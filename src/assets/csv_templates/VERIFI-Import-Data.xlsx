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202300"/>
  <mc:AlternateContent xmlns:mc="http://schemas.openxmlformats.org/markup-compatibility/2006">
    <mc:Choice Requires="x15">
      <x15ac:absPath xmlns:x15ac="http://schemas.microsoft.com/office/spreadsheetml/2010/11/ac" url="C:\Users\ak1\ORNL Dropbox\Kristina Armstrong\Armstrong Work\DOE Software Tools\DOE VERIFI\template\"/>
    </mc:Choice>
  </mc:AlternateContent>
  <xr:revisionPtr revIDLastSave="0" documentId="13_ncr:1_{959ECC0D-C5A1-4C67-AB90-37D3F2383DFF}" xr6:coauthVersionLast="47" xr6:coauthVersionMax="47" xr10:uidLastSave="{00000000-0000-0000-0000-000000000000}"/>
  <bookViews>
    <workbookView xWindow="28680" yWindow="-120" windowWidth="38640" windowHeight="21120" tabRatio="778" xr2:uid="{F495429E-9FF1-4EDA-8877-9D4B2EDB6A6C}"/>
  </bookViews>
  <sheets>
    <sheet name="OVERVIEW" sheetId="25" r:id="rId1"/>
    <sheet name="Facilities" sheetId="1" r:id="rId2"/>
    <sheet name="HIDE_FACILITIES" sheetId="7" state="hidden" r:id="rId3"/>
    <sheet name="Electricity Meters" sheetId="8" r:id="rId4"/>
    <sheet name="Electricity" sheetId="4" r:id="rId5"/>
    <sheet name="HIDE_ELEC" sheetId="9" state="hidden" r:id="rId6"/>
    <sheet name="Stationary Fuel Meters" sheetId="10" r:id="rId7"/>
    <sheet name="Stationary Fuel" sheetId="17" r:id="rId8"/>
    <sheet name="HIDE_STATIONARY" sheetId="16" state="hidden" r:id="rId9"/>
    <sheet name="Mobile Fuel Meters" sheetId="13" state="hidden" r:id="rId10"/>
    <sheet name="Mobile Fuel" sheetId="20" state="hidden" r:id="rId11"/>
    <sheet name="HIDE_MOBILE" sheetId="19" state="hidden" r:id="rId12"/>
    <sheet name="Other Energy Meters" sheetId="12" state="hidden" r:id="rId13"/>
    <sheet name="Other Energy" sheetId="22" state="hidden" r:id="rId14"/>
    <sheet name="HIDE_ENERGY" sheetId="21" state="hidden" r:id="rId15"/>
    <sheet name="Other Emission Meters" sheetId="18" state="hidden" r:id="rId16"/>
    <sheet name="HIDE_EMISSION" sheetId="23" state="hidden" r:id="rId17"/>
    <sheet name="Other Emissions" sheetId="24" state="hidden" r:id="rId18"/>
    <sheet name="Water Meters" sheetId="11" state="hidden" r:id="rId19"/>
    <sheet name="HIDE_WATER" sheetId="14" state="hidden" r:id="rId20"/>
    <sheet name="Water" sheetId="15" state="hidden" r:id="rId21"/>
    <sheet name="Predictor Setup" sheetId="27" r:id="rId22"/>
    <sheet name="Predictors" sheetId="26" r:id="rId23"/>
    <sheet name="HIDE_PREDICT" sheetId="29" state="hidden" r:id="rId24"/>
    <sheet name="V3" sheetId="28" state="hidden" r:id="rId25"/>
  </sheets>
  <definedNames>
    <definedName name="Array_ElectricalChargeData">'Electricity Meters'!$O$3:$AR$202</definedName>
    <definedName name="Array_ElectricalCharges">HIDE_ELEC!$B$17:$P$216</definedName>
    <definedName name="Array_EmissionChargeData">'Other Emission Meters'!$K$3:$T$202</definedName>
    <definedName name="Array_EmissionCharges">HIDE_EMISSION!$B$3:$F$201</definedName>
    <definedName name="Array_MobileChargeData">'Mobile Fuel Meters'!$R$3:$AA$202</definedName>
    <definedName name="Array_MobileCharges">HIDE_MOBILE!$B$16:$F$215</definedName>
    <definedName name="Array_OtherEnergyChargeData">'Other Energy Meters'!$O$3:$X$202</definedName>
    <definedName name="Array_OtherEnergyCharges">HIDE_ENERGY!$B$25:$F$224</definedName>
    <definedName name="Array_PredictorsLookup">HIDE_PREDICT!$B$15:$P$214</definedName>
    <definedName name="Array_StationaryChargeData">'Stationary Fuel Meters'!$P$3:$AS$202</definedName>
    <definedName name="Array_StationaryCharges">HIDE_STATIONARY!$B$37:$P$236</definedName>
    <definedName name="Array_WaterChargeData">'Water Meters'!$M$3:$AF$202</definedName>
    <definedName name="Array_WaterCharges">HIDE_WATER!$B$15:$K$214</definedName>
    <definedName name="List_ChargeNumbers_Electricial">HIDE_ELEC!$B$15:$P$16</definedName>
    <definedName name="List_ChargeNumbers_Emissions">HIDE_EMISSION!$A$1:$F$2</definedName>
    <definedName name="List_ChargeNumbers_Mobile">HIDE_MOBILE!$B$14:$F$15</definedName>
    <definedName name="List_ChargeNumbers_OtherEnergy">HIDE_ENERGY!$B$23:$F$24</definedName>
    <definedName name="List_ChargeNumbers_Stationary">HIDE_STATIONARY!$B$35:$P$36</definedName>
    <definedName name="List_ChargeNumbers_Water">HIDE_WATER!$A$13:$K$14</definedName>
    <definedName name="List_ElectricityMeters">HIDE_ELEC!$A$17:$A$216</definedName>
    <definedName name="List_EmissionMeters">HIDE_EMISSION!$A$3:$A$201</definedName>
    <definedName name="List_Facilities">HIDE_FACILITIES!$F$2:$F$101</definedName>
    <definedName name="List_MobileFuelMeters">HIDE_MOBILE!$A$16:$A$215</definedName>
    <definedName name="List_OtherEnergyMeters">HIDE_ENERGY!$A$25:$A$224</definedName>
    <definedName name="List_PredictorFacilities">HIDE_PREDICT!$A$15:$A$214</definedName>
    <definedName name="List_PredictorNumbers">HIDE_PREDICT!$B$13:$P$14</definedName>
    <definedName name="List_Predictors">'Predictor Setup'!$B$3:$B$202</definedName>
    <definedName name="List_StationaryFuelMeters">HIDE_STATIONARY!$A$37:$A$236</definedName>
    <definedName name="List_WaterMeters">HIDE_WATER!$A$15:$A$214</definedName>
    <definedName name="NAIC_2">HIDE_FACILITIES!$C$2:$C$21</definedName>
    <definedName name="NAIC_3">HIDE_FACILITIES!$D$2:$D$100</definedName>
    <definedName name="NAIC_3_11">HIDE_FACILITIES!$D$2:$D$6</definedName>
    <definedName name="NAIC_3_21">HIDE_FACILITIES!$D$7:$D$9</definedName>
    <definedName name="NAIC_3_22">HIDE_FACILITIES!$D$10</definedName>
    <definedName name="NAIC_3_23">HIDE_FACILITIES!$D$11:$D$13</definedName>
    <definedName name="NAIC_3_31">HIDE_FACILITIES!$D$14:$D$34</definedName>
    <definedName name="NAIC_3_42">HIDE_FACILITIES!$D$35:$D$37</definedName>
    <definedName name="NAIC_3_44">HIDE_FACILITIES!$D$38:$D$49</definedName>
    <definedName name="NAIC_3_48">HIDE_FACILITIES!$D$50:$D$60</definedName>
    <definedName name="NAIC_3_51">HIDE_FACILITIES!$D$61:$D$66</definedName>
    <definedName name="NAIC_3_52">HIDE_FACILITIES!$D$67:$D$71</definedName>
    <definedName name="NAIC_3_53">HIDE_FACILITIES!$D$72:$D$74</definedName>
    <definedName name="NAIC_3_54">HIDE_FACILITIES!$D$75</definedName>
    <definedName name="NAIC_3_55">HIDE_FACILITIES!$D$76</definedName>
    <definedName name="NAIC_3_56">HIDE_FACILITIES!$D$77:$D$78</definedName>
    <definedName name="NAIC_3_61">HIDE_FACILITIES!$D$79:$D$80</definedName>
    <definedName name="NAIC_3_62">HIDE_FACILITIES!$D$81:$D$83</definedName>
    <definedName name="NAIC_3_71">HIDE_FACILITIES!$D$84:$D$86</definedName>
    <definedName name="NAIC_3_72">HIDE_FACILITIES!$D$87:$D$88</definedName>
    <definedName name="NAIC_3_81">HIDE_FACILITIES!$D$89:$D$92</definedName>
    <definedName name="NAIC_3_92">HIDE_FACILITIES!$D$93:$D$100</definedName>
    <definedName name="Option_VehicleType">HIDE_MOBILE!$A$2:$A$12</definedName>
    <definedName name="Options_Calendarizing">HIDE_ELEC!$B$2:$B$4</definedName>
    <definedName name="Options_Countries">HIDE_FACILITIES!$A$2:$A$250</definedName>
    <definedName name="Options_ElecAgreementType">HIDE_ELEC!$A$2:$A$9</definedName>
    <definedName name="Options_ElectricityChargeTypes">HIDE_ELEC!$E$2:$E$7</definedName>
    <definedName name="Options_FuelsGas">HIDE_STATIONARY!$B$2:$B$10</definedName>
    <definedName name="Options_FuelsLiquid">HIDE_STATIONARY!$C$2:$C$32</definedName>
    <definedName name="Options_FuelsMaterial">HIDE_MOBILE!$E$2:$E$4</definedName>
    <definedName name="Options_FuelsNonRoad">HIDE_MOBILE!$D$2:$D$6</definedName>
    <definedName name="Options_FuelsOffRoad">HIDE_MOBILE!$C$2:$C$5</definedName>
    <definedName name="Options_FuelsOnRoad">HIDE_MOBILE!$B$2:$B$6</definedName>
    <definedName name="Options_FuelsSolid">HIDE_STATIONARY!$D$2:$D$11</definedName>
    <definedName name="Options_FuelsUnitsGas">HIDE_STATIONARY!$E$2:$E$17</definedName>
    <definedName name="Options_FuelsUnitsLiquid">HIDE_STATIONARY!$F$2:$F$16</definedName>
    <definedName name="Options_FuelsUnitsSolid">HIDE_STATIONARY!$G$2:$G$15</definedName>
    <definedName name="Options_FugitiveEmissions">HIDE_EMISSION!$K$2:$K$69</definedName>
    <definedName name="Options_MobileLiquid">HIDE_MOBILE!$F$2:$F$7</definedName>
    <definedName name="Options_OtherEnergyTypes">HIDE_ENERGY!$A$2:$A$7</definedName>
    <definedName name="Options_Phase">HIDE_STATIONARY!$A$2:$A$4</definedName>
    <definedName name="Options_ProcessEmissions">HIDE_EMISSION!$K$2:$K$4</definedName>
    <definedName name="Options_ScopeEmissions">HIDE_EMISSION!$J$2:$J$4</definedName>
    <definedName name="Options_StationaryChargeTypes">HIDE_STATIONARY!$I$2:$I$7</definedName>
    <definedName name="Options_UnitsDistance">HIDE_MOBILE!$G$2:$G$3</definedName>
    <definedName name="Options_UnitsEnergy">HIDE_STATIONARY!$H$2:$H$10</definedName>
    <definedName name="Options_US_States">HIDE_FACILITIES!$B$2:$B$60</definedName>
    <definedName name="Options_WaterCharge">HIDE_WATER!$D$2:$D$7</definedName>
    <definedName name="Options_WaterDischarge">HIDE_WATER!$B$2:$B$10</definedName>
    <definedName name="Options_WaterIntake">HIDE_WATER!$A$2:$A$10</definedName>
    <definedName name="Options_WaterUnitsUsage">HIDE_WATER!$C$2:$C$7</definedName>
    <definedName name="Units_ElectricityDemand">HIDE_ELEC!$D$2:$D$5</definedName>
    <definedName name="Units_ElectricityUse">HIDE_ELEC!$C$2:$C$10</definedName>
    <definedName name="Units_Emissions">HIDE_EMISSION!$L$2:$L$7</definedName>
    <definedName name="Units_OtherEnergyCollection">HIDE_ENERGY!$B$2:$B$21</definedName>
    <definedName name="Units_Predictors">HIDE_PREDICT!$A$2:$A$11</definedName>
  </definedNames>
  <calcPr calcId="191029" calcMode="auto" fullCalcOnLoad="1"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<sst xmlns="http://schemas.openxmlformats.org/spreadsheetml/2006/main" count="1120" uniqueCount="845">
  <si>
    <t>Facility Name</t>
  </si>
  <si>
    <t>Meter Number (UNIQUE)</t>
  </si>
  <si>
    <t>Source</t>
  </si>
  <si>
    <t>Scope</t>
  </si>
  <si>
    <t>Estimation Method</t>
  </si>
  <si>
    <t>S2S Factor</t>
  </si>
  <si>
    <t>Agreement Type</t>
  </si>
  <si>
    <t>Retain RECs?</t>
  </si>
  <si>
    <t>Notes</t>
  </si>
  <si>
    <t>Unit (COLLECTION)</t>
  </si>
  <si>
    <t>Electricity</t>
  </si>
  <si>
    <t>Natural Gas</t>
  </si>
  <si>
    <t>Other Energy</t>
  </si>
  <si>
    <t>Other</t>
  </si>
  <si>
    <t>kWh</t>
  </si>
  <si>
    <t>Utility Green Product</t>
  </si>
  <si>
    <t>MWh</t>
  </si>
  <si>
    <t>CCF</t>
  </si>
  <si>
    <t>Fuel</t>
  </si>
  <si>
    <t>Water</t>
  </si>
  <si>
    <t>Gas</t>
  </si>
  <si>
    <t>Liquid</t>
  </si>
  <si>
    <t>Meter Number</t>
  </si>
  <si>
    <t>Meter Numbers</t>
  </si>
  <si>
    <t>Meter Name (DISPLAY)</t>
  </si>
  <si>
    <t>Consumption</t>
  </si>
  <si>
    <t>Demand</t>
  </si>
  <si>
    <t>Tax</t>
  </si>
  <si>
    <t>Late Fee</t>
  </si>
  <si>
    <t>Flat Fee</t>
  </si>
  <si>
    <t>Read Date</t>
  </si>
  <si>
    <t>Actual Demand</t>
  </si>
  <si>
    <t>Power Factor</t>
  </si>
  <si>
    <t>Total Cost ($)</t>
  </si>
  <si>
    <t>Total Usage</t>
  </si>
  <si>
    <t>111 - Crop Production</t>
  </si>
  <si>
    <t>211 - Oil and Gas Extraction</t>
  </si>
  <si>
    <t>221 - Utilities</t>
  </si>
  <si>
    <t>236 - Construction of Buildings</t>
  </si>
  <si>
    <t>311 - Food Manufacturing</t>
  </si>
  <si>
    <t>423 - Merchant Wholesalers, Durable Goods</t>
  </si>
  <si>
    <t>441 - Motor Vehicle and Parts Dealers</t>
  </si>
  <si>
    <t>481 - Air Transportation</t>
  </si>
  <si>
    <t>511 - Publishing Industries (except Internet)</t>
  </si>
  <si>
    <t>521 - Monetary Authorities-Central Bank</t>
  </si>
  <si>
    <t>531 - Real Estate</t>
  </si>
  <si>
    <t>541 - Professional, Scientific, and Technical Servic</t>
  </si>
  <si>
    <t>551 - Management of Companies and Enterprises</t>
  </si>
  <si>
    <t>561 - Administrative and Support Services</t>
  </si>
  <si>
    <t>611 - Educational Services</t>
  </si>
  <si>
    <t>622 - Hospitals</t>
  </si>
  <si>
    <t>711 - Performing Arts, Spectator Sports, and Related</t>
  </si>
  <si>
    <t>721 - Accommodation</t>
  </si>
  <si>
    <t>811 - Repair and Maintenance</t>
  </si>
  <si>
    <t>921 - Executive, Legislative, and Other General Gove</t>
  </si>
  <si>
    <t>112 - Animal Production and Aquaculture</t>
  </si>
  <si>
    <t>212 - Mining (except Oil and Gas)</t>
  </si>
  <si>
    <t>237 - Heavy and Civil Engineering Construction</t>
  </si>
  <si>
    <t>312 - Beverage and Tobacco Product Manufacturing</t>
  </si>
  <si>
    <t>424 - Merchant Wholesalers, Nondurable Goods</t>
  </si>
  <si>
    <t>442 - Furniture and Home Furnishings Stores</t>
  </si>
  <si>
    <t>482 - Rail Transportation</t>
  </si>
  <si>
    <t>512 - Motion Picture and Sound Recording Industries</t>
  </si>
  <si>
    <t>522 - Credit Intermediation and Related Activities</t>
  </si>
  <si>
    <t>532 - Rental and Leasing Services</t>
  </si>
  <si>
    <t>562 - Waste Management and Remediation Services</t>
  </si>
  <si>
    <t>621 - Ambulatory Health Care Services</t>
  </si>
  <si>
    <t>623 - Nursing and Residential Care Facilities</t>
  </si>
  <si>
    <t>712 - Museums, Historical Sites, and Similar Institu</t>
  </si>
  <si>
    <t>722 - Food Services and Drinking Places</t>
  </si>
  <si>
    <t>812 - Personal and Laundry Services</t>
  </si>
  <si>
    <t>922 - Justice, Public Order, and Safety Activities</t>
  </si>
  <si>
    <t>113 - Forestry and Logging</t>
  </si>
  <si>
    <t>213 - Support Activities for Mining</t>
  </si>
  <si>
    <t>238 - Specialty Trade Contractors</t>
  </si>
  <si>
    <t>313 - Textile Mills</t>
  </si>
  <si>
    <t>425 - Wholesale Electronic Markets and Agents and Br</t>
  </si>
  <si>
    <t>443 - Electronics and Appliance Stores</t>
  </si>
  <si>
    <t>483 - Water Transportation</t>
  </si>
  <si>
    <t>515 - Broadcasting (except Internet)</t>
  </si>
  <si>
    <t>523 - Securities, Commodity Contracts, and Other Fin</t>
  </si>
  <si>
    <t>533 - Lessors of Nonfinancial Intangible Assets (exc</t>
  </si>
  <si>
    <t>624 - Social Assistance</t>
  </si>
  <si>
    <t>713 - Amusement, Gambling, and Recreation Industries</t>
  </si>
  <si>
    <t>813 - Religious, Grantmaking, Civic, Professional, a</t>
  </si>
  <si>
    <t>923 - Administration of Human Resource Programs</t>
  </si>
  <si>
    <t>114 - Fishing, Hunting and Trapping</t>
  </si>
  <si>
    <t>314 - Textile Product Mills</t>
  </si>
  <si>
    <t>444 - Building Material and Garden Equipment and Sup</t>
  </si>
  <si>
    <t>484 - Truck Transportation</t>
  </si>
  <si>
    <t>517 - Telecommunications</t>
  </si>
  <si>
    <t>524 - Insurance Carriers and Related Activities</t>
  </si>
  <si>
    <t>814 - Private Households</t>
  </si>
  <si>
    <t>924 - Administration of Environmental Quality Progra</t>
  </si>
  <si>
    <t>115 - Support Activities for Agriculture and Forestr</t>
  </si>
  <si>
    <t>315 - Apparel Manufacturing</t>
  </si>
  <si>
    <t>445 - Food and Beverage Stores</t>
  </si>
  <si>
    <t>485 - Transit and Ground Passenger Transportation</t>
  </si>
  <si>
    <t>518 - Data Processing, Hosting, and Related Services</t>
  </si>
  <si>
    <t>525 - Funds, Trusts, and Other Financial Vehicles</t>
  </si>
  <si>
    <t>925 - Administration of Housing Programs, Urban Plan</t>
  </si>
  <si>
    <t>316 - Leather and Allied Product Manufacturing</t>
  </si>
  <si>
    <t>446 - Health and Personal Care Stores</t>
  </si>
  <si>
    <t>486 - Pipeline Transportation</t>
  </si>
  <si>
    <t>519 - Other Information Services</t>
  </si>
  <si>
    <t>926 - Administration of Economic Programs</t>
  </si>
  <si>
    <t>321 - Wood Product Manufacturing</t>
  </si>
  <si>
    <t>447 - Gasoline Stations</t>
  </si>
  <si>
    <t>487 - Scenic and Sightseeing Transportation</t>
  </si>
  <si>
    <t>927 - Space Research and Technology</t>
  </si>
  <si>
    <t>322 - Paper Manufacturing</t>
  </si>
  <si>
    <t>448 - Clothing and Clothing Accessories Stores</t>
  </si>
  <si>
    <t>488 - Support Activities for Transportation</t>
  </si>
  <si>
    <t>928 - National Security and International Affairs</t>
  </si>
  <si>
    <t>323 - Printing and Related Support Activities</t>
  </si>
  <si>
    <t>451 - Sporting Goods, Hobby, Musical Instrument, and</t>
  </si>
  <si>
    <t>491 - Postal Service</t>
  </si>
  <si>
    <t>324 - Petroleum and Coal Products Manufacturing</t>
  </si>
  <si>
    <t>452 - General Merchandise Stores</t>
  </si>
  <si>
    <t>492 - Couriers and Messengers</t>
  </si>
  <si>
    <t>325 - Chemical Manufacturing</t>
  </si>
  <si>
    <t>453 - Miscellaneous Store Retailers</t>
  </si>
  <si>
    <t>493 - Warehousing and Storage</t>
  </si>
  <si>
    <t>326 - Plastics and Rubber Products Manufacturing</t>
  </si>
  <si>
    <t>454 - Nonstore Retailers</t>
  </si>
  <si>
    <t>327 - Nonmetallic Mineral Product Manufacturing</t>
  </si>
  <si>
    <t>331 - Primary Metal Manufacturing</t>
  </si>
  <si>
    <t>332 - Fabricated Metal Product Manufacturing</t>
  </si>
  <si>
    <t>333 - Machinery Manufacturing</t>
  </si>
  <si>
    <t>334 - Computer and Electronic Product Manufacturing</t>
  </si>
  <si>
    <t>335 - Electrical Equipment, Appliance, and Component</t>
  </si>
  <si>
    <t>336 - Transportation Equipment Manufacturing</t>
  </si>
  <si>
    <t>337 - Furniture and Related Product Manufacturing</t>
  </si>
  <si>
    <t>339 - Miscellaneous Manufacturing</t>
  </si>
  <si>
    <t>Countries</t>
  </si>
  <si>
    <t>United States of America (the)</t>
  </si>
  <si>
    <t>Afghanistan</t>
  </si>
  <si>
    <t>Albania</t>
  </si>
  <si>
    <t>Algeria</t>
  </si>
  <si>
    <t>American Samoa</t>
  </si>
  <si>
    <t>Andorra</t>
  </si>
  <si>
    <t>Angola</t>
  </si>
  <si>
    <t>Anguilla</t>
  </si>
  <si>
    <t>Antarctica</t>
  </si>
  <si>
    <t>Antigua and Barbuda</t>
  </si>
  <si>
    <t>Argentina</t>
  </si>
  <si>
    <t>Armenia</t>
  </si>
  <si>
    <t>Aruba</t>
  </si>
  <si>
    <t>Australia</t>
  </si>
  <si>
    <t>Austria</t>
  </si>
  <si>
    <t>Azerbaijan</t>
  </si>
  <si>
    <t>Bahamas (the)</t>
  </si>
  <si>
    <t>Bahrain</t>
  </si>
  <si>
    <t>Bangladesh</t>
  </si>
  <si>
    <t>Barbados</t>
  </si>
  <si>
    <t>Belarus</t>
  </si>
  <si>
    <t>Belgium</t>
  </si>
  <si>
    <t>Belize</t>
  </si>
  <si>
    <t>Benin</t>
  </si>
  <si>
    <t>Bermuda</t>
  </si>
  <si>
    <t>Bhutan</t>
  </si>
  <si>
    <t>Bolivia (Plurinational State of)</t>
  </si>
  <si>
    <t>Bonaire,  Sint Eustatius and Saba</t>
  </si>
  <si>
    <t>Bosnia and Herzegovina</t>
  </si>
  <si>
    <t>Botswana</t>
  </si>
  <si>
    <t>Bouvet Island</t>
  </si>
  <si>
    <t>Brazil</t>
  </si>
  <si>
    <t>British Indian Ocean Territory (the)</t>
  </si>
  <si>
    <t>Brunei Darussalam</t>
  </si>
  <si>
    <t>Bulgaria</t>
  </si>
  <si>
    <t>Burkina Faso</t>
  </si>
  <si>
    <t>Burundi</t>
  </si>
  <si>
    <t>Cabo Verde</t>
  </si>
  <si>
    <t>Cambodia</t>
  </si>
  <si>
    <t>Cameroon</t>
  </si>
  <si>
    <t>Canada</t>
  </si>
  <si>
    <t>Cayman Islands (the)</t>
  </si>
  <si>
    <t>Central African Republic (the)</t>
  </si>
  <si>
    <t>Chad</t>
  </si>
  <si>
    <t>Chile</t>
  </si>
  <si>
    <t>China</t>
  </si>
  <si>
    <t>Christmas Island</t>
  </si>
  <si>
    <t>Cocos (Keeling) Islands (the)</t>
  </si>
  <si>
    <t>Colombia</t>
  </si>
  <si>
    <t>Comoros (the)</t>
  </si>
  <si>
    <t>Congo (the Democratic Republic of the)</t>
  </si>
  <si>
    <t>Congo (the)</t>
  </si>
  <si>
    <t>Cook Islands (the)</t>
  </si>
  <si>
    <t>Costa Rica</t>
  </si>
  <si>
    <t>Croatia</t>
  </si>
  <si>
    <t>Cuba</t>
  </si>
  <si>
    <t>Curaçao</t>
  </si>
  <si>
    <t>Cyprus</t>
  </si>
  <si>
    <t>Czechia</t>
  </si>
  <si>
    <t>Côte d"Ivoire</t>
  </si>
  <si>
    <t>Denmark</t>
  </si>
  <si>
    <t>Djibouti</t>
  </si>
  <si>
    <t>Dominica</t>
  </si>
  <si>
    <t>Dominican Republic (the)</t>
  </si>
  <si>
    <t>Ecuador</t>
  </si>
  <si>
    <t>Egypt</t>
  </si>
  <si>
    <t>El Salvador</t>
  </si>
  <si>
    <t>Equatorial Guinea</t>
  </si>
  <si>
    <t>Eritrea</t>
  </si>
  <si>
    <t>Estonia</t>
  </si>
  <si>
    <t>Eswatini</t>
  </si>
  <si>
    <t>Ethiopia</t>
  </si>
  <si>
    <t>Falkland Islands (the) [Malvinas]</t>
  </si>
  <si>
    <t>Faroe Islands (the)</t>
  </si>
  <si>
    <t>Fiji</t>
  </si>
  <si>
    <t>Finland</t>
  </si>
  <si>
    <t>France</t>
  </si>
  <si>
    <t>French Guiana</t>
  </si>
  <si>
    <t>French Polynesia</t>
  </si>
  <si>
    <t>French Southern Territories (the)</t>
  </si>
  <si>
    <t>Gabon</t>
  </si>
  <si>
    <t>Gambia (the)</t>
  </si>
  <si>
    <t>Georgia</t>
  </si>
  <si>
    <t>Germany</t>
  </si>
  <si>
    <t>Ghana</t>
  </si>
  <si>
    <t>Gibraltar</t>
  </si>
  <si>
    <t>Greece</t>
  </si>
  <si>
    <t>Greenland</t>
  </si>
  <si>
    <t>Grenada</t>
  </si>
  <si>
    <t>Guadeloupe</t>
  </si>
  <si>
    <t>Guam</t>
  </si>
  <si>
    <t>Guatemala</t>
  </si>
  <si>
    <t>Guernsey</t>
  </si>
  <si>
    <t>Guinea</t>
  </si>
  <si>
    <t>Guinea-Bissau</t>
  </si>
  <si>
    <t>Guyana</t>
  </si>
  <si>
    <t>Haiti</t>
  </si>
  <si>
    <t>Heard Island and McDonald Islands</t>
  </si>
  <si>
    <t>Holy See (the)</t>
  </si>
  <si>
    <t>Honduras</t>
  </si>
  <si>
    <t>Hong Kong</t>
  </si>
  <si>
    <t>Hungary</t>
  </si>
  <si>
    <t>Iceland</t>
  </si>
  <si>
    <t>India</t>
  </si>
  <si>
    <t>Indonesia</t>
  </si>
  <si>
    <t>Iran (Islamic Republic of)</t>
  </si>
  <si>
    <t>Iraq</t>
  </si>
  <si>
    <t>Ireland</t>
  </si>
  <si>
    <t>Isle of Man</t>
  </si>
  <si>
    <t>Israel</t>
  </si>
  <si>
    <t>Italy</t>
  </si>
  <si>
    <t>Jamaica</t>
  </si>
  <si>
    <t>Japan</t>
  </si>
  <si>
    <t>Jersey</t>
  </si>
  <si>
    <t>Jordan</t>
  </si>
  <si>
    <t>Kazakhstan</t>
  </si>
  <si>
    <t>Kenya</t>
  </si>
  <si>
    <t>Kiribati</t>
  </si>
  <si>
    <t>Korea (the Democratic People"s Republic of)</t>
  </si>
  <si>
    <t>Korea (the Republic of)</t>
  </si>
  <si>
    <t>Kuwait</t>
  </si>
  <si>
    <t>Kyrgyzstan</t>
  </si>
  <si>
    <t>Lao People"s Democratic Republic (the)</t>
  </si>
  <si>
    <t>Latvia</t>
  </si>
  <si>
    <t>Lebanon</t>
  </si>
  <si>
    <t>Lesotho</t>
  </si>
  <si>
    <t>Liberia</t>
  </si>
  <si>
    <t>Libya</t>
  </si>
  <si>
    <t>Liechtenstein</t>
  </si>
  <si>
    <t>Lithuania</t>
  </si>
  <si>
    <t>Luxembourg</t>
  </si>
  <si>
    <t>Macao</t>
  </si>
  <si>
    <t>Madagascar</t>
  </si>
  <si>
    <t>Malawi</t>
  </si>
  <si>
    <t>Malaysia</t>
  </si>
  <si>
    <t>Maldives</t>
  </si>
  <si>
    <t>Mali</t>
  </si>
  <si>
    <t>Malta</t>
  </si>
  <si>
    <t>Marshall Islands (the)</t>
  </si>
  <si>
    <t>Martinique</t>
  </si>
  <si>
    <t>Mauritania</t>
  </si>
  <si>
    <t>Mauritius</t>
  </si>
  <si>
    <t>Mayotte</t>
  </si>
  <si>
    <t>Mexico</t>
  </si>
  <si>
    <t>Micronesia (Federated States of)</t>
  </si>
  <si>
    <t>Moldova (the Republic of)</t>
  </si>
  <si>
    <t>Monaco</t>
  </si>
  <si>
    <t>Mongolia</t>
  </si>
  <si>
    <t>Montenegro</t>
  </si>
  <si>
    <t>Montserrat</t>
  </si>
  <si>
    <t>Morocco</t>
  </si>
  <si>
    <t>Mozambique</t>
  </si>
  <si>
    <t>Myanmar</t>
  </si>
  <si>
    <t>Namibia</t>
  </si>
  <si>
    <t>Nauru</t>
  </si>
  <si>
    <t>Nepal</t>
  </si>
  <si>
    <t>Netherlands (the)</t>
  </si>
  <si>
    <t>New Caledonia</t>
  </si>
  <si>
    <t>New Zealand</t>
  </si>
  <si>
    <t>Nicaragua</t>
  </si>
  <si>
    <t>Niger (the)</t>
  </si>
  <si>
    <t>Nigeria</t>
  </si>
  <si>
    <t>Niue</t>
  </si>
  <si>
    <t>Norfolk Island</t>
  </si>
  <si>
    <t>Northern Mariana Islands (the)</t>
  </si>
  <si>
    <t>Norway</t>
  </si>
  <si>
    <t>Oman</t>
  </si>
  <si>
    <t>Pakistan</t>
  </si>
  <si>
    <t>Palau</t>
  </si>
  <si>
    <t>Palestine, State of</t>
  </si>
  <si>
    <t>Panama</t>
  </si>
  <si>
    <t>Papua New Guinea</t>
  </si>
  <si>
    <t>Paraguay</t>
  </si>
  <si>
    <t>Peru</t>
  </si>
  <si>
    <t>Philippines (the)</t>
  </si>
  <si>
    <t>Pitcairn</t>
  </si>
  <si>
    <t>Poland</t>
  </si>
  <si>
    <t>Portugal</t>
  </si>
  <si>
    <t>Puerto Rico</t>
  </si>
  <si>
    <t>Qatar</t>
  </si>
  <si>
    <t>Republic of North Macedonia</t>
  </si>
  <si>
    <t>Romania</t>
  </si>
  <si>
    <t>Russian Federation (the)</t>
  </si>
  <si>
    <t>Rwanda</t>
  </si>
  <si>
    <t>Réunion</t>
  </si>
  <si>
    <t>Saint Barthélemy</t>
  </si>
  <si>
    <t>Saint Helena, Ascension and Tristan da Cunha</t>
  </si>
  <si>
    <t>Saint Kitts and Nevis</t>
  </si>
  <si>
    <t>Saint Lucia</t>
  </si>
  <si>
    <t>Saint Martin (French part)</t>
  </si>
  <si>
    <t>Saint Pierre and Miquelon</t>
  </si>
  <si>
    <t>Saint Vincent and the Grenadines</t>
  </si>
  <si>
    <t>Samoa</t>
  </si>
  <si>
    <t>San Marino</t>
  </si>
  <si>
    <t>Sao Tome and Principe</t>
  </si>
  <si>
    <t>Saudi Arabia</t>
  </si>
  <si>
    <t>Senegal</t>
  </si>
  <si>
    <t>Serbia</t>
  </si>
  <si>
    <t>Seychelles</t>
  </si>
  <si>
    <t>Sierra Leone</t>
  </si>
  <si>
    <t>Singapore</t>
  </si>
  <si>
    <t>Sint Maarten (Dutch part)</t>
  </si>
  <si>
    <t>Slovakia</t>
  </si>
  <si>
    <t>Slovenia</t>
  </si>
  <si>
    <t>Solomon Islands</t>
  </si>
  <si>
    <t>Somalia</t>
  </si>
  <si>
    <t>South Africa</t>
  </si>
  <si>
    <t>South Georgia and the South Sandwich Islands</t>
  </si>
  <si>
    <t>South Sudan</t>
  </si>
  <si>
    <t>Spain</t>
  </si>
  <si>
    <t>Sri Lanka</t>
  </si>
  <si>
    <t>Sudan (the)</t>
  </si>
  <si>
    <t>Suriname</t>
  </si>
  <si>
    <t>Svalbard and Jan Mayen</t>
  </si>
  <si>
    <t>Sweden</t>
  </si>
  <si>
    <t>Switzerland</t>
  </si>
  <si>
    <t>Syrian Arab Republic</t>
  </si>
  <si>
    <t>Taiwan</t>
  </si>
  <si>
    <t>Tajikistan</t>
  </si>
  <si>
    <t>Tanzania, United Republic of</t>
  </si>
  <si>
    <t>Thailand</t>
  </si>
  <si>
    <t>Timor-Leste</t>
  </si>
  <si>
    <t>Togo</t>
  </si>
  <si>
    <t>Tokelau</t>
  </si>
  <si>
    <t>Tonga</t>
  </si>
  <si>
    <t>Trinidad and Tobago</t>
  </si>
  <si>
    <t>Tunisia</t>
  </si>
  <si>
    <t>Turkey</t>
  </si>
  <si>
    <t>Turkmenistan</t>
  </si>
  <si>
    <t>Turks and Caicos Islands (the)</t>
  </si>
  <si>
    <t>Tuvalu</t>
  </si>
  <si>
    <t>Uganda</t>
  </si>
  <si>
    <t>Ukraine</t>
  </si>
  <si>
    <t>United Arab Emirates (the)</t>
  </si>
  <si>
    <t>United Kingdom of Great Britain and Northern Ireland (the)</t>
  </si>
  <si>
    <t>United States Minor Outlying Islands (the)</t>
  </si>
  <si>
    <t>Uruguay</t>
  </si>
  <si>
    <t>Uzbekistan</t>
  </si>
  <si>
    <t>Vanuatu</t>
  </si>
  <si>
    <t>Venezuela (Bolivarian Republic of)</t>
  </si>
  <si>
    <t>Viet Nam</t>
  </si>
  <si>
    <t>Virgin Islands (British)</t>
  </si>
  <si>
    <t>Virgin Islands (U.S.)</t>
  </si>
  <si>
    <t>Wallis and Futuna</t>
  </si>
  <si>
    <t>Western Sahara</t>
  </si>
  <si>
    <t>Yemen</t>
  </si>
  <si>
    <t>Zambia</t>
  </si>
  <si>
    <t>Zimbabwe</t>
  </si>
  <si>
    <t>Åland Islands</t>
  </si>
  <si>
    <t>States</t>
  </si>
  <si>
    <t>ALABAMA</t>
  </si>
  <si>
    <t>ALASKA</t>
  </si>
  <si>
    <t>AMERICAN SAMOA</t>
  </si>
  <si>
    <t>ARIZONA</t>
  </si>
  <si>
    <t>ARKANSAS</t>
  </si>
  <si>
    <t>CALIFORNIA</t>
  </si>
  <si>
    <t>COLORADO</t>
  </si>
  <si>
    <t>CONNECTICUT</t>
  </si>
  <si>
    <t>DELAWARE</t>
  </si>
  <si>
    <t>DISTRICT OF COLUMBIA</t>
  </si>
  <si>
    <t>FEDERATED STATES OF MICRONESIA</t>
  </si>
  <si>
    <t>FLORIDA</t>
  </si>
  <si>
    <t>GEORGIA</t>
  </si>
  <si>
    <t>GUAM</t>
  </si>
  <si>
    <t>HAWAII</t>
  </si>
  <si>
    <t>IDAHO</t>
  </si>
  <si>
    <t>ILLINOIS</t>
  </si>
  <si>
    <t>INDIANA</t>
  </si>
  <si>
    <t>IOWA</t>
  </si>
  <si>
    <t>KANSAS</t>
  </si>
  <si>
    <t>KENTUCKY</t>
  </si>
  <si>
    <t>LOUISIANA</t>
  </si>
  <si>
    <t>MAINE</t>
  </si>
  <si>
    <t>MARSHALL ISLANDS</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</si>
  <si>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</si>
  <si>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</si>
  <si>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</si>
  <si>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</si>
  <si>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</si>
  <si>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</si>
  <si>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</si>
  <si>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</si>
  <si>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</si>
  <si>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</si>
  <si>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</si>
  <si>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</si>
  <si>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</si>
  <si>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</si>
  <si>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</si>
  <si>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NORTHERN MARIANA ISLANDS</t>
  </si>
  <si>
    <t>OHIO</t>
  </si>
  <si>
    <t>OKLAHOMA</t>
  </si>
  <si>
    <t>OREGON</t>
  </si>
  <si>
    <t>PALAU</t>
  </si>
  <si>
    <t>PENNSYLVANIA</t>
  </si>
  <si>
    <t>PUERTO RICO</t>
  </si>
  <si>
    <t>RHODE ISLAND</t>
  </si>
  <si>
    <t>SOUTH CAROLINA</t>
  </si>
  <si>
    <t>SOUTH DAKOTA</t>
  </si>
  <si>
    <t>TENNESSEE</t>
  </si>
  <si>
    <t>TEXAS</t>
  </si>
  <si>
    <t>UTAH</t>
  </si>
  <si>
    <t>VERMONT</t>
  </si>
  <si>
    <t>VIRGIN ISLANDS</t>
  </si>
  <si>
    <t>VIRGINIA</t>
  </si>
  <si>
    <t>WASHINGTON</t>
  </si>
  <si>
    <t>WEST VIRGINIA</t>
  </si>
  <si>
    <t>WISCONSIN</t>
  </si>
  <si>
    <t>WYOMING</t>
  </si>
  <si>
    <t>11 - Agriculture</t>
  </si>
  <si>
    <t>21 - Mining</t>
  </si>
  <si>
    <t>22 - Utilities</t>
  </si>
  <si>
    <t>23 - Construction</t>
  </si>
  <si>
    <t>31 - 33 - Manufacturing</t>
  </si>
  <si>
    <t>42 - Wholesale Trade</t>
  </si>
  <si>
    <t>44 -45 - Retail Trade</t>
  </si>
  <si>
    <t>48 - 49 - Transportation and Warehousing</t>
  </si>
  <si>
    <t>51 - Information</t>
  </si>
  <si>
    <t>52 - Finance and Insurance</t>
  </si>
  <si>
    <t>53 - Real Estate and Rental and Leasing</t>
  </si>
  <si>
    <t>54 - Professional</t>
  </si>
  <si>
    <t>55 - Management of Companies and Enterprises</t>
  </si>
  <si>
    <t>56 - Administrative and Support and Waste Management and Remediation Services</t>
  </si>
  <si>
    <t>61 - Educational Services</t>
  </si>
  <si>
    <t>62 - Health Care and Social Assistance</t>
  </si>
  <si>
    <t>71 - Arts</t>
  </si>
  <si>
    <t>72 - Accommodation and Food Services</t>
  </si>
  <si>
    <t>81 - Other Services (except Public Administration)</t>
  </si>
  <si>
    <t>92 - Public Administration</t>
  </si>
  <si>
    <t>3 Digit NAIC</t>
  </si>
  <si>
    <t>2 Digit NAIC</t>
  </si>
  <si>
    <t>Address</t>
  </si>
  <si>
    <t>Country</t>
  </si>
  <si>
    <t>City</t>
  </si>
  <si>
    <t>ZIP Code</t>
  </si>
  <si>
    <t>NAICS Code (2-digit)</t>
  </si>
  <si>
    <t>NAICS Code (3-digit)</t>
  </si>
  <si>
    <t>Contact Name</t>
  </si>
  <si>
    <t>Contact Phone</t>
  </si>
  <si>
    <t>Contact Email</t>
  </si>
  <si>
    <t>Unbundled RECs</t>
  </si>
  <si>
    <t>Other Settings</t>
  </si>
  <si>
    <t>Value</t>
  </si>
  <si>
    <t>Scope 2: Purchased Electricity</t>
  </si>
  <si>
    <t>Calendarize Readings?</t>
  </si>
  <si>
    <t>Account #</t>
  </si>
  <si>
    <t>Supplier</t>
  </si>
  <si>
    <t>Location</t>
  </si>
  <si>
    <t>Calendarize Options</t>
  </si>
  <si>
    <t>Yes</t>
  </si>
  <si>
    <t>No</t>
  </si>
  <si>
    <t>Evenly Distribute</t>
  </si>
  <si>
    <t>MMBtu</t>
  </si>
  <si>
    <t>GJ</t>
  </si>
  <si>
    <t>MJ</t>
  </si>
  <si>
    <t>kJ</t>
  </si>
  <si>
    <t>Therms</t>
  </si>
  <si>
    <t>DTherms</t>
  </si>
  <si>
    <t>kcal</t>
  </si>
  <si>
    <t>Usage Units</t>
  </si>
  <si>
    <t>Demand Units</t>
  </si>
  <si>
    <t>kW</t>
  </si>
  <si>
    <t>MW</t>
  </si>
  <si>
    <t>kVA</t>
  </si>
  <si>
    <t>MVA</t>
  </si>
  <si>
    <t>SPILL LIST</t>
  </si>
  <si>
    <t>FIXED LIST</t>
  </si>
  <si>
    <t>Charge Types</t>
  </si>
  <si>
    <t>Usage Cost Units</t>
  </si>
  <si>
    <t>Other Cost Units</t>
  </si>
  <si>
    <t>%</t>
  </si>
  <si>
    <t>$</t>
  </si>
  <si>
    <t>Max Allowed Charges</t>
  </si>
  <si>
    <t>Meter Type</t>
  </si>
  <si>
    <t>Flow Type</t>
  </si>
  <si>
    <t>Intake Type</t>
  </si>
  <si>
    <t>Discharge Type</t>
  </si>
  <si>
    <t>Municipal (Potable)</t>
  </si>
  <si>
    <t>Municipal (Non-potable)</t>
  </si>
  <si>
    <t>Surface Freshwater</t>
  </si>
  <si>
    <t>Ground Freshwater</t>
  </si>
  <si>
    <t>Salt Water</t>
  </si>
  <si>
    <t>Other Freshwater</t>
  </si>
  <si>
    <t>Rain Water</t>
  </si>
  <si>
    <t>Externally Recycled Water</t>
  </si>
  <si>
    <t>Municipal Sewer</t>
  </si>
  <si>
    <t>Industrial Sewer</t>
  </si>
  <si>
    <t>Third-party Disposal</t>
  </si>
  <si>
    <t>River/Lake</t>
  </si>
  <si>
    <t>Ocean/Tide</t>
  </si>
  <si>
    <t>Groundwater</t>
  </si>
  <si>
    <t>Onsite Disposal</t>
  </si>
  <si>
    <t>Stormwater to Sewer</t>
  </si>
  <si>
    <t>gal</t>
  </si>
  <si>
    <t>kgal</t>
  </si>
  <si>
    <t>Mgal</t>
  </si>
  <si>
    <t>ft3</t>
  </si>
  <si>
    <t>m3</t>
  </si>
  <si>
    <t>L</t>
  </si>
  <si>
    <t>Units Usage</t>
  </si>
  <si>
    <t>Usage</t>
  </si>
  <si>
    <t>Sewer</t>
  </si>
  <si>
    <t>Phase</t>
  </si>
  <si>
    <t>Energy Factor</t>
  </si>
  <si>
    <t>Fuel Phases</t>
  </si>
  <si>
    <t>Solid</t>
  </si>
  <si>
    <t>Gas Fuels</t>
  </si>
  <si>
    <t>Liquid Fuels</t>
  </si>
  <si>
    <t>Solid Fuels</t>
  </si>
  <si>
    <t>Blast Furnace Gas</t>
  </si>
  <si>
    <t>Butane</t>
  </si>
  <si>
    <t>Coke Oven Gas</t>
  </si>
  <si>
    <t>Isobutane</t>
  </si>
  <si>
    <t>Landfill Gas</t>
  </si>
  <si>
    <t>Liquefied Petroleum Gas (LPG)</t>
  </si>
  <si>
    <t>Oil Gases</t>
  </si>
  <si>
    <t>Propane</t>
  </si>
  <si>
    <t>Benzene</t>
  </si>
  <si>
    <t>Biodiesel (100%)</t>
  </si>
  <si>
    <t>Butene</t>
  </si>
  <si>
    <t>Crude Oil</t>
  </si>
  <si>
    <t>Diesel</t>
  </si>
  <si>
    <t>Distillate Fuel Oil</t>
  </si>
  <si>
    <t>Ethanol (100%)</t>
  </si>
  <si>
    <t>Ethyl Alcohol</t>
  </si>
  <si>
    <t>Ethylene</t>
  </si>
  <si>
    <t>Fuel Oil #1</t>
  </si>
  <si>
    <t>Fuel Oil #2</t>
  </si>
  <si>
    <t>Fuel Oil #4</t>
  </si>
  <si>
    <t>Fuel Oil #5</t>
  </si>
  <si>
    <t>Fuel Oil #6 (high sulfur)</t>
  </si>
  <si>
    <t>Fuel Oil #6 (low sulfur)</t>
  </si>
  <si>
    <t>Gas Oil</t>
  </si>
  <si>
    <t>Gasoline</t>
  </si>
  <si>
    <t>Heating Oil</t>
  </si>
  <si>
    <t>Kerosene</t>
  </si>
  <si>
    <t>Liquefied Natural Gas (LNG)</t>
  </si>
  <si>
    <t>LPG</t>
  </si>
  <si>
    <t>Methyl Alcohol</t>
  </si>
  <si>
    <t>Pentane</t>
  </si>
  <si>
    <t>Pentene</t>
  </si>
  <si>
    <t>Propylene</t>
  </si>
  <si>
    <t>Residual Fuel Oil</t>
  </si>
  <si>
    <t>Toluene</t>
  </si>
  <si>
    <t>Xylene</t>
  </si>
  <si>
    <t>Biomass</t>
  </si>
  <si>
    <t>Black Liquor</t>
  </si>
  <si>
    <t>Coal (anthracite)</t>
  </si>
  <si>
    <t>Coal (bituminous)</t>
  </si>
  <si>
    <t>Coal</t>
  </si>
  <si>
    <t>Coke</t>
  </si>
  <si>
    <t>Peat</t>
  </si>
  <si>
    <t>Scrap Tires</t>
  </si>
  <si>
    <t>Sulfur</t>
  </si>
  <si>
    <t>Wood</t>
  </si>
  <si>
    <t>SCF</t>
  </si>
  <si>
    <t>lb</t>
  </si>
  <si>
    <t>klb</t>
  </si>
  <si>
    <t>kSCF</t>
  </si>
  <si>
    <t>kg</t>
  </si>
  <si>
    <t>MMCF</t>
  </si>
  <si>
    <t>ton</t>
  </si>
  <si>
    <t>tonne</t>
  </si>
  <si>
    <t>MCM</t>
  </si>
  <si>
    <t>kCM</t>
  </si>
  <si>
    <t>Units Gas Fuels</t>
  </si>
  <si>
    <t>Units Liquid Fuels</t>
  </si>
  <si>
    <t>Units Solid Fuels</t>
  </si>
  <si>
    <t>Units Energy</t>
  </si>
  <si>
    <t>Demand/MDQ</t>
  </si>
  <si>
    <t>Vehicle Type</t>
  </si>
  <si>
    <t>Fuel Type</t>
  </si>
  <si>
    <t>Include with Energy?</t>
  </si>
  <si>
    <t>Average Fuel Efficiency</t>
  </si>
  <si>
    <t>Material Transport Onsite</t>
  </si>
  <si>
    <t>On-Road Vehicle, Passenger Cars</t>
  </si>
  <si>
    <t>On-Road Vehicle, Light-Duty Trucks</t>
  </si>
  <si>
    <t>On-Road Vehicle, Bus</t>
  </si>
  <si>
    <t>On-Road Vehicle, Heavy-Duty Trucks</t>
  </si>
  <si>
    <t>On-Road Vehicle, Motorcycles</t>
  </si>
  <si>
    <t>Off-Road Vehicle, Ag. Equipment &amp; Trucks</t>
  </si>
  <si>
    <t>Off-Road Vehicle, Construction/Mine Equipment &amp; Trucks</t>
  </si>
  <si>
    <t>Non-Road Vehicle, Aircraft</t>
  </si>
  <si>
    <t>Non-Road Vehicle, Rail</t>
  </si>
  <si>
    <t>Non-Road Vehicle, Water Transport</t>
  </si>
  <si>
    <t>Vehicle Types</t>
  </si>
  <si>
    <t>Gasoline (2 stroke)</t>
  </si>
  <si>
    <t>Jet Fuel</t>
  </si>
  <si>
    <t>Gasoline (4 stroke)</t>
  </si>
  <si>
    <t>Aviation Gasoline</t>
  </si>
  <si>
    <t>On Road Fuels</t>
  </si>
  <si>
    <t>Off Road Fuels</t>
  </si>
  <si>
    <t>Non Road Fuels</t>
  </si>
  <si>
    <t>FuelMaterial</t>
  </si>
  <si>
    <t>Units Distance</t>
  </si>
  <si>
    <t>mi</t>
  </si>
  <si>
    <t>km</t>
  </si>
  <si>
    <t>Charge Units</t>
  </si>
  <si>
    <t>Total Usage or Distance</t>
  </si>
  <si>
    <t>Fuel Efficiency</t>
  </si>
  <si>
    <t>Number of Vehicles</t>
  </si>
  <si>
    <t>Type</t>
  </si>
  <si>
    <t>District Hot Water</t>
  </si>
  <si>
    <t>Purchased Chilled Water (Absorption Chiller)</t>
  </si>
  <si>
    <t>Purchased Chilled Water (Electric-driven Compressor)</t>
  </si>
  <si>
    <t>Purchased Chilled Water (Engine-driven Compressor)</t>
  </si>
  <si>
    <t>Purchased Compressed Air</t>
  </si>
  <si>
    <t>Purchased Steam</t>
  </si>
  <si>
    <t>Other Energy Types</t>
  </si>
  <si>
    <t>galF</t>
  </si>
  <si>
    <t>tonHr</t>
  </si>
  <si>
    <t>Other Energy Units</t>
  </si>
  <si>
    <t xml:space="preserve">CO2 </t>
  </si>
  <si>
    <t>CH4</t>
  </si>
  <si>
    <t>N2O</t>
  </si>
  <si>
    <t>HFC-23</t>
  </si>
  <si>
    <t>HFC-32</t>
  </si>
  <si>
    <t>HFC-41</t>
  </si>
  <si>
    <t>HFC-125</t>
  </si>
  <si>
    <t>HFC-134</t>
  </si>
  <si>
    <t>HFC-134a</t>
  </si>
  <si>
    <t>HFC-143</t>
  </si>
  <si>
    <t>HFC-143a</t>
  </si>
  <si>
    <t>HFC-152</t>
  </si>
  <si>
    <t>HFC-152a</t>
  </si>
  <si>
    <t>HFC-161</t>
  </si>
  <si>
    <t>HFC-227ea</t>
  </si>
  <si>
    <t>HFC-236cb</t>
  </si>
  <si>
    <t>HFC-236ea</t>
  </si>
  <si>
    <t>HFC-236fa</t>
  </si>
  <si>
    <t>HFC-245ca</t>
  </si>
  <si>
    <t>HFC-245fa</t>
  </si>
  <si>
    <t>HFC-365mfc</t>
  </si>
  <si>
    <t>HFC-43-10mee</t>
  </si>
  <si>
    <t xml:space="preserve">SF6 </t>
  </si>
  <si>
    <t>NF3</t>
  </si>
  <si>
    <t xml:space="preserve">CF4 </t>
  </si>
  <si>
    <t xml:space="preserve">C2F6 </t>
  </si>
  <si>
    <t>C3F8</t>
  </si>
  <si>
    <t>c-C4F8</t>
  </si>
  <si>
    <t xml:space="preserve">C4F10 </t>
  </si>
  <si>
    <t>C5F12</t>
  </si>
  <si>
    <t>C6F14</t>
  </si>
  <si>
    <t>C10F18</t>
  </si>
  <si>
    <t>R-401A</t>
  </si>
  <si>
    <t>R-401B</t>
  </si>
  <si>
    <t>R-401C</t>
  </si>
  <si>
    <t>R-402A</t>
  </si>
  <si>
    <t>R-402B</t>
  </si>
  <si>
    <t>R-403B</t>
  </si>
  <si>
    <t>R-404A</t>
  </si>
  <si>
    <t>R-406A</t>
  </si>
  <si>
    <t>R-407A</t>
  </si>
  <si>
    <t>R-407B</t>
  </si>
  <si>
    <t>R-407C</t>
  </si>
  <si>
    <t>R-407D</t>
  </si>
  <si>
    <t>R-407E</t>
  </si>
  <si>
    <t>R-408A</t>
  </si>
  <si>
    <t>R-409A</t>
  </si>
  <si>
    <t>R-410A</t>
  </si>
  <si>
    <t>R-410B</t>
  </si>
  <si>
    <t>R-411A</t>
  </si>
  <si>
    <t>R-411B</t>
  </si>
  <si>
    <t>R-413A</t>
  </si>
  <si>
    <t>R-414A</t>
  </si>
  <si>
    <t>R-414B</t>
  </si>
  <si>
    <t>R-417A</t>
  </si>
  <si>
    <t>R-422A</t>
  </si>
  <si>
    <t>R-422D</t>
  </si>
  <si>
    <t>R-423A</t>
  </si>
  <si>
    <t>R-424A</t>
  </si>
  <si>
    <t>R-426A</t>
  </si>
  <si>
    <t>R-428A</t>
  </si>
  <si>
    <t>R-434A</t>
  </si>
  <si>
    <t>R-500</t>
  </si>
  <si>
    <t>R-502</t>
  </si>
  <si>
    <t>R-504</t>
  </si>
  <si>
    <t>R-507</t>
  </si>
  <si>
    <t>R-508A</t>
  </si>
  <si>
    <t>R-508B</t>
  </si>
  <si>
    <t>GHGs</t>
  </si>
  <si>
    <t>GHG Units</t>
  </si>
  <si>
    <t>Long Ton</t>
  </si>
  <si>
    <t>Short Ton</t>
  </si>
  <si>
    <t>Metric Tonne (tonnes)</t>
  </si>
  <si>
    <t>Emission Type</t>
  </si>
  <si>
    <t>Scope 1: Fugitive</t>
  </si>
  <si>
    <t>Scope 1: Process</t>
  </si>
  <si>
    <t>Greenhouse Gas</t>
  </si>
  <si>
    <t>GHG Costs</t>
  </si>
  <si>
    <t>GHG Cost Types</t>
  </si>
  <si>
    <t>Total Usage or Emission</t>
  </si>
  <si>
    <t>Getting Started</t>
  </si>
  <si>
    <t>This template can be used for setting up your account or for updating your data every month if you choose to not enter data manually within VERIFI.</t>
  </si>
  <si>
    <t>&gt;  When uploading with this template, you have the choice of replacing existing data if you updated previous readings or only upload new data.</t>
  </si>
  <si>
    <t>&gt;  When entering data in this template, there is no need to sort by meter or read date. VERIFI uses the meter number and date column to parse data appropriately.</t>
  </si>
  <si>
    <t>Facilities</t>
  </si>
  <si>
    <t>Start here! This is where you will setup and input information about the different facilities in your company.</t>
  </si>
  <si>
    <t>Input Guide</t>
  </si>
  <si>
    <t>Cell is free data entry</t>
  </si>
  <si>
    <t>Cell is not active or not applicable</t>
  </si>
  <si>
    <t>Cell is a dropdown</t>
  </si>
  <si>
    <t>Cell is autofilled</t>
  </si>
  <si>
    <t>Cell is mandatory and is blank (in error)</t>
  </si>
  <si>
    <t>Cell is suggested but not required and is blank</t>
  </si>
  <si>
    <t>"----" Tabs</t>
  </si>
  <si>
    <t>After setting up your meters, each meter type has its own data input tab. These tabs allow you to input utility data from your bills into VERIFI. Each row will correspond to one reading for each of the meters you setup in the meter setup tabs.</t>
  </si>
  <si>
    <t>Predictors</t>
  </si>
  <si>
    <t>This tab is where you enter data about any predictors you will use for correlation or regression analysis (e.g., production data, weather data). Predictors are associated with a facility and are not calendarized. Please enter only 1 row of predictor data for each month for each facility.</t>
  </si>
  <si>
    <t>There are many hidden tabs used to make this template work. You may need to unhide these tabs to troubleshoot any errors that may occur in this template.</t>
  </si>
  <si>
    <t>Stationary Fuels</t>
  </si>
  <si>
    <t>Mobile Fuels</t>
  </si>
  <si>
    <t>Overview</t>
  </si>
  <si>
    <t>Other Emissions</t>
  </si>
  <si>
    <t>Hide</t>
  </si>
  <si>
    <t>matplotlib tab10</t>
  </si>
  <si>
    <t>Date</t>
  </si>
  <si>
    <t>Predictor Name</t>
  </si>
  <si>
    <t>Is Production?</t>
  </si>
  <si>
    <t>Units</t>
  </si>
  <si>
    <t>lbs</t>
  </si>
  <si>
    <t>units</t>
  </si>
  <si>
    <t>hours</t>
  </si>
  <si>
    <t>Predictor Units</t>
  </si>
  <si>
    <t>"---- Meters" Tabs</t>
  </si>
  <si>
    <t>Charge 1</t>
  </si>
  <si>
    <t>Charge 2</t>
  </si>
  <si>
    <t>Charge 3</t>
  </si>
  <si>
    <t>Charge 4</t>
  </si>
  <si>
    <t>Charge 5</t>
  </si>
  <si>
    <t>Charge 6</t>
  </si>
  <si>
    <t>Charge 7</t>
  </si>
  <si>
    <t>Charge 8</t>
  </si>
  <si>
    <t>Charge 9</t>
  </si>
  <si>
    <t>Charge 10</t>
  </si>
  <si>
    <t>Charge 11</t>
  </si>
  <si>
    <t>Charge 12</t>
  </si>
  <si>
    <t>Charge 13</t>
  </si>
  <si>
    <t>Charge 14</t>
  </si>
  <si>
    <t>Charge 15</t>
  </si>
  <si>
    <t>Charge count:</t>
  </si>
  <si>
    <t>REACTIVE TABLE</t>
  </si>
  <si>
    <t>Higher Heating Value</t>
  </si>
  <si>
    <t>Grid Electricity</t>
  </si>
  <si>
    <t>Other Non-RE Electricity</t>
  </si>
  <si>
    <t>Direct Delivered Physical Power Purchase Agreement (P-PPA)</t>
  </si>
  <si>
    <t>Onsite Renewable Energy</t>
  </si>
  <si>
    <t>Grid Delivered Physical Power Purchase Agreement (P-PPA)</t>
  </si>
  <si>
    <t>Virtual Power Purchase Agreement</t>
  </si>
  <si>
    <t>√ Electricity Charge Setup (Optional)</t>
  </si>
  <si>
    <t>√ Stationary Fuel Charge Setup (Optional)</t>
  </si>
  <si>
    <t>√ Mobile Fuel Charge Setup (Optional)</t>
  </si>
  <si>
    <t>√ Other Energy Charge Setup (Optional)</t>
  </si>
  <si>
    <t>√ Other Emissions Charge Setup (Optional)</t>
  </si>
  <si>
    <t>√ Water Charge Setup (Optional)</t>
  </si>
  <si>
    <t>√ Electricity Charges (Optional)</t>
  </si>
  <si>
    <t>√ Stationary Fuel Charges (Optional)</t>
  </si>
  <si>
    <t>√ Mobile Fuel Charges (Optional)</t>
  </si>
  <si>
    <t>√ Other Energy Charges (Optional)</t>
  </si>
  <si>
    <t>√ Other Emission Charges (Optional)</t>
  </si>
  <si>
    <t>√ Water Charges (Optional)</t>
  </si>
  <si>
    <t>Unit (USAGE)</t>
  </si>
  <si>
    <t>Unit (DEMAND)</t>
  </si>
  <si>
    <t>Meter Group (ANALYSIS)</t>
  </si>
  <si>
    <t>Unit (ENERGY)</t>
  </si>
  <si>
    <t>Unit (DISTANCE)</t>
  </si>
  <si>
    <t>Facility</t>
  </si>
  <si>
    <t>Predictor 1</t>
  </si>
  <si>
    <t>Predictor 2</t>
  </si>
  <si>
    <t>Predictor 3</t>
  </si>
  <si>
    <t>Predictor 4</t>
  </si>
  <si>
    <t>Predictor 5</t>
  </si>
  <si>
    <t>Predictor 6</t>
  </si>
  <si>
    <t>Predictor 7</t>
  </si>
  <si>
    <t>Predictor 8</t>
  </si>
  <si>
    <t>Predictor 9</t>
  </si>
  <si>
    <t>Predictor 10</t>
  </si>
  <si>
    <t>Predictor 11</t>
  </si>
  <si>
    <t>Predictor 12</t>
  </si>
  <si>
    <t>Predictor 13</t>
  </si>
  <si>
    <t>Predictor 14</t>
  </si>
  <si>
    <t>Predictor 15</t>
  </si>
  <si>
    <t>U.S. State</t>
  </si>
  <si>
    <t>Energy Factor (HHV)</t>
  </si>
  <si>
    <t>√ Stationary Fuel Meters Setup</t>
  </si>
  <si>
    <t>√ Electricity Meter Readings</t>
  </si>
  <si>
    <t>√ Electricity Meter Setup</t>
  </si>
  <si>
    <t>√ Facility Setup</t>
  </si>
  <si>
    <t>√ Stationary Fuel Meter Readings</t>
  </si>
  <si>
    <t>√ Mobile Fuel Meters Setup</t>
  </si>
  <si>
    <t>√ Mobile Fuel Readings</t>
  </si>
  <si>
    <t>√ Other Energy Meters Setup</t>
  </si>
  <si>
    <t>√ Other Energy Readings</t>
  </si>
  <si>
    <t>√ Other Emissions Meters Setup</t>
  </si>
  <si>
    <t>√ Other Emission Readings</t>
  </si>
  <si>
    <t>√ Water Meter Setup</t>
  </si>
  <si>
    <t>√ Water Meter Readings</t>
  </si>
  <si>
    <t>√ Predictor Input</t>
  </si>
  <si>
    <t>long ton</t>
  </si>
  <si>
    <t>This template is for bulk data upload to VERIFI including adding facilities, meters, and data. It can also be used for bulk updating - please just add data to the bottom of each data sheet.</t>
  </si>
  <si>
    <t>days</t>
  </si>
  <si>
    <r>
      <t xml:space="preserve">This worksheet is password protected to protect formatting and features. </t>
    </r>
    <r>
      <rPr>
        <b/>
        <sz val="12"/>
        <color theme="1"/>
        <rFont val="Arial"/>
        <family val="2"/>
      </rPr>
      <t>If you need to unlock and modify the column widths or other things to better match your needs, the password is "</t>
    </r>
    <r>
      <rPr>
        <b/>
        <u/>
        <sz val="12"/>
        <color theme="1"/>
        <rFont val="Arial"/>
        <family val="2"/>
      </rPr>
      <t>VERIFI</t>
    </r>
    <r>
      <rPr>
        <b/>
        <sz val="12"/>
        <color theme="1"/>
        <rFont val="Arial"/>
        <family val="2"/>
      </rPr>
      <t>"</t>
    </r>
    <r>
      <rPr>
        <sz val="12"/>
        <color theme="1"/>
        <rFont val="Arial"/>
        <family val="2"/>
      </rPr>
      <t xml:space="preserve">. </t>
    </r>
    <r>
      <rPr>
        <b/>
        <u/>
        <sz val="12"/>
        <color theme="1"/>
        <rFont val="Arial"/>
        <family val="2"/>
      </rPr>
      <t>PLEASE DO NOT</t>
    </r>
    <r>
      <rPr>
        <sz val="12"/>
        <color theme="1"/>
        <rFont val="Arial"/>
        <family val="2"/>
      </rPr>
      <t xml:space="preserve"> change any column names as this will break VERIFI's ability to import data from this file.</t>
    </r>
  </si>
  <si>
    <t>Updates (03/02/2026)</t>
  </si>
  <si>
    <t>The VERIFI template has been updated to simplify the upload process, reduce troubleshooting needs, and accommodate the wide variety of charges that can occur on utility bills.
The latest update simplifies the initially displayed tabs.
Please see the below for help on getting started with this new template.</t>
  </si>
  <si>
    <t>"HIDE" Tabs</t>
  </si>
  <si>
    <t>Data Tabs</t>
  </si>
  <si>
    <t xml:space="preserve">Each meter type has a its own setup tab. This is where you enter data on the meters you want to track in your facilities. You can group similar meters together using the "Meter Group" column so that you can combine, for example, all your office building electricity meters together for analysis. You can also use the optional cost columns to track different charges on your bills over time. </t>
  </si>
  <si>
    <t>VERIFI - Data Upload Template
Version: 3.2
Release: 03/02/2026</t>
  </si>
  <si>
    <r>
      <rPr>
        <b/>
        <sz val="12"/>
        <color theme="1"/>
        <rFont val="Arial"/>
        <family val="2"/>
      </rPr>
      <t>Electricity</t>
    </r>
    <r>
      <rPr>
        <sz val="12"/>
        <color theme="1"/>
        <rFont val="Arial"/>
        <family val="2"/>
      </rPr>
      <t xml:space="preserve">: All electricity-based energy streams including grid purchased electricity, on-site generation, and other electricity financial agreements
</t>
    </r>
    <r>
      <rPr>
        <b/>
        <sz val="12"/>
        <color theme="1"/>
        <rFont val="Arial"/>
        <family val="2"/>
      </rPr>
      <t>Stationary Fuels</t>
    </r>
    <r>
      <rPr>
        <sz val="12"/>
        <color theme="1"/>
        <rFont val="Arial"/>
        <family val="2"/>
      </rPr>
      <t xml:space="preserve">: All fuels burned in stationary systems (e.g., natural gas, diesel, coal, propane)
</t>
    </r>
    <r>
      <rPr>
        <b/>
        <sz val="12"/>
        <color theme="1"/>
        <rFont val="Arial"/>
        <family val="2"/>
      </rPr>
      <t>Mobile Fuels</t>
    </r>
    <r>
      <rPr>
        <sz val="12"/>
        <color theme="1"/>
        <rFont val="Arial"/>
        <family val="2"/>
      </rPr>
      <t xml:space="preserve">: All fuels burned in mobile systems, usage estimated via direct consumption or miles driven
</t>
    </r>
    <r>
      <rPr>
        <b/>
        <sz val="12"/>
        <color theme="1"/>
        <rFont val="Arial"/>
        <family val="2"/>
      </rPr>
      <t>Other Energy</t>
    </r>
    <r>
      <rPr>
        <sz val="12"/>
        <color theme="1"/>
        <rFont val="Arial"/>
        <family val="2"/>
      </rPr>
      <t xml:space="preserve">: Other utilities purchased where the energetic transformation occurred over the fence (e.g., steam, compressed air, chilled water)
</t>
    </r>
    <r>
      <rPr>
        <b/>
        <sz val="12"/>
        <color theme="1"/>
        <rFont val="Arial"/>
        <family val="2"/>
      </rPr>
      <t>Other</t>
    </r>
    <r>
      <rPr>
        <sz val="12"/>
        <color theme="1"/>
        <rFont val="Arial"/>
        <family val="2"/>
      </rPr>
      <t xml:space="preserve">: Refrigerant and process losses
</t>
    </r>
    <r>
      <rPr>
        <b/>
        <sz val="12"/>
        <color theme="1"/>
        <rFont val="Arial"/>
        <family val="2"/>
      </rPr>
      <t>Water</t>
    </r>
    <r>
      <rPr>
        <sz val="12"/>
        <color theme="1"/>
        <rFont val="Arial"/>
        <family val="2"/>
      </rPr>
      <t>: Water supply and discharge utilities</t>
    </r>
  </si>
  <si>
    <t>By default, the VERIFI template shows Meter and Data tabs for electricity and stationary fuels, plus predictors.
If you want to track something beyond these, please right click the tab area and unhide the TWO tabs for each additional trackable group (mobile fuels, other energy, and water)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</si>
</sst>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m\-dd"/>
  </numFmts>
  <fonts count="23" x14ac:knownFonts="1">
    <font>
      <sz val="11"/>
      <color theme="1"/>
      <name val="Calibri"/>
      <family val="2"/>
    </font>
    <font>
      <b/>
      <sz val="11"/>
      <color theme="0"/>
      <name val="Calibri"/>
      <family val="2"/>
    </font>
    <font>
      <sz val="8"/>
      <name val="Calibri"/>
      <family val="2"/>
    </font>
    <font>
      <sz val="18"/>
      <color theme="3"/>
      <name val="Aptos Display"/>
      <family val="2"/>
      <scheme val="major"/>
    </font>
    <font>
      <b/>
      <sz val="15"/>
      <color theme="3"/>
      <name val="Calibri"/>
      <family val="2"/>
    </font>
    <font>
      <b/>
      <sz val="13"/>
      <color theme="3"/>
      <name val="Calibri"/>
      <family val="2"/>
    </font>
    <font>
      <b/>
      <sz val="11"/>
      <color theme="3"/>
      <name val="Calibri"/>
      <family val="2"/>
    </font>
    <font>
      <sz val="14"/>
      <color theme="1"/>
      <name val="Arial"/>
      <family val="2"/>
    </font>
    <font>
      <b/>
      <sz val="14"/>
      <color theme="3"/>
      <name val="Arial"/>
      <family val="2"/>
    </font>
    <font>
      <b/>
      <sz val="18"/>
      <color theme="0"/>
      <name val="Arial"/>
      <family val="2"/>
    </font>
    <font>
      <sz val="11"/>
      <color theme="1"/>
      <name val="Arial"/>
      <family val="2"/>
    </font>
    <font>
      <b/>
      <sz val="12"/>
      <color theme="4"/>
      <name val="Arial"/>
      <family val="2"/>
    </font>
    <font>
      <b/>
      <sz val="12"/>
      <color theme="6"/>
      <name val="Arial"/>
      <family val="2"/>
    </font>
    <font>
      <b/>
      <sz val="11"/>
      <color theme="0" tint="-0.499984740745262"/>
      <name val="Arial"/>
      <family val="2"/>
    </font>
    <font>
      <b/>
      <sz val="11"/>
      <color theme="1"/>
      <name val="Arial"/>
      <family val="2"/>
    </font>
    <font>
      <sz val="12"/>
      <color theme="1"/>
      <name val="Arial"/>
      <family val="2"/>
    </font>
    <font>
      <b/>
      <sz val="15"/>
      <color theme="3"/>
      <name val="Arial"/>
      <family val="2"/>
    </font>
    <font>
      <b/>
      <u/>
      <sz val="12"/>
      <color theme="1"/>
      <name val="Arial"/>
      <family val="2"/>
    </font>
    <font>
      <b/>
      <sz val="12"/>
      <color theme="3"/>
      <name val="Arial"/>
      <family val="2"/>
    </font>
    <font>
      <sz val="10"/>
      <color theme="1"/>
      <name val="Arial"/>
      <family val="2"/>
    </font>
    <font>
      <b/>
      <sz val="11"/>
      <color theme="4"/>
      <name val="Arial"/>
      <family val="2"/>
    </font>
    <font>
      <b/>
      <sz val="11"/>
      <color theme="6"/>
      <name val="Arial"/>
      <family val="2"/>
    </font>
    <font>
      <b/>
      <sz val="12"/>
      <color theme="1"/>
      <name val="Arial"/>
      <family val="2"/>
    </font>
  </fonts>
  <fills count="27">
    <fill>
      <patternFill patternType="none"/>
    </fill>
    <fill>
      <patternFill patternType="gray125"/>
    </fill>
    <fill>
      <patternFill patternType="solid">
        <fgColor theme="7" tint="0.7999816888943144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8"/>
        <bgColor indexed="64"/>
      </patternFill>
    </fill>
    <fill>
      <patternFill patternType="solid">
        <fgColor theme="4"/>
        <bgColor theme="4"/>
      </patternFill>
    </fill>
    <fill>
      <patternFill patternType="solid">
        <fgColor theme="0" tint="-0.14999847407452621"/>
        <bgColor theme="0" tint="-0.14999847407452621"/>
      </patternFill>
    </fill>
    <fill>
      <patternFill patternType="solid">
        <fgColor theme="6"/>
        <bgColor theme="6"/>
      </patternFill>
    </fill>
    <fill>
      <patternFill patternType="solid">
        <fgColor theme="6"/>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0" tint="-0.34998626667073579"/>
        <bgColor indexed="64"/>
      </patternFill>
    </fill>
    <fill>
      <patternFill patternType="solid">
        <fgColor rgb="FFC00000"/>
        <bgColor indexed="64"/>
      </patternFill>
    </fill>
    <fill>
      <patternFill patternType="solid">
        <fgColor theme="0"/>
        <bgColor indexed="64"/>
      </patternFill>
    </fill>
    <fill>
      <patternFill patternType="solid">
        <fgColor rgb="FF1F77B4"/>
        <bgColor indexed="64"/>
      </patternFill>
    </fill>
    <fill>
      <patternFill patternType="solid">
        <fgColor rgb="FFFF7F0E"/>
        <bgColor indexed="64"/>
      </patternFill>
    </fill>
    <fill>
      <patternFill patternType="solid">
        <fgColor rgb="FF2CA02C"/>
        <bgColor indexed="64"/>
      </patternFill>
    </fill>
    <fill>
      <patternFill patternType="solid">
        <fgColor rgb="FFD62728"/>
        <bgColor indexed="64"/>
      </patternFill>
    </fill>
    <fill>
      <patternFill patternType="solid">
        <fgColor rgb="FF9467BD"/>
        <bgColor indexed="64"/>
      </patternFill>
    </fill>
    <fill>
      <patternFill patternType="solid">
        <fgColor rgb="FF8C564B"/>
        <bgColor indexed="64"/>
      </patternFill>
    </fill>
    <fill>
      <patternFill patternType="solid">
        <fgColor rgb="FFE377C2"/>
        <bgColor indexed="64"/>
      </patternFill>
    </fill>
    <fill>
      <patternFill patternType="solid">
        <fgColor rgb="FF7F7F7F"/>
        <bgColor indexed="64"/>
      </patternFill>
    </fill>
    <fill>
      <patternFill patternType="solid">
        <fgColor rgb="FF17BECF"/>
        <bgColor indexed="64"/>
      </patternFill>
    </fill>
    <fill>
      <patternFill patternType="solid">
        <fgColor rgb="FFBCBD22"/>
        <bgColor indexed="64"/>
      </patternFill>
    </fill>
    <fill>
      <patternFill patternType="solid">
        <fgColor theme="0" tint="-0.249977111117893"/>
        <bgColor indexed="64"/>
      </patternFill>
    </fill>
  </fills>
  <borders count="21">
    <border>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right style="thick">
        <color auto="1"/>
      </right>
      <top/>
      <bottom/>
      <diagonal/>
    </border>
    <border>
      <left style="thin">
        <color theme="0"/>
      </left>
      <right style="thick">
        <color auto="1"/>
      </right>
      <top style="thin">
        <color theme="0"/>
      </top>
      <bottom style="thin">
        <color theme="0"/>
      </bottom>
      <diagonal/>
    </border>
    <border>
      <left style="thick">
        <color auto="1"/>
      </left>
      <right style="thin">
        <color theme="0"/>
      </right>
      <top/>
      <bottom style="thin">
        <color theme="0"/>
      </bottom>
      <diagonal/>
    </border>
    <border>
      <left style="thin">
        <color theme="0"/>
      </left>
      <right style="thin">
        <color theme="0"/>
      </right>
      <top/>
      <bottom style="thin">
        <color theme="0"/>
      </bottom>
      <diagonal/>
    </border>
    <border>
      <left style="thin">
        <color theme="0"/>
      </left>
      <right style="thick">
        <color auto="1"/>
      </right>
      <top/>
      <bottom style="thin">
        <color theme="0"/>
      </bottom>
      <diagonal/>
    </border>
    <border>
      <left/>
      <right/>
      <top/>
      <bottom style="medium">
        <color theme="1"/>
      </bottom>
      <diagonal/>
    </border>
    <border>
      <left/>
      <right/>
      <top style="medium">
        <color theme="1"/>
      </top>
      <bottom/>
      <diagonal/>
    </border>
    <border>
      <left/>
      <right/>
      <top/>
      <bottom style="medium">
        <color indexed="64"/>
      </bottom>
      <diagonal/>
    </border>
    <border>
      <left/>
      <right/>
      <top style="medium">
        <color theme="1"/>
      </top>
      <bottom style="medium">
        <color indexed="64"/>
      </bottom>
      <diagonal/>
    </border>
    <border>
      <left/>
      <right style="thin">
        <color theme="0"/>
      </right>
      <top/>
      <bottom style="thin">
        <color theme="0"/>
      </bottom>
      <diagonal/>
    </border>
    <border>
      <left style="thick">
        <color auto="1"/>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top/>
      <bottom style="thick">
        <color theme="4"/>
      </bottom>
      <diagonal/>
    </border>
    <border>
      <left/>
      <right/>
      <top/>
      <bottom style="thick">
        <color theme="4" tint="0.499984740745262"/>
      </bottom>
      <diagonal/>
    </border>
    <border>
      <left/>
      <right/>
      <top style="thick">
        <color theme="4" tint="0.499984740745262"/>
      </top>
      <bottom/>
      <diagonal/>
    </border>
    <border>
      <left/>
      <right/>
      <top style="thin">
        <color theme="0"/>
      </top>
      <bottom style="thin">
        <color theme="0"/>
      </bottom>
      <diagonal/>
    </border>
    <border>
      <left style="thin">
        <color theme="0"/>
      </left>
      <right style="thick">
        <color auto="1"/>
      </right>
      <top style="thin">
        <color theme="0"/>
      </top>
      <bottom/>
      <diagonal/>
    </border>
  </borders>
  <cellStyleXfs count="5">
    <xf numFmtId="0" fontId="0" fillId="0" borderId="0"/>
    <xf numFmtId="0" fontId="3" fillId="0" borderId="0" applyNumberFormat="0" applyFill="0" applyBorder="0" applyAlignment="0" applyProtection="0"/>
    <xf numFmtId="0" fontId="4" fillId="0" borderId="16" applyNumberFormat="0" applyFill="0" applyAlignment="0" applyProtection="0"/>
    <xf numFmtId="0" fontId="5" fillId="0" borderId="17" applyNumberFormat="0" applyFill="0" applyAlignment="0" applyProtection="0"/>
    <xf numFmtId="0" fontId="6" fillId="0" borderId="0" applyNumberFormat="0" applyFill="0" applyBorder="0" applyAlignment="0" applyProtection="0"/>
  </cellStyleXfs>
  <cellXfs count="152">
    <xf numFmtId="0" fontId="0" fillId="0" borderId="0" xfId="0"/>
    <xf numFmtId="0" fontId="0" fillId="3" borderId="1" xfId="0" applyFill="1" applyBorder="1"/>
    <xf numFmtId="0" fontId="0" fillId="2" borderId="1" xfId="0" applyFill="1" applyBorder="1"/>
    <xf numFmtId="0" fontId="0" fillId="0" borderId="0" xfId="0" applyAlignment="1">
      <alignment horizontal="left"/>
    </xf>
    <xf numFmtId="0" fontId="0" fillId="8" borderId="0" xfId="0" applyFill="1"/>
    <xf numFmtId="0" fontId="0" fillId="8" borderId="8" xfId="0" applyFill="1" applyBorder="1"/>
    <xf numFmtId="0" fontId="1" fillId="7" borderId="9" xfId="0" applyFont="1" applyFill="1" applyBorder="1"/>
    <xf numFmtId="0" fontId="0" fillId="8" borderId="9" xfId="0" applyFill="1" applyBorder="1"/>
    <xf numFmtId="0" fontId="0" fillId="8" borderId="10" xfId="0" applyFill="1" applyBorder="1"/>
    <xf numFmtId="0" fontId="0" fillId="0" borderId="10" xfId="0" applyBorder="1"/>
    <xf numFmtId="0" fontId="1" fillId="7" borderId="11" xfId="0" applyFont="1" applyFill="1" applyBorder="1"/>
    <xf numFmtId="0" fontId="1" fillId="9" borderId="11" xfId="0" applyFont="1" applyFill="1" applyBorder="1"/>
    <xf numFmtId="0" fontId="1" fillId="6" borderId="10" xfId="0" applyFont="1" applyFill="1" applyBorder="1"/>
    <xf numFmtId="0" fontId="1" fillId="10" borderId="10" xfId="0" applyFont="1" applyFill="1" applyBorder="1"/>
    <xf numFmtId="0" fontId="1" fillId="9" borderId="10" xfId="0" applyFont="1" applyFill="1" applyBorder="1"/>
    <xf numFmtId="1" fontId="0" fillId="0" borderId="0" xfId="0" applyNumberFormat="1"/>
    <xf numFmtId="0" fontId="1" fillId="9" borderId="10" xfId="0" applyFont="1" applyFill="1" applyBorder="1" applyAlignment="1">
      <alignment horizontal="left"/>
    </xf>
    <xf numFmtId="0" fontId="0" fillId="8" borderId="0" xfId="0" applyFill="1" applyAlignment="1">
      <alignment horizontal="left"/>
    </xf>
    <xf numFmtId="0" fontId="0" fillId="0" borderId="10" xfId="0" applyBorder="1" applyAlignment="1">
      <alignment horizontal="left"/>
    </xf>
    <xf numFmtId="0" fontId="0" fillId="16" borderId="0" xfId="0" applyFill="1"/>
    <xf numFmtId="0" fontId="0" fillId="17" borderId="0" xfId="0" applyFill="1"/>
    <xf numFmtId="0" fontId="0" fillId="18" borderId="0" xfId="0" applyFill="1"/>
    <xf numFmtId="0" fontId="0" fillId="19" borderId="0" xfId="0" applyFill="1"/>
    <xf numFmtId="0" fontId="0" fillId="20" borderId="0" xfId="0" applyFill="1"/>
    <xf numFmtId="0" fontId="0" fillId="21" borderId="0" xfId="0" applyFill="1"/>
    <xf numFmtId="0" fontId="0" fillId="22" borderId="0" xfId="0" applyFill="1"/>
    <xf numFmtId="0" fontId="0" fillId="23" borderId="0" xfId="0" applyFill="1"/>
    <xf numFmtId="0" fontId="0" fillId="24" borderId="0" xfId="0" applyFill="1"/>
    <xf numFmtId="0" fontId="0" fillId="25" borderId="0" xfId="0" applyFill="1"/>
    <xf numFmtId="0" fontId="1" fillId="7" borderId="0" xfId="0" applyFont="1" applyFill="1"/>
    <xf numFmtId="0" fontId="7" fillId="15" borderId="0" xfId="0" applyFont="1" applyFill="1"/>
    <xf numFmtId="0" fontId="8" fillId="15" borderId="0" xfId="1" applyFont="1" applyFill="1" applyAlignment="1">
      <alignment vertical="center" wrapText="1"/>
    </xf>
    <xf numFmtId="0" fontId="8" fillId="15" borderId="0" xfId="4" applyFont="1" applyFill="1"/>
    <xf numFmtId="164" fontId="7" fillId="15" borderId="0" xfId="0" applyNumberFormat="1" applyFont="1" applyFill="1"/>
    <xf numFmtId="0" fontId="7" fillId="15" borderId="0" xfId="0" applyFont="1" applyFill="1" applyAlignment="1">
      <alignment horizontal="left" wrapText="1"/>
    </xf>
    <xf numFmtId="14" fontId="7" fillId="15" borderId="0" xfId="0" applyNumberFormat="1" applyFont="1" applyFill="1"/>
    <xf numFmtId="0" fontId="8" fillId="15" borderId="16" xfId="2" applyFont="1" applyFill="1"/>
    <xf numFmtId="0" fontId="7" fillId="15" borderId="0" xfId="0" applyFont="1" applyFill="1" applyAlignment="1">
      <alignment horizontal="right" vertical="top"/>
    </xf>
    <xf numFmtId="0" fontId="8" fillId="15" borderId="17" xfId="3" applyFont="1" applyFill="1"/>
    <xf numFmtId="0" fontId="7" fillId="15" borderId="0" xfId="0" applyFont="1" applyFill="1" applyAlignment="1">
      <alignment wrapText="1"/>
    </xf>
    <xf numFmtId="0" fontId="9" fillId="20" borderId="0" xfId="0" applyFont="1" applyFill="1" applyAlignment="1">
      <alignment horizontal="left" vertical="center"/>
    </xf>
    <xf numFmtId="0" fontId="10" fillId="20" borderId="0" xfId="0" applyFont="1" applyFill="1"/>
    <xf numFmtId="0" fontId="10" fillId="20" borderId="3" xfId="0" applyFont="1" applyFill="1" applyBorder="1"/>
    <xf numFmtId="0" fontId="9" fillId="26" borderId="0" xfId="0" applyFont="1" applyFill="1" applyAlignment="1">
      <alignment horizontal="left" vertical="center"/>
    </xf>
    <xf numFmtId="0" fontId="10" fillId="26" borderId="0" xfId="0" applyFont="1" applyFill="1"/>
    <xf numFmtId="0" fontId="10" fillId="0" borderId="0" xfId="0" applyFont="1"/>
    <xf numFmtId="0" fontId="11" fillId="11" borderId="1" xfId="0" applyFont="1" applyFill="1" applyBorder="1" applyAlignment="1">
      <alignment horizontal="left" vertical="center" wrapText="1"/>
    </xf>
    <xf numFmtId="0" fontId="12" fillId="11" borderId="1" xfId="0" applyFont="1" applyFill="1" applyBorder="1" applyAlignment="1">
      <alignment horizontal="left" vertical="center" wrapText="1"/>
    </xf>
    <xf numFmtId="0" fontId="12" fillId="11" borderId="4" xfId="0" applyFont="1" applyFill="1" applyBorder="1" applyAlignment="1">
      <alignment horizontal="left" vertical="center" wrapText="1"/>
    </xf>
    <xf numFmtId="0" fontId="10" fillId="0" borderId="3" xfId="0" applyFont="1" applyBorder="1"/>
    <xf numFmtId="0" fontId="9" fillId="18" borderId="0" xfId="0" applyFont="1" applyFill="1" applyAlignment="1">
      <alignment horizontal="left" vertical="center"/>
    </xf>
    <xf numFmtId="165" fontId="10" fillId="18" borderId="0" xfId="0" applyNumberFormat="1" applyFont="1" applyFill="1"/>
    <xf numFmtId="0" fontId="10" fillId="26" borderId="3" xfId="0" applyFont="1" applyFill="1" applyBorder="1"/>
    <xf numFmtId="165" fontId="12" fillId="11" borderId="1" xfId="0" applyNumberFormat="1" applyFont="1" applyFill="1" applyBorder="1" applyAlignment="1">
      <alignment horizontal="left" vertical="center" wrapText="1"/>
    </xf>
    <xf numFmtId="0" fontId="13" fillId="11" borderId="5" xfId="0" applyFont="1" applyFill="1" applyBorder="1" applyAlignment="1">
      <alignment vertical="center"/>
    </xf>
    <xf numFmtId="0" fontId="13" fillId="11" borderId="6" xfId="0" applyFont="1" applyFill="1" applyBorder="1" applyAlignment="1">
      <alignment vertical="center"/>
    </xf>
    <xf numFmtId="0" fontId="13" fillId="11" borderId="7" xfId="0" applyFont="1" applyFill="1" applyBorder="1" applyAlignment="1">
      <alignment vertical="center"/>
    </xf>
    <xf numFmtId="0" fontId="14" fillId="0" borderId="0" xfId="0" applyFont="1" applyAlignment="1">
      <alignment vertical="center"/>
    </xf>
    <xf numFmtId="0" fontId="10" fillId="5" borderId="13" xfId="0" applyFont="1" applyFill="1" applyBorder="1"/>
    <xf numFmtId="165" fontId="10" fillId="0" borderId="0" xfId="0" applyNumberFormat="1" applyFont="1"/>
    <xf numFmtId="0" fontId="9" fillId="18" borderId="3" xfId="0" applyFont="1" applyFill="1" applyBorder="1" applyAlignment="1">
      <alignment horizontal="left" vertical="center"/>
    </xf>
    <xf numFmtId="0" fontId="10" fillId="0" borderId="0" xfId="0" applyFont="1" applyAlignment="1">
      <alignment vertical="center"/>
    </xf>
    <xf numFmtId="0" fontId="10" fillId="0" borderId="0" xfId="0" applyFont="1" applyAlignment="1">
      <alignment wrapText="1"/>
    </xf>
    <xf numFmtId="0" fontId="9" fillId="17" borderId="0" xfId="0" applyFont="1" applyFill="1" applyAlignment="1">
      <alignment horizontal="left" vertical="center"/>
    </xf>
    <xf numFmtId="0" fontId="10" fillId="17" borderId="0" xfId="0" applyFont="1" applyFill="1" applyAlignment="1">
      <alignment horizontal="left" vertical="center"/>
    </xf>
    <xf numFmtId="0" fontId="10" fillId="0" borderId="0" xfId="0" applyFont="1" applyAlignment="1">
      <alignment horizontal="left" vertical="center"/>
    </xf>
    <xf numFmtId="0" fontId="10" fillId="0" borderId="0" xfId="0" applyFont="1" applyAlignment="1">
      <alignment horizontal="left"/>
    </xf>
    <xf numFmtId="165" fontId="10" fillId="20" borderId="0" xfId="0" applyNumberFormat="1" applyFont="1" applyFill="1"/>
    <xf numFmtId="0" fontId="12" fillId="11" borderId="15" xfId="0" applyFont="1" applyFill="1" applyBorder="1" applyAlignment="1">
      <alignment horizontal="left" vertical="center" wrapText="1"/>
    </xf>
    <xf numFmtId="0" fontId="9" fillId="21" borderId="0" xfId="0" applyFont="1" applyFill="1" applyAlignment="1">
      <alignment horizontal="left" vertical="center"/>
    </xf>
    <xf numFmtId="0" fontId="10" fillId="21" borderId="0" xfId="0" applyFont="1" applyFill="1"/>
    <xf numFmtId="0" fontId="10" fillId="21" borderId="3" xfId="0" applyFont="1" applyFill="1" applyBorder="1"/>
    <xf numFmtId="165" fontId="10" fillId="21" borderId="0" xfId="0" applyNumberFormat="1" applyFont="1" applyFill="1"/>
    <xf numFmtId="0" fontId="9" fillId="22" borderId="0" xfId="0" applyFont="1" applyFill="1" applyAlignment="1">
      <alignment horizontal="left" vertical="center"/>
    </xf>
    <xf numFmtId="0" fontId="10" fillId="22" borderId="0" xfId="0" applyFont="1" applyFill="1"/>
    <xf numFmtId="0" fontId="10" fillId="22" borderId="3" xfId="0" applyFont="1" applyFill="1" applyBorder="1"/>
    <xf numFmtId="165" fontId="10" fillId="22" borderId="0" xfId="0" applyNumberFormat="1" applyFont="1" applyFill="1"/>
    <xf numFmtId="0" fontId="9" fillId="23" borderId="0" xfId="0" applyFont="1" applyFill="1" applyAlignment="1">
      <alignment horizontal="left" vertical="center"/>
    </xf>
    <xf numFmtId="0" fontId="10" fillId="23" borderId="0" xfId="0" applyFont="1" applyFill="1"/>
    <xf numFmtId="0" fontId="10" fillId="23" borderId="3" xfId="0" applyFont="1" applyFill="1" applyBorder="1"/>
    <xf numFmtId="165" fontId="10" fillId="23" borderId="0" xfId="0" applyNumberFormat="1" applyFont="1" applyFill="1"/>
    <xf numFmtId="0" fontId="9" fillId="24" borderId="0" xfId="0" applyFont="1" applyFill="1" applyAlignment="1">
      <alignment horizontal="left" vertical="center"/>
    </xf>
    <xf numFmtId="165" fontId="10" fillId="24" borderId="0" xfId="0" applyNumberFormat="1" applyFont="1" applyFill="1"/>
    <xf numFmtId="0" fontId="10" fillId="24" borderId="0" xfId="0" applyFont="1" applyFill="1"/>
    <xf numFmtId="0" fontId="10" fillId="24" borderId="3" xfId="0" applyFont="1" applyFill="1" applyBorder="1"/>
    <xf numFmtId="0" fontId="9" fillId="25" borderId="0" xfId="0" applyFont="1" applyFill="1" applyAlignment="1">
      <alignment horizontal="left" vertical="center"/>
    </xf>
    <xf numFmtId="0" fontId="9" fillId="25" borderId="3" xfId="0" applyFont="1" applyFill="1" applyBorder="1" applyAlignment="1">
      <alignment horizontal="left" vertical="center"/>
    </xf>
    <xf numFmtId="0" fontId="10" fillId="25" borderId="3" xfId="0" applyFont="1" applyFill="1" applyBorder="1"/>
    <xf numFmtId="0" fontId="10" fillId="25" borderId="0" xfId="0" applyFont="1" applyFill="1"/>
    <xf numFmtId="0" fontId="13" fillId="11" borderId="12" xfId="0" applyFont="1" applyFill="1" applyBorder="1" applyAlignment="1">
      <alignment vertical="center"/>
    </xf>
    <xf numFmtId="0" fontId="10" fillId="15" borderId="0" xfId="0" applyFont="1" applyFill="1"/>
    <xf numFmtId="0" fontId="0" fillId="13" borderId="1" xfId="0" applyFill="1" applyBorder="1"/>
    <xf numFmtId="0" fontId="0" fillId="5" borderId="1" xfId="0" applyFill="1" applyBorder="1"/>
    <xf numFmtId="0" fontId="0" fillId="14" borderId="1" xfId="0" applyFill="1" applyBorder="1"/>
    <xf numFmtId="0" fontId="0" fillId="12" borderId="1" xfId="0" applyFill="1" applyBorder="1"/>
    <xf numFmtId="0" fontId="16" fillId="15" borderId="16" xfId="2" applyFont="1" applyFill="1"/>
    <xf numFmtId="0" fontId="15" fillId="15" borderId="0" xfId="0" applyFont="1" applyFill="1"/>
    <xf numFmtId="0" fontId="18" fillId="15" borderId="16" xfId="2" applyFont="1" applyFill="1"/>
    <xf numFmtId="0" fontId="18" fillId="15" borderId="17" xfId="3" applyFont="1" applyFill="1"/>
    <xf numFmtId="0" fontId="20" fillId="11" borderId="1" xfId="0" applyFont="1" applyFill="1" applyBorder="1" applyAlignment="1">
      <alignment horizontal="left" vertical="center" wrapText="1"/>
    </xf>
    <xf numFmtId="0" fontId="21" fillId="11" borderId="1" xfId="0" applyFont="1" applyFill="1" applyBorder="1" applyAlignment="1">
      <alignment horizontal="left" vertical="center" wrapText="1"/>
    </xf>
    <xf numFmtId="0" fontId="21" fillId="11" borderId="4" xfId="0" applyFont="1" applyFill="1" applyBorder="1" applyAlignment="1">
      <alignment horizontal="left" vertical="center" wrapText="1"/>
    </xf>
    <xf numFmtId="0" fontId="13" fillId="11" borderId="13" xfId="0" applyFont="1" applyFill="1" applyBorder="1" applyAlignment="1">
      <alignment horizontal="left" vertical="center" wrapText="1"/>
    </xf>
    <xf numFmtId="0" fontId="13" fillId="11" borderId="1" xfId="0" applyFont="1" applyFill="1" applyBorder="1" applyAlignment="1">
      <alignment horizontal="left" vertical="center" wrapText="1"/>
    </xf>
    <xf numFmtId="0" fontId="13" fillId="11" borderId="4" xfId="0" applyFont="1" applyFill="1" applyBorder="1" applyAlignment="1">
      <alignment horizontal="left" vertical="center" wrapText="1"/>
    </xf>
    <xf numFmtId="165" fontId="21" fillId="11" borderId="1" xfId="0" applyNumberFormat="1" applyFont="1" applyFill="1" applyBorder="1" applyAlignment="1">
      <alignment horizontal="left" vertical="center" wrapText="1"/>
    </xf>
    <xf numFmtId="4" fontId="10" fillId="18" borderId="0" xfId="0" applyNumberFormat="1" applyFont="1" applyFill="1"/>
    <xf numFmtId="4" fontId="21" fillId="11" borderId="1" xfId="0" applyNumberFormat="1" applyFont="1" applyFill="1" applyBorder="1" applyAlignment="1">
      <alignment horizontal="left" vertical="center" wrapText="1"/>
    </xf>
    <xf numFmtId="4" fontId="10" fillId="0" borderId="0" xfId="0" applyNumberFormat="1" applyFont="1"/>
    <xf numFmtId="4" fontId="10" fillId="18" borderId="3" xfId="0" applyNumberFormat="1" applyFont="1" applyFill="1" applyBorder="1"/>
    <xf numFmtId="4" fontId="21" fillId="11" borderId="4" xfId="0" applyNumberFormat="1" applyFont="1" applyFill="1" applyBorder="1" applyAlignment="1">
      <alignment horizontal="left" vertical="center" wrapText="1"/>
    </xf>
    <xf numFmtId="2" fontId="10" fillId="18" borderId="0" xfId="0" applyNumberFormat="1" applyFont="1" applyFill="1"/>
    <xf numFmtId="2" fontId="21" fillId="11" borderId="1" xfId="0" applyNumberFormat="1" applyFont="1" applyFill="1" applyBorder="1" applyAlignment="1">
      <alignment horizontal="left" vertical="center" wrapText="1"/>
    </xf>
    <xf numFmtId="2" fontId="10" fillId="0" borderId="0" xfId="0" applyNumberFormat="1" applyFont="1"/>
    <xf numFmtId="0" fontId="21" fillId="11" borderId="15" xfId="0" applyFont="1" applyFill="1" applyBorder="1" applyAlignment="1">
      <alignment horizontal="left" vertical="center" wrapText="1"/>
    </xf>
    <xf numFmtId="0" fontId="21" fillId="11" borderId="1" xfId="0" applyFont="1" applyFill="1" applyBorder="1" applyAlignment="1">
      <alignment horizontal="left" vertical="center"/>
    </xf>
    <xf numFmtId="0" fontId="20" fillId="11" borderId="1" xfId="0" applyFont="1" applyFill="1" applyBorder="1" applyAlignment="1">
      <alignment horizontal="left" vertical="center"/>
    </xf>
    <xf numFmtId="0" fontId="20" fillId="11" borderId="15" xfId="0" applyFont="1" applyFill="1" applyBorder="1" applyAlignment="1">
      <alignment horizontal="left" vertical="center" wrapText="1"/>
    </xf>
    <xf numFmtId="165" fontId="21" fillId="11" borderId="4" xfId="0" applyNumberFormat="1" applyFont="1" applyFill="1" applyBorder="1" applyAlignment="1">
      <alignment horizontal="left" vertical="center" wrapText="1"/>
    </xf>
    <xf numFmtId="0" fontId="7" fillId="4" borderId="0" xfId="0" applyFont="1" applyFill="1"/>
    <xf numFmtId="0" fontId="19" fillId="3" borderId="6" xfId="0" applyFont="1" applyFill="1" applyBorder="1" applyAlignment="1" applyProtection="1">
      <alignment horizontal="left"/>
      <protection locked="0"/>
    </xf>
    <xf numFmtId="0" fontId="19" fillId="3" borderId="12" xfId="0" applyFont="1" applyFill="1" applyBorder="1" applyAlignment="1" applyProtection="1">
      <alignment horizontal="left"/>
      <protection locked="0"/>
    </xf>
    <xf numFmtId="0" fontId="19" fillId="2" borderId="6" xfId="0" applyFont="1" applyFill="1" applyBorder="1" applyAlignment="1" applyProtection="1">
      <alignment horizontal="left"/>
      <protection locked="0"/>
    </xf>
    <xf numFmtId="0" fontId="19" fillId="3" borderId="1" xfId="0" applyFont="1" applyFill="1" applyBorder="1" applyAlignment="1" applyProtection="1">
      <alignment horizontal="left"/>
      <protection locked="0"/>
    </xf>
    <xf numFmtId="0" fontId="19" fillId="3" borderId="2" xfId="0" applyFont="1" applyFill="1" applyBorder="1" applyAlignment="1" applyProtection="1">
      <alignment horizontal="left"/>
      <protection locked="0"/>
    </xf>
    <xf numFmtId="0" fontId="19" fillId="2" borderId="1" xfId="0" applyFont="1" applyFill="1" applyBorder="1" applyAlignment="1" applyProtection="1">
      <alignment horizontal="left"/>
      <protection locked="0"/>
    </xf>
    <xf numFmtId="0" fontId="10" fillId="2" borderId="1" xfId="0" applyFont="1" applyFill="1" applyBorder="1" applyProtection="1">
      <protection locked="0"/>
    </xf>
    <xf numFmtId="0" fontId="10" fillId="3" borderId="1" xfId="0" applyFont="1" applyFill="1" applyBorder="1" applyProtection="1">
      <protection locked="0"/>
    </xf>
    <xf numFmtId="164" fontId="10" fillId="3" borderId="1" xfId="0" applyNumberFormat="1" applyFont="1" applyFill="1" applyBorder="1" applyProtection="1">
      <protection locked="0"/>
    </xf>
    <xf numFmtId="164" fontId="10" fillId="3" borderId="4" xfId="0" applyNumberFormat="1" applyFont="1" applyFill="1" applyBorder="1" applyProtection="1">
      <protection locked="0"/>
    </xf>
    <xf numFmtId="164" fontId="10" fillId="3" borderId="13" xfId="0" applyNumberFormat="1" applyFont="1" applyFill="1" applyBorder="1" applyProtection="1">
      <protection locked="0"/>
    </xf>
    <xf numFmtId="0" fontId="10" fillId="2" borderId="14" xfId="0" applyFont="1" applyFill="1" applyBorder="1" applyProtection="1">
      <protection locked="0"/>
    </xf>
    <xf numFmtId="0" fontId="10" fillId="2" borderId="20" xfId="0" applyFont="1" applyFill="1" applyBorder="1" applyProtection="1">
      <protection locked="0"/>
    </xf>
    <xf numFmtId="165" fontId="10" fillId="3" borderId="1" xfId="0" applyNumberFormat="1" applyFont="1" applyFill="1" applyBorder="1" applyAlignment="1" applyProtection="1">
      <alignment horizontal="left"/>
      <protection locked="0"/>
    </xf>
    <xf numFmtId="4" fontId="10" fillId="3" borderId="1" xfId="0" applyNumberFormat="1" applyFont="1" applyFill="1" applyBorder="1" applyProtection="1">
      <protection locked="0"/>
    </xf>
    <xf numFmtId="2" fontId="10" fillId="3" borderId="1" xfId="0" applyNumberFormat="1" applyFont="1" applyFill="1" applyBorder="1" applyProtection="1">
      <protection locked="0"/>
    </xf>
    <xf numFmtId="4" fontId="10" fillId="3" borderId="4" xfId="0" applyNumberFormat="1" applyFont="1" applyFill="1" applyBorder="1" applyProtection="1">
      <protection locked="0"/>
    </xf>
    <xf numFmtId="0" fontId="10" fillId="3" borderId="4" xfId="0" applyFont="1" applyFill="1" applyBorder="1" applyProtection="1">
      <protection locked="0"/>
    </xf>
    <xf numFmtId="0" fontId="10" fillId="3" borderId="15" xfId="0" applyFont="1" applyFill="1" applyBorder="1" applyProtection="1">
      <protection locked="0"/>
    </xf>
    <xf numFmtId="0" fontId="10" fillId="3" borderId="19" xfId="0" applyFont="1" applyFill="1" applyBorder="1" applyProtection="1">
      <protection locked="0"/>
    </xf>
    <xf numFmtId="0" fontId="10" fillId="2" borderId="15" xfId="0" applyFont="1" applyFill="1" applyBorder="1" applyProtection="1">
      <protection locked="0"/>
    </xf>
    <xf numFmtId="165" fontId="10" fillId="3" borderId="4" xfId="0" applyNumberFormat="1" applyFont="1" applyFill="1" applyBorder="1" applyAlignment="1" applyProtection="1">
      <alignment horizontal="left"/>
      <protection locked="0"/>
    </xf>
    <xf numFmtId="0" fontId="7" fillId="4" borderId="0" xfId="0" applyFont="1" applyFill="1" applyAlignment="1">
      <alignment wrapText="1"/>
    </xf>
    <xf numFmtId="0" fontId="15" fillId="4" borderId="18" xfId="0" applyFont="1" applyFill="1" applyBorder="1" applyAlignment="1">
      <alignment horizontal="left" wrapText="1"/>
    </xf>
    <xf numFmtId="0" fontId="15" fillId="15" borderId="18" xfId="0" applyFont="1" applyFill="1" applyBorder="1" applyAlignment="1">
      <alignment horizontal="left" vertical="top" wrapText="1"/>
    </xf>
    <xf numFmtId="0" fontId="15" fillId="15" borderId="0" xfId="0" applyFont="1" applyFill="1" applyAlignment="1">
      <alignment horizontal="left" wrapText="1"/>
    </xf>
    <xf numFmtId="0" fontId="15" fillId="4" borderId="0" xfId="0" applyFont="1" applyFill="1" applyAlignment="1">
      <alignment horizontal="left" wrapText="1"/>
    </xf>
    <xf numFmtId="0" fontId="15" fillId="15" borderId="0" xfId="0" applyFont="1" applyFill="1" applyAlignment="1">
      <alignment horizontal="left" vertical="center" wrapText="1"/>
    </xf>
    <xf numFmtId="0" fontId="15" fillId="15" borderId="0" xfId="0" applyFont="1" applyFill="1" applyBorder="1" applyAlignment="1">
      <alignment horizontal="left" wrapText="1"/>
    </xf>
    <xf numFmtId="0" fontId="15" fillId="15" borderId="18" xfId="0" applyFont="1" applyFill="1" applyBorder="1" applyAlignment="1">
      <alignment horizontal="left" wrapText="1"/>
    </xf>
    <xf numFmtId="0" fontId="15" fillId="15" borderId="0" xfId="0" applyFont="1" applyFill="1" applyAlignment="1">
      <alignment vertical="top" wrapText="1"/>
    </xf>
    <xf numFmtId="0" fontId="15" fillId="15" borderId="0" xfId="0" applyFont="1" applyFill="1" applyAlignment="1">
      <alignment vertical="top" wrapText="1"/>
    </xf>
  </cellXfs>
  <cellStyles count="5">
    <cellStyle name="Heading 1" xfId="2" builtinId="16"/>
    <cellStyle name="Heading 2" xfId="3" builtinId="17"/>
    <cellStyle name="Heading 4" xfId="4" builtinId="19"/>
    <cellStyle name="Normal" xfId="0" builtinId="0"/>
    <cellStyle name="Title" xfId="1" builtinId="15"/>
  </cellStyles>
  <dxfs count="171">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rgb="FFC00000"/>
        </patternFill>
      </fill>
    </dxf>
    <dxf>
      <fill>
        <patternFill>
          <bgColor theme="0" tint="-0.34998626667073579"/>
        </patternFill>
      </fill>
    </dxf>
    <dxf>
      <fill>
        <patternFill>
          <bgColor rgb="FFC00000"/>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rgb="FFC00000"/>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rgb="FFC00000"/>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rgb="FFC00000"/>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rgb="FFC00000"/>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rgb="FFC00000"/>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rgb="FFFFC000"/>
        </patternFill>
      </fill>
    </dxf>
    <dxf>
      <fill>
        <patternFill>
          <bgColor theme="0" tint="-0.34998626667073579"/>
        </patternFill>
      </fill>
    </dxf>
    <dxf>
      <fill>
        <patternFill>
          <bgColor rgb="FFC00000"/>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rgb="FFC00000"/>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rgb="FFC00000"/>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rgb="FFC00000"/>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rgb="FFFFC000"/>
        </patternFill>
      </fill>
    </dxf>
    <dxf>
      <fill>
        <patternFill>
          <bgColor theme="0" tint="-0.34998626667073579"/>
        </patternFill>
      </fill>
    </dxf>
    <dxf>
      <fill>
        <patternFill>
          <bgColor rgb="FFC00000"/>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rgb="FFC00000"/>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rgb="FFFFC000"/>
        </patternFill>
      </fill>
    </dxf>
    <dxf>
      <fill>
        <patternFill>
          <bgColor theme="0" tint="-0.34998626667073579"/>
        </patternFill>
      </fill>
    </dxf>
    <dxf>
      <fill>
        <patternFill>
          <bgColor rgb="FFC00000"/>
        </patternFill>
      </fill>
    </dxf>
    <dxf>
      <fill>
        <patternFill>
          <bgColor rgb="FFFFC000"/>
        </patternFill>
      </fill>
    </dxf>
    <dxf>
      <fill>
        <patternFill>
          <bgColor rgb="FFFFC000"/>
        </patternFill>
      </fill>
    </dxf>
    <dxf>
      <fill>
        <patternFill>
          <bgColor theme="0" tint="-0.34998626667073579"/>
        </patternFill>
      </fill>
    </dxf>
    <dxf>
      <fill>
        <patternFill>
          <bgColor rgb="FFFF0000"/>
        </patternFill>
      </fill>
    </dxf>
  </dxfs>
  <tableStyles count="0" defaultTableStyle="TableStyleMedium2" defaultPivotStyle="PivotStyleLight16"/>
  <colors>
    <mruColors>
      <color rgb="FFBCBD22"/>
      <color rgb="FF17BECF"/>
      <color rgb="FF7F7F7F"/>
      <color rgb="FFE377C2"/>
      <color rgb="FF8C564B"/>
      <color rgb="FF9467BD"/>
      <color rgb="FF2CA02C"/>
      <color rgb="FFFF7F0E"/>
      <color rgb="FFD62728"/>
      <color rgb="FF1F77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0</xdr:colOff>
      <xdr:row>2</xdr:row>
      <xdr:rowOff>0</xdr:rowOff>
    </xdr:to>
    <xdr:pic>
      <xdr:nvPicPr>
        <xdr:cNvPr id="2" name="Picture 1">
          <a:extLst>
            <a:ext uri="{FF2B5EF4-FFF2-40B4-BE49-F238E27FC236}">
              <a16:creationId xmlns:a16="http://schemas.microsoft.com/office/drawing/2014/main" id="{46EE2C26-CFD3-4B93-984E-AE1D72B74C74}"/>
            </a:ext>
          </a:extLst>
        </xdr:cNvPr>
        <xdr:cNvPicPr>
          <a:picLocks noChangeAspect="1"/>
        </xdr:cNvPicPr>
      </xdr:nvPicPr>
      <xdr:blipFill>
        <a:blip xmlns:r="http://schemas.openxmlformats.org/officeDocument/2006/relationships" r:embed="rId1" cstate="print"/>
        <a:stretch>
          <a:fillRect/>
        </a:stretch>
      </xdr:blipFill>
      <xdr:spPr>
        <a:xfrm>
          <a:off x="381000" y="314325"/>
          <a:ext cx="914400" cy="914400"/>
        </a:xfrm>
        <a:prstGeom prst="rect">
          <a:avLst/>
        </a:prstGeom>
      </xdr:spPr>
    </xdr:pic>
    <xdr:clientData/>
  </xdr:twoCellAnchor>
</xdr:wsDr>
</file>

<file path=xl/tables/table1.xml><?xml version="1.0" encoding="utf-8"?>
<table xmlns="http://schemas.openxmlformats.org/spreadsheetml/2006/main" id="1" name="VERIFI_Facilities" displayName="VERIFI_Facilities" ref="A2:K202" totalsRowShown="0" headerRowCount="1">
  <autoFilter ref="A2:K202"/>
  <tableColumns count="11">
    <tableColumn id="1" name="Facility Name"/>
    <tableColumn id="2" name="Address"/>
    <tableColumn id="3" name="Country"/>
    <tableColumn id="4" name="U.S. State"/>
    <tableColumn id="5" name="City"/>
    <tableColumn id="6" name="ZIP Code"/>
    <tableColumn id="7" name="NAICS Code (2-digit)"/>
    <tableColumn id="8" name="NAICS Code (3-digit)"/>
    <tableColumn id="9" name="Contact Name"/>
    <tableColumn id="10" name="Contact Phone"/>
    <tableColumn id="11" name="Contact Email"/>
  </tableColumns>
  <tableStyleInfo name="TableStyleMedium2" showFirstColumn="0" showLastColumn="0" showRowStripes="1" showColumnStripes="0"/>
</table>
</file>

<file path=xl/tables/table2.xml><?xml version="1.0" encoding="utf-8"?>
<table xmlns="http://schemas.openxmlformats.org/spreadsheetml/2006/main" id="2" name="VERIFI_Electricity_Meters" displayName="VERIFI_Electricity_Meters" ref="A2:AR202" totalsRowShown="0" headerRowCount="1">
  <autoFilter ref="A2:AR202"/>
  <tableColumns count="44">
    <tableColumn id="1" name="Facility Name"/>
    <tableColumn id="2" name="Meter Number (UNIQUE)"/>
    <tableColumn id="3" name="Meter Name (DISPLAY)"/>
    <tableColumn id="4" name="Meter Group (ANALYSIS)"/>
    <tableColumn id="5" name="Calendarize Readings?"/>
    <tableColumn id="6" name="Unit (USAGE)"/>
    <tableColumn id="7" name="Unit (DEMAND)"/>
    <tableColumn id="8" name="S2S Factor"/>
    <tableColumn id="9" name="Agreement Type"/>
    <tableColumn id="10" name="Retain RECs?"/>
    <tableColumn id="11" name="Account #"/>
    <tableColumn id="12" name="Supplier"/>
    <tableColumn id="13" name="Location"/>
    <tableColumn id="14" name="Notes"/>
    <tableColumn id="15" name="Charge 1 Name"/>
    <tableColumn id="16" name="Charge 1 Type"/>
    <tableColumn id="17" name="Charge 2 Name"/>
    <tableColumn id="18" name="Charge 2 Type"/>
    <tableColumn id="19" name="Charge 3 Name"/>
    <tableColumn id="20" name="Charge 3 Type"/>
    <tableColumn id="21" name="Charge 4 Name"/>
    <tableColumn id="22" name="Charge 4 Type"/>
    <tableColumn id="23" name="Charge 5 Name"/>
    <tableColumn id="24" name="Charge 5 Type"/>
    <tableColumn id="25" name="Charge 6 Name"/>
    <tableColumn id="26" name="Charge 6 Type"/>
    <tableColumn id="27" name="Charge 7 Name"/>
    <tableColumn id="28" name="Charge 7 Type"/>
    <tableColumn id="29" name="Charge 8 Name"/>
    <tableColumn id="30" name="Charge 8 Type"/>
    <tableColumn id="31" name="Charge 9 Name"/>
    <tableColumn id="32" name="Charge 9 Type"/>
    <tableColumn id="33" name="Charge 10 Name"/>
    <tableColumn id="34" name="Charge 10 Type"/>
    <tableColumn id="35" name="Charge 11 Name"/>
    <tableColumn id="36" name="Charge 11 Type"/>
    <tableColumn id="37" name="Charge 12 Name"/>
    <tableColumn id="38" name="Charge 12 Type"/>
    <tableColumn id="39" name="Charge 13 Name"/>
    <tableColumn id="40" name="Charge 13 Type"/>
    <tableColumn id="41" name="Charge 14 Name"/>
    <tableColumn id="42" name="Charge 14 Type"/>
    <tableColumn id="43" name="Charge 15 Name"/>
    <tableColumn id="44" name="Charge 15 Type"/>
  </tableColumns>
  <tableStyleInfo name="TableStyleMedium2" showFirstColumn="0" showLastColumn="0" showRowStripes="1" showColumnStripes="0"/>
</table>
</file>

<file path=xl/tables/table3.xml><?xml version="1.0" encoding="utf-8"?>
<table xmlns="http://schemas.openxmlformats.org/spreadsheetml/2006/main" id="3" name="VERIFI_Electricity_Data" displayName="VERIFI_Electricity_Data" ref="A2:F502" totalsRowShown="0" headerRowCount="1">
  <autoFilter ref="A2:F502"/>
  <tableColumns count="6">
    <tableColumn id="1" name="Meter Number"/>
    <tableColumn id="2" name="Read Date"/>
    <tableColumn id="3" name="Total Usage"/>
    <tableColumn id="4" name="Actual Demand"/>
    <tableColumn id="5" name="Power Factor"/>
    <tableColumn id="6" name="Total Cost ($)"/>
  </tableColumns>
  <tableStyleInfo name="TableStyleMedium2" showFirstColumn="0" showLastColumn="0" showRowStripes="1" showColumnStripes="0"/>
</table>
</file>

<file path=xl/tables/table4.xml><?xml version="1.0" encoding="utf-8"?>
<table xmlns="http://schemas.openxmlformats.org/spreadsheetml/2006/main" id="4" name="VERIFI_Stationary_Fuel_Meters" displayName="VERIFI_Stationary_Fuel_Meters" ref="A2:AS202" totalsRowShown="0" headerRowCount="1">
  <autoFilter ref="A2:AS202"/>
  <tableColumns count="45">
    <tableColumn id="1" name="Facility Name"/>
    <tableColumn id="2" name="Meter Number (UNIQUE)"/>
    <tableColumn id="3" name="Meter Name (DISPLAY)"/>
    <tableColumn id="4" name="Meter Group (ANALYSIS)"/>
    <tableColumn id="5" name="Calendarize Readings?"/>
    <tableColumn id="6" name="Phase"/>
    <tableColumn id="7" name="Fuel"/>
    <tableColumn id="8" name="Unit (COLLECTION)"/>
    <tableColumn id="9" name="S2S Factor"/>
    <tableColumn id="10" name="Energy Factor (HHV)"/>
    <tableColumn id="11" name="Unit (ENERGY)"/>
    <tableColumn id="12" name="Account #"/>
    <tableColumn id="13" name="Supplier"/>
    <tableColumn id="14" name="Location"/>
    <tableColumn id="15" name="Notes"/>
    <tableColumn id="16" name="Charge 1 Name"/>
    <tableColumn id="17" name="Charge 1 Type"/>
    <tableColumn id="18" name="Charge 2 Name"/>
    <tableColumn id="19" name="Charge 2 Type"/>
    <tableColumn id="20" name="Charge 3 Name"/>
    <tableColumn id="21" name="Charge 3 Type"/>
    <tableColumn id="22" name="Charge 4 Name"/>
    <tableColumn id="23" name="Charge 4 Type"/>
    <tableColumn id="24" name="Charge 5 Name"/>
    <tableColumn id="25" name="Charge 5 Type"/>
    <tableColumn id="26" name="Charge 6 Name"/>
    <tableColumn id="27" name="Charge 6 Type"/>
    <tableColumn id="28" name="Charge 7 Name"/>
    <tableColumn id="29" name="Charge 7 Type"/>
    <tableColumn id="30" name="Charge 8 Name"/>
    <tableColumn id="31" name="Charge 8 Type"/>
    <tableColumn id="32" name="Charge 9 Name"/>
    <tableColumn id="33" name="Charge 9 Type"/>
    <tableColumn id="34" name="Charge 10 Name"/>
    <tableColumn id="35" name="Charge 10 Type"/>
    <tableColumn id="36" name="Charge 11 Name"/>
    <tableColumn id="37" name="Charge 11 Type"/>
    <tableColumn id="38" name="Charge 12 Name"/>
    <tableColumn id="39" name="Charge 12 Type"/>
    <tableColumn id="40" name="Charge 13 Name"/>
    <tableColumn id="41" name="Charge 13 Type"/>
    <tableColumn id="42" name="Charge 14 Name"/>
    <tableColumn id="43" name="Charge 14 Type"/>
    <tableColumn id="44" name="Charge 15 Name"/>
    <tableColumn id="45" name="Charge 15 Type"/>
  </tableColumns>
  <tableStyleInfo name="TableStyleMedium2" showFirstColumn="0" showLastColumn="0" showRowStripes="1" showColumnStripes="0"/>
</table>
</file>

<file path=xl/tables/table5.xml><?xml version="1.0" encoding="utf-8"?>
<table xmlns="http://schemas.openxmlformats.org/spreadsheetml/2006/main" id="5" name="VERIFI_Stationary_Fuel_Data" displayName="VERIFI_Stationary_Fuel_Data" ref="A2:E502" totalsRowShown="0" headerRowCount="1">
  <autoFilter ref="A2:E502"/>
  <tableColumns count="5">
    <tableColumn id="1" name="Meter Number"/>
    <tableColumn id="2" name="Read Date"/>
    <tableColumn id="3" name="Total Usage"/>
    <tableColumn id="4" name="Total Cost ($)"/>
    <tableColumn id="5" name="Higher Heating Value"/>
  </tableColumns>
  <tableStyleInfo name="TableStyleMedium2" showFirstColumn="0" showLastColumn="0" showRowStripes="1" showColumnStripes="0"/>
</table>
</file>

<file path=xl/tables/table6.xml><?xml version="1.0" encoding="utf-8"?>
<table xmlns="http://schemas.openxmlformats.org/spreadsheetml/2006/main" id="6" name="VERIFI_Mobile_Fuel_Meters" displayName="VERIFI_Mobile_Fuel_Meters" ref="A2:AA202" totalsRowShown="0" headerRowCount="1">
  <autoFilter ref="A2:AA202"/>
  <tableColumns count="27">
    <tableColumn id="1" name="Facility Name"/>
    <tableColumn id="2" name="Meter Number (UNIQUE)"/>
    <tableColumn id="3" name="Meter Name (DISPLAY)"/>
    <tableColumn id="4" name="Meter Group (ANALYSIS)"/>
    <tableColumn id="5" name="Calendarize Readings?"/>
    <tableColumn id="6" name="Vehicle Type"/>
    <tableColumn id="7" name="Fuel Type"/>
    <tableColumn id="8" name="Unit (USAGE)"/>
    <tableColumn id="9" name="Unit (DISTANCE)"/>
    <tableColumn id="10" name="Average Fuel Efficiency"/>
    <tableColumn id="11" name="Estimation Method"/>
    <tableColumn id="12" name="S2S Factor"/>
    <tableColumn id="13" name="Include with Energy?"/>
    <tableColumn id="14" name="Account #"/>
    <tableColumn id="15" name="Supplier"/>
    <tableColumn id="16" name="Location"/>
    <tableColumn id="17" name="Notes"/>
    <tableColumn id="18" name="Charge 1 Name"/>
    <tableColumn id="19" name="Charge 1 Type"/>
    <tableColumn id="20" name="Charge 2 Name"/>
    <tableColumn id="21" name="Charge 2 Type"/>
    <tableColumn id="22" name="Charge 3 Name"/>
    <tableColumn id="23" name="Charge 3 Type"/>
    <tableColumn id="24" name="Charge 4 Name"/>
    <tableColumn id="25" name="Charge 4 Type"/>
    <tableColumn id="26" name="Charge 5 Name"/>
    <tableColumn id="27" name="Charge 5 Type"/>
  </tableColumns>
  <tableStyleInfo name="TableStyleMedium2" showFirstColumn="0" showLastColumn="0" showRowStripes="1" showColumnStripes="0"/>
</table>
</file>

<file path=xl/tables/table7.xml><?xml version="1.0" encoding="utf-8"?>
<table xmlns="http://schemas.openxmlformats.org/spreadsheetml/2006/main" id="7" name="VERIFI_Mobile_Fuel_Data" displayName="VERIFI_Mobile_Fuel_Data" ref="A2:D502" totalsRowShown="0" headerRowCount="1">
  <autoFilter ref="A2:D502"/>
  <tableColumns count="4">
    <tableColumn id="1" name="Meter Number"/>
    <tableColumn id="2" name="Read Date"/>
    <tableColumn id="3" name="Total Usage or Distance"/>
    <tableColumn id="4" name="Fuel Efficiency"/>
  </tableColumns>
  <tableStyleInfo name="TableStyleMedium2" showFirstColumn="0" showLastColumn="0" showRowStripes="1" showColumnStripes="0"/>
</table>
</file>

<file path=xl/tables/table8.xml><?xml version="1.0" encoding="utf-8"?>
<table xmlns="http://schemas.openxmlformats.org/spreadsheetml/2006/main" id="8" name="VERIFI_Other_Energy_Meters" displayName="VERIFI_Other_Energy_Meters" ref="A2:X202" totalsRowShown="0" headerRowCount="1">
  <autoFilter ref="A2:X202"/>
  <tableColumns count="24">
    <tableColumn id="1" name="Facility Name"/>
    <tableColumn id="2" name="Meter Number (UNIQUE)"/>
    <tableColumn id="3" name="Meter Name (DISPLAY)"/>
    <tableColumn id="4" name="Meter Group (ANALYSIS)"/>
    <tableColumn id="5" name="Calendarize Readings?"/>
    <tableColumn id="6" name="Type"/>
    <tableColumn id="7" name="Unit (COLLECTION)"/>
    <tableColumn id="8" name="S2S Factor"/>
    <tableColumn id="9" name="Energy Factor"/>
    <tableColumn id="10" name="Unit (ENERGY)"/>
    <tableColumn id="11" name="Account #"/>
    <tableColumn id="12" name="Supplier"/>
    <tableColumn id="13" name="Location"/>
    <tableColumn id="14" name="Notes"/>
    <tableColumn id="15" name="Charge 1 Name"/>
    <tableColumn id="16" name="Charge 1 Type"/>
    <tableColumn id="17" name="Charge 2 Name"/>
    <tableColumn id="18" name="Charge 2 Type"/>
    <tableColumn id="19" name="Charge 3 Name"/>
    <tableColumn id="20" name="Charge 3 Type"/>
    <tableColumn id="21" name="Charge 4 Name"/>
    <tableColumn id="22" name="Charge 4 Type"/>
    <tableColumn id="23" name="Charge 5 Name"/>
    <tableColumn id="24" name="Charge 5 Type"/>
  </tableColumns>
  <tableStyleInfo name="TableStyleMedium2" showFirstColumn="0" showLastColumn="0" showRowStripes="1" showColumnStripes="0"/>
</table>
</file>

<file path=xl/tables/table9.xml><?xml version="1.0" encoding="utf-8"?>
<table xmlns="http://schemas.openxmlformats.org/spreadsheetml/2006/main" id="9" name="VERIFI_Other_Energy_Data" displayName="VERIFI_Other_Energy_Data" ref="A2:E502" totalsRowShown="0" headerRowCount="1">
  <autoFilter ref="A2:E502"/>
  <tableColumns count="5">
    <tableColumn id="1" name="Meter Number"/>
    <tableColumn id="2" name="Read Date"/>
    <tableColumn id="3" name="Total Usage"/>
    <tableColumn id="4" name="Energy Factor"/>
    <tableColumn id="5" name="Total Cost ($)"/>
  </tableColumns>
  <tableStyleInfo name="TableStyleMedium2" showFirstColumn="0" showLastColumn="0" showRowStripes="1" showColumnStripes="0"/>
</table>
</file>

<file path=xl/tables/table10.xml><?xml version="1.0" encoding="utf-8"?>
<table xmlns="http://schemas.openxmlformats.org/spreadsheetml/2006/main" id="10" name="VERIFI_Other_Emission_Meters" displayName="VERIFI_Other_Emission_Meters" ref="A2:T202" totalsRowShown="0" headerRowCount="1">
  <autoFilter ref="A2:T202"/>
  <tableColumns count="20">
    <tableColumn id="1" name="Facility Name"/>
    <tableColumn id="2" name="Meter Number (UNIQUE)"/>
    <tableColumn id="3" name="Meter Name (DISPLAY)"/>
    <tableColumn id="4" name="Meter Group (ANALYSIS)"/>
    <tableColumn id="5" name="Calendarize Readings?"/>
    <tableColumn id="6" name="Type"/>
    <tableColumn id="7" name="Greenhouse Gas"/>
    <tableColumn id="8" name="Unit (COLLECTION)"/>
    <tableColumn id="9" name="Location"/>
    <tableColumn id="10" name="Notes"/>
    <tableColumn id="11" name="Charge 1 Name"/>
    <tableColumn id="12" name="Charge 1 Type"/>
    <tableColumn id="13" name="Charge 2 Name"/>
    <tableColumn id="14" name="Charge 2 Type"/>
    <tableColumn id="15" name="Charge 3 Name"/>
    <tableColumn id="16" name="Charge 3 Type"/>
    <tableColumn id="17" name="Charge 4 Name"/>
    <tableColumn id="18" name="Charge 4 Type"/>
    <tableColumn id="19" name="Charge 5 Name"/>
    <tableColumn id="20" name="Charge 5 Type"/>
  </tableColumns>
  <tableStyleInfo name="TableStyleMedium2" showFirstColumn="0" showLastColumn="0" showRowStripes="1" showColumnStripes="0"/>
</table>
</file>

<file path=xl/tables/table11.xml><?xml version="1.0" encoding="utf-8"?>
<table xmlns="http://schemas.openxmlformats.org/spreadsheetml/2006/main" id="11" name="VERIFI_Other_Emissions_Data" displayName="VERIFI_Other_Emissions_Data" ref="A2:D502" totalsRowShown="0" headerRowCount="1">
  <autoFilter ref="A2:D502"/>
  <tableColumns count="4">
    <tableColumn id="1" name="Meter Number"/>
    <tableColumn id="2" name="Read Date"/>
    <tableColumn id="3" name="Total Usage or Emission"/>
    <tableColumn id="4" name="Total Cost ($)"/>
  </tableColumns>
  <tableStyleInfo name="TableStyleMedium2" showFirstColumn="0" showLastColumn="0" showRowStripes="1" showColumnStripes="0"/>
</table>
</file>

<file path=xl/tables/table12.xml><?xml version="1.0" encoding="utf-8"?>
<table xmlns="http://schemas.openxmlformats.org/spreadsheetml/2006/main" id="12" name="VERIFI_Water_Meters" displayName="VERIFI_Water_Meters" ref="A2:AF202" totalsRowShown="0" headerRowCount="1">
  <autoFilter ref="A2:AF202"/>
  <tableColumns count="32">
    <tableColumn id="1" name="Facility Name"/>
    <tableColumn id="2" name="Meter Number (UNIQUE)"/>
    <tableColumn id="3" name="Meter Name (DISPLAY)"/>
    <tableColumn id="4" name="Meter Group (ANALYSIS)"/>
    <tableColumn id="5" name="Calendarize Readings?"/>
    <tableColumn id="6" name="Flow Type"/>
    <tableColumn id="7" name="Meter Type"/>
    <tableColumn id="8" name="Unit (USAGE)"/>
    <tableColumn id="9" name="Account #"/>
    <tableColumn id="10" name="Supplier"/>
    <tableColumn id="11" name="Location"/>
    <tableColumn id="12" name="Notes"/>
    <tableColumn id="13" name="Charge 1 Name"/>
    <tableColumn id="14" name="Charge 1 Type"/>
    <tableColumn id="15" name="Charge 2 Name"/>
    <tableColumn id="16" name="Charge 2 Type"/>
    <tableColumn id="17" name="Charge 3 Name"/>
    <tableColumn id="18" name="Charge 3 Type"/>
    <tableColumn id="19" name="Charge 4 Name"/>
    <tableColumn id="20" name="Charge 4 Type"/>
    <tableColumn id="21" name="Charge 5 Name"/>
    <tableColumn id="22" name="Charge 5 Type"/>
    <tableColumn id="23" name="Charge 6 Name"/>
    <tableColumn id="24" name="Charge 6 Type"/>
    <tableColumn id="25" name="Charge 7 Name"/>
    <tableColumn id="26" name="Charge 7 Type"/>
    <tableColumn id="27" name="Charge 8 Name"/>
    <tableColumn id="28" name="Charge 8 Type"/>
    <tableColumn id="29" name="Charge 9 Name"/>
    <tableColumn id="30" name="Charge 9 Type"/>
    <tableColumn id="31" name="Charge 10 Name"/>
    <tableColumn id="32" name="Charge 10 Type"/>
  </tableColumns>
  <tableStyleInfo name="TableStyleMedium2" showFirstColumn="0" showLastColumn="0" showRowStripes="1" showColumnStripes="0"/>
</table>
</file>

<file path=xl/tables/table13.xml><?xml version="1.0" encoding="utf-8"?>
<table xmlns="http://schemas.openxmlformats.org/spreadsheetml/2006/main" id="13" name="VERIFI_Water_Data" displayName="VERIFI_Water_Data" ref="A2:D502" totalsRowShown="0" headerRowCount="1">
  <autoFilter ref="A2:D502"/>
  <tableColumns count="4">
    <tableColumn id="1" name="Meter Number"/>
    <tableColumn id="2" name="Read Date"/>
    <tableColumn id="3" name="Total Usage"/>
    <tableColumn id="4" name="Total Cost ($)"/>
  </tableColumns>
  <tableStyleInfo name="TableStyleMedium2" showFirstColumn="0" showLastColumn="0" showRowStripes="1" showColumnStripes="0"/>
</table>
</file>

<file path=xl/tables/table14.xml><?xml version="1.0" encoding="utf-8"?>
<table xmlns="http://schemas.openxmlformats.org/spreadsheetml/2006/main" id="14" name="VERIFI_Predictor_Setup" displayName="VERIFI_Predictor_Setup" ref="A2:F202" totalsRowShown="0" headerRowCount="1">
  <autoFilter ref="A2:F202"/>
  <tableColumns count="6">
    <tableColumn id="1" name="Facility Name"/>
    <tableColumn id="2" name="Predictor Name"/>
    <tableColumn id="3" name="Calendarize Readings?"/>
    <tableColumn id="4" name="Is Production?"/>
    <tableColumn id="5" name="Units"/>
    <tableColumn id="6" name="Notes"/>
  </tableColumns>
  <tableStyleInfo name="TableStyleMedium2" showFirstColumn="0" showLastColumn="0" showRowStripes="1" showColumnStripes="0"/>
</table>
</file>

<file path=xl/tables/table15.xml><?xml version="1.0" encoding="utf-8"?>
<table xmlns="http://schemas.openxmlformats.org/spreadsheetml/2006/main" id="15" name="VERIFI_Predictor_Data" displayName="VERIFI_Predictor_Data" ref="A2:B502" totalsRowShown="0" headerRowCount="1">
  <autoFilter ref="A2:B502"/>
  <tableColumns count="2">
    <tableColumn id="1" name="Facility Name"/>
    <tableColumn id="2" name="Da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 Id="rId2"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 Id="rId2"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 Id="rId2"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E3306-0991-43AD-9EF4-57BA50FD45FF}">
  <sheetPr codeName="Sheet1">
    <tabColor rgb="FF1F77B4"/>
    <pageSetUpPr fitToPage="1"/>
  </sheetPr>
  <dimension ref="A1:E46"/>
  <sheetViews>
    <sheetView tabSelected="1" zoomScaleNormal="100" workbookViewId="0">
      <selection activeCell="D2" sqref="D2"/>
    </sheetView>
  </sheetViews>
  <sheetFormatPr defaultColWidth="0" defaultRowHeight="17.5" zeroHeight="1" x14ac:dyDescent="0.35"/>
  <cols>
    <col min="1" max="1" width="2.7265625" style="30" customWidth="1"/>
    <col min="2" max="2" width="13.7265625" style="30" customWidth="1"/>
    <col min="3" max="3" width="2.7265625" style="30" customWidth="1"/>
    <col min="4" max="4" width="85.08984375" style="30" customWidth="1"/>
    <col min="5" max="5" width="2.7265625" style="30" customWidth="1"/>
    <col min="6" max="16384" width="9.1796875" style="30" hidden="1"/>
  </cols>
  <sheetData>
    <row r="1" spans="1:5" ht="15" customHeight="1" x14ac:dyDescent="0.35"/>
    <row r="2" spans="1:5" ht="72" customHeight="1" x14ac:dyDescent="0.35">
      <c r="D2" s="31" t="s">
        <v>842</v>
      </c>
    </row>
    <row r="3" spans="1:5" ht="15" customHeight="1" x14ac:dyDescent="0.4">
      <c r="D3" s="32"/>
      <c r="E3" s="33"/>
    </row>
    <row r="4" spans="1:5" ht="45" customHeight="1" x14ac:dyDescent="0.35">
      <c r="B4" s="145" t="s">
        <v>834</v>
      </c>
      <c r="C4" s="145"/>
      <c r="D4" s="145"/>
      <c r="E4" s="35"/>
    </row>
    <row r="5" spans="1:5" ht="15" customHeight="1" x14ac:dyDescent="0.35">
      <c r="B5" s="34"/>
      <c r="C5" s="34"/>
      <c r="D5" s="34"/>
      <c r="E5" s="35"/>
    </row>
    <row r="6" spans="1:5" ht="20.149999999999999" customHeight="1" thickBot="1" x14ac:dyDescent="0.45">
      <c r="B6" s="36" t="s">
        <v>837</v>
      </c>
      <c r="C6" s="36"/>
      <c r="D6" s="36"/>
    </row>
    <row r="7" spans="1:5" ht="15" customHeight="1" thickTop="1" x14ac:dyDescent="0.35">
      <c r="B7" s="119"/>
      <c r="C7" s="119"/>
      <c r="D7" s="119"/>
      <c r="E7" s="35"/>
    </row>
    <row r="8" spans="1:5" ht="60" customHeight="1" x14ac:dyDescent="0.35">
      <c r="B8" s="146" t="s">
        <v>838</v>
      </c>
      <c r="C8" s="146"/>
      <c r="D8" s="146"/>
      <c r="E8" s="35"/>
    </row>
    <row r="9" spans="1:5" ht="15" customHeight="1" x14ac:dyDescent="0.35">
      <c r="B9" s="142"/>
      <c r="C9" s="119"/>
      <c r="D9" s="119"/>
    </row>
    <row r="10" spans="1:5" ht="20.149999999999999" customHeight="1" thickBot="1" x14ac:dyDescent="0.45">
      <c r="B10" s="36" t="s">
        <v>727</v>
      </c>
      <c r="C10" s="36"/>
      <c r="D10" s="36"/>
    </row>
    <row r="11" spans="1:5" ht="15" customHeight="1" thickTop="1" x14ac:dyDescent="0.35"/>
    <row r="12" spans="1:5" ht="30" customHeight="1" x14ac:dyDescent="0.35">
      <c r="B12" s="145" t="s">
        <v>728</v>
      </c>
      <c r="C12" s="145"/>
      <c r="D12" s="145"/>
    </row>
    <row r="13" spans="1:5" ht="15" customHeight="1" x14ac:dyDescent="0.35">
      <c r="B13" s="90"/>
      <c r="C13" s="90"/>
      <c r="D13" s="90"/>
    </row>
    <row r="14" spans="1:5" ht="30" customHeight="1" x14ac:dyDescent="0.35">
      <c r="A14" s="37"/>
      <c r="B14" s="145" t="s">
        <v>729</v>
      </c>
      <c r="C14" s="145"/>
      <c r="D14" s="145"/>
    </row>
    <row r="15" spans="1:5" ht="30" customHeight="1" x14ac:dyDescent="0.35">
      <c r="A15" s="37"/>
      <c r="B15" s="145" t="s">
        <v>730</v>
      </c>
      <c r="C15" s="145"/>
      <c r="D15" s="145"/>
    </row>
    <row r="16" spans="1:5" x14ac:dyDescent="0.35">
      <c r="B16" s="96"/>
      <c r="C16" s="96"/>
      <c r="D16" s="96"/>
    </row>
    <row r="17" spans="2:4" ht="60" customHeight="1" x14ac:dyDescent="0.35">
      <c r="B17" s="147" t="s">
        <v>836</v>
      </c>
      <c r="C17" s="147"/>
      <c r="D17" s="147"/>
    </row>
    <row r="18" spans="2:4" ht="15" customHeight="1" x14ac:dyDescent="0.35"/>
    <row r="19" spans="2:4" ht="20.149999999999999" customHeight="1" thickBot="1" x14ac:dyDescent="0.45">
      <c r="B19" s="97" t="s">
        <v>733</v>
      </c>
      <c r="C19" s="95"/>
      <c r="D19" s="95"/>
    </row>
    <row r="20" spans="2:4" ht="15" customHeight="1" thickTop="1" x14ac:dyDescent="0.35"/>
    <row r="21" spans="2:4" ht="15" customHeight="1" x14ac:dyDescent="0.35">
      <c r="B21" s="91"/>
      <c r="D21" s="96" t="s">
        <v>735</v>
      </c>
    </row>
    <row r="22" spans="2:4" ht="15" customHeight="1" x14ac:dyDescent="0.35">
      <c r="B22" s="1"/>
      <c r="D22" s="96" t="s">
        <v>734</v>
      </c>
    </row>
    <row r="23" spans="2:4" ht="15" customHeight="1" x14ac:dyDescent="0.35">
      <c r="B23" s="2"/>
      <c r="D23" s="96" t="s">
        <v>736</v>
      </c>
    </row>
    <row r="24" spans="2:4" ht="15" customHeight="1" x14ac:dyDescent="0.35">
      <c r="B24" s="92"/>
      <c r="D24" s="96" t="s">
        <v>737</v>
      </c>
    </row>
    <row r="25" spans="2:4" ht="15" customHeight="1" x14ac:dyDescent="0.35">
      <c r="B25" s="93"/>
      <c r="D25" s="96" t="s">
        <v>738</v>
      </c>
    </row>
    <row r="26" spans="2:4" ht="15" customHeight="1" x14ac:dyDescent="0.35">
      <c r="B26" s="94"/>
      <c r="D26" s="96" t="s">
        <v>739</v>
      </c>
    </row>
    <row r="27" spans="2:4" ht="15" customHeight="1" x14ac:dyDescent="0.35"/>
    <row r="28" spans="2:4" ht="20.149999999999999" customHeight="1" thickBot="1" x14ac:dyDescent="0.45">
      <c r="B28" s="98" t="s">
        <v>731</v>
      </c>
      <c r="C28" s="38"/>
      <c r="D28" s="38"/>
    </row>
    <row r="29" spans="2:4" s="96" customFormat="1" ht="30" customHeight="1" thickTop="1" x14ac:dyDescent="0.35">
      <c r="B29" s="143" t="s">
        <v>732</v>
      </c>
      <c r="C29" s="143"/>
      <c r="D29" s="143"/>
    </row>
    <row r="30" spans="2:4" s="96" customFormat="1" ht="15" customHeight="1" x14ac:dyDescent="0.35">
      <c r="B30" s="148"/>
      <c r="C30" s="148"/>
      <c r="D30" s="148"/>
    </row>
    <row r="31" spans="2:4" s="96" customFormat="1" ht="20" customHeight="1" thickBot="1" x14ac:dyDescent="0.45">
      <c r="B31" s="98" t="s">
        <v>840</v>
      </c>
      <c r="C31" s="38"/>
      <c r="D31" s="38"/>
    </row>
    <row r="32" spans="2:4" s="96" customFormat="1" ht="74.5" customHeight="1" thickTop="1" x14ac:dyDescent="0.35">
      <c r="B32" s="149" t="s">
        <v>844</v>
      </c>
      <c r="C32" s="149"/>
      <c r="D32" s="149"/>
    </row>
    <row r="33" spans="2:4" ht="131" customHeight="1" x14ac:dyDescent="0.35">
      <c r="B33" s="150" t="s">
        <v>843</v>
      </c>
      <c r="C33" s="150"/>
      <c r="D33" s="150"/>
    </row>
    <row r="34" spans="2:4" ht="15" customHeight="1" x14ac:dyDescent="0.35">
      <c r="B34" s="151"/>
      <c r="C34" s="151"/>
      <c r="D34" s="151"/>
    </row>
    <row r="35" spans="2:4" ht="20" customHeight="1" thickBot="1" x14ac:dyDescent="0.45">
      <c r="B35" s="98" t="s">
        <v>759</v>
      </c>
      <c r="C35" s="38"/>
      <c r="D35" s="38"/>
    </row>
    <row r="36" spans="2:4" s="39" customFormat="1" ht="64.5" customHeight="1" thickTop="1" x14ac:dyDescent="0.35">
      <c r="B36" s="144" t="s">
        <v>841</v>
      </c>
      <c r="C36" s="144"/>
      <c r="D36" s="144"/>
    </row>
    <row r="37" spans="2:4" ht="15" customHeight="1" x14ac:dyDescent="0.35"/>
    <row r="38" spans="2:4" ht="20.149999999999999" customHeight="1" thickBot="1" x14ac:dyDescent="0.45">
      <c r="B38" s="98" t="s">
        <v>740</v>
      </c>
      <c r="C38" s="38"/>
      <c r="D38" s="38"/>
    </row>
    <row r="39" spans="2:4" ht="45" customHeight="1" thickTop="1" x14ac:dyDescent="0.35">
      <c r="B39" s="144" t="s">
        <v>741</v>
      </c>
      <c r="C39" s="144"/>
      <c r="D39" s="144"/>
    </row>
    <row r="40" spans="2:4" ht="15" customHeight="1" x14ac:dyDescent="0.35"/>
    <row r="41" spans="2:4" ht="20.149999999999999" customHeight="1" thickBot="1" x14ac:dyDescent="0.45">
      <c r="B41" s="98" t="s">
        <v>742</v>
      </c>
      <c r="C41" s="38"/>
      <c r="D41" s="38"/>
    </row>
    <row r="42" spans="2:4" s="96" customFormat="1" ht="49" customHeight="1" thickTop="1" x14ac:dyDescent="0.35">
      <c r="B42" s="144" t="s">
        <v>743</v>
      </c>
      <c r="C42" s="144"/>
      <c r="D42" s="144"/>
    </row>
    <row r="43" spans="2:4" ht="15" customHeight="1" x14ac:dyDescent="0.35"/>
    <row r="44" spans="2:4" ht="20.149999999999999" customHeight="1" thickBot="1" x14ac:dyDescent="0.45">
      <c r="B44" s="98" t="s">
        <v>839</v>
      </c>
      <c r="C44" s="38"/>
      <c r="D44" s="38"/>
    </row>
    <row r="45" spans="2:4" s="96" customFormat="1" ht="30" customHeight="1" thickTop="1" x14ac:dyDescent="0.35">
      <c r="B45" s="144" t="s">
        <v>744</v>
      </c>
      <c r="C45" s="144"/>
      <c r="D45" s="144"/>
    </row>
    <row r="46" spans="2:4" ht="15" customHeight="1" x14ac:dyDescent="0.35"/>
  </sheetData>
  <sheetProtection formatCells="0" formatColumns="0" formatRows="0"/>
  <mergeCells count="13">
    <mergeCell ref="B4:D4"/>
    <mergeCell ref="B12:D12"/>
    <mergeCell ref="B14:D14"/>
    <mergeCell ref="B15:D15"/>
    <mergeCell ref="B17:D17"/>
    <mergeCell ref="B8:D8"/>
    <mergeCell ref="B29:D29"/>
    <mergeCell ref="B36:D36"/>
    <mergeCell ref="B39:D39"/>
    <mergeCell ref="B42:D42"/>
    <mergeCell ref="B45:D45"/>
    <mergeCell ref="B32:D32"/>
    <mergeCell ref="B33:D33"/>
  </mergeCells>
  <pageMargins left="0.7" right="0.7" top="0.75" bottom="0.75" header="0.3" footer="0.3"/>
  <pageSetup scale="89" fitToHeight="0"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8CEDE-7E5A-454C-AC61-276F8E126406}">
  <sheetPr codeName="Sheet2">
    <tabColor rgb="FFFF7F0E"/>
  </sheetPr>
  <dimension ref="A1:K202"/>
  <sheetViews>
    <sheetView workbookViewId="0">
      <selection activeCell="A3" sqref="A3"/>
    </sheetView>
  </sheetViews>
  <sheetFormatPr defaultColWidth="0" defaultRowHeight="14" zeroHeight="1" x14ac:dyDescent="0.3"/>
  <cols>
    <col min="1" max="3" width="24.7265625" style="66" customWidth="1"/>
    <col min="4" max="6" width="16.7265625" style="66" customWidth="1"/>
    <col min="7" max="8" width="32.7265625" style="66" customWidth="1"/>
    <col min="9" max="11" width="24.7265625" style="66" customWidth="1"/>
    <col min="12" max="16384" width="16.7265625" style="66" hidden="1"/>
  </cols>
  <sheetData>
    <row r="1" spans="1:11" s="65" customFormat="1" ht="30" customHeight="1" x14ac:dyDescent="0.35">
      <c r="A1" s="63" t="s">
        <v>822</v>
      </c>
      <c r="B1" s="64"/>
      <c r="C1" s="64"/>
      <c r="D1" s="64"/>
      <c r="E1" s="64"/>
      <c r="F1" s="64"/>
      <c r="G1" s="64"/>
      <c r="H1" s="64"/>
      <c r="I1" s="64"/>
      <c r="J1" s="64"/>
      <c r="K1" s="64"/>
    </row>
    <row r="2" spans="1:11" s="65" customFormat="1" ht="30" customHeight="1" x14ac:dyDescent="0.35">
      <c r="A2" s="115" t="s">
        <v>0</v>
      </c>
      <c r="B2" s="115" t="s">
        <v>466</v>
      </c>
      <c r="C2" s="116" t="s">
        <v>467</v>
      </c>
      <c r="D2" s="116" t="s">
        <v>817</v>
      </c>
      <c r="E2" s="115" t="s">
        <v>468</v>
      </c>
      <c r="F2" s="115" t="s">
        <v>469</v>
      </c>
      <c r="G2" s="116" t="s">
        <v>470</v>
      </c>
      <c r="H2" s="116" t="s">
        <v>471</v>
      </c>
      <c r="I2" s="115" t="s">
        <v>472</v>
      </c>
      <c r="J2" s="115" t="s">
        <v>473</v>
      </c>
      <c r="K2" s="115" t="s">
        <v>474</v>
      </c>
    </row>
    <row r="3" spans="1:11" x14ac:dyDescent="0.3">
      <c r="A3" s="120"/>
      <c r="B3" s="121"/>
      <c r="C3" s="122"/>
      <c r="D3" s="122"/>
      <c r="E3" s="120"/>
      <c r="F3" s="120"/>
      <c r="G3" s="122"/>
      <c r="H3" s="122"/>
      <c r="I3" s="120"/>
      <c r="J3" s="120"/>
      <c r="K3" s="120"/>
    </row>
    <row r="4" spans="1:11" x14ac:dyDescent="0.3">
      <c r="A4" s="123"/>
      <c r="B4" s="124"/>
      <c r="C4" s="122"/>
      <c r="D4" s="125"/>
      <c r="E4" s="123"/>
      <c r="F4" s="123"/>
      <c r="G4" s="125"/>
      <c r="H4" s="125"/>
      <c r="I4" s="123"/>
      <c r="J4" s="123"/>
      <c r="K4" s="123"/>
    </row>
    <row r="5" spans="1:11" x14ac:dyDescent="0.3">
      <c r="A5" s="123"/>
      <c r="B5" s="124"/>
      <c r="C5" s="122"/>
      <c r="D5" s="125"/>
      <c r="E5" s="123"/>
      <c r="F5" s="123"/>
      <c r="G5" s="125"/>
      <c r="H5" s="125"/>
      <c r="I5" s="123"/>
      <c r="J5" s="123"/>
      <c r="K5" s="123"/>
    </row>
    <row r="6" spans="1:11" x14ac:dyDescent="0.3">
      <c r="A6" s="123"/>
      <c r="B6" s="124"/>
      <c r="C6" s="122"/>
      <c r="D6" s="125"/>
      <c r="E6" s="123"/>
      <c r="F6" s="123"/>
      <c r="G6" s="125"/>
      <c r="H6" s="125"/>
      <c r="I6" s="123"/>
      <c r="J6" s="123"/>
      <c r="K6" s="123"/>
    </row>
    <row r="7" spans="1:11" x14ac:dyDescent="0.3">
      <c r="A7" s="123"/>
      <c r="B7" s="124"/>
      <c r="C7" s="122"/>
      <c r="D7" s="125"/>
      <c r="E7" s="123"/>
      <c r="F7" s="123"/>
      <c r="G7" s="125"/>
      <c r="H7" s="125"/>
      <c r="I7" s="123"/>
      <c r="J7" s="123"/>
      <c r="K7" s="123"/>
    </row>
    <row r="8" spans="1:11" x14ac:dyDescent="0.3">
      <c r="A8" s="123"/>
      <c r="B8" s="124"/>
      <c r="C8" s="122"/>
      <c r="D8" s="125"/>
      <c r="E8" s="123"/>
      <c r="F8" s="123"/>
      <c r="G8" s="125"/>
      <c r="H8" s="125"/>
      <c r="I8" s="123"/>
      <c r="J8" s="123"/>
      <c r="K8" s="123"/>
    </row>
    <row r="9" spans="1:11" x14ac:dyDescent="0.3">
      <c r="A9" s="123"/>
      <c r="B9" s="124"/>
      <c r="C9" s="122"/>
      <c r="D9" s="125"/>
      <c r="E9" s="123"/>
      <c r="F9" s="123"/>
      <c r="G9" s="125"/>
      <c r="H9" s="125"/>
      <c r="I9" s="123"/>
      <c r="J9" s="123"/>
      <c r="K9" s="123"/>
    </row>
    <row r="10" spans="1:11" x14ac:dyDescent="0.3">
      <c r="A10" s="123"/>
      <c r="B10" s="124"/>
      <c r="C10" s="122"/>
      <c r="D10" s="125"/>
      <c r="E10" s="123"/>
      <c r="F10" s="123"/>
      <c r="G10" s="125"/>
      <c r="H10" s="125"/>
      <c r="I10" s="123"/>
      <c r="J10" s="123"/>
      <c r="K10" s="123"/>
    </row>
    <row r="11" spans="1:11" x14ac:dyDescent="0.3">
      <c r="A11" s="123"/>
      <c r="B11" s="124"/>
      <c r="C11" s="122"/>
      <c r="D11" s="125"/>
      <c r="E11" s="123"/>
      <c r="F11" s="123"/>
      <c r="G11" s="125"/>
      <c r="H11" s="125"/>
      <c r="I11" s="123"/>
      <c r="J11" s="123"/>
      <c r="K11" s="123"/>
    </row>
    <row r="12" spans="1:11" x14ac:dyDescent="0.3">
      <c r="A12" s="123"/>
      <c r="B12" s="124"/>
      <c r="C12" s="122"/>
      <c r="D12" s="125"/>
      <c r="E12" s="123"/>
      <c r="F12" s="123"/>
      <c r="G12" s="125"/>
      <c r="H12" s="125"/>
      <c r="I12" s="123"/>
      <c r="J12" s="123"/>
      <c r="K12" s="123"/>
    </row>
    <row r="13" spans="1:11" x14ac:dyDescent="0.3">
      <c r="A13" s="123"/>
      <c r="B13" s="124"/>
      <c r="C13" s="122"/>
      <c r="D13" s="125"/>
      <c r="E13" s="123"/>
      <c r="F13" s="123"/>
      <c r="G13" s="125"/>
      <c r="H13" s="125"/>
      <c r="I13" s="123"/>
      <c r="J13" s="123"/>
      <c r="K13" s="123"/>
    </row>
    <row r="14" spans="1:11" x14ac:dyDescent="0.3">
      <c r="A14" s="123"/>
      <c r="B14" s="124"/>
      <c r="C14" s="122"/>
      <c r="D14" s="125"/>
      <c r="E14" s="123"/>
      <c r="F14" s="123"/>
      <c r="G14" s="125"/>
      <c r="H14" s="125"/>
      <c r="I14" s="123"/>
      <c r="J14" s="123"/>
      <c r="K14" s="123"/>
    </row>
    <row r="15" spans="1:11" x14ac:dyDescent="0.3">
      <c r="A15" s="123"/>
      <c r="B15" s="124"/>
      <c r="C15" s="122"/>
      <c r="D15" s="125"/>
      <c r="E15" s="123"/>
      <c r="F15" s="123"/>
      <c r="G15" s="125"/>
      <c r="H15" s="125"/>
      <c r="I15" s="123"/>
      <c r="J15" s="123"/>
      <c r="K15" s="123"/>
    </row>
    <row r="16" spans="1:11" x14ac:dyDescent="0.3">
      <c r="A16" s="123"/>
      <c r="B16" s="124"/>
      <c r="C16" s="122"/>
      <c r="D16" s="125"/>
      <c r="E16" s="123"/>
      <c r="F16" s="123"/>
      <c r="G16" s="125"/>
      <c r="H16" s="125"/>
      <c r="I16" s="123"/>
      <c r="J16" s="123"/>
      <c r="K16" s="123"/>
    </row>
    <row r="17" spans="1:11" x14ac:dyDescent="0.3">
      <c r="A17" s="123"/>
      <c r="B17" s="124"/>
      <c r="C17" s="122"/>
      <c r="D17" s="125"/>
      <c r="E17" s="123"/>
      <c r="F17" s="123"/>
      <c r="G17" s="125"/>
      <c r="H17" s="125"/>
      <c r="I17" s="123"/>
      <c r="J17" s="123"/>
      <c r="K17" s="123"/>
    </row>
    <row r="18" spans="1:11" x14ac:dyDescent="0.3">
      <c r="A18" s="123"/>
      <c r="B18" s="124"/>
      <c r="C18" s="122"/>
      <c r="D18" s="125"/>
      <c r="E18" s="123"/>
      <c r="F18" s="123"/>
      <c r="G18" s="125"/>
      <c r="H18" s="125"/>
      <c r="I18" s="123"/>
      <c r="J18" s="123"/>
      <c r="K18" s="123"/>
    </row>
    <row r="19" spans="1:11" x14ac:dyDescent="0.3">
      <c r="A19" s="123"/>
      <c r="B19" s="124"/>
      <c r="C19" s="122"/>
      <c r="D19" s="125"/>
      <c r="E19" s="123"/>
      <c r="F19" s="123"/>
      <c r="G19" s="125"/>
      <c r="H19" s="125"/>
      <c r="I19" s="123"/>
      <c r="J19" s="123"/>
      <c r="K19" s="123"/>
    </row>
    <row r="20" spans="1:11" x14ac:dyDescent="0.3">
      <c r="A20" s="123"/>
      <c r="B20" s="124"/>
      <c r="C20" s="122"/>
      <c r="D20" s="125"/>
      <c r="E20" s="123"/>
      <c r="F20" s="123"/>
      <c r="G20" s="125"/>
      <c r="H20" s="125"/>
      <c r="I20" s="123"/>
      <c r="J20" s="123"/>
      <c r="K20" s="123"/>
    </row>
    <row r="21" spans="1:11" x14ac:dyDescent="0.3">
      <c r="A21" s="123"/>
      <c r="B21" s="124"/>
      <c r="C21" s="122"/>
      <c r="D21" s="125"/>
      <c r="E21" s="123"/>
      <c r="F21" s="123"/>
      <c r="G21" s="125"/>
      <c r="H21" s="125"/>
      <c r="I21" s="123"/>
      <c r="J21" s="123"/>
      <c r="K21" s="123"/>
    </row>
    <row r="22" spans="1:11" x14ac:dyDescent="0.3">
      <c r="A22" s="123"/>
      <c r="B22" s="124"/>
      <c r="C22" s="122"/>
      <c r="D22" s="125"/>
      <c r="E22" s="123"/>
      <c r="F22" s="123"/>
      <c r="G22" s="125"/>
      <c r="H22" s="125"/>
      <c r="I22" s="123"/>
      <c r="J22" s="123"/>
      <c r="K22" s="123"/>
    </row>
    <row r="23" spans="1:11" x14ac:dyDescent="0.3">
      <c r="A23" s="123"/>
      <c r="B23" s="124"/>
      <c r="C23" s="122"/>
      <c r="D23" s="125"/>
      <c r="E23" s="123"/>
      <c r="F23" s="123"/>
      <c r="G23" s="125"/>
      <c r="H23" s="125"/>
      <c r="I23" s="123"/>
      <c r="J23" s="123"/>
      <c r="K23" s="123"/>
    </row>
    <row r="24" spans="1:11" x14ac:dyDescent="0.3">
      <c r="A24" s="123"/>
      <c r="B24" s="124"/>
      <c r="C24" s="122"/>
      <c r="D24" s="125"/>
      <c r="E24" s="123"/>
      <c r="F24" s="123"/>
      <c r="G24" s="125"/>
      <c r="H24" s="125"/>
      <c r="I24" s="123"/>
      <c r="J24" s="123"/>
      <c r="K24" s="123"/>
    </row>
    <row r="25" spans="1:11" x14ac:dyDescent="0.3">
      <c r="A25" s="123"/>
      <c r="B25" s="124"/>
      <c r="C25" s="122"/>
      <c r="D25" s="125"/>
      <c r="E25" s="123"/>
      <c r="F25" s="123"/>
      <c r="G25" s="125"/>
      <c r="H25" s="125"/>
      <c r="I25" s="123"/>
      <c r="J25" s="123"/>
      <c r="K25" s="123"/>
    </row>
    <row r="26" spans="1:11" x14ac:dyDescent="0.3">
      <c r="A26" s="123"/>
      <c r="B26" s="124"/>
      <c r="C26" s="122"/>
      <c r="D26" s="125"/>
      <c r="E26" s="123"/>
      <c r="F26" s="123"/>
      <c r="G26" s="125"/>
      <c r="H26" s="125"/>
      <c r="I26" s="123"/>
      <c r="J26" s="123"/>
      <c r="K26" s="123"/>
    </row>
    <row r="27" spans="1:11" x14ac:dyDescent="0.3">
      <c r="A27" s="123"/>
      <c r="B27" s="124"/>
      <c r="C27" s="122"/>
      <c r="D27" s="125"/>
      <c r="E27" s="123"/>
      <c r="F27" s="123"/>
      <c r="G27" s="125"/>
      <c r="H27" s="125"/>
      <c r="I27" s="123"/>
      <c r="J27" s="123"/>
      <c r="K27" s="123"/>
    </row>
    <row r="28" spans="1:11" x14ac:dyDescent="0.3">
      <c r="A28" s="123"/>
      <c r="B28" s="124"/>
      <c r="C28" s="122"/>
      <c r="D28" s="125"/>
      <c r="E28" s="123"/>
      <c r="F28" s="123"/>
      <c r="G28" s="125"/>
      <c r="H28" s="125"/>
      <c r="I28" s="123"/>
      <c r="J28" s="123"/>
      <c r="K28" s="123"/>
    </row>
    <row r="29" spans="1:11" x14ac:dyDescent="0.3">
      <c r="A29" s="123"/>
      <c r="B29" s="124"/>
      <c r="C29" s="122"/>
      <c r="D29" s="125"/>
      <c r="E29" s="123"/>
      <c r="F29" s="123"/>
      <c r="G29" s="125"/>
      <c r="H29" s="125"/>
      <c r="I29" s="123"/>
      <c r="J29" s="123"/>
      <c r="K29" s="123"/>
    </row>
    <row r="30" spans="1:11" x14ac:dyDescent="0.3">
      <c r="A30" s="123"/>
      <c r="B30" s="124"/>
      <c r="C30" s="122"/>
      <c r="D30" s="125"/>
      <c r="E30" s="123"/>
      <c r="F30" s="123"/>
      <c r="G30" s="125"/>
      <c r="H30" s="125"/>
      <c r="I30" s="123"/>
      <c r="J30" s="123"/>
      <c r="K30" s="123"/>
    </row>
    <row r="31" spans="1:11" x14ac:dyDescent="0.3">
      <c r="A31" s="123"/>
      <c r="B31" s="124"/>
      <c r="C31" s="122"/>
      <c r="D31" s="125"/>
      <c r="E31" s="123"/>
      <c r="F31" s="123"/>
      <c r="G31" s="125"/>
      <c r="H31" s="125"/>
      <c r="I31" s="123"/>
      <c r="J31" s="123"/>
      <c r="K31" s="123"/>
    </row>
    <row r="32" spans="1:11" x14ac:dyDescent="0.3">
      <c r="A32" s="123"/>
      <c r="B32" s="124"/>
      <c r="C32" s="122"/>
      <c r="D32" s="125"/>
      <c r="E32" s="123"/>
      <c r="F32" s="123"/>
      <c r="G32" s="125"/>
      <c r="H32" s="125"/>
      <c r="I32" s="123"/>
      <c r="J32" s="123"/>
      <c r="K32" s="123"/>
    </row>
    <row r="33" spans="1:11" x14ac:dyDescent="0.3">
      <c r="A33" s="123"/>
      <c r="B33" s="124"/>
      <c r="C33" s="122"/>
      <c r="D33" s="125"/>
      <c r="E33" s="123"/>
      <c r="F33" s="123"/>
      <c r="G33" s="125"/>
      <c r="H33" s="125"/>
      <c r="I33" s="123"/>
      <c r="J33" s="123"/>
      <c r="K33" s="123"/>
    </row>
    <row r="34" spans="1:11" x14ac:dyDescent="0.3">
      <c r="A34" s="123"/>
      <c r="B34" s="124"/>
      <c r="C34" s="122"/>
      <c r="D34" s="125"/>
      <c r="E34" s="123"/>
      <c r="F34" s="123"/>
      <c r="G34" s="125"/>
      <c r="H34" s="125"/>
      <c r="I34" s="123"/>
      <c r="J34" s="123"/>
      <c r="K34" s="123"/>
    </row>
    <row r="35" spans="1:11" x14ac:dyDescent="0.3">
      <c r="A35" s="123"/>
      <c r="B35" s="124"/>
      <c r="C35" s="122"/>
      <c r="D35" s="125"/>
      <c r="E35" s="123"/>
      <c r="F35" s="123"/>
      <c r="G35" s="125"/>
      <c r="H35" s="125"/>
      <c r="I35" s="123"/>
      <c r="J35" s="123"/>
      <c r="K35" s="123"/>
    </row>
    <row r="36" spans="1:11" x14ac:dyDescent="0.3">
      <c r="A36" s="123"/>
      <c r="B36" s="124"/>
      <c r="C36" s="122"/>
      <c r="D36" s="125"/>
      <c r="E36" s="123"/>
      <c r="F36" s="123"/>
      <c r="G36" s="125"/>
      <c r="H36" s="125"/>
      <c r="I36" s="123"/>
      <c r="J36" s="123"/>
      <c r="K36" s="123"/>
    </row>
    <row r="37" spans="1:11" x14ac:dyDescent="0.3">
      <c r="A37" s="123"/>
      <c r="B37" s="124"/>
      <c r="C37" s="122"/>
      <c r="D37" s="125"/>
      <c r="E37" s="123"/>
      <c r="F37" s="123"/>
      <c r="G37" s="125"/>
      <c r="H37" s="125"/>
      <c r="I37" s="123"/>
      <c r="J37" s="123"/>
      <c r="K37" s="123"/>
    </row>
    <row r="38" spans="1:11" x14ac:dyDescent="0.3">
      <c r="A38" s="123"/>
      <c r="B38" s="124"/>
      <c r="C38" s="122"/>
      <c r="D38" s="125"/>
      <c r="E38" s="123"/>
      <c r="F38" s="123"/>
      <c r="G38" s="125"/>
      <c r="H38" s="125"/>
      <c r="I38" s="123"/>
      <c r="J38" s="123"/>
      <c r="K38" s="123"/>
    </row>
    <row r="39" spans="1:11" x14ac:dyDescent="0.3">
      <c r="A39" s="123"/>
      <c r="B39" s="124"/>
      <c r="C39" s="122"/>
      <c r="D39" s="125"/>
      <c r="E39" s="123"/>
      <c r="F39" s="123"/>
      <c r="G39" s="125"/>
      <c r="H39" s="125"/>
      <c r="I39" s="123"/>
      <c r="J39" s="123"/>
      <c r="K39" s="123"/>
    </row>
    <row r="40" spans="1:11" x14ac:dyDescent="0.3">
      <c r="A40" s="123"/>
      <c r="B40" s="124"/>
      <c r="C40" s="122"/>
      <c r="D40" s="125"/>
      <c r="E40" s="123"/>
      <c r="F40" s="123"/>
      <c r="G40" s="125"/>
      <c r="H40" s="125"/>
      <c r="I40" s="123"/>
      <c r="J40" s="123"/>
      <c r="K40" s="123"/>
    </row>
    <row r="41" spans="1:11" x14ac:dyDescent="0.3">
      <c r="A41" s="123"/>
      <c r="B41" s="124"/>
      <c r="C41" s="122"/>
      <c r="D41" s="125"/>
      <c r="E41" s="123"/>
      <c r="F41" s="123"/>
      <c r="G41" s="125"/>
      <c r="H41" s="125"/>
      <c r="I41" s="123"/>
      <c r="J41" s="123"/>
      <c r="K41" s="123"/>
    </row>
    <row r="42" spans="1:11" x14ac:dyDescent="0.3">
      <c r="A42" s="123"/>
      <c r="B42" s="124"/>
      <c r="C42" s="122"/>
      <c r="D42" s="125"/>
      <c r="E42" s="123"/>
      <c r="F42" s="123"/>
      <c r="G42" s="125"/>
      <c r="H42" s="125"/>
      <c r="I42" s="123"/>
      <c r="J42" s="123"/>
      <c r="K42" s="123"/>
    </row>
    <row r="43" spans="1:11" x14ac:dyDescent="0.3">
      <c r="A43" s="123"/>
      <c r="B43" s="124"/>
      <c r="C43" s="122"/>
      <c r="D43" s="125"/>
      <c r="E43" s="123"/>
      <c r="F43" s="123"/>
      <c r="G43" s="125"/>
      <c r="H43" s="125"/>
      <c r="I43" s="123"/>
      <c r="J43" s="123"/>
      <c r="K43" s="123"/>
    </row>
    <row r="44" spans="1:11" x14ac:dyDescent="0.3">
      <c r="A44" s="123"/>
      <c r="B44" s="124"/>
      <c r="C44" s="122"/>
      <c r="D44" s="125"/>
      <c r="E44" s="123"/>
      <c r="F44" s="123"/>
      <c r="G44" s="125"/>
      <c r="H44" s="125"/>
      <c r="I44" s="123"/>
      <c r="J44" s="123"/>
      <c r="K44" s="123"/>
    </row>
    <row r="45" spans="1:11" x14ac:dyDescent="0.3">
      <c r="A45" s="123"/>
      <c r="B45" s="124"/>
      <c r="C45" s="122"/>
      <c r="D45" s="125"/>
      <c r="E45" s="123"/>
      <c r="F45" s="123"/>
      <c r="G45" s="125"/>
      <c r="H45" s="125"/>
      <c r="I45" s="123"/>
      <c r="J45" s="123"/>
      <c r="K45" s="123"/>
    </row>
    <row r="46" spans="1:11" x14ac:dyDescent="0.3">
      <c r="A46" s="123"/>
      <c r="B46" s="124"/>
      <c r="C46" s="122"/>
      <c r="D46" s="125"/>
      <c r="E46" s="123"/>
      <c r="F46" s="123"/>
      <c r="G46" s="125"/>
      <c r="H46" s="125"/>
      <c r="I46" s="123"/>
      <c r="J46" s="123"/>
      <c r="K46" s="123"/>
    </row>
    <row r="47" spans="1:11" x14ac:dyDescent="0.3">
      <c r="A47" s="123"/>
      <c r="B47" s="124"/>
      <c r="C47" s="122"/>
      <c r="D47" s="125"/>
      <c r="E47" s="123"/>
      <c r="F47" s="123"/>
      <c r="G47" s="125"/>
      <c r="H47" s="125"/>
      <c r="I47" s="123"/>
      <c r="J47" s="123"/>
      <c r="K47" s="123"/>
    </row>
    <row r="48" spans="1:11" x14ac:dyDescent="0.3">
      <c r="A48" s="123"/>
      <c r="B48" s="124"/>
      <c r="C48" s="122"/>
      <c r="D48" s="125"/>
      <c r="E48" s="123"/>
      <c r="F48" s="123"/>
      <c r="G48" s="125"/>
      <c r="H48" s="125"/>
      <c r="I48" s="123"/>
      <c r="J48" s="123"/>
      <c r="K48" s="123"/>
    </row>
    <row r="49" spans="1:11" x14ac:dyDescent="0.3">
      <c r="A49" s="123"/>
      <c r="B49" s="124"/>
      <c r="C49" s="122"/>
      <c r="D49" s="125"/>
      <c r="E49" s="123"/>
      <c r="F49" s="123"/>
      <c r="G49" s="125"/>
      <c r="H49" s="125"/>
      <c r="I49" s="123"/>
      <c r="J49" s="123"/>
      <c r="K49" s="123"/>
    </row>
    <row r="50" spans="1:11" x14ac:dyDescent="0.3">
      <c r="A50" s="123"/>
      <c r="B50" s="124"/>
      <c r="C50" s="122"/>
      <c r="D50" s="125"/>
      <c r="E50" s="123"/>
      <c r="F50" s="123"/>
      <c r="G50" s="125"/>
      <c r="H50" s="125"/>
      <c r="I50" s="123"/>
      <c r="J50" s="123"/>
      <c r="K50" s="123"/>
    </row>
    <row r="51" spans="1:11" x14ac:dyDescent="0.3">
      <c r="A51" s="123"/>
      <c r="B51" s="124"/>
      <c r="C51" s="122"/>
      <c r="D51" s="125"/>
      <c r="E51" s="123"/>
      <c r="F51" s="123"/>
      <c r="G51" s="125"/>
      <c r="H51" s="125"/>
      <c r="I51" s="123"/>
      <c r="J51" s="123"/>
      <c r="K51" s="123"/>
    </row>
    <row r="52" spans="1:11" x14ac:dyDescent="0.3">
      <c r="A52" s="123"/>
      <c r="B52" s="124"/>
      <c r="C52" s="122"/>
      <c r="D52" s="125"/>
      <c r="E52" s="123"/>
      <c r="F52" s="123"/>
      <c r="G52" s="125"/>
      <c r="H52" s="125"/>
      <c r="I52" s="123"/>
      <c r="J52" s="123"/>
      <c r="K52" s="123"/>
    </row>
    <row r="53" spans="1:11" x14ac:dyDescent="0.3">
      <c r="A53" s="120"/>
      <c r="B53" s="121"/>
      <c r="C53" s="122"/>
      <c r="D53" s="122"/>
      <c r="E53" s="120"/>
      <c r="F53" s="120"/>
      <c r="G53" s="122"/>
      <c r="H53" s="122"/>
      <c r="I53" s="120"/>
      <c r="J53" s="120"/>
      <c r="K53" s="120"/>
    </row>
    <row r="54" spans="1:11" x14ac:dyDescent="0.3">
      <c r="A54" s="120"/>
      <c r="B54" s="121"/>
      <c r="C54" s="122"/>
      <c r="D54" s="122"/>
      <c r="E54" s="120"/>
      <c r="F54" s="120"/>
      <c r="G54" s="122"/>
      <c r="H54" s="122"/>
      <c r="I54" s="120"/>
      <c r="J54" s="120"/>
      <c r="K54" s="120"/>
    </row>
    <row r="55" spans="1:11" x14ac:dyDescent="0.3">
      <c r="A55" s="120"/>
      <c r="B55" s="121"/>
      <c r="C55" s="122"/>
      <c r="D55" s="122"/>
      <c r="E55" s="120"/>
      <c r="F55" s="120"/>
      <c r="G55" s="122"/>
      <c r="H55" s="122"/>
      <c r="I55" s="120"/>
      <c r="J55" s="120"/>
      <c r="K55" s="120"/>
    </row>
    <row r="56" spans="1:11" x14ac:dyDescent="0.3">
      <c r="A56" s="120"/>
      <c r="B56" s="121"/>
      <c r="C56" s="122"/>
      <c r="D56" s="122"/>
      <c r="E56" s="120"/>
      <c r="F56" s="120"/>
      <c r="G56" s="122"/>
      <c r="H56" s="122"/>
      <c r="I56" s="120"/>
      <c r="J56" s="120"/>
      <c r="K56" s="120"/>
    </row>
    <row r="57" spans="1:11" x14ac:dyDescent="0.3">
      <c r="A57" s="120"/>
      <c r="B57" s="121"/>
      <c r="C57" s="122"/>
      <c r="D57" s="122"/>
      <c r="E57" s="120"/>
      <c r="F57" s="120"/>
      <c r="G57" s="122"/>
      <c r="H57" s="122"/>
      <c r="I57" s="120"/>
      <c r="J57" s="120"/>
      <c r="K57" s="120"/>
    </row>
    <row r="58" spans="1:11" x14ac:dyDescent="0.3">
      <c r="A58" s="120"/>
      <c r="B58" s="121"/>
      <c r="C58" s="122"/>
      <c r="D58" s="122"/>
      <c r="E58" s="120"/>
      <c r="F58" s="120"/>
      <c r="G58" s="122"/>
      <c r="H58" s="122"/>
      <c r="I58" s="120"/>
      <c r="J58" s="120"/>
      <c r="K58" s="120"/>
    </row>
    <row r="59" spans="1:11" x14ac:dyDescent="0.3">
      <c r="A59" s="120"/>
      <c r="B59" s="121"/>
      <c r="C59" s="122"/>
      <c r="D59" s="122"/>
      <c r="E59" s="120"/>
      <c r="F59" s="120"/>
      <c r="G59" s="122"/>
      <c r="H59" s="122"/>
      <c r="I59" s="120"/>
      <c r="J59" s="120"/>
      <c r="K59" s="120"/>
    </row>
    <row r="60" spans="1:11" x14ac:dyDescent="0.3">
      <c r="A60" s="120"/>
      <c r="B60" s="121"/>
      <c r="C60" s="122"/>
      <c r="D60" s="122"/>
      <c r="E60" s="120"/>
      <c r="F60" s="120"/>
      <c r="G60" s="122"/>
      <c r="H60" s="122"/>
      <c r="I60" s="120"/>
      <c r="J60" s="120"/>
      <c r="K60" s="120"/>
    </row>
    <row r="61" spans="1:11" x14ac:dyDescent="0.3">
      <c r="A61" s="120"/>
      <c r="B61" s="121"/>
      <c r="C61" s="122"/>
      <c r="D61" s="122"/>
      <c r="E61" s="120"/>
      <c r="F61" s="120"/>
      <c r="G61" s="122"/>
      <c r="H61" s="122"/>
      <c r="I61" s="120"/>
      <c r="J61" s="120"/>
      <c r="K61" s="120"/>
    </row>
    <row r="62" spans="1:11" x14ac:dyDescent="0.3">
      <c r="A62" s="120"/>
      <c r="B62" s="121"/>
      <c r="C62" s="122"/>
      <c r="D62" s="122"/>
      <c r="E62" s="120"/>
      <c r="F62" s="120"/>
      <c r="G62" s="122"/>
      <c r="H62" s="122"/>
      <c r="I62" s="120"/>
      <c r="J62" s="120"/>
      <c r="K62" s="120"/>
    </row>
    <row r="63" spans="1:11" x14ac:dyDescent="0.3">
      <c r="A63" s="120"/>
      <c r="B63" s="121"/>
      <c r="C63" s="122"/>
      <c r="D63" s="122"/>
      <c r="E63" s="120"/>
      <c r="F63" s="120"/>
      <c r="G63" s="122"/>
      <c r="H63" s="122"/>
      <c r="I63" s="120"/>
      <c r="J63" s="120"/>
      <c r="K63" s="120"/>
    </row>
    <row r="64" spans="1:11" x14ac:dyDescent="0.3">
      <c r="A64" s="120"/>
      <c r="B64" s="121"/>
      <c r="C64" s="122"/>
      <c r="D64" s="122"/>
      <c r="E64" s="120"/>
      <c r="F64" s="120"/>
      <c r="G64" s="122"/>
      <c r="H64" s="122"/>
      <c r="I64" s="120"/>
      <c r="J64" s="120"/>
      <c r="K64" s="120"/>
    </row>
    <row r="65" spans="1:11" x14ac:dyDescent="0.3">
      <c r="A65" s="120"/>
      <c r="B65" s="121"/>
      <c r="C65" s="122"/>
      <c r="D65" s="122"/>
      <c r="E65" s="120"/>
      <c r="F65" s="120"/>
      <c r="G65" s="122"/>
      <c r="H65" s="122"/>
      <c r="I65" s="120"/>
      <c r="J65" s="120"/>
      <c r="K65" s="120"/>
    </row>
    <row r="66" spans="1:11" x14ac:dyDescent="0.3">
      <c r="A66" s="120"/>
      <c r="B66" s="121"/>
      <c r="C66" s="122"/>
      <c r="D66" s="122"/>
      <c r="E66" s="120"/>
      <c r="F66" s="120"/>
      <c r="G66" s="122"/>
      <c r="H66" s="122"/>
      <c r="I66" s="120"/>
      <c r="J66" s="120"/>
      <c r="K66" s="120"/>
    </row>
    <row r="67" spans="1:11" x14ac:dyDescent="0.3">
      <c r="A67" s="120"/>
      <c r="B67" s="121"/>
      <c r="C67" s="122"/>
      <c r="D67" s="122"/>
      <c r="E67" s="120"/>
      <c r="F67" s="120"/>
      <c r="G67" s="122"/>
      <c r="H67" s="122"/>
      <c r="I67" s="120"/>
      <c r="J67" s="120"/>
      <c r="K67" s="120"/>
    </row>
    <row r="68" spans="1:11" x14ac:dyDescent="0.3">
      <c r="A68" s="120"/>
      <c r="B68" s="121"/>
      <c r="C68" s="122"/>
      <c r="D68" s="122"/>
      <c r="E68" s="120"/>
      <c r="F68" s="120"/>
      <c r="G68" s="122"/>
      <c r="H68" s="122"/>
      <c r="I68" s="120"/>
      <c r="J68" s="120"/>
      <c r="K68" s="120"/>
    </row>
    <row r="69" spans="1:11" x14ac:dyDescent="0.3">
      <c r="A69" s="120"/>
      <c r="B69" s="121"/>
      <c r="C69" s="122"/>
      <c r="D69" s="122"/>
      <c r="E69" s="120"/>
      <c r="F69" s="120"/>
      <c r="G69" s="122"/>
      <c r="H69" s="122"/>
      <c r="I69" s="120"/>
      <c r="J69" s="120"/>
      <c r="K69" s="120"/>
    </row>
    <row r="70" spans="1:11" x14ac:dyDescent="0.3">
      <c r="A70" s="120"/>
      <c r="B70" s="121"/>
      <c r="C70" s="122"/>
      <c r="D70" s="122"/>
      <c r="E70" s="120"/>
      <c r="F70" s="120"/>
      <c r="G70" s="122"/>
      <c r="H70" s="122"/>
      <c r="I70" s="120"/>
      <c r="J70" s="120"/>
      <c r="K70" s="120"/>
    </row>
    <row r="71" spans="1:11" x14ac:dyDescent="0.3">
      <c r="A71" s="120"/>
      <c r="B71" s="121"/>
      <c r="C71" s="122"/>
      <c r="D71" s="122"/>
      <c r="E71" s="120"/>
      <c r="F71" s="120"/>
      <c r="G71" s="122"/>
      <c r="H71" s="122"/>
      <c r="I71" s="120"/>
      <c r="J71" s="120"/>
      <c r="K71" s="120"/>
    </row>
    <row r="72" spans="1:11" x14ac:dyDescent="0.3">
      <c r="A72" s="120"/>
      <c r="B72" s="121"/>
      <c r="C72" s="122"/>
      <c r="D72" s="122"/>
      <c r="E72" s="120"/>
      <c r="F72" s="120"/>
      <c r="G72" s="122"/>
      <c r="H72" s="122"/>
      <c r="I72" s="120"/>
      <c r="J72" s="120"/>
      <c r="K72" s="120"/>
    </row>
    <row r="73" spans="1:11" x14ac:dyDescent="0.3">
      <c r="A73" s="120"/>
      <c r="B73" s="121"/>
      <c r="C73" s="122"/>
      <c r="D73" s="122"/>
      <c r="E73" s="120"/>
      <c r="F73" s="120"/>
      <c r="G73" s="122"/>
      <c r="H73" s="122"/>
      <c r="I73" s="120"/>
      <c r="J73" s="120"/>
      <c r="K73" s="120"/>
    </row>
    <row r="74" spans="1:11" x14ac:dyDescent="0.3">
      <c r="A74" s="120"/>
      <c r="B74" s="121"/>
      <c r="C74" s="122"/>
      <c r="D74" s="122"/>
      <c r="E74" s="120"/>
      <c r="F74" s="120"/>
      <c r="G74" s="122"/>
      <c r="H74" s="122"/>
      <c r="I74" s="120"/>
      <c r="J74" s="120"/>
      <c r="K74" s="120"/>
    </row>
    <row r="75" spans="1:11" x14ac:dyDescent="0.3">
      <c r="A75" s="120"/>
      <c r="B75" s="121"/>
      <c r="C75" s="122"/>
      <c r="D75" s="122"/>
      <c r="E75" s="120"/>
      <c r="F75" s="120"/>
      <c r="G75" s="122"/>
      <c r="H75" s="122"/>
      <c r="I75" s="120"/>
      <c r="J75" s="120"/>
      <c r="K75" s="120"/>
    </row>
    <row r="76" spans="1:11" x14ac:dyDescent="0.3">
      <c r="A76" s="120"/>
      <c r="B76" s="121"/>
      <c r="C76" s="122"/>
      <c r="D76" s="122"/>
      <c r="E76" s="120"/>
      <c r="F76" s="120"/>
      <c r="G76" s="122"/>
      <c r="H76" s="122"/>
      <c r="I76" s="120"/>
      <c r="J76" s="120"/>
      <c r="K76" s="120"/>
    </row>
    <row r="77" spans="1:11" x14ac:dyDescent="0.3">
      <c r="A77" s="120"/>
      <c r="B77" s="121"/>
      <c r="C77" s="122"/>
      <c r="D77" s="122"/>
      <c r="E77" s="120"/>
      <c r="F77" s="120"/>
      <c r="G77" s="122"/>
      <c r="H77" s="122"/>
      <c r="I77" s="120"/>
      <c r="J77" s="120"/>
      <c r="K77" s="120"/>
    </row>
    <row r="78" spans="1:11" x14ac:dyDescent="0.3">
      <c r="A78" s="120"/>
      <c r="B78" s="121"/>
      <c r="C78" s="122"/>
      <c r="D78" s="122"/>
      <c r="E78" s="120"/>
      <c r="F78" s="120"/>
      <c r="G78" s="122"/>
      <c r="H78" s="122"/>
      <c r="I78" s="120"/>
      <c r="J78" s="120"/>
      <c r="K78" s="120"/>
    </row>
    <row r="79" spans="1:11" x14ac:dyDescent="0.3">
      <c r="A79" s="120"/>
      <c r="B79" s="121"/>
      <c r="C79" s="122"/>
      <c r="D79" s="122"/>
      <c r="E79" s="120"/>
      <c r="F79" s="120"/>
      <c r="G79" s="122"/>
      <c r="H79" s="122"/>
      <c r="I79" s="120"/>
      <c r="J79" s="120"/>
      <c r="K79" s="120"/>
    </row>
    <row r="80" spans="1:11" x14ac:dyDescent="0.3">
      <c r="A80" s="120"/>
      <c r="B80" s="121"/>
      <c r="C80" s="122"/>
      <c r="D80" s="122"/>
      <c r="E80" s="120"/>
      <c r="F80" s="120"/>
      <c r="G80" s="122"/>
      <c r="H80" s="122"/>
      <c r="I80" s="120"/>
      <c r="J80" s="120"/>
      <c r="K80" s="120"/>
    </row>
    <row r="81" spans="1:11" x14ac:dyDescent="0.3">
      <c r="A81" s="120"/>
      <c r="B81" s="121"/>
      <c r="C81" s="122"/>
      <c r="D81" s="122"/>
      <c r="E81" s="120"/>
      <c r="F81" s="120"/>
      <c r="G81" s="122"/>
      <c r="H81" s="122"/>
      <c r="I81" s="120"/>
      <c r="J81" s="120"/>
      <c r="K81" s="120"/>
    </row>
    <row r="82" spans="1:11" x14ac:dyDescent="0.3">
      <c r="A82" s="120"/>
      <c r="B82" s="121"/>
      <c r="C82" s="122"/>
      <c r="D82" s="122"/>
      <c r="E82" s="120"/>
      <c r="F82" s="120"/>
      <c r="G82" s="122"/>
      <c r="H82" s="122"/>
      <c r="I82" s="120"/>
      <c r="J82" s="120"/>
      <c r="K82" s="120"/>
    </row>
    <row r="83" spans="1:11" x14ac:dyDescent="0.3">
      <c r="A83" s="120"/>
      <c r="B83" s="121"/>
      <c r="C83" s="122"/>
      <c r="D83" s="122"/>
      <c r="E83" s="120"/>
      <c r="F83" s="120"/>
      <c r="G83" s="122"/>
      <c r="H83" s="122"/>
      <c r="I83" s="120"/>
      <c r="J83" s="120"/>
      <c r="K83" s="120"/>
    </row>
    <row r="84" spans="1:11" x14ac:dyDescent="0.3">
      <c r="A84" s="120"/>
      <c r="B84" s="121"/>
      <c r="C84" s="122"/>
      <c r="D84" s="122"/>
      <c r="E84" s="120"/>
      <c r="F84" s="120"/>
      <c r="G84" s="122"/>
      <c r="H84" s="122"/>
      <c r="I84" s="120"/>
      <c r="J84" s="120"/>
      <c r="K84" s="120"/>
    </row>
    <row r="85" spans="1:11" x14ac:dyDescent="0.3">
      <c r="A85" s="120"/>
      <c r="B85" s="121"/>
      <c r="C85" s="122"/>
      <c r="D85" s="122"/>
      <c r="E85" s="120"/>
      <c r="F85" s="120"/>
      <c r="G85" s="122"/>
      <c r="H85" s="122"/>
      <c r="I85" s="120"/>
      <c r="J85" s="120"/>
      <c r="K85" s="120"/>
    </row>
    <row r="86" spans="1:11" x14ac:dyDescent="0.3">
      <c r="A86" s="120"/>
      <c r="B86" s="121"/>
      <c r="C86" s="122"/>
      <c r="D86" s="122"/>
      <c r="E86" s="120"/>
      <c r="F86" s="120"/>
      <c r="G86" s="122"/>
      <c r="H86" s="122"/>
      <c r="I86" s="120"/>
      <c r="J86" s="120"/>
      <c r="K86" s="120"/>
    </row>
    <row r="87" spans="1:11" x14ac:dyDescent="0.3">
      <c r="A87" s="120"/>
      <c r="B87" s="121"/>
      <c r="C87" s="122"/>
      <c r="D87" s="122"/>
      <c r="E87" s="120"/>
      <c r="F87" s="120"/>
      <c r="G87" s="122"/>
      <c r="H87" s="122"/>
      <c r="I87" s="120"/>
      <c r="J87" s="120"/>
      <c r="K87" s="120"/>
    </row>
    <row r="88" spans="1:11" x14ac:dyDescent="0.3">
      <c r="A88" s="120"/>
      <c r="B88" s="121"/>
      <c r="C88" s="122"/>
      <c r="D88" s="122"/>
      <c r="E88" s="120"/>
      <c r="F88" s="120"/>
      <c r="G88" s="122"/>
      <c r="H88" s="122"/>
      <c r="I88" s="120"/>
      <c r="J88" s="120"/>
      <c r="K88" s="120"/>
    </row>
    <row r="89" spans="1:11" x14ac:dyDescent="0.3">
      <c r="A89" s="120"/>
      <c r="B89" s="121"/>
      <c r="C89" s="122"/>
      <c r="D89" s="122"/>
      <c r="E89" s="120"/>
      <c r="F89" s="120"/>
      <c r="G89" s="122"/>
      <c r="H89" s="122"/>
      <c r="I89" s="120"/>
      <c r="J89" s="120"/>
      <c r="K89" s="120"/>
    </row>
    <row r="90" spans="1:11" x14ac:dyDescent="0.3">
      <c r="A90" s="120"/>
      <c r="B90" s="121"/>
      <c r="C90" s="122"/>
      <c r="D90" s="122"/>
      <c r="E90" s="120"/>
      <c r="F90" s="120"/>
      <c r="G90" s="122"/>
      <c r="H90" s="122"/>
      <c r="I90" s="120"/>
      <c r="J90" s="120"/>
      <c r="K90" s="120"/>
    </row>
    <row r="91" spans="1:11" x14ac:dyDescent="0.3">
      <c r="A91" s="120"/>
      <c r="B91" s="121"/>
      <c r="C91" s="122"/>
      <c r="D91" s="122"/>
      <c r="E91" s="120"/>
      <c r="F91" s="120"/>
      <c r="G91" s="122"/>
      <c r="H91" s="122"/>
      <c r="I91" s="120"/>
      <c r="J91" s="120"/>
      <c r="K91" s="120"/>
    </row>
    <row r="92" spans="1:11" x14ac:dyDescent="0.3">
      <c r="A92" s="120"/>
      <c r="B92" s="121"/>
      <c r="C92" s="122"/>
      <c r="D92" s="122"/>
      <c r="E92" s="120"/>
      <c r="F92" s="120"/>
      <c r="G92" s="122"/>
      <c r="H92" s="122"/>
      <c r="I92" s="120"/>
      <c r="J92" s="120"/>
      <c r="K92" s="120"/>
    </row>
    <row r="93" spans="1:11" x14ac:dyDescent="0.3">
      <c r="A93" s="120"/>
      <c r="B93" s="121"/>
      <c r="C93" s="122"/>
      <c r="D93" s="122"/>
      <c r="E93" s="120"/>
      <c r="F93" s="120"/>
      <c r="G93" s="122"/>
      <c r="H93" s="122"/>
      <c r="I93" s="120"/>
      <c r="J93" s="120"/>
      <c r="K93" s="120"/>
    </row>
    <row r="94" spans="1:11" x14ac:dyDescent="0.3">
      <c r="A94" s="120"/>
      <c r="B94" s="121"/>
      <c r="C94" s="122"/>
      <c r="D94" s="122"/>
      <c r="E94" s="120"/>
      <c r="F94" s="120"/>
      <c r="G94" s="122"/>
      <c r="H94" s="122"/>
      <c r="I94" s="120"/>
      <c r="J94" s="120"/>
      <c r="K94" s="120"/>
    </row>
    <row r="95" spans="1:11" x14ac:dyDescent="0.3">
      <c r="A95" s="120"/>
      <c r="B95" s="121"/>
      <c r="C95" s="122"/>
      <c r="D95" s="122"/>
      <c r="E95" s="120"/>
      <c r="F95" s="120"/>
      <c r="G95" s="122"/>
      <c r="H95" s="122"/>
      <c r="I95" s="120"/>
      <c r="J95" s="120"/>
      <c r="K95" s="120"/>
    </row>
    <row r="96" spans="1:11" x14ac:dyDescent="0.3">
      <c r="A96" s="120"/>
      <c r="B96" s="121"/>
      <c r="C96" s="122"/>
      <c r="D96" s="122"/>
      <c r="E96" s="120"/>
      <c r="F96" s="120"/>
      <c r="G96" s="122"/>
      <c r="H96" s="122"/>
      <c r="I96" s="120"/>
      <c r="J96" s="120"/>
      <c r="K96" s="120"/>
    </row>
    <row r="97" spans="1:11" x14ac:dyDescent="0.3">
      <c r="A97" s="120"/>
      <c r="B97" s="121"/>
      <c r="C97" s="122"/>
      <c r="D97" s="122"/>
      <c r="E97" s="120"/>
      <c r="F97" s="120"/>
      <c r="G97" s="122"/>
      <c r="H97" s="122"/>
      <c r="I97" s="120"/>
      <c r="J97" s="120"/>
      <c r="K97" s="120"/>
    </row>
    <row r="98" spans="1:11" x14ac:dyDescent="0.3">
      <c r="A98" s="120"/>
      <c r="B98" s="121"/>
      <c r="C98" s="122"/>
      <c r="D98" s="122"/>
      <c r="E98" s="120"/>
      <c r="F98" s="120"/>
      <c r="G98" s="122"/>
      <c r="H98" s="122"/>
      <c r="I98" s="120"/>
      <c r="J98" s="120"/>
      <c r="K98" s="120"/>
    </row>
    <row r="99" spans="1:11" x14ac:dyDescent="0.3">
      <c r="A99" s="120"/>
      <c r="B99" s="121"/>
      <c r="C99" s="122"/>
      <c r="D99" s="122"/>
      <c r="E99" s="120"/>
      <c r="F99" s="120"/>
      <c r="G99" s="122"/>
      <c r="H99" s="122"/>
      <c r="I99" s="120"/>
      <c r="J99" s="120"/>
      <c r="K99" s="120"/>
    </row>
    <row r="100" spans="1:11" x14ac:dyDescent="0.3">
      <c r="A100" s="120"/>
      <c r="B100" s="121"/>
      <c r="C100" s="122"/>
      <c r="D100" s="122"/>
      <c r="E100" s="120"/>
      <c r="F100" s="120"/>
      <c r="G100" s="122"/>
      <c r="H100" s="122"/>
      <c r="I100" s="120"/>
      <c r="J100" s="120"/>
      <c r="K100" s="120"/>
    </row>
    <row r="101" spans="1:11" x14ac:dyDescent="0.3">
      <c r="A101" s="120"/>
      <c r="B101" s="121"/>
      <c r="C101" s="122"/>
      <c r="D101" s="122"/>
      <c r="E101" s="120"/>
      <c r="F101" s="120"/>
      <c r="G101" s="122"/>
      <c r="H101" s="122"/>
      <c r="I101" s="120"/>
      <c r="J101" s="120"/>
      <c r="K101" s="120"/>
    </row>
    <row r="102" spans="1:11" x14ac:dyDescent="0.3">
      <c r="A102" s="120"/>
      <c r="B102" s="121"/>
      <c r="C102" s="122"/>
      <c r="D102" s="122"/>
      <c r="E102" s="120"/>
      <c r="F102" s="120"/>
      <c r="G102" s="122"/>
      <c r="H102" s="122"/>
      <c r="I102" s="120"/>
      <c r="J102" s="120"/>
      <c r="K102" s="120"/>
    </row>
    <row r="103" spans="1:11" x14ac:dyDescent="0.3">
      <c r="A103" s="120"/>
      <c r="B103" s="121"/>
      <c r="C103" s="122"/>
      <c r="D103" s="122"/>
      <c r="E103" s="120"/>
      <c r="F103" s="120"/>
      <c r="G103" s="122"/>
      <c r="H103" s="122"/>
      <c r="I103" s="120"/>
      <c r="J103" s="120"/>
      <c r="K103" s="120"/>
    </row>
    <row r="104" spans="1:11" x14ac:dyDescent="0.3">
      <c r="A104" s="120"/>
      <c r="B104" s="121"/>
      <c r="C104" s="122"/>
      <c r="D104" s="122"/>
      <c r="E104" s="120"/>
      <c r="F104" s="120"/>
      <c r="G104" s="122"/>
      <c r="H104" s="122"/>
      <c r="I104" s="120"/>
      <c r="J104" s="120"/>
      <c r="K104" s="120"/>
    </row>
    <row r="105" spans="1:11" x14ac:dyDescent="0.3">
      <c r="A105" s="120"/>
      <c r="B105" s="121"/>
      <c r="C105" s="122"/>
      <c r="D105" s="122"/>
      <c r="E105" s="120"/>
      <c r="F105" s="120"/>
      <c r="G105" s="122"/>
      <c r="H105" s="122"/>
      <c r="I105" s="120"/>
      <c r="J105" s="120"/>
      <c r="K105" s="120"/>
    </row>
    <row r="106" spans="1:11" x14ac:dyDescent="0.3">
      <c r="A106" s="120"/>
      <c r="B106" s="121"/>
      <c r="C106" s="122"/>
      <c r="D106" s="122"/>
      <c r="E106" s="120"/>
      <c r="F106" s="120"/>
      <c r="G106" s="122"/>
      <c r="H106" s="122"/>
      <c r="I106" s="120"/>
      <c r="J106" s="120"/>
      <c r="K106" s="120"/>
    </row>
    <row r="107" spans="1:11" x14ac:dyDescent="0.3">
      <c r="A107" s="120"/>
      <c r="B107" s="121"/>
      <c r="C107" s="122"/>
      <c r="D107" s="122"/>
      <c r="E107" s="120"/>
      <c r="F107" s="120"/>
      <c r="G107" s="122"/>
      <c r="H107" s="122"/>
      <c r="I107" s="120"/>
      <c r="J107" s="120"/>
      <c r="K107" s="120"/>
    </row>
    <row r="108" spans="1:11" x14ac:dyDescent="0.3">
      <c r="A108" s="120"/>
      <c r="B108" s="121"/>
      <c r="C108" s="122"/>
      <c r="D108" s="122"/>
      <c r="E108" s="120"/>
      <c r="F108" s="120"/>
      <c r="G108" s="122"/>
      <c r="H108" s="122"/>
      <c r="I108" s="120"/>
      <c r="J108" s="120"/>
      <c r="K108" s="120"/>
    </row>
    <row r="109" spans="1:11" x14ac:dyDescent="0.3">
      <c r="A109" s="120"/>
      <c r="B109" s="121"/>
      <c r="C109" s="122"/>
      <c r="D109" s="122"/>
      <c r="E109" s="120"/>
      <c r="F109" s="120"/>
      <c r="G109" s="122"/>
      <c r="H109" s="122"/>
      <c r="I109" s="120"/>
      <c r="J109" s="120"/>
      <c r="K109" s="120"/>
    </row>
    <row r="110" spans="1:11" x14ac:dyDescent="0.3">
      <c r="A110" s="120"/>
      <c r="B110" s="121"/>
      <c r="C110" s="122"/>
      <c r="D110" s="122"/>
      <c r="E110" s="120"/>
      <c r="F110" s="120"/>
      <c r="G110" s="122"/>
      <c r="H110" s="122"/>
      <c r="I110" s="120"/>
      <c r="J110" s="120"/>
      <c r="K110" s="120"/>
    </row>
    <row r="111" spans="1:11" x14ac:dyDescent="0.3">
      <c r="A111" s="120"/>
      <c r="B111" s="121"/>
      <c r="C111" s="122"/>
      <c r="D111" s="122"/>
      <c r="E111" s="120"/>
      <c r="F111" s="120"/>
      <c r="G111" s="122"/>
      <c r="H111" s="122"/>
      <c r="I111" s="120"/>
      <c r="J111" s="120"/>
      <c r="K111" s="120"/>
    </row>
    <row r="112" spans="1:11" x14ac:dyDescent="0.3">
      <c r="A112" s="120"/>
      <c r="B112" s="121"/>
      <c r="C112" s="122"/>
      <c r="D112" s="122"/>
      <c r="E112" s="120"/>
      <c r="F112" s="120"/>
      <c r="G112" s="122"/>
      <c r="H112" s="122"/>
      <c r="I112" s="120"/>
      <c r="J112" s="120"/>
      <c r="K112" s="120"/>
    </row>
    <row r="113" spans="1:11" x14ac:dyDescent="0.3">
      <c r="A113" s="120"/>
      <c r="B113" s="121"/>
      <c r="C113" s="122"/>
      <c r="D113" s="122"/>
      <c r="E113" s="120"/>
      <c r="F113" s="120"/>
      <c r="G113" s="122"/>
      <c r="H113" s="122"/>
      <c r="I113" s="120"/>
      <c r="J113" s="120"/>
      <c r="K113" s="120"/>
    </row>
    <row r="114" spans="1:11" x14ac:dyDescent="0.3">
      <c r="A114" s="120"/>
      <c r="B114" s="121"/>
      <c r="C114" s="122"/>
      <c r="D114" s="122"/>
      <c r="E114" s="120"/>
      <c r="F114" s="120"/>
      <c r="G114" s="122"/>
      <c r="H114" s="122"/>
      <c r="I114" s="120"/>
      <c r="J114" s="120"/>
      <c r="K114" s="120"/>
    </row>
    <row r="115" spans="1:11" x14ac:dyDescent="0.3">
      <c r="A115" s="120"/>
      <c r="B115" s="121"/>
      <c r="C115" s="122"/>
      <c r="D115" s="122"/>
      <c r="E115" s="120"/>
      <c r="F115" s="120"/>
      <c r="G115" s="122"/>
      <c r="H115" s="122"/>
      <c r="I115" s="120"/>
      <c r="J115" s="120"/>
      <c r="K115" s="120"/>
    </row>
    <row r="116" spans="1:11" x14ac:dyDescent="0.3">
      <c r="A116" s="120"/>
      <c r="B116" s="121"/>
      <c r="C116" s="122"/>
      <c r="D116" s="122"/>
      <c r="E116" s="120"/>
      <c r="F116" s="120"/>
      <c r="G116" s="122"/>
      <c r="H116" s="122"/>
      <c r="I116" s="120"/>
      <c r="J116" s="120"/>
      <c r="K116" s="120"/>
    </row>
    <row r="117" spans="1:11" x14ac:dyDescent="0.3">
      <c r="A117" s="120"/>
      <c r="B117" s="121"/>
      <c r="C117" s="122"/>
      <c r="D117" s="122"/>
      <c r="E117" s="120"/>
      <c r="F117" s="120"/>
      <c r="G117" s="122"/>
      <c r="H117" s="122"/>
      <c r="I117" s="120"/>
      <c r="J117" s="120"/>
      <c r="K117" s="120"/>
    </row>
    <row r="118" spans="1:11" x14ac:dyDescent="0.3">
      <c r="A118" s="120"/>
      <c r="B118" s="121"/>
      <c r="C118" s="122"/>
      <c r="D118" s="122"/>
      <c r="E118" s="120"/>
      <c r="F118" s="120"/>
      <c r="G118" s="122"/>
      <c r="H118" s="122"/>
      <c r="I118" s="120"/>
      <c r="J118" s="120"/>
      <c r="K118" s="120"/>
    </row>
    <row r="119" spans="1:11" x14ac:dyDescent="0.3">
      <c r="A119" s="120"/>
      <c r="B119" s="121"/>
      <c r="C119" s="122"/>
      <c r="D119" s="122"/>
      <c r="E119" s="120"/>
      <c r="F119" s="120"/>
      <c r="G119" s="122"/>
      <c r="H119" s="122"/>
      <c r="I119" s="120"/>
      <c r="J119" s="120"/>
      <c r="K119" s="120"/>
    </row>
    <row r="120" spans="1:11" x14ac:dyDescent="0.3">
      <c r="A120" s="120"/>
      <c r="B120" s="121"/>
      <c r="C120" s="122"/>
      <c r="D120" s="122"/>
      <c r="E120" s="120"/>
      <c r="F120" s="120"/>
      <c r="G120" s="122"/>
      <c r="H120" s="122"/>
      <c r="I120" s="120"/>
      <c r="J120" s="120"/>
      <c r="K120" s="120"/>
    </row>
    <row r="121" spans="1:11" x14ac:dyDescent="0.3">
      <c r="A121" s="120"/>
      <c r="B121" s="121"/>
      <c r="C121" s="122"/>
      <c r="D121" s="122"/>
      <c r="E121" s="120"/>
      <c r="F121" s="120"/>
      <c r="G121" s="122"/>
      <c r="H121" s="122"/>
      <c r="I121" s="120"/>
      <c r="J121" s="120"/>
      <c r="K121" s="120"/>
    </row>
    <row r="122" spans="1:11" x14ac:dyDescent="0.3">
      <c r="A122" s="120"/>
      <c r="B122" s="121"/>
      <c r="C122" s="122"/>
      <c r="D122" s="122"/>
      <c r="E122" s="120"/>
      <c r="F122" s="120"/>
      <c r="G122" s="122"/>
      <c r="H122" s="122"/>
      <c r="I122" s="120"/>
      <c r="J122" s="120"/>
      <c r="K122" s="120"/>
    </row>
    <row r="123" spans="1:11" x14ac:dyDescent="0.3">
      <c r="A123" s="120"/>
      <c r="B123" s="121"/>
      <c r="C123" s="122"/>
      <c r="D123" s="122"/>
      <c r="E123" s="120"/>
      <c r="F123" s="120"/>
      <c r="G123" s="122"/>
      <c r="H123" s="122"/>
      <c r="I123" s="120"/>
      <c r="J123" s="120"/>
      <c r="K123" s="120"/>
    </row>
    <row r="124" spans="1:11" x14ac:dyDescent="0.3">
      <c r="A124" s="120"/>
      <c r="B124" s="121"/>
      <c r="C124" s="122"/>
      <c r="D124" s="122"/>
      <c r="E124" s="120"/>
      <c r="F124" s="120"/>
      <c r="G124" s="122"/>
      <c r="H124" s="122"/>
      <c r="I124" s="120"/>
      <c r="J124" s="120"/>
      <c r="K124" s="120"/>
    </row>
    <row r="125" spans="1:11" x14ac:dyDescent="0.3">
      <c r="A125" s="120"/>
      <c r="B125" s="121"/>
      <c r="C125" s="122"/>
      <c r="D125" s="122"/>
      <c r="E125" s="120"/>
      <c r="F125" s="120"/>
      <c r="G125" s="122"/>
      <c r="H125" s="122"/>
      <c r="I125" s="120"/>
      <c r="J125" s="120"/>
      <c r="K125" s="120"/>
    </row>
    <row r="126" spans="1:11" x14ac:dyDescent="0.3">
      <c r="A126" s="120"/>
      <c r="B126" s="121"/>
      <c r="C126" s="122"/>
      <c r="D126" s="122"/>
      <c r="E126" s="120"/>
      <c r="F126" s="120"/>
      <c r="G126" s="122"/>
      <c r="H126" s="122"/>
      <c r="I126" s="120"/>
      <c r="J126" s="120"/>
      <c r="K126" s="120"/>
    </row>
    <row r="127" spans="1:11" x14ac:dyDescent="0.3">
      <c r="A127" s="120"/>
      <c r="B127" s="121"/>
      <c r="C127" s="122"/>
      <c r="D127" s="122"/>
      <c r="E127" s="120"/>
      <c r="F127" s="120"/>
      <c r="G127" s="122"/>
      <c r="H127" s="122"/>
      <c r="I127" s="120"/>
      <c r="J127" s="120"/>
      <c r="K127" s="120"/>
    </row>
    <row r="128" spans="1:11" x14ac:dyDescent="0.3">
      <c r="A128" s="120"/>
      <c r="B128" s="121"/>
      <c r="C128" s="122"/>
      <c r="D128" s="122"/>
      <c r="E128" s="120"/>
      <c r="F128" s="120"/>
      <c r="G128" s="122"/>
      <c r="H128" s="122"/>
      <c r="I128" s="120"/>
      <c r="J128" s="120"/>
      <c r="K128" s="120"/>
    </row>
    <row r="129" spans="1:11" x14ac:dyDescent="0.3">
      <c r="A129" s="120"/>
      <c r="B129" s="121"/>
      <c r="C129" s="122"/>
      <c r="D129" s="122"/>
      <c r="E129" s="120"/>
      <c r="F129" s="120"/>
      <c r="G129" s="122"/>
      <c r="H129" s="122"/>
      <c r="I129" s="120"/>
      <c r="J129" s="120"/>
      <c r="K129" s="120"/>
    </row>
    <row r="130" spans="1:11" x14ac:dyDescent="0.3">
      <c r="A130" s="120"/>
      <c r="B130" s="121"/>
      <c r="C130" s="122"/>
      <c r="D130" s="122"/>
      <c r="E130" s="120"/>
      <c r="F130" s="120"/>
      <c r="G130" s="122"/>
      <c r="H130" s="122"/>
      <c r="I130" s="120"/>
      <c r="J130" s="120"/>
      <c r="K130" s="120"/>
    </row>
    <row r="131" spans="1:11" x14ac:dyDescent="0.3">
      <c r="A131" s="120"/>
      <c r="B131" s="121"/>
      <c r="C131" s="122"/>
      <c r="D131" s="122"/>
      <c r="E131" s="120"/>
      <c r="F131" s="120"/>
      <c r="G131" s="122"/>
      <c r="H131" s="122"/>
      <c r="I131" s="120"/>
      <c r="J131" s="120"/>
      <c r="K131" s="120"/>
    </row>
    <row r="132" spans="1:11" x14ac:dyDescent="0.3">
      <c r="A132" s="120"/>
      <c r="B132" s="121"/>
      <c r="C132" s="122"/>
      <c r="D132" s="122"/>
      <c r="E132" s="120"/>
      <c r="F132" s="120"/>
      <c r="G132" s="122"/>
      <c r="H132" s="122"/>
      <c r="I132" s="120"/>
      <c r="J132" s="120"/>
      <c r="K132" s="120"/>
    </row>
    <row r="133" spans="1:11" x14ac:dyDescent="0.3">
      <c r="A133" s="120"/>
      <c r="B133" s="121"/>
      <c r="C133" s="122"/>
      <c r="D133" s="122"/>
      <c r="E133" s="120"/>
      <c r="F133" s="120"/>
      <c r="G133" s="122"/>
      <c r="H133" s="122"/>
      <c r="I133" s="120"/>
      <c r="J133" s="120"/>
      <c r="K133" s="120"/>
    </row>
    <row r="134" spans="1:11" x14ac:dyDescent="0.3">
      <c r="A134" s="120"/>
      <c r="B134" s="121"/>
      <c r="C134" s="122"/>
      <c r="D134" s="122"/>
      <c r="E134" s="120"/>
      <c r="F134" s="120"/>
      <c r="G134" s="122"/>
      <c r="H134" s="122"/>
      <c r="I134" s="120"/>
      <c r="J134" s="120"/>
      <c r="K134" s="120"/>
    </row>
    <row r="135" spans="1:11" x14ac:dyDescent="0.3">
      <c r="A135" s="120"/>
      <c r="B135" s="121"/>
      <c r="C135" s="122"/>
      <c r="D135" s="122"/>
      <c r="E135" s="120"/>
      <c r="F135" s="120"/>
      <c r="G135" s="122"/>
      <c r="H135" s="122"/>
      <c r="I135" s="120"/>
      <c r="J135" s="120"/>
      <c r="K135" s="120"/>
    </row>
    <row r="136" spans="1:11" x14ac:dyDescent="0.3">
      <c r="A136" s="120"/>
      <c r="B136" s="121"/>
      <c r="C136" s="122"/>
      <c r="D136" s="122"/>
      <c r="E136" s="120"/>
      <c r="F136" s="120"/>
      <c r="G136" s="122"/>
      <c r="H136" s="122"/>
      <c r="I136" s="120"/>
      <c r="J136" s="120"/>
      <c r="K136" s="120"/>
    </row>
    <row r="137" spans="1:11" x14ac:dyDescent="0.3">
      <c r="A137" s="120"/>
      <c r="B137" s="121"/>
      <c r="C137" s="122"/>
      <c r="D137" s="122"/>
      <c r="E137" s="120"/>
      <c r="F137" s="120"/>
      <c r="G137" s="122"/>
      <c r="H137" s="122"/>
      <c r="I137" s="120"/>
      <c r="J137" s="120"/>
      <c r="K137" s="120"/>
    </row>
    <row r="138" spans="1:11" x14ac:dyDescent="0.3">
      <c r="A138" s="120"/>
      <c r="B138" s="121"/>
      <c r="C138" s="122"/>
      <c r="D138" s="122"/>
      <c r="E138" s="120"/>
      <c r="F138" s="120"/>
      <c r="G138" s="122"/>
      <c r="H138" s="122"/>
      <c r="I138" s="120"/>
      <c r="J138" s="120"/>
      <c r="K138" s="120"/>
    </row>
    <row r="139" spans="1:11" x14ac:dyDescent="0.3">
      <c r="A139" s="120"/>
      <c r="B139" s="121"/>
      <c r="C139" s="122"/>
      <c r="D139" s="122"/>
      <c r="E139" s="120"/>
      <c r="F139" s="120"/>
      <c r="G139" s="122"/>
      <c r="H139" s="122"/>
      <c r="I139" s="120"/>
      <c r="J139" s="120"/>
      <c r="K139" s="120"/>
    </row>
    <row r="140" spans="1:11" x14ac:dyDescent="0.3">
      <c r="A140" s="120"/>
      <c r="B140" s="121"/>
      <c r="C140" s="122"/>
      <c r="D140" s="122"/>
      <c r="E140" s="120"/>
      <c r="F140" s="120"/>
      <c r="G140" s="122"/>
      <c r="H140" s="122"/>
      <c r="I140" s="120"/>
      <c r="J140" s="120"/>
      <c r="K140" s="120"/>
    </row>
    <row r="141" spans="1:11" x14ac:dyDescent="0.3">
      <c r="A141" s="120"/>
      <c r="B141" s="121"/>
      <c r="C141" s="122"/>
      <c r="D141" s="122"/>
      <c r="E141" s="120"/>
      <c r="F141" s="120"/>
      <c r="G141" s="122"/>
      <c r="H141" s="122"/>
      <c r="I141" s="120"/>
      <c r="J141" s="120"/>
      <c r="K141" s="120"/>
    </row>
    <row r="142" spans="1:11" x14ac:dyDescent="0.3">
      <c r="A142" s="120"/>
      <c r="B142" s="121"/>
      <c r="C142" s="122"/>
      <c r="D142" s="122"/>
      <c r="E142" s="120"/>
      <c r="F142" s="120"/>
      <c r="G142" s="122"/>
      <c r="H142" s="122"/>
      <c r="I142" s="120"/>
      <c r="J142" s="120"/>
      <c r="K142" s="120"/>
    </row>
    <row r="143" spans="1:11" x14ac:dyDescent="0.3">
      <c r="A143" s="120"/>
      <c r="B143" s="121"/>
      <c r="C143" s="122"/>
      <c r="D143" s="122"/>
      <c r="E143" s="120"/>
      <c r="F143" s="120"/>
      <c r="G143" s="122"/>
      <c r="H143" s="122"/>
      <c r="I143" s="120"/>
      <c r="J143" s="120"/>
      <c r="K143" s="120"/>
    </row>
    <row r="144" spans="1:11" x14ac:dyDescent="0.3">
      <c r="A144" s="120"/>
      <c r="B144" s="121"/>
      <c r="C144" s="122"/>
      <c r="D144" s="122"/>
      <c r="E144" s="120"/>
      <c r="F144" s="120"/>
      <c r="G144" s="122"/>
      <c r="H144" s="122"/>
      <c r="I144" s="120"/>
      <c r="J144" s="120"/>
      <c r="K144" s="120"/>
    </row>
    <row r="145" spans="1:11" x14ac:dyDescent="0.3">
      <c r="A145" s="120"/>
      <c r="B145" s="121"/>
      <c r="C145" s="122"/>
      <c r="D145" s="122"/>
      <c r="E145" s="120"/>
      <c r="F145" s="120"/>
      <c r="G145" s="122"/>
      <c r="H145" s="122"/>
      <c r="I145" s="120"/>
      <c r="J145" s="120"/>
      <c r="K145" s="120"/>
    </row>
    <row r="146" spans="1:11" x14ac:dyDescent="0.3">
      <c r="A146" s="120"/>
      <c r="B146" s="121"/>
      <c r="C146" s="122"/>
      <c r="D146" s="122"/>
      <c r="E146" s="120"/>
      <c r="F146" s="120"/>
      <c r="G146" s="122"/>
      <c r="H146" s="122"/>
      <c r="I146" s="120"/>
      <c r="J146" s="120"/>
      <c r="K146" s="120"/>
    </row>
    <row r="147" spans="1:11" x14ac:dyDescent="0.3">
      <c r="A147" s="120"/>
      <c r="B147" s="121"/>
      <c r="C147" s="122"/>
      <c r="D147" s="122"/>
      <c r="E147" s="120"/>
      <c r="F147" s="120"/>
      <c r="G147" s="122"/>
      <c r="H147" s="122"/>
      <c r="I147" s="120"/>
      <c r="J147" s="120"/>
      <c r="K147" s="120"/>
    </row>
    <row r="148" spans="1:11" x14ac:dyDescent="0.3">
      <c r="A148" s="120"/>
      <c r="B148" s="121"/>
      <c r="C148" s="122"/>
      <c r="D148" s="122"/>
      <c r="E148" s="120"/>
      <c r="F148" s="120"/>
      <c r="G148" s="122"/>
      <c r="H148" s="122"/>
      <c r="I148" s="120"/>
      <c r="J148" s="120"/>
      <c r="K148" s="120"/>
    </row>
    <row r="149" spans="1:11" x14ac:dyDescent="0.3">
      <c r="A149" s="120"/>
      <c r="B149" s="121"/>
      <c r="C149" s="122"/>
      <c r="D149" s="122"/>
      <c r="E149" s="120"/>
      <c r="F149" s="120"/>
      <c r="G149" s="122"/>
      <c r="H149" s="122"/>
      <c r="I149" s="120"/>
      <c r="J149" s="120"/>
      <c r="K149" s="120"/>
    </row>
    <row r="150" spans="1:11" x14ac:dyDescent="0.3">
      <c r="A150" s="120"/>
      <c r="B150" s="121"/>
      <c r="C150" s="122"/>
      <c r="D150" s="122"/>
      <c r="E150" s="120"/>
      <c r="F150" s="120"/>
      <c r="G150" s="122"/>
      <c r="H150" s="122"/>
      <c r="I150" s="120"/>
      <c r="J150" s="120"/>
      <c r="K150" s="120"/>
    </row>
    <row r="151" spans="1:11" x14ac:dyDescent="0.3">
      <c r="A151" s="120"/>
      <c r="B151" s="121"/>
      <c r="C151" s="122"/>
      <c r="D151" s="122"/>
      <c r="E151" s="120"/>
      <c r="F151" s="120"/>
      <c r="G151" s="122"/>
      <c r="H151" s="122"/>
      <c r="I151" s="120"/>
      <c r="J151" s="120"/>
      <c r="K151" s="120"/>
    </row>
    <row r="152" spans="1:11" x14ac:dyDescent="0.3">
      <c r="A152" s="120"/>
      <c r="B152" s="121"/>
      <c r="C152" s="122"/>
      <c r="D152" s="122"/>
      <c r="E152" s="120"/>
      <c r="F152" s="120"/>
      <c r="G152" s="122"/>
      <c r="H152" s="122"/>
      <c r="I152" s="120"/>
      <c r="J152" s="120"/>
      <c r="K152" s="120"/>
    </row>
    <row r="153" spans="1:11" x14ac:dyDescent="0.3">
      <c r="A153" s="120"/>
      <c r="B153" s="121"/>
      <c r="C153" s="122"/>
      <c r="D153" s="122"/>
      <c r="E153" s="120"/>
      <c r="F153" s="120"/>
      <c r="G153" s="122"/>
      <c r="H153" s="122"/>
      <c r="I153" s="120"/>
      <c r="J153" s="120"/>
      <c r="K153" s="120"/>
    </row>
    <row r="154" spans="1:11" x14ac:dyDescent="0.3">
      <c r="A154" s="120"/>
      <c r="B154" s="121"/>
      <c r="C154" s="122"/>
      <c r="D154" s="122"/>
      <c r="E154" s="120"/>
      <c r="F154" s="120"/>
      <c r="G154" s="122"/>
      <c r="H154" s="122"/>
      <c r="I154" s="120"/>
      <c r="J154" s="120"/>
      <c r="K154" s="120"/>
    </row>
    <row r="155" spans="1:11" x14ac:dyDescent="0.3">
      <c r="A155" s="120"/>
      <c r="B155" s="121"/>
      <c r="C155" s="122"/>
      <c r="D155" s="122"/>
      <c r="E155" s="120"/>
      <c r="F155" s="120"/>
      <c r="G155" s="122"/>
      <c r="H155" s="122"/>
      <c r="I155" s="120"/>
      <c r="J155" s="120"/>
      <c r="K155" s="120"/>
    </row>
    <row r="156" spans="1:11" x14ac:dyDescent="0.3">
      <c r="A156" s="120"/>
      <c r="B156" s="121"/>
      <c r="C156" s="122"/>
      <c r="D156" s="122"/>
      <c r="E156" s="120"/>
      <c r="F156" s="120"/>
      <c r="G156" s="122"/>
      <c r="H156" s="122"/>
      <c r="I156" s="120"/>
      <c r="J156" s="120"/>
      <c r="K156" s="120"/>
    </row>
    <row r="157" spans="1:11" x14ac:dyDescent="0.3">
      <c r="A157" s="120"/>
      <c r="B157" s="121"/>
      <c r="C157" s="122"/>
      <c r="D157" s="122"/>
      <c r="E157" s="120"/>
      <c r="F157" s="120"/>
      <c r="G157" s="122"/>
      <c r="H157" s="122"/>
      <c r="I157" s="120"/>
      <c r="J157" s="120"/>
      <c r="K157" s="120"/>
    </row>
    <row r="158" spans="1:11" x14ac:dyDescent="0.3">
      <c r="A158" s="120"/>
      <c r="B158" s="121"/>
      <c r="C158" s="122"/>
      <c r="D158" s="122"/>
      <c r="E158" s="120"/>
      <c r="F158" s="120"/>
      <c r="G158" s="122"/>
      <c r="H158" s="122"/>
      <c r="I158" s="120"/>
      <c r="J158" s="120"/>
      <c r="K158" s="120"/>
    </row>
    <row r="159" spans="1:11" x14ac:dyDescent="0.3">
      <c r="A159" s="120"/>
      <c r="B159" s="121"/>
      <c r="C159" s="122"/>
      <c r="D159" s="122"/>
      <c r="E159" s="120"/>
      <c r="F159" s="120"/>
      <c r="G159" s="122"/>
      <c r="H159" s="122"/>
      <c r="I159" s="120"/>
      <c r="J159" s="120"/>
      <c r="K159" s="120"/>
    </row>
    <row r="160" spans="1:11" x14ac:dyDescent="0.3">
      <c r="A160" s="120"/>
      <c r="B160" s="121"/>
      <c r="C160" s="122"/>
      <c r="D160" s="122"/>
      <c r="E160" s="120"/>
      <c r="F160" s="120"/>
      <c r="G160" s="122"/>
      <c r="H160" s="122"/>
      <c r="I160" s="120"/>
      <c r="J160" s="120"/>
      <c r="K160" s="120"/>
    </row>
    <row r="161" spans="1:11" x14ac:dyDescent="0.3">
      <c r="A161" s="120"/>
      <c r="B161" s="121"/>
      <c r="C161" s="122"/>
      <c r="D161" s="122"/>
      <c r="E161" s="120"/>
      <c r="F161" s="120"/>
      <c r="G161" s="122"/>
      <c r="H161" s="122"/>
      <c r="I161" s="120"/>
      <c r="J161" s="120"/>
      <c r="K161" s="120"/>
    </row>
    <row r="162" spans="1:11" x14ac:dyDescent="0.3">
      <c r="A162" s="120"/>
      <c r="B162" s="121"/>
      <c r="C162" s="122"/>
      <c r="D162" s="122"/>
      <c r="E162" s="120"/>
      <c r="F162" s="120"/>
      <c r="G162" s="122"/>
      <c r="H162" s="122"/>
      <c r="I162" s="120"/>
      <c r="J162" s="120"/>
      <c r="K162" s="120"/>
    </row>
    <row r="163" spans="1:11" x14ac:dyDescent="0.3">
      <c r="A163" s="120"/>
      <c r="B163" s="121"/>
      <c r="C163" s="122"/>
      <c r="D163" s="122"/>
      <c r="E163" s="120"/>
      <c r="F163" s="120"/>
      <c r="G163" s="122"/>
      <c r="H163" s="122"/>
      <c r="I163" s="120"/>
      <c r="J163" s="120"/>
      <c r="K163" s="120"/>
    </row>
    <row r="164" spans="1:11" x14ac:dyDescent="0.3">
      <c r="A164" s="120"/>
      <c r="B164" s="121"/>
      <c r="C164" s="122"/>
      <c r="D164" s="122"/>
      <c r="E164" s="120"/>
      <c r="F164" s="120"/>
      <c r="G164" s="122"/>
      <c r="H164" s="122"/>
      <c r="I164" s="120"/>
      <c r="J164" s="120"/>
      <c r="K164" s="120"/>
    </row>
    <row r="165" spans="1:11" x14ac:dyDescent="0.3">
      <c r="A165" s="120"/>
      <c r="B165" s="121"/>
      <c r="C165" s="122"/>
      <c r="D165" s="122"/>
      <c r="E165" s="120"/>
      <c r="F165" s="120"/>
      <c r="G165" s="122"/>
      <c r="H165" s="122"/>
      <c r="I165" s="120"/>
      <c r="J165" s="120"/>
      <c r="K165" s="120"/>
    </row>
    <row r="166" spans="1:11" x14ac:dyDescent="0.3">
      <c r="A166" s="120"/>
      <c r="B166" s="121"/>
      <c r="C166" s="122"/>
      <c r="D166" s="122"/>
      <c r="E166" s="120"/>
      <c r="F166" s="120"/>
      <c r="G166" s="122"/>
      <c r="H166" s="122"/>
      <c r="I166" s="120"/>
      <c r="J166" s="120"/>
      <c r="K166" s="120"/>
    </row>
    <row r="167" spans="1:11" x14ac:dyDescent="0.3">
      <c r="A167" s="120"/>
      <c r="B167" s="121"/>
      <c r="C167" s="122"/>
      <c r="D167" s="122"/>
      <c r="E167" s="120"/>
      <c r="F167" s="120"/>
      <c r="G167" s="122"/>
      <c r="H167" s="122"/>
      <c r="I167" s="120"/>
      <c r="J167" s="120"/>
      <c r="K167" s="120"/>
    </row>
    <row r="168" spans="1:11" x14ac:dyDescent="0.3">
      <c r="A168" s="120"/>
      <c r="B168" s="121"/>
      <c r="C168" s="122"/>
      <c r="D168" s="122"/>
      <c r="E168" s="120"/>
      <c r="F168" s="120"/>
      <c r="G168" s="122"/>
      <c r="H168" s="122"/>
      <c r="I168" s="120"/>
      <c r="J168" s="120"/>
      <c r="K168" s="120"/>
    </row>
    <row r="169" spans="1:11" x14ac:dyDescent="0.3">
      <c r="A169" s="120"/>
      <c r="B169" s="121"/>
      <c r="C169" s="122"/>
      <c r="D169" s="122"/>
      <c r="E169" s="120"/>
      <c r="F169" s="120"/>
      <c r="G169" s="122"/>
      <c r="H169" s="122"/>
      <c r="I169" s="120"/>
      <c r="J169" s="120"/>
      <c r="K169" s="120"/>
    </row>
    <row r="170" spans="1:11" x14ac:dyDescent="0.3">
      <c r="A170" s="120"/>
      <c r="B170" s="121"/>
      <c r="C170" s="122"/>
      <c r="D170" s="122"/>
      <c r="E170" s="120"/>
      <c r="F170" s="120"/>
      <c r="G170" s="122"/>
      <c r="H170" s="122"/>
      <c r="I170" s="120"/>
      <c r="J170" s="120"/>
      <c r="K170" s="120"/>
    </row>
    <row r="171" spans="1:11" x14ac:dyDescent="0.3">
      <c r="A171" s="120"/>
      <c r="B171" s="121"/>
      <c r="C171" s="122"/>
      <c r="D171" s="122"/>
      <c r="E171" s="120"/>
      <c r="F171" s="120"/>
      <c r="G171" s="122"/>
      <c r="H171" s="122"/>
      <c r="I171" s="120"/>
      <c r="J171" s="120"/>
      <c r="K171" s="120"/>
    </row>
    <row r="172" spans="1:11" x14ac:dyDescent="0.3">
      <c r="A172" s="120"/>
      <c r="B172" s="121"/>
      <c r="C172" s="122"/>
      <c r="D172" s="122"/>
      <c r="E172" s="120"/>
      <c r="F172" s="120"/>
      <c r="G172" s="122"/>
      <c r="H172" s="122"/>
      <c r="I172" s="120"/>
      <c r="J172" s="120"/>
      <c r="K172" s="120"/>
    </row>
    <row r="173" spans="1:11" x14ac:dyDescent="0.3">
      <c r="A173" s="120"/>
      <c r="B173" s="121"/>
      <c r="C173" s="122"/>
      <c r="D173" s="122"/>
      <c r="E173" s="120"/>
      <c r="F173" s="120"/>
      <c r="G173" s="122"/>
      <c r="H173" s="122"/>
      <c r="I173" s="120"/>
      <c r="J173" s="120"/>
      <c r="K173" s="120"/>
    </row>
    <row r="174" spans="1:11" x14ac:dyDescent="0.3">
      <c r="A174" s="120"/>
      <c r="B174" s="121"/>
      <c r="C174" s="122"/>
      <c r="D174" s="122"/>
      <c r="E174" s="120"/>
      <c r="F174" s="120"/>
      <c r="G174" s="122"/>
      <c r="H174" s="122"/>
      <c r="I174" s="120"/>
      <c r="J174" s="120"/>
      <c r="K174" s="120"/>
    </row>
    <row r="175" spans="1:11" x14ac:dyDescent="0.3">
      <c r="A175" s="120"/>
      <c r="B175" s="121"/>
      <c r="C175" s="122"/>
      <c r="D175" s="122"/>
      <c r="E175" s="120"/>
      <c r="F175" s="120"/>
      <c r="G175" s="122"/>
      <c r="H175" s="122"/>
      <c r="I175" s="120"/>
      <c r="J175" s="120"/>
      <c r="K175" s="120"/>
    </row>
    <row r="176" spans="1:11" x14ac:dyDescent="0.3">
      <c r="A176" s="120"/>
      <c r="B176" s="121"/>
      <c r="C176" s="122"/>
      <c r="D176" s="122"/>
      <c r="E176" s="120"/>
      <c r="F176" s="120"/>
      <c r="G176" s="122"/>
      <c r="H176" s="122"/>
      <c r="I176" s="120"/>
      <c r="J176" s="120"/>
      <c r="K176" s="120"/>
    </row>
    <row r="177" spans="1:11" x14ac:dyDescent="0.3">
      <c r="A177" s="120"/>
      <c r="B177" s="121"/>
      <c r="C177" s="122"/>
      <c r="D177" s="122"/>
      <c r="E177" s="120"/>
      <c r="F177" s="120"/>
      <c r="G177" s="122"/>
      <c r="H177" s="122"/>
      <c r="I177" s="120"/>
      <c r="J177" s="120"/>
      <c r="K177" s="120"/>
    </row>
    <row r="178" spans="1:11" x14ac:dyDescent="0.3">
      <c r="A178" s="120"/>
      <c r="B178" s="121"/>
      <c r="C178" s="122"/>
      <c r="D178" s="122"/>
      <c r="E178" s="120"/>
      <c r="F178" s="120"/>
      <c r="G178" s="122"/>
      <c r="H178" s="122"/>
      <c r="I178" s="120"/>
      <c r="J178" s="120"/>
      <c r="K178" s="120"/>
    </row>
    <row r="179" spans="1:11" x14ac:dyDescent="0.3">
      <c r="A179" s="120"/>
      <c r="B179" s="121"/>
      <c r="C179" s="122"/>
      <c r="D179" s="122"/>
      <c r="E179" s="120"/>
      <c r="F179" s="120"/>
      <c r="G179" s="122"/>
      <c r="H179" s="122"/>
      <c r="I179" s="120"/>
      <c r="J179" s="120"/>
      <c r="K179" s="120"/>
    </row>
    <row r="180" spans="1:11" x14ac:dyDescent="0.3">
      <c r="A180" s="120"/>
      <c r="B180" s="121"/>
      <c r="C180" s="122"/>
      <c r="D180" s="122"/>
      <c r="E180" s="120"/>
      <c r="F180" s="120"/>
      <c r="G180" s="122"/>
      <c r="H180" s="122"/>
      <c r="I180" s="120"/>
      <c r="J180" s="120"/>
      <c r="K180" s="120"/>
    </row>
    <row r="181" spans="1:11" x14ac:dyDescent="0.3">
      <c r="A181" s="120"/>
      <c r="B181" s="121"/>
      <c r="C181" s="122"/>
      <c r="D181" s="122"/>
      <c r="E181" s="120"/>
      <c r="F181" s="120"/>
      <c r="G181" s="122"/>
      <c r="H181" s="122"/>
      <c r="I181" s="120"/>
      <c r="J181" s="120"/>
      <c r="K181" s="120"/>
    </row>
    <row r="182" spans="1:11" x14ac:dyDescent="0.3">
      <c r="A182" s="120"/>
      <c r="B182" s="121"/>
      <c r="C182" s="122"/>
      <c r="D182" s="122"/>
      <c r="E182" s="120"/>
      <c r="F182" s="120"/>
      <c r="G182" s="122"/>
      <c r="H182" s="122"/>
      <c r="I182" s="120"/>
      <c r="J182" s="120"/>
      <c r="K182" s="120"/>
    </row>
    <row r="183" spans="1:11" x14ac:dyDescent="0.3">
      <c r="A183" s="120"/>
      <c r="B183" s="121"/>
      <c r="C183" s="122"/>
      <c r="D183" s="122"/>
      <c r="E183" s="120"/>
      <c r="F183" s="120"/>
      <c r="G183" s="122"/>
      <c r="H183" s="122"/>
      <c r="I183" s="120"/>
      <c r="J183" s="120"/>
      <c r="K183" s="120"/>
    </row>
    <row r="184" spans="1:11" x14ac:dyDescent="0.3">
      <c r="A184" s="120"/>
      <c r="B184" s="121"/>
      <c r="C184" s="122"/>
      <c r="D184" s="122"/>
      <c r="E184" s="120"/>
      <c r="F184" s="120"/>
      <c r="G184" s="122"/>
      <c r="H184" s="122"/>
      <c r="I184" s="120"/>
      <c r="J184" s="120"/>
      <c r="K184" s="120"/>
    </row>
    <row r="185" spans="1:11" x14ac:dyDescent="0.3">
      <c r="A185" s="120"/>
      <c r="B185" s="121"/>
      <c r="C185" s="122"/>
      <c r="D185" s="122"/>
      <c r="E185" s="120"/>
      <c r="F185" s="120"/>
      <c r="G185" s="122"/>
      <c r="H185" s="122"/>
      <c r="I185" s="120"/>
      <c r="J185" s="120"/>
      <c r="K185" s="120"/>
    </row>
    <row r="186" spans="1:11" x14ac:dyDescent="0.3">
      <c r="A186" s="120"/>
      <c r="B186" s="121"/>
      <c r="C186" s="122"/>
      <c r="D186" s="122"/>
      <c r="E186" s="120"/>
      <c r="F186" s="120"/>
      <c r="G186" s="122"/>
      <c r="H186" s="122"/>
      <c r="I186" s="120"/>
      <c r="J186" s="120"/>
      <c r="K186" s="120"/>
    </row>
    <row r="187" spans="1:11" x14ac:dyDescent="0.3">
      <c r="A187" s="120"/>
      <c r="B187" s="121"/>
      <c r="C187" s="122"/>
      <c r="D187" s="122"/>
      <c r="E187" s="120"/>
      <c r="F187" s="120"/>
      <c r="G187" s="122"/>
      <c r="H187" s="122"/>
      <c r="I187" s="120"/>
      <c r="J187" s="120"/>
      <c r="K187" s="120"/>
    </row>
    <row r="188" spans="1:11" x14ac:dyDescent="0.3">
      <c r="A188" s="120"/>
      <c r="B188" s="121"/>
      <c r="C188" s="122"/>
      <c r="D188" s="122"/>
      <c r="E188" s="120"/>
      <c r="F188" s="120"/>
      <c r="G188" s="122"/>
      <c r="H188" s="122"/>
      <c r="I188" s="120"/>
      <c r="J188" s="120"/>
      <c r="K188" s="120"/>
    </row>
    <row r="189" spans="1:11" x14ac:dyDescent="0.3">
      <c r="A189" s="120"/>
      <c r="B189" s="121"/>
      <c r="C189" s="122"/>
      <c r="D189" s="122"/>
      <c r="E189" s="120"/>
      <c r="F189" s="120"/>
      <c r="G189" s="122"/>
      <c r="H189" s="122"/>
      <c r="I189" s="120"/>
      <c r="J189" s="120"/>
      <c r="K189" s="120"/>
    </row>
    <row r="190" spans="1:11" x14ac:dyDescent="0.3">
      <c r="A190" s="120"/>
      <c r="B190" s="121"/>
      <c r="C190" s="122"/>
      <c r="D190" s="122"/>
      <c r="E190" s="120"/>
      <c r="F190" s="120"/>
      <c r="G190" s="122"/>
      <c r="H190" s="122"/>
      <c r="I190" s="120"/>
      <c r="J190" s="120"/>
      <c r="K190" s="120"/>
    </row>
    <row r="191" spans="1:11" x14ac:dyDescent="0.3">
      <c r="A191" s="120"/>
      <c r="B191" s="121"/>
      <c r="C191" s="122"/>
      <c r="D191" s="122"/>
      <c r="E191" s="120"/>
      <c r="F191" s="120"/>
      <c r="G191" s="122"/>
      <c r="H191" s="122"/>
      <c r="I191" s="120"/>
      <c r="J191" s="120"/>
      <c r="K191" s="120"/>
    </row>
    <row r="192" spans="1:11" x14ac:dyDescent="0.3">
      <c r="A192" s="120"/>
      <c r="B192" s="121"/>
      <c r="C192" s="122"/>
      <c r="D192" s="122"/>
      <c r="E192" s="120"/>
      <c r="F192" s="120"/>
      <c r="G192" s="122"/>
      <c r="H192" s="122"/>
      <c r="I192" s="120"/>
      <c r="J192" s="120"/>
      <c r="K192" s="120"/>
    </row>
    <row r="193" spans="1:11" x14ac:dyDescent="0.3">
      <c r="A193" s="120"/>
      <c r="B193" s="121"/>
      <c r="C193" s="122"/>
      <c r="D193" s="122"/>
      <c r="E193" s="120"/>
      <c r="F193" s="120"/>
      <c r="G193" s="122"/>
      <c r="H193" s="122"/>
      <c r="I193" s="120"/>
      <c r="J193" s="120"/>
      <c r="K193" s="120"/>
    </row>
    <row r="194" spans="1:11" x14ac:dyDescent="0.3">
      <c r="A194" s="120"/>
      <c r="B194" s="121"/>
      <c r="C194" s="122"/>
      <c r="D194" s="122"/>
      <c r="E194" s="120"/>
      <c r="F194" s="120"/>
      <c r="G194" s="122"/>
      <c r="H194" s="122"/>
      <c r="I194" s="120"/>
      <c r="J194" s="120"/>
      <c r="K194" s="120"/>
    </row>
    <row r="195" spans="1:11" x14ac:dyDescent="0.3">
      <c r="A195" s="120"/>
      <c r="B195" s="121"/>
      <c r="C195" s="122"/>
      <c r="D195" s="122"/>
      <c r="E195" s="120"/>
      <c r="F195" s="120"/>
      <c r="G195" s="122"/>
      <c r="H195" s="122"/>
      <c r="I195" s="120"/>
      <c r="J195" s="120"/>
      <c r="K195" s="120"/>
    </row>
    <row r="196" spans="1:11" x14ac:dyDescent="0.3">
      <c r="A196" s="120"/>
      <c r="B196" s="121"/>
      <c r="C196" s="122"/>
      <c r="D196" s="122"/>
      <c r="E196" s="120"/>
      <c r="F196" s="120"/>
      <c r="G196" s="122"/>
      <c r="H196" s="122"/>
      <c r="I196" s="120"/>
      <c r="J196" s="120"/>
      <c r="K196" s="120"/>
    </row>
    <row r="197" spans="1:11" x14ac:dyDescent="0.3">
      <c r="A197" s="120"/>
      <c r="B197" s="121"/>
      <c r="C197" s="122"/>
      <c r="D197" s="122"/>
      <c r="E197" s="120"/>
      <c r="F197" s="120"/>
      <c r="G197" s="122"/>
      <c r="H197" s="122"/>
      <c r="I197" s="120"/>
      <c r="J197" s="120"/>
      <c r="K197" s="120"/>
    </row>
    <row r="198" spans="1:11" x14ac:dyDescent="0.3">
      <c r="A198" s="120"/>
      <c r="B198" s="121"/>
      <c r="C198" s="122"/>
      <c r="D198" s="122"/>
      <c r="E198" s="120"/>
      <c r="F198" s="120"/>
      <c r="G198" s="122"/>
      <c r="H198" s="122"/>
      <c r="I198" s="120"/>
      <c r="J198" s="120"/>
      <c r="K198" s="120"/>
    </row>
    <row r="199" spans="1:11" x14ac:dyDescent="0.3">
      <c r="A199" s="120"/>
      <c r="B199" s="121"/>
      <c r="C199" s="122"/>
      <c r="D199" s="122"/>
      <c r="E199" s="120"/>
      <c r="F199" s="120"/>
      <c r="G199" s="122"/>
      <c r="H199" s="122"/>
      <c r="I199" s="120"/>
      <c r="J199" s="120"/>
      <c r="K199" s="120"/>
    </row>
    <row r="200" spans="1:11" x14ac:dyDescent="0.3">
      <c r="A200" s="120"/>
      <c r="B200" s="121"/>
      <c r="C200" s="122"/>
      <c r="D200" s="122"/>
      <c r="E200" s="120"/>
      <c r="F200" s="120"/>
      <c r="G200" s="122"/>
      <c r="H200" s="122"/>
      <c r="I200" s="120"/>
      <c r="J200" s="120"/>
      <c r="K200" s="120"/>
    </row>
    <row r="201" spans="1:11" x14ac:dyDescent="0.3">
      <c r="A201" s="120"/>
      <c r="B201" s="121"/>
      <c r="C201" s="122"/>
      <c r="D201" s="122"/>
      <c r="E201" s="120"/>
      <c r="F201" s="120"/>
      <c r="G201" s="122"/>
      <c r="H201" s="122"/>
      <c r="I201" s="120"/>
      <c r="J201" s="120"/>
      <c r="K201" s="120"/>
    </row>
    <row r="202" spans="1:11" x14ac:dyDescent="0.3">
      <c r="A202" s="120"/>
      <c r="B202" s="121"/>
      <c r="C202" s="122"/>
      <c r="D202" s="122"/>
      <c r="E202" s="120"/>
      <c r="F202" s="120"/>
      <c r="G202" s="122"/>
      <c r="H202" s="122"/>
      <c r="I202" s="120"/>
      <c r="J202" s="120"/>
      <c r="K202" s="120"/>
    </row>
  </sheetData>
  <sheetProtection algorithmName="SHA-512" hashValue="MfDlgVA5ORWBgArFnyeh227AZGmls9G2y0ZCJZfbH6/C7d+EDPB45ZMZJHtMw+9n7gqiQkN3htxDuSDHliqr0Q==" saltValue="YKs/Kd75LMawWRvFlgQVuQ==" spinCount="100000" sheet="1" objects="1" scenarios="1"/>
  <conditionalFormatting sqref="A2:A202">
    <cfRule type="expression" dxfId="170" priority="3">
      <formula>AND($A2="", OR($B2&lt;&gt;"",$C2&lt;&gt;"",$D2&lt;&gt;"",$E2&lt;&gt;"",$F2&lt;&gt;"",$G2&lt;&gt;"",$H2&lt;&gt;"", $I2&lt;&gt;"",$K2&lt;&gt;"",$J2&lt;&gt;""))</formula>
    </cfRule>
  </conditionalFormatting>
  <conditionalFormatting sqref="A3:K202">
    <cfRule type="expression" dxfId="169" priority="4">
      <formula>AND(COUNTA($A3:$K3)=0,ROW()&lt;&gt;3)</formula>
    </cfRule>
  </conditionalFormatting>
  <conditionalFormatting sqref="C3:C202">
    <cfRule type="expression" dxfId="168" priority="1">
      <formula>AND(COUNTA($A3:$E3)&gt;0,C3="")</formula>
    </cfRule>
  </conditionalFormatting>
  <conditionalFormatting sqref="F3:F202">
    <cfRule type="expression" dxfId="167" priority="2">
      <formula>AND(AND(COUNTA($A3:$E3)&gt;0,F3=""), C3 = "United States of America (the)")</formula>
    </cfRule>
  </conditionalFormatting>
  <dataValidations count="4">
    <dataValidation type="list" allowBlank="1" showInputMessage="1" showErrorMessage="1" sqref="C4:C202 C3" xr:uid="{C5E05BD3-48E3-49F4-8A1E-98791A244540}">
      <formula1>Options_Countries</formula1>
    </dataValidation>
    <dataValidation type="list" allowBlank="1" showInputMessage="1" showErrorMessage="1" sqref="D3:D202" xr:uid="{BED4E476-2A82-48C9-9336-FAD1F65F820F}">
      <formula1>Options_US_States</formula1>
    </dataValidation>
    <dataValidation type="list" allowBlank="1" showInputMessage="1" showErrorMessage="1" sqref="G3:G202" xr:uid="{7C967545-3356-42CE-8419-9D43A43CF302}">
      <formula1>NAIC_2</formula1>
    </dataValidation>
    <dataValidation type="list" allowBlank="1" showInputMessage="1" showErrorMessage="1" sqref="H3:H202" xr:uid="{9A95A86C-530C-4B40-94DB-EE0CE82C94E8}">
      <formula1>INDIRECT("NAIC_3_"&amp;LEFT(G3,2))</formula1>
    </dataValidation>
  </dataValidations>
  <pageMargins left="0.7" right="0.7" top="0.75" bottom="0.75" header="0.3" footer="0.3"/>
  <pageSetup orientation="portrait" horizontalDpi="1200" verticalDpi="12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262E2-48A8-4505-9AC8-31F6D49518B4}">
  <sheetPr codeName="Sheet3">
    <tabColor rgb="FFD62728"/>
  </sheetPr>
  <dimension ref="A1:F250"/>
  <sheetViews>
    <sheetView topLeftCell="B53" zoomScale="63" workbookViewId="0">
      <selection activeCell="F3" sqref="F3"/>
    </sheetView>
  </sheetViews>
  <sheetFormatPr defaultColWidth="16.7265625" defaultRowHeight="14.5" x14ac:dyDescent="0.35"/>
  <cols>
    <col min="1" max="1" width="54.54296875" bestFit="1" customWidth="1"/>
    <col min="2" max="2" width="33" bestFit="1" customWidth="1"/>
    <col min="3" max="3" width="76.26953125" bestFit="1" customWidth="1"/>
    <col min="4" max="4" width="50.81640625" bestFit="1" customWidth="1"/>
  </cols>
  <sheetData>
    <row r="1" spans="1:6" ht="15" thickBot="1" x14ac:dyDescent="0.4">
      <c r="A1" s="6" t="s">
        <v>134</v>
      </c>
      <c r="B1" s="6" t="s">
        <v>384</v>
      </c>
      <c r="C1" s="6" t="s">
        <v>465</v>
      </c>
      <c r="D1" s="10" t="s">
        <v>464</v>
      </c>
      <c r="F1" s="29" t="s">
        <v>731</v>
      </c>
    </row>
    <row r="2" spans="1:6" x14ac:dyDescent="0.35">
      <c r="A2" s="7" t="s">
        <v>135</v>
      </c>
      <c r="B2" s="7" t="s">
        <v>385</v>
      </c>
      <c r="C2" s="7" t="s">
        <v>444</v>
      </c>
      <c r="D2" s="4" t="s">
        <v>35</v>
      </c>
      <c r="F2">
        <f>IF(Facilities!A3="","",Facilities!A3)</f>
      </c>
    </row>
    <row r="3" spans="1:6" x14ac:dyDescent="0.35">
      <c r="A3" t="s">
        <v>136</v>
      </c>
      <c r="B3" t="s">
        <v>386</v>
      </c>
      <c r="C3" t="s">
        <v>445</v>
      </c>
      <c r="D3" t="s">
        <v>55</v>
      </c>
      <c r="F3">
        <f>IF(Facilities!A4="",F2,Facilities!A4)</f>
      </c>
    </row>
    <row r="4" spans="1:6" x14ac:dyDescent="0.35">
      <c r="A4" s="4" t="s">
        <v>137</v>
      </c>
      <c r="B4" s="4" t="s">
        <v>387</v>
      </c>
      <c r="C4" s="4" t="s">
        <v>446</v>
      </c>
      <c r="D4" s="4" t="s">
        <v>72</v>
      </c>
      <c r="F4">
        <f>IF(Facilities!A5="",F3,Facilities!A5)</f>
      </c>
    </row>
    <row r="5" spans="1:6" x14ac:dyDescent="0.35">
      <c r="A5" t="s">
        <v>138</v>
      </c>
      <c r="B5" t="s">
        <v>388</v>
      </c>
      <c r="C5" t="s">
        <v>447</v>
      </c>
      <c r="D5" t="s">
        <v>86</v>
      </c>
      <c r="F5">
        <f>IF(Facilities!A6="",F4,Facilities!A6)</f>
      </c>
    </row>
    <row r="6" spans="1:6" x14ac:dyDescent="0.35">
      <c r="A6" s="4" t="s">
        <v>139</v>
      </c>
      <c r="B6" s="4" t="s">
        <v>389</v>
      </c>
      <c r="C6" s="4" t="s">
        <v>448</v>
      </c>
      <c r="D6" s="4" t="s">
        <v>94</v>
      </c>
      <c r="F6">
        <f>IF(Facilities!A7="",F5,Facilities!A7)</f>
      </c>
    </row>
    <row r="7" spans="1:6" x14ac:dyDescent="0.35">
      <c r="A7" t="s">
        <v>140</v>
      </c>
      <c r="B7" t="s">
        <v>390</v>
      </c>
      <c r="C7" t="s">
        <v>449</v>
      </c>
      <c r="D7" t="s">
        <v>36</v>
      </c>
      <c r="F7">
        <f>IF(Facilities!A8="",F6,Facilities!A8)</f>
      </c>
    </row>
    <row r="8" spans="1:6" x14ac:dyDescent="0.35">
      <c r="A8" s="4" t="s">
        <v>141</v>
      </c>
      <c r="B8" s="4" t="s">
        <v>391</v>
      </c>
      <c r="C8" s="4" t="s">
        <v>450</v>
      </c>
      <c r="D8" s="4" t="s">
        <v>56</v>
      </c>
      <c r="F8">
        <f>IF(Facilities!A9="",F7,Facilities!A9)</f>
      </c>
    </row>
    <row r="9" spans="1:6" x14ac:dyDescent="0.35">
      <c r="A9" t="s">
        <v>142</v>
      </c>
      <c r="B9" t="s">
        <v>392</v>
      </c>
      <c r="C9" t="s">
        <v>451</v>
      </c>
      <c r="D9" t="s">
        <v>73</v>
      </c>
      <c r="F9">
        <f>IF(Facilities!A10="",F8,Facilities!A10)</f>
      </c>
    </row>
    <row r="10" spans="1:6" x14ac:dyDescent="0.35">
      <c r="A10" s="4" t="s">
        <v>143</v>
      </c>
      <c r="B10" s="4" t="s">
        <v>393</v>
      </c>
      <c r="C10" s="4" t="s">
        <v>452</v>
      </c>
      <c r="D10" s="4" t="s">
        <v>37</v>
      </c>
      <c r="F10">
        <f>IF(Facilities!A11="",F9,Facilities!A11)</f>
      </c>
    </row>
    <row r="11" spans="1:6" x14ac:dyDescent="0.35">
      <c r="A11" t="s">
        <v>144</v>
      </c>
      <c r="B11" t="s">
        <v>394</v>
      </c>
      <c r="C11" t="s">
        <v>453</v>
      </c>
      <c r="D11" t="s">
        <v>38</v>
      </c>
      <c r="F11">
        <f>IF(Facilities!A12="",F10,Facilities!A12)</f>
      </c>
    </row>
    <row r="12" spans="1:6" x14ac:dyDescent="0.35">
      <c r="A12" s="4" t="s">
        <v>145</v>
      </c>
      <c r="B12" s="4" t="s">
        <v>395</v>
      </c>
      <c r="C12" s="4" t="s">
        <v>454</v>
      </c>
      <c r="D12" s="4" t="s">
        <v>57</v>
      </c>
      <c r="F12">
        <f>IF(Facilities!A13="",F11,Facilities!A13)</f>
      </c>
    </row>
    <row r="13" spans="1:6" x14ac:dyDescent="0.35">
      <c r="A13" t="s">
        <v>146</v>
      </c>
      <c r="B13" t="s">
        <v>396</v>
      </c>
      <c r="C13" t="s">
        <v>455</v>
      </c>
      <c r="D13" t="s">
        <v>74</v>
      </c>
      <c r="F13">
        <f>IF(Facilities!A14="",F12,Facilities!A14)</f>
      </c>
    </row>
    <row r="14" spans="1:6" x14ac:dyDescent="0.35">
      <c r="A14" s="4" t="s">
        <v>147</v>
      </c>
      <c r="B14" s="4" t="s">
        <v>397</v>
      </c>
      <c r="C14" s="4" t="s">
        <v>456</v>
      </c>
      <c r="D14" s="4" t="s">
        <v>39</v>
      </c>
      <c r="F14">
        <f>IF(Facilities!A15="",F13,Facilities!A15)</f>
      </c>
    </row>
    <row r="15" spans="1:6" x14ac:dyDescent="0.35">
      <c r="A15" t="s">
        <v>148</v>
      </c>
      <c r="B15" t="s">
        <v>398</v>
      </c>
      <c r="C15" t="s">
        <v>457</v>
      </c>
      <c r="D15" t="s">
        <v>58</v>
      </c>
      <c r="F15">
        <f>IF(Facilities!A16="",F14,Facilities!A16)</f>
      </c>
    </row>
    <row r="16" spans="1:6" x14ac:dyDescent="0.35">
      <c r="A16" s="4" t="s">
        <v>149</v>
      </c>
      <c r="B16" s="4" t="s">
        <v>399</v>
      </c>
      <c r="C16" s="4" t="s">
        <v>458</v>
      </c>
      <c r="D16" s="4" t="s">
        <v>75</v>
      </c>
      <c r="F16">
        <f>IF(Facilities!A17="",F15,Facilities!A17)</f>
      </c>
    </row>
    <row r="17" spans="1:6" x14ac:dyDescent="0.35">
      <c r="A17" t="s">
        <v>150</v>
      </c>
      <c r="B17" t="s">
        <v>400</v>
      </c>
      <c r="C17" t="s">
        <v>459</v>
      </c>
      <c r="D17" t="s">
        <v>87</v>
      </c>
      <c r="F17">
        <f>IF(Facilities!A18="",F16,Facilities!A18)</f>
      </c>
    </row>
    <row r="18" spans="1:6" x14ac:dyDescent="0.35">
      <c r="A18" s="4" t="s">
        <v>151</v>
      </c>
      <c r="B18" s="4" t="s">
        <v>401</v>
      </c>
      <c r="C18" s="4" t="s">
        <v>460</v>
      </c>
      <c r="D18" s="4" t="s">
        <v>95</v>
      </c>
      <c r="F18">
        <f>IF(Facilities!A19="",F17,Facilities!A19)</f>
      </c>
    </row>
    <row r="19" spans="1:6" x14ac:dyDescent="0.35">
      <c r="A19" t="s">
        <v>152</v>
      </c>
      <c r="B19" t="s">
        <v>402</v>
      </c>
      <c r="C19" t="s">
        <v>461</v>
      </c>
      <c r="D19" t="s">
        <v>101</v>
      </c>
      <c r="F19">
        <f>IF(Facilities!A20="",F18,Facilities!A20)</f>
      </c>
    </row>
    <row r="20" spans="1:6" x14ac:dyDescent="0.35">
      <c r="A20" s="4" t="s">
        <v>153</v>
      </c>
      <c r="B20" s="4" t="s">
        <v>403</v>
      </c>
      <c r="C20" s="4" t="s">
        <v>462</v>
      </c>
      <c r="D20" s="4" t="s">
        <v>106</v>
      </c>
      <c r="F20">
        <f>IF(Facilities!A21="",F19,Facilities!A21)</f>
      </c>
    </row>
    <row r="21" spans="1:6" ht="15" thickBot="1" x14ac:dyDescent="0.4">
      <c r="A21" t="s">
        <v>154</v>
      </c>
      <c r="B21" t="s">
        <v>404</v>
      </c>
      <c r="C21" s="9" t="s">
        <v>463</v>
      </c>
      <c r="D21" t="s">
        <v>110</v>
      </c>
      <c r="F21">
        <f>IF(Facilities!A22="",F20,Facilities!A22)</f>
      </c>
    </row>
    <row r="22" spans="1:6" x14ac:dyDescent="0.35">
      <c r="A22" s="4" t="s">
        <v>155</v>
      </c>
      <c r="B22" s="4" t="s">
        <v>405</v>
      </c>
      <c r="D22" s="4" t="s">
        <v>114</v>
      </c>
      <c r="F22">
        <f>IF(Facilities!A23="",F21,Facilities!A23)</f>
      </c>
    </row>
    <row r="23" spans="1:6" x14ac:dyDescent="0.35">
      <c r="A23" t="s">
        <v>156</v>
      </c>
      <c r="B23" t="s">
        <v>406</v>
      </c>
      <c r="D23" t="s">
        <v>117</v>
      </c>
      <c r="F23">
        <f>IF(Facilities!A24="",F22,Facilities!A24)</f>
      </c>
    </row>
    <row r="24" spans="1:6" x14ac:dyDescent="0.35">
      <c r="A24" s="4" t="s">
        <v>157</v>
      </c>
      <c r="B24" s="4" t="s">
        <v>407</v>
      </c>
      <c r="D24" s="4" t="s">
        <v>120</v>
      </c>
      <c r="F24">
        <f>IF(Facilities!A25="",F23,Facilities!A25)</f>
      </c>
    </row>
    <row r="25" spans="1:6" x14ac:dyDescent="0.35">
      <c r="A25" t="s">
        <v>158</v>
      </c>
      <c r="B25" t="s">
        <v>408</v>
      </c>
      <c r="D25" t="s">
        <v>123</v>
      </c>
      <c r="F25">
        <f>IF(Facilities!A26="",F24,Facilities!A26)</f>
      </c>
    </row>
    <row r="26" spans="1:6" x14ac:dyDescent="0.35">
      <c r="A26" s="4" t="s">
        <v>159</v>
      </c>
      <c r="B26" s="4" t="s">
        <v>409</v>
      </c>
      <c r="D26" s="4" t="s">
        <v>125</v>
      </c>
      <c r="F26">
        <f>IF(Facilities!A27="",F25,Facilities!A27)</f>
      </c>
    </row>
    <row r="27" spans="1:6" x14ac:dyDescent="0.35">
      <c r="A27" t="s">
        <v>160</v>
      </c>
      <c r="B27" t="s">
        <v>410</v>
      </c>
      <c r="D27" t="s">
        <v>126</v>
      </c>
      <c r="F27">
        <f>IF(Facilities!A28="",F26,Facilities!A28)</f>
      </c>
    </row>
    <row r="28" spans="1:6" x14ac:dyDescent="0.35">
      <c r="A28" s="4" t="s">
        <v>161</v>
      </c>
      <c r="B28" s="4" t="s">
        <v>411</v>
      </c>
      <c r="D28" s="4" t="s">
        <v>127</v>
      </c>
      <c r="F28">
        <f>IF(Facilities!A29="",F27,Facilities!A29)</f>
      </c>
    </row>
    <row r="29" spans="1:6" x14ac:dyDescent="0.35">
      <c r="A29" t="s">
        <v>162</v>
      </c>
      <c r="B29" t="s">
        <v>412</v>
      </c>
      <c r="D29" t="s">
        <v>128</v>
      </c>
      <c r="F29">
        <f>IF(Facilities!A30="",F28,Facilities!A30)</f>
      </c>
    </row>
    <row r="30" spans="1:6" x14ac:dyDescent="0.35">
      <c r="A30" s="4" t="s">
        <v>163</v>
      </c>
      <c r="B30" s="4" t="s">
        <v>413</v>
      </c>
      <c r="D30" s="4" t="s">
        <v>129</v>
      </c>
      <c r="F30">
        <f>IF(Facilities!A31="",F29,Facilities!A31)</f>
      </c>
    </row>
    <row r="31" spans="1:6" x14ac:dyDescent="0.35">
      <c r="A31" t="s">
        <v>164</v>
      </c>
      <c r="B31" t="s">
        <v>414</v>
      </c>
      <c r="D31" t="s">
        <v>130</v>
      </c>
      <c r="F31">
        <f>IF(Facilities!A32="",F30,Facilities!A32)</f>
      </c>
    </row>
    <row r="32" spans="1:6" x14ac:dyDescent="0.35">
      <c r="A32" s="4" t="s">
        <v>165</v>
      </c>
      <c r="B32" s="4" t="s">
        <v>415</v>
      </c>
      <c r="D32" s="4" t="s">
        <v>131</v>
      </c>
      <c r="F32">
        <f>IF(Facilities!A33="",F31,Facilities!A33)</f>
      </c>
    </row>
    <row r="33" spans="1:6" x14ac:dyDescent="0.35">
      <c r="A33" t="s">
        <v>166</v>
      </c>
      <c r="B33" t="s">
        <v>416</v>
      </c>
      <c r="D33" t="s">
        <v>132</v>
      </c>
      <c r="F33">
        <f>IF(Facilities!A34="",F32,Facilities!A34)</f>
      </c>
    </row>
    <row r="34" spans="1:6" x14ac:dyDescent="0.35">
      <c r="A34" s="4" t="s">
        <v>167</v>
      </c>
      <c r="B34" s="4" t="s">
        <v>417</v>
      </c>
      <c r="D34" s="4" t="s">
        <v>133</v>
      </c>
      <c r="F34">
        <f>IF(Facilities!A35="",F33,Facilities!A35)</f>
      </c>
    </row>
    <row r="35" spans="1:6" x14ac:dyDescent="0.35">
      <c r="A35" t="s">
        <v>168</v>
      </c>
      <c r="B35" t="s">
        <v>418</v>
      </c>
      <c r="D35" t="s">
        <v>40</v>
      </c>
      <c r="F35">
        <f>IF(Facilities!A36="",F34,Facilities!A36)</f>
      </c>
    </row>
    <row r="36" spans="1:6" x14ac:dyDescent="0.35">
      <c r="A36" s="4" t="s">
        <v>169</v>
      </c>
      <c r="B36" s="4" t="s">
        <v>419</v>
      </c>
      <c r="D36" s="4" t="s">
        <v>59</v>
      </c>
      <c r="F36">
        <f>IF(Facilities!A37="",F35,Facilities!A37)</f>
      </c>
    </row>
    <row r="37" spans="1:6" x14ac:dyDescent="0.35">
      <c r="A37" t="s">
        <v>170</v>
      </c>
      <c r="B37" t="s">
        <v>420</v>
      </c>
      <c r="D37" t="s">
        <v>76</v>
      </c>
      <c r="F37">
        <f>IF(Facilities!A38="",F36,Facilities!A38)</f>
      </c>
    </row>
    <row r="38" spans="1:6" x14ac:dyDescent="0.35">
      <c r="A38" s="4" t="s">
        <v>171</v>
      </c>
      <c r="B38" s="4" t="s">
        <v>421</v>
      </c>
      <c r="D38" s="4" t="s">
        <v>41</v>
      </c>
      <c r="F38">
        <f>IF(Facilities!A39="",F37,Facilities!A39)</f>
      </c>
    </row>
    <row r="39" spans="1:6" x14ac:dyDescent="0.35">
      <c r="A39" t="s">
        <v>172</v>
      </c>
      <c r="B39" t="s">
        <v>422</v>
      </c>
      <c r="D39" t="s">
        <v>60</v>
      </c>
      <c r="F39">
        <f>IF(Facilities!A40="",F38,Facilities!A40)</f>
      </c>
    </row>
    <row r="40" spans="1:6" x14ac:dyDescent="0.35">
      <c r="A40" s="4" t="s">
        <v>173</v>
      </c>
      <c r="B40" s="4" t="s">
        <v>423</v>
      </c>
      <c r="D40" s="4" t="s">
        <v>77</v>
      </c>
      <c r="F40">
        <f>IF(Facilities!A41="",F39,Facilities!A41)</f>
      </c>
    </row>
    <row r="41" spans="1:6" x14ac:dyDescent="0.35">
      <c r="A41" t="s">
        <v>174</v>
      </c>
      <c r="B41" t="s">
        <v>424</v>
      </c>
      <c r="D41" t="s">
        <v>88</v>
      </c>
      <c r="F41">
        <f>IF(Facilities!A42="",F40,Facilities!A42)</f>
      </c>
    </row>
    <row r="42" spans="1:6" x14ac:dyDescent="0.35">
      <c r="A42" s="4" t="s">
        <v>175</v>
      </c>
      <c r="B42" s="4" t="s">
        <v>425</v>
      </c>
      <c r="D42" s="4" t="s">
        <v>96</v>
      </c>
      <c r="F42">
        <f>IF(Facilities!A43="",F41,Facilities!A43)</f>
      </c>
    </row>
    <row r="43" spans="1:6" x14ac:dyDescent="0.35">
      <c r="A43" t="s">
        <v>176</v>
      </c>
      <c r="B43" t="s">
        <v>426</v>
      </c>
      <c r="D43" t="s">
        <v>102</v>
      </c>
      <c r="F43">
        <f>IF(Facilities!A44="",F42,Facilities!A44)</f>
      </c>
    </row>
    <row r="44" spans="1:6" x14ac:dyDescent="0.35">
      <c r="A44" s="4" t="s">
        <v>177</v>
      </c>
      <c r="B44" s="4" t="s">
        <v>427</v>
      </c>
      <c r="D44" s="4" t="s">
        <v>107</v>
      </c>
      <c r="F44">
        <f>IF(Facilities!A45="",F43,Facilities!A45)</f>
      </c>
    </row>
    <row r="45" spans="1:6" x14ac:dyDescent="0.35">
      <c r="A45" t="s">
        <v>178</v>
      </c>
      <c r="B45" t="s">
        <v>428</v>
      </c>
      <c r="D45" t="s">
        <v>111</v>
      </c>
      <c r="F45">
        <f>IF(Facilities!A46="",F44,Facilities!A46)</f>
      </c>
    </row>
    <row r="46" spans="1:6" x14ac:dyDescent="0.35">
      <c r="A46" s="4" t="s">
        <v>179</v>
      </c>
      <c r="B46" s="4" t="s">
        <v>429</v>
      </c>
      <c r="D46" s="4" t="s">
        <v>115</v>
      </c>
      <c r="F46">
        <f>IF(Facilities!A47="",F45,Facilities!A47)</f>
      </c>
    </row>
    <row r="47" spans="1:6" x14ac:dyDescent="0.35">
      <c r="A47" t="s">
        <v>180</v>
      </c>
      <c r="B47" t="s">
        <v>430</v>
      </c>
      <c r="D47" t="s">
        <v>118</v>
      </c>
      <c r="F47">
        <f>IF(Facilities!A48="",F46,Facilities!A48)</f>
      </c>
    </row>
    <row r="48" spans="1:6" x14ac:dyDescent="0.35">
      <c r="A48" s="4" t="s">
        <v>181</v>
      </c>
      <c r="B48" s="4" t="s">
        <v>431</v>
      </c>
      <c r="D48" s="4" t="s">
        <v>121</v>
      </c>
      <c r="F48">
        <f>IF(Facilities!A49="",F47,Facilities!A49)</f>
      </c>
    </row>
    <row r="49" spans="1:6" x14ac:dyDescent="0.35">
      <c r="A49" t="s">
        <v>182</v>
      </c>
      <c r="B49" t="s">
        <v>432</v>
      </c>
      <c r="D49" t="s">
        <v>124</v>
      </c>
      <c r="F49">
        <f>IF(Facilities!A50="",F48,Facilities!A50)</f>
      </c>
    </row>
    <row r="50" spans="1:6" x14ac:dyDescent="0.35">
      <c r="A50" s="4" t="s">
        <v>183</v>
      </c>
      <c r="B50" s="4" t="s">
        <v>433</v>
      </c>
      <c r="D50" s="4" t="s">
        <v>42</v>
      </c>
      <c r="F50">
        <f>IF(Facilities!A51="",F49,Facilities!A51)</f>
      </c>
    </row>
    <row r="51" spans="1:6" x14ac:dyDescent="0.35">
      <c r="A51" t="s">
        <v>184</v>
      </c>
      <c r="B51" t="s">
        <v>434</v>
      </c>
      <c r="D51" t="s">
        <v>61</v>
      </c>
      <c r="F51">
        <f>IF(Facilities!A52="",F50,Facilities!A52)</f>
      </c>
    </row>
    <row r="52" spans="1:6" x14ac:dyDescent="0.35">
      <c r="A52" s="4" t="s">
        <v>185</v>
      </c>
      <c r="B52" s="4" t="s">
        <v>435</v>
      </c>
      <c r="D52" s="4" t="s">
        <v>78</v>
      </c>
      <c r="F52">
        <f>IF(Facilities!A53="",F51,Facilities!A53)</f>
      </c>
    </row>
    <row r="53" spans="1:6" x14ac:dyDescent="0.35">
      <c r="A53" t="s">
        <v>186</v>
      </c>
      <c r="B53" t="s">
        <v>436</v>
      </c>
      <c r="D53" t="s">
        <v>89</v>
      </c>
      <c r="F53">
        <f>IF(Facilities!A54="",F52,Facilities!A54)</f>
      </c>
    </row>
    <row r="54" spans="1:6" x14ac:dyDescent="0.35">
      <c r="A54" s="4" t="s">
        <v>187</v>
      </c>
      <c r="B54" s="4" t="s">
        <v>437</v>
      </c>
      <c r="D54" s="4" t="s">
        <v>97</v>
      </c>
      <c r="F54">
        <f>IF(Facilities!A55="",F53,Facilities!A55)</f>
      </c>
    </row>
    <row r="55" spans="1:6" x14ac:dyDescent="0.35">
      <c r="A55" t="s">
        <v>188</v>
      </c>
      <c r="B55" t="s">
        <v>438</v>
      </c>
      <c r="D55" t="s">
        <v>103</v>
      </c>
      <c r="F55">
        <f>IF(Facilities!A56="",F54,Facilities!A56)</f>
      </c>
    </row>
    <row r="56" spans="1:6" x14ac:dyDescent="0.35">
      <c r="A56" s="4" t="s">
        <v>189</v>
      </c>
      <c r="B56" s="4" t="s">
        <v>439</v>
      </c>
      <c r="D56" s="4" t="s">
        <v>108</v>
      </c>
      <c r="F56">
        <f>IF(Facilities!A57="",F55,Facilities!A57)</f>
      </c>
    </row>
    <row r="57" spans="1:6" x14ac:dyDescent="0.35">
      <c r="A57" t="s">
        <v>190</v>
      </c>
      <c r="B57" t="s">
        <v>440</v>
      </c>
      <c r="D57" t="s">
        <v>112</v>
      </c>
      <c r="F57">
        <f>IF(Facilities!A58="",F56,Facilities!A58)</f>
      </c>
    </row>
    <row r="58" spans="1:6" x14ac:dyDescent="0.35">
      <c r="A58" s="4" t="s">
        <v>191</v>
      </c>
      <c r="B58" s="4" t="s">
        <v>441</v>
      </c>
      <c r="D58" s="4" t="s">
        <v>116</v>
      </c>
      <c r="F58">
        <f>IF(Facilities!A59="",F57,Facilities!A59)</f>
      </c>
    </row>
    <row r="59" spans="1:6" x14ac:dyDescent="0.35">
      <c r="A59" t="s">
        <v>192</v>
      </c>
      <c r="B59" t="s">
        <v>442</v>
      </c>
      <c r="D59" t="s">
        <v>119</v>
      </c>
      <c r="F59">
        <f>IF(Facilities!A60="",F58,Facilities!A60)</f>
      </c>
    </row>
    <row r="60" spans="1:6" ht="15" thickBot="1" x14ac:dyDescent="0.4">
      <c r="A60" s="4" t="s">
        <v>193</v>
      </c>
      <c r="B60" s="8" t="s">
        <v>443</v>
      </c>
      <c r="D60" s="4" t="s">
        <v>122</v>
      </c>
      <c r="F60">
        <f>IF(Facilities!A61="",F59,Facilities!A61)</f>
      </c>
    </row>
    <row r="61" spans="1:6" x14ac:dyDescent="0.35">
      <c r="A61" t="s">
        <v>194</v>
      </c>
      <c r="D61" t="s">
        <v>43</v>
      </c>
      <c r="F61">
        <f>IF(Facilities!A62="",F60,Facilities!A62)</f>
      </c>
    </row>
    <row r="62" spans="1:6" x14ac:dyDescent="0.35">
      <c r="A62" s="4" t="s">
        <v>195</v>
      </c>
      <c r="D62" s="4" t="s">
        <v>62</v>
      </c>
      <c r="F62">
        <f>IF(Facilities!A63="",F61,Facilities!A63)</f>
      </c>
    </row>
    <row r="63" spans="1:6" x14ac:dyDescent="0.35">
      <c r="A63" t="s">
        <v>196</v>
      </c>
      <c r="D63" t="s">
        <v>79</v>
      </c>
      <c r="F63">
        <f>IF(Facilities!A64="",F62,Facilities!A64)</f>
      </c>
    </row>
    <row r="64" spans="1:6" x14ac:dyDescent="0.35">
      <c r="A64" s="4" t="s">
        <v>197</v>
      </c>
      <c r="D64" s="4" t="s">
        <v>90</v>
      </c>
      <c r="F64">
        <f>IF(Facilities!A65="",F63,Facilities!A65)</f>
      </c>
    </row>
    <row r="65" spans="1:6" x14ac:dyDescent="0.35">
      <c r="A65" t="s">
        <v>198</v>
      </c>
      <c r="D65" t="s">
        <v>98</v>
      </c>
      <c r="F65">
        <f>IF(Facilities!A66="",F64,Facilities!A66)</f>
      </c>
    </row>
    <row r="66" spans="1:6" x14ac:dyDescent="0.35">
      <c r="A66" s="4" t="s">
        <v>199</v>
      </c>
      <c r="D66" s="4" t="s">
        <v>104</v>
      </c>
      <c r="F66">
        <f>IF(Facilities!A67="",F65,Facilities!A67)</f>
      </c>
    </row>
    <row r="67" spans="1:6" x14ac:dyDescent="0.35">
      <c r="A67" t="s">
        <v>200</v>
      </c>
      <c r="D67" t="s">
        <v>44</v>
      </c>
      <c r="F67">
        <f>IF(Facilities!A68="",F66,Facilities!A68)</f>
      </c>
    </row>
    <row r="68" spans="1:6" x14ac:dyDescent="0.35">
      <c r="A68" s="4" t="s">
        <v>201</v>
      </c>
      <c r="D68" s="4" t="s">
        <v>63</v>
      </c>
      <c r="F68">
        <f>IF(Facilities!A69="",F67,Facilities!A69)</f>
      </c>
    </row>
    <row r="69" spans="1:6" x14ac:dyDescent="0.35">
      <c r="A69" t="s">
        <v>202</v>
      </c>
      <c r="D69" t="s">
        <v>80</v>
      </c>
      <c r="F69">
        <f>IF(Facilities!A70="",F68,Facilities!A70)</f>
      </c>
    </row>
    <row r="70" spans="1:6" x14ac:dyDescent="0.35">
      <c r="A70" s="4" t="s">
        <v>203</v>
      </c>
      <c r="D70" s="4" t="s">
        <v>91</v>
      </c>
      <c r="F70">
        <f>IF(Facilities!A71="",F69,Facilities!A71)</f>
      </c>
    </row>
    <row r="71" spans="1:6" x14ac:dyDescent="0.35">
      <c r="A71" t="s">
        <v>204</v>
      </c>
      <c r="D71" t="s">
        <v>99</v>
      </c>
      <c r="F71">
        <f>IF(Facilities!A72="",F70,Facilities!A72)</f>
      </c>
    </row>
    <row r="72" spans="1:6" x14ac:dyDescent="0.35">
      <c r="A72" s="4" t="s">
        <v>205</v>
      </c>
      <c r="D72" s="4" t="s">
        <v>45</v>
      </c>
      <c r="F72">
        <f>IF(Facilities!A73="",F71,Facilities!A73)</f>
      </c>
    </row>
    <row r="73" spans="1:6" x14ac:dyDescent="0.35">
      <c r="A73" t="s">
        <v>206</v>
      </c>
      <c r="D73" t="s">
        <v>64</v>
      </c>
      <c r="F73">
        <f>IF(Facilities!A74="",F72,Facilities!A74)</f>
      </c>
    </row>
    <row r="74" spans="1:6" x14ac:dyDescent="0.35">
      <c r="A74" s="4" t="s">
        <v>207</v>
      </c>
      <c r="D74" s="4" t="s">
        <v>81</v>
      </c>
      <c r="F74">
        <f>IF(Facilities!A75="",F73,Facilities!A75)</f>
      </c>
    </row>
    <row r="75" spans="1:6" x14ac:dyDescent="0.35">
      <c r="A75" t="s">
        <v>208</v>
      </c>
      <c r="D75" t="s">
        <v>46</v>
      </c>
      <c r="F75">
        <f>IF(Facilities!A76="",F74,Facilities!A76)</f>
      </c>
    </row>
    <row r="76" spans="1:6" x14ac:dyDescent="0.35">
      <c r="A76" s="4" t="s">
        <v>209</v>
      </c>
      <c r="D76" s="4" t="s">
        <v>47</v>
      </c>
      <c r="F76">
        <f>IF(Facilities!A77="",F75,Facilities!A77)</f>
      </c>
    </row>
    <row r="77" spans="1:6" x14ac:dyDescent="0.35">
      <c r="A77" t="s">
        <v>210</v>
      </c>
      <c r="D77" t="s">
        <v>48</v>
      </c>
      <c r="F77">
        <f>IF(Facilities!A78="",F76,Facilities!A78)</f>
      </c>
    </row>
    <row r="78" spans="1:6" x14ac:dyDescent="0.35">
      <c r="A78" s="4" t="s">
        <v>211</v>
      </c>
      <c r="D78" s="4" t="s">
        <v>65</v>
      </c>
      <c r="F78">
        <f>IF(Facilities!A79="",F77,Facilities!A79)</f>
      </c>
    </row>
    <row r="79" spans="1:6" x14ac:dyDescent="0.35">
      <c r="A79" t="s">
        <v>212</v>
      </c>
      <c r="D79" t="s">
        <v>49</v>
      </c>
      <c r="F79">
        <f>IF(Facilities!A80="",F78,Facilities!A80)</f>
      </c>
    </row>
    <row r="80" spans="1:6" x14ac:dyDescent="0.35">
      <c r="A80" s="4" t="s">
        <v>213</v>
      </c>
      <c r="D80" s="4" t="s">
        <v>66</v>
      </c>
      <c r="F80">
        <f>IF(Facilities!A81="",F79,Facilities!A81)</f>
      </c>
    </row>
    <row r="81" spans="1:6" x14ac:dyDescent="0.35">
      <c r="A81" t="s">
        <v>214</v>
      </c>
      <c r="D81" t="s">
        <v>50</v>
      </c>
      <c r="F81">
        <f>IF(Facilities!A82="",F80,Facilities!A82)</f>
      </c>
    </row>
    <row r="82" spans="1:6" x14ac:dyDescent="0.35">
      <c r="A82" s="4" t="s">
        <v>215</v>
      </c>
      <c r="D82" s="4" t="s">
        <v>67</v>
      </c>
      <c r="F82">
        <f>IF(Facilities!A83="",F81,Facilities!A83)</f>
      </c>
    </row>
    <row r="83" spans="1:6" x14ac:dyDescent="0.35">
      <c r="A83" t="s">
        <v>216</v>
      </c>
      <c r="D83" t="s">
        <v>82</v>
      </c>
      <c r="F83">
        <f>IF(Facilities!A84="",F82,Facilities!A84)</f>
      </c>
    </row>
    <row r="84" spans="1:6" x14ac:dyDescent="0.35">
      <c r="A84" s="4" t="s">
        <v>217</v>
      </c>
      <c r="D84" s="4" t="s">
        <v>51</v>
      </c>
      <c r="F84">
        <f>IF(Facilities!A85="",F83,Facilities!A85)</f>
      </c>
    </row>
    <row r="85" spans="1:6" x14ac:dyDescent="0.35">
      <c r="A85" t="s">
        <v>218</v>
      </c>
      <c r="D85" t="s">
        <v>68</v>
      </c>
      <c r="F85">
        <f>IF(Facilities!A86="",F84,Facilities!A86)</f>
      </c>
    </row>
    <row r="86" spans="1:6" x14ac:dyDescent="0.35">
      <c r="A86" s="4" t="s">
        <v>219</v>
      </c>
      <c r="D86" s="4" t="s">
        <v>83</v>
      </c>
      <c r="F86">
        <f>IF(Facilities!A87="",F85,Facilities!A87)</f>
      </c>
    </row>
    <row r="87" spans="1:6" x14ac:dyDescent="0.35">
      <c r="A87" t="s">
        <v>220</v>
      </c>
      <c r="D87" t="s">
        <v>52</v>
      </c>
      <c r="F87">
        <f>IF(Facilities!A88="",F86,Facilities!A88)</f>
      </c>
    </row>
    <row r="88" spans="1:6" x14ac:dyDescent="0.35">
      <c r="A88" s="4" t="s">
        <v>221</v>
      </c>
      <c r="D88" s="4" t="s">
        <v>69</v>
      </c>
      <c r="F88">
        <f>IF(Facilities!A89="",F87,Facilities!A89)</f>
      </c>
    </row>
    <row r="89" spans="1:6" x14ac:dyDescent="0.35">
      <c r="A89" t="s">
        <v>222</v>
      </c>
      <c r="D89" t="s">
        <v>53</v>
      </c>
      <c r="F89">
        <f>IF(Facilities!A90="",F88,Facilities!A90)</f>
      </c>
    </row>
    <row r="90" spans="1:6" x14ac:dyDescent="0.35">
      <c r="A90" s="4" t="s">
        <v>223</v>
      </c>
      <c r="D90" s="4" t="s">
        <v>70</v>
      </c>
      <c r="F90">
        <f>IF(Facilities!A91="",F89,Facilities!A91)</f>
      </c>
    </row>
    <row r="91" spans="1:6" x14ac:dyDescent="0.35">
      <c r="A91" t="s">
        <v>224</v>
      </c>
      <c r="D91" t="s">
        <v>84</v>
      </c>
      <c r="F91">
        <f>IF(Facilities!A92="",F90,Facilities!A92)</f>
      </c>
    </row>
    <row r="92" spans="1:6" x14ac:dyDescent="0.35">
      <c r="A92" s="4" t="s">
        <v>225</v>
      </c>
      <c r="D92" s="4" t="s">
        <v>92</v>
      </c>
      <c r="F92">
        <f>IF(Facilities!A93="",F91,Facilities!A93)</f>
      </c>
    </row>
    <row r="93" spans="1:6" x14ac:dyDescent="0.35">
      <c r="A93" t="s">
        <v>226</v>
      </c>
      <c r="D93" t="s">
        <v>54</v>
      </c>
      <c r="F93">
        <f>IF(Facilities!A94="",F92,Facilities!A94)</f>
      </c>
    </row>
    <row r="94" spans="1:6" x14ac:dyDescent="0.35">
      <c r="A94" s="4" t="s">
        <v>227</v>
      </c>
      <c r="D94" s="4" t="s">
        <v>71</v>
      </c>
      <c r="F94">
        <f>IF(Facilities!A95="",F93,Facilities!A95)</f>
      </c>
    </row>
    <row r="95" spans="1:6" x14ac:dyDescent="0.35">
      <c r="A95" t="s">
        <v>228</v>
      </c>
      <c r="D95" t="s">
        <v>85</v>
      </c>
      <c r="F95">
        <f>IF(Facilities!A96="",F94,Facilities!A96)</f>
      </c>
    </row>
    <row r="96" spans="1:6" x14ac:dyDescent="0.35">
      <c r="A96" s="4" t="s">
        <v>229</v>
      </c>
      <c r="D96" s="4" t="s">
        <v>93</v>
      </c>
      <c r="F96">
        <f>IF(Facilities!A97="",F95,Facilities!A97)</f>
      </c>
    </row>
    <row r="97" spans="1:6" x14ac:dyDescent="0.35">
      <c r="A97" t="s">
        <v>230</v>
      </c>
      <c r="D97" t="s">
        <v>100</v>
      </c>
      <c r="F97">
        <f>IF(Facilities!A98="",F96,Facilities!A98)</f>
      </c>
    </row>
    <row r="98" spans="1:6" x14ac:dyDescent="0.35">
      <c r="A98" s="4" t="s">
        <v>231</v>
      </c>
      <c r="D98" s="4" t="s">
        <v>105</v>
      </c>
      <c r="F98">
        <f>IF(Facilities!A99="",F97,Facilities!A99)</f>
      </c>
    </row>
    <row r="99" spans="1:6" x14ac:dyDescent="0.35">
      <c r="A99" t="s">
        <v>232</v>
      </c>
      <c r="D99" t="s">
        <v>109</v>
      </c>
      <c r="F99">
        <f>IF(Facilities!A100="",F98,Facilities!A100)</f>
      </c>
    </row>
    <row r="100" spans="1:6" ht="15" thickBot="1" x14ac:dyDescent="0.4">
      <c r="A100" s="4" t="s">
        <v>233</v>
      </c>
      <c r="D100" s="8" t="s">
        <v>113</v>
      </c>
      <c r="F100">
        <f>IF(Facilities!A101="",F99,Facilities!A101)</f>
      </c>
    </row>
    <row r="101" spans="1:6" x14ac:dyDescent="0.35">
      <c r="A101" t="s">
        <v>234</v>
      </c>
      <c r="F101">
        <f>IF(Facilities!A102="",F100,Facilities!A102)</f>
      </c>
    </row>
    <row r="102" spans="1:6" x14ac:dyDescent="0.35">
      <c r="A102" s="4" t="s">
        <v>235</v>
      </c>
    </row>
    <row r="103" spans="1:6" x14ac:dyDescent="0.35">
      <c r="A103" t="s">
        <v>236</v>
      </c>
    </row>
    <row r="104" spans="1:6" x14ac:dyDescent="0.35">
      <c r="A104" s="4" t="s">
        <v>237</v>
      </c>
    </row>
    <row r="105" spans="1:6" x14ac:dyDescent="0.35">
      <c r="A105" t="s">
        <v>238</v>
      </c>
    </row>
    <row r="106" spans="1:6" x14ac:dyDescent="0.35">
      <c r="A106" s="4" t="s">
        <v>239</v>
      </c>
    </row>
    <row r="107" spans="1:6" x14ac:dyDescent="0.35">
      <c r="A107" t="s">
        <v>240</v>
      </c>
    </row>
    <row r="108" spans="1:6" x14ac:dyDescent="0.35">
      <c r="A108" s="4" t="s">
        <v>241</v>
      </c>
    </row>
    <row r="109" spans="1:6" x14ac:dyDescent="0.35">
      <c r="A109" t="s">
        <v>242</v>
      </c>
    </row>
    <row r="110" spans="1:6" x14ac:dyDescent="0.35">
      <c r="A110" s="4" t="s">
        <v>243</v>
      </c>
    </row>
    <row r="111" spans="1:6" x14ac:dyDescent="0.35">
      <c r="A111" t="s">
        <v>244</v>
      </c>
    </row>
    <row r="112" spans="1:6" x14ac:dyDescent="0.35">
      <c r="A112" s="4" t="s">
        <v>245</v>
      </c>
    </row>
    <row r="113" spans="1:1" x14ac:dyDescent="0.35">
      <c r="A113" t="s">
        <v>246</v>
      </c>
    </row>
    <row r="114" spans="1:1" x14ac:dyDescent="0.35">
      <c r="A114" s="4" t="s">
        <v>247</v>
      </c>
    </row>
    <row r="115" spans="1:1" x14ac:dyDescent="0.35">
      <c r="A115" t="s">
        <v>248</v>
      </c>
    </row>
    <row r="116" spans="1:1" x14ac:dyDescent="0.35">
      <c r="A116" s="4" t="s">
        <v>249</v>
      </c>
    </row>
    <row r="117" spans="1:1" x14ac:dyDescent="0.35">
      <c r="A117" t="s">
        <v>250</v>
      </c>
    </row>
    <row r="118" spans="1:1" x14ac:dyDescent="0.35">
      <c r="A118" s="4" t="s">
        <v>251</v>
      </c>
    </row>
    <row r="119" spans="1:1" x14ac:dyDescent="0.35">
      <c r="A119" t="s">
        <v>252</v>
      </c>
    </row>
    <row r="120" spans="1:1" x14ac:dyDescent="0.35">
      <c r="A120" s="4" t="s">
        <v>253</v>
      </c>
    </row>
    <row r="121" spans="1:1" x14ac:dyDescent="0.35">
      <c r="A121" t="s">
        <v>254</v>
      </c>
    </row>
    <row r="122" spans="1:1" x14ac:dyDescent="0.35">
      <c r="A122" s="4" t="s">
        <v>255</v>
      </c>
    </row>
    <row r="123" spans="1:1" x14ac:dyDescent="0.35">
      <c r="A123" t="s">
        <v>256</v>
      </c>
    </row>
    <row r="124" spans="1:1" x14ac:dyDescent="0.35">
      <c r="A124" s="4" t="s">
        <v>257</v>
      </c>
    </row>
    <row r="125" spans="1:1" x14ac:dyDescent="0.35">
      <c r="A125" t="s">
        <v>258</v>
      </c>
    </row>
    <row r="126" spans="1:1" x14ac:dyDescent="0.35">
      <c r="A126" s="4" t="s">
        <v>259</v>
      </c>
    </row>
    <row r="127" spans="1:1" x14ac:dyDescent="0.35">
      <c r="A127" t="s">
        <v>260</v>
      </c>
    </row>
    <row r="128" spans="1:1" x14ac:dyDescent="0.35">
      <c r="A128" s="4" t="s">
        <v>261</v>
      </c>
    </row>
    <row r="129" spans="1:1" x14ac:dyDescent="0.35">
      <c r="A129" t="s">
        <v>262</v>
      </c>
    </row>
    <row r="130" spans="1:1" x14ac:dyDescent="0.35">
      <c r="A130" s="4" t="s">
        <v>263</v>
      </c>
    </row>
    <row r="131" spans="1:1" x14ac:dyDescent="0.35">
      <c r="A131" t="s">
        <v>264</v>
      </c>
    </row>
    <row r="132" spans="1:1" x14ac:dyDescent="0.35">
      <c r="A132" s="4" t="s">
        <v>265</v>
      </c>
    </row>
    <row r="133" spans="1:1" x14ac:dyDescent="0.35">
      <c r="A133" t="s">
        <v>266</v>
      </c>
    </row>
    <row r="134" spans="1:1" x14ac:dyDescent="0.35">
      <c r="A134" s="4" t="s">
        <v>267</v>
      </c>
    </row>
    <row r="135" spans="1:1" x14ac:dyDescent="0.35">
      <c r="A135" t="s">
        <v>268</v>
      </c>
    </row>
    <row r="136" spans="1:1" x14ac:dyDescent="0.35">
      <c r="A136" s="4" t="s">
        <v>269</v>
      </c>
    </row>
    <row r="137" spans="1:1" x14ac:dyDescent="0.35">
      <c r="A137" t="s">
        <v>270</v>
      </c>
    </row>
    <row r="138" spans="1:1" x14ac:dyDescent="0.35">
      <c r="A138" s="4" t="s">
        <v>271</v>
      </c>
    </row>
    <row r="139" spans="1:1" x14ac:dyDescent="0.35">
      <c r="A139" t="s">
        <v>272</v>
      </c>
    </row>
    <row r="140" spans="1:1" x14ac:dyDescent="0.35">
      <c r="A140" s="4" t="s">
        <v>273</v>
      </c>
    </row>
    <row r="141" spans="1:1" x14ac:dyDescent="0.35">
      <c r="A141" t="s">
        <v>274</v>
      </c>
    </row>
    <row r="142" spans="1:1" x14ac:dyDescent="0.35">
      <c r="A142" s="4" t="s">
        <v>275</v>
      </c>
    </row>
    <row r="143" spans="1:1" x14ac:dyDescent="0.35">
      <c r="A143" t="s">
        <v>276</v>
      </c>
    </row>
    <row r="144" spans="1:1" x14ac:dyDescent="0.35">
      <c r="A144" s="4" t="s">
        <v>277</v>
      </c>
    </row>
    <row r="145" spans="1:1" x14ac:dyDescent="0.35">
      <c r="A145" t="s">
        <v>278</v>
      </c>
    </row>
    <row r="146" spans="1:1" x14ac:dyDescent="0.35">
      <c r="A146" s="4" t="s">
        <v>279</v>
      </c>
    </row>
    <row r="147" spans="1:1" x14ac:dyDescent="0.35">
      <c r="A147" t="s">
        <v>280</v>
      </c>
    </row>
    <row r="148" spans="1:1" x14ac:dyDescent="0.35">
      <c r="A148" s="4" t="s">
        <v>281</v>
      </c>
    </row>
    <row r="149" spans="1:1" x14ac:dyDescent="0.35">
      <c r="A149" t="s">
        <v>282</v>
      </c>
    </row>
    <row r="150" spans="1:1" x14ac:dyDescent="0.35">
      <c r="A150" s="4" t="s">
        <v>283</v>
      </c>
    </row>
    <row r="151" spans="1:1" x14ac:dyDescent="0.35">
      <c r="A151" t="s">
        <v>284</v>
      </c>
    </row>
    <row r="152" spans="1:1" x14ac:dyDescent="0.35">
      <c r="A152" s="4" t="s">
        <v>285</v>
      </c>
    </row>
    <row r="153" spans="1:1" x14ac:dyDescent="0.35">
      <c r="A153" t="s">
        <v>286</v>
      </c>
    </row>
    <row r="154" spans="1:1" x14ac:dyDescent="0.35">
      <c r="A154" s="4" t="s">
        <v>287</v>
      </c>
    </row>
    <row r="155" spans="1:1" x14ac:dyDescent="0.35">
      <c r="A155" t="s">
        <v>288</v>
      </c>
    </row>
    <row r="156" spans="1:1" x14ac:dyDescent="0.35">
      <c r="A156" s="4" t="s">
        <v>289</v>
      </c>
    </row>
    <row r="157" spans="1:1" x14ac:dyDescent="0.35">
      <c r="A157" t="s">
        <v>290</v>
      </c>
    </row>
    <row r="158" spans="1:1" x14ac:dyDescent="0.35">
      <c r="A158" s="4" t="s">
        <v>291</v>
      </c>
    </row>
    <row r="159" spans="1:1" x14ac:dyDescent="0.35">
      <c r="A159" t="s">
        <v>292</v>
      </c>
    </row>
    <row r="160" spans="1:1" x14ac:dyDescent="0.35">
      <c r="A160" s="4" t="s">
        <v>293</v>
      </c>
    </row>
    <row r="161" spans="1:1" x14ac:dyDescent="0.35">
      <c r="A161" t="s">
        <v>294</v>
      </c>
    </row>
    <row r="162" spans="1:1" x14ac:dyDescent="0.35">
      <c r="A162" s="4" t="s">
        <v>295</v>
      </c>
    </row>
    <row r="163" spans="1:1" x14ac:dyDescent="0.35">
      <c r="A163" t="s">
        <v>296</v>
      </c>
    </row>
    <row r="164" spans="1:1" x14ac:dyDescent="0.35">
      <c r="A164" s="4" t="s">
        <v>297</v>
      </c>
    </row>
    <row r="165" spans="1:1" x14ac:dyDescent="0.35">
      <c r="A165" t="s">
        <v>298</v>
      </c>
    </row>
    <row r="166" spans="1:1" x14ac:dyDescent="0.35">
      <c r="A166" s="4" t="s">
        <v>299</v>
      </c>
    </row>
    <row r="167" spans="1:1" x14ac:dyDescent="0.35">
      <c r="A167" t="s">
        <v>300</v>
      </c>
    </row>
    <row r="168" spans="1:1" x14ac:dyDescent="0.35">
      <c r="A168" s="4" t="s">
        <v>301</v>
      </c>
    </row>
    <row r="169" spans="1:1" x14ac:dyDescent="0.35">
      <c r="A169" t="s">
        <v>302</v>
      </c>
    </row>
    <row r="170" spans="1:1" x14ac:dyDescent="0.35">
      <c r="A170" s="4" t="s">
        <v>303</v>
      </c>
    </row>
    <row r="171" spans="1:1" x14ac:dyDescent="0.35">
      <c r="A171" t="s">
        <v>304</v>
      </c>
    </row>
    <row r="172" spans="1:1" x14ac:dyDescent="0.35">
      <c r="A172" s="4" t="s">
        <v>305</v>
      </c>
    </row>
    <row r="173" spans="1:1" x14ac:dyDescent="0.35">
      <c r="A173" t="s">
        <v>306</v>
      </c>
    </row>
    <row r="174" spans="1:1" x14ac:dyDescent="0.35">
      <c r="A174" s="4" t="s">
        <v>307</v>
      </c>
    </row>
    <row r="175" spans="1:1" x14ac:dyDescent="0.35">
      <c r="A175" t="s">
        <v>308</v>
      </c>
    </row>
    <row r="176" spans="1:1" x14ac:dyDescent="0.35">
      <c r="A176" s="4" t="s">
        <v>309</v>
      </c>
    </row>
    <row r="177" spans="1:1" x14ac:dyDescent="0.35">
      <c r="A177" t="s">
        <v>310</v>
      </c>
    </row>
    <row r="178" spans="1:1" x14ac:dyDescent="0.35">
      <c r="A178" s="4" t="s">
        <v>311</v>
      </c>
    </row>
    <row r="179" spans="1:1" x14ac:dyDescent="0.35">
      <c r="A179" t="s">
        <v>312</v>
      </c>
    </row>
    <row r="180" spans="1:1" x14ac:dyDescent="0.35">
      <c r="A180" s="4" t="s">
        <v>313</v>
      </c>
    </row>
    <row r="181" spans="1:1" x14ac:dyDescent="0.35">
      <c r="A181" t="s">
        <v>314</v>
      </c>
    </row>
    <row r="182" spans="1:1" x14ac:dyDescent="0.35">
      <c r="A182" s="4" t="s">
        <v>315</v>
      </c>
    </row>
    <row r="183" spans="1:1" x14ac:dyDescent="0.35">
      <c r="A183" t="s">
        <v>316</v>
      </c>
    </row>
    <row r="184" spans="1:1" x14ac:dyDescent="0.35">
      <c r="A184" s="4" t="s">
        <v>317</v>
      </c>
    </row>
    <row r="185" spans="1:1" x14ac:dyDescent="0.35">
      <c r="A185" t="s">
        <v>318</v>
      </c>
    </row>
    <row r="186" spans="1:1" x14ac:dyDescent="0.35">
      <c r="A186" s="4" t="s">
        <v>319</v>
      </c>
    </row>
    <row r="187" spans="1:1" x14ac:dyDescent="0.35">
      <c r="A187" t="s">
        <v>320</v>
      </c>
    </row>
    <row r="188" spans="1:1" x14ac:dyDescent="0.35">
      <c r="A188" s="4" t="s">
        <v>321</v>
      </c>
    </row>
    <row r="189" spans="1:1" x14ac:dyDescent="0.35">
      <c r="A189" t="s">
        <v>322</v>
      </c>
    </row>
    <row r="190" spans="1:1" x14ac:dyDescent="0.35">
      <c r="A190" s="4" t="s">
        <v>323</v>
      </c>
    </row>
    <row r="191" spans="1:1" x14ac:dyDescent="0.35">
      <c r="A191" t="s">
        <v>324</v>
      </c>
    </row>
    <row r="192" spans="1:1" x14ac:dyDescent="0.35">
      <c r="A192" s="4" t="s">
        <v>325</v>
      </c>
    </row>
    <row r="193" spans="1:1" x14ac:dyDescent="0.35">
      <c r="A193" t="s">
        <v>326</v>
      </c>
    </row>
    <row r="194" spans="1:1" x14ac:dyDescent="0.35">
      <c r="A194" s="4" t="s">
        <v>327</v>
      </c>
    </row>
    <row r="195" spans="1:1" x14ac:dyDescent="0.35">
      <c r="A195" t="s">
        <v>328</v>
      </c>
    </row>
    <row r="196" spans="1:1" x14ac:dyDescent="0.35">
      <c r="A196" s="4" t="s">
        <v>329</v>
      </c>
    </row>
    <row r="197" spans="1:1" x14ac:dyDescent="0.35">
      <c r="A197" t="s">
        <v>330</v>
      </c>
    </row>
    <row r="198" spans="1:1" x14ac:dyDescent="0.35">
      <c r="A198" s="4" t="s">
        <v>331</v>
      </c>
    </row>
    <row r="199" spans="1:1" x14ac:dyDescent="0.35">
      <c r="A199" t="s">
        <v>332</v>
      </c>
    </row>
    <row r="200" spans="1:1" x14ac:dyDescent="0.35">
      <c r="A200" s="4" t="s">
        <v>333</v>
      </c>
    </row>
    <row r="201" spans="1:1" x14ac:dyDescent="0.35">
      <c r="A201" t="s">
        <v>334</v>
      </c>
    </row>
    <row r="202" spans="1:1" x14ac:dyDescent="0.35">
      <c r="A202" s="4" t="s">
        <v>335</v>
      </c>
    </row>
    <row r="203" spans="1:1" x14ac:dyDescent="0.35">
      <c r="A203" t="s">
        <v>336</v>
      </c>
    </row>
    <row r="204" spans="1:1" x14ac:dyDescent="0.35">
      <c r="A204" s="4" t="s">
        <v>337</v>
      </c>
    </row>
    <row r="205" spans="1:1" x14ac:dyDescent="0.35">
      <c r="A205" t="s">
        <v>338</v>
      </c>
    </row>
    <row r="206" spans="1:1" x14ac:dyDescent="0.35">
      <c r="A206" s="4" t="s">
        <v>339</v>
      </c>
    </row>
    <row r="207" spans="1:1" x14ac:dyDescent="0.35">
      <c r="A207" t="s">
        <v>340</v>
      </c>
    </row>
    <row r="208" spans="1:1" x14ac:dyDescent="0.35">
      <c r="A208" s="4" t="s">
        <v>341</v>
      </c>
    </row>
    <row r="209" spans="1:1" x14ac:dyDescent="0.35">
      <c r="A209" t="s">
        <v>342</v>
      </c>
    </row>
    <row r="210" spans="1:1" x14ac:dyDescent="0.35">
      <c r="A210" s="4" t="s">
        <v>343</v>
      </c>
    </row>
    <row r="211" spans="1:1" x14ac:dyDescent="0.35">
      <c r="A211" t="s">
        <v>344</v>
      </c>
    </row>
    <row r="212" spans="1:1" x14ac:dyDescent="0.35">
      <c r="A212" s="4" t="s">
        <v>345</v>
      </c>
    </row>
    <row r="213" spans="1:1" x14ac:dyDescent="0.35">
      <c r="A213" t="s">
        <v>346</v>
      </c>
    </row>
    <row r="214" spans="1:1" x14ac:dyDescent="0.35">
      <c r="A214" s="4" t="s">
        <v>347</v>
      </c>
    </row>
    <row r="215" spans="1:1" x14ac:dyDescent="0.35">
      <c r="A215" t="s">
        <v>348</v>
      </c>
    </row>
    <row r="216" spans="1:1" x14ac:dyDescent="0.35">
      <c r="A216" s="4" t="s">
        <v>349</v>
      </c>
    </row>
    <row r="217" spans="1:1" x14ac:dyDescent="0.35">
      <c r="A217" t="s">
        <v>350</v>
      </c>
    </row>
    <row r="218" spans="1:1" x14ac:dyDescent="0.35">
      <c r="A218" s="4" t="s">
        <v>351</v>
      </c>
    </row>
    <row r="219" spans="1:1" x14ac:dyDescent="0.35">
      <c r="A219" t="s">
        <v>352</v>
      </c>
    </row>
    <row r="220" spans="1:1" x14ac:dyDescent="0.35">
      <c r="A220" s="4" t="s">
        <v>353</v>
      </c>
    </row>
    <row r="221" spans="1:1" x14ac:dyDescent="0.35">
      <c r="A221" t="s">
        <v>354</v>
      </c>
    </row>
    <row r="222" spans="1:1" x14ac:dyDescent="0.35">
      <c r="A222" s="4" t="s">
        <v>355</v>
      </c>
    </row>
    <row r="223" spans="1:1" x14ac:dyDescent="0.35">
      <c r="A223" t="s">
        <v>356</v>
      </c>
    </row>
    <row r="224" spans="1:1" x14ac:dyDescent="0.35">
      <c r="A224" s="4" t="s">
        <v>357</v>
      </c>
    </row>
    <row r="225" spans="1:1" x14ac:dyDescent="0.35">
      <c r="A225" t="s">
        <v>358</v>
      </c>
    </row>
    <row r="226" spans="1:1" x14ac:dyDescent="0.35">
      <c r="A226" s="4" t="s">
        <v>359</v>
      </c>
    </row>
    <row r="227" spans="1:1" x14ac:dyDescent="0.35">
      <c r="A227" t="s">
        <v>360</v>
      </c>
    </row>
    <row r="228" spans="1:1" x14ac:dyDescent="0.35">
      <c r="A228" s="4" t="s">
        <v>361</v>
      </c>
    </row>
    <row r="229" spans="1:1" x14ac:dyDescent="0.35">
      <c r="A229" t="s">
        <v>362</v>
      </c>
    </row>
    <row r="230" spans="1:1" x14ac:dyDescent="0.35">
      <c r="A230" s="4" t="s">
        <v>363</v>
      </c>
    </row>
    <row r="231" spans="1:1" x14ac:dyDescent="0.35">
      <c r="A231" t="s">
        <v>364</v>
      </c>
    </row>
    <row r="232" spans="1:1" x14ac:dyDescent="0.35">
      <c r="A232" s="4" t="s">
        <v>365</v>
      </c>
    </row>
    <row r="233" spans="1:1" x14ac:dyDescent="0.35">
      <c r="A233" t="s">
        <v>366</v>
      </c>
    </row>
    <row r="234" spans="1:1" x14ac:dyDescent="0.35">
      <c r="A234" s="4" t="s">
        <v>367</v>
      </c>
    </row>
    <row r="235" spans="1:1" x14ac:dyDescent="0.35">
      <c r="A235" t="s">
        <v>368</v>
      </c>
    </row>
    <row r="236" spans="1:1" x14ac:dyDescent="0.35">
      <c r="A236" s="4" t="s">
        <v>369</v>
      </c>
    </row>
    <row r="237" spans="1:1" x14ac:dyDescent="0.35">
      <c r="A237" t="s">
        <v>370</v>
      </c>
    </row>
    <row r="238" spans="1:1" x14ac:dyDescent="0.35">
      <c r="A238" s="4" t="s">
        <v>371</v>
      </c>
    </row>
    <row r="239" spans="1:1" x14ac:dyDescent="0.35">
      <c r="A239" t="s">
        <v>372</v>
      </c>
    </row>
    <row r="240" spans="1:1" x14ac:dyDescent="0.35">
      <c r="A240" s="4" t="s">
        <v>373</v>
      </c>
    </row>
    <row r="241" spans="1:1" x14ac:dyDescent="0.35">
      <c r="A241" t="s">
        <v>374</v>
      </c>
    </row>
    <row r="242" spans="1:1" x14ac:dyDescent="0.35">
      <c r="A242" s="4" t="s">
        <v>375</v>
      </c>
    </row>
    <row r="243" spans="1:1" x14ac:dyDescent="0.35">
      <c r="A243" t="s">
        <v>376</v>
      </c>
    </row>
    <row r="244" spans="1:1" x14ac:dyDescent="0.35">
      <c r="A244" s="4" t="s">
        <v>377</v>
      </c>
    </row>
    <row r="245" spans="1:1" x14ac:dyDescent="0.35">
      <c r="A245" t="s">
        <v>378</v>
      </c>
    </row>
    <row r="246" spans="1:1" x14ac:dyDescent="0.35">
      <c r="A246" s="4" t="s">
        <v>379</v>
      </c>
    </row>
    <row r="247" spans="1:1" x14ac:dyDescent="0.35">
      <c r="A247" t="s">
        <v>380</v>
      </c>
    </row>
    <row r="248" spans="1:1" x14ac:dyDescent="0.35">
      <c r="A248" s="4" t="s">
        <v>381</v>
      </c>
    </row>
    <row r="249" spans="1:1" x14ac:dyDescent="0.35">
      <c r="A249" t="s">
        <v>382</v>
      </c>
    </row>
    <row r="250" spans="1:1" ht="15" thickBot="1" x14ac:dyDescent="0.4">
      <c r="A250" s="5" t="s">
        <v>383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65132-4260-4DD2-AFB6-2D9479FC4A75}">
  <sheetPr codeName="Sheet4">
    <tabColor rgb="FF2CA02C"/>
  </sheetPr>
  <dimension ref="A1:AR202"/>
  <sheetViews>
    <sheetView workbookViewId="0">
      <selection activeCell="E3" sqref="E3"/>
    </sheetView>
  </sheetViews>
  <sheetFormatPr defaultColWidth="0" defaultRowHeight="14" zeroHeight="1" x14ac:dyDescent="0.3"/>
  <cols>
    <col min="1" max="1" width="24.7265625" style="45" customWidth="1"/>
    <col min="2" max="4" width="16.7265625" style="62" customWidth="1"/>
    <col min="5" max="8" width="16.7265625" style="45" customWidth="1"/>
    <col min="9" max="9" width="24.7265625" style="45" customWidth="1"/>
    <col min="10" max="13" width="16.7265625" style="45" customWidth="1"/>
    <col min="14" max="14" width="16.7265625" style="49" customWidth="1"/>
    <col min="15" max="44" width="16.7265625" style="45" customWidth="1"/>
    <col min="45" max="16384" width="9.1796875" style="45" hidden="1"/>
  </cols>
  <sheetData>
    <row r="1" spans="1:44" ht="30" customHeight="1" x14ac:dyDescent="0.3">
      <c r="A1" s="50" t="s">
        <v>821</v>
      </c>
      <c r="B1" s="50"/>
      <c r="C1" s="50"/>
      <c r="D1" s="50"/>
      <c r="E1" s="50"/>
      <c r="F1" s="50"/>
      <c r="G1" s="50"/>
      <c r="H1" s="50"/>
      <c r="I1" s="50"/>
      <c r="J1" s="50"/>
      <c r="K1" s="50"/>
      <c r="L1" s="50"/>
      <c r="M1" s="50"/>
      <c r="N1" s="60"/>
      <c r="O1" s="43" t="s">
        <v>784</v>
      </c>
      <c r="P1" s="44"/>
      <c r="Q1" s="44"/>
      <c r="R1" s="44"/>
      <c r="S1" s="44"/>
      <c r="T1" s="44"/>
      <c r="U1" s="44"/>
      <c r="V1" s="44"/>
      <c r="W1" s="44"/>
      <c r="X1" s="44"/>
      <c r="Y1" s="44"/>
      <c r="Z1" s="44"/>
      <c r="AA1" s="44"/>
      <c r="AB1" s="44"/>
      <c r="AC1" s="44"/>
      <c r="AD1" s="44"/>
      <c r="AE1" s="44"/>
      <c r="AF1" s="44"/>
      <c r="AG1" s="44"/>
      <c r="AH1" s="44"/>
      <c r="AI1" s="44"/>
      <c r="AJ1" s="44"/>
      <c r="AK1" s="44"/>
      <c r="AL1" s="44"/>
      <c r="AM1" s="44"/>
      <c r="AN1" s="44"/>
      <c r="AO1" s="44"/>
      <c r="AP1" s="44"/>
      <c r="AQ1" s="44"/>
      <c r="AR1" s="44"/>
    </row>
    <row r="2" spans="1:44" s="61" customFormat="1" ht="30" customHeight="1" x14ac:dyDescent="0.35">
      <c r="A2" s="99" t="s">
        <v>0</v>
      </c>
      <c r="B2" s="100" t="s">
        <v>1</v>
      </c>
      <c r="C2" s="100" t="s">
        <v>24</v>
      </c>
      <c r="D2" s="100" t="s">
        <v>798</v>
      </c>
      <c r="E2" s="99" t="s">
        <v>479</v>
      </c>
      <c r="F2" s="99" t="s">
        <v>796</v>
      </c>
      <c r="G2" s="99" t="s">
        <v>797</v>
      </c>
      <c r="H2" s="100" t="s">
        <v>5</v>
      </c>
      <c r="I2" s="99" t="s">
        <v>6</v>
      </c>
      <c r="J2" s="99" t="s">
        <v>7</v>
      </c>
      <c r="K2" s="100" t="s">
        <v>480</v>
      </c>
      <c r="L2" s="100" t="s">
        <v>481</v>
      </c>
      <c r="M2" s="100" t="s">
        <v>482</v>
      </c>
      <c r="N2" s="101" t="s">
        <v>8</v>
      </c>
      <c r="O2" s="102" t="str">
        <f>"Charge "&amp;QUOTIENT(COLUMN()-13,2)&amp;" Name"</f>
        <v>Charge 1 Name</v>
      </c>
      <c r="P2" s="103" t="str">
        <f>"Charge "&amp;QUOTIENT(COLUMN()-13,2)&amp;" Type"</f>
        <v>Charge 1 Type</v>
      </c>
      <c r="Q2" s="102" t="str">
        <f>"Charge "&amp;QUOTIENT(COLUMN()-13,2)&amp;" Name"</f>
        <v>Charge 2 Name</v>
      </c>
      <c r="R2" s="103" t="str">
        <f>"Charge "&amp;QUOTIENT(COLUMN()-13,2)&amp;" Type"</f>
        <v>Charge 2 Type</v>
      </c>
      <c r="S2" s="102" t="str">
        <f>"Charge "&amp;QUOTIENT(COLUMN()-13,2)&amp;" Name"</f>
        <v>Charge 3 Name</v>
      </c>
      <c r="T2" s="103" t="str">
        <f>"Charge "&amp;QUOTIENT(COLUMN()-13,2)&amp;" Type"</f>
        <v>Charge 3 Type</v>
      </c>
      <c r="U2" s="102" t="str">
        <f>"Charge "&amp;QUOTIENT(COLUMN()-13,2)&amp;" Name"</f>
        <v>Charge 4 Name</v>
      </c>
      <c r="V2" s="103" t="str">
        <f>"Charge "&amp;QUOTIENT(COLUMN()-13,2)&amp;" Type"</f>
        <v>Charge 4 Type</v>
      </c>
      <c r="W2" s="102" t="str">
        <f>"Charge "&amp;QUOTIENT(COLUMN()-13,2)&amp;" Name"</f>
        <v>Charge 5 Name</v>
      </c>
      <c r="X2" s="103" t="str">
        <f>"Charge "&amp;QUOTIENT(COLUMN()-13,2)&amp;" Type"</f>
        <v>Charge 5 Type</v>
      </c>
      <c r="Y2" s="102" t="str">
        <f>"Charge "&amp;QUOTIENT(COLUMN()-13,2)&amp;" Name"</f>
        <v>Charge 6 Name</v>
      </c>
      <c r="Z2" s="103" t="str">
        <f>"Charge "&amp;QUOTIENT(COLUMN()-13,2)&amp;" Type"</f>
        <v>Charge 6 Type</v>
      </c>
      <c r="AA2" s="102" t="str">
        <f>"Charge "&amp;QUOTIENT(COLUMN()-13,2)&amp;" Name"</f>
        <v>Charge 7 Name</v>
      </c>
      <c r="AB2" s="103" t="str">
        <f>"Charge "&amp;QUOTIENT(COLUMN()-13,2)&amp;" Type"</f>
        <v>Charge 7 Type</v>
      </c>
      <c r="AC2" s="102" t="str">
        <f>"Charge "&amp;QUOTIENT(COLUMN()-13,2)&amp;" Name"</f>
        <v>Charge 8 Name</v>
      </c>
      <c r="AD2" s="103" t="str">
        <f>"Charge "&amp;QUOTIENT(COLUMN()-13,2)&amp;" Type"</f>
        <v>Charge 8 Type</v>
      </c>
      <c r="AE2" s="102" t="str">
        <f>"Charge "&amp;QUOTIENT(COLUMN()-13,2)&amp;" Name"</f>
        <v>Charge 9 Name</v>
      </c>
      <c r="AF2" s="103" t="str">
        <f>"Charge "&amp;QUOTIENT(COLUMN()-13,2)&amp;" Type"</f>
        <v>Charge 9 Type</v>
      </c>
      <c r="AG2" s="102" t="str">
        <f>"Charge "&amp;QUOTIENT(COLUMN()-13,2)&amp;" Name"</f>
        <v>Charge 10 Name</v>
      </c>
      <c r="AH2" s="103" t="str">
        <f>"Charge "&amp;QUOTIENT(COLUMN()-13,2)&amp;" Type"</f>
        <v>Charge 10 Type</v>
      </c>
      <c r="AI2" s="102" t="str">
        <f>"Charge "&amp;QUOTIENT(COLUMN()-13,2)&amp;" Name"</f>
        <v>Charge 11 Name</v>
      </c>
      <c r="AJ2" s="103" t="str">
        <f>"Charge "&amp;QUOTIENT(COLUMN()-13,2)&amp;" Type"</f>
        <v>Charge 11 Type</v>
      </c>
      <c r="AK2" s="102" t="str">
        <f>"Charge "&amp;QUOTIENT(COLUMN()-13,2)&amp;" Name"</f>
        <v>Charge 12 Name</v>
      </c>
      <c r="AL2" s="103" t="str">
        <f>"Charge "&amp;QUOTIENT(COLUMN()-13,2)&amp;" Type"</f>
        <v>Charge 12 Type</v>
      </c>
      <c r="AM2" s="102" t="str">
        <f>"Charge "&amp;QUOTIENT(COLUMN()-13,2)&amp;" Name"</f>
        <v>Charge 13 Name</v>
      </c>
      <c r="AN2" s="103" t="str">
        <f>"Charge "&amp;QUOTIENT(COLUMN()-13,2)&amp;" Type"</f>
        <v>Charge 13 Type</v>
      </c>
      <c r="AO2" s="102" t="str">
        <f>"Charge "&amp;QUOTIENT(COLUMN()-13,2)&amp;" Name"</f>
        <v>Charge 14 Name</v>
      </c>
      <c r="AP2" s="103" t="str">
        <f>"Charge "&amp;QUOTIENT(COLUMN()-13,2)&amp;" Type"</f>
        <v>Charge 14 Type</v>
      </c>
      <c r="AQ2" s="102" t="str">
        <f>"Charge "&amp;QUOTIENT(COLUMN()-13,2)&amp;" Name"</f>
        <v>Charge 15 Name</v>
      </c>
      <c r="AR2" s="104" t="str">
        <f>"Charge "&amp;QUOTIENT(COLUMN()-13,2)&amp;" Type"</f>
        <v>Charge 15 Type</v>
      </c>
    </row>
    <row r="3" spans="1:44" x14ac:dyDescent="0.3">
      <c r="A3" s="126"/>
      <c r="B3" s="127"/>
      <c r="C3" s="127"/>
      <c r="D3" s="127"/>
      <c r="E3" s="126"/>
      <c r="F3" s="126"/>
      <c r="G3" s="126"/>
      <c r="H3" s="128"/>
      <c r="I3" s="126"/>
      <c r="J3" s="126"/>
      <c r="K3" s="128"/>
      <c r="L3" s="128"/>
      <c r="M3" s="128"/>
      <c r="N3" s="129"/>
      <c r="O3" s="130"/>
      <c r="P3" s="131"/>
      <c r="Q3" s="130"/>
      <c r="R3" s="131"/>
      <c r="S3" s="130"/>
      <c r="T3" s="131"/>
      <c r="U3" s="130"/>
      <c r="V3" s="131"/>
      <c r="W3" s="130"/>
      <c r="X3" s="131"/>
      <c r="Y3" s="130"/>
      <c r="Z3" s="131"/>
      <c r="AA3" s="130"/>
      <c r="AB3" s="131"/>
      <c r="AC3" s="130"/>
      <c r="AD3" s="131"/>
      <c r="AE3" s="130"/>
      <c r="AF3" s="131"/>
      <c r="AG3" s="130"/>
      <c r="AH3" s="131"/>
      <c r="AI3" s="130"/>
      <c r="AJ3" s="131"/>
      <c r="AK3" s="130"/>
      <c r="AL3" s="131"/>
      <c r="AM3" s="130"/>
      <c r="AN3" s="131"/>
      <c r="AO3" s="130"/>
      <c r="AP3" s="131"/>
      <c r="AQ3" s="130"/>
      <c r="AR3" s="132"/>
    </row>
    <row r="4" spans="1:44" x14ac:dyDescent="0.3">
      <c r="A4" s="126"/>
      <c r="B4" s="127"/>
      <c r="C4" s="127"/>
      <c r="D4" s="127"/>
      <c r="E4" s="126"/>
      <c r="F4" s="126"/>
      <c r="G4" s="126"/>
      <c r="H4" s="128"/>
      <c r="I4" s="126"/>
      <c r="J4" s="126"/>
      <c r="K4" s="128"/>
      <c r="L4" s="128"/>
      <c r="M4" s="128"/>
      <c r="N4" s="129"/>
      <c r="O4" s="130"/>
      <c r="P4" s="131"/>
      <c r="Q4" s="130"/>
      <c r="R4" s="131"/>
      <c r="S4" s="130"/>
      <c r="T4" s="131"/>
      <c r="U4" s="130"/>
      <c r="V4" s="131"/>
      <c r="W4" s="130"/>
      <c r="X4" s="131"/>
      <c r="Y4" s="130"/>
      <c r="Z4" s="131"/>
      <c r="AA4" s="130"/>
      <c r="AB4" s="131"/>
      <c r="AC4" s="130"/>
      <c r="AD4" s="131"/>
      <c r="AE4" s="130"/>
      <c r="AF4" s="131"/>
      <c r="AG4" s="130"/>
      <c r="AH4" s="131"/>
      <c r="AI4" s="130"/>
      <c r="AJ4" s="131"/>
      <c r="AK4" s="130"/>
      <c r="AL4" s="131"/>
      <c r="AM4" s="130"/>
      <c r="AN4" s="131"/>
      <c r="AO4" s="130"/>
      <c r="AP4" s="131"/>
      <c r="AQ4" s="130"/>
      <c r="AR4" s="132"/>
    </row>
    <row r="5" spans="1:44" x14ac:dyDescent="0.3">
      <c r="A5" s="126"/>
      <c r="B5" s="127"/>
      <c r="C5" s="127"/>
      <c r="D5" s="127"/>
      <c r="E5" s="126"/>
      <c r="F5" s="126"/>
      <c r="G5" s="126"/>
      <c r="H5" s="128"/>
      <c r="I5" s="126"/>
      <c r="J5" s="126"/>
      <c r="K5" s="128"/>
      <c r="L5" s="128"/>
      <c r="M5" s="128"/>
      <c r="N5" s="129"/>
      <c r="O5" s="130"/>
      <c r="P5" s="131"/>
      <c r="Q5" s="130"/>
      <c r="R5" s="131"/>
      <c r="S5" s="130"/>
      <c r="T5" s="131"/>
      <c r="U5" s="130"/>
      <c r="V5" s="131"/>
      <c r="W5" s="130"/>
      <c r="X5" s="131"/>
      <c r="Y5" s="130"/>
      <c r="Z5" s="131"/>
      <c r="AA5" s="130"/>
      <c r="AB5" s="131"/>
      <c r="AC5" s="130"/>
      <c r="AD5" s="131"/>
      <c r="AE5" s="130"/>
      <c r="AF5" s="131"/>
      <c r="AG5" s="130"/>
      <c r="AH5" s="131"/>
      <c r="AI5" s="130"/>
      <c r="AJ5" s="131"/>
      <c r="AK5" s="130"/>
      <c r="AL5" s="131"/>
      <c r="AM5" s="130"/>
      <c r="AN5" s="131"/>
      <c r="AO5" s="130"/>
      <c r="AP5" s="131"/>
      <c r="AQ5" s="130"/>
      <c r="AR5" s="132"/>
    </row>
    <row r="6" spans="1:44" x14ac:dyDescent="0.3">
      <c r="A6" s="126"/>
      <c r="B6" s="127"/>
      <c r="C6" s="127"/>
      <c r="D6" s="127"/>
      <c r="E6" s="126"/>
      <c r="F6" s="126"/>
      <c r="G6" s="126"/>
      <c r="H6" s="128"/>
      <c r="I6" s="126"/>
      <c r="J6" s="126"/>
      <c r="K6" s="128"/>
      <c r="L6" s="128"/>
      <c r="M6" s="128"/>
      <c r="N6" s="129"/>
      <c r="O6" s="130"/>
      <c r="P6" s="131"/>
      <c r="Q6" s="130"/>
      <c r="R6" s="131"/>
      <c r="S6" s="130"/>
      <c r="T6" s="131"/>
      <c r="U6" s="130"/>
      <c r="V6" s="131"/>
      <c r="W6" s="130"/>
      <c r="X6" s="131"/>
      <c r="Y6" s="130"/>
      <c r="Z6" s="131"/>
      <c r="AA6" s="130"/>
      <c r="AB6" s="131"/>
      <c r="AC6" s="130"/>
      <c r="AD6" s="131"/>
      <c r="AE6" s="130"/>
      <c r="AF6" s="131"/>
      <c r="AG6" s="130"/>
      <c r="AH6" s="131"/>
      <c r="AI6" s="130"/>
      <c r="AJ6" s="131"/>
      <c r="AK6" s="130"/>
      <c r="AL6" s="131"/>
      <c r="AM6" s="130"/>
      <c r="AN6" s="131"/>
      <c r="AO6" s="130"/>
      <c r="AP6" s="131"/>
      <c r="AQ6" s="130"/>
      <c r="AR6" s="132"/>
    </row>
    <row r="7" spans="1:44" x14ac:dyDescent="0.3">
      <c r="A7" s="126"/>
      <c r="B7" s="127"/>
      <c r="C7" s="127"/>
      <c r="D7" s="127"/>
      <c r="E7" s="126"/>
      <c r="F7" s="126"/>
      <c r="G7" s="126"/>
      <c r="H7" s="128"/>
      <c r="I7" s="126"/>
      <c r="J7" s="126"/>
      <c r="K7" s="128"/>
      <c r="L7" s="128"/>
      <c r="M7" s="128"/>
      <c r="N7" s="129"/>
      <c r="O7" s="130"/>
      <c r="P7" s="131"/>
      <c r="Q7" s="130"/>
      <c r="R7" s="131"/>
      <c r="S7" s="130"/>
      <c r="T7" s="131"/>
      <c r="U7" s="130"/>
      <c r="V7" s="131"/>
      <c r="W7" s="130"/>
      <c r="X7" s="131"/>
      <c r="Y7" s="130"/>
      <c r="Z7" s="131"/>
      <c r="AA7" s="130"/>
      <c r="AB7" s="131"/>
      <c r="AC7" s="130"/>
      <c r="AD7" s="131"/>
      <c r="AE7" s="130"/>
      <c r="AF7" s="131"/>
      <c r="AG7" s="130"/>
      <c r="AH7" s="131"/>
      <c r="AI7" s="130"/>
      <c r="AJ7" s="131"/>
      <c r="AK7" s="130"/>
      <c r="AL7" s="131"/>
      <c r="AM7" s="130"/>
      <c r="AN7" s="131"/>
      <c r="AO7" s="130"/>
      <c r="AP7" s="131"/>
      <c r="AQ7" s="130"/>
      <c r="AR7" s="132"/>
    </row>
    <row r="8" spans="1:44" x14ac:dyDescent="0.3">
      <c r="A8" s="126"/>
      <c r="B8" s="127"/>
      <c r="C8" s="127"/>
      <c r="D8" s="127"/>
      <c r="E8" s="126"/>
      <c r="F8" s="126"/>
      <c r="G8" s="126"/>
      <c r="H8" s="128"/>
      <c r="I8" s="126"/>
      <c r="J8" s="126"/>
      <c r="K8" s="128"/>
      <c r="L8" s="128"/>
      <c r="M8" s="128"/>
      <c r="N8" s="129"/>
      <c r="O8" s="130"/>
      <c r="P8" s="131"/>
      <c r="Q8" s="130"/>
      <c r="R8" s="131"/>
      <c r="S8" s="130"/>
      <c r="T8" s="131"/>
      <c r="U8" s="130"/>
      <c r="V8" s="131"/>
      <c r="W8" s="130"/>
      <c r="X8" s="131"/>
      <c r="Y8" s="130"/>
      <c r="Z8" s="131"/>
      <c r="AA8" s="130"/>
      <c r="AB8" s="131"/>
      <c r="AC8" s="130"/>
      <c r="AD8" s="131"/>
      <c r="AE8" s="130"/>
      <c r="AF8" s="131"/>
      <c r="AG8" s="130"/>
      <c r="AH8" s="131"/>
      <c r="AI8" s="130"/>
      <c r="AJ8" s="131"/>
      <c r="AK8" s="130"/>
      <c r="AL8" s="131"/>
      <c r="AM8" s="130"/>
      <c r="AN8" s="131"/>
      <c r="AO8" s="130"/>
      <c r="AP8" s="131"/>
      <c r="AQ8" s="130"/>
      <c r="AR8" s="132"/>
    </row>
    <row r="9" spans="1:44" x14ac:dyDescent="0.3">
      <c r="A9" s="126"/>
      <c r="B9" s="127"/>
      <c r="C9" s="127"/>
      <c r="D9" s="127"/>
      <c r="E9" s="126"/>
      <c r="F9" s="126"/>
      <c r="G9" s="126"/>
      <c r="H9" s="128"/>
      <c r="I9" s="126"/>
      <c r="J9" s="126"/>
      <c r="K9" s="128"/>
      <c r="L9" s="128"/>
      <c r="M9" s="128"/>
      <c r="N9" s="129"/>
      <c r="O9" s="130"/>
      <c r="P9" s="131"/>
      <c r="Q9" s="130"/>
      <c r="R9" s="131"/>
      <c r="S9" s="130"/>
      <c r="T9" s="131"/>
      <c r="U9" s="130"/>
      <c r="V9" s="131"/>
      <c r="W9" s="130"/>
      <c r="X9" s="131"/>
      <c r="Y9" s="130"/>
      <c r="Z9" s="131"/>
      <c r="AA9" s="130"/>
      <c r="AB9" s="131"/>
      <c r="AC9" s="130"/>
      <c r="AD9" s="131"/>
      <c r="AE9" s="130"/>
      <c r="AF9" s="131"/>
      <c r="AG9" s="130"/>
      <c r="AH9" s="131"/>
      <c r="AI9" s="130"/>
      <c r="AJ9" s="131"/>
      <c r="AK9" s="130"/>
      <c r="AL9" s="131"/>
      <c r="AM9" s="130"/>
      <c r="AN9" s="131"/>
      <c r="AO9" s="130"/>
      <c r="AP9" s="131"/>
      <c r="AQ9" s="130"/>
      <c r="AR9" s="132"/>
    </row>
    <row r="10" spans="1:44" x14ac:dyDescent="0.3">
      <c r="A10" s="126"/>
      <c r="B10" s="127"/>
      <c r="C10" s="127"/>
      <c r="D10" s="127"/>
      <c r="E10" s="126"/>
      <c r="F10" s="126"/>
      <c r="G10" s="126"/>
      <c r="H10" s="128"/>
      <c r="I10" s="126"/>
      <c r="J10" s="126"/>
      <c r="K10" s="128"/>
      <c r="L10" s="128"/>
      <c r="M10" s="128"/>
      <c r="N10" s="129"/>
      <c r="O10" s="130"/>
      <c r="P10" s="131"/>
      <c r="Q10" s="130"/>
      <c r="R10" s="131"/>
      <c r="S10" s="130"/>
      <c r="T10" s="131"/>
      <c r="U10" s="130"/>
      <c r="V10" s="131"/>
      <c r="W10" s="130"/>
      <c r="X10" s="131"/>
      <c r="Y10" s="130"/>
      <c r="Z10" s="131"/>
      <c r="AA10" s="130"/>
      <c r="AB10" s="131"/>
      <c r="AC10" s="130"/>
      <c r="AD10" s="131"/>
      <c r="AE10" s="130"/>
      <c r="AF10" s="131"/>
      <c r="AG10" s="130"/>
      <c r="AH10" s="131"/>
      <c r="AI10" s="130"/>
      <c r="AJ10" s="131"/>
      <c r="AK10" s="130"/>
      <c r="AL10" s="131"/>
      <c r="AM10" s="130"/>
      <c r="AN10" s="131"/>
      <c r="AO10" s="130"/>
      <c r="AP10" s="131"/>
      <c r="AQ10" s="130"/>
      <c r="AR10" s="132"/>
    </row>
    <row r="11" spans="1:44" x14ac:dyDescent="0.3">
      <c r="A11" s="126"/>
      <c r="B11" s="127"/>
      <c r="C11" s="127"/>
      <c r="D11" s="127"/>
      <c r="E11" s="126"/>
      <c r="F11" s="126"/>
      <c r="G11" s="126"/>
      <c r="H11" s="128"/>
      <c r="I11" s="126"/>
      <c r="J11" s="126"/>
      <c r="K11" s="128"/>
      <c r="L11" s="128"/>
      <c r="M11" s="128"/>
      <c r="N11" s="129"/>
      <c r="O11" s="130"/>
      <c r="P11" s="131"/>
      <c r="Q11" s="130"/>
      <c r="R11" s="131"/>
      <c r="S11" s="130"/>
      <c r="T11" s="131"/>
      <c r="U11" s="130"/>
      <c r="V11" s="131"/>
      <c r="W11" s="130"/>
      <c r="X11" s="131"/>
      <c r="Y11" s="130"/>
      <c r="Z11" s="131"/>
      <c r="AA11" s="130"/>
      <c r="AB11" s="131"/>
      <c r="AC11" s="130"/>
      <c r="AD11" s="131"/>
      <c r="AE11" s="130"/>
      <c r="AF11" s="131"/>
      <c r="AG11" s="130"/>
      <c r="AH11" s="131"/>
      <c r="AI11" s="130"/>
      <c r="AJ11" s="131"/>
      <c r="AK11" s="130"/>
      <c r="AL11" s="131"/>
      <c r="AM11" s="130"/>
      <c r="AN11" s="131"/>
      <c r="AO11" s="130"/>
      <c r="AP11" s="131"/>
      <c r="AQ11" s="130"/>
      <c r="AR11" s="132"/>
    </row>
    <row r="12" spans="1:44" x14ac:dyDescent="0.3">
      <c r="A12" s="126"/>
      <c r="B12" s="127"/>
      <c r="C12" s="127"/>
      <c r="D12" s="127"/>
      <c r="E12" s="126"/>
      <c r="F12" s="126"/>
      <c r="G12" s="126"/>
      <c r="H12" s="128"/>
      <c r="I12" s="126"/>
      <c r="J12" s="126"/>
      <c r="K12" s="128"/>
      <c r="L12" s="128"/>
      <c r="M12" s="128"/>
      <c r="N12" s="129"/>
      <c r="O12" s="130"/>
      <c r="P12" s="131"/>
      <c r="Q12" s="130"/>
      <c r="R12" s="131"/>
      <c r="S12" s="130"/>
      <c r="T12" s="131"/>
      <c r="U12" s="130"/>
      <c r="V12" s="131"/>
      <c r="W12" s="130"/>
      <c r="X12" s="131"/>
      <c r="Y12" s="130"/>
      <c r="Z12" s="131"/>
      <c r="AA12" s="130"/>
      <c r="AB12" s="131"/>
      <c r="AC12" s="130"/>
      <c r="AD12" s="131"/>
      <c r="AE12" s="130"/>
      <c r="AF12" s="131"/>
      <c r="AG12" s="130"/>
      <c r="AH12" s="131"/>
      <c r="AI12" s="130"/>
      <c r="AJ12" s="131"/>
      <c r="AK12" s="130"/>
      <c r="AL12" s="131"/>
      <c r="AM12" s="130"/>
      <c r="AN12" s="131"/>
      <c r="AO12" s="130"/>
      <c r="AP12" s="131"/>
      <c r="AQ12" s="130"/>
      <c r="AR12" s="132"/>
    </row>
    <row r="13" spans="1:44" x14ac:dyDescent="0.3">
      <c r="A13" s="126"/>
      <c r="B13" s="127"/>
      <c r="C13" s="127"/>
      <c r="D13" s="127"/>
      <c r="E13" s="126"/>
      <c r="F13" s="126"/>
      <c r="G13" s="126"/>
      <c r="H13" s="128"/>
      <c r="I13" s="126"/>
      <c r="J13" s="126"/>
      <c r="K13" s="128"/>
      <c r="L13" s="128"/>
      <c r="M13" s="128"/>
      <c r="N13" s="129"/>
      <c r="O13" s="130"/>
      <c r="P13" s="131"/>
      <c r="Q13" s="130"/>
      <c r="R13" s="131"/>
      <c r="S13" s="130"/>
      <c r="T13" s="131"/>
      <c r="U13" s="130"/>
      <c r="V13" s="131"/>
      <c r="W13" s="130"/>
      <c r="X13" s="131"/>
      <c r="Y13" s="130"/>
      <c r="Z13" s="131"/>
      <c r="AA13" s="130"/>
      <c r="AB13" s="131"/>
      <c r="AC13" s="130"/>
      <c r="AD13" s="131"/>
      <c r="AE13" s="130"/>
      <c r="AF13" s="131"/>
      <c r="AG13" s="130"/>
      <c r="AH13" s="131"/>
      <c r="AI13" s="130"/>
      <c r="AJ13" s="131"/>
      <c r="AK13" s="130"/>
      <c r="AL13" s="131"/>
      <c r="AM13" s="130"/>
      <c r="AN13" s="131"/>
      <c r="AO13" s="130"/>
      <c r="AP13" s="131"/>
      <c r="AQ13" s="130"/>
      <c r="AR13" s="132"/>
    </row>
    <row r="14" spans="1:44" x14ac:dyDescent="0.3">
      <c r="A14" s="126"/>
      <c r="B14" s="127"/>
      <c r="C14" s="127"/>
      <c r="D14" s="127"/>
      <c r="E14" s="126"/>
      <c r="F14" s="126"/>
      <c r="G14" s="126"/>
      <c r="H14" s="128"/>
      <c r="I14" s="126"/>
      <c r="J14" s="126"/>
      <c r="K14" s="128"/>
      <c r="L14" s="128"/>
      <c r="M14" s="128"/>
      <c r="N14" s="129"/>
      <c r="O14" s="130"/>
      <c r="P14" s="131"/>
      <c r="Q14" s="130"/>
      <c r="R14" s="131"/>
      <c r="S14" s="130"/>
      <c r="T14" s="131"/>
      <c r="U14" s="130"/>
      <c r="V14" s="131"/>
      <c r="W14" s="130"/>
      <c r="X14" s="131"/>
      <c r="Y14" s="130"/>
      <c r="Z14" s="131"/>
      <c r="AA14" s="130"/>
      <c r="AB14" s="131"/>
      <c r="AC14" s="130"/>
      <c r="AD14" s="131"/>
      <c r="AE14" s="130"/>
      <c r="AF14" s="131"/>
      <c r="AG14" s="130"/>
      <c r="AH14" s="131"/>
      <c r="AI14" s="130"/>
      <c r="AJ14" s="131"/>
      <c r="AK14" s="130"/>
      <c r="AL14" s="131"/>
      <c r="AM14" s="130"/>
      <c r="AN14" s="131"/>
      <c r="AO14" s="130"/>
      <c r="AP14" s="131"/>
      <c r="AQ14" s="130"/>
      <c r="AR14" s="132"/>
    </row>
    <row r="15" spans="1:44" x14ac:dyDescent="0.3">
      <c r="A15" s="126"/>
      <c r="B15" s="127"/>
      <c r="C15" s="127"/>
      <c r="D15" s="127"/>
      <c r="E15" s="126"/>
      <c r="F15" s="126"/>
      <c r="G15" s="126"/>
      <c r="H15" s="128"/>
      <c r="I15" s="126"/>
      <c r="J15" s="126"/>
      <c r="K15" s="128"/>
      <c r="L15" s="128"/>
      <c r="M15" s="128"/>
      <c r="N15" s="129"/>
      <c r="O15" s="130"/>
      <c r="P15" s="131"/>
      <c r="Q15" s="130"/>
      <c r="R15" s="131"/>
      <c r="S15" s="130"/>
      <c r="T15" s="131"/>
      <c r="U15" s="130"/>
      <c r="V15" s="131"/>
      <c r="W15" s="130"/>
      <c r="X15" s="131"/>
      <c r="Y15" s="130"/>
      <c r="Z15" s="131"/>
      <c r="AA15" s="130"/>
      <c r="AB15" s="131"/>
      <c r="AC15" s="130"/>
      <c r="AD15" s="131"/>
      <c r="AE15" s="130"/>
      <c r="AF15" s="131"/>
      <c r="AG15" s="130"/>
      <c r="AH15" s="131"/>
      <c r="AI15" s="130"/>
      <c r="AJ15" s="131"/>
      <c r="AK15" s="130"/>
      <c r="AL15" s="131"/>
      <c r="AM15" s="130"/>
      <c r="AN15" s="131"/>
      <c r="AO15" s="130"/>
      <c r="AP15" s="131"/>
      <c r="AQ15" s="130"/>
      <c r="AR15" s="132"/>
    </row>
    <row r="16" spans="1:44" x14ac:dyDescent="0.3">
      <c r="A16" s="126"/>
      <c r="B16" s="127"/>
      <c r="C16" s="127"/>
      <c r="D16" s="127"/>
      <c r="E16" s="126"/>
      <c r="F16" s="126"/>
      <c r="G16" s="126"/>
      <c r="H16" s="128"/>
      <c r="I16" s="126"/>
      <c r="J16" s="126"/>
      <c r="K16" s="128"/>
      <c r="L16" s="128"/>
      <c r="M16" s="128"/>
      <c r="N16" s="129"/>
      <c r="O16" s="130"/>
      <c r="P16" s="131"/>
      <c r="Q16" s="130"/>
      <c r="R16" s="131"/>
      <c r="S16" s="130"/>
      <c r="T16" s="131"/>
      <c r="U16" s="130"/>
      <c r="V16" s="131"/>
      <c r="W16" s="130"/>
      <c r="X16" s="131"/>
      <c r="Y16" s="130"/>
      <c r="Z16" s="131"/>
      <c r="AA16" s="130"/>
      <c r="AB16" s="131"/>
      <c r="AC16" s="130"/>
      <c r="AD16" s="131"/>
      <c r="AE16" s="130"/>
      <c r="AF16" s="131"/>
      <c r="AG16" s="130"/>
      <c r="AH16" s="131"/>
      <c r="AI16" s="130"/>
      <c r="AJ16" s="131"/>
      <c r="AK16" s="130"/>
      <c r="AL16" s="131"/>
      <c r="AM16" s="130"/>
      <c r="AN16" s="131"/>
      <c r="AO16" s="130"/>
      <c r="AP16" s="131"/>
      <c r="AQ16" s="130"/>
      <c r="AR16" s="132"/>
    </row>
    <row r="17" spans="1:44" x14ac:dyDescent="0.3">
      <c r="A17" s="126"/>
      <c r="B17" s="127"/>
      <c r="C17" s="127"/>
      <c r="D17" s="127"/>
      <c r="E17" s="126"/>
      <c r="F17" s="126"/>
      <c r="G17" s="126"/>
      <c r="H17" s="128"/>
      <c r="I17" s="126"/>
      <c r="J17" s="126"/>
      <c r="K17" s="128"/>
      <c r="L17" s="128"/>
      <c r="M17" s="128"/>
      <c r="N17" s="129"/>
      <c r="O17" s="130"/>
      <c r="P17" s="131"/>
      <c r="Q17" s="130"/>
      <c r="R17" s="131"/>
      <c r="S17" s="130"/>
      <c r="T17" s="131"/>
      <c r="U17" s="130"/>
      <c r="V17" s="131"/>
      <c r="W17" s="130"/>
      <c r="X17" s="131"/>
      <c r="Y17" s="130"/>
      <c r="Z17" s="131"/>
      <c r="AA17" s="130"/>
      <c r="AB17" s="131"/>
      <c r="AC17" s="130"/>
      <c r="AD17" s="131"/>
      <c r="AE17" s="130"/>
      <c r="AF17" s="131"/>
      <c r="AG17" s="130"/>
      <c r="AH17" s="131"/>
      <c r="AI17" s="130"/>
      <c r="AJ17" s="131"/>
      <c r="AK17" s="130"/>
      <c r="AL17" s="131"/>
      <c r="AM17" s="130"/>
      <c r="AN17" s="131"/>
      <c r="AO17" s="130"/>
      <c r="AP17" s="131"/>
      <c r="AQ17" s="130"/>
      <c r="AR17" s="132"/>
    </row>
    <row r="18" spans="1:44" x14ac:dyDescent="0.3">
      <c r="A18" s="126"/>
      <c r="B18" s="127"/>
      <c r="C18" s="127"/>
      <c r="D18" s="127"/>
      <c r="E18" s="126"/>
      <c r="F18" s="126"/>
      <c r="G18" s="126"/>
      <c r="H18" s="128"/>
      <c r="I18" s="126"/>
      <c r="J18" s="126"/>
      <c r="K18" s="128"/>
      <c r="L18" s="128"/>
      <c r="M18" s="128"/>
      <c r="N18" s="129"/>
      <c r="O18" s="130"/>
      <c r="P18" s="131"/>
      <c r="Q18" s="130"/>
      <c r="R18" s="131"/>
      <c r="S18" s="130"/>
      <c r="T18" s="131"/>
      <c r="U18" s="130"/>
      <c r="V18" s="131"/>
      <c r="W18" s="130"/>
      <c r="X18" s="131"/>
      <c r="Y18" s="130"/>
      <c r="Z18" s="131"/>
      <c r="AA18" s="130"/>
      <c r="AB18" s="131"/>
      <c r="AC18" s="130"/>
      <c r="AD18" s="131"/>
      <c r="AE18" s="130"/>
      <c r="AF18" s="131"/>
      <c r="AG18" s="130"/>
      <c r="AH18" s="131"/>
      <c r="AI18" s="130"/>
      <c r="AJ18" s="131"/>
      <c r="AK18" s="130"/>
      <c r="AL18" s="131"/>
      <c r="AM18" s="130"/>
      <c r="AN18" s="131"/>
      <c r="AO18" s="130"/>
      <c r="AP18" s="131"/>
      <c r="AQ18" s="130"/>
      <c r="AR18" s="132"/>
    </row>
    <row r="19" spans="1:44" x14ac:dyDescent="0.3">
      <c r="A19" s="126"/>
      <c r="B19" s="127"/>
      <c r="C19" s="127"/>
      <c r="D19" s="127"/>
      <c r="E19" s="126"/>
      <c r="F19" s="126"/>
      <c r="G19" s="126"/>
      <c r="H19" s="128"/>
      <c r="I19" s="126"/>
      <c r="J19" s="126"/>
      <c r="K19" s="128"/>
      <c r="L19" s="128"/>
      <c r="M19" s="128"/>
      <c r="N19" s="129"/>
      <c r="O19" s="130"/>
      <c r="P19" s="131"/>
      <c r="Q19" s="130"/>
      <c r="R19" s="131"/>
      <c r="S19" s="130"/>
      <c r="T19" s="131"/>
      <c r="U19" s="130"/>
      <c r="V19" s="131"/>
      <c r="W19" s="130"/>
      <c r="X19" s="131"/>
      <c r="Y19" s="130"/>
      <c r="Z19" s="131"/>
      <c r="AA19" s="130"/>
      <c r="AB19" s="131"/>
      <c r="AC19" s="130"/>
      <c r="AD19" s="131"/>
      <c r="AE19" s="130"/>
      <c r="AF19" s="131"/>
      <c r="AG19" s="130"/>
      <c r="AH19" s="131"/>
      <c r="AI19" s="130"/>
      <c r="AJ19" s="131"/>
      <c r="AK19" s="130"/>
      <c r="AL19" s="131"/>
      <c r="AM19" s="130"/>
      <c r="AN19" s="131"/>
      <c r="AO19" s="130"/>
      <c r="AP19" s="131"/>
      <c r="AQ19" s="130"/>
      <c r="AR19" s="132"/>
    </row>
    <row r="20" spans="1:44" x14ac:dyDescent="0.3">
      <c r="A20" s="126"/>
      <c r="B20" s="127"/>
      <c r="C20" s="127"/>
      <c r="D20" s="127"/>
      <c r="E20" s="126"/>
      <c r="F20" s="126"/>
      <c r="G20" s="126"/>
      <c r="H20" s="128"/>
      <c r="I20" s="126"/>
      <c r="J20" s="126"/>
      <c r="K20" s="128"/>
      <c r="L20" s="128"/>
      <c r="M20" s="128"/>
      <c r="N20" s="129"/>
      <c r="O20" s="130"/>
      <c r="P20" s="131"/>
      <c r="Q20" s="130"/>
      <c r="R20" s="131"/>
      <c r="S20" s="130"/>
      <c r="T20" s="131"/>
      <c r="U20" s="130"/>
      <c r="V20" s="131"/>
      <c r="W20" s="130"/>
      <c r="X20" s="131"/>
      <c r="Y20" s="130"/>
      <c r="Z20" s="131"/>
      <c r="AA20" s="130"/>
      <c r="AB20" s="131"/>
      <c r="AC20" s="130"/>
      <c r="AD20" s="131"/>
      <c r="AE20" s="130"/>
      <c r="AF20" s="131"/>
      <c r="AG20" s="130"/>
      <c r="AH20" s="131"/>
      <c r="AI20" s="130"/>
      <c r="AJ20" s="131"/>
      <c r="AK20" s="130"/>
      <c r="AL20" s="131"/>
      <c r="AM20" s="130"/>
      <c r="AN20" s="131"/>
      <c r="AO20" s="130"/>
      <c r="AP20" s="131"/>
      <c r="AQ20" s="130"/>
      <c r="AR20" s="132"/>
    </row>
    <row r="21" spans="1:44" x14ac:dyDescent="0.3">
      <c r="A21" s="126"/>
      <c r="B21" s="127"/>
      <c r="C21" s="127"/>
      <c r="D21" s="127"/>
      <c r="E21" s="126"/>
      <c r="F21" s="126"/>
      <c r="G21" s="126"/>
      <c r="H21" s="128"/>
      <c r="I21" s="126"/>
      <c r="J21" s="126"/>
      <c r="K21" s="128"/>
      <c r="L21" s="128"/>
      <c r="M21" s="128"/>
      <c r="N21" s="129"/>
      <c r="O21" s="130"/>
      <c r="P21" s="131"/>
      <c r="Q21" s="130"/>
      <c r="R21" s="131"/>
      <c r="S21" s="130"/>
      <c r="T21" s="131"/>
      <c r="U21" s="130"/>
      <c r="V21" s="131"/>
      <c r="W21" s="130"/>
      <c r="X21" s="131"/>
      <c r="Y21" s="130"/>
      <c r="Z21" s="131"/>
      <c r="AA21" s="130"/>
      <c r="AB21" s="131"/>
      <c r="AC21" s="130"/>
      <c r="AD21" s="131"/>
      <c r="AE21" s="130"/>
      <c r="AF21" s="131"/>
      <c r="AG21" s="130"/>
      <c r="AH21" s="131"/>
      <c r="AI21" s="130"/>
      <c r="AJ21" s="131"/>
      <c r="AK21" s="130"/>
      <c r="AL21" s="131"/>
      <c r="AM21" s="130"/>
      <c r="AN21" s="131"/>
      <c r="AO21" s="130"/>
      <c r="AP21" s="131"/>
      <c r="AQ21" s="130"/>
      <c r="AR21" s="132"/>
    </row>
    <row r="22" spans="1:44" x14ac:dyDescent="0.3">
      <c r="A22" s="126"/>
      <c r="B22" s="127"/>
      <c r="C22" s="127"/>
      <c r="D22" s="127"/>
      <c r="E22" s="126"/>
      <c r="F22" s="126"/>
      <c r="G22" s="126"/>
      <c r="H22" s="128"/>
      <c r="I22" s="126"/>
      <c r="J22" s="126"/>
      <c r="K22" s="128"/>
      <c r="L22" s="128"/>
      <c r="M22" s="128"/>
      <c r="N22" s="129"/>
      <c r="O22" s="130"/>
      <c r="P22" s="131"/>
      <c r="Q22" s="130"/>
      <c r="R22" s="131"/>
      <c r="S22" s="130"/>
      <c r="T22" s="131"/>
      <c r="U22" s="130"/>
      <c r="V22" s="131"/>
      <c r="W22" s="130"/>
      <c r="X22" s="131"/>
      <c r="Y22" s="130"/>
      <c r="Z22" s="131"/>
      <c r="AA22" s="130"/>
      <c r="AB22" s="131"/>
      <c r="AC22" s="130"/>
      <c r="AD22" s="131"/>
      <c r="AE22" s="130"/>
      <c r="AF22" s="131"/>
      <c r="AG22" s="130"/>
      <c r="AH22" s="131"/>
      <c r="AI22" s="130"/>
      <c r="AJ22" s="131"/>
      <c r="AK22" s="130"/>
      <c r="AL22" s="131"/>
      <c r="AM22" s="130"/>
      <c r="AN22" s="131"/>
      <c r="AO22" s="130"/>
      <c r="AP22" s="131"/>
      <c r="AQ22" s="130"/>
      <c r="AR22" s="132"/>
    </row>
    <row r="23" spans="1:44" x14ac:dyDescent="0.3">
      <c r="A23" s="126"/>
      <c r="B23" s="127"/>
      <c r="C23" s="127"/>
      <c r="D23" s="127"/>
      <c r="E23" s="126"/>
      <c r="F23" s="126"/>
      <c r="G23" s="126"/>
      <c r="H23" s="128"/>
      <c r="I23" s="126"/>
      <c r="J23" s="126"/>
      <c r="K23" s="128"/>
      <c r="L23" s="128"/>
      <c r="M23" s="128"/>
      <c r="N23" s="129"/>
      <c r="O23" s="130"/>
      <c r="P23" s="131"/>
      <c r="Q23" s="130"/>
      <c r="R23" s="131"/>
      <c r="S23" s="130"/>
      <c r="T23" s="131"/>
      <c r="U23" s="130"/>
      <c r="V23" s="131"/>
      <c r="W23" s="130"/>
      <c r="X23" s="131"/>
      <c r="Y23" s="130"/>
      <c r="Z23" s="131"/>
      <c r="AA23" s="130"/>
      <c r="AB23" s="131"/>
      <c r="AC23" s="130"/>
      <c r="AD23" s="131"/>
      <c r="AE23" s="130"/>
      <c r="AF23" s="131"/>
      <c r="AG23" s="130"/>
      <c r="AH23" s="131"/>
      <c r="AI23" s="130"/>
      <c r="AJ23" s="131"/>
      <c r="AK23" s="130"/>
      <c r="AL23" s="131"/>
      <c r="AM23" s="130"/>
      <c r="AN23" s="131"/>
      <c r="AO23" s="130"/>
      <c r="AP23" s="131"/>
      <c r="AQ23" s="130"/>
      <c r="AR23" s="132"/>
    </row>
    <row r="24" spans="1:44" x14ac:dyDescent="0.3">
      <c r="A24" s="126"/>
      <c r="B24" s="127"/>
      <c r="C24" s="127"/>
      <c r="D24" s="127"/>
      <c r="E24" s="126"/>
      <c r="F24" s="126"/>
      <c r="G24" s="126"/>
      <c r="H24" s="128"/>
      <c r="I24" s="126"/>
      <c r="J24" s="126"/>
      <c r="K24" s="128"/>
      <c r="L24" s="128"/>
      <c r="M24" s="128"/>
      <c r="N24" s="129"/>
      <c r="O24" s="130"/>
      <c r="P24" s="131"/>
      <c r="Q24" s="130"/>
      <c r="R24" s="131"/>
      <c r="S24" s="130"/>
      <c r="T24" s="131"/>
      <c r="U24" s="130"/>
      <c r="V24" s="131"/>
      <c r="W24" s="130"/>
      <c r="X24" s="131"/>
      <c r="Y24" s="130"/>
      <c r="Z24" s="131"/>
      <c r="AA24" s="130"/>
      <c r="AB24" s="131"/>
      <c r="AC24" s="130"/>
      <c r="AD24" s="131"/>
      <c r="AE24" s="130"/>
      <c r="AF24" s="131"/>
      <c r="AG24" s="130"/>
      <c r="AH24" s="131"/>
      <c r="AI24" s="130"/>
      <c r="AJ24" s="131"/>
      <c r="AK24" s="130"/>
      <c r="AL24" s="131"/>
      <c r="AM24" s="130"/>
      <c r="AN24" s="131"/>
      <c r="AO24" s="130"/>
      <c r="AP24" s="131"/>
      <c r="AQ24" s="130"/>
      <c r="AR24" s="132"/>
    </row>
    <row r="25" spans="1:44" x14ac:dyDescent="0.3">
      <c r="A25" s="126"/>
      <c r="B25" s="127"/>
      <c r="C25" s="127"/>
      <c r="D25" s="127"/>
      <c r="E25" s="126"/>
      <c r="F25" s="126"/>
      <c r="G25" s="126"/>
      <c r="H25" s="128"/>
      <c r="I25" s="126"/>
      <c r="J25" s="126"/>
      <c r="K25" s="128"/>
      <c r="L25" s="128"/>
      <c r="M25" s="128"/>
      <c r="N25" s="129"/>
      <c r="O25" s="130"/>
      <c r="P25" s="131"/>
      <c r="Q25" s="130"/>
      <c r="R25" s="131"/>
      <c r="S25" s="130"/>
      <c r="T25" s="131"/>
      <c r="U25" s="130"/>
      <c r="V25" s="131"/>
      <c r="W25" s="130"/>
      <c r="X25" s="131"/>
      <c r="Y25" s="130"/>
      <c r="Z25" s="131"/>
      <c r="AA25" s="130"/>
      <c r="AB25" s="131"/>
      <c r="AC25" s="130"/>
      <c r="AD25" s="131"/>
      <c r="AE25" s="130"/>
      <c r="AF25" s="131"/>
      <c r="AG25" s="130"/>
      <c r="AH25" s="131"/>
      <c r="AI25" s="130"/>
      <c r="AJ25" s="131"/>
      <c r="AK25" s="130"/>
      <c r="AL25" s="131"/>
      <c r="AM25" s="130"/>
      <c r="AN25" s="131"/>
      <c r="AO25" s="130"/>
      <c r="AP25" s="131"/>
      <c r="AQ25" s="130"/>
      <c r="AR25" s="132"/>
    </row>
    <row r="26" spans="1:44" x14ac:dyDescent="0.3">
      <c r="A26" s="126"/>
      <c r="B26" s="127"/>
      <c r="C26" s="127"/>
      <c r="D26" s="127"/>
      <c r="E26" s="126"/>
      <c r="F26" s="126"/>
      <c r="G26" s="126"/>
      <c r="H26" s="128"/>
      <c r="I26" s="126"/>
      <c r="J26" s="126"/>
      <c r="K26" s="128"/>
      <c r="L26" s="128"/>
      <c r="M26" s="128"/>
      <c r="N26" s="129"/>
      <c r="O26" s="130"/>
      <c r="P26" s="131"/>
      <c r="Q26" s="130"/>
      <c r="R26" s="131"/>
      <c r="S26" s="130"/>
      <c r="T26" s="131"/>
      <c r="U26" s="130"/>
      <c r="V26" s="131"/>
      <c r="W26" s="130"/>
      <c r="X26" s="131"/>
      <c r="Y26" s="130"/>
      <c r="Z26" s="131"/>
      <c r="AA26" s="130"/>
      <c r="AB26" s="131"/>
      <c r="AC26" s="130"/>
      <c r="AD26" s="131"/>
      <c r="AE26" s="130"/>
      <c r="AF26" s="131"/>
      <c r="AG26" s="130"/>
      <c r="AH26" s="131"/>
      <c r="AI26" s="130"/>
      <c r="AJ26" s="131"/>
      <c r="AK26" s="130"/>
      <c r="AL26" s="131"/>
      <c r="AM26" s="130"/>
      <c r="AN26" s="131"/>
      <c r="AO26" s="130"/>
      <c r="AP26" s="131"/>
      <c r="AQ26" s="130"/>
      <c r="AR26" s="132"/>
    </row>
    <row r="27" spans="1:44" x14ac:dyDescent="0.3">
      <c r="A27" s="126"/>
      <c r="B27" s="127"/>
      <c r="C27" s="127"/>
      <c r="D27" s="127"/>
      <c r="E27" s="126"/>
      <c r="F27" s="126"/>
      <c r="G27" s="126"/>
      <c r="H27" s="128"/>
      <c r="I27" s="126"/>
      <c r="J27" s="126"/>
      <c r="K27" s="128"/>
      <c r="L27" s="128"/>
      <c r="M27" s="128"/>
      <c r="N27" s="129"/>
      <c r="O27" s="130"/>
      <c r="P27" s="131"/>
      <c r="Q27" s="130"/>
      <c r="R27" s="131"/>
      <c r="S27" s="130"/>
      <c r="T27" s="131"/>
      <c r="U27" s="130"/>
      <c r="V27" s="131"/>
      <c r="W27" s="130"/>
      <c r="X27" s="131"/>
      <c r="Y27" s="130"/>
      <c r="Z27" s="131"/>
      <c r="AA27" s="130"/>
      <c r="AB27" s="131"/>
      <c r="AC27" s="130"/>
      <c r="AD27" s="131"/>
      <c r="AE27" s="130"/>
      <c r="AF27" s="131"/>
      <c r="AG27" s="130"/>
      <c r="AH27" s="131"/>
      <c r="AI27" s="130"/>
      <c r="AJ27" s="131"/>
      <c r="AK27" s="130"/>
      <c r="AL27" s="131"/>
      <c r="AM27" s="130"/>
      <c r="AN27" s="131"/>
      <c r="AO27" s="130"/>
      <c r="AP27" s="131"/>
      <c r="AQ27" s="130"/>
      <c r="AR27" s="132"/>
    </row>
    <row r="28" spans="1:44" x14ac:dyDescent="0.3">
      <c r="A28" s="126"/>
      <c r="B28" s="127"/>
      <c r="C28" s="127"/>
      <c r="D28" s="127"/>
      <c r="E28" s="126"/>
      <c r="F28" s="126"/>
      <c r="G28" s="126"/>
      <c r="H28" s="128"/>
      <c r="I28" s="126"/>
      <c r="J28" s="126"/>
      <c r="K28" s="128"/>
      <c r="L28" s="128"/>
      <c r="M28" s="128"/>
      <c r="N28" s="129"/>
      <c r="O28" s="130"/>
      <c r="P28" s="131"/>
      <c r="Q28" s="130"/>
      <c r="R28" s="131"/>
      <c r="S28" s="130"/>
      <c r="T28" s="131"/>
      <c r="U28" s="130"/>
      <c r="V28" s="131"/>
      <c r="W28" s="130"/>
      <c r="X28" s="131"/>
      <c r="Y28" s="130"/>
      <c r="Z28" s="131"/>
      <c r="AA28" s="130"/>
      <c r="AB28" s="131"/>
      <c r="AC28" s="130"/>
      <c r="AD28" s="131"/>
      <c r="AE28" s="130"/>
      <c r="AF28" s="131"/>
      <c r="AG28" s="130"/>
      <c r="AH28" s="131"/>
      <c r="AI28" s="130"/>
      <c r="AJ28" s="131"/>
      <c r="AK28" s="130"/>
      <c r="AL28" s="131"/>
      <c r="AM28" s="130"/>
      <c r="AN28" s="131"/>
      <c r="AO28" s="130"/>
      <c r="AP28" s="131"/>
      <c r="AQ28" s="130"/>
      <c r="AR28" s="132"/>
    </row>
    <row r="29" spans="1:44" x14ac:dyDescent="0.3">
      <c r="A29" s="126"/>
      <c r="B29" s="127"/>
      <c r="C29" s="127"/>
      <c r="D29" s="127"/>
      <c r="E29" s="126"/>
      <c r="F29" s="126"/>
      <c r="G29" s="126"/>
      <c r="H29" s="128"/>
      <c r="I29" s="126"/>
      <c r="J29" s="126"/>
      <c r="K29" s="128"/>
      <c r="L29" s="128"/>
      <c r="M29" s="128"/>
      <c r="N29" s="129"/>
      <c r="O29" s="130"/>
      <c r="P29" s="131"/>
      <c r="Q29" s="130"/>
      <c r="R29" s="131"/>
      <c r="S29" s="130"/>
      <c r="T29" s="131"/>
      <c r="U29" s="130"/>
      <c r="V29" s="131"/>
      <c r="W29" s="130"/>
      <c r="X29" s="131"/>
      <c r="Y29" s="130"/>
      <c r="Z29" s="131"/>
      <c r="AA29" s="130"/>
      <c r="AB29" s="131"/>
      <c r="AC29" s="130"/>
      <c r="AD29" s="131"/>
      <c r="AE29" s="130"/>
      <c r="AF29" s="131"/>
      <c r="AG29" s="130"/>
      <c r="AH29" s="131"/>
      <c r="AI29" s="130"/>
      <c r="AJ29" s="131"/>
      <c r="AK29" s="130"/>
      <c r="AL29" s="131"/>
      <c r="AM29" s="130"/>
      <c r="AN29" s="131"/>
      <c r="AO29" s="130"/>
      <c r="AP29" s="131"/>
      <c r="AQ29" s="130"/>
      <c r="AR29" s="132"/>
    </row>
    <row r="30" spans="1:44" x14ac:dyDescent="0.3">
      <c r="A30" s="126"/>
      <c r="B30" s="127"/>
      <c r="C30" s="127"/>
      <c r="D30" s="127"/>
      <c r="E30" s="126"/>
      <c r="F30" s="126"/>
      <c r="G30" s="126"/>
      <c r="H30" s="128"/>
      <c r="I30" s="126"/>
      <c r="J30" s="126"/>
      <c r="K30" s="128"/>
      <c r="L30" s="128"/>
      <c r="M30" s="128"/>
      <c r="N30" s="129"/>
      <c r="O30" s="130"/>
      <c r="P30" s="131"/>
      <c r="Q30" s="130"/>
      <c r="R30" s="131"/>
      <c r="S30" s="130"/>
      <c r="T30" s="131"/>
      <c r="U30" s="130"/>
      <c r="V30" s="131"/>
      <c r="W30" s="130"/>
      <c r="X30" s="131"/>
      <c r="Y30" s="130"/>
      <c r="Z30" s="131"/>
      <c r="AA30" s="130"/>
      <c r="AB30" s="131"/>
      <c r="AC30" s="130"/>
      <c r="AD30" s="131"/>
      <c r="AE30" s="130"/>
      <c r="AF30" s="131"/>
      <c r="AG30" s="130"/>
      <c r="AH30" s="131"/>
      <c r="AI30" s="130"/>
      <c r="AJ30" s="131"/>
      <c r="AK30" s="130"/>
      <c r="AL30" s="131"/>
      <c r="AM30" s="130"/>
      <c r="AN30" s="131"/>
      <c r="AO30" s="130"/>
      <c r="AP30" s="131"/>
      <c r="AQ30" s="130"/>
      <c r="AR30" s="132"/>
    </row>
    <row r="31" spans="1:44" x14ac:dyDescent="0.3">
      <c r="A31" s="126"/>
      <c r="B31" s="127"/>
      <c r="C31" s="127"/>
      <c r="D31" s="127"/>
      <c r="E31" s="126"/>
      <c r="F31" s="126"/>
      <c r="G31" s="126"/>
      <c r="H31" s="128"/>
      <c r="I31" s="126"/>
      <c r="J31" s="126"/>
      <c r="K31" s="128"/>
      <c r="L31" s="128"/>
      <c r="M31" s="128"/>
      <c r="N31" s="129"/>
      <c r="O31" s="130"/>
      <c r="P31" s="131"/>
      <c r="Q31" s="130"/>
      <c r="R31" s="131"/>
      <c r="S31" s="130"/>
      <c r="T31" s="131"/>
      <c r="U31" s="130"/>
      <c r="V31" s="131"/>
      <c r="W31" s="130"/>
      <c r="X31" s="131"/>
      <c r="Y31" s="130"/>
      <c r="Z31" s="131"/>
      <c r="AA31" s="130"/>
      <c r="AB31" s="131"/>
      <c r="AC31" s="130"/>
      <c r="AD31" s="131"/>
      <c r="AE31" s="130"/>
      <c r="AF31" s="131"/>
      <c r="AG31" s="130"/>
      <c r="AH31" s="131"/>
      <c r="AI31" s="130"/>
      <c r="AJ31" s="131"/>
      <c r="AK31" s="130"/>
      <c r="AL31" s="131"/>
      <c r="AM31" s="130"/>
      <c r="AN31" s="131"/>
      <c r="AO31" s="130"/>
      <c r="AP31" s="131"/>
      <c r="AQ31" s="130"/>
      <c r="AR31" s="132"/>
    </row>
    <row r="32" spans="1:44" x14ac:dyDescent="0.3">
      <c r="A32" s="126"/>
      <c r="B32" s="127"/>
      <c r="C32" s="127"/>
      <c r="D32" s="127"/>
      <c r="E32" s="126"/>
      <c r="F32" s="126"/>
      <c r="G32" s="126"/>
      <c r="H32" s="128"/>
      <c r="I32" s="126"/>
      <c r="J32" s="126"/>
      <c r="K32" s="128"/>
      <c r="L32" s="128"/>
      <c r="M32" s="128"/>
      <c r="N32" s="129"/>
      <c r="O32" s="130"/>
      <c r="P32" s="131"/>
      <c r="Q32" s="130"/>
      <c r="R32" s="131"/>
      <c r="S32" s="130"/>
      <c r="T32" s="131"/>
      <c r="U32" s="130"/>
      <c r="V32" s="131"/>
      <c r="W32" s="130"/>
      <c r="X32" s="131"/>
      <c r="Y32" s="130"/>
      <c r="Z32" s="131"/>
      <c r="AA32" s="130"/>
      <c r="AB32" s="131"/>
      <c r="AC32" s="130"/>
      <c r="AD32" s="131"/>
      <c r="AE32" s="130"/>
      <c r="AF32" s="131"/>
      <c r="AG32" s="130"/>
      <c r="AH32" s="131"/>
      <c r="AI32" s="130"/>
      <c r="AJ32" s="131"/>
      <c r="AK32" s="130"/>
      <c r="AL32" s="131"/>
      <c r="AM32" s="130"/>
      <c r="AN32" s="131"/>
      <c r="AO32" s="130"/>
      <c r="AP32" s="131"/>
      <c r="AQ32" s="130"/>
      <c r="AR32" s="132"/>
    </row>
    <row r="33" spans="1:44" x14ac:dyDescent="0.3">
      <c r="A33" s="126"/>
      <c r="B33" s="127"/>
      <c r="C33" s="127"/>
      <c r="D33" s="127"/>
      <c r="E33" s="126"/>
      <c r="F33" s="126"/>
      <c r="G33" s="126"/>
      <c r="H33" s="128"/>
      <c r="I33" s="126"/>
      <c r="J33" s="126"/>
      <c r="K33" s="128"/>
      <c r="L33" s="128"/>
      <c r="M33" s="128"/>
      <c r="N33" s="129"/>
      <c r="O33" s="130"/>
      <c r="P33" s="131"/>
      <c r="Q33" s="130"/>
      <c r="R33" s="131"/>
      <c r="S33" s="130"/>
      <c r="T33" s="131"/>
      <c r="U33" s="130"/>
      <c r="V33" s="131"/>
      <c r="W33" s="130"/>
      <c r="X33" s="131"/>
      <c r="Y33" s="130"/>
      <c r="Z33" s="131"/>
      <c r="AA33" s="130"/>
      <c r="AB33" s="131"/>
      <c r="AC33" s="130"/>
      <c r="AD33" s="131"/>
      <c r="AE33" s="130"/>
      <c r="AF33" s="131"/>
      <c r="AG33" s="130"/>
      <c r="AH33" s="131"/>
      <c r="AI33" s="130"/>
      <c r="AJ33" s="131"/>
      <c r="AK33" s="130"/>
      <c r="AL33" s="131"/>
      <c r="AM33" s="130"/>
      <c r="AN33" s="131"/>
      <c r="AO33" s="130"/>
      <c r="AP33" s="131"/>
      <c r="AQ33" s="130"/>
      <c r="AR33" s="132"/>
    </row>
    <row r="34" spans="1:44" x14ac:dyDescent="0.3">
      <c r="A34" s="126"/>
      <c r="B34" s="127"/>
      <c r="C34" s="127"/>
      <c r="D34" s="127"/>
      <c r="E34" s="126"/>
      <c r="F34" s="126"/>
      <c r="G34" s="126"/>
      <c r="H34" s="128"/>
      <c r="I34" s="126"/>
      <c r="J34" s="126"/>
      <c r="K34" s="128"/>
      <c r="L34" s="128"/>
      <c r="M34" s="128"/>
      <c r="N34" s="129"/>
      <c r="O34" s="130"/>
      <c r="P34" s="131"/>
      <c r="Q34" s="130"/>
      <c r="R34" s="131"/>
      <c r="S34" s="130"/>
      <c r="T34" s="131"/>
      <c r="U34" s="130"/>
      <c r="V34" s="131"/>
      <c r="W34" s="130"/>
      <c r="X34" s="131"/>
      <c r="Y34" s="130"/>
      <c r="Z34" s="131"/>
      <c r="AA34" s="130"/>
      <c r="AB34" s="131"/>
      <c r="AC34" s="130"/>
      <c r="AD34" s="131"/>
      <c r="AE34" s="130"/>
      <c r="AF34" s="131"/>
      <c r="AG34" s="130"/>
      <c r="AH34" s="131"/>
      <c r="AI34" s="130"/>
      <c r="AJ34" s="131"/>
      <c r="AK34" s="130"/>
      <c r="AL34" s="131"/>
      <c r="AM34" s="130"/>
      <c r="AN34" s="131"/>
      <c r="AO34" s="130"/>
      <c r="AP34" s="131"/>
      <c r="AQ34" s="130"/>
      <c r="AR34" s="132"/>
    </row>
    <row r="35" spans="1:44" x14ac:dyDescent="0.3">
      <c r="A35" s="126"/>
      <c r="B35" s="127"/>
      <c r="C35" s="127"/>
      <c r="D35" s="127"/>
      <c r="E35" s="126"/>
      <c r="F35" s="126"/>
      <c r="G35" s="126"/>
      <c r="H35" s="128"/>
      <c r="I35" s="126"/>
      <c r="J35" s="126"/>
      <c r="K35" s="128"/>
      <c r="L35" s="128"/>
      <c r="M35" s="128"/>
      <c r="N35" s="129"/>
      <c r="O35" s="130"/>
      <c r="P35" s="131"/>
      <c r="Q35" s="130"/>
      <c r="R35" s="131"/>
      <c r="S35" s="130"/>
      <c r="T35" s="131"/>
      <c r="U35" s="130"/>
      <c r="V35" s="131"/>
      <c r="W35" s="130"/>
      <c r="X35" s="131"/>
      <c r="Y35" s="130"/>
      <c r="Z35" s="131"/>
      <c r="AA35" s="130"/>
      <c r="AB35" s="131"/>
      <c r="AC35" s="130"/>
      <c r="AD35" s="131"/>
      <c r="AE35" s="130"/>
      <c r="AF35" s="131"/>
      <c r="AG35" s="130"/>
      <c r="AH35" s="131"/>
      <c r="AI35" s="130"/>
      <c r="AJ35" s="131"/>
      <c r="AK35" s="130"/>
      <c r="AL35" s="131"/>
      <c r="AM35" s="130"/>
      <c r="AN35" s="131"/>
      <c r="AO35" s="130"/>
      <c r="AP35" s="131"/>
      <c r="AQ35" s="130"/>
      <c r="AR35" s="132"/>
    </row>
    <row r="36" spans="1:44" x14ac:dyDescent="0.3">
      <c r="A36" s="126"/>
      <c r="B36" s="127"/>
      <c r="C36" s="127"/>
      <c r="D36" s="127"/>
      <c r="E36" s="126"/>
      <c r="F36" s="126"/>
      <c r="G36" s="126"/>
      <c r="H36" s="128"/>
      <c r="I36" s="126"/>
      <c r="J36" s="126"/>
      <c r="K36" s="128"/>
      <c r="L36" s="128"/>
      <c r="M36" s="128"/>
      <c r="N36" s="129"/>
      <c r="O36" s="130"/>
      <c r="P36" s="131"/>
      <c r="Q36" s="130"/>
      <c r="R36" s="131"/>
      <c r="S36" s="130"/>
      <c r="T36" s="131"/>
      <c r="U36" s="130"/>
      <c r="V36" s="131"/>
      <c r="W36" s="130"/>
      <c r="X36" s="131"/>
      <c r="Y36" s="130"/>
      <c r="Z36" s="131"/>
      <c r="AA36" s="130"/>
      <c r="AB36" s="131"/>
      <c r="AC36" s="130"/>
      <c r="AD36" s="131"/>
      <c r="AE36" s="130"/>
      <c r="AF36" s="131"/>
      <c r="AG36" s="130"/>
      <c r="AH36" s="131"/>
      <c r="AI36" s="130"/>
      <c r="AJ36" s="131"/>
      <c r="AK36" s="130"/>
      <c r="AL36" s="131"/>
      <c r="AM36" s="130"/>
      <c r="AN36" s="131"/>
      <c r="AO36" s="130"/>
      <c r="AP36" s="131"/>
      <c r="AQ36" s="130"/>
      <c r="AR36" s="132"/>
    </row>
    <row r="37" spans="1:44" x14ac:dyDescent="0.3">
      <c r="A37" s="126"/>
      <c r="B37" s="127"/>
      <c r="C37" s="127"/>
      <c r="D37" s="127"/>
      <c r="E37" s="126"/>
      <c r="F37" s="126"/>
      <c r="G37" s="126"/>
      <c r="H37" s="128"/>
      <c r="I37" s="126"/>
      <c r="J37" s="126"/>
      <c r="K37" s="128"/>
      <c r="L37" s="128"/>
      <c r="M37" s="128"/>
      <c r="N37" s="129"/>
      <c r="O37" s="130"/>
      <c r="P37" s="131"/>
      <c r="Q37" s="130"/>
      <c r="R37" s="131"/>
      <c r="S37" s="130"/>
      <c r="T37" s="131"/>
      <c r="U37" s="130"/>
      <c r="V37" s="131"/>
      <c r="W37" s="130"/>
      <c r="X37" s="131"/>
      <c r="Y37" s="130"/>
      <c r="Z37" s="131"/>
      <c r="AA37" s="130"/>
      <c r="AB37" s="131"/>
      <c r="AC37" s="130"/>
      <c r="AD37" s="131"/>
      <c r="AE37" s="130"/>
      <c r="AF37" s="131"/>
      <c r="AG37" s="130"/>
      <c r="AH37" s="131"/>
      <c r="AI37" s="130"/>
      <c r="AJ37" s="131"/>
      <c r="AK37" s="130"/>
      <c r="AL37" s="131"/>
      <c r="AM37" s="130"/>
      <c r="AN37" s="131"/>
      <c r="AO37" s="130"/>
      <c r="AP37" s="131"/>
      <c r="AQ37" s="130"/>
      <c r="AR37" s="132"/>
    </row>
    <row r="38" spans="1:44" x14ac:dyDescent="0.3">
      <c r="A38" s="126"/>
      <c r="B38" s="127"/>
      <c r="C38" s="127"/>
      <c r="D38" s="127"/>
      <c r="E38" s="126"/>
      <c r="F38" s="126"/>
      <c r="G38" s="126"/>
      <c r="H38" s="128"/>
      <c r="I38" s="126"/>
      <c r="J38" s="126"/>
      <c r="K38" s="128"/>
      <c r="L38" s="128"/>
      <c r="M38" s="128"/>
      <c r="N38" s="129"/>
      <c r="O38" s="130"/>
      <c r="P38" s="131"/>
      <c r="Q38" s="130"/>
      <c r="R38" s="131"/>
      <c r="S38" s="130"/>
      <c r="T38" s="131"/>
      <c r="U38" s="130"/>
      <c r="V38" s="131"/>
      <c r="W38" s="130"/>
      <c r="X38" s="131"/>
      <c r="Y38" s="130"/>
      <c r="Z38" s="131"/>
      <c r="AA38" s="130"/>
      <c r="AB38" s="131"/>
      <c r="AC38" s="130"/>
      <c r="AD38" s="131"/>
      <c r="AE38" s="130"/>
      <c r="AF38" s="131"/>
      <c r="AG38" s="130"/>
      <c r="AH38" s="131"/>
      <c r="AI38" s="130"/>
      <c r="AJ38" s="131"/>
      <c r="AK38" s="130"/>
      <c r="AL38" s="131"/>
      <c r="AM38" s="130"/>
      <c r="AN38" s="131"/>
      <c r="AO38" s="130"/>
      <c r="AP38" s="131"/>
      <c r="AQ38" s="130"/>
      <c r="AR38" s="132"/>
    </row>
    <row r="39" spans="1:44" x14ac:dyDescent="0.3">
      <c r="A39" s="126"/>
      <c r="B39" s="127"/>
      <c r="C39" s="127"/>
      <c r="D39" s="127"/>
      <c r="E39" s="126"/>
      <c r="F39" s="126"/>
      <c r="G39" s="126"/>
      <c r="H39" s="128"/>
      <c r="I39" s="126"/>
      <c r="J39" s="126"/>
      <c r="K39" s="128"/>
      <c r="L39" s="128"/>
      <c r="M39" s="128"/>
      <c r="N39" s="129"/>
      <c r="O39" s="130"/>
      <c r="P39" s="131"/>
      <c r="Q39" s="130"/>
      <c r="R39" s="131"/>
      <c r="S39" s="130"/>
      <c r="T39" s="131"/>
      <c r="U39" s="130"/>
      <c r="V39" s="131"/>
      <c r="W39" s="130"/>
      <c r="X39" s="131"/>
      <c r="Y39" s="130"/>
      <c r="Z39" s="131"/>
      <c r="AA39" s="130"/>
      <c r="AB39" s="131"/>
      <c r="AC39" s="130"/>
      <c r="AD39" s="131"/>
      <c r="AE39" s="130"/>
      <c r="AF39" s="131"/>
      <c r="AG39" s="130"/>
      <c r="AH39" s="131"/>
      <c r="AI39" s="130"/>
      <c r="AJ39" s="131"/>
      <c r="AK39" s="130"/>
      <c r="AL39" s="131"/>
      <c r="AM39" s="130"/>
      <c r="AN39" s="131"/>
      <c r="AO39" s="130"/>
      <c r="AP39" s="131"/>
      <c r="AQ39" s="130"/>
      <c r="AR39" s="132"/>
    </row>
    <row r="40" spans="1:44" x14ac:dyDescent="0.3">
      <c r="A40" s="126"/>
      <c r="B40" s="127"/>
      <c r="C40" s="127"/>
      <c r="D40" s="127"/>
      <c r="E40" s="126"/>
      <c r="F40" s="126"/>
      <c r="G40" s="126"/>
      <c r="H40" s="128"/>
      <c r="I40" s="126"/>
      <c r="J40" s="126"/>
      <c r="K40" s="128"/>
      <c r="L40" s="128"/>
      <c r="M40" s="128"/>
      <c r="N40" s="129"/>
      <c r="O40" s="130"/>
      <c r="P40" s="131"/>
      <c r="Q40" s="130"/>
      <c r="R40" s="131"/>
      <c r="S40" s="130"/>
      <c r="T40" s="131"/>
      <c r="U40" s="130"/>
      <c r="V40" s="131"/>
      <c r="W40" s="130"/>
      <c r="X40" s="131"/>
      <c r="Y40" s="130"/>
      <c r="Z40" s="131"/>
      <c r="AA40" s="130"/>
      <c r="AB40" s="131"/>
      <c r="AC40" s="130"/>
      <c r="AD40" s="131"/>
      <c r="AE40" s="130"/>
      <c r="AF40" s="131"/>
      <c r="AG40" s="130"/>
      <c r="AH40" s="131"/>
      <c r="AI40" s="130"/>
      <c r="AJ40" s="131"/>
      <c r="AK40" s="130"/>
      <c r="AL40" s="131"/>
      <c r="AM40" s="130"/>
      <c r="AN40" s="131"/>
      <c r="AO40" s="130"/>
      <c r="AP40" s="131"/>
      <c r="AQ40" s="130"/>
      <c r="AR40" s="132"/>
    </row>
    <row r="41" spans="1:44" x14ac:dyDescent="0.3">
      <c r="A41" s="126"/>
      <c r="B41" s="127"/>
      <c r="C41" s="127"/>
      <c r="D41" s="127"/>
      <c r="E41" s="126"/>
      <c r="F41" s="126"/>
      <c r="G41" s="126"/>
      <c r="H41" s="128"/>
      <c r="I41" s="126"/>
      <c r="J41" s="126"/>
      <c r="K41" s="128"/>
      <c r="L41" s="128"/>
      <c r="M41" s="128"/>
      <c r="N41" s="129"/>
      <c r="O41" s="130"/>
      <c r="P41" s="131"/>
      <c r="Q41" s="130"/>
      <c r="R41" s="131"/>
      <c r="S41" s="130"/>
      <c r="T41" s="131"/>
      <c r="U41" s="130"/>
      <c r="V41" s="131"/>
      <c r="W41" s="130"/>
      <c r="X41" s="131"/>
      <c r="Y41" s="130"/>
      <c r="Z41" s="131"/>
      <c r="AA41" s="130"/>
      <c r="AB41" s="131"/>
      <c r="AC41" s="130"/>
      <c r="AD41" s="131"/>
      <c r="AE41" s="130"/>
      <c r="AF41" s="131"/>
      <c r="AG41" s="130"/>
      <c r="AH41" s="131"/>
      <c r="AI41" s="130"/>
      <c r="AJ41" s="131"/>
      <c r="AK41" s="130"/>
      <c r="AL41" s="131"/>
      <c r="AM41" s="130"/>
      <c r="AN41" s="131"/>
      <c r="AO41" s="130"/>
      <c r="AP41" s="131"/>
      <c r="AQ41" s="130"/>
      <c r="AR41" s="132"/>
    </row>
    <row r="42" spans="1:44" x14ac:dyDescent="0.3">
      <c r="A42" s="126"/>
      <c r="B42" s="127"/>
      <c r="C42" s="127"/>
      <c r="D42" s="127"/>
      <c r="E42" s="126"/>
      <c r="F42" s="126"/>
      <c r="G42" s="126"/>
      <c r="H42" s="128"/>
      <c r="I42" s="126"/>
      <c r="J42" s="126"/>
      <c r="K42" s="128"/>
      <c r="L42" s="128"/>
      <c r="M42" s="128"/>
      <c r="N42" s="129"/>
      <c r="O42" s="130"/>
      <c r="P42" s="131"/>
      <c r="Q42" s="130"/>
      <c r="R42" s="131"/>
      <c r="S42" s="130"/>
      <c r="T42" s="131"/>
      <c r="U42" s="130"/>
      <c r="V42" s="131"/>
      <c r="W42" s="130"/>
      <c r="X42" s="131"/>
      <c r="Y42" s="130"/>
      <c r="Z42" s="131"/>
      <c r="AA42" s="130"/>
      <c r="AB42" s="131"/>
      <c r="AC42" s="130"/>
      <c r="AD42" s="131"/>
      <c r="AE42" s="130"/>
      <c r="AF42" s="131"/>
      <c r="AG42" s="130"/>
      <c r="AH42" s="131"/>
      <c r="AI42" s="130"/>
      <c r="AJ42" s="131"/>
      <c r="AK42" s="130"/>
      <c r="AL42" s="131"/>
      <c r="AM42" s="130"/>
      <c r="AN42" s="131"/>
      <c r="AO42" s="130"/>
      <c r="AP42" s="131"/>
      <c r="AQ42" s="130"/>
      <c r="AR42" s="132"/>
    </row>
    <row r="43" spans="1:44" x14ac:dyDescent="0.3">
      <c r="A43" s="126"/>
      <c r="B43" s="127"/>
      <c r="C43" s="127"/>
      <c r="D43" s="127"/>
      <c r="E43" s="126"/>
      <c r="F43" s="126"/>
      <c r="G43" s="126"/>
      <c r="H43" s="128"/>
      <c r="I43" s="126"/>
      <c r="J43" s="126"/>
      <c r="K43" s="128"/>
      <c r="L43" s="128"/>
      <c r="M43" s="128"/>
      <c r="N43" s="129"/>
      <c r="O43" s="130"/>
      <c r="P43" s="131"/>
      <c r="Q43" s="130"/>
      <c r="R43" s="131"/>
      <c r="S43" s="130"/>
      <c r="T43" s="131"/>
      <c r="U43" s="130"/>
      <c r="V43" s="131"/>
      <c r="W43" s="130"/>
      <c r="X43" s="131"/>
      <c r="Y43" s="130"/>
      <c r="Z43" s="131"/>
      <c r="AA43" s="130"/>
      <c r="AB43" s="131"/>
      <c r="AC43" s="130"/>
      <c r="AD43" s="131"/>
      <c r="AE43" s="130"/>
      <c r="AF43" s="131"/>
      <c r="AG43" s="130"/>
      <c r="AH43" s="131"/>
      <c r="AI43" s="130"/>
      <c r="AJ43" s="131"/>
      <c r="AK43" s="130"/>
      <c r="AL43" s="131"/>
      <c r="AM43" s="130"/>
      <c r="AN43" s="131"/>
      <c r="AO43" s="130"/>
      <c r="AP43" s="131"/>
      <c r="AQ43" s="130"/>
      <c r="AR43" s="132"/>
    </row>
    <row r="44" spans="1:44" x14ac:dyDescent="0.3">
      <c r="A44" s="126"/>
      <c r="B44" s="127"/>
      <c r="C44" s="127"/>
      <c r="D44" s="127"/>
      <c r="E44" s="126"/>
      <c r="F44" s="126"/>
      <c r="G44" s="126"/>
      <c r="H44" s="128"/>
      <c r="I44" s="126"/>
      <c r="J44" s="126"/>
      <c r="K44" s="128"/>
      <c r="L44" s="128"/>
      <c r="M44" s="128"/>
      <c r="N44" s="129"/>
      <c r="O44" s="130"/>
      <c r="P44" s="131"/>
      <c r="Q44" s="130"/>
      <c r="R44" s="131"/>
      <c r="S44" s="130"/>
      <c r="T44" s="131"/>
      <c r="U44" s="130"/>
      <c r="V44" s="131"/>
      <c r="W44" s="130"/>
      <c r="X44" s="131"/>
      <c r="Y44" s="130"/>
      <c r="Z44" s="131"/>
      <c r="AA44" s="130"/>
      <c r="AB44" s="131"/>
      <c r="AC44" s="130"/>
      <c r="AD44" s="131"/>
      <c r="AE44" s="130"/>
      <c r="AF44" s="131"/>
      <c r="AG44" s="130"/>
      <c r="AH44" s="131"/>
      <c r="AI44" s="130"/>
      <c r="AJ44" s="131"/>
      <c r="AK44" s="130"/>
      <c r="AL44" s="131"/>
      <c r="AM44" s="130"/>
      <c r="AN44" s="131"/>
      <c r="AO44" s="130"/>
      <c r="AP44" s="131"/>
      <c r="AQ44" s="130"/>
      <c r="AR44" s="132"/>
    </row>
    <row r="45" spans="1:44" x14ac:dyDescent="0.3">
      <c r="A45" s="126"/>
      <c r="B45" s="127"/>
      <c r="C45" s="127"/>
      <c r="D45" s="127"/>
      <c r="E45" s="126"/>
      <c r="F45" s="126"/>
      <c r="G45" s="126"/>
      <c r="H45" s="128"/>
      <c r="I45" s="126"/>
      <c r="J45" s="126"/>
      <c r="K45" s="128"/>
      <c r="L45" s="128"/>
      <c r="M45" s="128"/>
      <c r="N45" s="129"/>
      <c r="O45" s="130"/>
      <c r="P45" s="131"/>
      <c r="Q45" s="130"/>
      <c r="R45" s="131"/>
      <c r="S45" s="130"/>
      <c r="T45" s="131"/>
      <c r="U45" s="130"/>
      <c r="V45" s="131"/>
      <c r="W45" s="130"/>
      <c r="X45" s="131"/>
      <c r="Y45" s="130"/>
      <c r="Z45" s="131"/>
      <c r="AA45" s="130"/>
      <c r="AB45" s="131"/>
      <c r="AC45" s="130"/>
      <c r="AD45" s="131"/>
      <c r="AE45" s="130"/>
      <c r="AF45" s="131"/>
      <c r="AG45" s="130"/>
      <c r="AH45" s="131"/>
      <c r="AI45" s="130"/>
      <c r="AJ45" s="131"/>
      <c r="AK45" s="130"/>
      <c r="AL45" s="131"/>
      <c r="AM45" s="130"/>
      <c r="AN45" s="131"/>
      <c r="AO45" s="130"/>
      <c r="AP45" s="131"/>
      <c r="AQ45" s="130"/>
      <c r="AR45" s="132"/>
    </row>
    <row r="46" spans="1:44" x14ac:dyDescent="0.3">
      <c r="A46" s="126"/>
      <c r="B46" s="127"/>
      <c r="C46" s="127"/>
      <c r="D46" s="127"/>
      <c r="E46" s="126"/>
      <c r="F46" s="126"/>
      <c r="G46" s="126"/>
      <c r="H46" s="128"/>
      <c r="I46" s="126"/>
      <c r="J46" s="126"/>
      <c r="K46" s="128"/>
      <c r="L46" s="128"/>
      <c r="M46" s="128"/>
      <c r="N46" s="129"/>
      <c r="O46" s="130"/>
      <c r="P46" s="131"/>
      <c r="Q46" s="130"/>
      <c r="R46" s="131"/>
      <c r="S46" s="130"/>
      <c r="T46" s="131"/>
      <c r="U46" s="130"/>
      <c r="V46" s="131"/>
      <c r="W46" s="130"/>
      <c r="X46" s="131"/>
      <c r="Y46" s="130"/>
      <c r="Z46" s="131"/>
      <c r="AA46" s="130"/>
      <c r="AB46" s="131"/>
      <c r="AC46" s="130"/>
      <c r="AD46" s="131"/>
      <c r="AE46" s="130"/>
      <c r="AF46" s="131"/>
      <c r="AG46" s="130"/>
      <c r="AH46" s="131"/>
      <c r="AI46" s="130"/>
      <c r="AJ46" s="131"/>
      <c r="AK46" s="130"/>
      <c r="AL46" s="131"/>
      <c r="AM46" s="130"/>
      <c r="AN46" s="131"/>
      <c r="AO46" s="130"/>
      <c r="AP46" s="131"/>
      <c r="AQ46" s="130"/>
      <c r="AR46" s="132"/>
    </row>
    <row r="47" spans="1:44" x14ac:dyDescent="0.3">
      <c r="A47" s="126"/>
      <c r="B47" s="127"/>
      <c r="C47" s="127"/>
      <c r="D47" s="127"/>
      <c r="E47" s="126"/>
      <c r="F47" s="126"/>
      <c r="G47" s="126"/>
      <c r="H47" s="128"/>
      <c r="I47" s="126"/>
      <c r="J47" s="126"/>
      <c r="K47" s="128"/>
      <c r="L47" s="128"/>
      <c r="M47" s="128"/>
      <c r="N47" s="129"/>
      <c r="O47" s="130"/>
      <c r="P47" s="131"/>
      <c r="Q47" s="130"/>
      <c r="R47" s="131"/>
      <c r="S47" s="130"/>
      <c r="T47" s="131"/>
      <c r="U47" s="130"/>
      <c r="V47" s="131"/>
      <c r="W47" s="130"/>
      <c r="X47" s="131"/>
      <c r="Y47" s="130"/>
      <c r="Z47" s="131"/>
      <c r="AA47" s="130"/>
      <c r="AB47" s="131"/>
      <c r="AC47" s="130"/>
      <c r="AD47" s="131"/>
      <c r="AE47" s="130"/>
      <c r="AF47" s="131"/>
      <c r="AG47" s="130"/>
      <c r="AH47" s="131"/>
      <c r="AI47" s="130"/>
      <c r="AJ47" s="131"/>
      <c r="AK47" s="130"/>
      <c r="AL47" s="131"/>
      <c r="AM47" s="130"/>
      <c r="AN47" s="131"/>
      <c r="AO47" s="130"/>
      <c r="AP47" s="131"/>
      <c r="AQ47" s="130"/>
      <c r="AR47" s="132"/>
    </row>
    <row r="48" spans="1:44" x14ac:dyDescent="0.3">
      <c r="A48" s="126"/>
      <c r="B48" s="127"/>
      <c r="C48" s="127"/>
      <c r="D48" s="127"/>
      <c r="E48" s="126"/>
      <c r="F48" s="126"/>
      <c r="G48" s="126"/>
      <c r="H48" s="128"/>
      <c r="I48" s="126"/>
      <c r="J48" s="126"/>
      <c r="K48" s="128"/>
      <c r="L48" s="128"/>
      <c r="M48" s="128"/>
      <c r="N48" s="129"/>
      <c r="O48" s="130"/>
      <c r="P48" s="131"/>
      <c r="Q48" s="130"/>
      <c r="R48" s="131"/>
      <c r="S48" s="130"/>
      <c r="T48" s="131"/>
      <c r="U48" s="130"/>
      <c r="V48" s="131"/>
      <c r="W48" s="130"/>
      <c r="X48" s="131"/>
      <c r="Y48" s="130"/>
      <c r="Z48" s="131"/>
      <c r="AA48" s="130"/>
      <c r="AB48" s="131"/>
      <c r="AC48" s="130"/>
      <c r="AD48" s="131"/>
      <c r="AE48" s="130"/>
      <c r="AF48" s="131"/>
      <c r="AG48" s="130"/>
      <c r="AH48" s="131"/>
      <c r="AI48" s="130"/>
      <c r="AJ48" s="131"/>
      <c r="AK48" s="130"/>
      <c r="AL48" s="131"/>
      <c r="AM48" s="130"/>
      <c r="AN48" s="131"/>
      <c r="AO48" s="130"/>
      <c r="AP48" s="131"/>
      <c r="AQ48" s="130"/>
      <c r="AR48" s="132"/>
    </row>
    <row r="49" spans="1:44" x14ac:dyDescent="0.3">
      <c r="A49" s="126"/>
      <c r="B49" s="127"/>
      <c r="C49" s="127"/>
      <c r="D49" s="127"/>
      <c r="E49" s="126"/>
      <c r="F49" s="126"/>
      <c r="G49" s="126"/>
      <c r="H49" s="128"/>
      <c r="I49" s="126"/>
      <c r="J49" s="126"/>
      <c r="K49" s="128"/>
      <c r="L49" s="128"/>
      <c r="M49" s="128"/>
      <c r="N49" s="129"/>
      <c r="O49" s="130"/>
      <c r="P49" s="131"/>
      <c r="Q49" s="130"/>
      <c r="R49" s="131"/>
      <c r="S49" s="130"/>
      <c r="T49" s="131"/>
      <c r="U49" s="130"/>
      <c r="V49" s="131"/>
      <c r="W49" s="130"/>
      <c r="X49" s="131"/>
      <c r="Y49" s="130"/>
      <c r="Z49" s="131"/>
      <c r="AA49" s="130"/>
      <c r="AB49" s="131"/>
      <c r="AC49" s="130"/>
      <c r="AD49" s="131"/>
      <c r="AE49" s="130"/>
      <c r="AF49" s="131"/>
      <c r="AG49" s="130"/>
      <c r="AH49" s="131"/>
      <c r="AI49" s="130"/>
      <c r="AJ49" s="131"/>
      <c r="AK49" s="130"/>
      <c r="AL49" s="131"/>
      <c r="AM49" s="130"/>
      <c r="AN49" s="131"/>
      <c r="AO49" s="130"/>
      <c r="AP49" s="131"/>
      <c r="AQ49" s="130"/>
      <c r="AR49" s="132"/>
    </row>
    <row r="50" spans="1:44" x14ac:dyDescent="0.3">
      <c r="A50" s="126"/>
      <c r="B50" s="127"/>
      <c r="C50" s="127"/>
      <c r="D50" s="127"/>
      <c r="E50" s="126"/>
      <c r="F50" s="126"/>
      <c r="G50" s="126"/>
      <c r="H50" s="128"/>
      <c r="I50" s="126"/>
      <c r="J50" s="126"/>
      <c r="K50" s="128"/>
      <c r="L50" s="128"/>
      <c r="M50" s="128"/>
      <c r="N50" s="129"/>
      <c r="O50" s="130"/>
      <c r="P50" s="131"/>
      <c r="Q50" s="130"/>
      <c r="R50" s="131"/>
      <c r="S50" s="130"/>
      <c r="T50" s="131"/>
      <c r="U50" s="130"/>
      <c r="V50" s="131"/>
      <c r="W50" s="130"/>
      <c r="X50" s="131"/>
      <c r="Y50" s="130"/>
      <c r="Z50" s="131"/>
      <c r="AA50" s="130"/>
      <c r="AB50" s="131"/>
      <c r="AC50" s="130"/>
      <c r="AD50" s="131"/>
      <c r="AE50" s="130"/>
      <c r="AF50" s="131"/>
      <c r="AG50" s="130"/>
      <c r="AH50" s="131"/>
      <c r="AI50" s="130"/>
      <c r="AJ50" s="131"/>
      <c r="AK50" s="130"/>
      <c r="AL50" s="131"/>
      <c r="AM50" s="130"/>
      <c r="AN50" s="131"/>
      <c r="AO50" s="130"/>
      <c r="AP50" s="131"/>
      <c r="AQ50" s="130"/>
      <c r="AR50" s="132"/>
    </row>
    <row r="51" spans="1:44" x14ac:dyDescent="0.3">
      <c r="A51" s="126"/>
      <c r="B51" s="127"/>
      <c r="C51" s="127"/>
      <c r="D51" s="127"/>
      <c r="E51" s="126"/>
      <c r="F51" s="126"/>
      <c r="G51" s="126"/>
      <c r="H51" s="128"/>
      <c r="I51" s="126"/>
      <c r="J51" s="126"/>
      <c r="K51" s="128"/>
      <c r="L51" s="128"/>
      <c r="M51" s="128"/>
      <c r="N51" s="129"/>
      <c r="O51" s="130"/>
      <c r="P51" s="131"/>
      <c r="Q51" s="130"/>
      <c r="R51" s="131"/>
      <c r="S51" s="130"/>
      <c r="T51" s="131"/>
      <c r="U51" s="130"/>
      <c r="V51" s="131"/>
      <c r="W51" s="130"/>
      <c r="X51" s="131"/>
      <c r="Y51" s="130"/>
      <c r="Z51" s="131"/>
      <c r="AA51" s="130"/>
      <c r="AB51" s="131"/>
      <c r="AC51" s="130"/>
      <c r="AD51" s="131"/>
      <c r="AE51" s="130"/>
      <c r="AF51" s="131"/>
      <c r="AG51" s="130"/>
      <c r="AH51" s="131"/>
      <c r="AI51" s="130"/>
      <c r="AJ51" s="131"/>
      <c r="AK51" s="130"/>
      <c r="AL51" s="131"/>
      <c r="AM51" s="130"/>
      <c r="AN51" s="131"/>
      <c r="AO51" s="130"/>
      <c r="AP51" s="131"/>
      <c r="AQ51" s="130"/>
      <c r="AR51" s="132"/>
    </row>
    <row r="52" spans="1:44" x14ac:dyDescent="0.3">
      <c r="A52" s="126"/>
      <c r="B52" s="127"/>
      <c r="C52" s="127"/>
      <c r="D52" s="127"/>
      <c r="E52" s="126"/>
      <c r="F52" s="126"/>
      <c r="G52" s="126"/>
      <c r="H52" s="128"/>
      <c r="I52" s="126"/>
      <c r="J52" s="126"/>
      <c r="K52" s="128"/>
      <c r="L52" s="128"/>
      <c r="M52" s="128"/>
      <c r="N52" s="129"/>
      <c r="O52" s="130"/>
      <c r="P52" s="131"/>
      <c r="Q52" s="130"/>
      <c r="R52" s="131"/>
      <c r="S52" s="130"/>
      <c r="T52" s="131"/>
      <c r="U52" s="130"/>
      <c r="V52" s="131"/>
      <c r="W52" s="130"/>
      <c r="X52" s="131"/>
      <c r="Y52" s="130"/>
      <c r="Z52" s="131"/>
      <c r="AA52" s="130"/>
      <c r="AB52" s="131"/>
      <c r="AC52" s="130"/>
      <c r="AD52" s="131"/>
      <c r="AE52" s="130"/>
      <c r="AF52" s="131"/>
      <c r="AG52" s="130"/>
      <c r="AH52" s="131"/>
      <c r="AI52" s="130"/>
      <c r="AJ52" s="131"/>
      <c r="AK52" s="130"/>
      <c r="AL52" s="131"/>
      <c r="AM52" s="130"/>
      <c r="AN52" s="131"/>
      <c r="AO52" s="130"/>
      <c r="AP52" s="131"/>
      <c r="AQ52" s="130"/>
      <c r="AR52" s="132"/>
    </row>
    <row r="53" spans="1:44" x14ac:dyDescent="0.3">
      <c r="A53" s="126"/>
      <c r="B53" s="127"/>
      <c r="C53" s="127"/>
      <c r="D53" s="127"/>
      <c r="E53" s="126"/>
      <c r="F53" s="126"/>
      <c r="G53" s="126"/>
      <c r="H53" s="128"/>
      <c r="I53" s="126"/>
      <c r="J53" s="126"/>
      <c r="K53" s="128"/>
      <c r="L53" s="128"/>
      <c r="M53" s="128"/>
      <c r="N53" s="129"/>
      <c r="O53" s="130"/>
      <c r="P53" s="131"/>
      <c r="Q53" s="130"/>
      <c r="R53" s="131"/>
      <c r="S53" s="130"/>
      <c r="T53" s="131"/>
      <c r="U53" s="130"/>
      <c r="V53" s="131"/>
      <c r="W53" s="130"/>
      <c r="X53" s="131"/>
      <c r="Y53" s="130"/>
      <c r="Z53" s="131"/>
      <c r="AA53" s="130"/>
      <c r="AB53" s="131"/>
      <c r="AC53" s="130"/>
      <c r="AD53" s="131"/>
      <c r="AE53" s="130"/>
      <c r="AF53" s="131"/>
      <c r="AG53" s="130"/>
      <c r="AH53" s="131"/>
      <c r="AI53" s="130"/>
      <c r="AJ53" s="131"/>
      <c r="AK53" s="130"/>
      <c r="AL53" s="131"/>
      <c r="AM53" s="130"/>
      <c r="AN53" s="131"/>
      <c r="AO53" s="130"/>
      <c r="AP53" s="131"/>
      <c r="AQ53" s="130"/>
      <c r="AR53" s="132"/>
    </row>
    <row r="54" spans="1:44" x14ac:dyDescent="0.3">
      <c r="A54" s="126"/>
      <c r="B54" s="127"/>
      <c r="C54" s="127"/>
      <c r="D54" s="127"/>
      <c r="E54" s="126"/>
      <c r="F54" s="126"/>
      <c r="G54" s="126"/>
      <c r="H54" s="128"/>
      <c r="I54" s="126"/>
      <c r="J54" s="126"/>
      <c r="K54" s="128"/>
      <c r="L54" s="128"/>
      <c r="M54" s="128"/>
      <c r="N54" s="129"/>
      <c r="O54" s="130"/>
      <c r="P54" s="131"/>
      <c r="Q54" s="130"/>
      <c r="R54" s="131"/>
      <c r="S54" s="130"/>
      <c r="T54" s="131"/>
      <c r="U54" s="130"/>
      <c r="V54" s="131"/>
      <c r="W54" s="130"/>
      <c r="X54" s="131"/>
      <c r="Y54" s="130"/>
      <c r="Z54" s="131"/>
      <c r="AA54" s="130"/>
      <c r="AB54" s="131"/>
      <c r="AC54" s="130"/>
      <c r="AD54" s="131"/>
      <c r="AE54" s="130"/>
      <c r="AF54" s="131"/>
      <c r="AG54" s="130"/>
      <c r="AH54" s="131"/>
      <c r="AI54" s="130"/>
      <c r="AJ54" s="131"/>
      <c r="AK54" s="130"/>
      <c r="AL54" s="131"/>
      <c r="AM54" s="130"/>
      <c r="AN54" s="131"/>
      <c r="AO54" s="130"/>
      <c r="AP54" s="131"/>
      <c r="AQ54" s="130"/>
      <c r="AR54" s="132"/>
    </row>
    <row r="55" spans="1:44" x14ac:dyDescent="0.3">
      <c r="A55" s="126"/>
      <c r="B55" s="127"/>
      <c r="C55" s="127"/>
      <c r="D55" s="127"/>
      <c r="E55" s="126"/>
      <c r="F55" s="126"/>
      <c r="G55" s="126"/>
      <c r="H55" s="128"/>
      <c r="I55" s="126"/>
      <c r="J55" s="126"/>
      <c r="K55" s="128"/>
      <c r="L55" s="128"/>
      <c r="M55" s="128"/>
      <c r="N55" s="129"/>
      <c r="O55" s="130"/>
      <c r="P55" s="131"/>
      <c r="Q55" s="130"/>
      <c r="R55" s="131"/>
      <c r="S55" s="130"/>
      <c r="T55" s="131"/>
      <c r="U55" s="130"/>
      <c r="V55" s="131"/>
      <c r="W55" s="130"/>
      <c r="X55" s="131"/>
      <c r="Y55" s="130"/>
      <c r="Z55" s="131"/>
      <c r="AA55" s="130"/>
      <c r="AB55" s="131"/>
      <c r="AC55" s="130"/>
      <c r="AD55" s="131"/>
      <c r="AE55" s="130"/>
      <c r="AF55" s="131"/>
      <c r="AG55" s="130"/>
      <c r="AH55" s="131"/>
      <c r="AI55" s="130"/>
      <c r="AJ55" s="131"/>
      <c r="AK55" s="130"/>
      <c r="AL55" s="131"/>
      <c r="AM55" s="130"/>
      <c r="AN55" s="131"/>
      <c r="AO55" s="130"/>
      <c r="AP55" s="131"/>
      <c r="AQ55" s="130"/>
      <c r="AR55" s="132"/>
    </row>
    <row r="56" spans="1:44" x14ac:dyDescent="0.3">
      <c r="A56" s="126"/>
      <c r="B56" s="127"/>
      <c r="C56" s="127"/>
      <c r="D56" s="127"/>
      <c r="E56" s="126"/>
      <c r="F56" s="126"/>
      <c r="G56" s="126"/>
      <c r="H56" s="128"/>
      <c r="I56" s="126"/>
      <c r="J56" s="126"/>
      <c r="K56" s="128"/>
      <c r="L56" s="128"/>
      <c r="M56" s="128"/>
      <c r="N56" s="129"/>
      <c r="O56" s="130"/>
      <c r="P56" s="131"/>
      <c r="Q56" s="130"/>
      <c r="R56" s="131"/>
      <c r="S56" s="130"/>
      <c r="T56" s="131"/>
      <c r="U56" s="130"/>
      <c r="V56" s="131"/>
      <c r="W56" s="130"/>
      <c r="X56" s="131"/>
      <c r="Y56" s="130"/>
      <c r="Z56" s="131"/>
      <c r="AA56" s="130"/>
      <c r="AB56" s="131"/>
      <c r="AC56" s="130"/>
      <c r="AD56" s="131"/>
      <c r="AE56" s="130"/>
      <c r="AF56" s="131"/>
      <c r="AG56" s="130"/>
      <c r="AH56" s="131"/>
      <c r="AI56" s="130"/>
      <c r="AJ56" s="131"/>
      <c r="AK56" s="130"/>
      <c r="AL56" s="131"/>
      <c r="AM56" s="130"/>
      <c r="AN56" s="131"/>
      <c r="AO56" s="130"/>
      <c r="AP56" s="131"/>
      <c r="AQ56" s="130"/>
      <c r="AR56" s="132"/>
    </row>
    <row r="57" spans="1:44" x14ac:dyDescent="0.3">
      <c r="A57" s="126"/>
      <c r="B57" s="127"/>
      <c r="C57" s="127"/>
      <c r="D57" s="127"/>
      <c r="E57" s="126"/>
      <c r="F57" s="126"/>
      <c r="G57" s="126"/>
      <c r="H57" s="128"/>
      <c r="I57" s="126"/>
      <c r="J57" s="126"/>
      <c r="K57" s="128"/>
      <c r="L57" s="128"/>
      <c r="M57" s="128"/>
      <c r="N57" s="129"/>
      <c r="O57" s="130"/>
      <c r="P57" s="131"/>
      <c r="Q57" s="130"/>
      <c r="R57" s="131"/>
      <c r="S57" s="130"/>
      <c r="T57" s="131"/>
      <c r="U57" s="130"/>
      <c r="V57" s="131"/>
      <c r="W57" s="130"/>
      <c r="X57" s="131"/>
      <c r="Y57" s="130"/>
      <c r="Z57" s="131"/>
      <c r="AA57" s="130"/>
      <c r="AB57" s="131"/>
      <c r="AC57" s="130"/>
      <c r="AD57" s="131"/>
      <c r="AE57" s="130"/>
      <c r="AF57" s="131"/>
      <c r="AG57" s="130"/>
      <c r="AH57" s="131"/>
      <c r="AI57" s="130"/>
      <c r="AJ57" s="131"/>
      <c r="AK57" s="130"/>
      <c r="AL57" s="131"/>
      <c r="AM57" s="130"/>
      <c r="AN57" s="131"/>
      <c r="AO57" s="130"/>
      <c r="AP57" s="131"/>
      <c r="AQ57" s="130"/>
      <c r="AR57" s="132"/>
    </row>
    <row r="58" spans="1:44" x14ac:dyDescent="0.3">
      <c r="A58" s="126"/>
      <c r="B58" s="127"/>
      <c r="C58" s="127"/>
      <c r="D58" s="127"/>
      <c r="E58" s="126"/>
      <c r="F58" s="126"/>
      <c r="G58" s="126"/>
      <c r="H58" s="128"/>
      <c r="I58" s="126"/>
      <c r="J58" s="126"/>
      <c r="K58" s="128"/>
      <c r="L58" s="128"/>
      <c r="M58" s="128"/>
      <c r="N58" s="129"/>
      <c r="O58" s="130"/>
      <c r="P58" s="131"/>
      <c r="Q58" s="130"/>
      <c r="R58" s="131"/>
      <c r="S58" s="130"/>
      <c r="T58" s="131"/>
      <c r="U58" s="130"/>
      <c r="V58" s="131"/>
      <c r="W58" s="130"/>
      <c r="X58" s="131"/>
      <c r="Y58" s="130"/>
      <c r="Z58" s="131"/>
      <c r="AA58" s="130"/>
      <c r="AB58" s="131"/>
      <c r="AC58" s="130"/>
      <c r="AD58" s="131"/>
      <c r="AE58" s="130"/>
      <c r="AF58" s="131"/>
      <c r="AG58" s="130"/>
      <c r="AH58" s="131"/>
      <c r="AI58" s="130"/>
      <c r="AJ58" s="131"/>
      <c r="AK58" s="130"/>
      <c r="AL58" s="131"/>
      <c r="AM58" s="130"/>
      <c r="AN58" s="131"/>
      <c r="AO58" s="130"/>
      <c r="AP58" s="131"/>
      <c r="AQ58" s="130"/>
      <c r="AR58" s="132"/>
    </row>
    <row r="59" spans="1:44" x14ac:dyDescent="0.3">
      <c r="A59" s="126"/>
      <c r="B59" s="127"/>
      <c r="C59" s="127"/>
      <c r="D59" s="127"/>
      <c r="E59" s="126"/>
      <c r="F59" s="126"/>
      <c r="G59" s="126"/>
      <c r="H59" s="128"/>
      <c r="I59" s="126"/>
      <c r="J59" s="126"/>
      <c r="K59" s="128"/>
      <c r="L59" s="128"/>
      <c r="M59" s="128"/>
      <c r="N59" s="129"/>
      <c r="O59" s="130"/>
      <c r="P59" s="131"/>
      <c r="Q59" s="130"/>
      <c r="R59" s="131"/>
      <c r="S59" s="130"/>
      <c r="T59" s="131"/>
      <c r="U59" s="130"/>
      <c r="V59" s="131"/>
      <c r="W59" s="130"/>
      <c r="X59" s="131"/>
      <c r="Y59" s="130"/>
      <c r="Z59" s="131"/>
      <c r="AA59" s="130"/>
      <c r="AB59" s="131"/>
      <c r="AC59" s="130"/>
      <c r="AD59" s="131"/>
      <c r="AE59" s="130"/>
      <c r="AF59" s="131"/>
      <c r="AG59" s="130"/>
      <c r="AH59" s="131"/>
      <c r="AI59" s="130"/>
      <c r="AJ59" s="131"/>
      <c r="AK59" s="130"/>
      <c r="AL59" s="131"/>
      <c r="AM59" s="130"/>
      <c r="AN59" s="131"/>
      <c r="AO59" s="130"/>
      <c r="AP59" s="131"/>
      <c r="AQ59" s="130"/>
      <c r="AR59" s="132"/>
    </row>
    <row r="60" spans="1:44" x14ac:dyDescent="0.3">
      <c r="A60" s="126"/>
      <c r="B60" s="127"/>
      <c r="C60" s="127"/>
      <c r="D60" s="127"/>
      <c r="E60" s="126"/>
      <c r="F60" s="126"/>
      <c r="G60" s="126"/>
      <c r="H60" s="128"/>
      <c r="I60" s="126"/>
      <c r="J60" s="126"/>
      <c r="K60" s="128"/>
      <c r="L60" s="128"/>
      <c r="M60" s="128"/>
      <c r="N60" s="129"/>
      <c r="O60" s="130"/>
      <c r="P60" s="131"/>
      <c r="Q60" s="130"/>
      <c r="R60" s="131"/>
      <c r="S60" s="130"/>
      <c r="T60" s="131"/>
      <c r="U60" s="130"/>
      <c r="V60" s="131"/>
      <c r="W60" s="130"/>
      <c r="X60" s="131"/>
      <c r="Y60" s="130"/>
      <c r="Z60" s="131"/>
      <c r="AA60" s="130"/>
      <c r="AB60" s="131"/>
      <c r="AC60" s="130"/>
      <c r="AD60" s="131"/>
      <c r="AE60" s="130"/>
      <c r="AF60" s="131"/>
      <c r="AG60" s="130"/>
      <c r="AH60" s="131"/>
      <c r="AI60" s="130"/>
      <c r="AJ60" s="131"/>
      <c r="AK60" s="130"/>
      <c r="AL60" s="131"/>
      <c r="AM60" s="130"/>
      <c r="AN60" s="131"/>
      <c r="AO60" s="130"/>
      <c r="AP60" s="131"/>
      <c r="AQ60" s="130"/>
      <c r="AR60" s="132"/>
    </row>
    <row r="61" spans="1:44" x14ac:dyDescent="0.3">
      <c r="A61" s="126"/>
      <c r="B61" s="127"/>
      <c r="C61" s="127"/>
      <c r="D61" s="127"/>
      <c r="E61" s="126"/>
      <c r="F61" s="126"/>
      <c r="G61" s="126"/>
      <c r="H61" s="128"/>
      <c r="I61" s="126"/>
      <c r="J61" s="126"/>
      <c r="K61" s="128"/>
      <c r="L61" s="128"/>
      <c r="M61" s="128"/>
      <c r="N61" s="129"/>
      <c r="O61" s="130"/>
      <c r="P61" s="131"/>
      <c r="Q61" s="130"/>
      <c r="R61" s="131"/>
      <c r="S61" s="130"/>
      <c r="T61" s="131"/>
      <c r="U61" s="130"/>
      <c r="V61" s="131"/>
      <c r="W61" s="130"/>
      <c r="X61" s="131"/>
      <c r="Y61" s="130"/>
      <c r="Z61" s="131"/>
      <c r="AA61" s="130"/>
      <c r="AB61" s="131"/>
      <c r="AC61" s="130"/>
      <c r="AD61" s="131"/>
      <c r="AE61" s="130"/>
      <c r="AF61" s="131"/>
      <c r="AG61" s="130"/>
      <c r="AH61" s="131"/>
      <c r="AI61" s="130"/>
      <c r="AJ61" s="131"/>
      <c r="AK61" s="130"/>
      <c r="AL61" s="131"/>
      <c r="AM61" s="130"/>
      <c r="AN61" s="131"/>
      <c r="AO61" s="130"/>
      <c r="AP61" s="131"/>
      <c r="AQ61" s="130"/>
      <c r="AR61" s="132"/>
    </row>
    <row r="62" spans="1:44" x14ac:dyDescent="0.3">
      <c r="A62" s="126"/>
      <c r="B62" s="127"/>
      <c r="C62" s="127"/>
      <c r="D62" s="127"/>
      <c r="E62" s="126"/>
      <c r="F62" s="126"/>
      <c r="G62" s="126"/>
      <c r="H62" s="128"/>
      <c r="I62" s="126"/>
      <c r="J62" s="126"/>
      <c r="K62" s="128"/>
      <c r="L62" s="128"/>
      <c r="M62" s="128"/>
      <c r="N62" s="129"/>
      <c r="O62" s="130"/>
      <c r="P62" s="131"/>
      <c r="Q62" s="130"/>
      <c r="R62" s="131"/>
      <c r="S62" s="130"/>
      <c r="T62" s="131"/>
      <c r="U62" s="130"/>
      <c r="V62" s="131"/>
      <c r="W62" s="130"/>
      <c r="X62" s="131"/>
      <c r="Y62" s="130"/>
      <c r="Z62" s="131"/>
      <c r="AA62" s="130"/>
      <c r="AB62" s="131"/>
      <c r="AC62" s="130"/>
      <c r="AD62" s="131"/>
      <c r="AE62" s="130"/>
      <c r="AF62" s="131"/>
      <c r="AG62" s="130"/>
      <c r="AH62" s="131"/>
      <c r="AI62" s="130"/>
      <c r="AJ62" s="131"/>
      <c r="AK62" s="130"/>
      <c r="AL62" s="131"/>
      <c r="AM62" s="130"/>
      <c r="AN62" s="131"/>
      <c r="AO62" s="130"/>
      <c r="AP62" s="131"/>
      <c r="AQ62" s="130"/>
      <c r="AR62" s="132"/>
    </row>
    <row r="63" spans="1:44" x14ac:dyDescent="0.3">
      <c r="A63" s="126"/>
      <c r="B63" s="127"/>
      <c r="C63" s="127"/>
      <c r="D63" s="127"/>
      <c r="E63" s="126"/>
      <c r="F63" s="126"/>
      <c r="G63" s="126"/>
      <c r="H63" s="128"/>
      <c r="I63" s="126"/>
      <c r="J63" s="126"/>
      <c r="K63" s="128"/>
      <c r="L63" s="128"/>
      <c r="M63" s="128"/>
      <c r="N63" s="129"/>
      <c r="O63" s="130"/>
      <c r="P63" s="131"/>
      <c r="Q63" s="130"/>
      <c r="R63" s="131"/>
      <c r="S63" s="130"/>
      <c r="T63" s="131"/>
      <c r="U63" s="130"/>
      <c r="V63" s="131"/>
      <c r="W63" s="130"/>
      <c r="X63" s="131"/>
      <c r="Y63" s="130"/>
      <c r="Z63" s="131"/>
      <c r="AA63" s="130"/>
      <c r="AB63" s="131"/>
      <c r="AC63" s="130"/>
      <c r="AD63" s="131"/>
      <c r="AE63" s="130"/>
      <c r="AF63" s="131"/>
      <c r="AG63" s="130"/>
      <c r="AH63" s="131"/>
      <c r="AI63" s="130"/>
      <c r="AJ63" s="131"/>
      <c r="AK63" s="130"/>
      <c r="AL63" s="131"/>
      <c r="AM63" s="130"/>
      <c r="AN63" s="131"/>
      <c r="AO63" s="130"/>
      <c r="AP63" s="131"/>
      <c r="AQ63" s="130"/>
      <c r="AR63" s="132"/>
    </row>
    <row r="64" spans="1:44" x14ac:dyDescent="0.3">
      <c r="A64" s="126"/>
      <c r="B64" s="127"/>
      <c r="C64" s="127"/>
      <c r="D64" s="127"/>
      <c r="E64" s="126"/>
      <c r="F64" s="126"/>
      <c r="G64" s="126"/>
      <c r="H64" s="128"/>
      <c r="I64" s="126"/>
      <c r="J64" s="126"/>
      <c r="K64" s="128"/>
      <c r="L64" s="128"/>
      <c r="M64" s="128"/>
      <c r="N64" s="129"/>
      <c r="O64" s="130"/>
      <c r="P64" s="131"/>
      <c r="Q64" s="130"/>
      <c r="R64" s="131"/>
      <c r="S64" s="130"/>
      <c r="T64" s="131"/>
      <c r="U64" s="130"/>
      <c r="V64" s="131"/>
      <c r="W64" s="130"/>
      <c r="X64" s="131"/>
      <c r="Y64" s="130"/>
      <c r="Z64" s="131"/>
      <c r="AA64" s="130"/>
      <c r="AB64" s="131"/>
      <c r="AC64" s="130"/>
      <c r="AD64" s="131"/>
      <c r="AE64" s="130"/>
      <c r="AF64" s="131"/>
      <c r="AG64" s="130"/>
      <c r="AH64" s="131"/>
      <c r="AI64" s="130"/>
      <c r="AJ64" s="131"/>
      <c r="AK64" s="130"/>
      <c r="AL64" s="131"/>
      <c r="AM64" s="130"/>
      <c r="AN64" s="131"/>
      <c r="AO64" s="130"/>
      <c r="AP64" s="131"/>
      <c r="AQ64" s="130"/>
      <c r="AR64" s="132"/>
    </row>
    <row r="65" spans="1:44" x14ac:dyDescent="0.3">
      <c r="A65" s="126"/>
      <c r="B65" s="127"/>
      <c r="C65" s="127"/>
      <c r="D65" s="127"/>
      <c r="E65" s="126"/>
      <c r="F65" s="126"/>
      <c r="G65" s="126"/>
      <c r="H65" s="128"/>
      <c r="I65" s="126"/>
      <c r="J65" s="126"/>
      <c r="K65" s="128"/>
      <c r="L65" s="128"/>
      <c r="M65" s="128"/>
      <c r="N65" s="129"/>
      <c r="O65" s="130"/>
      <c r="P65" s="131"/>
      <c r="Q65" s="130"/>
      <c r="R65" s="131"/>
      <c r="S65" s="130"/>
      <c r="T65" s="131"/>
      <c r="U65" s="130"/>
      <c r="V65" s="131"/>
      <c r="W65" s="130"/>
      <c r="X65" s="131"/>
      <c r="Y65" s="130"/>
      <c r="Z65" s="131"/>
      <c r="AA65" s="130"/>
      <c r="AB65" s="131"/>
      <c r="AC65" s="130"/>
      <c r="AD65" s="131"/>
      <c r="AE65" s="130"/>
      <c r="AF65" s="131"/>
      <c r="AG65" s="130"/>
      <c r="AH65" s="131"/>
      <c r="AI65" s="130"/>
      <c r="AJ65" s="131"/>
      <c r="AK65" s="130"/>
      <c r="AL65" s="131"/>
      <c r="AM65" s="130"/>
      <c r="AN65" s="131"/>
      <c r="AO65" s="130"/>
      <c r="AP65" s="131"/>
      <c r="AQ65" s="130"/>
      <c r="AR65" s="132"/>
    </row>
    <row r="66" spans="1:44" x14ac:dyDescent="0.3">
      <c r="A66" s="126"/>
      <c r="B66" s="127"/>
      <c r="C66" s="127"/>
      <c r="D66" s="127"/>
      <c r="E66" s="126"/>
      <c r="F66" s="126"/>
      <c r="G66" s="126"/>
      <c r="H66" s="128"/>
      <c r="I66" s="126"/>
      <c r="J66" s="126"/>
      <c r="K66" s="128"/>
      <c r="L66" s="128"/>
      <c r="M66" s="128"/>
      <c r="N66" s="129"/>
      <c r="O66" s="130"/>
      <c r="P66" s="131"/>
      <c r="Q66" s="130"/>
      <c r="R66" s="131"/>
      <c r="S66" s="130"/>
      <c r="T66" s="131"/>
      <c r="U66" s="130"/>
      <c r="V66" s="131"/>
      <c r="W66" s="130"/>
      <c r="X66" s="131"/>
      <c r="Y66" s="130"/>
      <c r="Z66" s="131"/>
      <c r="AA66" s="130"/>
      <c r="AB66" s="131"/>
      <c r="AC66" s="130"/>
      <c r="AD66" s="131"/>
      <c r="AE66" s="130"/>
      <c r="AF66" s="131"/>
      <c r="AG66" s="130"/>
      <c r="AH66" s="131"/>
      <c r="AI66" s="130"/>
      <c r="AJ66" s="131"/>
      <c r="AK66" s="130"/>
      <c r="AL66" s="131"/>
      <c r="AM66" s="130"/>
      <c r="AN66" s="131"/>
      <c r="AO66" s="130"/>
      <c r="AP66" s="131"/>
      <c r="AQ66" s="130"/>
      <c r="AR66" s="132"/>
    </row>
    <row r="67" spans="1:44" x14ac:dyDescent="0.3">
      <c r="A67" s="126"/>
      <c r="B67" s="127"/>
      <c r="C67" s="127"/>
      <c r="D67" s="127"/>
      <c r="E67" s="126"/>
      <c r="F67" s="126"/>
      <c r="G67" s="126"/>
      <c r="H67" s="128"/>
      <c r="I67" s="126"/>
      <c r="J67" s="126"/>
      <c r="K67" s="128"/>
      <c r="L67" s="128"/>
      <c r="M67" s="128"/>
      <c r="N67" s="129"/>
      <c r="O67" s="130"/>
      <c r="P67" s="131"/>
      <c r="Q67" s="130"/>
      <c r="R67" s="131"/>
      <c r="S67" s="130"/>
      <c r="T67" s="131"/>
      <c r="U67" s="130"/>
      <c r="V67" s="131"/>
      <c r="W67" s="130"/>
      <c r="X67" s="131"/>
      <c r="Y67" s="130"/>
      <c r="Z67" s="131"/>
      <c r="AA67" s="130"/>
      <c r="AB67" s="131"/>
      <c r="AC67" s="130"/>
      <c r="AD67" s="131"/>
      <c r="AE67" s="130"/>
      <c r="AF67" s="131"/>
      <c r="AG67" s="130"/>
      <c r="AH67" s="131"/>
      <c r="AI67" s="130"/>
      <c r="AJ67" s="131"/>
      <c r="AK67" s="130"/>
      <c r="AL67" s="131"/>
      <c r="AM67" s="130"/>
      <c r="AN67" s="131"/>
      <c r="AO67" s="130"/>
      <c r="AP67" s="131"/>
      <c r="AQ67" s="130"/>
      <c r="AR67" s="132"/>
    </row>
    <row r="68" spans="1:44" x14ac:dyDescent="0.3">
      <c r="A68" s="126"/>
      <c r="B68" s="127"/>
      <c r="C68" s="127"/>
      <c r="D68" s="127"/>
      <c r="E68" s="126"/>
      <c r="F68" s="126"/>
      <c r="G68" s="126"/>
      <c r="H68" s="128"/>
      <c r="I68" s="126"/>
      <c r="J68" s="126"/>
      <c r="K68" s="128"/>
      <c r="L68" s="128"/>
      <c r="M68" s="128"/>
      <c r="N68" s="129"/>
      <c r="O68" s="130"/>
      <c r="P68" s="131"/>
      <c r="Q68" s="130"/>
      <c r="R68" s="131"/>
      <c r="S68" s="130"/>
      <c r="T68" s="131"/>
      <c r="U68" s="130"/>
      <c r="V68" s="131"/>
      <c r="W68" s="130"/>
      <c r="X68" s="131"/>
      <c r="Y68" s="130"/>
      <c r="Z68" s="131"/>
      <c r="AA68" s="130"/>
      <c r="AB68" s="131"/>
      <c r="AC68" s="130"/>
      <c r="AD68" s="131"/>
      <c r="AE68" s="130"/>
      <c r="AF68" s="131"/>
      <c r="AG68" s="130"/>
      <c r="AH68" s="131"/>
      <c r="AI68" s="130"/>
      <c r="AJ68" s="131"/>
      <c r="AK68" s="130"/>
      <c r="AL68" s="131"/>
      <c r="AM68" s="130"/>
      <c r="AN68" s="131"/>
      <c r="AO68" s="130"/>
      <c r="AP68" s="131"/>
      <c r="AQ68" s="130"/>
      <c r="AR68" s="132"/>
    </row>
    <row r="69" spans="1:44" x14ac:dyDescent="0.3">
      <c r="A69" s="126"/>
      <c r="B69" s="127"/>
      <c r="C69" s="127"/>
      <c r="D69" s="127"/>
      <c r="E69" s="126"/>
      <c r="F69" s="126"/>
      <c r="G69" s="126"/>
      <c r="H69" s="128"/>
      <c r="I69" s="126"/>
      <c r="J69" s="126"/>
      <c r="K69" s="128"/>
      <c r="L69" s="128"/>
      <c r="M69" s="128"/>
      <c r="N69" s="129"/>
      <c r="O69" s="130"/>
      <c r="P69" s="131"/>
      <c r="Q69" s="130"/>
      <c r="R69" s="131"/>
      <c r="S69" s="130"/>
      <c r="T69" s="131"/>
      <c r="U69" s="130"/>
      <c r="V69" s="131"/>
      <c r="W69" s="130"/>
      <c r="X69" s="131"/>
      <c r="Y69" s="130"/>
      <c r="Z69" s="131"/>
      <c r="AA69" s="130"/>
      <c r="AB69" s="131"/>
      <c r="AC69" s="130"/>
      <c r="AD69" s="131"/>
      <c r="AE69" s="130"/>
      <c r="AF69" s="131"/>
      <c r="AG69" s="130"/>
      <c r="AH69" s="131"/>
      <c r="AI69" s="130"/>
      <c r="AJ69" s="131"/>
      <c r="AK69" s="130"/>
      <c r="AL69" s="131"/>
      <c r="AM69" s="130"/>
      <c r="AN69" s="131"/>
      <c r="AO69" s="130"/>
      <c r="AP69" s="131"/>
      <c r="AQ69" s="130"/>
      <c r="AR69" s="132"/>
    </row>
    <row r="70" spans="1:44" x14ac:dyDescent="0.3">
      <c r="A70" s="126"/>
      <c r="B70" s="127"/>
      <c r="C70" s="127"/>
      <c r="D70" s="127"/>
      <c r="E70" s="126"/>
      <c r="F70" s="126"/>
      <c r="G70" s="126"/>
      <c r="H70" s="128"/>
      <c r="I70" s="126"/>
      <c r="J70" s="126"/>
      <c r="K70" s="128"/>
      <c r="L70" s="128"/>
      <c r="M70" s="128"/>
      <c r="N70" s="129"/>
      <c r="O70" s="130"/>
      <c r="P70" s="131"/>
      <c r="Q70" s="130"/>
      <c r="R70" s="131"/>
      <c r="S70" s="130"/>
      <c r="T70" s="131"/>
      <c r="U70" s="130"/>
      <c r="V70" s="131"/>
      <c r="W70" s="130"/>
      <c r="X70" s="131"/>
      <c r="Y70" s="130"/>
      <c r="Z70" s="131"/>
      <c r="AA70" s="130"/>
      <c r="AB70" s="131"/>
      <c r="AC70" s="130"/>
      <c r="AD70" s="131"/>
      <c r="AE70" s="130"/>
      <c r="AF70" s="131"/>
      <c r="AG70" s="130"/>
      <c r="AH70" s="131"/>
      <c r="AI70" s="130"/>
      <c r="AJ70" s="131"/>
      <c r="AK70" s="130"/>
      <c r="AL70" s="131"/>
      <c r="AM70" s="130"/>
      <c r="AN70" s="131"/>
      <c r="AO70" s="130"/>
      <c r="AP70" s="131"/>
      <c r="AQ70" s="130"/>
      <c r="AR70" s="132"/>
    </row>
    <row r="71" spans="1:44" x14ac:dyDescent="0.3">
      <c r="A71" s="126"/>
      <c r="B71" s="127"/>
      <c r="C71" s="127"/>
      <c r="D71" s="127"/>
      <c r="E71" s="126"/>
      <c r="F71" s="126"/>
      <c r="G71" s="126"/>
      <c r="H71" s="128"/>
      <c r="I71" s="126"/>
      <c r="J71" s="126"/>
      <c r="K71" s="128"/>
      <c r="L71" s="128"/>
      <c r="M71" s="128"/>
      <c r="N71" s="129"/>
      <c r="O71" s="130"/>
      <c r="P71" s="131"/>
      <c r="Q71" s="130"/>
      <c r="R71" s="131"/>
      <c r="S71" s="130"/>
      <c r="T71" s="131"/>
      <c r="U71" s="130"/>
      <c r="V71" s="131"/>
      <c r="W71" s="130"/>
      <c r="X71" s="131"/>
      <c r="Y71" s="130"/>
      <c r="Z71" s="131"/>
      <c r="AA71" s="130"/>
      <c r="AB71" s="131"/>
      <c r="AC71" s="130"/>
      <c r="AD71" s="131"/>
      <c r="AE71" s="130"/>
      <c r="AF71" s="131"/>
      <c r="AG71" s="130"/>
      <c r="AH71" s="131"/>
      <c r="AI71" s="130"/>
      <c r="AJ71" s="131"/>
      <c r="AK71" s="130"/>
      <c r="AL71" s="131"/>
      <c r="AM71" s="130"/>
      <c r="AN71" s="131"/>
      <c r="AO71" s="130"/>
      <c r="AP71" s="131"/>
      <c r="AQ71" s="130"/>
      <c r="AR71" s="132"/>
    </row>
    <row r="72" spans="1:44" x14ac:dyDescent="0.3">
      <c r="A72" s="126"/>
      <c r="B72" s="127"/>
      <c r="C72" s="127"/>
      <c r="D72" s="127"/>
      <c r="E72" s="126"/>
      <c r="F72" s="126"/>
      <c r="G72" s="126"/>
      <c r="H72" s="128"/>
      <c r="I72" s="126"/>
      <c r="J72" s="126"/>
      <c r="K72" s="128"/>
      <c r="L72" s="128"/>
      <c r="M72" s="128"/>
      <c r="N72" s="129"/>
      <c r="O72" s="130"/>
      <c r="P72" s="131"/>
      <c r="Q72" s="130"/>
      <c r="R72" s="131"/>
      <c r="S72" s="130"/>
      <c r="T72" s="131"/>
      <c r="U72" s="130"/>
      <c r="V72" s="131"/>
      <c r="W72" s="130"/>
      <c r="X72" s="131"/>
      <c r="Y72" s="130"/>
      <c r="Z72" s="131"/>
      <c r="AA72" s="130"/>
      <c r="AB72" s="131"/>
      <c r="AC72" s="130"/>
      <c r="AD72" s="131"/>
      <c r="AE72" s="130"/>
      <c r="AF72" s="131"/>
      <c r="AG72" s="130"/>
      <c r="AH72" s="131"/>
      <c r="AI72" s="130"/>
      <c r="AJ72" s="131"/>
      <c r="AK72" s="130"/>
      <c r="AL72" s="131"/>
      <c r="AM72" s="130"/>
      <c r="AN72" s="131"/>
      <c r="AO72" s="130"/>
      <c r="AP72" s="131"/>
      <c r="AQ72" s="130"/>
      <c r="AR72" s="132"/>
    </row>
    <row r="73" spans="1:44" x14ac:dyDescent="0.3">
      <c r="A73" s="126"/>
      <c r="B73" s="127"/>
      <c r="C73" s="127"/>
      <c r="D73" s="127"/>
      <c r="E73" s="126"/>
      <c r="F73" s="126"/>
      <c r="G73" s="126"/>
      <c r="H73" s="128"/>
      <c r="I73" s="126"/>
      <c r="J73" s="126"/>
      <c r="K73" s="128"/>
      <c r="L73" s="128"/>
      <c r="M73" s="128"/>
      <c r="N73" s="129"/>
      <c r="O73" s="130"/>
      <c r="P73" s="131"/>
      <c r="Q73" s="130"/>
      <c r="R73" s="131"/>
      <c r="S73" s="130"/>
      <c r="T73" s="131"/>
      <c r="U73" s="130"/>
      <c r="V73" s="131"/>
      <c r="W73" s="130"/>
      <c r="X73" s="131"/>
      <c r="Y73" s="130"/>
      <c r="Z73" s="131"/>
      <c r="AA73" s="130"/>
      <c r="AB73" s="131"/>
      <c r="AC73" s="130"/>
      <c r="AD73" s="131"/>
      <c r="AE73" s="130"/>
      <c r="AF73" s="131"/>
      <c r="AG73" s="130"/>
      <c r="AH73" s="131"/>
      <c r="AI73" s="130"/>
      <c r="AJ73" s="131"/>
      <c r="AK73" s="130"/>
      <c r="AL73" s="131"/>
      <c r="AM73" s="130"/>
      <c r="AN73" s="131"/>
      <c r="AO73" s="130"/>
      <c r="AP73" s="131"/>
      <c r="AQ73" s="130"/>
      <c r="AR73" s="132"/>
    </row>
    <row r="74" spans="1:44" x14ac:dyDescent="0.3">
      <c r="A74" s="126"/>
      <c r="B74" s="127"/>
      <c r="C74" s="127"/>
      <c r="D74" s="127"/>
      <c r="E74" s="126"/>
      <c r="F74" s="126"/>
      <c r="G74" s="126"/>
      <c r="H74" s="128"/>
      <c r="I74" s="126"/>
      <c r="J74" s="126"/>
      <c r="K74" s="128"/>
      <c r="L74" s="128"/>
      <c r="M74" s="128"/>
      <c r="N74" s="129"/>
      <c r="O74" s="130"/>
      <c r="P74" s="131"/>
      <c r="Q74" s="130"/>
      <c r="R74" s="131"/>
      <c r="S74" s="130"/>
      <c r="T74" s="131"/>
      <c r="U74" s="130"/>
      <c r="V74" s="131"/>
      <c r="W74" s="130"/>
      <c r="X74" s="131"/>
      <c r="Y74" s="130"/>
      <c r="Z74" s="131"/>
      <c r="AA74" s="130"/>
      <c r="AB74" s="131"/>
      <c r="AC74" s="130"/>
      <c r="AD74" s="131"/>
      <c r="AE74" s="130"/>
      <c r="AF74" s="131"/>
      <c r="AG74" s="130"/>
      <c r="AH74" s="131"/>
      <c r="AI74" s="130"/>
      <c r="AJ74" s="131"/>
      <c r="AK74" s="130"/>
      <c r="AL74" s="131"/>
      <c r="AM74" s="130"/>
      <c r="AN74" s="131"/>
      <c r="AO74" s="130"/>
      <c r="AP74" s="131"/>
      <c r="AQ74" s="130"/>
      <c r="AR74" s="132"/>
    </row>
    <row r="75" spans="1:44" x14ac:dyDescent="0.3">
      <c r="A75" s="126"/>
      <c r="B75" s="127"/>
      <c r="C75" s="127"/>
      <c r="D75" s="127"/>
      <c r="E75" s="126"/>
      <c r="F75" s="126"/>
      <c r="G75" s="126"/>
      <c r="H75" s="128"/>
      <c r="I75" s="126"/>
      <c r="J75" s="126"/>
      <c r="K75" s="128"/>
      <c r="L75" s="128"/>
      <c r="M75" s="128"/>
      <c r="N75" s="129"/>
      <c r="O75" s="130"/>
      <c r="P75" s="131"/>
      <c r="Q75" s="130"/>
      <c r="R75" s="131"/>
      <c r="S75" s="130"/>
      <c r="T75" s="131"/>
      <c r="U75" s="130"/>
      <c r="V75" s="131"/>
      <c r="W75" s="130"/>
      <c r="X75" s="131"/>
      <c r="Y75" s="130"/>
      <c r="Z75" s="131"/>
      <c r="AA75" s="130"/>
      <c r="AB75" s="131"/>
      <c r="AC75" s="130"/>
      <c r="AD75" s="131"/>
      <c r="AE75" s="130"/>
      <c r="AF75" s="131"/>
      <c r="AG75" s="130"/>
      <c r="AH75" s="131"/>
      <c r="AI75" s="130"/>
      <c r="AJ75" s="131"/>
      <c r="AK75" s="130"/>
      <c r="AL75" s="131"/>
      <c r="AM75" s="130"/>
      <c r="AN75" s="131"/>
      <c r="AO75" s="130"/>
      <c r="AP75" s="131"/>
      <c r="AQ75" s="130"/>
      <c r="AR75" s="132"/>
    </row>
    <row r="76" spans="1:44" x14ac:dyDescent="0.3">
      <c r="A76" s="126"/>
      <c r="B76" s="127"/>
      <c r="C76" s="127"/>
      <c r="D76" s="127"/>
      <c r="E76" s="126"/>
      <c r="F76" s="126"/>
      <c r="G76" s="126"/>
      <c r="H76" s="128"/>
      <c r="I76" s="126"/>
      <c r="J76" s="126"/>
      <c r="K76" s="128"/>
      <c r="L76" s="128"/>
      <c r="M76" s="128"/>
      <c r="N76" s="129"/>
      <c r="O76" s="130"/>
      <c r="P76" s="131"/>
      <c r="Q76" s="130"/>
      <c r="R76" s="131"/>
      <c r="S76" s="130"/>
      <c r="T76" s="131"/>
      <c r="U76" s="130"/>
      <c r="V76" s="131"/>
      <c r="W76" s="130"/>
      <c r="X76" s="131"/>
      <c r="Y76" s="130"/>
      <c r="Z76" s="131"/>
      <c r="AA76" s="130"/>
      <c r="AB76" s="131"/>
      <c r="AC76" s="130"/>
      <c r="AD76" s="131"/>
      <c r="AE76" s="130"/>
      <c r="AF76" s="131"/>
      <c r="AG76" s="130"/>
      <c r="AH76" s="131"/>
      <c r="AI76" s="130"/>
      <c r="AJ76" s="131"/>
      <c r="AK76" s="130"/>
      <c r="AL76" s="131"/>
      <c r="AM76" s="130"/>
      <c r="AN76" s="131"/>
      <c r="AO76" s="130"/>
      <c r="AP76" s="131"/>
      <c r="AQ76" s="130"/>
      <c r="AR76" s="132"/>
    </row>
    <row r="77" spans="1:44" x14ac:dyDescent="0.3">
      <c r="A77" s="126"/>
      <c r="B77" s="127"/>
      <c r="C77" s="127"/>
      <c r="D77" s="127"/>
      <c r="E77" s="126"/>
      <c r="F77" s="126"/>
      <c r="G77" s="126"/>
      <c r="H77" s="128"/>
      <c r="I77" s="126"/>
      <c r="J77" s="126"/>
      <c r="K77" s="128"/>
      <c r="L77" s="128"/>
      <c r="M77" s="128"/>
      <c r="N77" s="129"/>
      <c r="O77" s="130"/>
      <c r="P77" s="131"/>
      <c r="Q77" s="130"/>
      <c r="R77" s="131"/>
      <c r="S77" s="130"/>
      <c r="T77" s="131"/>
      <c r="U77" s="130"/>
      <c r="V77" s="131"/>
      <c r="W77" s="130"/>
      <c r="X77" s="131"/>
      <c r="Y77" s="130"/>
      <c r="Z77" s="131"/>
      <c r="AA77" s="130"/>
      <c r="AB77" s="131"/>
      <c r="AC77" s="130"/>
      <c r="AD77" s="131"/>
      <c r="AE77" s="130"/>
      <c r="AF77" s="131"/>
      <c r="AG77" s="130"/>
      <c r="AH77" s="131"/>
      <c r="AI77" s="130"/>
      <c r="AJ77" s="131"/>
      <c r="AK77" s="130"/>
      <c r="AL77" s="131"/>
      <c r="AM77" s="130"/>
      <c r="AN77" s="131"/>
      <c r="AO77" s="130"/>
      <c r="AP77" s="131"/>
      <c r="AQ77" s="130"/>
      <c r="AR77" s="132"/>
    </row>
    <row r="78" spans="1:44" x14ac:dyDescent="0.3">
      <c r="A78" s="126"/>
      <c r="B78" s="127"/>
      <c r="C78" s="127"/>
      <c r="D78" s="127"/>
      <c r="E78" s="126"/>
      <c r="F78" s="126"/>
      <c r="G78" s="126"/>
      <c r="H78" s="128"/>
      <c r="I78" s="126"/>
      <c r="J78" s="126"/>
      <c r="K78" s="128"/>
      <c r="L78" s="128"/>
      <c r="M78" s="128"/>
      <c r="N78" s="129"/>
      <c r="O78" s="130"/>
      <c r="P78" s="131"/>
      <c r="Q78" s="130"/>
      <c r="R78" s="131"/>
      <c r="S78" s="130"/>
      <c r="T78" s="131"/>
      <c r="U78" s="130"/>
      <c r="V78" s="131"/>
      <c r="W78" s="130"/>
      <c r="X78" s="131"/>
      <c r="Y78" s="130"/>
      <c r="Z78" s="131"/>
      <c r="AA78" s="130"/>
      <c r="AB78" s="131"/>
      <c r="AC78" s="130"/>
      <c r="AD78" s="131"/>
      <c r="AE78" s="130"/>
      <c r="AF78" s="131"/>
      <c r="AG78" s="130"/>
      <c r="AH78" s="131"/>
      <c r="AI78" s="130"/>
      <c r="AJ78" s="131"/>
      <c r="AK78" s="130"/>
      <c r="AL78" s="131"/>
      <c r="AM78" s="130"/>
      <c r="AN78" s="131"/>
      <c r="AO78" s="130"/>
      <c r="AP78" s="131"/>
      <c r="AQ78" s="130"/>
      <c r="AR78" s="132"/>
    </row>
    <row r="79" spans="1:44" x14ac:dyDescent="0.3">
      <c r="A79" s="126"/>
      <c r="B79" s="127"/>
      <c r="C79" s="127"/>
      <c r="D79" s="127"/>
      <c r="E79" s="126"/>
      <c r="F79" s="126"/>
      <c r="G79" s="126"/>
      <c r="H79" s="128"/>
      <c r="I79" s="126"/>
      <c r="J79" s="126"/>
      <c r="K79" s="128"/>
      <c r="L79" s="128"/>
      <c r="M79" s="128"/>
      <c r="N79" s="129"/>
      <c r="O79" s="130"/>
      <c r="P79" s="131"/>
      <c r="Q79" s="130"/>
      <c r="R79" s="131"/>
      <c r="S79" s="130"/>
      <c r="T79" s="131"/>
      <c r="U79" s="130"/>
      <c r="V79" s="131"/>
      <c r="W79" s="130"/>
      <c r="X79" s="131"/>
      <c r="Y79" s="130"/>
      <c r="Z79" s="131"/>
      <c r="AA79" s="130"/>
      <c r="AB79" s="131"/>
      <c r="AC79" s="130"/>
      <c r="AD79" s="131"/>
      <c r="AE79" s="130"/>
      <c r="AF79" s="131"/>
      <c r="AG79" s="130"/>
      <c r="AH79" s="131"/>
      <c r="AI79" s="130"/>
      <c r="AJ79" s="131"/>
      <c r="AK79" s="130"/>
      <c r="AL79" s="131"/>
      <c r="AM79" s="130"/>
      <c r="AN79" s="131"/>
      <c r="AO79" s="130"/>
      <c r="AP79" s="131"/>
      <c r="AQ79" s="130"/>
      <c r="AR79" s="132"/>
    </row>
    <row r="80" spans="1:44" x14ac:dyDescent="0.3">
      <c r="A80" s="126"/>
      <c r="B80" s="127"/>
      <c r="C80" s="127"/>
      <c r="D80" s="127"/>
      <c r="E80" s="126"/>
      <c r="F80" s="126"/>
      <c r="G80" s="126"/>
      <c r="H80" s="128"/>
      <c r="I80" s="126"/>
      <c r="J80" s="126"/>
      <c r="K80" s="128"/>
      <c r="L80" s="128"/>
      <c r="M80" s="128"/>
      <c r="N80" s="129"/>
      <c r="O80" s="130"/>
      <c r="P80" s="131"/>
      <c r="Q80" s="130"/>
      <c r="R80" s="131"/>
      <c r="S80" s="130"/>
      <c r="T80" s="131"/>
      <c r="U80" s="130"/>
      <c r="V80" s="131"/>
      <c r="W80" s="130"/>
      <c r="X80" s="131"/>
      <c r="Y80" s="130"/>
      <c r="Z80" s="131"/>
      <c r="AA80" s="130"/>
      <c r="AB80" s="131"/>
      <c r="AC80" s="130"/>
      <c r="AD80" s="131"/>
      <c r="AE80" s="130"/>
      <c r="AF80" s="131"/>
      <c r="AG80" s="130"/>
      <c r="AH80" s="131"/>
      <c r="AI80" s="130"/>
      <c r="AJ80" s="131"/>
      <c r="AK80" s="130"/>
      <c r="AL80" s="131"/>
      <c r="AM80" s="130"/>
      <c r="AN80" s="131"/>
      <c r="AO80" s="130"/>
      <c r="AP80" s="131"/>
      <c r="AQ80" s="130"/>
      <c r="AR80" s="132"/>
    </row>
    <row r="81" spans="1:44" x14ac:dyDescent="0.3">
      <c r="A81" s="126"/>
      <c r="B81" s="127"/>
      <c r="C81" s="127"/>
      <c r="D81" s="127"/>
      <c r="E81" s="126"/>
      <c r="F81" s="126"/>
      <c r="G81" s="126"/>
      <c r="H81" s="128"/>
      <c r="I81" s="126"/>
      <c r="J81" s="126"/>
      <c r="K81" s="128"/>
      <c r="L81" s="128"/>
      <c r="M81" s="128"/>
      <c r="N81" s="129"/>
      <c r="O81" s="130"/>
      <c r="P81" s="131"/>
      <c r="Q81" s="130"/>
      <c r="R81" s="131"/>
      <c r="S81" s="130"/>
      <c r="T81" s="131"/>
      <c r="U81" s="130"/>
      <c r="V81" s="131"/>
      <c r="W81" s="130"/>
      <c r="X81" s="131"/>
      <c r="Y81" s="130"/>
      <c r="Z81" s="131"/>
      <c r="AA81" s="130"/>
      <c r="AB81" s="131"/>
      <c r="AC81" s="130"/>
      <c r="AD81" s="131"/>
      <c r="AE81" s="130"/>
      <c r="AF81" s="131"/>
      <c r="AG81" s="130"/>
      <c r="AH81" s="131"/>
      <c r="AI81" s="130"/>
      <c r="AJ81" s="131"/>
      <c r="AK81" s="130"/>
      <c r="AL81" s="131"/>
      <c r="AM81" s="130"/>
      <c r="AN81" s="131"/>
      <c r="AO81" s="130"/>
      <c r="AP81" s="131"/>
      <c r="AQ81" s="130"/>
      <c r="AR81" s="132"/>
    </row>
    <row r="82" spans="1:44" x14ac:dyDescent="0.3">
      <c r="A82" s="126"/>
      <c r="B82" s="127"/>
      <c r="C82" s="127"/>
      <c r="D82" s="127"/>
      <c r="E82" s="126"/>
      <c r="F82" s="126"/>
      <c r="G82" s="126"/>
      <c r="H82" s="128"/>
      <c r="I82" s="126"/>
      <c r="J82" s="126"/>
      <c r="K82" s="128"/>
      <c r="L82" s="128"/>
      <c r="M82" s="128"/>
      <c r="N82" s="129"/>
      <c r="O82" s="130"/>
      <c r="P82" s="131"/>
      <c r="Q82" s="130"/>
      <c r="R82" s="131"/>
      <c r="S82" s="130"/>
      <c r="T82" s="131"/>
      <c r="U82" s="130"/>
      <c r="V82" s="131"/>
      <c r="W82" s="130"/>
      <c r="X82" s="131"/>
      <c r="Y82" s="130"/>
      <c r="Z82" s="131"/>
      <c r="AA82" s="130"/>
      <c r="AB82" s="131"/>
      <c r="AC82" s="130"/>
      <c r="AD82" s="131"/>
      <c r="AE82" s="130"/>
      <c r="AF82" s="131"/>
      <c r="AG82" s="130"/>
      <c r="AH82" s="131"/>
      <c r="AI82" s="130"/>
      <c r="AJ82" s="131"/>
      <c r="AK82" s="130"/>
      <c r="AL82" s="131"/>
      <c r="AM82" s="130"/>
      <c r="AN82" s="131"/>
      <c r="AO82" s="130"/>
      <c r="AP82" s="131"/>
      <c r="AQ82" s="130"/>
      <c r="AR82" s="132"/>
    </row>
    <row r="83" spans="1:44" x14ac:dyDescent="0.3">
      <c r="A83" s="126"/>
      <c r="B83" s="127"/>
      <c r="C83" s="127"/>
      <c r="D83" s="127"/>
      <c r="E83" s="126"/>
      <c r="F83" s="126"/>
      <c r="G83" s="126"/>
      <c r="H83" s="128"/>
      <c r="I83" s="126"/>
      <c r="J83" s="126"/>
      <c r="K83" s="128"/>
      <c r="L83" s="128"/>
      <c r="M83" s="128"/>
      <c r="N83" s="129"/>
      <c r="O83" s="130"/>
      <c r="P83" s="131"/>
      <c r="Q83" s="130"/>
      <c r="R83" s="131"/>
      <c r="S83" s="130"/>
      <c r="T83" s="131"/>
      <c r="U83" s="130"/>
      <c r="V83" s="131"/>
      <c r="W83" s="130"/>
      <c r="X83" s="131"/>
      <c r="Y83" s="130"/>
      <c r="Z83" s="131"/>
      <c r="AA83" s="130"/>
      <c r="AB83" s="131"/>
      <c r="AC83" s="130"/>
      <c r="AD83" s="131"/>
      <c r="AE83" s="130"/>
      <c r="AF83" s="131"/>
      <c r="AG83" s="130"/>
      <c r="AH83" s="131"/>
      <c r="AI83" s="130"/>
      <c r="AJ83" s="131"/>
      <c r="AK83" s="130"/>
      <c r="AL83" s="131"/>
      <c r="AM83" s="130"/>
      <c r="AN83" s="131"/>
      <c r="AO83" s="130"/>
      <c r="AP83" s="131"/>
      <c r="AQ83" s="130"/>
      <c r="AR83" s="132"/>
    </row>
    <row r="84" spans="1:44" x14ac:dyDescent="0.3">
      <c r="A84" s="126"/>
      <c r="B84" s="127"/>
      <c r="C84" s="127"/>
      <c r="D84" s="127"/>
      <c r="E84" s="126"/>
      <c r="F84" s="126"/>
      <c r="G84" s="126"/>
      <c r="H84" s="128"/>
      <c r="I84" s="126"/>
      <c r="J84" s="126"/>
      <c r="K84" s="128"/>
      <c r="L84" s="128"/>
      <c r="M84" s="128"/>
      <c r="N84" s="129"/>
      <c r="O84" s="130"/>
      <c r="P84" s="131"/>
      <c r="Q84" s="130"/>
      <c r="R84" s="131"/>
      <c r="S84" s="130"/>
      <c r="T84" s="131"/>
      <c r="U84" s="130"/>
      <c r="V84" s="131"/>
      <c r="W84" s="130"/>
      <c r="X84" s="131"/>
      <c r="Y84" s="130"/>
      <c r="Z84" s="131"/>
      <c r="AA84" s="130"/>
      <c r="AB84" s="131"/>
      <c r="AC84" s="130"/>
      <c r="AD84" s="131"/>
      <c r="AE84" s="130"/>
      <c r="AF84" s="131"/>
      <c r="AG84" s="130"/>
      <c r="AH84" s="131"/>
      <c r="AI84" s="130"/>
      <c r="AJ84" s="131"/>
      <c r="AK84" s="130"/>
      <c r="AL84" s="131"/>
      <c r="AM84" s="130"/>
      <c r="AN84" s="131"/>
      <c r="AO84" s="130"/>
      <c r="AP84" s="131"/>
      <c r="AQ84" s="130"/>
      <c r="AR84" s="132"/>
    </row>
    <row r="85" spans="1:44" x14ac:dyDescent="0.3">
      <c r="A85" s="126"/>
      <c r="B85" s="127"/>
      <c r="C85" s="127"/>
      <c r="D85" s="127"/>
      <c r="E85" s="126"/>
      <c r="F85" s="126"/>
      <c r="G85" s="126"/>
      <c r="H85" s="128"/>
      <c r="I85" s="126"/>
      <c r="J85" s="126"/>
      <c r="K85" s="128"/>
      <c r="L85" s="128"/>
      <c r="M85" s="128"/>
      <c r="N85" s="129"/>
      <c r="O85" s="130"/>
      <c r="P85" s="131"/>
      <c r="Q85" s="130"/>
      <c r="R85" s="131"/>
      <c r="S85" s="130"/>
      <c r="T85" s="131"/>
      <c r="U85" s="130"/>
      <c r="V85" s="131"/>
      <c r="W85" s="130"/>
      <c r="X85" s="131"/>
      <c r="Y85" s="130"/>
      <c r="Z85" s="131"/>
      <c r="AA85" s="130"/>
      <c r="AB85" s="131"/>
      <c r="AC85" s="130"/>
      <c r="AD85" s="131"/>
      <c r="AE85" s="130"/>
      <c r="AF85" s="131"/>
      <c r="AG85" s="130"/>
      <c r="AH85" s="131"/>
      <c r="AI85" s="130"/>
      <c r="AJ85" s="131"/>
      <c r="AK85" s="130"/>
      <c r="AL85" s="131"/>
      <c r="AM85" s="130"/>
      <c r="AN85" s="131"/>
      <c r="AO85" s="130"/>
      <c r="AP85" s="131"/>
      <c r="AQ85" s="130"/>
      <c r="AR85" s="132"/>
    </row>
    <row r="86" spans="1:44" x14ac:dyDescent="0.3">
      <c r="A86" s="126"/>
      <c r="B86" s="127"/>
      <c r="C86" s="127"/>
      <c r="D86" s="127"/>
      <c r="E86" s="126"/>
      <c r="F86" s="126"/>
      <c r="G86" s="126"/>
      <c r="H86" s="128"/>
      <c r="I86" s="126"/>
      <c r="J86" s="126"/>
      <c r="K86" s="128"/>
      <c r="L86" s="128"/>
      <c r="M86" s="128"/>
      <c r="N86" s="129"/>
      <c r="O86" s="130"/>
      <c r="P86" s="131"/>
      <c r="Q86" s="130"/>
      <c r="R86" s="131"/>
      <c r="S86" s="130"/>
      <c r="T86" s="131"/>
      <c r="U86" s="130"/>
      <c r="V86" s="131"/>
      <c r="W86" s="130"/>
      <c r="X86" s="131"/>
      <c r="Y86" s="130"/>
      <c r="Z86" s="131"/>
      <c r="AA86" s="130"/>
      <c r="AB86" s="131"/>
      <c r="AC86" s="130"/>
      <c r="AD86" s="131"/>
      <c r="AE86" s="130"/>
      <c r="AF86" s="131"/>
      <c r="AG86" s="130"/>
      <c r="AH86" s="131"/>
      <c r="AI86" s="130"/>
      <c r="AJ86" s="131"/>
      <c r="AK86" s="130"/>
      <c r="AL86" s="131"/>
      <c r="AM86" s="130"/>
      <c r="AN86" s="131"/>
      <c r="AO86" s="130"/>
      <c r="AP86" s="131"/>
      <c r="AQ86" s="130"/>
      <c r="AR86" s="132"/>
    </row>
    <row r="87" spans="1:44" x14ac:dyDescent="0.3">
      <c r="A87" s="126"/>
      <c r="B87" s="127"/>
      <c r="C87" s="127"/>
      <c r="D87" s="127"/>
      <c r="E87" s="126"/>
      <c r="F87" s="126"/>
      <c r="G87" s="126"/>
      <c r="H87" s="128"/>
      <c r="I87" s="126"/>
      <c r="J87" s="126"/>
      <c r="K87" s="128"/>
      <c r="L87" s="128"/>
      <c r="M87" s="128"/>
      <c r="N87" s="129"/>
      <c r="O87" s="130"/>
      <c r="P87" s="131"/>
      <c r="Q87" s="130"/>
      <c r="R87" s="131"/>
      <c r="S87" s="130"/>
      <c r="T87" s="131"/>
      <c r="U87" s="130"/>
      <c r="V87" s="131"/>
      <c r="W87" s="130"/>
      <c r="X87" s="131"/>
      <c r="Y87" s="130"/>
      <c r="Z87" s="131"/>
      <c r="AA87" s="130"/>
      <c r="AB87" s="131"/>
      <c r="AC87" s="130"/>
      <c r="AD87" s="131"/>
      <c r="AE87" s="130"/>
      <c r="AF87" s="131"/>
      <c r="AG87" s="130"/>
      <c r="AH87" s="131"/>
      <c r="AI87" s="130"/>
      <c r="AJ87" s="131"/>
      <c r="AK87" s="130"/>
      <c r="AL87" s="131"/>
      <c r="AM87" s="130"/>
      <c r="AN87" s="131"/>
      <c r="AO87" s="130"/>
      <c r="AP87" s="131"/>
      <c r="AQ87" s="130"/>
      <c r="AR87" s="132"/>
    </row>
    <row r="88" spans="1:44" x14ac:dyDescent="0.3">
      <c r="A88" s="126"/>
      <c r="B88" s="127"/>
      <c r="C88" s="127"/>
      <c r="D88" s="127"/>
      <c r="E88" s="126"/>
      <c r="F88" s="126"/>
      <c r="G88" s="126"/>
      <c r="H88" s="128"/>
      <c r="I88" s="126"/>
      <c r="J88" s="126"/>
      <c r="K88" s="128"/>
      <c r="L88" s="128"/>
      <c r="M88" s="128"/>
      <c r="N88" s="129"/>
      <c r="O88" s="130"/>
      <c r="P88" s="131"/>
      <c r="Q88" s="130"/>
      <c r="R88" s="131"/>
      <c r="S88" s="130"/>
      <c r="T88" s="131"/>
      <c r="U88" s="130"/>
      <c r="V88" s="131"/>
      <c r="W88" s="130"/>
      <c r="X88" s="131"/>
      <c r="Y88" s="130"/>
      <c r="Z88" s="131"/>
      <c r="AA88" s="130"/>
      <c r="AB88" s="131"/>
      <c r="AC88" s="130"/>
      <c r="AD88" s="131"/>
      <c r="AE88" s="130"/>
      <c r="AF88" s="131"/>
      <c r="AG88" s="130"/>
      <c r="AH88" s="131"/>
      <c r="AI88" s="130"/>
      <c r="AJ88" s="131"/>
      <c r="AK88" s="130"/>
      <c r="AL88" s="131"/>
      <c r="AM88" s="130"/>
      <c r="AN88" s="131"/>
      <c r="AO88" s="130"/>
      <c r="AP88" s="131"/>
      <c r="AQ88" s="130"/>
      <c r="AR88" s="132"/>
    </row>
    <row r="89" spans="1:44" x14ac:dyDescent="0.3">
      <c r="A89" s="126"/>
      <c r="B89" s="127"/>
      <c r="C89" s="127"/>
      <c r="D89" s="127"/>
      <c r="E89" s="126"/>
      <c r="F89" s="126"/>
      <c r="G89" s="126"/>
      <c r="H89" s="128"/>
      <c r="I89" s="126"/>
      <c r="J89" s="126"/>
      <c r="K89" s="128"/>
      <c r="L89" s="128"/>
      <c r="M89" s="128"/>
      <c r="N89" s="129"/>
      <c r="O89" s="130"/>
      <c r="P89" s="131"/>
      <c r="Q89" s="130"/>
      <c r="R89" s="131"/>
      <c r="S89" s="130"/>
      <c r="T89" s="131"/>
      <c r="U89" s="130"/>
      <c r="V89" s="131"/>
      <c r="W89" s="130"/>
      <c r="X89" s="131"/>
      <c r="Y89" s="130"/>
      <c r="Z89" s="131"/>
      <c r="AA89" s="130"/>
      <c r="AB89" s="131"/>
      <c r="AC89" s="130"/>
      <c r="AD89" s="131"/>
      <c r="AE89" s="130"/>
      <c r="AF89" s="131"/>
      <c r="AG89" s="130"/>
      <c r="AH89" s="131"/>
      <c r="AI89" s="130"/>
      <c r="AJ89" s="131"/>
      <c r="AK89" s="130"/>
      <c r="AL89" s="131"/>
      <c r="AM89" s="130"/>
      <c r="AN89" s="131"/>
      <c r="AO89" s="130"/>
      <c r="AP89" s="131"/>
      <c r="AQ89" s="130"/>
      <c r="AR89" s="132"/>
    </row>
    <row r="90" spans="1:44" x14ac:dyDescent="0.3">
      <c r="A90" s="126"/>
      <c r="B90" s="127"/>
      <c r="C90" s="127"/>
      <c r="D90" s="127"/>
      <c r="E90" s="126"/>
      <c r="F90" s="126"/>
      <c r="G90" s="126"/>
      <c r="H90" s="128"/>
      <c r="I90" s="126"/>
      <c r="J90" s="126"/>
      <c r="K90" s="128"/>
      <c r="L90" s="128"/>
      <c r="M90" s="128"/>
      <c r="N90" s="129"/>
      <c r="O90" s="130"/>
      <c r="P90" s="131"/>
      <c r="Q90" s="130"/>
      <c r="R90" s="131"/>
      <c r="S90" s="130"/>
      <c r="T90" s="131"/>
      <c r="U90" s="130"/>
      <c r="V90" s="131"/>
      <c r="W90" s="130"/>
      <c r="X90" s="131"/>
      <c r="Y90" s="130"/>
      <c r="Z90" s="131"/>
      <c r="AA90" s="130"/>
      <c r="AB90" s="131"/>
      <c r="AC90" s="130"/>
      <c r="AD90" s="131"/>
      <c r="AE90" s="130"/>
      <c r="AF90" s="131"/>
      <c r="AG90" s="130"/>
      <c r="AH90" s="131"/>
      <c r="AI90" s="130"/>
      <c r="AJ90" s="131"/>
      <c r="AK90" s="130"/>
      <c r="AL90" s="131"/>
      <c r="AM90" s="130"/>
      <c r="AN90" s="131"/>
      <c r="AO90" s="130"/>
      <c r="AP90" s="131"/>
      <c r="AQ90" s="130"/>
      <c r="AR90" s="132"/>
    </row>
    <row r="91" spans="1:44" x14ac:dyDescent="0.3">
      <c r="A91" s="126"/>
      <c r="B91" s="127"/>
      <c r="C91" s="127"/>
      <c r="D91" s="127"/>
      <c r="E91" s="126"/>
      <c r="F91" s="126"/>
      <c r="G91" s="126"/>
      <c r="H91" s="128"/>
      <c r="I91" s="126"/>
      <c r="J91" s="126"/>
      <c r="K91" s="128"/>
      <c r="L91" s="128"/>
      <c r="M91" s="128"/>
      <c r="N91" s="129"/>
      <c r="O91" s="130"/>
      <c r="P91" s="131"/>
      <c r="Q91" s="130"/>
      <c r="R91" s="131"/>
      <c r="S91" s="130"/>
      <c r="T91" s="131"/>
      <c r="U91" s="130"/>
      <c r="V91" s="131"/>
      <c r="W91" s="130"/>
      <c r="X91" s="131"/>
      <c r="Y91" s="130"/>
      <c r="Z91" s="131"/>
      <c r="AA91" s="130"/>
      <c r="AB91" s="131"/>
      <c r="AC91" s="130"/>
      <c r="AD91" s="131"/>
      <c r="AE91" s="130"/>
      <c r="AF91" s="131"/>
      <c r="AG91" s="130"/>
      <c r="AH91" s="131"/>
      <c r="AI91" s="130"/>
      <c r="AJ91" s="131"/>
      <c r="AK91" s="130"/>
      <c r="AL91" s="131"/>
      <c r="AM91" s="130"/>
      <c r="AN91" s="131"/>
      <c r="AO91" s="130"/>
      <c r="AP91" s="131"/>
      <c r="AQ91" s="130"/>
      <c r="AR91" s="132"/>
    </row>
    <row r="92" spans="1:44" x14ac:dyDescent="0.3">
      <c r="A92" s="126"/>
      <c r="B92" s="127"/>
      <c r="C92" s="127"/>
      <c r="D92" s="127"/>
      <c r="E92" s="126"/>
      <c r="F92" s="126"/>
      <c r="G92" s="126"/>
      <c r="H92" s="128"/>
      <c r="I92" s="126"/>
      <c r="J92" s="126"/>
      <c r="K92" s="128"/>
      <c r="L92" s="128"/>
      <c r="M92" s="128"/>
      <c r="N92" s="129"/>
      <c r="O92" s="130"/>
      <c r="P92" s="131"/>
      <c r="Q92" s="130"/>
      <c r="R92" s="131"/>
      <c r="S92" s="130"/>
      <c r="T92" s="131"/>
      <c r="U92" s="130"/>
      <c r="V92" s="131"/>
      <c r="W92" s="130"/>
      <c r="X92" s="131"/>
      <c r="Y92" s="130"/>
      <c r="Z92" s="131"/>
      <c r="AA92" s="130"/>
      <c r="AB92" s="131"/>
      <c r="AC92" s="130"/>
      <c r="AD92" s="131"/>
      <c r="AE92" s="130"/>
      <c r="AF92" s="131"/>
      <c r="AG92" s="130"/>
      <c r="AH92" s="131"/>
      <c r="AI92" s="130"/>
      <c r="AJ92" s="131"/>
      <c r="AK92" s="130"/>
      <c r="AL92" s="131"/>
      <c r="AM92" s="130"/>
      <c r="AN92" s="131"/>
      <c r="AO92" s="130"/>
      <c r="AP92" s="131"/>
      <c r="AQ92" s="130"/>
      <c r="AR92" s="132"/>
    </row>
    <row r="93" spans="1:44" x14ac:dyDescent="0.3">
      <c r="A93" s="126"/>
      <c r="B93" s="127"/>
      <c r="C93" s="127"/>
      <c r="D93" s="127"/>
      <c r="E93" s="126"/>
      <c r="F93" s="126"/>
      <c r="G93" s="126"/>
      <c r="H93" s="128"/>
      <c r="I93" s="126"/>
      <c r="J93" s="126"/>
      <c r="K93" s="128"/>
      <c r="L93" s="128"/>
      <c r="M93" s="128"/>
      <c r="N93" s="129"/>
      <c r="O93" s="130"/>
      <c r="P93" s="131"/>
      <c r="Q93" s="130"/>
      <c r="R93" s="131"/>
      <c r="S93" s="130"/>
      <c r="T93" s="131"/>
      <c r="U93" s="130"/>
      <c r="V93" s="131"/>
      <c r="W93" s="130"/>
      <c r="X93" s="131"/>
      <c r="Y93" s="130"/>
      <c r="Z93" s="131"/>
      <c r="AA93" s="130"/>
      <c r="AB93" s="131"/>
      <c r="AC93" s="130"/>
      <c r="AD93" s="131"/>
      <c r="AE93" s="130"/>
      <c r="AF93" s="131"/>
      <c r="AG93" s="130"/>
      <c r="AH93" s="131"/>
      <c r="AI93" s="130"/>
      <c r="AJ93" s="131"/>
      <c r="AK93" s="130"/>
      <c r="AL93" s="131"/>
      <c r="AM93" s="130"/>
      <c r="AN93" s="131"/>
      <c r="AO93" s="130"/>
      <c r="AP93" s="131"/>
      <c r="AQ93" s="130"/>
      <c r="AR93" s="132"/>
    </row>
    <row r="94" spans="1:44" x14ac:dyDescent="0.3">
      <c r="A94" s="126"/>
      <c r="B94" s="127"/>
      <c r="C94" s="127"/>
      <c r="D94" s="127"/>
      <c r="E94" s="126"/>
      <c r="F94" s="126"/>
      <c r="G94" s="126"/>
      <c r="H94" s="128"/>
      <c r="I94" s="126"/>
      <c r="J94" s="126"/>
      <c r="K94" s="128"/>
      <c r="L94" s="128"/>
      <c r="M94" s="128"/>
      <c r="N94" s="129"/>
      <c r="O94" s="130"/>
      <c r="P94" s="131"/>
      <c r="Q94" s="130"/>
      <c r="R94" s="131"/>
      <c r="S94" s="130"/>
      <c r="T94" s="131"/>
      <c r="U94" s="130"/>
      <c r="V94" s="131"/>
      <c r="W94" s="130"/>
      <c r="X94" s="131"/>
      <c r="Y94" s="130"/>
      <c r="Z94" s="131"/>
      <c r="AA94" s="130"/>
      <c r="AB94" s="131"/>
      <c r="AC94" s="130"/>
      <c r="AD94" s="131"/>
      <c r="AE94" s="130"/>
      <c r="AF94" s="131"/>
      <c r="AG94" s="130"/>
      <c r="AH94" s="131"/>
      <c r="AI94" s="130"/>
      <c r="AJ94" s="131"/>
      <c r="AK94" s="130"/>
      <c r="AL94" s="131"/>
      <c r="AM94" s="130"/>
      <c r="AN94" s="131"/>
      <c r="AO94" s="130"/>
      <c r="AP94" s="131"/>
      <c r="AQ94" s="130"/>
      <c r="AR94" s="132"/>
    </row>
    <row r="95" spans="1:44" x14ac:dyDescent="0.3">
      <c r="A95" s="126"/>
      <c r="B95" s="127"/>
      <c r="C95" s="127"/>
      <c r="D95" s="127"/>
      <c r="E95" s="126"/>
      <c r="F95" s="126"/>
      <c r="G95" s="126"/>
      <c r="H95" s="128"/>
      <c r="I95" s="126"/>
      <c r="J95" s="126"/>
      <c r="K95" s="128"/>
      <c r="L95" s="128"/>
      <c r="M95" s="128"/>
      <c r="N95" s="129"/>
      <c r="O95" s="130"/>
      <c r="P95" s="131"/>
      <c r="Q95" s="130"/>
      <c r="R95" s="131"/>
      <c r="S95" s="130"/>
      <c r="T95" s="131"/>
      <c r="U95" s="130"/>
      <c r="V95" s="131"/>
      <c r="W95" s="130"/>
      <c r="X95" s="131"/>
      <c r="Y95" s="130"/>
      <c r="Z95" s="131"/>
      <c r="AA95" s="130"/>
      <c r="AB95" s="131"/>
      <c r="AC95" s="130"/>
      <c r="AD95" s="131"/>
      <c r="AE95" s="130"/>
      <c r="AF95" s="131"/>
      <c r="AG95" s="130"/>
      <c r="AH95" s="131"/>
      <c r="AI95" s="130"/>
      <c r="AJ95" s="131"/>
      <c r="AK95" s="130"/>
      <c r="AL95" s="131"/>
      <c r="AM95" s="130"/>
      <c r="AN95" s="131"/>
      <c r="AO95" s="130"/>
      <c r="AP95" s="131"/>
      <c r="AQ95" s="130"/>
      <c r="AR95" s="132"/>
    </row>
    <row r="96" spans="1:44" x14ac:dyDescent="0.3">
      <c r="A96" s="126"/>
      <c r="B96" s="127"/>
      <c r="C96" s="127"/>
      <c r="D96" s="127"/>
      <c r="E96" s="126"/>
      <c r="F96" s="126"/>
      <c r="G96" s="126"/>
      <c r="H96" s="128"/>
      <c r="I96" s="126"/>
      <c r="J96" s="126"/>
      <c r="K96" s="128"/>
      <c r="L96" s="128"/>
      <c r="M96" s="128"/>
      <c r="N96" s="129"/>
      <c r="O96" s="130"/>
      <c r="P96" s="131"/>
      <c r="Q96" s="130"/>
      <c r="R96" s="131"/>
      <c r="S96" s="130"/>
      <c r="T96" s="131"/>
      <c r="U96" s="130"/>
      <c r="V96" s="131"/>
      <c r="W96" s="130"/>
      <c r="X96" s="131"/>
      <c r="Y96" s="130"/>
      <c r="Z96" s="131"/>
      <c r="AA96" s="130"/>
      <c r="AB96" s="131"/>
      <c r="AC96" s="130"/>
      <c r="AD96" s="131"/>
      <c r="AE96" s="130"/>
      <c r="AF96" s="131"/>
      <c r="AG96" s="130"/>
      <c r="AH96" s="131"/>
      <c r="AI96" s="130"/>
      <c r="AJ96" s="131"/>
      <c r="AK96" s="130"/>
      <c r="AL96" s="131"/>
      <c r="AM96" s="130"/>
      <c r="AN96" s="131"/>
      <c r="AO96" s="130"/>
      <c r="AP96" s="131"/>
      <c r="AQ96" s="130"/>
      <c r="AR96" s="132"/>
    </row>
    <row r="97" spans="1:44" x14ac:dyDescent="0.3">
      <c r="A97" s="126"/>
      <c r="B97" s="127"/>
      <c r="C97" s="127"/>
      <c r="D97" s="127"/>
      <c r="E97" s="126"/>
      <c r="F97" s="126"/>
      <c r="G97" s="126"/>
      <c r="H97" s="128"/>
      <c r="I97" s="126"/>
      <c r="J97" s="126"/>
      <c r="K97" s="128"/>
      <c r="L97" s="128"/>
      <c r="M97" s="128"/>
      <c r="N97" s="129"/>
      <c r="O97" s="130"/>
      <c r="P97" s="131"/>
      <c r="Q97" s="130"/>
      <c r="R97" s="131"/>
      <c r="S97" s="130"/>
      <c r="T97" s="131"/>
      <c r="U97" s="130"/>
      <c r="V97" s="131"/>
      <c r="W97" s="130"/>
      <c r="X97" s="131"/>
      <c r="Y97" s="130"/>
      <c r="Z97" s="131"/>
      <c r="AA97" s="130"/>
      <c r="AB97" s="131"/>
      <c r="AC97" s="130"/>
      <c r="AD97" s="131"/>
      <c r="AE97" s="130"/>
      <c r="AF97" s="131"/>
      <c r="AG97" s="130"/>
      <c r="AH97" s="131"/>
      <c r="AI97" s="130"/>
      <c r="AJ97" s="131"/>
      <c r="AK97" s="130"/>
      <c r="AL97" s="131"/>
      <c r="AM97" s="130"/>
      <c r="AN97" s="131"/>
      <c r="AO97" s="130"/>
      <c r="AP97" s="131"/>
      <c r="AQ97" s="130"/>
      <c r="AR97" s="132"/>
    </row>
    <row r="98" spans="1:44" x14ac:dyDescent="0.3">
      <c r="A98" s="126"/>
      <c r="B98" s="127"/>
      <c r="C98" s="127"/>
      <c r="D98" s="127"/>
      <c r="E98" s="126"/>
      <c r="F98" s="126"/>
      <c r="G98" s="126"/>
      <c r="H98" s="128"/>
      <c r="I98" s="126"/>
      <c r="J98" s="126"/>
      <c r="K98" s="128"/>
      <c r="L98" s="128"/>
      <c r="M98" s="128"/>
      <c r="N98" s="129"/>
      <c r="O98" s="130"/>
      <c r="P98" s="131"/>
      <c r="Q98" s="130"/>
      <c r="R98" s="131"/>
      <c r="S98" s="130"/>
      <c r="T98" s="131"/>
      <c r="U98" s="130"/>
      <c r="V98" s="131"/>
      <c r="W98" s="130"/>
      <c r="X98" s="131"/>
      <c r="Y98" s="130"/>
      <c r="Z98" s="131"/>
      <c r="AA98" s="130"/>
      <c r="AB98" s="131"/>
      <c r="AC98" s="130"/>
      <c r="AD98" s="131"/>
      <c r="AE98" s="130"/>
      <c r="AF98" s="131"/>
      <c r="AG98" s="130"/>
      <c r="AH98" s="131"/>
      <c r="AI98" s="130"/>
      <c r="AJ98" s="131"/>
      <c r="AK98" s="130"/>
      <c r="AL98" s="131"/>
      <c r="AM98" s="130"/>
      <c r="AN98" s="131"/>
      <c r="AO98" s="130"/>
      <c r="AP98" s="131"/>
      <c r="AQ98" s="130"/>
      <c r="AR98" s="132"/>
    </row>
    <row r="99" spans="1:44" x14ac:dyDescent="0.3">
      <c r="A99" s="126"/>
      <c r="B99" s="127"/>
      <c r="C99" s="127"/>
      <c r="D99" s="127"/>
      <c r="E99" s="126"/>
      <c r="F99" s="126"/>
      <c r="G99" s="126"/>
      <c r="H99" s="128"/>
      <c r="I99" s="126"/>
      <c r="J99" s="126"/>
      <c r="K99" s="128"/>
      <c r="L99" s="128"/>
      <c r="M99" s="128"/>
      <c r="N99" s="129"/>
      <c r="O99" s="130"/>
      <c r="P99" s="131"/>
      <c r="Q99" s="130"/>
      <c r="R99" s="131"/>
      <c r="S99" s="130"/>
      <c r="T99" s="131"/>
      <c r="U99" s="130"/>
      <c r="V99" s="131"/>
      <c r="W99" s="130"/>
      <c r="X99" s="131"/>
      <c r="Y99" s="130"/>
      <c r="Z99" s="131"/>
      <c r="AA99" s="130"/>
      <c r="AB99" s="131"/>
      <c r="AC99" s="130"/>
      <c r="AD99" s="131"/>
      <c r="AE99" s="130"/>
      <c r="AF99" s="131"/>
      <c r="AG99" s="130"/>
      <c r="AH99" s="131"/>
      <c r="AI99" s="130"/>
      <c r="AJ99" s="131"/>
      <c r="AK99" s="130"/>
      <c r="AL99" s="131"/>
      <c r="AM99" s="130"/>
      <c r="AN99" s="131"/>
      <c r="AO99" s="130"/>
      <c r="AP99" s="131"/>
      <c r="AQ99" s="130"/>
      <c r="AR99" s="132"/>
    </row>
    <row r="100" spans="1:44" x14ac:dyDescent="0.3">
      <c r="A100" s="126"/>
      <c r="B100" s="127"/>
      <c r="C100" s="127"/>
      <c r="D100" s="127"/>
      <c r="E100" s="126"/>
      <c r="F100" s="126"/>
      <c r="G100" s="126"/>
      <c r="H100" s="128"/>
      <c r="I100" s="126"/>
      <c r="J100" s="126"/>
      <c r="K100" s="128"/>
      <c r="L100" s="128"/>
      <c r="M100" s="128"/>
      <c r="N100" s="129"/>
      <c r="O100" s="130"/>
      <c r="P100" s="131"/>
      <c r="Q100" s="130"/>
      <c r="R100" s="131"/>
      <c r="S100" s="130"/>
      <c r="T100" s="131"/>
      <c r="U100" s="130"/>
      <c r="V100" s="131"/>
      <c r="W100" s="130"/>
      <c r="X100" s="131"/>
      <c r="Y100" s="130"/>
      <c r="Z100" s="131"/>
      <c r="AA100" s="130"/>
      <c r="AB100" s="131"/>
      <c r="AC100" s="130"/>
      <c r="AD100" s="131"/>
      <c r="AE100" s="130"/>
      <c r="AF100" s="131"/>
      <c r="AG100" s="130"/>
      <c r="AH100" s="131"/>
      <c r="AI100" s="130"/>
      <c r="AJ100" s="131"/>
      <c r="AK100" s="130"/>
      <c r="AL100" s="131"/>
      <c r="AM100" s="130"/>
      <c r="AN100" s="131"/>
      <c r="AO100" s="130"/>
      <c r="AP100" s="131"/>
      <c r="AQ100" s="130"/>
      <c r="AR100" s="132"/>
    </row>
    <row r="101" spans="1:44" x14ac:dyDescent="0.3">
      <c r="A101" s="126"/>
      <c r="B101" s="127"/>
      <c r="C101" s="127"/>
      <c r="D101" s="127"/>
      <c r="E101" s="126"/>
      <c r="F101" s="126"/>
      <c r="G101" s="126"/>
      <c r="H101" s="128"/>
      <c r="I101" s="126"/>
      <c r="J101" s="126"/>
      <c r="K101" s="128"/>
      <c r="L101" s="128"/>
      <c r="M101" s="128"/>
      <c r="N101" s="129"/>
      <c r="O101" s="130"/>
      <c r="P101" s="131"/>
      <c r="Q101" s="130"/>
      <c r="R101" s="131"/>
      <c r="S101" s="130"/>
      <c r="T101" s="131"/>
      <c r="U101" s="130"/>
      <c r="V101" s="131"/>
      <c r="W101" s="130"/>
      <c r="X101" s="131"/>
      <c r="Y101" s="130"/>
      <c r="Z101" s="131"/>
      <c r="AA101" s="130"/>
      <c r="AB101" s="131"/>
      <c r="AC101" s="130"/>
      <c r="AD101" s="131"/>
      <c r="AE101" s="130"/>
      <c r="AF101" s="131"/>
      <c r="AG101" s="130"/>
      <c r="AH101" s="131"/>
      <c r="AI101" s="130"/>
      <c r="AJ101" s="131"/>
      <c r="AK101" s="130"/>
      <c r="AL101" s="131"/>
      <c r="AM101" s="130"/>
      <c r="AN101" s="131"/>
      <c r="AO101" s="130"/>
      <c r="AP101" s="131"/>
      <c r="AQ101" s="130"/>
      <c r="AR101" s="132"/>
    </row>
    <row r="102" spans="1:44" x14ac:dyDescent="0.3">
      <c r="A102" s="126"/>
      <c r="B102" s="127"/>
      <c r="C102" s="127"/>
      <c r="D102" s="127"/>
      <c r="E102" s="126"/>
      <c r="F102" s="126"/>
      <c r="G102" s="126"/>
      <c r="H102" s="128"/>
      <c r="I102" s="126"/>
      <c r="J102" s="126"/>
      <c r="K102" s="128"/>
      <c r="L102" s="128"/>
      <c r="M102" s="128"/>
      <c r="N102" s="129"/>
      <c r="O102" s="130"/>
      <c r="P102" s="131"/>
      <c r="Q102" s="130"/>
      <c r="R102" s="131"/>
      <c r="S102" s="130"/>
      <c r="T102" s="131"/>
      <c r="U102" s="130"/>
      <c r="V102" s="131"/>
      <c r="W102" s="130"/>
      <c r="X102" s="131"/>
      <c r="Y102" s="130"/>
      <c r="Z102" s="131"/>
      <c r="AA102" s="130"/>
      <c r="AB102" s="131"/>
      <c r="AC102" s="130"/>
      <c r="AD102" s="131"/>
      <c r="AE102" s="130"/>
      <c r="AF102" s="131"/>
      <c r="AG102" s="130"/>
      <c r="AH102" s="131"/>
      <c r="AI102" s="130"/>
      <c r="AJ102" s="131"/>
      <c r="AK102" s="130"/>
      <c r="AL102" s="131"/>
      <c r="AM102" s="130"/>
      <c r="AN102" s="131"/>
      <c r="AO102" s="130"/>
      <c r="AP102" s="131"/>
      <c r="AQ102" s="130"/>
      <c r="AR102" s="132"/>
    </row>
    <row r="103" spans="1:44" x14ac:dyDescent="0.3">
      <c r="A103" s="126"/>
      <c r="B103" s="127"/>
      <c r="C103" s="127"/>
      <c r="D103" s="127"/>
      <c r="E103" s="126"/>
      <c r="F103" s="126"/>
      <c r="G103" s="126"/>
      <c r="H103" s="128"/>
      <c r="I103" s="126"/>
      <c r="J103" s="126"/>
      <c r="K103" s="128"/>
      <c r="L103" s="128"/>
      <c r="M103" s="128"/>
      <c r="N103" s="129"/>
      <c r="O103" s="130"/>
      <c r="P103" s="131"/>
      <c r="Q103" s="130"/>
      <c r="R103" s="131"/>
      <c r="S103" s="130"/>
      <c r="T103" s="131"/>
      <c r="U103" s="130"/>
      <c r="V103" s="131"/>
      <c r="W103" s="130"/>
      <c r="X103" s="131"/>
      <c r="Y103" s="130"/>
      <c r="Z103" s="131"/>
      <c r="AA103" s="130"/>
      <c r="AB103" s="131"/>
      <c r="AC103" s="130"/>
      <c r="AD103" s="131"/>
      <c r="AE103" s="130"/>
      <c r="AF103" s="131"/>
      <c r="AG103" s="130"/>
      <c r="AH103" s="131"/>
      <c r="AI103" s="130"/>
      <c r="AJ103" s="131"/>
      <c r="AK103" s="130"/>
      <c r="AL103" s="131"/>
      <c r="AM103" s="130"/>
      <c r="AN103" s="131"/>
      <c r="AO103" s="130"/>
      <c r="AP103" s="131"/>
      <c r="AQ103" s="130"/>
      <c r="AR103" s="132"/>
    </row>
    <row r="104" spans="1:44" x14ac:dyDescent="0.3">
      <c r="A104" s="126"/>
      <c r="B104" s="127"/>
      <c r="C104" s="127"/>
      <c r="D104" s="127"/>
      <c r="E104" s="126"/>
      <c r="F104" s="126"/>
      <c r="G104" s="126"/>
      <c r="H104" s="128"/>
      <c r="I104" s="126"/>
      <c r="J104" s="126"/>
      <c r="K104" s="128"/>
      <c r="L104" s="128"/>
      <c r="M104" s="128"/>
      <c r="N104" s="129"/>
      <c r="O104" s="130"/>
      <c r="P104" s="131"/>
      <c r="Q104" s="130"/>
      <c r="R104" s="131"/>
      <c r="S104" s="130"/>
      <c r="T104" s="131"/>
      <c r="U104" s="130"/>
      <c r="V104" s="131"/>
      <c r="W104" s="130"/>
      <c r="X104" s="131"/>
      <c r="Y104" s="130"/>
      <c r="Z104" s="131"/>
      <c r="AA104" s="130"/>
      <c r="AB104" s="131"/>
      <c r="AC104" s="130"/>
      <c r="AD104" s="131"/>
      <c r="AE104" s="130"/>
      <c r="AF104" s="131"/>
      <c r="AG104" s="130"/>
      <c r="AH104" s="131"/>
      <c r="AI104" s="130"/>
      <c r="AJ104" s="131"/>
      <c r="AK104" s="130"/>
      <c r="AL104" s="131"/>
      <c r="AM104" s="130"/>
      <c r="AN104" s="131"/>
      <c r="AO104" s="130"/>
      <c r="AP104" s="131"/>
      <c r="AQ104" s="130"/>
      <c r="AR104" s="132"/>
    </row>
    <row r="105" spans="1:44" x14ac:dyDescent="0.3">
      <c r="A105" s="126"/>
      <c r="B105" s="127"/>
      <c r="C105" s="127"/>
      <c r="D105" s="127"/>
      <c r="E105" s="126"/>
      <c r="F105" s="126"/>
      <c r="G105" s="126"/>
      <c r="H105" s="128"/>
      <c r="I105" s="126"/>
      <c r="J105" s="126"/>
      <c r="K105" s="128"/>
      <c r="L105" s="128"/>
      <c r="M105" s="128"/>
      <c r="N105" s="129"/>
      <c r="O105" s="130"/>
      <c r="P105" s="131"/>
      <c r="Q105" s="130"/>
      <c r="R105" s="131"/>
      <c r="S105" s="130"/>
      <c r="T105" s="131"/>
      <c r="U105" s="130"/>
      <c r="V105" s="131"/>
      <c r="W105" s="130"/>
      <c r="X105" s="131"/>
      <c r="Y105" s="130"/>
      <c r="Z105" s="131"/>
      <c r="AA105" s="130"/>
      <c r="AB105" s="131"/>
      <c r="AC105" s="130"/>
      <c r="AD105" s="131"/>
      <c r="AE105" s="130"/>
      <c r="AF105" s="131"/>
      <c r="AG105" s="130"/>
      <c r="AH105" s="131"/>
      <c r="AI105" s="130"/>
      <c r="AJ105" s="131"/>
      <c r="AK105" s="130"/>
      <c r="AL105" s="131"/>
      <c r="AM105" s="130"/>
      <c r="AN105" s="131"/>
      <c r="AO105" s="130"/>
      <c r="AP105" s="131"/>
      <c r="AQ105" s="130"/>
      <c r="AR105" s="132"/>
    </row>
    <row r="106" spans="1:44" x14ac:dyDescent="0.3">
      <c r="A106" s="126"/>
      <c r="B106" s="127"/>
      <c r="C106" s="127"/>
      <c r="D106" s="127"/>
      <c r="E106" s="126"/>
      <c r="F106" s="126"/>
      <c r="G106" s="126"/>
      <c r="H106" s="128"/>
      <c r="I106" s="126"/>
      <c r="J106" s="126"/>
      <c r="K106" s="128"/>
      <c r="L106" s="128"/>
      <c r="M106" s="128"/>
      <c r="N106" s="129"/>
      <c r="O106" s="130"/>
      <c r="P106" s="131"/>
      <c r="Q106" s="130"/>
      <c r="R106" s="131"/>
      <c r="S106" s="130"/>
      <c r="T106" s="131"/>
      <c r="U106" s="130"/>
      <c r="V106" s="131"/>
      <c r="W106" s="130"/>
      <c r="X106" s="131"/>
      <c r="Y106" s="130"/>
      <c r="Z106" s="131"/>
      <c r="AA106" s="130"/>
      <c r="AB106" s="131"/>
      <c r="AC106" s="130"/>
      <c r="AD106" s="131"/>
      <c r="AE106" s="130"/>
      <c r="AF106" s="131"/>
      <c r="AG106" s="130"/>
      <c r="AH106" s="131"/>
      <c r="AI106" s="130"/>
      <c r="AJ106" s="131"/>
      <c r="AK106" s="130"/>
      <c r="AL106" s="131"/>
      <c r="AM106" s="130"/>
      <c r="AN106" s="131"/>
      <c r="AO106" s="130"/>
      <c r="AP106" s="131"/>
      <c r="AQ106" s="130"/>
      <c r="AR106" s="132"/>
    </row>
    <row r="107" spans="1:44" x14ac:dyDescent="0.3">
      <c r="A107" s="126"/>
      <c r="B107" s="127"/>
      <c r="C107" s="127"/>
      <c r="D107" s="127"/>
      <c r="E107" s="126"/>
      <c r="F107" s="126"/>
      <c r="G107" s="126"/>
      <c r="H107" s="128"/>
      <c r="I107" s="126"/>
      <c r="J107" s="126"/>
      <c r="K107" s="128"/>
      <c r="L107" s="128"/>
      <c r="M107" s="128"/>
      <c r="N107" s="129"/>
      <c r="O107" s="130"/>
      <c r="P107" s="131"/>
      <c r="Q107" s="130"/>
      <c r="R107" s="131"/>
      <c r="S107" s="130"/>
      <c r="T107" s="131"/>
      <c r="U107" s="130"/>
      <c r="V107" s="131"/>
      <c r="W107" s="130"/>
      <c r="X107" s="131"/>
      <c r="Y107" s="130"/>
      <c r="Z107" s="131"/>
      <c r="AA107" s="130"/>
      <c r="AB107" s="131"/>
      <c r="AC107" s="130"/>
      <c r="AD107" s="131"/>
      <c r="AE107" s="130"/>
      <c r="AF107" s="131"/>
      <c r="AG107" s="130"/>
      <c r="AH107" s="131"/>
      <c r="AI107" s="130"/>
      <c r="AJ107" s="131"/>
      <c r="AK107" s="130"/>
      <c r="AL107" s="131"/>
      <c r="AM107" s="130"/>
      <c r="AN107" s="131"/>
      <c r="AO107" s="130"/>
      <c r="AP107" s="131"/>
      <c r="AQ107" s="130"/>
      <c r="AR107" s="132"/>
    </row>
    <row r="108" spans="1:44" x14ac:dyDescent="0.3">
      <c r="A108" s="126"/>
      <c r="B108" s="127"/>
      <c r="C108" s="127"/>
      <c r="D108" s="127"/>
      <c r="E108" s="126"/>
      <c r="F108" s="126"/>
      <c r="G108" s="126"/>
      <c r="H108" s="128"/>
      <c r="I108" s="126"/>
      <c r="J108" s="126"/>
      <c r="K108" s="128"/>
      <c r="L108" s="128"/>
      <c r="M108" s="128"/>
      <c r="N108" s="129"/>
      <c r="O108" s="130"/>
      <c r="P108" s="131"/>
      <c r="Q108" s="130"/>
      <c r="R108" s="131"/>
      <c r="S108" s="130"/>
      <c r="T108" s="131"/>
      <c r="U108" s="130"/>
      <c r="V108" s="131"/>
      <c r="W108" s="130"/>
      <c r="X108" s="131"/>
      <c r="Y108" s="130"/>
      <c r="Z108" s="131"/>
      <c r="AA108" s="130"/>
      <c r="AB108" s="131"/>
      <c r="AC108" s="130"/>
      <c r="AD108" s="131"/>
      <c r="AE108" s="130"/>
      <c r="AF108" s="131"/>
      <c r="AG108" s="130"/>
      <c r="AH108" s="131"/>
      <c r="AI108" s="130"/>
      <c r="AJ108" s="131"/>
      <c r="AK108" s="130"/>
      <c r="AL108" s="131"/>
      <c r="AM108" s="130"/>
      <c r="AN108" s="131"/>
      <c r="AO108" s="130"/>
      <c r="AP108" s="131"/>
      <c r="AQ108" s="130"/>
      <c r="AR108" s="132"/>
    </row>
    <row r="109" spans="1:44" x14ac:dyDescent="0.3">
      <c r="A109" s="126"/>
      <c r="B109" s="127"/>
      <c r="C109" s="127"/>
      <c r="D109" s="127"/>
      <c r="E109" s="126"/>
      <c r="F109" s="126"/>
      <c r="G109" s="126"/>
      <c r="H109" s="128"/>
      <c r="I109" s="126"/>
      <c r="J109" s="126"/>
      <c r="K109" s="128"/>
      <c r="L109" s="128"/>
      <c r="M109" s="128"/>
      <c r="N109" s="129"/>
      <c r="O109" s="130"/>
      <c r="P109" s="131"/>
      <c r="Q109" s="130"/>
      <c r="R109" s="131"/>
      <c r="S109" s="130"/>
      <c r="T109" s="131"/>
      <c r="U109" s="130"/>
      <c r="V109" s="131"/>
      <c r="W109" s="130"/>
      <c r="X109" s="131"/>
      <c r="Y109" s="130"/>
      <c r="Z109" s="131"/>
      <c r="AA109" s="130"/>
      <c r="AB109" s="131"/>
      <c r="AC109" s="130"/>
      <c r="AD109" s="131"/>
      <c r="AE109" s="130"/>
      <c r="AF109" s="131"/>
      <c r="AG109" s="130"/>
      <c r="AH109" s="131"/>
      <c r="AI109" s="130"/>
      <c r="AJ109" s="131"/>
      <c r="AK109" s="130"/>
      <c r="AL109" s="131"/>
      <c r="AM109" s="130"/>
      <c r="AN109" s="131"/>
      <c r="AO109" s="130"/>
      <c r="AP109" s="131"/>
      <c r="AQ109" s="130"/>
      <c r="AR109" s="132"/>
    </row>
    <row r="110" spans="1:44" x14ac:dyDescent="0.3">
      <c r="A110" s="126"/>
      <c r="B110" s="127"/>
      <c r="C110" s="127"/>
      <c r="D110" s="127"/>
      <c r="E110" s="126"/>
      <c r="F110" s="126"/>
      <c r="G110" s="126"/>
      <c r="H110" s="128"/>
      <c r="I110" s="126"/>
      <c r="J110" s="126"/>
      <c r="K110" s="128"/>
      <c r="L110" s="128"/>
      <c r="M110" s="128"/>
      <c r="N110" s="129"/>
      <c r="O110" s="130"/>
      <c r="P110" s="131"/>
      <c r="Q110" s="130"/>
      <c r="R110" s="131"/>
      <c r="S110" s="130"/>
      <c r="T110" s="131"/>
      <c r="U110" s="130"/>
      <c r="V110" s="131"/>
      <c r="W110" s="130"/>
      <c r="X110" s="131"/>
      <c r="Y110" s="130"/>
      <c r="Z110" s="131"/>
      <c r="AA110" s="130"/>
      <c r="AB110" s="131"/>
      <c r="AC110" s="130"/>
      <c r="AD110" s="131"/>
      <c r="AE110" s="130"/>
      <c r="AF110" s="131"/>
      <c r="AG110" s="130"/>
      <c r="AH110" s="131"/>
      <c r="AI110" s="130"/>
      <c r="AJ110" s="131"/>
      <c r="AK110" s="130"/>
      <c r="AL110" s="131"/>
      <c r="AM110" s="130"/>
      <c r="AN110" s="131"/>
      <c r="AO110" s="130"/>
      <c r="AP110" s="131"/>
      <c r="AQ110" s="130"/>
      <c r="AR110" s="132"/>
    </row>
    <row r="111" spans="1:44" x14ac:dyDescent="0.3">
      <c r="A111" s="126"/>
      <c r="B111" s="127"/>
      <c r="C111" s="127"/>
      <c r="D111" s="127"/>
      <c r="E111" s="126"/>
      <c r="F111" s="126"/>
      <c r="G111" s="126"/>
      <c r="H111" s="128"/>
      <c r="I111" s="126"/>
      <c r="J111" s="126"/>
      <c r="K111" s="128"/>
      <c r="L111" s="128"/>
      <c r="M111" s="128"/>
      <c r="N111" s="129"/>
      <c r="O111" s="130"/>
      <c r="P111" s="131"/>
      <c r="Q111" s="130"/>
      <c r="R111" s="131"/>
      <c r="S111" s="130"/>
      <c r="T111" s="131"/>
      <c r="U111" s="130"/>
      <c r="V111" s="131"/>
      <c r="W111" s="130"/>
      <c r="X111" s="131"/>
      <c r="Y111" s="130"/>
      <c r="Z111" s="131"/>
      <c r="AA111" s="130"/>
      <c r="AB111" s="131"/>
      <c r="AC111" s="130"/>
      <c r="AD111" s="131"/>
      <c r="AE111" s="130"/>
      <c r="AF111" s="131"/>
      <c r="AG111" s="130"/>
      <c r="AH111" s="131"/>
      <c r="AI111" s="130"/>
      <c r="AJ111" s="131"/>
      <c r="AK111" s="130"/>
      <c r="AL111" s="131"/>
      <c r="AM111" s="130"/>
      <c r="AN111" s="131"/>
      <c r="AO111" s="130"/>
      <c r="AP111" s="131"/>
      <c r="AQ111" s="130"/>
      <c r="AR111" s="132"/>
    </row>
    <row r="112" spans="1:44" x14ac:dyDescent="0.3">
      <c r="A112" s="126"/>
      <c r="B112" s="127"/>
      <c r="C112" s="127"/>
      <c r="D112" s="127"/>
      <c r="E112" s="126"/>
      <c r="F112" s="126"/>
      <c r="G112" s="126"/>
      <c r="H112" s="128"/>
      <c r="I112" s="126"/>
      <c r="J112" s="126"/>
      <c r="K112" s="128"/>
      <c r="L112" s="128"/>
      <c r="M112" s="128"/>
      <c r="N112" s="129"/>
      <c r="O112" s="130"/>
      <c r="P112" s="131"/>
      <c r="Q112" s="130"/>
      <c r="R112" s="131"/>
      <c r="S112" s="130"/>
      <c r="T112" s="131"/>
      <c r="U112" s="130"/>
      <c r="V112" s="131"/>
      <c r="W112" s="130"/>
      <c r="X112" s="131"/>
      <c r="Y112" s="130"/>
      <c r="Z112" s="131"/>
      <c r="AA112" s="130"/>
      <c r="AB112" s="131"/>
      <c r="AC112" s="130"/>
      <c r="AD112" s="131"/>
      <c r="AE112" s="130"/>
      <c r="AF112" s="131"/>
      <c r="AG112" s="130"/>
      <c r="AH112" s="131"/>
      <c r="AI112" s="130"/>
      <c r="AJ112" s="131"/>
      <c r="AK112" s="130"/>
      <c r="AL112" s="131"/>
      <c r="AM112" s="130"/>
      <c r="AN112" s="131"/>
      <c r="AO112" s="130"/>
      <c r="AP112" s="131"/>
      <c r="AQ112" s="130"/>
      <c r="AR112" s="132"/>
    </row>
    <row r="113" spans="1:44" x14ac:dyDescent="0.3">
      <c r="A113" s="126"/>
      <c r="B113" s="127"/>
      <c r="C113" s="127"/>
      <c r="D113" s="127"/>
      <c r="E113" s="126"/>
      <c r="F113" s="126"/>
      <c r="G113" s="126"/>
      <c r="H113" s="128"/>
      <c r="I113" s="126"/>
      <c r="J113" s="126"/>
      <c r="K113" s="128"/>
      <c r="L113" s="128"/>
      <c r="M113" s="128"/>
      <c r="N113" s="129"/>
      <c r="O113" s="130"/>
      <c r="P113" s="131"/>
      <c r="Q113" s="130"/>
      <c r="R113" s="131"/>
      <c r="S113" s="130"/>
      <c r="T113" s="131"/>
      <c r="U113" s="130"/>
      <c r="V113" s="131"/>
      <c r="W113" s="130"/>
      <c r="X113" s="131"/>
      <c r="Y113" s="130"/>
      <c r="Z113" s="131"/>
      <c r="AA113" s="130"/>
      <c r="AB113" s="131"/>
      <c r="AC113" s="130"/>
      <c r="AD113" s="131"/>
      <c r="AE113" s="130"/>
      <c r="AF113" s="131"/>
      <c r="AG113" s="130"/>
      <c r="AH113" s="131"/>
      <c r="AI113" s="130"/>
      <c r="AJ113" s="131"/>
      <c r="AK113" s="130"/>
      <c r="AL113" s="131"/>
      <c r="AM113" s="130"/>
      <c r="AN113" s="131"/>
      <c r="AO113" s="130"/>
      <c r="AP113" s="131"/>
      <c r="AQ113" s="130"/>
      <c r="AR113" s="132"/>
    </row>
    <row r="114" spans="1:44" x14ac:dyDescent="0.3">
      <c r="A114" s="126"/>
      <c r="B114" s="127"/>
      <c r="C114" s="127"/>
      <c r="D114" s="127"/>
      <c r="E114" s="126"/>
      <c r="F114" s="126"/>
      <c r="G114" s="126"/>
      <c r="H114" s="128"/>
      <c r="I114" s="126"/>
      <c r="J114" s="126"/>
      <c r="K114" s="128"/>
      <c r="L114" s="128"/>
      <c r="M114" s="128"/>
      <c r="N114" s="129"/>
      <c r="O114" s="130"/>
      <c r="P114" s="131"/>
      <c r="Q114" s="130"/>
      <c r="R114" s="131"/>
      <c r="S114" s="130"/>
      <c r="T114" s="131"/>
      <c r="U114" s="130"/>
      <c r="V114" s="131"/>
      <c r="W114" s="130"/>
      <c r="X114" s="131"/>
      <c r="Y114" s="130"/>
      <c r="Z114" s="131"/>
      <c r="AA114" s="130"/>
      <c r="AB114" s="131"/>
      <c r="AC114" s="130"/>
      <c r="AD114" s="131"/>
      <c r="AE114" s="130"/>
      <c r="AF114" s="131"/>
      <c r="AG114" s="130"/>
      <c r="AH114" s="131"/>
      <c r="AI114" s="130"/>
      <c r="AJ114" s="131"/>
      <c r="AK114" s="130"/>
      <c r="AL114" s="131"/>
      <c r="AM114" s="130"/>
      <c r="AN114" s="131"/>
      <c r="AO114" s="130"/>
      <c r="AP114" s="131"/>
      <c r="AQ114" s="130"/>
      <c r="AR114" s="132"/>
    </row>
    <row r="115" spans="1:44" x14ac:dyDescent="0.3">
      <c r="A115" s="126"/>
      <c r="B115" s="127"/>
      <c r="C115" s="127"/>
      <c r="D115" s="127"/>
      <c r="E115" s="126"/>
      <c r="F115" s="126"/>
      <c r="G115" s="126"/>
      <c r="H115" s="128"/>
      <c r="I115" s="126"/>
      <c r="J115" s="126"/>
      <c r="K115" s="128"/>
      <c r="L115" s="128"/>
      <c r="M115" s="128"/>
      <c r="N115" s="129"/>
      <c r="O115" s="130"/>
      <c r="P115" s="131"/>
      <c r="Q115" s="130"/>
      <c r="R115" s="131"/>
      <c r="S115" s="130"/>
      <c r="T115" s="131"/>
      <c r="U115" s="130"/>
      <c r="V115" s="131"/>
      <c r="W115" s="130"/>
      <c r="X115" s="131"/>
      <c r="Y115" s="130"/>
      <c r="Z115" s="131"/>
      <c r="AA115" s="130"/>
      <c r="AB115" s="131"/>
      <c r="AC115" s="130"/>
      <c r="AD115" s="131"/>
      <c r="AE115" s="130"/>
      <c r="AF115" s="131"/>
      <c r="AG115" s="130"/>
      <c r="AH115" s="131"/>
      <c r="AI115" s="130"/>
      <c r="AJ115" s="131"/>
      <c r="AK115" s="130"/>
      <c r="AL115" s="131"/>
      <c r="AM115" s="130"/>
      <c r="AN115" s="131"/>
      <c r="AO115" s="130"/>
      <c r="AP115" s="131"/>
      <c r="AQ115" s="130"/>
      <c r="AR115" s="132"/>
    </row>
    <row r="116" spans="1:44" x14ac:dyDescent="0.3">
      <c r="A116" s="126"/>
      <c r="B116" s="127"/>
      <c r="C116" s="127"/>
      <c r="D116" s="127"/>
      <c r="E116" s="126"/>
      <c r="F116" s="126"/>
      <c r="G116" s="126"/>
      <c r="H116" s="128"/>
      <c r="I116" s="126"/>
      <c r="J116" s="126"/>
      <c r="K116" s="128"/>
      <c r="L116" s="128"/>
      <c r="M116" s="128"/>
      <c r="N116" s="129"/>
      <c r="O116" s="130"/>
      <c r="P116" s="131"/>
      <c r="Q116" s="130"/>
      <c r="R116" s="131"/>
      <c r="S116" s="130"/>
      <c r="T116" s="131"/>
      <c r="U116" s="130"/>
      <c r="V116" s="131"/>
      <c r="W116" s="130"/>
      <c r="X116" s="131"/>
      <c r="Y116" s="130"/>
      <c r="Z116" s="131"/>
      <c r="AA116" s="130"/>
      <c r="AB116" s="131"/>
      <c r="AC116" s="130"/>
      <c r="AD116" s="131"/>
      <c r="AE116" s="130"/>
      <c r="AF116" s="131"/>
      <c r="AG116" s="130"/>
      <c r="AH116" s="131"/>
      <c r="AI116" s="130"/>
      <c r="AJ116" s="131"/>
      <c r="AK116" s="130"/>
      <c r="AL116" s="131"/>
      <c r="AM116" s="130"/>
      <c r="AN116" s="131"/>
      <c r="AO116" s="130"/>
      <c r="AP116" s="131"/>
      <c r="AQ116" s="130"/>
      <c r="AR116" s="132"/>
    </row>
    <row r="117" spans="1:44" x14ac:dyDescent="0.3">
      <c r="A117" s="126"/>
      <c r="B117" s="127"/>
      <c r="C117" s="127"/>
      <c r="D117" s="127"/>
      <c r="E117" s="126"/>
      <c r="F117" s="126"/>
      <c r="G117" s="126"/>
      <c r="H117" s="128"/>
      <c r="I117" s="126"/>
      <c r="J117" s="126"/>
      <c r="K117" s="128"/>
      <c r="L117" s="128"/>
      <c r="M117" s="128"/>
      <c r="N117" s="129"/>
      <c r="O117" s="130"/>
      <c r="P117" s="131"/>
      <c r="Q117" s="130"/>
      <c r="R117" s="131"/>
      <c r="S117" s="130"/>
      <c r="T117" s="131"/>
      <c r="U117" s="130"/>
      <c r="V117" s="131"/>
      <c r="W117" s="130"/>
      <c r="X117" s="131"/>
      <c r="Y117" s="130"/>
      <c r="Z117" s="131"/>
      <c r="AA117" s="130"/>
      <c r="AB117" s="131"/>
      <c r="AC117" s="130"/>
      <c r="AD117" s="131"/>
      <c r="AE117" s="130"/>
      <c r="AF117" s="131"/>
      <c r="AG117" s="130"/>
      <c r="AH117" s="131"/>
      <c r="AI117" s="130"/>
      <c r="AJ117" s="131"/>
      <c r="AK117" s="130"/>
      <c r="AL117" s="131"/>
      <c r="AM117" s="130"/>
      <c r="AN117" s="131"/>
      <c r="AO117" s="130"/>
      <c r="AP117" s="131"/>
      <c r="AQ117" s="130"/>
      <c r="AR117" s="132"/>
    </row>
    <row r="118" spans="1:44" x14ac:dyDescent="0.3">
      <c r="A118" s="126"/>
      <c r="B118" s="127"/>
      <c r="C118" s="127"/>
      <c r="D118" s="127"/>
      <c r="E118" s="126"/>
      <c r="F118" s="126"/>
      <c r="G118" s="126"/>
      <c r="H118" s="128"/>
      <c r="I118" s="126"/>
      <c r="J118" s="126"/>
      <c r="K118" s="128"/>
      <c r="L118" s="128"/>
      <c r="M118" s="128"/>
      <c r="N118" s="129"/>
      <c r="O118" s="130"/>
      <c r="P118" s="131"/>
      <c r="Q118" s="130"/>
      <c r="R118" s="131"/>
      <c r="S118" s="130"/>
      <c r="T118" s="131"/>
      <c r="U118" s="130"/>
      <c r="V118" s="131"/>
      <c r="W118" s="130"/>
      <c r="X118" s="131"/>
      <c r="Y118" s="130"/>
      <c r="Z118" s="131"/>
      <c r="AA118" s="130"/>
      <c r="AB118" s="131"/>
      <c r="AC118" s="130"/>
      <c r="AD118" s="131"/>
      <c r="AE118" s="130"/>
      <c r="AF118" s="131"/>
      <c r="AG118" s="130"/>
      <c r="AH118" s="131"/>
      <c r="AI118" s="130"/>
      <c r="AJ118" s="131"/>
      <c r="AK118" s="130"/>
      <c r="AL118" s="131"/>
      <c r="AM118" s="130"/>
      <c r="AN118" s="131"/>
      <c r="AO118" s="130"/>
      <c r="AP118" s="131"/>
      <c r="AQ118" s="130"/>
      <c r="AR118" s="132"/>
    </row>
    <row r="119" spans="1:44" x14ac:dyDescent="0.3">
      <c r="A119" s="126"/>
      <c r="B119" s="127"/>
      <c r="C119" s="127"/>
      <c r="D119" s="127"/>
      <c r="E119" s="126"/>
      <c r="F119" s="126"/>
      <c r="G119" s="126"/>
      <c r="H119" s="128"/>
      <c r="I119" s="126"/>
      <c r="J119" s="126"/>
      <c r="K119" s="128"/>
      <c r="L119" s="128"/>
      <c r="M119" s="128"/>
      <c r="N119" s="129"/>
      <c r="O119" s="130"/>
      <c r="P119" s="131"/>
      <c r="Q119" s="130"/>
      <c r="R119" s="131"/>
      <c r="S119" s="130"/>
      <c r="T119" s="131"/>
      <c r="U119" s="130"/>
      <c r="V119" s="131"/>
      <c r="W119" s="130"/>
      <c r="X119" s="131"/>
      <c r="Y119" s="130"/>
      <c r="Z119" s="131"/>
      <c r="AA119" s="130"/>
      <c r="AB119" s="131"/>
      <c r="AC119" s="130"/>
      <c r="AD119" s="131"/>
      <c r="AE119" s="130"/>
      <c r="AF119" s="131"/>
      <c r="AG119" s="130"/>
      <c r="AH119" s="131"/>
      <c r="AI119" s="130"/>
      <c r="AJ119" s="131"/>
      <c r="AK119" s="130"/>
      <c r="AL119" s="131"/>
      <c r="AM119" s="130"/>
      <c r="AN119" s="131"/>
      <c r="AO119" s="130"/>
      <c r="AP119" s="131"/>
      <c r="AQ119" s="130"/>
      <c r="AR119" s="132"/>
    </row>
    <row r="120" spans="1:44" x14ac:dyDescent="0.3">
      <c r="A120" s="126"/>
      <c r="B120" s="127"/>
      <c r="C120" s="127"/>
      <c r="D120" s="127"/>
      <c r="E120" s="126"/>
      <c r="F120" s="126"/>
      <c r="G120" s="126"/>
      <c r="H120" s="128"/>
      <c r="I120" s="126"/>
      <c r="J120" s="126"/>
      <c r="K120" s="128"/>
      <c r="L120" s="128"/>
      <c r="M120" s="128"/>
      <c r="N120" s="129"/>
      <c r="O120" s="130"/>
      <c r="P120" s="131"/>
      <c r="Q120" s="130"/>
      <c r="R120" s="131"/>
      <c r="S120" s="130"/>
      <c r="T120" s="131"/>
      <c r="U120" s="130"/>
      <c r="V120" s="131"/>
      <c r="W120" s="130"/>
      <c r="X120" s="131"/>
      <c r="Y120" s="130"/>
      <c r="Z120" s="131"/>
      <c r="AA120" s="130"/>
      <c r="AB120" s="131"/>
      <c r="AC120" s="130"/>
      <c r="AD120" s="131"/>
      <c r="AE120" s="130"/>
      <c r="AF120" s="131"/>
      <c r="AG120" s="130"/>
      <c r="AH120" s="131"/>
      <c r="AI120" s="130"/>
      <c r="AJ120" s="131"/>
      <c r="AK120" s="130"/>
      <c r="AL120" s="131"/>
      <c r="AM120" s="130"/>
      <c r="AN120" s="131"/>
      <c r="AO120" s="130"/>
      <c r="AP120" s="131"/>
      <c r="AQ120" s="130"/>
      <c r="AR120" s="132"/>
    </row>
    <row r="121" spans="1:44" x14ac:dyDescent="0.3">
      <c r="A121" s="126"/>
      <c r="B121" s="127"/>
      <c r="C121" s="127"/>
      <c r="D121" s="127"/>
      <c r="E121" s="126"/>
      <c r="F121" s="126"/>
      <c r="G121" s="126"/>
      <c r="H121" s="128"/>
      <c r="I121" s="126"/>
      <c r="J121" s="126"/>
      <c r="K121" s="128"/>
      <c r="L121" s="128"/>
      <c r="M121" s="128"/>
      <c r="N121" s="129"/>
      <c r="O121" s="130"/>
      <c r="P121" s="131"/>
      <c r="Q121" s="130"/>
      <c r="R121" s="131"/>
      <c r="S121" s="130"/>
      <c r="T121" s="131"/>
      <c r="U121" s="130"/>
      <c r="V121" s="131"/>
      <c r="W121" s="130"/>
      <c r="X121" s="131"/>
      <c r="Y121" s="130"/>
      <c r="Z121" s="131"/>
      <c r="AA121" s="130"/>
      <c r="AB121" s="131"/>
      <c r="AC121" s="130"/>
      <c r="AD121" s="131"/>
      <c r="AE121" s="130"/>
      <c r="AF121" s="131"/>
      <c r="AG121" s="130"/>
      <c r="AH121" s="131"/>
      <c r="AI121" s="130"/>
      <c r="AJ121" s="131"/>
      <c r="AK121" s="130"/>
      <c r="AL121" s="131"/>
      <c r="AM121" s="130"/>
      <c r="AN121" s="131"/>
      <c r="AO121" s="130"/>
      <c r="AP121" s="131"/>
      <c r="AQ121" s="130"/>
      <c r="AR121" s="132"/>
    </row>
    <row r="122" spans="1:44" x14ac:dyDescent="0.3">
      <c r="A122" s="126"/>
      <c r="B122" s="127"/>
      <c r="C122" s="127"/>
      <c r="D122" s="127"/>
      <c r="E122" s="126"/>
      <c r="F122" s="126"/>
      <c r="G122" s="126"/>
      <c r="H122" s="128"/>
      <c r="I122" s="126"/>
      <c r="J122" s="126"/>
      <c r="K122" s="128"/>
      <c r="L122" s="128"/>
      <c r="M122" s="128"/>
      <c r="N122" s="129"/>
      <c r="O122" s="130"/>
      <c r="P122" s="131"/>
      <c r="Q122" s="130"/>
      <c r="R122" s="131"/>
      <c r="S122" s="130"/>
      <c r="T122" s="131"/>
      <c r="U122" s="130"/>
      <c r="V122" s="131"/>
      <c r="W122" s="130"/>
      <c r="X122" s="131"/>
      <c r="Y122" s="130"/>
      <c r="Z122" s="131"/>
      <c r="AA122" s="130"/>
      <c r="AB122" s="131"/>
      <c r="AC122" s="130"/>
      <c r="AD122" s="131"/>
      <c r="AE122" s="130"/>
      <c r="AF122" s="131"/>
      <c r="AG122" s="130"/>
      <c r="AH122" s="131"/>
      <c r="AI122" s="130"/>
      <c r="AJ122" s="131"/>
      <c r="AK122" s="130"/>
      <c r="AL122" s="131"/>
      <c r="AM122" s="130"/>
      <c r="AN122" s="131"/>
      <c r="AO122" s="130"/>
      <c r="AP122" s="131"/>
      <c r="AQ122" s="130"/>
      <c r="AR122" s="132"/>
    </row>
    <row r="123" spans="1:44" x14ac:dyDescent="0.3">
      <c r="A123" s="126"/>
      <c r="B123" s="127"/>
      <c r="C123" s="127"/>
      <c r="D123" s="127"/>
      <c r="E123" s="126"/>
      <c r="F123" s="126"/>
      <c r="G123" s="126"/>
      <c r="H123" s="128"/>
      <c r="I123" s="126"/>
      <c r="J123" s="126"/>
      <c r="K123" s="128"/>
      <c r="L123" s="128"/>
      <c r="M123" s="128"/>
      <c r="N123" s="129"/>
      <c r="O123" s="130"/>
      <c r="P123" s="131"/>
      <c r="Q123" s="130"/>
      <c r="R123" s="131"/>
      <c r="S123" s="130"/>
      <c r="T123" s="131"/>
      <c r="U123" s="130"/>
      <c r="V123" s="131"/>
      <c r="W123" s="130"/>
      <c r="X123" s="131"/>
      <c r="Y123" s="130"/>
      <c r="Z123" s="131"/>
      <c r="AA123" s="130"/>
      <c r="AB123" s="131"/>
      <c r="AC123" s="130"/>
      <c r="AD123" s="131"/>
      <c r="AE123" s="130"/>
      <c r="AF123" s="131"/>
      <c r="AG123" s="130"/>
      <c r="AH123" s="131"/>
      <c r="AI123" s="130"/>
      <c r="AJ123" s="131"/>
      <c r="AK123" s="130"/>
      <c r="AL123" s="131"/>
      <c r="AM123" s="130"/>
      <c r="AN123" s="131"/>
      <c r="AO123" s="130"/>
      <c r="AP123" s="131"/>
      <c r="AQ123" s="130"/>
      <c r="AR123" s="132"/>
    </row>
    <row r="124" spans="1:44" x14ac:dyDescent="0.3">
      <c r="A124" s="126"/>
      <c r="B124" s="127"/>
      <c r="C124" s="127"/>
      <c r="D124" s="127"/>
      <c r="E124" s="126"/>
      <c r="F124" s="126"/>
      <c r="G124" s="126"/>
      <c r="H124" s="128"/>
      <c r="I124" s="126"/>
      <c r="J124" s="126"/>
      <c r="K124" s="128"/>
      <c r="L124" s="128"/>
      <c r="M124" s="128"/>
      <c r="N124" s="129"/>
      <c r="O124" s="130"/>
      <c r="P124" s="131"/>
      <c r="Q124" s="130"/>
      <c r="R124" s="131"/>
      <c r="S124" s="130"/>
      <c r="T124" s="131"/>
      <c r="U124" s="130"/>
      <c r="V124" s="131"/>
      <c r="W124" s="130"/>
      <c r="X124" s="131"/>
      <c r="Y124" s="130"/>
      <c r="Z124" s="131"/>
      <c r="AA124" s="130"/>
      <c r="AB124" s="131"/>
      <c r="AC124" s="130"/>
      <c r="AD124" s="131"/>
      <c r="AE124" s="130"/>
      <c r="AF124" s="131"/>
      <c r="AG124" s="130"/>
      <c r="AH124" s="131"/>
      <c r="AI124" s="130"/>
      <c r="AJ124" s="131"/>
      <c r="AK124" s="130"/>
      <c r="AL124" s="131"/>
      <c r="AM124" s="130"/>
      <c r="AN124" s="131"/>
      <c r="AO124" s="130"/>
      <c r="AP124" s="131"/>
      <c r="AQ124" s="130"/>
      <c r="AR124" s="132"/>
    </row>
    <row r="125" spans="1:44" x14ac:dyDescent="0.3">
      <c r="A125" s="126"/>
      <c r="B125" s="127"/>
      <c r="C125" s="127"/>
      <c r="D125" s="127"/>
      <c r="E125" s="126"/>
      <c r="F125" s="126"/>
      <c r="G125" s="126"/>
      <c r="H125" s="128"/>
      <c r="I125" s="126"/>
      <c r="J125" s="126"/>
      <c r="K125" s="128"/>
      <c r="L125" s="128"/>
      <c r="M125" s="128"/>
      <c r="N125" s="129"/>
      <c r="O125" s="130"/>
      <c r="P125" s="131"/>
      <c r="Q125" s="130"/>
      <c r="R125" s="131"/>
      <c r="S125" s="130"/>
      <c r="T125" s="131"/>
      <c r="U125" s="130"/>
      <c r="V125" s="131"/>
      <c r="W125" s="130"/>
      <c r="X125" s="131"/>
      <c r="Y125" s="130"/>
      <c r="Z125" s="131"/>
      <c r="AA125" s="130"/>
      <c r="AB125" s="131"/>
      <c r="AC125" s="130"/>
      <c r="AD125" s="131"/>
      <c r="AE125" s="130"/>
      <c r="AF125" s="131"/>
      <c r="AG125" s="130"/>
      <c r="AH125" s="131"/>
      <c r="AI125" s="130"/>
      <c r="AJ125" s="131"/>
      <c r="AK125" s="130"/>
      <c r="AL125" s="131"/>
      <c r="AM125" s="130"/>
      <c r="AN125" s="131"/>
      <c r="AO125" s="130"/>
      <c r="AP125" s="131"/>
      <c r="AQ125" s="130"/>
      <c r="AR125" s="132"/>
    </row>
    <row r="126" spans="1:44" x14ac:dyDescent="0.3">
      <c r="A126" s="126"/>
      <c r="B126" s="127"/>
      <c r="C126" s="127"/>
      <c r="D126" s="127"/>
      <c r="E126" s="126"/>
      <c r="F126" s="126"/>
      <c r="G126" s="126"/>
      <c r="H126" s="128"/>
      <c r="I126" s="126"/>
      <c r="J126" s="126"/>
      <c r="K126" s="128"/>
      <c r="L126" s="128"/>
      <c r="M126" s="128"/>
      <c r="N126" s="129"/>
      <c r="O126" s="130"/>
      <c r="P126" s="131"/>
      <c r="Q126" s="130"/>
      <c r="R126" s="131"/>
      <c r="S126" s="130"/>
      <c r="T126" s="131"/>
      <c r="U126" s="130"/>
      <c r="V126" s="131"/>
      <c r="W126" s="130"/>
      <c r="X126" s="131"/>
      <c r="Y126" s="130"/>
      <c r="Z126" s="131"/>
      <c r="AA126" s="130"/>
      <c r="AB126" s="131"/>
      <c r="AC126" s="130"/>
      <c r="AD126" s="131"/>
      <c r="AE126" s="130"/>
      <c r="AF126" s="131"/>
      <c r="AG126" s="130"/>
      <c r="AH126" s="131"/>
      <c r="AI126" s="130"/>
      <c r="AJ126" s="131"/>
      <c r="AK126" s="130"/>
      <c r="AL126" s="131"/>
      <c r="AM126" s="130"/>
      <c r="AN126" s="131"/>
      <c r="AO126" s="130"/>
      <c r="AP126" s="131"/>
      <c r="AQ126" s="130"/>
      <c r="AR126" s="132"/>
    </row>
    <row r="127" spans="1:44" x14ac:dyDescent="0.3">
      <c r="A127" s="126"/>
      <c r="B127" s="127"/>
      <c r="C127" s="127"/>
      <c r="D127" s="127"/>
      <c r="E127" s="126"/>
      <c r="F127" s="126"/>
      <c r="G127" s="126"/>
      <c r="H127" s="128"/>
      <c r="I127" s="126"/>
      <c r="J127" s="126"/>
      <c r="K127" s="128"/>
      <c r="L127" s="128"/>
      <c r="M127" s="128"/>
      <c r="N127" s="129"/>
      <c r="O127" s="130"/>
      <c r="P127" s="131"/>
      <c r="Q127" s="130"/>
      <c r="R127" s="131"/>
      <c r="S127" s="130"/>
      <c r="T127" s="131"/>
      <c r="U127" s="130"/>
      <c r="V127" s="131"/>
      <c r="W127" s="130"/>
      <c r="X127" s="131"/>
      <c r="Y127" s="130"/>
      <c r="Z127" s="131"/>
      <c r="AA127" s="130"/>
      <c r="AB127" s="131"/>
      <c r="AC127" s="130"/>
      <c r="AD127" s="131"/>
      <c r="AE127" s="130"/>
      <c r="AF127" s="131"/>
      <c r="AG127" s="130"/>
      <c r="AH127" s="131"/>
      <c r="AI127" s="130"/>
      <c r="AJ127" s="131"/>
      <c r="AK127" s="130"/>
      <c r="AL127" s="131"/>
      <c r="AM127" s="130"/>
      <c r="AN127" s="131"/>
      <c r="AO127" s="130"/>
      <c r="AP127" s="131"/>
      <c r="AQ127" s="130"/>
      <c r="AR127" s="132"/>
    </row>
    <row r="128" spans="1:44" x14ac:dyDescent="0.3">
      <c r="A128" s="126"/>
      <c r="B128" s="127"/>
      <c r="C128" s="127"/>
      <c r="D128" s="127"/>
      <c r="E128" s="126"/>
      <c r="F128" s="126"/>
      <c r="G128" s="126"/>
      <c r="H128" s="128"/>
      <c r="I128" s="126"/>
      <c r="J128" s="126"/>
      <c r="K128" s="128"/>
      <c r="L128" s="128"/>
      <c r="M128" s="128"/>
      <c r="N128" s="129"/>
      <c r="O128" s="130"/>
      <c r="P128" s="131"/>
      <c r="Q128" s="130"/>
      <c r="R128" s="131"/>
      <c r="S128" s="130"/>
      <c r="T128" s="131"/>
      <c r="U128" s="130"/>
      <c r="V128" s="131"/>
      <c r="W128" s="130"/>
      <c r="X128" s="131"/>
      <c r="Y128" s="130"/>
      <c r="Z128" s="131"/>
      <c r="AA128" s="130"/>
      <c r="AB128" s="131"/>
      <c r="AC128" s="130"/>
      <c r="AD128" s="131"/>
      <c r="AE128" s="130"/>
      <c r="AF128" s="131"/>
      <c r="AG128" s="130"/>
      <c r="AH128" s="131"/>
      <c r="AI128" s="130"/>
      <c r="AJ128" s="131"/>
      <c r="AK128" s="130"/>
      <c r="AL128" s="131"/>
      <c r="AM128" s="130"/>
      <c r="AN128" s="131"/>
      <c r="AO128" s="130"/>
      <c r="AP128" s="131"/>
      <c r="AQ128" s="130"/>
      <c r="AR128" s="132"/>
    </row>
    <row r="129" spans="1:44" x14ac:dyDescent="0.3">
      <c r="A129" s="126"/>
      <c r="B129" s="127"/>
      <c r="C129" s="127"/>
      <c r="D129" s="127"/>
      <c r="E129" s="126"/>
      <c r="F129" s="126"/>
      <c r="G129" s="126"/>
      <c r="H129" s="128"/>
      <c r="I129" s="126"/>
      <c r="J129" s="126"/>
      <c r="K129" s="128"/>
      <c r="L129" s="128"/>
      <c r="M129" s="128"/>
      <c r="N129" s="129"/>
      <c r="O129" s="130"/>
      <c r="P129" s="131"/>
      <c r="Q129" s="130"/>
      <c r="R129" s="131"/>
      <c r="S129" s="130"/>
      <c r="T129" s="131"/>
      <c r="U129" s="130"/>
      <c r="V129" s="131"/>
      <c r="W129" s="130"/>
      <c r="X129" s="131"/>
      <c r="Y129" s="130"/>
      <c r="Z129" s="131"/>
      <c r="AA129" s="130"/>
      <c r="AB129" s="131"/>
      <c r="AC129" s="130"/>
      <c r="AD129" s="131"/>
      <c r="AE129" s="130"/>
      <c r="AF129" s="131"/>
      <c r="AG129" s="130"/>
      <c r="AH129" s="131"/>
      <c r="AI129" s="130"/>
      <c r="AJ129" s="131"/>
      <c r="AK129" s="130"/>
      <c r="AL129" s="131"/>
      <c r="AM129" s="130"/>
      <c r="AN129" s="131"/>
      <c r="AO129" s="130"/>
      <c r="AP129" s="131"/>
      <c r="AQ129" s="130"/>
      <c r="AR129" s="132"/>
    </row>
    <row r="130" spans="1:44" x14ac:dyDescent="0.3">
      <c r="A130" s="126"/>
      <c r="B130" s="127"/>
      <c r="C130" s="127"/>
      <c r="D130" s="127"/>
      <c r="E130" s="126"/>
      <c r="F130" s="126"/>
      <c r="G130" s="126"/>
      <c r="H130" s="128"/>
      <c r="I130" s="126"/>
      <c r="J130" s="126"/>
      <c r="K130" s="128"/>
      <c r="L130" s="128"/>
      <c r="M130" s="128"/>
      <c r="N130" s="129"/>
      <c r="O130" s="130"/>
      <c r="P130" s="131"/>
      <c r="Q130" s="130"/>
      <c r="R130" s="131"/>
      <c r="S130" s="130"/>
      <c r="T130" s="131"/>
      <c r="U130" s="130"/>
      <c r="V130" s="131"/>
      <c r="W130" s="130"/>
      <c r="X130" s="131"/>
      <c r="Y130" s="130"/>
      <c r="Z130" s="131"/>
      <c r="AA130" s="130"/>
      <c r="AB130" s="131"/>
      <c r="AC130" s="130"/>
      <c r="AD130" s="131"/>
      <c r="AE130" s="130"/>
      <c r="AF130" s="131"/>
      <c r="AG130" s="130"/>
      <c r="AH130" s="131"/>
      <c r="AI130" s="130"/>
      <c r="AJ130" s="131"/>
      <c r="AK130" s="130"/>
      <c r="AL130" s="131"/>
      <c r="AM130" s="130"/>
      <c r="AN130" s="131"/>
      <c r="AO130" s="130"/>
      <c r="AP130" s="131"/>
      <c r="AQ130" s="130"/>
      <c r="AR130" s="132"/>
    </row>
    <row r="131" spans="1:44" x14ac:dyDescent="0.3">
      <c r="A131" s="126"/>
      <c r="B131" s="127"/>
      <c r="C131" s="127"/>
      <c r="D131" s="127"/>
      <c r="E131" s="126"/>
      <c r="F131" s="126"/>
      <c r="G131" s="126"/>
      <c r="H131" s="128"/>
      <c r="I131" s="126"/>
      <c r="J131" s="126"/>
      <c r="K131" s="128"/>
      <c r="L131" s="128"/>
      <c r="M131" s="128"/>
      <c r="N131" s="129"/>
      <c r="O131" s="130"/>
      <c r="P131" s="131"/>
      <c r="Q131" s="130"/>
      <c r="R131" s="131"/>
      <c r="S131" s="130"/>
      <c r="T131" s="131"/>
      <c r="U131" s="130"/>
      <c r="V131" s="131"/>
      <c r="W131" s="130"/>
      <c r="X131" s="131"/>
      <c r="Y131" s="130"/>
      <c r="Z131" s="131"/>
      <c r="AA131" s="130"/>
      <c r="AB131" s="131"/>
      <c r="AC131" s="130"/>
      <c r="AD131" s="131"/>
      <c r="AE131" s="130"/>
      <c r="AF131" s="131"/>
      <c r="AG131" s="130"/>
      <c r="AH131" s="131"/>
      <c r="AI131" s="130"/>
      <c r="AJ131" s="131"/>
      <c r="AK131" s="130"/>
      <c r="AL131" s="131"/>
      <c r="AM131" s="130"/>
      <c r="AN131" s="131"/>
      <c r="AO131" s="130"/>
      <c r="AP131" s="131"/>
      <c r="AQ131" s="130"/>
      <c r="AR131" s="132"/>
    </row>
    <row r="132" spans="1:44" x14ac:dyDescent="0.3">
      <c r="A132" s="126"/>
      <c r="B132" s="127"/>
      <c r="C132" s="127"/>
      <c r="D132" s="127"/>
      <c r="E132" s="126"/>
      <c r="F132" s="126"/>
      <c r="G132" s="126"/>
      <c r="H132" s="128"/>
      <c r="I132" s="126"/>
      <c r="J132" s="126"/>
      <c r="K132" s="128"/>
      <c r="L132" s="128"/>
      <c r="M132" s="128"/>
      <c r="N132" s="129"/>
      <c r="O132" s="130"/>
      <c r="P132" s="131"/>
      <c r="Q132" s="130"/>
      <c r="R132" s="131"/>
      <c r="S132" s="130"/>
      <c r="T132" s="131"/>
      <c r="U132" s="130"/>
      <c r="V132" s="131"/>
      <c r="W132" s="130"/>
      <c r="X132" s="131"/>
      <c r="Y132" s="130"/>
      <c r="Z132" s="131"/>
      <c r="AA132" s="130"/>
      <c r="AB132" s="131"/>
      <c r="AC132" s="130"/>
      <c r="AD132" s="131"/>
      <c r="AE132" s="130"/>
      <c r="AF132" s="131"/>
      <c r="AG132" s="130"/>
      <c r="AH132" s="131"/>
      <c r="AI132" s="130"/>
      <c r="AJ132" s="131"/>
      <c r="AK132" s="130"/>
      <c r="AL132" s="131"/>
      <c r="AM132" s="130"/>
      <c r="AN132" s="131"/>
      <c r="AO132" s="130"/>
      <c r="AP132" s="131"/>
      <c r="AQ132" s="130"/>
      <c r="AR132" s="132"/>
    </row>
    <row r="133" spans="1:44" x14ac:dyDescent="0.3">
      <c r="A133" s="126"/>
      <c r="B133" s="127"/>
      <c r="C133" s="127"/>
      <c r="D133" s="127"/>
      <c r="E133" s="126"/>
      <c r="F133" s="126"/>
      <c r="G133" s="126"/>
      <c r="H133" s="128"/>
      <c r="I133" s="126"/>
      <c r="J133" s="126"/>
      <c r="K133" s="128"/>
      <c r="L133" s="128"/>
      <c r="M133" s="128"/>
      <c r="N133" s="129"/>
      <c r="O133" s="130"/>
      <c r="P133" s="131"/>
      <c r="Q133" s="130"/>
      <c r="R133" s="131"/>
      <c r="S133" s="130"/>
      <c r="T133" s="131"/>
      <c r="U133" s="130"/>
      <c r="V133" s="131"/>
      <c r="W133" s="130"/>
      <c r="X133" s="131"/>
      <c r="Y133" s="130"/>
      <c r="Z133" s="131"/>
      <c r="AA133" s="130"/>
      <c r="AB133" s="131"/>
      <c r="AC133" s="130"/>
      <c r="AD133" s="131"/>
      <c r="AE133" s="130"/>
      <c r="AF133" s="131"/>
      <c r="AG133" s="130"/>
      <c r="AH133" s="131"/>
      <c r="AI133" s="130"/>
      <c r="AJ133" s="131"/>
      <c r="AK133" s="130"/>
      <c r="AL133" s="131"/>
      <c r="AM133" s="130"/>
      <c r="AN133" s="131"/>
      <c r="AO133" s="130"/>
      <c r="AP133" s="131"/>
      <c r="AQ133" s="130"/>
      <c r="AR133" s="132"/>
    </row>
    <row r="134" spans="1:44" x14ac:dyDescent="0.3">
      <c r="A134" s="126"/>
      <c r="B134" s="127"/>
      <c r="C134" s="127"/>
      <c r="D134" s="127"/>
      <c r="E134" s="126"/>
      <c r="F134" s="126"/>
      <c r="G134" s="126"/>
      <c r="H134" s="128"/>
      <c r="I134" s="126"/>
      <c r="J134" s="126"/>
      <c r="K134" s="128"/>
      <c r="L134" s="128"/>
      <c r="M134" s="128"/>
      <c r="N134" s="129"/>
      <c r="O134" s="130"/>
      <c r="P134" s="131"/>
      <c r="Q134" s="130"/>
      <c r="R134" s="131"/>
      <c r="S134" s="130"/>
      <c r="T134" s="131"/>
      <c r="U134" s="130"/>
      <c r="V134" s="131"/>
      <c r="W134" s="130"/>
      <c r="X134" s="131"/>
      <c r="Y134" s="130"/>
      <c r="Z134" s="131"/>
      <c r="AA134" s="130"/>
      <c r="AB134" s="131"/>
      <c r="AC134" s="130"/>
      <c r="AD134" s="131"/>
      <c r="AE134" s="130"/>
      <c r="AF134" s="131"/>
      <c r="AG134" s="130"/>
      <c r="AH134" s="131"/>
      <c r="AI134" s="130"/>
      <c r="AJ134" s="131"/>
      <c r="AK134" s="130"/>
      <c r="AL134" s="131"/>
      <c r="AM134" s="130"/>
      <c r="AN134" s="131"/>
      <c r="AO134" s="130"/>
      <c r="AP134" s="131"/>
      <c r="AQ134" s="130"/>
      <c r="AR134" s="132"/>
    </row>
    <row r="135" spans="1:44" x14ac:dyDescent="0.3">
      <c r="A135" s="126"/>
      <c r="B135" s="127"/>
      <c r="C135" s="127"/>
      <c r="D135" s="127"/>
      <c r="E135" s="126"/>
      <c r="F135" s="126"/>
      <c r="G135" s="126"/>
      <c r="H135" s="128"/>
      <c r="I135" s="126"/>
      <c r="J135" s="126"/>
      <c r="K135" s="128"/>
      <c r="L135" s="128"/>
      <c r="M135" s="128"/>
      <c r="N135" s="129"/>
      <c r="O135" s="130"/>
      <c r="P135" s="131"/>
      <c r="Q135" s="130"/>
      <c r="R135" s="131"/>
      <c r="S135" s="130"/>
      <c r="T135" s="131"/>
      <c r="U135" s="130"/>
      <c r="V135" s="131"/>
      <c r="W135" s="130"/>
      <c r="X135" s="131"/>
      <c r="Y135" s="130"/>
      <c r="Z135" s="131"/>
      <c r="AA135" s="130"/>
      <c r="AB135" s="131"/>
      <c r="AC135" s="130"/>
      <c r="AD135" s="131"/>
      <c r="AE135" s="130"/>
      <c r="AF135" s="131"/>
      <c r="AG135" s="130"/>
      <c r="AH135" s="131"/>
      <c r="AI135" s="130"/>
      <c r="AJ135" s="131"/>
      <c r="AK135" s="130"/>
      <c r="AL135" s="131"/>
      <c r="AM135" s="130"/>
      <c r="AN135" s="131"/>
      <c r="AO135" s="130"/>
      <c r="AP135" s="131"/>
      <c r="AQ135" s="130"/>
      <c r="AR135" s="132"/>
    </row>
    <row r="136" spans="1:44" x14ac:dyDescent="0.3">
      <c r="A136" s="126"/>
      <c r="B136" s="127"/>
      <c r="C136" s="127"/>
      <c r="D136" s="127"/>
      <c r="E136" s="126"/>
      <c r="F136" s="126"/>
      <c r="G136" s="126"/>
      <c r="H136" s="128"/>
      <c r="I136" s="126"/>
      <c r="J136" s="126"/>
      <c r="K136" s="128"/>
      <c r="L136" s="128"/>
      <c r="M136" s="128"/>
      <c r="N136" s="129"/>
      <c r="O136" s="130"/>
      <c r="P136" s="131"/>
      <c r="Q136" s="130"/>
      <c r="R136" s="131"/>
      <c r="S136" s="130"/>
      <c r="T136" s="131"/>
      <c r="U136" s="130"/>
      <c r="V136" s="131"/>
      <c r="W136" s="130"/>
      <c r="X136" s="131"/>
      <c r="Y136" s="130"/>
      <c r="Z136" s="131"/>
      <c r="AA136" s="130"/>
      <c r="AB136" s="131"/>
      <c r="AC136" s="130"/>
      <c r="AD136" s="131"/>
      <c r="AE136" s="130"/>
      <c r="AF136" s="131"/>
      <c r="AG136" s="130"/>
      <c r="AH136" s="131"/>
      <c r="AI136" s="130"/>
      <c r="AJ136" s="131"/>
      <c r="AK136" s="130"/>
      <c r="AL136" s="131"/>
      <c r="AM136" s="130"/>
      <c r="AN136" s="131"/>
      <c r="AO136" s="130"/>
      <c r="AP136" s="131"/>
      <c r="AQ136" s="130"/>
      <c r="AR136" s="132"/>
    </row>
    <row r="137" spans="1:44" x14ac:dyDescent="0.3">
      <c r="A137" s="126"/>
      <c r="B137" s="127"/>
      <c r="C137" s="127"/>
      <c r="D137" s="127"/>
      <c r="E137" s="126"/>
      <c r="F137" s="126"/>
      <c r="G137" s="126"/>
      <c r="H137" s="128"/>
      <c r="I137" s="126"/>
      <c r="J137" s="126"/>
      <c r="K137" s="128"/>
      <c r="L137" s="128"/>
      <c r="M137" s="128"/>
      <c r="N137" s="129"/>
      <c r="O137" s="130"/>
      <c r="P137" s="131"/>
      <c r="Q137" s="130"/>
      <c r="R137" s="131"/>
      <c r="S137" s="130"/>
      <c r="T137" s="131"/>
      <c r="U137" s="130"/>
      <c r="V137" s="131"/>
      <c r="W137" s="130"/>
      <c r="X137" s="131"/>
      <c r="Y137" s="130"/>
      <c r="Z137" s="131"/>
      <c r="AA137" s="130"/>
      <c r="AB137" s="131"/>
      <c r="AC137" s="130"/>
      <c r="AD137" s="131"/>
      <c r="AE137" s="130"/>
      <c r="AF137" s="131"/>
      <c r="AG137" s="130"/>
      <c r="AH137" s="131"/>
      <c r="AI137" s="130"/>
      <c r="AJ137" s="131"/>
      <c r="AK137" s="130"/>
      <c r="AL137" s="131"/>
      <c r="AM137" s="130"/>
      <c r="AN137" s="131"/>
      <c r="AO137" s="130"/>
      <c r="AP137" s="131"/>
      <c r="AQ137" s="130"/>
      <c r="AR137" s="132"/>
    </row>
    <row r="138" spans="1:44" x14ac:dyDescent="0.3">
      <c r="A138" s="126"/>
      <c r="B138" s="127"/>
      <c r="C138" s="127"/>
      <c r="D138" s="127"/>
      <c r="E138" s="126"/>
      <c r="F138" s="126"/>
      <c r="G138" s="126"/>
      <c r="H138" s="128"/>
      <c r="I138" s="126"/>
      <c r="J138" s="126"/>
      <c r="K138" s="128"/>
      <c r="L138" s="128"/>
      <c r="M138" s="128"/>
      <c r="N138" s="129"/>
      <c r="O138" s="130"/>
      <c r="P138" s="131"/>
      <c r="Q138" s="130"/>
      <c r="R138" s="131"/>
      <c r="S138" s="130"/>
      <c r="T138" s="131"/>
      <c r="U138" s="130"/>
      <c r="V138" s="131"/>
      <c r="W138" s="130"/>
      <c r="X138" s="131"/>
      <c r="Y138" s="130"/>
      <c r="Z138" s="131"/>
      <c r="AA138" s="130"/>
      <c r="AB138" s="131"/>
      <c r="AC138" s="130"/>
      <c r="AD138" s="131"/>
      <c r="AE138" s="130"/>
      <c r="AF138" s="131"/>
      <c r="AG138" s="130"/>
      <c r="AH138" s="131"/>
      <c r="AI138" s="130"/>
      <c r="AJ138" s="131"/>
      <c r="AK138" s="130"/>
      <c r="AL138" s="131"/>
      <c r="AM138" s="130"/>
      <c r="AN138" s="131"/>
      <c r="AO138" s="130"/>
      <c r="AP138" s="131"/>
      <c r="AQ138" s="130"/>
      <c r="AR138" s="132"/>
    </row>
    <row r="139" spans="1:44" x14ac:dyDescent="0.3">
      <c r="A139" s="126"/>
      <c r="B139" s="127"/>
      <c r="C139" s="127"/>
      <c r="D139" s="127"/>
      <c r="E139" s="126"/>
      <c r="F139" s="126"/>
      <c r="G139" s="126"/>
      <c r="H139" s="128"/>
      <c r="I139" s="126"/>
      <c r="J139" s="126"/>
      <c r="K139" s="128"/>
      <c r="L139" s="128"/>
      <c r="M139" s="128"/>
      <c r="N139" s="129"/>
      <c r="O139" s="130"/>
      <c r="P139" s="131"/>
      <c r="Q139" s="130"/>
      <c r="R139" s="131"/>
      <c r="S139" s="130"/>
      <c r="T139" s="131"/>
      <c r="U139" s="130"/>
      <c r="V139" s="131"/>
      <c r="W139" s="130"/>
      <c r="X139" s="131"/>
      <c r="Y139" s="130"/>
      <c r="Z139" s="131"/>
      <c r="AA139" s="130"/>
      <c r="AB139" s="131"/>
      <c r="AC139" s="130"/>
      <c r="AD139" s="131"/>
      <c r="AE139" s="130"/>
      <c r="AF139" s="131"/>
      <c r="AG139" s="130"/>
      <c r="AH139" s="131"/>
      <c r="AI139" s="130"/>
      <c r="AJ139" s="131"/>
      <c r="AK139" s="130"/>
      <c r="AL139" s="131"/>
      <c r="AM139" s="130"/>
      <c r="AN139" s="131"/>
      <c r="AO139" s="130"/>
      <c r="AP139" s="131"/>
      <c r="AQ139" s="130"/>
      <c r="AR139" s="132"/>
    </row>
    <row r="140" spans="1:44" x14ac:dyDescent="0.3">
      <c r="A140" s="126"/>
      <c r="B140" s="127"/>
      <c r="C140" s="127"/>
      <c r="D140" s="127"/>
      <c r="E140" s="126"/>
      <c r="F140" s="126"/>
      <c r="G140" s="126"/>
      <c r="H140" s="128"/>
      <c r="I140" s="126"/>
      <c r="J140" s="126"/>
      <c r="K140" s="128"/>
      <c r="L140" s="128"/>
      <c r="M140" s="128"/>
      <c r="N140" s="129"/>
      <c r="O140" s="130"/>
      <c r="P140" s="131"/>
      <c r="Q140" s="130"/>
      <c r="R140" s="131"/>
      <c r="S140" s="130"/>
      <c r="T140" s="131"/>
      <c r="U140" s="130"/>
      <c r="V140" s="131"/>
      <c r="W140" s="130"/>
      <c r="X140" s="131"/>
      <c r="Y140" s="130"/>
      <c r="Z140" s="131"/>
      <c r="AA140" s="130"/>
      <c r="AB140" s="131"/>
      <c r="AC140" s="130"/>
      <c r="AD140" s="131"/>
      <c r="AE140" s="130"/>
      <c r="AF140" s="131"/>
      <c r="AG140" s="130"/>
      <c r="AH140" s="131"/>
      <c r="AI140" s="130"/>
      <c r="AJ140" s="131"/>
      <c r="AK140" s="130"/>
      <c r="AL140" s="131"/>
      <c r="AM140" s="130"/>
      <c r="AN140" s="131"/>
      <c r="AO140" s="130"/>
      <c r="AP140" s="131"/>
      <c r="AQ140" s="130"/>
      <c r="AR140" s="132"/>
    </row>
    <row r="141" spans="1:44" x14ac:dyDescent="0.3">
      <c r="A141" s="126"/>
      <c r="B141" s="127"/>
      <c r="C141" s="127"/>
      <c r="D141" s="127"/>
      <c r="E141" s="126"/>
      <c r="F141" s="126"/>
      <c r="G141" s="126"/>
      <c r="H141" s="128"/>
      <c r="I141" s="126"/>
      <c r="J141" s="126"/>
      <c r="K141" s="128"/>
      <c r="L141" s="128"/>
      <c r="M141" s="128"/>
      <c r="N141" s="129"/>
      <c r="O141" s="130"/>
      <c r="P141" s="131"/>
      <c r="Q141" s="130"/>
      <c r="R141" s="131"/>
      <c r="S141" s="130"/>
      <c r="T141" s="131"/>
      <c r="U141" s="130"/>
      <c r="V141" s="131"/>
      <c r="W141" s="130"/>
      <c r="X141" s="131"/>
      <c r="Y141" s="130"/>
      <c r="Z141" s="131"/>
      <c r="AA141" s="130"/>
      <c r="AB141" s="131"/>
      <c r="AC141" s="130"/>
      <c r="AD141" s="131"/>
      <c r="AE141" s="130"/>
      <c r="AF141" s="131"/>
      <c r="AG141" s="130"/>
      <c r="AH141" s="131"/>
      <c r="AI141" s="130"/>
      <c r="AJ141" s="131"/>
      <c r="AK141" s="130"/>
      <c r="AL141" s="131"/>
      <c r="AM141" s="130"/>
      <c r="AN141" s="131"/>
      <c r="AO141" s="130"/>
      <c r="AP141" s="131"/>
      <c r="AQ141" s="130"/>
      <c r="AR141" s="132"/>
    </row>
    <row r="142" spans="1:44" x14ac:dyDescent="0.3">
      <c r="A142" s="126"/>
      <c r="B142" s="127"/>
      <c r="C142" s="127"/>
      <c r="D142" s="127"/>
      <c r="E142" s="126"/>
      <c r="F142" s="126"/>
      <c r="G142" s="126"/>
      <c r="H142" s="128"/>
      <c r="I142" s="126"/>
      <c r="J142" s="126"/>
      <c r="K142" s="128"/>
      <c r="L142" s="128"/>
      <c r="M142" s="128"/>
      <c r="N142" s="129"/>
      <c r="O142" s="130"/>
      <c r="P142" s="131"/>
      <c r="Q142" s="130"/>
      <c r="R142" s="131"/>
      <c r="S142" s="130"/>
      <c r="T142" s="131"/>
      <c r="U142" s="130"/>
      <c r="V142" s="131"/>
      <c r="W142" s="130"/>
      <c r="X142" s="131"/>
      <c r="Y142" s="130"/>
      <c r="Z142" s="131"/>
      <c r="AA142" s="130"/>
      <c r="AB142" s="131"/>
      <c r="AC142" s="130"/>
      <c r="AD142" s="131"/>
      <c r="AE142" s="130"/>
      <c r="AF142" s="131"/>
      <c r="AG142" s="130"/>
      <c r="AH142" s="131"/>
      <c r="AI142" s="130"/>
      <c r="AJ142" s="131"/>
      <c r="AK142" s="130"/>
      <c r="AL142" s="131"/>
      <c r="AM142" s="130"/>
      <c r="AN142" s="131"/>
      <c r="AO142" s="130"/>
      <c r="AP142" s="131"/>
      <c r="AQ142" s="130"/>
      <c r="AR142" s="132"/>
    </row>
    <row r="143" spans="1:44" x14ac:dyDescent="0.3">
      <c r="A143" s="126"/>
      <c r="B143" s="127"/>
      <c r="C143" s="127"/>
      <c r="D143" s="127"/>
      <c r="E143" s="126"/>
      <c r="F143" s="126"/>
      <c r="G143" s="126"/>
      <c r="H143" s="128"/>
      <c r="I143" s="126"/>
      <c r="J143" s="126"/>
      <c r="K143" s="128"/>
      <c r="L143" s="128"/>
      <c r="M143" s="128"/>
      <c r="N143" s="129"/>
      <c r="O143" s="130"/>
      <c r="P143" s="131"/>
      <c r="Q143" s="130"/>
      <c r="R143" s="131"/>
      <c r="S143" s="130"/>
      <c r="T143" s="131"/>
      <c r="U143" s="130"/>
      <c r="V143" s="131"/>
      <c r="W143" s="130"/>
      <c r="X143" s="131"/>
      <c r="Y143" s="130"/>
      <c r="Z143" s="131"/>
      <c r="AA143" s="130"/>
      <c r="AB143" s="131"/>
      <c r="AC143" s="130"/>
      <c r="AD143" s="131"/>
      <c r="AE143" s="130"/>
      <c r="AF143" s="131"/>
      <c r="AG143" s="130"/>
      <c r="AH143" s="131"/>
      <c r="AI143" s="130"/>
      <c r="AJ143" s="131"/>
      <c r="AK143" s="130"/>
      <c r="AL143" s="131"/>
      <c r="AM143" s="130"/>
      <c r="AN143" s="131"/>
      <c r="AO143" s="130"/>
      <c r="AP143" s="131"/>
      <c r="AQ143" s="130"/>
      <c r="AR143" s="132"/>
    </row>
    <row r="144" spans="1:44" x14ac:dyDescent="0.3">
      <c r="A144" s="126"/>
      <c r="B144" s="127"/>
      <c r="C144" s="127"/>
      <c r="D144" s="127"/>
      <c r="E144" s="126"/>
      <c r="F144" s="126"/>
      <c r="G144" s="126"/>
      <c r="H144" s="128"/>
      <c r="I144" s="126"/>
      <c r="J144" s="126"/>
      <c r="K144" s="128"/>
      <c r="L144" s="128"/>
      <c r="M144" s="128"/>
      <c r="N144" s="129"/>
      <c r="O144" s="130"/>
      <c r="P144" s="131"/>
      <c r="Q144" s="130"/>
      <c r="R144" s="131"/>
      <c r="S144" s="130"/>
      <c r="T144" s="131"/>
      <c r="U144" s="130"/>
      <c r="V144" s="131"/>
      <c r="W144" s="130"/>
      <c r="X144" s="131"/>
      <c r="Y144" s="130"/>
      <c r="Z144" s="131"/>
      <c r="AA144" s="130"/>
      <c r="AB144" s="131"/>
      <c r="AC144" s="130"/>
      <c r="AD144" s="131"/>
      <c r="AE144" s="130"/>
      <c r="AF144" s="131"/>
      <c r="AG144" s="130"/>
      <c r="AH144" s="131"/>
      <c r="AI144" s="130"/>
      <c r="AJ144" s="131"/>
      <c r="AK144" s="130"/>
      <c r="AL144" s="131"/>
      <c r="AM144" s="130"/>
      <c r="AN144" s="131"/>
      <c r="AO144" s="130"/>
      <c r="AP144" s="131"/>
      <c r="AQ144" s="130"/>
      <c r="AR144" s="132"/>
    </row>
    <row r="145" spans="1:44" x14ac:dyDescent="0.3">
      <c r="A145" s="126"/>
      <c r="B145" s="127"/>
      <c r="C145" s="127"/>
      <c r="D145" s="127"/>
      <c r="E145" s="126"/>
      <c r="F145" s="126"/>
      <c r="G145" s="126"/>
      <c r="H145" s="128"/>
      <c r="I145" s="126"/>
      <c r="J145" s="126"/>
      <c r="K145" s="128"/>
      <c r="L145" s="128"/>
      <c r="M145" s="128"/>
      <c r="N145" s="129"/>
      <c r="O145" s="130"/>
      <c r="P145" s="131"/>
      <c r="Q145" s="130"/>
      <c r="R145" s="131"/>
      <c r="S145" s="130"/>
      <c r="T145" s="131"/>
      <c r="U145" s="130"/>
      <c r="V145" s="131"/>
      <c r="W145" s="130"/>
      <c r="X145" s="131"/>
      <c r="Y145" s="130"/>
      <c r="Z145" s="131"/>
      <c r="AA145" s="130"/>
      <c r="AB145" s="131"/>
      <c r="AC145" s="130"/>
      <c r="AD145" s="131"/>
      <c r="AE145" s="130"/>
      <c r="AF145" s="131"/>
      <c r="AG145" s="130"/>
      <c r="AH145" s="131"/>
      <c r="AI145" s="130"/>
      <c r="AJ145" s="131"/>
      <c r="AK145" s="130"/>
      <c r="AL145" s="131"/>
      <c r="AM145" s="130"/>
      <c r="AN145" s="131"/>
      <c r="AO145" s="130"/>
      <c r="AP145" s="131"/>
      <c r="AQ145" s="130"/>
      <c r="AR145" s="132"/>
    </row>
    <row r="146" spans="1:44" x14ac:dyDescent="0.3">
      <c r="A146" s="126"/>
      <c r="B146" s="127"/>
      <c r="C146" s="127"/>
      <c r="D146" s="127"/>
      <c r="E146" s="126"/>
      <c r="F146" s="126"/>
      <c r="G146" s="126"/>
      <c r="H146" s="128"/>
      <c r="I146" s="126"/>
      <c r="J146" s="126"/>
      <c r="K146" s="128"/>
      <c r="L146" s="128"/>
      <c r="M146" s="128"/>
      <c r="N146" s="129"/>
      <c r="O146" s="130"/>
      <c r="P146" s="131"/>
      <c r="Q146" s="130"/>
      <c r="R146" s="131"/>
      <c r="S146" s="130"/>
      <c r="T146" s="131"/>
      <c r="U146" s="130"/>
      <c r="V146" s="131"/>
      <c r="W146" s="130"/>
      <c r="X146" s="131"/>
      <c r="Y146" s="130"/>
      <c r="Z146" s="131"/>
      <c r="AA146" s="130"/>
      <c r="AB146" s="131"/>
      <c r="AC146" s="130"/>
      <c r="AD146" s="131"/>
      <c r="AE146" s="130"/>
      <c r="AF146" s="131"/>
      <c r="AG146" s="130"/>
      <c r="AH146" s="131"/>
      <c r="AI146" s="130"/>
      <c r="AJ146" s="131"/>
      <c r="AK146" s="130"/>
      <c r="AL146" s="131"/>
      <c r="AM146" s="130"/>
      <c r="AN146" s="131"/>
      <c r="AO146" s="130"/>
      <c r="AP146" s="131"/>
      <c r="AQ146" s="130"/>
      <c r="AR146" s="132"/>
    </row>
    <row r="147" spans="1:44" x14ac:dyDescent="0.3">
      <c r="A147" s="126"/>
      <c r="B147" s="127"/>
      <c r="C147" s="127"/>
      <c r="D147" s="127"/>
      <c r="E147" s="126"/>
      <c r="F147" s="126"/>
      <c r="G147" s="126"/>
      <c r="H147" s="128"/>
      <c r="I147" s="126"/>
      <c r="J147" s="126"/>
      <c r="K147" s="128"/>
      <c r="L147" s="128"/>
      <c r="M147" s="128"/>
      <c r="N147" s="129"/>
      <c r="O147" s="130"/>
      <c r="P147" s="131"/>
      <c r="Q147" s="130"/>
      <c r="R147" s="131"/>
      <c r="S147" s="130"/>
      <c r="T147" s="131"/>
      <c r="U147" s="130"/>
      <c r="V147" s="131"/>
      <c r="W147" s="130"/>
      <c r="X147" s="131"/>
      <c r="Y147" s="130"/>
      <c r="Z147" s="131"/>
      <c r="AA147" s="130"/>
      <c r="AB147" s="131"/>
      <c r="AC147" s="130"/>
      <c r="AD147" s="131"/>
      <c r="AE147" s="130"/>
      <c r="AF147" s="131"/>
      <c r="AG147" s="130"/>
      <c r="AH147" s="131"/>
      <c r="AI147" s="130"/>
      <c r="AJ147" s="131"/>
      <c r="AK147" s="130"/>
      <c r="AL147" s="131"/>
      <c r="AM147" s="130"/>
      <c r="AN147" s="131"/>
      <c r="AO147" s="130"/>
      <c r="AP147" s="131"/>
      <c r="AQ147" s="130"/>
      <c r="AR147" s="132"/>
    </row>
    <row r="148" spans="1:44" x14ac:dyDescent="0.3">
      <c r="A148" s="126"/>
      <c r="B148" s="127"/>
      <c r="C148" s="127"/>
      <c r="D148" s="127"/>
      <c r="E148" s="126"/>
      <c r="F148" s="126"/>
      <c r="G148" s="126"/>
      <c r="H148" s="128"/>
      <c r="I148" s="126"/>
      <c r="J148" s="126"/>
      <c r="K148" s="128"/>
      <c r="L148" s="128"/>
      <c r="M148" s="128"/>
      <c r="N148" s="129"/>
      <c r="O148" s="130"/>
      <c r="P148" s="131"/>
      <c r="Q148" s="130"/>
      <c r="R148" s="131"/>
      <c r="S148" s="130"/>
      <c r="T148" s="131"/>
      <c r="U148" s="130"/>
      <c r="V148" s="131"/>
      <c r="W148" s="130"/>
      <c r="X148" s="131"/>
      <c r="Y148" s="130"/>
      <c r="Z148" s="131"/>
      <c r="AA148" s="130"/>
      <c r="AB148" s="131"/>
      <c r="AC148" s="130"/>
      <c r="AD148" s="131"/>
      <c r="AE148" s="130"/>
      <c r="AF148" s="131"/>
      <c r="AG148" s="130"/>
      <c r="AH148" s="131"/>
      <c r="AI148" s="130"/>
      <c r="AJ148" s="131"/>
      <c r="AK148" s="130"/>
      <c r="AL148" s="131"/>
      <c r="AM148" s="130"/>
      <c r="AN148" s="131"/>
      <c r="AO148" s="130"/>
      <c r="AP148" s="131"/>
      <c r="AQ148" s="130"/>
      <c r="AR148" s="132"/>
    </row>
    <row r="149" spans="1:44" x14ac:dyDescent="0.3">
      <c r="A149" s="126"/>
      <c r="B149" s="127"/>
      <c r="C149" s="127"/>
      <c r="D149" s="127"/>
      <c r="E149" s="126"/>
      <c r="F149" s="126"/>
      <c r="G149" s="126"/>
      <c r="H149" s="128"/>
      <c r="I149" s="126"/>
      <c r="J149" s="126"/>
      <c r="K149" s="128"/>
      <c r="L149" s="128"/>
      <c r="M149" s="128"/>
      <c r="N149" s="129"/>
      <c r="O149" s="130"/>
      <c r="P149" s="131"/>
      <c r="Q149" s="130"/>
      <c r="R149" s="131"/>
      <c r="S149" s="130"/>
      <c r="T149" s="131"/>
      <c r="U149" s="130"/>
      <c r="V149" s="131"/>
      <c r="W149" s="130"/>
      <c r="X149" s="131"/>
      <c r="Y149" s="130"/>
      <c r="Z149" s="131"/>
      <c r="AA149" s="130"/>
      <c r="AB149" s="131"/>
      <c r="AC149" s="130"/>
      <c r="AD149" s="131"/>
      <c r="AE149" s="130"/>
      <c r="AF149" s="131"/>
      <c r="AG149" s="130"/>
      <c r="AH149" s="131"/>
      <c r="AI149" s="130"/>
      <c r="AJ149" s="131"/>
      <c r="AK149" s="130"/>
      <c r="AL149" s="131"/>
      <c r="AM149" s="130"/>
      <c r="AN149" s="131"/>
      <c r="AO149" s="130"/>
      <c r="AP149" s="131"/>
      <c r="AQ149" s="130"/>
      <c r="AR149" s="132"/>
    </row>
    <row r="150" spans="1:44" x14ac:dyDescent="0.3">
      <c r="A150" s="126"/>
      <c r="B150" s="127"/>
      <c r="C150" s="127"/>
      <c r="D150" s="127"/>
      <c r="E150" s="126"/>
      <c r="F150" s="126"/>
      <c r="G150" s="126"/>
      <c r="H150" s="128"/>
      <c r="I150" s="126"/>
      <c r="J150" s="126"/>
      <c r="K150" s="128"/>
      <c r="L150" s="128"/>
      <c r="M150" s="128"/>
      <c r="N150" s="129"/>
      <c r="O150" s="130"/>
      <c r="P150" s="131"/>
      <c r="Q150" s="130"/>
      <c r="R150" s="131"/>
      <c r="S150" s="130"/>
      <c r="T150" s="131"/>
      <c r="U150" s="130"/>
      <c r="V150" s="131"/>
      <c r="W150" s="130"/>
      <c r="X150" s="131"/>
      <c r="Y150" s="130"/>
      <c r="Z150" s="131"/>
      <c r="AA150" s="130"/>
      <c r="AB150" s="131"/>
      <c r="AC150" s="130"/>
      <c r="AD150" s="131"/>
      <c r="AE150" s="130"/>
      <c r="AF150" s="131"/>
      <c r="AG150" s="130"/>
      <c r="AH150" s="131"/>
      <c r="AI150" s="130"/>
      <c r="AJ150" s="131"/>
      <c r="AK150" s="130"/>
      <c r="AL150" s="131"/>
      <c r="AM150" s="130"/>
      <c r="AN150" s="131"/>
      <c r="AO150" s="130"/>
      <c r="AP150" s="131"/>
      <c r="AQ150" s="130"/>
      <c r="AR150" s="132"/>
    </row>
    <row r="151" spans="1:44" x14ac:dyDescent="0.3">
      <c r="A151" s="126"/>
      <c r="B151" s="127"/>
      <c r="C151" s="127"/>
      <c r="D151" s="127"/>
      <c r="E151" s="126"/>
      <c r="F151" s="126"/>
      <c r="G151" s="126"/>
      <c r="H151" s="128"/>
      <c r="I151" s="126"/>
      <c r="J151" s="126"/>
      <c r="K151" s="128"/>
      <c r="L151" s="128"/>
      <c r="M151" s="128"/>
      <c r="N151" s="129"/>
      <c r="O151" s="130"/>
      <c r="P151" s="131"/>
      <c r="Q151" s="130"/>
      <c r="R151" s="131"/>
      <c r="S151" s="130"/>
      <c r="T151" s="131"/>
      <c r="U151" s="130"/>
      <c r="V151" s="131"/>
      <c r="W151" s="130"/>
      <c r="X151" s="131"/>
      <c r="Y151" s="130"/>
      <c r="Z151" s="131"/>
      <c r="AA151" s="130"/>
      <c r="AB151" s="131"/>
      <c r="AC151" s="130"/>
      <c r="AD151" s="131"/>
      <c r="AE151" s="130"/>
      <c r="AF151" s="131"/>
      <c r="AG151" s="130"/>
      <c r="AH151" s="131"/>
      <c r="AI151" s="130"/>
      <c r="AJ151" s="131"/>
      <c r="AK151" s="130"/>
      <c r="AL151" s="131"/>
      <c r="AM151" s="130"/>
      <c r="AN151" s="131"/>
      <c r="AO151" s="130"/>
      <c r="AP151" s="131"/>
      <c r="AQ151" s="130"/>
      <c r="AR151" s="132"/>
    </row>
    <row r="152" spans="1:44" x14ac:dyDescent="0.3">
      <c r="A152" s="126"/>
      <c r="B152" s="127"/>
      <c r="C152" s="127"/>
      <c r="D152" s="127"/>
      <c r="E152" s="126"/>
      <c r="F152" s="126"/>
      <c r="G152" s="126"/>
      <c r="H152" s="128"/>
      <c r="I152" s="126"/>
      <c r="J152" s="126"/>
      <c r="K152" s="128"/>
      <c r="L152" s="128"/>
      <c r="M152" s="128"/>
      <c r="N152" s="129"/>
      <c r="O152" s="130"/>
      <c r="P152" s="131"/>
      <c r="Q152" s="130"/>
      <c r="R152" s="131"/>
      <c r="S152" s="130"/>
      <c r="T152" s="131"/>
      <c r="U152" s="130"/>
      <c r="V152" s="131"/>
      <c r="W152" s="130"/>
      <c r="X152" s="131"/>
      <c r="Y152" s="130"/>
      <c r="Z152" s="131"/>
      <c r="AA152" s="130"/>
      <c r="AB152" s="131"/>
      <c r="AC152" s="130"/>
      <c r="AD152" s="131"/>
      <c r="AE152" s="130"/>
      <c r="AF152" s="131"/>
      <c r="AG152" s="130"/>
      <c r="AH152" s="131"/>
      <c r="AI152" s="130"/>
      <c r="AJ152" s="131"/>
      <c r="AK152" s="130"/>
      <c r="AL152" s="131"/>
      <c r="AM152" s="130"/>
      <c r="AN152" s="131"/>
      <c r="AO152" s="130"/>
      <c r="AP152" s="131"/>
      <c r="AQ152" s="130"/>
      <c r="AR152" s="132"/>
    </row>
    <row r="153" spans="1:44" x14ac:dyDescent="0.3">
      <c r="A153" s="126"/>
      <c r="B153" s="127"/>
      <c r="C153" s="127"/>
      <c r="D153" s="127"/>
      <c r="E153" s="126"/>
      <c r="F153" s="126"/>
      <c r="G153" s="126"/>
      <c r="H153" s="128"/>
      <c r="I153" s="126"/>
      <c r="J153" s="126"/>
      <c r="K153" s="128"/>
      <c r="L153" s="128"/>
      <c r="M153" s="128"/>
      <c r="N153" s="129"/>
      <c r="O153" s="130"/>
      <c r="P153" s="131"/>
      <c r="Q153" s="130"/>
      <c r="R153" s="131"/>
      <c r="S153" s="130"/>
      <c r="T153" s="131"/>
      <c r="U153" s="130"/>
      <c r="V153" s="131"/>
      <c r="W153" s="130"/>
      <c r="X153" s="131"/>
      <c r="Y153" s="130"/>
      <c r="Z153" s="131"/>
      <c r="AA153" s="130"/>
      <c r="AB153" s="131"/>
      <c r="AC153" s="130"/>
      <c r="AD153" s="131"/>
      <c r="AE153" s="130"/>
      <c r="AF153" s="131"/>
      <c r="AG153" s="130"/>
      <c r="AH153" s="131"/>
      <c r="AI153" s="130"/>
      <c r="AJ153" s="131"/>
      <c r="AK153" s="130"/>
      <c r="AL153" s="131"/>
      <c r="AM153" s="130"/>
      <c r="AN153" s="131"/>
      <c r="AO153" s="130"/>
      <c r="AP153" s="131"/>
      <c r="AQ153" s="130"/>
      <c r="AR153" s="132"/>
    </row>
    <row r="154" spans="1:44" x14ac:dyDescent="0.3">
      <c r="A154" s="126"/>
      <c r="B154" s="127"/>
      <c r="C154" s="127"/>
      <c r="D154" s="127"/>
      <c r="E154" s="126"/>
      <c r="F154" s="126"/>
      <c r="G154" s="126"/>
      <c r="H154" s="128"/>
      <c r="I154" s="126"/>
      <c r="J154" s="126"/>
      <c r="K154" s="128"/>
      <c r="L154" s="128"/>
      <c r="M154" s="128"/>
      <c r="N154" s="129"/>
      <c r="O154" s="130"/>
      <c r="P154" s="131"/>
      <c r="Q154" s="130"/>
      <c r="R154" s="131"/>
      <c r="S154" s="130"/>
      <c r="T154" s="131"/>
      <c r="U154" s="130"/>
      <c r="V154" s="131"/>
      <c r="W154" s="130"/>
      <c r="X154" s="131"/>
      <c r="Y154" s="130"/>
      <c r="Z154" s="131"/>
      <c r="AA154" s="130"/>
      <c r="AB154" s="131"/>
      <c r="AC154" s="130"/>
      <c r="AD154" s="131"/>
      <c r="AE154" s="130"/>
      <c r="AF154" s="131"/>
      <c r="AG154" s="130"/>
      <c r="AH154" s="131"/>
      <c r="AI154" s="130"/>
      <c r="AJ154" s="131"/>
      <c r="AK154" s="130"/>
      <c r="AL154" s="131"/>
      <c r="AM154" s="130"/>
      <c r="AN154" s="131"/>
      <c r="AO154" s="130"/>
      <c r="AP154" s="131"/>
      <c r="AQ154" s="130"/>
      <c r="AR154" s="132"/>
    </row>
    <row r="155" spans="1:44" x14ac:dyDescent="0.3">
      <c r="A155" s="126"/>
      <c r="B155" s="127"/>
      <c r="C155" s="127"/>
      <c r="D155" s="127"/>
      <c r="E155" s="126"/>
      <c r="F155" s="126"/>
      <c r="G155" s="126"/>
      <c r="H155" s="128"/>
      <c r="I155" s="126"/>
      <c r="J155" s="126"/>
      <c r="K155" s="128"/>
      <c r="L155" s="128"/>
      <c r="M155" s="128"/>
      <c r="N155" s="129"/>
      <c r="O155" s="130"/>
      <c r="P155" s="131"/>
      <c r="Q155" s="130"/>
      <c r="R155" s="131"/>
      <c r="S155" s="130"/>
      <c r="T155" s="131"/>
      <c r="U155" s="130"/>
      <c r="V155" s="131"/>
      <c r="W155" s="130"/>
      <c r="X155" s="131"/>
      <c r="Y155" s="130"/>
      <c r="Z155" s="131"/>
      <c r="AA155" s="130"/>
      <c r="AB155" s="131"/>
      <c r="AC155" s="130"/>
      <c r="AD155" s="131"/>
      <c r="AE155" s="130"/>
      <c r="AF155" s="131"/>
      <c r="AG155" s="130"/>
      <c r="AH155" s="131"/>
      <c r="AI155" s="130"/>
      <c r="AJ155" s="131"/>
      <c r="AK155" s="130"/>
      <c r="AL155" s="131"/>
      <c r="AM155" s="130"/>
      <c r="AN155" s="131"/>
      <c r="AO155" s="130"/>
      <c r="AP155" s="131"/>
      <c r="AQ155" s="130"/>
      <c r="AR155" s="132"/>
    </row>
    <row r="156" spans="1:44" x14ac:dyDescent="0.3">
      <c r="A156" s="126"/>
      <c r="B156" s="127"/>
      <c r="C156" s="127"/>
      <c r="D156" s="127"/>
      <c r="E156" s="126"/>
      <c r="F156" s="126"/>
      <c r="G156" s="126"/>
      <c r="H156" s="128"/>
      <c r="I156" s="126"/>
      <c r="J156" s="126"/>
      <c r="K156" s="128"/>
      <c r="L156" s="128"/>
      <c r="M156" s="128"/>
      <c r="N156" s="129"/>
      <c r="O156" s="130"/>
      <c r="P156" s="131"/>
      <c r="Q156" s="130"/>
      <c r="R156" s="131"/>
      <c r="S156" s="130"/>
      <c r="T156" s="131"/>
      <c r="U156" s="130"/>
      <c r="V156" s="131"/>
      <c r="W156" s="130"/>
      <c r="X156" s="131"/>
      <c r="Y156" s="130"/>
      <c r="Z156" s="131"/>
      <c r="AA156" s="130"/>
      <c r="AB156" s="131"/>
      <c r="AC156" s="130"/>
      <c r="AD156" s="131"/>
      <c r="AE156" s="130"/>
      <c r="AF156" s="131"/>
      <c r="AG156" s="130"/>
      <c r="AH156" s="131"/>
      <c r="AI156" s="130"/>
      <c r="AJ156" s="131"/>
      <c r="AK156" s="130"/>
      <c r="AL156" s="131"/>
      <c r="AM156" s="130"/>
      <c r="AN156" s="131"/>
      <c r="AO156" s="130"/>
      <c r="AP156" s="131"/>
      <c r="AQ156" s="130"/>
      <c r="AR156" s="132"/>
    </row>
    <row r="157" spans="1:44" x14ac:dyDescent="0.3">
      <c r="A157" s="126"/>
      <c r="B157" s="127"/>
      <c r="C157" s="127"/>
      <c r="D157" s="127"/>
      <c r="E157" s="126"/>
      <c r="F157" s="126"/>
      <c r="G157" s="126"/>
      <c r="H157" s="128"/>
      <c r="I157" s="126"/>
      <c r="J157" s="126"/>
      <c r="K157" s="128"/>
      <c r="L157" s="128"/>
      <c r="M157" s="128"/>
      <c r="N157" s="129"/>
      <c r="O157" s="130"/>
      <c r="P157" s="131"/>
      <c r="Q157" s="130"/>
      <c r="R157" s="131"/>
      <c r="S157" s="130"/>
      <c r="T157" s="131"/>
      <c r="U157" s="130"/>
      <c r="V157" s="131"/>
      <c r="W157" s="130"/>
      <c r="X157" s="131"/>
      <c r="Y157" s="130"/>
      <c r="Z157" s="131"/>
      <c r="AA157" s="130"/>
      <c r="AB157" s="131"/>
      <c r="AC157" s="130"/>
      <c r="AD157" s="131"/>
      <c r="AE157" s="130"/>
      <c r="AF157" s="131"/>
      <c r="AG157" s="130"/>
      <c r="AH157" s="131"/>
      <c r="AI157" s="130"/>
      <c r="AJ157" s="131"/>
      <c r="AK157" s="130"/>
      <c r="AL157" s="131"/>
      <c r="AM157" s="130"/>
      <c r="AN157" s="131"/>
      <c r="AO157" s="130"/>
      <c r="AP157" s="131"/>
      <c r="AQ157" s="130"/>
      <c r="AR157" s="132"/>
    </row>
    <row r="158" spans="1:44" x14ac:dyDescent="0.3">
      <c r="A158" s="126"/>
      <c r="B158" s="127"/>
      <c r="C158" s="127"/>
      <c r="D158" s="127"/>
      <c r="E158" s="126"/>
      <c r="F158" s="126"/>
      <c r="G158" s="126"/>
      <c r="H158" s="128"/>
      <c r="I158" s="126"/>
      <c r="J158" s="126"/>
      <c r="K158" s="128"/>
      <c r="L158" s="128"/>
      <c r="M158" s="128"/>
      <c r="N158" s="129"/>
      <c r="O158" s="130"/>
      <c r="P158" s="131"/>
      <c r="Q158" s="130"/>
      <c r="R158" s="131"/>
      <c r="S158" s="130"/>
      <c r="T158" s="131"/>
      <c r="U158" s="130"/>
      <c r="V158" s="131"/>
      <c r="W158" s="130"/>
      <c r="X158" s="131"/>
      <c r="Y158" s="130"/>
      <c r="Z158" s="131"/>
      <c r="AA158" s="130"/>
      <c r="AB158" s="131"/>
      <c r="AC158" s="130"/>
      <c r="AD158" s="131"/>
      <c r="AE158" s="130"/>
      <c r="AF158" s="131"/>
      <c r="AG158" s="130"/>
      <c r="AH158" s="131"/>
      <c r="AI158" s="130"/>
      <c r="AJ158" s="131"/>
      <c r="AK158" s="130"/>
      <c r="AL158" s="131"/>
      <c r="AM158" s="130"/>
      <c r="AN158" s="131"/>
      <c r="AO158" s="130"/>
      <c r="AP158" s="131"/>
      <c r="AQ158" s="130"/>
      <c r="AR158" s="132"/>
    </row>
    <row r="159" spans="1:44" x14ac:dyDescent="0.3">
      <c r="A159" s="126"/>
      <c r="B159" s="127"/>
      <c r="C159" s="127"/>
      <c r="D159" s="127"/>
      <c r="E159" s="126"/>
      <c r="F159" s="126"/>
      <c r="G159" s="126"/>
      <c r="H159" s="128"/>
      <c r="I159" s="126"/>
      <c r="J159" s="126"/>
      <c r="K159" s="128"/>
      <c r="L159" s="128"/>
      <c r="M159" s="128"/>
      <c r="N159" s="129"/>
      <c r="O159" s="130"/>
      <c r="P159" s="131"/>
      <c r="Q159" s="130"/>
      <c r="R159" s="131"/>
      <c r="S159" s="130"/>
      <c r="T159" s="131"/>
      <c r="U159" s="130"/>
      <c r="V159" s="131"/>
      <c r="W159" s="130"/>
      <c r="X159" s="131"/>
      <c r="Y159" s="130"/>
      <c r="Z159" s="131"/>
      <c r="AA159" s="130"/>
      <c r="AB159" s="131"/>
      <c r="AC159" s="130"/>
      <c r="AD159" s="131"/>
      <c r="AE159" s="130"/>
      <c r="AF159" s="131"/>
      <c r="AG159" s="130"/>
      <c r="AH159" s="131"/>
      <c r="AI159" s="130"/>
      <c r="AJ159" s="131"/>
      <c r="AK159" s="130"/>
      <c r="AL159" s="131"/>
      <c r="AM159" s="130"/>
      <c r="AN159" s="131"/>
      <c r="AO159" s="130"/>
      <c r="AP159" s="131"/>
      <c r="AQ159" s="130"/>
      <c r="AR159" s="132"/>
    </row>
    <row r="160" spans="1:44" x14ac:dyDescent="0.3">
      <c r="A160" s="126"/>
      <c r="B160" s="127"/>
      <c r="C160" s="127"/>
      <c r="D160" s="127"/>
      <c r="E160" s="126"/>
      <c r="F160" s="126"/>
      <c r="G160" s="126"/>
      <c r="H160" s="128"/>
      <c r="I160" s="126"/>
      <c r="J160" s="126"/>
      <c r="K160" s="128"/>
      <c r="L160" s="128"/>
      <c r="M160" s="128"/>
      <c r="N160" s="129"/>
      <c r="O160" s="130"/>
      <c r="P160" s="131"/>
      <c r="Q160" s="130"/>
      <c r="R160" s="131"/>
      <c r="S160" s="130"/>
      <c r="T160" s="131"/>
      <c r="U160" s="130"/>
      <c r="V160" s="131"/>
      <c r="W160" s="130"/>
      <c r="X160" s="131"/>
      <c r="Y160" s="130"/>
      <c r="Z160" s="131"/>
      <c r="AA160" s="130"/>
      <c r="AB160" s="131"/>
      <c r="AC160" s="130"/>
      <c r="AD160" s="131"/>
      <c r="AE160" s="130"/>
      <c r="AF160" s="131"/>
      <c r="AG160" s="130"/>
      <c r="AH160" s="131"/>
      <c r="AI160" s="130"/>
      <c r="AJ160" s="131"/>
      <c r="AK160" s="130"/>
      <c r="AL160" s="131"/>
      <c r="AM160" s="130"/>
      <c r="AN160" s="131"/>
      <c r="AO160" s="130"/>
      <c r="AP160" s="131"/>
      <c r="AQ160" s="130"/>
      <c r="AR160" s="132"/>
    </row>
    <row r="161" spans="1:44" x14ac:dyDescent="0.3">
      <c r="A161" s="126"/>
      <c r="B161" s="127"/>
      <c r="C161" s="127"/>
      <c r="D161" s="127"/>
      <c r="E161" s="126"/>
      <c r="F161" s="126"/>
      <c r="G161" s="126"/>
      <c r="H161" s="128"/>
      <c r="I161" s="126"/>
      <c r="J161" s="126"/>
      <c r="K161" s="128"/>
      <c r="L161" s="128"/>
      <c r="M161" s="128"/>
      <c r="N161" s="129"/>
      <c r="O161" s="130"/>
      <c r="P161" s="131"/>
      <c r="Q161" s="130"/>
      <c r="R161" s="131"/>
      <c r="S161" s="130"/>
      <c r="T161" s="131"/>
      <c r="U161" s="130"/>
      <c r="V161" s="131"/>
      <c r="W161" s="130"/>
      <c r="X161" s="131"/>
      <c r="Y161" s="130"/>
      <c r="Z161" s="131"/>
      <c r="AA161" s="130"/>
      <c r="AB161" s="131"/>
      <c r="AC161" s="130"/>
      <c r="AD161" s="131"/>
      <c r="AE161" s="130"/>
      <c r="AF161" s="131"/>
      <c r="AG161" s="130"/>
      <c r="AH161" s="131"/>
      <c r="AI161" s="130"/>
      <c r="AJ161" s="131"/>
      <c r="AK161" s="130"/>
      <c r="AL161" s="131"/>
      <c r="AM161" s="130"/>
      <c r="AN161" s="131"/>
      <c r="AO161" s="130"/>
      <c r="AP161" s="131"/>
      <c r="AQ161" s="130"/>
      <c r="AR161" s="132"/>
    </row>
    <row r="162" spans="1:44" x14ac:dyDescent="0.3">
      <c r="A162" s="126"/>
      <c r="B162" s="127"/>
      <c r="C162" s="127"/>
      <c r="D162" s="127"/>
      <c r="E162" s="126"/>
      <c r="F162" s="126"/>
      <c r="G162" s="126"/>
      <c r="H162" s="128"/>
      <c r="I162" s="126"/>
      <c r="J162" s="126"/>
      <c r="K162" s="128"/>
      <c r="L162" s="128"/>
      <c r="M162" s="128"/>
      <c r="N162" s="129"/>
      <c r="O162" s="130"/>
      <c r="P162" s="131"/>
      <c r="Q162" s="130"/>
      <c r="R162" s="131"/>
      <c r="S162" s="130"/>
      <c r="T162" s="131"/>
      <c r="U162" s="130"/>
      <c r="V162" s="131"/>
      <c r="W162" s="130"/>
      <c r="X162" s="131"/>
      <c r="Y162" s="130"/>
      <c r="Z162" s="131"/>
      <c r="AA162" s="130"/>
      <c r="AB162" s="131"/>
      <c r="AC162" s="130"/>
      <c r="AD162" s="131"/>
      <c r="AE162" s="130"/>
      <c r="AF162" s="131"/>
      <c r="AG162" s="130"/>
      <c r="AH162" s="131"/>
      <c r="AI162" s="130"/>
      <c r="AJ162" s="131"/>
      <c r="AK162" s="130"/>
      <c r="AL162" s="131"/>
      <c r="AM162" s="130"/>
      <c r="AN162" s="131"/>
      <c r="AO162" s="130"/>
      <c r="AP162" s="131"/>
      <c r="AQ162" s="130"/>
      <c r="AR162" s="132"/>
    </row>
    <row r="163" spans="1:44" x14ac:dyDescent="0.3">
      <c r="A163" s="126"/>
      <c r="B163" s="127"/>
      <c r="C163" s="127"/>
      <c r="D163" s="127"/>
      <c r="E163" s="126"/>
      <c r="F163" s="126"/>
      <c r="G163" s="126"/>
      <c r="H163" s="128"/>
      <c r="I163" s="126"/>
      <c r="J163" s="126"/>
      <c r="K163" s="128"/>
      <c r="L163" s="128"/>
      <c r="M163" s="128"/>
      <c r="N163" s="129"/>
      <c r="O163" s="130"/>
      <c r="P163" s="131"/>
      <c r="Q163" s="130"/>
      <c r="R163" s="131"/>
      <c r="S163" s="130"/>
      <c r="T163" s="131"/>
      <c r="U163" s="130"/>
      <c r="V163" s="131"/>
      <c r="W163" s="130"/>
      <c r="X163" s="131"/>
      <c r="Y163" s="130"/>
      <c r="Z163" s="131"/>
      <c r="AA163" s="130"/>
      <c r="AB163" s="131"/>
      <c r="AC163" s="130"/>
      <c r="AD163" s="131"/>
      <c r="AE163" s="130"/>
      <c r="AF163" s="131"/>
      <c r="AG163" s="130"/>
      <c r="AH163" s="131"/>
      <c r="AI163" s="130"/>
      <c r="AJ163" s="131"/>
      <c r="AK163" s="130"/>
      <c r="AL163" s="131"/>
      <c r="AM163" s="130"/>
      <c r="AN163" s="131"/>
      <c r="AO163" s="130"/>
      <c r="AP163" s="131"/>
      <c r="AQ163" s="130"/>
      <c r="AR163" s="132"/>
    </row>
    <row r="164" spans="1:44" x14ac:dyDescent="0.3">
      <c r="A164" s="126"/>
      <c r="B164" s="127"/>
      <c r="C164" s="127"/>
      <c r="D164" s="127"/>
      <c r="E164" s="126"/>
      <c r="F164" s="126"/>
      <c r="G164" s="126"/>
      <c r="H164" s="128"/>
      <c r="I164" s="126"/>
      <c r="J164" s="126"/>
      <c r="K164" s="128"/>
      <c r="L164" s="128"/>
      <c r="M164" s="128"/>
      <c r="N164" s="129"/>
      <c r="O164" s="130"/>
      <c r="P164" s="131"/>
      <c r="Q164" s="130"/>
      <c r="R164" s="131"/>
      <c r="S164" s="130"/>
      <c r="T164" s="131"/>
      <c r="U164" s="130"/>
      <c r="V164" s="131"/>
      <c r="W164" s="130"/>
      <c r="X164" s="131"/>
      <c r="Y164" s="130"/>
      <c r="Z164" s="131"/>
      <c r="AA164" s="130"/>
      <c r="AB164" s="131"/>
      <c r="AC164" s="130"/>
      <c r="AD164" s="131"/>
      <c r="AE164" s="130"/>
      <c r="AF164" s="131"/>
      <c r="AG164" s="130"/>
      <c r="AH164" s="131"/>
      <c r="AI164" s="130"/>
      <c r="AJ164" s="131"/>
      <c r="AK164" s="130"/>
      <c r="AL164" s="131"/>
      <c r="AM164" s="130"/>
      <c r="AN164" s="131"/>
      <c r="AO164" s="130"/>
      <c r="AP164" s="131"/>
      <c r="AQ164" s="130"/>
      <c r="AR164" s="132"/>
    </row>
    <row r="165" spans="1:44" x14ac:dyDescent="0.3">
      <c r="A165" s="126"/>
      <c r="B165" s="127"/>
      <c r="C165" s="127"/>
      <c r="D165" s="127"/>
      <c r="E165" s="126"/>
      <c r="F165" s="126"/>
      <c r="G165" s="126"/>
      <c r="H165" s="128"/>
      <c r="I165" s="126"/>
      <c r="J165" s="126"/>
      <c r="K165" s="128"/>
      <c r="L165" s="128"/>
      <c r="M165" s="128"/>
      <c r="N165" s="129"/>
      <c r="O165" s="130"/>
      <c r="P165" s="131"/>
      <c r="Q165" s="130"/>
      <c r="R165" s="131"/>
      <c r="S165" s="130"/>
      <c r="T165" s="131"/>
      <c r="U165" s="130"/>
      <c r="V165" s="131"/>
      <c r="W165" s="130"/>
      <c r="X165" s="131"/>
      <c r="Y165" s="130"/>
      <c r="Z165" s="131"/>
      <c r="AA165" s="130"/>
      <c r="AB165" s="131"/>
      <c r="AC165" s="130"/>
      <c r="AD165" s="131"/>
      <c r="AE165" s="130"/>
      <c r="AF165" s="131"/>
      <c r="AG165" s="130"/>
      <c r="AH165" s="131"/>
      <c r="AI165" s="130"/>
      <c r="AJ165" s="131"/>
      <c r="AK165" s="130"/>
      <c r="AL165" s="131"/>
      <c r="AM165" s="130"/>
      <c r="AN165" s="131"/>
      <c r="AO165" s="130"/>
      <c r="AP165" s="131"/>
      <c r="AQ165" s="130"/>
      <c r="AR165" s="132"/>
    </row>
    <row r="166" spans="1:44" x14ac:dyDescent="0.3">
      <c r="A166" s="126"/>
      <c r="B166" s="127"/>
      <c r="C166" s="127"/>
      <c r="D166" s="127"/>
      <c r="E166" s="126"/>
      <c r="F166" s="126"/>
      <c r="G166" s="126"/>
      <c r="H166" s="128"/>
      <c r="I166" s="126"/>
      <c r="J166" s="126"/>
      <c r="K166" s="128"/>
      <c r="L166" s="128"/>
      <c r="M166" s="128"/>
      <c r="N166" s="129"/>
      <c r="O166" s="130"/>
      <c r="P166" s="131"/>
      <c r="Q166" s="130"/>
      <c r="R166" s="131"/>
      <c r="S166" s="130"/>
      <c r="T166" s="131"/>
      <c r="U166" s="130"/>
      <c r="V166" s="131"/>
      <c r="W166" s="130"/>
      <c r="X166" s="131"/>
      <c r="Y166" s="130"/>
      <c r="Z166" s="131"/>
      <c r="AA166" s="130"/>
      <c r="AB166" s="131"/>
      <c r="AC166" s="130"/>
      <c r="AD166" s="131"/>
      <c r="AE166" s="130"/>
      <c r="AF166" s="131"/>
      <c r="AG166" s="130"/>
      <c r="AH166" s="131"/>
      <c r="AI166" s="130"/>
      <c r="AJ166" s="131"/>
      <c r="AK166" s="130"/>
      <c r="AL166" s="131"/>
      <c r="AM166" s="130"/>
      <c r="AN166" s="131"/>
      <c r="AO166" s="130"/>
      <c r="AP166" s="131"/>
      <c r="AQ166" s="130"/>
      <c r="AR166" s="132"/>
    </row>
    <row r="167" spans="1:44" x14ac:dyDescent="0.3">
      <c r="A167" s="126"/>
      <c r="B167" s="127"/>
      <c r="C167" s="127"/>
      <c r="D167" s="127"/>
      <c r="E167" s="126"/>
      <c r="F167" s="126"/>
      <c r="G167" s="126"/>
      <c r="H167" s="128"/>
      <c r="I167" s="126"/>
      <c r="J167" s="126"/>
      <c r="K167" s="128"/>
      <c r="L167" s="128"/>
      <c r="M167" s="128"/>
      <c r="N167" s="129"/>
      <c r="O167" s="130"/>
      <c r="P167" s="131"/>
      <c r="Q167" s="130"/>
      <c r="R167" s="131"/>
      <c r="S167" s="130"/>
      <c r="T167" s="131"/>
      <c r="U167" s="130"/>
      <c r="V167" s="131"/>
      <c r="W167" s="130"/>
      <c r="X167" s="131"/>
      <c r="Y167" s="130"/>
      <c r="Z167" s="131"/>
      <c r="AA167" s="130"/>
      <c r="AB167" s="131"/>
      <c r="AC167" s="130"/>
      <c r="AD167" s="131"/>
      <c r="AE167" s="130"/>
      <c r="AF167" s="131"/>
      <c r="AG167" s="130"/>
      <c r="AH167" s="131"/>
      <c r="AI167" s="130"/>
      <c r="AJ167" s="131"/>
      <c r="AK167" s="130"/>
      <c r="AL167" s="131"/>
      <c r="AM167" s="130"/>
      <c r="AN167" s="131"/>
      <c r="AO167" s="130"/>
      <c r="AP167" s="131"/>
      <c r="AQ167" s="130"/>
      <c r="AR167" s="132"/>
    </row>
    <row r="168" spans="1:44" x14ac:dyDescent="0.3">
      <c r="A168" s="126"/>
      <c r="B168" s="127"/>
      <c r="C168" s="127"/>
      <c r="D168" s="127"/>
      <c r="E168" s="126"/>
      <c r="F168" s="126"/>
      <c r="G168" s="126"/>
      <c r="H168" s="128"/>
      <c r="I168" s="126"/>
      <c r="J168" s="126"/>
      <c r="K168" s="128"/>
      <c r="L168" s="128"/>
      <c r="M168" s="128"/>
      <c r="N168" s="129"/>
      <c r="O168" s="130"/>
      <c r="P168" s="131"/>
      <c r="Q168" s="130"/>
      <c r="R168" s="131"/>
      <c r="S168" s="130"/>
      <c r="T168" s="131"/>
      <c r="U168" s="130"/>
      <c r="V168" s="131"/>
      <c r="W168" s="130"/>
      <c r="X168" s="131"/>
      <c r="Y168" s="130"/>
      <c r="Z168" s="131"/>
      <c r="AA168" s="130"/>
      <c r="AB168" s="131"/>
      <c r="AC168" s="130"/>
      <c r="AD168" s="131"/>
      <c r="AE168" s="130"/>
      <c r="AF168" s="131"/>
      <c r="AG168" s="130"/>
      <c r="AH168" s="131"/>
      <c r="AI168" s="130"/>
      <c r="AJ168" s="131"/>
      <c r="AK168" s="130"/>
      <c r="AL168" s="131"/>
      <c r="AM168" s="130"/>
      <c r="AN168" s="131"/>
      <c r="AO168" s="130"/>
      <c r="AP168" s="131"/>
      <c r="AQ168" s="130"/>
      <c r="AR168" s="132"/>
    </row>
    <row r="169" spans="1:44" x14ac:dyDescent="0.3">
      <c r="A169" s="126"/>
      <c r="B169" s="127"/>
      <c r="C169" s="127"/>
      <c r="D169" s="127"/>
      <c r="E169" s="126"/>
      <c r="F169" s="126"/>
      <c r="G169" s="126"/>
      <c r="H169" s="128"/>
      <c r="I169" s="126"/>
      <c r="J169" s="126"/>
      <c r="K169" s="128"/>
      <c r="L169" s="128"/>
      <c r="M169" s="128"/>
      <c r="N169" s="129"/>
      <c r="O169" s="130"/>
      <c r="P169" s="131"/>
      <c r="Q169" s="130"/>
      <c r="R169" s="131"/>
      <c r="S169" s="130"/>
      <c r="T169" s="131"/>
      <c r="U169" s="130"/>
      <c r="V169" s="131"/>
      <c r="W169" s="130"/>
      <c r="X169" s="131"/>
      <c r="Y169" s="130"/>
      <c r="Z169" s="131"/>
      <c r="AA169" s="130"/>
      <c r="AB169" s="131"/>
      <c r="AC169" s="130"/>
      <c r="AD169" s="131"/>
      <c r="AE169" s="130"/>
      <c r="AF169" s="131"/>
      <c r="AG169" s="130"/>
      <c r="AH169" s="131"/>
      <c r="AI169" s="130"/>
      <c r="AJ169" s="131"/>
      <c r="AK169" s="130"/>
      <c r="AL169" s="131"/>
      <c r="AM169" s="130"/>
      <c r="AN169" s="131"/>
      <c r="AO169" s="130"/>
      <c r="AP169" s="131"/>
      <c r="AQ169" s="130"/>
      <c r="AR169" s="132"/>
    </row>
    <row r="170" spans="1:44" x14ac:dyDescent="0.3">
      <c r="A170" s="126"/>
      <c r="B170" s="127"/>
      <c r="C170" s="127"/>
      <c r="D170" s="127"/>
      <c r="E170" s="126"/>
      <c r="F170" s="126"/>
      <c r="G170" s="126"/>
      <c r="H170" s="128"/>
      <c r="I170" s="126"/>
      <c r="J170" s="126"/>
      <c r="K170" s="128"/>
      <c r="L170" s="128"/>
      <c r="M170" s="128"/>
      <c r="N170" s="129"/>
      <c r="O170" s="130"/>
      <c r="P170" s="131"/>
      <c r="Q170" s="130"/>
      <c r="R170" s="131"/>
      <c r="S170" s="130"/>
      <c r="T170" s="131"/>
      <c r="U170" s="130"/>
      <c r="V170" s="131"/>
      <c r="W170" s="130"/>
      <c r="X170" s="131"/>
      <c r="Y170" s="130"/>
      <c r="Z170" s="131"/>
      <c r="AA170" s="130"/>
      <c r="AB170" s="131"/>
      <c r="AC170" s="130"/>
      <c r="AD170" s="131"/>
      <c r="AE170" s="130"/>
      <c r="AF170" s="131"/>
      <c r="AG170" s="130"/>
      <c r="AH170" s="131"/>
      <c r="AI170" s="130"/>
      <c r="AJ170" s="131"/>
      <c r="AK170" s="130"/>
      <c r="AL170" s="131"/>
      <c r="AM170" s="130"/>
      <c r="AN170" s="131"/>
      <c r="AO170" s="130"/>
      <c r="AP170" s="131"/>
      <c r="AQ170" s="130"/>
      <c r="AR170" s="132"/>
    </row>
    <row r="171" spans="1:44" x14ac:dyDescent="0.3">
      <c r="A171" s="126"/>
      <c r="B171" s="127"/>
      <c r="C171" s="127"/>
      <c r="D171" s="127"/>
      <c r="E171" s="126"/>
      <c r="F171" s="126"/>
      <c r="G171" s="126"/>
      <c r="H171" s="128"/>
      <c r="I171" s="126"/>
      <c r="J171" s="126"/>
      <c r="K171" s="128"/>
      <c r="L171" s="128"/>
      <c r="M171" s="128"/>
      <c r="N171" s="129"/>
      <c r="O171" s="130"/>
      <c r="P171" s="131"/>
      <c r="Q171" s="130"/>
      <c r="R171" s="131"/>
      <c r="S171" s="130"/>
      <c r="T171" s="131"/>
      <c r="U171" s="130"/>
      <c r="V171" s="131"/>
      <c r="W171" s="130"/>
      <c r="X171" s="131"/>
      <c r="Y171" s="130"/>
      <c r="Z171" s="131"/>
      <c r="AA171" s="130"/>
      <c r="AB171" s="131"/>
      <c r="AC171" s="130"/>
      <c r="AD171" s="131"/>
      <c r="AE171" s="130"/>
      <c r="AF171" s="131"/>
      <c r="AG171" s="130"/>
      <c r="AH171" s="131"/>
      <c r="AI171" s="130"/>
      <c r="AJ171" s="131"/>
      <c r="AK171" s="130"/>
      <c r="AL171" s="131"/>
      <c r="AM171" s="130"/>
      <c r="AN171" s="131"/>
      <c r="AO171" s="130"/>
      <c r="AP171" s="131"/>
      <c r="AQ171" s="130"/>
      <c r="AR171" s="132"/>
    </row>
    <row r="172" spans="1:44" x14ac:dyDescent="0.3">
      <c r="A172" s="126"/>
      <c r="B172" s="127"/>
      <c r="C172" s="127"/>
      <c r="D172" s="127"/>
      <c r="E172" s="126"/>
      <c r="F172" s="126"/>
      <c r="G172" s="126"/>
      <c r="H172" s="128"/>
      <c r="I172" s="126"/>
      <c r="J172" s="126"/>
      <c r="K172" s="128"/>
      <c r="L172" s="128"/>
      <c r="M172" s="128"/>
      <c r="N172" s="129"/>
      <c r="O172" s="130"/>
      <c r="P172" s="131"/>
      <c r="Q172" s="130"/>
      <c r="R172" s="131"/>
      <c r="S172" s="130"/>
      <c r="T172" s="131"/>
      <c r="U172" s="130"/>
      <c r="V172" s="131"/>
      <c r="W172" s="130"/>
      <c r="X172" s="131"/>
      <c r="Y172" s="130"/>
      <c r="Z172" s="131"/>
      <c r="AA172" s="130"/>
      <c r="AB172" s="131"/>
      <c r="AC172" s="130"/>
      <c r="AD172" s="131"/>
      <c r="AE172" s="130"/>
      <c r="AF172" s="131"/>
      <c r="AG172" s="130"/>
      <c r="AH172" s="131"/>
      <c r="AI172" s="130"/>
      <c r="AJ172" s="131"/>
      <c r="AK172" s="130"/>
      <c r="AL172" s="131"/>
      <c r="AM172" s="130"/>
      <c r="AN172" s="131"/>
      <c r="AO172" s="130"/>
      <c r="AP172" s="131"/>
      <c r="AQ172" s="130"/>
      <c r="AR172" s="132"/>
    </row>
    <row r="173" spans="1:44" x14ac:dyDescent="0.3">
      <c r="A173" s="126"/>
      <c r="B173" s="127"/>
      <c r="C173" s="127"/>
      <c r="D173" s="127"/>
      <c r="E173" s="126"/>
      <c r="F173" s="126"/>
      <c r="G173" s="126"/>
      <c r="H173" s="128"/>
      <c r="I173" s="126"/>
      <c r="J173" s="126"/>
      <c r="K173" s="128"/>
      <c r="L173" s="128"/>
      <c r="M173" s="128"/>
      <c r="N173" s="129"/>
      <c r="O173" s="130"/>
      <c r="P173" s="131"/>
      <c r="Q173" s="130"/>
      <c r="R173" s="131"/>
      <c r="S173" s="130"/>
      <c r="T173" s="131"/>
      <c r="U173" s="130"/>
      <c r="V173" s="131"/>
      <c r="W173" s="130"/>
      <c r="X173" s="131"/>
      <c r="Y173" s="130"/>
      <c r="Z173" s="131"/>
      <c r="AA173" s="130"/>
      <c r="AB173" s="131"/>
      <c r="AC173" s="130"/>
      <c r="AD173" s="131"/>
      <c r="AE173" s="130"/>
      <c r="AF173" s="131"/>
      <c r="AG173" s="130"/>
      <c r="AH173" s="131"/>
      <c r="AI173" s="130"/>
      <c r="AJ173" s="131"/>
      <c r="AK173" s="130"/>
      <c r="AL173" s="131"/>
      <c r="AM173" s="130"/>
      <c r="AN173" s="131"/>
      <c r="AO173" s="130"/>
      <c r="AP173" s="131"/>
      <c r="AQ173" s="130"/>
      <c r="AR173" s="132"/>
    </row>
    <row r="174" spans="1:44" x14ac:dyDescent="0.3">
      <c r="A174" s="126"/>
      <c r="B174" s="127"/>
      <c r="C174" s="127"/>
      <c r="D174" s="127"/>
      <c r="E174" s="126"/>
      <c r="F174" s="126"/>
      <c r="G174" s="126"/>
      <c r="H174" s="128"/>
      <c r="I174" s="126"/>
      <c r="J174" s="126"/>
      <c r="K174" s="128"/>
      <c r="L174" s="128"/>
      <c r="M174" s="128"/>
      <c r="N174" s="129"/>
      <c r="O174" s="130"/>
      <c r="P174" s="131"/>
      <c r="Q174" s="130"/>
      <c r="R174" s="131"/>
      <c r="S174" s="130"/>
      <c r="T174" s="131"/>
      <c r="U174" s="130"/>
      <c r="V174" s="131"/>
      <c r="W174" s="130"/>
      <c r="X174" s="131"/>
      <c r="Y174" s="130"/>
      <c r="Z174" s="131"/>
      <c r="AA174" s="130"/>
      <c r="AB174" s="131"/>
      <c r="AC174" s="130"/>
      <c r="AD174" s="131"/>
      <c r="AE174" s="130"/>
      <c r="AF174" s="131"/>
      <c r="AG174" s="130"/>
      <c r="AH174" s="131"/>
      <c r="AI174" s="130"/>
      <c r="AJ174" s="131"/>
      <c r="AK174" s="130"/>
      <c r="AL174" s="131"/>
      <c r="AM174" s="130"/>
      <c r="AN174" s="131"/>
      <c r="AO174" s="130"/>
      <c r="AP174" s="131"/>
      <c r="AQ174" s="130"/>
      <c r="AR174" s="132"/>
    </row>
    <row r="175" spans="1:44" x14ac:dyDescent="0.3">
      <c r="A175" s="126"/>
      <c r="B175" s="127"/>
      <c r="C175" s="127"/>
      <c r="D175" s="127"/>
      <c r="E175" s="126"/>
      <c r="F175" s="126"/>
      <c r="G175" s="126"/>
      <c r="H175" s="128"/>
      <c r="I175" s="126"/>
      <c r="J175" s="126"/>
      <c r="K175" s="128"/>
      <c r="L175" s="128"/>
      <c r="M175" s="128"/>
      <c r="N175" s="129"/>
      <c r="O175" s="130"/>
      <c r="P175" s="131"/>
      <c r="Q175" s="130"/>
      <c r="R175" s="131"/>
      <c r="S175" s="130"/>
      <c r="T175" s="131"/>
      <c r="U175" s="130"/>
      <c r="V175" s="131"/>
      <c r="W175" s="130"/>
      <c r="X175" s="131"/>
      <c r="Y175" s="130"/>
      <c r="Z175" s="131"/>
      <c r="AA175" s="130"/>
      <c r="AB175" s="131"/>
      <c r="AC175" s="130"/>
      <c r="AD175" s="131"/>
      <c r="AE175" s="130"/>
      <c r="AF175" s="131"/>
      <c r="AG175" s="130"/>
      <c r="AH175" s="131"/>
      <c r="AI175" s="130"/>
      <c r="AJ175" s="131"/>
      <c r="AK175" s="130"/>
      <c r="AL175" s="131"/>
      <c r="AM175" s="130"/>
      <c r="AN175" s="131"/>
      <c r="AO175" s="130"/>
      <c r="AP175" s="131"/>
      <c r="AQ175" s="130"/>
      <c r="AR175" s="132"/>
    </row>
    <row r="176" spans="1:44" x14ac:dyDescent="0.3">
      <c r="A176" s="126"/>
      <c r="B176" s="127"/>
      <c r="C176" s="127"/>
      <c r="D176" s="127"/>
      <c r="E176" s="126"/>
      <c r="F176" s="126"/>
      <c r="G176" s="126"/>
      <c r="H176" s="128"/>
      <c r="I176" s="126"/>
      <c r="J176" s="126"/>
      <c r="K176" s="128"/>
      <c r="L176" s="128"/>
      <c r="M176" s="128"/>
      <c r="N176" s="129"/>
      <c r="O176" s="130"/>
      <c r="P176" s="131"/>
      <c r="Q176" s="130"/>
      <c r="R176" s="131"/>
      <c r="S176" s="130"/>
      <c r="T176" s="131"/>
      <c r="U176" s="130"/>
      <c r="V176" s="131"/>
      <c r="W176" s="130"/>
      <c r="X176" s="131"/>
      <c r="Y176" s="130"/>
      <c r="Z176" s="131"/>
      <c r="AA176" s="130"/>
      <c r="AB176" s="131"/>
      <c r="AC176" s="130"/>
      <c r="AD176" s="131"/>
      <c r="AE176" s="130"/>
      <c r="AF176" s="131"/>
      <c r="AG176" s="130"/>
      <c r="AH176" s="131"/>
      <c r="AI176" s="130"/>
      <c r="AJ176" s="131"/>
      <c r="AK176" s="130"/>
      <c r="AL176" s="131"/>
      <c r="AM176" s="130"/>
      <c r="AN176" s="131"/>
      <c r="AO176" s="130"/>
      <c r="AP176" s="131"/>
      <c r="AQ176" s="130"/>
      <c r="AR176" s="132"/>
    </row>
    <row r="177" spans="1:44" x14ac:dyDescent="0.3">
      <c r="A177" s="126"/>
      <c r="B177" s="127"/>
      <c r="C177" s="127"/>
      <c r="D177" s="127"/>
      <c r="E177" s="126"/>
      <c r="F177" s="126"/>
      <c r="G177" s="126"/>
      <c r="H177" s="128"/>
      <c r="I177" s="126"/>
      <c r="J177" s="126"/>
      <c r="K177" s="128"/>
      <c r="L177" s="128"/>
      <c r="M177" s="128"/>
      <c r="N177" s="129"/>
      <c r="O177" s="130"/>
      <c r="P177" s="131"/>
      <c r="Q177" s="130"/>
      <c r="R177" s="131"/>
      <c r="S177" s="130"/>
      <c r="T177" s="131"/>
      <c r="U177" s="130"/>
      <c r="V177" s="131"/>
      <c r="W177" s="130"/>
      <c r="X177" s="131"/>
      <c r="Y177" s="130"/>
      <c r="Z177" s="131"/>
      <c r="AA177" s="130"/>
      <c r="AB177" s="131"/>
      <c r="AC177" s="130"/>
      <c r="AD177" s="131"/>
      <c r="AE177" s="130"/>
      <c r="AF177" s="131"/>
      <c r="AG177" s="130"/>
      <c r="AH177" s="131"/>
      <c r="AI177" s="130"/>
      <c r="AJ177" s="131"/>
      <c r="AK177" s="130"/>
      <c r="AL177" s="131"/>
      <c r="AM177" s="130"/>
      <c r="AN177" s="131"/>
      <c r="AO177" s="130"/>
      <c r="AP177" s="131"/>
      <c r="AQ177" s="130"/>
      <c r="AR177" s="132"/>
    </row>
    <row r="178" spans="1:44" x14ac:dyDescent="0.3">
      <c r="A178" s="126"/>
      <c r="B178" s="127"/>
      <c r="C178" s="127"/>
      <c r="D178" s="127"/>
      <c r="E178" s="126"/>
      <c r="F178" s="126"/>
      <c r="G178" s="126"/>
      <c r="H178" s="128"/>
      <c r="I178" s="126"/>
      <c r="J178" s="126"/>
      <c r="K178" s="128"/>
      <c r="L178" s="128"/>
      <c r="M178" s="128"/>
      <c r="N178" s="129"/>
      <c r="O178" s="130"/>
      <c r="P178" s="131"/>
      <c r="Q178" s="130"/>
      <c r="R178" s="131"/>
      <c r="S178" s="130"/>
      <c r="T178" s="131"/>
      <c r="U178" s="130"/>
      <c r="V178" s="131"/>
      <c r="W178" s="130"/>
      <c r="X178" s="131"/>
      <c r="Y178" s="130"/>
      <c r="Z178" s="131"/>
      <c r="AA178" s="130"/>
      <c r="AB178" s="131"/>
      <c r="AC178" s="130"/>
      <c r="AD178" s="131"/>
      <c r="AE178" s="130"/>
      <c r="AF178" s="131"/>
      <c r="AG178" s="130"/>
      <c r="AH178" s="131"/>
      <c r="AI178" s="130"/>
      <c r="AJ178" s="131"/>
      <c r="AK178" s="130"/>
      <c r="AL178" s="131"/>
      <c r="AM178" s="130"/>
      <c r="AN178" s="131"/>
      <c r="AO178" s="130"/>
      <c r="AP178" s="131"/>
      <c r="AQ178" s="130"/>
      <c r="AR178" s="132"/>
    </row>
    <row r="179" spans="1:44" x14ac:dyDescent="0.3">
      <c r="A179" s="126"/>
      <c r="B179" s="127"/>
      <c r="C179" s="127"/>
      <c r="D179" s="127"/>
      <c r="E179" s="126"/>
      <c r="F179" s="126"/>
      <c r="G179" s="126"/>
      <c r="H179" s="128"/>
      <c r="I179" s="126"/>
      <c r="J179" s="126"/>
      <c r="K179" s="128"/>
      <c r="L179" s="128"/>
      <c r="M179" s="128"/>
      <c r="N179" s="129"/>
      <c r="O179" s="130"/>
      <c r="P179" s="131"/>
      <c r="Q179" s="130"/>
      <c r="R179" s="131"/>
      <c r="S179" s="130"/>
      <c r="T179" s="131"/>
      <c r="U179" s="130"/>
      <c r="V179" s="131"/>
      <c r="W179" s="130"/>
      <c r="X179" s="131"/>
      <c r="Y179" s="130"/>
      <c r="Z179" s="131"/>
      <c r="AA179" s="130"/>
      <c r="AB179" s="131"/>
      <c r="AC179" s="130"/>
      <c r="AD179" s="131"/>
      <c r="AE179" s="130"/>
      <c r="AF179" s="131"/>
      <c r="AG179" s="130"/>
      <c r="AH179" s="131"/>
      <c r="AI179" s="130"/>
      <c r="AJ179" s="131"/>
      <c r="AK179" s="130"/>
      <c r="AL179" s="131"/>
      <c r="AM179" s="130"/>
      <c r="AN179" s="131"/>
      <c r="AO179" s="130"/>
      <c r="AP179" s="131"/>
      <c r="AQ179" s="130"/>
      <c r="AR179" s="132"/>
    </row>
    <row r="180" spans="1:44" x14ac:dyDescent="0.3">
      <c r="A180" s="126"/>
      <c r="B180" s="127"/>
      <c r="C180" s="127"/>
      <c r="D180" s="127"/>
      <c r="E180" s="126"/>
      <c r="F180" s="126"/>
      <c r="G180" s="126"/>
      <c r="H180" s="128"/>
      <c r="I180" s="126"/>
      <c r="J180" s="126"/>
      <c r="K180" s="128"/>
      <c r="L180" s="128"/>
      <c r="M180" s="128"/>
      <c r="N180" s="129"/>
      <c r="O180" s="130"/>
      <c r="P180" s="131"/>
      <c r="Q180" s="130"/>
      <c r="R180" s="131"/>
      <c r="S180" s="130"/>
      <c r="T180" s="131"/>
      <c r="U180" s="130"/>
      <c r="V180" s="131"/>
      <c r="W180" s="130"/>
      <c r="X180" s="131"/>
      <c r="Y180" s="130"/>
      <c r="Z180" s="131"/>
      <c r="AA180" s="130"/>
      <c r="AB180" s="131"/>
      <c r="AC180" s="130"/>
      <c r="AD180" s="131"/>
      <c r="AE180" s="130"/>
      <c r="AF180" s="131"/>
      <c r="AG180" s="130"/>
      <c r="AH180" s="131"/>
      <c r="AI180" s="130"/>
      <c r="AJ180" s="131"/>
      <c r="AK180" s="130"/>
      <c r="AL180" s="131"/>
      <c r="AM180" s="130"/>
      <c r="AN180" s="131"/>
      <c r="AO180" s="130"/>
      <c r="AP180" s="131"/>
      <c r="AQ180" s="130"/>
      <c r="AR180" s="132"/>
    </row>
    <row r="181" spans="1:44" x14ac:dyDescent="0.3">
      <c r="A181" s="126"/>
      <c r="B181" s="127"/>
      <c r="C181" s="127"/>
      <c r="D181" s="127"/>
      <c r="E181" s="126"/>
      <c r="F181" s="126"/>
      <c r="G181" s="126"/>
      <c r="H181" s="128"/>
      <c r="I181" s="126"/>
      <c r="J181" s="126"/>
      <c r="K181" s="128"/>
      <c r="L181" s="128"/>
      <c r="M181" s="128"/>
      <c r="N181" s="129"/>
      <c r="O181" s="130"/>
      <c r="P181" s="131"/>
      <c r="Q181" s="130"/>
      <c r="R181" s="131"/>
      <c r="S181" s="130"/>
      <c r="T181" s="131"/>
      <c r="U181" s="130"/>
      <c r="V181" s="131"/>
      <c r="W181" s="130"/>
      <c r="X181" s="131"/>
      <c r="Y181" s="130"/>
      <c r="Z181" s="131"/>
      <c r="AA181" s="130"/>
      <c r="AB181" s="131"/>
      <c r="AC181" s="130"/>
      <c r="AD181" s="131"/>
      <c r="AE181" s="130"/>
      <c r="AF181" s="131"/>
      <c r="AG181" s="130"/>
      <c r="AH181" s="131"/>
      <c r="AI181" s="130"/>
      <c r="AJ181" s="131"/>
      <c r="AK181" s="130"/>
      <c r="AL181" s="131"/>
      <c r="AM181" s="130"/>
      <c r="AN181" s="131"/>
      <c r="AO181" s="130"/>
      <c r="AP181" s="131"/>
      <c r="AQ181" s="130"/>
      <c r="AR181" s="132"/>
    </row>
    <row r="182" spans="1:44" x14ac:dyDescent="0.3">
      <c r="A182" s="126"/>
      <c r="B182" s="127"/>
      <c r="C182" s="127"/>
      <c r="D182" s="127"/>
      <c r="E182" s="126"/>
      <c r="F182" s="126"/>
      <c r="G182" s="126"/>
      <c r="H182" s="128"/>
      <c r="I182" s="126"/>
      <c r="J182" s="126"/>
      <c r="K182" s="128"/>
      <c r="L182" s="128"/>
      <c r="M182" s="128"/>
      <c r="N182" s="129"/>
      <c r="O182" s="130"/>
      <c r="P182" s="131"/>
      <c r="Q182" s="130"/>
      <c r="R182" s="131"/>
      <c r="S182" s="130"/>
      <c r="T182" s="131"/>
      <c r="U182" s="130"/>
      <c r="V182" s="131"/>
      <c r="W182" s="130"/>
      <c r="X182" s="131"/>
      <c r="Y182" s="130"/>
      <c r="Z182" s="131"/>
      <c r="AA182" s="130"/>
      <c r="AB182" s="131"/>
      <c r="AC182" s="130"/>
      <c r="AD182" s="131"/>
      <c r="AE182" s="130"/>
      <c r="AF182" s="131"/>
      <c r="AG182" s="130"/>
      <c r="AH182" s="131"/>
      <c r="AI182" s="130"/>
      <c r="AJ182" s="131"/>
      <c r="AK182" s="130"/>
      <c r="AL182" s="131"/>
      <c r="AM182" s="130"/>
      <c r="AN182" s="131"/>
      <c r="AO182" s="130"/>
      <c r="AP182" s="131"/>
      <c r="AQ182" s="130"/>
      <c r="AR182" s="132"/>
    </row>
    <row r="183" spans="1:44" x14ac:dyDescent="0.3">
      <c r="A183" s="126"/>
      <c r="B183" s="127"/>
      <c r="C183" s="127"/>
      <c r="D183" s="127"/>
      <c r="E183" s="126"/>
      <c r="F183" s="126"/>
      <c r="G183" s="126"/>
      <c r="H183" s="128"/>
      <c r="I183" s="126"/>
      <c r="J183" s="126"/>
      <c r="K183" s="128"/>
      <c r="L183" s="128"/>
      <c r="M183" s="128"/>
      <c r="N183" s="129"/>
      <c r="O183" s="130"/>
      <c r="P183" s="131"/>
      <c r="Q183" s="130"/>
      <c r="R183" s="131"/>
      <c r="S183" s="130"/>
      <c r="T183" s="131"/>
      <c r="U183" s="130"/>
      <c r="V183" s="131"/>
      <c r="W183" s="130"/>
      <c r="X183" s="131"/>
      <c r="Y183" s="130"/>
      <c r="Z183" s="131"/>
      <c r="AA183" s="130"/>
      <c r="AB183" s="131"/>
      <c r="AC183" s="130"/>
      <c r="AD183" s="131"/>
      <c r="AE183" s="130"/>
      <c r="AF183" s="131"/>
      <c r="AG183" s="130"/>
      <c r="AH183" s="131"/>
      <c r="AI183" s="130"/>
      <c r="AJ183" s="131"/>
      <c r="AK183" s="130"/>
      <c r="AL183" s="131"/>
      <c r="AM183" s="130"/>
      <c r="AN183" s="131"/>
      <c r="AO183" s="130"/>
      <c r="AP183" s="131"/>
      <c r="AQ183" s="130"/>
      <c r="AR183" s="132"/>
    </row>
    <row r="184" spans="1:44" x14ac:dyDescent="0.3">
      <c r="A184" s="126"/>
      <c r="B184" s="127"/>
      <c r="C184" s="127"/>
      <c r="D184" s="127"/>
      <c r="E184" s="126"/>
      <c r="F184" s="126"/>
      <c r="G184" s="126"/>
      <c r="H184" s="128"/>
      <c r="I184" s="126"/>
      <c r="J184" s="126"/>
      <c r="K184" s="128"/>
      <c r="L184" s="128"/>
      <c r="M184" s="128"/>
      <c r="N184" s="129"/>
      <c r="O184" s="130"/>
      <c r="P184" s="131"/>
      <c r="Q184" s="130"/>
      <c r="R184" s="131"/>
      <c r="S184" s="130"/>
      <c r="T184" s="131"/>
      <c r="U184" s="130"/>
      <c r="V184" s="131"/>
      <c r="W184" s="130"/>
      <c r="X184" s="131"/>
      <c r="Y184" s="130"/>
      <c r="Z184" s="131"/>
      <c r="AA184" s="130"/>
      <c r="AB184" s="131"/>
      <c r="AC184" s="130"/>
      <c r="AD184" s="131"/>
      <c r="AE184" s="130"/>
      <c r="AF184" s="131"/>
      <c r="AG184" s="130"/>
      <c r="AH184" s="131"/>
      <c r="AI184" s="130"/>
      <c r="AJ184" s="131"/>
      <c r="AK184" s="130"/>
      <c r="AL184" s="131"/>
      <c r="AM184" s="130"/>
      <c r="AN184" s="131"/>
      <c r="AO184" s="130"/>
      <c r="AP184" s="131"/>
      <c r="AQ184" s="130"/>
      <c r="AR184" s="132"/>
    </row>
    <row r="185" spans="1:44" x14ac:dyDescent="0.3">
      <c r="A185" s="126"/>
      <c r="B185" s="127"/>
      <c r="C185" s="127"/>
      <c r="D185" s="127"/>
      <c r="E185" s="126"/>
      <c r="F185" s="126"/>
      <c r="G185" s="126"/>
      <c r="H185" s="128"/>
      <c r="I185" s="126"/>
      <c r="J185" s="126"/>
      <c r="K185" s="128"/>
      <c r="L185" s="128"/>
      <c r="M185" s="128"/>
      <c r="N185" s="129"/>
      <c r="O185" s="130"/>
      <c r="P185" s="131"/>
      <c r="Q185" s="130"/>
      <c r="R185" s="131"/>
      <c r="S185" s="130"/>
      <c r="T185" s="131"/>
      <c r="U185" s="130"/>
      <c r="V185" s="131"/>
      <c r="W185" s="130"/>
      <c r="X185" s="131"/>
      <c r="Y185" s="130"/>
      <c r="Z185" s="131"/>
      <c r="AA185" s="130"/>
      <c r="AB185" s="131"/>
      <c r="AC185" s="130"/>
      <c r="AD185" s="131"/>
      <c r="AE185" s="130"/>
      <c r="AF185" s="131"/>
      <c r="AG185" s="130"/>
      <c r="AH185" s="131"/>
      <c r="AI185" s="130"/>
      <c r="AJ185" s="131"/>
      <c r="AK185" s="130"/>
      <c r="AL185" s="131"/>
      <c r="AM185" s="130"/>
      <c r="AN185" s="131"/>
      <c r="AO185" s="130"/>
      <c r="AP185" s="131"/>
      <c r="AQ185" s="130"/>
      <c r="AR185" s="132"/>
    </row>
    <row r="186" spans="1:44" x14ac:dyDescent="0.3">
      <c r="A186" s="126"/>
      <c r="B186" s="127"/>
      <c r="C186" s="127"/>
      <c r="D186" s="127"/>
      <c r="E186" s="126"/>
      <c r="F186" s="126"/>
      <c r="G186" s="126"/>
      <c r="H186" s="128"/>
      <c r="I186" s="126"/>
      <c r="J186" s="126"/>
      <c r="K186" s="128"/>
      <c r="L186" s="128"/>
      <c r="M186" s="128"/>
      <c r="N186" s="129"/>
      <c r="O186" s="130"/>
      <c r="P186" s="131"/>
      <c r="Q186" s="130"/>
      <c r="R186" s="131"/>
      <c r="S186" s="130"/>
      <c r="T186" s="131"/>
      <c r="U186" s="130"/>
      <c r="V186" s="131"/>
      <c r="W186" s="130"/>
      <c r="X186" s="131"/>
      <c r="Y186" s="130"/>
      <c r="Z186" s="131"/>
      <c r="AA186" s="130"/>
      <c r="AB186" s="131"/>
      <c r="AC186" s="130"/>
      <c r="AD186" s="131"/>
      <c r="AE186" s="130"/>
      <c r="AF186" s="131"/>
      <c r="AG186" s="130"/>
      <c r="AH186" s="131"/>
      <c r="AI186" s="130"/>
      <c r="AJ186" s="131"/>
      <c r="AK186" s="130"/>
      <c r="AL186" s="131"/>
      <c r="AM186" s="130"/>
      <c r="AN186" s="131"/>
      <c r="AO186" s="130"/>
      <c r="AP186" s="131"/>
      <c r="AQ186" s="130"/>
      <c r="AR186" s="132"/>
    </row>
    <row r="187" spans="1:44" x14ac:dyDescent="0.3">
      <c r="A187" s="126"/>
      <c r="B187" s="127"/>
      <c r="C187" s="127"/>
      <c r="D187" s="127"/>
      <c r="E187" s="126"/>
      <c r="F187" s="126"/>
      <c r="G187" s="126"/>
      <c r="H187" s="128"/>
      <c r="I187" s="126"/>
      <c r="J187" s="126"/>
      <c r="K187" s="128"/>
      <c r="L187" s="128"/>
      <c r="M187" s="128"/>
      <c r="N187" s="129"/>
      <c r="O187" s="130"/>
      <c r="P187" s="131"/>
      <c r="Q187" s="130"/>
      <c r="R187" s="131"/>
      <c r="S187" s="130"/>
      <c r="T187" s="131"/>
      <c r="U187" s="130"/>
      <c r="V187" s="131"/>
      <c r="W187" s="130"/>
      <c r="X187" s="131"/>
      <c r="Y187" s="130"/>
      <c r="Z187" s="131"/>
      <c r="AA187" s="130"/>
      <c r="AB187" s="131"/>
      <c r="AC187" s="130"/>
      <c r="AD187" s="131"/>
      <c r="AE187" s="130"/>
      <c r="AF187" s="131"/>
      <c r="AG187" s="130"/>
      <c r="AH187" s="131"/>
      <c r="AI187" s="130"/>
      <c r="AJ187" s="131"/>
      <c r="AK187" s="130"/>
      <c r="AL187" s="131"/>
      <c r="AM187" s="130"/>
      <c r="AN187" s="131"/>
      <c r="AO187" s="130"/>
      <c r="AP187" s="131"/>
      <c r="AQ187" s="130"/>
      <c r="AR187" s="132"/>
    </row>
    <row r="188" spans="1:44" x14ac:dyDescent="0.3">
      <c r="A188" s="126"/>
      <c r="B188" s="127"/>
      <c r="C188" s="127"/>
      <c r="D188" s="127"/>
      <c r="E188" s="126"/>
      <c r="F188" s="126"/>
      <c r="G188" s="126"/>
      <c r="H188" s="128"/>
      <c r="I188" s="126"/>
      <c r="J188" s="126"/>
      <c r="K188" s="128"/>
      <c r="L188" s="128"/>
      <c r="M188" s="128"/>
      <c r="N188" s="129"/>
      <c r="O188" s="130"/>
      <c r="P188" s="131"/>
      <c r="Q188" s="130"/>
      <c r="R188" s="131"/>
      <c r="S188" s="130"/>
      <c r="T188" s="131"/>
      <c r="U188" s="130"/>
      <c r="V188" s="131"/>
      <c r="W188" s="130"/>
      <c r="X188" s="131"/>
      <c r="Y188" s="130"/>
      <c r="Z188" s="131"/>
      <c r="AA188" s="130"/>
      <c r="AB188" s="131"/>
      <c r="AC188" s="130"/>
      <c r="AD188" s="131"/>
      <c r="AE188" s="130"/>
      <c r="AF188" s="131"/>
      <c r="AG188" s="130"/>
      <c r="AH188" s="131"/>
      <c r="AI188" s="130"/>
      <c r="AJ188" s="131"/>
      <c r="AK188" s="130"/>
      <c r="AL188" s="131"/>
      <c r="AM188" s="130"/>
      <c r="AN188" s="131"/>
      <c r="AO188" s="130"/>
      <c r="AP188" s="131"/>
      <c r="AQ188" s="130"/>
      <c r="AR188" s="132"/>
    </row>
    <row r="189" spans="1:44" x14ac:dyDescent="0.3">
      <c r="A189" s="126"/>
      <c r="B189" s="127"/>
      <c r="C189" s="127"/>
      <c r="D189" s="127"/>
      <c r="E189" s="126"/>
      <c r="F189" s="126"/>
      <c r="G189" s="126"/>
      <c r="H189" s="128"/>
      <c r="I189" s="126"/>
      <c r="J189" s="126"/>
      <c r="K189" s="128"/>
      <c r="L189" s="128"/>
      <c r="M189" s="128"/>
      <c r="N189" s="129"/>
      <c r="O189" s="130"/>
      <c r="P189" s="131"/>
      <c r="Q189" s="130"/>
      <c r="R189" s="131"/>
      <c r="S189" s="130"/>
      <c r="T189" s="131"/>
      <c r="U189" s="130"/>
      <c r="V189" s="131"/>
      <c r="W189" s="130"/>
      <c r="X189" s="131"/>
      <c r="Y189" s="130"/>
      <c r="Z189" s="131"/>
      <c r="AA189" s="130"/>
      <c r="AB189" s="131"/>
      <c r="AC189" s="130"/>
      <c r="AD189" s="131"/>
      <c r="AE189" s="130"/>
      <c r="AF189" s="131"/>
      <c r="AG189" s="130"/>
      <c r="AH189" s="131"/>
      <c r="AI189" s="130"/>
      <c r="AJ189" s="131"/>
      <c r="AK189" s="130"/>
      <c r="AL189" s="131"/>
      <c r="AM189" s="130"/>
      <c r="AN189" s="131"/>
      <c r="AO189" s="130"/>
      <c r="AP189" s="131"/>
      <c r="AQ189" s="130"/>
      <c r="AR189" s="132"/>
    </row>
    <row r="190" spans="1:44" x14ac:dyDescent="0.3">
      <c r="A190" s="126"/>
      <c r="B190" s="127"/>
      <c r="C190" s="127"/>
      <c r="D190" s="127"/>
      <c r="E190" s="126"/>
      <c r="F190" s="126"/>
      <c r="G190" s="126"/>
      <c r="H190" s="128"/>
      <c r="I190" s="126"/>
      <c r="J190" s="126"/>
      <c r="K190" s="128"/>
      <c r="L190" s="128"/>
      <c r="M190" s="128"/>
      <c r="N190" s="129"/>
      <c r="O190" s="130"/>
      <c r="P190" s="131"/>
      <c r="Q190" s="130"/>
      <c r="R190" s="131"/>
      <c r="S190" s="130"/>
      <c r="T190" s="131"/>
      <c r="U190" s="130"/>
      <c r="V190" s="131"/>
      <c r="W190" s="130"/>
      <c r="X190" s="131"/>
      <c r="Y190" s="130"/>
      <c r="Z190" s="131"/>
      <c r="AA190" s="130"/>
      <c r="AB190" s="131"/>
      <c r="AC190" s="130"/>
      <c r="AD190" s="131"/>
      <c r="AE190" s="130"/>
      <c r="AF190" s="131"/>
      <c r="AG190" s="130"/>
      <c r="AH190" s="131"/>
      <c r="AI190" s="130"/>
      <c r="AJ190" s="131"/>
      <c r="AK190" s="130"/>
      <c r="AL190" s="131"/>
      <c r="AM190" s="130"/>
      <c r="AN190" s="131"/>
      <c r="AO190" s="130"/>
      <c r="AP190" s="131"/>
      <c r="AQ190" s="130"/>
      <c r="AR190" s="132"/>
    </row>
    <row r="191" spans="1:44" x14ac:dyDescent="0.3">
      <c r="A191" s="126"/>
      <c r="B191" s="127"/>
      <c r="C191" s="127"/>
      <c r="D191" s="127"/>
      <c r="E191" s="126"/>
      <c r="F191" s="126"/>
      <c r="G191" s="126"/>
      <c r="H191" s="128"/>
      <c r="I191" s="126"/>
      <c r="J191" s="126"/>
      <c r="K191" s="128"/>
      <c r="L191" s="128"/>
      <c r="M191" s="128"/>
      <c r="N191" s="129"/>
      <c r="O191" s="130"/>
      <c r="P191" s="131"/>
      <c r="Q191" s="130"/>
      <c r="R191" s="131"/>
      <c r="S191" s="130"/>
      <c r="T191" s="131"/>
      <c r="U191" s="130"/>
      <c r="V191" s="131"/>
      <c r="W191" s="130"/>
      <c r="X191" s="131"/>
      <c r="Y191" s="130"/>
      <c r="Z191" s="131"/>
      <c r="AA191" s="130"/>
      <c r="AB191" s="131"/>
      <c r="AC191" s="130"/>
      <c r="AD191" s="131"/>
      <c r="AE191" s="130"/>
      <c r="AF191" s="131"/>
      <c r="AG191" s="130"/>
      <c r="AH191" s="131"/>
      <c r="AI191" s="130"/>
      <c r="AJ191" s="131"/>
      <c r="AK191" s="130"/>
      <c r="AL191" s="131"/>
      <c r="AM191" s="130"/>
      <c r="AN191" s="131"/>
      <c r="AO191" s="130"/>
      <c r="AP191" s="131"/>
      <c r="AQ191" s="130"/>
      <c r="AR191" s="132"/>
    </row>
    <row r="192" spans="1:44" x14ac:dyDescent="0.3">
      <c r="A192" s="126"/>
      <c r="B192" s="127"/>
      <c r="C192" s="127"/>
      <c r="D192" s="127"/>
      <c r="E192" s="126"/>
      <c r="F192" s="126"/>
      <c r="G192" s="126"/>
      <c r="H192" s="128"/>
      <c r="I192" s="126"/>
      <c r="J192" s="126"/>
      <c r="K192" s="128"/>
      <c r="L192" s="128"/>
      <c r="M192" s="128"/>
      <c r="N192" s="129"/>
      <c r="O192" s="130"/>
      <c r="P192" s="131"/>
      <c r="Q192" s="130"/>
      <c r="R192" s="131"/>
      <c r="S192" s="130"/>
      <c r="T192" s="131"/>
      <c r="U192" s="130"/>
      <c r="V192" s="131"/>
      <c r="W192" s="130"/>
      <c r="X192" s="131"/>
      <c r="Y192" s="130"/>
      <c r="Z192" s="131"/>
      <c r="AA192" s="130"/>
      <c r="AB192" s="131"/>
      <c r="AC192" s="130"/>
      <c r="AD192" s="131"/>
      <c r="AE192" s="130"/>
      <c r="AF192" s="131"/>
      <c r="AG192" s="130"/>
      <c r="AH192" s="131"/>
      <c r="AI192" s="130"/>
      <c r="AJ192" s="131"/>
      <c r="AK192" s="130"/>
      <c r="AL192" s="131"/>
      <c r="AM192" s="130"/>
      <c r="AN192" s="131"/>
      <c r="AO192" s="130"/>
      <c r="AP192" s="131"/>
      <c r="AQ192" s="130"/>
      <c r="AR192" s="132"/>
    </row>
    <row r="193" spans="1:44" x14ac:dyDescent="0.3">
      <c r="A193" s="126"/>
      <c r="B193" s="127"/>
      <c r="C193" s="127"/>
      <c r="D193" s="127"/>
      <c r="E193" s="126"/>
      <c r="F193" s="126"/>
      <c r="G193" s="126"/>
      <c r="H193" s="128"/>
      <c r="I193" s="126"/>
      <c r="J193" s="126"/>
      <c r="K193" s="128"/>
      <c r="L193" s="128"/>
      <c r="M193" s="128"/>
      <c r="N193" s="129"/>
      <c r="O193" s="130"/>
      <c r="P193" s="131"/>
      <c r="Q193" s="130"/>
      <c r="R193" s="131"/>
      <c r="S193" s="130"/>
      <c r="T193" s="131"/>
      <c r="U193" s="130"/>
      <c r="V193" s="131"/>
      <c r="W193" s="130"/>
      <c r="X193" s="131"/>
      <c r="Y193" s="130"/>
      <c r="Z193" s="131"/>
      <c r="AA193" s="130"/>
      <c r="AB193" s="131"/>
      <c r="AC193" s="130"/>
      <c r="AD193" s="131"/>
      <c r="AE193" s="130"/>
      <c r="AF193" s="131"/>
      <c r="AG193" s="130"/>
      <c r="AH193" s="131"/>
      <c r="AI193" s="130"/>
      <c r="AJ193" s="131"/>
      <c r="AK193" s="130"/>
      <c r="AL193" s="131"/>
      <c r="AM193" s="130"/>
      <c r="AN193" s="131"/>
      <c r="AO193" s="130"/>
      <c r="AP193" s="131"/>
      <c r="AQ193" s="130"/>
      <c r="AR193" s="132"/>
    </row>
    <row r="194" spans="1:44" x14ac:dyDescent="0.3">
      <c r="A194" s="126"/>
      <c r="B194" s="127"/>
      <c r="C194" s="127"/>
      <c r="D194" s="127"/>
      <c r="E194" s="126"/>
      <c r="F194" s="126"/>
      <c r="G194" s="126"/>
      <c r="H194" s="128"/>
      <c r="I194" s="126"/>
      <c r="J194" s="126"/>
      <c r="K194" s="128"/>
      <c r="L194" s="128"/>
      <c r="M194" s="128"/>
      <c r="N194" s="129"/>
      <c r="O194" s="130"/>
      <c r="P194" s="131"/>
      <c r="Q194" s="130"/>
      <c r="R194" s="131"/>
      <c r="S194" s="130"/>
      <c r="T194" s="131"/>
      <c r="U194" s="130"/>
      <c r="V194" s="131"/>
      <c r="W194" s="130"/>
      <c r="X194" s="131"/>
      <c r="Y194" s="130"/>
      <c r="Z194" s="131"/>
      <c r="AA194" s="130"/>
      <c r="AB194" s="131"/>
      <c r="AC194" s="130"/>
      <c r="AD194" s="131"/>
      <c r="AE194" s="130"/>
      <c r="AF194" s="131"/>
      <c r="AG194" s="130"/>
      <c r="AH194" s="131"/>
      <c r="AI194" s="130"/>
      <c r="AJ194" s="131"/>
      <c r="AK194" s="130"/>
      <c r="AL194" s="131"/>
      <c r="AM194" s="130"/>
      <c r="AN194" s="131"/>
      <c r="AO194" s="130"/>
      <c r="AP194" s="131"/>
      <c r="AQ194" s="130"/>
      <c r="AR194" s="132"/>
    </row>
    <row r="195" spans="1:44" x14ac:dyDescent="0.3">
      <c r="A195" s="126"/>
      <c r="B195" s="127"/>
      <c r="C195" s="127"/>
      <c r="D195" s="127"/>
      <c r="E195" s="126"/>
      <c r="F195" s="126"/>
      <c r="G195" s="126"/>
      <c r="H195" s="128"/>
      <c r="I195" s="126"/>
      <c r="J195" s="126"/>
      <c r="K195" s="128"/>
      <c r="L195" s="128"/>
      <c r="M195" s="128"/>
      <c r="N195" s="129"/>
      <c r="O195" s="130"/>
      <c r="P195" s="131"/>
      <c r="Q195" s="130"/>
      <c r="R195" s="131"/>
      <c r="S195" s="130"/>
      <c r="T195" s="131"/>
      <c r="U195" s="130"/>
      <c r="V195" s="131"/>
      <c r="W195" s="130"/>
      <c r="X195" s="131"/>
      <c r="Y195" s="130"/>
      <c r="Z195" s="131"/>
      <c r="AA195" s="130"/>
      <c r="AB195" s="131"/>
      <c r="AC195" s="130"/>
      <c r="AD195" s="131"/>
      <c r="AE195" s="130"/>
      <c r="AF195" s="131"/>
      <c r="AG195" s="130"/>
      <c r="AH195" s="131"/>
      <c r="AI195" s="130"/>
      <c r="AJ195" s="131"/>
      <c r="AK195" s="130"/>
      <c r="AL195" s="131"/>
      <c r="AM195" s="130"/>
      <c r="AN195" s="131"/>
      <c r="AO195" s="130"/>
      <c r="AP195" s="131"/>
      <c r="AQ195" s="130"/>
      <c r="AR195" s="132"/>
    </row>
    <row r="196" spans="1:44" x14ac:dyDescent="0.3">
      <c r="A196" s="126"/>
      <c r="B196" s="127"/>
      <c r="C196" s="127"/>
      <c r="D196" s="127"/>
      <c r="E196" s="126"/>
      <c r="F196" s="126"/>
      <c r="G196" s="126"/>
      <c r="H196" s="128"/>
      <c r="I196" s="126"/>
      <c r="J196" s="126"/>
      <c r="K196" s="128"/>
      <c r="L196" s="128"/>
      <c r="M196" s="128"/>
      <c r="N196" s="129"/>
      <c r="O196" s="130"/>
      <c r="P196" s="131"/>
      <c r="Q196" s="130"/>
      <c r="R196" s="131"/>
      <c r="S196" s="130"/>
      <c r="T196" s="131"/>
      <c r="U196" s="130"/>
      <c r="V196" s="131"/>
      <c r="W196" s="130"/>
      <c r="X196" s="131"/>
      <c r="Y196" s="130"/>
      <c r="Z196" s="131"/>
      <c r="AA196" s="130"/>
      <c r="AB196" s="131"/>
      <c r="AC196" s="130"/>
      <c r="AD196" s="131"/>
      <c r="AE196" s="130"/>
      <c r="AF196" s="131"/>
      <c r="AG196" s="130"/>
      <c r="AH196" s="131"/>
      <c r="AI196" s="130"/>
      <c r="AJ196" s="131"/>
      <c r="AK196" s="130"/>
      <c r="AL196" s="131"/>
      <c r="AM196" s="130"/>
      <c r="AN196" s="131"/>
      <c r="AO196" s="130"/>
      <c r="AP196" s="131"/>
      <c r="AQ196" s="130"/>
      <c r="AR196" s="132"/>
    </row>
    <row r="197" spans="1:44" x14ac:dyDescent="0.3">
      <c r="A197" s="126"/>
      <c r="B197" s="127"/>
      <c r="C197" s="127"/>
      <c r="D197" s="127"/>
      <c r="E197" s="126"/>
      <c r="F197" s="126"/>
      <c r="G197" s="126"/>
      <c r="H197" s="128"/>
      <c r="I197" s="126"/>
      <c r="J197" s="126"/>
      <c r="K197" s="128"/>
      <c r="L197" s="128"/>
      <c r="M197" s="128"/>
      <c r="N197" s="129"/>
      <c r="O197" s="130"/>
      <c r="P197" s="131"/>
      <c r="Q197" s="130"/>
      <c r="R197" s="131"/>
      <c r="S197" s="130"/>
      <c r="T197" s="131"/>
      <c r="U197" s="130"/>
      <c r="V197" s="131"/>
      <c r="W197" s="130"/>
      <c r="X197" s="131"/>
      <c r="Y197" s="130"/>
      <c r="Z197" s="131"/>
      <c r="AA197" s="130"/>
      <c r="AB197" s="131"/>
      <c r="AC197" s="130"/>
      <c r="AD197" s="131"/>
      <c r="AE197" s="130"/>
      <c r="AF197" s="131"/>
      <c r="AG197" s="130"/>
      <c r="AH197" s="131"/>
      <c r="AI197" s="130"/>
      <c r="AJ197" s="131"/>
      <c r="AK197" s="130"/>
      <c r="AL197" s="131"/>
      <c r="AM197" s="130"/>
      <c r="AN197" s="131"/>
      <c r="AO197" s="130"/>
      <c r="AP197" s="131"/>
      <c r="AQ197" s="130"/>
      <c r="AR197" s="132"/>
    </row>
    <row r="198" spans="1:44" x14ac:dyDescent="0.3">
      <c r="A198" s="126"/>
      <c r="B198" s="127"/>
      <c r="C198" s="127"/>
      <c r="D198" s="127"/>
      <c r="E198" s="126"/>
      <c r="F198" s="126"/>
      <c r="G198" s="126"/>
      <c r="H198" s="128"/>
      <c r="I198" s="126"/>
      <c r="J198" s="126"/>
      <c r="K198" s="128"/>
      <c r="L198" s="128"/>
      <c r="M198" s="128"/>
      <c r="N198" s="129"/>
      <c r="O198" s="130"/>
      <c r="P198" s="131"/>
      <c r="Q198" s="130"/>
      <c r="R198" s="131"/>
      <c r="S198" s="130"/>
      <c r="T198" s="131"/>
      <c r="U198" s="130"/>
      <c r="V198" s="131"/>
      <c r="W198" s="130"/>
      <c r="X198" s="131"/>
      <c r="Y198" s="130"/>
      <c r="Z198" s="131"/>
      <c r="AA198" s="130"/>
      <c r="AB198" s="131"/>
      <c r="AC198" s="130"/>
      <c r="AD198" s="131"/>
      <c r="AE198" s="130"/>
      <c r="AF198" s="131"/>
      <c r="AG198" s="130"/>
      <c r="AH198" s="131"/>
      <c r="AI198" s="130"/>
      <c r="AJ198" s="131"/>
      <c r="AK198" s="130"/>
      <c r="AL198" s="131"/>
      <c r="AM198" s="130"/>
      <c r="AN198" s="131"/>
      <c r="AO198" s="130"/>
      <c r="AP198" s="131"/>
      <c r="AQ198" s="130"/>
      <c r="AR198" s="132"/>
    </row>
    <row r="199" spans="1:44" x14ac:dyDescent="0.3">
      <c r="A199" s="126"/>
      <c r="B199" s="127"/>
      <c r="C199" s="127"/>
      <c r="D199" s="127"/>
      <c r="E199" s="126"/>
      <c r="F199" s="126"/>
      <c r="G199" s="126"/>
      <c r="H199" s="128"/>
      <c r="I199" s="126"/>
      <c r="J199" s="126"/>
      <c r="K199" s="128"/>
      <c r="L199" s="128"/>
      <c r="M199" s="128"/>
      <c r="N199" s="129"/>
      <c r="O199" s="130"/>
      <c r="P199" s="131"/>
      <c r="Q199" s="130"/>
      <c r="R199" s="131"/>
      <c r="S199" s="130"/>
      <c r="T199" s="131"/>
      <c r="U199" s="130"/>
      <c r="V199" s="131"/>
      <c r="W199" s="130"/>
      <c r="X199" s="131"/>
      <c r="Y199" s="130"/>
      <c r="Z199" s="131"/>
      <c r="AA199" s="130"/>
      <c r="AB199" s="131"/>
      <c r="AC199" s="130"/>
      <c r="AD199" s="131"/>
      <c r="AE199" s="130"/>
      <c r="AF199" s="131"/>
      <c r="AG199" s="130"/>
      <c r="AH199" s="131"/>
      <c r="AI199" s="130"/>
      <c r="AJ199" s="131"/>
      <c r="AK199" s="130"/>
      <c r="AL199" s="131"/>
      <c r="AM199" s="130"/>
      <c r="AN199" s="131"/>
      <c r="AO199" s="130"/>
      <c r="AP199" s="131"/>
      <c r="AQ199" s="130"/>
      <c r="AR199" s="132"/>
    </row>
    <row r="200" spans="1:44" x14ac:dyDescent="0.3">
      <c r="A200" s="126"/>
      <c r="B200" s="127"/>
      <c r="C200" s="127"/>
      <c r="D200" s="127"/>
      <c r="E200" s="126"/>
      <c r="F200" s="126"/>
      <c r="G200" s="126"/>
      <c r="H200" s="128"/>
      <c r="I200" s="126"/>
      <c r="J200" s="126"/>
      <c r="K200" s="128"/>
      <c r="L200" s="128"/>
      <c r="M200" s="128"/>
      <c r="N200" s="129"/>
      <c r="O200" s="130"/>
      <c r="P200" s="131"/>
      <c r="Q200" s="130"/>
      <c r="R200" s="131"/>
      <c r="S200" s="130"/>
      <c r="T200" s="131"/>
      <c r="U200" s="130"/>
      <c r="V200" s="131"/>
      <c r="W200" s="130"/>
      <c r="X200" s="131"/>
      <c r="Y200" s="130"/>
      <c r="Z200" s="131"/>
      <c r="AA200" s="130"/>
      <c r="AB200" s="131"/>
      <c r="AC200" s="130"/>
      <c r="AD200" s="131"/>
      <c r="AE200" s="130"/>
      <c r="AF200" s="131"/>
      <c r="AG200" s="130"/>
      <c r="AH200" s="131"/>
      <c r="AI200" s="130"/>
      <c r="AJ200" s="131"/>
      <c r="AK200" s="130"/>
      <c r="AL200" s="131"/>
      <c r="AM200" s="130"/>
      <c r="AN200" s="131"/>
      <c r="AO200" s="130"/>
      <c r="AP200" s="131"/>
      <c r="AQ200" s="130"/>
      <c r="AR200" s="132"/>
    </row>
    <row r="201" spans="1:44" x14ac:dyDescent="0.3">
      <c r="A201" s="126"/>
      <c r="B201" s="127"/>
      <c r="C201" s="127"/>
      <c r="D201" s="127"/>
      <c r="E201" s="126"/>
      <c r="F201" s="126"/>
      <c r="G201" s="126"/>
      <c r="H201" s="128"/>
      <c r="I201" s="126"/>
      <c r="J201" s="126"/>
      <c r="K201" s="128"/>
      <c r="L201" s="128"/>
      <c r="M201" s="128"/>
      <c r="N201" s="129"/>
      <c r="O201" s="130"/>
      <c r="P201" s="131"/>
      <c r="Q201" s="130"/>
      <c r="R201" s="131"/>
      <c r="S201" s="130"/>
      <c r="T201" s="131"/>
      <c r="U201" s="130"/>
      <c r="V201" s="131"/>
      <c r="W201" s="130"/>
      <c r="X201" s="131"/>
      <c r="Y201" s="130"/>
      <c r="Z201" s="131"/>
      <c r="AA201" s="130"/>
      <c r="AB201" s="131"/>
      <c r="AC201" s="130"/>
      <c r="AD201" s="131"/>
      <c r="AE201" s="130"/>
      <c r="AF201" s="131"/>
      <c r="AG201" s="130"/>
      <c r="AH201" s="131"/>
      <c r="AI201" s="130"/>
      <c r="AJ201" s="131"/>
      <c r="AK201" s="130"/>
      <c r="AL201" s="131"/>
      <c r="AM201" s="130"/>
      <c r="AN201" s="131"/>
      <c r="AO201" s="130"/>
      <c r="AP201" s="131"/>
      <c r="AQ201" s="130"/>
      <c r="AR201" s="132"/>
    </row>
    <row r="202" spans="1:44" x14ac:dyDescent="0.3">
      <c r="A202" s="126"/>
      <c r="B202" s="127"/>
      <c r="C202" s="127"/>
      <c r="D202" s="127"/>
      <c r="E202" s="126"/>
      <c r="F202" s="126"/>
      <c r="G202" s="126"/>
      <c r="H202" s="128"/>
      <c r="I202" s="126"/>
      <c r="J202" s="126"/>
      <c r="K202" s="128"/>
      <c r="L202" s="128"/>
      <c r="M202" s="128"/>
      <c r="N202" s="129"/>
      <c r="O202" s="130"/>
      <c r="P202" s="131"/>
      <c r="Q202" s="130"/>
      <c r="R202" s="131"/>
      <c r="S202" s="130"/>
      <c r="T202" s="131"/>
      <c r="U202" s="130"/>
      <c r="V202" s="131"/>
      <c r="W202" s="130"/>
      <c r="X202" s="131"/>
      <c r="Y202" s="130"/>
      <c r="Z202" s="131"/>
      <c r="AA202" s="130"/>
      <c r="AB202" s="131"/>
      <c r="AC202" s="130"/>
      <c r="AD202" s="131"/>
      <c r="AE202" s="130"/>
      <c r="AF202" s="131"/>
      <c r="AG202" s="130"/>
      <c r="AH202" s="131"/>
      <c r="AI202" s="130"/>
      <c r="AJ202" s="131"/>
      <c r="AK202" s="130"/>
      <c r="AL202" s="131"/>
      <c r="AM202" s="130"/>
      <c r="AN202" s="131"/>
      <c r="AO202" s="130"/>
      <c r="AP202" s="131"/>
      <c r="AQ202" s="130"/>
      <c r="AR202" s="132"/>
    </row>
  </sheetData>
  <sheetProtection algorithmName="SHA-512" hashValue="PKA5ttX59k6IWxLoEfaYsOq3OqE/SXvI+FiMR9Xe8XURLpWDIRerCX8s4BmBl16fqTRWNut9Y7rfeXvxQ0eTKg==" saltValue="rJ/BxIswpK2Vp1TAM7IGZg==" spinCount="100000" sheet="1" objects="1" scenarios="1"/>
  <conditionalFormatting sqref="A3:B202 F3:F202">
    <cfRule type="expression" dxfId="166" priority="47">
      <formula>AND(COUNTA($A3:$N3)&gt;0,A3="")</formula>
    </cfRule>
  </conditionalFormatting>
  <conditionalFormatting sqref="A3:AR202">
    <cfRule type="expression" dxfId="165" priority="52">
      <formula>AND(COUNTA($A3:$AR3)=0,ROW()&lt;&gt;3)</formula>
    </cfRule>
  </conditionalFormatting>
  <conditionalFormatting sqref="G3:G202">
    <cfRule type="expression" dxfId="164" priority="1">
      <formula>AND(COUNTA($A3:$N3)&gt;0,G3="")</formula>
    </cfRule>
  </conditionalFormatting>
  <conditionalFormatting sqref="J3:J202">
    <cfRule type="expression" dxfId="163" priority="51">
      <formula>OR(I3="",OR(I3="Grid Electricity", I3="Other Non-RE Electricity"))</formula>
    </cfRule>
  </conditionalFormatting>
  <conditionalFormatting sqref="P3:P202">
    <cfRule type="expression" dxfId="162" priority="130">
      <formula>AND($O3="",COUNTA($O3:$P3)=0)</formula>
    </cfRule>
  </conditionalFormatting>
  <conditionalFormatting sqref="R3:R202">
    <cfRule type="expression" dxfId="161" priority="131">
      <formula>AND($Q3="",COUNTA($Q3:$R3)=0)</formula>
    </cfRule>
  </conditionalFormatting>
  <conditionalFormatting sqref="T3:T202">
    <cfRule type="expression" dxfId="160" priority="133">
      <formula>AND($S3="",COUNTA($S3:$T3)=0)</formula>
    </cfRule>
  </conditionalFormatting>
  <conditionalFormatting sqref="V3:V202">
    <cfRule type="expression" dxfId="159" priority="135">
      <formula>AND($U3="",COUNTA($U3:$V3)=0)</formula>
    </cfRule>
  </conditionalFormatting>
  <conditionalFormatting sqref="X3:X202">
    <cfRule type="expression" dxfId="158" priority="137">
      <formula>AND($W3="",COUNTA($W3:$X3)=0)</formula>
    </cfRule>
  </conditionalFormatting>
  <conditionalFormatting sqref="Z3:Z202">
    <cfRule type="expression" dxfId="157" priority="139">
      <formula>AND($Y3="",COUNTA($Y3:$Z3)=0)</formula>
    </cfRule>
  </conditionalFormatting>
  <conditionalFormatting sqref="AB3:AB202">
    <cfRule type="expression" dxfId="156" priority="141">
      <formula>AND($AA3="",COUNTA($AA3:$AB3)=0)</formula>
    </cfRule>
  </conditionalFormatting>
  <conditionalFormatting sqref="AD3:AD202">
    <cfRule type="expression" dxfId="155" priority="143">
      <formula>AND($AC3="",COUNTA($AC3:$AD3)=0)</formula>
    </cfRule>
  </conditionalFormatting>
  <conditionalFormatting sqref="AF3:AF202">
    <cfRule type="expression" dxfId="154" priority="145">
      <formula>AND($AE3="",COUNTA($AE3:$AF3)=0)</formula>
    </cfRule>
  </conditionalFormatting>
  <conditionalFormatting sqref="AH3:AH202">
    <cfRule type="expression" dxfId="153" priority="147">
      <formula>AND($AG3="",COUNTA($AG3:$AH3)=0)</formula>
    </cfRule>
  </conditionalFormatting>
  <conditionalFormatting sqref="AJ3:AJ202">
    <cfRule type="expression" dxfId="152" priority="149">
      <formula>AND($AI3="",COUNTA($AI3:$AJ3)=0)</formula>
    </cfRule>
  </conditionalFormatting>
  <conditionalFormatting sqref="AL3:AL202">
    <cfRule type="expression" dxfId="151" priority="153">
      <formula>AND($AK3="",COUNTA($AK3:$AL3)=0)</formula>
    </cfRule>
  </conditionalFormatting>
  <conditionalFormatting sqref="AN3:AN202">
    <cfRule type="expression" dxfId="150" priority="155">
      <formula>AND($AM3="",COUNTA($AM3:$AN3)=0)</formula>
    </cfRule>
  </conditionalFormatting>
  <conditionalFormatting sqref="AP3:AP202">
    <cfRule type="expression" dxfId="149" priority="157">
      <formula>AND($AO3="",COUNTA($AO3:$AP3)=0)</formula>
    </cfRule>
  </conditionalFormatting>
  <conditionalFormatting sqref="AR3:AR202">
    <cfRule type="expression" dxfId="148" priority="158">
      <formula>AND($AQ3="",COUNTA($AQ3:$AR3)=0)</formula>
    </cfRule>
  </conditionalFormatting>
  <dataValidations count="8">
    <dataValidation type="list" allowBlank="1" showInputMessage="1" showErrorMessage="1" sqref="E3:E202" xr:uid="{0231FE6E-59F3-4D04-A852-B310CB4609F8}">
      <formula1>Options_Calendarizing</formula1>
    </dataValidation>
    <dataValidation type="decimal" operator="greaterThan" allowBlank="1" showInputMessage="1" showErrorMessage="1" sqref="H3:H202" xr:uid="{11C2B4E6-6ACB-4C8D-9D25-50C7EAA232C3}">
      <formula1>0</formula1>
    </dataValidation>
    <dataValidation type="list" allowBlank="1" showInputMessage="1" showErrorMessage="1" sqref="J3:J202" xr:uid="{E83FD9AB-38F8-4EE5-83CA-F56D21E89D60}">
      <formula1>"Yes, No"</formula1>
    </dataValidation>
    <dataValidation type="list" allowBlank="1" showInputMessage="1" showErrorMessage="1" sqref="A3:A202" xr:uid="{296AA203-5412-4C8E-ADCA-D5DE491922D6}">
      <formula1>List_Facilities</formula1>
    </dataValidation>
    <dataValidation type="list" allowBlank="1" showInputMessage="1" showErrorMessage="1" sqref="I3:I202" xr:uid="{EB33454D-8983-4098-8D35-39AD5F98D1CA}">
      <formula1>Options_ElecAgreementType</formula1>
    </dataValidation>
    <dataValidation type="list" allowBlank="1" showInputMessage="1" showErrorMessage="1" sqref="AR3:AR202 P3:P202 R3:R202 T3:T202 V3:V202 X3:X202 Z3:Z202 AB3:AB202 AD3:AD202 AF3:AF202 AH3:AH202 AJ3:AJ202 AL3:AL202 AN3:AN202 AP3:AP202" xr:uid="{05EEEA56-5C36-4DDF-8EF5-377FFECF1B35}">
      <formula1>Options_ElectricityChargeTypes</formula1>
    </dataValidation>
    <dataValidation type="list" allowBlank="1" showInputMessage="1" showErrorMessage="1" sqref="F3:F202" xr:uid="{FF7B9830-7907-4C5B-B747-7DA3B6101CA8}">
      <formula1>Units_ElectricityUse</formula1>
    </dataValidation>
    <dataValidation type="list" allowBlank="1" showInputMessage="1" showErrorMessage="1" sqref="G3:G202" xr:uid="{7B8994B1-715D-4202-A969-A5357AE581DD}">
      <formula1>Units_ElectricityDemand</formula1>
    </dataValidation>
  </dataValidations>
  <pageMargins left="0.7" right="0.7" top="0.75" bottom="0.75" header="0.3" footer="0.3"/>
  <ignoredErrors>
    <ignoredError sqref="P2 V2 T2 R2 Q2 S2 U2 W2:AG2 AH2:AN2 AO2:AQ2" formula="1"/>
  </ignoredErrors>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3538D-FEB0-4FBA-97F5-EE7C302A819F}">
  <sheetPr codeName="Sheet5">
    <tabColor rgb="FF2CA02C"/>
  </sheetPr>
  <dimension ref="A1:AY502"/>
  <sheetViews>
    <sheetView zoomScaleNormal="100" workbookViewId="0">
      <selection activeCell="D2" sqref="D2"/>
    </sheetView>
  </sheetViews>
  <sheetFormatPr defaultColWidth="0" defaultRowHeight="14" zeroHeight="1" x14ac:dyDescent="0.3"/>
  <cols>
    <col min="1" max="1" width="24.7265625" style="45" customWidth="1"/>
    <col min="2" max="2" width="16.7265625" style="59" customWidth="1"/>
    <col min="3" max="4" width="16.7265625" style="108" customWidth="1"/>
    <col min="5" max="5" width="16.7265625" style="113" customWidth="1"/>
    <col min="6" max="6" width="16.7265625" style="108" customWidth="1"/>
    <col min="7" max="50" width="16.7265625" style="45" customWidth="1"/>
    <col min="51" max="51" width="16.7265625" style="49" customWidth="1"/>
    <col min="52" max="16384" width="16.7265625" style="45" hidden="1"/>
  </cols>
  <sheetData>
    <row r="1" spans="1:51" ht="30" customHeight="1" x14ac:dyDescent="0.3">
      <c r="A1" s="50" t="s">
        <v>820</v>
      </c>
      <c r="B1" s="51"/>
      <c r="C1" s="106"/>
      <c r="D1" s="106"/>
      <c r="E1" s="111"/>
      <c r="F1" s="109"/>
      <c r="G1" s="43" t="s">
        <v>790</v>
      </c>
      <c r="H1" s="44"/>
      <c r="I1" s="44"/>
      <c r="J1" s="44"/>
      <c r="K1" s="44"/>
      <c r="L1" s="44"/>
      <c r="M1" s="44"/>
      <c r="N1" s="44"/>
      <c r="O1" s="44"/>
      <c r="P1" s="44"/>
      <c r="Q1" s="44"/>
      <c r="R1" s="44"/>
      <c r="S1" s="44"/>
      <c r="T1" s="44"/>
      <c r="U1" s="44"/>
      <c r="V1" s="44"/>
      <c r="W1" s="44"/>
      <c r="X1" s="44"/>
      <c r="Y1" s="44"/>
      <c r="Z1" s="44"/>
      <c r="AA1" s="44"/>
      <c r="AB1" s="44"/>
      <c r="AC1" s="44"/>
      <c r="AD1" s="44"/>
      <c r="AE1" s="44"/>
      <c r="AF1" s="44"/>
      <c r="AG1" s="44"/>
      <c r="AH1" s="44"/>
      <c r="AI1" s="44"/>
      <c r="AJ1" s="44"/>
      <c r="AK1" s="44"/>
      <c r="AL1" s="44"/>
      <c r="AM1" s="44"/>
      <c r="AN1" s="44"/>
      <c r="AO1" s="44"/>
      <c r="AP1" s="44"/>
      <c r="AQ1" s="44"/>
      <c r="AR1" s="44"/>
      <c r="AS1" s="44"/>
      <c r="AT1" s="44"/>
      <c r="AU1" s="44"/>
      <c r="AV1" s="44"/>
      <c r="AW1" s="44"/>
      <c r="AX1" s="44"/>
      <c r="AY1" s="52"/>
    </row>
    <row r="2" spans="1:51" s="57" customFormat="1" ht="30" customHeight="1" x14ac:dyDescent="0.35">
      <c r="A2" s="99" t="s">
        <v>22</v>
      </c>
      <c r="B2" s="105" t="s">
        <v>30</v>
      </c>
      <c r="C2" s="107" t="s">
        <v>34</v>
      </c>
      <c r="D2" s="107" t="s">
        <v>31</v>
      </c>
      <c r="E2" s="112" t="s">
        <v>32</v>
      </c>
      <c r="F2" s="110" t="s">
        <v>33</v>
      </c>
      <c r="G2" s="54" t="str" cm="1">
        <f>IF(INDEX(List_ChargeNumbers_Electricial, 1, ROUNDUP(COLUMN()/3-2,0)) = 0,"",INDEX(List_ChargeNumbers_Electricial, 2, ROUNDUP(COLUMN()/3-2,0))&amp;" Name")</f>
        <v/>
      </c>
      <c r="H2" s="55" t="str" cm="1">
        <f>IF(INDEX(List_ChargeNumbers_Electricial, 1, ROUNDUP(COLUMN()/3-2,0)) = 0,"",INDEX(List_ChargeNumbers_Electricial, 2, ROUNDUP(COLUMN()/3-2,0))&amp;" Reading")</f>
        <v/>
      </c>
      <c r="I2" s="56" t="str" cm="1">
        <f>IF(INDEX(List_ChargeNumbers_Electricial, 1, ROUNDUP(COLUMN()/3-2,0)) = 0,"",INDEX(List_ChargeNumbers_Electricial, 2, ROUNDUP(COLUMN()/3-2,0))&amp;" Cost")</f>
        <v/>
      </c>
      <c r="J2" s="54" t="str" cm="1">
        <f>IF(INDEX(List_ChargeNumbers_Electricial, 1, ROUNDUP(COLUMN()/3-2,0)) = 0,"",INDEX(List_ChargeNumbers_Electricial, 2, ROUNDUP(COLUMN()/3-2,0))&amp;" Name")</f>
        <v/>
      </c>
      <c r="K2" s="55" t="str" cm="1">
        <f>IF(INDEX(List_ChargeNumbers_Electricial, 1, ROUNDUP(COLUMN()/3-2,0)) = 0,"",INDEX(List_ChargeNumbers_Electricial, 2, ROUNDUP(COLUMN()/3-2,0))&amp;" Reading")</f>
        <v/>
      </c>
      <c r="L2" s="56" t="str" cm="1">
        <f>IF(INDEX(List_ChargeNumbers_Electricial, 1, ROUNDUP(COLUMN()/3-2,0)) = 0,"",INDEX(List_ChargeNumbers_Electricial, 2, ROUNDUP(COLUMN()/3-2,0))&amp;" Cost")</f>
        <v/>
      </c>
      <c r="M2" s="54" t="str" cm="1">
        <f>IF(INDEX(List_ChargeNumbers_Electricial, 1, ROUNDUP(COLUMN()/3-2,0)) = 0,"",INDEX(List_ChargeNumbers_Electricial, 2, ROUNDUP(COLUMN()/3-2,0))&amp;" Name")</f>
        <v/>
      </c>
      <c r="N2" s="55" t="str" cm="1">
        <f>IF(INDEX(List_ChargeNumbers_Electricial, 1, ROUNDUP(COLUMN()/3-2,0)) = 0,"",INDEX(List_ChargeNumbers_Electricial, 2, ROUNDUP(COLUMN()/3-2,0))&amp;" Reading")</f>
        <v/>
      </c>
      <c r="O2" s="56" t="str" cm="1">
        <f>IF(INDEX(List_ChargeNumbers_Electricial, 1, ROUNDUP(COLUMN()/3-2,0)) = 0,"",INDEX(List_ChargeNumbers_Electricial, 2, ROUNDUP(COLUMN()/3-2,0))&amp;" Cost")</f>
        <v/>
      </c>
      <c r="P2" s="54" t="str" cm="1">
        <f>IF(INDEX(List_ChargeNumbers_Electricial, 1, ROUNDUP(COLUMN()/3-2,0)) = 0,"",INDEX(List_ChargeNumbers_Electricial, 2, ROUNDUP(COLUMN()/3-2,0))&amp;" Name")</f>
        <v/>
      </c>
      <c r="Q2" s="55" t="str" cm="1">
        <f>IF(INDEX(List_ChargeNumbers_Electricial, 1, ROUNDUP(COLUMN()/3-2,0)) = 0,"",INDEX(List_ChargeNumbers_Electricial, 2, ROUNDUP(COLUMN()/3-2,0))&amp;" Reading")</f>
        <v/>
      </c>
      <c r="R2" s="56" t="str" cm="1">
        <f>IF(INDEX(List_ChargeNumbers_Electricial, 1, ROUNDUP(COLUMN()/3-2,0)) = 0,"",INDEX(List_ChargeNumbers_Electricial, 2, ROUNDUP(COLUMN()/3-2,0))&amp;" Cost")</f>
        <v/>
      </c>
      <c r="S2" s="54" t="str" cm="1">
        <f>IF(INDEX(List_ChargeNumbers_Electricial, 1, ROUNDUP(COLUMN()/3-2,0)) = 0,"",INDEX(List_ChargeNumbers_Electricial, 2, ROUNDUP(COLUMN()/3-2,0))&amp;" Name")</f>
        <v/>
      </c>
      <c r="T2" s="55" t="str" cm="1">
        <f>IF(INDEX(List_ChargeNumbers_Electricial, 1, ROUNDUP(COLUMN()/3-2,0)) = 0,"",INDEX(List_ChargeNumbers_Electricial, 2, ROUNDUP(COLUMN()/3-2,0))&amp;" Reading")</f>
        <v/>
      </c>
      <c r="U2" s="56" t="str" cm="1">
        <f>IF(INDEX(List_ChargeNumbers_Electricial, 1, ROUNDUP(COLUMN()/3-2,0)) = 0,"",INDEX(List_ChargeNumbers_Electricial, 2, ROUNDUP(COLUMN()/3-2,0))&amp;" Cost")</f>
        <v/>
      </c>
      <c r="V2" s="54" t="str" cm="1">
        <f>IF(INDEX(List_ChargeNumbers_Electricial, 1, ROUNDUP(COLUMN()/3-2,0)) = 0,"",INDEX(List_ChargeNumbers_Electricial, 2, ROUNDUP(COLUMN()/3-2,0))&amp;" Name")</f>
        <v/>
      </c>
      <c r="W2" s="55" t="str" cm="1">
        <f>IF(INDEX(List_ChargeNumbers_Electricial, 1, ROUNDUP(COLUMN()/3-2,0)) = 0,"",INDEX(List_ChargeNumbers_Electricial, 2, ROUNDUP(COLUMN()/3-2,0))&amp;" Reading")</f>
        <v/>
      </c>
      <c r="X2" s="56" t="str" cm="1">
        <f>IF(INDEX(List_ChargeNumbers_Electricial, 1, ROUNDUP(COLUMN()/3-2,0)) = 0,"",INDEX(List_ChargeNumbers_Electricial, 2, ROUNDUP(COLUMN()/3-2,0))&amp;" Cost")</f>
        <v/>
      </c>
      <c r="Y2" s="54" t="str" cm="1">
        <f>IF(INDEX(List_ChargeNumbers_Electricial, 1, ROUNDUP(COLUMN()/3-2,0)) = 0,"",INDEX(List_ChargeNumbers_Electricial, 2, ROUNDUP(COLUMN()/3-2,0))&amp;" Name")</f>
        <v/>
      </c>
      <c r="Z2" s="55" t="str" cm="1">
        <f>IF(INDEX(List_ChargeNumbers_Electricial, 1, ROUNDUP(COLUMN()/3-2,0)) = 0,"",INDEX(List_ChargeNumbers_Electricial, 2, ROUNDUP(COLUMN()/3-2,0))&amp;" Reading")</f>
        <v/>
      </c>
      <c r="AA2" s="56" t="str" cm="1">
        <f>IF(INDEX(List_ChargeNumbers_Electricial, 1, ROUNDUP(COLUMN()/3-2,0)) = 0,"",INDEX(List_ChargeNumbers_Electricial, 2, ROUNDUP(COLUMN()/3-2,0))&amp;" Cost")</f>
        <v/>
      </c>
      <c r="AB2" s="54" t="str" cm="1">
        <f>IF(INDEX(List_ChargeNumbers_Electricial, 1, ROUNDUP(COLUMN()/3-2,0)) = 0,"",INDEX(List_ChargeNumbers_Electricial, 2, ROUNDUP(COLUMN()/3-2,0))&amp;" Name")</f>
        <v/>
      </c>
      <c r="AC2" s="55" t="str" cm="1">
        <f>IF(INDEX(List_ChargeNumbers_Electricial, 1, ROUNDUP(COLUMN()/3-2,0)) = 0,"",INDEX(List_ChargeNumbers_Electricial, 2, ROUNDUP(COLUMN()/3-2,0))&amp;" Reading")</f>
        <v/>
      </c>
      <c r="AD2" s="56" t="str" cm="1">
        <f>IF(INDEX(List_ChargeNumbers_Electricial, 1, ROUNDUP(COLUMN()/3-2,0)) = 0,"",INDEX(List_ChargeNumbers_Electricial, 2, ROUNDUP(COLUMN()/3-2,0))&amp;" Cost")</f>
        <v/>
      </c>
      <c r="AE2" s="54" t="str" cm="1">
        <f>IF(INDEX(List_ChargeNumbers_Electricial, 1, ROUNDUP(COLUMN()/3-2,0)) = 0,"",INDEX(List_ChargeNumbers_Electricial, 2, ROUNDUP(COLUMN()/3-2,0))&amp;" Name")</f>
        <v/>
      </c>
      <c r="AF2" s="55" t="str" cm="1">
        <f>IF(INDEX(List_ChargeNumbers_Electricial, 1, ROUNDUP(COLUMN()/3-2,0)) = 0,"",INDEX(List_ChargeNumbers_Electricial, 2, ROUNDUP(COLUMN()/3-2,0))&amp;" Reading")</f>
        <v/>
      </c>
      <c r="AG2" s="56" t="str" cm="1">
        <f>IF(INDEX(List_ChargeNumbers_Electricial, 1, ROUNDUP(COLUMN()/3-2,0)) = 0,"",INDEX(List_ChargeNumbers_Electricial, 2, ROUNDUP(COLUMN()/3-2,0))&amp;" Cost")</f>
        <v/>
      </c>
      <c r="AH2" s="54" t="str" cm="1">
        <f>IF(INDEX(List_ChargeNumbers_Electricial, 1, ROUNDUP(COLUMN()/3-2,0)) = 0,"",INDEX(List_ChargeNumbers_Electricial, 2, ROUNDUP(COLUMN()/3-2,0))&amp;" Name")</f>
        <v/>
      </c>
      <c r="AI2" s="55" t="str" cm="1">
        <f>IF(INDEX(List_ChargeNumbers_Electricial, 1, ROUNDUP(COLUMN()/3-2,0)) = 0,"",INDEX(List_ChargeNumbers_Electricial, 2, ROUNDUP(COLUMN()/3-2,0))&amp;" Reading")</f>
        <v/>
      </c>
      <c r="AJ2" s="56" t="str" cm="1">
        <f>IF(INDEX(List_ChargeNumbers_Electricial, 1, ROUNDUP(COLUMN()/3-2,0)) = 0,"",INDEX(List_ChargeNumbers_Electricial, 2, ROUNDUP(COLUMN()/3-2,0))&amp;" Cost")</f>
        <v/>
      </c>
      <c r="AK2" s="54" t="str" cm="1">
        <f>IF(INDEX(List_ChargeNumbers_Electricial, 1, ROUNDUP(COLUMN()/3-2,0)) = 0,"",INDEX(List_ChargeNumbers_Electricial, 2, ROUNDUP(COLUMN()/3-2,0))&amp;" Name")</f>
        <v/>
      </c>
      <c r="AL2" s="55" t="str" cm="1">
        <f>IF(INDEX(List_ChargeNumbers_Electricial, 1, ROUNDUP(COLUMN()/3-2,0)) = 0,"",INDEX(List_ChargeNumbers_Electricial, 2, ROUNDUP(COLUMN()/3-2,0))&amp;" Reading")</f>
        <v/>
      </c>
      <c r="AM2" s="56" t="str" cm="1">
        <f>IF(INDEX(List_ChargeNumbers_Electricial, 1, ROUNDUP(COLUMN()/3-2,0)) = 0,"",INDEX(List_ChargeNumbers_Electricial, 2, ROUNDUP(COLUMN()/3-2,0))&amp;" Cost")</f>
        <v/>
      </c>
      <c r="AN2" s="54" t="str" cm="1">
        <f>IF(INDEX(List_ChargeNumbers_Electricial, 1, ROUNDUP(COLUMN()/3-2,0)) = 0,"",INDEX(List_ChargeNumbers_Electricial, 2, ROUNDUP(COLUMN()/3-2,0))&amp;" Name")</f>
        <v/>
      </c>
      <c r="AO2" s="55" t="str" cm="1">
        <f>IF(INDEX(List_ChargeNumbers_Electricial, 1, ROUNDUP(COLUMN()/3-2,0)) = 0,"",INDEX(List_ChargeNumbers_Electricial, 2, ROUNDUP(COLUMN()/3-2,0))&amp;" Reading")</f>
        <v/>
      </c>
      <c r="AP2" s="56" t="str" cm="1">
        <f>IF(INDEX(List_ChargeNumbers_Electricial, 1, ROUNDUP(COLUMN()/3-2,0)) = 0,"",INDEX(List_ChargeNumbers_Electricial, 2, ROUNDUP(COLUMN()/3-2,0))&amp;" Cost")</f>
        <v/>
      </c>
      <c r="AQ2" s="54" t="str" cm="1">
        <f>IF(INDEX(List_ChargeNumbers_Electricial, 1, ROUNDUP(COLUMN()/3-2,0)) = 0,"",INDEX(List_ChargeNumbers_Electricial, 2, ROUNDUP(COLUMN()/3-2,0))&amp;" Name")</f>
        <v/>
      </c>
      <c r="AR2" s="55" t="str" cm="1">
        <f>IF(INDEX(List_ChargeNumbers_Electricial, 1, ROUNDUP(COLUMN()/3-2,0)) = 0,"",INDEX(List_ChargeNumbers_Electricial, 2, ROUNDUP(COLUMN()/3-2,0))&amp;" Reading")</f>
        <v/>
      </c>
      <c r="AS2" s="56" t="str" cm="1">
        <f>IF(INDEX(List_ChargeNumbers_Electricial, 1, ROUNDUP(COLUMN()/3-2,0)) = 0,"",INDEX(List_ChargeNumbers_Electricial, 2, ROUNDUP(COLUMN()/3-2,0))&amp;" Cost")</f>
        <v/>
      </c>
      <c r="AT2" s="54" t="str" cm="1">
        <f>IF(INDEX(List_ChargeNumbers_Electricial, 1, ROUNDUP(COLUMN()/3-2,0)) = 0,"",INDEX(List_ChargeNumbers_Electricial, 2, ROUNDUP(COLUMN()/3-2,0))&amp;" Name")</f>
        <v/>
      </c>
      <c r="AU2" s="55" t="str" cm="1">
        <f>IF(INDEX(List_ChargeNumbers_Electricial, 1, ROUNDUP(COLUMN()/3-2,0)) = 0,"",INDEX(List_ChargeNumbers_Electricial, 2, ROUNDUP(COLUMN()/3-2,0))&amp;" Reading")</f>
        <v/>
      </c>
      <c r="AV2" s="56" t="str" cm="1">
        <f>IF(INDEX(List_ChargeNumbers_Electricial, 1, ROUNDUP(COLUMN()/3-2,0)) = 0,"",INDEX(List_ChargeNumbers_Electricial, 2, ROUNDUP(COLUMN()/3-2,0))&amp;" Cost")</f>
        <v/>
      </c>
      <c r="AW2" s="54" t="str" cm="1">
        <f>IF(INDEX(List_ChargeNumbers_Electricial, 1, ROUNDUP(COLUMN()/3-2,0)) = 0,"",INDEX(List_ChargeNumbers_Electricial, 2, ROUNDUP(COLUMN()/3-2,0))&amp;" Name")</f>
        <v/>
      </c>
      <c r="AX2" s="55" t="str" cm="1">
        <f>IF(INDEX(List_ChargeNumbers_Electricial, 1, ROUNDUP(COLUMN()/3-2,0)) = 0,"",INDEX(List_ChargeNumbers_Electricial, 2, ROUNDUP(COLUMN()/3-2,0))&amp;" Reading")</f>
        <v/>
      </c>
      <c r="AY2" s="56" t="str" cm="1">
        <f>IF(INDEX(List_ChargeNumbers_Electricial, 1, ROUNDUP(COLUMN()/3-2,0)) = 0,"",INDEX(List_ChargeNumbers_Electricial, 2, ROUNDUP(COLUMN()/3-2,0))&amp;" Cost")</f>
        <v/>
      </c>
    </row>
    <row r="3" spans="1:51" x14ac:dyDescent="0.3">
      <c r="A3" s="126"/>
      <c r="B3" s="133"/>
      <c r="C3" s="134"/>
      <c r="D3" s="134"/>
      <c r="E3" s="135"/>
      <c r="F3" s="136"/>
      <c r="G3" s="58" t="str" cm="1">
        <f>IF(ISBLANK($A3),"",INDEX(Array_ElectricalCharges,MATCH($A3,List_ElectricityMeters,0),ROUNDUP(COLUMN()/3,0)-2))</f>
        <v/>
      </c>
      <c r="H3" s="127"/>
      <c r="I3" s="137"/>
      <c r="J3" s="58" t="str" cm="1">
        <f>IF(ISBLANK($A3),"",INDEX(Array_ElectricalCharges,MATCH($A3,List_ElectricityMeters,0),ROUNDUP(COLUMN()/3,0)-2))</f>
        <v/>
      </c>
      <c r="K3" s="127"/>
      <c r="L3" s="137"/>
      <c r="M3" s="58" t="str" cm="1">
        <f>IF(ISBLANK($A3),"",INDEX(Array_ElectricalCharges,MATCH($A3,List_ElectricityMeters,0),ROUNDUP(COLUMN()/3,0)-2))</f>
        <v/>
      </c>
      <c r="N3" s="127"/>
      <c r="O3" s="137"/>
      <c r="P3" s="58" t="str" cm="1">
        <f>IF(ISBLANK($A3),"",INDEX(Array_ElectricalCharges,MATCH($A3,List_ElectricityMeters,0),ROUNDUP(COLUMN()/3,0)-2))</f>
        <v/>
      </c>
      <c r="Q3" s="127"/>
      <c r="R3" s="137"/>
      <c r="S3" s="58" t="str" cm="1">
        <f>IF(ISBLANK($A3),"",INDEX(Array_ElectricalCharges,MATCH($A3,List_ElectricityMeters,0),ROUNDUP(COLUMN()/3,0)-2))</f>
        <v/>
      </c>
      <c r="T3" s="127"/>
      <c r="U3" s="137"/>
      <c r="V3" s="58" t="str" cm="1">
        <f>IF(ISBLANK($A3),"",INDEX(Array_ElectricalCharges,MATCH($A3,List_ElectricityMeters,0),ROUNDUP(COLUMN()/3,0)-2))</f>
        <v/>
      </c>
      <c r="W3" s="127"/>
      <c r="X3" s="137"/>
      <c r="Y3" s="58" t="str" cm="1">
        <f>IF(ISBLANK($A3),"",INDEX(Array_ElectricalCharges,MATCH($A3,List_ElectricityMeters,0),ROUNDUP(COLUMN()/3,0)-2))</f>
        <v/>
      </c>
      <c r="Z3" s="127"/>
      <c r="AA3" s="137"/>
      <c r="AB3" s="58" t="str" cm="1">
        <f>IF(ISBLANK($A3),"",INDEX(Array_ElectricalCharges,MATCH($A3,List_ElectricityMeters,0),ROUNDUP(COLUMN()/3,0)-2))</f>
        <v/>
      </c>
      <c r="AC3" s="127"/>
      <c r="AD3" s="137"/>
      <c r="AE3" s="58" t="str" cm="1">
        <f>IF(ISBLANK($A3),"",INDEX(Array_ElectricalCharges,MATCH($A3,List_ElectricityMeters,0),ROUNDUP(COLUMN()/3,0)-2))</f>
        <v/>
      </c>
      <c r="AF3" s="127"/>
      <c r="AG3" s="137"/>
      <c r="AH3" s="58" t="str" cm="1">
        <f>IF(ISBLANK($A3),"",INDEX(Array_ElectricalCharges,MATCH($A3,List_ElectricityMeters,0),ROUNDUP(COLUMN()/3,0)-2))</f>
        <v/>
      </c>
      <c r="AI3" s="127"/>
      <c r="AJ3" s="137"/>
      <c r="AK3" s="58" t="str" cm="1">
        <f>IF(ISBLANK($A3),"",INDEX(Array_ElectricalCharges,MATCH($A3,List_ElectricityMeters,0),ROUNDUP(COLUMN()/3,0)-2))</f>
        <v/>
      </c>
      <c r="AL3" s="127"/>
      <c r="AM3" s="137"/>
      <c r="AN3" s="58" t="str" cm="1">
        <f>IF(ISBLANK($A3),"",INDEX(Array_ElectricalCharges,MATCH($A3,List_ElectricityMeters,0),ROUNDUP(COLUMN()/3,0)-2))</f>
        <v/>
      </c>
      <c r="AO3" s="127"/>
      <c r="AP3" s="137"/>
      <c r="AQ3" s="58" t="str" cm="1">
        <f>IF(ISBLANK($A3),"",INDEX(Array_ElectricalCharges,MATCH($A3,List_ElectricityMeters,0),ROUNDUP(COLUMN()/3,0)-2))</f>
        <v/>
      </c>
      <c r="AR3" s="127"/>
      <c r="AS3" s="137"/>
      <c r="AT3" s="58" t="str" cm="1">
        <f>IF(ISBLANK($A3),"",INDEX(Array_ElectricalCharges,MATCH($A3,List_ElectricityMeters,0),ROUNDUP(COLUMN()/3,0)-2))</f>
        <v/>
      </c>
      <c r="AU3" s="127"/>
      <c r="AV3" s="137"/>
      <c r="AW3" s="58" t="str" cm="1">
        <f>IF(ISBLANK($A3),"",INDEX(Array_ElectricalCharges,MATCH($A3,List_ElectricityMeters,0),ROUNDUP(COLUMN()/3,0)-2))</f>
        <v/>
      </c>
      <c r="AX3" s="127"/>
      <c r="AY3" s="137"/>
    </row>
    <row r="4" spans="1:51" x14ac:dyDescent="0.3">
      <c r="A4" s="126"/>
      <c r="B4" s="133"/>
      <c r="C4" s="134"/>
      <c r="D4" s="134"/>
      <c r="E4" s="135"/>
      <c r="F4" s="136"/>
      <c r="G4" s="58" t="str" cm="1">
        <f>IF(ISBLANK($A4),"",INDEX(Array_ElectricalCharges,MATCH($A4,List_ElectricityMeters,0),ROUNDUP(COLUMN()/3,0)-2))</f>
        <v/>
      </c>
      <c r="H4" s="127"/>
      <c r="I4" s="137"/>
      <c r="J4" s="58" t="str" cm="1">
        <f>IF(ISBLANK($A4),"",INDEX(Array_ElectricalCharges,MATCH($A4,List_ElectricityMeters,0),ROUNDUP(COLUMN()/3,0)-2))</f>
        <v/>
      </c>
      <c r="K4" s="127"/>
      <c r="L4" s="137"/>
      <c r="M4" s="58" t="str" cm="1">
        <f>IF(ISBLANK($A4),"",INDEX(Array_ElectricalCharges,MATCH($A4,List_ElectricityMeters,0),ROUNDUP(COLUMN()/3,0)-2))</f>
        <v/>
      </c>
      <c r="N4" s="127"/>
      <c r="O4" s="137"/>
      <c r="P4" s="58" t="str" cm="1">
        <f>IF(ISBLANK($A4),"",INDEX(Array_ElectricalCharges,MATCH($A4,List_ElectricityMeters,0),ROUNDUP(COLUMN()/3,0)-2))</f>
        <v/>
      </c>
      <c r="Q4" s="127"/>
      <c r="R4" s="137"/>
      <c r="S4" s="58" t="str" cm="1">
        <f>IF(ISBLANK($A4),"",INDEX(Array_ElectricalCharges,MATCH($A4,List_ElectricityMeters,0),ROUNDUP(COLUMN()/3,0)-2))</f>
        <v/>
      </c>
      <c r="T4" s="127"/>
      <c r="U4" s="137"/>
      <c r="V4" s="58" t="str" cm="1">
        <f>IF(ISBLANK($A4),"",INDEX(Array_ElectricalCharges,MATCH($A4,List_ElectricityMeters,0),ROUNDUP(COLUMN()/3,0)-2))</f>
        <v/>
      </c>
      <c r="W4" s="127"/>
      <c r="X4" s="137"/>
      <c r="Y4" s="58" t="str" cm="1">
        <f>IF(ISBLANK($A4),"",INDEX(Array_ElectricalCharges,MATCH($A4,List_ElectricityMeters,0),ROUNDUP(COLUMN()/3,0)-2))</f>
        <v/>
      </c>
      <c r="Z4" s="127"/>
      <c r="AA4" s="137"/>
      <c r="AB4" s="58" t="str" cm="1">
        <f>IF(ISBLANK($A4),"",INDEX(Array_ElectricalCharges,MATCH($A4,List_ElectricityMeters,0),ROUNDUP(COLUMN()/3,0)-2))</f>
        <v/>
      </c>
      <c r="AC4" s="127"/>
      <c r="AD4" s="137"/>
      <c r="AE4" s="58" t="str" cm="1">
        <f>IF(ISBLANK($A4),"",INDEX(Array_ElectricalCharges,MATCH($A4,List_ElectricityMeters,0),ROUNDUP(COLUMN()/3,0)-2))</f>
        <v/>
      </c>
      <c r="AF4" s="127"/>
      <c r="AG4" s="137"/>
      <c r="AH4" s="58" t="str" cm="1">
        <f>IF(ISBLANK($A4),"",INDEX(Array_ElectricalCharges,MATCH($A4,List_ElectricityMeters,0),ROUNDUP(COLUMN()/3,0)-2))</f>
        <v/>
      </c>
      <c r="AI4" s="127"/>
      <c r="AJ4" s="137"/>
      <c r="AK4" s="58" t="str" cm="1">
        <f>IF(ISBLANK($A4),"",INDEX(Array_ElectricalCharges,MATCH($A4,List_ElectricityMeters,0),ROUNDUP(COLUMN()/3,0)-2))</f>
        <v/>
      </c>
      <c r="AL4" s="127"/>
      <c r="AM4" s="137"/>
      <c r="AN4" s="58" t="str" cm="1">
        <f>IF(ISBLANK($A4),"",INDEX(Array_ElectricalCharges,MATCH($A4,List_ElectricityMeters,0),ROUNDUP(COLUMN()/3,0)-2))</f>
        <v/>
      </c>
      <c r="AO4" s="127"/>
      <c r="AP4" s="137"/>
      <c r="AQ4" s="58" t="str" cm="1">
        <f>IF(ISBLANK($A4),"",INDEX(Array_ElectricalCharges,MATCH($A4,List_ElectricityMeters,0),ROUNDUP(COLUMN()/3,0)-2))</f>
        <v/>
      </c>
      <c r="AR4" s="127"/>
      <c r="AS4" s="137"/>
      <c r="AT4" s="58" t="str" cm="1">
        <f>IF(ISBLANK($A4),"",INDEX(Array_ElectricalCharges,MATCH($A4,List_ElectricityMeters,0),ROUNDUP(COLUMN()/3,0)-2))</f>
        <v/>
      </c>
      <c r="AU4" s="127"/>
      <c r="AV4" s="137"/>
      <c r="AW4" s="58" t="str" cm="1">
        <f>IF(ISBLANK($A4),"",INDEX(Array_ElectricalCharges,MATCH($A4,List_ElectricityMeters,0),ROUNDUP(COLUMN()/3,0)-2))</f>
        <v/>
      </c>
      <c r="AX4" s="127"/>
      <c r="AY4" s="137"/>
    </row>
    <row r="5" spans="1:51" x14ac:dyDescent="0.3">
      <c r="A5" s="126"/>
      <c r="B5" s="133"/>
      <c r="C5" s="134"/>
      <c r="D5" s="134"/>
      <c r="E5" s="135"/>
      <c r="F5" s="136"/>
      <c r="G5" s="58" t="str" cm="1">
        <f>IF(ISBLANK($A5),"",INDEX(Array_ElectricalCharges,MATCH($A5,List_ElectricityMeters,0),ROUNDUP(COLUMN()/3,0)-2))</f>
        <v/>
      </c>
      <c r="H5" s="127"/>
      <c r="I5" s="137"/>
      <c r="J5" s="58" t="str" cm="1">
        <f>IF(ISBLANK($A5),"",INDEX(Array_ElectricalCharges,MATCH($A5,List_ElectricityMeters,0),ROUNDUP(COLUMN()/3,0)-2))</f>
        <v/>
      </c>
      <c r="K5" s="127"/>
      <c r="L5" s="137"/>
      <c r="M5" s="58" t="str" cm="1">
        <f>IF(ISBLANK($A5),"",INDEX(Array_ElectricalCharges,MATCH($A5,List_ElectricityMeters,0),ROUNDUP(COLUMN()/3,0)-2))</f>
        <v/>
      </c>
      <c r="N5" s="127"/>
      <c r="O5" s="137"/>
      <c r="P5" s="58" t="str" cm="1">
        <f>IF(ISBLANK($A5),"",INDEX(Array_ElectricalCharges,MATCH($A5,List_ElectricityMeters,0),ROUNDUP(COLUMN()/3,0)-2))</f>
        <v/>
      </c>
      <c r="Q5" s="127"/>
      <c r="R5" s="137"/>
      <c r="S5" s="58" t="str" cm="1">
        <f>IF(ISBLANK($A5),"",INDEX(Array_ElectricalCharges,MATCH($A5,List_ElectricityMeters,0),ROUNDUP(COLUMN()/3,0)-2))</f>
        <v/>
      </c>
      <c r="T5" s="127"/>
      <c r="U5" s="137"/>
      <c r="V5" s="58" t="str" cm="1">
        <f>IF(ISBLANK($A5),"",INDEX(Array_ElectricalCharges,MATCH($A5,List_ElectricityMeters,0),ROUNDUP(COLUMN()/3,0)-2))</f>
        <v/>
      </c>
      <c r="W5" s="127"/>
      <c r="X5" s="137"/>
      <c r="Y5" s="58" t="str" cm="1">
        <f>IF(ISBLANK($A5),"",INDEX(Array_ElectricalCharges,MATCH($A5,List_ElectricityMeters,0),ROUNDUP(COLUMN()/3,0)-2))</f>
        <v/>
      </c>
      <c r="Z5" s="127"/>
      <c r="AA5" s="137"/>
      <c r="AB5" s="58" t="str" cm="1">
        <f>IF(ISBLANK($A5),"",INDEX(Array_ElectricalCharges,MATCH($A5,List_ElectricityMeters,0),ROUNDUP(COLUMN()/3,0)-2))</f>
        <v/>
      </c>
      <c r="AC5" s="127"/>
      <c r="AD5" s="137"/>
      <c r="AE5" s="58" t="str" cm="1">
        <f>IF(ISBLANK($A5),"",INDEX(Array_ElectricalCharges,MATCH($A5,List_ElectricityMeters,0),ROUNDUP(COLUMN()/3,0)-2))</f>
        <v/>
      </c>
      <c r="AF5" s="127"/>
      <c r="AG5" s="137"/>
      <c r="AH5" s="58" t="str" cm="1">
        <f>IF(ISBLANK($A5),"",INDEX(Array_ElectricalCharges,MATCH($A5,List_ElectricityMeters,0),ROUNDUP(COLUMN()/3,0)-2))</f>
        <v/>
      </c>
      <c r="AI5" s="127"/>
      <c r="AJ5" s="137"/>
      <c r="AK5" s="58" t="str" cm="1">
        <f>IF(ISBLANK($A5),"",INDEX(Array_ElectricalCharges,MATCH($A5,List_ElectricityMeters,0),ROUNDUP(COLUMN()/3,0)-2))</f>
        <v/>
      </c>
      <c r="AL5" s="127"/>
      <c r="AM5" s="137"/>
      <c r="AN5" s="58" t="str" cm="1">
        <f>IF(ISBLANK($A5),"",INDEX(Array_ElectricalCharges,MATCH($A5,List_ElectricityMeters,0),ROUNDUP(COLUMN()/3,0)-2))</f>
        <v/>
      </c>
      <c r="AO5" s="127"/>
      <c r="AP5" s="137"/>
      <c r="AQ5" s="58" t="str" cm="1">
        <f>IF(ISBLANK($A5),"",INDEX(Array_ElectricalCharges,MATCH($A5,List_ElectricityMeters,0),ROUNDUP(COLUMN()/3,0)-2))</f>
        <v/>
      </c>
      <c r="AR5" s="127"/>
      <c r="AS5" s="137"/>
      <c r="AT5" s="58" t="str" cm="1">
        <f>IF(ISBLANK($A5),"",INDEX(Array_ElectricalCharges,MATCH($A5,List_ElectricityMeters,0),ROUNDUP(COLUMN()/3,0)-2))</f>
        <v/>
      </c>
      <c r="AU5" s="127"/>
      <c r="AV5" s="137"/>
      <c r="AW5" s="58" t="str" cm="1">
        <f>IF(ISBLANK($A5),"",INDEX(Array_ElectricalCharges,MATCH($A5,List_ElectricityMeters,0),ROUNDUP(COLUMN()/3,0)-2))</f>
        <v/>
      </c>
      <c r="AX5" s="127"/>
      <c r="AY5" s="137"/>
    </row>
    <row r="6" spans="1:51" x14ac:dyDescent="0.3">
      <c r="A6" s="126"/>
      <c r="B6" s="133"/>
      <c r="C6" s="134"/>
      <c r="D6" s="134"/>
      <c r="E6" s="135"/>
      <c r="F6" s="136"/>
      <c r="G6" s="58" t="str" cm="1">
        <f>IF(ISBLANK($A6),"",INDEX(Array_ElectricalCharges,MATCH($A6,List_ElectricityMeters,0),ROUNDUP(COLUMN()/3,0)-2))</f>
        <v/>
      </c>
      <c r="H6" s="127"/>
      <c r="I6" s="137"/>
      <c r="J6" s="58" t="str" cm="1">
        <f>IF(ISBLANK($A6),"",INDEX(Array_ElectricalCharges,MATCH($A6,List_ElectricityMeters,0),ROUNDUP(COLUMN()/3,0)-2))</f>
        <v/>
      </c>
      <c r="K6" s="127"/>
      <c r="L6" s="137"/>
      <c r="M6" s="58" t="str" cm="1">
        <f>IF(ISBLANK($A6),"",INDEX(Array_ElectricalCharges,MATCH($A6,List_ElectricityMeters,0),ROUNDUP(COLUMN()/3,0)-2))</f>
        <v/>
      </c>
      <c r="N6" s="127"/>
      <c r="O6" s="137"/>
      <c r="P6" s="58" t="str" cm="1">
        <f>IF(ISBLANK($A6),"",INDEX(Array_ElectricalCharges,MATCH($A6,List_ElectricityMeters,0),ROUNDUP(COLUMN()/3,0)-2))</f>
        <v/>
      </c>
      <c r="Q6" s="127"/>
      <c r="R6" s="137"/>
      <c r="S6" s="58" t="str" cm="1">
        <f>IF(ISBLANK($A6),"",INDEX(Array_ElectricalCharges,MATCH($A6,List_ElectricityMeters,0),ROUNDUP(COLUMN()/3,0)-2))</f>
        <v/>
      </c>
      <c r="T6" s="127"/>
      <c r="U6" s="137"/>
      <c r="V6" s="58" t="str" cm="1">
        <f>IF(ISBLANK($A6),"",INDEX(Array_ElectricalCharges,MATCH($A6,List_ElectricityMeters,0),ROUNDUP(COLUMN()/3,0)-2))</f>
        <v/>
      </c>
      <c r="W6" s="127"/>
      <c r="X6" s="137"/>
      <c r="Y6" s="58" t="str" cm="1">
        <f>IF(ISBLANK($A6),"",INDEX(Array_ElectricalCharges,MATCH($A6,List_ElectricityMeters,0),ROUNDUP(COLUMN()/3,0)-2))</f>
        <v/>
      </c>
      <c r="Z6" s="127"/>
      <c r="AA6" s="137"/>
      <c r="AB6" s="58" t="str" cm="1">
        <f>IF(ISBLANK($A6),"",INDEX(Array_ElectricalCharges,MATCH($A6,List_ElectricityMeters,0),ROUNDUP(COLUMN()/3,0)-2))</f>
        <v/>
      </c>
      <c r="AC6" s="127"/>
      <c r="AD6" s="137"/>
      <c r="AE6" s="58" t="str" cm="1">
        <f>IF(ISBLANK($A6),"",INDEX(Array_ElectricalCharges,MATCH($A6,List_ElectricityMeters,0),ROUNDUP(COLUMN()/3,0)-2))</f>
        <v/>
      </c>
      <c r="AF6" s="127"/>
      <c r="AG6" s="137"/>
      <c r="AH6" s="58" t="str" cm="1">
        <f>IF(ISBLANK($A6),"",INDEX(Array_ElectricalCharges,MATCH($A6,List_ElectricityMeters,0),ROUNDUP(COLUMN()/3,0)-2))</f>
        <v/>
      </c>
      <c r="AI6" s="127"/>
      <c r="AJ6" s="137"/>
      <c r="AK6" s="58" t="str" cm="1">
        <f>IF(ISBLANK($A6),"",INDEX(Array_ElectricalCharges,MATCH($A6,List_ElectricityMeters,0),ROUNDUP(COLUMN()/3,0)-2))</f>
        <v/>
      </c>
      <c r="AL6" s="127"/>
      <c r="AM6" s="137"/>
      <c r="AN6" s="58" t="str" cm="1">
        <f>IF(ISBLANK($A6),"",INDEX(Array_ElectricalCharges,MATCH($A6,List_ElectricityMeters,0),ROUNDUP(COLUMN()/3,0)-2))</f>
        <v/>
      </c>
      <c r="AO6" s="127"/>
      <c r="AP6" s="137"/>
      <c r="AQ6" s="58" t="str" cm="1">
        <f>IF(ISBLANK($A6),"",INDEX(Array_ElectricalCharges,MATCH($A6,List_ElectricityMeters,0),ROUNDUP(COLUMN()/3,0)-2))</f>
        <v/>
      </c>
      <c r="AR6" s="127"/>
      <c r="AS6" s="137"/>
      <c r="AT6" s="58" t="str" cm="1">
        <f>IF(ISBLANK($A6),"",INDEX(Array_ElectricalCharges,MATCH($A6,List_ElectricityMeters,0),ROUNDUP(COLUMN()/3,0)-2))</f>
        <v/>
      </c>
      <c r="AU6" s="127"/>
      <c r="AV6" s="137"/>
      <c r="AW6" s="58" t="str" cm="1">
        <f>IF(ISBLANK($A6),"",INDEX(Array_ElectricalCharges,MATCH($A6,List_ElectricityMeters,0),ROUNDUP(COLUMN()/3,0)-2))</f>
        <v/>
      </c>
      <c r="AX6" s="127"/>
      <c r="AY6" s="137"/>
    </row>
    <row r="7" spans="1:51" x14ac:dyDescent="0.3">
      <c r="A7" s="126"/>
      <c r="B7" s="133"/>
      <c r="C7" s="134"/>
      <c r="D7" s="134"/>
      <c r="E7" s="135"/>
      <c r="F7" s="136"/>
      <c r="G7" s="58" t="str" cm="1">
        <f>IF(ISBLANK($A7),"",INDEX(Array_ElectricalCharges,MATCH($A7,List_ElectricityMeters,0),ROUNDUP(COLUMN()/3,0)-2))</f>
        <v/>
      </c>
      <c r="H7" s="127"/>
      <c r="I7" s="137"/>
      <c r="J7" s="58" t="str" cm="1">
        <f>IF(ISBLANK($A7),"",INDEX(Array_ElectricalCharges,MATCH($A7,List_ElectricityMeters,0),ROUNDUP(COLUMN()/3,0)-2))</f>
        <v/>
      </c>
      <c r="K7" s="127"/>
      <c r="L7" s="137"/>
      <c r="M7" s="58" t="str" cm="1">
        <f>IF(ISBLANK($A7),"",INDEX(Array_ElectricalCharges,MATCH($A7,List_ElectricityMeters,0),ROUNDUP(COLUMN()/3,0)-2))</f>
        <v/>
      </c>
      <c r="N7" s="127"/>
      <c r="O7" s="137"/>
      <c r="P7" s="58" t="str" cm="1">
        <f>IF(ISBLANK($A7),"",INDEX(Array_ElectricalCharges,MATCH($A7,List_ElectricityMeters,0),ROUNDUP(COLUMN()/3,0)-2))</f>
        <v/>
      </c>
      <c r="Q7" s="127"/>
      <c r="R7" s="137"/>
      <c r="S7" s="58" t="str" cm="1">
        <f>IF(ISBLANK($A7),"",INDEX(Array_ElectricalCharges,MATCH($A7,List_ElectricityMeters,0),ROUNDUP(COLUMN()/3,0)-2))</f>
        <v/>
      </c>
      <c r="T7" s="127"/>
      <c r="U7" s="137"/>
      <c r="V7" s="58" t="str" cm="1">
        <f>IF(ISBLANK($A7),"",INDEX(Array_ElectricalCharges,MATCH($A7,List_ElectricityMeters,0),ROUNDUP(COLUMN()/3,0)-2))</f>
        <v/>
      </c>
      <c r="W7" s="127"/>
      <c r="X7" s="137"/>
      <c r="Y7" s="58" t="str" cm="1">
        <f>IF(ISBLANK($A7),"",INDEX(Array_ElectricalCharges,MATCH($A7,List_ElectricityMeters,0),ROUNDUP(COLUMN()/3,0)-2))</f>
        <v/>
      </c>
      <c r="Z7" s="127"/>
      <c r="AA7" s="137"/>
      <c r="AB7" s="58" t="str" cm="1">
        <f>IF(ISBLANK($A7),"",INDEX(Array_ElectricalCharges,MATCH($A7,List_ElectricityMeters,0),ROUNDUP(COLUMN()/3,0)-2))</f>
        <v/>
      </c>
      <c r="AC7" s="127"/>
      <c r="AD7" s="137"/>
      <c r="AE7" s="58" t="str" cm="1">
        <f>IF(ISBLANK($A7),"",INDEX(Array_ElectricalCharges,MATCH($A7,List_ElectricityMeters,0),ROUNDUP(COLUMN()/3,0)-2))</f>
        <v/>
      </c>
      <c r="AF7" s="127"/>
      <c r="AG7" s="137"/>
      <c r="AH7" s="58" t="str" cm="1">
        <f>IF(ISBLANK($A7),"",INDEX(Array_ElectricalCharges,MATCH($A7,List_ElectricityMeters,0),ROUNDUP(COLUMN()/3,0)-2))</f>
        <v/>
      </c>
      <c r="AI7" s="127"/>
      <c r="AJ7" s="137"/>
      <c r="AK7" s="58" t="str" cm="1">
        <f>IF(ISBLANK($A7),"",INDEX(Array_ElectricalCharges,MATCH($A7,List_ElectricityMeters,0),ROUNDUP(COLUMN()/3,0)-2))</f>
        <v/>
      </c>
      <c r="AL7" s="127"/>
      <c r="AM7" s="137"/>
      <c r="AN7" s="58" t="str" cm="1">
        <f>IF(ISBLANK($A7),"",INDEX(Array_ElectricalCharges,MATCH($A7,List_ElectricityMeters,0),ROUNDUP(COLUMN()/3,0)-2))</f>
        <v/>
      </c>
      <c r="AO7" s="127"/>
      <c r="AP7" s="137"/>
      <c r="AQ7" s="58" t="str" cm="1">
        <f>IF(ISBLANK($A7),"",INDEX(Array_ElectricalCharges,MATCH($A7,List_ElectricityMeters,0),ROUNDUP(COLUMN()/3,0)-2))</f>
        <v/>
      </c>
      <c r="AR7" s="127"/>
      <c r="AS7" s="137"/>
      <c r="AT7" s="58" t="str" cm="1">
        <f>IF(ISBLANK($A7),"",INDEX(Array_ElectricalCharges,MATCH($A7,List_ElectricityMeters,0),ROUNDUP(COLUMN()/3,0)-2))</f>
        <v/>
      </c>
      <c r="AU7" s="127"/>
      <c r="AV7" s="137"/>
      <c r="AW7" s="58" t="str" cm="1">
        <f>IF(ISBLANK($A7),"",INDEX(Array_ElectricalCharges,MATCH($A7,List_ElectricityMeters,0),ROUNDUP(COLUMN()/3,0)-2))</f>
        <v/>
      </c>
      <c r="AX7" s="127"/>
      <c r="AY7" s="137"/>
    </row>
    <row r="8" spans="1:51" x14ac:dyDescent="0.3">
      <c r="A8" s="126"/>
      <c r="B8" s="133"/>
      <c r="C8" s="134"/>
      <c r="D8" s="134"/>
      <c r="E8" s="135"/>
      <c r="F8" s="136"/>
      <c r="G8" s="58" t="str" cm="1">
        <f>IF(ISBLANK($A8),"",INDEX(Array_ElectricalCharges,MATCH($A8,List_ElectricityMeters,0),ROUNDUP(COLUMN()/3,0)-2))</f>
        <v/>
      </c>
      <c r="H8" s="127"/>
      <c r="I8" s="137"/>
      <c r="J8" s="58" t="str" cm="1">
        <f>IF(ISBLANK($A8),"",INDEX(Array_ElectricalCharges,MATCH($A8,List_ElectricityMeters,0),ROUNDUP(COLUMN()/3,0)-2))</f>
        <v/>
      </c>
      <c r="K8" s="127"/>
      <c r="L8" s="137"/>
      <c r="M8" s="58" t="str" cm="1">
        <f>IF(ISBLANK($A8),"",INDEX(Array_ElectricalCharges,MATCH($A8,List_ElectricityMeters,0),ROUNDUP(COLUMN()/3,0)-2))</f>
        <v/>
      </c>
      <c r="N8" s="127"/>
      <c r="O8" s="137"/>
      <c r="P8" s="58" t="str" cm="1">
        <f>IF(ISBLANK($A8),"",INDEX(Array_ElectricalCharges,MATCH($A8,List_ElectricityMeters,0),ROUNDUP(COLUMN()/3,0)-2))</f>
        <v/>
      </c>
      <c r="Q8" s="127"/>
      <c r="R8" s="137"/>
      <c r="S8" s="58" t="str" cm="1">
        <f>IF(ISBLANK($A8),"",INDEX(Array_ElectricalCharges,MATCH($A8,List_ElectricityMeters,0),ROUNDUP(COLUMN()/3,0)-2))</f>
        <v/>
      </c>
      <c r="T8" s="127"/>
      <c r="U8" s="137"/>
      <c r="V8" s="58" t="str" cm="1">
        <f>IF(ISBLANK($A8),"",INDEX(Array_ElectricalCharges,MATCH($A8,List_ElectricityMeters,0),ROUNDUP(COLUMN()/3,0)-2))</f>
        <v/>
      </c>
      <c r="W8" s="127"/>
      <c r="X8" s="137"/>
      <c r="Y8" s="58" t="str" cm="1">
        <f>IF(ISBLANK($A8),"",INDEX(Array_ElectricalCharges,MATCH($A8,List_ElectricityMeters,0),ROUNDUP(COLUMN()/3,0)-2))</f>
        <v/>
      </c>
      <c r="Z8" s="127"/>
      <c r="AA8" s="137"/>
      <c r="AB8" s="58" t="str" cm="1">
        <f>IF(ISBLANK($A8),"",INDEX(Array_ElectricalCharges,MATCH($A8,List_ElectricityMeters,0),ROUNDUP(COLUMN()/3,0)-2))</f>
        <v/>
      </c>
      <c r="AC8" s="127"/>
      <c r="AD8" s="137"/>
      <c r="AE8" s="58" t="str" cm="1">
        <f>IF(ISBLANK($A8),"",INDEX(Array_ElectricalCharges,MATCH($A8,List_ElectricityMeters,0),ROUNDUP(COLUMN()/3,0)-2))</f>
        <v/>
      </c>
      <c r="AF8" s="127"/>
      <c r="AG8" s="137"/>
      <c r="AH8" s="58" t="str" cm="1">
        <f>IF(ISBLANK($A8),"",INDEX(Array_ElectricalCharges,MATCH($A8,List_ElectricityMeters,0),ROUNDUP(COLUMN()/3,0)-2))</f>
        <v/>
      </c>
      <c r="AI8" s="127"/>
      <c r="AJ8" s="137"/>
      <c r="AK8" s="58" t="str" cm="1">
        <f>IF(ISBLANK($A8),"",INDEX(Array_ElectricalCharges,MATCH($A8,List_ElectricityMeters,0),ROUNDUP(COLUMN()/3,0)-2))</f>
        <v/>
      </c>
      <c r="AL8" s="127"/>
      <c r="AM8" s="137"/>
      <c r="AN8" s="58" t="str" cm="1">
        <f>IF(ISBLANK($A8),"",INDEX(Array_ElectricalCharges,MATCH($A8,List_ElectricityMeters,0),ROUNDUP(COLUMN()/3,0)-2))</f>
        <v/>
      </c>
      <c r="AO8" s="127"/>
      <c r="AP8" s="137"/>
      <c r="AQ8" s="58" t="str" cm="1">
        <f>IF(ISBLANK($A8),"",INDEX(Array_ElectricalCharges,MATCH($A8,List_ElectricityMeters,0),ROUNDUP(COLUMN()/3,0)-2))</f>
        <v/>
      </c>
      <c r="AR8" s="127"/>
      <c r="AS8" s="137"/>
      <c r="AT8" s="58" t="str" cm="1">
        <f>IF(ISBLANK($A8),"",INDEX(Array_ElectricalCharges,MATCH($A8,List_ElectricityMeters,0),ROUNDUP(COLUMN()/3,0)-2))</f>
        <v/>
      </c>
      <c r="AU8" s="127"/>
      <c r="AV8" s="137"/>
      <c r="AW8" s="58" t="str" cm="1">
        <f>IF(ISBLANK($A8),"",INDEX(Array_ElectricalCharges,MATCH($A8,List_ElectricityMeters,0),ROUNDUP(COLUMN()/3,0)-2))</f>
        <v/>
      </c>
      <c r="AX8" s="127"/>
      <c r="AY8" s="137"/>
    </row>
    <row r="9" spans="1:51" x14ac:dyDescent="0.3">
      <c r="A9" s="126"/>
      <c r="B9" s="133"/>
      <c r="C9" s="134"/>
      <c r="D9" s="134"/>
      <c r="E9" s="135"/>
      <c r="F9" s="136"/>
      <c r="G9" s="58" t="str" cm="1">
        <f>IF(ISBLANK($A9),"",INDEX(Array_ElectricalCharges,MATCH($A9,List_ElectricityMeters,0),ROUNDUP(COLUMN()/3,0)-2))</f>
        <v/>
      </c>
      <c r="H9" s="127"/>
      <c r="I9" s="137"/>
      <c r="J9" s="58" t="str" cm="1">
        <f>IF(ISBLANK($A9),"",INDEX(Array_ElectricalCharges,MATCH($A9,List_ElectricityMeters,0),ROUNDUP(COLUMN()/3,0)-2))</f>
        <v/>
      </c>
      <c r="K9" s="127"/>
      <c r="L9" s="137"/>
      <c r="M9" s="58" t="str" cm="1">
        <f>IF(ISBLANK($A9),"",INDEX(Array_ElectricalCharges,MATCH($A9,List_ElectricityMeters,0),ROUNDUP(COLUMN()/3,0)-2))</f>
        <v/>
      </c>
      <c r="N9" s="127"/>
      <c r="O9" s="137"/>
      <c r="P9" s="58" t="str" cm="1">
        <f>IF(ISBLANK($A9),"",INDEX(Array_ElectricalCharges,MATCH($A9,List_ElectricityMeters,0),ROUNDUP(COLUMN()/3,0)-2))</f>
        <v/>
      </c>
      <c r="Q9" s="127"/>
      <c r="R9" s="137"/>
      <c r="S9" s="58" t="str" cm="1">
        <f>IF(ISBLANK($A9),"",INDEX(Array_ElectricalCharges,MATCH($A9,List_ElectricityMeters,0),ROUNDUP(COLUMN()/3,0)-2))</f>
        <v/>
      </c>
      <c r="T9" s="127"/>
      <c r="U9" s="137"/>
      <c r="V9" s="58" t="str" cm="1">
        <f>IF(ISBLANK($A9),"",INDEX(Array_ElectricalCharges,MATCH($A9,List_ElectricityMeters,0),ROUNDUP(COLUMN()/3,0)-2))</f>
        <v/>
      </c>
      <c r="W9" s="127"/>
      <c r="X9" s="137"/>
      <c r="Y9" s="58" t="str" cm="1">
        <f>IF(ISBLANK($A9),"",INDEX(Array_ElectricalCharges,MATCH($A9,List_ElectricityMeters,0),ROUNDUP(COLUMN()/3,0)-2))</f>
        <v/>
      </c>
      <c r="Z9" s="127"/>
      <c r="AA9" s="137"/>
      <c r="AB9" s="58" t="str" cm="1">
        <f>IF(ISBLANK($A9),"",INDEX(Array_ElectricalCharges,MATCH($A9,List_ElectricityMeters,0),ROUNDUP(COLUMN()/3,0)-2))</f>
        <v/>
      </c>
      <c r="AC9" s="127"/>
      <c r="AD9" s="137"/>
      <c r="AE9" s="58" t="str" cm="1">
        <f>IF(ISBLANK($A9),"",INDEX(Array_ElectricalCharges,MATCH($A9,List_ElectricityMeters,0),ROUNDUP(COLUMN()/3,0)-2))</f>
        <v/>
      </c>
      <c r="AF9" s="127"/>
      <c r="AG9" s="137"/>
      <c r="AH9" s="58" t="str" cm="1">
        <f>IF(ISBLANK($A9),"",INDEX(Array_ElectricalCharges,MATCH($A9,List_ElectricityMeters,0),ROUNDUP(COLUMN()/3,0)-2))</f>
        <v/>
      </c>
      <c r="AI9" s="127"/>
      <c r="AJ9" s="137"/>
      <c r="AK9" s="58" t="str" cm="1">
        <f>IF(ISBLANK($A9),"",INDEX(Array_ElectricalCharges,MATCH($A9,List_ElectricityMeters,0),ROUNDUP(COLUMN()/3,0)-2))</f>
        <v/>
      </c>
      <c r="AL9" s="127"/>
      <c r="AM9" s="137"/>
      <c r="AN9" s="58" t="str" cm="1">
        <f>IF(ISBLANK($A9),"",INDEX(Array_ElectricalCharges,MATCH($A9,List_ElectricityMeters,0),ROUNDUP(COLUMN()/3,0)-2))</f>
        <v/>
      </c>
      <c r="AO9" s="127"/>
      <c r="AP9" s="137"/>
      <c r="AQ9" s="58" t="str" cm="1">
        <f>IF(ISBLANK($A9),"",INDEX(Array_ElectricalCharges,MATCH($A9,List_ElectricityMeters,0),ROUNDUP(COLUMN()/3,0)-2))</f>
        <v/>
      </c>
      <c r="AR9" s="127"/>
      <c r="AS9" s="137"/>
      <c r="AT9" s="58" t="str" cm="1">
        <f>IF(ISBLANK($A9),"",INDEX(Array_ElectricalCharges,MATCH($A9,List_ElectricityMeters,0),ROUNDUP(COLUMN()/3,0)-2))</f>
        <v/>
      </c>
      <c r="AU9" s="127"/>
      <c r="AV9" s="137"/>
      <c r="AW9" s="58" t="str" cm="1">
        <f>IF(ISBLANK($A9),"",INDEX(Array_ElectricalCharges,MATCH($A9,List_ElectricityMeters,0),ROUNDUP(COLUMN()/3,0)-2))</f>
        <v/>
      </c>
      <c r="AX9" s="127"/>
      <c r="AY9" s="137"/>
    </row>
    <row r="10" spans="1:51" x14ac:dyDescent="0.3">
      <c r="A10" s="126"/>
      <c r="B10" s="133"/>
      <c r="C10" s="134"/>
      <c r="D10" s="134"/>
      <c r="E10" s="135"/>
      <c r="F10" s="136"/>
      <c r="G10" s="58" t="str" cm="1">
        <f>IF(ISBLANK($A10),"",INDEX(Array_ElectricalCharges,MATCH($A10,List_ElectricityMeters,0),ROUNDUP(COLUMN()/3,0)-2))</f>
        <v/>
      </c>
      <c r="H10" s="127"/>
      <c r="I10" s="137"/>
      <c r="J10" s="58" t="str" cm="1">
        <f>IF(ISBLANK($A10),"",INDEX(Array_ElectricalCharges,MATCH($A10,List_ElectricityMeters,0),ROUNDUP(COLUMN()/3,0)-2))</f>
        <v/>
      </c>
      <c r="K10" s="127"/>
      <c r="L10" s="137"/>
      <c r="M10" s="58" t="str" cm="1">
        <f>IF(ISBLANK($A10),"",INDEX(Array_ElectricalCharges,MATCH($A10,List_ElectricityMeters,0),ROUNDUP(COLUMN()/3,0)-2))</f>
        <v/>
      </c>
      <c r="N10" s="127"/>
      <c r="O10" s="137"/>
      <c r="P10" s="58" t="str" cm="1">
        <f>IF(ISBLANK($A10),"",INDEX(Array_ElectricalCharges,MATCH($A10,List_ElectricityMeters,0),ROUNDUP(COLUMN()/3,0)-2))</f>
        <v/>
      </c>
      <c r="Q10" s="127"/>
      <c r="R10" s="137"/>
      <c r="S10" s="58" t="str" cm="1">
        <f>IF(ISBLANK($A10),"",INDEX(Array_ElectricalCharges,MATCH($A10,List_ElectricityMeters,0),ROUNDUP(COLUMN()/3,0)-2))</f>
        <v/>
      </c>
      <c r="T10" s="127"/>
      <c r="U10" s="137"/>
      <c r="V10" s="58" t="str" cm="1">
        <f>IF(ISBLANK($A10),"",INDEX(Array_ElectricalCharges,MATCH($A10,List_ElectricityMeters,0),ROUNDUP(COLUMN()/3,0)-2))</f>
        <v/>
      </c>
      <c r="W10" s="127"/>
      <c r="X10" s="137"/>
      <c r="Y10" s="58" t="str" cm="1">
        <f>IF(ISBLANK($A10),"",INDEX(Array_ElectricalCharges,MATCH($A10,List_ElectricityMeters,0),ROUNDUP(COLUMN()/3,0)-2))</f>
        <v/>
      </c>
      <c r="Z10" s="127"/>
      <c r="AA10" s="137"/>
      <c r="AB10" s="58" t="str" cm="1">
        <f>IF(ISBLANK($A10),"",INDEX(Array_ElectricalCharges,MATCH($A10,List_ElectricityMeters,0),ROUNDUP(COLUMN()/3,0)-2))</f>
        <v/>
      </c>
      <c r="AC10" s="127"/>
      <c r="AD10" s="137"/>
      <c r="AE10" s="58" t="str" cm="1">
        <f>IF(ISBLANK($A10),"",INDEX(Array_ElectricalCharges,MATCH($A10,List_ElectricityMeters,0),ROUNDUP(COLUMN()/3,0)-2))</f>
        <v/>
      </c>
      <c r="AF10" s="127"/>
      <c r="AG10" s="137"/>
      <c r="AH10" s="58" t="str" cm="1">
        <f>IF(ISBLANK($A10),"",INDEX(Array_ElectricalCharges,MATCH($A10,List_ElectricityMeters,0),ROUNDUP(COLUMN()/3,0)-2))</f>
        <v/>
      </c>
      <c r="AI10" s="127"/>
      <c r="AJ10" s="137"/>
      <c r="AK10" s="58" t="str" cm="1">
        <f>IF(ISBLANK($A10),"",INDEX(Array_ElectricalCharges,MATCH($A10,List_ElectricityMeters,0),ROUNDUP(COLUMN()/3,0)-2))</f>
        <v/>
      </c>
      <c r="AL10" s="127"/>
      <c r="AM10" s="137"/>
      <c r="AN10" s="58" t="str" cm="1">
        <f>IF(ISBLANK($A10),"",INDEX(Array_ElectricalCharges,MATCH($A10,List_ElectricityMeters,0),ROUNDUP(COLUMN()/3,0)-2))</f>
        <v/>
      </c>
      <c r="AO10" s="127"/>
      <c r="AP10" s="137"/>
      <c r="AQ10" s="58" t="str" cm="1">
        <f>IF(ISBLANK($A10),"",INDEX(Array_ElectricalCharges,MATCH($A10,List_ElectricityMeters,0),ROUNDUP(COLUMN()/3,0)-2))</f>
        <v/>
      </c>
      <c r="AR10" s="127"/>
      <c r="AS10" s="137"/>
      <c r="AT10" s="58" t="str" cm="1">
        <f>IF(ISBLANK($A10),"",INDEX(Array_ElectricalCharges,MATCH($A10,List_ElectricityMeters,0),ROUNDUP(COLUMN()/3,0)-2))</f>
        <v/>
      </c>
      <c r="AU10" s="127"/>
      <c r="AV10" s="137"/>
      <c r="AW10" s="58" t="str" cm="1">
        <f>IF(ISBLANK($A10),"",INDEX(Array_ElectricalCharges,MATCH($A10,List_ElectricityMeters,0),ROUNDUP(COLUMN()/3,0)-2))</f>
        <v/>
      </c>
      <c r="AX10" s="127"/>
      <c r="AY10" s="137"/>
    </row>
    <row r="11" spans="1:51" x14ac:dyDescent="0.3">
      <c r="A11" s="126"/>
      <c r="B11" s="133"/>
      <c r="C11" s="134"/>
      <c r="D11" s="134"/>
      <c r="E11" s="135"/>
      <c r="F11" s="136"/>
      <c r="G11" s="58" t="str" cm="1">
        <f>IF(ISBLANK($A11),"",INDEX(Array_ElectricalCharges,MATCH($A11,List_ElectricityMeters,0),ROUNDUP(COLUMN()/3,0)-2))</f>
        <v/>
      </c>
      <c r="H11" s="127"/>
      <c r="I11" s="137"/>
      <c r="J11" s="58" t="str" cm="1">
        <f>IF(ISBLANK($A11),"",INDEX(Array_ElectricalCharges,MATCH($A11,List_ElectricityMeters,0),ROUNDUP(COLUMN()/3,0)-2))</f>
        <v/>
      </c>
      <c r="K11" s="127"/>
      <c r="L11" s="137"/>
      <c r="M11" s="58" t="str" cm="1">
        <f>IF(ISBLANK($A11),"",INDEX(Array_ElectricalCharges,MATCH($A11,List_ElectricityMeters,0),ROUNDUP(COLUMN()/3,0)-2))</f>
        <v/>
      </c>
      <c r="N11" s="127"/>
      <c r="O11" s="137"/>
      <c r="P11" s="58" t="str" cm="1">
        <f>IF(ISBLANK($A11),"",INDEX(Array_ElectricalCharges,MATCH($A11,List_ElectricityMeters,0),ROUNDUP(COLUMN()/3,0)-2))</f>
        <v/>
      </c>
      <c r="Q11" s="127"/>
      <c r="R11" s="137"/>
      <c r="S11" s="58" t="str" cm="1">
        <f>IF(ISBLANK($A11),"",INDEX(Array_ElectricalCharges,MATCH($A11,List_ElectricityMeters,0),ROUNDUP(COLUMN()/3,0)-2))</f>
        <v/>
      </c>
      <c r="T11" s="127"/>
      <c r="U11" s="137"/>
      <c r="V11" s="58" t="str" cm="1">
        <f>IF(ISBLANK($A11),"",INDEX(Array_ElectricalCharges,MATCH($A11,List_ElectricityMeters,0),ROUNDUP(COLUMN()/3,0)-2))</f>
        <v/>
      </c>
      <c r="W11" s="127"/>
      <c r="X11" s="137"/>
      <c r="Y11" s="58" t="str" cm="1">
        <f>IF(ISBLANK($A11),"",INDEX(Array_ElectricalCharges,MATCH($A11,List_ElectricityMeters,0),ROUNDUP(COLUMN()/3,0)-2))</f>
        <v/>
      </c>
      <c r="Z11" s="127"/>
      <c r="AA11" s="137"/>
      <c r="AB11" s="58" t="str" cm="1">
        <f>IF(ISBLANK($A11),"",INDEX(Array_ElectricalCharges,MATCH($A11,List_ElectricityMeters,0),ROUNDUP(COLUMN()/3,0)-2))</f>
        <v/>
      </c>
      <c r="AC11" s="127"/>
      <c r="AD11" s="137"/>
      <c r="AE11" s="58" t="str" cm="1">
        <f>IF(ISBLANK($A11),"",INDEX(Array_ElectricalCharges,MATCH($A11,List_ElectricityMeters,0),ROUNDUP(COLUMN()/3,0)-2))</f>
        <v/>
      </c>
      <c r="AF11" s="127"/>
      <c r="AG11" s="137"/>
      <c r="AH11" s="58" t="str" cm="1">
        <f>IF(ISBLANK($A11),"",INDEX(Array_ElectricalCharges,MATCH($A11,List_ElectricityMeters,0),ROUNDUP(COLUMN()/3,0)-2))</f>
        <v/>
      </c>
      <c r="AI11" s="127"/>
      <c r="AJ11" s="137"/>
      <c r="AK11" s="58" t="str" cm="1">
        <f>IF(ISBLANK($A11),"",INDEX(Array_ElectricalCharges,MATCH($A11,List_ElectricityMeters,0),ROUNDUP(COLUMN()/3,0)-2))</f>
        <v/>
      </c>
      <c r="AL11" s="127"/>
      <c r="AM11" s="137"/>
      <c r="AN11" s="58" t="str" cm="1">
        <f>IF(ISBLANK($A11),"",INDEX(Array_ElectricalCharges,MATCH($A11,List_ElectricityMeters,0),ROUNDUP(COLUMN()/3,0)-2))</f>
        <v/>
      </c>
      <c r="AO11" s="127"/>
      <c r="AP11" s="137"/>
      <c r="AQ11" s="58" t="str" cm="1">
        <f>IF(ISBLANK($A11),"",INDEX(Array_ElectricalCharges,MATCH($A11,List_ElectricityMeters,0),ROUNDUP(COLUMN()/3,0)-2))</f>
        <v/>
      </c>
      <c r="AR11" s="127"/>
      <c r="AS11" s="137"/>
      <c r="AT11" s="58" t="str" cm="1">
        <f>IF(ISBLANK($A11),"",INDEX(Array_ElectricalCharges,MATCH($A11,List_ElectricityMeters,0),ROUNDUP(COLUMN()/3,0)-2))</f>
        <v/>
      </c>
      <c r="AU11" s="127"/>
      <c r="AV11" s="137"/>
      <c r="AW11" s="58" t="str" cm="1">
        <f>IF(ISBLANK($A11),"",INDEX(Array_ElectricalCharges,MATCH($A11,List_ElectricityMeters,0),ROUNDUP(COLUMN()/3,0)-2))</f>
        <v/>
      </c>
      <c r="AX11" s="127"/>
      <c r="AY11" s="137"/>
    </row>
    <row r="12" spans="1:51" x14ac:dyDescent="0.3">
      <c r="A12" s="126"/>
      <c r="B12" s="133"/>
      <c r="C12" s="134"/>
      <c r="D12" s="134"/>
      <c r="E12" s="135"/>
      <c r="F12" s="136"/>
      <c r="G12" s="58" t="str" cm="1">
        <f>IF(ISBLANK($A12),"",INDEX(Array_ElectricalCharges,MATCH($A12,List_ElectricityMeters,0),ROUNDUP(COLUMN()/3,0)-2))</f>
        <v/>
      </c>
      <c r="H12" s="127"/>
      <c r="I12" s="137"/>
      <c r="J12" s="58" t="str" cm="1">
        <f>IF(ISBLANK($A12),"",INDEX(Array_ElectricalCharges,MATCH($A12,List_ElectricityMeters,0),ROUNDUP(COLUMN()/3,0)-2))</f>
        <v/>
      </c>
      <c r="K12" s="127"/>
      <c r="L12" s="137"/>
      <c r="M12" s="58" t="str" cm="1">
        <f>IF(ISBLANK($A12),"",INDEX(Array_ElectricalCharges,MATCH($A12,List_ElectricityMeters,0),ROUNDUP(COLUMN()/3,0)-2))</f>
        <v/>
      </c>
      <c r="N12" s="127"/>
      <c r="O12" s="137"/>
      <c r="P12" s="58" t="str" cm="1">
        <f>IF(ISBLANK($A12),"",INDEX(Array_ElectricalCharges,MATCH($A12,List_ElectricityMeters,0),ROUNDUP(COLUMN()/3,0)-2))</f>
        <v/>
      </c>
      <c r="Q12" s="127"/>
      <c r="R12" s="137"/>
      <c r="S12" s="58" t="str" cm="1">
        <f>IF(ISBLANK($A12),"",INDEX(Array_ElectricalCharges,MATCH($A12,List_ElectricityMeters,0),ROUNDUP(COLUMN()/3,0)-2))</f>
        <v/>
      </c>
      <c r="T12" s="127"/>
      <c r="U12" s="137"/>
      <c r="V12" s="58" t="str" cm="1">
        <f>IF(ISBLANK($A12),"",INDEX(Array_ElectricalCharges,MATCH($A12,List_ElectricityMeters,0),ROUNDUP(COLUMN()/3,0)-2))</f>
        <v/>
      </c>
      <c r="W12" s="127"/>
      <c r="X12" s="137"/>
      <c r="Y12" s="58" t="str" cm="1">
        <f>IF(ISBLANK($A12),"",INDEX(Array_ElectricalCharges,MATCH($A12,List_ElectricityMeters,0),ROUNDUP(COLUMN()/3,0)-2))</f>
        <v/>
      </c>
      <c r="Z12" s="127"/>
      <c r="AA12" s="137"/>
      <c r="AB12" s="58" t="str" cm="1">
        <f>IF(ISBLANK($A12),"",INDEX(Array_ElectricalCharges,MATCH($A12,List_ElectricityMeters,0),ROUNDUP(COLUMN()/3,0)-2))</f>
        <v/>
      </c>
      <c r="AC12" s="127"/>
      <c r="AD12" s="137"/>
      <c r="AE12" s="58" t="str" cm="1">
        <f>IF(ISBLANK($A12),"",INDEX(Array_ElectricalCharges,MATCH($A12,List_ElectricityMeters,0),ROUNDUP(COLUMN()/3,0)-2))</f>
        <v/>
      </c>
      <c r="AF12" s="127"/>
      <c r="AG12" s="137"/>
      <c r="AH12" s="58" t="str" cm="1">
        <f>IF(ISBLANK($A12),"",INDEX(Array_ElectricalCharges,MATCH($A12,List_ElectricityMeters,0),ROUNDUP(COLUMN()/3,0)-2))</f>
        <v/>
      </c>
      <c r="AI12" s="127"/>
      <c r="AJ12" s="137"/>
      <c r="AK12" s="58" t="str" cm="1">
        <f>IF(ISBLANK($A12),"",INDEX(Array_ElectricalCharges,MATCH($A12,List_ElectricityMeters,0),ROUNDUP(COLUMN()/3,0)-2))</f>
        <v/>
      </c>
      <c r="AL12" s="127"/>
      <c r="AM12" s="137"/>
      <c r="AN12" s="58" t="str" cm="1">
        <f>IF(ISBLANK($A12),"",INDEX(Array_ElectricalCharges,MATCH($A12,List_ElectricityMeters,0),ROUNDUP(COLUMN()/3,0)-2))</f>
        <v/>
      </c>
      <c r="AO12" s="127"/>
      <c r="AP12" s="137"/>
      <c r="AQ12" s="58" t="str" cm="1">
        <f>IF(ISBLANK($A12),"",INDEX(Array_ElectricalCharges,MATCH($A12,List_ElectricityMeters,0),ROUNDUP(COLUMN()/3,0)-2))</f>
        <v/>
      </c>
      <c r="AR12" s="127"/>
      <c r="AS12" s="137"/>
      <c r="AT12" s="58" t="str" cm="1">
        <f>IF(ISBLANK($A12),"",INDEX(Array_ElectricalCharges,MATCH($A12,List_ElectricityMeters,0),ROUNDUP(COLUMN()/3,0)-2))</f>
        <v/>
      </c>
      <c r="AU12" s="127"/>
      <c r="AV12" s="137"/>
      <c r="AW12" s="58" t="str" cm="1">
        <f>IF(ISBLANK($A12),"",INDEX(Array_ElectricalCharges,MATCH($A12,List_ElectricityMeters,0),ROUNDUP(COLUMN()/3,0)-2))</f>
        <v/>
      </c>
      <c r="AX12" s="127"/>
      <c r="AY12" s="137"/>
    </row>
    <row r="13" spans="1:51" x14ac:dyDescent="0.3">
      <c r="A13" s="126"/>
      <c r="B13" s="133"/>
      <c r="C13" s="134"/>
      <c r="D13" s="134"/>
      <c r="E13" s="135"/>
      <c r="F13" s="136"/>
      <c r="G13" s="58" t="str" cm="1">
        <f>IF(ISBLANK($A13),"",INDEX(Array_ElectricalCharges,MATCH($A13,List_ElectricityMeters,0),ROUNDUP(COLUMN()/3,0)-2))</f>
        <v/>
      </c>
      <c r="H13" s="127"/>
      <c r="I13" s="137"/>
      <c r="J13" s="58" t="str" cm="1">
        <f>IF(ISBLANK($A13),"",INDEX(Array_ElectricalCharges,MATCH($A13,List_ElectricityMeters,0),ROUNDUP(COLUMN()/3,0)-2))</f>
        <v/>
      </c>
      <c r="K13" s="127"/>
      <c r="L13" s="137"/>
      <c r="M13" s="58" t="str" cm="1">
        <f>IF(ISBLANK($A13),"",INDEX(Array_ElectricalCharges,MATCH($A13,List_ElectricityMeters,0),ROUNDUP(COLUMN()/3,0)-2))</f>
        <v/>
      </c>
      <c r="N13" s="127"/>
      <c r="O13" s="137"/>
      <c r="P13" s="58" t="str" cm="1">
        <f>IF(ISBLANK($A13),"",INDEX(Array_ElectricalCharges,MATCH($A13,List_ElectricityMeters,0),ROUNDUP(COLUMN()/3,0)-2))</f>
        <v/>
      </c>
      <c r="Q13" s="127"/>
      <c r="R13" s="137"/>
      <c r="S13" s="58" t="str" cm="1">
        <f>IF(ISBLANK($A13),"",INDEX(Array_ElectricalCharges,MATCH($A13,List_ElectricityMeters,0),ROUNDUP(COLUMN()/3,0)-2))</f>
        <v/>
      </c>
      <c r="T13" s="127"/>
      <c r="U13" s="137"/>
      <c r="V13" s="58" t="str" cm="1">
        <f>IF(ISBLANK($A13),"",INDEX(Array_ElectricalCharges,MATCH($A13,List_ElectricityMeters,0),ROUNDUP(COLUMN()/3,0)-2))</f>
        <v/>
      </c>
      <c r="W13" s="127"/>
      <c r="X13" s="137"/>
      <c r="Y13" s="58" t="str" cm="1">
        <f>IF(ISBLANK($A13),"",INDEX(Array_ElectricalCharges,MATCH($A13,List_ElectricityMeters,0),ROUNDUP(COLUMN()/3,0)-2))</f>
        <v/>
      </c>
      <c r="Z13" s="127"/>
      <c r="AA13" s="137"/>
      <c r="AB13" s="58" t="str" cm="1">
        <f>IF(ISBLANK($A13),"",INDEX(Array_ElectricalCharges,MATCH($A13,List_ElectricityMeters,0),ROUNDUP(COLUMN()/3,0)-2))</f>
        <v/>
      </c>
      <c r="AC13" s="127"/>
      <c r="AD13" s="137"/>
      <c r="AE13" s="58" t="str" cm="1">
        <f>IF(ISBLANK($A13),"",INDEX(Array_ElectricalCharges,MATCH($A13,List_ElectricityMeters,0),ROUNDUP(COLUMN()/3,0)-2))</f>
        <v/>
      </c>
      <c r="AF13" s="127"/>
      <c r="AG13" s="137"/>
      <c r="AH13" s="58" t="str" cm="1">
        <f>IF(ISBLANK($A13),"",INDEX(Array_ElectricalCharges,MATCH($A13,List_ElectricityMeters,0),ROUNDUP(COLUMN()/3,0)-2))</f>
        <v/>
      </c>
      <c r="AI13" s="127"/>
      <c r="AJ13" s="137"/>
      <c r="AK13" s="58" t="str" cm="1">
        <f>IF(ISBLANK($A13),"",INDEX(Array_ElectricalCharges,MATCH($A13,List_ElectricityMeters,0),ROUNDUP(COLUMN()/3,0)-2))</f>
        <v/>
      </c>
      <c r="AL13" s="127"/>
      <c r="AM13" s="137"/>
      <c r="AN13" s="58" t="str" cm="1">
        <f>IF(ISBLANK($A13),"",INDEX(Array_ElectricalCharges,MATCH($A13,List_ElectricityMeters,0),ROUNDUP(COLUMN()/3,0)-2))</f>
        <v/>
      </c>
      <c r="AO13" s="127"/>
      <c r="AP13" s="137"/>
      <c r="AQ13" s="58" t="str" cm="1">
        <f>IF(ISBLANK($A13),"",INDEX(Array_ElectricalCharges,MATCH($A13,List_ElectricityMeters,0),ROUNDUP(COLUMN()/3,0)-2))</f>
        <v/>
      </c>
      <c r="AR13" s="127"/>
      <c r="AS13" s="137"/>
      <c r="AT13" s="58" t="str" cm="1">
        <f>IF(ISBLANK($A13),"",INDEX(Array_ElectricalCharges,MATCH($A13,List_ElectricityMeters,0),ROUNDUP(COLUMN()/3,0)-2))</f>
        <v/>
      </c>
      <c r="AU13" s="127"/>
      <c r="AV13" s="137"/>
      <c r="AW13" s="58" t="str" cm="1">
        <f>IF(ISBLANK($A13),"",INDEX(Array_ElectricalCharges,MATCH($A13,List_ElectricityMeters,0),ROUNDUP(COLUMN()/3,0)-2))</f>
        <v/>
      </c>
      <c r="AX13" s="127"/>
      <c r="AY13" s="137"/>
    </row>
    <row r="14" spans="1:51" x14ac:dyDescent="0.3">
      <c r="A14" s="126"/>
      <c r="B14" s="133"/>
      <c r="C14" s="134"/>
      <c r="D14" s="134"/>
      <c r="E14" s="135"/>
      <c r="F14" s="136"/>
      <c r="G14" s="58" t="str" cm="1">
        <f>IF(ISBLANK($A14),"",INDEX(Array_ElectricalCharges,MATCH($A14,List_ElectricityMeters,0),ROUNDUP(COLUMN()/3,0)-2))</f>
        <v/>
      </c>
      <c r="H14" s="127"/>
      <c r="I14" s="137"/>
      <c r="J14" s="58" t="str" cm="1">
        <f>IF(ISBLANK($A14),"",INDEX(Array_ElectricalCharges,MATCH($A14,List_ElectricityMeters,0),ROUNDUP(COLUMN()/3,0)-2))</f>
        <v/>
      </c>
      <c r="K14" s="127"/>
      <c r="L14" s="137"/>
      <c r="M14" s="58" t="str" cm="1">
        <f>IF(ISBLANK($A14),"",INDEX(Array_ElectricalCharges,MATCH($A14,List_ElectricityMeters,0),ROUNDUP(COLUMN()/3,0)-2))</f>
        <v/>
      </c>
      <c r="N14" s="127"/>
      <c r="O14" s="137"/>
      <c r="P14" s="58" t="str" cm="1">
        <f>IF(ISBLANK($A14),"",INDEX(Array_ElectricalCharges,MATCH($A14,List_ElectricityMeters,0),ROUNDUP(COLUMN()/3,0)-2))</f>
        <v/>
      </c>
      <c r="Q14" s="127"/>
      <c r="R14" s="137"/>
      <c r="S14" s="58" t="str" cm="1">
        <f>IF(ISBLANK($A14),"",INDEX(Array_ElectricalCharges,MATCH($A14,List_ElectricityMeters,0),ROUNDUP(COLUMN()/3,0)-2))</f>
        <v/>
      </c>
      <c r="T14" s="127"/>
      <c r="U14" s="137"/>
      <c r="V14" s="58" t="str" cm="1">
        <f>IF(ISBLANK($A14),"",INDEX(Array_ElectricalCharges,MATCH($A14,List_ElectricityMeters,0),ROUNDUP(COLUMN()/3,0)-2))</f>
        <v/>
      </c>
      <c r="W14" s="127"/>
      <c r="X14" s="137"/>
      <c r="Y14" s="58" t="str" cm="1">
        <f>IF(ISBLANK($A14),"",INDEX(Array_ElectricalCharges,MATCH($A14,List_ElectricityMeters,0),ROUNDUP(COLUMN()/3,0)-2))</f>
        <v/>
      </c>
      <c r="Z14" s="127"/>
      <c r="AA14" s="137"/>
      <c r="AB14" s="58" t="str" cm="1">
        <f>IF(ISBLANK($A14),"",INDEX(Array_ElectricalCharges,MATCH($A14,List_ElectricityMeters,0),ROUNDUP(COLUMN()/3,0)-2))</f>
        <v/>
      </c>
      <c r="AC14" s="127"/>
      <c r="AD14" s="137"/>
      <c r="AE14" s="58" t="str" cm="1">
        <f>IF(ISBLANK($A14),"",INDEX(Array_ElectricalCharges,MATCH($A14,List_ElectricityMeters,0),ROUNDUP(COLUMN()/3,0)-2))</f>
        <v/>
      </c>
      <c r="AF14" s="127"/>
      <c r="AG14" s="137"/>
      <c r="AH14" s="58" t="str" cm="1">
        <f>IF(ISBLANK($A14),"",INDEX(Array_ElectricalCharges,MATCH($A14,List_ElectricityMeters,0),ROUNDUP(COLUMN()/3,0)-2))</f>
        <v/>
      </c>
      <c r="AI14" s="127"/>
      <c r="AJ14" s="137"/>
      <c r="AK14" s="58" t="str" cm="1">
        <f>IF(ISBLANK($A14),"",INDEX(Array_ElectricalCharges,MATCH($A14,List_ElectricityMeters,0),ROUNDUP(COLUMN()/3,0)-2))</f>
        <v/>
      </c>
      <c r="AL14" s="127"/>
      <c r="AM14" s="137"/>
      <c r="AN14" s="58" t="str" cm="1">
        <f>IF(ISBLANK($A14),"",INDEX(Array_ElectricalCharges,MATCH($A14,List_ElectricityMeters,0),ROUNDUP(COLUMN()/3,0)-2))</f>
        <v/>
      </c>
      <c r="AO14" s="127"/>
      <c r="AP14" s="137"/>
      <c r="AQ14" s="58" t="str" cm="1">
        <f>IF(ISBLANK($A14),"",INDEX(Array_ElectricalCharges,MATCH($A14,List_ElectricityMeters,0),ROUNDUP(COLUMN()/3,0)-2))</f>
        <v/>
      </c>
      <c r="AR14" s="127"/>
      <c r="AS14" s="137"/>
      <c r="AT14" s="58" t="str" cm="1">
        <f>IF(ISBLANK($A14),"",INDEX(Array_ElectricalCharges,MATCH($A14,List_ElectricityMeters,0),ROUNDUP(COLUMN()/3,0)-2))</f>
        <v/>
      </c>
      <c r="AU14" s="127"/>
      <c r="AV14" s="137"/>
      <c r="AW14" s="58" t="str" cm="1">
        <f>IF(ISBLANK($A14),"",INDEX(Array_ElectricalCharges,MATCH($A14,List_ElectricityMeters,0),ROUNDUP(COLUMN()/3,0)-2))</f>
        <v/>
      </c>
      <c r="AX14" s="127"/>
      <c r="AY14" s="137"/>
    </row>
    <row r="15" spans="1:51" x14ac:dyDescent="0.3">
      <c r="A15" s="126"/>
      <c r="B15" s="133"/>
      <c r="C15" s="134"/>
      <c r="D15" s="134"/>
      <c r="E15" s="135"/>
      <c r="F15" s="136"/>
      <c r="G15" s="58" t="str" cm="1">
        <f>IF(ISBLANK($A15),"",INDEX(Array_ElectricalCharges,MATCH($A15,List_ElectricityMeters,0),ROUNDUP(COLUMN()/3,0)-2))</f>
        <v/>
      </c>
      <c r="H15" s="127"/>
      <c r="I15" s="137"/>
      <c r="J15" s="58" t="str" cm="1">
        <f>IF(ISBLANK($A15),"",INDEX(Array_ElectricalCharges,MATCH($A15,List_ElectricityMeters,0),ROUNDUP(COLUMN()/3,0)-2))</f>
        <v/>
      </c>
      <c r="K15" s="127"/>
      <c r="L15" s="137"/>
      <c r="M15" s="58" t="str" cm="1">
        <f>IF(ISBLANK($A15),"",INDEX(Array_ElectricalCharges,MATCH($A15,List_ElectricityMeters,0),ROUNDUP(COLUMN()/3,0)-2))</f>
        <v/>
      </c>
      <c r="N15" s="127"/>
      <c r="O15" s="137"/>
      <c r="P15" s="58" t="str" cm="1">
        <f>IF(ISBLANK($A15),"",INDEX(Array_ElectricalCharges,MATCH($A15,List_ElectricityMeters,0),ROUNDUP(COLUMN()/3,0)-2))</f>
        <v/>
      </c>
      <c r="Q15" s="127"/>
      <c r="R15" s="137"/>
      <c r="S15" s="58" t="str" cm="1">
        <f>IF(ISBLANK($A15),"",INDEX(Array_ElectricalCharges,MATCH($A15,List_ElectricityMeters,0),ROUNDUP(COLUMN()/3,0)-2))</f>
        <v/>
      </c>
      <c r="T15" s="127"/>
      <c r="U15" s="137"/>
      <c r="V15" s="58" t="str" cm="1">
        <f>IF(ISBLANK($A15),"",INDEX(Array_ElectricalCharges,MATCH($A15,List_ElectricityMeters,0),ROUNDUP(COLUMN()/3,0)-2))</f>
        <v/>
      </c>
      <c r="W15" s="127"/>
      <c r="X15" s="137"/>
      <c r="Y15" s="58" t="str" cm="1">
        <f>IF(ISBLANK($A15),"",INDEX(Array_ElectricalCharges,MATCH($A15,List_ElectricityMeters,0),ROUNDUP(COLUMN()/3,0)-2))</f>
        <v/>
      </c>
      <c r="Z15" s="127"/>
      <c r="AA15" s="137"/>
      <c r="AB15" s="58" t="str" cm="1">
        <f>IF(ISBLANK($A15),"",INDEX(Array_ElectricalCharges,MATCH($A15,List_ElectricityMeters,0),ROUNDUP(COLUMN()/3,0)-2))</f>
        <v/>
      </c>
      <c r="AC15" s="127"/>
      <c r="AD15" s="137"/>
      <c r="AE15" s="58" t="str" cm="1">
        <f>IF(ISBLANK($A15),"",INDEX(Array_ElectricalCharges,MATCH($A15,List_ElectricityMeters,0),ROUNDUP(COLUMN()/3,0)-2))</f>
        <v/>
      </c>
      <c r="AF15" s="127"/>
      <c r="AG15" s="137"/>
      <c r="AH15" s="58" t="str" cm="1">
        <f>IF(ISBLANK($A15),"",INDEX(Array_ElectricalCharges,MATCH($A15,List_ElectricityMeters,0),ROUNDUP(COLUMN()/3,0)-2))</f>
        <v/>
      </c>
      <c r="AI15" s="127"/>
      <c r="AJ15" s="137"/>
      <c r="AK15" s="58" t="str" cm="1">
        <f>IF(ISBLANK($A15),"",INDEX(Array_ElectricalCharges,MATCH($A15,List_ElectricityMeters,0),ROUNDUP(COLUMN()/3,0)-2))</f>
        <v/>
      </c>
      <c r="AL15" s="127"/>
      <c r="AM15" s="137"/>
      <c r="AN15" s="58" t="str" cm="1">
        <f>IF(ISBLANK($A15),"",INDEX(Array_ElectricalCharges,MATCH($A15,List_ElectricityMeters,0),ROUNDUP(COLUMN()/3,0)-2))</f>
        <v/>
      </c>
      <c r="AO15" s="127"/>
      <c r="AP15" s="137"/>
      <c r="AQ15" s="58" t="str" cm="1">
        <f>IF(ISBLANK($A15),"",INDEX(Array_ElectricalCharges,MATCH($A15,List_ElectricityMeters,0),ROUNDUP(COLUMN()/3,0)-2))</f>
        <v/>
      </c>
      <c r="AR15" s="127"/>
      <c r="AS15" s="137"/>
      <c r="AT15" s="58" t="str" cm="1">
        <f>IF(ISBLANK($A15),"",INDEX(Array_ElectricalCharges,MATCH($A15,List_ElectricityMeters,0),ROUNDUP(COLUMN()/3,0)-2))</f>
        <v/>
      </c>
      <c r="AU15" s="127"/>
      <c r="AV15" s="137"/>
      <c r="AW15" s="58" t="str" cm="1">
        <f>IF(ISBLANK($A15),"",INDEX(Array_ElectricalCharges,MATCH($A15,List_ElectricityMeters,0),ROUNDUP(COLUMN()/3,0)-2))</f>
        <v/>
      </c>
      <c r="AX15" s="127"/>
      <c r="AY15" s="137"/>
    </row>
    <row r="16" spans="1:51" x14ac:dyDescent="0.3">
      <c r="A16" s="126"/>
      <c r="B16" s="133"/>
      <c r="C16" s="134"/>
      <c r="D16" s="134"/>
      <c r="E16" s="135"/>
      <c r="F16" s="136"/>
      <c r="G16" s="58" t="str" cm="1">
        <f>IF(ISBLANK($A16),"",INDEX(Array_ElectricalCharges,MATCH($A16,List_ElectricityMeters,0),ROUNDUP(COLUMN()/3,0)-2))</f>
        <v/>
      </c>
      <c r="H16" s="127"/>
      <c r="I16" s="137"/>
      <c r="J16" s="58" t="str" cm="1">
        <f>IF(ISBLANK($A16),"",INDEX(Array_ElectricalCharges,MATCH($A16,List_ElectricityMeters,0),ROUNDUP(COLUMN()/3,0)-2))</f>
        <v/>
      </c>
      <c r="K16" s="127"/>
      <c r="L16" s="137"/>
      <c r="M16" s="58" t="str" cm="1">
        <f>IF(ISBLANK($A16),"",INDEX(Array_ElectricalCharges,MATCH($A16,List_ElectricityMeters,0),ROUNDUP(COLUMN()/3,0)-2))</f>
        <v/>
      </c>
      <c r="N16" s="127"/>
      <c r="O16" s="137"/>
      <c r="P16" s="58" t="str" cm="1">
        <f>IF(ISBLANK($A16),"",INDEX(Array_ElectricalCharges,MATCH($A16,List_ElectricityMeters,0),ROUNDUP(COLUMN()/3,0)-2))</f>
        <v/>
      </c>
      <c r="Q16" s="127"/>
      <c r="R16" s="137"/>
      <c r="S16" s="58" t="str" cm="1">
        <f>IF(ISBLANK($A16),"",INDEX(Array_ElectricalCharges,MATCH($A16,List_ElectricityMeters,0),ROUNDUP(COLUMN()/3,0)-2))</f>
        <v/>
      </c>
      <c r="T16" s="127"/>
      <c r="U16" s="137"/>
      <c r="V16" s="58" t="str" cm="1">
        <f>IF(ISBLANK($A16),"",INDEX(Array_ElectricalCharges,MATCH($A16,List_ElectricityMeters,0),ROUNDUP(COLUMN()/3,0)-2))</f>
        <v/>
      </c>
      <c r="W16" s="127"/>
      <c r="X16" s="137"/>
      <c r="Y16" s="58" t="str" cm="1">
        <f>IF(ISBLANK($A16),"",INDEX(Array_ElectricalCharges,MATCH($A16,List_ElectricityMeters,0),ROUNDUP(COLUMN()/3,0)-2))</f>
        <v/>
      </c>
      <c r="Z16" s="127"/>
      <c r="AA16" s="137"/>
      <c r="AB16" s="58" t="str" cm="1">
        <f>IF(ISBLANK($A16),"",INDEX(Array_ElectricalCharges,MATCH($A16,List_ElectricityMeters,0),ROUNDUP(COLUMN()/3,0)-2))</f>
        <v/>
      </c>
      <c r="AC16" s="127"/>
      <c r="AD16" s="137"/>
      <c r="AE16" s="58" t="str" cm="1">
        <f>IF(ISBLANK($A16),"",INDEX(Array_ElectricalCharges,MATCH($A16,List_ElectricityMeters,0),ROUNDUP(COLUMN()/3,0)-2))</f>
        <v/>
      </c>
      <c r="AF16" s="127"/>
      <c r="AG16" s="137"/>
      <c r="AH16" s="58" t="str" cm="1">
        <f>IF(ISBLANK($A16),"",INDEX(Array_ElectricalCharges,MATCH($A16,List_ElectricityMeters,0),ROUNDUP(COLUMN()/3,0)-2))</f>
        <v/>
      </c>
      <c r="AI16" s="127"/>
      <c r="AJ16" s="137"/>
      <c r="AK16" s="58" t="str" cm="1">
        <f>IF(ISBLANK($A16),"",INDEX(Array_ElectricalCharges,MATCH($A16,List_ElectricityMeters,0),ROUNDUP(COLUMN()/3,0)-2))</f>
        <v/>
      </c>
      <c r="AL16" s="127"/>
      <c r="AM16" s="137"/>
      <c r="AN16" s="58" t="str" cm="1">
        <f>IF(ISBLANK($A16),"",INDEX(Array_ElectricalCharges,MATCH($A16,List_ElectricityMeters,0),ROUNDUP(COLUMN()/3,0)-2))</f>
        <v/>
      </c>
      <c r="AO16" s="127"/>
      <c r="AP16" s="137"/>
      <c r="AQ16" s="58" t="str" cm="1">
        <f>IF(ISBLANK($A16),"",INDEX(Array_ElectricalCharges,MATCH($A16,List_ElectricityMeters,0),ROUNDUP(COLUMN()/3,0)-2))</f>
        <v/>
      </c>
      <c r="AR16" s="127"/>
      <c r="AS16" s="137"/>
      <c r="AT16" s="58" t="str" cm="1">
        <f>IF(ISBLANK($A16),"",INDEX(Array_ElectricalCharges,MATCH($A16,List_ElectricityMeters,0),ROUNDUP(COLUMN()/3,0)-2))</f>
        <v/>
      </c>
      <c r="AU16" s="127"/>
      <c r="AV16" s="137"/>
      <c r="AW16" s="58" t="str" cm="1">
        <f>IF(ISBLANK($A16),"",INDEX(Array_ElectricalCharges,MATCH($A16,List_ElectricityMeters,0),ROUNDUP(COLUMN()/3,0)-2))</f>
        <v/>
      </c>
      <c r="AX16" s="127"/>
      <c r="AY16" s="137"/>
    </row>
    <row r="17" spans="1:51" x14ac:dyDescent="0.3">
      <c r="A17" s="126"/>
      <c r="B17" s="133"/>
      <c r="C17" s="134"/>
      <c r="D17" s="134"/>
      <c r="E17" s="135"/>
      <c r="F17" s="136"/>
      <c r="G17" s="58" t="str" cm="1">
        <f>IF(ISBLANK($A17),"",INDEX(Array_ElectricalCharges,MATCH($A17,List_ElectricityMeters,0),ROUNDUP(COLUMN()/3,0)-2))</f>
        <v/>
      </c>
      <c r="H17" s="127"/>
      <c r="I17" s="137"/>
      <c r="J17" s="58" t="str" cm="1">
        <f>IF(ISBLANK($A17),"",INDEX(Array_ElectricalCharges,MATCH($A17,List_ElectricityMeters,0),ROUNDUP(COLUMN()/3,0)-2))</f>
        <v/>
      </c>
      <c r="K17" s="127"/>
      <c r="L17" s="137"/>
      <c r="M17" s="58" t="str" cm="1">
        <f>IF(ISBLANK($A17),"",INDEX(Array_ElectricalCharges,MATCH($A17,List_ElectricityMeters,0),ROUNDUP(COLUMN()/3,0)-2))</f>
        <v/>
      </c>
      <c r="N17" s="127"/>
      <c r="O17" s="137"/>
      <c r="P17" s="58" t="str" cm="1">
        <f>IF(ISBLANK($A17),"",INDEX(Array_ElectricalCharges,MATCH($A17,List_ElectricityMeters,0),ROUNDUP(COLUMN()/3,0)-2))</f>
        <v/>
      </c>
      <c r="Q17" s="127"/>
      <c r="R17" s="137"/>
      <c r="S17" s="58" t="str" cm="1">
        <f>IF(ISBLANK($A17),"",INDEX(Array_ElectricalCharges,MATCH($A17,List_ElectricityMeters,0),ROUNDUP(COLUMN()/3,0)-2))</f>
        <v/>
      </c>
      <c r="T17" s="127"/>
      <c r="U17" s="137"/>
      <c r="V17" s="58" t="str" cm="1">
        <f>IF(ISBLANK($A17),"",INDEX(Array_ElectricalCharges,MATCH($A17,List_ElectricityMeters,0),ROUNDUP(COLUMN()/3,0)-2))</f>
        <v/>
      </c>
      <c r="W17" s="127"/>
      <c r="X17" s="137"/>
      <c r="Y17" s="58" t="str" cm="1">
        <f>IF(ISBLANK($A17),"",INDEX(Array_ElectricalCharges,MATCH($A17,List_ElectricityMeters,0),ROUNDUP(COLUMN()/3,0)-2))</f>
        <v/>
      </c>
      <c r="Z17" s="127"/>
      <c r="AA17" s="137"/>
      <c r="AB17" s="58" t="str" cm="1">
        <f>IF(ISBLANK($A17),"",INDEX(Array_ElectricalCharges,MATCH($A17,List_ElectricityMeters,0),ROUNDUP(COLUMN()/3,0)-2))</f>
        <v/>
      </c>
      <c r="AC17" s="127"/>
      <c r="AD17" s="137"/>
      <c r="AE17" s="58" t="str" cm="1">
        <f>IF(ISBLANK($A17),"",INDEX(Array_ElectricalCharges,MATCH($A17,List_ElectricityMeters,0),ROUNDUP(COLUMN()/3,0)-2))</f>
        <v/>
      </c>
      <c r="AF17" s="127"/>
      <c r="AG17" s="137"/>
      <c r="AH17" s="58" t="str" cm="1">
        <f>IF(ISBLANK($A17),"",INDEX(Array_ElectricalCharges,MATCH($A17,List_ElectricityMeters,0),ROUNDUP(COLUMN()/3,0)-2))</f>
        <v/>
      </c>
      <c r="AI17" s="127"/>
      <c r="AJ17" s="137"/>
      <c r="AK17" s="58" t="str" cm="1">
        <f>IF(ISBLANK($A17),"",INDEX(Array_ElectricalCharges,MATCH($A17,List_ElectricityMeters,0),ROUNDUP(COLUMN()/3,0)-2))</f>
        <v/>
      </c>
      <c r="AL17" s="127"/>
      <c r="AM17" s="137"/>
      <c r="AN17" s="58" t="str" cm="1">
        <f>IF(ISBLANK($A17),"",INDEX(Array_ElectricalCharges,MATCH($A17,List_ElectricityMeters,0),ROUNDUP(COLUMN()/3,0)-2))</f>
        <v/>
      </c>
      <c r="AO17" s="127"/>
      <c r="AP17" s="137"/>
      <c r="AQ17" s="58" t="str" cm="1">
        <f>IF(ISBLANK($A17),"",INDEX(Array_ElectricalCharges,MATCH($A17,List_ElectricityMeters,0),ROUNDUP(COLUMN()/3,0)-2))</f>
        <v/>
      </c>
      <c r="AR17" s="127"/>
      <c r="AS17" s="137"/>
      <c r="AT17" s="58" t="str" cm="1">
        <f>IF(ISBLANK($A17),"",INDEX(Array_ElectricalCharges,MATCH($A17,List_ElectricityMeters,0),ROUNDUP(COLUMN()/3,0)-2))</f>
        <v/>
      </c>
      <c r="AU17" s="127"/>
      <c r="AV17" s="137"/>
      <c r="AW17" s="58" t="str" cm="1">
        <f>IF(ISBLANK($A17),"",INDEX(Array_ElectricalCharges,MATCH($A17,List_ElectricityMeters,0),ROUNDUP(COLUMN()/3,0)-2))</f>
        <v/>
      </c>
      <c r="AX17" s="127"/>
      <c r="AY17" s="137"/>
    </row>
    <row r="18" spans="1:51" x14ac:dyDescent="0.3">
      <c r="A18" s="126"/>
      <c r="B18" s="133"/>
      <c r="C18" s="134"/>
      <c r="D18" s="134"/>
      <c r="E18" s="135"/>
      <c r="F18" s="136"/>
      <c r="G18" s="58" t="str" cm="1">
        <f>IF(ISBLANK($A18),"",INDEX(Array_ElectricalCharges,MATCH($A18,List_ElectricityMeters,0),ROUNDUP(COLUMN()/3,0)-2))</f>
        <v/>
      </c>
      <c r="H18" s="127"/>
      <c r="I18" s="137"/>
      <c r="J18" s="58" t="str" cm="1">
        <f>IF(ISBLANK($A18),"",INDEX(Array_ElectricalCharges,MATCH($A18,List_ElectricityMeters,0),ROUNDUP(COLUMN()/3,0)-2))</f>
        <v/>
      </c>
      <c r="K18" s="127"/>
      <c r="L18" s="137"/>
      <c r="M18" s="58" t="str" cm="1">
        <f>IF(ISBLANK($A18),"",INDEX(Array_ElectricalCharges,MATCH($A18,List_ElectricityMeters,0),ROUNDUP(COLUMN()/3,0)-2))</f>
        <v/>
      </c>
      <c r="N18" s="127"/>
      <c r="O18" s="137"/>
      <c r="P18" s="58" t="str" cm="1">
        <f>IF(ISBLANK($A18),"",INDEX(Array_ElectricalCharges,MATCH($A18,List_ElectricityMeters,0),ROUNDUP(COLUMN()/3,0)-2))</f>
        <v/>
      </c>
      <c r="Q18" s="127"/>
      <c r="R18" s="137"/>
      <c r="S18" s="58" t="str" cm="1">
        <f>IF(ISBLANK($A18),"",INDEX(Array_ElectricalCharges,MATCH($A18,List_ElectricityMeters,0),ROUNDUP(COLUMN()/3,0)-2))</f>
        <v/>
      </c>
      <c r="T18" s="127"/>
      <c r="U18" s="137"/>
      <c r="V18" s="58" t="str" cm="1">
        <f>IF(ISBLANK($A18),"",INDEX(Array_ElectricalCharges,MATCH($A18,List_ElectricityMeters,0),ROUNDUP(COLUMN()/3,0)-2))</f>
        <v/>
      </c>
      <c r="W18" s="127"/>
      <c r="X18" s="137"/>
      <c r="Y18" s="58" t="str" cm="1">
        <f>IF(ISBLANK($A18),"",INDEX(Array_ElectricalCharges,MATCH($A18,List_ElectricityMeters,0),ROUNDUP(COLUMN()/3,0)-2))</f>
        <v/>
      </c>
      <c r="Z18" s="127"/>
      <c r="AA18" s="137"/>
      <c r="AB18" s="58" t="str" cm="1">
        <f>IF(ISBLANK($A18),"",INDEX(Array_ElectricalCharges,MATCH($A18,List_ElectricityMeters,0),ROUNDUP(COLUMN()/3,0)-2))</f>
        <v/>
      </c>
      <c r="AC18" s="127"/>
      <c r="AD18" s="137"/>
      <c r="AE18" s="58" t="str" cm="1">
        <f>IF(ISBLANK($A18),"",INDEX(Array_ElectricalCharges,MATCH($A18,List_ElectricityMeters,0),ROUNDUP(COLUMN()/3,0)-2))</f>
        <v/>
      </c>
      <c r="AF18" s="127"/>
      <c r="AG18" s="137"/>
      <c r="AH18" s="58" t="str" cm="1">
        <f>IF(ISBLANK($A18),"",INDEX(Array_ElectricalCharges,MATCH($A18,List_ElectricityMeters,0),ROUNDUP(COLUMN()/3,0)-2))</f>
        <v/>
      </c>
      <c r="AI18" s="127"/>
      <c r="AJ18" s="137"/>
      <c r="AK18" s="58" t="str" cm="1">
        <f>IF(ISBLANK($A18),"",INDEX(Array_ElectricalCharges,MATCH($A18,List_ElectricityMeters,0),ROUNDUP(COLUMN()/3,0)-2))</f>
        <v/>
      </c>
      <c r="AL18" s="127"/>
      <c r="AM18" s="137"/>
      <c r="AN18" s="58" t="str" cm="1">
        <f>IF(ISBLANK($A18),"",INDEX(Array_ElectricalCharges,MATCH($A18,List_ElectricityMeters,0),ROUNDUP(COLUMN()/3,0)-2))</f>
        <v/>
      </c>
      <c r="AO18" s="127"/>
      <c r="AP18" s="137"/>
      <c r="AQ18" s="58" t="str" cm="1">
        <f>IF(ISBLANK($A18),"",INDEX(Array_ElectricalCharges,MATCH($A18,List_ElectricityMeters,0),ROUNDUP(COLUMN()/3,0)-2))</f>
        <v/>
      </c>
      <c r="AR18" s="127"/>
      <c r="AS18" s="137"/>
      <c r="AT18" s="58" t="str" cm="1">
        <f>IF(ISBLANK($A18),"",INDEX(Array_ElectricalCharges,MATCH($A18,List_ElectricityMeters,0),ROUNDUP(COLUMN()/3,0)-2))</f>
        <v/>
      </c>
      <c r="AU18" s="127"/>
      <c r="AV18" s="137"/>
      <c r="AW18" s="58" t="str" cm="1">
        <f>IF(ISBLANK($A18),"",INDEX(Array_ElectricalCharges,MATCH($A18,List_ElectricityMeters,0),ROUNDUP(COLUMN()/3,0)-2))</f>
        <v/>
      </c>
      <c r="AX18" s="127"/>
      <c r="AY18" s="137"/>
    </row>
    <row r="19" spans="1:51" x14ac:dyDescent="0.3">
      <c r="A19" s="126"/>
      <c r="B19" s="133"/>
      <c r="C19" s="134"/>
      <c r="D19" s="134"/>
      <c r="E19" s="135"/>
      <c r="F19" s="136"/>
      <c r="G19" s="58" t="str" cm="1">
        <f>IF(ISBLANK($A19),"",INDEX(Array_ElectricalCharges,MATCH($A19,List_ElectricityMeters,0),ROUNDUP(COLUMN()/3,0)-2))</f>
        <v/>
      </c>
      <c r="H19" s="127"/>
      <c r="I19" s="137"/>
      <c r="J19" s="58" t="str" cm="1">
        <f>IF(ISBLANK($A19),"",INDEX(Array_ElectricalCharges,MATCH($A19,List_ElectricityMeters,0),ROUNDUP(COLUMN()/3,0)-2))</f>
        <v/>
      </c>
      <c r="K19" s="127"/>
      <c r="L19" s="137"/>
      <c r="M19" s="58" t="str" cm="1">
        <f>IF(ISBLANK($A19),"",INDEX(Array_ElectricalCharges,MATCH($A19,List_ElectricityMeters,0),ROUNDUP(COLUMN()/3,0)-2))</f>
        <v/>
      </c>
      <c r="N19" s="127"/>
      <c r="O19" s="137"/>
      <c r="P19" s="58" t="str" cm="1">
        <f>IF(ISBLANK($A19),"",INDEX(Array_ElectricalCharges,MATCH($A19,List_ElectricityMeters,0),ROUNDUP(COLUMN()/3,0)-2))</f>
        <v/>
      </c>
      <c r="Q19" s="127"/>
      <c r="R19" s="137"/>
      <c r="S19" s="58" t="str" cm="1">
        <f>IF(ISBLANK($A19),"",INDEX(Array_ElectricalCharges,MATCH($A19,List_ElectricityMeters,0),ROUNDUP(COLUMN()/3,0)-2))</f>
        <v/>
      </c>
      <c r="T19" s="127"/>
      <c r="U19" s="137"/>
      <c r="V19" s="58" t="str" cm="1">
        <f>IF(ISBLANK($A19),"",INDEX(Array_ElectricalCharges,MATCH($A19,List_ElectricityMeters,0),ROUNDUP(COLUMN()/3,0)-2))</f>
        <v/>
      </c>
      <c r="W19" s="127"/>
      <c r="X19" s="137"/>
      <c r="Y19" s="58" t="str" cm="1">
        <f>IF(ISBLANK($A19),"",INDEX(Array_ElectricalCharges,MATCH($A19,List_ElectricityMeters,0),ROUNDUP(COLUMN()/3,0)-2))</f>
        <v/>
      </c>
      <c r="Z19" s="127"/>
      <c r="AA19" s="137"/>
      <c r="AB19" s="58" t="str" cm="1">
        <f>IF(ISBLANK($A19),"",INDEX(Array_ElectricalCharges,MATCH($A19,List_ElectricityMeters,0),ROUNDUP(COLUMN()/3,0)-2))</f>
        <v/>
      </c>
      <c r="AC19" s="127"/>
      <c r="AD19" s="137"/>
      <c r="AE19" s="58" t="str" cm="1">
        <f>IF(ISBLANK($A19),"",INDEX(Array_ElectricalCharges,MATCH($A19,List_ElectricityMeters,0),ROUNDUP(COLUMN()/3,0)-2))</f>
        <v/>
      </c>
      <c r="AF19" s="127"/>
      <c r="AG19" s="137"/>
      <c r="AH19" s="58" t="str" cm="1">
        <f>IF(ISBLANK($A19),"",INDEX(Array_ElectricalCharges,MATCH($A19,List_ElectricityMeters,0),ROUNDUP(COLUMN()/3,0)-2))</f>
        <v/>
      </c>
      <c r="AI19" s="127"/>
      <c r="AJ19" s="137"/>
      <c r="AK19" s="58" t="str" cm="1">
        <f>IF(ISBLANK($A19),"",INDEX(Array_ElectricalCharges,MATCH($A19,List_ElectricityMeters,0),ROUNDUP(COLUMN()/3,0)-2))</f>
        <v/>
      </c>
      <c r="AL19" s="127"/>
      <c r="AM19" s="137"/>
      <c r="AN19" s="58" t="str" cm="1">
        <f>IF(ISBLANK($A19),"",INDEX(Array_ElectricalCharges,MATCH($A19,List_ElectricityMeters,0),ROUNDUP(COLUMN()/3,0)-2))</f>
        <v/>
      </c>
      <c r="AO19" s="127"/>
      <c r="AP19" s="137"/>
      <c r="AQ19" s="58" t="str" cm="1">
        <f>IF(ISBLANK($A19),"",INDEX(Array_ElectricalCharges,MATCH($A19,List_ElectricityMeters,0),ROUNDUP(COLUMN()/3,0)-2))</f>
        <v/>
      </c>
      <c r="AR19" s="127"/>
      <c r="AS19" s="137"/>
      <c r="AT19" s="58" t="str" cm="1">
        <f>IF(ISBLANK($A19),"",INDEX(Array_ElectricalCharges,MATCH($A19,List_ElectricityMeters,0),ROUNDUP(COLUMN()/3,0)-2))</f>
        <v/>
      </c>
      <c r="AU19" s="127"/>
      <c r="AV19" s="137"/>
      <c r="AW19" s="58" t="str" cm="1">
        <f>IF(ISBLANK($A19),"",INDEX(Array_ElectricalCharges,MATCH($A19,List_ElectricityMeters,0),ROUNDUP(COLUMN()/3,0)-2))</f>
        <v/>
      </c>
      <c r="AX19" s="127"/>
      <c r="AY19" s="137"/>
    </row>
    <row r="20" spans="1:51" x14ac:dyDescent="0.3">
      <c r="A20" s="126"/>
      <c r="B20" s="133"/>
      <c r="C20" s="134"/>
      <c r="D20" s="134"/>
      <c r="E20" s="135"/>
      <c r="F20" s="136"/>
      <c r="G20" s="58" t="str" cm="1">
        <f>IF(ISBLANK($A20),"",INDEX(Array_ElectricalCharges,MATCH($A20,List_ElectricityMeters,0),ROUNDUP(COLUMN()/3,0)-2))</f>
        <v/>
      </c>
      <c r="H20" s="127"/>
      <c r="I20" s="137"/>
      <c r="J20" s="58" t="str" cm="1">
        <f>IF(ISBLANK($A20),"",INDEX(Array_ElectricalCharges,MATCH($A20,List_ElectricityMeters,0),ROUNDUP(COLUMN()/3,0)-2))</f>
        <v/>
      </c>
      <c r="K20" s="127"/>
      <c r="L20" s="137"/>
      <c r="M20" s="58" t="str" cm="1">
        <f>IF(ISBLANK($A20),"",INDEX(Array_ElectricalCharges,MATCH($A20,List_ElectricityMeters,0),ROUNDUP(COLUMN()/3,0)-2))</f>
        <v/>
      </c>
      <c r="N20" s="127"/>
      <c r="O20" s="137"/>
      <c r="P20" s="58" t="str" cm="1">
        <f>IF(ISBLANK($A20),"",INDEX(Array_ElectricalCharges,MATCH($A20,List_ElectricityMeters,0),ROUNDUP(COLUMN()/3,0)-2))</f>
        <v/>
      </c>
      <c r="Q20" s="127"/>
      <c r="R20" s="137"/>
      <c r="S20" s="58" t="str" cm="1">
        <f>IF(ISBLANK($A20),"",INDEX(Array_ElectricalCharges,MATCH($A20,List_ElectricityMeters,0),ROUNDUP(COLUMN()/3,0)-2))</f>
        <v/>
      </c>
      <c r="T20" s="127"/>
      <c r="U20" s="137"/>
      <c r="V20" s="58" t="str" cm="1">
        <f>IF(ISBLANK($A20),"",INDEX(Array_ElectricalCharges,MATCH($A20,List_ElectricityMeters,0),ROUNDUP(COLUMN()/3,0)-2))</f>
        <v/>
      </c>
      <c r="W20" s="127"/>
      <c r="X20" s="137"/>
      <c r="Y20" s="58" t="str" cm="1">
        <f>IF(ISBLANK($A20),"",INDEX(Array_ElectricalCharges,MATCH($A20,List_ElectricityMeters,0),ROUNDUP(COLUMN()/3,0)-2))</f>
        <v/>
      </c>
      <c r="Z20" s="127"/>
      <c r="AA20" s="137"/>
      <c r="AB20" s="58" t="str" cm="1">
        <f>IF(ISBLANK($A20),"",INDEX(Array_ElectricalCharges,MATCH($A20,List_ElectricityMeters,0),ROUNDUP(COLUMN()/3,0)-2))</f>
        <v/>
      </c>
      <c r="AC20" s="127"/>
      <c r="AD20" s="137"/>
      <c r="AE20" s="58" t="str" cm="1">
        <f>IF(ISBLANK($A20),"",INDEX(Array_ElectricalCharges,MATCH($A20,List_ElectricityMeters,0),ROUNDUP(COLUMN()/3,0)-2))</f>
        <v/>
      </c>
      <c r="AF20" s="127"/>
      <c r="AG20" s="137"/>
      <c r="AH20" s="58" t="str" cm="1">
        <f>IF(ISBLANK($A20),"",INDEX(Array_ElectricalCharges,MATCH($A20,List_ElectricityMeters,0),ROUNDUP(COLUMN()/3,0)-2))</f>
        <v/>
      </c>
      <c r="AI20" s="127"/>
      <c r="AJ20" s="137"/>
      <c r="AK20" s="58" t="str" cm="1">
        <f>IF(ISBLANK($A20),"",INDEX(Array_ElectricalCharges,MATCH($A20,List_ElectricityMeters,0),ROUNDUP(COLUMN()/3,0)-2))</f>
        <v/>
      </c>
      <c r="AL20" s="127"/>
      <c r="AM20" s="137"/>
      <c r="AN20" s="58" t="str" cm="1">
        <f>IF(ISBLANK($A20),"",INDEX(Array_ElectricalCharges,MATCH($A20,List_ElectricityMeters,0),ROUNDUP(COLUMN()/3,0)-2))</f>
        <v/>
      </c>
      <c r="AO20" s="127"/>
      <c r="AP20" s="137"/>
      <c r="AQ20" s="58" t="str" cm="1">
        <f>IF(ISBLANK($A20),"",INDEX(Array_ElectricalCharges,MATCH($A20,List_ElectricityMeters,0),ROUNDUP(COLUMN()/3,0)-2))</f>
        <v/>
      </c>
      <c r="AR20" s="127"/>
      <c r="AS20" s="137"/>
      <c r="AT20" s="58" t="str" cm="1">
        <f>IF(ISBLANK($A20),"",INDEX(Array_ElectricalCharges,MATCH($A20,List_ElectricityMeters,0),ROUNDUP(COLUMN()/3,0)-2))</f>
        <v/>
      </c>
      <c r="AU20" s="127"/>
      <c r="AV20" s="137"/>
      <c r="AW20" s="58" t="str" cm="1">
        <f>IF(ISBLANK($A20),"",INDEX(Array_ElectricalCharges,MATCH($A20,List_ElectricityMeters,0),ROUNDUP(COLUMN()/3,0)-2))</f>
        <v/>
      </c>
      <c r="AX20" s="127"/>
      <c r="AY20" s="137"/>
    </row>
    <row r="21" spans="1:51" x14ac:dyDescent="0.3">
      <c r="A21" s="126"/>
      <c r="B21" s="133"/>
      <c r="C21" s="134"/>
      <c r="D21" s="134"/>
      <c r="E21" s="135"/>
      <c r="F21" s="136"/>
      <c r="G21" s="58" t="str" cm="1">
        <f>IF(ISBLANK($A21),"",INDEX(Array_ElectricalCharges,MATCH($A21,List_ElectricityMeters,0),ROUNDUP(COLUMN()/3,0)-2))</f>
        <v/>
      </c>
      <c r="H21" s="127"/>
      <c r="I21" s="137"/>
      <c r="J21" s="58" t="str" cm="1">
        <f>IF(ISBLANK($A21),"",INDEX(Array_ElectricalCharges,MATCH($A21,List_ElectricityMeters,0),ROUNDUP(COLUMN()/3,0)-2))</f>
        <v/>
      </c>
      <c r="K21" s="127"/>
      <c r="L21" s="137"/>
      <c r="M21" s="58" t="str" cm="1">
        <f>IF(ISBLANK($A21),"",INDEX(Array_ElectricalCharges,MATCH($A21,List_ElectricityMeters,0),ROUNDUP(COLUMN()/3,0)-2))</f>
        <v/>
      </c>
      <c r="N21" s="127"/>
      <c r="O21" s="137"/>
      <c r="P21" s="58" t="str" cm="1">
        <f>IF(ISBLANK($A21),"",INDEX(Array_ElectricalCharges,MATCH($A21,List_ElectricityMeters,0),ROUNDUP(COLUMN()/3,0)-2))</f>
        <v/>
      </c>
      <c r="Q21" s="127"/>
      <c r="R21" s="137"/>
      <c r="S21" s="58" t="str" cm="1">
        <f>IF(ISBLANK($A21),"",INDEX(Array_ElectricalCharges,MATCH($A21,List_ElectricityMeters,0),ROUNDUP(COLUMN()/3,0)-2))</f>
        <v/>
      </c>
      <c r="T21" s="127"/>
      <c r="U21" s="137"/>
      <c r="V21" s="58" t="str" cm="1">
        <f>IF(ISBLANK($A21),"",INDEX(Array_ElectricalCharges,MATCH($A21,List_ElectricityMeters,0),ROUNDUP(COLUMN()/3,0)-2))</f>
        <v/>
      </c>
      <c r="W21" s="127"/>
      <c r="X21" s="137"/>
      <c r="Y21" s="58" t="str" cm="1">
        <f>IF(ISBLANK($A21),"",INDEX(Array_ElectricalCharges,MATCH($A21,List_ElectricityMeters,0),ROUNDUP(COLUMN()/3,0)-2))</f>
        <v/>
      </c>
      <c r="Z21" s="127"/>
      <c r="AA21" s="137"/>
      <c r="AB21" s="58" t="str" cm="1">
        <f>IF(ISBLANK($A21),"",INDEX(Array_ElectricalCharges,MATCH($A21,List_ElectricityMeters,0),ROUNDUP(COLUMN()/3,0)-2))</f>
        <v/>
      </c>
      <c r="AC21" s="127"/>
      <c r="AD21" s="137"/>
      <c r="AE21" s="58" t="str" cm="1">
        <f>IF(ISBLANK($A21),"",INDEX(Array_ElectricalCharges,MATCH($A21,List_ElectricityMeters,0),ROUNDUP(COLUMN()/3,0)-2))</f>
        <v/>
      </c>
      <c r="AF21" s="127"/>
      <c r="AG21" s="137"/>
      <c r="AH21" s="58" t="str" cm="1">
        <f>IF(ISBLANK($A21),"",INDEX(Array_ElectricalCharges,MATCH($A21,List_ElectricityMeters,0),ROUNDUP(COLUMN()/3,0)-2))</f>
        <v/>
      </c>
      <c r="AI21" s="127"/>
      <c r="AJ21" s="137"/>
      <c r="AK21" s="58" t="str" cm="1">
        <f>IF(ISBLANK($A21),"",INDEX(Array_ElectricalCharges,MATCH($A21,List_ElectricityMeters,0),ROUNDUP(COLUMN()/3,0)-2))</f>
        <v/>
      </c>
      <c r="AL21" s="127"/>
      <c r="AM21" s="137"/>
      <c r="AN21" s="58" t="str" cm="1">
        <f>IF(ISBLANK($A21),"",INDEX(Array_ElectricalCharges,MATCH($A21,List_ElectricityMeters,0),ROUNDUP(COLUMN()/3,0)-2))</f>
        <v/>
      </c>
      <c r="AO21" s="127"/>
      <c r="AP21" s="137"/>
      <c r="AQ21" s="58" t="str" cm="1">
        <f>IF(ISBLANK($A21),"",INDEX(Array_ElectricalCharges,MATCH($A21,List_ElectricityMeters,0),ROUNDUP(COLUMN()/3,0)-2))</f>
        <v/>
      </c>
      <c r="AR21" s="127"/>
      <c r="AS21" s="137"/>
      <c r="AT21" s="58" t="str" cm="1">
        <f>IF(ISBLANK($A21),"",INDEX(Array_ElectricalCharges,MATCH($A21,List_ElectricityMeters,0),ROUNDUP(COLUMN()/3,0)-2))</f>
        <v/>
      </c>
      <c r="AU21" s="127"/>
      <c r="AV21" s="137"/>
      <c r="AW21" s="58" t="str" cm="1">
        <f>IF(ISBLANK($A21),"",INDEX(Array_ElectricalCharges,MATCH($A21,List_ElectricityMeters,0),ROUNDUP(COLUMN()/3,0)-2))</f>
        <v/>
      </c>
      <c r="AX21" s="127"/>
      <c r="AY21" s="137"/>
    </row>
    <row r="22" spans="1:51" x14ac:dyDescent="0.3">
      <c r="A22" s="126"/>
      <c r="B22" s="133"/>
      <c r="C22" s="134"/>
      <c r="D22" s="134"/>
      <c r="E22" s="135"/>
      <c r="F22" s="136"/>
      <c r="G22" s="58" t="str" cm="1">
        <f>IF(ISBLANK($A22),"",INDEX(Array_ElectricalCharges,MATCH($A22,List_ElectricityMeters,0),ROUNDUP(COLUMN()/3,0)-2))</f>
        <v/>
      </c>
      <c r="H22" s="127"/>
      <c r="I22" s="137"/>
      <c r="J22" s="58" t="str" cm="1">
        <f>IF(ISBLANK($A22),"",INDEX(Array_ElectricalCharges,MATCH($A22,List_ElectricityMeters,0),ROUNDUP(COLUMN()/3,0)-2))</f>
        <v/>
      </c>
      <c r="K22" s="127"/>
      <c r="L22" s="137"/>
      <c r="M22" s="58" t="str" cm="1">
        <f>IF(ISBLANK($A22),"",INDEX(Array_ElectricalCharges,MATCH($A22,List_ElectricityMeters,0),ROUNDUP(COLUMN()/3,0)-2))</f>
        <v/>
      </c>
      <c r="N22" s="127"/>
      <c r="O22" s="137"/>
      <c r="P22" s="58" t="str" cm="1">
        <f>IF(ISBLANK($A22),"",INDEX(Array_ElectricalCharges,MATCH($A22,List_ElectricityMeters,0),ROUNDUP(COLUMN()/3,0)-2))</f>
        <v/>
      </c>
      <c r="Q22" s="127"/>
      <c r="R22" s="137"/>
      <c r="S22" s="58" t="str" cm="1">
        <f>IF(ISBLANK($A22),"",INDEX(Array_ElectricalCharges,MATCH($A22,List_ElectricityMeters,0),ROUNDUP(COLUMN()/3,0)-2))</f>
        <v/>
      </c>
      <c r="T22" s="127"/>
      <c r="U22" s="137"/>
      <c r="V22" s="58" t="str" cm="1">
        <f>IF(ISBLANK($A22),"",INDEX(Array_ElectricalCharges,MATCH($A22,List_ElectricityMeters,0),ROUNDUP(COLUMN()/3,0)-2))</f>
        <v/>
      </c>
      <c r="W22" s="127"/>
      <c r="X22" s="137"/>
      <c r="Y22" s="58" t="str" cm="1">
        <f>IF(ISBLANK($A22),"",INDEX(Array_ElectricalCharges,MATCH($A22,List_ElectricityMeters,0),ROUNDUP(COLUMN()/3,0)-2))</f>
        <v/>
      </c>
      <c r="Z22" s="127"/>
      <c r="AA22" s="137"/>
      <c r="AB22" s="58" t="str" cm="1">
        <f>IF(ISBLANK($A22),"",INDEX(Array_ElectricalCharges,MATCH($A22,List_ElectricityMeters,0),ROUNDUP(COLUMN()/3,0)-2))</f>
        <v/>
      </c>
      <c r="AC22" s="127"/>
      <c r="AD22" s="137"/>
      <c r="AE22" s="58" t="str" cm="1">
        <f>IF(ISBLANK($A22),"",INDEX(Array_ElectricalCharges,MATCH($A22,List_ElectricityMeters,0),ROUNDUP(COLUMN()/3,0)-2))</f>
        <v/>
      </c>
      <c r="AF22" s="127"/>
      <c r="AG22" s="137"/>
      <c r="AH22" s="58" t="str" cm="1">
        <f>IF(ISBLANK($A22),"",INDEX(Array_ElectricalCharges,MATCH($A22,List_ElectricityMeters,0),ROUNDUP(COLUMN()/3,0)-2))</f>
        <v/>
      </c>
      <c r="AI22" s="127"/>
      <c r="AJ22" s="137"/>
      <c r="AK22" s="58" t="str" cm="1">
        <f>IF(ISBLANK($A22),"",INDEX(Array_ElectricalCharges,MATCH($A22,List_ElectricityMeters,0),ROUNDUP(COLUMN()/3,0)-2))</f>
        <v/>
      </c>
      <c r="AL22" s="127"/>
      <c r="AM22" s="137"/>
      <c r="AN22" s="58" t="str" cm="1">
        <f>IF(ISBLANK($A22),"",INDEX(Array_ElectricalCharges,MATCH($A22,List_ElectricityMeters,0),ROUNDUP(COLUMN()/3,0)-2))</f>
        <v/>
      </c>
      <c r="AO22" s="127"/>
      <c r="AP22" s="137"/>
      <c r="AQ22" s="58" t="str" cm="1">
        <f>IF(ISBLANK($A22),"",INDEX(Array_ElectricalCharges,MATCH($A22,List_ElectricityMeters,0),ROUNDUP(COLUMN()/3,0)-2))</f>
        <v/>
      </c>
      <c r="AR22" s="127"/>
      <c r="AS22" s="137"/>
      <c r="AT22" s="58" t="str" cm="1">
        <f>IF(ISBLANK($A22),"",INDEX(Array_ElectricalCharges,MATCH($A22,List_ElectricityMeters,0),ROUNDUP(COLUMN()/3,0)-2))</f>
        <v/>
      </c>
      <c r="AU22" s="127"/>
      <c r="AV22" s="137"/>
      <c r="AW22" s="58" t="str" cm="1">
        <f>IF(ISBLANK($A22),"",INDEX(Array_ElectricalCharges,MATCH($A22,List_ElectricityMeters,0),ROUNDUP(COLUMN()/3,0)-2))</f>
        <v/>
      </c>
      <c r="AX22" s="127"/>
      <c r="AY22" s="137"/>
    </row>
    <row r="23" spans="1:51" x14ac:dyDescent="0.3">
      <c r="A23" s="126"/>
      <c r="B23" s="133"/>
      <c r="C23" s="134"/>
      <c r="D23" s="134"/>
      <c r="E23" s="135"/>
      <c r="F23" s="136"/>
      <c r="G23" s="58" t="str" cm="1">
        <f>IF(ISBLANK($A23),"",INDEX(Array_ElectricalCharges,MATCH($A23,List_ElectricityMeters,0),ROUNDUP(COLUMN()/3,0)-2))</f>
        <v/>
      </c>
      <c r="H23" s="127"/>
      <c r="I23" s="137"/>
      <c r="J23" s="58" t="str" cm="1">
        <f>IF(ISBLANK($A23),"",INDEX(Array_ElectricalCharges,MATCH($A23,List_ElectricityMeters,0),ROUNDUP(COLUMN()/3,0)-2))</f>
        <v/>
      </c>
      <c r="K23" s="127"/>
      <c r="L23" s="137"/>
      <c r="M23" s="58" t="str" cm="1">
        <f>IF(ISBLANK($A23),"",INDEX(Array_ElectricalCharges,MATCH($A23,List_ElectricityMeters,0),ROUNDUP(COLUMN()/3,0)-2))</f>
        <v/>
      </c>
      <c r="N23" s="127"/>
      <c r="O23" s="137"/>
      <c r="P23" s="58" t="str" cm="1">
        <f>IF(ISBLANK($A23),"",INDEX(Array_ElectricalCharges,MATCH($A23,List_ElectricityMeters,0),ROUNDUP(COLUMN()/3,0)-2))</f>
        <v/>
      </c>
      <c r="Q23" s="127"/>
      <c r="R23" s="137"/>
      <c r="S23" s="58" t="str" cm="1">
        <f>IF(ISBLANK($A23),"",INDEX(Array_ElectricalCharges,MATCH($A23,List_ElectricityMeters,0),ROUNDUP(COLUMN()/3,0)-2))</f>
        <v/>
      </c>
      <c r="T23" s="127"/>
      <c r="U23" s="137"/>
      <c r="V23" s="58" t="str" cm="1">
        <f>IF(ISBLANK($A23),"",INDEX(Array_ElectricalCharges,MATCH($A23,List_ElectricityMeters,0),ROUNDUP(COLUMN()/3,0)-2))</f>
        <v/>
      </c>
      <c r="W23" s="127"/>
      <c r="X23" s="137"/>
      <c r="Y23" s="58" t="str" cm="1">
        <f>IF(ISBLANK($A23),"",INDEX(Array_ElectricalCharges,MATCH($A23,List_ElectricityMeters,0),ROUNDUP(COLUMN()/3,0)-2))</f>
        <v/>
      </c>
      <c r="Z23" s="127"/>
      <c r="AA23" s="137"/>
      <c r="AB23" s="58" t="str" cm="1">
        <f>IF(ISBLANK($A23),"",INDEX(Array_ElectricalCharges,MATCH($A23,List_ElectricityMeters,0),ROUNDUP(COLUMN()/3,0)-2))</f>
        <v/>
      </c>
      <c r="AC23" s="127"/>
      <c r="AD23" s="137"/>
      <c r="AE23" s="58" t="str" cm="1">
        <f>IF(ISBLANK($A23),"",INDEX(Array_ElectricalCharges,MATCH($A23,List_ElectricityMeters,0),ROUNDUP(COLUMN()/3,0)-2))</f>
        <v/>
      </c>
      <c r="AF23" s="127"/>
      <c r="AG23" s="137"/>
      <c r="AH23" s="58" t="str" cm="1">
        <f>IF(ISBLANK($A23),"",INDEX(Array_ElectricalCharges,MATCH($A23,List_ElectricityMeters,0),ROUNDUP(COLUMN()/3,0)-2))</f>
        <v/>
      </c>
      <c r="AI23" s="127"/>
      <c r="AJ23" s="137"/>
      <c r="AK23" s="58" t="str" cm="1">
        <f>IF(ISBLANK($A23),"",INDEX(Array_ElectricalCharges,MATCH($A23,List_ElectricityMeters,0),ROUNDUP(COLUMN()/3,0)-2))</f>
        <v/>
      </c>
      <c r="AL23" s="127"/>
      <c r="AM23" s="137"/>
      <c r="AN23" s="58" t="str" cm="1">
        <f>IF(ISBLANK($A23),"",INDEX(Array_ElectricalCharges,MATCH($A23,List_ElectricityMeters,0),ROUNDUP(COLUMN()/3,0)-2))</f>
        <v/>
      </c>
      <c r="AO23" s="127"/>
      <c r="AP23" s="137"/>
      <c r="AQ23" s="58" t="str" cm="1">
        <f>IF(ISBLANK($A23),"",INDEX(Array_ElectricalCharges,MATCH($A23,List_ElectricityMeters,0),ROUNDUP(COLUMN()/3,0)-2))</f>
        <v/>
      </c>
      <c r="AR23" s="127"/>
      <c r="AS23" s="137"/>
      <c r="AT23" s="58" t="str" cm="1">
        <f>IF(ISBLANK($A23),"",INDEX(Array_ElectricalCharges,MATCH($A23,List_ElectricityMeters,0),ROUNDUP(COLUMN()/3,0)-2))</f>
        <v/>
      </c>
      <c r="AU23" s="127"/>
      <c r="AV23" s="137"/>
      <c r="AW23" s="58" t="str" cm="1">
        <f>IF(ISBLANK($A23),"",INDEX(Array_ElectricalCharges,MATCH($A23,List_ElectricityMeters,0),ROUNDUP(COLUMN()/3,0)-2))</f>
        <v/>
      </c>
      <c r="AX23" s="127"/>
      <c r="AY23" s="137"/>
    </row>
    <row r="24" spans="1:51" x14ac:dyDescent="0.3">
      <c r="A24" s="126"/>
      <c r="B24" s="133"/>
      <c r="C24" s="134"/>
      <c r="D24" s="134"/>
      <c r="E24" s="135"/>
      <c r="F24" s="136"/>
      <c r="G24" s="58" t="str" cm="1">
        <f>IF(ISBLANK($A24),"",INDEX(Array_ElectricalCharges,MATCH($A24,List_ElectricityMeters,0),ROUNDUP(COLUMN()/3,0)-2))</f>
        <v/>
      </c>
      <c r="H24" s="127"/>
      <c r="I24" s="137"/>
      <c r="J24" s="58" t="str" cm="1">
        <f>IF(ISBLANK($A24),"",INDEX(Array_ElectricalCharges,MATCH($A24,List_ElectricityMeters,0),ROUNDUP(COLUMN()/3,0)-2))</f>
        <v/>
      </c>
      <c r="K24" s="127"/>
      <c r="L24" s="137"/>
      <c r="M24" s="58" t="str" cm="1">
        <f>IF(ISBLANK($A24),"",INDEX(Array_ElectricalCharges,MATCH($A24,List_ElectricityMeters,0),ROUNDUP(COLUMN()/3,0)-2))</f>
        <v/>
      </c>
      <c r="N24" s="127"/>
      <c r="O24" s="137"/>
      <c r="P24" s="58" t="str" cm="1">
        <f>IF(ISBLANK($A24),"",INDEX(Array_ElectricalCharges,MATCH($A24,List_ElectricityMeters,0),ROUNDUP(COLUMN()/3,0)-2))</f>
        <v/>
      </c>
      <c r="Q24" s="127"/>
      <c r="R24" s="137"/>
      <c r="S24" s="58" t="str" cm="1">
        <f>IF(ISBLANK($A24),"",INDEX(Array_ElectricalCharges,MATCH($A24,List_ElectricityMeters,0),ROUNDUP(COLUMN()/3,0)-2))</f>
        <v/>
      </c>
      <c r="T24" s="127"/>
      <c r="U24" s="137"/>
      <c r="V24" s="58" t="str" cm="1">
        <f>IF(ISBLANK($A24),"",INDEX(Array_ElectricalCharges,MATCH($A24,List_ElectricityMeters,0),ROUNDUP(COLUMN()/3,0)-2))</f>
        <v/>
      </c>
      <c r="W24" s="127"/>
      <c r="X24" s="137"/>
      <c r="Y24" s="58" t="str" cm="1">
        <f>IF(ISBLANK($A24),"",INDEX(Array_ElectricalCharges,MATCH($A24,List_ElectricityMeters,0),ROUNDUP(COLUMN()/3,0)-2))</f>
        <v/>
      </c>
      <c r="Z24" s="127"/>
      <c r="AA24" s="137"/>
      <c r="AB24" s="58" t="str" cm="1">
        <f>IF(ISBLANK($A24),"",INDEX(Array_ElectricalCharges,MATCH($A24,List_ElectricityMeters,0),ROUNDUP(COLUMN()/3,0)-2))</f>
        <v/>
      </c>
      <c r="AC24" s="127"/>
      <c r="AD24" s="137"/>
      <c r="AE24" s="58" t="str" cm="1">
        <f>IF(ISBLANK($A24),"",INDEX(Array_ElectricalCharges,MATCH($A24,List_ElectricityMeters,0),ROUNDUP(COLUMN()/3,0)-2))</f>
        <v/>
      </c>
      <c r="AF24" s="127"/>
      <c r="AG24" s="137"/>
      <c r="AH24" s="58" t="str" cm="1">
        <f>IF(ISBLANK($A24),"",INDEX(Array_ElectricalCharges,MATCH($A24,List_ElectricityMeters,0),ROUNDUP(COLUMN()/3,0)-2))</f>
        <v/>
      </c>
      <c r="AI24" s="127"/>
      <c r="AJ24" s="137"/>
      <c r="AK24" s="58" t="str" cm="1">
        <f>IF(ISBLANK($A24),"",INDEX(Array_ElectricalCharges,MATCH($A24,List_ElectricityMeters,0),ROUNDUP(COLUMN()/3,0)-2))</f>
        <v/>
      </c>
      <c r="AL24" s="127"/>
      <c r="AM24" s="137"/>
      <c r="AN24" s="58" t="str" cm="1">
        <f>IF(ISBLANK($A24),"",INDEX(Array_ElectricalCharges,MATCH($A24,List_ElectricityMeters,0),ROUNDUP(COLUMN()/3,0)-2))</f>
        <v/>
      </c>
      <c r="AO24" s="127"/>
      <c r="AP24" s="137"/>
      <c r="AQ24" s="58" t="str" cm="1">
        <f>IF(ISBLANK($A24),"",INDEX(Array_ElectricalCharges,MATCH($A24,List_ElectricityMeters,0),ROUNDUP(COLUMN()/3,0)-2))</f>
        <v/>
      </c>
      <c r="AR24" s="127"/>
      <c r="AS24" s="137"/>
      <c r="AT24" s="58" t="str" cm="1">
        <f>IF(ISBLANK($A24),"",INDEX(Array_ElectricalCharges,MATCH($A24,List_ElectricityMeters,0),ROUNDUP(COLUMN()/3,0)-2))</f>
        <v/>
      </c>
      <c r="AU24" s="127"/>
      <c r="AV24" s="137"/>
      <c r="AW24" s="58" t="str" cm="1">
        <f>IF(ISBLANK($A24),"",INDEX(Array_ElectricalCharges,MATCH($A24,List_ElectricityMeters,0),ROUNDUP(COLUMN()/3,0)-2))</f>
        <v/>
      </c>
      <c r="AX24" s="127"/>
      <c r="AY24" s="137"/>
    </row>
    <row r="25" spans="1:51" x14ac:dyDescent="0.3">
      <c r="A25" s="126"/>
      <c r="B25" s="133"/>
      <c r="C25" s="134"/>
      <c r="D25" s="134"/>
      <c r="E25" s="135"/>
      <c r="F25" s="136"/>
      <c r="G25" s="58" t="str" cm="1">
        <f>IF(ISBLANK($A25),"",INDEX(Array_ElectricalCharges,MATCH($A25,List_ElectricityMeters,0),ROUNDUP(COLUMN()/3,0)-2))</f>
        <v/>
      </c>
      <c r="H25" s="127"/>
      <c r="I25" s="137"/>
      <c r="J25" s="58" t="str" cm="1">
        <f>IF(ISBLANK($A25),"",INDEX(Array_ElectricalCharges,MATCH($A25,List_ElectricityMeters,0),ROUNDUP(COLUMN()/3,0)-2))</f>
        <v/>
      </c>
      <c r="K25" s="127"/>
      <c r="L25" s="137"/>
      <c r="M25" s="58" t="str" cm="1">
        <f>IF(ISBLANK($A25),"",INDEX(Array_ElectricalCharges,MATCH($A25,List_ElectricityMeters,0),ROUNDUP(COLUMN()/3,0)-2))</f>
        <v/>
      </c>
      <c r="N25" s="127"/>
      <c r="O25" s="137"/>
      <c r="P25" s="58" t="str" cm="1">
        <f>IF(ISBLANK($A25),"",INDEX(Array_ElectricalCharges,MATCH($A25,List_ElectricityMeters,0),ROUNDUP(COLUMN()/3,0)-2))</f>
        <v/>
      </c>
      <c r="Q25" s="127"/>
      <c r="R25" s="137"/>
      <c r="S25" s="58" t="str" cm="1">
        <f>IF(ISBLANK($A25),"",INDEX(Array_ElectricalCharges,MATCH($A25,List_ElectricityMeters,0),ROUNDUP(COLUMN()/3,0)-2))</f>
        <v/>
      </c>
      <c r="T25" s="127"/>
      <c r="U25" s="137"/>
      <c r="V25" s="58" t="str" cm="1">
        <f>IF(ISBLANK($A25),"",INDEX(Array_ElectricalCharges,MATCH($A25,List_ElectricityMeters,0),ROUNDUP(COLUMN()/3,0)-2))</f>
        <v/>
      </c>
      <c r="W25" s="127"/>
      <c r="X25" s="137"/>
      <c r="Y25" s="58" t="str" cm="1">
        <f>IF(ISBLANK($A25),"",INDEX(Array_ElectricalCharges,MATCH($A25,List_ElectricityMeters,0),ROUNDUP(COLUMN()/3,0)-2))</f>
        <v/>
      </c>
      <c r="Z25" s="127"/>
      <c r="AA25" s="137"/>
      <c r="AB25" s="58" t="str" cm="1">
        <f>IF(ISBLANK($A25),"",INDEX(Array_ElectricalCharges,MATCH($A25,List_ElectricityMeters,0),ROUNDUP(COLUMN()/3,0)-2))</f>
        <v/>
      </c>
      <c r="AC25" s="127"/>
      <c r="AD25" s="137"/>
      <c r="AE25" s="58" t="str" cm="1">
        <f>IF(ISBLANK($A25),"",INDEX(Array_ElectricalCharges,MATCH($A25,List_ElectricityMeters,0),ROUNDUP(COLUMN()/3,0)-2))</f>
        <v/>
      </c>
      <c r="AF25" s="127"/>
      <c r="AG25" s="137"/>
      <c r="AH25" s="58" t="str" cm="1">
        <f>IF(ISBLANK($A25),"",INDEX(Array_ElectricalCharges,MATCH($A25,List_ElectricityMeters,0),ROUNDUP(COLUMN()/3,0)-2))</f>
        <v/>
      </c>
      <c r="AI25" s="127"/>
      <c r="AJ25" s="137"/>
      <c r="AK25" s="58" t="str" cm="1">
        <f>IF(ISBLANK($A25),"",INDEX(Array_ElectricalCharges,MATCH($A25,List_ElectricityMeters,0),ROUNDUP(COLUMN()/3,0)-2))</f>
        <v/>
      </c>
      <c r="AL25" s="127"/>
      <c r="AM25" s="137"/>
      <c r="AN25" s="58" t="str" cm="1">
        <f>IF(ISBLANK($A25),"",INDEX(Array_ElectricalCharges,MATCH($A25,List_ElectricityMeters,0),ROUNDUP(COLUMN()/3,0)-2))</f>
        <v/>
      </c>
      <c r="AO25" s="127"/>
      <c r="AP25" s="137"/>
      <c r="AQ25" s="58" t="str" cm="1">
        <f>IF(ISBLANK($A25),"",INDEX(Array_ElectricalCharges,MATCH($A25,List_ElectricityMeters,0),ROUNDUP(COLUMN()/3,0)-2))</f>
        <v/>
      </c>
      <c r="AR25" s="127"/>
      <c r="AS25" s="137"/>
      <c r="AT25" s="58" t="str" cm="1">
        <f>IF(ISBLANK($A25),"",INDEX(Array_ElectricalCharges,MATCH($A25,List_ElectricityMeters,0),ROUNDUP(COLUMN()/3,0)-2))</f>
        <v/>
      </c>
      <c r="AU25" s="127"/>
      <c r="AV25" s="137"/>
      <c r="AW25" s="58" t="str" cm="1">
        <f>IF(ISBLANK($A25),"",INDEX(Array_ElectricalCharges,MATCH($A25,List_ElectricityMeters,0),ROUNDUP(COLUMN()/3,0)-2))</f>
        <v/>
      </c>
      <c r="AX25" s="127"/>
      <c r="AY25" s="137"/>
    </row>
    <row r="26" spans="1:51" x14ac:dyDescent="0.3">
      <c r="A26" s="126"/>
      <c r="B26" s="133"/>
      <c r="C26" s="134"/>
      <c r="D26" s="134"/>
      <c r="E26" s="135"/>
      <c r="F26" s="136"/>
      <c r="G26" s="58" t="str" cm="1">
        <f>IF(ISBLANK($A26),"",INDEX(Array_ElectricalCharges,MATCH($A26,List_ElectricityMeters,0),ROUNDUP(COLUMN()/3,0)-2))</f>
        <v/>
      </c>
      <c r="H26" s="127"/>
      <c r="I26" s="137"/>
      <c r="J26" s="58" t="str" cm="1">
        <f>IF(ISBLANK($A26),"",INDEX(Array_ElectricalCharges,MATCH($A26,List_ElectricityMeters,0),ROUNDUP(COLUMN()/3,0)-2))</f>
        <v/>
      </c>
      <c r="K26" s="127"/>
      <c r="L26" s="137"/>
      <c r="M26" s="58" t="str" cm="1">
        <f>IF(ISBLANK($A26),"",INDEX(Array_ElectricalCharges,MATCH($A26,List_ElectricityMeters,0),ROUNDUP(COLUMN()/3,0)-2))</f>
        <v/>
      </c>
      <c r="N26" s="127"/>
      <c r="O26" s="137"/>
      <c r="P26" s="58" t="str" cm="1">
        <f>IF(ISBLANK($A26),"",INDEX(Array_ElectricalCharges,MATCH($A26,List_ElectricityMeters,0),ROUNDUP(COLUMN()/3,0)-2))</f>
        <v/>
      </c>
      <c r="Q26" s="127"/>
      <c r="R26" s="137"/>
      <c r="S26" s="58" t="str" cm="1">
        <f>IF(ISBLANK($A26),"",INDEX(Array_ElectricalCharges,MATCH($A26,List_ElectricityMeters,0),ROUNDUP(COLUMN()/3,0)-2))</f>
        <v/>
      </c>
      <c r="T26" s="127"/>
      <c r="U26" s="137"/>
      <c r="V26" s="58" t="str" cm="1">
        <f>IF(ISBLANK($A26),"",INDEX(Array_ElectricalCharges,MATCH($A26,List_ElectricityMeters,0),ROUNDUP(COLUMN()/3,0)-2))</f>
        <v/>
      </c>
      <c r="W26" s="127"/>
      <c r="X26" s="137"/>
      <c r="Y26" s="58" t="str" cm="1">
        <f>IF(ISBLANK($A26),"",INDEX(Array_ElectricalCharges,MATCH($A26,List_ElectricityMeters,0),ROUNDUP(COLUMN()/3,0)-2))</f>
        <v/>
      </c>
      <c r="Z26" s="127"/>
      <c r="AA26" s="137"/>
      <c r="AB26" s="58" t="str" cm="1">
        <f>IF(ISBLANK($A26),"",INDEX(Array_ElectricalCharges,MATCH($A26,List_ElectricityMeters,0),ROUNDUP(COLUMN()/3,0)-2))</f>
        <v/>
      </c>
      <c r="AC26" s="127"/>
      <c r="AD26" s="137"/>
      <c r="AE26" s="58" t="str" cm="1">
        <f>IF(ISBLANK($A26),"",INDEX(Array_ElectricalCharges,MATCH($A26,List_ElectricityMeters,0),ROUNDUP(COLUMN()/3,0)-2))</f>
        <v/>
      </c>
      <c r="AF26" s="127"/>
      <c r="AG26" s="137"/>
      <c r="AH26" s="58" t="str" cm="1">
        <f>IF(ISBLANK($A26),"",INDEX(Array_ElectricalCharges,MATCH($A26,List_ElectricityMeters,0),ROUNDUP(COLUMN()/3,0)-2))</f>
        <v/>
      </c>
      <c r="AI26" s="127"/>
      <c r="AJ26" s="137"/>
      <c r="AK26" s="58" t="str" cm="1">
        <f>IF(ISBLANK($A26),"",INDEX(Array_ElectricalCharges,MATCH($A26,List_ElectricityMeters,0),ROUNDUP(COLUMN()/3,0)-2))</f>
        <v/>
      </c>
      <c r="AL26" s="127"/>
      <c r="AM26" s="137"/>
      <c r="AN26" s="58" t="str" cm="1">
        <f>IF(ISBLANK($A26),"",INDEX(Array_ElectricalCharges,MATCH($A26,List_ElectricityMeters,0),ROUNDUP(COLUMN()/3,0)-2))</f>
        <v/>
      </c>
      <c r="AO26" s="127"/>
      <c r="AP26" s="137"/>
      <c r="AQ26" s="58" t="str" cm="1">
        <f>IF(ISBLANK($A26),"",INDEX(Array_ElectricalCharges,MATCH($A26,List_ElectricityMeters,0),ROUNDUP(COLUMN()/3,0)-2))</f>
        <v/>
      </c>
      <c r="AR26" s="127"/>
      <c r="AS26" s="137"/>
      <c r="AT26" s="58" t="str" cm="1">
        <f>IF(ISBLANK($A26),"",INDEX(Array_ElectricalCharges,MATCH($A26,List_ElectricityMeters,0),ROUNDUP(COLUMN()/3,0)-2))</f>
        <v/>
      </c>
      <c r="AU26" s="127"/>
      <c r="AV26" s="137"/>
      <c r="AW26" s="58" t="str" cm="1">
        <f>IF(ISBLANK($A26),"",INDEX(Array_ElectricalCharges,MATCH($A26,List_ElectricityMeters,0),ROUNDUP(COLUMN()/3,0)-2))</f>
        <v/>
      </c>
      <c r="AX26" s="127"/>
      <c r="AY26" s="137"/>
    </row>
    <row r="27" spans="1:51" x14ac:dyDescent="0.3">
      <c r="A27" s="126"/>
      <c r="B27" s="133"/>
      <c r="C27" s="134"/>
      <c r="D27" s="134"/>
      <c r="E27" s="135"/>
      <c r="F27" s="136"/>
      <c r="G27" s="58" t="str" cm="1">
        <f>IF(ISBLANK($A27),"",INDEX(Array_ElectricalCharges,MATCH($A27,List_ElectricityMeters,0),ROUNDUP(COLUMN()/3,0)-2))</f>
        <v/>
      </c>
      <c r="H27" s="127"/>
      <c r="I27" s="137"/>
      <c r="J27" s="58" t="str" cm="1">
        <f>IF(ISBLANK($A27),"",INDEX(Array_ElectricalCharges,MATCH($A27,List_ElectricityMeters,0),ROUNDUP(COLUMN()/3,0)-2))</f>
        <v/>
      </c>
      <c r="K27" s="127"/>
      <c r="L27" s="137"/>
      <c r="M27" s="58" t="str" cm="1">
        <f>IF(ISBLANK($A27),"",INDEX(Array_ElectricalCharges,MATCH($A27,List_ElectricityMeters,0),ROUNDUP(COLUMN()/3,0)-2))</f>
        <v/>
      </c>
      <c r="N27" s="127"/>
      <c r="O27" s="137"/>
      <c r="P27" s="58" t="str" cm="1">
        <f>IF(ISBLANK($A27),"",INDEX(Array_ElectricalCharges,MATCH($A27,List_ElectricityMeters,0),ROUNDUP(COLUMN()/3,0)-2))</f>
        <v/>
      </c>
      <c r="Q27" s="127"/>
      <c r="R27" s="137"/>
      <c r="S27" s="58" t="str" cm="1">
        <f>IF(ISBLANK($A27),"",INDEX(Array_ElectricalCharges,MATCH($A27,List_ElectricityMeters,0),ROUNDUP(COLUMN()/3,0)-2))</f>
        <v/>
      </c>
      <c r="T27" s="127"/>
      <c r="U27" s="137"/>
      <c r="V27" s="58" t="str" cm="1">
        <f>IF(ISBLANK($A27),"",INDEX(Array_ElectricalCharges,MATCH($A27,List_ElectricityMeters,0),ROUNDUP(COLUMN()/3,0)-2))</f>
        <v/>
      </c>
      <c r="W27" s="127"/>
      <c r="X27" s="137"/>
      <c r="Y27" s="58" t="str" cm="1">
        <f>IF(ISBLANK($A27),"",INDEX(Array_ElectricalCharges,MATCH($A27,List_ElectricityMeters,0),ROUNDUP(COLUMN()/3,0)-2))</f>
        <v/>
      </c>
      <c r="Z27" s="127"/>
      <c r="AA27" s="137"/>
      <c r="AB27" s="58" t="str" cm="1">
        <f>IF(ISBLANK($A27),"",INDEX(Array_ElectricalCharges,MATCH($A27,List_ElectricityMeters,0),ROUNDUP(COLUMN()/3,0)-2))</f>
        <v/>
      </c>
      <c r="AC27" s="127"/>
      <c r="AD27" s="137"/>
      <c r="AE27" s="58" t="str" cm="1">
        <f>IF(ISBLANK($A27),"",INDEX(Array_ElectricalCharges,MATCH($A27,List_ElectricityMeters,0),ROUNDUP(COLUMN()/3,0)-2))</f>
        <v/>
      </c>
      <c r="AF27" s="127"/>
      <c r="AG27" s="137"/>
      <c r="AH27" s="58" t="str" cm="1">
        <f>IF(ISBLANK($A27),"",INDEX(Array_ElectricalCharges,MATCH($A27,List_ElectricityMeters,0),ROUNDUP(COLUMN()/3,0)-2))</f>
        <v/>
      </c>
      <c r="AI27" s="127"/>
      <c r="AJ27" s="137"/>
      <c r="AK27" s="58" t="str" cm="1">
        <f>IF(ISBLANK($A27),"",INDEX(Array_ElectricalCharges,MATCH($A27,List_ElectricityMeters,0),ROUNDUP(COLUMN()/3,0)-2))</f>
        <v/>
      </c>
      <c r="AL27" s="127"/>
      <c r="AM27" s="137"/>
      <c r="AN27" s="58" t="str" cm="1">
        <f>IF(ISBLANK($A27),"",INDEX(Array_ElectricalCharges,MATCH($A27,List_ElectricityMeters,0),ROUNDUP(COLUMN()/3,0)-2))</f>
        <v/>
      </c>
      <c r="AO27" s="127"/>
      <c r="AP27" s="137"/>
      <c r="AQ27" s="58" t="str" cm="1">
        <f>IF(ISBLANK($A27),"",INDEX(Array_ElectricalCharges,MATCH($A27,List_ElectricityMeters,0),ROUNDUP(COLUMN()/3,0)-2))</f>
        <v/>
      </c>
      <c r="AR27" s="127"/>
      <c r="AS27" s="137"/>
      <c r="AT27" s="58" t="str" cm="1">
        <f>IF(ISBLANK($A27),"",INDEX(Array_ElectricalCharges,MATCH($A27,List_ElectricityMeters,0),ROUNDUP(COLUMN()/3,0)-2))</f>
        <v/>
      </c>
      <c r="AU27" s="127"/>
      <c r="AV27" s="137"/>
      <c r="AW27" s="58" t="str" cm="1">
        <f>IF(ISBLANK($A27),"",INDEX(Array_ElectricalCharges,MATCH($A27,List_ElectricityMeters,0),ROUNDUP(COLUMN()/3,0)-2))</f>
        <v/>
      </c>
      <c r="AX27" s="127"/>
      <c r="AY27" s="137"/>
    </row>
    <row r="28" spans="1:51" x14ac:dyDescent="0.3">
      <c r="A28" s="126"/>
      <c r="B28" s="133"/>
      <c r="C28" s="134"/>
      <c r="D28" s="134"/>
      <c r="E28" s="135"/>
      <c r="F28" s="136"/>
      <c r="G28" s="58" t="str" cm="1">
        <f>IF(ISBLANK($A28),"",INDEX(Array_ElectricalCharges,MATCH($A28,List_ElectricityMeters,0),ROUNDUP(COLUMN()/3,0)-2))</f>
        <v/>
      </c>
      <c r="H28" s="127"/>
      <c r="I28" s="137"/>
      <c r="J28" s="58" t="str" cm="1">
        <f>IF(ISBLANK($A28),"",INDEX(Array_ElectricalCharges,MATCH($A28,List_ElectricityMeters,0),ROUNDUP(COLUMN()/3,0)-2))</f>
        <v/>
      </c>
      <c r="K28" s="127"/>
      <c r="L28" s="137"/>
      <c r="M28" s="58" t="str" cm="1">
        <f>IF(ISBLANK($A28),"",INDEX(Array_ElectricalCharges,MATCH($A28,List_ElectricityMeters,0),ROUNDUP(COLUMN()/3,0)-2))</f>
        <v/>
      </c>
      <c r="N28" s="127"/>
      <c r="O28" s="137"/>
      <c r="P28" s="58" t="str" cm="1">
        <f>IF(ISBLANK($A28),"",INDEX(Array_ElectricalCharges,MATCH($A28,List_ElectricityMeters,0),ROUNDUP(COLUMN()/3,0)-2))</f>
        <v/>
      </c>
      <c r="Q28" s="127"/>
      <c r="R28" s="137"/>
      <c r="S28" s="58" t="str" cm="1">
        <f>IF(ISBLANK($A28),"",INDEX(Array_ElectricalCharges,MATCH($A28,List_ElectricityMeters,0),ROUNDUP(COLUMN()/3,0)-2))</f>
        <v/>
      </c>
      <c r="T28" s="127"/>
      <c r="U28" s="137"/>
      <c r="V28" s="58" t="str" cm="1">
        <f>IF(ISBLANK($A28),"",INDEX(Array_ElectricalCharges,MATCH($A28,List_ElectricityMeters,0),ROUNDUP(COLUMN()/3,0)-2))</f>
        <v/>
      </c>
      <c r="W28" s="127"/>
      <c r="X28" s="137"/>
      <c r="Y28" s="58" t="str" cm="1">
        <f>IF(ISBLANK($A28),"",INDEX(Array_ElectricalCharges,MATCH($A28,List_ElectricityMeters,0),ROUNDUP(COLUMN()/3,0)-2))</f>
        <v/>
      </c>
      <c r="Z28" s="127"/>
      <c r="AA28" s="137"/>
      <c r="AB28" s="58" t="str" cm="1">
        <f>IF(ISBLANK($A28),"",INDEX(Array_ElectricalCharges,MATCH($A28,List_ElectricityMeters,0),ROUNDUP(COLUMN()/3,0)-2))</f>
        <v/>
      </c>
      <c r="AC28" s="127"/>
      <c r="AD28" s="137"/>
      <c r="AE28" s="58" t="str" cm="1">
        <f>IF(ISBLANK($A28),"",INDEX(Array_ElectricalCharges,MATCH($A28,List_ElectricityMeters,0),ROUNDUP(COLUMN()/3,0)-2))</f>
        <v/>
      </c>
      <c r="AF28" s="127"/>
      <c r="AG28" s="137"/>
      <c r="AH28" s="58" t="str" cm="1">
        <f>IF(ISBLANK($A28),"",INDEX(Array_ElectricalCharges,MATCH($A28,List_ElectricityMeters,0),ROUNDUP(COLUMN()/3,0)-2))</f>
        <v/>
      </c>
      <c r="AI28" s="127"/>
      <c r="AJ28" s="137"/>
      <c r="AK28" s="58" t="str" cm="1">
        <f>IF(ISBLANK($A28),"",INDEX(Array_ElectricalCharges,MATCH($A28,List_ElectricityMeters,0),ROUNDUP(COLUMN()/3,0)-2))</f>
        <v/>
      </c>
      <c r="AL28" s="127"/>
      <c r="AM28" s="137"/>
      <c r="AN28" s="58" t="str" cm="1">
        <f>IF(ISBLANK($A28),"",INDEX(Array_ElectricalCharges,MATCH($A28,List_ElectricityMeters,0),ROUNDUP(COLUMN()/3,0)-2))</f>
        <v/>
      </c>
      <c r="AO28" s="127"/>
      <c r="AP28" s="137"/>
      <c r="AQ28" s="58" t="str" cm="1">
        <f>IF(ISBLANK($A28),"",INDEX(Array_ElectricalCharges,MATCH($A28,List_ElectricityMeters,0),ROUNDUP(COLUMN()/3,0)-2))</f>
        <v/>
      </c>
      <c r="AR28" s="127"/>
      <c r="AS28" s="137"/>
      <c r="AT28" s="58" t="str" cm="1">
        <f>IF(ISBLANK($A28),"",INDEX(Array_ElectricalCharges,MATCH($A28,List_ElectricityMeters,0),ROUNDUP(COLUMN()/3,0)-2))</f>
        <v/>
      </c>
      <c r="AU28" s="127"/>
      <c r="AV28" s="137"/>
      <c r="AW28" s="58" t="str" cm="1">
        <f>IF(ISBLANK($A28),"",INDEX(Array_ElectricalCharges,MATCH($A28,List_ElectricityMeters,0),ROUNDUP(COLUMN()/3,0)-2))</f>
        <v/>
      </c>
      <c r="AX28" s="127"/>
      <c r="AY28" s="137"/>
    </row>
    <row r="29" spans="1:51" x14ac:dyDescent="0.3">
      <c r="A29" s="126"/>
      <c r="B29" s="133"/>
      <c r="C29" s="134"/>
      <c r="D29" s="134"/>
      <c r="E29" s="135"/>
      <c r="F29" s="136"/>
      <c r="G29" s="58" t="str" cm="1">
        <f>IF(ISBLANK($A29),"",INDEX(Array_ElectricalCharges,MATCH($A29,List_ElectricityMeters,0),ROUNDUP(COLUMN()/3,0)-2))</f>
        <v/>
      </c>
      <c r="H29" s="127"/>
      <c r="I29" s="137"/>
      <c r="J29" s="58" t="str" cm="1">
        <f>IF(ISBLANK($A29),"",INDEX(Array_ElectricalCharges,MATCH($A29,List_ElectricityMeters,0),ROUNDUP(COLUMN()/3,0)-2))</f>
        <v/>
      </c>
      <c r="K29" s="127"/>
      <c r="L29" s="137"/>
      <c r="M29" s="58" t="str" cm="1">
        <f>IF(ISBLANK($A29),"",INDEX(Array_ElectricalCharges,MATCH($A29,List_ElectricityMeters,0),ROUNDUP(COLUMN()/3,0)-2))</f>
        <v/>
      </c>
      <c r="N29" s="127"/>
      <c r="O29" s="137"/>
      <c r="P29" s="58" t="str" cm="1">
        <f>IF(ISBLANK($A29),"",INDEX(Array_ElectricalCharges,MATCH($A29,List_ElectricityMeters,0),ROUNDUP(COLUMN()/3,0)-2))</f>
        <v/>
      </c>
      <c r="Q29" s="127"/>
      <c r="R29" s="137"/>
      <c r="S29" s="58" t="str" cm="1">
        <f>IF(ISBLANK($A29),"",INDEX(Array_ElectricalCharges,MATCH($A29,List_ElectricityMeters,0),ROUNDUP(COLUMN()/3,0)-2))</f>
        <v/>
      </c>
      <c r="T29" s="127"/>
      <c r="U29" s="137"/>
      <c r="V29" s="58" t="str" cm="1">
        <f>IF(ISBLANK($A29),"",INDEX(Array_ElectricalCharges,MATCH($A29,List_ElectricityMeters,0),ROUNDUP(COLUMN()/3,0)-2))</f>
        <v/>
      </c>
      <c r="W29" s="127"/>
      <c r="X29" s="137"/>
      <c r="Y29" s="58" t="str" cm="1">
        <f>IF(ISBLANK($A29),"",INDEX(Array_ElectricalCharges,MATCH($A29,List_ElectricityMeters,0),ROUNDUP(COLUMN()/3,0)-2))</f>
        <v/>
      </c>
      <c r="Z29" s="127"/>
      <c r="AA29" s="137"/>
      <c r="AB29" s="58" t="str" cm="1">
        <f>IF(ISBLANK($A29),"",INDEX(Array_ElectricalCharges,MATCH($A29,List_ElectricityMeters,0),ROUNDUP(COLUMN()/3,0)-2))</f>
        <v/>
      </c>
      <c r="AC29" s="127"/>
      <c r="AD29" s="137"/>
      <c r="AE29" s="58" t="str" cm="1">
        <f>IF(ISBLANK($A29),"",INDEX(Array_ElectricalCharges,MATCH($A29,List_ElectricityMeters,0),ROUNDUP(COLUMN()/3,0)-2))</f>
        <v/>
      </c>
      <c r="AF29" s="127"/>
      <c r="AG29" s="137"/>
      <c r="AH29" s="58" t="str" cm="1">
        <f>IF(ISBLANK($A29),"",INDEX(Array_ElectricalCharges,MATCH($A29,List_ElectricityMeters,0),ROUNDUP(COLUMN()/3,0)-2))</f>
        <v/>
      </c>
      <c r="AI29" s="127"/>
      <c r="AJ29" s="137"/>
      <c r="AK29" s="58" t="str" cm="1">
        <f>IF(ISBLANK($A29),"",INDEX(Array_ElectricalCharges,MATCH($A29,List_ElectricityMeters,0),ROUNDUP(COLUMN()/3,0)-2))</f>
        <v/>
      </c>
      <c r="AL29" s="127"/>
      <c r="AM29" s="137"/>
      <c r="AN29" s="58" t="str" cm="1">
        <f>IF(ISBLANK($A29),"",INDEX(Array_ElectricalCharges,MATCH($A29,List_ElectricityMeters,0),ROUNDUP(COLUMN()/3,0)-2))</f>
        <v/>
      </c>
      <c r="AO29" s="127"/>
      <c r="AP29" s="137"/>
      <c r="AQ29" s="58" t="str" cm="1">
        <f>IF(ISBLANK($A29),"",INDEX(Array_ElectricalCharges,MATCH($A29,List_ElectricityMeters,0),ROUNDUP(COLUMN()/3,0)-2))</f>
        <v/>
      </c>
      <c r="AR29" s="127"/>
      <c r="AS29" s="137"/>
      <c r="AT29" s="58" t="str" cm="1">
        <f>IF(ISBLANK($A29),"",INDEX(Array_ElectricalCharges,MATCH($A29,List_ElectricityMeters,0),ROUNDUP(COLUMN()/3,0)-2))</f>
        <v/>
      </c>
      <c r="AU29" s="127"/>
      <c r="AV29" s="137"/>
      <c r="AW29" s="58" t="str" cm="1">
        <f>IF(ISBLANK($A29),"",INDEX(Array_ElectricalCharges,MATCH($A29,List_ElectricityMeters,0),ROUNDUP(COLUMN()/3,0)-2))</f>
        <v/>
      </c>
      <c r="AX29" s="127"/>
      <c r="AY29" s="137"/>
    </row>
    <row r="30" spans="1:51" x14ac:dyDescent="0.3">
      <c r="A30" s="126"/>
      <c r="B30" s="133"/>
      <c r="C30" s="134"/>
      <c r="D30" s="134"/>
      <c r="E30" s="135"/>
      <c r="F30" s="136"/>
      <c r="G30" s="58" t="str" cm="1">
        <f>IF(ISBLANK($A30),"",INDEX(Array_ElectricalCharges,MATCH($A30,List_ElectricityMeters,0),ROUNDUP(COLUMN()/3,0)-2))</f>
        <v/>
      </c>
      <c r="H30" s="127"/>
      <c r="I30" s="137"/>
      <c r="J30" s="58" t="str" cm="1">
        <f>IF(ISBLANK($A30),"",INDEX(Array_ElectricalCharges,MATCH($A30,List_ElectricityMeters,0),ROUNDUP(COLUMN()/3,0)-2))</f>
        <v/>
      </c>
      <c r="K30" s="127"/>
      <c r="L30" s="137"/>
      <c r="M30" s="58" t="str" cm="1">
        <f>IF(ISBLANK($A30),"",INDEX(Array_ElectricalCharges,MATCH($A30,List_ElectricityMeters,0),ROUNDUP(COLUMN()/3,0)-2))</f>
        <v/>
      </c>
      <c r="N30" s="127"/>
      <c r="O30" s="137"/>
      <c r="P30" s="58" t="str" cm="1">
        <f>IF(ISBLANK($A30),"",INDEX(Array_ElectricalCharges,MATCH($A30,List_ElectricityMeters,0),ROUNDUP(COLUMN()/3,0)-2))</f>
        <v/>
      </c>
      <c r="Q30" s="127"/>
      <c r="R30" s="137"/>
      <c r="S30" s="58" t="str" cm="1">
        <f>IF(ISBLANK($A30),"",INDEX(Array_ElectricalCharges,MATCH($A30,List_ElectricityMeters,0),ROUNDUP(COLUMN()/3,0)-2))</f>
        <v/>
      </c>
      <c r="T30" s="127"/>
      <c r="U30" s="137"/>
      <c r="V30" s="58" t="str" cm="1">
        <f>IF(ISBLANK($A30),"",INDEX(Array_ElectricalCharges,MATCH($A30,List_ElectricityMeters,0),ROUNDUP(COLUMN()/3,0)-2))</f>
        <v/>
      </c>
      <c r="W30" s="127"/>
      <c r="X30" s="137"/>
      <c r="Y30" s="58" t="str" cm="1">
        <f>IF(ISBLANK($A30),"",INDEX(Array_ElectricalCharges,MATCH($A30,List_ElectricityMeters,0),ROUNDUP(COLUMN()/3,0)-2))</f>
        <v/>
      </c>
      <c r="Z30" s="127"/>
      <c r="AA30" s="137"/>
      <c r="AB30" s="58" t="str" cm="1">
        <f>IF(ISBLANK($A30),"",INDEX(Array_ElectricalCharges,MATCH($A30,List_ElectricityMeters,0),ROUNDUP(COLUMN()/3,0)-2))</f>
        <v/>
      </c>
      <c r="AC30" s="127"/>
      <c r="AD30" s="137"/>
      <c r="AE30" s="58" t="str" cm="1">
        <f>IF(ISBLANK($A30),"",INDEX(Array_ElectricalCharges,MATCH($A30,List_ElectricityMeters,0),ROUNDUP(COLUMN()/3,0)-2))</f>
        <v/>
      </c>
      <c r="AF30" s="127"/>
      <c r="AG30" s="137"/>
      <c r="AH30" s="58" t="str" cm="1">
        <f>IF(ISBLANK($A30),"",INDEX(Array_ElectricalCharges,MATCH($A30,List_ElectricityMeters,0),ROUNDUP(COLUMN()/3,0)-2))</f>
        <v/>
      </c>
      <c r="AI30" s="127"/>
      <c r="AJ30" s="137"/>
      <c r="AK30" s="58" t="str" cm="1">
        <f>IF(ISBLANK($A30),"",INDEX(Array_ElectricalCharges,MATCH($A30,List_ElectricityMeters,0),ROUNDUP(COLUMN()/3,0)-2))</f>
        <v/>
      </c>
      <c r="AL30" s="127"/>
      <c r="AM30" s="137"/>
      <c r="AN30" s="58" t="str" cm="1">
        <f>IF(ISBLANK($A30),"",INDEX(Array_ElectricalCharges,MATCH($A30,List_ElectricityMeters,0),ROUNDUP(COLUMN()/3,0)-2))</f>
        <v/>
      </c>
      <c r="AO30" s="127"/>
      <c r="AP30" s="137"/>
      <c r="AQ30" s="58" t="str" cm="1">
        <f>IF(ISBLANK($A30),"",INDEX(Array_ElectricalCharges,MATCH($A30,List_ElectricityMeters,0),ROUNDUP(COLUMN()/3,0)-2))</f>
        <v/>
      </c>
      <c r="AR30" s="127"/>
      <c r="AS30" s="137"/>
      <c r="AT30" s="58" t="str" cm="1">
        <f>IF(ISBLANK($A30),"",INDEX(Array_ElectricalCharges,MATCH($A30,List_ElectricityMeters,0),ROUNDUP(COLUMN()/3,0)-2))</f>
        <v/>
      </c>
      <c r="AU30" s="127"/>
      <c r="AV30" s="137"/>
      <c r="AW30" s="58" t="str" cm="1">
        <f>IF(ISBLANK($A30),"",INDEX(Array_ElectricalCharges,MATCH($A30,List_ElectricityMeters,0),ROUNDUP(COLUMN()/3,0)-2))</f>
        <v/>
      </c>
      <c r="AX30" s="127"/>
      <c r="AY30" s="137"/>
    </row>
    <row r="31" spans="1:51" x14ac:dyDescent="0.3">
      <c r="A31" s="126"/>
      <c r="B31" s="133"/>
      <c r="C31" s="134"/>
      <c r="D31" s="134"/>
      <c r="E31" s="135"/>
      <c r="F31" s="136"/>
      <c r="G31" s="58" t="str" cm="1">
        <f>IF(ISBLANK($A31),"",INDEX(Array_ElectricalCharges,MATCH($A31,List_ElectricityMeters,0),ROUNDUP(COLUMN()/3,0)-2))</f>
        <v/>
      </c>
      <c r="H31" s="127"/>
      <c r="I31" s="137"/>
      <c r="J31" s="58" t="str" cm="1">
        <f>IF(ISBLANK($A31),"",INDEX(Array_ElectricalCharges,MATCH($A31,List_ElectricityMeters,0),ROUNDUP(COLUMN()/3,0)-2))</f>
        <v/>
      </c>
      <c r="K31" s="127"/>
      <c r="L31" s="137"/>
      <c r="M31" s="58" t="str" cm="1">
        <f>IF(ISBLANK($A31),"",INDEX(Array_ElectricalCharges,MATCH($A31,List_ElectricityMeters,0),ROUNDUP(COLUMN()/3,0)-2))</f>
        <v/>
      </c>
      <c r="N31" s="127"/>
      <c r="O31" s="137"/>
      <c r="P31" s="58" t="str" cm="1">
        <f>IF(ISBLANK($A31),"",INDEX(Array_ElectricalCharges,MATCH($A31,List_ElectricityMeters,0),ROUNDUP(COLUMN()/3,0)-2))</f>
        <v/>
      </c>
      <c r="Q31" s="127"/>
      <c r="R31" s="137"/>
      <c r="S31" s="58" t="str" cm="1">
        <f>IF(ISBLANK($A31),"",INDEX(Array_ElectricalCharges,MATCH($A31,List_ElectricityMeters,0),ROUNDUP(COLUMN()/3,0)-2))</f>
        <v/>
      </c>
      <c r="T31" s="127"/>
      <c r="U31" s="137"/>
      <c r="V31" s="58" t="str" cm="1">
        <f>IF(ISBLANK($A31),"",INDEX(Array_ElectricalCharges,MATCH($A31,List_ElectricityMeters,0),ROUNDUP(COLUMN()/3,0)-2))</f>
        <v/>
      </c>
      <c r="W31" s="127"/>
      <c r="X31" s="137"/>
      <c r="Y31" s="58" t="str" cm="1">
        <f>IF(ISBLANK($A31),"",INDEX(Array_ElectricalCharges,MATCH($A31,List_ElectricityMeters,0),ROUNDUP(COLUMN()/3,0)-2))</f>
        <v/>
      </c>
      <c r="Z31" s="127"/>
      <c r="AA31" s="137"/>
      <c r="AB31" s="58" t="str" cm="1">
        <f>IF(ISBLANK($A31),"",INDEX(Array_ElectricalCharges,MATCH($A31,List_ElectricityMeters,0),ROUNDUP(COLUMN()/3,0)-2))</f>
        <v/>
      </c>
      <c r="AC31" s="127"/>
      <c r="AD31" s="137"/>
      <c r="AE31" s="58" t="str" cm="1">
        <f>IF(ISBLANK($A31),"",INDEX(Array_ElectricalCharges,MATCH($A31,List_ElectricityMeters,0),ROUNDUP(COLUMN()/3,0)-2))</f>
        <v/>
      </c>
      <c r="AF31" s="127"/>
      <c r="AG31" s="137"/>
      <c r="AH31" s="58" t="str" cm="1">
        <f>IF(ISBLANK($A31),"",INDEX(Array_ElectricalCharges,MATCH($A31,List_ElectricityMeters,0),ROUNDUP(COLUMN()/3,0)-2))</f>
        <v/>
      </c>
      <c r="AI31" s="127"/>
      <c r="AJ31" s="137"/>
      <c r="AK31" s="58" t="str" cm="1">
        <f>IF(ISBLANK($A31),"",INDEX(Array_ElectricalCharges,MATCH($A31,List_ElectricityMeters,0),ROUNDUP(COLUMN()/3,0)-2))</f>
        <v/>
      </c>
      <c r="AL31" s="127"/>
      <c r="AM31" s="137"/>
      <c r="AN31" s="58" t="str" cm="1">
        <f>IF(ISBLANK($A31),"",INDEX(Array_ElectricalCharges,MATCH($A31,List_ElectricityMeters,0),ROUNDUP(COLUMN()/3,0)-2))</f>
        <v/>
      </c>
      <c r="AO31" s="127"/>
      <c r="AP31" s="137"/>
      <c r="AQ31" s="58" t="str" cm="1">
        <f>IF(ISBLANK($A31),"",INDEX(Array_ElectricalCharges,MATCH($A31,List_ElectricityMeters,0),ROUNDUP(COLUMN()/3,0)-2))</f>
        <v/>
      </c>
      <c r="AR31" s="127"/>
      <c r="AS31" s="137"/>
      <c r="AT31" s="58" t="str" cm="1">
        <f>IF(ISBLANK($A31),"",INDEX(Array_ElectricalCharges,MATCH($A31,List_ElectricityMeters,0),ROUNDUP(COLUMN()/3,0)-2))</f>
        <v/>
      </c>
      <c r="AU31" s="127"/>
      <c r="AV31" s="137"/>
      <c r="AW31" s="58" t="str" cm="1">
        <f>IF(ISBLANK($A31),"",INDEX(Array_ElectricalCharges,MATCH($A31,List_ElectricityMeters,0),ROUNDUP(COLUMN()/3,0)-2))</f>
        <v/>
      </c>
      <c r="AX31" s="127"/>
      <c r="AY31" s="137"/>
    </row>
    <row r="32" spans="1:51" x14ac:dyDescent="0.3">
      <c r="A32" s="126"/>
      <c r="B32" s="133"/>
      <c r="C32" s="134"/>
      <c r="D32" s="134"/>
      <c r="E32" s="135"/>
      <c r="F32" s="136"/>
      <c r="G32" s="58" t="str" cm="1">
        <f>IF(ISBLANK($A32),"",INDEX(Array_ElectricalCharges,MATCH($A32,List_ElectricityMeters,0),ROUNDUP(COLUMN()/3,0)-2))</f>
        <v/>
      </c>
      <c r="H32" s="127"/>
      <c r="I32" s="137"/>
      <c r="J32" s="58" t="str" cm="1">
        <f>IF(ISBLANK($A32),"",INDEX(Array_ElectricalCharges,MATCH($A32,List_ElectricityMeters,0),ROUNDUP(COLUMN()/3,0)-2))</f>
        <v/>
      </c>
      <c r="K32" s="127"/>
      <c r="L32" s="137"/>
      <c r="M32" s="58" t="str" cm="1">
        <f>IF(ISBLANK($A32),"",INDEX(Array_ElectricalCharges,MATCH($A32,List_ElectricityMeters,0),ROUNDUP(COLUMN()/3,0)-2))</f>
        <v/>
      </c>
      <c r="N32" s="127"/>
      <c r="O32" s="137"/>
      <c r="P32" s="58" t="str" cm="1">
        <f>IF(ISBLANK($A32),"",INDEX(Array_ElectricalCharges,MATCH($A32,List_ElectricityMeters,0),ROUNDUP(COLUMN()/3,0)-2))</f>
        <v/>
      </c>
      <c r="Q32" s="127"/>
      <c r="R32" s="137"/>
      <c r="S32" s="58" t="str" cm="1">
        <f>IF(ISBLANK($A32),"",INDEX(Array_ElectricalCharges,MATCH($A32,List_ElectricityMeters,0),ROUNDUP(COLUMN()/3,0)-2))</f>
        <v/>
      </c>
      <c r="T32" s="127"/>
      <c r="U32" s="137"/>
      <c r="V32" s="58" t="str" cm="1">
        <f>IF(ISBLANK($A32),"",INDEX(Array_ElectricalCharges,MATCH($A32,List_ElectricityMeters,0),ROUNDUP(COLUMN()/3,0)-2))</f>
        <v/>
      </c>
      <c r="W32" s="127"/>
      <c r="X32" s="137"/>
      <c r="Y32" s="58" t="str" cm="1">
        <f>IF(ISBLANK($A32),"",INDEX(Array_ElectricalCharges,MATCH($A32,List_ElectricityMeters,0),ROUNDUP(COLUMN()/3,0)-2))</f>
        <v/>
      </c>
      <c r="Z32" s="127"/>
      <c r="AA32" s="137"/>
      <c r="AB32" s="58" t="str" cm="1">
        <f>IF(ISBLANK($A32),"",INDEX(Array_ElectricalCharges,MATCH($A32,List_ElectricityMeters,0),ROUNDUP(COLUMN()/3,0)-2))</f>
        <v/>
      </c>
      <c r="AC32" s="127"/>
      <c r="AD32" s="137"/>
      <c r="AE32" s="58" t="str" cm="1">
        <f>IF(ISBLANK($A32),"",INDEX(Array_ElectricalCharges,MATCH($A32,List_ElectricityMeters,0),ROUNDUP(COLUMN()/3,0)-2))</f>
        <v/>
      </c>
      <c r="AF32" s="127"/>
      <c r="AG32" s="137"/>
      <c r="AH32" s="58" t="str" cm="1">
        <f>IF(ISBLANK($A32),"",INDEX(Array_ElectricalCharges,MATCH($A32,List_ElectricityMeters,0),ROUNDUP(COLUMN()/3,0)-2))</f>
        <v/>
      </c>
      <c r="AI32" s="127"/>
      <c r="AJ32" s="137"/>
      <c r="AK32" s="58" t="str" cm="1">
        <f>IF(ISBLANK($A32),"",INDEX(Array_ElectricalCharges,MATCH($A32,List_ElectricityMeters,0),ROUNDUP(COLUMN()/3,0)-2))</f>
        <v/>
      </c>
      <c r="AL32" s="127"/>
      <c r="AM32" s="137"/>
      <c r="AN32" s="58" t="str" cm="1">
        <f>IF(ISBLANK($A32),"",INDEX(Array_ElectricalCharges,MATCH($A32,List_ElectricityMeters,0),ROUNDUP(COLUMN()/3,0)-2))</f>
        <v/>
      </c>
      <c r="AO32" s="127"/>
      <c r="AP32" s="137"/>
      <c r="AQ32" s="58" t="str" cm="1">
        <f>IF(ISBLANK($A32),"",INDEX(Array_ElectricalCharges,MATCH($A32,List_ElectricityMeters,0),ROUNDUP(COLUMN()/3,0)-2))</f>
        <v/>
      </c>
      <c r="AR32" s="127"/>
      <c r="AS32" s="137"/>
      <c r="AT32" s="58" t="str" cm="1">
        <f>IF(ISBLANK($A32),"",INDEX(Array_ElectricalCharges,MATCH($A32,List_ElectricityMeters,0),ROUNDUP(COLUMN()/3,0)-2))</f>
        <v/>
      </c>
      <c r="AU32" s="127"/>
      <c r="AV32" s="137"/>
      <c r="AW32" s="58" t="str" cm="1">
        <f>IF(ISBLANK($A32),"",INDEX(Array_ElectricalCharges,MATCH($A32,List_ElectricityMeters,0),ROUNDUP(COLUMN()/3,0)-2))</f>
        <v/>
      </c>
      <c r="AX32" s="127"/>
      <c r="AY32" s="137"/>
    </row>
    <row r="33" spans="1:51" x14ac:dyDescent="0.3">
      <c r="A33" s="126"/>
      <c r="B33" s="133"/>
      <c r="C33" s="134"/>
      <c r="D33" s="134"/>
      <c r="E33" s="135"/>
      <c r="F33" s="136"/>
      <c r="G33" s="58" t="str" cm="1">
        <f>IF(ISBLANK($A33),"",INDEX(Array_ElectricalCharges,MATCH($A33,List_ElectricityMeters,0),ROUNDUP(COLUMN()/3,0)-2))</f>
        <v/>
      </c>
      <c r="H33" s="127"/>
      <c r="I33" s="137"/>
      <c r="J33" s="58" t="str" cm="1">
        <f>IF(ISBLANK($A33),"",INDEX(Array_ElectricalCharges,MATCH($A33,List_ElectricityMeters,0),ROUNDUP(COLUMN()/3,0)-2))</f>
        <v/>
      </c>
      <c r="K33" s="127"/>
      <c r="L33" s="137"/>
      <c r="M33" s="58" t="str" cm="1">
        <f>IF(ISBLANK($A33),"",INDEX(Array_ElectricalCharges,MATCH($A33,List_ElectricityMeters,0),ROUNDUP(COLUMN()/3,0)-2))</f>
        <v/>
      </c>
      <c r="N33" s="127"/>
      <c r="O33" s="137"/>
      <c r="P33" s="58" t="str" cm="1">
        <f>IF(ISBLANK($A33),"",INDEX(Array_ElectricalCharges,MATCH($A33,List_ElectricityMeters,0),ROUNDUP(COLUMN()/3,0)-2))</f>
        <v/>
      </c>
      <c r="Q33" s="127"/>
      <c r="R33" s="137"/>
      <c r="S33" s="58" t="str" cm="1">
        <f>IF(ISBLANK($A33),"",INDEX(Array_ElectricalCharges,MATCH($A33,List_ElectricityMeters,0),ROUNDUP(COLUMN()/3,0)-2))</f>
        <v/>
      </c>
      <c r="T33" s="127"/>
      <c r="U33" s="137"/>
      <c r="V33" s="58" t="str" cm="1">
        <f>IF(ISBLANK($A33),"",INDEX(Array_ElectricalCharges,MATCH($A33,List_ElectricityMeters,0),ROUNDUP(COLUMN()/3,0)-2))</f>
        <v/>
      </c>
      <c r="W33" s="127"/>
      <c r="X33" s="137"/>
      <c r="Y33" s="58" t="str" cm="1">
        <f>IF(ISBLANK($A33),"",INDEX(Array_ElectricalCharges,MATCH($A33,List_ElectricityMeters,0),ROUNDUP(COLUMN()/3,0)-2))</f>
        <v/>
      </c>
      <c r="Z33" s="127"/>
      <c r="AA33" s="137"/>
      <c r="AB33" s="58" t="str" cm="1">
        <f>IF(ISBLANK($A33),"",INDEX(Array_ElectricalCharges,MATCH($A33,List_ElectricityMeters,0),ROUNDUP(COLUMN()/3,0)-2))</f>
        <v/>
      </c>
      <c r="AC33" s="127"/>
      <c r="AD33" s="137"/>
      <c r="AE33" s="58" t="str" cm="1">
        <f>IF(ISBLANK($A33),"",INDEX(Array_ElectricalCharges,MATCH($A33,List_ElectricityMeters,0),ROUNDUP(COLUMN()/3,0)-2))</f>
        <v/>
      </c>
      <c r="AF33" s="127"/>
      <c r="AG33" s="137"/>
      <c r="AH33" s="58" t="str" cm="1">
        <f>IF(ISBLANK($A33),"",INDEX(Array_ElectricalCharges,MATCH($A33,List_ElectricityMeters,0),ROUNDUP(COLUMN()/3,0)-2))</f>
        <v/>
      </c>
      <c r="AI33" s="127"/>
      <c r="AJ33" s="137"/>
      <c r="AK33" s="58" t="str" cm="1">
        <f>IF(ISBLANK($A33),"",INDEX(Array_ElectricalCharges,MATCH($A33,List_ElectricityMeters,0),ROUNDUP(COLUMN()/3,0)-2))</f>
        <v/>
      </c>
      <c r="AL33" s="127"/>
      <c r="AM33" s="137"/>
      <c r="AN33" s="58" t="str" cm="1">
        <f>IF(ISBLANK($A33),"",INDEX(Array_ElectricalCharges,MATCH($A33,List_ElectricityMeters,0),ROUNDUP(COLUMN()/3,0)-2))</f>
        <v/>
      </c>
      <c r="AO33" s="127"/>
      <c r="AP33" s="137"/>
      <c r="AQ33" s="58" t="str" cm="1">
        <f>IF(ISBLANK($A33),"",INDEX(Array_ElectricalCharges,MATCH($A33,List_ElectricityMeters,0),ROUNDUP(COLUMN()/3,0)-2))</f>
        <v/>
      </c>
      <c r="AR33" s="127"/>
      <c r="AS33" s="137"/>
      <c r="AT33" s="58" t="str" cm="1">
        <f>IF(ISBLANK($A33),"",INDEX(Array_ElectricalCharges,MATCH($A33,List_ElectricityMeters,0),ROUNDUP(COLUMN()/3,0)-2))</f>
        <v/>
      </c>
      <c r="AU33" s="127"/>
      <c r="AV33" s="137"/>
      <c r="AW33" s="58" t="str" cm="1">
        <f>IF(ISBLANK($A33),"",INDEX(Array_ElectricalCharges,MATCH($A33,List_ElectricityMeters,0),ROUNDUP(COLUMN()/3,0)-2))</f>
        <v/>
      </c>
      <c r="AX33" s="127"/>
      <c r="AY33" s="137"/>
    </row>
    <row r="34" spans="1:51" x14ac:dyDescent="0.3">
      <c r="A34" s="126"/>
      <c r="B34" s="133"/>
      <c r="C34" s="134"/>
      <c r="D34" s="134"/>
      <c r="E34" s="135"/>
      <c r="F34" s="136"/>
      <c r="G34" s="58" t="str" cm="1">
        <f>IF(ISBLANK($A34),"",INDEX(Array_ElectricalCharges,MATCH($A34,List_ElectricityMeters,0),ROUNDUP(COLUMN()/3,0)-2))</f>
        <v/>
      </c>
      <c r="H34" s="127"/>
      <c r="I34" s="137"/>
      <c r="J34" s="58" t="str" cm="1">
        <f>IF(ISBLANK($A34),"",INDEX(Array_ElectricalCharges,MATCH($A34,List_ElectricityMeters,0),ROUNDUP(COLUMN()/3,0)-2))</f>
        <v/>
      </c>
      <c r="K34" s="127"/>
      <c r="L34" s="137"/>
      <c r="M34" s="58" t="str" cm="1">
        <f>IF(ISBLANK($A34),"",INDEX(Array_ElectricalCharges,MATCH($A34,List_ElectricityMeters,0),ROUNDUP(COLUMN()/3,0)-2))</f>
        <v/>
      </c>
      <c r="N34" s="127"/>
      <c r="O34" s="137"/>
      <c r="P34" s="58" t="str" cm="1">
        <f>IF(ISBLANK($A34),"",INDEX(Array_ElectricalCharges,MATCH($A34,List_ElectricityMeters,0),ROUNDUP(COLUMN()/3,0)-2))</f>
        <v/>
      </c>
      <c r="Q34" s="127"/>
      <c r="R34" s="137"/>
      <c r="S34" s="58" t="str" cm="1">
        <f>IF(ISBLANK($A34),"",INDEX(Array_ElectricalCharges,MATCH($A34,List_ElectricityMeters,0),ROUNDUP(COLUMN()/3,0)-2))</f>
        <v/>
      </c>
      <c r="T34" s="127"/>
      <c r="U34" s="137"/>
      <c r="V34" s="58" t="str" cm="1">
        <f>IF(ISBLANK($A34),"",INDEX(Array_ElectricalCharges,MATCH($A34,List_ElectricityMeters,0),ROUNDUP(COLUMN()/3,0)-2))</f>
        <v/>
      </c>
      <c r="W34" s="127"/>
      <c r="X34" s="137"/>
      <c r="Y34" s="58" t="str" cm="1">
        <f>IF(ISBLANK($A34),"",INDEX(Array_ElectricalCharges,MATCH($A34,List_ElectricityMeters,0),ROUNDUP(COLUMN()/3,0)-2))</f>
        <v/>
      </c>
      <c r="Z34" s="127"/>
      <c r="AA34" s="137"/>
      <c r="AB34" s="58" t="str" cm="1">
        <f>IF(ISBLANK($A34),"",INDEX(Array_ElectricalCharges,MATCH($A34,List_ElectricityMeters,0),ROUNDUP(COLUMN()/3,0)-2))</f>
        <v/>
      </c>
      <c r="AC34" s="127"/>
      <c r="AD34" s="137"/>
      <c r="AE34" s="58" t="str" cm="1">
        <f>IF(ISBLANK($A34),"",INDEX(Array_ElectricalCharges,MATCH($A34,List_ElectricityMeters,0),ROUNDUP(COLUMN()/3,0)-2))</f>
        <v/>
      </c>
      <c r="AF34" s="127"/>
      <c r="AG34" s="137"/>
      <c r="AH34" s="58" t="str" cm="1">
        <f>IF(ISBLANK($A34),"",INDEX(Array_ElectricalCharges,MATCH($A34,List_ElectricityMeters,0),ROUNDUP(COLUMN()/3,0)-2))</f>
        <v/>
      </c>
      <c r="AI34" s="127"/>
      <c r="AJ34" s="137"/>
      <c r="AK34" s="58" t="str" cm="1">
        <f>IF(ISBLANK($A34),"",INDEX(Array_ElectricalCharges,MATCH($A34,List_ElectricityMeters,0),ROUNDUP(COLUMN()/3,0)-2))</f>
        <v/>
      </c>
      <c r="AL34" s="127"/>
      <c r="AM34" s="137"/>
      <c r="AN34" s="58" t="str" cm="1">
        <f>IF(ISBLANK($A34),"",INDEX(Array_ElectricalCharges,MATCH($A34,List_ElectricityMeters,0),ROUNDUP(COLUMN()/3,0)-2))</f>
        <v/>
      </c>
      <c r="AO34" s="127"/>
      <c r="AP34" s="137"/>
      <c r="AQ34" s="58" t="str" cm="1">
        <f>IF(ISBLANK($A34),"",INDEX(Array_ElectricalCharges,MATCH($A34,List_ElectricityMeters,0),ROUNDUP(COLUMN()/3,0)-2))</f>
        <v/>
      </c>
      <c r="AR34" s="127"/>
      <c r="AS34" s="137"/>
      <c r="AT34" s="58" t="str" cm="1">
        <f>IF(ISBLANK($A34),"",INDEX(Array_ElectricalCharges,MATCH($A34,List_ElectricityMeters,0),ROUNDUP(COLUMN()/3,0)-2))</f>
        <v/>
      </c>
      <c r="AU34" s="127"/>
      <c r="AV34" s="137"/>
      <c r="AW34" s="58" t="str" cm="1">
        <f>IF(ISBLANK($A34),"",INDEX(Array_ElectricalCharges,MATCH($A34,List_ElectricityMeters,0),ROUNDUP(COLUMN()/3,0)-2))</f>
        <v/>
      </c>
      <c r="AX34" s="127"/>
      <c r="AY34" s="137"/>
    </row>
    <row r="35" spans="1:51" x14ac:dyDescent="0.3">
      <c r="A35" s="126"/>
      <c r="B35" s="133"/>
      <c r="C35" s="134"/>
      <c r="D35" s="134"/>
      <c r="E35" s="135"/>
      <c r="F35" s="136"/>
      <c r="G35" s="58" t="str" cm="1">
        <f>IF(ISBLANK($A35),"",INDEX(Array_ElectricalCharges,MATCH($A35,List_ElectricityMeters,0),ROUNDUP(COLUMN()/3,0)-2))</f>
        <v/>
      </c>
      <c r="H35" s="127"/>
      <c r="I35" s="137"/>
      <c r="J35" s="58" t="str" cm="1">
        <f>IF(ISBLANK($A35),"",INDEX(Array_ElectricalCharges,MATCH($A35,List_ElectricityMeters,0),ROUNDUP(COLUMN()/3,0)-2))</f>
        <v/>
      </c>
      <c r="K35" s="127"/>
      <c r="L35" s="137"/>
      <c r="M35" s="58" t="str" cm="1">
        <f>IF(ISBLANK($A35),"",INDEX(Array_ElectricalCharges,MATCH($A35,List_ElectricityMeters,0),ROUNDUP(COLUMN()/3,0)-2))</f>
        <v/>
      </c>
      <c r="N35" s="127"/>
      <c r="O35" s="137"/>
      <c r="P35" s="58" t="str" cm="1">
        <f>IF(ISBLANK($A35),"",INDEX(Array_ElectricalCharges,MATCH($A35,List_ElectricityMeters,0),ROUNDUP(COLUMN()/3,0)-2))</f>
        <v/>
      </c>
      <c r="Q35" s="127"/>
      <c r="R35" s="137"/>
      <c r="S35" s="58" t="str" cm="1">
        <f>IF(ISBLANK($A35),"",INDEX(Array_ElectricalCharges,MATCH($A35,List_ElectricityMeters,0),ROUNDUP(COLUMN()/3,0)-2))</f>
        <v/>
      </c>
      <c r="T35" s="127"/>
      <c r="U35" s="137"/>
      <c r="V35" s="58" t="str" cm="1">
        <f>IF(ISBLANK($A35),"",INDEX(Array_ElectricalCharges,MATCH($A35,List_ElectricityMeters,0),ROUNDUP(COLUMN()/3,0)-2))</f>
        <v/>
      </c>
      <c r="W35" s="127"/>
      <c r="X35" s="137"/>
      <c r="Y35" s="58" t="str" cm="1">
        <f>IF(ISBLANK($A35),"",INDEX(Array_ElectricalCharges,MATCH($A35,List_ElectricityMeters,0),ROUNDUP(COLUMN()/3,0)-2))</f>
        <v/>
      </c>
      <c r="Z35" s="127"/>
      <c r="AA35" s="137"/>
      <c r="AB35" s="58" t="str" cm="1">
        <f>IF(ISBLANK($A35),"",INDEX(Array_ElectricalCharges,MATCH($A35,List_ElectricityMeters,0),ROUNDUP(COLUMN()/3,0)-2))</f>
        <v/>
      </c>
      <c r="AC35" s="127"/>
      <c r="AD35" s="137"/>
      <c r="AE35" s="58" t="str" cm="1">
        <f>IF(ISBLANK($A35),"",INDEX(Array_ElectricalCharges,MATCH($A35,List_ElectricityMeters,0),ROUNDUP(COLUMN()/3,0)-2))</f>
        <v/>
      </c>
      <c r="AF35" s="127"/>
      <c r="AG35" s="137"/>
      <c r="AH35" s="58" t="str" cm="1">
        <f>IF(ISBLANK($A35),"",INDEX(Array_ElectricalCharges,MATCH($A35,List_ElectricityMeters,0),ROUNDUP(COLUMN()/3,0)-2))</f>
        <v/>
      </c>
      <c r="AI35" s="127"/>
      <c r="AJ35" s="137"/>
      <c r="AK35" s="58" t="str" cm="1">
        <f>IF(ISBLANK($A35),"",INDEX(Array_ElectricalCharges,MATCH($A35,List_ElectricityMeters,0),ROUNDUP(COLUMN()/3,0)-2))</f>
        <v/>
      </c>
      <c r="AL35" s="127"/>
      <c r="AM35" s="137"/>
      <c r="AN35" s="58" t="str" cm="1">
        <f>IF(ISBLANK($A35),"",INDEX(Array_ElectricalCharges,MATCH($A35,List_ElectricityMeters,0),ROUNDUP(COLUMN()/3,0)-2))</f>
        <v/>
      </c>
      <c r="AO35" s="127"/>
      <c r="AP35" s="137"/>
      <c r="AQ35" s="58" t="str" cm="1">
        <f>IF(ISBLANK($A35),"",INDEX(Array_ElectricalCharges,MATCH($A35,List_ElectricityMeters,0),ROUNDUP(COLUMN()/3,0)-2))</f>
        <v/>
      </c>
      <c r="AR35" s="127"/>
      <c r="AS35" s="137"/>
      <c r="AT35" s="58" t="str" cm="1">
        <f>IF(ISBLANK($A35),"",INDEX(Array_ElectricalCharges,MATCH($A35,List_ElectricityMeters,0),ROUNDUP(COLUMN()/3,0)-2))</f>
        <v/>
      </c>
      <c r="AU35" s="127"/>
      <c r="AV35" s="137"/>
      <c r="AW35" s="58" t="str" cm="1">
        <f>IF(ISBLANK($A35),"",INDEX(Array_ElectricalCharges,MATCH($A35,List_ElectricityMeters,0),ROUNDUP(COLUMN()/3,0)-2))</f>
        <v/>
      </c>
      <c r="AX35" s="127"/>
      <c r="AY35" s="137"/>
    </row>
    <row r="36" spans="1:51" x14ac:dyDescent="0.3">
      <c r="A36" s="126"/>
      <c r="B36" s="133"/>
      <c r="C36" s="134"/>
      <c r="D36" s="134"/>
      <c r="E36" s="135"/>
      <c r="F36" s="136"/>
      <c r="G36" s="58" t="str" cm="1">
        <f>IF(ISBLANK($A36),"",INDEX(Array_ElectricalCharges,MATCH($A36,List_ElectricityMeters,0),ROUNDUP(COLUMN()/3,0)-2))</f>
        <v/>
      </c>
      <c r="H36" s="127"/>
      <c r="I36" s="137"/>
      <c r="J36" s="58" t="str" cm="1">
        <f>IF(ISBLANK($A36),"",INDEX(Array_ElectricalCharges,MATCH($A36,List_ElectricityMeters,0),ROUNDUP(COLUMN()/3,0)-2))</f>
        <v/>
      </c>
      <c r="K36" s="127"/>
      <c r="L36" s="137"/>
      <c r="M36" s="58" t="str" cm="1">
        <f>IF(ISBLANK($A36),"",INDEX(Array_ElectricalCharges,MATCH($A36,List_ElectricityMeters,0),ROUNDUP(COLUMN()/3,0)-2))</f>
        <v/>
      </c>
      <c r="N36" s="127"/>
      <c r="O36" s="137"/>
      <c r="P36" s="58" t="str" cm="1">
        <f>IF(ISBLANK($A36),"",INDEX(Array_ElectricalCharges,MATCH($A36,List_ElectricityMeters,0),ROUNDUP(COLUMN()/3,0)-2))</f>
        <v/>
      </c>
      <c r="Q36" s="127"/>
      <c r="R36" s="137"/>
      <c r="S36" s="58" t="str" cm="1">
        <f>IF(ISBLANK($A36),"",INDEX(Array_ElectricalCharges,MATCH($A36,List_ElectricityMeters,0),ROUNDUP(COLUMN()/3,0)-2))</f>
        <v/>
      </c>
      <c r="T36" s="127"/>
      <c r="U36" s="137"/>
      <c r="V36" s="58" t="str" cm="1">
        <f>IF(ISBLANK($A36),"",INDEX(Array_ElectricalCharges,MATCH($A36,List_ElectricityMeters,0),ROUNDUP(COLUMN()/3,0)-2))</f>
        <v/>
      </c>
      <c r="W36" s="127"/>
      <c r="X36" s="137"/>
      <c r="Y36" s="58" t="str" cm="1">
        <f>IF(ISBLANK($A36),"",INDEX(Array_ElectricalCharges,MATCH($A36,List_ElectricityMeters,0),ROUNDUP(COLUMN()/3,0)-2))</f>
        <v/>
      </c>
      <c r="Z36" s="127"/>
      <c r="AA36" s="137"/>
      <c r="AB36" s="58" t="str" cm="1">
        <f>IF(ISBLANK($A36),"",INDEX(Array_ElectricalCharges,MATCH($A36,List_ElectricityMeters,0),ROUNDUP(COLUMN()/3,0)-2))</f>
        <v/>
      </c>
      <c r="AC36" s="127"/>
      <c r="AD36" s="137"/>
      <c r="AE36" s="58" t="str" cm="1">
        <f>IF(ISBLANK($A36),"",INDEX(Array_ElectricalCharges,MATCH($A36,List_ElectricityMeters,0),ROUNDUP(COLUMN()/3,0)-2))</f>
        <v/>
      </c>
      <c r="AF36" s="127"/>
      <c r="AG36" s="137"/>
      <c r="AH36" s="58" t="str" cm="1">
        <f>IF(ISBLANK($A36),"",INDEX(Array_ElectricalCharges,MATCH($A36,List_ElectricityMeters,0),ROUNDUP(COLUMN()/3,0)-2))</f>
        <v/>
      </c>
      <c r="AI36" s="127"/>
      <c r="AJ36" s="137"/>
      <c r="AK36" s="58" t="str" cm="1">
        <f>IF(ISBLANK($A36),"",INDEX(Array_ElectricalCharges,MATCH($A36,List_ElectricityMeters,0),ROUNDUP(COLUMN()/3,0)-2))</f>
        <v/>
      </c>
      <c r="AL36" s="127"/>
      <c r="AM36" s="137"/>
      <c r="AN36" s="58" t="str" cm="1">
        <f>IF(ISBLANK($A36),"",INDEX(Array_ElectricalCharges,MATCH($A36,List_ElectricityMeters,0),ROUNDUP(COLUMN()/3,0)-2))</f>
        <v/>
      </c>
      <c r="AO36" s="127"/>
      <c r="AP36" s="137"/>
      <c r="AQ36" s="58" t="str" cm="1">
        <f>IF(ISBLANK($A36),"",INDEX(Array_ElectricalCharges,MATCH($A36,List_ElectricityMeters,0),ROUNDUP(COLUMN()/3,0)-2))</f>
        <v/>
      </c>
      <c r="AR36" s="127"/>
      <c r="AS36" s="137"/>
      <c r="AT36" s="58" t="str" cm="1">
        <f>IF(ISBLANK($A36),"",INDEX(Array_ElectricalCharges,MATCH($A36,List_ElectricityMeters,0),ROUNDUP(COLUMN()/3,0)-2))</f>
        <v/>
      </c>
      <c r="AU36" s="127"/>
      <c r="AV36" s="137"/>
      <c r="AW36" s="58" t="str" cm="1">
        <f>IF(ISBLANK($A36),"",INDEX(Array_ElectricalCharges,MATCH($A36,List_ElectricityMeters,0),ROUNDUP(COLUMN()/3,0)-2))</f>
        <v/>
      </c>
      <c r="AX36" s="127"/>
      <c r="AY36" s="137"/>
    </row>
    <row r="37" spans="1:51" x14ac:dyDescent="0.3">
      <c r="A37" s="126"/>
      <c r="B37" s="133"/>
      <c r="C37" s="134"/>
      <c r="D37" s="134"/>
      <c r="E37" s="135"/>
      <c r="F37" s="136"/>
      <c r="G37" s="58" t="str" cm="1">
        <f>IF(ISBLANK($A37),"",INDEX(Array_ElectricalCharges,MATCH($A37,List_ElectricityMeters,0),ROUNDUP(COLUMN()/3,0)-2))</f>
        <v/>
      </c>
      <c r="H37" s="127"/>
      <c r="I37" s="137"/>
      <c r="J37" s="58" t="str" cm="1">
        <f>IF(ISBLANK($A37),"",INDEX(Array_ElectricalCharges,MATCH($A37,List_ElectricityMeters,0),ROUNDUP(COLUMN()/3,0)-2))</f>
        <v/>
      </c>
      <c r="K37" s="127"/>
      <c r="L37" s="137"/>
      <c r="M37" s="58" t="str" cm="1">
        <f>IF(ISBLANK($A37),"",INDEX(Array_ElectricalCharges,MATCH($A37,List_ElectricityMeters,0),ROUNDUP(COLUMN()/3,0)-2))</f>
        <v/>
      </c>
      <c r="N37" s="127"/>
      <c r="O37" s="137"/>
      <c r="P37" s="58" t="str" cm="1">
        <f>IF(ISBLANK($A37),"",INDEX(Array_ElectricalCharges,MATCH($A37,List_ElectricityMeters,0),ROUNDUP(COLUMN()/3,0)-2))</f>
        <v/>
      </c>
      <c r="Q37" s="127"/>
      <c r="R37" s="137"/>
      <c r="S37" s="58" t="str" cm="1">
        <f>IF(ISBLANK($A37),"",INDEX(Array_ElectricalCharges,MATCH($A37,List_ElectricityMeters,0),ROUNDUP(COLUMN()/3,0)-2))</f>
        <v/>
      </c>
      <c r="T37" s="127"/>
      <c r="U37" s="137"/>
      <c r="V37" s="58" t="str" cm="1">
        <f>IF(ISBLANK($A37),"",INDEX(Array_ElectricalCharges,MATCH($A37,List_ElectricityMeters,0),ROUNDUP(COLUMN()/3,0)-2))</f>
        <v/>
      </c>
      <c r="W37" s="127"/>
      <c r="X37" s="137"/>
      <c r="Y37" s="58" t="str" cm="1">
        <f>IF(ISBLANK($A37),"",INDEX(Array_ElectricalCharges,MATCH($A37,List_ElectricityMeters,0),ROUNDUP(COLUMN()/3,0)-2))</f>
        <v/>
      </c>
      <c r="Z37" s="127"/>
      <c r="AA37" s="137"/>
      <c r="AB37" s="58" t="str" cm="1">
        <f>IF(ISBLANK($A37),"",INDEX(Array_ElectricalCharges,MATCH($A37,List_ElectricityMeters,0),ROUNDUP(COLUMN()/3,0)-2))</f>
        <v/>
      </c>
      <c r="AC37" s="127"/>
      <c r="AD37" s="137"/>
      <c r="AE37" s="58" t="str" cm="1">
        <f>IF(ISBLANK($A37),"",INDEX(Array_ElectricalCharges,MATCH($A37,List_ElectricityMeters,0),ROUNDUP(COLUMN()/3,0)-2))</f>
        <v/>
      </c>
      <c r="AF37" s="127"/>
      <c r="AG37" s="137"/>
      <c r="AH37" s="58" t="str" cm="1">
        <f>IF(ISBLANK($A37),"",INDEX(Array_ElectricalCharges,MATCH($A37,List_ElectricityMeters,0),ROUNDUP(COLUMN()/3,0)-2))</f>
        <v/>
      </c>
      <c r="AI37" s="127"/>
      <c r="AJ37" s="137"/>
      <c r="AK37" s="58" t="str" cm="1">
        <f>IF(ISBLANK($A37),"",INDEX(Array_ElectricalCharges,MATCH($A37,List_ElectricityMeters,0),ROUNDUP(COLUMN()/3,0)-2))</f>
        <v/>
      </c>
      <c r="AL37" s="127"/>
      <c r="AM37" s="137"/>
      <c r="AN37" s="58" t="str" cm="1">
        <f>IF(ISBLANK($A37),"",INDEX(Array_ElectricalCharges,MATCH($A37,List_ElectricityMeters,0),ROUNDUP(COLUMN()/3,0)-2))</f>
        <v/>
      </c>
      <c r="AO37" s="127"/>
      <c r="AP37" s="137"/>
      <c r="AQ37" s="58" t="str" cm="1">
        <f>IF(ISBLANK($A37),"",INDEX(Array_ElectricalCharges,MATCH($A37,List_ElectricityMeters,0),ROUNDUP(COLUMN()/3,0)-2))</f>
        <v/>
      </c>
      <c r="AR37" s="127"/>
      <c r="AS37" s="137"/>
      <c r="AT37" s="58" t="str" cm="1">
        <f>IF(ISBLANK($A37),"",INDEX(Array_ElectricalCharges,MATCH($A37,List_ElectricityMeters,0),ROUNDUP(COLUMN()/3,0)-2))</f>
        <v/>
      </c>
      <c r="AU37" s="127"/>
      <c r="AV37" s="137"/>
      <c r="AW37" s="58" t="str" cm="1">
        <f>IF(ISBLANK($A37),"",INDEX(Array_ElectricalCharges,MATCH($A37,List_ElectricityMeters,0),ROUNDUP(COLUMN()/3,0)-2))</f>
        <v/>
      </c>
      <c r="AX37" s="127"/>
      <c r="AY37" s="137"/>
    </row>
    <row r="38" spans="1:51" x14ac:dyDescent="0.3">
      <c r="A38" s="126"/>
      <c r="B38" s="133"/>
      <c r="C38" s="134"/>
      <c r="D38" s="134"/>
      <c r="E38" s="135"/>
      <c r="F38" s="136"/>
      <c r="G38" s="58" t="str" cm="1">
        <f>IF(ISBLANK($A38),"",INDEX(Array_ElectricalCharges,MATCH($A38,List_ElectricityMeters,0),ROUNDUP(COLUMN()/3,0)-2))</f>
        <v/>
      </c>
      <c r="H38" s="127"/>
      <c r="I38" s="137"/>
      <c r="J38" s="58" t="str" cm="1">
        <f>IF(ISBLANK($A38),"",INDEX(Array_ElectricalCharges,MATCH($A38,List_ElectricityMeters,0),ROUNDUP(COLUMN()/3,0)-2))</f>
        <v/>
      </c>
      <c r="K38" s="127"/>
      <c r="L38" s="137"/>
      <c r="M38" s="58" t="str" cm="1">
        <f>IF(ISBLANK($A38),"",INDEX(Array_ElectricalCharges,MATCH($A38,List_ElectricityMeters,0),ROUNDUP(COLUMN()/3,0)-2))</f>
        <v/>
      </c>
      <c r="N38" s="127"/>
      <c r="O38" s="137"/>
      <c r="P38" s="58" t="str" cm="1">
        <f>IF(ISBLANK($A38),"",INDEX(Array_ElectricalCharges,MATCH($A38,List_ElectricityMeters,0),ROUNDUP(COLUMN()/3,0)-2))</f>
        <v/>
      </c>
      <c r="Q38" s="127"/>
      <c r="R38" s="137"/>
      <c r="S38" s="58" t="str" cm="1">
        <f>IF(ISBLANK($A38),"",INDEX(Array_ElectricalCharges,MATCH($A38,List_ElectricityMeters,0),ROUNDUP(COLUMN()/3,0)-2))</f>
        <v/>
      </c>
      <c r="T38" s="127"/>
      <c r="U38" s="137"/>
      <c r="V38" s="58" t="str" cm="1">
        <f>IF(ISBLANK($A38),"",INDEX(Array_ElectricalCharges,MATCH($A38,List_ElectricityMeters,0),ROUNDUP(COLUMN()/3,0)-2))</f>
        <v/>
      </c>
      <c r="W38" s="127"/>
      <c r="X38" s="137"/>
      <c r="Y38" s="58" t="str" cm="1">
        <f>IF(ISBLANK($A38),"",INDEX(Array_ElectricalCharges,MATCH($A38,List_ElectricityMeters,0),ROUNDUP(COLUMN()/3,0)-2))</f>
        <v/>
      </c>
      <c r="Z38" s="127"/>
      <c r="AA38" s="137"/>
      <c r="AB38" s="58" t="str" cm="1">
        <f>IF(ISBLANK($A38),"",INDEX(Array_ElectricalCharges,MATCH($A38,List_ElectricityMeters,0),ROUNDUP(COLUMN()/3,0)-2))</f>
        <v/>
      </c>
      <c r="AC38" s="127"/>
      <c r="AD38" s="137"/>
      <c r="AE38" s="58" t="str" cm="1">
        <f>IF(ISBLANK($A38),"",INDEX(Array_ElectricalCharges,MATCH($A38,List_ElectricityMeters,0),ROUNDUP(COLUMN()/3,0)-2))</f>
        <v/>
      </c>
      <c r="AF38" s="127"/>
      <c r="AG38" s="137"/>
      <c r="AH38" s="58" t="str" cm="1">
        <f>IF(ISBLANK($A38),"",INDEX(Array_ElectricalCharges,MATCH($A38,List_ElectricityMeters,0),ROUNDUP(COLUMN()/3,0)-2))</f>
        <v/>
      </c>
      <c r="AI38" s="127"/>
      <c r="AJ38" s="137"/>
      <c r="AK38" s="58" t="str" cm="1">
        <f>IF(ISBLANK($A38),"",INDEX(Array_ElectricalCharges,MATCH($A38,List_ElectricityMeters,0),ROUNDUP(COLUMN()/3,0)-2))</f>
        <v/>
      </c>
      <c r="AL38" s="127"/>
      <c r="AM38" s="137"/>
      <c r="AN38" s="58" t="str" cm="1">
        <f>IF(ISBLANK($A38),"",INDEX(Array_ElectricalCharges,MATCH($A38,List_ElectricityMeters,0),ROUNDUP(COLUMN()/3,0)-2))</f>
        <v/>
      </c>
      <c r="AO38" s="127"/>
      <c r="AP38" s="137"/>
      <c r="AQ38" s="58" t="str" cm="1">
        <f>IF(ISBLANK($A38),"",INDEX(Array_ElectricalCharges,MATCH($A38,List_ElectricityMeters,0),ROUNDUP(COLUMN()/3,0)-2))</f>
        <v/>
      </c>
      <c r="AR38" s="127"/>
      <c r="AS38" s="137"/>
      <c r="AT38" s="58" t="str" cm="1">
        <f>IF(ISBLANK($A38),"",INDEX(Array_ElectricalCharges,MATCH($A38,List_ElectricityMeters,0),ROUNDUP(COLUMN()/3,0)-2))</f>
        <v/>
      </c>
      <c r="AU38" s="127"/>
      <c r="AV38" s="137"/>
      <c r="AW38" s="58" t="str" cm="1">
        <f>IF(ISBLANK($A38),"",INDEX(Array_ElectricalCharges,MATCH($A38,List_ElectricityMeters,0),ROUNDUP(COLUMN()/3,0)-2))</f>
        <v/>
      </c>
      <c r="AX38" s="127"/>
      <c r="AY38" s="137"/>
    </row>
    <row r="39" spans="1:51" x14ac:dyDescent="0.3">
      <c r="A39" s="126"/>
      <c r="B39" s="133"/>
      <c r="C39" s="134"/>
      <c r="D39" s="134"/>
      <c r="E39" s="135"/>
      <c r="F39" s="136"/>
      <c r="G39" s="58" t="str" cm="1">
        <f>IF(ISBLANK($A39),"",INDEX(Array_ElectricalCharges,MATCH($A39,List_ElectricityMeters,0),ROUNDUP(COLUMN()/3,0)-2))</f>
        <v/>
      </c>
      <c r="H39" s="127"/>
      <c r="I39" s="137"/>
      <c r="J39" s="58" t="str" cm="1">
        <f>IF(ISBLANK($A39),"",INDEX(Array_ElectricalCharges,MATCH($A39,List_ElectricityMeters,0),ROUNDUP(COLUMN()/3,0)-2))</f>
        <v/>
      </c>
      <c r="K39" s="127"/>
      <c r="L39" s="137"/>
      <c r="M39" s="58" t="str" cm="1">
        <f>IF(ISBLANK($A39),"",INDEX(Array_ElectricalCharges,MATCH($A39,List_ElectricityMeters,0),ROUNDUP(COLUMN()/3,0)-2))</f>
        <v/>
      </c>
      <c r="N39" s="127"/>
      <c r="O39" s="137"/>
      <c r="P39" s="58" t="str" cm="1">
        <f>IF(ISBLANK($A39),"",INDEX(Array_ElectricalCharges,MATCH($A39,List_ElectricityMeters,0),ROUNDUP(COLUMN()/3,0)-2))</f>
        <v/>
      </c>
      <c r="Q39" s="127"/>
      <c r="R39" s="137"/>
      <c r="S39" s="58" t="str" cm="1">
        <f>IF(ISBLANK($A39),"",INDEX(Array_ElectricalCharges,MATCH($A39,List_ElectricityMeters,0),ROUNDUP(COLUMN()/3,0)-2))</f>
        <v/>
      </c>
      <c r="T39" s="127"/>
      <c r="U39" s="137"/>
      <c r="V39" s="58" t="str" cm="1">
        <f>IF(ISBLANK($A39),"",INDEX(Array_ElectricalCharges,MATCH($A39,List_ElectricityMeters,0),ROUNDUP(COLUMN()/3,0)-2))</f>
        <v/>
      </c>
      <c r="W39" s="127"/>
      <c r="X39" s="137"/>
      <c r="Y39" s="58" t="str" cm="1">
        <f>IF(ISBLANK($A39),"",INDEX(Array_ElectricalCharges,MATCH($A39,List_ElectricityMeters,0),ROUNDUP(COLUMN()/3,0)-2))</f>
        <v/>
      </c>
      <c r="Z39" s="127"/>
      <c r="AA39" s="137"/>
      <c r="AB39" s="58" t="str" cm="1">
        <f>IF(ISBLANK($A39),"",INDEX(Array_ElectricalCharges,MATCH($A39,List_ElectricityMeters,0),ROUNDUP(COLUMN()/3,0)-2))</f>
        <v/>
      </c>
      <c r="AC39" s="127"/>
      <c r="AD39" s="137"/>
      <c r="AE39" s="58" t="str" cm="1">
        <f>IF(ISBLANK($A39),"",INDEX(Array_ElectricalCharges,MATCH($A39,List_ElectricityMeters,0),ROUNDUP(COLUMN()/3,0)-2))</f>
        <v/>
      </c>
      <c r="AF39" s="127"/>
      <c r="AG39" s="137"/>
      <c r="AH39" s="58" t="str" cm="1">
        <f>IF(ISBLANK($A39),"",INDEX(Array_ElectricalCharges,MATCH($A39,List_ElectricityMeters,0),ROUNDUP(COLUMN()/3,0)-2))</f>
        <v/>
      </c>
      <c r="AI39" s="127"/>
      <c r="AJ39" s="137"/>
      <c r="AK39" s="58" t="str" cm="1">
        <f>IF(ISBLANK($A39),"",INDEX(Array_ElectricalCharges,MATCH($A39,List_ElectricityMeters,0),ROUNDUP(COLUMN()/3,0)-2))</f>
        <v/>
      </c>
      <c r="AL39" s="127"/>
      <c r="AM39" s="137"/>
      <c r="AN39" s="58" t="str" cm="1">
        <f>IF(ISBLANK($A39),"",INDEX(Array_ElectricalCharges,MATCH($A39,List_ElectricityMeters,0),ROUNDUP(COLUMN()/3,0)-2))</f>
        <v/>
      </c>
      <c r="AO39" s="127"/>
      <c r="AP39" s="137"/>
      <c r="AQ39" s="58" t="str" cm="1">
        <f>IF(ISBLANK($A39),"",INDEX(Array_ElectricalCharges,MATCH($A39,List_ElectricityMeters,0),ROUNDUP(COLUMN()/3,0)-2))</f>
        <v/>
      </c>
      <c r="AR39" s="127"/>
      <c r="AS39" s="137"/>
      <c r="AT39" s="58" t="str" cm="1">
        <f>IF(ISBLANK($A39),"",INDEX(Array_ElectricalCharges,MATCH($A39,List_ElectricityMeters,0),ROUNDUP(COLUMN()/3,0)-2))</f>
        <v/>
      </c>
      <c r="AU39" s="127"/>
      <c r="AV39" s="137"/>
      <c r="AW39" s="58" t="str" cm="1">
        <f>IF(ISBLANK($A39),"",INDEX(Array_ElectricalCharges,MATCH($A39,List_ElectricityMeters,0),ROUNDUP(COLUMN()/3,0)-2))</f>
        <v/>
      </c>
      <c r="AX39" s="127"/>
      <c r="AY39" s="137"/>
    </row>
    <row r="40" spans="1:51" x14ac:dyDescent="0.3">
      <c r="A40" s="126"/>
      <c r="B40" s="133"/>
      <c r="C40" s="134"/>
      <c r="D40" s="134"/>
      <c r="E40" s="135"/>
      <c r="F40" s="136"/>
      <c r="G40" s="58" t="str" cm="1">
        <f>IF(ISBLANK($A40),"",INDEX(Array_ElectricalCharges,MATCH($A40,List_ElectricityMeters,0),ROUNDUP(COLUMN()/3,0)-2))</f>
        <v/>
      </c>
      <c r="H40" s="127"/>
      <c r="I40" s="137"/>
      <c r="J40" s="58" t="str" cm="1">
        <f>IF(ISBLANK($A40),"",INDEX(Array_ElectricalCharges,MATCH($A40,List_ElectricityMeters,0),ROUNDUP(COLUMN()/3,0)-2))</f>
        <v/>
      </c>
      <c r="K40" s="127"/>
      <c r="L40" s="137"/>
      <c r="M40" s="58" t="str" cm="1">
        <f>IF(ISBLANK($A40),"",INDEX(Array_ElectricalCharges,MATCH($A40,List_ElectricityMeters,0),ROUNDUP(COLUMN()/3,0)-2))</f>
        <v/>
      </c>
      <c r="N40" s="127"/>
      <c r="O40" s="137"/>
      <c r="P40" s="58" t="str" cm="1">
        <f>IF(ISBLANK($A40),"",INDEX(Array_ElectricalCharges,MATCH($A40,List_ElectricityMeters,0),ROUNDUP(COLUMN()/3,0)-2))</f>
        <v/>
      </c>
      <c r="Q40" s="127"/>
      <c r="R40" s="137"/>
      <c r="S40" s="58" t="str" cm="1">
        <f>IF(ISBLANK($A40),"",INDEX(Array_ElectricalCharges,MATCH($A40,List_ElectricityMeters,0),ROUNDUP(COLUMN()/3,0)-2))</f>
        <v/>
      </c>
      <c r="T40" s="127"/>
      <c r="U40" s="137"/>
      <c r="V40" s="58" t="str" cm="1">
        <f>IF(ISBLANK($A40),"",INDEX(Array_ElectricalCharges,MATCH($A40,List_ElectricityMeters,0),ROUNDUP(COLUMN()/3,0)-2))</f>
        <v/>
      </c>
      <c r="W40" s="127"/>
      <c r="X40" s="137"/>
      <c r="Y40" s="58" t="str" cm="1">
        <f>IF(ISBLANK($A40),"",INDEX(Array_ElectricalCharges,MATCH($A40,List_ElectricityMeters,0),ROUNDUP(COLUMN()/3,0)-2))</f>
        <v/>
      </c>
      <c r="Z40" s="127"/>
      <c r="AA40" s="137"/>
      <c r="AB40" s="58" t="str" cm="1">
        <f>IF(ISBLANK($A40),"",INDEX(Array_ElectricalCharges,MATCH($A40,List_ElectricityMeters,0),ROUNDUP(COLUMN()/3,0)-2))</f>
        <v/>
      </c>
      <c r="AC40" s="127"/>
      <c r="AD40" s="137"/>
      <c r="AE40" s="58" t="str" cm="1">
        <f>IF(ISBLANK($A40),"",INDEX(Array_ElectricalCharges,MATCH($A40,List_ElectricityMeters,0),ROUNDUP(COLUMN()/3,0)-2))</f>
        <v/>
      </c>
      <c r="AF40" s="127"/>
      <c r="AG40" s="137"/>
      <c r="AH40" s="58" t="str" cm="1">
        <f>IF(ISBLANK($A40),"",INDEX(Array_ElectricalCharges,MATCH($A40,List_ElectricityMeters,0),ROUNDUP(COLUMN()/3,0)-2))</f>
        <v/>
      </c>
      <c r="AI40" s="127"/>
      <c r="AJ40" s="137"/>
      <c r="AK40" s="58" t="str" cm="1">
        <f>IF(ISBLANK($A40),"",INDEX(Array_ElectricalCharges,MATCH($A40,List_ElectricityMeters,0),ROUNDUP(COLUMN()/3,0)-2))</f>
        <v/>
      </c>
      <c r="AL40" s="127"/>
      <c r="AM40" s="137"/>
      <c r="AN40" s="58" t="str" cm="1">
        <f>IF(ISBLANK($A40),"",INDEX(Array_ElectricalCharges,MATCH($A40,List_ElectricityMeters,0),ROUNDUP(COLUMN()/3,0)-2))</f>
        <v/>
      </c>
      <c r="AO40" s="127"/>
      <c r="AP40" s="137"/>
      <c r="AQ40" s="58" t="str" cm="1">
        <f>IF(ISBLANK($A40),"",INDEX(Array_ElectricalCharges,MATCH($A40,List_ElectricityMeters,0),ROUNDUP(COLUMN()/3,0)-2))</f>
        <v/>
      </c>
      <c r="AR40" s="127"/>
      <c r="AS40" s="137"/>
      <c r="AT40" s="58" t="str" cm="1">
        <f>IF(ISBLANK($A40),"",INDEX(Array_ElectricalCharges,MATCH($A40,List_ElectricityMeters,0),ROUNDUP(COLUMN()/3,0)-2))</f>
        <v/>
      </c>
      <c r="AU40" s="127"/>
      <c r="AV40" s="137"/>
      <c r="AW40" s="58" t="str" cm="1">
        <f>IF(ISBLANK($A40),"",INDEX(Array_ElectricalCharges,MATCH($A40,List_ElectricityMeters,0),ROUNDUP(COLUMN()/3,0)-2))</f>
        <v/>
      </c>
      <c r="AX40" s="127"/>
      <c r="AY40" s="137"/>
    </row>
    <row r="41" spans="1:51" x14ac:dyDescent="0.3">
      <c r="A41" s="126"/>
      <c r="B41" s="133"/>
      <c r="C41" s="134"/>
      <c r="D41" s="134"/>
      <c r="E41" s="135"/>
      <c r="F41" s="136"/>
      <c r="G41" s="58" t="str" cm="1">
        <f>IF(ISBLANK($A41),"",INDEX(Array_ElectricalCharges,MATCH($A41,List_ElectricityMeters,0),ROUNDUP(COLUMN()/3,0)-2))</f>
        <v/>
      </c>
      <c r="H41" s="127"/>
      <c r="I41" s="137"/>
      <c r="J41" s="58" t="str" cm="1">
        <f>IF(ISBLANK($A41),"",INDEX(Array_ElectricalCharges,MATCH($A41,List_ElectricityMeters,0),ROUNDUP(COLUMN()/3,0)-2))</f>
        <v/>
      </c>
      <c r="K41" s="127"/>
      <c r="L41" s="137"/>
      <c r="M41" s="58" t="str" cm="1">
        <f>IF(ISBLANK($A41),"",INDEX(Array_ElectricalCharges,MATCH($A41,List_ElectricityMeters,0),ROUNDUP(COLUMN()/3,0)-2))</f>
        <v/>
      </c>
      <c r="N41" s="127"/>
      <c r="O41" s="137"/>
      <c r="P41" s="58" t="str" cm="1">
        <f>IF(ISBLANK($A41),"",INDEX(Array_ElectricalCharges,MATCH($A41,List_ElectricityMeters,0),ROUNDUP(COLUMN()/3,0)-2))</f>
        <v/>
      </c>
      <c r="Q41" s="127"/>
      <c r="R41" s="137"/>
      <c r="S41" s="58" t="str" cm="1">
        <f>IF(ISBLANK($A41),"",INDEX(Array_ElectricalCharges,MATCH($A41,List_ElectricityMeters,0),ROUNDUP(COLUMN()/3,0)-2))</f>
        <v/>
      </c>
      <c r="T41" s="127"/>
      <c r="U41" s="137"/>
      <c r="V41" s="58" t="str" cm="1">
        <f>IF(ISBLANK($A41),"",INDEX(Array_ElectricalCharges,MATCH($A41,List_ElectricityMeters,0),ROUNDUP(COLUMN()/3,0)-2))</f>
        <v/>
      </c>
      <c r="W41" s="127"/>
      <c r="X41" s="137"/>
      <c r="Y41" s="58" t="str" cm="1">
        <f>IF(ISBLANK($A41),"",INDEX(Array_ElectricalCharges,MATCH($A41,List_ElectricityMeters,0),ROUNDUP(COLUMN()/3,0)-2))</f>
        <v/>
      </c>
      <c r="Z41" s="127"/>
      <c r="AA41" s="137"/>
      <c r="AB41" s="58" t="str" cm="1">
        <f>IF(ISBLANK($A41),"",INDEX(Array_ElectricalCharges,MATCH($A41,List_ElectricityMeters,0),ROUNDUP(COLUMN()/3,0)-2))</f>
        <v/>
      </c>
      <c r="AC41" s="127"/>
      <c r="AD41" s="137"/>
      <c r="AE41" s="58" t="str" cm="1">
        <f>IF(ISBLANK($A41),"",INDEX(Array_ElectricalCharges,MATCH($A41,List_ElectricityMeters,0),ROUNDUP(COLUMN()/3,0)-2))</f>
        <v/>
      </c>
      <c r="AF41" s="127"/>
      <c r="AG41" s="137"/>
      <c r="AH41" s="58" t="str" cm="1">
        <f>IF(ISBLANK($A41),"",INDEX(Array_ElectricalCharges,MATCH($A41,List_ElectricityMeters,0),ROUNDUP(COLUMN()/3,0)-2))</f>
        <v/>
      </c>
      <c r="AI41" s="127"/>
      <c r="AJ41" s="137"/>
      <c r="AK41" s="58" t="str" cm="1">
        <f>IF(ISBLANK($A41),"",INDEX(Array_ElectricalCharges,MATCH($A41,List_ElectricityMeters,0),ROUNDUP(COLUMN()/3,0)-2))</f>
        <v/>
      </c>
      <c r="AL41" s="127"/>
      <c r="AM41" s="137"/>
      <c r="AN41" s="58" t="str" cm="1">
        <f>IF(ISBLANK($A41),"",INDEX(Array_ElectricalCharges,MATCH($A41,List_ElectricityMeters,0),ROUNDUP(COLUMN()/3,0)-2))</f>
        <v/>
      </c>
      <c r="AO41" s="127"/>
      <c r="AP41" s="137"/>
      <c r="AQ41" s="58" t="str" cm="1">
        <f>IF(ISBLANK($A41),"",INDEX(Array_ElectricalCharges,MATCH($A41,List_ElectricityMeters,0),ROUNDUP(COLUMN()/3,0)-2))</f>
        <v/>
      </c>
      <c r="AR41" s="127"/>
      <c r="AS41" s="137"/>
      <c r="AT41" s="58" t="str" cm="1">
        <f>IF(ISBLANK($A41),"",INDEX(Array_ElectricalCharges,MATCH($A41,List_ElectricityMeters,0),ROUNDUP(COLUMN()/3,0)-2))</f>
        <v/>
      </c>
      <c r="AU41" s="127"/>
      <c r="AV41" s="137"/>
      <c r="AW41" s="58" t="str" cm="1">
        <f>IF(ISBLANK($A41),"",INDEX(Array_ElectricalCharges,MATCH($A41,List_ElectricityMeters,0),ROUNDUP(COLUMN()/3,0)-2))</f>
        <v/>
      </c>
      <c r="AX41" s="127"/>
      <c r="AY41" s="137"/>
    </row>
    <row r="42" spans="1:51" x14ac:dyDescent="0.3">
      <c r="A42" s="126"/>
      <c r="B42" s="133"/>
      <c r="C42" s="134"/>
      <c r="D42" s="134"/>
      <c r="E42" s="135"/>
      <c r="F42" s="136"/>
      <c r="G42" s="58" t="str" cm="1">
        <f>IF(ISBLANK($A42),"",INDEX(Array_ElectricalCharges,MATCH($A42,List_ElectricityMeters,0),ROUNDUP(COLUMN()/3,0)-2))</f>
        <v/>
      </c>
      <c r="H42" s="127"/>
      <c r="I42" s="137"/>
      <c r="J42" s="58" t="str" cm="1">
        <f>IF(ISBLANK($A42),"",INDEX(Array_ElectricalCharges,MATCH($A42,List_ElectricityMeters,0),ROUNDUP(COLUMN()/3,0)-2))</f>
        <v/>
      </c>
      <c r="K42" s="127"/>
      <c r="L42" s="137"/>
      <c r="M42" s="58" t="str" cm="1">
        <f>IF(ISBLANK($A42),"",INDEX(Array_ElectricalCharges,MATCH($A42,List_ElectricityMeters,0),ROUNDUP(COLUMN()/3,0)-2))</f>
        <v/>
      </c>
      <c r="N42" s="127"/>
      <c r="O42" s="137"/>
      <c r="P42" s="58" t="str" cm="1">
        <f>IF(ISBLANK($A42),"",INDEX(Array_ElectricalCharges,MATCH($A42,List_ElectricityMeters,0),ROUNDUP(COLUMN()/3,0)-2))</f>
        <v/>
      </c>
      <c r="Q42" s="127"/>
      <c r="R42" s="137"/>
      <c r="S42" s="58" t="str" cm="1">
        <f>IF(ISBLANK($A42),"",INDEX(Array_ElectricalCharges,MATCH($A42,List_ElectricityMeters,0),ROUNDUP(COLUMN()/3,0)-2))</f>
        <v/>
      </c>
      <c r="T42" s="127"/>
      <c r="U42" s="137"/>
      <c r="V42" s="58" t="str" cm="1">
        <f>IF(ISBLANK($A42),"",INDEX(Array_ElectricalCharges,MATCH($A42,List_ElectricityMeters,0),ROUNDUP(COLUMN()/3,0)-2))</f>
        <v/>
      </c>
      <c r="W42" s="127"/>
      <c r="X42" s="137"/>
      <c r="Y42" s="58" t="str" cm="1">
        <f>IF(ISBLANK($A42),"",INDEX(Array_ElectricalCharges,MATCH($A42,List_ElectricityMeters,0),ROUNDUP(COLUMN()/3,0)-2))</f>
        <v/>
      </c>
      <c r="Z42" s="127"/>
      <c r="AA42" s="137"/>
      <c r="AB42" s="58" t="str" cm="1">
        <f>IF(ISBLANK($A42),"",INDEX(Array_ElectricalCharges,MATCH($A42,List_ElectricityMeters,0),ROUNDUP(COLUMN()/3,0)-2))</f>
        <v/>
      </c>
      <c r="AC42" s="127"/>
      <c r="AD42" s="137"/>
      <c r="AE42" s="58" t="str" cm="1">
        <f>IF(ISBLANK($A42),"",INDEX(Array_ElectricalCharges,MATCH($A42,List_ElectricityMeters,0),ROUNDUP(COLUMN()/3,0)-2))</f>
        <v/>
      </c>
      <c r="AF42" s="127"/>
      <c r="AG42" s="137"/>
      <c r="AH42" s="58" t="str" cm="1">
        <f>IF(ISBLANK($A42),"",INDEX(Array_ElectricalCharges,MATCH($A42,List_ElectricityMeters,0),ROUNDUP(COLUMN()/3,0)-2))</f>
        <v/>
      </c>
      <c r="AI42" s="127"/>
      <c r="AJ42" s="137"/>
      <c r="AK42" s="58" t="str" cm="1">
        <f>IF(ISBLANK($A42),"",INDEX(Array_ElectricalCharges,MATCH($A42,List_ElectricityMeters,0),ROUNDUP(COLUMN()/3,0)-2))</f>
        <v/>
      </c>
      <c r="AL42" s="127"/>
      <c r="AM42" s="137"/>
      <c r="AN42" s="58" t="str" cm="1">
        <f>IF(ISBLANK($A42),"",INDEX(Array_ElectricalCharges,MATCH($A42,List_ElectricityMeters,0),ROUNDUP(COLUMN()/3,0)-2))</f>
        <v/>
      </c>
      <c r="AO42" s="127"/>
      <c r="AP42" s="137"/>
      <c r="AQ42" s="58" t="str" cm="1">
        <f>IF(ISBLANK($A42),"",INDEX(Array_ElectricalCharges,MATCH($A42,List_ElectricityMeters,0),ROUNDUP(COLUMN()/3,0)-2))</f>
        <v/>
      </c>
      <c r="AR42" s="127"/>
      <c r="AS42" s="137"/>
      <c r="AT42" s="58" t="str" cm="1">
        <f>IF(ISBLANK($A42),"",INDEX(Array_ElectricalCharges,MATCH($A42,List_ElectricityMeters,0),ROUNDUP(COLUMN()/3,0)-2))</f>
        <v/>
      </c>
      <c r="AU42" s="127"/>
      <c r="AV42" s="137"/>
      <c r="AW42" s="58" t="str" cm="1">
        <f>IF(ISBLANK($A42),"",INDEX(Array_ElectricalCharges,MATCH($A42,List_ElectricityMeters,0),ROUNDUP(COLUMN()/3,0)-2))</f>
        <v/>
      </c>
      <c r="AX42" s="127"/>
      <c r="AY42" s="137"/>
    </row>
    <row r="43" spans="1:51" x14ac:dyDescent="0.3">
      <c r="A43" s="126"/>
      <c r="B43" s="133"/>
      <c r="C43" s="134"/>
      <c r="D43" s="134"/>
      <c r="E43" s="135"/>
      <c r="F43" s="136"/>
      <c r="G43" s="58" t="str" cm="1">
        <f>IF(ISBLANK($A43),"",INDEX(Array_ElectricalCharges,MATCH($A43,List_ElectricityMeters,0),ROUNDUP(COLUMN()/3,0)-2))</f>
        <v/>
      </c>
      <c r="H43" s="127"/>
      <c r="I43" s="137"/>
      <c r="J43" s="58" t="str" cm="1">
        <f>IF(ISBLANK($A43),"",INDEX(Array_ElectricalCharges,MATCH($A43,List_ElectricityMeters,0),ROUNDUP(COLUMN()/3,0)-2))</f>
        <v/>
      </c>
      <c r="K43" s="127"/>
      <c r="L43" s="137"/>
      <c r="M43" s="58" t="str" cm="1">
        <f>IF(ISBLANK($A43),"",INDEX(Array_ElectricalCharges,MATCH($A43,List_ElectricityMeters,0),ROUNDUP(COLUMN()/3,0)-2))</f>
        <v/>
      </c>
      <c r="N43" s="127"/>
      <c r="O43" s="137"/>
      <c r="P43" s="58" t="str" cm="1">
        <f>IF(ISBLANK($A43),"",INDEX(Array_ElectricalCharges,MATCH($A43,List_ElectricityMeters,0),ROUNDUP(COLUMN()/3,0)-2))</f>
        <v/>
      </c>
      <c r="Q43" s="127"/>
      <c r="R43" s="137"/>
      <c r="S43" s="58" t="str" cm="1">
        <f>IF(ISBLANK($A43),"",INDEX(Array_ElectricalCharges,MATCH($A43,List_ElectricityMeters,0),ROUNDUP(COLUMN()/3,0)-2))</f>
        <v/>
      </c>
      <c r="T43" s="127"/>
      <c r="U43" s="137"/>
      <c r="V43" s="58" t="str" cm="1">
        <f>IF(ISBLANK($A43),"",INDEX(Array_ElectricalCharges,MATCH($A43,List_ElectricityMeters,0),ROUNDUP(COLUMN()/3,0)-2))</f>
        <v/>
      </c>
      <c r="W43" s="127"/>
      <c r="X43" s="137"/>
      <c r="Y43" s="58" t="str" cm="1">
        <f>IF(ISBLANK($A43),"",INDEX(Array_ElectricalCharges,MATCH($A43,List_ElectricityMeters,0),ROUNDUP(COLUMN()/3,0)-2))</f>
        <v/>
      </c>
      <c r="Z43" s="127"/>
      <c r="AA43" s="137"/>
      <c r="AB43" s="58" t="str" cm="1">
        <f>IF(ISBLANK($A43),"",INDEX(Array_ElectricalCharges,MATCH($A43,List_ElectricityMeters,0),ROUNDUP(COLUMN()/3,0)-2))</f>
        <v/>
      </c>
      <c r="AC43" s="127"/>
      <c r="AD43" s="137"/>
      <c r="AE43" s="58" t="str" cm="1">
        <f>IF(ISBLANK($A43),"",INDEX(Array_ElectricalCharges,MATCH($A43,List_ElectricityMeters,0),ROUNDUP(COLUMN()/3,0)-2))</f>
        <v/>
      </c>
      <c r="AF43" s="127"/>
      <c r="AG43" s="137"/>
      <c r="AH43" s="58" t="str" cm="1">
        <f>IF(ISBLANK($A43),"",INDEX(Array_ElectricalCharges,MATCH($A43,List_ElectricityMeters,0),ROUNDUP(COLUMN()/3,0)-2))</f>
        <v/>
      </c>
      <c r="AI43" s="127"/>
      <c r="AJ43" s="137"/>
      <c r="AK43" s="58" t="str" cm="1">
        <f>IF(ISBLANK($A43),"",INDEX(Array_ElectricalCharges,MATCH($A43,List_ElectricityMeters,0),ROUNDUP(COLUMN()/3,0)-2))</f>
        <v/>
      </c>
      <c r="AL43" s="127"/>
      <c r="AM43" s="137"/>
      <c r="AN43" s="58" t="str" cm="1">
        <f>IF(ISBLANK($A43),"",INDEX(Array_ElectricalCharges,MATCH($A43,List_ElectricityMeters,0),ROUNDUP(COLUMN()/3,0)-2))</f>
        <v/>
      </c>
      <c r="AO43" s="127"/>
      <c r="AP43" s="137"/>
      <c r="AQ43" s="58" t="str" cm="1">
        <f>IF(ISBLANK($A43),"",INDEX(Array_ElectricalCharges,MATCH($A43,List_ElectricityMeters,0),ROUNDUP(COLUMN()/3,0)-2))</f>
        <v/>
      </c>
      <c r="AR43" s="127"/>
      <c r="AS43" s="137"/>
      <c r="AT43" s="58" t="str" cm="1">
        <f>IF(ISBLANK($A43),"",INDEX(Array_ElectricalCharges,MATCH($A43,List_ElectricityMeters,0),ROUNDUP(COLUMN()/3,0)-2))</f>
        <v/>
      </c>
      <c r="AU43" s="127"/>
      <c r="AV43" s="137"/>
      <c r="AW43" s="58" t="str" cm="1">
        <f>IF(ISBLANK($A43),"",INDEX(Array_ElectricalCharges,MATCH($A43,List_ElectricityMeters,0),ROUNDUP(COLUMN()/3,0)-2))</f>
        <v/>
      </c>
      <c r="AX43" s="127"/>
      <c r="AY43" s="137"/>
    </row>
    <row r="44" spans="1:51" x14ac:dyDescent="0.3">
      <c r="A44" s="126"/>
      <c r="B44" s="133"/>
      <c r="C44" s="134"/>
      <c r="D44" s="134"/>
      <c r="E44" s="135"/>
      <c r="F44" s="136"/>
      <c r="G44" s="58" t="str" cm="1">
        <f>IF(ISBLANK($A44),"",INDEX(Array_ElectricalCharges,MATCH($A44,List_ElectricityMeters,0),ROUNDUP(COLUMN()/3,0)-2))</f>
        <v/>
      </c>
      <c r="H44" s="127"/>
      <c r="I44" s="137"/>
      <c r="J44" s="58" t="str" cm="1">
        <f>IF(ISBLANK($A44),"",INDEX(Array_ElectricalCharges,MATCH($A44,List_ElectricityMeters,0),ROUNDUP(COLUMN()/3,0)-2))</f>
        <v/>
      </c>
      <c r="K44" s="127"/>
      <c r="L44" s="137"/>
      <c r="M44" s="58" t="str" cm="1">
        <f>IF(ISBLANK($A44),"",INDEX(Array_ElectricalCharges,MATCH($A44,List_ElectricityMeters,0),ROUNDUP(COLUMN()/3,0)-2))</f>
        <v/>
      </c>
      <c r="N44" s="127"/>
      <c r="O44" s="137"/>
      <c r="P44" s="58" t="str" cm="1">
        <f>IF(ISBLANK($A44),"",INDEX(Array_ElectricalCharges,MATCH($A44,List_ElectricityMeters,0),ROUNDUP(COLUMN()/3,0)-2))</f>
        <v/>
      </c>
      <c r="Q44" s="127"/>
      <c r="R44" s="137"/>
      <c r="S44" s="58" t="str" cm="1">
        <f>IF(ISBLANK($A44),"",INDEX(Array_ElectricalCharges,MATCH($A44,List_ElectricityMeters,0),ROUNDUP(COLUMN()/3,0)-2))</f>
        <v/>
      </c>
      <c r="T44" s="127"/>
      <c r="U44" s="137"/>
      <c r="V44" s="58" t="str" cm="1">
        <f>IF(ISBLANK($A44),"",INDEX(Array_ElectricalCharges,MATCH($A44,List_ElectricityMeters,0),ROUNDUP(COLUMN()/3,0)-2))</f>
        <v/>
      </c>
      <c r="W44" s="127"/>
      <c r="X44" s="137"/>
      <c r="Y44" s="58" t="str" cm="1">
        <f>IF(ISBLANK($A44),"",INDEX(Array_ElectricalCharges,MATCH($A44,List_ElectricityMeters,0),ROUNDUP(COLUMN()/3,0)-2))</f>
        <v/>
      </c>
      <c r="Z44" s="127"/>
      <c r="AA44" s="137"/>
      <c r="AB44" s="58" t="str" cm="1">
        <f>IF(ISBLANK($A44),"",INDEX(Array_ElectricalCharges,MATCH($A44,List_ElectricityMeters,0),ROUNDUP(COLUMN()/3,0)-2))</f>
        <v/>
      </c>
      <c r="AC44" s="127"/>
      <c r="AD44" s="137"/>
      <c r="AE44" s="58" t="str" cm="1">
        <f>IF(ISBLANK($A44),"",INDEX(Array_ElectricalCharges,MATCH($A44,List_ElectricityMeters,0),ROUNDUP(COLUMN()/3,0)-2))</f>
        <v/>
      </c>
      <c r="AF44" s="127"/>
      <c r="AG44" s="137"/>
      <c r="AH44" s="58" t="str" cm="1">
        <f>IF(ISBLANK($A44),"",INDEX(Array_ElectricalCharges,MATCH($A44,List_ElectricityMeters,0),ROUNDUP(COLUMN()/3,0)-2))</f>
        <v/>
      </c>
      <c r="AI44" s="127"/>
      <c r="AJ44" s="137"/>
      <c r="AK44" s="58" t="str" cm="1">
        <f>IF(ISBLANK($A44),"",INDEX(Array_ElectricalCharges,MATCH($A44,List_ElectricityMeters,0),ROUNDUP(COLUMN()/3,0)-2))</f>
        <v/>
      </c>
      <c r="AL44" s="127"/>
      <c r="AM44" s="137"/>
      <c r="AN44" s="58" t="str" cm="1">
        <f>IF(ISBLANK($A44),"",INDEX(Array_ElectricalCharges,MATCH($A44,List_ElectricityMeters,0),ROUNDUP(COLUMN()/3,0)-2))</f>
        <v/>
      </c>
      <c r="AO44" s="127"/>
      <c r="AP44" s="137"/>
      <c r="AQ44" s="58" t="str" cm="1">
        <f>IF(ISBLANK($A44),"",INDEX(Array_ElectricalCharges,MATCH($A44,List_ElectricityMeters,0),ROUNDUP(COLUMN()/3,0)-2))</f>
        <v/>
      </c>
      <c r="AR44" s="127"/>
      <c r="AS44" s="137"/>
      <c r="AT44" s="58" t="str" cm="1">
        <f>IF(ISBLANK($A44),"",INDEX(Array_ElectricalCharges,MATCH($A44,List_ElectricityMeters,0),ROUNDUP(COLUMN()/3,0)-2))</f>
        <v/>
      </c>
      <c r="AU44" s="127"/>
      <c r="AV44" s="137"/>
      <c r="AW44" s="58" t="str" cm="1">
        <f>IF(ISBLANK($A44),"",INDEX(Array_ElectricalCharges,MATCH($A44,List_ElectricityMeters,0),ROUNDUP(COLUMN()/3,0)-2))</f>
        <v/>
      </c>
      <c r="AX44" s="127"/>
      <c r="AY44" s="137"/>
    </row>
    <row r="45" spans="1:51" x14ac:dyDescent="0.3">
      <c r="A45" s="126"/>
      <c r="B45" s="133"/>
      <c r="C45" s="134"/>
      <c r="D45" s="134"/>
      <c r="E45" s="135"/>
      <c r="F45" s="136"/>
      <c r="G45" s="58" t="str" cm="1">
        <f>IF(ISBLANK($A45),"",INDEX(Array_ElectricalCharges,MATCH($A45,List_ElectricityMeters,0),ROUNDUP(COLUMN()/3,0)-2))</f>
        <v/>
      </c>
      <c r="H45" s="127"/>
      <c r="I45" s="137"/>
      <c r="J45" s="58" t="str" cm="1">
        <f>IF(ISBLANK($A45),"",INDEX(Array_ElectricalCharges,MATCH($A45,List_ElectricityMeters,0),ROUNDUP(COLUMN()/3,0)-2))</f>
        <v/>
      </c>
      <c r="K45" s="127"/>
      <c r="L45" s="137"/>
      <c r="M45" s="58" t="str" cm="1">
        <f>IF(ISBLANK($A45),"",INDEX(Array_ElectricalCharges,MATCH($A45,List_ElectricityMeters,0),ROUNDUP(COLUMN()/3,0)-2))</f>
        <v/>
      </c>
      <c r="N45" s="127"/>
      <c r="O45" s="137"/>
      <c r="P45" s="58" t="str" cm="1">
        <f>IF(ISBLANK($A45),"",INDEX(Array_ElectricalCharges,MATCH($A45,List_ElectricityMeters,0),ROUNDUP(COLUMN()/3,0)-2))</f>
        <v/>
      </c>
      <c r="Q45" s="127"/>
      <c r="R45" s="137"/>
      <c r="S45" s="58" t="str" cm="1">
        <f>IF(ISBLANK($A45),"",INDEX(Array_ElectricalCharges,MATCH($A45,List_ElectricityMeters,0),ROUNDUP(COLUMN()/3,0)-2))</f>
        <v/>
      </c>
      <c r="T45" s="127"/>
      <c r="U45" s="137"/>
      <c r="V45" s="58" t="str" cm="1">
        <f>IF(ISBLANK($A45),"",INDEX(Array_ElectricalCharges,MATCH($A45,List_ElectricityMeters,0),ROUNDUP(COLUMN()/3,0)-2))</f>
        <v/>
      </c>
      <c r="W45" s="127"/>
      <c r="X45" s="137"/>
      <c r="Y45" s="58" t="str" cm="1">
        <f>IF(ISBLANK($A45),"",INDEX(Array_ElectricalCharges,MATCH($A45,List_ElectricityMeters,0),ROUNDUP(COLUMN()/3,0)-2))</f>
        <v/>
      </c>
      <c r="Z45" s="127"/>
      <c r="AA45" s="137"/>
      <c r="AB45" s="58" t="str" cm="1">
        <f>IF(ISBLANK($A45),"",INDEX(Array_ElectricalCharges,MATCH($A45,List_ElectricityMeters,0),ROUNDUP(COLUMN()/3,0)-2))</f>
        <v/>
      </c>
      <c r="AC45" s="127"/>
      <c r="AD45" s="137"/>
      <c r="AE45" s="58" t="str" cm="1">
        <f>IF(ISBLANK($A45),"",INDEX(Array_ElectricalCharges,MATCH($A45,List_ElectricityMeters,0),ROUNDUP(COLUMN()/3,0)-2))</f>
        <v/>
      </c>
      <c r="AF45" s="127"/>
      <c r="AG45" s="137"/>
      <c r="AH45" s="58" t="str" cm="1">
        <f>IF(ISBLANK($A45),"",INDEX(Array_ElectricalCharges,MATCH($A45,List_ElectricityMeters,0),ROUNDUP(COLUMN()/3,0)-2))</f>
        <v/>
      </c>
      <c r="AI45" s="127"/>
      <c r="AJ45" s="137"/>
      <c r="AK45" s="58" t="str" cm="1">
        <f>IF(ISBLANK($A45),"",INDEX(Array_ElectricalCharges,MATCH($A45,List_ElectricityMeters,0),ROUNDUP(COLUMN()/3,0)-2))</f>
        <v/>
      </c>
      <c r="AL45" s="127"/>
      <c r="AM45" s="137"/>
      <c r="AN45" s="58" t="str" cm="1">
        <f>IF(ISBLANK($A45),"",INDEX(Array_ElectricalCharges,MATCH($A45,List_ElectricityMeters,0),ROUNDUP(COLUMN()/3,0)-2))</f>
        <v/>
      </c>
      <c r="AO45" s="127"/>
      <c r="AP45" s="137"/>
      <c r="AQ45" s="58" t="str" cm="1">
        <f>IF(ISBLANK($A45),"",INDEX(Array_ElectricalCharges,MATCH($A45,List_ElectricityMeters,0),ROUNDUP(COLUMN()/3,0)-2))</f>
        <v/>
      </c>
      <c r="AR45" s="127"/>
      <c r="AS45" s="137"/>
      <c r="AT45" s="58" t="str" cm="1">
        <f>IF(ISBLANK($A45),"",INDEX(Array_ElectricalCharges,MATCH($A45,List_ElectricityMeters,0),ROUNDUP(COLUMN()/3,0)-2))</f>
        <v/>
      </c>
      <c r="AU45" s="127"/>
      <c r="AV45" s="137"/>
      <c r="AW45" s="58" t="str" cm="1">
        <f>IF(ISBLANK($A45),"",INDEX(Array_ElectricalCharges,MATCH($A45,List_ElectricityMeters,0),ROUNDUP(COLUMN()/3,0)-2))</f>
        <v/>
      </c>
      <c r="AX45" s="127"/>
      <c r="AY45" s="137"/>
    </row>
    <row r="46" spans="1:51" x14ac:dyDescent="0.3">
      <c r="A46" s="126"/>
      <c r="B46" s="133"/>
      <c r="C46" s="134"/>
      <c r="D46" s="134"/>
      <c r="E46" s="135"/>
      <c r="F46" s="136"/>
      <c r="G46" s="58" t="str" cm="1">
        <f>IF(ISBLANK($A46),"",INDEX(Array_ElectricalCharges,MATCH($A46,List_ElectricityMeters,0),ROUNDUP(COLUMN()/3,0)-2))</f>
        <v/>
      </c>
      <c r="H46" s="127"/>
      <c r="I46" s="137"/>
      <c r="J46" s="58" t="str" cm="1">
        <f>IF(ISBLANK($A46),"",INDEX(Array_ElectricalCharges,MATCH($A46,List_ElectricityMeters,0),ROUNDUP(COLUMN()/3,0)-2))</f>
        <v/>
      </c>
      <c r="K46" s="127"/>
      <c r="L46" s="137"/>
      <c r="M46" s="58" t="str" cm="1">
        <f>IF(ISBLANK($A46),"",INDEX(Array_ElectricalCharges,MATCH($A46,List_ElectricityMeters,0),ROUNDUP(COLUMN()/3,0)-2))</f>
        <v/>
      </c>
      <c r="N46" s="127"/>
      <c r="O46" s="137"/>
      <c r="P46" s="58" t="str" cm="1">
        <f>IF(ISBLANK($A46),"",INDEX(Array_ElectricalCharges,MATCH($A46,List_ElectricityMeters,0),ROUNDUP(COLUMN()/3,0)-2))</f>
        <v/>
      </c>
      <c r="Q46" s="127"/>
      <c r="R46" s="137"/>
      <c r="S46" s="58" t="str" cm="1">
        <f>IF(ISBLANK($A46),"",INDEX(Array_ElectricalCharges,MATCH($A46,List_ElectricityMeters,0),ROUNDUP(COLUMN()/3,0)-2))</f>
        <v/>
      </c>
      <c r="T46" s="127"/>
      <c r="U46" s="137"/>
      <c r="V46" s="58" t="str" cm="1">
        <f>IF(ISBLANK($A46),"",INDEX(Array_ElectricalCharges,MATCH($A46,List_ElectricityMeters,0),ROUNDUP(COLUMN()/3,0)-2))</f>
        <v/>
      </c>
      <c r="W46" s="127"/>
      <c r="X46" s="137"/>
      <c r="Y46" s="58" t="str" cm="1">
        <f>IF(ISBLANK($A46),"",INDEX(Array_ElectricalCharges,MATCH($A46,List_ElectricityMeters,0),ROUNDUP(COLUMN()/3,0)-2))</f>
        <v/>
      </c>
      <c r="Z46" s="127"/>
      <c r="AA46" s="137"/>
      <c r="AB46" s="58" t="str" cm="1">
        <f>IF(ISBLANK($A46),"",INDEX(Array_ElectricalCharges,MATCH($A46,List_ElectricityMeters,0),ROUNDUP(COLUMN()/3,0)-2))</f>
        <v/>
      </c>
      <c r="AC46" s="127"/>
      <c r="AD46" s="137"/>
      <c r="AE46" s="58" t="str" cm="1">
        <f>IF(ISBLANK($A46),"",INDEX(Array_ElectricalCharges,MATCH($A46,List_ElectricityMeters,0),ROUNDUP(COLUMN()/3,0)-2))</f>
        <v/>
      </c>
      <c r="AF46" s="127"/>
      <c r="AG46" s="137"/>
      <c r="AH46" s="58" t="str" cm="1">
        <f>IF(ISBLANK($A46),"",INDEX(Array_ElectricalCharges,MATCH($A46,List_ElectricityMeters,0),ROUNDUP(COLUMN()/3,0)-2))</f>
        <v/>
      </c>
      <c r="AI46" s="127"/>
      <c r="AJ46" s="137"/>
      <c r="AK46" s="58" t="str" cm="1">
        <f>IF(ISBLANK($A46),"",INDEX(Array_ElectricalCharges,MATCH($A46,List_ElectricityMeters,0),ROUNDUP(COLUMN()/3,0)-2))</f>
        <v/>
      </c>
      <c r="AL46" s="127"/>
      <c r="AM46" s="137"/>
      <c r="AN46" s="58" t="str" cm="1">
        <f>IF(ISBLANK($A46),"",INDEX(Array_ElectricalCharges,MATCH($A46,List_ElectricityMeters,0),ROUNDUP(COLUMN()/3,0)-2))</f>
        <v/>
      </c>
      <c r="AO46" s="127"/>
      <c r="AP46" s="137"/>
      <c r="AQ46" s="58" t="str" cm="1">
        <f>IF(ISBLANK($A46),"",INDEX(Array_ElectricalCharges,MATCH($A46,List_ElectricityMeters,0),ROUNDUP(COLUMN()/3,0)-2))</f>
        <v/>
      </c>
      <c r="AR46" s="127"/>
      <c r="AS46" s="137"/>
      <c r="AT46" s="58" t="str" cm="1">
        <f>IF(ISBLANK($A46),"",INDEX(Array_ElectricalCharges,MATCH($A46,List_ElectricityMeters,0),ROUNDUP(COLUMN()/3,0)-2))</f>
        <v/>
      </c>
      <c r="AU46" s="127"/>
      <c r="AV46" s="137"/>
      <c r="AW46" s="58" t="str" cm="1">
        <f>IF(ISBLANK($A46),"",INDEX(Array_ElectricalCharges,MATCH($A46,List_ElectricityMeters,0),ROUNDUP(COLUMN()/3,0)-2))</f>
        <v/>
      </c>
      <c r="AX46" s="127"/>
      <c r="AY46" s="137"/>
    </row>
    <row r="47" spans="1:51" x14ac:dyDescent="0.3">
      <c r="A47" s="126"/>
      <c r="B47" s="133"/>
      <c r="C47" s="134"/>
      <c r="D47" s="134"/>
      <c r="E47" s="135"/>
      <c r="F47" s="136"/>
      <c r="G47" s="58" t="str" cm="1">
        <f>IF(ISBLANK($A47),"",INDEX(Array_ElectricalCharges,MATCH($A47,List_ElectricityMeters,0),ROUNDUP(COLUMN()/3,0)-2))</f>
        <v/>
      </c>
      <c r="H47" s="127"/>
      <c r="I47" s="137"/>
      <c r="J47" s="58" t="str" cm="1">
        <f>IF(ISBLANK($A47),"",INDEX(Array_ElectricalCharges,MATCH($A47,List_ElectricityMeters,0),ROUNDUP(COLUMN()/3,0)-2))</f>
        <v/>
      </c>
      <c r="K47" s="127"/>
      <c r="L47" s="137"/>
      <c r="M47" s="58" t="str" cm="1">
        <f>IF(ISBLANK($A47),"",INDEX(Array_ElectricalCharges,MATCH($A47,List_ElectricityMeters,0),ROUNDUP(COLUMN()/3,0)-2))</f>
        <v/>
      </c>
      <c r="N47" s="127"/>
      <c r="O47" s="137"/>
      <c r="P47" s="58" t="str" cm="1">
        <f>IF(ISBLANK($A47),"",INDEX(Array_ElectricalCharges,MATCH($A47,List_ElectricityMeters,0),ROUNDUP(COLUMN()/3,0)-2))</f>
        <v/>
      </c>
      <c r="Q47" s="127"/>
      <c r="R47" s="137"/>
      <c r="S47" s="58" t="str" cm="1">
        <f>IF(ISBLANK($A47),"",INDEX(Array_ElectricalCharges,MATCH($A47,List_ElectricityMeters,0),ROUNDUP(COLUMN()/3,0)-2))</f>
        <v/>
      </c>
      <c r="T47" s="127"/>
      <c r="U47" s="137"/>
      <c r="V47" s="58" t="str" cm="1">
        <f>IF(ISBLANK($A47),"",INDEX(Array_ElectricalCharges,MATCH($A47,List_ElectricityMeters,0),ROUNDUP(COLUMN()/3,0)-2))</f>
        <v/>
      </c>
      <c r="W47" s="127"/>
      <c r="X47" s="137"/>
      <c r="Y47" s="58" t="str" cm="1">
        <f>IF(ISBLANK($A47),"",INDEX(Array_ElectricalCharges,MATCH($A47,List_ElectricityMeters,0),ROUNDUP(COLUMN()/3,0)-2))</f>
        <v/>
      </c>
      <c r="Z47" s="127"/>
      <c r="AA47" s="137"/>
      <c r="AB47" s="58" t="str" cm="1">
        <f>IF(ISBLANK($A47),"",INDEX(Array_ElectricalCharges,MATCH($A47,List_ElectricityMeters,0),ROUNDUP(COLUMN()/3,0)-2))</f>
        <v/>
      </c>
      <c r="AC47" s="127"/>
      <c r="AD47" s="137"/>
      <c r="AE47" s="58" t="str" cm="1">
        <f>IF(ISBLANK($A47),"",INDEX(Array_ElectricalCharges,MATCH($A47,List_ElectricityMeters,0),ROUNDUP(COLUMN()/3,0)-2))</f>
        <v/>
      </c>
      <c r="AF47" s="127"/>
      <c r="AG47" s="137"/>
      <c r="AH47" s="58" t="str" cm="1">
        <f>IF(ISBLANK($A47),"",INDEX(Array_ElectricalCharges,MATCH($A47,List_ElectricityMeters,0),ROUNDUP(COLUMN()/3,0)-2))</f>
        <v/>
      </c>
      <c r="AI47" s="127"/>
      <c r="AJ47" s="137"/>
      <c r="AK47" s="58" t="str" cm="1">
        <f>IF(ISBLANK($A47),"",INDEX(Array_ElectricalCharges,MATCH($A47,List_ElectricityMeters,0),ROUNDUP(COLUMN()/3,0)-2))</f>
        <v/>
      </c>
      <c r="AL47" s="127"/>
      <c r="AM47" s="137"/>
      <c r="AN47" s="58" t="str" cm="1">
        <f>IF(ISBLANK($A47),"",INDEX(Array_ElectricalCharges,MATCH($A47,List_ElectricityMeters,0),ROUNDUP(COLUMN()/3,0)-2))</f>
        <v/>
      </c>
      <c r="AO47" s="127"/>
      <c r="AP47" s="137"/>
      <c r="AQ47" s="58" t="str" cm="1">
        <f>IF(ISBLANK($A47),"",INDEX(Array_ElectricalCharges,MATCH($A47,List_ElectricityMeters,0),ROUNDUP(COLUMN()/3,0)-2))</f>
        <v/>
      </c>
      <c r="AR47" s="127"/>
      <c r="AS47" s="137"/>
      <c r="AT47" s="58" t="str" cm="1">
        <f>IF(ISBLANK($A47),"",INDEX(Array_ElectricalCharges,MATCH($A47,List_ElectricityMeters,0),ROUNDUP(COLUMN()/3,0)-2))</f>
        <v/>
      </c>
      <c r="AU47" s="127"/>
      <c r="AV47" s="137"/>
      <c r="AW47" s="58" t="str" cm="1">
        <f>IF(ISBLANK($A47),"",INDEX(Array_ElectricalCharges,MATCH($A47,List_ElectricityMeters,0),ROUNDUP(COLUMN()/3,0)-2))</f>
        <v/>
      </c>
      <c r="AX47" s="127"/>
      <c r="AY47" s="137"/>
    </row>
    <row r="48" spans="1:51" x14ac:dyDescent="0.3">
      <c r="A48" s="126"/>
      <c r="B48" s="133"/>
      <c r="C48" s="134"/>
      <c r="D48" s="134"/>
      <c r="E48" s="135"/>
      <c r="F48" s="136"/>
      <c r="G48" s="58" t="str" cm="1">
        <f>IF(ISBLANK($A48),"",INDEX(Array_ElectricalCharges,MATCH($A48,List_ElectricityMeters,0),ROUNDUP(COLUMN()/3,0)-2))</f>
        <v/>
      </c>
      <c r="H48" s="127"/>
      <c r="I48" s="137"/>
      <c r="J48" s="58" t="str" cm="1">
        <f>IF(ISBLANK($A48),"",INDEX(Array_ElectricalCharges,MATCH($A48,List_ElectricityMeters,0),ROUNDUP(COLUMN()/3,0)-2))</f>
        <v/>
      </c>
      <c r="K48" s="127"/>
      <c r="L48" s="137"/>
      <c r="M48" s="58" t="str" cm="1">
        <f>IF(ISBLANK($A48),"",INDEX(Array_ElectricalCharges,MATCH($A48,List_ElectricityMeters,0),ROUNDUP(COLUMN()/3,0)-2))</f>
        <v/>
      </c>
      <c r="N48" s="127"/>
      <c r="O48" s="137"/>
      <c r="P48" s="58" t="str" cm="1">
        <f>IF(ISBLANK($A48),"",INDEX(Array_ElectricalCharges,MATCH($A48,List_ElectricityMeters,0),ROUNDUP(COLUMN()/3,0)-2))</f>
        <v/>
      </c>
      <c r="Q48" s="127"/>
      <c r="R48" s="137"/>
      <c r="S48" s="58" t="str" cm="1">
        <f>IF(ISBLANK($A48),"",INDEX(Array_ElectricalCharges,MATCH($A48,List_ElectricityMeters,0),ROUNDUP(COLUMN()/3,0)-2))</f>
        <v/>
      </c>
      <c r="T48" s="127"/>
      <c r="U48" s="137"/>
      <c r="V48" s="58" t="str" cm="1">
        <f>IF(ISBLANK($A48),"",INDEX(Array_ElectricalCharges,MATCH($A48,List_ElectricityMeters,0),ROUNDUP(COLUMN()/3,0)-2))</f>
        <v/>
      </c>
      <c r="W48" s="127"/>
      <c r="X48" s="137"/>
      <c r="Y48" s="58" t="str" cm="1">
        <f>IF(ISBLANK($A48),"",INDEX(Array_ElectricalCharges,MATCH($A48,List_ElectricityMeters,0),ROUNDUP(COLUMN()/3,0)-2))</f>
        <v/>
      </c>
      <c r="Z48" s="127"/>
      <c r="AA48" s="137"/>
      <c r="AB48" s="58" t="str" cm="1">
        <f>IF(ISBLANK($A48),"",INDEX(Array_ElectricalCharges,MATCH($A48,List_ElectricityMeters,0),ROUNDUP(COLUMN()/3,0)-2))</f>
        <v/>
      </c>
      <c r="AC48" s="127"/>
      <c r="AD48" s="137"/>
      <c r="AE48" s="58" t="str" cm="1">
        <f>IF(ISBLANK($A48),"",INDEX(Array_ElectricalCharges,MATCH($A48,List_ElectricityMeters,0),ROUNDUP(COLUMN()/3,0)-2))</f>
        <v/>
      </c>
      <c r="AF48" s="127"/>
      <c r="AG48" s="137"/>
      <c r="AH48" s="58" t="str" cm="1">
        <f>IF(ISBLANK($A48),"",INDEX(Array_ElectricalCharges,MATCH($A48,List_ElectricityMeters,0),ROUNDUP(COLUMN()/3,0)-2))</f>
        <v/>
      </c>
      <c r="AI48" s="127"/>
      <c r="AJ48" s="137"/>
      <c r="AK48" s="58" t="str" cm="1">
        <f>IF(ISBLANK($A48),"",INDEX(Array_ElectricalCharges,MATCH($A48,List_ElectricityMeters,0),ROUNDUP(COLUMN()/3,0)-2))</f>
        <v/>
      </c>
      <c r="AL48" s="127"/>
      <c r="AM48" s="137"/>
      <c r="AN48" s="58" t="str" cm="1">
        <f>IF(ISBLANK($A48),"",INDEX(Array_ElectricalCharges,MATCH($A48,List_ElectricityMeters,0),ROUNDUP(COLUMN()/3,0)-2))</f>
        <v/>
      </c>
      <c r="AO48" s="127"/>
      <c r="AP48" s="137"/>
      <c r="AQ48" s="58" t="str" cm="1">
        <f>IF(ISBLANK($A48),"",INDEX(Array_ElectricalCharges,MATCH($A48,List_ElectricityMeters,0),ROUNDUP(COLUMN()/3,0)-2))</f>
        <v/>
      </c>
      <c r="AR48" s="127"/>
      <c r="AS48" s="137"/>
      <c r="AT48" s="58" t="str" cm="1">
        <f>IF(ISBLANK($A48),"",INDEX(Array_ElectricalCharges,MATCH($A48,List_ElectricityMeters,0),ROUNDUP(COLUMN()/3,0)-2))</f>
        <v/>
      </c>
      <c r="AU48" s="127"/>
      <c r="AV48" s="137"/>
      <c r="AW48" s="58" t="str" cm="1">
        <f>IF(ISBLANK($A48),"",INDEX(Array_ElectricalCharges,MATCH($A48,List_ElectricityMeters,0),ROUNDUP(COLUMN()/3,0)-2))</f>
        <v/>
      </c>
      <c r="AX48" s="127"/>
      <c r="AY48" s="137"/>
    </row>
    <row r="49" spans="1:51" x14ac:dyDescent="0.3">
      <c r="A49" s="126"/>
      <c r="B49" s="133"/>
      <c r="C49" s="134"/>
      <c r="D49" s="134"/>
      <c r="E49" s="135"/>
      <c r="F49" s="136"/>
      <c r="G49" s="58" t="str" cm="1">
        <f>IF(ISBLANK($A49),"",INDEX(Array_ElectricalCharges,MATCH($A49,List_ElectricityMeters,0),ROUNDUP(COLUMN()/3,0)-2))</f>
        <v/>
      </c>
      <c r="H49" s="127"/>
      <c r="I49" s="137"/>
      <c r="J49" s="58" t="str" cm="1">
        <f>IF(ISBLANK($A49),"",INDEX(Array_ElectricalCharges,MATCH($A49,List_ElectricityMeters,0),ROUNDUP(COLUMN()/3,0)-2))</f>
        <v/>
      </c>
      <c r="K49" s="127"/>
      <c r="L49" s="137"/>
      <c r="M49" s="58" t="str" cm="1">
        <f>IF(ISBLANK($A49),"",INDEX(Array_ElectricalCharges,MATCH($A49,List_ElectricityMeters,0),ROUNDUP(COLUMN()/3,0)-2))</f>
        <v/>
      </c>
      <c r="N49" s="127"/>
      <c r="O49" s="137"/>
      <c r="P49" s="58" t="str" cm="1">
        <f>IF(ISBLANK($A49),"",INDEX(Array_ElectricalCharges,MATCH($A49,List_ElectricityMeters,0),ROUNDUP(COLUMN()/3,0)-2))</f>
        <v/>
      </c>
      <c r="Q49" s="127"/>
      <c r="R49" s="137"/>
      <c r="S49" s="58" t="str" cm="1">
        <f>IF(ISBLANK($A49),"",INDEX(Array_ElectricalCharges,MATCH($A49,List_ElectricityMeters,0),ROUNDUP(COLUMN()/3,0)-2))</f>
        <v/>
      </c>
      <c r="T49" s="127"/>
      <c r="U49" s="137"/>
      <c r="V49" s="58" t="str" cm="1">
        <f>IF(ISBLANK($A49),"",INDEX(Array_ElectricalCharges,MATCH($A49,List_ElectricityMeters,0),ROUNDUP(COLUMN()/3,0)-2))</f>
        <v/>
      </c>
      <c r="W49" s="127"/>
      <c r="X49" s="137"/>
      <c r="Y49" s="58" t="str" cm="1">
        <f>IF(ISBLANK($A49),"",INDEX(Array_ElectricalCharges,MATCH($A49,List_ElectricityMeters,0),ROUNDUP(COLUMN()/3,0)-2))</f>
        <v/>
      </c>
      <c r="Z49" s="127"/>
      <c r="AA49" s="137"/>
      <c r="AB49" s="58" t="str" cm="1">
        <f>IF(ISBLANK($A49),"",INDEX(Array_ElectricalCharges,MATCH($A49,List_ElectricityMeters,0),ROUNDUP(COLUMN()/3,0)-2))</f>
        <v/>
      </c>
      <c r="AC49" s="127"/>
      <c r="AD49" s="137"/>
      <c r="AE49" s="58" t="str" cm="1">
        <f>IF(ISBLANK($A49),"",INDEX(Array_ElectricalCharges,MATCH($A49,List_ElectricityMeters,0),ROUNDUP(COLUMN()/3,0)-2))</f>
        <v/>
      </c>
      <c r="AF49" s="127"/>
      <c r="AG49" s="137"/>
      <c r="AH49" s="58" t="str" cm="1">
        <f>IF(ISBLANK($A49),"",INDEX(Array_ElectricalCharges,MATCH($A49,List_ElectricityMeters,0),ROUNDUP(COLUMN()/3,0)-2))</f>
        <v/>
      </c>
      <c r="AI49" s="127"/>
      <c r="AJ49" s="137"/>
      <c r="AK49" s="58" t="str" cm="1">
        <f>IF(ISBLANK($A49),"",INDEX(Array_ElectricalCharges,MATCH($A49,List_ElectricityMeters,0),ROUNDUP(COLUMN()/3,0)-2))</f>
        <v/>
      </c>
      <c r="AL49" s="127"/>
      <c r="AM49" s="137"/>
      <c r="AN49" s="58" t="str" cm="1">
        <f>IF(ISBLANK($A49),"",INDEX(Array_ElectricalCharges,MATCH($A49,List_ElectricityMeters,0),ROUNDUP(COLUMN()/3,0)-2))</f>
        <v/>
      </c>
      <c r="AO49" s="127"/>
      <c r="AP49" s="137"/>
      <c r="AQ49" s="58" t="str" cm="1">
        <f>IF(ISBLANK($A49),"",INDEX(Array_ElectricalCharges,MATCH($A49,List_ElectricityMeters,0),ROUNDUP(COLUMN()/3,0)-2))</f>
        <v/>
      </c>
      <c r="AR49" s="127"/>
      <c r="AS49" s="137"/>
      <c r="AT49" s="58" t="str" cm="1">
        <f>IF(ISBLANK($A49),"",INDEX(Array_ElectricalCharges,MATCH($A49,List_ElectricityMeters,0),ROUNDUP(COLUMN()/3,0)-2))</f>
        <v/>
      </c>
      <c r="AU49" s="127"/>
      <c r="AV49" s="137"/>
      <c r="AW49" s="58" t="str" cm="1">
        <f>IF(ISBLANK($A49),"",INDEX(Array_ElectricalCharges,MATCH($A49,List_ElectricityMeters,0),ROUNDUP(COLUMN()/3,0)-2))</f>
        <v/>
      </c>
      <c r="AX49" s="127"/>
      <c r="AY49" s="137"/>
    </row>
    <row r="50" spans="1:51" x14ac:dyDescent="0.3">
      <c r="A50" s="126"/>
      <c r="B50" s="133"/>
      <c r="C50" s="134"/>
      <c r="D50" s="134"/>
      <c r="E50" s="135"/>
      <c r="F50" s="136"/>
      <c r="G50" s="58" t="str" cm="1">
        <f>IF(ISBLANK($A50),"",INDEX(Array_ElectricalCharges,MATCH($A50,List_ElectricityMeters,0),ROUNDUP(COLUMN()/3,0)-2))</f>
        <v/>
      </c>
      <c r="H50" s="127"/>
      <c r="I50" s="137"/>
      <c r="J50" s="58" t="str" cm="1">
        <f>IF(ISBLANK($A50),"",INDEX(Array_ElectricalCharges,MATCH($A50,List_ElectricityMeters,0),ROUNDUP(COLUMN()/3,0)-2))</f>
        <v/>
      </c>
      <c r="K50" s="127"/>
      <c r="L50" s="137"/>
      <c r="M50" s="58" t="str" cm="1">
        <f>IF(ISBLANK($A50),"",INDEX(Array_ElectricalCharges,MATCH($A50,List_ElectricityMeters,0),ROUNDUP(COLUMN()/3,0)-2))</f>
        <v/>
      </c>
      <c r="N50" s="127"/>
      <c r="O50" s="137"/>
      <c r="P50" s="58" t="str" cm="1">
        <f>IF(ISBLANK($A50),"",INDEX(Array_ElectricalCharges,MATCH($A50,List_ElectricityMeters,0),ROUNDUP(COLUMN()/3,0)-2))</f>
        <v/>
      </c>
      <c r="Q50" s="127"/>
      <c r="R50" s="137"/>
      <c r="S50" s="58" t="str" cm="1">
        <f>IF(ISBLANK($A50),"",INDEX(Array_ElectricalCharges,MATCH($A50,List_ElectricityMeters,0),ROUNDUP(COLUMN()/3,0)-2))</f>
        <v/>
      </c>
      <c r="T50" s="127"/>
      <c r="U50" s="137"/>
      <c r="V50" s="58" t="str" cm="1">
        <f>IF(ISBLANK($A50),"",INDEX(Array_ElectricalCharges,MATCH($A50,List_ElectricityMeters,0),ROUNDUP(COLUMN()/3,0)-2))</f>
        <v/>
      </c>
      <c r="W50" s="127"/>
      <c r="X50" s="137"/>
      <c r="Y50" s="58" t="str" cm="1">
        <f>IF(ISBLANK($A50),"",INDEX(Array_ElectricalCharges,MATCH($A50,List_ElectricityMeters,0),ROUNDUP(COLUMN()/3,0)-2))</f>
        <v/>
      </c>
      <c r="Z50" s="127"/>
      <c r="AA50" s="137"/>
      <c r="AB50" s="58" t="str" cm="1">
        <f>IF(ISBLANK($A50),"",INDEX(Array_ElectricalCharges,MATCH($A50,List_ElectricityMeters,0),ROUNDUP(COLUMN()/3,0)-2))</f>
        <v/>
      </c>
      <c r="AC50" s="127"/>
      <c r="AD50" s="137"/>
      <c r="AE50" s="58" t="str" cm="1">
        <f>IF(ISBLANK($A50),"",INDEX(Array_ElectricalCharges,MATCH($A50,List_ElectricityMeters,0),ROUNDUP(COLUMN()/3,0)-2))</f>
        <v/>
      </c>
      <c r="AF50" s="127"/>
      <c r="AG50" s="137"/>
      <c r="AH50" s="58" t="str" cm="1">
        <f>IF(ISBLANK($A50),"",INDEX(Array_ElectricalCharges,MATCH($A50,List_ElectricityMeters,0),ROUNDUP(COLUMN()/3,0)-2))</f>
        <v/>
      </c>
      <c r="AI50" s="127"/>
      <c r="AJ50" s="137"/>
      <c r="AK50" s="58" t="str" cm="1">
        <f>IF(ISBLANK($A50),"",INDEX(Array_ElectricalCharges,MATCH($A50,List_ElectricityMeters,0),ROUNDUP(COLUMN()/3,0)-2))</f>
        <v/>
      </c>
      <c r="AL50" s="127"/>
      <c r="AM50" s="137"/>
      <c r="AN50" s="58" t="str" cm="1">
        <f>IF(ISBLANK($A50),"",INDEX(Array_ElectricalCharges,MATCH($A50,List_ElectricityMeters,0),ROUNDUP(COLUMN()/3,0)-2))</f>
        <v/>
      </c>
      <c r="AO50" s="127"/>
      <c r="AP50" s="137"/>
      <c r="AQ50" s="58" t="str" cm="1">
        <f>IF(ISBLANK($A50),"",INDEX(Array_ElectricalCharges,MATCH($A50,List_ElectricityMeters,0),ROUNDUP(COLUMN()/3,0)-2))</f>
        <v/>
      </c>
      <c r="AR50" s="127"/>
      <c r="AS50" s="137"/>
      <c r="AT50" s="58" t="str" cm="1">
        <f>IF(ISBLANK($A50),"",INDEX(Array_ElectricalCharges,MATCH($A50,List_ElectricityMeters,0),ROUNDUP(COLUMN()/3,0)-2))</f>
        <v/>
      </c>
      <c r="AU50" s="127"/>
      <c r="AV50" s="137"/>
      <c r="AW50" s="58" t="str" cm="1">
        <f>IF(ISBLANK($A50),"",INDEX(Array_ElectricalCharges,MATCH($A50,List_ElectricityMeters,0),ROUNDUP(COLUMN()/3,0)-2))</f>
        <v/>
      </c>
      <c r="AX50" s="127"/>
      <c r="AY50" s="137"/>
    </row>
    <row r="51" spans="1:51" x14ac:dyDescent="0.3">
      <c r="A51" s="126"/>
      <c r="B51" s="133"/>
      <c r="C51" s="134"/>
      <c r="D51" s="134"/>
      <c r="E51" s="135"/>
      <c r="F51" s="136"/>
      <c r="G51" s="58" t="str" cm="1">
        <f>IF(ISBLANK($A51),"",INDEX(Array_ElectricalCharges,MATCH($A51,List_ElectricityMeters,0),ROUNDUP(COLUMN()/3,0)-2))</f>
        <v/>
      </c>
      <c r="H51" s="127"/>
      <c r="I51" s="137"/>
      <c r="J51" s="58" t="str" cm="1">
        <f>IF(ISBLANK($A51),"",INDEX(Array_ElectricalCharges,MATCH($A51,List_ElectricityMeters,0),ROUNDUP(COLUMN()/3,0)-2))</f>
        <v/>
      </c>
      <c r="K51" s="127"/>
      <c r="L51" s="137"/>
      <c r="M51" s="58" t="str" cm="1">
        <f>IF(ISBLANK($A51),"",INDEX(Array_ElectricalCharges,MATCH($A51,List_ElectricityMeters,0),ROUNDUP(COLUMN()/3,0)-2))</f>
        <v/>
      </c>
      <c r="N51" s="127"/>
      <c r="O51" s="137"/>
      <c r="P51" s="58" t="str" cm="1">
        <f>IF(ISBLANK($A51),"",INDEX(Array_ElectricalCharges,MATCH($A51,List_ElectricityMeters,0),ROUNDUP(COLUMN()/3,0)-2))</f>
        <v/>
      </c>
      <c r="Q51" s="127"/>
      <c r="R51" s="137"/>
      <c r="S51" s="58" t="str" cm="1">
        <f>IF(ISBLANK($A51),"",INDEX(Array_ElectricalCharges,MATCH($A51,List_ElectricityMeters,0),ROUNDUP(COLUMN()/3,0)-2))</f>
        <v/>
      </c>
      <c r="T51" s="127"/>
      <c r="U51" s="137"/>
      <c r="V51" s="58" t="str" cm="1">
        <f>IF(ISBLANK($A51),"",INDEX(Array_ElectricalCharges,MATCH($A51,List_ElectricityMeters,0),ROUNDUP(COLUMN()/3,0)-2))</f>
        <v/>
      </c>
      <c r="W51" s="127"/>
      <c r="X51" s="137"/>
      <c r="Y51" s="58" t="str" cm="1">
        <f>IF(ISBLANK($A51),"",INDEX(Array_ElectricalCharges,MATCH($A51,List_ElectricityMeters,0),ROUNDUP(COLUMN()/3,0)-2))</f>
        <v/>
      </c>
      <c r="Z51" s="127"/>
      <c r="AA51" s="137"/>
      <c r="AB51" s="58" t="str" cm="1">
        <f>IF(ISBLANK($A51),"",INDEX(Array_ElectricalCharges,MATCH($A51,List_ElectricityMeters,0),ROUNDUP(COLUMN()/3,0)-2))</f>
        <v/>
      </c>
      <c r="AC51" s="127"/>
      <c r="AD51" s="137"/>
      <c r="AE51" s="58" t="str" cm="1">
        <f>IF(ISBLANK($A51),"",INDEX(Array_ElectricalCharges,MATCH($A51,List_ElectricityMeters,0),ROUNDUP(COLUMN()/3,0)-2))</f>
        <v/>
      </c>
      <c r="AF51" s="127"/>
      <c r="AG51" s="137"/>
      <c r="AH51" s="58" t="str" cm="1">
        <f>IF(ISBLANK($A51),"",INDEX(Array_ElectricalCharges,MATCH($A51,List_ElectricityMeters,0),ROUNDUP(COLUMN()/3,0)-2))</f>
        <v/>
      </c>
      <c r="AI51" s="127"/>
      <c r="AJ51" s="137"/>
      <c r="AK51" s="58" t="str" cm="1">
        <f>IF(ISBLANK($A51),"",INDEX(Array_ElectricalCharges,MATCH($A51,List_ElectricityMeters,0),ROUNDUP(COLUMN()/3,0)-2))</f>
        <v/>
      </c>
      <c r="AL51" s="127"/>
      <c r="AM51" s="137"/>
      <c r="AN51" s="58" t="str" cm="1">
        <f>IF(ISBLANK($A51),"",INDEX(Array_ElectricalCharges,MATCH($A51,List_ElectricityMeters,0),ROUNDUP(COLUMN()/3,0)-2))</f>
        <v/>
      </c>
      <c r="AO51" s="127"/>
      <c r="AP51" s="137"/>
      <c r="AQ51" s="58" t="str" cm="1">
        <f>IF(ISBLANK($A51),"",INDEX(Array_ElectricalCharges,MATCH($A51,List_ElectricityMeters,0),ROUNDUP(COLUMN()/3,0)-2))</f>
        <v/>
      </c>
      <c r="AR51" s="127"/>
      <c r="AS51" s="137"/>
      <c r="AT51" s="58" t="str" cm="1">
        <f>IF(ISBLANK($A51),"",INDEX(Array_ElectricalCharges,MATCH($A51,List_ElectricityMeters,0),ROUNDUP(COLUMN()/3,0)-2))</f>
        <v/>
      </c>
      <c r="AU51" s="127"/>
      <c r="AV51" s="137"/>
      <c r="AW51" s="58" t="str" cm="1">
        <f>IF(ISBLANK($A51),"",INDEX(Array_ElectricalCharges,MATCH($A51,List_ElectricityMeters,0),ROUNDUP(COLUMN()/3,0)-2))</f>
        <v/>
      </c>
      <c r="AX51" s="127"/>
      <c r="AY51" s="137"/>
    </row>
    <row r="52" spans="1:51" x14ac:dyDescent="0.3">
      <c r="A52" s="126"/>
      <c r="B52" s="133"/>
      <c r="C52" s="134"/>
      <c r="D52" s="134"/>
      <c r="E52" s="135"/>
      <c r="F52" s="136"/>
      <c r="G52" s="58" t="str" cm="1">
        <f>IF(ISBLANK($A52),"",INDEX(Array_ElectricalCharges,MATCH($A52,List_ElectricityMeters,0),ROUNDUP(COLUMN()/3,0)-2))</f>
        <v/>
      </c>
      <c r="H52" s="127"/>
      <c r="I52" s="137"/>
      <c r="J52" s="58" t="str" cm="1">
        <f>IF(ISBLANK($A52),"",INDEX(Array_ElectricalCharges,MATCH($A52,List_ElectricityMeters,0),ROUNDUP(COLUMN()/3,0)-2))</f>
        <v/>
      </c>
      <c r="K52" s="127"/>
      <c r="L52" s="137"/>
      <c r="M52" s="58" t="str" cm="1">
        <f>IF(ISBLANK($A52),"",INDEX(Array_ElectricalCharges,MATCH($A52,List_ElectricityMeters,0),ROUNDUP(COLUMN()/3,0)-2))</f>
        <v/>
      </c>
      <c r="N52" s="127"/>
      <c r="O52" s="137"/>
      <c r="P52" s="58" t="str" cm="1">
        <f>IF(ISBLANK($A52),"",INDEX(Array_ElectricalCharges,MATCH($A52,List_ElectricityMeters,0),ROUNDUP(COLUMN()/3,0)-2))</f>
        <v/>
      </c>
      <c r="Q52" s="127"/>
      <c r="R52" s="137"/>
      <c r="S52" s="58" t="str" cm="1">
        <f>IF(ISBLANK($A52),"",INDEX(Array_ElectricalCharges,MATCH($A52,List_ElectricityMeters,0),ROUNDUP(COLUMN()/3,0)-2))</f>
        <v/>
      </c>
      <c r="T52" s="127"/>
      <c r="U52" s="137"/>
      <c r="V52" s="58" t="str" cm="1">
        <f>IF(ISBLANK($A52),"",INDEX(Array_ElectricalCharges,MATCH($A52,List_ElectricityMeters,0),ROUNDUP(COLUMN()/3,0)-2))</f>
        <v/>
      </c>
      <c r="W52" s="127"/>
      <c r="X52" s="137"/>
      <c r="Y52" s="58" t="str" cm="1">
        <f>IF(ISBLANK($A52),"",INDEX(Array_ElectricalCharges,MATCH($A52,List_ElectricityMeters,0),ROUNDUP(COLUMN()/3,0)-2))</f>
        <v/>
      </c>
      <c r="Z52" s="127"/>
      <c r="AA52" s="137"/>
      <c r="AB52" s="58" t="str" cm="1">
        <f>IF(ISBLANK($A52),"",INDEX(Array_ElectricalCharges,MATCH($A52,List_ElectricityMeters,0),ROUNDUP(COLUMN()/3,0)-2))</f>
        <v/>
      </c>
      <c r="AC52" s="127"/>
      <c r="AD52" s="137"/>
      <c r="AE52" s="58" t="str" cm="1">
        <f>IF(ISBLANK($A52),"",INDEX(Array_ElectricalCharges,MATCH($A52,List_ElectricityMeters,0),ROUNDUP(COLUMN()/3,0)-2))</f>
        <v/>
      </c>
      <c r="AF52" s="127"/>
      <c r="AG52" s="137"/>
      <c r="AH52" s="58" t="str" cm="1">
        <f>IF(ISBLANK($A52),"",INDEX(Array_ElectricalCharges,MATCH($A52,List_ElectricityMeters,0),ROUNDUP(COLUMN()/3,0)-2))</f>
        <v/>
      </c>
      <c r="AI52" s="127"/>
      <c r="AJ52" s="137"/>
      <c r="AK52" s="58" t="str" cm="1">
        <f>IF(ISBLANK($A52),"",INDEX(Array_ElectricalCharges,MATCH($A52,List_ElectricityMeters,0),ROUNDUP(COLUMN()/3,0)-2))</f>
        <v/>
      </c>
      <c r="AL52" s="127"/>
      <c r="AM52" s="137"/>
      <c r="AN52" s="58" t="str" cm="1">
        <f>IF(ISBLANK($A52),"",INDEX(Array_ElectricalCharges,MATCH($A52,List_ElectricityMeters,0),ROUNDUP(COLUMN()/3,0)-2))</f>
        <v/>
      </c>
      <c r="AO52" s="127"/>
      <c r="AP52" s="137"/>
      <c r="AQ52" s="58" t="str" cm="1">
        <f>IF(ISBLANK($A52),"",INDEX(Array_ElectricalCharges,MATCH($A52,List_ElectricityMeters,0),ROUNDUP(COLUMN()/3,0)-2))</f>
        <v/>
      </c>
      <c r="AR52" s="127"/>
      <c r="AS52" s="137"/>
      <c r="AT52" s="58" t="str" cm="1">
        <f>IF(ISBLANK($A52),"",INDEX(Array_ElectricalCharges,MATCH($A52,List_ElectricityMeters,0),ROUNDUP(COLUMN()/3,0)-2))</f>
        <v/>
      </c>
      <c r="AU52" s="127"/>
      <c r="AV52" s="137"/>
      <c r="AW52" s="58" t="str" cm="1">
        <f>IF(ISBLANK($A52),"",INDEX(Array_ElectricalCharges,MATCH($A52,List_ElectricityMeters,0),ROUNDUP(COLUMN()/3,0)-2))</f>
        <v/>
      </c>
      <c r="AX52" s="127"/>
      <c r="AY52" s="137"/>
    </row>
    <row r="53" spans="1:51" x14ac:dyDescent="0.3">
      <c r="A53" s="126"/>
      <c r="B53" s="133"/>
      <c r="C53" s="134"/>
      <c r="D53" s="134"/>
      <c r="E53" s="135"/>
      <c r="F53" s="136"/>
      <c r="G53" s="58" t="str" cm="1">
        <f>IF(ISBLANK($A53),"",INDEX(Array_ElectricalCharges,MATCH($A53,List_ElectricityMeters,0),ROUNDUP(COLUMN()/3,0)-2))</f>
        <v/>
      </c>
      <c r="H53" s="127"/>
      <c r="I53" s="137"/>
      <c r="J53" s="58" t="str" cm="1">
        <f>IF(ISBLANK($A53),"",INDEX(Array_ElectricalCharges,MATCH($A53,List_ElectricityMeters,0),ROUNDUP(COLUMN()/3,0)-2))</f>
        <v/>
      </c>
      <c r="K53" s="127"/>
      <c r="L53" s="137"/>
      <c r="M53" s="58" t="str" cm="1">
        <f>IF(ISBLANK($A53),"",INDEX(Array_ElectricalCharges,MATCH($A53,List_ElectricityMeters,0),ROUNDUP(COLUMN()/3,0)-2))</f>
        <v/>
      </c>
      <c r="N53" s="127"/>
      <c r="O53" s="137"/>
      <c r="P53" s="58" t="str" cm="1">
        <f>IF(ISBLANK($A53),"",INDEX(Array_ElectricalCharges,MATCH($A53,List_ElectricityMeters,0),ROUNDUP(COLUMN()/3,0)-2))</f>
        <v/>
      </c>
      <c r="Q53" s="127"/>
      <c r="R53" s="137"/>
      <c r="S53" s="58" t="str" cm="1">
        <f>IF(ISBLANK($A53),"",INDEX(Array_ElectricalCharges,MATCH($A53,List_ElectricityMeters,0),ROUNDUP(COLUMN()/3,0)-2))</f>
        <v/>
      </c>
      <c r="T53" s="127"/>
      <c r="U53" s="137"/>
      <c r="V53" s="58" t="str" cm="1">
        <f>IF(ISBLANK($A53),"",INDEX(Array_ElectricalCharges,MATCH($A53,List_ElectricityMeters,0),ROUNDUP(COLUMN()/3,0)-2))</f>
        <v/>
      </c>
      <c r="W53" s="127"/>
      <c r="X53" s="137"/>
      <c r="Y53" s="58" t="str" cm="1">
        <f>IF(ISBLANK($A53),"",INDEX(Array_ElectricalCharges,MATCH($A53,List_ElectricityMeters,0),ROUNDUP(COLUMN()/3,0)-2))</f>
        <v/>
      </c>
      <c r="Z53" s="127"/>
      <c r="AA53" s="137"/>
      <c r="AB53" s="58" t="str" cm="1">
        <f>IF(ISBLANK($A53),"",INDEX(Array_ElectricalCharges,MATCH($A53,List_ElectricityMeters,0),ROUNDUP(COLUMN()/3,0)-2))</f>
        <v/>
      </c>
      <c r="AC53" s="127"/>
      <c r="AD53" s="137"/>
      <c r="AE53" s="58" t="str" cm="1">
        <f>IF(ISBLANK($A53),"",INDEX(Array_ElectricalCharges,MATCH($A53,List_ElectricityMeters,0),ROUNDUP(COLUMN()/3,0)-2))</f>
        <v/>
      </c>
      <c r="AF53" s="127"/>
      <c r="AG53" s="137"/>
      <c r="AH53" s="58" t="str" cm="1">
        <f>IF(ISBLANK($A53),"",INDEX(Array_ElectricalCharges,MATCH($A53,List_ElectricityMeters,0),ROUNDUP(COLUMN()/3,0)-2))</f>
        <v/>
      </c>
      <c r="AI53" s="127"/>
      <c r="AJ53" s="137"/>
      <c r="AK53" s="58" t="str" cm="1">
        <f>IF(ISBLANK($A53),"",INDEX(Array_ElectricalCharges,MATCH($A53,List_ElectricityMeters,0),ROUNDUP(COLUMN()/3,0)-2))</f>
        <v/>
      </c>
      <c r="AL53" s="127"/>
      <c r="AM53" s="137"/>
      <c r="AN53" s="58" t="str" cm="1">
        <f>IF(ISBLANK($A53),"",INDEX(Array_ElectricalCharges,MATCH($A53,List_ElectricityMeters,0),ROUNDUP(COLUMN()/3,0)-2))</f>
        <v/>
      </c>
      <c r="AO53" s="127"/>
      <c r="AP53" s="137"/>
      <c r="AQ53" s="58" t="str" cm="1">
        <f>IF(ISBLANK($A53),"",INDEX(Array_ElectricalCharges,MATCH($A53,List_ElectricityMeters,0),ROUNDUP(COLUMN()/3,0)-2))</f>
        <v/>
      </c>
      <c r="AR53" s="127"/>
      <c r="AS53" s="137"/>
      <c r="AT53" s="58" t="str" cm="1">
        <f>IF(ISBLANK($A53),"",INDEX(Array_ElectricalCharges,MATCH($A53,List_ElectricityMeters,0),ROUNDUP(COLUMN()/3,0)-2))</f>
        <v/>
      </c>
      <c r="AU53" s="127"/>
      <c r="AV53" s="137"/>
      <c r="AW53" s="58" t="str" cm="1">
        <f>IF(ISBLANK($A53),"",INDEX(Array_ElectricalCharges,MATCH($A53,List_ElectricityMeters,0),ROUNDUP(COLUMN()/3,0)-2))</f>
        <v/>
      </c>
      <c r="AX53" s="127"/>
      <c r="AY53" s="137"/>
    </row>
    <row r="54" spans="1:51" x14ac:dyDescent="0.3">
      <c r="A54" s="126"/>
      <c r="B54" s="133"/>
      <c r="C54" s="134"/>
      <c r="D54" s="134"/>
      <c r="E54" s="135"/>
      <c r="F54" s="136"/>
      <c r="G54" s="58" t="str" cm="1">
        <f>IF(ISBLANK($A54),"",INDEX(Array_ElectricalCharges,MATCH($A54,List_ElectricityMeters,0),ROUNDUP(COLUMN()/3,0)-2))</f>
        <v/>
      </c>
      <c r="H54" s="127"/>
      <c r="I54" s="137"/>
      <c r="J54" s="58" t="str" cm="1">
        <f>IF(ISBLANK($A54),"",INDEX(Array_ElectricalCharges,MATCH($A54,List_ElectricityMeters,0),ROUNDUP(COLUMN()/3,0)-2))</f>
        <v/>
      </c>
      <c r="K54" s="127"/>
      <c r="L54" s="137"/>
      <c r="M54" s="58" t="str" cm="1">
        <f>IF(ISBLANK($A54),"",INDEX(Array_ElectricalCharges,MATCH($A54,List_ElectricityMeters,0),ROUNDUP(COLUMN()/3,0)-2))</f>
        <v/>
      </c>
      <c r="N54" s="127"/>
      <c r="O54" s="137"/>
      <c r="P54" s="58" t="str" cm="1">
        <f>IF(ISBLANK($A54),"",INDEX(Array_ElectricalCharges,MATCH($A54,List_ElectricityMeters,0),ROUNDUP(COLUMN()/3,0)-2))</f>
        <v/>
      </c>
      <c r="Q54" s="127"/>
      <c r="R54" s="137"/>
      <c r="S54" s="58" t="str" cm="1">
        <f>IF(ISBLANK($A54),"",INDEX(Array_ElectricalCharges,MATCH($A54,List_ElectricityMeters,0),ROUNDUP(COLUMN()/3,0)-2))</f>
        <v/>
      </c>
      <c r="T54" s="127"/>
      <c r="U54" s="137"/>
      <c r="V54" s="58" t="str" cm="1">
        <f>IF(ISBLANK($A54),"",INDEX(Array_ElectricalCharges,MATCH($A54,List_ElectricityMeters,0),ROUNDUP(COLUMN()/3,0)-2))</f>
        <v/>
      </c>
      <c r="W54" s="127"/>
      <c r="X54" s="137"/>
      <c r="Y54" s="58" t="str" cm="1">
        <f>IF(ISBLANK($A54),"",INDEX(Array_ElectricalCharges,MATCH($A54,List_ElectricityMeters,0),ROUNDUP(COLUMN()/3,0)-2))</f>
        <v/>
      </c>
      <c r="Z54" s="127"/>
      <c r="AA54" s="137"/>
      <c r="AB54" s="58" t="str" cm="1">
        <f>IF(ISBLANK($A54),"",INDEX(Array_ElectricalCharges,MATCH($A54,List_ElectricityMeters,0),ROUNDUP(COLUMN()/3,0)-2))</f>
        <v/>
      </c>
      <c r="AC54" s="127"/>
      <c r="AD54" s="137"/>
      <c r="AE54" s="58" t="str" cm="1">
        <f>IF(ISBLANK($A54),"",INDEX(Array_ElectricalCharges,MATCH($A54,List_ElectricityMeters,0),ROUNDUP(COLUMN()/3,0)-2))</f>
        <v/>
      </c>
      <c r="AF54" s="127"/>
      <c r="AG54" s="137"/>
      <c r="AH54" s="58" t="str" cm="1">
        <f>IF(ISBLANK($A54),"",INDEX(Array_ElectricalCharges,MATCH($A54,List_ElectricityMeters,0),ROUNDUP(COLUMN()/3,0)-2))</f>
        <v/>
      </c>
      <c r="AI54" s="127"/>
      <c r="AJ54" s="137"/>
      <c r="AK54" s="58" t="str" cm="1">
        <f>IF(ISBLANK($A54),"",INDEX(Array_ElectricalCharges,MATCH($A54,List_ElectricityMeters,0),ROUNDUP(COLUMN()/3,0)-2))</f>
        <v/>
      </c>
      <c r="AL54" s="127"/>
      <c r="AM54" s="137"/>
      <c r="AN54" s="58" t="str" cm="1">
        <f>IF(ISBLANK($A54),"",INDEX(Array_ElectricalCharges,MATCH($A54,List_ElectricityMeters,0),ROUNDUP(COLUMN()/3,0)-2))</f>
        <v/>
      </c>
      <c r="AO54" s="127"/>
      <c r="AP54" s="137"/>
      <c r="AQ54" s="58" t="str" cm="1">
        <f>IF(ISBLANK($A54),"",INDEX(Array_ElectricalCharges,MATCH($A54,List_ElectricityMeters,0),ROUNDUP(COLUMN()/3,0)-2))</f>
        <v/>
      </c>
      <c r="AR54" s="127"/>
      <c r="AS54" s="137"/>
      <c r="AT54" s="58" t="str" cm="1">
        <f>IF(ISBLANK($A54),"",INDEX(Array_ElectricalCharges,MATCH($A54,List_ElectricityMeters,0),ROUNDUP(COLUMN()/3,0)-2))</f>
        <v/>
      </c>
      <c r="AU54" s="127"/>
      <c r="AV54" s="137"/>
      <c r="AW54" s="58" t="str" cm="1">
        <f>IF(ISBLANK($A54),"",INDEX(Array_ElectricalCharges,MATCH($A54,List_ElectricityMeters,0),ROUNDUP(COLUMN()/3,0)-2))</f>
        <v/>
      </c>
      <c r="AX54" s="127"/>
      <c r="AY54" s="137"/>
    </row>
    <row r="55" spans="1:51" x14ac:dyDescent="0.3">
      <c r="A55" s="126"/>
      <c r="B55" s="133"/>
      <c r="C55" s="134"/>
      <c r="D55" s="134"/>
      <c r="E55" s="135"/>
      <c r="F55" s="136"/>
      <c r="G55" s="58" t="str" cm="1">
        <f>IF(ISBLANK($A55),"",INDEX(Array_ElectricalCharges,MATCH($A55,List_ElectricityMeters,0),ROUNDUP(COLUMN()/3,0)-2))</f>
        <v/>
      </c>
      <c r="H55" s="127"/>
      <c r="I55" s="137"/>
      <c r="J55" s="58" t="str" cm="1">
        <f>IF(ISBLANK($A55),"",INDEX(Array_ElectricalCharges,MATCH($A55,List_ElectricityMeters,0),ROUNDUP(COLUMN()/3,0)-2))</f>
        <v/>
      </c>
      <c r="K55" s="127"/>
      <c r="L55" s="137"/>
      <c r="M55" s="58" t="str" cm="1">
        <f>IF(ISBLANK($A55),"",INDEX(Array_ElectricalCharges,MATCH($A55,List_ElectricityMeters,0),ROUNDUP(COLUMN()/3,0)-2))</f>
        <v/>
      </c>
      <c r="N55" s="127"/>
      <c r="O55" s="137"/>
      <c r="P55" s="58" t="str" cm="1">
        <f>IF(ISBLANK($A55),"",INDEX(Array_ElectricalCharges,MATCH($A55,List_ElectricityMeters,0),ROUNDUP(COLUMN()/3,0)-2))</f>
        <v/>
      </c>
      <c r="Q55" s="127"/>
      <c r="R55" s="137"/>
      <c r="S55" s="58" t="str" cm="1">
        <f>IF(ISBLANK($A55),"",INDEX(Array_ElectricalCharges,MATCH($A55,List_ElectricityMeters,0),ROUNDUP(COLUMN()/3,0)-2))</f>
        <v/>
      </c>
      <c r="T55" s="127"/>
      <c r="U55" s="137"/>
      <c r="V55" s="58" t="str" cm="1">
        <f>IF(ISBLANK($A55),"",INDEX(Array_ElectricalCharges,MATCH($A55,List_ElectricityMeters,0),ROUNDUP(COLUMN()/3,0)-2))</f>
        <v/>
      </c>
      <c r="W55" s="127"/>
      <c r="X55" s="137"/>
      <c r="Y55" s="58" t="str" cm="1">
        <f>IF(ISBLANK($A55),"",INDEX(Array_ElectricalCharges,MATCH($A55,List_ElectricityMeters,0),ROUNDUP(COLUMN()/3,0)-2))</f>
        <v/>
      </c>
      <c r="Z55" s="127"/>
      <c r="AA55" s="137"/>
      <c r="AB55" s="58" t="str" cm="1">
        <f>IF(ISBLANK($A55),"",INDEX(Array_ElectricalCharges,MATCH($A55,List_ElectricityMeters,0),ROUNDUP(COLUMN()/3,0)-2))</f>
        <v/>
      </c>
      <c r="AC55" s="127"/>
      <c r="AD55" s="137"/>
      <c r="AE55" s="58" t="str" cm="1">
        <f>IF(ISBLANK($A55),"",INDEX(Array_ElectricalCharges,MATCH($A55,List_ElectricityMeters,0),ROUNDUP(COLUMN()/3,0)-2))</f>
        <v/>
      </c>
      <c r="AF55" s="127"/>
      <c r="AG55" s="137"/>
      <c r="AH55" s="58" t="str" cm="1">
        <f>IF(ISBLANK($A55),"",INDEX(Array_ElectricalCharges,MATCH($A55,List_ElectricityMeters,0),ROUNDUP(COLUMN()/3,0)-2))</f>
        <v/>
      </c>
      <c r="AI55" s="127"/>
      <c r="AJ55" s="137"/>
      <c r="AK55" s="58" t="str" cm="1">
        <f>IF(ISBLANK($A55),"",INDEX(Array_ElectricalCharges,MATCH($A55,List_ElectricityMeters,0),ROUNDUP(COLUMN()/3,0)-2))</f>
        <v/>
      </c>
      <c r="AL55" s="127"/>
      <c r="AM55" s="137"/>
      <c r="AN55" s="58" t="str" cm="1">
        <f>IF(ISBLANK($A55),"",INDEX(Array_ElectricalCharges,MATCH($A55,List_ElectricityMeters,0),ROUNDUP(COLUMN()/3,0)-2))</f>
        <v/>
      </c>
      <c r="AO55" s="127"/>
      <c r="AP55" s="137"/>
      <c r="AQ55" s="58" t="str" cm="1">
        <f>IF(ISBLANK($A55),"",INDEX(Array_ElectricalCharges,MATCH($A55,List_ElectricityMeters,0),ROUNDUP(COLUMN()/3,0)-2))</f>
        <v/>
      </c>
      <c r="AR55" s="127"/>
      <c r="AS55" s="137"/>
      <c r="AT55" s="58" t="str" cm="1">
        <f>IF(ISBLANK($A55),"",INDEX(Array_ElectricalCharges,MATCH($A55,List_ElectricityMeters,0),ROUNDUP(COLUMN()/3,0)-2))</f>
        <v/>
      </c>
      <c r="AU55" s="127"/>
      <c r="AV55" s="137"/>
      <c r="AW55" s="58" t="str" cm="1">
        <f>IF(ISBLANK($A55),"",INDEX(Array_ElectricalCharges,MATCH($A55,List_ElectricityMeters,0),ROUNDUP(COLUMN()/3,0)-2))</f>
        <v/>
      </c>
      <c r="AX55" s="127"/>
      <c r="AY55" s="137"/>
    </row>
    <row r="56" spans="1:51" x14ac:dyDescent="0.3">
      <c r="A56" s="126"/>
      <c r="B56" s="133"/>
      <c r="C56" s="134"/>
      <c r="D56" s="134"/>
      <c r="E56" s="135"/>
      <c r="F56" s="136"/>
      <c r="G56" s="58" t="str" cm="1">
        <f>IF(ISBLANK($A56),"",INDEX(Array_ElectricalCharges,MATCH($A56,List_ElectricityMeters,0),ROUNDUP(COLUMN()/3,0)-2))</f>
        <v/>
      </c>
      <c r="H56" s="127"/>
      <c r="I56" s="137"/>
      <c r="J56" s="58" t="str" cm="1">
        <f>IF(ISBLANK($A56),"",INDEX(Array_ElectricalCharges,MATCH($A56,List_ElectricityMeters,0),ROUNDUP(COLUMN()/3,0)-2))</f>
        <v/>
      </c>
      <c r="K56" s="127"/>
      <c r="L56" s="137"/>
      <c r="M56" s="58" t="str" cm="1">
        <f>IF(ISBLANK($A56),"",INDEX(Array_ElectricalCharges,MATCH($A56,List_ElectricityMeters,0),ROUNDUP(COLUMN()/3,0)-2))</f>
        <v/>
      </c>
      <c r="N56" s="127"/>
      <c r="O56" s="137"/>
      <c r="P56" s="58" t="str" cm="1">
        <f>IF(ISBLANK($A56),"",INDEX(Array_ElectricalCharges,MATCH($A56,List_ElectricityMeters,0),ROUNDUP(COLUMN()/3,0)-2))</f>
        <v/>
      </c>
      <c r="Q56" s="127"/>
      <c r="R56" s="137"/>
      <c r="S56" s="58" t="str" cm="1">
        <f>IF(ISBLANK($A56),"",INDEX(Array_ElectricalCharges,MATCH($A56,List_ElectricityMeters,0),ROUNDUP(COLUMN()/3,0)-2))</f>
        <v/>
      </c>
      <c r="T56" s="127"/>
      <c r="U56" s="137"/>
      <c r="V56" s="58" t="str" cm="1">
        <f>IF(ISBLANK($A56),"",INDEX(Array_ElectricalCharges,MATCH($A56,List_ElectricityMeters,0),ROUNDUP(COLUMN()/3,0)-2))</f>
        <v/>
      </c>
      <c r="W56" s="127"/>
      <c r="X56" s="137"/>
      <c r="Y56" s="58" t="str" cm="1">
        <f>IF(ISBLANK($A56),"",INDEX(Array_ElectricalCharges,MATCH($A56,List_ElectricityMeters,0),ROUNDUP(COLUMN()/3,0)-2))</f>
        <v/>
      </c>
      <c r="Z56" s="127"/>
      <c r="AA56" s="137"/>
      <c r="AB56" s="58" t="str" cm="1">
        <f>IF(ISBLANK($A56),"",INDEX(Array_ElectricalCharges,MATCH($A56,List_ElectricityMeters,0),ROUNDUP(COLUMN()/3,0)-2))</f>
        <v/>
      </c>
      <c r="AC56" s="127"/>
      <c r="AD56" s="137"/>
      <c r="AE56" s="58" t="str" cm="1">
        <f>IF(ISBLANK($A56),"",INDEX(Array_ElectricalCharges,MATCH($A56,List_ElectricityMeters,0),ROUNDUP(COLUMN()/3,0)-2))</f>
        <v/>
      </c>
      <c r="AF56" s="127"/>
      <c r="AG56" s="137"/>
      <c r="AH56" s="58" t="str" cm="1">
        <f>IF(ISBLANK($A56),"",INDEX(Array_ElectricalCharges,MATCH($A56,List_ElectricityMeters,0),ROUNDUP(COLUMN()/3,0)-2))</f>
        <v/>
      </c>
      <c r="AI56" s="127"/>
      <c r="AJ56" s="137"/>
      <c r="AK56" s="58" t="str" cm="1">
        <f>IF(ISBLANK($A56),"",INDEX(Array_ElectricalCharges,MATCH($A56,List_ElectricityMeters,0),ROUNDUP(COLUMN()/3,0)-2))</f>
        <v/>
      </c>
      <c r="AL56" s="127"/>
      <c r="AM56" s="137"/>
      <c r="AN56" s="58" t="str" cm="1">
        <f>IF(ISBLANK($A56),"",INDEX(Array_ElectricalCharges,MATCH($A56,List_ElectricityMeters,0),ROUNDUP(COLUMN()/3,0)-2))</f>
        <v/>
      </c>
      <c r="AO56" s="127"/>
      <c r="AP56" s="137"/>
      <c r="AQ56" s="58" t="str" cm="1">
        <f>IF(ISBLANK($A56),"",INDEX(Array_ElectricalCharges,MATCH($A56,List_ElectricityMeters,0),ROUNDUP(COLUMN()/3,0)-2))</f>
        <v/>
      </c>
      <c r="AR56" s="127"/>
      <c r="AS56" s="137"/>
      <c r="AT56" s="58" t="str" cm="1">
        <f>IF(ISBLANK($A56),"",INDEX(Array_ElectricalCharges,MATCH($A56,List_ElectricityMeters,0),ROUNDUP(COLUMN()/3,0)-2))</f>
        <v/>
      </c>
      <c r="AU56" s="127"/>
      <c r="AV56" s="137"/>
      <c r="AW56" s="58" t="str" cm="1">
        <f>IF(ISBLANK($A56),"",INDEX(Array_ElectricalCharges,MATCH($A56,List_ElectricityMeters,0),ROUNDUP(COLUMN()/3,0)-2))</f>
        <v/>
      </c>
      <c r="AX56" s="127"/>
      <c r="AY56" s="137"/>
    </row>
    <row r="57" spans="1:51" x14ac:dyDescent="0.3">
      <c r="A57" s="126"/>
      <c r="B57" s="133"/>
      <c r="C57" s="134"/>
      <c r="D57" s="134"/>
      <c r="E57" s="135"/>
      <c r="F57" s="136"/>
      <c r="G57" s="58" t="str" cm="1">
        <f>IF(ISBLANK($A57),"",INDEX(Array_ElectricalCharges,MATCH($A57,List_ElectricityMeters,0),ROUNDUP(COLUMN()/3,0)-2))</f>
        <v/>
      </c>
      <c r="H57" s="127"/>
      <c r="I57" s="137"/>
      <c r="J57" s="58" t="str" cm="1">
        <f>IF(ISBLANK($A57),"",INDEX(Array_ElectricalCharges,MATCH($A57,List_ElectricityMeters,0),ROUNDUP(COLUMN()/3,0)-2))</f>
        <v/>
      </c>
      <c r="K57" s="127"/>
      <c r="L57" s="137"/>
      <c r="M57" s="58" t="str" cm="1">
        <f>IF(ISBLANK($A57),"",INDEX(Array_ElectricalCharges,MATCH($A57,List_ElectricityMeters,0),ROUNDUP(COLUMN()/3,0)-2))</f>
        <v/>
      </c>
      <c r="N57" s="127"/>
      <c r="O57" s="137"/>
      <c r="P57" s="58" t="str" cm="1">
        <f>IF(ISBLANK($A57),"",INDEX(Array_ElectricalCharges,MATCH($A57,List_ElectricityMeters,0),ROUNDUP(COLUMN()/3,0)-2))</f>
        <v/>
      </c>
      <c r="Q57" s="127"/>
      <c r="R57" s="137"/>
      <c r="S57" s="58" t="str" cm="1">
        <f>IF(ISBLANK($A57),"",INDEX(Array_ElectricalCharges,MATCH($A57,List_ElectricityMeters,0),ROUNDUP(COLUMN()/3,0)-2))</f>
        <v/>
      </c>
      <c r="T57" s="127"/>
      <c r="U57" s="137"/>
      <c r="V57" s="58" t="str" cm="1">
        <f>IF(ISBLANK($A57),"",INDEX(Array_ElectricalCharges,MATCH($A57,List_ElectricityMeters,0),ROUNDUP(COLUMN()/3,0)-2))</f>
        <v/>
      </c>
      <c r="W57" s="127"/>
      <c r="X57" s="137"/>
      <c r="Y57" s="58" t="str" cm="1">
        <f>IF(ISBLANK($A57),"",INDEX(Array_ElectricalCharges,MATCH($A57,List_ElectricityMeters,0),ROUNDUP(COLUMN()/3,0)-2))</f>
        <v/>
      </c>
      <c r="Z57" s="127"/>
      <c r="AA57" s="137"/>
      <c r="AB57" s="58" t="str" cm="1">
        <f>IF(ISBLANK($A57),"",INDEX(Array_ElectricalCharges,MATCH($A57,List_ElectricityMeters,0),ROUNDUP(COLUMN()/3,0)-2))</f>
        <v/>
      </c>
      <c r="AC57" s="127"/>
      <c r="AD57" s="137"/>
      <c r="AE57" s="58" t="str" cm="1">
        <f>IF(ISBLANK($A57),"",INDEX(Array_ElectricalCharges,MATCH($A57,List_ElectricityMeters,0),ROUNDUP(COLUMN()/3,0)-2))</f>
        <v/>
      </c>
      <c r="AF57" s="127"/>
      <c r="AG57" s="137"/>
      <c r="AH57" s="58" t="str" cm="1">
        <f>IF(ISBLANK($A57),"",INDEX(Array_ElectricalCharges,MATCH($A57,List_ElectricityMeters,0),ROUNDUP(COLUMN()/3,0)-2))</f>
        <v/>
      </c>
      <c r="AI57" s="127"/>
      <c r="AJ57" s="137"/>
      <c r="AK57" s="58" t="str" cm="1">
        <f>IF(ISBLANK($A57),"",INDEX(Array_ElectricalCharges,MATCH($A57,List_ElectricityMeters,0),ROUNDUP(COLUMN()/3,0)-2))</f>
        <v/>
      </c>
      <c r="AL57" s="127"/>
      <c r="AM57" s="137"/>
      <c r="AN57" s="58" t="str" cm="1">
        <f>IF(ISBLANK($A57),"",INDEX(Array_ElectricalCharges,MATCH($A57,List_ElectricityMeters,0),ROUNDUP(COLUMN()/3,0)-2))</f>
        <v/>
      </c>
      <c r="AO57" s="127"/>
      <c r="AP57" s="137"/>
      <c r="AQ57" s="58" t="str" cm="1">
        <f>IF(ISBLANK($A57),"",INDEX(Array_ElectricalCharges,MATCH($A57,List_ElectricityMeters,0),ROUNDUP(COLUMN()/3,0)-2))</f>
        <v/>
      </c>
      <c r="AR57" s="127"/>
      <c r="AS57" s="137"/>
      <c r="AT57" s="58" t="str" cm="1">
        <f>IF(ISBLANK($A57),"",INDEX(Array_ElectricalCharges,MATCH($A57,List_ElectricityMeters,0),ROUNDUP(COLUMN()/3,0)-2))</f>
        <v/>
      </c>
      <c r="AU57" s="127"/>
      <c r="AV57" s="137"/>
      <c r="AW57" s="58" t="str" cm="1">
        <f>IF(ISBLANK($A57),"",INDEX(Array_ElectricalCharges,MATCH($A57,List_ElectricityMeters,0),ROUNDUP(COLUMN()/3,0)-2))</f>
        <v/>
      </c>
      <c r="AX57" s="127"/>
      <c r="AY57" s="137"/>
    </row>
    <row r="58" spans="1:51" x14ac:dyDescent="0.3">
      <c r="A58" s="126"/>
      <c r="B58" s="133"/>
      <c r="C58" s="134"/>
      <c r="D58" s="134"/>
      <c r="E58" s="135"/>
      <c r="F58" s="136"/>
      <c r="G58" s="58" t="str" cm="1">
        <f>IF(ISBLANK($A58),"",INDEX(Array_ElectricalCharges,MATCH($A58,List_ElectricityMeters,0),ROUNDUP(COLUMN()/3,0)-2))</f>
        <v/>
      </c>
      <c r="H58" s="127"/>
      <c r="I58" s="137"/>
      <c r="J58" s="58" t="str" cm="1">
        <f>IF(ISBLANK($A58),"",INDEX(Array_ElectricalCharges,MATCH($A58,List_ElectricityMeters,0),ROUNDUP(COLUMN()/3,0)-2))</f>
        <v/>
      </c>
      <c r="K58" s="127"/>
      <c r="L58" s="137"/>
      <c r="M58" s="58" t="str" cm="1">
        <f>IF(ISBLANK($A58),"",INDEX(Array_ElectricalCharges,MATCH($A58,List_ElectricityMeters,0),ROUNDUP(COLUMN()/3,0)-2))</f>
        <v/>
      </c>
      <c r="N58" s="127"/>
      <c r="O58" s="137"/>
      <c r="P58" s="58" t="str" cm="1">
        <f>IF(ISBLANK($A58),"",INDEX(Array_ElectricalCharges,MATCH($A58,List_ElectricityMeters,0),ROUNDUP(COLUMN()/3,0)-2))</f>
        <v/>
      </c>
      <c r="Q58" s="127"/>
      <c r="R58" s="137"/>
      <c r="S58" s="58" t="str" cm="1">
        <f>IF(ISBLANK($A58),"",INDEX(Array_ElectricalCharges,MATCH($A58,List_ElectricityMeters,0),ROUNDUP(COLUMN()/3,0)-2))</f>
        <v/>
      </c>
      <c r="T58" s="127"/>
      <c r="U58" s="137"/>
      <c r="V58" s="58" t="str" cm="1">
        <f>IF(ISBLANK($A58),"",INDEX(Array_ElectricalCharges,MATCH($A58,List_ElectricityMeters,0),ROUNDUP(COLUMN()/3,0)-2))</f>
        <v/>
      </c>
      <c r="W58" s="127"/>
      <c r="X58" s="137"/>
      <c r="Y58" s="58" t="str" cm="1">
        <f>IF(ISBLANK($A58),"",INDEX(Array_ElectricalCharges,MATCH($A58,List_ElectricityMeters,0),ROUNDUP(COLUMN()/3,0)-2))</f>
        <v/>
      </c>
      <c r="Z58" s="127"/>
      <c r="AA58" s="137"/>
      <c r="AB58" s="58" t="str" cm="1">
        <f>IF(ISBLANK($A58),"",INDEX(Array_ElectricalCharges,MATCH($A58,List_ElectricityMeters,0),ROUNDUP(COLUMN()/3,0)-2))</f>
        <v/>
      </c>
      <c r="AC58" s="127"/>
      <c r="AD58" s="137"/>
      <c r="AE58" s="58" t="str" cm="1">
        <f>IF(ISBLANK($A58),"",INDEX(Array_ElectricalCharges,MATCH($A58,List_ElectricityMeters,0),ROUNDUP(COLUMN()/3,0)-2))</f>
        <v/>
      </c>
      <c r="AF58" s="127"/>
      <c r="AG58" s="137"/>
      <c r="AH58" s="58" t="str" cm="1">
        <f>IF(ISBLANK($A58),"",INDEX(Array_ElectricalCharges,MATCH($A58,List_ElectricityMeters,0),ROUNDUP(COLUMN()/3,0)-2))</f>
        <v/>
      </c>
      <c r="AI58" s="127"/>
      <c r="AJ58" s="137"/>
      <c r="AK58" s="58" t="str" cm="1">
        <f>IF(ISBLANK($A58),"",INDEX(Array_ElectricalCharges,MATCH($A58,List_ElectricityMeters,0),ROUNDUP(COLUMN()/3,0)-2))</f>
        <v/>
      </c>
      <c r="AL58" s="127"/>
      <c r="AM58" s="137"/>
      <c r="AN58" s="58" t="str" cm="1">
        <f>IF(ISBLANK($A58),"",INDEX(Array_ElectricalCharges,MATCH($A58,List_ElectricityMeters,0),ROUNDUP(COLUMN()/3,0)-2))</f>
        <v/>
      </c>
      <c r="AO58" s="127"/>
      <c r="AP58" s="137"/>
      <c r="AQ58" s="58" t="str" cm="1">
        <f>IF(ISBLANK($A58),"",INDEX(Array_ElectricalCharges,MATCH($A58,List_ElectricityMeters,0),ROUNDUP(COLUMN()/3,0)-2))</f>
        <v/>
      </c>
      <c r="AR58" s="127"/>
      <c r="AS58" s="137"/>
      <c r="AT58" s="58" t="str" cm="1">
        <f>IF(ISBLANK($A58),"",INDEX(Array_ElectricalCharges,MATCH($A58,List_ElectricityMeters,0),ROUNDUP(COLUMN()/3,0)-2))</f>
        <v/>
      </c>
      <c r="AU58" s="127"/>
      <c r="AV58" s="137"/>
      <c r="AW58" s="58" t="str" cm="1">
        <f>IF(ISBLANK($A58),"",INDEX(Array_ElectricalCharges,MATCH($A58,List_ElectricityMeters,0),ROUNDUP(COLUMN()/3,0)-2))</f>
        <v/>
      </c>
      <c r="AX58" s="127"/>
      <c r="AY58" s="137"/>
    </row>
    <row r="59" spans="1:51" x14ac:dyDescent="0.3">
      <c r="A59" s="126"/>
      <c r="B59" s="133"/>
      <c r="C59" s="134"/>
      <c r="D59" s="134"/>
      <c r="E59" s="135"/>
      <c r="F59" s="136"/>
      <c r="G59" s="58" t="str" cm="1">
        <f>IF(ISBLANK($A59),"",INDEX(Array_ElectricalCharges,MATCH($A59,List_ElectricityMeters,0),ROUNDUP(COLUMN()/3,0)-2))</f>
        <v/>
      </c>
      <c r="H59" s="127"/>
      <c r="I59" s="137"/>
      <c r="J59" s="58" t="str" cm="1">
        <f>IF(ISBLANK($A59),"",INDEX(Array_ElectricalCharges,MATCH($A59,List_ElectricityMeters,0),ROUNDUP(COLUMN()/3,0)-2))</f>
        <v/>
      </c>
      <c r="K59" s="127"/>
      <c r="L59" s="137"/>
      <c r="M59" s="58" t="str" cm="1">
        <f>IF(ISBLANK($A59),"",INDEX(Array_ElectricalCharges,MATCH($A59,List_ElectricityMeters,0),ROUNDUP(COLUMN()/3,0)-2))</f>
        <v/>
      </c>
      <c r="N59" s="127"/>
      <c r="O59" s="137"/>
      <c r="P59" s="58" t="str" cm="1">
        <f>IF(ISBLANK($A59),"",INDEX(Array_ElectricalCharges,MATCH($A59,List_ElectricityMeters,0),ROUNDUP(COLUMN()/3,0)-2))</f>
        <v/>
      </c>
      <c r="Q59" s="127"/>
      <c r="R59" s="137"/>
      <c r="S59" s="58" t="str" cm="1">
        <f>IF(ISBLANK($A59),"",INDEX(Array_ElectricalCharges,MATCH($A59,List_ElectricityMeters,0),ROUNDUP(COLUMN()/3,0)-2))</f>
        <v/>
      </c>
      <c r="T59" s="127"/>
      <c r="U59" s="137"/>
      <c r="V59" s="58" t="str" cm="1">
        <f>IF(ISBLANK($A59),"",INDEX(Array_ElectricalCharges,MATCH($A59,List_ElectricityMeters,0),ROUNDUP(COLUMN()/3,0)-2))</f>
        <v/>
      </c>
      <c r="W59" s="127"/>
      <c r="X59" s="137"/>
      <c r="Y59" s="58" t="str" cm="1">
        <f>IF(ISBLANK($A59),"",INDEX(Array_ElectricalCharges,MATCH($A59,List_ElectricityMeters,0),ROUNDUP(COLUMN()/3,0)-2))</f>
        <v/>
      </c>
      <c r="Z59" s="127"/>
      <c r="AA59" s="137"/>
      <c r="AB59" s="58" t="str" cm="1">
        <f>IF(ISBLANK($A59),"",INDEX(Array_ElectricalCharges,MATCH($A59,List_ElectricityMeters,0),ROUNDUP(COLUMN()/3,0)-2))</f>
        <v/>
      </c>
      <c r="AC59" s="127"/>
      <c r="AD59" s="137"/>
      <c r="AE59" s="58" t="str" cm="1">
        <f>IF(ISBLANK($A59),"",INDEX(Array_ElectricalCharges,MATCH($A59,List_ElectricityMeters,0),ROUNDUP(COLUMN()/3,0)-2))</f>
        <v/>
      </c>
      <c r="AF59" s="127"/>
      <c r="AG59" s="137"/>
      <c r="AH59" s="58" t="str" cm="1">
        <f>IF(ISBLANK($A59),"",INDEX(Array_ElectricalCharges,MATCH($A59,List_ElectricityMeters,0),ROUNDUP(COLUMN()/3,0)-2))</f>
        <v/>
      </c>
      <c r="AI59" s="127"/>
      <c r="AJ59" s="137"/>
      <c r="AK59" s="58" t="str" cm="1">
        <f>IF(ISBLANK($A59),"",INDEX(Array_ElectricalCharges,MATCH($A59,List_ElectricityMeters,0),ROUNDUP(COLUMN()/3,0)-2))</f>
        <v/>
      </c>
      <c r="AL59" s="127"/>
      <c r="AM59" s="137"/>
      <c r="AN59" s="58" t="str" cm="1">
        <f>IF(ISBLANK($A59),"",INDEX(Array_ElectricalCharges,MATCH($A59,List_ElectricityMeters,0),ROUNDUP(COLUMN()/3,0)-2))</f>
        <v/>
      </c>
      <c r="AO59" s="127"/>
      <c r="AP59" s="137"/>
      <c r="AQ59" s="58" t="str" cm="1">
        <f>IF(ISBLANK($A59),"",INDEX(Array_ElectricalCharges,MATCH($A59,List_ElectricityMeters,0),ROUNDUP(COLUMN()/3,0)-2))</f>
        <v/>
      </c>
      <c r="AR59" s="127"/>
      <c r="AS59" s="137"/>
      <c r="AT59" s="58" t="str" cm="1">
        <f>IF(ISBLANK($A59),"",INDEX(Array_ElectricalCharges,MATCH($A59,List_ElectricityMeters,0),ROUNDUP(COLUMN()/3,0)-2))</f>
        <v/>
      </c>
      <c r="AU59" s="127"/>
      <c r="AV59" s="137"/>
      <c r="AW59" s="58" t="str" cm="1">
        <f>IF(ISBLANK($A59),"",INDEX(Array_ElectricalCharges,MATCH($A59,List_ElectricityMeters,0),ROUNDUP(COLUMN()/3,0)-2))</f>
        <v/>
      </c>
      <c r="AX59" s="127"/>
      <c r="AY59" s="137"/>
    </row>
    <row r="60" spans="1:51" x14ac:dyDescent="0.3">
      <c r="A60" s="126"/>
      <c r="B60" s="133"/>
      <c r="C60" s="134"/>
      <c r="D60" s="134"/>
      <c r="E60" s="135"/>
      <c r="F60" s="136"/>
      <c r="G60" s="58" t="str" cm="1">
        <f>IF(ISBLANK($A60),"",INDEX(Array_ElectricalCharges,MATCH($A60,List_ElectricityMeters,0),ROUNDUP(COLUMN()/3,0)-2))</f>
        <v/>
      </c>
      <c r="H60" s="127"/>
      <c r="I60" s="137"/>
      <c r="J60" s="58" t="str" cm="1">
        <f>IF(ISBLANK($A60),"",INDEX(Array_ElectricalCharges,MATCH($A60,List_ElectricityMeters,0),ROUNDUP(COLUMN()/3,0)-2))</f>
        <v/>
      </c>
      <c r="K60" s="127"/>
      <c r="L60" s="137"/>
      <c r="M60" s="58" t="str" cm="1">
        <f>IF(ISBLANK($A60),"",INDEX(Array_ElectricalCharges,MATCH($A60,List_ElectricityMeters,0),ROUNDUP(COLUMN()/3,0)-2))</f>
        <v/>
      </c>
      <c r="N60" s="127"/>
      <c r="O60" s="137"/>
      <c r="P60" s="58" t="str" cm="1">
        <f>IF(ISBLANK($A60),"",INDEX(Array_ElectricalCharges,MATCH($A60,List_ElectricityMeters,0),ROUNDUP(COLUMN()/3,0)-2))</f>
        <v/>
      </c>
      <c r="Q60" s="127"/>
      <c r="R60" s="137"/>
      <c r="S60" s="58" t="str" cm="1">
        <f>IF(ISBLANK($A60),"",INDEX(Array_ElectricalCharges,MATCH($A60,List_ElectricityMeters,0),ROUNDUP(COLUMN()/3,0)-2))</f>
        <v/>
      </c>
      <c r="T60" s="127"/>
      <c r="U60" s="137"/>
      <c r="V60" s="58" t="str" cm="1">
        <f>IF(ISBLANK($A60),"",INDEX(Array_ElectricalCharges,MATCH($A60,List_ElectricityMeters,0),ROUNDUP(COLUMN()/3,0)-2))</f>
        <v/>
      </c>
      <c r="W60" s="127"/>
      <c r="X60" s="137"/>
      <c r="Y60" s="58" t="str" cm="1">
        <f>IF(ISBLANK($A60),"",INDEX(Array_ElectricalCharges,MATCH($A60,List_ElectricityMeters,0),ROUNDUP(COLUMN()/3,0)-2))</f>
        <v/>
      </c>
      <c r="Z60" s="127"/>
      <c r="AA60" s="137"/>
      <c r="AB60" s="58" t="str" cm="1">
        <f>IF(ISBLANK($A60),"",INDEX(Array_ElectricalCharges,MATCH($A60,List_ElectricityMeters,0),ROUNDUP(COLUMN()/3,0)-2))</f>
        <v/>
      </c>
      <c r="AC60" s="127"/>
      <c r="AD60" s="137"/>
      <c r="AE60" s="58" t="str" cm="1">
        <f>IF(ISBLANK($A60),"",INDEX(Array_ElectricalCharges,MATCH($A60,List_ElectricityMeters,0),ROUNDUP(COLUMN()/3,0)-2))</f>
        <v/>
      </c>
      <c r="AF60" s="127"/>
      <c r="AG60" s="137"/>
      <c r="AH60" s="58" t="str" cm="1">
        <f>IF(ISBLANK($A60),"",INDEX(Array_ElectricalCharges,MATCH($A60,List_ElectricityMeters,0),ROUNDUP(COLUMN()/3,0)-2))</f>
        <v/>
      </c>
      <c r="AI60" s="127"/>
      <c r="AJ60" s="137"/>
      <c r="AK60" s="58" t="str" cm="1">
        <f>IF(ISBLANK($A60),"",INDEX(Array_ElectricalCharges,MATCH($A60,List_ElectricityMeters,0),ROUNDUP(COLUMN()/3,0)-2))</f>
        <v/>
      </c>
      <c r="AL60" s="127"/>
      <c r="AM60" s="137"/>
      <c r="AN60" s="58" t="str" cm="1">
        <f>IF(ISBLANK($A60),"",INDEX(Array_ElectricalCharges,MATCH($A60,List_ElectricityMeters,0),ROUNDUP(COLUMN()/3,0)-2))</f>
        <v/>
      </c>
      <c r="AO60" s="127"/>
      <c r="AP60" s="137"/>
      <c r="AQ60" s="58" t="str" cm="1">
        <f>IF(ISBLANK($A60),"",INDEX(Array_ElectricalCharges,MATCH($A60,List_ElectricityMeters,0),ROUNDUP(COLUMN()/3,0)-2))</f>
        <v/>
      </c>
      <c r="AR60" s="127"/>
      <c r="AS60" s="137"/>
      <c r="AT60" s="58" t="str" cm="1">
        <f>IF(ISBLANK($A60),"",INDEX(Array_ElectricalCharges,MATCH($A60,List_ElectricityMeters,0),ROUNDUP(COLUMN()/3,0)-2))</f>
        <v/>
      </c>
      <c r="AU60" s="127"/>
      <c r="AV60" s="137"/>
      <c r="AW60" s="58" t="str" cm="1">
        <f>IF(ISBLANK($A60),"",INDEX(Array_ElectricalCharges,MATCH($A60,List_ElectricityMeters,0),ROUNDUP(COLUMN()/3,0)-2))</f>
        <v/>
      </c>
      <c r="AX60" s="127"/>
      <c r="AY60" s="137"/>
    </row>
    <row r="61" spans="1:51" x14ac:dyDescent="0.3">
      <c r="A61" s="126"/>
      <c r="B61" s="133"/>
      <c r="C61" s="134"/>
      <c r="D61" s="134"/>
      <c r="E61" s="135"/>
      <c r="F61" s="136"/>
      <c r="G61" s="58" t="str" cm="1">
        <f>IF(ISBLANK($A61),"",INDEX(Array_ElectricalCharges,MATCH($A61,List_ElectricityMeters,0),ROUNDUP(COLUMN()/3,0)-2))</f>
        <v/>
      </c>
      <c r="H61" s="127"/>
      <c r="I61" s="137"/>
      <c r="J61" s="58" t="str" cm="1">
        <f>IF(ISBLANK($A61),"",INDEX(Array_ElectricalCharges,MATCH($A61,List_ElectricityMeters,0),ROUNDUP(COLUMN()/3,0)-2))</f>
        <v/>
      </c>
      <c r="K61" s="127"/>
      <c r="L61" s="137"/>
      <c r="M61" s="58" t="str" cm="1">
        <f>IF(ISBLANK($A61),"",INDEX(Array_ElectricalCharges,MATCH($A61,List_ElectricityMeters,0),ROUNDUP(COLUMN()/3,0)-2))</f>
        <v/>
      </c>
      <c r="N61" s="127"/>
      <c r="O61" s="137"/>
      <c r="P61" s="58" t="str" cm="1">
        <f>IF(ISBLANK($A61),"",INDEX(Array_ElectricalCharges,MATCH($A61,List_ElectricityMeters,0),ROUNDUP(COLUMN()/3,0)-2))</f>
        <v/>
      </c>
      <c r="Q61" s="127"/>
      <c r="R61" s="137"/>
      <c r="S61" s="58" t="str" cm="1">
        <f>IF(ISBLANK($A61),"",INDEX(Array_ElectricalCharges,MATCH($A61,List_ElectricityMeters,0),ROUNDUP(COLUMN()/3,0)-2))</f>
        <v/>
      </c>
      <c r="T61" s="127"/>
      <c r="U61" s="137"/>
      <c r="V61" s="58" t="str" cm="1">
        <f>IF(ISBLANK($A61),"",INDEX(Array_ElectricalCharges,MATCH($A61,List_ElectricityMeters,0),ROUNDUP(COLUMN()/3,0)-2))</f>
        <v/>
      </c>
      <c r="W61" s="127"/>
      <c r="X61" s="137"/>
      <c r="Y61" s="58" t="str" cm="1">
        <f>IF(ISBLANK($A61),"",INDEX(Array_ElectricalCharges,MATCH($A61,List_ElectricityMeters,0),ROUNDUP(COLUMN()/3,0)-2))</f>
        <v/>
      </c>
      <c r="Z61" s="127"/>
      <c r="AA61" s="137"/>
      <c r="AB61" s="58" t="str" cm="1">
        <f>IF(ISBLANK($A61),"",INDEX(Array_ElectricalCharges,MATCH($A61,List_ElectricityMeters,0),ROUNDUP(COLUMN()/3,0)-2))</f>
        <v/>
      </c>
      <c r="AC61" s="127"/>
      <c r="AD61" s="137"/>
      <c r="AE61" s="58" t="str" cm="1">
        <f>IF(ISBLANK($A61),"",INDEX(Array_ElectricalCharges,MATCH($A61,List_ElectricityMeters,0),ROUNDUP(COLUMN()/3,0)-2))</f>
        <v/>
      </c>
      <c r="AF61" s="127"/>
      <c r="AG61" s="137"/>
      <c r="AH61" s="58" t="str" cm="1">
        <f>IF(ISBLANK($A61),"",INDEX(Array_ElectricalCharges,MATCH($A61,List_ElectricityMeters,0),ROUNDUP(COLUMN()/3,0)-2))</f>
        <v/>
      </c>
      <c r="AI61" s="127"/>
      <c r="AJ61" s="137"/>
      <c r="AK61" s="58" t="str" cm="1">
        <f>IF(ISBLANK($A61),"",INDEX(Array_ElectricalCharges,MATCH($A61,List_ElectricityMeters,0),ROUNDUP(COLUMN()/3,0)-2))</f>
        <v/>
      </c>
      <c r="AL61" s="127"/>
      <c r="AM61" s="137"/>
      <c r="AN61" s="58" t="str" cm="1">
        <f>IF(ISBLANK($A61),"",INDEX(Array_ElectricalCharges,MATCH($A61,List_ElectricityMeters,0),ROUNDUP(COLUMN()/3,0)-2))</f>
        <v/>
      </c>
      <c r="AO61" s="127"/>
      <c r="AP61" s="137"/>
      <c r="AQ61" s="58" t="str" cm="1">
        <f>IF(ISBLANK($A61),"",INDEX(Array_ElectricalCharges,MATCH($A61,List_ElectricityMeters,0),ROUNDUP(COLUMN()/3,0)-2))</f>
        <v/>
      </c>
      <c r="AR61" s="127"/>
      <c r="AS61" s="137"/>
      <c r="AT61" s="58" t="str" cm="1">
        <f>IF(ISBLANK($A61),"",INDEX(Array_ElectricalCharges,MATCH($A61,List_ElectricityMeters,0),ROUNDUP(COLUMN()/3,0)-2))</f>
        <v/>
      </c>
      <c r="AU61" s="127"/>
      <c r="AV61" s="137"/>
      <c r="AW61" s="58" t="str" cm="1">
        <f>IF(ISBLANK($A61),"",INDEX(Array_ElectricalCharges,MATCH($A61,List_ElectricityMeters,0),ROUNDUP(COLUMN()/3,0)-2))</f>
        <v/>
      </c>
      <c r="AX61" s="127"/>
      <c r="AY61" s="137"/>
    </row>
    <row r="62" spans="1:51" x14ac:dyDescent="0.3">
      <c r="A62" s="126"/>
      <c r="B62" s="133"/>
      <c r="C62" s="134"/>
      <c r="D62" s="134"/>
      <c r="E62" s="135"/>
      <c r="F62" s="136"/>
      <c r="G62" s="58" t="str" cm="1">
        <f>IF(ISBLANK($A62),"",INDEX(Array_ElectricalCharges,MATCH($A62,List_ElectricityMeters,0),ROUNDUP(COLUMN()/3,0)-2))</f>
        <v/>
      </c>
      <c r="H62" s="127"/>
      <c r="I62" s="137"/>
      <c r="J62" s="58" t="str" cm="1">
        <f>IF(ISBLANK($A62),"",INDEX(Array_ElectricalCharges,MATCH($A62,List_ElectricityMeters,0),ROUNDUP(COLUMN()/3,0)-2))</f>
        <v/>
      </c>
      <c r="K62" s="127"/>
      <c r="L62" s="137"/>
      <c r="M62" s="58" t="str" cm="1">
        <f>IF(ISBLANK($A62),"",INDEX(Array_ElectricalCharges,MATCH($A62,List_ElectricityMeters,0),ROUNDUP(COLUMN()/3,0)-2))</f>
        <v/>
      </c>
      <c r="N62" s="127"/>
      <c r="O62" s="137"/>
      <c r="P62" s="58" t="str" cm="1">
        <f>IF(ISBLANK($A62),"",INDEX(Array_ElectricalCharges,MATCH($A62,List_ElectricityMeters,0),ROUNDUP(COLUMN()/3,0)-2))</f>
        <v/>
      </c>
      <c r="Q62" s="127"/>
      <c r="R62" s="137"/>
      <c r="S62" s="58" t="str" cm="1">
        <f>IF(ISBLANK($A62),"",INDEX(Array_ElectricalCharges,MATCH($A62,List_ElectricityMeters,0),ROUNDUP(COLUMN()/3,0)-2))</f>
        <v/>
      </c>
      <c r="T62" s="127"/>
      <c r="U62" s="137"/>
      <c r="V62" s="58" t="str" cm="1">
        <f>IF(ISBLANK($A62),"",INDEX(Array_ElectricalCharges,MATCH($A62,List_ElectricityMeters,0),ROUNDUP(COLUMN()/3,0)-2))</f>
        <v/>
      </c>
      <c r="W62" s="127"/>
      <c r="X62" s="137"/>
      <c r="Y62" s="58" t="str" cm="1">
        <f>IF(ISBLANK($A62),"",INDEX(Array_ElectricalCharges,MATCH($A62,List_ElectricityMeters,0),ROUNDUP(COLUMN()/3,0)-2))</f>
        <v/>
      </c>
      <c r="Z62" s="127"/>
      <c r="AA62" s="137"/>
      <c r="AB62" s="58" t="str" cm="1">
        <f>IF(ISBLANK($A62),"",INDEX(Array_ElectricalCharges,MATCH($A62,List_ElectricityMeters,0),ROUNDUP(COLUMN()/3,0)-2))</f>
        <v/>
      </c>
      <c r="AC62" s="127"/>
      <c r="AD62" s="137"/>
      <c r="AE62" s="58" t="str" cm="1">
        <f>IF(ISBLANK($A62),"",INDEX(Array_ElectricalCharges,MATCH($A62,List_ElectricityMeters,0),ROUNDUP(COLUMN()/3,0)-2))</f>
        <v/>
      </c>
      <c r="AF62" s="127"/>
      <c r="AG62" s="137"/>
      <c r="AH62" s="58" t="str" cm="1">
        <f>IF(ISBLANK($A62),"",INDEX(Array_ElectricalCharges,MATCH($A62,List_ElectricityMeters,0),ROUNDUP(COLUMN()/3,0)-2))</f>
        <v/>
      </c>
      <c r="AI62" s="127"/>
      <c r="AJ62" s="137"/>
      <c r="AK62" s="58" t="str" cm="1">
        <f>IF(ISBLANK($A62),"",INDEX(Array_ElectricalCharges,MATCH($A62,List_ElectricityMeters,0),ROUNDUP(COLUMN()/3,0)-2))</f>
        <v/>
      </c>
      <c r="AL62" s="127"/>
      <c r="AM62" s="137"/>
      <c r="AN62" s="58" t="str" cm="1">
        <f>IF(ISBLANK($A62),"",INDEX(Array_ElectricalCharges,MATCH($A62,List_ElectricityMeters,0),ROUNDUP(COLUMN()/3,0)-2))</f>
        <v/>
      </c>
      <c r="AO62" s="127"/>
      <c r="AP62" s="137"/>
      <c r="AQ62" s="58" t="str" cm="1">
        <f>IF(ISBLANK($A62),"",INDEX(Array_ElectricalCharges,MATCH($A62,List_ElectricityMeters,0),ROUNDUP(COLUMN()/3,0)-2))</f>
        <v/>
      </c>
      <c r="AR62" s="127"/>
      <c r="AS62" s="137"/>
      <c r="AT62" s="58" t="str" cm="1">
        <f>IF(ISBLANK($A62),"",INDEX(Array_ElectricalCharges,MATCH($A62,List_ElectricityMeters,0),ROUNDUP(COLUMN()/3,0)-2))</f>
        <v/>
      </c>
      <c r="AU62" s="127"/>
      <c r="AV62" s="137"/>
      <c r="AW62" s="58" t="str" cm="1">
        <f>IF(ISBLANK($A62),"",INDEX(Array_ElectricalCharges,MATCH($A62,List_ElectricityMeters,0),ROUNDUP(COLUMN()/3,0)-2))</f>
        <v/>
      </c>
      <c r="AX62" s="127"/>
      <c r="AY62" s="137"/>
    </row>
    <row r="63" spans="1:51" x14ac:dyDescent="0.3">
      <c r="A63" s="126"/>
      <c r="B63" s="133"/>
      <c r="C63" s="134"/>
      <c r="D63" s="134"/>
      <c r="E63" s="135"/>
      <c r="F63" s="136"/>
      <c r="G63" s="58" t="str" cm="1">
        <f>IF(ISBLANK($A63),"",INDEX(Array_ElectricalCharges,MATCH($A63,List_ElectricityMeters,0),ROUNDUP(COLUMN()/3,0)-2))</f>
        <v/>
      </c>
      <c r="H63" s="127"/>
      <c r="I63" s="137"/>
      <c r="J63" s="58" t="str" cm="1">
        <f>IF(ISBLANK($A63),"",INDEX(Array_ElectricalCharges,MATCH($A63,List_ElectricityMeters,0),ROUNDUP(COLUMN()/3,0)-2))</f>
        <v/>
      </c>
      <c r="K63" s="127"/>
      <c r="L63" s="137"/>
      <c r="M63" s="58" t="str" cm="1">
        <f>IF(ISBLANK($A63),"",INDEX(Array_ElectricalCharges,MATCH($A63,List_ElectricityMeters,0),ROUNDUP(COLUMN()/3,0)-2))</f>
        <v/>
      </c>
      <c r="N63" s="127"/>
      <c r="O63" s="137"/>
      <c r="P63" s="58" t="str" cm="1">
        <f>IF(ISBLANK($A63),"",INDEX(Array_ElectricalCharges,MATCH($A63,List_ElectricityMeters,0),ROUNDUP(COLUMN()/3,0)-2))</f>
        <v/>
      </c>
      <c r="Q63" s="127"/>
      <c r="R63" s="137"/>
      <c r="S63" s="58" t="str" cm="1">
        <f>IF(ISBLANK($A63),"",INDEX(Array_ElectricalCharges,MATCH($A63,List_ElectricityMeters,0),ROUNDUP(COLUMN()/3,0)-2))</f>
        <v/>
      </c>
      <c r="T63" s="127"/>
      <c r="U63" s="137"/>
      <c r="V63" s="58" t="str" cm="1">
        <f>IF(ISBLANK($A63),"",INDEX(Array_ElectricalCharges,MATCH($A63,List_ElectricityMeters,0),ROUNDUP(COLUMN()/3,0)-2))</f>
        <v/>
      </c>
      <c r="W63" s="127"/>
      <c r="X63" s="137"/>
      <c r="Y63" s="58" t="str" cm="1">
        <f>IF(ISBLANK($A63),"",INDEX(Array_ElectricalCharges,MATCH($A63,List_ElectricityMeters,0),ROUNDUP(COLUMN()/3,0)-2))</f>
        <v/>
      </c>
      <c r="Z63" s="127"/>
      <c r="AA63" s="137"/>
      <c r="AB63" s="58" t="str" cm="1">
        <f>IF(ISBLANK($A63),"",INDEX(Array_ElectricalCharges,MATCH($A63,List_ElectricityMeters,0),ROUNDUP(COLUMN()/3,0)-2))</f>
        <v/>
      </c>
      <c r="AC63" s="127"/>
      <c r="AD63" s="137"/>
      <c r="AE63" s="58" t="str" cm="1">
        <f>IF(ISBLANK($A63),"",INDEX(Array_ElectricalCharges,MATCH($A63,List_ElectricityMeters,0),ROUNDUP(COLUMN()/3,0)-2))</f>
        <v/>
      </c>
      <c r="AF63" s="127"/>
      <c r="AG63" s="137"/>
      <c r="AH63" s="58" t="str" cm="1">
        <f>IF(ISBLANK($A63),"",INDEX(Array_ElectricalCharges,MATCH($A63,List_ElectricityMeters,0),ROUNDUP(COLUMN()/3,0)-2))</f>
        <v/>
      </c>
      <c r="AI63" s="127"/>
      <c r="AJ63" s="137"/>
      <c r="AK63" s="58" t="str" cm="1">
        <f>IF(ISBLANK($A63),"",INDEX(Array_ElectricalCharges,MATCH($A63,List_ElectricityMeters,0),ROUNDUP(COLUMN()/3,0)-2))</f>
        <v/>
      </c>
      <c r="AL63" s="127"/>
      <c r="AM63" s="137"/>
      <c r="AN63" s="58" t="str" cm="1">
        <f>IF(ISBLANK($A63),"",INDEX(Array_ElectricalCharges,MATCH($A63,List_ElectricityMeters,0),ROUNDUP(COLUMN()/3,0)-2))</f>
        <v/>
      </c>
      <c r="AO63" s="127"/>
      <c r="AP63" s="137"/>
      <c r="AQ63" s="58" t="str" cm="1">
        <f>IF(ISBLANK($A63),"",INDEX(Array_ElectricalCharges,MATCH($A63,List_ElectricityMeters,0),ROUNDUP(COLUMN()/3,0)-2))</f>
        <v/>
      </c>
      <c r="AR63" s="127"/>
      <c r="AS63" s="137"/>
      <c r="AT63" s="58" t="str" cm="1">
        <f>IF(ISBLANK($A63),"",INDEX(Array_ElectricalCharges,MATCH($A63,List_ElectricityMeters,0),ROUNDUP(COLUMN()/3,0)-2))</f>
        <v/>
      </c>
      <c r="AU63" s="127"/>
      <c r="AV63" s="137"/>
      <c r="AW63" s="58" t="str" cm="1">
        <f>IF(ISBLANK($A63),"",INDEX(Array_ElectricalCharges,MATCH($A63,List_ElectricityMeters,0),ROUNDUP(COLUMN()/3,0)-2))</f>
        <v/>
      </c>
      <c r="AX63" s="127"/>
      <c r="AY63" s="137"/>
    </row>
    <row r="64" spans="1:51" x14ac:dyDescent="0.3">
      <c r="A64" s="126"/>
      <c r="B64" s="133"/>
      <c r="C64" s="134"/>
      <c r="D64" s="134"/>
      <c r="E64" s="135"/>
      <c r="F64" s="136"/>
      <c r="G64" s="58" t="str" cm="1">
        <f>IF(ISBLANK($A64),"",INDEX(Array_ElectricalCharges,MATCH($A64,List_ElectricityMeters,0),ROUNDUP(COLUMN()/3,0)-2))</f>
        <v/>
      </c>
      <c r="H64" s="127"/>
      <c r="I64" s="137"/>
      <c r="J64" s="58" t="str" cm="1">
        <f>IF(ISBLANK($A64),"",INDEX(Array_ElectricalCharges,MATCH($A64,List_ElectricityMeters,0),ROUNDUP(COLUMN()/3,0)-2))</f>
        <v/>
      </c>
      <c r="K64" s="127"/>
      <c r="L64" s="137"/>
      <c r="M64" s="58" t="str" cm="1">
        <f>IF(ISBLANK($A64),"",INDEX(Array_ElectricalCharges,MATCH($A64,List_ElectricityMeters,0),ROUNDUP(COLUMN()/3,0)-2))</f>
        <v/>
      </c>
      <c r="N64" s="127"/>
      <c r="O64" s="137"/>
      <c r="P64" s="58" t="str" cm="1">
        <f>IF(ISBLANK($A64),"",INDEX(Array_ElectricalCharges,MATCH($A64,List_ElectricityMeters,0),ROUNDUP(COLUMN()/3,0)-2))</f>
        <v/>
      </c>
      <c r="Q64" s="127"/>
      <c r="R64" s="137"/>
      <c r="S64" s="58" t="str" cm="1">
        <f>IF(ISBLANK($A64),"",INDEX(Array_ElectricalCharges,MATCH($A64,List_ElectricityMeters,0),ROUNDUP(COLUMN()/3,0)-2))</f>
        <v/>
      </c>
      <c r="T64" s="127"/>
      <c r="U64" s="137"/>
      <c r="V64" s="58" t="str" cm="1">
        <f>IF(ISBLANK($A64),"",INDEX(Array_ElectricalCharges,MATCH($A64,List_ElectricityMeters,0),ROUNDUP(COLUMN()/3,0)-2))</f>
        <v/>
      </c>
      <c r="W64" s="127"/>
      <c r="X64" s="137"/>
      <c r="Y64" s="58" t="str" cm="1">
        <f>IF(ISBLANK($A64),"",INDEX(Array_ElectricalCharges,MATCH($A64,List_ElectricityMeters,0),ROUNDUP(COLUMN()/3,0)-2))</f>
        <v/>
      </c>
      <c r="Z64" s="127"/>
      <c r="AA64" s="137"/>
      <c r="AB64" s="58" t="str" cm="1">
        <f>IF(ISBLANK($A64),"",INDEX(Array_ElectricalCharges,MATCH($A64,List_ElectricityMeters,0),ROUNDUP(COLUMN()/3,0)-2))</f>
        <v/>
      </c>
      <c r="AC64" s="127"/>
      <c r="AD64" s="137"/>
      <c r="AE64" s="58" t="str" cm="1">
        <f>IF(ISBLANK($A64),"",INDEX(Array_ElectricalCharges,MATCH($A64,List_ElectricityMeters,0),ROUNDUP(COLUMN()/3,0)-2))</f>
        <v/>
      </c>
      <c r="AF64" s="127"/>
      <c r="AG64" s="137"/>
      <c r="AH64" s="58" t="str" cm="1">
        <f>IF(ISBLANK($A64),"",INDEX(Array_ElectricalCharges,MATCH($A64,List_ElectricityMeters,0),ROUNDUP(COLUMN()/3,0)-2))</f>
        <v/>
      </c>
      <c r="AI64" s="127"/>
      <c r="AJ64" s="137"/>
      <c r="AK64" s="58" t="str" cm="1">
        <f>IF(ISBLANK($A64),"",INDEX(Array_ElectricalCharges,MATCH($A64,List_ElectricityMeters,0),ROUNDUP(COLUMN()/3,0)-2))</f>
        <v/>
      </c>
      <c r="AL64" s="127"/>
      <c r="AM64" s="137"/>
      <c r="AN64" s="58" t="str" cm="1">
        <f>IF(ISBLANK($A64),"",INDEX(Array_ElectricalCharges,MATCH($A64,List_ElectricityMeters,0),ROUNDUP(COLUMN()/3,0)-2))</f>
        <v/>
      </c>
      <c r="AO64" s="127"/>
      <c r="AP64" s="137"/>
      <c r="AQ64" s="58" t="str" cm="1">
        <f>IF(ISBLANK($A64),"",INDEX(Array_ElectricalCharges,MATCH($A64,List_ElectricityMeters,0),ROUNDUP(COLUMN()/3,0)-2))</f>
        <v/>
      </c>
      <c r="AR64" s="127"/>
      <c r="AS64" s="137"/>
      <c r="AT64" s="58" t="str" cm="1">
        <f>IF(ISBLANK($A64),"",INDEX(Array_ElectricalCharges,MATCH($A64,List_ElectricityMeters,0),ROUNDUP(COLUMN()/3,0)-2))</f>
        <v/>
      </c>
      <c r="AU64" s="127"/>
      <c r="AV64" s="137"/>
      <c r="AW64" s="58" t="str" cm="1">
        <f>IF(ISBLANK($A64),"",INDEX(Array_ElectricalCharges,MATCH($A64,List_ElectricityMeters,0),ROUNDUP(COLUMN()/3,0)-2))</f>
        <v/>
      </c>
      <c r="AX64" s="127"/>
      <c r="AY64" s="137"/>
    </row>
    <row r="65" spans="1:51" x14ac:dyDescent="0.3">
      <c r="A65" s="126"/>
      <c r="B65" s="133"/>
      <c r="C65" s="134"/>
      <c r="D65" s="134"/>
      <c r="E65" s="135"/>
      <c r="F65" s="136"/>
      <c r="G65" s="58" t="str" cm="1">
        <f>IF(ISBLANK($A65),"",INDEX(Array_ElectricalCharges,MATCH($A65,List_ElectricityMeters,0),ROUNDUP(COLUMN()/3,0)-2))</f>
        <v/>
      </c>
      <c r="H65" s="127"/>
      <c r="I65" s="137"/>
      <c r="J65" s="58" t="str" cm="1">
        <f>IF(ISBLANK($A65),"",INDEX(Array_ElectricalCharges,MATCH($A65,List_ElectricityMeters,0),ROUNDUP(COLUMN()/3,0)-2))</f>
        <v/>
      </c>
      <c r="K65" s="127"/>
      <c r="L65" s="137"/>
      <c r="M65" s="58" t="str" cm="1">
        <f>IF(ISBLANK($A65),"",INDEX(Array_ElectricalCharges,MATCH($A65,List_ElectricityMeters,0),ROUNDUP(COLUMN()/3,0)-2))</f>
        <v/>
      </c>
      <c r="N65" s="127"/>
      <c r="O65" s="137"/>
      <c r="P65" s="58" t="str" cm="1">
        <f>IF(ISBLANK($A65),"",INDEX(Array_ElectricalCharges,MATCH($A65,List_ElectricityMeters,0),ROUNDUP(COLUMN()/3,0)-2))</f>
        <v/>
      </c>
      <c r="Q65" s="127"/>
      <c r="R65" s="137"/>
      <c r="S65" s="58" t="str" cm="1">
        <f>IF(ISBLANK($A65),"",INDEX(Array_ElectricalCharges,MATCH($A65,List_ElectricityMeters,0),ROUNDUP(COLUMN()/3,0)-2))</f>
        <v/>
      </c>
      <c r="T65" s="127"/>
      <c r="U65" s="137"/>
      <c r="V65" s="58" t="str" cm="1">
        <f>IF(ISBLANK($A65),"",INDEX(Array_ElectricalCharges,MATCH($A65,List_ElectricityMeters,0),ROUNDUP(COLUMN()/3,0)-2))</f>
        <v/>
      </c>
      <c r="W65" s="127"/>
      <c r="X65" s="137"/>
      <c r="Y65" s="58" t="str" cm="1">
        <f>IF(ISBLANK($A65),"",INDEX(Array_ElectricalCharges,MATCH($A65,List_ElectricityMeters,0),ROUNDUP(COLUMN()/3,0)-2))</f>
        <v/>
      </c>
      <c r="Z65" s="127"/>
      <c r="AA65" s="137"/>
      <c r="AB65" s="58" t="str" cm="1">
        <f>IF(ISBLANK($A65),"",INDEX(Array_ElectricalCharges,MATCH($A65,List_ElectricityMeters,0),ROUNDUP(COLUMN()/3,0)-2))</f>
        <v/>
      </c>
      <c r="AC65" s="127"/>
      <c r="AD65" s="137"/>
      <c r="AE65" s="58" t="str" cm="1">
        <f>IF(ISBLANK($A65),"",INDEX(Array_ElectricalCharges,MATCH($A65,List_ElectricityMeters,0),ROUNDUP(COLUMN()/3,0)-2))</f>
        <v/>
      </c>
      <c r="AF65" s="127"/>
      <c r="AG65" s="137"/>
      <c r="AH65" s="58" t="str" cm="1">
        <f>IF(ISBLANK($A65),"",INDEX(Array_ElectricalCharges,MATCH($A65,List_ElectricityMeters,0),ROUNDUP(COLUMN()/3,0)-2))</f>
        <v/>
      </c>
      <c r="AI65" s="127"/>
      <c r="AJ65" s="137"/>
      <c r="AK65" s="58" t="str" cm="1">
        <f>IF(ISBLANK($A65),"",INDEX(Array_ElectricalCharges,MATCH($A65,List_ElectricityMeters,0),ROUNDUP(COLUMN()/3,0)-2))</f>
        <v/>
      </c>
      <c r="AL65" s="127"/>
      <c r="AM65" s="137"/>
      <c r="AN65" s="58" t="str" cm="1">
        <f>IF(ISBLANK($A65),"",INDEX(Array_ElectricalCharges,MATCH($A65,List_ElectricityMeters,0),ROUNDUP(COLUMN()/3,0)-2))</f>
        <v/>
      </c>
      <c r="AO65" s="127"/>
      <c r="AP65" s="137"/>
      <c r="AQ65" s="58" t="str" cm="1">
        <f>IF(ISBLANK($A65),"",INDEX(Array_ElectricalCharges,MATCH($A65,List_ElectricityMeters,0),ROUNDUP(COLUMN()/3,0)-2))</f>
        <v/>
      </c>
      <c r="AR65" s="127"/>
      <c r="AS65" s="137"/>
      <c r="AT65" s="58" t="str" cm="1">
        <f>IF(ISBLANK($A65),"",INDEX(Array_ElectricalCharges,MATCH($A65,List_ElectricityMeters,0),ROUNDUP(COLUMN()/3,0)-2))</f>
        <v/>
      </c>
      <c r="AU65" s="127"/>
      <c r="AV65" s="137"/>
      <c r="AW65" s="58" t="str" cm="1">
        <f>IF(ISBLANK($A65),"",INDEX(Array_ElectricalCharges,MATCH($A65,List_ElectricityMeters,0),ROUNDUP(COLUMN()/3,0)-2))</f>
        <v/>
      </c>
      <c r="AX65" s="127"/>
      <c r="AY65" s="137"/>
    </row>
    <row r="66" spans="1:51" x14ac:dyDescent="0.3">
      <c r="A66" s="126"/>
      <c r="B66" s="133"/>
      <c r="C66" s="134"/>
      <c r="D66" s="134"/>
      <c r="E66" s="135"/>
      <c r="F66" s="136"/>
      <c r="G66" s="58" t="str" cm="1">
        <f>IF(ISBLANK($A66),"",INDEX(Array_ElectricalCharges,MATCH($A66,List_ElectricityMeters,0),ROUNDUP(COLUMN()/3,0)-2))</f>
        <v/>
      </c>
      <c r="H66" s="127"/>
      <c r="I66" s="137"/>
      <c r="J66" s="58" t="str" cm="1">
        <f>IF(ISBLANK($A66),"",INDEX(Array_ElectricalCharges,MATCH($A66,List_ElectricityMeters,0),ROUNDUP(COLUMN()/3,0)-2))</f>
        <v/>
      </c>
      <c r="K66" s="127"/>
      <c r="L66" s="137"/>
      <c r="M66" s="58" t="str" cm="1">
        <f>IF(ISBLANK($A66),"",INDEX(Array_ElectricalCharges,MATCH($A66,List_ElectricityMeters,0),ROUNDUP(COLUMN()/3,0)-2))</f>
        <v/>
      </c>
      <c r="N66" s="127"/>
      <c r="O66" s="137"/>
      <c r="P66" s="58" t="str" cm="1">
        <f>IF(ISBLANK($A66),"",INDEX(Array_ElectricalCharges,MATCH($A66,List_ElectricityMeters,0),ROUNDUP(COLUMN()/3,0)-2))</f>
        <v/>
      </c>
      <c r="Q66" s="127"/>
      <c r="R66" s="137"/>
      <c r="S66" s="58" t="str" cm="1">
        <f>IF(ISBLANK($A66),"",INDEX(Array_ElectricalCharges,MATCH($A66,List_ElectricityMeters,0),ROUNDUP(COLUMN()/3,0)-2))</f>
        <v/>
      </c>
      <c r="T66" s="127"/>
      <c r="U66" s="137"/>
      <c r="V66" s="58" t="str" cm="1">
        <f>IF(ISBLANK($A66),"",INDEX(Array_ElectricalCharges,MATCH($A66,List_ElectricityMeters,0),ROUNDUP(COLUMN()/3,0)-2))</f>
        <v/>
      </c>
      <c r="W66" s="127"/>
      <c r="X66" s="137"/>
      <c r="Y66" s="58" t="str" cm="1">
        <f>IF(ISBLANK($A66),"",INDEX(Array_ElectricalCharges,MATCH($A66,List_ElectricityMeters,0),ROUNDUP(COLUMN()/3,0)-2))</f>
        <v/>
      </c>
      <c r="Z66" s="127"/>
      <c r="AA66" s="137"/>
      <c r="AB66" s="58" t="str" cm="1">
        <f>IF(ISBLANK($A66),"",INDEX(Array_ElectricalCharges,MATCH($A66,List_ElectricityMeters,0),ROUNDUP(COLUMN()/3,0)-2))</f>
        <v/>
      </c>
      <c r="AC66" s="127"/>
      <c r="AD66" s="137"/>
      <c r="AE66" s="58" t="str" cm="1">
        <f>IF(ISBLANK($A66),"",INDEX(Array_ElectricalCharges,MATCH($A66,List_ElectricityMeters,0),ROUNDUP(COLUMN()/3,0)-2))</f>
        <v/>
      </c>
      <c r="AF66" s="127"/>
      <c r="AG66" s="137"/>
      <c r="AH66" s="58" t="str" cm="1">
        <f>IF(ISBLANK($A66),"",INDEX(Array_ElectricalCharges,MATCH($A66,List_ElectricityMeters,0),ROUNDUP(COLUMN()/3,0)-2))</f>
        <v/>
      </c>
      <c r="AI66" s="127"/>
      <c r="AJ66" s="137"/>
      <c r="AK66" s="58" t="str" cm="1">
        <f>IF(ISBLANK($A66),"",INDEX(Array_ElectricalCharges,MATCH($A66,List_ElectricityMeters,0),ROUNDUP(COLUMN()/3,0)-2))</f>
        <v/>
      </c>
      <c r="AL66" s="127"/>
      <c r="AM66" s="137"/>
      <c r="AN66" s="58" t="str" cm="1">
        <f>IF(ISBLANK($A66),"",INDEX(Array_ElectricalCharges,MATCH($A66,List_ElectricityMeters,0),ROUNDUP(COLUMN()/3,0)-2))</f>
        <v/>
      </c>
      <c r="AO66" s="127"/>
      <c r="AP66" s="137"/>
      <c r="AQ66" s="58" t="str" cm="1">
        <f>IF(ISBLANK($A66),"",INDEX(Array_ElectricalCharges,MATCH($A66,List_ElectricityMeters,0),ROUNDUP(COLUMN()/3,0)-2))</f>
        <v/>
      </c>
      <c r="AR66" s="127"/>
      <c r="AS66" s="137"/>
      <c r="AT66" s="58" t="str" cm="1">
        <f>IF(ISBLANK($A66),"",INDEX(Array_ElectricalCharges,MATCH($A66,List_ElectricityMeters,0),ROUNDUP(COLUMN()/3,0)-2))</f>
        <v/>
      </c>
      <c r="AU66" s="127"/>
      <c r="AV66" s="137"/>
      <c r="AW66" s="58" t="str" cm="1">
        <f>IF(ISBLANK($A66),"",INDEX(Array_ElectricalCharges,MATCH($A66,List_ElectricityMeters,0),ROUNDUP(COLUMN()/3,0)-2))</f>
        <v/>
      </c>
      <c r="AX66" s="127"/>
      <c r="AY66" s="137"/>
    </row>
    <row r="67" spans="1:51" x14ac:dyDescent="0.3">
      <c r="A67" s="126"/>
      <c r="B67" s="133"/>
      <c r="C67" s="134"/>
      <c r="D67" s="134"/>
      <c r="E67" s="135"/>
      <c r="F67" s="136"/>
      <c r="G67" s="58" t="str" cm="1">
        <f>IF(ISBLANK($A67),"",INDEX(Array_ElectricalCharges,MATCH($A67,List_ElectricityMeters,0),ROUNDUP(COLUMN()/3,0)-2))</f>
        <v/>
      </c>
      <c r="H67" s="127"/>
      <c r="I67" s="137"/>
      <c r="J67" s="58" t="str" cm="1">
        <f>IF(ISBLANK($A67),"",INDEX(Array_ElectricalCharges,MATCH($A67,List_ElectricityMeters,0),ROUNDUP(COLUMN()/3,0)-2))</f>
        <v/>
      </c>
      <c r="K67" s="127"/>
      <c r="L67" s="137"/>
      <c r="M67" s="58" t="str" cm="1">
        <f>IF(ISBLANK($A67),"",INDEX(Array_ElectricalCharges,MATCH($A67,List_ElectricityMeters,0),ROUNDUP(COLUMN()/3,0)-2))</f>
        <v/>
      </c>
      <c r="N67" s="127"/>
      <c r="O67" s="137"/>
      <c r="P67" s="58" t="str" cm="1">
        <f>IF(ISBLANK($A67),"",INDEX(Array_ElectricalCharges,MATCH($A67,List_ElectricityMeters,0),ROUNDUP(COLUMN()/3,0)-2))</f>
        <v/>
      </c>
      <c r="Q67" s="127"/>
      <c r="R67" s="137"/>
      <c r="S67" s="58" t="str" cm="1">
        <f>IF(ISBLANK($A67),"",INDEX(Array_ElectricalCharges,MATCH($A67,List_ElectricityMeters,0),ROUNDUP(COLUMN()/3,0)-2))</f>
        <v/>
      </c>
      <c r="T67" s="127"/>
      <c r="U67" s="137"/>
      <c r="V67" s="58" t="str" cm="1">
        <f>IF(ISBLANK($A67),"",INDEX(Array_ElectricalCharges,MATCH($A67,List_ElectricityMeters,0),ROUNDUP(COLUMN()/3,0)-2))</f>
        <v/>
      </c>
      <c r="W67" s="127"/>
      <c r="X67" s="137"/>
      <c r="Y67" s="58" t="str" cm="1">
        <f>IF(ISBLANK($A67),"",INDEX(Array_ElectricalCharges,MATCH($A67,List_ElectricityMeters,0),ROUNDUP(COLUMN()/3,0)-2))</f>
        <v/>
      </c>
      <c r="Z67" s="127"/>
      <c r="AA67" s="137"/>
      <c r="AB67" s="58" t="str" cm="1">
        <f>IF(ISBLANK($A67),"",INDEX(Array_ElectricalCharges,MATCH($A67,List_ElectricityMeters,0),ROUNDUP(COLUMN()/3,0)-2))</f>
        <v/>
      </c>
      <c r="AC67" s="127"/>
      <c r="AD67" s="137"/>
      <c r="AE67" s="58" t="str" cm="1">
        <f>IF(ISBLANK($A67),"",INDEX(Array_ElectricalCharges,MATCH($A67,List_ElectricityMeters,0),ROUNDUP(COLUMN()/3,0)-2))</f>
        <v/>
      </c>
      <c r="AF67" s="127"/>
      <c r="AG67" s="137"/>
      <c r="AH67" s="58" t="str" cm="1">
        <f>IF(ISBLANK($A67),"",INDEX(Array_ElectricalCharges,MATCH($A67,List_ElectricityMeters,0),ROUNDUP(COLUMN()/3,0)-2))</f>
        <v/>
      </c>
      <c r="AI67" s="127"/>
      <c r="AJ67" s="137"/>
      <c r="AK67" s="58" t="str" cm="1">
        <f>IF(ISBLANK($A67),"",INDEX(Array_ElectricalCharges,MATCH($A67,List_ElectricityMeters,0),ROUNDUP(COLUMN()/3,0)-2))</f>
        <v/>
      </c>
      <c r="AL67" s="127"/>
      <c r="AM67" s="137"/>
      <c r="AN67" s="58" t="str" cm="1">
        <f>IF(ISBLANK($A67),"",INDEX(Array_ElectricalCharges,MATCH($A67,List_ElectricityMeters,0),ROUNDUP(COLUMN()/3,0)-2))</f>
        <v/>
      </c>
      <c r="AO67" s="127"/>
      <c r="AP67" s="137"/>
      <c r="AQ67" s="58" t="str" cm="1">
        <f>IF(ISBLANK($A67),"",INDEX(Array_ElectricalCharges,MATCH($A67,List_ElectricityMeters,0),ROUNDUP(COLUMN()/3,0)-2))</f>
        <v/>
      </c>
      <c r="AR67" s="127"/>
      <c r="AS67" s="137"/>
      <c r="AT67" s="58" t="str" cm="1">
        <f>IF(ISBLANK($A67),"",INDEX(Array_ElectricalCharges,MATCH($A67,List_ElectricityMeters,0),ROUNDUP(COLUMN()/3,0)-2))</f>
        <v/>
      </c>
      <c r="AU67" s="127"/>
      <c r="AV67" s="137"/>
      <c r="AW67" s="58" t="str" cm="1">
        <f>IF(ISBLANK($A67),"",INDEX(Array_ElectricalCharges,MATCH($A67,List_ElectricityMeters,0),ROUNDUP(COLUMN()/3,0)-2))</f>
        <v/>
      </c>
      <c r="AX67" s="127"/>
      <c r="AY67" s="137"/>
    </row>
    <row r="68" spans="1:51" x14ac:dyDescent="0.3">
      <c r="A68" s="126"/>
      <c r="B68" s="133"/>
      <c r="C68" s="134"/>
      <c r="D68" s="134"/>
      <c r="E68" s="135"/>
      <c r="F68" s="136"/>
      <c r="G68" s="58" t="str" cm="1">
        <f>IF(ISBLANK($A68),"",INDEX(Array_ElectricalCharges,MATCH($A68,List_ElectricityMeters,0),ROUNDUP(COLUMN()/3,0)-2))</f>
        <v/>
      </c>
      <c r="H68" s="127"/>
      <c r="I68" s="137"/>
      <c r="J68" s="58" t="str" cm="1">
        <f>IF(ISBLANK($A68),"",INDEX(Array_ElectricalCharges,MATCH($A68,List_ElectricityMeters,0),ROUNDUP(COLUMN()/3,0)-2))</f>
        <v/>
      </c>
      <c r="K68" s="127"/>
      <c r="L68" s="137"/>
      <c r="M68" s="58" t="str" cm="1">
        <f>IF(ISBLANK($A68),"",INDEX(Array_ElectricalCharges,MATCH($A68,List_ElectricityMeters,0),ROUNDUP(COLUMN()/3,0)-2))</f>
        <v/>
      </c>
      <c r="N68" s="127"/>
      <c r="O68" s="137"/>
      <c r="P68" s="58" t="str" cm="1">
        <f>IF(ISBLANK($A68),"",INDEX(Array_ElectricalCharges,MATCH($A68,List_ElectricityMeters,0),ROUNDUP(COLUMN()/3,0)-2))</f>
        <v/>
      </c>
      <c r="Q68" s="127"/>
      <c r="R68" s="137"/>
      <c r="S68" s="58" t="str" cm="1">
        <f>IF(ISBLANK($A68),"",INDEX(Array_ElectricalCharges,MATCH($A68,List_ElectricityMeters,0),ROUNDUP(COLUMN()/3,0)-2))</f>
        <v/>
      </c>
      <c r="T68" s="127"/>
      <c r="U68" s="137"/>
      <c r="V68" s="58" t="str" cm="1">
        <f>IF(ISBLANK($A68),"",INDEX(Array_ElectricalCharges,MATCH($A68,List_ElectricityMeters,0),ROUNDUP(COLUMN()/3,0)-2))</f>
        <v/>
      </c>
      <c r="W68" s="127"/>
      <c r="X68" s="137"/>
      <c r="Y68" s="58" t="str" cm="1">
        <f>IF(ISBLANK($A68),"",INDEX(Array_ElectricalCharges,MATCH($A68,List_ElectricityMeters,0),ROUNDUP(COLUMN()/3,0)-2))</f>
        <v/>
      </c>
      <c r="Z68" s="127"/>
      <c r="AA68" s="137"/>
      <c r="AB68" s="58" t="str" cm="1">
        <f>IF(ISBLANK($A68),"",INDEX(Array_ElectricalCharges,MATCH($A68,List_ElectricityMeters,0),ROUNDUP(COLUMN()/3,0)-2))</f>
        <v/>
      </c>
      <c r="AC68" s="127"/>
      <c r="AD68" s="137"/>
      <c r="AE68" s="58" t="str" cm="1">
        <f>IF(ISBLANK($A68),"",INDEX(Array_ElectricalCharges,MATCH($A68,List_ElectricityMeters,0),ROUNDUP(COLUMN()/3,0)-2))</f>
        <v/>
      </c>
      <c r="AF68" s="127"/>
      <c r="AG68" s="137"/>
      <c r="AH68" s="58" t="str" cm="1">
        <f>IF(ISBLANK($A68),"",INDEX(Array_ElectricalCharges,MATCH($A68,List_ElectricityMeters,0),ROUNDUP(COLUMN()/3,0)-2))</f>
        <v/>
      </c>
      <c r="AI68" s="127"/>
      <c r="AJ68" s="137"/>
      <c r="AK68" s="58" t="str" cm="1">
        <f>IF(ISBLANK($A68),"",INDEX(Array_ElectricalCharges,MATCH($A68,List_ElectricityMeters,0),ROUNDUP(COLUMN()/3,0)-2))</f>
        <v/>
      </c>
      <c r="AL68" s="127"/>
      <c r="AM68" s="137"/>
      <c r="AN68" s="58" t="str" cm="1">
        <f>IF(ISBLANK($A68),"",INDEX(Array_ElectricalCharges,MATCH($A68,List_ElectricityMeters,0),ROUNDUP(COLUMN()/3,0)-2))</f>
        <v/>
      </c>
      <c r="AO68" s="127"/>
      <c r="AP68" s="137"/>
      <c r="AQ68" s="58" t="str" cm="1">
        <f>IF(ISBLANK($A68),"",INDEX(Array_ElectricalCharges,MATCH($A68,List_ElectricityMeters,0),ROUNDUP(COLUMN()/3,0)-2))</f>
        <v/>
      </c>
      <c r="AR68" s="127"/>
      <c r="AS68" s="137"/>
      <c r="AT68" s="58" t="str" cm="1">
        <f>IF(ISBLANK($A68),"",INDEX(Array_ElectricalCharges,MATCH($A68,List_ElectricityMeters,0),ROUNDUP(COLUMN()/3,0)-2))</f>
        <v/>
      </c>
      <c r="AU68" s="127"/>
      <c r="AV68" s="137"/>
      <c r="AW68" s="58" t="str" cm="1">
        <f>IF(ISBLANK($A68),"",INDEX(Array_ElectricalCharges,MATCH($A68,List_ElectricityMeters,0),ROUNDUP(COLUMN()/3,0)-2))</f>
        <v/>
      </c>
      <c r="AX68" s="127"/>
      <c r="AY68" s="137"/>
    </row>
    <row r="69" spans="1:51" x14ac:dyDescent="0.3">
      <c r="A69" s="126"/>
      <c r="B69" s="133"/>
      <c r="C69" s="134"/>
      <c r="D69" s="134"/>
      <c r="E69" s="135"/>
      <c r="F69" s="136"/>
      <c r="G69" s="58" t="str" cm="1">
        <f>IF(ISBLANK($A69),"",INDEX(Array_ElectricalCharges,MATCH($A69,List_ElectricityMeters,0),ROUNDUP(COLUMN()/3,0)-2))</f>
        <v/>
      </c>
      <c r="H69" s="127"/>
      <c r="I69" s="137"/>
      <c r="J69" s="58" t="str" cm="1">
        <f>IF(ISBLANK($A69),"",INDEX(Array_ElectricalCharges,MATCH($A69,List_ElectricityMeters,0),ROUNDUP(COLUMN()/3,0)-2))</f>
        <v/>
      </c>
      <c r="K69" s="127"/>
      <c r="L69" s="137"/>
      <c r="M69" s="58" t="str" cm="1">
        <f>IF(ISBLANK($A69),"",INDEX(Array_ElectricalCharges,MATCH($A69,List_ElectricityMeters,0),ROUNDUP(COLUMN()/3,0)-2))</f>
        <v/>
      </c>
      <c r="N69" s="127"/>
      <c r="O69" s="137"/>
      <c r="P69" s="58" t="str" cm="1">
        <f>IF(ISBLANK($A69),"",INDEX(Array_ElectricalCharges,MATCH($A69,List_ElectricityMeters,0),ROUNDUP(COLUMN()/3,0)-2))</f>
        <v/>
      </c>
      <c r="Q69" s="127"/>
      <c r="R69" s="137"/>
      <c r="S69" s="58" t="str" cm="1">
        <f>IF(ISBLANK($A69),"",INDEX(Array_ElectricalCharges,MATCH($A69,List_ElectricityMeters,0),ROUNDUP(COLUMN()/3,0)-2))</f>
        <v/>
      </c>
      <c r="T69" s="127"/>
      <c r="U69" s="137"/>
      <c r="V69" s="58" t="str" cm="1">
        <f>IF(ISBLANK($A69),"",INDEX(Array_ElectricalCharges,MATCH($A69,List_ElectricityMeters,0),ROUNDUP(COLUMN()/3,0)-2))</f>
        <v/>
      </c>
      <c r="W69" s="127"/>
      <c r="X69" s="137"/>
      <c r="Y69" s="58" t="str" cm="1">
        <f>IF(ISBLANK($A69),"",INDEX(Array_ElectricalCharges,MATCH($A69,List_ElectricityMeters,0),ROUNDUP(COLUMN()/3,0)-2))</f>
        <v/>
      </c>
      <c r="Z69" s="127"/>
      <c r="AA69" s="137"/>
      <c r="AB69" s="58" t="str" cm="1">
        <f>IF(ISBLANK($A69),"",INDEX(Array_ElectricalCharges,MATCH($A69,List_ElectricityMeters,0),ROUNDUP(COLUMN()/3,0)-2))</f>
        <v/>
      </c>
      <c r="AC69" s="127"/>
      <c r="AD69" s="137"/>
      <c r="AE69" s="58" t="str" cm="1">
        <f>IF(ISBLANK($A69),"",INDEX(Array_ElectricalCharges,MATCH($A69,List_ElectricityMeters,0),ROUNDUP(COLUMN()/3,0)-2))</f>
        <v/>
      </c>
      <c r="AF69" s="127"/>
      <c r="AG69" s="137"/>
      <c r="AH69" s="58" t="str" cm="1">
        <f>IF(ISBLANK($A69),"",INDEX(Array_ElectricalCharges,MATCH($A69,List_ElectricityMeters,0),ROUNDUP(COLUMN()/3,0)-2))</f>
        <v/>
      </c>
      <c r="AI69" s="127"/>
      <c r="AJ69" s="137"/>
      <c r="AK69" s="58" t="str" cm="1">
        <f>IF(ISBLANK($A69),"",INDEX(Array_ElectricalCharges,MATCH($A69,List_ElectricityMeters,0),ROUNDUP(COLUMN()/3,0)-2))</f>
        <v/>
      </c>
      <c r="AL69" s="127"/>
      <c r="AM69" s="137"/>
      <c r="AN69" s="58" t="str" cm="1">
        <f>IF(ISBLANK($A69),"",INDEX(Array_ElectricalCharges,MATCH($A69,List_ElectricityMeters,0),ROUNDUP(COLUMN()/3,0)-2))</f>
        <v/>
      </c>
      <c r="AO69" s="127"/>
      <c r="AP69" s="137"/>
      <c r="AQ69" s="58" t="str" cm="1">
        <f>IF(ISBLANK($A69),"",INDEX(Array_ElectricalCharges,MATCH($A69,List_ElectricityMeters,0),ROUNDUP(COLUMN()/3,0)-2))</f>
        <v/>
      </c>
      <c r="AR69" s="127"/>
      <c r="AS69" s="137"/>
      <c r="AT69" s="58" t="str" cm="1">
        <f>IF(ISBLANK($A69),"",INDEX(Array_ElectricalCharges,MATCH($A69,List_ElectricityMeters,0),ROUNDUP(COLUMN()/3,0)-2))</f>
        <v/>
      </c>
      <c r="AU69" s="127"/>
      <c r="AV69" s="137"/>
      <c r="AW69" s="58" t="str" cm="1">
        <f>IF(ISBLANK($A69),"",INDEX(Array_ElectricalCharges,MATCH($A69,List_ElectricityMeters,0),ROUNDUP(COLUMN()/3,0)-2))</f>
        <v/>
      </c>
      <c r="AX69" s="127"/>
      <c r="AY69" s="137"/>
    </row>
    <row r="70" spans="1:51" x14ac:dyDescent="0.3">
      <c r="A70" s="126"/>
      <c r="B70" s="133"/>
      <c r="C70" s="134"/>
      <c r="D70" s="134"/>
      <c r="E70" s="135"/>
      <c r="F70" s="136"/>
      <c r="G70" s="58" t="str" cm="1">
        <f>IF(ISBLANK($A70),"",INDEX(Array_ElectricalCharges,MATCH($A70,List_ElectricityMeters,0),ROUNDUP(COLUMN()/3,0)-2))</f>
        <v/>
      </c>
      <c r="H70" s="127"/>
      <c r="I70" s="137"/>
      <c r="J70" s="58" t="str" cm="1">
        <f>IF(ISBLANK($A70),"",INDEX(Array_ElectricalCharges,MATCH($A70,List_ElectricityMeters,0),ROUNDUP(COLUMN()/3,0)-2))</f>
        <v/>
      </c>
      <c r="K70" s="127"/>
      <c r="L70" s="137"/>
      <c r="M70" s="58" t="str" cm="1">
        <f>IF(ISBLANK($A70),"",INDEX(Array_ElectricalCharges,MATCH($A70,List_ElectricityMeters,0),ROUNDUP(COLUMN()/3,0)-2))</f>
        <v/>
      </c>
      <c r="N70" s="127"/>
      <c r="O70" s="137"/>
      <c r="P70" s="58" t="str" cm="1">
        <f>IF(ISBLANK($A70),"",INDEX(Array_ElectricalCharges,MATCH($A70,List_ElectricityMeters,0),ROUNDUP(COLUMN()/3,0)-2))</f>
        <v/>
      </c>
      <c r="Q70" s="127"/>
      <c r="R70" s="137"/>
      <c r="S70" s="58" t="str" cm="1">
        <f>IF(ISBLANK($A70),"",INDEX(Array_ElectricalCharges,MATCH($A70,List_ElectricityMeters,0),ROUNDUP(COLUMN()/3,0)-2))</f>
        <v/>
      </c>
      <c r="T70" s="127"/>
      <c r="U70" s="137"/>
      <c r="V70" s="58" t="str" cm="1">
        <f>IF(ISBLANK($A70),"",INDEX(Array_ElectricalCharges,MATCH($A70,List_ElectricityMeters,0),ROUNDUP(COLUMN()/3,0)-2))</f>
        <v/>
      </c>
      <c r="W70" s="127"/>
      <c r="X70" s="137"/>
      <c r="Y70" s="58" t="str" cm="1">
        <f>IF(ISBLANK($A70),"",INDEX(Array_ElectricalCharges,MATCH($A70,List_ElectricityMeters,0),ROUNDUP(COLUMN()/3,0)-2))</f>
        <v/>
      </c>
      <c r="Z70" s="127"/>
      <c r="AA70" s="137"/>
      <c r="AB70" s="58" t="str" cm="1">
        <f>IF(ISBLANK($A70),"",INDEX(Array_ElectricalCharges,MATCH($A70,List_ElectricityMeters,0),ROUNDUP(COLUMN()/3,0)-2))</f>
        <v/>
      </c>
      <c r="AC70" s="127"/>
      <c r="AD70" s="137"/>
      <c r="AE70" s="58" t="str" cm="1">
        <f>IF(ISBLANK($A70),"",INDEX(Array_ElectricalCharges,MATCH($A70,List_ElectricityMeters,0),ROUNDUP(COLUMN()/3,0)-2))</f>
        <v/>
      </c>
      <c r="AF70" s="127"/>
      <c r="AG70" s="137"/>
      <c r="AH70" s="58" t="str" cm="1">
        <f>IF(ISBLANK($A70),"",INDEX(Array_ElectricalCharges,MATCH($A70,List_ElectricityMeters,0),ROUNDUP(COLUMN()/3,0)-2))</f>
        <v/>
      </c>
      <c r="AI70" s="127"/>
      <c r="AJ70" s="137"/>
      <c r="AK70" s="58" t="str" cm="1">
        <f>IF(ISBLANK($A70),"",INDEX(Array_ElectricalCharges,MATCH($A70,List_ElectricityMeters,0),ROUNDUP(COLUMN()/3,0)-2))</f>
        <v/>
      </c>
      <c r="AL70" s="127"/>
      <c r="AM70" s="137"/>
      <c r="AN70" s="58" t="str" cm="1">
        <f>IF(ISBLANK($A70),"",INDEX(Array_ElectricalCharges,MATCH($A70,List_ElectricityMeters,0),ROUNDUP(COLUMN()/3,0)-2))</f>
        <v/>
      </c>
      <c r="AO70" s="127"/>
      <c r="AP70" s="137"/>
      <c r="AQ70" s="58" t="str" cm="1">
        <f>IF(ISBLANK($A70),"",INDEX(Array_ElectricalCharges,MATCH($A70,List_ElectricityMeters,0),ROUNDUP(COLUMN()/3,0)-2))</f>
        <v/>
      </c>
      <c r="AR70" s="127"/>
      <c r="AS70" s="137"/>
      <c r="AT70" s="58" t="str" cm="1">
        <f>IF(ISBLANK($A70),"",INDEX(Array_ElectricalCharges,MATCH($A70,List_ElectricityMeters,0),ROUNDUP(COLUMN()/3,0)-2))</f>
        <v/>
      </c>
      <c r="AU70" s="127"/>
      <c r="AV70" s="137"/>
      <c r="AW70" s="58" t="str" cm="1">
        <f>IF(ISBLANK($A70),"",INDEX(Array_ElectricalCharges,MATCH($A70,List_ElectricityMeters,0),ROUNDUP(COLUMN()/3,0)-2))</f>
        <v/>
      </c>
      <c r="AX70" s="127"/>
      <c r="AY70" s="137"/>
    </row>
    <row r="71" spans="1:51" x14ac:dyDescent="0.3">
      <c r="A71" s="126"/>
      <c r="B71" s="133"/>
      <c r="C71" s="134"/>
      <c r="D71" s="134"/>
      <c r="E71" s="135"/>
      <c r="F71" s="136"/>
      <c r="G71" s="58" t="str" cm="1">
        <f>IF(ISBLANK($A71),"",INDEX(Array_ElectricalCharges,MATCH($A71,List_ElectricityMeters,0),ROUNDUP(COLUMN()/3,0)-2))</f>
        <v/>
      </c>
      <c r="H71" s="127"/>
      <c r="I71" s="137"/>
      <c r="J71" s="58" t="str" cm="1">
        <f>IF(ISBLANK($A71),"",INDEX(Array_ElectricalCharges,MATCH($A71,List_ElectricityMeters,0),ROUNDUP(COLUMN()/3,0)-2))</f>
        <v/>
      </c>
      <c r="K71" s="127"/>
      <c r="L71" s="137"/>
      <c r="M71" s="58" t="str" cm="1">
        <f>IF(ISBLANK($A71),"",INDEX(Array_ElectricalCharges,MATCH($A71,List_ElectricityMeters,0),ROUNDUP(COLUMN()/3,0)-2))</f>
        <v/>
      </c>
      <c r="N71" s="127"/>
      <c r="O71" s="137"/>
      <c r="P71" s="58" t="str" cm="1">
        <f>IF(ISBLANK($A71),"",INDEX(Array_ElectricalCharges,MATCH($A71,List_ElectricityMeters,0),ROUNDUP(COLUMN()/3,0)-2))</f>
        <v/>
      </c>
      <c r="Q71" s="127"/>
      <c r="R71" s="137"/>
      <c r="S71" s="58" t="str" cm="1">
        <f>IF(ISBLANK($A71),"",INDEX(Array_ElectricalCharges,MATCH($A71,List_ElectricityMeters,0),ROUNDUP(COLUMN()/3,0)-2))</f>
        <v/>
      </c>
      <c r="T71" s="127"/>
      <c r="U71" s="137"/>
      <c r="V71" s="58" t="str" cm="1">
        <f>IF(ISBLANK($A71),"",INDEX(Array_ElectricalCharges,MATCH($A71,List_ElectricityMeters,0),ROUNDUP(COLUMN()/3,0)-2))</f>
        <v/>
      </c>
      <c r="W71" s="127"/>
      <c r="X71" s="137"/>
      <c r="Y71" s="58" t="str" cm="1">
        <f>IF(ISBLANK($A71),"",INDEX(Array_ElectricalCharges,MATCH($A71,List_ElectricityMeters,0),ROUNDUP(COLUMN()/3,0)-2))</f>
        <v/>
      </c>
      <c r="Z71" s="127"/>
      <c r="AA71" s="137"/>
      <c r="AB71" s="58" t="str" cm="1">
        <f>IF(ISBLANK($A71),"",INDEX(Array_ElectricalCharges,MATCH($A71,List_ElectricityMeters,0),ROUNDUP(COLUMN()/3,0)-2))</f>
        <v/>
      </c>
      <c r="AC71" s="127"/>
      <c r="AD71" s="137"/>
      <c r="AE71" s="58" t="str" cm="1">
        <f>IF(ISBLANK($A71),"",INDEX(Array_ElectricalCharges,MATCH($A71,List_ElectricityMeters,0),ROUNDUP(COLUMN()/3,0)-2))</f>
        <v/>
      </c>
      <c r="AF71" s="127"/>
      <c r="AG71" s="137"/>
      <c r="AH71" s="58" t="str" cm="1">
        <f>IF(ISBLANK($A71),"",INDEX(Array_ElectricalCharges,MATCH($A71,List_ElectricityMeters,0),ROUNDUP(COLUMN()/3,0)-2))</f>
        <v/>
      </c>
      <c r="AI71" s="127"/>
      <c r="AJ71" s="137"/>
      <c r="AK71" s="58" t="str" cm="1">
        <f>IF(ISBLANK($A71),"",INDEX(Array_ElectricalCharges,MATCH($A71,List_ElectricityMeters,0),ROUNDUP(COLUMN()/3,0)-2))</f>
        <v/>
      </c>
      <c r="AL71" s="127"/>
      <c r="AM71" s="137"/>
      <c r="AN71" s="58" t="str" cm="1">
        <f>IF(ISBLANK($A71),"",INDEX(Array_ElectricalCharges,MATCH($A71,List_ElectricityMeters,0),ROUNDUP(COLUMN()/3,0)-2))</f>
        <v/>
      </c>
      <c r="AO71" s="127"/>
      <c r="AP71" s="137"/>
      <c r="AQ71" s="58" t="str" cm="1">
        <f>IF(ISBLANK($A71),"",INDEX(Array_ElectricalCharges,MATCH($A71,List_ElectricityMeters,0),ROUNDUP(COLUMN()/3,0)-2))</f>
        <v/>
      </c>
      <c r="AR71" s="127"/>
      <c r="AS71" s="137"/>
      <c r="AT71" s="58" t="str" cm="1">
        <f>IF(ISBLANK($A71),"",INDEX(Array_ElectricalCharges,MATCH($A71,List_ElectricityMeters,0),ROUNDUP(COLUMN()/3,0)-2))</f>
        <v/>
      </c>
      <c r="AU71" s="127"/>
      <c r="AV71" s="137"/>
      <c r="AW71" s="58" t="str" cm="1">
        <f>IF(ISBLANK($A71),"",INDEX(Array_ElectricalCharges,MATCH($A71,List_ElectricityMeters,0),ROUNDUP(COLUMN()/3,0)-2))</f>
        <v/>
      </c>
      <c r="AX71" s="127"/>
      <c r="AY71" s="137"/>
    </row>
    <row r="72" spans="1:51" x14ac:dyDescent="0.3">
      <c r="A72" s="126"/>
      <c r="B72" s="133"/>
      <c r="C72" s="134"/>
      <c r="D72" s="134"/>
      <c r="E72" s="135"/>
      <c r="F72" s="136"/>
      <c r="G72" s="58" t="str" cm="1">
        <f>IF(ISBLANK($A72),"",INDEX(Array_ElectricalCharges,MATCH($A72,List_ElectricityMeters,0),ROUNDUP(COLUMN()/3,0)-2))</f>
        <v/>
      </c>
      <c r="H72" s="127"/>
      <c r="I72" s="137"/>
      <c r="J72" s="58" t="str" cm="1">
        <f>IF(ISBLANK($A72),"",INDEX(Array_ElectricalCharges,MATCH($A72,List_ElectricityMeters,0),ROUNDUP(COLUMN()/3,0)-2))</f>
        <v/>
      </c>
      <c r="K72" s="127"/>
      <c r="L72" s="137"/>
      <c r="M72" s="58" t="str" cm="1">
        <f>IF(ISBLANK($A72),"",INDEX(Array_ElectricalCharges,MATCH($A72,List_ElectricityMeters,0),ROUNDUP(COLUMN()/3,0)-2))</f>
        <v/>
      </c>
      <c r="N72" s="127"/>
      <c r="O72" s="137"/>
      <c r="P72" s="58" t="str" cm="1">
        <f>IF(ISBLANK($A72),"",INDEX(Array_ElectricalCharges,MATCH($A72,List_ElectricityMeters,0),ROUNDUP(COLUMN()/3,0)-2))</f>
        <v/>
      </c>
      <c r="Q72" s="127"/>
      <c r="R72" s="137"/>
      <c r="S72" s="58" t="str" cm="1">
        <f>IF(ISBLANK($A72),"",INDEX(Array_ElectricalCharges,MATCH($A72,List_ElectricityMeters,0),ROUNDUP(COLUMN()/3,0)-2))</f>
        <v/>
      </c>
      <c r="T72" s="127"/>
      <c r="U72" s="137"/>
      <c r="V72" s="58" t="str" cm="1">
        <f>IF(ISBLANK($A72),"",INDEX(Array_ElectricalCharges,MATCH($A72,List_ElectricityMeters,0),ROUNDUP(COLUMN()/3,0)-2))</f>
        <v/>
      </c>
      <c r="W72" s="127"/>
      <c r="X72" s="137"/>
      <c r="Y72" s="58" t="str" cm="1">
        <f>IF(ISBLANK($A72),"",INDEX(Array_ElectricalCharges,MATCH($A72,List_ElectricityMeters,0),ROUNDUP(COLUMN()/3,0)-2))</f>
        <v/>
      </c>
      <c r="Z72" s="127"/>
      <c r="AA72" s="137"/>
      <c r="AB72" s="58" t="str" cm="1">
        <f>IF(ISBLANK($A72),"",INDEX(Array_ElectricalCharges,MATCH($A72,List_ElectricityMeters,0),ROUNDUP(COLUMN()/3,0)-2))</f>
        <v/>
      </c>
      <c r="AC72" s="127"/>
      <c r="AD72" s="137"/>
      <c r="AE72" s="58" t="str" cm="1">
        <f>IF(ISBLANK($A72),"",INDEX(Array_ElectricalCharges,MATCH($A72,List_ElectricityMeters,0),ROUNDUP(COLUMN()/3,0)-2))</f>
        <v/>
      </c>
      <c r="AF72" s="127"/>
      <c r="AG72" s="137"/>
      <c r="AH72" s="58" t="str" cm="1">
        <f>IF(ISBLANK($A72),"",INDEX(Array_ElectricalCharges,MATCH($A72,List_ElectricityMeters,0),ROUNDUP(COLUMN()/3,0)-2))</f>
        <v/>
      </c>
      <c r="AI72" s="127"/>
      <c r="AJ72" s="137"/>
      <c r="AK72" s="58" t="str" cm="1">
        <f>IF(ISBLANK($A72),"",INDEX(Array_ElectricalCharges,MATCH($A72,List_ElectricityMeters,0),ROUNDUP(COLUMN()/3,0)-2))</f>
        <v/>
      </c>
      <c r="AL72" s="127"/>
      <c r="AM72" s="137"/>
      <c r="AN72" s="58" t="str" cm="1">
        <f>IF(ISBLANK($A72),"",INDEX(Array_ElectricalCharges,MATCH($A72,List_ElectricityMeters,0),ROUNDUP(COLUMN()/3,0)-2))</f>
        <v/>
      </c>
      <c r="AO72" s="127"/>
      <c r="AP72" s="137"/>
      <c r="AQ72" s="58" t="str" cm="1">
        <f>IF(ISBLANK($A72),"",INDEX(Array_ElectricalCharges,MATCH($A72,List_ElectricityMeters,0),ROUNDUP(COLUMN()/3,0)-2))</f>
        <v/>
      </c>
      <c r="AR72" s="127"/>
      <c r="AS72" s="137"/>
      <c r="AT72" s="58" t="str" cm="1">
        <f>IF(ISBLANK($A72),"",INDEX(Array_ElectricalCharges,MATCH($A72,List_ElectricityMeters,0),ROUNDUP(COLUMN()/3,0)-2))</f>
        <v/>
      </c>
      <c r="AU72" s="127"/>
      <c r="AV72" s="137"/>
      <c r="AW72" s="58" t="str" cm="1">
        <f>IF(ISBLANK($A72),"",INDEX(Array_ElectricalCharges,MATCH($A72,List_ElectricityMeters,0),ROUNDUP(COLUMN()/3,0)-2))</f>
        <v/>
      </c>
      <c r="AX72" s="127"/>
      <c r="AY72" s="137"/>
    </row>
    <row r="73" spans="1:51" x14ac:dyDescent="0.3">
      <c r="A73" s="126"/>
      <c r="B73" s="133"/>
      <c r="C73" s="134"/>
      <c r="D73" s="134"/>
      <c r="E73" s="135"/>
      <c r="F73" s="136"/>
      <c r="G73" s="58" t="str" cm="1">
        <f>IF(ISBLANK($A73),"",INDEX(Array_ElectricalCharges,MATCH($A73,List_ElectricityMeters,0),ROUNDUP(COLUMN()/3,0)-2))</f>
        <v/>
      </c>
      <c r="H73" s="127"/>
      <c r="I73" s="137"/>
      <c r="J73" s="58" t="str" cm="1">
        <f>IF(ISBLANK($A73),"",INDEX(Array_ElectricalCharges,MATCH($A73,List_ElectricityMeters,0),ROUNDUP(COLUMN()/3,0)-2))</f>
        <v/>
      </c>
      <c r="K73" s="127"/>
      <c r="L73" s="137"/>
      <c r="M73" s="58" t="str" cm="1">
        <f>IF(ISBLANK($A73),"",INDEX(Array_ElectricalCharges,MATCH($A73,List_ElectricityMeters,0),ROUNDUP(COLUMN()/3,0)-2))</f>
        <v/>
      </c>
      <c r="N73" s="127"/>
      <c r="O73" s="137"/>
      <c r="P73" s="58" t="str" cm="1">
        <f>IF(ISBLANK($A73),"",INDEX(Array_ElectricalCharges,MATCH($A73,List_ElectricityMeters,0),ROUNDUP(COLUMN()/3,0)-2))</f>
        <v/>
      </c>
      <c r="Q73" s="127"/>
      <c r="R73" s="137"/>
      <c r="S73" s="58" t="str" cm="1">
        <f>IF(ISBLANK($A73),"",INDEX(Array_ElectricalCharges,MATCH($A73,List_ElectricityMeters,0),ROUNDUP(COLUMN()/3,0)-2))</f>
        <v/>
      </c>
      <c r="T73" s="127"/>
      <c r="U73" s="137"/>
      <c r="V73" s="58" t="str" cm="1">
        <f>IF(ISBLANK($A73),"",INDEX(Array_ElectricalCharges,MATCH($A73,List_ElectricityMeters,0),ROUNDUP(COLUMN()/3,0)-2))</f>
        <v/>
      </c>
      <c r="W73" s="127"/>
      <c r="X73" s="137"/>
      <c r="Y73" s="58" t="str" cm="1">
        <f>IF(ISBLANK($A73),"",INDEX(Array_ElectricalCharges,MATCH($A73,List_ElectricityMeters,0),ROUNDUP(COLUMN()/3,0)-2))</f>
        <v/>
      </c>
      <c r="Z73" s="127"/>
      <c r="AA73" s="137"/>
      <c r="AB73" s="58" t="str" cm="1">
        <f>IF(ISBLANK($A73),"",INDEX(Array_ElectricalCharges,MATCH($A73,List_ElectricityMeters,0),ROUNDUP(COLUMN()/3,0)-2))</f>
        <v/>
      </c>
      <c r="AC73" s="127"/>
      <c r="AD73" s="137"/>
      <c r="AE73" s="58" t="str" cm="1">
        <f>IF(ISBLANK($A73),"",INDEX(Array_ElectricalCharges,MATCH($A73,List_ElectricityMeters,0),ROUNDUP(COLUMN()/3,0)-2))</f>
        <v/>
      </c>
      <c r="AF73" s="127"/>
      <c r="AG73" s="137"/>
      <c r="AH73" s="58" t="str" cm="1">
        <f>IF(ISBLANK($A73),"",INDEX(Array_ElectricalCharges,MATCH($A73,List_ElectricityMeters,0),ROUNDUP(COLUMN()/3,0)-2))</f>
        <v/>
      </c>
      <c r="AI73" s="127"/>
      <c r="AJ73" s="137"/>
      <c r="AK73" s="58" t="str" cm="1">
        <f>IF(ISBLANK($A73),"",INDEX(Array_ElectricalCharges,MATCH($A73,List_ElectricityMeters,0),ROUNDUP(COLUMN()/3,0)-2))</f>
        <v/>
      </c>
      <c r="AL73" s="127"/>
      <c r="AM73" s="137"/>
      <c r="AN73" s="58" t="str" cm="1">
        <f>IF(ISBLANK($A73),"",INDEX(Array_ElectricalCharges,MATCH($A73,List_ElectricityMeters,0),ROUNDUP(COLUMN()/3,0)-2))</f>
        <v/>
      </c>
      <c r="AO73" s="127"/>
      <c r="AP73" s="137"/>
      <c r="AQ73" s="58" t="str" cm="1">
        <f>IF(ISBLANK($A73),"",INDEX(Array_ElectricalCharges,MATCH($A73,List_ElectricityMeters,0),ROUNDUP(COLUMN()/3,0)-2))</f>
        <v/>
      </c>
      <c r="AR73" s="127"/>
      <c r="AS73" s="137"/>
      <c r="AT73" s="58" t="str" cm="1">
        <f>IF(ISBLANK($A73),"",INDEX(Array_ElectricalCharges,MATCH($A73,List_ElectricityMeters,0),ROUNDUP(COLUMN()/3,0)-2))</f>
        <v/>
      </c>
      <c r="AU73" s="127"/>
      <c r="AV73" s="137"/>
      <c r="AW73" s="58" t="str" cm="1">
        <f>IF(ISBLANK($A73),"",INDEX(Array_ElectricalCharges,MATCH($A73,List_ElectricityMeters,0),ROUNDUP(COLUMN()/3,0)-2))</f>
        <v/>
      </c>
      <c r="AX73" s="127"/>
      <c r="AY73" s="137"/>
    </row>
    <row r="74" spans="1:51" x14ac:dyDescent="0.3">
      <c r="A74" s="126"/>
      <c r="B74" s="133"/>
      <c r="C74" s="134"/>
      <c r="D74" s="134"/>
      <c r="E74" s="135"/>
      <c r="F74" s="136"/>
      <c r="G74" s="58" t="str" cm="1">
        <f>IF(ISBLANK($A74),"",INDEX(Array_ElectricalCharges,MATCH($A74,List_ElectricityMeters,0),ROUNDUP(COLUMN()/3,0)-2))</f>
        <v/>
      </c>
      <c r="H74" s="127"/>
      <c r="I74" s="137"/>
      <c r="J74" s="58" t="str" cm="1">
        <f>IF(ISBLANK($A74),"",INDEX(Array_ElectricalCharges,MATCH($A74,List_ElectricityMeters,0),ROUNDUP(COLUMN()/3,0)-2))</f>
        <v/>
      </c>
      <c r="K74" s="127"/>
      <c r="L74" s="137"/>
      <c r="M74" s="58" t="str" cm="1">
        <f>IF(ISBLANK($A74),"",INDEX(Array_ElectricalCharges,MATCH($A74,List_ElectricityMeters,0),ROUNDUP(COLUMN()/3,0)-2))</f>
        <v/>
      </c>
      <c r="N74" s="127"/>
      <c r="O74" s="137"/>
      <c r="P74" s="58" t="str" cm="1">
        <f>IF(ISBLANK($A74),"",INDEX(Array_ElectricalCharges,MATCH($A74,List_ElectricityMeters,0),ROUNDUP(COLUMN()/3,0)-2))</f>
        <v/>
      </c>
      <c r="Q74" s="127"/>
      <c r="R74" s="137"/>
      <c r="S74" s="58" t="str" cm="1">
        <f>IF(ISBLANK($A74),"",INDEX(Array_ElectricalCharges,MATCH($A74,List_ElectricityMeters,0),ROUNDUP(COLUMN()/3,0)-2))</f>
        <v/>
      </c>
      <c r="T74" s="127"/>
      <c r="U74" s="137"/>
      <c r="V74" s="58" t="str" cm="1">
        <f>IF(ISBLANK($A74),"",INDEX(Array_ElectricalCharges,MATCH($A74,List_ElectricityMeters,0),ROUNDUP(COLUMN()/3,0)-2))</f>
        <v/>
      </c>
      <c r="W74" s="127"/>
      <c r="X74" s="137"/>
      <c r="Y74" s="58" t="str" cm="1">
        <f>IF(ISBLANK($A74),"",INDEX(Array_ElectricalCharges,MATCH($A74,List_ElectricityMeters,0),ROUNDUP(COLUMN()/3,0)-2))</f>
        <v/>
      </c>
      <c r="Z74" s="127"/>
      <c r="AA74" s="137"/>
      <c r="AB74" s="58" t="str" cm="1">
        <f>IF(ISBLANK($A74),"",INDEX(Array_ElectricalCharges,MATCH($A74,List_ElectricityMeters,0),ROUNDUP(COLUMN()/3,0)-2))</f>
        <v/>
      </c>
      <c r="AC74" s="127"/>
      <c r="AD74" s="137"/>
      <c r="AE74" s="58" t="str" cm="1">
        <f>IF(ISBLANK($A74),"",INDEX(Array_ElectricalCharges,MATCH($A74,List_ElectricityMeters,0),ROUNDUP(COLUMN()/3,0)-2))</f>
        <v/>
      </c>
      <c r="AF74" s="127"/>
      <c r="AG74" s="137"/>
      <c r="AH74" s="58" t="str" cm="1">
        <f>IF(ISBLANK($A74),"",INDEX(Array_ElectricalCharges,MATCH($A74,List_ElectricityMeters,0),ROUNDUP(COLUMN()/3,0)-2))</f>
        <v/>
      </c>
      <c r="AI74" s="127"/>
      <c r="AJ74" s="137"/>
      <c r="AK74" s="58" t="str" cm="1">
        <f>IF(ISBLANK($A74),"",INDEX(Array_ElectricalCharges,MATCH($A74,List_ElectricityMeters,0),ROUNDUP(COLUMN()/3,0)-2))</f>
        <v/>
      </c>
      <c r="AL74" s="127"/>
      <c r="AM74" s="137"/>
      <c r="AN74" s="58" t="str" cm="1">
        <f>IF(ISBLANK($A74),"",INDEX(Array_ElectricalCharges,MATCH($A74,List_ElectricityMeters,0),ROUNDUP(COLUMN()/3,0)-2))</f>
        <v/>
      </c>
      <c r="AO74" s="127"/>
      <c r="AP74" s="137"/>
      <c r="AQ74" s="58" t="str" cm="1">
        <f>IF(ISBLANK($A74),"",INDEX(Array_ElectricalCharges,MATCH($A74,List_ElectricityMeters,0),ROUNDUP(COLUMN()/3,0)-2))</f>
        <v/>
      </c>
      <c r="AR74" s="127"/>
      <c r="AS74" s="137"/>
      <c r="AT74" s="58" t="str" cm="1">
        <f>IF(ISBLANK($A74),"",INDEX(Array_ElectricalCharges,MATCH($A74,List_ElectricityMeters,0),ROUNDUP(COLUMN()/3,0)-2))</f>
        <v/>
      </c>
      <c r="AU74" s="127"/>
      <c r="AV74" s="137"/>
      <c r="AW74" s="58" t="str" cm="1">
        <f>IF(ISBLANK($A74),"",INDEX(Array_ElectricalCharges,MATCH($A74,List_ElectricityMeters,0),ROUNDUP(COLUMN()/3,0)-2))</f>
        <v/>
      </c>
      <c r="AX74" s="127"/>
      <c r="AY74" s="137"/>
    </row>
    <row r="75" spans="1:51" x14ac:dyDescent="0.3">
      <c r="A75" s="126"/>
      <c r="B75" s="133"/>
      <c r="C75" s="134"/>
      <c r="D75" s="134"/>
      <c r="E75" s="135"/>
      <c r="F75" s="136"/>
      <c r="G75" s="58" t="str" cm="1">
        <f>IF(ISBLANK($A75),"",INDEX(Array_ElectricalCharges,MATCH($A75,List_ElectricityMeters,0),ROUNDUP(COLUMN()/3,0)-2))</f>
        <v/>
      </c>
      <c r="H75" s="127"/>
      <c r="I75" s="137"/>
      <c r="J75" s="58" t="str" cm="1">
        <f>IF(ISBLANK($A75),"",INDEX(Array_ElectricalCharges,MATCH($A75,List_ElectricityMeters,0),ROUNDUP(COLUMN()/3,0)-2))</f>
        <v/>
      </c>
      <c r="K75" s="127"/>
      <c r="L75" s="137"/>
      <c r="M75" s="58" t="str" cm="1">
        <f>IF(ISBLANK($A75),"",INDEX(Array_ElectricalCharges,MATCH($A75,List_ElectricityMeters,0),ROUNDUP(COLUMN()/3,0)-2))</f>
        <v/>
      </c>
      <c r="N75" s="127"/>
      <c r="O75" s="137"/>
      <c r="P75" s="58" t="str" cm="1">
        <f>IF(ISBLANK($A75),"",INDEX(Array_ElectricalCharges,MATCH($A75,List_ElectricityMeters,0),ROUNDUP(COLUMN()/3,0)-2))</f>
        <v/>
      </c>
      <c r="Q75" s="127"/>
      <c r="R75" s="137"/>
      <c r="S75" s="58" t="str" cm="1">
        <f>IF(ISBLANK($A75),"",INDEX(Array_ElectricalCharges,MATCH($A75,List_ElectricityMeters,0),ROUNDUP(COLUMN()/3,0)-2))</f>
        <v/>
      </c>
      <c r="T75" s="127"/>
      <c r="U75" s="137"/>
      <c r="V75" s="58" t="str" cm="1">
        <f>IF(ISBLANK($A75),"",INDEX(Array_ElectricalCharges,MATCH($A75,List_ElectricityMeters,0),ROUNDUP(COLUMN()/3,0)-2))</f>
        <v/>
      </c>
      <c r="W75" s="127"/>
      <c r="X75" s="137"/>
      <c r="Y75" s="58" t="str" cm="1">
        <f>IF(ISBLANK($A75),"",INDEX(Array_ElectricalCharges,MATCH($A75,List_ElectricityMeters,0),ROUNDUP(COLUMN()/3,0)-2))</f>
        <v/>
      </c>
      <c r="Z75" s="127"/>
      <c r="AA75" s="137"/>
      <c r="AB75" s="58" t="str" cm="1">
        <f>IF(ISBLANK($A75),"",INDEX(Array_ElectricalCharges,MATCH($A75,List_ElectricityMeters,0),ROUNDUP(COLUMN()/3,0)-2))</f>
        <v/>
      </c>
      <c r="AC75" s="127"/>
      <c r="AD75" s="137"/>
      <c r="AE75" s="58" t="str" cm="1">
        <f>IF(ISBLANK($A75),"",INDEX(Array_ElectricalCharges,MATCH($A75,List_ElectricityMeters,0),ROUNDUP(COLUMN()/3,0)-2))</f>
        <v/>
      </c>
      <c r="AF75" s="127"/>
      <c r="AG75" s="137"/>
      <c r="AH75" s="58" t="str" cm="1">
        <f>IF(ISBLANK($A75),"",INDEX(Array_ElectricalCharges,MATCH($A75,List_ElectricityMeters,0),ROUNDUP(COLUMN()/3,0)-2))</f>
        <v/>
      </c>
      <c r="AI75" s="127"/>
      <c r="AJ75" s="137"/>
      <c r="AK75" s="58" t="str" cm="1">
        <f>IF(ISBLANK($A75),"",INDEX(Array_ElectricalCharges,MATCH($A75,List_ElectricityMeters,0),ROUNDUP(COLUMN()/3,0)-2))</f>
        <v/>
      </c>
      <c r="AL75" s="127"/>
      <c r="AM75" s="137"/>
      <c r="AN75" s="58" t="str" cm="1">
        <f>IF(ISBLANK($A75),"",INDEX(Array_ElectricalCharges,MATCH($A75,List_ElectricityMeters,0),ROUNDUP(COLUMN()/3,0)-2))</f>
        <v/>
      </c>
      <c r="AO75" s="127"/>
      <c r="AP75" s="137"/>
      <c r="AQ75" s="58" t="str" cm="1">
        <f>IF(ISBLANK($A75),"",INDEX(Array_ElectricalCharges,MATCH($A75,List_ElectricityMeters,0),ROUNDUP(COLUMN()/3,0)-2))</f>
        <v/>
      </c>
      <c r="AR75" s="127"/>
      <c r="AS75" s="137"/>
      <c r="AT75" s="58" t="str" cm="1">
        <f>IF(ISBLANK($A75),"",INDEX(Array_ElectricalCharges,MATCH($A75,List_ElectricityMeters,0),ROUNDUP(COLUMN()/3,0)-2))</f>
        <v/>
      </c>
      <c r="AU75" s="127"/>
      <c r="AV75" s="137"/>
      <c r="AW75" s="58" t="str" cm="1">
        <f>IF(ISBLANK($A75),"",INDEX(Array_ElectricalCharges,MATCH($A75,List_ElectricityMeters,0),ROUNDUP(COLUMN()/3,0)-2))</f>
        <v/>
      </c>
      <c r="AX75" s="127"/>
      <c r="AY75" s="137"/>
    </row>
    <row r="76" spans="1:51" x14ac:dyDescent="0.3">
      <c r="A76" s="126"/>
      <c r="B76" s="133"/>
      <c r="C76" s="134"/>
      <c r="D76" s="134"/>
      <c r="E76" s="135"/>
      <c r="F76" s="136"/>
      <c r="G76" s="58" t="str" cm="1">
        <f>IF(ISBLANK($A76),"",INDEX(Array_ElectricalCharges,MATCH($A76,List_ElectricityMeters,0),ROUNDUP(COLUMN()/3,0)-2))</f>
        <v/>
      </c>
      <c r="H76" s="127"/>
      <c r="I76" s="137"/>
      <c r="J76" s="58" t="str" cm="1">
        <f>IF(ISBLANK($A76),"",INDEX(Array_ElectricalCharges,MATCH($A76,List_ElectricityMeters,0),ROUNDUP(COLUMN()/3,0)-2))</f>
        <v/>
      </c>
      <c r="K76" s="127"/>
      <c r="L76" s="137"/>
      <c r="M76" s="58" t="str" cm="1">
        <f>IF(ISBLANK($A76),"",INDEX(Array_ElectricalCharges,MATCH($A76,List_ElectricityMeters,0),ROUNDUP(COLUMN()/3,0)-2))</f>
        <v/>
      </c>
      <c r="N76" s="127"/>
      <c r="O76" s="137"/>
      <c r="P76" s="58" t="str" cm="1">
        <f>IF(ISBLANK($A76),"",INDEX(Array_ElectricalCharges,MATCH($A76,List_ElectricityMeters,0),ROUNDUP(COLUMN()/3,0)-2))</f>
        <v/>
      </c>
      <c r="Q76" s="127"/>
      <c r="R76" s="137"/>
      <c r="S76" s="58" t="str" cm="1">
        <f>IF(ISBLANK($A76),"",INDEX(Array_ElectricalCharges,MATCH($A76,List_ElectricityMeters,0),ROUNDUP(COLUMN()/3,0)-2))</f>
        <v/>
      </c>
      <c r="T76" s="127"/>
      <c r="U76" s="137"/>
      <c r="V76" s="58" t="str" cm="1">
        <f>IF(ISBLANK($A76),"",INDEX(Array_ElectricalCharges,MATCH($A76,List_ElectricityMeters,0),ROUNDUP(COLUMN()/3,0)-2))</f>
        <v/>
      </c>
      <c r="W76" s="127"/>
      <c r="X76" s="137"/>
      <c r="Y76" s="58" t="str" cm="1">
        <f>IF(ISBLANK($A76),"",INDEX(Array_ElectricalCharges,MATCH($A76,List_ElectricityMeters,0),ROUNDUP(COLUMN()/3,0)-2))</f>
        <v/>
      </c>
      <c r="Z76" s="127"/>
      <c r="AA76" s="137"/>
      <c r="AB76" s="58" t="str" cm="1">
        <f>IF(ISBLANK($A76),"",INDEX(Array_ElectricalCharges,MATCH($A76,List_ElectricityMeters,0),ROUNDUP(COLUMN()/3,0)-2))</f>
        <v/>
      </c>
      <c r="AC76" s="127"/>
      <c r="AD76" s="137"/>
      <c r="AE76" s="58" t="str" cm="1">
        <f>IF(ISBLANK($A76),"",INDEX(Array_ElectricalCharges,MATCH($A76,List_ElectricityMeters,0),ROUNDUP(COLUMN()/3,0)-2))</f>
        <v/>
      </c>
      <c r="AF76" s="127"/>
      <c r="AG76" s="137"/>
      <c r="AH76" s="58" t="str" cm="1">
        <f>IF(ISBLANK($A76),"",INDEX(Array_ElectricalCharges,MATCH($A76,List_ElectricityMeters,0),ROUNDUP(COLUMN()/3,0)-2))</f>
        <v/>
      </c>
      <c r="AI76" s="127"/>
      <c r="AJ76" s="137"/>
      <c r="AK76" s="58" t="str" cm="1">
        <f>IF(ISBLANK($A76),"",INDEX(Array_ElectricalCharges,MATCH($A76,List_ElectricityMeters,0),ROUNDUP(COLUMN()/3,0)-2))</f>
        <v/>
      </c>
      <c r="AL76" s="127"/>
      <c r="AM76" s="137"/>
      <c r="AN76" s="58" t="str" cm="1">
        <f>IF(ISBLANK($A76),"",INDEX(Array_ElectricalCharges,MATCH($A76,List_ElectricityMeters,0),ROUNDUP(COLUMN()/3,0)-2))</f>
        <v/>
      </c>
      <c r="AO76" s="127"/>
      <c r="AP76" s="137"/>
      <c r="AQ76" s="58" t="str" cm="1">
        <f>IF(ISBLANK($A76),"",INDEX(Array_ElectricalCharges,MATCH($A76,List_ElectricityMeters,0),ROUNDUP(COLUMN()/3,0)-2))</f>
        <v/>
      </c>
      <c r="AR76" s="127"/>
      <c r="AS76" s="137"/>
      <c r="AT76" s="58" t="str" cm="1">
        <f>IF(ISBLANK($A76),"",INDEX(Array_ElectricalCharges,MATCH($A76,List_ElectricityMeters,0),ROUNDUP(COLUMN()/3,0)-2))</f>
        <v/>
      </c>
      <c r="AU76" s="127"/>
      <c r="AV76" s="137"/>
      <c r="AW76" s="58" t="str" cm="1">
        <f>IF(ISBLANK($A76),"",INDEX(Array_ElectricalCharges,MATCH($A76,List_ElectricityMeters,0),ROUNDUP(COLUMN()/3,0)-2))</f>
        <v/>
      </c>
      <c r="AX76" s="127"/>
      <c r="AY76" s="137"/>
    </row>
    <row r="77" spans="1:51" x14ac:dyDescent="0.3">
      <c r="A77" s="126"/>
      <c r="B77" s="133"/>
      <c r="C77" s="134"/>
      <c r="D77" s="134"/>
      <c r="E77" s="135"/>
      <c r="F77" s="136"/>
      <c r="G77" s="58" t="str" cm="1">
        <f>IF(ISBLANK($A77),"",INDEX(Array_ElectricalCharges,MATCH($A77,List_ElectricityMeters,0),ROUNDUP(COLUMN()/3,0)-2))</f>
        <v/>
      </c>
      <c r="H77" s="127"/>
      <c r="I77" s="137"/>
      <c r="J77" s="58" t="str" cm="1">
        <f>IF(ISBLANK($A77),"",INDEX(Array_ElectricalCharges,MATCH($A77,List_ElectricityMeters,0),ROUNDUP(COLUMN()/3,0)-2))</f>
        <v/>
      </c>
      <c r="K77" s="127"/>
      <c r="L77" s="137"/>
      <c r="M77" s="58" t="str" cm="1">
        <f>IF(ISBLANK($A77),"",INDEX(Array_ElectricalCharges,MATCH($A77,List_ElectricityMeters,0),ROUNDUP(COLUMN()/3,0)-2))</f>
        <v/>
      </c>
      <c r="N77" s="127"/>
      <c r="O77" s="137"/>
      <c r="P77" s="58" t="str" cm="1">
        <f>IF(ISBLANK($A77),"",INDEX(Array_ElectricalCharges,MATCH($A77,List_ElectricityMeters,0),ROUNDUP(COLUMN()/3,0)-2))</f>
        <v/>
      </c>
      <c r="Q77" s="127"/>
      <c r="R77" s="137"/>
      <c r="S77" s="58" t="str" cm="1">
        <f>IF(ISBLANK($A77),"",INDEX(Array_ElectricalCharges,MATCH($A77,List_ElectricityMeters,0),ROUNDUP(COLUMN()/3,0)-2))</f>
        <v/>
      </c>
      <c r="T77" s="127"/>
      <c r="U77" s="137"/>
      <c r="V77" s="58" t="str" cm="1">
        <f>IF(ISBLANK($A77),"",INDEX(Array_ElectricalCharges,MATCH($A77,List_ElectricityMeters,0),ROUNDUP(COLUMN()/3,0)-2))</f>
        <v/>
      </c>
      <c r="W77" s="127"/>
      <c r="X77" s="137"/>
      <c r="Y77" s="58" t="str" cm="1">
        <f>IF(ISBLANK($A77),"",INDEX(Array_ElectricalCharges,MATCH($A77,List_ElectricityMeters,0),ROUNDUP(COLUMN()/3,0)-2))</f>
        <v/>
      </c>
      <c r="Z77" s="127"/>
      <c r="AA77" s="137"/>
      <c r="AB77" s="58" t="str" cm="1">
        <f>IF(ISBLANK($A77),"",INDEX(Array_ElectricalCharges,MATCH($A77,List_ElectricityMeters,0),ROUNDUP(COLUMN()/3,0)-2))</f>
        <v/>
      </c>
      <c r="AC77" s="127"/>
      <c r="AD77" s="137"/>
      <c r="AE77" s="58" t="str" cm="1">
        <f>IF(ISBLANK($A77),"",INDEX(Array_ElectricalCharges,MATCH($A77,List_ElectricityMeters,0),ROUNDUP(COLUMN()/3,0)-2))</f>
        <v/>
      </c>
      <c r="AF77" s="127"/>
      <c r="AG77" s="137"/>
      <c r="AH77" s="58" t="str" cm="1">
        <f>IF(ISBLANK($A77),"",INDEX(Array_ElectricalCharges,MATCH($A77,List_ElectricityMeters,0),ROUNDUP(COLUMN()/3,0)-2))</f>
        <v/>
      </c>
      <c r="AI77" s="127"/>
      <c r="AJ77" s="137"/>
      <c r="AK77" s="58" t="str" cm="1">
        <f>IF(ISBLANK($A77),"",INDEX(Array_ElectricalCharges,MATCH($A77,List_ElectricityMeters,0),ROUNDUP(COLUMN()/3,0)-2))</f>
        <v/>
      </c>
      <c r="AL77" s="127"/>
      <c r="AM77" s="137"/>
      <c r="AN77" s="58" t="str" cm="1">
        <f>IF(ISBLANK($A77),"",INDEX(Array_ElectricalCharges,MATCH($A77,List_ElectricityMeters,0),ROUNDUP(COLUMN()/3,0)-2))</f>
        <v/>
      </c>
      <c r="AO77" s="127"/>
      <c r="AP77" s="137"/>
      <c r="AQ77" s="58" t="str" cm="1">
        <f>IF(ISBLANK($A77),"",INDEX(Array_ElectricalCharges,MATCH($A77,List_ElectricityMeters,0),ROUNDUP(COLUMN()/3,0)-2))</f>
        <v/>
      </c>
      <c r="AR77" s="127"/>
      <c r="AS77" s="137"/>
      <c r="AT77" s="58" t="str" cm="1">
        <f>IF(ISBLANK($A77),"",INDEX(Array_ElectricalCharges,MATCH($A77,List_ElectricityMeters,0),ROUNDUP(COLUMN()/3,0)-2))</f>
        <v/>
      </c>
      <c r="AU77" s="127"/>
      <c r="AV77" s="137"/>
      <c r="AW77" s="58" t="str" cm="1">
        <f>IF(ISBLANK($A77),"",INDEX(Array_ElectricalCharges,MATCH($A77,List_ElectricityMeters,0),ROUNDUP(COLUMN()/3,0)-2))</f>
        <v/>
      </c>
      <c r="AX77" s="127"/>
      <c r="AY77" s="137"/>
    </row>
    <row r="78" spans="1:51" x14ac:dyDescent="0.3">
      <c r="A78" s="126"/>
      <c r="B78" s="133"/>
      <c r="C78" s="134"/>
      <c r="D78" s="134"/>
      <c r="E78" s="135"/>
      <c r="F78" s="136"/>
      <c r="G78" s="58" t="str" cm="1">
        <f>IF(ISBLANK($A78),"",INDEX(Array_ElectricalCharges,MATCH($A78,List_ElectricityMeters,0),ROUNDUP(COLUMN()/3,0)-2))</f>
        <v/>
      </c>
      <c r="H78" s="127"/>
      <c r="I78" s="137"/>
      <c r="J78" s="58" t="str" cm="1">
        <f>IF(ISBLANK($A78),"",INDEX(Array_ElectricalCharges,MATCH($A78,List_ElectricityMeters,0),ROUNDUP(COLUMN()/3,0)-2))</f>
        <v/>
      </c>
      <c r="K78" s="127"/>
      <c r="L78" s="137"/>
      <c r="M78" s="58" t="str" cm="1">
        <f>IF(ISBLANK($A78),"",INDEX(Array_ElectricalCharges,MATCH($A78,List_ElectricityMeters,0),ROUNDUP(COLUMN()/3,0)-2))</f>
        <v/>
      </c>
      <c r="N78" s="127"/>
      <c r="O78" s="137"/>
      <c r="P78" s="58" t="str" cm="1">
        <f>IF(ISBLANK($A78),"",INDEX(Array_ElectricalCharges,MATCH($A78,List_ElectricityMeters,0),ROUNDUP(COLUMN()/3,0)-2))</f>
        <v/>
      </c>
      <c r="Q78" s="127"/>
      <c r="R78" s="137"/>
      <c r="S78" s="58" t="str" cm="1">
        <f>IF(ISBLANK($A78),"",INDEX(Array_ElectricalCharges,MATCH($A78,List_ElectricityMeters,0),ROUNDUP(COLUMN()/3,0)-2))</f>
        <v/>
      </c>
      <c r="T78" s="127"/>
      <c r="U78" s="137"/>
      <c r="V78" s="58" t="str" cm="1">
        <f>IF(ISBLANK($A78),"",INDEX(Array_ElectricalCharges,MATCH($A78,List_ElectricityMeters,0),ROUNDUP(COLUMN()/3,0)-2))</f>
        <v/>
      </c>
      <c r="W78" s="127"/>
      <c r="X78" s="137"/>
      <c r="Y78" s="58" t="str" cm="1">
        <f>IF(ISBLANK($A78),"",INDEX(Array_ElectricalCharges,MATCH($A78,List_ElectricityMeters,0),ROUNDUP(COLUMN()/3,0)-2))</f>
        <v/>
      </c>
      <c r="Z78" s="127"/>
      <c r="AA78" s="137"/>
      <c r="AB78" s="58" t="str" cm="1">
        <f>IF(ISBLANK($A78),"",INDEX(Array_ElectricalCharges,MATCH($A78,List_ElectricityMeters,0),ROUNDUP(COLUMN()/3,0)-2))</f>
        <v/>
      </c>
      <c r="AC78" s="127"/>
      <c r="AD78" s="137"/>
      <c r="AE78" s="58" t="str" cm="1">
        <f>IF(ISBLANK($A78),"",INDEX(Array_ElectricalCharges,MATCH($A78,List_ElectricityMeters,0),ROUNDUP(COLUMN()/3,0)-2))</f>
        <v/>
      </c>
      <c r="AF78" s="127"/>
      <c r="AG78" s="137"/>
      <c r="AH78" s="58" t="str" cm="1">
        <f>IF(ISBLANK($A78),"",INDEX(Array_ElectricalCharges,MATCH($A78,List_ElectricityMeters,0),ROUNDUP(COLUMN()/3,0)-2))</f>
        <v/>
      </c>
      <c r="AI78" s="127"/>
      <c r="AJ78" s="137"/>
      <c r="AK78" s="58" t="str" cm="1">
        <f>IF(ISBLANK($A78),"",INDEX(Array_ElectricalCharges,MATCH($A78,List_ElectricityMeters,0),ROUNDUP(COLUMN()/3,0)-2))</f>
        <v/>
      </c>
      <c r="AL78" s="127"/>
      <c r="AM78" s="137"/>
      <c r="AN78" s="58" t="str" cm="1">
        <f>IF(ISBLANK($A78),"",INDEX(Array_ElectricalCharges,MATCH($A78,List_ElectricityMeters,0),ROUNDUP(COLUMN()/3,0)-2))</f>
        <v/>
      </c>
      <c r="AO78" s="127"/>
      <c r="AP78" s="137"/>
      <c r="AQ78" s="58" t="str" cm="1">
        <f>IF(ISBLANK($A78),"",INDEX(Array_ElectricalCharges,MATCH($A78,List_ElectricityMeters,0),ROUNDUP(COLUMN()/3,0)-2))</f>
        <v/>
      </c>
      <c r="AR78" s="127"/>
      <c r="AS78" s="137"/>
      <c r="AT78" s="58" t="str" cm="1">
        <f>IF(ISBLANK($A78),"",INDEX(Array_ElectricalCharges,MATCH($A78,List_ElectricityMeters,0),ROUNDUP(COLUMN()/3,0)-2))</f>
        <v/>
      </c>
      <c r="AU78" s="127"/>
      <c r="AV78" s="137"/>
      <c r="AW78" s="58" t="str" cm="1">
        <f>IF(ISBLANK($A78),"",INDEX(Array_ElectricalCharges,MATCH($A78,List_ElectricityMeters,0),ROUNDUP(COLUMN()/3,0)-2))</f>
        <v/>
      </c>
      <c r="AX78" s="127"/>
      <c r="AY78" s="137"/>
    </row>
    <row r="79" spans="1:51" x14ac:dyDescent="0.3">
      <c r="A79" s="126"/>
      <c r="B79" s="133"/>
      <c r="C79" s="134"/>
      <c r="D79" s="134"/>
      <c r="E79" s="135"/>
      <c r="F79" s="136"/>
      <c r="G79" s="58" t="str" cm="1">
        <f>IF(ISBLANK($A79),"",INDEX(Array_ElectricalCharges,MATCH($A79,List_ElectricityMeters,0),ROUNDUP(COLUMN()/3,0)-2))</f>
        <v/>
      </c>
      <c r="H79" s="127"/>
      <c r="I79" s="137"/>
      <c r="J79" s="58" t="str" cm="1">
        <f>IF(ISBLANK($A79),"",INDEX(Array_ElectricalCharges,MATCH($A79,List_ElectricityMeters,0),ROUNDUP(COLUMN()/3,0)-2))</f>
        <v/>
      </c>
      <c r="K79" s="127"/>
      <c r="L79" s="137"/>
      <c r="M79" s="58" t="str" cm="1">
        <f>IF(ISBLANK($A79),"",INDEX(Array_ElectricalCharges,MATCH($A79,List_ElectricityMeters,0),ROUNDUP(COLUMN()/3,0)-2))</f>
        <v/>
      </c>
      <c r="N79" s="127"/>
      <c r="O79" s="137"/>
      <c r="P79" s="58" t="str" cm="1">
        <f>IF(ISBLANK($A79),"",INDEX(Array_ElectricalCharges,MATCH($A79,List_ElectricityMeters,0),ROUNDUP(COLUMN()/3,0)-2))</f>
        <v/>
      </c>
      <c r="Q79" s="127"/>
      <c r="R79" s="137"/>
      <c r="S79" s="58" t="str" cm="1">
        <f>IF(ISBLANK($A79),"",INDEX(Array_ElectricalCharges,MATCH($A79,List_ElectricityMeters,0),ROUNDUP(COLUMN()/3,0)-2))</f>
        <v/>
      </c>
      <c r="T79" s="127"/>
      <c r="U79" s="137"/>
      <c r="V79" s="58" t="str" cm="1">
        <f>IF(ISBLANK($A79),"",INDEX(Array_ElectricalCharges,MATCH($A79,List_ElectricityMeters,0),ROUNDUP(COLUMN()/3,0)-2))</f>
        <v/>
      </c>
      <c r="W79" s="127"/>
      <c r="X79" s="137"/>
      <c r="Y79" s="58" t="str" cm="1">
        <f>IF(ISBLANK($A79),"",INDEX(Array_ElectricalCharges,MATCH($A79,List_ElectricityMeters,0),ROUNDUP(COLUMN()/3,0)-2))</f>
        <v/>
      </c>
      <c r="Z79" s="127"/>
      <c r="AA79" s="137"/>
      <c r="AB79" s="58" t="str" cm="1">
        <f>IF(ISBLANK($A79),"",INDEX(Array_ElectricalCharges,MATCH($A79,List_ElectricityMeters,0),ROUNDUP(COLUMN()/3,0)-2))</f>
        <v/>
      </c>
      <c r="AC79" s="127"/>
      <c r="AD79" s="137"/>
      <c r="AE79" s="58" t="str" cm="1">
        <f>IF(ISBLANK($A79),"",INDEX(Array_ElectricalCharges,MATCH($A79,List_ElectricityMeters,0),ROUNDUP(COLUMN()/3,0)-2))</f>
        <v/>
      </c>
      <c r="AF79" s="127"/>
      <c r="AG79" s="137"/>
      <c r="AH79" s="58" t="str" cm="1">
        <f>IF(ISBLANK($A79),"",INDEX(Array_ElectricalCharges,MATCH($A79,List_ElectricityMeters,0),ROUNDUP(COLUMN()/3,0)-2))</f>
        <v/>
      </c>
      <c r="AI79" s="127"/>
      <c r="AJ79" s="137"/>
      <c r="AK79" s="58" t="str" cm="1">
        <f>IF(ISBLANK($A79),"",INDEX(Array_ElectricalCharges,MATCH($A79,List_ElectricityMeters,0),ROUNDUP(COLUMN()/3,0)-2))</f>
        <v/>
      </c>
      <c r="AL79" s="127"/>
      <c r="AM79" s="137"/>
      <c r="AN79" s="58" t="str" cm="1">
        <f>IF(ISBLANK($A79),"",INDEX(Array_ElectricalCharges,MATCH($A79,List_ElectricityMeters,0),ROUNDUP(COLUMN()/3,0)-2))</f>
        <v/>
      </c>
      <c r="AO79" s="127"/>
      <c r="AP79" s="137"/>
      <c r="AQ79" s="58" t="str" cm="1">
        <f>IF(ISBLANK($A79),"",INDEX(Array_ElectricalCharges,MATCH($A79,List_ElectricityMeters,0),ROUNDUP(COLUMN()/3,0)-2))</f>
        <v/>
      </c>
      <c r="AR79" s="127"/>
      <c r="AS79" s="137"/>
      <c r="AT79" s="58" t="str" cm="1">
        <f>IF(ISBLANK($A79),"",INDEX(Array_ElectricalCharges,MATCH($A79,List_ElectricityMeters,0),ROUNDUP(COLUMN()/3,0)-2))</f>
        <v/>
      </c>
      <c r="AU79" s="127"/>
      <c r="AV79" s="137"/>
      <c r="AW79" s="58" t="str" cm="1">
        <f>IF(ISBLANK($A79),"",INDEX(Array_ElectricalCharges,MATCH($A79,List_ElectricityMeters,0),ROUNDUP(COLUMN()/3,0)-2))</f>
        <v/>
      </c>
      <c r="AX79" s="127"/>
      <c r="AY79" s="137"/>
    </row>
    <row r="80" spans="1:51" x14ac:dyDescent="0.3">
      <c r="A80" s="126"/>
      <c r="B80" s="133"/>
      <c r="C80" s="134"/>
      <c r="D80" s="134"/>
      <c r="E80" s="135"/>
      <c r="F80" s="136"/>
      <c r="G80" s="58" t="str" cm="1">
        <f>IF(ISBLANK($A80),"",INDEX(Array_ElectricalCharges,MATCH($A80,List_ElectricityMeters,0),ROUNDUP(COLUMN()/3,0)-2))</f>
        <v/>
      </c>
      <c r="H80" s="127"/>
      <c r="I80" s="137"/>
      <c r="J80" s="58" t="str" cm="1">
        <f>IF(ISBLANK($A80),"",INDEX(Array_ElectricalCharges,MATCH($A80,List_ElectricityMeters,0),ROUNDUP(COLUMN()/3,0)-2))</f>
        <v/>
      </c>
      <c r="K80" s="127"/>
      <c r="L80" s="137"/>
      <c r="M80" s="58" t="str" cm="1">
        <f>IF(ISBLANK($A80),"",INDEX(Array_ElectricalCharges,MATCH($A80,List_ElectricityMeters,0),ROUNDUP(COLUMN()/3,0)-2))</f>
        <v/>
      </c>
      <c r="N80" s="127"/>
      <c r="O80" s="137"/>
      <c r="P80" s="58" t="str" cm="1">
        <f>IF(ISBLANK($A80),"",INDEX(Array_ElectricalCharges,MATCH($A80,List_ElectricityMeters,0),ROUNDUP(COLUMN()/3,0)-2))</f>
        <v/>
      </c>
      <c r="Q80" s="127"/>
      <c r="R80" s="137"/>
      <c r="S80" s="58" t="str" cm="1">
        <f>IF(ISBLANK($A80),"",INDEX(Array_ElectricalCharges,MATCH($A80,List_ElectricityMeters,0),ROUNDUP(COLUMN()/3,0)-2))</f>
        <v/>
      </c>
      <c r="T80" s="127"/>
      <c r="U80" s="137"/>
      <c r="V80" s="58" t="str" cm="1">
        <f>IF(ISBLANK($A80),"",INDEX(Array_ElectricalCharges,MATCH($A80,List_ElectricityMeters,0),ROUNDUP(COLUMN()/3,0)-2))</f>
        <v/>
      </c>
      <c r="W80" s="127"/>
      <c r="X80" s="137"/>
      <c r="Y80" s="58" t="str" cm="1">
        <f>IF(ISBLANK($A80),"",INDEX(Array_ElectricalCharges,MATCH($A80,List_ElectricityMeters,0),ROUNDUP(COLUMN()/3,0)-2))</f>
        <v/>
      </c>
      <c r="Z80" s="127"/>
      <c r="AA80" s="137"/>
      <c r="AB80" s="58" t="str" cm="1">
        <f>IF(ISBLANK($A80),"",INDEX(Array_ElectricalCharges,MATCH($A80,List_ElectricityMeters,0),ROUNDUP(COLUMN()/3,0)-2))</f>
        <v/>
      </c>
      <c r="AC80" s="127"/>
      <c r="AD80" s="137"/>
      <c r="AE80" s="58" t="str" cm="1">
        <f>IF(ISBLANK($A80),"",INDEX(Array_ElectricalCharges,MATCH($A80,List_ElectricityMeters,0),ROUNDUP(COLUMN()/3,0)-2))</f>
        <v/>
      </c>
      <c r="AF80" s="127"/>
      <c r="AG80" s="137"/>
      <c r="AH80" s="58" t="str" cm="1">
        <f>IF(ISBLANK($A80),"",INDEX(Array_ElectricalCharges,MATCH($A80,List_ElectricityMeters,0),ROUNDUP(COLUMN()/3,0)-2))</f>
        <v/>
      </c>
      <c r="AI80" s="127"/>
      <c r="AJ80" s="137"/>
      <c r="AK80" s="58" t="str" cm="1">
        <f>IF(ISBLANK($A80),"",INDEX(Array_ElectricalCharges,MATCH($A80,List_ElectricityMeters,0),ROUNDUP(COLUMN()/3,0)-2))</f>
        <v/>
      </c>
      <c r="AL80" s="127"/>
      <c r="AM80" s="137"/>
      <c r="AN80" s="58" t="str" cm="1">
        <f>IF(ISBLANK($A80),"",INDEX(Array_ElectricalCharges,MATCH($A80,List_ElectricityMeters,0),ROUNDUP(COLUMN()/3,0)-2))</f>
        <v/>
      </c>
      <c r="AO80" s="127"/>
      <c r="AP80" s="137"/>
      <c r="AQ80" s="58" t="str" cm="1">
        <f>IF(ISBLANK($A80),"",INDEX(Array_ElectricalCharges,MATCH($A80,List_ElectricityMeters,0),ROUNDUP(COLUMN()/3,0)-2))</f>
        <v/>
      </c>
      <c r="AR80" s="127"/>
      <c r="AS80" s="137"/>
      <c r="AT80" s="58" t="str" cm="1">
        <f>IF(ISBLANK($A80),"",INDEX(Array_ElectricalCharges,MATCH($A80,List_ElectricityMeters,0),ROUNDUP(COLUMN()/3,0)-2))</f>
        <v/>
      </c>
      <c r="AU80" s="127"/>
      <c r="AV80" s="137"/>
      <c r="AW80" s="58" t="str" cm="1">
        <f>IF(ISBLANK($A80),"",INDEX(Array_ElectricalCharges,MATCH($A80,List_ElectricityMeters,0),ROUNDUP(COLUMN()/3,0)-2))</f>
        <v/>
      </c>
      <c r="AX80" s="127"/>
      <c r="AY80" s="137"/>
    </row>
    <row r="81" spans="1:51" x14ac:dyDescent="0.3">
      <c r="A81" s="126"/>
      <c r="B81" s="133"/>
      <c r="C81" s="134"/>
      <c r="D81" s="134"/>
      <c r="E81" s="135"/>
      <c r="F81" s="136"/>
      <c r="G81" s="58" t="str" cm="1">
        <f>IF(ISBLANK($A81),"",INDEX(Array_ElectricalCharges,MATCH($A81,List_ElectricityMeters,0),ROUNDUP(COLUMN()/3,0)-2))</f>
        <v/>
      </c>
      <c r="H81" s="127"/>
      <c r="I81" s="137"/>
      <c r="J81" s="58" t="str" cm="1">
        <f>IF(ISBLANK($A81),"",INDEX(Array_ElectricalCharges,MATCH($A81,List_ElectricityMeters,0),ROUNDUP(COLUMN()/3,0)-2))</f>
        <v/>
      </c>
      <c r="K81" s="127"/>
      <c r="L81" s="137"/>
      <c r="M81" s="58" t="str" cm="1">
        <f>IF(ISBLANK($A81),"",INDEX(Array_ElectricalCharges,MATCH($A81,List_ElectricityMeters,0),ROUNDUP(COLUMN()/3,0)-2))</f>
        <v/>
      </c>
      <c r="N81" s="127"/>
      <c r="O81" s="137"/>
      <c r="P81" s="58" t="str" cm="1">
        <f>IF(ISBLANK($A81),"",INDEX(Array_ElectricalCharges,MATCH($A81,List_ElectricityMeters,0),ROUNDUP(COLUMN()/3,0)-2))</f>
        <v/>
      </c>
      <c r="Q81" s="127"/>
      <c r="R81" s="137"/>
      <c r="S81" s="58" t="str" cm="1">
        <f>IF(ISBLANK($A81),"",INDEX(Array_ElectricalCharges,MATCH($A81,List_ElectricityMeters,0),ROUNDUP(COLUMN()/3,0)-2))</f>
        <v/>
      </c>
      <c r="T81" s="127"/>
      <c r="U81" s="137"/>
      <c r="V81" s="58" t="str" cm="1">
        <f>IF(ISBLANK($A81),"",INDEX(Array_ElectricalCharges,MATCH($A81,List_ElectricityMeters,0),ROUNDUP(COLUMN()/3,0)-2))</f>
        <v/>
      </c>
      <c r="W81" s="127"/>
      <c r="X81" s="137"/>
      <c r="Y81" s="58" t="str" cm="1">
        <f>IF(ISBLANK($A81),"",INDEX(Array_ElectricalCharges,MATCH($A81,List_ElectricityMeters,0),ROUNDUP(COLUMN()/3,0)-2))</f>
        <v/>
      </c>
      <c r="Z81" s="127"/>
      <c r="AA81" s="137"/>
      <c r="AB81" s="58" t="str" cm="1">
        <f>IF(ISBLANK($A81),"",INDEX(Array_ElectricalCharges,MATCH($A81,List_ElectricityMeters,0),ROUNDUP(COLUMN()/3,0)-2))</f>
        <v/>
      </c>
      <c r="AC81" s="127"/>
      <c r="AD81" s="137"/>
      <c r="AE81" s="58" t="str" cm="1">
        <f>IF(ISBLANK($A81),"",INDEX(Array_ElectricalCharges,MATCH($A81,List_ElectricityMeters,0),ROUNDUP(COLUMN()/3,0)-2))</f>
        <v/>
      </c>
      <c r="AF81" s="127"/>
      <c r="AG81" s="137"/>
      <c r="AH81" s="58" t="str" cm="1">
        <f>IF(ISBLANK($A81),"",INDEX(Array_ElectricalCharges,MATCH($A81,List_ElectricityMeters,0),ROUNDUP(COLUMN()/3,0)-2))</f>
        <v/>
      </c>
      <c r="AI81" s="127"/>
      <c r="AJ81" s="137"/>
      <c r="AK81" s="58" t="str" cm="1">
        <f>IF(ISBLANK($A81),"",INDEX(Array_ElectricalCharges,MATCH($A81,List_ElectricityMeters,0),ROUNDUP(COLUMN()/3,0)-2))</f>
        <v/>
      </c>
      <c r="AL81" s="127"/>
      <c r="AM81" s="137"/>
      <c r="AN81" s="58" t="str" cm="1">
        <f>IF(ISBLANK($A81),"",INDEX(Array_ElectricalCharges,MATCH($A81,List_ElectricityMeters,0),ROUNDUP(COLUMN()/3,0)-2))</f>
        <v/>
      </c>
      <c r="AO81" s="127"/>
      <c r="AP81" s="137"/>
      <c r="AQ81" s="58" t="str" cm="1">
        <f>IF(ISBLANK($A81),"",INDEX(Array_ElectricalCharges,MATCH($A81,List_ElectricityMeters,0),ROUNDUP(COLUMN()/3,0)-2))</f>
        <v/>
      </c>
      <c r="AR81" s="127"/>
      <c r="AS81" s="137"/>
      <c r="AT81" s="58" t="str" cm="1">
        <f>IF(ISBLANK($A81),"",INDEX(Array_ElectricalCharges,MATCH($A81,List_ElectricityMeters,0),ROUNDUP(COLUMN()/3,0)-2))</f>
        <v/>
      </c>
      <c r="AU81" s="127"/>
      <c r="AV81" s="137"/>
      <c r="AW81" s="58" t="str" cm="1">
        <f>IF(ISBLANK($A81),"",INDEX(Array_ElectricalCharges,MATCH($A81,List_ElectricityMeters,0),ROUNDUP(COLUMN()/3,0)-2))</f>
        <v/>
      </c>
      <c r="AX81" s="127"/>
      <c r="AY81" s="137"/>
    </row>
    <row r="82" spans="1:51" x14ac:dyDescent="0.3">
      <c r="A82" s="126"/>
      <c r="B82" s="133"/>
      <c r="C82" s="134"/>
      <c r="D82" s="134"/>
      <c r="E82" s="135"/>
      <c r="F82" s="136"/>
      <c r="G82" s="58" t="str" cm="1">
        <f>IF(ISBLANK($A82),"",INDEX(Array_ElectricalCharges,MATCH($A82,List_ElectricityMeters,0),ROUNDUP(COLUMN()/3,0)-2))</f>
        <v/>
      </c>
      <c r="H82" s="127"/>
      <c r="I82" s="137"/>
      <c r="J82" s="58" t="str" cm="1">
        <f>IF(ISBLANK($A82),"",INDEX(Array_ElectricalCharges,MATCH($A82,List_ElectricityMeters,0),ROUNDUP(COLUMN()/3,0)-2))</f>
        <v/>
      </c>
      <c r="K82" s="127"/>
      <c r="L82" s="137"/>
      <c r="M82" s="58" t="str" cm="1">
        <f>IF(ISBLANK($A82),"",INDEX(Array_ElectricalCharges,MATCH($A82,List_ElectricityMeters,0),ROUNDUP(COLUMN()/3,0)-2))</f>
        <v/>
      </c>
      <c r="N82" s="127"/>
      <c r="O82" s="137"/>
      <c r="P82" s="58" t="str" cm="1">
        <f>IF(ISBLANK($A82),"",INDEX(Array_ElectricalCharges,MATCH($A82,List_ElectricityMeters,0),ROUNDUP(COLUMN()/3,0)-2))</f>
        <v/>
      </c>
      <c r="Q82" s="127"/>
      <c r="R82" s="137"/>
      <c r="S82" s="58" t="str" cm="1">
        <f>IF(ISBLANK($A82),"",INDEX(Array_ElectricalCharges,MATCH($A82,List_ElectricityMeters,0),ROUNDUP(COLUMN()/3,0)-2))</f>
        <v/>
      </c>
      <c r="T82" s="127"/>
      <c r="U82" s="137"/>
      <c r="V82" s="58" t="str" cm="1">
        <f>IF(ISBLANK($A82),"",INDEX(Array_ElectricalCharges,MATCH($A82,List_ElectricityMeters,0),ROUNDUP(COLUMN()/3,0)-2))</f>
        <v/>
      </c>
      <c r="W82" s="127"/>
      <c r="X82" s="137"/>
      <c r="Y82" s="58" t="str" cm="1">
        <f>IF(ISBLANK($A82),"",INDEX(Array_ElectricalCharges,MATCH($A82,List_ElectricityMeters,0),ROUNDUP(COLUMN()/3,0)-2))</f>
        <v/>
      </c>
      <c r="Z82" s="127"/>
      <c r="AA82" s="137"/>
      <c r="AB82" s="58" t="str" cm="1">
        <f>IF(ISBLANK($A82),"",INDEX(Array_ElectricalCharges,MATCH($A82,List_ElectricityMeters,0),ROUNDUP(COLUMN()/3,0)-2))</f>
        <v/>
      </c>
      <c r="AC82" s="127"/>
      <c r="AD82" s="137"/>
      <c r="AE82" s="58" t="str" cm="1">
        <f>IF(ISBLANK($A82),"",INDEX(Array_ElectricalCharges,MATCH($A82,List_ElectricityMeters,0),ROUNDUP(COLUMN()/3,0)-2))</f>
        <v/>
      </c>
      <c r="AF82" s="127"/>
      <c r="AG82" s="137"/>
      <c r="AH82" s="58" t="str" cm="1">
        <f>IF(ISBLANK($A82),"",INDEX(Array_ElectricalCharges,MATCH($A82,List_ElectricityMeters,0),ROUNDUP(COLUMN()/3,0)-2))</f>
        <v/>
      </c>
      <c r="AI82" s="127"/>
      <c r="AJ82" s="137"/>
      <c r="AK82" s="58" t="str" cm="1">
        <f>IF(ISBLANK($A82),"",INDEX(Array_ElectricalCharges,MATCH($A82,List_ElectricityMeters,0),ROUNDUP(COLUMN()/3,0)-2))</f>
        <v/>
      </c>
      <c r="AL82" s="127"/>
      <c r="AM82" s="137"/>
      <c r="AN82" s="58" t="str" cm="1">
        <f>IF(ISBLANK($A82),"",INDEX(Array_ElectricalCharges,MATCH($A82,List_ElectricityMeters,0),ROUNDUP(COLUMN()/3,0)-2))</f>
        <v/>
      </c>
      <c r="AO82" s="127"/>
      <c r="AP82" s="137"/>
      <c r="AQ82" s="58" t="str" cm="1">
        <f>IF(ISBLANK($A82),"",INDEX(Array_ElectricalCharges,MATCH($A82,List_ElectricityMeters,0),ROUNDUP(COLUMN()/3,0)-2))</f>
        <v/>
      </c>
      <c r="AR82" s="127"/>
      <c r="AS82" s="137"/>
      <c r="AT82" s="58" t="str" cm="1">
        <f>IF(ISBLANK($A82),"",INDEX(Array_ElectricalCharges,MATCH($A82,List_ElectricityMeters,0),ROUNDUP(COLUMN()/3,0)-2))</f>
        <v/>
      </c>
      <c r="AU82" s="127"/>
      <c r="AV82" s="137"/>
      <c r="AW82" s="58" t="str" cm="1">
        <f>IF(ISBLANK($A82),"",INDEX(Array_ElectricalCharges,MATCH($A82,List_ElectricityMeters,0),ROUNDUP(COLUMN()/3,0)-2))</f>
        <v/>
      </c>
      <c r="AX82" s="127"/>
      <c r="AY82" s="137"/>
    </row>
    <row r="83" spans="1:51" x14ac:dyDescent="0.3">
      <c r="A83" s="126"/>
      <c r="B83" s="133"/>
      <c r="C83" s="134"/>
      <c r="D83" s="134"/>
      <c r="E83" s="135"/>
      <c r="F83" s="136"/>
      <c r="G83" s="58" t="str" cm="1">
        <f>IF(ISBLANK($A83),"",INDEX(Array_ElectricalCharges,MATCH($A83,List_ElectricityMeters,0),ROUNDUP(COLUMN()/3,0)-2))</f>
        <v/>
      </c>
      <c r="H83" s="127"/>
      <c r="I83" s="137"/>
      <c r="J83" s="58" t="str" cm="1">
        <f>IF(ISBLANK($A83),"",INDEX(Array_ElectricalCharges,MATCH($A83,List_ElectricityMeters,0),ROUNDUP(COLUMN()/3,0)-2))</f>
        <v/>
      </c>
      <c r="K83" s="127"/>
      <c r="L83" s="137"/>
      <c r="M83" s="58" t="str" cm="1">
        <f>IF(ISBLANK($A83),"",INDEX(Array_ElectricalCharges,MATCH($A83,List_ElectricityMeters,0),ROUNDUP(COLUMN()/3,0)-2))</f>
        <v/>
      </c>
      <c r="N83" s="127"/>
      <c r="O83" s="137"/>
      <c r="P83" s="58" t="str" cm="1">
        <f>IF(ISBLANK($A83),"",INDEX(Array_ElectricalCharges,MATCH($A83,List_ElectricityMeters,0),ROUNDUP(COLUMN()/3,0)-2))</f>
        <v/>
      </c>
      <c r="Q83" s="127"/>
      <c r="R83" s="137"/>
      <c r="S83" s="58" t="str" cm="1">
        <f>IF(ISBLANK($A83),"",INDEX(Array_ElectricalCharges,MATCH($A83,List_ElectricityMeters,0),ROUNDUP(COLUMN()/3,0)-2))</f>
        <v/>
      </c>
      <c r="T83" s="127"/>
      <c r="U83" s="137"/>
      <c r="V83" s="58" t="str" cm="1">
        <f>IF(ISBLANK($A83),"",INDEX(Array_ElectricalCharges,MATCH($A83,List_ElectricityMeters,0),ROUNDUP(COLUMN()/3,0)-2))</f>
        <v/>
      </c>
      <c r="W83" s="127"/>
      <c r="X83" s="137"/>
      <c r="Y83" s="58" t="str" cm="1">
        <f>IF(ISBLANK($A83),"",INDEX(Array_ElectricalCharges,MATCH($A83,List_ElectricityMeters,0),ROUNDUP(COLUMN()/3,0)-2))</f>
        <v/>
      </c>
      <c r="Z83" s="127"/>
      <c r="AA83" s="137"/>
      <c r="AB83" s="58" t="str" cm="1">
        <f>IF(ISBLANK($A83),"",INDEX(Array_ElectricalCharges,MATCH($A83,List_ElectricityMeters,0),ROUNDUP(COLUMN()/3,0)-2))</f>
        <v/>
      </c>
      <c r="AC83" s="127"/>
      <c r="AD83" s="137"/>
      <c r="AE83" s="58" t="str" cm="1">
        <f>IF(ISBLANK($A83),"",INDEX(Array_ElectricalCharges,MATCH($A83,List_ElectricityMeters,0),ROUNDUP(COLUMN()/3,0)-2))</f>
        <v/>
      </c>
      <c r="AF83" s="127"/>
      <c r="AG83" s="137"/>
      <c r="AH83" s="58" t="str" cm="1">
        <f>IF(ISBLANK($A83),"",INDEX(Array_ElectricalCharges,MATCH($A83,List_ElectricityMeters,0),ROUNDUP(COLUMN()/3,0)-2))</f>
        <v/>
      </c>
      <c r="AI83" s="127"/>
      <c r="AJ83" s="137"/>
      <c r="AK83" s="58" t="str" cm="1">
        <f>IF(ISBLANK($A83),"",INDEX(Array_ElectricalCharges,MATCH($A83,List_ElectricityMeters,0),ROUNDUP(COLUMN()/3,0)-2))</f>
        <v/>
      </c>
      <c r="AL83" s="127"/>
      <c r="AM83" s="137"/>
      <c r="AN83" s="58" t="str" cm="1">
        <f>IF(ISBLANK($A83),"",INDEX(Array_ElectricalCharges,MATCH($A83,List_ElectricityMeters,0),ROUNDUP(COLUMN()/3,0)-2))</f>
        <v/>
      </c>
      <c r="AO83" s="127"/>
      <c r="AP83" s="137"/>
      <c r="AQ83" s="58" t="str" cm="1">
        <f>IF(ISBLANK($A83),"",INDEX(Array_ElectricalCharges,MATCH($A83,List_ElectricityMeters,0),ROUNDUP(COLUMN()/3,0)-2))</f>
        <v/>
      </c>
      <c r="AR83" s="127"/>
      <c r="AS83" s="137"/>
      <c r="AT83" s="58" t="str" cm="1">
        <f>IF(ISBLANK($A83),"",INDEX(Array_ElectricalCharges,MATCH($A83,List_ElectricityMeters,0),ROUNDUP(COLUMN()/3,0)-2))</f>
        <v/>
      </c>
      <c r="AU83" s="127"/>
      <c r="AV83" s="137"/>
      <c r="AW83" s="58" t="str" cm="1">
        <f>IF(ISBLANK($A83),"",INDEX(Array_ElectricalCharges,MATCH($A83,List_ElectricityMeters,0),ROUNDUP(COLUMN()/3,0)-2))</f>
        <v/>
      </c>
      <c r="AX83" s="127"/>
      <c r="AY83" s="137"/>
    </row>
    <row r="84" spans="1:51" x14ac:dyDescent="0.3">
      <c r="A84" s="126"/>
      <c r="B84" s="133"/>
      <c r="C84" s="134"/>
      <c r="D84" s="134"/>
      <c r="E84" s="135"/>
      <c r="F84" s="136"/>
      <c r="G84" s="58" t="str" cm="1">
        <f>IF(ISBLANK($A84),"",INDEX(Array_ElectricalCharges,MATCH($A84,List_ElectricityMeters,0),ROUNDUP(COLUMN()/3,0)-2))</f>
        <v/>
      </c>
      <c r="H84" s="127"/>
      <c r="I84" s="137"/>
      <c r="J84" s="58" t="str" cm="1">
        <f>IF(ISBLANK($A84),"",INDEX(Array_ElectricalCharges,MATCH($A84,List_ElectricityMeters,0),ROUNDUP(COLUMN()/3,0)-2))</f>
        <v/>
      </c>
      <c r="K84" s="127"/>
      <c r="L84" s="137"/>
      <c r="M84" s="58" t="str" cm="1">
        <f>IF(ISBLANK($A84),"",INDEX(Array_ElectricalCharges,MATCH($A84,List_ElectricityMeters,0),ROUNDUP(COLUMN()/3,0)-2))</f>
        <v/>
      </c>
      <c r="N84" s="127"/>
      <c r="O84" s="137"/>
      <c r="P84" s="58" t="str" cm="1">
        <f>IF(ISBLANK($A84),"",INDEX(Array_ElectricalCharges,MATCH($A84,List_ElectricityMeters,0),ROUNDUP(COLUMN()/3,0)-2))</f>
        <v/>
      </c>
      <c r="Q84" s="127"/>
      <c r="R84" s="137"/>
      <c r="S84" s="58" t="str" cm="1">
        <f>IF(ISBLANK($A84),"",INDEX(Array_ElectricalCharges,MATCH($A84,List_ElectricityMeters,0),ROUNDUP(COLUMN()/3,0)-2))</f>
        <v/>
      </c>
      <c r="T84" s="127"/>
      <c r="U84" s="137"/>
      <c r="V84" s="58" t="str" cm="1">
        <f>IF(ISBLANK($A84),"",INDEX(Array_ElectricalCharges,MATCH($A84,List_ElectricityMeters,0),ROUNDUP(COLUMN()/3,0)-2))</f>
        <v/>
      </c>
      <c r="W84" s="127"/>
      <c r="X84" s="137"/>
      <c r="Y84" s="58" t="str" cm="1">
        <f>IF(ISBLANK($A84),"",INDEX(Array_ElectricalCharges,MATCH($A84,List_ElectricityMeters,0),ROUNDUP(COLUMN()/3,0)-2))</f>
        <v/>
      </c>
      <c r="Z84" s="127"/>
      <c r="AA84" s="137"/>
      <c r="AB84" s="58" t="str" cm="1">
        <f>IF(ISBLANK($A84),"",INDEX(Array_ElectricalCharges,MATCH($A84,List_ElectricityMeters,0),ROUNDUP(COLUMN()/3,0)-2))</f>
        <v/>
      </c>
      <c r="AC84" s="127"/>
      <c r="AD84" s="137"/>
      <c r="AE84" s="58" t="str" cm="1">
        <f>IF(ISBLANK($A84),"",INDEX(Array_ElectricalCharges,MATCH($A84,List_ElectricityMeters,0),ROUNDUP(COLUMN()/3,0)-2))</f>
        <v/>
      </c>
      <c r="AF84" s="127"/>
      <c r="AG84" s="137"/>
      <c r="AH84" s="58" t="str" cm="1">
        <f>IF(ISBLANK($A84),"",INDEX(Array_ElectricalCharges,MATCH($A84,List_ElectricityMeters,0),ROUNDUP(COLUMN()/3,0)-2))</f>
        <v/>
      </c>
      <c r="AI84" s="127"/>
      <c r="AJ84" s="137"/>
      <c r="AK84" s="58" t="str" cm="1">
        <f>IF(ISBLANK($A84),"",INDEX(Array_ElectricalCharges,MATCH($A84,List_ElectricityMeters,0),ROUNDUP(COLUMN()/3,0)-2))</f>
        <v/>
      </c>
      <c r="AL84" s="127"/>
      <c r="AM84" s="137"/>
      <c r="AN84" s="58" t="str" cm="1">
        <f>IF(ISBLANK($A84),"",INDEX(Array_ElectricalCharges,MATCH($A84,List_ElectricityMeters,0),ROUNDUP(COLUMN()/3,0)-2))</f>
        <v/>
      </c>
      <c r="AO84" s="127"/>
      <c r="AP84" s="137"/>
      <c r="AQ84" s="58" t="str" cm="1">
        <f>IF(ISBLANK($A84),"",INDEX(Array_ElectricalCharges,MATCH($A84,List_ElectricityMeters,0),ROUNDUP(COLUMN()/3,0)-2))</f>
        <v/>
      </c>
      <c r="AR84" s="127"/>
      <c r="AS84" s="137"/>
      <c r="AT84" s="58" t="str" cm="1">
        <f>IF(ISBLANK($A84),"",INDEX(Array_ElectricalCharges,MATCH($A84,List_ElectricityMeters,0),ROUNDUP(COLUMN()/3,0)-2))</f>
        <v/>
      </c>
      <c r="AU84" s="127"/>
      <c r="AV84" s="137"/>
      <c r="AW84" s="58" t="str" cm="1">
        <f>IF(ISBLANK($A84),"",INDEX(Array_ElectricalCharges,MATCH($A84,List_ElectricityMeters,0),ROUNDUP(COLUMN()/3,0)-2))</f>
        <v/>
      </c>
      <c r="AX84" s="127"/>
      <c r="AY84" s="137"/>
    </row>
    <row r="85" spans="1:51" x14ac:dyDescent="0.3">
      <c r="A85" s="126"/>
      <c r="B85" s="133"/>
      <c r="C85" s="134"/>
      <c r="D85" s="134"/>
      <c r="E85" s="135"/>
      <c r="F85" s="136"/>
      <c r="G85" s="58" t="str" cm="1">
        <f>IF(ISBLANK($A85),"",INDEX(Array_ElectricalCharges,MATCH($A85,List_ElectricityMeters,0),ROUNDUP(COLUMN()/3,0)-2))</f>
        <v/>
      </c>
      <c r="H85" s="127"/>
      <c r="I85" s="137"/>
      <c r="J85" s="58" t="str" cm="1">
        <f>IF(ISBLANK($A85),"",INDEX(Array_ElectricalCharges,MATCH($A85,List_ElectricityMeters,0),ROUNDUP(COLUMN()/3,0)-2))</f>
        <v/>
      </c>
      <c r="K85" s="127"/>
      <c r="L85" s="137"/>
      <c r="M85" s="58" t="str" cm="1">
        <f>IF(ISBLANK($A85),"",INDEX(Array_ElectricalCharges,MATCH($A85,List_ElectricityMeters,0),ROUNDUP(COLUMN()/3,0)-2))</f>
        <v/>
      </c>
      <c r="N85" s="127"/>
      <c r="O85" s="137"/>
      <c r="P85" s="58" t="str" cm="1">
        <f>IF(ISBLANK($A85),"",INDEX(Array_ElectricalCharges,MATCH($A85,List_ElectricityMeters,0),ROUNDUP(COLUMN()/3,0)-2))</f>
        <v/>
      </c>
      <c r="Q85" s="127"/>
      <c r="R85" s="137"/>
      <c r="S85" s="58" t="str" cm="1">
        <f>IF(ISBLANK($A85),"",INDEX(Array_ElectricalCharges,MATCH($A85,List_ElectricityMeters,0),ROUNDUP(COLUMN()/3,0)-2))</f>
        <v/>
      </c>
      <c r="T85" s="127"/>
      <c r="U85" s="137"/>
      <c r="V85" s="58" t="str" cm="1">
        <f>IF(ISBLANK($A85),"",INDEX(Array_ElectricalCharges,MATCH($A85,List_ElectricityMeters,0),ROUNDUP(COLUMN()/3,0)-2))</f>
        <v/>
      </c>
      <c r="W85" s="127"/>
      <c r="X85" s="137"/>
      <c r="Y85" s="58" t="str" cm="1">
        <f>IF(ISBLANK($A85),"",INDEX(Array_ElectricalCharges,MATCH($A85,List_ElectricityMeters,0),ROUNDUP(COLUMN()/3,0)-2))</f>
        <v/>
      </c>
      <c r="Z85" s="127"/>
      <c r="AA85" s="137"/>
      <c r="AB85" s="58" t="str" cm="1">
        <f>IF(ISBLANK($A85),"",INDEX(Array_ElectricalCharges,MATCH($A85,List_ElectricityMeters,0),ROUNDUP(COLUMN()/3,0)-2))</f>
        <v/>
      </c>
      <c r="AC85" s="127"/>
      <c r="AD85" s="137"/>
      <c r="AE85" s="58" t="str" cm="1">
        <f>IF(ISBLANK($A85),"",INDEX(Array_ElectricalCharges,MATCH($A85,List_ElectricityMeters,0),ROUNDUP(COLUMN()/3,0)-2))</f>
        <v/>
      </c>
      <c r="AF85" s="127"/>
      <c r="AG85" s="137"/>
      <c r="AH85" s="58" t="str" cm="1">
        <f>IF(ISBLANK($A85),"",INDEX(Array_ElectricalCharges,MATCH($A85,List_ElectricityMeters,0),ROUNDUP(COLUMN()/3,0)-2))</f>
        <v/>
      </c>
      <c r="AI85" s="127"/>
      <c r="AJ85" s="137"/>
      <c r="AK85" s="58" t="str" cm="1">
        <f>IF(ISBLANK($A85),"",INDEX(Array_ElectricalCharges,MATCH($A85,List_ElectricityMeters,0),ROUNDUP(COLUMN()/3,0)-2))</f>
        <v/>
      </c>
      <c r="AL85" s="127"/>
      <c r="AM85" s="137"/>
      <c r="AN85" s="58" t="str" cm="1">
        <f>IF(ISBLANK($A85),"",INDEX(Array_ElectricalCharges,MATCH($A85,List_ElectricityMeters,0),ROUNDUP(COLUMN()/3,0)-2))</f>
        <v/>
      </c>
      <c r="AO85" s="127"/>
      <c r="AP85" s="137"/>
      <c r="AQ85" s="58" t="str" cm="1">
        <f>IF(ISBLANK($A85),"",INDEX(Array_ElectricalCharges,MATCH($A85,List_ElectricityMeters,0),ROUNDUP(COLUMN()/3,0)-2))</f>
        <v/>
      </c>
      <c r="AR85" s="127"/>
      <c r="AS85" s="137"/>
      <c r="AT85" s="58" t="str" cm="1">
        <f>IF(ISBLANK($A85),"",INDEX(Array_ElectricalCharges,MATCH($A85,List_ElectricityMeters,0),ROUNDUP(COLUMN()/3,0)-2))</f>
        <v/>
      </c>
      <c r="AU85" s="127"/>
      <c r="AV85" s="137"/>
      <c r="AW85" s="58" t="str" cm="1">
        <f>IF(ISBLANK($A85),"",INDEX(Array_ElectricalCharges,MATCH($A85,List_ElectricityMeters,0),ROUNDUP(COLUMN()/3,0)-2))</f>
        <v/>
      </c>
      <c r="AX85" s="127"/>
      <c r="AY85" s="137"/>
    </row>
    <row r="86" spans="1:51" x14ac:dyDescent="0.3">
      <c r="A86" s="126"/>
      <c r="B86" s="133"/>
      <c r="C86" s="134"/>
      <c r="D86" s="134"/>
      <c r="E86" s="135"/>
      <c r="F86" s="136"/>
      <c r="G86" s="58" t="str" cm="1">
        <f>IF(ISBLANK($A86),"",INDEX(Array_ElectricalCharges,MATCH($A86,List_ElectricityMeters,0),ROUNDUP(COLUMN()/3,0)-2))</f>
        <v/>
      </c>
      <c r="H86" s="127"/>
      <c r="I86" s="137"/>
      <c r="J86" s="58" t="str" cm="1">
        <f>IF(ISBLANK($A86),"",INDEX(Array_ElectricalCharges,MATCH($A86,List_ElectricityMeters,0),ROUNDUP(COLUMN()/3,0)-2))</f>
        <v/>
      </c>
      <c r="K86" s="127"/>
      <c r="L86" s="137"/>
      <c r="M86" s="58" t="str" cm="1">
        <f>IF(ISBLANK($A86),"",INDEX(Array_ElectricalCharges,MATCH($A86,List_ElectricityMeters,0),ROUNDUP(COLUMN()/3,0)-2))</f>
        <v/>
      </c>
      <c r="N86" s="127"/>
      <c r="O86" s="137"/>
      <c r="P86" s="58" t="str" cm="1">
        <f>IF(ISBLANK($A86),"",INDEX(Array_ElectricalCharges,MATCH($A86,List_ElectricityMeters,0),ROUNDUP(COLUMN()/3,0)-2))</f>
        <v/>
      </c>
      <c r="Q86" s="127"/>
      <c r="R86" s="137"/>
      <c r="S86" s="58" t="str" cm="1">
        <f>IF(ISBLANK($A86),"",INDEX(Array_ElectricalCharges,MATCH($A86,List_ElectricityMeters,0),ROUNDUP(COLUMN()/3,0)-2))</f>
        <v/>
      </c>
      <c r="T86" s="127"/>
      <c r="U86" s="137"/>
      <c r="V86" s="58" t="str" cm="1">
        <f>IF(ISBLANK($A86),"",INDEX(Array_ElectricalCharges,MATCH($A86,List_ElectricityMeters,0),ROUNDUP(COLUMN()/3,0)-2))</f>
        <v/>
      </c>
      <c r="W86" s="127"/>
      <c r="X86" s="137"/>
      <c r="Y86" s="58" t="str" cm="1">
        <f>IF(ISBLANK($A86),"",INDEX(Array_ElectricalCharges,MATCH($A86,List_ElectricityMeters,0),ROUNDUP(COLUMN()/3,0)-2))</f>
        <v/>
      </c>
      <c r="Z86" s="127"/>
      <c r="AA86" s="137"/>
      <c r="AB86" s="58" t="str" cm="1">
        <f>IF(ISBLANK($A86),"",INDEX(Array_ElectricalCharges,MATCH($A86,List_ElectricityMeters,0),ROUNDUP(COLUMN()/3,0)-2))</f>
        <v/>
      </c>
      <c r="AC86" s="127"/>
      <c r="AD86" s="137"/>
      <c r="AE86" s="58" t="str" cm="1">
        <f>IF(ISBLANK($A86),"",INDEX(Array_ElectricalCharges,MATCH($A86,List_ElectricityMeters,0),ROUNDUP(COLUMN()/3,0)-2))</f>
        <v/>
      </c>
      <c r="AF86" s="127"/>
      <c r="AG86" s="137"/>
      <c r="AH86" s="58" t="str" cm="1">
        <f>IF(ISBLANK($A86),"",INDEX(Array_ElectricalCharges,MATCH($A86,List_ElectricityMeters,0),ROUNDUP(COLUMN()/3,0)-2))</f>
        <v/>
      </c>
      <c r="AI86" s="127"/>
      <c r="AJ86" s="137"/>
      <c r="AK86" s="58" t="str" cm="1">
        <f>IF(ISBLANK($A86),"",INDEX(Array_ElectricalCharges,MATCH($A86,List_ElectricityMeters,0),ROUNDUP(COLUMN()/3,0)-2))</f>
        <v/>
      </c>
      <c r="AL86" s="127"/>
      <c r="AM86" s="137"/>
      <c r="AN86" s="58" t="str" cm="1">
        <f>IF(ISBLANK($A86),"",INDEX(Array_ElectricalCharges,MATCH($A86,List_ElectricityMeters,0),ROUNDUP(COLUMN()/3,0)-2))</f>
        <v/>
      </c>
      <c r="AO86" s="127"/>
      <c r="AP86" s="137"/>
      <c r="AQ86" s="58" t="str" cm="1">
        <f>IF(ISBLANK($A86),"",INDEX(Array_ElectricalCharges,MATCH($A86,List_ElectricityMeters,0),ROUNDUP(COLUMN()/3,0)-2))</f>
        <v/>
      </c>
      <c r="AR86" s="127"/>
      <c r="AS86" s="137"/>
      <c r="AT86" s="58" t="str" cm="1">
        <f>IF(ISBLANK($A86),"",INDEX(Array_ElectricalCharges,MATCH($A86,List_ElectricityMeters,0),ROUNDUP(COLUMN()/3,0)-2))</f>
        <v/>
      </c>
      <c r="AU86" s="127"/>
      <c r="AV86" s="137"/>
      <c r="AW86" s="58" t="str" cm="1">
        <f>IF(ISBLANK($A86),"",INDEX(Array_ElectricalCharges,MATCH($A86,List_ElectricityMeters,0),ROUNDUP(COLUMN()/3,0)-2))</f>
        <v/>
      </c>
      <c r="AX86" s="127"/>
      <c r="AY86" s="137"/>
    </row>
    <row r="87" spans="1:51" x14ac:dyDescent="0.3">
      <c r="A87" s="126"/>
      <c r="B87" s="133"/>
      <c r="C87" s="134"/>
      <c r="D87" s="134"/>
      <c r="E87" s="135"/>
      <c r="F87" s="136"/>
      <c r="G87" s="58" t="str" cm="1">
        <f>IF(ISBLANK($A87),"",INDEX(Array_ElectricalCharges,MATCH($A87,List_ElectricityMeters,0),ROUNDUP(COLUMN()/3,0)-2))</f>
        <v/>
      </c>
      <c r="H87" s="127"/>
      <c r="I87" s="137"/>
      <c r="J87" s="58" t="str" cm="1">
        <f>IF(ISBLANK($A87),"",INDEX(Array_ElectricalCharges,MATCH($A87,List_ElectricityMeters,0),ROUNDUP(COLUMN()/3,0)-2))</f>
        <v/>
      </c>
      <c r="K87" s="127"/>
      <c r="L87" s="137"/>
      <c r="M87" s="58" t="str" cm="1">
        <f>IF(ISBLANK($A87),"",INDEX(Array_ElectricalCharges,MATCH($A87,List_ElectricityMeters,0),ROUNDUP(COLUMN()/3,0)-2))</f>
        <v/>
      </c>
      <c r="N87" s="127"/>
      <c r="O87" s="137"/>
      <c r="P87" s="58" t="str" cm="1">
        <f>IF(ISBLANK($A87),"",INDEX(Array_ElectricalCharges,MATCH($A87,List_ElectricityMeters,0),ROUNDUP(COLUMN()/3,0)-2))</f>
        <v/>
      </c>
      <c r="Q87" s="127"/>
      <c r="R87" s="137"/>
      <c r="S87" s="58" t="str" cm="1">
        <f>IF(ISBLANK($A87),"",INDEX(Array_ElectricalCharges,MATCH($A87,List_ElectricityMeters,0),ROUNDUP(COLUMN()/3,0)-2))</f>
        <v/>
      </c>
      <c r="T87" s="127"/>
      <c r="U87" s="137"/>
      <c r="V87" s="58" t="str" cm="1">
        <f>IF(ISBLANK($A87),"",INDEX(Array_ElectricalCharges,MATCH($A87,List_ElectricityMeters,0),ROUNDUP(COLUMN()/3,0)-2))</f>
        <v/>
      </c>
      <c r="W87" s="127"/>
      <c r="X87" s="137"/>
      <c r="Y87" s="58" t="str" cm="1">
        <f>IF(ISBLANK($A87),"",INDEX(Array_ElectricalCharges,MATCH($A87,List_ElectricityMeters,0),ROUNDUP(COLUMN()/3,0)-2))</f>
        <v/>
      </c>
      <c r="Z87" s="127"/>
      <c r="AA87" s="137"/>
      <c r="AB87" s="58" t="str" cm="1">
        <f>IF(ISBLANK($A87),"",INDEX(Array_ElectricalCharges,MATCH($A87,List_ElectricityMeters,0),ROUNDUP(COLUMN()/3,0)-2))</f>
        <v/>
      </c>
      <c r="AC87" s="127"/>
      <c r="AD87" s="137"/>
      <c r="AE87" s="58" t="str" cm="1">
        <f>IF(ISBLANK($A87),"",INDEX(Array_ElectricalCharges,MATCH($A87,List_ElectricityMeters,0),ROUNDUP(COLUMN()/3,0)-2))</f>
        <v/>
      </c>
      <c r="AF87" s="127"/>
      <c r="AG87" s="137"/>
      <c r="AH87" s="58" t="str" cm="1">
        <f>IF(ISBLANK($A87),"",INDEX(Array_ElectricalCharges,MATCH($A87,List_ElectricityMeters,0),ROUNDUP(COLUMN()/3,0)-2))</f>
        <v/>
      </c>
      <c r="AI87" s="127"/>
      <c r="AJ87" s="137"/>
      <c r="AK87" s="58" t="str" cm="1">
        <f>IF(ISBLANK($A87),"",INDEX(Array_ElectricalCharges,MATCH($A87,List_ElectricityMeters,0),ROUNDUP(COLUMN()/3,0)-2))</f>
        <v/>
      </c>
      <c r="AL87" s="127"/>
      <c r="AM87" s="137"/>
      <c r="AN87" s="58" t="str" cm="1">
        <f>IF(ISBLANK($A87),"",INDEX(Array_ElectricalCharges,MATCH($A87,List_ElectricityMeters,0),ROUNDUP(COLUMN()/3,0)-2))</f>
        <v/>
      </c>
      <c r="AO87" s="127"/>
      <c r="AP87" s="137"/>
      <c r="AQ87" s="58" t="str" cm="1">
        <f>IF(ISBLANK($A87),"",INDEX(Array_ElectricalCharges,MATCH($A87,List_ElectricityMeters,0),ROUNDUP(COLUMN()/3,0)-2))</f>
        <v/>
      </c>
      <c r="AR87" s="127"/>
      <c r="AS87" s="137"/>
      <c r="AT87" s="58" t="str" cm="1">
        <f>IF(ISBLANK($A87),"",INDEX(Array_ElectricalCharges,MATCH($A87,List_ElectricityMeters,0),ROUNDUP(COLUMN()/3,0)-2))</f>
        <v/>
      </c>
      <c r="AU87" s="127"/>
      <c r="AV87" s="137"/>
      <c r="AW87" s="58" t="str" cm="1">
        <f>IF(ISBLANK($A87),"",INDEX(Array_ElectricalCharges,MATCH($A87,List_ElectricityMeters,0),ROUNDUP(COLUMN()/3,0)-2))</f>
        <v/>
      </c>
      <c r="AX87" s="127"/>
      <c r="AY87" s="137"/>
    </row>
    <row r="88" spans="1:51" x14ac:dyDescent="0.3">
      <c r="A88" s="126"/>
      <c r="B88" s="133"/>
      <c r="C88" s="134"/>
      <c r="D88" s="134"/>
      <c r="E88" s="135"/>
      <c r="F88" s="136"/>
      <c r="G88" s="58" t="str" cm="1">
        <f>IF(ISBLANK($A88),"",INDEX(Array_ElectricalCharges,MATCH($A88,List_ElectricityMeters,0),ROUNDUP(COLUMN()/3,0)-2))</f>
        <v/>
      </c>
      <c r="H88" s="127"/>
      <c r="I88" s="137"/>
      <c r="J88" s="58" t="str" cm="1">
        <f>IF(ISBLANK($A88),"",INDEX(Array_ElectricalCharges,MATCH($A88,List_ElectricityMeters,0),ROUNDUP(COLUMN()/3,0)-2))</f>
        <v/>
      </c>
      <c r="K88" s="127"/>
      <c r="L88" s="137"/>
      <c r="M88" s="58" t="str" cm="1">
        <f>IF(ISBLANK($A88),"",INDEX(Array_ElectricalCharges,MATCH($A88,List_ElectricityMeters,0),ROUNDUP(COLUMN()/3,0)-2))</f>
        <v/>
      </c>
      <c r="N88" s="127"/>
      <c r="O88" s="137"/>
      <c r="P88" s="58" t="str" cm="1">
        <f>IF(ISBLANK($A88),"",INDEX(Array_ElectricalCharges,MATCH($A88,List_ElectricityMeters,0),ROUNDUP(COLUMN()/3,0)-2))</f>
        <v/>
      </c>
      <c r="Q88" s="127"/>
      <c r="R88" s="137"/>
      <c r="S88" s="58" t="str" cm="1">
        <f>IF(ISBLANK($A88),"",INDEX(Array_ElectricalCharges,MATCH($A88,List_ElectricityMeters,0),ROUNDUP(COLUMN()/3,0)-2))</f>
        <v/>
      </c>
      <c r="T88" s="127"/>
      <c r="U88" s="137"/>
      <c r="V88" s="58" t="str" cm="1">
        <f>IF(ISBLANK($A88),"",INDEX(Array_ElectricalCharges,MATCH($A88,List_ElectricityMeters,0),ROUNDUP(COLUMN()/3,0)-2))</f>
        <v/>
      </c>
      <c r="W88" s="127"/>
      <c r="X88" s="137"/>
      <c r="Y88" s="58" t="str" cm="1">
        <f>IF(ISBLANK($A88),"",INDEX(Array_ElectricalCharges,MATCH($A88,List_ElectricityMeters,0),ROUNDUP(COLUMN()/3,0)-2))</f>
        <v/>
      </c>
      <c r="Z88" s="127"/>
      <c r="AA88" s="137"/>
      <c r="AB88" s="58" t="str" cm="1">
        <f>IF(ISBLANK($A88),"",INDEX(Array_ElectricalCharges,MATCH($A88,List_ElectricityMeters,0),ROUNDUP(COLUMN()/3,0)-2))</f>
        <v/>
      </c>
      <c r="AC88" s="127"/>
      <c r="AD88" s="137"/>
      <c r="AE88" s="58" t="str" cm="1">
        <f>IF(ISBLANK($A88),"",INDEX(Array_ElectricalCharges,MATCH($A88,List_ElectricityMeters,0),ROUNDUP(COLUMN()/3,0)-2))</f>
        <v/>
      </c>
      <c r="AF88" s="127"/>
      <c r="AG88" s="137"/>
      <c r="AH88" s="58" t="str" cm="1">
        <f>IF(ISBLANK($A88),"",INDEX(Array_ElectricalCharges,MATCH($A88,List_ElectricityMeters,0),ROUNDUP(COLUMN()/3,0)-2))</f>
        <v/>
      </c>
      <c r="AI88" s="127"/>
      <c r="AJ88" s="137"/>
      <c r="AK88" s="58" t="str" cm="1">
        <f>IF(ISBLANK($A88),"",INDEX(Array_ElectricalCharges,MATCH($A88,List_ElectricityMeters,0),ROUNDUP(COLUMN()/3,0)-2))</f>
        <v/>
      </c>
      <c r="AL88" s="127"/>
      <c r="AM88" s="137"/>
      <c r="AN88" s="58" t="str" cm="1">
        <f>IF(ISBLANK($A88),"",INDEX(Array_ElectricalCharges,MATCH($A88,List_ElectricityMeters,0),ROUNDUP(COLUMN()/3,0)-2))</f>
        <v/>
      </c>
      <c r="AO88" s="127"/>
      <c r="AP88" s="137"/>
      <c r="AQ88" s="58" t="str" cm="1">
        <f>IF(ISBLANK($A88),"",INDEX(Array_ElectricalCharges,MATCH($A88,List_ElectricityMeters,0),ROUNDUP(COLUMN()/3,0)-2))</f>
        <v/>
      </c>
      <c r="AR88" s="127"/>
      <c r="AS88" s="137"/>
      <c r="AT88" s="58" t="str" cm="1">
        <f>IF(ISBLANK($A88),"",INDEX(Array_ElectricalCharges,MATCH($A88,List_ElectricityMeters,0),ROUNDUP(COLUMN()/3,0)-2))</f>
        <v/>
      </c>
      <c r="AU88" s="127"/>
      <c r="AV88" s="137"/>
      <c r="AW88" s="58" t="str" cm="1">
        <f>IF(ISBLANK($A88),"",INDEX(Array_ElectricalCharges,MATCH($A88,List_ElectricityMeters,0),ROUNDUP(COLUMN()/3,0)-2))</f>
        <v/>
      </c>
      <c r="AX88" s="127"/>
      <c r="AY88" s="137"/>
    </row>
    <row r="89" spans="1:51" x14ac:dyDescent="0.3">
      <c r="A89" s="126"/>
      <c r="B89" s="133"/>
      <c r="C89" s="134"/>
      <c r="D89" s="134"/>
      <c r="E89" s="135"/>
      <c r="F89" s="136"/>
      <c r="G89" s="58" t="str" cm="1">
        <f>IF(ISBLANK($A89),"",INDEX(Array_ElectricalCharges,MATCH($A89,List_ElectricityMeters,0),ROUNDUP(COLUMN()/3,0)-2))</f>
        <v/>
      </c>
      <c r="H89" s="127"/>
      <c r="I89" s="137"/>
      <c r="J89" s="58" t="str" cm="1">
        <f>IF(ISBLANK($A89),"",INDEX(Array_ElectricalCharges,MATCH($A89,List_ElectricityMeters,0),ROUNDUP(COLUMN()/3,0)-2))</f>
        <v/>
      </c>
      <c r="K89" s="127"/>
      <c r="L89" s="137"/>
      <c r="M89" s="58" t="str" cm="1">
        <f>IF(ISBLANK($A89),"",INDEX(Array_ElectricalCharges,MATCH($A89,List_ElectricityMeters,0),ROUNDUP(COLUMN()/3,0)-2))</f>
        <v/>
      </c>
      <c r="N89" s="127"/>
      <c r="O89" s="137"/>
      <c r="P89" s="58" t="str" cm="1">
        <f>IF(ISBLANK($A89),"",INDEX(Array_ElectricalCharges,MATCH($A89,List_ElectricityMeters,0),ROUNDUP(COLUMN()/3,0)-2))</f>
        <v/>
      </c>
      <c r="Q89" s="127"/>
      <c r="R89" s="137"/>
      <c r="S89" s="58" t="str" cm="1">
        <f>IF(ISBLANK($A89),"",INDEX(Array_ElectricalCharges,MATCH($A89,List_ElectricityMeters,0),ROUNDUP(COLUMN()/3,0)-2))</f>
        <v/>
      </c>
      <c r="T89" s="127"/>
      <c r="U89" s="137"/>
      <c r="V89" s="58" t="str" cm="1">
        <f>IF(ISBLANK($A89),"",INDEX(Array_ElectricalCharges,MATCH($A89,List_ElectricityMeters,0),ROUNDUP(COLUMN()/3,0)-2))</f>
        <v/>
      </c>
      <c r="W89" s="127"/>
      <c r="X89" s="137"/>
      <c r="Y89" s="58" t="str" cm="1">
        <f>IF(ISBLANK($A89),"",INDEX(Array_ElectricalCharges,MATCH($A89,List_ElectricityMeters,0),ROUNDUP(COLUMN()/3,0)-2))</f>
        <v/>
      </c>
      <c r="Z89" s="127"/>
      <c r="AA89" s="137"/>
      <c r="AB89" s="58" t="str" cm="1">
        <f>IF(ISBLANK($A89),"",INDEX(Array_ElectricalCharges,MATCH($A89,List_ElectricityMeters,0),ROUNDUP(COLUMN()/3,0)-2))</f>
        <v/>
      </c>
      <c r="AC89" s="127"/>
      <c r="AD89" s="137"/>
      <c r="AE89" s="58" t="str" cm="1">
        <f>IF(ISBLANK($A89),"",INDEX(Array_ElectricalCharges,MATCH($A89,List_ElectricityMeters,0),ROUNDUP(COLUMN()/3,0)-2))</f>
        <v/>
      </c>
      <c r="AF89" s="127"/>
      <c r="AG89" s="137"/>
      <c r="AH89" s="58" t="str" cm="1">
        <f>IF(ISBLANK($A89),"",INDEX(Array_ElectricalCharges,MATCH($A89,List_ElectricityMeters,0),ROUNDUP(COLUMN()/3,0)-2))</f>
        <v/>
      </c>
      <c r="AI89" s="127"/>
      <c r="AJ89" s="137"/>
      <c r="AK89" s="58" t="str" cm="1">
        <f>IF(ISBLANK($A89),"",INDEX(Array_ElectricalCharges,MATCH($A89,List_ElectricityMeters,0),ROUNDUP(COLUMN()/3,0)-2))</f>
        <v/>
      </c>
      <c r="AL89" s="127"/>
      <c r="AM89" s="137"/>
      <c r="AN89" s="58" t="str" cm="1">
        <f>IF(ISBLANK($A89),"",INDEX(Array_ElectricalCharges,MATCH($A89,List_ElectricityMeters,0),ROUNDUP(COLUMN()/3,0)-2))</f>
        <v/>
      </c>
      <c r="AO89" s="127"/>
      <c r="AP89" s="137"/>
      <c r="AQ89" s="58" t="str" cm="1">
        <f>IF(ISBLANK($A89),"",INDEX(Array_ElectricalCharges,MATCH($A89,List_ElectricityMeters,0),ROUNDUP(COLUMN()/3,0)-2))</f>
        <v/>
      </c>
      <c r="AR89" s="127"/>
      <c r="AS89" s="137"/>
      <c r="AT89" s="58" t="str" cm="1">
        <f>IF(ISBLANK($A89),"",INDEX(Array_ElectricalCharges,MATCH($A89,List_ElectricityMeters,0),ROUNDUP(COLUMN()/3,0)-2))</f>
        <v/>
      </c>
      <c r="AU89" s="127"/>
      <c r="AV89" s="137"/>
      <c r="AW89" s="58" t="str" cm="1">
        <f>IF(ISBLANK($A89),"",INDEX(Array_ElectricalCharges,MATCH($A89,List_ElectricityMeters,0),ROUNDUP(COLUMN()/3,0)-2))</f>
        <v/>
      </c>
      <c r="AX89" s="127"/>
      <c r="AY89" s="137"/>
    </row>
    <row r="90" spans="1:51" x14ac:dyDescent="0.3">
      <c r="A90" s="126"/>
      <c r="B90" s="133"/>
      <c r="C90" s="134"/>
      <c r="D90" s="134"/>
      <c r="E90" s="135"/>
      <c r="F90" s="136"/>
      <c r="G90" s="58" t="str" cm="1">
        <f>IF(ISBLANK($A90),"",INDEX(Array_ElectricalCharges,MATCH($A90,List_ElectricityMeters,0),ROUNDUP(COLUMN()/3,0)-2))</f>
        <v/>
      </c>
      <c r="H90" s="127"/>
      <c r="I90" s="137"/>
      <c r="J90" s="58" t="str" cm="1">
        <f>IF(ISBLANK($A90),"",INDEX(Array_ElectricalCharges,MATCH($A90,List_ElectricityMeters,0),ROUNDUP(COLUMN()/3,0)-2))</f>
        <v/>
      </c>
      <c r="K90" s="127"/>
      <c r="L90" s="137"/>
      <c r="M90" s="58" t="str" cm="1">
        <f>IF(ISBLANK($A90),"",INDEX(Array_ElectricalCharges,MATCH($A90,List_ElectricityMeters,0),ROUNDUP(COLUMN()/3,0)-2))</f>
        <v/>
      </c>
      <c r="N90" s="127"/>
      <c r="O90" s="137"/>
      <c r="P90" s="58" t="str" cm="1">
        <f>IF(ISBLANK($A90),"",INDEX(Array_ElectricalCharges,MATCH($A90,List_ElectricityMeters,0),ROUNDUP(COLUMN()/3,0)-2))</f>
        <v/>
      </c>
      <c r="Q90" s="127"/>
      <c r="R90" s="137"/>
      <c r="S90" s="58" t="str" cm="1">
        <f>IF(ISBLANK($A90),"",INDEX(Array_ElectricalCharges,MATCH($A90,List_ElectricityMeters,0),ROUNDUP(COLUMN()/3,0)-2))</f>
        <v/>
      </c>
      <c r="T90" s="127"/>
      <c r="U90" s="137"/>
      <c r="V90" s="58" t="str" cm="1">
        <f>IF(ISBLANK($A90),"",INDEX(Array_ElectricalCharges,MATCH($A90,List_ElectricityMeters,0),ROUNDUP(COLUMN()/3,0)-2))</f>
        <v/>
      </c>
      <c r="W90" s="127"/>
      <c r="X90" s="137"/>
      <c r="Y90" s="58" t="str" cm="1">
        <f>IF(ISBLANK($A90),"",INDEX(Array_ElectricalCharges,MATCH($A90,List_ElectricityMeters,0),ROUNDUP(COLUMN()/3,0)-2))</f>
        <v/>
      </c>
      <c r="Z90" s="127"/>
      <c r="AA90" s="137"/>
      <c r="AB90" s="58" t="str" cm="1">
        <f>IF(ISBLANK($A90),"",INDEX(Array_ElectricalCharges,MATCH($A90,List_ElectricityMeters,0),ROUNDUP(COLUMN()/3,0)-2))</f>
        <v/>
      </c>
      <c r="AC90" s="127"/>
      <c r="AD90" s="137"/>
      <c r="AE90" s="58" t="str" cm="1">
        <f>IF(ISBLANK($A90),"",INDEX(Array_ElectricalCharges,MATCH($A90,List_ElectricityMeters,0),ROUNDUP(COLUMN()/3,0)-2))</f>
        <v/>
      </c>
      <c r="AF90" s="127"/>
      <c r="AG90" s="137"/>
      <c r="AH90" s="58" t="str" cm="1">
        <f>IF(ISBLANK($A90),"",INDEX(Array_ElectricalCharges,MATCH($A90,List_ElectricityMeters,0),ROUNDUP(COLUMN()/3,0)-2))</f>
        <v/>
      </c>
      <c r="AI90" s="127"/>
      <c r="AJ90" s="137"/>
      <c r="AK90" s="58" t="str" cm="1">
        <f>IF(ISBLANK($A90),"",INDEX(Array_ElectricalCharges,MATCH($A90,List_ElectricityMeters,0),ROUNDUP(COLUMN()/3,0)-2))</f>
        <v/>
      </c>
      <c r="AL90" s="127"/>
      <c r="AM90" s="137"/>
      <c r="AN90" s="58" t="str" cm="1">
        <f>IF(ISBLANK($A90),"",INDEX(Array_ElectricalCharges,MATCH($A90,List_ElectricityMeters,0),ROUNDUP(COLUMN()/3,0)-2))</f>
        <v/>
      </c>
      <c r="AO90" s="127"/>
      <c r="AP90" s="137"/>
      <c r="AQ90" s="58" t="str" cm="1">
        <f>IF(ISBLANK($A90),"",INDEX(Array_ElectricalCharges,MATCH($A90,List_ElectricityMeters,0),ROUNDUP(COLUMN()/3,0)-2))</f>
        <v/>
      </c>
      <c r="AR90" s="127"/>
      <c r="AS90" s="137"/>
      <c r="AT90" s="58" t="str" cm="1">
        <f>IF(ISBLANK($A90),"",INDEX(Array_ElectricalCharges,MATCH($A90,List_ElectricityMeters,0),ROUNDUP(COLUMN()/3,0)-2))</f>
        <v/>
      </c>
      <c r="AU90" s="127"/>
      <c r="AV90" s="137"/>
      <c r="AW90" s="58" t="str" cm="1">
        <f>IF(ISBLANK($A90),"",INDEX(Array_ElectricalCharges,MATCH($A90,List_ElectricityMeters,0),ROUNDUP(COLUMN()/3,0)-2))</f>
        <v/>
      </c>
      <c r="AX90" s="127"/>
      <c r="AY90" s="137"/>
    </row>
    <row r="91" spans="1:51" x14ac:dyDescent="0.3">
      <c r="A91" s="126"/>
      <c r="B91" s="133"/>
      <c r="C91" s="134"/>
      <c r="D91" s="134"/>
      <c r="E91" s="135"/>
      <c r="F91" s="136"/>
      <c r="G91" s="58" t="str" cm="1">
        <f>IF(ISBLANK($A91),"",INDEX(Array_ElectricalCharges,MATCH($A91,List_ElectricityMeters,0),ROUNDUP(COLUMN()/3,0)-2))</f>
        <v/>
      </c>
      <c r="H91" s="127"/>
      <c r="I91" s="137"/>
      <c r="J91" s="58" t="str" cm="1">
        <f>IF(ISBLANK($A91),"",INDEX(Array_ElectricalCharges,MATCH($A91,List_ElectricityMeters,0),ROUNDUP(COLUMN()/3,0)-2))</f>
        <v/>
      </c>
      <c r="K91" s="127"/>
      <c r="L91" s="137"/>
      <c r="M91" s="58" t="str" cm="1">
        <f>IF(ISBLANK($A91),"",INDEX(Array_ElectricalCharges,MATCH($A91,List_ElectricityMeters,0),ROUNDUP(COLUMN()/3,0)-2))</f>
        <v/>
      </c>
      <c r="N91" s="127"/>
      <c r="O91" s="137"/>
      <c r="P91" s="58" t="str" cm="1">
        <f>IF(ISBLANK($A91),"",INDEX(Array_ElectricalCharges,MATCH($A91,List_ElectricityMeters,0),ROUNDUP(COLUMN()/3,0)-2))</f>
        <v/>
      </c>
      <c r="Q91" s="127"/>
      <c r="R91" s="137"/>
      <c r="S91" s="58" t="str" cm="1">
        <f>IF(ISBLANK($A91),"",INDEX(Array_ElectricalCharges,MATCH($A91,List_ElectricityMeters,0),ROUNDUP(COLUMN()/3,0)-2))</f>
        <v/>
      </c>
      <c r="T91" s="127"/>
      <c r="U91" s="137"/>
      <c r="V91" s="58" t="str" cm="1">
        <f>IF(ISBLANK($A91),"",INDEX(Array_ElectricalCharges,MATCH($A91,List_ElectricityMeters,0),ROUNDUP(COLUMN()/3,0)-2))</f>
        <v/>
      </c>
      <c r="W91" s="127"/>
      <c r="X91" s="137"/>
      <c r="Y91" s="58" t="str" cm="1">
        <f>IF(ISBLANK($A91),"",INDEX(Array_ElectricalCharges,MATCH($A91,List_ElectricityMeters,0),ROUNDUP(COLUMN()/3,0)-2))</f>
        <v/>
      </c>
      <c r="Z91" s="127"/>
      <c r="AA91" s="137"/>
      <c r="AB91" s="58" t="str" cm="1">
        <f>IF(ISBLANK($A91),"",INDEX(Array_ElectricalCharges,MATCH($A91,List_ElectricityMeters,0),ROUNDUP(COLUMN()/3,0)-2))</f>
        <v/>
      </c>
      <c r="AC91" s="127"/>
      <c r="AD91" s="137"/>
      <c r="AE91" s="58" t="str" cm="1">
        <f>IF(ISBLANK($A91),"",INDEX(Array_ElectricalCharges,MATCH($A91,List_ElectricityMeters,0),ROUNDUP(COLUMN()/3,0)-2))</f>
        <v/>
      </c>
      <c r="AF91" s="127"/>
      <c r="AG91" s="137"/>
      <c r="AH91" s="58" t="str" cm="1">
        <f>IF(ISBLANK($A91),"",INDEX(Array_ElectricalCharges,MATCH($A91,List_ElectricityMeters,0),ROUNDUP(COLUMN()/3,0)-2))</f>
        <v/>
      </c>
      <c r="AI91" s="127"/>
      <c r="AJ91" s="137"/>
      <c r="AK91" s="58" t="str" cm="1">
        <f>IF(ISBLANK($A91),"",INDEX(Array_ElectricalCharges,MATCH($A91,List_ElectricityMeters,0),ROUNDUP(COLUMN()/3,0)-2))</f>
        <v/>
      </c>
      <c r="AL91" s="127"/>
      <c r="AM91" s="137"/>
      <c r="AN91" s="58" t="str" cm="1">
        <f>IF(ISBLANK($A91),"",INDEX(Array_ElectricalCharges,MATCH($A91,List_ElectricityMeters,0),ROUNDUP(COLUMN()/3,0)-2))</f>
        <v/>
      </c>
      <c r="AO91" s="127"/>
      <c r="AP91" s="137"/>
      <c r="AQ91" s="58" t="str" cm="1">
        <f>IF(ISBLANK($A91),"",INDEX(Array_ElectricalCharges,MATCH($A91,List_ElectricityMeters,0),ROUNDUP(COLUMN()/3,0)-2))</f>
        <v/>
      </c>
      <c r="AR91" s="127"/>
      <c r="AS91" s="137"/>
      <c r="AT91" s="58" t="str" cm="1">
        <f>IF(ISBLANK($A91),"",INDEX(Array_ElectricalCharges,MATCH($A91,List_ElectricityMeters,0),ROUNDUP(COLUMN()/3,0)-2))</f>
        <v/>
      </c>
      <c r="AU91" s="127"/>
      <c r="AV91" s="137"/>
      <c r="AW91" s="58" t="str" cm="1">
        <f>IF(ISBLANK($A91),"",INDEX(Array_ElectricalCharges,MATCH($A91,List_ElectricityMeters,0),ROUNDUP(COLUMN()/3,0)-2))</f>
        <v/>
      </c>
      <c r="AX91" s="127"/>
      <c r="AY91" s="137"/>
    </row>
    <row r="92" spans="1:51" x14ac:dyDescent="0.3">
      <c r="A92" s="126"/>
      <c r="B92" s="133"/>
      <c r="C92" s="134"/>
      <c r="D92" s="134"/>
      <c r="E92" s="135"/>
      <c r="F92" s="136"/>
      <c r="G92" s="58" t="str" cm="1">
        <f>IF(ISBLANK($A92),"",INDEX(Array_ElectricalCharges,MATCH($A92,List_ElectricityMeters,0),ROUNDUP(COLUMN()/3,0)-2))</f>
        <v/>
      </c>
      <c r="H92" s="127"/>
      <c r="I92" s="137"/>
      <c r="J92" s="58" t="str" cm="1">
        <f>IF(ISBLANK($A92),"",INDEX(Array_ElectricalCharges,MATCH($A92,List_ElectricityMeters,0),ROUNDUP(COLUMN()/3,0)-2))</f>
        <v/>
      </c>
      <c r="K92" s="127"/>
      <c r="L92" s="137"/>
      <c r="M92" s="58" t="str" cm="1">
        <f>IF(ISBLANK($A92),"",INDEX(Array_ElectricalCharges,MATCH($A92,List_ElectricityMeters,0),ROUNDUP(COLUMN()/3,0)-2))</f>
        <v/>
      </c>
      <c r="N92" s="127"/>
      <c r="O92" s="137"/>
      <c r="P92" s="58" t="str" cm="1">
        <f>IF(ISBLANK($A92),"",INDEX(Array_ElectricalCharges,MATCH($A92,List_ElectricityMeters,0),ROUNDUP(COLUMN()/3,0)-2))</f>
        <v/>
      </c>
      <c r="Q92" s="127"/>
      <c r="R92" s="137"/>
      <c r="S92" s="58" t="str" cm="1">
        <f>IF(ISBLANK($A92),"",INDEX(Array_ElectricalCharges,MATCH($A92,List_ElectricityMeters,0),ROUNDUP(COLUMN()/3,0)-2))</f>
        <v/>
      </c>
      <c r="T92" s="127"/>
      <c r="U92" s="137"/>
      <c r="V92" s="58" t="str" cm="1">
        <f>IF(ISBLANK($A92),"",INDEX(Array_ElectricalCharges,MATCH($A92,List_ElectricityMeters,0),ROUNDUP(COLUMN()/3,0)-2))</f>
        <v/>
      </c>
      <c r="W92" s="127"/>
      <c r="X92" s="137"/>
      <c r="Y92" s="58" t="str" cm="1">
        <f>IF(ISBLANK($A92),"",INDEX(Array_ElectricalCharges,MATCH($A92,List_ElectricityMeters,0),ROUNDUP(COLUMN()/3,0)-2))</f>
        <v/>
      </c>
      <c r="Z92" s="127"/>
      <c r="AA92" s="137"/>
      <c r="AB92" s="58" t="str" cm="1">
        <f>IF(ISBLANK($A92),"",INDEX(Array_ElectricalCharges,MATCH($A92,List_ElectricityMeters,0),ROUNDUP(COLUMN()/3,0)-2))</f>
        <v/>
      </c>
      <c r="AC92" s="127"/>
      <c r="AD92" s="137"/>
      <c r="AE92" s="58" t="str" cm="1">
        <f>IF(ISBLANK($A92),"",INDEX(Array_ElectricalCharges,MATCH($A92,List_ElectricityMeters,0),ROUNDUP(COLUMN()/3,0)-2))</f>
        <v/>
      </c>
      <c r="AF92" s="127"/>
      <c r="AG92" s="137"/>
      <c r="AH92" s="58" t="str" cm="1">
        <f>IF(ISBLANK($A92),"",INDEX(Array_ElectricalCharges,MATCH($A92,List_ElectricityMeters,0),ROUNDUP(COLUMN()/3,0)-2))</f>
        <v/>
      </c>
      <c r="AI92" s="127"/>
      <c r="AJ92" s="137"/>
      <c r="AK92" s="58" t="str" cm="1">
        <f>IF(ISBLANK($A92),"",INDEX(Array_ElectricalCharges,MATCH($A92,List_ElectricityMeters,0),ROUNDUP(COLUMN()/3,0)-2))</f>
        <v/>
      </c>
      <c r="AL92" s="127"/>
      <c r="AM92" s="137"/>
      <c r="AN92" s="58" t="str" cm="1">
        <f>IF(ISBLANK($A92),"",INDEX(Array_ElectricalCharges,MATCH($A92,List_ElectricityMeters,0),ROUNDUP(COLUMN()/3,0)-2))</f>
        <v/>
      </c>
      <c r="AO92" s="127"/>
      <c r="AP92" s="137"/>
      <c r="AQ92" s="58" t="str" cm="1">
        <f>IF(ISBLANK($A92),"",INDEX(Array_ElectricalCharges,MATCH($A92,List_ElectricityMeters,0),ROUNDUP(COLUMN()/3,0)-2))</f>
        <v/>
      </c>
      <c r="AR92" s="127"/>
      <c r="AS92" s="137"/>
      <c r="AT92" s="58" t="str" cm="1">
        <f>IF(ISBLANK($A92),"",INDEX(Array_ElectricalCharges,MATCH($A92,List_ElectricityMeters,0),ROUNDUP(COLUMN()/3,0)-2))</f>
        <v/>
      </c>
      <c r="AU92" s="127"/>
      <c r="AV92" s="137"/>
      <c r="AW92" s="58" t="str" cm="1">
        <f>IF(ISBLANK($A92),"",INDEX(Array_ElectricalCharges,MATCH($A92,List_ElectricityMeters,0),ROUNDUP(COLUMN()/3,0)-2))</f>
        <v/>
      </c>
      <c r="AX92" s="127"/>
      <c r="AY92" s="137"/>
    </row>
    <row r="93" spans="1:51" x14ac:dyDescent="0.3">
      <c r="A93" s="126"/>
      <c r="B93" s="133"/>
      <c r="C93" s="134"/>
      <c r="D93" s="134"/>
      <c r="E93" s="135"/>
      <c r="F93" s="136"/>
      <c r="G93" s="58" t="str" cm="1">
        <f>IF(ISBLANK($A93),"",INDEX(Array_ElectricalCharges,MATCH($A93,List_ElectricityMeters,0),ROUNDUP(COLUMN()/3,0)-2))</f>
        <v/>
      </c>
      <c r="H93" s="127"/>
      <c r="I93" s="137"/>
      <c r="J93" s="58" t="str" cm="1">
        <f>IF(ISBLANK($A93),"",INDEX(Array_ElectricalCharges,MATCH($A93,List_ElectricityMeters,0),ROUNDUP(COLUMN()/3,0)-2))</f>
        <v/>
      </c>
      <c r="K93" s="127"/>
      <c r="L93" s="137"/>
      <c r="M93" s="58" t="str" cm="1">
        <f>IF(ISBLANK($A93),"",INDEX(Array_ElectricalCharges,MATCH($A93,List_ElectricityMeters,0),ROUNDUP(COLUMN()/3,0)-2))</f>
        <v/>
      </c>
      <c r="N93" s="127"/>
      <c r="O93" s="137"/>
      <c r="P93" s="58" t="str" cm="1">
        <f>IF(ISBLANK($A93),"",INDEX(Array_ElectricalCharges,MATCH($A93,List_ElectricityMeters,0),ROUNDUP(COLUMN()/3,0)-2))</f>
        <v/>
      </c>
      <c r="Q93" s="127"/>
      <c r="R93" s="137"/>
      <c r="S93" s="58" t="str" cm="1">
        <f>IF(ISBLANK($A93),"",INDEX(Array_ElectricalCharges,MATCH($A93,List_ElectricityMeters,0),ROUNDUP(COLUMN()/3,0)-2))</f>
        <v/>
      </c>
      <c r="T93" s="127"/>
      <c r="U93" s="137"/>
      <c r="V93" s="58" t="str" cm="1">
        <f>IF(ISBLANK($A93),"",INDEX(Array_ElectricalCharges,MATCH($A93,List_ElectricityMeters,0),ROUNDUP(COLUMN()/3,0)-2))</f>
        <v/>
      </c>
      <c r="W93" s="127"/>
      <c r="X93" s="137"/>
      <c r="Y93" s="58" t="str" cm="1">
        <f>IF(ISBLANK($A93),"",INDEX(Array_ElectricalCharges,MATCH($A93,List_ElectricityMeters,0),ROUNDUP(COLUMN()/3,0)-2))</f>
        <v/>
      </c>
      <c r="Z93" s="127"/>
      <c r="AA93" s="137"/>
      <c r="AB93" s="58" t="str" cm="1">
        <f>IF(ISBLANK($A93),"",INDEX(Array_ElectricalCharges,MATCH($A93,List_ElectricityMeters,0),ROUNDUP(COLUMN()/3,0)-2))</f>
        <v/>
      </c>
      <c r="AC93" s="127"/>
      <c r="AD93" s="137"/>
      <c r="AE93" s="58" t="str" cm="1">
        <f>IF(ISBLANK($A93),"",INDEX(Array_ElectricalCharges,MATCH($A93,List_ElectricityMeters,0),ROUNDUP(COLUMN()/3,0)-2))</f>
        <v/>
      </c>
      <c r="AF93" s="127"/>
      <c r="AG93" s="137"/>
      <c r="AH93" s="58" t="str" cm="1">
        <f>IF(ISBLANK($A93),"",INDEX(Array_ElectricalCharges,MATCH($A93,List_ElectricityMeters,0),ROUNDUP(COLUMN()/3,0)-2))</f>
        <v/>
      </c>
      <c r="AI93" s="127"/>
      <c r="AJ93" s="137"/>
      <c r="AK93" s="58" t="str" cm="1">
        <f>IF(ISBLANK($A93),"",INDEX(Array_ElectricalCharges,MATCH($A93,List_ElectricityMeters,0),ROUNDUP(COLUMN()/3,0)-2))</f>
        <v/>
      </c>
      <c r="AL93" s="127"/>
      <c r="AM93" s="137"/>
      <c r="AN93" s="58" t="str" cm="1">
        <f>IF(ISBLANK($A93),"",INDEX(Array_ElectricalCharges,MATCH($A93,List_ElectricityMeters,0),ROUNDUP(COLUMN()/3,0)-2))</f>
        <v/>
      </c>
      <c r="AO93" s="127"/>
      <c r="AP93" s="137"/>
      <c r="AQ93" s="58" t="str" cm="1">
        <f>IF(ISBLANK($A93),"",INDEX(Array_ElectricalCharges,MATCH($A93,List_ElectricityMeters,0),ROUNDUP(COLUMN()/3,0)-2))</f>
        <v/>
      </c>
      <c r="AR93" s="127"/>
      <c r="AS93" s="137"/>
      <c r="AT93" s="58" t="str" cm="1">
        <f>IF(ISBLANK($A93),"",INDEX(Array_ElectricalCharges,MATCH($A93,List_ElectricityMeters,0),ROUNDUP(COLUMN()/3,0)-2))</f>
        <v/>
      </c>
      <c r="AU93" s="127"/>
      <c r="AV93" s="137"/>
      <c r="AW93" s="58" t="str" cm="1">
        <f>IF(ISBLANK($A93),"",INDEX(Array_ElectricalCharges,MATCH($A93,List_ElectricityMeters,0),ROUNDUP(COLUMN()/3,0)-2))</f>
        <v/>
      </c>
      <c r="AX93" s="127"/>
      <c r="AY93" s="137"/>
    </row>
    <row r="94" spans="1:51" x14ac:dyDescent="0.3">
      <c r="A94" s="126"/>
      <c r="B94" s="133"/>
      <c r="C94" s="134"/>
      <c r="D94" s="134"/>
      <c r="E94" s="135"/>
      <c r="F94" s="136"/>
      <c r="G94" s="58" t="str" cm="1">
        <f>IF(ISBLANK($A94),"",INDEX(Array_ElectricalCharges,MATCH($A94,List_ElectricityMeters,0),ROUNDUP(COLUMN()/3,0)-2))</f>
        <v/>
      </c>
      <c r="H94" s="127"/>
      <c r="I94" s="137"/>
      <c r="J94" s="58" t="str" cm="1">
        <f>IF(ISBLANK($A94),"",INDEX(Array_ElectricalCharges,MATCH($A94,List_ElectricityMeters,0),ROUNDUP(COLUMN()/3,0)-2))</f>
        <v/>
      </c>
      <c r="K94" s="127"/>
      <c r="L94" s="137"/>
      <c r="M94" s="58" t="str" cm="1">
        <f>IF(ISBLANK($A94),"",INDEX(Array_ElectricalCharges,MATCH($A94,List_ElectricityMeters,0),ROUNDUP(COLUMN()/3,0)-2))</f>
        <v/>
      </c>
      <c r="N94" s="127"/>
      <c r="O94" s="137"/>
      <c r="P94" s="58" t="str" cm="1">
        <f>IF(ISBLANK($A94),"",INDEX(Array_ElectricalCharges,MATCH($A94,List_ElectricityMeters,0),ROUNDUP(COLUMN()/3,0)-2))</f>
        <v/>
      </c>
      <c r="Q94" s="127"/>
      <c r="R94" s="137"/>
      <c r="S94" s="58" t="str" cm="1">
        <f>IF(ISBLANK($A94),"",INDEX(Array_ElectricalCharges,MATCH($A94,List_ElectricityMeters,0),ROUNDUP(COLUMN()/3,0)-2))</f>
        <v/>
      </c>
      <c r="T94" s="127"/>
      <c r="U94" s="137"/>
      <c r="V94" s="58" t="str" cm="1">
        <f>IF(ISBLANK($A94),"",INDEX(Array_ElectricalCharges,MATCH($A94,List_ElectricityMeters,0),ROUNDUP(COLUMN()/3,0)-2))</f>
        <v/>
      </c>
      <c r="W94" s="127"/>
      <c r="X94" s="137"/>
      <c r="Y94" s="58" t="str" cm="1">
        <f>IF(ISBLANK($A94),"",INDEX(Array_ElectricalCharges,MATCH($A94,List_ElectricityMeters,0),ROUNDUP(COLUMN()/3,0)-2))</f>
        <v/>
      </c>
      <c r="Z94" s="127"/>
      <c r="AA94" s="137"/>
      <c r="AB94" s="58" t="str" cm="1">
        <f>IF(ISBLANK($A94),"",INDEX(Array_ElectricalCharges,MATCH($A94,List_ElectricityMeters,0),ROUNDUP(COLUMN()/3,0)-2))</f>
        <v/>
      </c>
      <c r="AC94" s="127"/>
      <c r="AD94" s="137"/>
      <c r="AE94" s="58" t="str" cm="1">
        <f>IF(ISBLANK($A94),"",INDEX(Array_ElectricalCharges,MATCH($A94,List_ElectricityMeters,0),ROUNDUP(COLUMN()/3,0)-2))</f>
        <v/>
      </c>
      <c r="AF94" s="127"/>
      <c r="AG94" s="137"/>
      <c r="AH94" s="58" t="str" cm="1">
        <f>IF(ISBLANK($A94),"",INDEX(Array_ElectricalCharges,MATCH($A94,List_ElectricityMeters,0),ROUNDUP(COLUMN()/3,0)-2))</f>
        <v/>
      </c>
      <c r="AI94" s="127"/>
      <c r="AJ94" s="137"/>
      <c r="AK94" s="58" t="str" cm="1">
        <f>IF(ISBLANK($A94),"",INDEX(Array_ElectricalCharges,MATCH($A94,List_ElectricityMeters,0),ROUNDUP(COLUMN()/3,0)-2))</f>
        <v/>
      </c>
      <c r="AL94" s="127"/>
      <c r="AM94" s="137"/>
      <c r="AN94" s="58" t="str" cm="1">
        <f>IF(ISBLANK($A94),"",INDEX(Array_ElectricalCharges,MATCH($A94,List_ElectricityMeters,0),ROUNDUP(COLUMN()/3,0)-2))</f>
        <v/>
      </c>
      <c r="AO94" s="127"/>
      <c r="AP94" s="137"/>
      <c r="AQ94" s="58" t="str" cm="1">
        <f>IF(ISBLANK($A94),"",INDEX(Array_ElectricalCharges,MATCH($A94,List_ElectricityMeters,0),ROUNDUP(COLUMN()/3,0)-2))</f>
        <v/>
      </c>
      <c r="AR94" s="127"/>
      <c r="AS94" s="137"/>
      <c r="AT94" s="58" t="str" cm="1">
        <f>IF(ISBLANK($A94),"",INDEX(Array_ElectricalCharges,MATCH($A94,List_ElectricityMeters,0),ROUNDUP(COLUMN()/3,0)-2))</f>
        <v/>
      </c>
      <c r="AU94" s="127"/>
      <c r="AV94" s="137"/>
      <c r="AW94" s="58" t="str" cm="1">
        <f>IF(ISBLANK($A94),"",INDEX(Array_ElectricalCharges,MATCH($A94,List_ElectricityMeters,0),ROUNDUP(COLUMN()/3,0)-2))</f>
        <v/>
      </c>
      <c r="AX94" s="127"/>
      <c r="AY94" s="137"/>
    </row>
    <row r="95" spans="1:51" x14ac:dyDescent="0.3">
      <c r="A95" s="126"/>
      <c r="B95" s="133"/>
      <c r="C95" s="134"/>
      <c r="D95" s="134"/>
      <c r="E95" s="135"/>
      <c r="F95" s="136"/>
      <c r="G95" s="58" t="str" cm="1">
        <f>IF(ISBLANK($A95),"",INDEX(Array_ElectricalCharges,MATCH($A95,List_ElectricityMeters,0),ROUNDUP(COLUMN()/3,0)-2))</f>
        <v/>
      </c>
      <c r="H95" s="127"/>
      <c r="I95" s="137"/>
      <c r="J95" s="58" t="str" cm="1">
        <f>IF(ISBLANK($A95),"",INDEX(Array_ElectricalCharges,MATCH($A95,List_ElectricityMeters,0),ROUNDUP(COLUMN()/3,0)-2))</f>
        <v/>
      </c>
      <c r="K95" s="127"/>
      <c r="L95" s="137"/>
      <c r="M95" s="58" t="str" cm="1">
        <f>IF(ISBLANK($A95),"",INDEX(Array_ElectricalCharges,MATCH($A95,List_ElectricityMeters,0),ROUNDUP(COLUMN()/3,0)-2))</f>
        <v/>
      </c>
      <c r="N95" s="127"/>
      <c r="O95" s="137"/>
      <c r="P95" s="58" t="str" cm="1">
        <f>IF(ISBLANK($A95),"",INDEX(Array_ElectricalCharges,MATCH($A95,List_ElectricityMeters,0),ROUNDUP(COLUMN()/3,0)-2))</f>
        <v/>
      </c>
      <c r="Q95" s="127"/>
      <c r="R95" s="137"/>
      <c r="S95" s="58" t="str" cm="1">
        <f>IF(ISBLANK($A95),"",INDEX(Array_ElectricalCharges,MATCH($A95,List_ElectricityMeters,0),ROUNDUP(COLUMN()/3,0)-2))</f>
        <v/>
      </c>
      <c r="T95" s="127"/>
      <c r="U95" s="137"/>
      <c r="V95" s="58" t="str" cm="1">
        <f>IF(ISBLANK($A95),"",INDEX(Array_ElectricalCharges,MATCH($A95,List_ElectricityMeters,0),ROUNDUP(COLUMN()/3,0)-2))</f>
        <v/>
      </c>
      <c r="W95" s="127"/>
      <c r="X95" s="137"/>
      <c r="Y95" s="58" t="str" cm="1">
        <f>IF(ISBLANK($A95),"",INDEX(Array_ElectricalCharges,MATCH($A95,List_ElectricityMeters,0),ROUNDUP(COLUMN()/3,0)-2))</f>
        <v/>
      </c>
      <c r="Z95" s="127"/>
      <c r="AA95" s="137"/>
      <c r="AB95" s="58" t="str" cm="1">
        <f>IF(ISBLANK($A95),"",INDEX(Array_ElectricalCharges,MATCH($A95,List_ElectricityMeters,0),ROUNDUP(COLUMN()/3,0)-2))</f>
        <v/>
      </c>
      <c r="AC95" s="127"/>
      <c r="AD95" s="137"/>
      <c r="AE95" s="58" t="str" cm="1">
        <f>IF(ISBLANK($A95),"",INDEX(Array_ElectricalCharges,MATCH($A95,List_ElectricityMeters,0),ROUNDUP(COLUMN()/3,0)-2))</f>
        <v/>
      </c>
      <c r="AF95" s="127"/>
      <c r="AG95" s="137"/>
      <c r="AH95" s="58" t="str" cm="1">
        <f>IF(ISBLANK($A95),"",INDEX(Array_ElectricalCharges,MATCH($A95,List_ElectricityMeters,0),ROUNDUP(COLUMN()/3,0)-2))</f>
        <v/>
      </c>
      <c r="AI95" s="127"/>
      <c r="AJ95" s="137"/>
      <c r="AK95" s="58" t="str" cm="1">
        <f>IF(ISBLANK($A95),"",INDEX(Array_ElectricalCharges,MATCH($A95,List_ElectricityMeters,0),ROUNDUP(COLUMN()/3,0)-2))</f>
        <v/>
      </c>
      <c r="AL95" s="127"/>
      <c r="AM95" s="137"/>
      <c r="AN95" s="58" t="str" cm="1">
        <f>IF(ISBLANK($A95),"",INDEX(Array_ElectricalCharges,MATCH($A95,List_ElectricityMeters,0),ROUNDUP(COLUMN()/3,0)-2))</f>
        <v/>
      </c>
      <c r="AO95" s="127"/>
      <c r="AP95" s="137"/>
      <c r="AQ95" s="58" t="str" cm="1">
        <f>IF(ISBLANK($A95),"",INDEX(Array_ElectricalCharges,MATCH($A95,List_ElectricityMeters,0),ROUNDUP(COLUMN()/3,0)-2))</f>
        <v/>
      </c>
      <c r="AR95" s="127"/>
      <c r="AS95" s="137"/>
      <c r="AT95" s="58" t="str" cm="1">
        <f>IF(ISBLANK($A95),"",INDEX(Array_ElectricalCharges,MATCH($A95,List_ElectricityMeters,0),ROUNDUP(COLUMN()/3,0)-2))</f>
        <v/>
      </c>
      <c r="AU95" s="127"/>
      <c r="AV95" s="137"/>
      <c r="AW95" s="58" t="str" cm="1">
        <f>IF(ISBLANK($A95),"",INDEX(Array_ElectricalCharges,MATCH($A95,List_ElectricityMeters,0),ROUNDUP(COLUMN()/3,0)-2))</f>
        <v/>
      </c>
      <c r="AX95" s="127"/>
      <c r="AY95" s="137"/>
    </row>
    <row r="96" spans="1:51" x14ac:dyDescent="0.3">
      <c r="A96" s="126"/>
      <c r="B96" s="133"/>
      <c r="C96" s="134"/>
      <c r="D96" s="134"/>
      <c r="E96" s="135"/>
      <c r="F96" s="136"/>
      <c r="G96" s="58" t="str" cm="1">
        <f>IF(ISBLANK($A96),"",INDEX(Array_ElectricalCharges,MATCH($A96,List_ElectricityMeters,0),ROUNDUP(COLUMN()/3,0)-2))</f>
        <v/>
      </c>
      <c r="H96" s="127"/>
      <c r="I96" s="137"/>
      <c r="J96" s="58" t="str" cm="1">
        <f>IF(ISBLANK($A96),"",INDEX(Array_ElectricalCharges,MATCH($A96,List_ElectricityMeters,0),ROUNDUP(COLUMN()/3,0)-2))</f>
        <v/>
      </c>
      <c r="K96" s="127"/>
      <c r="L96" s="137"/>
      <c r="M96" s="58" t="str" cm="1">
        <f>IF(ISBLANK($A96),"",INDEX(Array_ElectricalCharges,MATCH($A96,List_ElectricityMeters,0),ROUNDUP(COLUMN()/3,0)-2))</f>
        <v/>
      </c>
      <c r="N96" s="127"/>
      <c r="O96" s="137"/>
      <c r="P96" s="58" t="str" cm="1">
        <f>IF(ISBLANK($A96),"",INDEX(Array_ElectricalCharges,MATCH($A96,List_ElectricityMeters,0),ROUNDUP(COLUMN()/3,0)-2))</f>
        <v/>
      </c>
      <c r="Q96" s="127"/>
      <c r="R96" s="137"/>
      <c r="S96" s="58" t="str" cm="1">
        <f>IF(ISBLANK($A96),"",INDEX(Array_ElectricalCharges,MATCH($A96,List_ElectricityMeters,0),ROUNDUP(COLUMN()/3,0)-2))</f>
        <v/>
      </c>
      <c r="T96" s="127"/>
      <c r="U96" s="137"/>
      <c r="V96" s="58" t="str" cm="1">
        <f>IF(ISBLANK($A96),"",INDEX(Array_ElectricalCharges,MATCH($A96,List_ElectricityMeters,0),ROUNDUP(COLUMN()/3,0)-2))</f>
        <v/>
      </c>
      <c r="W96" s="127"/>
      <c r="X96" s="137"/>
      <c r="Y96" s="58" t="str" cm="1">
        <f>IF(ISBLANK($A96),"",INDEX(Array_ElectricalCharges,MATCH($A96,List_ElectricityMeters,0),ROUNDUP(COLUMN()/3,0)-2))</f>
        <v/>
      </c>
      <c r="Z96" s="127"/>
      <c r="AA96" s="137"/>
      <c r="AB96" s="58" t="str" cm="1">
        <f>IF(ISBLANK($A96),"",INDEX(Array_ElectricalCharges,MATCH($A96,List_ElectricityMeters,0),ROUNDUP(COLUMN()/3,0)-2))</f>
        <v/>
      </c>
      <c r="AC96" s="127"/>
      <c r="AD96" s="137"/>
      <c r="AE96" s="58" t="str" cm="1">
        <f>IF(ISBLANK($A96),"",INDEX(Array_ElectricalCharges,MATCH($A96,List_ElectricityMeters,0),ROUNDUP(COLUMN()/3,0)-2))</f>
        <v/>
      </c>
      <c r="AF96" s="127"/>
      <c r="AG96" s="137"/>
      <c r="AH96" s="58" t="str" cm="1">
        <f>IF(ISBLANK($A96),"",INDEX(Array_ElectricalCharges,MATCH($A96,List_ElectricityMeters,0),ROUNDUP(COLUMN()/3,0)-2))</f>
        <v/>
      </c>
      <c r="AI96" s="127"/>
      <c r="AJ96" s="137"/>
      <c r="AK96" s="58" t="str" cm="1">
        <f>IF(ISBLANK($A96),"",INDEX(Array_ElectricalCharges,MATCH($A96,List_ElectricityMeters,0),ROUNDUP(COLUMN()/3,0)-2))</f>
        <v/>
      </c>
      <c r="AL96" s="127"/>
      <c r="AM96" s="137"/>
      <c r="AN96" s="58" t="str" cm="1">
        <f>IF(ISBLANK($A96),"",INDEX(Array_ElectricalCharges,MATCH($A96,List_ElectricityMeters,0),ROUNDUP(COLUMN()/3,0)-2))</f>
        <v/>
      </c>
      <c r="AO96" s="127"/>
      <c r="AP96" s="137"/>
      <c r="AQ96" s="58" t="str" cm="1">
        <f>IF(ISBLANK($A96),"",INDEX(Array_ElectricalCharges,MATCH($A96,List_ElectricityMeters,0),ROUNDUP(COLUMN()/3,0)-2))</f>
        <v/>
      </c>
      <c r="AR96" s="127"/>
      <c r="AS96" s="137"/>
      <c r="AT96" s="58" t="str" cm="1">
        <f>IF(ISBLANK($A96),"",INDEX(Array_ElectricalCharges,MATCH($A96,List_ElectricityMeters,0),ROUNDUP(COLUMN()/3,0)-2))</f>
        <v/>
      </c>
      <c r="AU96" s="127"/>
      <c r="AV96" s="137"/>
      <c r="AW96" s="58" t="str" cm="1">
        <f>IF(ISBLANK($A96),"",INDEX(Array_ElectricalCharges,MATCH($A96,List_ElectricityMeters,0),ROUNDUP(COLUMN()/3,0)-2))</f>
        <v/>
      </c>
      <c r="AX96" s="127"/>
      <c r="AY96" s="137"/>
    </row>
    <row r="97" spans="1:51" x14ac:dyDescent="0.3">
      <c r="A97" s="126"/>
      <c r="B97" s="133"/>
      <c r="C97" s="134"/>
      <c r="D97" s="134"/>
      <c r="E97" s="135"/>
      <c r="F97" s="136"/>
      <c r="G97" s="58" t="str" cm="1">
        <f>IF(ISBLANK($A97),"",INDEX(Array_ElectricalCharges,MATCH($A97,List_ElectricityMeters,0),ROUNDUP(COLUMN()/3,0)-2))</f>
        <v/>
      </c>
      <c r="H97" s="127"/>
      <c r="I97" s="137"/>
      <c r="J97" s="58" t="str" cm="1">
        <f>IF(ISBLANK($A97),"",INDEX(Array_ElectricalCharges,MATCH($A97,List_ElectricityMeters,0),ROUNDUP(COLUMN()/3,0)-2))</f>
        <v/>
      </c>
      <c r="K97" s="127"/>
      <c r="L97" s="137"/>
      <c r="M97" s="58" t="str" cm="1">
        <f>IF(ISBLANK($A97),"",INDEX(Array_ElectricalCharges,MATCH($A97,List_ElectricityMeters,0),ROUNDUP(COLUMN()/3,0)-2))</f>
        <v/>
      </c>
      <c r="N97" s="127"/>
      <c r="O97" s="137"/>
      <c r="P97" s="58" t="str" cm="1">
        <f>IF(ISBLANK($A97),"",INDEX(Array_ElectricalCharges,MATCH($A97,List_ElectricityMeters,0),ROUNDUP(COLUMN()/3,0)-2))</f>
        <v/>
      </c>
      <c r="Q97" s="127"/>
      <c r="R97" s="137"/>
      <c r="S97" s="58" t="str" cm="1">
        <f>IF(ISBLANK($A97),"",INDEX(Array_ElectricalCharges,MATCH($A97,List_ElectricityMeters,0),ROUNDUP(COLUMN()/3,0)-2))</f>
        <v/>
      </c>
      <c r="T97" s="127"/>
      <c r="U97" s="137"/>
      <c r="V97" s="58" t="str" cm="1">
        <f>IF(ISBLANK($A97),"",INDEX(Array_ElectricalCharges,MATCH($A97,List_ElectricityMeters,0),ROUNDUP(COLUMN()/3,0)-2))</f>
        <v/>
      </c>
      <c r="W97" s="127"/>
      <c r="X97" s="137"/>
      <c r="Y97" s="58" t="str" cm="1">
        <f>IF(ISBLANK($A97),"",INDEX(Array_ElectricalCharges,MATCH($A97,List_ElectricityMeters,0),ROUNDUP(COLUMN()/3,0)-2))</f>
        <v/>
      </c>
      <c r="Z97" s="127"/>
      <c r="AA97" s="137"/>
      <c r="AB97" s="58" t="str" cm="1">
        <f>IF(ISBLANK($A97),"",INDEX(Array_ElectricalCharges,MATCH($A97,List_ElectricityMeters,0),ROUNDUP(COLUMN()/3,0)-2))</f>
        <v/>
      </c>
      <c r="AC97" s="127"/>
      <c r="AD97" s="137"/>
      <c r="AE97" s="58" t="str" cm="1">
        <f>IF(ISBLANK($A97),"",INDEX(Array_ElectricalCharges,MATCH($A97,List_ElectricityMeters,0),ROUNDUP(COLUMN()/3,0)-2))</f>
        <v/>
      </c>
      <c r="AF97" s="127"/>
      <c r="AG97" s="137"/>
      <c r="AH97" s="58" t="str" cm="1">
        <f>IF(ISBLANK($A97),"",INDEX(Array_ElectricalCharges,MATCH($A97,List_ElectricityMeters,0),ROUNDUP(COLUMN()/3,0)-2))</f>
        <v/>
      </c>
      <c r="AI97" s="127"/>
      <c r="AJ97" s="137"/>
      <c r="AK97" s="58" t="str" cm="1">
        <f>IF(ISBLANK($A97),"",INDEX(Array_ElectricalCharges,MATCH($A97,List_ElectricityMeters,0),ROUNDUP(COLUMN()/3,0)-2))</f>
        <v/>
      </c>
      <c r="AL97" s="127"/>
      <c r="AM97" s="137"/>
      <c r="AN97" s="58" t="str" cm="1">
        <f>IF(ISBLANK($A97),"",INDEX(Array_ElectricalCharges,MATCH($A97,List_ElectricityMeters,0),ROUNDUP(COLUMN()/3,0)-2))</f>
        <v/>
      </c>
      <c r="AO97" s="127"/>
      <c r="AP97" s="137"/>
      <c r="AQ97" s="58" t="str" cm="1">
        <f>IF(ISBLANK($A97),"",INDEX(Array_ElectricalCharges,MATCH($A97,List_ElectricityMeters,0),ROUNDUP(COLUMN()/3,0)-2))</f>
        <v/>
      </c>
      <c r="AR97" s="127"/>
      <c r="AS97" s="137"/>
      <c r="AT97" s="58" t="str" cm="1">
        <f>IF(ISBLANK($A97),"",INDEX(Array_ElectricalCharges,MATCH($A97,List_ElectricityMeters,0),ROUNDUP(COLUMN()/3,0)-2))</f>
        <v/>
      </c>
      <c r="AU97" s="127"/>
      <c r="AV97" s="137"/>
      <c r="AW97" s="58" t="str" cm="1">
        <f>IF(ISBLANK($A97),"",INDEX(Array_ElectricalCharges,MATCH($A97,List_ElectricityMeters,0),ROUNDUP(COLUMN()/3,0)-2))</f>
        <v/>
      </c>
      <c r="AX97" s="127"/>
      <c r="AY97" s="137"/>
    </row>
    <row r="98" spans="1:51" x14ac:dyDescent="0.3">
      <c r="A98" s="126"/>
      <c r="B98" s="133"/>
      <c r="C98" s="134"/>
      <c r="D98" s="134"/>
      <c r="E98" s="135"/>
      <c r="F98" s="136"/>
      <c r="G98" s="58" t="str" cm="1">
        <f>IF(ISBLANK($A98),"",INDEX(Array_ElectricalCharges,MATCH($A98,List_ElectricityMeters,0),ROUNDUP(COLUMN()/3,0)-2))</f>
        <v/>
      </c>
      <c r="H98" s="127"/>
      <c r="I98" s="137"/>
      <c r="J98" s="58" t="str" cm="1">
        <f>IF(ISBLANK($A98),"",INDEX(Array_ElectricalCharges,MATCH($A98,List_ElectricityMeters,0),ROUNDUP(COLUMN()/3,0)-2))</f>
        <v/>
      </c>
      <c r="K98" s="127"/>
      <c r="L98" s="137"/>
      <c r="M98" s="58" t="str" cm="1">
        <f>IF(ISBLANK($A98),"",INDEX(Array_ElectricalCharges,MATCH($A98,List_ElectricityMeters,0),ROUNDUP(COLUMN()/3,0)-2))</f>
        <v/>
      </c>
      <c r="N98" s="127"/>
      <c r="O98" s="137"/>
      <c r="P98" s="58" t="str" cm="1">
        <f>IF(ISBLANK($A98),"",INDEX(Array_ElectricalCharges,MATCH($A98,List_ElectricityMeters,0),ROUNDUP(COLUMN()/3,0)-2))</f>
        <v/>
      </c>
      <c r="Q98" s="127"/>
      <c r="R98" s="137"/>
      <c r="S98" s="58" t="str" cm="1">
        <f>IF(ISBLANK($A98),"",INDEX(Array_ElectricalCharges,MATCH($A98,List_ElectricityMeters,0),ROUNDUP(COLUMN()/3,0)-2))</f>
        <v/>
      </c>
      <c r="T98" s="127"/>
      <c r="U98" s="137"/>
      <c r="V98" s="58" t="str" cm="1">
        <f>IF(ISBLANK($A98),"",INDEX(Array_ElectricalCharges,MATCH($A98,List_ElectricityMeters,0),ROUNDUP(COLUMN()/3,0)-2))</f>
        <v/>
      </c>
      <c r="W98" s="127"/>
      <c r="X98" s="137"/>
      <c r="Y98" s="58" t="str" cm="1">
        <f>IF(ISBLANK($A98),"",INDEX(Array_ElectricalCharges,MATCH($A98,List_ElectricityMeters,0),ROUNDUP(COLUMN()/3,0)-2))</f>
        <v/>
      </c>
      <c r="Z98" s="127"/>
      <c r="AA98" s="137"/>
      <c r="AB98" s="58" t="str" cm="1">
        <f>IF(ISBLANK($A98),"",INDEX(Array_ElectricalCharges,MATCH($A98,List_ElectricityMeters,0),ROUNDUP(COLUMN()/3,0)-2))</f>
        <v/>
      </c>
      <c r="AC98" s="127"/>
      <c r="AD98" s="137"/>
      <c r="AE98" s="58" t="str" cm="1">
        <f>IF(ISBLANK($A98),"",INDEX(Array_ElectricalCharges,MATCH($A98,List_ElectricityMeters,0),ROUNDUP(COLUMN()/3,0)-2))</f>
        <v/>
      </c>
      <c r="AF98" s="127"/>
      <c r="AG98" s="137"/>
      <c r="AH98" s="58" t="str" cm="1">
        <f>IF(ISBLANK($A98),"",INDEX(Array_ElectricalCharges,MATCH($A98,List_ElectricityMeters,0),ROUNDUP(COLUMN()/3,0)-2))</f>
        <v/>
      </c>
      <c r="AI98" s="127"/>
      <c r="AJ98" s="137"/>
      <c r="AK98" s="58" t="str" cm="1">
        <f>IF(ISBLANK($A98),"",INDEX(Array_ElectricalCharges,MATCH($A98,List_ElectricityMeters,0),ROUNDUP(COLUMN()/3,0)-2))</f>
        <v/>
      </c>
      <c r="AL98" s="127"/>
      <c r="AM98" s="137"/>
      <c r="AN98" s="58" t="str" cm="1">
        <f>IF(ISBLANK($A98),"",INDEX(Array_ElectricalCharges,MATCH($A98,List_ElectricityMeters,0),ROUNDUP(COLUMN()/3,0)-2))</f>
        <v/>
      </c>
      <c r="AO98" s="127"/>
      <c r="AP98" s="137"/>
      <c r="AQ98" s="58" t="str" cm="1">
        <f>IF(ISBLANK($A98),"",INDEX(Array_ElectricalCharges,MATCH($A98,List_ElectricityMeters,0),ROUNDUP(COLUMN()/3,0)-2))</f>
        <v/>
      </c>
      <c r="AR98" s="127"/>
      <c r="AS98" s="137"/>
      <c r="AT98" s="58" t="str" cm="1">
        <f>IF(ISBLANK($A98),"",INDEX(Array_ElectricalCharges,MATCH($A98,List_ElectricityMeters,0),ROUNDUP(COLUMN()/3,0)-2))</f>
        <v/>
      </c>
      <c r="AU98" s="127"/>
      <c r="AV98" s="137"/>
      <c r="AW98" s="58" t="str" cm="1">
        <f>IF(ISBLANK($A98),"",INDEX(Array_ElectricalCharges,MATCH($A98,List_ElectricityMeters,0),ROUNDUP(COLUMN()/3,0)-2))</f>
        <v/>
      </c>
      <c r="AX98" s="127"/>
      <c r="AY98" s="137"/>
    </row>
    <row r="99" spans="1:51" x14ac:dyDescent="0.3">
      <c r="A99" s="126"/>
      <c r="B99" s="133"/>
      <c r="C99" s="134"/>
      <c r="D99" s="134"/>
      <c r="E99" s="135"/>
      <c r="F99" s="136"/>
      <c r="G99" s="58" t="str" cm="1">
        <f>IF(ISBLANK($A99),"",INDEX(Array_ElectricalCharges,MATCH($A99,List_ElectricityMeters,0),ROUNDUP(COLUMN()/3,0)-2))</f>
        <v/>
      </c>
      <c r="H99" s="127"/>
      <c r="I99" s="137"/>
      <c r="J99" s="58" t="str" cm="1">
        <f>IF(ISBLANK($A99),"",INDEX(Array_ElectricalCharges,MATCH($A99,List_ElectricityMeters,0),ROUNDUP(COLUMN()/3,0)-2))</f>
        <v/>
      </c>
      <c r="K99" s="127"/>
      <c r="L99" s="137"/>
      <c r="M99" s="58" t="str" cm="1">
        <f>IF(ISBLANK($A99),"",INDEX(Array_ElectricalCharges,MATCH($A99,List_ElectricityMeters,0),ROUNDUP(COLUMN()/3,0)-2))</f>
        <v/>
      </c>
      <c r="N99" s="127"/>
      <c r="O99" s="137"/>
      <c r="P99" s="58" t="str" cm="1">
        <f>IF(ISBLANK($A99),"",INDEX(Array_ElectricalCharges,MATCH($A99,List_ElectricityMeters,0),ROUNDUP(COLUMN()/3,0)-2))</f>
        <v/>
      </c>
      <c r="Q99" s="127"/>
      <c r="R99" s="137"/>
      <c r="S99" s="58" t="str" cm="1">
        <f>IF(ISBLANK($A99),"",INDEX(Array_ElectricalCharges,MATCH($A99,List_ElectricityMeters,0),ROUNDUP(COLUMN()/3,0)-2))</f>
        <v/>
      </c>
      <c r="T99" s="127"/>
      <c r="U99" s="137"/>
      <c r="V99" s="58" t="str" cm="1">
        <f>IF(ISBLANK($A99),"",INDEX(Array_ElectricalCharges,MATCH($A99,List_ElectricityMeters,0),ROUNDUP(COLUMN()/3,0)-2))</f>
        <v/>
      </c>
      <c r="W99" s="127"/>
      <c r="X99" s="137"/>
      <c r="Y99" s="58" t="str" cm="1">
        <f>IF(ISBLANK($A99),"",INDEX(Array_ElectricalCharges,MATCH($A99,List_ElectricityMeters,0),ROUNDUP(COLUMN()/3,0)-2))</f>
        <v/>
      </c>
      <c r="Z99" s="127"/>
      <c r="AA99" s="137"/>
      <c r="AB99" s="58" t="str" cm="1">
        <f>IF(ISBLANK($A99),"",INDEX(Array_ElectricalCharges,MATCH($A99,List_ElectricityMeters,0),ROUNDUP(COLUMN()/3,0)-2))</f>
        <v/>
      </c>
      <c r="AC99" s="127"/>
      <c r="AD99" s="137"/>
      <c r="AE99" s="58" t="str" cm="1">
        <f>IF(ISBLANK($A99),"",INDEX(Array_ElectricalCharges,MATCH($A99,List_ElectricityMeters,0),ROUNDUP(COLUMN()/3,0)-2))</f>
        <v/>
      </c>
      <c r="AF99" s="127"/>
      <c r="AG99" s="137"/>
      <c r="AH99" s="58" t="str" cm="1">
        <f>IF(ISBLANK($A99),"",INDEX(Array_ElectricalCharges,MATCH($A99,List_ElectricityMeters,0),ROUNDUP(COLUMN()/3,0)-2))</f>
        <v/>
      </c>
      <c r="AI99" s="127"/>
      <c r="AJ99" s="137"/>
      <c r="AK99" s="58" t="str" cm="1">
        <f>IF(ISBLANK($A99),"",INDEX(Array_ElectricalCharges,MATCH($A99,List_ElectricityMeters,0),ROUNDUP(COLUMN()/3,0)-2))</f>
        <v/>
      </c>
      <c r="AL99" s="127"/>
      <c r="AM99" s="137"/>
      <c r="AN99" s="58" t="str" cm="1">
        <f>IF(ISBLANK($A99),"",INDEX(Array_ElectricalCharges,MATCH($A99,List_ElectricityMeters,0),ROUNDUP(COLUMN()/3,0)-2))</f>
        <v/>
      </c>
      <c r="AO99" s="127"/>
      <c r="AP99" s="137"/>
      <c r="AQ99" s="58" t="str" cm="1">
        <f>IF(ISBLANK($A99),"",INDEX(Array_ElectricalCharges,MATCH($A99,List_ElectricityMeters,0),ROUNDUP(COLUMN()/3,0)-2))</f>
        <v/>
      </c>
      <c r="AR99" s="127"/>
      <c r="AS99" s="137"/>
      <c r="AT99" s="58" t="str" cm="1">
        <f>IF(ISBLANK($A99),"",INDEX(Array_ElectricalCharges,MATCH($A99,List_ElectricityMeters,0),ROUNDUP(COLUMN()/3,0)-2))</f>
        <v/>
      </c>
      <c r="AU99" s="127"/>
      <c r="AV99" s="137"/>
      <c r="AW99" s="58" t="str" cm="1">
        <f>IF(ISBLANK($A99),"",INDEX(Array_ElectricalCharges,MATCH($A99,List_ElectricityMeters,0),ROUNDUP(COLUMN()/3,0)-2))</f>
        <v/>
      </c>
      <c r="AX99" s="127"/>
      <c r="AY99" s="137"/>
    </row>
    <row r="100" spans="1:51" x14ac:dyDescent="0.3">
      <c r="A100" s="126"/>
      <c r="B100" s="133"/>
      <c r="C100" s="134"/>
      <c r="D100" s="134"/>
      <c r="E100" s="135"/>
      <c r="F100" s="136"/>
      <c r="G100" s="58" t="str" cm="1">
        <f>IF(ISBLANK($A100),"",INDEX(Array_ElectricalCharges,MATCH($A100,List_ElectricityMeters,0),ROUNDUP(COLUMN()/3,0)-2))</f>
        <v/>
      </c>
      <c r="H100" s="127"/>
      <c r="I100" s="137"/>
      <c r="J100" s="58" t="str" cm="1">
        <f>IF(ISBLANK($A100),"",INDEX(Array_ElectricalCharges,MATCH($A100,List_ElectricityMeters,0),ROUNDUP(COLUMN()/3,0)-2))</f>
        <v/>
      </c>
      <c r="K100" s="127"/>
      <c r="L100" s="137"/>
      <c r="M100" s="58" t="str" cm="1">
        <f>IF(ISBLANK($A100),"",INDEX(Array_ElectricalCharges,MATCH($A100,List_ElectricityMeters,0),ROUNDUP(COLUMN()/3,0)-2))</f>
        <v/>
      </c>
      <c r="N100" s="127"/>
      <c r="O100" s="137"/>
      <c r="P100" s="58" t="str" cm="1">
        <f>IF(ISBLANK($A100),"",INDEX(Array_ElectricalCharges,MATCH($A100,List_ElectricityMeters,0),ROUNDUP(COLUMN()/3,0)-2))</f>
        <v/>
      </c>
      <c r="Q100" s="127"/>
      <c r="R100" s="137"/>
      <c r="S100" s="58" t="str" cm="1">
        <f>IF(ISBLANK($A100),"",INDEX(Array_ElectricalCharges,MATCH($A100,List_ElectricityMeters,0),ROUNDUP(COLUMN()/3,0)-2))</f>
        <v/>
      </c>
      <c r="T100" s="127"/>
      <c r="U100" s="137"/>
      <c r="V100" s="58" t="str" cm="1">
        <f>IF(ISBLANK($A100),"",INDEX(Array_ElectricalCharges,MATCH($A100,List_ElectricityMeters,0),ROUNDUP(COLUMN()/3,0)-2))</f>
        <v/>
      </c>
      <c r="W100" s="127"/>
      <c r="X100" s="137"/>
      <c r="Y100" s="58" t="str" cm="1">
        <f>IF(ISBLANK($A100),"",INDEX(Array_ElectricalCharges,MATCH($A100,List_ElectricityMeters,0),ROUNDUP(COLUMN()/3,0)-2))</f>
        <v/>
      </c>
      <c r="Z100" s="127"/>
      <c r="AA100" s="137"/>
      <c r="AB100" s="58" t="str" cm="1">
        <f>IF(ISBLANK($A100),"",INDEX(Array_ElectricalCharges,MATCH($A100,List_ElectricityMeters,0),ROUNDUP(COLUMN()/3,0)-2))</f>
        <v/>
      </c>
      <c r="AC100" s="127"/>
      <c r="AD100" s="137"/>
      <c r="AE100" s="58" t="str" cm="1">
        <f>IF(ISBLANK($A100),"",INDEX(Array_ElectricalCharges,MATCH($A100,List_ElectricityMeters,0),ROUNDUP(COLUMN()/3,0)-2))</f>
        <v/>
      </c>
      <c r="AF100" s="127"/>
      <c r="AG100" s="137"/>
      <c r="AH100" s="58" t="str" cm="1">
        <f>IF(ISBLANK($A100),"",INDEX(Array_ElectricalCharges,MATCH($A100,List_ElectricityMeters,0),ROUNDUP(COLUMN()/3,0)-2))</f>
        <v/>
      </c>
      <c r="AI100" s="127"/>
      <c r="AJ100" s="137"/>
      <c r="AK100" s="58" t="str" cm="1">
        <f>IF(ISBLANK($A100),"",INDEX(Array_ElectricalCharges,MATCH($A100,List_ElectricityMeters,0),ROUNDUP(COLUMN()/3,0)-2))</f>
        <v/>
      </c>
      <c r="AL100" s="127"/>
      <c r="AM100" s="137"/>
      <c r="AN100" s="58" t="str" cm="1">
        <f>IF(ISBLANK($A100),"",INDEX(Array_ElectricalCharges,MATCH($A100,List_ElectricityMeters,0),ROUNDUP(COLUMN()/3,0)-2))</f>
        <v/>
      </c>
      <c r="AO100" s="127"/>
      <c r="AP100" s="137"/>
      <c r="AQ100" s="58" t="str" cm="1">
        <f>IF(ISBLANK($A100),"",INDEX(Array_ElectricalCharges,MATCH($A100,List_ElectricityMeters,0),ROUNDUP(COLUMN()/3,0)-2))</f>
        <v/>
      </c>
      <c r="AR100" s="127"/>
      <c r="AS100" s="137"/>
      <c r="AT100" s="58" t="str" cm="1">
        <f>IF(ISBLANK($A100),"",INDEX(Array_ElectricalCharges,MATCH($A100,List_ElectricityMeters,0),ROUNDUP(COLUMN()/3,0)-2))</f>
        <v/>
      </c>
      <c r="AU100" s="127"/>
      <c r="AV100" s="137"/>
      <c r="AW100" s="58" t="str" cm="1">
        <f>IF(ISBLANK($A100),"",INDEX(Array_ElectricalCharges,MATCH($A100,List_ElectricityMeters,0),ROUNDUP(COLUMN()/3,0)-2))</f>
        <v/>
      </c>
      <c r="AX100" s="127"/>
      <c r="AY100" s="137"/>
    </row>
    <row r="101" spans="1:51" x14ac:dyDescent="0.3">
      <c r="A101" s="126"/>
      <c r="B101" s="133"/>
      <c r="C101" s="134"/>
      <c r="D101" s="134"/>
      <c r="E101" s="135"/>
      <c r="F101" s="136"/>
      <c r="G101" s="58" t="str" cm="1">
        <f>IF(ISBLANK($A101),"",INDEX(Array_ElectricalCharges,MATCH($A101,List_ElectricityMeters,0),ROUNDUP(COLUMN()/3,0)-2))</f>
        <v/>
      </c>
      <c r="H101" s="127"/>
      <c r="I101" s="137"/>
      <c r="J101" s="58" t="str" cm="1">
        <f>IF(ISBLANK($A101),"",INDEX(Array_ElectricalCharges,MATCH($A101,List_ElectricityMeters,0),ROUNDUP(COLUMN()/3,0)-2))</f>
        <v/>
      </c>
      <c r="K101" s="127"/>
      <c r="L101" s="137"/>
      <c r="M101" s="58" t="str" cm="1">
        <f>IF(ISBLANK($A101),"",INDEX(Array_ElectricalCharges,MATCH($A101,List_ElectricityMeters,0),ROUNDUP(COLUMN()/3,0)-2))</f>
        <v/>
      </c>
      <c r="N101" s="127"/>
      <c r="O101" s="137"/>
      <c r="P101" s="58" t="str" cm="1">
        <f>IF(ISBLANK($A101),"",INDEX(Array_ElectricalCharges,MATCH($A101,List_ElectricityMeters,0),ROUNDUP(COLUMN()/3,0)-2))</f>
        <v/>
      </c>
      <c r="Q101" s="127"/>
      <c r="R101" s="137"/>
      <c r="S101" s="58" t="str" cm="1">
        <f>IF(ISBLANK($A101),"",INDEX(Array_ElectricalCharges,MATCH($A101,List_ElectricityMeters,0),ROUNDUP(COLUMN()/3,0)-2))</f>
        <v/>
      </c>
      <c r="T101" s="127"/>
      <c r="U101" s="137"/>
      <c r="V101" s="58" t="str" cm="1">
        <f>IF(ISBLANK($A101),"",INDEX(Array_ElectricalCharges,MATCH($A101,List_ElectricityMeters,0),ROUNDUP(COLUMN()/3,0)-2))</f>
        <v/>
      </c>
      <c r="W101" s="127"/>
      <c r="X101" s="137"/>
      <c r="Y101" s="58" t="str" cm="1">
        <f>IF(ISBLANK($A101),"",INDEX(Array_ElectricalCharges,MATCH($A101,List_ElectricityMeters,0),ROUNDUP(COLUMN()/3,0)-2))</f>
        <v/>
      </c>
      <c r="Z101" s="127"/>
      <c r="AA101" s="137"/>
      <c r="AB101" s="58" t="str" cm="1">
        <f>IF(ISBLANK($A101),"",INDEX(Array_ElectricalCharges,MATCH($A101,List_ElectricityMeters,0),ROUNDUP(COLUMN()/3,0)-2))</f>
        <v/>
      </c>
      <c r="AC101" s="127"/>
      <c r="AD101" s="137"/>
      <c r="AE101" s="58" t="str" cm="1">
        <f>IF(ISBLANK($A101),"",INDEX(Array_ElectricalCharges,MATCH($A101,List_ElectricityMeters,0),ROUNDUP(COLUMN()/3,0)-2))</f>
        <v/>
      </c>
      <c r="AF101" s="127"/>
      <c r="AG101" s="137"/>
      <c r="AH101" s="58" t="str" cm="1">
        <f>IF(ISBLANK($A101),"",INDEX(Array_ElectricalCharges,MATCH($A101,List_ElectricityMeters,0),ROUNDUP(COLUMN()/3,0)-2))</f>
        <v/>
      </c>
      <c r="AI101" s="127"/>
      <c r="AJ101" s="137"/>
      <c r="AK101" s="58" t="str" cm="1">
        <f>IF(ISBLANK($A101),"",INDEX(Array_ElectricalCharges,MATCH($A101,List_ElectricityMeters,0),ROUNDUP(COLUMN()/3,0)-2))</f>
        <v/>
      </c>
      <c r="AL101" s="127"/>
      <c r="AM101" s="137"/>
      <c r="AN101" s="58" t="str" cm="1">
        <f>IF(ISBLANK($A101),"",INDEX(Array_ElectricalCharges,MATCH($A101,List_ElectricityMeters,0),ROUNDUP(COLUMN()/3,0)-2))</f>
        <v/>
      </c>
      <c r="AO101" s="127"/>
      <c r="AP101" s="137"/>
      <c r="AQ101" s="58" t="str" cm="1">
        <f>IF(ISBLANK($A101),"",INDEX(Array_ElectricalCharges,MATCH($A101,List_ElectricityMeters,0),ROUNDUP(COLUMN()/3,0)-2))</f>
        <v/>
      </c>
      <c r="AR101" s="127"/>
      <c r="AS101" s="137"/>
      <c r="AT101" s="58" t="str" cm="1">
        <f>IF(ISBLANK($A101),"",INDEX(Array_ElectricalCharges,MATCH($A101,List_ElectricityMeters,0),ROUNDUP(COLUMN()/3,0)-2))</f>
        <v/>
      </c>
      <c r="AU101" s="127"/>
      <c r="AV101" s="137"/>
      <c r="AW101" s="58" t="str" cm="1">
        <f>IF(ISBLANK($A101),"",INDEX(Array_ElectricalCharges,MATCH($A101,List_ElectricityMeters,0),ROUNDUP(COLUMN()/3,0)-2))</f>
        <v/>
      </c>
      <c r="AX101" s="127"/>
      <c r="AY101" s="137"/>
    </row>
    <row r="102" spans="1:51" x14ac:dyDescent="0.3">
      <c r="A102" s="126"/>
      <c r="B102" s="133"/>
      <c r="C102" s="134"/>
      <c r="D102" s="134"/>
      <c r="E102" s="135"/>
      <c r="F102" s="136"/>
      <c r="G102" s="58" t="str" cm="1">
        <f>IF(ISBLANK($A102),"",INDEX(Array_ElectricalCharges,MATCH($A102,List_ElectricityMeters,0),ROUNDUP(COLUMN()/3,0)-2))</f>
        <v/>
      </c>
      <c r="H102" s="127"/>
      <c r="I102" s="137"/>
      <c r="J102" s="58" t="str" cm="1">
        <f>IF(ISBLANK($A102),"",INDEX(Array_ElectricalCharges,MATCH($A102,List_ElectricityMeters,0),ROUNDUP(COLUMN()/3,0)-2))</f>
        <v/>
      </c>
      <c r="K102" s="127"/>
      <c r="L102" s="137"/>
      <c r="M102" s="58" t="str" cm="1">
        <f>IF(ISBLANK($A102),"",INDEX(Array_ElectricalCharges,MATCH($A102,List_ElectricityMeters,0),ROUNDUP(COLUMN()/3,0)-2))</f>
        <v/>
      </c>
      <c r="N102" s="127"/>
      <c r="O102" s="137"/>
      <c r="P102" s="58" t="str" cm="1">
        <f>IF(ISBLANK($A102),"",INDEX(Array_ElectricalCharges,MATCH($A102,List_ElectricityMeters,0),ROUNDUP(COLUMN()/3,0)-2))</f>
        <v/>
      </c>
      <c r="Q102" s="127"/>
      <c r="R102" s="137"/>
      <c r="S102" s="58" t="str" cm="1">
        <f>IF(ISBLANK($A102),"",INDEX(Array_ElectricalCharges,MATCH($A102,List_ElectricityMeters,0),ROUNDUP(COLUMN()/3,0)-2))</f>
        <v/>
      </c>
      <c r="T102" s="127"/>
      <c r="U102" s="137"/>
      <c r="V102" s="58" t="str" cm="1">
        <f>IF(ISBLANK($A102),"",INDEX(Array_ElectricalCharges,MATCH($A102,List_ElectricityMeters,0),ROUNDUP(COLUMN()/3,0)-2))</f>
        <v/>
      </c>
      <c r="W102" s="127"/>
      <c r="X102" s="137"/>
      <c r="Y102" s="58" t="str" cm="1">
        <f>IF(ISBLANK($A102),"",INDEX(Array_ElectricalCharges,MATCH($A102,List_ElectricityMeters,0),ROUNDUP(COLUMN()/3,0)-2))</f>
        <v/>
      </c>
      <c r="Z102" s="127"/>
      <c r="AA102" s="137"/>
      <c r="AB102" s="58" t="str" cm="1">
        <f>IF(ISBLANK($A102),"",INDEX(Array_ElectricalCharges,MATCH($A102,List_ElectricityMeters,0),ROUNDUP(COLUMN()/3,0)-2))</f>
        <v/>
      </c>
      <c r="AC102" s="127"/>
      <c r="AD102" s="137"/>
      <c r="AE102" s="58" t="str" cm="1">
        <f>IF(ISBLANK($A102),"",INDEX(Array_ElectricalCharges,MATCH($A102,List_ElectricityMeters,0),ROUNDUP(COLUMN()/3,0)-2))</f>
        <v/>
      </c>
      <c r="AF102" s="127"/>
      <c r="AG102" s="137"/>
      <c r="AH102" s="58" t="str" cm="1">
        <f>IF(ISBLANK($A102),"",INDEX(Array_ElectricalCharges,MATCH($A102,List_ElectricityMeters,0),ROUNDUP(COLUMN()/3,0)-2))</f>
        <v/>
      </c>
      <c r="AI102" s="127"/>
      <c r="AJ102" s="137"/>
      <c r="AK102" s="58" t="str" cm="1">
        <f>IF(ISBLANK($A102),"",INDEX(Array_ElectricalCharges,MATCH($A102,List_ElectricityMeters,0),ROUNDUP(COLUMN()/3,0)-2))</f>
        <v/>
      </c>
      <c r="AL102" s="127"/>
      <c r="AM102" s="137"/>
      <c r="AN102" s="58" t="str" cm="1">
        <f>IF(ISBLANK($A102),"",INDEX(Array_ElectricalCharges,MATCH($A102,List_ElectricityMeters,0),ROUNDUP(COLUMN()/3,0)-2))</f>
        <v/>
      </c>
      <c r="AO102" s="127"/>
      <c r="AP102" s="137"/>
      <c r="AQ102" s="58" t="str" cm="1">
        <f>IF(ISBLANK($A102),"",INDEX(Array_ElectricalCharges,MATCH($A102,List_ElectricityMeters,0),ROUNDUP(COLUMN()/3,0)-2))</f>
        <v/>
      </c>
      <c r="AR102" s="127"/>
      <c r="AS102" s="137"/>
      <c r="AT102" s="58" t="str" cm="1">
        <f>IF(ISBLANK($A102),"",INDEX(Array_ElectricalCharges,MATCH($A102,List_ElectricityMeters,0),ROUNDUP(COLUMN()/3,0)-2))</f>
        <v/>
      </c>
      <c r="AU102" s="127"/>
      <c r="AV102" s="137"/>
      <c r="AW102" s="58" t="str" cm="1">
        <f>IF(ISBLANK($A102),"",INDEX(Array_ElectricalCharges,MATCH($A102,List_ElectricityMeters,0),ROUNDUP(COLUMN()/3,0)-2))</f>
        <v/>
      </c>
      <c r="AX102" s="127"/>
      <c r="AY102" s="137"/>
    </row>
    <row r="103" spans="1:51" x14ac:dyDescent="0.3">
      <c r="A103" s="126"/>
      <c r="B103" s="133"/>
      <c r="C103" s="134"/>
      <c r="D103" s="134"/>
      <c r="E103" s="135"/>
      <c r="F103" s="136"/>
      <c r="G103" s="58" t="str" cm="1">
        <f>IF(ISBLANK($A103),"",INDEX(Array_ElectricalCharges,MATCH($A103,List_ElectricityMeters,0),ROUNDUP(COLUMN()/3,0)-2))</f>
        <v/>
      </c>
      <c r="H103" s="127"/>
      <c r="I103" s="137"/>
      <c r="J103" s="58" t="str" cm="1">
        <f>IF(ISBLANK($A103),"",INDEX(Array_ElectricalCharges,MATCH($A103,List_ElectricityMeters,0),ROUNDUP(COLUMN()/3,0)-2))</f>
        <v/>
      </c>
      <c r="K103" s="127"/>
      <c r="L103" s="137"/>
      <c r="M103" s="58" t="str" cm="1">
        <f>IF(ISBLANK($A103),"",INDEX(Array_ElectricalCharges,MATCH($A103,List_ElectricityMeters,0),ROUNDUP(COLUMN()/3,0)-2))</f>
        <v/>
      </c>
      <c r="N103" s="127"/>
      <c r="O103" s="137"/>
      <c r="P103" s="58" t="str" cm="1">
        <f>IF(ISBLANK($A103),"",INDEX(Array_ElectricalCharges,MATCH($A103,List_ElectricityMeters,0),ROUNDUP(COLUMN()/3,0)-2))</f>
        <v/>
      </c>
      <c r="Q103" s="127"/>
      <c r="R103" s="137"/>
      <c r="S103" s="58" t="str" cm="1">
        <f>IF(ISBLANK($A103),"",INDEX(Array_ElectricalCharges,MATCH($A103,List_ElectricityMeters,0),ROUNDUP(COLUMN()/3,0)-2))</f>
        <v/>
      </c>
      <c r="T103" s="127"/>
      <c r="U103" s="137"/>
      <c r="V103" s="58" t="str" cm="1">
        <f>IF(ISBLANK($A103),"",INDEX(Array_ElectricalCharges,MATCH($A103,List_ElectricityMeters,0),ROUNDUP(COLUMN()/3,0)-2))</f>
        <v/>
      </c>
      <c r="W103" s="127"/>
      <c r="X103" s="137"/>
      <c r="Y103" s="58" t="str" cm="1">
        <f>IF(ISBLANK($A103),"",INDEX(Array_ElectricalCharges,MATCH($A103,List_ElectricityMeters,0),ROUNDUP(COLUMN()/3,0)-2))</f>
        <v/>
      </c>
      <c r="Z103" s="127"/>
      <c r="AA103" s="137"/>
      <c r="AB103" s="58" t="str" cm="1">
        <f>IF(ISBLANK($A103),"",INDEX(Array_ElectricalCharges,MATCH($A103,List_ElectricityMeters,0),ROUNDUP(COLUMN()/3,0)-2))</f>
        <v/>
      </c>
      <c r="AC103" s="127"/>
      <c r="AD103" s="137"/>
      <c r="AE103" s="58" t="str" cm="1">
        <f>IF(ISBLANK($A103),"",INDEX(Array_ElectricalCharges,MATCH($A103,List_ElectricityMeters,0),ROUNDUP(COLUMN()/3,0)-2))</f>
        <v/>
      </c>
      <c r="AF103" s="127"/>
      <c r="AG103" s="137"/>
      <c r="AH103" s="58" t="str" cm="1">
        <f>IF(ISBLANK($A103),"",INDEX(Array_ElectricalCharges,MATCH($A103,List_ElectricityMeters,0),ROUNDUP(COLUMN()/3,0)-2))</f>
        <v/>
      </c>
      <c r="AI103" s="127"/>
      <c r="AJ103" s="137"/>
      <c r="AK103" s="58" t="str" cm="1">
        <f>IF(ISBLANK($A103),"",INDEX(Array_ElectricalCharges,MATCH($A103,List_ElectricityMeters,0),ROUNDUP(COLUMN()/3,0)-2))</f>
        <v/>
      </c>
      <c r="AL103" s="127"/>
      <c r="AM103" s="137"/>
      <c r="AN103" s="58" t="str" cm="1">
        <f>IF(ISBLANK($A103),"",INDEX(Array_ElectricalCharges,MATCH($A103,List_ElectricityMeters,0),ROUNDUP(COLUMN()/3,0)-2))</f>
        <v/>
      </c>
      <c r="AO103" s="127"/>
      <c r="AP103" s="137"/>
      <c r="AQ103" s="58" t="str" cm="1">
        <f>IF(ISBLANK($A103),"",INDEX(Array_ElectricalCharges,MATCH($A103,List_ElectricityMeters,0),ROUNDUP(COLUMN()/3,0)-2))</f>
        <v/>
      </c>
      <c r="AR103" s="127"/>
      <c r="AS103" s="137"/>
      <c r="AT103" s="58" t="str" cm="1">
        <f>IF(ISBLANK($A103),"",INDEX(Array_ElectricalCharges,MATCH($A103,List_ElectricityMeters,0),ROUNDUP(COLUMN()/3,0)-2))</f>
        <v/>
      </c>
      <c r="AU103" s="127"/>
      <c r="AV103" s="137"/>
      <c r="AW103" s="58" t="str" cm="1">
        <f>IF(ISBLANK($A103),"",INDEX(Array_ElectricalCharges,MATCH($A103,List_ElectricityMeters,0),ROUNDUP(COLUMN()/3,0)-2))</f>
        <v/>
      </c>
      <c r="AX103" s="127"/>
      <c r="AY103" s="137"/>
    </row>
    <row r="104" spans="1:51" x14ac:dyDescent="0.3">
      <c r="A104" s="126"/>
      <c r="B104" s="133"/>
      <c r="C104" s="134"/>
      <c r="D104" s="134"/>
      <c r="E104" s="135"/>
      <c r="F104" s="136"/>
      <c r="G104" s="58" t="str" cm="1">
        <f>IF(ISBLANK($A104),"",INDEX(Array_ElectricalCharges,MATCH($A104,List_ElectricityMeters,0),ROUNDUP(COLUMN()/3,0)-2))</f>
        <v/>
      </c>
      <c r="H104" s="127"/>
      <c r="I104" s="137"/>
      <c r="J104" s="58" t="str" cm="1">
        <f>IF(ISBLANK($A104),"",INDEX(Array_ElectricalCharges,MATCH($A104,List_ElectricityMeters,0),ROUNDUP(COLUMN()/3,0)-2))</f>
        <v/>
      </c>
      <c r="K104" s="127"/>
      <c r="L104" s="137"/>
      <c r="M104" s="58" t="str" cm="1">
        <f>IF(ISBLANK($A104),"",INDEX(Array_ElectricalCharges,MATCH($A104,List_ElectricityMeters,0),ROUNDUP(COLUMN()/3,0)-2))</f>
        <v/>
      </c>
      <c r="N104" s="127"/>
      <c r="O104" s="137"/>
      <c r="P104" s="58" t="str" cm="1">
        <f>IF(ISBLANK($A104),"",INDEX(Array_ElectricalCharges,MATCH($A104,List_ElectricityMeters,0),ROUNDUP(COLUMN()/3,0)-2))</f>
        <v/>
      </c>
      <c r="Q104" s="127"/>
      <c r="R104" s="137"/>
      <c r="S104" s="58" t="str" cm="1">
        <f>IF(ISBLANK($A104),"",INDEX(Array_ElectricalCharges,MATCH($A104,List_ElectricityMeters,0),ROUNDUP(COLUMN()/3,0)-2))</f>
        <v/>
      </c>
      <c r="T104" s="127"/>
      <c r="U104" s="137"/>
      <c r="V104" s="58" t="str" cm="1">
        <f>IF(ISBLANK($A104),"",INDEX(Array_ElectricalCharges,MATCH($A104,List_ElectricityMeters,0),ROUNDUP(COLUMN()/3,0)-2))</f>
        <v/>
      </c>
      <c r="W104" s="127"/>
      <c r="X104" s="137"/>
      <c r="Y104" s="58" t="str" cm="1">
        <f>IF(ISBLANK($A104),"",INDEX(Array_ElectricalCharges,MATCH($A104,List_ElectricityMeters,0),ROUNDUP(COLUMN()/3,0)-2))</f>
        <v/>
      </c>
      <c r="Z104" s="127"/>
      <c r="AA104" s="137"/>
      <c r="AB104" s="58" t="str" cm="1">
        <f>IF(ISBLANK($A104),"",INDEX(Array_ElectricalCharges,MATCH($A104,List_ElectricityMeters,0),ROUNDUP(COLUMN()/3,0)-2))</f>
        <v/>
      </c>
      <c r="AC104" s="127"/>
      <c r="AD104" s="137"/>
      <c r="AE104" s="58" t="str" cm="1">
        <f>IF(ISBLANK($A104),"",INDEX(Array_ElectricalCharges,MATCH($A104,List_ElectricityMeters,0),ROUNDUP(COLUMN()/3,0)-2))</f>
        <v/>
      </c>
      <c r="AF104" s="127"/>
      <c r="AG104" s="137"/>
      <c r="AH104" s="58" t="str" cm="1">
        <f>IF(ISBLANK($A104),"",INDEX(Array_ElectricalCharges,MATCH($A104,List_ElectricityMeters,0),ROUNDUP(COLUMN()/3,0)-2))</f>
        <v/>
      </c>
      <c r="AI104" s="127"/>
      <c r="AJ104" s="137"/>
      <c r="AK104" s="58" t="str" cm="1">
        <f>IF(ISBLANK($A104),"",INDEX(Array_ElectricalCharges,MATCH($A104,List_ElectricityMeters,0),ROUNDUP(COLUMN()/3,0)-2))</f>
        <v/>
      </c>
      <c r="AL104" s="127"/>
      <c r="AM104" s="137"/>
      <c r="AN104" s="58" t="str" cm="1">
        <f>IF(ISBLANK($A104),"",INDEX(Array_ElectricalCharges,MATCH($A104,List_ElectricityMeters,0),ROUNDUP(COLUMN()/3,0)-2))</f>
        <v/>
      </c>
      <c r="AO104" s="127"/>
      <c r="AP104" s="137"/>
      <c r="AQ104" s="58" t="str" cm="1">
        <f>IF(ISBLANK($A104),"",INDEX(Array_ElectricalCharges,MATCH($A104,List_ElectricityMeters,0),ROUNDUP(COLUMN()/3,0)-2))</f>
        <v/>
      </c>
      <c r="AR104" s="127"/>
      <c r="AS104" s="137"/>
      <c r="AT104" s="58" t="str" cm="1">
        <f>IF(ISBLANK($A104),"",INDEX(Array_ElectricalCharges,MATCH($A104,List_ElectricityMeters,0),ROUNDUP(COLUMN()/3,0)-2))</f>
        <v/>
      </c>
      <c r="AU104" s="127"/>
      <c r="AV104" s="137"/>
      <c r="AW104" s="58" t="str" cm="1">
        <f>IF(ISBLANK($A104),"",INDEX(Array_ElectricalCharges,MATCH($A104,List_ElectricityMeters,0),ROUNDUP(COLUMN()/3,0)-2))</f>
        <v/>
      </c>
      <c r="AX104" s="127"/>
      <c r="AY104" s="137"/>
    </row>
    <row r="105" spans="1:51" x14ac:dyDescent="0.3">
      <c r="A105" s="126"/>
      <c r="B105" s="133"/>
      <c r="C105" s="134"/>
      <c r="D105" s="134"/>
      <c r="E105" s="135"/>
      <c r="F105" s="136"/>
      <c r="G105" s="58" t="str" cm="1">
        <f>IF(ISBLANK($A105),"",INDEX(Array_ElectricalCharges,MATCH($A105,List_ElectricityMeters,0),ROUNDUP(COLUMN()/3,0)-2))</f>
        <v/>
      </c>
      <c r="H105" s="127"/>
      <c r="I105" s="137"/>
      <c r="J105" s="58" t="str" cm="1">
        <f>IF(ISBLANK($A105),"",INDEX(Array_ElectricalCharges,MATCH($A105,List_ElectricityMeters,0),ROUNDUP(COLUMN()/3,0)-2))</f>
        <v/>
      </c>
      <c r="K105" s="127"/>
      <c r="L105" s="137"/>
      <c r="M105" s="58" t="str" cm="1">
        <f>IF(ISBLANK($A105),"",INDEX(Array_ElectricalCharges,MATCH($A105,List_ElectricityMeters,0),ROUNDUP(COLUMN()/3,0)-2))</f>
        <v/>
      </c>
      <c r="N105" s="127"/>
      <c r="O105" s="137"/>
      <c r="P105" s="58" t="str" cm="1">
        <f>IF(ISBLANK($A105),"",INDEX(Array_ElectricalCharges,MATCH($A105,List_ElectricityMeters,0),ROUNDUP(COLUMN()/3,0)-2))</f>
        <v/>
      </c>
      <c r="Q105" s="127"/>
      <c r="R105" s="137"/>
      <c r="S105" s="58" t="str" cm="1">
        <f>IF(ISBLANK($A105),"",INDEX(Array_ElectricalCharges,MATCH($A105,List_ElectricityMeters,0),ROUNDUP(COLUMN()/3,0)-2))</f>
        <v/>
      </c>
      <c r="T105" s="127"/>
      <c r="U105" s="137"/>
      <c r="V105" s="58" t="str" cm="1">
        <f>IF(ISBLANK($A105),"",INDEX(Array_ElectricalCharges,MATCH($A105,List_ElectricityMeters,0),ROUNDUP(COLUMN()/3,0)-2))</f>
        <v/>
      </c>
      <c r="W105" s="127"/>
      <c r="X105" s="137"/>
      <c r="Y105" s="58" t="str" cm="1">
        <f>IF(ISBLANK($A105),"",INDEX(Array_ElectricalCharges,MATCH($A105,List_ElectricityMeters,0),ROUNDUP(COLUMN()/3,0)-2))</f>
        <v/>
      </c>
      <c r="Z105" s="127"/>
      <c r="AA105" s="137"/>
      <c r="AB105" s="58" t="str" cm="1">
        <f>IF(ISBLANK($A105),"",INDEX(Array_ElectricalCharges,MATCH($A105,List_ElectricityMeters,0),ROUNDUP(COLUMN()/3,0)-2))</f>
        <v/>
      </c>
      <c r="AC105" s="127"/>
      <c r="AD105" s="137"/>
      <c r="AE105" s="58" t="str" cm="1">
        <f>IF(ISBLANK($A105),"",INDEX(Array_ElectricalCharges,MATCH($A105,List_ElectricityMeters,0),ROUNDUP(COLUMN()/3,0)-2))</f>
        <v/>
      </c>
      <c r="AF105" s="127"/>
      <c r="AG105" s="137"/>
      <c r="AH105" s="58" t="str" cm="1">
        <f>IF(ISBLANK($A105),"",INDEX(Array_ElectricalCharges,MATCH($A105,List_ElectricityMeters,0),ROUNDUP(COLUMN()/3,0)-2))</f>
        <v/>
      </c>
      <c r="AI105" s="127"/>
      <c r="AJ105" s="137"/>
      <c r="AK105" s="58" t="str" cm="1">
        <f>IF(ISBLANK($A105),"",INDEX(Array_ElectricalCharges,MATCH($A105,List_ElectricityMeters,0),ROUNDUP(COLUMN()/3,0)-2))</f>
        <v/>
      </c>
      <c r="AL105" s="127"/>
      <c r="AM105" s="137"/>
      <c r="AN105" s="58" t="str" cm="1">
        <f>IF(ISBLANK($A105),"",INDEX(Array_ElectricalCharges,MATCH($A105,List_ElectricityMeters,0),ROUNDUP(COLUMN()/3,0)-2))</f>
        <v/>
      </c>
      <c r="AO105" s="127"/>
      <c r="AP105" s="137"/>
      <c r="AQ105" s="58" t="str" cm="1">
        <f>IF(ISBLANK($A105),"",INDEX(Array_ElectricalCharges,MATCH($A105,List_ElectricityMeters,0),ROUNDUP(COLUMN()/3,0)-2))</f>
        <v/>
      </c>
      <c r="AR105" s="127"/>
      <c r="AS105" s="137"/>
      <c r="AT105" s="58" t="str" cm="1">
        <f>IF(ISBLANK($A105),"",INDEX(Array_ElectricalCharges,MATCH($A105,List_ElectricityMeters,0),ROUNDUP(COLUMN()/3,0)-2))</f>
        <v/>
      </c>
      <c r="AU105" s="127"/>
      <c r="AV105" s="137"/>
      <c r="AW105" s="58" t="str" cm="1">
        <f>IF(ISBLANK($A105),"",INDEX(Array_ElectricalCharges,MATCH($A105,List_ElectricityMeters,0),ROUNDUP(COLUMN()/3,0)-2))</f>
        <v/>
      </c>
      <c r="AX105" s="127"/>
      <c r="AY105" s="137"/>
    </row>
    <row r="106" spans="1:51" x14ac:dyDescent="0.3">
      <c r="A106" s="126"/>
      <c r="B106" s="133"/>
      <c r="C106" s="134"/>
      <c r="D106" s="134"/>
      <c r="E106" s="135"/>
      <c r="F106" s="136"/>
      <c r="G106" s="58" t="str" cm="1">
        <f>IF(ISBLANK($A106),"",INDEX(Array_ElectricalCharges,MATCH($A106,List_ElectricityMeters,0),ROUNDUP(COLUMN()/3,0)-2))</f>
        <v/>
      </c>
      <c r="H106" s="127"/>
      <c r="I106" s="137"/>
      <c r="J106" s="58" t="str" cm="1">
        <f>IF(ISBLANK($A106),"",INDEX(Array_ElectricalCharges,MATCH($A106,List_ElectricityMeters,0),ROUNDUP(COLUMN()/3,0)-2))</f>
        <v/>
      </c>
      <c r="K106" s="127"/>
      <c r="L106" s="137"/>
      <c r="M106" s="58" t="str" cm="1">
        <f>IF(ISBLANK($A106),"",INDEX(Array_ElectricalCharges,MATCH($A106,List_ElectricityMeters,0),ROUNDUP(COLUMN()/3,0)-2))</f>
        <v/>
      </c>
      <c r="N106" s="127"/>
      <c r="O106" s="137"/>
      <c r="P106" s="58" t="str" cm="1">
        <f>IF(ISBLANK($A106),"",INDEX(Array_ElectricalCharges,MATCH($A106,List_ElectricityMeters,0),ROUNDUP(COLUMN()/3,0)-2))</f>
        <v/>
      </c>
      <c r="Q106" s="127"/>
      <c r="R106" s="137"/>
      <c r="S106" s="58" t="str" cm="1">
        <f>IF(ISBLANK($A106),"",INDEX(Array_ElectricalCharges,MATCH($A106,List_ElectricityMeters,0),ROUNDUP(COLUMN()/3,0)-2))</f>
        <v/>
      </c>
      <c r="T106" s="127"/>
      <c r="U106" s="137"/>
      <c r="V106" s="58" t="str" cm="1">
        <f>IF(ISBLANK($A106),"",INDEX(Array_ElectricalCharges,MATCH($A106,List_ElectricityMeters,0),ROUNDUP(COLUMN()/3,0)-2))</f>
        <v/>
      </c>
      <c r="W106" s="127"/>
      <c r="X106" s="137"/>
      <c r="Y106" s="58" t="str" cm="1">
        <f>IF(ISBLANK($A106),"",INDEX(Array_ElectricalCharges,MATCH($A106,List_ElectricityMeters,0),ROUNDUP(COLUMN()/3,0)-2))</f>
        <v/>
      </c>
      <c r="Z106" s="127"/>
      <c r="AA106" s="137"/>
      <c r="AB106" s="58" t="str" cm="1">
        <f>IF(ISBLANK($A106),"",INDEX(Array_ElectricalCharges,MATCH($A106,List_ElectricityMeters,0),ROUNDUP(COLUMN()/3,0)-2))</f>
        <v/>
      </c>
      <c r="AC106" s="127"/>
      <c r="AD106" s="137"/>
      <c r="AE106" s="58" t="str" cm="1">
        <f>IF(ISBLANK($A106),"",INDEX(Array_ElectricalCharges,MATCH($A106,List_ElectricityMeters,0),ROUNDUP(COLUMN()/3,0)-2))</f>
        <v/>
      </c>
      <c r="AF106" s="127"/>
      <c r="AG106" s="137"/>
      <c r="AH106" s="58" t="str" cm="1">
        <f>IF(ISBLANK($A106),"",INDEX(Array_ElectricalCharges,MATCH($A106,List_ElectricityMeters,0),ROUNDUP(COLUMN()/3,0)-2))</f>
        <v/>
      </c>
      <c r="AI106" s="127"/>
      <c r="AJ106" s="137"/>
      <c r="AK106" s="58" t="str" cm="1">
        <f>IF(ISBLANK($A106),"",INDEX(Array_ElectricalCharges,MATCH($A106,List_ElectricityMeters,0),ROUNDUP(COLUMN()/3,0)-2))</f>
        <v/>
      </c>
      <c r="AL106" s="127"/>
      <c r="AM106" s="137"/>
      <c r="AN106" s="58" t="str" cm="1">
        <f>IF(ISBLANK($A106),"",INDEX(Array_ElectricalCharges,MATCH($A106,List_ElectricityMeters,0),ROUNDUP(COLUMN()/3,0)-2))</f>
        <v/>
      </c>
      <c r="AO106" s="127"/>
      <c r="AP106" s="137"/>
      <c r="AQ106" s="58" t="str" cm="1">
        <f>IF(ISBLANK($A106),"",INDEX(Array_ElectricalCharges,MATCH($A106,List_ElectricityMeters,0),ROUNDUP(COLUMN()/3,0)-2))</f>
        <v/>
      </c>
      <c r="AR106" s="127"/>
      <c r="AS106" s="137"/>
      <c r="AT106" s="58" t="str" cm="1">
        <f>IF(ISBLANK($A106),"",INDEX(Array_ElectricalCharges,MATCH($A106,List_ElectricityMeters,0),ROUNDUP(COLUMN()/3,0)-2))</f>
        <v/>
      </c>
      <c r="AU106" s="127"/>
      <c r="AV106" s="137"/>
      <c r="AW106" s="58" t="str" cm="1">
        <f>IF(ISBLANK($A106),"",INDEX(Array_ElectricalCharges,MATCH($A106,List_ElectricityMeters,0),ROUNDUP(COLUMN()/3,0)-2))</f>
        <v/>
      </c>
      <c r="AX106" s="127"/>
      <c r="AY106" s="137"/>
    </row>
    <row r="107" spans="1:51" x14ac:dyDescent="0.3">
      <c r="A107" s="126"/>
      <c r="B107" s="133"/>
      <c r="C107" s="134"/>
      <c r="D107" s="134"/>
      <c r="E107" s="135"/>
      <c r="F107" s="136"/>
      <c r="G107" s="58" t="str" cm="1">
        <f>IF(ISBLANK($A107),"",INDEX(Array_ElectricalCharges,MATCH($A107,List_ElectricityMeters,0),ROUNDUP(COLUMN()/3,0)-2))</f>
        <v/>
      </c>
      <c r="H107" s="127"/>
      <c r="I107" s="137"/>
      <c r="J107" s="58" t="str" cm="1">
        <f>IF(ISBLANK($A107),"",INDEX(Array_ElectricalCharges,MATCH($A107,List_ElectricityMeters,0),ROUNDUP(COLUMN()/3,0)-2))</f>
        <v/>
      </c>
      <c r="K107" s="127"/>
      <c r="L107" s="137"/>
      <c r="M107" s="58" t="str" cm="1">
        <f>IF(ISBLANK($A107),"",INDEX(Array_ElectricalCharges,MATCH($A107,List_ElectricityMeters,0),ROUNDUP(COLUMN()/3,0)-2))</f>
        <v/>
      </c>
      <c r="N107" s="127"/>
      <c r="O107" s="137"/>
      <c r="P107" s="58" t="str" cm="1">
        <f>IF(ISBLANK($A107),"",INDEX(Array_ElectricalCharges,MATCH($A107,List_ElectricityMeters,0),ROUNDUP(COLUMN()/3,0)-2))</f>
        <v/>
      </c>
      <c r="Q107" s="127"/>
      <c r="R107" s="137"/>
      <c r="S107" s="58" t="str" cm="1">
        <f>IF(ISBLANK($A107),"",INDEX(Array_ElectricalCharges,MATCH($A107,List_ElectricityMeters,0),ROUNDUP(COLUMN()/3,0)-2))</f>
        <v/>
      </c>
      <c r="T107" s="127"/>
      <c r="U107" s="137"/>
      <c r="V107" s="58" t="str" cm="1">
        <f>IF(ISBLANK($A107),"",INDEX(Array_ElectricalCharges,MATCH($A107,List_ElectricityMeters,0),ROUNDUP(COLUMN()/3,0)-2))</f>
        <v/>
      </c>
      <c r="W107" s="127"/>
      <c r="X107" s="137"/>
      <c r="Y107" s="58" t="str" cm="1">
        <f>IF(ISBLANK($A107),"",INDEX(Array_ElectricalCharges,MATCH($A107,List_ElectricityMeters,0),ROUNDUP(COLUMN()/3,0)-2))</f>
        <v/>
      </c>
      <c r="Z107" s="127"/>
      <c r="AA107" s="137"/>
      <c r="AB107" s="58" t="str" cm="1">
        <f>IF(ISBLANK($A107),"",INDEX(Array_ElectricalCharges,MATCH($A107,List_ElectricityMeters,0),ROUNDUP(COLUMN()/3,0)-2))</f>
        <v/>
      </c>
      <c r="AC107" s="127"/>
      <c r="AD107" s="137"/>
      <c r="AE107" s="58" t="str" cm="1">
        <f>IF(ISBLANK($A107),"",INDEX(Array_ElectricalCharges,MATCH($A107,List_ElectricityMeters,0),ROUNDUP(COLUMN()/3,0)-2))</f>
        <v/>
      </c>
      <c r="AF107" s="127"/>
      <c r="AG107" s="137"/>
      <c r="AH107" s="58" t="str" cm="1">
        <f>IF(ISBLANK($A107),"",INDEX(Array_ElectricalCharges,MATCH($A107,List_ElectricityMeters,0),ROUNDUP(COLUMN()/3,0)-2))</f>
        <v/>
      </c>
      <c r="AI107" s="127"/>
      <c r="AJ107" s="137"/>
      <c r="AK107" s="58" t="str" cm="1">
        <f>IF(ISBLANK($A107),"",INDEX(Array_ElectricalCharges,MATCH($A107,List_ElectricityMeters,0),ROUNDUP(COLUMN()/3,0)-2))</f>
        <v/>
      </c>
      <c r="AL107" s="127"/>
      <c r="AM107" s="137"/>
      <c r="AN107" s="58" t="str" cm="1">
        <f>IF(ISBLANK($A107),"",INDEX(Array_ElectricalCharges,MATCH($A107,List_ElectricityMeters,0),ROUNDUP(COLUMN()/3,0)-2))</f>
        <v/>
      </c>
      <c r="AO107" s="127"/>
      <c r="AP107" s="137"/>
      <c r="AQ107" s="58" t="str" cm="1">
        <f>IF(ISBLANK($A107),"",INDEX(Array_ElectricalCharges,MATCH($A107,List_ElectricityMeters,0),ROUNDUP(COLUMN()/3,0)-2))</f>
        <v/>
      </c>
      <c r="AR107" s="127"/>
      <c r="AS107" s="137"/>
      <c r="AT107" s="58" t="str" cm="1">
        <f>IF(ISBLANK($A107),"",INDEX(Array_ElectricalCharges,MATCH($A107,List_ElectricityMeters,0),ROUNDUP(COLUMN()/3,0)-2))</f>
        <v/>
      </c>
      <c r="AU107" s="127"/>
      <c r="AV107" s="137"/>
      <c r="AW107" s="58" t="str" cm="1">
        <f>IF(ISBLANK($A107),"",INDEX(Array_ElectricalCharges,MATCH($A107,List_ElectricityMeters,0),ROUNDUP(COLUMN()/3,0)-2))</f>
        <v/>
      </c>
      <c r="AX107" s="127"/>
      <c r="AY107" s="137"/>
    </row>
    <row r="108" spans="1:51" x14ac:dyDescent="0.3">
      <c r="A108" s="126"/>
      <c r="B108" s="133"/>
      <c r="C108" s="134"/>
      <c r="D108" s="134"/>
      <c r="E108" s="135"/>
      <c r="F108" s="136"/>
      <c r="G108" s="58" t="str" cm="1">
        <f>IF(ISBLANK($A108),"",INDEX(Array_ElectricalCharges,MATCH($A108,List_ElectricityMeters,0),ROUNDUP(COLUMN()/3,0)-2))</f>
        <v/>
      </c>
      <c r="H108" s="127"/>
      <c r="I108" s="137"/>
      <c r="J108" s="58" t="str" cm="1">
        <f>IF(ISBLANK($A108),"",INDEX(Array_ElectricalCharges,MATCH($A108,List_ElectricityMeters,0),ROUNDUP(COLUMN()/3,0)-2))</f>
        <v/>
      </c>
      <c r="K108" s="127"/>
      <c r="L108" s="137"/>
      <c r="M108" s="58" t="str" cm="1">
        <f>IF(ISBLANK($A108),"",INDEX(Array_ElectricalCharges,MATCH($A108,List_ElectricityMeters,0),ROUNDUP(COLUMN()/3,0)-2))</f>
        <v/>
      </c>
      <c r="N108" s="127"/>
      <c r="O108" s="137"/>
      <c r="P108" s="58" t="str" cm="1">
        <f>IF(ISBLANK($A108),"",INDEX(Array_ElectricalCharges,MATCH($A108,List_ElectricityMeters,0),ROUNDUP(COLUMN()/3,0)-2))</f>
        <v/>
      </c>
      <c r="Q108" s="127"/>
      <c r="R108" s="137"/>
      <c r="S108" s="58" t="str" cm="1">
        <f>IF(ISBLANK($A108),"",INDEX(Array_ElectricalCharges,MATCH($A108,List_ElectricityMeters,0),ROUNDUP(COLUMN()/3,0)-2))</f>
        <v/>
      </c>
      <c r="T108" s="127"/>
      <c r="U108" s="137"/>
      <c r="V108" s="58" t="str" cm="1">
        <f>IF(ISBLANK($A108),"",INDEX(Array_ElectricalCharges,MATCH($A108,List_ElectricityMeters,0),ROUNDUP(COLUMN()/3,0)-2))</f>
        <v/>
      </c>
      <c r="W108" s="127"/>
      <c r="X108" s="137"/>
      <c r="Y108" s="58" t="str" cm="1">
        <f>IF(ISBLANK($A108),"",INDEX(Array_ElectricalCharges,MATCH($A108,List_ElectricityMeters,0),ROUNDUP(COLUMN()/3,0)-2))</f>
        <v/>
      </c>
      <c r="Z108" s="127"/>
      <c r="AA108" s="137"/>
      <c r="AB108" s="58" t="str" cm="1">
        <f>IF(ISBLANK($A108),"",INDEX(Array_ElectricalCharges,MATCH($A108,List_ElectricityMeters,0),ROUNDUP(COLUMN()/3,0)-2))</f>
        <v/>
      </c>
      <c r="AC108" s="127"/>
      <c r="AD108" s="137"/>
      <c r="AE108" s="58" t="str" cm="1">
        <f>IF(ISBLANK($A108),"",INDEX(Array_ElectricalCharges,MATCH($A108,List_ElectricityMeters,0),ROUNDUP(COLUMN()/3,0)-2))</f>
        <v/>
      </c>
      <c r="AF108" s="127"/>
      <c r="AG108" s="137"/>
      <c r="AH108" s="58" t="str" cm="1">
        <f>IF(ISBLANK($A108),"",INDEX(Array_ElectricalCharges,MATCH($A108,List_ElectricityMeters,0),ROUNDUP(COLUMN()/3,0)-2))</f>
        <v/>
      </c>
      <c r="AI108" s="127"/>
      <c r="AJ108" s="137"/>
      <c r="AK108" s="58" t="str" cm="1">
        <f>IF(ISBLANK($A108),"",INDEX(Array_ElectricalCharges,MATCH($A108,List_ElectricityMeters,0),ROUNDUP(COLUMN()/3,0)-2))</f>
        <v/>
      </c>
      <c r="AL108" s="127"/>
      <c r="AM108" s="137"/>
      <c r="AN108" s="58" t="str" cm="1">
        <f>IF(ISBLANK($A108),"",INDEX(Array_ElectricalCharges,MATCH($A108,List_ElectricityMeters,0),ROUNDUP(COLUMN()/3,0)-2))</f>
        <v/>
      </c>
      <c r="AO108" s="127"/>
      <c r="AP108" s="137"/>
      <c r="AQ108" s="58" t="str" cm="1">
        <f>IF(ISBLANK($A108),"",INDEX(Array_ElectricalCharges,MATCH($A108,List_ElectricityMeters,0),ROUNDUP(COLUMN()/3,0)-2))</f>
        <v/>
      </c>
      <c r="AR108" s="127"/>
      <c r="AS108" s="137"/>
      <c r="AT108" s="58" t="str" cm="1">
        <f>IF(ISBLANK($A108),"",INDEX(Array_ElectricalCharges,MATCH($A108,List_ElectricityMeters,0),ROUNDUP(COLUMN()/3,0)-2))</f>
        <v/>
      </c>
      <c r="AU108" s="127"/>
      <c r="AV108" s="137"/>
      <c r="AW108" s="58" t="str" cm="1">
        <f>IF(ISBLANK($A108),"",INDEX(Array_ElectricalCharges,MATCH($A108,List_ElectricityMeters,0),ROUNDUP(COLUMN()/3,0)-2))</f>
        <v/>
      </c>
      <c r="AX108" s="127"/>
      <c r="AY108" s="137"/>
    </row>
    <row r="109" spans="1:51" x14ac:dyDescent="0.3">
      <c r="A109" s="126"/>
      <c r="B109" s="133"/>
      <c r="C109" s="134"/>
      <c r="D109" s="134"/>
      <c r="E109" s="135"/>
      <c r="F109" s="136"/>
      <c r="G109" s="58" t="str" cm="1">
        <f>IF(ISBLANK($A109),"",INDEX(Array_ElectricalCharges,MATCH($A109,List_ElectricityMeters,0),ROUNDUP(COLUMN()/3,0)-2))</f>
        <v/>
      </c>
      <c r="H109" s="127"/>
      <c r="I109" s="137"/>
      <c r="J109" s="58" t="str" cm="1">
        <f>IF(ISBLANK($A109),"",INDEX(Array_ElectricalCharges,MATCH($A109,List_ElectricityMeters,0),ROUNDUP(COLUMN()/3,0)-2))</f>
        <v/>
      </c>
      <c r="K109" s="127"/>
      <c r="L109" s="137"/>
      <c r="M109" s="58" t="str" cm="1">
        <f>IF(ISBLANK($A109),"",INDEX(Array_ElectricalCharges,MATCH($A109,List_ElectricityMeters,0),ROUNDUP(COLUMN()/3,0)-2))</f>
        <v/>
      </c>
      <c r="N109" s="127"/>
      <c r="O109" s="137"/>
      <c r="P109" s="58" t="str" cm="1">
        <f>IF(ISBLANK($A109),"",INDEX(Array_ElectricalCharges,MATCH($A109,List_ElectricityMeters,0),ROUNDUP(COLUMN()/3,0)-2))</f>
        <v/>
      </c>
      <c r="Q109" s="127"/>
      <c r="R109" s="137"/>
      <c r="S109" s="58" t="str" cm="1">
        <f>IF(ISBLANK($A109),"",INDEX(Array_ElectricalCharges,MATCH($A109,List_ElectricityMeters,0),ROUNDUP(COLUMN()/3,0)-2))</f>
        <v/>
      </c>
      <c r="T109" s="127"/>
      <c r="U109" s="137"/>
      <c r="V109" s="58" t="str" cm="1">
        <f>IF(ISBLANK($A109),"",INDEX(Array_ElectricalCharges,MATCH($A109,List_ElectricityMeters,0),ROUNDUP(COLUMN()/3,0)-2))</f>
        <v/>
      </c>
      <c r="W109" s="127"/>
      <c r="X109" s="137"/>
      <c r="Y109" s="58" t="str" cm="1">
        <f>IF(ISBLANK($A109),"",INDEX(Array_ElectricalCharges,MATCH($A109,List_ElectricityMeters,0),ROUNDUP(COLUMN()/3,0)-2))</f>
        <v/>
      </c>
      <c r="Z109" s="127"/>
      <c r="AA109" s="137"/>
      <c r="AB109" s="58" t="str" cm="1">
        <f>IF(ISBLANK($A109),"",INDEX(Array_ElectricalCharges,MATCH($A109,List_ElectricityMeters,0),ROUNDUP(COLUMN()/3,0)-2))</f>
        <v/>
      </c>
      <c r="AC109" s="127"/>
      <c r="AD109" s="137"/>
      <c r="AE109" s="58" t="str" cm="1">
        <f>IF(ISBLANK($A109),"",INDEX(Array_ElectricalCharges,MATCH($A109,List_ElectricityMeters,0),ROUNDUP(COLUMN()/3,0)-2))</f>
        <v/>
      </c>
      <c r="AF109" s="127"/>
      <c r="AG109" s="137"/>
      <c r="AH109" s="58" t="str" cm="1">
        <f>IF(ISBLANK($A109),"",INDEX(Array_ElectricalCharges,MATCH($A109,List_ElectricityMeters,0),ROUNDUP(COLUMN()/3,0)-2))</f>
        <v/>
      </c>
      <c r="AI109" s="127"/>
      <c r="AJ109" s="137"/>
      <c r="AK109" s="58" t="str" cm="1">
        <f>IF(ISBLANK($A109),"",INDEX(Array_ElectricalCharges,MATCH($A109,List_ElectricityMeters,0),ROUNDUP(COLUMN()/3,0)-2))</f>
        <v/>
      </c>
      <c r="AL109" s="127"/>
      <c r="AM109" s="137"/>
      <c r="AN109" s="58" t="str" cm="1">
        <f>IF(ISBLANK($A109),"",INDEX(Array_ElectricalCharges,MATCH($A109,List_ElectricityMeters,0),ROUNDUP(COLUMN()/3,0)-2))</f>
        <v/>
      </c>
      <c r="AO109" s="127"/>
      <c r="AP109" s="137"/>
      <c r="AQ109" s="58" t="str" cm="1">
        <f>IF(ISBLANK($A109),"",INDEX(Array_ElectricalCharges,MATCH($A109,List_ElectricityMeters,0),ROUNDUP(COLUMN()/3,0)-2))</f>
        <v/>
      </c>
      <c r="AR109" s="127"/>
      <c r="AS109" s="137"/>
      <c r="AT109" s="58" t="str" cm="1">
        <f>IF(ISBLANK($A109),"",INDEX(Array_ElectricalCharges,MATCH($A109,List_ElectricityMeters,0),ROUNDUP(COLUMN()/3,0)-2))</f>
        <v/>
      </c>
      <c r="AU109" s="127"/>
      <c r="AV109" s="137"/>
      <c r="AW109" s="58" t="str" cm="1">
        <f>IF(ISBLANK($A109),"",INDEX(Array_ElectricalCharges,MATCH($A109,List_ElectricityMeters,0),ROUNDUP(COLUMN()/3,0)-2))</f>
        <v/>
      </c>
      <c r="AX109" s="127"/>
      <c r="AY109" s="137"/>
    </row>
    <row r="110" spans="1:51" x14ac:dyDescent="0.3">
      <c r="A110" s="126"/>
      <c r="B110" s="133"/>
      <c r="C110" s="134"/>
      <c r="D110" s="134"/>
      <c r="E110" s="135"/>
      <c r="F110" s="136"/>
      <c r="G110" s="58" t="str" cm="1">
        <f>IF(ISBLANK($A110),"",INDEX(Array_ElectricalCharges,MATCH($A110,List_ElectricityMeters,0),ROUNDUP(COLUMN()/3,0)-2))</f>
        <v/>
      </c>
      <c r="H110" s="127"/>
      <c r="I110" s="137"/>
      <c r="J110" s="58" t="str" cm="1">
        <f>IF(ISBLANK($A110),"",INDEX(Array_ElectricalCharges,MATCH($A110,List_ElectricityMeters,0),ROUNDUP(COLUMN()/3,0)-2))</f>
        <v/>
      </c>
      <c r="K110" s="127"/>
      <c r="L110" s="137"/>
      <c r="M110" s="58" t="str" cm="1">
        <f>IF(ISBLANK($A110),"",INDEX(Array_ElectricalCharges,MATCH($A110,List_ElectricityMeters,0),ROUNDUP(COLUMN()/3,0)-2))</f>
        <v/>
      </c>
      <c r="N110" s="127"/>
      <c r="O110" s="137"/>
      <c r="P110" s="58" t="str" cm="1">
        <f>IF(ISBLANK($A110),"",INDEX(Array_ElectricalCharges,MATCH($A110,List_ElectricityMeters,0),ROUNDUP(COLUMN()/3,0)-2))</f>
        <v/>
      </c>
      <c r="Q110" s="127"/>
      <c r="R110" s="137"/>
      <c r="S110" s="58" t="str" cm="1">
        <f>IF(ISBLANK($A110),"",INDEX(Array_ElectricalCharges,MATCH($A110,List_ElectricityMeters,0),ROUNDUP(COLUMN()/3,0)-2))</f>
        <v/>
      </c>
      <c r="T110" s="127"/>
      <c r="U110" s="137"/>
      <c r="V110" s="58" t="str" cm="1">
        <f>IF(ISBLANK($A110),"",INDEX(Array_ElectricalCharges,MATCH($A110,List_ElectricityMeters,0),ROUNDUP(COLUMN()/3,0)-2))</f>
        <v/>
      </c>
      <c r="W110" s="127"/>
      <c r="X110" s="137"/>
      <c r="Y110" s="58" t="str" cm="1">
        <f>IF(ISBLANK($A110),"",INDEX(Array_ElectricalCharges,MATCH($A110,List_ElectricityMeters,0),ROUNDUP(COLUMN()/3,0)-2))</f>
        <v/>
      </c>
      <c r="Z110" s="127"/>
      <c r="AA110" s="137"/>
      <c r="AB110" s="58" t="str" cm="1">
        <f>IF(ISBLANK($A110),"",INDEX(Array_ElectricalCharges,MATCH($A110,List_ElectricityMeters,0),ROUNDUP(COLUMN()/3,0)-2))</f>
        <v/>
      </c>
      <c r="AC110" s="127"/>
      <c r="AD110" s="137"/>
      <c r="AE110" s="58" t="str" cm="1">
        <f>IF(ISBLANK($A110),"",INDEX(Array_ElectricalCharges,MATCH($A110,List_ElectricityMeters,0),ROUNDUP(COLUMN()/3,0)-2))</f>
        <v/>
      </c>
      <c r="AF110" s="127"/>
      <c r="AG110" s="137"/>
      <c r="AH110" s="58" t="str" cm="1">
        <f>IF(ISBLANK($A110),"",INDEX(Array_ElectricalCharges,MATCH($A110,List_ElectricityMeters,0),ROUNDUP(COLUMN()/3,0)-2))</f>
        <v/>
      </c>
      <c r="AI110" s="127"/>
      <c r="AJ110" s="137"/>
      <c r="AK110" s="58" t="str" cm="1">
        <f>IF(ISBLANK($A110),"",INDEX(Array_ElectricalCharges,MATCH($A110,List_ElectricityMeters,0),ROUNDUP(COLUMN()/3,0)-2))</f>
        <v/>
      </c>
      <c r="AL110" s="127"/>
      <c r="AM110" s="137"/>
      <c r="AN110" s="58" t="str" cm="1">
        <f>IF(ISBLANK($A110),"",INDEX(Array_ElectricalCharges,MATCH($A110,List_ElectricityMeters,0),ROUNDUP(COLUMN()/3,0)-2))</f>
        <v/>
      </c>
      <c r="AO110" s="127"/>
      <c r="AP110" s="137"/>
      <c r="AQ110" s="58" t="str" cm="1">
        <f>IF(ISBLANK($A110),"",INDEX(Array_ElectricalCharges,MATCH($A110,List_ElectricityMeters,0),ROUNDUP(COLUMN()/3,0)-2))</f>
        <v/>
      </c>
      <c r="AR110" s="127"/>
      <c r="AS110" s="137"/>
      <c r="AT110" s="58" t="str" cm="1">
        <f>IF(ISBLANK($A110),"",INDEX(Array_ElectricalCharges,MATCH($A110,List_ElectricityMeters,0),ROUNDUP(COLUMN()/3,0)-2))</f>
        <v/>
      </c>
      <c r="AU110" s="127"/>
      <c r="AV110" s="137"/>
      <c r="AW110" s="58" t="str" cm="1">
        <f>IF(ISBLANK($A110),"",INDEX(Array_ElectricalCharges,MATCH($A110,List_ElectricityMeters,0),ROUNDUP(COLUMN()/3,0)-2))</f>
        <v/>
      </c>
      <c r="AX110" s="127"/>
      <c r="AY110" s="137"/>
    </row>
    <row r="111" spans="1:51" x14ac:dyDescent="0.3">
      <c r="A111" s="126"/>
      <c r="B111" s="133"/>
      <c r="C111" s="134"/>
      <c r="D111" s="134"/>
      <c r="E111" s="135"/>
      <c r="F111" s="136"/>
      <c r="G111" s="58" t="str" cm="1">
        <f>IF(ISBLANK($A111),"",INDEX(Array_ElectricalCharges,MATCH($A111,List_ElectricityMeters,0),ROUNDUP(COLUMN()/3,0)-2))</f>
        <v/>
      </c>
      <c r="H111" s="127"/>
      <c r="I111" s="137"/>
      <c r="J111" s="58" t="str" cm="1">
        <f>IF(ISBLANK($A111),"",INDEX(Array_ElectricalCharges,MATCH($A111,List_ElectricityMeters,0),ROUNDUP(COLUMN()/3,0)-2))</f>
        <v/>
      </c>
      <c r="K111" s="127"/>
      <c r="L111" s="137"/>
      <c r="M111" s="58" t="str" cm="1">
        <f>IF(ISBLANK($A111),"",INDEX(Array_ElectricalCharges,MATCH($A111,List_ElectricityMeters,0),ROUNDUP(COLUMN()/3,0)-2))</f>
        <v/>
      </c>
      <c r="N111" s="127"/>
      <c r="O111" s="137"/>
      <c r="P111" s="58" t="str" cm="1">
        <f>IF(ISBLANK($A111),"",INDEX(Array_ElectricalCharges,MATCH($A111,List_ElectricityMeters,0),ROUNDUP(COLUMN()/3,0)-2))</f>
        <v/>
      </c>
      <c r="Q111" s="127"/>
      <c r="R111" s="137"/>
      <c r="S111" s="58" t="str" cm="1">
        <f>IF(ISBLANK($A111),"",INDEX(Array_ElectricalCharges,MATCH($A111,List_ElectricityMeters,0),ROUNDUP(COLUMN()/3,0)-2))</f>
        <v/>
      </c>
      <c r="T111" s="127"/>
      <c r="U111" s="137"/>
      <c r="V111" s="58" t="str" cm="1">
        <f>IF(ISBLANK($A111),"",INDEX(Array_ElectricalCharges,MATCH($A111,List_ElectricityMeters,0),ROUNDUP(COLUMN()/3,0)-2))</f>
        <v/>
      </c>
      <c r="W111" s="127"/>
      <c r="X111" s="137"/>
      <c r="Y111" s="58" t="str" cm="1">
        <f>IF(ISBLANK($A111),"",INDEX(Array_ElectricalCharges,MATCH($A111,List_ElectricityMeters,0),ROUNDUP(COLUMN()/3,0)-2))</f>
        <v/>
      </c>
      <c r="Z111" s="127"/>
      <c r="AA111" s="137"/>
      <c r="AB111" s="58" t="str" cm="1">
        <f>IF(ISBLANK($A111),"",INDEX(Array_ElectricalCharges,MATCH($A111,List_ElectricityMeters,0),ROUNDUP(COLUMN()/3,0)-2))</f>
        <v/>
      </c>
      <c r="AC111" s="127"/>
      <c r="AD111" s="137"/>
      <c r="AE111" s="58" t="str" cm="1">
        <f>IF(ISBLANK($A111),"",INDEX(Array_ElectricalCharges,MATCH($A111,List_ElectricityMeters,0),ROUNDUP(COLUMN()/3,0)-2))</f>
        <v/>
      </c>
      <c r="AF111" s="127"/>
      <c r="AG111" s="137"/>
      <c r="AH111" s="58" t="str" cm="1">
        <f>IF(ISBLANK($A111),"",INDEX(Array_ElectricalCharges,MATCH($A111,List_ElectricityMeters,0),ROUNDUP(COLUMN()/3,0)-2))</f>
        <v/>
      </c>
      <c r="AI111" s="127"/>
      <c r="AJ111" s="137"/>
      <c r="AK111" s="58" t="str" cm="1">
        <f>IF(ISBLANK($A111),"",INDEX(Array_ElectricalCharges,MATCH($A111,List_ElectricityMeters,0),ROUNDUP(COLUMN()/3,0)-2))</f>
        <v/>
      </c>
      <c r="AL111" s="127"/>
      <c r="AM111" s="137"/>
      <c r="AN111" s="58" t="str" cm="1">
        <f>IF(ISBLANK($A111),"",INDEX(Array_ElectricalCharges,MATCH($A111,List_ElectricityMeters,0),ROUNDUP(COLUMN()/3,0)-2))</f>
        <v/>
      </c>
      <c r="AO111" s="127"/>
      <c r="AP111" s="137"/>
      <c r="AQ111" s="58" t="str" cm="1">
        <f>IF(ISBLANK($A111),"",INDEX(Array_ElectricalCharges,MATCH($A111,List_ElectricityMeters,0),ROUNDUP(COLUMN()/3,0)-2))</f>
        <v/>
      </c>
      <c r="AR111" s="127"/>
      <c r="AS111" s="137"/>
      <c r="AT111" s="58" t="str" cm="1">
        <f>IF(ISBLANK($A111),"",INDEX(Array_ElectricalCharges,MATCH($A111,List_ElectricityMeters,0),ROUNDUP(COLUMN()/3,0)-2))</f>
        <v/>
      </c>
      <c r="AU111" s="127"/>
      <c r="AV111" s="137"/>
      <c r="AW111" s="58" t="str" cm="1">
        <f>IF(ISBLANK($A111),"",INDEX(Array_ElectricalCharges,MATCH($A111,List_ElectricityMeters,0),ROUNDUP(COLUMN()/3,0)-2))</f>
        <v/>
      </c>
      <c r="AX111" s="127"/>
      <c r="AY111" s="137"/>
    </row>
    <row r="112" spans="1:51" x14ac:dyDescent="0.3">
      <c r="A112" s="126"/>
      <c r="B112" s="133"/>
      <c r="C112" s="134"/>
      <c r="D112" s="134"/>
      <c r="E112" s="135"/>
      <c r="F112" s="136"/>
      <c r="G112" s="58" t="str" cm="1">
        <f>IF(ISBLANK($A112),"",INDEX(Array_ElectricalCharges,MATCH($A112,List_ElectricityMeters,0),ROUNDUP(COLUMN()/3,0)-2))</f>
        <v/>
      </c>
      <c r="H112" s="127"/>
      <c r="I112" s="137"/>
      <c r="J112" s="58" t="str" cm="1">
        <f>IF(ISBLANK($A112),"",INDEX(Array_ElectricalCharges,MATCH($A112,List_ElectricityMeters,0),ROUNDUP(COLUMN()/3,0)-2))</f>
        <v/>
      </c>
      <c r="K112" s="127"/>
      <c r="L112" s="137"/>
      <c r="M112" s="58" t="str" cm="1">
        <f>IF(ISBLANK($A112),"",INDEX(Array_ElectricalCharges,MATCH($A112,List_ElectricityMeters,0),ROUNDUP(COLUMN()/3,0)-2))</f>
        <v/>
      </c>
      <c r="N112" s="127"/>
      <c r="O112" s="137"/>
      <c r="P112" s="58" t="str" cm="1">
        <f>IF(ISBLANK($A112),"",INDEX(Array_ElectricalCharges,MATCH($A112,List_ElectricityMeters,0),ROUNDUP(COLUMN()/3,0)-2))</f>
        <v/>
      </c>
      <c r="Q112" s="127"/>
      <c r="R112" s="137"/>
      <c r="S112" s="58" t="str" cm="1">
        <f>IF(ISBLANK($A112),"",INDEX(Array_ElectricalCharges,MATCH($A112,List_ElectricityMeters,0),ROUNDUP(COLUMN()/3,0)-2))</f>
        <v/>
      </c>
      <c r="T112" s="127"/>
      <c r="U112" s="137"/>
      <c r="V112" s="58" t="str" cm="1">
        <f>IF(ISBLANK($A112),"",INDEX(Array_ElectricalCharges,MATCH($A112,List_ElectricityMeters,0),ROUNDUP(COLUMN()/3,0)-2))</f>
        <v/>
      </c>
      <c r="W112" s="127"/>
      <c r="X112" s="137"/>
      <c r="Y112" s="58" t="str" cm="1">
        <f>IF(ISBLANK($A112),"",INDEX(Array_ElectricalCharges,MATCH($A112,List_ElectricityMeters,0),ROUNDUP(COLUMN()/3,0)-2))</f>
        <v/>
      </c>
      <c r="Z112" s="127"/>
      <c r="AA112" s="137"/>
      <c r="AB112" s="58" t="str" cm="1">
        <f>IF(ISBLANK($A112),"",INDEX(Array_ElectricalCharges,MATCH($A112,List_ElectricityMeters,0),ROUNDUP(COLUMN()/3,0)-2))</f>
        <v/>
      </c>
      <c r="AC112" s="127"/>
      <c r="AD112" s="137"/>
      <c r="AE112" s="58" t="str" cm="1">
        <f>IF(ISBLANK($A112),"",INDEX(Array_ElectricalCharges,MATCH($A112,List_ElectricityMeters,0),ROUNDUP(COLUMN()/3,0)-2))</f>
        <v/>
      </c>
      <c r="AF112" s="127"/>
      <c r="AG112" s="137"/>
      <c r="AH112" s="58" t="str" cm="1">
        <f>IF(ISBLANK($A112),"",INDEX(Array_ElectricalCharges,MATCH($A112,List_ElectricityMeters,0),ROUNDUP(COLUMN()/3,0)-2))</f>
        <v/>
      </c>
      <c r="AI112" s="127"/>
      <c r="AJ112" s="137"/>
      <c r="AK112" s="58" t="str" cm="1">
        <f>IF(ISBLANK($A112),"",INDEX(Array_ElectricalCharges,MATCH($A112,List_ElectricityMeters,0),ROUNDUP(COLUMN()/3,0)-2))</f>
        <v/>
      </c>
      <c r="AL112" s="127"/>
      <c r="AM112" s="137"/>
      <c r="AN112" s="58" t="str" cm="1">
        <f>IF(ISBLANK($A112),"",INDEX(Array_ElectricalCharges,MATCH($A112,List_ElectricityMeters,0),ROUNDUP(COLUMN()/3,0)-2))</f>
        <v/>
      </c>
      <c r="AO112" s="127"/>
      <c r="AP112" s="137"/>
      <c r="AQ112" s="58" t="str" cm="1">
        <f>IF(ISBLANK($A112),"",INDEX(Array_ElectricalCharges,MATCH($A112,List_ElectricityMeters,0),ROUNDUP(COLUMN()/3,0)-2))</f>
        <v/>
      </c>
      <c r="AR112" s="127"/>
      <c r="AS112" s="137"/>
      <c r="AT112" s="58" t="str" cm="1">
        <f>IF(ISBLANK($A112),"",INDEX(Array_ElectricalCharges,MATCH($A112,List_ElectricityMeters,0),ROUNDUP(COLUMN()/3,0)-2))</f>
        <v/>
      </c>
      <c r="AU112" s="127"/>
      <c r="AV112" s="137"/>
      <c r="AW112" s="58" t="str" cm="1">
        <f>IF(ISBLANK($A112),"",INDEX(Array_ElectricalCharges,MATCH($A112,List_ElectricityMeters,0),ROUNDUP(COLUMN()/3,0)-2))</f>
        <v/>
      </c>
      <c r="AX112" s="127"/>
      <c r="AY112" s="137"/>
    </row>
    <row r="113" spans="1:51" x14ac:dyDescent="0.3">
      <c r="A113" s="126"/>
      <c r="B113" s="133"/>
      <c r="C113" s="134"/>
      <c r="D113" s="134"/>
      <c r="E113" s="135"/>
      <c r="F113" s="136"/>
      <c r="G113" s="58" t="str" cm="1">
        <f>IF(ISBLANK($A113),"",INDEX(Array_ElectricalCharges,MATCH($A113,List_ElectricityMeters,0),ROUNDUP(COLUMN()/3,0)-2))</f>
        <v/>
      </c>
      <c r="H113" s="127"/>
      <c r="I113" s="137"/>
      <c r="J113" s="58" t="str" cm="1">
        <f>IF(ISBLANK($A113),"",INDEX(Array_ElectricalCharges,MATCH($A113,List_ElectricityMeters,0),ROUNDUP(COLUMN()/3,0)-2))</f>
        <v/>
      </c>
      <c r="K113" s="127"/>
      <c r="L113" s="137"/>
      <c r="M113" s="58" t="str" cm="1">
        <f>IF(ISBLANK($A113),"",INDEX(Array_ElectricalCharges,MATCH($A113,List_ElectricityMeters,0),ROUNDUP(COLUMN()/3,0)-2))</f>
        <v/>
      </c>
      <c r="N113" s="127"/>
      <c r="O113" s="137"/>
      <c r="P113" s="58" t="str" cm="1">
        <f>IF(ISBLANK($A113),"",INDEX(Array_ElectricalCharges,MATCH($A113,List_ElectricityMeters,0),ROUNDUP(COLUMN()/3,0)-2))</f>
        <v/>
      </c>
      <c r="Q113" s="127"/>
      <c r="R113" s="137"/>
      <c r="S113" s="58" t="str" cm="1">
        <f>IF(ISBLANK($A113),"",INDEX(Array_ElectricalCharges,MATCH($A113,List_ElectricityMeters,0),ROUNDUP(COLUMN()/3,0)-2))</f>
        <v/>
      </c>
      <c r="T113" s="127"/>
      <c r="U113" s="137"/>
      <c r="V113" s="58" t="str" cm="1">
        <f>IF(ISBLANK($A113),"",INDEX(Array_ElectricalCharges,MATCH($A113,List_ElectricityMeters,0),ROUNDUP(COLUMN()/3,0)-2))</f>
        <v/>
      </c>
      <c r="W113" s="127"/>
      <c r="X113" s="137"/>
      <c r="Y113" s="58" t="str" cm="1">
        <f>IF(ISBLANK($A113),"",INDEX(Array_ElectricalCharges,MATCH($A113,List_ElectricityMeters,0),ROUNDUP(COLUMN()/3,0)-2))</f>
        <v/>
      </c>
      <c r="Z113" s="127"/>
      <c r="AA113" s="137"/>
      <c r="AB113" s="58" t="str" cm="1">
        <f>IF(ISBLANK($A113),"",INDEX(Array_ElectricalCharges,MATCH($A113,List_ElectricityMeters,0),ROUNDUP(COLUMN()/3,0)-2))</f>
        <v/>
      </c>
      <c r="AC113" s="127"/>
      <c r="AD113" s="137"/>
      <c r="AE113" s="58" t="str" cm="1">
        <f>IF(ISBLANK($A113),"",INDEX(Array_ElectricalCharges,MATCH($A113,List_ElectricityMeters,0),ROUNDUP(COLUMN()/3,0)-2))</f>
        <v/>
      </c>
      <c r="AF113" s="127"/>
      <c r="AG113" s="137"/>
      <c r="AH113" s="58" t="str" cm="1">
        <f>IF(ISBLANK($A113),"",INDEX(Array_ElectricalCharges,MATCH($A113,List_ElectricityMeters,0),ROUNDUP(COLUMN()/3,0)-2))</f>
        <v/>
      </c>
      <c r="AI113" s="127"/>
      <c r="AJ113" s="137"/>
      <c r="AK113" s="58" t="str" cm="1">
        <f>IF(ISBLANK($A113),"",INDEX(Array_ElectricalCharges,MATCH($A113,List_ElectricityMeters,0),ROUNDUP(COLUMN()/3,0)-2))</f>
        <v/>
      </c>
      <c r="AL113" s="127"/>
      <c r="AM113" s="137"/>
      <c r="AN113" s="58" t="str" cm="1">
        <f>IF(ISBLANK($A113),"",INDEX(Array_ElectricalCharges,MATCH($A113,List_ElectricityMeters,0),ROUNDUP(COLUMN()/3,0)-2))</f>
        <v/>
      </c>
      <c r="AO113" s="127"/>
      <c r="AP113" s="137"/>
      <c r="AQ113" s="58" t="str" cm="1">
        <f>IF(ISBLANK($A113),"",INDEX(Array_ElectricalCharges,MATCH($A113,List_ElectricityMeters,0),ROUNDUP(COLUMN()/3,0)-2))</f>
        <v/>
      </c>
      <c r="AR113" s="127"/>
      <c r="AS113" s="137"/>
      <c r="AT113" s="58" t="str" cm="1">
        <f>IF(ISBLANK($A113),"",INDEX(Array_ElectricalCharges,MATCH($A113,List_ElectricityMeters,0),ROUNDUP(COLUMN()/3,0)-2))</f>
        <v/>
      </c>
      <c r="AU113" s="127"/>
      <c r="AV113" s="137"/>
      <c r="AW113" s="58" t="str" cm="1">
        <f>IF(ISBLANK($A113),"",INDEX(Array_ElectricalCharges,MATCH($A113,List_ElectricityMeters,0),ROUNDUP(COLUMN()/3,0)-2))</f>
        <v/>
      </c>
      <c r="AX113" s="127"/>
      <c r="AY113" s="137"/>
    </row>
    <row r="114" spans="1:51" x14ac:dyDescent="0.3">
      <c r="A114" s="126"/>
      <c r="B114" s="133"/>
      <c r="C114" s="134"/>
      <c r="D114" s="134"/>
      <c r="E114" s="135"/>
      <c r="F114" s="136"/>
      <c r="G114" s="58" t="str" cm="1">
        <f>IF(ISBLANK($A114),"",INDEX(Array_ElectricalCharges,MATCH($A114,List_ElectricityMeters,0),ROUNDUP(COLUMN()/3,0)-2))</f>
        <v/>
      </c>
      <c r="H114" s="127"/>
      <c r="I114" s="137"/>
      <c r="J114" s="58" t="str" cm="1">
        <f>IF(ISBLANK($A114),"",INDEX(Array_ElectricalCharges,MATCH($A114,List_ElectricityMeters,0),ROUNDUP(COLUMN()/3,0)-2))</f>
        <v/>
      </c>
      <c r="K114" s="127"/>
      <c r="L114" s="137"/>
      <c r="M114" s="58" t="str" cm="1">
        <f>IF(ISBLANK($A114),"",INDEX(Array_ElectricalCharges,MATCH($A114,List_ElectricityMeters,0),ROUNDUP(COLUMN()/3,0)-2))</f>
        <v/>
      </c>
      <c r="N114" s="127"/>
      <c r="O114" s="137"/>
      <c r="P114" s="58" t="str" cm="1">
        <f>IF(ISBLANK($A114),"",INDEX(Array_ElectricalCharges,MATCH($A114,List_ElectricityMeters,0),ROUNDUP(COLUMN()/3,0)-2))</f>
        <v/>
      </c>
      <c r="Q114" s="127"/>
      <c r="R114" s="137"/>
      <c r="S114" s="58" t="str" cm="1">
        <f>IF(ISBLANK($A114),"",INDEX(Array_ElectricalCharges,MATCH($A114,List_ElectricityMeters,0),ROUNDUP(COLUMN()/3,0)-2))</f>
        <v/>
      </c>
      <c r="T114" s="127"/>
      <c r="U114" s="137"/>
      <c r="V114" s="58" t="str" cm="1">
        <f>IF(ISBLANK($A114),"",INDEX(Array_ElectricalCharges,MATCH($A114,List_ElectricityMeters,0),ROUNDUP(COLUMN()/3,0)-2))</f>
        <v/>
      </c>
      <c r="W114" s="127"/>
      <c r="X114" s="137"/>
      <c r="Y114" s="58" t="str" cm="1">
        <f>IF(ISBLANK($A114),"",INDEX(Array_ElectricalCharges,MATCH($A114,List_ElectricityMeters,0),ROUNDUP(COLUMN()/3,0)-2))</f>
        <v/>
      </c>
      <c r="Z114" s="127"/>
      <c r="AA114" s="137"/>
      <c r="AB114" s="58" t="str" cm="1">
        <f>IF(ISBLANK($A114),"",INDEX(Array_ElectricalCharges,MATCH($A114,List_ElectricityMeters,0),ROUNDUP(COLUMN()/3,0)-2))</f>
        <v/>
      </c>
      <c r="AC114" s="127"/>
      <c r="AD114" s="137"/>
      <c r="AE114" s="58" t="str" cm="1">
        <f>IF(ISBLANK($A114),"",INDEX(Array_ElectricalCharges,MATCH($A114,List_ElectricityMeters,0),ROUNDUP(COLUMN()/3,0)-2))</f>
        <v/>
      </c>
      <c r="AF114" s="127"/>
      <c r="AG114" s="137"/>
      <c r="AH114" s="58" t="str" cm="1">
        <f>IF(ISBLANK($A114),"",INDEX(Array_ElectricalCharges,MATCH($A114,List_ElectricityMeters,0),ROUNDUP(COLUMN()/3,0)-2))</f>
        <v/>
      </c>
      <c r="AI114" s="127"/>
      <c r="AJ114" s="137"/>
      <c r="AK114" s="58" t="str" cm="1">
        <f>IF(ISBLANK($A114),"",INDEX(Array_ElectricalCharges,MATCH($A114,List_ElectricityMeters,0),ROUNDUP(COLUMN()/3,0)-2))</f>
        <v/>
      </c>
      <c r="AL114" s="127"/>
      <c r="AM114" s="137"/>
      <c r="AN114" s="58" t="str" cm="1">
        <f>IF(ISBLANK($A114),"",INDEX(Array_ElectricalCharges,MATCH($A114,List_ElectricityMeters,0),ROUNDUP(COLUMN()/3,0)-2))</f>
        <v/>
      </c>
      <c r="AO114" s="127"/>
      <c r="AP114" s="137"/>
      <c r="AQ114" s="58" t="str" cm="1">
        <f>IF(ISBLANK($A114),"",INDEX(Array_ElectricalCharges,MATCH($A114,List_ElectricityMeters,0),ROUNDUP(COLUMN()/3,0)-2))</f>
        <v/>
      </c>
      <c r="AR114" s="127"/>
      <c r="AS114" s="137"/>
      <c r="AT114" s="58" t="str" cm="1">
        <f>IF(ISBLANK($A114),"",INDEX(Array_ElectricalCharges,MATCH($A114,List_ElectricityMeters,0),ROUNDUP(COLUMN()/3,0)-2))</f>
        <v/>
      </c>
      <c r="AU114" s="127"/>
      <c r="AV114" s="137"/>
      <c r="AW114" s="58" t="str" cm="1">
        <f>IF(ISBLANK($A114),"",INDEX(Array_ElectricalCharges,MATCH($A114,List_ElectricityMeters,0),ROUNDUP(COLUMN()/3,0)-2))</f>
        <v/>
      </c>
      <c r="AX114" s="127"/>
      <c r="AY114" s="137"/>
    </row>
    <row r="115" spans="1:51" x14ac:dyDescent="0.3">
      <c r="A115" s="126"/>
      <c r="B115" s="133"/>
      <c r="C115" s="134"/>
      <c r="D115" s="134"/>
      <c r="E115" s="135"/>
      <c r="F115" s="136"/>
      <c r="G115" s="58" t="str" cm="1">
        <f>IF(ISBLANK($A115),"",INDEX(Array_ElectricalCharges,MATCH($A115,List_ElectricityMeters,0),ROUNDUP(COLUMN()/3,0)-2))</f>
        <v/>
      </c>
      <c r="H115" s="127"/>
      <c r="I115" s="137"/>
      <c r="J115" s="58" t="str" cm="1">
        <f>IF(ISBLANK($A115),"",INDEX(Array_ElectricalCharges,MATCH($A115,List_ElectricityMeters,0),ROUNDUP(COLUMN()/3,0)-2))</f>
        <v/>
      </c>
      <c r="K115" s="127"/>
      <c r="L115" s="137"/>
      <c r="M115" s="58" t="str" cm="1">
        <f>IF(ISBLANK($A115),"",INDEX(Array_ElectricalCharges,MATCH($A115,List_ElectricityMeters,0),ROUNDUP(COLUMN()/3,0)-2))</f>
        <v/>
      </c>
      <c r="N115" s="127"/>
      <c r="O115" s="137"/>
      <c r="P115" s="58" t="str" cm="1">
        <f>IF(ISBLANK($A115),"",INDEX(Array_ElectricalCharges,MATCH($A115,List_ElectricityMeters,0),ROUNDUP(COLUMN()/3,0)-2))</f>
        <v/>
      </c>
      <c r="Q115" s="127"/>
      <c r="R115" s="137"/>
      <c r="S115" s="58" t="str" cm="1">
        <f>IF(ISBLANK($A115),"",INDEX(Array_ElectricalCharges,MATCH($A115,List_ElectricityMeters,0),ROUNDUP(COLUMN()/3,0)-2))</f>
        <v/>
      </c>
      <c r="T115" s="127"/>
      <c r="U115" s="137"/>
      <c r="V115" s="58" t="str" cm="1">
        <f>IF(ISBLANK($A115),"",INDEX(Array_ElectricalCharges,MATCH($A115,List_ElectricityMeters,0),ROUNDUP(COLUMN()/3,0)-2))</f>
        <v/>
      </c>
      <c r="W115" s="127"/>
      <c r="X115" s="137"/>
      <c r="Y115" s="58" t="str" cm="1">
        <f>IF(ISBLANK($A115),"",INDEX(Array_ElectricalCharges,MATCH($A115,List_ElectricityMeters,0),ROUNDUP(COLUMN()/3,0)-2))</f>
        <v/>
      </c>
      <c r="Z115" s="127"/>
      <c r="AA115" s="137"/>
      <c r="AB115" s="58" t="str" cm="1">
        <f>IF(ISBLANK($A115),"",INDEX(Array_ElectricalCharges,MATCH($A115,List_ElectricityMeters,0),ROUNDUP(COLUMN()/3,0)-2))</f>
        <v/>
      </c>
      <c r="AC115" s="127"/>
      <c r="AD115" s="137"/>
      <c r="AE115" s="58" t="str" cm="1">
        <f>IF(ISBLANK($A115),"",INDEX(Array_ElectricalCharges,MATCH($A115,List_ElectricityMeters,0),ROUNDUP(COLUMN()/3,0)-2))</f>
        <v/>
      </c>
      <c r="AF115" s="127"/>
      <c r="AG115" s="137"/>
      <c r="AH115" s="58" t="str" cm="1">
        <f>IF(ISBLANK($A115),"",INDEX(Array_ElectricalCharges,MATCH($A115,List_ElectricityMeters,0),ROUNDUP(COLUMN()/3,0)-2))</f>
        <v/>
      </c>
      <c r="AI115" s="127"/>
      <c r="AJ115" s="137"/>
      <c r="AK115" s="58" t="str" cm="1">
        <f>IF(ISBLANK($A115),"",INDEX(Array_ElectricalCharges,MATCH($A115,List_ElectricityMeters,0),ROUNDUP(COLUMN()/3,0)-2))</f>
        <v/>
      </c>
      <c r="AL115" s="127"/>
      <c r="AM115" s="137"/>
      <c r="AN115" s="58" t="str" cm="1">
        <f>IF(ISBLANK($A115),"",INDEX(Array_ElectricalCharges,MATCH($A115,List_ElectricityMeters,0),ROUNDUP(COLUMN()/3,0)-2))</f>
        <v/>
      </c>
      <c r="AO115" s="127"/>
      <c r="AP115" s="137"/>
      <c r="AQ115" s="58" t="str" cm="1">
        <f>IF(ISBLANK($A115),"",INDEX(Array_ElectricalCharges,MATCH($A115,List_ElectricityMeters,0),ROUNDUP(COLUMN()/3,0)-2))</f>
        <v/>
      </c>
      <c r="AR115" s="127"/>
      <c r="AS115" s="137"/>
      <c r="AT115" s="58" t="str" cm="1">
        <f>IF(ISBLANK($A115),"",INDEX(Array_ElectricalCharges,MATCH($A115,List_ElectricityMeters,0),ROUNDUP(COLUMN()/3,0)-2))</f>
        <v/>
      </c>
      <c r="AU115" s="127"/>
      <c r="AV115" s="137"/>
      <c r="AW115" s="58" t="str" cm="1">
        <f>IF(ISBLANK($A115),"",INDEX(Array_ElectricalCharges,MATCH($A115,List_ElectricityMeters,0),ROUNDUP(COLUMN()/3,0)-2))</f>
        <v/>
      </c>
      <c r="AX115" s="127"/>
      <c r="AY115" s="137"/>
    </row>
    <row r="116" spans="1:51" x14ac:dyDescent="0.3">
      <c r="A116" s="126"/>
      <c r="B116" s="133"/>
      <c r="C116" s="134"/>
      <c r="D116" s="134"/>
      <c r="E116" s="135"/>
      <c r="F116" s="136"/>
      <c r="G116" s="58" t="str" cm="1">
        <f>IF(ISBLANK($A116),"",INDEX(Array_ElectricalCharges,MATCH($A116,List_ElectricityMeters,0),ROUNDUP(COLUMN()/3,0)-2))</f>
        <v/>
      </c>
      <c r="H116" s="127"/>
      <c r="I116" s="137"/>
      <c r="J116" s="58" t="str" cm="1">
        <f>IF(ISBLANK($A116),"",INDEX(Array_ElectricalCharges,MATCH($A116,List_ElectricityMeters,0),ROUNDUP(COLUMN()/3,0)-2))</f>
        <v/>
      </c>
      <c r="K116" s="127"/>
      <c r="L116" s="137"/>
      <c r="M116" s="58" t="str" cm="1">
        <f>IF(ISBLANK($A116),"",INDEX(Array_ElectricalCharges,MATCH($A116,List_ElectricityMeters,0),ROUNDUP(COLUMN()/3,0)-2))</f>
        <v/>
      </c>
      <c r="N116" s="127"/>
      <c r="O116" s="137"/>
      <c r="P116" s="58" t="str" cm="1">
        <f>IF(ISBLANK($A116),"",INDEX(Array_ElectricalCharges,MATCH($A116,List_ElectricityMeters,0),ROUNDUP(COLUMN()/3,0)-2))</f>
        <v/>
      </c>
      <c r="Q116" s="127"/>
      <c r="R116" s="137"/>
      <c r="S116" s="58" t="str" cm="1">
        <f>IF(ISBLANK($A116),"",INDEX(Array_ElectricalCharges,MATCH($A116,List_ElectricityMeters,0),ROUNDUP(COLUMN()/3,0)-2))</f>
        <v/>
      </c>
      <c r="T116" s="127"/>
      <c r="U116" s="137"/>
      <c r="V116" s="58" t="str" cm="1">
        <f>IF(ISBLANK($A116),"",INDEX(Array_ElectricalCharges,MATCH($A116,List_ElectricityMeters,0),ROUNDUP(COLUMN()/3,0)-2))</f>
        <v/>
      </c>
      <c r="W116" s="127"/>
      <c r="X116" s="137"/>
      <c r="Y116" s="58" t="str" cm="1">
        <f>IF(ISBLANK($A116),"",INDEX(Array_ElectricalCharges,MATCH($A116,List_ElectricityMeters,0),ROUNDUP(COLUMN()/3,0)-2))</f>
        <v/>
      </c>
      <c r="Z116" s="127"/>
      <c r="AA116" s="137"/>
      <c r="AB116" s="58" t="str" cm="1">
        <f>IF(ISBLANK($A116),"",INDEX(Array_ElectricalCharges,MATCH($A116,List_ElectricityMeters,0),ROUNDUP(COLUMN()/3,0)-2))</f>
        <v/>
      </c>
      <c r="AC116" s="127"/>
      <c r="AD116" s="137"/>
      <c r="AE116" s="58" t="str" cm="1">
        <f>IF(ISBLANK($A116),"",INDEX(Array_ElectricalCharges,MATCH($A116,List_ElectricityMeters,0),ROUNDUP(COLUMN()/3,0)-2))</f>
        <v/>
      </c>
      <c r="AF116" s="127"/>
      <c r="AG116" s="137"/>
      <c r="AH116" s="58" t="str" cm="1">
        <f>IF(ISBLANK($A116),"",INDEX(Array_ElectricalCharges,MATCH($A116,List_ElectricityMeters,0),ROUNDUP(COLUMN()/3,0)-2))</f>
        <v/>
      </c>
      <c r="AI116" s="127"/>
      <c r="AJ116" s="137"/>
      <c r="AK116" s="58" t="str" cm="1">
        <f>IF(ISBLANK($A116),"",INDEX(Array_ElectricalCharges,MATCH($A116,List_ElectricityMeters,0),ROUNDUP(COLUMN()/3,0)-2))</f>
        <v/>
      </c>
      <c r="AL116" s="127"/>
      <c r="AM116" s="137"/>
      <c r="AN116" s="58" t="str" cm="1">
        <f>IF(ISBLANK($A116),"",INDEX(Array_ElectricalCharges,MATCH($A116,List_ElectricityMeters,0),ROUNDUP(COLUMN()/3,0)-2))</f>
        <v/>
      </c>
      <c r="AO116" s="127"/>
      <c r="AP116" s="137"/>
      <c r="AQ116" s="58" t="str" cm="1">
        <f>IF(ISBLANK($A116),"",INDEX(Array_ElectricalCharges,MATCH($A116,List_ElectricityMeters,0),ROUNDUP(COLUMN()/3,0)-2))</f>
        <v/>
      </c>
      <c r="AR116" s="127"/>
      <c r="AS116" s="137"/>
      <c r="AT116" s="58" t="str" cm="1">
        <f>IF(ISBLANK($A116),"",INDEX(Array_ElectricalCharges,MATCH($A116,List_ElectricityMeters,0),ROUNDUP(COLUMN()/3,0)-2))</f>
        <v/>
      </c>
      <c r="AU116" s="127"/>
      <c r="AV116" s="137"/>
      <c r="AW116" s="58" t="str" cm="1">
        <f>IF(ISBLANK($A116),"",INDEX(Array_ElectricalCharges,MATCH($A116,List_ElectricityMeters,0),ROUNDUP(COLUMN()/3,0)-2))</f>
        <v/>
      </c>
      <c r="AX116" s="127"/>
      <c r="AY116" s="137"/>
    </row>
    <row r="117" spans="1:51" x14ac:dyDescent="0.3">
      <c r="A117" s="126"/>
      <c r="B117" s="133"/>
      <c r="C117" s="134"/>
      <c r="D117" s="134"/>
      <c r="E117" s="135"/>
      <c r="F117" s="136"/>
      <c r="G117" s="58" t="str" cm="1">
        <f>IF(ISBLANK($A117),"",INDEX(Array_ElectricalCharges,MATCH($A117,List_ElectricityMeters,0),ROUNDUP(COLUMN()/3,0)-2))</f>
        <v/>
      </c>
      <c r="H117" s="127"/>
      <c r="I117" s="137"/>
      <c r="J117" s="58" t="str" cm="1">
        <f>IF(ISBLANK($A117),"",INDEX(Array_ElectricalCharges,MATCH($A117,List_ElectricityMeters,0),ROUNDUP(COLUMN()/3,0)-2))</f>
        <v/>
      </c>
      <c r="K117" s="127"/>
      <c r="L117" s="137"/>
      <c r="M117" s="58" t="str" cm="1">
        <f>IF(ISBLANK($A117),"",INDEX(Array_ElectricalCharges,MATCH($A117,List_ElectricityMeters,0),ROUNDUP(COLUMN()/3,0)-2))</f>
        <v/>
      </c>
      <c r="N117" s="127"/>
      <c r="O117" s="137"/>
      <c r="P117" s="58" t="str" cm="1">
        <f>IF(ISBLANK($A117),"",INDEX(Array_ElectricalCharges,MATCH($A117,List_ElectricityMeters,0),ROUNDUP(COLUMN()/3,0)-2))</f>
        <v/>
      </c>
      <c r="Q117" s="127"/>
      <c r="R117" s="137"/>
      <c r="S117" s="58" t="str" cm="1">
        <f>IF(ISBLANK($A117),"",INDEX(Array_ElectricalCharges,MATCH($A117,List_ElectricityMeters,0),ROUNDUP(COLUMN()/3,0)-2))</f>
        <v/>
      </c>
      <c r="T117" s="127"/>
      <c r="U117" s="137"/>
      <c r="V117" s="58" t="str" cm="1">
        <f>IF(ISBLANK($A117),"",INDEX(Array_ElectricalCharges,MATCH($A117,List_ElectricityMeters,0),ROUNDUP(COLUMN()/3,0)-2))</f>
        <v/>
      </c>
      <c r="W117" s="127"/>
      <c r="X117" s="137"/>
      <c r="Y117" s="58" t="str" cm="1">
        <f>IF(ISBLANK($A117),"",INDEX(Array_ElectricalCharges,MATCH($A117,List_ElectricityMeters,0),ROUNDUP(COLUMN()/3,0)-2))</f>
        <v/>
      </c>
      <c r="Z117" s="127"/>
      <c r="AA117" s="137"/>
      <c r="AB117" s="58" t="str" cm="1">
        <f>IF(ISBLANK($A117),"",INDEX(Array_ElectricalCharges,MATCH($A117,List_ElectricityMeters,0),ROUNDUP(COLUMN()/3,0)-2))</f>
        <v/>
      </c>
      <c r="AC117" s="127"/>
      <c r="AD117" s="137"/>
      <c r="AE117" s="58" t="str" cm="1">
        <f>IF(ISBLANK($A117),"",INDEX(Array_ElectricalCharges,MATCH($A117,List_ElectricityMeters,0),ROUNDUP(COLUMN()/3,0)-2))</f>
        <v/>
      </c>
      <c r="AF117" s="127"/>
      <c r="AG117" s="137"/>
      <c r="AH117" s="58" t="str" cm="1">
        <f>IF(ISBLANK($A117),"",INDEX(Array_ElectricalCharges,MATCH($A117,List_ElectricityMeters,0),ROUNDUP(COLUMN()/3,0)-2))</f>
        <v/>
      </c>
      <c r="AI117" s="127"/>
      <c r="AJ117" s="137"/>
      <c r="AK117" s="58" t="str" cm="1">
        <f>IF(ISBLANK($A117),"",INDEX(Array_ElectricalCharges,MATCH($A117,List_ElectricityMeters,0),ROUNDUP(COLUMN()/3,0)-2))</f>
        <v/>
      </c>
      <c r="AL117" s="127"/>
      <c r="AM117" s="137"/>
      <c r="AN117" s="58" t="str" cm="1">
        <f>IF(ISBLANK($A117),"",INDEX(Array_ElectricalCharges,MATCH($A117,List_ElectricityMeters,0),ROUNDUP(COLUMN()/3,0)-2))</f>
        <v/>
      </c>
      <c r="AO117" s="127"/>
      <c r="AP117" s="137"/>
      <c r="AQ117" s="58" t="str" cm="1">
        <f>IF(ISBLANK($A117),"",INDEX(Array_ElectricalCharges,MATCH($A117,List_ElectricityMeters,0),ROUNDUP(COLUMN()/3,0)-2))</f>
        <v/>
      </c>
      <c r="AR117" s="127"/>
      <c r="AS117" s="137"/>
      <c r="AT117" s="58" t="str" cm="1">
        <f>IF(ISBLANK($A117),"",INDEX(Array_ElectricalCharges,MATCH($A117,List_ElectricityMeters,0),ROUNDUP(COLUMN()/3,0)-2))</f>
        <v/>
      </c>
      <c r="AU117" s="127"/>
      <c r="AV117" s="137"/>
      <c r="AW117" s="58" t="str" cm="1">
        <f>IF(ISBLANK($A117),"",INDEX(Array_ElectricalCharges,MATCH($A117,List_ElectricityMeters,0),ROUNDUP(COLUMN()/3,0)-2))</f>
        <v/>
      </c>
      <c r="AX117" s="127"/>
      <c r="AY117" s="137"/>
    </row>
    <row r="118" spans="1:51" x14ac:dyDescent="0.3">
      <c r="A118" s="126"/>
      <c r="B118" s="133"/>
      <c r="C118" s="134"/>
      <c r="D118" s="134"/>
      <c r="E118" s="135"/>
      <c r="F118" s="136"/>
      <c r="G118" s="58" t="str" cm="1">
        <f>IF(ISBLANK($A118),"",INDEX(Array_ElectricalCharges,MATCH($A118,List_ElectricityMeters,0),ROUNDUP(COLUMN()/3,0)-2))</f>
        <v/>
      </c>
      <c r="H118" s="127"/>
      <c r="I118" s="137"/>
      <c r="J118" s="58" t="str" cm="1">
        <f>IF(ISBLANK($A118),"",INDEX(Array_ElectricalCharges,MATCH($A118,List_ElectricityMeters,0),ROUNDUP(COLUMN()/3,0)-2))</f>
        <v/>
      </c>
      <c r="K118" s="127"/>
      <c r="L118" s="137"/>
      <c r="M118" s="58" t="str" cm="1">
        <f>IF(ISBLANK($A118),"",INDEX(Array_ElectricalCharges,MATCH($A118,List_ElectricityMeters,0),ROUNDUP(COLUMN()/3,0)-2))</f>
        <v/>
      </c>
      <c r="N118" s="127"/>
      <c r="O118" s="137"/>
      <c r="P118" s="58" t="str" cm="1">
        <f>IF(ISBLANK($A118),"",INDEX(Array_ElectricalCharges,MATCH($A118,List_ElectricityMeters,0),ROUNDUP(COLUMN()/3,0)-2))</f>
        <v/>
      </c>
      <c r="Q118" s="127"/>
      <c r="R118" s="137"/>
      <c r="S118" s="58" t="str" cm="1">
        <f>IF(ISBLANK($A118),"",INDEX(Array_ElectricalCharges,MATCH($A118,List_ElectricityMeters,0),ROUNDUP(COLUMN()/3,0)-2))</f>
        <v/>
      </c>
      <c r="T118" s="127"/>
      <c r="U118" s="137"/>
      <c r="V118" s="58" t="str" cm="1">
        <f>IF(ISBLANK($A118),"",INDEX(Array_ElectricalCharges,MATCH($A118,List_ElectricityMeters,0),ROUNDUP(COLUMN()/3,0)-2))</f>
        <v/>
      </c>
      <c r="W118" s="127"/>
      <c r="X118" s="137"/>
      <c r="Y118" s="58" t="str" cm="1">
        <f>IF(ISBLANK($A118),"",INDEX(Array_ElectricalCharges,MATCH($A118,List_ElectricityMeters,0),ROUNDUP(COLUMN()/3,0)-2))</f>
        <v/>
      </c>
      <c r="Z118" s="127"/>
      <c r="AA118" s="137"/>
      <c r="AB118" s="58" t="str" cm="1">
        <f>IF(ISBLANK($A118),"",INDEX(Array_ElectricalCharges,MATCH($A118,List_ElectricityMeters,0),ROUNDUP(COLUMN()/3,0)-2))</f>
        <v/>
      </c>
      <c r="AC118" s="127"/>
      <c r="AD118" s="137"/>
      <c r="AE118" s="58" t="str" cm="1">
        <f>IF(ISBLANK($A118),"",INDEX(Array_ElectricalCharges,MATCH($A118,List_ElectricityMeters,0),ROUNDUP(COLUMN()/3,0)-2))</f>
        <v/>
      </c>
      <c r="AF118" s="127"/>
      <c r="AG118" s="137"/>
      <c r="AH118" s="58" t="str" cm="1">
        <f>IF(ISBLANK($A118),"",INDEX(Array_ElectricalCharges,MATCH($A118,List_ElectricityMeters,0),ROUNDUP(COLUMN()/3,0)-2))</f>
        <v/>
      </c>
      <c r="AI118" s="127"/>
      <c r="AJ118" s="137"/>
      <c r="AK118" s="58" t="str" cm="1">
        <f>IF(ISBLANK($A118),"",INDEX(Array_ElectricalCharges,MATCH($A118,List_ElectricityMeters,0),ROUNDUP(COLUMN()/3,0)-2))</f>
        <v/>
      </c>
      <c r="AL118" s="127"/>
      <c r="AM118" s="137"/>
      <c r="AN118" s="58" t="str" cm="1">
        <f>IF(ISBLANK($A118),"",INDEX(Array_ElectricalCharges,MATCH($A118,List_ElectricityMeters,0),ROUNDUP(COLUMN()/3,0)-2))</f>
        <v/>
      </c>
      <c r="AO118" s="127"/>
      <c r="AP118" s="137"/>
      <c r="AQ118" s="58" t="str" cm="1">
        <f>IF(ISBLANK($A118),"",INDEX(Array_ElectricalCharges,MATCH($A118,List_ElectricityMeters,0),ROUNDUP(COLUMN()/3,0)-2))</f>
        <v/>
      </c>
      <c r="AR118" s="127"/>
      <c r="AS118" s="137"/>
      <c r="AT118" s="58" t="str" cm="1">
        <f>IF(ISBLANK($A118),"",INDEX(Array_ElectricalCharges,MATCH($A118,List_ElectricityMeters,0),ROUNDUP(COLUMN()/3,0)-2))</f>
        <v/>
      </c>
      <c r="AU118" s="127"/>
      <c r="AV118" s="137"/>
      <c r="AW118" s="58" t="str" cm="1">
        <f>IF(ISBLANK($A118),"",INDEX(Array_ElectricalCharges,MATCH($A118,List_ElectricityMeters,0),ROUNDUP(COLUMN()/3,0)-2))</f>
        <v/>
      </c>
      <c r="AX118" s="127"/>
      <c r="AY118" s="137"/>
    </row>
    <row r="119" spans="1:51" x14ac:dyDescent="0.3">
      <c r="A119" s="126"/>
      <c r="B119" s="133"/>
      <c r="C119" s="134"/>
      <c r="D119" s="134"/>
      <c r="E119" s="135"/>
      <c r="F119" s="136"/>
      <c r="G119" s="58" t="str" cm="1">
        <f>IF(ISBLANK($A119),"",INDEX(Array_ElectricalCharges,MATCH($A119,List_ElectricityMeters,0),ROUNDUP(COLUMN()/3,0)-2))</f>
        <v/>
      </c>
      <c r="H119" s="127"/>
      <c r="I119" s="137"/>
      <c r="J119" s="58" t="str" cm="1">
        <f>IF(ISBLANK($A119),"",INDEX(Array_ElectricalCharges,MATCH($A119,List_ElectricityMeters,0),ROUNDUP(COLUMN()/3,0)-2))</f>
        <v/>
      </c>
      <c r="K119" s="127"/>
      <c r="L119" s="137"/>
      <c r="M119" s="58" t="str" cm="1">
        <f>IF(ISBLANK($A119),"",INDEX(Array_ElectricalCharges,MATCH($A119,List_ElectricityMeters,0),ROUNDUP(COLUMN()/3,0)-2))</f>
        <v/>
      </c>
      <c r="N119" s="127"/>
      <c r="O119" s="137"/>
      <c r="P119" s="58" t="str" cm="1">
        <f>IF(ISBLANK($A119),"",INDEX(Array_ElectricalCharges,MATCH($A119,List_ElectricityMeters,0),ROUNDUP(COLUMN()/3,0)-2))</f>
        <v/>
      </c>
      <c r="Q119" s="127"/>
      <c r="R119" s="137"/>
      <c r="S119" s="58" t="str" cm="1">
        <f>IF(ISBLANK($A119),"",INDEX(Array_ElectricalCharges,MATCH($A119,List_ElectricityMeters,0),ROUNDUP(COLUMN()/3,0)-2))</f>
        <v/>
      </c>
      <c r="T119" s="127"/>
      <c r="U119" s="137"/>
      <c r="V119" s="58" t="str" cm="1">
        <f>IF(ISBLANK($A119),"",INDEX(Array_ElectricalCharges,MATCH($A119,List_ElectricityMeters,0),ROUNDUP(COLUMN()/3,0)-2))</f>
        <v/>
      </c>
      <c r="W119" s="127"/>
      <c r="X119" s="137"/>
      <c r="Y119" s="58" t="str" cm="1">
        <f>IF(ISBLANK($A119),"",INDEX(Array_ElectricalCharges,MATCH($A119,List_ElectricityMeters,0),ROUNDUP(COLUMN()/3,0)-2))</f>
        <v/>
      </c>
      <c r="Z119" s="127"/>
      <c r="AA119" s="137"/>
      <c r="AB119" s="58" t="str" cm="1">
        <f>IF(ISBLANK($A119),"",INDEX(Array_ElectricalCharges,MATCH($A119,List_ElectricityMeters,0),ROUNDUP(COLUMN()/3,0)-2))</f>
        <v/>
      </c>
      <c r="AC119" s="127"/>
      <c r="AD119" s="137"/>
      <c r="AE119" s="58" t="str" cm="1">
        <f>IF(ISBLANK($A119),"",INDEX(Array_ElectricalCharges,MATCH($A119,List_ElectricityMeters,0),ROUNDUP(COLUMN()/3,0)-2))</f>
        <v/>
      </c>
      <c r="AF119" s="127"/>
      <c r="AG119" s="137"/>
      <c r="AH119" s="58" t="str" cm="1">
        <f>IF(ISBLANK($A119),"",INDEX(Array_ElectricalCharges,MATCH($A119,List_ElectricityMeters,0),ROUNDUP(COLUMN()/3,0)-2))</f>
        <v/>
      </c>
      <c r="AI119" s="127"/>
      <c r="AJ119" s="137"/>
      <c r="AK119" s="58" t="str" cm="1">
        <f>IF(ISBLANK($A119),"",INDEX(Array_ElectricalCharges,MATCH($A119,List_ElectricityMeters,0),ROUNDUP(COLUMN()/3,0)-2))</f>
        <v/>
      </c>
      <c r="AL119" s="127"/>
      <c r="AM119" s="137"/>
      <c r="AN119" s="58" t="str" cm="1">
        <f>IF(ISBLANK($A119),"",INDEX(Array_ElectricalCharges,MATCH($A119,List_ElectricityMeters,0),ROUNDUP(COLUMN()/3,0)-2))</f>
        <v/>
      </c>
      <c r="AO119" s="127"/>
      <c r="AP119" s="137"/>
      <c r="AQ119" s="58" t="str" cm="1">
        <f>IF(ISBLANK($A119),"",INDEX(Array_ElectricalCharges,MATCH($A119,List_ElectricityMeters,0),ROUNDUP(COLUMN()/3,0)-2))</f>
        <v/>
      </c>
      <c r="AR119" s="127"/>
      <c r="AS119" s="137"/>
      <c r="AT119" s="58" t="str" cm="1">
        <f>IF(ISBLANK($A119),"",INDEX(Array_ElectricalCharges,MATCH($A119,List_ElectricityMeters,0),ROUNDUP(COLUMN()/3,0)-2))</f>
        <v/>
      </c>
      <c r="AU119" s="127"/>
      <c r="AV119" s="137"/>
      <c r="AW119" s="58" t="str" cm="1">
        <f>IF(ISBLANK($A119),"",INDEX(Array_ElectricalCharges,MATCH($A119,List_ElectricityMeters,0),ROUNDUP(COLUMN()/3,0)-2))</f>
        <v/>
      </c>
      <c r="AX119" s="127"/>
      <c r="AY119" s="137"/>
    </row>
    <row r="120" spans="1:51" x14ac:dyDescent="0.3">
      <c r="A120" s="126"/>
      <c r="B120" s="133"/>
      <c r="C120" s="134"/>
      <c r="D120" s="134"/>
      <c r="E120" s="135"/>
      <c r="F120" s="136"/>
      <c r="G120" s="58" t="str" cm="1">
        <f>IF(ISBLANK($A120),"",INDEX(Array_ElectricalCharges,MATCH($A120,List_ElectricityMeters,0),ROUNDUP(COLUMN()/3,0)-2))</f>
        <v/>
      </c>
      <c r="H120" s="127"/>
      <c r="I120" s="137"/>
      <c r="J120" s="58" t="str" cm="1">
        <f>IF(ISBLANK($A120),"",INDEX(Array_ElectricalCharges,MATCH($A120,List_ElectricityMeters,0),ROUNDUP(COLUMN()/3,0)-2))</f>
        <v/>
      </c>
      <c r="K120" s="127"/>
      <c r="L120" s="137"/>
      <c r="M120" s="58" t="str" cm="1">
        <f>IF(ISBLANK($A120),"",INDEX(Array_ElectricalCharges,MATCH($A120,List_ElectricityMeters,0),ROUNDUP(COLUMN()/3,0)-2))</f>
        <v/>
      </c>
      <c r="N120" s="127"/>
      <c r="O120" s="137"/>
      <c r="P120" s="58" t="str" cm="1">
        <f>IF(ISBLANK($A120),"",INDEX(Array_ElectricalCharges,MATCH($A120,List_ElectricityMeters,0),ROUNDUP(COLUMN()/3,0)-2))</f>
        <v/>
      </c>
      <c r="Q120" s="127"/>
      <c r="R120" s="137"/>
      <c r="S120" s="58" t="str" cm="1">
        <f>IF(ISBLANK($A120),"",INDEX(Array_ElectricalCharges,MATCH($A120,List_ElectricityMeters,0),ROUNDUP(COLUMN()/3,0)-2))</f>
        <v/>
      </c>
      <c r="T120" s="127"/>
      <c r="U120" s="137"/>
      <c r="V120" s="58" t="str" cm="1">
        <f>IF(ISBLANK($A120),"",INDEX(Array_ElectricalCharges,MATCH($A120,List_ElectricityMeters,0),ROUNDUP(COLUMN()/3,0)-2))</f>
        <v/>
      </c>
      <c r="W120" s="127"/>
      <c r="X120" s="137"/>
      <c r="Y120" s="58" t="str" cm="1">
        <f>IF(ISBLANK($A120),"",INDEX(Array_ElectricalCharges,MATCH($A120,List_ElectricityMeters,0),ROUNDUP(COLUMN()/3,0)-2))</f>
        <v/>
      </c>
      <c r="Z120" s="127"/>
      <c r="AA120" s="137"/>
      <c r="AB120" s="58" t="str" cm="1">
        <f>IF(ISBLANK($A120),"",INDEX(Array_ElectricalCharges,MATCH($A120,List_ElectricityMeters,0),ROUNDUP(COLUMN()/3,0)-2))</f>
        <v/>
      </c>
      <c r="AC120" s="127"/>
      <c r="AD120" s="137"/>
      <c r="AE120" s="58" t="str" cm="1">
        <f>IF(ISBLANK($A120),"",INDEX(Array_ElectricalCharges,MATCH($A120,List_ElectricityMeters,0),ROUNDUP(COLUMN()/3,0)-2))</f>
        <v/>
      </c>
      <c r="AF120" s="127"/>
      <c r="AG120" s="137"/>
      <c r="AH120" s="58" t="str" cm="1">
        <f>IF(ISBLANK($A120),"",INDEX(Array_ElectricalCharges,MATCH($A120,List_ElectricityMeters,0),ROUNDUP(COLUMN()/3,0)-2))</f>
        <v/>
      </c>
      <c r="AI120" s="127"/>
      <c r="AJ120" s="137"/>
      <c r="AK120" s="58" t="str" cm="1">
        <f>IF(ISBLANK($A120),"",INDEX(Array_ElectricalCharges,MATCH($A120,List_ElectricityMeters,0),ROUNDUP(COLUMN()/3,0)-2))</f>
        <v/>
      </c>
      <c r="AL120" s="127"/>
      <c r="AM120" s="137"/>
      <c r="AN120" s="58" t="str" cm="1">
        <f>IF(ISBLANK($A120),"",INDEX(Array_ElectricalCharges,MATCH($A120,List_ElectricityMeters,0),ROUNDUP(COLUMN()/3,0)-2))</f>
        <v/>
      </c>
      <c r="AO120" s="127"/>
      <c r="AP120" s="137"/>
      <c r="AQ120" s="58" t="str" cm="1">
        <f>IF(ISBLANK($A120),"",INDEX(Array_ElectricalCharges,MATCH($A120,List_ElectricityMeters,0),ROUNDUP(COLUMN()/3,0)-2))</f>
        <v/>
      </c>
      <c r="AR120" s="127"/>
      <c r="AS120" s="137"/>
      <c r="AT120" s="58" t="str" cm="1">
        <f>IF(ISBLANK($A120),"",INDEX(Array_ElectricalCharges,MATCH($A120,List_ElectricityMeters,0),ROUNDUP(COLUMN()/3,0)-2))</f>
        <v/>
      </c>
      <c r="AU120" s="127"/>
      <c r="AV120" s="137"/>
      <c r="AW120" s="58" t="str" cm="1">
        <f>IF(ISBLANK($A120),"",INDEX(Array_ElectricalCharges,MATCH($A120,List_ElectricityMeters,0),ROUNDUP(COLUMN()/3,0)-2))</f>
        <v/>
      </c>
      <c r="AX120" s="127"/>
      <c r="AY120" s="137"/>
    </row>
    <row r="121" spans="1:51" x14ac:dyDescent="0.3">
      <c r="A121" s="126"/>
      <c r="B121" s="133"/>
      <c r="C121" s="134"/>
      <c r="D121" s="134"/>
      <c r="E121" s="135"/>
      <c r="F121" s="136"/>
      <c r="G121" s="58" t="str" cm="1">
        <f>IF(ISBLANK($A121),"",INDEX(Array_ElectricalCharges,MATCH($A121,List_ElectricityMeters,0),ROUNDUP(COLUMN()/3,0)-2))</f>
        <v/>
      </c>
      <c r="H121" s="127"/>
      <c r="I121" s="137"/>
      <c r="J121" s="58" t="str" cm="1">
        <f>IF(ISBLANK($A121),"",INDEX(Array_ElectricalCharges,MATCH($A121,List_ElectricityMeters,0),ROUNDUP(COLUMN()/3,0)-2))</f>
        <v/>
      </c>
      <c r="K121" s="127"/>
      <c r="L121" s="137"/>
      <c r="M121" s="58" t="str" cm="1">
        <f>IF(ISBLANK($A121),"",INDEX(Array_ElectricalCharges,MATCH($A121,List_ElectricityMeters,0),ROUNDUP(COLUMN()/3,0)-2))</f>
        <v/>
      </c>
      <c r="N121" s="127"/>
      <c r="O121" s="137"/>
      <c r="P121" s="58" t="str" cm="1">
        <f>IF(ISBLANK($A121),"",INDEX(Array_ElectricalCharges,MATCH($A121,List_ElectricityMeters,0),ROUNDUP(COLUMN()/3,0)-2))</f>
        <v/>
      </c>
      <c r="Q121" s="127"/>
      <c r="R121" s="137"/>
      <c r="S121" s="58" t="str" cm="1">
        <f>IF(ISBLANK($A121),"",INDEX(Array_ElectricalCharges,MATCH($A121,List_ElectricityMeters,0),ROUNDUP(COLUMN()/3,0)-2))</f>
        <v/>
      </c>
      <c r="T121" s="127"/>
      <c r="U121" s="137"/>
      <c r="V121" s="58" t="str" cm="1">
        <f>IF(ISBLANK($A121),"",INDEX(Array_ElectricalCharges,MATCH($A121,List_ElectricityMeters,0),ROUNDUP(COLUMN()/3,0)-2))</f>
        <v/>
      </c>
      <c r="W121" s="127"/>
      <c r="X121" s="137"/>
      <c r="Y121" s="58" t="str" cm="1">
        <f>IF(ISBLANK($A121),"",INDEX(Array_ElectricalCharges,MATCH($A121,List_ElectricityMeters,0),ROUNDUP(COLUMN()/3,0)-2))</f>
        <v/>
      </c>
      <c r="Z121" s="127"/>
      <c r="AA121" s="137"/>
      <c r="AB121" s="58" t="str" cm="1">
        <f>IF(ISBLANK($A121),"",INDEX(Array_ElectricalCharges,MATCH($A121,List_ElectricityMeters,0),ROUNDUP(COLUMN()/3,0)-2))</f>
        <v/>
      </c>
      <c r="AC121" s="127"/>
      <c r="AD121" s="137"/>
      <c r="AE121" s="58" t="str" cm="1">
        <f>IF(ISBLANK($A121),"",INDEX(Array_ElectricalCharges,MATCH($A121,List_ElectricityMeters,0),ROUNDUP(COLUMN()/3,0)-2))</f>
        <v/>
      </c>
      <c r="AF121" s="127"/>
      <c r="AG121" s="137"/>
      <c r="AH121" s="58" t="str" cm="1">
        <f>IF(ISBLANK($A121),"",INDEX(Array_ElectricalCharges,MATCH($A121,List_ElectricityMeters,0),ROUNDUP(COLUMN()/3,0)-2))</f>
        <v/>
      </c>
      <c r="AI121" s="127"/>
      <c r="AJ121" s="137"/>
      <c r="AK121" s="58" t="str" cm="1">
        <f>IF(ISBLANK($A121),"",INDEX(Array_ElectricalCharges,MATCH($A121,List_ElectricityMeters,0),ROUNDUP(COLUMN()/3,0)-2))</f>
        <v/>
      </c>
      <c r="AL121" s="127"/>
      <c r="AM121" s="137"/>
      <c r="AN121" s="58" t="str" cm="1">
        <f>IF(ISBLANK($A121),"",INDEX(Array_ElectricalCharges,MATCH($A121,List_ElectricityMeters,0),ROUNDUP(COLUMN()/3,0)-2))</f>
        <v/>
      </c>
      <c r="AO121" s="127"/>
      <c r="AP121" s="137"/>
      <c r="AQ121" s="58" t="str" cm="1">
        <f>IF(ISBLANK($A121),"",INDEX(Array_ElectricalCharges,MATCH($A121,List_ElectricityMeters,0),ROUNDUP(COLUMN()/3,0)-2))</f>
        <v/>
      </c>
      <c r="AR121" s="127"/>
      <c r="AS121" s="137"/>
      <c r="AT121" s="58" t="str" cm="1">
        <f>IF(ISBLANK($A121),"",INDEX(Array_ElectricalCharges,MATCH($A121,List_ElectricityMeters,0),ROUNDUP(COLUMN()/3,0)-2))</f>
        <v/>
      </c>
      <c r="AU121" s="127"/>
      <c r="AV121" s="137"/>
      <c r="AW121" s="58" t="str" cm="1">
        <f>IF(ISBLANK($A121),"",INDEX(Array_ElectricalCharges,MATCH($A121,List_ElectricityMeters,0),ROUNDUP(COLUMN()/3,0)-2))</f>
        <v/>
      </c>
      <c r="AX121" s="127"/>
      <c r="AY121" s="137"/>
    </row>
    <row r="122" spans="1:51" x14ac:dyDescent="0.3">
      <c r="A122" s="126"/>
      <c r="B122" s="133"/>
      <c r="C122" s="134"/>
      <c r="D122" s="134"/>
      <c r="E122" s="135"/>
      <c r="F122" s="136"/>
      <c r="G122" s="58" t="str" cm="1">
        <f>IF(ISBLANK($A122),"",INDEX(Array_ElectricalCharges,MATCH($A122,List_ElectricityMeters,0),ROUNDUP(COLUMN()/3,0)-2))</f>
        <v/>
      </c>
      <c r="H122" s="127"/>
      <c r="I122" s="137"/>
      <c r="J122" s="58" t="str" cm="1">
        <f>IF(ISBLANK($A122),"",INDEX(Array_ElectricalCharges,MATCH($A122,List_ElectricityMeters,0),ROUNDUP(COLUMN()/3,0)-2))</f>
        <v/>
      </c>
      <c r="K122" s="127"/>
      <c r="L122" s="137"/>
      <c r="M122" s="58" t="str" cm="1">
        <f>IF(ISBLANK($A122),"",INDEX(Array_ElectricalCharges,MATCH($A122,List_ElectricityMeters,0),ROUNDUP(COLUMN()/3,0)-2))</f>
        <v/>
      </c>
      <c r="N122" s="127"/>
      <c r="O122" s="137"/>
      <c r="P122" s="58" t="str" cm="1">
        <f>IF(ISBLANK($A122),"",INDEX(Array_ElectricalCharges,MATCH($A122,List_ElectricityMeters,0),ROUNDUP(COLUMN()/3,0)-2))</f>
        <v/>
      </c>
      <c r="Q122" s="127"/>
      <c r="R122" s="137"/>
      <c r="S122" s="58" t="str" cm="1">
        <f>IF(ISBLANK($A122),"",INDEX(Array_ElectricalCharges,MATCH($A122,List_ElectricityMeters,0),ROUNDUP(COLUMN()/3,0)-2))</f>
        <v/>
      </c>
      <c r="T122" s="127"/>
      <c r="U122" s="137"/>
      <c r="V122" s="58" t="str" cm="1">
        <f>IF(ISBLANK($A122),"",INDEX(Array_ElectricalCharges,MATCH($A122,List_ElectricityMeters,0),ROUNDUP(COLUMN()/3,0)-2))</f>
        <v/>
      </c>
      <c r="W122" s="127"/>
      <c r="X122" s="137"/>
      <c r="Y122" s="58" t="str" cm="1">
        <f>IF(ISBLANK($A122),"",INDEX(Array_ElectricalCharges,MATCH($A122,List_ElectricityMeters,0),ROUNDUP(COLUMN()/3,0)-2))</f>
        <v/>
      </c>
      <c r="Z122" s="127"/>
      <c r="AA122" s="137"/>
      <c r="AB122" s="58" t="str" cm="1">
        <f>IF(ISBLANK($A122),"",INDEX(Array_ElectricalCharges,MATCH($A122,List_ElectricityMeters,0),ROUNDUP(COLUMN()/3,0)-2))</f>
        <v/>
      </c>
      <c r="AC122" s="127"/>
      <c r="AD122" s="137"/>
      <c r="AE122" s="58" t="str" cm="1">
        <f>IF(ISBLANK($A122),"",INDEX(Array_ElectricalCharges,MATCH($A122,List_ElectricityMeters,0),ROUNDUP(COLUMN()/3,0)-2))</f>
        <v/>
      </c>
      <c r="AF122" s="127"/>
      <c r="AG122" s="137"/>
      <c r="AH122" s="58" t="str" cm="1">
        <f>IF(ISBLANK($A122),"",INDEX(Array_ElectricalCharges,MATCH($A122,List_ElectricityMeters,0),ROUNDUP(COLUMN()/3,0)-2))</f>
        <v/>
      </c>
      <c r="AI122" s="127"/>
      <c r="AJ122" s="137"/>
      <c r="AK122" s="58" t="str" cm="1">
        <f>IF(ISBLANK($A122),"",INDEX(Array_ElectricalCharges,MATCH($A122,List_ElectricityMeters,0),ROUNDUP(COLUMN()/3,0)-2))</f>
        <v/>
      </c>
      <c r="AL122" s="127"/>
      <c r="AM122" s="137"/>
      <c r="AN122" s="58" t="str" cm="1">
        <f>IF(ISBLANK($A122),"",INDEX(Array_ElectricalCharges,MATCH($A122,List_ElectricityMeters,0),ROUNDUP(COLUMN()/3,0)-2))</f>
        <v/>
      </c>
      <c r="AO122" s="127"/>
      <c r="AP122" s="137"/>
      <c r="AQ122" s="58" t="str" cm="1">
        <f>IF(ISBLANK($A122),"",INDEX(Array_ElectricalCharges,MATCH($A122,List_ElectricityMeters,0),ROUNDUP(COLUMN()/3,0)-2))</f>
        <v/>
      </c>
      <c r="AR122" s="127"/>
      <c r="AS122" s="137"/>
      <c r="AT122" s="58" t="str" cm="1">
        <f>IF(ISBLANK($A122),"",INDEX(Array_ElectricalCharges,MATCH($A122,List_ElectricityMeters,0),ROUNDUP(COLUMN()/3,0)-2))</f>
        <v/>
      </c>
      <c r="AU122" s="127"/>
      <c r="AV122" s="137"/>
      <c r="AW122" s="58" t="str" cm="1">
        <f>IF(ISBLANK($A122),"",INDEX(Array_ElectricalCharges,MATCH($A122,List_ElectricityMeters,0),ROUNDUP(COLUMN()/3,0)-2))</f>
        <v/>
      </c>
      <c r="AX122" s="127"/>
      <c r="AY122" s="137"/>
    </row>
    <row r="123" spans="1:51" x14ac:dyDescent="0.3">
      <c r="A123" s="126"/>
      <c r="B123" s="133"/>
      <c r="C123" s="134"/>
      <c r="D123" s="134"/>
      <c r="E123" s="135"/>
      <c r="F123" s="136"/>
      <c r="G123" s="58" t="str" cm="1">
        <f>IF(ISBLANK($A123),"",INDEX(Array_ElectricalCharges,MATCH($A123,List_ElectricityMeters,0),ROUNDUP(COLUMN()/3,0)-2))</f>
        <v/>
      </c>
      <c r="H123" s="127"/>
      <c r="I123" s="137"/>
      <c r="J123" s="58" t="str" cm="1">
        <f>IF(ISBLANK($A123),"",INDEX(Array_ElectricalCharges,MATCH($A123,List_ElectricityMeters,0),ROUNDUP(COLUMN()/3,0)-2))</f>
        <v/>
      </c>
      <c r="K123" s="127"/>
      <c r="L123" s="137"/>
      <c r="M123" s="58" t="str" cm="1">
        <f>IF(ISBLANK($A123),"",INDEX(Array_ElectricalCharges,MATCH($A123,List_ElectricityMeters,0),ROUNDUP(COLUMN()/3,0)-2))</f>
        <v/>
      </c>
      <c r="N123" s="127"/>
      <c r="O123" s="137"/>
      <c r="P123" s="58" t="str" cm="1">
        <f>IF(ISBLANK($A123),"",INDEX(Array_ElectricalCharges,MATCH($A123,List_ElectricityMeters,0),ROUNDUP(COLUMN()/3,0)-2))</f>
        <v/>
      </c>
      <c r="Q123" s="127"/>
      <c r="R123" s="137"/>
      <c r="S123" s="58" t="str" cm="1">
        <f>IF(ISBLANK($A123),"",INDEX(Array_ElectricalCharges,MATCH($A123,List_ElectricityMeters,0),ROUNDUP(COLUMN()/3,0)-2))</f>
        <v/>
      </c>
      <c r="T123" s="127"/>
      <c r="U123" s="137"/>
      <c r="V123" s="58" t="str" cm="1">
        <f>IF(ISBLANK($A123),"",INDEX(Array_ElectricalCharges,MATCH($A123,List_ElectricityMeters,0),ROUNDUP(COLUMN()/3,0)-2))</f>
        <v/>
      </c>
      <c r="W123" s="127"/>
      <c r="X123" s="137"/>
      <c r="Y123" s="58" t="str" cm="1">
        <f>IF(ISBLANK($A123),"",INDEX(Array_ElectricalCharges,MATCH($A123,List_ElectricityMeters,0),ROUNDUP(COLUMN()/3,0)-2))</f>
        <v/>
      </c>
      <c r="Z123" s="127"/>
      <c r="AA123" s="137"/>
      <c r="AB123" s="58" t="str" cm="1">
        <f>IF(ISBLANK($A123),"",INDEX(Array_ElectricalCharges,MATCH($A123,List_ElectricityMeters,0),ROUNDUP(COLUMN()/3,0)-2))</f>
        <v/>
      </c>
      <c r="AC123" s="127"/>
      <c r="AD123" s="137"/>
      <c r="AE123" s="58" t="str" cm="1">
        <f>IF(ISBLANK($A123),"",INDEX(Array_ElectricalCharges,MATCH($A123,List_ElectricityMeters,0),ROUNDUP(COLUMN()/3,0)-2))</f>
        <v/>
      </c>
      <c r="AF123" s="127"/>
      <c r="AG123" s="137"/>
      <c r="AH123" s="58" t="str" cm="1">
        <f>IF(ISBLANK($A123),"",INDEX(Array_ElectricalCharges,MATCH($A123,List_ElectricityMeters,0),ROUNDUP(COLUMN()/3,0)-2))</f>
        <v/>
      </c>
      <c r="AI123" s="127"/>
      <c r="AJ123" s="137"/>
      <c r="AK123" s="58" t="str" cm="1">
        <f>IF(ISBLANK($A123),"",INDEX(Array_ElectricalCharges,MATCH($A123,List_ElectricityMeters,0),ROUNDUP(COLUMN()/3,0)-2))</f>
        <v/>
      </c>
      <c r="AL123" s="127"/>
      <c r="AM123" s="137"/>
      <c r="AN123" s="58" t="str" cm="1">
        <f>IF(ISBLANK($A123),"",INDEX(Array_ElectricalCharges,MATCH($A123,List_ElectricityMeters,0),ROUNDUP(COLUMN()/3,0)-2))</f>
        <v/>
      </c>
      <c r="AO123" s="127"/>
      <c r="AP123" s="137"/>
      <c r="AQ123" s="58" t="str" cm="1">
        <f>IF(ISBLANK($A123),"",INDEX(Array_ElectricalCharges,MATCH($A123,List_ElectricityMeters,0),ROUNDUP(COLUMN()/3,0)-2))</f>
        <v/>
      </c>
      <c r="AR123" s="127"/>
      <c r="AS123" s="137"/>
      <c r="AT123" s="58" t="str" cm="1">
        <f>IF(ISBLANK($A123),"",INDEX(Array_ElectricalCharges,MATCH($A123,List_ElectricityMeters,0),ROUNDUP(COLUMN()/3,0)-2))</f>
        <v/>
      </c>
      <c r="AU123" s="127"/>
      <c r="AV123" s="137"/>
      <c r="AW123" s="58" t="str" cm="1">
        <f>IF(ISBLANK($A123),"",INDEX(Array_ElectricalCharges,MATCH($A123,List_ElectricityMeters,0),ROUNDUP(COLUMN()/3,0)-2))</f>
        <v/>
      </c>
      <c r="AX123" s="127"/>
      <c r="AY123" s="137"/>
    </row>
    <row r="124" spans="1:51" x14ac:dyDescent="0.3">
      <c r="A124" s="126"/>
      <c r="B124" s="133"/>
      <c r="C124" s="134"/>
      <c r="D124" s="134"/>
      <c r="E124" s="135"/>
      <c r="F124" s="136"/>
      <c r="G124" s="58" t="str" cm="1">
        <f>IF(ISBLANK($A124),"",INDEX(Array_ElectricalCharges,MATCH($A124,List_ElectricityMeters,0),ROUNDUP(COLUMN()/3,0)-2))</f>
        <v/>
      </c>
      <c r="H124" s="127"/>
      <c r="I124" s="137"/>
      <c r="J124" s="58" t="str" cm="1">
        <f>IF(ISBLANK($A124),"",INDEX(Array_ElectricalCharges,MATCH($A124,List_ElectricityMeters,0),ROUNDUP(COLUMN()/3,0)-2))</f>
        <v/>
      </c>
      <c r="K124" s="127"/>
      <c r="L124" s="137"/>
      <c r="M124" s="58" t="str" cm="1">
        <f>IF(ISBLANK($A124),"",INDEX(Array_ElectricalCharges,MATCH($A124,List_ElectricityMeters,0),ROUNDUP(COLUMN()/3,0)-2))</f>
        <v/>
      </c>
      <c r="N124" s="127"/>
      <c r="O124" s="137"/>
      <c r="P124" s="58" t="str" cm="1">
        <f>IF(ISBLANK($A124),"",INDEX(Array_ElectricalCharges,MATCH($A124,List_ElectricityMeters,0),ROUNDUP(COLUMN()/3,0)-2))</f>
        <v/>
      </c>
      <c r="Q124" s="127"/>
      <c r="R124" s="137"/>
      <c r="S124" s="58" t="str" cm="1">
        <f>IF(ISBLANK($A124),"",INDEX(Array_ElectricalCharges,MATCH($A124,List_ElectricityMeters,0),ROUNDUP(COLUMN()/3,0)-2))</f>
        <v/>
      </c>
      <c r="T124" s="127"/>
      <c r="U124" s="137"/>
      <c r="V124" s="58" t="str" cm="1">
        <f>IF(ISBLANK($A124),"",INDEX(Array_ElectricalCharges,MATCH($A124,List_ElectricityMeters,0),ROUNDUP(COLUMN()/3,0)-2))</f>
        <v/>
      </c>
      <c r="W124" s="127"/>
      <c r="X124" s="137"/>
      <c r="Y124" s="58" t="str" cm="1">
        <f>IF(ISBLANK($A124),"",INDEX(Array_ElectricalCharges,MATCH($A124,List_ElectricityMeters,0),ROUNDUP(COLUMN()/3,0)-2))</f>
        <v/>
      </c>
      <c r="Z124" s="127"/>
      <c r="AA124" s="137"/>
      <c r="AB124" s="58" t="str" cm="1">
        <f>IF(ISBLANK($A124),"",INDEX(Array_ElectricalCharges,MATCH($A124,List_ElectricityMeters,0),ROUNDUP(COLUMN()/3,0)-2))</f>
        <v/>
      </c>
      <c r="AC124" s="127"/>
      <c r="AD124" s="137"/>
      <c r="AE124" s="58" t="str" cm="1">
        <f>IF(ISBLANK($A124),"",INDEX(Array_ElectricalCharges,MATCH($A124,List_ElectricityMeters,0),ROUNDUP(COLUMN()/3,0)-2))</f>
        <v/>
      </c>
      <c r="AF124" s="127"/>
      <c r="AG124" s="137"/>
      <c r="AH124" s="58" t="str" cm="1">
        <f>IF(ISBLANK($A124),"",INDEX(Array_ElectricalCharges,MATCH($A124,List_ElectricityMeters,0),ROUNDUP(COLUMN()/3,0)-2))</f>
        <v/>
      </c>
      <c r="AI124" s="127"/>
      <c r="AJ124" s="137"/>
      <c r="AK124" s="58" t="str" cm="1">
        <f>IF(ISBLANK($A124),"",INDEX(Array_ElectricalCharges,MATCH($A124,List_ElectricityMeters,0),ROUNDUP(COLUMN()/3,0)-2))</f>
        <v/>
      </c>
      <c r="AL124" s="127"/>
      <c r="AM124" s="137"/>
      <c r="AN124" s="58" t="str" cm="1">
        <f>IF(ISBLANK($A124),"",INDEX(Array_ElectricalCharges,MATCH($A124,List_ElectricityMeters,0),ROUNDUP(COLUMN()/3,0)-2))</f>
        <v/>
      </c>
      <c r="AO124" s="127"/>
      <c r="AP124" s="137"/>
      <c r="AQ124" s="58" t="str" cm="1">
        <f>IF(ISBLANK($A124),"",INDEX(Array_ElectricalCharges,MATCH($A124,List_ElectricityMeters,0),ROUNDUP(COLUMN()/3,0)-2))</f>
        <v/>
      </c>
      <c r="AR124" s="127"/>
      <c r="AS124" s="137"/>
      <c r="AT124" s="58" t="str" cm="1">
        <f>IF(ISBLANK($A124),"",INDEX(Array_ElectricalCharges,MATCH($A124,List_ElectricityMeters,0),ROUNDUP(COLUMN()/3,0)-2))</f>
        <v/>
      </c>
      <c r="AU124" s="127"/>
      <c r="AV124" s="137"/>
      <c r="AW124" s="58" t="str" cm="1">
        <f>IF(ISBLANK($A124),"",INDEX(Array_ElectricalCharges,MATCH($A124,List_ElectricityMeters,0),ROUNDUP(COLUMN()/3,0)-2))</f>
        <v/>
      </c>
      <c r="AX124" s="127"/>
      <c r="AY124" s="137"/>
    </row>
    <row r="125" spans="1:51" x14ac:dyDescent="0.3">
      <c r="A125" s="126"/>
      <c r="B125" s="133"/>
      <c r="C125" s="134"/>
      <c r="D125" s="134"/>
      <c r="E125" s="135"/>
      <c r="F125" s="136"/>
      <c r="G125" s="58" t="str" cm="1">
        <f>IF(ISBLANK($A125),"",INDEX(Array_ElectricalCharges,MATCH($A125,List_ElectricityMeters,0),ROUNDUP(COLUMN()/3,0)-2))</f>
        <v/>
      </c>
      <c r="H125" s="127"/>
      <c r="I125" s="137"/>
      <c r="J125" s="58" t="str" cm="1">
        <f>IF(ISBLANK($A125),"",INDEX(Array_ElectricalCharges,MATCH($A125,List_ElectricityMeters,0),ROUNDUP(COLUMN()/3,0)-2))</f>
        <v/>
      </c>
      <c r="K125" s="127"/>
      <c r="L125" s="137"/>
      <c r="M125" s="58" t="str" cm="1">
        <f>IF(ISBLANK($A125),"",INDEX(Array_ElectricalCharges,MATCH($A125,List_ElectricityMeters,0),ROUNDUP(COLUMN()/3,0)-2))</f>
        <v/>
      </c>
      <c r="N125" s="127"/>
      <c r="O125" s="137"/>
      <c r="P125" s="58" t="str" cm="1">
        <f>IF(ISBLANK($A125),"",INDEX(Array_ElectricalCharges,MATCH($A125,List_ElectricityMeters,0),ROUNDUP(COLUMN()/3,0)-2))</f>
        <v/>
      </c>
      <c r="Q125" s="127"/>
      <c r="R125" s="137"/>
      <c r="S125" s="58" t="str" cm="1">
        <f>IF(ISBLANK($A125),"",INDEX(Array_ElectricalCharges,MATCH($A125,List_ElectricityMeters,0),ROUNDUP(COLUMN()/3,0)-2))</f>
        <v/>
      </c>
      <c r="T125" s="127"/>
      <c r="U125" s="137"/>
      <c r="V125" s="58" t="str" cm="1">
        <f>IF(ISBLANK($A125),"",INDEX(Array_ElectricalCharges,MATCH($A125,List_ElectricityMeters,0),ROUNDUP(COLUMN()/3,0)-2))</f>
        <v/>
      </c>
      <c r="W125" s="127"/>
      <c r="X125" s="137"/>
      <c r="Y125" s="58" t="str" cm="1">
        <f>IF(ISBLANK($A125),"",INDEX(Array_ElectricalCharges,MATCH($A125,List_ElectricityMeters,0),ROUNDUP(COLUMN()/3,0)-2))</f>
        <v/>
      </c>
      <c r="Z125" s="127"/>
      <c r="AA125" s="137"/>
      <c r="AB125" s="58" t="str" cm="1">
        <f>IF(ISBLANK($A125),"",INDEX(Array_ElectricalCharges,MATCH($A125,List_ElectricityMeters,0),ROUNDUP(COLUMN()/3,0)-2))</f>
        <v/>
      </c>
      <c r="AC125" s="127"/>
      <c r="AD125" s="137"/>
      <c r="AE125" s="58" t="str" cm="1">
        <f>IF(ISBLANK($A125),"",INDEX(Array_ElectricalCharges,MATCH($A125,List_ElectricityMeters,0),ROUNDUP(COLUMN()/3,0)-2))</f>
        <v/>
      </c>
      <c r="AF125" s="127"/>
      <c r="AG125" s="137"/>
      <c r="AH125" s="58" t="str" cm="1">
        <f>IF(ISBLANK($A125),"",INDEX(Array_ElectricalCharges,MATCH($A125,List_ElectricityMeters,0),ROUNDUP(COLUMN()/3,0)-2))</f>
        <v/>
      </c>
      <c r="AI125" s="127"/>
      <c r="AJ125" s="137"/>
      <c r="AK125" s="58" t="str" cm="1">
        <f>IF(ISBLANK($A125),"",INDEX(Array_ElectricalCharges,MATCH($A125,List_ElectricityMeters,0),ROUNDUP(COLUMN()/3,0)-2))</f>
        <v/>
      </c>
      <c r="AL125" s="127"/>
      <c r="AM125" s="137"/>
      <c r="AN125" s="58" t="str" cm="1">
        <f>IF(ISBLANK($A125),"",INDEX(Array_ElectricalCharges,MATCH($A125,List_ElectricityMeters,0),ROUNDUP(COLUMN()/3,0)-2))</f>
        <v/>
      </c>
      <c r="AO125" s="127"/>
      <c r="AP125" s="137"/>
      <c r="AQ125" s="58" t="str" cm="1">
        <f>IF(ISBLANK($A125),"",INDEX(Array_ElectricalCharges,MATCH($A125,List_ElectricityMeters,0),ROUNDUP(COLUMN()/3,0)-2))</f>
        <v/>
      </c>
      <c r="AR125" s="127"/>
      <c r="AS125" s="137"/>
      <c r="AT125" s="58" t="str" cm="1">
        <f>IF(ISBLANK($A125),"",INDEX(Array_ElectricalCharges,MATCH($A125,List_ElectricityMeters,0),ROUNDUP(COLUMN()/3,0)-2))</f>
        <v/>
      </c>
      <c r="AU125" s="127"/>
      <c r="AV125" s="137"/>
      <c r="AW125" s="58" t="str" cm="1">
        <f>IF(ISBLANK($A125),"",INDEX(Array_ElectricalCharges,MATCH($A125,List_ElectricityMeters,0),ROUNDUP(COLUMN()/3,0)-2))</f>
        <v/>
      </c>
      <c r="AX125" s="127"/>
      <c r="AY125" s="137"/>
    </row>
    <row r="126" spans="1:51" x14ac:dyDescent="0.3">
      <c r="A126" s="126"/>
      <c r="B126" s="133"/>
      <c r="C126" s="134"/>
      <c r="D126" s="134"/>
      <c r="E126" s="135"/>
      <c r="F126" s="136"/>
      <c r="G126" s="58" t="str" cm="1">
        <f>IF(ISBLANK($A126),"",INDEX(Array_ElectricalCharges,MATCH($A126,List_ElectricityMeters,0),ROUNDUP(COLUMN()/3,0)-2))</f>
        <v/>
      </c>
      <c r="H126" s="127"/>
      <c r="I126" s="137"/>
      <c r="J126" s="58" t="str" cm="1">
        <f>IF(ISBLANK($A126),"",INDEX(Array_ElectricalCharges,MATCH($A126,List_ElectricityMeters,0),ROUNDUP(COLUMN()/3,0)-2))</f>
        <v/>
      </c>
      <c r="K126" s="127"/>
      <c r="L126" s="137"/>
      <c r="M126" s="58" t="str" cm="1">
        <f>IF(ISBLANK($A126),"",INDEX(Array_ElectricalCharges,MATCH($A126,List_ElectricityMeters,0),ROUNDUP(COLUMN()/3,0)-2))</f>
        <v/>
      </c>
      <c r="N126" s="127"/>
      <c r="O126" s="137"/>
      <c r="P126" s="58" t="str" cm="1">
        <f>IF(ISBLANK($A126),"",INDEX(Array_ElectricalCharges,MATCH($A126,List_ElectricityMeters,0),ROUNDUP(COLUMN()/3,0)-2))</f>
        <v/>
      </c>
      <c r="Q126" s="127"/>
      <c r="R126" s="137"/>
      <c r="S126" s="58" t="str" cm="1">
        <f>IF(ISBLANK($A126),"",INDEX(Array_ElectricalCharges,MATCH($A126,List_ElectricityMeters,0),ROUNDUP(COLUMN()/3,0)-2))</f>
        <v/>
      </c>
      <c r="T126" s="127"/>
      <c r="U126" s="137"/>
      <c r="V126" s="58" t="str" cm="1">
        <f>IF(ISBLANK($A126),"",INDEX(Array_ElectricalCharges,MATCH($A126,List_ElectricityMeters,0),ROUNDUP(COLUMN()/3,0)-2))</f>
        <v/>
      </c>
      <c r="W126" s="127"/>
      <c r="X126" s="137"/>
      <c r="Y126" s="58" t="str" cm="1">
        <f>IF(ISBLANK($A126),"",INDEX(Array_ElectricalCharges,MATCH($A126,List_ElectricityMeters,0),ROUNDUP(COLUMN()/3,0)-2))</f>
        <v/>
      </c>
      <c r="Z126" s="127"/>
      <c r="AA126" s="137"/>
      <c r="AB126" s="58" t="str" cm="1">
        <f>IF(ISBLANK($A126),"",INDEX(Array_ElectricalCharges,MATCH($A126,List_ElectricityMeters,0),ROUNDUP(COLUMN()/3,0)-2))</f>
        <v/>
      </c>
      <c r="AC126" s="127"/>
      <c r="AD126" s="137"/>
      <c r="AE126" s="58" t="str" cm="1">
        <f>IF(ISBLANK($A126),"",INDEX(Array_ElectricalCharges,MATCH($A126,List_ElectricityMeters,0),ROUNDUP(COLUMN()/3,0)-2))</f>
        <v/>
      </c>
      <c r="AF126" s="127"/>
      <c r="AG126" s="137"/>
      <c r="AH126" s="58" t="str" cm="1">
        <f>IF(ISBLANK($A126),"",INDEX(Array_ElectricalCharges,MATCH($A126,List_ElectricityMeters,0),ROUNDUP(COLUMN()/3,0)-2))</f>
        <v/>
      </c>
      <c r="AI126" s="127"/>
      <c r="AJ126" s="137"/>
      <c r="AK126" s="58" t="str" cm="1">
        <f>IF(ISBLANK($A126),"",INDEX(Array_ElectricalCharges,MATCH($A126,List_ElectricityMeters,0),ROUNDUP(COLUMN()/3,0)-2))</f>
        <v/>
      </c>
      <c r="AL126" s="127"/>
      <c r="AM126" s="137"/>
      <c r="AN126" s="58" t="str" cm="1">
        <f>IF(ISBLANK($A126),"",INDEX(Array_ElectricalCharges,MATCH($A126,List_ElectricityMeters,0),ROUNDUP(COLUMN()/3,0)-2))</f>
        <v/>
      </c>
      <c r="AO126" s="127"/>
      <c r="AP126" s="137"/>
      <c r="AQ126" s="58" t="str" cm="1">
        <f>IF(ISBLANK($A126),"",INDEX(Array_ElectricalCharges,MATCH($A126,List_ElectricityMeters,0),ROUNDUP(COLUMN()/3,0)-2))</f>
        <v/>
      </c>
      <c r="AR126" s="127"/>
      <c r="AS126" s="137"/>
      <c r="AT126" s="58" t="str" cm="1">
        <f>IF(ISBLANK($A126),"",INDEX(Array_ElectricalCharges,MATCH($A126,List_ElectricityMeters,0),ROUNDUP(COLUMN()/3,0)-2))</f>
        <v/>
      </c>
      <c r="AU126" s="127"/>
      <c r="AV126" s="137"/>
      <c r="AW126" s="58" t="str" cm="1">
        <f>IF(ISBLANK($A126),"",INDEX(Array_ElectricalCharges,MATCH($A126,List_ElectricityMeters,0),ROUNDUP(COLUMN()/3,0)-2))</f>
        <v/>
      </c>
      <c r="AX126" s="127"/>
      <c r="AY126" s="137"/>
    </row>
    <row r="127" spans="1:51" x14ac:dyDescent="0.3">
      <c r="A127" s="126"/>
      <c r="B127" s="133"/>
      <c r="C127" s="134"/>
      <c r="D127" s="134"/>
      <c r="E127" s="135"/>
      <c r="F127" s="136"/>
      <c r="G127" s="58" t="str" cm="1">
        <f>IF(ISBLANK($A127),"",INDEX(Array_ElectricalCharges,MATCH($A127,List_ElectricityMeters,0),ROUNDUP(COLUMN()/3,0)-2))</f>
        <v/>
      </c>
      <c r="H127" s="127"/>
      <c r="I127" s="137"/>
      <c r="J127" s="58" t="str" cm="1">
        <f>IF(ISBLANK($A127),"",INDEX(Array_ElectricalCharges,MATCH($A127,List_ElectricityMeters,0),ROUNDUP(COLUMN()/3,0)-2))</f>
        <v/>
      </c>
      <c r="K127" s="127"/>
      <c r="L127" s="137"/>
      <c r="M127" s="58" t="str" cm="1">
        <f>IF(ISBLANK($A127),"",INDEX(Array_ElectricalCharges,MATCH($A127,List_ElectricityMeters,0),ROUNDUP(COLUMN()/3,0)-2))</f>
        <v/>
      </c>
      <c r="N127" s="127"/>
      <c r="O127" s="137"/>
      <c r="P127" s="58" t="str" cm="1">
        <f>IF(ISBLANK($A127),"",INDEX(Array_ElectricalCharges,MATCH($A127,List_ElectricityMeters,0),ROUNDUP(COLUMN()/3,0)-2))</f>
        <v/>
      </c>
      <c r="Q127" s="127"/>
      <c r="R127" s="137"/>
      <c r="S127" s="58" t="str" cm="1">
        <f>IF(ISBLANK($A127),"",INDEX(Array_ElectricalCharges,MATCH($A127,List_ElectricityMeters,0),ROUNDUP(COLUMN()/3,0)-2))</f>
        <v/>
      </c>
      <c r="T127" s="127"/>
      <c r="U127" s="137"/>
      <c r="V127" s="58" t="str" cm="1">
        <f>IF(ISBLANK($A127),"",INDEX(Array_ElectricalCharges,MATCH($A127,List_ElectricityMeters,0),ROUNDUP(COLUMN()/3,0)-2))</f>
        <v/>
      </c>
      <c r="W127" s="127"/>
      <c r="X127" s="137"/>
      <c r="Y127" s="58" t="str" cm="1">
        <f>IF(ISBLANK($A127),"",INDEX(Array_ElectricalCharges,MATCH($A127,List_ElectricityMeters,0),ROUNDUP(COLUMN()/3,0)-2))</f>
        <v/>
      </c>
      <c r="Z127" s="127"/>
      <c r="AA127" s="137"/>
      <c r="AB127" s="58" t="str" cm="1">
        <f>IF(ISBLANK($A127),"",INDEX(Array_ElectricalCharges,MATCH($A127,List_ElectricityMeters,0),ROUNDUP(COLUMN()/3,0)-2))</f>
        <v/>
      </c>
      <c r="AC127" s="127"/>
      <c r="AD127" s="137"/>
      <c r="AE127" s="58" t="str" cm="1">
        <f>IF(ISBLANK($A127),"",INDEX(Array_ElectricalCharges,MATCH($A127,List_ElectricityMeters,0),ROUNDUP(COLUMN()/3,0)-2))</f>
        <v/>
      </c>
      <c r="AF127" s="127"/>
      <c r="AG127" s="137"/>
      <c r="AH127" s="58" t="str" cm="1">
        <f>IF(ISBLANK($A127),"",INDEX(Array_ElectricalCharges,MATCH($A127,List_ElectricityMeters,0),ROUNDUP(COLUMN()/3,0)-2))</f>
        <v/>
      </c>
      <c r="AI127" s="127"/>
      <c r="AJ127" s="137"/>
      <c r="AK127" s="58" t="str" cm="1">
        <f>IF(ISBLANK($A127),"",INDEX(Array_ElectricalCharges,MATCH($A127,List_ElectricityMeters,0),ROUNDUP(COLUMN()/3,0)-2))</f>
        <v/>
      </c>
      <c r="AL127" s="127"/>
      <c r="AM127" s="137"/>
      <c r="AN127" s="58" t="str" cm="1">
        <f>IF(ISBLANK($A127),"",INDEX(Array_ElectricalCharges,MATCH($A127,List_ElectricityMeters,0),ROUNDUP(COLUMN()/3,0)-2))</f>
        <v/>
      </c>
      <c r="AO127" s="127"/>
      <c r="AP127" s="137"/>
      <c r="AQ127" s="58" t="str" cm="1">
        <f>IF(ISBLANK($A127),"",INDEX(Array_ElectricalCharges,MATCH($A127,List_ElectricityMeters,0),ROUNDUP(COLUMN()/3,0)-2))</f>
        <v/>
      </c>
      <c r="AR127" s="127"/>
      <c r="AS127" s="137"/>
      <c r="AT127" s="58" t="str" cm="1">
        <f>IF(ISBLANK($A127),"",INDEX(Array_ElectricalCharges,MATCH($A127,List_ElectricityMeters,0),ROUNDUP(COLUMN()/3,0)-2))</f>
        <v/>
      </c>
      <c r="AU127" s="127"/>
      <c r="AV127" s="137"/>
      <c r="AW127" s="58" t="str" cm="1">
        <f>IF(ISBLANK($A127),"",INDEX(Array_ElectricalCharges,MATCH($A127,List_ElectricityMeters,0),ROUNDUP(COLUMN()/3,0)-2))</f>
        <v/>
      </c>
      <c r="AX127" s="127"/>
      <c r="AY127" s="137"/>
    </row>
    <row r="128" spans="1:51" x14ac:dyDescent="0.3">
      <c r="A128" s="126"/>
      <c r="B128" s="133"/>
      <c r="C128" s="134"/>
      <c r="D128" s="134"/>
      <c r="E128" s="135"/>
      <c r="F128" s="136"/>
      <c r="G128" s="58" t="str" cm="1">
        <f>IF(ISBLANK($A128),"",INDEX(Array_ElectricalCharges,MATCH($A128,List_ElectricityMeters,0),ROUNDUP(COLUMN()/3,0)-2))</f>
        <v/>
      </c>
      <c r="H128" s="127"/>
      <c r="I128" s="137"/>
      <c r="J128" s="58" t="str" cm="1">
        <f>IF(ISBLANK($A128),"",INDEX(Array_ElectricalCharges,MATCH($A128,List_ElectricityMeters,0),ROUNDUP(COLUMN()/3,0)-2))</f>
        <v/>
      </c>
      <c r="K128" s="127"/>
      <c r="L128" s="137"/>
      <c r="M128" s="58" t="str" cm="1">
        <f>IF(ISBLANK($A128),"",INDEX(Array_ElectricalCharges,MATCH($A128,List_ElectricityMeters,0),ROUNDUP(COLUMN()/3,0)-2))</f>
        <v/>
      </c>
      <c r="N128" s="127"/>
      <c r="O128" s="137"/>
      <c r="P128" s="58" t="str" cm="1">
        <f>IF(ISBLANK($A128),"",INDEX(Array_ElectricalCharges,MATCH($A128,List_ElectricityMeters,0),ROUNDUP(COLUMN()/3,0)-2))</f>
        <v/>
      </c>
      <c r="Q128" s="127"/>
      <c r="R128" s="137"/>
      <c r="S128" s="58" t="str" cm="1">
        <f>IF(ISBLANK($A128),"",INDEX(Array_ElectricalCharges,MATCH($A128,List_ElectricityMeters,0),ROUNDUP(COLUMN()/3,0)-2))</f>
        <v/>
      </c>
      <c r="T128" s="127"/>
      <c r="U128" s="137"/>
      <c r="V128" s="58" t="str" cm="1">
        <f>IF(ISBLANK($A128),"",INDEX(Array_ElectricalCharges,MATCH($A128,List_ElectricityMeters,0),ROUNDUP(COLUMN()/3,0)-2))</f>
        <v/>
      </c>
      <c r="W128" s="127"/>
      <c r="X128" s="137"/>
      <c r="Y128" s="58" t="str" cm="1">
        <f>IF(ISBLANK($A128),"",INDEX(Array_ElectricalCharges,MATCH($A128,List_ElectricityMeters,0),ROUNDUP(COLUMN()/3,0)-2))</f>
        <v/>
      </c>
      <c r="Z128" s="127"/>
      <c r="AA128" s="137"/>
      <c r="AB128" s="58" t="str" cm="1">
        <f>IF(ISBLANK($A128),"",INDEX(Array_ElectricalCharges,MATCH($A128,List_ElectricityMeters,0),ROUNDUP(COLUMN()/3,0)-2))</f>
        <v/>
      </c>
      <c r="AC128" s="127"/>
      <c r="AD128" s="137"/>
      <c r="AE128" s="58" t="str" cm="1">
        <f>IF(ISBLANK($A128),"",INDEX(Array_ElectricalCharges,MATCH($A128,List_ElectricityMeters,0),ROUNDUP(COLUMN()/3,0)-2))</f>
        <v/>
      </c>
      <c r="AF128" s="127"/>
      <c r="AG128" s="137"/>
      <c r="AH128" s="58" t="str" cm="1">
        <f>IF(ISBLANK($A128),"",INDEX(Array_ElectricalCharges,MATCH($A128,List_ElectricityMeters,0),ROUNDUP(COLUMN()/3,0)-2))</f>
        <v/>
      </c>
      <c r="AI128" s="127"/>
      <c r="AJ128" s="137"/>
      <c r="AK128" s="58" t="str" cm="1">
        <f>IF(ISBLANK($A128),"",INDEX(Array_ElectricalCharges,MATCH($A128,List_ElectricityMeters,0),ROUNDUP(COLUMN()/3,0)-2))</f>
        <v/>
      </c>
      <c r="AL128" s="127"/>
      <c r="AM128" s="137"/>
      <c r="AN128" s="58" t="str" cm="1">
        <f>IF(ISBLANK($A128),"",INDEX(Array_ElectricalCharges,MATCH($A128,List_ElectricityMeters,0),ROUNDUP(COLUMN()/3,0)-2))</f>
        <v/>
      </c>
      <c r="AO128" s="127"/>
      <c r="AP128" s="137"/>
      <c r="AQ128" s="58" t="str" cm="1">
        <f>IF(ISBLANK($A128),"",INDEX(Array_ElectricalCharges,MATCH($A128,List_ElectricityMeters,0),ROUNDUP(COLUMN()/3,0)-2))</f>
        <v/>
      </c>
      <c r="AR128" s="127"/>
      <c r="AS128" s="137"/>
      <c r="AT128" s="58" t="str" cm="1">
        <f>IF(ISBLANK($A128),"",INDEX(Array_ElectricalCharges,MATCH($A128,List_ElectricityMeters,0),ROUNDUP(COLUMN()/3,0)-2))</f>
        <v/>
      </c>
      <c r="AU128" s="127"/>
      <c r="AV128" s="137"/>
      <c r="AW128" s="58" t="str" cm="1">
        <f>IF(ISBLANK($A128),"",INDEX(Array_ElectricalCharges,MATCH($A128,List_ElectricityMeters,0),ROUNDUP(COLUMN()/3,0)-2))</f>
        <v/>
      </c>
      <c r="AX128" s="127"/>
      <c r="AY128" s="137"/>
    </row>
    <row r="129" spans="1:51" x14ac:dyDescent="0.3">
      <c r="A129" s="126"/>
      <c r="B129" s="133"/>
      <c r="C129" s="134"/>
      <c r="D129" s="134"/>
      <c r="E129" s="135"/>
      <c r="F129" s="136"/>
      <c r="G129" s="58" t="str" cm="1">
        <f>IF(ISBLANK($A129),"",INDEX(Array_ElectricalCharges,MATCH($A129,List_ElectricityMeters,0),ROUNDUP(COLUMN()/3,0)-2))</f>
        <v/>
      </c>
      <c r="H129" s="127"/>
      <c r="I129" s="137"/>
      <c r="J129" s="58" t="str" cm="1">
        <f>IF(ISBLANK($A129),"",INDEX(Array_ElectricalCharges,MATCH($A129,List_ElectricityMeters,0),ROUNDUP(COLUMN()/3,0)-2))</f>
        <v/>
      </c>
      <c r="K129" s="127"/>
      <c r="L129" s="137"/>
      <c r="M129" s="58" t="str" cm="1">
        <f>IF(ISBLANK($A129),"",INDEX(Array_ElectricalCharges,MATCH($A129,List_ElectricityMeters,0),ROUNDUP(COLUMN()/3,0)-2))</f>
        <v/>
      </c>
      <c r="N129" s="127"/>
      <c r="O129" s="137"/>
      <c r="P129" s="58" t="str" cm="1">
        <f>IF(ISBLANK($A129),"",INDEX(Array_ElectricalCharges,MATCH($A129,List_ElectricityMeters,0),ROUNDUP(COLUMN()/3,0)-2))</f>
        <v/>
      </c>
      <c r="Q129" s="127"/>
      <c r="R129" s="137"/>
      <c r="S129" s="58" t="str" cm="1">
        <f>IF(ISBLANK($A129),"",INDEX(Array_ElectricalCharges,MATCH($A129,List_ElectricityMeters,0),ROUNDUP(COLUMN()/3,0)-2))</f>
        <v/>
      </c>
      <c r="T129" s="127"/>
      <c r="U129" s="137"/>
      <c r="V129" s="58" t="str" cm="1">
        <f>IF(ISBLANK($A129),"",INDEX(Array_ElectricalCharges,MATCH($A129,List_ElectricityMeters,0),ROUNDUP(COLUMN()/3,0)-2))</f>
        <v/>
      </c>
      <c r="W129" s="127"/>
      <c r="X129" s="137"/>
      <c r="Y129" s="58" t="str" cm="1">
        <f>IF(ISBLANK($A129),"",INDEX(Array_ElectricalCharges,MATCH($A129,List_ElectricityMeters,0),ROUNDUP(COLUMN()/3,0)-2))</f>
        <v/>
      </c>
      <c r="Z129" s="127"/>
      <c r="AA129" s="137"/>
      <c r="AB129" s="58" t="str" cm="1">
        <f>IF(ISBLANK($A129),"",INDEX(Array_ElectricalCharges,MATCH($A129,List_ElectricityMeters,0),ROUNDUP(COLUMN()/3,0)-2))</f>
        <v/>
      </c>
      <c r="AC129" s="127"/>
      <c r="AD129" s="137"/>
      <c r="AE129" s="58" t="str" cm="1">
        <f>IF(ISBLANK($A129),"",INDEX(Array_ElectricalCharges,MATCH($A129,List_ElectricityMeters,0),ROUNDUP(COLUMN()/3,0)-2))</f>
        <v/>
      </c>
      <c r="AF129" s="127"/>
      <c r="AG129" s="137"/>
      <c r="AH129" s="58" t="str" cm="1">
        <f>IF(ISBLANK($A129),"",INDEX(Array_ElectricalCharges,MATCH($A129,List_ElectricityMeters,0),ROUNDUP(COLUMN()/3,0)-2))</f>
        <v/>
      </c>
      <c r="AI129" s="127"/>
      <c r="AJ129" s="137"/>
      <c r="AK129" s="58" t="str" cm="1">
        <f>IF(ISBLANK($A129),"",INDEX(Array_ElectricalCharges,MATCH($A129,List_ElectricityMeters,0),ROUNDUP(COLUMN()/3,0)-2))</f>
        <v/>
      </c>
      <c r="AL129" s="127"/>
      <c r="AM129" s="137"/>
      <c r="AN129" s="58" t="str" cm="1">
        <f>IF(ISBLANK($A129),"",INDEX(Array_ElectricalCharges,MATCH($A129,List_ElectricityMeters,0),ROUNDUP(COLUMN()/3,0)-2))</f>
        <v/>
      </c>
      <c r="AO129" s="127"/>
      <c r="AP129" s="137"/>
      <c r="AQ129" s="58" t="str" cm="1">
        <f>IF(ISBLANK($A129),"",INDEX(Array_ElectricalCharges,MATCH($A129,List_ElectricityMeters,0),ROUNDUP(COLUMN()/3,0)-2))</f>
        <v/>
      </c>
      <c r="AR129" s="127"/>
      <c r="AS129" s="137"/>
      <c r="AT129" s="58" t="str" cm="1">
        <f>IF(ISBLANK($A129),"",INDEX(Array_ElectricalCharges,MATCH($A129,List_ElectricityMeters,0),ROUNDUP(COLUMN()/3,0)-2))</f>
        <v/>
      </c>
      <c r="AU129" s="127"/>
      <c r="AV129" s="137"/>
      <c r="AW129" s="58" t="str" cm="1">
        <f>IF(ISBLANK($A129),"",INDEX(Array_ElectricalCharges,MATCH($A129,List_ElectricityMeters,0),ROUNDUP(COLUMN()/3,0)-2))</f>
        <v/>
      </c>
      <c r="AX129" s="127"/>
      <c r="AY129" s="137"/>
    </row>
    <row r="130" spans="1:51" x14ac:dyDescent="0.3">
      <c r="A130" s="126"/>
      <c r="B130" s="133"/>
      <c r="C130" s="134"/>
      <c r="D130" s="134"/>
      <c r="E130" s="135"/>
      <c r="F130" s="136"/>
      <c r="G130" s="58" t="str" cm="1">
        <f>IF(ISBLANK($A130),"",INDEX(Array_ElectricalCharges,MATCH($A130,List_ElectricityMeters,0),ROUNDUP(COLUMN()/3,0)-2))</f>
        <v/>
      </c>
      <c r="H130" s="127"/>
      <c r="I130" s="137"/>
      <c r="J130" s="58" t="str" cm="1">
        <f>IF(ISBLANK($A130),"",INDEX(Array_ElectricalCharges,MATCH($A130,List_ElectricityMeters,0),ROUNDUP(COLUMN()/3,0)-2))</f>
        <v/>
      </c>
      <c r="K130" s="127"/>
      <c r="L130" s="137"/>
      <c r="M130" s="58" t="str" cm="1">
        <f>IF(ISBLANK($A130),"",INDEX(Array_ElectricalCharges,MATCH($A130,List_ElectricityMeters,0),ROUNDUP(COLUMN()/3,0)-2))</f>
        <v/>
      </c>
      <c r="N130" s="127"/>
      <c r="O130" s="137"/>
      <c r="P130" s="58" t="str" cm="1">
        <f>IF(ISBLANK($A130),"",INDEX(Array_ElectricalCharges,MATCH($A130,List_ElectricityMeters,0),ROUNDUP(COLUMN()/3,0)-2))</f>
        <v/>
      </c>
      <c r="Q130" s="127"/>
      <c r="R130" s="137"/>
      <c r="S130" s="58" t="str" cm="1">
        <f>IF(ISBLANK($A130),"",INDEX(Array_ElectricalCharges,MATCH($A130,List_ElectricityMeters,0),ROUNDUP(COLUMN()/3,0)-2))</f>
        <v/>
      </c>
      <c r="T130" s="127"/>
      <c r="U130" s="137"/>
      <c r="V130" s="58" t="str" cm="1">
        <f>IF(ISBLANK($A130),"",INDEX(Array_ElectricalCharges,MATCH($A130,List_ElectricityMeters,0),ROUNDUP(COLUMN()/3,0)-2))</f>
        <v/>
      </c>
      <c r="W130" s="127"/>
      <c r="X130" s="137"/>
      <c r="Y130" s="58" t="str" cm="1">
        <f>IF(ISBLANK($A130),"",INDEX(Array_ElectricalCharges,MATCH($A130,List_ElectricityMeters,0),ROUNDUP(COLUMN()/3,0)-2))</f>
        <v/>
      </c>
      <c r="Z130" s="127"/>
      <c r="AA130" s="137"/>
      <c r="AB130" s="58" t="str" cm="1">
        <f>IF(ISBLANK($A130),"",INDEX(Array_ElectricalCharges,MATCH($A130,List_ElectricityMeters,0),ROUNDUP(COLUMN()/3,0)-2))</f>
        <v/>
      </c>
      <c r="AC130" s="127"/>
      <c r="AD130" s="137"/>
      <c r="AE130" s="58" t="str" cm="1">
        <f>IF(ISBLANK($A130),"",INDEX(Array_ElectricalCharges,MATCH($A130,List_ElectricityMeters,0),ROUNDUP(COLUMN()/3,0)-2))</f>
        <v/>
      </c>
      <c r="AF130" s="127"/>
      <c r="AG130" s="137"/>
      <c r="AH130" s="58" t="str" cm="1">
        <f>IF(ISBLANK($A130),"",INDEX(Array_ElectricalCharges,MATCH($A130,List_ElectricityMeters,0),ROUNDUP(COLUMN()/3,0)-2))</f>
        <v/>
      </c>
      <c r="AI130" s="127"/>
      <c r="AJ130" s="137"/>
      <c r="AK130" s="58" t="str" cm="1">
        <f>IF(ISBLANK($A130),"",INDEX(Array_ElectricalCharges,MATCH($A130,List_ElectricityMeters,0),ROUNDUP(COLUMN()/3,0)-2))</f>
        <v/>
      </c>
      <c r="AL130" s="127"/>
      <c r="AM130" s="137"/>
      <c r="AN130" s="58" t="str" cm="1">
        <f>IF(ISBLANK($A130),"",INDEX(Array_ElectricalCharges,MATCH($A130,List_ElectricityMeters,0),ROUNDUP(COLUMN()/3,0)-2))</f>
        <v/>
      </c>
      <c r="AO130" s="127"/>
      <c r="AP130" s="137"/>
      <c r="AQ130" s="58" t="str" cm="1">
        <f>IF(ISBLANK($A130),"",INDEX(Array_ElectricalCharges,MATCH($A130,List_ElectricityMeters,0),ROUNDUP(COLUMN()/3,0)-2))</f>
        <v/>
      </c>
      <c r="AR130" s="127"/>
      <c r="AS130" s="137"/>
      <c r="AT130" s="58" t="str" cm="1">
        <f>IF(ISBLANK($A130),"",INDEX(Array_ElectricalCharges,MATCH($A130,List_ElectricityMeters,0),ROUNDUP(COLUMN()/3,0)-2))</f>
        <v/>
      </c>
      <c r="AU130" s="127"/>
      <c r="AV130" s="137"/>
      <c r="AW130" s="58" t="str" cm="1">
        <f>IF(ISBLANK($A130),"",INDEX(Array_ElectricalCharges,MATCH($A130,List_ElectricityMeters,0),ROUNDUP(COLUMN()/3,0)-2))</f>
        <v/>
      </c>
      <c r="AX130" s="127"/>
      <c r="AY130" s="137"/>
    </row>
    <row r="131" spans="1:51" x14ac:dyDescent="0.3">
      <c r="A131" s="126"/>
      <c r="B131" s="133"/>
      <c r="C131" s="134"/>
      <c r="D131" s="134"/>
      <c r="E131" s="135"/>
      <c r="F131" s="136"/>
      <c r="G131" s="58" t="str" cm="1">
        <f>IF(ISBLANK($A131),"",INDEX(Array_ElectricalCharges,MATCH($A131,List_ElectricityMeters,0),ROUNDUP(COLUMN()/3,0)-2))</f>
        <v/>
      </c>
      <c r="H131" s="127"/>
      <c r="I131" s="137"/>
      <c r="J131" s="58" t="str" cm="1">
        <f>IF(ISBLANK($A131),"",INDEX(Array_ElectricalCharges,MATCH($A131,List_ElectricityMeters,0),ROUNDUP(COLUMN()/3,0)-2))</f>
        <v/>
      </c>
      <c r="K131" s="127"/>
      <c r="L131" s="137"/>
      <c r="M131" s="58" t="str" cm="1">
        <f>IF(ISBLANK($A131),"",INDEX(Array_ElectricalCharges,MATCH($A131,List_ElectricityMeters,0),ROUNDUP(COLUMN()/3,0)-2))</f>
        <v/>
      </c>
      <c r="N131" s="127"/>
      <c r="O131" s="137"/>
      <c r="P131" s="58" t="str" cm="1">
        <f>IF(ISBLANK($A131),"",INDEX(Array_ElectricalCharges,MATCH($A131,List_ElectricityMeters,0),ROUNDUP(COLUMN()/3,0)-2))</f>
        <v/>
      </c>
      <c r="Q131" s="127"/>
      <c r="R131" s="137"/>
      <c r="S131" s="58" t="str" cm="1">
        <f>IF(ISBLANK($A131),"",INDEX(Array_ElectricalCharges,MATCH($A131,List_ElectricityMeters,0),ROUNDUP(COLUMN()/3,0)-2))</f>
        <v/>
      </c>
      <c r="T131" s="127"/>
      <c r="U131" s="137"/>
      <c r="V131" s="58" t="str" cm="1">
        <f>IF(ISBLANK($A131),"",INDEX(Array_ElectricalCharges,MATCH($A131,List_ElectricityMeters,0),ROUNDUP(COLUMN()/3,0)-2))</f>
        <v/>
      </c>
      <c r="W131" s="127"/>
      <c r="X131" s="137"/>
      <c r="Y131" s="58" t="str" cm="1">
        <f>IF(ISBLANK($A131),"",INDEX(Array_ElectricalCharges,MATCH($A131,List_ElectricityMeters,0),ROUNDUP(COLUMN()/3,0)-2))</f>
        <v/>
      </c>
      <c r="Z131" s="127"/>
      <c r="AA131" s="137"/>
      <c r="AB131" s="58" t="str" cm="1">
        <f>IF(ISBLANK($A131),"",INDEX(Array_ElectricalCharges,MATCH($A131,List_ElectricityMeters,0),ROUNDUP(COLUMN()/3,0)-2))</f>
        <v/>
      </c>
      <c r="AC131" s="127"/>
      <c r="AD131" s="137"/>
      <c r="AE131" s="58" t="str" cm="1">
        <f>IF(ISBLANK($A131),"",INDEX(Array_ElectricalCharges,MATCH($A131,List_ElectricityMeters,0),ROUNDUP(COLUMN()/3,0)-2))</f>
        <v/>
      </c>
      <c r="AF131" s="127"/>
      <c r="AG131" s="137"/>
      <c r="AH131" s="58" t="str" cm="1">
        <f>IF(ISBLANK($A131),"",INDEX(Array_ElectricalCharges,MATCH($A131,List_ElectricityMeters,0),ROUNDUP(COLUMN()/3,0)-2))</f>
        <v/>
      </c>
      <c r="AI131" s="127"/>
      <c r="AJ131" s="137"/>
      <c r="AK131" s="58" t="str" cm="1">
        <f>IF(ISBLANK($A131),"",INDEX(Array_ElectricalCharges,MATCH($A131,List_ElectricityMeters,0),ROUNDUP(COLUMN()/3,0)-2))</f>
        <v/>
      </c>
      <c r="AL131" s="127"/>
      <c r="AM131" s="137"/>
      <c r="AN131" s="58" t="str" cm="1">
        <f>IF(ISBLANK($A131),"",INDEX(Array_ElectricalCharges,MATCH($A131,List_ElectricityMeters,0),ROUNDUP(COLUMN()/3,0)-2))</f>
        <v/>
      </c>
      <c r="AO131" s="127"/>
      <c r="AP131" s="137"/>
      <c r="AQ131" s="58" t="str" cm="1">
        <f>IF(ISBLANK($A131),"",INDEX(Array_ElectricalCharges,MATCH($A131,List_ElectricityMeters,0),ROUNDUP(COLUMN()/3,0)-2))</f>
        <v/>
      </c>
      <c r="AR131" s="127"/>
      <c r="AS131" s="137"/>
      <c r="AT131" s="58" t="str" cm="1">
        <f>IF(ISBLANK($A131),"",INDEX(Array_ElectricalCharges,MATCH($A131,List_ElectricityMeters,0),ROUNDUP(COLUMN()/3,0)-2))</f>
        <v/>
      </c>
      <c r="AU131" s="127"/>
      <c r="AV131" s="137"/>
      <c r="AW131" s="58" t="str" cm="1">
        <f>IF(ISBLANK($A131),"",INDEX(Array_ElectricalCharges,MATCH($A131,List_ElectricityMeters,0),ROUNDUP(COLUMN()/3,0)-2))</f>
        <v/>
      </c>
      <c r="AX131" s="127"/>
      <c r="AY131" s="137"/>
    </row>
    <row r="132" spans="1:51" x14ac:dyDescent="0.3">
      <c r="A132" s="126"/>
      <c r="B132" s="133"/>
      <c r="C132" s="134"/>
      <c r="D132" s="134"/>
      <c r="E132" s="135"/>
      <c r="F132" s="136"/>
      <c r="G132" s="58" t="str" cm="1">
        <f>IF(ISBLANK($A132),"",INDEX(Array_ElectricalCharges,MATCH($A132,List_ElectricityMeters,0),ROUNDUP(COLUMN()/3,0)-2))</f>
        <v/>
      </c>
      <c r="H132" s="127"/>
      <c r="I132" s="137"/>
      <c r="J132" s="58" t="str" cm="1">
        <f>IF(ISBLANK($A132),"",INDEX(Array_ElectricalCharges,MATCH($A132,List_ElectricityMeters,0),ROUNDUP(COLUMN()/3,0)-2))</f>
        <v/>
      </c>
      <c r="K132" s="127"/>
      <c r="L132" s="137"/>
      <c r="M132" s="58" t="str" cm="1">
        <f>IF(ISBLANK($A132),"",INDEX(Array_ElectricalCharges,MATCH($A132,List_ElectricityMeters,0),ROUNDUP(COLUMN()/3,0)-2))</f>
        <v/>
      </c>
      <c r="N132" s="127"/>
      <c r="O132" s="137"/>
      <c r="P132" s="58" t="str" cm="1">
        <f>IF(ISBLANK($A132),"",INDEX(Array_ElectricalCharges,MATCH($A132,List_ElectricityMeters,0),ROUNDUP(COLUMN()/3,0)-2))</f>
        <v/>
      </c>
      <c r="Q132" s="127"/>
      <c r="R132" s="137"/>
      <c r="S132" s="58" t="str" cm="1">
        <f>IF(ISBLANK($A132),"",INDEX(Array_ElectricalCharges,MATCH($A132,List_ElectricityMeters,0),ROUNDUP(COLUMN()/3,0)-2))</f>
        <v/>
      </c>
      <c r="T132" s="127"/>
      <c r="U132" s="137"/>
      <c r="V132" s="58" t="str" cm="1">
        <f>IF(ISBLANK($A132),"",INDEX(Array_ElectricalCharges,MATCH($A132,List_ElectricityMeters,0),ROUNDUP(COLUMN()/3,0)-2))</f>
        <v/>
      </c>
      <c r="W132" s="127"/>
      <c r="X132" s="137"/>
      <c r="Y132" s="58" t="str" cm="1">
        <f>IF(ISBLANK($A132),"",INDEX(Array_ElectricalCharges,MATCH($A132,List_ElectricityMeters,0),ROUNDUP(COLUMN()/3,0)-2))</f>
        <v/>
      </c>
      <c r="Z132" s="127"/>
      <c r="AA132" s="137"/>
      <c r="AB132" s="58" t="str" cm="1">
        <f>IF(ISBLANK($A132),"",INDEX(Array_ElectricalCharges,MATCH($A132,List_ElectricityMeters,0),ROUNDUP(COLUMN()/3,0)-2))</f>
        <v/>
      </c>
      <c r="AC132" s="127"/>
      <c r="AD132" s="137"/>
      <c r="AE132" s="58" t="str" cm="1">
        <f>IF(ISBLANK($A132),"",INDEX(Array_ElectricalCharges,MATCH($A132,List_ElectricityMeters,0),ROUNDUP(COLUMN()/3,0)-2))</f>
        <v/>
      </c>
      <c r="AF132" s="127"/>
      <c r="AG132" s="137"/>
      <c r="AH132" s="58" t="str" cm="1">
        <f>IF(ISBLANK($A132),"",INDEX(Array_ElectricalCharges,MATCH($A132,List_ElectricityMeters,0),ROUNDUP(COLUMN()/3,0)-2))</f>
        <v/>
      </c>
      <c r="AI132" s="127"/>
      <c r="AJ132" s="137"/>
      <c r="AK132" s="58" t="str" cm="1">
        <f>IF(ISBLANK($A132),"",INDEX(Array_ElectricalCharges,MATCH($A132,List_ElectricityMeters,0),ROUNDUP(COLUMN()/3,0)-2))</f>
        <v/>
      </c>
      <c r="AL132" s="127"/>
      <c r="AM132" s="137"/>
      <c r="AN132" s="58" t="str" cm="1">
        <f>IF(ISBLANK($A132),"",INDEX(Array_ElectricalCharges,MATCH($A132,List_ElectricityMeters,0),ROUNDUP(COLUMN()/3,0)-2))</f>
        <v/>
      </c>
      <c r="AO132" s="127"/>
      <c r="AP132" s="137"/>
      <c r="AQ132" s="58" t="str" cm="1">
        <f>IF(ISBLANK($A132),"",INDEX(Array_ElectricalCharges,MATCH($A132,List_ElectricityMeters,0),ROUNDUP(COLUMN()/3,0)-2))</f>
        <v/>
      </c>
      <c r="AR132" s="127"/>
      <c r="AS132" s="137"/>
      <c r="AT132" s="58" t="str" cm="1">
        <f>IF(ISBLANK($A132),"",INDEX(Array_ElectricalCharges,MATCH($A132,List_ElectricityMeters,0),ROUNDUP(COLUMN()/3,0)-2))</f>
        <v/>
      </c>
      <c r="AU132" s="127"/>
      <c r="AV132" s="137"/>
      <c r="AW132" s="58" t="str" cm="1">
        <f>IF(ISBLANK($A132),"",INDEX(Array_ElectricalCharges,MATCH($A132,List_ElectricityMeters,0),ROUNDUP(COLUMN()/3,0)-2))</f>
        <v/>
      </c>
      <c r="AX132" s="127"/>
      <c r="AY132" s="137"/>
    </row>
    <row r="133" spans="1:51" x14ac:dyDescent="0.3">
      <c r="A133" s="126"/>
      <c r="B133" s="133"/>
      <c r="C133" s="134"/>
      <c r="D133" s="134"/>
      <c r="E133" s="135"/>
      <c r="F133" s="136"/>
      <c r="G133" s="58" t="str" cm="1">
        <f>IF(ISBLANK($A133),"",INDEX(Array_ElectricalCharges,MATCH($A133,List_ElectricityMeters,0),ROUNDUP(COLUMN()/3,0)-2))</f>
        <v/>
      </c>
      <c r="H133" s="127"/>
      <c r="I133" s="137"/>
      <c r="J133" s="58" t="str" cm="1">
        <f>IF(ISBLANK($A133),"",INDEX(Array_ElectricalCharges,MATCH($A133,List_ElectricityMeters,0),ROUNDUP(COLUMN()/3,0)-2))</f>
        <v/>
      </c>
      <c r="K133" s="127"/>
      <c r="L133" s="137"/>
      <c r="M133" s="58" t="str" cm="1">
        <f>IF(ISBLANK($A133),"",INDEX(Array_ElectricalCharges,MATCH($A133,List_ElectricityMeters,0),ROUNDUP(COLUMN()/3,0)-2))</f>
        <v/>
      </c>
      <c r="N133" s="127"/>
      <c r="O133" s="137"/>
      <c r="P133" s="58" t="str" cm="1">
        <f>IF(ISBLANK($A133),"",INDEX(Array_ElectricalCharges,MATCH($A133,List_ElectricityMeters,0),ROUNDUP(COLUMN()/3,0)-2))</f>
        <v/>
      </c>
      <c r="Q133" s="127"/>
      <c r="R133" s="137"/>
      <c r="S133" s="58" t="str" cm="1">
        <f>IF(ISBLANK($A133),"",INDEX(Array_ElectricalCharges,MATCH($A133,List_ElectricityMeters,0),ROUNDUP(COLUMN()/3,0)-2))</f>
        <v/>
      </c>
      <c r="T133" s="127"/>
      <c r="U133" s="137"/>
      <c r="V133" s="58" t="str" cm="1">
        <f>IF(ISBLANK($A133),"",INDEX(Array_ElectricalCharges,MATCH($A133,List_ElectricityMeters,0),ROUNDUP(COLUMN()/3,0)-2))</f>
        <v/>
      </c>
      <c r="W133" s="127"/>
      <c r="X133" s="137"/>
      <c r="Y133" s="58" t="str" cm="1">
        <f>IF(ISBLANK($A133),"",INDEX(Array_ElectricalCharges,MATCH($A133,List_ElectricityMeters,0),ROUNDUP(COLUMN()/3,0)-2))</f>
        <v/>
      </c>
      <c r="Z133" s="127"/>
      <c r="AA133" s="137"/>
      <c r="AB133" s="58" t="str" cm="1">
        <f>IF(ISBLANK($A133),"",INDEX(Array_ElectricalCharges,MATCH($A133,List_ElectricityMeters,0),ROUNDUP(COLUMN()/3,0)-2))</f>
        <v/>
      </c>
      <c r="AC133" s="127"/>
      <c r="AD133" s="137"/>
      <c r="AE133" s="58" t="str" cm="1">
        <f>IF(ISBLANK($A133),"",INDEX(Array_ElectricalCharges,MATCH($A133,List_ElectricityMeters,0),ROUNDUP(COLUMN()/3,0)-2))</f>
        <v/>
      </c>
      <c r="AF133" s="127"/>
      <c r="AG133" s="137"/>
      <c r="AH133" s="58" t="str" cm="1">
        <f>IF(ISBLANK($A133),"",INDEX(Array_ElectricalCharges,MATCH($A133,List_ElectricityMeters,0),ROUNDUP(COLUMN()/3,0)-2))</f>
        <v/>
      </c>
      <c r="AI133" s="127"/>
      <c r="AJ133" s="137"/>
      <c r="AK133" s="58" t="str" cm="1">
        <f>IF(ISBLANK($A133),"",INDEX(Array_ElectricalCharges,MATCH($A133,List_ElectricityMeters,0),ROUNDUP(COLUMN()/3,0)-2))</f>
        <v/>
      </c>
      <c r="AL133" s="127"/>
      <c r="AM133" s="137"/>
      <c r="AN133" s="58" t="str" cm="1">
        <f>IF(ISBLANK($A133),"",INDEX(Array_ElectricalCharges,MATCH($A133,List_ElectricityMeters,0),ROUNDUP(COLUMN()/3,0)-2))</f>
        <v/>
      </c>
      <c r="AO133" s="127"/>
      <c r="AP133" s="137"/>
      <c r="AQ133" s="58" t="str" cm="1">
        <f>IF(ISBLANK($A133),"",INDEX(Array_ElectricalCharges,MATCH($A133,List_ElectricityMeters,0),ROUNDUP(COLUMN()/3,0)-2))</f>
        <v/>
      </c>
      <c r="AR133" s="127"/>
      <c r="AS133" s="137"/>
      <c r="AT133" s="58" t="str" cm="1">
        <f>IF(ISBLANK($A133),"",INDEX(Array_ElectricalCharges,MATCH($A133,List_ElectricityMeters,0),ROUNDUP(COLUMN()/3,0)-2))</f>
        <v/>
      </c>
      <c r="AU133" s="127"/>
      <c r="AV133" s="137"/>
      <c r="AW133" s="58" t="str" cm="1">
        <f>IF(ISBLANK($A133),"",INDEX(Array_ElectricalCharges,MATCH($A133,List_ElectricityMeters,0),ROUNDUP(COLUMN()/3,0)-2))</f>
        <v/>
      </c>
      <c r="AX133" s="127"/>
      <c r="AY133" s="137"/>
    </row>
    <row r="134" spans="1:51" x14ac:dyDescent="0.3">
      <c r="A134" s="126"/>
      <c r="B134" s="133"/>
      <c r="C134" s="134"/>
      <c r="D134" s="134"/>
      <c r="E134" s="135"/>
      <c r="F134" s="136"/>
      <c r="G134" s="58" t="str" cm="1">
        <f>IF(ISBLANK($A134),"",INDEX(Array_ElectricalCharges,MATCH($A134,List_ElectricityMeters,0),ROUNDUP(COLUMN()/3,0)-2))</f>
        <v/>
      </c>
      <c r="H134" s="127"/>
      <c r="I134" s="137"/>
      <c r="J134" s="58" t="str" cm="1">
        <f>IF(ISBLANK($A134),"",INDEX(Array_ElectricalCharges,MATCH($A134,List_ElectricityMeters,0),ROUNDUP(COLUMN()/3,0)-2))</f>
        <v/>
      </c>
      <c r="K134" s="127"/>
      <c r="L134" s="137"/>
      <c r="M134" s="58" t="str" cm="1">
        <f>IF(ISBLANK($A134),"",INDEX(Array_ElectricalCharges,MATCH($A134,List_ElectricityMeters,0),ROUNDUP(COLUMN()/3,0)-2))</f>
        <v/>
      </c>
      <c r="N134" s="127"/>
      <c r="O134" s="137"/>
      <c r="P134" s="58" t="str" cm="1">
        <f>IF(ISBLANK($A134),"",INDEX(Array_ElectricalCharges,MATCH($A134,List_ElectricityMeters,0),ROUNDUP(COLUMN()/3,0)-2))</f>
        <v/>
      </c>
      <c r="Q134" s="127"/>
      <c r="R134" s="137"/>
      <c r="S134" s="58" t="str" cm="1">
        <f>IF(ISBLANK($A134),"",INDEX(Array_ElectricalCharges,MATCH($A134,List_ElectricityMeters,0),ROUNDUP(COLUMN()/3,0)-2))</f>
        <v/>
      </c>
      <c r="T134" s="127"/>
      <c r="U134" s="137"/>
      <c r="V134" s="58" t="str" cm="1">
        <f>IF(ISBLANK($A134),"",INDEX(Array_ElectricalCharges,MATCH($A134,List_ElectricityMeters,0),ROUNDUP(COLUMN()/3,0)-2))</f>
        <v/>
      </c>
      <c r="W134" s="127"/>
      <c r="X134" s="137"/>
      <c r="Y134" s="58" t="str" cm="1">
        <f>IF(ISBLANK($A134),"",INDEX(Array_ElectricalCharges,MATCH($A134,List_ElectricityMeters,0),ROUNDUP(COLUMN()/3,0)-2))</f>
        <v/>
      </c>
      <c r="Z134" s="127"/>
      <c r="AA134" s="137"/>
      <c r="AB134" s="58" t="str" cm="1">
        <f>IF(ISBLANK($A134),"",INDEX(Array_ElectricalCharges,MATCH($A134,List_ElectricityMeters,0),ROUNDUP(COLUMN()/3,0)-2))</f>
        <v/>
      </c>
      <c r="AC134" s="127"/>
      <c r="AD134" s="137"/>
      <c r="AE134" s="58" t="str" cm="1">
        <f>IF(ISBLANK($A134),"",INDEX(Array_ElectricalCharges,MATCH($A134,List_ElectricityMeters,0),ROUNDUP(COLUMN()/3,0)-2))</f>
        <v/>
      </c>
      <c r="AF134" s="127"/>
      <c r="AG134" s="137"/>
      <c r="AH134" s="58" t="str" cm="1">
        <f>IF(ISBLANK($A134),"",INDEX(Array_ElectricalCharges,MATCH($A134,List_ElectricityMeters,0),ROUNDUP(COLUMN()/3,0)-2))</f>
        <v/>
      </c>
      <c r="AI134" s="127"/>
      <c r="AJ134" s="137"/>
      <c r="AK134" s="58" t="str" cm="1">
        <f>IF(ISBLANK($A134),"",INDEX(Array_ElectricalCharges,MATCH($A134,List_ElectricityMeters,0),ROUNDUP(COLUMN()/3,0)-2))</f>
        <v/>
      </c>
      <c r="AL134" s="127"/>
      <c r="AM134" s="137"/>
      <c r="AN134" s="58" t="str" cm="1">
        <f>IF(ISBLANK($A134),"",INDEX(Array_ElectricalCharges,MATCH($A134,List_ElectricityMeters,0),ROUNDUP(COLUMN()/3,0)-2))</f>
        <v/>
      </c>
      <c r="AO134" s="127"/>
      <c r="AP134" s="137"/>
      <c r="AQ134" s="58" t="str" cm="1">
        <f>IF(ISBLANK($A134),"",INDEX(Array_ElectricalCharges,MATCH($A134,List_ElectricityMeters,0),ROUNDUP(COLUMN()/3,0)-2))</f>
        <v/>
      </c>
      <c r="AR134" s="127"/>
      <c r="AS134" s="137"/>
      <c r="AT134" s="58" t="str" cm="1">
        <f>IF(ISBLANK($A134),"",INDEX(Array_ElectricalCharges,MATCH($A134,List_ElectricityMeters,0),ROUNDUP(COLUMN()/3,0)-2))</f>
        <v/>
      </c>
      <c r="AU134" s="127"/>
      <c r="AV134" s="137"/>
      <c r="AW134" s="58" t="str" cm="1">
        <f>IF(ISBLANK($A134),"",INDEX(Array_ElectricalCharges,MATCH($A134,List_ElectricityMeters,0),ROUNDUP(COLUMN()/3,0)-2))</f>
        <v/>
      </c>
      <c r="AX134" s="127"/>
      <c r="AY134" s="137"/>
    </row>
    <row r="135" spans="1:51" x14ac:dyDescent="0.3">
      <c r="A135" s="126"/>
      <c r="B135" s="133"/>
      <c r="C135" s="134"/>
      <c r="D135" s="134"/>
      <c r="E135" s="135"/>
      <c r="F135" s="136"/>
      <c r="G135" s="58" t="str" cm="1">
        <f>IF(ISBLANK($A135),"",INDEX(Array_ElectricalCharges,MATCH($A135,List_ElectricityMeters,0),ROUNDUP(COLUMN()/3,0)-2))</f>
        <v/>
      </c>
      <c r="H135" s="127"/>
      <c r="I135" s="137"/>
      <c r="J135" s="58" t="str" cm="1">
        <f>IF(ISBLANK($A135),"",INDEX(Array_ElectricalCharges,MATCH($A135,List_ElectricityMeters,0),ROUNDUP(COLUMN()/3,0)-2))</f>
        <v/>
      </c>
      <c r="K135" s="127"/>
      <c r="L135" s="137"/>
      <c r="M135" s="58" t="str" cm="1">
        <f>IF(ISBLANK($A135),"",INDEX(Array_ElectricalCharges,MATCH($A135,List_ElectricityMeters,0),ROUNDUP(COLUMN()/3,0)-2))</f>
        <v/>
      </c>
      <c r="N135" s="127"/>
      <c r="O135" s="137"/>
      <c r="P135" s="58" t="str" cm="1">
        <f>IF(ISBLANK($A135),"",INDEX(Array_ElectricalCharges,MATCH($A135,List_ElectricityMeters,0),ROUNDUP(COLUMN()/3,0)-2))</f>
        <v/>
      </c>
      <c r="Q135" s="127"/>
      <c r="R135" s="137"/>
      <c r="S135" s="58" t="str" cm="1">
        <f>IF(ISBLANK($A135),"",INDEX(Array_ElectricalCharges,MATCH($A135,List_ElectricityMeters,0),ROUNDUP(COLUMN()/3,0)-2))</f>
        <v/>
      </c>
      <c r="T135" s="127"/>
      <c r="U135" s="137"/>
      <c r="V135" s="58" t="str" cm="1">
        <f>IF(ISBLANK($A135),"",INDEX(Array_ElectricalCharges,MATCH($A135,List_ElectricityMeters,0),ROUNDUP(COLUMN()/3,0)-2))</f>
        <v/>
      </c>
      <c r="W135" s="127"/>
      <c r="X135" s="137"/>
      <c r="Y135" s="58" t="str" cm="1">
        <f>IF(ISBLANK($A135),"",INDEX(Array_ElectricalCharges,MATCH($A135,List_ElectricityMeters,0),ROUNDUP(COLUMN()/3,0)-2))</f>
        <v/>
      </c>
      <c r="Z135" s="127"/>
      <c r="AA135" s="137"/>
      <c r="AB135" s="58" t="str" cm="1">
        <f>IF(ISBLANK($A135),"",INDEX(Array_ElectricalCharges,MATCH($A135,List_ElectricityMeters,0),ROUNDUP(COLUMN()/3,0)-2))</f>
        <v/>
      </c>
      <c r="AC135" s="127"/>
      <c r="AD135" s="137"/>
      <c r="AE135" s="58" t="str" cm="1">
        <f>IF(ISBLANK($A135),"",INDEX(Array_ElectricalCharges,MATCH($A135,List_ElectricityMeters,0),ROUNDUP(COLUMN()/3,0)-2))</f>
        <v/>
      </c>
      <c r="AF135" s="127"/>
      <c r="AG135" s="137"/>
      <c r="AH135" s="58" t="str" cm="1">
        <f>IF(ISBLANK($A135),"",INDEX(Array_ElectricalCharges,MATCH($A135,List_ElectricityMeters,0),ROUNDUP(COLUMN()/3,0)-2))</f>
        <v/>
      </c>
      <c r="AI135" s="127"/>
      <c r="AJ135" s="137"/>
      <c r="AK135" s="58" t="str" cm="1">
        <f>IF(ISBLANK($A135),"",INDEX(Array_ElectricalCharges,MATCH($A135,List_ElectricityMeters,0),ROUNDUP(COLUMN()/3,0)-2))</f>
        <v/>
      </c>
      <c r="AL135" s="127"/>
      <c r="AM135" s="137"/>
      <c r="AN135" s="58" t="str" cm="1">
        <f>IF(ISBLANK($A135),"",INDEX(Array_ElectricalCharges,MATCH($A135,List_ElectricityMeters,0),ROUNDUP(COLUMN()/3,0)-2))</f>
        <v/>
      </c>
      <c r="AO135" s="127"/>
      <c r="AP135" s="137"/>
      <c r="AQ135" s="58" t="str" cm="1">
        <f>IF(ISBLANK($A135),"",INDEX(Array_ElectricalCharges,MATCH($A135,List_ElectricityMeters,0),ROUNDUP(COLUMN()/3,0)-2))</f>
        <v/>
      </c>
      <c r="AR135" s="127"/>
      <c r="AS135" s="137"/>
      <c r="AT135" s="58" t="str" cm="1">
        <f>IF(ISBLANK($A135),"",INDEX(Array_ElectricalCharges,MATCH($A135,List_ElectricityMeters,0),ROUNDUP(COLUMN()/3,0)-2))</f>
        <v/>
      </c>
      <c r="AU135" s="127"/>
      <c r="AV135" s="137"/>
      <c r="AW135" s="58" t="str" cm="1">
        <f>IF(ISBLANK($A135),"",INDEX(Array_ElectricalCharges,MATCH($A135,List_ElectricityMeters,0),ROUNDUP(COLUMN()/3,0)-2))</f>
        <v/>
      </c>
      <c r="AX135" s="127"/>
      <c r="AY135" s="137"/>
    </row>
    <row r="136" spans="1:51" x14ac:dyDescent="0.3">
      <c r="A136" s="126"/>
      <c r="B136" s="133"/>
      <c r="C136" s="134"/>
      <c r="D136" s="134"/>
      <c r="E136" s="135"/>
      <c r="F136" s="136"/>
      <c r="G136" s="58" t="str" cm="1">
        <f>IF(ISBLANK($A136),"",INDEX(Array_ElectricalCharges,MATCH($A136,List_ElectricityMeters,0),ROUNDUP(COLUMN()/3,0)-2))</f>
        <v/>
      </c>
      <c r="H136" s="127"/>
      <c r="I136" s="137"/>
      <c r="J136" s="58" t="str" cm="1">
        <f>IF(ISBLANK($A136),"",INDEX(Array_ElectricalCharges,MATCH($A136,List_ElectricityMeters,0),ROUNDUP(COLUMN()/3,0)-2))</f>
        <v/>
      </c>
      <c r="K136" s="127"/>
      <c r="L136" s="137"/>
      <c r="M136" s="58" t="str" cm="1">
        <f>IF(ISBLANK($A136),"",INDEX(Array_ElectricalCharges,MATCH($A136,List_ElectricityMeters,0),ROUNDUP(COLUMN()/3,0)-2))</f>
        <v/>
      </c>
      <c r="N136" s="127"/>
      <c r="O136" s="137"/>
      <c r="P136" s="58" t="str" cm="1">
        <f>IF(ISBLANK($A136),"",INDEX(Array_ElectricalCharges,MATCH($A136,List_ElectricityMeters,0),ROUNDUP(COLUMN()/3,0)-2))</f>
        <v/>
      </c>
      <c r="Q136" s="127"/>
      <c r="R136" s="137"/>
      <c r="S136" s="58" t="str" cm="1">
        <f>IF(ISBLANK($A136),"",INDEX(Array_ElectricalCharges,MATCH($A136,List_ElectricityMeters,0),ROUNDUP(COLUMN()/3,0)-2))</f>
        <v/>
      </c>
      <c r="T136" s="127"/>
      <c r="U136" s="137"/>
      <c r="V136" s="58" t="str" cm="1">
        <f>IF(ISBLANK($A136),"",INDEX(Array_ElectricalCharges,MATCH($A136,List_ElectricityMeters,0),ROUNDUP(COLUMN()/3,0)-2))</f>
        <v/>
      </c>
      <c r="W136" s="127"/>
      <c r="X136" s="137"/>
      <c r="Y136" s="58" t="str" cm="1">
        <f>IF(ISBLANK($A136),"",INDEX(Array_ElectricalCharges,MATCH($A136,List_ElectricityMeters,0),ROUNDUP(COLUMN()/3,0)-2))</f>
        <v/>
      </c>
      <c r="Z136" s="127"/>
      <c r="AA136" s="137"/>
      <c r="AB136" s="58" t="str" cm="1">
        <f>IF(ISBLANK($A136),"",INDEX(Array_ElectricalCharges,MATCH($A136,List_ElectricityMeters,0),ROUNDUP(COLUMN()/3,0)-2))</f>
        <v/>
      </c>
      <c r="AC136" s="127"/>
      <c r="AD136" s="137"/>
      <c r="AE136" s="58" t="str" cm="1">
        <f>IF(ISBLANK($A136),"",INDEX(Array_ElectricalCharges,MATCH($A136,List_ElectricityMeters,0),ROUNDUP(COLUMN()/3,0)-2))</f>
        <v/>
      </c>
      <c r="AF136" s="127"/>
      <c r="AG136" s="137"/>
      <c r="AH136" s="58" t="str" cm="1">
        <f>IF(ISBLANK($A136),"",INDEX(Array_ElectricalCharges,MATCH($A136,List_ElectricityMeters,0),ROUNDUP(COLUMN()/3,0)-2))</f>
        <v/>
      </c>
      <c r="AI136" s="127"/>
      <c r="AJ136" s="137"/>
      <c r="AK136" s="58" t="str" cm="1">
        <f>IF(ISBLANK($A136),"",INDEX(Array_ElectricalCharges,MATCH($A136,List_ElectricityMeters,0),ROUNDUP(COLUMN()/3,0)-2))</f>
        <v/>
      </c>
      <c r="AL136" s="127"/>
      <c r="AM136" s="137"/>
      <c r="AN136" s="58" t="str" cm="1">
        <f>IF(ISBLANK($A136),"",INDEX(Array_ElectricalCharges,MATCH($A136,List_ElectricityMeters,0),ROUNDUP(COLUMN()/3,0)-2))</f>
        <v/>
      </c>
      <c r="AO136" s="127"/>
      <c r="AP136" s="137"/>
      <c r="AQ136" s="58" t="str" cm="1">
        <f>IF(ISBLANK($A136),"",INDEX(Array_ElectricalCharges,MATCH($A136,List_ElectricityMeters,0),ROUNDUP(COLUMN()/3,0)-2))</f>
        <v/>
      </c>
      <c r="AR136" s="127"/>
      <c r="AS136" s="137"/>
      <c r="AT136" s="58" t="str" cm="1">
        <f>IF(ISBLANK($A136),"",INDEX(Array_ElectricalCharges,MATCH($A136,List_ElectricityMeters,0),ROUNDUP(COLUMN()/3,0)-2))</f>
        <v/>
      </c>
      <c r="AU136" s="127"/>
      <c r="AV136" s="137"/>
      <c r="AW136" s="58" t="str" cm="1">
        <f>IF(ISBLANK($A136),"",INDEX(Array_ElectricalCharges,MATCH($A136,List_ElectricityMeters,0),ROUNDUP(COLUMN()/3,0)-2))</f>
        <v/>
      </c>
      <c r="AX136" s="127"/>
      <c r="AY136" s="137"/>
    </row>
    <row r="137" spans="1:51" x14ac:dyDescent="0.3">
      <c r="A137" s="126"/>
      <c r="B137" s="133"/>
      <c r="C137" s="134"/>
      <c r="D137" s="134"/>
      <c r="E137" s="135"/>
      <c r="F137" s="136"/>
      <c r="G137" s="58" t="str" cm="1">
        <f>IF(ISBLANK($A137),"",INDEX(Array_ElectricalCharges,MATCH($A137,List_ElectricityMeters,0),ROUNDUP(COLUMN()/3,0)-2))</f>
        <v/>
      </c>
      <c r="H137" s="127"/>
      <c r="I137" s="137"/>
      <c r="J137" s="58" t="str" cm="1">
        <f>IF(ISBLANK($A137),"",INDEX(Array_ElectricalCharges,MATCH($A137,List_ElectricityMeters,0),ROUNDUP(COLUMN()/3,0)-2))</f>
        <v/>
      </c>
      <c r="K137" s="127"/>
      <c r="L137" s="137"/>
      <c r="M137" s="58" t="str" cm="1">
        <f>IF(ISBLANK($A137),"",INDEX(Array_ElectricalCharges,MATCH($A137,List_ElectricityMeters,0),ROUNDUP(COLUMN()/3,0)-2))</f>
        <v/>
      </c>
      <c r="N137" s="127"/>
      <c r="O137" s="137"/>
      <c r="P137" s="58" t="str" cm="1">
        <f>IF(ISBLANK($A137),"",INDEX(Array_ElectricalCharges,MATCH($A137,List_ElectricityMeters,0),ROUNDUP(COLUMN()/3,0)-2))</f>
        <v/>
      </c>
      <c r="Q137" s="127"/>
      <c r="R137" s="137"/>
      <c r="S137" s="58" t="str" cm="1">
        <f>IF(ISBLANK($A137),"",INDEX(Array_ElectricalCharges,MATCH($A137,List_ElectricityMeters,0),ROUNDUP(COLUMN()/3,0)-2))</f>
        <v/>
      </c>
      <c r="T137" s="127"/>
      <c r="U137" s="137"/>
      <c r="V137" s="58" t="str" cm="1">
        <f>IF(ISBLANK($A137),"",INDEX(Array_ElectricalCharges,MATCH($A137,List_ElectricityMeters,0),ROUNDUP(COLUMN()/3,0)-2))</f>
        <v/>
      </c>
      <c r="W137" s="127"/>
      <c r="X137" s="137"/>
      <c r="Y137" s="58" t="str" cm="1">
        <f>IF(ISBLANK($A137),"",INDEX(Array_ElectricalCharges,MATCH($A137,List_ElectricityMeters,0),ROUNDUP(COLUMN()/3,0)-2))</f>
        <v/>
      </c>
      <c r="Z137" s="127"/>
      <c r="AA137" s="137"/>
      <c r="AB137" s="58" t="str" cm="1">
        <f>IF(ISBLANK($A137),"",INDEX(Array_ElectricalCharges,MATCH($A137,List_ElectricityMeters,0),ROUNDUP(COLUMN()/3,0)-2))</f>
        <v/>
      </c>
      <c r="AC137" s="127"/>
      <c r="AD137" s="137"/>
      <c r="AE137" s="58" t="str" cm="1">
        <f>IF(ISBLANK($A137),"",INDEX(Array_ElectricalCharges,MATCH($A137,List_ElectricityMeters,0),ROUNDUP(COLUMN()/3,0)-2))</f>
        <v/>
      </c>
      <c r="AF137" s="127"/>
      <c r="AG137" s="137"/>
      <c r="AH137" s="58" t="str" cm="1">
        <f>IF(ISBLANK($A137),"",INDEX(Array_ElectricalCharges,MATCH($A137,List_ElectricityMeters,0),ROUNDUP(COLUMN()/3,0)-2))</f>
        <v/>
      </c>
      <c r="AI137" s="127"/>
      <c r="AJ137" s="137"/>
      <c r="AK137" s="58" t="str" cm="1">
        <f>IF(ISBLANK($A137),"",INDEX(Array_ElectricalCharges,MATCH($A137,List_ElectricityMeters,0),ROUNDUP(COLUMN()/3,0)-2))</f>
        <v/>
      </c>
      <c r="AL137" s="127"/>
      <c r="AM137" s="137"/>
      <c r="AN137" s="58" t="str" cm="1">
        <f>IF(ISBLANK($A137),"",INDEX(Array_ElectricalCharges,MATCH($A137,List_ElectricityMeters,0),ROUNDUP(COLUMN()/3,0)-2))</f>
        <v/>
      </c>
      <c r="AO137" s="127"/>
      <c r="AP137" s="137"/>
      <c r="AQ137" s="58" t="str" cm="1">
        <f>IF(ISBLANK($A137),"",INDEX(Array_ElectricalCharges,MATCH($A137,List_ElectricityMeters,0),ROUNDUP(COLUMN()/3,0)-2))</f>
        <v/>
      </c>
      <c r="AR137" s="127"/>
      <c r="AS137" s="137"/>
      <c r="AT137" s="58" t="str" cm="1">
        <f>IF(ISBLANK($A137),"",INDEX(Array_ElectricalCharges,MATCH($A137,List_ElectricityMeters,0),ROUNDUP(COLUMN()/3,0)-2))</f>
        <v/>
      </c>
      <c r="AU137" s="127"/>
      <c r="AV137" s="137"/>
      <c r="AW137" s="58" t="str" cm="1">
        <f>IF(ISBLANK($A137),"",INDEX(Array_ElectricalCharges,MATCH($A137,List_ElectricityMeters,0),ROUNDUP(COLUMN()/3,0)-2))</f>
        <v/>
      </c>
      <c r="AX137" s="127"/>
      <c r="AY137" s="137"/>
    </row>
    <row r="138" spans="1:51" x14ac:dyDescent="0.3">
      <c r="A138" s="126"/>
      <c r="B138" s="133"/>
      <c r="C138" s="134"/>
      <c r="D138" s="134"/>
      <c r="E138" s="135"/>
      <c r="F138" s="136"/>
      <c r="G138" s="58" t="str" cm="1">
        <f>IF(ISBLANK($A138),"",INDEX(Array_ElectricalCharges,MATCH($A138,List_ElectricityMeters,0),ROUNDUP(COLUMN()/3,0)-2))</f>
        <v/>
      </c>
      <c r="H138" s="127"/>
      <c r="I138" s="137"/>
      <c r="J138" s="58" t="str" cm="1">
        <f>IF(ISBLANK($A138),"",INDEX(Array_ElectricalCharges,MATCH($A138,List_ElectricityMeters,0),ROUNDUP(COLUMN()/3,0)-2))</f>
        <v/>
      </c>
      <c r="K138" s="127"/>
      <c r="L138" s="137"/>
      <c r="M138" s="58" t="str" cm="1">
        <f>IF(ISBLANK($A138),"",INDEX(Array_ElectricalCharges,MATCH($A138,List_ElectricityMeters,0),ROUNDUP(COLUMN()/3,0)-2))</f>
        <v/>
      </c>
      <c r="N138" s="127"/>
      <c r="O138" s="137"/>
      <c r="P138" s="58" t="str" cm="1">
        <f>IF(ISBLANK($A138),"",INDEX(Array_ElectricalCharges,MATCH($A138,List_ElectricityMeters,0),ROUNDUP(COLUMN()/3,0)-2))</f>
        <v/>
      </c>
      <c r="Q138" s="127"/>
      <c r="R138" s="137"/>
      <c r="S138" s="58" t="str" cm="1">
        <f>IF(ISBLANK($A138),"",INDEX(Array_ElectricalCharges,MATCH($A138,List_ElectricityMeters,0),ROUNDUP(COLUMN()/3,0)-2))</f>
        <v/>
      </c>
      <c r="T138" s="127"/>
      <c r="U138" s="137"/>
      <c r="V138" s="58" t="str" cm="1">
        <f>IF(ISBLANK($A138),"",INDEX(Array_ElectricalCharges,MATCH($A138,List_ElectricityMeters,0),ROUNDUP(COLUMN()/3,0)-2))</f>
        <v/>
      </c>
      <c r="W138" s="127"/>
      <c r="X138" s="137"/>
      <c r="Y138" s="58" t="str" cm="1">
        <f>IF(ISBLANK($A138),"",INDEX(Array_ElectricalCharges,MATCH($A138,List_ElectricityMeters,0),ROUNDUP(COLUMN()/3,0)-2))</f>
        <v/>
      </c>
      <c r="Z138" s="127"/>
      <c r="AA138" s="137"/>
      <c r="AB138" s="58" t="str" cm="1">
        <f>IF(ISBLANK($A138),"",INDEX(Array_ElectricalCharges,MATCH($A138,List_ElectricityMeters,0),ROUNDUP(COLUMN()/3,0)-2))</f>
        <v/>
      </c>
      <c r="AC138" s="127"/>
      <c r="AD138" s="137"/>
      <c r="AE138" s="58" t="str" cm="1">
        <f>IF(ISBLANK($A138),"",INDEX(Array_ElectricalCharges,MATCH($A138,List_ElectricityMeters,0),ROUNDUP(COLUMN()/3,0)-2))</f>
        <v/>
      </c>
      <c r="AF138" s="127"/>
      <c r="AG138" s="137"/>
      <c r="AH138" s="58" t="str" cm="1">
        <f>IF(ISBLANK($A138),"",INDEX(Array_ElectricalCharges,MATCH($A138,List_ElectricityMeters,0),ROUNDUP(COLUMN()/3,0)-2))</f>
        <v/>
      </c>
      <c r="AI138" s="127"/>
      <c r="AJ138" s="137"/>
      <c r="AK138" s="58" t="str" cm="1">
        <f>IF(ISBLANK($A138),"",INDEX(Array_ElectricalCharges,MATCH($A138,List_ElectricityMeters,0),ROUNDUP(COLUMN()/3,0)-2))</f>
        <v/>
      </c>
      <c r="AL138" s="127"/>
      <c r="AM138" s="137"/>
      <c r="AN138" s="58" t="str" cm="1">
        <f>IF(ISBLANK($A138),"",INDEX(Array_ElectricalCharges,MATCH($A138,List_ElectricityMeters,0),ROUNDUP(COLUMN()/3,0)-2))</f>
        <v/>
      </c>
      <c r="AO138" s="127"/>
      <c r="AP138" s="137"/>
      <c r="AQ138" s="58" t="str" cm="1">
        <f>IF(ISBLANK($A138),"",INDEX(Array_ElectricalCharges,MATCH($A138,List_ElectricityMeters,0),ROUNDUP(COLUMN()/3,0)-2))</f>
        <v/>
      </c>
      <c r="AR138" s="127"/>
      <c r="AS138" s="137"/>
      <c r="AT138" s="58" t="str" cm="1">
        <f>IF(ISBLANK($A138),"",INDEX(Array_ElectricalCharges,MATCH($A138,List_ElectricityMeters,0),ROUNDUP(COLUMN()/3,0)-2))</f>
        <v/>
      </c>
      <c r="AU138" s="127"/>
      <c r="AV138" s="137"/>
      <c r="AW138" s="58" t="str" cm="1">
        <f>IF(ISBLANK($A138),"",INDEX(Array_ElectricalCharges,MATCH($A138,List_ElectricityMeters,0),ROUNDUP(COLUMN()/3,0)-2))</f>
        <v/>
      </c>
      <c r="AX138" s="127"/>
      <c r="AY138" s="137"/>
    </row>
    <row r="139" spans="1:51" x14ac:dyDescent="0.3">
      <c r="A139" s="126"/>
      <c r="B139" s="133"/>
      <c r="C139" s="134"/>
      <c r="D139" s="134"/>
      <c r="E139" s="135"/>
      <c r="F139" s="136"/>
      <c r="G139" s="58" t="str" cm="1">
        <f>IF(ISBLANK($A139),"",INDEX(Array_ElectricalCharges,MATCH($A139,List_ElectricityMeters,0),ROUNDUP(COLUMN()/3,0)-2))</f>
        <v/>
      </c>
      <c r="H139" s="127"/>
      <c r="I139" s="137"/>
      <c r="J139" s="58" t="str" cm="1">
        <f>IF(ISBLANK($A139),"",INDEX(Array_ElectricalCharges,MATCH($A139,List_ElectricityMeters,0),ROUNDUP(COLUMN()/3,0)-2))</f>
        <v/>
      </c>
      <c r="K139" s="127"/>
      <c r="L139" s="137"/>
      <c r="M139" s="58" t="str" cm="1">
        <f>IF(ISBLANK($A139),"",INDEX(Array_ElectricalCharges,MATCH($A139,List_ElectricityMeters,0),ROUNDUP(COLUMN()/3,0)-2))</f>
        <v/>
      </c>
      <c r="N139" s="127"/>
      <c r="O139" s="137"/>
      <c r="P139" s="58" t="str" cm="1">
        <f>IF(ISBLANK($A139),"",INDEX(Array_ElectricalCharges,MATCH($A139,List_ElectricityMeters,0),ROUNDUP(COLUMN()/3,0)-2))</f>
        <v/>
      </c>
      <c r="Q139" s="127"/>
      <c r="R139" s="137"/>
      <c r="S139" s="58" t="str" cm="1">
        <f>IF(ISBLANK($A139),"",INDEX(Array_ElectricalCharges,MATCH($A139,List_ElectricityMeters,0),ROUNDUP(COLUMN()/3,0)-2))</f>
        <v/>
      </c>
      <c r="T139" s="127"/>
      <c r="U139" s="137"/>
      <c r="V139" s="58" t="str" cm="1">
        <f>IF(ISBLANK($A139),"",INDEX(Array_ElectricalCharges,MATCH($A139,List_ElectricityMeters,0),ROUNDUP(COLUMN()/3,0)-2))</f>
        <v/>
      </c>
      <c r="W139" s="127"/>
      <c r="X139" s="137"/>
      <c r="Y139" s="58" t="str" cm="1">
        <f>IF(ISBLANK($A139),"",INDEX(Array_ElectricalCharges,MATCH($A139,List_ElectricityMeters,0),ROUNDUP(COLUMN()/3,0)-2))</f>
        <v/>
      </c>
      <c r="Z139" s="127"/>
      <c r="AA139" s="137"/>
      <c r="AB139" s="58" t="str" cm="1">
        <f>IF(ISBLANK($A139),"",INDEX(Array_ElectricalCharges,MATCH($A139,List_ElectricityMeters,0),ROUNDUP(COLUMN()/3,0)-2))</f>
        <v/>
      </c>
      <c r="AC139" s="127"/>
      <c r="AD139" s="137"/>
      <c r="AE139" s="58" t="str" cm="1">
        <f>IF(ISBLANK($A139),"",INDEX(Array_ElectricalCharges,MATCH($A139,List_ElectricityMeters,0),ROUNDUP(COLUMN()/3,0)-2))</f>
        <v/>
      </c>
      <c r="AF139" s="127"/>
      <c r="AG139" s="137"/>
      <c r="AH139" s="58" t="str" cm="1">
        <f>IF(ISBLANK($A139),"",INDEX(Array_ElectricalCharges,MATCH($A139,List_ElectricityMeters,0),ROUNDUP(COLUMN()/3,0)-2))</f>
        <v/>
      </c>
      <c r="AI139" s="127"/>
      <c r="AJ139" s="137"/>
      <c r="AK139" s="58" t="str" cm="1">
        <f>IF(ISBLANK($A139),"",INDEX(Array_ElectricalCharges,MATCH($A139,List_ElectricityMeters,0),ROUNDUP(COLUMN()/3,0)-2))</f>
        <v/>
      </c>
      <c r="AL139" s="127"/>
      <c r="AM139" s="137"/>
      <c r="AN139" s="58" t="str" cm="1">
        <f>IF(ISBLANK($A139),"",INDEX(Array_ElectricalCharges,MATCH($A139,List_ElectricityMeters,0),ROUNDUP(COLUMN()/3,0)-2))</f>
        <v/>
      </c>
      <c r="AO139" s="127"/>
      <c r="AP139" s="137"/>
      <c r="AQ139" s="58" t="str" cm="1">
        <f>IF(ISBLANK($A139),"",INDEX(Array_ElectricalCharges,MATCH($A139,List_ElectricityMeters,0),ROUNDUP(COLUMN()/3,0)-2))</f>
        <v/>
      </c>
      <c r="AR139" s="127"/>
      <c r="AS139" s="137"/>
      <c r="AT139" s="58" t="str" cm="1">
        <f>IF(ISBLANK($A139),"",INDEX(Array_ElectricalCharges,MATCH($A139,List_ElectricityMeters,0),ROUNDUP(COLUMN()/3,0)-2))</f>
        <v/>
      </c>
      <c r="AU139" s="127"/>
      <c r="AV139" s="137"/>
      <c r="AW139" s="58" t="str" cm="1">
        <f>IF(ISBLANK($A139),"",INDEX(Array_ElectricalCharges,MATCH($A139,List_ElectricityMeters,0),ROUNDUP(COLUMN()/3,0)-2))</f>
        <v/>
      </c>
      <c r="AX139" s="127"/>
      <c r="AY139" s="137"/>
    </row>
    <row r="140" spans="1:51" x14ac:dyDescent="0.3">
      <c r="A140" s="126"/>
      <c r="B140" s="133"/>
      <c r="C140" s="134"/>
      <c r="D140" s="134"/>
      <c r="E140" s="135"/>
      <c r="F140" s="136"/>
      <c r="G140" s="58" t="str" cm="1">
        <f>IF(ISBLANK($A140),"",INDEX(Array_ElectricalCharges,MATCH($A140,List_ElectricityMeters,0),ROUNDUP(COLUMN()/3,0)-2))</f>
        <v/>
      </c>
      <c r="H140" s="127"/>
      <c r="I140" s="137"/>
      <c r="J140" s="58" t="str" cm="1">
        <f>IF(ISBLANK($A140),"",INDEX(Array_ElectricalCharges,MATCH($A140,List_ElectricityMeters,0),ROUNDUP(COLUMN()/3,0)-2))</f>
        <v/>
      </c>
      <c r="K140" s="127"/>
      <c r="L140" s="137"/>
      <c r="M140" s="58" t="str" cm="1">
        <f>IF(ISBLANK($A140),"",INDEX(Array_ElectricalCharges,MATCH($A140,List_ElectricityMeters,0),ROUNDUP(COLUMN()/3,0)-2))</f>
        <v/>
      </c>
      <c r="N140" s="127"/>
      <c r="O140" s="137"/>
      <c r="P140" s="58" t="str" cm="1">
        <f>IF(ISBLANK($A140),"",INDEX(Array_ElectricalCharges,MATCH($A140,List_ElectricityMeters,0),ROUNDUP(COLUMN()/3,0)-2))</f>
        <v/>
      </c>
      <c r="Q140" s="127"/>
      <c r="R140" s="137"/>
      <c r="S140" s="58" t="str" cm="1">
        <f>IF(ISBLANK($A140),"",INDEX(Array_ElectricalCharges,MATCH($A140,List_ElectricityMeters,0),ROUNDUP(COLUMN()/3,0)-2))</f>
        <v/>
      </c>
      <c r="T140" s="127"/>
      <c r="U140" s="137"/>
      <c r="V140" s="58" t="str" cm="1">
        <f>IF(ISBLANK($A140),"",INDEX(Array_ElectricalCharges,MATCH($A140,List_ElectricityMeters,0),ROUNDUP(COLUMN()/3,0)-2))</f>
        <v/>
      </c>
      <c r="W140" s="127"/>
      <c r="X140" s="137"/>
      <c r="Y140" s="58" t="str" cm="1">
        <f>IF(ISBLANK($A140),"",INDEX(Array_ElectricalCharges,MATCH($A140,List_ElectricityMeters,0),ROUNDUP(COLUMN()/3,0)-2))</f>
        <v/>
      </c>
      <c r="Z140" s="127"/>
      <c r="AA140" s="137"/>
      <c r="AB140" s="58" t="str" cm="1">
        <f>IF(ISBLANK($A140),"",INDEX(Array_ElectricalCharges,MATCH($A140,List_ElectricityMeters,0),ROUNDUP(COLUMN()/3,0)-2))</f>
        <v/>
      </c>
      <c r="AC140" s="127"/>
      <c r="AD140" s="137"/>
      <c r="AE140" s="58" t="str" cm="1">
        <f>IF(ISBLANK($A140),"",INDEX(Array_ElectricalCharges,MATCH($A140,List_ElectricityMeters,0),ROUNDUP(COLUMN()/3,0)-2))</f>
        <v/>
      </c>
      <c r="AF140" s="127"/>
      <c r="AG140" s="137"/>
      <c r="AH140" s="58" t="str" cm="1">
        <f>IF(ISBLANK($A140),"",INDEX(Array_ElectricalCharges,MATCH($A140,List_ElectricityMeters,0),ROUNDUP(COLUMN()/3,0)-2))</f>
        <v/>
      </c>
      <c r="AI140" s="127"/>
      <c r="AJ140" s="137"/>
      <c r="AK140" s="58" t="str" cm="1">
        <f>IF(ISBLANK($A140),"",INDEX(Array_ElectricalCharges,MATCH($A140,List_ElectricityMeters,0),ROUNDUP(COLUMN()/3,0)-2))</f>
        <v/>
      </c>
      <c r="AL140" s="127"/>
      <c r="AM140" s="137"/>
      <c r="AN140" s="58" t="str" cm="1">
        <f>IF(ISBLANK($A140),"",INDEX(Array_ElectricalCharges,MATCH($A140,List_ElectricityMeters,0),ROUNDUP(COLUMN()/3,0)-2))</f>
        <v/>
      </c>
      <c r="AO140" s="127"/>
      <c r="AP140" s="137"/>
      <c r="AQ140" s="58" t="str" cm="1">
        <f>IF(ISBLANK($A140),"",INDEX(Array_ElectricalCharges,MATCH($A140,List_ElectricityMeters,0),ROUNDUP(COLUMN()/3,0)-2))</f>
        <v/>
      </c>
      <c r="AR140" s="127"/>
      <c r="AS140" s="137"/>
      <c r="AT140" s="58" t="str" cm="1">
        <f>IF(ISBLANK($A140),"",INDEX(Array_ElectricalCharges,MATCH($A140,List_ElectricityMeters,0),ROUNDUP(COLUMN()/3,0)-2))</f>
        <v/>
      </c>
      <c r="AU140" s="127"/>
      <c r="AV140" s="137"/>
      <c r="AW140" s="58" t="str" cm="1">
        <f>IF(ISBLANK($A140),"",INDEX(Array_ElectricalCharges,MATCH($A140,List_ElectricityMeters,0),ROUNDUP(COLUMN()/3,0)-2))</f>
        <v/>
      </c>
      <c r="AX140" s="127"/>
      <c r="AY140" s="137"/>
    </row>
    <row r="141" spans="1:51" x14ac:dyDescent="0.3">
      <c r="A141" s="126"/>
      <c r="B141" s="133"/>
      <c r="C141" s="134"/>
      <c r="D141" s="134"/>
      <c r="E141" s="135"/>
      <c r="F141" s="136"/>
      <c r="G141" s="58" t="str" cm="1">
        <f>IF(ISBLANK($A141),"",INDEX(Array_ElectricalCharges,MATCH($A141,List_ElectricityMeters,0),ROUNDUP(COLUMN()/3,0)-2))</f>
        <v/>
      </c>
      <c r="H141" s="127"/>
      <c r="I141" s="137"/>
      <c r="J141" s="58" t="str" cm="1">
        <f>IF(ISBLANK($A141),"",INDEX(Array_ElectricalCharges,MATCH($A141,List_ElectricityMeters,0),ROUNDUP(COLUMN()/3,0)-2))</f>
        <v/>
      </c>
      <c r="K141" s="127"/>
      <c r="L141" s="137"/>
      <c r="M141" s="58" t="str" cm="1">
        <f>IF(ISBLANK($A141),"",INDEX(Array_ElectricalCharges,MATCH($A141,List_ElectricityMeters,0),ROUNDUP(COLUMN()/3,0)-2))</f>
        <v/>
      </c>
      <c r="N141" s="127"/>
      <c r="O141" s="137"/>
      <c r="P141" s="58" t="str" cm="1">
        <f>IF(ISBLANK($A141),"",INDEX(Array_ElectricalCharges,MATCH($A141,List_ElectricityMeters,0),ROUNDUP(COLUMN()/3,0)-2))</f>
        <v/>
      </c>
      <c r="Q141" s="127"/>
      <c r="R141" s="137"/>
      <c r="S141" s="58" t="str" cm="1">
        <f>IF(ISBLANK($A141),"",INDEX(Array_ElectricalCharges,MATCH($A141,List_ElectricityMeters,0),ROUNDUP(COLUMN()/3,0)-2))</f>
        <v/>
      </c>
      <c r="T141" s="127"/>
      <c r="U141" s="137"/>
      <c r="V141" s="58" t="str" cm="1">
        <f>IF(ISBLANK($A141),"",INDEX(Array_ElectricalCharges,MATCH($A141,List_ElectricityMeters,0),ROUNDUP(COLUMN()/3,0)-2))</f>
        <v/>
      </c>
      <c r="W141" s="127"/>
      <c r="X141" s="137"/>
      <c r="Y141" s="58" t="str" cm="1">
        <f>IF(ISBLANK($A141),"",INDEX(Array_ElectricalCharges,MATCH($A141,List_ElectricityMeters,0),ROUNDUP(COLUMN()/3,0)-2))</f>
        <v/>
      </c>
      <c r="Z141" s="127"/>
      <c r="AA141" s="137"/>
      <c r="AB141" s="58" t="str" cm="1">
        <f>IF(ISBLANK($A141),"",INDEX(Array_ElectricalCharges,MATCH($A141,List_ElectricityMeters,0),ROUNDUP(COLUMN()/3,0)-2))</f>
        <v/>
      </c>
      <c r="AC141" s="127"/>
      <c r="AD141" s="137"/>
      <c r="AE141" s="58" t="str" cm="1">
        <f>IF(ISBLANK($A141),"",INDEX(Array_ElectricalCharges,MATCH($A141,List_ElectricityMeters,0),ROUNDUP(COLUMN()/3,0)-2))</f>
        <v/>
      </c>
      <c r="AF141" s="127"/>
      <c r="AG141" s="137"/>
      <c r="AH141" s="58" t="str" cm="1">
        <f>IF(ISBLANK($A141),"",INDEX(Array_ElectricalCharges,MATCH($A141,List_ElectricityMeters,0),ROUNDUP(COLUMN()/3,0)-2))</f>
        <v/>
      </c>
      <c r="AI141" s="127"/>
      <c r="AJ141" s="137"/>
      <c r="AK141" s="58" t="str" cm="1">
        <f>IF(ISBLANK($A141),"",INDEX(Array_ElectricalCharges,MATCH($A141,List_ElectricityMeters,0),ROUNDUP(COLUMN()/3,0)-2))</f>
        <v/>
      </c>
      <c r="AL141" s="127"/>
      <c r="AM141" s="137"/>
      <c r="AN141" s="58" t="str" cm="1">
        <f>IF(ISBLANK($A141),"",INDEX(Array_ElectricalCharges,MATCH($A141,List_ElectricityMeters,0),ROUNDUP(COLUMN()/3,0)-2))</f>
        <v/>
      </c>
      <c r="AO141" s="127"/>
      <c r="AP141" s="137"/>
      <c r="AQ141" s="58" t="str" cm="1">
        <f>IF(ISBLANK($A141),"",INDEX(Array_ElectricalCharges,MATCH($A141,List_ElectricityMeters,0),ROUNDUP(COLUMN()/3,0)-2))</f>
        <v/>
      </c>
      <c r="AR141" s="127"/>
      <c r="AS141" s="137"/>
      <c r="AT141" s="58" t="str" cm="1">
        <f>IF(ISBLANK($A141),"",INDEX(Array_ElectricalCharges,MATCH($A141,List_ElectricityMeters,0),ROUNDUP(COLUMN()/3,0)-2))</f>
        <v/>
      </c>
      <c r="AU141" s="127"/>
      <c r="AV141" s="137"/>
      <c r="AW141" s="58" t="str" cm="1">
        <f>IF(ISBLANK($A141),"",INDEX(Array_ElectricalCharges,MATCH($A141,List_ElectricityMeters,0),ROUNDUP(COLUMN()/3,0)-2))</f>
        <v/>
      </c>
      <c r="AX141" s="127"/>
      <c r="AY141" s="137"/>
    </row>
    <row r="142" spans="1:51" x14ac:dyDescent="0.3">
      <c r="A142" s="126"/>
      <c r="B142" s="133"/>
      <c r="C142" s="134"/>
      <c r="D142" s="134"/>
      <c r="E142" s="135"/>
      <c r="F142" s="136"/>
      <c r="G142" s="58" t="str" cm="1">
        <f>IF(ISBLANK($A142),"",INDEX(Array_ElectricalCharges,MATCH($A142,List_ElectricityMeters,0),ROUNDUP(COLUMN()/3,0)-2))</f>
        <v/>
      </c>
      <c r="H142" s="127"/>
      <c r="I142" s="137"/>
      <c r="J142" s="58" t="str" cm="1">
        <f>IF(ISBLANK($A142),"",INDEX(Array_ElectricalCharges,MATCH($A142,List_ElectricityMeters,0),ROUNDUP(COLUMN()/3,0)-2))</f>
        <v/>
      </c>
      <c r="K142" s="127"/>
      <c r="L142" s="137"/>
      <c r="M142" s="58" t="str" cm="1">
        <f>IF(ISBLANK($A142),"",INDEX(Array_ElectricalCharges,MATCH($A142,List_ElectricityMeters,0),ROUNDUP(COLUMN()/3,0)-2))</f>
        <v/>
      </c>
      <c r="N142" s="127"/>
      <c r="O142" s="137"/>
      <c r="P142" s="58" t="str" cm="1">
        <f>IF(ISBLANK($A142),"",INDEX(Array_ElectricalCharges,MATCH($A142,List_ElectricityMeters,0),ROUNDUP(COLUMN()/3,0)-2))</f>
        <v/>
      </c>
      <c r="Q142" s="127"/>
      <c r="R142" s="137"/>
      <c r="S142" s="58" t="str" cm="1">
        <f>IF(ISBLANK($A142),"",INDEX(Array_ElectricalCharges,MATCH($A142,List_ElectricityMeters,0),ROUNDUP(COLUMN()/3,0)-2))</f>
        <v/>
      </c>
      <c r="T142" s="127"/>
      <c r="U142" s="137"/>
      <c r="V142" s="58" t="str" cm="1">
        <f>IF(ISBLANK($A142),"",INDEX(Array_ElectricalCharges,MATCH($A142,List_ElectricityMeters,0),ROUNDUP(COLUMN()/3,0)-2))</f>
        <v/>
      </c>
      <c r="W142" s="127"/>
      <c r="X142" s="137"/>
      <c r="Y142" s="58" t="str" cm="1">
        <f>IF(ISBLANK($A142),"",INDEX(Array_ElectricalCharges,MATCH($A142,List_ElectricityMeters,0),ROUNDUP(COLUMN()/3,0)-2))</f>
        <v/>
      </c>
      <c r="Z142" s="127"/>
      <c r="AA142" s="137"/>
      <c r="AB142" s="58" t="str" cm="1">
        <f>IF(ISBLANK($A142),"",INDEX(Array_ElectricalCharges,MATCH($A142,List_ElectricityMeters,0),ROUNDUP(COLUMN()/3,0)-2))</f>
        <v/>
      </c>
      <c r="AC142" s="127"/>
      <c r="AD142" s="137"/>
      <c r="AE142" s="58" t="str" cm="1">
        <f>IF(ISBLANK($A142),"",INDEX(Array_ElectricalCharges,MATCH($A142,List_ElectricityMeters,0),ROUNDUP(COLUMN()/3,0)-2))</f>
        <v/>
      </c>
      <c r="AF142" s="127"/>
      <c r="AG142" s="137"/>
      <c r="AH142" s="58" t="str" cm="1">
        <f>IF(ISBLANK($A142),"",INDEX(Array_ElectricalCharges,MATCH($A142,List_ElectricityMeters,0),ROUNDUP(COLUMN()/3,0)-2))</f>
        <v/>
      </c>
      <c r="AI142" s="127"/>
      <c r="AJ142" s="137"/>
      <c r="AK142" s="58" t="str" cm="1">
        <f>IF(ISBLANK($A142),"",INDEX(Array_ElectricalCharges,MATCH($A142,List_ElectricityMeters,0),ROUNDUP(COLUMN()/3,0)-2))</f>
        <v/>
      </c>
      <c r="AL142" s="127"/>
      <c r="AM142" s="137"/>
      <c r="AN142" s="58" t="str" cm="1">
        <f>IF(ISBLANK($A142),"",INDEX(Array_ElectricalCharges,MATCH($A142,List_ElectricityMeters,0),ROUNDUP(COLUMN()/3,0)-2))</f>
        <v/>
      </c>
      <c r="AO142" s="127"/>
      <c r="AP142" s="137"/>
      <c r="AQ142" s="58" t="str" cm="1">
        <f>IF(ISBLANK($A142),"",INDEX(Array_ElectricalCharges,MATCH($A142,List_ElectricityMeters,0),ROUNDUP(COLUMN()/3,0)-2))</f>
        <v/>
      </c>
      <c r="AR142" s="127"/>
      <c r="AS142" s="137"/>
      <c r="AT142" s="58" t="str" cm="1">
        <f>IF(ISBLANK($A142),"",INDEX(Array_ElectricalCharges,MATCH($A142,List_ElectricityMeters,0),ROUNDUP(COLUMN()/3,0)-2))</f>
        <v/>
      </c>
      <c r="AU142" s="127"/>
      <c r="AV142" s="137"/>
      <c r="AW142" s="58" t="str" cm="1">
        <f>IF(ISBLANK($A142),"",INDEX(Array_ElectricalCharges,MATCH($A142,List_ElectricityMeters,0),ROUNDUP(COLUMN()/3,0)-2))</f>
        <v/>
      </c>
      <c r="AX142" s="127"/>
      <c r="AY142" s="137"/>
    </row>
    <row r="143" spans="1:51" x14ac:dyDescent="0.3">
      <c r="A143" s="126"/>
      <c r="B143" s="133"/>
      <c r="C143" s="134"/>
      <c r="D143" s="134"/>
      <c r="E143" s="135"/>
      <c r="F143" s="136"/>
      <c r="G143" s="58" t="str" cm="1">
        <f>IF(ISBLANK($A143),"",INDEX(Array_ElectricalCharges,MATCH($A143,List_ElectricityMeters,0),ROUNDUP(COLUMN()/3,0)-2))</f>
        <v/>
      </c>
      <c r="H143" s="127"/>
      <c r="I143" s="137"/>
      <c r="J143" s="58" t="str" cm="1">
        <f>IF(ISBLANK($A143),"",INDEX(Array_ElectricalCharges,MATCH($A143,List_ElectricityMeters,0),ROUNDUP(COLUMN()/3,0)-2))</f>
        <v/>
      </c>
      <c r="K143" s="127"/>
      <c r="L143" s="137"/>
      <c r="M143" s="58" t="str" cm="1">
        <f>IF(ISBLANK($A143),"",INDEX(Array_ElectricalCharges,MATCH($A143,List_ElectricityMeters,0),ROUNDUP(COLUMN()/3,0)-2))</f>
        <v/>
      </c>
      <c r="N143" s="127"/>
      <c r="O143" s="137"/>
      <c r="P143" s="58" t="str" cm="1">
        <f>IF(ISBLANK($A143),"",INDEX(Array_ElectricalCharges,MATCH($A143,List_ElectricityMeters,0),ROUNDUP(COLUMN()/3,0)-2))</f>
        <v/>
      </c>
      <c r="Q143" s="127"/>
      <c r="R143" s="137"/>
      <c r="S143" s="58" t="str" cm="1">
        <f>IF(ISBLANK($A143),"",INDEX(Array_ElectricalCharges,MATCH($A143,List_ElectricityMeters,0),ROUNDUP(COLUMN()/3,0)-2))</f>
        <v/>
      </c>
      <c r="T143" s="127"/>
      <c r="U143" s="137"/>
      <c r="V143" s="58" t="str" cm="1">
        <f>IF(ISBLANK($A143),"",INDEX(Array_ElectricalCharges,MATCH($A143,List_ElectricityMeters,0),ROUNDUP(COLUMN()/3,0)-2))</f>
        <v/>
      </c>
      <c r="W143" s="127"/>
      <c r="X143" s="137"/>
      <c r="Y143" s="58" t="str" cm="1">
        <f>IF(ISBLANK($A143),"",INDEX(Array_ElectricalCharges,MATCH($A143,List_ElectricityMeters,0),ROUNDUP(COLUMN()/3,0)-2))</f>
        <v/>
      </c>
      <c r="Z143" s="127"/>
      <c r="AA143" s="137"/>
      <c r="AB143" s="58" t="str" cm="1">
        <f>IF(ISBLANK($A143),"",INDEX(Array_ElectricalCharges,MATCH($A143,List_ElectricityMeters,0),ROUNDUP(COLUMN()/3,0)-2))</f>
        <v/>
      </c>
      <c r="AC143" s="127"/>
      <c r="AD143" s="137"/>
      <c r="AE143" s="58" t="str" cm="1">
        <f>IF(ISBLANK($A143),"",INDEX(Array_ElectricalCharges,MATCH($A143,List_ElectricityMeters,0),ROUNDUP(COLUMN()/3,0)-2))</f>
        <v/>
      </c>
      <c r="AF143" s="127"/>
      <c r="AG143" s="137"/>
      <c r="AH143" s="58" t="str" cm="1">
        <f>IF(ISBLANK($A143),"",INDEX(Array_ElectricalCharges,MATCH($A143,List_ElectricityMeters,0),ROUNDUP(COLUMN()/3,0)-2))</f>
        <v/>
      </c>
      <c r="AI143" s="127"/>
      <c r="AJ143" s="137"/>
      <c r="AK143" s="58" t="str" cm="1">
        <f>IF(ISBLANK($A143),"",INDEX(Array_ElectricalCharges,MATCH($A143,List_ElectricityMeters,0),ROUNDUP(COLUMN()/3,0)-2))</f>
        <v/>
      </c>
      <c r="AL143" s="127"/>
      <c r="AM143" s="137"/>
      <c r="AN143" s="58" t="str" cm="1">
        <f>IF(ISBLANK($A143),"",INDEX(Array_ElectricalCharges,MATCH($A143,List_ElectricityMeters,0),ROUNDUP(COLUMN()/3,0)-2))</f>
        <v/>
      </c>
      <c r="AO143" s="127"/>
      <c r="AP143" s="137"/>
      <c r="AQ143" s="58" t="str" cm="1">
        <f>IF(ISBLANK($A143),"",INDEX(Array_ElectricalCharges,MATCH($A143,List_ElectricityMeters,0),ROUNDUP(COLUMN()/3,0)-2))</f>
        <v/>
      </c>
      <c r="AR143" s="127"/>
      <c r="AS143" s="137"/>
      <c r="AT143" s="58" t="str" cm="1">
        <f>IF(ISBLANK($A143),"",INDEX(Array_ElectricalCharges,MATCH($A143,List_ElectricityMeters,0),ROUNDUP(COLUMN()/3,0)-2))</f>
        <v/>
      </c>
      <c r="AU143" s="127"/>
      <c r="AV143" s="137"/>
      <c r="AW143" s="58" t="str" cm="1">
        <f>IF(ISBLANK($A143),"",INDEX(Array_ElectricalCharges,MATCH($A143,List_ElectricityMeters,0),ROUNDUP(COLUMN()/3,0)-2))</f>
        <v/>
      </c>
      <c r="AX143" s="127"/>
      <c r="AY143" s="137"/>
    </row>
    <row r="144" spans="1:51" x14ac:dyDescent="0.3">
      <c r="A144" s="126"/>
      <c r="B144" s="133"/>
      <c r="C144" s="134"/>
      <c r="D144" s="134"/>
      <c r="E144" s="135"/>
      <c r="F144" s="136"/>
      <c r="G144" s="58" t="str" cm="1">
        <f>IF(ISBLANK($A144),"",INDEX(Array_ElectricalCharges,MATCH($A144,List_ElectricityMeters,0),ROUNDUP(COLUMN()/3,0)-2))</f>
        <v/>
      </c>
      <c r="H144" s="127"/>
      <c r="I144" s="137"/>
      <c r="J144" s="58" t="str" cm="1">
        <f>IF(ISBLANK($A144),"",INDEX(Array_ElectricalCharges,MATCH($A144,List_ElectricityMeters,0),ROUNDUP(COLUMN()/3,0)-2))</f>
        <v/>
      </c>
      <c r="K144" s="127"/>
      <c r="L144" s="137"/>
      <c r="M144" s="58" t="str" cm="1">
        <f>IF(ISBLANK($A144),"",INDEX(Array_ElectricalCharges,MATCH($A144,List_ElectricityMeters,0),ROUNDUP(COLUMN()/3,0)-2))</f>
        <v/>
      </c>
      <c r="N144" s="127"/>
      <c r="O144" s="137"/>
      <c r="P144" s="58" t="str" cm="1">
        <f>IF(ISBLANK($A144),"",INDEX(Array_ElectricalCharges,MATCH($A144,List_ElectricityMeters,0),ROUNDUP(COLUMN()/3,0)-2))</f>
        <v/>
      </c>
      <c r="Q144" s="127"/>
      <c r="R144" s="137"/>
      <c r="S144" s="58" t="str" cm="1">
        <f>IF(ISBLANK($A144),"",INDEX(Array_ElectricalCharges,MATCH($A144,List_ElectricityMeters,0),ROUNDUP(COLUMN()/3,0)-2))</f>
        <v/>
      </c>
      <c r="T144" s="127"/>
      <c r="U144" s="137"/>
      <c r="V144" s="58" t="str" cm="1">
        <f>IF(ISBLANK($A144),"",INDEX(Array_ElectricalCharges,MATCH($A144,List_ElectricityMeters,0),ROUNDUP(COLUMN()/3,0)-2))</f>
        <v/>
      </c>
      <c r="W144" s="127"/>
      <c r="X144" s="137"/>
      <c r="Y144" s="58" t="str" cm="1">
        <f>IF(ISBLANK($A144),"",INDEX(Array_ElectricalCharges,MATCH($A144,List_ElectricityMeters,0),ROUNDUP(COLUMN()/3,0)-2))</f>
        <v/>
      </c>
      <c r="Z144" s="127"/>
      <c r="AA144" s="137"/>
      <c r="AB144" s="58" t="str" cm="1">
        <f>IF(ISBLANK($A144),"",INDEX(Array_ElectricalCharges,MATCH($A144,List_ElectricityMeters,0),ROUNDUP(COLUMN()/3,0)-2))</f>
        <v/>
      </c>
      <c r="AC144" s="127"/>
      <c r="AD144" s="137"/>
      <c r="AE144" s="58" t="str" cm="1">
        <f>IF(ISBLANK($A144),"",INDEX(Array_ElectricalCharges,MATCH($A144,List_ElectricityMeters,0),ROUNDUP(COLUMN()/3,0)-2))</f>
        <v/>
      </c>
      <c r="AF144" s="127"/>
      <c r="AG144" s="137"/>
      <c r="AH144" s="58" t="str" cm="1">
        <f>IF(ISBLANK($A144),"",INDEX(Array_ElectricalCharges,MATCH($A144,List_ElectricityMeters,0),ROUNDUP(COLUMN()/3,0)-2))</f>
        <v/>
      </c>
      <c r="AI144" s="127"/>
      <c r="AJ144" s="137"/>
      <c r="AK144" s="58" t="str" cm="1">
        <f>IF(ISBLANK($A144),"",INDEX(Array_ElectricalCharges,MATCH($A144,List_ElectricityMeters,0),ROUNDUP(COLUMN()/3,0)-2))</f>
        <v/>
      </c>
      <c r="AL144" s="127"/>
      <c r="AM144" s="137"/>
      <c r="AN144" s="58" t="str" cm="1">
        <f>IF(ISBLANK($A144),"",INDEX(Array_ElectricalCharges,MATCH($A144,List_ElectricityMeters,0),ROUNDUP(COLUMN()/3,0)-2))</f>
        <v/>
      </c>
      <c r="AO144" s="127"/>
      <c r="AP144" s="137"/>
      <c r="AQ144" s="58" t="str" cm="1">
        <f>IF(ISBLANK($A144),"",INDEX(Array_ElectricalCharges,MATCH($A144,List_ElectricityMeters,0),ROUNDUP(COLUMN()/3,0)-2))</f>
        <v/>
      </c>
      <c r="AR144" s="127"/>
      <c r="AS144" s="137"/>
      <c r="AT144" s="58" t="str" cm="1">
        <f>IF(ISBLANK($A144),"",INDEX(Array_ElectricalCharges,MATCH($A144,List_ElectricityMeters,0),ROUNDUP(COLUMN()/3,0)-2))</f>
        <v/>
      </c>
      <c r="AU144" s="127"/>
      <c r="AV144" s="137"/>
      <c r="AW144" s="58" t="str" cm="1">
        <f>IF(ISBLANK($A144),"",INDEX(Array_ElectricalCharges,MATCH($A144,List_ElectricityMeters,0),ROUNDUP(COLUMN()/3,0)-2))</f>
        <v/>
      </c>
      <c r="AX144" s="127"/>
      <c r="AY144" s="137"/>
    </row>
    <row r="145" spans="1:51" x14ac:dyDescent="0.3">
      <c r="A145" s="126"/>
      <c r="B145" s="133"/>
      <c r="C145" s="134"/>
      <c r="D145" s="134"/>
      <c r="E145" s="135"/>
      <c r="F145" s="136"/>
      <c r="G145" s="58" t="str" cm="1">
        <f>IF(ISBLANK($A145),"",INDEX(Array_ElectricalCharges,MATCH($A145,List_ElectricityMeters,0),ROUNDUP(COLUMN()/3,0)-2))</f>
        <v/>
      </c>
      <c r="H145" s="127"/>
      <c r="I145" s="137"/>
      <c r="J145" s="58" t="str" cm="1">
        <f>IF(ISBLANK($A145),"",INDEX(Array_ElectricalCharges,MATCH($A145,List_ElectricityMeters,0),ROUNDUP(COLUMN()/3,0)-2))</f>
        <v/>
      </c>
      <c r="K145" s="127"/>
      <c r="L145" s="137"/>
      <c r="M145" s="58" t="str" cm="1">
        <f>IF(ISBLANK($A145),"",INDEX(Array_ElectricalCharges,MATCH($A145,List_ElectricityMeters,0),ROUNDUP(COLUMN()/3,0)-2))</f>
        <v/>
      </c>
      <c r="N145" s="127"/>
      <c r="O145" s="137"/>
      <c r="P145" s="58" t="str" cm="1">
        <f>IF(ISBLANK($A145),"",INDEX(Array_ElectricalCharges,MATCH($A145,List_ElectricityMeters,0),ROUNDUP(COLUMN()/3,0)-2))</f>
        <v/>
      </c>
      <c r="Q145" s="127"/>
      <c r="R145" s="137"/>
      <c r="S145" s="58" t="str" cm="1">
        <f>IF(ISBLANK($A145),"",INDEX(Array_ElectricalCharges,MATCH($A145,List_ElectricityMeters,0),ROUNDUP(COLUMN()/3,0)-2))</f>
        <v/>
      </c>
      <c r="T145" s="127"/>
      <c r="U145" s="137"/>
      <c r="V145" s="58" t="str" cm="1">
        <f>IF(ISBLANK($A145),"",INDEX(Array_ElectricalCharges,MATCH($A145,List_ElectricityMeters,0),ROUNDUP(COLUMN()/3,0)-2))</f>
        <v/>
      </c>
      <c r="W145" s="127"/>
      <c r="X145" s="137"/>
      <c r="Y145" s="58" t="str" cm="1">
        <f>IF(ISBLANK($A145),"",INDEX(Array_ElectricalCharges,MATCH($A145,List_ElectricityMeters,0),ROUNDUP(COLUMN()/3,0)-2))</f>
        <v/>
      </c>
      <c r="Z145" s="127"/>
      <c r="AA145" s="137"/>
      <c r="AB145" s="58" t="str" cm="1">
        <f>IF(ISBLANK($A145),"",INDEX(Array_ElectricalCharges,MATCH($A145,List_ElectricityMeters,0),ROUNDUP(COLUMN()/3,0)-2))</f>
        <v/>
      </c>
      <c r="AC145" s="127"/>
      <c r="AD145" s="137"/>
      <c r="AE145" s="58" t="str" cm="1">
        <f>IF(ISBLANK($A145),"",INDEX(Array_ElectricalCharges,MATCH($A145,List_ElectricityMeters,0),ROUNDUP(COLUMN()/3,0)-2))</f>
        <v/>
      </c>
      <c r="AF145" s="127"/>
      <c r="AG145" s="137"/>
      <c r="AH145" s="58" t="str" cm="1">
        <f>IF(ISBLANK($A145),"",INDEX(Array_ElectricalCharges,MATCH($A145,List_ElectricityMeters,0),ROUNDUP(COLUMN()/3,0)-2))</f>
        <v/>
      </c>
      <c r="AI145" s="127"/>
      <c r="AJ145" s="137"/>
      <c r="AK145" s="58" t="str" cm="1">
        <f>IF(ISBLANK($A145),"",INDEX(Array_ElectricalCharges,MATCH($A145,List_ElectricityMeters,0),ROUNDUP(COLUMN()/3,0)-2))</f>
        <v/>
      </c>
      <c r="AL145" s="127"/>
      <c r="AM145" s="137"/>
      <c r="AN145" s="58" t="str" cm="1">
        <f>IF(ISBLANK($A145),"",INDEX(Array_ElectricalCharges,MATCH($A145,List_ElectricityMeters,0),ROUNDUP(COLUMN()/3,0)-2))</f>
        <v/>
      </c>
      <c r="AO145" s="127"/>
      <c r="AP145" s="137"/>
      <c r="AQ145" s="58" t="str" cm="1">
        <f>IF(ISBLANK($A145),"",INDEX(Array_ElectricalCharges,MATCH($A145,List_ElectricityMeters,0),ROUNDUP(COLUMN()/3,0)-2))</f>
        <v/>
      </c>
      <c r="AR145" s="127"/>
      <c r="AS145" s="137"/>
      <c r="AT145" s="58" t="str" cm="1">
        <f>IF(ISBLANK($A145),"",INDEX(Array_ElectricalCharges,MATCH($A145,List_ElectricityMeters,0),ROUNDUP(COLUMN()/3,0)-2))</f>
        <v/>
      </c>
      <c r="AU145" s="127"/>
      <c r="AV145" s="137"/>
      <c r="AW145" s="58" t="str" cm="1">
        <f>IF(ISBLANK($A145),"",INDEX(Array_ElectricalCharges,MATCH($A145,List_ElectricityMeters,0),ROUNDUP(COLUMN()/3,0)-2))</f>
        <v/>
      </c>
      <c r="AX145" s="127"/>
      <c r="AY145" s="137"/>
    </row>
    <row r="146" spans="1:51" x14ac:dyDescent="0.3">
      <c r="A146" s="126"/>
      <c r="B146" s="133"/>
      <c r="C146" s="134"/>
      <c r="D146" s="134"/>
      <c r="E146" s="135"/>
      <c r="F146" s="136"/>
      <c r="G146" s="58" t="str" cm="1">
        <f>IF(ISBLANK($A146),"",INDEX(Array_ElectricalCharges,MATCH($A146,List_ElectricityMeters,0),ROUNDUP(COLUMN()/3,0)-2))</f>
        <v/>
      </c>
      <c r="H146" s="127"/>
      <c r="I146" s="137"/>
      <c r="J146" s="58" t="str" cm="1">
        <f>IF(ISBLANK($A146),"",INDEX(Array_ElectricalCharges,MATCH($A146,List_ElectricityMeters,0),ROUNDUP(COLUMN()/3,0)-2))</f>
        <v/>
      </c>
      <c r="K146" s="127"/>
      <c r="L146" s="137"/>
      <c r="M146" s="58" t="str" cm="1">
        <f>IF(ISBLANK($A146),"",INDEX(Array_ElectricalCharges,MATCH($A146,List_ElectricityMeters,0),ROUNDUP(COLUMN()/3,0)-2))</f>
        <v/>
      </c>
      <c r="N146" s="127"/>
      <c r="O146" s="137"/>
      <c r="P146" s="58" t="str" cm="1">
        <f>IF(ISBLANK($A146),"",INDEX(Array_ElectricalCharges,MATCH($A146,List_ElectricityMeters,0),ROUNDUP(COLUMN()/3,0)-2))</f>
        <v/>
      </c>
      <c r="Q146" s="127"/>
      <c r="R146" s="137"/>
      <c r="S146" s="58" t="str" cm="1">
        <f>IF(ISBLANK($A146),"",INDEX(Array_ElectricalCharges,MATCH($A146,List_ElectricityMeters,0),ROUNDUP(COLUMN()/3,0)-2))</f>
        <v/>
      </c>
      <c r="T146" s="127"/>
      <c r="U146" s="137"/>
      <c r="V146" s="58" t="str" cm="1">
        <f>IF(ISBLANK($A146),"",INDEX(Array_ElectricalCharges,MATCH($A146,List_ElectricityMeters,0),ROUNDUP(COLUMN()/3,0)-2))</f>
        <v/>
      </c>
      <c r="W146" s="127"/>
      <c r="X146" s="137"/>
      <c r="Y146" s="58" t="str" cm="1">
        <f>IF(ISBLANK($A146),"",INDEX(Array_ElectricalCharges,MATCH($A146,List_ElectricityMeters,0),ROUNDUP(COLUMN()/3,0)-2))</f>
        <v/>
      </c>
      <c r="Z146" s="127"/>
      <c r="AA146" s="137"/>
      <c r="AB146" s="58" t="str" cm="1">
        <f>IF(ISBLANK($A146),"",INDEX(Array_ElectricalCharges,MATCH($A146,List_ElectricityMeters,0),ROUNDUP(COLUMN()/3,0)-2))</f>
        <v/>
      </c>
      <c r="AC146" s="127"/>
      <c r="AD146" s="137"/>
      <c r="AE146" s="58" t="str" cm="1">
        <f>IF(ISBLANK($A146),"",INDEX(Array_ElectricalCharges,MATCH($A146,List_ElectricityMeters,0),ROUNDUP(COLUMN()/3,0)-2))</f>
        <v/>
      </c>
      <c r="AF146" s="127"/>
      <c r="AG146" s="137"/>
      <c r="AH146" s="58" t="str" cm="1">
        <f>IF(ISBLANK($A146),"",INDEX(Array_ElectricalCharges,MATCH($A146,List_ElectricityMeters,0),ROUNDUP(COLUMN()/3,0)-2))</f>
        <v/>
      </c>
      <c r="AI146" s="127"/>
      <c r="AJ146" s="137"/>
      <c r="AK146" s="58" t="str" cm="1">
        <f>IF(ISBLANK($A146),"",INDEX(Array_ElectricalCharges,MATCH($A146,List_ElectricityMeters,0),ROUNDUP(COLUMN()/3,0)-2))</f>
        <v/>
      </c>
      <c r="AL146" s="127"/>
      <c r="AM146" s="137"/>
      <c r="AN146" s="58" t="str" cm="1">
        <f>IF(ISBLANK($A146),"",INDEX(Array_ElectricalCharges,MATCH($A146,List_ElectricityMeters,0),ROUNDUP(COLUMN()/3,0)-2))</f>
        <v/>
      </c>
      <c r="AO146" s="127"/>
      <c r="AP146" s="137"/>
      <c r="AQ146" s="58" t="str" cm="1">
        <f>IF(ISBLANK($A146),"",INDEX(Array_ElectricalCharges,MATCH($A146,List_ElectricityMeters,0),ROUNDUP(COLUMN()/3,0)-2))</f>
        <v/>
      </c>
      <c r="AR146" s="127"/>
      <c r="AS146" s="137"/>
      <c r="AT146" s="58" t="str" cm="1">
        <f>IF(ISBLANK($A146),"",INDEX(Array_ElectricalCharges,MATCH($A146,List_ElectricityMeters,0),ROUNDUP(COLUMN()/3,0)-2))</f>
        <v/>
      </c>
      <c r="AU146" s="127"/>
      <c r="AV146" s="137"/>
      <c r="AW146" s="58" t="str" cm="1">
        <f>IF(ISBLANK($A146),"",INDEX(Array_ElectricalCharges,MATCH($A146,List_ElectricityMeters,0),ROUNDUP(COLUMN()/3,0)-2))</f>
        <v/>
      </c>
      <c r="AX146" s="127"/>
      <c r="AY146" s="137"/>
    </row>
    <row r="147" spans="1:51" x14ac:dyDescent="0.3">
      <c r="A147" s="126"/>
      <c r="B147" s="133"/>
      <c r="C147" s="134"/>
      <c r="D147" s="134"/>
      <c r="E147" s="135"/>
      <c r="F147" s="136"/>
      <c r="G147" s="58" t="str" cm="1">
        <f>IF(ISBLANK($A147),"",INDEX(Array_ElectricalCharges,MATCH($A147,List_ElectricityMeters,0),ROUNDUP(COLUMN()/3,0)-2))</f>
        <v/>
      </c>
      <c r="H147" s="127"/>
      <c r="I147" s="137"/>
      <c r="J147" s="58" t="str" cm="1">
        <f>IF(ISBLANK($A147),"",INDEX(Array_ElectricalCharges,MATCH($A147,List_ElectricityMeters,0),ROUNDUP(COLUMN()/3,0)-2))</f>
        <v/>
      </c>
      <c r="K147" s="127"/>
      <c r="L147" s="137"/>
      <c r="M147" s="58" t="str" cm="1">
        <f>IF(ISBLANK($A147),"",INDEX(Array_ElectricalCharges,MATCH($A147,List_ElectricityMeters,0),ROUNDUP(COLUMN()/3,0)-2))</f>
        <v/>
      </c>
      <c r="N147" s="127"/>
      <c r="O147" s="137"/>
      <c r="P147" s="58" t="str" cm="1">
        <f>IF(ISBLANK($A147),"",INDEX(Array_ElectricalCharges,MATCH($A147,List_ElectricityMeters,0),ROUNDUP(COLUMN()/3,0)-2))</f>
        <v/>
      </c>
      <c r="Q147" s="127"/>
      <c r="R147" s="137"/>
      <c r="S147" s="58" t="str" cm="1">
        <f>IF(ISBLANK($A147),"",INDEX(Array_ElectricalCharges,MATCH($A147,List_ElectricityMeters,0),ROUNDUP(COLUMN()/3,0)-2))</f>
        <v/>
      </c>
      <c r="T147" s="127"/>
      <c r="U147" s="137"/>
      <c r="V147" s="58" t="str" cm="1">
        <f>IF(ISBLANK($A147),"",INDEX(Array_ElectricalCharges,MATCH($A147,List_ElectricityMeters,0),ROUNDUP(COLUMN()/3,0)-2))</f>
        <v/>
      </c>
      <c r="W147" s="127"/>
      <c r="X147" s="137"/>
      <c r="Y147" s="58" t="str" cm="1">
        <f>IF(ISBLANK($A147),"",INDEX(Array_ElectricalCharges,MATCH($A147,List_ElectricityMeters,0),ROUNDUP(COLUMN()/3,0)-2))</f>
        <v/>
      </c>
      <c r="Z147" s="127"/>
      <c r="AA147" s="137"/>
      <c r="AB147" s="58" t="str" cm="1">
        <f>IF(ISBLANK($A147),"",INDEX(Array_ElectricalCharges,MATCH($A147,List_ElectricityMeters,0),ROUNDUP(COLUMN()/3,0)-2))</f>
        <v/>
      </c>
      <c r="AC147" s="127"/>
      <c r="AD147" s="137"/>
      <c r="AE147" s="58" t="str" cm="1">
        <f>IF(ISBLANK($A147),"",INDEX(Array_ElectricalCharges,MATCH($A147,List_ElectricityMeters,0),ROUNDUP(COLUMN()/3,0)-2))</f>
        <v/>
      </c>
      <c r="AF147" s="127"/>
      <c r="AG147" s="137"/>
      <c r="AH147" s="58" t="str" cm="1">
        <f>IF(ISBLANK($A147),"",INDEX(Array_ElectricalCharges,MATCH($A147,List_ElectricityMeters,0),ROUNDUP(COLUMN()/3,0)-2))</f>
        <v/>
      </c>
      <c r="AI147" s="127"/>
      <c r="AJ147" s="137"/>
      <c r="AK147" s="58" t="str" cm="1">
        <f>IF(ISBLANK($A147),"",INDEX(Array_ElectricalCharges,MATCH($A147,List_ElectricityMeters,0),ROUNDUP(COLUMN()/3,0)-2))</f>
        <v/>
      </c>
      <c r="AL147" s="127"/>
      <c r="AM147" s="137"/>
      <c r="AN147" s="58" t="str" cm="1">
        <f>IF(ISBLANK($A147),"",INDEX(Array_ElectricalCharges,MATCH($A147,List_ElectricityMeters,0),ROUNDUP(COLUMN()/3,0)-2))</f>
        <v/>
      </c>
      <c r="AO147" s="127"/>
      <c r="AP147" s="137"/>
      <c r="AQ147" s="58" t="str" cm="1">
        <f>IF(ISBLANK($A147),"",INDEX(Array_ElectricalCharges,MATCH($A147,List_ElectricityMeters,0),ROUNDUP(COLUMN()/3,0)-2))</f>
        <v/>
      </c>
      <c r="AR147" s="127"/>
      <c r="AS147" s="137"/>
      <c r="AT147" s="58" t="str" cm="1">
        <f>IF(ISBLANK($A147),"",INDEX(Array_ElectricalCharges,MATCH($A147,List_ElectricityMeters,0),ROUNDUP(COLUMN()/3,0)-2))</f>
        <v/>
      </c>
      <c r="AU147" s="127"/>
      <c r="AV147" s="137"/>
      <c r="AW147" s="58" t="str" cm="1">
        <f>IF(ISBLANK($A147),"",INDEX(Array_ElectricalCharges,MATCH($A147,List_ElectricityMeters,0),ROUNDUP(COLUMN()/3,0)-2))</f>
        <v/>
      </c>
      <c r="AX147" s="127"/>
      <c r="AY147" s="137"/>
    </row>
    <row r="148" spans="1:51" x14ac:dyDescent="0.3">
      <c r="A148" s="126"/>
      <c r="B148" s="133"/>
      <c r="C148" s="134"/>
      <c r="D148" s="134"/>
      <c r="E148" s="135"/>
      <c r="F148" s="136"/>
      <c r="G148" s="58" t="str" cm="1">
        <f>IF(ISBLANK($A148),"",INDEX(Array_ElectricalCharges,MATCH($A148,List_ElectricityMeters,0),ROUNDUP(COLUMN()/3,0)-2))</f>
        <v/>
      </c>
      <c r="H148" s="127"/>
      <c r="I148" s="137"/>
      <c r="J148" s="58" t="str" cm="1">
        <f>IF(ISBLANK($A148),"",INDEX(Array_ElectricalCharges,MATCH($A148,List_ElectricityMeters,0),ROUNDUP(COLUMN()/3,0)-2))</f>
        <v/>
      </c>
      <c r="K148" s="127"/>
      <c r="L148" s="137"/>
      <c r="M148" s="58" t="str" cm="1">
        <f>IF(ISBLANK($A148),"",INDEX(Array_ElectricalCharges,MATCH($A148,List_ElectricityMeters,0),ROUNDUP(COLUMN()/3,0)-2))</f>
        <v/>
      </c>
      <c r="N148" s="127"/>
      <c r="O148" s="137"/>
      <c r="P148" s="58" t="str" cm="1">
        <f>IF(ISBLANK($A148),"",INDEX(Array_ElectricalCharges,MATCH($A148,List_ElectricityMeters,0),ROUNDUP(COLUMN()/3,0)-2))</f>
        <v/>
      </c>
      <c r="Q148" s="127"/>
      <c r="R148" s="137"/>
      <c r="S148" s="58" t="str" cm="1">
        <f>IF(ISBLANK($A148),"",INDEX(Array_ElectricalCharges,MATCH($A148,List_ElectricityMeters,0),ROUNDUP(COLUMN()/3,0)-2))</f>
        <v/>
      </c>
      <c r="T148" s="127"/>
      <c r="U148" s="137"/>
      <c r="V148" s="58" t="str" cm="1">
        <f>IF(ISBLANK($A148),"",INDEX(Array_ElectricalCharges,MATCH($A148,List_ElectricityMeters,0),ROUNDUP(COLUMN()/3,0)-2))</f>
        <v/>
      </c>
      <c r="W148" s="127"/>
      <c r="X148" s="137"/>
      <c r="Y148" s="58" t="str" cm="1">
        <f>IF(ISBLANK($A148),"",INDEX(Array_ElectricalCharges,MATCH($A148,List_ElectricityMeters,0),ROUNDUP(COLUMN()/3,0)-2))</f>
        <v/>
      </c>
      <c r="Z148" s="127"/>
      <c r="AA148" s="137"/>
      <c r="AB148" s="58" t="str" cm="1">
        <f>IF(ISBLANK($A148),"",INDEX(Array_ElectricalCharges,MATCH($A148,List_ElectricityMeters,0),ROUNDUP(COLUMN()/3,0)-2))</f>
        <v/>
      </c>
      <c r="AC148" s="127"/>
      <c r="AD148" s="137"/>
      <c r="AE148" s="58" t="str" cm="1">
        <f>IF(ISBLANK($A148),"",INDEX(Array_ElectricalCharges,MATCH($A148,List_ElectricityMeters,0),ROUNDUP(COLUMN()/3,0)-2))</f>
        <v/>
      </c>
      <c r="AF148" s="127"/>
      <c r="AG148" s="137"/>
      <c r="AH148" s="58" t="str" cm="1">
        <f>IF(ISBLANK($A148),"",INDEX(Array_ElectricalCharges,MATCH($A148,List_ElectricityMeters,0),ROUNDUP(COLUMN()/3,0)-2))</f>
        <v/>
      </c>
      <c r="AI148" s="127"/>
      <c r="AJ148" s="137"/>
      <c r="AK148" s="58" t="str" cm="1">
        <f>IF(ISBLANK($A148),"",INDEX(Array_ElectricalCharges,MATCH($A148,List_ElectricityMeters,0),ROUNDUP(COLUMN()/3,0)-2))</f>
        <v/>
      </c>
      <c r="AL148" s="127"/>
      <c r="AM148" s="137"/>
      <c r="AN148" s="58" t="str" cm="1">
        <f>IF(ISBLANK($A148),"",INDEX(Array_ElectricalCharges,MATCH($A148,List_ElectricityMeters,0),ROUNDUP(COLUMN()/3,0)-2))</f>
        <v/>
      </c>
      <c r="AO148" s="127"/>
      <c r="AP148" s="137"/>
      <c r="AQ148" s="58" t="str" cm="1">
        <f>IF(ISBLANK($A148),"",INDEX(Array_ElectricalCharges,MATCH($A148,List_ElectricityMeters,0),ROUNDUP(COLUMN()/3,0)-2))</f>
        <v/>
      </c>
      <c r="AR148" s="127"/>
      <c r="AS148" s="137"/>
      <c r="AT148" s="58" t="str" cm="1">
        <f>IF(ISBLANK($A148),"",INDEX(Array_ElectricalCharges,MATCH($A148,List_ElectricityMeters,0),ROUNDUP(COLUMN()/3,0)-2))</f>
        <v/>
      </c>
      <c r="AU148" s="127"/>
      <c r="AV148" s="137"/>
      <c r="AW148" s="58" t="str" cm="1">
        <f>IF(ISBLANK($A148),"",INDEX(Array_ElectricalCharges,MATCH($A148,List_ElectricityMeters,0),ROUNDUP(COLUMN()/3,0)-2))</f>
        <v/>
      </c>
      <c r="AX148" s="127"/>
      <c r="AY148" s="137"/>
    </row>
    <row r="149" spans="1:51" x14ac:dyDescent="0.3">
      <c r="A149" s="126"/>
      <c r="B149" s="133"/>
      <c r="C149" s="134"/>
      <c r="D149" s="134"/>
      <c r="E149" s="135"/>
      <c r="F149" s="136"/>
      <c r="G149" s="58" t="str" cm="1">
        <f>IF(ISBLANK($A149),"",INDEX(Array_ElectricalCharges,MATCH($A149,List_ElectricityMeters,0),ROUNDUP(COLUMN()/3,0)-2))</f>
        <v/>
      </c>
      <c r="H149" s="127"/>
      <c r="I149" s="137"/>
      <c r="J149" s="58" t="str" cm="1">
        <f>IF(ISBLANK($A149),"",INDEX(Array_ElectricalCharges,MATCH($A149,List_ElectricityMeters,0),ROUNDUP(COLUMN()/3,0)-2))</f>
        <v/>
      </c>
      <c r="K149" s="127"/>
      <c r="L149" s="137"/>
      <c r="M149" s="58" t="str" cm="1">
        <f>IF(ISBLANK($A149),"",INDEX(Array_ElectricalCharges,MATCH($A149,List_ElectricityMeters,0),ROUNDUP(COLUMN()/3,0)-2))</f>
        <v/>
      </c>
      <c r="N149" s="127"/>
      <c r="O149" s="137"/>
      <c r="P149" s="58" t="str" cm="1">
        <f>IF(ISBLANK($A149),"",INDEX(Array_ElectricalCharges,MATCH($A149,List_ElectricityMeters,0),ROUNDUP(COLUMN()/3,0)-2))</f>
        <v/>
      </c>
      <c r="Q149" s="127"/>
      <c r="R149" s="137"/>
      <c r="S149" s="58" t="str" cm="1">
        <f>IF(ISBLANK($A149),"",INDEX(Array_ElectricalCharges,MATCH($A149,List_ElectricityMeters,0),ROUNDUP(COLUMN()/3,0)-2))</f>
        <v/>
      </c>
      <c r="T149" s="127"/>
      <c r="U149" s="137"/>
      <c r="V149" s="58" t="str" cm="1">
        <f>IF(ISBLANK($A149),"",INDEX(Array_ElectricalCharges,MATCH($A149,List_ElectricityMeters,0),ROUNDUP(COLUMN()/3,0)-2))</f>
        <v/>
      </c>
      <c r="W149" s="127"/>
      <c r="X149" s="137"/>
      <c r="Y149" s="58" t="str" cm="1">
        <f>IF(ISBLANK($A149),"",INDEX(Array_ElectricalCharges,MATCH($A149,List_ElectricityMeters,0),ROUNDUP(COLUMN()/3,0)-2))</f>
        <v/>
      </c>
      <c r="Z149" s="127"/>
      <c r="AA149" s="137"/>
      <c r="AB149" s="58" t="str" cm="1">
        <f>IF(ISBLANK($A149),"",INDEX(Array_ElectricalCharges,MATCH($A149,List_ElectricityMeters,0),ROUNDUP(COLUMN()/3,0)-2))</f>
        <v/>
      </c>
      <c r="AC149" s="127"/>
      <c r="AD149" s="137"/>
      <c r="AE149" s="58" t="str" cm="1">
        <f>IF(ISBLANK($A149),"",INDEX(Array_ElectricalCharges,MATCH($A149,List_ElectricityMeters,0),ROUNDUP(COLUMN()/3,0)-2))</f>
        <v/>
      </c>
      <c r="AF149" s="127"/>
      <c r="AG149" s="137"/>
      <c r="AH149" s="58" t="str" cm="1">
        <f>IF(ISBLANK($A149),"",INDEX(Array_ElectricalCharges,MATCH($A149,List_ElectricityMeters,0),ROUNDUP(COLUMN()/3,0)-2))</f>
        <v/>
      </c>
      <c r="AI149" s="127"/>
      <c r="AJ149" s="137"/>
      <c r="AK149" s="58" t="str" cm="1">
        <f>IF(ISBLANK($A149),"",INDEX(Array_ElectricalCharges,MATCH($A149,List_ElectricityMeters,0),ROUNDUP(COLUMN()/3,0)-2))</f>
        <v/>
      </c>
      <c r="AL149" s="127"/>
      <c r="AM149" s="137"/>
      <c r="AN149" s="58" t="str" cm="1">
        <f>IF(ISBLANK($A149),"",INDEX(Array_ElectricalCharges,MATCH($A149,List_ElectricityMeters,0),ROUNDUP(COLUMN()/3,0)-2))</f>
        <v/>
      </c>
      <c r="AO149" s="127"/>
      <c r="AP149" s="137"/>
      <c r="AQ149" s="58" t="str" cm="1">
        <f>IF(ISBLANK($A149),"",INDEX(Array_ElectricalCharges,MATCH($A149,List_ElectricityMeters,0),ROUNDUP(COLUMN()/3,0)-2))</f>
        <v/>
      </c>
      <c r="AR149" s="127"/>
      <c r="AS149" s="137"/>
      <c r="AT149" s="58" t="str" cm="1">
        <f>IF(ISBLANK($A149),"",INDEX(Array_ElectricalCharges,MATCH($A149,List_ElectricityMeters,0),ROUNDUP(COLUMN()/3,0)-2))</f>
        <v/>
      </c>
      <c r="AU149" s="127"/>
      <c r="AV149" s="137"/>
      <c r="AW149" s="58" t="str" cm="1">
        <f>IF(ISBLANK($A149),"",INDEX(Array_ElectricalCharges,MATCH($A149,List_ElectricityMeters,0),ROUNDUP(COLUMN()/3,0)-2))</f>
        <v/>
      </c>
      <c r="AX149" s="127"/>
      <c r="AY149" s="137"/>
    </row>
    <row r="150" spans="1:51" x14ac:dyDescent="0.3">
      <c r="A150" s="126"/>
      <c r="B150" s="133"/>
      <c r="C150" s="134"/>
      <c r="D150" s="134"/>
      <c r="E150" s="135"/>
      <c r="F150" s="136"/>
      <c r="G150" s="58" t="str" cm="1">
        <f>IF(ISBLANK($A150),"",INDEX(Array_ElectricalCharges,MATCH($A150,List_ElectricityMeters,0),ROUNDUP(COLUMN()/3,0)-2))</f>
        <v/>
      </c>
      <c r="H150" s="127"/>
      <c r="I150" s="137"/>
      <c r="J150" s="58" t="str" cm="1">
        <f>IF(ISBLANK($A150),"",INDEX(Array_ElectricalCharges,MATCH($A150,List_ElectricityMeters,0),ROUNDUP(COLUMN()/3,0)-2))</f>
        <v/>
      </c>
      <c r="K150" s="127"/>
      <c r="L150" s="137"/>
      <c r="M150" s="58" t="str" cm="1">
        <f>IF(ISBLANK($A150),"",INDEX(Array_ElectricalCharges,MATCH($A150,List_ElectricityMeters,0),ROUNDUP(COLUMN()/3,0)-2))</f>
        <v/>
      </c>
      <c r="N150" s="127"/>
      <c r="O150" s="137"/>
      <c r="P150" s="58" t="str" cm="1">
        <f>IF(ISBLANK($A150),"",INDEX(Array_ElectricalCharges,MATCH($A150,List_ElectricityMeters,0),ROUNDUP(COLUMN()/3,0)-2))</f>
        <v/>
      </c>
      <c r="Q150" s="127"/>
      <c r="R150" s="137"/>
      <c r="S150" s="58" t="str" cm="1">
        <f>IF(ISBLANK($A150),"",INDEX(Array_ElectricalCharges,MATCH($A150,List_ElectricityMeters,0),ROUNDUP(COLUMN()/3,0)-2))</f>
        <v/>
      </c>
      <c r="T150" s="127"/>
      <c r="U150" s="137"/>
      <c r="V150" s="58" t="str" cm="1">
        <f>IF(ISBLANK($A150),"",INDEX(Array_ElectricalCharges,MATCH($A150,List_ElectricityMeters,0),ROUNDUP(COLUMN()/3,0)-2))</f>
        <v/>
      </c>
      <c r="W150" s="127"/>
      <c r="X150" s="137"/>
      <c r="Y150" s="58" t="str" cm="1">
        <f>IF(ISBLANK($A150),"",INDEX(Array_ElectricalCharges,MATCH($A150,List_ElectricityMeters,0),ROUNDUP(COLUMN()/3,0)-2))</f>
        <v/>
      </c>
      <c r="Z150" s="127"/>
      <c r="AA150" s="137"/>
      <c r="AB150" s="58" t="str" cm="1">
        <f>IF(ISBLANK($A150),"",INDEX(Array_ElectricalCharges,MATCH($A150,List_ElectricityMeters,0),ROUNDUP(COLUMN()/3,0)-2))</f>
        <v/>
      </c>
      <c r="AC150" s="127"/>
      <c r="AD150" s="137"/>
      <c r="AE150" s="58" t="str" cm="1">
        <f>IF(ISBLANK($A150),"",INDEX(Array_ElectricalCharges,MATCH($A150,List_ElectricityMeters,0),ROUNDUP(COLUMN()/3,0)-2))</f>
        <v/>
      </c>
      <c r="AF150" s="127"/>
      <c r="AG150" s="137"/>
      <c r="AH150" s="58" t="str" cm="1">
        <f>IF(ISBLANK($A150),"",INDEX(Array_ElectricalCharges,MATCH($A150,List_ElectricityMeters,0),ROUNDUP(COLUMN()/3,0)-2))</f>
        <v/>
      </c>
      <c r="AI150" s="127"/>
      <c r="AJ150" s="137"/>
      <c r="AK150" s="58" t="str" cm="1">
        <f>IF(ISBLANK($A150),"",INDEX(Array_ElectricalCharges,MATCH($A150,List_ElectricityMeters,0),ROUNDUP(COLUMN()/3,0)-2))</f>
        <v/>
      </c>
      <c r="AL150" s="127"/>
      <c r="AM150" s="137"/>
      <c r="AN150" s="58" t="str" cm="1">
        <f>IF(ISBLANK($A150),"",INDEX(Array_ElectricalCharges,MATCH($A150,List_ElectricityMeters,0),ROUNDUP(COLUMN()/3,0)-2))</f>
        <v/>
      </c>
      <c r="AO150" s="127"/>
      <c r="AP150" s="137"/>
      <c r="AQ150" s="58" t="str" cm="1">
        <f>IF(ISBLANK($A150),"",INDEX(Array_ElectricalCharges,MATCH($A150,List_ElectricityMeters,0),ROUNDUP(COLUMN()/3,0)-2))</f>
        <v/>
      </c>
      <c r="AR150" s="127"/>
      <c r="AS150" s="137"/>
      <c r="AT150" s="58" t="str" cm="1">
        <f>IF(ISBLANK($A150),"",INDEX(Array_ElectricalCharges,MATCH($A150,List_ElectricityMeters,0),ROUNDUP(COLUMN()/3,0)-2))</f>
        <v/>
      </c>
      <c r="AU150" s="127"/>
      <c r="AV150" s="137"/>
      <c r="AW150" s="58" t="str" cm="1">
        <f>IF(ISBLANK($A150),"",INDEX(Array_ElectricalCharges,MATCH($A150,List_ElectricityMeters,0),ROUNDUP(COLUMN()/3,0)-2))</f>
        <v/>
      </c>
      <c r="AX150" s="127"/>
      <c r="AY150" s="137"/>
    </row>
    <row r="151" spans="1:51" x14ac:dyDescent="0.3">
      <c r="A151" s="126"/>
      <c r="B151" s="133"/>
      <c r="C151" s="134"/>
      <c r="D151" s="134"/>
      <c r="E151" s="135"/>
      <c r="F151" s="136"/>
      <c r="G151" s="58" t="str" cm="1">
        <f>IF(ISBLANK($A151),"",INDEX(Array_ElectricalCharges,MATCH($A151,List_ElectricityMeters,0),ROUNDUP(COLUMN()/3,0)-2))</f>
        <v/>
      </c>
      <c r="H151" s="127"/>
      <c r="I151" s="137"/>
      <c r="J151" s="58" t="str" cm="1">
        <f>IF(ISBLANK($A151),"",INDEX(Array_ElectricalCharges,MATCH($A151,List_ElectricityMeters,0),ROUNDUP(COLUMN()/3,0)-2))</f>
        <v/>
      </c>
      <c r="K151" s="127"/>
      <c r="L151" s="137"/>
      <c r="M151" s="58" t="str" cm="1">
        <f>IF(ISBLANK($A151),"",INDEX(Array_ElectricalCharges,MATCH($A151,List_ElectricityMeters,0),ROUNDUP(COLUMN()/3,0)-2))</f>
        <v/>
      </c>
      <c r="N151" s="127"/>
      <c r="O151" s="137"/>
      <c r="P151" s="58" t="str" cm="1">
        <f>IF(ISBLANK($A151),"",INDEX(Array_ElectricalCharges,MATCH($A151,List_ElectricityMeters,0),ROUNDUP(COLUMN()/3,0)-2))</f>
        <v/>
      </c>
      <c r="Q151" s="127"/>
      <c r="R151" s="137"/>
      <c r="S151" s="58" t="str" cm="1">
        <f>IF(ISBLANK($A151),"",INDEX(Array_ElectricalCharges,MATCH($A151,List_ElectricityMeters,0),ROUNDUP(COLUMN()/3,0)-2))</f>
        <v/>
      </c>
      <c r="T151" s="127"/>
      <c r="U151" s="137"/>
      <c r="V151" s="58" t="str" cm="1">
        <f>IF(ISBLANK($A151),"",INDEX(Array_ElectricalCharges,MATCH($A151,List_ElectricityMeters,0),ROUNDUP(COLUMN()/3,0)-2))</f>
        <v/>
      </c>
      <c r="W151" s="127"/>
      <c r="X151" s="137"/>
      <c r="Y151" s="58" t="str" cm="1">
        <f>IF(ISBLANK($A151),"",INDEX(Array_ElectricalCharges,MATCH($A151,List_ElectricityMeters,0),ROUNDUP(COLUMN()/3,0)-2))</f>
        <v/>
      </c>
      <c r="Z151" s="127"/>
      <c r="AA151" s="137"/>
      <c r="AB151" s="58" t="str" cm="1">
        <f>IF(ISBLANK($A151),"",INDEX(Array_ElectricalCharges,MATCH($A151,List_ElectricityMeters,0),ROUNDUP(COLUMN()/3,0)-2))</f>
        <v/>
      </c>
      <c r="AC151" s="127"/>
      <c r="AD151" s="137"/>
      <c r="AE151" s="58" t="str" cm="1">
        <f>IF(ISBLANK($A151),"",INDEX(Array_ElectricalCharges,MATCH($A151,List_ElectricityMeters,0),ROUNDUP(COLUMN()/3,0)-2))</f>
        <v/>
      </c>
      <c r="AF151" s="127"/>
      <c r="AG151" s="137"/>
      <c r="AH151" s="58" t="str" cm="1">
        <f>IF(ISBLANK($A151),"",INDEX(Array_ElectricalCharges,MATCH($A151,List_ElectricityMeters,0),ROUNDUP(COLUMN()/3,0)-2))</f>
        <v/>
      </c>
      <c r="AI151" s="127"/>
      <c r="AJ151" s="137"/>
      <c r="AK151" s="58" t="str" cm="1">
        <f>IF(ISBLANK($A151),"",INDEX(Array_ElectricalCharges,MATCH($A151,List_ElectricityMeters,0),ROUNDUP(COLUMN()/3,0)-2))</f>
        <v/>
      </c>
      <c r="AL151" s="127"/>
      <c r="AM151" s="137"/>
      <c r="AN151" s="58" t="str" cm="1">
        <f>IF(ISBLANK($A151),"",INDEX(Array_ElectricalCharges,MATCH($A151,List_ElectricityMeters,0),ROUNDUP(COLUMN()/3,0)-2))</f>
        <v/>
      </c>
      <c r="AO151" s="127"/>
      <c r="AP151" s="137"/>
      <c r="AQ151" s="58" t="str" cm="1">
        <f>IF(ISBLANK($A151),"",INDEX(Array_ElectricalCharges,MATCH($A151,List_ElectricityMeters,0),ROUNDUP(COLUMN()/3,0)-2))</f>
        <v/>
      </c>
      <c r="AR151" s="127"/>
      <c r="AS151" s="137"/>
      <c r="AT151" s="58" t="str" cm="1">
        <f>IF(ISBLANK($A151),"",INDEX(Array_ElectricalCharges,MATCH($A151,List_ElectricityMeters,0),ROUNDUP(COLUMN()/3,0)-2))</f>
        <v/>
      </c>
      <c r="AU151" s="127"/>
      <c r="AV151" s="137"/>
      <c r="AW151" s="58" t="str" cm="1">
        <f>IF(ISBLANK($A151),"",INDEX(Array_ElectricalCharges,MATCH($A151,List_ElectricityMeters,0),ROUNDUP(COLUMN()/3,0)-2))</f>
        <v/>
      </c>
      <c r="AX151" s="127"/>
      <c r="AY151" s="137"/>
    </row>
    <row r="152" spans="1:51" x14ac:dyDescent="0.3">
      <c r="A152" s="126"/>
      <c r="B152" s="133"/>
      <c r="C152" s="134"/>
      <c r="D152" s="134"/>
      <c r="E152" s="135"/>
      <c r="F152" s="136"/>
      <c r="G152" s="58" t="str" cm="1">
        <f>IF(ISBLANK($A152),"",INDEX(Array_ElectricalCharges,MATCH($A152,List_ElectricityMeters,0),ROUNDUP(COLUMN()/3,0)-2))</f>
        <v/>
      </c>
      <c r="H152" s="127"/>
      <c r="I152" s="137"/>
      <c r="J152" s="58" t="str" cm="1">
        <f>IF(ISBLANK($A152),"",INDEX(Array_ElectricalCharges,MATCH($A152,List_ElectricityMeters,0),ROUNDUP(COLUMN()/3,0)-2))</f>
        <v/>
      </c>
      <c r="K152" s="127"/>
      <c r="L152" s="137"/>
      <c r="M152" s="58" t="str" cm="1">
        <f>IF(ISBLANK($A152),"",INDEX(Array_ElectricalCharges,MATCH($A152,List_ElectricityMeters,0),ROUNDUP(COLUMN()/3,0)-2))</f>
        <v/>
      </c>
      <c r="N152" s="127"/>
      <c r="O152" s="137"/>
      <c r="P152" s="58" t="str" cm="1">
        <f>IF(ISBLANK($A152),"",INDEX(Array_ElectricalCharges,MATCH($A152,List_ElectricityMeters,0),ROUNDUP(COLUMN()/3,0)-2))</f>
        <v/>
      </c>
      <c r="Q152" s="127"/>
      <c r="R152" s="137"/>
      <c r="S152" s="58" t="str" cm="1">
        <f>IF(ISBLANK($A152),"",INDEX(Array_ElectricalCharges,MATCH($A152,List_ElectricityMeters,0),ROUNDUP(COLUMN()/3,0)-2))</f>
        <v/>
      </c>
      <c r="T152" s="127"/>
      <c r="U152" s="137"/>
      <c r="V152" s="58" t="str" cm="1">
        <f>IF(ISBLANK($A152),"",INDEX(Array_ElectricalCharges,MATCH($A152,List_ElectricityMeters,0),ROUNDUP(COLUMN()/3,0)-2))</f>
        <v/>
      </c>
      <c r="W152" s="127"/>
      <c r="X152" s="137"/>
      <c r="Y152" s="58" t="str" cm="1">
        <f>IF(ISBLANK($A152),"",INDEX(Array_ElectricalCharges,MATCH($A152,List_ElectricityMeters,0),ROUNDUP(COLUMN()/3,0)-2))</f>
        <v/>
      </c>
      <c r="Z152" s="127"/>
      <c r="AA152" s="137"/>
      <c r="AB152" s="58" t="str" cm="1">
        <f>IF(ISBLANK($A152),"",INDEX(Array_ElectricalCharges,MATCH($A152,List_ElectricityMeters,0),ROUNDUP(COLUMN()/3,0)-2))</f>
        <v/>
      </c>
      <c r="AC152" s="127"/>
      <c r="AD152" s="137"/>
      <c r="AE152" s="58" t="str" cm="1">
        <f>IF(ISBLANK($A152),"",INDEX(Array_ElectricalCharges,MATCH($A152,List_ElectricityMeters,0),ROUNDUP(COLUMN()/3,0)-2))</f>
        <v/>
      </c>
      <c r="AF152" s="127"/>
      <c r="AG152" s="137"/>
      <c r="AH152" s="58" t="str" cm="1">
        <f>IF(ISBLANK($A152),"",INDEX(Array_ElectricalCharges,MATCH($A152,List_ElectricityMeters,0),ROUNDUP(COLUMN()/3,0)-2))</f>
        <v/>
      </c>
      <c r="AI152" s="127"/>
      <c r="AJ152" s="137"/>
      <c r="AK152" s="58" t="str" cm="1">
        <f>IF(ISBLANK($A152),"",INDEX(Array_ElectricalCharges,MATCH($A152,List_ElectricityMeters,0),ROUNDUP(COLUMN()/3,0)-2))</f>
        <v/>
      </c>
      <c r="AL152" s="127"/>
      <c r="AM152" s="137"/>
      <c r="AN152" s="58" t="str" cm="1">
        <f>IF(ISBLANK($A152),"",INDEX(Array_ElectricalCharges,MATCH($A152,List_ElectricityMeters,0),ROUNDUP(COLUMN()/3,0)-2))</f>
        <v/>
      </c>
      <c r="AO152" s="127"/>
      <c r="AP152" s="137"/>
      <c r="AQ152" s="58" t="str" cm="1">
        <f>IF(ISBLANK($A152),"",INDEX(Array_ElectricalCharges,MATCH($A152,List_ElectricityMeters,0),ROUNDUP(COLUMN()/3,0)-2))</f>
        <v/>
      </c>
      <c r="AR152" s="127"/>
      <c r="AS152" s="137"/>
      <c r="AT152" s="58" t="str" cm="1">
        <f>IF(ISBLANK($A152),"",INDEX(Array_ElectricalCharges,MATCH($A152,List_ElectricityMeters,0),ROUNDUP(COLUMN()/3,0)-2))</f>
        <v/>
      </c>
      <c r="AU152" s="127"/>
      <c r="AV152" s="137"/>
      <c r="AW152" s="58" t="str" cm="1">
        <f>IF(ISBLANK($A152),"",INDEX(Array_ElectricalCharges,MATCH($A152,List_ElectricityMeters,0),ROUNDUP(COLUMN()/3,0)-2))</f>
        <v/>
      </c>
      <c r="AX152" s="127"/>
      <c r="AY152" s="137"/>
    </row>
    <row r="153" spans="1:51" x14ac:dyDescent="0.3">
      <c r="A153" s="126"/>
      <c r="B153" s="133"/>
      <c r="C153" s="134"/>
      <c r="D153" s="134"/>
      <c r="E153" s="135"/>
      <c r="F153" s="136"/>
      <c r="G153" s="58" t="str" cm="1">
        <f>IF(ISBLANK($A153),"",INDEX(Array_ElectricalCharges,MATCH($A153,List_ElectricityMeters,0),ROUNDUP(COLUMN()/3,0)-2))</f>
        <v/>
      </c>
      <c r="H153" s="127"/>
      <c r="I153" s="137"/>
      <c r="J153" s="58" t="str" cm="1">
        <f>IF(ISBLANK($A153),"",INDEX(Array_ElectricalCharges,MATCH($A153,List_ElectricityMeters,0),ROUNDUP(COLUMN()/3,0)-2))</f>
        <v/>
      </c>
      <c r="K153" s="127"/>
      <c r="L153" s="137"/>
      <c r="M153" s="58" t="str" cm="1">
        <f>IF(ISBLANK($A153),"",INDEX(Array_ElectricalCharges,MATCH($A153,List_ElectricityMeters,0),ROUNDUP(COLUMN()/3,0)-2))</f>
        <v/>
      </c>
      <c r="N153" s="127"/>
      <c r="O153" s="137"/>
      <c r="P153" s="58" t="str" cm="1">
        <f>IF(ISBLANK($A153),"",INDEX(Array_ElectricalCharges,MATCH($A153,List_ElectricityMeters,0),ROUNDUP(COLUMN()/3,0)-2))</f>
        <v/>
      </c>
      <c r="Q153" s="127"/>
      <c r="R153" s="137"/>
      <c r="S153" s="58" t="str" cm="1">
        <f>IF(ISBLANK($A153),"",INDEX(Array_ElectricalCharges,MATCH($A153,List_ElectricityMeters,0),ROUNDUP(COLUMN()/3,0)-2))</f>
        <v/>
      </c>
      <c r="T153" s="127"/>
      <c r="U153" s="137"/>
      <c r="V153" s="58" t="str" cm="1">
        <f>IF(ISBLANK($A153),"",INDEX(Array_ElectricalCharges,MATCH($A153,List_ElectricityMeters,0),ROUNDUP(COLUMN()/3,0)-2))</f>
        <v/>
      </c>
      <c r="W153" s="127"/>
      <c r="X153" s="137"/>
      <c r="Y153" s="58" t="str" cm="1">
        <f>IF(ISBLANK($A153),"",INDEX(Array_ElectricalCharges,MATCH($A153,List_ElectricityMeters,0),ROUNDUP(COLUMN()/3,0)-2))</f>
        <v/>
      </c>
      <c r="Z153" s="127"/>
      <c r="AA153" s="137"/>
      <c r="AB153" s="58" t="str" cm="1">
        <f>IF(ISBLANK($A153),"",INDEX(Array_ElectricalCharges,MATCH($A153,List_ElectricityMeters,0),ROUNDUP(COLUMN()/3,0)-2))</f>
        <v/>
      </c>
      <c r="AC153" s="127"/>
      <c r="AD153" s="137"/>
      <c r="AE153" s="58" t="str" cm="1">
        <f>IF(ISBLANK($A153),"",INDEX(Array_ElectricalCharges,MATCH($A153,List_ElectricityMeters,0),ROUNDUP(COLUMN()/3,0)-2))</f>
        <v/>
      </c>
      <c r="AF153" s="127"/>
      <c r="AG153" s="137"/>
      <c r="AH153" s="58" t="str" cm="1">
        <f>IF(ISBLANK($A153),"",INDEX(Array_ElectricalCharges,MATCH($A153,List_ElectricityMeters,0),ROUNDUP(COLUMN()/3,0)-2))</f>
        <v/>
      </c>
      <c r="AI153" s="127"/>
      <c r="AJ153" s="137"/>
      <c r="AK153" s="58" t="str" cm="1">
        <f>IF(ISBLANK($A153),"",INDEX(Array_ElectricalCharges,MATCH($A153,List_ElectricityMeters,0),ROUNDUP(COLUMN()/3,0)-2))</f>
        <v/>
      </c>
      <c r="AL153" s="127"/>
      <c r="AM153" s="137"/>
      <c r="AN153" s="58" t="str" cm="1">
        <f>IF(ISBLANK($A153),"",INDEX(Array_ElectricalCharges,MATCH($A153,List_ElectricityMeters,0),ROUNDUP(COLUMN()/3,0)-2))</f>
        <v/>
      </c>
      <c r="AO153" s="127"/>
      <c r="AP153" s="137"/>
      <c r="AQ153" s="58" t="str" cm="1">
        <f>IF(ISBLANK($A153),"",INDEX(Array_ElectricalCharges,MATCH($A153,List_ElectricityMeters,0),ROUNDUP(COLUMN()/3,0)-2))</f>
        <v/>
      </c>
      <c r="AR153" s="127"/>
      <c r="AS153" s="137"/>
      <c r="AT153" s="58" t="str" cm="1">
        <f>IF(ISBLANK($A153),"",INDEX(Array_ElectricalCharges,MATCH($A153,List_ElectricityMeters,0),ROUNDUP(COLUMN()/3,0)-2))</f>
        <v/>
      </c>
      <c r="AU153" s="127"/>
      <c r="AV153" s="137"/>
      <c r="AW153" s="58" t="str" cm="1">
        <f>IF(ISBLANK($A153),"",INDEX(Array_ElectricalCharges,MATCH($A153,List_ElectricityMeters,0),ROUNDUP(COLUMN()/3,0)-2))</f>
        <v/>
      </c>
      <c r="AX153" s="127"/>
      <c r="AY153" s="137"/>
    </row>
    <row r="154" spans="1:51" x14ac:dyDescent="0.3">
      <c r="A154" s="126"/>
      <c r="B154" s="133"/>
      <c r="C154" s="134"/>
      <c r="D154" s="134"/>
      <c r="E154" s="135"/>
      <c r="F154" s="136"/>
      <c r="G154" s="58" t="str" cm="1">
        <f>IF(ISBLANK($A154),"",INDEX(Array_ElectricalCharges,MATCH($A154,List_ElectricityMeters,0),ROUNDUP(COLUMN()/3,0)-2))</f>
        <v/>
      </c>
      <c r="H154" s="127"/>
      <c r="I154" s="137"/>
      <c r="J154" s="58" t="str" cm="1">
        <f>IF(ISBLANK($A154),"",INDEX(Array_ElectricalCharges,MATCH($A154,List_ElectricityMeters,0),ROUNDUP(COLUMN()/3,0)-2))</f>
        <v/>
      </c>
      <c r="K154" s="127"/>
      <c r="L154" s="137"/>
      <c r="M154" s="58" t="str" cm="1">
        <f>IF(ISBLANK($A154),"",INDEX(Array_ElectricalCharges,MATCH($A154,List_ElectricityMeters,0),ROUNDUP(COLUMN()/3,0)-2))</f>
        <v/>
      </c>
      <c r="N154" s="127"/>
      <c r="O154" s="137"/>
      <c r="P154" s="58" t="str" cm="1">
        <f>IF(ISBLANK($A154),"",INDEX(Array_ElectricalCharges,MATCH($A154,List_ElectricityMeters,0),ROUNDUP(COLUMN()/3,0)-2))</f>
        <v/>
      </c>
      <c r="Q154" s="127"/>
      <c r="R154" s="137"/>
      <c r="S154" s="58" t="str" cm="1">
        <f>IF(ISBLANK($A154),"",INDEX(Array_ElectricalCharges,MATCH($A154,List_ElectricityMeters,0),ROUNDUP(COLUMN()/3,0)-2))</f>
        <v/>
      </c>
      <c r="T154" s="127"/>
      <c r="U154" s="137"/>
      <c r="V154" s="58" t="str" cm="1">
        <f>IF(ISBLANK($A154),"",INDEX(Array_ElectricalCharges,MATCH($A154,List_ElectricityMeters,0),ROUNDUP(COLUMN()/3,0)-2))</f>
        <v/>
      </c>
      <c r="W154" s="127"/>
      <c r="X154" s="137"/>
      <c r="Y154" s="58" t="str" cm="1">
        <f>IF(ISBLANK($A154),"",INDEX(Array_ElectricalCharges,MATCH($A154,List_ElectricityMeters,0),ROUNDUP(COLUMN()/3,0)-2))</f>
        <v/>
      </c>
      <c r="Z154" s="127"/>
      <c r="AA154" s="137"/>
      <c r="AB154" s="58" t="str" cm="1">
        <f>IF(ISBLANK($A154),"",INDEX(Array_ElectricalCharges,MATCH($A154,List_ElectricityMeters,0),ROUNDUP(COLUMN()/3,0)-2))</f>
        <v/>
      </c>
      <c r="AC154" s="127"/>
      <c r="AD154" s="137"/>
      <c r="AE154" s="58" t="str" cm="1">
        <f>IF(ISBLANK($A154),"",INDEX(Array_ElectricalCharges,MATCH($A154,List_ElectricityMeters,0),ROUNDUP(COLUMN()/3,0)-2))</f>
        <v/>
      </c>
      <c r="AF154" s="127"/>
      <c r="AG154" s="137"/>
      <c r="AH154" s="58" t="str" cm="1">
        <f>IF(ISBLANK($A154),"",INDEX(Array_ElectricalCharges,MATCH($A154,List_ElectricityMeters,0),ROUNDUP(COLUMN()/3,0)-2))</f>
        <v/>
      </c>
      <c r="AI154" s="127"/>
      <c r="AJ154" s="137"/>
      <c r="AK154" s="58" t="str" cm="1">
        <f>IF(ISBLANK($A154),"",INDEX(Array_ElectricalCharges,MATCH($A154,List_ElectricityMeters,0),ROUNDUP(COLUMN()/3,0)-2))</f>
        <v/>
      </c>
      <c r="AL154" s="127"/>
      <c r="AM154" s="137"/>
      <c r="AN154" s="58" t="str" cm="1">
        <f>IF(ISBLANK($A154),"",INDEX(Array_ElectricalCharges,MATCH($A154,List_ElectricityMeters,0),ROUNDUP(COLUMN()/3,0)-2))</f>
        <v/>
      </c>
      <c r="AO154" s="127"/>
      <c r="AP154" s="137"/>
      <c r="AQ154" s="58" t="str" cm="1">
        <f>IF(ISBLANK($A154),"",INDEX(Array_ElectricalCharges,MATCH($A154,List_ElectricityMeters,0),ROUNDUP(COLUMN()/3,0)-2))</f>
        <v/>
      </c>
      <c r="AR154" s="127"/>
      <c r="AS154" s="137"/>
      <c r="AT154" s="58" t="str" cm="1">
        <f>IF(ISBLANK($A154),"",INDEX(Array_ElectricalCharges,MATCH($A154,List_ElectricityMeters,0),ROUNDUP(COLUMN()/3,0)-2))</f>
        <v/>
      </c>
      <c r="AU154" s="127"/>
      <c r="AV154" s="137"/>
      <c r="AW154" s="58" t="str" cm="1">
        <f>IF(ISBLANK($A154),"",INDEX(Array_ElectricalCharges,MATCH($A154,List_ElectricityMeters,0),ROUNDUP(COLUMN()/3,0)-2))</f>
        <v/>
      </c>
      <c r="AX154" s="127"/>
      <c r="AY154" s="137"/>
    </row>
    <row r="155" spans="1:51" x14ac:dyDescent="0.3">
      <c r="A155" s="126"/>
      <c r="B155" s="133"/>
      <c r="C155" s="134"/>
      <c r="D155" s="134"/>
      <c r="E155" s="135"/>
      <c r="F155" s="136"/>
      <c r="G155" s="58" t="str" cm="1">
        <f>IF(ISBLANK($A155),"",INDEX(Array_ElectricalCharges,MATCH($A155,List_ElectricityMeters,0),ROUNDUP(COLUMN()/3,0)-2))</f>
        <v/>
      </c>
      <c r="H155" s="127"/>
      <c r="I155" s="137"/>
      <c r="J155" s="58" t="str" cm="1">
        <f>IF(ISBLANK($A155),"",INDEX(Array_ElectricalCharges,MATCH($A155,List_ElectricityMeters,0),ROUNDUP(COLUMN()/3,0)-2))</f>
        <v/>
      </c>
      <c r="K155" s="127"/>
      <c r="L155" s="137"/>
      <c r="M155" s="58" t="str" cm="1">
        <f>IF(ISBLANK($A155),"",INDEX(Array_ElectricalCharges,MATCH($A155,List_ElectricityMeters,0),ROUNDUP(COLUMN()/3,0)-2))</f>
        <v/>
      </c>
      <c r="N155" s="127"/>
      <c r="O155" s="137"/>
      <c r="P155" s="58" t="str" cm="1">
        <f>IF(ISBLANK($A155),"",INDEX(Array_ElectricalCharges,MATCH($A155,List_ElectricityMeters,0),ROUNDUP(COLUMN()/3,0)-2))</f>
        <v/>
      </c>
      <c r="Q155" s="127"/>
      <c r="R155" s="137"/>
      <c r="S155" s="58" t="str" cm="1">
        <f>IF(ISBLANK($A155),"",INDEX(Array_ElectricalCharges,MATCH($A155,List_ElectricityMeters,0),ROUNDUP(COLUMN()/3,0)-2))</f>
        <v/>
      </c>
      <c r="T155" s="127"/>
      <c r="U155" s="137"/>
      <c r="V155" s="58" t="str" cm="1">
        <f>IF(ISBLANK($A155),"",INDEX(Array_ElectricalCharges,MATCH($A155,List_ElectricityMeters,0),ROUNDUP(COLUMN()/3,0)-2))</f>
        <v/>
      </c>
      <c r="W155" s="127"/>
      <c r="X155" s="137"/>
      <c r="Y155" s="58" t="str" cm="1">
        <f>IF(ISBLANK($A155),"",INDEX(Array_ElectricalCharges,MATCH($A155,List_ElectricityMeters,0),ROUNDUP(COLUMN()/3,0)-2))</f>
        <v/>
      </c>
      <c r="Z155" s="127"/>
      <c r="AA155" s="137"/>
      <c r="AB155" s="58" t="str" cm="1">
        <f>IF(ISBLANK($A155),"",INDEX(Array_ElectricalCharges,MATCH($A155,List_ElectricityMeters,0),ROUNDUP(COLUMN()/3,0)-2))</f>
        <v/>
      </c>
      <c r="AC155" s="127"/>
      <c r="AD155" s="137"/>
      <c r="AE155" s="58" t="str" cm="1">
        <f>IF(ISBLANK($A155),"",INDEX(Array_ElectricalCharges,MATCH($A155,List_ElectricityMeters,0),ROUNDUP(COLUMN()/3,0)-2))</f>
        <v/>
      </c>
      <c r="AF155" s="127"/>
      <c r="AG155" s="137"/>
      <c r="AH155" s="58" t="str" cm="1">
        <f>IF(ISBLANK($A155),"",INDEX(Array_ElectricalCharges,MATCH($A155,List_ElectricityMeters,0),ROUNDUP(COLUMN()/3,0)-2))</f>
        <v/>
      </c>
      <c r="AI155" s="127"/>
      <c r="AJ155" s="137"/>
      <c r="AK155" s="58" t="str" cm="1">
        <f>IF(ISBLANK($A155),"",INDEX(Array_ElectricalCharges,MATCH($A155,List_ElectricityMeters,0),ROUNDUP(COLUMN()/3,0)-2))</f>
        <v/>
      </c>
      <c r="AL155" s="127"/>
      <c r="AM155" s="137"/>
      <c r="AN155" s="58" t="str" cm="1">
        <f>IF(ISBLANK($A155),"",INDEX(Array_ElectricalCharges,MATCH($A155,List_ElectricityMeters,0),ROUNDUP(COLUMN()/3,0)-2))</f>
        <v/>
      </c>
      <c r="AO155" s="127"/>
      <c r="AP155" s="137"/>
      <c r="AQ155" s="58" t="str" cm="1">
        <f>IF(ISBLANK($A155),"",INDEX(Array_ElectricalCharges,MATCH($A155,List_ElectricityMeters,0),ROUNDUP(COLUMN()/3,0)-2))</f>
        <v/>
      </c>
      <c r="AR155" s="127"/>
      <c r="AS155" s="137"/>
      <c r="AT155" s="58" t="str" cm="1">
        <f>IF(ISBLANK($A155),"",INDEX(Array_ElectricalCharges,MATCH($A155,List_ElectricityMeters,0),ROUNDUP(COLUMN()/3,0)-2))</f>
        <v/>
      </c>
      <c r="AU155" s="127"/>
      <c r="AV155" s="137"/>
      <c r="AW155" s="58" t="str" cm="1">
        <f>IF(ISBLANK($A155),"",INDEX(Array_ElectricalCharges,MATCH($A155,List_ElectricityMeters,0),ROUNDUP(COLUMN()/3,0)-2))</f>
        <v/>
      </c>
      <c r="AX155" s="127"/>
      <c r="AY155" s="137"/>
    </row>
    <row r="156" spans="1:51" x14ac:dyDescent="0.3">
      <c r="A156" s="126"/>
      <c r="B156" s="133"/>
      <c r="C156" s="134"/>
      <c r="D156" s="134"/>
      <c r="E156" s="135"/>
      <c r="F156" s="136"/>
      <c r="G156" s="58" t="str" cm="1">
        <f>IF(ISBLANK($A156),"",INDEX(Array_ElectricalCharges,MATCH($A156,List_ElectricityMeters,0),ROUNDUP(COLUMN()/3,0)-2))</f>
        <v/>
      </c>
      <c r="H156" s="127"/>
      <c r="I156" s="137"/>
      <c r="J156" s="58" t="str" cm="1">
        <f>IF(ISBLANK($A156),"",INDEX(Array_ElectricalCharges,MATCH($A156,List_ElectricityMeters,0),ROUNDUP(COLUMN()/3,0)-2))</f>
        <v/>
      </c>
      <c r="K156" s="127"/>
      <c r="L156" s="137"/>
      <c r="M156" s="58" t="str" cm="1">
        <f>IF(ISBLANK($A156),"",INDEX(Array_ElectricalCharges,MATCH($A156,List_ElectricityMeters,0),ROUNDUP(COLUMN()/3,0)-2))</f>
        <v/>
      </c>
      <c r="N156" s="127"/>
      <c r="O156" s="137"/>
      <c r="P156" s="58" t="str" cm="1">
        <f>IF(ISBLANK($A156),"",INDEX(Array_ElectricalCharges,MATCH($A156,List_ElectricityMeters,0),ROUNDUP(COLUMN()/3,0)-2))</f>
        <v/>
      </c>
      <c r="Q156" s="127"/>
      <c r="R156" s="137"/>
      <c r="S156" s="58" t="str" cm="1">
        <f>IF(ISBLANK($A156),"",INDEX(Array_ElectricalCharges,MATCH($A156,List_ElectricityMeters,0),ROUNDUP(COLUMN()/3,0)-2))</f>
        <v/>
      </c>
      <c r="T156" s="127"/>
      <c r="U156" s="137"/>
      <c r="V156" s="58" t="str" cm="1">
        <f>IF(ISBLANK($A156),"",INDEX(Array_ElectricalCharges,MATCH($A156,List_ElectricityMeters,0),ROUNDUP(COLUMN()/3,0)-2))</f>
        <v/>
      </c>
      <c r="W156" s="127"/>
      <c r="X156" s="137"/>
      <c r="Y156" s="58" t="str" cm="1">
        <f>IF(ISBLANK($A156),"",INDEX(Array_ElectricalCharges,MATCH($A156,List_ElectricityMeters,0),ROUNDUP(COLUMN()/3,0)-2))</f>
        <v/>
      </c>
      <c r="Z156" s="127"/>
      <c r="AA156" s="137"/>
      <c r="AB156" s="58" t="str" cm="1">
        <f>IF(ISBLANK($A156),"",INDEX(Array_ElectricalCharges,MATCH($A156,List_ElectricityMeters,0),ROUNDUP(COLUMN()/3,0)-2))</f>
        <v/>
      </c>
      <c r="AC156" s="127"/>
      <c r="AD156" s="137"/>
      <c r="AE156" s="58" t="str" cm="1">
        <f>IF(ISBLANK($A156),"",INDEX(Array_ElectricalCharges,MATCH($A156,List_ElectricityMeters,0),ROUNDUP(COLUMN()/3,0)-2))</f>
        <v/>
      </c>
      <c r="AF156" s="127"/>
      <c r="AG156" s="137"/>
      <c r="AH156" s="58" t="str" cm="1">
        <f>IF(ISBLANK($A156),"",INDEX(Array_ElectricalCharges,MATCH($A156,List_ElectricityMeters,0),ROUNDUP(COLUMN()/3,0)-2))</f>
        <v/>
      </c>
      <c r="AI156" s="127"/>
      <c r="AJ156" s="137"/>
      <c r="AK156" s="58" t="str" cm="1">
        <f>IF(ISBLANK($A156),"",INDEX(Array_ElectricalCharges,MATCH($A156,List_ElectricityMeters,0),ROUNDUP(COLUMN()/3,0)-2))</f>
        <v/>
      </c>
      <c r="AL156" s="127"/>
      <c r="AM156" s="137"/>
      <c r="AN156" s="58" t="str" cm="1">
        <f>IF(ISBLANK($A156),"",INDEX(Array_ElectricalCharges,MATCH($A156,List_ElectricityMeters,0),ROUNDUP(COLUMN()/3,0)-2))</f>
        <v/>
      </c>
      <c r="AO156" s="127"/>
      <c r="AP156" s="137"/>
      <c r="AQ156" s="58" t="str" cm="1">
        <f>IF(ISBLANK($A156),"",INDEX(Array_ElectricalCharges,MATCH($A156,List_ElectricityMeters,0),ROUNDUP(COLUMN()/3,0)-2))</f>
        <v/>
      </c>
      <c r="AR156" s="127"/>
      <c r="AS156" s="137"/>
      <c r="AT156" s="58" t="str" cm="1">
        <f>IF(ISBLANK($A156),"",INDEX(Array_ElectricalCharges,MATCH($A156,List_ElectricityMeters,0),ROUNDUP(COLUMN()/3,0)-2))</f>
        <v/>
      </c>
      <c r="AU156" s="127"/>
      <c r="AV156" s="137"/>
      <c r="AW156" s="58" t="str" cm="1">
        <f>IF(ISBLANK($A156),"",INDEX(Array_ElectricalCharges,MATCH($A156,List_ElectricityMeters,0),ROUNDUP(COLUMN()/3,0)-2))</f>
        <v/>
      </c>
      <c r="AX156" s="127"/>
      <c r="AY156" s="137"/>
    </row>
    <row r="157" spans="1:51" x14ac:dyDescent="0.3">
      <c r="A157" s="126"/>
      <c r="B157" s="133"/>
      <c r="C157" s="134"/>
      <c r="D157" s="134"/>
      <c r="E157" s="135"/>
      <c r="F157" s="136"/>
      <c r="G157" s="58" t="str" cm="1">
        <f>IF(ISBLANK($A157),"",INDEX(Array_ElectricalCharges,MATCH($A157,List_ElectricityMeters,0),ROUNDUP(COLUMN()/3,0)-2))</f>
        <v/>
      </c>
      <c r="H157" s="127"/>
      <c r="I157" s="137"/>
      <c r="J157" s="58" t="str" cm="1">
        <f>IF(ISBLANK($A157),"",INDEX(Array_ElectricalCharges,MATCH($A157,List_ElectricityMeters,0),ROUNDUP(COLUMN()/3,0)-2))</f>
        <v/>
      </c>
      <c r="K157" s="127"/>
      <c r="L157" s="137"/>
      <c r="M157" s="58" t="str" cm="1">
        <f>IF(ISBLANK($A157),"",INDEX(Array_ElectricalCharges,MATCH($A157,List_ElectricityMeters,0),ROUNDUP(COLUMN()/3,0)-2))</f>
        <v/>
      </c>
      <c r="N157" s="127"/>
      <c r="O157" s="137"/>
      <c r="P157" s="58" t="str" cm="1">
        <f>IF(ISBLANK($A157),"",INDEX(Array_ElectricalCharges,MATCH($A157,List_ElectricityMeters,0),ROUNDUP(COLUMN()/3,0)-2))</f>
        <v/>
      </c>
      <c r="Q157" s="127"/>
      <c r="R157" s="137"/>
      <c r="S157" s="58" t="str" cm="1">
        <f>IF(ISBLANK($A157),"",INDEX(Array_ElectricalCharges,MATCH($A157,List_ElectricityMeters,0),ROUNDUP(COLUMN()/3,0)-2))</f>
        <v/>
      </c>
      <c r="T157" s="127"/>
      <c r="U157" s="137"/>
      <c r="V157" s="58" t="str" cm="1">
        <f>IF(ISBLANK($A157),"",INDEX(Array_ElectricalCharges,MATCH($A157,List_ElectricityMeters,0),ROUNDUP(COLUMN()/3,0)-2))</f>
        <v/>
      </c>
      <c r="W157" s="127"/>
      <c r="X157" s="137"/>
      <c r="Y157" s="58" t="str" cm="1">
        <f>IF(ISBLANK($A157),"",INDEX(Array_ElectricalCharges,MATCH($A157,List_ElectricityMeters,0),ROUNDUP(COLUMN()/3,0)-2))</f>
        <v/>
      </c>
      <c r="Z157" s="127"/>
      <c r="AA157" s="137"/>
      <c r="AB157" s="58" t="str" cm="1">
        <f>IF(ISBLANK($A157),"",INDEX(Array_ElectricalCharges,MATCH($A157,List_ElectricityMeters,0),ROUNDUP(COLUMN()/3,0)-2))</f>
        <v/>
      </c>
      <c r="AC157" s="127"/>
      <c r="AD157" s="137"/>
      <c r="AE157" s="58" t="str" cm="1">
        <f>IF(ISBLANK($A157),"",INDEX(Array_ElectricalCharges,MATCH($A157,List_ElectricityMeters,0),ROUNDUP(COLUMN()/3,0)-2))</f>
        <v/>
      </c>
      <c r="AF157" s="127"/>
      <c r="AG157" s="137"/>
      <c r="AH157" s="58" t="str" cm="1">
        <f>IF(ISBLANK($A157),"",INDEX(Array_ElectricalCharges,MATCH($A157,List_ElectricityMeters,0),ROUNDUP(COLUMN()/3,0)-2))</f>
        <v/>
      </c>
      <c r="AI157" s="127"/>
      <c r="AJ157" s="137"/>
      <c r="AK157" s="58" t="str" cm="1">
        <f>IF(ISBLANK($A157),"",INDEX(Array_ElectricalCharges,MATCH($A157,List_ElectricityMeters,0),ROUNDUP(COLUMN()/3,0)-2))</f>
        <v/>
      </c>
      <c r="AL157" s="127"/>
      <c r="AM157" s="137"/>
      <c r="AN157" s="58" t="str" cm="1">
        <f>IF(ISBLANK($A157),"",INDEX(Array_ElectricalCharges,MATCH($A157,List_ElectricityMeters,0),ROUNDUP(COLUMN()/3,0)-2))</f>
        <v/>
      </c>
      <c r="AO157" s="127"/>
      <c r="AP157" s="137"/>
      <c r="AQ157" s="58" t="str" cm="1">
        <f>IF(ISBLANK($A157),"",INDEX(Array_ElectricalCharges,MATCH($A157,List_ElectricityMeters,0),ROUNDUP(COLUMN()/3,0)-2))</f>
        <v/>
      </c>
      <c r="AR157" s="127"/>
      <c r="AS157" s="137"/>
      <c r="AT157" s="58" t="str" cm="1">
        <f>IF(ISBLANK($A157),"",INDEX(Array_ElectricalCharges,MATCH($A157,List_ElectricityMeters,0),ROUNDUP(COLUMN()/3,0)-2))</f>
        <v/>
      </c>
      <c r="AU157" s="127"/>
      <c r="AV157" s="137"/>
      <c r="AW157" s="58" t="str" cm="1">
        <f>IF(ISBLANK($A157),"",INDEX(Array_ElectricalCharges,MATCH($A157,List_ElectricityMeters,0),ROUNDUP(COLUMN()/3,0)-2))</f>
        <v/>
      </c>
      <c r="AX157" s="127"/>
      <c r="AY157" s="137"/>
    </row>
    <row r="158" spans="1:51" x14ac:dyDescent="0.3">
      <c r="A158" s="126"/>
      <c r="B158" s="133"/>
      <c r="C158" s="134"/>
      <c r="D158" s="134"/>
      <c r="E158" s="135"/>
      <c r="F158" s="136"/>
      <c r="G158" s="58" t="str" cm="1">
        <f>IF(ISBLANK($A158),"",INDEX(Array_ElectricalCharges,MATCH($A158,List_ElectricityMeters,0),ROUNDUP(COLUMN()/3,0)-2))</f>
        <v/>
      </c>
      <c r="H158" s="127"/>
      <c r="I158" s="137"/>
      <c r="J158" s="58" t="str" cm="1">
        <f>IF(ISBLANK($A158),"",INDEX(Array_ElectricalCharges,MATCH($A158,List_ElectricityMeters,0),ROUNDUP(COLUMN()/3,0)-2))</f>
        <v/>
      </c>
      <c r="K158" s="127"/>
      <c r="L158" s="137"/>
      <c r="M158" s="58" t="str" cm="1">
        <f>IF(ISBLANK($A158),"",INDEX(Array_ElectricalCharges,MATCH($A158,List_ElectricityMeters,0),ROUNDUP(COLUMN()/3,0)-2))</f>
        <v/>
      </c>
      <c r="N158" s="127"/>
      <c r="O158" s="137"/>
      <c r="P158" s="58" t="str" cm="1">
        <f>IF(ISBLANK($A158),"",INDEX(Array_ElectricalCharges,MATCH($A158,List_ElectricityMeters,0),ROUNDUP(COLUMN()/3,0)-2))</f>
        <v/>
      </c>
      <c r="Q158" s="127"/>
      <c r="R158" s="137"/>
      <c r="S158" s="58" t="str" cm="1">
        <f>IF(ISBLANK($A158),"",INDEX(Array_ElectricalCharges,MATCH($A158,List_ElectricityMeters,0),ROUNDUP(COLUMN()/3,0)-2))</f>
        <v/>
      </c>
      <c r="T158" s="127"/>
      <c r="U158" s="137"/>
      <c r="V158" s="58" t="str" cm="1">
        <f>IF(ISBLANK($A158),"",INDEX(Array_ElectricalCharges,MATCH($A158,List_ElectricityMeters,0),ROUNDUP(COLUMN()/3,0)-2))</f>
        <v/>
      </c>
      <c r="W158" s="127"/>
      <c r="X158" s="137"/>
      <c r="Y158" s="58" t="str" cm="1">
        <f>IF(ISBLANK($A158),"",INDEX(Array_ElectricalCharges,MATCH($A158,List_ElectricityMeters,0),ROUNDUP(COLUMN()/3,0)-2))</f>
        <v/>
      </c>
      <c r="Z158" s="127"/>
      <c r="AA158" s="137"/>
      <c r="AB158" s="58" t="str" cm="1">
        <f>IF(ISBLANK($A158),"",INDEX(Array_ElectricalCharges,MATCH($A158,List_ElectricityMeters,0),ROUNDUP(COLUMN()/3,0)-2))</f>
        <v/>
      </c>
      <c r="AC158" s="127"/>
      <c r="AD158" s="137"/>
      <c r="AE158" s="58" t="str" cm="1">
        <f>IF(ISBLANK($A158),"",INDEX(Array_ElectricalCharges,MATCH($A158,List_ElectricityMeters,0),ROUNDUP(COLUMN()/3,0)-2))</f>
        <v/>
      </c>
      <c r="AF158" s="127"/>
      <c r="AG158" s="137"/>
      <c r="AH158" s="58" t="str" cm="1">
        <f>IF(ISBLANK($A158),"",INDEX(Array_ElectricalCharges,MATCH($A158,List_ElectricityMeters,0),ROUNDUP(COLUMN()/3,0)-2))</f>
        <v/>
      </c>
      <c r="AI158" s="127"/>
      <c r="AJ158" s="137"/>
      <c r="AK158" s="58" t="str" cm="1">
        <f>IF(ISBLANK($A158),"",INDEX(Array_ElectricalCharges,MATCH($A158,List_ElectricityMeters,0),ROUNDUP(COLUMN()/3,0)-2))</f>
        <v/>
      </c>
      <c r="AL158" s="127"/>
      <c r="AM158" s="137"/>
      <c r="AN158" s="58" t="str" cm="1">
        <f>IF(ISBLANK($A158),"",INDEX(Array_ElectricalCharges,MATCH($A158,List_ElectricityMeters,0),ROUNDUP(COLUMN()/3,0)-2))</f>
        <v/>
      </c>
      <c r="AO158" s="127"/>
      <c r="AP158" s="137"/>
      <c r="AQ158" s="58" t="str" cm="1">
        <f>IF(ISBLANK($A158),"",INDEX(Array_ElectricalCharges,MATCH($A158,List_ElectricityMeters,0),ROUNDUP(COLUMN()/3,0)-2))</f>
        <v/>
      </c>
      <c r="AR158" s="127"/>
      <c r="AS158" s="137"/>
      <c r="AT158" s="58" t="str" cm="1">
        <f>IF(ISBLANK($A158),"",INDEX(Array_ElectricalCharges,MATCH($A158,List_ElectricityMeters,0),ROUNDUP(COLUMN()/3,0)-2))</f>
        <v/>
      </c>
      <c r="AU158" s="127"/>
      <c r="AV158" s="137"/>
      <c r="AW158" s="58" t="str" cm="1">
        <f>IF(ISBLANK($A158),"",INDEX(Array_ElectricalCharges,MATCH($A158,List_ElectricityMeters,0),ROUNDUP(COLUMN()/3,0)-2))</f>
        <v/>
      </c>
      <c r="AX158" s="127"/>
      <c r="AY158" s="137"/>
    </row>
    <row r="159" spans="1:51" x14ac:dyDescent="0.3">
      <c r="A159" s="126"/>
      <c r="B159" s="133"/>
      <c r="C159" s="134"/>
      <c r="D159" s="134"/>
      <c r="E159" s="135"/>
      <c r="F159" s="136"/>
      <c r="G159" s="58" t="str" cm="1">
        <f>IF(ISBLANK($A159),"",INDEX(Array_ElectricalCharges,MATCH($A159,List_ElectricityMeters,0),ROUNDUP(COLUMN()/3,0)-2))</f>
        <v/>
      </c>
      <c r="H159" s="127"/>
      <c r="I159" s="137"/>
      <c r="J159" s="58" t="str" cm="1">
        <f>IF(ISBLANK($A159),"",INDEX(Array_ElectricalCharges,MATCH($A159,List_ElectricityMeters,0),ROUNDUP(COLUMN()/3,0)-2))</f>
        <v/>
      </c>
      <c r="K159" s="127"/>
      <c r="L159" s="137"/>
      <c r="M159" s="58" t="str" cm="1">
        <f>IF(ISBLANK($A159),"",INDEX(Array_ElectricalCharges,MATCH($A159,List_ElectricityMeters,0),ROUNDUP(COLUMN()/3,0)-2))</f>
        <v/>
      </c>
      <c r="N159" s="127"/>
      <c r="O159" s="137"/>
      <c r="P159" s="58" t="str" cm="1">
        <f>IF(ISBLANK($A159),"",INDEX(Array_ElectricalCharges,MATCH($A159,List_ElectricityMeters,0),ROUNDUP(COLUMN()/3,0)-2))</f>
        <v/>
      </c>
      <c r="Q159" s="127"/>
      <c r="R159" s="137"/>
      <c r="S159" s="58" t="str" cm="1">
        <f>IF(ISBLANK($A159),"",INDEX(Array_ElectricalCharges,MATCH($A159,List_ElectricityMeters,0),ROUNDUP(COLUMN()/3,0)-2))</f>
        <v/>
      </c>
      <c r="T159" s="127"/>
      <c r="U159" s="137"/>
      <c r="V159" s="58" t="str" cm="1">
        <f>IF(ISBLANK($A159),"",INDEX(Array_ElectricalCharges,MATCH($A159,List_ElectricityMeters,0),ROUNDUP(COLUMN()/3,0)-2))</f>
        <v/>
      </c>
      <c r="W159" s="127"/>
      <c r="X159" s="137"/>
      <c r="Y159" s="58" t="str" cm="1">
        <f>IF(ISBLANK($A159),"",INDEX(Array_ElectricalCharges,MATCH($A159,List_ElectricityMeters,0),ROUNDUP(COLUMN()/3,0)-2))</f>
        <v/>
      </c>
      <c r="Z159" s="127"/>
      <c r="AA159" s="137"/>
      <c r="AB159" s="58" t="str" cm="1">
        <f>IF(ISBLANK($A159),"",INDEX(Array_ElectricalCharges,MATCH($A159,List_ElectricityMeters,0),ROUNDUP(COLUMN()/3,0)-2))</f>
        <v/>
      </c>
      <c r="AC159" s="127"/>
      <c r="AD159" s="137"/>
      <c r="AE159" s="58" t="str" cm="1">
        <f>IF(ISBLANK($A159),"",INDEX(Array_ElectricalCharges,MATCH($A159,List_ElectricityMeters,0),ROUNDUP(COLUMN()/3,0)-2))</f>
        <v/>
      </c>
      <c r="AF159" s="127"/>
      <c r="AG159" s="137"/>
      <c r="AH159" s="58" t="str" cm="1">
        <f>IF(ISBLANK($A159),"",INDEX(Array_ElectricalCharges,MATCH($A159,List_ElectricityMeters,0),ROUNDUP(COLUMN()/3,0)-2))</f>
        <v/>
      </c>
      <c r="AI159" s="127"/>
      <c r="AJ159" s="137"/>
      <c r="AK159" s="58" t="str" cm="1">
        <f>IF(ISBLANK($A159),"",INDEX(Array_ElectricalCharges,MATCH($A159,List_ElectricityMeters,0),ROUNDUP(COLUMN()/3,0)-2))</f>
        <v/>
      </c>
      <c r="AL159" s="127"/>
      <c r="AM159" s="137"/>
      <c r="AN159" s="58" t="str" cm="1">
        <f>IF(ISBLANK($A159),"",INDEX(Array_ElectricalCharges,MATCH($A159,List_ElectricityMeters,0),ROUNDUP(COLUMN()/3,0)-2))</f>
        <v/>
      </c>
      <c r="AO159" s="127"/>
      <c r="AP159" s="137"/>
      <c r="AQ159" s="58" t="str" cm="1">
        <f>IF(ISBLANK($A159),"",INDEX(Array_ElectricalCharges,MATCH($A159,List_ElectricityMeters,0),ROUNDUP(COLUMN()/3,0)-2))</f>
        <v/>
      </c>
      <c r="AR159" s="127"/>
      <c r="AS159" s="137"/>
      <c r="AT159" s="58" t="str" cm="1">
        <f>IF(ISBLANK($A159),"",INDEX(Array_ElectricalCharges,MATCH($A159,List_ElectricityMeters,0),ROUNDUP(COLUMN()/3,0)-2))</f>
        <v/>
      </c>
      <c r="AU159" s="127"/>
      <c r="AV159" s="137"/>
      <c r="AW159" s="58" t="str" cm="1">
        <f>IF(ISBLANK($A159),"",INDEX(Array_ElectricalCharges,MATCH($A159,List_ElectricityMeters,0),ROUNDUP(COLUMN()/3,0)-2))</f>
        <v/>
      </c>
      <c r="AX159" s="127"/>
      <c r="AY159" s="137"/>
    </row>
    <row r="160" spans="1:51" x14ac:dyDescent="0.3">
      <c r="A160" s="126"/>
      <c r="B160" s="133"/>
      <c r="C160" s="134"/>
      <c r="D160" s="134"/>
      <c r="E160" s="135"/>
      <c r="F160" s="136"/>
      <c r="G160" s="58" t="str" cm="1">
        <f>IF(ISBLANK($A160),"",INDEX(Array_ElectricalCharges,MATCH($A160,List_ElectricityMeters,0),ROUNDUP(COLUMN()/3,0)-2))</f>
        <v/>
      </c>
      <c r="H160" s="127"/>
      <c r="I160" s="137"/>
      <c r="J160" s="58" t="str" cm="1">
        <f>IF(ISBLANK($A160),"",INDEX(Array_ElectricalCharges,MATCH($A160,List_ElectricityMeters,0),ROUNDUP(COLUMN()/3,0)-2))</f>
        <v/>
      </c>
      <c r="K160" s="127"/>
      <c r="L160" s="137"/>
      <c r="M160" s="58" t="str" cm="1">
        <f>IF(ISBLANK($A160),"",INDEX(Array_ElectricalCharges,MATCH($A160,List_ElectricityMeters,0),ROUNDUP(COLUMN()/3,0)-2))</f>
        <v/>
      </c>
      <c r="N160" s="127"/>
      <c r="O160" s="137"/>
      <c r="P160" s="58" t="str" cm="1">
        <f>IF(ISBLANK($A160),"",INDEX(Array_ElectricalCharges,MATCH($A160,List_ElectricityMeters,0),ROUNDUP(COLUMN()/3,0)-2))</f>
        <v/>
      </c>
      <c r="Q160" s="127"/>
      <c r="R160" s="137"/>
      <c r="S160" s="58" t="str" cm="1">
        <f>IF(ISBLANK($A160),"",INDEX(Array_ElectricalCharges,MATCH($A160,List_ElectricityMeters,0),ROUNDUP(COLUMN()/3,0)-2))</f>
        <v/>
      </c>
      <c r="T160" s="127"/>
      <c r="U160" s="137"/>
      <c r="V160" s="58" t="str" cm="1">
        <f>IF(ISBLANK($A160),"",INDEX(Array_ElectricalCharges,MATCH($A160,List_ElectricityMeters,0),ROUNDUP(COLUMN()/3,0)-2))</f>
        <v/>
      </c>
      <c r="W160" s="127"/>
      <c r="X160" s="137"/>
      <c r="Y160" s="58" t="str" cm="1">
        <f>IF(ISBLANK($A160),"",INDEX(Array_ElectricalCharges,MATCH($A160,List_ElectricityMeters,0),ROUNDUP(COLUMN()/3,0)-2))</f>
        <v/>
      </c>
      <c r="Z160" s="127"/>
      <c r="AA160" s="137"/>
      <c r="AB160" s="58" t="str" cm="1">
        <f>IF(ISBLANK($A160),"",INDEX(Array_ElectricalCharges,MATCH($A160,List_ElectricityMeters,0),ROUNDUP(COLUMN()/3,0)-2))</f>
        <v/>
      </c>
      <c r="AC160" s="127"/>
      <c r="AD160" s="137"/>
      <c r="AE160" s="58" t="str" cm="1">
        <f>IF(ISBLANK($A160),"",INDEX(Array_ElectricalCharges,MATCH($A160,List_ElectricityMeters,0),ROUNDUP(COLUMN()/3,0)-2))</f>
        <v/>
      </c>
      <c r="AF160" s="127"/>
      <c r="AG160" s="137"/>
      <c r="AH160" s="58" t="str" cm="1">
        <f>IF(ISBLANK($A160),"",INDEX(Array_ElectricalCharges,MATCH($A160,List_ElectricityMeters,0),ROUNDUP(COLUMN()/3,0)-2))</f>
        <v/>
      </c>
      <c r="AI160" s="127"/>
      <c r="AJ160" s="137"/>
      <c r="AK160" s="58" t="str" cm="1">
        <f>IF(ISBLANK($A160),"",INDEX(Array_ElectricalCharges,MATCH($A160,List_ElectricityMeters,0),ROUNDUP(COLUMN()/3,0)-2))</f>
        <v/>
      </c>
      <c r="AL160" s="127"/>
      <c r="AM160" s="137"/>
      <c r="AN160" s="58" t="str" cm="1">
        <f>IF(ISBLANK($A160),"",INDEX(Array_ElectricalCharges,MATCH($A160,List_ElectricityMeters,0),ROUNDUP(COLUMN()/3,0)-2))</f>
        <v/>
      </c>
      <c r="AO160" s="127"/>
      <c r="AP160" s="137"/>
      <c r="AQ160" s="58" t="str" cm="1">
        <f>IF(ISBLANK($A160),"",INDEX(Array_ElectricalCharges,MATCH($A160,List_ElectricityMeters,0),ROUNDUP(COLUMN()/3,0)-2))</f>
        <v/>
      </c>
      <c r="AR160" s="127"/>
      <c r="AS160" s="137"/>
      <c r="AT160" s="58" t="str" cm="1">
        <f>IF(ISBLANK($A160),"",INDEX(Array_ElectricalCharges,MATCH($A160,List_ElectricityMeters,0),ROUNDUP(COLUMN()/3,0)-2))</f>
        <v/>
      </c>
      <c r="AU160" s="127"/>
      <c r="AV160" s="137"/>
      <c r="AW160" s="58" t="str" cm="1">
        <f>IF(ISBLANK($A160),"",INDEX(Array_ElectricalCharges,MATCH($A160,List_ElectricityMeters,0),ROUNDUP(COLUMN()/3,0)-2))</f>
        <v/>
      </c>
      <c r="AX160" s="127"/>
      <c r="AY160" s="137"/>
    </row>
    <row r="161" spans="1:51" x14ac:dyDescent="0.3">
      <c r="A161" s="126"/>
      <c r="B161" s="133"/>
      <c r="C161" s="134"/>
      <c r="D161" s="134"/>
      <c r="E161" s="135"/>
      <c r="F161" s="136"/>
      <c r="G161" s="58" t="str" cm="1">
        <f>IF(ISBLANK($A161),"",INDEX(Array_ElectricalCharges,MATCH($A161,List_ElectricityMeters,0),ROUNDUP(COLUMN()/3,0)-2))</f>
        <v/>
      </c>
      <c r="H161" s="127"/>
      <c r="I161" s="137"/>
      <c r="J161" s="58" t="str" cm="1">
        <f>IF(ISBLANK($A161),"",INDEX(Array_ElectricalCharges,MATCH($A161,List_ElectricityMeters,0),ROUNDUP(COLUMN()/3,0)-2))</f>
        <v/>
      </c>
      <c r="K161" s="127"/>
      <c r="L161" s="137"/>
      <c r="M161" s="58" t="str" cm="1">
        <f>IF(ISBLANK($A161),"",INDEX(Array_ElectricalCharges,MATCH($A161,List_ElectricityMeters,0),ROUNDUP(COLUMN()/3,0)-2))</f>
        <v/>
      </c>
      <c r="N161" s="127"/>
      <c r="O161" s="137"/>
      <c r="P161" s="58" t="str" cm="1">
        <f>IF(ISBLANK($A161),"",INDEX(Array_ElectricalCharges,MATCH($A161,List_ElectricityMeters,0),ROUNDUP(COLUMN()/3,0)-2))</f>
        <v/>
      </c>
      <c r="Q161" s="127"/>
      <c r="R161" s="137"/>
      <c r="S161" s="58" t="str" cm="1">
        <f>IF(ISBLANK($A161),"",INDEX(Array_ElectricalCharges,MATCH($A161,List_ElectricityMeters,0),ROUNDUP(COLUMN()/3,0)-2))</f>
        <v/>
      </c>
      <c r="T161" s="127"/>
      <c r="U161" s="137"/>
      <c r="V161" s="58" t="str" cm="1">
        <f>IF(ISBLANK($A161),"",INDEX(Array_ElectricalCharges,MATCH($A161,List_ElectricityMeters,0),ROUNDUP(COLUMN()/3,0)-2))</f>
        <v/>
      </c>
      <c r="W161" s="127"/>
      <c r="X161" s="137"/>
      <c r="Y161" s="58" t="str" cm="1">
        <f>IF(ISBLANK($A161),"",INDEX(Array_ElectricalCharges,MATCH($A161,List_ElectricityMeters,0),ROUNDUP(COLUMN()/3,0)-2))</f>
        <v/>
      </c>
      <c r="Z161" s="127"/>
      <c r="AA161" s="137"/>
      <c r="AB161" s="58" t="str" cm="1">
        <f>IF(ISBLANK($A161),"",INDEX(Array_ElectricalCharges,MATCH($A161,List_ElectricityMeters,0),ROUNDUP(COLUMN()/3,0)-2))</f>
        <v/>
      </c>
      <c r="AC161" s="127"/>
      <c r="AD161" s="137"/>
      <c r="AE161" s="58" t="str" cm="1">
        <f>IF(ISBLANK($A161),"",INDEX(Array_ElectricalCharges,MATCH($A161,List_ElectricityMeters,0),ROUNDUP(COLUMN()/3,0)-2))</f>
        <v/>
      </c>
      <c r="AF161" s="127"/>
      <c r="AG161" s="137"/>
      <c r="AH161" s="58" t="str" cm="1">
        <f>IF(ISBLANK($A161),"",INDEX(Array_ElectricalCharges,MATCH($A161,List_ElectricityMeters,0),ROUNDUP(COLUMN()/3,0)-2))</f>
        <v/>
      </c>
      <c r="AI161" s="127"/>
      <c r="AJ161" s="137"/>
      <c r="AK161" s="58" t="str" cm="1">
        <f>IF(ISBLANK($A161),"",INDEX(Array_ElectricalCharges,MATCH($A161,List_ElectricityMeters,0),ROUNDUP(COLUMN()/3,0)-2))</f>
        <v/>
      </c>
      <c r="AL161" s="127"/>
      <c r="AM161" s="137"/>
      <c r="AN161" s="58" t="str" cm="1">
        <f>IF(ISBLANK($A161),"",INDEX(Array_ElectricalCharges,MATCH($A161,List_ElectricityMeters,0),ROUNDUP(COLUMN()/3,0)-2))</f>
        <v/>
      </c>
      <c r="AO161" s="127"/>
      <c r="AP161" s="137"/>
      <c r="AQ161" s="58" t="str" cm="1">
        <f>IF(ISBLANK($A161),"",INDEX(Array_ElectricalCharges,MATCH($A161,List_ElectricityMeters,0),ROUNDUP(COLUMN()/3,0)-2))</f>
        <v/>
      </c>
      <c r="AR161" s="127"/>
      <c r="AS161" s="137"/>
      <c r="AT161" s="58" t="str" cm="1">
        <f>IF(ISBLANK($A161),"",INDEX(Array_ElectricalCharges,MATCH($A161,List_ElectricityMeters,0),ROUNDUP(COLUMN()/3,0)-2))</f>
        <v/>
      </c>
      <c r="AU161" s="127"/>
      <c r="AV161" s="137"/>
      <c r="AW161" s="58" t="str" cm="1">
        <f>IF(ISBLANK($A161),"",INDEX(Array_ElectricalCharges,MATCH($A161,List_ElectricityMeters,0),ROUNDUP(COLUMN()/3,0)-2))</f>
        <v/>
      </c>
      <c r="AX161" s="127"/>
      <c r="AY161" s="137"/>
    </row>
    <row r="162" spans="1:51" x14ac:dyDescent="0.3">
      <c r="A162" s="126"/>
      <c r="B162" s="133"/>
      <c r="C162" s="134"/>
      <c r="D162" s="134"/>
      <c r="E162" s="135"/>
      <c r="F162" s="136"/>
      <c r="G162" s="58" t="str" cm="1">
        <f>IF(ISBLANK($A162),"",INDEX(Array_ElectricalCharges,MATCH($A162,List_ElectricityMeters,0),ROUNDUP(COLUMN()/3,0)-2))</f>
        <v/>
      </c>
      <c r="H162" s="127"/>
      <c r="I162" s="137"/>
      <c r="J162" s="58" t="str" cm="1">
        <f>IF(ISBLANK($A162),"",INDEX(Array_ElectricalCharges,MATCH($A162,List_ElectricityMeters,0),ROUNDUP(COLUMN()/3,0)-2))</f>
        <v/>
      </c>
      <c r="K162" s="127"/>
      <c r="L162" s="137"/>
      <c r="M162" s="58" t="str" cm="1">
        <f>IF(ISBLANK($A162),"",INDEX(Array_ElectricalCharges,MATCH($A162,List_ElectricityMeters,0),ROUNDUP(COLUMN()/3,0)-2))</f>
        <v/>
      </c>
      <c r="N162" s="127"/>
      <c r="O162" s="137"/>
      <c r="P162" s="58" t="str" cm="1">
        <f>IF(ISBLANK($A162),"",INDEX(Array_ElectricalCharges,MATCH($A162,List_ElectricityMeters,0),ROUNDUP(COLUMN()/3,0)-2))</f>
        <v/>
      </c>
      <c r="Q162" s="127"/>
      <c r="R162" s="137"/>
      <c r="S162" s="58" t="str" cm="1">
        <f>IF(ISBLANK($A162),"",INDEX(Array_ElectricalCharges,MATCH($A162,List_ElectricityMeters,0),ROUNDUP(COLUMN()/3,0)-2))</f>
        <v/>
      </c>
      <c r="T162" s="127"/>
      <c r="U162" s="137"/>
      <c r="V162" s="58" t="str" cm="1">
        <f>IF(ISBLANK($A162),"",INDEX(Array_ElectricalCharges,MATCH($A162,List_ElectricityMeters,0),ROUNDUP(COLUMN()/3,0)-2))</f>
        <v/>
      </c>
      <c r="W162" s="127"/>
      <c r="X162" s="137"/>
      <c r="Y162" s="58" t="str" cm="1">
        <f>IF(ISBLANK($A162),"",INDEX(Array_ElectricalCharges,MATCH($A162,List_ElectricityMeters,0),ROUNDUP(COLUMN()/3,0)-2))</f>
        <v/>
      </c>
      <c r="Z162" s="127"/>
      <c r="AA162" s="137"/>
      <c r="AB162" s="58" t="str" cm="1">
        <f>IF(ISBLANK($A162),"",INDEX(Array_ElectricalCharges,MATCH($A162,List_ElectricityMeters,0),ROUNDUP(COLUMN()/3,0)-2))</f>
        <v/>
      </c>
      <c r="AC162" s="127"/>
      <c r="AD162" s="137"/>
      <c r="AE162" s="58" t="str" cm="1">
        <f>IF(ISBLANK($A162),"",INDEX(Array_ElectricalCharges,MATCH($A162,List_ElectricityMeters,0),ROUNDUP(COLUMN()/3,0)-2))</f>
        <v/>
      </c>
      <c r="AF162" s="127"/>
      <c r="AG162" s="137"/>
      <c r="AH162" s="58" t="str" cm="1">
        <f>IF(ISBLANK($A162),"",INDEX(Array_ElectricalCharges,MATCH($A162,List_ElectricityMeters,0),ROUNDUP(COLUMN()/3,0)-2))</f>
        <v/>
      </c>
      <c r="AI162" s="127"/>
      <c r="AJ162" s="137"/>
      <c r="AK162" s="58" t="str" cm="1">
        <f>IF(ISBLANK($A162),"",INDEX(Array_ElectricalCharges,MATCH($A162,List_ElectricityMeters,0),ROUNDUP(COLUMN()/3,0)-2))</f>
        <v/>
      </c>
      <c r="AL162" s="127"/>
      <c r="AM162" s="137"/>
      <c r="AN162" s="58" t="str" cm="1">
        <f>IF(ISBLANK($A162),"",INDEX(Array_ElectricalCharges,MATCH($A162,List_ElectricityMeters,0),ROUNDUP(COLUMN()/3,0)-2))</f>
        <v/>
      </c>
      <c r="AO162" s="127"/>
      <c r="AP162" s="137"/>
      <c r="AQ162" s="58" t="str" cm="1">
        <f>IF(ISBLANK($A162),"",INDEX(Array_ElectricalCharges,MATCH($A162,List_ElectricityMeters,0),ROUNDUP(COLUMN()/3,0)-2))</f>
        <v/>
      </c>
      <c r="AR162" s="127"/>
      <c r="AS162" s="137"/>
      <c r="AT162" s="58" t="str" cm="1">
        <f>IF(ISBLANK($A162),"",INDEX(Array_ElectricalCharges,MATCH($A162,List_ElectricityMeters,0),ROUNDUP(COLUMN()/3,0)-2))</f>
        <v/>
      </c>
      <c r="AU162" s="127"/>
      <c r="AV162" s="137"/>
      <c r="AW162" s="58" t="str" cm="1">
        <f>IF(ISBLANK($A162),"",INDEX(Array_ElectricalCharges,MATCH($A162,List_ElectricityMeters,0),ROUNDUP(COLUMN()/3,0)-2))</f>
        <v/>
      </c>
      <c r="AX162" s="127"/>
      <c r="AY162" s="137"/>
    </row>
    <row r="163" spans="1:51" x14ac:dyDescent="0.3">
      <c r="A163" s="126"/>
      <c r="B163" s="133"/>
      <c r="C163" s="134"/>
      <c r="D163" s="134"/>
      <c r="E163" s="135"/>
      <c r="F163" s="136"/>
      <c r="G163" s="58" t="str" cm="1">
        <f>IF(ISBLANK($A163),"",INDEX(Array_ElectricalCharges,MATCH($A163,List_ElectricityMeters,0),ROUNDUP(COLUMN()/3,0)-2))</f>
        <v/>
      </c>
      <c r="H163" s="127"/>
      <c r="I163" s="137"/>
      <c r="J163" s="58" t="str" cm="1">
        <f>IF(ISBLANK($A163),"",INDEX(Array_ElectricalCharges,MATCH($A163,List_ElectricityMeters,0),ROUNDUP(COLUMN()/3,0)-2))</f>
        <v/>
      </c>
      <c r="K163" s="127"/>
      <c r="L163" s="137"/>
      <c r="M163" s="58" t="str" cm="1">
        <f>IF(ISBLANK($A163),"",INDEX(Array_ElectricalCharges,MATCH($A163,List_ElectricityMeters,0),ROUNDUP(COLUMN()/3,0)-2))</f>
        <v/>
      </c>
      <c r="N163" s="127"/>
      <c r="O163" s="137"/>
      <c r="P163" s="58" t="str" cm="1">
        <f>IF(ISBLANK($A163),"",INDEX(Array_ElectricalCharges,MATCH($A163,List_ElectricityMeters,0),ROUNDUP(COLUMN()/3,0)-2))</f>
        <v/>
      </c>
      <c r="Q163" s="127"/>
      <c r="R163" s="137"/>
      <c r="S163" s="58" t="str" cm="1">
        <f>IF(ISBLANK($A163),"",INDEX(Array_ElectricalCharges,MATCH($A163,List_ElectricityMeters,0),ROUNDUP(COLUMN()/3,0)-2))</f>
        <v/>
      </c>
      <c r="T163" s="127"/>
      <c r="U163" s="137"/>
      <c r="V163" s="58" t="str" cm="1">
        <f>IF(ISBLANK($A163),"",INDEX(Array_ElectricalCharges,MATCH($A163,List_ElectricityMeters,0),ROUNDUP(COLUMN()/3,0)-2))</f>
        <v/>
      </c>
      <c r="W163" s="127"/>
      <c r="X163" s="137"/>
      <c r="Y163" s="58" t="str" cm="1">
        <f>IF(ISBLANK($A163),"",INDEX(Array_ElectricalCharges,MATCH($A163,List_ElectricityMeters,0),ROUNDUP(COLUMN()/3,0)-2))</f>
        <v/>
      </c>
      <c r="Z163" s="127"/>
      <c r="AA163" s="137"/>
      <c r="AB163" s="58" t="str" cm="1">
        <f>IF(ISBLANK($A163),"",INDEX(Array_ElectricalCharges,MATCH($A163,List_ElectricityMeters,0),ROUNDUP(COLUMN()/3,0)-2))</f>
        <v/>
      </c>
      <c r="AC163" s="127"/>
      <c r="AD163" s="137"/>
      <c r="AE163" s="58" t="str" cm="1">
        <f>IF(ISBLANK($A163),"",INDEX(Array_ElectricalCharges,MATCH($A163,List_ElectricityMeters,0),ROUNDUP(COLUMN()/3,0)-2))</f>
        <v/>
      </c>
      <c r="AF163" s="127"/>
      <c r="AG163" s="137"/>
      <c r="AH163" s="58" t="str" cm="1">
        <f>IF(ISBLANK($A163),"",INDEX(Array_ElectricalCharges,MATCH($A163,List_ElectricityMeters,0),ROUNDUP(COLUMN()/3,0)-2))</f>
        <v/>
      </c>
      <c r="AI163" s="127"/>
      <c r="AJ163" s="137"/>
      <c r="AK163" s="58" t="str" cm="1">
        <f>IF(ISBLANK($A163),"",INDEX(Array_ElectricalCharges,MATCH($A163,List_ElectricityMeters,0),ROUNDUP(COLUMN()/3,0)-2))</f>
        <v/>
      </c>
      <c r="AL163" s="127"/>
      <c r="AM163" s="137"/>
      <c r="AN163" s="58" t="str" cm="1">
        <f>IF(ISBLANK($A163),"",INDEX(Array_ElectricalCharges,MATCH($A163,List_ElectricityMeters,0),ROUNDUP(COLUMN()/3,0)-2))</f>
        <v/>
      </c>
      <c r="AO163" s="127"/>
      <c r="AP163" s="137"/>
      <c r="AQ163" s="58" t="str" cm="1">
        <f>IF(ISBLANK($A163),"",INDEX(Array_ElectricalCharges,MATCH($A163,List_ElectricityMeters,0),ROUNDUP(COLUMN()/3,0)-2))</f>
        <v/>
      </c>
      <c r="AR163" s="127"/>
      <c r="AS163" s="137"/>
      <c r="AT163" s="58" t="str" cm="1">
        <f>IF(ISBLANK($A163),"",INDEX(Array_ElectricalCharges,MATCH($A163,List_ElectricityMeters,0),ROUNDUP(COLUMN()/3,0)-2))</f>
        <v/>
      </c>
      <c r="AU163" s="127"/>
      <c r="AV163" s="137"/>
      <c r="AW163" s="58" t="str" cm="1">
        <f>IF(ISBLANK($A163),"",INDEX(Array_ElectricalCharges,MATCH($A163,List_ElectricityMeters,0),ROUNDUP(COLUMN()/3,0)-2))</f>
        <v/>
      </c>
      <c r="AX163" s="127"/>
      <c r="AY163" s="137"/>
    </row>
    <row r="164" spans="1:51" x14ac:dyDescent="0.3">
      <c r="A164" s="126"/>
      <c r="B164" s="133"/>
      <c r="C164" s="134"/>
      <c r="D164" s="134"/>
      <c r="E164" s="135"/>
      <c r="F164" s="136"/>
      <c r="G164" s="58" t="str" cm="1">
        <f>IF(ISBLANK($A164),"",INDEX(Array_ElectricalCharges,MATCH($A164,List_ElectricityMeters,0),ROUNDUP(COLUMN()/3,0)-2))</f>
        <v/>
      </c>
      <c r="H164" s="127"/>
      <c r="I164" s="137"/>
      <c r="J164" s="58" t="str" cm="1">
        <f>IF(ISBLANK($A164),"",INDEX(Array_ElectricalCharges,MATCH($A164,List_ElectricityMeters,0),ROUNDUP(COLUMN()/3,0)-2))</f>
        <v/>
      </c>
      <c r="K164" s="127"/>
      <c r="L164" s="137"/>
      <c r="M164" s="58" t="str" cm="1">
        <f>IF(ISBLANK($A164),"",INDEX(Array_ElectricalCharges,MATCH($A164,List_ElectricityMeters,0),ROUNDUP(COLUMN()/3,0)-2))</f>
        <v/>
      </c>
      <c r="N164" s="127"/>
      <c r="O164" s="137"/>
      <c r="P164" s="58" t="str" cm="1">
        <f>IF(ISBLANK($A164),"",INDEX(Array_ElectricalCharges,MATCH($A164,List_ElectricityMeters,0),ROUNDUP(COLUMN()/3,0)-2))</f>
        <v/>
      </c>
      <c r="Q164" s="127"/>
      <c r="R164" s="137"/>
      <c r="S164" s="58" t="str" cm="1">
        <f>IF(ISBLANK($A164),"",INDEX(Array_ElectricalCharges,MATCH($A164,List_ElectricityMeters,0),ROUNDUP(COLUMN()/3,0)-2))</f>
        <v/>
      </c>
      <c r="T164" s="127"/>
      <c r="U164" s="137"/>
      <c r="V164" s="58" t="str" cm="1">
        <f>IF(ISBLANK($A164),"",INDEX(Array_ElectricalCharges,MATCH($A164,List_ElectricityMeters,0),ROUNDUP(COLUMN()/3,0)-2))</f>
        <v/>
      </c>
      <c r="W164" s="127"/>
      <c r="X164" s="137"/>
      <c r="Y164" s="58" t="str" cm="1">
        <f>IF(ISBLANK($A164),"",INDEX(Array_ElectricalCharges,MATCH($A164,List_ElectricityMeters,0),ROUNDUP(COLUMN()/3,0)-2))</f>
        <v/>
      </c>
      <c r="Z164" s="127"/>
      <c r="AA164" s="137"/>
      <c r="AB164" s="58" t="str" cm="1">
        <f>IF(ISBLANK($A164),"",INDEX(Array_ElectricalCharges,MATCH($A164,List_ElectricityMeters,0),ROUNDUP(COLUMN()/3,0)-2))</f>
        <v/>
      </c>
      <c r="AC164" s="127"/>
      <c r="AD164" s="137"/>
      <c r="AE164" s="58" t="str" cm="1">
        <f>IF(ISBLANK($A164),"",INDEX(Array_ElectricalCharges,MATCH($A164,List_ElectricityMeters,0),ROUNDUP(COLUMN()/3,0)-2))</f>
        <v/>
      </c>
      <c r="AF164" s="127"/>
      <c r="AG164" s="137"/>
      <c r="AH164" s="58" t="str" cm="1">
        <f>IF(ISBLANK($A164),"",INDEX(Array_ElectricalCharges,MATCH($A164,List_ElectricityMeters,0),ROUNDUP(COLUMN()/3,0)-2))</f>
        <v/>
      </c>
      <c r="AI164" s="127"/>
      <c r="AJ164" s="137"/>
      <c r="AK164" s="58" t="str" cm="1">
        <f>IF(ISBLANK($A164),"",INDEX(Array_ElectricalCharges,MATCH($A164,List_ElectricityMeters,0),ROUNDUP(COLUMN()/3,0)-2))</f>
        <v/>
      </c>
      <c r="AL164" s="127"/>
      <c r="AM164" s="137"/>
      <c r="AN164" s="58" t="str" cm="1">
        <f>IF(ISBLANK($A164),"",INDEX(Array_ElectricalCharges,MATCH($A164,List_ElectricityMeters,0),ROUNDUP(COLUMN()/3,0)-2))</f>
        <v/>
      </c>
      <c r="AO164" s="127"/>
      <c r="AP164" s="137"/>
      <c r="AQ164" s="58" t="str" cm="1">
        <f>IF(ISBLANK($A164),"",INDEX(Array_ElectricalCharges,MATCH($A164,List_ElectricityMeters,0),ROUNDUP(COLUMN()/3,0)-2))</f>
        <v/>
      </c>
      <c r="AR164" s="127"/>
      <c r="AS164" s="137"/>
      <c r="AT164" s="58" t="str" cm="1">
        <f>IF(ISBLANK($A164),"",INDEX(Array_ElectricalCharges,MATCH($A164,List_ElectricityMeters,0),ROUNDUP(COLUMN()/3,0)-2))</f>
        <v/>
      </c>
      <c r="AU164" s="127"/>
      <c r="AV164" s="137"/>
      <c r="AW164" s="58" t="str" cm="1">
        <f>IF(ISBLANK($A164),"",INDEX(Array_ElectricalCharges,MATCH($A164,List_ElectricityMeters,0),ROUNDUP(COLUMN()/3,0)-2))</f>
        <v/>
      </c>
      <c r="AX164" s="127"/>
      <c r="AY164" s="137"/>
    </row>
    <row r="165" spans="1:51" x14ac:dyDescent="0.3">
      <c r="A165" s="126"/>
      <c r="B165" s="133"/>
      <c r="C165" s="134"/>
      <c r="D165" s="134"/>
      <c r="E165" s="135"/>
      <c r="F165" s="136"/>
      <c r="G165" s="58" t="str" cm="1">
        <f>IF(ISBLANK($A165),"",INDEX(Array_ElectricalCharges,MATCH($A165,List_ElectricityMeters,0),ROUNDUP(COLUMN()/3,0)-2))</f>
        <v/>
      </c>
      <c r="H165" s="127"/>
      <c r="I165" s="137"/>
      <c r="J165" s="58" t="str" cm="1">
        <f>IF(ISBLANK($A165),"",INDEX(Array_ElectricalCharges,MATCH($A165,List_ElectricityMeters,0),ROUNDUP(COLUMN()/3,0)-2))</f>
        <v/>
      </c>
      <c r="K165" s="127"/>
      <c r="L165" s="137"/>
      <c r="M165" s="58" t="str" cm="1">
        <f>IF(ISBLANK($A165),"",INDEX(Array_ElectricalCharges,MATCH($A165,List_ElectricityMeters,0),ROUNDUP(COLUMN()/3,0)-2))</f>
        <v/>
      </c>
      <c r="N165" s="127"/>
      <c r="O165" s="137"/>
      <c r="P165" s="58" t="str" cm="1">
        <f>IF(ISBLANK($A165),"",INDEX(Array_ElectricalCharges,MATCH($A165,List_ElectricityMeters,0),ROUNDUP(COLUMN()/3,0)-2))</f>
        <v/>
      </c>
      <c r="Q165" s="127"/>
      <c r="R165" s="137"/>
      <c r="S165" s="58" t="str" cm="1">
        <f>IF(ISBLANK($A165),"",INDEX(Array_ElectricalCharges,MATCH($A165,List_ElectricityMeters,0),ROUNDUP(COLUMN()/3,0)-2))</f>
        <v/>
      </c>
      <c r="T165" s="127"/>
      <c r="U165" s="137"/>
      <c r="V165" s="58" t="str" cm="1">
        <f>IF(ISBLANK($A165),"",INDEX(Array_ElectricalCharges,MATCH($A165,List_ElectricityMeters,0),ROUNDUP(COLUMN()/3,0)-2))</f>
        <v/>
      </c>
      <c r="W165" s="127"/>
      <c r="X165" s="137"/>
      <c r="Y165" s="58" t="str" cm="1">
        <f>IF(ISBLANK($A165),"",INDEX(Array_ElectricalCharges,MATCH($A165,List_ElectricityMeters,0),ROUNDUP(COLUMN()/3,0)-2))</f>
        <v/>
      </c>
      <c r="Z165" s="127"/>
      <c r="AA165" s="137"/>
      <c r="AB165" s="58" t="str" cm="1">
        <f>IF(ISBLANK($A165),"",INDEX(Array_ElectricalCharges,MATCH($A165,List_ElectricityMeters,0),ROUNDUP(COLUMN()/3,0)-2))</f>
        <v/>
      </c>
      <c r="AC165" s="127"/>
      <c r="AD165" s="137"/>
      <c r="AE165" s="58" t="str" cm="1">
        <f>IF(ISBLANK($A165),"",INDEX(Array_ElectricalCharges,MATCH($A165,List_ElectricityMeters,0),ROUNDUP(COLUMN()/3,0)-2))</f>
        <v/>
      </c>
      <c r="AF165" s="127"/>
      <c r="AG165" s="137"/>
      <c r="AH165" s="58" t="str" cm="1">
        <f>IF(ISBLANK($A165),"",INDEX(Array_ElectricalCharges,MATCH($A165,List_ElectricityMeters,0),ROUNDUP(COLUMN()/3,0)-2))</f>
        <v/>
      </c>
      <c r="AI165" s="127"/>
      <c r="AJ165" s="137"/>
      <c r="AK165" s="58" t="str" cm="1">
        <f>IF(ISBLANK($A165),"",INDEX(Array_ElectricalCharges,MATCH($A165,List_ElectricityMeters,0),ROUNDUP(COLUMN()/3,0)-2))</f>
        <v/>
      </c>
      <c r="AL165" s="127"/>
      <c r="AM165" s="137"/>
      <c r="AN165" s="58" t="str" cm="1">
        <f>IF(ISBLANK($A165),"",INDEX(Array_ElectricalCharges,MATCH($A165,List_ElectricityMeters,0),ROUNDUP(COLUMN()/3,0)-2))</f>
        <v/>
      </c>
      <c r="AO165" s="127"/>
      <c r="AP165" s="137"/>
      <c r="AQ165" s="58" t="str" cm="1">
        <f>IF(ISBLANK($A165),"",INDEX(Array_ElectricalCharges,MATCH($A165,List_ElectricityMeters,0),ROUNDUP(COLUMN()/3,0)-2))</f>
        <v/>
      </c>
      <c r="AR165" s="127"/>
      <c r="AS165" s="137"/>
      <c r="AT165" s="58" t="str" cm="1">
        <f>IF(ISBLANK($A165),"",INDEX(Array_ElectricalCharges,MATCH($A165,List_ElectricityMeters,0),ROUNDUP(COLUMN()/3,0)-2))</f>
        <v/>
      </c>
      <c r="AU165" s="127"/>
      <c r="AV165" s="137"/>
      <c r="AW165" s="58" t="str" cm="1">
        <f>IF(ISBLANK($A165),"",INDEX(Array_ElectricalCharges,MATCH($A165,List_ElectricityMeters,0),ROUNDUP(COLUMN()/3,0)-2))</f>
        <v/>
      </c>
      <c r="AX165" s="127"/>
      <c r="AY165" s="137"/>
    </row>
    <row r="166" spans="1:51" x14ac:dyDescent="0.3">
      <c r="A166" s="126"/>
      <c r="B166" s="133"/>
      <c r="C166" s="134"/>
      <c r="D166" s="134"/>
      <c r="E166" s="135"/>
      <c r="F166" s="136"/>
      <c r="G166" s="58" t="str" cm="1">
        <f>IF(ISBLANK($A166),"",INDEX(Array_ElectricalCharges,MATCH($A166,List_ElectricityMeters,0),ROUNDUP(COLUMN()/3,0)-2))</f>
        <v/>
      </c>
      <c r="H166" s="127"/>
      <c r="I166" s="137"/>
      <c r="J166" s="58" t="str" cm="1">
        <f>IF(ISBLANK($A166),"",INDEX(Array_ElectricalCharges,MATCH($A166,List_ElectricityMeters,0),ROUNDUP(COLUMN()/3,0)-2))</f>
        <v/>
      </c>
      <c r="K166" s="127"/>
      <c r="L166" s="137"/>
      <c r="M166" s="58" t="str" cm="1">
        <f>IF(ISBLANK($A166),"",INDEX(Array_ElectricalCharges,MATCH($A166,List_ElectricityMeters,0),ROUNDUP(COLUMN()/3,0)-2))</f>
        <v/>
      </c>
      <c r="N166" s="127"/>
      <c r="O166" s="137"/>
      <c r="P166" s="58" t="str" cm="1">
        <f>IF(ISBLANK($A166),"",INDEX(Array_ElectricalCharges,MATCH($A166,List_ElectricityMeters,0),ROUNDUP(COLUMN()/3,0)-2))</f>
        <v/>
      </c>
      <c r="Q166" s="127"/>
      <c r="R166" s="137"/>
      <c r="S166" s="58" t="str" cm="1">
        <f>IF(ISBLANK($A166),"",INDEX(Array_ElectricalCharges,MATCH($A166,List_ElectricityMeters,0),ROUNDUP(COLUMN()/3,0)-2))</f>
        <v/>
      </c>
      <c r="T166" s="127"/>
      <c r="U166" s="137"/>
      <c r="V166" s="58" t="str" cm="1">
        <f>IF(ISBLANK($A166),"",INDEX(Array_ElectricalCharges,MATCH($A166,List_ElectricityMeters,0),ROUNDUP(COLUMN()/3,0)-2))</f>
        <v/>
      </c>
      <c r="W166" s="127"/>
      <c r="X166" s="137"/>
      <c r="Y166" s="58" t="str" cm="1">
        <f>IF(ISBLANK($A166),"",INDEX(Array_ElectricalCharges,MATCH($A166,List_ElectricityMeters,0),ROUNDUP(COLUMN()/3,0)-2))</f>
        <v/>
      </c>
      <c r="Z166" s="127"/>
      <c r="AA166" s="137"/>
      <c r="AB166" s="58" t="str" cm="1">
        <f>IF(ISBLANK($A166),"",INDEX(Array_ElectricalCharges,MATCH($A166,List_ElectricityMeters,0),ROUNDUP(COLUMN()/3,0)-2))</f>
        <v/>
      </c>
      <c r="AC166" s="127"/>
      <c r="AD166" s="137"/>
      <c r="AE166" s="58" t="str" cm="1">
        <f>IF(ISBLANK($A166),"",INDEX(Array_ElectricalCharges,MATCH($A166,List_ElectricityMeters,0),ROUNDUP(COLUMN()/3,0)-2))</f>
        <v/>
      </c>
      <c r="AF166" s="127"/>
      <c r="AG166" s="137"/>
      <c r="AH166" s="58" t="str" cm="1">
        <f>IF(ISBLANK($A166),"",INDEX(Array_ElectricalCharges,MATCH($A166,List_ElectricityMeters,0),ROUNDUP(COLUMN()/3,0)-2))</f>
        <v/>
      </c>
      <c r="AI166" s="127"/>
      <c r="AJ166" s="137"/>
      <c r="AK166" s="58" t="str" cm="1">
        <f>IF(ISBLANK($A166),"",INDEX(Array_ElectricalCharges,MATCH($A166,List_ElectricityMeters,0),ROUNDUP(COLUMN()/3,0)-2))</f>
        <v/>
      </c>
      <c r="AL166" s="127"/>
      <c r="AM166" s="137"/>
      <c r="AN166" s="58" t="str" cm="1">
        <f>IF(ISBLANK($A166),"",INDEX(Array_ElectricalCharges,MATCH($A166,List_ElectricityMeters,0),ROUNDUP(COLUMN()/3,0)-2))</f>
        <v/>
      </c>
      <c r="AO166" s="127"/>
      <c r="AP166" s="137"/>
      <c r="AQ166" s="58" t="str" cm="1">
        <f>IF(ISBLANK($A166),"",INDEX(Array_ElectricalCharges,MATCH($A166,List_ElectricityMeters,0),ROUNDUP(COLUMN()/3,0)-2))</f>
        <v/>
      </c>
      <c r="AR166" s="127"/>
      <c r="AS166" s="137"/>
      <c r="AT166" s="58" t="str" cm="1">
        <f>IF(ISBLANK($A166),"",INDEX(Array_ElectricalCharges,MATCH($A166,List_ElectricityMeters,0),ROUNDUP(COLUMN()/3,0)-2))</f>
        <v/>
      </c>
      <c r="AU166" s="127"/>
      <c r="AV166" s="137"/>
      <c r="AW166" s="58" t="str" cm="1">
        <f>IF(ISBLANK($A166),"",INDEX(Array_ElectricalCharges,MATCH($A166,List_ElectricityMeters,0),ROUNDUP(COLUMN()/3,0)-2))</f>
        <v/>
      </c>
      <c r="AX166" s="127"/>
      <c r="AY166" s="137"/>
    </row>
    <row r="167" spans="1:51" x14ac:dyDescent="0.3">
      <c r="A167" s="126"/>
      <c r="B167" s="133"/>
      <c r="C167" s="134"/>
      <c r="D167" s="134"/>
      <c r="E167" s="135"/>
      <c r="F167" s="136"/>
      <c r="G167" s="58" t="str" cm="1">
        <f>IF(ISBLANK($A167),"",INDEX(Array_ElectricalCharges,MATCH($A167,List_ElectricityMeters,0),ROUNDUP(COLUMN()/3,0)-2))</f>
        <v/>
      </c>
      <c r="H167" s="127"/>
      <c r="I167" s="137"/>
      <c r="J167" s="58" t="str" cm="1">
        <f>IF(ISBLANK($A167),"",INDEX(Array_ElectricalCharges,MATCH($A167,List_ElectricityMeters,0),ROUNDUP(COLUMN()/3,0)-2))</f>
        <v/>
      </c>
      <c r="K167" s="127"/>
      <c r="L167" s="137"/>
      <c r="M167" s="58" t="str" cm="1">
        <f>IF(ISBLANK($A167),"",INDEX(Array_ElectricalCharges,MATCH($A167,List_ElectricityMeters,0),ROUNDUP(COLUMN()/3,0)-2))</f>
        <v/>
      </c>
      <c r="N167" s="127"/>
      <c r="O167" s="137"/>
      <c r="P167" s="58" t="str" cm="1">
        <f>IF(ISBLANK($A167),"",INDEX(Array_ElectricalCharges,MATCH($A167,List_ElectricityMeters,0),ROUNDUP(COLUMN()/3,0)-2))</f>
        <v/>
      </c>
      <c r="Q167" s="127"/>
      <c r="R167" s="137"/>
      <c r="S167" s="58" t="str" cm="1">
        <f>IF(ISBLANK($A167),"",INDEX(Array_ElectricalCharges,MATCH($A167,List_ElectricityMeters,0),ROUNDUP(COLUMN()/3,0)-2))</f>
        <v/>
      </c>
      <c r="T167" s="127"/>
      <c r="U167" s="137"/>
      <c r="V167" s="58" t="str" cm="1">
        <f>IF(ISBLANK($A167),"",INDEX(Array_ElectricalCharges,MATCH($A167,List_ElectricityMeters,0),ROUNDUP(COLUMN()/3,0)-2))</f>
        <v/>
      </c>
      <c r="W167" s="127"/>
      <c r="X167" s="137"/>
      <c r="Y167" s="58" t="str" cm="1">
        <f>IF(ISBLANK($A167),"",INDEX(Array_ElectricalCharges,MATCH($A167,List_ElectricityMeters,0),ROUNDUP(COLUMN()/3,0)-2))</f>
        <v/>
      </c>
      <c r="Z167" s="127"/>
      <c r="AA167" s="137"/>
      <c r="AB167" s="58" t="str" cm="1">
        <f>IF(ISBLANK($A167),"",INDEX(Array_ElectricalCharges,MATCH($A167,List_ElectricityMeters,0),ROUNDUP(COLUMN()/3,0)-2))</f>
        <v/>
      </c>
      <c r="AC167" s="127"/>
      <c r="AD167" s="137"/>
      <c r="AE167" s="58" t="str" cm="1">
        <f>IF(ISBLANK($A167),"",INDEX(Array_ElectricalCharges,MATCH($A167,List_ElectricityMeters,0),ROUNDUP(COLUMN()/3,0)-2))</f>
        <v/>
      </c>
      <c r="AF167" s="127"/>
      <c r="AG167" s="137"/>
      <c r="AH167" s="58" t="str" cm="1">
        <f>IF(ISBLANK($A167),"",INDEX(Array_ElectricalCharges,MATCH($A167,List_ElectricityMeters,0),ROUNDUP(COLUMN()/3,0)-2))</f>
        <v/>
      </c>
      <c r="AI167" s="127"/>
      <c r="AJ167" s="137"/>
      <c r="AK167" s="58" t="str" cm="1">
        <f>IF(ISBLANK($A167),"",INDEX(Array_ElectricalCharges,MATCH($A167,List_ElectricityMeters,0),ROUNDUP(COLUMN()/3,0)-2))</f>
        <v/>
      </c>
      <c r="AL167" s="127"/>
      <c r="AM167" s="137"/>
      <c r="AN167" s="58" t="str" cm="1">
        <f>IF(ISBLANK($A167),"",INDEX(Array_ElectricalCharges,MATCH($A167,List_ElectricityMeters,0),ROUNDUP(COLUMN()/3,0)-2))</f>
        <v/>
      </c>
      <c r="AO167" s="127"/>
      <c r="AP167" s="137"/>
      <c r="AQ167" s="58" t="str" cm="1">
        <f>IF(ISBLANK($A167),"",INDEX(Array_ElectricalCharges,MATCH($A167,List_ElectricityMeters,0),ROUNDUP(COLUMN()/3,0)-2))</f>
        <v/>
      </c>
      <c r="AR167" s="127"/>
      <c r="AS167" s="137"/>
      <c r="AT167" s="58" t="str" cm="1">
        <f>IF(ISBLANK($A167),"",INDEX(Array_ElectricalCharges,MATCH($A167,List_ElectricityMeters,0),ROUNDUP(COLUMN()/3,0)-2))</f>
        <v/>
      </c>
      <c r="AU167" s="127"/>
      <c r="AV167" s="137"/>
      <c r="AW167" s="58" t="str" cm="1">
        <f>IF(ISBLANK($A167),"",INDEX(Array_ElectricalCharges,MATCH($A167,List_ElectricityMeters,0),ROUNDUP(COLUMN()/3,0)-2))</f>
        <v/>
      </c>
      <c r="AX167" s="127"/>
      <c r="AY167" s="137"/>
    </row>
    <row r="168" spans="1:51" x14ac:dyDescent="0.3">
      <c r="A168" s="126"/>
      <c r="B168" s="133"/>
      <c r="C168" s="134"/>
      <c r="D168" s="134"/>
      <c r="E168" s="135"/>
      <c r="F168" s="136"/>
      <c r="G168" s="58" t="str" cm="1">
        <f>IF(ISBLANK($A168),"",INDEX(Array_ElectricalCharges,MATCH($A168,List_ElectricityMeters,0),ROUNDUP(COLUMN()/3,0)-2))</f>
        <v/>
      </c>
      <c r="H168" s="127"/>
      <c r="I168" s="137"/>
      <c r="J168" s="58" t="str" cm="1">
        <f>IF(ISBLANK($A168),"",INDEX(Array_ElectricalCharges,MATCH($A168,List_ElectricityMeters,0),ROUNDUP(COLUMN()/3,0)-2))</f>
        <v/>
      </c>
      <c r="K168" s="127"/>
      <c r="L168" s="137"/>
      <c r="M168" s="58" t="str" cm="1">
        <f>IF(ISBLANK($A168),"",INDEX(Array_ElectricalCharges,MATCH($A168,List_ElectricityMeters,0),ROUNDUP(COLUMN()/3,0)-2))</f>
        <v/>
      </c>
      <c r="N168" s="127"/>
      <c r="O168" s="137"/>
      <c r="P168" s="58" t="str" cm="1">
        <f>IF(ISBLANK($A168),"",INDEX(Array_ElectricalCharges,MATCH($A168,List_ElectricityMeters,0),ROUNDUP(COLUMN()/3,0)-2))</f>
        <v/>
      </c>
      <c r="Q168" s="127"/>
      <c r="R168" s="137"/>
      <c r="S168" s="58" t="str" cm="1">
        <f>IF(ISBLANK($A168),"",INDEX(Array_ElectricalCharges,MATCH($A168,List_ElectricityMeters,0),ROUNDUP(COLUMN()/3,0)-2))</f>
        <v/>
      </c>
      <c r="T168" s="127"/>
      <c r="U168" s="137"/>
      <c r="V168" s="58" t="str" cm="1">
        <f>IF(ISBLANK($A168),"",INDEX(Array_ElectricalCharges,MATCH($A168,List_ElectricityMeters,0),ROUNDUP(COLUMN()/3,0)-2))</f>
        <v/>
      </c>
      <c r="W168" s="127"/>
      <c r="X168" s="137"/>
      <c r="Y168" s="58" t="str" cm="1">
        <f>IF(ISBLANK($A168),"",INDEX(Array_ElectricalCharges,MATCH($A168,List_ElectricityMeters,0),ROUNDUP(COLUMN()/3,0)-2))</f>
        <v/>
      </c>
      <c r="Z168" s="127"/>
      <c r="AA168" s="137"/>
      <c r="AB168" s="58" t="str" cm="1">
        <f>IF(ISBLANK($A168),"",INDEX(Array_ElectricalCharges,MATCH($A168,List_ElectricityMeters,0),ROUNDUP(COLUMN()/3,0)-2))</f>
        <v/>
      </c>
      <c r="AC168" s="127"/>
      <c r="AD168" s="137"/>
      <c r="AE168" s="58" t="str" cm="1">
        <f>IF(ISBLANK($A168),"",INDEX(Array_ElectricalCharges,MATCH($A168,List_ElectricityMeters,0),ROUNDUP(COLUMN()/3,0)-2))</f>
        <v/>
      </c>
      <c r="AF168" s="127"/>
      <c r="AG168" s="137"/>
      <c r="AH168" s="58" t="str" cm="1">
        <f>IF(ISBLANK($A168),"",INDEX(Array_ElectricalCharges,MATCH($A168,List_ElectricityMeters,0),ROUNDUP(COLUMN()/3,0)-2))</f>
        <v/>
      </c>
      <c r="AI168" s="127"/>
      <c r="AJ168" s="137"/>
      <c r="AK168" s="58" t="str" cm="1">
        <f>IF(ISBLANK($A168),"",INDEX(Array_ElectricalCharges,MATCH($A168,List_ElectricityMeters,0),ROUNDUP(COLUMN()/3,0)-2))</f>
        <v/>
      </c>
      <c r="AL168" s="127"/>
      <c r="AM168" s="137"/>
      <c r="AN168" s="58" t="str" cm="1">
        <f>IF(ISBLANK($A168),"",INDEX(Array_ElectricalCharges,MATCH($A168,List_ElectricityMeters,0),ROUNDUP(COLUMN()/3,0)-2))</f>
        <v/>
      </c>
      <c r="AO168" s="127"/>
      <c r="AP168" s="137"/>
      <c r="AQ168" s="58" t="str" cm="1">
        <f>IF(ISBLANK($A168),"",INDEX(Array_ElectricalCharges,MATCH($A168,List_ElectricityMeters,0),ROUNDUP(COLUMN()/3,0)-2))</f>
        <v/>
      </c>
      <c r="AR168" s="127"/>
      <c r="AS168" s="137"/>
      <c r="AT168" s="58" t="str" cm="1">
        <f>IF(ISBLANK($A168),"",INDEX(Array_ElectricalCharges,MATCH($A168,List_ElectricityMeters,0),ROUNDUP(COLUMN()/3,0)-2))</f>
        <v/>
      </c>
      <c r="AU168" s="127"/>
      <c r="AV168" s="137"/>
      <c r="AW168" s="58" t="str" cm="1">
        <f>IF(ISBLANK($A168),"",INDEX(Array_ElectricalCharges,MATCH($A168,List_ElectricityMeters,0),ROUNDUP(COLUMN()/3,0)-2))</f>
        <v/>
      </c>
      <c r="AX168" s="127"/>
      <c r="AY168" s="137"/>
    </row>
    <row r="169" spans="1:51" x14ac:dyDescent="0.3">
      <c r="A169" s="126"/>
      <c r="B169" s="133"/>
      <c r="C169" s="134"/>
      <c r="D169" s="134"/>
      <c r="E169" s="135"/>
      <c r="F169" s="136"/>
      <c r="G169" s="58" t="str" cm="1">
        <f>IF(ISBLANK($A169),"",INDEX(Array_ElectricalCharges,MATCH($A169,List_ElectricityMeters,0),ROUNDUP(COLUMN()/3,0)-2))</f>
        <v/>
      </c>
      <c r="H169" s="127"/>
      <c r="I169" s="137"/>
      <c r="J169" s="58" t="str" cm="1">
        <f>IF(ISBLANK($A169),"",INDEX(Array_ElectricalCharges,MATCH($A169,List_ElectricityMeters,0),ROUNDUP(COLUMN()/3,0)-2))</f>
        <v/>
      </c>
      <c r="K169" s="127"/>
      <c r="L169" s="137"/>
      <c r="M169" s="58" t="str" cm="1">
        <f>IF(ISBLANK($A169),"",INDEX(Array_ElectricalCharges,MATCH($A169,List_ElectricityMeters,0),ROUNDUP(COLUMN()/3,0)-2))</f>
        <v/>
      </c>
      <c r="N169" s="127"/>
      <c r="O169" s="137"/>
      <c r="P169" s="58" t="str" cm="1">
        <f>IF(ISBLANK($A169),"",INDEX(Array_ElectricalCharges,MATCH($A169,List_ElectricityMeters,0),ROUNDUP(COLUMN()/3,0)-2))</f>
        <v/>
      </c>
      <c r="Q169" s="127"/>
      <c r="R169" s="137"/>
      <c r="S169" s="58" t="str" cm="1">
        <f>IF(ISBLANK($A169),"",INDEX(Array_ElectricalCharges,MATCH($A169,List_ElectricityMeters,0),ROUNDUP(COLUMN()/3,0)-2))</f>
        <v/>
      </c>
      <c r="T169" s="127"/>
      <c r="U169" s="137"/>
      <c r="V169" s="58" t="str" cm="1">
        <f>IF(ISBLANK($A169),"",INDEX(Array_ElectricalCharges,MATCH($A169,List_ElectricityMeters,0),ROUNDUP(COLUMN()/3,0)-2))</f>
        <v/>
      </c>
      <c r="W169" s="127"/>
      <c r="X169" s="137"/>
      <c r="Y169" s="58" t="str" cm="1">
        <f>IF(ISBLANK($A169),"",INDEX(Array_ElectricalCharges,MATCH($A169,List_ElectricityMeters,0),ROUNDUP(COLUMN()/3,0)-2))</f>
        <v/>
      </c>
      <c r="Z169" s="127"/>
      <c r="AA169" s="137"/>
      <c r="AB169" s="58" t="str" cm="1">
        <f>IF(ISBLANK($A169),"",INDEX(Array_ElectricalCharges,MATCH($A169,List_ElectricityMeters,0),ROUNDUP(COLUMN()/3,0)-2))</f>
        <v/>
      </c>
      <c r="AC169" s="127"/>
      <c r="AD169" s="137"/>
      <c r="AE169" s="58" t="str" cm="1">
        <f>IF(ISBLANK($A169),"",INDEX(Array_ElectricalCharges,MATCH($A169,List_ElectricityMeters,0),ROUNDUP(COLUMN()/3,0)-2))</f>
        <v/>
      </c>
      <c r="AF169" s="127"/>
      <c r="AG169" s="137"/>
      <c r="AH169" s="58" t="str" cm="1">
        <f>IF(ISBLANK($A169),"",INDEX(Array_ElectricalCharges,MATCH($A169,List_ElectricityMeters,0),ROUNDUP(COLUMN()/3,0)-2))</f>
        <v/>
      </c>
      <c r="AI169" s="127"/>
      <c r="AJ169" s="137"/>
      <c r="AK169" s="58" t="str" cm="1">
        <f>IF(ISBLANK($A169),"",INDEX(Array_ElectricalCharges,MATCH($A169,List_ElectricityMeters,0),ROUNDUP(COLUMN()/3,0)-2))</f>
        <v/>
      </c>
      <c r="AL169" s="127"/>
      <c r="AM169" s="137"/>
      <c r="AN169" s="58" t="str" cm="1">
        <f>IF(ISBLANK($A169),"",INDEX(Array_ElectricalCharges,MATCH($A169,List_ElectricityMeters,0),ROUNDUP(COLUMN()/3,0)-2))</f>
        <v/>
      </c>
      <c r="AO169" s="127"/>
      <c r="AP169" s="137"/>
      <c r="AQ169" s="58" t="str" cm="1">
        <f>IF(ISBLANK($A169),"",INDEX(Array_ElectricalCharges,MATCH($A169,List_ElectricityMeters,0),ROUNDUP(COLUMN()/3,0)-2))</f>
        <v/>
      </c>
      <c r="AR169" s="127"/>
      <c r="AS169" s="137"/>
      <c r="AT169" s="58" t="str" cm="1">
        <f>IF(ISBLANK($A169),"",INDEX(Array_ElectricalCharges,MATCH($A169,List_ElectricityMeters,0),ROUNDUP(COLUMN()/3,0)-2))</f>
        <v/>
      </c>
      <c r="AU169" s="127"/>
      <c r="AV169" s="137"/>
      <c r="AW169" s="58" t="str" cm="1">
        <f>IF(ISBLANK($A169),"",INDEX(Array_ElectricalCharges,MATCH($A169,List_ElectricityMeters,0),ROUNDUP(COLUMN()/3,0)-2))</f>
        <v/>
      </c>
      <c r="AX169" s="127"/>
      <c r="AY169" s="137"/>
    </row>
    <row r="170" spans="1:51" x14ac:dyDescent="0.3">
      <c r="A170" s="126"/>
      <c r="B170" s="133"/>
      <c r="C170" s="134"/>
      <c r="D170" s="134"/>
      <c r="E170" s="135"/>
      <c r="F170" s="136"/>
      <c r="G170" s="58" t="str" cm="1">
        <f>IF(ISBLANK($A170),"",INDEX(Array_ElectricalCharges,MATCH($A170,List_ElectricityMeters,0),ROUNDUP(COLUMN()/3,0)-2))</f>
        <v/>
      </c>
      <c r="H170" s="127"/>
      <c r="I170" s="137"/>
      <c r="J170" s="58" t="str" cm="1">
        <f>IF(ISBLANK($A170),"",INDEX(Array_ElectricalCharges,MATCH($A170,List_ElectricityMeters,0),ROUNDUP(COLUMN()/3,0)-2))</f>
        <v/>
      </c>
      <c r="K170" s="127"/>
      <c r="L170" s="137"/>
      <c r="M170" s="58" t="str" cm="1">
        <f>IF(ISBLANK($A170),"",INDEX(Array_ElectricalCharges,MATCH($A170,List_ElectricityMeters,0),ROUNDUP(COLUMN()/3,0)-2))</f>
        <v/>
      </c>
      <c r="N170" s="127"/>
      <c r="O170" s="137"/>
      <c r="P170" s="58" t="str" cm="1">
        <f>IF(ISBLANK($A170),"",INDEX(Array_ElectricalCharges,MATCH($A170,List_ElectricityMeters,0),ROUNDUP(COLUMN()/3,0)-2))</f>
        <v/>
      </c>
      <c r="Q170" s="127"/>
      <c r="R170" s="137"/>
      <c r="S170" s="58" t="str" cm="1">
        <f>IF(ISBLANK($A170),"",INDEX(Array_ElectricalCharges,MATCH($A170,List_ElectricityMeters,0),ROUNDUP(COLUMN()/3,0)-2))</f>
        <v/>
      </c>
      <c r="T170" s="127"/>
      <c r="U170" s="137"/>
      <c r="V170" s="58" t="str" cm="1">
        <f>IF(ISBLANK($A170),"",INDEX(Array_ElectricalCharges,MATCH($A170,List_ElectricityMeters,0),ROUNDUP(COLUMN()/3,0)-2))</f>
        <v/>
      </c>
      <c r="W170" s="127"/>
      <c r="X170" s="137"/>
      <c r="Y170" s="58" t="str" cm="1">
        <f>IF(ISBLANK($A170),"",INDEX(Array_ElectricalCharges,MATCH($A170,List_ElectricityMeters,0),ROUNDUP(COLUMN()/3,0)-2))</f>
        <v/>
      </c>
      <c r="Z170" s="127"/>
      <c r="AA170" s="137"/>
      <c r="AB170" s="58" t="str" cm="1">
        <f>IF(ISBLANK($A170),"",INDEX(Array_ElectricalCharges,MATCH($A170,List_ElectricityMeters,0),ROUNDUP(COLUMN()/3,0)-2))</f>
        <v/>
      </c>
      <c r="AC170" s="127"/>
      <c r="AD170" s="137"/>
      <c r="AE170" s="58" t="str" cm="1">
        <f>IF(ISBLANK($A170),"",INDEX(Array_ElectricalCharges,MATCH($A170,List_ElectricityMeters,0),ROUNDUP(COLUMN()/3,0)-2))</f>
        <v/>
      </c>
      <c r="AF170" s="127"/>
      <c r="AG170" s="137"/>
      <c r="AH170" s="58" t="str" cm="1">
        <f>IF(ISBLANK($A170),"",INDEX(Array_ElectricalCharges,MATCH($A170,List_ElectricityMeters,0),ROUNDUP(COLUMN()/3,0)-2))</f>
        <v/>
      </c>
      <c r="AI170" s="127"/>
      <c r="AJ170" s="137"/>
      <c r="AK170" s="58" t="str" cm="1">
        <f>IF(ISBLANK($A170),"",INDEX(Array_ElectricalCharges,MATCH($A170,List_ElectricityMeters,0),ROUNDUP(COLUMN()/3,0)-2))</f>
        <v/>
      </c>
      <c r="AL170" s="127"/>
      <c r="AM170" s="137"/>
      <c r="AN170" s="58" t="str" cm="1">
        <f>IF(ISBLANK($A170),"",INDEX(Array_ElectricalCharges,MATCH($A170,List_ElectricityMeters,0),ROUNDUP(COLUMN()/3,0)-2))</f>
        <v/>
      </c>
      <c r="AO170" s="127"/>
      <c r="AP170" s="137"/>
      <c r="AQ170" s="58" t="str" cm="1">
        <f>IF(ISBLANK($A170),"",INDEX(Array_ElectricalCharges,MATCH($A170,List_ElectricityMeters,0),ROUNDUP(COLUMN()/3,0)-2))</f>
        <v/>
      </c>
      <c r="AR170" s="127"/>
      <c r="AS170" s="137"/>
      <c r="AT170" s="58" t="str" cm="1">
        <f>IF(ISBLANK($A170),"",INDEX(Array_ElectricalCharges,MATCH($A170,List_ElectricityMeters,0),ROUNDUP(COLUMN()/3,0)-2))</f>
        <v/>
      </c>
      <c r="AU170" s="127"/>
      <c r="AV170" s="137"/>
      <c r="AW170" s="58" t="str" cm="1">
        <f>IF(ISBLANK($A170),"",INDEX(Array_ElectricalCharges,MATCH($A170,List_ElectricityMeters,0),ROUNDUP(COLUMN()/3,0)-2))</f>
        <v/>
      </c>
      <c r="AX170" s="127"/>
      <c r="AY170" s="137"/>
    </row>
    <row r="171" spans="1:51" x14ac:dyDescent="0.3">
      <c r="A171" s="126"/>
      <c r="B171" s="133"/>
      <c r="C171" s="134"/>
      <c r="D171" s="134"/>
      <c r="E171" s="135"/>
      <c r="F171" s="136"/>
      <c r="G171" s="58" t="str" cm="1">
        <f>IF(ISBLANK($A171),"",INDEX(Array_ElectricalCharges,MATCH($A171,List_ElectricityMeters,0),ROUNDUP(COLUMN()/3,0)-2))</f>
        <v/>
      </c>
      <c r="H171" s="127"/>
      <c r="I171" s="137"/>
      <c r="J171" s="58" t="str" cm="1">
        <f>IF(ISBLANK($A171),"",INDEX(Array_ElectricalCharges,MATCH($A171,List_ElectricityMeters,0),ROUNDUP(COLUMN()/3,0)-2))</f>
        <v/>
      </c>
      <c r="K171" s="127"/>
      <c r="L171" s="137"/>
      <c r="M171" s="58" t="str" cm="1">
        <f>IF(ISBLANK($A171),"",INDEX(Array_ElectricalCharges,MATCH($A171,List_ElectricityMeters,0),ROUNDUP(COLUMN()/3,0)-2))</f>
        <v/>
      </c>
      <c r="N171" s="127"/>
      <c r="O171" s="137"/>
      <c r="P171" s="58" t="str" cm="1">
        <f>IF(ISBLANK($A171),"",INDEX(Array_ElectricalCharges,MATCH($A171,List_ElectricityMeters,0),ROUNDUP(COLUMN()/3,0)-2))</f>
        <v/>
      </c>
      <c r="Q171" s="127"/>
      <c r="R171" s="137"/>
      <c r="S171" s="58" t="str" cm="1">
        <f>IF(ISBLANK($A171),"",INDEX(Array_ElectricalCharges,MATCH($A171,List_ElectricityMeters,0),ROUNDUP(COLUMN()/3,0)-2))</f>
        <v/>
      </c>
      <c r="T171" s="127"/>
      <c r="U171" s="137"/>
      <c r="V171" s="58" t="str" cm="1">
        <f>IF(ISBLANK($A171),"",INDEX(Array_ElectricalCharges,MATCH($A171,List_ElectricityMeters,0),ROUNDUP(COLUMN()/3,0)-2))</f>
        <v/>
      </c>
      <c r="W171" s="127"/>
      <c r="X171" s="137"/>
      <c r="Y171" s="58" t="str" cm="1">
        <f>IF(ISBLANK($A171),"",INDEX(Array_ElectricalCharges,MATCH($A171,List_ElectricityMeters,0),ROUNDUP(COLUMN()/3,0)-2))</f>
        <v/>
      </c>
      <c r="Z171" s="127"/>
      <c r="AA171" s="137"/>
      <c r="AB171" s="58" t="str" cm="1">
        <f>IF(ISBLANK($A171),"",INDEX(Array_ElectricalCharges,MATCH($A171,List_ElectricityMeters,0),ROUNDUP(COLUMN()/3,0)-2))</f>
        <v/>
      </c>
      <c r="AC171" s="127"/>
      <c r="AD171" s="137"/>
      <c r="AE171" s="58" t="str" cm="1">
        <f>IF(ISBLANK($A171),"",INDEX(Array_ElectricalCharges,MATCH($A171,List_ElectricityMeters,0),ROUNDUP(COLUMN()/3,0)-2))</f>
        <v/>
      </c>
      <c r="AF171" s="127"/>
      <c r="AG171" s="137"/>
      <c r="AH171" s="58" t="str" cm="1">
        <f>IF(ISBLANK($A171),"",INDEX(Array_ElectricalCharges,MATCH($A171,List_ElectricityMeters,0),ROUNDUP(COLUMN()/3,0)-2))</f>
        <v/>
      </c>
      <c r="AI171" s="127"/>
      <c r="AJ171" s="137"/>
      <c r="AK171" s="58" t="str" cm="1">
        <f>IF(ISBLANK($A171),"",INDEX(Array_ElectricalCharges,MATCH($A171,List_ElectricityMeters,0),ROUNDUP(COLUMN()/3,0)-2))</f>
        <v/>
      </c>
      <c r="AL171" s="127"/>
      <c r="AM171" s="137"/>
      <c r="AN171" s="58" t="str" cm="1">
        <f>IF(ISBLANK($A171),"",INDEX(Array_ElectricalCharges,MATCH($A171,List_ElectricityMeters,0),ROUNDUP(COLUMN()/3,0)-2))</f>
        <v/>
      </c>
      <c r="AO171" s="127"/>
      <c r="AP171" s="137"/>
      <c r="AQ171" s="58" t="str" cm="1">
        <f>IF(ISBLANK($A171),"",INDEX(Array_ElectricalCharges,MATCH($A171,List_ElectricityMeters,0),ROUNDUP(COLUMN()/3,0)-2))</f>
        <v/>
      </c>
      <c r="AR171" s="127"/>
      <c r="AS171" s="137"/>
      <c r="AT171" s="58" t="str" cm="1">
        <f>IF(ISBLANK($A171),"",INDEX(Array_ElectricalCharges,MATCH($A171,List_ElectricityMeters,0),ROUNDUP(COLUMN()/3,0)-2))</f>
        <v/>
      </c>
      <c r="AU171" s="127"/>
      <c r="AV171" s="137"/>
      <c r="AW171" s="58" t="str" cm="1">
        <f>IF(ISBLANK($A171),"",INDEX(Array_ElectricalCharges,MATCH($A171,List_ElectricityMeters,0),ROUNDUP(COLUMN()/3,0)-2))</f>
        <v/>
      </c>
      <c r="AX171" s="127"/>
      <c r="AY171" s="137"/>
    </row>
    <row r="172" spans="1:51" x14ac:dyDescent="0.3">
      <c r="A172" s="126"/>
      <c r="B172" s="133"/>
      <c r="C172" s="134"/>
      <c r="D172" s="134"/>
      <c r="E172" s="135"/>
      <c r="F172" s="136"/>
      <c r="G172" s="58" t="str" cm="1">
        <f>IF(ISBLANK($A172),"",INDEX(Array_ElectricalCharges,MATCH($A172,List_ElectricityMeters,0),ROUNDUP(COLUMN()/3,0)-2))</f>
        <v/>
      </c>
      <c r="H172" s="127"/>
      <c r="I172" s="137"/>
      <c r="J172" s="58" t="str" cm="1">
        <f>IF(ISBLANK($A172),"",INDEX(Array_ElectricalCharges,MATCH($A172,List_ElectricityMeters,0),ROUNDUP(COLUMN()/3,0)-2))</f>
        <v/>
      </c>
      <c r="K172" s="127"/>
      <c r="L172" s="137"/>
      <c r="M172" s="58" t="str" cm="1">
        <f>IF(ISBLANK($A172),"",INDEX(Array_ElectricalCharges,MATCH($A172,List_ElectricityMeters,0),ROUNDUP(COLUMN()/3,0)-2))</f>
        <v/>
      </c>
      <c r="N172" s="127"/>
      <c r="O172" s="137"/>
      <c r="P172" s="58" t="str" cm="1">
        <f>IF(ISBLANK($A172),"",INDEX(Array_ElectricalCharges,MATCH($A172,List_ElectricityMeters,0),ROUNDUP(COLUMN()/3,0)-2))</f>
        <v/>
      </c>
      <c r="Q172" s="127"/>
      <c r="R172" s="137"/>
      <c r="S172" s="58" t="str" cm="1">
        <f>IF(ISBLANK($A172),"",INDEX(Array_ElectricalCharges,MATCH($A172,List_ElectricityMeters,0),ROUNDUP(COLUMN()/3,0)-2))</f>
        <v/>
      </c>
      <c r="T172" s="127"/>
      <c r="U172" s="137"/>
      <c r="V172" s="58" t="str" cm="1">
        <f>IF(ISBLANK($A172),"",INDEX(Array_ElectricalCharges,MATCH($A172,List_ElectricityMeters,0),ROUNDUP(COLUMN()/3,0)-2))</f>
        <v/>
      </c>
      <c r="W172" s="127"/>
      <c r="X172" s="137"/>
      <c r="Y172" s="58" t="str" cm="1">
        <f>IF(ISBLANK($A172),"",INDEX(Array_ElectricalCharges,MATCH($A172,List_ElectricityMeters,0),ROUNDUP(COLUMN()/3,0)-2))</f>
        <v/>
      </c>
      <c r="Z172" s="127"/>
      <c r="AA172" s="137"/>
      <c r="AB172" s="58" t="str" cm="1">
        <f>IF(ISBLANK($A172),"",INDEX(Array_ElectricalCharges,MATCH($A172,List_ElectricityMeters,0),ROUNDUP(COLUMN()/3,0)-2))</f>
        <v/>
      </c>
      <c r="AC172" s="127"/>
      <c r="AD172" s="137"/>
      <c r="AE172" s="58" t="str" cm="1">
        <f>IF(ISBLANK($A172),"",INDEX(Array_ElectricalCharges,MATCH($A172,List_ElectricityMeters,0),ROUNDUP(COLUMN()/3,0)-2))</f>
        <v/>
      </c>
      <c r="AF172" s="127"/>
      <c r="AG172" s="137"/>
      <c r="AH172" s="58" t="str" cm="1">
        <f>IF(ISBLANK($A172),"",INDEX(Array_ElectricalCharges,MATCH($A172,List_ElectricityMeters,0),ROUNDUP(COLUMN()/3,0)-2))</f>
        <v/>
      </c>
      <c r="AI172" s="127"/>
      <c r="AJ172" s="137"/>
      <c r="AK172" s="58" t="str" cm="1">
        <f>IF(ISBLANK($A172),"",INDEX(Array_ElectricalCharges,MATCH($A172,List_ElectricityMeters,0),ROUNDUP(COLUMN()/3,0)-2))</f>
        <v/>
      </c>
      <c r="AL172" s="127"/>
      <c r="AM172" s="137"/>
      <c r="AN172" s="58" t="str" cm="1">
        <f>IF(ISBLANK($A172),"",INDEX(Array_ElectricalCharges,MATCH($A172,List_ElectricityMeters,0),ROUNDUP(COLUMN()/3,0)-2))</f>
        <v/>
      </c>
      <c r="AO172" s="127"/>
      <c r="AP172" s="137"/>
      <c r="AQ172" s="58" t="str" cm="1">
        <f>IF(ISBLANK($A172),"",INDEX(Array_ElectricalCharges,MATCH($A172,List_ElectricityMeters,0),ROUNDUP(COLUMN()/3,0)-2))</f>
        <v/>
      </c>
      <c r="AR172" s="127"/>
      <c r="AS172" s="137"/>
      <c r="AT172" s="58" t="str" cm="1">
        <f>IF(ISBLANK($A172),"",INDEX(Array_ElectricalCharges,MATCH($A172,List_ElectricityMeters,0),ROUNDUP(COLUMN()/3,0)-2))</f>
        <v/>
      </c>
      <c r="AU172" s="127"/>
      <c r="AV172" s="137"/>
      <c r="AW172" s="58" t="str" cm="1">
        <f>IF(ISBLANK($A172),"",INDEX(Array_ElectricalCharges,MATCH($A172,List_ElectricityMeters,0),ROUNDUP(COLUMN()/3,0)-2))</f>
        <v/>
      </c>
      <c r="AX172" s="127"/>
      <c r="AY172" s="137"/>
    </row>
    <row r="173" spans="1:51" x14ac:dyDescent="0.3">
      <c r="A173" s="126"/>
      <c r="B173" s="133"/>
      <c r="C173" s="134"/>
      <c r="D173" s="134"/>
      <c r="E173" s="135"/>
      <c r="F173" s="136"/>
      <c r="G173" s="58" t="str" cm="1">
        <f>IF(ISBLANK($A173),"",INDEX(Array_ElectricalCharges,MATCH($A173,List_ElectricityMeters,0),ROUNDUP(COLUMN()/3,0)-2))</f>
        <v/>
      </c>
      <c r="H173" s="127"/>
      <c r="I173" s="137"/>
      <c r="J173" s="58" t="str" cm="1">
        <f>IF(ISBLANK($A173),"",INDEX(Array_ElectricalCharges,MATCH($A173,List_ElectricityMeters,0),ROUNDUP(COLUMN()/3,0)-2))</f>
        <v/>
      </c>
      <c r="K173" s="127"/>
      <c r="L173" s="137"/>
      <c r="M173" s="58" t="str" cm="1">
        <f>IF(ISBLANK($A173),"",INDEX(Array_ElectricalCharges,MATCH($A173,List_ElectricityMeters,0),ROUNDUP(COLUMN()/3,0)-2))</f>
        <v/>
      </c>
      <c r="N173" s="127"/>
      <c r="O173" s="137"/>
      <c r="P173" s="58" t="str" cm="1">
        <f>IF(ISBLANK($A173),"",INDEX(Array_ElectricalCharges,MATCH($A173,List_ElectricityMeters,0),ROUNDUP(COLUMN()/3,0)-2))</f>
        <v/>
      </c>
      <c r="Q173" s="127"/>
      <c r="R173" s="137"/>
      <c r="S173" s="58" t="str" cm="1">
        <f>IF(ISBLANK($A173),"",INDEX(Array_ElectricalCharges,MATCH($A173,List_ElectricityMeters,0),ROUNDUP(COLUMN()/3,0)-2))</f>
        <v/>
      </c>
      <c r="T173" s="127"/>
      <c r="U173" s="137"/>
      <c r="V173" s="58" t="str" cm="1">
        <f>IF(ISBLANK($A173),"",INDEX(Array_ElectricalCharges,MATCH($A173,List_ElectricityMeters,0),ROUNDUP(COLUMN()/3,0)-2))</f>
        <v/>
      </c>
      <c r="W173" s="127"/>
      <c r="X173" s="137"/>
      <c r="Y173" s="58" t="str" cm="1">
        <f>IF(ISBLANK($A173),"",INDEX(Array_ElectricalCharges,MATCH($A173,List_ElectricityMeters,0),ROUNDUP(COLUMN()/3,0)-2))</f>
        <v/>
      </c>
      <c r="Z173" s="127"/>
      <c r="AA173" s="137"/>
      <c r="AB173" s="58" t="str" cm="1">
        <f>IF(ISBLANK($A173),"",INDEX(Array_ElectricalCharges,MATCH($A173,List_ElectricityMeters,0),ROUNDUP(COLUMN()/3,0)-2))</f>
        <v/>
      </c>
      <c r="AC173" s="127"/>
      <c r="AD173" s="137"/>
      <c r="AE173" s="58" t="str" cm="1">
        <f>IF(ISBLANK($A173),"",INDEX(Array_ElectricalCharges,MATCH($A173,List_ElectricityMeters,0),ROUNDUP(COLUMN()/3,0)-2))</f>
        <v/>
      </c>
      <c r="AF173" s="127"/>
      <c r="AG173" s="137"/>
      <c r="AH173" s="58" t="str" cm="1">
        <f>IF(ISBLANK($A173),"",INDEX(Array_ElectricalCharges,MATCH($A173,List_ElectricityMeters,0),ROUNDUP(COLUMN()/3,0)-2))</f>
        <v/>
      </c>
      <c r="AI173" s="127"/>
      <c r="AJ173" s="137"/>
      <c r="AK173" s="58" t="str" cm="1">
        <f>IF(ISBLANK($A173),"",INDEX(Array_ElectricalCharges,MATCH($A173,List_ElectricityMeters,0),ROUNDUP(COLUMN()/3,0)-2))</f>
        <v/>
      </c>
      <c r="AL173" s="127"/>
      <c r="AM173" s="137"/>
      <c r="AN173" s="58" t="str" cm="1">
        <f>IF(ISBLANK($A173),"",INDEX(Array_ElectricalCharges,MATCH($A173,List_ElectricityMeters,0),ROUNDUP(COLUMN()/3,0)-2))</f>
        <v/>
      </c>
      <c r="AO173" s="127"/>
      <c r="AP173" s="137"/>
      <c r="AQ173" s="58" t="str" cm="1">
        <f>IF(ISBLANK($A173),"",INDEX(Array_ElectricalCharges,MATCH($A173,List_ElectricityMeters,0),ROUNDUP(COLUMN()/3,0)-2))</f>
        <v/>
      </c>
      <c r="AR173" s="127"/>
      <c r="AS173" s="137"/>
      <c r="AT173" s="58" t="str" cm="1">
        <f>IF(ISBLANK($A173),"",INDEX(Array_ElectricalCharges,MATCH($A173,List_ElectricityMeters,0),ROUNDUP(COLUMN()/3,0)-2))</f>
        <v/>
      </c>
      <c r="AU173" s="127"/>
      <c r="AV173" s="137"/>
      <c r="AW173" s="58" t="str" cm="1">
        <f>IF(ISBLANK($A173),"",INDEX(Array_ElectricalCharges,MATCH($A173,List_ElectricityMeters,0),ROUNDUP(COLUMN()/3,0)-2))</f>
        <v/>
      </c>
      <c r="AX173" s="127"/>
      <c r="AY173" s="137"/>
    </row>
    <row r="174" spans="1:51" x14ac:dyDescent="0.3">
      <c r="A174" s="126"/>
      <c r="B174" s="133"/>
      <c r="C174" s="134"/>
      <c r="D174" s="134"/>
      <c r="E174" s="135"/>
      <c r="F174" s="136"/>
      <c r="G174" s="58" t="str" cm="1">
        <f>IF(ISBLANK($A174),"",INDEX(Array_ElectricalCharges,MATCH($A174,List_ElectricityMeters,0),ROUNDUP(COLUMN()/3,0)-2))</f>
        <v/>
      </c>
      <c r="H174" s="127"/>
      <c r="I174" s="137"/>
      <c r="J174" s="58" t="str" cm="1">
        <f>IF(ISBLANK($A174),"",INDEX(Array_ElectricalCharges,MATCH($A174,List_ElectricityMeters,0),ROUNDUP(COLUMN()/3,0)-2))</f>
        <v/>
      </c>
      <c r="K174" s="127"/>
      <c r="L174" s="137"/>
      <c r="M174" s="58" t="str" cm="1">
        <f>IF(ISBLANK($A174),"",INDEX(Array_ElectricalCharges,MATCH($A174,List_ElectricityMeters,0),ROUNDUP(COLUMN()/3,0)-2))</f>
        <v/>
      </c>
      <c r="N174" s="127"/>
      <c r="O174" s="137"/>
      <c r="P174" s="58" t="str" cm="1">
        <f>IF(ISBLANK($A174),"",INDEX(Array_ElectricalCharges,MATCH($A174,List_ElectricityMeters,0),ROUNDUP(COLUMN()/3,0)-2))</f>
        <v/>
      </c>
      <c r="Q174" s="127"/>
      <c r="R174" s="137"/>
      <c r="S174" s="58" t="str" cm="1">
        <f>IF(ISBLANK($A174),"",INDEX(Array_ElectricalCharges,MATCH($A174,List_ElectricityMeters,0),ROUNDUP(COLUMN()/3,0)-2))</f>
        <v/>
      </c>
      <c r="T174" s="127"/>
      <c r="U174" s="137"/>
      <c r="V174" s="58" t="str" cm="1">
        <f>IF(ISBLANK($A174),"",INDEX(Array_ElectricalCharges,MATCH($A174,List_ElectricityMeters,0),ROUNDUP(COLUMN()/3,0)-2))</f>
        <v/>
      </c>
      <c r="W174" s="127"/>
      <c r="X174" s="137"/>
      <c r="Y174" s="58" t="str" cm="1">
        <f>IF(ISBLANK($A174),"",INDEX(Array_ElectricalCharges,MATCH($A174,List_ElectricityMeters,0),ROUNDUP(COLUMN()/3,0)-2))</f>
        <v/>
      </c>
      <c r="Z174" s="127"/>
      <c r="AA174" s="137"/>
      <c r="AB174" s="58" t="str" cm="1">
        <f>IF(ISBLANK($A174),"",INDEX(Array_ElectricalCharges,MATCH($A174,List_ElectricityMeters,0),ROUNDUP(COLUMN()/3,0)-2))</f>
        <v/>
      </c>
      <c r="AC174" s="127"/>
      <c r="AD174" s="137"/>
      <c r="AE174" s="58" t="str" cm="1">
        <f>IF(ISBLANK($A174),"",INDEX(Array_ElectricalCharges,MATCH($A174,List_ElectricityMeters,0),ROUNDUP(COLUMN()/3,0)-2))</f>
        <v/>
      </c>
      <c r="AF174" s="127"/>
      <c r="AG174" s="137"/>
      <c r="AH174" s="58" t="str" cm="1">
        <f>IF(ISBLANK($A174),"",INDEX(Array_ElectricalCharges,MATCH($A174,List_ElectricityMeters,0),ROUNDUP(COLUMN()/3,0)-2))</f>
        <v/>
      </c>
      <c r="AI174" s="127"/>
      <c r="AJ174" s="137"/>
      <c r="AK174" s="58" t="str" cm="1">
        <f>IF(ISBLANK($A174),"",INDEX(Array_ElectricalCharges,MATCH($A174,List_ElectricityMeters,0),ROUNDUP(COLUMN()/3,0)-2))</f>
        <v/>
      </c>
      <c r="AL174" s="127"/>
      <c r="AM174" s="137"/>
      <c r="AN174" s="58" t="str" cm="1">
        <f>IF(ISBLANK($A174),"",INDEX(Array_ElectricalCharges,MATCH($A174,List_ElectricityMeters,0),ROUNDUP(COLUMN()/3,0)-2))</f>
        <v/>
      </c>
      <c r="AO174" s="127"/>
      <c r="AP174" s="137"/>
      <c r="AQ174" s="58" t="str" cm="1">
        <f>IF(ISBLANK($A174),"",INDEX(Array_ElectricalCharges,MATCH($A174,List_ElectricityMeters,0),ROUNDUP(COLUMN()/3,0)-2))</f>
        <v/>
      </c>
      <c r="AR174" s="127"/>
      <c r="AS174" s="137"/>
      <c r="AT174" s="58" t="str" cm="1">
        <f>IF(ISBLANK($A174),"",INDEX(Array_ElectricalCharges,MATCH($A174,List_ElectricityMeters,0),ROUNDUP(COLUMN()/3,0)-2))</f>
        <v/>
      </c>
      <c r="AU174" s="127"/>
      <c r="AV174" s="137"/>
      <c r="AW174" s="58" t="str" cm="1">
        <f>IF(ISBLANK($A174),"",INDEX(Array_ElectricalCharges,MATCH($A174,List_ElectricityMeters,0),ROUNDUP(COLUMN()/3,0)-2))</f>
        <v/>
      </c>
      <c r="AX174" s="127"/>
      <c r="AY174" s="137"/>
    </row>
    <row r="175" spans="1:51" x14ac:dyDescent="0.3">
      <c r="A175" s="126"/>
      <c r="B175" s="133"/>
      <c r="C175" s="134"/>
      <c r="D175" s="134"/>
      <c r="E175" s="135"/>
      <c r="F175" s="136"/>
      <c r="G175" s="58" t="str" cm="1">
        <f>IF(ISBLANK($A175),"",INDEX(Array_ElectricalCharges,MATCH($A175,List_ElectricityMeters,0),ROUNDUP(COLUMN()/3,0)-2))</f>
        <v/>
      </c>
      <c r="H175" s="127"/>
      <c r="I175" s="137"/>
      <c r="J175" s="58" t="str" cm="1">
        <f>IF(ISBLANK($A175),"",INDEX(Array_ElectricalCharges,MATCH($A175,List_ElectricityMeters,0),ROUNDUP(COLUMN()/3,0)-2))</f>
        <v/>
      </c>
      <c r="K175" s="127"/>
      <c r="L175" s="137"/>
      <c r="M175" s="58" t="str" cm="1">
        <f>IF(ISBLANK($A175),"",INDEX(Array_ElectricalCharges,MATCH($A175,List_ElectricityMeters,0),ROUNDUP(COLUMN()/3,0)-2))</f>
        <v/>
      </c>
      <c r="N175" s="127"/>
      <c r="O175" s="137"/>
      <c r="P175" s="58" t="str" cm="1">
        <f>IF(ISBLANK($A175),"",INDEX(Array_ElectricalCharges,MATCH($A175,List_ElectricityMeters,0),ROUNDUP(COLUMN()/3,0)-2))</f>
        <v/>
      </c>
      <c r="Q175" s="127"/>
      <c r="R175" s="137"/>
      <c r="S175" s="58" t="str" cm="1">
        <f>IF(ISBLANK($A175),"",INDEX(Array_ElectricalCharges,MATCH($A175,List_ElectricityMeters,0),ROUNDUP(COLUMN()/3,0)-2))</f>
        <v/>
      </c>
      <c r="T175" s="127"/>
      <c r="U175" s="137"/>
      <c r="V175" s="58" t="str" cm="1">
        <f>IF(ISBLANK($A175),"",INDEX(Array_ElectricalCharges,MATCH($A175,List_ElectricityMeters,0),ROUNDUP(COLUMN()/3,0)-2))</f>
        <v/>
      </c>
      <c r="W175" s="127"/>
      <c r="X175" s="137"/>
      <c r="Y175" s="58" t="str" cm="1">
        <f>IF(ISBLANK($A175),"",INDEX(Array_ElectricalCharges,MATCH($A175,List_ElectricityMeters,0),ROUNDUP(COLUMN()/3,0)-2))</f>
        <v/>
      </c>
      <c r="Z175" s="127"/>
      <c r="AA175" s="137"/>
      <c r="AB175" s="58" t="str" cm="1">
        <f>IF(ISBLANK($A175),"",INDEX(Array_ElectricalCharges,MATCH($A175,List_ElectricityMeters,0),ROUNDUP(COLUMN()/3,0)-2))</f>
        <v/>
      </c>
      <c r="AC175" s="127"/>
      <c r="AD175" s="137"/>
      <c r="AE175" s="58" t="str" cm="1">
        <f>IF(ISBLANK($A175),"",INDEX(Array_ElectricalCharges,MATCH($A175,List_ElectricityMeters,0),ROUNDUP(COLUMN()/3,0)-2))</f>
        <v/>
      </c>
      <c r="AF175" s="127"/>
      <c r="AG175" s="137"/>
      <c r="AH175" s="58" t="str" cm="1">
        <f>IF(ISBLANK($A175),"",INDEX(Array_ElectricalCharges,MATCH($A175,List_ElectricityMeters,0),ROUNDUP(COLUMN()/3,0)-2))</f>
        <v/>
      </c>
      <c r="AI175" s="127"/>
      <c r="AJ175" s="137"/>
      <c r="AK175" s="58" t="str" cm="1">
        <f>IF(ISBLANK($A175),"",INDEX(Array_ElectricalCharges,MATCH($A175,List_ElectricityMeters,0),ROUNDUP(COLUMN()/3,0)-2))</f>
        <v/>
      </c>
      <c r="AL175" s="127"/>
      <c r="AM175" s="137"/>
      <c r="AN175" s="58" t="str" cm="1">
        <f>IF(ISBLANK($A175),"",INDEX(Array_ElectricalCharges,MATCH($A175,List_ElectricityMeters,0),ROUNDUP(COLUMN()/3,0)-2))</f>
        <v/>
      </c>
      <c r="AO175" s="127"/>
      <c r="AP175" s="137"/>
      <c r="AQ175" s="58" t="str" cm="1">
        <f>IF(ISBLANK($A175),"",INDEX(Array_ElectricalCharges,MATCH($A175,List_ElectricityMeters,0),ROUNDUP(COLUMN()/3,0)-2))</f>
        <v/>
      </c>
      <c r="AR175" s="127"/>
      <c r="AS175" s="137"/>
      <c r="AT175" s="58" t="str" cm="1">
        <f>IF(ISBLANK($A175),"",INDEX(Array_ElectricalCharges,MATCH($A175,List_ElectricityMeters,0),ROUNDUP(COLUMN()/3,0)-2))</f>
        <v/>
      </c>
      <c r="AU175" s="127"/>
      <c r="AV175" s="137"/>
      <c r="AW175" s="58" t="str" cm="1">
        <f>IF(ISBLANK($A175),"",INDEX(Array_ElectricalCharges,MATCH($A175,List_ElectricityMeters,0),ROUNDUP(COLUMN()/3,0)-2))</f>
        <v/>
      </c>
      <c r="AX175" s="127"/>
      <c r="AY175" s="137"/>
    </row>
    <row r="176" spans="1:51" x14ac:dyDescent="0.3">
      <c r="A176" s="126"/>
      <c r="B176" s="133"/>
      <c r="C176" s="134"/>
      <c r="D176" s="134"/>
      <c r="E176" s="135"/>
      <c r="F176" s="136"/>
      <c r="G176" s="58" t="str" cm="1">
        <f>IF(ISBLANK($A176),"",INDEX(Array_ElectricalCharges,MATCH($A176,List_ElectricityMeters,0),ROUNDUP(COLUMN()/3,0)-2))</f>
        <v/>
      </c>
      <c r="H176" s="127"/>
      <c r="I176" s="137"/>
      <c r="J176" s="58" t="str" cm="1">
        <f>IF(ISBLANK($A176),"",INDEX(Array_ElectricalCharges,MATCH($A176,List_ElectricityMeters,0),ROUNDUP(COLUMN()/3,0)-2))</f>
        <v/>
      </c>
      <c r="K176" s="127"/>
      <c r="L176" s="137"/>
      <c r="M176" s="58" t="str" cm="1">
        <f>IF(ISBLANK($A176),"",INDEX(Array_ElectricalCharges,MATCH($A176,List_ElectricityMeters,0),ROUNDUP(COLUMN()/3,0)-2))</f>
        <v/>
      </c>
      <c r="N176" s="127"/>
      <c r="O176" s="137"/>
      <c r="P176" s="58" t="str" cm="1">
        <f>IF(ISBLANK($A176),"",INDEX(Array_ElectricalCharges,MATCH($A176,List_ElectricityMeters,0),ROUNDUP(COLUMN()/3,0)-2))</f>
        <v/>
      </c>
      <c r="Q176" s="127"/>
      <c r="R176" s="137"/>
      <c r="S176" s="58" t="str" cm="1">
        <f>IF(ISBLANK($A176),"",INDEX(Array_ElectricalCharges,MATCH($A176,List_ElectricityMeters,0),ROUNDUP(COLUMN()/3,0)-2))</f>
        <v/>
      </c>
      <c r="T176" s="127"/>
      <c r="U176" s="137"/>
      <c r="V176" s="58" t="str" cm="1">
        <f>IF(ISBLANK($A176),"",INDEX(Array_ElectricalCharges,MATCH($A176,List_ElectricityMeters,0),ROUNDUP(COLUMN()/3,0)-2))</f>
        <v/>
      </c>
      <c r="W176" s="127"/>
      <c r="X176" s="137"/>
      <c r="Y176" s="58" t="str" cm="1">
        <f>IF(ISBLANK($A176),"",INDEX(Array_ElectricalCharges,MATCH($A176,List_ElectricityMeters,0),ROUNDUP(COLUMN()/3,0)-2))</f>
        <v/>
      </c>
      <c r="Z176" s="127"/>
      <c r="AA176" s="137"/>
      <c r="AB176" s="58" t="str" cm="1">
        <f>IF(ISBLANK($A176),"",INDEX(Array_ElectricalCharges,MATCH($A176,List_ElectricityMeters,0),ROUNDUP(COLUMN()/3,0)-2))</f>
        <v/>
      </c>
      <c r="AC176" s="127"/>
      <c r="AD176" s="137"/>
      <c r="AE176" s="58" t="str" cm="1">
        <f>IF(ISBLANK($A176),"",INDEX(Array_ElectricalCharges,MATCH($A176,List_ElectricityMeters,0),ROUNDUP(COLUMN()/3,0)-2))</f>
        <v/>
      </c>
      <c r="AF176" s="127"/>
      <c r="AG176" s="137"/>
      <c r="AH176" s="58" t="str" cm="1">
        <f>IF(ISBLANK($A176),"",INDEX(Array_ElectricalCharges,MATCH($A176,List_ElectricityMeters,0),ROUNDUP(COLUMN()/3,0)-2))</f>
        <v/>
      </c>
      <c r="AI176" s="127"/>
      <c r="AJ176" s="137"/>
      <c r="AK176" s="58" t="str" cm="1">
        <f>IF(ISBLANK($A176),"",INDEX(Array_ElectricalCharges,MATCH($A176,List_ElectricityMeters,0),ROUNDUP(COLUMN()/3,0)-2))</f>
        <v/>
      </c>
      <c r="AL176" s="127"/>
      <c r="AM176" s="137"/>
      <c r="AN176" s="58" t="str" cm="1">
        <f>IF(ISBLANK($A176),"",INDEX(Array_ElectricalCharges,MATCH($A176,List_ElectricityMeters,0),ROUNDUP(COLUMN()/3,0)-2))</f>
        <v/>
      </c>
      <c r="AO176" s="127"/>
      <c r="AP176" s="137"/>
      <c r="AQ176" s="58" t="str" cm="1">
        <f>IF(ISBLANK($A176),"",INDEX(Array_ElectricalCharges,MATCH($A176,List_ElectricityMeters,0),ROUNDUP(COLUMN()/3,0)-2))</f>
        <v/>
      </c>
      <c r="AR176" s="127"/>
      <c r="AS176" s="137"/>
      <c r="AT176" s="58" t="str" cm="1">
        <f>IF(ISBLANK($A176),"",INDEX(Array_ElectricalCharges,MATCH($A176,List_ElectricityMeters,0),ROUNDUP(COLUMN()/3,0)-2))</f>
        <v/>
      </c>
      <c r="AU176" s="127"/>
      <c r="AV176" s="137"/>
      <c r="AW176" s="58" t="str" cm="1">
        <f>IF(ISBLANK($A176),"",INDEX(Array_ElectricalCharges,MATCH($A176,List_ElectricityMeters,0),ROUNDUP(COLUMN()/3,0)-2))</f>
        <v/>
      </c>
      <c r="AX176" s="127"/>
      <c r="AY176" s="137"/>
    </row>
    <row r="177" spans="1:51" x14ac:dyDescent="0.3">
      <c r="A177" s="126"/>
      <c r="B177" s="133"/>
      <c r="C177" s="134"/>
      <c r="D177" s="134"/>
      <c r="E177" s="135"/>
      <c r="F177" s="136"/>
      <c r="G177" s="58" t="str" cm="1">
        <f>IF(ISBLANK($A177),"",INDEX(Array_ElectricalCharges,MATCH($A177,List_ElectricityMeters,0),ROUNDUP(COLUMN()/3,0)-2))</f>
        <v/>
      </c>
      <c r="H177" s="127"/>
      <c r="I177" s="137"/>
      <c r="J177" s="58" t="str" cm="1">
        <f>IF(ISBLANK($A177),"",INDEX(Array_ElectricalCharges,MATCH($A177,List_ElectricityMeters,0),ROUNDUP(COLUMN()/3,0)-2))</f>
        <v/>
      </c>
      <c r="K177" s="127"/>
      <c r="L177" s="137"/>
      <c r="M177" s="58" t="str" cm="1">
        <f>IF(ISBLANK($A177),"",INDEX(Array_ElectricalCharges,MATCH($A177,List_ElectricityMeters,0),ROUNDUP(COLUMN()/3,0)-2))</f>
        <v/>
      </c>
      <c r="N177" s="127"/>
      <c r="O177" s="137"/>
      <c r="P177" s="58" t="str" cm="1">
        <f>IF(ISBLANK($A177),"",INDEX(Array_ElectricalCharges,MATCH($A177,List_ElectricityMeters,0),ROUNDUP(COLUMN()/3,0)-2))</f>
        <v/>
      </c>
      <c r="Q177" s="127"/>
      <c r="R177" s="137"/>
      <c r="S177" s="58" t="str" cm="1">
        <f>IF(ISBLANK($A177),"",INDEX(Array_ElectricalCharges,MATCH($A177,List_ElectricityMeters,0),ROUNDUP(COLUMN()/3,0)-2))</f>
        <v/>
      </c>
      <c r="T177" s="127"/>
      <c r="U177" s="137"/>
      <c r="V177" s="58" t="str" cm="1">
        <f>IF(ISBLANK($A177),"",INDEX(Array_ElectricalCharges,MATCH($A177,List_ElectricityMeters,0),ROUNDUP(COLUMN()/3,0)-2))</f>
        <v/>
      </c>
      <c r="W177" s="127"/>
      <c r="X177" s="137"/>
      <c r="Y177" s="58" t="str" cm="1">
        <f>IF(ISBLANK($A177),"",INDEX(Array_ElectricalCharges,MATCH($A177,List_ElectricityMeters,0),ROUNDUP(COLUMN()/3,0)-2))</f>
        <v/>
      </c>
      <c r="Z177" s="127"/>
      <c r="AA177" s="137"/>
      <c r="AB177" s="58" t="str" cm="1">
        <f>IF(ISBLANK($A177),"",INDEX(Array_ElectricalCharges,MATCH($A177,List_ElectricityMeters,0),ROUNDUP(COLUMN()/3,0)-2))</f>
        <v/>
      </c>
      <c r="AC177" s="127"/>
      <c r="AD177" s="137"/>
      <c r="AE177" s="58" t="str" cm="1">
        <f>IF(ISBLANK($A177),"",INDEX(Array_ElectricalCharges,MATCH($A177,List_ElectricityMeters,0),ROUNDUP(COLUMN()/3,0)-2))</f>
        <v/>
      </c>
      <c r="AF177" s="127"/>
      <c r="AG177" s="137"/>
      <c r="AH177" s="58" t="str" cm="1">
        <f>IF(ISBLANK($A177),"",INDEX(Array_ElectricalCharges,MATCH($A177,List_ElectricityMeters,0),ROUNDUP(COLUMN()/3,0)-2))</f>
        <v/>
      </c>
      <c r="AI177" s="127"/>
      <c r="AJ177" s="137"/>
      <c r="AK177" s="58" t="str" cm="1">
        <f>IF(ISBLANK($A177),"",INDEX(Array_ElectricalCharges,MATCH($A177,List_ElectricityMeters,0),ROUNDUP(COLUMN()/3,0)-2))</f>
        <v/>
      </c>
      <c r="AL177" s="127"/>
      <c r="AM177" s="137"/>
      <c r="AN177" s="58" t="str" cm="1">
        <f>IF(ISBLANK($A177),"",INDEX(Array_ElectricalCharges,MATCH($A177,List_ElectricityMeters,0),ROUNDUP(COLUMN()/3,0)-2))</f>
        <v/>
      </c>
      <c r="AO177" s="127"/>
      <c r="AP177" s="137"/>
      <c r="AQ177" s="58" t="str" cm="1">
        <f>IF(ISBLANK($A177),"",INDEX(Array_ElectricalCharges,MATCH($A177,List_ElectricityMeters,0),ROUNDUP(COLUMN()/3,0)-2))</f>
        <v/>
      </c>
      <c r="AR177" s="127"/>
      <c r="AS177" s="137"/>
      <c r="AT177" s="58" t="str" cm="1">
        <f>IF(ISBLANK($A177),"",INDEX(Array_ElectricalCharges,MATCH($A177,List_ElectricityMeters,0),ROUNDUP(COLUMN()/3,0)-2))</f>
        <v/>
      </c>
      <c r="AU177" s="127"/>
      <c r="AV177" s="137"/>
      <c r="AW177" s="58" t="str" cm="1">
        <f>IF(ISBLANK($A177),"",INDEX(Array_ElectricalCharges,MATCH($A177,List_ElectricityMeters,0),ROUNDUP(COLUMN()/3,0)-2))</f>
        <v/>
      </c>
      <c r="AX177" s="127"/>
      <c r="AY177" s="137"/>
    </row>
    <row r="178" spans="1:51" x14ac:dyDescent="0.3">
      <c r="A178" s="126"/>
      <c r="B178" s="133"/>
      <c r="C178" s="134"/>
      <c r="D178" s="134"/>
      <c r="E178" s="135"/>
      <c r="F178" s="136"/>
      <c r="G178" s="58" t="str" cm="1">
        <f>IF(ISBLANK($A178),"",INDEX(Array_ElectricalCharges,MATCH($A178,List_ElectricityMeters,0),ROUNDUP(COLUMN()/3,0)-2))</f>
        <v/>
      </c>
      <c r="H178" s="127"/>
      <c r="I178" s="137"/>
      <c r="J178" s="58" t="str" cm="1">
        <f>IF(ISBLANK($A178),"",INDEX(Array_ElectricalCharges,MATCH($A178,List_ElectricityMeters,0),ROUNDUP(COLUMN()/3,0)-2))</f>
        <v/>
      </c>
      <c r="K178" s="127"/>
      <c r="L178" s="137"/>
      <c r="M178" s="58" t="str" cm="1">
        <f>IF(ISBLANK($A178),"",INDEX(Array_ElectricalCharges,MATCH($A178,List_ElectricityMeters,0),ROUNDUP(COLUMN()/3,0)-2))</f>
        <v/>
      </c>
      <c r="N178" s="127"/>
      <c r="O178" s="137"/>
      <c r="P178" s="58" t="str" cm="1">
        <f>IF(ISBLANK($A178),"",INDEX(Array_ElectricalCharges,MATCH($A178,List_ElectricityMeters,0),ROUNDUP(COLUMN()/3,0)-2))</f>
        <v/>
      </c>
      <c r="Q178" s="127"/>
      <c r="R178" s="137"/>
      <c r="S178" s="58" t="str" cm="1">
        <f>IF(ISBLANK($A178),"",INDEX(Array_ElectricalCharges,MATCH($A178,List_ElectricityMeters,0),ROUNDUP(COLUMN()/3,0)-2))</f>
        <v/>
      </c>
      <c r="T178" s="127"/>
      <c r="U178" s="137"/>
      <c r="V178" s="58" t="str" cm="1">
        <f>IF(ISBLANK($A178),"",INDEX(Array_ElectricalCharges,MATCH($A178,List_ElectricityMeters,0),ROUNDUP(COLUMN()/3,0)-2))</f>
        <v/>
      </c>
      <c r="W178" s="127"/>
      <c r="X178" s="137"/>
      <c r="Y178" s="58" t="str" cm="1">
        <f>IF(ISBLANK($A178),"",INDEX(Array_ElectricalCharges,MATCH($A178,List_ElectricityMeters,0),ROUNDUP(COLUMN()/3,0)-2))</f>
        <v/>
      </c>
      <c r="Z178" s="127"/>
      <c r="AA178" s="137"/>
      <c r="AB178" s="58" t="str" cm="1">
        <f>IF(ISBLANK($A178),"",INDEX(Array_ElectricalCharges,MATCH($A178,List_ElectricityMeters,0),ROUNDUP(COLUMN()/3,0)-2))</f>
        <v/>
      </c>
      <c r="AC178" s="127"/>
      <c r="AD178" s="137"/>
      <c r="AE178" s="58" t="str" cm="1">
        <f>IF(ISBLANK($A178),"",INDEX(Array_ElectricalCharges,MATCH($A178,List_ElectricityMeters,0),ROUNDUP(COLUMN()/3,0)-2))</f>
        <v/>
      </c>
      <c r="AF178" s="127"/>
      <c r="AG178" s="137"/>
      <c r="AH178" s="58" t="str" cm="1">
        <f>IF(ISBLANK($A178),"",INDEX(Array_ElectricalCharges,MATCH($A178,List_ElectricityMeters,0),ROUNDUP(COLUMN()/3,0)-2))</f>
        <v/>
      </c>
      <c r="AI178" s="127"/>
      <c r="AJ178" s="137"/>
      <c r="AK178" s="58" t="str" cm="1">
        <f>IF(ISBLANK($A178),"",INDEX(Array_ElectricalCharges,MATCH($A178,List_ElectricityMeters,0),ROUNDUP(COLUMN()/3,0)-2))</f>
        <v/>
      </c>
      <c r="AL178" s="127"/>
      <c r="AM178" s="137"/>
      <c r="AN178" s="58" t="str" cm="1">
        <f>IF(ISBLANK($A178),"",INDEX(Array_ElectricalCharges,MATCH($A178,List_ElectricityMeters,0),ROUNDUP(COLUMN()/3,0)-2))</f>
        <v/>
      </c>
      <c r="AO178" s="127"/>
      <c r="AP178" s="137"/>
      <c r="AQ178" s="58" t="str" cm="1">
        <f>IF(ISBLANK($A178),"",INDEX(Array_ElectricalCharges,MATCH($A178,List_ElectricityMeters,0),ROUNDUP(COLUMN()/3,0)-2))</f>
        <v/>
      </c>
      <c r="AR178" s="127"/>
      <c r="AS178" s="137"/>
      <c r="AT178" s="58" t="str" cm="1">
        <f>IF(ISBLANK($A178),"",INDEX(Array_ElectricalCharges,MATCH($A178,List_ElectricityMeters,0),ROUNDUP(COLUMN()/3,0)-2))</f>
        <v/>
      </c>
      <c r="AU178" s="127"/>
      <c r="AV178" s="137"/>
      <c r="AW178" s="58" t="str" cm="1">
        <f>IF(ISBLANK($A178),"",INDEX(Array_ElectricalCharges,MATCH($A178,List_ElectricityMeters,0),ROUNDUP(COLUMN()/3,0)-2))</f>
        <v/>
      </c>
      <c r="AX178" s="127"/>
      <c r="AY178" s="137"/>
    </row>
    <row r="179" spans="1:51" x14ac:dyDescent="0.3">
      <c r="A179" s="126"/>
      <c r="B179" s="133"/>
      <c r="C179" s="134"/>
      <c r="D179" s="134"/>
      <c r="E179" s="135"/>
      <c r="F179" s="136"/>
      <c r="G179" s="58" t="str" cm="1">
        <f>IF(ISBLANK($A179),"",INDEX(Array_ElectricalCharges,MATCH($A179,List_ElectricityMeters,0),ROUNDUP(COLUMN()/3,0)-2))</f>
        <v/>
      </c>
      <c r="H179" s="127"/>
      <c r="I179" s="137"/>
      <c r="J179" s="58" t="str" cm="1">
        <f>IF(ISBLANK($A179),"",INDEX(Array_ElectricalCharges,MATCH($A179,List_ElectricityMeters,0),ROUNDUP(COLUMN()/3,0)-2))</f>
        <v/>
      </c>
      <c r="K179" s="127"/>
      <c r="L179" s="137"/>
      <c r="M179" s="58" t="str" cm="1">
        <f>IF(ISBLANK($A179),"",INDEX(Array_ElectricalCharges,MATCH($A179,List_ElectricityMeters,0),ROUNDUP(COLUMN()/3,0)-2))</f>
        <v/>
      </c>
      <c r="N179" s="127"/>
      <c r="O179" s="137"/>
      <c r="P179" s="58" t="str" cm="1">
        <f>IF(ISBLANK($A179),"",INDEX(Array_ElectricalCharges,MATCH($A179,List_ElectricityMeters,0),ROUNDUP(COLUMN()/3,0)-2))</f>
        <v/>
      </c>
      <c r="Q179" s="127"/>
      <c r="R179" s="137"/>
      <c r="S179" s="58" t="str" cm="1">
        <f>IF(ISBLANK($A179),"",INDEX(Array_ElectricalCharges,MATCH($A179,List_ElectricityMeters,0),ROUNDUP(COLUMN()/3,0)-2))</f>
        <v/>
      </c>
      <c r="T179" s="127"/>
      <c r="U179" s="137"/>
      <c r="V179" s="58" t="str" cm="1">
        <f>IF(ISBLANK($A179),"",INDEX(Array_ElectricalCharges,MATCH($A179,List_ElectricityMeters,0),ROUNDUP(COLUMN()/3,0)-2))</f>
        <v/>
      </c>
      <c r="W179" s="127"/>
      <c r="X179" s="137"/>
      <c r="Y179" s="58" t="str" cm="1">
        <f>IF(ISBLANK($A179),"",INDEX(Array_ElectricalCharges,MATCH($A179,List_ElectricityMeters,0),ROUNDUP(COLUMN()/3,0)-2))</f>
        <v/>
      </c>
      <c r="Z179" s="127"/>
      <c r="AA179" s="137"/>
      <c r="AB179" s="58" t="str" cm="1">
        <f>IF(ISBLANK($A179),"",INDEX(Array_ElectricalCharges,MATCH($A179,List_ElectricityMeters,0),ROUNDUP(COLUMN()/3,0)-2))</f>
        <v/>
      </c>
      <c r="AC179" s="127"/>
      <c r="AD179" s="137"/>
      <c r="AE179" s="58" t="str" cm="1">
        <f>IF(ISBLANK($A179),"",INDEX(Array_ElectricalCharges,MATCH($A179,List_ElectricityMeters,0),ROUNDUP(COLUMN()/3,0)-2))</f>
        <v/>
      </c>
      <c r="AF179" s="127"/>
      <c r="AG179" s="137"/>
      <c r="AH179" s="58" t="str" cm="1">
        <f>IF(ISBLANK($A179),"",INDEX(Array_ElectricalCharges,MATCH($A179,List_ElectricityMeters,0),ROUNDUP(COLUMN()/3,0)-2))</f>
        <v/>
      </c>
      <c r="AI179" s="127"/>
      <c r="AJ179" s="137"/>
      <c r="AK179" s="58" t="str" cm="1">
        <f>IF(ISBLANK($A179),"",INDEX(Array_ElectricalCharges,MATCH($A179,List_ElectricityMeters,0),ROUNDUP(COLUMN()/3,0)-2))</f>
        <v/>
      </c>
      <c r="AL179" s="127"/>
      <c r="AM179" s="137"/>
      <c r="AN179" s="58" t="str" cm="1">
        <f>IF(ISBLANK($A179),"",INDEX(Array_ElectricalCharges,MATCH($A179,List_ElectricityMeters,0),ROUNDUP(COLUMN()/3,0)-2))</f>
        <v/>
      </c>
      <c r="AO179" s="127"/>
      <c r="AP179" s="137"/>
      <c r="AQ179" s="58" t="str" cm="1">
        <f>IF(ISBLANK($A179),"",INDEX(Array_ElectricalCharges,MATCH($A179,List_ElectricityMeters,0),ROUNDUP(COLUMN()/3,0)-2))</f>
        <v/>
      </c>
      <c r="AR179" s="127"/>
      <c r="AS179" s="137"/>
      <c r="AT179" s="58" t="str" cm="1">
        <f>IF(ISBLANK($A179),"",INDEX(Array_ElectricalCharges,MATCH($A179,List_ElectricityMeters,0),ROUNDUP(COLUMN()/3,0)-2))</f>
        <v/>
      </c>
      <c r="AU179" s="127"/>
      <c r="AV179" s="137"/>
      <c r="AW179" s="58" t="str" cm="1">
        <f>IF(ISBLANK($A179),"",INDEX(Array_ElectricalCharges,MATCH($A179,List_ElectricityMeters,0),ROUNDUP(COLUMN()/3,0)-2))</f>
        <v/>
      </c>
      <c r="AX179" s="127"/>
      <c r="AY179" s="137"/>
    </row>
    <row r="180" spans="1:51" x14ac:dyDescent="0.3">
      <c r="A180" s="126"/>
      <c r="B180" s="133"/>
      <c r="C180" s="134"/>
      <c r="D180" s="134"/>
      <c r="E180" s="135"/>
      <c r="F180" s="136"/>
      <c r="G180" s="58" t="str" cm="1">
        <f>IF(ISBLANK($A180),"",INDEX(Array_ElectricalCharges,MATCH($A180,List_ElectricityMeters,0),ROUNDUP(COLUMN()/3,0)-2))</f>
        <v/>
      </c>
      <c r="H180" s="127"/>
      <c r="I180" s="137"/>
      <c r="J180" s="58" t="str" cm="1">
        <f>IF(ISBLANK($A180),"",INDEX(Array_ElectricalCharges,MATCH($A180,List_ElectricityMeters,0),ROUNDUP(COLUMN()/3,0)-2))</f>
        <v/>
      </c>
      <c r="K180" s="127"/>
      <c r="L180" s="137"/>
      <c r="M180" s="58" t="str" cm="1">
        <f>IF(ISBLANK($A180),"",INDEX(Array_ElectricalCharges,MATCH($A180,List_ElectricityMeters,0),ROUNDUP(COLUMN()/3,0)-2))</f>
        <v/>
      </c>
      <c r="N180" s="127"/>
      <c r="O180" s="137"/>
      <c r="P180" s="58" t="str" cm="1">
        <f>IF(ISBLANK($A180),"",INDEX(Array_ElectricalCharges,MATCH($A180,List_ElectricityMeters,0),ROUNDUP(COLUMN()/3,0)-2))</f>
        <v/>
      </c>
      <c r="Q180" s="127"/>
      <c r="R180" s="137"/>
      <c r="S180" s="58" t="str" cm="1">
        <f>IF(ISBLANK($A180),"",INDEX(Array_ElectricalCharges,MATCH($A180,List_ElectricityMeters,0),ROUNDUP(COLUMN()/3,0)-2))</f>
        <v/>
      </c>
      <c r="T180" s="127"/>
      <c r="U180" s="137"/>
      <c r="V180" s="58" t="str" cm="1">
        <f>IF(ISBLANK($A180),"",INDEX(Array_ElectricalCharges,MATCH($A180,List_ElectricityMeters,0),ROUNDUP(COLUMN()/3,0)-2))</f>
        <v/>
      </c>
      <c r="W180" s="127"/>
      <c r="X180" s="137"/>
      <c r="Y180" s="58" t="str" cm="1">
        <f>IF(ISBLANK($A180),"",INDEX(Array_ElectricalCharges,MATCH($A180,List_ElectricityMeters,0),ROUNDUP(COLUMN()/3,0)-2))</f>
        <v/>
      </c>
      <c r="Z180" s="127"/>
      <c r="AA180" s="137"/>
      <c r="AB180" s="58" t="str" cm="1">
        <f>IF(ISBLANK($A180),"",INDEX(Array_ElectricalCharges,MATCH($A180,List_ElectricityMeters,0),ROUNDUP(COLUMN()/3,0)-2))</f>
        <v/>
      </c>
      <c r="AC180" s="127"/>
      <c r="AD180" s="137"/>
      <c r="AE180" s="58" t="str" cm="1">
        <f>IF(ISBLANK($A180),"",INDEX(Array_ElectricalCharges,MATCH($A180,List_ElectricityMeters,0),ROUNDUP(COLUMN()/3,0)-2))</f>
        <v/>
      </c>
      <c r="AF180" s="127"/>
      <c r="AG180" s="137"/>
      <c r="AH180" s="58" t="str" cm="1">
        <f>IF(ISBLANK($A180),"",INDEX(Array_ElectricalCharges,MATCH($A180,List_ElectricityMeters,0),ROUNDUP(COLUMN()/3,0)-2))</f>
        <v/>
      </c>
      <c r="AI180" s="127"/>
      <c r="AJ180" s="137"/>
      <c r="AK180" s="58" t="str" cm="1">
        <f>IF(ISBLANK($A180),"",INDEX(Array_ElectricalCharges,MATCH($A180,List_ElectricityMeters,0),ROUNDUP(COLUMN()/3,0)-2))</f>
        <v/>
      </c>
      <c r="AL180" s="127"/>
      <c r="AM180" s="137"/>
      <c r="AN180" s="58" t="str" cm="1">
        <f>IF(ISBLANK($A180),"",INDEX(Array_ElectricalCharges,MATCH($A180,List_ElectricityMeters,0),ROUNDUP(COLUMN()/3,0)-2))</f>
        <v/>
      </c>
      <c r="AO180" s="127"/>
      <c r="AP180" s="137"/>
      <c r="AQ180" s="58" t="str" cm="1">
        <f>IF(ISBLANK($A180),"",INDEX(Array_ElectricalCharges,MATCH($A180,List_ElectricityMeters,0),ROUNDUP(COLUMN()/3,0)-2))</f>
        <v/>
      </c>
      <c r="AR180" s="127"/>
      <c r="AS180" s="137"/>
      <c r="AT180" s="58" t="str" cm="1">
        <f>IF(ISBLANK($A180),"",INDEX(Array_ElectricalCharges,MATCH($A180,List_ElectricityMeters,0),ROUNDUP(COLUMN()/3,0)-2))</f>
        <v/>
      </c>
      <c r="AU180" s="127"/>
      <c r="AV180" s="137"/>
      <c r="AW180" s="58" t="str" cm="1">
        <f>IF(ISBLANK($A180),"",INDEX(Array_ElectricalCharges,MATCH($A180,List_ElectricityMeters,0),ROUNDUP(COLUMN()/3,0)-2))</f>
        <v/>
      </c>
      <c r="AX180" s="127"/>
      <c r="AY180" s="137"/>
    </row>
    <row r="181" spans="1:51" x14ac:dyDescent="0.3">
      <c r="A181" s="126"/>
      <c r="B181" s="133"/>
      <c r="C181" s="134"/>
      <c r="D181" s="134"/>
      <c r="E181" s="135"/>
      <c r="F181" s="136"/>
      <c r="G181" s="58" t="str" cm="1">
        <f>IF(ISBLANK($A181),"",INDEX(Array_ElectricalCharges,MATCH($A181,List_ElectricityMeters,0),ROUNDUP(COLUMN()/3,0)-2))</f>
        <v/>
      </c>
      <c r="H181" s="127"/>
      <c r="I181" s="137"/>
      <c r="J181" s="58" t="str" cm="1">
        <f>IF(ISBLANK($A181),"",INDEX(Array_ElectricalCharges,MATCH($A181,List_ElectricityMeters,0),ROUNDUP(COLUMN()/3,0)-2))</f>
        <v/>
      </c>
      <c r="K181" s="127"/>
      <c r="L181" s="137"/>
      <c r="M181" s="58" t="str" cm="1">
        <f>IF(ISBLANK($A181),"",INDEX(Array_ElectricalCharges,MATCH($A181,List_ElectricityMeters,0),ROUNDUP(COLUMN()/3,0)-2))</f>
        <v/>
      </c>
      <c r="N181" s="127"/>
      <c r="O181" s="137"/>
      <c r="P181" s="58" t="str" cm="1">
        <f>IF(ISBLANK($A181),"",INDEX(Array_ElectricalCharges,MATCH($A181,List_ElectricityMeters,0),ROUNDUP(COLUMN()/3,0)-2))</f>
        <v/>
      </c>
      <c r="Q181" s="127"/>
      <c r="R181" s="137"/>
      <c r="S181" s="58" t="str" cm="1">
        <f>IF(ISBLANK($A181),"",INDEX(Array_ElectricalCharges,MATCH($A181,List_ElectricityMeters,0),ROUNDUP(COLUMN()/3,0)-2))</f>
        <v/>
      </c>
      <c r="T181" s="127"/>
      <c r="U181" s="137"/>
      <c r="V181" s="58" t="str" cm="1">
        <f>IF(ISBLANK($A181),"",INDEX(Array_ElectricalCharges,MATCH($A181,List_ElectricityMeters,0),ROUNDUP(COLUMN()/3,0)-2))</f>
        <v/>
      </c>
      <c r="W181" s="127"/>
      <c r="X181" s="137"/>
      <c r="Y181" s="58" t="str" cm="1">
        <f>IF(ISBLANK($A181),"",INDEX(Array_ElectricalCharges,MATCH($A181,List_ElectricityMeters,0),ROUNDUP(COLUMN()/3,0)-2))</f>
        <v/>
      </c>
      <c r="Z181" s="127"/>
      <c r="AA181" s="137"/>
      <c r="AB181" s="58" t="str" cm="1">
        <f>IF(ISBLANK($A181),"",INDEX(Array_ElectricalCharges,MATCH($A181,List_ElectricityMeters,0),ROUNDUP(COLUMN()/3,0)-2))</f>
        <v/>
      </c>
      <c r="AC181" s="127"/>
      <c r="AD181" s="137"/>
      <c r="AE181" s="58" t="str" cm="1">
        <f>IF(ISBLANK($A181),"",INDEX(Array_ElectricalCharges,MATCH($A181,List_ElectricityMeters,0),ROUNDUP(COLUMN()/3,0)-2))</f>
        <v/>
      </c>
      <c r="AF181" s="127"/>
      <c r="AG181" s="137"/>
      <c r="AH181" s="58" t="str" cm="1">
        <f>IF(ISBLANK($A181),"",INDEX(Array_ElectricalCharges,MATCH($A181,List_ElectricityMeters,0),ROUNDUP(COLUMN()/3,0)-2))</f>
        <v/>
      </c>
      <c r="AI181" s="127"/>
      <c r="AJ181" s="137"/>
      <c r="AK181" s="58" t="str" cm="1">
        <f>IF(ISBLANK($A181),"",INDEX(Array_ElectricalCharges,MATCH($A181,List_ElectricityMeters,0),ROUNDUP(COLUMN()/3,0)-2))</f>
        <v/>
      </c>
      <c r="AL181" s="127"/>
      <c r="AM181" s="137"/>
      <c r="AN181" s="58" t="str" cm="1">
        <f>IF(ISBLANK($A181),"",INDEX(Array_ElectricalCharges,MATCH($A181,List_ElectricityMeters,0),ROUNDUP(COLUMN()/3,0)-2))</f>
        <v/>
      </c>
      <c r="AO181" s="127"/>
      <c r="AP181" s="137"/>
      <c r="AQ181" s="58" t="str" cm="1">
        <f>IF(ISBLANK($A181),"",INDEX(Array_ElectricalCharges,MATCH($A181,List_ElectricityMeters,0),ROUNDUP(COLUMN()/3,0)-2))</f>
        <v/>
      </c>
      <c r="AR181" s="127"/>
      <c r="AS181" s="137"/>
      <c r="AT181" s="58" t="str" cm="1">
        <f>IF(ISBLANK($A181),"",INDEX(Array_ElectricalCharges,MATCH($A181,List_ElectricityMeters,0),ROUNDUP(COLUMN()/3,0)-2))</f>
        <v/>
      </c>
      <c r="AU181" s="127"/>
      <c r="AV181" s="137"/>
      <c r="AW181" s="58" t="str" cm="1">
        <f>IF(ISBLANK($A181),"",INDEX(Array_ElectricalCharges,MATCH($A181,List_ElectricityMeters,0),ROUNDUP(COLUMN()/3,0)-2))</f>
        <v/>
      </c>
      <c r="AX181" s="127"/>
      <c r="AY181" s="137"/>
    </row>
    <row r="182" spans="1:51" x14ac:dyDescent="0.3">
      <c r="A182" s="126"/>
      <c r="B182" s="133"/>
      <c r="C182" s="134"/>
      <c r="D182" s="134"/>
      <c r="E182" s="135"/>
      <c r="F182" s="136"/>
      <c r="G182" s="58" t="str" cm="1">
        <f>IF(ISBLANK($A182),"",INDEX(Array_ElectricalCharges,MATCH($A182,List_ElectricityMeters,0),ROUNDUP(COLUMN()/3,0)-2))</f>
        <v/>
      </c>
      <c r="H182" s="127"/>
      <c r="I182" s="137"/>
      <c r="J182" s="58" t="str" cm="1">
        <f>IF(ISBLANK($A182),"",INDEX(Array_ElectricalCharges,MATCH($A182,List_ElectricityMeters,0),ROUNDUP(COLUMN()/3,0)-2))</f>
        <v/>
      </c>
      <c r="K182" s="127"/>
      <c r="L182" s="137"/>
      <c r="M182" s="58" t="str" cm="1">
        <f>IF(ISBLANK($A182),"",INDEX(Array_ElectricalCharges,MATCH($A182,List_ElectricityMeters,0),ROUNDUP(COLUMN()/3,0)-2))</f>
        <v/>
      </c>
      <c r="N182" s="127"/>
      <c r="O182" s="137"/>
      <c r="P182" s="58" t="str" cm="1">
        <f>IF(ISBLANK($A182),"",INDEX(Array_ElectricalCharges,MATCH($A182,List_ElectricityMeters,0),ROUNDUP(COLUMN()/3,0)-2))</f>
        <v/>
      </c>
      <c r="Q182" s="127"/>
      <c r="R182" s="137"/>
      <c r="S182" s="58" t="str" cm="1">
        <f>IF(ISBLANK($A182),"",INDEX(Array_ElectricalCharges,MATCH($A182,List_ElectricityMeters,0),ROUNDUP(COLUMN()/3,0)-2))</f>
        <v/>
      </c>
      <c r="T182" s="127"/>
      <c r="U182" s="137"/>
      <c r="V182" s="58" t="str" cm="1">
        <f>IF(ISBLANK($A182),"",INDEX(Array_ElectricalCharges,MATCH($A182,List_ElectricityMeters,0),ROUNDUP(COLUMN()/3,0)-2))</f>
        <v/>
      </c>
      <c r="W182" s="127"/>
      <c r="X182" s="137"/>
      <c r="Y182" s="58" t="str" cm="1">
        <f>IF(ISBLANK($A182),"",INDEX(Array_ElectricalCharges,MATCH($A182,List_ElectricityMeters,0),ROUNDUP(COLUMN()/3,0)-2))</f>
        <v/>
      </c>
      <c r="Z182" s="127"/>
      <c r="AA182" s="137"/>
      <c r="AB182" s="58" t="str" cm="1">
        <f>IF(ISBLANK($A182),"",INDEX(Array_ElectricalCharges,MATCH($A182,List_ElectricityMeters,0),ROUNDUP(COLUMN()/3,0)-2))</f>
        <v/>
      </c>
      <c r="AC182" s="127"/>
      <c r="AD182" s="137"/>
      <c r="AE182" s="58" t="str" cm="1">
        <f>IF(ISBLANK($A182),"",INDEX(Array_ElectricalCharges,MATCH($A182,List_ElectricityMeters,0),ROUNDUP(COLUMN()/3,0)-2))</f>
        <v/>
      </c>
      <c r="AF182" s="127"/>
      <c r="AG182" s="137"/>
      <c r="AH182" s="58" t="str" cm="1">
        <f>IF(ISBLANK($A182),"",INDEX(Array_ElectricalCharges,MATCH($A182,List_ElectricityMeters,0),ROUNDUP(COLUMN()/3,0)-2))</f>
        <v/>
      </c>
      <c r="AI182" s="127"/>
      <c r="AJ182" s="137"/>
      <c r="AK182" s="58" t="str" cm="1">
        <f>IF(ISBLANK($A182),"",INDEX(Array_ElectricalCharges,MATCH($A182,List_ElectricityMeters,0),ROUNDUP(COLUMN()/3,0)-2))</f>
        <v/>
      </c>
      <c r="AL182" s="127"/>
      <c r="AM182" s="137"/>
      <c r="AN182" s="58" t="str" cm="1">
        <f>IF(ISBLANK($A182),"",INDEX(Array_ElectricalCharges,MATCH($A182,List_ElectricityMeters,0),ROUNDUP(COLUMN()/3,0)-2))</f>
        <v/>
      </c>
      <c r="AO182" s="127"/>
      <c r="AP182" s="137"/>
      <c r="AQ182" s="58" t="str" cm="1">
        <f>IF(ISBLANK($A182),"",INDEX(Array_ElectricalCharges,MATCH($A182,List_ElectricityMeters,0),ROUNDUP(COLUMN()/3,0)-2))</f>
        <v/>
      </c>
      <c r="AR182" s="127"/>
      <c r="AS182" s="137"/>
      <c r="AT182" s="58" t="str" cm="1">
        <f>IF(ISBLANK($A182),"",INDEX(Array_ElectricalCharges,MATCH($A182,List_ElectricityMeters,0),ROUNDUP(COLUMN()/3,0)-2))</f>
        <v/>
      </c>
      <c r="AU182" s="127"/>
      <c r="AV182" s="137"/>
      <c r="AW182" s="58" t="str" cm="1">
        <f>IF(ISBLANK($A182),"",INDEX(Array_ElectricalCharges,MATCH($A182,List_ElectricityMeters,0),ROUNDUP(COLUMN()/3,0)-2))</f>
        <v/>
      </c>
      <c r="AX182" s="127"/>
      <c r="AY182" s="137"/>
    </row>
    <row r="183" spans="1:51" x14ac:dyDescent="0.3">
      <c r="A183" s="126"/>
      <c r="B183" s="133"/>
      <c r="C183" s="134"/>
      <c r="D183" s="134"/>
      <c r="E183" s="135"/>
      <c r="F183" s="136"/>
      <c r="G183" s="58" t="str" cm="1">
        <f>IF(ISBLANK($A183),"",INDEX(Array_ElectricalCharges,MATCH($A183,List_ElectricityMeters,0),ROUNDUP(COLUMN()/3,0)-2))</f>
        <v/>
      </c>
      <c r="H183" s="127"/>
      <c r="I183" s="137"/>
      <c r="J183" s="58" t="str" cm="1">
        <f>IF(ISBLANK($A183),"",INDEX(Array_ElectricalCharges,MATCH($A183,List_ElectricityMeters,0),ROUNDUP(COLUMN()/3,0)-2))</f>
        <v/>
      </c>
      <c r="K183" s="127"/>
      <c r="L183" s="137"/>
      <c r="M183" s="58" t="str" cm="1">
        <f>IF(ISBLANK($A183),"",INDEX(Array_ElectricalCharges,MATCH($A183,List_ElectricityMeters,0),ROUNDUP(COLUMN()/3,0)-2))</f>
        <v/>
      </c>
      <c r="N183" s="127"/>
      <c r="O183" s="137"/>
      <c r="P183" s="58" t="str" cm="1">
        <f>IF(ISBLANK($A183),"",INDEX(Array_ElectricalCharges,MATCH($A183,List_ElectricityMeters,0),ROUNDUP(COLUMN()/3,0)-2))</f>
        <v/>
      </c>
      <c r="Q183" s="127"/>
      <c r="R183" s="137"/>
      <c r="S183" s="58" t="str" cm="1">
        <f>IF(ISBLANK($A183),"",INDEX(Array_ElectricalCharges,MATCH($A183,List_ElectricityMeters,0),ROUNDUP(COLUMN()/3,0)-2))</f>
        <v/>
      </c>
      <c r="T183" s="127"/>
      <c r="U183" s="137"/>
      <c r="V183" s="58" t="str" cm="1">
        <f>IF(ISBLANK($A183),"",INDEX(Array_ElectricalCharges,MATCH($A183,List_ElectricityMeters,0),ROUNDUP(COLUMN()/3,0)-2))</f>
        <v/>
      </c>
      <c r="W183" s="127"/>
      <c r="X183" s="137"/>
      <c r="Y183" s="58" t="str" cm="1">
        <f>IF(ISBLANK($A183),"",INDEX(Array_ElectricalCharges,MATCH($A183,List_ElectricityMeters,0),ROUNDUP(COLUMN()/3,0)-2))</f>
        <v/>
      </c>
      <c r="Z183" s="127"/>
      <c r="AA183" s="137"/>
      <c r="AB183" s="58" t="str" cm="1">
        <f>IF(ISBLANK($A183),"",INDEX(Array_ElectricalCharges,MATCH($A183,List_ElectricityMeters,0),ROUNDUP(COLUMN()/3,0)-2))</f>
        <v/>
      </c>
      <c r="AC183" s="127"/>
      <c r="AD183" s="137"/>
      <c r="AE183" s="58" t="str" cm="1">
        <f>IF(ISBLANK($A183),"",INDEX(Array_ElectricalCharges,MATCH($A183,List_ElectricityMeters,0),ROUNDUP(COLUMN()/3,0)-2))</f>
        <v/>
      </c>
      <c r="AF183" s="127"/>
      <c r="AG183" s="137"/>
      <c r="AH183" s="58" t="str" cm="1">
        <f>IF(ISBLANK($A183),"",INDEX(Array_ElectricalCharges,MATCH($A183,List_ElectricityMeters,0),ROUNDUP(COLUMN()/3,0)-2))</f>
        <v/>
      </c>
      <c r="AI183" s="127"/>
      <c r="AJ183" s="137"/>
      <c r="AK183" s="58" t="str" cm="1">
        <f>IF(ISBLANK($A183),"",INDEX(Array_ElectricalCharges,MATCH($A183,List_ElectricityMeters,0),ROUNDUP(COLUMN()/3,0)-2))</f>
        <v/>
      </c>
      <c r="AL183" s="127"/>
      <c r="AM183" s="137"/>
      <c r="AN183" s="58" t="str" cm="1">
        <f>IF(ISBLANK($A183),"",INDEX(Array_ElectricalCharges,MATCH($A183,List_ElectricityMeters,0),ROUNDUP(COLUMN()/3,0)-2))</f>
        <v/>
      </c>
      <c r="AO183" s="127"/>
      <c r="AP183" s="137"/>
      <c r="AQ183" s="58" t="str" cm="1">
        <f>IF(ISBLANK($A183),"",INDEX(Array_ElectricalCharges,MATCH($A183,List_ElectricityMeters,0),ROUNDUP(COLUMN()/3,0)-2))</f>
        <v/>
      </c>
      <c r="AR183" s="127"/>
      <c r="AS183" s="137"/>
      <c r="AT183" s="58" t="str" cm="1">
        <f>IF(ISBLANK($A183),"",INDEX(Array_ElectricalCharges,MATCH($A183,List_ElectricityMeters,0),ROUNDUP(COLUMN()/3,0)-2))</f>
        <v/>
      </c>
      <c r="AU183" s="127"/>
      <c r="AV183" s="137"/>
      <c r="AW183" s="58" t="str" cm="1">
        <f>IF(ISBLANK($A183),"",INDEX(Array_ElectricalCharges,MATCH($A183,List_ElectricityMeters,0),ROUNDUP(COLUMN()/3,0)-2))</f>
        <v/>
      </c>
      <c r="AX183" s="127"/>
      <c r="AY183" s="137"/>
    </row>
    <row r="184" spans="1:51" x14ac:dyDescent="0.3">
      <c r="A184" s="126"/>
      <c r="B184" s="133"/>
      <c r="C184" s="134"/>
      <c r="D184" s="134"/>
      <c r="E184" s="135"/>
      <c r="F184" s="136"/>
      <c r="G184" s="58" t="str" cm="1">
        <f>IF(ISBLANK($A184),"",INDEX(Array_ElectricalCharges,MATCH($A184,List_ElectricityMeters,0),ROUNDUP(COLUMN()/3,0)-2))</f>
        <v/>
      </c>
      <c r="H184" s="127"/>
      <c r="I184" s="137"/>
      <c r="J184" s="58" t="str" cm="1">
        <f>IF(ISBLANK($A184),"",INDEX(Array_ElectricalCharges,MATCH($A184,List_ElectricityMeters,0),ROUNDUP(COLUMN()/3,0)-2))</f>
        <v/>
      </c>
      <c r="K184" s="127"/>
      <c r="L184" s="137"/>
      <c r="M184" s="58" t="str" cm="1">
        <f>IF(ISBLANK($A184),"",INDEX(Array_ElectricalCharges,MATCH($A184,List_ElectricityMeters,0),ROUNDUP(COLUMN()/3,0)-2))</f>
        <v/>
      </c>
      <c r="N184" s="127"/>
      <c r="O184" s="137"/>
      <c r="P184" s="58" t="str" cm="1">
        <f>IF(ISBLANK($A184),"",INDEX(Array_ElectricalCharges,MATCH($A184,List_ElectricityMeters,0),ROUNDUP(COLUMN()/3,0)-2))</f>
        <v/>
      </c>
      <c r="Q184" s="127"/>
      <c r="R184" s="137"/>
      <c r="S184" s="58" t="str" cm="1">
        <f>IF(ISBLANK($A184),"",INDEX(Array_ElectricalCharges,MATCH($A184,List_ElectricityMeters,0),ROUNDUP(COLUMN()/3,0)-2))</f>
        <v/>
      </c>
      <c r="T184" s="127"/>
      <c r="U184" s="137"/>
      <c r="V184" s="58" t="str" cm="1">
        <f>IF(ISBLANK($A184),"",INDEX(Array_ElectricalCharges,MATCH($A184,List_ElectricityMeters,0),ROUNDUP(COLUMN()/3,0)-2))</f>
        <v/>
      </c>
      <c r="W184" s="127"/>
      <c r="X184" s="137"/>
      <c r="Y184" s="58" t="str" cm="1">
        <f>IF(ISBLANK($A184),"",INDEX(Array_ElectricalCharges,MATCH($A184,List_ElectricityMeters,0),ROUNDUP(COLUMN()/3,0)-2))</f>
        <v/>
      </c>
      <c r="Z184" s="127"/>
      <c r="AA184" s="137"/>
      <c r="AB184" s="58" t="str" cm="1">
        <f>IF(ISBLANK($A184),"",INDEX(Array_ElectricalCharges,MATCH($A184,List_ElectricityMeters,0),ROUNDUP(COLUMN()/3,0)-2))</f>
        <v/>
      </c>
      <c r="AC184" s="127"/>
      <c r="AD184" s="137"/>
      <c r="AE184" s="58" t="str" cm="1">
        <f>IF(ISBLANK($A184),"",INDEX(Array_ElectricalCharges,MATCH($A184,List_ElectricityMeters,0),ROUNDUP(COLUMN()/3,0)-2))</f>
        <v/>
      </c>
      <c r="AF184" s="127"/>
      <c r="AG184" s="137"/>
      <c r="AH184" s="58" t="str" cm="1">
        <f>IF(ISBLANK($A184),"",INDEX(Array_ElectricalCharges,MATCH($A184,List_ElectricityMeters,0),ROUNDUP(COLUMN()/3,0)-2))</f>
        <v/>
      </c>
      <c r="AI184" s="127"/>
      <c r="AJ184" s="137"/>
      <c r="AK184" s="58" t="str" cm="1">
        <f>IF(ISBLANK($A184),"",INDEX(Array_ElectricalCharges,MATCH($A184,List_ElectricityMeters,0),ROUNDUP(COLUMN()/3,0)-2))</f>
        <v/>
      </c>
      <c r="AL184" s="127"/>
      <c r="AM184" s="137"/>
      <c r="AN184" s="58" t="str" cm="1">
        <f>IF(ISBLANK($A184),"",INDEX(Array_ElectricalCharges,MATCH($A184,List_ElectricityMeters,0),ROUNDUP(COLUMN()/3,0)-2))</f>
        <v/>
      </c>
      <c r="AO184" s="127"/>
      <c r="AP184" s="137"/>
      <c r="AQ184" s="58" t="str" cm="1">
        <f>IF(ISBLANK($A184),"",INDEX(Array_ElectricalCharges,MATCH($A184,List_ElectricityMeters,0),ROUNDUP(COLUMN()/3,0)-2))</f>
        <v/>
      </c>
      <c r="AR184" s="127"/>
      <c r="AS184" s="137"/>
      <c r="AT184" s="58" t="str" cm="1">
        <f>IF(ISBLANK($A184),"",INDEX(Array_ElectricalCharges,MATCH($A184,List_ElectricityMeters,0),ROUNDUP(COLUMN()/3,0)-2))</f>
        <v/>
      </c>
      <c r="AU184" s="127"/>
      <c r="AV184" s="137"/>
      <c r="AW184" s="58" t="str" cm="1">
        <f>IF(ISBLANK($A184),"",INDEX(Array_ElectricalCharges,MATCH($A184,List_ElectricityMeters,0),ROUNDUP(COLUMN()/3,0)-2))</f>
        <v/>
      </c>
      <c r="AX184" s="127"/>
      <c r="AY184" s="137"/>
    </row>
    <row r="185" spans="1:51" x14ac:dyDescent="0.3">
      <c r="A185" s="126"/>
      <c r="B185" s="133"/>
      <c r="C185" s="134"/>
      <c r="D185" s="134"/>
      <c r="E185" s="135"/>
      <c r="F185" s="136"/>
      <c r="G185" s="58" t="str" cm="1">
        <f>IF(ISBLANK($A185),"",INDEX(Array_ElectricalCharges,MATCH($A185,List_ElectricityMeters,0),ROUNDUP(COLUMN()/3,0)-2))</f>
        <v/>
      </c>
      <c r="H185" s="127"/>
      <c r="I185" s="137"/>
      <c r="J185" s="58" t="str" cm="1">
        <f>IF(ISBLANK($A185),"",INDEX(Array_ElectricalCharges,MATCH($A185,List_ElectricityMeters,0),ROUNDUP(COLUMN()/3,0)-2))</f>
        <v/>
      </c>
      <c r="K185" s="127"/>
      <c r="L185" s="137"/>
      <c r="M185" s="58" t="str" cm="1">
        <f>IF(ISBLANK($A185),"",INDEX(Array_ElectricalCharges,MATCH($A185,List_ElectricityMeters,0),ROUNDUP(COLUMN()/3,0)-2))</f>
        <v/>
      </c>
      <c r="N185" s="127"/>
      <c r="O185" s="137"/>
      <c r="P185" s="58" t="str" cm="1">
        <f>IF(ISBLANK($A185),"",INDEX(Array_ElectricalCharges,MATCH($A185,List_ElectricityMeters,0),ROUNDUP(COLUMN()/3,0)-2))</f>
        <v/>
      </c>
      <c r="Q185" s="127"/>
      <c r="R185" s="137"/>
      <c r="S185" s="58" t="str" cm="1">
        <f>IF(ISBLANK($A185),"",INDEX(Array_ElectricalCharges,MATCH($A185,List_ElectricityMeters,0),ROUNDUP(COLUMN()/3,0)-2))</f>
        <v/>
      </c>
      <c r="T185" s="127"/>
      <c r="U185" s="137"/>
      <c r="V185" s="58" t="str" cm="1">
        <f>IF(ISBLANK($A185),"",INDEX(Array_ElectricalCharges,MATCH($A185,List_ElectricityMeters,0),ROUNDUP(COLUMN()/3,0)-2))</f>
        <v/>
      </c>
      <c r="W185" s="127"/>
      <c r="X185" s="137"/>
      <c r="Y185" s="58" t="str" cm="1">
        <f>IF(ISBLANK($A185),"",INDEX(Array_ElectricalCharges,MATCH($A185,List_ElectricityMeters,0),ROUNDUP(COLUMN()/3,0)-2))</f>
        <v/>
      </c>
      <c r="Z185" s="127"/>
      <c r="AA185" s="137"/>
      <c r="AB185" s="58" t="str" cm="1">
        <f>IF(ISBLANK($A185),"",INDEX(Array_ElectricalCharges,MATCH($A185,List_ElectricityMeters,0),ROUNDUP(COLUMN()/3,0)-2))</f>
        <v/>
      </c>
      <c r="AC185" s="127"/>
      <c r="AD185" s="137"/>
      <c r="AE185" s="58" t="str" cm="1">
        <f>IF(ISBLANK($A185),"",INDEX(Array_ElectricalCharges,MATCH($A185,List_ElectricityMeters,0),ROUNDUP(COLUMN()/3,0)-2))</f>
        <v/>
      </c>
      <c r="AF185" s="127"/>
      <c r="AG185" s="137"/>
      <c r="AH185" s="58" t="str" cm="1">
        <f>IF(ISBLANK($A185),"",INDEX(Array_ElectricalCharges,MATCH($A185,List_ElectricityMeters,0),ROUNDUP(COLUMN()/3,0)-2))</f>
        <v/>
      </c>
      <c r="AI185" s="127"/>
      <c r="AJ185" s="137"/>
      <c r="AK185" s="58" t="str" cm="1">
        <f>IF(ISBLANK($A185),"",INDEX(Array_ElectricalCharges,MATCH($A185,List_ElectricityMeters,0),ROUNDUP(COLUMN()/3,0)-2))</f>
        <v/>
      </c>
      <c r="AL185" s="127"/>
      <c r="AM185" s="137"/>
      <c r="AN185" s="58" t="str" cm="1">
        <f>IF(ISBLANK($A185),"",INDEX(Array_ElectricalCharges,MATCH($A185,List_ElectricityMeters,0),ROUNDUP(COLUMN()/3,0)-2))</f>
        <v/>
      </c>
      <c r="AO185" s="127"/>
      <c r="AP185" s="137"/>
      <c r="AQ185" s="58" t="str" cm="1">
        <f>IF(ISBLANK($A185),"",INDEX(Array_ElectricalCharges,MATCH($A185,List_ElectricityMeters,0),ROUNDUP(COLUMN()/3,0)-2))</f>
        <v/>
      </c>
      <c r="AR185" s="127"/>
      <c r="AS185" s="137"/>
      <c r="AT185" s="58" t="str" cm="1">
        <f>IF(ISBLANK($A185),"",INDEX(Array_ElectricalCharges,MATCH($A185,List_ElectricityMeters,0),ROUNDUP(COLUMN()/3,0)-2))</f>
        <v/>
      </c>
      <c r="AU185" s="127"/>
      <c r="AV185" s="137"/>
      <c r="AW185" s="58" t="str" cm="1">
        <f>IF(ISBLANK($A185),"",INDEX(Array_ElectricalCharges,MATCH($A185,List_ElectricityMeters,0),ROUNDUP(COLUMN()/3,0)-2))</f>
        <v/>
      </c>
      <c r="AX185" s="127"/>
      <c r="AY185" s="137"/>
    </row>
    <row r="186" spans="1:51" x14ac:dyDescent="0.3">
      <c r="A186" s="126"/>
      <c r="B186" s="133"/>
      <c r="C186" s="134"/>
      <c r="D186" s="134"/>
      <c r="E186" s="135"/>
      <c r="F186" s="136"/>
      <c r="G186" s="58" t="str" cm="1">
        <f>IF(ISBLANK($A186),"",INDEX(Array_ElectricalCharges,MATCH($A186,List_ElectricityMeters,0),ROUNDUP(COLUMN()/3,0)-2))</f>
        <v/>
      </c>
      <c r="H186" s="127"/>
      <c r="I186" s="137"/>
      <c r="J186" s="58" t="str" cm="1">
        <f>IF(ISBLANK($A186),"",INDEX(Array_ElectricalCharges,MATCH($A186,List_ElectricityMeters,0),ROUNDUP(COLUMN()/3,0)-2))</f>
        <v/>
      </c>
      <c r="K186" s="127"/>
      <c r="L186" s="137"/>
      <c r="M186" s="58" t="str" cm="1">
        <f>IF(ISBLANK($A186),"",INDEX(Array_ElectricalCharges,MATCH($A186,List_ElectricityMeters,0),ROUNDUP(COLUMN()/3,0)-2))</f>
        <v/>
      </c>
      <c r="N186" s="127"/>
      <c r="O186" s="137"/>
      <c r="P186" s="58" t="str" cm="1">
        <f>IF(ISBLANK($A186),"",INDEX(Array_ElectricalCharges,MATCH($A186,List_ElectricityMeters,0),ROUNDUP(COLUMN()/3,0)-2))</f>
        <v/>
      </c>
      <c r="Q186" s="127"/>
      <c r="R186" s="137"/>
      <c r="S186" s="58" t="str" cm="1">
        <f>IF(ISBLANK($A186),"",INDEX(Array_ElectricalCharges,MATCH($A186,List_ElectricityMeters,0),ROUNDUP(COLUMN()/3,0)-2))</f>
        <v/>
      </c>
      <c r="T186" s="127"/>
      <c r="U186" s="137"/>
      <c r="V186" s="58" t="str" cm="1">
        <f>IF(ISBLANK($A186),"",INDEX(Array_ElectricalCharges,MATCH($A186,List_ElectricityMeters,0),ROUNDUP(COLUMN()/3,0)-2))</f>
        <v/>
      </c>
      <c r="W186" s="127"/>
      <c r="X186" s="137"/>
      <c r="Y186" s="58" t="str" cm="1">
        <f>IF(ISBLANK($A186),"",INDEX(Array_ElectricalCharges,MATCH($A186,List_ElectricityMeters,0),ROUNDUP(COLUMN()/3,0)-2))</f>
        <v/>
      </c>
      <c r="Z186" s="127"/>
      <c r="AA186" s="137"/>
      <c r="AB186" s="58" t="str" cm="1">
        <f>IF(ISBLANK($A186),"",INDEX(Array_ElectricalCharges,MATCH($A186,List_ElectricityMeters,0),ROUNDUP(COLUMN()/3,0)-2))</f>
        <v/>
      </c>
      <c r="AC186" s="127"/>
      <c r="AD186" s="137"/>
      <c r="AE186" s="58" t="str" cm="1">
        <f>IF(ISBLANK($A186),"",INDEX(Array_ElectricalCharges,MATCH($A186,List_ElectricityMeters,0),ROUNDUP(COLUMN()/3,0)-2))</f>
        <v/>
      </c>
      <c r="AF186" s="127"/>
      <c r="AG186" s="137"/>
      <c r="AH186" s="58" t="str" cm="1">
        <f>IF(ISBLANK($A186),"",INDEX(Array_ElectricalCharges,MATCH($A186,List_ElectricityMeters,0),ROUNDUP(COLUMN()/3,0)-2))</f>
        <v/>
      </c>
      <c r="AI186" s="127"/>
      <c r="AJ186" s="137"/>
      <c r="AK186" s="58" t="str" cm="1">
        <f>IF(ISBLANK($A186),"",INDEX(Array_ElectricalCharges,MATCH($A186,List_ElectricityMeters,0),ROUNDUP(COLUMN()/3,0)-2))</f>
        <v/>
      </c>
      <c r="AL186" s="127"/>
      <c r="AM186" s="137"/>
      <c r="AN186" s="58" t="str" cm="1">
        <f>IF(ISBLANK($A186),"",INDEX(Array_ElectricalCharges,MATCH($A186,List_ElectricityMeters,0),ROUNDUP(COLUMN()/3,0)-2))</f>
        <v/>
      </c>
      <c r="AO186" s="127"/>
      <c r="AP186" s="137"/>
      <c r="AQ186" s="58" t="str" cm="1">
        <f>IF(ISBLANK($A186),"",INDEX(Array_ElectricalCharges,MATCH($A186,List_ElectricityMeters,0),ROUNDUP(COLUMN()/3,0)-2))</f>
        <v/>
      </c>
      <c r="AR186" s="127"/>
      <c r="AS186" s="137"/>
      <c r="AT186" s="58" t="str" cm="1">
        <f>IF(ISBLANK($A186),"",INDEX(Array_ElectricalCharges,MATCH($A186,List_ElectricityMeters,0),ROUNDUP(COLUMN()/3,0)-2))</f>
        <v/>
      </c>
      <c r="AU186" s="127"/>
      <c r="AV186" s="137"/>
      <c r="AW186" s="58" t="str" cm="1">
        <f>IF(ISBLANK($A186),"",INDEX(Array_ElectricalCharges,MATCH($A186,List_ElectricityMeters,0),ROUNDUP(COLUMN()/3,0)-2))</f>
        <v/>
      </c>
      <c r="AX186" s="127"/>
      <c r="AY186" s="137"/>
    </row>
    <row r="187" spans="1:51" x14ac:dyDescent="0.3">
      <c r="A187" s="126"/>
      <c r="B187" s="133"/>
      <c r="C187" s="134"/>
      <c r="D187" s="134"/>
      <c r="E187" s="135"/>
      <c r="F187" s="136"/>
      <c r="G187" s="58" t="str" cm="1">
        <f>IF(ISBLANK($A187),"",INDEX(Array_ElectricalCharges,MATCH($A187,List_ElectricityMeters,0),ROUNDUP(COLUMN()/3,0)-2))</f>
        <v/>
      </c>
      <c r="H187" s="127"/>
      <c r="I187" s="137"/>
      <c r="J187" s="58" t="str" cm="1">
        <f>IF(ISBLANK($A187),"",INDEX(Array_ElectricalCharges,MATCH($A187,List_ElectricityMeters,0),ROUNDUP(COLUMN()/3,0)-2))</f>
        <v/>
      </c>
      <c r="K187" s="127"/>
      <c r="L187" s="137"/>
      <c r="M187" s="58" t="str" cm="1">
        <f>IF(ISBLANK($A187),"",INDEX(Array_ElectricalCharges,MATCH($A187,List_ElectricityMeters,0),ROUNDUP(COLUMN()/3,0)-2))</f>
        <v/>
      </c>
      <c r="N187" s="127"/>
      <c r="O187" s="137"/>
      <c r="P187" s="58" t="str" cm="1">
        <f>IF(ISBLANK($A187),"",INDEX(Array_ElectricalCharges,MATCH($A187,List_ElectricityMeters,0),ROUNDUP(COLUMN()/3,0)-2))</f>
        <v/>
      </c>
      <c r="Q187" s="127"/>
      <c r="R187" s="137"/>
      <c r="S187" s="58" t="str" cm="1">
        <f>IF(ISBLANK($A187),"",INDEX(Array_ElectricalCharges,MATCH($A187,List_ElectricityMeters,0),ROUNDUP(COLUMN()/3,0)-2))</f>
        <v/>
      </c>
      <c r="T187" s="127"/>
      <c r="U187" s="137"/>
      <c r="V187" s="58" t="str" cm="1">
        <f>IF(ISBLANK($A187),"",INDEX(Array_ElectricalCharges,MATCH($A187,List_ElectricityMeters,0),ROUNDUP(COLUMN()/3,0)-2))</f>
        <v/>
      </c>
      <c r="W187" s="127"/>
      <c r="X187" s="137"/>
      <c r="Y187" s="58" t="str" cm="1">
        <f>IF(ISBLANK($A187),"",INDEX(Array_ElectricalCharges,MATCH($A187,List_ElectricityMeters,0),ROUNDUP(COLUMN()/3,0)-2))</f>
        <v/>
      </c>
      <c r="Z187" s="127"/>
      <c r="AA187" s="137"/>
      <c r="AB187" s="58" t="str" cm="1">
        <f>IF(ISBLANK($A187),"",INDEX(Array_ElectricalCharges,MATCH($A187,List_ElectricityMeters,0),ROUNDUP(COLUMN()/3,0)-2))</f>
        <v/>
      </c>
      <c r="AC187" s="127"/>
      <c r="AD187" s="137"/>
      <c r="AE187" s="58" t="str" cm="1">
        <f>IF(ISBLANK($A187),"",INDEX(Array_ElectricalCharges,MATCH($A187,List_ElectricityMeters,0),ROUNDUP(COLUMN()/3,0)-2))</f>
        <v/>
      </c>
      <c r="AF187" s="127"/>
      <c r="AG187" s="137"/>
      <c r="AH187" s="58" t="str" cm="1">
        <f>IF(ISBLANK($A187),"",INDEX(Array_ElectricalCharges,MATCH($A187,List_ElectricityMeters,0),ROUNDUP(COLUMN()/3,0)-2))</f>
        <v/>
      </c>
      <c r="AI187" s="127"/>
      <c r="AJ187" s="137"/>
      <c r="AK187" s="58" t="str" cm="1">
        <f>IF(ISBLANK($A187),"",INDEX(Array_ElectricalCharges,MATCH($A187,List_ElectricityMeters,0),ROUNDUP(COLUMN()/3,0)-2))</f>
        <v/>
      </c>
      <c r="AL187" s="127"/>
      <c r="AM187" s="137"/>
      <c r="AN187" s="58" t="str" cm="1">
        <f>IF(ISBLANK($A187),"",INDEX(Array_ElectricalCharges,MATCH($A187,List_ElectricityMeters,0),ROUNDUP(COLUMN()/3,0)-2))</f>
        <v/>
      </c>
      <c r="AO187" s="127"/>
      <c r="AP187" s="137"/>
      <c r="AQ187" s="58" t="str" cm="1">
        <f>IF(ISBLANK($A187),"",INDEX(Array_ElectricalCharges,MATCH($A187,List_ElectricityMeters,0),ROUNDUP(COLUMN()/3,0)-2))</f>
        <v/>
      </c>
      <c r="AR187" s="127"/>
      <c r="AS187" s="137"/>
      <c r="AT187" s="58" t="str" cm="1">
        <f>IF(ISBLANK($A187),"",INDEX(Array_ElectricalCharges,MATCH($A187,List_ElectricityMeters,0),ROUNDUP(COLUMN()/3,0)-2))</f>
        <v/>
      </c>
      <c r="AU187" s="127"/>
      <c r="AV187" s="137"/>
      <c r="AW187" s="58" t="str" cm="1">
        <f>IF(ISBLANK($A187),"",INDEX(Array_ElectricalCharges,MATCH($A187,List_ElectricityMeters,0),ROUNDUP(COLUMN()/3,0)-2))</f>
        <v/>
      </c>
      <c r="AX187" s="127"/>
      <c r="AY187" s="137"/>
    </row>
    <row r="188" spans="1:51" x14ac:dyDescent="0.3">
      <c r="A188" s="126"/>
      <c r="B188" s="133"/>
      <c r="C188" s="134"/>
      <c r="D188" s="134"/>
      <c r="E188" s="135"/>
      <c r="F188" s="136"/>
      <c r="G188" s="58" t="str" cm="1">
        <f>IF(ISBLANK($A188),"",INDEX(Array_ElectricalCharges,MATCH($A188,List_ElectricityMeters,0),ROUNDUP(COLUMN()/3,0)-2))</f>
        <v/>
      </c>
      <c r="H188" s="127"/>
      <c r="I188" s="137"/>
      <c r="J188" s="58" t="str" cm="1">
        <f>IF(ISBLANK($A188),"",INDEX(Array_ElectricalCharges,MATCH($A188,List_ElectricityMeters,0),ROUNDUP(COLUMN()/3,0)-2))</f>
        <v/>
      </c>
      <c r="K188" s="127"/>
      <c r="L188" s="137"/>
      <c r="M188" s="58" t="str" cm="1">
        <f>IF(ISBLANK($A188),"",INDEX(Array_ElectricalCharges,MATCH($A188,List_ElectricityMeters,0),ROUNDUP(COLUMN()/3,0)-2))</f>
        <v/>
      </c>
      <c r="N188" s="127"/>
      <c r="O188" s="137"/>
      <c r="P188" s="58" t="str" cm="1">
        <f>IF(ISBLANK($A188),"",INDEX(Array_ElectricalCharges,MATCH($A188,List_ElectricityMeters,0),ROUNDUP(COLUMN()/3,0)-2))</f>
        <v/>
      </c>
      <c r="Q188" s="127"/>
      <c r="R188" s="137"/>
      <c r="S188" s="58" t="str" cm="1">
        <f>IF(ISBLANK($A188),"",INDEX(Array_ElectricalCharges,MATCH($A188,List_ElectricityMeters,0),ROUNDUP(COLUMN()/3,0)-2))</f>
        <v/>
      </c>
      <c r="T188" s="127"/>
      <c r="U188" s="137"/>
      <c r="V188" s="58" t="str" cm="1">
        <f>IF(ISBLANK($A188),"",INDEX(Array_ElectricalCharges,MATCH($A188,List_ElectricityMeters,0),ROUNDUP(COLUMN()/3,0)-2))</f>
        <v/>
      </c>
      <c r="W188" s="127"/>
      <c r="X188" s="137"/>
      <c r="Y188" s="58" t="str" cm="1">
        <f>IF(ISBLANK($A188),"",INDEX(Array_ElectricalCharges,MATCH($A188,List_ElectricityMeters,0),ROUNDUP(COLUMN()/3,0)-2))</f>
        <v/>
      </c>
      <c r="Z188" s="127"/>
      <c r="AA188" s="137"/>
      <c r="AB188" s="58" t="str" cm="1">
        <f>IF(ISBLANK($A188),"",INDEX(Array_ElectricalCharges,MATCH($A188,List_ElectricityMeters,0),ROUNDUP(COLUMN()/3,0)-2))</f>
        <v/>
      </c>
      <c r="AC188" s="127"/>
      <c r="AD188" s="137"/>
      <c r="AE188" s="58" t="str" cm="1">
        <f>IF(ISBLANK($A188),"",INDEX(Array_ElectricalCharges,MATCH($A188,List_ElectricityMeters,0),ROUNDUP(COLUMN()/3,0)-2))</f>
        <v/>
      </c>
      <c r="AF188" s="127"/>
      <c r="AG188" s="137"/>
      <c r="AH188" s="58" t="str" cm="1">
        <f>IF(ISBLANK($A188),"",INDEX(Array_ElectricalCharges,MATCH($A188,List_ElectricityMeters,0),ROUNDUP(COLUMN()/3,0)-2))</f>
        <v/>
      </c>
      <c r="AI188" s="127"/>
      <c r="AJ188" s="137"/>
      <c r="AK188" s="58" t="str" cm="1">
        <f>IF(ISBLANK($A188),"",INDEX(Array_ElectricalCharges,MATCH($A188,List_ElectricityMeters,0),ROUNDUP(COLUMN()/3,0)-2))</f>
        <v/>
      </c>
      <c r="AL188" s="127"/>
      <c r="AM188" s="137"/>
      <c r="AN188" s="58" t="str" cm="1">
        <f>IF(ISBLANK($A188),"",INDEX(Array_ElectricalCharges,MATCH($A188,List_ElectricityMeters,0),ROUNDUP(COLUMN()/3,0)-2))</f>
        <v/>
      </c>
      <c r="AO188" s="127"/>
      <c r="AP188" s="137"/>
      <c r="AQ188" s="58" t="str" cm="1">
        <f>IF(ISBLANK($A188),"",INDEX(Array_ElectricalCharges,MATCH($A188,List_ElectricityMeters,0),ROUNDUP(COLUMN()/3,0)-2))</f>
        <v/>
      </c>
      <c r="AR188" s="127"/>
      <c r="AS188" s="137"/>
      <c r="AT188" s="58" t="str" cm="1">
        <f>IF(ISBLANK($A188),"",INDEX(Array_ElectricalCharges,MATCH($A188,List_ElectricityMeters,0),ROUNDUP(COLUMN()/3,0)-2))</f>
        <v/>
      </c>
      <c r="AU188" s="127"/>
      <c r="AV188" s="137"/>
      <c r="AW188" s="58" t="str" cm="1">
        <f>IF(ISBLANK($A188),"",INDEX(Array_ElectricalCharges,MATCH($A188,List_ElectricityMeters,0),ROUNDUP(COLUMN()/3,0)-2))</f>
        <v/>
      </c>
      <c r="AX188" s="127"/>
      <c r="AY188" s="137"/>
    </row>
    <row r="189" spans="1:51" x14ac:dyDescent="0.3">
      <c r="A189" s="126"/>
      <c r="B189" s="133"/>
      <c r="C189" s="134"/>
      <c r="D189" s="134"/>
      <c r="E189" s="135"/>
      <c r="F189" s="136"/>
      <c r="G189" s="58" t="str" cm="1">
        <f>IF(ISBLANK($A189),"",INDEX(Array_ElectricalCharges,MATCH($A189,List_ElectricityMeters,0),ROUNDUP(COLUMN()/3,0)-2))</f>
        <v/>
      </c>
      <c r="H189" s="127"/>
      <c r="I189" s="137"/>
      <c r="J189" s="58" t="str" cm="1">
        <f>IF(ISBLANK($A189),"",INDEX(Array_ElectricalCharges,MATCH($A189,List_ElectricityMeters,0),ROUNDUP(COLUMN()/3,0)-2))</f>
        <v/>
      </c>
      <c r="K189" s="127"/>
      <c r="L189" s="137"/>
      <c r="M189" s="58" t="str" cm="1">
        <f>IF(ISBLANK($A189),"",INDEX(Array_ElectricalCharges,MATCH($A189,List_ElectricityMeters,0),ROUNDUP(COLUMN()/3,0)-2))</f>
        <v/>
      </c>
      <c r="N189" s="127"/>
      <c r="O189" s="137"/>
      <c r="P189" s="58" t="str" cm="1">
        <f>IF(ISBLANK($A189),"",INDEX(Array_ElectricalCharges,MATCH($A189,List_ElectricityMeters,0),ROUNDUP(COLUMN()/3,0)-2))</f>
        <v/>
      </c>
      <c r="Q189" s="127"/>
      <c r="R189" s="137"/>
      <c r="S189" s="58" t="str" cm="1">
        <f>IF(ISBLANK($A189),"",INDEX(Array_ElectricalCharges,MATCH($A189,List_ElectricityMeters,0),ROUNDUP(COLUMN()/3,0)-2))</f>
        <v/>
      </c>
      <c r="T189" s="127"/>
      <c r="U189" s="137"/>
      <c r="V189" s="58" t="str" cm="1">
        <f>IF(ISBLANK($A189),"",INDEX(Array_ElectricalCharges,MATCH($A189,List_ElectricityMeters,0),ROUNDUP(COLUMN()/3,0)-2))</f>
        <v/>
      </c>
      <c r="W189" s="127"/>
      <c r="X189" s="137"/>
      <c r="Y189" s="58" t="str" cm="1">
        <f>IF(ISBLANK($A189),"",INDEX(Array_ElectricalCharges,MATCH($A189,List_ElectricityMeters,0),ROUNDUP(COLUMN()/3,0)-2))</f>
        <v/>
      </c>
      <c r="Z189" s="127"/>
      <c r="AA189" s="137"/>
      <c r="AB189" s="58" t="str" cm="1">
        <f>IF(ISBLANK($A189),"",INDEX(Array_ElectricalCharges,MATCH($A189,List_ElectricityMeters,0),ROUNDUP(COLUMN()/3,0)-2))</f>
        <v/>
      </c>
      <c r="AC189" s="127"/>
      <c r="AD189" s="137"/>
      <c r="AE189" s="58" t="str" cm="1">
        <f>IF(ISBLANK($A189),"",INDEX(Array_ElectricalCharges,MATCH($A189,List_ElectricityMeters,0),ROUNDUP(COLUMN()/3,0)-2))</f>
        <v/>
      </c>
      <c r="AF189" s="127"/>
      <c r="AG189" s="137"/>
      <c r="AH189" s="58" t="str" cm="1">
        <f>IF(ISBLANK($A189),"",INDEX(Array_ElectricalCharges,MATCH($A189,List_ElectricityMeters,0),ROUNDUP(COLUMN()/3,0)-2))</f>
        <v/>
      </c>
      <c r="AI189" s="127"/>
      <c r="AJ189" s="137"/>
      <c r="AK189" s="58" t="str" cm="1">
        <f>IF(ISBLANK($A189),"",INDEX(Array_ElectricalCharges,MATCH($A189,List_ElectricityMeters,0),ROUNDUP(COLUMN()/3,0)-2))</f>
        <v/>
      </c>
      <c r="AL189" s="127"/>
      <c r="AM189" s="137"/>
      <c r="AN189" s="58" t="str" cm="1">
        <f>IF(ISBLANK($A189),"",INDEX(Array_ElectricalCharges,MATCH($A189,List_ElectricityMeters,0),ROUNDUP(COLUMN()/3,0)-2))</f>
        <v/>
      </c>
      <c r="AO189" s="127"/>
      <c r="AP189" s="137"/>
      <c r="AQ189" s="58" t="str" cm="1">
        <f>IF(ISBLANK($A189),"",INDEX(Array_ElectricalCharges,MATCH($A189,List_ElectricityMeters,0),ROUNDUP(COLUMN()/3,0)-2))</f>
        <v/>
      </c>
      <c r="AR189" s="127"/>
      <c r="AS189" s="137"/>
      <c r="AT189" s="58" t="str" cm="1">
        <f>IF(ISBLANK($A189),"",INDEX(Array_ElectricalCharges,MATCH($A189,List_ElectricityMeters,0),ROUNDUP(COLUMN()/3,0)-2))</f>
        <v/>
      </c>
      <c r="AU189" s="127"/>
      <c r="AV189" s="137"/>
      <c r="AW189" s="58" t="str" cm="1">
        <f>IF(ISBLANK($A189),"",INDEX(Array_ElectricalCharges,MATCH($A189,List_ElectricityMeters,0),ROUNDUP(COLUMN()/3,0)-2))</f>
        <v/>
      </c>
      <c r="AX189" s="127"/>
      <c r="AY189" s="137"/>
    </row>
    <row r="190" spans="1:51" x14ac:dyDescent="0.3">
      <c r="A190" s="126"/>
      <c r="B190" s="133"/>
      <c r="C190" s="134"/>
      <c r="D190" s="134"/>
      <c r="E190" s="135"/>
      <c r="F190" s="136"/>
      <c r="G190" s="58" t="str" cm="1">
        <f>IF(ISBLANK($A190),"",INDEX(Array_ElectricalCharges,MATCH($A190,List_ElectricityMeters,0),ROUNDUP(COLUMN()/3,0)-2))</f>
        <v/>
      </c>
      <c r="H190" s="127"/>
      <c r="I190" s="137"/>
      <c r="J190" s="58" t="str" cm="1">
        <f>IF(ISBLANK($A190),"",INDEX(Array_ElectricalCharges,MATCH($A190,List_ElectricityMeters,0),ROUNDUP(COLUMN()/3,0)-2))</f>
        <v/>
      </c>
      <c r="K190" s="127"/>
      <c r="L190" s="137"/>
      <c r="M190" s="58" t="str" cm="1">
        <f>IF(ISBLANK($A190),"",INDEX(Array_ElectricalCharges,MATCH($A190,List_ElectricityMeters,0),ROUNDUP(COLUMN()/3,0)-2))</f>
        <v/>
      </c>
      <c r="N190" s="127"/>
      <c r="O190" s="137"/>
      <c r="P190" s="58" t="str" cm="1">
        <f>IF(ISBLANK($A190),"",INDEX(Array_ElectricalCharges,MATCH($A190,List_ElectricityMeters,0),ROUNDUP(COLUMN()/3,0)-2))</f>
        <v/>
      </c>
      <c r="Q190" s="127"/>
      <c r="R190" s="137"/>
      <c r="S190" s="58" t="str" cm="1">
        <f>IF(ISBLANK($A190),"",INDEX(Array_ElectricalCharges,MATCH($A190,List_ElectricityMeters,0),ROUNDUP(COLUMN()/3,0)-2))</f>
        <v/>
      </c>
      <c r="T190" s="127"/>
      <c r="U190" s="137"/>
      <c r="V190" s="58" t="str" cm="1">
        <f>IF(ISBLANK($A190),"",INDEX(Array_ElectricalCharges,MATCH($A190,List_ElectricityMeters,0),ROUNDUP(COLUMN()/3,0)-2))</f>
        <v/>
      </c>
      <c r="W190" s="127"/>
      <c r="X190" s="137"/>
      <c r="Y190" s="58" t="str" cm="1">
        <f>IF(ISBLANK($A190),"",INDEX(Array_ElectricalCharges,MATCH($A190,List_ElectricityMeters,0),ROUNDUP(COLUMN()/3,0)-2))</f>
        <v/>
      </c>
      <c r="Z190" s="127"/>
      <c r="AA190" s="137"/>
      <c r="AB190" s="58" t="str" cm="1">
        <f>IF(ISBLANK($A190),"",INDEX(Array_ElectricalCharges,MATCH($A190,List_ElectricityMeters,0),ROUNDUP(COLUMN()/3,0)-2))</f>
        <v/>
      </c>
      <c r="AC190" s="127"/>
      <c r="AD190" s="137"/>
      <c r="AE190" s="58" t="str" cm="1">
        <f>IF(ISBLANK($A190),"",INDEX(Array_ElectricalCharges,MATCH($A190,List_ElectricityMeters,0),ROUNDUP(COLUMN()/3,0)-2))</f>
        <v/>
      </c>
      <c r="AF190" s="127"/>
      <c r="AG190" s="137"/>
      <c r="AH190" s="58" t="str" cm="1">
        <f>IF(ISBLANK($A190),"",INDEX(Array_ElectricalCharges,MATCH($A190,List_ElectricityMeters,0),ROUNDUP(COLUMN()/3,0)-2))</f>
        <v/>
      </c>
      <c r="AI190" s="127"/>
      <c r="AJ190" s="137"/>
      <c r="AK190" s="58" t="str" cm="1">
        <f>IF(ISBLANK($A190),"",INDEX(Array_ElectricalCharges,MATCH($A190,List_ElectricityMeters,0),ROUNDUP(COLUMN()/3,0)-2))</f>
        <v/>
      </c>
      <c r="AL190" s="127"/>
      <c r="AM190" s="137"/>
      <c r="AN190" s="58" t="str" cm="1">
        <f>IF(ISBLANK($A190),"",INDEX(Array_ElectricalCharges,MATCH($A190,List_ElectricityMeters,0),ROUNDUP(COLUMN()/3,0)-2))</f>
        <v/>
      </c>
      <c r="AO190" s="127"/>
      <c r="AP190" s="137"/>
      <c r="AQ190" s="58" t="str" cm="1">
        <f>IF(ISBLANK($A190),"",INDEX(Array_ElectricalCharges,MATCH($A190,List_ElectricityMeters,0),ROUNDUP(COLUMN()/3,0)-2))</f>
        <v/>
      </c>
      <c r="AR190" s="127"/>
      <c r="AS190" s="137"/>
      <c r="AT190" s="58" t="str" cm="1">
        <f>IF(ISBLANK($A190),"",INDEX(Array_ElectricalCharges,MATCH($A190,List_ElectricityMeters,0),ROUNDUP(COLUMN()/3,0)-2))</f>
        <v/>
      </c>
      <c r="AU190" s="127"/>
      <c r="AV190" s="137"/>
      <c r="AW190" s="58" t="str" cm="1">
        <f>IF(ISBLANK($A190),"",INDEX(Array_ElectricalCharges,MATCH($A190,List_ElectricityMeters,0),ROUNDUP(COLUMN()/3,0)-2))</f>
        <v/>
      </c>
      <c r="AX190" s="127"/>
      <c r="AY190" s="137"/>
    </row>
    <row r="191" spans="1:51" x14ac:dyDescent="0.3">
      <c r="A191" s="126"/>
      <c r="B191" s="133"/>
      <c r="C191" s="134"/>
      <c r="D191" s="134"/>
      <c r="E191" s="135"/>
      <c r="F191" s="136"/>
      <c r="G191" s="58" t="str" cm="1">
        <f>IF(ISBLANK($A191),"",INDEX(Array_ElectricalCharges,MATCH($A191,List_ElectricityMeters,0),ROUNDUP(COLUMN()/3,0)-2))</f>
        <v/>
      </c>
      <c r="H191" s="127"/>
      <c r="I191" s="137"/>
      <c r="J191" s="58" t="str" cm="1">
        <f>IF(ISBLANK($A191),"",INDEX(Array_ElectricalCharges,MATCH($A191,List_ElectricityMeters,0),ROUNDUP(COLUMN()/3,0)-2))</f>
        <v/>
      </c>
      <c r="K191" s="127"/>
      <c r="L191" s="137"/>
      <c r="M191" s="58" t="str" cm="1">
        <f>IF(ISBLANK($A191),"",INDEX(Array_ElectricalCharges,MATCH($A191,List_ElectricityMeters,0),ROUNDUP(COLUMN()/3,0)-2))</f>
        <v/>
      </c>
      <c r="N191" s="127"/>
      <c r="O191" s="137"/>
      <c r="P191" s="58" t="str" cm="1">
        <f>IF(ISBLANK($A191),"",INDEX(Array_ElectricalCharges,MATCH($A191,List_ElectricityMeters,0),ROUNDUP(COLUMN()/3,0)-2))</f>
        <v/>
      </c>
      <c r="Q191" s="127"/>
      <c r="R191" s="137"/>
      <c r="S191" s="58" t="str" cm="1">
        <f>IF(ISBLANK($A191),"",INDEX(Array_ElectricalCharges,MATCH($A191,List_ElectricityMeters,0),ROUNDUP(COLUMN()/3,0)-2))</f>
        <v/>
      </c>
      <c r="T191" s="127"/>
      <c r="U191" s="137"/>
      <c r="V191" s="58" t="str" cm="1">
        <f>IF(ISBLANK($A191),"",INDEX(Array_ElectricalCharges,MATCH($A191,List_ElectricityMeters,0),ROUNDUP(COLUMN()/3,0)-2))</f>
        <v/>
      </c>
      <c r="W191" s="127"/>
      <c r="X191" s="137"/>
      <c r="Y191" s="58" t="str" cm="1">
        <f>IF(ISBLANK($A191),"",INDEX(Array_ElectricalCharges,MATCH($A191,List_ElectricityMeters,0),ROUNDUP(COLUMN()/3,0)-2))</f>
        <v/>
      </c>
      <c r="Z191" s="127"/>
      <c r="AA191" s="137"/>
      <c r="AB191" s="58" t="str" cm="1">
        <f>IF(ISBLANK($A191),"",INDEX(Array_ElectricalCharges,MATCH($A191,List_ElectricityMeters,0),ROUNDUP(COLUMN()/3,0)-2))</f>
        <v/>
      </c>
      <c r="AC191" s="127"/>
      <c r="AD191" s="137"/>
      <c r="AE191" s="58" t="str" cm="1">
        <f>IF(ISBLANK($A191),"",INDEX(Array_ElectricalCharges,MATCH($A191,List_ElectricityMeters,0),ROUNDUP(COLUMN()/3,0)-2))</f>
        <v/>
      </c>
      <c r="AF191" s="127"/>
      <c r="AG191" s="137"/>
      <c r="AH191" s="58" t="str" cm="1">
        <f>IF(ISBLANK($A191),"",INDEX(Array_ElectricalCharges,MATCH($A191,List_ElectricityMeters,0),ROUNDUP(COLUMN()/3,0)-2))</f>
        <v/>
      </c>
      <c r="AI191" s="127"/>
      <c r="AJ191" s="137"/>
      <c r="AK191" s="58" t="str" cm="1">
        <f>IF(ISBLANK($A191),"",INDEX(Array_ElectricalCharges,MATCH($A191,List_ElectricityMeters,0),ROUNDUP(COLUMN()/3,0)-2))</f>
        <v/>
      </c>
      <c r="AL191" s="127"/>
      <c r="AM191" s="137"/>
      <c r="AN191" s="58" t="str" cm="1">
        <f>IF(ISBLANK($A191),"",INDEX(Array_ElectricalCharges,MATCH($A191,List_ElectricityMeters,0),ROUNDUP(COLUMN()/3,0)-2))</f>
        <v/>
      </c>
      <c r="AO191" s="127"/>
      <c r="AP191" s="137"/>
      <c r="AQ191" s="58" t="str" cm="1">
        <f>IF(ISBLANK($A191),"",INDEX(Array_ElectricalCharges,MATCH($A191,List_ElectricityMeters,0),ROUNDUP(COLUMN()/3,0)-2))</f>
        <v/>
      </c>
      <c r="AR191" s="127"/>
      <c r="AS191" s="137"/>
      <c r="AT191" s="58" t="str" cm="1">
        <f>IF(ISBLANK($A191),"",INDEX(Array_ElectricalCharges,MATCH($A191,List_ElectricityMeters,0),ROUNDUP(COLUMN()/3,0)-2))</f>
        <v/>
      </c>
      <c r="AU191" s="127"/>
      <c r="AV191" s="137"/>
      <c r="AW191" s="58" t="str" cm="1">
        <f>IF(ISBLANK($A191),"",INDEX(Array_ElectricalCharges,MATCH($A191,List_ElectricityMeters,0),ROUNDUP(COLUMN()/3,0)-2))</f>
        <v/>
      </c>
      <c r="AX191" s="127"/>
      <c r="AY191" s="137"/>
    </row>
    <row r="192" spans="1:51" x14ac:dyDescent="0.3">
      <c r="A192" s="126"/>
      <c r="B192" s="133"/>
      <c r="C192" s="134"/>
      <c r="D192" s="134"/>
      <c r="E192" s="135"/>
      <c r="F192" s="136"/>
      <c r="G192" s="58" t="str" cm="1">
        <f>IF(ISBLANK($A192),"",INDEX(Array_ElectricalCharges,MATCH($A192,List_ElectricityMeters,0),ROUNDUP(COLUMN()/3,0)-2))</f>
        <v/>
      </c>
      <c r="H192" s="127"/>
      <c r="I192" s="137"/>
      <c r="J192" s="58" t="str" cm="1">
        <f>IF(ISBLANK($A192),"",INDEX(Array_ElectricalCharges,MATCH($A192,List_ElectricityMeters,0),ROUNDUP(COLUMN()/3,0)-2))</f>
        <v/>
      </c>
      <c r="K192" s="127"/>
      <c r="L192" s="137"/>
      <c r="M192" s="58" t="str" cm="1">
        <f>IF(ISBLANK($A192),"",INDEX(Array_ElectricalCharges,MATCH($A192,List_ElectricityMeters,0),ROUNDUP(COLUMN()/3,0)-2))</f>
        <v/>
      </c>
      <c r="N192" s="127"/>
      <c r="O192" s="137"/>
      <c r="P192" s="58" t="str" cm="1">
        <f>IF(ISBLANK($A192),"",INDEX(Array_ElectricalCharges,MATCH($A192,List_ElectricityMeters,0),ROUNDUP(COLUMN()/3,0)-2))</f>
        <v/>
      </c>
      <c r="Q192" s="127"/>
      <c r="R192" s="137"/>
      <c r="S192" s="58" t="str" cm="1">
        <f>IF(ISBLANK($A192),"",INDEX(Array_ElectricalCharges,MATCH($A192,List_ElectricityMeters,0),ROUNDUP(COLUMN()/3,0)-2))</f>
        <v/>
      </c>
      <c r="T192" s="127"/>
      <c r="U192" s="137"/>
      <c r="V192" s="58" t="str" cm="1">
        <f>IF(ISBLANK($A192),"",INDEX(Array_ElectricalCharges,MATCH($A192,List_ElectricityMeters,0),ROUNDUP(COLUMN()/3,0)-2))</f>
        <v/>
      </c>
      <c r="W192" s="127"/>
      <c r="X192" s="137"/>
      <c r="Y192" s="58" t="str" cm="1">
        <f>IF(ISBLANK($A192),"",INDEX(Array_ElectricalCharges,MATCH($A192,List_ElectricityMeters,0),ROUNDUP(COLUMN()/3,0)-2))</f>
        <v/>
      </c>
      <c r="Z192" s="127"/>
      <c r="AA192" s="137"/>
      <c r="AB192" s="58" t="str" cm="1">
        <f>IF(ISBLANK($A192),"",INDEX(Array_ElectricalCharges,MATCH($A192,List_ElectricityMeters,0),ROUNDUP(COLUMN()/3,0)-2))</f>
        <v/>
      </c>
      <c r="AC192" s="127"/>
      <c r="AD192" s="137"/>
      <c r="AE192" s="58" t="str" cm="1">
        <f>IF(ISBLANK($A192),"",INDEX(Array_ElectricalCharges,MATCH($A192,List_ElectricityMeters,0),ROUNDUP(COLUMN()/3,0)-2))</f>
        <v/>
      </c>
      <c r="AF192" s="127"/>
      <c r="AG192" s="137"/>
      <c r="AH192" s="58" t="str" cm="1">
        <f>IF(ISBLANK($A192),"",INDEX(Array_ElectricalCharges,MATCH($A192,List_ElectricityMeters,0),ROUNDUP(COLUMN()/3,0)-2))</f>
        <v/>
      </c>
      <c r="AI192" s="127"/>
      <c r="AJ192" s="137"/>
      <c r="AK192" s="58" t="str" cm="1">
        <f>IF(ISBLANK($A192),"",INDEX(Array_ElectricalCharges,MATCH($A192,List_ElectricityMeters,0),ROUNDUP(COLUMN()/3,0)-2))</f>
        <v/>
      </c>
      <c r="AL192" s="127"/>
      <c r="AM192" s="137"/>
      <c r="AN192" s="58" t="str" cm="1">
        <f>IF(ISBLANK($A192),"",INDEX(Array_ElectricalCharges,MATCH($A192,List_ElectricityMeters,0),ROUNDUP(COLUMN()/3,0)-2))</f>
        <v/>
      </c>
      <c r="AO192" s="127"/>
      <c r="AP192" s="137"/>
      <c r="AQ192" s="58" t="str" cm="1">
        <f>IF(ISBLANK($A192),"",INDEX(Array_ElectricalCharges,MATCH($A192,List_ElectricityMeters,0),ROUNDUP(COLUMN()/3,0)-2))</f>
        <v/>
      </c>
      <c r="AR192" s="127"/>
      <c r="AS192" s="137"/>
      <c r="AT192" s="58" t="str" cm="1">
        <f>IF(ISBLANK($A192),"",INDEX(Array_ElectricalCharges,MATCH($A192,List_ElectricityMeters,0),ROUNDUP(COLUMN()/3,0)-2))</f>
        <v/>
      </c>
      <c r="AU192" s="127"/>
      <c r="AV192" s="137"/>
      <c r="AW192" s="58" t="str" cm="1">
        <f>IF(ISBLANK($A192),"",INDEX(Array_ElectricalCharges,MATCH($A192,List_ElectricityMeters,0),ROUNDUP(COLUMN()/3,0)-2))</f>
        <v/>
      </c>
      <c r="AX192" s="127"/>
      <c r="AY192" s="137"/>
    </row>
    <row r="193" spans="1:51" x14ac:dyDescent="0.3">
      <c r="A193" s="126"/>
      <c r="B193" s="133"/>
      <c r="C193" s="134"/>
      <c r="D193" s="134"/>
      <c r="E193" s="135"/>
      <c r="F193" s="136"/>
      <c r="G193" s="58" t="str" cm="1">
        <f>IF(ISBLANK($A193),"",INDEX(Array_ElectricalCharges,MATCH($A193,List_ElectricityMeters,0),ROUNDUP(COLUMN()/3,0)-2))</f>
        <v/>
      </c>
      <c r="H193" s="127"/>
      <c r="I193" s="137"/>
      <c r="J193" s="58" t="str" cm="1">
        <f>IF(ISBLANK($A193),"",INDEX(Array_ElectricalCharges,MATCH($A193,List_ElectricityMeters,0),ROUNDUP(COLUMN()/3,0)-2))</f>
        <v/>
      </c>
      <c r="K193" s="127"/>
      <c r="L193" s="137"/>
      <c r="M193" s="58" t="str" cm="1">
        <f>IF(ISBLANK($A193),"",INDEX(Array_ElectricalCharges,MATCH($A193,List_ElectricityMeters,0),ROUNDUP(COLUMN()/3,0)-2))</f>
        <v/>
      </c>
      <c r="N193" s="127"/>
      <c r="O193" s="137"/>
      <c r="P193" s="58" t="str" cm="1">
        <f>IF(ISBLANK($A193),"",INDEX(Array_ElectricalCharges,MATCH($A193,List_ElectricityMeters,0),ROUNDUP(COLUMN()/3,0)-2))</f>
        <v/>
      </c>
      <c r="Q193" s="127"/>
      <c r="R193" s="137"/>
      <c r="S193" s="58" t="str" cm="1">
        <f>IF(ISBLANK($A193),"",INDEX(Array_ElectricalCharges,MATCH($A193,List_ElectricityMeters,0),ROUNDUP(COLUMN()/3,0)-2))</f>
        <v/>
      </c>
      <c r="T193" s="127"/>
      <c r="U193" s="137"/>
      <c r="V193" s="58" t="str" cm="1">
        <f>IF(ISBLANK($A193),"",INDEX(Array_ElectricalCharges,MATCH($A193,List_ElectricityMeters,0),ROUNDUP(COLUMN()/3,0)-2))</f>
        <v/>
      </c>
      <c r="W193" s="127"/>
      <c r="X193" s="137"/>
      <c r="Y193" s="58" t="str" cm="1">
        <f>IF(ISBLANK($A193),"",INDEX(Array_ElectricalCharges,MATCH($A193,List_ElectricityMeters,0),ROUNDUP(COLUMN()/3,0)-2))</f>
        <v/>
      </c>
      <c r="Z193" s="127"/>
      <c r="AA193" s="137"/>
      <c r="AB193" s="58" t="str" cm="1">
        <f>IF(ISBLANK($A193),"",INDEX(Array_ElectricalCharges,MATCH($A193,List_ElectricityMeters,0),ROUNDUP(COLUMN()/3,0)-2))</f>
        <v/>
      </c>
      <c r="AC193" s="127"/>
      <c r="AD193" s="137"/>
      <c r="AE193" s="58" t="str" cm="1">
        <f>IF(ISBLANK($A193),"",INDEX(Array_ElectricalCharges,MATCH($A193,List_ElectricityMeters,0),ROUNDUP(COLUMN()/3,0)-2))</f>
        <v/>
      </c>
      <c r="AF193" s="127"/>
      <c r="AG193" s="137"/>
      <c r="AH193" s="58" t="str" cm="1">
        <f>IF(ISBLANK($A193),"",INDEX(Array_ElectricalCharges,MATCH($A193,List_ElectricityMeters,0),ROUNDUP(COLUMN()/3,0)-2))</f>
        <v/>
      </c>
      <c r="AI193" s="127"/>
      <c r="AJ193" s="137"/>
      <c r="AK193" s="58" t="str" cm="1">
        <f>IF(ISBLANK($A193),"",INDEX(Array_ElectricalCharges,MATCH($A193,List_ElectricityMeters,0),ROUNDUP(COLUMN()/3,0)-2))</f>
        <v/>
      </c>
      <c r="AL193" s="127"/>
      <c r="AM193" s="137"/>
      <c r="AN193" s="58" t="str" cm="1">
        <f>IF(ISBLANK($A193),"",INDEX(Array_ElectricalCharges,MATCH($A193,List_ElectricityMeters,0),ROUNDUP(COLUMN()/3,0)-2))</f>
        <v/>
      </c>
      <c r="AO193" s="127"/>
      <c r="AP193" s="137"/>
      <c r="AQ193" s="58" t="str" cm="1">
        <f>IF(ISBLANK($A193),"",INDEX(Array_ElectricalCharges,MATCH($A193,List_ElectricityMeters,0),ROUNDUP(COLUMN()/3,0)-2))</f>
        <v/>
      </c>
      <c r="AR193" s="127"/>
      <c r="AS193" s="137"/>
      <c r="AT193" s="58" t="str" cm="1">
        <f>IF(ISBLANK($A193),"",INDEX(Array_ElectricalCharges,MATCH($A193,List_ElectricityMeters,0),ROUNDUP(COLUMN()/3,0)-2))</f>
        <v/>
      </c>
      <c r="AU193" s="127"/>
      <c r="AV193" s="137"/>
      <c r="AW193" s="58" t="str" cm="1">
        <f>IF(ISBLANK($A193),"",INDEX(Array_ElectricalCharges,MATCH($A193,List_ElectricityMeters,0),ROUNDUP(COLUMN()/3,0)-2))</f>
        <v/>
      </c>
      <c r="AX193" s="127"/>
      <c r="AY193" s="137"/>
    </row>
    <row r="194" spans="1:51" x14ac:dyDescent="0.3">
      <c r="A194" s="126"/>
      <c r="B194" s="133"/>
      <c r="C194" s="134"/>
      <c r="D194" s="134"/>
      <c r="E194" s="135"/>
      <c r="F194" s="136"/>
      <c r="G194" s="58" t="str" cm="1">
        <f>IF(ISBLANK($A194),"",INDEX(Array_ElectricalCharges,MATCH($A194,List_ElectricityMeters,0),ROUNDUP(COLUMN()/3,0)-2))</f>
        <v/>
      </c>
      <c r="H194" s="127"/>
      <c r="I194" s="137"/>
      <c r="J194" s="58" t="str" cm="1">
        <f>IF(ISBLANK($A194),"",INDEX(Array_ElectricalCharges,MATCH($A194,List_ElectricityMeters,0),ROUNDUP(COLUMN()/3,0)-2))</f>
        <v/>
      </c>
      <c r="K194" s="127"/>
      <c r="L194" s="137"/>
      <c r="M194" s="58" t="str" cm="1">
        <f>IF(ISBLANK($A194),"",INDEX(Array_ElectricalCharges,MATCH($A194,List_ElectricityMeters,0),ROUNDUP(COLUMN()/3,0)-2))</f>
        <v/>
      </c>
      <c r="N194" s="127"/>
      <c r="O194" s="137"/>
      <c r="P194" s="58" t="str" cm="1">
        <f>IF(ISBLANK($A194),"",INDEX(Array_ElectricalCharges,MATCH($A194,List_ElectricityMeters,0),ROUNDUP(COLUMN()/3,0)-2))</f>
        <v/>
      </c>
      <c r="Q194" s="127"/>
      <c r="R194" s="137"/>
      <c r="S194" s="58" t="str" cm="1">
        <f>IF(ISBLANK($A194),"",INDEX(Array_ElectricalCharges,MATCH($A194,List_ElectricityMeters,0),ROUNDUP(COLUMN()/3,0)-2))</f>
        <v/>
      </c>
      <c r="T194" s="127"/>
      <c r="U194" s="137"/>
      <c r="V194" s="58" t="str" cm="1">
        <f>IF(ISBLANK($A194),"",INDEX(Array_ElectricalCharges,MATCH($A194,List_ElectricityMeters,0),ROUNDUP(COLUMN()/3,0)-2))</f>
        <v/>
      </c>
      <c r="W194" s="127"/>
      <c r="X194" s="137"/>
      <c r="Y194" s="58" t="str" cm="1">
        <f>IF(ISBLANK($A194),"",INDEX(Array_ElectricalCharges,MATCH($A194,List_ElectricityMeters,0),ROUNDUP(COLUMN()/3,0)-2))</f>
        <v/>
      </c>
      <c r="Z194" s="127"/>
      <c r="AA194" s="137"/>
      <c r="AB194" s="58" t="str" cm="1">
        <f>IF(ISBLANK($A194),"",INDEX(Array_ElectricalCharges,MATCH($A194,List_ElectricityMeters,0),ROUNDUP(COLUMN()/3,0)-2))</f>
        <v/>
      </c>
      <c r="AC194" s="127"/>
      <c r="AD194" s="137"/>
      <c r="AE194" s="58" t="str" cm="1">
        <f>IF(ISBLANK($A194),"",INDEX(Array_ElectricalCharges,MATCH($A194,List_ElectricityMeters,0),ROUNDUP(COLUMN()/3,0)-2))</f>
        <v/>
      </c>
      <c r="AF194" s="127"/>
      <c r="AG194" s="137"/>
      <c r="AH194" s="58" t="str" cm="1">
        <f>IF(ISBLANK($A194),"",INDEX(Array_ElectricalCharges,MATCH($A194,List_ElectricityMeters,0),ROUNDUP(COLUMN()/3,0)-2))</f>
        <v/>
      </c>
      <c r="AI194" s="127"/>
      <c r="AJ194" s="137"/>
      <c r="AK194" s="58" t="str" cm="1">
        <f>IF(ISBLANK($A194),"",INDEX(Array_ElectricalCharges,MATCH($A194,List_ElectricityMeters,0),ROUNDUP(COLUMN()/3,0)-2))</f>
        <v/>
      </c>
      <c r="AL194" s="127"/>
      <c r="AM194" s="137"/>
      <c r="AN194" s="58" t="str" cm="1">
        <f>IF(ISBLANK($A194),"",INDEX(Array_ElectricalCharges,MATCH($A194,List_ElectricityMeters,0),ROUNDUP(COLUMN()/3,0)-2))</f>
        <v/>
      </c>
      <c r="AO194" s="127"/>
      <c r="AP194" s="137"/>
      <c r="AQ194" s="58" t="str" cm="1">
        <f>IF(ISBLANK($A194),"",INDEX(Array_ElectricalCharges,MATCH($A194,List_ElectricityMeters,0),ROUNDUP(COLUMN()/3,0)-2))</f>
        <v/>
      </c>
      <c r="AR194" s="127"/>
      <c r="AS194" s="137"/>
      <c r="AT194" s="58" t="str" cm="1">
        <f>IF(ISBLANK($A194),"",INDEX(Array_ElectricalCharges,MATCH($A194,List_ElectricityMeters,0),ROUNDUP(COLUMN()/3,0)-2))</f>
        <v/>
      </c>
      <c r="AU194" s="127"/>
      <c r="AV194" s="137"/>
      <c r="AW194" s="58" t="str" cm="1">
        <f>IF(ISBLANK($A194),"",INDEX(Array_ElectricalCharges,MATCH($A194,List_ElectricityMeters,0),ROUNDUP(COLUMN()/3,0)-2))</f>
        <v/>
      </c>
      <c r="AX194" s="127"/>
      <c r="AY194" s="137"/>
    </row>
    <row r="195" spans="1:51" x14ac:dyDescent="0.3">
      <c r="A195" s="126"/>
      <c r="B195" s="133"/>
      <c r="C195" s="134"/>
      <c r="D195" s="134"/>
      <c r="E195" s="135"/>
      <c r="F195" s="136"/>
      <c r="G195" s="58" t="str" cm="1">
        <f>IF(ISBLANK($A195),"",INDEX(Array_ElectricalCharges,MATCH($A195,List_ElectricityMeters,0),ROUNDUP(COLUMN()/3,0)-2))</f>
        <v/>
      </c>
      <c r="H195" s="127"/>
      <c r="I195" s="137"/>
      <c r="J195" s="58" t="str" cm="1">
        <f>IF(ISBLANK($A195),"",INDEX(Array_ElectricalCharges,MATCH($A195,List_ElectricityMeters,0),ROUNDUP(COLUMN()/3,0)-2))</f>
        <v/>
      </c>
      <c r="K195" s="127"/>
      <c r="L195" s="137"/>
      <c r="M195" s="58" t="str" cm="1">
        <f>IF(ISBLANK($A195),"",INDEX(Array_ElectricalCharges,MATCH($A195,List_ElectricityMeters,0),ROUNDUP(COLUMN()/3,0)-2))</f>
        <v/>
      </c>
      <c r="N195" s="127"/>
      <c r="O195" s="137"/>
      <c r="P195" s="58" t="str" cm="1">
        <f>IF(ISBLANK($A195),"",INDEX(Array_ElectricalCharges,MATCH($A195,List_ElectricityMeters,0),ROUNDUP(COLUMN()/3,0)-2))</f>
        <v/>
      </c>
      <c r="Q195" s="127"/>
      <c r="R195" s="137"/>
      <c r="S195" s="58" t="str" cm="1">
        <f>IF(ISBLANK($A195),"",INDEX(Array_ElectricalCharges,MATCH($A195,List_ElectricityMeters,0),ROUNDUP(COLUMN()/3,0)-2))</f>
        <v/>
      </c>
      <c r="T195" s="127"/>
      <c r="U195" s="137"/>
      <c r="V195" s="58" t="str" cm="1">
        <f>IF(ISBLANK($A195),"",INDEX(Array_ElectricalCharges,MATCH($A195,List_ElectricityMeters,0),ROUNDUP(COLUMN()/3,0)-2))</f>
        <v/>
      </c>
      <c r="W195" s="127"/>
      <c r="X195" s="137"/>
      <c r="Y195" s="58" t="str" cm="1">
        <f>IF(ISBLANK($A195),"",INDEX(Array_ElectricalCharges,MATCH($A195,List_ElectricityMeters,0),ROUNDUP(COLUMN()/3,0)-2))</f>
        <v/>
      </c>
      <c r="Z195" s="127"/>
      <c r="AA195" s="137"/>
      <c r="AB195" s="58" t="str" cm="1">
        <f>IF(ISBLANK($A195),"",INDEX(Array_ElectricalCharges,MATCH($A195,List_ElectricityMeters,0),ROUNDUP(COLUMN()/3,0)-2))</f>
        <v/>
      </c>
      <c r="AC195" s="127"/>
      <c r="AD195" s="137"/>
      <c r="AE195" s="58" t="str" cm="1">
        <f>IF(ISBLANK($A195),"",INDEX(Array_ElectricalCharges,MATCH($A195,List_ElectricityMeters,0),ROUNDUP(COLUMN()/3,0)-2))</f>
        <v/>
      </c>
      <c r="AF195" s="127"/>
      <c r="AG195" s="137"/>
      <c r="AH195" s="58" t="str" cm="1">
        <f>IF(ISBLANK($A195),"",INDEX(Array_ElectricalCharges,MATCH($A195,List_ElectricityMeters,0),ROUNDUP(COLUMN()/3,0)-2))</f>
        <v/>
      </c>
      <c r="AI195" s="127"/>
      <c r="AJ195" s="137"/>
      <c r="AK195" s="58" t="str" cm="1">
        <f>IF(ISBLANK($A195),"",INDEX(Array_ElectricalCharges,MATCH($A195,List_ElectricityMeters,0),ROUNDUP(COLUMN()/3,0)-2))</f>
        <v/>
      </c>
      <c r="AL195" s="127"/>
      <c r="AM195" s="137"/>
      <c r="AN195" s="58" t="str" cm="1">
        <f>IF(ISBLANK($A195),"",INDEX(Array_ElectricalCharges,MATCH($A195,List_ElectricityMeters,0),ROUNDUP(COLUMN()/3,0)-2))</f>
        <v/>
      </c>
      <c r="AO195" s="127"/>
      <c r="AP195" s="137"/>
      <c r="AQ195" s="58" t="str" cm="1">
        <f>IF(ISBLANK($A195),"",INDEX(Array_ElectricalCharges,MATCH($A195,List_ElectricityMeters,0),ROUNDUP(COLUMN()/3,0)-2))</f>
        <v/>
      </c>
      <c r="AR195" s="127"/>
      <c r="AS195" s="137"/>
      <c r="AT195" s="58" t="str" cm="1">
        <f>IF(ISBLANK($A195),"",INDEX(Array_ElectricalCharges,MATCH($A195,List_ElectricityMeters,0),ROUNDUP(COLUMN()/3,0)-2))</f>
        <v/>
      </c>
      <c r="AU195" s="127"/>
      <c r="AV195" s="137"/>
      <c r="AW195" s="58" t="str" cm="1">
        <f>IF(ISBLANK($A195),"",INDEX(Array_ElectricalCharges,MATCH($A195,List_ElectricityMeters,0),ROUNDUP(COLUMN()/3,0)-2))</f>
        <v/>
      </c>
      <c r="AX195" s="127"/>
      <c r="AY195" s="137"/>
    </row>
    <row r="196" spans="1:51" x14ac:dyDescent="0.3">
      <c r="A196" s="126"/>
      <c r="B196" s="133"/>
      <c r="C196" s="134"/>
      <c r="D196" s="134"/>
      <c r="E196" s="135"/>
      <c r="F196" s="136"/>
      <c r="G196" s="58" t="str" cm="1">
        <f>IF(ISBLANK($A196),"",INDEX(Array_ElectricalCharges,MATCH($A196,List_ElectricityMeters,0),ROUNDUP(COLUMN()/3,0)-2))</f>
        <v/>
      </c>
      <c r="H196" s="127"/>
      <c r="I196" s="137"/>
      <c r="J196" s="58" t="str" cm="1">
        <f>IF(ISBLANK($A196),"",INDEX(Array_ElectricalCharges,MATCH($A196,List_ElectricityMeters,0),ROUNDUP(COLUMN()/3,0)-2))</f>
        <v/>
      </c>
      <c r="K196" s="127"/>
      <c r="L196" s="137"/>
      <c r="M196" s="58" t="str" cm="1">
        <f>IF(ISBLANK($A196),"",INDEX(Array_ElectricalCharges,MATCH($A196,List_ElectricityMeters,0),ROUNDUP(COLUMN()/3,0)-2))</f>
        <v/>
      </c>
      <c r="N196" s="127"/>
      <c r="O196" s="137"/>
      <c r="P196" s="58" t="str" cm="1">
        <f>IF(ISBLANK($A196),"",INDEX(Array_ElectricalCharges,MATCH($A196,List_ElectricityMeters,0),ROUNDUP(COLUMN()/3,0)-2))</f>
        <v/>
      </c>
      <c r="Q196" s="127"/>
      <c r="R196" s="137"/>
      <c r="S196" s="58" t="str" cm="1">
        <f>IF(ISBLANK($A196),"",INDEX(Array_ElectricalCharges,MATCH($A196,List_ElectricityMeters,0),ROUNDUP(COLUMN()/3,0)-2))</f>
        <v/>
      </c>
      <c r="T196" s="127"/>
      <c r="U196" s="137"/>
      <c r="V196" s="58" t="str" cm="1">
        <f>IF(ISBLANK($A196),"",INDEX(Array_ElectricalCharges,MATCH($A196,List_ElectricityMeters,0),ROUNDUP(COLUMN()/3,0)-2))</f>
        <v/>
      </c>
      <c r="W196" s="127"/>
      <c r="X196" s="137"/>
      <c r="Y196" s="58" t="str" cm="1">
        <f>IF(ISBLANK($A196),"",INDEX(Array_ElectricalCharges,MATCH($A196,List_ElectricityMeters,0),ROUNDUP(COLUMN()/3,0)-2))</f>
        <v/>
      </c>
      <c r="Z196" s="127"/>
      <c r="AA196" s="137"/>
      <c r="AB196" s="58" t="str" cm="1">
        <f>IF(ISBLANK($A196),"",INDEX(Array_ElectricalCharges,MATCH($A196,List_ElectricityMeters,0),ROUNDUP(COLUMN()/3,0)-2))</f>
        <v/>
      </c>
      <c r="AC196" s="127"/>
      <c r="AD196" s="137"/>
      <c r="AE196" s="58" t="str" cm="1">
        <f>IF(ISBLANK($A196),"",INDEX(Array_ElectricalCharges,MATCH($A196,List_ElectricityMeters,0),ROUNDUP(COLUMN()/3,0)-2))</f>
        <v/>
      </c>
      <c r="AF196" s="127"/>
      <c r="AG196" s="137"/>
      <c r="AH196" s="58" t="str" cm="1">
        <f>IF(ISBLANK($A196),"",INDEX(Array_ElectricalCharges,MATCH($A196,List_ElectricityMeters,0),ROUNDUP(COLUMN()/3,0)-2))</f>
        <v/>
      </c>
      <c r="AI196" s="127"/>
      <c r="AJ196" s="137"/>
      <c r="AK196" s="58" t="str" cm="1">
        <f>IF(ISBLANK($A196),"",INDEX(Array_ElectricalCharges,MATCH($A196,List_ElectricityMeters,0),ROUNDUP(COLUMN()/3,0)-2))</f>
        <v/>
      </c>
      <c r="AL196" s="127"/>
      <c r="AM196" s="137"/>
      <c r="AN196" s="58" t="str" cm="1">
        <f>IF(ISBLANK($A196),"",INDEX(Array_ElectricalCharges,MATCH($A196,List_ElectricityMeters,0),ROUNDUP(COLUMN()/3,0)-2))</f>
        <v/>
      </c>
      <c r="AO196" s="127"/>
      <c r="AP196" s="137"/>
      <c r="AQ196" s="58" t="str" cm="1">
        <f>IF(ISBLANK($A196),"",INDEX(Array_ElectricalCharges,MATCH($A196,List_ElectricityMeters,0),ROUNDUP(COLUMN()/3,0)-2))</f>
        <v/>
      </c>
      <c r="AR196" s="127"/>
      <c r="AS196" s="137"/>
      <c r="AT196" s="58" t="str" cm="1">
        <f>IF(ISBLANK($A196),"",INDEX(Array_ElectricalCharges,MATCH($A196,List_ElectricityMeters,0),ROUNDUP(COLUMN()/3,0)-2))</f>
        <v/>
      </c>
      <c r="AU196" s="127"/>
      <c r="AV196" s="137"/>
      <c r="AW196" s="58" t="str" cm="1">
        <f>IF(ISBLANK($A196),"",INDEX(Array_ElectricalCharges,MATCH($A196,List_ElectricityMeters,0),ROUNDUP(COLUMN()/3,0)-2))</f>
        <v/>
      </c>
      <c r="AX196" s="127"/>
      <c r="AY196" s="137"/>
    </row>
    <row r="197" spans="1:51" x14ac:dyDescent="0.3">
      <c r="A197" s="126"/>
      <c r="B197" s="133"/>
      <c r="C197" s="134"/>
      <c r="D197" s="134"/>
      <c r="E197" s="135"/>
      <c r="F197" s="136"/>
      <c r="G197" s="58" t="str" cm="1">
        <f>IF(ISBLANK($A197),"",INDEX(Array_ElectricalCharges,MATCH($A197,List_ElectricityMeters,0),ROUNDUP(COLUMN()/3,0)-2))</f>
        <v/>
      </c>
      <c r="H197" s="127"/>
      <c r="I197" s="137"/>
      <c r="J197" s="58" t="str" cm="1">
        <f>IF(ISBLANK($A197),"",INDEX(Array_ElectricalCharges,MATCH($A197,List_ElectricityMeters,0),ROUNDUP(COLUMN()/3,0)-2))</f>
        <v/>
      </c>
      <c r="K197" s="127"/>
      <c r="L197" s="137"/>
      <c r="M197" s="58" t="str" cm="1">
        <f>IF(ISBLANK($A197),"",INDEX(Array_ElectricalCharges,MATCH($A197,List_ElectricityMeters,0),ROUNDUP(COLUMN()/3,0)-2))</f>
        <v/>
      </c>
      <c r="N197" s="127"/>
      <c r="O197" s="137"/>
      <c r="P197" s="58" t="str" cm="1">
        <f>IF(ISBLANK($A197),"",INDEX(Array_ElectricalCharges,MATCH($A197,List_ElectricityMeters,0),ROUNDUP(COLUMN()/3,0)-2))</f>
        <v/>
      </c>
      <c r="Q197" s="127"/>
      <c r="R197" s="137"/>
      <c r="S197" s="58" t="str" cm="1">
        <f>IF(ISBLANK($A197),"",INDEX(Array_ElectricalCharges,MATCH($A197,List_ElectricityMeters,0),ROUNDUP(COLUMN()/3,0)-2))</f>
        <v/>
      </c>
      <c r="T197" s="127"/>
      <c r="U197" s="137"/>
      <c r="V197" s="58" t="str" cm="1">
        <f>IF(ISBLANK($A197),"",INDEX(Array_ElectricalCharges,MATCH($A197,List_ElectricityMeters,0),ROUNDUP(COLUMN()/3,0)-2))</f>
        <v/>
      </c>
      <c r="W197" s="127"/>
      <c r="X197" s="137"/>
      <c r="Y197" s="58" t="str" cm="1">
        <f>IF(ISBLANK($A197),"",INDEX(Array_ElectricalCharges,MATCH($A197,List_ElectricityMeters,0),ROUNDUP(COLUMN()/3,0)-2))</f>
        <v/>
      </c>
      <c r="Z197" s="127"/>
      <c r="AA197" s="137"/>
      <c r="AB197" s="58" t="str" cm="1">
        <f>IF(ISBLANK($A197),"",INDEX(Array_ElectricalCharges,MATCH($A197,List_ElectricityMeters,0),ROUNDUP(COLUMN()/3,0)-2))</f>
        <v/>
      </c>
      <c r="AC197" s="127"/>
      <c r="AD197" s="137"/>
      <c r="AE197" s="58" t="str" cm="1">
        <f>IF(ISBLANK($A197),"",INDEX(Array_ElectricalCharges,MATCH($A197,List_ElectricityMeters,0),ROUNDUP(COLUMN()/3,0)-2))</f>
        <v/>
      </c>
      <c r="AF197" s="127"/>
      <c r="AG197" s="137"/>
      <c r="AH197" s="58" t="str" cm="1">
        <f>IF(ISBLANK($A197),"",INDEX(Array_ElectricalCharges,MATCH($A197,List_ElectricityMeters,0),ROUNDUP(COLUMN()/3,0)-2))</f>
        <v/>
      </c>
      <c r="AI197" s="127"/>
      <c r="AJ197" s="137"/>
      <c r="AK197" s="58" t="str" cm="1">
        <f>IF(ISBLANK($A197),"",INDEX(Array_ElectricalCharges,MATCH($A197,List_ElectricityMeters,0),ROUNDUP(COLUMN()/3,0)-2))</f>
        <v/>
      </c>
      <c r="AL197" s="127"/>
      <c r="AM197" s="137"/>
      <c r="AN197" s="58" t="str" cm="1">
        <f>IF(ISBLANK($A197),"",INDEX(Array_ElectricalCharges,MATCH($A197,List_ElectricityMeters,0),ROUNDUP(COLUMN()/3,0)-2))</f>
        <v/>
      </c>
      <c r="AO197" s="127"/>
      <c r="AP197" s="137"/>
      <c r="AQ197" s="58" t="str" cm="1">
        <f>IF(ISBLANK($A197),"",INDEX(Array_ElectricalCharges,MATCH($A197,List_ElectricityMeters,0),ROUNDUP(COLUMN()/3,0)-2))</f>
        <v/>
      </c>
      <c r="AR197" s="127"/>
      <c r="AS197" s="137"/>
      <c r="AT197" s="58" t="str" cm="1">
        <f>IF(ISBLANK($A197),"",INDEX(Array_ElectricalCharges,MATCH($A197,List_ElectricityMeters,0),ROUNDUP(COLUMN()/3,0)-2))</f>
        <v/>
      </c>
      <c r="AU197" s="127"/>
      <c r="AV197" s="137"/>
      <c r="AW197" s="58" t="str" cm="1">
        <f>IF(ISBLANK($A197),"",INDEX(Array_ElectricalCharges,MATCH($A197,List_ElectricityMeters,0),ROUNDUP(COLUMN()/3,0)-2))</f>
        <v/>
      </c>
      <c r="AX197" s="127"/>
      <c r="AY197" s="137"/>
    </row>
    <row r="198" spans="1:51" x14ac:dyDescent="0.3">
      <c r="A198" s="126"/>
      <c r="B198" s="133"/>
      <c r="C198" s="134"/>
      <c r="D198" s="134"/>
      <c r="E198" s="135"/>
      <c r="F198" s="136"/>
      <c r="G198" s="58" t="str" cm="1">
        <f>IF(ISBLANK($A198),"",INDEX(Array_ElectricalCharges,MATCH($A198,List_ElectricityMeters,0),ROUNDUP(COLUMN()/3,0)-2))</f>
        <v/>
      </c>
      <c r="H198" s="127"/>
      <c r="I198" s="137"/>
      <c r="J198" s="58" t="str" cm="1">
        <f>IF(ISBLANK($A198),"",INDEX(Array_ElectricalCharges,MATCH($A198,List_ElectricityMeters,0),ROUNDUP(COLUMN()/3,0)-2))</f>
        <v/>
      </c>
      <c r="K198" s="127"/>
      <c r="L198" s="137"/>
      <c r="M198" s="58" t="str" cm="1">
        <f>IF(ISBLANK($A198),"",INDEX(Array_ElectricalCharges,MATCH($A198,List_ElectricityMeters,0),ROUNDUP(COLUMN()/3,0)-2))</f>
        <v/>
      </c>
      <c r="N198" s="127"/>
      <c r="O198" s="137"/>
      <c r="P198" s="58" t="str" cm="1">
        <f>IF(ISBLANK($A198),"",INDEX(Array_ElectricalCharges,MATCH($A198,List_ElectricityMeters,0),ROUNDUP(COLUMN()/3,0)-2))</f>
        <v/>
      </c>
      <c r="Q198" s="127"/>
      <c r="R198" s="137"/>
      <c r="S198" s="58" t="str" cm="1">
        <f>IF(ISBLANK($A198),"",INDEX(Array_ElectricalCharges,MATCH($A198,List_ElectricityMeters,0),ROUNDUP(COLUMN()/3,0)-2))</f>
        <v/>
      </c>
      <c r="T198" s="127"/>
      <c r="U198" s="137"/>
      <c r="V198" s="58" t="str" cm="1">
        <f>IF(ISBLANK($A198),"",INDEX(Array_ElectricalCharges,MATCH($A198,List_ElectricityMeters,0),ROUNDUP(COLUMN()/3,0)-2))</f>
        <v/>
      </c>
      <c r="W198" s="127"/>
      <c r="X198" s="137"/>
      <c r="Y198" s="58" t="str" cm="1">
        <f>IF(ISBLANK($A198),"",INDEX(Array_ElectricalCharges,MATCH($A198,List_ElectricityMeters,0),ROUNDUP(COLUMN()/3,0)-2))</f>
        <v/>
      </c>
      <c r="Z198" s="127"/>
      <c r="AA198" s="137"/>
      <c r="AB198" s="58" t="str" cm="1">
        <f>IF(ISBLANK($A198),"",INDEX(Array_ElectricalCharges,MATCH($A198,List_ElectricityMeters,0),ROUNDUP(COLUMN()/3,0)-2))</f>
        <v/>
      </c>
      <c r="AC198" s="127"/>
      <c r="AD198" s="137"/>
      <c r="AE198" s="58" t="str" cm="1">
        <f>IF(ISBLANK($A198),"",INDEX(Array_ElectricalCharges,MATCH($A198,List_ElectricityMeters,0),ROUNDUP(COLUMN()/3,0)-2))</f>
        <v/>
      </c>
      <c r="AF198" s="127"/>
      <c r="AG198" s="137"/>
      <c r="AH198" s="58" t="str" cm="1">
        <f>IF(ISBLANK($A198),"",INDEX(Array_ElectricalCharges,MATCH($A198,List_ElectricityMeters,0),ROUNDUP(COLUMN()/3,0)-2))</f>
        <v/>
      </c>
      <c r="AI198" s="127"/>
      <c r="AJ198" s="137"/>
      <c r="AK198" s="58" t="str" cm="1">
        <f>IF(ISBLANK($A198),"",INDEX(Array_ElectricalCharges,MATCH($A198,List_ElectricityMeters,0),ROUNDUP(COLUMN()/3,0)-2))</f>
        <v/>
      </c>
      <c r="AL198" s="127"/>
      <c r="AM198" s="137"/>
      <c r="AN198" s="58" t="str" cm="1">
        <f>IF(ISBLANK($A198),"",INDEX(Array_ElectricalCharges,MATCH($A198,List_ElectricityMeters,0),ROUNDUP(COLUMN()/3,0)-2))</f>
        <v/>
      </c>
      <c r="AO198" s="127"/>
      <c r="AP198" s="137"/>
      <c r="AQ198" s="58" t="str" cm="1">
        <f>IF(ISBLANK($A198),"",INDEX(Array_ElectricalCharges,MATCH($A198,List_ElectricityMeters,0),ROUNDUP(COLUMN()/3,0)-2))</f>
        <v/>
      </c>
      <c r="AR198" s="127"/>
      <c r="AS198" s="137"/>
      <c r="AT198" s="58" t="str" cm="1">
        <f>IF(ISBLANK($A198),"",INDEX(Array_ElectricalCharges,MATCH($A198,List_ElectricityMeters,0),ROUNDUP(COLUMN()/3,0)-2))</f>
        <v/>
      </c>
      <c r="AU198" s="127"/>
      <c r="AV198" s="137"/>
      <c r="AW198" s="58" t="str" cm="1">
        <f>IF(ISBLANK($A198),"",INDEX(Array_ElectricalCharges,MATCH($A198,List_ElectricityMeters,0),ROUNDUP(COLUMN()/3,0)-2))</f>
        <v/>
      </c>
      <c r="AX198" s="127"/>
      <c r="AY198" s="137"/>
    </row>
    <row r="199" spans="1:51" x14ac:dyDescent="0.3">
      <c r="A199" s="126"/>
      <c r="B199" s="133"/>
      <c r="C199" s="134"/>
      <c r="D199" s="134"/>
      <c r="E199" s="135"/>
      <c r="F199" s="136"/>
      <c r="G199" s="58" t="str" cm="1">
        <f>IF(ISBLANK($A199),"",INDEX(Array_ElectricalCharges,MATCH($A199,List_ElectricityMeters,0),ROUNDUP(COLUMN()/3,0)-2))</f>
        <v/>
      </c>
      <c r="H199" s="127"/>
      <c r="I199" s="137"/>
      <c r="J199" s="58" t="str" cm="1">
        <f>IF(ISBLANK($A199),"",INDEX(Array_ElectricalCharges,MATCH($A199,List_ElectricityMeters,0),ROUNDUP(COLUMN()/3,0)-2))</f>
        <v/>
      </c>
      <c r="K199" s="127"/>
      <c r="L199" s="137"/>
      <c r="M199" s="58" t="str" cm="1">
        <f>IF(ISBLANK($A199),"",INDEX(Array_ElectricalCharges,MATCH($A199,List_ElectricityMeters,0),ROUNDUP(COLUMN()/3,0)-2))</f>
        <v/>
      </c>
      <c r="N199" s="127"/>
      <c r="O199" s="137"/>
      <c r="P199" s="58" t="str" cm="1">
        <f>IF(ISBLANK($A199),"",INDEX(Array_ElectricalCharges,MATCH($A199,List_ElectricityMeters,0),ROUNDUP(COLUMN()/3,0)-2))</f>
        <v/>
      </c>
      <c r="Q199" s="127"/>
      <c r="R199" s="137"/>
      <c r="S199" s="58" t="str" cm="1">
        <f>IF(ISBLANK($A199),"",INDEX(Array_ElectricalCharges,MATCH($A199,List_ElectricityMeters,0),ROUNDUP(COLUMN()/3,0)-2))</f>
        <v/>
      </c>
      <c r="T199" s="127"/>
      <c r="U199" s="137"/>
      <c r="V199" s="58" t="str" cm="1">
        <f>IF(ISBLANK($A199),"",INDEX(Array_ElectricalCharges,MATCH($A199,List_ElectricityMeters,0),ROUNDUP(COLUMN()/3,0)-2))</f>
        <v/>
      </c>
      <c r="W199" s="127"/>
      <c r="X199" s="137"/>
      <c r="Y199" s="58" t="str" cm="1">
        <f>IF(ISBLANK($A199),"",INDEX(Array_ElectricalCharges,MATCH($A199,List_ElectricityMeters,0),ROUNDUP(COLUMN()/3,0)-2))</f>
        <v/>
      </c>
      <c r="Z199" s="127"/>
      <c r="AA199" s="137"/>
      <c r="AB199" s="58" t="str" cm="1">
        <f>IF(ISBLANK($A199),"",INDEX(Array_ElectricalCharges,MATCH($A199,List_ElectricityMeters,0),ROUNDUP(COLUMN()/3,0)-2))</f>
        <v/>
      </c>
      <c r="AC199" s="127"/>
      <c r="AD199" s="137"/>
      <c r="AE199" s="58" t="str" cm="1">
        <f>IF(ISBLANK($A199),"",INDEX(Array_ElectricalCharges,MATCH($A199,List_ElectricityMeters,0),ROUNDUP(COLUMN()/3,0)-2))</f>
        <v/>
      </c>
      <c r="AF199" s="127"/>
      <c r="AG199" s="137"/>
      <c r="AH199" s="58" t="str" cm="1">
        <f>IF(ISBLANK($A199),"",INDEX(Array_ElectricalCharges,MATCH($A199,List_ElectricityMeters,0),ROUNDUP(COLUMN()/3,0)-2))</f>
        <v/>
      </c>
      <c r="AI199" s="127"/>
      <c r="AJ199" s="137"/>
      <c r="AK199" s="58" t="str" cm="1">
        <f>IF(ISBLANK($A199),"",INDEX(Array_ElectricalCharges,MATCH($A199,List_ElectricityMeters,0),ROUNDUP(COLUMN()/3,0)-2))</f>
        <v/>
      </c>
      <c r="AL199" s="127"/>
      <c r="AM199" s="137"/>
      <c r="AN199" s="58" t="str" cm="1">
        <f>IF(ISBLANK($A199),"",INDEX(Array_ElectricalCharges,MATCH($A199,List_ElectricityMeters,0),ROUNDUP(COLUMN()/3,0)-2))</f>
        <v/>
      </c>
      <c r="AO199" s="127"/>
      <c r="AP199" s="137"/>
      <c r="AQ199" s="58" t="str" cm="1">
        <f>IF(ISBLANK($A199),"",INDEX(Array_ElectricalCharges,MATCH($A199,List_ElectricityMeters,0),ROUNDUP(COLUMN()/3,0)-2))</f>
        <v/>
      </c>
      <c r="AR199" s="127"/>
      <c r="AS199" s="137"/>
      <c r="AT199" s="58" t="str" cm="1">
        <f>IF(ISBLANK($A199),"",INDEX(Array_ElectricalCharges,MATCH($A199,List_ElectricityMeters,0),ROUNDUP(COLUMN()/3,0)-2))</f>
        <v/>
      </c>
      <c r="AU199" s="127"/>
      <c r="AV199" s="137"/>
      <c r="AW199" s="58" t="str" cm="1">
        <f>IF(ISBLANK($A199),"",INDEX(Array_ElectricalCharges,MATCH($A199,List_ElectricityMeters,0),ROUNDUP(COLUMN()/3,0)-2))</f>
        <v/>
      </c>
      <c r="AX199" s="127"/>
      <c r="AY199" s="137"/>
    </row>
    <row r="200" spans="1:51" x14ac:dyDescent="0.3">
      <c r="A200" s="126"/>
      <c r="B200" s="133"/>
      <c r="C200" s="134"/>
      <c r="D200" s="134"/>
      <c r="E200" s="135"/>
      <c r="F200" s="136"/>
      <c r="G200" s="58" t="str" cm="1">
        <f>IF(ISBLANK($A200),"",INDEX(Array_ElectricalCharges,MATCH($A200,List_ElectricityMeters,0),ROUNDUP(COLUMN()/3,0)-2))</f>
        <v/>
      </c>
      <c r="H200" s="127"/>
      <c r="I200" s="137"/>
      <c r="J200" s="58" t="str" cm="1">
        <f>IF(ISBLANK($A200),"",INDEX(Array_ElectricalCharges,MATCH($A200,List_ElectricityMeters,0),ROUNDUP(COLUMN()/3,0)-2))</f>
        <v/>
      </c>
      <c r="K200" s="127"/>
      <c r="L200" s="137"/>
      <c r="M200" s="58" t="str" cm="1">
        <f>IF(ISBLANK($A200),"",INDEX(Array_ElectricalCharges,MATCH($A200,List_ElectricityMeters,0),ROUNDUP(COLUMN()/3,0)-2))</f>
        <v/>
      </c>
      <c r="N200" s="127"/>
      <c r="O200" s="137"/>
      <c r="P200" s="58" t="str" cm="1">
        <f>IF(ISBLANK($A200),"",INDEX(Array_ElectricalCharges,MATCH($A200,List_ElectricityMeters,0),ROUNDUP(COLUMN()/3,0)-2))</f>
        <v/>
      </c>
      <c r="Q200" s="127"/>
      <c r="R200" s="137"/>
      <c r="S200" s="58" t="str" cm="1">
        <f>IF(ISBLANK($A200),"",INDEX(Array_ElectricalCharges,MATCH($A200,List_ElectricityMeters,0),ROUNDUP(COLUMN()/3,0)-2))</f>
        <v/>
      </c>
      <c r="T200" s="127"/>
      <c r="U200" s="137"/>
      <c r="V200" s="58" t="str" cm="1">
        <f>IF(ISBLANK($A200),"",INDEX(Array_ElectricalCharges,MATCH($A200,List_ElectricityMeters,0),ROUNDUP(COLUMN()/3,0)-2))</f>
        <v/>
      </c>
      <c r="W200" s="127"/>
      <c r="X200" s="137"/>
      <c r="Y200" s="58" t="str" cm="1">
        <f>IF(ISBLANK($A200),"",INDEX(Array_ElectricalCharges,MATCH($A200,List_ElectricityMeters,0),ROUNDUP(COLUMN()/3,0)-2))</f>
        <v/>
      </c>
      <c r="Z200" s="127"/>
      <c r="AA200" s="137"/>
      <c r="AB200" s="58" t="str" cm="1">
        <f>IF(ISBLANK($A200),"",INDEX(Array_ElectricalCharges,MATCH($A200,List_ElectricityMeters,0),ROUNDUP(COLUMN()/3,0)-2))</f>
        <v/>
      </c>
      <c r="AC200" s="127"/>
      <c r="AD200" s="137"/>
      <c r="AE200" s="58" t="str" cm="1">
        <f>IF(ISBLANK($A200),"",INDEX(Array_ElectricalCharges,MATCH($A200,List_ElectricityMeters,0),ROUNDUP(COLUMN()/3,0)-2))</f>
        <v/>
      </c>
      <c r="AF200" s="127"/>
      <c r="AG200" s="137"/>
      <c r="AH200" s="58" t="str" cm="1">
        <f>IF(ISBLANK($A200),"",INDEX(Array_ElectricalCharges,MATCH($A200,List_ElectricityMeters,0),ROUNDUP(COLUMN()/3,0)-2))</f>
        <v/>
      </c>
      <c r="AI200" s="127"/>
      <c r="AJ200" s="137"/>
      <c r="AK200" s="58" t="str" cm="1">
        <f>IF(ISBLANK($A200),"",INDEX(Array_ElectricalCharges,MATCH($A200,List_ElectricityMeters,0),ROUNDUP(COLUMN()/3,0)-2))</f>
        <v/>
      </c>
      <c r="AL200" s="127"/>
      <c r="AM200" s="137"/>
      <c r="AN200" s="58" t="str" cm="1">
        <f>IF(ISBLANK($A200),"",INDEX(Array_ElectricalCharges,MATCH($A200,List_ElectricityMeters,0),ROUNDUP(COLUMN()/3,0)-2))</f>
        <v/>
      </c>
      <c r="AO200" s="127"/>
      <c r="AP200" s="137"/>
      <c r="AQ200" s="58" t="str" cm="1">
        <f>IF(ISBLANK($A200),"",INDEX(Array_ElectricalCharges,MATCH($A200,List_ElectricityMeters,0),ROUNDUP(COLUMN()/3,0)-2))</f>
        <v/>
      </c>
      <c r="AR200" s="127"/>
      <c r="AS200" s="137"/>
      <c r="AT200" s="58" t="str" cm="1">
        <f>IF(ISBLANK($A200),"",INDEX(Array_ElectricalCharges,MATCH($A200,List_ElectricityMeters,0),ROUNDUP(COLUMN()/3,0)-2))</f>
        <v/>
      </c>
      <c r="AU200" s="127"/>
      <c r="AV200" s="137"/>
      <c r="AW200" s="58" t="str" cm="1">
        <f>IF(ISBLANK($A200),"",INDEX(Array_ElectricalCharges,MATCH($A200,List_ElectricityMeters,0),ROUNDUP(COLUMN()/3,0)-2))</f>
        <v/>
      </c>
      <c r="AX200" s="127"/>
      <c r="AY200" s="137"/>
    </row>
    <row r="201" spans="1:51" x14ac:dyDescent="0.3">
      <c r="A201" s="126"/>
      <c r="B201" s="133"/>
      <c r="C201" s="134"/>
      <c r="D201" s="134"/>
      <c r="E201" s="135"/>
      <c r="F201" s="136"/>
      <c r="G201" s="58" t="str" cm="1">
        <f>IF(ISBLANK($A201),"",INDEX(Array_ElectricalCharges,MATCH($A201,List_ElectricityMeters,0),ROUNDUP(COLUMN()/3,0)-2))</f>
        <v/>
      </c>
      <c r="H201" s="127"/>
      <c r="I201" s="137"/>
      <c r="J201" s="58" t="str" cm="1">
        <f>IF(ISBLANK($A201),"",INDEX(Array_ElectricalCharges,MATCH($A201,List_ElectricityMeters,0),ROUNDUP(COLUMN()/3,0)-2))</f>
        <v/>
      </c>
      <c r="K201" s="127"/>
      <c r="L201" s="137"/>
      <c r="M201" s="58" t="str" cm="1">
        <f>IF(ISBLANK($A201),"",INDEX(Array_ElectricalCharges,MATCH($A201,List_ElectricityMeters,0),ROUNDUP(COLUMN()/3,0)-2))</f>
        <v/>
      </c>
      <c r="N201" s="127"/>
      <c r="O201" s="137"/>
      <c r="P201" s="58" t="str" cm="1">
        <f>IF(ISBLANK($A201),"",INDEX(Array_ElectricalCharges,MATCH($A201,List_ElectricityMeters,0),ROUNDUP(COLUMN()/3,0)-2))</f>
        <v/>
      </c>
      <c r="Q201" s="127"/>
      <c r="R201" s="137"/>
      <c r="S201" s="58" t="str" cm="1">
        <f>IF(ISBLANK($A201),"",INDEX(Array_ElectricalCharges,MATCH($A201,List_ElectricityMeters,0),ROUNDUP(COLUMN()/3,0)-2))</f>
        <v/>
      </c>
      <c r="T201" s="127"/>
      <c r="U201" s="137"/>
      <c r="V201" s="58" t="str" cm="1">
        <f>IF(ISBLANK($A201),"",INDEX(Array_ElectricalCharges,MATCH($A201,List_ElectricityMeters,0),ROUNDUP(COLUMN()/3,0)-2))</f>
        <v/>
      </c>
      <c r="W201" s="127"/>
      <c r="X201" s="137"/>
      <c r="Y201" s="58" t="str" cm="1">
        <f>IF(ISBLANK($A201),"",INDEX(Array_ElectricalCharges,MATCH($A201,List_ElectricityMeters,0),ROUNDUP(COLUMN()/3,0)-2))</f>
        <v/>
      </c>
      <c r="Z201" s="127"/>
      <c r="AA201" s="137"/>
      <c r="AB201" s="58" t="str" cm="1">
        <f>IF(ISBLANK($A201),"",INDEX(Array_ElectricalCharges,MATCH($A201,List_ElectricityMeters,0),ROUNDUP(COLUMN()/3,0)-2))</f>
        <v/>
      </c>
      <c r="AC201" s="127"/>
      <c r="AD201" s="137"/>
      <c r="AE201" s="58" t="str" cm="1">
        <f>IF(ISBLANK($A201),"",INDEX(Array_ElectricalCharges,MATCH($A201,List_ElectricityMeters,0),ROUNDUP(COLUMN()/3,0)-2))</f>
        <v/>
      </c>
      <c r="AF201" s="127"/>
      <c r="AG201" s="137"/>
      <c r="AH201" s="58" t="str" cm="1">
        <f>IF(ISBLANK($A201),"",INDEX(Array_ElectricalCharges,MATCH($A201,List_ElectricityMeters,0),ROUNDUP(COLUMN()/3,0)-2))</f>
        <v/>
      </c>
      <c r="AI201" s="127"/>
      <c r="AJ201" s="137"/>
      <c r="AK201" s="58" t="str" cm="1">
        <f>IF(ISBLANK($A201),"",INDEX(Array_ElectricalCharges,MATCH($A201,List_ElectricityMeters,0),ROUNDUP(COLUMN()/3,0)-2))</f>
        <v/>
      </c>
      <c r="AL201" s="127"/>
      <c r="AM201" s="137"/>
      <c r="AN201" s="58" t="str" cm="1">
        <f>IF(ISBLANK($A201),"",INDEX(Array_ElectricalCharges,MATCH($A201,List_ElectricityMeters,0),ROUNDUP(COLUMN()/3,0)-2))</f>
        <v/>
      </c>
      <c r="AO201" s="127"/>
      <c r="AP201" s="137"/>
      <c r="AQ201" s="58" t="str" cm="1">
        <f>IF(ISBLANK($A201),"",INDEX(Array_ElectricalCharges,MATCH($A201,List_ElectricityMeters,0),ROUNDUP(COLUMN()/3,0)-2))</f>
        <v/>
      </c>
      <c r="AR201" s="127"/>
      <c r="AS201" s="137"/>
      <c r="AT201" s="58" t="str" cm="1">
        <f>IF(ISBLANK($A201),"",INDEX(Array_ElectricalCharges,MATCH($A201,List_ElectricityMeters,0),ROUNDUP(COLUMN()/3,0)-2))</f>
        <v/>
      </c>
      <c r="AU201" s="127"/>
      <c r="AV201" s="137"/>
      <c r="AW201" s="58" t="str" cm="1">
        <f>IF(ISBLANK($A201),"",INDEX(Array_ElectricalCharges,MATCH($A201,List_ElectricityMeters,0),ROUNDUP(COLUMN()/3,0)-2))</f>
        <v/>
      </c>
      <c r="AX201" s="127"/>
      <c r="AY201" s="137"/>
    </row>
    <row r="202" spans="1:51" x14ac:dyDescent="0.3">
      <c r="A202" s="126"/>
      <c r="B202" s="133"/>
      <c r="C202" s="134"/>
      <c r="D202" s="134"/>
      <c r="E202" s="135"/>
      <c r="F202" s="136"/>
      <c r="G202" s="58" t="str" cm="1">
        <f>IF(ISBLANK($A202),"",INDEX(Array_ElectricalCharges,MATCH($A202,List_ElectricityMeters,0),ROUNDUP(COLUMN()/3,0)-2))</f>
        <v/>
      </c>
      <c r="H202" s="127"/>
      <c r="I202" s="137"/>
      <c r="J202" s="58" t="str" cm="1">
        <f>IF(ISBLANK($A202),"",INDEX(Array_ElectricalCharges,MATCH($A202,List_ElectricityMeters,0),ROUNDUP(COLUMN()/3,0)-2))</f>
        <v/>
      </c>
      <c r="K202" s="127"/>
      <c r="L202" s="137"/>
      <c r="M202" s="58" t="str" cm="1">
        <f>IF(ISBLANK($A202),"",INDEX(Array_ElectricalCharges,MATCH($A202,List_ElectricityMeters,0),ROUNDUP(COLUMN()/3,0)-2))</f>
        <v/>
      </c>
      <c r="N202" s="127"/>
      <c r="O202" s="137"/>
      <c r="P202" s="58" t="str" cm="1">
        <f>IF(ISBLANK($A202),"",INDEX(Array_ElectricalCharges,MATCH($A202,List_ElectricityMeters,0),ROUNDUP(COLUMN()/3,0)-2))</f>
        <v/>
      </c>
      <c r="Q202" s="127"/>
      <c r="R202" s="137"/>
      <c r="S202" s="58" t="str" cm="1">
        <f>IF(ISBLANK($A202),"",INDEX(Array_ElectricalCharges,MATCH($A202,List_ElectricityMeters,0),ROUNDUP(COLUMN()/3,0)-2))</f>
        <v/>
      </c>
      <c r="T202" s="127"/>
      <c r="U202" s="137"/>
      <c r="V202" s="58" t="str" cm="1">
        <f>IF(ISBLANK($A202),"",INDEX(Array_ElectricalCharges,MATCH($A202,List_ElectricityMeters,0),ROUNDUP(COLUMN()/3,0)-2))</f>
        <v/>
      </c>
      <c r="W202" s="127"/>
      <c r="X202" s="137"/>
      <c r="Y202" s="58" t="str" cm="1">
        <f>IF(ISBLANK($A202),"",INDEX(Array_ElectricalCharges,MATCH($A202,List_ElectricityMeters,0),ROUNDUP(COLUMN()/3,0)-2))</f>
        <v/>
      </c>
      <c r="Z202" s="127"/>
      <c r="AA202" s="137"/>
      <c r="AB202" s="58" t="str" cm="1">
        <f>IF(ISBLANK($A202),"",INDEX(Array_ElectricalCharges,MATCH($A202,List_ElectricityMeters,0),ROUNDUP(COLUMN()/3,0)-2))</f>
        <v/>
      </c>
      <c r="AC202" s="127"/>
      <c r="AD202" s="137"/>
      <c r="AE202" s="58" t="str" cm="1">
        <f>IF(ISBLANK($A202),"",INDEX(Array_ElectricalCharges,MATCH($A202,List_ElectricityMeters,0),ROUNDUP(COLUMN()/3,0)-2))</f>
        <v/>
      </c>
      <c r="AF202" s="127"/>
      <c r="AG202" s="137"/>
      <c r="AH202" s="58" t="str" cm="1">
        <f>IF(ISBLANK($A202),"",INDEX(Array_ElectricalCharges,MATCH($A202,List_ElectricityMeters,0),ROUNDUP(COLUMN()/3,0)-2))</f>
        <v/>
      </c>
      <c r="AI202" s="127"/>
      <c r="AJ202" s="137"/>
      <c r="AK202" s="58" t="str" cm="1">
        <f>IF(ISBLANK($A202),"",INDEX(Array_ElectricalCharges,MATCH($A202,List_ElectricityMeters,0),ROUNDUP(COLUMN()/3,0)-2))</f>
        <v/>
      </c>
      <c r="AL202" s="127"/>
      <c r="AM202" s="137"/>
      <c r="AN202" s="58" t="str" cm="1">
        <f>IF(ISBLANK($A202),"",INDEX(Array_ElectricalCharges,MATCH($A202,List_ElectricityMeters,0),ROUNDUP(COLUMN()/3,0)-2))</f>
        <v/>
      </c>
      <c r="AO202" s="127"/>
      <c r="AP202" s="137"/>
      <c r="AQ202" s="58" t="str" cm="1">
        <f>IF(ISBLANK($A202),"",INDEX(Array_ElectricalCharges,MATCH($A202,List_ElectricityMeters,0),ROUNDUP(COLUMN()/3,0)-2))</f>
        <v/>
      </c>
      <c r="AR202" s="127"/>
      <c r="AS202" s="137"/>
      <c r="AT202" s="58" t="str" cm="1">
        <f>IF(ISBLANK($A202),"",INDEX(Array_ElectricalCharges,MATCH($A202,List_ElectricityMeters,0),ROUNDUP(COLUMN()/3,0)-2))</f>
        <v/>
      </c>
      <c r="AU202" s="127"/>
      <c r="AV202" s="137"/>
      <c r="AW202" s="58" t="str" cm="1">
        <f>IF(ISBLANK($A202),"",INDEX(Array_ElectricalCharges,MATCH($A202,List_ElectricityMeters,0),ROUNDUP(COLUMN()/3,0)-2))</f>
        <v/>
      </c>
      <c r="AX202" s="127"/>
      <c r="AY202" s="137"/>
    </row>
    <row r="203" spans="1:51" x14ac:dyDescent="0.3">
      <c r="A203" s="126"/>
      <c r="B203" s="133"/>
      <c r="C203" s="134"/>
      <c r="D203" s="134"/>
      <c r="E203" s="135"/>
      <c r="F203" s="136"/>
      <c r="G203" s="58" t="str" cm="1">
        <f>IF(ISBLANK($A203),"",INDEX(Array_ElectricalCharges,MATCH($A203,List_ElectricityMeters,0),ROUNDUP(COLUMN()/3,0)-2))</f>
        <v/>
      </c>
      <c r="H203" s="127"/>
      <c r="I203" s="137"/>
      <c r="J203" s="58" t="str" cm="1">
        <f>IF(ISBLANK($A203),"",INDEX(Array_ElectricalCharges,MATCH($A203,List_ElectricityMeters,0),ROUNDUP(COLUMN()/3,0)-2))</f>
        <v/>
      </c>
      <c r="K203" s="127"/>
      <c r="L203" s="137"/>
      <c r="M203" s="58" t="str" cm="1">
        <f>IF(ISBLANK($A203),"",INDEX(Array_ElectricalCharges,MATCH($A203,List_ElectricityMeters,0),ROUNDUP(COLUMN()/3,0)-2))</f>
        <v/>
      </c>
      <c r="N203" s="127"/>
      <c r="O203" s="137"/>
      <c r="P203" s="58" t="str" cm="1">
        <f>IF(ISBLANK($A203),"",INDEX(Array_ElectricalCharges,MATCH($A203,List_ElectricityMeters,0),ROUNDUP(COLUMN()/3,0)-2))</f>
        <v/>
      </c>
      <c r="Q203" s="127"/>
      <c r="R203" s="137"/>
      <c r="S203" s="58" t="str" cm="1">
        <f>IF(ISBLANK($A203),"",INDEX(Array_ElectricalCharges,MATCH($A203,List_ElectricityMeters,0),ROUNDUP(COLUMN()/3,0)-2))</f>
        <v/>
      </c>
      <c r="T203" s="127"/>
      <c r="U203" s="137"/>
      <c r="V203" s="58" t="str" cm="1">
        <f>IF(ISBLANK($A203),"",INDEX(Array_ElectricalCharges,MATCH($A203,List_ElectricityMeters,0),ROUNDUP(COLUMN()/3,0)-2))</f>
        <v/>
      </c>
      <c r="W203" s="127"/>
      <c r="X203" s="137"/>
      <c r="Y203" s="58" t="str" cm="1">
        <f>IF(ISBLANK($A203),"",INDEX(Array_ElectricalCharges,MATCH($A203,List_ElectricityMeters,0),ROUNDUP(COLUMN()/3,0)-2))</f>
        <v/>
      </c>
      <c r="Z203" s="127"/>
      <c r="AA203" s="137"/>
      <c r="AB203" s="58" t="str" cm="1">
        <f>IF(ISBLANK($A203),"",INDEX(Array_ElectricalCharges,MATCH($A203,List_ElectricityMeters,0),ROUNDUP(COLUMN()/3,0)-2))</f>
        <v/>
      </c>
      <c r="AC203" s="127"/>
      <c r="AD203" s="137"/>
      <c r="AE203" s="58" t="str" cm="1">
        <f>IF(ISBLANK($A203),"",INDEX(Array_ElectricalCharges,MATCH($A203,List_ElectricityMeters,0),ROUNDUP(COLUMN()/3,0)-2))</f>
        <v/>
      </c>
      <c r="AF203" s="127"/>
      <c r="AG203" s="137"/>
      <c r="AH203" s="58" t="str" cm="1">
        <f>IF(ISBLANK($A203),"",INDEX(Array_ElectricalCharges,MATCH($A203,List_ElectricityMeters,0),ROUNDUP(COLUMN()/3,0)-2))</f>
        <v/>
      </c>
      <c r="AI203" s="127"/>
      <c r="AJ203" s="137"/>
      <c r="AK203" s="58" t="str" cm="1">
        <f>IF(ISBLANK($A203),"",INDEX(Array_ElectricalCharges,MATCH($A203,List_ElectricityMeters,0),ROUNDUP(COLUMN()/3,0)-2))</f>
        <v/>
      </c>
      <c r="AL203" s="127"/>
      <c r="AM203" s="137"/>
      <c r="AN203" s="58" t="str" cm="1">
        <f>IF(ISBLANK($A203),"",INDEX(Array_ElectricalCharges,MATCH($A203,List_ElectricityMeters,0),ROUNDUP(COLUMN()/3,0)-2))</f>
        <v/>
      </c>
      <c r="AO203" s="127"/>
      <c r="AP203" s="137"/>
      <c r="AQ203" s="58" t="str" cm="1">
        <f>IF(ISBLANK($A203),"",INDEX(Array_ElectricalCharges,MATCH($A203,List_ElectricityMeters,0),ROUNDUP(COLUMN()/3,0)-2))</f>
        <v/>
      </c>
      <c r="AR203" s="127"/>
      <c r="AS203" s="137"/>
      <c r="AT203" s="58" t="str" cm="1">
        <f>IF(ISBLANK($A203),"",INDEX(Array_ElectricalCharges,MATCH($A203,List_ElectricityMeters,0),ROUNDUP(COLUMN()/3,0)-2))</f>
        <v/>
      </c>
      <c r="AU203" s="127"/>
      <c r="AV203" s="137"/>
      <c r="AW203" s="58" t="str" cm="1">
        <f>IF(ISBLANK($A203),"",INDEX(Array_ElectricalCharges,MATCH($A203,List_ElectricityMeters,0),ROUNDUP(COLUMN()/3,0)-2))</f>
        <v/>
      </c>
      <c r="AX203" s="127"/>
      <c r="AY203" s="137"/>
    </row>
    <row r="204" spans="1:51" x14ac:dyDescent="0.3">
      <c r="A204" s="126"/>
      <c r="B204" s="133"/>
      <c r="C204" s="134"/>
      <c r="D204" s="134"/>
      <c r="E204" s="135"/>
      <c r="F204" s="136"/>
      <c r="G204" s="58" t="str" cm="1">
        <f>IF(ISBLANK($A204),"",INDEX(Array_ElectricalCharges,MATCH($A204,List_ElectricityMeters,0),ROUNDUP(COLUMN()/3,0)-2))</f>
        <v/>
      </c>
      <c r="H204" s="127"/>
      <c r="I204" s="137"/>
      <c r="J204" s="58" t="str" cm="1">
        <f>IF(ISBLANK($A204),"",INDEX(Array_ElectricalCharges,MATCH($A204,List_ElectricityMeters,0),ROUNDUP(COLUMN()/3,0)-2))</f>
        <v/>
      </c>
      <c r="K204" s="127"/>
      <c r="L204" s="137"/>
      <c r="M204" s="58" t="str" cm="1">
        <f>IF(ISBLANK($A204),"",INDEX(Array_ElectricalCharges,MATCH($A204,List_ElectricityMeters,0),ROUNDUP(COLUMN()/3,0)-2))</f>
        <v/>
      </c>
      <c r="N204" s="127"/>
      <c r="O204" s="137"/>
      <c r="P204" s="58" t="str" cm="1">
        <f>IF(ISBLANK($A204),"",INDEX(Array_ElectricalCharges,MATCH($A204,List_ElectricityMeters,0),ROUNDUP(COLUMN()/3,0)-2))</f>
        <v/>
      </c>
      <c r="Q204" s="127"/>
      <c r="R204" s="137"/>
      <c r="S204" s="58" t="str" cm="1">
        <f>IF(ISBLANK($A204),"",INDEX(Array_ElectricalCharges,MATCH($A204,List_ElectricityMeters,0),ROUNDUP(COLUMN()/3,0)-2))</f>
        <v/>
      </c>
      <c r="T204" s="127"/>
      <c r="U204" s="137"/>
      <c r="V204" s="58" t="str" cm="1">
        <f>IF(ISBLANK($A204),"",INDEX(Array_ElectricalCharges,MATCH($A204,List_ElectricityMeters,0),ROUNDUP(COLUMN()/3,0)-2))</f>
        <v/>
      </c>
      <c r="W204" s="127"/>
      <c r="X204" s="137"/>
      <c r="Y204" s="58" t="str" cm="1">
        <f>IF(ISBLANK($A204),"",INDEX(Array_ElectricalCharges,MATCH($A204,List_ElectricityMeters,0),ROUNDUP(COLUMN()/3,0)-2))</f>
        <v/>
      </c>
      <c r="Z204" s="127"/>
      <c r="AA204" s="137"/>
      <c r="AB204" s="58" t="str" cm="1">
        <f>IF(ISBLANK($A204),"",INDEX(Array_ElectricalCharges,MATCH($A204,List_ElectricityMeters,0),ROUNDUP(COLUMN()/3,0)-2))</f>
        <v/>
      </c>
      <c r="AC204" s="127"/>
      <c r="AD204" s="137"/>
      <c r="AE204" s="58" t="str" cm="1">
        <f>IF(ISBLANK($A204),"",INDEX(Array_ElectricalCharges,MATCH($A204,List_ElectricityMeters,0),ROUNDUP(COLUMN()/3,0)-2))</f>
        <v/>
      </c>
      <c r="AF204" s="127"/>
      <c r="AG204" s="137"/>
      <c r="AH204" s="58" t="str" cm="1">
        <f>IF(ISBLANK($A204),"",INDEX(Array_ElectricalCharges,MATCH($A204,List_ElectricityMeters,0),ROUNDUP(COLUMN()/3,0)-2))</f>
        <v/>
      </c>
      <c r="AI204" s="127"/>
      <c r="AJ204" s="137"/>
      <c r="AK204" s="58" t="str" cm="1">
        <f>IF(ISBLANK($A204),"",INDEX(Array_ElectricalCharges,MATCH($A204,List_ElectricityMeters,0),ROUNDUP(COLUMN()/3,0)-2))</f>
        <v/>
      </c>
      <c r="AL204" s="127"/>
      <c r="AM204" s="137"/>
      <c r="AN204" s="58" t="str" cm="1">
        <f>IF(ISBLANK($A204),"",INDEX(Array_ElectricalCharges,MATCH($A204,List_ElectricityMeters,0),ROUNDUP(COLUMN()/3,0)-2))</f>
        <v/>
      </c>
      <c r="AO204" s="127"/>
      <c r="AP204" s="137"/>
      <c r="AQ204" s="58" t="str" cm="1">
        <f>IF(ISBLANK($A204),"",INDEX(Array_ElectricalCharges,MATCH($A204,List_ElectricityMeters,0),ROUNDUP(COLUMN()/3,0)-2))</f>
        <v/>
      </c>
      <c r="AR204" s="127"/>
      <c r="AS204" s="137"/>
      <c r="AT204" s="58" t="str" cm="1">
        <f>IF(ISBLANK($A204),"",INDEX(Array_ElectricalCharges,MATCH($A204,List_ElectricityMeters,0),ROUNDUP(COLUMN()/3,0)-2))</f>
        <v/>
      </c>
      <c r="AU204" s="127"/>
      <c r="AV204" s="137"/>
      <c r="AW204" s="58" t="str" cm="1">
        <f>IF(ISBLANK($A204),"",INDEX(Array_ElectricalCharges,MATCH($A204,List_ElectricityMeters,0),ROUNDUP(COLUMN()/3,0)-2))</f>
        <v/>
      </c>
      <c r="AX204" s="127"/>
      <c r="AY204" s="137"/>
    </row>
    <row r="205" spans="1:51" x14ac:dyDescent="0.3">
      <c r="A205" s="126"/>
      <c r="B205" s="133"/>
      <c r="C205" s="134"/>
      <c r="D205" s="134"/>
      <c r="E205" s="135"/>
      <c r="F205" s="136"/>
      <c r="G205" s="58" t="str" cm="1">
        <f>IF(ISBLANK($A205),"",INDEX(Array_ElectricalCharges,MATCH($A205,List_ElectricityMeters,0),ROUNDUP(COLUMN()/3,0)-2))</f>
        <v/>
      </c>
      <c r="H205" s="127"/>
      <c r="I205" s="137"/>
      <c r="J205" s="58" t="str" cm="1">
        <f>IF(ISBLANK($A205),"",INDEX(Array_ElectricalCharges,MATCH($A205,List_ElectricityMeters,0),ROUNDUP(COLUMN()/3,0)-2))</f>
        <v/>
      </c>
      <c r="K205" s="127"/>
      <c r="L205" s="137"/>
      <c r="M205" s="58" t="str" cm="1">
        <f>IF(ISBLANK($A205),"",INDEX(Array_ElectricalCharges,MATCH($A205,List_ElectricityMeters,0),ROUNDUP(COLUMN()/3,0)-2))</f>
        <v/>
      </c>
      <c r="N205" s="127"/>
      <c r="O205" s="137"/>
      <c r="P205" s="58" t="str" cm="1">
        <f>IF(ISBLANK($A205),"",INDEX(Array_ElectricalCharges,MATCH($A205,List_ElectricityMeters,0),ROUNDUP(COLUMN()/3,0)-2))</f>
        <v/>
      </c>
      <c r="Q205" s="127"/>
      <c r="R205" s="137"/>
      <c r="S205" s="58" t="str" cm="1">
        <f>IF(ISBLANK($A205),"",INDEX(Array_ElectricalCharges,MATCH($A205,List_ElectricityMeters,0),ROUNDUP(COLUMN()/3,0)-2))</f>
        <v/>
      </c>
      <c r="T205" s="127"/>
      <c r="U205" s="137"/>
      <c r="V205" s="58" t="str" cm="1">
        <f>IF(ISBLANK($A205),"",INDEX(Array_ElectricalCharges,MATCH($A205,List_ElectricityMeters,0),ROUNDUP(COLUMN()/3,0)-2))</f>
        <v/>
      </c>
      <c r="W205" s="127"/>
      <c r="X205" s="137"/>
      <c r="Y205" s="58" t="str" cm="1">
        <f>IF(ISBLANK($A205),"",INDEX(Array_ElectricalCharges,MATCH($A205,List_ElectricityMeters,0),ROUNDUP(COLUMN()/3,0)-2))</f>
        <v/>
      </c>
      <c r="Z205" s="127"/>
      <c r="AA205" s="137"/>
      <c r="AB205" s="58" t="str" cm="1">
        <f>IF(ISBLANK($A205),"",INDEX(Array_ElectricalCharges,MATCH($A205,List_ElectricityMeters,0),ROUNDUP(COLUMN()/3,0)-2))</f>
        <v/>
      </c>
      <c r="AC205" s="127"/>
      <c r="AD205" s="137"/>
      <c r="AE205" s="58" t="str" cm="1">
        <f>IF(ISBLANK($A205),"",INDEX(Array_ElectricalCharges,MATCH($A205,List_ElectricityMeters,0),ROUNDUP(COLUMN()/3,0)-2))</f>
        <v/>
      </c>
      <c r="AF205" s="127"/>
      <c r="AG205" s="137"/>
      <c r="AH205" s="58" t="str" cm="1">
        <f>IF(ISBLANK($A205),"",INDEX(Array_ElectricalCharges,MATCH($A205,List_ElectricityMeters,0),ROUNDUP(COLUMN()/3,0)-2))</f>
        <v/>
      </c>
      <c r="AI205" s="127"/>
      <c r="AJ205" s="137"/>
      <c r="AK205" s="58" t="str" cm="1">
        <f>IF(ISBLANK($A205),"",INDEX(Array_ElectricalCharges,MATCH($A205,List_ElectricityMeters,0),ROUNDUP(COLUMN()/3,0)-2))</f>
        <v/>
      </c>
      <c r="AL205" s="127"/>
      <c r="AM205" s="137"/>
      <c r="AN205" s="58" t="str" cm="1">
        <f>IF(ISBLANK($A205),"",INDEX(Array_ElectricalCharges,MATCH($A205,List_ElectricityMeters,0),ROUNDUP(COLUMN()/3,0)-2))</f>
        <v/>
      </c>
      <c r="AO205" s="127"/>
      <c r="AP205" s="137"/>
      <c r="AQ205" s="58" t="str" cm="1">
        <f>IF(ISBLANK($A205),"",INDEX(Array_ElectricalCharges,MATCH($A205,List_ElectricityMeters,0),ROUNDUP(COLUMN()/3,0)-2))</f>
        <v/>
      </c>
      <c r="AR205" s="127"/>
      <c r="AS205" s="137"/>
      <c r="AT205" s="58" t="str" cm="1">
        <f>IF(ISBLANK($A205),"",INDEX(Array_ElectricalCharges,MATCH($A205,List_ElectricityMeters,0),ROUNDUP(COLUMN()/3,0)-2))</f>
        <v/>
      </c>
      <c r="AU205" s="127"/>
      <c r="AV205" s="137"/>
      <c r="AW205" s="58" t="str" cm="1">
        <f>IF(ISBLANK($A205),"",INDEX(Array_ElectricalCharges,MATCH($A205,List_ElectricityMeters,0),ROUNDUP(COLUMN()/3,0)-2))</f>
        <v/>
      </c>
      <c r="AX205" s="127"/>
      <c r="AY205" s="137"/>
    </row>
    <row r="206" spans="1:51" x14ac:dyDescent="0.3">
      <c r="A206" s="126"/>
      <c r="B206" s="133"/>
      <c r="C206" s="134"/>
      <c r="D206" s="134"/>
      <c r="E206" s="135"/>
      <c r="F206" s="136"/>
      <c r="G206" s="58" t="str" cm="1">
        <f>IF(ISBLANK($A206),"",INDEX(Array_ElectricalCharges,MATCH($A206,List_ElectricityMeters,0),ROUNDUP(COLUMN()/3,0)-2))</f>
        <v/>
      </c>
      <c r="H206" s="127"/>
      <c r="I206" s="137"/>
      <c r="J206" s="58" t="str" cm="1">
        <f>IF(ISBLANK($A206),"",INDEX(Array_ElectricalCharges,MATCH($A206,List_ElectricityMeters,0),ROUNDUP(COLUMN()/3,0)-2))</f>
        <v/>
      </c>
      <c r="K206" s="127"/>
      <c r="L206" s="137"/>
      <c r="M206" s="58" t="str" cm="1">
        <f>IF(ISBLANK($A206),"",INDEX(Array_ElectricalCharges,MATCH($A206,List_ElectricityMeters,0),ROUNDUP(COLUMN()/3,0)-2))</f>
        <v/>
      </c>
      <c r="N206" s="127"/>
      <c r="O206" s="137"/>
      <c r="P206" s="58" t="str" cm="1">
        <f>IF(ISBLANK($A206),"",INDEX(Array_ElectricalCharges,MATCH($A206,List_ElectricityMeters,0),ROUNDUP(COLUMN()/3,0)-2))</f>
        <v/>
      </c>
      <c r="Q206" s="127"/>
      <c r="R206" s="137"/>
      <c r="S206" s="58" t="str" cm="1">
        <f>IF(ISBLANK($A206),"",INDEX(Array_ElectricalCharges,MATCH($A206,List_ElectricityMeters,0),ROUNDUP(COLUMN()/3,0)-2))</f>
        <v/>
      </c>
      <c r="T206" s="127"/>
      <c r="U206" s="137"/>
      <c r="V206" s="58" t="str" cm="1">
        <f>IF(ISBLANK($A206),"",INDEX(Array_ElectricalCharges,MATCH($A206,List_ElectricityMeters,0),ROUNDUP(COLUMN()/3,0)-2))</f>
        <v/>
      </c>
      <c r="W206" s="127"/>
      <c r="X206" s="137"/>
      <c r="Y206" s="58" t="str" cm="1">
        <f>IF(ISBLANK($A206),"",INDEX(Array_ElectricalCharges,MATCH($A206,List_ElectricityMeters,0),ROUNDUP(COLUMN()/3,0)-2))</f>
        <v/>
      </c>
      <c r="Z206" s="127"/>
      <c r="AA206" s="137"/>
      <c r="AB206" s="58" t="str" cm="1">
        <f>IF(ISBLANK($A206),"",INDEX(Array_ElectricalCharges,MATCH($A206,List_ElectricityMeters,0),ROUNDUP(COLUMN()/3,0)-2))</f>
        <v/>
      </c>
      <c r="AC206" s="127"/>
      <c r="AD206" s="137"/>
      <c r="AE206" s="58" t="str" cm="1">
        <f>IF(ISBLANK($A206),"",INDEX(Array_ElectricalCharges,MATCH($A206,List_ElectricityMeters,0),ROUNDUP(COLUMN()/3,0)-2))</f>
        <v/>
      </c>
      <c r="AF206" s="127"/>
      <c r="AG206" s="137"/>
      <c r="AH206" s="58" t="str" cm="1">
        <f>IF(ISBLANK($A206),"",INDEX(Array_ElectricalCharges,MATCH($A206,List_ElectricityMeters,0),ROUNDUP(COLUMN()/3,0)-2))</f>
        <v/>
      </c>
      <c r="AI206" s="127"/>
      <c r="AJ206" s="137"/>
      <c r="AK206" s="58" t="str" cm="1">
        <f>IF(ISBLANK($A206),"",INDEX(Array_ElectricalCharges,MATCH($A206,List_ElectricityMeters,0),ROUNDUP(COLUMN()/3,0)-2))</f>
        <v/>
      </c>
      <c r="AL206" s="127"/>
      <c r="AM206" s="137"/>
      <c r="AN206" s="58" t="str" cm="1">
        <f>IF(ISBLANK($A206),"",INDEX(Array_ElectricalCharges,MATCH($A206,List_ElectricityMeters,0),ROUNDUP(COLUMN()/3,0)-2))</f>
        <v/>
      </c>
      <c r="AO206" s="127"/>
      <c r="AP206" s="137"/>
      <c r="AQ206" s="58" t="str" cm="1">
        <f>IF(ISBLANK($A206),"",INDEX(Array_ElectricalCharges,MATCH($A206,List_ElectricityMeters,0),ROUNDUP(COLUMN()/3,0)-2))</f>
        <v/>
      </c>
      <c r="AR206" s="127"/>
      <c r="AS206" s="137"/>
      <c r="AT206" s="58" t="str" cm="1">
        <f>IF(ISBLANK($A206),"",INDEX(Array_ElectricalCharges,MATCH($A206,List_ElectricityMeters,0),ROUNDUP(COLUMN()/3,0)-2))</f>
        <v/>
      </c>
      <c r="AU206" s="127"/>
      <c r="AV206" s="137"/>
      <c r="AW206" s="58" t="str" cm="1">
        <f>IF(ISBLANK($A206),"",INDEX(Array_ElectricalCharges,MATCH($A206,List_ElectricityMeters,0),ROUNDUP(COLUMN()/3,0)-2))</f>
        <v/>
      </c>
      <c r="AX206" s="127"/>
      <c r="AY206" s="137"/>
    </row>
    <row r="207" spans="1:51" x14ac:dyDescent="0.3">
      <c r="A207" s="126"/>
      <c r="B207" s="133"/>
      <c r="C207" s="134"/>
      <c r="D207" s="134"/>
      <c r="E207" s="135"/>
      <c r="F207" s="136"/>
      <c r="G207" s="58" t="str" cm="1">
        <f>IF(ISBLANK($A207),"",INDEX(Array_ElectricalCharges,MATCH($A207,List_ElectricityMeters,0),ROUNDUP(COLUMN()/3,0)-2))</f>
        <v/>
      </c>
      <c r="H207" s="127"/>
      <c r="I207" s="137"/>
      <c r="J207" s="58" t="str" cm="1">
        <f>IF(ISBLANK($A207),"",INDEX(Array_ElectricalCharges,MATCH($A207,List_ElectricityMeters,0),ROUNDUP(COLUMN()/3,0)-2))</f>
        <v/>
      </c>
      <c r="K207" s="127"/>
      <c r="L207" s="137"/>
      <c r="M207" s="58" t="str" cm="1">
        <f>IF(ISBLANK($A207),"",INDEX(Array_ElectricalCharges,MATCH($A207,List_ElectricityMeters,0),ROUNDUP(COLUMN()/3,0)-2))</f>
        <v/>
      </c>
      <c r="N207" s="127"/>
      <c r="O207" s="137"/>
      <c r="P207" s="58" t="str" cm="1">
        <f>IF(ISBLANK($A207),"",INDEX(Array_ElectricalCharges,MATCH($A207,List_ElectricityMeters,0),ROUNDUP(COLUMN()/3,0)-2))</f>
        <v/>
      </c>
      <c r="Q207" s="127"/>
      <c r="R207" s="137"/>
      <c r="S207" s="58" t="str" cm="1">
        <f>IF(ISBLANK($A207),"",INDEX(Array_ElectricalCharges,MATCH($A207,List_ElectricityMeters,0),ROUNDUP(COLUMN()/3,0)-2))</f>
        <v/>
      </c>
      <c r="T207" s="127"/>
      <c r="U207" s="137"/>
      <c r="V207" s="58" t="str" cm="1">
        <f>IF(ISBLANK($A207),"",INDEX(Array_ElectricalCharges,MATCH($A207,List_ElectricityMeters,0),ROUNDUP(COLUMN()/3,0)-2))</f>
        <v/>
      </c>
      <c r="W207" s="127"/>
      <c r="X207" s="137"/>
      <c r="Y207" s="58" t="str" cm="1">
        <f>IF(ISBLANK($A207),"",INDEX(Array_ElectricalCharges,MATCH($A207,List_ElectricityMeters,0),ROUNDUP(COLUMN()/3,0)-2))</f>
        <v/>
      </c>
      <c r="Z207" s="127"/>
      <c r="AA207" s="137"/>
      <c r="AB207" s="58" t="str" cm="1">
        <f>IF(ISBLANK($A207),"",INDEX(Array_ElectricalCharges,MATCH($A207,List_ElectricityMeters,0),ROUNDUP(COLUMN()/3,0)-2))</f>
        <v/>
      </c>
      <c r="AC207" s="127"/>
      <c r="AD207" s="137"/>
      <c r="AE207" s="58" t="str" cm="1">
        <f>IF(ISBLANK($A207),"",INDEX(Array_ElectricalCharges,MATCH($A207,List_ElectricityMeters,0),ROUNDUP(COLUMN()/3,0)-2))</f>
        <v/>
      </c>
      <c r="AF207" s="127"/>
      <c r="AG207" s="137"/>
      <c r="AH207" s="58" t="str" cm="1">
        <f>IF(ISBLANK($A207),"",INDEX(Array_ElectricalCharges,MATCH($A207,List_ElectricityMeters,0),ROUNDUP(COLUMN()/3,0)-2))</f>
        <v/>
      </c>
      <c r="AI207" s="127"/>
      <c r="AJ207" s="137"/>
      <c r="AK207" s="58" t="str" cm="1">
        <f>IF(ISBLANK($A207),"",INDEX(Array_ElectricalCharges,MATCH($A207,List_ElectricityMeters,0),ROUNDUP(COLUMN()/3,0)-2))</f>
        <v/>
      </c>
      <c r="AL207" s="127"/>
      <c r="AM207" s="137"/>
      <c r="AN207" s="58" t="str" cm="1">
        <f>IF(ISBLANK($A207),"",INDEX(Array_ElectricalCharges,MATCH($A207,List_ElectricityMeters,0),ROUNDUP(COLUMN()/3,0)-2))</f>
        <v/>
      </c>
      <c r="AO207" s="127"/>
      <c r="AP207" s="137"/>
      <c r="AQ207" s="58" t="str" cm="1">
        <f>IF(ISBLANK($A207),"",INDEX(Array_ElectricalCharges,MATCH($A207,List_ElectricityMeters,0),ROUNDUP(COLUMN()/3,0)-2))</f>
        <v/>
      </c>
      <c r="AR207" s="127"/>
      <c r="AS207" s="137"/>
      <c r="AT207" s="58" t="str" cm="1">
        <f>IF(ISBLANK($A207),"",INDEX(Array_ElectricalCharges,MATCH($A207,List_ElectricityMeters,0),ROUNDUP(COLUMN()/3,0)-2))</f>
        <v/>
      </c>
      <c r="AU207" s="127"/>
      <c r="AV207" s="137"/>
      <c r="AW207" s="58" t="str" cm="1">
        <f>IF(ISBLANK($A207),"",INDEX(Array_ElectricalCharges,MATCH($A207,List_ElectricityMeters,0),ROUNDUP(COLUMN()/3,0)-2))</f>
        <v/>
      </c>
      <c r="AX207" s="127"/>
      <c r="AY207" s="137"/>
    </row>
    <row r="208" spans="1:51" x14ac:dyDescent="0.3">
      <c r="A208" s="126"/>
      <c r="B208" s="133"/>
      <c r="C208" s="134"/>
      <c r="D208" s="134"/>
      <c r="E208" s="135"/>
      <c r="F208" s="136"/>
      <c r="G208" s="58" t="str" cm="1">
        <f>IF(ISBLANK($A208),"",INDEX(Array_ElectricalCharges,MATCH($A208,List_ElectricityMeters,0),ROUNDUP(COLUMN()/3,0)-2))</f>
        <v/>
      </c>
      <c r="H208" s="127"/>
      <c r="I208" s="137"/>
      <c r="J208" s="58" t="str" cm="1">
        <f>IF(ISBLANK($A208),"",INDEX(Array_ElectricalCharges,MATCH($A208,List_ElectricityMeters,0),ROUNDUP(COLUMN()/3,0)-2))</f>
        <v/>
      </c>
      <c r="K208" s="127"/>
      <c r="L208" s="137"/>
      <c r="M208" s="58" t="str" cm="1">
        <f>IF(ISBLANK($A208),"",INDEX(Array_ElectricalCharges,MATCH($A208,List_ElectricityMeters,0),ROUNDUP(COLUMN()/3,0)-2))</f>
        <v/>
      </c>
      <c r="N208" s="127"/>
      <c r="O208" s="137"/>
      <c r="P208" s="58" t="str" cm="1">
        <f>IF(ISBLANK($A208),"",INDEX(Array_ElectricalCharges,MATCH($A208,List_ElectricityMeters,0),ROUNDUP(COLUMN()/3,0)-2))</f>
        <v/>
      </c>
      <c r="Q208" s="127"/>
      <c r="R208" s="137"/>
      <c r="S208" s="58" t="str" cm="1">
        <f>IF(ISBLANK($A208),"",INDEX(Array_ElectricalCharges,MATCH($A208,List_ElectricityMeters,0),ROUNDUP(COLUMN()/3,0)-2))</f>
        <v/>
      </c>
      <c r="T208" s="127"/>
      <c r="U208" s="137"/>
      <c r="V208" s="58" t="str" cm="1">
        <f>IF(ISBLANK($A208),"",INDEX(Array_ElectricalCharges,MATCH($A208,List_ElectricityMeters,0),ROUNDUP(COLUMN()/3,0)-2))</f>
        <v/>
      </c>
      <c r="W208" s="127"/>
      <c r="X208" s="137"/>
      <c r="Y208" s="58" t="str" cm="1">
        <f>IF(ISBLANK($A208),"",INDEX(Array_ElectricalCharges,MATCH($A208,List_ElectricityMeters,0),ROUNDUP(COLUMN()/3,0)-2))</f>
        <v/>
      </c>
      <c r="Z208" s="127"/>
      <c r="AA208" s="137"/>
      <c r="AB208" s="58" t="str" cm="1">
        <f>IF(ISBLANK($A208),"",INDEX(Array_ElectricalCharges,MATCH($A208,List_ElectricityMeters,0),ROUNDUP(COLUMN()/3,0)-2))</f>
        <v/>
      </c>
      <c r="AC208" s="127"/>
      <c r="AD208" s="137"/>
      <c r="AE208" s="58" t="str" cm="1">
        <f>IF(ISBLANK($A208),"",INDEX(Array_ElectricalCharges,MATCH($A208,List_ElectricityMeters,0),ROUNDUP(COLUMN()/3,0)-2))</f>
        <v/>
      </c>
      <c r="AF208" s="127"/>
      <c r="AG208" s="137"/>
      <c r="AH208" s="58" t="str" cm="1">
        <f>IF(ISBLANK($A208),"",INDEX(Array_ElectricalCharges,MATCH($A208,List_ElectricityMeters,0),ROUNDUP(COLUMN()/3,0)-2))</f>
        <v/>
      </c>
      <c r="AI208" s="127"/>
      <c r="AJ208" s="137"/>
      <c r="AK208" s="58" t="str" cm="1">
        <f>IF(ISBLANK($A208),"",INDEX(Array_ElectricalCharges,MATCH($A208,List_ElectricityMeters,0),ROUNDUP(COLUMN()/3,0)-2))</f>
        <v/>
      </c>
      <c r="AL208" s="127"/>
      <c r="AM208" s="137"/>
      <c r="AN208" s="58" t="str" cm="1">
        <f>IF(ISBLANK($A208),"",INDEX(Array_ElectricalCharges,MATCH($A208,List_ElectricityMeters,0),ROUNDUP(COLUMN()/3,0)-2))</f>
        <v/>
      </c>
      <c r="AO208" s="127"/>
      <c r="AP208" s="137"/>
      <c r="AQ208" s="58" t="str" cm="1">
        <f>IF(ISBLANK($A208),"",INDEX(Array_ElectricalCharges,MATCH($A208,List_ElectricityMeters,0),ROUNDUP(COLUMN()/3,0)-2))</f>
        <v/>
      </c>
      <c r="AR208" s="127"/>
      <c r="AS208" s="137"/>
      <c r="AT208" s="58" t="str" cm="1">
        <f>IF(ISBLANK($A208),"",INDEX(Array_ElectricalCharges,MATCH($A208,List_ElectricityMeters,0),ROUNDUP(COLUMN()/3,0)-2))</f>
        <v/>
      </c>
      <c r="AU208" s="127"/>
      <c r="AV208" s="137"/>
      <c r="AW208" s="58" t="str" cm="1">
        <f>IF(ISBLANK($A208),"",INDEX(Array_ElectricalCharges,MATCH($A208,List_ElectricityMeters,0),ROUNDUP(COLUMN()/3,0)-2))</f>
        <v/>
      </c>
      <c r="AX208" s="127"/>
      <c r="AY208" s="137"/>
    </row>
    <row r="209" spans="1:51" x14ac:dyDescent="0.3">
      <c r="A209" s="126"/>
      <c r="B209" s="133"/>
      <c r="C209" s="134"/>
      <c r="D209" s="134"/>
      <c r="E209" s="135"/>
      <c r="F209" s="136"/>
      <c r="G209" s="58" t="str" cm="1">
        <f>IF(ISBLANK($A209),"",INDEX(Array_ElectricalCharges,MATCH($A209,List_ElectricityMeters,0),ROUNDUP(COLUMN()/3,0)-2))</f>
        <v/>
      </c>
      <c r="H209" s="127"/>
      <c r="I209" s="137"/>
      <c r="J209" s="58" t="str" cm="1">
        <f>IF(ISBLANK($A209),"",INDEX(Array_ElectricalCharges,MATCH($A209,List_ElectricityMeters,0),ROUNDUP(COLUMN()/3,0)-2))</f>
        <v/>
      </c>
      <c r="K209" s="127"/>
      <c r="L209" s="137"/>
      <c r="M209" s="58" t="str" cm="1">
        <f>IF(ISBLANK($A209),"",INDEX(Array_ElectricalCharges,MATCH($A209,List_ElectricityMeters,0),ROUNDUP(COLUMN()/3,0)-2))</f>
        <v/>
      </c>
      <c r="N209" s="127"/>
      <c r="O209" s="137"/>
      <c r="P209" s="58" t="str" cm="1">
        <f>IF(ISBLANK($A209),"",INDEX(Array_ElectricalCharges,MATCH($A209,List_ElectricityMeters,0),ROUNDUP(COLUMN()/3,0)-2))</f>
        <v/>
      </c>
      <c r="Q209" s="127"/>
      <c r="R209" s="137"/>
      <c r="S209" s="58" t="str" cm="1">
        <f>IF(ISBLANK($A209),"",INDEX(Array_ElectricalCharges,MATCH($A209,List_ElectricityMeters,0),ROUNDUP(COLUMN()/3,0)-2))</f>
        <v/>
      </c>
      <c r="T209" s="127"/>
      <c r="U209" s="137"/>
      <c r="V209" s="58" t="str" cm="1">
        <f>IF(ISBLANK($A209),"",INDEX(Array_ElectricalCharges,MATCH($A209,List_ElectricityMeters,0),ROUNDUP(COLUMN()/3,0)-2))</f>
        <v/>
      </c>
      <c r="W209" s="127"/>
      <c r="X209" s="137"/>
      <c r="Y209" s="58" t="str" cm="1">
        <f>IF(ISBLANK($A209),"",INDEX(Array_ElectricalCharges,MATCH($A209,List_ElectricityMeters,0),ROUNDUP(COLUMN()/3,0)-2))</f>
        <v/>
      </c>
      <c r="Z209" s="127"/>
      <c r="AA209" s="137"/>
      <c r="AB209" s="58" t="str" cm="1">
        <f>IF(ISBLANK($A209),"",INDEX(Array_ElectricalCharges,MATCH($A209,List_ElectricityMeters,0),ROUNDUP(COLUMN()/3,0)-2))</f>
        <v/>
      </c>
      <c r="AC209" s="127"/>
      <c r="AD209" s="137"/>
      <c r="AE209" s="58" t="str" cm="1">
        <f>IF(ISBLANK($A209),"",INDEX(Array_ElectricalCharges,MATCH($A209,List_ElectricityMeters,0),ROUNDUP(COLUMN()/3,0)-2))</f>
        <v/>
      </c>
      <c r="AF209" s="127"/>
      <c r="AG209" s="137"/>
      <c r="AH209" s="58" t="str" cm="1">
        <f>IF(ISBLANK($A209),"",INDEX(Array_ElectricalCharges,MATCH($A209,List_ElectricityMeters,0),ROUNDUP(COLUMN()/3,0)-2))</f>
        <v/>
      </c>
      <c r="AI209" s="127"/>
      <c r="AJ209" s="137"/>
      <c r="AK209" s="58" t="str" cm="1">
        <f>IF(ISBLANK($A209),"",INDEX(Array_ElectricalCharges,MATCH($A209,List_ElectricityMeters,0),ROUNDUP(COLUMN()/3,0)-2))</f>
        <v/>
      </c>
      <c r="AL209" s="127"/>
      <c r="AM209" s="137"/>
      <c r="AN209" s="58" t="str" cm="1">
        <f>IF(ISBLANK($A209),"",INDEX(Array_ElectricalCharges,MATCH($A209,List_ElectricityMeters,0),ROUNDUP(COLUMN()/3,0)-2))</f>
        <v/>
      </c>
      <c r="AO209" s="127"/>
      <c r="AP209" s="137"/>
      <c r="AQ209" s="58" t="str" cm="1">
        <f>IF(ISBLANK($A209),"",INDEX(Array_ElectricalCharges,MATCH($A209,List_ElectricityMeters,0),ROUNDUP(COLUMN()/3,0)-2))</f>
        <v/>
      </c>
      <c r="AR209" s="127"/>
      <c r="AS209" s="137"/>
      <c r="AT209" s="58" t="str" cm="1">
        <f>IF(ISBLANK($A209),"",INDEX(Array_ElectricalCharges,MATCH($A209,List_ElectricityMeters,0),ROUNDUP(COLUMN()/3,0)-2))</f>
        <v/>
      </c>
      <c r="AU209" s="127"/>
      <c r="AV209" s="137"/>
      <c r="AW209" s="58" t="str" cm="1">
        <f>IF(ISBLANK($A209),"",INDEX(Array_ElectricalCharges,MATCH($A209,List_ElectricityMeters,0),ROUNDUP(COLUMN()/3,0)-2))</f>
        <v/>
      </c>
      <c r="AX209" s="127"/>
      <c r="AY209" s="137"/>
    </row>
    <row r="210" spans="1:51" x14ac:dyDescent="0.3">
      <c r="A210" s="126"/>
      <c r="B210" s="133"/>
      <c r="C210" s="134"/>
      <c r="D210" s="134"/>
      <c r="E210" s="135"/>
      <c r="F210" s="136"/>
      <c r="G210" s="58" t="str" cm="1">
        <f>IF(ISBLANK($A210),"",INDEX(Array_ElectricalCharges,MATCH($A210,List_ElectricityMeters,0),ROUNDUP(COLUMN()/3,0)-2))</f>
        <v/>
      </c>
      <c r="H210" s="127"/>
      <c r="I210" s="137"/>
      <c r="J210" s="58" t="str" cm="1">
        <f>IF(ISBLANK($A210),"",INDEX(Array_ElectricalCharges,MATCH($A210,List_ElectricityMeters,0),ROUNDUP(COLUMN()/3,0)-2))</f>
        <v/>
      </c>
      <c r="K210" s="127"/>
      <c r="L210" s="137"/>
      <c r="M210" s="58" t="str" cm="1">
        <f>IF(ISBLANK($A210),"",INDEX(Array_ElectricalCharges,MATCH($A210,List_ElectricityMeters,0),ROUNDUP(COLUMN()/3,0)-2))</f>
        <v/>
      </c>
      <c r="N210" s="127"/>
      <c r="O210" s="137"/>
      <c r="P210" s="58" t="str" cm="1">
        <f>IF(ISBLANK($A210),"",INDEX(Array_ElectricalCharges,MATCH($A210,List_ElectricityMeters,0),ROUNDUP(COLUMN()/3,0)-2))</f>
        <v/>
      </c>
      <c r="Q210" s="127"/>
      <c r="R210" s="137"/>
      <c r="S210" s="58" t="str" cm="1">
        <f>IF(ISBLANK($A210),"",INDEX(Array_ElectricalCharges,MATCH($A210,List_ElectricityMeters,0),ROUNDUP(COLUMN()/3,0)-2))</f>
        <v/>
      </c>
      <c r="T210" s="127"/>
      <c r="U210" s="137"/>
      <c r="V210" s="58" t="str" cm="1">
        <f>IF(ISBLANK($A210),"",INDEX(Array_ElectricalCharges,MATCH($A210,List_ElectricityMeters,0),ROUNDUP(COLUMN()/3,0)-2))</f>
        <v/>
      </c>
      <c r="W210" s="127"/>
      <c r="X210" s="137"/>
      <c r="Y210" s="58" t="str" cm="1">
        <f>IF(ISBLANK($A210),"",INDEX(Array_ElectricalCharges,MATCH($A210,List_ElectricityMeters,0),ROUNDUP(COLUMN()/3,0)-2))</f>
        <v/>
      </c>
      <c r="Z210" s="127"/>
      <c r="AA210" s="137"/>
      <c r="AB210" s="58" t="str" cm="1">
        <f>IF(ISBLANK($A210),"",INDEX(Array_ElectricalCharges,MATCH($A210,List_ElectricityMeters,0),ROUNDUP(COLUMN()/3,0)-2))</f>
        <v/>
      </c>
      <c r="AC210" s="127"/>
      <c r="AD210" s="137"/>
      <c r="AE210" s="58" t="str" cm="1">
        <f>IF(ISBLANK($A210),"",INDEX(Array_ElectricalCharges,MATCH($A210,List_ElectricityMeters,0),ROUNDUP(COLUMN()/3,0)-2))</f>
        <v/>
      </c>
      <c r="AF210" s="127"/>
      <c r="AG210" s="137"/>
      <c r="AH210" s="58" t="str" cm="1">
        <f>IF(ISBLANK($A210),"",INDEX(Array_ElectricalCharges,MATCH($A210,List_ElectricityMeters,0),ROUNDUP(COLUMN()/3,0)-2))</f>
        <v/>
      </c>
      <c r="AI210" s="127"/>
      <c r="AJ210" s="137"/>
      <c r="AK210" s="58" t="str" cm="1">
        <f>IF(ISBLANK($A210),"",INDEX(Array_ElectricalCharges,MATCH($A210,List_ElectricityMeters,0),ROUNDUP(COLUMN()/3,0)-2))</f>
        <v/>
      </c>
      <c r="AL210" s="127"/>
      <c r="AM210" s="137"/>
      <c r="AN210" s="58" t="str" cm="1">
        <f>IF(ISBLANK($A210),"",INDEX(Array_ElectricalCharges,MATCH($A210,List_ElectricityMeters,0),ROUNDUP(COLUMN()/3,0)-2))</f>
        <v/>
      </c>
      <c r="AO210" s="127"/>
      <c r="AP210" s="137"/>
      <c r="AQ210" s="58" t="str" cm="1">
        <f>IF(ISBLANK($A210),"",INDEX(Array_ElectricalCharges,MATCH($A210,List_ElectricityMeters,0),ROUNDUP(COLUMN()/3,0)-2))</f>
        <v/>
      </c>
      <c r="AR210" s="127"/>
      <c r="AS210" s="137"/>
      <c r="AT210" s="58" t="str" cm="1">
        <f>IF(ISBLANK($A210),"",INDEX(Array_ElectricalCharges,MATCH($A210,List_ElectricityMeters,0),ROUNDUP(COLUMN()/3,0)-2))</f>
        <v/>
      </c>
      <c r="AU210" s="127"/>
      <c r="AV210" s="137"/>
      <c r="AW210" s="58" t="str" cm="1">
        <f>IF(ISBLANK($A210),"",INDEX(Array_ElectricalCharges,MATCH($A210,List_ElectricityMeters,0),ROUNDUP(COLUMN()/3,0)-2))</f>
        <v/>
      </c>
      <c r="AX210" s="127"/>
      <c r="AY210" s="137"/>
    </row>
    <row r="211" spans="1:51" x14ac:dyDescent="0.3">
      <c r="A211" s="126"/>
      <c r="B211" s="133"/>
      <c r="C211" s="134"/>
      <c r="D211" s="134"/>
      <c r="E211" s="135"/>
      <c r="F211" s="136"/>
      <c r="G211" s="58" t="str" cm="1">
        <f>IF(ISBLANK($A211),"",INDEX(Array_ElectricalCharges,MATCH($A211,List_ElectricityMeters,0),ROUNDUP(COLUMN()/3,0)-2))</f>
        <v/>
      </c>
      <c r="H211" s="127"/>
      <c r="I211" s="137"/>
      <c r="J211" s="58" t="str" cm="1">
        <f>IF(ISBLANK($A211),"",INDEX(Array_ElectricalCharges,MATCH($A211,List_ElectricityMeters,0),ROUNDUP(COLUMN()/3,0)-2))</f>
        <v/>
      </c>
      <c r="K211" s="127"/>
      <c r="L211" s="137"/>
      <c r="M211" s="58" t="str" cm="1">
        <f>IF(ISBLANK($A211),"",INDEX(Array_ElectricalCharges,MATCH($A211,List_ElectricityMeters,0),ROUNDUP(COLUMN()/3,0)-2))</f>
        <v/>
      </c>
      <c r="N211" s="127"/>
      <c r="O211" s="137"/>
      <c r="P211" s="58" t="str" cm="1">
        <f>IF(ISBLANK($A211),"",INDEX(Array_ElectricalCharges,MATCH($A211,List_ElectricityMeters,0),ROUNDUP(COLUMN()/3,0)-2))</f>
        <v/>
      </c>
      <c r="Q211" s="127"/>
      <c r="R211" s="137"/>
      <c r="S211" s="58" t="str" cm="1">
        <f>IF(ISBLANK($A211),"",INDEX(Array_ElectricalCharges,MATCH($A211,List_ElectricityMeters,0),ROUNDUP(COLUMN()/3,0)-2))</f>
        <v/>
      </c>
      <c r="T211" s="127"/>
      <c r="U211" s="137"/>
      <c r="V211" s="58" t="str" cm="1">
        <f>IF(ISBLANK($A211),"",INDEX(Array_ElectricalCharges,MATCH($A211,List_ElectricityMeters,0),ROUNDUP(COLUMN()/3,0)-2))</f>
        <v/>
      </c>
      <c r="W211" s="127"/>
      <c r="X211" s="137"/>
      <c r="Y211" s="58" t="str" cm="1">
        <f>IF(ISBLANK($A211),"",INDEX(Array_ElectricalCharges,MATCH($A211,List_ElectricityMeters,0),ROUNDUP(COLUMN()/3,0)-2))</f>
        <v/>
      </c>
      <c r="Z211" s="127"/>
      <c r="AA211" s="137"/>
      <c r="AB211" s="58" t="str" cm="1">
        <f>IF(ISBLANK($A211),"",INDEX(Array_ElectricalCharges,MATCH($A211,List_ElectricityMeters,0),ROUNDUP(COLUMN()/3,0)-2))</f>
        <v/>
      </c>
      <c r="AC211" s="127"/>
      <c r="AD211" s="137"/>
      <c r="AE211" s="58" t="str" cm="1">
        <f>IF(ISBLANK($A211),"",INDEX(Array_ElectricalCharges,MATCH($A211,List_ElectricityMeters,0),ROUNDUP(COLUMN()/3,0)-2))</f>
        <v/>
      </c>
      <c r="AF211" s="127"/>
      <c r="AG211" s="137"/>
      <c r="AH211" s="58" t="str" cm="1">
        <f>IF(ISBLANK($A211),"",INDEX(Array_ElectricalCharges,MATCH($A211,List_ElectricityMeters,0),ROUNDUP(COLUMN()/3,0)-2))</f>
        <v/>
      </c>
      <c r="AI211" s="127"/>
      <c r="AJ211" s="137"/>
      <c r="AK211" s="58" t="str" cm="1">
        <f>IF(ISBLANK($A211),"",INDEX(Array_ElectricalCharges,MATCH($A211,List_ElectricityMeters,0),ROUNDUP(COLUMN()/3,0)-2))</f>
        <v/>
      </c>
      <c r="AL211" s="127"/>
      <c r="AM211" s="137"/>
      <c r="AN211" s="58" t="str" cm="1">
        <f>IF(ISBLANK($A211),"",INDEX(Array_ElectricalCharges,MATCH($A211,List_ElectricityMeters,0),ROUNDUP(COLUMN()/3,0)-2))</f>
        <v/>
      </c>
      <c r="AO211" s="127"/>
      <c r="AP211" s="137"/>
      <c r="AQ211" s="58" t="str" cm="1">
        <f>IF(ISBLANK($A211),"",INDEX(Array_ElectricalCharges,MATCH($A211,List_ElectricityMeters,0),ROUNDUP(COLUMN()/3,0)-2))</f>
        <v/>
      </c>
      <c r="AR211" s="127"/>
      <c r="AS211" s="137"/>
      <c r="AT211" s="58" t="str" cm="1">
        <f>IF(ISBLANK($A211),"",INDEX(Array_ElectricalCharges,MATCH($A211,List_ElectricityMeters,0),ROUNDUP(COLUMN()/3,0)-2))</f>
        <v/>
      </c>
      <c r="AU211" s="127"/>
      <c r="AV211" s="137"/>
      <c r="AW211" s="58" t="str" cm="1">
        <f>IF(ISBLANK($A211),"",INDEX(Array_ElectricalCharges,MATCH($A211,List_ElectricityMeters,0),ROUNDUP(COLUMN()/3,0)-2))</f>
        <v/>
      </c>
      <c r="AX211" s="127"/>
      <c r="AY211" s="137"/>
    </row>
    <row r="212" spans="1:51" x14ac:dyDescent="0.3">
      <c r="A212" s="126"/>
      <c r="B212" s="133"/>
      <c r="C212" s="134"/>
      <c r="D212" s="134"/>
      <c r="E212" s="135"/>
      <c r="F212" s="136"/>
      <c r="G212" s="58" t="str" cm="1">
        <f>IF(ISBLANK($A212),"",INDEX(Array_ElectricalCharges,MATCH($A212,List_ElectricityMeters,0),ROUNDUP(COLUMN()/3,0)-2))</f>
        <v/>
      </c>
      <c r="H212" s="127"/>
      <c r="I212" s="137"/>
      <c r="J212" s="58" t="str" cm="1">
        <f>IF(ISBLANK($A212),"",INDEX(Array_ElectricalCharges,MATCH($A212,List_ElectricityMeters,0),ROUNDUP(COLUMN()/3,0)-2))</f>
        <v/>
      </c>
      <c r="K212" s="127"/>
      <c r="L212" s="137"/>
      <c r="M212" s="58" t="str" cm="1">
        <f>IF(ISBLANK($A212),"",INDEX(Array_ElectricalCharges,MATCH($A212,List_ElectricityMeters,0),ROUNDUP(COLUMN()/3,0)-2))</f>
        <v/>
      </c>
      <c r="N212" s="127"/>
      <c r="O212" s="137"/>
      <c r="P212" s="58" t="str" cm="1">
        <f>IF(ISBLANK($A212),"",INDEX(Array_ElectricalCharges,MATCH($A212,List_ElectricityMeters,0),ROUNDUP(COLUMN()/3,0)-2))</f>
        <v/>
      </c>
      <c r="Q212" s="127"/>
      <c r="R212" s="137"/>
      <c r="S212" s="58" t="str" cm="1">
        <f>IF(ISBLANK($A212),"",INDEX(Array_ElectricalCharges,MATCH($A212,List_ElectricityMeters,0),ROUNDUP(COLUMN()/3,0)-2))</f>
        <v/>
      </c>
      <c r="T212" s="127"/>
      <c r="U212" s="137"/>
      <c r="V212" s="58" t="str" cm="1">
        <f>IF(ISBLANK($A212),"",INDEX(Array_ElectricalCharges,MATCH($A212,List_ElectricityMeters,0),ROUNDUP(COLUMN()/3,0)-2))</f>
        <v/>
      </c>
      <c r="W212" s="127"/>
      <c r="X212" s="137"/>
      <c r="Y212" s="58" t="str" cm="1">
        <f>IF(ISBLANK($A212),"",INDEX(Array_ElectricalCharges,MATCH($A212,List_ElectricityMeters,0),ROUNDUP(COLUMN()/3,0)-2))</f>
        <v/>
      </c>
      <c r="Z212" s="127"/>
      <c r="AA212" s="137"/>
      <c r="AB212" s="58" t="str" cm="1">
        <f>IF(ISBLANK($A212),"",INDEX(Array_ElectricalCharges,MATCH($A212,List_ElectricityMeters,0),ROUNDUP(COLUMN()/3,0)-2))</f>
        <v/>
      </c>
      <c r="AC212" s="127"/>
      <c r="AD212" s="137"/>
      <c r="AE212" s="58" t="str" cm="1">
        <f>IF(ISBLANK($A212),"",INDEX(Array_ElectricalCharges,MATCH($A212,List_ElectricityMeters,0),ROUNDUP(COLUMN()/3,0)-2))</f>
        <v/>
      </c>
      <c r="AF212" s="127"/>
      <c r="AG212" s="137"/>
      <c r="AH212" s="58" t="str" cm="1">
        <f>IF(ISBLANK($A212),"",INDEX(Array_ElectricalCharges,MATCH($A212,List_ElectricityMeters,0),ROUNDUP(COLUMN()/3,0)-2))</f>
        <v/>
      </c>
      <c r="AI212" s="127"/>
      <c r="AJ212" s="137"/>
      <c r="AK212" s="58" t="str" cm="1">
        <f>IF(ISBLANK($A212),"",INDEX(Array_ElectricalCharges,MATCH($A212,List_ElectricityMeters,0),ROUNDUP(COLUMN()/3,0)-2))</f>
        <v/>
      </c>
      <c r="AL212" s="127"/>
      <c r="AM212" s="137"/>
      <c r="AN212" s="58" t="str" cm="1">
        <f>IF(ISBLANK($A212),"",INDEX(Array_ElectricalCharges,MATCH($A212,List_ElectricityMeters,0),ROUNDUP(COLUMN()/3,0)-2))</f>
        <v/>
      </c>
      <c r="AO212" s="127"/>
      <c r="AP212" s="137"/>
      <c r="AQ212" s="58" t="str" cm="1">
        <f>IF(ISBLANK($A212),"",INDEX(Array_ElectricalCharges,MATCH($A212,List_ElectricityMeters,0),ROUNDUP(COLUMN()/3,0)-2))</f>
        <v/>
      </c>
      <c r="AR212" s="127"/>
      <c r="AS212" s="137"/>
      <c r="AT212" s="58" t="str" cm="1">
        <f>IF(ISBLANK($A212),"",INDEX(Array_ElectricalCharges,MATCH($A212,List_ElectricityMeters,0),ROUNDUP(COLUMN()/3,0)-2))</f>
        <v/>
      </c>
      <c r="AU212" s="127"/>
      <c r="AV212" s="137"/>
      <c r="AW212" s="58" t="str" cm="1">
        <f>IF(ISBLANK($A212),"",INDEX(Array_ElectricalCharges,MATCH($A212,List_ElectricityMeters,0),ROUNDUP(COLUMN()/3,0)-2))</f>
        <v/>
      </c>
      <c r="AX212" s="127"/>
      <c r="AY212" s="137"/>
    </row>
    <row r="213" spans="1:51" x14ac:dyDescent="0.3">
      <c r="A213" s="126"/>
      <c r="B213" s="133"/>
      <c r="C213" s="134"/>
      <c r="D213" s="134"/>
      <c r="E213" s="135"/>
      <c r="F213" s="136"/>
      <c r="G213" s="58" t="str" cm="1">
        <f>IF(ISBLANK($A213),"",INDEX(Array_ElectricalCharges,MATCH($A213,List_ElectricityMeters,0),ROUNDUP(COLUMN()/3,0)-2))</f>
        <v/>
      </c>
      <c r="H213" s="127"/>
      <c r="I213" s="137"/>
      <c r="J213" s="58" t="str" cm="1">
        <f>IF(ISBLANK($A213),"",INDEX(Array_ElectricalCharges,MATCH($A213,List_ElectricityMeters,0),ROUNDUP(COLUMN()/3,0)-2))</f>
        <v/>
      </c>
      <c r="K213" s="127"/>
      <c r="L213" s="137"/>
      <c r="M213" s="58" t="str" cm="1">
        <f>IF(ISBLANK($A213),"",INDEX(Array_ElectricalCharges,MATCH($A213,List_ElectricityMeters,0),ROUNDUP(COLUMN()/3,0)-2))</f>
        <v/>
      </c>
      <c r="N213" s="127"/>
      <c r="O213" s="137"/>
      <c r="P213" s="58" t="str" cm="1">
        <f>IF(ISBLANK($A213),"",INDEX(Array_ElectricalCharges,MATCH($A213,List_ElectricityMeters,0),ROUNDUP(COLUMN()/3,0)-2))</f>
        <v/>
      </c>
      <c r="Q213" s="127"/>
      <c r="R213" s="137"/>
      <c r="S213" s="58" t="str" cm="1">
        <f>IF(ISBLANK($A213),"",INDEX(Array_ElectricalCharges,MATCH($A213,List_ElectricityMeters,0),ROUNDUP(COLUMN()/3,0)-2))</f>
        <v/>
      </c>
      <c r="T213" s="127"/>
      <c r="U213" s="137"/>
      <c r="V213" s="58" t="str" cm="1">
        <f>IF(ISBLANK($A213),"",INDEX(Array_ElectricalCharges,MATCH($A213,List_ElectricityMeters,0),ROUNDUP(COLUMN()/3,0)-2))</f>
        <v/>
      </c>
      <c r="W213" s="127"/>
      <c r="X213" s="137"/>
      <c r="Y213" s="58" t="str" cm="1">
        <f>IF(ISBLANK($A213),"",INDEX(Array_ElectricalCharges,MATCH($A213,List_ElectricityMeters,0),ROUNDUP(COLUMN()/3,0)-2))</f>
        <v/>
      </c>
      <c r="Z213" s="127"/>
      <c r="AA213" s="137"/>
      <c r="AB213" s="58" t="str" cm="1">
        <f>IF(ISBLANK($A213),"",INDEX(Array_ElectricalCharges,MATCH($A213,List_ElectricityMeters,0),ROUNDUP(COLUMN()/3,0)-2))</f>
        <v/>
      </c>
      <c r="AC213" s="127"/>
      <c r="AD213" s="137"/>
      <c r="AE213" s="58" t="str" cm="1">
        <f>IF(ISBLANK($A213),"",INDEX(Array_ElectricalCharges,MATCH($A213,List_ElectricityMeters,0),ROUNDUP(COLUMN()/3,0)-2))</f>
        <v/>
      </c>
      <c r="AF213" s="127"/>
      <c r="AG213" s="137"/>
      <c r="AH213" s="58" t="str" cm="1">
        <f>IF(ISBLANK($A213),"",INDEX(Array_ElectricalCharges,MATCH($A213,List_ElectricityMeters,0),ROUNDUP(COLUMN()/3,0)-2))</f>
        <v/>
      </c>
      <c r="AI213" s="127"/>
      <c r="AJ213" s="137"/>
      <c r="AK213" s="58" t="str" cm="1">
        <f>IF(ISBLANK($A213),"",INDEX(Array_ElectricalCharges,MATCH($A213,List_ElectricityMeters,0),ROUNDUP(COLUMN()/3,0)-2))</f>
        <v/>
      </c>
      <c r="AL213" s="127"/>
      <c r="AM213" s="137"/>
      <c r="AN213" s="58" t="str" cm="1">
        <f>IF(ISBLANK($A213),"",INDEX(Array_ElectricalCharges,MATCH($A213,List_ElectricityMeters,0),ROUNDUP(COLUMN()/3,0)-2))</f>
        <v/>
      </c>
      <c r="AO213" s="127"/>
      <c r="AP213" s="137"/>
      <c r="AQ213" s="58" t="str" cm="1">
        <f>IF(ISBLANK($A213),"",INDEX(Array_ElectricalCharges,MATCH($A213,List_ElectricityMeters,0),ROUNDUP(COLUMN()/3,0)-2))</f>
        <v/>
      </c>
      <c r="AR213" s="127"/>
      <c r="AS213" s="137"/>
      <c r="AT213" s="58" t="str" cm="1">
        <f>IF(ISBLANK($A213),"",INDEX(Array_ElectricalCharges,MATCH($A213,List_ElectricityMeters,0),ROUNDUP(COLUMN()/3,0)-2))</f>
        <v/>
      </c>
      <c r="AU213" s="127"/>
      <c r="AV213" s="137"/>
      <c r="AW213" s="58" t="str" cm="1">
        <f>IF(ISBLANK($A213),"",INDEX(Array_ElectricalCharges,MATCH($A213,List_ElectricityMeters,0),ROUNDUP(COLUMN()/3,0)-2))</f>
        <v/>
      </c>
      <c r="AX213" s="127"/>
      <c r="AY213" s="137"/>
    </row>
    <row r="214" spans="1:51" x14ac:dyDescent="0.3">
      <c r="A214" s="126"/>
      <c r="B214" s="133"/>
      <c r="C214" s="134"/>
      <c r="D214" s="134"/>
      <c r="E214" s="135"/>
      <c r="F214" s="136"/>
      <c r="G214" s="58" t="str" cm="1">
        <f>IF(ISBLANK($A214),"",INDEX(Array_ElectricalCharges,MATCH($A214,List_ElectricityMeters,0),ROUNDUP(COLUMN()/3,0)-2))</f>
        <v/>
      </c>
      <c r="H214" s="127"/>
      <c r="I214" s="137"/>
      <c r="J214" s="58" t="str" cm="1">
        <f>IF(ISBLANK($A214),"",INDEX(Array_ElectricalCharges,MATCH($A214,List_ElectricityMeters,0),ROUNDUP(COLUMN()/3,0)-2))</f>
        <v/>
      </c>
      <c r="K214" s="127"/>
      <c r="L214" s="137"/>
      <c r="M214" s="58" t="str" cm="1">
        <f>IF(ISBLANK($A214),"",INDEX(Array_ElectricalCharges,MATCH($A214,List_ElectricityMeters,0),ROUNDUP(COLUMN()/3,0)-2))</f>
        <v/>
      </c>
      <c r="N214" s="127"/>
      <c r="O214" s="137"/>
      <c r="P214" s="58" t="str" cm="1">
        <f>IF(ISBLANK($A214),"",INDEX(Array_ElectricalCharges,MATCH($A214,List_ElectricityMeters,0),ROUNDUP(COLUMN()/3,0)-2))</f>
        <v/>
      </c>
      <c r="Q214" s="127"/>
      <c r="R214" s="137"/>
      <c r="S214" s="58" t="str" cm="1">
        <f>IF(ISBLANK($A214),"",INDEX(Array_ElectricalCharges,MATCH($A214,List_ElectricityMeters,0),ROUNDUP(COLUMN()/3,0)-2))</f>
        <v/>
      </c>
      <c r="T214" s="127"/>
      <c r="U214" s="137"/>
      <c r="V214" s="58" t="str" cm="1">
        <f>IF(ISBLANK($A214),"",INDEX(Array_ElectricalCharges,MATCH($A214,List_ElectricityMeters,0),ROUNDUP(COLUMN()/3,0)-2))</f>
        <v/>
      </c>
      <c r="W214" s="127"/>
      <c r="X214" s="137"/>
      <c r="Y214" s="58" t="str" cm="1">
        <f>IF(ISBLANK($A214),"",INDEX(Array_ElectricalCharges,MATCH($A214,List_ElectricityMeters,0),ROUNDUP(COLUMN()/3,0)-2))</f>
        <v/>
      </c>
      <c r="Z214" s="127"/>
      <c r="AA214" s="137"/>
      <c r="AB214" s="58" t="str" cm="1">
        <f>IF(ISBLANK($A214),"",INDEX(Array_ElectricalCharges,MATCH($A214,List_ElectricityMeters,0),ROUNDUP(COLUMN()/3,0)-2))</f>
        <v/>
      </c>
      <c r="AC214" s="127"/>
      <c r="AD214" s="137"/>
      <c r="AE214" s="58" t="str" cm="1">
        <f>IF(ISBLANK($A214),"",INDEX(Array_ElectricalCharges,MATCH($A214,List_ElectricityMeters,0),ROUNDUP(COLUMN()/3,0)-2))</f>
        <v/>
      </c>
      <c r="AF214" s="127"/>
      <c r="AG214" s="137"/>
      <c r="AH214" s="58" t="str" cm="1">
        <f>IF(ISBLANK($A214),"",INDEX(Array_ElectricalCharges,MATCH($A214,List_ElectricityMeters,0),ROUNDUP(COLUMN()/3,0)-2))</f>
        <v/>
      </c>
      <c r="AI214" s="127"/>
      <c r="AJ214" s="137"/>
      <c r="AK214" s="58" t="str" cm="1">
        <f>IF(ISBLANK($A214),"",INDEX(Array_ElectricalCharges,MATCH($A214,List_ElectricityMeters,0),ROUNDUP(COLUMN()/3,0)-2))</f>
        <v/>
      </c>
      <c r="AL214" s="127"/>
      <c r="AM214" s="137"/>
      <c r="AN214" s="58" t="str" cm="1">
        <f>IF(ISBLANK($A214),"",INDEX(Array_ElectricalCharges,MATCH($A214,List_ElectricityMeters,0),ROUNDUP(COLUMN()/3,0)-2))</f>
        <v/>
      </c>
      <c r="AO214" s="127"/>
      <c r="AP214" s="137"/>
      <c r="AQ214" s="58" t="str" cm="1">
        <f>IF(ISBLANK($A214),"",INDEX(Array_ElectricalCharges,MATCH($A214,List_ElectricityMeters,0),ROUNDUP(COLUMN()/3,0)-2))</f>
        <v/>
      </c>
      <c r="AR214" s="127"/>
      <c r="AS214" s="137"/>
      <c r="AT214" s="58" t="str" cm="1">
        <f>IF(ISBLANK($A214),"",INDEX(Array_ElectricalCharges,MATCH($A214,List_ElectricityMeters,0),ROUNDUP(COLUMN()/3,0)-2))</f>
        <v/>
      </c>
      <c r="AU214" s="127"/>
      <c r="AV214" s="137"/>
      <c r="AW214" s="58" t="str" cm="1">
        <f>IF(ISBLANK($A214),"",INDEX(Array_ElectricalCharges,MATCH($A214,List_ElectricityMeters,0),ROUNDUP(COLUMN()/3,0)-2))</f>
        <v/>
      </c>
      <c r="AX214" s="127"/>
      <c r="AY214" s="137"/>
    </row>
    <row r="215" spans="1:51" x14ac:dyDescent="0.3">
      <c r="A215" s="126"/>
      <c r="B215" s="133"/>
      <c r="C215" s="134"/>
      <c r="D215" s="134"/>
      <c r="E215" s="135"/>
      <c r="F215" s="136"/>
      <c r="G215" s="58" t="str" cm="1">
        <f>IF(ISBLANK($A215),"",INDEX(Array_ElectricalCharges,MATCH($A215,List_ElectricityMeters,0),ROUNDUP(COLUMN()/3,0)-2))</f>
        <v/>
      </c>
      <c r="H215" s="127"/>
      <c r="I215" s="137"/>
      <c r="J215" s="58" t="str" cm="1">
        <f>IF(ISBLANK($A215),"",INDEX(Array_ElectricalCharges,MATCH($A215,List_ElectricityMeters,0),ROUNDUP(COLUMN()/3,0)-2))</f>
        <v/>
      </c>
      <c r="K215" s="127"/>
      <c r="L215" s="137"/>
      <c r="M215" s="58" t="str" cm="1">
        <f>IF(ISBLANK($A215),"",INDEX(Array_ElectricalCharges,MATCH($A215,List_ElectricityMeters,0),ROUNDUP(COLUMN()/3,0)-2))</f>
        <v/>
      </c>
      <c r="N215" s="127"/>
      <c r="O215" s="137"/>
      <c r="P215" s="58" t="str" cm="1">
        <f>IF(ISBLANK($A215),"",INDEX(Array_ElectricalCharges,MATCH($A215,List_ElectricityMeters,0),ROUNDUP(COLUMN()/3,0)-2))</f>
        <v/>
      </c>
      <c r="Q215" s="127"/>
      <c r="R215" s="137"/>
      <c r="S215" s="58" t="str" cm="1">
        <f>IF(ISBLANK($A215),"",INDEX(Array_ElectricalCharges,MATCH($A215,List_ElectricityMeters,0),ROUNDUP(COLUMN()/3,0)-2))</f>
        <v/>
      </c>
      <c r="T215" s="127"/>
      <c r="U215" s="137"/>
      <c r="V215" s="58" t="str" cm="1">
        <f>IF(ISBLANK($A215),"",INDEX(Array_ElectricalCharges,MATCH($A215,List_ElectricityMeters,0),ROUNDUP(COLUMN()/3,0)-2))</f>
        <v/>
      </c>
      <c r="W215" s="127"/>
      <c r="X215" s="137"/>
      <c r="Y215" s="58" t="str" cm="1">
        <f>IF(ISBLANK($A215),"",INDEX(Array_ElectricalCharges,MATCH($A215,List_ElectricityMeters,0),ROUNDUP(COLUMN()/3,0)-2))</f>
        <v/>
      </c>
      <c r="Z215" s="127"/>
      <c r="AA215" s="137"/>
      <c r="AB215" s="58" t="str" cm="1">
        <f>IF(ISBLANK($A215),"",INDEX(Array_ElectricalCharges,MATCH($A215,List_ElectricityMeters,0),ROUNDUP(COLUMN()/3,0)-2))</f>
        <v/>
      </c>
      <c r="AC215" s="127"/>
      <c r="AD215" s="137"/>
      <c r="AE215" s="58" t="str" cm="1">
        <f>IF(ISBLANK($A215),"",INDEX(Array_ElectricalCharges,MATCH($A215,List_ElectricityMeters,0),ROUNDUP(COLUMN()/3,0)-2))</f>
        <v/>
      </c>
      <c r="AF215" s="127"/>
      <c r="AG215" s="137"/>
      <c r="AH215" s="58" t="str" cm="1">
        <f>IF(ISBLANK($A215),"",INDEX(Array_ElectricalCharges,MATCH($A215,List_ElectricityMeters,0),ROUNDUP(COLUMN()/3,0)-2))</f>
        <v/>
      </c>
      <c r="AI215" s="127"/>
      <c r="AJ215" s="137"/>
      <c r="AK215" s="58" t="str" cm="1">
        <f>IF(ISBLANK($A215),"",INDEX(Array_ElectricalCharges,MATCH($A215,List_ElectricityMeters,0),ROUNDUP(COLUMN()/3,0)-2))</f>
        <v/>
      </c>
      <c r="AL215" s="127"/>
      <c r="AM215" s="137"/>
      <c r="AN215" s="58" t="str" cm="1">
        <f>IF(ISBLANK($A215),"",INDEX(Array_ElectricalCharges,MATCH($A215,List_ElectricityMeters,0),ROUNDUP(COLUMN()/3,0)-2))</f>
        <v/>
      </c>
      <c r="AO215" s="127"/>
      <c r="AP215" s="137"/>
      <c r="AQ215" s="58" t="str" cm="1">
        <f>IF(ISBLANK($A215),"",INDEX(Array_ElectricalCharges,MATCH($A215,List_ElectricityMeters,0),ROUNDUP(COLUMN()/3,0)-2))</f>
        <v/>
      </c>
      <c r="AR215" s="127"/>
      <c r="AS215" s="137"/>
      <c r="AT215" s="58" t="str" cm="1">
        <f>IF(ISBLANK($A215),"",INDEX(Array_ElectricalCharges,MATCH($A215,List_ElectricityMeters,0),ROUNDUP(COLUMN()/3,0)-2))</f>
        <v/>
      </c>
      <c r="AU215" s="127"/>
      <c r="AV215" s="137"/>
      <c r="AW215" s="58" t="str" cm="1">
        <f>IF(ISBLANK($A215),"",INDEX(Array_ElectricalCharges,MATCH($A215,List_ElectricityMeters,0),ROUNDUP(COLUMN()/3,0)-2))</f>
        <v/>
      </c>
      <c r="AX215" s="127"/>
      <c r="AY215" s="137"/>
    </row>
    <row r="216" spans="1:51" x14ac:dyDescent="0.3">
      <c r="A216" s="126"/>
      <c r="B216" s="133"/>
      <c r="C216" s="134"/>
      <c r="D216" s="134"/>
      <c r="E216" s="135"/>
      <c r="F216" s="136"/>
      <c r="G216" s="58" t="str" cm="1">
        <f>IF(ISBLANK($A216),"",INDEX(Array_ElectricalCharges,MATCH($A216,List_ElectricityMeters,0),ROUNDUP(COLUMN()/3,0)-2))</f>
        <v/>
      </c>
      <c r="H216" s="127"/>
      <c r="I216" s="137"/>
      <c r="J216" s="58" t="str" cm="1">
        <f>IF(ISBLANK($A216),"",INDEX(Array_ElectricalCharges,MATCH($A216,List_ElectricityMeters,0),ROUNDUP(COLUMN()/3,0)-2))</f>
        <v/>
      </c>
      <c r="K216" s="127"/>
      <c r="L216" s="137"/>
      <c r="M216" s="58" t="str" cm="1">
        <f>IF(ISBLANK($A216),"",INDEX(Array_ElectricalCharges,MATCH($A216,List_ElectricityMeters,0),ROUNDUP(COLUMN()/3,0)-2))</f>
        <v/>
      </c>
      <c r="N216" s="127"/>
      <c r="O216" s="137"/>
      <c r="P216" s="58" t="str" cm="1">
        <f>IF(ISBLANK($A216),"",INDEX(Array_ElectricalCharges,MATCH($A216,List_ElectricityMeters,0),ROUNDUP(COLUMN()/3,0)-2))</f>
        <v/>
      </c>
      <c r="Q216" s="127"/>
      <c r="R216" s="137"/>
      <c r="S216" s="58" t="str" cm="1">
        <f>IF(ISBLANK($A216),"",INDEX(Array_ElectricalCharges,MATCH($A216,List_ElectricityMeters,0),ROUNDUP(COLUMN()/3,0)-2))</f>
        <v/>
      </c>
      <c r="T216" s="127"/>
      <c r="U216" s="137"/>
      <c r="V216" s="58" t="str" cm="1">
        <f>IF(ISBLANK($A216),"",INDEX(Array_ElectricalCharges,MATCH($A216,List_ElectricityMeters,0),ROUNDUP(COLUMN()/3,0)-2))</f>
        <v/>
      </c>
      <c r="W216" s="127"/>
      <c r="X216" s="137"/>
      <c r="Y216" s="58" t="str" cm="1">
        <f>IF(ISBLANK($A216),"",INDEX(Array_ElectricalCharges,MATCH($A216,List_ElectricityMeters,0),ROUNDUP(COLUMN()/3,0)-2))</f>
        <v/>
      </c>
      <c r="Z216" s="127"/>
      <c r="AA216" s="137"/>
      <c r="AB216" s="58" t="str" cm="1">
        <f>IF(ISBLANK($A216),"",INDEX(Array_ElectricalCharges,MATCH($A216,List_ElectricityMeters,0),ROUNDUP(COLUMN()/3,0)-2))</f>
        <v/>
      </c>
      <c r="AC216" s="127"/>
      <c r="AD216" s="137"/>
      <c r="AE216" s="58" t="str" cm="1">
        <f>IF(ISBLANK($A216),"",INDEX(Array_ElectricalCharges,MATCH($A216,List_ElectricityMeters,0),ROUNDUP(COLUMN()/3,0)-2))</f>
        <v/>
      </c>
      <c r="AF216" s="127"/>
      <c r="AG216" s="137"/>
      <c r="AH216" s="58" t="str" cm="1">
        <f>IF(ISBLANK($A216),"",INDEX(Array_ElectricalCharges,MATCH($A216,List_ElectricityMeters,0),ROUNDUP(COLUMN()/3,0)-2))</f>
        <v/>
      </c>
      <c r="AI216" s="127"/>
      <c r="AJ216" s="137"/>
      <c r="AK216" s="58" t="str" cm="1">
        <f>IF(ISBLANK($A216),"",INDEX(Array_ElectricalCharges,MATCH($A216,List_ElectricityMeters,0),ROUNDUP(COLUMN()/3,0)-2))</f>
        <v/>
      </c>
      <c r="AL216" s="127"/>
      <c r="AM216" s="137"/>
      <c r="AN216" s="58" t="str" cm="1">
        <f>IF(ISBLANK($A216),"",INDEX(Array_ElectricalCharges,MATCH($A216,List_ElectricityMeters,0),ROUNDUP(COLUMN()/3,0)-2))</f>
        <v/>
      </c>
      <c r="AO216" s="127"/>
      <c r="AP216" s="137"/>
      <c r="AQ216" s="58" t="str" cm="1">
        <f>IF(ISBLANK($A216),"",INDEX(Array_ElectricalCharges,MATCH($A216,List_ElectricityMeters,0),ROUNDUP(COLUMN()/3,0)-2))</f>
        <v/>
      </c>
      <c r="AR216" s="127"/>
      <c r="AS216" s="137"/>
      <c r="AT216" s="58" t="str" cm="1">
        <f>IF(ISBLANK($A216),"",INDEX(Array_ElectricalCharges,MATCH($A216,List_ElectricityMeters,0),ROUNDUP(COLUMN()/3,0)-2))</f>
        <v/>
      </c>
      <c r="AU216" s="127"/>
      <c r="AV216" s="137"/>
      <c r="AW216" s="58" t="str" cm="1">
        <f>IF(ISBLANK($A216),"",INDEX(Array_ElectricalCharges,MATCH($A216,List_ElectricityMeters,0),ROUNDUP(COLUMN()/3,0)-2))</f>
        <v/>
      </c>
      <c r="AX216" s="127"/>
      <c r="AY216" s="137"/>
    </row>
    <row r="217" spans="1:51" x14ac:dyDescent="0.3">
      <c r="A217" s="126"/>
      <c r="B217" s="133"/>
      <c r="C217" s="134"/>
      <c r="D217" s="134"/>
      <c r="E217" s="135"/>
      <c r="F217" s="136"/>
      <c r="G217" s="58" t="str" cm="1">
        <f>IF(ISBLANK($A217),"",INDEX(Array_ElectricalCharges,MATCH($A217,List_ElectricityMeters,0),ROUNDUP(COLUMN()/3,0)-2))</f>
        <v/>
      </c>
      <c r="H217" s="127"/>
      <c r="I217" s="137"/>
      <c r="J217" s="58" t="str" cm="1">
        <f>IF(ISBLANK($A217),"",INDEX(Array_ElectricalCharges,MATCH($A217,List_ElectricityMeters,0),ROUNDUP(COLUMN()/3,0)-2))</f>
        <v/>
      </c>
      <c r="K217" s="127"/>
      <c r="L217" s="137"/>
      <c r="M217" s="58" t="str" cm="1">
        <f>IF(ISBLANK($A217),"",INDEX(Array_ElectricalCharges,MATCH($A217,List_ElectricityMeters,0),ROUNDUP(COLUMN()/3,0)-2))</f>
        <v/>
      </c>
      <c r="N217" s="127"/>
      <c r="O217" s="137"/>
      <c r="P217" s="58" t="str" cm="1">
        <f>IF(ISBLANK($A217),"",INDEX(Array_ElectricalCharges,MATCH($A217,List_ElectricityMeters,0),ROUNDUP(COLUMN()/3,0)-2))</f>
        <v/>
      </c>
      <c r="Q217" s="127"/>
      <c r="R217" s="137"/>
      <c r="S217" s="58" t="str" cm="1">
        <f>IF(ISBLANK($A217),"",INDEX(Array_ElectricalCharges,MATCH($A217,List_ElectricityMeters,0),ROUNDUP(COLUMN()/3,0)-2))</f>
        <v/>
      </c>
      <c r="T217" s="127"/>
      <c r="U217" s="137"/>
      <c r="V217" s="58" t="str" cm="1">
        <f>IF(ISBLANK($A217),"",INDEX(Array_ElectricalCharges,MATCH($A217,List_ElectricityMeters,0),ROUNDUP(COLUMN()/3,0)-2))</f>
        <v/>
      </c>
      <c r="W217" s="127"/>
      <c r="X217" s="137"/>
      <c r="Y217" s="58" t="str" cm="1">
        <f>IF(ISBLANK($A217),"",INDEX(Array_ElectricalCharges,MATCH($A217,List_ElectricityMeters,0),ROUNDUP(COLUMN()/3,0)-2))</f>
        <v/>
      </c>
      <c r="Z217" s="127"/>
      <c r="AA217" s="137"/>
      <c r="AB217" s="58" t="str" cm="1">
        <f>IF(ISBLANK($A217),"",INDEX(Array_ElectricalCharges,MATCH($A217,List_ElectricityMeters,0),ROUNDUP(COLUMN()/3,0)-2))</f>
        <v/>
      </c>
      <c r="AC217" s="127"/>
      <c r="AD217" s="137"/>
      <c r="AE217" s="58" t="str" cm="1">
        <f>IF(ISBLANK($A217),"",INDEX(Array_ElectricalCharges,MATCH($A217,List_ElectricityMeters,0),ROUNDUP(COLUMN()/3,0)-2))</f>
        <v/>
      </c>
      <c r="AF217" s="127"/>
      <c r="AG217" s="137"/>
      <c r="AH217" s="58" t="str" cm="1">
        <f>IF(ISBLANK($A217),"",INDEX(Array_ElectricalCharges,MATCH($A217,List_ElectricityMeters,0),ROUNDUP(COLUMN()/3,0)-2))</f>
        <v/>
      </c>
      <c r="AI217" s="127"/>
      <c r="AJ217" s="137"/>
      <c r="AK217" s="58" t="str" cm="1">
        <f>IF(ISBLANK($A217),"",INDEX(Array_ElectricalCharges,MATCH($A217,List_ElectricityMeters,0),ROUNDUP(COLUMN()/3,0)-2))</f>
        <v/>
      </c>
      <c r="AL217" s="127"/>
      <c r="AM217" s="137"/>
      <c r="AN217" s="58" t="str" cm="1">
        <f>IF(ISBLANK($A217),"",INDEX(Array_ElectricalCharges,MATCH($A217,List_ElectricityMeters,0),ROUNDUP(COLUMN()/3,0)-2))</f>
        <v/>
      </c>
      <c r="AO217" s="127"/>
      <c r="AP217" s="137"/>
      <c r="AQ217" s="58" t="str" cm="1">
        <f>IF(ISBLANK($A217),"",INDEX(Array_ElectricalCharges,MATCH($A217,List_ElectricityMeters,0),ROUNDUP(COLUMN()/3,0)-2))</f>
        <v/>
      </c>
      <c r="AR217" s="127"/>
      <c r="AS217" s="137"/>
      <c r="AT217" s="58" t="str" cm="1">
        <f>IF(ISBLANK($A217),"",INDEX(Array_ElectricalCharges,MATCH($A217,List_ElectricityMeters,0),ROUNDUP(COLUMN()/3,0)-2))</f>
        <v/>
      </c>
      <c r="AU217" s="127"/>
      <c r="AV217" s="137"/>
      <c r="AW217" s="58" t="str" cm="1">
        <f>IF(ISBLANK($A217),"",INDEX(Array_ElectricalCharges,MATCH($A217,List_ElectricityMeters,0),ROUNDUP(COLUMN()/3,0)-2))</f>
        <v/>
      </c>
      <c r="AX217" s="127"/>
      <c r="AY217" s="137"/>
    </row>
    <row r="218" spans="1:51" x14ac:dyDescent="0.3">
      <c r="A218" s="126"/>
      <c r="B218" s="133"/>
      <c r="C218" s="134"/>
      <c r="D218" s="134"/>
      <c r="E218" s="135"/>
      <c r="F218" s="136"/>
      <c r="G218" s="58" t="str" cm="1">
        <f>IF(ISBLANK($A218),"",INDEX(Array_ElectricalCharges,MATCH($A218,List_ElectricityMeters,0),ROUNDUP(COLUMN()/3,0)-2))</f>
        <v/>
      </c>
      <c r="H218" s="127"/>
      <c r="I218" s="137"/>
      <c r="J218" s="58" t="str" cm="1">
        <f>IF(ISBLANK($A218),"",INDEX(Array_ElectricalCharges,MATCH($A218,List_ElectricityMeters,0),ROUNDUP(COLUMN()/3,0)-2))</f>
        <v/>
      </c>
      <c r="K218" s="127"/>
      <c r="L218" s="137"/>
      <c r="M218" s="58" t="str" cm="1">
        <f>IF(ISBLANK($A218),"",INDEX(Array_ElectricalCharges,MATCH($A218,List_ElectricityMeters,0),ROUNDUP(COLUMN()/3,0)-2))</f>
        <v/>
      </c>
      <c r="N218" s="127"/>
      <c r="O218" s="137"/>
      <c r="P218" s="58" t="str" cm="1">
        <f>IF(ISBLANK($A218),"",INDEX(Array_ElectricalCharges,MATCH($A218,List_ElectricityMeters,0),ROUNDUP(COLUMN()/3,0)-2))</f>
        <v/>
      </c>
      <c r="Q218" s="127"/>
      <c r="R218" s="137"/>
      <c r="S218" s="58" t="str" cm="1">
        <f>IF(ISBLANK($A218),"",INDEX(Array_ElectricalCharges,MATCH($A218,List_ElectricityMeters,0),ROUNDUP(COLUMN()/3,0)-2))</f>
        <v/>
      </c>
      <c r="T218" s="127"/>
      <c r="U218" s="137"/>
      <c r="V218" s="58" t="str" cm="1">
        <f>IF(ISBLANK($A218),"",INDEX(Array_ElectricalCharges,MATCH($A218,List_ElectricityMeters,0),ROUNDUP(COLUMN()/3,0)-2))</f>
        <v/>
      </c>
      <c r="W218" s="127"/>
      <c r="X218" s="137"/>
      <c r="Y218" s="58" t="str" cm="1">
        <f>IF(ISBLANK($A218),"",INDEX(Array_ElectricalCharges,MATCH($A218,List_ElectricityMeters,0),ROUNDUP(COLUMN()/3,0)-2))</f>
        <v/>
      </c>
      <c r="Z218" s="127"/>
      <c r="AA218" s="137"/>
      <c r="AB218" s="58" t="str" cm="1">
        <f>IF(ISBLANK($A218),"",INDEX(Array_ElectricalCharges,MATCH($A218,List_ElectricityMeters,0),ROUNDUP(COLUMN()/3,0)-2))</f>
        <v/>
      </c>
      <c r="AC218" s="127"/>
      <c r="AD218" s="137"/>
      <c r="AE218" s="58" t="str" cm="1">
        <f>IF(ISBLANK($A218),"",INDEX(Array_ElectricalCharges,MATCH($A218,List_ElectricityMeters,0),ROUNDUP(COLUMN()/3,0)-2))</f>
        <v/>
      </c>
      <c r="AF218" s="127"/>
      <c r="AG218" s="137"/>
      <c r="AH218" s="58" t="str" cm="1">
        <f>IF(ISBLANK($A218),"",INDEX(Array_ElectricalCharges,MATCH($A218,List_ElectricityMeters,0),ROUNDUP(COLUMN()/3,0)-2))</f>
        <v/>
      </c>
      <c r="AI218" s="127"/>
      <c r="AJ218" s="137"/>
      <c r="AK218" s="58" t="str" cm="1">
        <f>IF(ISBLANK($A218),"",INDEX(Array_ElectricalCharges,MATCH($A218,List_ElectricityMeters,0),ROUNDUP(COLUMN()/3,0)-2))</f>
        <v/>
      </c>
      <c r="AL218" s="127"/>
      <c r="AM218" s="137"/>
      <c r="AN218" s="58" t="str" cm="1">
        <f>IF(ISBLANK($A218),"",INDEX(Array_ElectricalCharges,MATCH($A218,List_ElectricityMeters,0),ROUNDUP(COLUMN()/3,0)-2))</f>
        <v/>
      </c>
      <c r="AO218" s="127"/>
      <c r="AP218" s="137"/>
      <c r="AQ218" s="58" t="str" cm="1">
        <f>IF(ISBLANK($A218),"",INDEX(Array_ElectricalCharges,MATCH($A218,List_ElectricityMeters,0),ROUNDUP(COLUMN()/3,0)-2))</f>
        <v/>
      </c>
      <c r="AR218" s="127"/>
      <c r="AS218" s="137"/>
      <c r="AT218" s="58" t="str" cm="1">
        <f>IF(ISBLANK($A218),"",INDEX(Array_ElectricalCharges,MATCH($A218,List_ElectricityMeters,0),ROUNDUP(COLUMN()/3,0)-2))</f>
        <v/>
      </c>
      <c r="AU218" s="127"/>
      <c r="AV218" s="137"/>
      <c r="AW218" s="58" t="str" cm="1">
        <f>IF(ISBLANK($A218),"",INDEX(Array_ElectricalCharges,MATCH($A218,List_ElectricityMeters,0),ROUNDUP(COLUMN()/3,0)-2))</f>
        <v/>
      </c>
      <c r="AX218" s="127"/>
      <c r="AY218" s="137"/>
    </row>
    <row r="219" spans="1:51" x14ac:dyDescent="0.3">
      <c r="A219" s="126"/>
      <c r="B219" s="133"/>
      <c r="C219" s="134"/>
      <c r="D219" s="134"/>
      <c r="E219" s="135"/>
      <c r="F219" s="136"/>
      <c r="G219" s="58" t="str" cm="1">
        <f>IF(ISBLANK($A219),"",INDEX(Array_ElectricalCharges,MATCH($A219,List_ElectricityMeters,0),ROUNDUP(COLUMN()/3,0)-2))</f>
        <v/>
      </c>
      <c r="H219" s="127"/>
      <c r="I219" s="137"/>
      <c r="J219" s="58" t="str" cm="1">
        <f>IF(ISBLANK($A219),"",INDEX(Array_ElectricalCharges,MATCH($A219,List_ElectricityMeters,0),ROUNDUP(COLUMN()/3,0)-2))</f>
        <v/>
      </c>
      <c r="K219" s="127"/>
      <c r="L219" s="137"/>
      <c r="M219" s="58" t="str" cm="1">
        <f>IF(ISBLANK($A219),"",INDEX(Array_ElectricalCharges,MATCH($A219,List_ElectricityMeters,0),ROUNDUP(COLUMN()/3,0)-2))</f>
        <v/>
      </c>
      <c r="N219" s="127"/>
      <c r="O219" s="137"/>
      <c r="P219" s="58" t="str" cm="1">
        <f>IF(ISBLANK($A219),"",INDEX(Array_ElectricalCharges,MATCH($A219,List_ElectricityMeters,0),ROUNDUP(COLUMN()/3,0)-2))</f>
        <v/>
      </c>
      <c r="Q219" s="127"/>
      <c r="R219" s="137"/>
      <c r="S219" s="58" t="str" cm="1">
        <f>IF(ISBLANK($A219),"",INDEX(Array_ElectricalCharges,MATCH($A219,List_ElectricityMeters,0),ROUNDUP(COLUMN()/3,0)-2))</f>
        <v/>
      </c>
      <c r="T219" s="127"/>
      <c r="U219" s="137"/>
      <c r="V219" s="58" t="str" cm="1">
        <f>IF(ISBLANK($A219),"",INDEX(Array_ElectricalCharges,MATCH($A219,List_ElectricityMeters,0),ROUNDUP(COLUMN()/3,0)-2))</f>
        <v/>
      </c>
      <c r="W219" s="127"/>
      <c r="X219" s="137"/>
      <c r="Y219" s="58" t="str" cm="1">
        <f>IF(ISBLANK($A219),"",INDEX(Array_ElectricalCharges,MATCH($A219,List_ElectricityMeters,0),ROUNDUP(COLUMN()/3,0)-2))</f>
        <v/>
      </c>
      <c r="Z219" s="127"/>
      <c r="AA219" s="137"/>
      <c r="AB219" s="58" t="str" cm="1">
        <f>IF(ISBLANK($A219),"",INDEX(Array_ElectricalCharges,MATCH($A219,List_ElectricityMeters,0),ROUNDUP(COLUMN()/3,0)-2))</f>
        <v/>
      </c>
      <c r="AC219" s="127"/>
      <c r="AD219" s="137"/>
      <c r="AE219" s="58" t="str" cm="1">
        <f>IF(ISBLANK($A219),"",INDEX(Array_ElectricalCharges,MATCH($A219,List_ElectricityMeters,0),ROUNDUP(COLUMN()/3,0)-2))</f>
        <v/>
      </c>
      <c r="AF219" s="127"/>
      <c r="AG219" s="137"/>
      <c r="AH219" s="58" t="str" cm="1">
        <f>IF(ISBLANK($A219),"",INDEX(Array_ElectricalCharges,MATCH($A219,List_ElectricityMeters,0),ROUNDUP(COLUMN()/3,0)-2))</f>
        <v/>
      </c>
      <c r="AI219" s="127"/>
      <c r="AJ219" s="137"/>
      <c r="AK219" s="58" t="str" cm="1">
        <f>IF(ISBLANK($A219),"",INDEX(Array_ElectricalCharges,MATCH($A219,List_ElectricityMeters,0),ROUNDUP(COLUMN()/3,0)-2))</f>
        <v/>
      </c>
      <c r="AL219" s="127"/>
      <c r="AM219" s="137"/>
      <c r="AN219" s="58" t="str" cm="1">
        <f>IF(ISBLANK($A219),"",INDEX(Array_ElectricalCharges,MATCH($A219,List_ElectricityMeters,0),ROUNDUP(COLUMN()/3,0)-2))</f>
        <v/>
      </c>
      <c r="AO219" s="127"/>
      <c r="AP219" s="137"/>
      <c r="AQ219" s="58" t="str" cm="1">
        <f>IF(ISBLANK($A219),"",INDEX(Array_ElectricalCharges,MATCH($A219,List_ElectricityMeters,0),ROUNDUP(COLUMN()/3,0)-2))</f>
        <v/>
      </c>
      <c r="AR219" s="127"/>
      <c r="AS219" s="137"/>
      <c r="AT219" s="58" t="str" cm="1">
        <f>IF(ISBLANK($A219),"",INDEX(Array_ElectricalCharges,MATCH($A219,List_ElectricityMeters,0),ROUNDUP(COLUMN()/3,0)-2))</f>
        <v/>
      </c>
      <c r="AU219" s="127"/>
      <c r="AV219" s="137"/>
      <c r="AW219" s="58" t="str" cm="1">
        <f>IF(ISBLANK($A219),"",INDEX(Array_ElectricalCharges,MATCH($A219,List_ElectricityMeters,0),ROUNDUP(COLUMN()/3,0)-2))</f>
        <v/>
      </c>
      <c r="AX219" s="127"/>
      <c r="AY219" s="137"/>
    </row>
    <row r="220" spans="1:51" x14ac:dyDescent="0.3">
      <c r="A220" s="126"/>
      <c r="B220" s="133"/>
      <c r="C220" s="134"/>
      <c r="D220" s="134"/>
      <c r="E220" s="135"/>
      <c r="F220" s="136"/>
      <c r="G220" s="58" t="str" cm="1">
        <f>IF(ISBLANK($A220),"",INDEX(Array_ElectricalCharges,MATCH($A220,List_ElectricityMeters,0),ROUNDUP(COLUMN()/3,0)-2))</f>
        <v/>
      </c>
      <c r="H220" s="127"/>
      <c r="I220" s="137"/>
      <c r="J220" s="58" t="str" cm="1">
        <f>IF(ISBLANK($A220),"",INDEX(Array_ElectricalCharges,MATCH($A220,List_ElectricityMeters,0),ROUNDUP(COLUMN()/3,0)-2))</f>
        <v/>
      </c>
      <c r="K220" s="127"/>
      <c r="L220" s="137"/>
      <c r="M220" s="58" t="str" cm="1">
        <f>IF(ISBLANK($A220),"",INDEX(Array_ElectricalCharges,MATCH($A220,List_ElectricityMeters,0),ROUNDUP(COLUMN()/3,0)-2))</f>
        <v/>
      </c>
      <c r="N220" s="127"/>
      <c r="O220" s="137"/>
      <c r="P220" s="58" t="str" cm="1">
        <f>IF(ISBLANK($A220),"",INDEX(Array_ElectricalCharges,MATCH($A220,List_ElectricityMeters,0),ROUNDUP(COLUMN()/3,0)-2))</f>
        <v/>
      </c>
      <c r="Q220" s="127"/>
      <c r="R220" s="137"/>
      <c r="S220" s="58" t="str" cm="1">
        <f>IF(ISBLANK($A220),"",INDEX(Array_ElectricalCharges,MATCH($A220,List_ElectricityMeters,0),ROUNDUP(COLUMN()/3,0)-2))</f>
        <v/>
      </c>
      <c r="T220" s="127"/>
      <c r="U220" s="137"/>
      <c r="V220" s="58" t="str" cm="1">
        <f>IF(ISBLANK($A220),"",INDEX(Array_ElectricalCharges,MATCH($A220,List_ElectricityMeters,0),ROUNDUP(COLUMN()/3,0)-2))</f>
        <v/>
      </c>
      <c r="W220" s="127"/>
      <c r="X220" s="137"/>
      <c r="Y220" s="58" t="str" cm="1">
        <f>IF(ISBLANK($A220),"",INDEX(Array_ElectricalCharges,MATCH($A220,List_ElectricityMeters,0),ROUNDUP(COLUMN()/3,0)-2))</f>
        <v/>
      </c>
      <c r="Z220" s="127"/>
      <c r="AA220" s="137"/>
      <c r="AB220" s="58" t="str" cm="1">
        <f>IF(ISBLANK($A220),"",INDEX(Array_ElectricalCharges,MATCH($A220,List_ElectricityMeters,0),ROUNDUP(COLUMN()/3,0)-2))</f>
        <v/>
      </c>
      <c r="AC220" s="127"/>
      <c r="AD220" s="137"/>
      <c r="AE220" s="58" t="str" cm="1">
        <f>IF(ISBLANK($A220),"",INDEX(Array_ElectricalCharges,MATCH($A220,List_ElectricityMeters,0),ROUNDUP(COLUMN()/3,0)-2))</f>
        <v/>
      </c>
      <c r="AF220" s="127"/>
      <c r="AG220" s="137"/>
      <c r="AH220" s="58" t="str" cm="1">
        <f>IF(ISBLANK($A220),"",INDEX(Array_ElectricalCharges,MATCH($A220,List_ElectricityMeters,0),ROUNDUP(COLUMN()/3,0)-2))</f>
        <v/>
      </c>
      <c r="AI220" s="127"/>
      <c r="AJ220" s="137"/>
      <c r="AK220" s="58" t="str" cm="1">
        <f>IF(ISBLANK($A220),"",INDEX(Array_ElectricalCharges,MATCH($A220,List_ElectricityMeters,0),ROUNDUP(COLUMN()/3,0)-2))</f>
        <v/>
      </c>
      <c r="AL220" s="127"/>
      <c r="AM220" s="137"/>
      <c r="AN220" s="58" t="str" cm="1">
        <f>IF(ISBLANK($A220),"",INDEX(Array_ElectricalCharges,MATCH($A220,List_ElectricityMeters,0),ROUNDUP(COLUMN()/3,0)-2))</f>
        <v/>
      </c>
      <c r="AO220" s="127"/>
      <c r="AP220" s="137"/>
      <c r="AQ220" s="58" t="str" cm="1">
        <f>IF(ISBLANK($A220),"",INDEX(Array_ElectricalCharges,MATCH($A220,List_ElectricityMeters,0),ROUNDUP(COLUMN()/3,0)-2))</f>
        <v/>
      </c>
      <c r="AR220" s="127"/>
      <c r="AS220" s="137"/>
      <c r="AT220" s="58" t="str" cm="1">
        <f>IF(ISBLANK($A220),"",INDEX(Array_ElectricalCharges,MATCH($A220,List_ElectricityMeters,0),ROUNDUP(COLUMN()/3,0)-2))</f>
        <v/>
      </c>
      <c r="AU220" s="127"/>
      <c r="AV220" s="137"/>
      <c r="AW220" s="58" t="str" cm="1">
        <f>IF(ISBLANK($A220),"",INDEX(Array_ElectricalCharges,MATCH($A220,List_ElectricityMeters,0),ROUNDUP(COLUMN()/3,0)-2))</f>
        <v/>
      </c>
      <c r="AX220" s="127"/>
      <c r="AY220" s="137"/>
    </row>
    <row r="221" spans="1:51" x14ac:dyDescent="0.3">
      <c r="A221" s="126"/>
      <c r="B221" s="133"/>
      <c r="C221" s="134"/>
      <c r="D221" s="134"/>
      <c r="E221" s="135"/>
      <c r="F221" s="136"/>
      <c r="G221" s="58" t="str" cm="1">
        <f>IF(ISBLANK($A221),"",INDEX(Array_ElectricalCharges,MATCH($A221,List_ElectricityMeters,0),ROUNDUP(COLUMN()/3,0)-2))</f>
        <v/>
      </c>
      <c r="H221" s="127"/>
      <c r="I221" s="137"/>
      <c r="J221" s="58" t="str" cm="1">
        <f>IF(ISBLANK($A221),"",INDEX(Array_ElectricalCharges,MATCH($A221,List_ElectricityMeters,0),ROUNDUP(COLUMN()/3,0)-2))</f>
        <v/>
      </c>
      <c r="K221" s="127"/>
      <c r="L221" s="137"/>
      <c r="M221" s="58" t="str" cm="1">
        <f>IF(ISBLANK($A221),"",INDEX(Array_ElectricalCharges,MATCH($A221,List_ElectricityMeters,0),ROUNDUP(COLUMN()/3,0)-2))</f>
        <v/>
      </c>
      <c r="N221" s="127"/>
      <c r="O221" s="137"/>
      <c r="P221" s="58" t="str" cm="1">
        <f>IF(ISBLANK($A221),"",INDEX(Array_ElectricalCharges,MATCH($A221,List_ElectricityMeters,0),ROUNDUP(COLUMN()/3,0)-2))</f>
        <v/>
      </c>
      <c r="Q221" s="127"/>
      <c r="R221" s="137"/>
      <c r="S221" s="58" t="str" cm="1">
        <f>IF(ISBLANK($A221),"",INDEX(Array_ElectricalCharges,MATCH($A221,List_ElectricityMeters,0),ROUNDUP(COLUMN()/3,0)-2))</f>
        <v/>
      </c>
      <c r="T221" s="127"/>
      <c r="U221" s="137"/>
      <c r="V221" s="58" t="str" cm="1">
        <f>IF(ISBLANK($A221),"",INDEX(Array_ElectricalCharges,MATCH($A221,List_ElectricityMeters,0),ROUNDUP(COLUMN()/3,0)-2))</f>
        <v/>
      </c>
      <c r="W221" s="127"/>
      <c r="X221" s="137"/>
      <c r="Y221" s="58" t="str" cm="1">
        <f>IF(ISBLANK($A221),"",INDEX(Array_ElectricalCharges,MATCH($A221,List_ElectricityMeters,0),ROUNDUP(COLUMN()/3,0)-2))</f>
        <v/>
      </c>
      <c r="Z221" s="127"/>
      <c r="AA221" s="137"/>
      <c r="AB221" s="58" t="str" cm="1">
        <f>IF(ISBLANK($A221),"",INDEX(Array_ElectricalCharges,MATCH($A221,List_ElectricityMeters,0),ROUNDUP(COLUMN()/3,0)-2))</f>
        <v/>
      </c>
      <c r="AC221" s="127"/>
      <c r="AD221" s="137"/>
      <c r="AE221" s="58" t="str" cm="1">
        <f>IF(ISBLANK($A221),"",INDEX(Array_ElectricalCharges,MATCH($A221,List_ElectricityMeters,0),ROUNDUP(COLUMN()/3,0)-2))</f>
        <v/>
      </c>
      <c r="AF221" s="127"/>
      <c r="AG221" s="137"/>
      <c r="AH221" s="58" t="str" cm="1">
        <f>IF(ISBLANK($A221),"",INDEX(Array_ElectricalCharges,MATCH($A221,List_ElectricityMeters,0),ROUNDUP(COLUMN()/3,0)-2))</f>
        <v/>
      </c>
      <c r="AI221" s="127"/>
      <c r="AJ221" s="137"/>
      <c r="AK221" s="58" t="str" cm="1">
        <f>IF(ISBLANK($A221),"",INDEX(Array_ElectricalCharges,MATCH($A221,List_ElectricityMeters,0),ROUNDUP(COLUMN()/3,0)-2))</f>
        <v/>
      </c>
      <c r="AL221" s="127"/>
      <c r="AM221" s="137"/>
      <c r="AN221" s="58" t="str" cm="1">
        <f>IF(ISBLANK($A221),"",INDEX(Array_ElectricalCharges,MATCH($A221,List_ElectricityMeters,0),ROUNDUP(COLUMN()/3,0)-2))</f>
        <v/>
      </c>
      <c r="AO221" s="127"/>
      <c r="AP221" s="137"/>
      <c r="AQ221" s="58" t="str" cm="1">
        <f>IF(ISBLANK($A221),"",INDEX(Array_ElectricalCharges,MATCH($A221,List_ElectricityMeters,0),ROUNDUP(COLUMN()/3,0)-2))</f>
        <v/>
      </c>
      <c r="AR221" s="127"/>
      <c r="AS221" s="137"/>
      <c r="AT221" s="58" t="str" cm="1">
        <f>IF(ISBLANK($A221),"",INDEX(Array_ElectricalCharges,MATCH($A221,List_ElectricityMeters,0),ROUNDUP(COLUMN()/3,0)-2))</f>
        <v/>
      </c>
      <c r="AU221" s="127"/>
      <c r="AV221" s="137"/>
      <c r="AW221" s="58" t="str" cm="1">
        <f>IF(ISBLANK($A221),"",INDEX(Array_ElectricalCharges,MATCH($A221,List_ElectricityMeters,0),ROUNDUP(COLUMN()/3,0)-2))</f>
        <v/>
      </c>
      <c r="AX221" s="127"/>
      <c r="AY221" s="137"/>
    </row>
    <row r="222" spans="1:51" x14ac:dyDescent="0.3">
      <c r="A222" s="126"/>
      <c r="B222" s="133"/>
      <c r="C222" s="134"/>
      <c r="D222" s="134"/>
      <c r="E222" s="135"/>
      <c r="F222" s="136"/>
      <c r="G222" s="58" t="str" cm="1">
        <f>IF(ISBLANK($A222),"",INDEX(Array_ElectricalCharges,MATCH($A222,List_ElectricityMeters,0),ROUNDUP(COLUMN()/3,0)-2))</f>
        <v/>
      </c>
      <c r="H222" s="127"/>
      <c r="I222" s="137"/>
      <c r="J222" s="58" t="str" cm="1">
        <f>IF(ISBLANK($A222),"",INDEX(Array_ElectricalCharges,MATCH($A222,List_ElectricityMeters,0),ROUNDUP(COLUMN()/3,0)-2))</f>
        <v/>
      </c>
      <c r="K222" s="127"/>
      <c r="L222" s="137"/>
      <c r="M222" s="58" t="str" cm="1">
        <f>IF(ISBLANK($A222),"",INDEX(Array_ElectricalCharges,MATCH($A222,List_ElectricityMeters,0),ROUNDUP(COLUMN()/3,0)-2))</f>
        <v/>
      </c>
      <c r="N222" s="127"/>
      <c r="O222" s="137"/>
      <c r="P222" s="58" t="str" cm="1">
        <f>IF(ISBLANK($A222),"",INDEX(Array_ElectricalCharges,MATCH($A222,List_ElectricityMeters,0),ROUNDUP(COLUMN()/3,0)-2))</f>
        <v/>
      </c>
      <c r="Q222" s="127"/>
      <c r="R222" s="137"/>
      <c r="S222" s="58" t="str" cm="1">
        <f>IF(ISBLANK($A222),"",INDEX(Array_ElectricalCharges,MATCH($A222,List_ElectricityMeters,0),ROUNDUP(COLUMN()/3,0)-2))</f>
        <v/>
      </c>
      <c r="T222" s="127"/>
      <c r="U222" s="137"/>
      <c r="V222" s="58" t="str" cm="1">
        <f>IF(ISBLANK($A222),"",INDEX(Array_ElectricalCharges,MATCH($A222,List_ElectricityMeters,0),ROUNDUP(COLUMN()/3,0)-2))</f>
        <v/>
      </c>
      <c r="W222" s="127"/>
      <c r="X222" s="137"/>
      <c r="Y222" s="58" t="str" cm="1">
        <f>IF(ISBLANK($A222),"",INDEX(Array_ElectricalCharges,MATCH($A222,List_ElectricityMeters,0),ROUNDUP(COLUMN()/3,0)-2))</f>
        <v/>
      </c>
      <c r="Z222" s="127"/>
      <c r="AA222" s="137"/>
      <c r="AB222" s="58" t="str" cm="1">
        <f>IF(ISBLANK($A222),"",INDEX(Array_ElectricalCharges,MATCH($A222,List_ElectricityMeters,0),ROUNDUP(COLUMN()/3,0)-2))</f>
        <v/>
      </c>
      <c r="AC222" s="127"/>
      <c r="AD222" s="137"/>
      <c r="AE222" s="58" t="str" cm="1">
        <f>IF(ISBLANK($A222),"",INDEX(Array_ElectricalCharges,MATCH($A222,List_ElectricityMeters,0),ROUNDUP(COLUMN()/3,0)-2))</f>
        <v/>
      </c>
      <c r="AF222" s="127"/>
      <c r="AG222" s="137"/>
      <c r="AH222" s="58" t="str" cm="1">
        <f>IF(ISBLANK($A222),"",INDEX(Array_ElectricalCharges,MATCH($A222,List_ElectricityMeters,0),ROUNDUP(COLUMN()/3,0)-2))</f>
        <v/>
      </c>
      <c r="AI222" s="127"/>
      <c r="AJ222" s="137"/>
      <c r="AK222" s="58" t="str" cm="1">
        <f>IF(ISBLANK($A222),"",INDEX(Array_ElectricalCharges,MATCH($A222,List_ElectricityMeters,0),ROUNDUP(COLUMN()/3,0)-2))</f>
        <v/>
      </c>
      <c r="AL222" s="127"/>
      <c r="AM222" s="137"/>
      <c r="AN222" s="58" t="str" cm="1">
        <f>IF(ISBLANK($A222),"",INDEX(Array_ElectricalCharges,MATCH($A222,List_ElectricityMeters,0),ROUNDUP(COLUMN()/3,0)-2))</f>
        <v/>
      </c>
      <c r="AO222" s="127"/>
      <c r="AP222" s="137"/>
      <c r="AQ222" s="58" t="str" cm="1">
        <f>IF(ISBLANK($A222),"",INDEX(Array_ElectricalCharges,MATCH($A222,List_ElectricityMeters,0),ROUNDUP(COLUMN()/3,0)-2))</f>
        <v/>
      </c>
      <c r="AR222" s="127"/>
      <c r="AS222" s="137"/>
      <c r="AT222" s="58" t="str" cm="1">
        <f>IF(ISBLANK($A222),"",INDEX(Array_ElectricalCharges,MATCH($A222,List_ElectricityMeters,0),ROUNDUP(COLUMN()/3,0)-2))</f>
        <v/>
      </c>
      <c r="AU222" s="127"/>
      <c r="AV222" s="137"/>
      <c r="AW222" s="58" t="str" cm="1">
        <f>IF(ISBLANK($A222),"",INDEX(Array_ElectricalCharges,MATCH($A222,List_ElectricityMeters,0),ROUNDUP(COLUMN()/3,0)-2))</f>
        <v/>
      </c>
      <c r="AX222" s="127"/>
      <c r="AY222" s="137"/>
    </row>
    <row r="223" spans="1:51" x14ac:dyDescent="0.3">
      <c r="A223" s="126"/>
      <c r="B223" s="133"/>
      <c r="C223" s="134"/>
      <c r="D223" s="134"/>
      <c r="E223" s="135"/>
      <c r="F223" s="136"/>
      <c r="G223" s="58" t="str" cm="1">
        <f>IF(ISBLANK($A223),"",INDEX(Array_ElectricalCharges,MATCH($A223,List_ElectricityMeters,0),ROUNDUP(COLUMN()/3,0)-2))</f>
        <v/>
      </c>
      <c r="H223" s="127"/>
      <c r="I223" s="137"/>
      <c r="J223" s="58" t="str" cm="1">
        <f>IF(ISBLANK($A223),"",INDEX(Array_ElectricalCharges,MATCH($A223,List_ElectricityMeters,0),ROUNDUP(COLUMN()/3,0)-2))</f>
        <v/>
      </c>
      <c r="K223" s="127"/>
      <c r="L223" s="137"/>
      <c r="M223" s="58" t="str" cm="1">
        <f>IF(ISBLANK($A223),"",INDEX(Array_ElectricalCharges,MATCH($A223,List_ElectricityMeters,0),ROUNDUP(COLUMN()/3,0)-2))</f>
        <v/>
      </c>
      <c r="N223" s="127"/>
      <c r="O223" s="137"/>
      <c r="P223" s="58" t="str" cm="1">
        <f>IF(ISBLANK($A223),"",INDEX(Array_ElectricalCharges,MATCH($A223,List_ElectricityMeters,0),ROUNDUP(COLUMN()/3,0)-2))</f>
        <v/>
      </c>
      <c r="Q223" s="127"/>
      <c r="R223" s="137"/>
      <c r="S223" s="58" t="str" cm="1">
        <f>IF(ISBLANK($A223),"",INDEX(Array_ElectricalCharges,MATCH($A223,List_ElectricityMeters,0),ROUNDUP(COLUMN()/3,0)-2))</f>
        <v/>
      </c>
      <c r="T223" s="127"/>
      <c r="U223" s="137"/>
      <c r="V223" s="58" t="str" cm="1">
        <f>IF(ISBLANK($A223),"",INDEX(Array_ElectricalCharges,MATCH($A223,List_ElectricityMeters,0),ROUNDUP(COLUMN()/3,0)-2))</f>
        <v/>
      </c>
      <c r="W223" s="127"/>
      <c r="X223" s="137"/>
      <c r="Y223" s="58" t="str" cm="1">
        <f>IF(ISBLANK($A223),"",INDEX(Array_ElectricalCharges,MATCH($A223,List_ElectricityMeters,0),ROUNDUP(COLUMN()/3,0)-2))</f>
        <v/>
      </c>
      <c r="Z223" s="127"/>
      <c r="AA223" s="137"/>
      <c r="AB223" s="58" t="str" cm="1">
        <f>IF(ISBLANK($A223),"",INDEX(Array_ElectricalCharges,MATCH($A223,List_ElectricityMeters,0),ROUNDUP(COLUMN()/3,0)-2))</f>
        <v/>
      </c>
      <c r="AC223" s="127"/>
      <c r="AD223" s="137"/>
      <c r="AE223" s="58" t="str" cm="1">
        <f>IF(ISBLANK($A223),"",INDEX(Array_ElectricalCharges,MATCH($A223,List_ElectricityMeters,0),ROUNDUP(COLUMN()/3,0)-2))</f>
        <v/>
      </c>
      <c r="AF223" s="127"/>
      <c r="AG223" s="137"/>
      <c r="AH223" s="58" t="str" cm="1">
        <f>IF(ISBLANK($A223),"",INDEX(Array_ElectricalCharges,MATCH($A223,List_ElectricityMeters,0),ROUNDUP(COLUMN()/3,0)-2))</f>
        <v/>
      </c>
      <c r="AI223" s="127"/>
      <c r="AJ223" s="137"/>
      <c r="AK223" s="58" t="str" cm="1">
        <f>IF(ISBLANK($A223),"",INDEX(Array_ElectricalCharges,MATCH($A223,List_ElectricityMeters,0),ROUNDUP(COLUMN()/3,0)-2))</f>
        <v/>
      </c>
      <c r="AL223" s="127"/>
      <c r="AM223" s="137"/>
      <c r="AN223" s="58" t="str" cm="1">
        <f>IF(ISBLANK($A223),"",INDEX(Array_ElectricalCharges,MATCH($A223,List_ElectricityMeters,0),ROUNDUP(COLUMN()/3,0)-2))</f>
        <v/>
      </c>
      <c r="AO223" s="127"/>
      <c r="AP223" s="137"/>
      <c r="AQ223" s="58" t="str" cm="1">
        <f>IF(ISBLANK($A223),"",INDEX(Array_ElectricalCharges,MATCH($A223,List_ElectricityMeters,0),ROUNDUP(COLUMN()/3,0)-2))</f>
        <v/>
      </c>
      <c r="AR223" s="127"/>
      <c r="AS223" s="137"/>
      <c r="AT223" s="58" t="str" cm="1">
        <f>IF(ISBLANK($A223),"",INDEX(Array_ElectricalCharges,MATCH($A223,List_ElectricityMeters,0),ROUNDUP(COLUMN()/3,0)-2))</f>
        <v/>
      </c>
      <c r="AU223" s="127"/>
      <c r="AV223" s="137"/>
      <c r="AW223" s="58" t="str" cm="1">
        <f>IF(ISBLANK($A223),"",INDEX(Array_ElectricalCharges,MATCH($A223,List_ElectricityMeters,0),ROUNDUP(COLUMN()/3,0)-2))</f>
        <v/>
      </c>
      <c r="AX223" s="127"/>
      <c r="AY223" s="137"/>
    </row>
    <row r="224" spans="1:51" x14ac:dyDescent="0.3">
      <c r="A224" s="126"/>
      <c r="B224" s="133"/>
      <c r="C224" s="134"/>
      <c r="D224" s="134"/>
      <c r="E224" s="135"/>
      <c r="F224" s="136"/>
      <c r="G224" s="58" t="str" cm="1">
        <f>IF(ISBLANK($A224),"",INDEX(Array_ElectricalCharges,MATCH($A224,List_ElectricityMeters,0),ROUNDUP(COLUMN()/3,0)-2))</f>
        <v/>
      </c>
      <c r="H224" s="127"/>
      <c r="I224" s="137"/>
      <c r="J224" s="58" t="str" cm="1">
        <f>IF(ISBLANK($A224),"",INDEX(Array_ElectricalCharges,MATCH($A224,List_ElectricityMeters,0),ROUNDUP(COLUMN()/3,0)-2))</f>
        <v/>
      </c>
      <c r="K224" s="127"/>
      <c r="L224" s="137"/>
      <c r="M224" s="58" t="str" cm="1">
        <f>IF(ISBLANK($A224),"",INDEX(Array_ElectricalCharges,MATCH($A224,List_ElectricityMeters,0),ROUNDUP(COLUMN()/3,0)-2))</f>
        <v/>
      </c>
      <c r="N224" s="127"/>
      <c r="O224" s="137"/>
      <c r="P224" s="58" t="str" cm="1">
        <f>IF(ISBLANK($A224),"",INDEX(Array_ElectricalCharges,MATCH($A224,List_ElectricityMeters,0),ROUNDUP(COLUMN()/3,0)-2))</f>
        <v/>
      </c>
      <c r="Q224" s="127"/>
      <c r="R224" s="137"/>
      <c r="S224" s="58" t="str" cm="1">
        <f>IF(ISBLANK($A224),"",INDEX(Array_ElectricalCharges,MATCH($A224,List_ElectricityMeters,0),ROUNDUP(COLUMN()/3,0)-2))</f>
        <v/>
      </c>
      <c r="T224" s="127"/>
      <c r="U224" s="137"/>
      <c r="V224" s="58" t="str" cm="1">
        <f>IF(ISBLANK($A224),"",INDEX(Array_ElectricalCharges,MATCH($A224,List_ElectricityMeters,0),ROUNDUP(COLUMN()/3,0)-2))</f>
        <v/>
      </c>
      <c r="W224" s="127"/>
      <c r="X224" s="137"/>
      <c r="Y224" s="58" t="str" cm="1">
        <f>IF(ISBLANK($A224),"",INDEX(Array_ElectricalCharges,MATCH($A224,List_ElectricityMeters,0),ROUNDUP(COLUMN()/3,0)-2))</f>
        <v/>
      </c>
      <c r="Z224" s="127"/>
      <c r="AA224" s="137"/>
      <c r="AB224" s="58" t="str" cm="1">
        <f>IF(ISBLANK($A224),"",INDEX(Array_ElectricalCharges,MATCH($A224,List_ElectricityMeters,0),ROUNDUP(COLUMN()/3,0)-2))</f>
        <v/>
      </c>
      <c r="AC224" s="127"/>
      <c r="AD224" s="137"/>
      <c r="AE224" s="58" t="str" cm="1">
        <f>IF(ISBLANK($A224),"",INDEX(Array_ElectricalCharges,MATCH($A224,List_ElectricityMeters,0),ROUNDUP(COLUMN()/3,0)-2))</f>
        <v/>
      </c>
      <c r="AF224" s="127"/>
      <c r="AG224" s="137"/>
      <c r="AH224" s="58" t="str" cm="1">
        <f>IF(ISBLANK($A224),"",INDEX(Array_ElectricalCharges,MATCH($A224,List_ElectricityMeters,0),ROUNDUP(COLUMN()/3,0)-2))</f>
        <v/>
      </c>
      <c r="AI224" s="127"/>
      <c r="AJ224" s="137"/>
      <c r="AK224" s="58" t="str" cm="1">
        <f>IF(ISBLANK($A224),"",INDEX(Array_ElectricalCharges,MATCH($A224,List_ElectricityMeters,0),ROUNDUP(COLUMN()/3,0)-2))</f>
        <v/>
      </c>
      <c r="AL224" s="127"/>
      <c r="AM224" s="137"/>
      <c r="AN224" s="58" t="str" cm="1">
        <f>IF(ISBLANK($A224),"",INDEX(Array_ElectricalCharges,MATCH($A224,List_ElectricityMeters,0),ROUNDUP(COLUMN()/3,0)-2))</f>
        <v/>
      </c>
      <c r="AO224" s="127"/>
      <c r="AP224" s="137"/>
      <c r="AQ224" s="58" t="str" cm="1">
        <f>IF(ISBLANK($A224),"",INDEX(Array_ElectricalCharges,MATCH($A224,List_ElectricityMeters,0),ROUNDUP(COLUMN()/3,0)-2))</f>
        <v/>
      </c>
      <c r="AR224" s="127"/>
      <c r="AS224" s="137"/>
      <c r="AT224" s="58" t="str" cm="1">
        <f>IF(ISBLANK($A224),"",INDEX(Array_ElectricalCharges,MATCH($A224,List_ElectricityMeters,0),ROUNDUP(COLUMN()/3,0)-2))</f>
        <v/>
      </c>
      <c r="AU224" s="127"/>
      <c r="AV224" s="137"/>
      <c r="AW224" s="58" t="str" cm="1">
        <f>IF(ISBLANK($A224),"",INDEX(Array_ElectricalCharges,MATCH($A224,List_ElectricityMeters,0),ROUNDUP(COLUMN()/3,0)-2))</f>
        <v/>
      </c>
      <c r="AX224" s="127"/>
      <c r="AY224" s="137"/>
    </row>
    <row r="225" spans="1:51" x14ac:dyDescent="0.3">
      <c r="A225" s="126"/>
      <c r="B225" s="133"/>
      <c r="C225" s="134"/>
      <c r="D225" s="134"/>
      <c r="E225" s="135"/>
      <c r="F225" s="136"/>
      <c r="G225" s="58" t="str" cm="1">
        <f>IF(ISBLANK($A225),"",INDEX(Array_ElectricalCharges,MATCH($A225,List_ElectricityMeters,0),ROUNDUP(COLUMN()/3,0)-2))</f>
        <v/>
      </c>
      <c r="H225" s="127"/>
      <c r="I225" s="137"/>
      <c r="J225" s="58" t="str" cm="1">
        <f>IF(ISBLANK($A225),"",INDEX(Array_ElectricalCharges,MATCH($A225,List_ElectricityMeters,0),ROUNDUP(COLUMN()/3,0)-2))</f>
        <v/>
      </c>
      <c r="K225" s="127"/>
      <c r="L225" s="137"/>
      <c r="M225" s="58" t="str" cm="1">
        <f>IF(ISBLANK($A225),"",INDEX(Array_ElectricalCharges,MATCH($A225,List_ElectricityMeters,0),ROUNDUP(COLUMN()/3,0)-2))</f>
        <v/>
      </c>
      <c r="N225" s="127"/>
      <c r="O225" s="137"/>
      <c r="P225" s="58" t="str" cm="1">
        <f>IF(ISBLANK($A225),"",INDEX(Array_ElectricalCharges,MATCH($A225,List_ElectricityMeters,0),ROUNDUP(COLUMN()/3,0)-2))</f>
        <v/>
      </c>
      <c r="Q225" s="127"/>
      <c r="R225" s="137"/>
      <c r="S225" s="58" t="str" cm="1">
        <f>IF(ISBLANK($A225),"",INDEX(Array_ElectricalCharges,MATCH($A225,List_ElectricityMeters,0),ROUNDUP(COLUMN()/3,0)-2))</f>
        <v/>
      </c>
      <c r="T225" s="127"/>
      <c r="U225" s="137"/>
      <c r="V225" s="58" t="str" cm="1">
        <f>IF(ISBLANK($A225),"",INDEX(Array_ElectricalCharges,MATCH($A225,List_ElectricityMeters,0),ROUNDUP(COLUMN()/3,0)-2))</f>
        <v/>
      </c>
      <c r="W225" s="127"/>
      <c r="X225" s="137"/>
      <c r="Y225" s="58" t="str" cm="1">
        <f>IF(ISBLANK($A225),"",INDEX(Array_ElectricalCharges,MATCH($A225,List_ElectricityMeters,0),ROUNDUP(COLUMN()/3,0)-2))</f>
        <v/>
      </c>
      <c r="Z225" s="127"/>
      <c r="AA225" s="137"/>
      <c r="AB225" s="58" t="str" cm="1">
        <f>IF(ISBLANK($A225),"",INDEX(Array_ElectricalCharges,MATCH($A225,List_ElectricityMeters,0),ROUNDUP(COLUMN()/3,0)-2))</f>
        <v/>
      </c>
      <c r="AC225" s="127"/>
      <c r="AD225" s="137"/>
      <c r="AE225" s="58" t="str" cm="1">
        <f>IF(ISBLANK($A225),"",INDEX(Array_ElectricalCharges,MATCH($A225,List_ElectricityMeters,0),ROUNDUP(COLUMN()/3,0)-2))</f>
        <v/>
      </c>
      <c r="AF225" s="127"/>
      <c r="AG225" s="137"/>
      <c r="AH225" s="58" t="str" cm="1">
        <f>IF(ISBLANK($A225),"",INDEX(Array_ElectricalCharges,MATCH($A225,List_ElectricityMeters,0),ROUNDUP(COLUMN()/3,0)-2))</f>
        <v/>
      </c>
      <c r="AI225" s="127"/>
      <c r="AJ225" s="137"/>
      <c r="AK225" s="58" t="str" cm="1">
        <f>IF(ISBLANK($A225),"",INDEX(Array_ElectricalCharges,MATCH($A225,List_ElectricityMeters,0),ROUNDUP(COLUMN()/3,0)-2))</f>
        <v/>
      </c>
      <c r="AL225" s="127"/>
      <c r="AM225" s="137"/>
      <c r="AN225" s="58" t="str" cm="1">
        <f>IF(ISBLANK($A225),"",INDEX(Array_ElectricalCharges,MATCH($A225,List_ElectricityMeters,0),ROUNDUP(COLUMN()/3,0)-2))</f>
        <v/>
      </c>
      <c r="AO225" s="127"/>
      <c r="AP225" s="137"/>
      <c r="AQ225" s="58" t="str" cm="1">
        <f>IF(ISBLANK($A225),"",INDEX(Array_ElectricalCharges,MATCH($A225,List_ElectricityMeters,0),ROUNDUP(COLUMN()/3,0)-2))</f>
        <v/>
      </c>
      <c r="AR225" s="127"/>
      <c r="AS225" s="137"/>
      <c r="AT225" s="58" t="str" cm="1">
        <f>IF(ISBLANK($A225),"",INDEX(Array_ElectricalCharges,MATCH($A225,List_ElectricityMeters,0),ROUNDUP(COLUMN()/3,0)-2))</f>
        <v/>
      </c>
      <c r="AU225" s="127"/>
      <c r="AV225" s="137"/>
      <c r="AW225" s="58" t="str" cm="1">
        <f>IF(ISBLANK($A225),"",INDEX(Array_ElectricalCharges,MATCH($A225,List_ElectricityMeters,0),ROUNDUP(COLUMN()/3,0)-2))</f>
        <v/>
      </c>
      <c r="AX225" s="127"/>
      <c r="AY225" s="137"/>
    </row>
    <row r="226" spans="1:51" x14ac:dyDescent="0.3">
      <c r="A226" s="126"/>
      <c r="B226" s="133"/>
      <c r="C226" s="134"/>
      <c r="D226" s="134"/>
      <c r="E226" s="135"/>
      <c r="F226" s="136"/>
      <c r="G226" s="58" t="str" cm="1">
        <f>IF(ISBLANK($A226),"",INDEX(Array_ElectricalCharges,MATCH($A226,List_ElectricityMeters,0),ROUNDUP(COLUMN()/3,0)-2))</f>
        <v/>
      </c>
      <c r="H226" s="127"/>
      <c r="I226" s="137"/>
      <c r="J226" s="58" t="str" cm="1">
        <f>IF(ISBLANK($A226),"",INDEX(Array_ElectricalCharges,MATCH($A226,List_ElectricityMeters,0),ROUNDUP(COLUMN()/3,0)-2))</f>
        <v/>
      </c>
      <c r="K226" s="127"/>
      <c r="L226" s="137"/>
      <c r="M226" s="58" t="str" cm="1">
        <f>IF(ISBLANK($A226),"",INDEX(Array_ElectricalCharges,MATCH($A226,List_ElectricityMeters,0),ROUNDUP(COLUMN()/3,0)-2))</f>
        <v/>
      </c>
      <c r="N226" s="127"/>
      <c r="O226" s="137"/>
      <c r="P226" s="58" t="str" cm="1">
        <f>IF(ISBLANK($A226),"",INDEX(Array_ElectricalCharges,MATCH($A226,List_ElectricityMeters,0),ROUNDUP(COLUMN()/3,0)-2))</f>
        <v/>
      </c>
      <c r="Q226" s="127"/>
      <c r="R226" s="137"/>
      <c r="S226" s="58" t="str" cm="1">
        <f>IF(ISBLANK($A226),"",INDEX(Array_ElectricalCharges,MATCH($A226,List_ElectricityMeters,0),ROUNDUP(COLUMN()/3,0)-2))</f>
        <v/>
      </c>
      <c r="T226" s="127"/>
      <c r="U226" s="137"/>
      <c r="V226" s="58" t="str" cm="1">
        <f>IF(ISBLANK($A226),"",INDEX(Array_ElectricalCharges,MATCH($A226,List_ElectricityMeters,0),ROUNDUP(COLUMN()/3,0)-2))</f>
        <v/>
      </c>
      <c r="W226" s="127"/>
      <c r="X226" s="137"/>
      <c r="Y226" s="58" t="str" cm="1">
        <f>IF(ISBLANK($A226),"",INDEX(Array_ElectricalCharges,MATCH($A226,List_ElectricityMeters,0),ROUNDUP(COLUMN()/3,0)-2))</f>
        <v/>
      </c>
      <c r="Z226" s="127"/>
      <c r="AA226" s="137"/>
      <c r="AB226" s="58" t="str" cm="1">
        <f>IF(ISBLANK($A226),"",INDEX(Array_ElectricalCharges,MATCH($A226,List_ElectricityMeters,0),ROUNDUP(COLUMN()/3,0)-2))</f>
        <v/>
      </c>
      <c r="AC226" s="127"/>
      <c r="AD226" s="137"/>
      <c r="AE226" s="58" t="str" cm="1">
        <f>IF(ISBLANK($A226),"",INDEX(Array_ElectricalCharges,MATCH($A226,List_ElectricityMeters,0),ROUNDUP(COLUMN()/3,0)-2))</f>
        <v/>
      </c>
      <c r="AF226" s="127"/>
      <c r="AG226" s="137"/>
      <c r="AH226" s="58" t="str" cm="1">
        <f>IF(ISBLANK($A226),"",INDEX(Array_ElectricalCharges,MATCH($A226,List_ElectricityMeters,0),ROUNDUP(COLUMN()/3,0)-2))</f>
        <v/>
      </c>
      <c r="AI226" s="127"/>
      <c r="AJ226" s="137"/>
      <c r="AK226" s="58" t="str" cm="1">
        <f>IF(ISBLANK($A226),"",INDEX(Array_ElectricalCharges,MATCH($A226,List_ElectricityMeters,0),ROUNDUP(COLUMN()/3,0)-2))</f>
        <v/>
      </c>
      <c r="AL226" s="127"/>
      <c r="AM226" s="137"/>
      <c r="AN226" s="58" t="str" cm="1">
        <f>IF(ISBLANK($A226),"",INDEX(Array_ElectricalCharges,MATCH($A226,List_ElectricityMeters,0),ROUNDUP(COLUMN()/3,0)-2))</f>
        <v/>
      </c>
      <c r="AO226" s="127"/>
      <c r="AP226" s="137"/>
      <c r="AQ226" s="58" t="str" cm="1">
        <f>IF(ISBLANK($A226),"",INDEX(Array_ElectricalCharges,MATCH($A226,List_ElectricityMeters,0),ROUNDUP(COLUMN()/3,0)-2))</f>
        <v/>
      </c>
      <c r="AR226" s="127"/>
      <c r="AS226" s="137"/>
      <c r="AT226" s="58" t="str" cm="1">
        <f>IF(ISBLANK($A226),"",INDEX(Array_ElectricalCharges,MATCH($A226,List_ElectricityMeters,0),ROUNDUP(COLUMN()/3,0)-2))</f>
        <v/>
      </c>
      <c r="AU226" s="127"/>
      <c r="AV226" s="137"/>
      <c r="AW226" s="58" t="str" cm="1">
        <f>IF(ISBLANK($A226),"",INDEX(Array_ElectricalCharges,MATCH($A226,List_ElectricityMeters,0),ROUNDUP(COLUMN()/3,0)-2))</f>
        <v/>
      </c>
      <c r="AX226" s="127"/>
      <c r="AY226" s="137"/>
    </row>
    <row r="227" spans="1:51" x14ac:dyDescent="0.3">
      <c r="A227" s="126"/>
      <c r="B227" s="133"/>
      <c r="C227" s="134"/>
      <c r="D227" s="134"/>
      <c r="E227" s="135"/>
      <c r="F227" s="136"/>
      <c r="G227" s="58" t="str" cm="1">
        <f>IF(ISBLANK($A227),"",INDEX(Array_ElectricalCharges,MATCH($A227,List_ElectricityMeters,0),ROUNDUP(COLUMN()/3,0)-2))</f>
        <v/>
      </c>
      <c r="H227" s="127"/>
      <c r="I227" s="137"/>
      <c r="J227" s="58" t="str" cm="1">
        <f>IF(ISBLANK($A227),"",INDEX(Array_ElectricalCharges,MATCH($A227,List_ElectricityMeters,0),ROUNDUP(COLUMN()/3,0)-2))</f>
        <v/>
      </c>
      <c r="K227" s="127"/>
      <c r="L227" s="137"/>
      <c r="M227" s="58" t="str" cm="1">
        <f>IF(ISBLANK($A227),"",INDEX(Array_ElectricalCharges,MATCH($A227,List_ElectricityMeters,0),ROUNDUP(COLUMN()/3,0)-2))</f>
        <v/>
      </c>
      <c r="N227" s="127"/>
      <c r="O227" s="137"/>
      <c r="P227" s="58" t="str" cm="1">
        <f>IF(ISBLANK($A227),"",INDEX(Array_ElectricalCharges,MATCH($A227,List_ElectricityMeters,0),ROUNDUP(COLUMN()/3,0)-2))</f>
        <v/>
      </c>
      <c r="Q227" s="127"/>
      <c r="R227" s="137"/>
      <c r="S227" s="58" t="str" cm="1">
        <f>IF(ISBLANK($A227),"",INDEX(Array_ElectricalCharges,MATCH($A227,List_ElectricityMeters,0),ROUNDUP(COLUMN()/3,0)-2))</f>
        <v/>
      </c>
      <c r="T227" s="127"/>
      <c r="U227" s="137"/>
      <c r="V227" s="58" t="str" cm="1">
        <f>IF(ISBLANK($A227),"",INDEX(Array_ElectricalCharges,MATCH($A227,List_ElectricityMeters,0),ROUNDUP(COLUMN()/3,0)-2))</f>
        <v/>
      </c>
      <c r="W227" s="127"/>
      <c r="X227" s="137"/>
      <c r="Y227" s="58" t="str" cm="1">
        <f>IF(ISBLANK($A227),"",INDEX(Array_ElectricalCharges,MATCH($A227,List_ElectricityMeters,0),ROUNDUP(COLUMN()/3,0)-2))</f>
        <v/>
      </c>
      <c r="Z227" s="127"/>
      <c r="AA227" s="137"/>
      <c r="AB227" s="58" t="str" cm="1">
        <f>IF(ISBLANK($A227),"",INDEX(Array_ElectricalCharges,MATCH($A227,List_ElectricityMeters,0),ROUNDUP(COLUMN()/3,0)-2))</f>
        <v/>
      </c>
      <c r="AC227" s="127"/>
      <c r="AD227" s="137"/>
      <c r="AE227" s="58" t="str" cm="1">
        <f>IF(ISBLANK($A227),"",INDEX(Array_ElectricalCharges,MATCH($A227,List_ElectricityMeters,0),ROUNDUP(COLUMN()/3,0)-2))</f>
        <v/>
      </c>
      <c r="AF227" s="127"/>
      <c r="AG227" s="137"/>
      <c r="AH227" s="58" t="str" cm="1">
        <f>IF(ISBLANK($A227),"",INDEX(Array_ElectricalCharges,MATCH($A227,List_ElectricityMeters,0),ROUNDUP(COLUMN()/3,0)-2))</f>
        <v/>
      </c>
      <c r="AI227" s="127"/>
      <c r="AJ227" s="137"/>
      <c r="AK227" s="58" t="str" cm="1">
        <f>IF(ISBLANK($A227),"",INDEX(Array_ElectricalCharges,MATCH($A227,List_ElectricityMeters,0),ROUNDUP(COLUMN()/3,0)-2))</f>
        <v/>
      </c>
      <c r="AL227" s="127"/>
      <c r="AM227" s="137"/>
      <c r="AN227" s="58" t="str" cm="1">
        <f>IF(ISBLANK($A227),"",INDEX(Array_ElectricalCharges,MATCH($A227,List_ElectricityMeters,0),ROUNDUP(COLUMN()/3,0)-2))</f>
        <v/>
      </c>
      <c r="AO227" s="127"/>
      <c r="AP227" s="137"/>
      <c r="AQ227" s="58" t="str" cm="1">
        <f>IF(ISBLANK($A227),"",INDEX(Array_ElectricalCharges,MATCH($A227,List_ElectricityMeters,0),ROUNDUP(COLUMN()/3,0)-2))</f>
        <v/>
      </c>
      <c r="AR227" s="127"/>
      <c r="AS227" s="137"/>
      <c r="AT227" s="58" t="str" cm="1">
        <f>IF(ISBLANK($A227),"",INDEX(Array_ElectricalCharges,MATCH($A227,List_ElectricityMeters,0),ROUNDUP(COLUMN()/3,0)-2))</f>
        <v/>
      </c>
      <c r="AU227" s="127"/>
      <c r="AV227" s="137"/>
      <c r="AW227" s="58" t="str" cm="1">
        <f>IF(ISBLANK($A227),"",INDEX(Array_ElectricalCharges,MATCH($A227,List_ElectricityMeters,0),ROUNDUP(COLUMN()/3,0)-2))</f>
        <v/>
      </c>
      <c r="AX227" s="127"/>
      <c r="AY227" s="137"/>
    </row>
    <row r="228" spans="1:51" x14ac:dyDescent="0.3">
      <c r="A228" s="126"/>
      <c r="B228" s="133"/>
      <c r="C228" s="134"/>
      <c r="D228" s="134"/>
      <c r="E228" s="135"/>
      <c r="F228" s="136"/>
      <c r="G228" s="58" t="str" cm="1">
        <f>IF(ISBLANK($A228),"",INDEX(Array_ElectricalCharges,MATCH($A228,List_ElectricityMeters,0),ROUNDUP(COLUMN()/3,0)-2))</f>
        <v/>
      </c>
      <c r="H228" s="127"/>
      <c r="I228" s="137"/>
      <c r="J228" s="58" t="str" cm="1">
        <f>IF(ISBLANK($A228),"",INDEX(Array_ElectricalCharges,MATCH($A228,List_ElectricityMeters,0),ROUNDUP(COLUMN()/3,0)-2))</f>
        <v/>
      </c>
      <c r="K228" s="127"/>
      <c r="L228" s="137"/>
      <c r="M228" s="58" t="str" cm="1">
        <f>IF(ISBLANK($A228),"",INDEX(Array_ElectricalCharges,MATCH($A228,List_ElectricityMeters,0),ROUNDUP(COLUMN()/3,0)-2))</f>
        <v/>
      </c>
      <c r="N228" s="127"/>
      <c r="O228" s="137"/>
      <c r="P228" s="58" t="str" cm="1">
        <f>IF(ISBLANK($A228),"",INDEX(Array_ElectricalCharges,MATCH($A228,List_ElectricityMeters,0),ROUNDUP(COLUMN()/3,0)-2))</f>
        <v/>
      </c>
      <c r="Q228" s="127"/>
      <c r="R228" s="137"/>
      <c r="S228" s="58" t="str" cm="1">
        <f>IF(ISBLANK($A228),"",INDEX(Array_ElectricalCharges,MATCH($A228,List_ElectricityMeters,0),ROUNDUP(COLUMN()/3,0)-2))</f>
        <v/>
      </c>
      <c r="T228" s="127"/>
      <c r="U228" s="137"/>
      <c r="V228" s="58" t="str" cm="1">
        <f>IF(ISBLANK($A228),"",INDEX(Array_ElectricalCharges,MATCH($A228,List_ElectricityMeters,0),ROUNDUP(COLUMN()/3,0)-2))</f>
        <v/>
      </c>
      <c r="W228" s="127"/>
      <c r="X228" s="137"/>
      <c r="Y228" s="58" t="str" cm="1">
        <f>IF(ISBLANK($A228),"",INDEX(Array_ElectricalCharges,MATCH($A228,List_ElectricityMeters,0),ROUNDUP(COLUMN()/3,0)-2))</f>
        <v/>
      </c>
      <c r="Z228" s="127"/>
      <c r="AA228" s="137"/>
      <c r="AB228" s="58" t="str" cm="1">
        <f>IF(ISBLANK($A228),"",INDEX(Array_ElectricalCharges,MATCH($A228,List_ElectricityMeters,0),ROUNDUP(COLUMN()/3,0)-2))</f>
        <v/>
      </c>
      <c r="AC228" s="127"/>
      <c r="AD228" s="137"/>
      <c r="AE228" s="58" t="str" cm="1">
        <f>IF(ISBLANK($A228),"",INDEX(Array_ElectricalCharges,MATCH($A228,List_ElectricityMeters,0),ROUNDUP(COLUMN()/3,0)-2))</f>
        <v/>
      </c>
      <c r="AF228" s="127"/>
      <c r="AG228" s="137"/>
      <c r="AH228" s="58" t="str" cm="1">
        <f>IF(ISBLANK($A228),"",INDEX(Array_ElectricalCharges,MATCH($A228,List_ElectricityMeters,0),ROUNDUP(COLUMN()/3,0)-2))</f>
        <v/>
      </c>
      <c r="AI228" s="127"/>
      <c r="AJ228" s="137"/>
      <c r="AK228" s="58" t="str" cm="1">
        <f>IF(ISBLANK($A228),"",INDEX(Array_ElectricalCharges,MATCH($A228,List_ElectricityMeters,0),ROUNDUP(COLUMN()/3,0)-2))</f>
        <v/>
      </c>
      <c r="AL228" s="127"/>
      <c r="AM228" s="137"/>
      <c r="AN228" s="58" t="str" cm="1">
        <f>IF(ISBLANK($A228),"",INDEX(Array_ElectricalCharges,MATCH($A228,List_ElectricityMeters,0),ROUNDUP(COLUMN()/3,0)-2))</f>
        <v/>
      </c>
      <c r="AO228" s="127"/>
      <c r="AP228" s="137"/>
      <c r="AQ228" s="58" t="str" cm="1">
        <f>IF(ISBLANK($A228),"",INDEX(Array_ElectricalCharges,MATCH($A228,List_ElectricityMeters,0),ROUNDUP(COLUMN()/3,0)-2))</f>
        <v/>
      </c>
      <c r="AR228" s="127"/>
      <c r="AS228" s="137"/>
      <c r="AT228" s="58" t="str" cm="1">
        <f>IF(ISBLANK($A228),"",INDEX(Array_ElectricalCharges,MATCH($A228,List_ElectricityMeters,0),ROUNDUP(COLUMN()/3,0)-2))</f>
        <v/>
      </c>
      <c r="AU228" s="127"/>
      <c r="AV228" s="137"/>
      <c r="AW228" s="58" t="str" cm="1">
        <f>IF(ISBLANK($A228),"",INDEX(Array_ElectricalCharges,MATCH($A228,List_ElectricityMeters,0),ROUNDUP(COLUMN()/3,0)-2))</f>
        <v/>
      </c>
      <c r="AX228" s="127"/>
      <c r="AY228" s="137"/>
    </row>
    <row r="229" spans="1:51" x14ac:dyDescent="0.3">
      <c r="A229" s="126"/>
      <c r="B229" s="133"/>
      <c r="C229" s="134"/>
      <c r="D229" s="134"/>
      <c r="E229" s="135"/>
      <c r="F229" s="136"/>
      <c r="G229" s="58" t="str" cm="1">
        <f>IF(ISBLANK($A229),"",INDEX(Array_ElectricalCharges,MATCH($A229,List_ElectricityMeters,0),ROUNDUP(COLUMN()/3,0)-2))</f>
        <v/>
      </c>
      <c r="H229" s="127"/>
      <c r="I229" s="137"/>
      <c r="J229" s="58" t="str" cm="1">
        <f>IF(ISBLANK($A229),"",INDEX(Array_ElectricalCharges,MATCH($A229,List_ElectricityMeters,0),ROUNDUP(COLUMN()/3,0)-2))</f>
        <v/>
      </c>
      <c r="K229" s="127"/>
      <c r="L229" s="137"/>
      <c r="M229" s="58" t="str" cm="1">
        <f>IF(ISBLANK($A229),"",INDEX(Array_ElectricalCharges,MATCH($A229,List_ElectricityMeters,0),ROUNDUP(COLUMN()/3,0)-2))</f>
        <v/>
      </c>
      <c r="N229" s="127"/>
      <c r="O229" s="137"/>
      <c r="P229" s="58" t="str" cm="1">
        <f>IF(ISBLANK($A229),"",INDEX(Array_ElectricalCharges,MATCH($A229,List_ElectricityMeters,0),ROUNDUP(COLUMN()/3,0)-2))</f>
        <v/>
      </c>
      <c r="Q229" s="127"/>
      <c r="R229" s="137"/>
      <c r="S229" s="58" t="str" cm="1">
        <f>IF(ISBLANK($A229),"",INDEX(Array_ElectricalCharges,MATCH($A229,List_ElectricityMeters,0),ROUNDUP(COLUMN()/3,0)-2))</f>
        <v/>
      </c>
      <c r="T229" s="127"/>
      <c r="U229" s="137"/>
      <c r="V229" s="58" t="str" cm="1">
        <f>IF(ISBLANK($A229),"",INDEX(Array_ElectricalCharges,MATCH($A229,List_ElectricityMeters,0),ROUNDUP(COLUMN()/3,0)-2))</f>
        <v/>
      </c>
      <c r="W229" s="127"/>
      <c r="X229" s="137"/>
      <c r="Y229" s="58" t="str" cm="1">
        <f>IF(ISBLANK($A229),"",INDEX(Array_ElectricalCharges,MATCH($A229,List_ElectricityMeters,0),ROUNDUP(COLUMN()/3,0)-2))</f>
        <v/>
      </c>
      <c r="Z229" s="127"/>
      <c r="AA229" s="137"/>
      <c r="AB229" s="58" t="str" cm="1">
        <f>IF(ISBLANK($A229),"",INDEX(Array_ElectricalCharges,MATCH($A229,List_ElectricityMeters,0),ROUNDUP(COLUMN()/3,0)-2))</f>
        <v/>
      </c>
      <c r="AC229" s="127"/>
      <c r="AD229" s="137"/>
      <c r="AE229" s="58" t="str" cm="1">
        <f>IF(ISBLANK($A229),"",INDEX(Array_ElectricalCharges,MATCH($A229,List_ElectricityMeters,0),ROUNDUP(COLUMN()/3,0)-2))</f>
        <v/>
      </c>
      <c r="AF229" s="127"/>
      <c r="AG229" s="137"/>
      <c r="AH229" s="58" t="str" cm="1">
        <f>IF(ISBLANK($A229),"",INDEX(Array_ElectricalCharges,MATCH($A229,List_ElectricityMeters,0),ROUNDUP(COLUMN()/3,0)-2))</f>
        <v/>
      </c>
      <c r="AI229" s="127"/>
      <c r="AJ229" s="137"/>
      <c r="AK229" s="58" t="str" cm="1">
        <f>IF(ISBLANK($A229),"",INDEX(Array_ElectricalCharges,MATCH($A229,List_ElectricityMeters,0),ROUNDUP(COLUMN()/3,0)-2))</f>
        <v/>
      </c>
      <c r="AL229" s="127"/>
      <c r="AM229" s="137"/>
      <c r="AN229" s="58" t="str" cm="1">
        <f>IF(ISBLANK($A229),"",INDEX(Array_ElectricalCharges,MATCH($A229,List_ElectricityMeters,0),ROUNDUP(COLUMN()/3,0)-2))</f>
        <v/>
      </c>
      <c r="AO229" s="127"/>
      <c r="AP229" s="137"/>
      <c r="AQ229" s="58" t="str" cm="1">
        <f>IF(ISBLANK($A229),"",INDEX(Array_ElectricalCharges,MATCH($A229,List_ElectricityMeters,0),ROUNDUP(COLUMN()/3,0)-2))</f>
        <v/>
      </c>
      <c r="AR229" s="127"/>
      <c r="AS229" s="137"/>
      <c r="AT229" s="58" t="str" cm="1">
        <f>IF(ISBLANK($A229),"",INDEX(Array_ElectricalCharges,MATCH($A229,List_ElectricityMeters,0),ROUNDUP(COLUMN()/3,0)-2))</f>
        <v/>
      </c>
      <c r="AU229" s="127"/>
      <c r="AV229" s="137"/>
      <c r="AW229" s="58" t="str" cm="1">
        <f>IF(ISBLANK($A229),"",INDEX(Array_ElectricalCharges,MATCH($A229,List_ElectricityMeters,0),ROUNDUP(COLUMN()/3,0)-2))</f>
        <v/>
      </c>
      <c r="AX229" s="127"/>
      <c r="AY229" s="137"/>
    </row>
    <row r="230" spans="1:51" x14ac:dyDescent="0.3">
      <c r="A230" s="126"/>
      <c r="B230" s="133"/>
      <c r="C230" s="134"/>
      <c r="D230" s="134"/>
      <c r="E230" s="135"/>
      <c r="F230" s="136"/>
      <c r="G230" s="58" t="str" cm="1">
        <f>IF(ISBLANK($A230),"",INDEX(Array_ElectricalCharges,MATCH($A230,List_ElectricityMeters,0),ROUNDUP(COLUMN()/3,0)-2))</f>
        <v/>
      </c>
      <c r="H230" s="127"/>
      <c r="I230" s="137"/>
      <c r="J230" s="58" t="str" cm="1">
        <f>IF(ISBLANK($A230),"",INDEX(Array_ElectricalCharges,MATCH($A230,List_ElectricityMeters,0),ROUNDUP(COLUMN()/3,0)-2))</f>
        <v/>
      </c>
      <c r="K230" s="127"/>
      <c r="L230" s="137"/>
      <c r="M230" s="58" t="str" cm="1">
        <f>IF(ISBLANK($A230),"",INDEX(Array_ElectricalCharges,MATCH($A230,List_ElectricityMeters,0),ROUNDUP(COLUMN()/3,0)-2))</f>
        <v/>
      </c>
      <c r="N230" s="127"/>
      <c r="O230" s="137"/>
      <c r="P230" s="58" t="str" cm="1">
        <f>IF(ISBLANK($A230),"",INDEX(Array_ElectricalCharges,MATCH($A230,List_ElectricityMeters,0),ROUNDUP(COLUMN()/3,0)-2))</f>
        <v/>
      </c>
      <c r="Q230" s="127"/>
      <c r="R230" s="137"/>
      <c r="S230" s="58" t="str" cm="1">
        <f>IF(ISBLANK($A230),"",INDEX(Array_ElectricalCharges,MATCH($A230,List_ElectricityMeters,0),ROUNDUP(COLUMN()/3,0)-2))</f>
        <v/>
      </c>
      <c r="T230" s="127"/>
      <c r="U230" s="137"/>
      <c r="V230" s="58" t="str" cm="1">
        <f>IF(ISBLANK($A230),"",INDEX(Array_ElectricalCharges,MATCH($A230,List_ElectricityMeters,0),ROUNDUP(COLUMN()/3,0)-2))</f>
        <v/>
      </c>
      <c r="W230" s="127"/>
      <c r="X230" s="137"/>
      <c r="Y230" s="58" t="str" cm="1">
        <f>IF(ISBLANK($A230),"",INDEX(Array_ElectricalCharges,MATCH($A230,List_ElectricityMeters,0),ROUNDUP(COLUMN()/3,0)-2))</f>
        <v/>
      </c>
      <c r="Z230" s="127"/>
      <c r="AA230" s="137"/>
      <c r="AB230" s="58" t="str" cm="1">
        <f>IF(ISBLANK($A230),"",INDEX(Array_ElectricalCharges,MATCH($A230,List_ElectricityMeters,0),ROUNDUP(COLUMN()/3,0)-2))</f>
        <v/>
      </c>
      <c r="AC230" s="127"/>
      <c r="AD230" s="137"/>
      <c r="AE230" s="58" t="str" cm="1">
        <f>IF(ISBLANK($A230),"",INDEX(Array_ElectricalCharges,MATCH($A230,List_ElectricityMeters,0),ROUNDUP(COLUMN()/3,0)-2))</f>
        <v/>
      </c>
      <c r="AF230" s="127"/>
      <c r="AG230" s="137"/>
      <c r="AH230" s="58" t="str" cm="1">
        <f>IF(ISBLANK($A230),"",INDEX(Array_ElectricalCharges,MATCH($A230,List_ElectricityMeters,0),ROUNDUP(COLUMN()/3,0)-2))</f>
        <v/>
      </c>
      <c r="AI230" s="127"/>
      <c r="AJ230" s="137"/>
      <c r="AK230" s="58" t="str" cm="1">
        <f>IF(ISBLANK($A230),"",INDEX(Array_ElectricalCharges,MATCH($A230,List_ElectricityMeters,0),ROUNDUP(COLUMN()/3,0)-2))</f>
        <v/>
      </c>
      <c r="AL230" s="127"/>
      <c r="AM230" s="137"/>
      <c r="AN230" s="58" t="str" cm="1">
        <f>IF(ISBLANK($A230),"",INDEX(Array_ElectricalCharges,MATCH($A230,List_ElectricityMeters,0),ROUNDUP(COLUMN()/3,0)-2))</f>
        <v/>
      </c>
      <c r="AO230" s="127"/>
      <c r="AP230" s="137"/>
      <c r="AQ230" s="58" t="str" cm="1">
        <f>IF(ISBLANK($A230),"",INDEX(Array_ElectricalCharges,MATCH($A230,List_ElectricityMeters,0),ROUNDUP(COLUMN()/3,0)-2))</f>
        <v/>
      </c>
      <c r="AR230" s="127"/>
      <c r="AS230" s="137"/>
      <c r="AT230" s="58" t="str" cm="1">
        <f>IF(ISBLANK($A230),"",INDEX(Array_ElectricalCharges,MATCH($A230,List_ElectricityMeters,0),ROUNDUP(COLUMN()/3,0)-2))</f>
        <v/>
      </c>
      <c r="AU230" s="127"/>
      <c r="AV230" s="137"/>
      <c r="AW230" s="58" t="str" cm="1">
        <f>IF(ISBLANK($A230),"",INDEX(Array_ElectricalCharges,MATCH($A230,List_ElectricityMeters,0),ROUNDUP(COLUMN()/3,0)-2))</f>
        <v/>
      </c>
      <c r="AX230" s="127"/>
      <c r="AY230" s="137"/>
    </row>
    <row r="231" spans="1:51" x14ac:dyDescent="0.3">
      <c r="A231" s="126"/>
      <c r="B231" s="133"/>
      <c r="C231" s="134"/>
      <c r="D231" s="134"/>
      <c r="E231" s="135"/>
      <c r="F231" s="136"/>
      <c r="G231" s="58" t="str" cm="1">
        <f>IF(ISBLANK($A231),"",INDEX(Array_ElectricalCharges,MATCH($A231,List_ElectricityMeters,0),ROUNDUP(COLUMN()/3,0)-2))</f>
        <v/>
      </c>
      <c r="H231" s="127"/>
      <c r="I231" s="137"/>
      <c r="J231" s="58" t="str" cm="1">
        <f>IF(ISBLANK($A231),"",INDEX(Array_ElectricalCharges,MATCH($A231,List_ElectricityMeters,0),ROUNDUP(COLUMN()/3,0)-2))</f>
        <v/>
      </c>
      <c r="K231" s="127"/>
      <c r="L231" s="137"/>
      <c r="M231" s="58" t="str" cm="1">
        <f>IF(ISBLANK($A231),"",INDEX(Array_ElectricalCharges,MATCH($A231,List_ElectricityMeters,0),ROUNDUP(COLUMN()/3,0)-2))</f>
        <v/>
      </c>
      <c r="N231" s="127"/>
      <c r="O231" s="137"/>
      <c r="P231" s="58" t="str" cm="1">
        <f>IF(ISBLANK($A231),"",INDEX(Array_ElectricalCharges,MATCH($A231,List_ElectricityMeters,0),ROUNDUP(COLUMN()/3,0)-2))</f>
        <v/>
      </c>
      <c r="Q231" s="127"/>
      <c r="R231" s="137"/>
      <c r="S231" s="58" t="str" cm="1">
        <f>IF(ISBLANK($A231),"",INDEX(Array_ElectricalCharges,MATCH($A231,List_ElectricityMeters,0),ROUNDUP(COLUMN()/3,0)-2))</f>
        <v/>
      </c>
      <c r="T231" s="127"/>
      <c r="U231" s="137"/>
      <c r="V231" s="58" t="str" cm="1">
        <f>IF(ISBLANK($A231),"",INDEX(Array_ElectricalCharges,MATCH($A231,List_ElectricityMeters,0),ROUNDUP(COLUMN()/3,0)-2))</f>
        <v/>
      </c>
      <c r="W231" s="127"/>
      <c r="X231" s="137"/>
      <c r="Y231" s="58" t="str" cm="1">
        <f>IF(ISBLANK($A231),"",INDEX(Array_ElectricalCharges,MATCH($A231,List_ElectricityMeters,0),ROUNDUP(COLUMN()/3,0)-2))</f>
        <v/>
      </c>
      <c r="Z231" s="127"/>
      <c r="AA231" s="137"/>
      <c r="AB231" s="58" t="str" cm="1">
        <f>IF(ISBLANK($A231),"",INDEX(Array_ElectricalCharges,MATCH($A231,List_ElectricityMeters,0),ROUNDUP(COLUMN()/3,0)-2))</f>
        <v/>
      </c>
      <c r="AC231" s="127"/>
      <c r="AD231" s="137"/>
      <c r="AE231" s="58" t="str" cm="1">
        <f>IF(ISBLANK($A231),"",INDEX(Array_ElectricalCharges,MATCH($A231,List_ElectricityMeters,0),ROUNDUP(COLUMN()/3,0)-2))</f>
        <v/>
      </c>
      <c r="AF231" s="127"/>
      <c r="AG231" s="137"/>
      <c r="AH231" s="58" t="str" cm="1">
        <f>IF(ISBLANK($A231),"",INDEX(Array_ElectricalCharges,MATCH($A231,List_ElectricityMeters,0),ROUNDUP(COLUMN()/3,0)-2))</f>
        <v/>
      </c>
      <c r="AI231" s="127"/>
      <c r="AJ231" s="137"/>
      <c r="AK231" s="58" t="str" cm="1">
        <f>IF(ISBLANK($A231),"",INDEX(Array_ElectricalCharges,MATCH($A231,List_ElectricityMeters,0),ROUNDUP(COLUMN()/3,0)-2))</f>
        <v/>
      </c>
      <c r="AL231" s="127"/>
      <c r="AM231" s="137"/>
      <c r="AN231" s="58" t="str" cm="1">
        <f>IF(ISBLANK($A231),"",INDEX(Array_ElectricalCharges,MATCH($A231,List_ElectricityMeters,0),ROUNDUP(COLUMN()/3,0)-2))</f>
        <v/>
      </c>
      <c r="AO231" s="127"/>
      <c r="AP231" s="137"/>
      <c r="AQ231" s="58" t="str" cm="1">
        <f>IF(ISBLANK($A231),"",INDEX(Array_ElectricalCharges,MATCH($A231,List_ElectricityMeters,0),ROUNDUP(COLUMN()/3,0)-2))</f>
        <v/>
      </c>
      <c r="AR231" s="127"/>
      <c r="AS231" s="137"/>
      <c r="AT231" s="58" t="str" cm="1">
        <f>IF(ISBLANK($A231),"",INDEX(Array_ElectricalCharges,MATCH($A231,List_ElectricityMeters,0),ROUNDUP(COLUMN()/3,0)-2))</f>
        <v/>
      </c>
      <c r="AU231" s="127"/>
      <c r="AV231" s="137"/>
      <c r="AW231" s="58" t="str" cm="1">
        <f>IF(ISBLANK($A231),"",INDEX(Array_ElectricalCharges,MATCH($A231,List_ElectricityMeters,0),ROUNDUP(COLUMN()/3,0)-2))</f>
        <v/>
      </c>
      <c r="AX231" s="127"/>
      <c r="AY231" s="137"/>
    </row>
    <row r="232" spans="1:51" x14ac:dyDescent="0.3">
      <c r="A232" s="126"/>
      <c r="B232" s="133"/>
      <c r="C232" s="134"/>
      <c r="D232" s="134"/>
      <c r="E232" s="135"/>
      <c r="F232" s="136"/>
      <c r="G232" s="58" t="str" cm="1">
        <f>IF(ISBLANK($A232),"",INDEX(Array_ElectricalCharges,MATCH($A232,List_ElectricityMeters,0),ROUNDUP(COLUMN()/3,0)-2))</f>
        <v/>
      </c>
      <c r="H232" s="127"/>
      <c r="I232" s="137"/>
      <c r="J232" s="58" t="str" cm="1">
        <f>IF(ISBLANK($A232),"",INDEX(Array_ElectricalCharges,MATCH($A232,List_ElectricityMeters,0),ROUNDUP(COLUMN()/3,0)-2))</f>
        <v/>
      </c>
      <c r="K232" s="127"/>
      <c r="L232" s="137"/>
      <c r="M232" s="58" t="str" cm="1">
        <f>IF(ISBLANK($A232),"",INDEX(Array_ElectricalCharges,MATCH($A232,List_ElectricityMeters,0),ROUNDUP(COLUMN()/3,0)-2))</f>
        <v/>
      </c>
      <c r="N232" s="127"/>
      <c r="O232" s="137"/>
      <c r="P232" s="58" t="str" cm="1">
        <f>IF(ISBLANK($A232),"",INDEX(Array_ElectricalCharges,MATCH($A232,List_ElectricityMeters,0),ROUNDUP(COLUMN()/3,0)-2))</f>
        <v/>
      </c>
      <c r="Q232" s="127"/>
      <c r="R232" s="137"/>
      <c r="S232" s="58" t="str" cm="1">
        <f>IF(ISBLANK($A232),"",INDEX(Array_ElectricalCharges,MATCH($A232,List_ElectricityMeters,0),ROUNDUP(COLUMN()/3,0)-2))</f>
        <v/>
      </c>
      <c r="T232" s="127"/>
      <c r="U232" s="137"/>
      <c r="V232" s="58" t="str" cm="1">
        <f>IF(ISBLANK($A232),"",INDEX(Array_ElectricalCharges,MATCH($A232,List_ElectricityMeters,0),ROUNDUP(COLUMN()/3,0)-2))</f>
        <v/>
      </c>
      <c r="W232" s="127"/>
      <c r="X232" s="137"/>
      <c r="Y232" s="58" t="str" cm="1">
        <f>IF(ISBLANK($A232),"",INDEX(Array_ElectricalCharges,MATCH($A232,List_ElectricityMeters,0),ROUNDUP(COLUMN()/3,0)-2))</f>
        <v/>
      </c>
      <c r="Z232" s="127"/>
      <c r="AA232" s="137"/>
      <c r="AB232" s="58" t="str" cm="1">
        <f>IF(ISBLANK($A232),"",INDEX(Array_ElectricalCharges,MATCH($A232,List_ElectricityMeters,0),ROUNDUP(COLUMN()/3,0)-2))</f>
        <v/>
      </c>
      <c r="AC232" s="127"/>
      <c r="AD232" s="137"/>
      <c r="AE232" s="58" t="str" cm="1">
        <f>IF(ISBLANK($A232),"",INDEX(Array_ElectricalCharges,MATCH($A232,List_ElectricityMeters,0),ROUNDUP(COLUMN()/3,0)-2))</f>
        <v/>
      </c>
      <c r="AF232" s="127"/>
      <c r="AG232" s="137"/>
      <c r="AH232" s="58" t="str" cm="1">
        <f>IF(ISBLANK($A232),"",INDEX(Array_ElectricalCharges,MATCH($A232,List_ElectricityMeters,0),ROUNDUP(COLUMN()/3,0)-2))</f>
        <v/>
      </c>
      <c r="AI232" s="127"/>
      <c r="AJ232" s="137"/>
      <c r="AK232" s="58" t="str" cm="1">
        <f>IF(ISBLANK($A232),"",INDEX(Array_ElectricalCharges,MATCH($A232,List_ElectricityMeters,0),ROUNDUP(COLUMN()/3,0)-2))</f>
        <v/>
      </c>
      <c r="AL232" s="127"/>
      <c r="AM232" s="137"/>
      <c r="AN232" s="58" t="str" cm="1">
        <f>IF(ISBLANK($A232),"",INDEX(Array_ElectricalCharges,MATCH($A232,List_ElectricityMeters,0),ROUNDUP(COLUMN()/3,0)-2))</f>
        <v/>
      </c>
      <c r="AO232" s="127"/>
      <c r="AP232" s="137"/>
      <c r="AQ232" s="58" t="str" cm="1">
        <f>IF(ISBLANK($A232),"",INDEX(Array_ElectricalCharges,MATCH($A232,List_ElectricityMeters,0),ROUNDUP(COLUMN()/3,0)-2))</f>
        <v/>
      </c>
      <c r="AR232" s="127"/>
      <c r="AS232" s="137"/>
      <c r="AT232" s="58" t="str" cm="1">
        <f>IF(ISBLANK($A232),"",INDEX(Array_ElectricalCharges,MATCH($A232,List_ElectricityMeters,0),ROUNDUP(COLUMN()/3,0)-2))</f>
        <v/>
      </c>
      <c r="AU232" s="127"/>
      <c r="AV232" s="137"/>
      <c r="AW232" s="58" t="str" cm="1">
        <f>IF(ISBLANK($A232),"",INDEX(Array_ElectricalCharges,MATCH($A232,List_ElectricityMeters,0),ROUNDUP(COLUMN()/3,0)-2))</f>
        <v/>
      </c>
      <c r="AX232" s="127"/>
      <c r="AY232" s="137"/>
    </row>
    <row r="233" spans="1:51" x14ac:dyDescent="0.3">
      <c r="A233" s="126"/>
      <c r="B233" s="133"/>
      <c r="C233" s="134"/>
      <c r="D233" s="134"/>
      <c r="E233" s="135"/>
      <c r="F233" s="136"/>
      <c r="G233" s="58" t="str" cm="1">
        <f>IF(ISBLANK($A233),"",INDEX(Array_ElectricalCharges,MATCH($A233,List_ElectricityMeters,0),ROUNDUP(COLUMN()/3,0)-2))</f>
        <v/>
      </c>
      <c r="H233" s="127"/>
      <c r="I233" s="137"/>
      <c r="J233" s="58" t="str" cm="1">
        <f>IF(ISBLANK($A233),"",INDEX(Array_ElectricalCharges,MATCH($A233,List_ElectricityMeters,0),ROUNDUP(COLUMN()/3,0)-2))</f>
        <v/>
      </c>
      <c r="K233" s="127"/>
      <c r="L233" s="137"/>
      <c r="M233" s="58" t="str" cm="1">
        <f>IF(ISBLANK($A233),"",INDEX(Array_ElectricalCharges,MATCH($A233,List_ElectricityMeters,0),ROUNDUP(COLUMN()/3,0)-2))</f>
        <v/>
      </c>
      <c r="N233" s="127"/>
      <c r="O233" s="137"/>
      <c r="P233" s="58" t="str" cm="1">
        <f>IF(ISBLANK($A233),"",INDEX(Array_ElectricalCharges,MATCH($A233,List_ElectricityMeters,0),ROUNDUP(COLUMN()/3,0)-2))</f>
        <v/>
      </c>
      <c r="Q233" s="127"/>
      <c r="R233" s="137"/>
      <c r="S233" s="58" t="str" cm="1">
        <f>IF(ISBLANK($A233),"",INDEX(Array_ElectricalCharges,MATCH($A233,List_ElectricityMeters,0),ROUNDUP(COLUMN()/3,0)-2))</f>
        <v/>
      </c>
      <c r="T233" s="127"/>
      <c r="U233" s="137"/>
      <c r="V233" s="58" t="str" cm="1">
        <f>IF(ISBLANK($A233),"",INDEX(Array_ElectricalCharges,MATCH($A233,List_ElectricityMeters,0),ROUNDUP(COLUMN()/3,0)-2))</f>
        <v/>
      </c>
      <c r="W233" s="127"/>
      <c r="X233" s="137"/>
      <c r="Y233" s="58" t="str" cm="1">
        <f>IF(ISBLANK($A233),"",INDEX(Array_ElectricalCharges,MATCH($A233,List_ElectricityMeters,0),ROUNDUP(COLUMN()/3,0)-2))</f>
        <v/>
      </c>
      <c r="Z233" s="127"/>
      <c r="AA233" s="137"/>
      <c r="AB233" s="58" t="str" cm="1">
        <f>IF(ISBLANK($A233),"",INDEX(Array_ElectricalCharges,MATCH($A233,List_ElectricityMeters,0),ROUNDUP(COLUMN()/3,0)-2))</f>
        <v/>
      </c>
      <c r="AC233" s="127"/>
      <c r="AD233" s="137"/>
      <c r="AE233" s="58" t="str" cm="1">
        <f>IF(ISBLANK($A233),"",INDEX(Array_ElectricalCharges,MATCH($A233,List_ElectricityMeters,0),ROUNDUP(COLUMN()/3,0)-2))</f>
        <v/>
      </c>
      <c r="AF233" s="127"/>
      <c r="AG233" s="137"/>
      <c r="AH233" s="58" t="str" cm="1">
        <f>IF(ISBLANK($A233),"",INDEX(Array_ElectricalCharges,MATCH($A233,List_ElectricityMeters,0),ROUNDUP(COLUMN()/3,0)-2))</f>
        <v/>
      </c>
      <c r="AI233" s="127"/>
      <c r="AJ233" s="137"/>
      <c r="AK233" s="58" t="str" cm="1">
        <f>IF(ISBLANK($A233),"",INDEX(Array_ElectricalCharges,MATCH($A233,List_ElectricityMeters,0),ROUNDUP(COLUMN()/3,0)-2))</f>
        <v/>
      </c>
      <c r="AL233" s="127"/>
      <c r="AM233" s="137"/>
      <c r="AN233" s="58" t="str" cm="1">
        <f>IF(ISBLANK($A233),"",INDEX(Array_ElectricalCharges,MATCH($A233,List_ElectricityMeters,0),ROUNDUP(COLUMN()/3,0)-2))</f>
        <v/>
      </c>
      <c r="AO233" s="127"/>
      <c r="AP233" s="137"/>
      <c r="AQ233" s="58" t="str" cm="1">
        <f>IF(ISBLANK($A233),"",INDEX(Array_ElectricalCharges,MATCH($A233,List_ElectricityMeters,0),ROUNDUP(COLUMN()/3,0)-2))</f>
        <v/>
      </c>
      <c r="AR233" s="127"/>
      <c r="AS233" s="137"/>
      <c r="AT233" s="58" t="str" cm="1">
        <f>IF(ISBLANK($A233),"",INDEX(Array_ElectricalCharges,MATCH($A233,List_ElectricityMeters,0),ROUNDUP(COLUMN()/3,0)-2))</f>
        <v/>
      </c>
      <c r="AU233" s="127"/>
      <c r="AV233" s="137"/>
      <c r="AW233" s="58" t="str" cm="1">
        <f>IF(ISBLANK($A233),"",INDEX(Array_ElectricalCharges,MATCH($A233,List_ElectricityMeters,0),ROUNDUP(COLUMN()/3,0)-2))</f>
        <v/>
      </c>
      <c r="AX233" s="127"/>
      <c r="AY233" s="137"/>
    </row>
    <row r="234" spans="1:51" x14ac:dyDescent="0.3">
      <c r="A234" s="126"/>
      <c r="B234" s="133"/>
      <c r="C234" s="134"/>
      <c r="D234" s="134"/>
      <c r="E234" s="135"/>
      <c r="F234" s="136"/>
      <c r="G234" s="58" t="str" cm="1">
        <f>IF(ISBLANK($A234),"",INDEX(Array_ElectricalCharges,MATCH($A234,List_ElectricityMeters,0),ROUNDUP(COLUMN()/3,0)-2))</f>
        <v/>
      </c>
      <c r="H234" s="127"/>
      <c r="I234" s="137"/>
      <c r="J234" s="58" t="str" cm="1">
        <f>IF(ISBLANK($A234),"",INDEX(Array_ElectricalCharges,MATCH($A234,List_ElectricityMeters,0),ROUNDUP(COLUMN()/3,0)-2))</f>
        <v/>
      </c>
      <c r="K234" s="127"/>
      <c r="L234" s="137"/>
      <c r="M234" s="58" t="str" cm="1">
        <f>IF(ISBLANK($A234),"",INDEX(Array_ElectricalCharges,MATCH($A234,List_ElectricityMeters,0),ROUNDUP(COLUMN()/3,0)-2))</f>
        <v/>
      </c>
      <c r="N234" s="127"/>
      <c r="O234" s="137"/>
      <c r="P234" s="58" t="str" cm="1">
        <f>IF(ISBLANK($A234),"",INDEX(Array_ElectricalCharges,MATCH($A234,List_ElectricityMeters,0),ROUNDUP(COLUMN()/3,0)-2))</f>
        <v/>
      </c>
      <c r="Q234" s="127"/>
      <c r="R234" s="137"/>
      <c r="S234" s="58" t="str" cm="1">
        <f>IF(ISBLANK($A234),"",INDEX(Array_ElectricalCharges,MATCH($A234,List_ElectricityMeters,0),ROUNDUP(COLUMN()/3,0)-2))</f>
        <v/>
      </c>
      <c r="T234" s="127"/>
      <c r="U234" s="137"/>
      <c r="V234" s="58" t="str" cm="1">
        <f>IF(ISBLANK($A234),"",INDEX(Array_ElectricalCharges,MATCH($A234,List_ElectricityMeters,0),ROUNDUP(COLUMN()/3,0)-2))</f>
        <v/>
      </c>
      <c r="W234" s="127"/>
      <c r="X234" s="137"/>
      <c r="Y234" s="58" t="str" cm="1">
        <f>IF(ISBLANK($A234),"",INDEX(Array_ElectricalCharges,MATCH($A234,List_ElectricityMeters,0),ROUNDUP(COLUMN()/3,0)-2))</f>
        <v/>
      </c>
      <c r="Z234" s="127"/>
      <c r="AA234" s="137"/>
      <c r="AB234" s="58" t="str" cm="1">
        <f>IF(ISBLANK($A234),"",INDEX(Array_ElectricalCharges,MATCH($A234,List_ElectricityMeters,0),ROUNDUP(COLUMN()/3,0)-2))</f>
        <v/>
      </c>
      <c r="AC234" s="127"/>
      <c r="AD234" s="137"/>
      <c r="AE234" s="58" t="str" cm="1">
        <f>IF(ISBLANK($A234),"",INDEX(Array_ElectricalCharges,MATCH($A234,List_ElectricityMeters,0),ROUNDUP(COLUMN()/3,0)-2))</f>
        <v/>
      </c>
      <c r="AF234" s="127"/>
      <c r="AG234" s="137"/>
      <c r="AH234" s="58" t="str" cm="1">
        <f>IF(ISBLANK($A234),"",INDEX(Array_ElectricalCharges,MATCH($A234,List_ElectricityMeters,0),ROUNDUP(COLUMN()/3,0)-2))</f>
        <v/>
      </c>
      <c r="AI234" s="127"/>
      <c r="AJ234" s="137"/>
      <c r="AK234" s="58" t="str" cm="1">
        <f>IF(ISBLANK($A234),"",INDEX(Array_ElectricalCharges,MATCH($A234,List_ElectricityMeters,0),ROUNDUP(COLUMN()/3,0)-2))</f>
        <v/>
      </c>
      <c r="AL234" s="127"/>
      <c r="AM234" s="137"/>
      <c r="AN234" s="58" t="str" cm="1">
        <f>IF(ISBLANK($A234),"",INDEX(Array_ElectricalCharges,MATCH($A234,List_ElectricityMeters,0),ROUNDUP(COLUMN()/3,0)-2))</f>
        <v/>
      </c>
      <c r="AO234" s="127"/>
      <c r="AP234" s="137"/>
      <c r="AQ234" s="58" t="str" cm="1">
        <f>IF(ISBLANK($A234),"",INDEX(Array_ElectricalCharges,MATCH($A234,List_ElectricityMeters,0),ROUNDUP(COLUMN()/3,0)-2))</f>
        <v/>
      </c>
      <c r="AR234" s="127"/>
      <c r="AS234" s="137"/>
      <c r="AT234" s="58" t="str" cm="1">
        <f>IF(ISBLANK($A234),"",INDEX(Array_ElectricalCharges,MATCH($A234,List_ElectricityMeters,0),ROUNDUP(COLUMN()/3,0)-2))</f>
        <v/>
      </c>
      <c r="AU234" s="127"/>
      <c r="AV234" s="137"/>
      <c r="AW234" s="58" t="str" cm="1">
        <f>IF(ISBLANK($A234),"",INDEX(Array_ElectricalCharges,MATCH($A234,List_ElectricityMeters,0),ROUNDUP(COLUMN()/3,0)-2))</f>
        <v/>
      </c>
      <c r="AX234" s="127"/>
      <c r="AY234" s="137"/>
    </row>
    <row r="235" spans="1:51" x14ac:dyDescent="0.3">
      <c r="A235" s="126"/>
      <c r="B235" s="133"/>
      <c r="C235" s="134"/>
      <c r="D235" s="134"/>
      <c r="E235" s="135"/>
      <c r="F235" s="136"/>
      <c r="G235" s="58" t="str" cm="1">
        <f>IF(ISBLANK($A235),"",INDEX(Array_ElectricalCharges,MATCH($A235,List_ElectricityMeters,0),ROUNDUP(COLUMN()/3,0)-2))</f>
        <v/>
      </c>
      <c r="H235" s="127"/>
      <c r="I235" s="137"/>
      <c r="J235" s="58" t="str" cm="1">
        <f>IF(ISBLANK($A235),"",INDEX(Array_ElectricalCharges,MATCH($A235,List_ElectricityMeters,0),ROUNDUP(COLUMN()/3,0)-2))</f>
        <v/>
      </c>
      <c r="K235" s="127"/>
      <c r="L235" s="137"/>
      <c r="M235" s="58" t="str" cm="1">
        <f>IF(ISBLANK($A235),"",INDEX(Array_ElectricalCharges,MATCH($A235,List_ElectricityMeters,0),ROUNDUP(COLUMN()/3,0)-2))</f>
        <v/>
      </c>
      <c r="N235" s="127"/>
      <c r="O235" s="137"/>
      <c r="P235" s="58" t="str" cm="1">
        <f>IF(ISBLANK($A235),"",INDEX(Array_ElectricalCharges,MATCH($A235,List_ElectricityMeters,0),ROUNDUP(COLUMN()/3,0)-2))</f>
        <v/>
      </c>
      <c r="Q235" s="127"/>
      <c r="R235" s="137"/>
      <c r="S235" s="58" t="str" cm="1">
        <f>IF(ISBLANK($A235),"",INDEX(Array_ElectricalCharges,MATCH($A235,List_ElectricityMeters,0),ROUNDUP(COLUMN()/3,0)-2))</f>
        <v/>
      </c>
      <c r="T235" s="127"/>
      <c r="U235" s="137"/>
      <c r="V235" s="58" t="str" cm="1">
        <f>IF(ISBLANK($A235),"",INDEX(Array_ElectricalCharges,MATCH($A235,List_ElectricityMeters,0),ROUNDUP(COLUMN()/3,0)-2))</f>
        <v/>
      </c>
      <c r="W235" s="127"/>
      <c r="X235" s="137"/>
      <c r="Y235" s="58" t="str" cm="1">
        <f>IF(ISBLANK($A235),"",INDEX(Array_ElectricalCharges,MATCH($A235,List_ElectricityMeters,0),ROUNDUP(COLUMN()/3,0)-2))</f>
        <v/>
      </c>
      <c r="Z235" s="127"/>
      <c r="AA235" s="137"/>
      <c r="AB235" s="58" t="str" cm="1">
        <f>IF(ISBLANK($A235),"",INDEX(Array_ElectricalCharges,MATCH($A235,List_ElectricityMeters,0),ROUNDUP(COLUMN()/3,0)-2))</f>
        <v/>
      </c>
      <c r="AC235" s="127"/>
      <c r="AD235" s="137"/>
      <c r="AE235" s="58" t="str" cm="1">
        <f>IF(ISBLANK($A235),"",INDEX(Array_ElectricalCharges,MATCH($A235,List_ElectricityMeters,0),ROUNDUP(COLUMN()/3,0)-2))</f>
        <v/>
      </c>
      <c r="AF235" s="127"/>
      <c r="AG235" s="137"/>
      <c r="AH235" s="58" t="str" cm="1">
        <f>IF(ISBLANK($A235),"",INDEX(Array_ElectricalCharges,MATCH($A235,List_ElectricityMeters,0),ROUNDUP(COLUMN()/3,0)-2))</f>
        <v/>
      </c>
      <c r="AI235" s="127"/>
      <c r="AJ235" s="137"/>
      <c r="AK235" s="58" t="str" cm="1">
        <f>IF(ISBLANK($A235),"",INDEX(Array_ElectricalCharges,MATCH($A235,List_ElectricityMeters,0),ROUNDUP(COLUMN()/3,0)-2))</f>
        <v/>
      </c>
      <c r="AL235" s="127"/>
      <c r="AM235" s="137"/>
      <c r="AN235" s="58" t="str" cm="1">
        <f>IF(ISBLANK($A235),"",INDEX(Array_ElectricalCharges,MATCH($A235,List_ElectricityMeters,0),ROUNDUP(COLUMN()/3,0)-2))</f>
        <v/>
      </c>
      <c r="AO235" s="127"/>
      <c r="AP235" s="137"/>
      <c r="AQ235" s="58" t="str" cm="1">
        <f>IF(ISBLANK($A235),"",INDEX(Array_ElectricalCharges,MATCH($A235,List_ElectricityMeters,0),ROUNDUP(COLUMN()/3,0)-2))</f>
        <v/>
      </c>
      <c r="AR235" s="127"/>
      <c r="AS235" s="137"/>
      <c r="AT235" s="58" t="str" cm="1">
        <f>IF(ISBLANK($A235),"",INDEX(Array_ElectricalCharges,MATCH($A235,List_ElectricityMeters,0),ROUNDUP(COLUMN()/3,0)-2))</f>
        <v/>
      </c>
      <c r="AU235" s="127"/>
      <c r="AV235" s="137"/>
      <c r="AW235" s="58" t="str" cm="1">
        <f>IF(ISBLANK($A235),"",INDEX(Array_ElectricalCharges,MATCH($A235,List_ElectricityMeters,0),ROUNDUP(COLUMN()/3,0)-2))</f>
        <v/>
      </c>
      <c r="AX235" s="127"/>
      <c r="AY235" s="137"/>
    </row>
    <row r="236" spans="1:51" x14ac:dyDescent="0.3">
      <c r="A236" s="126"/>
      <c r="B236" s="133"/>
      <c r="C236" s="134"/>
      <c r="D236" s="134"/>
      <c r="E236" s="135"/>
      <c r="F236" s="136"/>
      <c r="G236" s="58" t="str" cm="1">
        <f>IF(ISBLANK($A236),"",INDEX(Array_ElectricalCharges,MATCH($A236,List_ElectricityMeters,0),ROUNDUP(COLUMN()/3,0)-2))</f>
        <v/>
      </c>
      <c r="H236" s="127"/>
      <c r="I236" s="137"/>
      <c r="J236" s="58" t="str" cm="1">
        <f>IF(ISBLANK($A236),"",INDEX(Array_ElectricalCharges,MATCH($A236,List_ElectricityMeters,0),ROUNDUP(COLUMN()/3,0)-2))</f>
        <v/>
      </c>
      <c r="K236" s="127"/>
      <c r="L236" s="137"/>
      <c r="M236" s="58" t="str" cm="1">
        <f>IF(ISBLANK($A236),"",INDEX(Array_ElectricalCharges,MATCH($A236,List_ElectricityMeters,0),ROUNDUP(COLUMN()/3,0)-2))</f>
        <v/>
      </c>
      <c r="N236" s="127"/>
      <c r="O236" s="137"/>
      <c r="P236" s="58" t="str" cm="1">
        <f>IF(ISBLANK($A236),"",INDEX(Array_ElectricalCharges,MATCH($A236,List_ElectricityMeters,0),ROUNDUP(COLUMN()/3,0)-2))</f>
        <v/>
      </c>
      <c r="Q236" s="127"/>
      <c r="R236" s="137"/>
      <c r="S236" s="58" t="str" cm="1">
        <f>IF(ISBLANK($A236),"",INDEX(Array_ElectricalCharges,MATCH($A236,List_ElectricityMeters,0),ROUNDUP(COLUMN()/3,0)-2))</f>
        <v/>
      </c>
      <c r="T236" s="127"/>
      <c r="U236" s="137"/>
      <c r="V236" s="58" t="str" cm="1">
        <f>IF(ISBLANK($A236),"",INDEX(Array_ElectricalCharges,MATCH($A236,List_ElectricityMeters,0),ROUNDUP(COLUMN()/3,0)-2))</f>
        <v/>
      </c>
      <c r="W236" s="127"/>
      <c r="X236" s="137"/>
      <c r="Y236" s="58" t="str" cm="1">
        <f>IF(ISBLANK($A236),"",INDEX(Array_ElectricalCharges,MATCH($A236,List_ElectricityMeters,0),ROUNDUP(COLUMN()/3,0)-2))</f>
        <v/>
      </c>
      <c r="Z236" s="127"/>
      <c r="AA236" s="137"/>
      <c r="AB236" s="58" t="str" cm="1">
        <f>IF(ISBLANK($A236),"",INDEX(Array_ElectricalCharges,MATCH($A236,List_ElectricityMeters,0),ROUNDUP(COLUMN()/3,0)-2))</f>
        <v/>
      </c>
      <c r="AC236" s="127"/>
      <c r="AD236" s="137"/>
      <c r="AE236" s="58" t="str" cm="1">
        <f>IF(ISBLANK($A236),"",INDEX(Array_ElectricalCharges,MATCH($A236,List_ElectricityMeters,0),ROUNDUP(COLUMN()/3,0)-2))</f>
        <v/>
      </c>
      <c r="AF236" s="127"/>
      <c r="AG236" s="137"/>
      <c r="AH236" s="58" t="str" cm="1">
        <f>IF(ISBLANK($A236),"",INDEX(Array_ElectricalCharges,MATCH($A236,List_ElectricityMeters,0),ROUNDUP(COLUMN()/3,0)-2))</f>
        <v/>
      </c>
      <c r="AI236" s="127"/>
      <c r="AJ236" s="137"/>
      <c r="AK236" s="58" t="str" cm="1">
        <f>IF(ISBLANK($A236),"",INDEX(Array_ElectricalCharges,MATCH($A236,List_ElectricityMeters,0),ROUNDUP(COLUMN()/3,0)-2))</f>
        <v/>
      </c>
      <c r="AL236" s="127"/>
      <c r="AM236" s="137"/>
      <c r="AN236" s="58" t="str" cm="1">
        <f>IF(ISBLANK($A236),"",INDEX(Array_ElectricalCharges,MATCH($A236,List_ElectricityMeters,0),ROUNDUP(COLUMN()/3,0)-2))</f>
        <v/>
      </c>
      <c r="AO236" s="127"/>
      <c r="AP236" s="137"/>
      <c r="AQ236" s="58" t="str" cm="1">
        <f>IF(ISBLANK($A236),"",INDEX(Array_ElectricalCharges,MATCH($A236,List_ElectricityMeters,0),ROUNDUP(COLUMN()/3,0)-2))</f>
        <v/>
      </c>
      <c r="AR236" s="127"/>
      <c r="AS236" s="137"/>
      <c r="AT236" s="58" t="str" cm="1">
        <f>IF(ISBLANK($A236),"",INDEX(Array_ElectricalCharges,MATCH($A236,List_ElectricityMeters,0),ROUNDUP(COLUMN()/3,0)-2))</f>
        <v/>
      </c>
      <c r="AU236" s="127"/>
      <c r="AV236" s="137"/>
      <c r="AW236" s="58" t="str" cm="1">
        <f>IF(ISBLANK($A236),"",INDEX(Array_ElectricalCharges,MATCH($A236,List_ElectricityMeters,0),ROUNDUP(COLUMN()/3,0)-2))</f>
        <v/>
      </c>
      <c r="AX236" s="127"/>
      <c r="AY236" s="137"/>
    </row>
    <row r="237" spans="1:51" x14ac:dyDescent="0.3">
      <c r="A237" s="126"/>
      <c r="B237" s="133"/>
      <c r="C237" s="134"/>
      <c r="D237" s="134"/>
      <c r="E237" s="135"/>
      <c r="F237" s="136"/>
      <c r="G237" s="58" t="str" cm="1">
        <f>IF(ISBLANK($A237),"",INDEX(Array_ElectricalCharges,MATCH($A237,List_ElectricityMeters,0),ROUNDUP(COLUMN()/3,0)-2))</f>
        <v/>
      </c>
      <c r="H237" s="127"/>
      <c r="I237" s="137"/>
      <c r="J237" s="58" t="str" cm="1">
        <f>IF(ISBLANK($A237),"",INDEX(Array_ElectricalCharges,MATCH($A237,List_ElectricityMeters,0),ROUNDUP(COLUMN()/3,0)-2))</f>
        <v/>
      </c>
      <c r="K237" s="127"/>
      <c r="L237" s="137"/>
      <c r="M237" s="58" t="str" cm="1">
        <f>IF(ISBLANK($A237),"",INDEX(Array_ElectricalCharges,MATCH($A237,List_ElectricityMeters,0),ROUNDUP(COLUMN()/3,0)-2))</f>
        <v/>
      </c>
      <c r="N237" s="127"/>
      <c r="O237" s="137"/>
      <c r="P237" s="58" t="str" cm="1">
        <f>IF(ISBLANK($A237),"",INDEX(Array_ElectricalCharges,MATCH($A237,List_ElectricityMeters,0),ROUNDUP(COLUMN()/3,0)-2))</f>
        <v/>
      </c>
      <c r="Q237" s="127"/>
      <c r="R237" s="137"/>
      <c r="S237" s="58" t="str" cm="1">
        <f>IF(ISBLANK($A237),"",INDEX(Array_ElectricalCharges,MATCH($A237,List_ElectricityMeters,0),ROUNDUP(COLUMN()/3,0)-2))</f>
        <v/>
      </c>
      <c r="T237" s="127"/>
      <c r="U237" s="137"/>
      <c r="V237" s="58" t="str" cm="1">
        <f>IF(ISBLANK($A237),"",INDEX(Array_ElectricalCharges,MATCH($A237,List_ElectricityMeters,0),ROUNDUP(COLUMN()/3,0)-2))</f>
        <v/>
      </c>
      <c r="W237" s="127"/>
      <c r="X237" s="137"/>
      <c r="Y237" s="58" t="str" cm="1">
        <f>IF(ISBLANK($A237),"",INDEX(Array_ElectricalCharges,MATCH($A237,List_ElectricityMeters,0),ROUNDUP(COLUMN()/3,0)-2))</f>
        <v/>
      </c>
      <c r="Z237" s="127"/>
      <c r="AA237" s="137"/>
      <c r="AB237" s="58" t="str" cm="1">
        <f>IF(ISBLANK($A237),"",INDEX(Array_ElectricalCharges,MATCH($A237,List_ElectricityMeters,0),ROUNDUP(COLUMN()/3,0)-2))</f>
        <v/>
      </c>
      <c r="AC237" s="127"/>
      <c r="AD237" s="137"/>
      <c r="AE237" s="58" t="str" cm="1">
        <f>IF(ISBLANK($A237),"",INDEX(Array_ElectricalCharges,MATCH($A237,List_ElectricityMeters,0),ROUNDUP(COLUMN()/3,0)-2))</f>
        <v/>
      </c>
      <c r="AF237" s="127"/>
      <c r="AG237" s="137"/>
      <c r="AH237" s="58" t="str" cm="1">
        <f>IF(ISBLANK($A237),"",INDEX(Array_ElectricalCharges,MATCH($A237,List_ElectricityMeters,0),ROUNDUP(COLUMN()/3,0)-2))</f>
        <v/>
      </c>
      <c r="AI237" s="127"/>
      <c r="AJ237" s="137"/>
      <c r="AK237" s="58" t="str" cm="1">
        <f>IF(ISBLANK($A237),"",INDEX(Array_ElectricalCharges,MATCH($A237,List_ElectricityMeters,0),ROUNDUP(COLUMN()/3,0)-2))</f>
        <v/>
      </c>
      <c r="AL237" s="127"/>
      <c r="AM237" s="137"/>
      <c r="AN237" s="58" t="str" cm="1">
        <f>IF(ISBLANK($A237),"",INDEX(Array_ElectricalCharges,MATCH($A237,List_ElectricityMeters,0),ROUNDUP(COLUMN()/3,0)-2))</f>
        <v/>
      </c>
      <c r="AO237" s="127"/>
      <c r="AP237" s="137"/>
      <c r="AQ237" s="58" t="str" cm="1">
        <f>IF(ISBLANK($A237),"",INDEX(Array_ElectricalCharges,MATCH($A237,List_ElectricityMeters,0),ROUNDUP(COLUMN()/3,0)-2))</f>
        <v/>
      </c>
      <c r="AR237" s="127"/>
      <c r="AS237" s="137"/>
      <c r="AT237" s="58" t="str" cm="1">
        <f>IF(ISBLANK($A237),"",INDEX(Array_ElectricalCharges,MATCH($A237,List_ElectricityMeters,0),ROUNDUP(COLUMN()/3,0)-2))</f>
        <v/>
      </c>
      <c r="AU237" s="127"/>
      <c r="AV237" s="137"/>
      <c r="AW237" s="58" t="str" cm="1">
        <f>IF(ISBLANK($A237),"",INDEX(Array_ElectricalCharges,MATCH($A237,List_ElectricityMeters,0),ROUNDUP(COLUMN()/3,0)-2))</f>
        <v/>
      </c>
      <c r="AX237" s="127"/>
      <c r="AY237" s="137"/>
    </row>
    <row r="238" spans="1:51" x14ac:dyDescent="0.3">
      <c r="A238" s="126"/>
      <c r="B238" s="133"/>
      <c r="C238" s="134"/>
      <c r="D238" s="134"/>
      <c r="E238" s="135"/>
      <c r="F238" s="136"/>
      <c r="G238" s="58" t="str" cm="1">
        <f>IF(ISBLANK($A238),"",INDEX(Array_ElectricalCharges,MATCH($A238,List_ElectricityMeters,0),ROUNDUP(COLUMN()/3,0)-2))</f>
        <v/>
      </c>
      <c r="H238" s="127"/>
      <c r="I238" s="137"/>
      <c r="J238" s="58" t="str" cm="1">
        <f>IF(ISBLANK($A238),"",INDEX(Array_ElectricalCharges,MATCH($A238,List_ElectricityMeters,0),ROUNDUP(COLUMN()/3,0)-2))</f>
        <v/>
      </c>
      <c r="K238" s="127"/>
      <c r="L238" s="137"/>
      <c r="M238" s="58" t="str" cm="1">
        <f>IF(ISBLANK($A238),"",INDEX(Array_ElectricalCharges,MATCH($A238,List_ElectricityMeters,0),ROUNDUP(COLUMN()/3,0)-2))</f>
        <v/>
      </c>
      <c r="N238" s="127"/>
      <c r="O238" s="137"/>
      <c r="P238" s="58" t="str" cm="1">
        <f>IF(ISBLANK($A238),"",INDEX(Array_ElectricalCharges,MATCH($A238,List_ElectricityMeters,0),ROUNDUP(COLUMN()/3,0)-2))</f>
        <v/>
      </c>
      <c r="Q238" s="127"/>
      <c r="R238" s="137"/>
      <c r="S238" s="58" t="str" cm="1">
        <f>IF(ISBLANK($A238),"",INDEX(Array_ElectricalCharges,MATCH($A238,List_ElectricityMeters,0),ROUNDUP(COLUMN()/3,0)-2))</f>
        <v/>
      </c>
      <c r="T238" s="127"/>
      <c r="U238" s="137"/>
      <c r="V238" s="58" t="str" cm="1">
        <f>IF(ISBLANK($A238),"",INDEX(Array_ElectricalCharges,MATCH($A238,List_ElectricityMeters,0),ROUNDUP(COLUMN()/3,0)-2))</f>
        <v/>
      </c>
      <c r="W238" s="127"/>
      <c r="X238" s="137"/>
      <c r="Y238" s="58" t="str" cm="1">
        <f>IF(ISBLANK($A238),"",INDEX(Array_ElectricalCharges,MATCH($A238,List_ElectricityMeters,0),ROUNDUP(COLUMN()/3,0)-2))</f>
        <v/>
      </c>
      <c r="Z238" s="127"/>
      <c r="AA238" s="137"/>
      <c r="AB238" s="58" t="str" cm="1">
        <f>IF(ISBLANK($A238),"",INDEX(Array_ElectricalCharges,MATCH($A238,List_ElectricityMeters,0),ROUNDUP(COLUMN()/3,0)-2))</f>
        <v/>
      </c>
      <c r="AC238" s="127"/>
      <c r="AD238" s="137"/>
      <c r="AE238" s="58" t="str" cm="1">
        <f>IF(ISBLANK($A238),"",INDEX(Array_ElectricalCharges,MATCH($A238,List_ElectricityMeters,0),ROUNDUP(COLUMN()/3,0)-2))</f>
        <v/>
      </c>
      <c r="AF238" s="127"/>
      <c r="AG238" s="137"/>
      <c r="AH238" s="58" t="str" cm="1">
        <f>IF(ISBLANK($A238),"",INDEX(Array_ElectricalCharges,MATCH($A238,List_ElectricityMeters,0),ROUNDUP(COLUMN()/3,0)-2))</f>
        <v/>
      </c>
      <c r="AI238" s="127"/>
      <c r="AJ238" s="137"/>
      <c r="AK238" s="58" t="str" cm="1">
        <f>IF(ISBLANK($A238),"",INDEX(Array_ElectricalCharges,MATCH($A238,List_ElectricityMeters,0),ROUNDUP(COLUMN()/3,0)-2))</f>
        <v/>
      </c>
      <c r="AL238" s="127"/>
      <c r="AM238" s="137"/>
      <c r="AN238" s="58" t="str" cm="1">
        <f>IF(ISBLANK($A238),"",INDEX(Array_ElectricalCharges,MATCH($A238,List_ElectricityMeters,0),ROUNDUP(COLUMN()/3,0)-2))</f>
        <v/>
      </c>
      <c r="AO238" s="127"/>
      <c r="AP238" s="137"/>
      <c r="AQ238" s="58" t="str" cm="1">
        <f>IF(ISBLANK($A238),"",INDEX(Array_ElectricalCharges,MATCH($A238,List_ElectricityMeters,0),ROUNDUP(COLUMN()/3,0)-2))</f>
        <v/>
      </c>
      <c r="AR238" s="127"/>
      <c r="AS238" s="137"/>
      <c r="AT238" s="58" t="str" cm="1">
        <f>IF(ISBLANK($A238),"",INDEX(Array_ElectricalCharges,MATCH($A238,List_ElectricityMeters,0),ROUNDUP(COLUMN()/3,0)-2))</f>
        <v/>
      </c>
      <c r="AU238" s="127"/>
      <c r="AV238" s="137"/>
      <c r="AW238" s="58" t="str" cm="1">
        <f>IF(ISBLANK($A238),"",INDEX(Array_ElectricalCharges,MATCH($A238,List_ElectricityMeters,0),ROUNDUP(COLUMN()/3,0)-2))</f>
        <v/>
      </c>
      <c r="AX238" s="127"/>
      <c r="AY238" s="137"/>
    </row>
    <row r="239" spans="1:51" x14ac:dyDescent="0.3">
      <c r="A239" s="126"/>
      <c r="B239" s="133"/>
      <c r="C239" s="134"/>
      <c r="D239" s="134"/>
      <c r="E239" s="135"/>
      <c r="F239" s="136"/>
      <c r="G239" s="58" t="str" cm="1">
        <f>IF(ISBLANK($A239),"",INDEX(Array_ElectricalCharges,MATCH($A239,List_ElectricityMeters,0),ROUNDUP(COLUMN()/3,0)-2))</f>
        <v/>
      </c>
      <c r="H239" s="127"/>
      <c r="I239" s="137"/>
      <c r="J239" s="58" t="str" cm="1">
        <f>IF(ISBLANK($A239),"",INDEX(Array_ElectricalCharges,MATCH($A239,List_ElectricityMeters,0),ROUNDUP(COLUMN()/3,0)-2))</f>
        <v/>
      </c>
      <c r="K239" s="127"/>
      <c r="L239" s="137"/>
      <c r="M239" s="58" t="str" cm="1">
        <f>IF(ISBLANK($A239),"",INDEX(Array_ElectricalCharges,MATCH($A239,List_ElectricityMeters,0),ROUNDUP(COLUMN()/3,0)-2))</f>
        <v/>
      </c>
      <c r="N239" s="127"/>
      <c r="O239" s="137"/>
      <c r="P239" s="58" t="str" cm="1">
        <f>IF(ISBLANK($A239),"",INDEX(Array_ElectricalCharges,MATCH($A239,List_ElectricityMeters,0),ROUNDUP(COLUMN()/3,0)-2))</f>
        <v/>
      </c>
      <c r="Q239" s="127"/>
      <c r="R239" s="137"/>
      <c r="S239" s="58" t="str" cm="1">
        <f>IF(ISBLANK($A239),"",INDEX(Array_ElectricalCharges,MATCH($A239,List_ElectricityMeters,0),ROUNDUP(COLUMN()/3,0)-2))</f>
        <v/>
      </c>
      <c r="T239" s="127"/>
      <c r="U239" s="137"/>
      <c r="V239" s="58" t="str" cm="1">
        <f>IF(ISBLANK($A239),"",INDEX(Array_ElectricalCharges,MATCH($A239,List_ElectricityMeters,0),ROUNDUP(COLUMN()/3,0)-2))</f>
        <v/>
      </c>
      <c r="W239" s="127"/>
      <c r="X239" s="137"/>
      <c r="Y239" s="58" t="str" cm="1">
        <f>IF(ISBLANK($A239),"",INDEX(Array_ElectricalCharges,MATCH($A239,List_ElectricityMeters,0),ROUNDUP(COLUMN()/3,0)-2))</f>
        <v/>
      </c>
      <c r="Z239" s="127"/>
      <c r="AA239" s="137"/>
      <c r="AB239" s="58" t="str" cm="1">
        <f>IF(ISBLANK($A239),"",INDEX(Array_ElectricalCharges,MATCH($A239,List_ElectricityMeters,0),ROUNDUP(COLUMN()/3,0)-2))</f>
        <v/>
      </c>
      <c r="AC239" s="127"/>
      <c r="AD239" s="137"/>
      <c r="AE239" s="58" t="str" cm="1">
        <f>IF(ISBLANK($A239),"",INDEX(Array_ElectricalCharges,MATCH($A239,List_ElectricityMeters,0),ROUNDUP(COLUMN()/3,0)-2))</f>
        <v/>
      </c>
      <c r="AF239" s="127"/>
      <c r="AG239" s="137"/>
      <c r="AH239" s="58" t="str" cm="1">
        <f>IF(ISBLANK($A239),"",INDEX(Array_ElectricalCharges,MATCH($A239,List_ElectricityMeters,0),ROUNDUP(COLUMN()/3,0)-2))</f>
        <v/>
      </c>
      <c r="AI239" s="127"/>
      <c r="AJ239" s="137"/>
      <c r="AK239" s="58" t="str" cm="1">
        <f>IF(ISBLANK($A239),"",INDEX(Array_ElectricalCharges,MATCH($A239,List_ElectricityMeters,0),ROUNDUP(COLUMN()/3,0)-2))</f>
        <v/>
      </c>
      <c r="AL239" s="127"/>
      <c r="AM239" s="137"/>
      <c r="AN239" s="58" t="str" cm="1">
        <f>IF(ISBLANK($A239),"",INDEX(Array_ElectricalCharges,MATCH($A239,List_ElectricityMeters,0),ROUNDUP(COLUMN()/3,0)-2))</f>
        <v/>
      </c>
      <c r="AO239" s="127"/>
      <c r="AP239" s="137"/>
      <c r="AQ239" s="58" t="str" cm="1">
        <f>IF(ISBLANK($A239),"",INDEX(Array_ElectricalCharges,MATCH($A239,List_ElectricityMeters,0),ROUNDUP(COLUMN()/3,0)-2))</f>
        <v/>
      </c>
      <c r="AR239" s="127"/>
      <c r="AS239" s="137"/>
      <c r="AT239" s="58" t="str" cm="1">
        <f>IF(ISBLANK($A239),"",INDEX(Array_ElectricalCharges,MATCH($A239,List_ElectricityMeters,0),ROUNDUP(COLUMN()/3,0)-2))</f>
        <v/>
      </c>
      <c r="AU239" s="127"/>
      <c r="AV239" s="137"/>
      <c r="AW239" s="58" t="str" cm="1">
        <f>IF(ISBLANK($A239),"",INDEX(Array_ElectricalCharges,MATCH($A239,List_ElectricityMeters,0),ROUNDUP(COLUMN()/3,0)-2))</f>
        <v/>
      </c>
      <c r="AX239" s="127"/>
      <c r="AY239" s="137"/>
    </row>
    <row r="240" spans="1:51" x14ac:dyDescent="0.3">
      <c r="A240" s="126"/>
      <c r="B240" s="133"/>
      <c r="C240" s="134"/>
      <c r="D240" s="134"/>
      <c r="E240" s="135"/>
      <c r="F240" s="136"/>
      <c r="G240" s="58" t="str" cm="1">
        <f>IF(ISBLANK($A240),"",INDEX(Array_ElectricalCharges,MATCH($A240,List_ElectricityMeters,0),ROUNDUP(COLUMN()/3,0)-2))</f>
        <v/>
      </c>
      <c r="H240" s="127"/>
      <c r="I240" s="137"/>
      <c r="J240" s="58" t="str" cm="1">
        <f>IF(ISBLANK($A240),"",INDEX(Array_ElectricalCharges,MATCH($A240,List_ElectricityMeters,0),ROUNDUP(COLUMN()/3,0)-2))</f>
        <v/>
      </c>
      <c r="K240" s="127"/>
      <c r="L240" s="137"/>
      <c r="M240" s="58" t="str" cm="1">
        <f>IF(ISBLANK($A240),"",INDEX(Array_ElectricalCharges,MATCH($A240,List_ElectricityMeters,0),ROUNDUP(COLUMN()/3,0)-2))</f>
        <v/>
      </c>
      <c r="N240" s="127"/>
      <c r="O240" s="137"/>
      <c r="P240" s="58" t="str" cm="1">
        <f>IF(ISBLANK($A240),"",INDEX(Array_ElectricalCharges,MATCH($A240,List_ElectricityMeters,0),ROUNDUP(COLUMN()/3,0)-2))</f>
        <v/>
      </c>
      <c r="Q240" s="127"/>
      <c r="R240" s="137"/>
      <c r="S240" s="58" t="str" cm="1">
        <f>IF(ISBLANK($A240),"",INDEX(Array_ElectricalCharges,MATCH($A240,List_ElectricityMeters,0),ROUNDUP(COLUMN()/3,0)-2))</f>
        <v/>
      </c>
      <c r="T240" s="127"/>
      <c r="U240" s="137"/>
      <c r="V240" s="58" t="str" cm="1">
        <f>IF(ISBLANK($A240),"",INDEX(Array_ElectricalCharges,MATCH($A240,List_ElectricityMeters,0),ROUNDUP(COLUMN()/3,0)-2))</f>
        <v/>
      </c>
      <c r="W240" s="127"/>
      <c r="X240" s="137"/>
      <c r="Y240" s="58" t="str" cm="1">
        <f>IF(ISBLANK($A240),"",INDEX(Array_ElectricalCharges,MATCH($A240,List_ElectricityMeters,0),ROUNDUP(COLUMN()/3,0)-2))</f>
        <v/>
      </c>
      <c r="Z240" s="127"/>
      <c r="AA240" s="137"/>
      <c r="AB240" s="58" t="str" cm="1">
        <f>IF(ISBLANK($A240),"",INDEX(Array_ElectricalCharges,MATCH($A240,List_ElectricityMeters,0),ROUNDUP(COLUMN()/3,0)-2))</f>
        <v/>
      </c>
      <c r="AC240" s="127"/>
      <c r="AD240" s="137"/>
      <c r="AE240" s="58" t="str" cm="1">
        <f>IF(ISBLANK($A240),"",INDEX(Array_ElectricalCharges,MATCH($A240,List_ElectricityMeters,0),ROUNDUP(COLUMN()/3,0)-2))</f>
        <v/>
      </c>
      <c r="AF240" s="127"/>
      <c r="AG240" s="137"/>
      <c r="AH240" s="58" t="str" cm="1">
        <f>IF(ISBLANK($A240),"",INDEX(Array_ElectricalCharges,MATCH($A240,List_ElectricityMeters,0),ROUNDUP(COLUMN()/3,0)-2))</f>
        <v/>
      </c>
      <c r="AI240" s="127"/>
      <c r="AJ240" s="137"/>
      <c r="AK240" s="58" t="str" cm="1">
        <f>IF(ISBLANK($A240),"",INDEX(Array_ElectricalCharges,MATCH($A240,List_ElectricityMeters,0),ROUNDUP(COLUMN()/3,0)-2))</f>
        <v/>
      </c>
      <c r="AL240" s="127"/>
      <c r="AM240" s="137"/>
      <c r="AN240" s="58" t="str" cm="1">
        <f>IF(ISBLANK($A240),"",INDEX(Array_ElectricalCharges,MATCH($A240,List_ElectricityMeters,0),ROUNDUP(COLUMN()/3,0)-2))</f>
        <v/>
      </c>
      <c r="AO240" s="127"/>
      <c r="AP240" s="137"/>
      <c r="AQ240" s="58" t="str" cm="1">
        <f>IF(ISBLANK($A240),"",INDEX(Array_ElectricalCharges,MATCH($A240,List_ElectricityMeters,0),ROUNDUP(COLUMN()/3,0)-2))</f>
        <v/>
      </c>
      <c r="AR240" s="127"/>
      <c r="AS240" s="137"/>
      <c r="AT240" s="58" t="str" cm="1">
        <f>IF(ISBLANK($A240),"",INDEX(Array_ElectricalCharges,MATCH($A240,List_ElectricityMeters,0),ROUNDUP(COLUMN()/3,0)-2))</f>
        <v/>
      </c>
      <c r="AU240" s="127"/>
      <c r="AV240" s="137"/>
      <c r="AW240" s="58" t="str" cm="1">
        <f>IF(ISBLANK($A240),"",INDEX(Array_ElectricalCharges,MATCH($A240,List_ElectricityMeters,0),ROUNDUP(COLUMN()/3,0)-2))</f>
        <v/>
      </c>
      <c r="AX240" s="127"/>
      <c r="AY240" s="137"/>
    </row>
    <row r="241" spans="1:51" x14ac:dyDescent="0.3">
      <c r="A241" s="126"/>
      <c r="B241" s="133"/>
      <c r="C241" s="134"/>
      <c r="D241" s="134"/>
      <c r="E241" s="135"/>
      <c r="F241" s="136"/>
      <c r="G241" s="58" t="str" cm="1">
        <f>IF(ISBLANK($A241),"",INDEX(Array_ElectricalCharges,MATCH($A241,List_ElectricityMeters,0),ROUNDUP(COLUMN()/3,0)-2))</f>
        <v/>
      </c>
      <c r="H241" s="127"/>
      <c r="I241" s="137"/>
      <c r="J241" s="58" t="str" cm="1">
        <f>IF(ISBLANK($A241),"",INDEX(Array_ElectricalCharges,MATCH($A241,List_ElectricityMeters,0),ROUNDUP(COLUMN()/3,0)-2))</f>
        <v/>
      </c>
      <c r="K241" s="127"/>
      <c r="L241" s="137"/>
      <c r="M241" s="58" t="str" cm="1">
        <f>IF(ISBLANK($A241),"",INDEX(Array_ElectricalCharges,MATCH($A241,List_ElectricityMeters,0),ROUNDUP(COLUMN()/3,0)-2))</f>
        <v/>
      </c>
      <c r="N241" s="127"/>
      <c r="O241" s="137"/>
      <c r="P241" s="58" t="str" cm="1">
        <f>IF(ISBLANK($A241),"",INDEX(Array_ElectricalCharges,MATCH($A241,List_ElectricityMeters,0),ROUNDUP(COLUMN()/3,0)-2))</f>
        <v/>
      </c>
      <c r="Q241" s="127"/>
      <c r="R241" s="137"/>
      <c r="S241" s="58" t="str" cm="1">
        <f>IF(ISBLANK($A241),"",INDEX(Array_ElectricalCharges,MATCH($A241,List_ElectricityMeters,0),ROUNDUP(COLUMN()/3,0)-2))</f>
        <v/>
      </c>
      <c r="T241" s="127"/>
      <c r="U241" s="137"/>
      <c r="V241" s="58" t="str" cm="1">
        <f>IF(ISBLANK($A241),"",INDEX(Array_ElectricalCharges,MATCH($A241,List_ElectricityMeters,0),ROUNDUP(COLUMN()/3,0)-2))</f>
        <v/>
      </c>
      <c r="W241" s="127"/>
      <c r="X241" s="137"/>
      <c r="Y241" s="58" t="str" cm="1">
        <f>IF(ISBLANK($A241),"",INDEX(Array_ElectricalCharges,MATCH($A241,List_ElectricityMeters,0),ROUNDUP(COLUMN()/3,0)-2))</f>
        <v/>
      </c>
      <c r="Z241" s="127"/>
      <c r="AA241" s="137"/>
      <c r="AB241" s="58" t="str" cm="1">
        <f>IF(ISBLANK($A241),"",INDEX(Array_ElectricalCharges,MATCH($A241,List_ElectricityMeters,0),ROUNDUP(COLUMN()/3,0)-2))</f>
        <v/>
      </c>
      <c r="AC241" s="127"/>
      <c r="AD241" s="137"/>
      <c r="AE241" s="58" t="str" cm="1">
        <f>IF(ISBLANK($A241),"",INDEX(Array_ElectricalCharges,MATCH($A241,List_ElectricityMeters,0),ROUNDUP(COLUMN()/3,0)-2))</f>
        <v/>
      </c>
      <c r="AF241" s="127"/>
      <c r="AG241" s="137"/>
      <c r="AH241" s="58" t="str" cm="1">
        <f>IF(ISBLANK($A241),"",INDEX(Array_ElectricalCharges,MATCH($A241,List_ElectricityMeters,0),ROUNDUP(COLUMN()/3,0)-2))</f>
        <v/>
      </c>
      <c r="AI241" s="127"/>
      <c r="AJ241" s="137"/>
      <c r="AK241" s="58" t="str" cm="1">
        <f>IF(ISBLANK($A241),"",INDEX(Array_ElectricalCharges,MATCH($A241,List_ElectricityMeters,0),ROUNDUP(COLUMN()/3,0)-2))</f>
        <v/>
      </c>
      <c r="AL241" s="127"/>
      <c r="AM241" s="137"/>
      <c r="AN241" s="58" t="str" cm="1">
        <f>IF(ISBLANK($A241),"",INDEX(Array_ElectricalCharges,MATCH($A241,List_ElectricityMeters,0),ROUNDUP(COLUMN()/3,0)-2))</f>
        <v/>
      </c>
      <c r="AO241" s="127"/>
      <c r="AP241" s="137"/>
      <c r="AQ241" s="58" t="str" cm="1">
        <f>IF(ISBLANK($A241),"",INDEX(Array_ElectricalCharges,MATCH($A241,List_ElectricityMeters,0),ROUNDUP(COLUMN()/3,0)-2))</f>
        <v/>
      </c>
      <c r="AR241" s="127"/>
      <c r="AS241" s="137"/>
      <c r="AT241" s="58" t="str" cm="1">
        <f>IF(ISBLANK($A241),"",INDEX(Array_ElectricalCharges,MATCH($A241,List_ElectricityMeters,0),ROUNDUP(COLUMN()/3,0)-2))</f>
        <v/>
      </c>
      <c r="AU241" s="127"/>
      <c r="AV241" s="137"/>
      <c r="AW241" s="58" t="str" cm="1">
        <f>IF(ISBLANK($A241),"",INDEX(Array_ElectricalCharges,MATCH($A241,List_ElectricityMeters,0),ROUNDUP(COLUMN()/3,0)-2))</f>
        <v/>
      </c>
      <c r="AX241" s="127"/>
      <c r="AY241" s="137"/>
    </row>
    <row r="242" spans="1:51" x14ac:dyDescent="0.3">
      <c r="A242" s="126"/>
      <c r="B242" s="133"/>
      <c r="C242" s="134"/>
      <c r="D242" s="134"/>
      <c r="E242" s="135"/>
      <c r="F242" s="136"/>
      <c r="G242" s="58" t="str" cm="1">
        <f>IF(ISBLANK($A242),"",INDEX(Array_ElectricalCharges,MATCH($A242,List_ElectricityMeters,0),ROUNDUP(COLUMN()/3,0)-2))</f>
        <v/>
      </c>
      <c r="H242" s="127"/>
      <c r="I242" s="137"/>
      <c r="J242" s="58" t="str" cm="1">
        <f>IF(ISBLANK($A242),"",INDEX(Array_ElectricalCharges,MATCH($A242,List_ElectricityMeters,0),ROUNDUP(COLUMN()/3,0)-2))</f>
        <v/>
      </c>
      <c r="K242" s="127"/>
      <c r="L242" s="137"/>
      <c r="M242" s="58" t="str" cm="1">
        <f>IF(ISBLANK($A242),"",INDEX(Array_ElectricalCharges,MATCH($A242,List_ElectricityMeters,0),ROUNDUP(COLUMN()/3,0)-2))</f>
        <v/>
      </c>
      <c r="N242" s="127"/>
      <c r="O242" s="137"/>
      <c r="P242" s="58" t="str" cm="1">
        <f>IF(ISBLANK($A242),"",INDEX(Array_ElectricalCharges,MATCH($A242,List_ElectricityMeters,0),ROUNDUP(COLUMN()/3,0)-2))</f>
        <v/>
      </c>
      <c r="Q242" s="127"/>
      <c r="R242" s="137"/>
      <c r="S242" s="58" t="str" cm="1">
        <f>IF(ISBLANK($A242),"",INDEX(Array_ElectricalCharges,MATCH($A242,List_ElectricityMeters,0),ROUNDUP(COLUMN()/3,0)-2))</f>
        <v/>
      </c>
      <c r="T242" s="127"/>
      <c r="U242" s="137"/>
      <c r="V242" s="58" t="str" cm="1">
        <f>IF(ISBLANK($A242),"",INDEX(Array_ElectricalCharges,MATCH($A242,List_ElectricityMeters,0),ROUNDUP(COLUMN()/3,0)-2))</f>
        <v/>
      </c>
      <c r="W242" s="127"/>
      <c r="X242" s="137"/>
      <c r="Y242" s="58" t="str" cm="1">
        <f>IF(ISBLANK($A242),"",INDEX(Array_ElectricalCharges,MATCH($A242,List_ElectricityMeters,0),ROUNDUP(COLUMN()/3,0)-2))</f>
        <v/>
      </c>
      <c r="Z242" s="127"/>
      <c r="AA242" s="137"/>
      <c r="AB242" s="58" t="str" cm="1">
        <f>IF(ISBLANK($A242),"",INDEX(Array_ElectricalCharges,MATCH($A242,List_ElectricityMeters,0),ROUNDUP(COLUMN()/3,0)-2))</f>
        <v/>
      </c>
      <c r="AC242" s="127"/>
      <c r="AD242" s="137"/>
      <c r="AE242" s="58" t="str" cm="1">
        <f>IF(ISBLANK($A242),"",INDEX(Array_ElectricalCharges,MATCH($A242,List_ElectricityMeters,0),ROUNDUP(COLUMN()/3,0)-2))</f>
        <v/>
      </c>
      <c r="AF242" s="127"/>
      <c r="AG242" s="137"/>
      <c r="AH242" s="58" t="str" cm="1">
        <f>IF(ISBLANK($A242),"",INDEX(Array_ElectricalCharges,MATCH($A242,List_ElectricityMeters,0),ROUNDUP(COLUMN()/3,0)-2))</f>
        <v/>
      </c>
      <c r="AI242" s="127"/>
      <c r="AJ242" s="137"/>
      <c r="AK242" s="58" t="str" cm="1">
        <f>IF(ISBLANK($A242),"",INDEX(Array_ElectricalCharges,MATCH($A242,List_ElectricityMeters,0),ROUNDUP(COLUMN()/3,0)-2))</f>
        <v/>
      </c>
      <c r="AL242" s="127"/>
      <c r="AM242" s="137"/>
      <c r="AN242" s="58" t="str" cm="1">
        <f>IF(ISBLANK($A242),"",INDEX(Array_ElectricalCharges,MATCH($A242,List_ElectricityMeters,0),ROUNDUP(COLUMN()/3,0)-2))</f>
        <v/>
      </c>
      <c r="AO242" s="127"/>
      <c r="AP242" s="137"/>
      <c r="AQ242" s="58" t="str" cm="1">
        <f>IF(ISBLANK($A242),"",INDEX(Array_ElectricalCharges,MATCH($A242,List_ElectricityMeters,0),ROUNDUP(COLUMN()/3,0)-2))</f>
        <v/>
      </c>
      <c r="AR242" s="127"/>
      <c r="AS242" s="137"/>
      <c r="AT242" s="58" t="str" cm="1">
        <f>IF(ISBLANK($A242),"",INDEX(Array_ElectricalCharges,MATCH($A242,List_ElectricityMeters,0),ROUNDUP(COLUMN()/3,0)-2))</f>
        <v/>
      </c>
      <c r="AU242" s="127"/>
      <c r="AV242" s="137"/>
      <c r="AW242" s="58" t="str" cm="1">
        <f>IF(ISBLANK($A242),"",INDEX(Array_ElectricalCharges,MATCH($A242,List_ElectricityMeters,0),ROUNDUP(COLUMN()/3,0)-2))</f>
        <v/>
      </c>
      <c r="AX242" s="127"/>
      <c r="AY242" s="137"/>
    </row>
    <row r="243" spans="1:51" x14ac:dyDescent="0.3">
      <c r="A243" s="126"/>
      <c r="B243" s="133"/>
      <c r="C243" s="134"/>
      <c r="D243" s="134"/>
      <c r="E243" s="135"/>
      <c r="F243" s="136"/>
      <c r="G243" s="58" t="str" cm="1">
        <f>IF(ISBLANK($A243),"",INDEX(Array_ElectricalCharges,MATCH($A243,List_ElectricityMeters,0),ROUNDUP(COLUMN()/3,0)-2))</f>
        <v/>
      </c>
      <c r="H243" s="127"/>
      <c r="I243" s="137"/>
      <c r="J243" s="58" t="str" cm="1">
        <f>IF(ISBLANK($A243),"",INDEX(Array_ElectricalCharges,MATCH($A243,List_ElectricityMeters,0),ROUNDUP(COLUMN()/3,0)-2))</f>
        <v/>
      </c>
      <c r="K243" s="127"/>
      <c r="L243" s="137"/>
      <c r="M243" s="58" t="str" cm="1">
        <f>IF(ISBLANK($A243),"",INDEX(Array_ElectricalCharges,MATCH($A243,List_ElectricityMeters,0),ROUNDUP(COLUMN()/3,0)-2))</f>
        <v/>
      </c>
      <c r="N243" s="127"/>
      <c r="O243" s="137"/>
      <c r="P243" s="58" t="str" cm="1">
        <f>IF(ISBLANK($A243),"",INDEX(Array_ElectricalCharges,MATCH($A243,List_ElectricityMeters,0),ROUNDUP(COLUMN()/3,0)-2))</f>
        <v/>
      </c>
      <c r="Q243" s="127"/>
      <c r="R243" s="137"/>
      <c r="S243" s="58" t="str" cm="1">
        <f>IF(ISBLANK($A243),"",INDEX(Array_ElectricalCharges,MATCH($A243,List_ElectricityMeters,0),ROUNDUP(COLUMN()/3,0)-2))</f>
        <v/>
      </c>
      <c r="T243" s="127"/>
      <c r="U243" s="137"/>
      <c r="V243" s="58" t="str" cm="1">
        <f>IF(ISBLANK($A243),"",INDEX(Array_ElectricalCharges,MATCH($A243,List_ElectricityMeters,0),ROUNDUP(COLUMN()/3,0)-2))</f>
        <v/>
      </c>
      <c r="W243" s="127"/>
      <c r="X243" s="137"/>
      <c r="Y243" s="58" t="str" cm="1">
        <f>IF(ISBLANK($A243),"",INDEX(Array_ElectricalCharges,MATCH($A243,List_ElectricityMeters,0),ROUNDUP(COLUMN()/3,0)-2))</f>
        <v/>
      </c>
      <c r="Z243" s="127"/>
      <c r="AA243" s="137"/>
      <c r="AB243" s="58" t="str" cm="1">
        <f>IF(ISBLANK($A243),"",INDEX(Array_ElectricalCharges,MATCH($A243,List_ElectricityMeters,0),ROUNDUP(COLUMN()/3,0)-2))</f>
        <v/>
      </c>
      <c r="AC243" s="127"/>
      <c r="AD243" s="137"/>
      <c r="AE243" s="58" t="str" cm="1">
        <f>IF(ISBLANK($A243),"",INDEX(Array_ElectricalCharges,MATCH($A243,List_ElectricityMeters,0),ROUNDUP(COLUMN()/3,0)-2))</f>
        <v/>
      </c>
      <c r="AF243" s="127"/>
      <c r="AG243" s="137"/>
      <c r="AH243" s="58" t="str" cm="1">
        <f>IF(ISBLANK($A243),"",INDEX(Array_ElectricalCharges,MATCH($A243,List_ElectricityMeters,0),ROUNDUP(COLUMN()/3,0)-2))</f>
        <v/>
      </c>
      <c r="AI243" s="127"/>
      <c r="AJ243" s="137"/>
      <c r="AK243" s="58" t="str" cm="1">
        <f>IF(ISBLANK($A243),"",INDEX(Array_ElectricalCharges,MATCH($A243,List_ElectricityMeters,0),ROUNDUP(COLUMN()/3,0)-2))</f>
        <v/>
      </c>
      <c r="AL243" s="127"/>
      <c r="AM243" s="137"/>
      <c r="AN243" s="58" t="str" cm="1">
        <f>IF(ISBLANK($A243),"",INDEX(Array_ElectricalCharges,MATCH($A243,List_ElectricityMeters,0),ROUNDUP(COLUMN()/3,0)-2))</f>
        <v/>
      </c>
      <c r="AO243" s="127"/>
      <c r="AP243" s="137"/>
      <c r="AQ243" s="58" t="str" cm="1">
        <f>IF(ISBLANK($A243),"",INDEX(Array_ElectricalCharges,MATCH($A243,List_ElectricityMeters,0),ROUNDUP(COLUMN()/3,0)-2))</f>
        <v/>
      </c>
      <c r="AR243" s="127"/>
      <c r="AS243" s="137"/>
      <c r="AT243" s="58" t="str" cm="1">
        <f>IF(ISBLANK($A243),"",INDEX(Array_ElectricalCharges,MATCH($A243,List_ElectricityMeters,0),ROUNDUP(COLUMN()/3,0)-2))</f>
        <v/>
      </c>
      <c r="AU243" s="127"/>
      <c r="AV243" s="137"/>
      <c r="AW243" s="58" t="str" cm="1">
        <f>IF(ISBLANK($A243),"",INDEX(Array_ElectricalCharges,MATCH($A243,List_ElectricityMeters,0),ROUNDUP(COLUMN()/3,0)-2))</f>
        <v/>
      </c>
      <c r="AX243" s="127"/>
      <c r="AY243" s="137"/>
    </row>
    <row r="244" spans="1:51" x14ac:dyDescent="0.3">
      <c r="A244" s="126"/>
      <c r="B244" s="133"/>
      <c r="C244" s="134"/>
      <c r="D244" s="134"/>
      <c r="E244" s="135"/>
      <c r="F244" s="136"/>
      <c r="G244" s="58" t="str" cm="1">
        <f>IF(ISBLANK($A244),"",INDEX(Array_ElectricalCharges,MATCH($A244,List_ElectricityMeters,0),ROUNDUP(COLUMN()/3,0)-2))</f>
        <v/>
      </c>
      <c r="H244" s="127"/>
      <c r="I244" s="137"/>
      <c r="J244" s="58" t="str" cm="1">
        <f>IF(ISBLANK($A244),"",INDEX(Array_ElectricalCharges,MATCH($A244,List_ElectricityMeters,0),ROUNDUP(COLUMN()/3,0)-2))</f>
        <v/>
      </c>
      <c r="K244" s="127"/>
      <c r="L244" s="137"/>
      <c r="M244" s="58" t="str" cm="1">
        <f>IF(ISBLANK($A244),"",INDEX(Array_ElectricalCharges,MATCH($A244,List_ElectricityMeters,0),ROUNDUP(COLUMN()/3,0)-2))</f>
        <v/>
      </c>
      <c r="N244" s="127"/>
      <c r="O244" s="137"/>
      <c r="P244" s="58" t="str" cm="1">
        <f>IF(ISBLANK($A244),"",INDEX(Array_ElectricalCharges,MATCH($A244,List_ElectricityMeters,0),ROUNDUP(COLUMN()/3,0)-2))</f>
        <v/>
      </c>
      <c r="Q244" s="127"/>
      <c r="R244" s="137"/>
      <c r="S244" s="58" t="str" cm="1">
        <f>IF(ISBLANK($A244),"",INDEX(Array_ElectricalCharges,MATCH($A244,List_ElectricityMeters,0),ROUNDUP(COLUMN()/3,0)-2))</f>
        <v/>
      </c>
      <c r="T244" s="127"/>
      <c r="U244" s="137"/>
      <c r="V244" s="58" t="str" cm="1">
        <f>IF(ISBLANK($A244),"",INDEX(Array_ElectricalCharges,MATCH($A244,List_ElectricityMeters,0),ROUNDUP(COLUMN()/3,0)-2))</f>
        <v/>
      </c>
      <c r="W244" s="127"/>
      <c r="X244" s="137"/>
      <c r="Y244" s="58" t="str" cm="1">
        <f>IF(ISBLANK($A244),"",INDEX(Array_ElectricalCharges,MATCH($A244,List_ElectricityMeters,0),ROUNDUP(COLUMN()/3,0)-2))</f>
        <v/>
      </c>
      <c r="Z244" s="127"/>
      <c r="AA244" s="137"/>
      <c r="AB244" s="58" t="str" cm="1">
        <f>IF(ISBLANK($A244),"",INDEX(Array_ElectricalCharges,MATCH($A244,List_ElectricityMeters,0),ROUNDUP(COLUMN()/3,0)-2))</f>
        <v/>
      </c>
      <c r="AC244" s="127"/>
      <c r="AD244" s="137"/>
      <c r="AE244" s="58" t="str" cm="1">
        <f>IF(ISBLANK($A244),"",INDEX(Array_ElectricalCharges,MATCH($A244,List_ElectricityMeters,0),ROUNDUP(COLUMN()/3,0)-2))</f>
        <v/>
      </c>
      <c r="AF244" s="127"/>
      <c r="AG244" s="137"/>
      <c r="AH244" s="58" t="str" cm="1">
        <f>IF(ISBLANK($A244),"",INDEX(Array_ElectricalCharges,MATCH($A244,List_ElectricityMeters,0),ROUNDUP(COLUMN()/3,0)-2))</f>
        <v/>
      </c>
      <c r="AI244" s="127"/>
      <c r="AJ244" s="137"/>
      <c r="AK244" s="58" t="str" cm="1">
        <f>IF(ISBLANK($A244),"",INDEX(Array_ElectricalCharges,MATCH($A244,List_ElectricityMeters,0),ROUNDUP(COLUMN()/3,0)-2))</f>
        <v/>
      </c>
      <c r="AL244" s="127"/>
      <c r="AM244" s="137"/>
      <c r="AN244" s="58" t="str" cm="1">
        <f>IF(ISBLANK($A244),"",INDEX(Array_ElectricalCharges,MATCH($A244,List_ElectricityMeters,0),ROUNDUP(COLUMN()/3,0)-2))</f>
        <v/>
      </c>
      <c r="AO244" s="127"/>
      <c r="AP244" s="137"/>
      <c r="AQ244" s="58" t="str" cm="1">
        <f>IF(ISBLANK($A244),"",INDEX(Array_ElectricalCharges,MATCH($A244,List_ElectricityMeters,0),ROUNDUP(COLUMN()/3,0)-2))</f>
        <v/>
      </c>
      <c r="AR244" s="127"/>
      <c r="AS244" s="137"/>
      <c r="AT244" s="58" t="str" cm="1">
        <f>IF(ISBLANK($A244),"",INDEX(Array_ElectricalCharges,MATCH($A244,List_ElectricityMeters,0),ROUNDUP(COLUMN()/3,0)-2))</f>
        <v/>
      </c>
      <c r="AU244" s="127"/>
      <c r="AV244" s="137"/>
      <c r="AW244" s="58" t="str" cm="1">
        <f>IF(ISBLANK($A244),"",INDEX(Array_ElectricalCharges,MATCH($A244,List_ElectricityMeters,0),ROUNDUP(COLUMN()/3,0)-2))</f>
        <v/>
      </c>
      <c r="AX244" s="127"/>
      <c r="AY244" s="137"/>
    </row>
    <row r="245" spans="1:51" x14ac:dyDescent="0.3">
      <c r="A245" s="126"/>
      <c r="B245" s="133"/>
      <c r="C245" s="134"/>
      <c r="D245" s="134"/>
      <c r="E245" s="135"/>
      <c r="F245" s="136"/>
      <c r="G245" s="58" t="str" cm="1">
        <f>IF(ISBLANK($A245),"",INDEX(Array_ElectricalCharges,MATCH($A245,List_ElectricityMeters,0),ROUNDUP(COLUMN()/3,0)-2))</f>
        <v/>
      </c>
      <c r="H245" s="127"/>
      <c r="I245" s="137"/>
      <c r="J245" s="58" t="str" cm="1">
        <f>IF(ISBLANK($A245),"",INDEX(Array_ElectricalCharges,MATCH($A245,List_ElectricityMeters,0),ROUNDUP(COLUMN()/3,0)-2))</f>
        <v/>
      </c>
      <c r="K245" s="127"/>
      <c r="L245" s="137"/>
      <c r="M245" s="58" t="str" cm="1">
        <f>IF(ISBLANK($A245),"",INDEX(Array_ElectricalCharges,MATCH($A245,List_ElectricityMeters,0),ROUNDUP(COLUMN()/3,0)-2))</f>
        <v/>
      </c>
      <c r="N245" s="127"/>
      <c r="O245" s="137"/>
      <c r="P245" s="58" t="str" cm="1">
        <f>IF(ISBLANK($A245),"",INDEX(Array_ElectricalCharges,MATCH($A245,List_ElectricityMeters,0),ROUNDUP(COLUMN()/3,0)-2))</f>
        <v/>
      </c>
      <c r="Q245" s="127"/>
      <c r="R245" s="137"/>
      <c r="S245" s="58" t="str" cm="1">
        <f>IF(ISBLANK($A245),"",INDEX(Array_ElectricalCharges,MATCH($A245,List_ElectricityMeters,0),ROUNDUP(COLUMN()/3,0)-2))</f>
        <v/>
      </c>
      <c r="T245" s="127"/>
      <c r="U245" s="137"/>
      <c r="V245" s="58" t="str" cm="1">
        <f>IF(ISBLANK($A245),"",INDEX(Array_ElectricalCharges,MATCH($A245,List_ElectricityMeters,0),ROUNDUP(COLUMN()/3,0)-2))</f>
        <v/>
      </c>
      <c r="W245" s="127"/>
      <c r="X245" s="137"/>
      <c r="Y245" s="58" t="str" cm="1">
        <f>IF(ISBLANK($A245),"",INDEX(Array_ElectricalCharges,MATCH($A245,List_ElectricityMeters,0),ROUNDUP(COLUMN()/3,0)-2))</f>
        <v/>
      </c>
      <c r="Z245" s="127"/>
      <c r="AA245" s="137"/>
      <c r="AB245" s="58" t="str" cm="1">
        <f>IF(ISBLANK($A245),"",INDEX(Array_ElectricalCharges,MATCH($A245,List_ElectricityMeters,0),ROUNDUP(COLUMN()/3,0)-2))</f>
        <v/>
      </c>
      <c r="AC245" s="127"/>
      <c r="AD245" s="137"/>
      <c r="AE245" s="58" t="str" cm="1">
        <f>IF(ISBLANK($A245),"",INDEX(Array_ElectricalCharges,MATCH($A245,List_ElectricityMeters,0),ROUNDUP(COLUMN()/3,0)-2))</f>
        <v/>
      </c>
      <c r="AF245" s="127"/>
      <c r="AG245" s="137"/>
      <c r="AH245" s="58" t="str" cm="1">
        <f>IF(ISBLANK($A245),"",INDEX(Array_ElectricalCharges,MATCH($A245,List_ElectricityMeters,0),ROUNDUP(COLUMN()/3,0)-2))</f>
        <v/>
      </c>
      <c r="AI245" s="127"/>
      <c r="AJ245" s="137"/>
      <c r="AK245" s="58" t="str" cm="1">
        <f>IF(ISBLANK($A245),"",INDEX(Array_ElectricalCharges,MATCH($A245,List_ElectricityMeters,0),ROUNDUP(COLUMN()/3,0)-2))</f>
        <v/>
      </c>
      <c r="AL245" s="127"/>
      <c r="AM245" s="137"/>
      <c r="AN245" s="58" t="str" cm="1">
        <f>IF(ISBLANK($A245),"",INDEX(Array_ElectricalCharges,MATCH($A245,List_ElectricityMeters,0),ROUNDUP(COLUMN()/3,0)-2))</f>
        <v/>
      </c>
      <c r="AO245" s="127"/>
      <c r="AP245" s="137"/>
      <c r="AQ245" s="58" t="str" cm="1">
        <f>IF(ISBLANK($A245),"",INDEX(Array_ElectricalCharges,MATCH($A245,List_ElectricityMeters,0),ROUNDUP(COLUMN()/3,0)-2))</f>
        <v/>
      </c>
      <c r="AR245" s="127"/>
      <c r="AS245" s="137"/>
      <c r="AT245" s="58" t="str" cm="1">
        <f>IF(ISBLANK($A245),"",INDEX(Array_ElectricalCharges,MATCH($A245,List_ElectricityMeters,0),ROUNDUP(COLUMN()/3,0)-2))</f>
        <v/>
      </c>
      <c r="AU245" s="127"/>
      <c r="AV245" s="137"/>
      <c r="AW245" s="58" t="str" cm="1">
        <f>IF(ISBLANK($A245),"",INDEX(Array_ElectricalCharges,MATCH($A245,List_ElectricityMeters,0),ROUNDUP(COLUMN()/3,0)-2))</f>
        <v/>
      </c>
      <c r="AX245" s="127"/>
      <c r="AY245" s="137"/>
    </row>
    <row r="246" spans="1:51" x14ac:dyDescent="0.3">
      <c r="A246" s="126"/>
      <c r="B246" s="133"/>
      <c r="C246" s="134"/>
      <c r="D246" s="134"/>
      <c r="E246" s="135"/>
      <c r="F246" s="136"/>
      <c r="G246" s="58" t="str" cm="1">
        <f>IF(ISBLANK($A246),"",INDEX(Array_ElectricalCharges,MATCH($A246,List_ElectricityMeters,0),ROUNDUP(COLUMN()/3,0)-2))</f>
        <v/>
      </c>
      <c r="H246" s="127"/>
      <c r="I246" s="137"/>
      <c r="J246" s="58" t="str" cm="1">
        <f>IF(ISBLANK($A246),"",INDEX(Array_ElectricalCharges,MATCH($A246,List_ElectricityMeters,0),ROUNDUP(COLUMN()/3,0)-2))</f>
        <v/>
      </c>
      <c r="K246" s="127"/>
      <c r="L246" s="137"/>
      <c r="M246" s="58" t="str" cm="1">
        <f>IF(ISBLANK($A246),"",INDEX(Array_ElectricalCharges,MATCH($A246,List_ElectricityMeters,0),ROUNDUP(COLUMN()/3,0)-2))</f>
        <v/>
      </c>
      <c r="N246" s="127"/>
      <c r="O246" s="137"/>
      <c r="P246" s="58" t="str" cm="1">
        <f>IF(ISBLANK($A246),"",INDEX(Array_ElectricalCharges,MATCH($A246,List_ElectricityMeters,0),ROUNDUP(COLUMN()/3,0)-2))</f>
        <v/>
      </c>
      <c r="Q246" s="127"/>
      <c r="R246" s="137"/>
      <c r="S246" s="58" t="str" cm="1">
        <f>IF(ISBLANK($A246),"",INDEX(Array_ElectricalCharges,MATCH($A246,List_ElectricityMeters,0),ROUNDUP(COLUMN()/3,0)-2))</f>
        <v/>
      </c>
      <c r="T246" s="127"/>
      <c r="U246" s="137"/>
      <c r="V246" s="58" t="str" cm="1">
        <f>IF(ISBLANK($A246),"",INDEX(Array_ElectricalCharges,MATCH($A246,List_ElectricityMeters,0),ROUNDUP(COLUMN()/3,0)-2))</f>
        <v/>
      </c>
      <c r="W246" s="127"/>
      <c r="X246" s="137"/>
      <c r="Y246" s="58" t="str" cm="1">
        <f>IF(ISBLANK($A246),"",INDEX(Array_ElectricalCharges,MATCH($A246,List_ElectricityMeters,0),ROUNDUP(COLUMN()/3,0)-2))</f>
        <v/>
      </c>
      <c r="Z246" s="127"/>
      <c r="AA246" s="137"/>
      <c r="AB246" s="58" t="str" cm="1">
        <f>IF(ISBLANK($A246),"",INDEX(Array_ElectricalCharges,MATCH($A246,List_ElectricityMeters,0),ROUNDUP(COLUMN()/3,0)-2))</f>
        <v/>
      </c>
      <c r="AC246" s="127"/>
      <c r="AD246" s="137"/>
      <c r="AE246" s="58" t="str" cm="1">
        <f>IF(ISBLANK($A246),"",INDEX(Array_ElectricalCharges,MATCH($A246,List_ElectricityMeters,0),ROUNDUP(COLUMN()/3,0)-2))</f>
        <v/>
      </c>
      <c r="AF246" s="127"/>
      <c r="AG246" s="137"/>
      <c r="AH246" s="58" t="str" cm="1">
        <f>IF(ISBLANK($A246),"",INDEX(Array_ElectricalCharges,MATCH($A246,List_ElectricityMeters,0),ROUNDUP(COLUMN()/3,0)-2))</f>
        <v/>
      </c>
      <c r="AI246" s="127"/>
      <c r="AJ246" s="137"/>
      <c r="AK246" s="58" t="str" cm="1">
        <f>IF(ISBLANK($A246),"",INDEX(Array_ElectricalCharges,MATCH($A246,List_ElectricityMeters,0),ROUNDUP(COLUMN()/3,0)-2))</f>
        <v/>
      </c>
      <c r="AL246" s="127"/>
      <c r="AM246" s="137"/>
      <c r="AN246" s="58" t="str" cm="1">
        <f>IF(ISBLANK($A246),"",INDEX(Array_ElectricalCharges,MATCH($A246,List_ElectricityMeters,0),ROUNDUP(COLUMN()/3,0)-2))</f>
        <v/>
      </c>
      <c r="AO246" s="127"/>
      <c r="AP246" s="137"/>
      <c r="AQ246" s="58" t="str" cm="1">
        <f>IF(ISBLANK($A246),"",INDEX(Array_ElectricalCharges,MATCH($A246,List_ElectricityMeters,0),ROUNDUP(COLUMN()/3,0)-2))</f>
        <v/>
      </c>
      <c r="AR246" s="127"/>
      <c r="AS246" s="137"/>
      <c r="AT246" s="58" t="str" cm="1">
        <f>IF(ISBLANK($A246),"",INDEX(Array_ElectricalCharges,MATCH($A246,List_ElectricityMeters,0),ROUNDUP(COLUMN()/3,0)-2))</f>
        <v/>
      </c>
      <c r="AU246" s="127"/>
      <c r="AV246" s="137"/>
      <c r="AW246" s="58" t="str" cm="1">
        <f>IF(ISBLANK($A246),"",INDEX(Array_ElectricalCharges,MATCH($A246,List_ElectricityMeters,0),ROUNDUP(COLUMN()/3,0)-2))</f>
        <v/>
      </c>
      <c r="AX246" s="127"/>
      <c r="AY246" s="137"/>
    </row>
    <row r="247" spans="1:51" x14ac:dyDescent="0.3">
      <c r="A247" s="126"/>
      <c r="B247" s="133"/>
      <c r="C247" s="134"/>
      <c r="D247" s="134"/>
      <c r="E247" s="135"/>
      <c r="F247" s="136"/>
      <c r="G247" s="58" t="str" cm="1">
        <f>IF(ISBLANK($A247),"",INDEX(Array_ElectricalCharges,MATCH($A247,List_ElectricityMeters,0),ROUNDUP(COLUMN()/3,0)-2))</f>
        <v/>
      </c>
      <c r="H247" s="127"/>
      <c r="I247" s="137"/>
      <c r="J247" s="58" t="str" cm="1">
        <f>IF(ISBLANK($A247),"",INDEX(Array_ElectricalCharges,MATCH($A247,List_ElectricityMeters,0),ROUNDUP(COLUMN()/3,0)-2))</f>
        <v/>
      </c>
      <c r="K247" s="127"/>
      <c r="L247" s="137"/>
      <c r="M247" s="58" t="str" cm="1">
        <f>IF(ISBLANK($A247),"",INDEX(Array_ElectricalCharges,MATCH($A247,List_ElectricityMeters,0),ROUNDUP(COLUMN()/3,0)-2))</f>
        <v/>
      </c>
      <c r="N247" s="127"/>
      <c r="O247" s="137"/>
      <c r="P247" s="58" t="str" cm="1">
        <f>IF(ISBLANK($A247),"",INDEX(Array_ElectricalCharges,MATCH($A247,List_ElectricityMeters,0),ROUNDUP(COLUMN()/3,0)-2))</f>
        <v/>
      </c>
      <c r="Q247" s="127"/>
      <c r="R247" s="137"/>
      <c r="S247" s="58" t="str" cm="1">
        <f>IF(ISBLANK($A247),"",INDEX(Array_ElectricalCharges,MATCH($A247,List_ElectricityMeters,0),ROUNDUP(COLUMN()/3,0)-2))</f>
        <v/>
      </c>
      <c r="T247" s="127"/>
      <c r="U247" s="137"/>
      <c r="V247" s="58" t="str" cm="1">
        <f>IF(ISBLANK($A247),"",INDEX(Array_ElectricalCharges,MATCH($A247,List_ElectricityMeters,0),ROUNDUP(COLUMN()/3,0)-2))</f>
        <v/>
      </c>
      <c r="W247" s="127"/>
      <c r="X247" s="137"/>
      <c r="Y247" s="58" t="str" cm="1">
        <f>IF(ISBLANK($A247),"",INDEX(Array_ElectricalCharges,MATCH($A247,List_ElectricityMeters,0),ROUNDUP(COLUMN()/3,0)-2))</f>
        <v/>
      </c>
      <c r="Z247" s="127"/>
      <c r="AA247" s="137"/>
      <c r="AB247" s="58" t="str" cm="1">
        <f>IF(ISBLANK($A247),"",INDEX(Array_ElectricalCharges,MATCH($A247,List_ElectricityMeters,0),ROUNDUP(COLUMN()/3,0)-2))</f>
        <v/>
      </c>
      <c r="AC247" s="127"/>
      <c r="AD247" s="137"/>
      <c r="AE247" s="58" t="str" cm="1">
        <f>IF(ISBLANK($A247),"",INDEX(Array_ElectricalCharges,MATCH($A247,List_ElectricityMeters,0),ROUNDUP(COLUMN()/3,0)-2))</f>
        <v/>
      </c>
      <c r="AF247" s="127"/>
      <c r="AG247" s="137"/>
      <c r="AH247" s="58" t="str" cm="1">
        <f>IF(ISBLANK($A247),"",INDEX(Array_ElectricalCharges,MATCH($A247,List_ElectricityMeters,0),ROUNDUP(COLUMN()/3,0)-2))</f>
        <v/>
      </c>
      <c r="AI247" s="127"/>
      <c r="AJ247" s="137"/>
      <c r="AK247" s="58" t="str" cm="1">
        <f>IF(ISBLANK($A247),"",INDEX(Array_ElectricalCharges,MATCH($A247,List_ElectricityMeters,0),ROUNDUP(COLUMN()/3,0)-2))</f>
        <v/>
      </c>
      <c r="AL247" s="127"/>
      <c r="AM247" s="137"/>
      <c r="AN247" s="58" t="str" cm="1">
        <f>IF(ISBLANK($A247),"",INDEX(Array_ElectricalCharges,MATCH($A247,List_ElectricityMeters,0),ROUNDUP(COLUMN()/3,0)-2))</f>
        <v/>
      </c>
      <c r="AO247" s="127"/>
      <c r="AP247" s="137"/>
      <c r="AQ247" s="58" t="str" cm="1">
        <f>IF(ISBLANK($A247),"",INDEX(Array_ElectricalCharges,MATCH($A247,List_ElectricityMeters,0),ROUNDUP(COLUMN()/3,0)-2))</f>
        <v/>
      </c>
      <c r="AR247" s="127"/>
      <c r="AS247" s="137"/>
      <c r="AT247" s="58" t="str" cm="1">
        <f>IF(ISBLANK($A247),"",INDEX(Array_ElectricalCharges,MATCH($A247,List_ElectricityMeters,0),ROUNDUP(COLUMN()/3,0)-2))</f>
        <v/>
      </c>
      <c r="AU247" s="127"/>
      <c r="AV247" s="137"/>
      <c r="AW247" s="58" t="str" cm="1">
        <f>IF(ISBLANK($A247),"",INDEX(Array_ElectricalCharges,MATCH($A247,List_ElectricityMeters,0),ROUNDUP(COLUMN()/3,0)-2))</f>
        <v/>
      </c>
      <c r="AX247" s="127"/>
      <c r="AY247" s="137"/>
    </row>
    <row r="248" spans="1:51" x14ac:dyDescent="0.3">
      <c r="A248" s="126"/>
      <c r="B248" s="133"/>
      <c r="C248" s="134"/>
      <c r="D248" s="134"/>
      <c r="E248" s="135"/>
      <c r="F248" s="136"/>
      <c r="G248" s="58" t="str" cm="1">
        <f>IF(ISBLANK($A248),"",INDEX(Array_ElectricalCharges,MATCH($A248,List_ElectricityMeters,0),ROUNDUP(COLUMN()/3,0)-2))</f>
        <v/>
      </c>
      <c r="H248" s="127"/>
      <c r="I248" s="137"/>
      <c r="J248" s="58" t="str" cm="1">
        <f>IF(ISBLANK($A248),"",INDEX(Array_ElectricalCharges,MATCH($A248,List_ElectricityMeters,0),ROUNDUP(COLUMN()/3,0)-2))</f>
        <v/>
      </c>
      <c r="K248" s="127"/>
      <c r="L248" s="137"/>
      <c r="M248" s="58" t="str" cm="1">
        <f>IF(ISBLANK($A248),"",INDEX(Array_ElectricalCharges,MATCH($A248,List_ElectricityMeters,0),ROUNDUP(COLUMN()/3,0)-2))</f>
        <v/>
      </c>
      <c r="N248" s="127"/>
      <c r="O248" s="137"/>
      <c r="P248" s="58" t="str" cm="1">
        <f>IF(ISBLANK($A248),"",INDEX(Array_ElectricalCharges,MATCH($A248,List_ElectricityMeters,0),ROUNDUP(COLUMN()/3,0)-2))</f>
        <v/>
      </c>
      <c r="Q248" s="127"/>
      <c r="R248" s="137"/>
      <c r="S248" s="58" t="str" cm="1">
        <f>IF(ISBLANK($A248),"",INDEX(Array_ElectricalCharges,MATCH($A248,List_ElectricityMeters,0),ROUNDUP(COLUMN()/3,0)-2))</f>
        <v/>
      </c>
      <c r="T248" s="127"/>
      <c r="U248" s="137"/>
      <c r="V248" s="58" t="str" cm="1">
        <f>IF(ISBLANK($A248),"",INDEX(Array_ElectricalCharges,MATCH($A248,List_ElectricityMeters,0),ROUNDUP(COLUMN()/3,0)-2))</f>
        <v/>
      </c>
      <c r="W248" s="127"/>
      <c r="X248" s="137"/>
      <c r="Y248" s="58" t="str" cm="1">
        <f>IF(ISBLANK($A248),"",INDEX(Array_ElectricalCharges,MATCH($A248,List_ElectricityMeters,0),ROUNDUP(COLUMN()/3,0)-2))</f>
        <v/>
      </c>
      <c r="Z248" s="127"/>
      <c r="AA248" s="137"/>
      <c r="AB248" s="58" t="str" cm="1">
        <f>IF(ISBLANK($A248),"",INDEX(Array_ElectricalCharges,MATCH($A248,List_ElectricityMeters,0),ROUNDUP(COLUMN()/3,0)-2))</f>
        <v/>
      </c>
      <c r="AC248" s="127"/>
      <c r="AD248" s="137"/>
      <c r="AE248" s="58" t="str" cm="1">
        <f>IF(ISBLANK($A248),"",INDEX(Array_ElectricalCharges,MATCH($A248,List_ElectricityMeters,0),ROUNDUP(COLUMN()/3,0)-2))</f>
        <v/>
      </c>
      <c r="AF248" s="127"/>
      <c r="AG248" s="137"/>
      <c r="AH248" s="58" t="str" cm="1">
        <f>IF(ISBLANK($A248),"",INDEX(Array_ElectricalCharges,MATCH($A248,List_ElectricityMeters,0),ROUNDUP(COLUMN()/3,0)-2))</f>
        <v/>
      </c>
      <c r="AI248" s="127"/>
      <c r="AJ248" s="137"/>
      <c r="AK248" s="58" t="str" cm="1">
        <f>IF(ISBLANK($A248),"",INDEX(Array_ElectricalCharges,MATCH($A248,List_ElectricityMeters,0),ROUNDUP(COLUMN()/3,0)-2))</f>
        <v/>
      </c>
      <c r="AL248" s="127"/>
      <c r="AM248" s="137"/>
      <c r="AN248" s="58" t="str" cm="1">
        <f>IF(ISBLANK($A248),"",INDEX(Array_ElectricalCharges,MATCH($A248,List_ElectricityMeters,0),ROUNDUP(COLUMN()/3,0)-2))</f>
        <v/>
      </c>
      <c r="AO248" s="127"/>
      <c r="AP248" s="137"/>
      <c r="AQ248" s="58" t="str" cm="1">
        <f>IF(ISBLANK($A248),"",INDEX(Array_ElectricalCharges,MATCH($A248,List_ElectricityMeters,0),ROUNDUP(COLUMN()/3,0)-2))</f>
        <v/>
      </c>
      <c r="AR248" s="127"/>
      <c r="AS248" s="137"/>
      <c r="AT248" s="58" t="str" cm="1">
        <f>IF(ISBLANK($A248),"",INDEX(Array_ElectricalCharges,MATCH($A248,List_ElectricityMeters,0),ROUNDUP(COLUMN()/3,0)-2))</f>
        <v/>
      </c>
      <c r="AU248" s="127"/>
      <c r="AV248" s="137"/>
      <c r="AW248" s="58" t="str" cm="1">
        <f>IF(ISBLANK($A248),"",INDEX(Array_ElectricalCharges,MATCH($A248,List_ElectricityMeters,0),ROUNDUP(COLUMN()/3,0)-2))</f>
        <v/>
      </c>
      <c r="AX248" s="127"/>
      <c r="AY248" s="137"/>
    </row>
    <row r="249" spans="1:51" x14ac:dyDescent="0.3">
      <c r="A249" s="126"/>
      <c r="B249" s="133"/>
      <c r="C249" s="134"/>
      <c r="D249" s="134"/>
      <c r="E249" s="135"/>
      <c r="F249" s="136"/>
      <c r="G249" s="58" t="str" cm="1">
        <f>IF(ISBLANK($A249),"",INDEX(Array_ElectricalCharges,MATCH($A249,List_ElectricityMeters,0),ROUNDUP(COLUMN()/3,0)-2))</f>
        <v/>
      </c>
      <c r="H249" s="127"/>
      <c r="I249" s="137"/>
      <c r="J249" s="58" t="str" cm="1">
        <f>IF(ISBLANK($A249),"",INDEX(Array_ElectricalCharges,MATCH($A249,List_ElectricityMeters,0),ROUNDUP(COLUMN()/3,0)-2))</f>
        <v/>
      </c>
      <c r="K249" s="127"/>
      <c r="L249" s="137"/>
      <c r="M249" s="58" t="str" cm="1">
        <f>IF(ISBLANK($A249),"",INDEX(Array_ElectricalCharges,MATCH($A249,List_ElectricityMeters,0),ROUNDUP(COLUMN()/3,0)-2))</f>
        <v/>
      </c>
      <c r="N249" s="127"/>
      <c r="O249" s="137"/>
      <c r="P249" s="58" t="str" cm="1">
        <f>IF(ISBLANK($A249),"",INDEX(Array_ElectricalCharges,MATCH($A249,List_ElectricityMeters,0),ROUNDUP(COLUMN()/3,0)-2))</f>
        <v/>
      </c>
      <c r="Q249" s="127"/>
      <c r="R249" s="137"/>
      <c r="S249" s="58" t="str" cm="1">
        <f>IF(ISBLANK($A249),"",INDEX(Array_ElectricalCharges,MATCH($A249,List_ElectricityMeters,0),ROUNDUP(COLUMN()/3,0)-2))</f>
        <v/>
      </c>
      <c r="T249" s="127"/>
      <c r="U249" s="137"/>
      <c r="V249" s="58" t="str" cm="1">
        <f>IF(ISBLANK($A249),"",INDEX(Array_ElectricalCharges,MATCH($A249,List_ElectricityMeters,0),ROUNDUP(COLUMN()/3,0)-2))</f>
        <v/>
      </c>
      <c r="W249" s="127"/>
      <c r="X249" s="137"/>
      <c r="Y249" s="58" t="str" cm="1">
        <f>IF(ISBLANK($A249),"",INDEX(Array_ElectricalCharges,MATCH($A249,List_ElectricityMeters,0),ROUNDUP(COLUMN()/3,0)-2))</f>
        <v/>
      </c>
      <c r="Z249" s="127"/>
      <c r="AA249" s="137"/>
      <c r="AB249" s="58" t="str" cm="1">
        <f>IF(ISBLANK($A249),"",INDEX(Array_ElectricalCharges,MATCH($A249,List_ElectricityMeters,0),ROUNDUP(COLUMN()/3,0)-2))</f>
        <v/>
      </c>
      <c r="AC249" s="127"/>
      <c r="AD249" s="137"/>
      <c r="AE249" s="58" t="str" cm="1">
        <f>IF(ISBLANK($A249),"",INDEX(Array_ElectricalCharges,MATCH($A249,List_ElectricityMeters,0),ROUNDUP(COLUMN()/3,0)-2))</f>
        <v/>
      </c>
      <c r="AF249" s="127"/>
      <c r="AG249" s="137"/>
      <c r="AH249" s="58" t="str" cm="1">
        <f>IF(ISBLANK($A249),"",INDEX(Array_ElectricalCharges,MATCH($A249,List_ElectricityMeters,0),ROUNDUP(COLUMN()/3,0)-2))</f>
        <v/>
      </c>
      <c r="AI249" s="127"/>
      <c r="AJ249" s="137"/>
      <c r="AK249" s="58" t="str" cm="1">
        <f>IF(ISBLANK($A249),"",INDEX(Array_ElectricalCharges,MATCH($A249,List_ElectricityMeters,0),ROUNDUP(COLUMN()/3,0)-2))</f>
        <v/>
      </c>
      <c r="AL249" s="127"/>
      <c r="AM249" s="137"/>
      <c r="AN249" s="58" t="str" cm="1">
        <f>IF(ISBLANK($A249),"",INDEX(Array_ElectricalCharges,MATCH($A249,List_ElectricityMeters,0),ROUNDUP(COLUMN()/3,0)-2))</f>
        <v/>
      </c>
      <c r="AO249" s="127"/>
      <c r="AP249" s="137"/>
      <c r="AQ249" s="58" t="str" cm="1">
        <f>IF(ISBLANK($A249),"",INDEX(Array_ElectricalCharges,MATCH($A249,List_ElectricityMeters,0),ROUNDUP(COLUMN()/3,0)-2))</f>
        <v/>
      </c>
      <c r="AR249" s="127"/>
      <c r="AS249" s="137"/>
      <c r="AT249" s="58" t="str" cm="1">
        <f>IF(ISBLANK($A249),"",INDEX(Array_ElectricalCharges,MATCH($A249,List_ElectricityMeters,0),ROUNDUP(COLUMN()/3,0)-2))</f>
        <v/>
      </c>
      <c r="AU249" s="127"/>
      <c r="AV249" s="137"/>
      <c r="AW249" s="58" t="str" cm="1">
        <f>IF(ISBLANK($A249),"",INDEX(Array_ElectricalCharges,MATCH($A249,List_ElectricityMeters,0),ROUNDUP(COLUMN()/3,0)-2))</f>
        <v/>
      </c>
      <c r="AX249" s="127"/>
      <c r="AY249" s="137"/>
    </row>
    <row r="250" spans="1:51" x14ac:dyDescent="0.3">
      <c r="A250" s="126"/>
      <c r="B250" s="133"/>
      <c r="C250" s="134"/>
      <c r="D250" s="134"/>
      <c r="E250" s="135"/>
      <c r="F250" s="136"/>
      <c r="G250" s="58" t="str" cm="1">
        <f>IF(ISBLANK($A250),"",INDEX(Array_ElectricalCharges,MATCH($A250,List_ElectricityMeters,0),ROUNDUP(COLUMN()/3,0)-2))</f>
        <v/>
      </c>
      <c r="H250" s="127"/>
      <c r="I250" s="137"/>
      <c r="J250" s="58" t="str" cm="1">
        <f>IF(ISBLANK($A250),"",INDEX(Array_ElectricalCharges,MATCH($A250,List_ElectricityMeters,0),ROUNDUP(COLUMN()/3,0)-2))</f>
        <v/>
      </c>
      <c r="K250" s="127"/>
      <c r="L250" s="137"/>
      <c r="M250" s="58" t="str" cm="1">
        <f>IF(ISBLANK($A250),"",INDEX(Array_ElectricalCharges,MATCH($A250,List_ElectricityMeters,0),ROUNDUP(COLUMN()/3,0)-2))</f>
        <v/>
      </c>
      <c r="N250" s="127"/>
      <c r="O250" s="137"/>
      <c r="P250" s="58" t="str" cm="1">
        <f>IF(ISBLANK($A250),"",INDEX(Array_ElectricalCharges,MATCH($A250,List_ElectricityMeters,0),ROUNDUP(COLUMN()/3,0)-2))</f>
        <v/>
      </c>
      <c r="Q250" s="127"/>
      <c r="R250" s="137"/>
      <c r="S250" s="58" t="str" cm="1">
        <f>IF(ISBLANK($A250),"",INDEX(Array_ElectricalCharges,MATCH($A250,List_ElectricityMeters,0),ROUNDUP(COLUMN()/3,0)-2))</f>
        <v/>
      </c>
      <c r="T250" s="127"/>
      <c r="U250" s="137"/>
      <c r="V250" s="58" t="str" cm="1">
        <f>IF(ISBLANK($A250),"",INDEX(Array_ElectricalCharges,MATCH($A250,List_ElectricityMeters,0),ROUNDUP(COLUMN()/3,0)-2))</f>
        <v/>
      </c>
      <c r="W250" s="127"/>
      <c r="X250" s="137"/>
      <c r="Y250" s="58" t="str" cm="1">
        <f>IF(ISBLANK($A250),"",INDEX(Array_ElectricalCharges,MATCH($A250,List_ElectricityMeters,0),ROUNDUP(COLUMN()/3,0)-2))</f>
        <v/>
      </c>
      <c r="Z250" s="127"/>
      <c r="AA250" s="137"/>
      <c r="AB250" s="58" t="str" cm="1">
        <f>IF(ISBLANK($A250),"",INDEX(Array_ElectricalCharges,MATCH($A250,List_ElectricityMeters,0),ROUNDUP(COLUMN()/3,0)-2))</f>
        <v/>
      </c>
      <c r="AC250" s="127"/>
      <c r="AD250" s="137"/>
      <c r="AE250" s="58" t="str" cm="1">
        <f>IF(ISBLANK($A250),"",INDEX(Array_ElectricalCharges,MATCH($A250,List_ElectricityMeters,0),ROUNDUP(COLUMN()/3,0)-2))</f>
        <v/>
      </c>
      <c r="AF250" s="127"/>
      <c r="AG250" s="137"/>
      <c r="AH250" s="58" t="str" cm="1">
        <f>IF(ISBLANK($A250),"",INDEX(Array_ElectricalCharges,MATCH($A250,List_ElectricityMeters,0),ROUNDUP(COLUMN()/3,0)-2))</f>
        <v/>
      </c>
      <c r="AI250" s="127"/>
      <c r="AJ250" s="137"/>
      <c r="AK250" s="58" t="str" cm="1">
        <f>IF(ISBLANK($A250),"",INDEX(Array_ElectricalCharges,MATCH($A250,List_ElectricityMeters,0),ROUNDUP(COLUMN()/3,0)-2))</f>
        <v/>
      </c>
      <c r="AL250" s="127"/>
      <c r="AM250" s="137"/>
      <c r="AN250" s="58" t="str" cm="1">
        <f>IF(ISBLANK($A250),"",INDEX(Array_ElectricalCharges,MATCH($A250,List_ElectricityMeters,0),ROUNDUP(COLUMN()/3,0)-2))</f>
        <v/>
      </c>
      <c r="AO250" s="127"/>
      <c r="AP250" s="137"/>
      <c r="AQ250" s="58" t="str" cm="1">
        <f>IF(ISBLANK($A250),"",INDEX(Array_ElectricalCharges,MATCH($A250,List_ElectricityMeters,0),ROUNDUP(COLUMN()/3,0)-2))</f>
        <v/>
      </c>
      <c r="AR250" s="127"/>
      <c r="AS250" s="137"/>
      <c r="AT250" s="58" t="str" cm="1">
        <f>IF(ISBLANK($A250),"",INDEX(Array_ElectricalCharges,MATCH($A250,List_ElectricityMeters,0),ROUNDUP(COLUMN()/3,0)-2))</f>
        <v/>
      </c>
      <c r="AU250" s="127"/>
      <c r="AV250" s="137"/>
      <c r="AW250" s="58" t="str" cm="1">
        <f>IF(ISBLANK($A250),"",INDEX(Array_ElectricalCharges,MATCH($A250,List_ElectricityMeters,0),ROUNDUP(COLUMN()/3,0)-2))</f>
        <v/>
      </c>
      <c r="AX250" s="127"/>
      <c r="AY250" s="137"/>
    </row>
    <row r="251" spans="1:51" x14ac:dyDescent="0.3">
      <c r="A251" s="126"/>
      <c r="B251" s="133"/>
      <c r="C251" s="134"/>
      <c r="D251" s="134"/>
      <c r="E251" s="135"/>
      <c r="F251" s="136"/>
      <c r="G251" s="58" t="str" cm="1">
        <f>IF(ISBLANK($A251),"",INDEX(Array_ElectricalCharges,MATCH($A251,List_ElectricityMeters,0),ROUNDUP(COLUMN()/3,0)-2))</f>
        <v/>
      </c>
      <c r="H251" s="127"/>
      <c r="I251" s="137"/>
      <c r="J251" s="58" t="str" cm="1">
        <f>IF(ISBLANK($A251),"",INDEX(Array_ElectricalCharges,MATCH($A251,List_ElectricityMeters,0),ROUNDUP(COLUMN()/3,0)-2))</f>
        <v/>
      </c>
      <c r="K251" s="127"/>
      <c r="L251" s="137"/>
      <c r="M251" s="58" t="str" cm="1">
        <f>IF(ISBLANK($A251),"",INDEX(Array_ElectricalCharges,MATCH($A251,List_ElectricityMeters,0),ROUNDUP(COLUMN()/3,0)-2))</f>
        <v/>
      </c>
      <c r="N251" s="127"/>
      <c r="O251" s="137"/>
      <c r="P251" s="58" t="str" cm="1">
        <f>IF(ISBLANK($A251),"",INDEX(Array_ElectricalCharges,MATCH($A251,List_ElectricityMeters,0),ROUNDUP(COLUMN()/3,0)-2))</f>
        <v/>
      </c>
      <c r="Q251" s="127"/>
      <c r="R251" s="137"/>
      <c r="S251" s="58" t="str" cm="1">
        <f>IF(ISBLANK($A251),"",INDEX(Array_ElectricalCharges,MATCH($A251,List_ElectricityMeters,0),ROUNDUP(COLUMN()/3,0)-2))</f>
        <v/>
      </c>
      <c r="T251" s="127"/>
      <c r="U251" s="137"/>
      <c r="V251" s="58" t="str" cm="1">
        <f>IF(ISBLANK($A251),"",INDEX(Array_ElectricalCharges,MATCH($A251,List_ElectricityMeters,0),ROUNDUP(COLUMN()/3,0)-2))</f>
        <v/>
      </c>
      <c r="W251" s="127"/>
      <c r="X251" s="137"/>
      <c r="Y251" s="58" t="str" cm="1">
        <f>IF(ISBLANK($A251),"",INDEX(Array_ElectricalCharges,MATCH($A251,List_ElectricityMeters,0),ROUNDUP(COLUMN()/3,0)-2))</f>
        <v/>
      </c>
      <c r="Z251" s="127"/>
      <c r="AA251" s="137"/>
      <c r="AB251" s="58" t="str" cm="1">
        <f>IF(ISBLANK($A251),"",INDEX(Array_ElectricalCharges,MATCH($A251,List_ElectricityMeters,0),ROUNDUP(COLUMN()/3,0)-2))</f>
        <v/>
      </c>
      <c r="AC251" s="127"/>
      <c r="AD251" s="137"/>
      <c r="AE251" s="58" t="str" cm="1">
        <f>IF(ISBLANK($A251),"",INDEX(Array_ElectricalCharges,MATCH($A251,List_ElectricityMeters,0),ROUNDUP(COLUMN()/3,0)-2))</f>
        <v/>
      </c>
      <c r="AF251" s="127"/>
      <c r="AG251" s="137"/>
      <c r="AH251" s="58" t="str" cm="1">
        <f>IF(ISBLANK($A251),"",INDEX(Array_ElectricalCharges,MATCH($A251,List_ElectricityMeters,0),ROUNDUP(COLUMN()/3,0)-2))</f>
        <v/>
      </c>
      <c r="AI251" s="127"/>
      <c r="AJ251" s="137"/>
      <c r="AK251" s="58" t="str" cm="1">
        <f>IF(ISBLANK($A251),"",INDEX(Array_ElectricalCharges,MATCH($A251,List_ElectricityMeters,0),ROUNDUP(COLUMN()/3,0)-2))</f>
        <v/>
      </c>
      <c r="AL251" s="127"/>
      <c r="AM251" s="137"/>
      <c r="AN251" s="58" t="str" cm="1">
        <f>IF(ISBLANK($A251),"",INDEX(Array_ElectricalCharges,MATCH($A251,List_ElectricityMeters,0),ROUNDUP(COLUMN()/3,0)-2))</f>
        <v/>
      </c>
      <c r="AO251" s="127"/>
      <c r="AP251" s="137"/>
      <c r="AQ251" s="58" t="str" cm="1">
        <f>IF(ISBLANK($A251),"",INDEX(Array_ElectricalCharges,MATCH($A251,List_ElectricityMeters,0),ROUNDUP(COLUMN()/3,0)-2))</f>
        <v/>
      </c>
      <c r="AR251" s="127"/>
      <c r="AS251" s="137"/>
      <c r="AT251" s="58" t="str" cm="1">
        <f>IF(ISBLANK($A251),"",INDEX(Array_ElectricalCharges,MATCH($A251,List_ElectricityMeters,0),ROUNDUP(COLUMN()/3,0)-2))</f>
        <v/>
      </c>
      <c r="AU251" s="127"/>
      <c r="AV251" s="137"/>
      <c r="AW251" s="58" t="str" cm="1">
        <f>IF(ISBLANK($A251),"",INDEX(Array_ElectricalCharges,MATCH($A251,List_ElectricityMeters,0),ROUNDUP(COLUMN()/3,0)-2))</f>
        <v/>
      </c>
      <c r="AX251" s="127"/>
      <c r="AY251" s="137"/>
    </row>
    <row r="252" spans="1:51" x14ac:dyDescent="0.3">
      <c r="A252" s="126"/>
      <c r="B252" s="133"/>
      <c r="C252" s="134"/>
      <c r="D252" s="134"/>
      <c r="E252" s="135"/>
      <c r="F252" s="136"/>
      <c r="G252" s="58" t="str" cm="1">
        <f>IF(ISBLANK($A252),"",INDEX(Array_ElectricalCharges,MATCH($A252,List_ElectricityMeters,0),ROUNDUP(COLUMN()/3,0)-2))</f>
        <v/>
      </c>
      <c r="H252" s="127"/>
      <c r="I252" s="137"/>
      <c r="J252" s="58" t="str" cm="1">
        <f>IF(ISBLANK($A252),"",INDEX(Array_ElectricalCharges,MATCH($A252,List_ElectricityMeters,0),ROUNDUP(COLUMN()/3,0)-2))</f>
        <v/>
      </c>
      <c r="K252" s="127"/>
      <c r="L252" s="137"/>
      <c r="M252" s="58" t="str" cm="1">
        <f>IF(ISBLANK($A252),"",INDEX(Array_ElectricalCharges,MATCH($A252,List_ElectricityMeters,0),ROUNDUP(COLUMN()/3,0)-2))</f>
        <v/>
      </c>
      <c r="N252" s="127"/>
      <c r="O252" s="137"/>
      <c r="P252" s="58" t="str" cm="1">
        <f>IF(ISBLANK($A252),"",INDEX(Array_ElectricalCharges,MATCH($A252,List_ElectricityMeters,0),ROUNDUP(COLUMN()/3,0)-2))</f>
        <v/>
      </c>
      <c r="Q252" s="127"/>
      <c r="R252" s="137"/>
      <c r="S252" s="58" t="str" cm="1">
        <f>IF(ISBLANK($A252),"",INDEX(Array_ElectricalCharges,MATCH($A252,List_ElectricityMeters,0),ROUNDUP(COLUMN()/3,0)-2))</f>
        <v/>
      </c>
      <c r="T252" s="127"/>
      <c r="U252" s="137"/>
      <c r="V252" s="58" t="str" cm="1">
        <f>IF(ISBLANK($A252),"",INDEX(Array_ElectricalCharges,MATCH($A252,List_ElectricityMeters,0),ROUNDUP(COLUMN()/3,0)-2))</f>
        <v/>
      </c>
      <c r="W252" s="127"/>
      <c r="X252" s="137"/>
      <c r="Y252" s="58" t="str" cm="1">
        <f>IF(ISBLANK($A252),"",INDEX(Array_ElectricalCharges,MATCH($A252,List_ElectricityMeters,0),ROUNDUP(COLUMN()/3,0)-2))</f>
        <v/>
      </c>
      <c r="Z252" s="127"/>
      <c r="AA252" s="137"/>
      <c r="AB252" s="58" t="str" cm="1">
        <f>IF(ISBLANK($A252),"",INDEX(Array_ElectricalCharges,MATCH($A252,List_ElectricityMeters,0),ROUNDUP(COLUMN()/3,0)-2))</f>
        <v/>
      </c>
      <c r="AC252" s="127"/>
      <c r="AD252" s="137"/>
      <c r="AE252" s="58" t="str" cm="1">
        <f>IF(ISBLANK($A252),"",INDEX(Array_ElectricalCharges,MATCH($A252,List_ElectricityMeters,0),ROUNDUP(COLUMN()/3,0)-2))</f>
        <v/>
      </c>
      <c r="AF252" s="127"/>
      <c r="AG252" s="137"/>
      <c r="AH252" s="58" t="str" cm="1">
        <f>IF(ISBLANK($A252),"",INDEX(Array_ElectricalCharges,MATCH($A252,List_ElectricityMeters,0),ROUNDUP(COLUMN()/3,0)-2))</f>
        <v/>
      </c>
      <c r="AI252" s="127"/>
      <c r="AJ252" s="137"/>
      <c r="AK252" s="58" t="str" cm="1">
        <f>IF(ISBLANK($A252),"",INDEX(Array_ElectricalCharges,MATCH($A252,List_ElectricityMeters,0),ROUNDUP(COLUMN()/3,0)-2))</f>
        <v/>
      </c>
      <c r="AL252" s="127"/>
      <c r="AM252" s="137"/>
      <c r="AN252" s="58" t="str" cm="1">
        <f>IF(ISBLANK($A252),"",INDEX(Array_ElectricalCharges,MATCH($A252,List_ElectricityMeters,0),ROUNDUP(COLUMN()/3,0)-2))</f>
        <v/>
      </c>
      <c r="AO252" s="127"/>
      <c r="AP252" s="137"/>
      <c r="AQ252" s="58" t="str" cm="1">
        <f>IF(ISBLANK($A252),"",INDEX(Array_ElectricalCharges,MATCH($A252,List_ElectricityMeters,0),ROUNDUP(COLUMN()/3,0)-2))</f>
        <v/>
      </c>
      <c r="AR252" s="127"/>
      <c r="AS252" s="137"/>
      <c r="AT252" s="58" t="str" cm="1">
        <f>IF(ISBLANK($A252),"",INDEX(Array_ElectricalCharges,MATCH($A252,List_ElectricityMeters,0),ROUNDUP(COLUMN()/3,0)-2))</f>
        <v/>
      </c>
      <c r="AU252" s="127"/>
      <c r="AV252" s="137"/>
      <c r="AW252" s="58" t="str" cm="1">
        <f>IF(ISBLANK($A252),"",INDEX(Array_ElectricalCharges,MATCH($A252,List_ElectricityMeters,0),ROUNDUP(COLUMN()/3,0)-2))</f>
        <v/>
      </c>
      <c r="AX252" s="127"/>
      <c r="AY252" s="137"/>
    </row>
    <row r="253" spans="1:51" x14ac:dyDescent="0.3">
      <c r="A253" s="126"/>
      <c r="B253" s="133"/>
      <c r="C253" s="134"/>
      <c r="D253" s="134"/>
      <c r="E253" s="135"/>
      <c r="F253" s="136"/>
      <c r="G253" s="58" t="str" cm="1">
        <f>IF(ISBLANK($A253),"",INDEX(Array_ElectricalCharges,MATCH($A253,List_ElectricityMeters,0),ROUNDUP(COLUMN()/3,0)-2))</f>
        <v/>
      </c>
      <c r="H253" s="127"/>
      <c r="I253" s="137"/>
      <c r="J253" s="58" t="str" cm="1">
        <f>IF(ISBLANK($A253),"",INDEX(Array_ElectricalCharges,MATCH($A253,List_ElectricityMeters,0),ROUNDUP(COLUMN()/3,0)-2))</f>
        <v/>
      </c>
      <c r="K253" s="127"/>
      <c r="L253" s="137"/>
      <c r="M253" s="58" t="str" cm="1">
        <f>IF(ISBLANK($A253),"",INDEX(Array_ElectricalCharges,MATCH($A253,List_ElectricityMeters,0),ROUNDUP(COLUMN()/3,0)-2))</f>
        <v/>
      </c>
      <c r="N253" s="127"/>
      <c r="O253" s="137"/>
      <c r="P253" s="58" t="str" cm="1">
        <f>IF(ISBLANK($A253),"",INDEX(Array_ElectricalCharges,MATCH($A253,List_ElectricityMeters,0),ROUNDUP(COLUMN()/3,0)-2))</f>
        <v/>
      </c>
      <c r="Q253" s="127"/>
      <c r="R253" s="137"/>
      <c r="S253" s="58" t="str" cm="1">
        <f>IF(ISBLANK($A253),"",INDEX(Array_ElectricalCharges,MATCH($A253,List_ElectricityMeters,0),ROUNDUP(COLUMN()/3,0)-2))</f>
        <v/>
      </c>
      <c r="T253" s="127"/>
      <c r="U253" s="137"/>
      <c r="V253" s="58" t="str" cm="1">
        <f>IF(ISBLANK($A253),"",INDEX(Array_ElectricalCharges,MATCH($A253,List_ElectricityMeters,0),ROUNDUP(COLUMN()/3,0)-2))</f>
        <v/>
      </c>
      <c r="W253" s="127"/>
      <c r="X253" s="137"/>
      <c r="Y253" s="58" t="str" cm="1">
        <f>IF(ISBLANK($A253),"",INDEX(Array_ElectricalCharges,MATCH($A253,List_ElectricityMeters,0),ROUNDUP(COLUMN()/3,0)-2))</f>
        <v/>
      </c>
      <c r="Z253" s="127"/>
      <c r="AA253" s="137"/>
      <c r="AB253" s="58" t="str" cm="1">
        <f>IF(ISBLANK($A253),"",INDEX(Array_ElectricalCharges,MATCH($A253,List_ElectricityMeters,0),ROUNDUP(COLUMN()/3,0)-2))</f>
        <v/>
      </c>
      <c r="AC253" s="127"/>
      <c r="AD253" s="137"/>
      <c r="AE253" s="58" t="str" cm="1">
        <f>IF(ISBLANK($A253),"",INDEX(Array_ElectricalCharges,MATCH($A253,List_ElectricityMeters,0),ROUNDUP(COLUMN()/3,0)-2))</f>
        <v/>
      </c>
      <c r="AF253" s="127"/>
      <c r="AG253" s="137"/>
      <c r="AH253" s="58" t="str" cm="1">
        <f>IF(ISBLANK($A253),"",INDEX(Array_ElectricalCharges,MATCH($A253,List_ElectricityMeters,0),ROUNDUP(COLUMN()/3,0)-2))</f>
        <v/>
      </c>
      <c r="AI253" s="127"/>
      <c r="AJ253" s="137"/>
      <c r="AK253" s="58" t="str" cm="1">
        <f>IF(ISBLANK($A253),"",INDEX(Array_ElectricalCharges,MATCH($A253,List_ElectricityMeters,0),ROUNDUP(COLUMN()/3,0)-2))</f>
        <v/>
      </c>
      <c r="AL253" s="127"/>
      <c r="AM253" s="137"/>
      <c r="AN253" s="58" t="str" cm="1">
        <f>IF(ISBLANK($A253),"",INDEX(Array_ElectricalCharges,MATCH($A253,List_ElectricityMeters,0),ROUNDUP(COLUMN()/3,0)-2))</f>
        <v/>
      </c>
      <c r="AO253" s="127"/>
      <c r="AP253" s="137"/>
      <c r="AQ253" s="58" t="str" cm="1">
        <f>IF(ISBLANK($A253),"",INDEX(Array_ElectricalCharges,MATCH($A253,List_ElectricityMeters,0),ROUNDUP(COLUMN()/3,0)-2))</f>
        <v/>
      </c>
      <c r="AR253" s="127"/>
      <c r="AS253" s="137"/>
      <c r="AT253" s="58" t="str" cm="1">
        <f>IF(ISBLANK($A253),"",INDEX(Array_ElectricalCharges,MATCH($A253,List_ElectricityMeters,0),ROUNDUP(COLUMN()/3,0)-2))</f>
        <v/>
      </c>
      <c r="AU253" s="127"/>
      <c r="AV253" s="137"/>
      <c r="AW253" s="58" t="str" cm="1">
        <f>IF(ISBLANK($A253),"",INDEX(Array_ElectricalCharges,MATCH($A253,List_ElectricityMeters,0),ROUNDUP(COLUMN()/3,0)-2))</f>
        <v/>
      </c>
      <c r="AX253" s="127"/>
      <c r="AY253" s="137"/>
    </row>
    <row r="254" spans="1:51" x14ac:dyDescent="0.3">
      <c r="A254" s="126"/>
      <c r="B254" s="133"/>
      <c r="C254" s="134"/>
      <c r="D254" s="134"/>
      <c r="E254" s="135"/>
      <c r="F254" s="136"/>
      <c r="G254" s="58" t="str" cm="1">
        <f>IF(ISBLANK($A254),"",INDEX(Array_ElectricalCharges,MATCH($A254,List_ElectricityMeters,0),ROUNDUP(COLUMN()/3,0)-2))</f>
        <v/>
      </c>
      <c r="H254" s="127"/>
      <c r="I254" s="137"/>
      <c r="J254" s="58" t="str" cm="1">
        <f>IF(ISBLANK($A254),"",INDEX(Array_ElectricalCharges,MATCH($A254,List_ElectricityMeters,0),ROUNDUP(COLUMN()/3,0)-2))</f>
        <v/>
      </c>
      <c r="K254" s="127"/>
      <c r="L254" s="137"/>
      <c r="M254" s="58" t="str" cm="1">
        <f>IF(ISBLANK($A254),"",INDEX(Array_ElectricalCharges,MATCH($A254,List_ElectricityMeters,0),ROUNDUP(COLUMN()/3,0)-2))</f>
        <v/>
      </c>
      <c r="N254" s="127"/>
      <c r="O254" s="137"/>
      <c r="P254" s="58" t="str" cm="1">
        <f>IF(ISBLANK($A254),"",INDEX(Array_ElectricalCharges,MATCH($A254,List_ElectricityMeters,0),ROUNDUP(COLUMN()/3,0)-2))</f>
        <v/>
      </c>
      <c r="Q254" s="127"/>
      <c r="R254" s="137"/>
      <c r="S254" s="58" t="str" cm="1">
        <f>IF(ISBLANK($A254),"",INDEX(Array_ElectricalCharges,MATCH($A254,List_ElectricityMeters,0),ROUNDUP(COLUMN()/3,0)-2))</f>
        <v/>
      </c>
      <c r="T254" s="127"/>
      <c r="U254" s="137"/>
      <c r="V254" s="58" t="str" cm="1">
        <f>IF(ISBLANK($A254),"",INDEX(Array_ElectricalCharges,MATCH($A254,List_ElectricityMeters,0),ROUNDUP(COLUMN()/3,0)-2))</f>
        <v/>
      </c>
      <c r="W254" s="127"/>
      <c r="X254" s="137"/>
      <c r="Y254" s="58" t="str" cm="1">
        <f>IF(ISBLANK($A254),"",INDEX(Array_ElectricalCharges,MATCH($A254,List_ElectricityMeters,0),ROUNDUP(COLUMN()/3,0)-2))</f>
        <v/>
      </c>
      <c r="Z254" s="127"/>
      <c r="AA254" s="137"/>
      <c r="AB254" s="58" t="str" cm="1">
        <f>IF(ISBLANK($A254),"",INDEX(Array_ElectricalCharges,MATCH($A254,List_ElectricityMeters,0),ROUNDUP(COLUMN()/3,0)-2))</f>
        <v/>
      </c>
      <c r="AC254" s="127"/>
      <c r="AD254" s="137"/>
      <c r="AE254" s="58" t="str" cm="1">
        <f>IF(ISBLANK($A254),"",INDEX(Array_ElectricalCharges,MATCH($A254,List_ElectricityMeters,0),ROUNDUP(COLUMN()/3,0)-2))</f>
        <v/>
      </c>
      <c r="AF254" s="127"/>
      <c r="AG254" s="137"/>
      <c r="AH254" s="58" t="str" cm="1">
        <f>IF(ISBLANK($A254),"",INDEX(Array_ElectricalCharges,MATCH($A254,List_ElectricityMeters,0),ROUNDUP(COLUMN()/3,0)-2))</f>
        <v/>
      </c>
      <c r="AI254" s="127"/>
      <c r="AJ254" s="137"/>
      <c r="AK254" s="58" t="str" cm="1">
        <f>IF(ISBLANK($A254),"",INDEX(Array_ElectricalCharges,MATCH($A254,List_ElectricityMeters,0),ROUNDUP(COLUMN()/3,0)-2))</f>
        <v/>
      </c>
      <c r="AL254" s="127"/>
      <c r="AM254" s="137"/>
      <c r="AN254" s="58" t="str" cm="1">
        <f>IF(ISBLANK($A254),"",INDEX(Array_ElectricalCharges,MATCH($A254,List_ElectricityMeters,0),ROUNDUP(COLUMN()/3,0)-2))</f>
        <v/>
      </c>
      <c r="AO254" s="127"/>
      <c r="AP254" s="137"/>
      <c r="AQ254" s="58" t="str" cm="1">
        <f>IF(ISBLANK($A254),"",INDEX(Array_ElectricalCharges,MATCH($A254,List_ElectricityMeters,0),ROUNDUP(COLUMN()/3,0)-2))</f>
        <v/>
      </c>
      <c r="AR254" s="127"/>
      <c r="AS254" s="137"/>
      <c r="AT254" s="58" t="str" cm="1">
        <f>IF(ISBLANK($A254),"",INDEX(Array_ElectricalCharges,MATCH($A254,List_ElectricityMeters,0),ROUNDUP(COLUMN()/3,0)-2))</f>
        <v/>
      </c>
      <c r="AU254" s="127"/>
      <c r="AV254" s="137"/>
      <c r="AW254" s="58" t="str" cm="1">
        <f>IF(ISBLANK($A254),"",INDEX(Array_ElectricalCharges,MATCH($A254,List_ElectricityMeters,0),ROUNDUP(COLUMN()/3,0)-2))</f>
        <v/>
      </c>
      <c r="AX254" s="127"/>
      <c r="AY254" s="137"/>
    </row>
    <row r="255" spans="1:51" x14ac:dyDescent="0.3">
      <c r="A255" s="126"/>
      <c r="B255" s="133"/>
      <c r="C255" s="134"/>
      <c r="D255" s="134"/>
      <c r="E255" s="135"/>
      <c r="F255" s="136"/>
      <c r="G255" s="58" t="str" cm="1">
        <f>IF(ISBLANK($A255),"",INDEX(Array_ElectricalCharges,MATCH($A255,List_ElectricityMeters,0),ROUNDUP(COLUMN()/3,0)-2))</f>
        <v/>
      </c>
      <c r="H255" s="127"/>
      <c r="I255" s="137"/>
      <c r="J255" s="58" t="str" cm="1">
        <f>IF(ISBLANK($A255),"",INDEX(Array_ElectricalCharges,MATCH($A255,List_ElectricityMeters,0),ROUNDUP(COLUMN()/3,0)-2))</f>
        <v/>
      </c>
      <c r="K255" s="127"/>
      <c r="L255" s="137"/>
      <c r="M255" s="58" t="str" cm="1">
        <f>IF(ISBLANK($A255),"",INDEX(Array_ElectricalCharges,MATCH($A255,List_ElectricityMeters,0),ROUNDUP(COLUMN()/3,0)-2))</f>
        <v/>
      </c>
      <c r="N255" s="127"/>
      <c r="O255" s="137"/>
      <c r="P255" s="58" t="str" cm="1">
        <f>IF(ISBLANK($A255),"",INDEX(Array_ElectricalCharges,MATCH($A255,List_ElectricityMeters,0),ROUNDUP(COLUMN()/3,0)-2))</f>
        <v/>
      </c>
      <c r="Q255" s="127"/>
      <c r="R255" s="137"/>
      <c r="S255" s="58" t="str" cm="1">
        <f>IF(ISBLANK($A255),"",INDEX(Array_ElectricalCharges,MATCH($A255,List_ElectricityMeters,0),ROUNDUP(COLUMN()/3,0)-2))</f>
        <v/>
      </c>
      <c r="T255" s="127"/>
      <c r="U255" s="137"/>
      <c r="V255" s="58" t="str" cm="1">
        <f>IF(ISBLANK($A255),"",INDEX(Array_ElectricalCharges,MATCH($A255,List_ElectricityMeters,0),ROUNDUP(COLUMN()/3,0)-2))</f>
        <v/>
      </c>
      <c r="W255" s="127"/>
      <c r="X255" s="137"/>
      <c r="Y255" s="58" t="str" cm="1">
        <f>IF(ISBLANK($A255),"",INDEX(Array_ElectricalCharges,MATCH($A255,List_ElectricityMeters,0),ROUNDUP(COLUMN()/3,0)-2))</f>
        <v/>
      </c>
      <c r="Z255" s="127"/>
      <c r="AA255" s="137"/>
      <c r="AB255" s="58" t="str" cm="1">
        <f>IF(ISBLANK($A255),"",INDEX(Array_ElectricalCharges,MATCH($A255,List_ElectricityMeters,0),ROUNDUP(COLUMN()/3,0)-2))</f>
        <v/>
      </c>
      <c r="AC255" s="127"/>
      <c r="AD255" s="137"/>
      <c r="AE255" s="58" t="str" cm="1">
        <f>IF(ISBLANK($A255),"",INDEX(Array_ElectricalCharges,MATCH($A255,List_ElectricityMeters,0),ROUNDUP(COLUMN()/3,0)-2))</f>
        <v/>
      </c>
      <c r="AF255" s="127"/>
      <c r="AG255" s="137"/>
      <c r="AH255" s="58" t="str" cm="1">
        <f>IF(ISBLANK($A255),"",INDEX(Array_ElectricalCharges,MATCH($A255,List_ElectricityMeters,0),ROUNDUP(COLUMN()/3,0)-2))</f>
        <v/>
      </c>
      <c r="AI255" s="127"/>
      <c r="AJ255" s="137"/>
      <c r="AK255" s="58" t="str" cm="1">
        <f>IF(ISBLANK($A255),"",INDEX(Array_ElectricalCharges,MATCH($A255,List_ElectricityMeters,0),ROUNDUP(COLUMN()/3,0)-2))</f>
        <v/>
      </c>
      <c r="AL255" s="127"/>
      <c r="AM255" s="137"/>
      <c r="AN255" s="58" t="str" cm="1">
        <f>IF(ISBLANK($A255),"",INDEX(Array_ElectricalCharges,MATCH($A255,List_ElectricityMeters,0),ROUNDUP(COLUMN()/3,0)-2))</f>
        <v/>
      </c>
      <c r="AO255" s="127"/>
      <c r="AP255" s="137"/>
      <c r="AQ255" s="58" t="str" cm="1">
        <f>IF(ISBLANK($A255),"",INDEX(Array_ElectricalCharges,MATCH($A255,List_ElectricityMeters,0),ROUNDUP(COLUMN()/3,0)-2))</f>
        <v/>
      </c>
      <c r="AR255" s="127"/>
      <c r="AS255" s="137"/>
      <c r="AT255" s="58" t="str" cm="1">
        <f>IF(ISBLANK($A255),"",INDEX(Array_ElectricalCharges,MATCH($A255,List_ElectricityMeters,0),ROUNDUP(COLUMN()/3,0)-2))</f>
        <v/>
      </c>
      <c r="AU255" s="127"/>
      <c r="AV255" s="137"/>
      <c r="AW255" s="58" t="str" cm="1">
        <f>IF(ISBLANK($A255),"",INDEX(Array_ElectricalCharges,MATCH($A255,List_ElectricityMeters,0),ROUNDUP(COLUMN()/3,0)-2))</f>
        <v/>
      </c>
      <c r="AX255" s="127"/>
      <c r="AY255" s="137"/>
    </row>
    <row r="256" spans="1:51" x14ac:dyDescent="0.3">
      <c r="A256" s="126"/>
      <c r="B256" s="133"/>
      <c r="C256" s="134"/>
      <c r="D256" s="134"/>
      <c r="E256" s="135"/>
      <c r="F256" s="136"/>
      <c r="G256" s="58" t="str" cm="1">
        <f>IF(ISBLANK($A256),"",INDEX(Array_ElectricalCharges,MATCH($A256,List_ElectricityMeters,0),ROUNDUP(COLUMN()/3,0)-2))</f>
        <v/>
      </c>
      <c r="H256" s="127"/>
      <c r="I256" s="137"/>
      <c r="J256" s="58" t="str" cm="1">
        <f>IF(ISBLANK($A256),"",INDEX(Array_ElectricalCharges,MATCH($A256,List_ElectricityMeters,0),ROUNDUP(COLUMN()/3,0)-2))</f>
        <v/>
      </c>
      <c r="K256" s="127"/>
      <c r="L256" s="137"/>
      <c r="M256" s="58" t="str" cm="1">
        <f>IF(ISBLANK($A256),"",INDEX(Array_ElectricalCharges,MATCH($A256,List_ElectricityMeters,0),ROUNDUP(COLUMN()/3,0)-2))</f>
        <v/>
      </c>
      <c r="N256" s="127"/>
      <c r="O256" s="137"/>
      <c r="P256" s="58" t="str" cm="1">
        <f>IF(ISBLANK($A256),"",INDEX(Array_ElectricalCharges,MATCH($A256,List_ElectricityMeters,0),ROUNDUP(COLUMN()/3,0)-2))</f>
        <v/>
      </c>
      <c r="Q256" s="127"/>
      <c r="R256" s="137"/>
      <c r="S256" s="58" t="str" cm="1">
        <f>IF(ISBLANK($A256),"",INDEX(Array_ElectricalCharges,MATCH($A256,List_ElectricityMeters,0),ROUNDUP(COLUMN()/3,0)-2))</f>
        <v/>
      </c>
      <c r="T256" s="127"/>
      <c r="U256" s="137"/>
      <c r="V256" s="58" t="str" cm="1">
        <f>IF(ISBLANK($A256),"",INDEX(Array_ElectricalCharges,MATCH($A256,List_ElectricityMeters,0),ROUNDUP(COLUMN()/3,0)-2))</f>
        <v/>
      </c>
      <c r="W256" s="127"/>
      <c r="X256" s="137"/>
      <c r="Y256" s="58" t="str" cm="1">
        <f>IF(ISBLANK($A256),"",INDEX(Array_ElectricalCharges,MATCH($A256,List_ElectricityMeters,0),ROUNDUP(COLUMN()/3,0)-2))</f>
        <v/>
      </c>
      <c r="Z256" s="127"/>
      <c r="AA256" s="137"/>
      <c r="AB256" s="58" t="str" cm="1">
        <f>IF(ISBLANK($A256),"",INDEX(Array_ElectricalCharges,MATCH($A256,List_ElectricityMeters,0),ROUNDUP(COLUMN()/3,0)-2))</f>
        <v/>
      </c>
      <c r="AC256" s="127"/>
      <c r="AD256" s="137"/>
      <c r="AE256" s="58" t="str" cm="1">
        <f>IF(ISBLANK($A256),"",INDEX(Array_ElectricalCharges,MATCH($A256,List_ElectricityMeters,0),ROUNDUP(COLUMN()/3,0)-2))</f>
        <v/>
      </c>
      <c r="AF256" s="127"/>
      <c r="AG256" s="137"/>
      <c r="AH256" s="58" t="str" cm="1">
        <f>IF(ISBLANK($A256),"",INDEX(Array_ElectricalCharges,MATCH($A256,List_ElectricityMeters,0),ROUNDUP(COLUMN()/3,0)-2))</f>
        <v/>
      </c>
      <c r="AI256" s="127"/>
      <c r="AJ256" s="137"/>
      <c r="AK256" s="58" t="str" cm="1">
        <f>IF(ISBLANK($A256),"",INDEX(Array_ElectricalCharges,MATCH($A256,List_ElectricityMeters,0),ROUNDUP(COLUMN()/3,0)-2))</f>
        <v/>
      </c>
      <c r="AL256" s="127"/>
      <c r="AM256" s="137"/>
      <c r="AN256" s="58" t="str" cm="1">
        <f>IF(ISBLANK($A256),"",INDEX(Array_ElectricalCharges,MATCH($A256,List_ElectricityMeters,0),ROUNDUP(COLUMN()/3,0)-2))</f>
        <v/>
      </c>
      <c r="AO256" s="127"/>
      <c r="AP256" s="137"/>
      <c r="AQ256" s="58" t="str" cm="1">
        <f>IF(ISBLANK($A256),"",INDEX(Array_ElectricalCharges,MATCH($A256,List_ElectricityMeters,0),ROUNDUP(COLUMN()/3,0)-2))</f>
        <v/>
      </c>
      <c r="AR256" s="127"/>
      <c r="AS256" s="137"/>
      <c r="AT256" s="58" t="str" cm="1">
        <f>IF(ISBLANK($A256),"",INDEX(Array_ElectricalCharges,MATCH($A256,List_ElectricityMeters,0),ROUNDUP(COLUMN()/3,0)-2))</f>
        <v/>
      </c>
      <c r="AU256" s="127"/>
      <c r="AV256" s="137"/>
      <c r="AW256" s="58" t="str" cm="1">
        <f>IF(ISBLANK($A256),"",INDEX(Array_ElectricalCharges,MATCH($A256,List_ElectricityMeters,0),ROUNDUP(COLUMN()/3,0)-2))</f>
        <v/>
      </c>
      <c r="AX256" s="127"/>
      <c r="AY256" s="137"/>
    </row>
    <row r="257" spans="1:51" x14ac:dyDescent="0.3">
      <c r="A257" s="126"/>
      <c r="B257" s="133"/>
      <c r="C257" s="134"/>
      <c r="D257" s="134"/>
      <c r="E257" s="135"/>
      <c r="F257" s="136"/>
      <c r="G257" s="58" t="str" cm="1">
        <f>IF(ISBLANK($A257),"",INDEX(Array_ElectricalCharges,MATCH($A257,List_ElectricityMeters,0),ROUNDUP(COLUMN()/3,0)-2))</f>
        <v/>
      </c>
      <c r="H257" s="127"/>
      <c r="I257" s="137"/>
      <c r="J257" s="58" t="str" cm="1">
        <f>IF(ISBLANK($A257),"",INDEX(Array_ElectricalCharges,MATCH($A257,List_ElectricityMeters,0),ROUNDUP(COLUMN()/3,0)-2))</f>
        <v/>
      </c>
      <c r="K257" s="127"/>
      <c r="L257" s="137"/>
      <c r="M257" s="58" t="str" cm="1">
        <f>IF(ISBLANK($A257),"",INDEX(Array_ElectricalCharges,MATCH($A257,List_ElectricityMeters,0),ROUNDUP(COLUMN()/3,0)-2))</f>
        <v/>
      </c>
      <c r="N257" s="127"/>
      <c r="O257" s="137"/>
      <c r="P257" s="58" t="str" cm="1">
        <f>IF(ISBLANK($A257),"",INDEX(Array_ElectricalCharges,MATCH($A257,List_ElectricityMeters,0),ROUNDUP(COLUMN()/3,0)-2))</f>
        <v/>
      </c>
      <c r="Q257" s="127"/>
      <c r="R257" s="137"/>
      <c r="S257" s="58" t="str" cm="1">
        <f>IF(ISBLANK($A257),"",INDEX(Array_ElectricalCharges,MATCH($A257,List_ElectricityMeters,0),ROUNDUP(COLUMN()/3,0)-2))</f>
        <v/>
      </c>
      <c r="T257" s="127"/>
      <c r="U257" s="137"/>
      <c r="V257" s="58" t="str" cm="1">
        <f>IF(ISBLANK($A257),"",INDEX(Array_ElectricalCharges,MATCH($A257,List_ElectricityMeters,0),ROUNDUP(COLUMN()/3,0)-2))</f>
        <v/>
      </c>
      <c r="W257" s="127"/>
      <c r="X257" s="137"/>
      <c r="Y257" s="58" t="str" cm="1">
        <f>IF(ISBLANK($A257),"",INDEX(Array_ElectricalCharges,MATCH($A257,List_ElectricityMeters,0),ROUNDUP(COLUMN()/3,0)-2))</f>
        <v/>
      </c>
      <c r="Z257" s="127"/>
      <c r="AA257" s="137"/>
      <c r="AB257" s="58" t="str" cm="1">
        <f>IF(ISBLANK($A257),"",INDEX(Array_ElectricalCharges,MATCH($A257,List_ElectricityMeters,0),ROUNDUP(COLUMN()/3,0)-2))</f>
        <v/>
      </c>
      <c r="AC257" s="127"/>
      <c r="AD257" s="137"/>
      <c r="AE257" s="58" t="str" cm="1">
        <f>IF(ISBLANK($A257),"",INDEX(Array_ElectricalCharges,MATCH($A257,List_ElectricityMeters,0),ROUNDUP(COLUMN()/3,0)-2))</f>
        <v/>
      </c>
      <c r="AF257" s="127"/>
      <c r="AG257" s="137"/>
      <c r="AH257" s="58" t="str" cm="1">
        <f>IF(ISBLANK($A257),"",INDEX(Array_ElectricalCharges,MATCH($A257,List_ElectricityMeters,0),ROUNDUP(COLUMN()/3,0)-2))</f>
        <v/>
      </c>
      <c r="AI257" s="127"/>
      <c r="AJ257" s="137"/>
      <c r="AK257" s="58" t="str" cm="1">
        <f>IF(ISBLANK($A257),"",INDEX(Array_ElectricalCharges,MATCH($A257,List_ElectricityMeters,0),ROUNDUP(COLUMN()/3,0)-2))</f>
        <v/>
      </c>
      <c r="AL257" s="127"/>
      <c r="AM257" s="137"/>
      <c r="AN257" s="58" t="str" cm="1">
        <f>IF(ISBLANK($A257),"",INDEX(Array_ElectricalCharges,MATCH($A257,List_ElectricityMeters,0),ROUNDUP(COLUMN()/3,0)-2))</f>
        <v/>
      </c>
      <c r="AO257" s="127"/>
      <c r="AP257" s="137"/>
      <c r="AQ257" s="58" t="str" cm="1">
        <f>IF(ISBLANK($A257),"",INDEX(Array_ElectricalCharges,MATCH($A257,List_ElectricityMeters,0),ROUNDUP(COLUMN()/3,0)-2))</f>
        <v/>
      </c>
      <c r="AR257" s="127"/>
      <c r="AS257" s="137"/>
      <c r="AT257" s="58" t="str" cm="1">
        <f>IF(ISBLANK($A257),"",INDEX(Array_ElectricalCharges,MATCH($A257,List_ElectricityMeters,0),ROUNDUP(COLUMN()/3,0)-2))</f>
        <v/>
      </c>
      <c r="AU257" s="127"/>
      <c r="AV257" s="137"/>
      <c r="AW257" s="58" t="str" cm="1">
        <f>IF(ISBLANK($A257),"",INDEX(Array_ElectricalCharges,MATCH($A257,List_ElectricityMeters,0),ROUNDUP(COLUMN()/3,0)-2))</f>
        <v/>
      </c>
      <c r="AX257" s="127"/>
      <c r="AY257" s="137"/>
    </row>
    <row r="258" spans="1:51" x14ac:dyDescent="0.3">
      <c r="A258" s="126"/>
      <c r="B258" s="133"/>
      <c r="C258" s="134"/>
      <c r="D258" s="134"/>
      <c r="E258" s="135"/>
      <c r="F258" s="136"/>
      <c r="G258" s="58" t="str" cm="1">
        <f>IF(ISBLANK($A258),"",INDEX(Array_ElectricalCharges,MATCH($A258,List_ElectricityMeters,0),ROUNDUP(COLUMN()/3,0)-2))</f>
        <v/>
      </c>
      <c r="H258" s="127"/>
      <c r="I258" s="137"/>
      <c r="J258" s="58" t="str" cm="1">
        <f>IF(ISBLANK($A258),"",INDEX(Array_ElectricalCharges,MATCH($A258,List_ElectricityMeters,0),ROUNDUP(COLUMN()/3,0)-2))</f>
        <v/>
      </c>
      <c r="K258" s="127"/>
      <c r="L258" s="137"/>
      <c r="M258" s="58" t="str" cm="1">
        <f>IF(ISBLANK($A258),"",INDEX(Array_ElectricalCharges,MATCH($A258,List_ElectricityMeters,0),ROUNDUP(COLUMN()/3,0)-2))</f>
        <v/>
      </c>
      <c r="N258" s="127"/>
      <c r="O258" s="137"/>
      <c r="P258" s="58" t="str" cm="1">
        <f>IF(ISBLANK($A258),"",INDEX(Array_ElectricalCharges,MATCH($A258,List_ElectricityMeters,0),ROUNDUP(COLUMN()/3,0)-2))</f>
        <v/>
      </c>
      <c r="Q258" s="127"/>
      <c r="R258" s="137"/>
      <c r="S258" s="58" t="str" cm="1">
        <f>IF(ISBLANK($A258),"",INDEX(Array_ElectricalCharges,MATCH($A258,List_ElectricityMeters,0),ROUNDUP(COLUMN()/3,0)-2))</f>
        <v/>
      </c>
      <c r="T258" s="127"/>
      <c r="U258" s="137"/>
      <c r="V258" s="58" t="str" cm="1">
        <f>IF(ISBLANK($A258),"",INDEX(Array_ElectricalCharges,MATCH($A258,List_ElectricityMeters,0),ROUNDUP(COLUMN()/3,0)-2))</f>
        <v/>
      </c>
      <c r="W258" s="127"/>
      <c r="X258" s="137"/>
      <c r="Y258" s="58" t="str" cm="1">
        <f>IF(ISBLANK($A258),"",INDEX(Array_ElectricalCharges,MATCH($A258,List_ElectricityMeters,0),ROUNDUP(COLUMN()/3,0)-2))</f>
        <v/>
      </c>
      <c r="Z258" s="127"/>
      <c r="AA258" s="137"/>
      <c r="AB258" s="58" t="str" cm="1">
        <f>IF(ISBLANK($A258),"",INDEX(Array_ElectricalCharges,MATCH($A258,List_ElectricityMeters,0),ROUNDUP(COLUMN()/3,0)-2))</f>
        <v/>
      </c>
      <c r="AC258" s="127"/>
      <c r="AD258" s="137"/>
      <c r="AE258" s="58" t="str" cm="1">
        <f>IF(ISBLANK($A258),"",INDEX(Array_ElectricalCharges,MATCH($A258,List_ElectricityMeters,0),ROUNDUP(COLUMN()/3,0)-2))</f>
        <v/>
      </c>
      <c r="AF258" s="127"/>
      <c r="AG258" s="137"/>
      <c r="AH258" s="58" t="str" cm="1">
        <f>IF(ISBLANK($A258),"",INDEX(Array_ElectricalCharges,MATCH($A258,List_ElectricityMeters,0),ROUNDUP(COLUMN()/3,0)-2))</f>
        <v/>
      </c>
      <c r="AI258" s="127"/>
      <c r="AJ258" s="137"/>
      <c r="AK258" s="58" t="str" cm="1">
        <f>IF(ISBLANK($A258),"",INDEX(Array_ElectricalCharges,MATCH($A258,List_ElectricityMeters,0),ROUNDUP(COLUMN()/3,0)-2))</f>
        <v/>
      </c>
      <c r="AL258" s="127"/>
      <c r="AM258" s="137"/>
      <c r="AN258" s="58" t="str" cm="1">
        <f>IF(ISBLANK($A258),"",INDEX(Array_ElectricalCharges,MATCH($A258,List_ElectricityMeters,0),ROUNDUP(COLUMN()/3,0)-2))</f>
        <v/>
      </c>
      <c r="AO258" s="127"/>
      <c r="AP258" s="137"/>
      <c r="AQ258" s="58" t="str" cm="1">
        <f>IF(ISBLANK($A258),"",INDEX(Array_ElectricalCharges,MATCH($A258,List_ElectricityMeters,0),ROUNDUP(COLUMN()/3,0)-2))</f>
        <v/>
      </c>
      <c r="AR258" s="127"/>
      <c r="AS258" s="137"/>
      <c r="AT258" s="58" t="str" cm="1">
        <f>IF(ISBLANK($A258),"",INDEX(Array_ElectricalCharges,MATCH($A258,List_ElectricityMeters,0),ROUNDUP(COLUMN()/3,0)-2))</f>
        <v/>
      </c>
      <c r="AU258" s="127"/>
      <c r="AV258" s="137"/>
      <c r="AW258" s="58" t="str" cm="1">
        <f>IF(ISBLANK($A258),"",INDEX(Array_ElectricalCharges,MATCH($A258,List_ElectricityMeters,0),ROUNDUP(COLUMN()/3,0)-2))</f>
        <v/>
      </c>
      <c r="AX258" s="127"/>
      <c r="AY258" s="137"/>
    </row>
    <row r="259" spans="1:51" x14ac:dyDescent="0.3">
      <c r="A259" s="126"/>
      <c r="B259" s="133"/>
      <c r="C259" s="134"/>
      <c r="D259" s="134"/>
      <c r="E259" s="135"/>
      <c r="F259" s="136"/>
      <c r="G259" s="58" t="str" cm="1">
        <f>IF(ISBLANK($A259),"",INDEX(Array_ElectricalCharges,MATCH($A259,List_ElectricityMeters,0),ROUNDUP(COLUMN()/3,0)-2))</f>
        <v/>
      </c>
      <c r="H259" s="127"/>
      <c r="I259" s="137"/>
      <c r="J259" s="58" t="str" cm="1">
        <f>IF(ISBLANK($A259),"",INDEX(Array_ElectricalCharges,MATCH($A259,List_ElectricityMeters,0),ROUNDUP(COLUMN()/3,0)-2))</f>
        <v/>
      </c>
      <c r="K259" s="127"/>
      <c r="L259" s="137"/>
      <c r="M259" s="58" t="str" cm="1">
        <f>IF(ISBLANK($A259),"",INDEX(Array_ElectricalCharges,MATCH($A259,List_ElectricityMeters,0),ROUNDUP(COLUMN()/3,0)-2))</f>
        <v/>
      </c>
      <c r="N259" s="127"/>
      <c r="O259" s="137"/>
      <c r="P259" s="58" t="str" cm="1">
        <f>IF(ISBLANK($A259),"",INDEX(Array_ElectricalCharges,MATCH($A259,List_ElectricityMeters,0),ROUNDUP(COLUMN()/3,0)-2))</f>
        <v/>
      </c>
      <c r="Q259" s="127"/>
      <c r="R259" s="137"/>
      <c r="S259" s="58" t="str" cm="1">
        <f>IF(ISBLANK($A259),"",INDEX(Array_ElectricalCharges,MATCH($A259,List_ElectricityMeters,0),ROUNDUP(COLUMN()/3,0)-2))</f>
        <v/>
      </c>
      <c r="T259" s="127"/>
      <c r="U259" s="137"/>
      <c r="V259" s="58" t="str" cm="1">
        <f>IF(ISBLANK($A259),"",INDEX(Array_ElectricalCharges,MATCH($A259,List_ElectricityMeters,0),ROUNDUP(COLUMN()/3,0)-2))</f>
        <v/>
      </c>
      <c r="W259" s="127"/>
      <c r="X259" s="137"/>
      <c r="Y259" s="58" t="str" cm="1">
        <f>IF(ISBLANK($A259),"",INDEX(Array_ElectricalCharges,MATCH($A259,List_ElectricityMeters,0),ROUNDUP(COLUMN()/3,0)-2))</f>
        <v/>
      </c>
      <c r="Z259" s="127"/>
      <c r="AA259" s="137"/>
      <c r="AB259" s="58" t="str" cm="1">
        <f>IF(ISBLANK($A259),"",INDEX(Array_ElectricalCharges,MATCH($A259,List_ElectricityMeters,0),ROUNDUP(COLUMN()/3,0)-2))</f>
        <v/>
      </c>
      <c r="AC259" s="127"/>
      <c r="AD259" s="137"/>
      <c r="AE259" s="58" t="str" cm="1">
        <f>IF(ISBLANK($A259),"",INDEX(Array_ElectricalCharges,MATCH($A259,List_ElectricityMeters,0),ROUNDUP(COLUMN()/3,0)-2))</f>
        <v/>
      </c>
      <c r="AF259" s="127"/>
      <c r="AG259" s="137"/>
      <c r="AH259" s="58" t="str" cm="1">
        <f>IF(ISBLANK($A259),"",INDEX(Array_ElectricalCharges,MATCH($A259,List_ElectricityMeters,0),ROUNDUP(COLUMN()/3,0)-2))</f>
        <v/>
      </c>
      <c r="AI259" s="127"/>
      <c r="AJ259" s="137"/>
      <c r="AK259" s="58" t="str" cm="1">
        <f>IF(ISBLANK($A259),"",INDEX(Array_ElectricalCharges,MATCH($A259,List_ElectricityMeters,0),ROUNDUP(COLUMN()/3,0)-2))</f>
        <v/>
      </c>
      <c r="AL259" s="127"/>
      <c r="AM259" s="137"/>
      <c r="AN259" s="58" t="str" cm="1">
        <f>IF(ISBLANK($A259),"",INDEX(Array_ElectricalCharges,MATCH($A259,List_ElectricityMeters,0),ROUNDUP(COLUMN()/3,0)-2))</f>
        <v/>
      </c>
      <c r="AO259" s="127"/>
      <c r="AP259" s="137"/>
      <c r="AQ259" s="58" t="str" cm="1">
        <f>IF(ISBLANK($A259),"",INDEX(Array_ElectricalCharges,MATCH($A259,List_ElectricityMeters,0),ROUNDUP(COLUMN()/3,0)-2))</f>
        <v/>
      </c>
      <c r="AR259" s="127"/>
      <c r="AS259" s="137"/>
      <c r="AT259" s="58" t="str" cm="1">
        <f>IF(ISBLANK($A259),"",INDEX(Array_ElectricalCharges,MATCH($A259,List_ElectricityMeters,0),ROUNDUP(COLUMN()/3,0)-2))</f>
        <v/>
      </c>
      <c r="AU259" s="127"/>
      <c r="AV259" s="137"/>
      <c r="AW259" s="58" t="str" cm="1">
        <f>IF(ISBLANK($A259),"",INDEX(Array_ElectricalCharges,MATCH($A259,List_ElectricityMeters,0),ROUNDUP(COLUMN()/3,0)-2))</f>
        <v/>
      </c>
      <c r="AX259" s="127"/>
      <c r="AY259" s="137"/>
    </row>
    <row r="260" spans="1:51" x14ac:dyDescent="0.3">
      <c r="A260" s="126"/>
      <c r="B260" s="133"/>
      <c r="C260" s="134"/>
      <c r="D260" s="134"/>
      <c r="E260" s="135"/>
      <c r="F260" s="136"/>
      <c r="G260" s="58" t="str" cm="1">
        <f>IF(ISBLANK($A260),"",INDEX(Array_ElectricalCharges,MATCH($A260,List_ElectricityMeters,0),ROUNDUP(COLUMN()/3,0)-2))</f>
        <v/>
      </c>
      <c r="H260" s="127"/>
      <c r="I260" s="137"/>
      <c r="J260" s="58" t="str" cm="1">
        <f>IF(ISBLANK($A260),"",INDEX(Array_ElectricalCharges,MATCH($A260,List_ElectricityMeters,0),ROUNDUP(COLUMN()/3,0)-2))</f>
        <v/>
      </c>
      <c r="K260" s="127"/>
      <c r="L260" s="137"/>
      <c r="M260" s="58" t="str" cm="1">
        <f>IF(ISBLANK($A260),"",INDEX(Array_ElectricalCharges,MATCH($A260,List_ElectricityMeters,0),ROUNDUP(COLUMN()/3,0)-2))</f>
        <v/>
      </c>
      <c r="N260" s="127"/>
      <c r="O260" s="137"/>
      <c r="P260" s="58" t="str" cm="1">
        <f>IF(ISBLANK($A260),"",INDEX(Array_ElectricalCharges,MATCH($A260,List_ElectricityMeters,0),ROUNDUP(COLUMN()/3,0)-2))</f>
        <v/>
      </c>
      <c r="Q260" s="127"/>
      <c r="R260" s="137"/>
      <c r="S260" s="58" t="str" cm="1">
        <f>IF(ISBLANK($A260),"",INDEX(Array_ElectricalCharges,MATCH($A260,List_ElectricityMeters,0),ROUNDUP(COLUMN()/3,0)-2))</f>
        <v/>
      </c>
      <c r="T260" s="127"/>
      <c r="U260" s="137"/>
      <c r="V260" s="58" t="str" cm="1">
        <f>IF(ISBLANK($A260),"",INDEX(Array_ElectricalCharges,MATCH($A260,List_ElectricityMeters,0),ROUNDUP(COLUMN()/3,0)-2))</f>
        <v/>
      </c>
      <c r="W260" s="127"/>
      <c r="X260" s="137"/>
      <c r="Y260" s="58" t="str" cm="1">
        <f>IF(ISBLANK($A260),"",INDEX(Array_ElectricalCharges,MATCH($A260,List_ElectricityMeters,0),ROUNDUP(COLUMN()/3,0)-2))</f>
        <v/>
      </c>
      <c r="Z260" s="127"/>
      <c r="AA260" s="137"/>
      <c r="AB260" s="58" t="str" cm="1">
        <f>IF(ISBLANK($A260),"",INDEX(Array_ElectricalCharges,MATCH($A260,List_ElectricityMeters,0),ROUNDUP(COLUMN()/3,0)-2))</f>
        <v/>
      </c>
      <c r="AC260" s="127"/>
      <c r="AD260" s="137"/>
      <c r="AE260" s="58" t="str" cm="1">
        <f>IF(ISBLANK($A260),"",INDEX(Array_ElectricalCharges,MATCH($A260,List_ElectricityMeters,0),ROUNDUP(COLUMN()/3,0)-2))</f>
        <v/>
      </c>
      <c r="AF260" s="127"/>
      <c r="AG260" s="137"/>
      <c r="AH260" s="58" t="str" cm="1">
        <f>IF(ISBLANK($A260),"",INDEX(Array_ElectricalCharges,MATCH($A260,List_ElectricityMeters,0),ROUNDUP(COLUMN()/3,0)-2))</f>
        <v/>
      </c>
      <c r="AI260" s="127"/>
      <c r="AJ260" s="137"/>
      <c r="AK260" s="58" t="str" cm="1">
        <f>IF(ISBLANK($A260),"",INDEX(Array_ElectricalCharges,MATCH($A260,List_ElectricityMeters,0),ROUNDUP(COLUMN()/3,0)-2))</f>
        <v/>
      </c>
      <c r="AL260" s="127"/>
      <c r="AM260" s="137"/>
      <c r="AN260" s="58" t="str" cm="1">
        <f>IF(ISBLANK($A260),"",INDEX(Array_ElectricalCharges,MATCH($A260,List_ElectricityMeters,0),ROUNDUP(COLUMN()/3,0)-2))</f>
        <v/>
      </c>
      <c r="AO260" s="127"/>
      <c r="AP260" s="137"/>
      <c r="AQ260" s="58" t="str" cm="1">
        <f>IF(ISBLANK($A260),"",INDEX(Array_ElectricalCharges,MATCH($A260,List_ElectricityMeters,0),ROUNDUP(COLUMN()/3,0)-2))</f>
        <v/>
      </c>
      <c r="AR260" s="127"/>
      <c r="AS260" s="137"/>
      <c r="AT260" s="58" t="str" cm="1">
        <f>IF(ISBLANK($A260),"",INDEX(Array_ElectricalCharges,MATCH($A260,List_ElectricityMeters,0),ROUNDUP(COLUMN()/3,0)-2))</f>
        <v/>
      </c>
      <c r="AU260" s="127"/>
      <c r="AV260" s="137"/>
      <c r="AW260" s="58" t="str" cm="1">
        <f>IF(ISBLANK($A260),"",INDEX(Array_ElectricalCharges,MATCH($A260,List_ElectricityMeters,0),ROUNDUP(COLUMN()/3,0)-2))</f>
        <v/>
      </c>
      <c r="AX260" s="127"/>
      <c r="AY260" s="137"/>
    </row>
    <row r="261" spans="1:51" x14ac:dyDescent="0.3">
      <c r="A261" s="126"/>
      <c r="B261" s="133"/>
      <c r="C261" s="134"/>
      <c r="D261" s="134"/>
      <c r="E261" s="135"/>
      <c r="F261" s="136"/>
      <c r="G261" s="58" t="str" cm="1">
        <f>IF(ISBLANK($A261),"",INDEX(Array_ElectricalCharges,MATCH($A261,List_ElectricityMeters,0),ROUNDUP(COLUMN()/3,0)-2))</f>
        <v/>
      </c>
      <c r="H261" s="127"/>
      <c r="I261" s="137"/>
      <c r="J261" s="58" t="str" cm="1">
        <f>IF(ISBLANK($A261),"",INDEX(Array_ElectricalCharges,MATCH($A261,List_ElectricityMeters,0),ROUNDUP(COLUMN()/3,0)-2))</f>
        <v/>
      </c>
      <c r="K261" s="127"/>
      <c r="L261" s="137"/>
      <c r="M261" s="58" t="str" cm="1">
        <f>IF(ISBLANK($A261),"",INDEX(Array_ElectricalCharges,MATCH($A261,List_ElectricityMeters,0),ROUNDUP(COLUMN()/3,0)-2))</f>
        <v/>
      </c>
      <c r="N261" s="127"/>
      <c r="O261" s="137"/>
      <c r="P261" s="58" t="str" cm="1">
        <f>IF(ISBLANK($A261),"",INDEX(Array_ElectricalCharges,MATCH($A261,List_ElectricityMeters,0),ROUNDUP(COLUMN()/3,0)-2))</f>
        <v/>
      </c>
      <c r="Q261" s="127"/>
      <c r="R261" s="137"/>
      <c r="S261" s="58" t="str" cm="1">
        <f>IF(ISBLANK($A261),"",INDEX(Array_ElectricalCharges,MATCH($A261,List_ElectricityMeters,0),ROUNDUP(COLUMN()/3,0)-2))</f>
        <v/>
      </c>
      <c r="T261" s="127"/>
      <c r="U261" s="137"/>
      <c r="V261" s="58" t="str" cm="1">
        <f>IF(ISBLANK($A261),"",INDEX(Array_ElectricalCharges,MATCH($A261,List_ElectricityMeters,0),ROUNDUP(COLUMN()/3,0)-2))</f>
        <v/>
      </c>
      <c r="W261" s="127"/>
      <c r="X261" s="137"/>
      <c r="Y261" s="58" t="str" cm="1">
        <f>IF(ISBLANK($A261),"",INDEX(Array_ElectricalCharges,MATCH($A261,List_ElectricityMeters,0),ROUNDUP(COLUMN()/3,0)-2))</f>
        <v/>
      </c>
      <c r="Z261" s="127"/>
      <c r="AA261" s="137"/>
      <c r="AB261" s="58" t="str" cm="1">
        <f>IF(ISBLANK($A261),"",INDEX(Array_ElectricalCharges,MATCH($A261,List_ElectricityMeters,0),ROUNDUP(COLUMN()/3,0)-2))</f>
        <v/>
      </c>
      <c r="AC261" s="127"/>
      <c r="AD261" s="137"/>
      <c r="AE261" s="58" t="str" cm="1">
        <f>IF(ISBLANK($A261),"",INDEX(Array_ElectricalCharges,MATCH($A261,List_ElectricityMeters,0),ROUNDUP(COLUMN()/3,0)-2))</f>
        <v/>
      </c>
      <c r="AF261" s="127"/>
      <c r="AG261" s="137"/>
      <c r="AH261" s="58" t="str" cm="1">
        <f>IF(ISBLANK($A261),"",INDEX(Array_ElectricalCharges,MATCH($A261,List_ElectricityMeters,0),ROUNDUP(COLUMN()/3,0)-2))</f>
        <v/>
      </c>
      <c r="AI261" s="127"/>
      <c r="AJ261" s="137"/>
      <c r="AK261" s="58" t="str" cm="1">
        <f>IF(ISBLANK($A261),"",INDEX(Array_ElectricalCharges,MATCH($A261,List_ElectricityMeters,0),ROUNDUP(COLUMN()/3,0)-2))</f>
        <v/>
      </c>
      <c r="AL261" s="127"/>
      <c r="AM261" s="137"/>
      <c r="AN261" s="58" t="str" cm="1">
        <f>IF(ISBLANK($A261),"",INDEX(Array_ElectricalCharges,MATCH($A261,List_ElectricityMeters,0),ROUNDUP(COLUMN()/3,0)-2))</f>
        <v/>
      </c>
      <c r="AO261" s="127"/>
      <c r="AP261" s="137"/>
      <c r="AQ261" s="58" t="str" cm="1">
        <f>IF(ISBLANK($A261),"",INDEX(Array_ElectricalCharges,MATCH($A261,List_ElectricityMeters,0),ROUNDUP(COLUMN()/3,0)-2))</f>
        <v/>
      </c>
      <c r="AR261" s="127"/>
      <c r="AS261" s="137"/>
      <c r="AT261" s="58" t="str" cm="1">
        <f>IF(ISBLANK($A261),"",INDEX(Array_ElectricalCharges,MATCH($A261,List_ElectricityMeters,0),ROUNDUP(COLUMN()/3,0)-2))</f>
        <v/>
      </c>
      <c r="AU261" s="127"/>
      <c r="AV261" s="137"/>
      <c r="AW261" s="58" t="str" cm="1">
        <f>IF(ISBLANK($A261),"",INDEX(Array_ElectricalCharges,MATCH($A261,List_ElectricityMeters,0),ROUNDUP(COLUMN()/3,0)-2))</f>
        <v/>
      </c>
      <c r="AX261" s="127"/>
      <c r="AY261" s="137"/>
    </row>
    <row r="262" spans="1:51" x14ac:dyDescent="0.3">
      <c r="A262" s="126"/>
      <c r="B262" s="133"/>
      <c r="C262" s="134"/>
      <c r="D262" s="134"/>
      <c r="E262" s="135"/>
      <c r="F262" s="136"/>
      <c r="G262" s="58" t="str" cm="1">
        <f>IF(ISBLANK($A262),"",INDEX(Array_ElectricalCharges,MATCH($A262,List_ElectricityMeters,0),ROUNDUP(COLUMN()/3,0)-2))</f>
        <v/>
      </c>
      <c r="H262" s="127"/>
      <c r="I262" s="137"/>
      <c r="J262" s="58" t="str" cm="1">
        <f>IF(ISBLANK($A262),"",INDEX(Array_ElectricalCharges,MATCH($A262,List_ElectricityMeters,0),ROUNDUP(COLUMN()/3,0)-2))</f>
        <v/>
      </c>
      <c r="K262" s="127"/>
      <c r="L262" s="137"/>
      <c r="M262" s="58" t="str" cm="1">
        <f>IF(ISBLANK($A262),"",INDEX(Array_ElectricalCharges,MATCH($A262,List_ElectricityMeters,0),ROUNDUP(COLUMN()/3,0)-2))</f>
        <v/>
      </c>
      <c r="N262" s="127"/>
      <c r="O262" s="137"/>
      <c r="P262" s="58" t="str" cm="1">
        <f>IF(ISBLANK($A262),"",INDEX(Array_ElectricalCharges,MATCH($A262,List_ElectricityMeters,0),ROUNDUP(COLUMN()/3,0)-2))</f>
        <v/>
      </c>
      <c r="Q262" s="127"/>
      <c r="R262" s="137"/>
      <c r="S262" s="58" t="str" cm="1">
        <f>IF(ISBLANK($A262),"",INDEX(Array_ElectricalCharges,MATCH($A262,List_ElectricityMeters,0),ROUNDUP(COLUMN()/3,0)-2))</f>
        <v/>
      </c>
      <c r="T262" s="127"/>
      <c r="U262" s="137"/>
      <c r="V262" s="58" t="str" cm="1">
        <f>IF(ISBLANK($A262),"",INDEX(Array_ElectricalCharges,MATCH($A262,List_ElectricityMeters,0),ROUNDUP(COLUMN()/3,0)-2))</f>
        <v/>
      </c>
      <c r="W262" s="127"/>
      <c r="X262" s="137"/>
      <c r="Y262" s="58" t="str" cm="1">
        <f>IF(ISBLANK($A262),"",INDEX(Array_ElectricalCharges,MATCH($A262,List_ElectricityMeters,0),ROUNDUP(COLUMN()/3,0)-2))</f>
        <v/>
      </c>
      <c r="Z262" s="127"/>
      <c r="AA262" s="137"/>
      <c r="AB262" s="58" t="str" cm="1">
        <f>IF(ISBLANK($A262),"",INDEX(Array_ElectricalCharges,MATCH($A262,List_ElectricityMeters,0),ROUNDUP(COLUMN()/3,0)-2))</f>
        <v/>
      </c>
      <c r="AC262" s="127"/>
      <c r="AD262" s="137"/>
      <c r="AE262" s="58" t="str" cm="1">
        <f>IF(ISBLANK($A262),"",INDEX(Array_ElectricalCharges,MATCH($A262,List_ElectricityMeters,0),ROUNDUP(COLUMN()/3,0)-2))</f>
        <v/>
      </c>
      <c r="AF262" s="127"/>
      <c r="AG262" s="137"/>
      <c r="AH262" s="58" t="str" cm="1">
        <f>IF(ISBLANK($A262),"",INDEX(Array_ElectricalCharges,MATCH($A262,List_ElectricityMeters,0),ROUNDUP(COLUMN()/3,0)-2))</f>
        <v/>
      </c>
      <c r="AI262" s="127"/>
      <c r="AJ262" s="137"/>
      <c r="AK262" s="58" t="str" cm="1">
        <f>IF(ISBLANK($A262),"",INDEX(Array_ElectricalCharges,MATCH($A262,List_ElectricityMeters,0),ROUNDUP(COLUMN()/3,0)-2))</f>
        <v/>
      </c>
      <c r="AL262" s="127"/>
      <c r="AM262" s="137"/>
      <c r="AN262" s="58" t="str" cm="1">
        <f>IF(ISBLANK($A262),"",INDEX(Array_ElectricalCharges,MATCH($A262,List_ElectricityMeters,0),ROUNDUP(COLUMN()/3,0)-2))</f>
        <v/>
      </c>
      <c r="AO262" s="127"/>
      <c r="AP262" s="137"/>
      <c r="AQ262" s="58" t="str" cm="1">
        <f>IF(ISBLANK($A262),"",INDEX(Array_ElectricalCharges,MATCH($A262,List_ElectricityMeters,0),ROUNDUP(COLUMN()/3,0)-2))</f>
        <v/>
      </c>
      <c r="AR262" s="127"/>
      <c r="AS262" s="137"/>
      <c r="AT262" s="58" t="str" cm="1">
        <f>IF(ISBLANK($A262),"",INDEX(Array_ElectricalCharges,MATCH($A262,List_ElectricityMeters,0),ROUNDUP(COLUMN()/3,0)-2))</f>
        <v/>
      </c>
      <c r="AU262" s="127"/>
      <c r="AV262" s="137"/>
      <c r="AW262" s="58" t="str" cm="1">
        <f>IF(ISBLANK($A262),"",INDEX(Array_ElectricalCharges,MATCH($A262,List_ElectricityMeters,0),ROUNDUP(COLUMN()/3,0)-2))</f>
        <v/>
      </c>
      <c r="AX262" s="127"/>
      <c r="AY262" s="137"/>
    </row>
    <row r="263" spans="1:51" x14ac:dyDescent="0.3">
      <c r="A263" s="126"/>
      <c r="B263" s="133"/>
      <c r="C263" s="134"/>
      <c r="D263" s="134"/>
      <c r="E263" s="135"/>
      <c r="F263" s="136"/>
      <c r="G263" s="58" t="str" cm="1">
        <f>IF(ISBLANK($A263),"",INDEX(Array_ElectricalCharges,MATCH($A263,List_ElectricityMeters,0),ROUNDUP(COLUMN()/3,0)-2))</f>
        <v/>
      </c>
      <c r="H263" s="127"/>
      <c r="I263" s="137"/>
      <c r="J263" s="58" t="str" cm="1">
        <f>IF(ISBLANK($A263),"",INDEX(Array_ElectricalCharges,MATCH($A263,List_ElectricityMeters,0),ROUNDUP(COLUMN()/3,0)-2))</f>
        <v/>
      </c>
      <c r="K263" s="127"/>
      <c r="L263" s="137"/>
      <c r="M263" s="58" t="str" cm="1">
        <f>IF(ISBLANK($A263),"",INDEX(Array_ElectricalCharges,MATCH($A263,List_ElectricityMeters,0),ROUNDUP(COLUMN()/3,0)-2))</f>
        <v/>
      </c>
      <c r="N263" s="127"/>
      <c r="O263" s="137"/>
      <c r="P263" s="58" t="str" cm="1">
        <f>IF(ISBLANK($A263),"",INDEX(Array_ElectricalCharges,MATCH($A263,List_ElectricityMeters,0),ROUNDUP(COLUMN()/3,0)-2))</f>
        <v/>
      </c>
      <c r="Q263" s="127"/>
      <c r="R263" s="137"/>
      <c r="S263" s="58" t="str" cm="1">
        <f>IF(ISBLANK($A263),"",INDEX(Array_ElectricalCharges,MATCH($A263,List_ElectricityMeters,0),ROUNDUP(COLUMN()/3,0)-2))</f>
        <v/>
      </c>
      <c r="T263" s="127"/>
      <c r="U263" s="137"/>
      <c r="V263" s="58" t="str" cm="1">
        <f>IF(ISBLANK($A263),"",INDEX(Array_ElectricalCharges,MATCH($A263,List_ElectricityMeters,0),ROUNDUP(COLUMN()/3,0)-2))</f>
        <v/>
      </c>
      <c r="W263" s="127"/>
      <c r="X263" s="137"/>
      <c r="Y263" s="58" t="str" cm="1">
        <f>IF(ISBLANK($A263),"",INDEX(Array_ElectricalCharges,MATCH($A263,List_ElectricityMeters,0),ROUNDUP(COLUMN()/3,0)-2))</f>
        <v/>
      </c>
      <c r="Z263" s="127"/>
      <c r="AA263" s="137"/>
      <c r="AB263" s="58" t="str" cm="1">
        <f>IF(ISBLANK($A263),"",INDEX(Array_ElectricalCharges,MATCH($A263,List_ElectricityMeters,0),ROUNDUP(COLUMN()/3,0)-2))</f>
        <v/>
      </c>
      <c r="AC263" s="127"/>
      <c r="AD263" s="137"/>
      <c r="AE263" s="58" t="str" cm="1">
        <f>IF(ISBLANK($A263),"",INDEX(Array_ElectricalCharges,MATCH($A263,List_ElectricityMeters,0),ROUNDUP(COLUMN()/3,0)-2))</f>
        <v/>
      </c>
      <c r="AF263" s="127"/>
      <c r="AG263" s="137"/>
      <c r="AH263" s="58" t="str" cm="1">
        <f>IF(ISBLANK($A263),"",INDEX(Array_ElectricalCharges,MATCH($A263,List_ElectricityMeters,0),ROUNDUP(COLUMN()/3,0)-2))</f>
        <v/>
      </c>
      <c r="AI263" s="127"/>
      <c r="AJ263" s="137"/>
      <c r="AK263" s="58" t="str" cm="1">
        <f>IF(ISBLANK($A263),"",INDEX(Array_ElectricalCharges,MATCH($A263,List_ElectricityMeters,0),ROUNDUP(COLUMN()/3,0)-2))</f>
        <v/>
      </c>
      <c r="AL263" s="127"/>
      <c r="AM263" s="137"/>
      <c r="AN263" s="58" t="str" cm="1">
        <f>IF(ISBLANK($A263),"",INDEX(Array_ElectricalCharges,MATCH($A263,List_ElectricityMeters,0),ROUNDUP(COLUMN()/3,0)-2))</f>
        <v/>
      </c>
      <c r="AO263" s="127"/>
      <c r="AP263" s="137"/>
      <c r="AQ263" s="58" t="str" cm="1">
        <f>IF(ISBLANK($A263),"",INDEX(Array_ElectricalCharges,MATCH($A263,List_ElectricityMeters,0),ROUNDUP(COLUMN()/3,0)-2))</f>
        <v/>
      </c>
      <c r="AR263" s="127"/>
      <c r="AS263" s="137"/>
      <c r="AT263" s="58" t="str" cm="1">
        <f>IF(ISBLANK($A263),"",INDEX(Array_ElectricalCharges,MATCH($A263,List_ElectricityMeters,0),ROUNDUP(COLUMN()/3,0)-2))</f>
        <v/>
      </c>
      <c r="AU263" s="127"/>
      <c r="AV263" s="137"/>
      <c r="AW263" s="58" t="str" cm="1">
        <f>IF(ISBLANK($A263),"",INDEX(Array_ElectricalCharges,MATCH($A263,List_ElectricityMeters,0),ROUNDUP(COLUMN()/3,0)-2))</f>
        <v/>
      </c>
      <c r="AX263" s="127"/>
      <c r="AY263" s="137"/>
    </row>
    <row r="264" spans="1:51" x14ac:dyDescent="0.3">
      <c r="A264" s="126"/>
      <c r="B264" s="133"/>
      <c r="C264" s="134"/>
      <c r="D264" s="134"/>
      <c r="E264" s="135"/>
      <c r="F264" s="136"/>
      <c r="G264" s="58" t="str" cm="1">
        <f>IF(ISBLANK($A264),"",INDEX(Array_ElectricalCharges,MATCH($A264,List_ElectricityMeters,0),ROUNDUP(COLUMN()/3,0)-2))</f>
        <v/>
      </c>
      <c r="H264" s="127"/>
      <c r="I264" s="137"/>
      <c r="J264" s="58" t="str" cm="1">
        <f>IF(ISBLANK($A264),"",INDEX(Array_ElectricalCharges,MATCH($A264,List_ElectricityMeters,0),ROUNDUP(COLUMN()/3,0)-2))</f>
        <v/>
      </c>
      <c r="K264" s="127"/>
      <c r="L264" s="137"/>
      <c r="M264" s="58" t="str" cm="1">
        <f>IF(ISBLANK($A264),"",INDEX(Array_ElectricalCharges,MATCH($A264,List_ElectricityMeters,0),ROUNDUP(COLUMN()/3,0)-2))</f>
        <v/>
      </c>
      <c r="N264" s="127"/>
      <c r="O264" s="137"/>
      <c r="P264" s="58" t="str" cm="1">
        <f>IF(ISBLANK($A264),"",INDEX(Array_ElectricalCharges,MATCH($A264,List_ElectricityMeters,0),ROUNDUP(COLUMN()/3,0)-2))</f>
        <v/>
      </c>
      <c r="Q264" s="127"/>
      <c r="R264" s="137"/>
      <c r="S264" s="58" t="str" cm="1">
        <f>IF(ISBLANK($A264),"",INDEX(Array_ElectricalCharges,MATCH($A264,List_ElectricityMeters,0),ROUNDUP(COLUMN()/3,0)-2))</f>
        <v/>
      </c>
      <c r="T264" s="127"/>
      <c r="U264" s="137"/>
      <c r="V264" s="58" t="str" cm="1">
        <f>IF(ISBLANK($A264),"",INDEX(Array_ElectricalCharges,MATCH($A264,List_ElectricityMeters,0),ROUNDUP(COLUMN()/3,0)-2))</f>
        <v/>
      </c>
      <c r="W264" s="127"/>
      <c r="X264" s="137"/>
      <c r="Y264" s="58" t="str" cm="1">
        <f>IF(ISBLANK($A264),"",INDEX(Array_ElectricalCharges,MATCH($A264,List_ElectricityMeters,0),ROUNDUP(COLUMN()/3,0)-2))</f>
        <v/>
      </c>
      <c r="Z264" s="127"/>
      <c r="AA264" s="137"/>
      <c r="AB264" s="58" t="str" cm="1">
        <f>IF(ISBLANK($A264),"",INDEX(Array_ElectricalCharges,MATCH($A264,List_ElectricityMeters,0),ROUNDUP(COLUMN()/3,0)-2))</f>
        <v/>
      </c>
      <c r="AC264" s="127"/>
      <c r="AD264" s="137"/>
      <c r="AE264" s="58" t="str" cm="1">
        <f>IF(ISBLANK($A264),"",INDEX(Array_ElectricalCharges,MATCH($A264,List_ElectricityMeters,0),ROUNDUP(COLUMN()/3,0)-2))</f>
        <v/>
      </c>
      <c r="AF264" s="127"/>
      <c r="AG264" s="137"/>
      <c r="AH264" s="58" t="str" cm="1">
        <f>IF(ISBLANK($A264),"",INDEX(Array_ElectricalCharges,MATCH($A264,List_ElectricityMeters,0),ROUNDUP(COLUMN()/3,0)-2))</f>
        <v/>
      </c>
      <c r="AI264" s="127"/>
      <c r="AJ264" s="137"/>
      <c r="AK264" s="58" t="str" cm="1">
        <f>IF(ISBLANK($A264),"",INDEX(Array_ElectricalCharges,MATCH($A264,List_ElectricityMeters,0),ROUNDUP(COLUMN()/3,0)-2))</f>
        <v/>
      </c>
      <c r="AL264" s="127"/>
      <c r="AM264" s="137"/>
      <c r="AN264" s="58" t="str" cm="1">
        <f>IF(ISBLANK($A264),"",INDEX(Array_ElectricalCharges,MATCH($A264,List_ElectricityMeters,0),ROUNDUP(COLUMN()/3,0)-2))</f>
        <v/>
      </c>
      <c r="AO264" s="127"/>
      <c r="AP264" s="137"/>
      <c r="AQ264" s="58" t="str" cm="1">
        <f>IF(ISBLANK($A264),"",INDEX(Array_ElectricalCharges,MATCH($A264,List_ElectricityMeters,0),ROUNDUP(COLUMN()/3,0)-2))</f>
        <v/>
      </c>
      <c r="AR264" s="127"/>
      <c r="AS264" s="137"/>
      <c r="AT264" s="58" t="str" cm="1">
        <f>IF(ISBLANK($A264),"",INDEX(Array_ElectricalCharges,MATCH($A264,List_ElectricityMeters,0),ROUNDUP(COLUMN()/3,0)-2))</f>
        <v/>
      </c>
      <c r="AU264" s="127"/>
      <c r="AV264" s="137"/>
      <c r="AW264" s="58" t="str" cm="1">
        <f>IF(ISBLANK($A264),"",INDEX(Array_ElectricalCharges,MATCH($A264,List_ElectricityMeters,0),ROUNDUP(COLUMN()/3,0)-2))</f>
        <v/>
      </c>
      <c r="AX264" s="127"/>
      <c r="AY264" s="137"/>
    </row>
    <row r="265" spans="1:51" x14ac:dyDescent="0.3">
      <c r="A265" s="126"/>
      <c r="B265" s="133"/>
      <c r="C265" s="134"/>
      <c r="D265" s="134"/>
      <c r="E265" s="135"/>
      <c r="F265" s="136"/>
      <c r="G265" s="58" t="str" cm="1">
        <f>IF(ISBLANK($A265),"",INDEX(Array_ElectricalCharges,MATCH($A265,List_ElectricityMeters,0),ROUNDUP(COLUMN()/3,0)-2))</f>
        <v/>
      </c>
      <c r="H265" s="127"/>
      <c r="I265" s="137"/>
      <c r="J265" s="58" t="str" cm="1">
        <f>IF(ISBLANK($A265),"",INDEX(Array_ElectricalCharges,MATCH($A265,List_ElectricityMeters,0),ROUNDUP(COLUMN()/3,0)-2))</f>
        <v/>
      </c>
      <c r="K265" s="127"/>
      <c r="L265" s="137"/>
      <c r="M265" s="58" t="str" cm="1">
        <f>IF(ISBLANK($A265),"",INDEX(Array_ElectricalCharges,MATCH($A265,List_ElectricityMeters,0),ROUNDUP(COLUMN()/3,0)-2))</f>
        <v/>
      </c>
      <c r="N265" s="127"/>
      <c r="O265" s="137"/>
      <c r="P265" s="58" t="str" cm="1">
        <f>IF(ISBLANK($A265),"",INDEX(Array_ElectricalCharges,MATCH($A265,List_ElectricityMeters,0),ROUNDUP(COLUMN()/3,0)-2))</f>
        <v/>
      </c>
      <c r="Q265" s="127"/>
      <c r="R265" s="137"/>
      <c r="S265" s="58" t="str" cm="1">
        <f>IF(ISBLANK($A265),"",INDEX(Array_ElectricalCharges,MATCH($A265,List_ElectricityMeters,0),ROUNDUP(COLUMN()/3,0)-2))</f>
        <v/>
      </c>
      <c r="T265" s="127"/>
      <c r="U265" s="137"/>
      <c r="V265" s="58" t="str" cm="1">
        <f>IF(ISBLANK($A265),"",INDEX(Array_ElectricalCharges,MATCH($A265,List_ElectricityMeters,0),ROUNDUP(COLUMN()/3,0)-2))</f>
        <v/>
      </c>
      <c r="W265" s="127"/>
      <c r="X265" s="137"/>
      <c r="Y265" s="58" t="str" cm="1">
        <f>IF(ISBLANK($A265),"",INDEX(Array_ElectricalCharges,MATCH($A265,List_ElectricityMeters,0),ROUNDUP(COLUMN()/3,0)-2))</f>
        <v/>
      </c>
      <c r="Z265" s="127"/>
      <c r="AA265" s="137"/>
      <c r="AB265" s="58" t="str" cm="1">
        <f>IF(ISBLANK($A265),"",INDEX(Array_ElectricalCharges,MATCH($A265,List_ElectricityMeters,0),ROUNDUP(COLUMN()/3,0)-2))</f>
        <v/>
      </c>
      <c r="AC265" s="127"/>
      <c r="AD265" s="137"/>
      <c r="AE265" s="58" t="str" cm="1">
        <f>IF(ISBLANK($A265),"",INDEX(Array_ElectricalCharges,MATCH($A265,List_ElectricityMeters,0),ROUNDUP(COLUMN()/3,0)-2))</f>
        <v/>
      </c>
      <c r="AF265" s="127"/>
      <c r="AG265" s="137"/>
      <c r="AH265" s="58" t="str" cm="1">
        <f>IF(ISBLANK($A265),"",INDEX(Array_ElectricalCharges,MATCH($A265,List_ElectricityMeters,0),ROUNDUP(COLUMN()/3,0)-2))</f>
        <v/>
      </c>
      <c r="AI265" s="127"/>
      <c r="AJ265" s="137"/>
      <c r="AK265" s="58" t="str" cm="1">
        <f>IF(ISBLANK($A265),"",INDEX(Array_ElectricalCharges,MATCH($A265,List_ElectricityMeters,0),ROUNDUP(COLUMN()/3,0)-2))</f>
        <v/>
      </c>
      <c r="AL265" s="127"/>
      <c r="AM265" s="137"/>
      <c r="AN265" s="58" t="str" cm="1">
        <f>IF(ISBLANK($A265),"",INDEX(Array_ElectricalCharges,MATCH($A265,List_ElectricityMeters,0),ROUNDUP(COLUMN()/3,0)-2))</f>
        <v/>
      </c>
      <c r="AO265" s="127"/>
      <c r="AP265" s="137"/>
      <c r="AQ265" s="58" t="str" cm="1">
        <f>IF(ISBLANK($A265),"",INDEX(Array_ElectricalCharges,MATCH($A265,List_ElectricityMeters,0),ROUNDUP(COLUMN()/3,0)-2))</f>
        <v/>
      </c>
      <c r="AR265" s="127"/>
      <c r="AS265" s="137"/>
      <c r="AT265" s="58" t="str" cm="1">
        <f>IF(ISBLANK($A265),"",INDEX(Array_ElectricalCharges,MATCH($A265,List_ElectricityMeters,0),ROUNDUP(COLUMN()/3,0)-2))</f>
        <v/>
      </c>
      <c r="AU265" s="127"/>
      <c r="AV265" s="137"/>
      <c r="AW265" s="58" t="str" cm="1">
        <f>IF(ISBLANK($A265),"",INDEX(Array_ElectricalCharges,MATCH($A265,List_ElectricityMeters,0),ROUNDUP(COLUMN()/3,0)-2))</f>
        <v/>
      </c>
      <c r="AX265" s="127"/>
      <c r="AY265" s="137"/>
    </row>
    <row r="266" spans="1:51" x14ac:dyDescent="0.3">
      <c r="A266" s="126"/>
      <c r="B266" s="133"/>
      <c r="C266" s="134"/>
      <c r="D266" s="134"/>
      <c r="E266" s="135"/>
      <c r="F266" s="136"/>
      <c r="G266" s="58" t="str" cm="1">
        <f>IF(ISBLANK($A266),"",INDEX(Array_ElectricalCharges,MATCH($A266,List_ElectricityMeters,0),ROUNDUP(COLUMN()/3,0)-2))</f>
        <v/>
      </c>
      <c r="H266" s="127"/>
      <c r="I266" s="137"/>
      <c r="J266" s="58" t="str" cm="1">
        <f>IF(ISBLANK($A266),"",INDEX(Array_ElectricalCharges,MATCH($A266,List_ElectricityMeters,0),ROUNDUP(COLUMN()/3,0)-2))</f>
        <v/>
      </c>
      <c r="K266" s="127"/>
      <c r="L266" s="137"/>
      <c r="M266" s="58" t="str" cm="1">
        <f>IF(ISBLANK($A266),"",INDEX(Array_ElectricalCharges,MATCH($A266,List_ElectricityMeters,0),ROUNDUP(COLUMN()/3,0)-2))</f>
        <v/>
      </c>
      <c r="N266" s="127"/>
      <c r="O266" s="137"/>
      <c r="P266" s="58" t="str" cm="1">
        <f>IF(ISBLANK($A266),"",INDEX(Array_ElectricalCharges,MATCH($A266,List_ElectricityMeters,0),ROUNDUP(COLUMN()/3,0)-2))</f>
        <v/>
      </c>
      <c r="Q266" s="127"/>
      <c r="R266" s="137"/>
      <c r="S266" s="58" t="str" cm="1">
        <f>IF(ISBLANK($A266),"",INDEX(Array_ElectricalCharges,MATCH($A266,List_ElectricityMeters,0),ROUNDUP(COLUMN()/3,0)-2))</f>
        <v/>
      </c>
      <c r="T266" s="127"/>
      <c r="U266" s="137"/>
      <c r="V266" s="58" t="str" cm="1">
        <f>IF(ISBLANK($A266),"",INDEX(Array_ElectricalCharges,MATCH($A266,List_ElectricityMeters,0),ROUNDUP(COLUMN()/3,0)-2))</f>
        <v/>
      </c>
      <c r="W266" s="127"/>
      <c r="X266" s="137"/>
      <c r="Y266" s="58" t="str" cm="1">
        <f>IF(ISBLANK($A266),"",INDEX(Array_ElectricalCharges,MATCH($A266,List_ElectricityMeters,0),ROUNDUP(COLUMN()/3,0)-2))</f>
        <v/>
      </c>
      <c r="Z266" s="127"/>
      <c r="AA266" s="137"/>
      <c r="AB266" s="58" t="str" cm="1">
        <f>IF(ISBLANK($A266),"",INDEX(Array_ElectricalCharges,MATCH($A266,List_ElectricityMeters,0),ROUNDUP(COLUMN()/3,0)-2))</f>
        <v/>
      </c>
      <c r="AC266" s="127"/>
      <c r="AD266" s="137"/>
      <c r="AE266" s="58" t="str" cm="1">
        <f>IF(ISBLANK($A266),"",INDEX(Array_ElectricalCharges,MATCH($A266,List_ElectricityMeters,0),ROUNDUP(COLUMN()/3,0)-2))</f>
        <v/>
      </c>
      <c r="AF266" s="127"/>
      <c r="AG266" s="137"/>
      <c r="AH266" s="58" t="str" cm="1">
        <f>IF(ISBLANK($A266),"",INDEX(Array_ElectricalCharges,MATCH($A266,List_ElectricityMeters,0),ROUNDUP(COLUMN()/3,0)-2))</f>
        <v/>
      </c>
      <c r="AI266" s="127"/>
      <c r="AJ266" s="137"/>
      <c r="AK266" s="58" t="str" cm="1">
        <f>IF(ISBLANK($A266),"",INDEX(Array_ElectricalCharges,MATCH($A266,List_ElectricityMeters,0),ROUNDUP(COLUMN()/3,0)-2))</f>
        <v/>
      </c>
      <c r="AL266" s="127"/>
      <c r="AM266" s="137"/>
      <c r="AN266" s="58" t="str" cm="1">
        <f>IF(ISBLANK($A266),"",INDEX(Array_ElectricalCharges,MATCH($A266,List_ElectricityMeters,0),ROUNDUP(COLUMN()/3,0)-2))</f>
        <v/>
      </c>
      <c r="AO266" s="127"/>
      <c r="AP266" s="137"/>
      <c r="AQ266" s="58" t="str" cm="1">
        <f>IF(ISBLANK($A266),"",INDEX(Array_ElectricalCharges,MATCH($A266,List_ElectricityMeters,0),ROUNDUP(COLUMN()/3,0)-2))</f>
        <v/>
      </c>
      <c r="AR266" s="127"/>
      <c r="AS266" s="137"/>
      <c r="AT266" s="58" t="str" cm="1">
        <f>IF(ISBLANK($A266),"",INDEX(Array_ElectricalCharges,MATCH($A266,List_ElectricityMeters,0),ROUNDUP(COLUMN()/3,0)-2))</f>
        <v/>
      </c>
      <c r="AU266" s="127"/>
      <c r="AV266" s="137"/>
      <c r="AW266" s="58" t="str" cm="1">
        <f>IF(ISBLANK($A266),"",INDEX(Array_ElectricalCharges,MATCH($A266,List_ElectricityMeters,0),ROUNDUP(COLUMN()/3,0)-2))</f>
        <v/>
      </c>
      <c r="AX266" s="127"/>
      <c r="AY266" s="137"/>
    </row>
    <row r="267" spans="1:51" x14ac:dyDescent="0.3">
      <c r="A267" s="126"/>
      <c r="B267" s="133"/>
      <c r="C267" s="134"/>
      <c r="D267" s="134"/>
      <c r="E267" s="135"/>
      <c r="F267" s="136"/>
      <c r="G267" s="58" t="str" cm="1">
        <f>IF(ISBLANK($A267),"",INDEX(Array_ElectricalCharges,MATCH($A267,List_ElectricityMeters,0),ROUNDUP(COLUMN()/3,0)-2))</f>
        <v/>
      </c>
      <c r="H267" s="127"/>
      <c r="I267" s="137"/>
      <c r="J267" s="58" t="str" cm="1">
        <f>IF(ISBLANK($A267),"",INDEX(Array_ElectricalCharges,MATCH($A267,List_ElectricityMeters,0),ROUNDUP(COLUMN()/3,0)-2))</f>
        <v/>
      </c>
      <c r="K267" s="127"/>
      <c r="L267" s="137"/>
      <c r="M267" s="58" t="str" cm="1">
        <f>IF(ISBLANK($A267),"",INDEX(Array_ElectricalCharges,MATCH($A267,List_ElectricityMeters,0),ROUNDUP(COLUMN()/3,0)-2))</f>
        <v/>
      </c>
      <c r="N267" s="127"/>
      <c r="O267" s="137"/>
      <c r="P267" s="58" t="str" cm="1">
        <f>IF(ISBLANK($A267),"",INDEX(Array_ElectricalCharges,MATCH($A267,List_ElectricityMeters,0),ROUNDUP(COLUMN()/3,0)-2))</f>
        <v/>
      </c>
      <c r="Q267" s="127"/>
      <c r="R267" s="137"/>
      <c r="S267" s="58" t="str" cm="1">
        <f>IF(ISBLANK($A267),"",INDEX(Array_ElectricalCharges,MATCH($A267,List_ElectricityMeters,0),ROUNDUP(COLUMN()/3,0)-2))</f>
        <v/>
      </c>
      <c r="T267" s="127"/>
      <c r="U267" s="137"/>
      <c r="V267" s="58" t="str" cm="1">
        <f>IF(ISBLANK($A267),"",INDEX(Array_ElectricalCharges,MATCH($A267,List_ElectricityMeters,0),ROUNDUP(COLUMN()/3,0)-2))</f>
        <v/>
      </c>
      <c r="W267" s="127"/>
      <c r="X267" s="137"/>
      <c r="Y267" s="58" t="str" cm="1">
        <f>IF(ISBLANK($A267),"",INDEX(Array_ElectricalCharges,MATCH($A267,List_ElectricityMeters,0),ROUNDUP(COLUMN()/3,0)-2))</f>
        <v/>
      </c>
      <c r="Z267" s="127"/>
      <c r="AA267" s="137"/>
      <c r="AB267" s="58" t="str" cm="1">
        <f>IF(ISBLANK($A267),"",INDEX(Array_ElectricalCharges,MATCH($A267,List_ElectricityMeters,0),ROUNDUP(COLUMN()/3,0)-2))</f>
        <v/>
      </c>
      <c r="AC267" s="127"/>
      <c r="AD267" s="137"/>
      <c r="AE267" s="58" t="str" cm="1">
        <f>IF(ISBLANK($A267),"",INDEX(Array_ElectricalCharges,MATCH($A267,List_ElectricityMeters,0),ROUNDUP(COLUMN()/3,0)-2))</f>
        <v/>
      </c>
      <c r="AF267" s="127"/>
      <c r="AG267" s="137"/>
      <c r="AH267" s="58" t="str" cm="1">
        <f>IF(ISBLANK($A267),"",INDEX(Array_ElectricalCharges,MATCH($A267,List_ElectricityMeters,0),ROUNDUP(COLUMN()/3,0)-2))</f>
        <v/>
      </c>
      <c r="AI267" s="127"/>
      <c r="AJ267" s="137"/>
      <c r="AK267" s="58" t="str" cm="1">
        <f>IF(ISBLANK($A267),"",INDEX(Array_ElectricalCharges,MATCH($A267,List_ElectricityMeters,0),ROUNDUP(COLUMN()/3,0)-2))</f>
        <v/>
      </c>
      <c r="AL267" s="127"/>
      <c r="AM267" s="137"/>
      <c r="AN267" s="58" t="str" cm="1">
        <f>IF(ISBLANK($A267),"",INDEX(Array_ElectricalCharges,MATCH($A267,List_ElectricityMeters,0),ROUNDUP(COLUMN()/3,0)-2))</f>
        <v/>
      </c>
      <c r="AO267" s="127"/>
      <c r="AP267" s="137"/>
      <c r="AQ267" s="58" t="str" cm="1">
        <f>IF(ISBLANK($A267),"",INDEX(Array_ElectricalCharges,MATCH($A267,List_ElectricityMeters,0),ROUNDUP(COLUMN()/3,0)-2))</f>
        <v/>
      </c>
      <c r="AR267" s="127"/>
      <c r="AS267" s="137"/>
      <c r="AT267" s="58" t="str" cm="1">
        <f>IF(ISBLANK($A267),"",INDEX(Array_ElectricalCharges,MATCH($A267,List_ElectricityMeters,0),ROUNDUP(COLUMN()/3,0)-2))</f>
        <v/>
      </c>
      <c r="AU267" s="127"/>
      <c r="AV267" s="137"/>
      <c r="AW267" s="58" t="str" cm="1">
        <f>IF(ISBLANK($A267),"",INDEX(Array_ElectricalCharges,MATCH($A267,List_ElectricityMeters,0),ROUNDUP(COLUMN()/3,0)-2))</f>
        <v/>
      </c>
      <c r="AX267" s="127"/>
      <c r="AY267" s="137"/>
    </row>
    <row r="268" spans="1:51" x14ac:dyDescent="0.3">
      <c r="A268" s="126"/>
      <c r="B268" s="133"/>
      <c r="C268" s="134"/>
      <c r="D268" s="134"/>
      <c r="E268" s="135"/>
      <c r="F268" s="136"/>
      <c r="G268" s="58" t="str" cm="1">
        <f>IF(ISBLANK($A268),"",INDEX(Array_ElectricalCharges,MATCH($A268,List_ElectricityMeters,0),ROUNDUP(COLUMN()/3,0)-2))</f>
        <v/>
      </c>
      <c r="H268" s="127"/>
      <c r="I268" s="137"/>
      <c r="J268" s="58" t="str" cm="1">
        <f>IF(ISBLANK($A268),"",INDEX(Array_ElectricalCharges,MATCH($A268,List_ElectricityMeters,0),ROUNDUP(COLUMN()/3,0)-2))</f>
        <v/>
      </c>
      <c r="K268" s="127"/>
      <c r="L268" s="137"/>
      <c r="M268" s="58" t="str" cm="1">
        <f>IF(ISBLANK($A268),"",INDEX(Array_ElectricalCharges,MATCH($A268,List_ElectricityMeters,0),ROUNDUP(COLUMN()/3,0)-2))</f>
        <v/>
      </c>
      <c r="N268" s="127"/>
      <c r="O268" s="137"/>
      <c r="P268" s="58" t="str" cm="1">
        <f>IF(ISBLANK($A268),"",INDEX(Array_ElectricalCharges,MATCH($A268,List_ElectricityMeters,0),ROUNDUP(COLUMN()/3,0)-2))</f>
        <v/>
      </c>
      <c r="Q268" s="127"/>
      <c r="R268" s="137"/>
      <c r="S268" s="58" t="str" cm="1">
        <f>IF(ISBLANK($A268),"",INDEX(Array_ElectricalCharges,MATCH($A268,List_ElectricityMeters,0),ROUNDUP(COLUMN()/3,0)-2))</f>
        <v/>
      </c>
      <c r="T268" s="127"/>
      <c r="U268" s="137"/>
      <c r="V268" s="58" t="str" cm="1">
        <f>IF(ISBLANK($A268),"",INDEX(Array_ElectricalCharges,MATCH($A268,List_ElectricityMeters,0),ROUNDUP(COLUMN()/3,0)-2))</f>
        <v/>
      </c>
      <c r="W268" s="127"/>
      <c r="X268" s="137"/>
      <c r="Y268" s="58" t="str" cm="1">
        <f>IF(ISBLANK($A268),"",INDEX(Array_ElectricalCharges,MATCH($A268,List_ElectricityMeters,0),ROUNDUP(COLUMN()/3,0)-2))</f>
        <v/>
      </c>
      <c r="Z268" s="127"/>
      <c r="AA268" s="137"/>
      <c r="AB268" s="58" t="str" cm="1">
        <f>IF(ISBLANK($A268),"",INDEX(Array_ElectricalCharges,MATCH($A268,List_ElectricityMeters,0),ROUNDUP(COLUMN()/3,0)-2))</f>
        <v/>
      </c>
      <c r="AC268" s="127"/>
      <c r="AD268" s="137"/>
      <c r="AE268" s="58" t="str" cm="1">
        <f>IF(ISBLANK($A268),"",INDEX(Array_ElectricalCharges,MATCH($A268,List_ElectricityMeters,0),ROUNDUP(COLUMN()/3,0)-2))</f>
        <v/>
      </c>
      <c r="AF268" s="127"/>
      <c r="AG268" s="137"/>
      <c r="AH268" s="58" t="str" cm="1">
        <f>IF(ISBLANK($A268),"",INDEX(Array_ElectricalCharges,MATCH($A268,List_ElectricityMeters,0),ROUNDUP(COLUMN()/3,0)-2))</f>
        <v/>
      </c>
      <c r="AI268" s="127"/>
      <c r="AJ268" s="137"/>
      <c r="AK268" s="58" t="str" cm="1">
        <f>IF(ISBLANK($A268),"",INDEX(Array_ElectricalCharges,MATCH($A268,List_ElectricityMeters,0),ROUNDUP(COLUMN()/3,0)-2))</f>
        <v/>
      </c>
      <c r="AL268" s="127"/>
      <c r="AM268" s="137"/>
      <c r="AN268" s="58" t="str" cm="1">
        <f>IF(ISBLANK($A268),"",INDEX(Array_ElectricalCharges,MATCH($A268,List_ElectricityMeters,0),ROUNDUP(COLUMN()/3,0)-2))</f>
        <v/>
      </c>
      <c r="AO268" s="127"/>
      <c r="AP268" s="137"/>
      <c r="AQ268" s="58" t="str" cm="1">
        <f>IF(ISBLANK($A268),"",INDEX(Array_ElectricalCharges,MATCH($A268,List_ElectricityMeters,0),ROUNDUP(COLUMN()/3,0)-2))</f>
        <v/>
      </c>
      <c r="AR268" s="127"/>
      <c r="AS268" s="137"/>
      <c r="AT268" s="58" t="str" cm="1">
        <f>IF(ISBLANK($A268),"",INDEX(Array_ElectricalCharges,MATCH($A268,List_ElectricityMeters,0),ROUNDUP(COLUMN()/3,0)-2))</f>
        <v/>
      </c>
      <c r="AU268" s="127"/>
      <c r="AV268" s="137"/>
      <c r="AW268" s="58" t="str" cm="1">
        <f>IF(ISBLANK($A268),"",INDEX(Array_ElectricalCharges,MATCH($A268,List_ElectricityMeters,0),ROUNDUP(COLUMN()/3,0)-2))</f>
        <v/>
      </c>
      <c r="AX268" s="127"/>
      <c r="AY268" s="137"/>
    </row>
    <row r="269" spans="1:51" x14ac:dyDescent="0.3">
      <c r="A269" s="126"/>
      <c r="B269" s="133"/>
      <c r="C269" s="134"/>
      <c r="D269" s="134"/>
      <c r="E269" s="135"/>
      <c r="F269" s="136"/>
      <c r="G269" s="58" t="str" cm="1">
        <f>IF(ISBLANK($A269),"",INDEX(Array_ElectricalCharges,MATCH($A269,List_ElectricityMeters,0),ROUNDUP(COLUMN()/3,0)-2))</f>
        <v/>
      </c>
      <c r="H269" s="127"/>
      <c r="I269" s="137"/>
      <c r="J269" s="58" t="str" cm="1">
        <f>IF(ISBLANK($A269),"",INDEX(Array_ElectricalCharges,MATCH($A269,List_ElectricityMeters,0),ROUNDUP(COLUMN()/3,0)-2))</f>
        <v/>
      </c>
      <c r="K269" s="127"/>
      <c r="L269" s="137"/>
      <c r="M269" s="58" t="str" cm="1">
        <f>IF(ISBLANK($A269),"",INDEX(Array_ElectricalCharges,MATCH($A269,List_ElectricityMeters,0),ROUNDUP(COLUMN()/3,0)-2))</f>
        <v/>
      </c>
      <c r="N269" s="127"/>
      <c r="O269" s="137"/>
      <c r="P269" s="58" t="str" cm="1">
        <f>IF(ISBLANK($A269),"",INDEX(Array_ElectricalCharges,MATCH($A269,List_ElectricityMeters,0),ROUNDUP(COLUMN()/3,0)-2))</f>
        <v/>
      </c>
      <c r="Q269" s="127"/>
      <c r="R269" s="137"/>
      <c r="S269" s="58" t="str" cm="1">
        <f>IF(ISBLANK($A269),"",INDEX(Array_ElectricalCharges,MATCH($A269,List_ElectricityMeters,0),ROUNDUP(COLUMN()/3,0)-2))</f>
        <v/>
      </c>
      <c r="T269" s="127"/>
      <c r="U269" s="137"/>
      <c r="V269" s="58" t="str" cm="1">
        <f>IF(ISBLANK($A269),"",INDEX(Array_ElectricalCharges,MATCH($A269,List_ElectricityMeters,0),ROUNDUP(COLUMN()/3,0)-2))</f>
        <v/>
      </c>
      <c r="W269" s="127"/>
      <c r="X269" s="137"/>
      <c r="Y269" s="58" t="str" cm="1">
        <f>IF(ISBLANK($A269),"",INDEX(Array_ElectricalCharges,MATCH($A269,List_ElectricityMeters,0),ROUNDUP(COLUMN()/3,0)-2))</f>
        <v/>
      </c>
      <c r="Z269" s="127"/>
      <c r="AA269" s="137"/>
      <c r="AB269" s="58" t="str" cm="1">
        <f>IF(ISBLANK($A269),"",INDEX(Array_ElectricalCharges,MATCH($A269,List_ElectricityMeters,0),ROUNDUP(COLUMN()/3,0)-2))</f>
        <v/>
      </c>
      <c r="AC269" s="127"/>
      <c r="AD269" s="137"/>
      <c r="AE269" s="58" t="str" cm="1">
        <f>IF(ISBLANK($A269),"",INDEX(Array_ElectricalCharges,MATCH($A269,List_ElectricityMeters,0),ROUNDUP(COLUMN()/3,0)-2))</f>
        <v/>
      </c>
      <c r="AF269" s="127"/>
      <c r="AG269" s="137"/>
      <c r="AH269" s="58" t="str" cm="1">
        <f>IF(ISBLANK($A269),"",INDEX(Array_ElectricalCharges,MATCH($A269,List_ElectricityMeters,0),ROUNDUP(COLUMN()/3,0)-2))</f>
        <v/>
      </c>
      <c r="AI269" s="127"/>
      <c r="AJ269" s="137"/>
      <c r="AK269" s="58" t="str" cm="1">
        <f>IF(ISBLANK($A269),"",INDEX(Array_ElectricalCharges,MATCH($A269,List_ElectricityMeters,0),ROUNDUP(COLUMN()/3,0)-2))</f>
        <v/>
      </c>
      <c r="AL269" s="127"/>
      <c r="AM269" s="137"/>
      <c r="AN269" s="58" t="str" cm="1">
        <f>IF(ISBLANK($A269),"",INDEX(Array_ElectricalCharges,MATCH($A269,List_ElectricityMeters,0),ROUNDUP(COLUMN()/3,0)-2))</f>
        <v/>
      </c>
      <c r="AO269" s="127"/>
      <c r="AP269" s="137"/>
      <c r="AQ269" s="58" t="str" cm="1">
        <f>IF(ISBLANK($A269),"",INDEX(Array_ElectricalCharges,MATCH($A269,List_ElectricityMeters,0),ROUNDUP(COLUMN()/3,0)-2))</f>
        <v/>
      </c>
      <c r="AR269" s="127"/>
      <c r="AS269" s="137"/>
      <c r="AT269" s="58" t="str" cm="1">
        <f>IF(ISBLANK($A269),"",INDEX(Array_ElectricalCharges,MATCH($A269,List_ElectricityMeters,0),ROUNDUP(COLUMN()/3,0)-2))</f>
        <v/>
      </c>
      <c r="AU269" s="127"/>
      <c r="AV269" s="137"/>
      <c r="AW269" s="58" t="str" cm="1">
        <f>IF(ISBLANK($A269),"",INDEX(Array_ElectricalCharges,MATCH($A269,List_ElectricityMeters,0),ROUNDUP(COLUMN()/3,0)-2))</f>
        <v/>
      </c>
      <c r="AX269" s="127"/>
      <c r="AY269" s="137"/>
    </row>
    <row r="270" spans="1:51" x14ac:dyDescent="0.3">
      <c r="A270" s="126"/>
      <c r="B270" s="133"/>
      <c r="C270" s="134"/>
      <c r="D270" s="134"/>
      <c r="E270" s="135"/>
      <c r="F270" s="136"/>
      <c r="G270" s="58" t="str" cm="1">
        <f>IF(ISBLANK($A270),"",INDEX(Array_ElectricalCharges,MATCH($A270,List_ElectricityMeters,0),ROUNDUP(COLUMN()/3,0)-2))</f>
        <v/>
      </c>
      <c r="H270" s="127"/>
      <c r="I270" s="137"/>
      <c r="J270" s="58" t="str" cm="1">
        <f>IF(ISBLANK($A270),"",INDEX(Array_ElectricalCharges,MATCH($A270,List_ElectricityMeters,0),ROUNDUP(COLUMN()/3,0)-2))</f>
        <v/>
      </c>
      <c r="K270" s="127"/>
      <c r="L270" s="137"/>
      <c r="M270" s="58" t="str" cm="1">
        <f>IF(ISBLANK($A270),"",INDEX(Array_ElectricalCharges,MATCH($A270,List_ElectricityMeters,0),ROUNDUP(COLUMN()/3,0)-2))</f>
        <v/>
      </c>
      <c r="N270" s="127"/>
      <c r="O270" s="137"/>
      <c r="P270" s="58" t="str" cm="1">
        <f>IF(ISBLANK($A270),"",INDEX(Array_ElectricalCharges,MATCH($A270,List_ElectricityMeters,0),ROUNDUP(COLUMN()/3,0)-2))</f>
        <v/>
      </c>
      <c r="Q270" s="127"/>
      <c r="R270" s="137"/>
      <c r="S270" s="58" t="str" cm="1">
        <f>IF(ISBLANK($A270),"",INDEX(Array_ElectricalCharges,MATCH($A270,List_ElectricityMeters,0),ROUNDUP(COLUMN()/3,0)-2))</f>
        <v/>
      </c>
      <c r="T270" s="127"/>
      <c r="U270" s="137"/>
      <c r="V270" s="58" t="str" cm="1">
        <f>IF(ISBLANK($A270),"",INDEX(Array_ElectricalCharges,MATCH($A270,List_ElectricityMeters,0),ROUNDUP(COLUMN()/3,0)-2))</f>
        <v/>
      </c>
      <c r="W270" s="127"/>
      <c r="X270" s="137"/>
      <c r="Y270" s="58" t="str" cm="1">
        <f>IF(ISBLANK($A270),"",INDEX(Array_ElectricalCharges,MATCH($A270,List_ElectricityMeters,0),ROUNDUP(COLUMN()/3,0)-2))</f>
        <v/>
      </c>
      <c r="Z270" s="127"/>
      <c r="AA270" s="137"/>
      <c r="AB270" s="58" t="str" cm="1">
        <f>IF(ISBLANK($A270),"",INDEX(Array_ElectricalCharges,MATCH($A270,List_ElectricityMeters,0),ROUNDUP(COLUMN()/3,0)-2))</f>
        <v/>
      </c>
      <c r="AC270" s="127"/>
      <c r="AD270" s="137"/>
      <c r="AE270" s="58" t="str" cm="1">
        <f>IF(ISBLANK($A270),"",INDEX(Array_ElectricalCharges,MATCH($A270,List_ElectricityMeters,0),ROUNDUP(COLUMN()/3,0)-2))</f>
        <v/>
      </c>
      <c r="AF270" s="127"/>
      <c r="AG270" s="137"/>
      <c r="AH270" s="58" t="str" cm="1">
        <f>IF(ISBLANK($A270),"",INDEX(Array_ElectricalCharges,MATCH($A270,List_ElectricityMeters,0),ROUNDUP(COLUMN()/3,0)-2))</f>
        <v/>
      </c>
      <c r="AI270" s="127"/>
      <c r="AJ270" s="137"/>
      <c r="AK270" s="58" t="str" cm="1">
        <f>IF(ISBLANK($A270),"",INDEX(Array_ElectricalCharges,MATCH($A270,List_ElectricityMeters,0),ROUNDUP(COLUMN()/3,0)-2))</f>
        <v/>
      </c>
      <c r="AL270" s="127"/>
      <c r="AM270" s="137"/>
      <c r="AN270" s="58" t="str" cm="1">
        <f>IF(ISBLANK($A270),"",INDEX(Array_ElectricalCharges,MATCH($A270,List_ElectricityMeters,0),ROUNDUP(COLUMN()/3,0)-2))</f>
        <v/>
      </c>
      <c r="AO270" s="127"/>
      <c r="AP270" s="137"/>
      <c r="AQ270" s="58" t="str" cm="1">
        <f>IF(ISBLANK($A270),"",INDEX(Array_ElectricalCharges,MATCH($A270,List_ElectricityMeters,0),ROUNDUP(COLUMN()/3,0)-2))</f>
        <v/>
      </c>
      <c r="AR270" s="127"/>
      <c r="AS270" s="137"/>
      <c r="AT270" s="58" t="str" cm="1">
        <f>IF(ISBLANK($A270),"",INDEX(Array_ElectricalCharges,MATCH($A270,List_ElectricityMeters,0),ROUNDUP(COLUMN()/3,0)-2))</f>
        <v/>
      </c>
      <c r="AU270" s="127"/>
      <c r="AV270" s="137"/>
      <c r="AW270" s="58" t="str" cm="1">
        <f>IF(ISBLANK($A270),"",INDEX(Array_ElectricalCharges,MATCH($A270,List_ElectricityMeters,0),ROUNDUP(COLUMN()/3,0)-2))</f>
        <v/>
      </c>
      <c r="AX270" s="127"/>
      <c r="AY270" s="137"/>
    </row>
    <row r="271" spans="1:51" x14ac:dyDescent="0.3">
      <c r="A271" s="126"/>
      <c r="B271" s="133"/>
      <c r="C271" s="134"/>
      <c r="D271" s="134"/>
      <c r="E271" s="135"/>
      <c r="F271" s="136"/>
      <c r="G271" s="58" t="str" cm="1">
        <f>IF(ISBLANK($A271),"",INDEX(Array_ElectricalCharges,MATCH($A271,List_ElectricityMeters,0),ROUNDUP(COLUMN()/3,0)-2))</f>
        <v/>
      </c>
      <c r="H271" s="127"/>
      <c r="I271" s="137"/>
      <c r="J271" s="58" t="str" cm="1">
        <f>IF(ISBLANK($A271),"",INDEX(Array_ElectricalCharges,MATCH($A271,List_ElectricityMeters,0),ROUNDUP(COLUMN()/3,0)-2))</f>
        <v/>
      </c>
      <c r="K271" s="127"/>
      <c r="L271" s="137"/>
      <c r="M271" s="58" t="str" cm="1">
        <f>IF(ISBLANK($A271),"",INDEX(Array_ElectricalCharges,MATCH($A271,List_ElectricityMeters,0),ROUNDUP(COLUMN()/3,0)-2))</f>
        <v/>
      </c>
      <c r="N271" s="127"/>
      <c r="O271" s="137"/>
      <c r="P271" s="58" t="str" cm="1">
        <f>IF(ISBLANK($A271),"",INDEX(Array_ElectricalCharges,MATCH($A271,List_ElectricityMeters,0),ROUNDUP(COLUMN()/3,0)-2))</f>
        <v/>
      </c>
      <c r="Q271" s="127"/>
      <c r="R271" s="137"/>
      <c r="S271" s="58" t="str" cm="1">
        <f>IF(ISBLANK($A271),"",INDEX(Array_ElectricalCharges,MATCH($A271,List_ElectricityMeters,0),ROUNDUP(COLUMN()/3,0)-2))</f>
        <v/>
      </c>
      <c r="T271" s="127"/>
      <c r="U271" s="137"/>
      <c r="V271" s="58" t="str" cm="1">
        <f>IF(ISBLANK($A271),"",INDEX(Array_ElectricalCharges,MATCH($A271,List_ElectricityMeters,0),ROUNDUP(COLUMN()/3,0)-2))</f>
        <v/>
      </c>
      <c r="W271" s="127"/>
      <c r="X271" s="137"/>
      <c r="Y271" s="58" t="str" cm="1">
        <f>IF(ISBLANK($A271),"",INDEX(Array_ElectricalCharges,MATCH($A271,List_ElectricityMeters,0),ROUNDUP(COLUMN()/3,0)-2))</f>
        <v/>
      </c>
      <c r="Z271" s="127"/>
      <c r="AA271" s="137"/>
      <c r="AB271" s="58" t="str" cm="1">
        <f>IF(ISBLANK($A271),"",INDEX(Array_ElectricalCharges,MATCH($A271,List_ElectricityMeters,0),ROUNDUP(COLUMN()/3,0)-2))</f>
        <v/>
      </c>
      <c r="AC271" s="127"/>
      <c r="AD271" s="137"/>
      <c r="AE271" s="58" t="str" cm="1">
        <f>IF(ISBLANK($A271),"",INDEX(Array_ElectricalCharges,MATCH($A271,List_ElectricityMeters,0),ROUNDUP(COLUMN()/3,0)-2))</f>
        <v/>
      </c>
      <c r="AF271" s="127"/>
      <c r="AG271" s="137"/>
      <c r="AH271" s="58" t="str" cm="1">
        <f>IF(ISBLANK($A271),"",INDEX(Array_ElectricalCharges,MATCH($A271,List_ElectricityMeters,0),ROUNDUP(COLUMN()/3,0)-2))</f>
        <v/>
      </c>
      <c r="AI271" s="127"/>
      <c r="AJ271" s="137"/>
      <c r="AK271" s="58" t="str" cm="1">
        <f>IF(ISBLANK($A271),"",INDEX(Array_ElectricalCharges,MATCH($A271,List_ElectricityMeters,0),ROUNDUP(COLUMN()/3,0)-2))</f>
        <v/>
      </c>
      <c r="AL271" s="127"/>
      <c r="AM271" s="137"/>
      <c r="AN271" s="58" t="str" cm="1">
        <f>IF(ISBLANK($A271),"",INDEX(Array_ElectricalCharges,MATCH($A271,List_ElectricityMeters,0),ROUNDUP(COLUMN()/3,0)-2))</f>
        <v/>
      </c>
      <c r="AO271" s="127"/>
      <c r="AP271" s="137"/>
      <c r="AQ271" s="58" t="str" cm="1">
        <f>IF(ISBLANK($A271),"",INDEX(Array_ElectricalCharges,MATCH($A271,List_ElectricityMeters,0),ROUNDUP(COLUMN()/3,0)-2))</f>
        <v/>
      </c>
      <c r="AR271" s="127"/>
      <c r="AS271" s="137"/>
      <c r="AT271" s="58" t="str" cm="1">
        <f>IF(ISBLANK($A271),"",INDEX(Array_ElectricalCharges,MATCH($A271,List_ElectricityMeters,0),ROUNDUP(COLUMN()/3,0)-2))</f>
        <v/>
      </c>
      <c r="AU271" s="127"/>
      <c r="AV271" s="137"/>
      <c r="AW271" s="58" t="str" cm="1">
        <f>IF(ISBLANK($A271),"",INDEX(Array_ElectricalCharges,MATCH($A271,List_ElectricityMeters,0),ROUNDUP(COLUMN()/3,0)-2))</f>
        <v/>
      </c>
      <c r="AX271" s="127"/>
      <c r="AY271" s="137"/>
    </row>
    <row r="272" spans="1:51" x14ac:dyDescent="0.3">
      <c r="A272" s="126"/>
      <c r="B272" s="133"/>
      <c r="C272" s="134"/>
      <c r="D272" s="134"/>
      <c r="E272" s="135"/>
      <c r="F272" s="136"/>
      <c r="G272" s="58" t="str" cm="1">
        <f>IF(ISBLANK($A272),"",INDEX(Array_ElectricalCharges,MATCH($A272,List_ElectricityMeters,0),ROUNDUP(COLUMN()/3,0)-2))</f>
        <v/>
      </c>
      <c r="H272" s="127"/>
      <c r="I272" s="137"/>
      <c r="J272" s="58" t="str" cm="1">
        <f>IF(ISBLANK($A272),"",INDEX(Array_ElectricalCharges,MATCH($A272,List_ElectricityMeters,0),ROUNDUP(COLUMN()/3,0)-2))</f>
        <v/>
      </c>
      <c r="K272" s="127"/>
      <c r="L272" s="137"/>
      <c r="M272" s="58" t="str" cm="1">
        <f>IF(ISBLANK($A272),"",INDEX(Array_ElectricalCharges,MATCH($A272,List_ElectricityMeters,0),ROUNDUP(COLUMN()/3,0)-2))</f>
        <v/>
      </c>
      <c r="N272" s="127"/>
      <c r="O272" s="137"/>
      <c r="P272" s="58" t="str" cm="1">
        <f>IF(ISBLANK($A272),"",INDEX(Array_ElectricalCharges,MATCH($A272,List_ElectricityMeters,0),ROUNDUP(COLUMN()/3,0)-2))</f>
        <v/>
      </c>
      <c r="Q272" s="127"/>
      <c r="R272" s="137"/>
      <c r="S272" s="58" t="str" cm="1">
        <f>IF(ISBLANK($A272),"",INDEX(Array_ElectricalCharges,MATCH($A272,List_ElectricityMeters,0),ROUNDUP(COLUMN()/3,0)-2))</f>
        <v/>
      </c>
      <c r="T272" s="127"/>
      <c r="U272" s="137"/>
      <c r="V272" s="58" t="str" cm="1">
        <f>IF(ISBLANK($A272),"",INDEX(Array_ElectricalCharges,MATCH($A272,List_ElectricityMeters,0),ROUNDUP(COLUMN()/3,0)-2))</f>
        <v/>
      </c>
      <c r="W272" s="127"/>
      <c r="X272" s="137"/>
      <c r="Y272" s="58" t="str" cm="1">
        <f>IF(ISBLANK($A272),"",INDEX(Array_ElectricalCharges,MATCH($A272,List_ElectricityMeters,0),ROUNDUP(COLUMN()/3,0)-2))</f>
        <v/>
      </c>
      <c r="Z272" s="127"/>
      <c r="AA272" s="137"/>
      <c r="AB272" s="58" t="str" cm="1">
        <f>IF(ISBLANK($A272),"",INDEX(Array_ElectricalCharges,MATCH($A272,List_ElectricityMeters,0),ROUNDUP(COLUMN()/3,0)-2))</f>
        <v/>
      </c>
      <c r="AC272" s="127"/>
      <c r="AD272" s="137"/>
      <c r="AE272" s="58" t="str" cm="1">
        <f>IF(ISBLANK($A272),"",INDEX(Array_ElectricalCharges,MATCH($A272,List_ElectricityMeters,0),ROUNDUP(COLUMN()/3,0)-2))</f>
        <v/>
      </c>
      <c r="AF272" s="127"/>
      <c r="AG272" s="137"/>
      <c r="AH272" s="58" t="str" cm="1">
        <f>IF(ISBLANK($A272),"",INDEX(Array_ElectricalCharges,MATCH($A272,List_ElectricityMeters,0),ROUNDUP(COLUMN()/3,0)-2))</f>
        <v/>
      </c>
      <c r="AI272" s="127"/>
      <c r="AJ272" s="137"/>
      <c r="AK272" s="58" t="str" cm="1">
        <f>IF(ISBLANK($A272),"",INDEX(Array_ElectricalCharges,MATCH($A272,List_ElectricityMeters,0),ROUNDUP(COLUMN()/3,0)-2))</f>
        <v/>
      </c>
      <c r="AL272" s="127"/>
      <c r="AM272" s="137"/>
      <c r="AN272" s="58" t="str" cm="1">
        <f>IF(ISBLANK($A272),"",INDEX(Array_ElectricalCharges,MATCH($A272,List_ElectricityMeters,0),ROUNDUP(COLUMN()/3,0)-2))</f>
        <v/>
      </c>
      <c r="AO272" s="127"/>
      <c r="AP272" s="137"/>
      <c r="AQ272" s="58" t="str" cm="1">
        <f>IF(ISBLANK($A272),"",INDEX(Array_ElectricalCharges,MATCH($A272,List_ElectricityMeters,0),ROUNDUP(COLUMN()/3,0)-2))</f>
        <v/>
      </c>
      <c r="AR272" s="127"/>
      <c r="AS272" s="137"/>
      <c r="AT272" s="58" t="str" cm="1">
        <f>IF(ISBLANK($A272),"",INDEX(Array_ElectricalCharges,MATCH($A272,List_ElectricityMeters,0),ROUNDUP(COLUMN()/3,0)-2))</f>
        <v/>
      </c>
      <c r="AU272" s="127"/>
      <c r="AV272" s="137"/>
      <c r="AW272" s="58" t="str" cm="1">
        <f>IF(ISBLANK($A272),"",INDEX(Array_ElectricalCharges,MATCH($A272,List_ElectricityMeters,0),ROUNDUP(COLUMN()/3,0)-2))</f>
        <v/>
      </c>
      <c r="AX272" s="127"/>
      <c r="AY272" s="137"/>
    </row>
    <row r="273" spans="1:51" x14ac:dyDescent="0.3">
      <c r="A273" s="126"/>
      <c r="B273" s="133"/>
      <c r="C273" s="134"/>
      <c r="D273" s="134"/>
      <c r="E273" s="135"/>
      <c r="F273" s="136"/>
      <c r="G273" s="58" t="str" cm="1">
        <f>IF(ISBLANK($A273),"",INDEX(Array_ElectricalCharges,MATCH($A273,List_ElectricityMeters,0),ROUNDUP(COLUMN()/3,0)-2))</f>
        <v/>
      </c>
      <c r="H273" s="127"/>
      <c r="I273" s="137"/>
      <c r="J273" s="58" t="str" cm="1">
        <f>IF(ISBLANK($A273),"",INDEX(Array_ElectricalCharges,MATCH($A273,List_ElectricityMeters,0),ROUNDUP(COLUMN()/3,0)-2))</f>
        <v/>
      </c>
      <c r="K273" s="127"/>
      <c r="L273" s="137"/>
      <c r="M273" s="58" t="str" cm="1">
        <f>IF(ISBLANK($A273),"",INDEX(Array_ElectricalCharges,MATCH($A273,List_ElectricityMeters,0),ROUNDUP(COLUMN()/3,0)-2))</f>
        <v/>
      </c>
      <c r="N273" s="127"/>
      <c r="O273" s="137"/>
      <c r="P273" s="58" t="str" cm="1">
        <f>IF(ISBLANK($A273),"",INDEX(Array_ElectricalCharges,MATCH($A273,List_ElectricityMeters,0),ROUNDUP(COLUMN()/3,0)-2))</f>
        <v/>
      </c>
      <c r="Q273" s="127"/>
      <c r="R273" s="137"/>
      <c r="S273" s="58" t="str" cm="1">
        <f>IF(ISBLANK($A273),"",INDEX(Array_ElectricalCharges,MATCH($A273,List_ElectricityMeters,0),ROUNDUP(COLUMN()/3,0)-2))</f>
        <v/>
      </c>
      <c r="T273" s="127"/>
      <c r="U273" s="137"/>
      <c r="V273" s="58" t="str" cm="1">
        <f>IF(ISBLANK($A273),"",INDEX(Array_ElectricalCharges,MATCH($A273,List_ElectricityMeters,0),ROUNDUP(COLUMN()/3,0)-2))</f>
        <v/>
      </c>
      <c r="W273" s="127"/>
      <c r="X273" s="137"/>
      <c r="Y273" s="58" t="str" cm="1">
        <f>IF(ISBLANK($A273),"",INDEX(Array_ElectricalCharges,MATCH($A273,List_ElectricityMeters,0),ROUNDUP(COLUMN()/3,0)-2))</f>
        <v/>
      </c>
      <c r="Z273" s="127"/>
      <c r="AA273" s="137"/>
      <c r="AB273" s="58" t="str" cm="1">
        <f>IF(ISBLANK($A273),"",INDEX(Array_ElectricalCharges,MATCH($A273,List_ElectricityMeters,0),ROUNDUP(COLUMN()/3,0)-2))</f>
        <v/>
      </c>
      <c r="AC273" s="127"/>
      <c r="AD273" s="137"/>
      <c r="AE273" s="58" t="str" cm="1">
        <f>IF(ISBLANK($A273),"",INDEX(Array_ElectricalCharges,MATCH($A273,List_ElectricityMeters,0),ROUNDUP(COLUMN()/3,0)-2))</f>
        <v/>
      </c>
      <c r="AF273" s="127"/>
      <c r="AG273" s="137"/>
      <c r="AH273" s="58" t="str" cm="1">
        <f>IF(ISBLANK($A273),"",INDEX(Array_ElectricalCharges,MATCH($A273,List_ElectricityMeters,0),ROUNDUP(COLUMN()/3,0)-2))</f>
        <v/>
      </c>
      <c r="AI273" s="127"/>
      <c r="AJ273" s="137"/>
      <c r="AK273" s="58" t="str" cm="1">
        <f>IF(ISBLANK($A273),"",INDEX(Array_ElectricalCharges,MATCH($A273,List_ElectricityMeters,0),ROUNDUP(COLUMN()/3,0)-2))</f>
        <v/>
      </c>
      <c r="AL273" s="127"/>
      <c r="AM273" s="137"/>
      <c r="AN273" s="58" t="str" cm="1">
        <f>IF(ISBLANK($A273),"",INDEX(Array_ElectricalCharges,MATCH($A273,List_ElectricityMeters,0),ROUNDUP(COLUMN()/3,0)-2))</f>
        <v/>
      </c>
      <c r="AO273" s="127"/>
      <c r="AP273" s="137"/>
      <c r="AQ273" s="58" t="str" cm="1">
        <f>IF(ISBLANK($A273),"",INDEX(Array_ElectricalCharges,MATCH($A273,List_ElectricityMeters,0),ROUNDUP(COLUMN()/3,0)-2))</f>
        <v/>
      </c>
      <c r="AR273" s="127"/>
      <c r="AS273" s="137"/>
      <c r="AT273" s="58" t="str" cm="1">
        <f>IF(ISBLANK($A273),"",INDEX(Array_ElectricalCharges,MATCH($A273,List_ElectricityMeters,0),ROUNDUP(COLUMN()/3,0)-2))</f>
        <v/>
      </c>
      <c r="AU273" s="127"/>
      <c r="AV273" s="137"/>
      <c r="AW273" s="58" t="str" cm="1">
        <f>IF(ISBLANK($A273),"",INDEX(Array_ElectricalCharges,MATCH($A273,List_ElectricityMeters,0),ROUNDUP(COLUMN()/3,0)-2))</f>
        <v/>
      </c>
      <c r="AX273" s="127"/>
      <c r="AY273" s="137"/>
    </row>
    <row r="274" spans="1:51" x14ac:dyDescent="0.3">
      <c r="A274" s="126"/>
      <c r="B274" s="133"/>
      <c r="C274" s="134"/>
      <c r="D274" s="134"/>
      <c r="E274" s="135"/>
      <c r="F274" s="136"/>
      <c r="G274" s="58" t="str" cm="1">
        <f>IF(ISBLANK($A274),"",INDEX(Array_ElectricalCharges,MATCH($A274,List_ElectricityMeters,0),ROUNDUP(COLUMN()/3,0)-2))</f>
        <v/>
      </c>
      <c r="H274" s="127"/>
      <c r="I274" s="137"/>
      <c r="J274" s="58" t="str" cm="1">
        <f>IF(ISBLANK($A274),"",INDEX(Array_ElectricalCharges,MATCH($A274,List_ElectricityMeters,0),ROUNDUP(COLUMN()/3,0)-2))</f>
        <v/>
      </c>
      <c r="K274" s="127"/>
      <c r="L274" s="137"/>
      <c r="M274" s="58" t="str" cm="1">
        <f>IF(ISBLANK($A274),"",INDEX(Array_ElectricalCharges,MATCH($A274,List_ElectricityMeters,0),ROUNDUP(COLUMN()/3,0)-2))</f>
        <v/>
      </c>
      <c r="N274" s="127"/>
      <c r="O274" s="137"/>
      <c r="P274" s="58" t="str" cm="1">
        <f>IF(ISBLANK($A274),"",INDEX(Array_ElectricalCharges,MATCH($A274,List_ElectricityMeters,0),ROUNDUP(COLUMN()/3,0)-2))</f>
        <v/>
      </c>
      <c r="Q274" s="127"/>
      <c r="R274" s="137"/>
      <c r="S274" s="58" t="str" cm="1">
        <f>IF(ISBLANK($A274),"",INDEX(Array_ElectricalCharges,MATCH($A274,List_ElectricityMeters,0),ROUNDUP(COLUMN()/3,0)-2))</f>
        <v/>
      </c>
      <c r="T274" s="127"/>
      <c r="U274" s="137"/>
      <c r="V274" s="58" t="str" cm="1">
        <f>IF(ISBLANK($A274),"",INDEX(Array_ElectricalCharges,MATCH($A274,List_ElectricityMeters,0),ROUNDUP(COLUMN()/3,0)-2))</f>
        <v/>
      </c>
      <c r="W274" s="127"/>
      <c r="X274" s="137"/>
      <c r="Y274" s="58" t="str" cm="1">
        <f>IF(ISBLANK($A274),"",INDEX(Array_ElectricalCharges,MATCH($A274,List_ElectricityMeters,0),ROUNDUP(COLUMN()/3,0)-2))</f>
        <v/>
      </c>
      <c r="Z274" s="127"/>
      <c r="AA274" s="137"/>
      <c r="AB274" s="58" t="str" cm="1">
        <f>IF(ISBLANK($A274),"",INDEX(Array_ElectricalCharges,MATCH($A274,List_ElectricityMeters,0),ROUNDUP(COLUMN()/3,0)-2))</f>
        <v/>
      </c>
      <c r="AC274" s="127"/>
      <c r="AD274" s="137"/>
      <c r="AE274" s="58" t="str" cm="1">
        <f>IF(ISBLANK($A274),"",INDEX(Array_ElectricalCharges,MATCH($A274,List_ElectricityMeters,0),ROUNDUP(COLUMN()/3,0)-2))</f>
        <v/>
      </c>
      <c r="AF274" s="127"/>
      <c r="AG274" s="137"/>
      <c r="AH274" s="58" t="str" cm="1">
        <f>IF(ISBLANK($A274),"",INDEX(Array_ElectricalCharges,MATCH($A274,List_ElectricityMeters,0),ROUNDUP(COLUMN()/3,0)-2))</f>
        <v/>
      </c>
      <c r="AI274" s="127"/>
      <c r="AJ274" s="137"/>
      <c r="AK274" s="58" t="str" cm="1">
        <f>IF(ISBLANK($A274),"",INDEX(Array_ElectricalCharges,MATCH($A274,List_ElectricityMeters,0),ROUNDUP(COLUMN()/3,0)-2))</f>
        <v/>
      </c>
      <c r="AL274" s="127"/>
      <c r="AM274" s="137"/>
      <c r="AN274" s="58" t="str" cm="1">
        <f>IF(ISBLANK($A274),"",INDEX(Array_ElectricalCharges,MATCH($A274,List_ElectricityMeters,0),ROUNDUP(COLUMN()/3,0)-2))</f>
        <v/>
      </c>
      <c r="AO274" s="127"/>
      <c r="AP274" s="137"/>
      <c r="AQ274" s="58" t="str" cm="1">
        <f>IF(ISBLANK($A274),"",INDEX(Array_ElectricalCharges,MATCH($A274,List_ElectricityMeters,0),ROUNDUP(COLUMN()/3,0)-2))</f>
        <v/>
      </c>
      <c r="AR274" s="127"/>
      <c r="AS274" s="137"/>
      <c r="AT274" s="58" t="str" cm="1">
        <f>IF(ISBLANK($A274),"",INDEX(Array_ElectricalCharges,MATCH($A274,List_ElectricityMeters,0),ROUNDUP(COLUMN()/3,0)-2))</f>
        <v/>
      </c>
      <c r="AU274" s="127"/>
      <c r="AV274" s="137"/>
      <c r="AW274" s="58" t="str" cm="1">
        <f>IF(ISBLANK($A274),"",INDEX(Array_ElectricalCharges,MATCH($A274,List_ElectricityMeters,0),ROUNDUP(COLUMN()/3,0)-2))</f>
        <v/>
      </c>
      <c r="AX274" s="127"/>
      <c r="AY274" s="137"/>
    </row>
    <row r="275" spans="1:51" x14ac:dyDescent="0.3">
      <c r="A275" s="126"/>
      <c r="B275" s="133"/>
      <c r="C275" s="134"/>
      <c r="D275" s="134"/>
      <c r="E275" s="135"/>
      <c r="F275" s="136"/>
      <c r="G275" s="58" t="str" cm="1">
        <f>IF(ISBLANK($A275),"",INDEX(Array_ElectricalCharges,MATCH($A275,List_ElectricityMeters,0),ROUNDUP(COLUMN()/3,0)-2))</f>
        <v/>
      </c>
      <c r="H275" s="127"/>
      <c r="I275" s="137"/>
      <c r="J275" s="58" t="str" cm="1">
        <f>IF(ISBLANK($A275),"",INDEX(Array_ElectricalCharges,MATCH($A275,List_ElectricityMeters,0),ROUNDUP(COLUMN()/3,0)-2))</f>
        <v/>
      </c>
      <c r="K275" s="127"/>
      <c r="L275" s="137"/>
      <c r="M275" s="58" t="str" cm="1">
        <f>IF(ISBLANK($A275),"",INDEX(Array_ElectricalCharges,MATCH($A275,List_ElectricityMeters,0),ROUNDUP(COLUMN()/3,0)-2))</f>
        <v/>
      </c>
      <c r="N275" s="127"/>
      <c r="O275" s="137"/>
      <c r="P275" s="58" t="str" cm="1">
        <f>IF(ISBLANK($A275),"",INDEX(Array_ElectricalCharges,MATCH($A275,List_ElectricityMeters,0),ROUNDUP(COLUMN()/3,0)-2))</f>
        <v/>
      </c>
      <c r="Q275" s="127"/>
      <c r="R275" s="137"/>
      <c r="S275" s="58" t="str" cm="1">
        <f>IF(ISBLANK($A275),"",INDEX(Array_ElectricalCharges,MATCH($A275,List_ElectricityMeters,0),ROUNDUP(COLUMN()/3,0)-2))</f>
        <v/>
      </c>
      <c r="T275" s="127"/>
      <c r="U275" s="137"/>
      <c r="V275" s="58" t="str" cm="1">
        <f>IF(ISBLANK($A275),"",INDEX(Array_ElectricalCharges,MATCH($A275,List_ElectricityMeters,0),ROUNDUP(COLUMN()/3,0)-2))</f>
        <v/>
      </c>
      <c r="W275" s="127"/>
      <c r="X275" s="137"/>
      <c r="Y275" s="58" t="str" cm="1">
        <f>IF(ISBLANK($A275),"",INDEX(Array_ElectricalCharges,MATCH($A275,List_ElectricityMeters,0),ROUNDUP(COLUMN()/3,0)-2))</f>
        <v/>
      </c>
      <c r="Z275" s="127"/>
      <c r="AA275" s="137"/>
      <c r="AB275" s="58" t="str" cm="1">
        <f>IF(ISBLANK($A275),"",INDEX(Array_ElectricalCharges,MATCH($A275,List_ElectricityMeters,0),ROUNDUP(COLUMN()/3,0)-2))</f>
        <v/>
      </c>
      <c r="AC275" s="127"/>
      <c r="AD275" s="137"/>
      <c r="AE275" s="58" t="str" cm="1">
        <f>IF(ISBLANK($A275),"",INDEX(Array_ElectricalCharges,MATCH($A275,List_ElectricityMeters,0),ROUNDUP(COLUMN()/3,0)-2))</f>
        <v/>
      </c>
      <c r="AF275" s="127"/>
      <c r="AG275" s="137"/>
      <c r="AH275" s="58" t="str" cm="1">
        <f>IF(ISBLANK($A275),"",INDEX(Array_ElectricalCharges,MATCH($A275,List_ElectricityMeters,0),ROUNDUP(COLUMN()/3,0)-2))</f>
        <v/>
      </c>
      <c r="AI275" s="127"/>
      <c r="AJ275" s="137"/>
      <c r="AK275" s="58" t="str" cm="1">
        <f>IF(ISBLANK($A275),"",INDEX(Array_ElectricalCharges,MATCH($A275,List_ElectricityMeters,0),ROUNDUP(COLUMN()/3,0)-2))</f>
        <v/>
      </c>
      <c r="AL275" s="127"/>
      <c r="AM275" s="137"/>
      <c r="AN275" s="58" t="str" cm="1">
        <f>IF(ISBLANK($A275),"",INDEX(Array_ElectricalCharges,MATCH($A275,List_ElectricityMeters,0),ROUNDUP(COLUMN()/3,0)-2))</f>
        <v/>
      </c>
      <c r="AO275" s="127"/>
      <c r="AP275" s="137"/>
      <c r="AQ275" s="58" t="str" cm="1">
        <f>IF(ISBLANK($A275),"",INDEX(Array_ElectricalCharges,MATCH($A275,List_ElectricityMeters,0),ROUNDUP(COLUMN()/3,0)-2))</f>
        <v/>
      </c>
      <c r="AR275" s="127"/>
      <c r="AS275" s="137"/>
      <c r="AT275" s="58" t="str" cm="1">
        <f>IF(ISBLANK($A275),"",INDEX(Array_ElectricalCharges,MATCH($A275,List_ElectricityMeters,0),ROUNDUP(COLUMN()/3,0)-2))</f>
        <v/>
      </c>
      <c r="AU275" s="127"/>
      <c r="AV275" s="137"/>
      <c r="AW275" s="58" t="str" cm="1">
        <f>IF(ISBLANK($A275),"",INDEX(Array_ElectricalCharges,MATCH($A275,List_ElectricityMeters,0),ROUNDUP(COLUMN()/3,0)-2))</f>
        <v/>
      </c>
      <c r="AX275" s="127"/>
      <c r="AY275" s="137"/>
    </row>
    <row r="276" spans="1:51" x14ac:dyDescent="0.3">
      <c r="A276" s="126"/>
      <c r="B276" s="133"/>
      <c r="C276" s="134"/>
      <c r="D276" s="134"/>
      <c r="E276" s="135"/>
      <c r="F276" s="136"/>
      <c r="G276" s="58" t="str" cm="1">
        <f>IF(ISBLANK($A276),"",INDEX(Array_ElectricalCharges,MATCH($A276,List_ElectricityMeters,0),ROUNDUP(COLUMN()/3,0)-2))</f>
        <v/>
      </c>
      <c r="H276" s="127"/>
      <c r="I276" s="137"/>
      <c r="J276" s="58" t="str" cm="1">
        <f>IF(ISBLANK($A276),"",INDEX(Array_ElectricalCharges,MATCH($A276,List_ElectricityMeters,0),ROUNDUP(COLUMN()/3,0)-2))</f>
        <v/>
      </c>
      <c r="K276" s="127"/>
      <c r="L276" s="137"/>
      <c r="M276" s="58" t="str" cm="1">
        <f>IF(ISBLANK($A276),"",INDEX(Array_ElectricalCharges,MATCH($A276,List_ElectricityMeters,0),ROUNDUP(COLUMN()/3,0)-2))</f>
        <v/>
      </c>
      <c r="N276" s="127"/>
      <c r="O276" s="137"/>
      <c r="P276" s="58" t="str" cm="1">
        <f>IF(ISBLANK($A276),"",INDEX(Array_ElectricalCharges,MATCH($A276,List_ElectricityMeters,0),ROUNDUP(COLUMN()/3,0)-2))</f>
        <v/>
      </c>
      <c r="Q276" s="127"/>
      <c r="R276" s="137"/>
      <c r="S276" s="58" t="str" cm="1">
        <f>IF(ISBLANK($A276),"",INDEX(Array_ElectricalCharges,MATCH($A276,List_ElectricityMeters,0),ROUNDUP(COLUMN()/3,0)-2))</f>
        <v/>
      </c>
      <c r="T276" s="127"/>
      <c r="U276" s="137"/>
      <c r="V276" s="58" t="str" cm="1">
        <f>IF(ISBLANK($A276),"",INDEX(Array_ElectricalCharges,MATCH($A276,List_ElectricityMeters,0),ROUNDUP(COLUMN()/3,0)-2))</f>
        <v/>
      </c>
      <c r="W276" s="127"/>
      <c r="X276" s="137"/>
      <c r="Y276" s="58" t="str" cm="1">
        <f>IF(ISBLANK($A276),"",INDEX(Array_ElectricalCharges,MATCH($A276,List_ElectricityMeters,0),ROUNDUP(COLUMN()/3,0)-2))</f>
        <v/>
      </c>
      <c r="Z276" s="127"/>
      <c r="AA276" s="137"/>
      <c r="AB276" s="58" t="str" cm="1">
        <f>IF(ISBLANK($A276),"",INDEX(Array_ElectricalCharges,MATCH($A276,List_ElectricityMeters,0),ROUNDUP(COLUMN()/3,0)-2))</f>
        <v/>
      </c>
      <c r="AC276" s="127"/>
      <c r="AD276" s="137"/>
      <c r="AE276" s="58" t="str" cm="1">
        <f>IF(ISBLANK($A276),"",INDEX(Array_ElectricalCharges,MATCH($A276,List_ElectricityMeters,0),ROUNDUP(COLUMN()/3,0)-2))</f>
        <v/>
      </c>
      <c r="AF276" s="127"/>
      <c r="AG276" s="137"/>
      <c r="AH276" s="58" t="str" cm="1">
        <f>IF(ISBLANK($A276),"",INDEX(Array_ElectricalCharges,MATCH($A276,List_ElectricityMeters,0),ROUNDUP(COLUMN()/3,0)-2))</f>
        <v/>
      </c>
      <c r="AI276" s="127"/>
      <c r="AJ276" s="137"/>
      <c r="AK276" s="58" t="str" cm="1">
        <f>IF(ISBLANK($A276),"",INDEX(Array_ElectricalCharges,MATCH($A276,List_ElectricityMeters,0),ROUNDUP(COLUMN()/3,0)-2))</f>
        <v/>
      </c>
      <c r="AL276" s="127"/>
      <c r="AM276" s="137"/>
      <c r="AN276" s="58" t="str" cm="1">
        <f>IF(ISBLANK($A276),"",INDEX(Array_ElectricalCharges,MATCH($A276,List_ElectricityMeters,0),ROUNDUP(COLUMN()/3,0)-2))</f>
        <v/>
      </c>
      <c r="AO276" s="127"/>
      <c r="AP276" s="137"/>
      <c r="AQ276" s="58" t="str" cm="1">
        <f>IF(ISBLANK($A276),"",INDEX(Array_ElectricalCharges,MATCH($A276,List_ElectricityMeters,0),ROUNDUP(COLUMN()/3,0)-2))</f>
        <v/>
      </c>
      <c r="AR276" s="127"/>
      <c r="AS276" s="137"/>
      <c r="AT276" s="58" t="str" cm="1">
        <f>IF(ISBLANK($A276),"",INDEX(Array_ElectricalCharges,MATCH($A276,List_ElectricityMeters,0),ROUNDUP(COLUMN()/3,0)-2))</f>
        <v/>
      </c>
      <c r="AU276" s="127"/>
      <c r="AV276" s="137"/>
      <c r="AW276" s="58" t="str" cm="1">
        <f>IF(ISBLANK($A276),"",INDEX(Array_ElectricalCharges,MATCH($A276,List_ElectricityMeters,0),ROUNDUP(COLUMN()/3,0)-2))</f>
        <v/>
      </c>
      <c r="AX276" s="127"/>
      <c r="AY276" s="137"/>
    </row>
    <row r="277" spans="1:51" x14ac:dyDescent="0.3">
      <c r="A277" s="126"/>
      <c r="B277" s="133"/>
      <c r="C277" s="134"/>
      <c r="D277" s="134"/>
      <c r="E277" s="135"/>
      <c r="F277" s="136"/>
      <c r="G277" s="58" t="str" cm="1">
        <f>IF(ISBLANK($A277),"",INDEX(Array_ElectricalCharges,MATCH($A277,List_ElectricityMeters,0),ROUNDUP(COLUMN()/3,0)-2))</f>
        <v/>
      </c>
      <c r="H277" s="127"/>
      <c r="I277" s="137"/>
      <c r="J277" s="58" t="str" cm="1">
        <f>IF(ISBLANK($A277),"",INDEX(Array_ElectricalCharges,MATCH($A277,List_ElectricityMeters,0),ROUNDUP(COLUMN()/3,0)-2))</f>
        <v/>
      </c>
      <c r="K277" s="127"/>
      <c r="L277" s="137"/>
      <c r="M277" s="58" t="str" cm="1">
        <f>IF(ISBLANK($A277),"",INDEX(Array_ElectricalCharges,MATCH($A277,List_ElectricityMeters,0),ROUNDUP(COLUMN()/3,0)-2))</f>
        <v/>
      </c>
      <c r="N277" s="127"/>
      <c r="O277" s="137"/>
      <c r="P277" s="58" t="str" cm="1">
        <f>IF(ISBLANK($A277),"",INDEX(Array_ElectricalCharges,MATCH($A277,List_ElectricityMeters,0),ROUNDUP(COLUMN()/3,0)-2))</f>
        <v/>
      </c>
      <c r="Q277" s="127"/>
      <c r="R277" s="137"/>
      <c r="S277" s="58" t="str" cm="1">
        <f>IF(ISBLANK($A277),"",INDEX(Array_ElectricalCharges,MATCH($A277,List_ElectricityMeters,0),ROUNDUP(COLUMN()/3,0)-2))</f>
        <v/>
      </c>
      <c r="T277" s="127"/>
      <c r="U277" s="137"/>
      <c r="V277" s="58" t="str" cm="1">
        <f>IF(ISBLANK($A277),"",INDEX(Array_ElectricalCharges,MATCH($A277,List_ElectricityMeters,0),ROUNDUP(COLUMN()/3,0)-2))</f>
        <v/>
      </c>
      <c r="W277" s="127"/>
      <c r="X277" s="137"/>
      <c r="Y277" s="58" t="str" cm="1">
        <f>IF(ISBLANK($A277),"",INDEX(Array_ElectricalCharges,MATCH($A277,List_ElectricityMeters,0),ROUNDUP(COLUMN()/3,0)-2))</f>
        <v/>
      </c>
      <c r="Z277" s="127"/>
      <c r="AA277" s="137"/>
      <c r="AB277" s="58" t="str" cm="1">
        <f>IF(ISBLANK($A277),"",INDEX(Array_ElectricalCharges,MATCH($A277,List_ElectricityMeters,0),ROUNDUP(COLUMN()/3,0)-2))</f>
        <v/>
      </c>
      <c r="AC277" s="127"/>
      <c r="AD277" s="137"/>
      <c r="AE277" s="58" t="str" cm="1">
        <f>IF(ISBLANK($A277),"",INDEX(Array_ElectricalCharges,MATCH($A277,List_ElectricityMeters,0),ROUNDUP(COLUMN()/3,0)-2))</f>
        <v/>
      </c>
      <c r="AF277" s="127"/>
      <c r="AG277" s="137"/>
      <c r="AH277" s="58" t="str" cm="1">
        <f>IF(ISBLANK($A277),"",INDEX(Array_ElectricalCharges,MATCH($A277,List_ElectricityMeters,0),ROUNDUP(COLUMN()/3,0)-2))</f>
        <v/>
      </c>
      <c r="AI277" s="127"/>
      <c r="AJ277" s="137"/>
      <c r="AK277" s="58" t="str" cm="1">
        <f>IF(ISBLANK($A277),"",INDEX(Array_ElectricalCharges,MATCH($A277,List_ElectricityMeters,0),ROUNDUP(COLUMN()/3,0)-2))</f>
        <v/>
      </c>
      <c r="AL277" s="127"/>
      <c r="AM277" s="137"/>
      <c r="AN277" s="58" t="str" cm="1">
        <f>IF(ISBLANK($A277),"",INDEX(Array_ElectricalCharges,MATCH($A277,List_ElectricityMeters,0),ROUNDUP(COLUMN()/3,0)-2))</f>
        <v/>
      </c>
      <c r="AO277" s="127"/>
      <c r="AP277" s="137"/>
      <c r="AQ277" s="58" t="str" cm="1">
        <f>IF(ISBLANK($A277),"",INDEX(Array_ElectricalCharges,MATCH($A277,List_ElectricityMeters,0),ROUNDUP(COLUMN()/3,0)-2))</f>
        <v/>
      </c>
      <c r="AR277" s="127"/>
      <c r="AS277" s="137"/>
      <c r="AT277" s="58" t="str" cm="1">
        <f>IF(ISBLANK($A277),"",INDEX(Array_ElectricalCharges,MATCH($A277,List_ElectricityMeters,0),ROUNDUP(COLUMN()/3,0)-2))</f>
        <v/>
      </c>
      <c r="AU277" s="127"/>
      <c r="AV277" s="137"/>
      <c r="AW277" s="58" t="str" cm="1">
        <f>IF(ISBLANK($A277),"",INDEX(Array_ElectricalCharges,MATCH($A277,List_ElectricityMeters,0),ROUNDUP(COLUMN()/3,0)-2))</f>
        <v/>
      </c>
      <c r="AX277" s="127"/>
      <c r="AY277" s="137"/>
    </row>
    <row r="278" spans="1:51" x14ac:dyDescent="0.3">
      <c r="A278" s="126"/>
      <c r="B278" s="133"/>
      <c r="C278" s="134"/>
      <c r="D278" s="134"/>
      <c r="E278" s="135"/>
      <c r="F278" s="136"/>
      <c r="G278" s="58" t="str" cm="1">
        <f>IF(ISBLANK($A278),"",INDEX(Array_ElectricalCharges,MATCH($A278,List_ElectricityMeters,0),ROUNDUP(COLUMN()/3,0)-2))</f>
        <v/>
      </c>
      <c r="H278" s="127"/>
      <c r="I278" s="137"/>
      <c r="J278" s="58" t="str" cm="1">
        <f>IF(ISBLANK($A278),"",INDEX(Array_ElectricalCharges,MATCH($A278,List_ElectricityMeters,0),ROUNDUP(COLUMN()/3,0)-2))</f>
        <v/>
      </c>
      <c r="K278" s="127"/>
      <c r="L278" s="137"/>
      <c r="M278" s="58" t="str" cm="1">
        <f>IF(ISBLANK($A278),"",INDEX(Array_ElectricalCharges,MATCH($A278,List_ElectricityMeters,0),ROUNDUP(COLUMN()/3,0)-2))</f>
        <v/>
      </c>
      <c r="N278" s="127"/>
      <c r="O278" s="137"/>
      <c r="P278" s="58" t="str" cm="1">
        <f>IF(ISBLANK($A278),"",INDEX(Array_ElectricalCharges,MATCH($A278,List_ElectricityMeters,0),ROUNDUP(COLUMN()/3,0)-2))</f>
        <v/>
      </c>
      <c r="Q278" s="127"/>
      <c r="R278" s="137"/>
      <c r="S278" s="58" t="str" cm="1">
        <f>IF(ISBLANK($A278),"",INDEX(Array_ElectricalCharges,MATCH($A278,List_ElectricityMeters,0),ROUNDUP(COLUMN()/3,0)-2))</f>
        <v/>
      </c>
      <c r="T278" s="127"/>
      <c r="U278" s="137"/>
      <c r="V278" s="58" t="str" cm="1">
        <f>IF(ISBLANK($A278),"",INDEX(Array_ElectricalCharges,MATCH($A278,List_ElectricityMeters,0),ROUNDUP(COLUMN()/3,0)-2))</f>
        <v/>
      </c>
      <c r="W278" s="127"/>
      <c r="X278" s="137"/>
      <c r="Y278" s="58" t="str" cm="1">
        <f>IF(ISBLANK($A278),"",INDEX(Array_ElectricalCharges,MATCH($A278,List_ElectricityMeters,0),ROUNDUP(COLUMN()/3,0)-2))</f>
        <v/>
      </c>
      <c r="Z278" s="127"/>
      <c r="AA278" s="137"/>
      <c r="AB278" s="58" t="str" cm="1">
        <f>IF(ISBLANK($A278),"",INDEX(Array_ElectricalCharges,MATCH($A278,List_ElectricityMeters,0),ROUNDUP(COLUMN()/3,0)-2))</f>
        <v/>
      </c>
      <c r="AC278" s="127"/>
      <c r="AD278" s="137"/>
      <c r="AE278" s="58" t="str" cm="1">
        <f>IF(ISBLANK($A278),"",INDEX(Array_ElectricalCharges,MATCH($A278,List_ElectricityMeters,0),ROUNDUP(COLUMN()/3,0)-2))</f>
        <v/>
      </c>
      <c r="AF278" s="127"/>
      <c r="AG278" s="137"/>
      <c r="AH278" s="58" t="str" cm="1">
        <f>IF(ISBLANK($A278),"",INDEX(Array_ElectricalCharges,MATCH($A278,List_ElectricityMeters,0),ROUNDUP(COLUMN()/3,0)-2))</f>
        <v/>
      </c>
      <c r="AI278" s="127"/>
      <c r="AJ278" s="137"/>
      <c r="AK278" s="58" t="str" cm="1">
        <f>IF(ISBLANK($A278),"",INDEX(Array_ElectricalCharges,MATCH($A278,List_ElectricityMeters,0),ROUNDUP(COLUMN()/3,0)-2))</f>
        <v/>
      </c>
      <c r="AL278" s="127"/>
      <c r="AM278" s="137"/>
      <c r="AN278" s="58" t="str" cm="1">
        <f>IF(ISBLANK($A278),"",INDEX(Array_ElectricalCharges,MATCH($A278,List_ElectricityMeters,0),ROUNDUP(COLUMN()/3,0)-2))</f>
        <v/>
      </c>
      <c r="AO278" s="127"/>
      <c r="AP278" s="137"/>
      <c r="AQ278" s="58" t="str" cm="1">
        <f>IF(ISBLANK($A278),"",INDEX(Array_ElectricalCharges,MATCH($A278,List_ElectricityMeters,0),ROUNDUP(COLUMN()/3,0)-2))</f>
        <v/>
      </c>
      <c r="AR278" s="127"/>
      <c r="AS278" s="137"/>
      <c r="AT278" s="58" t="str" cm="1">
        <f>IF(ISBLANK($A278),"",INDEX(Array_ElectricalCharges,MATCH($A278,List_ElectricityMeters,0),ROUNDUP(COLUMN()/3,0)-2))</f>
        <v/>
      </c>
      <c r="AU278" s="127"/>
      <c r="AV278" s="137"/>
      <c r="AW278" s="58" t="str" cm="1">
        <f>IF(ISBLANK($A278),"",INDEX(Array_ElectricalCharges,MATCH($A278,List_ElectricityMeters,0),ROUNDUP(COLUMN()/3,0)-2))</f>
        <v/>
      </c>
      <c r="AX278" s="127"/>
      <c r="AY278" s="137"/>
    </row>
    <row r="279" spans="1:51" x14ac:dyDescent="0.3">
      <c r="A279" s="126"/>
      <c r="B279" s="133"/>
      <c r="C279" s="134"/>
      <c r="D279" s="134"/>
      <c r="E279" s="135"/>
      <c r="F279" s="136"/>
      <c r="G279" s="58" t="str" cm="1">
        <f>IF(ISBLANK($A279),"",INDEX(Array_ElectricalCharges,MATCH($A279,List_ElectricityMeters,0),ROUNDUP(COLUMN()/3,0)-2))</f>
        <v/>
      </c>
      <c r="H279" s="127"/>
      <c r="I279" s="137"/>
      <c r="J279" s="58" t="str" cm="1">
        <f>IF(ISBLANK($A279),"",INDEX(Array_ElectricalCharges,MATCH($A279,List_ElectricityMeters,0),ROUNDUP(COLUMN()/3,0)-2))</f>
        <v/>
      </c>
      <c r="K279" s="127"/>
      <c r="L279" s="137"/>
      <c r="M279" s="58" t="str" cm="1">
        <f>IF(ISBLANK($A279),"",INDEX(Array_ElectricalCharges,MATCH($A279,List_ElectricityMeters,0),ROUNDUP(COLUMN()/3,0)-2))</f>
        <v/>
      </c>
      <c r="N279" s="127"/>
      <c r="O279" s="137"/>
      <c r="P279" s="58" t="str" cm="1">
        <f>IF(ISBLANK($A279),"",INDEX(Array_ElectricalCharges,MATCH($A279,List_ElectricityMeters,0),ROUNDUP(COLUMN()/3,0)-2))</f>
        <v/>
      </c>
      <c r="Q279" s="127"/>
      <c r="R279" s="137"/>
      <c r="S279" s="58" t="str" cm="1">
        <f>IF(ISBLANK($A279),"",INDEX(Array_ElectricalCharges,MATCH($A279,List_ElectricityMeters,0),ROUNDUP(COLUMN()/3,0)-2))</f>
        <v/>
      </c>
      <c r="T279" s="127"/>
      <c r="U279" s="137"/>
      <c r="V279" s="58" t="str" cm="1">
        <f>IF(ISBLANK($A279),"",INDEX(Array_ElectricalCharges,MATCH($A279,List_ElectricityMeters,0),ROUNDUP(COLUMN()/3,0)-2))</f>
        <v/>
      </c>
      <c r="W279" s="127"/>
      <c r="X279" s="137"/>
      <c r="Y279" s="58" t="str" cm="1">
        <f>IF(ISBLANK($A279),"",INDEX(Array_ElectricalCharges,MATCH($A279,List_ElectricityMeters,0),ROUNDUP(COLUMN()/3,0)-2))</f>
        <v/>
      </c>
      <c r="Z279" s="127"/>
      <c r="AA279" s="137"/>
      <c r="AB279" s="58" t="str" cm="1">
        <f>IF(ISBLANK($A279),"",INDEX(Array_ElectricalCharges,MATCH($A279,List_ElectricityMeters,0),ROUNDUP(COLUMN()/3,0)-2))</f>
        <v/>
      </c>
      <c r="AC279" s="127"/>
      <c r="AD279" s="137"/>
      <c r="AE279" s="58" t="str" cm="1">
        <f>IF(ISBLANK($A279),"",INDEX(Array_ElectricalCharges,MATCH($A279,List_ElectricityMeters,0),ROUNDUP(COLUMN()/3,0)-2))</f>
        <v/>
      </c>
      <c r="AF279" s="127"/>
      <c r="AG279" s="137"/>
      <c r="AH279" s="58" t="str" cm="1">
        <f>IF(ISBLANK($A279),"",INDEX(Array_ElectricalCharges,MATCH($A279,List_ElectricityMeters,0),ROUNDUP(COLUMN()/3,0)-2))</f>
        <v/>
      </c>
      <c r="AI279" s="127"/>
      <c r="AJ279" s="137"/>
      <c r="AK279" s="58" t="str" cm="1">
        <f>IF(ISBLANK($A279),"",INDEX(Array_ElectricalCharges,MATCH($A279,List_ElectricityMeters,0),ROUNDUP(COLUMN()/3,0)-2))</f>
        <v/>
      </c>
      <c r="AL279" s="127"/>
      <c r="AM279" s="137"/>
      <c r="AN279" s="58" t="str" cm="1">
        <f>IF(ISBLANK($A279),"",INDEX(Array_ElectricalCharges,MATCH($A279,List_ElectricityMeters,0),ROUNDUP(COLUMN()/3,0)-2))</f>
        <v/>
      </c>
      <c r="AO279" s="127"/>
      <c r="AP279" s="137"/>
      <c r="AQ279" s="58" t="str" cm="1">
        <f>IF(ISBLANK($A279),"",INDEX(Array_ElectricalCharges,MATCH($A279,List_ElectricityMeters,0),ROUNDUP(COLUMN()/3,0)-2))</f>
        <v/>
      </c>
      <c r="AR279" s="127"/>
      <c r="AS279" s="137"/>
      <c r="AT279" s="58" t="str" cm="1">
        <f>IF(ISBLANK($A279),"",INDEX(Array_ElectricalCharges,MATCH($A279,List_ElectricityMeters,0),ROUNDUP(COLUMN()/3,0)-2))</f>
        <v/>
      </c>
      <c r="AU279" s="127"/>
      <c r="AV279" s="137"/>
      <c r="AW279" s="58" t="str" cm="1">
        <f>IF(ISBLANK($A279),"",INDEX(Array_ElectricalCharges,MATCH($A279,List_ElectricityMeters,0),ROUNDUP(COLUMN()/3,0)-2))</f>
        <v/>
      </c>
      <c r="AX279" s="127"/>
      <c r="AY279" s="137"/>
    </row>
    <row r="280" spans="1:51" x14ac:dyDescent="0.3">
      <c r="A280" s="126"/>
      <c r="B280" s="133"/>
      <c r="C280" s="134"/>
      <c r="D280" s="134"/>
      <c r="E280" s="135"/>
      <c r="F280" s="136"/>
      <c r="G280" s="58" t="str" cm="1">
        <f>IF(ISBLANK($A280),"",INDEX(Array_ElectricalCharges,MATCH($A280,List_ElectricityMeters,0),ROUNDUP(COLUMN()/3,0)-2))</f>
        <v/>
      </c>
      <c r="H280" s="127"/>
      <c r="I280" s="137"/>
      <c r="J280" s="58" t="str" cm="1">
        <f>IF(ISBLANK($A280),"",INDEX(Array_ElectricalCharges,MATCH($A280,List_ElectricityMeters,0),ROUNDUP(COLUMN()/3,0)-2))</f>
        <v/>
      </c>
      <c r="K280" s="127"/>
      <c r="L280" s="137"/>
      <c r="M280" s="58" t="str" cm="1">
        <f>IF(ISBLANK($A280),"",INDEX(Array_ElectricalCharges,MATCH($A280,List_ElectricityMeters,0),ROUNDUP(COLUMN()/3,0)-2))</f>
        <v/>
      </c>
      <c r="N280" s="127"/>
      <c r="O280" s="137"/>
      <c r="P280" s="58" t="str" cm="1">
        <f>IF(ISBLANK($A280),"",INDEX(Array_ElectricalCharges,MATCH($A280,List_ElectricityMeters,0),ROUNDUP(COLUMN()/3,0)-2))</f>
        <v/>
      </c>
      <c r="Q280" s="127"/>
      <c r="R280" s="137"/>
      <c r="S280" s="58" t="str" cm="1">
        <f>IF(ISBLANK($A280),"",INDEX(Array_ElectricalCharges,MATCH($A280,List_ElectricityMeters,0),ROUNDUP(COLUMN()/3,0)-2))</f>
        <v/>
      </c>
      <c r="T280" s="127"/>
      <c r="U280" s="137"/>
      <c r="V280" s="58" t="str" cm="1">
        <f>IF(ISBLANK($A280),"",INDEX(Array_ElectricalCharges,MATCH($A280,List_ElectricityMeters,0),ROUNDUP(COLUMN()/3,0)-2))</f>
        <v/>
      </c>
      <c r="W280" s="127"/>
      <c r="X280" s="137"/>
      <c r="Y280" s="58" t="str" cm="1">
        <f>IF(ISBLANK($A280),"",INDEX(Array_ElectricalCharges,MATCH($A280,List_ElectricityMeters,0),ROUNDUP(COLUMN()/3,0)-2))</f>
        <v/>
      </c>
      <c r="Z280" s="127"/>
      <c r="AA280" s="137"/>
      <c r="AB280" s="58" t="str" cm="1">
        <f>IF(ISBLANK($A280),"",INDEX(Array_ElectricalCharges,MATCH($A280,List_ElectricityMeters,0),ROUNDUP(COLUMN()/3,0)-2))</f>
        <v/>
      </c>
      <c r="AC280" s="127"/>
      <c r="AD280" s="137"/>
      <c r="AE280" s="58" t="str" cm="1">
        <f>IF(ISBLANK($A280),"",INDEX(Array_ElectricalCharges,MATCH($A280,List_ElectricityMeters,0),ROUNDUP(COLUMN()/3,0)-2))</f>
        <v/>
      </c>
      <c r="AF280" s="127"/>
      <c r="AG280" s="137"/>
      <c r="AH280" s="58" t="str" cm="1">
        <f>IF(ISBLANK($A280),"",INDEX(Array_ElectricalCharges,MATCH($A280,List_ElectricityMeters,0),ROUNDUP(COLUMN()/3,0)-2))</f>
        <v/>
      </c>
      <c r="AI280" s="127"/>
      <c r="AJ280" s="137"/>
      <c r="AK280" s="58" t="str" cm="1">
        <f>IF(ISBLANK($A280),"",INDEX(Array_ElectricalCharges,MATCH($A280,List_ElectricityMeters,0),ROUNDUP(COLUMN()/3,0)-2))</f>
        <v/>
      </c>
      <c r="AL280" s="127"/>
      <c r="AM280" s="137"/>
      <c r="AN280" s="58" t="str" cm="1">
        <f>IF(ISBLANK($A280),"",INDEX(Array_ElectricalCharges,MATCH($A280,List_ElectricityMeters,0),ROUNDUP(COLUMN()/3,0)-2))</f>
        <v/>
      </c>
      <c r="AO280" s="127"/>
      <c r="AP280" s="137"/>
      <c r="AQ280" s="58" t="str" cm="1">
        <f>IF(ISBLANK($A280),"",INDEX(Array_ElectricalCharges,MATCH($A280,List_ElectricityMeters,0),ROUNDUP(COLUMN()/3,0)-2))</f>
        <v/>
      </c>
      <c r="AR280" s="127"/>
      <c r="AS280" s="137"/>
      <c r="AT280" s="58" t="str" cm="1">
        <f>IF(ISBLANK($A280),"",INDEX(Array_ElectricalCharges,MATCH($A280,List_ElectricityMeters,0),ROUNDUP(COLUMN()/3,0)-2))</f>
        <v/>
      </c>
      <c r="AU280" s="127"/>
      <c r="AV280" s="137"/>
      <c r="AW280" s="58" t="str" cm="1">
        <f>IF(ISBLANK($A280),"",INDEX(Array_ElectricalCharges,MATCH($A280,List_ElectricityMeters,0),ROUNDUP(COLUMN()/3,0)-2))</f>
        <v/>
      </c>
      <c r="AX280" s="127"/>
      <c r="AY280" s="137"/>
    </row>
    <row r="281" spans="1:51" x14ac:dyDescent="0.3">
      <c r="A281" s="126"/>
      <c r="B281" s="133"/>
      <c r="C281" s="134"/>
      <c r="D281" s="134"/>
      <c r="E281" s="135"/>
      <c r="F281" s="136"/>
      <c r="G281" s="58" t="str" cm="1">
        <f>IF(ISBLANK($A281),"",INDEX(Array_ElectricalCharges,MATCH($A281,List_ElectricityMeters,0),ROUNDUP(COLUMN()/3,0)-2))</f>
        <v/>
      </c>
      <c r="H281" s="127"/>
      <c r="I281" s="137"/>
      <c r="J281" s="58" t="str" cm="1">
        <f>IF(ISBLANK($A281),"",INDEX(Array_ElectricalCharges,MATCH($A281,List_ElectricityMeters,0),ROUNDUP(COLUMN()/3,0)-2))</f>
        <v/>
      </c>
      <c r="K281" s="127"/>
      <c r="L281" s="137"/>
      <c r="M281" s="58" t="str" cm="1">
        <f>IF(ISBLANK($A281),"",INDEX(Array_ElectricalCharges,MATCH($A281,List_ElectricityMeters,0),ROUNDUP(COLUMN()/3,0)-2))</f>
        <v/>
      </c>
      <c r="N281" s="127"/>
      <c r="O281" s="137"/>
      <c r="P281" s="58" t="str" cm="1">
        <f>IF(ISBLANK($A281),"",INDEX(Array_ElectricalCharges,MATCH($A281,List_ElectricityMeters,0),ROUNDUP(COLUMN()/3,0)-2))</f>
        <v/>
      </c>
      <c r="Q281" s="127"/>
      <c r="R281" s="137"/>
      <c r="S281" s="58" t="str" cm="1">
        <f>IF(ISBLANK($A281),"",INDEX(Array_ElectricalCharges,MATCH($A281,List_ElectricityMeters,0),ROUNDUP(COLUMN()/3,0)-2))</f>
        <v/>
      </c>
      <c r="T281" s="127"/>
      <c r="U281" s="137"/>
      <c r="V281" s="58" t="str" cm="1">
        <f>IF(ISBLANK($A281),"",INDEX(Array_ElectricalCharges,MATCH($A281,List_ElectricityMeters,0),ROUNDUP(COLUMN()/3,0)-2))</f>
        <v/>
      </c>
      <c r="W281" s="127"/>
      <c r="X281" s="137"/>
      <c r="Y281" s="58" t="str" cm="1">
        <f>IF(ISBLANK($A281),"",INDEX(Array_ElectricalCharges,MATCH($A281,List_ElectricityMeters,0),ROUNDUP(COLUMN()/3,0)-2))</f>
        <v/>
      </c>
      <c r="Z281" s="127"/>
      <c r="AA281" s="137"/>
      <c r="AB281" s="58" t="str" cm="1">
        <f>IF(ISBLANK($A281),"",INDEX(Array_ElectricalCharges,MATCH($A281,List_ElectricityMeters,0),ROUNDUP(COLUMN()/3,0)-2))</f>
        <v/>
      </c>
      <c r="AC281" s="127"/>
      <c r="AD281" s="137"/>
      <c r="AE281" s="58" t="str" cm="1">
        <f>IF(ISBLANK($A281),"",INDEX(Array_ElectricalCharges,MATCH($A281,List_ElectricityMeters,0),ROUNDUP(COLUMN()/3,0)-2))</f>
        <v/>
      </c>
      <c r="AF281" s="127"/>
      <c r="AG281" s="137"/>
      <c r="AH281" s="58" t="str" cm="1">
        <f>IF(ISBLANK($A281),"",INDEX(Array_ElectricalCharges,MATCH($A281,List_ElectricityMeters,0),ROUNDUP(COLUMN()/3,0)-2))</f>
        <v/>
      </c>
      <c r="AI281" s="127"/>
      <c r="AJ281" s="137"/>
      <c r="AK281" s="58" t="str" cm="1">
        <f>IF(ISBLANK($A281),"",INDEX(Array_ElectricalCharges,MATCH($A281,List_ElectricityMeters,0),ROUNDUP(COLUMN()/3,0)-2))</f>
        <v/>
      </c>
      <c r="AL281" s="127"/>
      <c r="AM281" s="137"/>
      <c r="AN281" s="58" t="str" cm="1">
        <f>IF(ISBLANK($A281),"",INDEX(Array_ElectricalCharges,MATCH($A281,List_ElectricityMeters,0),ROUNDUP(COLUMN()/3,0)-2))</f>
        <v/>
      </c>
      <c r="AO281" s="127"/>
      <c r="AP281" s="137"/>
      <c r="AQ281" s="58" t="str" cm="1">
        <f>IF(ISBLANK($A281),"",INDEX(Array_ElectricalCharges,MATCH($A281,List_ElectricityMeters,0),ROUNDUP(COLUMN()/3,0)-2))</f>
        <v/>
      </c>
      <c r="AR281" s="127"/>
      <c r="AS281" s="137"/>
      <c r="AT281" s="58" t="str" cm="1">
        <f>IF(ISBLANK($A281),"",INDEX(Array_ElectricalCharges,MATCH($A281,List_ElectricityMeters,0),ROUNDUP(COLUMN()/3,0)-2))</f>
        <v/>
      </c>
      <c r="AU281" s="127"/>
      <c r="AV281" s="137"/>
      <c r="AW281" s="58" t="str" cm="1">
        <f>IF(ISBLANK($A281),"",INDEX(Array_ElectricalCharges,MATCH($A281,List_ElectricityMeters,0),ROUNDUP(COLUMN()/3,0)-2))</f>
        <v/>
      </c>
      <c r="AX281" s="127"/>
      <c r="AY281" s="137"/>
    </row>
    <row r="282" spans="1:51" x14ac:dyDescent="0.3">
      <c r="A282" s="126"/>
      <c r="B282" s="133"/>
      <c r="C282" s="134"/>
      <c r="D282" s="134"/>
      <c r="E282" s="135"/>
      <c r="F282" s="136"/>
      <c r="G282" s="58" t="str" cm="1">
        <f>IF(ISBLANK($A282),"",INDEX(Array_ElectricalCharges,MATCH($A282,List_ElectricityMeters,0),ROUNDUP(COLUMN()/3,0)-2))</f>
        <v/>
      </c>
      <c r="H282" s="127"/>
      <c r="I282" s="137"/>
      <c r="J282" s="58" t="str" cm="1">
        <f>IF(ISBLANK($A282),"",INDEX(Array_ElectricalCharges,MATCH($A282,List_ElectricityMeters,0),ROUNDUP(COLUMN()/3,0)-2))</f>
        <v/>
      </c>
      <c r="K282" s="127"/>
      <c r="L282" s="137"/>
      <c r="M282" s="58" t="str" cm="1">
        <f>IF(ISBLANK($A282),"",INDEX(Array_ElectricalCharges,MATCH($A282,List_ElectricityMeters,0),ROUNDUP(COLUMN()/3,0)-2))</f>
        <v/>
      </c>
      <c r="N282" s="127"/>
      <c r="O282" s="137"/>
      <c r="P282" s="58" t="str" cm="1">
        <f>IF(ISBLANK($A282),"",INDEX(Array_ElectricalCharges,MATCH($A282,List_ElectricityMeters,0),ROUNDUP(COLUMN()/3,0)-2))</f>
        <v/>
      </c>
      <c r="Q282" s="127"/>
      <c r="R282" s="137"/>
      <c r="S282" s="58" t="str" cm="1">
        <f>IF(ISBLANK($A282),"",INDEX(Array_ElectricalCharges,MATCH($A282,List_ElectricityMeters,0),ROUNDUP(COLUMN()/3,0)-2))</f>
        <v/>
      </c>
      <c r="T282" s="127"/>
      <c r="U282" s="137"/>
      <c r="V282" s="58" t="str" cm="1">
        <f>IF(ISBLANK($A282),"",INDEX(Array_ElectricalCharges,MATCH($A282,List_ElectricityMeters,0),ROUNDUP(COLUMN()/3,0)-2))</f>
        <v/>
      </c>
      <c r="W282" s="127"/>
      <c r="X282" s="137"/>
      <c r="Y282" s="58" t="str" cm="1">
        <f>IF(ISBLANK($A282),"",INDEX(Array_ElectricalCharges,MATCH($A282,List_ElectricityMeters,0),ROUNDUP(COLUMN()/3,0)-2))</f>
        <v/>
      </c>
      <c r="Z282" s="127"/>
      <c r="AA282" s="137"/>
      <c r="AB282" s="58" t="str" cm="1">
        <f>IF(ISBLANK($A282),"",INDEX(Array_ElectricalCharges,MATCH($A282,List_ElectricityMeters,0),ROUNDUP(COLUMN()/3,0)-2))</f>
        <v/>
      </c>
      <c r="AC282" s="127"/>
      <c r="AD282" s="137"/>
      <c r="AE282" s="58" t="str" cm="1">
        <f>IF(ISBLANK($A282),"",INDEX(Array_ElectricalCharges,MATCH($A282,List_ElectricityMeters,0),ROUNDUP(COLUMN()/3,0)-2))</f>
        <v/>
      </c>
      <c r="AF282" s="127"/>
      <c r="AG282" s="137"/>
      <c r="AH282" s="58" t="str" cm="1">
        <f>IF(ISBLANK($A282),"",INDEX(Array_ElectricalCharges,MATCH($A282,List_ElectricityMeters,0),ROUNDUP(COLUMN()/3,0)-2))</f>
        <v/>
      </c>
      <c r="AI282" s="127"/>
      <c r="AJ282" s="137"/>
      <c r="AK282" s="58" t="str" cm="1">
        <f>IF(ISBLANK($A282),"",INDEX(Array_ElectricalCharges,MATCH($A282,List_ElectricityMeters,0),ROUNDUP(COLUMN()/3,0)-2))</f>
        <v/>
      </c>
      <c r="AL282" s="127"/>
      <c r="AM282" s="137"/>
      <c r="AN282" s="58" t="str" cm="1">
        <f>IF(ISBLANK($A282),"",INDEX(Array_ElectricalCharges,MATCH($A282,List_ElectricityMeters,0),ROUNDUP(COLUMN()/3,0)-2))</f>
        <v/>
      </c>
      <c r="AO282" s="127"/>
      <c r="AP282" s="137"/>
      <c r="AQ282" s="58" t="str" cm="1">
        <f>IF(ISBLANK($A282),"",INDEX(Array_ElectricalCharges,MATCH($A282,List_ElectricityMeters,0),ROUNDUP(COLUMN()/3,0)-2))</f>
        <v/>
      </c>
      <c r="AR282" s="127"/>
      <c r="AS282" s="137"/>
      <c r="AT282" s="58" t="str" cm="1">
        <f>IF(ISBLANK($A282),"",INDEX(Array_ElectricalCharges,MATCH($A282,List_ElectricityMeters,0),ROUNDUP(COLUMN()/3,0)-2))</f>
        <v/>
      </c>
      <c r="AU282" s="127"/>
      <c r="AV282" s="137"/>
      <c r="AW282" s="58" t="str" cm="1">
        <f>IF(ISBLANK($A282),"",INDEX(Array_ElectricalCharges,MATCH($A282,List_ElectricityMeters,0),ROUNDUP(COLUMN()/3,0)-2))</f>
        <v/>
      </c>
      <c r="AX282" s="127"/>
      <c r="AY282" s="137"/>
    </row>
    <row r="283" spans="1:51" x14ac:dyDescent="0.3">
      <c r="A283" s="126"/>
      <c r="B283" s="133"/>
      <c r="C283" s="134"/>
      <c r="D283" s="134"/>
      <c r="E283" s="135"/>
      <c r="F283" s="136"/>
      <c r="G283" s="58" t="str" cm="1">
        <f>IF(ISBLANK($A283),"",INDEX(Array_ElectricalCharges,MATCH($A283,List_ElectricityMeters,0),ROUNDUP(COLUMN()/3,0)-2))</f>
        <v/>
      </c>
      <c r="H283" s="127"/>
      <c r="I283" s="137"/>
      <c r="J283" s="58" t="str" cm="1">
        <f>IF(ISBLANK($A283),"",INDEX(Array_ElectricalCharges,MATCH($A283,List_ElectricityMeters,0),ROUNDUP(COLUMN()/3,0)-2))</f>
        <v/>
      </c>
      <c r="K283" s="127"/>
      <c r="L283" s="137"/>
      <c r="M283" s="58" t="str" cm="1">
        <f>IF(ISBLANK($A283),"",INDEX(Array_ElectricalCharges,MATCH($A283,List_ElectricityMeters,0),ROUNDUP(COLUMN()/3,0)-2))</f>
        <v/>
      </c>
      <c r="N283" s="127"/>
      <c r="O283" s="137"/>
      <c r="P283" s="58" t="str" cm="1">
        <f>IF(ISBLANK($A283),"",INDEX(Array_ElectricalCharges,MATCH($A283,List_ElectricityMeters,0),ROUNDUP(COLUMN()/3,0)-2))</f>
        <v/>
      </c>
      <c r="Q283" s="127"/>
      <c r="R283" s="137"/>
      <c r="S283" s="58" t="str" cm="1">
        <f>IF(ISBLANK($A283),"",INDEX(Array_ElectricalCharges,MATCH($A283,List_ElectricityMeters,0),ROUNDUP(COLUMN()/3,0)-2))</f>
        <v/>
      </c>
      <c r="T283" s="127"/>
      <c r="U283" s="137"/>
      <c r="V283" s="58" t="str" cm="1">
        <f>IF(ISBLANK($A283),"",INDEX(Array_ElectricalCharges,MATCH($A283,List_ElectricityMeters,0),ROUNDUP(COLUMN()/3,0)-2))</f>
        <v/>
      </c>
      <c r="W283" s="127"/>
      <c r="X283" s="137"/>
      <c r="Y283" s="58" t="str" cm="1">
        <f>IF(ISBLANK($A283),"",INDEX(Array_ElectricalCharges,MATCH($A283,List_ElectricityMeters,0),ROUNDUP(COLUMN()/3,0)-2))</f>
        <v/>
      </c>
      <c r="Z283" s="127"/>
      <c r="AA283" s="137"/>
      <c r="AB283" s="58" t="str" cm="1">
        <f>IF(ISBLANK($A283),"",INDEX(Array_ElectricalCharges,MATCH($A283,List_ElectricityMeters,0),ROUNDUP(COLUMN()/3,0)-2))</f>
        <v/>
      </c>
      <c r="AC283" s="127"/>
      <c r="AD283" s="137"/>
      <c r="AE283" s="58" t="str" cm="1">
        <f>IF(ISBLANK($A283),"",INDEX(Array_ElectricalCharges,MATCH($A283,List_ElectricityMeters,0),ROUNDUP(COLUMN()/3,0)-2))</f>
        <v/>
      </c>
      <c r="AF283" s="127"/>
      <c r="AG283" s="137"/>
      <c r="AH283" s="58" t="str" cm="1">
        <f>IF(ISBLANK($A283),"",INDEX(Array_ElectricalCharges,MATCH($A283,List_ElectricityMeters,0),ROUNDUP(COLUMN()/3,0)-2))</f>
        <v/>
      </c>
      <c r="AI283" s="127"/>
      <c r="AJ283" s="137"/>
      <c r="AK283" s="58" t="str" cm="1">
        <f>IF(ISBLANK($A283),"",INDEX(Array_ElectricalCharges,MATCH($A283,List_ElectricityMeters,0),ROUNDUP(COLUMN()/3,0)-2))</f>
        <v/>
      </c>
      <c r="AL283" s="127"/>
      <c r="AM283" s="137"/>
      <c r="AN283" s="58" t="str" cm="1">
        <f>IF(ISBLANK($A283),"",INDEX(Array_ElectricalCharges,MATCH($A283,List_ElectricityMeters,0),ROUNDUP(COLUMN()/3,0)-2))</f>
        <v/>
      </c>
      <c r="AO283" s="127"/>
      <c r="AP283" s="137"/>
      <c r="AQ283" s="58" t="str" cm="1">
        <f>IF(ISBLANK($A283),"",INDEX(Array_ElectricalCharges,MATCH($A283,List_ElectricityMeters,0),ROUNDUP(COLUMN()/3,0)-2))</f>
        <v/>
      </c>
      <c r="AR283" s="127"/>
      <c r="AS283" s="137"/>
      <c r="AT283" s="58" t="str" cm="1">
        <f>IF(ISBLANK($A283),"",INDEX(Array_ElectricalCharges,MATCH($A283,List_ElectricityMeters,0),ROUNDUP(COLUMN()/3,0)-2))</f>
        <v/>
      </c>
      <c r="AU283" s="127"/>
      <c r="AV283" s="137"/>
      <c r="AW283" s="58" t="str" cm="1">
        <f>IF(ISBLANK($A283),"",INDEX(Array_ElectricalCharges,MATCH($A283,List_ElectricityMeters,0),ROUNDUP(COLUMN()/3,0)-2))</f>
        <v/>
      </c>
      <c r="AX283" s="127"/>
      <c r="AY283" s="137"/>
    </row>
    <row r="284" spans="1:51" x14ac:dyDescent="0.3">
      <c r="A284" s="126"/>
      <c r="B284" s="133"/>
      <c r="C284" s="134"/>
      <c r="D284" s="134"/>
      <c r="E284" s="135"/>
      <c r="F284" s="136"/>
      <c r="G284" s="58" t="str" cm="1">
        <f>IF(ISBLANK($A284),"",INDEX(Array_ElectricalCharges,MATCH($A284,List_ElectricityMeters,0),ROUNDUP(COLUMN()/3,0)-2))</f>
        <v/>
      </c>
      <c r="H284" s="127"/>
      <c r="I284" s="137"/>
      <c r="J284" s="58" t="str" cm="1">
        <f>IF(ISBLANK($A284),"",INDEX(Array_ElectricalCharges,MATCH($A284,List_ElectricityMeters,0),ROUNDUP(COLUMN()/3,0)-2))</f>
        <v/>
      </c>
      <c r="K284" s="127"/>
      <c r="L284" s="137"/>
      <c r="M284" s="58" t="str" cm="1">
        <f>IF(ISBLANK($A284),"",INDEX(Array_ElectricalCharges,MATCH($A284,List_ElectricityMeters,0),ROUNDUP(COLUMN()/3,0)-2))</f>
        <v/>
      </c>
      <c r="N284" s="127"/>
      <c r="O284" s="137"/>
      <c r="P284" s="58" t="str" cm="1">
        <f>IF(ISBLANK($A284),"",INDEX(Array_ElectricalCharges,MATCH($A284,List_ElectricityMeters,0),ROUNDUP(COLUMN()/3,0)-2))</f>
        <v/>
      </c>
      <c r="Q284" s="127"/>
      <c r="R284" s="137"/>
      <c r="S284" s="58" t="str" cm="1">
        <f>IF(ISBLANK($A284),"",INDEX(Array_ElectricalCharges,MATCH($A284,List_ElectricityMeters,0),ROUNDUP(COLUMN()/3,0)-2))</f>
        <v/>
      </c>
      <c r="T284" s="127"/>
      <c r="U284" s="137"/>
      <c r="V284" s="58" t="str" cm="1">
        <f>IF(ISBLANK($A284),"",INDEX(Array_ElectricalCharges,MATCH($A284,List_ElectricityMeters,0),ROUNDUP(COLUMN()/3,0)-2))</f>
        <v/>
      </c>
      <c r="W284" s="127"/>
      <c r="X284" s="137"/>
      <c r="Y284" s="58" t="str" cm="1">
        <f>IF(ISBLANK($A284),"",INDEX(Array_ElectricalCharges,MATCH($A284,List_ElectricityMeters,0),ROUNDUP(COLUMN()/3,0)-2))</f>
        <v/>
      </c>
      <c r="Z284" s="127"/>
      <c r="AA284" s="137"/>
      <c r="AB284" s="58" t="str" cm="1">
        <f>IF(ISBLANK($A284),"",INDEX(Array_ElectricalCharges,MATCH($A284,List_ElectricityMeters,0),ROUNDUP(COLUMN()/3,0)-2))</f>
        <v/>
      </c>
      <c r="AC284" s="127"/>
      <c r="AD284" s="137"/>
      <c r="AE284" s="58" t="str" cm="1">
        <f>IF(ISBLANK($A284),"",INDEX(Array_ElectricalCharges,MATCH($A284,List_ElectricityMeters,0),ROUNDUP(COLUMN()/3,0)-2))</f>
        <v/>
      </c>
      <c r="AF284" s="127"/>
      <c r="AG284" s="137"/>
      <c r="AH284" s="58" t="str" cm="1">
        <f>IF(ISBLANK($A284),"",INDEX(Array_ElectricalCharges,MATCH($A284,List_ElectricityMeters,0),ROUNDUP(COLUMN()/3,0)-2))</f>
        <v/>
      </c>
      <c r="AI284" s="127"/>
      <c r="AJ284" s="137"/>
      <c r="AK284" s="58" t="str" cm="1">
        <f>IF(ISBLANK($A284),"",INDEX(Array_ElectricalCharges,MATCH($A284,List_ElectricityMeters,0),ROUNDUP(COLUMN()/3,0)-2))</f>
        <v/>
      </c>
      <c r="AL284" s="127"/>
      <c r="AM284" s="137"/>
      <c r="AN284" s="58" t="str" cm="1">
        <f>IF(ISBLANK($A284),"",INDEX(Array_ElectricalCharges,MATCH($A284,List_ElectricityMeters,0),ROUNDUP(COLUMN()/3,0)-2))</f>
        <v/>
      </c>
      <c r="AO284" s="127"/>
      <c r="AP284" s="137"/>
      <c r="AQ284" s="58" t="str" cm="1">
        <f>IF(ISBLANK($A284),"",INDEX(Array_ElectricalCharges,MATCH($A284,List_ElectricityMeters,0),ROUNDUP(COLUMN()/3,0)-2))</f>
        <v/>
      </c>
      <c r="AR284" s="127"/>
      <c r="AS284" s="137"/>
      <c r="AT284" s="58" t="str" cm="1">
        <f>IF(ISBLANK($A284),"",INDEX(Array_ElectricalCharges,MATCH($A284,List_ElectricityMeters,0),ROUNDUP(COLUMN()/3,0)-2))</f>
        <v/>
      </c>
      <c r="AU284" s="127"/>
      <c r="AV284" s="137"/>
      <c r="AW284" s="58" t="str" cm="1">
        <f>IF(ISBLANK($A284),"",INDEX(Array_ElectricalCharges,MATCH($A284,List_ElectricityMeters,0),ROUNDUP(COLUMN()/3,0)-2))</f>
        <v/>
      </c>
      <c r="AX284" s="127"/>
      <c r="AY284" s="137"/>
    </row>
    <row r="285" spans="1:51" x14ac:dyDescent="0.3">
      <c r="A285" s="126"/>
      <c r="B285" s="133"/>
      <c r="C285" s="134"/>
      <c r="D285" s="134"/>
      <c r="E285" s="135"/>
      <c r="F285" s="136"/>
      <c r="G285" s="58" t="str" cm="1">
        <f>IF(ISBLANK($A285),"",INDEX(Array_ElectricalCharges,MATCH($A285,List_ElectricityMeters,0),ROUNDUP(COLUMN()/3,0)-2))</f>
        <v/>
      </c>
      <c r="H285" s="127"/>
      <c r="I285" s="137"/>
      <c r="J285" s="58" t="str" cm="1">
        <f>IF(ISBLANK($A285),"",INDEX(Array_ElectricalCharges,MATCH($A285,List_ElectricityMeters,0),ROUNDUP(COLUMN()/3,0)-2))</f>
        <v/>
      </c>
      <c r="K285" s="127"/>
      <c r="L285" s="137"/>
      <c r="M285" s="58" t="str" cm="1">
        <f>IF(ISBLANK($A285),"",INDEX(Array_ElectricalCharges,MATCH($A285,List_ElectricityMeters,0),ROUNDUP(COLUMN()/3,0)-2))</f>
        <v/>
      </c>
      <c r="N285" s="127"/>
      <c r="O285" s="137"/>
      <c r="P285" s="58" t="str" cm="1">
        <f>IF(ISBLANK($A285),"",INDEX(Array_ElectricalCharges,MATCH($A285,List_ElectricityMeters,0),ROUNDUP(COLUMN()/3,0)-2))</f>
        <v/>
      </c>
      <c r="Q285" s="127"/>
      <c r="R285" s="137"/>
      <c r="S285" s="58" t="str" cm="1">
        <f>IF(ISBLANK($A285),"",INDEX(Array_ElectricalCharges,MATCH($A285,List_ElectricityMeters,0),ROUNDUP(COLUMN()/3,0)-2))</f>
        <v/>
      </c>
      <c r="T285" s="127"/>
      <c r="U285" s="137"/>
      <c r="V285" s="58" t="str" cm="1">
        <f>IF(ISBLANK($A285),"",INDEX(Array_ElectricalCharges,MATCH($A285,List_ElectricityMeters,0),ROUNDUP(COLUMN()/3,0)-2))</f>
        <v/>
      </c>
      <c r="W285" s="127"/>
      <c r="X285" s="137"/>
      <c r="Y285" s="58" t="str" cm="1">
        <f>IF(ISBLANK($A285),"",INDEX(Array_ElectricalCharges,MATCH($A285,List_ElectricityMeters,0),ROUNDUP(COLUMN()/3,0)-2))</f>
        <v/>
      </c>
      <c r="Z285" s="127"/>
      <c r="AA285" s="137"/>
      <c r="AB285" s="58" t="str" cm="1">
        <f>IF(ISBLANK($A285),"",INDEX(Array_ElectricalCharges,MATCH($A285,List_ElectricityMeters,0),ROUNDUP(COLUMN()/3,0)-2))</f>
        <v/>
      </c>
      <c r="AC285" s="127"/>
      <c r="AD285" s="137"/>
      <c r="AE285" s="58" t="str" cm="1">
        <f>IF(ISBLANK($A285),"",INDEX(Array_ElectricalCharges,MATCH($A285,List_ElectricityMeters,0),ROUNDUP(COLUMN()/3,0)-2))</f>
        <v/>
      </c>
      <c r="AF285" s="127"/>
      <c r="AG285" s="137"/>
      <c r="AH285" s="58" t="str" cm="1">
        <f>IF(ISBLANK($A285),"",INDEX(Array_ElectricalCharges,MATCH($A285,List_ElectricityMeters,0),ROUNDUP(COLUMN()/3,0)-2))</f>
        <v/>
      </c>
      <c r="AI285" s="127"/>
      <c r="AJ285" s="137"/>
      <c r="AK285" s="58" t="str" cm="1">
        <f>IF(ISBLANK($A285),"",INDEX(Array_ElectricalCharges,MATCH($A285,List_ElectricityMeters,0),ROUNDUP(COLUMN()/3,0)-2))</f>
        <v/>
      </c>
      <c r="AL285" s="127"/>
      <c r="AM285" s="137"/>
      <c r="AN285" s="58" t="str" cm="1">
        <f>IF(ISBLANK($A285),"",INDEX(Array_ElectricalCharges,MATCH($A285,List_ElectricityMeters,0),ROUNDUP(COLUMN()/3,0)-2))</f>
        <v/>
      </c>
      <c r="AO285" s="127"/>
      <c r="AP285" s="137"/>
      <c r="AQ285" s="58" t="str" cm="1">
        <f>IF(ISBLANK($A285),"",INDEX(Array_ElectricalCharges,MATCH($A285,List_ElectricityMeters,0),ROUNDUP(COLUMN()/3,0)-2))</f>
        <v/>
      </c>
      <c r="AR285" s="127"/>
      <c r="AS285" s="137"/>
      <c r="AT285" s="58" t="str" cm="1">
        <f>IF(ISBLANK($A285),"",INDEX(Array_ElectricalCharges,MATCH($A285,List_ElectricityMeters,0),ROUNDUP(COLUMN()/3,0)-2))</f>
        <v/>
      </c>
      <c r="AU285" s="127"/>
      <c r="AV285" s="137"/>
      <c r="AW285" s="58" t="str" cm="1">
        <f>IF(ISBLANK($A285),"",INDEX(Array_ElectricalCharges,MATCH($A285,List_ElectricityMeters,0),ROUNDUP(COLUMN()/3,0)-2))</f>
        <v/>
      </c>
      <c r="AX285" s="127"/>
      <c r="AY285" s="137"/>
    </row>
    <row r="286" spans="1:51" x14ac:dyDescent="0.3">
      <c r="A286" s="126"/>
      <c r="B286" s="133"/>
      <c r="C286" s="134"/>
      <c r="D286" s="134"/>
      <c r="E286" s="135"/>
      <c r="F286" s="136"/>
      <c r="G286" s="58" t="str" cm="1">
        <f>IF(ISBLANK($A286),"",INDEX(Array_ElectricalCharges,MATCH($A286,List_ElectricityMeters,0),ROUNDUP(COLUMN()/3,0)-2))</f>
        <v/>
      </c>
      <c r="H286" s="127"/>
      <c r="I286" s="137"/>
      <c r="J286" s="58" t="str" cm="1">
        <f>IF(ISBLANK($A286),"",INDEX(Array_ElectricalCharges,MATCH($A286,List_ElectricityMeters,0),ROUNDUP(COLUMN()/3,0)-2))</f>
        <v/>
      </c>
      <c r="K286" s="127"/>
      <c r="L286" s="137"/>
      <c r="M286" s="58" t="str" cm="1">
        <f>IF(ISBLANK($A286),"",INDEX(Array_ElectricalCharges,MATCH($A286,List_ElectricityMeters,0),ROUNDUP(COLUMN()/3,0)-2))</f>
        <v/>
      </c>
      <c r="N286" s="127"/>
      <c r="O286" s="137"/>
      <c r="P286" s="58" t="str" cm="1">
        <f>IF(ISBLANK($A286),"",INDEX(Array_ElectricalCharges,MATCH($A286,List_ElectricityMeters,0),ROUNDUP(COLUMN()/3,0)-2))</f>
        <v/>
      </c>
      <c r="Q286" s="127"/>
      <c r="R286" s="137"/>
      <c r="S286" s="58" t="str" cm="1">
        <f>IF(ISBLANK($A286),"",INDEX(Array_ElectricalCharges,MATCH($A286,List_ElectricityMeters,0),ROUNDUP(COLUMN()/3,0)-2))</f>
        <v/>
      </c>
      <c r="T286" s="127"/>
      <c r="U286" s="137"/>
      <c r="V286" s="58" t="str" cm="1">
        <f>IF(ISBLANK($A286),"",INDEX(Array_ElectricalCharges,MATCH($A286,List_ElectricityMeters,0),ROUNDUP(COLUMN()/3,0)-2))</f>
        <v/>
      </c>
      <c r="W286" s="127"/>
      <c r="X286" s="137"/>
      <c r="Y286" s="58" t="str" cm="1">
        <f>IF(ISBLANK($A286),"",INDEX(Array_ElectricalCharges,MATCH($A286,List_ElectricityMeters,0),ROUNDUP(COLUMN()/3,0)-2))</f>
        <v/>
      </c>
      <c r="Z286" s="127"/>
      <c r="AA286" s="137"/>
      <c r="AB286" s="58" t="str" cm="1">
        <f>IF(ISBLANK($A286),"",INDEX(Array_ElectricalCharges,MATCH($A286,List_ElectricityMeters,0),ROUNDUP(COLUMN()/3,0)-2))</f>
        <v/>
      </c>
      <c r="AC286" s="127"/>
      <c r="AD286" s="137"/>
      <c r="AE286" s="58" t="str" cm="1">
        <f>IF(ISBLANK($A286),"",INDEX(Array_ElectricalCharges,MATCH($A286,List_ElectricityMeters,0),ROUNDUP(COLUMN()/3,0)-2))</f>
        <v/>
      </c>
      <c r="AF286" s="127"/>
      <c r="AG286" s="137"/>
      <c r="AH286" s="58" t="str" cm="1">
        <f>IF(ISBLANK($A286),"",INDEX(Array_ElectricalCharges,MATCH($A286,List_ElectricityMeters,0),ROUNDUP(COLUMN()/3,0)-2))</f>
        <v/>
      </c>
      <c r="AI286" s="127"/>
      <c r="AJ286" s="137"/>
      <c r="AK286" s="58" t="str" cm="1">
        <f>IF(ISBLANK($A286),"",INDEX(Array_ElectricalCharges,MATCH($A286,List_ElectricityMeters,0),ROUNDUP(COLUMN()/3,0)-2))</f>
        <v/>
      </c>
      <c r="AL286" s="127"/>
      <c r="AM286" s="137"/>
      <c r="AN286" s="58" t="str" cm="1">
        <f>IF(ISBLANK($A286),"",INDEX(Array_ElectricalCharges,MATCH($A286,List_ElectricityMeters,0),ROUNDUP(COLUMN()/3,0)-2))</f>
        <v/>
      </c>
      <c r="AO286" s="127"/>
      <c r="AP286" s="137"/>
      <c r="AQ286" s="58" t="str" cm="1">
        <f>IF(ISBLANK($A286),"",INDEX(Array_ElectricalCharges,MATCH($A286,List_ElectricityMeters,0),ROUNDUP(COLUMN()/3,0)-2))</f>
        <v/>
      </c>
      <c r="AR286" s="127"/>
      <c r="AS286" s="137"/>
      <c r="AT286" s="58" t="str" cm="1">
        <f>IF(ISBLANK($A286),"",INDEX(Array_ElectricalCharges,MATCH($A286,List_ElectricityMeters,0),ROUNDUP(COLUMN()/3,0)-2))</f>
        <v/>
      </c>
      <c r="AU286" s="127"/>
      <c r="AV286" s="137"/>
      <c r="AW286" s="58" t="str" cm="1">
        <f>IF(ISBLANK($A286),"",INDEX(Array_ElectricalCharges,MATCH($A286,List_ElectricityMeters,0),ROUNDUP(COLUMN()/3,0)-2))</f>
        <v/>
      </c>
      <c r="AX286" s="127"/>
      <c r="AY286" s="137"/>
    </row>
    <row r="287" spans="1:51" x14ac:dyDescent="0.3">
      <c r="A287" s="126"/>
      <c r="B287" s="133"/>
      <c r="C287" s="134"/>
      <c r="D287" s="134"/>
      <c r="E287" s="135"/>
      <c r="F287" s="136"/>
      <c r="G287" s="58" t="str" cm="1">
        <f>IF(ISBLANK($A287),"",INDEX(Array_ElectricalCharges,MATCH($A287,List_ElectricityMeters,0),ROUNDUP(COLUMN()/3,0)-2))</f>
        <v/>
      </c>
      <c r="H287" s="127"/>
      <c r="I287" s="137"/>
      <c r="J287" s="58" t="str" cm="1">
        <f>IF(ISBLANK($A287),"",INDEX(Array_ElectricalCharges,MATCH($A287,List_ElectricityMeters,0),ROUNDUP(COLUMN()/3,0)-2))</f>
        <v/>
      </c>
      <c r="K287" s="127"/>
      <c r="L287" s="137"/>
      <c r="M287" s="58" t="str" cm="1">
        <f>IF(ISBLANK($A287),"",INDEX(Array_ElectricalCharges,MATCH($A287,List_ElectricityMeters,0),ROUNDUP(COLUMN()/3,0)-2))</f>
        <v/>
      </c>
      <c r="N287" s="127"/>
      <c r="O287" s="137"/>
      <c r="P287" s="58" t="str" cm="1">
        <f>IF(ISBLANK($A287),"",INDEX(Array_ElectricalCharges,MATCH($A287,List_ElectricityMeters,0),ROUNDUP(COLUMN()/3,0)-2))</f>
        <v/>
      </c>
      <c r="Q287" s="127"/>
      <c r="R287" s="137"/>
      <c r="S287" s="58" t="str" cm="1">
        <f>IF(ISBLANK($A287),"",INDEX(Array_ElectricalCharges,MATCH($A287,List_ElectricityMeters,0),ROUNDUP(COLUMN()/3,0)-2))</f>
        <v/>
      </c>
      <c r="T287" s="127"/>
      <c r="U287" s="137"/>
      <c r="V287" s="58" t="str" cm="1">
        <f>IF(ISBLANK($A287),"",INDEX(Array_ElectricalCharges,MATCH($A287,List_ElectricityMeters,0),ROUNDUP(COLUMN()/3,0)-2))</f>
        <v/>
      </c>
      <c r="W287" s="127"/>
      <c r="X287" s="137"/>
      <c r="Y287" s="58" t="str" cm="1">
        <f>IF(ISBLANK($A287),"",INDEX(Array_ElectricalCharges,MATCH($A287,List_ElectricityMeters,0),ROUNDUP(COLUMN()/3,0)-2))</f>
        <v/>
      </c>
      <c r="Z287" s="127"/>
      <c r="AA287" s="137"/>
      <c r="AB287" s="58" t="str" cm="1">
        <f>IF(ISBLANK($A287),"",INDEX(Array_ElectricalCharges,MATCH($A287,List_ElectricityMeters,0),ROUNDUP(COLUMN()/3,0)-2))</f>
        <v/>
      </c>
      <c r="AC287" s="127"/>
      <c r="AD287" s="137"/>
      <c r="AE287" s="58" t="str" cm="1">
        <f>IF(ISBLANK($A287),"",INDEX(Array_ElectricalCharges,MATCH($A287,List_ElectricityMeters,0),ROUNDUP(COLUMN()/3,0)-2))</f>
        <v/>
      </c>
      <c r="AF287" s="127"/>
      <c r="AG287" s="137"/>
      <c r="AH287" s="58" t="str" cm="1">
        <f>IF(ISBLANK($A287),"",INDEX(Array_ElectricalCharges,MATCH($A287,List_ElectricityMeters,0),ROUNDUP(COLUMN()/3,0)-2))</f>
        <v/>
      </c>
      <c r="AI287" s="127"/>
      <c r="AJ287" s="137"/>
      <c r="AK287" s="58" t="str" cm="1">
        <f>IF(ISBLANK($A287),"",INDEX(Array_ElectricalCharges,MATCH($A287,List_ElectricityMeters,0),ROUNDUP(COLUMN()/3,0)-2))</f>
        <v/>
      </c>
      <c r="AL287" s="127"/>
      <c r="AM287" s="137"/>
      <c r="AN287" s="58" t="str" cm="1">
        <f>IF(ISBLANK($A287),"",INDEX(Array_ElectricalCharges,MATCH($A287,List_ElectricityMeters,0),ROUNDUP(COLUMN()/3,0)-2))</f>
        <v/>
      </c>
      <c r="AO287" s="127"/>
      <c r="AP287" s="137"/>
      <c r="AQ287" s="58" t="str" cm="1">
        <f>IF(ISBLANK($A287),"",INDEX(Array_ElectricalCharges,MATCH($A287,List_ElectricityMeters,0),ROUNDUP(COLUMN()/3,0)-2))</f>
        <v/>
      </c>
      <c r="AR287" s="127"/>
      <c r="AS287" s="137"/>
      <c r="AT287" s="58" t="str" cm="1">
        <f>IF(ISBLANK($A287),"",INDEX(Array_ElectricalCharges,MATCH($A287,List_ElectricityMeters,0),ROUNDUP(COLUMN()/3,0)-2))</f>
        <v/>
      </c>
      <c r="AU287" s="127"/>
      <c r="AV287" s="137"/>
      <c r="AW287" s="58" t="str" cm="1">
        <f>IF(ISBLANK($A287),"",INDEX(Array_ElectricalCharges,MATCH($A287,List_ElectricityMeters,0),ROUNDUP(COLUMN()/3,0)-2))</f>
        <v/>
      </c>
      <c r="AX287" s="127"/>
      <c r="AY287" s="137"/>
    </row>
    <row r="288" spans="1:51" x14ac:dyDescent="0.3">
      <c r="A288" s="126"/>
      <c r="B288" s="133"/>
      <c r="C288" s="134"/>
      <c r="D288" s="134"/>
      <c r="E288" s="135"/>
      <c r="F288" s="136"/>
      <c r="G288" s="58" t="str" cm="1">
        <f>IF(ISBLANK($A288),"",INDEX(Array_ElectricalCharges,MATCH($A288,List_ElectricityMeters,0),ROUNDUP(COLUMN()/3,0)-2))</f>
        <v/>
      </c>
      <c r="H288" s="127"/>
      <c r="I288" s="137"/>
      <c r="J288" s="58" t="str" cm="1">
        <f>IF(ISBLANK($A288),"",INDEX(Array_ElectricalCharges,MATCH($A288,List_ElectricityMeters,0),ROUNDUP(COLUMN()/3,0)-2))</f>
        <v/>
      </c>
      <c r="K288" s="127"/>
      <c r="L288" s="137"/>
      <c r="M288" s="58" t="str" cm="1">
        <f>IF(ISBLANK($A288),"",INDEX(Array_ElectricalCharges,MATCH($A288,List_ElectricityMeters,0),ROUNDUP(COLUMN()/3,0)-2))</f>
        <v/>
      </c>
      <c r="N288" s="127"/>
      <c r="O288" s="137"/>
      <c r="P288" s="58" t="str" cm="1">
        <f>IF(ISBLANK($A288),"",INDEX(Array_ElectricalCharges,MATCH($A288,List_ElectricityMeters,0),ROUNDUP(COLUMN()/3,0)-2))</f>
        <v/>
      </c>
      <c r="Q288" s="127"/>
      <c r="R288" s="137"/>
      <c r="S288" s="58" t="str" cm="1">
        <f>IF(ISBLANK($A288),"",INDEX(Array_ElectricalCharges,MATCH($A288,List_ElectricityMeters,0),ROUNDUP(COLUMN()/3,0)-2))</f>
        <v/>
      </c>
      <c r="T288" s="127"/>
      <c r="U288" s="137"/>
      <c r="V288" s="58" t="str" cm="1">
        <f>IF(ISBLANK($A288),"",INDEX(Array_ElectricalCharges,MATCH($A288,List_ElectricityMeters,0),ROUNDUP(COLUMN()/3,0)-2))</f>
        <v/>
      </c>
      <c r="W288" s="127"/>
      <c r="X288" s="137"/>
      <c r="Y288" s="58" t="str" cm="1">
        <f>IF(ISBLANK($A288),"",INDEX(Array_ElectricalCharges,MATCH($A288,List_ElectricityMeters,0),ROUNDUP(COLUMN()/3,0)-2))</f>
        <v/>
      </c>
      <c r="Z288" s="127"/>
      <c r="AA288" s="137"/>
      <c r="AB288" s="58" t="str" cm="1">
        <f>IF(ISBLANK($A288),"",INDEX(Array_ElectricalCharges,MATCH($A288,List_ElectricityMeters,0),ROUNDUP(COLUMN()/3,0)-2))</f>
        <v/>
      </c>
      <c r="AC288" s="127"/>
      <c r="AD288" s="137"/>
      <c r="AE288" s="58" t="str" cm="1">
        <f>IF(ISBLANK($A288),"",INDEX(Array_ElectricalCharges,MATCH($A288,List_ElectricityMeters,0),ROUNDUP(COLUMN()/3,0)-2))</f>
        <v/>
      </c>
      <c r="AF288" s="127"/>
      <c r="AG288" s="137"/>
      <c r="AH288" s="58" t="str" cm="1">
        <f>IF(ISBLANK($A288),"",INDEX(Array_ElectricalCharges,MATCH($A288,List_ElectricityMeters,0),ROUNDUP(COLUMN()/3,0)-2))</f>
        <v/>
      </c>
      <c r="AI288" s="127"/>
      <c r="AJ288" s="137"/>
      <c r="AK288" s="58" t="str" cm="1">
        <f>IF(ISBLANK($A288),"",INDEX(Array_ElectricalCharges,MATCH($A288,List_ElectricityMeters,0),ROUNDUP(COLUMN()/3,0)-2))</f>
        <v/>
      </c>
      <c r="AL288" s="127"/>
      <c r="AM288" s="137"/>
      <c r="AN288" s="58" t="str" cm="1">
        <f>IF(ISBLANK($A288),"",INDEX(Array_ElectricalCharges,MATCH($A288,List_ElectricityMeters,0),ROUNDUP(COLUMN()/3,0)-2))</f>
        <v/>
      </c>
      <c r="AO288" s="127"/>
      <c r="AP288" s="137"/>
      <c r="AQ288" s="58" t="str" cm="1">
        <f>IF(ISBLANK($A288),"",INDEX(Array_ElectricalCharges,MATCH($A288,List_ElectricityMeters,0),ROUNDUP(COLUMN()/3,0)-2))</f>
        <v/>
      </c>
      <c r="AR288" s="127"/>
      <c r="AS288" s="137"/>
      <c r="AT288" s="58" t="str" cm="1">
        <f>IF(ISBLANK($A288),"",INDEX(Array_ElectricalCharges,MATCH($A288,List_ElectricityMeters,0),ROUNDUP(COLUMN()/3,0)-2))</f>
        <v/>
      </c>
      <c r="AU288" s="127"/>
      <c r="AV288" s="137"/>
      <c r="AW288" s="58" t="str" cm="1">
        <f>IF(ISBLANK($A288),"",INDEX(Array_ElectricalCharges,MATCH($A288,List_ElectricityMeters,0),ROUNDUP(COLUMN()/3,0)-2))</f>
        <v/>
      </c>
      <c r="AX288" s="127"/>
      <c r="AY288" s="137"/>
    </row>
    <row r="289" spans="1:51" x14ac:dyDescent="0.3">
      <c r="A289" s="126"/>
      <c r="B289" s="133"/>
      <c r="C289" s="134"/>
      <c r="D289" s="134"/>
      <c r="E289" s="135"/>
      <c r="F289" s="136"/>
      <c r="G289" s="58" t="str" cm="1">
        <f>IF(ISBLANK($A289),"",INDEX(Array_ElectricalCharges,MATCH($A289,List_ElectricityMeters,0),ROUNDUP(COLUMN()/3,0)-2))</f>
        <v/>
      </c>
      <c r="H289" s="127"/>
      <c r="I289" s="137"/>
      <c r="J289" s="58" t="str" cm="1">
        <f>IF(ISBLANK($A289),"",INDEX(Array_ElectricalCharges,MATCH($A289,List_ElectricityMeters,0),ROUNDUP(COLUMN()/3,0)-2))</f>
        <v/>
      </c>
      <c r="K289" s="127"/>
      <c r="L289" s="137"/>
      <c r="M289" s="58" t="str" cm="1">
        <f>IF(ISBLANK($A289),"",INDEX(Array_ElectricalCharges,MATCH($A289,List_ElectricityMeters,0),ROUNDUP(COLUMN()/3,0)-2))</f>
        <v/>
      </c>
      <c r="N289" s="127"/>
      <c r="O289" s="137"/>
      <c r="P289" s="58" t="str" cm="1">
        <f>IF(ISBLANK($A289),"",INDEX(Array_ElectricalCharges,MATCH($A289,List_ElectricityMeters,0),ROUNDUP(COLUMN()/3,0)-2))</f>
        <v/>
      </c>
      <c r="Q289" s="127"/>
      <c r="R289" s="137"/>
      <c r="S289" s="58" t="str" cm="1">
        <f>IF(ISBLANK($A289),"",INDEX(Array_ElectricalCharges,MATCH($A289,List_ElectricityMeters,0),ROUNDUP(COLUMN()/3,0)-2))</f>
        <v/>
      </c>
      <c r="T289" s="127"/>
      <c r="U289" s="137"/>
      <c r="V289" s="58" t="str" cm="1">
        <f>IF(ISBLANK($A289),"",INDEX(Array_ElectricalCharges,MATCH($A289,List_ElectricityMeters,0),ROUNDUP(COLUMN()/3,0)-2))</f>
        <v/>
      </c>
      <c r="W289" s="127"/>
      <c r="X289" s="137"/>
      <c r="Y289" s="58" t="str" cm="1">
        <f>IF(ISBLANK($A289),"",INDEX(Array_ElectricalCharges,MATCH($A289,List_ElectricityMeters,0),ROUNDUP(COLUMN()/3,0)-2))</f>
        <v/>
      </c>
      <c r="Z289" s="127"/>
      <c r="AA289" s="137"/>
      <c r="AB289" s="58" t="str" cm="1">
        <f>IF(ISBLANK($A289),"",INDEX(Array_ElectricalCharges,MATCH($A289,List_ElectricityMeters,0),ROUNDUP(COLUMN()/3,0)-2))</f>
        <v/>
      </c>
      <c r="AC289" s="127"/>
      <c r="AD289" s="137"/>
      <c r="AE289" s="58" t="str" cm="1">
        <f>IF(ISBLANK($A289),"",INDEX(Array_ElectricalCharges,MATCH($A289,List_ElectricityMeters,0),ROUNDUP(COLUMN()/3,0)-2))</f>
        <v/>
      </c>
      <c r="AF289" s="127"/>
      <c r="AG289" s="137"/>
      <c r="AH289" s="58" t="str" cm="1">
        <f>IF(ISBLANK($A289),"",INDEX(Array_ElectricalCharges,MATCH($A289,List_ElectricityMeters,0),ROUNDUP(COLUMN()/3,0)-2))</f>
        <v/>
      </c>
      <c r="AI289" s="127"/>
      <c r="AJ289" s="137"/>
      <c r="AK289" s="58" t="str" cm="1">
        <f>IF(ISBLANK($A289),"",INDEX(Array_ElectricalCharges,MATCH($A289,List_ElectricityMeters,0),ROUNDUP(COLUMN()/3,0)-2))</f>
        <v/>
      </c>
      <c r="AL289" s="127"/>
      <c r="AM289" s="137"/>
      <c r="AN289" s="58" t="str" cm="1">
        <f>IF(ISBLANK($A289),"",INDEX(Array_ElectricalCharges,MATCH($A289,List_ElectricityMeters,0),ROUNDUP(COLUMN()/3,0)-2))</f>
        <v/>
      </c>
      <c r="AO289" s="127"/>
      <c r="AP289" s="137"/>
      <c r="AQ289" s="58" t="str" cm="1">
        <f>IF(ISBLANK($A289),"",INDEX(Array_ElectricalCharges,MATCH($A289,List_ElectricityMeters,0),ROUNDUP(COLUMN()/3,0)-2))</f>
        <v/>
      </c>
      <c r="AR289" s="127"/>
      <c r="AS289" s="137"/>
      <c r="AT289" s="58" t="str" cm="1">
        <f>IF(ISBLANK($A289),"",INDEX(Array_ElectricalCharges,MATCH($A289,List_ElectricityMeters,0),ROUNDUP(COLUMN()/3,0)-2))</f>
        <v/>
      </c>
      <c r="AU289" s="127"/>
      <c r="AV289" s="137"/>
      <c r="AW289" s="58" t="str" cm="1">
        <f>IF(ISBLANK($A289),"",INDEX(Array_ElectricalCharges,MATCH($A289,List_ElectricityMeters,0),ROUNDUP(COLUMN()/3,0)-2))</f>
        <v/>
      </c>
      <c r="AX289" s="127"/>
      <c r="AY289" s="137"/>
    </row>
    <row r="290" spans="1:51" x14ac:dyDescent="0.3">
      <c r="A290" s="126"/>
      <c r="B290" s="133"/>
      <c r="C290" s="134"/>
      <c r="D290" s="134"/>
      <c r="E290" s="135"/>
      <c r="F290" s="136"/>
      <c r="G290" s="58" t="str" cm="1">
        <f>IF(ISBLANK($A290),"",INDEX(Array_ElectricalCharges,MATCH($A290,List_ElectricityMeters,0),ROUNDUP(COLUMN()/3,0)-2))</f>
        <v/>
      </c>
      <c r="H290" s="127"/>
      <c r="I290" s="137"/>
      <c r="J290" s="58" t="str" cm="1">
        <f>IF(ISBLANK($A290),"",INDEX(Array_ElectricalCharges,MATCH($A290,List_ElectricityMeters,0),ROUNDUP(COLUMN()/3,0)-2))</f>
        <v/>
      </c>
      <c r="K290" s="127"/>
      <c r="L290" s="137"/>
      <c r="M290" s="58" t="str" cm="1">
        <f>IF(ISBLANK($A290),"",INDEX(Array_ElectricalCharges,MATCH($A290,List_ElectricityMeters,0),ROUNDUP(COLUMN()/3,0)-2))</f>
        <v/>
      </c>
      <c r="N290" s="127"/>
      <c r="O290" s="137"/>
      <c r="P290" s="58" t="str" cm="1">
        <f>IF(ISBLANK($A290),"",INDEX(Array_ElectricalCharges,MATCH($A290,List_ElectricityMeters,0),ROUNDUP(COLUMN()/3,0)-2))</f>
        <v/>
      </c>
      <c r="Q290" s="127"/>
      <c r="R290" s="137"/>
      <c r="S290" s="58" t="str" cm="1">
        <f>IF(ISBLANK($A290),"",INDEX(Array_ElectricalCharges,MATCH($A290,List_ElectricityMeters,0),ROUNDUP(COLUMN()/3,0)-2))</f>
        <v/>
      </c>
      <c r="T290" s="127"/>
      <c r="U290" s="137"/>
      <c r="V290" s="58" t="str" cm="1">
        <f>IF(ISBLANK($A290),"",INDEX(Array_ElectricalCharges,MATCH($A290,List_ElectricityMeters,0),ROUNDUP(COLUMN()/3,0)-2))</f>
        <v/>
      </c>
      <c r="W290" s="127"/>
      <c r="X290" s="137"/>
      <c r="Y290" s="58" t="str" cm="1">
        <f>IF(ISBLANK($A290),"",INDEX(Array_ElectricalCharges,MATCH($A290,List_ElectricityMeters,0),ROUNDUP(COLUMN()/3,0)-2))</f>
        <v/>
      </c>
      <c r="Z290" s="127"/>
      <c r="AA290" s="137"/>
      <c r="AB290" s="58" t="str" cm="1">
        <f>IF(ISBLANK($A290),"",INDEX(Array_ElectricalCharges,MATCH($A290,List_ElectricityMeters,0),ROUNDUP(COLUMN()/3,0)-2))</f>
        <v/>
      </c>
      <c r="AC290" s="127"/>
      <c r="AD290" s="137"/>
      <c r="AE290" s="58" t="str" cm="1">
        <f>IF(ISBLANK($A290),"",INDEX(Array_ElectricalCharges,MATCH($A290,List_ElectricityMeters,0),ROUNDUP(COLUMN()/3,0)-2))</f>
        <v/>
      </c>
      <c r="AF290" s="127"/>
      <c r="AG290" s="137"/>
      <c r="AH290" s="58" t="str" cm="1">
        <f>IF(ISBLANK($A290),"",INDEX(Array_ElectricalCharges,MATCH($A290,List_ElectricityMeters,0),ROUNDUP(COLUMN()/3,0)-2))</f>
        <v/>
      </c>
      <c r="AI290" s="127"/>
      <c r="AJ290" s="137"/>
      <c r="AK290" s="58" t="str" cm="1">
        <f>IF(ISBLANK($A290),"",INDEX(Array_ElectricalCharges,MATCH($A290,List_ElectricityMeters,0),ROUNDUP(COLUMN()/3,0)-2))</f>
        <v/>
      </c>
      <c r="AL290" s="127"/>
      <c r="AM290" s="137"/>
      <c r="AN290" s="58" t="str" cm="1">
        <f>IF(ISBLANK($A290),"",INDEX(Array_ElectricalCharges,MATCH($A290,List_ElectricityMeters,0),ROUNDUP(COLUMN()/3,0)-2))</f>
        <v/>
      </c>
      <c r="AO290" s="127"/>
      <c r="AP290" s="137"/>
      <c r="AQ290" s="58" t="str" cm="1">
        <f>IF(ISBLANK($A290),"",INDEX(Array_ElectricalCharges,MATCH($A290,List_ElectricityMeters,0),ROUNDUP(COLUMN()/3,0)-2))</f>
        <v/>
      </c>
      <c r="AR290" s="127"/>
      <c r="AS290" s="137"/>
      <c r="AT290" s="58" t="str" cm="1">
        <f>IF(ISBLANK($A290),"",INDEX(Array_ElectricalCharges,MATCH($A290,List_ElectricityMeters,0),ROUNDUP(COLUMN()/3,0)-2))</f>
        <v/>
      </c>
      <c r="AU290" s="127"/>
      <c r="AV290" s="137"/>
      <c r="AW290" s="58" t="str" cm="1">
        <f>IF(ISBLANK($A290),"",INDEX(Array_ElectricalCharges,MATCH($A290,List_ElectricityMeters,0),ROUNDUP(COLUMN()/3,0)-2))</f>
        <v/>
      </c>
      <c r="AX290" s="127"/>
      <c r="AY290" s="137"/>
    </row>
    <row r="291" spans="1:51" x14ac:dyDescent="0.3">
      <c r="A291" s="126"/>
      <c r="B291" s="133"/>
      <c r="C291" s="134"/>
      <c r="D291" s="134"/>
      <c r="E291" s="135"/>
      <c r="F291" s="136"/>
      <c r="G291" s="58" t="str" cm="1">
        <f>IF(ISBLANK($A291),"",INDEX(Array_ElectricalCharges,MATCH($A291,List_ElectricityMeters,0),ROUNDUP(COLUMN()/3,0)-2))</f>
        <v/>
      </c>
      <c r="H291" s="127"/>
      <c r="I291" s="137"/>
      <c r="J291" s="58" t="str" cm="1">
        <f>IF(ISBLANK($A291),"",INDEX(Array_ElectricalCharges,MATCH($A291,List_ElectricityMeters,0),ROUNDUP(COLUMN()/3,0)-2))</f>
        <v/>
      </c>
      <c r="K291" s="127"/>
      <c r="L291" s="137"/>
      <c r="M291" s="58" t="str" cm="1">
        <f>IF(ISBLANK($A291),"",INDEX(Array_ElectricalCharges,MATCH($A291,List_ElectricityMeters,0),ROUNDUP(COLUMN()/3,0)-2))</f>
        <v/>
      </c>
      <c r="N291" s="127"/>
      <c r="O291" s="137"/>
      <c r="P291" s="58" t="str" cm="1">
        <f>IF(ISBLANK($A291),"",INDEX(Array_ElectricalCharges,MATCH($A291,List_ElectricityMeters,0),ROUNDUP(COLUMN()/3,0)-2))</f>
        <v/>
      </c>
      <c r="Q291" s="127"/>
      <c r="R291" s="137"/>
      <c r="S291" s="58" t="str" cm="1">
        <f>IF(ISBLANK($A291),"",INDEX(Array_ElectricalCharges,MATCH($A291,List_ElectricityMeters,0),ROUNDUP(COLUMN()/3,0)-2))</f>
        <v/>
      </c>
      <c r="T291" s="127"/>
      <c r="U291" s="137"/>
      <c r="V291" s="58" t="str" cm="1">
        <f>IF(ISBLANK($A291),"",INDEX(Array_ElectricalCharges,MATCH($A291,List_ElectricityMeters,0),ROUNDUP(COLUMN()/3,0)-2))</f>
        <v/>
      </c>
      <c r="W291" s="127"/>
      <c r="X291" s="137"/>
      <c r="Y291" s="58" t="str" cm="1">
        <f>IF(ISBLANK($A291),"",INDEX(Array_ElectricalCharges,MATCH($A291,List_ElectricityMeters,0),ROUNDUP(COLUMN()/3,0)-2))</f>
        <v/>
      </c>
      <c r="Z291" s="127"/>
      <c r="AA291" s="137"/>
      <c r="AB291" s="58" t="str" cm="1">
        <f>IF(ISBLANK($A291),"",INDEX(Array_ElectricalCharges,MATCH($A291,List_ElectricityMeters,0),ROUNDUP(COLUMN()/3,0)-2))</f>
        <v/>
      </c>
      <c r="AC291" s="127"/>
      <c r="AD291" s="137"/>
      <c r="AE291" s="58" t="str" cm="1">
        <f>IF(ISBLANK($A291),"",INDEX(Array_ElectricalCharges,MATCH($A291,List_ElectricityMeters,0),ROUNDUP(COLUMN()/3,0)-2))</f>
        <v/>
      </c>
      <c r="AF291" s="127"/>
      <c r="AG291" s="137"/>
      <c r="AH291" s="58" t="str" cm="1">
        <f>IF(ISBLANK($A291),"",INDEX(Array_ElectricalCharges,MATCH($A291,List_ElectricityMeters,0),ROUNDUP(COLUMN()/3,0)-2))</f>
        <v/>
      </c>
      <c r="AI291" s="127"/>
      <c r="AJ291" s="137"/>
      <c r="AK291" s="58" t="str" cm="1">
        <f>IF(ISBLANK($A291),"",INDEX(Array_ElectricalCharges,MATCH($A291,List_ElectricityMeters,0),ROUNDUP(COLUMN()/3,0)-2))</f>
        <v/>
      </c>
      <c r="AL291" s="127"/>
      <c r="AM291" s="137"/>
      <c r="AN291" s="58" t="str" cm="1">
        <f>IF(ISBLANK($A291),"",INDEX(Array_ElectricalCharges,MATCH($A291,List_ElectricityMeters,0),ROUNDUP(COLUMN()/3,0)-2))</f>
        <v/>
      </c>
      <c r="AO291" s="127"/>
      <c r="AP291" s="137"/>
      <c r="AQ291" s="58" t="str" cm="1">
        <f>IF(ISBLANK($A291),"",INDEX(Array_ElectricalCharges,MATCH($A291,List_ElectricityMeters,0),ROUNDUP(COLUMN()/3,0)-2))</f>
        <v/>
      </c>
      <c r="AR291" s="127"/>
      <c r="AS291" s="137"/>
      <c r="AT291" s="58" t="str" cm="1">
        <f>IF(ISBLANK($A291),"",INDEX(Array_ElectricalCharges,MATCH($A291,List_ElectricityMeters,0),ROUNDUP(COLUMN()/3,0)-2))</f>
        <v/>
      </c>
      <c r="AU291" s="127"/>
      <c r="AV291" s="137"/>
      <c r="AW291" s="58" t="str" cm="1">
        <f>IF(ISBLANK($A291),"",INDEX(Array_ElectricalCharges,MATCH($A291,List_ElectricityMeters,0),ROUNDUP(COLUMN()/3,0)-2))</f>
        <v/>
      </c>
      <c r="AX291" s="127"/>
      <c r="AY291" s="137"/>
    </row>
    <row r="292" spans="1:51" x14ac:dyDescent="0.3">
      <c r="A292" s="126"/>
      <c r="B292" s="133"/>
      <c r="C292" s="134"/>
      <c r="D292" s="134"/>
      <c r="E292" s="135"/>
      <c r="F292" s="136"/>
      <c r="G292" s="58" t="str" cm="1">
        <f>IF(ISBLANK($A292),"",INDEX(Array_ElectricalCharges,MATCH($A292,List_ElectricityMeters,0),ROUNDUP(COLUMN()/3,0)-2))</f>
        <v/>
      </c>
      <c r="H292" s="127"/>
      <c r="I292" s="137"/>
      <c r="J292" s="58" t="str" cm="1">
        <f>IF(ISBLANK($A292),"",INDEX(Array_ElectricalCharges,MATCH($A292,List_ElectricityMeters,0),ROUNDUP(COLUMN()/3,0)-2))</f>
        <v/>
      </c>
      <c r="K292" s="127"/>
      <c r="L292" s="137"/>
      <c r="M292" s="58" t="str" cm="1">
        <f>IF(ISBLANK($A292),"",INDEX(Array_ElectricalCharges,MATCH($A292,List_ElectricityMeters,0),ROUNDUP(COLUMN()/3,0)-2))</f>
        <v/>
      </c>
      <c r="N292" s="127"/>
      <c r="O292" s="137"/>
      <c r="P292" s="58" t="str" cm="1">
        <f>IF(ISBLANK($A292),"",INDEX(Array_ElectricalCharges,MATCH($A292,List_ElectricityMeters,0),ROUNDUP(COLUMN()/3,0)-2))</f>
        <v/>
      </c>
      <c r="Q292" s="127"/>
      <c r="R292" s="137"/>
      <c r="S292" s="58" t="str" cm="1">
        <f>IF(ISBLANK($A292),"",INDEX(Array_ElectricalCharges,MATCH($A292,List_ElectricityMeters,0),ROUNDUP(COLUMN()/3,0)-2))</f>
        <v/>
      </c>
      <c r="T292" s="127"/>
      <c r="U292" s="137"/>
      <c r="V292" s="58" t="str" cm="1">
        <f>IF(ISBLANK($A292),"",INDEX(Array_ElectricalCharges,MATCH($A292,List_ElectricityMeters,0),ROUNDUP(COLUMN()/3,0)-2))</f>
        <v/>
      </c>
      <c r="W292" s="127"/>
      <c r="X292" s="137"/>
      <c r="Y292" s="58" t="str" cm="1">
        <f>IF(ISBLANK($A292),"",INDEX(Array_ElectricalCharges,MATCH($A292,List_ElectricityMeters,0),ROUNDUP(COLUMN()/3,0)-2))</f>
        <v/>
      </c>
      <c r="Z292" s="127"/>
      <c r="AA292" s="137"/>
      <c r="AB292" s="58" t="str" cm="1">
        <f>IF(ISBLANK($A292),"",INDEX(Array_ElectricalCharges,MATCH($A292,List_ElectricityMeters,0),ROUNDUP(COLUMN()/3,0)-2))</f>
        <v/>
      </c>
      <c r="AC292" s="127"/>
      <c r="AD292" s="137"/>
      <c r="AE292" s="58" t="str" cm="1">
        <f>IF(ISBLANK($A292),"",INDEX(Array_ElectricalCharges,MATCH($A292,List_ElectricityMeters,0),ROUNDUP(COLUMN()/3,0)-2))</f>
        <v/>
      </c>
      <c r="AF292" s="127"/>
      <c r="AG292" s="137"/>
      <c r="AH292" s="58" t="str" cm="1">
        <f>IF(ISBLANK($A292),"",INDEX(Array_ElectricalCharges,MATCH($A292,List_ElectricityMeters,0),ROUNDUP(COLUMN()/3,0)-2))</f>
        <v/>
      </c>
      <c r="AI292" s="127"/>
      <c r="AJ292" s="137"/>
      <c r="AK292" s="58" t="str" cm="1">
        <f>IF(ISBLANK($A292),"",INDEX(Array_ElectricalCharges,MATCH($A292,List_ElectricityMeters,0),ROUNDUP(COLUMN()/3,0)-2))</f>
        <v/>
      </c>
      <c r="AL292" s="127"/>
      <c r="AM292" s="137"/>
      <c r="AN292" s="58" t="str" cm="1">
        <f>IF(ISBLANK($A292),"",INDEX(Array_ElectricalCharges,MATCH($A292,List_ElectricityMeters,0),ROUNDUP(COLUMN()/3,0)-2))</f>
        <v/>
      </c>
      <c r="AO292" s="127"/>
      <c r="AP292" s="137"/>
      <c r="AQ292" s="58" t="str" cm="1">
        <f>IF(ISBLANK($A292),"",INDEX(Array_ElectricalCharges,MATCH($A292,List_ElectricityMeters,0),ROUNDUP(COLUMN()/3,0)-2))</f>
        <v/>
      </c>
      <c r="AR292" s="127"/>
      <c r="AS292" s="137"/>
      <c r="AT292" s="58" t="str" cm="1">
        <f>IF(ISBLANK($A292),"",INDEX(Array_ElectricalCharges,MATCH($A292,List_ElectricityMeters,0),ROUNDUP(COLUMN()/3,0)-2))</f>
        <v/>
      </c>
      <c r="AU292" s="127"/>
      <c r="AV292" s="137"/>
      <c r="AW292" s="58" t="str" cm="1">
        <f>IF(ISBLANK($A292),"",INDEX(Array_ElectricalCharges,MATCH($A292,List_ElectricityMeters,0),ROUNDUP(COLUMN()/3,0)-2))</f>
        <v/>
      </c>
      <c r="AX292" s="127"/>
      <c r="AY292" s="137"/>
    </row>
    <row r="293" spans="1:51" x14ac:dyDescent="0.3">
      <c r="A293" s="126"/>
      <c r="B293" s="133"/>
      <c r="C293" s="134"/>
      <c r="D293" s="134"/>
      <c r="E293" s="135"/>
      <c r="F293" s="136"/>
      <c r="G293" s="58" t="str" cm="1">
        <f>IF(ISBLANK($A293),"",INDEX(Array_ElectricalCharges,MATCH($A293,List_ElectricityMeters,0),ROUNDUP(COLUMN()/3,0)-2))</f>
        <v/>
      </c>
      <c r="H293" s="127"/>
      <c r="I293" s="137"/>
      <c r="J293" s="58" t="str" cm="1">
        <f>IF(ISBLANK($A293),"",INDEX(Array_ElectricalCharges,MATCH($A293,List_ElectricityMeters,0),ROUNDUP(COLUMN()/3,0)-2))</f>
        <v/>
      </c>
      <c r="K293" s="127"/>
      <c r="L293" s="137"/>
      <c r="M293" s="58" t="str" cm="1">
        <f>IF(ISBLANK($A293),"",INDEX(Array_ElectricalCharges,MATCH($A293,List_ElectricityMeters,0),ROUNDUP(COLUMN()/3,0)-2))</f>
        <v/>
      </c>
      <c r="N293" s="127"/>
      <c r="O293" s="137"/>
      <c r="P293" s="58" t="str" cm="1">
        <f>IF(ISBLANK($A293),"",INDEX(Array_ElectricalCharges,MATCH($A293,List_ElectricityMeters,0),ROUNDUP(COLUMN()/3,0)-2))</f>
        <v/>
      </c>
      <c r="Q293" s="127"/>
      <c r="R293" s="137"/>
      <c r="S293" s="58" t="str" cm="1">
        <f>IF(ISBLANK($A293),"",INDEX(Array_ElectricalCharges,MATCH($A293,List_ElectricityMeters,0),ROUNDUP(COLUMN()/3,0)-2))</f>
        <v/>
      </c>
      <c r="T293" s="127"/>
      <c r="U293" s="137"/>
      <c r="V293" s="58" t="str" cm="1">
        <f>IF(ISBLANK($A293),"",INDEX(Array_ElectricalCharges,MATCH($A293,List_ElectricityMeters,0),ROUNDUP(COLUMN()/3,0)-2))</f>
        <v/>
      </c>
      <c r="W293" s="127"/>
      <c r="X293" s="137"/>
      <c r="Y293" s="58" t="str" cm="1">
        <f>IF(ISBLANK($A293),"",INDEX(Array_ElectricalCharges,MATCH($A293,List_ElectricityMeters,0),ROUNDUP(COLUMN()/3,0)-2))</f>
        <v/>
      </c>
      <c r="Z293" s="127"/>
      <c r="AA293" s="137"/>
      <c r="AB293" s="58" t="str" cm="1">
        <f>IF(ISBLANK($A293),"",INDEX(Array_ElectricalCharges,MATCH($A293,List_ElectricityMeters,0),ROUNDUP(COLUMN()/3,0)-2))</f>
        <v/>
      </c>
      <c r="AC293" s="127"/>
      <c r="AD293" s="137"/>
      <c r="AE293" s="58" t="str" cm="1">
        <f>IF(ISBLANK($A293),"",INDEX(Array_ElectricalCharges,MATCH($A293,List_ElectricityMeters,0),ROUNDUP(COLUMN()/3,0)-2))</f>
        <v/>
      </c>
      <c r="AF293" s="127"/>
      <c r="AG293" s="137"/>
      <c r="AH293" s="58" t="str" cm="1">
        <f>IF(ISBLANK($A293),"",INDEX(Array_ElectricalCharges,MATCH($A293,List_ElectricityMeters,0),ROUNDUP(COLUMN()/3,0)-2))</f>
        <v/>
      </c>
      <c r="AI293" s="127"/>
      <c r="AJ293" s="137"/>
      <c r="AK293" s="58" t="str" cm="1">
        <f>IF(ISBLANK($A293),"",INDEX(Array_ElectricalCharges,MATCH($A293,List_ElectricityMeters,0),ROUNDUP(COLUMN()/3,0)-2))</f>
        <v/>
      </c>
      <c r="AL293" s="127"/>
      <c r="AM293" s="137"/>
      <c r="AN293" s="58" t="str" cm="1">
        <f>IF(ISBLANK($A293),"",INDEX(Array_ElectricalCharges,MATCH($A293,List_ElectricityMeters,0),ROUNDUP(COLUMN()/3,0)-2))</f>
        <v/>
      </c>
      <c r="AO293" s="127"/>
      <c r="AP293" s="137"/>
      <c r="AQ293" s="58" t="str" cm="1">
        <f>IF(ISBLANK($A293),"",INDEX(Array_ElectricalCharges,MATCH($A293,List_ElectricityMeters,0),ROUNDUP(COLUMN()/3,0)-2))</f>
        <v/>
      </c>
      <c r="AR293" s="127"/>
      <c r="AS293" s="137"/>
      <c r="AT293" s="58" t="str" cm="1">
        <f>IF(ISBLANK($A293),"",INDEX(Array_ElectricalCharges,MATCH($A293,List_ElectricityMeters,0),ROUNDUP(COLUMN()/3,0)-2))</f>
        <v/>
      </c>
      <c r="AU293" s="127"/>
      <c r="AV293" s="137"/>
      <c r="AW293" s="58" t="str" cm="1">
        <f>IF(ISBLANK($A293),"",INDEX(Array_ElectricalCharges,MATCH($A293,List_ElectricityMeters,0),ROUNDUP(COLUMN()/3,0)-2))</f>
        <v/>
      </c>
      <c r="AX293" s="127"/>
      <c r="AY293" s="137"/>
    </row>
    <row r="294" spans="1:51" x14ac:dyDescent="0.3">
      <c r="A294" s="126"/>
      <c r="B294" s="133"/>
      <c r="C294" s="134"/>
      <c r="D294" s="134"/>
      <c r="E294" s="135"/>
      <c r="F294" s="136"/>
      <c r="G294" s="58" t="str" cm="1">
        <f>IF(ISBLANK($A294),"",INDEX(Array_ElectricalCharges,MATCH($A294,List_ElectricityMeters,0),ROUNDUP(COLUMN()/3,0)-2))</f>
        <v/>
      </c>
      <c r="H294" s="127"/>
      <c r="I294" s="137"/>
      <c r="J294" s="58" t="str" cm="1">
        <f>IF(ISBLANK($A294),"",INDEX(Array_ElectricalCharges,MATCH($A294,List_ElectricityMeters,0),ROUNDUP(COLUMN()/3,0)-2))</f>
        <v/>
      </c>
      <c r="K294" s="127"/>
      <c r="L294" s="137"/>
      <c r="M294" s="58" t="str" cm="1">
        <f>IF(ISBLANK($A294),"",INDEX(Array_ElectricalCharges,MATCH($A294,List_ElectricityMeters,0),ROUNDUP(COLUMN()/3,0)-2))</f>
        <v/>
      </c>
      <c r="N294" s="127"/>
      <c r="O294" s="137"/>
      <c r="P294" s="58" t="str" cm="1">
        <f>IF(ISBLANK($A294),"",INDEX(Array_ElectricalCharges,MATCH($A294,List_ElectricityMeters,0),ROUNDUP(COLUMN()/3,0)-2))</f>
        <v/>
      </c>
      <c r="Q294" s="127"/>
      <c r="R294" s="137"/>
      <c r="S294" s="58" t="str" cm="1">
        <f>IF(ISBLANK($A294),"",INDEX(Array_ElectricalCharges,MATCH($A294,List_ElectricityMeters,0),ROUNDUP(COLUMN()/3,0)-2))</f>
        <v/>
      </c>
      <c r="T294" s="127"/>
      <c r="U294" s="137"/>
      <c r="V294" s="58" t="str" cm="1">
        <f>IF(ISBLANK($A294),"",INDEX(Array_ElectricalCharges,MATCH($A294,List_ElectricityMeters,0),ROUNDUP(COLUMN()/3,0)-2))</f>
        <v/>
      </c>
      <c r="W294" s="127"/>
      <c r="X294" s="137"/>
      <c r="Y294" s="58" t="str" cm="1">
        <f>IF(ISBLANK($A294),"",INDEX(Array_ElectricalCharges,MATCH($A294,List_ElectricityMeters,0),ROUNDUP(COLUMN()/3,0)-2))</f>
        <v/>
      </c>
      <c r="Z294" s="127"/>
      <c r="AA294" s="137"/>
      <c r="AB294" s="58" t="str" cm="1">
        <f>IF(ISBLANK($A294),"",INDEX(Array_ElectricalCharges,MATCH($A294,List_ElectricityMeters,0),ROUNDUP(COLUMN()/3,0)-2))</f>
        <v/>
      </c>
      <c r="AC294" s="127"/>
      <c r="AD294" s="137"/>
      <c r="AE294" s="58" t="str" cm="1">
        <f>IF(ISBLANK($A294),"",INDEX(Array_ElectricalCharges,MATCH($A294,List_ElectricityMeters,0),ROUNDUP(COLUMN()/3,0)-2))</f>
        <v/>
      </c>
      <c r="AF294" s="127"/>
      <c r="AG294" s="137"/>
      <c r="AH294" s="58" t="str" cm="1">
        <f>IF(ISBLANK($A294),"",INDEX(Array_ElectricalCharges,MATCH($A294,List_ElectricityMeters,0),ROUNDUP(COLUMN()/3,0)-2))</f>
        <v/>
      </c>
      <c r="AI294" s="127"/>
      <c r="AJ294" s="137"/>
      <c r="AK294" s="58" t="str" cm="1">
        <f>IF(ISBLANK($A294),"",INDEX(Array_ElectricalCharges,MATCH($A294,List_ElectricityMeters,0),ROUNDUP(COLUMN()/3,0)-2))</f>
        <v/>
      </c>
      <c r="AL294" s="127"/>
      <c r="AM294" s="137"/>
      <c r="AN294" s="58" t="str" cm="1">
        <f>IF(ISBLANK($A294),"",INDEX(Array_ElectricalCharges,MATCH($A294,List_ElectricityMeters,0),ROUNDUP(COLUMN()/3,0)-2))</f>
        <v/>
      </c>
      <c r="AO294" s="127"/>
      <c r="AP294" s="137"/>
      <c r="AQ294" s="58" t="str" cm="1">
        <f>IF(ISBLANK($A294),"",INDEX(Array_ElectricalCharges,MATCH($A294,List_ElectricityMeters,0),ROUNDUP(COLUMN()/3,0)-2))</f>
        <v/>
      </c>
      <c r="AR294" s="127"/>
      <c r="AS294" s="137"/>
      <c r="AT294" s="58" t="str" cm="1">
        <f>IF(ISBLANK($A294),"",INDEX(Array_ElectricalCharges,MATCH($A294,List_ElectricityMeters,0),ROUNDUP(COLUMN()/3,0)-2))</f>
        <v/>
      </c>
      <c r="AU294" s="127"/>
      <c r="AV294" s="137"/>
      <c r="AW294" s="58" t="str" cm="1">
        <f>IF(ISBLANK($A294),"",INDEX(Array_ElectricalCharges,MATCH($A294,List_ElectricityMeters,0),ROUNDUP(COLUMN()/3,0)-2))</f>
        <v/>
      </c>
      <c r="AX294" s="127"/>
      <c r="AY294" s="137"/>
    </row>
    <row r="295" spans="1:51" x14ac:dyDescent="0.3">
      <c r="A295" s="126"/>
      <c r="B295" s="133"/>
      <c r="C295" s="134"/>
      <c r="D295" s="134"/>
      <c r="E295" s="135"/>
      <c r="F295" s="136"/>
      <c r="G295" s="58" t="str" cm="1">
        <f>IF(ISBLANK($A295),"",INDEX(Array_ElectricalCharges,MATCH($A295,List_ElectricityMeters,0),ROUNDUP(COLUMN()/3,0)-2))</f>
        <v/>
      </c>
      <c r="H295" s="127"/>
      <c r="I295" s="137"/>
      <c r="J295" s="58" t="str" cm="1">
        <f>IF(ISBLANK($A295),"",INDEX(Array_ElectricalCharges,MATCH($A295,List_ElectricityMeters,0),ROUNDUP(COLUMN()/3,0)-2))</f>
        <v/>
      </c>
      <c r="K295" s="127"/>
      <c r="L295" s="137"/>
      <c r="M295" s="58" t="str" cm="1">
        <f>IF(ISBLANK($A295),"",INDEX(Array_ElectricalCharges,MATCH($A295,List_ElectricityMeters,0),ROUNDUP(COLUMN()/3,0)-2))</f>
        <v/>
      </c>
      <c r="N295" s="127"/>
      <c r="O295" s="137"/>
      <c r="P295" s="58" t="str" cm="1">
        <f>IF(ISBLANK($A295),"",INDEX(Array_ElectricalCharges,MATCH($A295,List_ElectricityMeters,0),ROUNDUP(COLUMN()/3,0)-2))</f>
        <v/>
      </c>
      <c r="Q295" s="127"/>
      <c r="R295" s="137"/>
      <c r="S295" s="58" t="str" cm="1">
        <f>IF(ISBLANK($A295),"",INDEX(Array_ElectricalCharges,MATCH($A295,List_ElectricityMeters,0),ROUNDUP(COLUMN()/3,0)-2))</f>
        <v/>
      </c>
      <c r="T295" s="127"/>
      <c r="U295" s="137"/>
      <c r="V295" s="58" t="str" cm="1">
        <f>IF(ISBLANK($A295),"",INDEX(Array_ElectricalCharges,MATCH($A295,List_ElectricityMeters,0),ROUNDUP(COLUMN()/3,0)-2))</f>
        <v/>
      </c>
      <c r="W295" s="127"/>
      <c r="X295" s="137"/>
      <c r="Y295" s="58" t="str" cm="1">
        <f>IF(ISBLANK($A295),"",INDEX(Array_ElectricalCharges,MATCH($A295,List_ElectricityMeters,0),ROUNDUP(COLUMN()/3,0)-2))</f>
        <v/>
      </c>
      <c r="Z295" s="127"/>
      <c r="AA295" s="137"/>
      <c r="AB295" s="58" t="str" cm="1">
        <f>IF(ISBLANK($A295),"",INDEX(Array_ElectricalCharges,MATCH($A295,List_ElectricityMeters,0),ROUNDUP(COLUMN()/3,0)-2))</f>
        <v/>
      </c>
      <c r="AC295" s="127"/>
      <c r="AD295" s="137"/>
      <c r="AE295" s="58" t="str" cm="1">
        <f>IF(ISBLANK($A295),"",INDEX(Array_ElectricalCharges,MATCH($A295,List_ElectricityMeters,0),ROUNDUP(COLUMN()/3,0)-2))</f>
        <v/>
      </c>
      <c r="AF295" s="127"/>
      <c r="AG295" s="137"/>
      <c r="AH295" s="58" t="str" cm="1">
        <f>IF(ISBLANK($A295),"",INDEX(Array_ElectricalCharges,MATCH($A295,List_ElectricityMeters,0),ROUNDUP(COLUMN()/3,0)-2))</f>
        <v/>
      </c>
      <c r="AI295" s="127"/>
      <c r="AJ295" s="137"/>
      <c r="AK295" s="58" t="str" cm="1">
        <f>IF(ISBLANK($A295),"",INDEX(Array_ElectricalCharges,MATCH($A295,List_ElectricityMeters,0),ROUNDUP(COLUMN()/3,0)-2))</f>
        <v/>
      </c>
      <c r="AL295" s="127"/>
      <c r="AM295" s="137"/>
      <c r="AN295" s="58" t="str" cm="1">
        <f>IF(ISBLANK($A295),"",INDEX(Array_ElectricalCharges,MATCH($A295,List_ElectricityMeters,0),ROUNDUP(COLUMN()/3,0)-2))</f>
        <v/>
      </c>
      <c r="AO295" s="127"/>
      <c r="AP295" s="137"/>
      <c r="AQ295" s="58" t="str" cm="1">
        <f>IF(ISBLANK($A295),"",INDEX(Array_ElectricalCharges,MATCH($A295,List_ElectricityMeters,0),ROUNDUP(COLUMN()/3,0)-2))</f>
        <v/>
      </c>
      <c r="AR295" s="127"/>
      <c r="AS295" s="137"/>
      <c r="AT295" s="58" t="str" cm="1">
        <f>IF(ISBLANK($A295),"",INDEX(Array_ElectricalCharges,MATCH($A295,List_ElectricityMeters,0),ROUNDUP(COLUMN()/3,0)-2))</f>
        <v/>
      </c>
      <c r="AU295" s="127"/>
      <c r="AV295" s="137"/>
      <c r="AW295" s="58" t="str" cm="1">
        <f>IF(ISBLANK($A295),"",INDEX(Array_ElectricalCharges,MATCH($A295,List_ElectricityMeters,0),ROUNDUP(COLUMN()/3,0)-2))</f>
        <v/>
      </c>
      <c r="AX295" s="127"/>
      <c r="AY295" s="137"/>
    </row>
    <row r="296" spans="1:51" x14ac:dyDescent="0.3">
      <c r="A296" s="126"/>
      <c r="B296" s="133"/>
      <c r="C296" s="134"/>
      <c r="D296" s="134"/>
      <c r="E296" s="135"/>
      <c r="F296" s="136"/>
      <c r="G296" s="58" t="str" cm="1">
        <f>IF(ISBLANK($A296),"",INDEX(Array_ElectricalCharges,MATCH($A296,List_ElectricityMeters,0),ROUNDUP(COLUMN()/3,0)-2))</f>
        <v/>
      </c>
      <c r="H296" s="127"/>
      <c r="I296" s="137"/>
      <c r="J296" s="58" t="str" cm="1">
        <f>IF(ISBLANK($A296),"",INDEX(Array_ElectricalCharges,MATCH($A296,List_ElectricityMeters,0),ROUNDUP(COLUMN()/3,0)-2))</f>
        <v/>
      </c>
      <c r="K296" s="127"/>
      <c r="L296" s="137"/>
      <c r="M296" s="58" t="str" cm="1">
        <f>IF(ISBLANK($A296),"",INDEX(Array_ElectricalCharges,MATCH($A296,List_ElectricityMeters,0),ROUNDUP(COLUMN()/3,0)-2))</f>
        <v/>
      </c>
      <c r="N296" s="127"/>
      <c r="O296" s="137"/>
      <c r="P296" s="58" t="str" cm="1">
        <f>IF(ISBLANK($A296),"",INDEX(Array_ElectricalCharges,MATCH($A296,List_ElectricityMeters,0),ROUNDUP(COLUMN()/3,0)-2))</f>
        <v/>
      </c>
      <c r="Q296" s="127"/>
      <c r="R296" s="137"/>
      <c r="S296" s="58" t="str" cm="1">
        <f>IF(ISBLANK($A296),"",INDEX(Array_ElectricalCharges,MATCH($A296,List_ElectricityMeters,0),ROUNDUP(COLUMN()/3,0)-2))</f>
        <v/>
      </c>
      <c r="T296" s="127"/>
      <c r="U296" s="137"/>
      <c r="V296" s="58" t="str" cm="1">
        <f>IF(ISBLANK($A296),"",INDEX(Array_ElectricalCharges,MATCH($A296,List_ElectricityMeters,0),ROUNDUP(COLUMN()/3,0)-2))</f>
        <v/>
      </c>
      <c r="W296" s="127"/>
      <c r="X296" s="137"/>
      <c r="Y296" s="58" t="str" cm="1">
        <f>IF(ISBLANK($A296),"",INDEX(Array_ElectricalCharges,MATCH($A296,List_ElectricityMeters,0),ROUNDUP(COLUMN()/3,0)-2))</f>
        <v/>
      </c>
      <c r="Z296" s="127"/>
      <c r="AA296" s="137"/>
      <c r="AB296" s="58" t="str" cm="1">
        <f>IF(ISBLANK($A296),"",INDEX(Array_ElectricalCharges,MATCH($A296,List_ElectricityMeters,0),ROUNDUP(COLUMN()/3,0)-2))</f>
        <v/>
      </c>
      <c r="AC296" s="127"/>
      <c r="AD296" s="137"/>
      <c r="AE296" s="58" t="str" cm="1">
        <f>IF(ISBLANK($A296),"",INDEX(Array_ElectricalCharges,MATCH($A296,List_ElectricityMeters,0),ROUNDUP(COLUMN()/3,0)-2))</f>
        <v/>
      </c>
      <c r="AF296" s="127"/>
      <c r="AG296" s="137"/>
      <c r="AH296" s="58" t="str" cm="1">
        <f>IF(ISBLANK($A296),"",INDEX(Array_ElectricalCharges,MATCH($A296,List_ElectricityMeters,0),ROUNDUP(COLUMN()/3,0)-2))</f>
        <v/>
      </c>
      <c r="AI296" s="127"/>
      <c r="AJ296" s="137"/>
      <c r="AK296" s="58" t="str" cm="1">
        <f>IF(ISBLANK($A296),"",INDEX(Array_ElectricalCharges,MATCH($A296,List_ElectricityMeters,0),ROUNDUP(COLUMN()/3,0)-2))</f>
        <v/>
      </c>
      <c r="AL296" s="127"/>
      <c r="AM296" s="137"/>
      <c r="AN296" s="58" t="str" cm="1">
        <f>IF(ISBLANK($A296),"",INDEX(Array_ElectricalCharges,MATCH($A296,List_ElectricityMeters,0),ROUNDUP(COLUMN()/3,0)-2))</f>
        <v/>
      </c>
      <c r="AO296" s="127"/>
      <c r="AP296" s="137"/>
      <c r="AQ296" s="58" t="str" cm="1">
        <f>IF(ISBLANK($A296),"",INDEX(Array_ElectricalCharges,MATCH($A296,List_ElectricityMeters,0),ROUNDUP(COLUMN()/3,0)-2))</f>
        <v/>
      </c>
      <c r="AR296" s="127"/>
      <c r="AS296" s="137"/>
      <c r="AT296" s="58" t="str" cm="1">
        <f>IF(ISBLANK($A296),"",INDEX(Array_ElectricalCharges,MATCH($A296,List_ElectricityMeters,0),ROUNDUP(COLUMN()/3,0)-2))</f>
        <v/>
      </c>
      <c r="AU296" s="127"/>
      <c r="AV296" s="137"/>
      <c r="AW296" s="58" t="str" cm="1">
        <f>IF(ISBLANK($A296),"",INDEX(Array_ElectricalCharges,MATCH($A296,List_ElectricityMeters,0),ROUNDUP(COLUMN()/3,0)-2))</f>
        <v/>
      </c>
      <c r="AX296" s="127"/>
      <c r="AY296" s="137"/>
    </row>
    <row r="297" spans="1:51" x14ac:dyDescent="0.3">
      <c r="A297" s="126"/>
      <c r="B297" s="133"/>
      <c r="C297" s="134"/>
      <c r="D297" s="134"/>
      <c r="E297" s="135"/>
      <c r="F297" s="136"/>
      <c r="G297" s="58" t="str" cm="1">
        <f>IF(ISBLANK($A297),"",INDEX(Array_ElectricalCharges,MATCH($A297,List_ElectricityMeters,0),ROUNDUP(COLUMN()/3,0)-2))</f>
        <v/>
      </c>
      <c r="H297" s="127"/>
      <c r="I297" s="137"/>
      <c r="J297" s="58" t="str" cm="1">
        <f>IF(ISBLANK($A297),"",INDEX(Array_ElectricalCharges,MATCH($A297,List_ElectricityMeters,0),ROUNDUP(COLUMN()/3,0)-2))</f>
        <v/>
      </c>
      <c r="K297" s="127"/>
      <c r="L297" s="137"/>
      <c r="M297" s="58" t="str" cm="1">
        <f>IF(ISBLANK($A297),"",INDEX(Array_ElectricalCharges,MATCH($A297,List_ElectricityMeters,0),ROUNDUP(COLUMN()/3,0)-2))</f>
        <v/>
      </c>
      <c r="N297" s="127"/>
      <c r="O297" s="137"/>
      <c r="P297" s="58" t="str" cm="1">
        <f>IF(ISBLANK($A297),"",INDEX(Array_ElectricalCharges,MATCH($A297,List_ElectricityMeters,0),ROUNDUP(COLUMN()/3,0)-2))</f>
        <v/>
      </c>
      <c r="Q297" s="127"/>
      <c r="R297" s="137"/>
      <c r="S297" s="58" t="str" cm="1">
        <f>IF(ISBLANK($A297),"",INDEX(Array_ElectricalCharges,MATCH($A297,List_ElectricityMeters,0),ROUNDUP(COLUMN()/3,0)-2))</f>
        <v/>
      </c>
      <c r="T297" s="127"/>
      <c r="U297" s="137"/>
      <c r="V297" s="58" t="str" cm="1">
        <f>IF(ISBLANK($A297),"",INDEX(Array_ElectricalCharges,MATCH($A297,List_ElectricityMeters,0),ROUNDUP(COLUMN()/3,0)-2))</f>
        <v/>
      </c>
      <c r="W297" s="127"/>
      <c r="X297" s="137"/>
      <c r="Y297" s="58" t="str" cm="1">
        <f>IF(ISBLANK($A297),"",INDEX(Array_ElectricalCharges,MATCH($A297,List_ElectricityMeters,0),ROUNDUP(COLUMN()/3,0)-2))</f>
        <v/>
      </c>
      <c r="Z297" s="127"/>
      <c r="AA297" s="137"/>
      <c r="AB297" s="58" t="str" cm="1">
        <f>IF(ISBLANK($A297),"",INDEX(Array_ElectricalCharges,MATCH($A297,List_ElectricityMeters,0),ROUNDUP(COLUMN()/3,0)-2))</f>
        <v/>
      </c>
      <c r="AC297" s="127"/>
      <c r="AD297" s="137"/>
      <c r="AE297" s="58" t="str" cm="1">
        <f>IF(ISBLANK($A297),"",INDEX(Array_ElectricalCharges,MATCH($A297,List_ElectricityMeters,0),ROUNDUP(COLUMN()/3,0)-2))</f>
        <v/>
      </c>
      <c r="AF297" s="127"/>
      <c r="AG297" s="137"/>
      <c r="AH297" s="58" t="str" cm="1">
        <f>IF(ISBLANK($A297),"",INDEX(Array_ElectricalCharges,MATCH($A297,List_ElectricityMeters,0),ROUNDUP(COLUMN()/3,0)-2))</f>
        <v/>
      </c>
      <c r="AI297" s="127"/>
      <c r="AJ297" s="137"/>
      <c r="AK297" s="58" t="str" cm="1">
        <f>IF(ISBLANK($A297),"",INDEX(Array_ElectricalCharges,MATCH($A297,List_ElectricityMeters,0),ROUNDUP(COLUMN()/3,0)-2))</f>
        <v/>
      </c>
      <c r="AL297" s="127"/>
      <c r="AM297" s="137"/>
      <c r="AN297" s="58" t="str" cm="1">
        <f>IF(ISBLANK($A297),"",INDEX(Array_ElectricalCharges,MATCH($A297,List_ElectricityMeters,0),ROUNDUP(COLUMN()/3,0)-2))</f>
        <v/>
      </c>
      <c r="AO297" s="127"/>
      <c r="AP297" s="137"/>
      <c r="AQ297" s="58" t="str" cm="1">
        <f>IF(ISBLANK($A297),"",INDEX(Array_ElectricalCharges,MATCH($A297,List_ElectricityMeters,0),ROUNDUP(COLUMN()/3,0)-2))</f>
        <v/>
      </c>
      <c r="AR297" s="127"/>
      <c r="AS297" s="137"/>
      <c r="AT297" s="58" t="str" cm="1">
        <f>IF(ISBLANK($A297),"",INDEX(Array_ElectricalCharges,MATCH($A297,List_ElectricityMeters,0),ROUNDUP(COLUMN()/3,0)-2))</f>
        <v/>
      </c>
      <c r="AU297" s="127"/>
      <c r="AV297" s="137"/>
      <c r="AW297" s="58" t="str" cm="1">
        <f>IF(ISBLANK($A297),"",INDEX(Array_ElectricalCharges,MATCH($A297,List_ElectricityMeters,0),ROUNDUP(COLUMN()/3,0)-2))</f>
        <v/>
      </c>
      <c r="AX297" s="127"/>
      <c r="AY297" s="137"/>
    </row>
    <row r="298" spans="1:51" x14ac:dyDescent="0.3">
      <c r="A298" s="126"/>
      <c r="B298" s="133"/>
      <c r="C298" s="134"/>
      <c r="D298" s="134"/>
      <c r="E298" s="135"/>
      <c r="F298" s="136"/>
      <c r="G298" s="58" t="str" cm="1">
        <f>IF(ISBLANK($A298),"",INDEX(Array_ElectricalCharges,MATCH($A298,List_ElectricityMeters,0),ROUNDUP(COLUMN()/3,0)-2))</f>
        <v/>
      </c>
      <c r="H298" s="127"/>
      <c r="I298" s="137"/>
      <c r="J298" s="58" t="str" cm="1">
        <f>IF(ISBLANK($A298),"",INDEX(Array_ElectricalCharges,MATCH($A298,List_ElectricityMeters,0),ROUNDUP(COLUMN()/3,0)-2))</f>
        <v/>
      </c>
      <c r="K298" s="127"/>
      <c r="L298" s="137"/>
      <c r="M298" s="58" t="str" cm="1">
        <f>IF(ISBLANK($A298),"",INDEX(Array_ElectricalCharges,MATCH($A298,List_ElectricityMeters,0),ROUNDUP(COLUMN()/3,0)-2))</f>
        <v/>
      </c>
      <c r="N298" s="127"/>
      <c r="O298" s="137"/>
      <c r="P298" s="58" t="str" cm="1">
        <f>IF(ISBLANK($A298),"",INDEX(Array_ElectricalCharges,MATCH($A298,List_ElectricityMeters,0),ROUNDUP(COLUMN()/3,0)-2))</f>
        <v/>
      </c>
      <c r="Q298" s="127"/>
      <c r="R298" s="137"/>
      <c r="S298" s="58" t="str" cm="1">
        <f>IF(ISBLANK($A298),"",INDEX(Array_ElectricalCharges,MATCH($A298,List_ElectricityMeters,0),ROUNDUP(COLUMN()/3,0)-2))</f>
        <v/>
      </c>
      <c r="T298" s="127"/>
      <c r="U298" s="137"/>
      <c r="V298" s="58" t="str" cm="1">
        <f>IF(ISBLANK($A298),"",INDEX(Array_ElectricalCharges,MATCH($A298,List_ElectricityMeters,0),ROUNDUP(COLUMN()/3,0)-2))</f>
        <v/>
      </c>
      <c r="W298" s="127"/>
      <c r="X298" s="137"/>
      <c r="Y298" s="58" t="str" cm="1">
        <f>IF(ISBLANK($A298),"",INDEX(Array_ElectricalCharges,MATCH($A298,List_ElectricityMeters,0),ROUNDUP(COLUMN()/3,0)-2))</f>
        <v/>
      </c>
      <c r="Z298" s="127"/>
      <c r="AA298" s="137"/>
      <c r="AB298" s="58" t="str" cm="1">
        <f>IF(ISBLANK($A298),"",INDEX(Array_ElectricalCharges,MATCH($A298,List_ElectricityMeters,0),ROUNDUP(COLUMN()/3,0)-2))</f>
        <v/>
      </c>
      <c r="AC298" s="127"/>
      <c r="AD298" s="137"/>
      <c r="AE298" s="58" t="str" cm="1">
        <f>IF(ISBLANK($A298),"",INDEX(Array_ElectricalCharges,MATCH($A298,List_ElectricityMeters,0),ROUNDUP(COLUMN()/3,0)-2))</f>
        <v/>
      </c>
      <c r="AF298" s="127"/>
      <c r="AG298" s="137"/>
      <c r="AH298" s="58" t="str" cm="1">
        <f>IF(ISBLANK($A298),"",INDEX(Array_ElectricalCharges,MATCH($A298,List_ElectricityMeters,0),ROUNDUP(COLUMN()/3,0)-2))</f>
        <v/>
      </c>
      <c r="AI298" s="127"/>
      <c r="AJ298" s="137"/>
      <c r="AK298" s="58" t="str" cm="1">
        <f>IF(ISBLANK($A298),"",INDEX(Array_ElectricalCharges,MATCH($A298,List_ElectricityMeters,0),ROUNDUP(COLUMN()/3,0)-2))</f>
        <v/>
      </c>
      <c r="AL298" s="127"/>
      <c r="AM298" s="137"/>
      <c r="AN298" s="58" t="str" cm="1">
        <f>IF(ISBLANK($A298),"",INDEX(Array_ElectricalCharges,MATCH($A298,List_ElectricityMeters,0),ROUNDUP(COLUMN()/3,0)-2))</f>
        <v/>
      </c>
      <c r="AO298" s="127"/>
      <c r="AP298" s="137"/>
      <c r="AQ298" s="58" t="str" cm="1">
        <f>IF(ISBLANK($A298),"",INDEX(Array_ElectricalCharges,MATCH($A298,List_ElectricityMeters,0),ROUNDUP(COLUMN()/3,0)-2))</f>
        <v/>
      </c>
      <c r="AR298" s="127"/>
      <c r="AS298" s="137"/>
      <c r="AT298" s="58" t="str" cm="1">
        <f>IF(ISBLANK($A298),"",INDEX(Array_ElectricalCharges,MATCH($A298,List_ElectricityMeters,0),ROUNDUP(COLUMN()/3,0)-2))</f>
        <v/>
      </c>
      <c r="AU298" s="127"/>
      <c r="AV298" s="137"/>
      <c r="AW298" s="58" t="str" cm="1">
        <f>IF(ISBLANK($A298),"",INDEX(Array_ElectricalCharges,MATCH($A298,List_ElectricityMeters,0),ROUNDUP(COLUMN()/3,0)-2))</f>
        <v/>
      </c>
      <c r="AX298" s="127"/>
      <c r="AY298" s="137"/>
    </row>
    <row r="299" spans="1:51" x14ac:dyDescent="0.3">
      <c r="A299" s="126"/>
      <c r="B299" s="133"/>
      <c r="C299" s="134"/>
      <c r="D299" s="134"/>
      <c r="E299" s="135"/>
      <c r="F299" s="136"/>
      <c r="G299" s="58" t="str" cm="1">
        <f>IF(ISBLANK($A299),"",INDEX(Array_ElectricalCharges,MATCH($A299,List_ElectricityMeters,0),ROUNDUP(COLUMN()/3,0)-2))</f>
        <v/>
      </c>
      <c r="H299" s="127"/>
      <c r="I299" s="137"/>
      <c r="J299" s="58" t="str" cm="1">
        <f>IF(ISBLANK($A299),"",INDEX(Array_ElectricalCharges,MATCH($A299,List_ElectricityMeters,0),ROUNDUP(COLUMN()/3,0)-2))</f>
        <v/>
      </c>
      <c r="K299" s="127"/>
      <c r="L299" s="137"/>
      <c r="M299" s="58" t="str" cm="1">
        <f>IF(ISBLANK($A299),"",INDEX(Array_ElectricalCharges,MATCH($A299,List_ElectricityMeters,0),ROUNDUP(COLUMN()/3,0)-2))</f>
        <v/>
      </c>
      <c r="N299" s="127"/>
      <c r="O299" s="137"/>
      <c r="P299" s="58" t="str" cm="1">
        <f>IF(ISBLANK($A299),"",INDEX(Array_ElectricalCharges,MATCH($A299,List_ElectricityMeters,0),ROUNDUP(COLUMN()/3,0)-2))</f>
        <v/>
      </c>
      <c r="Q299" s="127"/>
      <c r="R299" s="137"/>
      <c r="S299" s="58" t="str" cm="1">
        <f>IF(ISBLANK($A299),"",INDEX(Array_ElectricalCharges,MATCH($A299,List_ElectricityMeters,0),ROUNDUP(COLUMN()/3,0)-2))</f>
        <v/>
      </c>
      <c r="T299" s="127"/>
      <c r="U299" s="137"/>
      <c r="V299" s="58" t="str" cm="1">
        <f>IF(ISBLANK($A299),"",INDEX(Array_ElectricalCharges,MATCH($A299,List_ElectricityMeters,0),ROUNDUP(COLUMN()/3,0)-2))</f>
        <v/>
      </c>
      <c r="W299" s="127"/>
      <c r="X299" s="137"/>
      <c r="Y299" s="58" t="str" cm="1">
        <f>IF(ISBLANK($A299),"",INDEX(Array_ElectricalCharges,MATCH($A299,List_ElectricityMeters,0),ROUNDUP(COLUMN()/3,0)-2))</f>
        <v/>
      </c>
      <c r="Z299" s="127"/>
      <c r="AA299" s="137"/>
      <c r="AB299" s="58" t="str" cm="1">
        <f>IF(ISBLANK($A299),"",INDEX(Array_ElectricalCharges,MATCH($A299,List_ElectricityMeters,0),ROUNDUP(COLUMN()/3,0)-2))</f>
        <v/>
      </c>
      <c r="AC299" s="127"/>
      <c r="AD299" s="137"/>
      <c r="AE299" s="58" t="str" cm="1">
        <f>IF(ISBLANK($A299),"",INDEX(Array_ElectricalCharges,MATCH($A299,List_ElectricityMeters,0),ROUNDUP(COLUMN()/3,0)-2))</f>
        <v/>
      </c>
      <c r="AF299" s="127"/>
      <c r="AG299" s="137"/>
      <c r="AH299" s="58" t="str" cm="1">
        <f>IF(ISBLANK($A299),"",INDEX(Array_ElectricalCharges,MATCH($A299,List_ElectricityMeters,0),ROUNDUP(COLUMN()/3,0)-2))</f>
        <v/>
      </c>
      <c r="AI299" s="127"/>
      <c r="AJ299" s="137"/>
      <c r="AK299" s="58" t="str" cm="1">
        <f>IF(ISBLANK($A299),"",INDEX(Array_ElectricalCharges,MATCH($A299,List_ElectricityMeters,0),ROUNDUP(COLUMN()/3,0)-2))</f>
        <v/>
      </c>
      <c r="AL299" s="127"/>
      <c r="AM299" s="137"/>
      <c r="AN299" s="58" t="str" cm="1">
        <f>IF(ISBLANK($A299),"",INDEX(Array_ElectricalCharges,MATCH($A299,List_ElectricityMeters,0),ROUNDUP(COLUMN()/3,0)-2))</f>
        <v/>
      </c>
      <c r="AO299" s="127"/>
      <c r="AP299" s="137"/>
      <c r="AQ299" s="58" t="str" cm="1">
        <f>IF(ISBLANK($A299),"",INDEX(Array_ElectricalCharges,MATCH($A299,List_ElectricityMeters,0),ROUNDUP(COLUMN()/3,0)-2))</f>
        <v/>
      </c>
      <c r="AR299" s="127"/>
      <c r="AS299" s="137"/>
      <c r="AT299" s="58" t="str" cm="1">
        <f>IF(ISBLANK($A299),"",INDEX(Array_ElectricalCharges,MATCH($A299,List_ElectricityMeters,0),ROUNDUP(COLUMN()/3,0)-2))</f>
        <v/>
      </c>
      <c r="AU299" s="127"/>
      <c r="AV299" s="137"/>
      <c r="AW299" s="58" t="str" cm="1">
        <f>IF(ISBLANK($A299),"",INDEX(Array_ElectricalCharges,MATCH($A299,List_ElectricityMeters,0),ROUNDUP(COLUMN()/3,0)-2))</f>
        <v/>
      </c>
      <c r="AX299" s="127"/>
      <c r="AY299" s="137"/>
    </row>
    <row r="300" spans="1:51" x14ac:dyDescent="0.3">
      <c r="A300" s="126"/>
      <c r="B300" s="133"/>
      <c r="C300" s="134"/>
      <c r="D300" s="134"/>
      <c r="E300" s="135"/>
      <c r="F300" s="136"/>
      <c r="G300" s="58" t="str" cm="1">
        <f>IF(ISBLANK($A300),"",INDEX(Array_ElectricalCharges,MATCH($A300,List_ElectricityMeters,0),ROUNDUP(COLUMN()/3,0)-2))</f>
        <v/>
      </c>
      <c r="H300" s="127"/>
      <c r="I300" s="137"/>
      <c r="J300" s="58" t="str" cm="1">
        <f>IF(ISBLANK($A300),"",INDEX(Array_ElectricalCharges,MATCH($A300,List_ElectricityMeters,0),ROUNDUP(COLUMN()/3,0)-2))</f>
        <v/>
      </c>
      <c r="K300" s="127"/>
      <c r="L300" s="137"/>
      <c r="M300" s="58" t="str" cm="1">
        <f>IF(ISBLANK($A300),"",INDEX(Array_ElectricalCharges,MATCH($A300,List_ElectricityMeters,0),ROUNDUP(COLUMN()/3,0)-2))</f>
        <v/>
      </c>
      <c r="N300" s="127"/>
      <c r="O300" s="137"/>
      <c r="P300" s="58" t="str" cm="1">
        <f>IF(ISBLANK($A300),"",INDEX(Array_ElectricalCharges,MATCH($A300,List_ElectricityMeters,0),ROUNDUP(COLUMN()/3,0)-2))</f>
        <v/>
      </c>
      <c r="Q300" s="127"/>
      <c r="R300" s="137"/>
      <c r="S300" s="58" t="str" cm="1">
        <f>IF(ISBLANK($A300),"",INDEX(Array_ElectricalCharges,MATCH($A300,List_ElectricityMeters,0),ROUNDUP(COLUMN()/3,0)-2))</f>
        <v/>
      </c>
      <c r="T300" s="127"/>
      <c r="U300" s="137"/>
      <c r="V300" s="58" t="str" cm="1">
        <f>IF(ISBLANK($A300),"",INDEX(Array_ElectricalCharges,MATCH($A300,List_ElectricityMeters,0),ROUNDUP(COLUMN()/3,0)-2))</f>
        <v/>
      </c>
      <c r="W300" s="127"/>
      <c r="X300" s="137"/>
      <c r="Y300" s="58" t="str" cm="1">
        <f>IF(ISBLANK($A300),"",INDEX(Array_ElectricalCharges,MATCH($A300,List_ElectricityMeters,0),ROUNDUP(COLUMN()/3,0)-2))</f>
        <v/>
      </c>
      <c r="Z300" s="127"/>
      <c r="AA300" s="137"/>
      <c r="AB300" s="58" t="str" cm="1">
        <f>IF(ISBLANK($A300),"",INDEX(Array_ElectricalCharges,MATCH($A300,List_ElectricityMeters,0),ROUNDUP(COLUMN()/3,0)-2))</f>
        <v/>
      </c>
      <c r="AC300" s="127"/>
      <c r="AD300" s="137"/>
      <c r="AE300" s="58" t="str" cm="1">
        <f>IF(ISBLANK($A300),"",INDEX(Array_ElectricalCharges,MATCH($A300,List_ElectricityMeters,0),ROUNDUP(COLUMN()/3,0)-2))</f>
        <v/>
      </c>
      <c r="AF300" s="127"/>
      <c r="AG300" s="137"/>
      <c r="AH300" s="58" t="str" cm="1">
        <f>IF(ISBLANK($A300),"",INDEX(Array_ElectricalCharges,MATCH($A300,List_ElectricityMeters,0),ROUNDUP(COLUMN()/3,0)-2))</f>
        <v/>
      </c>
      <c r="AI300" s="127"/>
      <c r="AJ300" s="137"/>
      <c r="AK300" s="58" t="str" cm="1">
        <f>IF(ISBLANK($A300),"",INDEX(Array_ElectricalCharges,MATCH($A300,List_ElectricityMeters,0),ROUNDUP(COLUMN()/3,0)-2))</f>
        <v/>
      </c>
      <c r="AL300" s="127"/>
      <c r="AM300" s="137"/>
      <c r="AN300" s="58" t="str" cm="1">
        <f>IF(ISBLANK($A300),"",INDEX(Array_ElectricalCharges,MATCH($A300,List_ElectricityMeters,0),ROUNDUP(COLUMN()/3,0)-2))</f>
        <v/>
      </c>
      <c r="AO300" s="127"/>
      <c r="AP300" s="137"/>
      <c r="AQ300" s="58" t="str" cm="1">
        <f>IF(ISBLANK($A300),"",INDEX(Array_ElectricalCharges,MATCH($A300,List_ElectricityMeters,0),ROUNDUP(COLUMN()/3,0)-2))</f>
        <v/>
      </c>
      <c r="AR300" s="127"/>
      <c r="AS300" s="137"/>
      <c r="AT300" s="58" t="str" cm="1">
        <f>IF(ISBLANK($A300),"",INDEX(Array_ElectricalCharges,MATCH($A300,List_ElectricityMeters,0),ROUNDUP(COLUMN()/3,0)-2))</f>
        <v/>
      </c>
      <c r="AU300" s="127"/>
      <c r="AV300" s="137"/>
      <c r="AW300" s="58" t="str" cm="1">
        <f>IF(ISBLANK($A300),"",INDEX(Array_ElectricalCharges,MATCH($A300,List_ElectricityMeters,0),ROUNDUP(COLUMN()/3,0)-2))</f>
        <v/>
      </c>
      <c r="AX300" s="127"/>
      <c r="AY300" s="137"/>
    </row>
    <row r="301" spans="1:51" x14ac:dyDescent="0.3">
      <c r="A301" s="126"/>
      <c r="B301" s="133"/>
      <c r="C301" s="134"/>
      <c r="D301" s="134"/>
      <c r="E301" s="135"/>
      <c r="F301" s="136"/>
      <c r="G301" s="58" t="str" cm="1">
        <f>IF(ISBLANK($A301),"",INDEX(Array_ElectricalCharges,MATCH($A301,List_ElectricityMeters,0),ROUNDUP(COLUMN()/3,0)-2))</f>
        <v/>
      </c>
      <c r="H301" s="127"/>
      <c r="I301" s="137"/>
      <c r="J301" s="58" t="str" cm="1">
        <f>IF(ISBLANK($A301),"",INDEX(Array_ElectricalCharges,MATCH($A301,List_ElectricityMeters,0),ROUNDUP(COLUMN()/3,0)-2))</f>
        <v/>
      </c>
      <c r="K301" s="127"/>
      <c r="L301" s="137"/>
      <c r="M301" s="58" t="str" cm="1">
        <f>IF(ISBLANK($A301),"",INDEX(Array_ElectricalCharges,MATCH($A301,List_ElectricityMeters,0),ROUNDUP(COLUMN()/3,0)-2))</f>
        <v/>
      </c>
      <c r="N301" s="127"/>
      <c r="O301" s="137"/>
      <c r="P301" s="58" t="str" cm="1">
        <f>IF(ISBLANK($A301),"",INDEX(Array_ElectricalCharges,MATCH($A301,List_ElectricityMeters,0),ROUNDUP(COLUMN()/3,0)-2))</f>
        <v/>
      </c>
      <c r="Q301" s="127"/>
      <c r="R301" s="137"/>
      <c r="S301" s="58" t="str" cm="1">
        <f>IF(ISBLANK($A301),"",INDEX(Array_ElectricalCharges,MATCH($A301,List_ElectricityMeters,0),ROUNDUP(COLUMN()/3,0)-2))</f>
        <v/>
      </c>
      <c r="T301" s="127"/>
      <c r="U301" s="137"/>
      <c r="V301" s="58" t="str" cm="1">
        <f>IF(ISBLANK($A301),"",INDEX(Array_ElectricalCharges,MATCH($A301,List_ElectricityMeters,0),ROUNDUP(COLUMN()/3,0)-2))</f>
        <v/>
      </c>
      <c r="W301" s="127"/>
      <c r="X301" s="137"/>
      <c r="Y301" s="58" t="str" cm="1">
        <f>IF(ISBLANK($A301),"",INDEX(Array_ElectricalCharges,MATCH($A301,List_ElectricityMeters,0),ROUNDUP(COLUMN()/3,0)-2))</f>
        <v/>
      </c>
      <c r="Z301" s="127"/>
      <c r="AA301" s="137"/>
      <c r="AB301" s="58" t="str" cm="1">
        <f>IF(ISBLANK($A301),"",INDEX(Array_ElectricalCharges,MATCH($A301,List_ElectricityMeters,0),ROUNDUP(COLUMN()/3,0)-2))</f>
        <v/>
      </c>
      <c r="AC301" s="127"/>
      <c r="AD301" s="137"/>
      <c r="AE301" s="58" t="str" cm="1">
        <f>IF(ISBLANK($A301),"",INDEX(Array_ElectricalCharges,MATCH($A301,List_ElectricityMeters,0),ROUNDUP(COLUMN()/3,0)-2))</f>
        <v/>
      </c>
      <c r="AF301" s="127"/>
      <c r="AG301" s="137"/>
      <c r="AH301" s="58" t="str" cm="1">
        <f>IF(ISBLANK($A301),"",INDEX(Array_ElectricalCharges,MATCH($A301,List_ElectricityMeters,0),ROUNDUP(COLUMN()/3,0)-2))</f>
        <v/>
      </c>
      <c r="AI301" s="127"/>
      <c r="AJ301" s="137"/>
      <c r="AK301" s="58" t="str" cm="1">
        <f>IF(ISBLANK($A301),"",INDEX(Array_ElectricalCharges,MATCH($A301,List_ElectricityMeters,0),ROUNDUP(COLUMN()/3,0)-2))</f>
        <v/>
      </c>
      <c r="AL301" s="127"/>
      <c r="AM301" s="137"/>
      <c r="AN301" s="58" t="str" cm="1">
        <f>IF(ISBLANK($A301),"",INDEX(Array_ElectricalCharges,MATCH($A301,List_ElectricityMeters,0),ROUNDUP(COLUMN()/3,0)-2))</f>
        <v/>
      </c>
      <c r="AO301" s="127"/>
      <c r="AP301" s="137"/>
      <c r="AQ301" s="58" t="str" cm="1">
        <f>IF(ISBLANK($A301),"",INDEX(Array_ElectricalCharges,MATCH($A301,List_ElectricityMeters,0),ROUNDUP(COLUMN()/3,0)-2))</f>
        <v/>
      </c>
      <c r="AR301" s="127"/>
      <c r="AS301" s="137"/>
      <c r="AT301" s="58" t="str" cm="1">
        <f>IF(ISBLANK($A301),"",INDEX(Array_ElectricalCharges,MATCH($A301,List_ElectricityMeters,0),ROUNDUP(COLUMN()/3,0)-2))</f>
        <v/>
      </c>
      <c r="AU301" s="127"/>
      <c r="AV301" s="137"/>
      <c r="AW301" s="58" t="str" cm="1">
        <f>IF(ISBLANK($A301),"",INDEX(Array_ElectricalCharges,MATCH($A301,List_ElectricityMeters,0),ROUNDUP(COLUMN()/3,0)-2))</f>
        <v/>
      </c>
      <c r="AX301" s="127"/>
      <c r="AY301" s="137"/>
    </row>
    <row r="302" spans="1:51" x14ac:dyDescent="0.3">
      <c r="A302" s="126"/>
      <c r="B302" s="133"/>
      <c r="C302" s="134"/>
      <c r="D302" s="134"/>
      <c r="E302" s="135"/>
      <c r="F302" s="136"/>
      <c r="G302" s="58" t="str" cm="1">
        <f>IF(ISBLANK($A302),"",INDEX(Array_ElectricalCharges,MATCH($A302,List_ElectricityMeters,0),ROUNDUP(COLUMN()/3,0)-2))</f>
        <v/>
      </c>
      <c r="H302" s="127"/>
      <c r="I302" s="137"/>
      <c r="J302" s="58" t="str" cm="1">
        <f>IF(ISBLANK($A302),"",INDEX(Array_ElectricalCharges,MATCH($A302,List_ElectricityMeters,0),ROUNDUP(COLUMN()/3,0)-2))</f>
        <v/>
      </c>
      <c r="K302" s="127"/>
      <c r="L302" s="137"/>
      <c r="M302" s="58" t="str" cm="1">
        <f>IF(ISBLANK($A302),"",INDEX(Array_ElectricalCharges,MATCH($A302,List_ElectricityMeters,0),ROUNDUP(COLUMN()/3,0)-2))</f>
        <v/>
      </c>
      <c r="N302" s="127"/>
      <c r="O302" s="137"/>
      <c r="P302" s="58" t="str" cm="1">
        <f>IF(ISBLANK($A302),"",INDEX(Array_ElectricalCharges,MATCH($A302,List_ElectricityMeters,0),ROUNDUP(COLUMN()/3,0)-2))</f>
        <v/>
      </c>
      <c r="Q302" s="127"/>
      <c r="R302" s="137"/>
      <c r="S302" s="58" t="str" cm="1">
        <f>IF(ISBLANK($A302),"",INDEX(Array_ElectricalCharges,MATCH($A302,List_ElectricityMeters,0),ROUNDUP(COLUMN()/3,0)-2))</f>
        <v/>
      </c>
      <c r="T302" s="127"/>
      <c r="U302" s="137"/>
      <c r="V302" s="58" t="str" cm="1">
        <f>IF(ISBLANK($A302),"",INDEX(Array_ElectricalCharges,MATCH($A302,List_ElectricityMeters,0),ROUNDUP(COLUMN()/3,0)-2))</f>
        <v/>
      </c>
      <c r="W302" s="127"/>
      <c r="X302" s="137"/>
      <c r="Y302" s="58" t="str" cm="1">
        <f>IF(ISBLANK($A302),"",INDEX(Array_ElectricalCharges,MATCH($A302,List_ElectricityMeters,0),ROUNDUP(COLUMN()/3,0)-2))</f>
        <v/>
      </c>
      <c r="Z302" s="127"/>
      <c r="AA302" s="137"/>
      <c r="AB302" s="58" t="str" cm="1">
        <f>IF(ISBLANK($A302),"",INDEX(Array_ElectricalCharges,MATCH($A302,List_ElectricityMeters,0),ROUNDUP(COLUMN()/3,0)-2))</f>
        <v/>
      </c>
      <c r="AC302" s="127"/>
      <c r="AD302" s="137"/>
      <c r="AE302" s="58" t="str" cm="1">
        <f>IF(ISBLANK($A302),"",INDEX(Array_ElectricalCharges,MATCH($A302,List_ElectricityMeters,0),ROUNDUP(COLUMN()/3,0)-2))</f>
        <v/>
      </c>
      <c r="AF302" s="127"/>
      <c r="AG302" s="137"/>
      <c r="AH302" s="58" t="str" cm="1">
        <f>IF(ISBLANK($A302),"",INDEX(Array_ElectricalCharges,MATCH($A302,List_ElectricityMeters,0),ROUNDUP(COLUMN()/3,0)-2))</f>
        <v/>
      </c>
      <c r="AI302" s="127"/>
      <c r="AJ302" s="137"/>
      <c r="AK302" s="58" t="str" cm="1">
        <f>IF(ISBLANK($A302),"",INDEX(Array_ElectricalCharges,MATCH($A302,List_ElectricityMeters,0),ROUNDUP(COLUMN()/3,0)-2))</f>
        <v/>
      </c>
      <c r="AL302" s="127"/>
      <c r="AM302" s="137"/>
      <c r="AN302" s="58" t="str" cm="1">
        <f>IF(ISBLANK($A302),"",INDEX(Array_ElectricalCharges,MATCH($A302,List_ElectricityMeters,0),ROUNDUP(COLUMN()/3,0)-2))</f>
        <v/>
      </c>
      <c r="AO302" s="127"/>
      <c r="AP302" s="137"/>
      <c r="AQ302" s="58" t="str" cm="1">
        <f>IF(ISBLANK($A302),"",INDEX(Array_ElectricalCharges,MATCH($A302,List_ElectricityMeters,0),ROUNDUP(COLUMN()/3,0)-2))</f>
        <v/>
      </c>
      <c r="AR302" s="127"/>
      <c r="AS302" s="137"/>
      <c r="AT302" s="58" t="str" cm="1">
        <f>IF(ISBLANK($A302),"",INDEX(Array_ElectricalCharges,MATCH($A302,List_ElectricityMeters,0),ROUNDUP(COLUMN()/3,0)-2))</f>
        <v/>
      </c>
      <c r="AU302" s="127"/>
      <c r="AV302" s="137"/>
      <c r="AW302" s="58" t="str" cm="1">
        <f>IF(ISBLANK($A302),"",INDEX(Array_ElectricalCharges,MATCH($A302,List_ElectricityMeters,0),ROUNDUP(COLUMN()/3,0)-2))</f>
        <v/>
      </c>
      <c r="AX302" s="127"/>
      <c r="AY302" s="137"/>
    </row>
    <row r="303" spans="1:51" x14ac:dyDescent="0.3">
      <c r="A303" s="126"/>
      <c r="B303" s="133"/>
      <c r="C303" s="134"/>
      <c r="D303" s="134"/>
      <c r="E303" s="135"/>
      <c r="F303" s="136"/>
      <c r="G303" s="58" t="str" cm="1">
        <f>IF(ISBLANK($A303),"",INDEX(Array_ElectricalCharges,MATCH($A303,List_ElectricityMeters,0),ROUNDUP(COLUMN()/3,0)-2))</f>
        <v/>
      </c>
      <c r="H303" s="127"/>
      <c r="I303" s="137"/>
      <c r="J303" s="58" t="str" cm="1">
        <f>IF(ISBLANK($A303),"",INDEX(Array_ElectricalCharges,MATCH($A303,List_ElectricityMeters,0),ROUNDUP(COLUMN()/3,0)-2))</f>
        <v/>
      </c>
      <c r="K303" s="127"/>
      <c r="L303" s="137"/>
      <c r="M303" s="58" t="str" cm="1">
        <f>IF(ISBLANK($A303),"",INDEX(Array_ElectricalCharges,MATCH($A303,List_ElectricityMeters,0),ROUNDUP(COLUMN()/3,0)-2))</f>
        <v/>
      </c>
      <c r="N303" s="127"/>
      <c r="O303" s="137"/>
      <c r="P303" s="58" t="str" cm="1">
        <f>IF(ISBLANK($A303),"",INDEX(Array_ElectricalCharges,MATCH($A303,List_ElectricityMeters,0),ROUNDUP(COLUMN()/3,0)-2))</f>
        <v/>
      </c>
      <c r="Q303" s="127"/>
      <c r="R303" s="137"/>
      <c r="S303" s="58" t="str" cm="1">
        <f>IF(ISBLANK($A303),"",INDEX(Array_ElectricalCharges,MATCH($A303,List_ElectricityMeters,0),ROUNDUP(COLUMN()/3,0)-2))</f>
        <v/>
      </c>
      <c r="T303" s="127"/>
      <c r="U303" s="137"/>
      <c r="V303" s="58" t="str" cm="1">
        <f>IF(ISBLANK($A303),"",INDEX(Array_ElectricalCharges,MATCH($A303,List_ElectricityMeters,0),ROUNDUP(COLUMN()/3,0)-2))</f>
        <v/>
      </c>
      <c r="W303" s="127"/>
      <c r="X303" s="137"/>
      <c r="Y303" s="58" t="str" cm="1">
        <f>IF(ISBLANK($A303),"",INDEX(Array_ElectricalCharges,MATCH($A303,List_ElectricityMeters,0),ROUNDUP(COLUMN()/3,0)-2))</f>
        <v/>
      </c>
      <c r="Z303" s="127"/>
      <c r="AA303" s="137"/>
      <c r="AB303" s="58" t="str" cm="1">
        <f>IF(ISBLANK($A303),"",INDEX(Array_ElectricalCharges,MATCH($A303,List_ElectricityMeters,0),ROUNDUP(COLUMN()/3,0)-2))</f>
        <v/>
      </c>
      <c r="AC303" s="127"/>
      <c r="AD303" s="137"/>
      <c r="AE303" s="58" t="str" cm="1">
        <f>IF(ISBLANK($A303),"",INDEX(Array_ElectricalCharges,MATCH($A303,List_ElectricityMeters,0),ROUNDUP(COLUMN()/3,0)-2))</f>
        <v/>
      </c>
      <c r="AF303" s="127"/>
      <c r="AG303" s="137"/>
      <c r="AH303" s="58" t="str" cm="1">
        <f>IF(ISBLANK($A303),"",INDEX(Array_ElectricalCharges,MATCH($A303,List_ElectricityMeters,0),ROUNDUP(COLUMN()/3,0)-2))</f>
        <v/>
      </c>
      <c r="AI303" s="127"/>
      <c r="AJ303" s="137"/>
      <c r="AK303" s="58" t="str" cm="1">
        <f>IF(ISBLANK($A303),"",INDEX(Array_ElectricalCharges,MATCH($A303,List_ElectricityMeters,0),ROUNDUP(COLUMN()/3,0)-2))</f>
        <v/>
      </c>
      <c r="AL303" s="127"/>
      <c r="AM303" s="137"/>
      <c r="AN303" s="58" t="str" cm="1">
        <f>IF(ISBLANK($A303),"",INDEX(Array_ElectricalCharges,MATCH($A303,List_ElectricityMeters,0),ROUNDUP(COLUMN()/3,0)-2))</f>
        <v/>
      </c>
      <c r="AO303" s="127"/>
      <c r="AP303" s="137"/>
      <c r="AQ303" s="58" t="str" cm="1">
        <f>IF(ISBLANK($A303),"",INDEX(Array_ElectricalCharges,MATCH($A303,List_ElectricityMeters,0),ROUNDUP(COLUMN()/3,0)-2))</f>
        <v/>
      </c>
      <c r="AR303" s="127"/>
      <c r="AS303" s="137"/>
      <c r="AT303" s="58" t="str" cm="1">
        <f>IF(ISBLANK($A303),"",INDEX(Array_ElectricalCharges,MATCH($A303,List_ElectricityMeters,0),ROUNDUP(COLUMN()/3,0)-2))</f>
        <v/>
      </c>
      <c r="AU303" s="127"/>
      <c r="AV303" s="137"/>
      <c r="AW303" s="58" t="str" cm="1">
        <f>IF(ISBLANK($A303),"",INDEX(Array_ElectricalCharges,MATCH($A303,List_ElectricityMeters,0),ROUNDUP(COLUMN()/3,0)-2))</f>
        <v/>
      </c>
      <c r="AX303" s="127"/>
      <c r="AY303" s="137"/>
    </row>
    <row r="304" spans="1:51" x14ac:dyDescent="0.3">
      <c r="A304" s="126"/>
      <c r="B304" s="133"/>
      <c r="C304" s="134"/>
      <c r="D304" s="134"/>
      <c r="E304" s="135"/>
      <c r="F304" s="136"/>
      <c r="G304" s="58" t="str" cm="1">
        <f>IF(ISBLANK($A304),"",INDEX(Array_ElectricalCharges,MATCH($A304,List_ElectricityMeters,0),ROUNDUP(COLUMN()/3,0)-2))</f>
        <v/>
      </c>
      <c r="H304" s="127"/>
      <c r="I304" s="137"/>
      <c r="J304" s="58" t="str" cm="1">
        <f>IF(ISBLANK($A304),"",INDEX(Array_ElectricalCharges,MATCH($A304,List_ElectricityMeters,0),ROUNDUP(COLUMN()/3,0)-2))</f>
        <v/>
      </c>
      <c r="K304" s="127"/>
      <c r="L304" s="137"/>
      <c r="M304" s="58" t="str" cm="1">
        <f>IF(ISBLANK($A304),"",INDEX(Array_ElectricalCharges,MATCH($A304,List_ElectricityMeters,0),ROUNDUP(COLUMN()/3,0)-2))</f>
        <v/>
      </c>
      <c r="N304" s="127"/>
      <c r="O304" s="137"/>
      <c r="P304" s="58" t="str" cm="1">
        <f>IF(ISBLANK($A304),"",INDEX(Array_ElectricalCharges,MATCH($A304,List_ElectricityMeters,0),ROUNDUP(COLUMN()/3,0)-2))</f>
        <v/>
      </c>
      <c r="Q304" s="127"/>
      <c r="R304" s="137"/>
      <c r="S304" s="58" t="str" cm="1">
        <f>IF(ISBLANK($A304),"",INDEX(Array_ElectricalCharges,MATCH($A304,List_ElectricityMeters,0),ROUNDUP(COLUMN()/3,0)-2))</f>
        <v/>
      </c>
      <c r="T304" s="127"/>
      <c r="U304" s="137"/>
      <c r="V304" s="58" t="str" cm="1">
        <f>IF(ISBLANK($A304),"",INDEX(Array_ElectricalCharges,MATCH($A304,List_ElectricityMeters,0),ROUNDUP(COLUMN()/3,0)-2))</f>
        <v/>
      </c>
      <c r="W304" s="127"/>
      <c r="X304" s="137"/>
      <c r="Y304" s="58" t="str" cm="1">
        <f>IF(ISBLANK($A304),"",INDEX(Array_ElectricalCharges,MATCH($A304,List_ElectricityMeters,0),ROUNDUP(COLUMN()/3,0)-2))</f>
        <v/>
      </c>
      <c r="Z304" s="127"/>
      <c r="AA304" s="137"/>
      <c r="AB304" s="58" t="str" cm="1">
        <f>IF(ISBLANK($A304),"",INDEX(Array_ElectricalCharges,MATCH($A304,List_ElectricityMeters,0),ROUNDUP(COLUMN()/3,0)-2))</f>
        <v/>
      </c>
      <c r="AC304" s="127"/>
      <c r="AD304" s="137"/>
      <c r="AE304" s="58" t="str" cm="1">
        <f>IF(ISBLANK($A304),"",INDEX(Array_ElectricalCharges,MATCH($A304,List_ElectricityMeters,0),ROUNDUP(COLUMN()/3,0)-2))</f>
        <v/>
      </c>
      <c r="AF304" s="127"/>
      <c r="AG304" s="137"/>
      <c r="AH304" s="58" t="str" cm="1">
        <f>IF(ISBLANK($A304),"",INDEX(Array_ElectricalCharges,MATCH($A304,List_ElectricityMeters,0),ROUNDUP(COLUMN()/3,0)-2))</f>
        <v/>
      </c>
      <c r="AI304" s="127"/>
      <c r="AJ304" s="137"/>
      <c r="AK304" s="58" t="str" cm="1">
        <f>IF(ISBLANK($A304),"",INDEX(Array_ElectricalCharges,MATCH($A304,List_ElectricityMeters,0),ROUNDUP(COLUMN()/3,0)-2))</f>
        <v/>
      </c>
      <c r="AL304" s="127"/>
      <c r="AM304" s="137"/>
      <c r="AN304" s="58" t="str" cm="1">
        <f>IF(ISBLANK($A304),"",INDEX(Array_ElectricalCharges,MATCH($A304,List_ElectricityMeters,0),ROUNDUP(COLUMN()/3,0)-2))</f>
        <v/>
      </c>
      <c r="AO304" s="127"/>
      <c r="AP304" s="137"/>
      <c r="AQ304" s="58" t="str" cm="1">
        <f>IF(ISBLANK($A304),"",INDEX(Array_ElectricalCharges,MATCH($A304,List_ElectricityMeters,0),ROUNDUP(COLUMN()/3,0)-2))</f>
        <v/>
      </c>
      <c r="AR304" s="127"/>
      <c r="AS304" s="137"/>
      <c r="AT304" s="58" t="str" cm="1">
        <f>IF(ISBLANK($A304),"",INDEX(Array_ElectricalCharges,MATCH($A304,List_ElectricityMeters,0),ROUNDUP(COLUMN()/3,0)-2))</f>
        <v/>
      </c>
      <c r="AU304" s="127"/>
      <c r="AV304" s="137"/>
      <c r="AW304" s="58" t="str" cm="1">
        <f>IF(ISBLANK($A304),"",INDEX(Array_ElectricalCharges,MATCH($A304,List_ElectricityMeters,0),ROUNDUP(COLUMN()/3,0)-2))</f>
        <v/>
      </c>
      <c r="AX304" s="127"/>
      <c r="AY304" s="137"/>
    </row>
    <row r="305" spans="1:51" x14ac:dyDescent="0.3">
      <c r="A305" s="126"/>
      <c r="B305" s="133"/>
      <c r="C305" s="134"/>
      <c r="D305" s="134"/>
      <c r="E305" s="135"/>
      <c r="F305" s="136"/>
      <c r="G305" s="58" t="str" cm="1">
        <f>IF(ISBLANK($A305),"",INDEX(Array_ElectricalCharges,MATCH($A305,List_ElectricityMeters,0),ROUNDUP(COLUMN()/3,0)-2))</f>
        <v/>
      </c>
      <c r="H305" s="127"/>
      <c r="I305" s="137"/>
      <c r="J305" s="58" t="str" cm="1">
        <f>IF(ISBLANK($A305),"",INDEX(Array_ElectricalCharges,MATCH($A305,List_ElectricityMeters,0),ROUNDUP(COLUMN()/3,0)-2))</f>
        <v/>
      </c>
      <c r="K305" s="127"/>
      <c r="L305" s="137"/>
      <c r="M305" s="58" t="str" cm="1">
        <f>IF(ISBLANK($A305),"",INDEX(Array_ElectricalCharges,MATCH($A305,List_ElectricityMeters,0),ROUNDUP(COLUMN()/3,0)-2))</f>
        <v/>
      </c>
      <c r="N305" s="127"/>
      <c r="O305" s="137"/>
      <c r="P305" s="58" t="str" cm="1">
        <f>IF(ISBLANK($A305),"",INDEX(Array_ElectricalCharges,MATCH($A305,List_ElectricityMeters,0),ROUNDUP(COLUMN()/3,0)-2))</f>
        <v/>
      </c>
      <c r="Q305" s="127"/>
      <c r="R305" s="137"/>
      <c r="S305" s="58" t="str" cm="1">
        <f>IF(ISBLANK($A305),"",INDEX(Array_ElectricalCharges,MATCH($A305,List_ElectricityMeters,0),ROUNDUP(COLUMN()/3,0)-2))</f>
        <v/>
      </c>
      <c r="T305" s="127"/>
      <c r="U305" s="137"/>
      <c r="V305" s="58" t="str" cm="1">
        <f>IF(ISBLANK($A305),"",INDEX(Array_ElectricalCharges,MATCH($A305,List_ElectricityMeters,0),ROUNDUP(COLUMN()/3,0)-2))</f>
        <v/>
      </c>
      <c r="W305" s="127"/>
      <c r="X305" s="137"/>
      <c r="Y305" s="58" t="str" cm="1">
        <f>IF(ISBLANK($A305),"",INDEX(Array_ElectricalCharges,MATCH($A305,List_ElectricityMeters,0),ROUNDUP(COLUMN()/3,0)-2))</f>
        <v/>
      </c>
      <c r="Z305" s="127"/>
      <c r="AA305" s="137"/>
      <c r="AB305" s="58" t="str" cm="1">
        <f>IF(ISBLANK($A305),"",INDEX(Array_ElectricalCharges,MATCH($A305,List_ElectricityMeters,0),ROUNDUP(COLUMN()/3,0)-2))</f>
        <v/>
      </c>
      <c r="AC305" s="127"/>
      <c r="AD305" s="137"/>
      <c r="AE305" s="58" t="str" cm="1">
        <f>IF(ISBLANK($A305),"",INDEX(Array_ElectricalCharges,MATCH($A305,List_ElectricityMeters,0),ROUNDUP(COLUMN()/3,0)-2))</f>
        <v/>
      </c>
      <c r="AF305" s="127"/>
      <c r="AG305" s="137"/>
      <c r="AH305" s="58" t="str" cm="1">
        <f>IF(ISBLANK($A305),"",INDEX(Array_ElectricalCharges,MATCH($A305,List_ElectricityMeters,0),ROUNDUP(COLUMN()/3,0)-2))</f>
        <v/>
      </c>
      <c r="AI305" s="127"/>
      <c r="AJ305" s="137"/>
      <c r="AK305" s="58" t="str" cm="1">
        <f>IF(ISBLANK($A305),"",INDEX(Array_ElectricalCharges,MATCH($A305,List_ElectricityMeters,0),ROUNDUP(COLUMN()/3,0)-2))</f>
        <v/>
      </c>
      <c r="AL305" s="127"/>
      <c r="AM305" s="137"/>
      <c r="AN305" s="58" t="str" cm="1">
        <f>IF(ISBLANK($A305),"",INDEX(Array_ElectricalCharges,MATCH($A305,List_ElectricityMeters,0),ROUNDUP(COLUMN()/3,0)-2))</f>
        <v/>
      </c>
      <c r="AO305" s="127"/>
      <c r="AP305" s="137"/>
      <c r="AQ305" s="58" t="str" cm="1">
        <f>IF(ISBLANK($A305),"",INDEX(Array_ElectricalCharges,MATCH($A305,List_ElectricityMeters,0),ROUNDUP(COLUMN()/3,0)-2))</f>
        <v/>
      </c>
      <c r="AR305" s="127"/>
      <c r="AS305" s="137"/>
      <c r="AT305" s="58" t="str" cm="1">
        <f>IF(ISBLANK($A305),"",INDEX(Array_ElectricalCharges,MATCH($A305,List_ElectricityMeters,0),ROUNDUP(COLUMN()/3,0)-2))</f>
        <v/>
      </c>
      <c r="AU305" s="127"/>
      <c r="AV305" s="137"/>
      <c r="AW305" s="58" t="str" cm="1">
        <f>IF(ISBLANK($A305),"",INDEX(Array_ElectricalCharges,MATCH($A305,List_ElectricityMeters,0),ROUNDUP(COLUMN()/3,0)-2))</f>
        <v/>
      </c>
      <c r="AX305" s="127"/>
      <c r="AY305" s="137"/>
    </row>
    <row r="306" spans="1:51" x14ac:dyDescent="0.3">
      <c r="A306" s="126"/>
      <c r="B306" s="133"/>
      <c r="C306" s="134"/>
      <c r="D306" s="134"/>
      <c r="E306" s="135"/>
      <c r="F306" s="136"/>
      <c r="G306" s="58" t="str" cm="1">
        <f>IF(ISBLANK($A306),"",INDEX(Array_ElectricalCharges,MATCH($A306,List_ElectricityMeters,0),ROUNDUP(COLUMN()/3,0)-2))</f>
        <v/>
      </c>
      <c r="H306" s="127"/>
      <c r="I306" s="137"/>
      <c r="J306" s="58" t="str" cm="1">
        <f>IF(ISBLANK($A306),"",INDEX(Array_ElectricalCharges,MATCH($A306,List_ElectricityMeters,0),ROUNDUP(COLUMN()/3,0)-2))</f>
        <v/>
      </c>
      <c r="K306" s="127"/>
      <c r="L306" s="137"/>
      <c r="M306" s="58" t="str" cm="1">
        <f>IF(ISBLANK($A306),"",INDEX(Array_ElectricalCharges,MATCH($A306,List_ElectricityMeters,0),ROUNDUP(COLUMN()/3,0)-2))</f>
        <v/>
      </c>
      <c r="N306" s="127"/>
      <c r="O306" s="137"/>
      <c r="P306" s="58" t="str" cm="1">
        <f>IF(ISBLANK($A306),"",INDEX(Array_ElectricalCharges,MATCH($A306,List_ElectricityMeters,0),ROUNDUP(COLUMN()/3,0)-2))</f>
        <v/>
      </c>
      <c r="Q306" s="127"/>
      <c r="R306" s="137"/>
      <c r="S306" s="58" t="str" cm="1">
        <f>IF(ISBLANK($A306),"",INDEX(Array_ElectricalCharges,MATCH($A306,List_ElectricityMeters,0),ROUNDUP(COLUMN()/3,0)-2))</f>
        <v/>
      </c>
      <c r="T306" s="127"/>
      <c r="U306" s="137"/>
      <c r="V306" s="58" t="str" cm="1">
        <f>IF(ISBLANK($A306),"",INDEX(Array_ElectricalCharges,MATCH($A306,List_ElectricityMeters,0),ROUNDUP(COLUMN()/3,0)-2))</f>
        <v/>
      </c>
      <c r="W306" s="127"/>
      <c r="X306" s="137"/>
      <c r="Y306" s="58" t="str" cm="1">
        <f>IF(ISBLANK($A306),"",INDEX(Array_ElectricalCharges,MATCH($A306,List_ElectricityMeters,0),ROUNDUP(COLUMN()/3,0)-2))</f>
        <v/>
      </c>
      <c r="Z306" s="127"/>
      <c r="AA306" s="137"/>
      <c r="AB306" s="58" t="str" cm="1">
        <f>IF(ISBLANK($A306),"",INDEX(Array_ElectricalCharges,MATCH($A306,List_ElectricityMeters,0),ROUNDUP(COLUMN()/3,0)-2))</f>
        <v/>
      </c>
      <c r="AC306" s="127"/>
      <c r="AD306" s="137"/>
      <c r="AE306" s="58" t="str" cm="1">
        <f>IF(ISBLANK($A306),"",INDEX(Array_ElectricalCharges,MATCH($A306,List_ElectricityMeters,0),ROUNDUP(COLUMN()/3,0)-2))</f>
        <v/>
      </c>
      <c r="AF306" s="127"/>
      <c r="AG306" s="137"/>
      <c r="AH306" s="58" t="str" cm="1">
        <f>IF(ISBLANK($A306),"",INDEX(Array_ElectricalCharges,MATCH($A306,List_ElectricityMeters,0),ROUNDUP(COLUMN()/3,0)-2))</f>
        <v/>
      </c>
      <c r="AI306" s="127"/>
      <c r="AJ306" s="137"/>
      <c r="AK306" s="58" t="str" cm="1">
        <f>IF(ISBLANK($A306),"",INDEX(Array_ElectricalCharges,MATCH($A306,List_ElectricityMeters,0),ROUNDUP(COLUMN()/3,0)-2))</f>
        <v/>
      </c>
      <c r="AL306" s="127"/>
      <c r="AM306" s="137"/>
      <c r="AN306" s="58" t="str" cm="1">
        <f>IF(ISBLANK($A306),"",INDEX(Array_ElectricalCharges,MATCH($A306,List_ElectricityMeters,0),ROUNDUP(COLUMN()/3,0)-2))</f>
        <v/>
      </c>
      <c r="AO306" s="127"/>
      <c r="AP306" s="137"/>
      <c r="AQ306" s="58" t="str" cm="1">
        <f>IF(ISBLANK($A306),"",INDEX(Array_ElectricalCharges,MATCH($A306,List_ElectricityMeters,0),ROUNDUP(COLUMN()/3,0)-2))</f>
        <v/>
      </c>
      <c r="AR306" s="127"/>
      <c r="AS306" s="137"/>
      <c r="AT306" s="58" t="str" cm="1">
        <f>IF(ISBLANK($A306),"",INDEX(Array_ElectricalCharges,MATCH($A306,List_ElectricityMeters,0),ROUNDUP(COLUMN()/3,0)-2))</f>
        <v/>
      </c>
      <c r="AU306" s="127"/>
      <c r="AV306" s="137"/>
      <c r="AW306" s="58" t="str" cm="1">
        <f>IF(ISBLANK($A306),"",INDEX(Array_ElectricalCharges,MATCH($A306,List_ElectricityMeters,0),ROUNDUP(COLUMN()/3,0)-2))</f>
        <v/>
      </c>
      <c r="AX306" s="127"/>
      <c r="AY306" s="137"/>
    </row>
    <row r="307" spans="1:51" x14ac:dyDescent="0.3">
      <c r="A307" s="126"/>
      <c r="B307" s="133"/>
      <c r="C307" s="134"/>
      <c r="D307" s="134"/>
      <c r="E307" s="135"/>
      <c r="F307" s="136"/>
      <c r="G307" s="58" t="str" cm="1">
        <f>IF(ISBLANK($A307),"",INDEX(Array_ElectricalCharges,MATCH($A307,List_ElectricityMeters,0),ROUNDUP(COLUMN()/3,0)-2))</f>
        <v/>
      </c>
      <c r="H307" s="127"/>
      <c r="I307" s="137"/>
      <c r="J307" s="58" t="str" cm="1">
        <f>IF(ISBLANK($A307),"",INDEX(Array_ElectricalCharges,MATCH($A307,List_ElectricityMeters,0),ROUNDUP(COLUMN()/3,0)-2))</f>
        <v/>
      </c>
      <c r="K307" s="127"/>
      <c r="L307" s="137"/>
      <c r="M307" s="58" t="str" cm="1">
        <f>IF(ISBLANK($A307),"",INDEX(Array_ElectricalCharges,MATCH($A307,List_ElectricityMeters,0),ROUNDUP(COLUMN()/3,0)-2))</f>
        <v/>
      </c>
      <c r="N307" s="127"/>
      <c r="O307" s="137"/>
      <c r="P307" s="58" t="str" cm="1">
        <f>IF(ISBLANK($A307),"",INDEX(Array_ElectricalCharges,MATCH($A307,List_ElectricityMeters,0),ROUNDUP(COLUMN()/3,0)-2))</f>
        <v/>
      </c>
      <c r="Q307" s="127"/>
      <c r="R307" s="137"/>
      <c r="S307" s="58" t="str" cm="1">
        <f>IF(ISBLANK($A307),"",INDEX(Array_ElectricalCharges,MATCH($A307,List_ElectricityMeters,0),ROUNDUP(COLUMN()/3,0)-2))</f>
        <v/>
      </c>
      <c r="T307" s="127"/>
      <c r="U307" s="137"/>
      <c r="V307" s="58" t="str" cm="1">
        <f>IF(ISBLANK($A307),"",INDEX(Array_ElectricalCharges,MATCH($A307,List_ElectricityMeters,0),ROUNDUP(COLUMN()/3,0)-2))</f>
        <v/>
      </c>
      <c r="W307" s="127"/>
      <c r="X307" s="137"/>
      <c r="Y307" s="58" t="str" cm="1">
        <f>IF(ISBLANK($A307),"",INDEX(Array_ElectricalCharges,MATCH($A307,List_ElectricityMeters,0),ROUNDUP(COLUMN()/3,0)-2))</f>
        <v/>
      </c>
      <c r="Z307" s="127"/>
      <c r="AA307" s="137"/>
      <c r="AB307" s="58" t="str" cm="1">
        <f>IF(ISBLANK($A307),"",INDEX(Array_ElectricalCharges,MATCH($A307,List_ElectricityMeters,0),ROUNDUP(COLUMN()/3,0)-2))</f>
        <v/>
      </c>
      <c r="AC307" s="127"/>
      <c r="AD307" s="137"/>
      <c r="AE307" s="58" t="str" cm="1">
        <f>IF(ISBLANK($A307),"",INDEX(Array_ElectricalCharges,MATCH($A307,List_ElectricityMeters,0),ROUNDUP(COLUMN()/3,0)-2))</f>
        <v/>
      </c>
      <c r="AF307" s="127"/>
      <c r="AG307" s="137"/>
      <c r="AH307" s="58" t="str" cm="1">
        <f>IF(ISBLANK($A307),"",INDEX(Array_ElectricalCharges,MATCH($A307,List_ElectricityMeters,0),ROUNDUP(COLUMN()/3,0)-2))</f>
        <v/>
      </c>
      <c r="AI307" s="127"/>
      <c r="AJ307" s="137"/>
      <c r="AK307" s="58" t="str" cm="1">
        <f>IF(ISBLANK($A307),"",INDEX(Array_ElectricalCharges,MATCH($A307,List_ElectricityMeters,0),ROUNDUP(COLUMN()/3,0)-2))</f>
        <v/>
      </c>
      <c r="AL307" s="127"/>
      <c r="AM307" s="137"/>
      <c r="AN307" s="58" t="str" cm="1">
        <f>IF(ISBLANK($A307),"",INDEX(Array_ElectricalCharges,MATCH($A307,List_ElectricityMeters,0),ROUNDUP(COLUMN()/3,0)-2))</f>
        <v/>
      </c>
      <c r="AO307" s="127"/>
      <c r="AP307" s="137"/>
      <c r="AQ307" s="58" t="str" cm="1">
        <f>IF(ISBLANK($A307),"",INDEX(Array_ElectricalCharges,MATCH($A307,List_ElectricityMeters,0),ROUNDUP(COLUMN()/3,0)-2))</f>
        <v/>
      </c>
      <c r="AR307" s="127"/>
      <c r="AS307" s="137"/>
      <c r="AT307" s="58" t="str" cm="1">
        <f>IF(ISBLANK($A307),"",INDEX(Array_ElectricalCharges,MATCH($A307,List_ElectricityMeters,0),ROUNDUP(COLUMN()/3,0)-2))</f>
        <v/>
      </c>
      <c r="AU307" s="127"/>
      <c r="AV307" s="137"/>
      <c r="AW307" s="58" t="str" cm="1">
        <f>IF(ISBLANK($A307),"",INDEX(Array_ElectricalCharges,MATCH($A307,List_ElectricityMeters,0),ROUNDUP(COLUMN()/3,0)-2))</f>
        <v/>
      </c>
      <c r="AX307" s="127"/>
      <c r="AY307" s="137"/>
    </row>
    <row r="308" spans="1:51" x14ac:dyDescent="0.3">
      <c r="A308" s="126"/>
      <c r="B308" s="133"/>
      <c r="C308" s="134"/>
      <c r="D308" s="134"/>
      <c r="E308" s="135"/>
      <c r="F308" s="136"/>
      <c r="G308" s="58" t="str" cm="1">
        <f>IF(ISBLANK($A308),"",INDEX(Array_ElectricalCharges,MATCH($A308,List_ElectricityMeters,0),ROUNDUP(COLUMN()/3,0)-2))</f>
        <v/>
      </c>
      <c r="H308" s="127"/>
      <c r="I308" s="137"/>
      <c r="J308" s="58" t="str" cm="1">
        <f>IF(ISBLANK($A308),"",INDEX(Array_ElectricalCharges,MATCH($A308,List_ElectricityMeters,0),ROUNDUP(COLUMN()/3,0)-2))</f>
        <v/>
      </c>
      <c r="K308" s="127"/>
      <c r="L308" s="137"/>
      <c r="M308" s="58" t="str" cm="1">
        <f>IF(ISBLANK($A308),"",INDEX(Array_ElectricalCharges,MATCH($A308,List_ElectricityMeters,0),ROUNDUP(COLUMN()/3,0)-2))</f>
        <v/>
      </c>
      <c r="N308" s="127"/>
      <c r="O308" s="137"/>
      <c r="P308" s="58" t="str" cm="1">
        <f>IF(ISBLANK($A308),"",INDEX(Array_ElectricalCharges,MATCH($A308,List_ElectricityMeters,0),ROUNDUP(COLUMN()/3,0)-2))</f>
        <v/>
      </c>
      <c r="Q308" s="127"/>
      <c r="R308" s="137"/>
      <c r="S308" s="58" t="str" cm="1">
        <f>IF(ISBLANK($A308),"",INDEX(Array_ElectricalCharges,MATCH($A308,List_ElectricityMeters,0),ROUNDUP(COLUMN()/3,0)-2))</f>
        <v/>
      </c>
      <c r="T308" s="127"/>
      <c r="U308" s="137"/>
      <c r="V308" s="58" t="str" cm="1">
        <f>IF(ISBLANK($A308),"",INDEX(Array_ElectricalCharges,MATCH($A308,List_ElectricityMeters,0),ROUNDUP(COLUMN()/3,0)-2))</f>
        <v/>
      </c>
      <c r="W308" s="127"/>
      <c r="X308" s="137"/>
      <c r="Y308" s="58" t="str" cm="1">
        <f>IF(ISBLANK($A308),"",INDEX(Array_ElectricalCharges,MATCH($A308,List_ElectricityMeters,0),ROUNDUP(COLUMN()/3,0)-2))</f>
        <v/>
      </c>
      <c r="Z308" s="127"/>
      <c r="AA308" s="137"/>
      <c r="AB308" s="58" t="str" cm="1">
        <f>IF(ISBLANK($A308),"",INDEX(Array_ElectricalCharges,MATCH($A308,List_ElectricityMeters,0),ROUNDUP(COLUMN()/3,0)-2))</f>
        <v/>
      </c>
      <c r="AC308" s="127"/>
      <c r="AD308" s="137"/>
      <c r="AE308" s="58" t="str" cm="1">
        <f>IF(ISBLANK($A308),"",INDEX(Array_ElectricalCharges,MATCH($A308,List_ElectricityMeters,0),ROUNDUP(COLUMN()/3,0)-2))</f>
        <v/>
      </c>
      <c r="AF308" s="127"/>
      <c r="AG308" s="137"/>
      <c r="AH308" s="58" t="str" cm="1">
        <f>IF(ISBLANK($A308),"",INDEX(Array_ElectricalCharges,MATCH($A308,List_ElectricityMeters,0),ROUNDUP(COLUMN()/3,0)-2))</f>
        <v/>
      </c>
      <c r="AI308" s="127"/>
      <c r="AJ308" s="137"/>
      <c r="AK308" s="58" t="str" cm="1">
        <f>IF(ISBLANK($A308),"",INDEX(Array_ElectricalCharges,MATCH($A308,List_ElectricityMeters,0),ROUNDUP(COLUMN()/3,0)-2))</f>
        <v/>
      </c>
      <c r="AL308" s="127"/>
      <c r="AM308" s="137"/>
      <c r="AN308" s="58" t="str" cm="1">
        <f>IF(ISBLANK($A308),"",INDEX(Array_ElectricalCharges,MATCH($A308,List_ElectricityMeters,0),ROUNDUP(COLUMN()/3,0)-2))</f>
        <v/>
      </c>
      <c r="AO308" s="127"/>
      <c r="AP308" s="137"/>
      <c r="AQ308" s="58" t="str" cm="1">
        <f>IF(ISBLANK($A308),"",INDEX(Array_ElectricalCharges,MATCH($A308,List_ElectricityMeters,0),ROUNDUP(COLUMN()/3,0)-2))</f>
        <v/>
      </c>
      <c r="AR308" s="127"/>
      <c r="AS308" s="137"/>
      <c r="AT308" s="58" t="str" cm="1">
        <f>IF(ISBLANK($A308),"",INDEX(Array_ElectricalCharges,MATCH($A308,List_ElectricityMeters,0),ROUNDUP(COLUMN()/3,0)-2))</f>
        <v/>
      </c>
      <c r="AU308" s="127"/>
      <c r="AV308" s="137"/>
      <c r="AW308" s="58" t="str" cm="1">
        <f>IF(ISBLANK($A308),"",INDEX(Array_ElectricalCharges,MATCH($A308,List_ElectricityMeters,0),ROUNDUP(COLUMN()/3,0)-2))</f>
        <v/>
      </c>
      <c r="AX308" s="127"/>
      <c r="AY308" s="137"/>
    </row>
    <row r="309" spans="1:51" x14ac:dyDescent="0.3">
      <c r="A309" s="126"/>
      <c r="B309" s="133"/>
      <c r="C309" s="134"/>
      <c r="D309" s="134"/>
      <c r="E309" s="135"/>
      <c r="F309" s="136"/>
      <c r="G309" s="58" t="str" cm="1">
        <f>IF(ISBLANK($A309),"",INDEX(Array_ElectricalCharges,MATCH($A309,List_ElectricityMeters,0),ROUNDUP(COLUMN()/3,0)-2))</f>
        <v/>
      </c>
      <c r="H309" s="127"/>
      <c r="I309" s="137"/>
      <c r="J309" s="58" t="str" cm="1">
        <f>IF(ISBLANK($A309),"",INDEX(Array_ElectricalCharges,MATCH($A309,List_ElectricityMeters,0),ROUNDUP(COLUMN()/3,0)-2))</f>
        <v/>
      </c>
      <c r="K309" s="127"/>
      <c r="L309" s="137"/>
      <c r="M309" s="58" t="str" cm="1">
        <f>IF(ISBLANK($A309),"",INDEX(Array_ElectricalCharges,MATCH($A309,List_ElectricityMeters,0),ROUNDUP(COLUMN()/3,0)-2))</f>
        <v/>
      </c>
      <c r="N309" s="127"/>
      <c r="O309" s="137"/>
      <c r="P309" s="58" t="str" cm="1">
        <f>IF(ISBLANK($A309),"",INDEX(Array_ElectricalCharges,MATCH($A309,List_ElectricityMeters,0),ROUNDUP(COLUMN()/3,0)-2))</f>
        <v/>
      </c>
      <c r="Q309" s="127"/>
      <c r="R309" s="137"/>
      <c r="S309" s="58" t="str" cm="1">
        <f>IF(ISBLANK($A309),"",INDEX(Array_ElectricalCharges,MATCH($A309,List_ElectricityMeters,0),ROUNDUP(COLUMN()/3,0)-2))</f>
        <v/>
      </c>
      <c r="T309" s="127"/>
      <c r="U309" s="137"/>
      <c r="V309" s="58" t="str" cm="1">
        <f>IF(ISBLANK($A309),"",INDEX(Array_ElectricalCharges,MATCH($A309,List_ElectricityMeters,0),ROUNDUP(COLUMN()/3,0)-2))</f>
        <v/>
      </c>
      <c r="W309" s="127"/>
      <c r="X309" s="137"/>
      <c r="Y309" s="58" t="str" cm="1">
        <f>IF(ISBLANK($A309),"",INDEX(Array_ElectricalCharges,MATCH($A309,List_ElectricityMeters,0),ROUNDUP(COLUMN()/3,0)-2))</f>
        <v/>
      </c>
      <c r="Z309" s="127"/>
      <c r="AA309" s="137"/>
      <c r="AB309" s="58" t="str" cm="1">
        <f>IF(ISBLANK($A309),"",INDEX(Array_ElectricalCharges,MATCH($A309,List_ElectricityMeters,0),ROUNDUP(COLUMN()/3,0)-2))</f>
        <v/>
      </c>
      <c r="AC309" s="127"/>
      <c r="AD309" s="137"/>
      <c r="AE309" s="58" t="str" cm="1">
        <f>IF(ISBLANK($A309),"",INDEX(Array_ElectricalCharges,MATCH($A309,List_ElectricityMeters,0),ROUNDUP(COLUMN()/3,0)-2))</f>
        <v/>
      </c>
      <c r="AF309" s="127"/>
      <c r="AG309" s="137"/>
      <c r="AH309" s="58" t="str" cm="1">
        <f>IF(ISBLANK($A309),"",INDEX(Array_ElectricalCharges,MATCH($A309,List_ElectricityMeters,0),ROUNDUP(COLUMN()/3,0)-2))</f>
        <v/>
      </c>
      <c r="AI309" s="127"/>
      <c r="AJ309" s="137"/>
      <c r="AK309" s="58" t="str" cm="1">
        <f>IF(ISBLANK($A309),"",INDEX(Array_ElectricalCharges,MATCH($A309,List_ElectricityMeters,0),ROUNDUP(COLUMN()/3,0)-2))</f>
        <v/>
      </c>
      <c r="AL309" s="127"/>
      <c r="AM309" s="137"/>
      <c r="AN309" s="58" t="str" cm="1">
        <f>IF(ISBLANK($A309),"",INDEX(Array_ElectricalCharges,MATCH($A309,List_ElectricityMeters,0),ROUNDUP(COLUMN()/3,0)-2))</f>
        <v/>
      </c>
      <c r="AO309" s="127"/>
      <c r="AP309" s="137"/>
      <c r="AQ309" s="58" t="str" cm="1">
        <f>IF(ISBLANK($A309),"",INDEX(Array_ElectricalCharges,MATCH($A309,List_ElectricityMeters,0),ROUNDUP(COLUMN()/3,0)-2))</f>
        <v/>
      </c>
      <c r="AR309" s="127"/>
      <c r="AS309" s="137"/>
      <c r="AT309" s="58" t="str" cm="1">
        <f>IF(ISBLANK($A309),"",INDEX(Array_ElectricalCharges,MATCH($A309,List_ElectricityMeters,0),ROUNDUP(COLUMN()/3,0)-2))</f>
        <v/>
      </c>
      <c r="AU309" s="127"/>
      <c r="AV309" s="137"/>
      <c r="AW309" s="58" t="str" cm="1">
        <f>IF(ISBLANK($A309),"",INDEX(Array_ElectricalCharges,MATCH($A309,List_ElectricityMeters,0),ROUNDUP(COLUMN()/3,0)-2))</f>
        <v/>
      </c>
      <c r="AX309" s="127"/>
      <c r="AY309" s="137"/>
    </row>
    <row r="310" spans="1:51" x14ac:dyDescent="0.3">
      <c r="A310" s="126"/>
      <c r="B310" s="133"/>
      <c r="C310" s="134"/>
      <c r="D310" s="134"/>
      <c r="E310" s="135"/>
      <c r="F310" s="136"/>
      <c r="G310" s="58" t="str" cm="1">
        <f>IF(ISBLANK($A310),"",INDEX(Array_ElectricalCharges,MATCH($A310,List_ElectricityMeters,0),ROUNDUP(COLUMN()/3,0)-2))</f>
        <v/>
      </c>
      <c r="H310" s="127"/>
      <c r="I310" s="137"/>
      <c r="J310" s="58" t="str" cm="1">
        <f>IF(ISBLANK($A310),"",INDEX(Array_ElectricalCharges,MATCH($A310,List_ElectricityMeters,0),ROUNDUP(COLUMN()/3,0)-2))</f>
        <v/>
      </c>
      <c r="K310" s="127"/>
      <c r="L310" s="137"/>
      <c r="M310" s="58" t="str" cm="1">
        <f>IF(ISBLANK($A310),"",INDEX(Array_ElectricalCharges,MATCH($A310,List_ElectricityMeters,0),ROUNDUP(COLUMN()/3,0)-2))</f>
        <v/>
      </c>
      <c r="N310" s="127"/>
      <c r="O310" s="137"/>
      <c r="P310" s="58" t="str" cm="1">
        <f>IF(ISBLANK($A310),"",INDEX(Array_ElectricalCharges,MATCH($A310,List_ElectricityMeters,0),ROUNDUP(COLUMN()/3,0)-2))</f>
        <v/>
      </c>
      <c r="Q310" s="127"/>
      <c r="R310" s="137"/>
      <c r="S310" s="58" t="str" cm="1">
        <f>IF(ISBLANK($A310),"",INDEX(Array_ElectricalCharges,MATCH($A310,List_ElectricityMeters,0),ROUNDUP(COLUMN()/3,0)-2))</f>
        <v/>
      </c>
      <c r="T310" s="127"/>
      <c r="U310" s="137"/>
      <c r="V310" s="58" t="str" cm="1">
        <f>IF(ISBLANK($A310),"",INDEX(Array_ElectricalCharges,MATCH($A310,List_ElectricityMeters,0),ROUNDUP(COLUMN()/3,0)-2))</f>
        <v/>
      </c>
      <c r="W310" s="127"/>
      <c r="X310" s="137"/>
      <c r="Y310" s="58" t="str" cm="1">
        <f>IF(ISBLANK($A310),"",INDEX(Array_ElectricalCharges,MATCH($A310,List_ElectricityMeters,0),ROUNDUP(COLUMN()/3,0)-2))</f>
        <v/>
      </c>
      <c r="Z310" s="127"/>
      <c r="AA310" s="137"/>
      <c r="AB310" s="58" t="str" cm="1">
        <f>IF(ISBLANK($A310),"",INDEX(Array_ElectricalCharges,MATCH($A310,List_ElectricityMeters,0),ROUNDUP(COLUMN()/3,0)-2))</f>
        <v/>
      </c>
      <c r="AC310" s="127"/>
      <c r="AD310" s="137"/>
      <c r="AE310" s="58" t="str" cm="1">
        <f>IF(ISBLANK($A310),"",INDEX(Array_ElectricalCharges,MATCH($A310,List_ElectricityMeters,0),ROUNDUP(COLUMN()/3,0)-2))</f>
        <v/>
      </c>
      <c r="AF310" s="127"/>
      <c r="AG310" s="137"/>
      <c r="AH310" s="58" t="str" cm="1">
        <f>IF(ISBLANK($A310),"",INDEX(Array_ElectricalCharges,MATCH($A310,List_ElectricityMeters,0),ROUNDUP(COLUMN()/3,0)-2))</f>
        <v/>
      </c>
      <c r="AI310" s="127"/>
      <c r="AJ310" s="137"/>
      <c r="AK310" s="58" t="str" cm="1">
        <f>IF(ISBLANK($A310),"",INDEX(Array_ElectricalCharges,MATCH($A310,List_ElectricityMeters,0),ROUNDUP(COLUMN()/3,0)-2))</f>
        <v/>
      </c>
      <c r="AL310" s="127"/>
      <c r="AM310" s="137"/>
      <c r="AN310" s="58" t="str" cm="1">
        <f>IF(ISBLANK($A310),"",INDEX(Array_ElectricalCharges,MATCH($A310,List_ElectricityMeters,0),ROUNDUP(COLUMN()/3,0)-2))</f>
        <v/>
      </c>
      <c r="AO310" s="127"/>
      <c r="AP310" s="137"/>
      <c r="AQ310" s="58" t="str" cm="1">
        <f>IF(ISBLANK($A310),"",INDEX(Array_ElectricalCharges,MATCH($A310,List_ElectricityMeters,0),ROUNDUP(COLUMN()/3,0)-2))</f>
        <v/>
      </c>
      <c r="AR310" s="127"/>
      <c r="AS310" s="137"/>
      <c r="AT310" s="58" t="str" cm="1">
        <f>IF(ISBLANK($A310),"",INDEX(Array_ElectricalCharges,MATCH($A310,List_ElectricityMeters,0),ROUNDUP(COLUMN()/3,0)-2))</f>
        <v/>
      </c>
      <c r="AU310" s="127"/>
      <c r="AV310" s="137"/>
      <c r="AW310" s="58" t="str" cm="1">
        <f>IF(ISBLANK($A310),"",INDEX(Array_ElectricalCharges,MATCH($A310,List_ElectricityMeters,0),ROUNDUP(COLUMN()/3,0)-2))</f>
        <v/>
      </c>
      <c r="AX310" s="127"/>
      <c r="AY310" s="137"/>
    </row>
    <row r="311" spans="1:51" x14ac:dyDescent="0.3">
      <c r="A311" s="126"/>
      <c r="B311" s="133"/>
      <c r="C311" s="134"/>
      <c r="D311" s="134"/>
      <c r="E311" s="135"/>
      <c r="F311" s="136"/>
      <c r="G311" s="58" t="str" cm="1">
        <f>IF(ISBLANK($A311),"",INDEX(Array_ElectricalCharges,MATCH($A311,List_ElectricityMeters,0),ROUNDUP(COLUMN()/3,0)-2))</f>
        <v/>
      </c>
      <c r="H311" s="127"/>
      <c r="I311" s="137"/>
      <c r="J311" s="58" t="str" cm="1">
        <f>IF(ISBLANK($A311),"",INDEX(Array_ElectricalCharges,MATCH($A311,List_ElectricityMeters,0),ROUNDUP(COLUMN()/3,0)-2))</f>
        <v/>
      </c>
      <c r="K311" s="127"/>
      <c r="L311" s="137"/>
      <c r="M311" s="58" t="str" cm="1">
        <f>IF(ISBLANK($A311),"",INDEX(Array_ElectricalCharges,MATCH($A311,List_ElectricityMeters,0),ROUNDUP(COLUMN()/3,0)-2))</f>
        <v/>
      </c>
      <c r="N311" s="127"/>
      <c r="O311" s="137"/>
      <c r="P311" s="58" t="str" cm="1">
        <f>IF(ISBLANK($A311),"",INDEX(Array_ElectricalCharges,MATCH($A311,List_ElectricityMeters,0),ROUNDUP(COLUMN()/3,0)-2))</f>
        <v/>
      </c>
      <c r="Q311" s="127"/>
      <c r="R311" s="137"/>
      <c r="S311" s="58" t="str" cm="1">
        <f>IF(ISBLANK($A311),"",INDEX(Array_ElectricalCharges,MATCH($A311,List_ElectricityMeters,0),ROUNDUP(COLUMN()/3,0)-2))</f>
        <v/>
      </c>
      <c r="T311" s="127"/>
      <c r="U311" s="137"/>
      <c r="V311" s="58" t="str" cm="1">
        <f>IF(ISBLANK($A311),"",INDEX(Array_ElectricalCharges,MATCH($A311,List_ElectricityMeters,0),ROUNDUP(COLUMN()/3,0)-2))</f>
        <v/>
      </c>
      <c r="W311" s="127"/>
      <c r="X311" s="137"/>
      <c r="Y311" s="58" t="str" cm="1">
        <f>IF(ISBLANK($A311),"",INDEX(Array_ElectricalCharges,MATCH($A311,List_ElectricityMeters,0),ROUNDUP(COLUMN()/3,0)-2))</f>
        <v/>
      </c>
      <c r="Z311" s="127"/>
      <c r="AA311" s="137"/>
      <c r="AB311" s="58" t="str" cm="1">
        <f>IF(ISBLANK($A311),"",INDEX(Array_ElectricalCharges,MATCH($A311,List_ElectricityMeters,0),ROUNDUP(COLUMN()/3,0)-2))</f>
        <v/>
      </c>
      <c r="AC311" s="127"/>
      <c r="AD311" s="137"/>
      <c r="AE311" s="58" t="str" cm="1">
        <f>IF(ISBLANK($A311),"",INDEX(Array_ElectricalCharges,MATCH($A311,List_ElectricityMeters,0),ROUNDUP(COLUMN()/3,0)-2))</f>
        <v/>
      </c>
      <c r="AF311" s="127"/>
      <c r="AG311" s="137"/>
      <c r="AH311" s="58" t="str" cm="1">
        <f>IF(ISBLANK($A311),"",INDEX(Array_ElectricalCharges,MATCH($A311,List_ElectricityMeters,0),ROUNDUP(COLUMN()/3,0)-2))</f>
        <v/>
      </c>
      <c r="AI311" s="127"/>
      <c r="AJ311" s="137"/>
      <c r="AK311" s="58" t="str" cm="1">
        <f>IF(ISBLANK($A311),"",INDEX(Array_ElectricalCharges,MATCH($A311,List_ElectricityMeters,0),ROUNDUP(COLUMN()/3,0)-2))</f>
        <v/>
      </c>
      <c r="AL311" s="127"/>
      <c r="AM311" s="137"/>
      <c r="AN311" s="58" t="str" cm="1">
        <f>IF(ISBLANK($A311),"",INDEX(Array_ElectricalCharges,MATCH($A311,List_ElectricityMeters,0),ROUNDUP(COLUMN()/3,0)-2))</f>
        <v/>
      </c>
      <c r="AO311" s="127"/>
      <c r="AP311" s="137"/>
      <c r="AQ311" s="58" t="str" cm="1">
        <f>IF(ISBLANK($A311),"",INDEX(Array_ElectricalCharges,MATCH($A311,List_ElectricityMeters,0),ROUNDUP(COLUMN()/3,0)-2))</f>
        <v/>
      </c>
      <c r="AR311" s="127"/>
      <c r="AS311" s="137"/>
      <c r="AT311" s="58" t="str" cm="1">
        <f>IF(ISBLANK($A311),"",INDEX(Array_ElectricalCharges,MATCH($A311,List_ElectricityMeters,0),ROUNDUP(COLUMN()/3,0)-2))</f>
        <v/>
      </c>
      <c r="AU311" s="127"/>
      <c r="AV311" s="137"/>
      <c r="AW311" s="58" t="str" cm="1">
        <f>IF(ISBLANK($A311),"",INDEX(Array_ElectricalCharges,MATCH($A311,List_ElectricityMeters,0),ROUNDUP(COLUMN()/3,0)-2))</f>
        <v/>
      </c>
      <c r="AX311" s="127"/>
      <c r="AY311" s="137"/>
    </row>
    <row r="312" spans="1:51" x14ac:dyDescent="0.3">
      <c r="A312" s="126"/>
      <c r="B312" s="133"/>
      <c r="C312" s="134"/>
      <c r="D312" s="134"/>
      <c r="E312" s="135"/>
      <c r="F312" s="136"/>
      <c r="G312" s="58" t="str" cm="1">
        <f>IF(ISBLANK($A312),"",INDEX(Array_ElectricalCharges,MATCH($A312,List_ElectricityMeters,0),ROUNDUP(COLUMN()/3,0)-2))</f>
        <v/>
      </c>
      <c r="H312" s="127"/>
      <c r="I312" s="137"/>
      <c r="J312" s="58" t="str" cm="1">
        <f>IF(ISBLANK($A312),"",INDEX(Array_ElectricalCharges,MATCH($A312,List_ElectricityMeters,0),ROUNDUP(COLUMN()/3,0)-2))</f>
        <v/>
      </c>
      <c r="K312" s="127"/>
      <c r="L312" s="137"/>
      <c r="M312" s="58" t="str" cm="1">
        <f>IF(ISBLANK($A312),"",INDEX(Array_ElectricalCharges,MATCH($A312,List_ElectricityMeters,0),ROUNDUP(COLUMN()/3,0)-2))</f>
        <v/>
      </c>
      <c r="N312" s="127"/>
      <c r="O312" s="137"/>
      <c r="P312" s="58" t="str" cm="1">
        <f>IF(ISBLANK($A312),"",INDEX(Array_ElectricalCharges,MATCH($A312,List_ElectricityMeters,0),ROUNDUP(COLUMN()/3,0)-2))</f>
        <v/>
      </c>
      <c r="Q312" s="127"/>
      <c r="R312" s="137"/>
      <c r="S312" s="58" t="str" cm="1">
        <f>IF(ISBLANK($A312),"",INDEX(Array_ElectricalCharges,MATCH($A312,List_ElectricityMeters,0),ROUNDUP(COLUMN()/3,0)-2))</f>
        <v/>
      </c>
      <c r="T312" s="127"/>
      <c r="U312" s="137"/>
      <c r="V312" s="58" t="str" cm="1">
        <f>IF(ISBLANK($A312),"",INDEX(Array_ElectricalCharges,MATCH($A312,List_ElectricityMeters,0),ROUNDUP(COLUMN()/3,0)-2))</f>
        <v/>
      </c>
      <c r="W312" s="127"/>
      <c r="X312" s="137"/>
      <c r="Y312" s="58" t="str" cm="1">
        <f>IF(ISBLANK($A312),"",INDEX(Array_ElectricalCharges,MATCH($A312,List_ElectricityMeters,0),ROUNDUP(COLUMN()/3,0)-2))</f>
        <v/>
      </c>
      <c r="Z312" s="127"/>
      <c r="AA312" s="137"/>
      <c r="AB312" s="58" t="str" cm="1">
        <f>IF(ISBLANK($A312),"",INDEX(Array_ElectricalCharges,MATCH($A312,List_ElectricityMeters,0),ROUNDUP(COLUMN()/3,0)-2))</f>
        <v/>
      </c>
      <c r="AC312" s="127"/>
      <c r="AD312" s="137"/>
      <c r="AE312" s="58" t="str" cm="1">
        <f>IF(ISBLANK($A312),"",INDEX(Array_ElectricalCharges,MATCH($A312,List_ElectricityMeters,0),ROUNDUP(COLUMN()/3,0)-2))</f>
        <v/>
      </c>
      <c r="AF312" s="127"/>
      <c r="AG312" s="137"/>
      <c r="AH312" s="58" t="str" cm="1">
        <f>IF(ISBLANK($A312),"",INDEX(Array_ElectricalCharges,MATCH($A312,List_ElectricityMeters,0),ROUNDUP(COLUMN()/3,0)-2))</f>
        <v/>
      </c>
      <c r="AI312" s="127"/>
      <c r="AJ312" s="137"/>
      <c r="AK312" s="58" t="str" cm="1">
        <f>IF(ISBLANK($A312),"",INDEX(Array_ElectricalCharges,MATCH($A312,List_ElectricityMeters,0),ROUNDUP(COLUMN()/3,0)-2))</f>
        <v/>
      </c>
      <c r="AL312" s="127"/>
      <c r="AM312" s="137"/>
      <c r="AN312" s="58" t="str" cm="1">
        <f>IF(ISBLANK($A312),"",INDEX(Array_ElectricalCharges,MATCH($A312,List_ElectricityMeters,0),ROUNDUP(COLUMN()/3,0)-2))</f>
        <v/>
      </c>
      <c r="AO312" s="127"/>
      <c r="AP312" s="137"/>
      <c r="AQ312" s="58" t="str" cm="1">
        <f>IF(ISBLANK($A312),"",INDEX(Array_ElectricalCharges,MATCH($A312,List_ElectricityMeters,0),ROUNDUP(COLUMN()/3,0)-2))</f>
        <v/>
      </c>
      <c r="AR312" s="127"/>
      <c r="AS312" s="137"/>
      <c r="AT312" s="58" t="str" cm="1">
        <f>IF(ISBLANK($A312),"",INDEX(Array_ElectricalCharges,MATCH($A312,List_ElectricityMeters,0),ROUNDUP(COLUMN()/3,0)-2))</f>
        <v/>
      </c>
      <c r="AU312" s="127"/>
      <c r="AV312" s="137"/>
      <c r="AW312" s="58" t="str" cm="1">
        <f>IF(ISBLANK($A312),"",INDEX(Array_ElectricalCharges,MATCH($A312,List_ElectricityMeters,0),ROUNDUP(COLUMN()/3,0)-2))</f>
        <v/>
      </c>
      <c r="AX312" s="127"/>
      <c r="AY312" s="137"/>
    </row>
    <row r="313" spans="1:51" x14ac:dyDescent="0.3">
      <c r="A313" s="126"/>
      <c r="B313" s="133"/>
      <c r="C313" s="134"/>
      <c r="D313" s="134"/>
      <c r="E313" s="135"/>
      <c r="F313" s="136"/>
      <c r="G313" s="58" t="str" cm="1">
        <f>IF(ISBLANK($A313),"",INDEX(Array_ElectricalCharges,MATCH($A313,List_ElectricityMeters,0),ROUNDUP(COLUMN()/3,0)-2))</f>
        <v/>
      </c>
      <c r="H313" s="127"/>
      <c r="I313" s="137"/>
      <c r="J313" s="58" t="str" cm="1">
        <f>IF(ISBLANK($A313),"",INDEX(Array_ElectricalCharges,MATCH($A313,List_ElectricityMeters,0),ROUNDUP(COLUMN()/3,0)-2))</f>
        <v/>
      </c>
      <c r="K313" s="127"/>
      <c r="L313" s="137"/>
      <c r="M313" s="58" t="str" cm="1">
        <f>IF(ISBLANK($A313),"",INDEX(Array_ElectricalCharges,MATCH($A313,List_ElectricityMeters,0),ROUNDUP(COLUMN()/3,0)-2))</f>
        <v/>
      </c>
      <c r="N313" s="127"/>
      <c r="O313" s="137"/>
      <c r="P313" s="58" t="str" cm="1">
        <f>IF(ISBLANK($A313),"",INDEX(Array_ElectricalCharges,MATCH($A313,List_ElectricityMeters,0),ROUNDUP(COLUMN()/3,0)-2))</f>
        <v/>
      </c>
      <c r="Q313" s="127"/>
      <c r="R313" s="137"/>
      <c r="S313" s="58" t="str" cm="1">
        <f>IF(ISBLANK($A313),"",INDEX(Array_ElectricalCharges,MATCH($A313,List_ElectricityMeters,0),ROUNDUP(COLUMN()/3,0)-2))</f>
        <v/>
      </c>
      <c r="T313" s="127"/>
      <c r="U313" s="137"/>
      <c r="V313" s="58" t="str" cm="1">
        <f>IF(ISBLANK($A313),"",INDEX(Array_ElectricalCharges,MATCH($A313,List_ElectricityMeters,0),ROUNDUP(COLUMN()/3,0)-2))</f>
        <v/>
      </c>
      <c r="W313" s="127"/>
      <c r="X313" s="137"/>
      <c r="Y313" s="58" t="str" cm="1">
        <f>IF(ISBLANK($A313),"",INDEX(Array_ElectricalCharges,MATCH($A313,List_ElectricityMeters,0),ROUNDUP(COLUMN()/3,0)-2))</f>
        <v/>
      </c>
      <c r="Z313" s="127"/>
      <c r="AA313" s="137"/>
      <c r="AB313" s="58" t="str" cm="1">
        <f>IF(ISBLANK($A313),"",INDEX(Array_ElectricalCharges,MATCH($A313,List_ElectricityMeters,0),ROUNDUP(COLUMN()/3,0)-2))</f>
        <v/>
      </c>
      <c r="AC313" s="127"/>
      <c r="AD313" s="137"/>
      <c r="AE313" s="58" t="str" cm="1">
        <f>IF(ISBLANK($A313),"",INDEX(Array_ElectricalCharges,MATCH($A313,List_ElectricityMeters,0),ROUNDUP(COLUMN()/3,0)-2))</f>
        <v/>
      </c>
      <c r="AF313" s="127"/>
      <c r="AG313" s="137"/>
      <c r="AH313" s="58" t="str" cm="1">
        <f>IF(ISBLANK($A313),"",INDEX(Array_ElectricalCharges,MATCH($A313,List_ElectricityMeters,0),ROUNDUP(COLUMN()/3,0)-2))</f>
        <v/>
      </c>
      <c r="AI313" s="127"/>
      <c r="AJ313" s="137"/>
      <c r="AK313" s="58" t="str" cm="1">
        <f>IF(ISBLANK($A313),"",INDEX(Array_ElectricalCharges,MATCH($A313,List_ElectricityMeters,0),ROUNDUP(COLUMN()/3,0)-2))</f>
        <v/>
      </c>
      <c r="AL313" s="127"/>
      <c r="AM313" s="137"/>
      <c r="AN313" s="58" t="str" cm="1">
        <f>IF(ISBLANK($A313),"",INDEX(Array_ElectricalCharges,MATCH($A313,List_ElectricityMeters,0),ROUNDUP(COLUMN()/3,0)-2))</f>
        <v/>
      </c>
      <c r="AO313" s="127"/>
      <c r="AP313" s="137"/>
      <c r="AQ313" s="58" t="str" cm="1">
        <f>IF(ISBLANK($A313),"",INDEX(Array_ElectricalCharges,MATCH($A313,List_ElectricityMeters,0),ROUNDUP(COLUMN()/3,0)-2))</f>
        <v/>
      </c>
      <c r="AR313" s="127"/>
      <c r="AS313" s="137"/>
      <c r="AT313" s="58" t="str" cm="1">
        <f>IF(ISBLANK($A313),"",INDEX(Array_ElectricalCharges,MATCH($A313,List_ElectricityMeters,0),ROUNDUP(COLUMN()/3,0)-2))</f>
        <v/>
      </c>
      <c r="AU313" s="127"/>
      <c r="AV313" s="137"/>
      <c r="AW313" s="58" t="str" cm="1">
        <f>IF(ISBLANK($A313),"",INDEX(Array_ElectricalCharges,MATCH($A313,List_ElectricityMeters,0),ROUNDUP(COLUMN()/3,0)-2))</f>
        <v/>
      </c>
      <c r="AX313" s="127"/>
      <c r="AY313" s="137"/>
    </row>
    <row r="314" spans="1:51" x14ac:dyDescent="0.3">
      <c r="A314" s="126"/>
      <c r="B314" s="133"/>
      <c r="C314" s="134"/>
      <c r="D314" s="134"/>
      <c r="E314" s="135"/>
      <c r="F314" s="136"/>
      <c r="G314" s="58" t="str" cm="1">
        <f>IF(ISBLANK($A314),"",INDEX(Array_ElectricalCharges,MATCH($A314,List_ElectricityMeters,0),ROUNDUP(COLUMN()/3,0)-2))</f>
        <v/>
      </c>
      <c r="H314" s="127"/>
      <c r="I314" s="137"/>
      <c r="J314" s="58" t="str" cm="1">
        <f>IF(ISBLANK($A314),"",INDEX(Array_ElectricalCharges,MATCH($A314,List_ElectricityMeters,0),ROUNDUP(COLUMN()/3,0)-2))</f>
        <v/>
      </c>
      <c r="K314" s="127"/>
      <c r="L314" s="137"/>
      <c r="M314" s="58" t="str" cm="1">
        <f>IF(ISBLANK($A314),"",INDEX(Array_ElectricalCharges,MATCH($A314,List_ElectricityMeters,0),ROUNDUP(COLUMN()/3,0)-2))</f>
        <v/>
      </c>
      <c r="N314" s="127"/>
      <c r="O314" s="137"/>
      <c r="P314" s="58" t="str" cm="1">
        <f>IF(ISBLANK($A314),"",INDEX(Array_ElectricalCharges,MATCH($A314,List_ElectricityMeters,0),ROUNDUP(COLUMN()/3,0)-2))</f>
        <v/>
      </c>
      <c r="Q314" s="127"/>
      <c r="R314" s="137"/>
      <c r="S314" s="58" t="str" cm="1">
        <f>IF(ISBLANK($A314),"",INDEX(Array_ElectricalCharges,MATCH($A314,List_ElectricityMeters,0),ROUNDUP(COLUMN()/3,0)-2))</f>
        <v/>
      </c>
      <c r="T314" s="127"/>
      <c r="U314" s="137"/>
      <c r="V314" s="58" t="str" cm="1">
        <f>IF(ISBLANK($A314),"",INDEX(Array_ElectricalCharges,MATCH($A314,List_ElectricityMeters,0),ROUNDUP(COLUMN()/3,0)-2))</f>
        <v/>
      </c>
      <c r="W314" s="127"/>
      <c r="X314" s="137"/>
      <c r="Y314" s="58" t="str" cm="1">
        <f>IF(ISBLANK($A314),"",INDEX(Array_ElectricalCharges,MATCH($A314,List_ElectricityMeters,0),ROUNDUP(COLUMN()/3,0)-2))</f>
        <v/>
      </c>
      <c r="Z314" s="127"/>
      <c r="AA314" s="137"/>
      <c r="AB314" s="58" t="str" cm="1">
        <f>IF(ISBLANK($A314),"",INDEX(Array_ElectricalCharges,MATCH($A314,List_ElectricityMeters,0),ROUNDUP(COLUMN()/3,0)-2))</f>
        <v/>
      </c>
      <c r="AC314" s="127"/>
      <c r="AD314" s="137"/>
      <c r="AE314" s="58" t="str" cm="1">
        <f>IF(ISBLANK($A314),"",INDEX(Array_ElectricalCharges,MATCH($A314,List_ElectricityMeters,0),ROUNDUP(COLUMN()/3,0)-2))</f>
        <v/>
      </c>
      <c r="AF314" s="127"/>
      <c r="AG314" s="137"/>
      <c r="AH314" s="58" t="str" cm="1">
        <f>IF(ISBLANK($A314),"",INDEX(Array_ElectricalCharges,MATCH($A314,List_ElectricityMeters,0),ROUNDUP(COLUMN()/3,0)-2))</f>
        <v/>
      </c>
      <c r="AI314" s="127"/>
      <c r="AJ314" s="137"/>
      <c r="AK314" s="58" t="str" cm="1">
        <f>IF(ISBLANK($A314),"",INDEX(Array_ElectricalCharges,MATCH($A314,List_ElectricityMeters,0),ROUNDUP(COLUMN()/3,0)-2))</f>
        <v/>
      </c>
      <c r="AL314" s="127"/>
      <c r="AM314" s="137"/>
      <c r="AN314" s="58" t="str" cm="1">
        <f>IF(ISBLANK($A314),"",INDEX(Array_ElectricalCharges,MATCH($A314,List_ElectricityMeters,0),ROUNDUP(COLUMN()/3,0)-2))</f>
        <v/>
      </c>
      <c r="AO314" s="127"/>
      <c r="AP314" s="137"/>
      <c r="AQ314" s="58" t="str" cm="1">
        <f>IF(ISBLANK($A314),"",INDEX(Array_ElectricalCharges,MATCH($A314,List_ElectricityMeters,0),ROUNDUP(COLUMN()/3,0)-2))</f>
        <v/>
      </c>
      <c r="AR314" s="127"/>
      <c r="AS314" s="137"/>
      <c r="AT314" s="58" t="str" cm="1">
        <f>IF(ISBLANK($A314),"",INDEX(Array_ElectricalCharges,MATCH($A314,List_ElectricityMeters,0),ROUNDUP(COLUMN()/3,0)-2))</f>
        <v/>
      </c>
      <c r="AU314" s="127"/>
      <c r="AV314" s="137"/>
      <c r="AW314" s="58" t="str" cm="1">
        <f>IF(ISBLANK($A314),"",INDEX(Array_ElectricalCharges,MATCH($A314,List_ElectricityMeters,0),ROUNDUP(COLUMN()/3,0)-2))</f>
        <v/>
      </c>
      <c r="AX314" s="127"/>
      <c r="AY314" s="137"/>
    </row>
    <row r="315" spans="1:51" x14ac:dyDescent="0.3">
      <c r="A315" s="126"/>
      <c r="B315" s="133"/>
      <c r="C315" s="134"/>
      <c r="D315" s="134"/>
      <c r="E315" s="135"/>
      <c r="F315" s="136"/>
      <c r="G315" s="58" t="str" cm="1">
        <f>IF(ISBLANK($A315),"",INDEX(Array_ElectricalCharges,MATCH($A315,List_ElectricityMeters,0),ROUNDUP(COLUMN()/3,0)-2))</f>
        <v/>
      </c>
      <c r="H315" s="127"/>
      <c r="I315" s="137"/>
      <c r="J315" s="58" t="str" cm="1">
        <f>IF(ISBLANK($A315),"",INDEX(Array_ElectricalCharges,MATCH($A315,List_ElectricityMeters,0),ROUNDUP(COLUMN()/3,0)-2))</f>
        <v/>
      </c>
      <c r="K315" s="127"/>
      <c r="L315" s="137"/>
      <c r="M315" s="58" t="str" cm="1">
        <f>IF(ISBLANK($A315),"",INDEX(Array_ElectricalCharges,MATCH($A315,List_ElectricityMeters,0),ROUNDUP(COLUMN()/3,0)-2))</f>
        <v/>
      </c>
      <c r="N315" s="127"/>
      <c r="O315" s="137"/>
      <c r="P315" s="58" t="str" cm="1">
        <f>IF(ISBLANK($A315),"",INDEX(Array_ElectricalCharges,MATCH($A315,List_ElectricityMeters,0),ROUNDUP(COLUMN()/3,0)-2))</f>
        <v/>
      </c>
      <c r="Q315" s="127"/>
      <c r="R315" s="137"/>
      <c r="S315" s="58" t="str" cm="1">
        <f>IF(ISBLANK($A315),"",INDEX(Array_ElectricalCharges,MATCH($A315,List_ElectricityMeters,0),ROUNDUP(COLUMN()/3,0)-2))</f>
        <v/>
      </c>
      <c r="T315" s="127"/>
      <c r="U315" s="137"/>
      <c r="V315" s="58" t="str" cm="1">
        <f>IF(ISBLANK($A315),"",INDEX(Array_ElectricalCharges,MATCH($A315,List_ElectricityMeters,0),ROUNDUP(COLUMN()/3,0)-2))</f>
        <v/>
      </c>
      <c r="W315" s="127"/>
      <c r="X315" s="137"/>
      <c r="Y315" s="58" t="str" cm="1">
        <f>IF(ISBLANK($A315),"",INDEX(Array_ElectricalCharges,MATCH($A315,List_ElectricityMeters,0),ROUNDUP(COLUMN()/3,0)-2))</f>
        <v/>
      </c>
      <c r="Z315" s="127"/>
      <c r="AA315" s="137"/>
      <c r="AB315" s="58" t="str" cm="1">
        <f>IF(ISBLANK($A315),"",INDEX(Array_ElectricalCharges,MATCH($A315,List_ElectricityMeters,0),ROUNDUP(COLUMN()/3,0)-2))</f>
        <v/>
      </c>
      <c r="AC315" s="127"/>
      <c r="AD315" s="137"/>
      <c r="AE315" s="58" t="str" cm="1">
        <f>IF(ISBLANK($A315),"",INDEX(Array_ElectricalCharges,MATCH($A315,List_ElectricityMeters,0),ROUNDUP(COLUMN()/3,0)-2))</f>
        <v/>
      </c>
      <c r="AF315" s="127"/>
      <c r="AG315" s="137"/>
      <c r="AH315" s="58" t="str" cm="1">
        <f>IF(ISBLANK($A315),"",INDEX(Array_ElectricalCharges,MATCH($A315,List_ElectricityMeters,0),ROUNDUP(COLUMN()/3,0)-2))</f>
        <v/>
      </c>
      <c r="AI315" s="127"/>
      <c r="AJ315" s="137"/>
      <c r="AK315" s="58" t="str" cm="1">
        <f>IF(ISBLANK($A315),"",INDEX(Array_ElectricalCharges,MATCH($A315,List_ElectricityMeters,0),ROUNDUP(COLUMN()/3,0)-2))</f>
        <v/>
      </c>
      <c r="AL315" s="127"/>
      <c r="AM315" s="137"/>
      <c r="AN315" s="58" t="str" cm="1">
        <f>IF(ISBLANK($A315),"",INDEX(Array_ElectricalCharges,MATCH($A315,List_ElectricityMeters,0),ROUNDUP(COLUMN()/3,0)-2))</f>
        <v/>
      </c>
      <c r="AO315" s="127"/>
      <c r="AP315" s="137"/>
      <c r="AQ315" s="58" t="str" cm="1">
        <f>IF(ISBLANK($A315),"",INDEX(Array_ElectricalCharges,MATCH($A315,List_ElectricityMeters,0),ROUNDUP(COLUMN()/3,0)-2))</f>
        <v/>
      </c>
      <c r="AR315" s="127"/>
      <c r="AS315" s="137"/>
      <c r="AT315" s="58" t="str" cm="1">
        <f>IF(ISBLANK($A315),"",INDEX(Array_ElectricalCharges,MATCH($A315,List_ElectricityMeters,0),ROUNDUP(COLUMN()/3,0)-2))</f>
        <v/>
      </c>
      <c r="AU315" s="127"/>
      <c r="AV315" s="137"/>
      <c r="AW315" s="58" t="str" cm="1">
        <f>IF(ISBLANK($A315),"",INDEX(Array_ElectricalCharges,MATCH($A315,List_ElectricityMeters,0),ROUNDUP(COLUMN()/3,0)-2))</f>
        <v/>
      </c>
      <c r="AX315" s="127"/>
      <c r="AY315" s="137"/>
    </row>
    <row r="316" spans="1:51" x14ac:dyDescent="0.3">
      <c r="A316" s="126"/>
      <c r="B316" s="133"/>
      <c r="C316" s="134"/>
      <c r="D316" s="134"/>
      <c r="E316" s="135"/>
      <c r="F316" s="136"/>
      <c r="G316" s="58" t="str" cm="1">
        <f>IF(ISBLANK($A316),"",INDEX(Array_ElectricalCharges,MATCH($A316,List_ElectricityMeters,0),ROUNDUP(COLUMN()/3,0)-2))</f>
        <v/>
      </c>
      <c r="H316" s="127"/>
      <c r="I316" s="137"/>
      <c r="J316" s="58" t="str" cm="1">
        <f>IF(ISBLANK($A316),"",INDEX(Array_ElectricalCharges,MATCH($A316,List_ElectricityMeters,0),ROUNDUP(COLUMN()/3,0)-2))</f>
        <v/>
      </c>
      <c r="K316" s="127"/>
      <c r="L316" s="137"/>
      <c r="M316" s="58" t="str" cm="1">
        <f>IF(ISBLANK($A316),"",INDEX(Array_ElectricalCharges,MATCH($A316,List_ElectricityMeters,0),ROUNDUP(COLUMN()/3,0)-2))</f>
        <v/>
      </c>
      <c r="N316" s="127"/>
      <c r="O316" s="137"/>
      <c r="P316" s="58" t="str" cm="1">
        <f>IF(ISBLANK($A316),"",INDEX(Array_ElectricalCharges,MATCH($A316,List_ElectricityMeters,0),ROUNDUP(COLUMN()/3,0)-2))</f>
        <v/>
      </c>
      <c r="Q316" s="127"/>
      <c r="R316" s="137"/>
      <c r="S316" s="58" t="str" cm="1">
        <f>IF(ISBLANK($A316),"",INDEX(Array_ElectricalCharges,MATCH($A316,List_ElectricityMeters,0),ROUNDUP(COLUMN()/3,0)-2))</f>
        <v/>
      </c>
      <c r="T316" s="127"/>
      <c r="U316" s="137"/>
      <c r="V316" s="58" t="str" cm="1">
        <f>IF(ISBLANK($A316),"",INDEX(Array_ElectricalCharges,MATCH($A316,List_ElectricityMeters,0),ROUNDUP(COLUMN()/3,0)-2))</f>
        <v/>
      </c>
      <c r="W316" s="127"/>
      <c r="X316" s="137"/>
      <c r="Y316" s="58" t="str" cm="1">
        <f>IF(ISBLANK($A316),"",INDEX(Array_ElectricalCharges,MATCH($A316,List_ElectricityMeters,0),ROUNDUP(COLUMN()/3,0)-2))</f>
        <v/>
      </c>
      <c r="Z316" s="127"/>
      <c r="AA316" s="137"/>
      <c r="AB316" s="58" t="str" cm="1">
        <f>IF(ISBLANK($A316),"",INDEX(Array_ElectricalCharges,MATCH($A316,List_ElectricityMeters,0),ROUNDUP(COLUMN()/3,0)-2))</f>
        <v/>
      </c>
      <c r="AC316" s="127"/>
      <c r="AD316" s="137"/>
      <c r="AE316" s="58" t="str" cm="1">
        <f>IF(ISBLANK($A316),"",INDEX(Array_ElectricalCharges,MATCH($A316,List_ElectricityMeters,0),ROUNDUP(COLUMN()/3,0)-2))</f>
        <v/>
      </c>
      <c r="AF316" s="127"/>
      <c r="AG316" s="137"/>
      <c r="AH316" s="58" t="str" cm="1">
        <f>IF(ISBLANK($A316),"",INDEX(Array_ElectricalCharges,MATCH($A316,List_ElectricityMeters,0),ROUNDUP(COLUMN()/3,0)-2))</f>
        <v/>
      </c>
      <c r="AI316" s="127"/>
      <c r="AJ316" s="137"/>
      <c r="AK316" s="58" t="str" cm="1">
        <f>IF(ISBLANK($A316),"",INDEX(Array_ElectricalCharges,MATCH($A316,List_ElectricityMeters,0),ROUNDUP(COLUMN()/3,0)-2))</f>
        <v/>
      </c>
      <c r="AL316" s="127"/>
      <c r="AM316" s="137"/>
      <c r="AN316" s="58" t="str" cm="1">
        <f>IF(ISBLANK($A316),"",INDEX(Array_ElectricalCharges,MATCH($A316,List_ElectricityMeters,0),ROUNDUP(COLUMN()/3,0)-2))</f>
        <v/>
      </c>
      <c r="AO316" s="127"/>
      <c r="AP316" s="137"/>
      <c r="AQ316" s="58" t="str" cm="1">
        <f>IF(ISBLANK($A316),"",INDEX(Array_ElectricalCharges,MATCH($A316,List_ElectricityMeters,0),ROUNDUP(COLUMN()/3,0)-2))</f>
        <v/>
      </c>
      <c r="AR316" s="127"/>
      <c r="AS316" s="137"/>
      <c r="AT316" s="58" t="str" cm="1">
        <f>IF(ISBLANK($A316),"",INDEX(Array_ElectricalCharges,MATCH($A316,List_ElectricityMeters,0),ROUNDUP(COLUMN()/3,0)-2))</f>
        <v/>
      </c>
      <c r="AU316" s="127"/>
      <c r="AV316" s="137"/>
      <c r="AW316" s="58" t="str" cm="1">
        <f>IF(ISBLANK($A316),"",INDEX(Array_ElectricalCharges,MATCH($A316,List_ElectricityMeters,0),ROUNDUP(COLUMN()/3,0)-2))</f>
        <v/>
      </c>
      <c r="AX316" s="127"/>
      <c r="AY316" s="137"/>
    </row>
    <row r="317" spans="1:51" x14ac:dyDescent="0.3">
      <c r="A317" s="126"/>
      <c r="B317" s="133"/>
      <c r="C317" s="134"/>
      <c r="D317" s="134"/>
      <c r="E317" s="135"/>
      <c r="F317" s="136"/>
      <c r="G317" s="58" t="str" cm="1">
        <f>IF(ISBLANK($A317),"",INDEX(Array_ElectricalCharges,MATCH($A317,List_ElectricityMeters,0),ROUNDUP(COLUMN()/3,0)-2))</f>
        <v/>
      </c>
      <c r="H317" s="127"/>
      <c r="I317" s="137"/>
      <c r="J317" s="58" t="str" cm="1">
        <f>IF(ISBLANK($A317),"",INDEX(Array_ElectricalCharges,MATCH($A317,List_ElectricityMeters,0),ROUNDUP(COLUMN()/3,0)-2))</f>
        <v/>
      </c>
      <c r="K317" s="127"/>
      <c r="L317" s="137"/>
      <c r="M317" s="58" t="str" cm="1">
        <f>IF(ISBLANK($A317),"",INDEX(Array_ElectricalCharges,MATCH($A317,List_ElectricityMeters,0),ROUNDUP(COLUMN()/3,0)-2))</f>
        <v/>
      </c>
      <c r="N317" s="127"/>
      <c r="O317" s="137"/>
      <c r="P317" s="58" t="str" cm="1">
        <f>IF(ISBLANK($A317),"",INDEX(Array_ElectricalCharges,MATCH($A317,List_ElectricityMeters,0),ROUNDUP(COLUMN()/3,0)-2))</f>
        <v/>
      </c>
      <c r="Q317" s="127"/>
      <c r="R317" s="137"/>
      <c r="S317" s="58" t="str" cm="1">
        <f>IF(ISBLANK($A317),"",INDEX(Array_ElectricalCharges,MATCH($A317,List_ElectricityMeters,0),ROUNDUP(COLUMN()/3,0)-2))</f>
        <v/>
      </c>
      <c r="T317" s="127"/>
      <c r="U317" s="137"/>
      <c r="V317" s="58" t="str" cm="1">
        <f>IF(ISBLANK($A317),"",INDEX(Array_ElectricalCharges,MATCH($A317,List_ElectricityMeters,0),ROUNDUP(COLUMN()/3,0)-2))</f>
        <v/>
      </c>
      <c r="W317" s="127"/>
      <c r="X317" s="137"/>
      <c r="Y317" s="58" t="str" cm="1">
        <f>IF(ISBLANK($A317),"",INDEX(Array_ElectricalCharges,MATCH($A317,List_ElectricityMeters,0),ROUNDUP(COLUMN()/3,0)-2))</f>
        <v/>
      </c>
      <c r="Z317" s="127"/>
      <c r="AA317" s="137"/>
      <c r="AB317" s="58" t="str" cm="1">
        <f>IF(ISBLANK($A317),"",INDEX(Array_ElectricalCharges,MATCH($A317,List_ElectricityMeters,0),ROUNDUP(COLUMN()/3,0)-2))</f>
        <v/>
      </c>
      <c r="AC317" s="127"/>
      <c r="AD317" s="137"/>
      <c r="AE317" s="58" t="str" cm="1">
        <f>IF(ISBLANK($A317),"",INDEX(Array_ElectricalCharges,MATCH($A317,List_ElectricityMeters,0),ROUNDUP(COLUMN()/3,0)-2))</f>
        <v/>
      </c>
      <c r="AF317" s="127"/>
      <c r="AG317" s="137"/>
      <c r="AH317" s="58" t="str" cm="1">
        <f>IF(ISBLANK($A317),"",INDEX(Array_ElectricalCharges,MATCH($A317,List_ElectricityMeters,0),ROUNDUP(COLUMN()/3,0)-2))</f>
        <v/>
      </c>
      <c r="AI317" s="127"/>
      <c r="AJ317" s="137"/>
      <c r="AK317" s="58" t="str" cm="1">
        <f>IF(ISBLANK($A317),"",INDEX(Array_ElectricalCharges,MATCH($A317,List_ElectricityMeters,0),ROUNDUP(COLUMN()/3,0)-2))</f>
        <v/>
      </c>
      <c r="AL317" s="127"/>
      <c r="AM317" s="137"/>
      <c r="AN317" s="58" t="str" cm="1">
        <f>IF(ISBLANK($A317),"",INDEX(Array_ElectricalCharges,MATCH($A317,List_ElectricityMeters,0),ROUNDUP(COLUMN()/3,0)-2))</f>
        <v/>
      </c>
      <c r="AO317" s="127"/>
      <c r="AP317" s="137"/>
      <c r="AQ317" s="58" t="str" cm="1">
        <f>IF(ISBLANK($A317),"",INDEX(Array_ElectricalCharges,MATCH($A317,List_ElectricityMeters,0),ROUNDUP(COLUMN()/3,0)-2))</f>
        <v/>
      </c>
      <c r="AR317" s="127"/>
      <c r="AS317" s="137"/>
      <c r="AT317" s="58" t="str" cm="1">
        <f>IF(ISBLANK($A317),"",INDEX(Array_ElectricalCharges,MATCH($A317,List_ElectricityMeters,0),ROUNDUP(COLUMN()/3,0)-2))</f>
        <v/>
      </c>
      <c r="AU317" s="127"/>
      <c r="AV317" s="137"/>
      <c r="AW317" s="58" t="str" cm="1">
        <f>IF(ISBLANK($A317),"",INDEX(Array_ElectricalCharges,MATCH($A317,List_ElectricityMeters,0),ROUNDUP(COLUMN()/3,0)-2))</f>
        <v/>
      </c>
      <c r="AX317" s="127"/>
      <c r="AY317" s="137"/>
    </row>
    <row r="318" spans="1:51" x14ac:dyDescent="0.3">
      <c r="A318" s="126"/>
      <c r="B318" s="133"/>
      <c r="C318" s="134"/>
      <c r="D318" s="134"/>
      <c r="E318" s="135"/>
      <c r="F318" s="136"/>
      <c r="G318" s="58" t="str" cm="1">
        <f>IF(ISBLANK($A318),"",INDEX(Array_ElectricalCharges,MATCH($A318,List_ElectricityMeters,0),ROUNDUP(COLUMN()/3,0)-2))</f>
        <v/>
      </c>
      <c r="H318" s="127"/>
      <c r="I318" s="137"/>
      <c r="J318" s="58" t="str" cm="1">
        <f>IF(ISBLANK($A318),"",INDEX(Array_ElectricalCharges,MATCH($A318,List_ElectricityMeters,0),ROUNDUP(COLUMN()/3,0)-2))</f>
        <v/>
      </c>
      <c r="K318" s="127"/>
      <c r="L318" s="137"/>
      <c r="M318" s="58" t="str" cm="1">
        <f>IF(ISBLANK($A318),"",INDEX(Array_ElectricalCharges,MATCH($A318,List_ElectricityMeters,0),ROUNDUP(COLUMN()/3,0)-2))</f>
        <v/>
      </c>
      <c r="N318" s="127"/>
      <c r="O318" s="137"/>
      <c r="P318" s="58" t="str" cm="1">
        <f>IF(ISBLANK($A318),"",INDEX(Array_ElectricalCharges,MATCH($A318,List_ElectricityMeters,0),ROUNDUP(COLUMN()/3,0)-2))</f>
        <v/>
      </c>
      <c r="Q318" s="127"/>
      <c r="R318" s="137"/>
      <c r="S318" s="58" t="str" cm="1">
        <f>IF(ISBLANK($A318),"",INDEX(Array_ElectricalCharges,MATCH($A318,List_ElectricityMeters,0),ROUNDUP(COLUMN()/3,0)-2))</f>
        <v/>
      </c>
      <c r="T318" s="127"/>
      <c r="U318" s="137"/>
      <c r="V318" s="58" t="str" cm="1">
        <f>IF(ISBLANK($A318),"",INDEX(Array_ElectricalCharges,MATCH($A318,List_ElectricityMeters,0),ROUNDUP(COLUMN()/3,0)-2))</f>
        <v/>
      </c>
      <c r="W318" s="127"/>
      <c r="X318" s="137"/>
      <c r="Y318" s="58" t="str" cm="1">
        <f>IF(ISBLANK($A318),"",INDEX(Array_ElectricalCharges,MATCH($A318,List_ElectricityMeters,0),ROUNDUP(COLUMN()/3,0)-2))</f>
        <v/>
      </c>
      <c r="Z318" s="127"/>
      <c r="AA318" s="137"/>
      <c r="AB318" s="58" t="str" cm="1">
        <f>IF(ISBLANK($A318),"",INDEX(Array_ElectricalCharges,MATCH($A318,List_ElectricityMeters,0),ROUNDUP(COLUMN()/3,0)-2))</f>
        <v/>
      </c>
      <c r="AC318" s="127"/>
      <c r="AD318" s="137"/>
      <c r="AE318" s="58" t="str" cm="1">
        <f>IF(ISBLANK($A318),"",INDEX(Array_ElectricalCharges,MATCH($A318,List_ElectricityMeters,0),ROUNDUP(COLUMN()/3,0)-2))</f>
        <v/>
      </c>
      <c r="AF318" s="127"/>
      <c r="AG318" s="137"/>
      <c r="AH318" s="58" t="str" cm="1">
        <f>IF(ISBLANK($A318),"",INDEX(Array_ElectricalCharges,MATCH($A318,List_ElectricityMeters,0),ROUNDUP(COLUMN()/3,0)-2))</f>
        <v/>
      </c>
      <c r="AI318" s="127"/>
      <c r="AJ318" s="137"/>
      <c r="AK318" s="58" t="str" cm="1">
        <f>IF(ISBLANK($A318),"",INDEX(Array_ElectricalCharges,MATCH($A318,List_ElectricityMeters,0),ROUNDUP(COLUMN()/3,0)-2))</f>
        <v/>
      </c>
      <c r="AL318" s="127"/>
      <c r="AM318" s="137"/>
      <c r="AN318" s="58" t="str" cm="1">
        <f>IF(ISBLANK($A318),"",INDEX(Array_ElectricalCharges,MATCH($A318,List_ElectricityMeters,0),ROUNDUP(COLUMN()/3,0)-2))</f>
        <v/>
      </c>
      <c r="AO318" s="127"/>
      <c r="AP318" s="137"/>
      <c r="AQ318" s="58" t="str" cm="1">
        <f>IF(ISBLANK($A318),"",INDEX(Array_ElectricalCharges,MATCH($A318,List_ElectricityMeters,0),ROUNDUP(COLUMN()/3,0)-2))</f>
        <v/>
      </c>
      <c r="AR318" s="127"/>
      <c r="AS318" s="137"/>
      <c r="AT318" s="58" t="str" cm="1">
        <f>IF(ISBLANK($A318),"",INDEX(Array_ElectricalCharges,MATCH($A318,List_ElectricityMeters,0),ROUNDUP(COLUMN()/3,0)-2))</f>
        <v/>
      </c>
      <c r="AU318" s="127"/>
      <c r="AV318" s="137"/>
      <c r="AW318" s="58" t="str" cm="1">
        <f>IF(ISBLANK($A318),"",INDEX(Array_ElectricalCharges,MATCH($A318,List_ElectricityMeters,0),ROUNDUP(COLUMN()/3,0)-2))</f>
        <v/>
      </c>
      <c r="AX318" s="127"/>
      <c r="AY318" s="137"/>
    </row>
    <row r="319" spans="1:51" x14ac:dyDescent="0.3">
      <c r="A319" s="126"/>
      <c r="B319" s="133"/>
      <c r="C319" s="134"/>
      <c r="D319" s="134"/>
      <c r="E319" s="135"/>
      <c r="F319" s="136"/>
      <c r="G319" s="58" t="str" cm="1">
        <f>IF(ISBLANK($A319),"",INDEX(Array_ElectricalCharges,MATCH($A319,List_ElectricityMeters,0),ROUNDUP(COLUMN()/3,0)-2))</f>
        <v/>
      </c>
      <c r="H319" s="127"/>
      <c r="I319" s="137"/>
      <c r="J319" s="58" t="str" cm="1">
        <f>IF(ISBLANK($A319),"",INDEX(Array_ElectricalCharges,MATCH($A319,List_ElectricityMeters,0),ROUNDUP(COLUMN()/3,0)-2))</f>
        <v/>
      </c>
      <c r="K319" s="127"/>
      <c r="L319" s="137"/>
      <c r="M319" s="58" t="str" cm="1">
        <f>IF(ISBLANK($A319),"",INDEX(Array_ElectricalCharges,MATCH($A319,List_ElectricityMeters,0),ROUNDUP(COLUMN()/3,0)-2))</f>
        <v/>
      </c>
      <c r="N319" s="127"/>
      <c r="O319" s="137"/>
      <c r="P319" s="58" t="str" cm="1">
        <f>IF(ISBLANK($A319),"",INDEX(Array_ElectricalCharges,MATCH($A319,List_ElectricityMeters,0),ROUNDUP(COLUMN()/3,0)-2))</f>
        <v/>
      </c>
      <c r="Q319" s="127"/>
      <c r="R319" s="137"/>
      <c r="S319" s="58" t="str" cm="1">
        <f>IF(ISBLANK($A319),"",INDEX(Array_ElectricalCharges,MATCH($A319,List_ElectricityMeters,0),ROUNDUP(COLUMN()/3,0)-2))</f>
        <v/>
      </c>
      <c r="T319" s="127"/>
      <c r="U319" s="137"/>
      <c r="V319" s="58" t="str" cm="1">
        <f>IF(ISBLANK($A319),"",INDEX(Array_ElectricalCharges,MATCH($A319,List_ElectricityMeters,0),ROUNDUP(COLUMN()/3,0)-2))</f>
        <v/>
      </c>
      <c r="W319" s="127"/>
      <c r="X319" s="137"/>
      <c r="Y319" s="58" t="str" cm="1">
        <f>IF(ISBLANK($A319),"",INDEX(Array_ElectricalCharges,MATCH($A319,List_ElectricityMeters,0),ROUNDUP(COLUMN()/3,0)-2))</f>
        <v/>
      </c>
      <c r="Z319" s="127"/>
      <c r="AA319" s="137"/>
      <c r="AB319" s="58" t="str" cm="1">
        <f>IF(ISBLANK($A319),"",INDEX(Array_ElectricalCharges,MATCH($A319,List_ElectricityMeters,0),ROUNDUP(COLUMN()/3,0)-2))</f>
        <v/>
      </c>
      <c r="AC319" s="127"/>
      <c r="AD319" s="137"/>
      <c r="AE319" s="58" t="str" cm="1">
        <f>IF(ISBLANK($A319),"",INDEX(Array_ElectricalCharges,MATCH($A319,List_ElectricityMeters,0),ROUNDUP(COLUMN()/3,0)-2))</f>
        <v/>
      </c>
      <c r="AF319" s="127"/>
      <c r="AG319" s="137"/>
      <c r="AH319" s="58" t="str" cm="1">
        <f>IF(ISBLANK($A319),"",INDEX(Array_ElectricalCharges,MATCH($A319,List_ElectricityMeters,0),ROUNDUP(COLUMN()/3,0)-2))</f>
        <v/>
      </c>
      <c r="AI319" s="127"/>
      <c r="AJ319" s="137"/>
      <c r="AK319" s="58" t="str" cm="1">
        <f>IF(ISBLANK($A319),"",INDEX(Array_ElectricalCharges,MATCH($A319,List_ElectricityMeters,0),ROUNDUP(COLUMN()/3,0)-2))</f>
        <v/>
      </c>
      <c r="AL319" s="127"/>
      <c r="AM319" s="137"/>
      <c r="AN319" s="58" t="str" cm="1">
        <f>IF(ISBLANK($A319),"",INDEX(Array_ElectricalCharges,MATCH($A319,List_ElectricityMeters,0),ROUNDUP(COLUMN()/3,0)-2))</f>
        <v/>
      </c>
      <c r="AO319" s="127"/>
      <c r="AP319" s="137"/>
      <c r="AQ319" s="58" t="str" cm="1">
        <f>IF(ISBLANK($A319),"",INDEX(Array_ElectricalCharges,MATCH($A319,List_ElectricityMeters,0),ROUNDUP(COLUMN()/3,0)-2))</f>
        <v/>
      </c>
      <c r="AR319" s="127"/>
      <c r="AS319" s="137"/>
      <c r="AT319" s="58" t="str" cm="1">
        <f>IF(ISBLANK($A319),"",INDEX(Array_ElectricalCharges,MATCH($A319,List_ElectricityMeters,0),ROUNDUP(COLUMN()/3,0)-2))</f>
        <v/>
      </c>
      <c r="AU319" s="127"/>
      <c r="AV319" s="137"/>
      <c r="AW319" s="58" t="str" cm="1">
        <f>IF(ISBLANK($A319),"",INDEX(Array_ElectricalCharges,MATCH($A319,List_ElectricityMeters,0),ROUNDUP(COLUMN()/3,0)-2))</f>
        <v/>
      </c>
      <c r="AX319" s="127"/>
      <c r="AY319" s="137"/>
    </row>
    <row r="320" spans="1:51" x14ac:dyDescent="0.3">
      <c r="A320" s="126"/>
      <c r="B320" s="133"/>
      <c r="C320" s="134"/>
      <c r="D320" s="134"/>
      <c r="E320" s="135"/>
      <c r="F320" s="136"/>
      <c r="G320" s="58" t="str" cm="1">
        <f>IF(ISBLANK($A320),"",INDEX(Array_ElectricalCharges,MATCH($A320,List_ElectricityMeters,0),ROUNDUP(COLUMN()/3,0)-2))</f>
        <v/>
      </c>
      <c r="H320" s="127"/>
      <c r="I320" s="137"/>
      <c r="J320" s="58" t="str" cm="1">
        <f>IF(ISBLANK($A320),"",INDEX(Array_ElectricalCharges,MATCH($A320,List_ElectricityMeters,0),ROUNDUP(COLUMN()/3,0)-2))</f>
        <v/>
      </c>
      <c r="K320" s="127"/>
      <c r="L320" s="137"/>
      <c r="M320" s="58" t="str" cm="1">
        <f>IF(ISBLANK($A320),"",INDEX(Array_ElectricalCharges,MATCH($A320,List_ElectricityMeters,0),ROUNDUP(COLUMN()/3,0)-2))</f>
        <v/>
      </c>
      <c r="N320" s="127"/>
      <c r="O320" s="137"/>
      <c r="P320" s="58" t="str" cm="1">
        <f>IF(ISBLANK($A320),"",INDEX(Array_ElectricalCharges,MATCH($A320,List_ElectricityMeters,0),ROUNDUP(COLUMN()/3,0)-2))</f>
        <v/>
      </c>
      <c r="Q320" s="127"/>
      <c r="R320" s="137"/>
      <c r="S320" s="58" t="str" cm="1">
        <f>IF(ISBLANK($A320),"",INDEX(Array_ElectricalCharges,MATCH($A320,List_ElectricityMeters,0),ROUNDUP(COLUMN()/3,0)-2))</f>
        <v/>
      </c>
      <c r="T320" s="127"/>
      <c r="U320" s="137"/>
      <c r="V320" s="58" t="str" cm="1">
        <f>IF(ISBLANK($A320),"",INDEX(Array_ElectricalCharges,MATCH($A320,List_ElectricityMeters,0),ROUNDUP(COLUMN()/3,0)-2))</f>
        <v/>
      </c>
      <c r="W320" s="127"/>
      <c r="X320" s="137"/>
      <c r="Y320" s="58" t="str" cm="1">
        <f>IF(ISBLANK($A320),"",INDEX(Array_ElectricalCharges,MATCH($A320,List_ElectricityMeters,0),ROUNDUP(COLUMN()/3,0)-2))</f>
        <v/>
      </c>
      <c r="Z320" s="127"/>
      <c r="AA320" s="137"/>
      <c r="AB320" s="58" t="str" cm="1">
        <f>IF(ISBLANK($A320),"",INDEX(Array_ElectricalCharges,MATCH($A320,List_ElectricityMeters,0),ROUNDUP(COLUMN()/3,0)-2))</f>
        <v/>
      </c>
      <c r="AC320" s="127"/>
      <c r="AD320" s="137"/>
      <c r="AE320" s="58" t="str" cm="1">
        <f>IF(ISBLANK($A320),"",INDEX(Array_ElectricalCharges,MATCH($A320,List_ElectricityMeters,0),ROUNDUP(COLUMN()/3,0)-2))</f>
        <v/>
      </c>
      <c r="AF320" s="127"/>
      <c r="AG320" s="137"/>
      <c r="AH320" s="58" t="str" cm="1">
        <f>IF(ISBLANK($A320),"",INDEX(Array_ElectricalCharges,MATCH($A320,List_ElectricityMeters,0),ROUNDUP(COLUMN()/3,0)-2))</f>
        <v/>
      </c>
      <c r="AI320" s="127"/>
      <c r="AJ320" s="137"/>
      <c r="AK320" s="58" t="str" cm="1">
        <f>IF(ISBLANK($A320),"",INDEX(Array_ElectricalCharges,MATCH($A320,List_ElectricityMeters,0),ROUNDUP(COLUMN()/3,0)-2))</f>
        <v/>
      </c>
      <c r="AL320" s="127"/>
      <c r="AM320" s="137"/>
      <c r="AN320" s="58" t="str" cm="1">
        <f>IF(ISBLANK($A320),"",INDEX(Array_ElectricalCharges,MATCH($A320,List_ElectricityMeters,0),ROUNDUP(COLUMN()/3,0)-2))</f>
        <v/>
      </c>
      <c r="AO320" s="127"/>
      <c r="AP320" s="137"/>
      <c r="AQ320" s="58" t="str" cm="1">
        <f>IF(ISBLANK($A320),"",INDEX(Array_ElectricalCharges,MATCH($A320,List_ElectricityMeters,0),ROUNDUP(COLUMN()/3,0)-2))</f>
        <v/>
      </c>
      <c r="AR320" s="127"/>
      <c r="AS320" s="137"/>
      <c r="AT320" s="58" t="str" cm="1">
        <f>IF(ISBLANK($A320),"",INDEX(Array_ElectricalCharges,MATCH($A320,List_ElectricityMeters,0),ROUNDUP(COLUMN()/3,0)-2))</f>
        <v/>
      </c>
      <c r="AU320" s="127"/>
      <c r="AV320" s="137"/>
      <c r="AW320" s="58" t="str" cm="1">
        <f>IF(ISBLANK($A320),"",INDEX(Array_ElectricalCharges,MATCH($A320,List_ElectricityMeters,0),ROUNDUP(COLUMN()/3,0)-2))</f>
        <v/>
      </c>
      <c r="AX320" s="127"/>
      <c r="AY320" s="137"/>
    </row>
    <row r="321" spans="1:51" x14ac:dyDescent="0.3">
      <c r="A321" s="126"/>
      <c r="B321" s="133"/>
      <c r="C321" s="134"/>
      <c r="D321" s="134"/>
      <c r="E321" s="135"/>
      <c r="F321" s="136"/>
      <c r="G321" s="58" t="str" cm="1">
        <f>IF(ISBLANK($A321),"",INDEX(Array_ElectricalCharges,MATCH($A321,List_ElectricityMeters,0),ROUNDUP(COLUMN()/3,0)-2))</f>
        <v/>
      </c>
      <c r="H321" s="127"/>
      <c r="I321" s="137"/>
      <c r="J321" s="58" t="str" cm="1">
        <f>IF(ISBLANK($A321),"",INDEX(Array_ElectricalCharges,MATCH($A321,List_ElectricityMeters,0),ROUNDUP(COLUMN()/3,0)-2))</f>
        <v/>
      </c>
      <c r="K321" s="127"/>
      <c r="L321" s="137"/>
      <c r="M321" s="58" t="str" cm="1">
        <f>IF(ISBLANK($A321),"",INDEX(Array_ElectricalCharges,MATCH($A321,List_ElectricityMeters,0),ROUNDUP(COLUMN()/3,0)-2))</f>
        <v/>
      </c>
      <c r="N321" s="127"/>
      <c r="O321" s="137"/>
      <c r="P321" s="58" t="str" cm="1">
        <f>IF(ISBLANK($A321),"",INDEX(Array_ElectricalCharges,MATCH($A321,List_ElectricityMeters,0),ROUNDUP(COLUMN()/3,0)-2))</f>
        <v/>
      </c>
      <c r="Q321" s="127"/>
      <c r="R321" s="137"/>
      <c r="S321" s="58" t="str" cm="1">
        <f>IF(ISBLANK($A321),"",INDEX(Array_ElectricalCharges,MATCH($A321,List_ElectricityMeters,0),ROUNDUP(COLUMN()/3,0)-2))</f>
        <v/>
      </c>
      <c r="T321" s="127"/>
      <c r="U321" s="137"/>
      <c r="V321" s="58" t="str" cm="1">
        <f>IF(ISBLANK($A321),"",INDEX(Array_ElectricalCharges,MATCH($A321,List_ElectricityMeters,0),ROUNDUP(COLUMN()/3,0)-2))</f>
        <v/>
      </c>
      <c r="W321" s="127"/>
      <c r="X321" s="137"/>
      <c r="Y321" s="58" t="str" cm="1">
        <f>IF(ISBLANK($A321),"",INDEX(Array_ElectricalCharges,MATCH($A321,List_ElectricityMeters,0),ROUNDUP(COLUMN()/3,0)-2))</f>
        <v/>
      </c>
      <c r="Z321" s="127"/>
      <c r="AA321" s="137"/>
      <c r="AB321" s="58" t="str" cm="1">
        <f>IF(ISBLANK($A321),"",INDEX(Array_ElectricalCharges,MATCH($A321,List_ElectricityMeters,0),ROUNDUP(COLUMN()/3,0)-2))</f>
        <v/>
      </c>
      <c r="AC321" s="127"/>
      <c r="AD321" s="137"/>
      <c r="AE321" s="58" t="str" cm="1">
        <f>IF(ISBLANK($A321),"",INDEX(Array_ElectricalCharges,MATCH($A321,List_ElectricityMeters,0),ROUNDUP(COLUMN()/3,0)-2))</f>
        <v/>
      </c>
      <c r="AF321" s="127"/>
      <c r="AG321" s="137"/>
      <c r="AH321" s="58" t="str" cm="1">
        <f>IF(ISBLANK($A321),"",INDEX(Array_ElectricalCharges,MATCH($A321,List_ElectricityMeters,0),ROUNDUP(COLUMN()/3,0)-2))</f>
        <v/>
      </c>
      <c r="AI321" s="127"/>
      <c r="AJ321" s="137"/>
      <c r="AK321" s="58" t="str" cm="1">
        <f>IF(ISBLANK($A321),"",INDEX(Array_ElectricalCharges,MATCH($A321,List_ElectricityMeters,0),ROUNDUP(COLUMN()/3,0)-2))</f>
        <v/>
      </c>
      <c r="AL321" s="127"/>
      <c r="AM321" s="137"/>
      <c r="AN321" s="58" t="str" cm="1">
        <f>IF(ISBLANK($A321),"",INDEX(Array_ElectricalCharges,MATCH($A321,List_ElectricityMeters,0),ROUNDUP(COLUMN()/3,0)-2))</f>
        <v/>
      </c>
      <c r="AO321" s="127"/>
      <c r="AP321" s="137"/>
      <c r="AQ321" s="58" t="str" cm="1">
        <f>IF(ISBLANK($A321),"",INDEX(Array_ElectricalCharges,MATCH($A321,List_ElectricityMeters,0),ROUNDUP(COLUMN()/3,0)-2))</f>
        <v/>
      </c>
      <c r="AR321" s="127"/>
      <c r="AS321" s="137"/>
      <c r="AT321" s="58" t="str" cm="1">
        <f>IF(ISBLANK($A321),"",INDEX(Array_ElectricalCharges,MATCH($A321,List_ElectricityMeters,0),ROUNDUP(COLUMN()/3,0)-2))</f>
        <v/>
      </c>
      <c r="AU321" s="127"/>
      <c r="AV321" s="137"/>
      <c r="AW321" s="58" t="str" cm="1">
        <f>IF(ISBLANK($A321),"",INDEX(Array_ElectricalCharges,MATCH($A321,List_ElectricityMeters,0),ROUNDUP(COLUMN()/3,0)-2))</f>
        <v/>
      </c>
      <c r="AX321" s="127"/>
      <c r="AY321" s="137"/>
    </row>
    <row r="322" spans="1:51" x14ac:dyDescent="0.3">
      <c r="A322" s="126"/>
      <c r="B322" s="133"/>
      <c r="C322" s="134"/>
      <c r="D322" s="134"/>
      <c r="E322" s="135"/>
      <c r="F322" s="136"/>
      <c r="G322" s="58" t="str" cm="1">
        <f>IF(ISBLANK($A322),"",INDEX(Array_ElectricalCharges,MATCH($A322,List_ElectricityMeters,0),ROUNDUP(COLUMN()/3,0)-2))</f>
        <v/>
      </c>
      <c r="H322" s="127"/>
      <c r="I322" s="137"/>
      <c r="J322" s="58" t="str" cm="1">
        <f>IF(ISBLANK($A322),"",INDEX(Array_ElectricalCharges,MATCH($A322,List_ElectricityMeters,0),ROUNDUP(COLUMN()/3,0)-2))</f>
        <v/>
      </c>
      <c r="K322" s="127"/>
      <c r="L322" s="137"/>
      <c r="M322" s="58" t="str" cm="1">
        <f>IF(ISBLANK($A322),"",INDEX(Array_ElectricalCharges,MATCH($A322,List_ElectricityMeters,0),ROUNDUP(COLUMN()/3,0)-2))</f>
        <v/>
      </c>
      <c r="N322" s="127"/>
      <c r="O322" s="137"/>
      <c r="P322" s="58" t="str" cm="1">
        <f>IF(ISBLANK($A322),"",INDEX(Array_ElectricalCharges,MATCH($A322,List_ElectricityMeters,0),ROUNDUP(COLUMN()/3,0)-2))</f>
        <v/>
      </c>
      <c r="Q322" s="127"/>
      <c r="R322" s="137"/>
      <c r="S322" s="58" t="str" cm="1">
        <f>IF(ISBLANK($A322),"",INDEX(Array_ElectricalCharges,MATCH($A322,List_ElectricityMeters,0),ROUNDUP(COLUMN()/3,0)-2))</f>
        <v/>
      </c>
      <c r="T322" s="127"/>
      <c r="U322" s="137"/>
      <c r="V322" s="58" t="str" cm="1">
        <f>IF(ISBLANK($A322),"",INDEX(Array_ElectricalCharges,MATCH($A322,List_ElectricityMeters,0),ROUNDUP(COLUMN()/3,0)-2))</f>
        <v/>
      </c>
      <c r="W322" s="127"/>
      <c r="X322" s="137"/>
      <c r="Y322" s="58" t="str" cm="1">
        <f>IF(ISBLANK($A322),"",INDEX(Array_ElectricalCharges,MATCH($A322,List_ElectricityMeters,0),ROUNDUP(COLUMN()/3,0)-2))</f>
        <v/>
      </c>
      <c r="Z322" s="127"/>
      <c r="AA322" s="137"/>
      <c r="AB322" s="58" t="str" cm="1">
        <f>IF(ISBLANK($A322),"",INDEX(Array_ElectricalCharges,MATCH($A322,List_ElectricityMeters,0),ROUNDUP(COLUMN()/3,0)-2))</f>
        <v/>
      </c>
      <c r="AC322" s="127"/>
      <c r="AD322" s="137"/>
      <c r="AE322" s="58" t="str" cm="1">
        <f>IF(ISBLANK($A322),"",INDEX(Array_ElectricalCharges,MATCH($A322,List_ElectricityMeters,0),ROUNDUP(COLUMN()/3,0)-2))</f>
        <v/>
      </c>
      <c r="AF322" s="127"/>
      <c r="AG322" s="137"/>
      <c r="AH322" s="58" t="str" cm="1">
        <f>IF(ISBLANK($A322),"",INDEX(Array_ElectricalCharges,MATCH($A322,List_ElectricityMeters,0),ROUNDUP(COLUMN()/3,0)-2))</f>
        <v/>
      </c>
      <c r="AI322" s="127"/>
      <c r="AJ322" s="137"/>
      <c r="AK322" s="58" t="str" cm="1">
        <f>IF(ISBLANK($A322),"",INDEX(Array_ElectricalCharges,MATCH($A322,List_ElectricityMeters,0),ROUNDUP(COLUMN()/3,0)-2))</f>
        <v/>
      </c>
      <c r="AL322" s="127"/>
      <c r="AM322" s="137"/>
      <c r="AN322" s="58" t="str" cm="1">
        <f>IF(ISBLANK($A322),"",INDEX(Array_ElectricalCharges,MATCH($A322,List_ElectricityMeters,0),ROUNDUP(COLUMN()/3,0)-2))</f>
        <v/>
      </c>
      <c r="AO322" s="127"/>
      <c r="AP322" s="137"/>
      <c r="AQ322" s="58" t="str" cm="1">
        <f>IF(ISBLANK($A322),"",INDEX(Array_ElectricalCharges,MATCH($A322,List_ElectricityMeters,0),ROUNDUP(COLUMN()/3,0)-2))</f>
        <v/>
      </c>
      <c r="AR322" s="127"/>
      <c r="AS322" s="137"/>
      <c r="AT322" s="58" t="str" cm="1">
        <f>IF(ISBLANK($A322),"",INDEX(Array_ElectricalCharges,MATCH($A322,List_ElectricityMeters,0),ROUNDUP(COLUMN()/3,0)-2))</f>
        <v/>
      </c>
      <c r="AU322" s="127"/>
      <c r="AV322" s="137"/>
      <c r="AW322" s="58" t="str" cm="1">
        <f>IF(ISBLANK($A322),"",INDEX(Array_ElectricalCharges,MATCH($A322,List_ElectricityMeters,0),ROUNDUP(COLUMN()/3,0)-2))</f>
        <v/>
      </c>
      <c r="AX322" s="127"/>
      <c r="AY322" s="137"/>
    </row>
    <row r="323" spans="1:51" x14ac:dyDescent="0.3">
      <c r="A323" s="126"/>
      <c r="B323" s="133"/>
      <c r="C323" s="134"/>
      <c r="D323" s="134"/>
      <c r="E323" s="135"/>
      <c r="F323" s="136"/>
      <c r="G323" s="58" t="str" cm="1">
        <f>IF(ISBLANK($A323),"",INDEX(Array_ElectricalCharges,MATCH($A323,List_ElectricityMeters,0),ROUNDUP(COLUMN()/3,0)-2))</f>
        <v/>
      </c>
      <c r="H323" s="127"/>
      <c r="I323" s="137"/>
      <c r="J323" s="58" t="str" cm="1">
        <f>IF(ISBLANK($A323),"",INDEX(Array_ElectricalCharges,MATCH($A323,List_ElectricityMeters,0),ROUNDUP(COLUMN()/3,0)-2))</f>
        <v/>
      </c>
      <c r="K323" s="127"/>
      <c r="L323" s="137"/>
      <c r="M323" s="58" t="str" cm="1">
        <f>IF(ISBLANK($A323),"",INDEX(Array_ElectricalCharges,MATCH($A323,List_ElectricityMeters,0),ROUNDUP(COLUMN()/3,0)-2))</f>
        <v/>
      </c>
      <c r="N323" s="127"/>
      <c r="O323" s="137"/>
      <c r="P323" s="58" t="str" cm="1">
        <f>IF(ISBLANK($A323),"",INDEX(Array_ElectricalCharges,MATCH($A323,List_ElectricityMeters,0),ROUNDUP(COLUMN()/3,0)-2))</f>
        <v/>
      </c>
      <c r="Q323" s="127"/>
      <c r="R323" s="137"/>
      <c r="S323" s="58" t="str" cm="1">
        <f>IF(ISBLANK($A323),"",INDEX(Array_ElectricalCharges,MATCH($A323,List_ElectricityMeters,0),ROUNDUP(COLUMN()/3,0)-2))</f>
        <v/>
      </c>
      <c r="T323" s="127"/>
      <c r="U323" s="137"/>
      <c r="V323" s="58" t="str" cm="1">
        <f>IF(ISBLANK($A323),"",INDEX(Array_ElectricalCharges,MATCH($A323,List_ElectricityMeters,0),ROUNDUP(COLUMN()/3,0)-2))</f>
        <v/>
      </c>
      <c r="W323" s="127"/>
      <c r="X323" s="137"/>
      <c r="Y323" s="58" t="str" cm="1">
        <f>IF(ISBLANK($A323),"",INDEX(Array_ElectricalCharges,MATCH($A323,List_ElectricityMeters,0),ROUNDUP(COLUMN()/3,0)-2))</f>
        <v/>
      </c>
      <c r="Z323" s="127"/>
      <c r="AA323" s="137"/>
      <c r="AB323" s="58" t="str" cm="1">
        <f>IF(ISBLANK($A323),"",INDEX(Array_ElectricalCharges,MATCH($A323,List_ElectricityMeters,0),ROUNDUP(COLUMN()/3,0)-2))</f>
        <v/>
      </c>
      <c r="AC323" s="127"/>
      <c r="AD323" s="137"/>
      <c r="AE323" s="58" t="str" cm="1">
        <f>IF(ISBLANK($A323),"",INDEX(Array_ElectricalCharges,MATCH($A323,List_ElectricityMeters,0),ROUNDUP(COLUMN()/3,0)-2))</f>
        <v/>
      </c>
      <c r="AF323" s="127"/>
      <c r="AG323" s="137"/>
      <c r="AH323" s="58" t="str" cm="1">
        <f>IF(ISBLANK($A323),"",INDEX(Array_ElectricalCharges,MATCH($A323,List_ElectricityMeters,0),ROUNDUP(COLUMN()/3,0)-2))</f>
        <v/>
      </c>
      <c r="AI323" s="127"/>
      <c r="AJ323" s="137"/>
      <c r="AK323" s="58" t="str" cm="1">
        <f>IF(ISBLANK($A323),"",INDEX(Array_ElectricalCharges,MATCH($A323,List_ElectricityMeters,0),ROUNDUP(COLUMN()/3,0)-2))</f>
        <v/>
      </c>
      <c r="AL323" s="127"/>
      <c r="AM323" s="137"/>
      <c r="AN323" s="58" t="str" cm="1">
        <f>IF(ISBLANK($A323),"",INDEX(Array_ElectricalCharges,MATCH($A323,List_ElectricityMeters,0),ROUNDUP(COLUMN()/3,0)-2))</f>
        <v/>
      </c>
      <c r="AO323" s="127"/>
      <c r="AP323" s="137"/>
      <c r="AQ323" s="58" t="str" cm="1">
        <f>IF(ISBLANK($A323),"",INDEX(Array_ElectricalCharges,MATCH($A323,List_ElectricityMeters,0),ROUNDUP(COLUMN()/3,0)-2))</f>
        <v/>
      </c>
      <c r="AR323" s="127"/>
      <c r="AS323" s="137"/>
      <c r="AT323" s="58" t="str" cm="1">
        <f>IF(ISBLANK($A323),"",INDEX(Array_ElectricalCharges,MATCH($A323,List_ElectricityMeters,0),ROUNDUP(COLUMN()/3,0)-2))</f>
        <v/>
      </c>
      <c r="AU323" s="127"/>
      <c r="AV323" s="137"/>
      <c r="AW323" s="58" t="str" cm="1">
        <f>IF(ISBLANK($A323),"",INDEX(Array_ElectricalCharges,MATCH($A323,List_ElectricityMeters,0),ROUNDUP(COLUMN()/3,0)-2))</f>
        <v/>
      </c>
      <c r="AX323" s="127"/>
      <c r="AY323" s="137"/>
    </row>
    <row r="324" spans="1:51" x14ac:dyDescent="0.3">
      <c r="A324" s="126"/>
      <c r="B324" s="133"/>
      <c r="C324" s="134"/>
      <c r="D324" s="134"/>
      <c r="E324" s="135"/>
      <c r="F324" s="136"/>
      <c r="G324" s="58" t="str" cm="1">
        <f>IF(ISBLANK($A324),"",INDEX(Array_ElectricalCharges,MATCH($A324,List_ElectricityMeters,0),ROUNDUP(COLUMN()/3,0)-2))</f>
        <v/>
      </c>
      <c r="H324" s="127"/>
      <c r="I324" s="137"/>
      <c r="J324" s="58" t="str" cm="1">
        <f>IF(ISBLANK($A324),"",INDEX(Array_ElectricalCharges,MATCH($A324,List_ElectricityMeters,0),ROUNDUP(COLUMN()/3,0)-2))</f>
        <v/>
      </c>
      <c r="K324" s="127"/>
      <c r="L324" s="137"/>
      <c r="M324" s="58" t="str" cm="1">
        <f>IF(ISBLANK($A324),"",INDEX(Array_ElectricalCharges,MATCH($A324,List_ElectricityMeters,0),ROUNDUP(COLUMN()/3,0)-2))</f>
        <v/>
      </c>
      <c r="N324" s="127"/>
      <c r="O324" s="137"/>
      <c r="P324" s="58" t="str" cm="1">
        <f>IF(ISBLANK($A324),"",INDEX(Array_ElectricalCharges,MATCH($A324,List_ElectricityMeters,0),ROUNDUP(COLUMN()/3,0)-2))</f>
        <v/>
      </c>
      <c r="Q324" s="127"/>
      <c r="R324" s="137"/>
      <c r="S324" s="58" t="str" cm="1">
        <f>IF(ISBLANK($A324),"",INDEX(Array_ElectricalCharges,MATCH($A324,List_ElectricityMeters,0),ROUNDUP(COLUMN()/3,0)-2))</f>
        <v/>
      </c>
      <c r="T324" s="127"/>
      <c r="U324" s="137"/>
      <c r="V324" s="58" t="str" cm="1">
        <f>IF(ISBLANK($A324),"",INDEX(Array_ElectricalCharges,MATCH($A324,List_ElectricityMeters,0),ROUNDUP(COLUMN()/3,0)-2))</f>
        <v/>
      </c>
      <c r="W324" s="127"/>
      <c r="X324" s="137"/>
      <c r="Y324" s="58" t="str" cm="1">
        <f>IF(ISBLANK($A324),"",INDEX(Array_ElectricalCharges,MATCH($A324,List_ElectricityMeters,0),ROUNDUP(COLUMN()/3,0)-2))</f>
        <v/>
      </c>
      <c r="Z324" s="127"/>
      <c r="AA324" s="137"/>
      <c r="AB324" s="58" t="str" cm="1">
        <f>IF(ISBLANK($A324),"",INDEX(Array_ElectricalCharges,MATCH($A324,List_ElectricityMeters,0),ROUNDUP(COLUMN()/3,0)-2))</f>
        <v/>
      </c>
      <c r="AC324" s="127"/>
      <c r="AD324" s="137"/>
      <c r="AE324" s="58" t="str" cm="1">
        <f>IF(ISBLANK($A324),"",INDEX(Array_ElectricalCharges,MATCH($A324,List_ElectricityMeters,0),ROUNDUP(COLUMN()/3,0)-2))</f>
        <v/>
      </c>
      <c r="AF324" s="127"/>
      <c r="AG324" s="137"/>
      <c r="AH324" s="58" t="str" cm="1">
        <f>IF(ISBLANK($A324),"",INDEX(Array_ElectricalCharges,MATCH($A324,List_ElectricityMeters,0),ROUNDUP(COLUMN()/3,0)-2))</f>
        <v/>
      </c>
      <c r="AI324" s="127"/>
      <c r="AJ324" s="137"/>
      <c r="AK324" s="58" t="str" cm="1">
        <f>IF(ISBLANK($A324),"",INDEX(Array_ElectricalCharges,MATCH($A324,List_ElectricityMeters,0),ROUNDUP(COLUMN()/3,0)-2))</f>
        <v/>
      </c>
      <c r="AL324" s="127"/>
      <c r="AM324" s="137"/>
      <c r="AN324" s="58" t="str" cm="1">
        <f>IF(ISBLANK($A324),"",INDEX(Array_ElectricalCharges,MATCH($A324,List_ElectricityMeters,0),ROUNDUP(COLUMN()/3,0)-2))</f>
        <v/>
      </c>
      <c r="AO324" s="127"/>
      <c r="AP324" s="137"/>
      <c r="AQ324" s="58" t="str" cm="1">
        <f>IF(ISBLANK($A324),"",INDEX(Array_ElectricalCharges,MATCH($A324,List_ElectricityMeters,0),ROUNDUP(COLUMN()/3,0)-2))</f>
        <v/>
      </c>
      <c r="AR324" s="127"/>
      <c r="AS324" s="137"/>
      <c r="AT324" s="58" t="str" cm="1">
        <f>IF(ISBLANK($A324),"",INDEX(Array_ElectricalCharges,MATCH($A324,List_ElectricityMeters,0),ROUNDUP(COLUMN()/3,0)-2))</f>
        <v/>
      </c>
      <c r="AU324" s="127"/>
      <c r="AV324" s="137"/>
      <c r="AW324" s="58" t="str" cm="1">
        <f>IF(ISBLANK($A324),"",INDEX(Array_ElectricalCharges,MATCH($A324,List_ElectricityMeters,0),ROUNDUP(COLUMN()/3,0)-2))</f>
        <v/>
      </c>
      <c r="AX324" s="127"/>
      <c r="AY324" s="137"/>
    </row>
    <row r="325" spans="1:51" x14ac:dyDescent="0.3">
      <c r="A325" s="126"/>
      <c r="B325" s="133"/>
      <c r="C325" s="134"/>
      <c r="D325" s="134"/>
      <c r="E325" s="135"/>
      <c r="F325" s="136"/>
      <c r="G325" s="58" t="str" cm="1">
        <f>IF(ISBLANK($A325),"",INDEX(Array_ElectricalCharges,MATCH($A325,List_ElectricityMeters,0),ROUNDUP(COLUMN()/3,0)-2))</f>
        <v/>
      </c>
      <c r="H325" s="127"/>
      <c r="I325" s="137"/>
      <c r="J325" s="58" t="str" cm="1">
        <f>IF(ISBLANK($A325),"",INDEX(Array_ElectricalCharges,MATCH($A325,List_ElectricityMeters,0),ROUNDUP(COLUMN()/3,0)-2))</f>
        <v/>
      </c>
      <c r="K325" s="127"/>
      <c r="L325" s="137"/>
      <c r="M325" s="58" t="str" cm="1">
        <f>IF(ISBLANK($A325),"",INDEX(Array_ElectricalCharges,MATCH($A325,List_ElectricityMeters,0),ROUNDUP(COLUMN()/3,0)-2))</f>
        <v/>
      </c>
      <c r="N325" s="127"/>
      <c r="O325" s="137"/>
      <c r="P325" s="58" t="str" cm="1">
        <f>IF(ISBLANK($A325),"",INDEX(Array_ElectricalCharges,MATCH($A325,List_ElectricityMeters,0),ROUNDUP(COLUMN()/3,0)-2))</f>
        <v/>
      </c>
      <c r="Q325" s="127"/>
      <c r="R325" s="137"/>
      <c r="S325" s="58" t="str" cm="1">
        <f>IF(ISBLANK($A325),"",INDEX(Array_ElectricalCharges,MATCH($A325,List_ElectricityMeters,0),ROUNDUP(COLUMN()/3,0)-2))</f>
        <v/>
      </c>
      <c r="T325" s="127"/>
      <c r="U325" s="137"/>
      <c r="V325" s="58" t="str" cm="1">
        <f>IF(ISBLANK($A325),"",INDEX(Array_ElectricalCharges,MATCH($A325,List_ElectricityMeters,0),ROUNDUP(COLUMN()/3,0)-2))</f>
        <v/>
      </c>
      <c r="W325" s="127"/>
      <c r="X325" s="137"/>
      <c r="Y325" s="58" t="str" cm="1">
        <f>IF(ISBLANK($A325),"",INDEX(Array_ElectricalCharges,MATCH($A325,List_ElectricityMeters,0),ROUNDUP(COLUMN()/3,0)-2))</f>
        <v/>
      </c>
      <c r="Z325" s="127"/>
      <c r="AA325" s="137"/>
      <c r="AB325" s="58" t="str" cm="1">
        <f>IF(ISBLANK($A325),"",INDEX(Array_ElectricalCharges,MATCH($A325,List_ElectricityMeters,0),ROUNDUP(COLUMN()/3,0)-2))</f>
        <v/>
      </c>
      <c r="AC325" s="127"/>
      <c r="AD325" s="137"/>
      <c r="AE325" s="58" t="str" cm="1">
        <f>IF(ISBLANK($A325),"",INDEX(Array_ElectricalCharges,MATCH($A325,List_ElectricityMeters,0),ROUNDUP(COLUMN()/3,0)-2))</f>
        <v/>
      </c>
      <c r="AF325" s="127"/>
      <c r="AG325" s="137"/>
      <c r="AH325" s="58" t="str" cm="1">
        <f>IF(ISBLANK($A325),"",INDEX(Array_ElectricalCharges,MATCH($A325,List_ElectricityMeters,0),ROUNDUP(COLUMN()/3,0)-2))</f>
        <v/>
      </c>
      <c r="AI325" s="127"/>
      <c r="AJ325" s="137"/>
      <c r="AK325" s="58" t="str" cm="1">
        <f>IF(ISBLANK($A325),"",INDEX(Array_ElectricalCharges,MATCH($A325,List_ElectricityMeters,0),ROUNDUP(COLUMN()/3,0)-2))</f>
        <v/>
      </c>
      <c r="AL325" s="127"/>
      <c r="AM325" s="137"/>
      <c r="AN325" s="58" t="str" cm="1">
        <f>IF(ISBLANK($A325),"",INDEX(Array_ElectricalCharges,MATCH($A325,List_ElectricityMeters,0),ROUNDUP(COLUMN()/3,0)-2))</f>
        <v/>
      </c>
      <c r="AO325" s="127"/>
      <c r="AP325" s="137"/>
      <c r="AQ325" s="58" t="str" cm="1">
        <f>IF(ISBLANK($A325),"",INDEX(Array_ElectricalCharges,MATCH($A325,List_ElectricityMeters,0),ROUNDUP(COLUMN()/3,0)-2))</f>
        <v/>
      </c>
      <c r="AR325" s="127"/>
      <c r="AS325" s="137"/>
      <c r="AT325" s="58" t="str" cm="1">
        <f>IF(ISBLANK($A325),"",INDEX(Array_ElectricalCharges,MATCH($A325,List_ElectricityMeters,0),ROUNDUP(COLUMN()/3,0)-2))</f>
        <v/>
      </c>
      <c r="AU325" s="127"/>
      <c r="AV325" s="137"/>
      <c r="AW325" s="58" t="str" cm="1">
        <f>IF(ISBLANK($A325),"",INDEX(Array_ElectricalCharges,MATCH($A325,List_ElectricityMeters,0),ROUNDUP(COLUMN()/3,0)-2))</f>
        <v/>
      </c>
      <c r="AX325" s="127"/>
      <c r="AY325" s="137"/>
    </row>
    <row r="326" spans="1:51" x14ac:dyDescent="0.3">
      <c r="A326" s="126"/>
      <c r="B326" s="133"/>
      <c r="C326" s="134"/>
      <c r="D326" s="134"/>
      <c r="E326" s="135"/>
      <c r="F326" s="136"/>
      <c r="G326" s="58" t="str" cm="1">
        <f>IF(ISBLANK($A326),"",INDEX(Array_ElectricalCharges,MATCH($A326,List_ElectricityMeters,0),ROUNDUP(COLUMN()/3,0)-2))</f>
        <v/>
      </c>
      <c r="H326" s="127"/>
      <c r="I326" s="137"/>
      <c r="J326" s="58" t="str" cm="1">
        <f>IF(ISBLANK($A326),"",INDEX(Array_ElectricalCharges,MATCH($A326,List_ElectricityMeters,0),ROUNDUP(COLUMN()/3,0)-2))</f>
        <v/>
      </c>
      <c r="K326" s="127"/>
      <c r="L326" s="137"/>
      <c r="M326" s="58" t="str" cm="1">
        <f>IF(ISBLANK($A326),"",INDEX(Array_ElectricalCharges,MATCH($A326,List_ElectricityMeters,0),ROUNDUP(COLUMN()/3,0)-2))</f>
        <v/>
      </c>
      <c r="N326" s="127"/>
      <c r="O326" s="137"/>
      <c r="P326" s="58" t="str" cm="1">
        <f>IF(ISBLANK($A326),"",INDEX(Array_ElectricalCharges,MATCH($A326,List_ElectricityMeters,0),ROUNDUP(COLUMN()/3,0)-2))</f>
        <v/>
      </c>
      <c r="Q326" s="127"/>
      <c r="R326" s="137"/>
      <c r="S326" s="58" t="str" cm="1">
        <f>IF(ISBLANK($A326),"",INDEX(Array_ElectricalCharges,MATCH($A326,List_ElectricityMeters,0),ROUNDUP(COLUMN()/3,0)-2))</f>
        <v/>
      </c>
      <c r="T326" s="127"/>
      <c r="U326" s="137"/>
      <c r="V326" s="58" t="str" cm="1">
        <f>IF(ISBLANK($A326),"",INDEX(Array_ElectricalCharges,MATCH($A326,List_ElectricityMeters,0),ROUNDUP(COLUMN()/3,0)-2))</f>
        <v/>
      </c>
      <c r="W326" s="127"/>
      <c r="X326" s="137"/>
      <c r="Y326" s="58" t="str" cm="1">
        <f>IF(ISBLANK($A326),"",INDEX(Array_ElectricalCharges,MATCH($A326,List_ElectricityMeters,0),ROUNDUP(COLUMN()/3,0)-2))</f>
        <v/>
      </c>
      <c r="Z326" s="127"/>
      <c r="AA326" s="137"/>
      <c r="AB326" s="58" t="str" cm="1">
        <f>IF(ISBLANK($A326),"",INDEX(Array_ElectricalCharges,MATCH($A326,List_ElectricityMeters,0),ROUNDUP(COLUMN()/3,0)-2))</f>
        <v/>
      </c>
      <c r="AC326" s="127"/>
      <c r="AD326" s="137"/>
      <c r="AE326" s="58" t="str" cm="1">
        <f>IF(ISBLANK($A326),"",INDEX(Array_ElectricalCharges,MATCH($A326,List_ElectricityMeters,0),ROUNDUP(COLUMN()/3,0)-2))</f>
        <v/>
      </c>
      <c r="AF326" s="127"/>
      <c r="AG326" s="137"/>
      <c r="AH326" s="58" t="str" cm="1">
        <f>IF(ISBLANK($A326),"",INDEX(Array_ElectricalCharges,MATCH($A326,List_ElectricityMeters,0),ROUNDUP(COLUMN()/3,0)-2))</f>
        <v/>
      </c>
      <c r="AI326" s="127"/>
      <c r="AJ326" s="137"/>
      <c r="AK326" s="58" t="str" cm="1">
        <f>IF(ISBLANK($A326),"",INDEX(Array_ElectricalCharges,MATCH($A326,List_ElectricityMeters,0),ROUNDUP(COLUMN()/3,0)-2))</f>
        <v/>
      </c>
      <c r="AL326" s="127"/>
      <c r="AM326" s="137"/>
      <c r="AN326" s="58" t="str" cm="1">
        <f>IF(ISBLANK($A326),"",INDEX(Array_ElectricalCharges,MATCH($A326,List_ElectricityMeters,0),ROUNDUP(COLUMN()/3,0)-2))</f>
        <v/>
      </c>
      <c r="AO326" s="127"/>
      <c r="AP326" s="137"/>
      <c r="AQ326" s="58" t="str" cm="1">
        <f>IF(ISBLANK($A326),"",INDEX(Array_ElectricalCharges,MATCH($A326,List_ElectricityMeters,0),ROUNDUP(COLUMN()/3,0)-2))</f>
        <v/>
      </c>
      <c r="AR326" s="127"/>
      <c r="AS326" s="137"/>
      <c r="AT326" s="58" t="str" cm="1">
        <f>IF(ISBLANK($A326),"",INDEX(Array_ElectricalCharges,MATCH($A326,List_ElectricityMeters,0),ROUNDUP(COLUMN()/3,0)-2))</f>
        <v/>
      </c>
      <c r="AU326" s="127"/>
      <c r="AV326" s="137"/>
      <c r="AW326" s="58" t="str" cm="1">
        <f>IF(ISBLANK($A326),"",INDEX(Array_ElectricalCharges,MATCH($A326,List_ElectricityMeters,0),ROUNDUP(COLUMN()/3,0)-2))</f>
        <v/>
      </c>
      <c r="AX326" s="127"/>
      <c r="AY326" s="137"/>
    </row>
    <row r="327" spans="1:51" x14ac:dyDescent="0.3">
      <c r="A327" s="126"/>
      <c r="B327" s="133"/>
      <c r="C327" s="134"/>
      <c r="D327" s="134"/>
      <c r="E327" s="135"/>
      <c r="F327" s="136"/>
      <c r="G327" s="58" t="str" cm="1">
        <f>IF(ISBLANK($A327),"",INDEX(Array_ElectricalCharges,MATCH($A327,List_ElectricityMeters,0),ROUNDUP(COLUMN()/3,0)-2))</f>
        <v/>
      </c>
      <c r="H327" s="127"/>
      <c r="I327" s="137"/>
      <c r="J327" s="58" t="str" cm="1">
        <f>IF(ISBLANK($A327),"",INDEX(Array_ElectricalCharges,MATCH($A327,List_ElectricityMeters,0),ROUNDUP(COLUMN()/3,0)-2))</f>
        <v/>
      </c>
      <c r="K327" s="127"/>
      <c r="L327" s="137"/>
      <c r="M327" s="58" t="str" cm="1">
        <f>IF(ISBLANK($A327),"",INDEX(Array_ElectricalCharges,MATCH($A327,List_ElectricityMeters,0),ROUNDUP(COLUMN()/3,0)-2))</f>
        <v/>
      </c>
      <c r="N327" s="127"/>
      <c r="O327" s="137"/>
      <c r="P327" s="58" t="str" cm="1">
        <f>IF(ISBLANK($A327),"",INDEX(Array_ElectricalCharges,MATCH($A327,List_ElectricityMeters,0),ROUNDUP(COLUMN()/3,0)-2))</f>
        <v/>
      </c>
      <c r="Q327" s="127"/>
      <c r="R327" s="137"/>
      <c r="S327" s="58" t="str" cm="1">
        <f>IF(ISBLANK($A327),"",INDEX(Array_ElectricalCharges,MATCH($A327,List_ElectricityMeters,0),ROUNDUP(COLUMN()/3,0)-2))</f>
        <v/>
      </c>
      <c r="T327" s="127"/>
      <c r="U327" s="137"/>
      <c r="V327" s="58" t="str" cm="1">
        <f>IF(ISBLANK($A327),"",INDEX(Array_ElectricalCharges,MATCH($A327,List_ElectricityMeters,0),ROUNDUP(COLUMN()/3,0)-2))</f>
        <v/>
      </c>
      <c r="W327" s="127"/>
      <c r="X327" s="137"/>
      <c r="Y327" s="58" t="str" cm="1">
        <f>IF(ISBLANK($A327),"",INDEX(Array_ElectricalCharges,MATCH($A327,List_ElectricityMeters,0),ROUNDUP(COLUMN()/3,0)-2))</f>
        <v/>
      </c>
      <c r="Z327" s="127"/>
      <c r="AA327" s="137"/>
      <c r="AB327" s="58" t="str" cm="1">
        <f>IF(ISBLANK($A327),"",INDEX(Array_ElectricalCharges,MATCH($A327,List_ElectricityMeters,0),ROUNDUP(COLUMN()/3,0)-2))</f>
        <v/>
      </c>
      <c r="AC327" s="127"/>
      <c r="AD327" s="137"/>
      <c r="AE327" s="58" t="str" cm="1">
        <f>IF(ISBLANK($A327),"",INDEX(Array_ElectricalCharges,MATCH($A327,List_ElectricityMeters,0),ROUNDUP(COLUMN()/3,0)-2))</f>
        <v/>
      </c>
      <c r="AF327" s="127"/>
      <c r="AG327" s="137"/>
      <c r="AH327" s="58" t="str" cm="1">
        <f>IF(ISBLANK($A327),"",INDEX(Array_ElectricalCharges,MATCH($A327,List_ElectricityMeters,0),ROUNDUP(COLUMN()/3,0)-2))</f>
        <v/>
      </c>
      <c r="AI327" s="127"/>
      <c r="AJ327" s="137"/>
      <c r="AK327" s="58" t="str" cm="1">
        <f>IF(ISBLANK($A327),"",INDEX(Array_ElectricalCharges,MATCH($A327,List_ElectricityMeters,0),ROUNDUP(COLUMN()/3,0)-2))</f>
        <v/>
      </c>
      <c r="AL327" s="127"/>
      <c r="AM327" s="137"/>
      <c r="AN327" s="58" t="str" cm="1">
        <f>IF(ISBLANK($A327),"",INDEX(Array_ElectricalCharges,MATCH($A327,List_ElectricityMeters,0),ROUNDUP(COLUMN()/3,0)-2))</f>
        <v/>
      </c>
      <c r="AO327" s="127"/>
      <c r="AP327" s="137"/>
      <c r="AQ327" s="58" t="str" cm="1">
        <f>IF(ISBLANK($A327),"",INDEX(Array_ElectricalCharges,MATCH($A327,List_ElectricityMeters,0),ROUNDUP(COLUMN()/3,0)-2))</f>
        <v/>
      </c>
      <c r="AR327" s="127"/>
      <c r="AS327" s="137"/>
      <c r="AT327" s="58" t="str" cm="1">
        <f>IF(ISBLANK($A327),"",INDEX(Array_ElectricalCharges,MATCH($A327,List_ElectricityMeters,0),ROUNDUP(COLUMN()/3,0)-2))</f>
        <v/>
      </c>
      <c r="AU327" s="127"/>
      <c r="AV327" s="137"/>
      <c r="AW327" s="58" t="str" cm="1">
        <f>IF(ISBLANK($A327),"",INDEX(Array_ElectricalCharges,MATCH($A327,List_ElectricityMeters,0),ROUNDUP(COLUMN()/3,0)-2))</f>
        <v/>
      </c>
      <c r="AX327" s="127"/>
      <c r="AY327" s="137"/>
    </row>
    <row r="328" spans="1:51" x14ac:dyDescent="0.3">
      <c r="A328" s="126"/>
      <c r="B328" s="133"/>
      <c r="C328" s="134"/>
      <c r="D328" s="134"/>
      <c r="E328" s="135"/>
      <c r="F328" s="136"/>
      <c r="G328" s="58" t="str" cm="1">
        <f>IF(ISBLANK($A328),"",INDEX(Array_ElectricalCharges,MATCH($A328,List_ElectricityMeters,0),ROUNDUP(COLUMN()/3,0)-2))</f>
        <v/>
      </c>
      <c r="H328" s="127"/>
      <c r="I328" s="137"/>
      <c r="J328" s="58" t="str" cm="1">
        <f>IF(ISBLANK($A328),"",INDEX(Array_ElectricalCharges,MATCH($A328,List_ElectricityMeters,0),ROUNDUP(COLUMN()/3,0)-2))</f>
        <v/>
      </c>
      <c r="K328" s="127"/>
      <c r="L328" s="137"/>
      <c r="M328" s="58" t="str" cm="1">
        <f>IF(ISBLANK($A328),"",INDEX(Array_ElectricalCharges,MATCH($A328,List_ElectricityMeters,0),ROUNDUP(COLUMN()/3,0)-2))</f>
        <v/>
      </c>
      <c r="N328" s="127"/>
      <c r="O328" s="137"/>
      <c r="P328" s="58" t="str" cm="1">
        <f>IF(ISBLANK($A328),"",INDEX(Array_ElectricalCharges,MATCH($A328,List_ElectricityMeters,0),ROUNDUP(COLUMN()/3,0)-2))</f>
        <v/>
      </c>
      <c r="Q328" s="127"/>
      <c r="R328" s="137"/>
      <c r="S328" s="58" t="str" cm="1">
        <f>IF(ISBLANK($A328),"",INDEX(Array_ElectricalCharges,MATCH($A328,List_ElectricityMeters,0),ROUNDUP(COLUMN()/3,0)-2))</f>
        <v/>
      </c>
      <c r="T328" s="127"/>
      <c r="U328" s="137"/>
      <c r="V328" s="58" t="str" cm="1">
        <f>IF(ISBLANK($A328),"",INDEX(Array_ElectricalCharges,MATCH($A328,List_ElectricityMeters,0),ROUNDUP(COLUMN()/3,0)-2))</f>
        <v/>
      </c>
      <c r="W328" s="127"/>
      <c r="X328" s="137"/>
      <c r="Y328" s="58" t="str" cm="1">
        <f>IF(ISBLANK($A328),"",INDEX(Array_ElectricalCharges,MATCH($A328,List_ElectricityMeters,0),ROUNDUP(COLUMN()/3,0)-2))</f>
        <v/>
      </c>
      <c r="Z328" s="127"/>
      <c r="AA328" s="137"/>
      <c r="AB328" s="58" t="str" cm="1">
        <f>IF(ISBLANK($A328),"",INDEX(Array_ElectricalCharges,MATCH($A328,List_ElectricityMeters,0),ROUNDUP(COLUMN()/3,0)-2))</f>
        <v/>
      </c>
      <c r="AC328" s="127"/>
      <c r="AD328" s="137"/>
      <c r="AE328" s="58" t="str" cm="1">
        <f>IF(ISBLANK($A328),"",INDEX(Array_ElectricalCharges,MATCH($A328,List_ElectricityMeters,0),ROUNDUP(COLUMN()/3,0)-2))</f>
        <v/>
      </c>
      <c r="AF328" s="127"/>
      <c r="AG328" s="137"/>
      <c r="AH328" s="58" t="str" cm="1">
        <f>IF(ISBLANK($A328),"",INDEX(Array_ElectricalCharges,MATCH($A328,List_ElectricityMeters,0),ROUNDUP(COLUMN()/3,0)-2))</f>
        <v/>
      </c>
      <c r="AI328" s="127"/>
      <c r="AJ328" s="137"/>
      <c r="AK328" s="58" t="str" cm="1">
        <f>IF(ISBLANK($A328),"",INDEX(Array_ElectricalCharges,MATCH($A328,List_ElectricityMeters,0),ROUNDUP(COLUMN()/3,0)-2))</f>
        <v/>
      </c>
      <c r="AL328" s="127"/>
      <c r="AM328" s="137"/>
      <c r="AN328" s="58" t="str" cm="1">
        <f>IF(ISBLANK($A328),"",INDEX(Array_ElectricalCharges,MATCH($A328,List_ElectricityMeters,0),ROUNDUP(COLUMN()/3,0)-2))</f>
        <v/>
      </c>
      <c r="AO328" s="127"/>
      <c r="AP328" s="137"/>
      <c r="AQ328" s="58" t="str" cm="1">
        <f>IF(ISBLANK($A328),"",INDEX(Array_ElectricalCharges,MATCH($A328,List_ElectricityMeters,0),ROUNDUP(COLUMN()/3,0)-2))</f>
        <v/>
      </c>
      <c r="AR328" s="127"/>
      <c r="AS328" s="137"/>
      <c r="AT328" s="58" t="str" cm="1">
        <f>IF(ISBLANK($A328),"",INDEX(Array_ElectricalCharges,MATCH($A328,List_ElectricityMeters,0),ROUNDUP(COLUMN()/3,0)-2))</f>
        <v/>
      </c>
      <c r="AU328" s="127"/>
      <c r="AV328" s="137"/>
      <c r="AW328" s="58" t="str" cm="1">
        <f>IF(ISBLANK($A328),"",INDEX(Array_ElectricalCharges,MATCH($A328,List_ElectricityMeters,0),ROUNDUP(COLUMN()/3,0)-2))</f>
        <v/>
      </c>
      <c r="AX328" s="127"/>
      <c r="AY328" s="137"/>
    </row>
    <row r="329" spans="1:51" x14ac:dyDescent="0.3">
      <c r="A329" s="126"/>
      <c r="B329" s="133"/>
      <c r="C329" s="134"/>
      <c r="D329" s="134"/>
      <c r="E329" s="135"/>
      <c r="F329" s="136"/>
      <c r="G329" s="58" t="str" cm="1">
        <f>IF(ISBLANK($A329),"",INDEX(Array_ElectricalCharges,MATCH($A329,List_ElectricityMeters,0),ROUNDUP(COLUMN()/3,0)-2))</f>
        <v/>
      </c>
      <c r="H329" s="127"/>
      <c r="I329" s="137"/>
      <c r="J329" s="58" t="str" cm="1">
        <f>IF(ISBLANK($A329),"",INDEX(Array_ElectricalCharges,MATCH($A329,List_ElectricityMeters,0),ROUNDUP(COLUMN()/3,0)-2))</f>
        <v/>
      </c>
      <c r="K329" s="127"/>
      <c r="L329" s="137"/>
      <c r="M329" s="58" t="str" cm="1">
        <f>IF(ISBLANK($A329),"",INDEX(Array_ElectricalCharges,MATCH($A329,List_ElectricityMeters,0),ROUNDUP(COLUMN()/3,0)-2))</f>
        <v/>
      </c>
      <c r="N329" s="127"/>
      <c r="O329" s="137"/>
      <c r="P329" s="58" t="str" cm="1">
        <f>IF(ISBLANK($A329),"",INDEX(Array_ElectricalCharges,MATCH($A329,List_ElectricityMeters,0),ROUNDUP(COLUMN()/3,0)-2))</f>
        <v/>
      </c>
      <c r="Q329" s="127"/>
      <c r="R329" s="137"/>
      <c r="S329" s="58" t="str" cm="1">
        <f>IF(ISBLANK($A329),"",INDEX(Array_ElectricalCharges,MATCH($A329,List_ElectricityMeters,0),ROUNDUP(COLUMN()/3,0)-2))</f>
        <v/>
      </c>
      <c r="T329" s="127"/>
      <c r="U329" s="137"/>
      <c r="V329" s="58" t="str" cm="1">
        <f>IF(ISBLANK($A329),"",INDEX(Array_ElectricalCharges,MATCH($A329,List_ElectricityMeters,0),ROUNDUP(COLUMN()/3,0)-2))</f>
        <v/>
      </c>
      <c r="W329" s="127"/>
      <c r="X329" s="137"/>
      <c r="Y329" s="58" t="str" cm="1">
        <f>IF(ISBLANK($A329),"",INDEX(Array_ElectricalCharges,MATCH($A329,List_ElectricityMeters,0),ROUNDUP(COLUMN()/3,0)-2))</f>
        <v/>
      </c>
      <c r="Z329" s="127"/>
      <c r="AA329" s="137"/>
      <c r="AB329" s="58" t="str" cm="1">
        <f>IF(ISBLANK($A329),"",INDEX(Array_ElectricalCharges,MATCH($A329,List_ElectricityMeters,0),ROUNDUP(COLUMN()/3,0)-2))</f>
        <v/>
      </c>
      <c r="AC329" s="127"/>
      <c r="AD329" s="137"/>
      <c r="AE329" s="58" t="str" cm="1">
        <f>IF(ISBLANK($A329),"",INDEX(Array_ElectricalCharges,MATCH($A329,List_ElectricityMeters,0),ROUNDUP(COLUMN()/3,0)-2))</f>
        <v/>
      </c>
      <c r="AF329" s="127"/>
      <c r="AG329" s="137"/>
      <c r="AH329" s="58" t="str" cm="1">
        <f>IF(ISBLANK($A329),"",INDEX(Array_ElectricalCharges,MATCH($A329,List_ElectricityMeters,0),ROUNDUP(COLUMN()/3,0)-2))</f>
        <v/>
      </c>
      <c r="AI329" s="127"/>
      <c r="AJ329" s="137"/>
      <c r="AK329" s="58" t="str" cm="1">
        <f>IF(ISBLANK($A329),"",INDEX(Array_ElectricalCharges,MATCH($A329,List_ElectricityMeters,0),ROUNDUP(COLUMN()/3,0)-2))</f>
        <v/>
      </c>
      <c r="AL329" s="127"/>
      <c r="AM329" s="137"/>
      <c r="AN329" s="58" t="str" cm="1">
        <f>IF(ISBLANK($A329),"",INDEX(Array_ElectricalCharges,MATCH($A329,List_ElectricityMeters,0),ROUNDUP(COLUMN()/3,0)-2))</f>
        <v/>
      </c>
      <c r="AO329" s="127"/>
      <c r="AP329" s="137"/>
      <c r="AQ329" s="58" t="str" cm="1">
        <f>IF(ISBLANK($A329),"",INDEX(Array_ElectricalCharges,MATCH($A329,List_ElectricityMeters,0),ROUNDUP(COLUMN()/3,0)-2))</f>
        <v/>
      </c>
      <c r="AR329" s="127"/>
      <c r="AS329" s="137"/>
      <c r="AT329" s="58" t="str" cm="1">
        <f>IF(ISBLANK($A329),"",INDEX(Array_ElectricalCharges,MATCH($A329,List_ElectricityMeters,0),ROUNDUP(COLUMN()/3,0)-2))</f>
        <v/>
      </c>
      <c r="AU329" s="127"/>
      <c r="AV329" s="137"/>
      <c r="AW329" s="58" t="str" cm="1">
        <f>IF(ISBLANK($A329),"",INDEX(Array_ElectricalCharges,MATCH($A329,List_ElectricityMeters,0),ROUNDUP(COLUMN()/3,0)-2))</f>
        <v/>
      </c>
      <c r="AX329" s="127"/>
      <c r="AY329" s="137"/>
    </row>
    <row r="330" spans="1:51" x14ac:dyDescent="0.3">
      <c r="A330" s="126"/>
      <c r="B330" s="133"/>
      <c r="C330" s="134"/>
      <c r="D330" s="134"/>
      <c r="E330" s="135"/>
      <c r="F330" s="136"/>
      <c r="G330" s="58" t="str" cm="1">
        <f>IF(ISBLANK($A330),"",INDEX(Array_ElectricalCharges,MATCH($A330,List_ElectricityMeters,0),ROUNDUP(COLUMN()/3,0)-2))</f>
        <v/>
      </c>
      <c r="H330" s="127"/>
      <c r="I330" s="137"/>
      <c r="J330" s="58" t="str" cm="1">
        <f>IF(ISBLANK($A330),"",INDEX(Array_ElectricalCharges,MATCH($A330,List_ElectricityMeters,0),ROUNDUP(COLUMN()/3,0)-2))</f>
        <v/>
      </c>
      <c r="K330" s="127"/>
      <c r="L330" s="137"/>
      <c r="M330" s="58" t="str" cm="1">
        <f>IF(ISBLANK($A330),"",INDEX(Array_ElectricalCharges,MATCH($A330,List_ElectricityMeters,0),ROUNDUP(COLUMN()/3,0)-2))</f>
        <v/>
      </c>
      <c r="N330" s="127"/>
      <c r="O330" s="137"/>
      <c r="P330" s="58" t="str" cm="1">
        <f>IF(ISBLANK($A330),"",INDEX(Array_ElectricalCharges,MATCH($A330,List_ElectricityMeters,0),ROUNDUP(COLUMN()/3,0)-2))</f>
        <v/>
      </c>
      <c r="Q330" s="127"/>
      <c r="R330" s="137"/>
      <c r="S330" s="58" t="str" cm="1">
        <f>IF(ISBLANK($A330),"",INDEX(Array_ElectricalCharges,MATCH($A330,List_ElectricityMeters,0),ROUNDUP(COLUMN()/3,0)-2))</f>
        <v/>
      </c>
      <c r="T330" s="127"/>
      <c r="U330" s="137"/>
      <c r="V330" s="58" t="str" cm="1">
        <f>IF(ISBLANK($A330),"",INDEX(Array_ElectricalCharges,MATCH($A330,List_ElectricityMeters,0),ROUNDUP(COLUMN()/3,0)-2))</f>
        <v/>
      </c>
      <c r="W330" s="127"/>
      <c r="X330" s="137"/>
      <c r="Y330" s="58" t="str" cm="1">
        <f>IF(ISBLANK($A330),"",INDEX(Array_ElectricalCharges,MATCH($A330,List_ElectricityMeters,0),ROUNDUP(COLUMN()/3,0)-2))</f>
        <v/>
      </c>
      <c r="Z330" s="127"/>
      <c r="AA330" s="137"/>
      <c r="AB330" s="58" t="str" cm="1">
        <f>IF(ISBLANK($A330),"",INDEX(Array_ElectricalCharges,MATCH($A330,List_ElectricityMeters,0),ROUNDUP(COLUMN()/3,0)-2))</f>
        <v/>
      </c>
      <c r="AC330" s="127"/>
      <c r="AD330" s="137"/>
      <c r="AE330" s="58" t="str" cm="1">
        <f>IF(ISBLANK($A330),"",INDEX(Array_ElectricalCharges,MATCH($A330,List_ElectricityMeters,0),ROUNDUP(COLUMN()/3,0)-2))</f>
        <v/>
      </c>
      <c r="AF330" s="127"/>
      <c r="AG330" s="137"/>
      <c r="AH330" s="58" t="str" cm="1">
        <f>IF(ISBLANK($A330),"",INDEX(Array_ElectricalCharges,MATCH($A330,List_ElectricityMeters,0),ROUNDUP(COLUMN()/3,0)-2))</f>
        <v/>
      </c>
      <c r="AI330" s="127"/>
      <c r="AJ330" s="137"/>
      <c r="AK330" s="58" t="str" cm="1">
        <f>IF(ISBLANK($A330),"",INDEX(Array_ElectricalCharges,MATCH($A330,List_ElectricityMeters,0),ROUNDUP(COLUMN()/3,0)-2))</f>
        <v/>
      </c>
      <c r="AL330" s="127"/>
      <c r="AM330" s="137"/>
      <c r="AN330" s="58" t="str" cm="1">
        <f>IF(ISBLANK($A330),"",INDEX(Array_ElectricalCharges,MATCH($A330,List_ElectricityMeters,0),ROUNDUP(COLUMN()/3,0)-2))</f>
        <v/>
      </c>
      <c r="AO330" s="127"/>
      <c r="AP330" s="137"/>
      <c r="AQ330" s="58" t="str" cm="1">
        <f>IF(ISBLANK($A330),"",INDEX(Array_ElectricalCharges,MATCH($A330,List_ElectricityMeters,0),ROUNDUP(COLUMN()/3,0)-2))</f>
        <v/>
      </c>
      <c r="AR330" s="127"/>
      <c r="AS330" s="137"/>
      <c r="AT330" s="58" t="str" cm="1">
        <f>IF(ISBLANK($A330),"",INDEX(Array_ElectricalCharges,MATCH($A330,List_ElectricityMeters,0),ROUNDUP(COLUMN()/3,0)-2))</f>
        <v/>
      </c>
      <c r="AU330" s="127"/>
      <c r="AV330" s="137"/>
      <c r="AW330" s="58" t="str" cm="1">
        <f>IF(ISBLANK($A330),"",INDEX(Array_ElectricalCharges,MATCH($A330,List_ElectricityMeters,0),ROUNDUP(COLUMN()/3,0)-2))</f>
        <v/>
      </c>
      <c r="AX330" s="127"/>
      <c r="AY330" s="137"/>
    </row>
    <row r="331" spans="1:51" x14ac:dyDescent="0.3">
      <c r="A331" s="126"/>
      <c r="B331" s="133"/>
      <c r="C331" s="134"/>
      <c r="D331" s="134"/>
      <c r="E331" s="135"/>
      <c r="F331" s="136"/>
      <c r="G331" s="58" t="str" cm="1">
        <f>IF(ISBLANK($A331),"",INDEX(Array_ElectricalCharges,MATCH($A331,List_ElectricityMeters,0),ROUNDUP(COLUMN()/3,0)-2))</f>
        <v/>
      </c>
      <c r="H331" s="127"/>
      <c r="I331" s="137"/>
      <c r="J331" s="58" t="str" cm="1">
        <f>IF(ISBLANK($A331),"",INDEX(Array_ElectricalCharges,MATCH($A331,List_ElectricityMeters,0),ROUNDUP(COLUMN()/3,0)-2))</f>
        <v/>
      </c>
      <c r="K331" s="127"/>
      <c r="L331" s="137"/>
      <c r="M331" s="58" t="str" cm="1">
        <f>IF(ISBLANK($A331),"",INDEX(Array_ElectricalCharges,MATCH($A331,List_ElectricityMeters,0),ROUNDUP(COLUMN()/3,0)-2))</f>
        <v/>
      </c>
      <c r="N331" s="127"/>
      <c r="O331" s="137"/>
      <c r="P331" s="58" t="str" cm="1">
        <f>IF(ISBLANK($A331),"",INDEX(Array_ElectricalCharges,MATCH($A331,List_ElectricityMeters,0),ROUNDUP(COLUMN()/3,0)-2))</f>
        <v/>
      </c>
      <c r="Q331" s="127"/>
      <c r="R331" s="137"/>
      <c r="S331" s="58" t="str" cm="1">
        <f>IF(ISBLANK($A331),"",INDEX(Array_ElectricalCharges,MATCH($A331,List_ElectricityMeters,0),ROUNDUP(COLUMN()/3,0)-2))</f>
        <v/>
      </c>
      <c r="T331" s="127"/>
      <c r="U331" s="137"/>
      <c r="V331" s="58" t="str" cm="1">
        <f>IF(ISBLANK($A331),"",INDEX(Array_ElectricalCharges,MATCH($A331,List_ElectricityMeters,0),ROUNDUP(COLUMN()/3,0)-2))</f>
        <v/>
      </c>
      <c r="W331" s="127"/>
      <c r="X331" s="137"/>
      <c r="Y331" s="58" t="str" cm="1">
        <f>IF(ISBLANK($A331),"",INDEX(Array_ElectricalCharges,MATCH($A331,List_ElectricityMeters,0),ROUNDUP(COLUMN()/3,0)-2))</f>
        <v/>
      </c>
      <c r="Z331" s="127"/>
      <c r="AA331" s="137"/>
      <c r="AB331" s="58" t="str" cm="1">
        <f>IF(ISBLANK($A331),"",INDEX(Array_ElectricalCharges,MATCH($A331,List_ElectricityMeters,0),ROUNDUP(COLUMN()/3,0)-2))</f>
        <v/>
      </c>
      <c r="AC331" s="127"/>
      <c r="AD331" s="137"/>
      <c r="AE331" s="58" t="str" cm="1">
        <f>IF(ISBLANK($A331),"",INDEX(Array_ElectricalCharges,MATCH($A331,List_ElectricityMeters,0),ROUNDUP(COLUMN()/3,0)-2))</f>
        <v/>
      </c>
      <c r="AF331" s="127"/>
      <c r="AG331" s="137"/>
      <c r="AH331" s="58" t="str" cm="1">
        <f>IF(ISBLANK($A331),"",INDEX(Array_ElectricalCharges,MATCH($A331,List_ElectricityMeters,0),ROUNDUP(COLUMN()/3,0)-2))</f>
        <v/>
      </c>
      <c r="AI331" s="127"/>
      <c r="AJ331" s="137"/>
      <c r="AK331" s="58" t="str" cm="1">
        <f>IF(ISBLANK($A331),"",INDEX(Array_ElectricalCharges,MATCH($A331,List_ElectricityMeters,0),ROUNDUP(COLUMN()/3,0)-2))</f>
        <v/>
      </c>
      <c r="AL331" s="127"/>
      <c r="AM331" s="137"/>
      <c r="AN331" s="58" t="str" cm="1">
        <f>IF(ISBLANK($A331),"",INDEX(Array_ElectricalCharges,MATCH($A331,List_ElectricityMeters,0),ROUNDUP(COLUMN()/3,0)-2))</f>
        <v/>
      </c>
      <c r="AO331" s="127"/>
      <c r="AP331" s="137"/>
      <c r="AQ331" s="58" t="str" cm="1">
        <f>IF(ISBLANK($A331),"",INDEX(Array_ElectricalCharges,MATCH($A331,List_ElectricityMeters,0),ROUNDUP(COLUMN()/3,0)-2))</f>
        <v/>
      </c>
      <c r="AR331" s="127"/>
      <c r="AS331" s="137"/>
      <c r="AT331" s="58" t="str" cm="1">
        <f>IF(ISBLANK($A331),"",INDEX(Array_ElectricalCharges,MATCH($A331,List_ElectricityMeters,0),ROUNDUP(COLUMN()/3,0)-2))</f>
        <v/>
      </c>
      <c r="AU331" s="127"/>
      <c r="AV331" s="137"/>
      <c r="AW331" s="58" t="str" cm="1">
        <f>IF(ISBLANK($A331),"",INDEX(Array_ElectricalCharges,MATCH($A331,List_ElectricityMeters,0),ROUNDUP(COLUMN()/3,0)-2))</f>
        <v/>
      </c>
      <c r="AX331" s="127"/>
      <c r="AY331" s="137"/>
    </row>
    <row r="332" spans="1:51" x14ac:dyDescent="0.3">
      <c r="A332" s="126"/>
      <c r="B332" s="133"/>
      <c r="C332" s="134"/>
      <c r="D332" s="134"/>
      <c r="E332" s="135"/>
      <c r="F332" s="136"/>
      <c r="G332" s="58" t="str" cm="1">
        <f>IF(ISBLANK($A332),"",INDEX(Array_ElectricalCharges,MATCH($A332,List_ElectricityMeters,0),ROUNDUP(COLUMN()/3,0)-2))</f>
        <v/>
      </c>
      <c r="H332" s="127"/>
      <c r="I332" s="137"/>
      <c r="J332" s="58" t="str" cm="1">
        <f>IF(ISBLANK($A332),"",INDEX(Array_ElectricalCharges,MATCH($A332,List_ElectricityMeters,0),ROUNDUP(COLUMN()/3,0)-2))</f>
        <v/>
      </c>
      <c r="K332" s="127"/>
      <c r="L332" s="137"/>
      <c r="M332" s="58" t="str" cm="1">
        <f>IF(ISBLANK($A332),"",INDEX(Array_ElectricalCharges,MATCH($A332,List_ElectricityMeters,0),ROUNDUP(COLUMN()/3,0)-2))</f>
        <v/>
      </c>
      <c r="N332" s="127"/>
      <c r="O332" s="137"/>
      <c r="P332" s="58" t="str" cm="1">
        <f>IF(ISBLANK($A332),"",INDEX(Array_ElectricalCharges,MATCH($A332,List_ElectricityMeters,0),ROUNDUP(COLUMN()/3,0)-2))</f>
        <v/>
      </c>
      <c r="Q332" s="127"/>
      <c r="R332" s="137"/>
      <c r="S332" s="58" t="str" cm="1">
        <f>IF(ISBLANK($A332),"",INDEX(Array_ElectricalCharges,MATCH($A332,List_ElectricityMeters,0),ROUNDUP(COLUMN()/3,0)-2))</f>
        <v/>
      </c>
      <c r="T332" s="127"/>
      <c r="U332" s="137"/>
      <c r="V332" s="58" t="str" cm="1">
        <f>IF(ISBLANK($A332),"",INDEX(Array_ElectricalCharges,MATCH($A332,List_ElectricityMeters,0),ROUNDUP(COLUMN()/3,0)-2))</f>
        <v/>
      </c>
      <c r="W332" s="127"/>
      <c r="X332" s="137"/>
      <c r="Y332" s="58" t="str" cm="1">
        <f>IF(ISBLANK($A332),"",INDEX(Array_ElectricalCharges,MATCH($A332,List_ElectricityMeters,0),ROUNDUP(COLUMN()/3,0)-2))</f>
        <v/>
      </c>
      <c r="Z332" s="127"/>
      <c r="AA332" s="137"/>
      <c r="AB332" s="58" t="str" cm="1">
        <f>IF(ISBLANK($A332),"",INDEX(Array_ElectricalCharges,MATCH($A332,List_ElectricityMeters,0),ROUNDUP(COLUMN()/3,0)-2))</f>
        <v/>
      </c>
      <c r="AC332" s="127"/>
      <c r="AD332" s="137"/>
      <c r="AE332" s="58" t="str" cm="1">
        <f>IF(ISBLANK($A332),"",INDEX(Array_ElectricalCharges,MATCH($A332,List_ElectricityMeters,0),ROUNDUP(COLUMN()/3,0)-2))</f>
        <v/>
      </c>
      <c r="AF332" s="127"/>
      <c r="AG332" s="137"/>
      <c r="AH332" s="58" t="str" cm="1">
        <f>IF(ISBLANK($A332),"",INDEX(Array_ElectricalCharges,MATCH($A332,List_ElectricityMeters,0),ROUNDUP(COLUMN()/3,0)-2))</f>
        <v/>
      </c>
      <c r="AI332" s="127"/>
      <c r="AJ332" s="137"/>
      <c r="AK332" s="58" t="str" cm="1">
        <f>IF(ISBLANK($A332),"",INDEX(Array_ElectricalCharges,MATCH($A332,List_ElectricityMeters,0),ROUNDUP(COLUMN()/3,0)-2))</f>
        <v/>
      </c>
      <c r="AL332" s="127"/>
      <c r="AM332" s="137"/>
      <c r="AN332" s="58" t="str" cm="1">
        <f>IF(ISBLANK($A332),"",INDEX(Array_ElectricalCharges,MATCH($A332,List_ElectricityMeters,0),ROUNDUP(COLUMN()/3,0)-2))</f>
        <v/>
      </c>
      <c r="AO332" s="127"/>
      <c r="AP332" s="137"/>
      <c r="AQ332" s="58" t="str" cm="1">
        <f>IF(ISBLANK($A332),"",INDEX(Array_ElectricalCharges,MATCH($A332,List_ElectricityMeters,0),ROUNDUP(COLUMN()/3,0)-2))</f>
        <v/>
      </c>
      <c r="AR332" s="127"/>
      <c r="AS332" s="137"/>
      <c r="AT332" s="58" t="str" cm="1">
        <f>IF(ISBLANK($A332),"",INDEX(Array_ElectricalCharges,MATCH($A332,List_ElectricityMeters,0),ROUNDUP(COLUMN()/3,0)-2))</f>
        <v/>
      </c>
      <c r="AU332" s="127"/>
      <c r="AV332" s="137"/>
      <c r="AW332" s="58" t="str" cm="1">
        <f>IF(ISBLANK($A332),"",INDEX(Array_ElectricalCharges,MATCH($A332,List_ElectricityMeters,0),ROUNDUP(COLUMN()/3,0)-2))</f>
        <v/>
      </c>
      <c r="AX332" s="127"/>
      <c r="AY332" s="137"/>
    </row>
    <row r="333" spans="1:51" x14ac:dyDescent="0.3">
      <c r="A333" s="126"/>
      <c r="B333" s="133"/>
      <c r="C333" s="134"/>
      <c r="D333" s="134"/>
      <c r="E333" s="135"/>
      <c r="F333" s="136"/>
      <c r="G333" s="58" t="str" cm="1">
        <f>IF(ISBLANK($A333),"",INDEX(Array_ElectricalCharges,MATCH($A333,List_ElectricityMeters,0),ROUNDUP(COLUMN()/3,0)-2))</f>
        <v/>
      </c>
      <c r="H333" s="127"/>
      <c r="I333" s="137"/>
      <c r="J333" s="58" t="str" cm="1">
        <f>IF(ISBLANK($A333),"",INDEX(Array_ElectricalCharges,MATCH($A333,List_ElectricityMeters,0),ROUNDUP(COLUMN()/3,0)-2))</f>
        <v/>
      </c>
      <c r="K333" s="127"/>
      <c r="L333" s="137"/>
      <c r="M333" s="58" t="str" cm="1">
        <f>IF(ISBLANK($A333),"",INDEX(Array_ElectricalCharges,MATCH($A333,List_ElectricityMeters,0),ROUNDUP(COLUMN()/3,0)-2))</f>
        <v/>
      </c>
      <c r="N333" s="127"/>
      <c r="O333" s="137"/>
      <c r="P333" s="58" t="str" cm="1">
        <f>IF(ISBLANK($A333),"",INDEX(Array_ElectricalCharges,MATCH($A333,List_ElectricityMeters,0),ROUNDUP(COLUMN()/3,0)-2))</f>
        <v/>
      </c>
      <c r="Q333" s="127"/>
      <c r="R333" s="137"/>
      <c r="S333" s="58" t="str" cm="1">
        <f>IF(ISBLANK($A333),"",INDEX(Array_ElectricalCharges,MATCH($A333,List_ElectricityMeters,0),ROUNDUP(COLUMN()/3,0)-2))</f>
        <v/>
      </c>
      <c r="T333" s="127"/>
      <c r="U333" s="137"/>
      <c r="V333" s="58" t="str" cm="1">
        <f>IF(ISBLANK($A333),"",INDEX(Array_ElectricalCharges,MATCH($A333,List_ElectricityMeters,0),ROUNDUP(COLUMN()/3,0)-2))</f>
        <v/>
      </c>
      <c r="W333" s="127"/>
      <c r="X333" s="137"/>
      <c r="Y333" s="58" t="str" cm="1">
        <f>IF(ISBLANK($A333),"",INDEX(Array_ElectricalCharges,MATCH($A333,List_ElectricityMeters,0),ROUNDUP(COLUMN()/3,0)-2))</f>
        <v/>
      </c>
      <c r="Z333" s="127"/>
      <c r="AA333" s="137"/>
      <c r="AB333" s="58" t="str" cm="1">
        <f>IF(ISBLANK($A333),"",INDEX(Array_ElectricalCharges,MATCH($A333,List_ElectricityMeters,0),ROUNDUP(COLUMN()/3,0)-2))</f>
        <v/>
      </c>
      <c r="AC333" s="127"/>
      <c r="AD333" s="137"/>
      <c r="AE333" s="58" t="str" cm="1">
        <f>IF(ISBLANK($A333),"",INDEX(Array_ElectricalCharges,MATCH($A333,List_ElectricityMeters,0),ROUNDUP(COLUMN()/3,0)-2))</f>
        <v/>
      </c>
      <c r="AF333" s="127"/>
      <c r="AG333" s="137"/>
      <c r="AH333" s="58" t="str" cm="1">
        <f>IF(ISBLANK($A333),"",INDEX(Array_ElectricalCharges,MATCH($A333,List_ElectricityMeters,0),ROUNDUP(COLUMN()/3,0)-2))</f>
        <v/>
      </c>
      <c r="AI333" s="127"/>
      <c r="AJ333" s="137"/>
      <c r="AK333" s="58" t="str" cm="1">
        <f>IF(ISBLANK($A333),"",INDEX(Array_ElectricalCharges,MATCH($A333,List_ElectricityMeters,0),ROUNDUP(COLUMN()/3,0)-2))</f>
        <v/>
      </c>
      <c r="AL333" s="127"/>
      <c r="AM333" s="137"/>
      <c r="AN333" s="58" t="str" cm="1">
        <f>IF(ISBLANK($A333),"",INDEX(Array_ElectricalCharges,MATCH($A333,List_ElectricityMeters,0),ROUNDUP(COLUMN()/3,0)-2))</f>
        <v/>
      </c>
      <c r="AO333" s="127"/>
      <c r="AP333" s="137"/>
      <c r="AQ333" s="58" t="str" cm="1">
        <f>IF(ISBLANK($A333),"",INDEX(Array_ElectricalCharges,MATCH($A333,List_ElectricityMeters,0),ROUNDUP(COLUMN()/3,0)-2))</f>
        <v/>
      </c>
      <c r="AR333" s="127"/>
      <c r="AS333" s="137"/>
      <c r="AT333" s="58" t="str" cm="1">
        <f>IF(ISBLANK($A333),"",INDEX(Array_ElectricalCharges,MATCH($A333,List_ElectricityMeters,0),ROUNDUP(COLUMN()/3,0)-2))</f>
        <v/>
      </c>
      <c r="AU333" s="127"/>
      <c r="AV333" s="137"/>
      <c r="AW333" s="58" t="str" cm="1">
        <f>IF(ISBLANK($A333),"",INDEX(Array_ElectricalCharges,MATCH($A333,List_ElectricityMeters,0),ROUNDUP(COLUMN()/3,0)-2))</f>
        <v/>
      </c>
      <c r="AX333" s="127"/>
      <c r="AY333" s="137"/>
    </row>
    <row r="334" spans="1:51" x14ac:dyDescent="0.3">
      <c r="A334" s="126"/>
      <c r="B334" s="133"/>
      <c r="C334" s="134"/>
      <c r="D334" s="134"/>
      <c r="E334" s="135"/>
      <c r="F334" s="136"/>
      <c r="G334" s="58" t="str" cm="1">
        <f>IF(ISBLANK($A334),"",INDEX(Array_ElectricalCharges,MATCH($A334,List_ElectricityMeters,0),ROUNDUP(COLUMN()/3,0)-2))</f>
        <v/>
      </c>
      <c r="H334" s="127"/>
      <c r="I334" s="137"/>
      <c r="J334" s="58" t="str" cm="1">
        <f>IF(ISBLANK($A334),"",INDEX(Array_ElectricalCharges,MATCH($A334,List_ElectricityMeters,0),ROUNDUP(COLUMN()/3,0)-2))</f>
        <v/>
      </c>
      <c r="K334" s="127"/>
      <c r="L334" s="137"/>
      <c r="M334" s="58" t="str" cm="1">
        <f>IF(ISBLANK($A334),"",INDEX(Array_ElectricalCharges,MATCH($A334,List_ElectricityMeters,0),ROUNDUP(COLUMN()/3,0)-2))</f>
        <v/>
      </c>
      <c r="N334" s="127"/>
      <c r="O334" s="137"/>
      <c r="P334" s="58" t="str" cm="1">
        <f>IF(ISBLANK($A334),"",INDEX(Array_ElectricalCharges,MATCH($A334,List_ElectricityMeters,0),ROUNDUP(COLUMN()/3,0)-2))</f>
        <v/>
      </c>
      <c r="Q334" s="127"/>
      <c r="R334" s="137"/>
      <c r="S334" s="58" t="str" cm="1">
        <f>IF(ISBLANK($A334),"",INDEX(Array_ElectricalCharges,MATCH($A334,List_ElectricityMeters,0),ROUNDUP(COLUMN()/3,0)-2))</f>
        <v/>
      </c>
      <c r="T334" s="127"/>
      <c r="U334" s="137"/>
      <c r="V334" s="58" t="str" cm="1">
        <f>IF(ISBLANK($A334),"",INDEX(Array_ElectricalCharges,MATCH($A334,List_ElectricityMeters,0),ROUNDUP(COLUMN()/3,0)-2))</f>
        <v/>
      </c>
      <c r="W334" s="127"/>
      <c r="X334" s="137"/>
      <c r="Y334" s="58" t="str" cm="1">
        <f>IF(ISBLANK($A334),"",INDEX(Array_ElectricalCharges,MATCH($A334,List_ElectricityMeters,0),ROUNDUP(COLUMN()/3,0)-2))</f>
        <v/>
      </c>
      <c r="Z334" s="127"/>
      <c r="AA334" s="137"/>
      <c r="AB334" s="58" t="str" cm="1">
        <f>IF(ISBLANK($A334),"",INDEX(Array_ElectricalCharges,MATCH($A334,List_ElectricityMeters,0),ROUNDUP(COLUMN()/3,0)-2))</f>
        <v/>
      </c>
      <c r="AC334" s="127"/>
      <c r="AD334" s="137"/>
      <c r="AE334" s="58" t="str" cm="1">
        <f>IF(ISBLANK($A334),"",INDEX(Array_ElectricalCharges,MATCH($A334,List_ElectricityMeters,0),ROUNDUP(COLUMN()/3,0)-2))</f>
        <v/>
      </c>
      <c r="AF334" s="127"/>
      <c r="AG334" s="137"/>
      <c r="AH334" s="58" t="str" cm="1">
        <f>IF(ISBLANK($A334),"",INDEX(Array_ElectricalCharges,MATCH($A334,List_ElectricityMeters,0),ROUNDUP(COLUMN()/3,0)-2))</f>
        <v/>
      </c>
      <c r="AI334" s="127"/>
      <c r="AJ334" s="137"/>
      <c r="AK334" s="58" t="str" cm="1">
        <f>IF(ISBLANK($A334),"",INDEX(Array_ElectricalCharges,MATCH($A334,List_ElectricityMeters,0),ROUNDUP(COLUMN()/3,0)-2))</f>
        <v/>
      </c>
      <c r="AL334" s="127"/>
      <c r="AM334" s="137"/>
      <c r="AN334" s="58" t="str" cm="1">
        <f>IF(ISBLANK($A334),"",INDEX(Array_ElectricalCharges,MATCH($A334,List_ElectricityMeters,0),ROUNDUP(COLUMN()/3,0)-2))</f>
        <v/>
      </c>
      <c r="AO334" s="127"/>
      <c r="AP334" s="137"/>
      <c r="AQ334" s="58" t="str" cm="1">
        <f>IF(ISBLANK($A334),"",INDEX(Array_ElectricalCharges,MATCH($A334,List_ElectricityMeters,0),ROUNDUP(COLUMN()/3,0)-2))</f>
        <v/>
      </c>
      <c r="AR334" s="127"/>
      <c r="AS334" s="137"/>
      <c r="AT334" s="58" t="str" cm="1">
        <f>IF(ISBLANK($A334),"",INDEX(Array_ElectricalCharges,MATCH($A334,List_ElectricityMeters,0),ROUNDUP(COLUMN()/3,0)-2))</f>
        <v/>
      </c>
      <c r="AU334" s="127"/>
      <c r="AV334" s="137"/>
      <c r="AW334" s="58" t="str" cm="1">
        <f>IF(ISBLANK($A334),"",INDEX(Array_ElectricalCharges,MATCH($A334,List_ElectricityMeters,0),ROUNDUP(COLUMN()/3,0)-2))</f>
        <v/>
      </c>
      <c r="AX334" s="127"/>
      <c r="AY334" s="137"/>
    </row>
    <row r="335" spans="1:51" x14ac:dyDescent="0.3">
      <c r="A335" s="126"/>
      <c r="B335" s="133"/>
      <c r="C335" s="134"/>
      <c r="D335" s="134"/>
      <c r="E335" s="135"/>
      <c r="F335" s="136"/>
      <c r="G335" s="58" t="str" cm="1">
        <f>IF(ISBLANK($A335),"",INDEX(Array_ElectricalCharges,MATCH($A335,List_ElectricityMeters,0),ROUNDUP(COLUMN()/3,0)-2))</f>
        <v/>
      </c>
      <c r="H335" s="127"/>
      <c r="I335" s="137"/>
      <c r="J335" s="58" t="str" cm="1">
        <f>IF(ISBLANK($A335),"",INDEX(Array_ElectricalCharges,MATCH($A335,List_ElectricityMeters,0),ROUNDUP(COLUMN()/3,0)-2))</f>
        <v/>
      </c>
      <c r="K335" s="127"/>
      <c r="L335" s="137"/>
      <c r="M335" s="58" t="str" cm="1">
        <f>IF(ISBLANK($A335),"",INDEX(Array_ElectricalCharges,MATCH($A335,List_ElectricityMeters,0),ROUNDUP(COLUMN()/3,0)-2))</f>
        <v/>
      </c>
      <c r="N335" s="127"/>
      <c r="O335" s="137"/>
      <c r="P335" s="58" t="str" cm="1">
        <f>IF(ISBLANK($A335),"",INDEX(Array_ElectricalCharges,MATCH($A335,List_ElectricityMeters,0),ROUNDUP(COLUMN()/3,0)-2))</f>
        <v/>
      </c>
      <c r="Q335" s="127"/>
      <c r="R335" s="137"/>
      <c r="S335" s="58" t="str" cm="1">
        <f>IF(ISBLANK($A335),"",INDEX(Array_ElectricalCharges,MATCH($A335,List_ElectricityMeters,0),ROUNDUP(COLUMN()/3,0)-2))</f>
        <v/>
      </c>
      <c r="T335" s="127"/>
      <c r="U335" s="137"/>
      <c r="V335" s="58" t="str" cm="1">
        <f>IF(ISBLANK($A335),"",INDEX(Array_ElectricalCharges,MATCH($A335,List_ElectricityMeters,0),ROUNDUP(COLUMN()/3,0)-2))</f>
        <v/>
      </c>
      <c r="W335" s="127"/>
      <c r="X335" s="137"/>
      <c r="Y335" s="58" t="str" cm="1">
        <f>IF(ISBLANK($A335),"",INDEX(Array_ElectricalCharges,MATCH($A335,List_ElectricityMeters,0),ROUNDUP(COLUMN()/3,0)-2))</f>
        <v/>
      </c>
      <c r="Z335" s="127"/>
      <c r="AA335" s="137"/>
      <c r="AB335" s="58" t="str" cm="1">
        <f>IF(ISBLANK($A335),"",INDEX(Array_ElectricalCharges,MATCH($A335,List_ElectricityMeters,0),ROUNDUP(COLUMN()/3,0)-2))</f>
        <v/>
      </c>
      <c r="AC335" s="127"/>
      <c r="AD335" s="137"/>
      <c r="AE335" s="58" t="str" cm="1">
        <f>IF(ISBLANK($A335),"",INDEX(Array_ElectricalCharges,MATCH($A335,List_ElectricityMeters,0),ROUNDUP(COLUMN()/3,0)-2))</f>
        <v/>
      </c>
      <c r="AF335" s="127"/>
      <c r="AG335" s="137"/>
      <c r="AH335" s="58" t="str" cm="1">
        <f>IF(ISBLANK($A335),"",INDEX(Array_ElectricalCharges,MATCH($A335,List_ElectricityMeters,0),ROUNDUP(COLUMN()/3,0)-2))</f>
        <v/>
      </c>
      <c r="AI335" s="127"/>
      <c r="AJ335" s="137"/>
      <c r="AK335" s="58" t="str" cm="1">
        <f>IF(ISBLANK($A335),"",INDEX(Array_ElectricalCharges,MATCH($A335,List_ElectricityMeters,0),ROUNDUP(COLUMN()/3,0)-2))</f>
        <v/>
      </c>
      <c r="AL335" s="127"/>
      <c r="AM335" s="137"/>
      <c r="AN335" s="58" t="str" cm="1">
        <f>IF(ISBLANK($A335),"",INDEX(Array_ElectricalCharges,MATCH($A335,List_ElectricityMeters,0),ROUNDUP(COLUMN()/3,0)-2))</f>
        <v/>
      </c>
      <c r="AO335" s="127"/>
      <c r="AP335" s="137"/>
      <c r="AQ335" s="58" t="str" cm="1">
        <f>IF(ISBLANK($A335),"",INDEX(Array_ElectricalCharges,MATCH($A335,List_ElectricityMeters,0),ROUNDUP(COLUMN()/3,0)-2))</f>
        <v/>
      </c>
      <c r="AR335" s="127"/>
      <c r="AS335" s="137"/>
      <c r="AT335" s="58" t="str" cm="1">
        <f>IF(ISBLANK($A335),"",INDEX(Array_ElectricalCharges,MATCH($A335,List_ElectricityMeters,0),ROUNDUP(COLUMN()/3,0)-2))</f>
        <v/>
      </c>
      <c r="AU335" s="127"/>
      <c r="AV335" s="137"/>
      <c r="AW335" s="58" t="str" cm="1">
        <f>IF(ISBLANK($A335),"",INDEX(Array_ElectricalCharges,MATCH($A335,List_ElectricityMeters,0),ROUNDUP(COLUMN()/3,0)-2))</f>
        <v/>
      </c>
      <c r="AX335" s="127"/>
      <c r="AY335" s="137"/>
    </row>
    <row r="336" spans="1:51" x14ac:dyDescent="0.3">
      <c r="A336" s="126"/>
      <c r="B336" s="133"/>
      <c r="C336" s="134"/>
      <c r="D336" s="134"/>
      <c r="E336" s="135"/>
      <c r="F336" s="136"/>
      <c r="G336" s="58" t="str" cm="1">
        <f>IF(ISBLANK($A336),"",INDEX(Array_ElectricalCharges,MATCH($A336,List_ElectricityMeters,0),ROUNDUP(COLUMN()/3,0)-2))</f>
        <v/>
      </c>
      <c r="H336" s="127"/>
      <c r="I336" s="137"/>
      <c r="J336" s="58" t="str" cm="1">
        <f>IF(ISBLANK($A336),"",INDEX(Array_ElectricalCharges,MATCH($A336,List_ElectricityMeters,0),ROUNDUP(COLUMN()/3,0)-2))</f>
        <v/>
      </c>
      <c r="K336" s="127"/>
      <c r="L336" s="137"/>
      <c r="M336" s="58" t="str" cm="1">
        <f>IF(ISBLANK($A336),"",INDEX(Array_ElectricalCharges,MATCH($A336,List_ElectricityMeters,0),ROUNDUP(COLUMN()/3,0)-2))</f>
        <v/>
      </c>
      <c r="N336" s="127"/>
      <c r="O336" s="137"/>
      <c r="P336" s="58" t="str" cm="1">
        <f>IF(ISBLANK($A336),"",INDEX(Array_ElectricalCharges,MATCH($A336,List_ElectricityMeters,0),ROUNDUP(COLUMN()/3,0)-2))</f>
        <v/>
      </c>
      <c r="Q336" s="127"/>
      <c r="R336" s="137"/>
      <c r="S336" s="58" t="str" cm="1">
        <f>IF(ISBLANK($A336),"",INDEX(Array_ElectricalCharges,MATCH($A336,List_ElectricityMeters,0),ROUNDUP(COLUMN()/3,0)-2))</f>
        <v/>
      </c>
      <c r="T336" s="127"/>
      <c r="U336" s="137"/>
      <c r="V336" s="58" t="str" cm="1">
        <f>IF(ISBLANK($A336),"",INDEX(Array_ElectricalCharges,MATCH($A336,List_ElectricityMeters,0),ROUNDUP(COLUMN()/3,0)-2))</f>
        <v/>
      </c>
      <c r="W336" s="127"/>
      <c r="X336" s="137"/>
      <c r="Y336" s="58" t="str" cm="1">
        <f>IF(ISBLANK($A336),"",INDEX(Array_ElectricalCharges,MATCH($A336,List_ElectricityMeters,0),ROUNDUP(COLUMN()/3,0)-2))</f>
        <v/>
      </c>
      <c r="Z336" s="127"/>
      <c r="AA336" s="137"/>
      <c r="AB336" s="58" t="str" cm="1">
        <f>IF(ISBLANK($A336),"",INDEX(Array_ElectricalCharges,MATCH($A336,List_ElectricityMeters,0),ROUNDUP(COLUMN()/3,0)-2))</f>
        <v/>
      </c>
      <c r="AC336" s="127"/>
      <c r="AD336" s="137"/>
      <c r="AE336" s="58" t="str" cm="1">
        <f>IF(ISBLANK($A336),"",INDEX(Array_ElectricalCharges,MATCH($A336,List_ElectricityMeters,0),ROUNDUP(COLUMN()/3,0)-2))</f>
        <v/>
      </c>
      <c r="AF336" s="127"/>
      <c r="AG336" s="137"/>
      <c r="AH336" s="58" t="str" cm="1">
        <f>IF(ISBLANK($A336),"",INDEX(Array_ElectricalCharges,MATCH($A336,List_ElectricityMeters,0),ROUNDUP(COLUMN()/3,0)-2))</f>
        <v/>
      </c>
      <c r="AI336" s="127"/>
      <c r="AJ336" s="137"/>
      <c r="AK336" s="58" t="str" cm="1">
        <f>IF(ISBLANK($A336),"",INDEX(Array_ElectricalCharges,MATCH($A336,List_ElectricityMeters,0),ROUNDUP(COLUMN()/3,0)-2))</f>
        <v/>
      </c>
      <c r="AL336" s="127"/>
      <c r="AM336" s="137"/>
      <c r="AN336" s="58" t="str" cm="1">
        <f>IF(ISBLANK($A336),"",INDEX(Array_ElectricalCharges,MATCH($A336,List_ElectricityMeters,0),ROUNDUP(COLUMN()/3,0)-2))</f>
        <v/>
      </c>
      <c r="AO336" s="127"/>
      <c r="AP336" s="137"/>
      <c r="AQ336" s="58" t="str" cm="1">
        <f>IF(ISBLANK($A336),"",INDEX(Array_ElectricalCharges,MATCH($A336,List_ElectricityMeters,0),ROUNDUP(COLUMN()/3,0)-2))</f>
        <v/>
      </c>
      <c r="AR336" s="127"/>
      <c r="AS336" s="137"/>
      <c r="AT336" s="58" t="str" cm="1">
        <f>IF(ISBLANK($A336),"",INDEX(Array_ElectricalCharges,MATCH($A336,List_ElectricityMeters,0),ROUNDUP(COLUMN()/3,0)-2))</f>
        <v/>
      </c>
      <c r="AU336" s="127"/>
      <c r="AV336" s="137"/>
      <c r="AW336" s="58" t="str" cm="1">
        <f>IF(ISBLANK($A336),"",INDEX(Array_ElectricalCharges,MATCH($A336,List_ElectricityMeters,0),ROUNDUP(COLUMN()/3,0)-2))</f>
        <v/>
      </c>
      <c r="AX336" s="127"/>
      <c r="AY336" s="137"/>
    </row>
    <row r="337" spans="1:51" x14ac:dyDescent="0.3">
      <c r="A337" s="126"/>
      <c r="B337" s="133"/>
      <c r="C337" s="134"/>
      <c r="D337" s="134"/>
      <c r="E337" s="135"/>
      <c r="F337" s="136"/>
      <c r="G337" s="58" t="str" cm="1">
        <f>IF(ISBLANK($A337),"",INDEX(Array_ElectricalCharges,MATCH($A337,List_ElectricityMeters,0),ROUNDUP(COLUMN()/3,0)-2))</f>
        <v/>
      </c>
      <c r="H337" s="127"/>
      <c r="I337" s="137"/>
      <c r="J337" s="58" t="str" cm="1">
        <f>IF(ISBLANK($A337),"",INDEX(Array_ElectricalCharges,MATCH($A337,List_ElectricityMeters,0),ROUNDUP(COLUMN()/3,0)-2))</f>
        <v/>
      </c>
      <c r="K337" s="127"/>
      <c r="L337" s="137"/>
      <c r="M337" s="58" t="str" cm="1">
        <f>IF(ISBLANK($A337),"",INDEX(Array_ElectricalCharges,MATCH($A337,List_ElectricityMeters,0),ROUNDUP(COLUMN()/3,0)-2))</f>
        <v/>
      </c>
      <c r="N337" s="127"/>
      <c r="O337" s="137"/>
      <c r="P337" s="58" t="str" cm="1">
        <f>IF(ISBLANK($A337),"",INDEX(Array_ElectricalCharges,MATCH($A337,List_ElectricityMeters,0),ROUNDUP(COLUMN()/3,0)-2))</f>
        <v/>
      </c>
      <c r="Q337" s="127"/>
      <c r="R337" s="137"/>
      <c r="S337" s="58" t="str" cm="1">
        <f>IF(ISBLANK($A337),"",INDEX(Array_ElectricalCharges,MATCH($A337,List_ElectricityMeters,0),ROUNDUP(COLUMN()/3,0)-2))</f>
        <v/>
      </c>
      <c r="T337" s="127"/>
      <c r="U337" s="137"/>
      <c r="V337" s="58" t="str" cm="1">
        <f>IF(ISBLANK($A337),"",INDEX(Array_ElectricalCharges,MATCH($A337,List_ElectricityMeters,0),ROUNDUP(COLUMN()/3,0)-2))</f>
        <v/>
      </c>
      <c r="W337" s="127"/>
      <c r="X337" s="137"/>
      <c r="Y337" s="58" t="str" cm="1">
        <f>IF(ISBLANK($A337),"",INDEX(Array_ElectricalCharges,MATCH($A337,List_ElectricityMeters,0),ROUNDUP(COLUMN()/3,0)-2))</f>
        <v/>
      </c>
      <c r="Z337" s="127"/>
      <c r="AA337" s="137"/>
      <c r="AB337" s="58" t="str" cm="1">
        <f>IF(ISBLANK($A337),"",INDEX(Array_ElectricalCharges,MATCH($A337,List_ElectricityMeters,0),ROUNDUP(COLUMN()/3,0)-2))</f>
        <v/>
      </c>
      <c r="AC337" s="127"/>
      <c r="AD337" s="137"/>
      <c r="AE337" s="58" t="str" cm="1">
        <f>IF(ISBLANK($A337),"",INDEX(Array_ElectricalCharges,MATCH($A337,List_ElectricityMeters,0),ROUNDUP(COLUMN()/3,0)-2))</f>
        <v/>
      </c>
      <c r="AF337" s="127"/>
      <c r="AG337" s="137"/>
      <c r="AH337" s="58" t="str" cm="1">
        <f>IF(ISBLANK($A337),"",INDEX(Array_ElectricalCharges,MATCH($A337,List_ElectricityMeters,0),ROUNDUP(COLUMN()/3,0)-2))</f>
        <v/>
      </c>
      <c r="AI337" s="127"/>
      <c r="AJ337" s="137"/>
      <c r="AK337" s="58" t="str" cm="1">
        <f>IF(ISBLANK($A337),"",INDEX(Array_ElectricalCharges,MATCH($A337,List_ElectricityMeters,0),ROUNDUP(COLUMN()/3,0)-2))</f>
        <v/>
      </c>
      <c r="AL337" s="127"/>
      <c r="AM337" s="137"/>
      <c r="AN337" s="58" t="str" cm="1">
        <f>IF(ISBLANK($A337),"",INDEX(Array_ElectricalCharges,MATCH($A337,List_ElectricityMeters,0),ROUNDUP(COLUMN()/3,0)-2))</f>
        <v/>
      </c>
      <c r="AO337" s="127"/>
      <c r="AP337" s="137"/>
      <c r="AQ337" s="58" t="str" cm="1">
        <f>IF(ISBLANK($A337),"",INDEX(Array_ElectricalCharges,MATCH($A337,List_ElectricityMeters,0),ROUNDUP(COLUMN()/3,0)-2))</f>
        <v/>
      </c>
      <c r="AR337" s="127"/>
      <c r="AS337" s="137"/>
      <c r="AT337" s="58" t="str" cm="1">
        <f>IF(ISBLANK($A337),"",INDEX(Array_ElectricalCharges,MATCH($A337,List_ElectricityMeters,0),ROUNDUP(COLUMN()/3,0)-2))</f>
        <v/>
      </c>
      <c r="AU337" s="127"/>
      <c r="AV337" s="137"/>
      <c r="AW337" s="58" t="str" cm="1">
        <f>IF(ISBLANK($A337),"",INDEX(Array_ElectricalCharges,MATCH($A337,List_ElectricityMeters,0),ROUNDUP(COLUMN()/3,0)-2))</f>
        <v/>
      </c>
      <c r="AX337" s="127"/>
      <c r="AY337" s="137"/>
    </row>
    <row r="338" spans="1:51" x14ac:dyDescent="0.3">
      <c r="A338" s="126"/>
      <c r="B338" s="133"/>
      <c r="C338" s="134"/>
      <c r="D338" s="134"/>
      <c r="E338" s="135"/>
      <c r="F338" s="136"/>
      <c r="G338" s="58" t="str" cm="1">
        <f>IF(ISBLANK($A338),"",INDEX(Array_ElectricalCharges,MATCH($A338,List_ElectricityMeters,0),ROUNDUP(COLUMN()/3,0)-2))</f>
        <v/>
      </c>
      <c r="H338" s="127"/>
      <c r="I338" s="137"/>
      <c r="J338" s="58" t="str" cm="1">
        <f>IF(ISBLANK($A338),"",INDEX(Array_ElectricalCharges,MATCH($A338,List_ElectricityMeters,0),ROUNDUP(COLUMN()/3,0)-2))</f>
        <v/>
      </c>
      <c r="K338" s="127"/>
      <c r="L338" s="137"/>
      <c r="M338" s="58" t="str" cm="1">
        <f>IF(ISBLANK($A338),"",INDEX(Array_ElectricalCharges,MATCH($A338,List_ElectricityMeters,0),ROUNDUP(COLUMN()/3,0)-2))</f>
        <v/>
      </c>
      <c r="N338" s="127"/>
      <c r="O338" s="137"/>
      <c r="P338" s="58" t="str" cm="1">
        <f>IF(ISBLANK($A338),"",INDEX(Array_ElectricalCharges,MATCH($A338,List_ElectricityMeters,0),ROUNDUP(COLUMN()/3,0)-2))</f>
        <v/>
      </c>
      <c r="Q338" s="127"/>
      <c r="R338" s="137"/>
      <c r="S338" s="58" t="str" cm="1">
        <f>IF(ISBLANK($A338),"",INDEX(Array_ElectricalCharges,MATCH($A338,List_ElectricityMeters,0),ROUNDUP(COLUMN()/3,0)-2))</f>
        <v/>
      </c>
      <c r="T338" s="127"/>
      <c r="U338" s="137"/>
      <c r="V338" s="58" t="str" cm="1">
        <f>IF(ISBLANK($A338),"",INDEX(Array_ElectricalCharges,MATCH($A338,List_ElectricityMeters,0),ROUNDUP(COLUMN()/3,0)-2))</f>
        <v/>
      </c>
      <c r="W338" s="127"/>
      <c r="X338" s="137"/>
      <c r="Y338" s="58" t="str" cm="1">
        <f>IF(ISBLANK($A338),"",INDEX(Array_ElectricalCharges,MATCH($A338,List_ElectricityMeters,0),ROUNDUP(COLUMN()/3,0)-2))</f>
        <v/>
      </c>
      <c r="Z338" s="127"/>
      <c r="AA338" s="137"/>
      <c r="AB338" s="58" t="str" cm="1">
        <f>IF(ISBLANK($A338),"",INDEX(Array_ElectricalCharges,MATCH($A338,List_ElectricityMeters,0),ROUNDUP(COLUMN()/3,0)-2))</f>
        <v/>
      </c>
      <c r="AC338" s="127"/>
      <c r="AD338" s="137"/>
      <c r="AE338" s="58" t="str" cm="1">
        <f>IF(ISBLANK($A338),"",INDEX(Array_ElectricalCharges,MATCH($A338,List_ElectricityMeters,0),ROUNDUP(COLUMN()/3,0)-2))</f>
        <v/>
      </c>
      <c r="AF338" s="127"/>
      <c r="AG338" s="137"/>
      <c r="AH338" s="58" t="str" cm="1">
        <f>IF(ISBLANK($A338),"",INDEX(Array_ElectricalCharges,MATCH($A338,List_ElectricityMeters,0),ROUNDUP(COLUMN()/3,0)-2))</f>
        <v/>
      </c>
      <c r="AI338" s="127"/>
      <c r="AJ338" s="137"/>
      <c r="AK338" s="58" t="str" cm="1">
        <f>IF(ISBLANK($A338),"",INDEX(Array_ElectricalCharges,MATCH($A338,List_ElectricityMeters,0),ROUNDUP(COLUMN()/3,0)-2))</f>
        <v/>
      </c>
      <c r="AL338" s="127"/>
      <c r="AM338" s="137"/>
      <c r="AN338" s="58" t="str" cm="1">
        <f>IF(ISBLANK($A338),"",INDEX(Array_ElectricalCharges,MATCH($A338,List_ElectricityMeters,0),ROUNDUP(COLUMN()/3,0)-2))</f>
        <v/>
      </c>
      <c r="AO338" s="127"/>
      <c r="AP338" s="137"/>
      <c r="AQ338" s="58" t="str" cm="1">
        <f>IF(ISBLANK($A338),"",INDEX(Array_ElectricalCharges,MATCH($A338,List_ElectricityMeters,0),ROUNDUP(COLUMN()/3,0)-2))</f>
        <v/>
      </c>
      <c r="AR338" s="127"/>
      <c r="AS338" s="137"/>
      <c r="AT338" s="58" t="str" cm="1">
        <f>IF(ISBLANK($A338),"",INDEX(Array_ElectricalCharges,MATCH($A338,List_ElectricityMeters,0),ROUNDUP(COLUMN()/3,0)-2))</f>
        <v/>
      </c>
      <c r="AU338" s="127"/>
      <c r="AV338" s="137"/>
      <c r="AW338" s="58" t="str" cm="1">
        <f>IF(ISBLANK($A338),"",INDEX(Array_ElectricalCharges,MATCH($A338,List_ElectricityMeters,0),ROUNDUP(COLUMN()/3,0)-2))</f>
        <v/>
      </c>
      <c r="AX338" s="127"/>
      <c r="AY338" s="137"/>
    </row>
    <row r="339" spans="1:51" x14ac:dyDescent="0.3">
      <c r="A339" s="126"/>
      <c r="B339" s="133"/>
      <c r="C339" s="134"/>
      <c r="D339" s="134"/>
      <c r="E339" s="135"/>
      <c r="F339" s="136"/>
      <c r="G339" s="58" t="str" cm="1">
        <f>IF(ISBLANK($A339),"",INDEX(Array_ElectricalCharges,MATCH($A339,List_ElectricityMeters,0),ROUNDUP(COLUMN()/3,0)-2))</f>
        <v/>
      </c>
      <c r="H339" s="127"/>
      <c r="I339" s="137"/>
      <c r="J339" s="58" t="str" cm="1">
        <f>IF(ISBLANK($A339),"",INDEX(Array_ElectricalCharges,MATCH($A339,List_ElectricityMeters,0),ROUNDUP(COLUMN()/3,0)-2))</f>
        <v/>
      </c>
      <c r="K339" s="127"/>
      <c r="L339" s="137"/>
      <c r="M339" s="58" t="str" cm="1">
        <f>IF(ISBLANK($A339),"",INDEX(Array_ElectricalCharges,MATCH($A339,List_ElectricityMeters,0),ROUNDUP(COLUMN()/3,0)-2))</f>
        <v/>
      </c>
      <c r="N339" s="127"/>
      <c r="O339" s="137"/>
      <c r="P339" s="58" t="str" cm="1">
        <f>IF(ISBLANK($A339),"",INDEX(Array_ElectricalCharges,MATCH($A339,List_ElectricityMeters,0),ROUNDUP(COLUMN()/3,0)-2))</f>
        <v/>
      </c>
      <c r="Q339" s="127"/>
      <c r="R339" s="137"/>
      <c r="S339" s="58" t="str" cm="1">
        <f>IF(ISBLANK($A339),"",INDEX(Array_ElectricalCharges,MATCH($A339,List_ElectricityMeters,0),ROUNDUP(COLUMN()/3,0)-2))</f>
        <v/>
      </c>
      <c r="T339" s="127"/>
      <c r="U339" s="137"/>
      <c r="V339" s="58" t="str" cm="1">
        <f>IF(ISBLANK($A339),"",INDEX(Array_ElectricalCharges,MATCH($A339,List_ElectricityMeters,0),ROUNDUP(COLUMN()/3,0)-2))</f>
        <v/>
      </c>
      <c r="W339" s="127"/>
      <c r="X339" s="137"/>
      <c r="Y339" s="58" t="str" cm="1">
        <f>IF(ISBLANK($A339),"",INDEX(Array_ElectricalCharges,MATCH($A339,List_ElectricityMeters,0),ROUNDUP(COLUMN()/3,0)-2))</f>
        <v/>
      </c>
      <c r="Z339" s="127"/>
      <c r="AA339" s="137"/>
      <c r="AB339" s="58" t="str" cm="1">
        <f>IF(ISBLANK($A339),"",INDEX(Array_ElectricalCharges,MATCH($A339,List_ElectricityMeters,0),ROUNDUP(COLUMN()/3,0)-2))</f>
        <v/>
      </c>
      <c r="AC339" s="127"/>
      <c r="AD339" s="137"/>
      <c r="AE339" s="58" t="str" cm="1">
        <f>IF(ISBLANK($A339),"",INDEX(Array_ElectricalCharges,MATCH($A339,List_ElectricityMeters,0),ROUNDUP(COLUMN()/3,0)-2))</f>
        <v/>
      </c>
      <c r="AF339" s="127"/>
      <c r="AG339" s="137"/>
      <c r="AH339" s="58" t="str" cm="1">
        <f>IF(ISBLANK($A339),"",INDEX(Array_ElectricalCharges,MATCH($A339,List_ElectricityMeters,0),ROUNDUP(COLUMN()/3,0)-2))</f>
        <v/>
      </c>
      <c r="AI339" s="127"/>
      <c r="AJ339" s="137"/>
      <c r="AK339" s="58" t="str" cm="1">
        <f>IF(ISBLANK($A339),"",INDEX(Array_ElectricalCharges,MATCH($A339,List_ElectricityMeters,0),ROUNDUP(COLUMN()/3,0)-2))</f>
        <v/>
      </c>
      <c r="AL339" s="127"/>
      <c r="AM339" s="137"/>
      <c r="AN339" s="58" t="str" cm="1">
        <f>IF(ISBLANK($A339),"",INDEX(Array_ElectricalCharges,MATCH($A339,List_ElectricityMeters,0),ROUNDUP(COLUMN()/3,0)-2))</f>
        <v/>
      </c>
      <c r="AO339" s="127"/>
      <c r="AP339" s="137"/>
      <c r="AQ339" s="58" t="str" cm="1">
        <f>IF(ISBLANK($A339),"",INDEX(Array_ElectricalCharges,MATCH($A339,List_ElectricityMeters,0),ROUNDUP(COLUMN()/3,0)-2))</f>
        <v/>
      </c>
      <c r="AR339" s="127"/>
      <c r="AS339" s="137"/>
      <c r="AT339" s="58" t="str" cm="1">
        <f>IF(ISBLANK($A339),"",INDEX(Array_ElectricalCharges,MATCH($A339,List_ElectricityMeters,0),ROUNDUP(COLUMN()/3,0)-2))</f>
        <v/>
      </c>
      <c r="AU339" s="127"/>
      <c r="AV339" s="137"/>
      <c r="AW339" s="58" t="str" cm="1">
        <f>IF(ISBLANK($A339),"",INDEX(Array_ElectricalCharges,MATCH($A339,List_ElectricityMeters,0),ROUNDUP(COLUMN()/3,0)-2))</f>
        <v/>
      </c>
      <c r="AX339" s="127"/>
      <c r="AY339" s="137"/>
    </row>
    <row r="340" spans="1:51" x14ac:dyDescent="0.3">
      <c r="A340" s="126"/>
      <c r="B340" s="133"/>
      <c r="C340" s="134"/>
      <c r="D340" s="134"/>
      <c r="E340" s="135"/>
      <c r="F340" s="136"/>
      <c r="G340" s="58" t="str" cm="1">
        <f>IF(ISBLANK($A340),"",INDEX(Array_ElectricalCharges,MATCH($A340,List_ElectricityMeters,0),ROUNDUP(COLUMN()/3,0)-2))</f>
        <v/>
      </c>
      <c r="H340" s="127"/>
      <c r="I340" s="137"/>
      <c r="J340" s="58" t="str" cm="1">
        <f>IF(ISBLANK($A340),"",INDEX(Array_ElectricalCharges,MATCH($A340,List_ElectricityMeters,0),ROUNDUP(COLUMN()/3,0)-2))</f>
        <v/>
      </c>
      <c r="K340" s="127"/>
      <c r="L340" s="137"/>
      <c r="M340" s="58" t="str" cm="1">
        <f>IF(ISBLANK($A340),"",INDEX(Array_ElectricalCharges,MATCH($A340,List_ElectricityMeters,0),ROUNDUP(COLUMN()/3,0)-2))</f>
        <v/>
      </c>
      <c r="N340" s="127"/>
      <c r="O340" s="137"/>
      <c r="P340" s="58" t="str" cm="1">
        <f>IF(ISBLANK($A340),"",INDEX(Array_ElectricalCharges,MATCH($A340,List_ElectricityMeters,0),ROUNDUP(COLUMN()/3,0)-2))</f>
        <v/>
      </c>
      <c r="Q340" s="127"/>
      <c r="R340" s="137"/>
      <c r="S340" s="58" t="str" cm="1">
        <f>IF(ISBLANK($A340),"",INDEX(Array_ElectricalCharges,MATCH($A340,List_ElectricityMeters,0),ROUNDUP(COLUMN()/3,0)-2))</f>
        <v/>
      </c>
      <c r="T340" s="127"/>
      <c r="U340" s="137"/>
      <c r="V340" s="58" t="str" cm="1">
        <f>IF(ISBLANK($A340),"",INDEX(Array_ElectricalCharges,MATCH($A340,List_ElectricityMeters,0),ROUNDUP(COLUMN()/3,0)-2))</f>
        <v/>
      </c>
      <c r="W340" s="127"/>
      <c r="X340" s="137"/>
      <c r="Y340" s="58" t="str" cm="1">
        <f>IF(ISBLANK($A340),"",INDEX(Array_ElectricalCharges,MATCH($A340,List_ElectricityMeters,0),ROUNDUP(COLUMN()/3,0)-2))</f>
        <v/>
      </c>
      <c r="Z340" s="127"/>
      <c r="AA340" s="137"/>
      <c r="AB340" s="58" t="str" cm="1">
        <f>IF(ISBLANK($A340),"",INDEX(Array_ElectricalCharges,MATCH($A340,List_ElectricityMeters,0),ROUNDUP(COLUMN()/3,0)-2))</f>
        <v/>
      </c>
      <c r="AC340" s="127"/>
      <c r="AD340" s="137"/>
      <c r="AE340" s="58" t="str" cm="1">
        <f>IF(ISBLANK($A340),"",INDEX(Array_ElectricalCharges,MATCH($A340,List_ElectricityMeters,0),ROUNDUP(COLUMN()/3,0)-2))</f>
        <v/>
      </c>
      <c r="AF340" s="127"/>
      <c r="AG340" s="137"/>
      <c r="AH340" s="58" t="str" cm="1">
        <f>IF(ISBLANK($A340),"",INDEX(Array_ElectricalCharges,MATCH($A340,List_ElectricityMeters,0),ROUNDUP(COLUMN()/3,0)-2))</f>
        <v/>
      </c>
      <c r="AI340" s="127"/>
      <c r="AJ340" s="137"/>
      <c r="AK340" s="58" t="str" cm="1">
        <f>IF(ISBLANK($A340),"",INDEX(Array_ElectricalCharges,MATCH($A340,List_ElectricityMeters,0),ROUNDUP(COLUMN()/3,0)-2))</f>
        <v/>
      </c>
      <c r="AL340" s="127"/>
      <c r="AM340" s="137"/>
      <c r="AN340" s="58" t="str" cm="1">
        <f>IF(ISBLANK($A340),"",INDEX(Array_ElectricalCharges,MATCH($A340,List_ElectricityMeters,0),ROUNDUP(COLUMN()/3,0)-2))</f>
        <v/>
      </c>
      <c r="AO340" s="127"/>
      <c r="AP340" s="137"/>
      <c r="AQ340" s="58" t="str" cm="1">
        <f>IF(ISBLANK($A340),"",INDEX(Array_ElectricalCharges,MATCH($A340,List_ElectricityMeters,0),ROUNDUP(COLUMN()/3,0)-2))</f>
        <v/>
      </c>
      <c r="AR340" s="127"/>
      <c r="AS340" s="137"/>
      <c r="AT340" s="58" t="str" cm="1">
        <f>IF(ISBLANK($A340),"",INDEX(Array_ElectricalCharges,MATCH($A340,List_ElectricityMeters,0),ROUNDUP(COLUMN()/3,0)-2))</f>
        <v/>
      </c>
      <c r="AU340" s="127"/>
      <c r="AV340" s="137"/>
      <c r="AW340" s="58" t="str" cm="1">
        <f>IF(ISBLANK($A340),"",INDEX(Array_ElectricalCharges,MATCH($A340,List_ElectricityMeters,0),ROUNDUP(COLUMN()/3,0)-2))</f>
        <v/>
      </c>
      <c r="AX340" s="127"/>
      <c r="AY340" s="137"/>
    </row>
    <row r="341" spans="1:51" x14ac:dyDescent="0.3">
      <c r="A341" s="126"/>
      <c r="B341" s="133"/>
      <c r="C341" s="134"/>
      <c r="D341" s="134"/>
      <c r="E341" s="135"/>
      <c r="F341" s="136"/>
      <c r="G341" s="58" t="str" cm="1">
        <f>IF(ISBLANK($A341),"",INDEX(Array_ElectricalCharges,MATCH($A341,List_ElectricityMeters,0),ROUNDUP(COLUMN()/3,0)-2))</f>
        <v/>
      </c>
      <c r="H341" s="127"/>
      <c r="I341" s="137"/>
      <c r="J341" s="58" t="str" cm="1">
        <f>IF(ISBLANK($A341),"",INDEX(Array_ElectricalCharges,MATCH($A341,List_ElectricityMeters,0),ROUNDUP(COLUMN()/3,0)-2))</f>
        <v/>
      </c>
      <c r="K341" s="127"/>
      <c r="L341" s="137"/>
      <c r="M341" s="58" t="str" cm="1">
        <f>IF(ISBLANK($A341),"",INDEX(Array_ElectricalCharges,MATCH($A341,List_ElectricityMeters,0),ROUNDUP(COLUMN()/3,0)-2))</f>
        <v/>
      </c>
      <c r="N341" s="127"/>
      <c r="O341" s="137"/>
      <c r="P341" s="58" t="str" cm="1">
        <f>IF(ISBLANK($A341),"",INDEX(Array_ElectricalCharges,MATCH($A341,List_ElectricityMeters,0),ROUNDUP(COLUMN()/3,0)-2))</f>
        <v/>
      </c>
      <c r="Q341" s="127"/>
      <c r="R341" s="137"/>
      <c r="S341" s="58" t="str" cm="1">
        <f>IF(ISBLANK($A341),"",INDEX(Array_ElectricalCharges,MATCH($A341,List_ElectricityMeters,0),ROUNDUP(COLUMN()/3,0)-2))</f>
        <v/>
      </c>
      <c r="T341" s="127"/>
      <c r="U341" s="137"/>
      <c r="V341" s="58" t="str" cm="1">
        <f>IF(ISBLANK($A341),"",INDEX(Array_ElectricalCharges,MATCH($A341,List_ElectricityMeters,0),ROUNDUP(COLUMN()/3,0)-2))</f>
        <v/>
      </c>
      <c r="W341" s="127"/>
      <c r="X341" s="137"/>
      <c r="Y341" s="58" t="str" cm="1">
        <f>IF(ISBLANK($A341),"",INDEX(Array_ElectricalCharges,MATCH($A341,List_ElectricityMeters,0),ROUNDUP(COLUMN()/3,0)-2))</f>
        <v/>
      </c>
      <c r="Z341" s="127"/>
      <c r="AA341" s="137"/>
      <c r="AB341" s="58" t="str" cm="1">
        <f>IF(ISBLANK($A341),"",INDEX(Array_ElectricalCharges,MATCH($A341,List_ElectricityMeters,0),ROUNDUP(COLUMN()/3,0)-2))</f>
        <v/>
      </c>
      <c r="AC341" s="127"/>
      <c r="AD341" s="137"/>
      <c r="AE341" s="58" t="str" cm="1">
        <f>IF(ISBLANK($A341),"",INDEX(Array_ElectricalCharges,MATCH($A341,List_ElectricityMeters,0),ROUNDUP(COLUMN()/3,0)-2))</f>
        <v/>
      </c>
      <c r="AF341" s="127"/>
      <c r="AG341" s="137"/>
      <c r="AH341" s="58" t="str" cm="1">
        <f>IF(ISBLANK($A341),"",INDEX(Array_ElectricalCharges,MATCH($A341,List_ElectricityMeters,0),ROUNDUP(COLUMN()/3,0)-2))</f>
        <v/>
      </c>
      <c r="AI341" s="127"/>
      <c r="AJ341" s="137"/>
      <c r="AK341" s="58" t="str" cm="1">
        <f>IF(ISBLANK($A341),"",INDEX(Array_ElectricalCharges,MATCH($A341,List_ElectricityMeters,0),ROUNDUP(COLUMN()/3,0)-2))</f>
        <v/>
      </c>
      <c r="AL341" s="127"/>
      <c r="AM341" s="137"/>
      <c r="AN341" s="58" t="str" cm="1">
        <f>IF(ISBLANK($A341),"",INDEX(Array_ElectricalCharges,MATCH($A341,List_ElectricityMeters,0),ROUNDUP(COLUMN()/3,0)-2))</f>
        <v/>
      </c>
      <c r="AO341" s="127"/>
      <c r="AP341" s="137"/>
      <c r="AQ341" s="58" t="str" cm="1">
        <f>IF(ISBLANK($A341),"",INDEX(Array_ElectricalCharges,MATCH($A341,List_ElectricityMeters,0),ROUNDUP(COLUMN()/3,0)-2))</f>
        <v/>
      </c>
      <c r="AR341" s="127"/>
      <c r="AS341" s="137"/>
      <c r="AT341" s="58" t="str" cm="1">
        <f>IF(ISBLANK($A341),"",INDEX(Array_ElectricalCharges,MATCH($A341,List_ElectricityMeters,0),ROUNDUP(COLUMN()/3,0)-2))</f>
        <v/>
      </c>
      <c r="AU341" s="127"/>
      <c r="AV341" s="137"/>
      <c r="AW341" s="58" t="str" cm="1">
        <f>IF(ISBLANK($A341),"",INDEX(Array_ElectricalCharges,MATCH($A341,List_ElectricityMeters,0),ROUNDUP(COLUMN()/3,0)-2))</f>
        <v/>
      </c>
      <c r="AX341" s="127"/>
      <c r="AY341" s="137"/>
    </row>
    <row r="342" spans="1:51" x14ac:dyDescent="0.3">
      <c r="A342" s="126"/>
      <c r="B342" s="133"/>
      <c r="C342" s="134"/>
      <c r="D342" s="134"/>
      <c r="E342" s="135"/>
      <c r="F342" s="136"/>
      <c r="G342" s="58" t="str" cm="1">
        <f>IF(ISBLANK($A342),"",INDEX(Array_ElectricalCharges,MATCH($A342,List_ElectricityMeters,0),ROUNDUP(COLUMN()/3,0)-2))</f>
        <v/>
      </c>
      <c r="H342" s="127"/>
      <c r="I342" s="137"/>
      <c r="J342" s="58" t="str" cm="1">
        <f>IF(ISBLANK($A342),"",INDEX(Array_ElectricalCharges,MATCH($A342,List_ElectricityMeters,0),ROUNDUP(COLUMN()/3,0)-2))</f>
        <v/>
      </c>
      <c r="K342" s="127"/>
      <c r="L342" s="137"/>
      <c r="M342" s="58" t="str" cm="1">
        <f>IF(ISBLANK($A342),"",INDEX(Array_ElectricalCharges,MATCH($A342,List_ElectricityMeters,0),ROUNDUP(COLUMN()/3,0)-2))</f>
        <v/>
      </c>
      <c r="N342" s="127"/>
      <c r="O342" s="137"/>
      <c r="P342" s="58" t="str" cm="1">
        <f>IF(ISBLANK($A342),"",INDEX(Array_ElectricalCharges,MATCH($A342,List_ElectricityMeters,0),ROUNDUP(COLUMN()/3,0)-2))</f>
        <v/>
      </c>
      <c r="Q342" s="127"/>
      <c r="R342" s="137"/>
      <c r="S342" s="58" t="str" cm="1">
        <f>IF(ISBLANK($A342),"",INDEX(Array_ElectricalCharges,MATCH($A342,List_ElectricityMeters,0),ROUNDUP(COLUMN()/3,0)-2))</f>
        <v/>
      </c>
      <c r="T342" s="127"/>
      <c r="U342" s="137"/>
      <c r="V342" s="58" t="str" cm="1">
        <f>IF(ISBLANK($A342),"",INDEX(Array_ElectricalCharges,MATCH($A342,List_ElectricityMeters,0),ROUNDUP(COLUMN()/3,0)-2))</f>
        <v/>
      </c>
      <c r="W342" s="127"/>
      <c r="X342" s="137"/>
      <c r="Y342" s="58" t="str" cm="1">
        <f>IF(ISBLANK($A342),"",INDEX(Array_ElectricalCharges,MATCH($A342,List_ElectricityMeters,0),ROUNDUP(COLUMN()/3,0)-2))</f>
        <v/>
      </c>
      <c r="Z342" s="127"/>
      <c r="AA342" s="137"/>
      <c r="AB342" s="58" t="str" cm="1">
        <f>IF(ISBLANK($A342),"",INDEX(Array_ElectricalCharges,MATCH($A342,List_ElectricityMeters,0),ROUNDUP(COLUMN()/3,0)-2))</f>
        <v/>
      </c>
      <c r="AC342" s="127"/>
      <c r="AD342" s="137"/>
      <c r="AE342" s="58" t="str" cm="1">
        <f>IF(ISBLANK($A342),"",INDEX(Array_ElectricalCharges,MATCH($A342,List_ElectricityMeters,0),ROUNDUP(COLUMN()/3,0)-2))</f>
        <v/>
      </c>
      <c r="AF342" s="127"/>
      <c r="AG342" s="137"/>
      <c r="AH342" s="58" t="str" cm="1">
        <f>IF(ISBLANK($A342),"",INDEX(Array_ElectricalCharges,MATCH($A342,List_ElectricityMeters,0),ROUNDUP(COLUMN()/3,0)-2))</f>
        <v/>
      </c>
      <c r="AI342" s="127"/>
      <c r="AJ342" s="137"/>
      <c r="AK342" s="58" t="str" cm="1">
        <f>IF(ISBLANK($A342),"",INDEX(Array_ElectricalCharges,MATCH($A342,List_ElectricityMeters,0),ROUNDUP(COLUMN()/3,0)-2))</f>
        <v/>
      </c>
      <c r="AL342" s="127"/>
      <c r="AM342" s="137"/>
      <c r="AN342" s="58" t="str" cm="1">
        <f>IF(ISBLANK($A342),"",INDEX(Array_ElectricalCharges,MATCH($A342,List_ElectricityMeters,0),ROUNDUP(COLUMN()/3,0)-2))</f>
        <v/>
      </c>
      <c r="AO342" s="127"/>
      <c r="AP342" s="137"/>
      <c r="AQ342" s="58" t="str" cm="1">
        <f>IF(ISBLANK($A342),"",INDEX(Array_ElectricalCharges,MATCH($A342,List_ElectricityMeters,0),ROUNDUP(COLUMN()/3,0)-2))</f>
        <v/>
      </c>
      <c r="AR342" s="127"/>
      <c r="AS342" s="137"/>
      <c r="AT342" s="58" t="str" cm="1">
        <f>IF(ISBLANK($A342),"",INDEX(Array_ElectricalCharges,MATCH($A342,List_ElectricityMeters,0),ROUNDUP(COLUMN()/3,0)-2))</f>
        <v/>
      </c>
      <c r="AU342" s="127"/>
      <c r="AV342" s="137"/>
      <c r="AW342" s="58" t="str" cm="1">
        <f>IF(ISBLANK($A342),"",INDEX(Array_ElectricalCharges,MATCH($A342,List_ElectricityMeters,0),ROUNDUP(COLUMN()/3,0)-2))</f>
        <v/>
      </c>
      <c r="AX342" s="127"/>
      <c r="AY342" s="137"/>
    </row>
    <row r="343" spans="1:51" x14ac:dyDescent="0.3">
      <c r="A343" s="126"/>
      <c r="B343" s="133"/>
      <c r="C343" s="134"/>
      <c r="D343" s="134"/>
      <c r="E343" s="135"/>
      <c r="F343" s="136"/>
      <c r="G343" s="58" t="str" cm="1">
        <f>IF(ISBLANK($A343),"",INDEX(Array_ElectricalCharges,MATCH($A343,List_ElectricityMeters,0),ROUNDUP(COLUMN()/3,0)-2))</f>
        <v/>
      </c>
      <c r="H343" s="127"/>
      <c r="I343" s="137"/>
      <c r="J343" s="58" t="str" cm="1">
        <f>IF(ISBLANK($A343),"",INDEX(Array_ElectricalCharges,MATCH($A343,List_ElectricityMeters,0),ROUNDUP(COLUMN()/3,0)-2))</f>
        <v/>
      </c>
      <c r="K343" s="127"/>
      <c r="L343" s="137"/>
      <c r="M343" s="58" t="str" cm="1">
        <f>IF(ISBLANK($A343),"",INDEX(Array_ElectricalCharges,MATCH($A343,List_ElectricityMeters,0),ROUNDUP(COLUMN()/3,0)-2))</f>
        <v/>
      </c>
      <c r="N343" s="127"/>
      <c r="O343" s="137"/>
      <c r="P343" s="58" t="str" cm="1">
        <f>IF(ISBLANK($A343),"",INDEX(Array_ElectricalCharges,MATCH($A343,List_ElectricityMeters,0),ROUNDUP(COLUMN()/3,0)-2))</f>
        <v/>
      </c>
      <c r="Q343" s="127"/>
      <c r="R343" s="137"/>
      <c r="S343" s="58" t="str" cm="1">
        <f>IF(ISBLANK($A343),"",INDEX(Array_ElectricalCharges,MATCH($A343,List_ElectricityMeters,0),ROUNDUP(COLUMN()/3,0)-2))</f>
        <v/>
      </c>
      <c r="T343" s="127"/>
      <c r="U343" s="137"/>
      <c r="V343" s="58" t="str" cm="1">
        <f>IF(ISBLANK($A343),"",INDEX(Array_ElectricalCharges,MATCH($A343,List_ElectricityMeters,0),ROUNDUP(COLUMN()/3,0)-2))</f>
        <v/>
      </c>
      <c r="W343" s="127"/>
      <c r="X343" s="137"/>
      <c r="Y343" s="58" t="str" cm="1">
        <f>IF(ISBLANK($A343),"",INDEX(Array_ElectricalCharges,MATCH($A343,List_ElectricityMeters,0),ROUNDUP(COLUMN()/3,0)-2))</f>
        <v/>
      </c>
      <c r="Z343" s="127"/>
      <c r="AA343" s="137"/>
      <c r="AB343" s="58" t="str" cm="1">
        <f>IF(ISBLANK($A343),"",INDEX(Array_ElectricalCharges,MATCH($A343,List_ElectricityMeters,0),ROUNDUP(COLUMN()/3,0)-2))</f>
        <v/>
      </c>
      <c r="AC343" s="127"/>
      <c r="AD343" s="137"/>
      <c r="AE343" s="58" t="str" cm="1">
        <f>IF(ISBLANK($A343),"",INDEX(Array_ElectricalCharges,MATCH($A343,List_ElectricityMeters,0),ROUNDUP(COLUMN()/3,0)-2))</f>
        <v/>
      </c>
      <c r="AF343" s="127"/>
      <c r="AG343" s="137"/>
      <c r="AH343" s="58" t="str" cm="1">
        <f>IF(ISBLANK($A343),"",INDEX(Array_ElectricalCharges,MATCH($A343,List_ElectricityMeters,0),ROUNDUP(COLUMN()/3,0)-2))</f>
        <v/>
      </c>
      <c r="AI343" s="127"/>
      <c r="AJ343" s="137"/>
      <c r="AK343" s="58" t="str" cm="1">
        <f>IF(ISBLANK($A343),"",INDEX(Array_ElectricalCharges,MATCH($A343,List_ElectricityMeters,0),ROUNDUP(COLUMN()/3,0)-2))</f>
        <v/>
      </c>
      <c r="AL343" s="127"/>
      <c r="AM343" s="137"/>
      <c r="AN343" s="58" t="str" cm="1">
        <f>IF(ISBLANK($A343),"",INDEX(Array_ElectricalCharges,MATCH($A343,List_ElectricityMeters,0),ROUNDUP(COLUMN()/3,0)-2))</f>
        <v/>
      </c>
      <c r="AO343" s="127"/>
      <c r="AP343" s="137"/>
      <c r="AQ343" s="58" t="str" cm="1">
        <f>IF(ISBLANK($A343),"",INDEX(Array_ElectricalCharges,MATCH($A343,List_ElectricityMeters,0),ROUNDUP(COLUMN()/3,0)-2))</f>
        <v/>
      </c>
      <c r="AR343" s="127"/>
      <c r="AS343" s="137"/>
      <c r="AT343" s="58" t="str" cm="1">
        <f>IF(ISBLANK($A343),"",INDEX(Array_ElectricalCharges,MATCH($A343,List_ElectricityMeters,0),ROUNDUP(COLUMN()/3,0)-2))</f>
        <v/>
      </c>
      <c r="AU343" s="127"/>
      <c r="AV343" s="137"/>
      <c r="AW343" s="58" t="str" cm="1">
        <f>IF(ISBLANK($A343),"",INDEX(Array_ElectricalCharges,MATCH($A343,List_ElectricityMeters,0),ROUNDUP(COLUMN()/3,0)-2))</f>
        <v/>
      </c>
      <c r="AX343" s="127"/>
      <c r="AY343" s="137"/>
    </row>
    <row r="344" spans="1:51" x14ac:dyDescent="0.3">
      <c r="A344" s="126"/>
      <c r="B344" s="133"/>
      <c r="C344" s="134"/>
      <c r="D344" s="134"/>
      <c r="E344" s="135"/>
      <c r="F344" s="136"/>
      <c r="G344" s="58" t="str" cm="1">
        <f>IF(ISBLANK($A344),"",INDEX(Array_ElectricalCharges,MATCH($A344,List_ElectricityMeters,0),ROUNDUP(COLUMN()/3,0)-2))</f>
        <v/>
      </c>
      <c r="H344" s="127"/>
      <c r="I344" s="137"/>
      <c r="J344" s="58" t="str" cm="1">
        <f>IF(ISBLANK($A344),"",INDEX(Array_ElectricalCharges,MATCH($A344,List_ElectricityMeters,0),ROUNDUP(COLUMN()/3,0)-2))</f>
        <v/>
      </c>
      <c r="K344" s="127"/>
      <c r="L344" s="137"/>
      <c r="M344" s="58" t="str" cm="1">
        <f>IF(ISBLANK($A344),"",INDEX(Array_ElectricalCharges,MATCH($A344,List_ElectricityMeters,0),ROUNDUP(COLUMN()/3,0)-2))</f>
        <v/>
      </c>
      <c r="N344" s="127"/>
      <c r="O344" s="137"/>
      <c r="P344" s="58" t="str" cm="1">
        <f>IF(ISBLANK($A344),"",INDEX(Array_ElectricalCharges,MATCH($A344,List_ElectricityMeters,0),ROUNDUP(COLUMN()/3,0)-2))</f>
        <v/>
      </c>
      <c r="Q344" s="127"/>
      <c r="R344" s="137"/>
      <c r="S344" s="58" t="str" cm="1">
        <f>IF(ISBLANK($A344),"",INDEX(Array_ElectricalCharges,MATCH($A344,List_ElectricityMeters,0),ROUNDUP(COLUMN()/3,0)-2))</f>
        <v/>
      </c>
      <c r="T344" s="127"/>
      <c r="U344" s="137"/>
      <c r="V344" s="58" t="str" cm="1">
        <f>IF(ISBLANK($A344),"",INDEX(Array_ElectricalCharges,MATCH($A344,List_ElectricityMeters,0),ROUNDUP(COLUMN()/3,0)-2))</f>
        <v/>
      </c>
      <c r="W344" s="127"/>
      <c r="X344" s="137"/>
      <c r="Y344" s="58" t="str" cm="1">
        <f>IF(ISBLANK($A344),"",INDEX(Array_ElectricalCharges,MATCH($A344,List_ElectricityMeters,0),ROUNDUP(COLUMN()/3,0)-2))</f>
        <v/>
      </c>
      <c r="Z344" s="127"/>
      <c r="AA344" s="137"/>
      <c r="AB344" s="58" t="str" cm="1">
        <f>IF(ISBLANK($A344),"",INDEX(Array_ElectricalCharges,MATCH($A344,List_ElectricityMeters,0),ROUNDUP(COLUMN()/3,0)-2))</f>
        <v/>
      </c>
      <c r="AC344" s="127"/>
      <c r="AD344" s="137"/>
      <c r="AE344" s="58" t="str" cm="1">
        <f>IF(ISBLANK($A344),"",INDEX(Array_ElectricalCharges,MATCH($A344,List_ElectricityMeters,0),ROUNDUP(COLUMN()/3,0)-2))</f>
        <v/>
      </c>
      <c r="AF344" s="127"/>
      <c r="AG344" s="137"/>
      <c r="AH344" s="58" t="str" cm="1">
        <f>IF(ISBLANK($A344),"",INDEX(Array_ElectricalCharges,MATCH($A344,List_ElectricityMeters,0),ROUNDUP(COLUMN()/3,0)-2))</f>
        <v/>
      </c>
      <c r="AI344" s="127"/>
      <c r="AJ344" s="137"/>
      <c r="AK344" s="58" t="str" cm="1">
        <f>IF(ISBLANK($A344),"",INDEX(Array_ElectricalCharges,MATCH($A344,List_ElectricityMeters,0),ROUNDUP(COLUMN()/3,0)-2))</f>
        <v/>
      </c>
      <c r="AL344" s="127"/>
      <c r="AM344" s="137"/>
      <c r="AN344" s="58" t="str" cm="1">
        <f>IF(ISBLANK($A344),"",INDEX(Array_ElectricalCharges,MATCH($A344,List_ElectricityMeters,0),ROUNDUP(COLUMN()/3,0)-2))</f>
        <v/>
      </c>
      <c r="AO344" s="127"/>
      <c r="AP344" s="137"/>
      <c r="AQ344" s="58" t="str" cm="1">
        <f>IF(ISBLANK($A344),"",INDEX(Array_ElectricalCharges,MATCH($A344,List_ElectricityMeters,0),ROUNDUP(COLUMN()/3,0)-2))</f>
        <v/>
      </c>
      <c r="AR344" s="127"/>
      <c r="AS344" s="137"/>
      <c r="AT344" s="58" t="str" cm="1">
        <f>IF(ISBLANK($A344),"",INDEX(Array_ElectricalCharges,MATCH($A344,List_ElectricityMeters,0),ROUNDUP(COLUMN()/3,0)-2))</f>
        <v/>
      </c>
      <c r="AU344" s="127"/>
      <c r="AV344" s="137"/>
      <c r="AW344" s="58" t="str" cm="1">
        <f>IF(ISBLANK($A344),"",INDEX(Array_ElectricalCharges,MATCH($A344,List_ElectricityMeters,0),ROUNDUP(COLUMN()/3,0)-2))</f>
        <v/>
      </c>
      <c r="AX344" s="127"/>
      <c r="AY344" s="137"/>
    </row>
    <row r="345" spans="1:51" x14ac:dyDescent="0.3">
      <c r="A345" s="126"/>
      <c r="B345" s="133"/>
      <c r="C345" s="134"/>
      <c r="D345" s="134"/>
      <c r="E345" s="135"/>
      <c r="F345" s="136"/>
      <c r="G345" s="58" t="str" cm="1">
        <f>IF(ISBLANK($A345),"",INDEX(Array_ElectricalCharges,MATCH($A345,List_ElectricityMeters,0),ROUNDUP(COLUMN()/3,0)-2))</f>
        <v/>
      </c>
      <c r="H345" s="127"/>
      <c r="I345" s="137"/>
      <c r="J345" s="58" t="str" cm="1">
        <f>IF(ISBLANK($A345),"",INDEX(Array_ElectricalCharges,MATCH($A345,List_ElectricityMeters,0),ROUNDUP(COLUMN()/3,0)-2))</f>
        <v/>
      </c>
      <c r="K345" s="127"/>
      <c r="L345" s="137"/>
      <c r="M345" s="58" t="str" cm="1">
        <f>IF(ISBLANK($A345),"",INDEX(Array_ElectricalCharges,MATCH($A345,List_ElectricityMeters,0),ROUNDUP(COLUMN()/3,0)-2))</f>
        <v/>
      </c>
      <c r="N345" s="127"/>
      <c r="O345" s="137"/>
      <c r="P345" s="58" t="str" cm="1">
        <f>IF(ISBLANK($A345),"",INDEX(Array_ElectricalCharges,MATCH($A345,List_ElectricityMeters,0),ROUNDUP(COLUMN()/3,0)-2))</f>
        <v/>
      </c>
      <c r="Q345" s="127"/>
      <c r="R345" s="137"/>
      <c r="S345" s="58" t="str" cm="1">
        <f>IF(ISBLANK($A345),"",INDEX(Array_ElectricalCharges,MATCH($A345,List_ElectricityMeters,0),ROUNDUP(COLUMN()/3,0)-2))</f>
        <v/>
      </c>
      <c r="T345" s="127"/>
      <c r="U345" s="137"/>
      <c r="V345" s="58" t="str" cm="1">
        <f>IF(ISBLANK($A345),"",INDEX(Array_ElectricalCharges,MATCH($A345,List_ElectricityMeters,0),ROUNDUP(COLUMN()/3,0)-2))</f>
        <v/>
      </c>
      <c r="W345" s="127"/>
      <c r="X345" s="137"/>
      <c r="Y345" s="58" t="str" cm="1">
        <f>IF(ISBLANK($A345),"",INDEX(Array_ElectricalCharges,MATCH($A345,List_ElectricityMeters,0),ROUNDUP(COLUMN()/3,0)-2))</f>
        <v/>
      </c>
      <c r="Z345" s="127"/>
      <c r="AA345" s="137"/>
      <c r="AB345" s="58" t="str" cm="1">
        <f>IF(ISBLANK($A345),"",INDEX(Array_ElectricalCharges,MATCH($A345,List_ElectricityMeters,0),ROUNDUP(COLUMN()/3,0)-2))</f>
        <v/>
      </c>
      <c r="AC345" s="127"/>
      <c r="AD345" s="137"/>
      <c r="AE345" s="58" t="str" cm="1">
        <f>IF(ISBLANK($A345),"",INDEX(Array_ElectricalCharges,MATCH($A345,List_ElectricityMeters,0),ROUNDUP(COLUMN()/3,0)-2))</f>
        <v/>
      </c>
      <c r="AF345" s="127"/>
      <c r="AG345" s="137"/>
      <c r="AH345" s="58" t="str" cm="1">
        <f>IF(ISBLANK($A345),"",INDEX(Array_ElectricalCharges,MATCH($A345,List_ElectricityMeters,0),ROUNDUP(COLUMN()/3,0)-2))</f>
        <v/>
      </c>
      <c r="AI345" s="127"/>
      <c r="AJ345" s="137"/>
      <c r="AK345" s="58" t="str" cm="1">
        <f>IF(ISBLANK($A345),"",INDEX(Array_ElectricalCharges,MATCH($A345,List_ElectricityMeters,0),ROUNDUP(COLUMN()/3,0)-2))</f>
        <v/>
      </c>
      <c r="AL345" s="127"/>
      <c r="AM345" s="137"/>
      <c r="AN345" s="58" t="str" cm="1">
        <f>IF(ISBLANK($A345),"",INDEX(Array_ElectricalCharges,MATCH($A345,List_ElectricityMeters,0),ROUNDUP(COLUMN()/3,0)-2))</f>
        <v/>
      </c>
      <c r="AO345" s="127"/>
      <c r="AP345" s="137"/>
      <c r="AQ345" s="58" t="str" cm="1">
        <f>IF(ISBLANK($A345),"",INDEX(Array_ElectricalCharges,MATCH($A345,List_ElectricityMeters,0),ROUNDUP(COLUMN()/3,0)-2))</f>
        <v/>
      </c>
      <c r="AR345" s="127"/>
      <c r="AS345" s="137"/>
      <c r="AT345" s="58" t="str" cm="1">
        <f>IF(ISBLANK($A345),"",INDEX(Array_ElectricalCharges,MATCH($A345,List_ElectricityMeters,0),ROUNDUP(COLUMN()/3,0)-2))</f>
        <v/>
      </c>
      <c r="AU345" s="127"/>
      <c r="AV345" s="137"/>
      <c r="AW345" s="58" t="str" cm="1">
        <f>IF(ISBLANK($A345),"",INDEX(Array_ElectricalCharges,MATCH($A345,List_ElectricityMeters,0),ROUNDUP(COLUMN()/3,0)-2))</f>
        <v/>
      </c>
      <c r="AX345" s="127"/>
      <c r="AY345" s="137"/>
    </row>
    <row r="346" spans="1:51" x14ac:dyDescent="0.3">
      <c r="A346" s="126"/>
      <c r="B346" s="133"/>
      <c r="C346" s="134"/>
      <c r="D346" s="134"/>
      <c r="E346" s="135"/>
      <c r="F346" s="136"/>
      <c r="G346" s="58" t="str" cm="1">
        <f>IF(ISBLANK($A346),"",INDEX(Array_ElectricalCharges,MATCH($A346,List_ElectricityMeters,0),ROUNDUP(COLUMN()/3,0)-2))</f>
        <v/>
      </c>
      <c r="H346" s="127"/>
      <c r="I346" s="137"/>
      <c r="J346" s="58" t="str" cm="1">
        <f>IF(ISBLANK($A346),"",INDEX(Array_ElectricalCharges,MATCH($A346,List_ElectricityMeters,0),ROUNDUP(COLUMN()/3,0)-2))</f>
        <v/>
      </c>
      <c r="K346" s="127"/>
      <c r="L346" s="137"/>
      <c r="M346" s="58" t="str" cm="1">
        <f>IF(ISBLANK($A346),"",INDEX(Array_ElectricalCharges,MATCH($A346,List_ElectricityMeters,0),ROUNDUP(COLUMN()/3,0)-2))</f>
        <v/>
      </c>
      <c r="N346" s="127"/>
      <c r="O346" s="137"/>
      <c r="P346" s="58" t="str" cm="1">
        <f>IF(ISBLANK($A346),"",INDEX(Array_ElectricalCharges,MATCH($A346,List_ElectricityMeters,0),ROUNDUP(COLUMN()/3,0)-2))</f>
        <v/>
      </c>
      <c r="Q346" s="127"/>
      <c r="R346" s="137"/>
      <c r="S346" s="58" t="str" cm="1">
        <f>IF(ISBLANK($A346),"",INDEX(Array_ElectricalCharges,MATCH($A346,List_ElectricityMeters,0),ROUNDUP(COLUMN()/3,0)-2))</f>
        <v/>
      </c>
      <c r="T346" s="127"/>
      <c r="U346" s="137"/>
      <c r="V346" s="58" t="str" cm="1">
        <f>IF(ISBLANK($A346),"",INDEX(Array_ElectricalCharges,MATCH($A346,List_ElectricityMeters,0),ROUNDUP(COLUMN()/3,0)-2))</f>
        <v/>
      </c>
      <c r="W346" s="127"/>
      <c r="X346" s="137"/>
      <c r="Y346" s="58" t="str" cm="1">
        <f>IF(ISBLANK($A346),"",INDEX(Array_ElectricalCharges,MATCH($A346,List_ElectricityMeters,0),ROUNDUP(COLUMN()/3,0)-2))</f>
        <v/>
      </c>
      <c r="Z346" s="127"/>
      <c r="AA346" s="137"/>
      <c r="AB346" s="58" t="str" cm="1">
        <f>IF(ISBLANK($A346),"",INDEX(Array_ElectricalCharges,MATCH($A346,List_ElectricityMeters,0),ROUNDUP(COLUMN()/3,0)-2))</f>
        <v/>
      </c>
      <c r="AC346" s="127"/>
      <c r="AD346" s="137"/>
      <c r="AE346" s="58" t="str" cm="1">
        <f>IF(ISBLANK($A346),"",INDEX(Array_ElectricalCharges,MATCH($A346,List_ElectricityMeters,0),ROUNDUP(COLUMN()/3,0)-2))</f>
        <v/>
      </c>
      <c r="AF346" s="127"/>
      <c r="AG346" s="137"/>
      <c r="AH346" s="58" t="str" cm="1">
        <f>IF(ISBLANK($A346),"",INDEX(Array_ElectricalCharges,MATCH($A346,List_ElectricityMeters,0),ROUNDUP(COLUMN()/3,0)-2))</f>
        <v/>
      </c>
      <c r="AI346" s="127"/>
      <c r="AJ346" s="137"/>
      <c r="AK346" s="58" t="str" cm="1">
        <f>IF(ISBLANK($A346),"",INDEX(Array_ElectricalCharges,MATCH($A346,List_ElectricityMeters,0),ROUNDUP(COLUMN()/3,0)-2))</f>
        <v/>
      </c>
      <c r="AL346" s="127"/>
      <c r="AM346" s="137"/>
      <c r="AN346" s="58" t="str" cm="1">
        <f>IF(ISBLANK($A346),"",INDEX(Array_ElectricalCharges,MATCH($A346,List_ElectricityMeters,0),ROUNDUP(COLUMN()/3,0)-2))</f>
        <v/>
      </c>
      <c r="AO346" s="127"/>
      <c r="AP346" s="137"/>
      <c r="AQ346" s="58" t="str" cm="1">
        <f>IF(ISBLANK($A346),"",INDEX(Array_ElectricalCharges,MATCH($A346,List_ElectricityMeters,0),ROUNDUP(COLUMN()/3,0)-2))</f>
        <v/>
      </c>
      <c r="AR346" s="127"/>
      <c r="AS346" s="137"/>
      <c r="AT346" s="58" t="str" cm="1">
        <f>IF(ISBLANK($A346),"",INDEX(Array_ElectricalCharges,MATCH($A346,List_ElectricityMeters,0),ROUNDUP(COLUMN()/3,0)-2))</f>
        <v/>
      </c>
      <c r="AU346" s="127"/>
      <c r="AV346" s="137"/>
      <c r="AW346" s="58" t="str" cm="1">
        <f>IF(ISBLANK($A346),"",INDEX(Array_ElectricalCharges,MATCH($A346,List_ElectricityMeters,0),ROUNDUP(COLUMN()/3,0)-2))</f>
        <v/>
      </c>
      <c r="AX346" s="127"/>
      <c r="AY346" s="137"/>
    </row>
    <row r="347" spans="1:51" x14ac:dyDescent="0.3">
      <c r="A347" s="126"/>
      <c r="B347" s="133"/>
      <c r="C347" s="134"/>
      <c r="D347" s="134"/>
      <c r="E347" s="135"/>
      <c r="F347" s="136"/>
      <c r="G347" s="58" t="str" cm="1">
        <f>IF(ISBLANK($A347),"",INDEX(Array_ElectricalCharges,MATCH($A347,List_ElectricityMeters,0),ROUNDUP(COLUMN()/3,0)-2))</f>
        <v/>
      </c>
      <c r="H347" s="127"/>
      <c r="I347" s="137"/>
      <c r="J347" s="58" t="str" cm="1">
        <f>IF(ISBLANK($A347),"",INDEX(Array_ElectricalCharges,MATCH($A347,List_ElectricityMeters,0),ROUNDUP(COLUMN()/3,0)-2))</f>
        <v/>
      </c>
      <c r="K347" s="127"/>
      <c r="L347" s="137"/>
      <c r="M347" s="58" t="str" cm="1">
        <f>IF(ISBLANK($A347),"",INDEX(Array_ElectricalCharges,MATCH($A347,List_ElectricityMeters,0),ROUNDUP(COLUMN()/3,0)-2))</f>
        <v/>
      </c>
      <c r="N347" s="127"/>
      <c r="O347" s="137"/>
      <c r="P347" s="58" t="str" cm="1">
        <f>IF(ISBLANK($A347),"",INDEX(Array_ElectricalCharges,MATCH($A347,List_ElectricityMeters,0),ROUNDUP(COLUMN()/3,0)-2))</f>
        <v/>
      </c>
      <c r="Q347" s="127"/>
      <c r="R347" s="137"/>
      <c r="S347" s="58" t="str" cm="1">
        <f>IF(ISBLANK($A347),"",INDEX(Array_ElectricalCharges,MATCH($A347,List_ElectricityMeters,0),ROUNDUP(COLUMN()/3,0)-2))</f>
        <v/>
      </c>
      <c r="T347" s="127"/>
      <c r="U347" s="137"/>
      <c r="V347" s="58" t="str" cm="1">
        <f>IF(ISBLANK($A347),"",INDEX(Array_ElectricalCharges,MATCH($A347,List_ElectricityMeters,0),ROUNDUP(COLUMN()/3,0)-2))</f>
        <v/>
      </c>
      <c r="W347" s="127"/>
      <c r="X347" s="137"/>
      <c r="Y347" s="58" t="str" cm="1">
        <f>IF(ISBLANK($A347),"",INDEX(Array_ElectricalCharges,MATCH($A347,List_ElectricityMeters,0),ROUNDUP(COLUMN()/3,0)-2))</f>
        <v/>
      </c>
      <c r="Z347" s="127"/>
      <c r="AA347" s="137"/>
      <c r="AB347" s="58" t="str" cm="1">
        <f>IF(ISBLANK($A347),"",INDEX(Array_ElectricalCharges,MATCH($A347,List_ElectricityMeters,0),ROUNDUP(COLUMN()/3,0)-2))</f>
        <v/>
      </c>
      <c r="AC347" s="127"/>
      <c r="AD347" s="137"/>
      <c r="AE347" s="58" t="str" cm="1">
        <f>IF(ISBLANK($A347),"",INDEX(Array_ElectricalCharges,MATCH($A347,List_ElectricityMeters,0),ROUNDUP(COLUMN()/3,0)-2))</f>
        <v/>
      </c>
      <c r="AF347" s="127"/>
      <c r="AG347" s="137"/>
      <c r="AH347" s="58" t="str" cm="1">
        <f>IF(ISBLANK($A347),"",INDEX(Array_ElectricalCharges,MATCH($A347,List_ElectricityMeters,0),ROUNDUP(COLUMN()/3,0)-2))</f>
        <v/>
      </c>
      <c r="AI347" s="127"/>
      <c r="AJ347" s="137"/>
      <c r="AK347" s="58" t="str" cm="1">
        <f>IF(ISBLANK($A347),"",INDEX(Array_ElectricalCharges,MATCH($A347,List_ElectricityMeters,0),ROUNDUP(COLUMN()/3,0)-2))</f>
        <v/>
      </c>
      <c r="AL347" s="127"/>
      <c r="AM347" s="137"/>
      <c r="AN347" s="58" t="str" cm="1">
        <f>IF(ISBLANK($A347),"",INDEX(Array_ElectricalCharges,MATCH($A347,List_ElectricityMeters,0),ROUNDUP(COLUMN()/3,0)-2))</f>
        <v/>
      </c>
      <c r="AO347" s="127"/>
      <c r="AP347" s="137"/>
      <c r="AQ347" s="58" t="str" cm="1">
        <f>IF(ISBLANK($A347),"",INDEX(Array_ElectricalCharges,MATCH($A347,List_ElectricityMeters,0),ROUNDUP(COLUMN()/3,0)-2))</f>
        <v/>
      </c>
      <c r="AR347" s="127"/>
      <c r="AS347" s="137"/>
      <c r="AT347" s="58" t="str" cm="1">
        <f>IF(ISBLANK($A347),"",INDEX(Array_ElectricalCharges,MATCH($A347,List_ElectricityMeters,0),ROUNDUP(COLUMN()/3,0)-2))</f>
        <v/>
      </c>
      <c r="AU347" s="127"/>
      <c r="AV347" s="137"/>
      <c r="AW347" s="58" t="str" cm="1">
        <f>IF(ISBLANK($A347),"",INDEX(Array_ElectricalCharges,MATCH($A347,List_ElectricityMeters,0),ROUNDUP(COLUMN()/3,0)-2))</f>
        <v/>
      </c>
      <c r="AX347" s="127"/>
      <c r="AY347" s="137"/>
    </row>
    <row r="348" spans="1:51" x14ac:dyDescent="0.3">
      <c r="A348" s="126"/>
      <c r="B348" s="133"/>
      <c r="C348" s="134"/>
      <c r="D348" s="134"/>
      <c r="E348" s="135"/>
      <c r="F348" s="136"/>
      <c r="G348" s="58" t="str" cm="1">
        <f>IF(ISBLANK($A348),"",INDEX(Array_ElectricalCharges,MATCH($A348,List_ElectricityMeters,0),ROUNDUP(COLUMN()/3,0)-2))</f>
        <v/>
      </c>
      <c r="H348" s="127"/>
      <c r="I348" s="137"/>
      <c r="J348" s="58" t="str" cm="1">
        <f>IF(ISBLANK($A348),"",INDEX(Array_ElectricalCharges,MATCH($A348,List_ElectricityMeters,0),ROUNDUP(COLUMN()/3,0)-2))</f>
        <v/>
      </c>
      <c r="K348" s="127"/>
      <c r="L348" s="137"/>
      <c r="M348" s="58" t="str" cm="1">
        <f>IF(ISBLANK($A348),"",INDEX(Array_ElectricalCharges,MATCH($A348,List_ElectricityMeters,0),ROUNDUP(COLUMN()/3,0)-2))</f>
        <v/>
      </c>
      <c r="N348" s="127"/>
      <c r="O348" s="137"/>
      <c r="P348" s="58" t="str" cm="1">
        <f>IF(ISBLANK($A348),"",INDEX(Array_ElectricalCharges,MATCH($A348,List_ElectricityMeters,0),ROUNDUP(COLUMN()/3,0)-2))</f>
        <v/>
      </c>
      <c r="Q348" s="127"/>
      <c r="R348" s="137"/>
      <c r="S348" s="58" t="str" cm="1">
        <f>IF(ISBLANK($A348),"",INDEX(Array_ElectricalCharges,MATCH($A348,List_ElectricityMeters,0),ROUNDUP(COLUMN()/3,0)-2))</f>
        <v/>
      </c>
      <c r="T348" s="127"/>
      <c r="U348" s="137"/>
      <c r="V348" s="58" t="str" cm="1">
        <f>IF(ISBLANK($A348),"",INDEX(Array_ElectricalCharges,MATCH($A348,List_ElectricityMeters,0),ROUNDUP(COLUMN()/3,0)-2))</f>
        <v/>
      </c>
      <c r="W348" s="127"/>
      <c r="X348" s="137"/>
      <c r="Y348" s="58" t="str" cm="1">
        <f>IF(ISBLANK($A348),"",INDEX(Array_ElectricalCharges,MATCH($A348,List_ElectricityMeters,0),ROUNDUP(COLUMN()/3,0)-2))</f>
        <v/>
      </c>
      <c r="Z348" s="127"/>
      <c r="AA348" s="137"/>
      <c r="AB348" s="58" t="str" cm="1">
        <f>IF(ISBLANK($A348),"",INDEX(Array_ElectricalCharges,MATCH($A348,List_ElectricityMeters,0),ROUNDUP(COLUMN()/3,0)-2))</f>
        <v/>
      </c>
      <c r="AC348" s="127"/>
      <c r="AD348" s="137"/>
      <c r="AE348" s="58" t="str" cm="1">
        <f>IF(ISBLANK($A348),"",INDEX(Array_ElectricalCharges,MATCH($A348,List_ElectricityMeters,0),ROUNDUP(COLUMN()/3,0)-2))</f>
        <v/>
      </c>
      <c r="AF348" s="127"/>
      <c r="AG348" s="137"/>
      <c r="AH348" s="58" t="str" cm="1">
        <f>IF(ISBLANK($A348),"",INDEX(Array_ElectricalCharges,MATCH($A348,List_ElectricityMeters,0),ROUNDUP(COLUMN()/3,0)-2))</f>
        <v/>
      </c>
      <c r="AI348" s="127"/>
      <c r="AJ348" s="137"/>
      <c r="AK348" s="58" t="str" cm="1">
        <f>IF(ISBLANK($A348),"",INDEX(Array_ElectricalCharges,MATCH($A348,List_ElectricityMeters,0),ROUNDUP(COLUMN()/3,0)-2))</f>
        <v/>
      </c>
      <c r="AL348" s="127"/>
      <c r="AM348" s="137"/>
      <c r="AN348" s="58" t="str" cm="1">
        <f>IF(ISBLANK($A348),"",INDEX(Array_ElectricalCharges,MATCH($A348,List_ElectricityMeters,0),ROUNDUP(COLUMN()/3,0)-2))</f>
        <v/>
      </c>
      <c r="AO348" s="127"/>
      <c r="AP348" s="137"/>
      <c r="AQ348" s="58" t="str" cm="1">
        <f>IF(ISBLANK($A348),"",INDEX(Array_ElectricalCharges,MATCH($A348,List_ElectricityMeters,0),ROUNDUP(COLUMN()/3,0)-2))</f>
        <v/>
      </c>
      <c r="AR348" s="127"/>
      <c r="AS348" s="137"/>
      <c r="AT348" s="58" t="str" cm="1">
        <f>IF(ISBLANK($A348),"",INDEX(Array_ElectricalCharges,MATCH($A348,List_ElectricityMeters,0),ROUNDUP(COLUMN()/3,0)-2))</f>
        <v/>
      </c>
      <c r="AU348" s="127"/>
      <c r="AV348" s="137"/>
      <c r="AW348" s="58" t="str" cm="1">
        <f>IF(ISBLANK($A348),"",INDEX(Array_ElectricalCharges,MATCH($A348,List_ElectricityMeters,0),ROUNDUP(COLUMN()/3,0)-2))</f>
        <v/>
      </c>
      <c r="AX348" s="127"/>
      <c r="AY348" s="137"/>
    </row>
    <row r="349" spans="1:51" x14ac:dyDescent="0.3">
      <c r="A349" s="126"/>
      <c r="B349" s="133"/>
      <c r="C349" s="134"/>
      <c r="D349" s="134"/>
      <c r="E349" s="135"/>
      <c r="F349" s="136"/>
      <c r="G349" s="58" t="str" cm="1">
        <f>IF(ISBLANK($A349),"",INDEX(Array_ElectricalCharges,MATCH($A349,List_ElectricityMeters,0),ROUNDUP(COLUMN()/3,0)-2))</f>
        <v/>
      </c>
      <c r="H349" s="127"/>
      <c r="I349" s="137"/>
      <c r="J349" s="58" t="str" cm="1">
        <f>IF(ISBLANK($A349),"",INDEX(Array_ElectricalCharges,MATCH($A349,List_ElectricityMeters,0),ROUNDUP(COLUMN()/3,0)-2))</f>
        <v/>
      </c>
      <c r="K349" s="127"/>
      <c r="L349" s="137"/>
      <c r="M349" s="58" t="str" cm="1">
        <f>IF(ISBLANK($A349),"",INDEX(Array_ElectricalCharges,MATCH($A349,List_ElectricityMeters,0),ROUNDUP(COLUMN()/3,0)-2))</f>
        <v/>
      </c>
      <c r="N349" s="127"/>
      <c r="O349" s="137"/>
      <c r="P349" s="58" t="str" cm="1">
        <f>IF(ISBLANK($A349),"",INDEX(Array_ElectricalCharges,MATCH($A349,List_ElectricityMeters,0),ROUNDUP(COLUMN()/3,0)-2))</f>
        <v/>
      </c>
      <c r="Q349" s="127"/>
      <c r="R349" s="137"/>
      <c r="S349" s="58" t="str" cm="1">
        <f>IF(ISBLANK($A349),"",INDEX(Array_ElectricalCharges,MATCH($A349,List_ElectricityMeters,0),ROUNDUP(COLUMN()/3,0)-2))</f>
        <v/>
      </c>
      <c r="T349" s="127"/>
      <c r="U349" s="137"/>
      <c r="V349" s="58" t="str" cm="1">
        <f>IF(ISBLANK($A349),"",INDEX(Array_ElectricalCharges,MATCH($A349,List_ElectricityMeters,0),ROUNDUP(COLUMN()/3,0)-2))</f>
        <v/>
      </c>
      <c r="W349" s="127"/>
      <c r="X349" s="137"/>
      <c r="Y349" s="58" t="str" cm="1">
        <f>IF(ISBLANK($A349),"",INDEX(Array_ElectricalCharges,MATCH($A349,List_ElectricityMeters,0),ROUNDUP(COLUMN()/3,0)-2))</f>
        <v/>
      </c>
      <c r="Z349" s="127"/>
      <c r="AA349" s="137"/>
      <c r="AB349" s="58" t="str" cm="1">
        <f>IF(ISBLANK($A349),"",INDEX(Array_ElectricalCharges,MATCH($A349,List_ElectricityMeters,0),ROUNDUP(COLUMN()/3,0)-2))</f>
        <v/>
      </c>
      <c r="AC349" s="127"/>
      <c r="AD349" s="137"/>
      <c r="AE349" s="58" t="str" cm="1">
        <f>IF(ISBLANK($A349),"",INDEX(Array_ElectricalCharges,MATCH($A349,List_ElectricityMeters,0),ROUNDUP(COLUMN()/3,0)-2))</f>
        <v/>
      </c>
      <c r="AF349" s="127"/>
      <c r="AG349" s="137"/>
      <c r="AH349" s="58" t="str" cm="1">
        <f>IF(ISBLANK($A349),"",INDEX(Array_ElectricalCharges,MATCH($A349,List_ElectricityMeters,0),ROUNDUP(COLUMN()/3,0)-2))</f>
        <v/>
      </c>
      <c r="AI349" s="127"/>
      <c r="AJ349" s="137"/>
      <c r="AK349" s="58" t="str" cm="1">
        <f>IF(ISBLANK($A349),"",INDEX(Array_ElectricalCharges,MATCH($A349,List_ElectricityMeters,0),ROUNDUP(COLUMN()/3,0)-2))</f>
        <v/>
      </c>
      <c r="AL349" s="127"/>
      <c r="AM349" s="137"/>
      <c r="AN349" s="58" t="str" cm="1">
        <f>IF(ISBLANK($A349),"",INDEX(Array_ElectricalCharges,MATCH($A349,List_ElectricityMeters,0),ROUNDUP(COLUMN()/3,0)-2))</f>
        <v/>
      </c>
      <c r="AO349" s="127"/>
      <c r="AP349" s="137"/>
      <c r="AQ349" s="58" t="str" cm="1">
        <f>IF(ISBLANK($A349),"",INDEX(Array_ElectricalCharges,MATCH($A349,List_ElectricityMeters,0),ROUNDUP(COLUMN()/3,0)-2))</f>
        <v/>
      </c>
      <c r="AR349" s="127"/>
      <c r="AS349" s="137"/>
      <c r="AT349" s="58" t="str" cm="1">
        <f>IF(ISBLANK($A349),"",INDEX(Array_ElectricalCharges,MATCH($A349,List_ElectricityMeters,0),ROUNDUP(COLUMN()/3,0)-2))</f>
        <v/>
      </c>
      <c r="AU349" s="127"/>
      <c r="AV349" s="137"/>
      <c r="AW349" s="58" t="str" cm="1">
        <f>IF(ISBLANK($A349),"",INDEX(Array_ElectricalCharges,MATCH($A349,List_ElectricityMeters,0),ROUNDUP(COLUMN()/3,0)-2))</f>
        <v/>
      </c>
      <c r="AX349" s="127"/>
      <c r="AY349" s="137"/>
    </row>
    <row r="350" spans="1:51" x14ac:dyDescent="0.3">
      <c r="A350" s="126"/>
      <c r="B350" s="133"/>
      <c r="C350" s="134"/>
      <c r="D350" s="134"/>
      <c r="E350" s="135"/>
      <c r="F350" s="136"/>
      <c r="G350" s="58" t="str" cm="1">
        <f>IF(ISBLANK($A350),"",INDEX(Array_ElectricalCharges,MATCH($A350,List_ElectricityMeters,0),ROUNDUP(COLUMN()/3,0)-2))</f>
        <v/>
      </c>
      <c r="H350" s="127"/>
      <c r="I350" s="137"/>
      <c r="J350" s="58" t="str" cm="1">
        <f>IF(ISBLANK($A350),"",INDEX(Array_ElectricalCharges,MATCH($A350,List_ElectricityMeters,0),ROUNDUP(COLUMN()/3,0)-2))</f>
        <v/>
      </c>
      <c r="K350" s="127"/>
      <c r="L350" s="137"/>
      <c r="M350" s="58" t="str" cm="1">
        <f>IF(ISBLANK($A350),"",INDEX(Array_ElectricalCharges,MATCH($A350,List_ElectricityMeters,0),ROUNDUP(COLUMN()/3,0)-2))</f>
        <v/>
      </c>
      <c r="N350" s="127"/>
      <c r="O350" s="137"/>
      <c r="P350" s="58" t="str" cm="1">
        <f>IF(ISBLANK($A350),"",INDEX(Array_ElectricalCharges,MATCH($A350,List_ElectricityMeters,0),ROUNDUP(COLUMN()/3,0)-2))</f>
        <v/>
      </c>
      <c r="Q350" s="127"/>
      <c r="R350" s="137"/>
      <c r="S350" s="58" t="str" cm="1">
        <f>IF(ISBLANK($A350),"",INDEX(Array_ElectricalCharges,MATCH($A350,List_ElectricityMeters,0),ROUNDUP(COLUMN()/3,0)-2))</f>
        <v/>
      </c>
      <c r="T350" s="127"/>
      <c r="U350" s="137"/>
      <c r="V350" s="58" t="str" cm="1">
        <f>IF(ISBLANK($A350),"",INDEX(Array_ElectricalCharges,MATCH($A350,List_ElectricityMeters,0),ROUNDUP(COLUMN()/3,0)-2))</f>
        <v/>
      </c>
      <c r="W350" s="127"/>
      <c r="X350" s="137"/>
      <c r="Y350" s="58" t="str" cm="1">
        <f>IF(ISBLANK($A350),"",INDEX(Array_ElectricalCharges,MATCH($A350,List_ElectricityMeters,0),ROUNDUP(COLUMN()/3,0)-2))</f>
        <v/>
      </c>
      <c r="Z350" s="127"/>
      <c r="AA350" s="137"/>
      <c r="AB350" s="58" t="str" cm="1">
        <f>IF(ISBLANK($A350),"",INDEX(Array_ElectricalCharges,MATCH($A350,List_ElectricityMeters,0),ROUNDUP(COLUMN()/3,0)-2))</f>
        <v/>
      </c>
      <c r="AC350" s="127"/>
      <c r="AD350" s="137"/>
      <c r="AE350" s="58" t="str" cm="1">
        <f>IF(ISBLANK($A350),"",INDEX(Array_ElectricalCharges,MATCH($A350,List_ElectricityMeters,0),ROUNDUP(COLUMN()/3,0)-2))</f>
        <v/>
      </c>
      <c r="AF350" s="127"/>
      <c r="AG350" s="137"/>
      <c r="AH350" s="58" t="str" cm="1">
        <f>IF(ISBLANK($A350),"",INDEX(Array_ElectricalCharges,MATCH($A350,List_ElectricityMeters,0),ROUNDUP(COLUMN()/3,0)-2))</f>
        <v/>
      </c>
      <c r="AI350" s="127"/>
      <c r="AJ350" s="137"/>
      <c r="AK350" s="58" t="str" cm="1">
        <f>IF(ISBLANK($A350),"",INDEX(Array_ElectricalCharges,MATCH($A350,List_ElectricityMeters,0),ROUNDUP(COLUMN()/3,0)-2))</f>
        <v/>
      </c>
      <c r="AL350" s="127"/>
      <c r="AM350" s="137"/>
      <c r="AN350" s="58" t="str" cm="1">
        <f>IF(ISBLANK($A350),"",INDEX(Array_ElectricalCharges,MATCH($A350,List_ElectricityMeters,0),ROUNDUP(COLUMN()/3,0)-2))</f>
        <v/>
      </c>
      <c r="AO350" s="127"/>
      <c r="AP350" s="137"/>
      <c r="AQ350" s="58" t="str" cm="1">
        <f>IF(ISBLANK($A350),"",INDEX(Array_ElectricalCharges,MATCH($A350,List_ElectricityMeters,0),ROUNDUP(COLUMN()/3,0)-2))</f>
        <v/>
      </c>
      <c r="AR350" s="127"/>
      <c r="AS350" s="137"/>
      <c r="AT350" s="58" t="str" cm="1">
        <f>IF(ISBLANK($A350),"",INDEX(Array_ElectricalCharges,MATCH($A350,List_ElectricityMeters,0),ROUNDUP(COLUMN()/3,0)-2))</f>
        <v/>
      </c>
      <c r="AU350" s="127"/>
      <c r="AV350" s="137"/>
      <c r="AW350" s="58" t="str" cm="1">
        <f>IF(ISBLANK($A350),"",INDEX(Array_ElectricalCharges,MATCH($A350,List_ElectricityMeters,0),ROUNDUP(COLUMN()/3,0)-2))</f>
        <v/>
      </c>
      <c r="AX350" s="127"/>
      <c r="AY350" s="137"/>
    </row>
    <row r="351" spans="1:51" x14ac:dyDescent="0.3">
      <c r="A351" s="126"/>
      <c r="B351" s="133"/>
      <c r="C351" s="134"/>
      <c r="D351" s="134"/>
      <c r="E351" s="135"/>
      <c r="F351" s="136"/>
      <c r="G351" s="58" t="str" cm="1">
        <f>IF(ISBLANK($A351),"",INDEX(Array_ElectricalCharges,MATCH($A351,List_ElectricityMeters,0),ROUNDUP(COLUMN()/3,0)-2))</f>
        <v/>
      </c>
      <c r="H351" s="127"/>
      <c r="I351" s="137"/>
      <c r="J351" s="58" t="str" cm="1">
        <f>IF(ISBLANK($A351),"",INDEX(Array_ElectricalCharges,MATCH($A351,List_ElectricityMeters,0),ROUNDUP(COLUMN()/3,0)-2))</f>
        <v/>
      </c>
      <c r="K351" s="127"/>
      <c r="L351" s="137"/>
      <c r="M351" s="58" t="str" cm="1">
        <f>IF(ISBLANK($A351),"",INDEX(Array_ElectricalCharges,MATCH($A351,List_ElectricityMeters,0),ROUNDUP(COLUMN()/3,0)-2))</f>
        <v/>
      </c>
      <c r="N351" s="127"/>
      <c r="O351" s="137"/>
      <c r="P351" s="58" t="str" cm="1">
        <f>IF(ISBLANK($A351),"",INDEX(Array_ElectricalCharges,MATCH($A351,List_ElectricityMeters,0),ROUNDUP(COLUMN()/3,0)-2))</f>
        <v/>
      </c>
      <c r="Q351" s="127"/>
      <c r="R351" s="137"/>
      <c r="S351" s="58" t="str" cm="1">
        <f>IF(ISBLANK($A351),"",INDEX(Array_ElectricalCharges,MATCH($A351,List_ElectricityMeters,0),ROUNDUP(COLUMN()/3,0)-2))</f>
        <v/>
      </c>
      <c r="T351" s="127"/>
      <c r="U351" s="137"/>
      <c r="V351" s="58" t="str" cm="1">
        <f>IF(ISBLANK($A351),"",INDEX(Array_ElectricalCharges,MATCH($A351,List_ElectricityMeters,0),ROUNDUP(COLUMN()/3,0)-2))</f>
        <v/>
      </c>
      <c r="W351" s="127"/>
      <c r="X351" s="137"/>
      <c r="Y351" s="58" t="str" cm="1">
        <f>IF(ISBLANK($A351),"",INDEX(Array_ElectricalCharges,MATCH($A351,List_ElectricityMeters,0),ROUNDUP(COLUMN()/3,0)-2))</f>
        <v/>
      </c>
      <c r="Z351" s="127"/>
      <c r="AA351" s="137"/>
      <c r="AB351" s="58" t="str" cm="1">
        <f>IF(ISBLANK($A351),"",INDEX(Array_ElectricalCharges,MATCH($A351,List_ElectricityMeters,0),ROUNDUP(COLUMN()/3,0)-2))</f>
        <v/>
      </c>
      <c r="AC351" s="127"/>
      <c r="AD351" s="137"/>
      <c r="AE351" s="58" t="str" cm="1">
        <f>IF(ISBLANK($A351),"",INDEX(Array_ElectricalCharges,MATCH($A351,List_ElectricityMeters,0),ROUNDUP(COLUMN()/3,0)-2))</f>
        <v/>
      </c>
      <c r="AF351" s="127"/>
      <c r="AG351" s="137"/>
      <c r="AH351" s="58" t="str" cm="1">
        <f>IF(ISBLANK($A351),"",INDEX(Array_ElectricalCharges,MATCH($A351,List_ElectricityMeters,0),ROUNDUP(COLUMN()/3,0)-2))</f>
        <v/>
      </c>
      <c r="AI351" s="127"/>
      <c r="AJ351" s="137"/>
      <c r="AK351" s="58" t="str" cm="1">
        <f>IF(ISBLANK($A351),"",INDEX(Array_ElectricalCharges,MATCH($A351,List_ElectricityMeters,0),ROUNDUP(COLUMN()/3,0)-2))</f>
        <v/>
      </c>
      <c r="AL351" s="127"/>
      <c r="AM351" s="137"/>
      <c r="AN351" s="58" t="str" cm="1">
        <f>IF(ISBLANK($A351),"",INDEX(Array_ElectricalCharges,MATCH($A351,List_ElectricityMeters,0),ROUNDUP(COLUMN()/3,0)-2))</f>
        <v/>
      </c>
      <c r="AO351" s="127"/>
      <c r="AP351" s="137"/>
      <c r="AQ351" s="58" t="str" cm="1">
        <f>IF(ISBLANK($A351),"",INDEX(Array_ElectricalCharges,MATCH($A351,List_ElectricityMeters,0),ROUNDUP(COLUMN()/3,0)-2))</f>
        <v/>
      </c>
      <c r="AR351" s="127"/>
      <c r="AS351" s="137"/>
      <c r="AT351" s="58" t="str" cm="1">
        <f>IF(ISBLANK($A351),"",INDEX(Array_ElectricalCharges,MATCH($A351,List_ElectricityMeters,0),ROUNDUP(COLUMN()/3,0)-2))</f>
        <v/>
      </c>
      <c r="AU351" s="127"/>
      <c r="AV351" s="137"/>
      <c r="AW351" s="58" t="str" cm="1">
        <f>IF(ISBLANK($A351),"",INDEX(Array_ElectricalCharges,MATCH($A351,List_ElectricityMeters,0),ROUNDUP(COLUMN()/3,0)-2))</f>
        <v/>
      </c>
      <c r="AX351" s="127"/>
      <c r="AY351" s="137"/>
    </row>
    <row r="352" spans="1:51" x14ac:dyDescent="0.3">
      <c r="A352" s="126"/>
      <c r="B352" s="133"/>
      <c r="C352" s="134"/>
      <c r="D352" s="134"/>
      <c r="E352" s="135"/>
      <c r="F352" s="136"/>
      <c r="G352" s="58" t="str" cm="1">
        <f>IF(ISBLANK($A352),"",INDEX(Array_ElectricalCharges,MATCH($A352,List_ElectricityMeters,0),ROUNDUP(COLUMN()/3,0)-2))</f>
        <v/>
      </c>
      <c r="H352" s="127"/>
      <c r="I352" s="137"/>
      <c r="J352" s="58" t="str" cm="1">
        <f>IF(ISBLANK($A352),"",INDEX(Array_ElectricalCharges,MATCH($A352,List_ElectricityMeters,0),ROUNDUP(COLUMN()/3,0)-2))</f>
        <v/>
      </c>
      <c r="K352" s="127"/>
      <c r="L352" s="137"/>
      <c r="M352" s="58" t="str" cm="1">
        <f>IF(ISBLANK($A352),"",INDEX(Array_ElectricalCharges,MATCH($A352,List_ElectricityMeters,0),ROUNDUP(COLUMN()/3,0)-2))</f>
        <v/>
      </c>
      <c r="N352" s="127"/>
      <c r="O352" s="137"/>
      <c r="P352" s="58" t="str" cm="1">
        <f>IF(ISBLANK($A352),"",INDEX(Array_ElectricalCharges,MATCH($A352,List_ElectricityMeters,0),ROUNDUP(COLUMN()/3,0)-2))</f>
        <v/>
      </c>
      <c r="Q352" s="127"/>
      <c r="R352" s="137"/>
      <c r="S352" s="58" t="str" cm="1">
        <f>IF(ISBLANK($A352),"",INDEX(Array_ElectricalCharges,MATCH($A352,List_ElectricityMeters,0),ROUNDUP(COLUMN()/3,0)-2))</f>
        <v/>
      </c>
      <c r="T352" s="127"/>
      <c r="U352" s="137"/>
      <c r="V352" s="58" t="str" cm="1">
        <f>IF(ISBLANK($A352),"",INDEX(Array_ElectricalCharges,MATCH($A352,List_ElectricityMeters,0),ROUNDUP(COLUMN()/3,0)-2))</f>
        <v/>
      </c>
      <c r="W352" s="127"/>
      <c r="X352" s="137"/>
      <c r="Y352" s="58" t="str" cm="1">
        <f>IF(ISBLANK($A352),"",INDEX(Array_ElectricalCharges,MATCH($A352,List_ElectricityMeters,0),ROUNDUP(COLUMN()/3,0)-2))</f>
        <v/>
      </c>
      <c r="Z352" s="127"/>
      <c r="AA352" s="137"/>
      <c r="AB352" s="58" t="str" cm="1">
        <f>IF(ISBLANK($A352),"",INDEX(Array_ElectricalCharges,MATCH($A352,List_ElectricityMeters,0),ROUNDUP(COLUMN()/3,0)-2))</f>
        <v/>
      </c>
      <c r="AC352" s="127"/>
      <c r="AD352" s="137"/>
      <c r="AE352" s="58" t="str" cm="1">
        <f>IF(ISBLANK($A352),"",INDEX(Array_ElectricalCharges,MATCH($A352,List_ElectricityMeters,0),ROUNDUP(COLUMN()/3,0)-2))</f>
        <v/>
      </c>
      <c r="AF352" s="127"/>
      <c r="AG352" s="137"/>
      <c r="AH352" s="58" t="str" cm="1">
        <f>IF(ISBLANK($A352),"",INDEX(Array_ElectricalCharges,MATCH($A352,List_ElectricityMeters,0),ROUNDUP(COLUMN()/3,0)-2))</f>
        <v/>
      </c>
      <c r="AI352" s="127"/>
      <c r="AJ352" s="137"/>
      <c r="AK352" s="58" t="str" cm="1">
        <f>IF(ISBLANK($A352),"",INDEX(Array_ElectricalCharges,MATCH($A352,List_ElectricityMeters,0),ROUNDUP(COLUMN()/3,0)-2))</f>
        <v/>
      </c>
      <c r="AL352" s="127"/>
      <c r="AM352" s="137"/>
      <c r="AN352" s="58" t="str" cm="1">
        <f>IF(ISBLANK($A352),"",INDEX(Array_ElectricalCharges,MATCH($A352,List_ElectricityMeters,0),ROUNDUP(COLUMN()/3,0)-2))</f>
        <v/>
      </c>
      <c r="AO352" s="127"/>
      <c r="AP352" s="137"/>
      <c r="AQ352" s="58" t="str" cm="1">
        <f>IF(ISBLANK($A352),"",INDEX(Array_ElectricalCharges,MATCH($A352,List_ElectricityMeters,0),ROUNDUP(COLUMN()/3,0)-2))</f>
        <v/>
      </c>
      <c r="AR352" s="127"/>
      <c r="AS352" s="137"/>
      <c r="AT352" s="58" t="str" cm="1">
        <f>IF(ISBLANK($A352),"",INDEX(Array_ElectricalCharges,MATCH($A352,List_ElectricityMeters,0),ROUNDUP(COLUMN()/3,0)-2))</f>
        <v/>
      </c>
      <c r="AU352" s="127"/>
      <c r="AV352" s="137"/>
      <c r="AW352" s="58" t="str" cm="1">
        <f>IF(ISBLANK($A352),"",INDEX(Array_ElectricalCharges,MATCH($A352,List_ElectricityMeters,0),ROUNDUP(COLUMN()/3,0)-2))</f>
        <v/>
      </c>
      <c r="AX352" s="127"/>
      <c r="AY352" s="137"/>
    </row>
    <row r="353" spans="1:51" x14ac:dyDescent="0.3">
      <c r="A353" s="126"/>
      <c r="B353" s="133"/>
      <c r="C353" s="134"/>
      <c r="D353" s="134"/>
      <c r="E353" s="135"/>
      <c r="F353" s="136"/>
      <c r="G353" s="58" t="str" cm="1">
        <f>IF(ISBLANK($A353),"",INDEX(Array_ElectricalCharges,MATCH($A353,List_ElectricityMeters,0),ROUNDUP(COLUMN()/3,0)-2))</f>
        <v/>
      </c>
      <c r="H353" s="127"/>
      <c r="I353" s="137"/>
      <c r="J353" s="58" t="str" cm="1">
        <f>IF(ISBLANK($A353),"",INDEX(Array_ElectricalCharges,MATCH($A353,List_ElectricityMeters,0),ROUNDUP(COLUMN()/3,0)-2))</f>
        <v/>
      </c>
      <c r="K353" s="127"/>
      <c r="L353" s="137"/>
      <c r="M353" s="58" t="str" cm="1">
        <f>IF(ISBLANK($A353),"",INDEX(Array_ElectricalCharges,MATCH($A353,List_ElectricityMeters,0),ROUNDUP(COLUMN()/3,0)-2))</f>
        <v/>
      </c>
      <c r="N353" s="127"/>
      <c r="O353" s="137"/>
      <c r="P353" s="58" t="str" cm="1">
        <f>IF(ISBLANK($A353),"",INDEX(Array_ElectricalCharges,MATCH($A353,List_ElectricityMeters,0),ROUNDUP(COLUMN()/3,0)-2))</f>
        <v/>
      </c>
      <c r="Q353" s="127"/>
      <c r="R353" s="137"/>
      <c r="S353" s="58" t="str" cm="1">
        <f>IF(ISBLANK($A353),"",INDEX(Array_ElectricalCharges,MATCH($A353,List_ElectricityMeters,0),ROUNDUP(COLUMN()/3,0)-2))</f>
        <v/>
      </c>
      <c r="T353" s="127"/>
      <c r="U353" s="137"/>
      <c r="V353" s="58" t="str" cm="1">
        <f>IF(ISBLANK($A353),"",INDEX(Array_ElectricalCharges,MATCH($A353,List_ElectricityMeters,0),ROUNDUP(COLUMN()/3,0)-2))</f>
        <v/>
      </c>
      <c r="W353" s="127"/>
      <c r="X353" s="137"/>
      <c r="Y353" s="58" t="str" cm="1">
        <f>IF(ISBLANK($A353),"",INDEX(Array_ElectricalCharges,MATCH($A353,List_ElectricityMeters,0),ROUNDUP(COLUMN()/3,0)-2))</f>
        <v/>
      </c>
      <c r="Z353" s="127"/>
      <c r="AA353" s="137"/>
      <c r="AB353" s="58" t="str" cm="1">
        <f>IF(ISBLANK($A353),"",INDEX(Array_ElectricalCharges,MATCH($A353,List_ElectricityMeters,0),ROUNDUP(COLUMN()/3,0)-2))</f>
        <v/>
      </c>
      <c r="AC353" s="127"/>
      <c r="AD353" s="137"/>
      <c r="AE353" s="58" t="str" cm="1">
        <f>IF(ISBLANK($A353),"",INDEX(Array_ElectricalCharges,MATCH($A353,List_ElectricityMeters,0),ROUNDUP(COLUMN()/3,0)-2))</f>
        <v/>
      </c>
      <c r="AF353" s="127"/>
      <c r="AG353" s="137"/>
      <c r="AH353" s="58" t="str" cm="1">
        <f>IF(ISBLANK($A353),"",INDEX(Array_ElectricalCharges,MATCH($A353,List_ElectricityMeters,0),ROUNDUP(COLUMN()/3,0)-2))</f>
        <v/>
      </c>
      <c r="AI353" s="127"/>
      <c r="AJ353" s="137"/>
      <c r="AK353" s="58" t="str" cm="1">
        <f>IF(ISBLANK($A353),"",INDEX(Array_ElectricalCharges,MATCH($A353,List_ElectricityMeters,0),ROUNDUP(COLUMN()/3,0)-2))</f>
        <v/>
      </c>
      <c r="AL353" s="127"/>
      <c r="AM353" s="137"/>
      <c r="AN353" s="58" t="str" cm="1">
        <f>IF(ISBLANK($A353),"",INDEX(Array_ElectricalCharges,MATCH($A353,List_ElectricityMeters,0),ROUNDUP(COLUMN()/3,0)-2))</f>
        <v/>
      </c>
      <c r="AO353" s="127"/>
      <c r="AP353" s="137"/>
      <c r="AQ353" s="58" t="str" cm="1">
        <f>IF(ISBLANK($A353),"",INDEX(Array_ElectricalCharges,MATCH($A353,List_ElectricityMeters,0),ROUNDUP(COLUMN()/3,0)-2))</f>
        <v/>
      </c>
      <c r="AR353" s="127"/>
      <c r="AS353" s="137"/>
      <c r="AT353" s="58" t="str" cm="1">
        <f>IF(ISBLANK($A353),"",INDEX(Array_ElectricalCharges,MATCH($A353,List_ElectricityMeters,0),ROUNDUP(COLUMN()/3,0)-2))</f>
        <v/>
      </c>
      <c r="AU353" s="127"/>
      <c r="AV353" s="137"/>
      <c r="AW353" s="58" t="str" cm="1">
        <f>IF(ISBLANK($A353),"",INDEX(Array_ElectricalCharges,MATCH($A353,List_ElectricityMeters,0),ROUNDUP(COLUMN()/3,0)-2))</f>
        <v/>
      </c>
      <c r="AX353" s="127"/>
      <c r="AY353" s="137"/>
    </row>
    <row r="354" spans="1:51" x14ac:dyDescent="0.3">
      <c r="A354" s="126"/>
      <c r="B354" s="133"/>
      <c r="C354" s="134"/>
      <c r="D354" s="134"/>
      <c r="E354" s="135"/>
      <c r="F354" s="136"/>
      <c r="G354" s="58" t="str" cm="1">
        <f>IF(ISBLANK($A354),"",INDEX(Array_ElectricalCharges,MATCH($A354,List_ElectricityMeters,0),ROUNDUP(COLUMN()/3,0)-2))</f>
        <v/>
      </c>
      <c r="H354" s="127"/>
      <c r="I354" s="137"/>
      <c r="J354" s="58" t="str" cm="1">
        <f>IF(ISBLANK($A354),"",INDEX(Array_ElectricalCharges,MATCH($A354,List_ElectricityMeters,0),ROUNDUP(COLUMN()/3,0)-2))</f>
        <v/>
      </c>
      <c r="K354" s="127"/>
      <c r="L354" s="137"/>
      <c r="M354" s="58" t="str" cm="1">
        <f>IF(ISBLANK($A354),"",INDEX(Array_ElectricalCharges,MATCH($A354,List_ElectricityMeters,0),ROUNDUP(COLUMN()/3,0)-2))</f>
        <v/>
      </c>
      <c r="N354" s="127"/>
      <c r="O354" s="137"/>
      <c r="P354" s="58" t="str" cm="1">
        <f>IF(ISBLANK($A354),"",INDEX(Array_ElectricalCharges,MATCH($A354,List_ElectricityMeters,0),ROUNDUP(COLUMN()/3,0)-2))</f>
        <v/>
      </c>
      <c r="Q354" s="127"/>
      <c r="R354" s="137"/>
      <c r="S354" s="58" t="str" cm="1">
        <f>IF(ISBLANK($A354),"",INDEX(Array_ElectricalCharges,MATCH($A354,List_ElectricityMeters,0),ROUNDUP(COLUMN()/3,0)-2))</f>
        <v/>
      </c>
      <c r="T354" s="127"/>
      <c r="U354" s="137"/>
      <c r="V354" s="58" t="str" cm="1">
        <f>IF(ISBLANK($A354),"",INDEX(Array_ElectricalCharges,MATCH($A354,List_ElectricityMeters,0),ROUNDUP(COLUMN()/3,0)-2))</f>
        <v/>
      </c>
      <c r="W354" s="127"/>
      <c r="X354" s="137"/>
      <c r="Y354" s="58" t="str" cm="1">
        <f>IF(ISBLANK($A354),"",INDEX(Array_ElectricalCharges,MATCH($A354,List_ElectricityMeters,0),ROUNDUP(COLUMN()/3,0)-2))</f>
        <v/>
      </c>
      <c r="Z354" s="127"/>
      <c r="AA354" s="137"/>
      <c r="AB354" s="58" t="str" cm="1">
        <f>IF(ISBLANK($A354),"",INDEX(Array_ElectricalCharges,MATCH($A354,List_ElectricityMeters,0),ROUNDUP(COLUMN()/3,0)-2))</f>
        <v/>
      </c>
      <c r="AC354" s="127"/>
      <c r="AD354" s="137"/>
      <c r="AE354" s="58" t="str" cm="1">
        <f>IF(ISBLANK($A354),"",INDEX(Array_ElectricalCharges,MATCH($A354,List_ElectricityMeters,0),ROUNDUP(COLUMN()/3,0)-2))</f>
        <v/>
      </c>
      <c r="AF354" s="127"/>
      <c r="AG354" s="137"/>
      <c r="AH354" s="58" t="str" cm="1">
        <f>IF(ISBLANK($A354),"",INDEX(Array_ElectricalCharges,MATCH($A354,List_ElectricityMeters,0),ROUNDUP(COLUMN()/3,0)-2))</f>
        <v/>
      </c>
      <c r="AI354" s="127"/>
      <c r="AJ354" s="137"/>
      <c r="AK354" s="58" t="str" cm="1">
        <f>IF(ISBLANK($A354),"",INDEX(Array_ElectricalCharges,MATCH($A354,List_ElectricityMeters,0),ROUNDUP(COLUMN()/3,0)-2))</f>
        <v/>
      </c>
      <c r="AL354" s="127"/>
      <c r="AM354" s="137"/>
      <c r="AN354" s="58" t="str" cm="1">
        <f>IF(ISBLANK($A354),"",INDEX(Array_ElectricalCharges,MATCH($A354,List_ElectricityMeters,0),ROUNDUP(COLUMN()/3,0)-2))</f>
        <v/>
      </c>
      <c r="AO354" s="127"/>
      <c r="AP354" s="137"/>
      <c r="AQ354" s="58" t="str" cm="1">
        <f>IF(ISBLANK($A354),"",INDEX(Array_ElectricalCharges,MATCH($A354,List_ElectricityMeters,0),ROUNDUP(COLUMN()/3,0)-2))</f>
        <v/>
      </c>
      <c r="AR354" s="127"/>
      <c r="AS354" s="137"/>
      <c r="AT354" s="58" t="str" cm="1">
        <f>IF(ISBLANK($A354),"",INDEX(Array_ElectricalCharges,MATCH($A354,List_ElectricityMeters,0),ROUNDUP(COLUMN()/3,0)-2))</f>
        <v/>
      </c>
      <c r="AU354" s="127"/>
      <c r="AV354" s="137"/>
      <c r="AW354" s="58" t="str" cm="1">
        <f>IF(ISBLANK($A354),"",INDEX(Array_ElectricalCharges,MATCH($A354,List_ElectricityMeters,0),ROUNDUP(COLUMN()/3,0)-2))</f>
        <v/>
      </c>
      <c r="AX354" s="127"/>
      <c r="AY354" s="137"/>
    </row>
    <row r="355" spans="1:51" x14ac:dyDescent="0.3">
      <c r="A355" s="126"/>
      <c r="B355" s="133"/>
      <c r="C355" s="134"/>
      <c r="D355" s="134"/>
      <c r="E355" s="135"/>
      <c r="F355" s="136"/>
      <c r="G355" s="58" t="str" cm="1">
        <f>IF(ISBLANK($A355),"",INDEX(Array_ElectricalCharges,MATCH($A355,List_ElectricityMeters,0),ROUNDUP(COLUMN()/3,0)-2))</f>
        <v/>
      </c>
      <c r="H355" s="127"/>
      <c r="I355" s="137"/>
      <c r="J355" s="58" t="str" cm="1">
        <f>IF(ISBLANK($A355),"",INDEX(Array_ElectricalCharges,MATCH($A355,List_ElectricityMeters,0),ROUNDUP(COLUMN()/3,0)-2))</f>
        <v/>
      </c>
      <c r="K355" s="127"/>
      <c r="L355" s="137"/>
      <c r="M355" s="58" t="str" cm="1">
        <f>IF(ISBLANK($A355),"",INDEX(Array_ElectricalCharges,MATCH($A355,List_ElectricityMeters,0),ROUNDUP(COLUMN()/3,0)-2))</f>
        <v/>
      </c>
      <c r="N355" s="127"/>
      <c r="O355" s="137"/>
      <c r="P355" s="58" t="str" cm="1">
        <f>IF(ISBLANK($A355),"",INDEX(Array_ElectricalCharges,MATCH($A355,List_ElectricityMeters,0),ROUNDUP(COLUMN()/3,0)-2))</f>
        <v/>
      </c>
      <c r="Q355" s="127"/>
      <c r="R355" s="137"/>
      <c r="S355" s="58" t="str" cm="1">
        <f>IF(ISBLANK($A355),"",INDEX(Array_ElectricalCharges,MATCH($A355,List_ElectricityMeters,0),ROUNDUP(COLUMN()/3,0)-2))</f>
        <v/>
      </c>
      <c r="T355" s="127"/>
      <c r="U355" s="137"/>
      <c r="V355" s="58" t="str" cm="1">
        <f>IF(ISBLANK($A355),"",INDEX(Array_ElectricalCharges,MATCH($A355,List_ElectricityMeters,0),ROUNDUP(COLUMN()/3,0)-2))</f>
        <v/>
      </c>
      <c r="W355" s="127"/>
      <c r="X355" s="137"/>
      <c r="Y355" s="58" t="str" cm="1">
        <f>IF(ISBLANK($A355),"",INDEX(Array_ElectricalCharges,MATCH($A355,List_ElectricityMeters,0),ROUNDUP(COLUMN()/3,0)-2))</f>
        <v/>
      </c>
      <c r="Z355" s="127"/>
      <c r="AA355" s="137"/>
      <c r="AB355" s="58" t="str" cm="1">
        <f>IF(ISBLANK($A355),"",INDEX(Array_ElectricalCharges,MATCH($A355,List_ElectricityMeters,0),ROUNDUP(COLUMN()/3,0)-2))</f>
        <v/>
      </c>
      <c r="AC355" s="127"/>
      <c r="AD355" s="137"/>
      <c r="AE355" s="58" t="str" cm="1">
        <f>IF(ISBLANK($A355),"",INDEX(Array_ElectricalCharges,MATCH($A355,List_ElectricityMeters,0),ROUNDUP(COLUMN()/3,0)-2))</f>
        <v/>
      </c>
      <c r="AF355" s="127"/>
      <c r="AG355" s="137"/>
      <c r="AH355" s="58" t="str" cm="1">
        <f>IF(ISBLANK($A355),"",INDEX(Array_ElectricalCharges,MATCH($A355,List_ElectricityMeters,0),ROUNDUP(COLUMN()/3,0)-2))</f>
        <v/>
      </c>
      <c r="AI355" s="127"/>
      <c r="AJ355" s="137"/>
      <c r="AK355" s="58" t="str" cm="1">
        <f>IF(ISBLANK($A355),"",INDEX(Array_ElectricalCharges,MATCH($A355,List_ElectricityMeters,0),ROUNDUP(COLUMN()/3,0)-2))</f>
        <v/>
      </c>
      <c r="AL355" s="127"/>
      <c r="AM355" s="137"/>
      <c r="AN355" s="58" t="str" cm="1">
        <f>IF(ISBLANK($A355),"",INDEX(Array_ElectricalCharges,MATCH($A355,List_ElectricityMeters,0),ROUNDUP(COLUMN()/3,0)-2))</f>
        <v/>
      </c>
      <c r="AO355" s="127"/>
      <c r="AP355" s="137"/>
      <c r="AQ355" s="58" t="str" cm="1">
        <f>IF(ISBLANK($A355),"",INDEX(Array_ElectricalCharges,MATCH($A355,List_ElectricityMeters,0),ROUNDUP(COLUMN()/3,0)-2))</f>
        <v/>
      </c>
      <c r="AR355" s="127"/>
      <c r="AS355" s="137"/>
      <c r="AT355" s="58" t="str" cm="1">
        <f>IF(ISBLANK($A355),"",INDEX(Array_ElectricalCharges,MATCH($A355,List_ElectricityMeters,0),ROUNDUP(COLUMN()/3,0)-2))</f>
        <v/>
      </c>
      <c r="AU355" s="127"/>
      <c r="AV355" s="137"/>
      <c r="AW355" s="58" t="str" cm="1">
        <f>IF(ISBLANK($A355),"",INDEX(Array_ElectricalCharges,MATCH($A355,List_ElectricityMeters,0),ROUNDUP(COLUMN()/3,0)-2))</f>
        <v/>
      </c>
      <c r="AX355" s="127"/>
      <c r="AY355" s="137"/>
    </row>
    <row r="356" spans="1:51" x14ac:dyDescent="0.3">
      <c r="A356" s="126"/>
      <c r="B356" s="133"/>
      <c r="C356" s="134"/>
      <c r="D356" s="134"/>
      <c r="E356" s="135"/>
      <c r="F356" s="136"/>
      <c r="G356" s="58" t="str" cm="1">
        <f>IF(ISBLANK($A356),"",INDEX(Array_ElectricalCharges,MATCH($A356,List_ElectricityMeters,0),ROUNDUP(COLUMN()/3,0)-2))</f>
        <v/>
      </c>
      <c r="H356" s="127"/>
      <c r="I356" s="137"/>
      <c r="J356" s="58" t="str" cm="1">
        <f>IF(ISBLANK($A356),"",INDEX(Array_ElectricalCharges,MATCH($A356,List_ElectricityMeters,0),ROUNDUP(COLUMN()/3,0)-2))</f>
        <v/>
      </c>
      <c r="K356" s="127"/>
      <c r="L356" s="137"/>
      <c r="M356" s="58" t="str" cm="1">
        <f>IF(ISBLANK($A356),"",INDEX(Array_ElectricalCharges,MATCH($A356,List_ElectricityMeters,0),ROUNDUP(COLUMN()/3,0)-2))</f>
        <v/>
      </c>
      <c r="N356" s="127"/>
      <c r="O356" s="137"/>
      <c r="P356" s="58" t="str" cm="1">
        <f>IF(ISBLANK($A356),"",INDEX(Array_ElectricalCharges,MATCH($A356,List_ElectricityMeters,0),ROUNDUP(COLUMN()/3,0)-2))</f>
        <v/>
      </c>
      <c r="Q356" s="127"/>
      <c r="R356" s="137"/>
      <c r="S356" s="58" t="str" cm="1">
        <f>IF(ISBLANK($A356),"",INDEX(Array_ElectricalCharges,MATCH($A356,List_ElectricityMeters,0),ROUNDUP(COLUMN()/3,0)-2))</f>
        <v/>
      </c>
      <c r="T356" s="127"/>
      <c r="U356" s="137"/>
      <c r="V356" s="58" t="str" cm="1">
        <f>IF(ISBLANK($A356),"",INDEX(Array_ElectricalCharges,MATCH($A356,List_ElectricityMeters,0),ROUNDUP(COLUMN()/3,0)-2))</f>
        <v/>
      </c>
      <c r="W356" s="127"/>
      <c r="X356" s="137"/>
      <c r="Y356" s="58" t="str" cm="1">
        <f>IF(ISBLANK($A356),"",INDEX(Array_ElectricalCharges,MATCH($A356,List_ElectricityMeters,0),ROUNDUP(COLUMN()/3,0)-2))</f>
        <v/>
      </c>
      <c r="Z356" s="127"/>
      <c r="AA356" s="137"/>
      <c r="AB356" s="58" t="str" cm="1">
        <f>IF(ISBLANK($A356),"",INDEX(Array_ElectricalCharges,MATCH($A356,List_ElectricityMeters,0),ROUNDUP(COLUMN()/3,0)-2))</f>
        <v/>
      </c>
      <c r="AC356" s="127"/>
      <c r="AD356" s="137"/>
      <c r="AE356" s="58" t="str" cm="1">
        <f>IF(ISBLANK($A356),"",INDEX(Array_ElectricalCharges,MATCH($A356,List_ElectricityMeters,0),ROUNDUP(COLUMN()/3,0)-2))</f>
        <v/>
      </c>
      <c r="AF356" s="127"/>
      <c r="AG356" s="137"/>
      <c r="AH356" s="58" t="str" cm="1">
        <f>IF(ISBLANK($A356),"",INDEX(Array_ElectricalCharges,MATCH($A356,List_ElectricityMeters,0),ROUNDUP(COLUMN()/3,0)-2))</f>
        <v/>
      </c>
      <c r="AI356" s="127"/>
      <c r="AJ356" s="137"/>
      <c r="AK356" s="58" t="str" cm="1">
        <f>IF(ISBLANK($A356),"",INDEX(Array_ElectricalCharges,MATCH($A356,List_ElectricityMeters,0),ROUNDUP(COLUMN()/3,0)-2))</f>
        <v/>
      </c>
      <c r="AL356" s="127"/>
      <c r="AM356" s="137"/>
      <c r="AN356" s="58" t="str" cm="1">
        <f>IF(ISBLANK($A356),"",INDEX(Array_ElectricalCharges,MATCH($A356,List_ElectricityMeters,0),ROUNDUP(COLUMN()/3,0)-2))</f>
        <v/>
      </c>
      <c r="AO356" s="127"/>
      <c r="AP356" s="137"/>
      <c r="AQ356" s="58" t="str" cm="1">
        <f>IF(ISBLANK($A356),"",INDEX(Array_ElectricalCharges,MATCH($A356,List_ElectricityMeters,0),ROUNDUP(COLUMN()/3,0)-2))</f>
        <v/>
      </c>
      <c r="AR356" s="127"/>
      <c r="AS356" s="137"/>
      <c r="AT356" s="58" t="str" cm="1">
        <f>IF(ISBLANK($A356),"",INDEX(Array_ElectricalCharges,MATCH($A356,List_ElectricityMeters,0),ROUNDUP(COLUMN()/3,0)-2))</f>
        <v/>
      </c>
      <c r="AU356" s="127"/>
      <c r="AV356" s="137"/>
      <c r="AW356" s="58" t="str" cm="1">
        <f>IF(ISBLANK($A356),"",INDEX(Array_ElectricalCharges,MATCH($A356,List_ElectricityMeters,0),ROUNDUP(COLUMN()/3,0)-2))</f>
        <v/>
      </c>
      <c r="AX356" s="127"/>
      <c r="AY356" s="137"/>
    </row>
    <row r="357" spans="1:51" x14ac:dyDescent="0.3">
      <c r="A357" s="126"/>
      <c r="B357" s="133"/>
      <c r="C357" s="134"/>
      <c r="D357" s="134"/>
      <c r="E357" s="135"/>
      <c r="F357" s="136"/>
      <c r="G357" s="58" t="str" cm="1">
        <f>IF(ISBLANK($A357),"",INDEX(Array_ElectricalCharges,MATCH($A357,List_ElectricityMeters,0),ROUNDUP(COLUMN()/3,0)-2))</f>
        <v/>
      </c>
      <c r="H357" s="127"/>
      <c r="I357" s="137"/>
      <c r="J357" s="58" t="str" cm="1">
        <f>IF(ISBLANK($A357),"",INDEX(Array_ElectricalCharges,MATCH($A357,List_ElectricityMeters,0),ROUNDUP(COLUMN()/3,0)-2))</f>
        <v/>
      </c>
      <c r="K357" s="127"/>
      <c r="L357" s="137"/>
      <c r="M357" s="58" t="str" cm="1">
        <f>IF(ISBLANK($A357),"",INDEX(Array_ElectricalCharges,MATCH($A357,List_ElectricityMeters,0),ROUNDUP(COLUMN()/3,0)-2))</f>
        <v/>
      </c>
      <c r="N357" s="127"/>
      <c r="O357" s="137"/>
      <c r="P357" s="58" t="str" cm="1">
        <f>IF(ISBLANK($A357),"",INDEX(Array_ElectricalCharges,MATCH($A357,List_ElectricityMeters,0),ROUNDUP(COLUMN()/3,0)-2))</f>
        <v/>
      </c>
      <c r="Q357" s="127"/>
      <c r="R357" s="137"/>
      <c r="S357" s="58" t="str" cm="1">
        <f>IF(ISBLANK($A357),"",INDEX(Array_ElectricalCharges,MATCH($A357,List_ElectricityMeters,0),ROUNDUP(COLUMN()/3,0)-2))</f>
        <v/>
      </c>
      <c r="T357" s="127"/>
      <c r="U357" s="137"/>
      <c r="V357" s="58" t="str" cm="1">
        <f>IF(ISBLANK($A357),"",INDEX(Array_ElectricalCharges,MATCH($A357,List_ElectricityMeters,0),ROUNDUP(COLUMN()/3,0)-2))</f>
        <v/>
      </c>
      <c r="W357" s="127"/>
      <c r="X357" s="137"/>
      <c r="Y357" s="58" t="str" cm="1">
        <f>IF(ISBLANK($A357),"",INDEX(Array_ElectricalCharges,MATCH($A357,List_ElectricityMeters,0),ROUNDUP(COLUMN()/3,0)-2))</f>
        <v/>
      </c>
      <c r="Z357" s="127"/>
      <c r="AA357" s="137"/>
      <c r="AB357" s="58" t="str" cm="1">
        <f>IF(ISBLANK($A357),"",INDEX(Array_ElectricalCharges,MATCH($A357,List_ElectricityMeters,0),ROUNDUP(COLUMN()/3,0)-2))</f>
        <v/>
      </c>
      <c r="AC357" s="127"/>
      <c r="AD357" s="137"/>
      <c r="AE357" s="58" t="str" cm="1">
        <f>IF(ISBLANK($A357),"",INDEX(Array_ElectricalCharges,MATCH($A357,List_ElectricityMeters,0),ROUNDUP(COLUMN()/3,0)-2))</f>
        <v/>
      </c>
      <c r="AF357" s="127"/>
      <c r="AG357" s="137"/>
      <c r="AH357" s="58" t="str" cm="1">
        <f>IF(ISBLANK($A357),"",INDEX(Array_ElectricalCharges,MATCH($A357,List_ElectricityMeters,0),ROUNDUP(COLUMN()/3,0)-2))</f>
        <v/>
      </c>
      <c r="AI357" s="127"/>
      <c r="AJ357" s="137"/>
      <c r="AK357" s="58" t="str" cm="1">
        <f>IF(ISBLANK($A357),"",INDEX(Array_ElectricalCharges,MATCH($A357,List_ElectricityMeters,0),ROUNDUP(COLUMN()/3,0)-2))</f>
        <v/>
      </c>
      <c r="AL357" s="127"/>
      <c r="AM357" s="137"/>
      <c r="AN357" s="58" t="str" cm="1">
        <f>IF(ISBLANK($A357),"",INDEX(Array_ElectricalCharges,MATCH($A357,List_ElectricityMeters,0),ROUNDUP(COLUMN()/3,0)-2))</f>
        <v/>
      </c>
      <c r="AO357" s="127"/>
      <c r="AP357" s="137"/>
      <c r="AQ357" s="58" t="str" cm="1">
        <f>IF(ISBLANK($A357),"",INDEX(Array_ElectricalCharges,MATCH($A357,List_ElectricityMeters,0),ROUNDUP(COLUMN()/3,0)-2))</f>
        <v/>
      </c>
      <c r="AR357" s="127"/>
      <c r="AS357" s="137"/>
      <c r="AT357" s="58" t="str" cm="1">
        <f>IF(ISBLANK($A357),"",INDEX(Array_ElectricalCharges,MATCH($A357,List_ElectricityMeters,0),ROUNDUP(COLUMN()/3,0)-2))</f>
        <v/>
      </c>
      <c r="AU357" s="127"/>
      <c r="AV357" s="137"/>
      <c r="AW357" s="58" t="str" cm="1">
        <f>IF(ISBLANK($A357),"",INDEX(Array_ElectricalCharges,MATCH($A357,List_ElectricityMeters,0),ROUNDUP(COLUMN()/3,0)-2))</f>
        <v/>
      </c>
      <c r="AX357" s="127"/>
      <c r="AY357" s="137"/>
    </row>
    <row r="358" spans="1:51" x14ac:dyDescent="0.3">
      <c r="A358" s="126"/>
      <c r="B358" s="133"/>
      <c r="C358" s="134"/>
      <c r="D358" s="134"/>
      <c r="E358" s="135"/>
      <c r="F358" s="136"/>
      <c r="G358" s="58" t="str" cm="1">
        <f>IF(ISBLANK($A358),"",INDEX(Array_ElectricalCharges,MATCH($A358,List_ElectricityMeters,0),ROUNDUP(COLUMN()/3,0)-2))</f>
        <v/>
      </c>
      <c r="H358" s="127"/>
      <c r="I358" s="137"/>
      <c r="J358" s="58" t="str" cm="1">
        <f>IF(ISBLANK($A358),"",INDEX(Array_ElectricalCharges,MATCH($A358,List_ElectricityMeters,0),ROUNDUP(COLUMN()/3,0)-2))</f>
        <v/>
      </c>
      <c r="K358" s="127"/>
      <c r="L358" s="137"/>
      <c r="M358" s="58" t="str" cm="1">
        <f>IF(ISBLANK($A358),"",INDEX(Array_ElectricalCharges,MATCH($A358,List_ElectricityMeters,0),ROUNDUP(COLUMN()/3,0)-2))</f>
        <v/>
      </c>
      <c r="N358" s="127"/>
      <c r="O358" s="137"/>
      <c r="P358" s="58" t="str" cm="1">
        <f>IF(ISBLANK($A358),"",INDEX(Array_ElectricalCharges,MATCH($A358,List_ElectricityMeters,0),ROUNDUP(COLUMN()/3,0)-2))</f>
        <v/>
      </c>
      <c r="Q358" s="127"/>
      <c r="R358" s="137"/>
      <c r="S358" s="58" t="str" cm="1">
        <f>IF(ISBLANK($A358),"",INDEX(Array_ElectricalCharges,MATCH($A358,List_ElectricityMeters,0),ROUNDUP(COLUMN()/3,0)-2))</f>
        <v/>
      </c>
      <c r="T358" s="127"/>
      <c r="U358" s="137"/>
      <c r="V358" s="58" t="str" cm="1">
        <f>IF(ISBLANK($A358),"",INDEX(Array_ElectricalCharges,MATCH($A358,List_ElectricityMeters,0),ROUNDUP(COLUMN()/3,0)-2))</f>
        <v/>
      </c>
      <c r="W358" s="127"/>
      <c r="X358" s="137"/>
      <c r="Y358" s="58" t="str" cm="1">
        <f>IF(ISBLANK($A358),"",INDEX(Array_ElectricalCharges,MATCH($A358,List_ElectricityMeters,0),ROUNDUP(COLUMN()/3,0)-2))</f>
        <v/>
      </c>
      <c r="Z358" s="127"/>
      <c r="AA358" s="137"/>
      <c r="AB358" s="58" t="str" cm="1">
        <f>IF(ISBLANK($A358),"",INDEX(Array_ElectricalCharges,MATCH($A358,List_ElectricityMeters,0),ROUNDUP(COLUMN()/3,0)-2))</f>
        <v/>
      </c>
      <c r="AC358" s="127"/>
      <c r="AD358" s="137"/>
      <c r="AE358" s="58" t="str" cm="1">
        <f>IF(ISBLANK($A358),"",INDEX(Array_ElectricalCharges,MATCH($A358,List_ElectricityMeters,0),ROUNDUP(COLUMN()/3,0)-2))</f>
        <v/>
      </c>
      <c r="AF358" s="127"/>
      <c r="AG358" s="137"/>
      <c r="AH358" s="58" t="str" cm="1">
        <f>IF(ISBLANK($A358),"",INDEX(Array_ElectricalCharges,MATCH($A358,List_ElectricityMeters,0),ROUNDUP(COLUMN()/3,0)-2))</f>
        <v/>
      </c>
      <c r="AI358" s="127"/>
      <c r="AJ358" s="137"/>
      <c r="AK358" s="58" t="str" cm="1">
        <f>IF(ISBLANK($A358),"",INDEX(Array_ElectricalCharges,MATCH($A358,List_ElectricityMeters,0),ROUNDUP(COLUMN()/3,0)-2))</f>
        <v/>
      </c>
      <c r="AL358" s="127"/>
      <c r="AM358" s="137"/>
      <c r="AN358" s="58" t="str" cm="1">
        <f>IF(ISBLANK($A358),"",INDEX(Array_ElectricalCharges,MATCH($A358,List_ElectricityMeters,0),ROUNDUP(COLUMN()/3,0)-2))</f>
        <v/>
      </c>
      <c r="AO358" s="127"/>
      <c r="AP358" s="137"/>
      <c r="AQ358" s="58" t="str" cm="1">
        <f>IF(ISBLANK($A358),"",INDEX(Array_ElectricalCharges,MATCH($A358,List_ElectricityMeters,0),ROUNDUP(COLUMN()/3,0)-2))</f>
        <v/>
      </c>
      <c r="AR358" s="127"/>
      <c r="AS358" s="137"/>
      <c r="AT358" s="58" t="str" cm="1">
        <f>IF(ISBLANK($A358),"",INDEX(Array_ElectricalCharges,MATCH($A358,List_ElectricityMeters,0),ROUNDUP(COLUMN()/3,0)-2))</f>
        <v/>
      </c>
      <c r="AU358" s="127"/>
      <c r="AV358" s="137"/>
      <c r="AW358" s="58" t="str" cm="1">
        <f>IF(ISBLANK($A358),"",INDEX(Array_ElectricalCharges,MATCH($A358,List_ElectricityMeters,0),ROUNDUP(COLUMN()/3,0)-2))</f>
        <v/>
      </c>
      <c r="AX358" s="127"/>
      <c r="AY358" s="137"/>
    </row>
    <row r="359" spans="1:51" x14ac:dyDescent="0.3">
      <c r="A359" s="126"/>
      <c r="B359" s="133"/>
      <c r="C359" s="134"/>
      <c r="D359" s="134"/>
      <c r="E359" s="135"/>
      <c r="F359" s="136"/>
      <c r="G359" s="58" t="str" cm="1">
        <f>IF(ISBLANK($A359),"",INDEX(Array_ElectricalCharges,MATCH($A359,List_ElectricityMeters,0),ROUNDUP(COLUMN()/3,0)-2))</f>
        <v/>
      </c>
      <c r="H359" s="127"/>
      <c r="I359" s="137"/>
      <c r="J359" s="58" t="str" cm="1">
        <f>IF(ISBLANK($A359),"",INDEX(Array_ElectricalCharges,MATCH($A359,List_ElectricityMeters,0),ROUNDUP(COLUMN()/3,0)-2))</f>
        <v/>
      </c>
      <c r="K359" s="127"/>
      <c r="L359" s="137"/>
      <c r="M359" s="58" t="str" cm="1">
        <f>IF(ISBLANK($A359),"",INDEX(Array_ElectricalCharges,MATCH($A359,List_ElectricityMeters,0),ROUNDUP(COLUMN()/3,0)-2))</f>
        <v/>
      </c>
      <c r="N359" s="127"/>
      <c r="O359" s="137"/>
      <c r="P359" s="58" t="str" cm="1">
        <f>IF(ISBLANK($A359),"",INDEX(Array_ElectricalCharges,MATCH($A359,List_ElectricityMeters,0),ROUNDUP(COLUMN()/3,0)-2))</f>
        <v/>
      </c>
      <c r="Q359" s="127"/>
      <c r="R359" s="137"/>
      <c r="S359" s="58" t="str" cm="1">
        <f>IF(ISBLANK($A359),"",INDEX(Array_ElectricalCharges,MATCH($A359,List_ElectricityMeters,0),ROUNDUP(COLUMN()/3,0)-2))</f>
        <v/>
      </c>
      <c r="T359" s="127"/>
      <c r="U359" s="137"/>
      <c r="V359" s="58" t="str" cm="1">
        <f>IF(ISBLANK($A359),"",INDEX(Array_ElectricalCharges,MATCH($A359,List_ElectricityMeters,0),ROUNDUP(COLUMN()/3,0)-2))</f>
        <v/>
      </c>
      <c r="W359" s="127"/>
      <c r="X359" s="137"/>
      <c r="Y359" s="58" t="str" cm="1">
        <f>IF(ISBLANK($A359),"",INDEX(Array_ElectricalCharges,MATCH($A359,List_ElectricityMeters,0),ROUNDUP(COLUMN()/3,0)-2))</f>
        <v/>
      </c>
      <c r="Z359" s="127"/>
      <c r="AA359" s="137"/>
      <c r="AB359" s="58" t="str" cm="1">
        <f>IF(ISBLANK($A359),"",INDEX(Array_ElectricalCharges,MATCH($A359,List_ElectricityMeters,0),ROUNDUP(COLUMN()/3,0)-2))</f>
        <v/>
      </c>
      <c r="AC359" s="127"/>
      <c r="AD359" s="137"/>
      <c r="AE359" s="58" t="str" cm="1">
        <f>IF(ISBLANK($A359),"",INDEX(Array_ElectricalCharges,MATCH($A359,List_ElectricityMeters,0),ROUNDUP(COLUMN()/3,0)-2))</f>
        <v/>
      </c>
      <c r="AF359" s="127"/>
      <c r="AG359" s="137"/>
      <c r="AH359" s="58" t="str" cm="1">
        <f>IF(ISBLANK($A359),"",INDEX(Array_ElectricalCharges,MATCH($A359,List_ElectricityMeters,0),ROUNDUP(COLUMN()/3,0)-2))</f>
        <v/>
      </c>
      <c r="AI359" s="127"/>
      <c r="AJ359" s="137"/>
      <c r="AK359" s="58" t="str" cm="1">
        <f>IF(ISBLANK($A359),"",INDEX(Array_ElectricalCharges,MATCH($A359,List_ElectricityMeters,0),ROUNDUP(COLUMN()/3,0)-2))</f>
        <v/>
      </c>
      <c r="AL359" s="127"/>
      <c r="AM359" s="137"/>
      <c r="AN359" s="58" t="str" cm="1">
        <f>IF(ISBLANK($A359),"",INDEX(Array_ElectricalCharges,MATCH($A359,List_ElectricityMeters,0),ROUNDUP(COLUMN()/3,0)-2))</f>
        <v/>
      </c>
      <c r="AO359" s="127"/>
      <c r="AP359" s="137"/>
      <c r="AQ359" s="58" t="str" cm="1">
        <f>IF(ISBLANK($A359),"",INDEX(Array_ElectricalCharges,MATCH($A359,List_ElectricityMeters,0),ROUNDUP(COLUMN()/3,0)-2))</f>
        <v/>
      </c>
      <c r="AR359" s="127"/>
      <c r="AS359" s="137"/>
      <c r="AT359" s="58" t="str" cm="1">
        <f>IF(ISBLANK($A359),"",INDEX(Array_ElectricalCharges,MATCH($A359,List_ElectricityMeters,0),ROUNDUP(COLUMN()/3,0)-2))</f>
        <v/>
      </c>
      <c r="AU359" s="127"/>
      <c r="AV359" s="137"/>
      <c r="AW359" s="58" t="str" cm="1">
        <f>IF(ISBLANK($A359),"",INDEX(Array_ElectricalCharges,MATCH($A359,List_ElectricityMeters,0),ROUNDUP(COLUMN()/3,0)-2))</f>
        <v/>
      </c>
      <c r="AX359" s="127"/>
      <c r="AY359" s="137"/>
    </row>
    <row r="360" spans="1:51" x14ac:dyDescent="0.3">
      <c r="A360" s="126"/>
      <c r="B360" s="133"/>
      <c r="C360" s="134"/>
      <c r="D360" s="134"/>
      <c r="E360" s="135"/>
      <c r="F360" s="136"/>
      <c r="G360" s="58" t="str" cm="1">
        <f>IF(ISBLANK($A360),"",INDEX(Array_ElectricalCharges,MATCH($A360,List_ElectricityMeters,0),ROUNDUP(COLUMN()/3,0)-2))</f>
        <v/>
      </c>
      <c r="H360" s="127"/>
      <c r="I360" s="137"/>
      <c r="J360" s="58" t="str" cm="1">
        <f>IF(ISBLANK($A360),"",INDEX(Array_ElectricalCharges,MATCH($A360,List_ElectricityMeters,0),ROUNDUP(COLUMN()/3,0)-2))</f>
        <v/>
      </c>
      <c r="K360" s="127"/>
      <c r="L360" s="137"/>
      <c r="M360" s="58" t="str" cm="1">
        <f>IF(ISBLANK($A360),"",INDEX(Array_ElectricalCharges,MATCH($A360,List_ElectricityMeters,0),ROUNDUP(COLUMN()/3,0)-2))</f>
        <v/>
      </c>
      <c r="N360" s="127"/>
      <c r="O360" s="137"/>
      <c r="P360" s="58" t="str" cm="1">
        <f>IF(ISBLANK($A360),"",INDEX(Array_ElectricalCharges,MATCH($A360,List_ElectricityMeters,0),ROUNDUP(COLUMN()/3,0)-2))</f>
        <v/>
      </c>
      <c r="Q360" s="127"/>
      <c r="R360" s="137"/>
      <c r="S360" s="58" t="str" cm="1">
        <f>IF(ISBLANK($A360),"",INDEX(Array_ElectricalCharges,MATCH($A360,List_ElectricityMeters,0),ROUNDUP(COLUMN()/3,0)-2))</f>
        <v/>
      </c>
      <c r="T360" s="127"/>
      <c r="U360" s="137"/>
      <c r="V360" s="58" t="str" cm="1">
        <f>IF(ISBLANK($A360),"",INDEX(Array_ElectricalCharges,MATCH($A360,List_ElectricityMeters,0),ROUNDUP(COLUMN()/3,0)-2))</f>
        <v/>
      </c>
      <c r="W360" s="127"/>
      <c r="X360" s="137"/>
      <c r="Y360" s="58" t="str" cm="1">
        <f>IF(ISBLANK($A360),"",INDEX(Array_ElectricalCharges,MATCH($A360,List_ElectricityMeters,0),ROUNDUP(COLUMN()/3,0)-2))</f>
        <v/>
      </c>
      <c r="Z360" s="127"/>
      <c r="AA360" s="137"/>
      <c r="AB360" s="58" t="str" cm="1">
        <f>IF(ISBLANK($A360),"",INDEX(Array_ElectricalCharges,MATCH($A360,List_ElectricityMeters,0),ROUNDUP(COLUMN()/3,0)-2))</f>
        <v/>
      </c>
      <c r="AC360" s="127"/>
      <c r="AD360" s="137"/>
      <c r="AE360" s="58" t="str" cm="1">
        <f>IF(ISBLANK($A360),"",INDEX(Array_ElectricalCharges,MATCH($A360,List_ElectricityMeters,0),ROUNDUP(COLUMN()/3,0)-2))</f>
        <v/>
      </c>
      <c r="AF360" s="127"/>
      <c r="AG360" s="137"/>
      <c r="AH360" s="58" t="str" cm="1">
        <f>IF(ISBLANK($A360),"",INDEX(Array_ElectricalCharges,MATCH($A360,List_ElectricityMeters,0),ROUNDUP(COLUMN()/3,0)-2))</f>
        <v/>
      </c>
      <c r="AI360" s="127"/>
      <c r="AJ360" s="137"/>
      <c r="AK360" s="58" t="str" cm="1">
        <f>IF(ISBLANK($A360),"",INDEX(Array_ElectricalCharges,MATCH($A360,List_ElectricityMeters,0),ROUNDUP(COLUMN()/3,0)-2))</f>
        <v/>
      </c>
      <c r="AL360" s="127"/>
      <c r="AM360" s="137"/>
      <c r="AN360" s="58" t="str" cm="1">
        <f>IF(ISBLANK($A360),"",INDEX(Array_ElectricalCharges,MATCH($A360,List_ElectricityMeters,0),ROUNDUP(COLUMN()/3,0)-2))</f>
        <v/>
      </c>
      <c r="AO360" s="127"/>
      <c r="AP360" s="137"/>
      <c r="AQ360" s="58" t="str" cm="1">
        <f>IF(ISBLANK($A360),"",INDEX(Array_ElectricalCharges,MATCH($A360,List_ElectricityMeters,0),ROUNDUP(COLUMN()/3,0)-2))</f>
        <v/>
      </c>
      <c r="AR360" s="127"/>
      <c r="AS360" s="137"/>
      <c r="AT360" s="58" t="str" cm="1">
        <f>IF(ISBLANK($A360),"",INDEX(Array_ElectricalCharges,MATCH($A360,List_ElectricityMeters,0),ROUNDUP(COLUMN()/3,0)-2))</f>
        <v/>
      </c>
      <c r="AU360" s="127"/>
      <c r="AV360" s="137"/>
      <c r="AW360" s="58" t="str" cm="1">
        <f>IF(ISBLANK($A360),"",INDEX(Array_ElectricalCharges,MATCH($A360,List_ElectricityMeters,0),ROUNDUP(COLUMN()/3,0)-2))</f>
        <v/>
      </c>
      <c r="AX360" s="127"/>
      <c r="AY360" s="137"/>
    </row>
    <row r="361" spans="1:51" x14ac:dyDescent="0.3">
      <c r="A361" s="126"/>
      <c r="B361" s="133"/>
      <c r="C361" s="134"/>
      <c r="D361" s="134"/>
      <c r="E361" s="135"/>
      <c r="F361" s="136"/>
      <c r="G361" s="58" t="str" cm="1">
        <f>IF(ISBLANK($A361),"",INDEX(Array_ElectricalCharges,MATCH($A361,List_ElectricityMeters,0),ROUNDUP(COLUMN()/3,0)-2))</f>
        <v/>
      </c>
      <c r="H361" s="127"/>
      <c r="I361" s="137"/>
      <c r="J361" s="58" t="str" cm="1">
        <f>IF(ISBLANK($A361),"",INDEX(Array_ElectricalCharges,MATCH($A361,List_ElectricityMeters,0),ROUNDUP(COLUMN()/3,0)-2))</f>
        <v/>
      </c>
      <c r="K361" s="127"/>
      <c r="L361" s="137"/>
      <c r="M361" s="58" t="str" cm="1">
        <f>IF(ISBLANK($A361),"",INDEX(Array_ElectricalCharges,MATCH($A361,List_ElectricityMeters,0),ROUNDUP(COLUMN()/3,0)-2))</f>
        <v/>
      </c>
      <c r="N361" s="127"/>
      <c r="O361" s="137"/>
      <c r="P361" s="58" t="str" cm="1">
        <f>IF(ISBLANK($A361),"",INDEX(Array_ElectricalCharges,MATCH($A361,List_ElectricityMeters,0),ROUNDUP(COLUMN()/3,0)-2))</f>
        <v/>
      </c>
      <c r="Q361" s="127"/>
      <c r="R361" s="137"/>
      <c r="S361" s="58" t="str" cm="1">
        <f>IF(ISBLANK($A361),"",INDEX(Array_ElectricalCharges,MATCH($A361,List_ElectricityMeters,0),ROUNDUP(COLUMN()/3,0)-2))</f>
        <v/>
      </c>
      <c r="T361" s="127"/>
      <c r="U361" s="137"/>
      <c r="V361" s="58" t="str" cm="1">
        <f>IF(ISBLANK($A361),"",INDEX(Array_ElectricalCharges,MATCH($A361,List_ElectricityMeters,0),ROUNDUP(COLUMN()/3,0)-2))</f>
        <v/>
      </c>
      <c r="W361" s="127"/>
      <c r="X361" s="137"/>
      <c r="Y361" s="58" t="str" cm="1">
        <f>IF(ISBLANK($A361),"",INDEX(Array_ElectricalCharges,MATCH($A361,List_ElectricityMeters,0),ROUNDUP(COLUMN()/3,0)-2))</f>
        <v/>
      </c>
      <c r="Z361" s="127"/>
      <c r="AA361" s="137"/>
      <c r="AB361" s="58" t="str" cm="1">
        <f>IF(ISBLANK($A361),"",INDEX(Array_ElectricalCharges,MATCH($A361,List_ElectricityMeters,0),ROUNDUP(COLUMN()/3,0)-2))</f>
        <v/>
      </c>
      <c r="AC361" s="127"/>
      <c r="AD361" s="137"/>
      <c r="AE361" s="58" t="str" cm="1">
        <f>IF(ISBLANK($A361),"",INDEX(Array_ElectricalCharges,MATCH($A361,List_ElectricityMeters,0),ROUNDUP(COLUMN()/3,0)-2))</f>
        <v/>
      </c>
      <c r="AF361" s="127"/>
      <c r="AG361" s="137"/>
      <c r="AH361" s="58" t="str" cm="1">
        <f>IF(ISBLANK($A361),"",INDEX(Array_ElectricalCharges,MATCH($A361,List_ElectricityMeters,0),ROUNDUP(COLUMN()/3,0)-2))</f>
        <v/>
      </c>
      <c r="AI361" s="127"/>
      <c r="AJ361" s="137"/>
      <c r="AK361" s="58" t="str" cm="1">
        <f>IF(ISBLANK($A361),"",INDEX(Array_ElectricalCharges,MATCH($A361,List_ElectricityMeters,0),ROUNDUP(COLUMN()/3,0)-2))</f>
        <v/>
      </c>
      <c r="AL361" s="127"/>
      <c r="AM361" s="137"/>
      <c r="AN361" s="58" t="str" cm="1">
        <f>IF(ISBLANK($A361),"",INDEX(Array_ElectricalCharges,MATCH($A361,List_ElectricityMeters,0),ROUNDUP(COLUMN()/3,0)-2))</f>
        <v/>
      </c>
      <c r="AO361" s="127"/>
      <c r="AP361" s="137"/>
      <c r="AQ361" s="58" t="str" cm="1">
        <f>IF(ISBLANK($A361),"",INDEX(Array_ElectricalCharges,MATCH($A361,List_ElectricityMeters,0),ROUNDUP(COLUMN()/3,0)-2))</f>
        <v/>
      </c>
      <c r="AR361" s="127"/>
      <c r="AS361" s="137"/>
      <c r="AT361" s="58" t="str" cm="1">
        <f>IF(ISBLANK($A361),"",INDEX(Array_ElectricalCharges,MATCH($A361,List_ElectricityMeters,0),ROUNDUP(COLUMN()/3,0)-2))</f>
        <v/>
      </c>
      <c r="AU361" s="127"/>
      <c r="AV361" s="137"/>
      <c r="AW361" s="58" t="str" cm="1">
        <f>IF(ISBLANK($A361),"",INDEX(Array_ElectricalCharges,MATCH($A361,List_ElectricityMeters,0),ROUNDUP(COLUMN()/3,0)-2))</f>
        <v/>
      </c>
      <c r="AX361" s="127"/>
      <c r="AY361" s="137"/>
    </row>
    <row r="362" spans="1:51" x14ac:dyDescent="0.3">
      <c r="A362" s="126"/>
      <c r="B362" s="133"/>
      <c r="C362" s="134"/>
      <c r="D362" s="134"/>
      <c r="E362" s="135"/>
      <c r="F362" s="136"/>
      <c r="G362" s="58" t="str" cm="1">
        <f>IF(ISBLANK($A362),"",INDEX(Array_ElectricalCharges,MATCH($A362,List_ElectricityMeters,0),ROUNDUP(COLUMN()/3,0)-2))</f>
        <v/>
      </c>
      <c r="H362" s="127"/>
      <c r="I362" s="137"/>
      <c r="J362" s="58" t="str" cm="1">
        <f>IF(ISBLANK($A362),"",INDEX(Array_ElectricalCharges,MATCH($A362,List_ElectricityMeters,0),ROUNDUP(COLUMN()/3,0)-2))</f>
        <v/>
      </c>
      <c r="K362" s="127"/>
      <c r="L362" s="137"/>
      <c r="M362" s="58" t="str" cm="1">
        <f>IF(ISBLANK($A362),"",INDEX(Array_ElectricalCharges,MATCH($A362,List_ElectricityMeters,0),ROUNDUP(COLUMN()/3,0)-2))</f>
        <v/>
      </c>
      <c r="N362" s="127"/>
      <c r="O362" s="137"/>
      <c r="P362" s="58" t="str" cm="1">
        <f>IF(ISBLANK($A362),"",INDEX(Array_ElectricalCharges,MATCH($A362,List_ElectricityMeters,0),ROUNDUP(COLUMN()/3,0)-2))</f>
        <v/>
      </c>
      <c r="Q362" s="127"/>
      <c r="R362" s="137"/>
      <c r="S362" s="58" t="str" cm="1">
        <f>IF(ISBLANK($A362),"",INDEX(Array_ElectricalCharges,MATCH($A362,List_ElectricityMeters,0),ROUNDUP(COLUMN()/3,0)-2))</f>
        <v/>
      </c>
      <c r="T362" s="127"/>
      <c r="U362" s="137"/>
      <c r="V362" s="58" t="str" cm="1">
        <f>IF(ISBLANK($A362),"",INDEX(Array_ElectricalCharges,MATCH($A362,List_ElectricityMeters,0),ROUNDUP(COLUMN()/3,0)-2))</f>
        <v/>
      </c>
      <c r="W362" s="127"/>
      <c r="X362" s="137"/>
      <c r="Y362" s="58" t="str" cm="1">
        <f>IF(ISBLANK($A362),"",INDEX(Array_ElectricalCharges,MATCH($A362,List_ElectricityMeters,0),ROUNDUP(COLUMN()/3,0)-2))</f>
        <v/>
      </c>
      <c r="Z362" s="127"/>
      <c r="AA362" s="137"/>
      <c r="AB362" s="58" t="str" cm="1">
        <f>IF(ISBLANK($A362),"",INDEX(Array_ElectricalCharges,MATCH($A362,List_ElectricityMeters,0),ROUNDUP(COLUMN()/3,0)-2))</f>
        <v/>
      </c>
      <c r="AC362" s="127"/>
      <c r="AD362" s="137"/>
      <c r="AE362" s="58" t="str" cm="1">
        <f>IF(ISBLANK($A362),"",INDEX(Array_ElectricalCharges,MATCH($A362,List_ElectricityMeters,0),ROUNDUP(COLUMN()/3,0)-2))</f>
        <v/>
      </c>
      <c r="AF362" s="127"/>
      <c r="AG362" s="137"/>
      <c r="AH362" s="58" t="str" cm="1">
        <f>IF(ISBLANK($A362),"",INDEX(Array_ElectricalCharges,MATCH($A362,List_ElectricityMeters,0),ROUNDUP(COLUMN()/3,0)-2))</f>
        <v/>
      </c>
      <c r="AI362" s="127"/>
      <c r="AJ362" s="137"/>
      <c r="AK362" s="58" t="str" cm="1">
        <f>IF(ISBLANK($A362),"",INDEX(Array_ElectricalCharges,MATCH($A362,List_ElectricityMeters,0),ROUNDUP(COLUMN()/3,0)-2))</f>
        <v/>
      </c>
      <c r="AL362" s="127"/>
      <c r="AM362" s="137"/>
      <c r="AN362" s="58" t="str" cm="1">
        <f>IF(ISBLANK($A362),"",INDEX(Array_ElectricalCharges,MATCH($A362,List_ElectricityMeters,0),ROUNDUP(COLUMN()/3,0)-2))</f>
        <v/>
      </c>
      <c r="AO362" s="127"/>
      <c r="AP362" s="137"/>
      <c r="AQ362" s="58" t="str" cm="1">
        <f>IF(ISBLANK($A362),"",INDEX(Array_ElectricalCharges,MATCH($A362,List_ElectricityMeters,0),ROUNDUP(COLUMN()/3,0)-2))</f>
        <v/>
      </c>
      <c r="AR362" s="127"/>
      <c r="AS362" s="137"/>
      <c r="AT362" s="58" t="str" cm="1">
        <f>IF(ISBLANK($A362),"",INDEX(Array_ElectricalCharges,MATCH($A362,List_ElectricityMeters,0),ROUNDUP(COLUMN()/3,0)-2))</f>
        <v/>
      </c>
      <c r="AU362" s="127"/>
      <c r="AV362" s="137"/>
      <c r="AW362" s="58" t="str" cm="1">
        <f>IF(ISBLANK($A362),"",INDEX(Array_ElectricalCharges,MATCH($A362,List_ElectricityMeters,0),ROUNDUP(COLUMN()/3,0)-2))</f>
        <v/>
      </c>
      <c r="AX362" s="127"/>
      <c r="AY362" s="137"/>
    </row>
    <row r="363" spans="1:51" x14ac:dyDescent="0.3">
      <c r="A363" s="126"/>
      <c r="B363" s="133"/>
      <c r="C363" s="134"/>
      <c r="D363" s="134"/>
      <c r="E363" s="135"/>
      <c r="F363" s="136"/>
      <c r="G363" s="58" t="str" cm="1">
        <f>IF(ISBLANK($A363),"",INDEX(Array_ElectricalCharges,MATCH($A363,List_ElectricityMeters,0),ROUNDUP(COLUMN()/3,0)-2))</f>
        <v/>
      </c>
      <c r="H363" s="127"/>
      <c r="I363" s="137"/>
      <c r="J363" s="58" t="str" cm="1">
        <f>IF(ISBLANK($A363),"",INDEX(Array_ElectricalCharges,MATCH($A363,List_ElectricityMeters,0),ROUNDUP(COLUMN()/3,0)-2))</f>
        <v/>
      </c>
      <c r="K363" s="127"/>
      <c r="L363" s="137"/>
      <c r="M363" s="58" t="str" cm="1">
        <f>IF(ISBLANK($A363),"",INDEX(Array_ElectricalCharges,MATCH($A363,List_ElectricityMeters,0),ROUNDUP(COLUMN()/3,0)-2))</f>
        <v/>
      </c>
      <c r="N363" s="127"/>
      <c r="O363" s="137"/>
      <c r="P363" s="58" t="str" cm="1">
        <f>IF(ISBLANK($A363),"",INDEX(Array_ElectricalCharges,MATCH($A363,List_ElectricityMeters,0),ROUNDUP(COLUMN()/3,0)-2))</f>
        <v/>
      </c>
      <c r="Q363" s="127"/>
      <c r="R363" s="137"/>
      <c r="S363" s="58" t="str" cm="1">
        <f>IF(ISBLANK($A363),"",INDEX(Array_ElectricalCharges,MATCH($A363,List_ElectricityMeters,0),ROUNDUP(COLUMN()/3,0)-2))</f>
        <v/>
      </c>
      <c r="T363" s="127"/>
      <c r="U363" s="137"/>
      <c r="V363" s="58" t="str" cm="1">
        <f>IF(ISBLANK($A363),"",INDEX(Array_ElectricalCharges,MATCH($A363,List_ElectricityMeters,0),ROUNDUP(COLUMN()/3,0)-2))</f>
        <v/>
      </c>
      <c r="W363" s="127"/>
      <c r="X363" s="137"/>
      <c r="Y363" s="58" t="str" cm="1">
        <f>IF(ISBLANK($A363),"",INDEX(Array_ElectricalCharges,MATCH($A363,List_ElectricityMeters,0),ROUNDUP(COLUMN()/3,0)-2))</f>
        <v/>
      </c>
      <c r="Z363" s="127"/>
      <c r="AA363" s="137"/>
      <c r="AB363" s="58" t="str" cm="1">
        <f>IF(ISBLANK($A363),"",INDEX(Array_ElectricalCharges,MATCH($A363,List_ElectricityMeters,0),ROUNDUP(COLUMN()/3,0)-2))</f>
        <v/>
      </c>
      <c r="AC363" s="127"/>
      <c r="AD363" s="137"/>
      <c r="AE363" s="58" t="str" cm="1">
        <f>IF(ISBLANK($A363),"",INDEX(Array_ElectricalCharges,MATCH($A363,List_ElectricityMeters,0),ROUNDUP(COLUMN()/3,0)-2))</f>
        <v/>
      </c>
      <c r="AF363" s="127"/>
      <c r="AG363" s="137"/>
      <c r="AH363" s="58" t="str" cm="1">
        <f>IF(ISBLANK($A363),"",INDEX(Array_ElectricalCharges,MATCH($A363,List_ElectricityMeters,0),ROUNDUP(COLUMN()/3,0)-2))</f>
        <v/>
      </c>
      <c r="AI363" s="127"/>
      <c r="AJ363" s="137"/>
      <c r="AK363" s="58" t="str" cm="1">
        <f>IF(ISBLANK($A363),"",INDEX(Array_ElectricalCharges,MATCH($A363,List_ElectricityMeters,0),ROUNDUP(COLUMN()/3,0)-2))</f>
        <v/>
      </c>
      <c r="AL363" s="127"/>
      <c r="AM363" s="137"/>
      <c r="AN363" s="58" t="str" cm="1">
        <f>IF(ISBLANK($A363),"",INDEX(Array_ElectricalCharges,MATCH($A363,List_ElectricityMeters,0),ROUNDUP(COLUMN()/3,0)-2))</f>
        <v/>
      </c>
      <c r="AO363" s="127"/>
      <c r="AP363" s="137"/>
      <c r="AQ363" s="58" t="str" cm="1">
        <f>IF(ISBLANK($A363),"",INDEX(Array_ElectricalCharges,MATCH($A363,List_ElectricityMeters,0),ROUNDUP(COLUMN()/3,0)-2))</f>
        <v/>
      </c>
      <c r="AR363" s="127"/>
      <c r="AS363" s="137"/>
      <c r="AT363" s="58" t="str" cm="1">
        <f>IF(ISBLANK($A363),"",INDEX(Array_ElectricalCharges,MATCH($A363,List_ElectricityMeters,0),ROUNDUP(COLUMN()/3,0)-2))</f>
        <v/>
      </c>
      <c r="AU363" s="127"/>
      <c r="AV363" s="137"/>
      <c r="AW363" s="58" t="str" cm="1">
        <f>IF(ISBLANK($A363),"",INDEX(Array_ElectricalCharges,MATCH($A363,List_ElectricityMeters,0),ROUNDUP(COLUMN()/3,0)-2))</f>
        <v/>
      </c>
      <c r="AX363" s="127"/>
      <c r="AY363" s="137"/>
    </row>
    <row r="364" spans="1:51" x14ac:dyDescent="0.3">
      <c r="A364" s="126"/>
      <c r="B364" s="133"/>
      <c r="C364" s="134"/>
      <c r="D364" s="134"/>
      <c r="E364" s="135"/>
      <c r="F364" s="136"/>
      <c r="G364" s="58" t="str" cm="1">
        <f>IF(ISBLANK($A364),"",INDEX(Array_ElectricalCharges,MATCH($A364,List_ElectricityMeters,0),ROUNDUP(COLUMN()/3,0)-2))</f>
        <v/>
      </c>
      <c r="H364" s="127"/>
      <c r="I364" s="137"/>
      <c r="J364" s="58" t="str" cm="1">
        <f>IF(ISBLANK($A364),"",INDEX(Array_ElectricalCharges,MATCH($A364,List_ElectricityMeters,0),ROUNDUP(COLUMN()/3,0)-2))</f>
        <v/>
      </c>
      <c r="K364" s="127"/>
      <c r="L364" s="137"/>
      <c r="M364" s="58" t="str" cm="1">
        <f>IF(ISBLANK($A364),"",INDEX(Array_ElectricalCharges,MATCH($A364,List_ElectricityMeters,0),ROUNDUP(COLUMN()/3,0)-2))</f>
        <v/>
      </c>
      <c r="N364" s="127"/>
      <c r="O364" s="137"/>
      <c r="P364" s="58" t="str" cm="1">
        <f>IF(ISBLANK($A364),"",INDEX(Array_ElectricalCharges,MATCH($A364,List_ElectricityMeters,0),ROUNDUP(COLUMN()/3,0)-2))</f>
        <v/>
      </c>
      <c r="Q364" s="127"/>
      <c r="R364" s="137"/>
      <c r="S364" s="58" t="str" cm="1">
        <f>IF(ISBLANK($A364),"",INDEX(Array_ElectricalCharges,MATCH($A364,List_ElectricityMeters,0),ROUNDUP(COLUMN()/3,0)-2))</f>
        <v/>
      </c>
      <c r="T364" s="127"/>
      <c r="U364" s="137"/>
      <c r="V364" s="58" t="str" cm="1">
        <f>IF(ISBLANK($A364),"",INDEX(Array_ElectricalCharges,MATCH($A364,List_ElectricityMeters,0),ROUNDUP(COLUMN()/3,0)-2))</f>
        <v/>
      </c>
      <c r="W364" s="127"/>
      <c r="X364" s="137"/>
      <c r="Y364" s="58" t="str" cm="1">
        <f>IF(ISBLANK($A364),"",INDEX(Array_ElectricalCharges,MATCH($A364,List_ElectricityMeters,0),ROUNDUP(COLUMN()/3,0)-2))</f>
        <v/>
      </c>
      <c r="Z364" s="127"/>
      <c r="AA364" s="137"/>
      <c r="AB364" s="58" t="str" cm="1">
        <f>IF(ISBLANK($A364),"",INDEX(Array_ElectricalCharges,MATCH($A364,List_ElectricityMeters,0),ROUNDUP(COLUMN()/3,0)-2))</f>
        <v/>
      </c>
      <c r="AC364" s="127"/>
      <c r="AD364" s="137"/>
      <c r="AE364" s="58" t="str" cm="1">
        <f>IF(ISBLANK($A364),"",INDEX(Array_ElectricalCharges,MATCH($A364,List_ElectricityMeters,0),ROUNDUP(COLUMN()/3,0)-2))</f>
        <v/>
      </c>
      <c r="AF364" s="127"/>
      <c r="AG364" s="137"/>
      <c r="AH364" s="58" t="str" cm="1">
        <f>IF(ISBLANK($A364),"",INDEX(Array_ElectricalCharges,MATCH($A364,List_ElectricityMeters,0),ROUNDUP(COLUMN()/3,0)-2))</f>
        <v/>
      </c>
      <c r="AI364" s="127"/>
      <c r="AJ364" s="137"/>
      <c r="AK364" s="58" t="str" cm="1">
        <f>IF(ISBLANK($A364),"",INDEX(Array_ElectricalCharges,MATCH($A364,List_ElectricityMeters,0),ROUNDUP(COLUMN()/3,0)-2))</f>
        <v/>
      </c>
      <c r="AL364" s="127"/>
      <c r="AM364" s="137"/>
      <c r="AN364" s="58" t="str" cm="1">
        <f>IF(ISBLANK($A364),"",INDEX(Array_ElectricalCharges,MATCH($A364,List_ElectricityMeters,0),ROUNDUP(COLUMN()/3,0)-2))</f>
        <v/>
      </c>
      <c r="AO364" s="127"/>
      <c r="AP364" s="137"/>
      <c r="AQ364" s="58" t="str" cm="1">
        <f>IF(ISBLANK($A364),"",INDEX(Array_ElectricalCharges,MATCH($A364,List_ElectricityMeters,0),ROUNDUP(COLUMN()/3,0)-2))</f>
        <v/>
      </c>
      <c r="AR364" s="127"/>
      <c r="AS364" s="137"/>
      <c r="AT364" s="58" t="str" cm="1">
        <f>IF(ISBLANK($A364),"",INDEX(Array_ElectricalCharges,MATCH($A364,List_ElectricityMeters,0),ROUNDUP(COLUMN()/3,0)-2))</f>
        <v/>
      </c>
      <c r="AU364" s="127"/>
      <c r="AV364" s="137"/>
      <c r="AW364" s="58" t="str" cm="1">
        <f>IF(ISBLANK($A364),"",INDEX(Array_ElectricalCharges,MATCH($A364,List_ElectricityMeters,0),ROUNDUP(COLUMN()/3,0)-2))</f>
        <v/>
      </c>
      <c r="AX364" s="127"/>
      <c r="AY364" s="137"/>
    </row>
    <row r="365" spans="1:51" x14ac:dyDescent="0.3">
      <c r="A365" s="126"/>
      <c r="B365" s="133"/>
      <c r="C365" s="134"/>
      <c r="D365" s="134"/>
      <c r="E365" s="135"/>
      <c r="F365" s="136"/>
      <c r="G365" s="58" t="str" cm="1">
        <f>IF(ISBLANK($A365),"",INDEX(Array_ElectricalCharges,MATCH($A365,List_ElectricityMeters,0),ROUNDUP(COLUMN()/3,0)-2))</f>
        <v/>
      </c>
      <c r="H365" s="127"/>
      <c r="I365" s="137"/>
      <c r="J365" s="58" t="str" cm="1">
        <f>IF(ISBLANK($A365),"",INDEX(Array_ElectricalCharges,MATCH($A365,List_ElectricityMeters,0),ROUNDUP(COLUMN()/3,0)-2))</f>
        <v/>
      </c>
      <c r="K365" s="127"/>
      <c r="L365" s="137"/>
      <c r="M365" s="58" t="str" cm="1">
        <f>IF(ISBLANK($A365),"",INDEX(Array_ElectricalCharges,MATCH($A365,List_ElectricityMeters,0),ROUNDUP(COLUMN()/3,0)-2))</f>
        <v/>
      </c>
      <c r="N365" s="127"/>
      <c r="O365" s="137"/>
      <c r="P365" s="58" t="str" cm="1">
        <f>IF(ISBLANK($A365),"",INDEX(Array_ElectricalCharges,MATCH($A365,List_ElectricityMeters,0),ROUNDUP(COLUMN()/3,0)-2))</f>
        <v/>
      </c>
      <c r="Q365" s="127"/>
      <c r="R365" s="137"/>
      <c r="S365" s="58" t="str" cm="1">
        <f>IF(ISBLANK($A365),"",INDEX(Array_ElectricalCharges,MATCH($A365,List_ElectricityMeters,0),ROUNDUP(COLUMN()/3,0)-2))</f>
        <v/>
      </c>
      <c r="T365" s="127"/>
      <c r="U365" s="137"/>
      <c r="V365" s="58" t="str" cm="1">
        <f>IF(ISBLANK($A365),"",INDEX(Array_ElectricalCharges,MATCH($A365,List_ElectricityMeters,0),ROUNDUP(COLUMN()/3,0)-2))</f>
        <v/>
      </c>
      <c r="W365" s="127"/>
      <c r="X365" s="137"/>
      <c r="Y365" s="58" t="str" cm="1">
        <f>IF(ISBLANK($A365),"",INDEX(Array_ElectricalCharges,MATCH($A365,List_ElectricityMeters,0),ROUNDUP(COLUMN()/3,0)-2))</f>
        <v/>
      </c>
      <c r="Z365" s="127"/>
      <c r="AA365" s="137"/>
      <c r="AB365" s="58" t="str" cm="1">
        <f>IF(ISBLANK($A365),"",INDEX(Array_ElectricalCharges,MATCH($A365,List_ElectricityMeters,0),ROUNDUP(COLUMN()/3,0)-2))</f>
        <v/>
      </c>
      <c r="AC365" s="127"/>
      <c r="AD365" s="137"/>
      <c r="AE365" s="58" t="str" cm="1">
        <f>IF(ISBLANK($A365),"",INDEX(Array_ElectricalCharges,MATCH($A365,List_ElectricityMeters,0),ROUNDUP(COLUMN()/3,0)-2))</f>
        <v/>
      </c>
      <c r="AF365" s="127"/>
      <c r="AG365" s="137"/>
      <c r="AH365" s="58" t="str" cm="1">
        <f>IF(ISBLANK($A365),"",INDEX(Array_ElectricalCharges,MATCH($A365,List_ElectricityMeters,0),ROUNDUP(COLUMN()/3,0)-2))</f>
        <v/>
      </c>
      <c r="AI365" s="127"/>
      <c r="AJ365" s="137"/>
      <c r="AK365" s="58" t="str" cm="1">
        <f>IF(ISBLANK($A365),"",INDEX(Array_ElectricalCharges,MATCH($A365,List_ElectricityMeters,0),ROUNDUP(COLUMN()/3,0)-2))</f>
        <v/>
      </c>
      <c r="AL365" s="127"/>
      <c r="AM365" s="137"/>
      <c r="AN365" s="58" t="str" cm="1">
        <f>IF(ISBLANK($A365),"",INDEX(Array_ElectricalCharges,MATCH($A365,List_ElectricityMeters,0),ROUNDUP(COLUMN()/3,0)-2))</f>
        <v/>
      </c>
      <c r="AO365" s="127"/>
      <c r="AP365" s="137"/>
      <c r="AQ365" s="58" t="str" cm="1">
        <f>IF(ISBLANK($A365),"",INDEX(Array_ElectricalCharges,MATCH($A365,List_ElectricityMeters,0),ROUNDUP(COLUMN()/3,0)-2))</f>
        <v/>
      </c>
      <c r="AR365" s="127"/>
      <c r="AS365" s="137"/>
      <c r="AT365" s="58" t="str" cm="1">
        <f>IF(ISBLANK($A365),"",INDEX(Array_ElectricalCharges,MATCH($A365,List_ElectricityMeters,0),ROUNDUP(COLUMN()/3,0)-2))</f>
        <v/>
      </c>
      <c r="AU365" s="127"/>
      <c r="AV365" s="137"/>
      <c r="AW365" s="58" t="str" cm="1">
        <f>IF(ISBLANK($A365),"",INDEX(Array_ElectricalCharges,MATCH($A365,List_ElectricityMeters,0),ROUNDUP(COLUMN()/3,0)-2))</f>
        <v/>
      </c>
      <c r="AX365" s="127"/>
      <c r="AY365" s="137"/>
    </row>
    <row r="366" spans="1:51" x14ac:dyDescent="0.3">
      <c r="A366" s="126"/>
      <c r="B366" s="133"/>
      <c r="C366" s="134"/>
      <c r="D366" s="134"/>
      <c r="E366" s="135"/>
      <c r="F366" s="136"/>
      <c r="G366" s="58" t="str" cm="1">
        <f>IF(ISBLANK($A366),"",INDEX(Array_ElectricalCharges,MATCH($A366,List_ElectricityMeters,0),ROUNDUP(COLUMN()/3,0)-2))</f>
        <v/>
      </c>
      <c r="H366" s="127"/>
      <c r="I366" s="137"/>
      <c r="J366" s="58" t="str" cm="1">
        <f>IF(ISBLANK($A366),"",INDEX(Array_ElectricalCharges,MATCH($A366,List_ElectricityMeters,0),ROUNDUP(COLUMN()/3,0)-2))</f>
        <v/>
      </c>
      <c r="K366" s="127"/>
      <c r="L366" s="137"/>
      <c r="M366" s="58" t="str" cm="1">
        <f>IF(ISBLANK($A366),"",INDEX(Array_ElectricalCharges,MATCH($A366,List_ElectricityMeters,0),ROUNDUP(COLUMN()/3,0)-2))</f>
        <v/>
      </c>
      <c r="N366" s="127"/>
      <c r="O366" s="137"/>
      <c r="P366" s="58" t="str" cm="1">
        <f>IF(ISBLANK($A366),"",INDEX(Array_ElectricalCharges,MATCH($A366,List_ElectricityMeters,0),ROUNDUP(COLUMN()/3,0)-2))</f>
        <v/>
      </c>
      <c r="Q366" s="127"/>
      <c r="R366" s="137"/>
      <c r="S366" s="58" t="str" cm="1">
        <f>IF(ISBLANK($A366),"",INDEX(Array_ElectricalCharges,MATCH($A366,List_ElectricityMeters,0),ROUNDUP(COLUMN()/3,0)-2))</f>
        <v/>
      </c>
      <c r="T366" s="127"/>
      <c r="U366" s="137"/>
      <c r="V366" s="58" t="str" cm="1">
        <f>IF(ISBLANK($A366),"",INDEX(Array_ElectricalCharges,MATCH($A366,List_ElectricityMeters,0),ROUNDUP(COLUMN()/3,0)-2))</f>
        <v/>
      </c>
      <c r="W366" s="127"/>
      <c r="X366" s="137"/>
      <c r="Y366" s="58" t="str" cm="1">
        <f>IF(ISBLANK($A366),"",INDEX(Array_ElectricalCharges,MATCH($A366,List_ElectricityMeters,0),ROUNDUP(COLUMN()/3,0)-2))</f>
        <v/>
      </c>
      <c r="Z366" s="127"/>
      <c r="AA366" s="137"/>
      <c r="AB366" s="58" t="str" cm="1">
        <f>IF(ISBLANK($A366),"",INDEX(Array_ElectricalCharges,MATCH($A366,List_ElectricityMeters,0),ROUNDUP(COLUMN()/3,0)-2))</f>
        <v/>
      </c>
      <c r="AC366" s="127"/>
      <c r="AD366" s="137"/>
      <c r="AE366" s="58" t="str" cm="1">
        <f>IF(ISBLANK($A366),"",INDEX(Array_ElectricalCharges,MATCH($A366,List_ElectricityMeters,0),ROUNDUP(COLUMN()/3,0)-2))</f>
        <v/>
      </c>
      <c r="AF366" s="127"/>
      <c r="AG366" s="137"/>
      <c r="AH366" s="58" t="str" cm="1">
        <f>IF(ISBLANK($A366),"",INDEX(Array_ElectricalCharges,MATCH($A366,List_ElectricityMeters,0),ROUNDUP(COLUMN()/3,0)-2))</f>
        <v/>
      </c>
      <c r="AI366" s="127"/>
      <c r="AJ366" s="137"/>
      <c r="AK366" s="58" t="str" cm="1">
        <f>IF(ISBLANK($A366),"",INDEX(Array_ElectricalCharges,MATCH($A366,List_ElectricityMeters,0),ROUNDUP(COLUMN()/3,0)-2))</f>
        <v/>
      </c>
      <c r="AL366" s="127"/>
      <c r="AM366" s="137"/>
      <c r="AN366" s="58" t="str" cm="1">
        <f>IF(ISBLANK($A366),"",INDEX(Array_ElectricalCharges,MATCH($A366,List_ElectricityMeters,0),ROUNDUP(COLUMN()/3,0)-2))</f>
        <v/>
      </c>
      <c r="AO366" s="127"/>
      <c r="AP366" s="137"/>
      <c r="AQ366" s="58" t="str" cm="1">
        <f>IF(ISBLANK($A366),"",INDEX(Array_ElectricalCharges,MATCH($A366,List_ElectricityMeters,0),ROUNDUP(COLUMN()/3,0)-2))</f>
        <v/>
      </c>
      <c r="AR366" s="127"/>
      <c r="AS366" s="137"/>
      <c r="AT366" s="58" t="str" cm="1">
        <f>IF(ISBLANK($A366),"",INDEX(Array_ElectricalCharges,MATCH($A366,List_ElectricityMeters,0),ROUNDUP(COLUMN()/3,0)-2))</f>
        <v/>
      </c>
      <c r="AU366" s="127"/>
      <c r="AV366" s="137"/>
      <c r="AW366" s="58" t="str" cm="1">
        <f>IF(ISBLANK($A366),"",INDEX(Array_ElectricalCharges,MATCH($A366,List_ElectricityMeters,0),ROUNDUP(COLUMN()/3,0)-2))</f>
        <v/>
      </c>
      <c r="AX366" s="127"/>
      <c r="AY366" s="137"/>
    </row>
    <row r="367" spans="1:51" x14ac:dyDescent="0.3">
      <c r="A367" s="126"/>
      <c r="B367" s="133"/>
      <c r="C367" s="134"/>
      <c r="D367" s="134"/>
      <c r="E367" s="135"/>
      <c r="F367" s="136"/>
      <c r="G367" s="58" t="str" cm="1">
        <f>IF(ISBLANK($A367),"",INDEX(Array_ElectricalCharges,MATCH($A367,List_ElectricityMeters,0),ROUNDUP(COLUMN()/3,0)-2))</f>
        <v/>
      </c>
      <c r="H367" s="127"/>
      <c r="I367" s="137"/>
      <c r="J367" s="58" t="str" cm="1">
        <f>IF(ISBLANK($A367),"",INDEX(Array_ElectricalCharges,MATCH($A367,List_ElectricityMeters,0),ROUNDUP(COLUMN()/3,0)-2))</f>
        <v/>
      </c>
      <c r="K367" s="127"/>
      <c r="L367" s="137"/>
      <c r="M367" s="58" t="str" cm="1">
        <f>IF(ISBLANK($A367),"",INDEX(Array_ElectricalCharges,MATCH($A367,List_ElectricityMeters,0),ROUNDUP(COLUMN()/3,0)-2))</f>
        <v/>
      </c>
      <c r="N367" s="127"/>
      <c r="O367" s="137"/>
      <c r="P367" s="58" t="str" cm="1">
        <f>IF(ISBLANK($A367),"",INDEX(Array_ElectricalCharges,MATCH($A367,List_ElectricityMeters,0),ROUNDUP(COLUMN()/3,0)-2))</f>
        <v/>
      </c>
      <c r="Q367" s="127"/>
      <c r="R367" s="137"/>
      <c r="S367" s="58" t="str" cm="1">
        <f>IF(ISBLANK($A367),"",INDEX(Array_ElectricalCharges,MATCH($A367,List_ElectricityMeters,0),ROUNDUP(COLUMN()/3,0)-2))</f>
        <v/>
      </c>
      <c r="T367" s="127"/>
      <c r="U367" s="137"/>
      <c r="V367" s="58" t="str" cm="1">
        <f>IF(ISBLANK($A367),"",INDEX(Array_ElectricalCharges,MATCH($A367,List_ElectricityMeters,0),ROUNDUP(COLUMN()/3,0)-2))</f>
        <v/>
      </c>
      <c r="W367" s="127"/>
      <c r="X367" s="137"/>
      <c r="Y367" s="58" t="str" cm="1">
        <f>IF(ISBLANK($A367),"",INDEX(Array_ElectricalCharges,MATCH($A367,List_ElectricityMeters,0),ROUNDUP(COLUMN()/3,0)-2))</f>
        <v/>
      </c>
      <c r="Z367" s="127"/>
      <c r="AA367" s="137"/>
      <c r="AB367" s="58" t="str" cm="1">
        <f>IF(ISBLANK($A367),"",INDEX(Array_ElectricalCharges,MATCH($A367,List_ElectricityMeters,0),ROUNDUP(COLUMN()/3,0)-2))</f>
        <v/>
      </c>
      <c r="AC367" s="127"/>
      <c r="AD367" s="137"/>
      <c r="AE367" s="58" t="str" cm="1">
        <f>IF(ISBLANK($A367),"",INDEX(Array_ElectricalCharges,MATCH($A367,List_ElectricityMeters,0),ROUNDUP(COLUMN()/3,0)-2))</f>
        <v/>
      </c>
      <c r="AF367" s="127"/>
      <c r="AG367" s="137"/>
      <c r="AH367" s="58" t="str" cm="1">
        <f>IF(ISBLANK($A367),"",INDEX(Array_ElectricalCharges,MATCH($A367,List_ElectricityMeters,0),ROUNDUP(COLUMN()/3,0)-2))</f>
        <v/>
      </c>
      <c r="AI367" s="127"/>
      <c r="AJ367" s="137"/>
      <c r="AK367" s="58" t="str" cm="1">
        <f>IF(ISBLANK($A367),"",INDEX(Array_ElectricalCharges,MATCH($A367,List_ElectricityMeters,0),ROUNDUP(COLUMN()/3,0)-2))</f>
        <v/>
      </c>
      <c r="AL367" s="127"/>
      <c r="AM367" s="137"/>
      <c r="AN367" s="58" t="str" cm="1">
        <f>IF(ISBLANK($A367),"",INDEX(Array_ElectricalCharges,MATCH($A367,List_ElectricityMeters,0),ROUNDUP(COLUMN()/3,0)-2))</f>
        <v/>
      </c>
      <c r="AO367" s="127"/>
      <c r="AP367" s="137"/>
      <c r="AQ367" s="58" t="str" cm="1">
        <f>IF(ISBLANK($A367),"",INDEX(Array_ElectricalCharges,MATCH($A367,List_ElectricityMeters,0),ROUNDUP(COLUMN()/3,0)-2))</f>
        <v/>
      </c>
      <c r="AR367" s="127"/>
      <c r="AS367" s="137"/>
      <c r="AT367" s="58" t="str" cm="1">
        <f>IF(ISBLANK($A367),"",INDEX(Array_ElectricalCharges,MATCH($A367,List_ElectricityMeters,0),ROUNDUP(COLUMN()/3,0)-2))</f>
        <v/>
      </c>
      <c r="AU367" s="127"/>
      <c r="AV367" s="137"/>
      <c r="AW367" s="58" t="str" cm="1">
        <f>IF(ISBLANK($A367),"",INDEX(Array_ElectricalCharges,MATCH($A367,List_ElectricityMeters,0),ROUNDUP(COLUMN()/3,0)-2))</f>
        <v/>
      </c>
      <c r="AX367" s="127"/>
      <c r="AY367" s="137"/>
    </row>
    <row r="368" spans="1:51" x14ac:dyDescent="0.3">
      <c r="A368" s="126"/>
      <c r="B368" s="133"/>
      <c r="C368" s="134"/>
      <c r="D368" s="134"/>
      <c r="E368" s="135"/>
      <c r="F368" s="136"/>
      <c r="G368" s="58" t="str" cm="1">
        <f>IF(ISBLANK($A368),"",INDEX(Array_ElectricalCharges,MATCH($A368,List_ElectricityMeters,0),ROUNDUP(COLUMN()/3,0)-2))</f>
        <v/>
      </c>
      <c r="H368" s="127"/>
      <c r="I368" s="137"/>
      <c r="J368" s="58" t="str" cm="1">
        <f>IF(ISBLANK($A368),"",INDEX(Array_ElectricalCharges,MATCH($A368,List_ElectricityMeters,0),ROUNDUP(COLUMN()/3,0)-2))</f>
        <v/>
      </c>
      <c r="K368" s="127"/>
      <c r="L368" s="137"/>
      <c r="M368" s="58" t="str" cm="1">
        <f>IF(ISBLANK($A368),"",INDEX(Array_ElectricalCharges,MATCH($A368,List_ElectricityMeters,0),ROUNDUP(COLUMN()/3,0)-2))</f>
        <v/>
      </c>
      <c r="N368" s="127"/>
      <c r="O368" s="137"/>
      <c r="P368" s="58" t="str" cm="1">
        <f>IF(ISBLANK($A368),"",INDEX(Array_ElectricalCharges,MATCH($A368,List_ElectricityMeters,0),ROUNDUP(COLUMN()/3,0)-2))</f>
        <v/>
      </c>
      <c r="Q368" s="127"/>
      <c r="R368" s="137"/>
      <c r="S368" s="58" t="str" cm="1">
        <f>IF(ISBLANK($A368),"",INDEX(Array_ElectricalCharges,MATCH($A368,List_ElectricityMeters,0),ROUNDUP(COLUMN()/3,0)-2))</f>
        <v/>
      </c>
      <c r="T368" s="127"/>
      <c r="U368" s="137"/>
      <c r="V368" s="58" t="str" cm="1">
        <f>IF(ISBLANK($A368),"",INDEX(Array_ElectricalCharges,MATCH($A368,List_ElectricityMeters,0),ROUNDUP(COLUMN()/3,0)-2))</f>
        <v/>
      </c>
      <c r="W368" s="127"/>
      <c r="X368" s="137"/>
      <c r="Y368" s="58" t="str" cm="1">
        <f>IF(ISBLANK($A368),"",INDEX(Array_ElectricalCharges,MATCH($A368,List_ElectricityMeters,0),ROUNDUP(COLUMN()/3,0)-2))</f>
        <v/>
      </c>
      <c r="Z368" s="127"/>
      <c r="AA368" s="137"/>
      <c r="AB368" s="58" t="str" cm="1">
        <f>IF(ISBLANK($A368),"",INDEX(Array_ElectricalCharges,MATCH($A368,List_ElectricityMeters,0),ROUNDUP(COLUMN()/3,0)-2))</f>
        <v/>
      </c>
      <c r="AC368" s="127"/>
      <c r="AD368" s="137"/>
      <c r="AE368" s="58" t="str" cm="1">
        <f>IF(ISBLANK($A368),"",INDEX(Array_ElectricalCharges,MATCH($A368,List_ElectricityMeters,0),ROUNDUP(COLUMN()/3,0)-2))</f>
        <v/>
      </c>
      <c r="AF368" s="127"/>
      <c r="AG368" s="137"/>
      <c r="AH368" s="58" t="str" cm="1">
        <f>IF(ISBLANK($A368),"",INDEX(Array_ElectricalCharges,MATCH($A368,List_ElectricityMeters,0),ROUNDUP(COLUMN()/3,0)-2))</f>
        <v/>
      </c>
      <c r="AI368" s="127"/>
      <c r="AJ368" s="137"/>
      <c r="AK368" s="58" t="str" cm="1">
        <f>IF(ISBLANK($A368),"",INDEX(Array_ElectricalCharges,MATCH($A368,List_ElectricityMeters,0),ROUNDUP(COLUMN()/3,0)-2))</f>
        <v/>
      </c>
      <c r="AL368" s="127"/>
      <c r="AM368" s="137"/>
      <c r="AN368" s="58" t="str" cm="1">
        <f>IF(ISBLANK($A368),"",INDEX(Array_ElectricalCharges,MATCH($A368,List_ElectricityMeters,0),ROUNDUP(COLUMN()/3,0)-2))</f>
        <v/>
      </c>
      <c r="AO368" s="127"/>
      <c r="AP368" s="137"/>
      <c r="AQ368" s="58" t="str" cm="1">
        <f>IF(ISBLANK($A368),"",INDEX(Array_ElectricalCharges,MATCH($A368,List_ElectricityMeters,0),ROUNDUP(COLUMN()/3,0)-2))</f>
        <v/>
      </c>
      <c r="AR368" s="127"/>
      <c r="AS368" s="137"/>
      <c r="AT368" s="58" t="str" cm="1">
        <f>IF(ISBLANK($A368),"",INDEX(Array_ElectricalCharges,MATCH($A368,List_ElectricityMeters,0),ROUNDUP(COLUMN()/3,0)-2))</f>
        <v/>
      </c>
      <c r="AU368" s="127"/>
      <c r="AV368" s="137"/>
      <c r="AW368" s="58" t="str" cm="1">
        <f>IF(ISBLANK($A368),"",INDEX(Array_ElectricalCharges,MATCH($A368,List_ElectricityMeters,0),ROUNDUP(COLUMN()/3,0)-2))</f>
        <v/>
      </c>
      <c r="AX368" s="127"/>
      <c r="AY368" s="137"/>
    </row>
    <row r="369" spans="1:51" x14ac:dyDescent="0.3">
      <c r="A369" s="126"/>
      <c r="B369" s="133"/>
      <c r="C369" s="134"/>
      <c r="D369" s="134"/>
      <c r="E369" s="135"/>
      <c r="F369" s="136"/>
      <c r="G369" s="58" t="str" cm="1">
        <f>IF(ISBLANK($A369),"",INDEX(Array_ElectricalCharges,MATCH($A369,List_ElectricityMeters,0),ROUNDUP(COLUMN()/3,0)-2))</f>
        <v/>
      </c>
      <c r="H369" s="127"/>
      <c r="I369" s="137"/>
      <c r="J369" s="58" t="str" cm="1">
        <f>IF(ISBLANK($A369),"",INDEX(Array_ElectricalCharges,MATCH($A369,List_ElectricityMeters,0),ROUNDUP(COLUMN()/3,0)-2))</f>
        <v/>
      </c>
      <c r="K369" s="127"/>
      <c r="L369" s="137"/>
      <c r="M369" s="58" t="str" cm="1">
        <f>IF(ISBLANK($A369),"",INDEX(Array_ElectricalCharges,MATCH($A369,List_ElectricityMeters,0),ROUNDUP(COLUMN()/3,0)-2))</f>
        <v/>
      </c>
      <c r="N369" s="127"/>
      <c r="O369" s="137"/>
      <c r="P369" s="58" t="str" cm="1">
        <f>IF(ISBLANK($A369),"",INDEX(Array_ElectricalCharges,MATCH($A369,List_ElectricityMeters,0),ROUNDUP(COLUMN()/3,0)-2))</f>
        <v/>
      </c>
      <c r="Q369" s="127"/>
      <c r="R369" s="137"/>
      <c r="S369" s="58" t="str" cm="1">
        <f>IF(ISBLANK($A369),"",INDEX(Array_ElectricalCharges,MATCH($A369,List_ElectricityMeters,0),ROUNDUP(COLUMN()/3,0)-2))</f>
        <v/>
      </c>
      <c r="T369" s="127"/>
      <c r="U369" s="137"/>
      <c r="V369" s="58" t="str" cm="1">
        <f>IF(ISBLANK($A369),"",INDEX(Array_ElectricalCharges,MATCH($A369,List_ElectricityMeters,0),ROUNDUP(COLUMN()/3,0)-2))</f>
        <v/>
      </c>
      <c r="W369" s="127"/>
      <c r="X369" s="137"/>
      <c r="Y369" s="58" t="str" cm="1">
        <f>IF(ISBLANK($A369),"",INDEX(Array_ElectricalCharges,MATCH($A369,List_ElectricityMeters,0),ROUNDUP(COLUMN()/3,0)-2))</f>
        <v/>
      </c>
      <c r="Z369" s="127"/>
      <c r="AA369" s="137"/>
      <c r="AB369" s="58" t="str" cm="1">
        <f>IF(ISBLANK($A369),"",INDEX(Array_ElectricalCharges,MATCH($A369,List_ElectricityMeters,0),ROUNDUP(COLUMN()/3,0)-2))</f>
        <v/>
      </c>
      <c r="AC369" s="127"/>
      <c r="AD369" s="137"/>
      <c r="AE369" s="58" t="str" cm="1">
        <f>IF(ISBLANK($A369),"",INDEX(Array_ElectricalCharges,MATCH($A369,List_ElectricityMeters,0),ROUNDUP(COLUMN()/3,0)-2))</f>
        <v/>
      </c>
      <c r="AF369" s="127"/>
      <c r="AG369" s="137"/>
      <c r="AH369" s="58" t="str" cm="1">
        <f>IF(ISBLANK($A369),"",INDEX(Array_ElectricalCharges,MATCH($A369,List_ElectricityMeters,0),ROUNDUP(COLUMN()/3,0)-2))</f>
        <v/>
      </c>
      <c r="AI369" s="127"/>
      <c r="AJ369" s="137"/>
      <c r="AK369" s="58" t="str" cm="1">
        <f>IF(ISBLANK($A369),"",INDEX(Array_ElectricalCharges,MATCH($A369,List_ElectricityMeters,0),ROUNDUP(COLUMN()/3,0)-2))</f>
        <v/>
      </c>
      <c r="AL369" s="127"/>
      <c r="AM369" s="137"/>
      <c r="AN369" s="58" t="str" cm="1">
        <f>IF(ISBLANK($A369),"",INDEX(Array_ElectricalCharges,MATCH($A369,List_ElectricityMeters,0),ROUNDUP(COLUMN()/3,0)-2))</f>
        <v/>
      </c>
      <c r="AO369" s="127"/>
      <c r="AP369" s="137"/>
      <c r="AQ369" s="58" t="str" cm="1">
        <f>IF(ISBLANK($A369),"",INDEX(Array_ElectricalCharges,MATCH($A369,List_ElectricityMeters,0),ROUNDUP(COLUMN()/3,0)-2))</f>
        <v/>
      </c>
      <c r="AR369" s="127"/>
      <c r="AS369" s="137"/>
      <c r="AT369" s="58" t="str" cm="1">
        <f>IF(ISBLANK($A369),"",INDEX(Array_ElectricalCharges,MATCH($A369,List_ElectricityMeters,0),ROUNDUP(COLUMN()/3,0)-2))</f>
        <v/>
      </c>
      <c r="AU369" s="127"/>
      <c r="AV369" s="137"/>
      <c r="AW369" s="58" t="str" cm="1">
        <f>IF(ISBLANK($A369),"",INDEX(Array_ElectricalCharges,MATCH($A369,List_ElectricityMeters,0),ROUNDUP(COLUMN()/3,0)-2))</f>
        <v/>
      </c>
      <c r="AX369" s="127"/>
      <c r="AY369" s="137"/>
    </row>
    <row r="370" spans="1:51" x14ac:dyDescent="0.3">
      <c r="A370" s="126"/>
      <c r="B370" s="133"/>
      <c r="C370" s="134"/>
      <c r="D370" s="134"/>
      <c r="E370" s="135"/>
      <c r="F370" s="136"/>
      <c r="G370" s="58" t="str" cm="1">
        <f>IF(ISBLANK($A370),"",INDEX(Array_ElectricalCharges,MATCH($A370,List_ElectricityMeters,0),ROUNDUP(COLUMN()/3,0)-2))</f>
        <v/>
      </c>
      <c r="H370" s="127"/>
      <c r="I370" s="137"/>
      <c r="J370" s="58" t="str" cm="1">
        <f>IF(ISBLANK($A370),"",INDEX(Array_ElectricalCharges,MATCH($A370,List_ElectricityMeters,0),ROUNDUP(COLUMN()/3,0)-2))</f>
        <v/>
      </c>
      <c r="K370" s="127"/>
      <c r="L370" s="137"/>
      <c r="M370" s="58" t="str" cm="1">
        <f>IF(ISBLANK($A370),"",INDEX(Array_ElectricalCharges,MATCH($A370,List_ElectricityMeters,0),ROUNDUP(COLUMN()/3,0)-2))</f>
        <v/>
      </c>
      <c r="N370" s="127"/>
      <c r="O370" s="137"/>
      <c r="P370" s="58" t="str" cm="1">
        <f>IF(ISBLANK($A370),"",INDEX(Array_ElectricalCharges,MATCH($A370,List_ElectricityMeters,0),ROUNDUP(COLUMN()/3,0)-2))</f>
        <v/>
      </c>
      <c r="Q370" s="127"/>
      <c r="R370" s="137"/>
      <c r="S370" s="58" t="str" cm="1">
        <f>IF(ISBLANK($A370),"",INDEX(Array_ElectricalCharges,MATCH($A370,List_ElectricityMeters,0),ROUNDUP(COLUMN()/3,0)-2))</f>
        <v/>
      </c>
      <c r="T370" s="127"/>
      <c r="U370" s="137"/>
      <c r="V370" s="58" t="str" cm="1">
        <f>IF(ISBLANK($A370),"",INDEX(Array_ElectricalCharges,MATCH($A370,List_ElectricityMeters,0),ROUNDUP(COLUMN()/3,0)-2))</f>
        <v/>
      </c>
      <c r="W370" s="127"/>
      <c r="X370" s="137"/>
      <c r="Y370" s="58" t="str" cm="1">
        <f>IF(ISBLANK($A370),"",INDEX(Array_ElectricalCharges,MATCH($A370,List_ElectricityMeters,0),ROUNDUP(COLUMN()/3,0)-2))</f>
        <v/>
      </c>
      <c r="Z370" s="127"/>
      <c r="AA370" s="137"/>
      <c r="AB370" s="58" t="str" cm="1">
        <f>IF(ISBLANK($A370),"",INDEX(Array_ElectricalCharges,MATCH($A370,List_ElectricityMeters,0),ROUNDUP(COLUMN()/3,0)-2))</f>
        <v/>
      </c>
      <c r="AC370" s="127"/>
      <c r="AD370" s="137"/>
      <c r="AE370" s="58" t="str" cm="1">
        <f>IF(ISBLANK($A370),"",INDEX(Array_ElectricalCharges,MATCH($A370,List_ElectricityMeters,0),ROUNDUP(COLUMN()/3,0)-2))</f>
        <v/>
      </c>
      <c r="AF370" s="127"/>
      <c r="AG370" s="137"/>
      <c r="AH370" s="58" t="str" cm="1">
        <f>IF(ISBLANK($A370),"",INDEX(Array_ElectricalCharges,MATCH($A370,List_ElectricityMeters,0),ROUNDUP(COLUMN()/3,0)-2))</f>
        <v/>
      </c>
      <c r="AI370" s="127"/>
      <c r="AJ370" s="137"/>
      <c r="AK370" s="58" t="str" cm="1">
        <f>IF(ISBLANK($A370),"",INDEX(Array_ElectricalCharges,MATCH($A370,List_ElectricityMeters,0),ROUNDUP(COLUMN()/3,0)-2))</f>
        <v/>
      </c>
      <c r="AL370" s="127"/>
      <c r="AM370" s="137"/>
      <c r="AN370" s="58" t="str" cm="1">
        <f>IF(ISBLANK($A370),"",INDEX(Array_ElectricalCharges,MATCH($A370,List_ElectricityMeters,0),ROUNDUP(COLUMN()/3,0)-2))</f>
        <v/>
      </c>
      <c r="AO370" s="127"/>
      <c r="AP370" s="137"/>
      <c r="AQ370" s="58" t="str" cm="1">
        <f>IF(ISBLANK($A370),"",INDEX(Array_ElectricalCharges,MATCH($A370,List_ElectricityMeters,0),ROUNDUP(COLUMN()/3,0)-2))</f>
        <v/>
      </c>
      <c r="AR370" s="127"/>
      <c r="AS370" s="137"/>
      <c r="AT370" s="58" t="str" cm="1">
        <f>IF(ISBLANK($A370),"",INDEX(Array_ElectricalCharges,MATCH($A370,List_ElectricityMeters,0),ROUNDUP(COLUMN()/3,0)-2))</f>
        <v/>
      </c>
      <c r="AU370" s="127"/>
      <c r="AV370" s="137"/>
      <c r="AW370" s="58" t="str" cm="1">
        <f>IF(ISBLANK($A370),"",INDEX(Array_ElectricalCharges,MATCH($A370,List_ElectricityMeters,0),ROUNDUP(COLUMN()/3,0)-2))</f>
        <v/>
      </c>
      <c r="AX370" s="127"/>
      <c r="AY370" s="137"/>
    </row>
    <row r="371" spans="1:51" x14ac:dyDescent="0.3">
      <c r="A371" s="126"/>
      <c r="B371" s="133"/>
      <c r="C371" s="134"/>
      <c r="D371" s="134"/>
      <c r="E371" s="135"/>
      <c r="F371" s="136"/>
      <c r="G371" s="58" t="str" cm="1">
        <f>IF(ISBLANK($A371),"",INDEX(Array_ElectricalCharges,MATCH($A371,List_ElectricityMeters,0),ROUNDUP(COLUMN()/3,0)-2))</f>
        <v/>
      </c>
      <c r="H371" s="127"/>
      <c r="I371" s="137"/>
      <c r="J371" s="58" t="str" cm="1">
        <f>IF(ISBLANK($A371),"",INDEX(Array_ElectricalCharges,MATCH($A371,List_ElectricityMeters,0),ROUNDUP(COLUMN()/3,0)-2))</f>
        <v/>
      </c>
      <c r="K371" s="127"/>
      <c r="L371" s="137"/>
      <c r="M371" s="58" t="str" cm="1">
        <f>IF(ISBLANK($A371),"",INDEX(Array_ElectricalCharges,MATCH($A371,List_ElectricityMeters,0),ROUNDUP(COLUMN()/3,0)-2))</f>
        <v/>
      </c>
      <c r="N371" s="127"/>
      <c r="O371" s="137"/>
      <c r="P371" s="58" t="str" cm="1">
        <f>IF(ISBLANK($A371),"",INDEX(Array_ElectricalCharges,MATCH($A371,List_ElectricityMeters,0),ROUNDUP(COLUMN()/3,0)-2))</f>
        <v/>
      </c>
      <c r="Q371" s="127"/>
      <c r="R371" s="137"/>
      <c r="S371" s="58" t="str" cm="1">
        <f>IF(ISBLANK($A371),"",INDEX(Array_ElectricalCharges,MATCH($A371,List_ElectricityMeters,0),ROUNDUP(COLUMN()/3,0)-2))</f>
        <v/>
      </c>
      <c r="T371" s="127"/>
      <c r="U371" s="137"/>
      <c r="V371" s="58" t="str" cm="1">
        <f>IF(ISBLANK($A371),"",INDEX(Array_ElectricalCharges,MATCH($A371,List_ElectricityMeters,0),ROUNDUP(COLUMN()/3,0)-2))</f>
        <v/>
      </c>
      <c r="W371" s="127"/>
      <c r="X371" s="137"/>
      <c r="Y371" s="58" t="str" cm="1">
        <f>IF(ISBLANK($A371),"",INDEX(Array_ElectricalCharges,MATCH($A371,List_ElectricityMeters,0),ROUNDUP(COLUMN()/3,0)-2))</f>
        <v/>
      </c>
      <c r="Z371" s="127"/>
      <c r="AA371" s="137"/>
      <c r="AB371" s="58" t="str" cm="1">
        <f>IF(ISBLANK($A371),"",INDEX(Array_ElectricalCharges,MATCH($A371,List_ElectricityMeters,0),ROUNDUP(COLUMN()/3,0)-2))</f>
        <v/>
      </c>
      <c r="AC371" s="127"/>
      <c r="AD371" s="137"/>
      <c r="AE371" s="58" t="str" cm="1">
        <f>IF(ISBLANK($A371),"",INDEX(Array_ElectricalCharges,MATCH($A371,List_ElectricityMeters,0),ROUNDUP(COLUMN()/3,0)-2))</f>
        <v/>
      </c>
      <c r="AF371" s="127"/>
      <c r="AG371" s="137"/>
      <c r="AH371" s="58" t="str" cm="1">
        <f>IF(ISBLANK($A371),"",INDEX(Array_ElectricalCharges,MATCH($A371,List_ElectricityMeters,0),ROUNDUP(COLUMN()/3,0)-2))</f>
        <v/>
      </c>
      <c r="AI371" s="127"/>
      <c r="AJ371" s="137"/>
      <c r="AK371" s="58" t="str" cm="1">
        <f>IF(ISBLANK($A371),"",INDEX(Array_ElectricalCharges,MATCH($A371,List_ElectricityMeters,0),ROUNDUP(COLUMN()/3,0)-2))</f>
        <v/>
      </c>
      <c r="AL371" s="127"/>
      <c r="AM371" s="137"/>
      <c r="AN371" s="58" t="str" cm="1">
        <f>IF(ISBLANK($A371),"",INDEX(Array_ElectricalCharges,MATCH($A371,List_ElectricityMeters,0),ROUNDUP(COLUMN()/3,0)-2))</f>
        <v/>
      </c>
      <c r="AO371" s="127"/>
      <c r="AP371" s="137"/>
      <c r="AQ371" s="58" t="str" cm="1">
        <f>IF(ISBLANK($A371),"",INDEX(Array_ElectricalCharges,MATCH($A371,List_ElectricityMeters,0),ROUNDUP(COLUMN()/3,0)-2))</f>
        <v/>
      </c>
      <c r="AR371" s="127"/>
      <c r="AS371" s="137"/>
      <c r="AT371" s="58" t="str" cm="1">
        <f>IF(ISBLANK($A371),"",INDEX(Array_ElectricalCharges,MATCH($A371,List_ElectricityMeters,0),ROUNDUP(COLUMN()/3,0)-2))</f>
        <v/>
      </c>
      <c r="AU371" s="127"/>
      <c r="AV371" s="137"/>
      <c r="AW371" s="58" t="str" cm="1">
        <f>IF(ISBLANK($A371),"",INDEX(Array_ElectricalCharges,MATCH($A371,List_ElectricityMeters,0),ROUNDUP(COLUMN()/3,0)-2))</f>
        <v/>
      </c>
      <c r="AX371" s="127"/>
      <c r="AY371" s="137"/>
    </row>
    <row r="372" spans="1:51" x14ac:dyDescent="0.3">
      <c r="A372" s="126"/>
      <c r="B372" s="133"/>
      <c r="C372" s="134"/>
      <c r="D372" s="134"/>
      <c r="E372" s="135"/>
      <c r="F372" s="136"/>
      <c r="G372" s="58" t="str" cm="1">
        <f>IF(ISBLANK($A372),"",INDEX(Array_ElectricalCharges,MATCH($A372,List_ElectricityMeters,0),ROUNDUP(COLUMN()/3,0)-2))</f>
        <v/>
      </c>
      <c r="H372" s="127"/>
      <c r="I372" s="137"/>
      <c r="J372" s="58" t="str" cm="1">
        <f>IF(ISBLANK($A372),"",INDEX(Array_ElectricalCharges,MATCH($A372,List_ElectricityMeters,0),ROUNDUP(COLUMN()/3,0)-2))</f>
        <v/>
      </c>
      <c r="K372" s="127"/>
      <c r="L372" s="137"/>
      <c r="M372" s="58" t="str" cm="1">
        <f>IF(ISBLANK($A372),"",INDEX(Array_ElectricalCharges,MATCH($A372,List_ElectricityMeters,0),ROUNDUP(COLUMN()/3,0)-2))</f>
        <v/>
      </c>
      <c r="N372" s="127"/>
      <c r="O372" s="137"/>
      <c r="P372" s="58" t="str" cm="1">
        <f>IF(ISBLANK($A372),"",INDEX(Array_ElectricalCharges,MATCH($A372,List_ElectricityMeters,0),ROUNDUP(COLUMN()/3,0)-2))</f>
        <v/>
      </c>
      <c r="Q372" s="127"/>
      <c r="R372" s="137"/>
      <c r="S372" s="58" t="str" cm="1">
        <f>IF(ISBLANK($A372),"",INDEX(Array_ElectricalCharges,MATCH($A372,List_ElectricityMeters,0),ROUNDUP(COLUMN()/3,0)-2))</f>
        <v/>
      </c>
      <c r="T372" s="127"/>
      <c r="U372" s="137"/>
      <c r="V372" s="58" t="str" cm="1">
        <f>IF(ISBLANK($A372),"",INDEX(Array_ElectricalCharges,MATCH($A372,List_ElectricityMeters,0),ROUNDUP(COLUMN()/3,0)-2))</f>
        <v/>
      </c>
      <c r="W372" s="127"/>
      <c r="X372" s="137"/>
      <c r="Y372" s="58" t="str" cm="1">
        <f>IF(ISBLANK($A372),"",INDEX(Array_ElectricalCharges,MATCH($A372,List_ElectricityMeters,0),ROUNDUP(COLUMN()/3,0)-2))</f>
        <v/>
      </c>
      <c r="Z372" s="127"/>
      <c r="AA372" s="137"/>
      <c r="AB372" s="58" t="str" cm="1">
        <f>IF(ISBLANK($A372),"",INDEX(Array_ElectricalCharges,MATCH($A372,List_ElectricityMeters,0),ROUNDUP(COLUMN()/3,0)-2))</f>
        <v/>
      </c>
      <c r="AC372" s="127"/>
      <c r="AD372" s="137"/>
      <c r="AE372" s="58" t="str" cm="1">
        <f>IF(ISBLANK($A372),"",INDEX(Array_ElectricalCharges,MATCH($A372,List_ElectricityMeters,0),ROUNDUP(COLUMN()/3,0)-2))</f>
        <v/>
      </c>
      <c r="AF372" s="127"/>
      <c r="AG372" s="137"/>
      <c r="AH372" s="58" t="str" cm="1">
        <f>IF(ISBLANK($A372),"",INDEX(Array_ElectricalCharges,MATCH($A372,List_ElectricityMeters,0),ROUNDUP(COLUMN()/3,0)-2))</f>
        <v/>
      </c>
      <c r="AI372" s="127"/>
      <c r="AJ372" s="137"/>
      <c r="AK372" s="58" t="str" cm="1">
        <f>IF(ISBLANK($A372),"",INDEX(Array_ElectricalCharges,MATCH($A372,List_ElectricityMeters,0),ROUNDUP(COLUMN()/3,0)-2))</f>
        <v/>
      </c>
      <c r="AL372" s="127"/>
      <c r="AM372" s="137"/>
      <c r="AN372" s="58" t="str" cm="1">
        <f>IF(ISBLANK($A372),"",INDEX(Array_ElectricalCharges,MATCH($A372,List_ElectricityMeters,0),ROUNDUP(COLUMN()/3,0)-2))</f>
        <v/>
      </c>
      <c r="AO372" s="127"/>
      <c r="AP372" s="137"/>
      <c r="AQ372" s="58" t="str" cm="1">
        <f>IF(ISBLANK($A372),"",INDEX(Array_ElectricalCharges,MATCH($A372,List_ElectricityMeters,0),ROUNDUP(COLUMN()/3,0)-2))</f>
        <v/>
      </c>
      <c r="AR372" s="127"/>
      <c r="AS372" s="137"/>
      <c r="AT372" s="58" t="str" cm="1">
        <f>IF(ISBLANK($A372),"",INDEX(Array_ElectricalCharges,MATCH($A372,List_ElectricityMeters,0),ROUNDUP(COLUMN()/3,0)-2))</f>
        <v/>
      </c>
      <c r="AU372" s="127"/>
      <c r="AV372" s="137"/>
      <c r="AW372" s="58" t="str" cm="1">
        <f>IF(ISBLANK($A372),"",INDEX(Array_ElectricalCharges,MATCH($A372,List_ElectricityMeters,0),ROUNDUP(COLUMN()/3,0)-2))</f>
        <v/>
      </c>
      <c r="AX372" s="127"/>
      <c r="AY372" s="137"/>
    </row>
    <row r="373" spans="1:51" x14ac:dyDescent="0.3">
      <c r="A373" s="126"/>
      <c r="B373" s="133"/>
      <c r="C373" s="134"/>
      <c r="D373" s="134"/>
      <c r="E373" s="135"/>
      <c r="F373" s="136"/>
      <c r="G373" s="58" t="str" cm="1">
        <f>IF(ISBLANK($A373),"",INDEX(Array_ElectricalCharges,MATCH($A373,List_ElectricityMeters,0),ROUNDUP(COLUMN()/3,0)-2))</f>
        <v/>
      </c>
      <c r="H373" s="127"/>
      <c r="I373" s="137"/>
      <c r="J373" s="58" t="str" cm="1">
        <f>IF(ISBLANK($A373),"",INDEX(Array_ElectricalCharges,MATCH($A373,List_ElectricityMeters,0),ROUNDUP(COLUMN()/3,0)-2))</f>
        <v/>
      </c>
      <c r="K373" s="127"/>
      <c r="L373" s="137"/>
      <c r="M373" s="58" t="str" cm="1">
        <f>IF(ISBLANK($A373),"",INDEX(Array_ElectricalCharges,MATCH($A373,List_ElectricityMeters,0),ROUNDUP(COLUMN()/3,0)-2))</f>
        <v/>
      </c>
      <c r="N373" s="127"/>
      <c r="O373" s="137"/>
      <c r="P373" s="58" t="str" cm="1">
        <f>IF(ISBLANK($A373),"",INDEX(Array_ElectricalCharges,MATCH($A373,List_ElectricityMeters,0),ROUNDUP(COLUMN()/3,0)-2))</f>
        <v/>
      </c>
      <c r="Q373" s="127"/>
      <c r="R373" s="137"/>
      <c r="S373" s="58" t="str" cm="1">
        <f>IF(ISBLANK($A373),"",INDEX(Array_ElectricalCharges,MATCH($A373,List_ElectricityMeters,0),ROUNDUP(COLUMN()/3,0)-2))</f>
        <v/>
      </c>
      <c r="T373" s="127"/>
      <c r="U373" s="137"/>
      <c r="V373" s="58" t="str" cm="1">
        <f>IF(ISBLANK($A373),"",INDEX(Array_ElectricalCharges,MATCH($A373,List_ElectricityMeters,0),ROUNDUP(COLUMN()/3,0)-2))</f>
        <v/>
      </c>
      <c r="W373" s="127"/>
      <c r="X373" s="137"/>
      <c r="Y373" s="58" t="str" cm="1">
        <f>IF(ISBLANK($A373),"",INDEX(Array_ElectricalCharges,MATCH($A373,List_ElectricityMeters,0),ROUNDUP(COLUMN()/3,0)-2))</f>
        <v/>
      </c>
      <c r="Z373" s="127"/>
      <c r="AA373" s="137"/>
      <c r="AB373" s="58" t="str" cm="1">
        <f>IF(ISBLANK($A373),"",INDEX(Array_ElectricalCharges,MATCH($A373,List_ElectricityMeters,0),ROUNDUP(COLUMN()/3,0)-2))</f>
        <v/>
      </c>
      <c r="AC373" s="127"/>
      <c r="AD373" s="137"/>
      <c r="AE373" s="58" t="str" cm="1">
        <f>IF(ISBLANK($A373),"",INDEX(Array_ElectricalCharges,MATCH($A373,List_ElectricityMeters,0),ROUNDUP(COLUMN()/3,0)-2))</f>
        <v/>
      </c>
      <c r="AF373" s="127"/>
      <c r="AG373" s="137"/>
      <c r="AH373" s="58" t="str" cm="1">
        <f>IF(ISBLANK($A373),"",INDEX(Array_ElectricalCharges,MATCH($A373,List_ElectricityMeters,0),ROUNDUP(COLUMN()/3,0)-2))</f>
        <v/>
      </c>
      <c r="AI373" s="127"/>
      <c r="AJ373" s="137"/>
      <c r="AK373" s="58" t="str" cm="1">
        <f>IF(ISBLANK($A373),"",INDEX(Array_ElectricalCharges,MATCH($A373,List_ElectricityMeters,0),ROUNDUP(COLUMN()/3,0)-2))</f>
        <v/>
      </c>
      <c r="AL373" s="127"/>
      <c r="AM373" s="137"/>
      <c r="AN373" s="58" t="str" cm="1">
        <f>IF(ISBLANK($A373),"",INDEX(Array_ElectricalCharges,MATCH($A373,List_ElectricityMeters,0),ROUNDUP(COLUMN()/3,0)-2))</f>
        <v/>
      </c>
      <c r="AO373" s="127"/>
      <c r="AP373" s="137"/>
      <c r="AQ373" s="58" t="str" cm="1">
        <f>IF(ISBLANK($A373),"",INDEX(Array_ElectricalCharges,MATCH($A373,List_ElectricityMeters,0),ROUNDUP(COLUMN()/3,0)-2))</f>
        <v/>
      </c>
      <c r="AR373" s="127"/>
      <c r="AS373" s="137"/>
      <c r="AT373" s="58" t="str" cm="1">
        <f>IF(ISBLANK($A373),"",INDEX(Array_ElectricalCharges,MATCH($A373,List_ElectricityMeters,0),ROUNDUP(COLUMN()/3,0)-2))</f>
        <v/>
      </c>
      <c r="AU373" s="127"/>
      <c r="AV373" s="137"/>
      <c r="AW373" s="58" t="str" cm="1">
        <f>IF(ISBLANK($A373),"",INDEX(Array_ElectricalCharges,MATCH($A373,List_ElectricityMeters,0),ROUNDUP(COLUMN()/3,0)-2))</f>
        <v/>
      </c>
      <c r="AX373" s="127"/>
      <c r="AY373" s="137"/>
    </row>
    <row r="374" spans="1:51" x14ac:dyDescent="0.3">
      <c r="A374" s="126"/>
      <c r="B374" s="133"/>
      <c r="C374" s="134"/>
      <c r="D374" s="134"/>
      <c r="E374" s="135"/>
      <c r="F374" s="136"/>
      <c r="G374" s="58" t="str" cm="1">
        <f>IF(ISBLANK($A374),"",INDEX(Array_ElectricalCharges,MATCH($A374,List_ElectricityMeters,0),ROUNDUP(COLUMN()/3,0)-2))</f>
        <v/>
      </c>
      <c r="H374" s="127"/>
      <c r="I374" s="137"/>
      <c r="J374" s="58" t="str" cm="1">
        <f>IF(ISBLANK($A374),"",INDEX(Array_ElectricalCharges,MATCH($A374,List_ElectricityMeters,0),ROUNDUP(COLUMN()/3,0)-2))</f>
        <v/>
      </c>
      <c r="K374" s="127"/>
      <c r="L374" s="137"/>
      <c r="M374" s="58" t="str" cm="1">
        <f>IF(ISBLANK($A374),"",INDEX(Array_ElectricalCharges,MATCH($A374,List_ElectricityMeters,0),ROUNDUP(COLUMN()/3,0)-2))</f>
        <v/>
      </c>
      <c r="N374" s="127"/>
      <c r="O374" s="137"/>
      <c r="P374" s="58" t="str" cm="1">
        <f>IF(ISBLANK($A374),"",INDEX(Array_ElectricalCharges,MATCH($A374,List_ElectricityMeters,0),ROUNDUP(COLUMN()/3,0)-2))</f>
        <v/>
      </c>
      <c r="Q374" s="127"/>
      <c r="R374" s="137"/>
      <c r="S374" s="58" t="str" cm="1">
        <f>IF(ISBLANK($A374),"",INDEX(Array_ElectricalCharges,MATCH($A374,List_ElectricityMeters,0),ROUNDUP(COLUMN()/3,0)-2))</f>
        <v/>
      </c>
      <c r="T374" s="127"/>
      <c r="U374" s="137"/>
      <c r="V374" s="58" t="str" cm="1">
        <f>IF(ISBLANK($A374),"",INDEX(Array_ElectricalCharges,MATCH($A374,List_ElectricityMeters,0),ROUNDUP(COLUMN()/3,0)-2))</f>
        <v/>
      </c>
      <c r="W374" s="127"/>
      <c r="X374" s="137"/>
      <c r="Y374" s="58" t="str" cm="1">
        <f>IF(ISBLANK($A374),"",INDEX(Array_ElectricalCharges,MATCH($A374,List_ElectricityMeters,0),ROUNDUP(COLUMN()/3,0)-2))</f>
        <v/>
      </c>
      <c r="Z374" s="127"/>
      <c r="AA374" s="137"/>
      <c r="AB374" s="58" t="str" cm="1">
        <f>IF(ISBLANK($A374),"",INDEX(Array_ElectricalCharges,MATCH($A374,List_ElectricityMeters,0),ROUNDUP(COLUMN()/3,0)-2))</f>
        <v/>
      </c>
      <c r="AC374" s="127"/>
      <c r="AD374" s="137"/>
      <c r="AE374" s="58" t="str" cm="1">
        <f>IF(ISBLANK($A374),"",INDEX(Array_ElectricalCharges,MATCH($A374,List_ElectricityMeters,0),ROUNDUP(COLUMN()/3,0)-2))</f>
        <v/>
      </c>
      <c r="AF374" s="127"/>
      <c r="AG374" s="137"/>
      <c r="AH374" s="58" t="str" cm="1">
        <f>IF(ISBLANK($A374),"",INDEX(Array_ElectricalCharges,MATCH($A374,List_ElectricityMeters,0),ROUNDUP(COLUMN()/3,0)-2))</f>
        <v/>
      </c>
      <c r="AI374" s="127"/>
      <c r="AJ374" s="137"/>
      <c r="AK374" s="58" t="str" cm="1">
        <f>IF(ISBLANK($A374),"",INDEX(Array_ElectricalCharges,MATCH($A374,List_ElectricityMeters,0),ROUNDUP(COLUMN()/3,0)-2))</f>
        <v/>
      </c>
      <c r="AL374" s="127"/>
      <c r="AM374" s="137"/>
      <c r="AN374" s="58" t="str" cm="1">
        <f>IF(ISBLANK($A374),"",INDEX(Array_ElectricalCharges,MATCH($A374,List_ElectricityMeters,0),ROUNDUP(COLUMN()/3,0)-2))</f>
        <v/>
      </c>
      <c r="AO374" s="127"/>
      <c r="AP374" s="137"/>
      <c r="AQ374" s="58" t="str" cm="1">
        <f>IF(ISBLANK($A374),"",INDEX(Array_ElectricalCharges,MATCH($A374,List_ElectricityMeters,0),ROUNDUP(COLUMN()/3,0)-2))</f>
        <v/>
      </c>
      <c r="AR374" s="127"/>
      <c r="AS374" s="137"/>
      <c r="AT374" s="58" t="str" cm="1">
        <f>IF(ISBLANK($A374),"",INDEX(Array_ElectricalCharges,MATCH($A374,List_ElectricityMeters,0),ROUNDUP(COLUMN()/3,0)-2))</f>
        <v/>
      </c>
      <c r="AU374" s="127"/>
      <c r="AV374" s="137"/>
      <c r="AW374" s="58" t="str" cm="1">
        <f>IF(ISBLANK($A374),"",INDEX(Array_ElectricalCharges,MATCH($A374,List_ElectricityMeters,0),ROUNDUP(COLUMN()/3,0)-2))</f>
        <v/>
      </c>
      <c r="AX374" s="127"/>
      <c r="AY374" s="137"/>
    </row>
    <row r="375" spans="1:51" x14ac:dyDescent="0.3">
      <c r="A375" s="126"/>
      <c r="B375" s="133"/>
      <c r="C375" s="134"/>
      <c r="D375" s="134"/>
      <c r="E375" s="135"/>
      <c r="F375" s="136"/>
      <c r="G375" s="58" t="str" cm="1">
        <f>IF(ISBLANK($A375),"",INDEX(Array_ElectricalCharges,MATCH($A375,List_ElectricityMeters,0),ROUNDUP(COLUMN()/3,0)-2))</f>
        <v/>
      </c>
      <c r="H375" s="127"/>
      <c r="I375" s="137"/>
      <c r="J375" s="58" t="str" cm="1">
        <f>IF(ISBLANK($A375),"",INDEX(Array_ElectricalCharges,MATCH($A375,List_ElectricityMeters,0),ROUNDUP(COLUMN()/3,0)-2))</f>
        <v/>
      </c>
      <c r="K375" s="127"/>
      <c r="L375" s="137"/>
      <c r="M375" s="58" t="str" cm="1">
        <f>IF(ISBLANK($A375),"",INDEX(Array_ElectricalCharges,MATCH($A375,List_ElectricityMeters,0),ROUNDUP(COLUMN()/3,0)-2))</f>
        <v/>
      </c>
      <c r="N375" s="127"/>
      <c r="O375" s="137"/>
      <c r="P375" s="58" t="str" cm="1">
        <f>IF(ISBLANK($A375),"",INDEX(Array_ElectricalCharges,MATCH($A375,List_ElectricityMeters,0),ROUNDUP(COLUMN()/3,0)-2))</f>
        <v/>
      </c>
      <c r="Q375" s="127"/>
      <c r="R375" s="137"/>
      <c r="S375" s="58" t="str" cm="1">
        <f>IF(ISBLANK($A375),"",INDEX(Array_ElectricalCharges,MATCH($A375,List_ElectricityMeters,0),ROUNDUP(COLUMN()/3,0)-2))</f>
        <v/>
      </c>
      <c r="T375" s="127"/>
      <c r="U375" s="137"/>
      <c r="V375" s="58" t="str" cm="1">
        <f>IF(ISBLANK($A375),"",INDEX(Array_ElectricalCharges,MATCH($A375,List_ElectricityMeters,0),ROUNDUP(COLUMN()/3,0)-2))</f>
        <v/>
      </c>
      <c r="W375" s="127"/>
      <c r="X375" s="137"/>
      <c r="Y375" s="58" t="str" cm="1">
        <f>IF(ISBLANK($A375),"",INDEX(Array_ElectricalCharges,MATCH($A375,List_ElectricityMeters,0),ROUNDUP(COLUMN()/3,0)-2))</f>
        <v/>
      </c>
      <c r="Z375" s="127"/>
      <c r="AA375" s="137"/>
      <c r="AB375" s="58" t="str" cm="1">
        <f>IF(ISBLANK($A375),"",INDEX(Array_ElectricalCharges,MATCH($A375,List_ElectricityMeters,0),ROUNDUP(COLUMN()/3,0)-2))</f>
        <v/>
      </c>
      <c r="AC375" s="127"/>
      <c r="AD375" s="137"/>
      <c r="AE375" s="58" t="str" cm="1">
        <f>IF(ISBLANK($A375),"",INDEX(Array_ElectricalCharges,MATCH($A375,List_ElectricityMeters,0),ROUNDUP(COLUMN()/3,0)-2))</f>
        <v/>
      </c>
      <c r="AF375" s="127"/>
      <c r="AG375" s="137"/>
      <c r="AH375" s="58" t="str" cm="1">
        <f>IF(ISBLANK($A375),"",INDEX(Array_ElectricalCharges,MATCH($A375,List_ElectricityMeters,0),ROUNDUP(COLUMN()/3,0)-2))</f>
        <v/>
      </c>
      <c r="AI375" s="127"/>
      <c r="AJ375" s="137"/>
      <c r="AK375" s="58" t="str" cm="1">
        <f>IF(ISBLANK($A375),"",INDEX(Array_ElectricalCharges,MATCH($A375,List_ElectricityMeters,0),ROUNDUP(COLUMN()/3,0)-2))</f>
        <v/>
      </c>
      <c r="AL375" s="127"/>
      <c r="AM375" s="137"/>
      <c r="AN375" s="58" t="str" cm="1">
        <f>IF(ISBLANK($A375),"",INDEX(Array_ElectricalCharges,MATCH($A375,List_ElectricityMeters,0),ROUNDUP(COLUMN()/3,0)-2))</f>
        <v/>
      </c>
      <c r="AO375" s="127"/>
      <c r="AP375" s="137"/>
      <c r="AQ375" s="58" t="str" cm="1">
        <f>IF(ISBLANK($A375),"",INDEX(Array_ElectricalCharges,MATCH($A375,List_ElectricityMeters,0),ROUNDUP(COLUMN()/3,0)-2))</f>
        <v/>
      </c>
      <c r="AR375" s="127"/>
      <c r="AS375" s="137"/>
      <c r="AT375" s="58" t="str" cm="1">
        <f>IF(ISBLANK($A375),"",INDEX(Array_ElectricalCharges,MATCH($A375,List_ElectricityMeters,0),ROUNDUP(COLUMN()/3,0)-2))</f>
        <v/>
      </c>
      <c r="AU375" s="127"/>
      <c r="AV375" s="137"/>
      <c r="AW375" s="58" t="str" cm="1">
        <f>IF(ISBLANK($A375),"",INDEX(Array_ElectricalCharges,MATCH($A375,List_ElectricityMeters,0),ROUNDUP(COLUMN()/3,0)-2))</f>
        <v/>
      </c>
      <c r="AX375" s="127"/>
      <c r="AY375" s="137"/>
    </row>
    <row r="376" spans="1:51" x14ac:dyDescent="0.3">
      <c r="A376" s="126"/>
      <c r="B376" s="133"/>
      <c r="C376" s="134"/>
      <c r="D376" s="134"/>
      <c r="E376" s="135"/>
      <c r="F376" s="136"/>
      <c r="G376" s="58" t="str" cm="1">
        <f>IF(ISBLANK($A376),"",INDEX(Array_ElectricalCharges,MATCH($A376,List_ElectricityMeters,0),ROUNDUP(COLUMN()/3,0)-2))</f>
        <v/>
      </c>
      <c r="H376" s="127"/>
      <c r="I376" s="137"/>
      <c r="J376" s="58" t="str" cm="1">
        <f>IF(ISBLANK($A376),"",INDEX(Array_ElectricalCharges,MATCH($A376,List_ElectricityMeters,0),ROUNDUP(COLUMN()/3,0)-2))</f>
        <v/>
      </c>
      <c r="K376" s="127"/>
      <c r="L376" s="137"/>
      <c r="M376" s="58" t="str" cm="1">
        <f>IF(ISBLANK($A376),"",INDEX(Array_ElectricalCharges,MATCH($A376,List_ElectricityMeters,0),ROUNDUP(COLUMN()/3,0)-2))</f>
        <v/>
      </c>
      <c r="N376" s="127"/>
      <c r="O376" s="137"/>
      <c r="P376" s="58" t="str" cm="1">
        <f>IF(ISBLANK($A376),"",INDEX(Array_ElectricalCharges,MATCH($A376,List_ElectricityMeters,0),ROUNDUP(COLUMN()/3,0)-2))</f>
        <v/>
      </c>
      <c r="Q376" s="127"/>
      <c r="R376" s="137"/>
      <c r="S376" s="58" t="str" cm="1">
        <f>IF(ISBLANK($A376),"",INDEX(Array_ElectricalCharges,MATCH($A376,List_ElectricityMeters,0),ROUNDUP(COLUMN()/3,0)-2))</f>
        <v/>
      </c>
      <c r="T376" s="127"/>
      <c r="U376" s="137"/>
      <c r="V376" s="58" t="str" cm="1">
        <f>IF(ISBLANK($A376),"",INDEX(Array_ElectricalCharges,MATCH($A376,List_ElectricityMeters,0),ROUNDUP(COLUMN()/3,0)-2))</f>
        <v/>
      </c>
      <c r="W376" s="127"/>
      <c r="X376" s="137"/>
      <c r="Y376" s="58" t="str" cm="1">
        <f>IF(ISBLANK($A376),"",INDEX(Array_ElectricalCharges,MATCH($A376,List_ElectricityMeters,0),ROUNDUP(COLUMN()/3,0)-2))</f>
        <v/>
      </c>
      <c r="Z376" s="127"/>
      <c r="AA376" s="137"/>
      <c r="AB376" s="58" t="str" cm="1">
        <f>IF(ISBLANK($A376),"",INDEX(Array_ElectricalCharges,MATCH($A376,List_ElectricityMeters,0),ROUNDUP(COLUMN()/3,0)-2))</f>
        <v/>
      </c>
      <c r="AC376" s="127"/>
      <c r="AD376" s="137"/>
      <c r="AE376" s="58" t="str" cm="1">
        <f>IF(ISBLANK($A376),"",INDEX(Array_ElectricalCharges,MATCH($A376,List_ElectricityMeters,0),ROUNDUP(COLUMN()/3,0)-2))</f>
        <v/>
      </c>
      <c r="AF376" s="127"/>
      <c r="AG376" s="137"/>
      <c r="AH376" s="58" t="str" cm="1">
        <f>IF(ISBLANK($A376),"",INDEX(Array_ElectricalCharges,MATCH($A376,List_ElectricityMeters,0),ROUNDUP(COLUMN()/3,0)-2))</f>
        <v/>
      </c>
      <c r="AI376" s="127"/>
      <c r="AJ376" s="137"/>
      <c r="AK376" s="58" t="str" cm="1">
        <f>IF(ISBLANK($A376),"",INDEX(Array_ElectricalCharges,MATCH($A376,List_ElectricityMeters,0),ROUNDUP(COLUMN()/3,0)-2))</f>
        <v/>
      </c>
      <c r="AL376" s="127"/>
      <c r="AM376" s="137"/>
      <c r="AN376" s="58" t="str" cm="1">
        <f>IF(ISBLANK($A376),"",INDEX(Array_ElectricalCharges,MATCH($A376,List_ElectricityMeters,0),ROUNDUP(COLUMN()/3,0)-2))</f>
        <v/>
      </c>
      <c r="AO376" s="127"/>
      <c r="AP376" s="137"/>
      <c r="AQ376" s="58" t="str" cm="1">
        <f>IF(ISBLANK($A376),"",INDEX(Array_ElectricalCharges,MATCH($A376,List_ElectricityMeters,0),ROUNDUP(COLUMN()/3,0)-2))</f>
        <v/>
      </c>
      <c r="AR376" s="127"/>
      <c r="AS376" s="137"/>
      <c r="AT376" s="58" t="str" cm="1">
        <f>IF(ISBLANK($A376),"",INDEX(Array_ElectricalCharges,MATCH($A376,List_ElectricityMeters,0),ROUNDUP(COLUMN()/3,0)-2))</f>
        <v/>
      </c>
      <c r="AU376" s="127"/>
      <c r="AV376" s="137"/>
      <c r="AW376" s="58" t="str" cm="1">
        <f>IF(ISBLANK($A376),"",INDEX(Array_ElectricalCharges,MATCH($A376,List_ElectricityMeters,0),ROUNDUP(COLUMN()/3,0)-2))</f>
        <v/>
      </c>
      <c r="AX376" s="127"/>
      <c r="AY376" s="137"/>
    </row>
    <row r="377" spans="1:51" x14ac:dyDescent="0.3">
      <c r="A377" s="126"/>
      <c r="B377" s="133"/>
      <c r="C377" s="134"/>
      <c r="D377" s="134"/>
      <c r="E377" s="135"/>
      <c r="F377" s="136"/>
      <c r="G377" s="58" t="str" cm="1">
        <f>IF(ISBLANK($A377),"",INDEX(Array_ElectricalCharges,MATCH($A377,List_ElectricityMeters,0),ROUNDUP(COLUMN()/3,0)-2))</f>
        <v/>
      </c>
      <c r="H377" s="127"/>
      <c r="I377" s="137"/>
      <c r="J377" s="58" t="str" cm="1">
        <f>IF(ISBLANK($A377),"",INDEX(Array_ElectricalCharges,MATCH($A377,List_ElectricityMeters,0),ROUNDUP(COLUMN()/3,0)-2))</f>
        <v/>
      </c>
      <c r="K377" s="127"/>
      <c r="L377" s="137"/>
      <c r="M377" s="58" t="str" cm="1">
        <f>IF(ISBLANK($A377),"",INDEX(Array_ElectricalCharges,MATCH($A377,List_ElectricityMeters,0),ROUNDUP(COLUMN()/3,0)-2))</f>
        <v/>
      </c>
      <c r="N377" s="127"/>
      <c r="O377" s="137"/>
      <c r="P377" s="58" t="str" cm="1">
        <f>IF(ISBLANK($A377),"",INDEX(Array_ElectricalCharges,MATCH($A377,List_ElectricityMeters,0),ROUNDUP(COLUMN()/3,0)-2))</f>
        <v/>
      </c>
      <c r="Q377" s="127"/>
      <c r="R377" s="137"/>
      <c r="S377" s="58" t="str" cm="1">
        <f>IF(ISBLANK($A377),"",INDEX(Array_ElectricalCharges,MATCH($A377,List_ElectricityMeters,0),ROUNDUP(COLUMN()/3,0)-2))</f>
        <v/>
      </c>
      <c r="T377" s="127"/>
      <c r="U377" s="137"/>
      <c r="V377" s="58" t="str" cm="1">
        <f>IF(ISBLANK($A377),"",INDEX(Array_ElectricalCharges,MATCH($A377,List_ElectricityMeters,0),ROUNDUP(COLUMN()/3,0)-2))</f>
        <v/>
      </c>
      <c r="W377" s="127"/>
      <c r="X377" s="137"/>
      <c r="Y377" s="58" t="str" cm="1">
        <f>IF(ISBLANK($A377),"",INDEX(Array_ElectricalCharges,MATCH($A377,List_ElectricityMeters,0),ROUNDUP(COLUMN()/3,0)-2))</f>
        <v/>
      </c>
      <c r="Z377" s="127"/>
      <c r="AA377" s="137"/>
      <c r="AB377" s="58" t="str" cm="1">
        <f>IF(ISBLANK($A377),"",INDEX(Array_ElectricalCharges,MATCH($A377,List_ElectricityMeters,0),ROUNDUP(COLUMN()/3,0)-2))</f>
        <v/>
      </c>
      <c r="AC377" s="127"/>
      <c r="AD377" s="137"/>
      <c r="AE377" s="58" t="str" cm="1">
        <f>IF(ISBLANK($A377),"",INDEX(Array_ElectricalCharges,MATCH($A377,List_ElectricityMeters,0),ROUNDUP(COLUMN()/3,0)-2))</f>
        <v/>
      </c>
      <c r="AF377" s="127"/>
      <c r="AG377" s="137"/>
      <c r="AH377" s="58" t="str" cm="1">
        <f>IF(ISBLANK($A377),"",INDEX(Array_ElectricalCharges,MATCH($A377,List_ElectricityMeters,0),ROUNDUP(COLUMN()/3,0)-2))</f>
        <v/>
      </c>
      <c r="AI377" s="127"/>
      <c r="AJ377" s="137"/>
      <c r="AK377" s="58" t="str" cm="1">
        <f>IF(ISBLANK($A377),"",INDEX(Array_ElectricalCharges,MATCH($A377,List_ElectricityMeters,0),ROUNDUP(COLUMN()/3,0)-2))</f>
        <v/>
      </c>
      <c r="AL377" s="127"/>
      <c r="AM377" s="137"/>
      <c r="AN377" s="58" t="str" cm="1">
        <f>IF(ISBLANK($A377),"",INDEX(Array_ElectricalCharges,MATCH($A377,List_ElectricityMeters,0),ROUNDUP(COLUMN()/3,0)-2))</f>
        <v/>
      </c>
      <c r="AO377" s="127"/>
      <c r="AP377" s="137"/>
      <c r="AQ377" s="58" t="str" cm="1">
        <f>IF(ISBLANK($A377),"",INDEX(Array_ElectricalCharges,MATCH($A377,List_ElectricityMeters,0),ROUNDUP(COLUMN()/3,0)-2))</f>
        <v/>
      </c>
      <c r="AR377" s="127"/>
      <c r="AS377" s="137"/>
      <c r="AT377" s="58" t="str" cm="1">
        <f>IF(ISBLANK($A377),"",INDEX(Array_ElectricalCharges,MATCH($A377,List_ElectricityMeters,0),ROUNDUP(COLUMN()/3,0)-2))</f>
        <v/>
      </c>
      <c r="AU377" s="127"/>
      <c r="AV377" s="137"/>
      <c r="AW377" s="58" t="str" cm="1">
        <f>IF(ISBLANK($A377),"",INDEX(Array_ElectricalCharges,MATCH($A377,List_ElectricityMeters,0),ROUNDUP(COLUMN()/3,0)-2))</f>
        <v/>
      </c>
      <c r="AX377" s="127"/>
      <c r="AY377" s="137"/>
    </row>
    <row r="378" spans="1:51" x14ac:dyDescent="0.3">
      <c r="A378" s="126"/>
      <c r="B378" s="133"/>
      <c r="C378" s="134"/>
      <c r="D378" s="134"/>
      <c r="E378" s="135"/>
      <c r="F378" s="136"/>
      <c r="G378" s="58" t="str" cm="1">
        <f>IF(ISBLANK($A378),"",INDEX(Array_ElectricalCharges,MATCH($A378,List_ElectricityMeters,0),ROUNDUP(COLUMN()/3,0)-2))</f>
        <v/>
      </c>
      <c r="H378" s="127"/>
      <c r="I378" s="137"/>
      <c r="J378" s="58" t="str" cm="1">
        <f>IF(ISBLANK($A378),"",INDEX(Array_ElectricalCharges,MATCH($A378,List_ElectricityMeters,0),ROUNDUP(COLUMN()/3,0)-2))</f>
        <v/>
      </c>
      <c r="K378" s="127"/>
      <c r="L378" s="137"/>
      <c r="M378" s="58" t="str" cm="1">
        <f>IF(ISBLANK($A378),"",INDEX(Array_ElectricalCharges,MATCH($A378,List_ElectricityMeters,0),ROUNDUP(COLUMN()/3,0)-2))</f>
        <v/>
      </c>
      <c r="N378" s="127"/>
      <c r="O378" s="137"/>
      <c r="P378" s="58" t="str" cm="1">
        <f>IF(ISBLANK($A378),"",INDEX(Array_ElectricalCharges,MATCH($A378,List_ElectricityMeters,0),ROUNDUP(COLUMN()/3,0)-2))</f>
        <v/>
      </c>
      <c r="Q378" s="127"/>
      <c r="R378" s="137"/>
      <c r="S378" s="58" t="str" cm="1">
        <f>IF(ISBLANK($A378),"",INDEX(Array_ElectricalCharges,MATCH($A378,List_ElectricityMeters,0),ROUNDUP(COLUMN()/3,0)-2))</f>
        <v/>
      </c>
      <c r="T378" s="127"/>
      <c r="U378" s="137"/>
      <c r="V378" s="58" t="str" cm="1">
        <f>IF(ISBLANK($A378),"",INDEX(Array_ElectricalCharges,MATCH($A378,List_ElectricityMeters,0),ROUNDUP(COLUMN()/3,0)-2))</f>
        <v/>
      </c>
      <c r="W378" s="127"/>
      <c r="X378" s="137"/>
      <c r="Y378" s="58" t="str" cm="1">
        <f>IF(ISBLANK($A378),"",INDEX(Array_ElectricalCharges,MATCH($A378,List_ElectricityMeters,0),ROUNDUP(COLUMN()/3,0)-2))</f>
        <v/>
      </c>
      <c r="Z378" s="127"/>
      <c r="AA378" s="137"/>
      <c r="AB378" s="58" t="str" cm="1">
        <f>IF(ISBLANK($A378),"",INDEX(Array_ElectricalCharges,MATCH($A378,List_ElectricityMeters,0),ROUNDUP(COLUMN()/3,0)-2))</f>
        <v/>
      </c>
      <c r="AC378" s="127"/>
      <c r="AD378" s="137"/>
      <c r="AE378" s="58" t="str" cm="1">
        <f>IF(ISBLANK($A378),"",INDEX(Array_ElectricalCharges,MATCH($A378,List_ElectricityMeters,0),ROUNDUP(COLUMN()/3,0)-2))</f>
        <v/>
      </c>
      <c r="AF378" s="127"/>
      <c r="AG378" s="137"/>
      <c r="AH378" s="58" t="str" cm="1">
        <f>IF(ISBLANK($A378),"",INDEX(Array_ElectricalCharges,MATCH($A378,List_ElectricityMeters,0),ROUNDUP(COLUMN()/3,0)-2))</f>
        <v/>
      </c>
      <c r="AI378" s="127"/>
      <c r="AJ378" s="137"/>
      <c r="AK378" s="58" t="str" cm="1">
        <f>IF(ISBLANK($A378),"",INDEX(Array_ElectricalCharges,MATCH($A378,List_ElectricityMeters,0),ROUNDUP(COLUMN()/3,0)-2))</f>
        <v/>
      </c>
      <c r="AL378" s="127"/>
      <c r="AM378" s="137"/>
      <c r="AN378" s="58" t="str" cm="1">
        <f>IF(ISBLANK($A378),"",INDEX(Array_ElectricalCharges,MATCH($A378,List_ElectricityMeters,0),ROUNDUP(COLUMN()/3,0)-2))</f>
        <v/>
      </c>
      <c r="AO378" s="127"/>
      <c r="AP378" s="137"/>
      <c r="AQ378" s="58" t="str" cm="1">
        <f>IF(ISBLANK($A378),"",INDEX(Array_ElectricalCharges,MATCH($A378,List_ElectricityMeters,0),ROUNDUP(COLUMN()/3,0)-2))</f>
        <v/>
      </c>
      <c r="AR378" s="127"/>
      <c r="AS378" s="137"/>
      <c r="AT378" s="58" t="str" cm="1">
        <f>IF(ISBLANK($A378),"",INDEX(Array_ElectricalCharges,MATCH($A378,List_ElectricityMeters,0),ROUNDUP(COLUMN()/3,0)-2))</f>
        <v/>
      </c>
      <c r="AU378" s="127"/>
      <c r="AV378" s="137"/>
      <c r="AW378" s="58" t="str" cm="1">
        <f>IF(ISBLANK($A378),"",INDEX(Array_ElectricalCharges,MATCH($A378,List_ElectricityMeters,0),ROUNDUP(COLUMN()/3,0)-2))</f>
        <v/>
      </c>
      <c r="AX378" s="127"/>
      <c r="AY378" s="137"/>
    </row>
    <row r="379" spans="1:51" x14ac:dyDescent="0.3">
      <c r="A379" s="126"/>
      <c r="B379" s="133"/>
      <c r="C379" s="134"/>
      <c r="D379" s="134"/>
      <c r="E379" s="135"/>
      <c r="F379" s="136"/>
      <c r="G379" s="58" t="str" cm="1">
        <f>IF(ISBLANK($A379),"",INDEX(Array_ElectricalCharges,MATCH($A379,List_ElectricityMeters,0),ROUNDUP(COLUMN()/3,0)-2))</f>
        <v/>
      </c>
      <c r="H379" s="127"/>
      <c r="I379" s="137"/>
      <c r="J379" s="58" t="str" cm="1">
        <f>IF(ISBLANK($A379),"",INDEX(Array_ElectricalCharges,MATCH($A379,List_ElectricityMeters,0),ROUNDUP(COLUMN()/3,0)-2))</f>
        <v/>
      </c>
      <c r="K379" s="127"/>
      <c r="L379" s="137"/>
      <c r="M379" s="58" t="str" cm="1">
        <f>IF(ISBLANK($A379),"",INDEX(Array_ElectricalCharges,MATCH($A379,List_ElectricityMeters,0),ROUNDUP(COLUMN()/3,0)-2))</f>
        <v/>
      </c>
      <c r="N379" s="127"/>
      <c r="O379" s="137"/>
      <c r="P379" s="58" t="str" cm="1">
        <f>IF(ISBLANK($A379),"",INDEX(Array_ElectricalCharges,MATCH($A379,List_ElectricityMeters,0),ROUNDUP(COLUMN()/3,0)-2))</f>
        <v/>
      </c>
      <c r="Q379" s="127"/>
      <c r="R379" s="137"/>
      <c r="S379" s="58" t="str" cm="1">
        <f>IF(ISBLANK($A379),"",INDEX(Array_ElectricalCharges,MATCH($A379,List_ElectricityMeters,0),ROUNDUP(COLUMN()/3,0)-2))</f>
        <v/>
      </c>
      <c r="T379" s="127"/>
      <c r="U379" s="137"/>
      <c r="V379" s="58" t="str" cm="1">
        <f>IF(ISBLANK($A379),"",INDEX(Array_ElectricalCharges,MATCH($A379,List_ElectricityMeters,0),ROUNDUP(COLUMN()/3,0)-2))</f>
        <v/>
      </c>
      <c r="W379" s="127"/>
      <c r="X379" s="137"/>
      <c r="Y379" s="58" t="str" cm="1">
        <f>IF(ISBLANK($A379),"",INDEX(Array_ElectricalCharges,MATCH($A379,List_ElectricityMeters,0),ROUNDUP(COLUMN()/3,0)-2))</f>
        <v/>
      </c>
      <c r="Z379" s="127"/>
      <c r="AA379" s="137"/>
      <c r="AB379" s="58" t="str" cm="1">
        <f>IF(ISBLANK($A379),"",INDEX(Array_ElectricalCharges,MATCH($A379,List_ElectricityMeters,0),ROUNDUP(COLUMN()/3,0)-2))</f>
        <v/>
      </c>
      <c r="AC379" s="127"/>
      <c r="AD379" s="137"/>
      <c r="AE379" s="58" t="str" cm="1">
        <f>IF(ISBLANK($A379),"",INDEX(Array_ElectricalCharges,MATCH($A379,List_ElectricityMeters,0),ROUNDUP(COLUMN()/3,0)-2))</f>
        <v/>
      </c>
      <c r="AF379" s="127"/>
      <c r="AG379" s="137"/>
      <c r="AH379" s="58" t="str" cm="1">
        <f>IF(ISBLANK($A379),"",INDEX(Array_ElectricalCharges,MATCH($A379,List_ElectricityMeters,0),ROUNDUP(COLUMN()/3,0)-2))</f>
        <v/>
      </c>
      <c r="AI379" s="127"/>
      <c r="AJ379" s="137"/>
      <c r="AK379" s="58" t="str" cm="1">
        <f>IF(ISBLANK($A379),"",INDEX(Array_ElectricalCharges,MATCH($A379,List_ElectricityMeters,0),ROUNDUP(COLUMN()/3,0)-2))</f>
        <v/>
      </c>
      <c r="AL379" s="127"/>
      <c r="AM379" s="137"/>
      <c r="AN379" s="58" t="str" cm="1">
        <f>IF(ISBLANK($A379),"",INDEX(Array_ElectricalCharges,MATCH($A379,List_ElectricityMeters,0),ROUNDUP(COLUMN()/3,0)-2))</f>
        <v/>
      </c>
      <c r="AO379" s="127"/>
      <c r="AP379" s="137"/>
      <c r="AQ379" s="58" t="str" cm="1">
        <f>IF(ISBLANK($A379),"",INDEX(Array_ElectricalCharges,MATCH($A379,List_ElectricityMeters,0),ROUNDUP(COLUMN()/3,0)-2))</f>
        <v/>
      </c>
      <c r="AR379" s="127"/>
      <c r="AS379" s="137"/>
      <c r="AT379" s="58" t="str" cm="1">
        <f>IF(ISBLANK($A379),"",INDEX(Array_ElectricalCharges,MATCH($A379,List_ElectricityMeters,0),ROUNDUP(COLUMN()/3,0)-2))</f>
        <v/>
      </c>
      <c r="AU379" s="127"/>
      <c r="AV379" s="137"/>
      <c r="AW379" s="58" t="str" cm="1">
        <f>IF(ISBLANK($A379),"",INDEX(Array_ElectricalCharges,MATCH($A379,List_ElectricityMeters,0),ROUNDUP(COLUMN()/3,0)-2))</f>
        <v/>
      </c>
      <c r="AX379" s="127"/>
      <c r="AY379" s="137"/>
    </row>
    <row r="380" spans="1:51" x14ac:dyDescent="0.3">
      <c r="A380" s="126"/>
      <c r="B380" s="133"/>
      <c r="C380" s="134"/>
      <c r="D380" s="134"/>
      <c r="E380" s="135"/>
      <c r="F380" s="136"/>
      <c r="G380" s="58" t="str" cm="1">
        <f>IF(ISBLANK($A380),"",INDEX(Array_ElectricalCharges,MATCH($A380,List_ElectricityMeters,0),ROUNDUP(COLUMN()/3,0)-2))</f>
        <v/>
      </c>
      <c r="H380" s="127"/>
      <c r="I380" s="137"/>
      <c r="J380" s="58" t="str" cm="1">
        <f>IF(ISBLANK($A380),"",INDEX(Array_ElectricalCharges,MATCH($A380,List_ElectricityMeters,0),ROUNDUP(COLUMN()/3,0)-2))</f>
        <v/>
      </c>
      <c r="K380" s="127"/>
      <c r="L380" s="137"/>
      <c r="M380" s="58" t="str" cm="1">
        <f>IF(ISBLANK($A380),"",INDEX(Array_ElectricalCharges,MATCH($A380,List_ElectricityMeters,0),ROUNDUP(COLUMN()/3,0)-2))</f>
        <v/>
      </c>
      <c r="N380" s="127"/>
      <c r="O380" s="137"/>
      <c r="P380" s="58" t="str" cm="1">
        <f>IF(ISBLANK($A380),"",INDEX(Array_ElectricalCharges,MATCH($A380,List_ElectricityMeters,0),ROUNDUP(COLUMN()/3,0)-2))</f>
        <v/>
      </c>
      <c r="Q380" s="127"/>
      <c r="R380" s="137"/>
      <c r="S380" s="58" t="str" cm="1">
        <f>IF(ISBLANK($A380),"",INDEX(Array_ElectricalCharges,MATCH($A380,List_ElectricityMeters,0),ROUNDUP(COLUMN()/3,0)-2))</f>
        <v/>
      </c>
      <c r="T380" s="127"/>
      <c r="U380" s="137"/>
      <c r="V380" s="58" t="str" cm="1">
        <f>IF(ISBLANK($A380),"",INDEX(Array_ElectricalCharges,MATCH($A380,List_ElectricityMeters,0),ROUNDUP(COLUMN()/3,0)-2))</f>
        <v/>
      </c>
      <c r="W380" s="127"/>
      <c r="X380" s="137"/>
      <c r="Y380" s="58" t="str" cm="1">
        <f>IF(ISBLANK($A380),"",INDEX(Array_ElectricalCharges,MATCH($A380,List_ElectricityMeters,0),ROUNDUP(COLUMN()/3,0)-2))</f>
        <v/>
      </c>
      <c r="Z380" s="127"/>
      <c r="AA380" s="137"/>
      <c r="AB380" s="58" t="str" cm="1">
        <f>IF(ISBLANK($A380),"",INDEX(Array_ElectricalCharges,MATCH($A380,List_ElectricityMeters,0),ROUNDUP(COLUMN()/3,0)-2))</f>
        <v/>
      </c>
      <c r="AC380" s="127"/>
      <c r="AD380" s="137"/>
      <c r="AE380" s="58" t="str" cm="1">
        <f>IF(ISBLANK($A380),"",INDEX(Array_ElectricalCharges,MATCH($A380,List_ElectricityMeters,0),ROUNDUP(COLUMN()/3,0)-2))</f>
        <v/>
      </c>
      <c r="AF380" s="127"/>
      <c r="AG380" s="137"/>
      <c r="AH380" s="58" t="str" cm="1">
        <f>IF(ISBLANK($A380),"",INDEX(Array_ElectricalCharges,MATCH($A380,List_ElectricityMeters,0),ROUNDUP(COLUMN()/3,0)-2))</f>
        <v/>
      </c>
      <c r="AI380" s="127"/>
      <c r="AJ380" s="137"/>
      <c r="AK380" s="58" t="str" cm="1">
        <f>IF(ISBLANK($A380),"",INDEX(Array_ElectricalCharges,MATCH($A380,List_ElectricityMeters,0),ROUNDUP(COLUMN()/3,0)-2))</f>
        <v/>
      </c>
      <c r="AL380" s="127"/>
      <c r="AM380" s="137"/>
      <c r="AN380" s="58" t="str" cm="1">
        <f>IF(ISBLANK($A380),"",INDEX(Array_ElectricalCharges,MATCH($A380,List_ElectricityMeters,0),ROUNDUP(COLUMN()/3,0)-2))</f>
        <v/>
      </c>
      <c r="AO380" s="127"/>
      <c r="AP380" s="137"/>
      <c r="AQ380" s="58" t="str" cm="1">
        <f>IF(ISBLANK($A380),"",INDEX(Array_ElectricalCharges,MATCH($A380,List_ElectricityMeters,0),ROUNDUP(COLUMN()/3,0)-2))</f>
        <v/>
      </c>
      <c r="AR380" s="127"/>
      <c r="AS380" s="137"/>
      <c r="AT380" s="58" t="str" cm="1">
        <f>IF(ISBLANK($A380),"",INDEX(Array_ElectricalCharges,MATCH($A380,List_ElectricityMeters,0),ROUNDUP(COLUMN()/3,0)-2))</f>
        <v/>
      </c>
      <c r="AU380" s="127"/>
      <c r="AV380" s="137"/>
      <c r="AW380" s="58" t="str" cm="1">
        <f>IF(ISBLANK($A380),"",INDEX(Array_ElectricalCharges,MATCH($A380,List_ElectricityMeters,0),ROUNDUP(COLUMN()/3,0)-2))</f>
        <v/>
      </c>
      <c r="AX380" s="127"/>
      <c r="AY380" s="137"/>
    </row>
    <row r="381" spans="1:51" x14ac:dyDescent="0.3">
      <c r="A381" s="126"/>
      <c r="B381" s="133"/>
      <c r="C381" s="134"/>
      <c r="D381" s="134"/>
      <c r="E381" s="135"/>
      <c r="F381" s="136"/>
      <c r="G381" s="58" t="str" cm="1">
        <f>IF(ISBLANK($A381),"",INDEX(Array_ElectricalCharges,MATCH($A381,List_ElectricityMeters,0),ROUNDUP(COLUMN()/3,0)-2))</f>
        <v/>
      </c>
      <c r="H381" s="127"/>
      <c r="I381" s="137"/>
      <c r="J381" s="58" t="str" cm="1">
        <f>IF(ISBLANK($A381),"",INDEX(Array_ElectricalCharges,MATCH($A381,List_ElectricityMeters,0),ROUNDUP(COLUMN()/3,0)-2))</f>
        <v/>
      </c>
      <c r="K381" s="127"/>
      <c r="L381" s="137"/>
      <c r="M381" s="58" t="str" cm="1">
        <f>IF(ISBLANK($A381),"",INDEX(Array_ElectricalCharges,MATCH($A381,List_ElectricityMeters,0),ROUNDUP(COLUMN()/3,0)-2))</f>
        <v/>
      </c>
      <c r="N381" s="127"/>
      <c r="O381" s="137"/>
      <c r="P381" s="58" t="str" cm="1">
        <f>IF(ISBLANK($A381),"",INDEX(Array_ElectricalCharges,MATCH($A381,List_ElectricityMeters,0),ROUNDUP(COLUMN()/3,0)-2))</f>
        <v/>
      </c>
      <c r="Q381" s="127"/>
      <c r="R381" s="137"/>
      <c r="S381" s="58" t="str" cm="1">
        <f>IF(ISBLANK($A381),"",INDEX(Array_ElectricalCharges,MATCH($A381,List_ElectricityMeters,0),ROUNDUP(COLUMN()/3,0)-2))</f>
        <v/>
      </c>
      <c r="T381" s="127"/>
      <c r="U381" s="137"/>
      <c r="V381" s="58" t="str" cm="1">
        <f>IF(ISBLANK($A381),"",INDEX(Array_ElectricalCharges,MATCH($A381,List_ElectricityMeters,0),ROUNDUP(COLUMN()/3,0)-2))</f>
        <v/>
      </c>
      <c r="W381" s="127"/>
      <c r="X381" s="137"/>
      <c r="Y381" s="58" t="str" cm="1">
        <f>IF(ISBLANK($A381),"",INDEX(Array_ElectricalCharges,MATCH($A381,List_ElectricityMeters,0),ROUNDUP(COLUMN()/3,0)-2))</f>
        <v/>
      </c>
      <c r="Z381" s="127"/>
      <c r="AA381" s="137"/>
      <c r="AB381" s="58" t="str" cm="1">
        <f>IF(ISBLANK($A381),"",INDEX(Array_ElectricalCharges,MATCH($A381,List_ElectricityMeters,0),ROUNDUP(COLUMN()/3,0)-2))</f>
        <v/>
      </c>
      <c r="AC381" s="127"/>
      <c r="AD381" s="137"/>
      <c r="AE381" s="58" t="str" cm="1">
        <f>IF(ISBLANK($A381),"",INDEX(Array_ElectricalCharges,MATCH($A381,List_ElectricityMeters,0),ROUNDUP(COLUMN()/3,0)-2))</f>
        <v/>
      </c>
      <c r="AF381" s="127"/>
      <c r="AG381" s="137"/>
      <c r="AH381" s="58" t="str" cm="1">
        <f>IF(ISBLANK($A381),"",INDEX(Array_ElectricalCharges,MATCH($A381,List_ElectricityMeters,0),ROUNDUP(COLUMN()/3,0)-2))</f>
        <v/>
      </c>
      <c r="AI381" s="127"/>
      <c r="AJ381" s="137"/>
      <c r="AK381" s="58" t="str" cm="1">
        <f>IF(ISBLANK($A381),"",INDEX(Array_ElectricalCharges,MATCH($A381,List_ElectricityMeters,0),ROUNDUP(COLUMN()/3,0)-2))</f>
        <v/>
      </c>
      <c r="AL381" s="127"/>
      <c r="AM381" s="137"/>
      <c r="AN381" s="58" t="str" cm="1">
        <f>IF(ISBLANK($A381),"",INDEX(Array_ElectricalCharges,MATCH($A381,List_ElectricityMeters,0),ROUNDUP(COLUMN()/3,0)-2))</f>
        <v/>
      </c>
      <c r="AO381" s="127"/>
      <c r="AP381" s="137"/>
      <c r="AQ381" s="58" t="str" cm="1">
        <f>IF(ISBLANK($A381),"",INDEX(Array_ElectricalCharges,MATCH($A381,List_ElectricityMeters,0),ROUNDUP(COLUMN()/3,0)-2))</f>
        <v/>
      </c>
      <c r="AR381" s="127"/>
      <c r="AS381" s="137"/>
      <c r="AT381" s="58" t="str" cm="1">
        <f>IF(ISBLANK($A381),"",INDEX(Array_ElectricalCharges,MATCH($A381,List_ElectricityMeters,0),ROUNDUP(COLUMN()/3,0)-2))</f>
        <v/>
      </c>
      <c r="AU381" s="127"/>
      <c r="AV381" s="137"/>
      <c r="AW381" s="58" t="str" cm="1">
        <f>IF(ISBLANK($A381),"",INDEX(Array_ElectricalCharges,MATCH($A381,List_ElectricityMeters,0),ROUNDUP(COLUMN()/3,0)-2))</f>
        <v/>
      </c>
      <c r="AX381" s="127"/>
      <c r="AY381" s="137"/>
    </row>
    <row r="382" spans="1:51" x14ac:dyDescent="0.3">
      <c r="A382" s="126"/>
      <c r="B382" s="133"/>
      <c r="C382" s="134"/>
      <c r="D382" s="134"/>
      <c r="E382" s="135"/>
      <c r="F382" s="136"/>
      <c r="G382" s="58" t="str" cm="1">
        <f>IF(ISBLANK($A382),"",INDEX(Array_ElectricalCharges,MATCH($A382,List_ElectricityMeters,0),ROUNDUP(COLUMN()/3,0)-2))</f>
        <v/>
      </c>
      <c r="H382" s="127"/>
      <c r="I382" s="137"/>
      <c r="J382" s="58" t="str" cm="1">
        <f>IF(ISBLANK($A382),"",INDEX(Array_ElectricalCharges,MATCH($A382,List_ElectricityMeters,0),ROUNDUP(COLUMN()/3,0)-2))</f>
        <v/>
      </c>
      <c r="K382" s="127"/>
      <c r="L382" s="137"/>
      <c r="M382" s="58" t="str" cm="1">
        <f>IF(ISBLANK($A382),"",INDEX(Array_ElectricalCharges,MATCH($A382,List_ElectricityMeters,0),ROUNDUP(COLUMN()/3,0)-2))</f>
        <v/>
      </c>
      <c r="N382" s="127"/>
      <c r="O382" s="137"/>
      <c r="P382" s="58" t="str" cm="1">
        <f>IF(ISBLANK($A382),"",INDEX(Array_ElectricalCharges,MATCH($A382,List_ElectricityMeters,0),ROUNDUP(COLUMN()/3,0)-2))</f>
        <v/>
      </c>
      <c r="Q382" s="127"/>
      <c r="R382" s="137"/>
      <c r="S382" s="58" t="str" cm="1">
        <f>IF(ISBLANK($A382),"",INDEX(Array_ElectricalCharges,MATCH($A382,List_ElectricityMeters,0),ROUNDUP(COLUMN()/3,0)-2))</f>
        <v/>
      </c>
      <c r="T382" s="127"/>
      <c r="U382" s="137"/>
      <c r="V382" s="58" t="str" cm="1">
        <f>IF(ISBLANK($A382),"",INDEX(Array_ElectricalCharges,MATCH($A382,List_ElectricityMeters,0),ROUNDUP(COLUMN()/3,0)-2))</f>
        <v/>
      </c>
      <c r="W382" s="127"/>
      <c r="X382" s="137"/>
      <c r="Y382" s="58" t="str" cm="1">
        <f>IF(ISBLANK($A382),"",INDEX(Array_ElectricalCharges,MATCH($A382,List_ElectricityMeters,0),ROUNDUP(COLUMN()/3,0)-2))</f>
        <v/>
      </c>
      <c r="Z382" s="127"/>
      <c r="AA382" s="137"/>
      <c r="AB382" s="58" t="str" cm="1">
        <f>IF(ISBLANK($A382),"",INDEX(Array_ElectricalCharges,MATCH($A382,List_ElectricityMeters,0),ROUNDUP(COLUMN()/3,0)-2))</f>
        <v/>
      </c>
      <c r="AC382" s="127"/>
      <c r="AD382" s="137"/>
      <c r="AE382" s="58" t="str" cm="1">
        <f>IF(ISBLANK($A382),"",INDEX(Array_ElectricalCharges,MATCH($A382,List_ElectricityMeters,0),ROUNDUP(COLUMN()/3,0)-2))</f>
        <v/>
      </c>
      <c r="AF382" s="127"/>
      <c r="AG382" s="137"/>
      <c r="AH382" s="58" t="str" cm="1">
        <f>IF(ISBLANK($A382),"",INDEX(Array_ElectricalCharges,MATCH($A382,List_ElectricityMeters,0),ROUNDUP(COLUMN()/3,0)-2))</f>
        <v/>
      </c>
      <c r="AI382" s="127"/>
      <c r="AJ382" s="137"/>
      <c r="AK382" s="58" t="str" cm="1">
        <f>IF(ISBLANK($A382),"",INDEX(Array_ElectricalCharges,MATCH($A382,List_ElectricityMeters,0),ROUNDUP(COLUMN()/3,0)-2))</f>
        <v/>
      </c>
      <c r="AL382" s="127"/>
      <c r="AM382" s="137"/>
      <c r="AN382" s="58" t="str" cm="1">
        <f>IF(ISBLANK($A382),"",INDEX(Array_ElectricalCharges,MATCH($A382,List_ElectricityMeters,0),ROUNDUP(COLUMN()/3,0)-2))</f>
        <v/>
      </c>
      <c r="AO382" s="127"/>
      <c r="AP382" s="137"/>
      <c r="AQ382" s="58" t="str" cm="1">
        <f>IF(ISBLANK($A382),"",INDEX(Array_ElectricalCharges,MATCH($A382,List_ElectricityMeters,0),ROUNDUP(COLUMN()/3,0)-2))</f>
        <v/>
      </c>
      <c r="AR382" s="127"/>
      <c r="AS382" s="137"/>
      <c r="AT382" s="58" t="str" cm="1">
        <f>IF(ISBLANK($A382),"",INDEX(Array_ElectricalCharges,MATCH($A382,List_ElectricityMeters,0),ROUNDUP(COLUMN()/3,0)-2))</f>
        <v/>
      </c>
      <c r="AU382" s="127"/>
      <c r="AV382" s="137"/>
      <c r="AW382" s="58" t="str" cm="1">
        <f>IF(ISBLANK($A382),"",INDEX(Array_ElectricalCharges,MATCH($A382,List_ElectricityMeters,0),ROUNDUP(COLUMN()/3,0)-2))</f>
        <v/>
      </c>
      <c r="AX382" s="127"/>
      <c r="AY382" s="137"/>
    </row>
    <row r="383" spans="1:51" x14ac:dyDescent="0.3">
      <c r="A383" s="126"/>
      <c r="B383" s="133"/>
      <c r="C383" s="134"/>
      <c r="D383" s="134"/>
      <c r="E383" s="135"/>
      <c r="F383" s="136"/>
      <c r="G383" s="58" t="str" cm="1">
        <f>IF(ISBLANK($A383),"",INDEX(Array_ElectricalCharges,MATCH($A383,List_ElectricityMeters,0),ROUNDUP(COLUMN()/3,0)-2))</f>
        <v/>
      </c>
      <c r="H383" s="127"/>
      <c r="I383" s="137"/>
      <c r="J383" s="58" t="str" cm="1">
        <f>IF(ISBLANK($A383),"",INDEX(Array_ElectricalCharges,MATCH($A383,List_ElectricityMeters,0),ROUNDUP(COLUMN()/3,0)-2))</f>
        <v/>
      </c>
      <c r="K383" s="127"/>
      <c r="L383" s="137"/>
      <c r="M383" s="58" t="str" cm="1">
        <f>IF(ISBLANK($A383),"",INDEX(Array_ElectricalCharges,MATCH($A383,List_ElectricityMeters,0),ROUNDUP(COLUMN()/3,0)-2))</f>
        <v/>
      </c>
      <c r="N383" s="127"/>
      <c r="O383" s="137"/>
      <c r="P383" s="58" t="str" cm="1">
        <f>IF(ISBLANK($A383),"",INDEX(Array_ElectricalCharges,MATCH($A383,List_ElectricityMeters,0),ROUNDUP(COLUMN()/3,0)-2))</f>
        <v/>
      </c>
      <c r="Q383" s="127"/>
      <c r="R383" s="137"/>
      <c r="S383" s="58" t="str" cm="1">
        <f>IF(ISBLANK($A383),"",INDEX(Array_ElectricalCharges,MATCH($A383,List_ElectricityMeters,0),ROUNDUP(COLUMN()/3,0)-2))</f>
        <v/>
      </c>
      <c r="T383" s="127"/>
      <c r="U383" s="137"/>
      <c r="V383" s="58" t="str" cm="1">
        <f>IF(ISBLANK($A383),"",INDEX(Array_ElectricalCharges,MATCH($A383,List_ElectricityMeters,0),ROUNDUP(COLUMN()/3,0)-2))</f>
        <v/>
      </c>
      <c r="W383" s="127"/>
      <c r="X383" s="137"/>
      <c r="Y383" s="58" t="str" cm="1">
        <f>IF(ISBLANK($A383),"",INDEX(Array_ElectricalCharges,MATCH($A383,List_ElectricityMeters,0),ROUNDUP(COLUMN()/3,0)-2))</f>
        <v/>
      </c>
      <c r="Z383" s="127"/>
      <c r="AA383" s="137"/>
      <c r="AB383" s="58" t="str" cm="1">
        <f>IF(ISBLANK($A383),"",INDEX(Array_ElectricalCharges,MATCH($A383,List_ElectricityMeters,0),ROUNDUP(COLUMN()/3,0)-2))</f>
        <v/>
      </c>
      <c r="AC383" s="127"/>
      <c r="AD383" s="137"/>
      <c r="AE383" s="58" t="str" cm="1">
        <f>IF(ISBLANK($A383),"",INDEX(Array_ElectricalCharges,MATCH($A383,List_ElectricityMeters,0),ROUNDUP(COLUMN()/3,0)-2))</f>
        <v/>
      </c>
      <c r="AF383" s="127"/>
      <c r="AG383" s="137"/>
      <c r="AH383" s="58" t="str" cm="1">
        <f>IF(ISBLANK($A383),"",INDEX(Array_ElectricalCharges,MATCH($A383,List_ElectricityMeters,0),ROUNDUP(COLUMN()/3,0)-2))</f>
        <v/>
      </c>
      <c r="AI383" s="127"/>
      <c r="AJ383" s="137"/>
      <c r="AK383" s="58" t="str" cm="1">
        <f>IF(ISBLANK($A383),"",INDEX(Array_ElectricalCharges,MATCH($A383,List_ElectricityMeters,0),ROUNDUP(COLUMN()/3,0)-2))</f>
        <v/>
      </c>
      <c r="AL383" s="127"/>
      <c r="AM383" s="137"/>
      <c r="AN383" s="58" t="str" cm="1">
        <f>IF(ISBLANK($A383),"",INDEX(Array_ElectricalCharges,MATCH($A383,List_ElectricityMeters,0),ROUNDUP(COLUMN()/3,0)-2))</f>
        <v/>
      </c>
      <c r="AO383" s="127"/>
      <c r="AP383" s="137"/>
      <c r="AQ383" s="58" t="str" cm="1">
        <f>IF(ISBLANK($A383),"",INDEX(Array_ElectricalCharges,MATCH($A383,List_ElectricityMeters,0),ROUNDUP(COLUMN()/3,0)-2))</f>
        <v/>
      </c>
      <c r="AR383" s="127"/>
      <c r="AS383" s="137"/>
      <c r="AT383" s="58" t="str" cm="1">
        <f>IF(ISBLANK($A383),"",INDEX(Array_ElectricalCharges,MATCH($A383,List_ElectricityMeters,0),ROUNDUP(COLUMN()/3,0)-2))</f>
        <v/>
      </c>
      <c r="AU383" s="127"/>
      <c r="AV383" s="137"/>
      <c r="AW383" s="58" t="str" cm="1">
        <f>IF(ISBLANK($A383),"",INDEX(Array_ElectricalCharges,MATCH($A383,List_ElectricityMeters,0),ROUNDUP(COLUMN()/3,0)-2))</f>
        <v/>
      </c>
      <c r="AX383" s="127"/>
      <c r="AY383" s="137"/>
    </row>
    <row r="384" spans="1:51" x14ac:dyDescent="0.3">
      <c r="A384" s="126"/>
      <c r="B384" s="133"/>
      <c r="C384" s="134"/>
      <c r="D384" s="134"/>
      <c r="E384" s="135"/>
      <c r="F384" s="136"/>
      <c r="G384" s="58" t="str" cm="1">
        <f>IF(ISBLANK($A384),"",INDEX(Array_ElectricalCharges,MATCH($A384,List_ElectricityMeters,0),ROUNDUP(COLUMN()/3,0)-2))</f>
        <v/>
      </c>
      <c r="H384" s="127"/>
      <c r="I384" s="137"/>
      <c r="J384" s="58" t="str" cm="1">
        <f>IF(ISBLANK($A384),"",INDEX(Array_ElectricalCharges,MATCH($A384,List_ElectricityMeters,0),ROUNDUP(COLUMN()/3,0)-2))</f>
        <v/>
      </c>
      <c r="K384" s="127"/>
      <c r="L384" s="137"/>
      <c r="M384" s="58" t="str" cm="1">
        <f>IF(ISBLANK($A384),"",INDEX(Array_ElectricalCharges,MATCH($A384,List_ElectricityMeters,0),ROUNDUP(COLUMN()/3,0)-2))</f>
        <v/>
      </c>
      <c r="N384" s="127"/>
      <c r="O384" s="137"/>
      <c r="P384" s="58" t="str" cm="1">
        <f>IF(ISBLANK($A384),"",INDEX(Array_ElectricalCharges,MATCH($A384,List_ElectricityMeters,0),ROUNDUP(COLUMN()/3,0)-2))</f>
        <v/>
      </c>
      <c r="Q384" s="127"/>
      <c r="R384" s="137"/>
      <c r="S384" s="58" t="str" cm="1">
        <f>IF(ISBLANK($A384),"",INDEX(Array_ElectricalCharges,MATCH($A384,List_ElectricityMeters,0),ROUNDUP(COLUMN()/3,0)-2))</f>
        <v/>
      </c>
      <c r="T384" s="127"/>
      <c r="U384" s="137"/>
      <c r="V384" s="58" t="str" cm="1">
        <f>IF(ISBLANK($A384),"",INDEX(Array_ElectricalCharges,MATCH($A384,List_ElectricityMeters,0),ROUNDUP(COLUMN()/3,0)-2))</f>
        <v/>
      </c>
      <c r="W384" s="127"/>
      <c r="X384" s="137"/>
      <c r="Y384" s="58" t="str" cm="1">
        <f>IF(ISBLANK($A384),"",INDEX(Array_ElectricalCharges,MATCH($A384,List_ElectricityMeters,0),ROUNDUP(COLUMN()/3,0)-2))</f>
        <v/>
      </c>
      <c r="Z384" s="127"/>
      <c r="AA384" s="137"/>
      <c r="AB384" s="58" t="str" cm="1">
        <f>IF(ISBLANK($A384),"",INDEX(Array_ElectricalCharges,MATCH($A384,List_ElectricityMeters,0),ROUNDUP(COLUMN()/3,0)-2))</f>
        <v/>
      </c>
      <c r="AC384" s="127"/>
      <c r="AD384" s="137"/>
      <c r="AE384" s="58" t="str" cm="1">
        <f>IF(ISBLANK($A384),"",INDEX(Array_ElectricalCharges,MATCH($A384,List_ElectricityMeters,0),ROUNDUP(COLUMN()/3,0)-2))</f>
        <v/>
      </c>
      <c r="AF384" s="127"/>
      <c r="AG384" s="137"/>
      <c r="AH384" s="58" t="str" cm="1">
        <f>IF(ISBLANK($A384),"",INDEX(Array_ElectricalCharges,MATCH($A384,List_ElectricityMeters,0),ROUNDUP(COLUMN()/3,0)-2))</f>
        <v/>
      </c>
      <c r="AI384" s="127"/>
      <c r="AJ384" s="137"/>
      <c r="AK384" s="58" t="str" cm="1">
        <f>IF(ISBLANK($A384),"",INDEX(Array_ElectricalCharges,MATCH($A384,List_ElectricityMeters,0),ROUNDUP(COLUMN()/3,0)-2))</f>
        <v/>
      </c>
      <c r="AL384" s="127"/>
      <c r="AM384" s="137"/>
      <c r="AN384" s="58" t="str" cm="1">
        <f>IF(ISBLANK($A384),"",INDEX(Array_ElectricalCharges,MATCH($A384,List_ElectricityMeters,0),ROUNDUP(COLUMN()/3,0)-2))</f>
        <v/>
      </c>
      <c r="AO384" s="127"/>
      <c r="AP384" s="137"/>
      <c r="AQ384" s="58" t="str" cm="1">
        <f>IF(ISBLANK($A384),"",INDEX(Array_ElectricalCharges,MATCH($A384,List_ElectricityMeters,0),ROUNDUP(COLUMN()/3,0)-2))</f>
        <v/>
      </c>
      <c r="AR384" s="127"/>
      <c r="AS384" s="137"/>
      <c r="AT384" s="58" t="str" cm="1">
        <f>IF(ISBLANK($A384),"",INDEX(Array_ElectricalCharges,MATCH($A384,List_ElectricityMeters,0),ROUNDUP(COLUMN()/3,0)-2))</f>
        <v/>
      </c>
      <c r="AU384" s="127"/>
      <c r="AV384" s="137"/>
      <c r="AW384" s="58" t="str" cm="1">
        <f>IF(ISBLANK($A384),"",INDEX(Array_ElectricalCharges,MATCH($A384,List_ElectricityMeters,0),ROUNDUP(COLUMN()/3,0)-2))</f>
        <v/>
      </c>
      <c r="AX384" s="127"/>
      <c r="AY384" s="137"/>
    </row>
    <row r="385" spans="1:51" x14ac:dyDescent="0.3">
      <c r="A385" s="126"/>
      <c r="B385" s="133"/>
      <c r="C385" s="134"/>
      <c r="D385" s="134"/>
      <c r="E385" s="135"/>
      <c r="F385" s="136"/>
      <c r="G385" s="58" t="str" cm="1">
        <f>IF(ISBLANK($A385),"",INDEX(Array_ElectricalCharges,MATCH($A385,List_ElectricityMeters,0),ROUNDUP(COLUMN()/3,0)-2))</f>
        <v/>
      </c>
      <c r="H385" s="127"/>
      <c r="I385" s="137"/>
      <c r="J385" s="58" t="str" cm="1">
        <f>IF(ISBLANK($A385),"",INDEX(Array_ElectricalCharges,MATCH($A385,List_ElectricityMeters,0),ROUNDUP(COLUMN()/3,0)-2))</f>
        <v/>
      </c>
      <c r="K385" s="127"/>
      <c r="L385" s="137"/>
      <c r="M385" s="58" t="str" cm="1">
        <f>IF(ISBLANK($A385),"",INDEX(Array_ElectricalCharges,MATCH($A385,List_ElectricityMeters,0),ROUNDUP(COLUMN()/3,0)-2))</f>
        <v/>
      </c>
      <c r="N385" s="127"/>
      <c r="O385" s="137"/>
      <c r="P385" s="58" t="str" cm="1">
        <f>IF(ISBLANK($A385),"",INDEX(Array_ElectricalCharges,MATCH($A385,List_ElectricityMeters,0),ROUNDUP(COLUMN()/3,0)-2))</f>
        <v/>
      </c>
      <c r="Q385" s="127"/>
      <c r="R385" s="137"/>
      <c r="S385" s="58" t="str" cm="1">
        <f>IF(ISBLANK($A385),"",INDEX(Array_ElectricalCharges,MATCH($A385,List_ElectricityMeters,0),ROUNDUP(COLUMN()/3,0)-2))</f>
        <v/>
      </c>
      <c r="T385" s="127"/>
      <c r="U385" s="137"/>
      <c r="V385" s="58" t="str" cm="1">
        <f>IF(ISBLANK($A385),"",INDEX(Array_ElectricalCharges,MATCH($A385,List_ElectricityMeters,0),ROUNDUP(COLUMN()/3,0)-2))</f>
        <v/>
      </c>
      <c r="W385" s="127"/>
      <c r="X385" s="137"/>
      <c r="Y385" s="58" t="str" cm="1">
        <f>IF(ISBLANK($A385),"",INDEX(Array_ElectricalCharges,MATCH($A385,List_ElectricityMeters,0),ROUNDUP(COLUMN()/3,0)-2))</f>
        <v/>
      </c>
      <c r="Z385" s="127"/>
      <c r="AA385" s="137"/>
      <c r="AB385" s="58" t="str" cm="1">
        <f>IF(ISBLANK($A385),"",INDEX(Array_ElectricalCharges,MATCH($A385,List_ElectricityMeters,0),ROUNDUP(COLUMN()/3,0)-2))</f>
        <v/>
      </c>
      <c r="AC385" s="127"/>
      <c r="AD385" s="137"/>
      <c r="AE385" s="58" t="str" cm="1">
        <f>IF(ISBLANK($A385),"",INDEX(Array_ElectricalCharges,MATCH($A385,List_ElectricityMeters,0),ROUNDUP(COLUMN()/3,0)-2))</f>
        <v/>
      </c>
      <c r="AF385" s="127"/>
      <c r="AG385" s="137"/>
      <c r="AH385" s="58" t="str" cm="1">
        <f>IF(ISBLANK($A385),"",INDEX(Array_ElectricalCharges,MATCH($A385,List_ElectricityMeters,0),ROUNDUP(COLUMN()/3,0)-2))</f>
        <v/>
      </c>
      <c r="AI385" s="127"/>
      <c r="AJ385" s="137"/>
      <c r="AK385" s="58" t="str" cm="1">
        <f>IF(ISBLANK($A385),"",INDEX(Array_ElectricalCharges,MATCH($A385,List_ElectricityMeters,0),ROUNDUP(COLUMN()/3,0)-2))</f>
        <v/>
      </c>
      <c r="AL385" s="127"/>
      <c r="AM385" s="137"/>
      <c r="AN385" s="58" t="str" cm="1">
        <f>IF(ISBLANK($A385),"",INDEX(Array_ElectricalCharges,MATCH($A385,List_ElectricityMeters,0),ROUNDUP(COLUMN()/3,0)-2))</f>
        <v/>
      </c>
      <c r="AO385" s="127"/>
      <c r="AP385" s="137"/>
      <c r="AQ385" s="58" t="str" cm="1">
        <f>IF(ISBLANK($A385),"",INDEX(Array_ElectricalCharges,MATCH($A385,List_ElectricityMeters,0),ROUNDUP(COLUMN()/3,0)-2))</f>
        <v/>
      </c>
      <c r="AR385" s="127"/>
      <c r="AS385" s="137"/>
      <c r="AT385" s="58" t="str" cm="1">
        <f>IF(ISBLANK($A385),"",INDEX(Array_ElectricalCharges,MATCH($A385,List_ElectricityMeters,0),ROUNDUP(COLUMN()/3,0)-2))</f>
        <v/>
      </c>
      <c r="AU385" s="127"/>
      <c r="AV385" s="137"/>
      <c r="AW385" s="58" t="str" cm="1">
        <f>IF(ISBLANK($A385),"",INDEX(Array_ElectricalCharges,MATCH($A385,List_ElectricityMeters,0),ROUNDUP(COLUMN()/3,0)-2))</f>
        <v/>
      </c>
      <c r="AX385" s="127"/>
      <c r="AY385" s="137"/>
    </row>
    <row r="386" spans="1:51" x14ac:dyDescent="0.3">
      <c r="A386" s="126"/>
      <c r="B386" s="133"/>
      <c r="C386" s="134"/>
      <c r="D386" s="134"/>
      <c r="E386" s="135"/>
      <c r="F386" s="136"/>
      <c r="G386" s="58" t="str" cm="1">
        <f>IF(ISBLANK($A386),"",INDEX(Array_ElectricalCharges,MATCH($A386,List_ElectricityMeters,0),ROUNDUP(COLUMN()/3,0)-2))</f>
        <v/>
      </c>
      <c r="H386" s="127"/>
      <c r="I386" s="137"/>
      <c r="J386" s="58" t="str" cm="1">
        <f>IF(ISBLANK($A386),"",INDEX(Array_ElectricalCharges,MATCH($A386,List_ElectricityMeters,0),ROUNDUP(COLUMN()/3,0)-2))</f>
        <v/>
      </c>
      <c r="K386" s="127"/>
      <c r="L386" s="137"/>
      <c r="M386" s="58" t="str" cm="1">
        <f>IF(ISBLANK($A386),"",INDEX(Array_ElectricalCharges,MATCH($A386,List_ElectricityMeters,0),ROUNDUP(COLUMN()/3,0)-2))</f>
        <v/>
      </c>
      <c r="N386" s="127"/>
      <c r="O386" s="137"/>
      <c r="P386" s="58" t="str" cm="1">
        <f>IF(ISBLANK($A386),"",INDEX(Array_ElectricalCharges,MATCH($A386,List_ElectricityMeters,0),ROUNDUP(COLUMN()/3,0)-2))</f>
        <v/>
      </c>
      <c r="Q386" s="127"/>
      <c r="R386" s="137"/>
      <c r="S386" s="58" t="str" cm="1">
        <f>IF(ISBLANK($A386),"",INDEX(Array_ElectricalCharges,MATCH($A386,List_ElectricityMeters,0),ROUNDUP(COLUMN()/3,0)-2))</f>
        <v/>
      </c>
      <c r="T386" s="127"/>
      <c r="U386" s="137"/>
      <c r="V386" s="58" t="str" cm="1">
        <f>IF(ISBLANK($A386),"",INDEX(Array_ElectricalCharges,MATCH($A386,List_ElectricityMeters,0),ROUNDUP(COLUMN()/3,0)-2))</f>
        <v/>
      </c>
      <c r="W386" s="127"/>
      <c r="X386" s="137"/>
      <c r="Y386" s="58" t="str" cm="1">
        <f>IF(ISBLANK($A386),"",INDEX(Array_ElectricalCharges,MATCH($A386,List_ElectricityMeters,0),ROUNDUP(COLUMN()/3,0)-2))</f>
        <v/>
      </c>
      <c r="Z386" s="127"/>
      <c r="AA386" s="137"/>
      <c r="AB386" s="58" t="str" cm="1">
        <f>IF(ISBLANK($A386),"",INDEX(Array_ElectricalCharges,MATCH($A386,List_ElectricityMeters,0),ROUNDUP(COLUMN()/3,0)-2))</f>
        <v/>
      </c>
      <c r="AC386" s="127"/>
      <c r="AD386" s="137"/>
      <c r="AE386" s="58" t="str" cm="1">
        <f>IF(ISBLANK($A386),"",INDEX(Array_ElectricalCharges,MATCH($A386,List_ElectricityMeters,0),ROUNDUP(COLUMN()/3,0)-2))</f>
        <v/>
      </c>
      <c r="AF386" s="127"/>
      <c r="AG386" s="137"/>
      <c r="AH386" s="58" t="str" cm="1">
        <f>IF(ISBLANK($A386),"",INDEX(Array_ElectricalCharges,MATCH($A386,List_ElectricityMeters,0),ROUNDUP(COLUMN()/3,0)-2))</f>
        <v/>
      </c>
      <c r="AI386" s="127"/>
      <c r="AJ386" s="137"/>
      <c r="AK386" s="58" t="str" cm="1">
        <f>IF(ISBLANK($A386),"",INDEX(Array_ElectricalCharges,MATCH($A386,List_ElectricityMeters,0),ROUNDUP(COLUMN()/3,0)-2))</f>
        <v/>
      </c>
      <c r="AL386" s="127"/>
      <c r="AM386" s="137"/>
      <c r="AN386" s="58" t="str" cm="1">
        <f>IF(ISBLANK($A386),"",INDEX(Array_ElectricalCharges,MATCH($A386,List_ElectricityMeters,0),ROUNDUP(COLUMN()/3,0)-2))</f>
        <v/>
      </c>
      <c r="AO386" s="127"/>
      <c r="AP386" s="137"/>
      <c r="AQ386" s="58" t="str" cm="1">
        <f>IF(ISBLANK($A386),"",INDEX(Array_ElectricalCharges,MATCH($A386,List_ElectricityMeters,0),ROUNDUP(COLUMN()/3,0)-2))</f>
        <v/>
      </c>
      <c r="AR386" s="127"/>
      <c r="AS386" s="137"/>
      <c r="AT386" s="58" t="str" cm="1">
        <f>IF(ISBLANK($A386),"",INDEX(Array_ElectricalCharges,MATCH($A386,List_ElectricityMeters,0),ROUNDUP(COLUMN()/3,0)-2))</f>
        <v/>
      </c>
      <c r="AU386" s="127"/>
      <c r="AV386" s="137"/>
      <c r="AW386" s="58" t="str" cm="1">
        <f>IF(ISBLANK($A386),"",INDEX(Array_ElectricalCharges,MATCH($A386,List_ElectricityMeters,0),ROUNDUP(COLUMN()/3,0)-2))</f>
        <v/>
      </c>
      <c r="AX386" s="127"/>
      <c r="AY386" s="137"/>
    </row>
    <row r="387" spans="1:51" x14ac:dyDescent="0.3">
      <c r="A387" s="126"/>
      <c r="B387" s="133"/>
      <c r="C387" s="134"/>
      <c r="D387" s="134"/>
      <c r="E387" s="135"/>
      <c r="F387" s="136"/>
      <c r="G387" s="58" t="str" cm="1">
        <f>IF(ISBLANK($A387),"",INDEX(Array_ElectricalCharges,MATCH($A387,List_ElectricityMeters,0),ROUNDUP(COLUMN()/3,0)-2))</f>
        <v/>
      </c>
      <c r="H387" s="127"/>
      <c r="I387" s="137"/>
      <c r="J387" s="58" t="str" cm="1">
        <f>IF(ISBLANK($A387),"",INDEX(Array_ElectricalCharges,MATCH($A387,List_ElectricityMeters,0),ROUNDUP(COLUMN()/3,0)-2))</f>
        <v/>
      </c>
      <c r="K387" s="127"/>
      <c r="L387" s="137"/>
      <c r="M387" s="58" t="str" cm="1">
        <f>IF(ISBLANK($A387),"",INDEX(Array_ElectricalCharges,MATCH($A387,List_ElectricityMeters,0),ROUNDUP(COLUMN()/3,0)-2))</f>
        <v/>
      </c>
      <c r="N387" s="127"/>
      <c r="O387" s="137"/>
      <c r="P387" s="58" t="str" cm="1">
        <f>IF(ISBLANK($A387),"",INDEX(Array_ElectricalCharges,MATCH($A387,List_ElectricityMeters,0),ROUNDUP(COLUMN()/3,0)-2))</f>
        <v/>
      </c>
      <c r="Q387" s="127"/>
      <c r="R387" s="137"/>
      <c r="S387" s="58" t="str" cm="1">
        <f>IF(ISBLANK($A387),"",INDEX(Array_ElectricalCharges,MATCH($A387,List_ElectricityMeters,0),ROUNDUP(COLUMN()/3,0)-2))</f>
        <v/>
      </c>
      <c r="T387" s="127"/>
      <c r="U387" s="137"/>
      <c r="V387" s="58" t="str" cm="1">
        <f>IF(ISBLANK($A387),"",INDEX(Array_ElectricalCharges,MATCH($A387,List_ElectricityMeters,0),ROUNDUP(COLUMN()/3,0)-2))</f>
        <v/>
      </c>
      <c r="W387" s="127"/>
      <c r="X387" s="137"/>
      <c r="Y387" s="58" t="str" cm="1">
        <f>IF(ISBLANK($A387),"",INDEX(Array_ElectricalCharges,MATCH($A387,List_ElectricityMeters,0),ROUNDUP(COLUMN()/3,0)-2))</f>
        <v/>
      </c>
      <c r="Z387" s="127"/>
      <c r="AA387" s="137"/>
      <c r="AB387" s="58" t="str" cm="1">
        <f>IF(ISBLANK($A387),"",INDEX(Array_ElectricalCharges,MATCH($A387,List_ElectricityMeters,0),ROUNDUP(COLUMN()/3,0)-2))</f>
        <v/>
      </c>
      <c r="AC387" s="127"/>
      <c r="AD387" s="137"/>
      <c r="AE387" s="58" t="str" cm="1">
        <f>IF(ISBLANK($A387),"",INDEX(Array_ElectricalCharges,MATCH($A387,List_ElectricityMeters,0),ROUNDUP(COLUMN()/3,0)-2))</f>
        <v/>
      </c>
      <c r="AF387" s="127"/>
      <c r="AG387" s="137"/>
      <c r="AH387" s="58" t="str" cm="1">
        <f>IF(ISBLANK($A387),"",INDEX(Array_ElectricalCharges,MATCH($A387,List_ElectricityMeters,0),ROUNDUP(COLUMN()/3,0)-2))</f>
        <v/>
      </c>
      <c r="AI387" s="127"/>
      <c r="AJ387" s="137"/>
      <c r="AK387" s="58" t="str" cm="1">
        <f>IF(ISBLANK($A387),"",INDEX(Array_ElectricalCharges,MATCH($A387,List_ElectricityMeters,0),ROUNDUP(COLUMN()/3,0)-2))</f>
        <v/>
      </c>
      <c r="AL387" s="127"/>
      <c r="AM387" s="137"/>
      <c r="AN387" s="58" t="str" cm="1">
        <f>IF(ISBLANK($A387),"",INDEX(Array_ElectricalCharges,MATCH($A387,List_ElectricityMeters,0),ROUNDUP(COLUMN()/3,0)-2))</f>
        <v/>
      </c>
      <c r="AO387" s="127"/>
      <c r="AP387" s="137"/>
      <c r="AQ387" s="58" t="str" cm="1">
        <f>IF(ISBLANK($A387),"",INDEX(Array_ElectricalCharges,MATCH($A387,List_ElectricityMeters,0),ROUNDUP(COLUMN()/3,0)-2))</f>
        <v/>
      </c>
      <c r="AR387" s="127"/>
      <c r="AS387" s="137"/>
      <c r="AT387" s="58" t="str" cm="1">
        <f>IF(ISBLANK($A387),"",INDEX(Array_ElectricalCharges,MATCH($A387,List_ElectricityMeters,0),ROUNDUP(COLUMN()/3,0)-2))</f>
        <v/>
      </c>
      <c r="AU387" s="127"/>
      <c r="AV387" s="137"/>
      <c r="AW387" s="58" t="str" cm="1">
        <f>IF(ISBLANK($A387),"",INDEX(Array_ElectricalCharges,MATCH($A387,List_ElectricityMeters,0),ROUNDUP(COLUMN()/3,0)-2))</f>
        <v/>
      </c>
      <c r="AX387" s="127"/>
      <c r="AY387" s="137"/>
    </row>
    <row r="388" spans="1:51" x14ac:dyDescent="0.3">
      <c r="A388" s="126"/>
      <c r="B388" s="133"/>
      <c r="C388" s="134"/>
      <c r="D388" s="134"/>
      <c r="E388" s="135"/>
      <c r="F388" s="136"/>
      <c r="G388" s="58" t="str" cm="1">
        <f>IF(ISBLANK($A388),"",INDEX(Array_ElectricalCharges,MATCH($A388,List_ElectricityMeters,0),ROUNDUP(COLUMN()/3,0)-2))</f>
        <v/>
      </c>
      <c r="H388" s="127"/>
      <c r="I388" s="137"/>
      <c r="J388" s="58" t="str" cm="1">
        <f>IF(ISBLANK($A388),"",INDEX(Array_ElectricalCharges,MATCH($A388,List_ElectricityMeters,0),ROUNDUP(COLUMN()/3,0)-2))</f>
        <v/>
      </c>
      <c r="K388" s="127"/>
      <c r="L388" s="137"/>
      <c r="M388" s="58" t="str" cm="1">
        <f>IF(ISBLANK($A388),"",INDEX(Array_ElectricalCharges,MATCH($A388,List_ElectricityMeters,0),ROUNDUP(COLUMN()/3,0)-2))</f>
        <v/>
      </c>
      <c r="N388" s="127"/>
      <c r="O388" s="137"/>
      <c r="P388" s="58" t="str" cm="1">
        <f>IF(ISBLANK($A388),"",INDEX(Array_ElectricalCharges,MATCH($A388,List_ElectricityMeters,0),ROUNDUP(COLUMN()/3,0)-2))</f>
        <v/>
      </c>
      <c r="Q388" s="127"/>
      <c r="R388" s="137"/>
      <c r="S388" s="58" t="str" cm="1">
        <f>IF(ISBLANK($A388),"",INDEX(Array_ElectricalCharges,MATCH($A388,List_ElectricityMeters,0),ROUNDUP(COLUMN()/3,0)-2))</f>
        <v/>
      </c>
      <c r="T388" s="127"/>
      <c r="U388" s="137"/>
      <c r="V388" s="58" t="str" cm="1">
        <f>IF(ISBLANK($A388),"",INDEX(Array_ElectricalCharges,MATCH($A388,List_ElectricityMeters,0),ROUNDUP(COLUMN()/3,0)-2))</f>
        <v/>
      </c>
      <c r="W388" s="127"/>
      <c r="X388" s="137"/>
      <c r="Y388" s="58" t="str" cm="1">
        <f>IF(ISBLANK($A388),"",INDEX(Array_ElectricalCharges,MATCH($A388,List_ElectricityMeters,0),ROUNDUP(COLUMN()/3,0)-2))</f>
        <v/>
      </c>
      <c r="Z388" s="127"/>
      <c r="AA388" s="137"/>
      <c r="AB388" s="58" t="str" cm="1">
        <f>IF(ISBLANK($A388),"",INDEX(Array_ElectricalCharges,MATCH($A388,List_ElectricityMeters,0),ROUNDUP(COLUMN()/3,0)-2))</f>
        <v/>
      </c>
      <c r="AC388" s="127"/>
      <c r="AD388" s="137"/>
      <c r="AE388" s="58" t="str" cm="1">
        <f>IF(ISBLANK($A388),"",INDEX(Array_ElectricalCharges,MATCH($A388,List_ElectricityMeters,0),ROUNDUP(COLUMN()/3,0)-2))</f>
        <v/>
      </c>
      <c r="AF388" s="127"/>
      <c r="AG388" s="137"/>
      <c r="AH388" s="58" t="str" cm="1">
        <f>IF(ISBLANK($A388),"",INDEX(Array_ElectricalCharges,MATCH($A388,List_ElectricityMeters,0),ROUNDUP(COLUMN()/3,0)-2))</f>
        <v/>
      </c>
      <c r="AI388" s="127"/>
      <c r="AJ388" s="137"/>
      <c r="AK388" s="58" t="str" cm="1">
        <f>IF(ISBLANK($A388),"",INDEX(Array_ElectricalCharges,MATCH($A388,List_ElectricityMeters,0),ROUNDUP(COLUMN()/3,0)-2))</f>
        <v/>
      </c>
      <c r="AL388" s="127"/>
      <c r="AM388" s="137"/>
      <c r="AN388" s="58" t="str" cm="1">
        <f>IF(ISBLANK($A388),"",INDEX(Array_ElectricalCharges,MATCH($A388,List_ElectricityMeters,0),ROUNDUP(COLUMN()/3,0)-2))</f>
        <v/>
      </c>
      <c r="AO388" s="127"/>
      <c r="AP388" s="137"/>
      <c r="AQ388" s="58" t="str" cm="1">
        <f>IF(ISBLANK($A388),"",INDEX(Array_ElectricalCharges,MATCH($A388,List_ElectricityMeters,0),ROUNDUP(COLUMN()/3,0)-2))</f>
        <v/>
      </c>
      <c r="AR388" s="127"/>
      <c r="AS388" s="137"/>
      <c r="AT388" s="58" t="str" cm="1">
        <f>IF(ISBLANK($A388),"",INDEX(Array_ElectricalCharges,MATCH($A388,List_ElectricityMeters,0),ROUNDUP(COLUMN()/3,0)-2))</f>
        <v/>
      </c>
      <c r="AU388" s="127"/>
      <c r="AV388" s="137"/>
      <c r="AW388" s="58" t="str" cm="1">
        <f>IF(ISBLANK($A388),"",INDEX(Array_ElectricalCharges,MATCH($A388,List_ElectricityMeters,0),ROUNDUP(COLUMN()/3,0)-2))</f>
        <v/>
      </c>
      <c r="AX388" s="127"/>
      <c r="AY388" s="137"/>
    </row>
    <row r="389" spans="1:51" x14ac:dyDescent="0.3">
      <c r="A389" s="126"/>
      <c r="B389" s="133"/>
      <c r="C389" s="134"/>
      <c r="D389" s="134"/>
      <c r="E389" s="135"/>
      <c r="F389" s="136"/>
      <c r="G389" s="58" t="str" cm="1">
        <f>IF(ISBLANK($A389),"",INDEX(Array_ElectricalCharges,MATCH($A389,List_ElectricityMeters,0),ROUNDUP(COLUMN()/3,0)-2))</f>
        <v/>
      </c>
      <c r="H389" s="127"/>
      <c r="I389" s="137"/>
      <c r="J389" s="58" t="str" cm="1">
        <f>IF(ISBLANK($A389),"",INDEX(Array_ElectricalCharges,MATCH($A389,List_ElectricityMeters,0),ROUNDUP(COLUMN()/3,0)-2))</f>
        <v/>
      </c>
      <c r="K389" s="127"/>
      <c r="L389" s="137"/>
      <c r="M389" s="58" t="str" cm="1">
        <f>IF(ISBLANK($A389),"",INDEX(Array_ElectricalCharges,MATCH($A389,List_ElectricityMeters,0),ROUNDUP(COLUMN()/3,0)-2))</f>
        <v/>
      </c>
      <c r="N389" s="127"/>
      <c r="O389" s="137"/>
      <c r="P389" s="58" t="str" cm="1">
        <f>IF(ISBLANK($A389),"",INDEX(Array_ElectricalCharges,MATCH($A389,List_ElectricityMeters,0),ROUNDUP(COLUMN()/3,0)-2))</f>
        <v/>
      </c>
      <c r="Q389" s="127"/>
      <c r="R389" s="137"/>
      <c r="S389" s="58" t="str" cm="1">
        <f>IF(ISBLANK($A389),"",INDEX(Array_ElectricalCharges,MATCH($A389,List_ElectricityMeters,0),ROUNDUP(COLUMN()/3,0)-2))</f>
        <v/>
      </c>
      <c r="T389" s="127"/>
      <c r="U389" s="137"/>
      <c r="V389" s="58" t="str" cm="1">
        <f>IF(ISBLANK($A389),"",INDEX(Array_ElectricalCharges,MATCH($A389,List_ElectricityMeters,0),ROUNDUP(COLUMN()/3,0)-2))</f>
        <v/>
      </c>
      <c r="W389" s="127"/>
      <c r="X389" s="137"/>
      <c r="Y389" s="58" t="str" cm="1">
        <f>IF(ISBLANK($A389),"",INDEX(Array_ElectricalCharges,MATCH($A389,List_ElectricityMeters,0),ROUNDUP(COLUMN()/3,0)-2))</f>
        <v/>
      </c>
      <c r="Z389" s="127"/>
      <c r="AA389" s="137"/>
      <c r="AB389" s="58" t="str" cm="1">
        <f>IF(ISBLANK($A389),"",INDEX(Array_ElectricalCharges,MATCH($A389,List_ElectricityMeters,0),ROUNDUP(COLUMN()/3,0)-2))</f>
        <v/>
      </c>
      <c r="AC389" s="127"/>
      <c r="AD389" s="137"/>
      <c r="AE389" s="58" t="str" cm="1">
        <f>IF(ISBLANK($A389),"",INDEX(Array_ElectricalCharges,MATCH($A389,List_ElectricityMeters,0),ROUNDUP(COLUMN()/3,0)-2))</f>
        <v/>
      </c>
      <c r="AF389" s="127"/>
      <c r="AG389" s="137"/>
      <c r="AH389" s="58" t="str" cm="1">
        <f>IF(ISBLANK($A389),"",INDEX(Array_ElectricalCharges,MATCH($A389,List_ElectricityMeters,0),ROUNDUP(COLUMN()/3,0)-2))</f>
        <v/>
      </c>
      <c r="AI389" s="127"/>
      <c r="AJ389" s="137"/>
      <c r="AK389" s="58" t="str" cm="1">
        <f>IF(ISBLANK($A389),"",INDEX(Array_ElectricalCharges,MATCH($A389,List_ElectricityMeters,0),ROUNDUP(COLUMN()/3,0)-2))</f>
        <v/>
      </c>
      <c r="AL389" s="127"/>
      <c r="AM389" s="137"/>
      <c r="AN389" s="58" t="str" cm="1">
        <f>IF(ISBLANK($A389),"",INDEX(Array_ElectricalCharges,MATCH($A389,List_ElectricityMeters,0),ROUNDUP(COLUMN()/3,0)-2))</f>
        <v/>
      </c>
      <c r="AO389" s="127"/>
      <c r="AP389" s="137"/>
      <c r="AQ389" s="58" t="str" cm="1">
        <f>IF(ISBLANK($A389),"",INDEX(Array_ElectricalCharges,MATCH($A389,List_ElectricityMeters,0),ROUNDUP(COLUMN()/3,0)-2))</f>
        <v/>
      </c>
      <c r="AR389" s="127"/>
      <c r="AS389" s="137"/>
      <c r="AT389" s="58" t="str" cm="1">
        <f>IF(ISBLANK($A389),"",INDEX(Array_ElectricalCharges,MATCH($A389,List_ElectricityMeters,0),ROUNDUP(COLUMN()/3,0)-2))</f>
        <v/>
      </c>
      <c r="AU389" s="127"/>
      <c r="AV389" s="137"/>
      <c r="AW389" s="58" t="str" cm="1">
        <f>IF(ISBLANK($A389),"",INDEX(Array_ElectricalCharges,MATCH($A389,List_ElectricityMeters,0),ROUNDUP(COLUMN()/3,0)-2))</f>
        <v/>
      </c>
      <c r="AX389" s="127"/>
      <c r="AY389" s="137"/>
    </row>
    <row r="390" spans="1:51" x14ac:dyDescent="0.3">
      <c r="A390" s="126"/>
      <c r="B390" s="133"/>
      <c r="C390" s="134"/>
      <c r="D390" s="134"/>
      <c r="E390" s="135"/>
      <c r="F390" s="136"/>
      <c r="G390" s="58" t="str" cm="1">
        <f>IF(ISBLANK($A390),"",INDEX(Array_ElectricalCharges,MATCH($A390,List_ElectricityMeters,0),ROUNDUP(COLUMN()/3,0)-2))</f>
        <v/>
      </c>
      <c r="H390" s="127"/>
      <c r="I390" s="137"/>
      <c r="J390" s="58" t="str" cm="1">
        <f>IF(ISBLANK($A390),"",INDEX(Array_ElectricalCharges,MATCH($A390,List_ElectricityMeters,0),ROUNDUP(COLUMN()/3,0)-2))</f>
        <v/>
      </c>
      <c r="K390" s="127"/>
      <c r="L390" s="137"/>
      <c r="M390" s="58" t="str" cm="1">
        <f>IF(ISBLANK($A390),"",INDEX(Array_ElectricalCharges,MATCH($A390,List_ElectricityMeters,0),ROUNDUP(COLUMN()/3,0)-2))</f>
        <v/>
      </c>
      <c r="N390" s="127"/>
      <c r="O390" s="137"/>
      <c r="P390" s="58" t="str" cm="1">
        <f>IF(ISBLANK($A390),"",INDEX(Array_ElectricalCharges,MATCH($A390,List_ElectricityMeters,0),ROUNDUP(COLUMN()/3,0)-2))</f>
        <v/>
      </c>
      <c r="Q390" s="127"/>
      <c r="R390" s="137"/>
      <c r="S390" s="58" t="str" cm="1">
        <f>IF(ISBLANK($A390),"",INDEX(Array_ElectricalCharges,MATCH($A390,List_ElectricityMeters,0),ROUNDUP(COLUMN()/3,0)-2))</f>
        <v/>
      </c>
      <c r="T390" s="127"/>
      <c r="U390" s="137"/>
      <c r="V390" s="58" t="str" cm="1">
        <f>IF(ISBLANK($A390),"",INDEX(Array_ElectricalCharges,MATCH($A390,List_ElectricityMeters,0),ROUNDUP(COLUMN()/3,0)-2))</f>
        <v/>
      </c>
      <c r="W390" s="127"/>
      <c r="X390" s="137"/>
      <c r="Y390" s="58" t="str" cm="1">
        <f>IF(ISBLANK($A390),"",INDEX(Array_ElectricalCharges,MATCH($A390,List_ElectricityMeters,0),ROUNDUP(COLUMN()/3,0)-2))</f>
        <v/>
      </c>
      <c r="Z390" s="127"/>
      <c r="AA390" s="137"/>
      <c r="AB390" s="58" t="str" cm="1">
        <f>IF(ISBLANK($A390),"",INDEX(Array_ElectricalCharges,MATCH($A390,List_ElectricityMeters,0),ROUNDUP(COLUMN()/3,0)-2))</f>
        <v/>
      </c>
      <c r="AC390" s="127"/>
      <c r="AD390" s="137"/>
      <c r="AE390" s="58" t="str" cm="1">
        <f>IF(ISBLANK($A390),"",INDEX(Array_ElectricalCharges,MATCH($A390,List_ElectricityMeters,0),ROUNDUP(COLUMN()/3,0)-2))</f>
        <v/>
      </c>
      <c r="AF390" s="127"/>
      <c r="AG390" s="137"/>
      <c r="AH390" s="58" t="str" cm="1">
        <f>IF(ISBLANK($A390),"",INDEX(Array_ElectricalCharges,MATCH($A390,List_ElectricityMeters,0),ROUNDUP(COLUMN()/3,0)-2))</f>
        <v/>
      </c>
      <c r="AI390" s="127"/>
      <c r="AJ390" s="137"/>
      <c r="AK390" s="58" t="str" cm="1">
        <f>IF(ISBLANK($A390),"",INDEX(Array_ElectricalCharges,MATCH($A390,List_ElectricityMeters,0),ROUNDUP(COLUMN()/3,0)-2))</f>
        <v/>
      </c>
      <c r="AL390" s="127"/>
      <c r="AM390" s="137"/>
      <c r="AN390" s="58" t="str" cm="1">
        <f>IF(ISBLANK($A390),"",INDEX(Array_ElectricalCharges,MATCH($A390,List_ElectricityMeters,0),ROUNDUP(COLUMN()/3,0)-2))</f>
        <v/>
      </c>
      <c r="AO390" s="127"/>
      <c r="AP390" s="137"/>
      <c r="AQ390" s="58" t="str" cm="1">
        <f>IF(ISBLANK($A390),"",INDEX(Array_ElectricalCharges,MATCH($A390,List_ElectricityMeters,0),ROUNDUP(COLUMN()/3,0)-2))</f>
        <v/>
      </c>
      <c r="AR390" s="127"/>
      <c r="AS390" s="137"/>
      <c r="AT390" s="58" t="str" cm="1">
        <f>IF(ISBLANK($A390),"",INDEX(Array_ElectricalCharges,MATCH($A390,List_ElectricityMeters,0),ROUNDUP(COLUMN()/3,0)-2))</f>
        <v/>
      </c>
      <c r="AU390" s="127"/>
      <c r="AV390" s="137"/>
      <c r="AW390" s="58" t="str" cm="1">
        <f>IF(ISBLANK($A390),"",INDEX(Array_ElectricalCharges,MATCH($A390,List_ElectricityMeters,0),ROUNDUP(COLUMN()/3,0)-2))</f>
        <v/>
      </c>
      <c r="AX390" s="127"/>
      <c r="AY390" s="137"/>
    </row>
    <row r="391" spans="1:51" x14ac:dyDescent="0.3">
      <c r="A391" s="126"/>
      <c r="B391" s="133"/>
      <c r="C391" s="134"/>
      <c r="D391" s="134"/>
      <c r="E391" s="135"/>
      <c r="F391" s="136"/>
      <c r="G391" s="58" t="str" cm="1">
        <f>IF(ISBLANK($A391),"",INDEX(Array_ElectricalCharges,MATCH($A391,List_ElectricityMeters,0),ROUNDUP(COLUMN()/3,0)-2))</f>
        <v/>
      </c>
      <c r="H391" s="127"/>
      <c r="I391" s="137"/>
      <c r="J391" s="58" t="str" cm="1">
        <f>IF(ISBLANK($A391),"",INDEX(Array_ElectricalCharges,MATCH($A391,List_ElectricityMeters,0),ROUNDUP(COLUMN()/3,0)-2))</f>
        <v/>
      </c>
      <c r="K391" s="127"/>
      <c r="L391" s="137"/>
      <c r="M391" s="58" t="str" cm="1">
        <f>IF(ISBLANK($A391),"",INDEX(Array_ElectricalCharges,MATCH($A391,List_ElectricityMeters,0),ROUNDUP(COLUMN()/3,0)-2))</f>
        <v/>
      </c>
      <c r="N391" s="127"/>
      <c r="O391" s="137"/>
      <c r="P391" s="58" t="str" cm="1">
        <f>IF(ISBLANK($A391),"",INDEX(Array_ElectricalCharges,MATCH($A391,List_ElectricityMeters,0),ROUNDUP(COLUMN()/3,0)-2))</f>
        <v/>
      </c>
      <c r="Q391" s="127"/>
      <c r="R391" s="137"/>
      <c r="S391" s="58" t="str" cm="1">
        <f>IF(ISBLANK($A391),"",INDEX(Array_ElectricalCharges,MATCH($A391,List_ElectricityMeters,0),ROUNDUP(COLUMN()/3,0)-2))</f>
        <v/>
      </c>
      <c r="T391" s="127"/>
      <c r="U391" s="137"/>
      <c r="V391" s="58" t="str" cm="1">
        <f>IF(ISBLANK($A391),"",INDEX(Array_ElectricalCharges,MATCH($A391,List_ElectricityMeters,0),ROUNDUP(COLUMN()/3,0)-2))</f>
        <v/>
      </c>
      <c r="W391" s="127"/>
      <c r="X391" s="137"/>
      <c r="Y391" s="58" t="str" cm="1">
        <f>IF(ISBLANK($A391),"",INDEX(Array_ElectricalCharges,MATCH($A391,List_ElectricityMeters,0),ROUNDUP(COLUMN()/3,0)-2))</f>
        <v/>
      </c>
      <c r="Z391" s="127"/>
      <c r="AA391" s="137"/>
      <c r="AB391" s="58" t="str" cm="1">
        <f>IF(ISBLANK($A391),"",INDEX(Array_ElectricalCharges,MATCH($A391,List_ElectricityMeters,0),ROUNDUP(COLUMN()/3,0)-2))</f>
        <v/>
      </c>
      <c r="AC391" s="127"/>
      <c r="AD391" s="137"/>
      <c r="AE391" s="58" t="str" cm="1">
        <f>IF(ISBLANK($A391),"",INDEX(Array_ElectricalCharges,MATCH($A391,List_ElectricityMeters,0),ROUNDUP(COLUMN()/3,0)-2))</f>
        <v/>
      </c>
      <c r="AF391" s="127"/>
      <c r="AG391" s="137"/>
      <c r="AH391" s="58" t="str" cm="1">
        <f>IF(ISBLANK($A391),"",INDEX(Array_ElectricalCharges,MATCH($A391,List_ElectricityMeters,0),ROUNDUP(COLUMN()/3,0)-2))</f>
        <v/>
      </c>
      <c r="AI391" s="127"/>
      <c r="AJ391" s="137"/>
      <c r="AK391" s="58" t="str" cm="1">
        <f>IF(ISBLANK($A391),"",INDEX(Array_ElectricalCharges,MATCH($A391,List_ElectricityMeters,0),ROUNDUP(COLUMN()/3,0)-2))</f>
        <v/>
      </c>
      <c r="AL391" s="127"/>
      <c r="AM391" s="137"/>
      <c r="AN391" s="58" t="str" cm="1">
        <f>IF(ISBLANK($A391),"",INDEX(Array_ElectricalCharges,MATCH($A391,List_ElectricityMeters,0),ROUNDUP(COLUMN()/3,0)-2))</f>
        <v/>
      </c>
      <c r="AO391" s="127"/>
      <c r="AP391" s="137"/>
      <c r="AQ391" s="58" t="str" cm="1">
        <f>IF(ISBLANK($A391),"",INDEX(Array_ElectricalCharges,MATCH($A391,List_ElectricityMeters,0),ROUNDUP(COLUMN()/3,0)-2))</f>
        <v/>
      </c>
      <c r="AR391" s="127"/>
      <c r="AS391" s="137"/>
      <c r="AT391" s="58" t="str" cm="1">
        <f>IF(ISBLANK($A391),"",INDEX(Array_ElectricalCharges,MATCH($A391,List_ElectricityMeters,0),ROUNDUP(COLUMN()/3,0)-2))</f>
        <v/>
      </c>
      <c r="AU391" s="127"/>
      <c r="AV391" s="137"/>
      <c r="AW391" s="58" t="str" cm="1">
        <f>IF(ISBLANK($A391),"",INDEX(Array_ElectricalCharges,MATCH($A391,List_ElectricityMeters,0),ROUNDUP(COLUMN()/3,0)-2))</f>
        <v/>
      </c>
      <c r="AX391" s="127"/>
      <c r="AY391" s="137"/>
    </row>
    <row r="392" spans="1:51" x14ac:dyDescent="0.3">
      <c r="A392" s="126"/>
      <c r="B392" s="133"/>
      <c r="C392" s="134"/>
      <c r="D392" s="134"/>
      <c r="E392" s="135"/>
      <c r="F392" s="136"/>
      <c r="G392" s="58" t="str" cm="1">
        <f>IF(ISBLANK($A392),"",INDEX(Array_ElectricalCharges,MATCH($A392,List_ElectricityMeters,0),ROUNDUP(COLUMN()/3,0)-2))</f>
        <v/>
      </c>
      <c r="H392" s="127"/>
      <c r="I392" s="137"/>
      <c r="J392" s="58" t="str" cm="1">
        <f>IF(ISBLANK($A392),"",INDEX(Array_ElectricalCharges,MATCH($A392,List_ElectricityMeters,0),ROUNDUP(COLUMN()/3,0)-2))</f>
        <v/>
      </c>
      <c r="K392" s="127"/>
      <c r="L392" s="137"/>
      <c r="M392" s="58" t="str" cm="1">
        <f>IF(ISBLANK($A392),"",INDEX(Array_ElectricalCharges,MATCH($A392,List_ElectricityMeters,0),ROUNDUP(COLUMN()/3,0)-2))</f>
        <v/>
      </c>
      <c r="N392" s="127"/>
      <c r="O392" s="137"/>
      <c r="P392" s="58" t="str" cm="1">
        <f>IF(ISBLANK($A392),"",INDEX(Array_ElectricalCharges,MATCH($A392,List_ElectricityMeters,0),ROUNDUP(COLUMN()/3,0)-2))</f>
        <v/>
      </c>
      <c r="Q392" s="127"/>
      <c r="R392" s="137"/>
      <c r="S392" s="58" t="str" cm="1">
        <f>IF(ISBLANK($A392),"",INDEX(Array_ElectricalCharges,MATCH($A392,List_ElectricityMeters,0),ROUNDUP(COLUMN()/3,0)-2))</f>
        <v/>
      </c>
      <c r="T392" s="127"/>
      <c r="U392" s="137"/>
      <c r="V392" s="58" t="str" cm="1">
        <f>IF(ISBLANK($A392),"",INDEX(Array_ElectricalCharges,MATCH($A392,List_ElectricityMeters,0),ROUNDUP(COLUMN()/3,0)-2))</f>
        <v/>
      </c>
      <c r="W392" s="127"/>
      <c r="X392" s="137"/>
      <c r="Y392" s="58" t="str" cm="1">
        <f>IF(ISBLANK($A392),"",INDEX(Array_ElectricalCharges,MATCH($A392,List_ElectricityMeters,0),ROUNDUP(COLUMN()/3,0)-2))</f>
        <v/>
      </c>
      <c r="Z392" s="127"/>
      <c r="AA392" s="137"/>
      <c r="AB392" s="58" t="str" cm="1">
        <f>IF(ISBLANK($A392),"",INDEX(Array_ElectricalCharges,MATCH($A392,List_ElectricityMeters,0),ROUNDUP(COLUMN()/3,0)-2))</f>
        <v/>
      </c>
      <c r="AC392" s="127"/>
      <c r="AD392" s="137"/>
      <c r="AE392" s="58" t="str" cm="1">
        <f>IF(ISBLANK($A392),"",INDEX(Array_ElectricalCharges,MATCH($A392,List_ElectricityMeters,0),ROUNDUP(COLUMN()/3,0)-2))</f>
        <v/>
      </c>
      <c r="AF392" s="127"/>
      <c r="AG392" s="137"/>
      <c r="AH392" s="58" t="str" cm="1">
        <f>IF(ISBLANK($A392),"",INDEX(Array_ElectricalCharges,MATCH($A392,List_ElectricityMeters,0),ROUNDUP(COLUMN()/3,0)-2))</f>
        <v/>
      </c>
      <c r="AI392" s="127"/>
      <c r="AJ392" s="137"/>
      <c r="AK392" s="58" t="str" cm="1">
        <f>IF(ISBLANK($A392),"",INDEX(Array_ElectricalCharges,MATCH($A392,List_ElectricityMeters,0),ROUNDUP(COLUMN()/3,0)-2))</f>
        <v/>
      </c>
      <c r="AL392" s="127"/>
      <c r="AM392" s="137"/>
      <c r="AN392" s="58" t="str" cm="1">
        <f>IF(ISBLANK($A392),"",INDEX(Array_ElectricalCharges,MATCH($A392,List_ElectricityMeters,0),ROUNDUP(COLUMN()/3,0)-2))</f>
        <v/>
      </c>
      <c r="AO392" s="127"/>
      <c r="AP392" s="137"/>
      <c r="AQ392" s="58" t="str" cm="1">
        <f>IF(ISBLANK($A392),"",INDEX(Array_ElectricalCharges,MATCH($A392,List_ElectricityMeters,0),ROUNDUP(COLUMN()/3,0)-2))</f>
        <v/>
      </c>
      <c r="AR392" s="127"/>
      <c r="AS392" s="137"/>
      <c r="AT392" s="58" t="str" cm="1">
        <f>IF(ISBLANK($A392),"",INDEX(Array_ElectricalCharges,MATCH($A392,List_ElectricityMeters,0),ROUNDUP(COLUMN()/3,0)-2))</f>
        <v/>
      </c>
      <c r="AU392" s="127"/>
      <c r="AV392" s="137"/>
      <c r="AW392" s="58" t="str" cm="1">
        <f>IF(ISBLANK($A392),"",INDEX(Array_ElectricalCharges,MATCH($A392,List_ElectricityMeters,0),ROUNDUP(COLUMN()/3,0)-2))</f>
        <v/>
      </c>
      <c r="AX392" s="127"/>
      <c r="AY392" s="137"/>
    </row>
    <row r="393" spans="1:51" x14ac:dyDescent="0.3">
      <c r="A393" s="126"/>
      <c r="B393" s="133"/>
      <c r="C393" s="134"/>
      <c r="D393" s="134"/>
      <c r="E393" s="135"/>
      <c r="F393" s="136"/>
      <c r="G393" s="58" t="str" cm="1">
        <f>IF(ISBLANK($A393),"",INDEX(Array_ElectricalCharges,MATCH($A393,List_ElectricityMeters,0),ROUNDUP(COLUMN()/3,0)-2))</f>
        <v/>
      </c>
      <c r="H393" s="127"/>
      <c r="I393" s="137"/>
      <c r="J393" s="58" t="str" cm="1">
        <f>IF(ISBLANK($A393),"",INDEX(Array_ElectricalCharges,MATCH($A393,List_ElectricityMeters,0),ROUNDUP(COLUMN()/3,0)-2))</f>
        <v/>
      </c>
      <c r="K393" s="127"/>
      <c r="L393" s="137"/>
      <c r="M393" s="58" t="str" cm="1">
        <f>IF(ISBLANK($A393),"",INDEX(Array_ElectricalCharges,MATCH($A393,List_ElectricityMeters,0),ROUNDUP(COLUMN()/3,0)-2))</f>
        <v/>
      </c>
      <c r="N393" s="127"/>
      <c r="O393" s="137"/>
      <c r="P393" s="58" t="str" cm="1">
        <f>IF(ISBLANK($A393),"",INDEX(Array_ElectricalCharges,MATCH($A393,List_ElectricityMeters,0),ROUNDUP(COLUMN()/3,0)-2))</f>
        <v/>
      </c>
      <c r="Q393" s="127"/>
      <c r="R393" s="137"/>
      <c r="S393" s="58" t="str" cm="1">
        <f>IF(ISBLANK($A393),"",INDEX(Array_ElectricalCharges,MATCH($A393,List_ElectricityMeters,0),ROUNDUP(COLUMN()/3,0)-2))</f>
        <v/>
      </c>
      <c r="T393" s="127"/>
      <c r="U393" s="137"/>
      <c r="V393" s="58" t="str" cm="1">
        <f>IF(ISBLANK($A393),"",INDEX(Array_ElectricalCharges,MATCH($A393,List_ElectricityMeters,0),ROUNDUP(COLUMN()/3,0)-2))</f>
        <v/>
      </c>
      <c r="W393" s="127"/>
      <c r="X393" s="137"/>
      <c r="Y393" s="58" t="str" cm="1">
        <f>IF(ISBLANK($A393),"",INDEX(Array_ElectricalCharges,MATCH($A393,List_ElectricityMeters,0),ROUNDUP(COLUMN()/3,0)-2))</f>
        <v/>
      </c>
      <c r="Z393" s="127"/>
      <c r="AA393" s="137"/>
      <c r="AB393" s="58" t="str" cm="1">
        <f>IF(ISBLANK($A393),"",INDEX(Array_ElectricalCharges,MATCH($A393,List_ElectricityMeters,0),ROUNDUP(COLUMN()/3,0)-2))</f>
        <v/>
      </c>
      <c r="AC393" s="127"/>
      <c r="AD393" s="137"/>
      <c r="AE393" s="58" t="str" cm="1">
        <f>IF(ISBLANK($A393),"",INDEX(Array_ElectricalCharges,MATCH($A393,List_ElectricityMeters,0),ROUNDUP(COLUMN()/3,0)-2))</f>
        <v/>
      </c>
      <c r="AF393" s="127"/>
      <c r="AG393" s="137"/>
      <c r="AH393" s="58" t="str" cm="1">
        <f>IF(ISBLANK($A393),"",INDEX(Array_ElectricalCharges,MATCH($A393,List_ElectricityMeters,0),ROUNDUP(COLUMN()/3,0)-2))</f>
        <v/>
      </c>
      <c r="AI393" s="127"/>
      <c r="AJ393" s="137"/>
      <c r="AK393" s="58" t="str" cm="1">
        <f>IF(ISBLANK($A393),"",INDEX(Array_ElectricalCharges,MATCH($A393,List_ElectricityMeters,0),ROUNDUP(COLUMN()/3,0)-2))</f>
        <v/>
      </c>
      <c r="AL393" s="127"/>
      <c r="AM393" s="137"/>
      <c r="AN393" s="58" t="str" cm="1">
        <f>IF(ISBLANK($A393),"",INDEX(Array_ElectricalCharges,MATCH($A393,List_ElectricityMeters,0),ROUNDUP(COLUMN()/3,0)-2))</f>
        <v/>
      </c>
      <c r="AO393" s="127"/>
      <c r="AP393" s="137"/>
      <c r="AQ393" s="58" t="str" cm="1">
        <f>IF(ISBLANK($A393),"",INDEX(Array_ElectricalCharges,MATCH($A393,List_ElectricityMeters,0),ROUNDUP(COLUMN()/3,0)-2))</f>
        <v/>
      </c>
      <c r="AR393" s="127"/>
      <c r="AS393" s="137"/>
      <c r="AT393" s="58" t="str" cm="1">
        <f>IF(ISBLANK($A393),"",INDEX(Array_ElectricalCharges,MATCH($A393,List_ElectricityMeters,0),ROUNDUP(COLUMN()/3,0)-2))</f>
        <v/>
      </c>
      <c r="AU393" s="127"/>
      <c r="AV393" s="137"/>
      <c r="AW393" s="58" t="str" cm="1">
        <f>IF(ISBLANK($A393),"",INDEX(Array_ElectricalCharges,MATCH($A393,List_ElectricityMeters,0),ROUNDUP(COLUMN()/3,0)-2))</f>
        <v/>
      </c>
      <c r="AX393" s="127"/>
      <c r="AY393" s="137"/>
    </row>
    <row r="394" spans="1:51" x14ac:dyDescent="0.3">
      <c r="A394" s="126"/>
      <c r="B394" s="133"/>
      <c r="C394" s="134"/>
      <c r="D394" s="134"/>
      <c r="E394" s="135"/>
      <c r="F394" s="136"/>
      <c r="G394" s="58" t="str" cm="1">
        <f>IF(ISBLANK($A394),"",INDEX(Array_ElectricalCharges,MATCH($A394,List_ElectricityMeters,0),ROUNDUP(COLUMN()/3,0)-2))</f>
        <v/>
      </c>
      <c r="H394" s="127"/>
      <c r="I394" s="137"/>
      <c r="J394" s="58" t="str" cm="1">
        <f>IF(ISBLANK($A394),"",INDEX(Array_ElectricalCharges,MATCH($A394,List_ElectricityMeters,0),ROUNDUP(COLUMN()/3,0)-2))</f>
        <v/>
      </c>
      <c r="K394" s="127"/>
      <c r="L394" s="137"/>
      <c r="M394" s="58" t="str" cm="1">
        <f>IF(ISBLANK($A394),"",INDEX(Array_ElectricalCharges,MATCH($A394,List_ElectricityMeters,0),ROUNDUP(COLUMN()/3,0)-2))</f>
        <v/>
      </c>
      <c r="N394" s="127"/>
      <c r="O394" s="137"/>
      <c r="P394" s="58" t="str" cm="1">
        <f>IF(ISBLANK($A394),"",INDEX(Array_ElectricalCharges,MATCH($A394,List_ElectricityMeters,0),ROUNDUP(COLUMN()/3,0)-2))</f>
        <v/>
      </c>
      <c r="Q394" s="127"/>
      <c r="R394" s="137"/>
      <c r="S394" s="58" t="str" cm="1">
        <f>IF(ISBLANK($A394),"",INDEX(Array_ElectricalCharges,MATCH($A394,List_ElectricityMeters,0),ROUNDUP(COLUMN()/3,0)-2))</f>
        <v/>
      </c>
      <c r="T394" s="127"/>
      <c r="U394" s="137"/>
      <c r="V394" s="58" t="str" cm="1">
        <f>IF(ISBLANK($A394),"",INDEX(Array_ElectricalCharges,MATCH($A394,List_ElectricityMeters,0),ROUNDUP(COLUMN()/3,0)-2))</f>
        <v/>
      </c>
      <c r="W394" s="127"/>
      <c r="X394" s="137"/>
      <c r="Y394" s="58" t="str" cm="1">
        <f>IF(ISBLANK($A394),"",INDEX(Array_ElectricalCharges,MATCH($A394,List_ElectricityMeters,0),ROUNDUP(COLUMN()/3,0)-2))</f>
        <v/>
      </c>
      <c r="Z394" s="127"/>
      <c r="AA394" s="137"/>
      <c r="AB394" s="58" t="str" cm="1">
        <f>IF(ISBLANK($A394),"",INDEX(Array_ElectricalCharges,MATCH($A394,List_ElectricityMeters,0),ROUNDUP(COLUMN()/3,0)-2))</f>
        <v/>
      </c>
      <c r="AC394" s="127"/>
      <c r="AD394" s="137"/>
      <c r="AE394" s="58" t="str" cm="1">
        <f>IF(ISBLANK($A394),"",INDEX(Array_ElectricalCharges,MATCH($A394,List_ElectricityMeters,0),ROUNDUP(COLUMN()/3,0)-2))</f>
        <v/>
      </c>
      <c r="AF394" s="127"/>
      <c r="AG394" s="137"/>
      <c r="AH394" s="58" t="str" cm="1">
        <f>IF(ISBLANK($A394),"",INDEX(Array_ElectricalCharges,MATCH($A394,List_ElectricityMeters,0),ROUNDUP(COLUMN()/3,0)-2))</f>
        <v/>
      </c>
      <c r="AI394" s="127"/>
      <c r="AJ394" s="137"/>
      <c r="AK394" s="58" t="str" cm="1">
        <f>IF(ISBLANK($A394),"",INDEX(Array_ElectricalCharges,MATCH($A394,List_ElectricityMeters,0),ROUNDUP(COLUMN()/3,0)-2))</f>
        <v/>
      </c>
      <c r="AL394" s="127"/>
      <c r="AM394" s="137"/>
      <c r="AN394" s="58" t="str" cm="1">
        <f>IF(ISBLANK($A394),"",INDEX(Array_ElectricalCharges,MATCH($A394,List_ElectricityMeters,0),ROUNDUP(COLUMN()/3,0)-2))</f>
        <v/>
      </c>
      <c r="AO394" s="127"/>
      <c r="AP394" s="137"/>
      <c r="AQ394" s="58" t="str" cm="1">
        <f>IF(ISBLANK($A394),"",INDEX(Array_ElectricalCharges,MATCH($A394,List_ElectricityMeters,0),ROUNDUP(COLUMN()/3,0)-2))</f>
        <v/>
      </c>
      <c r="AR394" s="127"/>
      <c r="AS394" s="137"/>
      <c r="AT394" s="58" t="str" cm="1">
        <f>IF(ISBLANK($A394),"",INDEX(Array_ElectricalCharges,MATCH($A394,List_ElectricityMeters,0),ROUNDUP(COLUMN()/3,0)-2))</f>
        <v/>
      </c>
      <c r="AU394" s="127"/>
      <c r="AV394" s="137"/>
      <c r="AW394" s="58" t="str" cm="1">
        <f>IF(ISBLANK($A394),"",INDEX(Array_ElectricalCharges,MATCH($A394,List_ElectricityMeters,0),ROUNDUP(COLUMN()/3,0)-2))</f>
        <v/>
      </c>
      <c r="AX394" s="127"/>
      <c r="AY394" s="137"/>
    </row>
    <row r="395" spans="1:51" x14ac:dyDescent="0.3">
      <c r="A395" s="126"/>
      <c r="B395" s="133"/>
      <c r="C395" s="134"/>
      <c r="D395" s="134"/>
      <c r="E395" s="135"/>
      <c r="F395" s="136"/>
      <c r="G395" s="58" t="str" cm="1">
        <f>IF(ISBLANK($A395),"",INDEX(Array_ElectricalCharges,MATCH($A395,List_ElectricityMeters,0),ROUNDUP(COLUMN()/3,0)-2))</f>
        <v/>
      </c>
      <c r="H395" s="127"/>
      <c r="I395" s="137"/>
      <c r="J395" s="58" t="str" cm="1">
        <f>IF(ISBLANK($A395),"",INDEX(Array_ElectricalCharges,MATCH($A395,List_ElectricityMeters,0),ROUNDUP(COLUMN()/3,0)-2))</f>
        <v/>
      </c>
      <c r="K395" s="127"/>
      <c r="L395" s="137"/>
      <c r="M395" s="58" t="str" cm="1">
        <f>IF(ISBLANK($A395),"",INDEX(Array_ElectricalCharges,MATCH($A395,List_ElectricityMeters,0),ROUNDUP(COLUMN()/3,0)-2))</f>
        <v/>
      </c>
      <c r="N395" s="127"/>
      <c r="O395" s="137"/>
      <c r="P395" s="58" t="str" cm="1">
        <f>IF(ISBLANK($A395),"",INDEX(Array_ElectricalCharges,MATCH($A395,List_ElectricityMeters,0),ROUNDUP(COLUMN()/3,0)-2))</f>
        <v/>
      </c>
      <c r="Q395" s="127"/>
      <c r="R395" s="137"/>
      <c r="S395" s="58" t="str" cm="1">
        <f>IF(ISBLANK($A395),"",INDEX(Array_ElectricalCharges,MATCH($A395,List_ElectricityMeters,0),ROUNDUP(COLUMN()/3,0)-2))</f>
        <v/>
      </c>
      <c r="T395" s="127"/>
      <c r="U395" s="137"/>
      <c r="V395" s="58" t="str" cm="1">
        <f>IF(ISBLANK($A395),"",INDEX(Array_ElectricalCharges,MATCH($A395,List_ElectricityMeters,0),ROUNDUP(COLUMN()/3,0)-2))</f>
        <v/>
      </c>
      <c r="W395" s="127"/>
      <c r="X395" s="137"/>
      <c r="Y395" s="58" t="str" cm="1">
        <f>IF(ISBLANK($A395),"",INDEX(Array_ElectricalCharges,MATCH($A395,List_ElectricityMeters,0),ROUNDUP(COLUMN()/3,0)-2))</f>
        <v/>
      </c>
      <c r="Z395" s="127"/>
      <c r="AA395" s="137"/>
      <c r="AB395" s="58" t="str" cm="1">
        <f>IF(ISBLANK($A395),"",INDEX(Array_ElectricalCharges,MATCH($A395,List_ElectricityMeters,0),ROUNDUP(COLUMN()/3,0)-2))</f>
        <v/>
      </c>
      <c r="AC395" s="127"/>
      <c r="AD395" s="137"/>
      <c r="AE395" s="58" t="str" cm="1">
        <f>IF(ISBLANK($A395),"",INDEX(Array_ElectricalCharges,MATCH($A395,List_ElectricityMeters,0),ROUNDUP(COLUMN()/3,0)-2))</f>
        <v/>
      </c>
      <c r="AF395" s="127"/>
      <c r="AG395" s="137"/>
      <c r="AH395" s="58" t="str" cm="1">
        <f>IF(ISBLANK($A395),"",INDEX(Array_ElectricalCharges,MATCH($A395,List_ElectricityMeters,0),ROUNDUP(COLUMN()/3,0)-2))</f>
        <v/>
      </c>
      <c r="AI395" s="127"/>
      <c r="AJ395" s="137"/>
      <c r="AK395" s="58" t="str" cm="1">
        <f>IF(ISBLANK($A395),"",INDEX(Array_ElectricalCharges,MATCH($A395,List_ElectricityMeters,0),ROUNDUP(COLUMN()/3,0)-2))</f>
        <v/>
      </c>
      <c r="AL395" s="127"/>
      <c r="AM395" s="137"/>
      <c r="AN395" s="58" t="str" cm="1">
        <f>IF(ISBLANK($A395),"",INDEX(Array_ElectricalCharges,MATCH($A395,List_ElectricityMeters,0),ROUNDUP(COLUMN()/3,0)-2))</f>
        <v/>
      </c>
      <c r="AO395" s="127"/>
      <c r="AP395" s="137"/>
      <c r="AQ395" s="58" t="str" cm="1">
        <f>IF(ISBLANK($A395),"",INDEX(Array_ElectricalCharges,MATCH($A395,List_ElectricityMeters,0),ROUNDUP(COLUMN()/3,0)-2))</f>
        <v/>
      </c>
      <c r="AR395" s="127"/>
      <c r="AS395" s="137"/>
      <c r="AT395" s="58" t="str" cm="1">
        <f>IF(ISBLANK($A395),"",INDEX(Array_ElectricalCharges,MATCH($A395,List_ElectricityMeters,0),ROUNDUP(COLUMN()/3,0)-2))</f>
        <v/>
      </c>
      <c r="AU395" s="127"/>
      <c r="AV395" s="137"/>
      <c r="AW395" s="58" t="str" cm="1">
        <f>IF(ISBLANK($A395),"",INDEX(Array_ElectricalCharges,MATCH($A395,List_ElectricityMeters,0),ROUNDUP(COLUMN()/3,0)-2))</f>
        <v/>
      </c>
      <c r="AX395" s="127"/>
      <c r="AY395" s="137"/>
    </row>
    <row r="396" spans="1:51" x14ac:dyDescent="0.3">
      <c r="A396" s="126"/>
      <c r="B396" s="133"/>
      <c r="C396" s="134"/>
      <c r="D396" s="134"/>
      <c r="E396" s="135"/>
      <c r="F396" s="136"/>
      <c r="G396" s="58" t="str" cm="1">
        <f>IF(ISBLANK($A396),"",INDEX(Array_ElectricalCharges,MATCH($A396,List_ElectricityMeters,0),ROUNDUP(COLUMN()/3,0)-2))</f>
        <v/>
      </c>
      <c r="H396" s="127"/>
      <c r="I396" s="137"/>
      <c r="J396" s="58" t="str" cm="1">
        <f>IF(ISBLANK($A396),"",INDEX(Array_ElectricalCharges,MATCH($A396,List_ElectricityMeters,0),ROUNDUP(COLUMN()/3,0)-2))</f>
        <v/>
      </c>
      <c r="K396" s="127"/>
      <c r="L396" s="137"/>
      <c r="M396" s="58" t="str" cm="1">
        <f>IF(ISBLANK($A396),"",INDEX(Array_ElectricalCharges,MATCH($A396,List_ElectricityMeters,0),ROUNDUP(COLUMN()/3,0)-2))</f>
        <v/>
      </c>
      <c r="N396" s="127"/>
      <c r="O396" s="137"/>
      <c r="P396" s="58" t="str" cm="1">
        <f>IF(ISBLANK($A396),"",INDEX(Array_ElectricalCharges,MATCH($A396,List_ElectricityMeters,0),ROUNDUP(COLUMN()/3,0)-2))</f>
        <v/>
      </c>
      <c r="Q396" s="127"/>
      <c r="R396" s="137"/>
      <c r="S396" s="58" t="str" cm="1">
        <f>IF(ISBLANK($A396),"",INDEX(Array_ElectricalCharges,MATCH($A396,List_ElectricityMeters,0),ROUNDUP(COLUMN()/3,0)-2))</f>
        <v/>
      </c>
      <c r="T396" s="127"/>
      <c r="U396" s="137"/>
      <c r="V396" s="58" t="str" cm="1">
        <f>IF(ISBLANK($A396),"",INDEX(Array_ElectricalCharges,MATCH($A396,List_ElectricityMeters,0),ROUNDUP(COLUMN()/3,0)-2))</f>
        <v/>
      </c>
      <c r="W396" s="127"/>
      <c r="X396" s="137"/>
      <c r="Y396" s="58" t="str" cm="1">
        <f>IF(ISBLANK($A396),"",INDEX(Array_ElectricalCharges,MATCH($A396,List_ElectricityMeters,0),ROUNDUP(COLUMN()/3,0)-2))</f>
        <v/>
      </c>
      <c r="Z396" s="127"/>
      <c r="AA396" s="137"/>
      <c r="AB396" s="58" t="str" cm="1">
        <f>IF(ISBLANK($A396),"",INDEX(Array_ElectricalCharges,MATCH($A396,List_ElectricityMeters,0),ROUNDUP(COLUMN()/3,0)-2))</f>
        <v/>
      </c>
      <c r="AC396" s="127"/>
      <c r="AD396" s="137"/>
      <c r="AE396" s="58" t="str" cm="1">
        <f>IF(ISBLANK($A396),"",INDEX(Array_ElectricalCharges,MATCH($A396,List_ElectricityMeters,0),ROUNDUP(COLUMN()/3,0)-2))</f>
        <v/>
      </c>
      <c r="AF396" s="127"/>
      <c r="AG396" s="137"/>
      <c r="AH396" s="58" t="str" cm="1">
        <f>IF(ISBLANK($A396),"",INDEX(Array_ElectricalCharges,MATCH($A396,List_ElectricityMeters,0),ROUNDUP(COLUMN()/3,0)-2))</f>
        <v/>
      </c>
      <c r="AI396" s="127"/>
      <c r="AJ396" s="137"/>
      <c r="AK396" s="58" t="str" cm="1">
        <f>IF(ISBLANK($A396),"",INDEX(Array_ElectricalCharges,MATCH($A396,List_ElectricityMeters,0),ROUNDUP(COLUMN()/3,0)-2))</f>
        <v/>
      </c>
      <c r="AL396" s="127"/>
      <c r="AM396" s="137"/>
      <c r="AN396" s="58" t="str" cm="1">
        <f>IF(ISBLANK($A396),"",INDEX(Array_ElectricalCharges,MATCH($A396,List_ElectricityMeters,0),ROUNDUP(COLUMN()/3,0)-2))</f>
        <v/>
      </c>
      <c r="AO396" s="127"/>
      <c r="AP396" s="137"/>
      <c r="AQ396" s="58" t="str" cm="1">
        <f>IF(ISBLANK($A396),"",INDEX(Array_ElectricalCharges,MATCH($A396,List_ElectricityMeters,0),ROUNDUP(COLUMN()/3,0)-2))</f>
        <v/>
      </c>
      <c r="AR396" s="127"/>
      <c r="AS396" s="137"/>
      <c r="AT396" s="58" t="str" cm="1">
        <f>IF(ISBLANK($A396),"",INDEX(Array_ElectricalCharges,MATCH($A396,List_ElectricityMeters,0),ROUNDUP(COLUMN()/3,0)-2))</f>
        <v/>
      </c>
      <c r="AU396" s="127"/>
      <c r="AV396" s="137"/>
      <c r="AW396" s="58" t="str" cm="1">
        <f>IF(ISBLANK($A396),"",INDEX(Array_ElectricalCharges,MATCH($A396,List_ElectricityMeters,0),ROUNDUP(COLUMN()/3,0)-2))</f>
        <v/>
      </c>
      <c r="AX396" s="127"/>
      <c r="AY396" s="137"/>
    </row>
    <row r="397" spans="1:51" x14ac:dyDescent="0.3">
      <c r="A397" s="126"/>
      <c r="B397" s="133"/>
      <c r="C397" s="134"/>
      <c r="D397" s="134"/>
      <c r="E397" s="135"/>
      <c r="F397" s="136"/>
      <c r="G397" s="58" t="str" cm="1">
        <f>IF(ISBLANK($A397),"",INDEX(Array_ElectricalCharges,MATCH($A397,List_ElectricityMeters,0),ROUNDUP(COLUMN()/3,0)-2))</f>
        <v/>
      </c>
      <c r="H397" s="127"/>
      <c r="I397" s="137"/>
      <c r="J397" s="58" t="str" cm="1">
        <f>IF(ISBLANK($A397),"",INDEX(Array_ElectricalCharges,MATCH($A397,List_ElectricityMeters,0),ROUNDUP(COLUMN()/3,0)-2))</f>
        <v/>
      </c>
      <c r="K397" s="127"/>
      <c r="L397" s="137"/>
      <c r="M397" s="58" t="str" cm="1">
        <f>IF(ISBLANK($A397),"",INDEX(Array_ElectricalCharges,MATCH($A397,List_ElectricityMeters,0),ROUNDUP(COLUMN()/3,0)-2))</f>
        <v/>
      </c>
      <c r="N397" s="127"/>
      <c r="O397" s="137"/>
      <c r="P397" s="58" t="str" cm="1">
        <f>IF(ISBLANK($A397),"",INDEX(Array_ElectricalCharges,MATCH($A397,List_ElectricityMeters,0),ROUNDUP(COLUMN()/3,0)-2))</f>
        <v/>
      </c>
      <c r="Q397" s="127"/>
      <c r="R397" s="137"/>
      <c r="S397" s="58" t="str" cm="1">
        <f>IF(ISBLANK($A397),"",INDEX(Array_ElectricalCharges,MATCH($A397,List_ElectricityMeters,0),ROUNDUP(COLUMN()/3,0)-2))</f>
        <v/>
      </c>
      <c r="T397" s="127"/>
      <c r="U397" s="137"/>
      <c r="V397" s="58" t="str" cm="1">
        <f>IF(ISBLANK($A397),"",INDEX(Array_ElectricalCharges,MATCH($A397,List_ElectricityMeters,0),ROUNDUP(COLUMN()/3,0)-2))</f>
        <v/>
      </c>
      <c r="W397" s="127"/>
      <c r="X397" s="137"/>
      <c r="Y397" s="58" t="str" cm="1">
        <f>IF(ISBLANK($A397),"",INDEX(Array_ElectricalCharges,MATCH($A397,List_ElectricityMeters,0),ROUNDUP(COLUMN()/3,0)-2))</f>
        <v/>
      </c>
      <c r="Z397" s="127"/>
      <c r="AA397" s="137"/>
      <c r="AB397" s="58" t="str" cm="1">
        <f>IF(ISBLANK($A397),"",INDEX(Array_ElectricalCharges,MATCH($A397,List_ElectricityMeters,0),ROUNDUP(COLUMN()/3,0)-2))</f>
        <v/>
      </c>
      <c r="AC397" s="127"/>
      <c r="AD397" s="137"/>
      <c r="AE397" s="58" t="str" cm="1">
        <f>IF(ISBLANK($A397),"",INDEX(Array_ElectricalCharges,MATCH($A397,List_ElectricityMeters,0),ROUNDUP(COLUMN()/3,0)-2))</f>
        <v/>
      </c>
      <c r="AF397" s="127"/>
      <c r="AG397" s="137"/>
      <c r="AH397" s="58" t="str" cm="1">
        <f>IF(ISBLANK($A397),"",INDEX(Array_ElectricalCharges,MATCH($A397,List_ElectricityMeters,0),ROUNDUP(COLUMN()/3,0)-2))</f>
        <v/>
      </c>
      <c r="AI397" s="127"/>
      <c r="AJ397" s="137"/>
      <c r="AK397" s="58" t="str" cm="1">
        <f>IF(ISBLANK($A397),"",INDEX(Array_ElectricalCharges,MATCH($A397,List_ElectricityMeters,0),ROUNDUP(COLUMN()/3,0)-2))</f>
        <v/>
      </c>
      <c r="AL397" s="127"/>
      <c r="AM397" s="137"/>
      <c r="AN397" s="58" t="str" cm="1">
        <f>IF(ISBLANK($A397),"",INDEX(Array_ElectricalCharges,MATCH($A397,List_ElectricityMeters,0),ROUNDUP(COLUMN()/3,0)-2))</f>
        <v/>
      </c>
      <c r="AO397" s="127"/>
      <c r="AP397" s="137"/>
      <c r="AQ397" s="58" t="str" cm="1">
        <f>IF(ISBLANK($A397),"",INDEX(Array_ElectricalCharges,MATCH($A397,List_ElectricityMeters,0),ROUNDUP(COLUMN()/3,0)-2))</f>
        <v/>
      </c>
      <c r="AR397" s="127"/>
      <c r="AS397" s="137"/>
      <c r="AT397" s="58" t="str" cm="1">
        <f>IF(ISBLANK($A397),"",INDEX(Array_ElectricalCharges,MATCH($A397,List_ElectricityMeters,0),ROUNDUP(COLUMN()/3,0)-2))</f>
        <v/>
      </c>
      <c r="AU397" s="127"/>
      <c r="AV397" s="137"/>
      <c r="AW397" s="58" t="str" cm="1">
        <f>IF(ISBLANK($A397),"",INDEX(Array_ElectricalCharges,MATCH($A397,List_ElectricityMeters,0),ROUNDUP(COLUMN()/3,0)-2))</f>
        <v/>
      </c>
      <c r="AX397" s="127"/>
      <c r="AY397" s="137"/>
    </row>
    <row r="398" spans="1:51" x14ac:dyDescent="0.3">
      <c r="A398" s="126"/>
      <c r="B398" s="133"/>
      <c r="C398" s="134"/>
      <c r="D398" s="134"/>
      <c r="E398" s="135"/>
      <c r="F398" s="136"/>
      <c r="G398" s="58" t="str" cm="1">
        <f>IF(ISBLANK($A398),"",INDEX(Array_ElectricalCharges,MATCH($A398,List_ElectricityMeters,0),ROUNDUP(COLUMN()/3,0)-2))</f>
        <v/>
      </c>
      <c r="H398" s="127"/>
      <c r="I398" s="137"/>
      <c r="J398" s="58" t="str" cm="1">
        <f>IF(ISBLANK($A398),"",INDEX(Array_ElectricalCharges,MATCH($A398,List_ElectricityMeters,0),ROUNDUP(COLUMN()/3,0)-2))</f>
        <v/>
      </c>
      <c r="K398" s="127"/>
      <c r="L398" s="137"/>
      <c r="M398" s="58" t="str" cm="1">
        <f>IF(ISBLANK($A398),"",INDEX(Array_ElectricalCharges,MATCH($A398,List_ElectricityMeters,0),ROUNDUP(COLUMN()/3,0)-2))</f>
        <v/>
      </c>
      <c r="N398" s="127"/>
      <c r="O398" s="137"/>
      <c r="P398" s="58" t="str" cm="1">
        <f>IF(ISBLANK($A398),"",INDEX(Array_ElectricalCharges,MATCH($A398,List_ElectricityMeters,0),ROUNDUP(COLUMN()/3,0)-2))</f>
        <v/>
      </c>
      <c r="Q398" s="127"/>
      <c r="R398" s="137"/>
      <c r="S398" s="58" t="str" cm="1">
        <f>IF(ISBLANK($A398),"",INDEX(Array_ElectricalCharges,MATCH($A398,List_ElectricityMeters,0),ROUNDUP(COLUMN()/3,0)-2))</f>
        <v/>
      </c>
      <c r="T398" s="127"/>
      <c r="U398" s="137"/>
      <c r="V398" s="58" t="str" cm="1">
        <f>IF(ISBLANK($A398),"",INDEX(Array_ElectricalCharges,MATCH($A398,List_ElectricityMeters,0),ROUNDUP(COLUMN()/3,0)-2))</f>
        <v/>
      </c>
      <c r="W398" s="127"/>
      <c r="X398" s="137"/>
      <c r="Y398" s="58" t="str" cm="1">
        <f>IF(ISBLANK($A398),"",INDEX(Array_ElectricalCharges,MATCH($A398,List_ElectricityMeters,0),ROUNDUP(COLUMN()/3,0)-2))</f>
        <v/>
      </c>
      <c r="Z398" s="127"/>
      <c r="AA398" s="137"/>
      <c r="AB398" s="58" t="str" cm="1">
        <f>IF(ISBLANK($A398),"",INDEX(Array_ElectricalCharges,MATCH($A398,List_ElectricityMeters,0),ROUNDUP(COLUMN()/3,0)-2))</f>
        <v/>
      </c>
      <c r="AC398" s="127"/>
      <c r="AD398" s="137"/>
      <c r="AE398" s="58" t="str" cm="1">
        <f>IF(ISBLANK($A398),"",INDEX(Array_ElectricalCharges,MATCH($A398,List_ElectricityMeters,0),ROUNDUP(COLUMN()/3,0)-2))</f>
        <v/>
      </c>
      <c r="AF398" s="127"/>
      <c r="AG398" s="137"/>
      <c r="AH398" s="58" t="str" cm="1">
        <f>IF(ISBLANK($A398),"",INDEX(Array_ElectricalCharges,MATCH($A398,List_ElectricityMeters,0),ROUNDUP(COLUMN()/3,0)-2))</f>
        <v/>
      </c>
      <c r="AI398" s="127"/>
      <c r="AJ398" s="137"/>
      <c r="AK398" s="58" t="str" cm="1">
        <f>IF(ISBLANK($A398),"",INDEX(Array_ElectricalCharges,MATCH($A398,List_ElectricityMeters,0),ROUNDUP(COLUMN()/3,0)-2))</f>
        <v/>
      </c>
      <c r="AL398" s="127"/>
      <c r="AM398" s="137"/>
      <c r="AN398" s="58" t="str" cm="1">
        <f>IF(ISBLANK($A398),"",INDEX(Array_ElectricalCharges,MATCH($A398,List_ElectricityMeters,0),ROUNDUP(COLUMN()/3,0)-2))</f>
        <v/>
      </c>
      <c r="AO398" s="127"/>
      <c r="AP398" s="137"/>
      <c r="AQ398" s="58" t="str" cm="1">
        <f>IF(ISBLANK($A398),"",INDEX(Array_ElectricalCharges,MATCH($A398,List_ElectricityMeters,0),ROUNDUP(COLUMN()/3,0)-2))</f>
        <v/>
      </c>
      <c r="AR398" s="127"/>
      <c r="AS398" s="137"/>
      <c r="AT398" s="58" t="str" cm="1">
        <f>IF(ISBLANK($A398),"",INDEX(Array_ElectricalCharges,MATCH($A398,List_ElectricityMeters,0),ROUNDUP(COLUMN()/3,0)-2))</f>
        <v/>
      </c>
      <c r="AU398" s="127"/>
      <c r="AV398" s="137"/>
      <c r="AW398" s="58" t="str" cm="1">
        <f>IF(ISBLANK($A398),"",INDEX(Array_ElectricalCharges,MATCH($A398,List_ElectricityMeters,0),ROUNDUP(COLUMN()/3,0)-2))</f>
        <v/>
      </c>
      <c r="AX398" s="127"/>
      <c r="AY398" s="137"/>
    </row>
    <row r="399" spans="1:51" x14ac:dyDescent="0.3">
      <c r="A399" s="126"/>
      <c r="B399" s="133"/>
      <c r="C399" s="134"/>
      <c r="D399" s="134"/>
      <c r="E399" s="135"/>
      <c r="F399" s="136"/>
      <c r="G399" s="58" t="str" cm="1">
        <f>IF(ISBLANK($A399),"",INDEX(Array_ElectricalCharges,MATCH($A399,List_ElectricityMeters,0),ROUNDUP(COLUMN()/3,0)-2))</f>
        <v/>
      </c>
      <c r="H399" s="127"/>
      <c r="I399" s="137"/>
      <c r="J399" s="58" t="str" cm="1">
        <f>IF(ISBLANK($A399),"",INDEX(Array_ElectricalCharges,MATCH($A399,List_ElectricityMeters,0),ROUNDUP(COLUMN()/3,0)-2))</f>
        <v/>
      </c>
      <c r="K399" s="127"/>
      <c r="L399" s="137"/>
      <c r="M399" s="58" t="str" cm="1">
        <f>IF(ISBLANK($A399),"",INDEX(Array_ElectricalCharges,MATCH($A399,List_ElectricityMeters,0),ROUNDUP(COLUMN()/3,0)-2))</f>
        <v/>
      </c>
      <c r="N399" s="127"/>
      <c r="O399" s="137"/>
      <c r="P399" s="58" t="str" cm="1">
        <f>IF(ISBLANK($A399),"",INDEX(Array_ElectricalCharges,MATCH($A399,List_ElectricityMeters,0),ROUNDUP(COLUMN()/3,0)-2))</f>
        <v/>
      </c>
      <c r="Q399" s="127"/>
      <c r="R399" s="137"/>
      <c r="S399" s="58" t="str" cm="1">
        <f>IF(ISBLANK($A399),"",INDEX(Array_ElectricalCharges,MATCH($A399,List_ElectricityMeters,0),ROUNDUP(COLUMN()/3,0)-2))</f>
        <v/>
      </c>
      <c r="T399" s="127"/>
      <c r="U399" s="137"/>
      <c r="V399" s="58" t="str" cm="1">
        <f>IF(ISBLANK($A399),"",INDEX(Array_ElectricalCharges,MATCH($A399,List_ElectricityMeters,0),ROUNDUP(COLUMN()/3,0)-2))</f>
        <v/>
      </c>
      <c r="W399" s="127"/>
      <c r="X399" s="137"/>
      <c r="Y399" s="58" t="str" cm="1">
        <f>IF(ISBLANK($A399),"",INDEX(Array_ElectricalCharges,MATCH($A399,List_ElectricityMeters,0),ROUNDUP(COLUMN()/3,0)-2))</f>
        <v/>
      </c>
      <c r="Z399" s="127"/>
      <c r="AA399" s="137"/>
      <c r="AB399" s="58" t="str" cm="1">
        <f>IF(ISBLANK($A399),"",INDEX(Array_ElectricalCharges,MATCH($A399,List_ElectricityMeters,0),ROUNDUP(COLUMN()/3,0)-2))</f>
        <v/>
      </c>
      <c r="AC399" s="127"/>
      <c r="AD399" s="137"/>
      <c r="AE399" s="58" t="str" cm="1">
        <f>IF(ISBLANK($A399),"",INDEX(Array_ElectricalCharges,MATCH($A399,List_ElectricityMeters,0),ROUNDUP(COLUMN()/3,0)-2))</f>
        <v/>
      </c>
      <c r="AF399" s="127"/>
      <c r="AG399" s="137"/>
      <c r="AH399" s="58" t="str" cm="1">
        <f>IF(ISBLANK($A399),"",INDEX(Array_ElectricalCharges,MATCH($A399,List_ElectricityMeters,0),ROUNDUP(COLUMN()/3,0)-2))</f>
        <v/>
      </c>
      <c r="AI399" s="127"/>
      <c r="AJ399" s="137"/>
      <c r="AK399" s="58" t="str" cm="1">
        <f>IF(ISBLANK($A399),"",INDEX(Array_ElectricalCharges,MATCH($A399,List_ElectricityMeters,0),ROUNDUP(COLUMN()/3,0)-2))</f>
        <v/>
      </c>
      <c r="AL399" s="127"/>
      <c r="AM399" s="137"/>
      <c r="AN399" s="58" t="str" cm="1">
        <f>IF(ISBLANK($A399),"",INDEX(Array_ElectricalCharges,MATCH($A399,List_ElectricityMeters,0),ROUNDUP(COLUMN()/3,0)-2))</f>
        <v/>
      </c>
      <c r="AO399" s="127"/>
      <c r="AP399" s="137"/>
      <c r="AQ399" s="58" t="str" cm="1">
        <f>IF(ISBLANK($A399),"",INDEX(Array_ElectricalCharges,MATCH($A399,List_ElectricityMeters,0),ROUNDUP(COLUMN()/3,0)-2))</f>
        <v/>
      </c>
      <c r="AR399" s="127"/>
      <c r="AS399" s="137"/>
      <c r="AT399" s="58" t="str" cm="1">
        <f>IF(ISBLANK($A399),"",INDEX(Array_ElectricalCharges,MATCH($A399,List_ElectricityMeters,0),ROUNDUP(COLUMN()/3,0)-2))</f>
        <v/>
      </c>
      <c r="AU399" s="127"/>
      <c r="AV399" s="137"/>
      <c r="AW399" s="58" t="str" cm="1">
        <f>IF(ISBLANK($A399),"",INDEX(Array_ElectricalCharges,MATCH($A399,List_ElectricityMeters,0),ROUNDUP(COLUMN()/3,0)-2))</f>
        <v/>
      </c>
      <c r="AX399" s="127"/>
      <c r="AY399" s="137"/>
    </row>
    <row r="400" spans="1:51" x14ac:dyDescent="0.3">
      <c r="A400" s="126"/>
      <c r="B400" s="133"/>
      <c r="C400" s="134"/>
      <c r="D400" s="134"/>
      <c r="E400" s="135"/>
      <c r="F400" s="136"/>
      <c r="G400" s="58" t="str" cm="1">
        <f>IF(ISBLANK($A400),"",INDEX(Array_ElectricalCharges,MATCH($A400,List_ElectricityMeters,0),ROUNDUP(COLUMN()/3,0)-2))</f>
        <v/>
      </c>
      <c r="H400" s="127"/>
      <c r="I400" s="137"/>
      <c r="J400" s="58" t="str" cm="1">
        <f>IF(ISBLANK($A400),"",INDEX(Array_ElectricalCharges,MATCH($A400,List_ElectricityMeters,0),ROUNDUP(COLUMN()/3,0)-2))</f>
        <v/>
      </c>
      <c r="K400" s="127"/>
      <c r="L400" s="137"/>
      <c r="M400" s="58" t="str" cm="1">
        <f>IF(ISBLANK($A400),"",INDEX(Array_ElectricalCharges,MATCH($A400,List_ElectricityMeters,0),ROUNDUP(COLUMN()/3,0)-2))</f>
        <v/>
      </c>
      <c r="N400" s="127"/>
      <c r="O400" s="137"/>
      <c r="P400" s="58" t="str" cm="1">
        <f>IF(ISBLANK($A400),"",INDEX(Array_ElectricalCharges,MATCH($A400,List_ElectricityMeters,0),ROUNDUP(COLUMN()/3,0)-2))</f>
        <v/>
      </c>
      <c r="Q400" s="127"/>
      <c r="R400" s="137"/>
      <c r="S400" s="58" t="str" cm="1">
        <f>IF(ISBLANK($A400),"",INDEX(Array_ElectricalCharges,MATCH($A400,List_ElectricityMeters,0),ROUNDUP(COLUMN()/3,0)-2))</f>
        <v/>
      </c>
      <c r="T400" s="127"/>
      <c r="U400" s="137"/>
      <c r="V400" s="58" t="str" cm="1">
        <f>IF(ISBLANK($A400),"",INDEX(Array_ElectricalCharges,MATCH($A400,List_ElectricityMeters,0),ROUNDUP(COLUMN()/3,0)-2))</f>
        <v/>
      </c>
      <c r="W400" s="127"/>
      <c r="X400" s="137"/>
      <c r="Y400" s="58" t="str" cm="1">
        <f>IF(ISBLANK($A400),"",INDEX(Array_ElectricalCharges,MATCH($A400,List_ElectricityMeters,0),ROUNDUP(COLUMN()/3,0)-2))</f>
        <v/>
      </c>
      <c r="Z400" s="127"/>
      <c r="AA400" s="137"/>
      <c r="AB400" s="58" t="str" cm="1">
        <f>IF(ISBLANK($A400),"",INDEX(Array_ElectricalCharges,MATCH($A400,List_ElectricityMeters,0),ROUNDUP(COLUMN()/3,0)-2))</f>
        <v/>
      </c>
      <c r="AC400" s="127"/>
      <c r="AD400" s="137"/>
      <c r="AE400" s="58" t="str" cm="1">
        <f>IF(ISBLANK($A400),"",INDEX(Array_ElectricalCharges,MATCH($A400,List_ElectricityMeters,0),ROUNDUP(COLUMN()/3,0)-2))</f>
        <v/>
      </c>
      <c r="AF400" s="127"/>
      <c r="AG400" s="137"/>
      <c r="AH400" s="58" t="str" cm="1">
        <f>IF(ISBLANK($A400),"",INDEX(Array_ElectricalCharges,MATCH($A400,List_ElectricityMeters,0),ROUNDUP(COLUMN()/3,0)-2))</f>
        <v/>
      </c>
      <c r="AI400" s="127"/>
      <c r="AJ400" s="137"/>
      <c r="AK400" s="58" t="str" cm="1">
        <f>IF(ISBLANK($A400),"",INDEX(Array_ElectricalCharges,MATCH($A400,List_ElectricityMeters,0),ROUNDUP(COLUMN()/3,0)-2))</f>
        <v/>
      </c>
      <c r="AL400" s="127"/>
      <c r="AM400" s="137"/>
      <c r="AN400" s="58" t="str" cm="1">
        <f>IF(ISBLANK($A400),"",INDEX(Array_ElectricalCharges,MATCH($A400,List_ElectricityMeters,0),ROUNDUP(COLUMN()/3,0)-2))</f>
        <v/>
      </c>
      <c r="AO400" s="127"/>
      <c r="AP400" s="137"/>
      <c r="AQ400" s="58" t="str" cm="1">
        <f>IF(ISBLANK($A400),"",INDEX(Array_ElectricalCharges,MATCH($A400,List_ElectricityMeters,0),ROUNDUP(COLUMN()/3,0)-2))</f>
        <v/>
      </c>
      <c r="AR400" s="127"/>
      <c r="AS400" s="137"/>
      <c r="AT400" s="58" t="str" cm="1">
        <f>IF(ISBLANK($A400),"",INDEX(Array_ElectricalCharges,MATCH($A400,List_ElectricityMeters,0),ROUNDUP(COLUMN()/3,0)-2))</f>
        <v/>
      </c>
      <c r="AU400" s="127"/>
      <c r="AV400" s="137"/>
      <c r="AW400" s="58" t="str" cm="1">
        <f>IF(ISBLANK($A400),"",INDEX(Array_ElectricalCharges,MATCH($A400,List_ElectricityMeters,0),ROUNDUP(COLUMN()/3,0)-2))</f>
        <v/>
      </c>
      <c r="AX400" s="127"/>
      <c r="AY400" s="137"/>
    </row>
    <row r="401" spans="1:51" x14ac:dyDescent="0.3">
      <c r="A401" s="126"/>
      <c r="B401" s="133"/>
      <c r="C401" s="134"/>
      <c r="D401" s="134"/>
      <c r="E401" s="135"/>
      <c r="F401" s="136"/>
      <c r="G401" s="58" t="str" cm="1">
        <f>IF(ISBLANK($A401),"",INDEX(Array_ElectricalCharges,MATCH($A401,List_ElectricityMeters,0),ROUNDUP(COLUMN()/3,0)-2))</f>
        <v/>
      </c>
      <c r="H401" s="127"/>
      <c r="I401" s="137"/>
      <c r="J401" s="58" t="str" cm="1">
        <f>IF(ISBLANK($A401),"",INDEX(Array_ElectricalCharges,MATCH($A401,List_ElectricityMeters,0),ROUNDUP(COLUMN()/3,0)-2))</f>
        <v/>
      </c>
      <c r="K401" s="127"/>
      <c r="L401" s="137"/>
      <c r="M401" s="58" t="str" cm="1">
        <f>IF(ISBLANK($A401),"",INDEX(Array_ElectricalCharges,MATCH($A401,List_ElectricityMeters,0),ROUNDUP(COLUMN()/3,0)-2))</f>
        <v/>
      </c>
      <c r="N401" s="127"/>
      <c r="O401" s="137"/>
      <c r="P401" s="58" t="str" cm="1">
        <f>IF(ISBLANK($A401),"",INDEX(Array_ElectricalCharges,MATCH($A401,List_ElectricityMeters,0),ROUNDUP(COLUMN()/3,0)-2))</f>
        <v/>
      </c>
      <c r="Q401" s="127"/>
      <c r="R401" s="137"/>
      <c r="S401" s="58" t="str" cm="1">
        <f>IF(ISBLANK($A401),"",INDEX(Array_ElectricalCharges,MATCH($A401,List_ElectricityMeters,0),ROUNDUP(COLUMN()/3,0)-2))</f>
        <v/>
      </c>
      <c r="T401" s="127"/>
      <c r="U401" s="137"/>
      <c r="V401" s="58" t="str" cm="1">
        <f>IF(ISBLANK($A401),"",INDEX(Array_ElectricalCharges,MATCH($A401,List_ElectricityMeters,0),ROUNDUP(COLUMN()/3,0)-2))</f>
        <v/>
      </c>
      <c r="W401" s="127"/>
      <c r="X401" s="137"/>
      <c r="Y401" s="58" t="str" cm="1">
        <f>IF(ISBLANK($A401),"",INDEX(Array_ElectricalCharges,MATCH($A401,List_ElectricityMeters,0),ROUNDUP(COLUMN()/3,0)-2))</f>
        <v/>
      </c>
      <c r="Z401" s="127"/>
      <c r="AA401" s="137"/>
      <c r="AB401" s="58" t="str" cm="1">
        <f>IF(ISBLANK($A401),"",INDEX(Array_ElectricalCharges,MATCH($A401,List_ElectricityMeters,0),ROUNDUP(COLUMN()/3,0)-2))</f>
        <v/>
      </c>
      <c r="AC401" s="127"/>
      <c r="AD401" s="137"/>
      <c r="AE401" s="58" t="str" cm="1">
        <f>IF(ISBLANK($A401),"",INDEX(Array_ElectricalCharges,MATCH($A401,List_ElectricityMeters,0),ROUNDUP(COLUMN()/3,0)-2))</f>
        <v/>
      </c>
      <c r="AF401" s="127"/>
      <c r="AG401" s="137"/>
      <c r="AH401" s="58" t="str" cm="1">
        <f>IF(ISBLANK($A401),"",INDEX(Array_ElectricalCharges,MATCH($A401,List_ElectricityMeters,0),ROUNDUP(COLUMN()/3,0)-2))</f>
        <v/>
      </c>
      <c r="AI401" s="127"/>
      <c r="AJ401" s="137"/>
      <c r="AK401" s="58" t="str" cm="1">
        <f>IF(ISBLANK($A401),"",INDEX(Array_ElectricalCharges,MATCH($A401,List_ElectricityMeters,0),ROUNDUP(COLUMN()/3,0)-2))</f>
        <v/>
      </c>
      <c r="AL401" s="127"/>
      <c r="AM401" s="137"/>
      <c r="AN401" s="58" t="str" cm="1">
        <f>IF(ISBLANK($A401),"",INDEX(Array_ElectricalCharges,MATCH($A401,List_ElectricityMeters,0),ROUNDUP(COLUMN()/3,0)-2))</f>
        <v/>
      </c>
      <c r="AO401" s="127"/>
      <c r="AP401" s="137"/>
      <c r="AQ401" s="58" t="str" cm="1">
        <f>IF(ISBLANK($A401),"",INDEX(Array_ElectricalCharges,MATCH($A401,List_ElectricityMeters,0),ROUNDUP(COLUMN()/3,0)-2))</f>
        <v/>
      </c>
      <c r="AR401" s="127"/>
      <c r="AS401" s="137"/>
      <c r="AT401" s="58" t="str" cm="1">
        <f>IF(ISBLANK($A401),"",INDEX(Array_ElectricalCharges,MATCH($A401,List_ElectricityMeters,0),ROUNDUP(COLUMN()/3,0)-2))</f>
        <v/>
      </c>
      <c r="AU401" s="127"/>
      <c r="AV401" s="137"/>
      <c r="AW401" s="58" t="str" cm="1">
        <f>IF(ISBLANK($A401),"",INDEX(Array_ElectricalCharges,MATCH($A401,List_ElectricityMeters,0),ROUNDUP(COLUMN()/3,0)-2))</f>
        <v/>
      </c>
      <c r="AX401" s="127"/>
      <c r="AY401" s="137"/>
    </row>
    <row r="402" spans="1:51" x14ac:dyDescent="0.3">
      <c r="A402" s="126"/>
      <c r="B402" s="133"/>
      <c r="C402" s="134"/>
      <c r="D402" s="134"/>
      <c r="E402" s="135"/>
      <c r="F402" s="136"/>
      <c r="G402" s="58" t="str" cm="1">
        <f>IF(ISBLANK($A402),"",INDEX(Array_ElectricalCharges,MATCH($A402,List_ElectricityMeters,0),ROUNDUP(COLUMN()/3,0)-2))</f>
        <v/>
      </c>
      <c r="H402" s="127"/>
      <c r="I402" s="137"/>
      <c r="J402" s="58" t="str" cm="1">
        <f>IF(ISBLANK($A402),"",INDEX(Array_ElectricalCharges,MATCH($A402,List_ElectricityMeters,0),ROUNDUP(COLUMN()/3,0)-2))</f>
        <v/>
      </c>
      <c r="K402" s="127"/>
      <c r="L402" s="137"/>
      <c r="M402" s="58" t="str" cm="1">
        <f>IF(ISBLANK($A402),"",INDEX(Array_ElectricalCharges,MATCH($A402,List_ElectricityMeters,0),ROUNDUP(COLUMN()/3,0)-2))</f>
        <v/>
      </c>
      <c r="N402" s="127"/>
      <c r="O402" s="137"/>
      <c r="P402" s="58" t="str" cm="1">
        <f>IF(ISBLANK($A402),"",INDEX(Array_ElectricalCharges,MATCH($A402,List_ElectricityMeters,0),ROUNDUP(COLUMN()/3,0)-2))</f>
        <v/>
      </c>
      <c r="Q402" s="127"/>
      <c r="R402" s="137"/>
      <c r="S402" s="58" t="str" cm="1">
        <f>IF(ISBLANK($A402),"",INDEX(Array_ElectricalCharges,MATCH($A402,List_ElectricityMeters,0),ROUNDUP(COLUMN()/3,0)-2))</f>
        <v/>
      </c>
      <c r="T402" s="127"/>
      <c r="U402" s="137"/>
      <c r="V402" s="58" t="str" cm="1">
        <f>IF(ISBLANK($A402),"",INDEX(Array_ElectricalCharges,MATCH($A402,List_ElectricityMeters,0),ROUNDUP(COLUMN()/3,0)-2))</f>
        <v/>
      </c>
      <c r="W402" s="127"/>
      <c r="X402" s="137"/>
      <c r="Y402" s="58" t="str" cm="1">
        <f>IF(ISBLANK($A402),"",INDEX(Array_ElectricalCharges,MATCH($A402,List_ElectricityMeters,0),ROUNDUP(COLUMN()/3,0)-2))</f>
        <v/>
      </c>
      <c r="Z402" s="127"/>
      <c r="AA402" s="137"/>
      <c r="AB402" s="58" t="str" cm="1">
        <f>IF(ISBLANK($A402),"",INDEX(Array_ElectricalCharges,MATCH($A402,List_ElectricityMeters,0),ROUNDUP(COLUMN()/3,0)-2))</f>
        <v/>
      </c>
      <c r="AC402" s="127"/>
      <c r="AD402" s="137"/>
      <c r="AE402" s="58" t="str" cm="1">
        <f>IF(ISBLANK($A402),"",INDEX(Array_ElectricalCharges,MATCH($A402,List_ElectricityMeters,0),ROUNDUP(COLUMN()/3,0)-2))</f>
        <v/>
      </c>
      <c r="AF402" s="127"/>
      <c r="AG402" s="137"/>
      <c r="AH402" s="58" t="str" cm="1">
        <f>IF(ISBLANK($A402),"",INDEX(Array_ElectricalCharges,MATCH($A402,List_ElectricityMeters,0),ROUNDUP(COLUMN()/3,0)-2))</f>
        <v/>
      </c>
      <c r="AI402" s="127"/>
      <c r="AJ402" s="137"/>
      <c r="AK402" s="58" t="str" cm="1">
        <f>IF(ISBLANK($A402),"",INDEX(Array_ElectricalCharges,MATCH($A402,List_ElectricityMeters,0),ROUNDUP(COLUMN()/3,0)-2))</f>
        <v/>
      </c>
      <c r="AL402" s="127"/>
      <c r="AM402" s="137"/>
      <c r="AN402" s="58" t="str" cm="1">
        <f>IF(ISBLANK($A402),"",INDEX(Array_ElectricalCharges,MATCH($A402,List_ElectricityMeters,0),ROUNDUP(COLUMN()/3,0)-2))</f>
        <v/>
      </c>
      <c r="AO402" s="127"/>
      <c r="AP402" s="137"/>
      <c r="AQ402" s="58" t="str" cm="1">
        <f>IF(ISBLANK($A402),"",INDEX(Array_ElectricalCharges,MATCH($A402,List_ElectricityMeters,0),ROUNDUP(COLUMN()/3,0)-2))</f>
        <v/>
      </c>
      <c r="AR402" s="127"/>
      <c r="AS402" s="137"/>
      <c r="AT402" s="58" t="str" cm="1">
        <f>IF(ISBLANK($A402),"",INDEX(Array_ElectricalCharges,MATCH($A402,List_ElectricityMeters,0),ROUNDUP(COLUMN()/3,0)-2))</f>
        <v/>
      </c>
      <c r="AU402" s="127"/>
      <c r="AV402" s="137"/>
      <c r="AW402" s="58" t="str" cm="1">
        <f>IF(ISBLANK($A402),"",INDEX(Array_ElectricalCharges,MATCH($A402,List_ElectricityMeters,0),ROUNDUP(COLUMN()/3,0)-2))</f>
        <v/>
      </c>
      <c r="AX402" s="127"/>
      <c r="AY402" s="137"/>
    </row>
    <row r="403" spans="1:51" x14ac:dyDescent="0.3">
      <c r="A403" s="126"/>
      <c r="B403" s="133"/>
      <c r="C403" s="134"/>
      <c r="D403" s="134"/>
      <c r="E403" s="135"/>
      <c r="F403" s="136"/>
      <c r="G403" s="58" t="str" cm="1">
        <f>IF(ISBLANK($A403),"",INDEX(Array_ElectricalCharges,MATCH($A403,List_ElectricityMeters,0),ROUNDUP(COLUMN()/3,0)-2))</f>
        <v/>
      </c>
      <c r="H403" s="127"/>
      <c r="I403" s="137"/>
      <c r="J403" s="58" t="str" cm="1">
        <f>IF(ISBLANK($A403),"",INDEX(Array_ElectricalCharges,MATCH($A403,List_ElectricityMeters,0),ROUNDUP(COLUMN()/3,0)-2))</f>
        <v/>
      </c>
      <c r="K403" s="127"/>
      <c r="L403" s="137"/>
      <c r="M403" s="58" t="str" cm="1">
        <f>IF(ISBLANK($A403),"",INDEX(Array_ElectricalCharges,MATCH($A403,List_ElectricityMeters,0),ROUNDUP(COLUMN()/3,0)-2))</f>
        <v/>
      </c>
      <c r="N403" s="127"/>
      <c r="O403" s="137"/>
      <c r="P403" s="58" t="str" cm="1">
        <f>IF(ISBLANK($A403),"",INDEX(Array_ElectricalCharges,MATCH($A403,List_ElectricityMeters,0),ROUNDUP(COLUMN()/3,0)-2))</f>
        <v/>
      </c>
      <c r="Q403" s="127"/>
      <c r="R403" s="137"/>
      <c r="S403" s="58" t="str" cm="1">
        <f>IF(ISBLANK($A403),"",INDEX(Array_ElectricalCharges,MATCH($A403,List_ElectricityMeters,0),ROUNDUP(COLUMN()/3,0)-2))</f>
        <v/>
      </c>
      <c r="T403" s="127"/>
      <c r="U403" s="137"/>
      <c r="V403" s="58" t="str" cm="1">
        <f>IF(ISBLANK($A403),"",INDEX(Array_ElectricalCharges,MATCH($A403,List_ElectricityMeters,0),ROUNDUP(COLUMN()/3,0)-2))</f>
        <v/>
      </c>
      <c r="W403" s="127"/>
      <c r="X403" s="137"/>
      <c r="Y403" s="58" t="str" cm="1">
        <f>IF(ISBLANK($A403),"",INDEX(Array_ElectricalCharges,MATCH($A403,List_ElectricityMeters,0),ROUNDUP(COLUMN()/3,0)-2))</f>
        <v/>
      </c>
      <c r="Z403" s="127"/>
      <c r="AA403" s="137"/>
      <c r="AB403" s="58" t="str" cm="1">
        <f>IF(ISBLANK($A403),"",INDEX(Array_ElectricalCharges,MATCH($A403,List_ElectricityMeters,0),ROUNDUP(COLUMN()/3,0)-2))</f>
        <v/>
      </c>
      <c r="AC403" s="127"/>
      <c r="AD403" s="137"/>
      <c r="AE403" s="58" t="str" cm="1">
        <f>IF(ISBLANK($A403),"",INDEX(Array_ElectricalCharges,MATCH($A403,List_ElectricityMeters,0),ROUNDUP(COLUMN()/3,0)-2))</f>
        <v/>
      </c>
      <c r="AF403" s="127"/>
      <c r="AG403" s="137"/>
      <c r="AH403" s="58" t="str" cm="1">
        <f>IF(ISBLANK($A403),"",INDEX(Array_ElectricalCharges,MATCH($A403,List_ElectricityMeters,0),ROUNDUP(COLUMN()/3,0)-2))</f>
        <v/>
      </c>
      <c r="AI403" s="127"/>
      <c r="AJ403" s="137"/>
      <c r="AK403" s="58" t="str" cm="1">
        <f>IF(ISBLANK($A403),"",INDEX(Array_ElectricalCharges,MATCH($A403,List_ElectricityMeters,0),ROUNDUP(COLUMN()/3,0)-2))</f>
        <v/>
      </c>
      <c r="AL403" s="127"/>
      <c r="AM403" s="137"/>
      <c r="AN403" s="58" t="str" cm="1">
        <f>IF(ISBLANK($A403),"",INDEX(Array_ElectricalCharges,MATCH($A403,List_ElectricityMeters,0),ROUNDUP(COLUMN()/3,0)-2))</f>
        <v/>
      </c>
      <c r="AO403" s="127"/>
      <c r="AP403" s="137"/>
      <c r="AQ403" s="58" t="str" cm="1">
        <f>IF(ISBLANK($A403),"",INDEX(Array_ElectricalCharges,MATCH($A403,List_ElectricityMeters,0),ROUNDUP(COLUMN()/3,0)-2))</f>
        <v/>
      </c>
      <c r="AR403" s="127"/>
      <c r="AS403" s="137"/>
      <c r="AT403" s="58" t="str" cm="1">
        <f>IF(ISBLANK($A403),"",INDEX(Array_ElectricalCharges,MATCH($A403,List_ElectricityMeters,0),ROUNDUP(COLUMN()/3,0)-2))</f>
        <v/>
      </c>
      <c r="AU403" s="127"/>
      <c r="AV403" s="137"/>
      <c r="AW403" s="58" t="str" cm="1">
        <f>IF(ISBLANK($A403),"",INDEX(Array_ElectricalCharges,MATCH($A403,List_ElectricityMeters,0),ROUNDUP(COLUMN()/3,0)-2))</f>
        <v/>
      </c>
      <c r="AX403" s="127"/>
      <c r="AY403" s="137"/>
    </row>
    <row r="404" spans="1:51" x14ac:dyDescent="0.3">
      <c r="A404" s="126"/>
      <c r="B404" s="133"/>
      <c r="C404" s="134"/>
      <c r="D404" s="134"/>
      <c r="E404" s="135"/>
      <c r="F404" s="136"/>
      <c r="G404" s="58" t="str" cm="1">
        <f>IF(ISBLANK($A404),"",INDEX(Array_ElectricalCharges,MATCH($A404,List_ElectricityMeters,0),ROUNDUP(COLUMN()/3,0)-2))</f>
        <v/>
      </c>
      <c r="H404" s="127"/>
      <c r="I404" s="137"/>
      <c r="J404" s="58" t="str" cm="1">
        <f>IF(ISBLANK($A404),"",INDEX(Array_ElectricalCharges,MATCH($A404,List_ElectricityMeters,0),ROUNDUP(COLUMN()/3,0)-2))</f>
        <v/>
      </c>
      <c r="K404" s="127"/>
      <c r="L404" s="137"/>
      <c r="M404" s="58" t="str" cm="1">
        <f>IF(ISBLANK($A404),"",INDEX(Array_ElectricalCharges,MATCH($A404,List_ElectricityMeters,0),ROUNDUP(COLUMN()/3,0)-2))</f>
        <v/>
      </c>
      <c r="N404" s="127"/>
      <c r="O404" s="137"/>
      <c r="P404" s="58" t="str" cm="1">
        <f>IF(ISBLANK($A404),"",INDEX(Array_ElectricalCharges,MATCH($A404,List_ElectricityMeters,0),ROUNDUP(COLUMN()/3,0)-2))</f>
        <v/>
      </c>
      <c r="Q404" s="127"/>
      <c r="R404" s="137"/>
      <c r="S404" s="58" t="str" cm="1">
        <f>IF(ISBLANK($A404),"",INDEX(Array_ElectricalCharges,MATCH($A404,List_ElectricityMeters,0),ROUNDUP(COLUMN()/3,0)-2))</f>
        <v/>
      </c>
      <c r="T404" s="127"/>
      <c r="U404" s="137"/>
      <c r="V404" s="58" t="str" cm="1">
        <f>IF(ISBLANK($A404),"",INDEX(Array_ElectricalCharges,MATCH($A404,List_ElectricityMeters,0),ROUNDUP(COLUMN()/3,0)-2))</f>
        <v/>
      </c>
      <c r="W404" s="127"/>
      <c r="X404" s="137"/>
      <c r="Y404" s="58" t="str" cm="1">
        <f>IF(ISBLANK($A404),"",INDEX(Array_ElectricalCharges,MATCH($A404,List_ElectricityMeters,0),ROUNDUP(COLUMN()/3,0)-2))</f>
        <v/>
      </c>
      <c r="Z404" s="127"/>
      <c r="AA404" s="137"/>
      <c r="AB404" s="58" t="str" cm="1">
        <f>IF(ISBLANK($A404),"",INDEX(Array_ElectricalCharges,MATCH($A404,List_ElectricityMeters,0),ROUNDUP(COLUMN()/3,0)-2))</f>
        <v/>
      </c>
      <c r="AC404" s="127"/>
      <c r="AD404" s="137"/>
      <c r="AE404" s="58" t="str" cm="1">
        <f>IF(ISBLANK($A404),"",INDEX(Array_ElectricalCharges,MATCH($A404,List_ElectricityMeters,0),ROUNDUP(COLUMN()/3,0)-2))</f>
        <v/>
      </c>
      <c r="AF404" s="127"/>
      <c r="AG404" s="137"/>
      <c r="AH404" s="58" t="str" cm="1">
        <f>IF(ISBLANK($A404),"",INDEX(Array_ElectricalCharges,MATCH($A404,List_ElectricityMeters,0),ROUNDUP(COLUMN()/3,0)-2))</f>
        <v/>
      </c>
      <c r="AI404" s="127"/>
      <c r="AJ404" s="137"/>
      <c r="AK404" s="58" t="str" cm="1">
        <f>IF(ISBLANK($A404),"",INDEX(Array_ElectricalCharges,MATCH($A404,List_ElectricityMeters,0),ROUNDUP(COLUMN()/3,0)-2))</f>
        <v/>
      </c>
      <c r="AL404" s="127"/>
      <c r="AM404" s="137"/>
      <c r="AN404" s="58" t="str" cm="1">
        <f>IF(ISBLANK($A404),"",INDEX(Array_ElectricalCharges,MATCH($A404,List_ElectricityMeters,0),ROUNDUP(COLUMN()/3,0)-2))</f>
        <v/>
      </c>
      <c r="AO404" s="127"/>
      <c r="AP404" s="137"/>
      <c r="AQ404" s="58" t="str" cm="1">
        <f>IF(ISBLANK($A404),"",INDEX(Array_ElectricalCharges,MATCH($A404,List_ElectricityMeters,0),ROUNDUP(COLUMN()/3,0)-2))</f>
        <v/>
      </c>
      <c r="AR404" s="127"/>
      <c r="AS404" s="137"/>
      <c r="AT404" s="58" t="str" cm="1">
        <f>IF(ISBLANK($A404),"",INDEX(Array_ElectricalCharges,MATCH($A404,List_ElectricityMeters,0),ROUNDUP(COLUMN()/3,0)-2))</f>
        <v/>
      </c>
      <c r="AU404" s="127"/>
      <c r="AV404" s="137"/>
      <c r="AW404" s="58" t="str" cm="1">
        <f>IF(ISBLANK($A404),"",INDEX(Array_ElectricalCharges,MATCH($A404,List_ElectricityMeters,0),ROUNDUP(COLUMN()/3,0)-2))</f>
        <v/>
      </c>
      <c r="AX404" s="127"/>
      <c r="AY404" s="137"/>
    </row>
    <row r="405" spans="1:51" x14ac:dyDescent="0.3">
      <c r="A405" s="126"/>
      <c r="B405" s="133"/>
      <c r="C405" s="134"/>
      <c r="D405" s="134"/>
      <c r="E405" s="135"/>
      <c r="F405" s="136"/>
      <c r="G405" s="58" t="str" cm="1">
        <f>IF(ISBLANK($A405),"",INDEX(Array_ElectricalCharges,MATCH($A405,List_ElectricityMeters,0),ROUNDUP(COLUMN()/3,0)-2))</f>
        <v/>
      </c>
      <c r="H405" s="127"/>
      <c r="I405" s="137"/>
      <c r="J405" s="58" t="str" cm="1">
        <f>IF(ISBLANK($A405),"",INDEX(Array_ElectricalCharges,MATCH($A405,List_ElectricityMeters,0),ROUNDUP(COLUMN()/3,0)-2))</f>
        <v/>
      </c>
      <c r="K405" s="127"/>
      <c r="L405" s="137"/>
      <c r="M405" s="58" t="str" cm="1">
        <f>IF(ISBLANK($A405),"",INDEX(Array_ElectricalCharges,MATCH($A405,List_ElectricityMeters,0),ROUNDUP(COLUMN()/3,0)-2))</f>
        <v/>
      </c>
      <c r="N405" s="127"/>
      <c r="O405" s="137"/>
      <c r="P405" s="58" t="str" cm="1">
        <f>IF(ISBLANK($A405),"",INDEX(Array_ElectricalCharges,MATCH($A405,List_ElectricityMeters,0),ROUNDUP(COLUMN()/3,0)-2))</f>
        <v/>
      </c>
      <c r="Q405" s="127"/>
      <c r="R405" s="137"/>
      <c r="S405" s="58" t="str" cm="1">
        <f>IF(ISBLANK($A405),"",INDEX(Array_ElectricalCharges,MATCH($A405,List_ElectricityMeters,0),ROUNDUP(COLUMN()/3,0)-2))</f>
        <v/>
      </c>
      <c r="T405" s="127"/>
      <c r="U405" s="137"/>
      <c r="V405" s="58" t="str" cm="1">
        <f>IF(ISBLANK($A405),"",INDEX(Array_ElectricalCharges,MATCH($A405,List_ElectricityMeters,0),ROUNDUP(COLUMN()/3,0)-2))</f>
        <v/>
      </c>
      <c r="W405" s="127"/>
      <c r="X405" s="137"/>
      <c r="Y405" s="58" t="str" cm="1">
        <f>IF(ISBLANK($A405),"",INDEX(Array_ElectricalCharges,MATCH($A405,List_ElectricityMeters,0),ROUNDUP(COLUMN()/3,0)-2))</f>
        <v/>
      </c>
      <c r="Z405" s="127"/>
      <c r="AA405" s="137"/>
      <c r="AB405" s="58" t="str" cm="1">
        <f>IF(ISBLANK($A405),"",INDEX(Array_ElectricalCharges,MATCH($A405,List_ElectricityMeters,0),ROUNDUP(COLUMN()/3,0)-2))</f>
        <v/>
      </c>
      <c r="AC405" s="127"/>
      <c r="AD405" s="137"/>
      <c r="AE405" s="58" t="str" cm="1">
        <f>IF(ISBLANK($A405),"",INDEX(Array_ElectricalCharges,MATCH($A405,List_ElectricityMeters,0),ROUNDUP(COLUMN()/3,0)-2))</f>
        <v/>
      </c>
      <c r="AF405" s="127"/>
      <c r="AG405" s="137"/>
      <c r="AH405" s="58" t="str" cm="1">
        <f>IF(ISBLANK($A405),"",INDEX(Array_ElectricalCharges,MATCH($A405,List_ElectricityMeters,0),ROUNDUP(COLUMN()/3,0)-2))</f>
        <v/>
      </c>
      <c r="AI405" s="127"/>
      <c r="AJ405" s="137"/>
      <c r="AK405" s="58" t="str" cm="1">
        <f>IF(ISBLANK($A405),"",INDEX(Array_ElectricalCharges,MATCH($A405,List_ElectricityMeters,0),ROUNDUP(COLUMN()/3,0)-2))</f>
        <v/>
      </c>
      <c r="AL405" s="127"/>
      <c r="AM405" s="137"/>
      <c r="AN405" s="58" t="str" cm="1">
        <f>IF(ISBLANK($A405),"",INDEX(Array_ElectricalCharges,MATCH($A405,List_ElectricityMeters,0),ROUNDUP(COLUMN()/3,0)-2))</f>
        <v/>
      </c>
      <c r="AO405" s="127"/>
      <c r="AP405" s="137"/>
      <c r="AQ405" s="58" t="str" cm="1">
        <f>IF(ISBLANK($A405),"",INDEX(Array_ElectricalCharges,MATCH($A405,List_ElectricityMeters,0),ROUNDUP(COLUMN()/3,0)-2))</f>
        <v/>
      </c>
      <c r="AR405" s="127"/>
      <c r="AS405" s="137"/>
      <c r="AT405" s="58" t="str" cm="1">
        <f>IF(ISBLANK($A405),"",INDEX(Array_ElectricalCharges,MATCH($A405,List_ElectricityMeters,0),ROUNDUP(COLUMN()/3,0)-2))</f>
        <v/>
      </c>
      <c r="AU405" s="127"/>
      <c r="AV405" s="137"/>
      <c r="AW405" s="58" t="str" cm="1">
        <f>IF(ISBLANK($A405),"",INDEX(Array_ElectricalCharges,MATCH($A405,List_ElectricityMeters,0),ROUNDUP(COLUMN()/3,0)-2))</f>
        <v/>
      </c>
      <c r="AX405" s="127"/>
      <c r="AY405" s="137"/>
    </row>
    <row r="406" spans="1:51" x14ac:dyDescent="0.3">
      <c r="A406" s="126"/>
      <c r="B406" s="133"/>
      <c r="C406" s="134"/>
      <c r="D406" s="134"/>
      <c r="E406" s="135"/>
      <c r="F406" s="136"/>
      <c r="G406" s="58" t="str" cm="1">
        <f>IF(ISBLANK($A406),"",INDEX(Array_ElectricalCharges,MATCH($A406,List_ElectricityMeters,0),ROUNDUP(COLUMN()/3,0)-2))</f>
        <v/>
      </c>
      <c r="H406" s="127"/>
      <c r="I406" s="137"/>
      <c r="J406" s="58" t="str" cm="1">
        <f>IF(ISBLANK($A406),"",INDEX(Array_ElectricalCharges,MATCH($A406,List_ElectricityMeters,0),ROUNDUP(COLUMN()/3,0)-2))</f>
        <v/>
      </c>
      <c r="K406" s="127"/>
      <c r="L406" s="137"/>
      <c r="M406" s="58" t="str" cm="1">
        <f>IF(ISBLANK($A406),"",INDEX(Array_ElectricalCharges,MATCH($A406,List_ElectricityMeters,0),ROUNDUP(COLUMN()/3,0)-2))</f>
        <v/>
      </c>
      <c r="N406" s="127"/>
      <c r="O406" s="137"/>
      <c r="P406" s="58" t="str" cm="1">
        <f>IF(ISBLANK($A406),"",INDEX(Array_ElectricalCharges,MATCH($A406,List_ElectricityMeters,0),ROUNDUP(COLUMN()/3,0)-2))</f>
        <v/>
      </c>
      <c r="Q406" s="127"/>
      <c r="R406" s="137"/>
      <c r="S406" s="58" t="str" cm="1">
        <f>IF(ISBLANK($A406),"",INDEX(Array_ElectricalCharges,MATCH($A406,List_ElectricityMeters,0),ROUNDUP(COLUMN()/3,0)-2))</f>
        <v/>
      </c>
      <c r="T406" s="127"/>
      <c r="U406" s="137"/>
      <c r="V406" s="58" t="str" cm="1">
        <f>IF(ISBLANK($A406),"",INDEX(Array_ElectricalCharges,MATCH($A406,List_ElectricityMeters,0),ROUNDUP(COLUMN()/3,0)-2))</f>
        <v/>
      </c>
      <c r="W406" s="127"/>
      <c r="X406" s="137"/>
      <c r="Y406" s="58" t="str" cm="1">
        <f>IF(ISBLANK($A406),"",INDEX(Array_ElectricalCharges,MATCH($A406,List_ElectricityMeters,0),ROUNDUP(COLUMN()/3,0)-2))</f>
        <v/>
      </c>
      <c r="Z406" s="127"/>
      <c r="AA406" s="137"/>
      <c r="AB406" s="58" t="str" cm="1">
        <f>IF(ISBLANK($A406),"",INDEX(Array_ElectricalCharges,MATCH($A406,List_ElectricityMeters,0),ROUNDUP(COLUMN()/3,0)-2))</f>
        <v/>
      </c>
      <c r="AC406" s="127"/>
      <c r="AD406" s="137"/>
      <c r="AE406" s="58" t="str" cm="1">
        <f>IF(ISBLANK($A406),"",INDEX(Array_ElectricalCharges,MATCH($A406,List_ElectricityMeters,0),ROUNDUP(COLUMN()/3,0)-2))</f>
        <v/>
      </c>
      <c r="AF406" s="127"/>
      <c r="AG406" s="137"/>
      <c r="AH406" s="58" t="str" cm="1">
        <f>IF(ISBLANK($A406),"",INDEX(Array_ElectricalCharges,MATCH($A406,List_ElectricityMeters,0),ROUNDUP(COLUMN()/3,0)-2))</f>
        <v/>
      </c>
      <c r="AI406" s="127"/>
      <c r="AJ406" s="137"/>
      <c r="AK406" s="58" t="str" cm="1">
        <f>IF(ISBLANK($A406),"",INDEX(Array_ElectricalCharges,MATCH($A406,List_ElectricityMeters,0),ROUNDUP(COLUMN()/3,0)-2))</f>
        <v/>
      </c>
      <c r="AL406" s="127"/>
      <c r="AM406" s="137"/>
      <c r="AN406" s="58" t="str" cm="1">
        <f>IF(ISBLANK($A406),"",INDEX(Array_ElectricalCharges,MATCH($A406,List_ElectricityMeters,0),ROUNDUP(COLUMN()/3,0)-2))</f>
        <v/>
      </c>
      <c r="AO406" s="127"/>
      <c r="AP406" s="137"/>
      <c r="AQ406" s="58" t="str" cm="1">
        <f>IF(ISBLANK($A406),"",INDEX(Array_ElectricalCharges,MATCH($A406,List_ElectricityMeters,0),ROUNDUP(COLUMN()/3,0)-2))</f>
        <v/>
      </c>
      <c r="AR406" s="127"/>
      <c r="AS406" s="137"/>
      <c r="AT406" s="58" t="str" cm="1">
        <f>IF(ISBLANK($A406),"",INDEX(Array_ElectricalCharges,MATCH($A406,List_ElectricityMeters,0),ROUNDUP(COLUMN()/3,0)-2))</f>
        <v/>
      </c>
      <c r="AU406" s="127"/>
      <c r="AV406" s="137"/>
      <c r="AW406" s="58" t="str" cm="1">
        <f>IF(ISBLANK($A406),"",INDEX(Array_ElectricalCharges,MATCH($A406,List_ElectricityMeters,0),ROUNDUP(COLUMN()/3,0)-2))</f>
        <v/>
      </c>
      <c r="AX406" s="127"/>
      <c r="AY406" s="137"/>
    </row>
    <row r="407" spans="1:51" x14ac:dyDescent="0.3">
      <c r="A407" s="126"/>
      <c r="B407" s="133"/>
      <c r="C407" s="134"/>
      <c r="D407" s="134"/>
      <c r="E407" s="135"/>
      <c r="F407" s="136"/>
      <c r="G407" s="58" t="str" cm="1">
        <f>IF(ISBLANK($A407),"",INDEX(Array_ElectricalCharges,MATCH($A407,List_ElectricityMeters,0),ROUNDUP(COLUMN()/3,0)-2))</f>
        <v/>
      </c>
      <c r="H407" s="127"/>
      <c r="I407" s="137"/>
      <c r="J407" s="58" t="str" cm="1">
        <f>IF(ISBLANK($A407),"",INDEX(Array_ElectricalCharges,MATCH($A407,List_ElectricityMeters,0),ROUNDUP(COLUMN()/3,0)-2))</f>
        <v/>
      </c>
      <c r="K407" s="127"/>
      <c r="L407" s="137"/>
      <c r="M407" s="58" t="str" cm="1">
        <f>IF(ISBLANK($A407),"",INDEX(Array_ElectricalCharges,MATCH($A407,List_ElectricityMeters,0),ROUNDUP(COLUMN()/3,0)-2))</f>
        <v/>
      </c>
      <c r="N407" s="127"/>
      <c r="O407" s="137"/>
      <c r="P407" s="58" t="str" cm="1">
        <f>IF(ISBLANK($A407),"",INDEX(Array_ElectricalCharges,MATCH($A407,List_ElectricityMeters,0),ROUNDUP(COLUMN()/3,0)-2))</f>
        <v/>
      </c>
      <c r="Q407" s="127"/>
      <c r="R407" s="137"/>
      <c r="S407" s="58" t="str" cm="1">
        <f>IF(ISBLANK($A407),"",INDEX(Array_ElectricalCharges,MATCH($A407,List_ElectricityMeters,0),ROUNDUP(COLUMN()/3,0)-2))</f>
        <v/>
      </c>
      <c r="T407" s="127"/>
      <c r="U407" s="137"/>
      <c r="V407" s="58" t="str" cm="1">
        <f>IF(ISBLANK($A407),"",INDEX(Array_ElectricalCharges,MATCH($A407,List_ElectricityMeters,0),ROUNDUP(COLUMN()/3,0)-2))</f>
        <v/>
      </c>
      <c r="W407" s="127"/>
      <c r="X407" s="137"/>
      <c r="Y407" s="58" t="str" cm="1">
        <f>IF(ISBLANK($A407),"",INDEX(Array_ElectricalCharges,MATCH($A407,List_ElectricityMeters,0),ROUNDUP(COLUMN()/3,0)-2))</f>
        <v/>
      </c>
      <c r="Z407" s="127"/>
      <c r="AA407" s="137"/>
      <c r="AB407" s="58" t="str" cm="1">
        <f>IF(ISBLANK($A407),"",INDEX(Array_ElectricalCharges,MATCH($A407,List_ElectricityMeters,0),ROUNDUP(COLUMN()/3,0)-2))</f>
        <v/>
      </c>
      <c r="AC407" s="127"/>
      <c r="AD407" s="137"/>
      <c r="AE407" s="58" t="str" cm="1">
        <f>IF(ISBLANK($A407),"",INDEX(Array_ElectricalCharges,MATCH($A407,List_ElectricityMeters,0),ROUNDUP(COLUMN()/3,0)-2))</f>
        <v/>
      </c>
      <c r="AF407" s="127"/>
      <c r="AG407" s="137"/>
      <c r="AH407" s="58" t="str" cm="1">
        <f>IF(ISBLANK($A407),"",INDEX(Array_ElectricalCharges,MATCH($A407,List_ElectricityMeters,0),ROUNDUP(COLUMN()/3,0)-2))</f>
        <v/>
      </c>
      <c r="AI407" s="127"/>
      <c r="AJ407" s="137"/>
      <c r="AK407" s="58" t="str" cm="1">
        <f>IF(ISBLANK($A407),"",INDEX(Array_ElectricalCharges,MATCH($A407,List_ElectricityMeters,0),ROUNDUP(COLUMN()/3,0)-2))</f>
        <v/>
      </c>
      <c r="AL407" s="127"/>
      <c r="AM407" s="137"/>
      <c r="AN407" s="58" t="str" cm="1">
        <f>IF(ISBLANK($A407),"",INDEX(Array_ElectricalCharges,MATCH($A407,List_ElectricityMeters,0),ROUNDUP(COLUMN()/3,0)-2))</f>
        <v/>
      </c>
      <c r="AO407" s="127"/>
      <c r="AP407" s="137"/>
      <c r="AQ407" s="58" t="str" cm="1">
        <f>IF(ISBLANK($A407),"",INDEX(Array_ElectricalCharges,MATCH($A407,List_ElectricityMeters,0),ROUNDUP(COLUMN()/3,0)-2))</f>
        <v/>
      </c>
      <c r="AR407" s="127"/>
      <c r="AS407" s="137"/>
      <c r="AT407" s="58" t="str" cm="1">
        <f>IF(ISBLANK($A407),"",INDEX(Array_ElectricalCharges,MATCH($A407,List_ElectricityMeters,0),ROUNDUP(COLUMN()/3,0)-2))</f>
        <v/>
      </c>
      <c r="AU407" s="127"/>
      <c r="AV407" s="137"/>
      <c r="AW407" s="58" t="str" cm="1">
        <f>IF(ISBLANK($A407),"",INDEX(Array_ElectricalCharges,MATCH($A407,List_ElectricityMeters,0),ROUNDUP(COLUMN()/3,0)-2))</f>
        <v/>
      </c>
      <c r="AX407" s="127"/>
      <c r="AY407" s="137"/>
    </row>
    <row r="408" spans="1:51" x14ac:dyDescent="0.3">
      <c r="A408" s="126"/>
      <c r="B408" s="133"/>
      <c r="C408" s="134"/>
      <c r="D408" s="134"/>
      <c r="E408" s="135"/>
      <c r="F408" s="136"/>
      <c r="G408" s="58" t="str" cm="1">
        <f>IF(ISBLANK($A408),"",INDEX(Array_ElectricalCharges,MATCH($A408,List_ElectricityMeters,0),ROUNDUP(COLUMN()/3,0)-2))</f>
        <v/>
      </c>
      <c r="H408" s="127"/>
      <c r="I408" s="137"/>
      <c r="J408" s="58" t="str" cm="1">
        <f>IF(ISBLANK($A408),"",INDEX(Array_ElectricalCharges,MATCH($A408,List_ElectricityMeters,0),ROUNDUP(COLUMN()/3,0)-2))</f>
        <v/>
      </c>
      <c r="K408" s="127"/>
      <c r="L408" s="137"/>
      <c r="M408" s="58" t="str" cm="1">
        <f>IF(ISBLANK($A408),"",INDEX(Array_ElectricalCharges,MATCH($A408,List_ElectricityMeters,0),ROUNDUP(COLUMN()/3,0)-2))</f>
        <v/>
      </c>
      <c r="N408" s="127"/>
      <c r="O408" s="137"/>
      <c r="P408" s="58" t="str" cm="1">
        <f>IF(ISBLANK($A408),"",INDEX(Array_ElectricalCharges,MATCH($A408,List_ElectricityMeters,0),ROUNDUP(COLUMN()/3,0)-2))</f>
        <v/>
      </c>
      <c r="Q408" s="127"/>
      <c r="R408" s="137"/>
      <c r="S408" s="58" t="str" cm="1">
        <f>IF(ISBLANK($A408),"",INDEX(Array_ElectricalCharges,MATCH($A408,List_ElectricityMeters,0),ROUNDUP(COLUMN()/3,0)-2))</f>
        <v/>
      </c>
      <c r="T408" s="127"/>
      <c r="U408" s="137"/>
      <c r="V408" s="58" t="str" cm="1">
        <f>IF(ISBLANK($A408),"",INDEX(Array_ElectricalCharges,MATCH($A408,List_ElectricityMeters,0),ROUNDUP(COLUMN()/3,0)-2))</f>
        <v/>
      </c>
      <c r="W408" s="127"/>
      <c r="X408" s="137"/>
      <c r="Y408" s="58" t="str" cm="1">
        <f>IF(ISBLANK($A408),"",INDEX(Array_ElectricalCharges,MATCH($A408,List_ElectricityMeters,0),ROUNDUP(COLUMN()/3,0)-2))</f>
        <v/>
      </c>
      <c r="Z408" s="127"/>
      <c r="AA408" s="137"/>
      <c r="AB408" s="58" t="str" cm="1">
        <f>IF(ISBLANK($A408),"",INDEX(Array_ElectricalCharges,MATCH($A408,List_ElectricityMeters,0),ROUNDUP(COLUMN()/3,0)-2))</f>
        <v/>
      </c>
      <c r="AC408" s="127"/>
      <c r="AD408" s="137"/>
      <c r="AE408" s="58" t="str" cm="1">
        <f>IF(ISBLANK($A408),"",INDEX(Array_ElectricalCharges,MATCH($A408,List_ElectricityMeters,0),ROUNDUP(COLUMN()/3,0)-2))</f>
        <v/>
      </c>
      <c r="AF408" s="127"/>
      <c r="AG408" s="137"/>
      <c r="AH408" s="58" t="str" cm="1">
        <f>IF(ISBLANK($A408),"",INDEX(Array_ElectricalCharges,MATCH($A408,List_ElectricityMeters,0),ROUNDUP(COLUMN()/3,0)-2))</f>
        <v/>
      </c>
      <c r="AI408" s="127"/>
      <c r="AJ408" s="137"/>
      <c r="AK408" s="58" t="str" cm="1">
        <f>IF(ISBLANK($A408),"",INDEX(Array_ElectricalCharges,MATCH($A408,List_ElectricityMeters,0),ROUNDUP(COLUMN()/3,0)-2))</f>
        <v/>
      </c>
      <c r="AL408" s="127"/>
      <c r="AM408" s="137"/>
      <c r="AN408" s="58" t="str" cm="1">
        <f>IF(ISBLANK($A408),"",INDEX(Array_ElectricalCharges,MATCH($A408,List_ElectricityMeters,0),ROUNDUP(COLUMN()/3,0)-2))</f>
        <v/>
      </c>
      <c r="AO408" s="127"/>
      <c r="AP408" s="137"/>
      <c r="AQ408" s="58" t="str" cm="1">
        <f>IF(ISBLANK($A408),"",INDEX(Array_ElectricalCharges,MATCH($A408,List_ElectricityMeters,0),ROUNDUP(COLUMN()/3,0)-2))</f>
        <v/>
      </c>
      <c r="AR408" s="127"/>
      <c r="AS408" s="137"/>
      <c r="AT408" s="58" t="str" cm="1">
        <f>IF(ISBLANK($A408),"",INDEX(Array_ElectricalCharges,MATCH($A408,List_ElectricityMeters,0),ROUNDUP(COLUMN()/3,0)-2))</f>
        <v/>
      </c>
      <c r="AU408" s="127"/>
      <c r="AV408" s="137"/>
      <c r="AW408" s="58" t="str" cm="1">
        <f>IF(ISBLANK($A408),"",INDEX(Array_ElectricalCharges,MATCH($A408,List_ElectricityMeters,0),ROUNDUP(COLUMN()/3,0)-2))</f>
        <v/>
      </c>
      <c r="AX408" s="127"/>
      <c r="AY408" s="137"/>
    </row>
    <row r="409" spans="1:51" x14ac:dyDescent="0.3">
      <c r="A409" s="126"/>
      <c r="B409" s="133"/>
      <c r="C409" s="134"/>
      <c r="D409" s="134"/>
      <c r="E409" s="135"/>
      <c r="F409" s="136"/>
      <c r="G409" s="58" t="str" cm="1">
        <f>IF(ISBLANK($A409),"",INDEX(Array_ElectricalCharges,MATCH($A409,List_ElectricityMeters,0),ROUNDUP(COLUMN()/3,0)-2))</f>
        <v/>
      </c>
      <c r="H409" s="127"/>
      <c r="I409" s="137"/>
      <c r="J409" s="58" t="str" cm="1">
        <f>IF(ISBLANK($A409),"",INDEX(Array_ElectricalCharges,MATCH($A409,List_ElectricityMeters,0),ROUNDUP(COLUMN()/3,0)-2))</f>
        <v/>
      </c>
      <c r="K409" s="127"/>
      <c r="L409" s="137"/>
      <c r="M409" s="58" t="str" cm="1">
        <f>IF(ISBLANK($A409),"",INDEX(Array_ElectricalCharges,MATCH($A409,List_ElectricityMeters,0),ROUNDUP(COLUMN()/3,0)-2))</f>
        <v/>
      </c>
      <c r="N409" s="127"/>
      <c r="O409" s="137"/>
      <c r="P409" s="58" t="str" cm="1">
        <f>IF(ISBLANK($A409),"",INDEX(Array_ElectricalCharges,MATCH($A409,List_ElectricityMeters,0),ROUNDUP(COLUMN()/3,0)-2))</f>
        <v/>
      </c>
      <c r="Q409" s="127"/>
      <c r="R409" s="137"/>
      <c r="S409" s="58" t="str" cm="1">
        <f>IF(ISBLANK($A409),"",INDEX(Array_ElectricalCharges,MATCH($A409,List_ElectricityMeters,0),ROUNDUP(COLUMN()/3,0)-2))</f>
        <v/>
      </c>
      <c r="T409" s="127"/>
      <c r="U409" s="137"/>
      <c r="V409" s="58" t="str" cm="1">
        <f>IF(ISBLANK($A409),"",INDEX(Array_ElectricalCharges,MATCH($A409,List_ElectricityMeters,0),ROUNDUP(COLUMN()/3,0)-2))</f>
        <v/>
      </c>
      <c r="W409" s="127"/>
      <c r="X409" s="137"/>
      <c r="Y409" s="58" t="str" cm="1">
        <f>IF(ISBLANK($A409),"",INDEX(Array_ElectricalCharges,MATCH($A409,List_ElectricityMeters,0),ROUNDUP(COLUMN()/3,0)-2))</f>
        <v/>
      </c>
      <c r="Z409" s="127"/>
      <c r="AA409" s="137"/>
      <c r="AB409" s="58" t="str" cm="1">
        <f>IF(ISBLANK($A409),"",INDEX(Array_ElectricalCharges,MATCH($A409,List_ElectricityMeters,0),ROUNDUP(COLUMN()/3,0)-2))</f>
        <v/>
      </c>
      <c r="AC409" s="127"/>
      <c r="AD409" s="137"/>
      <c r="AE409" s="58" t="str" cm="1">
        <f>IF(ISBLANK($A409),"",INDEX(Array_ElectricalCharges,MATCH($A409,List_ElectricityMeters,0),ROUNDUP(COLUMN()/3,0)-2))</f>
        <v/>
      </c>
      <c r="AF409" s="127"/>
      <c r="AG409" s="137"/>
      <c r="AH409" s="58" t="str" cm="1">
        <f>IF(ISBLANK($A409),"",INDEX(Array_ElectricalCharges,MATCH($A409,List_ElectricityMeters,0),ROUNDUP(COLUMN()/3,0)-2))</f>
        <v/>
      </c>
      <c r="AI409" s="127"/>
      <c r="AJ409" s="137"/>
      <c r="AK409" s="58" t="str" cm="1">
        <f>IF(ISBLANK($A409),"",INDEX(Array_ElectricalCharges,MATCH($A409,List_ElectricityMeters,0),ROUNDUP(COLUMN()/3,0)-2))</f>
        <v/>
      </c>
      <c r="AL409" s="127"/>
      <c r="AM409" s="137"/>
      <c r="AN409" s="58" t="str" cm="1">
        <f>IF(ISBLANK($A409),"",INDEX(Array_ElectricalCharges,MATCH($A409,List_ElectricityMeters,0),ROUNDUP(COLUMN()/3,0)-2))</f>
        <v/>
      </c>
      <c r="AO409" s="127"/>
      <c r="AP409" s="137"/>
      <c r="AQ409" s="58" t="str" cm="1">
        <f>IF(ISBLANK($A409),"",INDEX(Array_ElectricalCharges,MATCH($A409,List_ElectricityMeters,0),ROUNDUP(COLUMN()/3,0)-2))</f>
        <v/>
      </c>
      <c r="AR409" s="127"/>
      <c r="AS409" s="137"/>
      <c r="AT409" s="58" t="str" cm="1">
        <f>IF(ISBLANK($A409),"",INDEX(Array_ElectricalCharges,MATCH($A409,List_ElectricityMeters,0),ROUNDUP(COLUMN()/3,0)-2))</f>
        <v/>
      </c>
      <c r="AU409" s="127"/>
      <c r="AV409" s="137"/>
      <c r="AW409" s="58" t="str" cm="1">
        <f>IF(ISBLANK($A409),"",INDEX(Array_ElectricalCharges,MATCH($A409,List_ElectricityMeters,0),ROUNDUP(COLUMN()/3,0)-2))</f>
        <v/>
      </c>
      <c r="AX409" s="127"/>
      <c r="AY409" s="137"/>
    </row>
    <row r="410" spans="1:51" x14ac:dyDescent="0.3">
      <c r="A410" s="126"/>
      <c r="B410" s="133"/>
      <c r="C410" s="134"/>
      <c r="D410" s="134"/>
      <c r="E410" s="135"/>
      <c r="F410" s="136"/>
      <c r="G410" s="58" t="str" cm="1">
        <f>IF(ISBLANK($A410),"",INDEX(Array_ElectricalCharges,MATCH($A410,List_ElectricityMeters,0),ROUNDUP(COLUMN()/3,0)-2))</f>
        <v/>
      </c>
      <c r="H410" s="127"/>
      <c r="I410" s="137"/>
      <c r="J410" s="58" t="str" cm="1">
        <f>IF(ISBLANK($A410),"",INDEX(Array_ElectricalCharges,MATCH($A410,List_ElectricityMeters,0),ROUNDUP(COLUMN()/3,0)-2))</f>
        <v/>
      </c>
      <c r="K410" s="127"/>
      <c r="L410" s="137"/>
      <c r="M410" s="58" t="str" cm="1">
        <f>IF(ISBLANK($A410),"",INDEX(Array_ElectricalCharges,MATCH($A410,List_ElectricityMeters,0),ROUNDUP(COLUMN()/3,0)-2))</f>
        <v/>
      </c>
      <c r="N410" s="127"/>
      <c r="O410" s="137"/>
      <c r="P410" s="58" t="str" cm="1">
        <f>IF(ISBLANK($A410),"",INDEX(Array_ElectricalCharges,MATCH($A410,List_ElectricityMeters,0),ROUNDUP(COLUMN()/3,0)-2))</f>
        <v/>
      </c>
      <c r="Q410" s="127"/>
      <c r="R410" s="137"/>
      <c r="S410" s="58" t="str" cm="1">
        <f>IF(ISBLANK($A410),"",INDEX(Array_ElectricalCharges,MATCH($A410,List_ElectricityMeters,0),ROUNDUP(COLUMN()/3,0)-2))</f>
        <v/>
      </c>
      <c r="T410" s="127"/>
      <c r="U410" s="137"/>
      <c r="V410" s="58" t="str" cm="1">
        <f>IF(ISBLANK($A410),"",INDEX(Array_ElectricalCharges,MATCH($A410,List_ElectricityMeters,0),ROUNDUP(COLUMN()/3,0)-2))</f>
        <v/>
      </c>
      <c r="W410" s="127"/>
      <c r="X410" s="137"/>
      <c r="Y410" s="58" t="str" cm="1">
        <f>IF(ISBLANK($A410),"",INDEX(Array_ElectricalCharges,MATCH($A410,List_ElectricityMeters,0),ROUNDUP(COLUMN()/3,0)-2))</f>
        <v/>
      </c>
      <c r="Z410" s="127"/>
      <c r="AA410" s="137"/>
      <c r="AB410" s="58" t="str" cm="1">
        <f>IF(ISBLANK($A410),"",INDEX(Array_ElectricalCharges,MATCH($A410,List_ElectricityMeters,0),ROUNDUP(COLUMN()/3,0)-2))</f>
        <v/>
      </c>
      <c r="AC410" s="127"/>
      <c r="AD410" s="137"/>
      <c r="AE410" s="58" t="str" cm="1">
        <f>IF(ISBLANK($A410),"",INDEX(Array_ElectricalCharges,MATCH($A410,List_ElectricityMeters,0),ROUNDUP(COLUMN()/3,0)-2))</f>
        <v/>
      </c>
      <c r="AF410" s="127"/>
      <c r="AG410" s="137"/>
      <c r="AH410" s="58" t="str" cm="1">
        <f>IF(ISBLANK($A410),"",INDEX(Array_ElectricalCharges,MATCH($A410,List_ElectricityMeters,0),ROUNDUP(COLUMN()/3,0)-2))</f>
        <v/>
      </c>
      <c r="AI410" s="127"/>
      <c r="AJ410" s="137"/>
      <c r="AK410" s="58" t="str" cm="1">
        <f>IF(ISBLANK($A410),"",INDEX(Array_ElectricalCharges,MATCH($A410,List_ElectricityMeters,0),ROUNDUP(COLUMN()/3,0)-2))</f>
        <v/>
      </c>
      <c r="AL410" s="127"/>
      <c r="AM410" s="137"/>
      <c r="AN410" s="58" t="str" cm="1">
        <f>IF(ISBLANK($A410),"",INDEX(Array_ElectricalCharges,MATCH($A410,List_ElectricityMeters,0),ROUNDUP(COLUMN()/3,0)-2))</f>
        <v/>
      </c>
      <c r="AO410" s="127"/>
      <c r="AP410" s="137"/>
      <c r="AQ410" s="58" t="str" cm="1">
        <f>IF(ISBLANK($A410),"",INDEX(Array_ElectricalCharges,MATCH($A410,List_ElectricityMeters,0),ROUNDUP(COLUMN()/3,0)-2))</f>
        <v/>
      </c>
      <c r="AR410" s="127"/>
      <c r="AS410" s="137"/>
      <c r="AT410" s="58" t="str" cm="1">
        <f>IF(ISBLANK($A410),"",INDEX(Array_ElectricalCharges,MATCH($A410,List_ElectricityMeters,0),ROUNDUP(COLUMN()/3,0)-2))</f>
        <v/>
      </c>
      <c r="AU410" s="127"/>
      <c r="AV410" s="137"/>
      <c r="AW410" s="58" t="str" cm="1">
        <f>IF(ISBLANK($A410),"",INDEX(Array_ElectricalCharges,MATCH($A410,List_ElectricityMeters,0),ROUNDUP(COLUMN()/3,0)-2))</f>
        <v/>
      </c>
      <c r="AX410" s="127"/>
      <c r="AY410" s="137"/>
    </row>
    <row r="411" spans="1:51" x14ac:dyDescent="0.3">
      <c r="A411" s="126"/>
      <c r="B411" s="133"/>
      <c r="C411" s="134"/>
      <c r="D411" s="134"/>
      <c r="E411" s="135"/>
      <c r="F411" s="136"/>
      <c r="G411" s="58" t="str" cm="1">
        <f>IF(ISBLANK($A411),"",INDEX(Array_ElectricalCharges,MATCH($A411,List_ElectricityMeters,0),ROUNDUP(COLUMN()/3,0)-2))</f>
        <v/>
      </c>
      <c r="H411" s="127"/>
      <c r="I411" s="137"/>
      <c r="J411" s="58" t="str" cm="1">
        <f>IF(ISBLANK($A411),"",INDEX(Array_ElectricalCharges,MATCH($A411,List_ElectricityMeters,0),ROUNDUP(COLUMN()/3,0)-2))</f>
        <v/>
      </c>
      <c r="K411" s="127"/>
      <c r="L411" s="137"/>
      <c r="M411" s="58" t="str" cm="1">
        <f>IF(ISBLANK($A411),"",INDEX(Array_ElectricalCharges,MATCH($A411,List_ElectricityMeters,0),ROUNDUP(COLUMN()/3,0)-2))</f>
        <v/>
      </c>
      <c r="N411" s="127"/>
      <c r="O411" s="137"/>
      <c r="P411" s="58" t="str" cm="1">
        <f>IF(ISBLANK($A411),"",INDEX(Array_ElectricalCharges,MATCH($A411,List_ElectricityMeters,0),ROUNDUP(COLUMN()/3,0)-2))</f>
        <v/>
      </c>
      <c r="Q411" s="127"/>
      <c r="R411" s="137"/>
      <c r="S411" s="58" t="str" cm="1">
        <f>IF(ISBLANK($A411),"",INDEX(Array_ElectricalCharges,MATCH($A411,List_ElectricityMeters,0),ROUNDUP(COLUMN()/3,0)-2))</f>
        <v/>
      </c>
      <c r="T411" s="127"/>
      <c r="U411" s="137"/>
      <c r="V411" s="58" t="str" cm="1">
        <f>IF(ISBLANK($A411),"",INDEX(Array_ElectricalCharges,MATCH($A411,List_ElectricityMeters,0),ROUNDUP(COLUMN()/3,0)-2))</f>
        <v/>
      </c>
      <c r="W411" s="127"/>
      <c r="X411" s="137"/>
      <c r="Y411" s="58" t="str" cm="1">
        <f>IF(ISBLANK($A411),"",INDEX(Array_ElectricalCharges,MATCH($A411,List_ElectricityMeters,0),ROUNDUP(COLUMN()/3,0)-2))</f>
        <v/>
      </c>
      <c r="Z411" s="127"/>
      <c r="AA411" s="137"/>
      <c r="AB411" s="58" t="str" cm="1">
        <f>IF(ISBLANK($A411),"",INDEX(Array_ElectricalCharges,MATCH($A411,List_ElectricityMeters,0),ROUNDUP(COLUMN()/3,0)-2))</f>
        <v/>
      </c>
      <c r="AC411" s="127"/>
      <c r="AD411" s="137"/>
      <c r="AE411" s="58" t="str" cm="1">
        <f>IF(ISBLANK($A411),"",INDEX(Array_ElectricalCharges,MATCH($A411,List_ElectricityMeters,0),ROUNDUP(COLUMN()/3,0)-2))</f>
        <v/>
      </c>
      <c r="AF411" s="127"/>
      <c r="AG411" s="137"/>
      <c r="AH411" s="58" t="str" cm="1">
        <f>IF(ISBLANK($A411),"",INDEX(Array_ElectricalCharges,MATCH($A411,List_ElectricityMeters,0),ROUNDUP(COLUMN()/3,0)-2))</f>
        <v/>
      </c>
      <c r="AI411" s="127"/>
      <c r="AJ411" s="137"/>
      <c r="AK411" s="58" t="str" cm="1">
        <f>IF(ISBLANK($A411),"",INDEX(Array_ElectricalCharges,MATCH($A411,List_ElectricityMeters,0),ROUNDUP(COLUMN()/3,0)-2))</f>
        <v/>
      </c>
      <c r="AL411" s="127"/>
      <c r="AM411" s="137"/>
      <c r="AN411" s="58" t="str" cm="1">
        <f>IF(ISBLANK($A411),"",INDEX(Array_ElectricalCharges,MATCH($A411,List_ElectricityMeters,0),ROUNDUP(COLUMN()/3,0)-2))</f>
        <v/>
      </c>
      <c r="AO411" s="127"/>
      <c r="AP411" s="137"/>
      <c r="AQ411" s="58" t="str" cm="1">
        <f>IF(ISBLANK($A411),"",INDEX(Array_ElectricalCharges,MATCH($A411,List_ElectricityMeters,0),ROUNDUP(COLUMN()/3,0)-2))</f>
        <v/>
      </c>
      <c r="AR411" s="127"/>
      <c r="AS411" s="137"/>
      <c r="AT411" s="58" t="str" cm="1">
        <f>IF(ISBLANK($A411),"",INDEX(Array_ElectricalCharges,MATCH($A411,List_ElectricityMeters,0),ROUNDUP(COLUMN()/3,0)-2))</f>
        <v/>
      </c>
      <c r="AU411" s="127"/>
      <c r="AV411" s="137"/>
      <c r="AW411" s="58" t="str" cm="1">
        <f>IF(ISBLANK($A411),"",INDEX(Array_ElectricalCharges,MATCH($A411,List_ElectricityMeters,0),ROUNDUP(COLUMN()/3,0)-2))</f>
        <v/>
      </c>
      <c r="AX411" s="127"/>
      <c r="AY411" s="137"/>
    </row>
    <row r="412" spans="1:51" x14ac:dyDescent="0.3">
      <c r="A412" s="126"/>
      <c r="B412" s="133"/>
      <c r="C412" s="134"/>
      <c r="D412" s="134"/>
      <c r="E412" s="135"/>
      <c r="F412" s="136"/>
      <c r="G412" s="58" t="str" cm="1">
        <f>IF(ISBLANK($A412),"",INDEX(Array_ElectricalCharges,MATCH($A412,List_ElectricityMeters,0),ROUNDUP(COLUMN()/3,0)-2))</f>
        <v/>
      </c>
      <c r="H412" s="127"/>
      <c r="I412" s="137"/>
      <c r="J412" s="58" t="str" cm="1">
        <f>IF(ISBLANK($A412),"",INDEX(Array_ElectricalCharges,MATCH($A412,List_ElectricityMeters,0),ROUNDUP(COLUMN()/3,0)-2))</f>
        <v/>
      </c>
      <c r="K412" s="127"/>
      <c r="L412" s="137"/>
      <c r="M412" s="58" t="str" cm="1">
        <f>IF(ISBLANK($A412),"",INDEX(Array_ElectricalCharges,MATCH($A412,List_ElectricityMeters,0),ROUNDUP(COLUMN()/3,0)-2))</f>
        <v/>
      </c>
      <c r="N412" s="127"/>
      <c r="O412" s="137"/>
      <c r="P412" s="58" t="str" cm="1">
        <f>IF(ISBLANK($A412),"",INDEX(Array_ElectricalCharges,MATCH($A412,List_ElectricityMeters,0),ROUNDUP(COLUMN()/3,0)-2))</f>
        <v/>
      </c>
      <c r="Q412" s="127"/>
      <c r="R412" s="137"/>
      <c r="S412" s="58" t="str" cm="1">
        <f>IF(ISBLANK($A412),"",INDEX(Array_ElectricalCharges,MATCH($A412,List_ElectricityMeters,0),ROUNDUP(COLUMN()/3,0)-2))</f>
        <v/>
      </c>
      <c r="T412" s="127"/>
      <c r="U412" s="137"/>
      <c r="V412" s="58" t="str" cm="1">
        <f>IF(ISBLANK($A412),"",INDEX(Array_ElectricalCharges,MATCH($A412,List_ElectricityMeters,0),ROUNDUP(COLUMN()/3,0)-2))</f>
        <v/>
      </c>
      <c r="W412" s="127"/>
      <c r="X412" s="137"/>
      <c r="Y412" s="58" t="str" cm="1">
        <f>IF(ISBLANK($A412),"",INDEX(Array_ElectricalCharges,MATCH($A412,List_ElectricityMeters,0),ROUNDUP(COLUMN()/3,0)-2))</f>
        <v/>
      </c>
      <c r="Z412" s="127"/>
      <c r="AA412" s="137"/>
      <c r="AB412" s="58" t="str" cm="1">
        <f>IF(ISBLANK($A412),"",INDEX(Array_ElectricalCharges,MATCH($A412,List_ElectricityMeters,0),ROUNDUP(COLUMN()/3,0)-2))</f>
        <v/>
      </c>
      <c r="AC412" s="127"/>
      <c r="AD412" s="137"/>
      <c r="AE412" s="58" t="str" cm="1">
        <f>IF(ISBLANK($A412),"",INDEX(Array_ElectricalCharges,MATCH($A412,List_ElectricityMeters,0),ROUNDUP(COLUMN()/3,0)-2))</f>
        <v/>
      </c>
      <c r="AF412" s="127"/>
      <c r="AG412" s="137"/>
      <c r="AH412" s="58" t="str" cm="1">
        <f>IF(ISBLANK($A412),"",INDEX(Array_ElectricalCharges,MATCH($A412,List_ElectricityMeters,0),ROUNDUP(COLUMN()/3,0)-2))</f>
        <v/>
      </c>
      <c r="AI412" s="127"/>
      <c r="AJ412" s="137"/>
      <c r="AK412" s="58" t="str" cm="1">
        <f>IF(ISBLANK($A412),"",INDEX(Array_ElectricalCharges,MATCH($A412,List_ElectricityMeters,0),ROUNDUP(COLUMN()/3,0)-2))</f>
        <v/>
      </c>
      <c r="AL412" s="127"/>
      <c r="AM412" s="137"/>
      <c r="AN412" s="58" t="str" cm="1">
        <f>IF(ISBLANK($A412),"",INDEX(Array_ElectricalCharges,MATCH($A412,List_ElectricityMeters,0),ROUNDUP(COLUMN()/3,0)-2))</f>
        <v/>
      </c>
      <c r="AO412" s="127"/>
      <c r="AP412" s="137"/>
      <c r="AQ412" s="58" t="str" cm="1">
        <f>IF(ISBLANK($A412),"",INDEX(Array_ElectricalCharges,MATCH($A412,List_ElectricityMeters,0),ROUNDUP(COLUMN()/3,0)-2))</f>
        <v/>
      </c>
      <c r="AR412" s="127"/>
      <c r="AS412" s="137"/>
      <c r="AT412" s="58" t="str" cm="1">
        <f>IF(ISBLANK($A412),"",INDEX(Array_ElectricalCharges,MATCH($A412,List_ElectricityMeters,0),ROUNDUP(COLUMN()/3,0)-2))</f>
        <v/>
      </c>
      <c r="AU412" s="127"/>
      <c r="AV412" s="137"/>
      <c r="AW412" s="58" t="str" cm="1">
        <f>IF(ISBLANK($A412),"",INDEX(Array_ElectricalCharges,MATCH($A412,List_ElectricityMeters,0),ROUNDUP(COLUMN()/3,0)-2))</f>
        <v/>
      </c>
      <c r="AX412" s="127"/>
      <c r="AY412" s="137"/>
    </row>
    <row r="413" spans="1:51" x14ac:dyDescent="0.3">
      <c r="A413" s="126"/>
      <c r="B413" s="133"/>
      <c r="C413" s="134"/>
      <c r="D413" s="134"/>
      <c r="E413" s="135"/>
      <c r="F413" s="136"/>
      <c r="G413" s="58" t="str" cm="1">
        <f>IF(ISBLANK($A413),"",INDEX(Array_ElectricalCharges,MATCH($A413,List_ElectricityMeters,0),ROUNDUP(COLUMN()/3,0)-2))</f>
        <v/>
      </c>
      <c r="H413" s="127"/>
      <c r="I413" s="137"/>
      <c r="J413" s="58" t="str" cm="1">
        <f>IF(ISBLANK($A413),"",INDEX(Array_ElectricalCharges,MATCH($A413,List_ElectricityMeters,0),ROUNDUP(COLUMN()/3,0)-2))</f>
        <v/>
      </c>
      <c r="K413" s="127"/>
      <c r="L413" s="137"/>
      <c r="M413" s="58" t="str" cm="1">
        <f>IF(ISBLANK($A413),"",INDEX(Array_ElectricalCharges,MATCH($A413,List_ElectricityMeters,0),ROUNDUP(COLUMN()/3,0)-2))</f>
        <v/>
      </c>
      <c r="N413" s="127"/>
      <c r="O413" s="137"/>
      <c r="P413" s="58" t="str" cm="1">
        <f>IF(ISBLANK($A413),"",INDEX(Array_ElectricalCharges,MATCH($A413,List_ElectricityMeters,0),ROUNDUP(COLUMN()/3,0)-2))</f>
        <v/>
      </c>
      <c r="Q413" s="127"/>
      <c r="R413" s="137"/>
      <c r="S413" s="58" t="str" cm="1">
        <f>IF(ISBLANK($A413),"",INDEX(Array_ElectricalCharges,MATCH($A413,List_ElectricityMeters,0),ROUNDUP(COLUMN()/3,0)-2))</f>
        <v/>
      </c>
      <c r="T413" s="127"/>
      <c r="U413" s="137"/>
      <c r="V413" s="58" t="str" cm="1">
        <f>IF(ISBLANK($A413),"",INDEX(Array_ElectricalCharges,MATCH($A413,List_ElectricityMeters,0),ROUNDUP(COLUMN()/3,0)-2))</f>
        <v/>
      </c>
      <c r="W413" s="127"/>
      <c r="X413" s="137"/>
      <c r="Y413" s="58" t="str" cm="1">
        <f>IF(ISBLANK($A413),"",INDEX(Array_ElectricalCharges,MATCH($A413,List_ElectricityMeters,0),ROUNDUP(COLUMN()/3,0)-2))</f>
        <v/>
      </c>
      <c r="Z413" s="127"/>
      <c r="AA413" s="137"/>
      <c r="AB413" s="58" t="str" cm="1">
        <f>IF(ISBLANK($A413),"",INDEX(Array_ElectricalCharges,MATCH($A413,List_ElectricityMeters,0),ROUNDUP(COLUMN()/3,0)-2))</f>
        <v/>
      </c>
      <c r="AC413" s="127"/>
      <c r="AD413" s="137"/>
      <c r="AE413" s="58" t="str" cm="1">
        <f>IF(ISBLANK($A413),"",INDEX(Array_ElectricalCharges,MATCH($A413,List_ElectricityMeters,0),ROUNDUP(COLUMN()/3,0)-2))</f>
        <v/>
      </c>
      <c r="AF413" s="127"/>
      <c r="AG413" s="137"/>
      <c r="AH413" s="58" t="str" cm="1">
        <f>IF(ISBLANK($A413),"",INDEX(Array_ElectricalCharges,MATCH($A413,List_ElectricityMeters,0),ROUNDUP(COLUMN()/3,0)-2))</f>
        <v/>
      </c>
      <c r="AI413" s="127"/>
      <c r="AJ413" s="137"/>
      <c r="AK413" s="58" t="str" cm="1">
        <f>IF(ISBLANK($A413),"",INDEX(Array_ElectricalCharges,MATCH($A413,List_ElectricityMeters,0),ROUNDUP(COLUMN()/3,0)-2))</f>
        <v/>
      </c>
      <c r="AL413" s="127"/>
      <c r="AM413" s="137"/>
      <c r="AN413" s="58" t="str" cm="1">
        <f>IF(ISBLANK($A413),"",INDEX(Array_ElectricalCharges,MATCH($A413,List_ElectricityMeters,0),ROUNDUP(COLUMN()/3,0)-2))</f>
        <v/>
      </c>
      <c r="AO413" s="127"/>
      <c r="AP413" s="137"/>
      <c r="AQ413" s="58" t="str" cm="1">
        <f>IF(ISBLANK($A413),"",INDEX(Array_ElectricalCharges,MATCH($A413,List_ElectricityMeters,0),ROUNDUP(COLUMN()/3,0)-2))</f>
        <v/>
      </c>
      <c r="AR413" s="127"/>
      <c r="AS413" s="137"/>
      <c r="AT413" s="58" t="str" cm="1">
        <f>IF(ISBLANK($A413),"",INDEX(Array_ElectricalCharges,MATCH($A413,List_ElectricityMeters,0),ROUNDUP(COLUMN()/3,0)-2))</f>
        <v/>
      </c>
      <c r="AU413" s="127"/>
      <c r="AV413" s="137"/>
      <c r="AW413" s="58" t="str" cm="1">
        <f>IF(ISBLANK($A413),"",INDEX(Array_ElectricalCharges,MATCH($A413,List_ElectricityMeters,0),ROUNDUP(COLUMN()/3,0)-2))</f>
        <v/>
      </c>
      <c r="AX413" s="127"/>
      <c r="AY413" s="137"/>
    </row>
    <row r="414" spans="1:51" x14ac:dyDescent="0.3">
      <c r="A414" s="126"/>
      <c r="B414" s="133"/>
      <c r="C414" s="134"/>
      <c r="D414" s="134"/>
      <c r="E414" s="135"/>
      <c r="F414" s="136"/>
      <c r="G414" s="58" t="str" cm="1">
        <f>IF(ISBLANK($A414),"",INDEX(Array_ElectricalCharges,MATCH($A414,List_ElectricityMeters,0),ROUNDUP(COLUMN()/3,0)-2))</f>
        <v/>
      </c>
      <c r="H414" s="127"/>
      <c r="I414" s="137"/>
      <c r="J414" s="58" t="str" cm="1">
        <f>IF(ISBLANK($A414),"",INDEX(Array_ElectricalCharges,MATCH($A414,List_ElectricityMeters,0),ROUNDUP(COLUMN()/3,0)-2))</f>
        <v/>
      </c>
      <c r="K414" s="127"/>
      <c r="L414" s="137"/>
      <c r="M414" s="58" t="str" cm="1">
        <f>IF(ISBLANK($A414),"",INDEX(Array_ElectricalCharges,MATCH($A414,List_ElectricityMeters,0),ROUNDUP(COLUMN()/3,0)-2))</f>
        <v/>
      </c>
      <c r="N414" s="127"/>
      <c r="O414" s="137"/>
      <c r="P414" s="58" t="str" cm="1">
        <f>IF(ISBLANK($A414),"",INDEX(Array_ElectricalCharges,MATCH($A414,List_ElectricityMeters,0),ROUNDUP(COLUMN()/3,0)-2))</f>
        <v/>
      </c>
      <c r="Q414" s="127"/>
      <c r="R414" s="137"/>
      <c r="S414" s="58" t="str" cm="1">
        <f>IF(ISBLANK($A414),"",INDEX(Array_ElectricalCharges,MATCH($A414,List_ElectricityMeters,0),ROUNDUP(COLUMN()/3,0)-2))</f>
        <v/>
      </c>
      <c r="T414" s="127"/>
      <c r="U414" s="137"/>
      <c r="V414" s="58" t="str" cm="1">
        <f>IF(ISBLANK($A414),"",INDEX(Array_ElectricalCharges,MATCH($A414,List_ElectricityMeters,0),ROUNDUP(COLUMN()/3,0)-2))</f>
        <v/>
      </c>
      <c r="W414" s="127"/>
      <c r="X414" s="137"/>
      <c r="Y414" s="58" t="str" cm="1">
        <f>IF(ISBLANK($A414),"",INDEX(Array_ElectricalCharges,MATCH($A414,List_ElectricityMeters,0),ROUNDUP(COLUMN()/3,0)-2))</f>
        <v/>
      </c>
      <c r="Z414" s="127"/>
      <c r="AA414" s="137"/>
      <c r="AB414" s="58" t="str" cm="1">
        <f>IF(ISBLANK($A414),"",INDEX(Array_ElectricalCharges,MATCH($A414,List_ElectricityMeters,0),ROUNDUP(COLUMN()/3,0)-2))</f>
        <v/>
      </c>
      <c r="AC414" s="127"/>
      <c r="AD414" s="137"/>
      <c r="AE414" s="58" t="str" cm="1">
        <f>IF(ISBLANK($A414),"",INDEX(Array_ElectricalCharges,MATCH($A414,List_ElectricityMeters,0),ROUNDUP(COLUMN()/3,0)-2))</f>
        <v/>
      </c>
      <c r="AF414" s="127"/>
      <c r="AG414" s="137"/>
      <c r="AH414" s="58" t="str" cm="1">
        <f>IF(ISBLANK($A414),"",INDEX(Array_ElectricalCharges,MATCH($A414,List_ElectricityMeters,0),ROUNDUP(COLUMN()/3,0)-2))</f>
        <v/>
      </c>
      <c r="AI414" s="127"/>
      <c r="AJ414" s="137"/>
      <c r="AK414" s="58" t="str" cm="1">
        <f>IF(ISBLANK($A414),"",INDEX(Array_ElectricalCharges,MATCH($A414,List_ElectricityMeters,0),ROUNDUP(COLUMN()/3,0)-2))</f>
        <v/>
      </c>
      <c r="AL414" s="127"/>
      <c r="AM414" s="137"/>
      <c r="AN414" s="58" t="str" cm="1">
        <f>IF(ISBLANK($A414),"",INDEX(Array_ElectricalCharges,MATCH($A414,List_ElectricityMeters,0),ROUNDUP(COLUMN()/3,0)-2))</f>
        <v/>
      </c>
      <c r="AO414" s="127"/>
      <c r="AP414" s="137"/>
      <c r="AQ414" s="58" t="str" cm="1">
        <f>IF(ISBLANK($A414),"",INDEX(Array_ElectricalCharges,MATCH($A414,List_ElectricityMeters,0),ROUNDUP(COLUMN()/3,0)-2))</f>
        <v/>
      </c>
      <c r="AR414" s="127"/>
      <c r="AS414" s="137"/>
      <c r="AT414" s="58" t="str" cm="1">
        <f>IF(ISBLANK($A414),"",INDEX(Array_ElectricalCharges,MATCH($A414,List_ElectricityMeters,0),ROUNDUP(COLUMN()/3,0)-2))</f>
        <v/>
      </c>
      <c r="AU414" s="127"/>
      <c r="AV414" s="137"/>
      <c r="AW414" s="58" t="str" cm="1">
        <f>IF(ISBLANK($A414),"",INDEX(Array_ElectricalCharges,MATCH($A414,List_ElectricityMeters,0),ROUNDUP(COLUMN()/3,0)-2))</f>
        <v/>
      </c>
      <c r="AX414" s="127"/>
      <c r="AY414" s="137"/>
    </row>
    <row r="415" spans="1:51" x14ac:dyDescent="0.3">
      <c r="A415" s="126"/>
      <c r="B415" s="133"/>
      <c r="C415" s="134"/>
      <c r="D415" s="134"/>
      <c r="E415" s="135"/>
      <c r="F415" s="136"/>
      <c r="G415" s="58" t="str" cm="1">
        <f>IF(ISBLANK($A415),"",INDEX(Array_ElectricalCharges,MATCH($A415,List_ElectricityMeters,0),ROUNDUP(COLUMN()/3,0)-2))</f>
        <v/>
      </c>
      <c r="H415" s="127"/>
      <c r="I415" s="137"/>
      <c r="J415" s="58" t="str" cm="1">
        <f>IF(ISBLANK($A415),"",INDEX(Array_ElectricalCharges,MATCH($A415,List_ElectricityMeters,0),ROUNDUP(COLUMN()/3,0)-2))</f>
        <v/>
      </c>
      <c r="K415" s="127"/>
      <c r="L415" s="137"/>
      <c r="M415" s="58" t="str" cm="1">
        <f>IF(ISBLANK($A415),"",INDEX(Array_ElectricalCharges,MATCH($A415,List_ElectricityMeters,0),ROUNDUP(COLUMN()/3,0)-2))</f>
        <v/>
      </c>
      <c r="N415" s="127"/>
      <c r="O415" s="137"/>
      <c r="P415" s="58" t="str" cm="1">
        <f>IF(ISBLANK($A415),"",INDEX(Array_ElectricalCharges,MATCH($A415,List_ElectricityMeters,0),ROUNDUP(COLUMN()/3,0)-2))</f>
        <v/>
      </c>
      <c r="Q415" s="127"/>
      <c r="R415" s="137"/>
      <c r="S415" s="58" t="str" cm="1">
        <f>IF(ISBLANK($A415),"",INDEX(Array_ElectricalCharges,MATCH($A415,List_ElectricityMeters,0),ROUNDUP(COLUMN()/3,0)-2))</f>
        <v/>
      </c>
      <c r="T415" s="127"/>
      <c r="U415" s="137"/>
      <c r="V415" s="58" t="str" cm="1">
        <f>IF(ISBLANK($A415),"",INDEX(Array_ElectricalCharges,MATCH($A415,List_ElectricityMeters,0),ROUNDUP(COLUMN()/3,0)-2))</f>
        <v/>
      </c>
      <c r="W415" s="127"/>
      <c r="X415" s="137"/>
      <c r="Y415" s="58" t="str" cm="1">
        <f>IF(ISBLANK($A415),"",INDEX(Array_ElectricalCharges,MATCH($A415,List_ElectricityMeters,0),ROUNDUP(COLUMN()/3,0)-2))</f>
        <v/>
      </c>
      <c r="Z415" s="127"/>
      <c r="AA415" s="137"/>
      <c r="AB415" s="58" t="str" cm="1">
        <f>IF(ISBLANK($A415),"",INDEX(Array_ElectricalCharges,MATCH($A415,List_ElectricityMeters,0),ROUNDUP(COLUMN()/3,0)-2))</f>
        <v/>
      </c>
      <c r="AC415" s="127"/>
      <c r="AD415" s="137"/>
      <c r="AE415" s="58" t="str" cm="1">
        <f>IF(ISBLANK($A415),"",INDEX(Array_ElectricalCharges,MATCH($A415,List_ElectricityMeters,0),ROUNDUP(COLUMN()/3,0)-2))</f>
        <v/>
      </c>
      <c r="AF415" s="127"/>
      <c r="AG415" s="137"/>
      <c r="AH415" s="58" t="str" cm="1">
        <f>IF(ISBLANK($A415),"",INDEX(Array_ElectricalCharges,MATCH($A415,List_ElectricityMeters,0),ROUNDUP(COLUMN()/3,0)-2))</f>
        <v/>
      </c>
      <c r="AI415" s="127"/>
      <c r="AJ415" s="137"/>
      <c r="AK415" s="58" t="str" cm="1">
        <f>IF(ISBLANK($A415),"",INDEX(Array_ElectricalCharges,MATCH($A415,List_ElectricityMeters,0),ROUNDUP(COLUMN()/3,0)-2))</f>
        <v/>
      </c>
      <c r="AL415" s="127"/>
      <c r="AM415" s="137"/>
      <c r="AN415" s="58" t="str" cm="1">
        <f>IF(ISBLANK($A415),"",INDEX(Array_ElectricalCharges,MATCH($A415,List_ElectricityMeters,0),ROUNDUP(COLUMN()/3,0)-2))</f>
        <v/>
      </c>
      <c r="AO415" s="127"/>
      <c r="AP415" s="137"/>
      <c r="AQ415" s="58" t="str" cm="1">
        <f>IF(ISBLANK($A415),"",INDEX(Array_ElectricalCharges,MATCH($A415,List_ElectricityMeters,0),ROUNDUP(COLUMN()/3,0)-2))</f>
        <v/>
      </c>
      <c r="AR415" s="127"/>
      <c r="AS415" s="137"/>
      <c r="AT415" s="58" t="str" cm="1">
        <f>IF(ISBLANK($A415),"",INDEX(Array_ElectricalCharges,MATCH($A415,List_ElectricityMeters,0),ROUNDUP(COLUMN()/3,0)-2))</f>
        <v/>
      </c>
      <c r="AU415" s="127"/>
      <c r="AV415" s="137"/>
      <c r="AW415" s="58" t="str" cm="1">
        <f>IF(ISBLANK($A415),"",INDEX(Array_ElectricalCharges,MATCH($A415,List_ElectricityMeters,0),ROUNDUP(COLUMN()/3,0)-2))</f>
        <v/>
      </c>
      <c r="AX415" s="127"/>
      <c r="AY415" s="137"/>
    </row>
    <row r="416" spans="1:51" x14ac:dyDescent="0.3">
      <c r="A416" s="126"/>
      <c r="B416" s="133"/>
      <c r="C416" s="134"/>
      <c r="D416" s="134"/>
      <c r="E416" s="135"/>
      <c r="F416" s="136"/>
      <c r="G416" s="58" t="str" cm="1">
        <f>IF(ISBLANK($A416),"",INDEX(Array_ElectricalCharges,MATCH($A416,List_ElectricityMeters,0),ROUNDUP(COLUMN()/3,0)-2))</f>
        <v/>
      </c>
      <c r="H416" s="127"/>
      <c r="I416" s="137"/>
      <c r="J416" s="58" t="str" cm="1">
        <f>IF(ISBLANK($A416),"",INDEX(Array_ElectricalCharges,MATCH($A416,List_ElectricityMeters,0),ROUNDUP(COLUMN()/3,0)-2))</f>
        <v/>
      </c>
      <c r="K416" s="127"/>
      <c r="L416" s="137"/>
      <c r="M416" s="58" t="str" cm="1">
        <f>IF(ISBLANK($A416),"",INDEX(Array_ElectricalCharges,MATCH($A416,List_ElectricityMeters,0),ROUNDUP(COLUMN()/3,0)-2))</f>
        <v/>
      </c>
      <c r="N416" s="127"/>
      <c r="O416" s="137"/>
      <c r="P416" s="58" t="str" cm="1">
        <f>IF(ISBLANK($A416),"",INDEX(Array_ElectricalCharges,MATCH($A416,List_ElectricityMeters,0),ROUNDUP(COLUMN()/3,0)-2))</f>
        <v/>
      </c>
      <c r="Q416" s="127"/>
      <c r="R416" s="137"/>
      <c r="S416" s="58" t="str" cm="1">
        <f>IF(ISBLANK($A416),"",INDEX(Array_ElectricalCharges,MATCH($A416,List_ElectricityMeters,0),ROUNDUP(COLUMN()/3,0)-2))</f>
        <v/>
      </c>
      <c r="T416" s="127"/>
      <c r="U416" s="137"/>
      <c r="V416" s="58" t="str" cm="1">
        <f>IF(ISBLANK($A416),"",INDEX(Array_ElectricalCharges,MATCH($A416,List_ElectricityMeters,0),ROUNDUP(COLUMN()/3,0)-2))</f>
        <v/>
      </c>
      <c r="W416" s="127"/>
      <c r="X416" s="137"/>
      <c r="Y416" s="58" t="str" cm="1">
        <f>IF(ISBLANK($A416),"",INDEX(Array_ElectricalCharges,MATCH($A416,List_ElectricityMeters,0),ROUNDUP(COLUMN()/3,0)-2))</f>
        <v/>
      </c>
      <c r="Z416" s="127"/>
      <c r="AA416" s="137"/>
      <c r="AB416" s="58" t="str" cm="1">
        <f>IF(ISBLANK($A416),"",INDEX(Array_ElectricalCharges,MATCH($A416,List_ElectricityMeters,0),ROUNDUP(COLUMN()/3,0)-2))</f>
        <v/>
      </c>
      <c r="AC416" s="127"/>
      <c r="AD416" s="137"/>
      <c r="AE416" s="58" t="str" cm="1">
        <f>IF(ISBLANK($A416),"",INDEX(Array_ElectricalCharges,MATCH($A416,List_ElectricityMeters,0),ROUNDUP(COLUMN()/3,0)-2))</f>
        <v/>
      </c>
      <c r="AF416" s="127"/>
      <c r="AG416" s="137"/>
      <c r="AH416" s="58" t="str" cm="1">
        <f>IF(ISBLANK($A416),"",INDEX(Array_ElectricalCharges,MATCH($A416,List_ElectricityMeters,0),ROUNDUP(COLUMN()/3,0)-2))</f>
        <v/>
      </c>
      <c r="AI416" s="127"/>
      <c r="AJ416" s="137"/>
      <c r="AK416" s="58" t="str" cm="1">
        <f>IF(ISBLANK($A416),"",INDEX(Array_ElectricalCharges,MATCH($A416,List_ElectricityMeters,0),ROUNDUP(COLUMN()/3,0)-2))</f>
        <v/>
      </c>
      <c r="AL416" s="127"/>
      <c r="AM416" s="137"/>
      <c r="AN416" s="58" t="str" cm="1">
        <f>IF(ISBLANK($A416),"",INDEX(Array_ElectricalCharges,MATCH($A416,List_ElectricityMeters,0),ROUNDUP(COLUMN()/3,0)-2))</f>
        <v/>
      </c>
      <c r="AO416" s="127"/>
      <c r="AP416" s="137"/>
      <c r="AQ416" s="58" t="str" cm="1">
        <f>IF(ISBLANK($A416),"",INDEX(Array_ElectricalCharges,MATCH($A416,List_ElectricityMeters,0),ROUNDUP(COLUMN()/3,0)-2))</f>
        <v/>
      </c>
      <c r="AR416" s="127"/>
      <c r="AS416" s="137"/>
      <c r="AT416" s="58" t="str" cm="1">
        <f>IF(ISBLANK($A416),"",INDEX(Array_ElectricalCharges,MATCH($A416,List_ElectricityMeters,0),ROUNDUP(COLUMN()/3,0)-2))</f>
        <v/>
      </c>
      <c r="AU416" s="127"/>
      <c r="AV416" s="137"/>
      <c r="AW416" s="58" t="str" cm="1">
        <f>IF(ISBLANK($A416),"",INDEX(Array_ElectricalCharges,MATCH($A416,List_ElectricityMeters,0),ROUNDUP(COLUMN()/3,0)-2))</f>
        <v/>
      </c>
      <c r="AX416" s="127"/>
      <c r="AY416" s="137"/>
    </row>
    <row r="417" spans="1:51" x14ac:dyDescent="0.3">
      <c r="A417" s="126"/>
      <c r="B417" s="133"/>
      <c r="C417" s="134"/>
      <c r="D417" s="134"/>
      <c r="E417" s="135"/>
      <c r="F417" s="136"/>
      <c r="G417" s="58" t="str" cm="1">
        <f>IF(ISBLANK($A417),"",INDEX(Array_ElectricalCharges,MATCH($A417,List_ElectricityMeters,0),ROUNDUP(COLUMN()/3,0)-2))</f>
        <v/>
      </c>
      <c r="H417" s="127"/>
      <c r="I417" s="137"/>
      <c r="J417" s="58" t="str" cm="1">
        <f>IF(ISBLANK($A417),"",INDEX(Array_ElectricalCharges,MATCH($A417,List_ElectricityMeters,0),ROUNDUP(COLUMN()/3,0)-2))</f>
        <v/>
      </c>
      <c r="K417" s="127"/>
      <c r="L417" s="137"/>
      <c r="M417" s="58" t="str" cm="1">
        <f>IF(ISBLANK($A417),"",INDEX(Array_ElectricalCharges,MATCH($A417,List_ElectricityMeters,0),ROUNDUP(COLUMN()/3,0)-2))</f>
        <v/>
      </c>
      <c r="N417" s="127"/>
      <c r="O417" s="137"/>
      <c r="P417" s="58" t="str" cm="1">
        <f>IF(ISBLANK($A417),"",INDEX(Array_ElectricalCharges,MATCH($A417,List_ElectricityMeters,0),ROUNDUP(COLUMN()/3,0)-2))</f>
        <v/>
      </c>
      <c r="Q417" s="127"/>
      <c r="R417" s="137"/>
      <c r="S417" s="58" t="str" cm="1">
        <f>IF(ISBLANK($A417),"",INDEX(Array_ElectricalCharges,MATCH($A417,List_ElectricityMeters,0),ROUNDUP(COLUMN()/3,0)-2))</f>
        <v/>
      </c>
      <c r="T417" s="127"/>
      <c r="U417" s="137"/>
      <c r="V417" s="58" t="str" cm="1">
        <f>IF(ISBLANK($A417),"",INDEX(Array_ElectricalCharges,MATCH($A417,List_ElectricityMeters,0),ROUNDUP(COLUMN()/3,0)-2))</f>
        <v/>
      </c>
      <c r="W417" s="127"/>
      <c r="X417" s="137"/>
      <c r="Y417" s="58" t="str" cm="1">
        <f>IF(ISBLANK($A417),"",INDEX(Array_ElectricalCharges,MATCH($A417,List_ElectricityMeters,0),ROUNDUP(COLUMN()/3,0)-2))</f>
        <v/>
      </c>
      <c r="Z417" s="127"/>
      <c r="AA417" s="137"/>
      <c r="AB417" s="58" t="str" cm="1">
        <f>IF(ISBLANK($A417),"",INDEX(Array_ElectricalCharges,MATCH($A417,List_ElectricityMeters,0),ROUNDUP(COLUMN()/3,0)-2))</f>
        <v/>
      </c>
      <c r="AC417" s="127"/>
      <c r="AD417" s="137"/>
      <c r="AE417" s="58" t="str" cm="1">
        <f>IF(ISBLANK($A417),"",INDEX(Array_ElectricalCharges,MATCH($A417,List_ElectricityMeters,0),ROUNDUP(COLUMN()/3,0)-2))</f>
        <v/>
      </c>
      <c r="AF417" s="127"/>
      <c r="AG417" s="137"/>
      <c r="AH417" s="58" t="str" cm="1">
        <f>IF(ISBLANK($A417),"",INDEX(Array_ElectricalCharges,MATCH($A417,List_ElectricityMeters,0),ROUNDUP(COLUMN()/3,0)-2))</f>
        <v/>
      </c>
      <c r="AI417" s="127"/>
      <c r="AJ417" s="137"/>
      <c r="AK417" s="58" t="str" cm="1">
        <f>IF(ISBLANK($A417),"",INDEX(Array_ElectricalCharges,MATCH($A417,List_ElectricityMeters,0),ROUNDUP(COLUMN()/3,0)-2))</f>
        <v/>
      </c>
      <c r="AL417" s="127"/>
      <c r="AM417" s="137"/>
      <c r="AN417" s="58" t="str" cm="1">
        <f>IF(ISBLANK($A417),"",INDEX(Array_ElectricalCharges,MATCH($A417,List_ElectricityMeters,0),ROUNDUP(COLUMN()/3,0)-2))</f>
        <v/>
      </c>
      <c r="AO417" s="127"/>
      <c r="AP417" s="137"/>
      <c r="AQ417" s="58" t="str" cm="1">
        <f>IF(ISBLANK($A417),"",INDEX(Array_ElectricalCharges,MATCH($A417,List_ElectricityMeters,0),ROUNDUP(COLUMN()/3,0)-2))</f>
        <v/>
      </c>
      <c r="AR417" s="127"/>
      <c r="AS417" s="137"/>
      <c r="AT417" s="58" t="str" cm="1">
        <f>IF(ISBLANK($A417),"",INDEX(Array_ElectricalCharges,MATCH($A417,List_ElectricityMeters,0),ROUNDUP(COLUMN()/3,0)-2))</f>
        <v/>
      </c>
      <c r="AU417" s="127"/>
      <c r="AV417" s="137"/>
      <c r="AW417" s="58" t="str" cm="1">
        <f>IF(ISBLANK($A417),"",INDEX(Array_ElectricalCharges,MATCH($A417,List_ElectricityMeters,0),ROUNDUP(COLUMN()/3,0)-2))</f>
        <v/>
      </c>
      <c r="AX417" s="127"/>
      <c r="AY417" s="137"/>
    </row>
    <row r="418" spans="1:51" x14ac:dyDescent="0.3">
      <c r="A418" s="126"/>
      <c r="B418" s="133"/>
      <c r="C418" s="134"/>
      <c r="D418" s="134"/>
      <c r="E418" s="135"/>
      <c r="F418" s="136"/>
      <c r="G418" s="58" t="str" cm="1">
        <f>IF(ISBLANK($A418),"",INDEX(Array_ElectricalCharges,MATCH($A418,List_ElectricityMeters,0),ROUNDUP(COLUMN()/3,0)-2))</f>
        <v/>
      </c>
      <c r="H418" s="127"/>
      <c r="I418" s="137"/>
      <c r="J418" s="58" t="str" cm="1">
        <f>IF(ISBLANK($A418),"",INDEX(Array_ElectricalCharges,MATCH($A418,List_ElectricityMeters,0),ROUNDUP(COLUMN()/3,0)-2))</f>
        <v/>
      </c>
      <c r="K418" s="127"/>
      <c r="L418" s="137"/>
      <c r="M418" s="58" t="str" cm="1">
        <f>IF(ISBLANK($A418),"",INDEX(Array_ElectricalCharges,MATCH($A418,List_ElectricityMeters,0),ROUNDUP(COLUMN()/3,0)-2))</f>
        <v/>
      </c>
      <c r="N418" s="127"/>
      <c r="O418" s="137"/>
      <c r="P418" s="58" t="str" cm="1">
        <f>IF(ISBLANK($A418),"",INDEX(Array_ElectricalCharges,MATCH($A418,List_ElectricityMeters,0),ROUNDUP(COLUMN()/3,0)-2))</f>
        <v/>
      </c>
      <c r="Q418" s="127"/>
      <c r="R418" s="137"/>
      <c r="S418" s="58" t="str" cm="1">
        <f>IF(ISBLANK($A418),"",INDEX(Array_ElectricalCharges,MATCH($A418,List_ElectricityMeters,0),ROUNDUP(COLUMN()/3,0)-2))</f>
        <v/>
      </c>
      <c r="T418" s="127"/>
      <c r="U418" s="137"/>
      <c r="V418" s="58" t="str" cm="1">
        <f>IF(ISBLANK($A418),"",INDEX(Array_ElectricalCharges,MATCH($A418,List_ElectricityMeters,0),ROUNDUP(COLUMN()/3,0)-2))</f>
        <v/>
      </c>
      <c r="W418" s="127"/>
      <c r="X418" s="137"/>
      <c r="Y418" s="58" t="str" cm="1">
        <f>IF(ISBLANK($A418),"",INDEX(Array_ElectricalCharges,MATCH($A418,List_ElectricityMeters,0),ROUNDUP(COLUMN()/3,0)-2))</f>
        <v/>
      </c>
      <c r="Z418" s="127"/>
      <c r="AA418" s="137"/>
      <c r="AB418" s="58" t="str" cm="1">
        <f>IF(ISBLANK($A418),"",INDEX(Array_ElectricalCharges,MATCH($A418,List_ElectricityMeters,0),ROUNDUP(COLUMN()/3,0)-2))</f>
        <v/>
      </c>
      <c r="AC418" s="127"/>
      <c r="AD418" s="137"/>
      <c r="AE418" s="58" t="str" cm="1">
        <f>IF(ISBLANK($A418),"",INDEX(Array_ElectricalCharges,MATCH($A418,List_ElectricityMeters,0),ROUNDUP(COLUMN()/3,0)-2))</f>
        <v/>
      </c>
      <c r="AF418" s="127"/>
      <c r="AG418" s="137"/>
      <c r="AH418" s="58" t="str" cm="1">
        <f>IF(ISBLANK($A418),"",INDEX(Array_ElectricalCharges,MATCH($A418,List_ElectricityMeters,0),ROUNDUP(COLUMN()/3,0)-2))</f>
        <v/>
      </c>
      <c r="AI418" s="127"/>
      <c r="AJ418" s="137"/>
      <c r="AK418" s="58" t="str" cm="1">
        <f>IF(ISBLANK($A418),"",INDEX(Array_ElectricalCharges,MATCH($A418,List_ElectricityMeters,0),ROUNDUP(COLUMN()/3,0)-2))</f>
        <v/>
      </c>
      <c r="AL418" s="127"/>
      <c r="AM418" s="137"/>
      <c r="AN418" s="58" t="str" cm="1">
        <f>IF(ISBLANK($A418),"",INDEX(Array_ElectricalCharges,MATCH($A418,List_ElectricityMeters,0),ROUNDUP(COLUMN()/3,0)-2))</f>
        <v/>
      </c>
      <c r="AO418" s="127"/>
      <c r="AP418" s="137"/>
      <c r="AQ418" s="58" t="str" cm="1">
        <f>IF(ISBLANK($A418),"",INDEX(Array_ElectricalCharges,MATCH($A418,List_ElectricityMeters,0),ROUNDUP(COLUMN()/3,0)-2))</f>
        <v/>
      </c>
      <c r="AR418" s="127"/>
      <c r="AS418" s="137"/>
      <c r="AT418" s="58" t="str" cm="1">
        <f>IF(ISBLANK($A418),"",INDEX(Array_ElectricalCharges,MATCH($A418,List_ElectricityMeters,0),ROUNDUP(COLUMN()/3,0)-2))</f>
        <v/>
      </c>
      <c r="AU418" s="127"/>
      <c r="AV418" s="137"/>
      <c r="AW418" s="58" t="str" cm="1">
        <f>IF(ISBLANK($A418),"",INDEX(Array_ElectricalCharges,MATCH($A418,List_ElectricityMeters,0),ROUNDUP(COLUMN()/3,0)-2))</f>
        <v/>
      </c>
      <c r="AX418" s="127"/>
      <c r="AY418" s="137"/>
    </row>
    <row r="419" spans="1:51" x14ac:dyDescent="0.3">
      <c r="A419" s="126"/>
      <c r="B419" s="133"/>
      <c r="C419" s="134"/>
      <c r="D419" s="134"/>
      <c r="E419" s="135"/>
      <c r="F419" s="136"/>
      <c r="G419" s="58" t="str" cm="1">
        <f>IF(ISBLANK($A419),"",INDEX(Array_ElectricalCharges,MATCH($A419,List_ElectricityMeters,0),ROUNDUP(COLUMN()/3,0)-2))</f>
        <v/>
      </c>
      <c r="H419" s="127"/>
      <c r="I419" s="137"/>
      <c r="J419" s="58" t="str" cm="1">
        <f>IF(ISBLANK($A419),"",INDEX(Array_ElectricalCharges,MATCH($A419,List_ElectricityMeters,0),ROUNDUP(COLUMN()/3,0)-2))</f>
        <v/>
      </c>
      <c r="K419" s="127"/>
      <c r="L419" s="137"/>
      <c r="M419" s="58" t="str" cm="1">
        <f>IF(ISBLANK($A419),"",INDEX(Array_ElectricalCharges,MATCH($A419,List_ElectricityMeters,0),ROUNDUP(COLUMN()/3,0)-2))</f>
        <v/>
      </c>
      <c r="N419" s="127"/>
      <c r="O419" s="137"/>
      <c r="P419" s="58" t="str" cm="1">
        <f>IF(ISBLANK($A419),"",INDEX(Array_ElectricalCharges,MATCH($A419,List_ElectricityMeters,0),ROUNDUP(COLUMN()/3,0)-2))</f>
        <v/>
      </c>
      <c r="Q419" s="127"/>
      <c r="R419" s="137"/>
      <c r="S419" s="58" t="str" cm="1">
        <f>IF(ISBLANK($A419),"",INDEX(Array_ElectricalCharges,MATCH($A419,List_ElectricityMeters,0),ROUNDUP(COLUMN()/3,0)-2))</f>
        <v/>
      </c>
      <c r="T419" s="127"/>
      <c r="U419" s="137"/>
      <c r="V419" s="58" t="str" cm="1">
        <f>IF(ISBLANK($A419),"",INDEX(Array_ElectricalCharges,MATCH($A419,List_ElectricityMeters,0),ROUNDUP(COLUMN()/3,0)-2))</f>
        <v/>
      </c>
      <c r="W419" s="127"/>
      <c r="X419" s="137"/>
      <c r="Y419" s="58" t="str" cm="1">
        <f>IF(ISBLANK($A419),"",INDEX(Array_ElectricalCharges,MATCH($A419,List_ElectricityMeters,0),ROUNDUP(COLUMN()/3,0)-2))</f>
        <v/>
      </c>
      <c r="Z419" s="127"/>
      <c r="AA419" s="137"/>
      <c r="AB419" s="58" t="str" cm="1">
        <f>IF(ISBLANK($A419),"",INDEX(Array_ElectricalCharges,MATCH($A419,List_ElectricityMeters,0),ROUNDUP(COLUMN()/3,0)-2))</f>
        <v/>
      </c>
      <c r="AC419" s="127"/>
      <c r="AD419" s="137"/>
      <c r="AE419" s="58" t="str" cm="1">
        <f>IF(ISBLANK($A419),"",INDEX(Array_ElectricalCharges,MATCH($A419,List_ElectricityMeters,0),ROUNDUP(COLUMN()/3,0)-2))</f>
        <v/>
      </c>
      <c r="AF419" s="127"/>
      <c r="AG419" s="137"/>
      <c r="AH419" s="58" t="str" cm="1">
        <f>IF(ISBLANK($A419),"",INDEX(Array_ElectricalCharges,MATCH($A419,List_ElectricityMeters,0),ROUNDUP(COLUMN()/3,0)-2))</f>
        <v/>
      </c>
      <c r="AI419" s="127"/>
      <c r="AJ419" s="137"/>
      <c r="AK419" s="58" t="str" cm="1">
        <f>IF(ISBLANK($A419),"",INDEX(Array_ElectricalCharges,MATCH($A419,List_ElectricityMeters,0),ROUNDUP(COLUMN()/3,0)-2))</f>
        <v/>
      </c>
      <c r="AL419" s="127"/>
      <c r="AM419" s="137"/>
      <c r="AN419" s="58" t="str" cm="1">
        <f>IF(ISBLANK($A419),"",INDEX(Array_ElectricalCharges,MATCH($A419,List_ElectricityMeters,0),ROUNDUP(COLUMN()/3,0)-2))</f>
        <v/>
      </c>
      <c r="AO419" s="127"/>
      <c r="AP419" s="137"/>
      <c r="AQ419" s="58" t="str" cm="1">
        <f>IF(ISBLANK($A419),"",INDEX(Array_ElectricalCharges,MATCH($A419,List_ElectricityMeters,0),ROUNDUP(COLUMN()/3,0)-2))</f>
        <v/>
      </c>
      <c r="AR419" s="127"/>
      <c r="AS419" s="137"/>
      <c r="AT419" s="58" t="str" cm="1">
        <f>IF(ISBLANK($A419),"",INDEX(Array_ElectricalCharges,MATCH($A419,List_ElectricityMeters,0),ROUNDUP(COLUMN()/3,0)-2))</f>
        <v/>
      </c>
      <c r="AU419" s="127"/>
      <c r="AV419" s="137"/>
      <c r="AW419" s="58" t="str" cm="1">
        <f>IF(ISBLANK($A419),"",INDEX(Array_ElectricalCharges,MATCH($A419,List_ElectricityMeters,0),ROUNDUP(COLUMN()/3,0)-2))</f>
        <v/>
      </c>
      <c r="AX419" s="127"/>
      <c r="AY419" s="137"/>
    </row>
    <row r="420" spans="1:51" x14ac:dyDescent="0.3">
      <c r="A420" s="126"/>
      <c r="B420" s="133"/>
      <c r="C420" s="134"/>
      <c r="D420" s="134"/>
      <c r="E420" s="135"/>
      <c r="F420" s="136"/>
      <c r="G420" s="58" t="str" cm="1">
        <f>IF(ISBLANK($A420),"",INDEX(Array_ElectricalCharges,MATCH($A420,List_ElectricityMeters,0),ROUNDUP(COLUMN()/3,0)-2))</f>
        <v/>
      </c>
      <c r="H420" s="127"/>
      <c r="I420" s="137"/>
      <c r="J420" s="58" t="str" cm="1">
        <f>IF(ISBLANK($A420),"",INDEX(Array_ElectricalCharges,MATCH($A420,List_ElectricityMeters,0),ROUNDUP(COLUMN()/3,0)-2))</f>
        <v/>
      </c>
      <c r="K420" s="127"/>
      <c r="L420" s="137"/>
      <c r="M420" s="58" t="str" cm="1">
        <f>IF(ISBLANK($A420),"",INDEX(Array_ElectricalCharges,MATCH($A420,List_ElectricityMeters,0),ROUNDUP(COLUMN()/3,0)-2))</f>
        <v/>
      </c>
      <c r="N420" s="127"/>
      <c r="O420" s="137"/>
      <c r="P420" s="58" t="str" cm="1">
        <f>IF(ISBLANK($A420),"",INDEX(Array_ElectricalCharges,MATCH($A420,List_ElectricityMeters,0),ROUNDUP(COLUMN()/3,0)-2))</f>
        <v/>
      </c>
      <c r="Q420" s="127"/>
      <c r="R420" s="137"/>
      <c r="S420" s="58" t="str" cm="1">
        <f>IF(ISBLANK($A420),"",INDEX(Array_ElectricalCharges,MATCH($A420,List_ElectricityMeters,0),ROUNDUP(COLUMN()/3,0)-2))</f>
        <v/>
      </c>
      <c r="T420" s="127"/>
      <c r="U420" s="137"/>
      <c r="V420" s="58" t="str" cm="1">
        <f>IF(ISBLANK($A420),"",INDEX(Array_ElectricalCharges,MATCH($A420,List_ElectricityMeters,0),ROUNDUP(COLUMN()/3,0)-2))</f>
        <v/>
      </c>
      <c r="W420" s="127"/>
      <c r="X420" s="137"/>
      <c r="Y420" s="58" t="str" cm="1">
        <f>IF(ISBLANK($A420),"",INDEX(Array_ElectricalCharges,MATCH($A420,List_ElectricityMeters,0),ROUNDUP(COLUMN()/3,0)-2))</f>
        <v/>
      </c>
      <c r="Z420" s="127"/>
      <c r="AA420" s="137"/>
      <c r="AB420" s="58" t="str" cm="1">
        <f>IF(ISBLANK($A420),"",INDEX(Array_ElectricalCharges,MATCH($A420,List_ElectricityMeters,0),ROUNDUP(COLUMN()/3,0)-2))</f>
        <v/>
      </c>
      <c r="AC420" s="127"/>
      <c r="AD420" s="137"/>
      <c r="AE420" s="58" t="str" cm="1">
        <f>IF(ISBLANK($A420),"",INDEX(Array_ElectricalCharges,MATCH($A420,List_ElectricityMeters,0),ROUNDUP(COLUMN()/3,0)-2))</f>
        <v/>
      </c>
      <c r="AF420" s="127"/>
      <c r="AG420" s="137"/>
      <c r="AH420" s="58" t="str" cm="1">
        <f>IF(ISBLANK($A420),"",INDEX(Array_ElectricalCharges,MATCH($A420,List_ElectricityMeters,0),ROUNDUP(COLUMN()/3,0)-2))</f>
        <v/>
      </c>
      <c r="AI420" s="127"/>
      <c r="AJ420" s="137"/>
      <c r="AK420" s="58" t="str" cm="1">
        <f>IF(ISBLANK($A420),"",INDEX(Array_ElectricalCharges,MATCH($A420,List_ElectricityMeters,0),ROUNDUP(COLUMN()/3,0)-2))</f>
        <v/>
      </c>
      <c r="AL420" s="127"/>
      <c r="AM420" s="137"/>
      <c r="AN420" s="58" t="str" cm="1">
        <f>IF(ISBLANK($A420),"",INDEX(Array_ElectricalCharges,MATCH($A420,List_ElectricityMeters,0),ROUNDUP(COLUMN()/3,0)-2))</f>
        <v/>
      </c>
      <c r="AO420" s="127"/>
      <c r="AP420" s="137"/>
      <c r="AQ420" s="58" t="str" cm="1">
        <f>IF(ISBLANK($A420),"",INDEX(Array_ElectricalCharges,MATCH($A420,List_ElectricityMeters,0),ROUNDUP(COLUMN()/3,0)-2))</f>
        <v/>
      </c>
      <c r="AR420" s="127"/>
      <c r="AS420" s="137"/>
      <c r="AT420" s="58" t="str" cm="1">
        <f>IF(ISBLANK($A420),"",INDEX(Array_ElectricalCharges,MATCH($A420,List_ElectricityMeters,0),ROUNDUP(COLUMN()/3,0)-2))</f>
        <v/>
      </c>
      <c r="AU420" s="127"/>
      <c r="AV420" s="137"/>
      <c r="AW420" s="58" t="str" cm="1">
        <f>IF(ISBLANK($A420),"",INDEX(Array_ElectricalCharges,MATCH($A420,List_ElectricityMeters,0),ROUNDUP(COLUMN()/3,0)-2))</f>
        <v/>
      </c>
      <c r="AX420" s="127"/>
      <c r="AY420" s="137"/>
    </row>
    <row r="421" spans="1:51" x14ac:dyDescent="0.3">
      <c r="A421" s="126"/>
      <c r="B421" s="133"/>
      <c r="C421" s="134"/>
      <c r="D421" s="134"/>
      <c r="E421" s="135"/>
      <c r="F421" s="136"/>
      <c r="G421" s="58" t="str" cm="1">
        <f>IF(ISBLANK($A421),"",INDEX(Array_ElectricalCharges,MATCH($A421,List_ElectricityMeters,0),ROUNDUP(COLUMN()/3,0)-2))</f>
        <v/>
      </c>
      <c r="H421" s="127"/>
      <c r="I421" s="137"/>
      <c r="J421" s="58" t="str" cm="1">
        <f>IF(ISBLANK($A421),"",INDEX(Array_ElectricalCharges,MATCH($A421,List_ElectricityMeters,0),ROUNDUP(COLUMN()/3,0)-2))</f>
        <v/>
      </c>
      <c r="K421" s="127"/>
      <c r="L421" s="137"/>
      <c r="M421" s="58" t="str" cm="1">
        <f>IF(ISBLANK($A421),"",INDEX(Array_ElectricalCharges,MATCH($A421,List_ElectricityMeters,0),ROUNDUP(COLUMN()/3,0)-2))</f>
        <v/>
      </c>
      <c r="N421" s="127"/>
      <c r="O421" s="137"/>
      <c r="P421" s="58" t="str" cm="1">
        <f>IF(ISBLANK($A421),"",INDEX(Array_ElectricalCharges,MATCH($A421,List_ElectricityMeters,0),ROUNDUP(COLUMN()/3,0)-2))</f>
        <v/>
      </c>
      <c r="Q421" s="127"/>
      <c r="R421" s="137"/>
      <c r="S421" s="58" t="str" cm="1">
        <f>IF(ISBLANK($A421),"",INDEX(Array_ElectricalCharges,MATCH($A421,List_ElectricityMeters,0),ROUNDUP(COLUMN()/3,0)-2))</f>
        <v/>
      </c>
      <c r="T421" s="127"/>
      <c r="U421" s="137"/>
      <c r="V421" s="58" t="str" cm="1">
        <f>IF(ISBLANK($A421),"",INDEX(Array_ElectricalCharges,MATCH($A421,List_ElectricityMeters,0),ROUNDUP(COLUMN()/3,0)-2))</f>
        <v/>
      </c>
      <c r="W421" s="127"/>
      <c r="X421" s="137"/>
      <c r="Y421" s="58" t="str" cm="1">
        <f>IF(ISBLANK($A421),"",INDEX(Array_ElectricalCharges,MATCH($A421,List_ElectricityMeters,0),ROUNDUP(COLUMN()/3,0)-2))</f>
        <v/>
      </c>
      <c r="Z421" s="127"/>
      <c r="AA421" s="137"/>
      <c r="AB421" s="58" t="str" cm="1">
        <f>IF(ISBLANK($A421),"",INDEX(Array_ElectricalCharges,MATCH($A421,List_ElectricityMeters,0),ROUNDUP(COLUMN()/3,0)-2))</f>
        <v/>
      </c>
      <c r="AC421" s="127"/>
      <c r="AD421" s="137"/>
      <c r="AE421" s="58" t="str" cm="1">
        <f>IF(ISBLANK($A421),"",INDEX(Array_ElectricalCharges,MATCH($A421,List_ElectricityMeters,0),ROUNDUP(COLUMN()/3,0)-2))</f>
        <v/>
      </c>
      <c r="AF421" s="127"/>
      <c r="AG421" s="137"/>
      <c r="AH421" s="58" t="str" cm="1">
        <f>IF(ISBLANK($A421),"",INDEX(Array_ElectricalCharges,MATCH($A421,List_ElectricityMeters,0),ROUNDUP(COLUMN()/3,0)-2))</f>
        <v/>
      </c>
      <c r="AI421" s="127"/>
      <c r="AJ421" s="137"/>
      <c r="AK421" s="58" t="str" cm="1">
        <f>IF(ISBLANK($A421),"",INDEX(Array_ElectricalCharges,MATCH($A421,List_ElectricityMeters,0),ROUNDUP(COLUMN()/3,0)-2))</f>
        <v/>
      </c>
      <c r="AL421" s="127"/>
      <c r="AM421" s="137"/>
      <c r="AN421" s="58" t="str" cm="1">
        <f>IF(ISBLANK($A421),"",INDEX(Array_ElectricalCharges,MATCH($A421,List_ElectricityMeters,0),ROUNDUP(COLUMN()/3,0)-2))</f>
        <v/>
      </c>
      <c r="AO421" s="127"/>
      <c r="AP421" s="137"/>
      <c r="AQ421" s="58" t="str" cm="1">
        <f>IF(ISBLANK($A421),"",INDEX(Array_ElectricalCharges,MATCH($A421,List_ElectricityMeters,0),ROUNDUP(COLUMN()/3,0)-2))</f>
        <v/>
      </c>
      <c r="AR421" s="127"/>
      <c r="AS421" s="137"/>
      <c r="AT421" s="58" t="str" cm="1">
        <f>IF(ISBLANK($A421),"",INDEX(Array_ElectricalCharges,MATCH($A421,List_ElectricityMeters,0),ROUNDUP(COLUMN()/3,0)-2))</f>
        <v/>
      </c>
      <c r="AU421" s="127"/>
      <c r="AV421" s="137"/>
      <c r="AW421" s="58" t="str" cm="1">
        <f>IF(ISBLANK($A421),"",INDEX(Array_ElectricalCharges,MATCH($A421,List_ElectricityMeters,0),ROUNDUP(COLUMN()/3,0)-2))</f>
        <v/>
      </c>
      <c r="AX421" s="127"/>
      <c r="AY421" s="137"/>
    </row>
    <row r="422" spans="1:51" x14ac:dyDescent="0.3">
      <c r="A422" s="126"/>
      <c r="B422" s="133"/>
      <c r="C422" s="134"/>
      <c r="D422" s="134"/>
      <c r="E422" s="135"/>
      <c r="F422" s="136"/>
      <c r="G422" s="58" t="str" cm="1">
        <f>IF(ISBLANK($A422),"",INDEX(Array_ElectricalCharges,MATCH($A422,List_ElectricityMeters,0),ROUNDUP(COLUMN()/3,0)-2))</f>
        <v/>
      </c>
      <c r="H422" s="127"/>
      <c r="I422" s="137"/>
      <c r="J422" s="58" t="str" cm="1">
        <f>IF(ISBLANK($A422),"",INDEX(Array_ElectricalCharges,MATCH($A422,List_ElectricityMeters,0),ROUNDUP(COLUMN()/3,0)-2))</f>
        <v/>
      </c>
      <c r="K422" s="127"/>
      <c r="L422" s="137"/>
      <c r="M422" s="58" t="str" cm="1">
        <f>IF(ISBLANK($A422),"",INDEX(Array_ElectricalCharges,MATCH($A422,List_ElectricityMeters,0),ROUNDUP(COLUMN()/3,0)-2))</f>
        <v/>
      </c>
      <c r="N422" s="127"/>
      <c r="O422" s="137"/>
      <c r="P422" s="58" t="str" cm="1">
        <f>IF(ISBLANK($A422),"",INDEX(Array_ElectricalCharges,MATCH($A422,List_ElectricityMeters,0),ROUNDUP(COLUMN()/3,0)-2))</f>
        <v/>
      </c>
      <c r="Q422" s="127"/>
      <c r="R422" s="137"/>
      <c r="S422" s="58" t="str" cm="1">
        <f>IF(ISBLANK($A422),"",INDEX(Array_ElectricalCharges,MATCH($A422,List_ElectricityMeters,0),ROUNDUP(COLUMN()/3,0)-2))</f>
        <v/>
      </c>
      <c r="T422" s="127"/>
      <c r="U422" s="137"/>
      <c r="V422" s="58" t="str" cm="1">
        <f>IF(ISBLANK($A422),"",INDEX(Array_ElectricalCharges,MATCH($A422,List_ElectricityMeters,0),ROUNDUP(COLUMN()/3,0)-2))</f>
        <v/>
      </c>
      <c r="W422" s="127"/>
      <c r="X422" s="137"/>
      <c r="Y422" s="58" t="str" cm="1">
        <f>IF(ISBLANK($A422),"",INDEX(Array_ElectricalCharges,MATCH($A422,List_ElectricityMeters,0),ROUNDUP(COLUMN()/3,0)-2))</f>
        <v/>
      </c>
      <c r="Z422" s="127"/>
      <c r="AA422" s="137"/>
      <c r="AB422" s="58" t="str" cm="1">
        <f>IF(ISBLANK($A422),"",INDEX(Array_ElectricalCharges,MATCH($A422,List_ElectricityMeters,0),ROUNDUP(COLUMN()/3,0)-2))</f>
        <v/>
      </c>
      <c r="AC422" s="127"/>
      <c r="AD422" s="137"/>
      <c r="AE422" s="58" t="str" cm="1">
        <f>IF(ISBLANK($A422),"",INDEX(Array_ElectricalCharges,MATCH($A422,List_ElectricityMeters,0),ROUNDUP(COLUMN()/3,0)-2))</f>
        <v/>
      </c>
      <c r="AF422" s="127"/>
      <c r="AG422" s="137"/>
      <c r="AH422" s="58" t="str" cm="1">
        <f>IF(ISBLANK($A422),"",INDEX(Array_ElectricalCharges,MATCH($A422,List_ElectricityMeters,0),ROUNDUP(COLUMN()/3,0)-2))</f>
        <v/>
      </c>
      <c r="AI422" s="127"/>
      <c r="AJ422" s="137"/>
      <c r="AK422" s="58" t="str" cm="1">
        <f>IF(ISBLANK($A422),"",INDEX(Array_ElectricalCharges,MATCH($A422,List_ElectricityMeters,0),ROUNDUP(COLUMN()/3,0)-2))</f>
        <v/>
      </c>
      <c r="AL422" s="127"/>
      <c r="AM422" s="137"/>
      <c r="AN422" s="58" t="str" cm="1">
        <f>IF(ISBLANK($A422),"",INDEX(Array_ElectricalCharges,MATCH($A422,List_ElectricityMeters,0),ROUNDUP(COLUMN()/3,0)-2))</f>
        <v/>
      </c>
      <c r="AO422" s="127"/>
      <c r="AP422" s="137"/>
      <c r="AQ422" s="58" t="str" cm="1">
        <f>IF(ISBLANK($A422),"",INDEX(Array_ElectricalCharges,MATCH($A422,List_ElectricityMeters,0),ROUNDUP(COLUMN()/3,0)-2))</f>
        <v/>
      </c>
      <c r="AR422" s="127"/>
      <c r="AS422" s="137"/>
      <c r="AT422" s="58" t="str" cm="1">
        <f>IF(ISBLANK($A422),"",INDEX(Array_ElectricalCharges,MATCH($A422,List_ElectricityMeters,0),ROUNDUP(COLUMN()/3,0)-2))</f>
        <v/>
      </c>
      <c r="AU422" s="127"/>
      <c r="AV422" s="137"/>
      <c r="AW422" s="58" t="str" cm="1">
        <f>IF(ISBLANK($A422),"",INDEX(Array_ElectricalCharges,MATCH($A422,List_ElectricityMeters,0),ROUNDUP(COLUMN()/3,0)-2))</f>
        <v/>
      </c>
      <c r="AX422" s="127"/>
      <c r="AY422" s="137"/>
    </row>
    <row r="423" spans="1:51" x14ac:dyDescent="0.3">
      <c r="A423" s="126"/>
      <c r="B423" s="133"/>
      <c r="C423" s="134"/>
      <c r="D423" s="134"/>
      <c r="E423" s="135"/>
      <c r="F423" s="136"/>
      <c r="G423" s="58" t="str" cm="1">
        <f>IF(ISBLANK($A423),"",INDEX(Array_ElectricalCharges,MATCH($A423,List_ElectricityMeters,0),ROUNDUP(COLUMN()/3,0)-2))</f>
        <v/>
      </c>
      <c r="H423" s="127"/>
      <c r="I423" s="137"/>
      <c r="J423" s="58" t="str" cm="1">
        <f>IF(ISBLANK($A423),"",INDEX(Array_ElectricalCharges,MATCH($A423,List_ElectricityMeters,0),ROUNDUP(COLUMN()/3,0)-2))</f>
        <v/>
      </c>
      <c r="K423" s="127"/>
      <c r="L423" s="137"/>
      <c r="M423" s="58" t="str" cm="1">
        <f>IF(ISBLANK($A423),"",INDEX(Array_ElectricalCharges,MATCH($A423,List_ElectricityMeters,0),ROUNDUP(COLUMN()/3,0)-2))</f>
        <v/>
      </c>
      <c r="N423" s="127"/>
      <c r="O423" s="137"/>
      <c r="P423" s="58" t="str" cm="1">
        <f>IF(ISBLANK($A423),"",INDEX(Array_ElectricalCharges,MATCH($A423,List_ElectricityMeters,0),ROUNDUP(COLUMN()/3,0)-2))</f>
        <v/>
      </c>
      <c r="Q423" s="127"/>
      <c r="R423" s="137"/>
      <c r="S423" s="58" t="str" cm="1">
        <f>IF(ISBLANK($A423),"",INDEX(Array_ElectricalCharges,MATCH($A423,List_ElectricityMeters,0),ROUNDUP(COLUMN()/3,0)-2))</f>
        <v/>
      </c>
      <c r="T423" s="127"/>
      <c r="U423" s="137"/>
      <c r="V423" s="58" t="str" cm="1">
        <f>IF(ISBLANK($A423),"",INDEX(Array_ElectricalCharges,MATCH($A423,List_ElectricityMeters,0),ROUNDUP(COLUMN()/3,0)-2))</f>
        <v/>
      </c>
      <c r="W423" s="127"/>
      <c r="X423" s="137"/>
      <c r="Y423" s="58" t="str" cm="1">
        <f>IF(ISBLANK($A423),"",INDEX(Array_ElectricalCharges,MATCH($A423,List_ElectricityMeters,0),ROUNDUP(COLUMN()/3,0)-2))</f>
        <v/>
      </c>
      <c r="Z423" s="127"/>
      <c r="AA423" s="137"/>
      <c r="AB423" s="58" t="str" cm="1">
        <f>IF(ISBLANK($A423),"",INDEX(Array_ElectricalCharges,MATCH($A423,List_ElectricityMeters,0),ROUNDUP(COLUMN()/3,0)-2))</f>
        <v/>
      </c>
      <c r="AC423" s="127"/>
      <c r="AD423" s="137"/>
      <c r="AE423" s="58" t="str" cm="1">
        <f>IF(ISBLANK($A423),"",INDEX(Array_ElectricalCharges,MATCH($A423,List_ElectricityMeters,0),ROUNDUP(COLUMN()/3,0)-2))</f>
        <v/>
      </c>
      <c r="AF423" s="127"/>
      <c r="AG423" s="137"/>
      <c r="AH423" s="58" t="str" cm="1">
        <f>IF(ISBLANK($A423),"",INDEX(Array_ElectricalCharges,MATCH($A423,List_ElectricityMeters,0),ROUNDUP(COLUMN()/3,0)-2))</f>
        <v/>
      </c>
      <c r="AI423" s="127"/>
      <c r="AJ423" s="137"/>
      <c r="AK423" s="58" t="str" cm="1">
        <f>IF(ISBLANK($A423),"",INDEX(Array_ElectricalCharges,MATCH($A423,List_ElectricityMeters,0),ROUNDUP(COLUMN()/3,0)-2))</f>
        <v/>
      </c>
      <c r="AL423" s="127"/>
      <c r="AM423" s="137"/>
      <c r="AN423" s="58" t="str" cm="1">
        <f>IF(ISBLANK($A423),"",INDEX(Array_ElectricalCharges,MATCH($A423,List_ElectricityMeters,0),ROUNDUP(COLUMN()/3,0)-2))</f>
        <v/>
      </c>
      <c r="AO423" s="127"/>
      <c r="AP423" s="137"/>
      <c r="AQ423" s="58" t="str" cm="1">
        <f>IF(ISBLANK($A423),"",INDEX(Array_ElectricalCharges,MATCH($A423,List_ElectricityMeters,0),ROUNDUP(COLUMN()/3,0)-2))</f>
        <v/>
      </c>
      <c r="AR423" s="127"/>
      <c r="AS423" s="137"/>
      <c r="AT423" s="58" t="str" cm="1">
        <f>IF(ISBLANK($A423),"",INDEX(Array_ElectricalCharges,MATCH($A423,List_ElectricityMeters,0),ROUNDUP(COLUMN()/3,0)-2))</f>
        <v/>
      </c>
      <c r="AU423" s="127"/>
      <c r="AV423" s="137"/>
      <c r="AW423" s="58" t="str" cm="1">
        <f>IF(ISBLANK($A423),"",INDEX(Array_ElectricalCharges,MATCH($A423,List_ElectricityMeters,0),ROUNDUP(COLUMN()/3,0)-2))</f>
        <v/>
      </c>
      <c r="AX423" s="127"/>
      <c r="AY423" s="137"/>
    </row>
    <row r="424" spans="1:51" x14ac:dyDescent="0.3">
      <c r="A424" s="126"/>
      <c r="B424" s="133"/>
      <c r="C424" s="134"/>
      <c r="D424" s="134"/>
      <c r="E424" s="135"/>
      <c r="F424" s="136"/>
      <c r="G424" s="58" t="str" cm="1">
        <f>IF(ISBLANK($A424),"",INDEX(Array_ElectricalCharges,MATCH($A424,List_ElectricityMeters,0),ROUNDUP(COLUMN()/3,0)-2))</f>
        <v/>
      </c>
      <c r="H424" s="127"/>
      <c r="I424" s="137"/>
      <c r="J424" s="58" t="str" cm="1">
        <f>IF(ISBLANK($A424),"",INDEX(Array_ElectricalCharges,MATCH($A424,List_ElectricityMeters,0),ROUNDUP(COLUMN()/3,0)-2))</f>
        <v/>
      </c>
      <c r="K424" s="127"/>
      <c r="L424" s="137"/>
      <c r="M424" s="58" t="str" cm="1">
        <f>IF(ISBLANK($A424),"",INDEX(Array_ElectricalCharges,MATCH($A424,List_ElectricityMeters,0),ROUNDUP(COLUMN()/3,0)-2))</f>
        <v/>
      </c>
      <c r="N424" s="127"/>
      <c r="O424" s="137"/>
      <c r="P424" s="58" t="str" cm="1">
        <f>IF(ISBLANK($A424),"",INDEX(Array_ElectricalCharges,MATCH($A424,List_ElectricityMeters,0),ROUNDUP(COLUMN()/3,0)-2))</f>
        <v/>
      </c>
      <c r="Q424" s="127"/>
      <c r="R424" s="137"/>
      <c r="S424" s="58" t="str" cm="1">
        <f>IF(ISBLANK($A424),"",INDEX(Array_ElectricalCharges,MATCH($A424,List_ElectricityMeters,0),ROUNDUP(COLUMN()/3,0)-2))</f>
        <v/>
      </c>
      <c r="T424" s="127"/>
      <c r="U424" s="137"/>
      <c r="V424" s="58" t="str" cm="1">
        <f>IF(ISBLANK($A424),"",INDEX(Array_ElectricalCharges,MATCH($A424,List_ElectricityMeters,0),ROUNDUP(COLUMN()/3,0)-2))</f>
        <v/>
      </c>
      <c r="W424" s="127"/>
      <c r="X424" s="137"/>
      <c r="Y424" s="58" t="str" cm="1">
        <f>IF(ISBLANK($A424),"",INDEX(Array_ElectricalCharges,MATCH($A424,List_ElectricityMeters,0),ROUNDUP(COLUMN()/3,0)-2))</f>
        <v/>
      </c>
      <c r="Z424" s="127"/>
      <c r="AA424" s="137"/>
      <c r="AB424" s="58" t="str" cm="1">
        <f>IF(ISBLANK($A424),"",INDEX(Array_ElectricalCharges,MATCH($A424,List_ElectricityMeters,0),ROUNDUP(COLUMN()/3,0)-2))</f>
        <v/>
      </c>
      <c r="AC424" s="127"/>
      <c r="AD424" s="137"/>
      <c r="AE424" s="58" t="str" cm="1">
        <f>IF(ISBLANK($A424),"",INDEX(Array_ElectricalCharges,MATCH($A424,List_ElectricityMeters,0),ROUNDUP(COLUMN()/3,0)-2))</f>
        <v/>
      </c>
      <c r="AF424" s="127"/>
      <c r="AG424" s="137"/>
      <c r="AH424" s="58" t="str" cm="1">
        <f>IF(ISBLANK($A424),"",INDEX(Array_ElectricalCharges,MATCH($A424,List_ElectricityMeters,0),ROUNDUP(COLUMN()/3,0)-2))</f>
        <v/>
      </c>
      <c r="AI424" s="127"/>
      <c r="AJ424" s="137"/>
      <c r="AK424" s="58" t="str" cm="1">
        <f>IF(ISBLANK($A424),"",INDEX(Array_ElectricalCharges,MATCH($A424,List_ElectricityMeters,0),ROUNDUP(COLUMN()/3,0)-2))</f>
        <v/>
      </c>
      <c r="AL424" s="127"/>
      <c r="AM424" s="137"/>
      <c r="AN424" s="58" t="str" cm="1">
        <f>IF(ISBLANK($A424),"",INDEX(Array_ElectricalCharges,MATCH($A424,List_ElectricityMeters,0),ROUNDUP(COLUMN()/3,0)-2))</f>
        <v/>
      </c>
      <c r="AO424" s="127"/>
      <c r="AP424" s="137"/>
      <c r="AQ424" s="58" t="str" cm="1">
        <f>IF(ISBLANK($A424),"",INDEX(Array_ElectricalCharges,MATCH($A424,List_ElectricityMeters,0),ROUNDUP(COLUMN()/3,0)-2))</f>
        <v/>
      </c>
      <c r="AR424" s="127"/>
      <c r="AS424" s="137"/>
      <c r="AT424" s="58" t="str" cm="1">
        <f>IF(ISBLANK($A424),"",INDEX(Array_ElectricalCharges,MATCH($A424,List_ElectricityMeters,0),ROUNDUP(COLUMN()/3,0)-2))</f>
        <v/>
      </c>
      <c r="AU424" s="127"/>
      <c r="AV424" s="137"/>
      <c r="AW424" s="58" t="str" cm="1">
        <f>IF(ISBLANK($A424),"",INDEX(Array_ElectricalCharges,MATCH($A424,List_ElectricityMeters,0),ROUNDUP(COLUMN()/3,0)-2))</f>
        <v/>
      </c>
      <c r="AX424" s="127"/>
      <c r="AY424" s="137"/>
    </row>
    <row r="425" spans="1:51" x14ac:dyDescent="0.3">
      <c r="A425" s="126"/>
      <c r="B425" s="133"/>
      <c r="C425" s="134"/>
      <c r="D425" s="134"/>
      <c r="E425" s="135"/>
      <c r="F425" s="136"/>
      <c r="G425" s="58" t="str" cm="1">
        <f>IF(ISBLANK($A425),"",INDEX(Array_ElectricalCharges,MATCH($A425,List_ElectricityMeters,0),ROUNDUP(COLUMN()/3,0)-2))</f>
        <v/>
      </c>
      <c r="H425" s="127"/>
      <c r="I425" s="137"/>
      <c r="J425" s="58" t="str" cm="1">
        <f>IF(ISBLANK($A425),"",INDEX(Array_ElectricalCharges,MATCH($A425,List_ElectricityMeters,0),ROUNDUP(COLUMN()/3,0)-2))</f>
        <v/>
      </c>
      <c r="K425" s="127"/>
      <c r="L425" s="137"/>
      <c r="M425" s="58" t="str" cm="1">
        <f>IF(ISBLANK($A425),"",INDEX(Array_ElectricalCharges,MATCH($A425,List_ElectricityMeters,0),ROUNDUP(COLUMN()/3,0)-2))</f>
        <v/>
      </c>
      <c r="N425" s="127"/>
      <c r="O425" s="137"/>
      <c r="P425" s="58" t="str" cm="1">
        <f>IF(ISBLANK($A425),"",INDEX(Array_ElectricalCharges,MATCH($A425,List_ElectricityMeters,0),ROUNDUP(COLUMN()/3,0)-2))</f>
        <v/>
      </c>
      <c r="Q425" s="127"/>
      <c r="R425" s="137"/>
      <c r="S425" s="58" t="str" cm="1">
        <f>IF(ISBLANK($A425),"",INDEX(Array_ElectricalCharges,MATCH($A425,List_ElectricityMeters,0),ROUNDUP(COLUMN()/3,0)-2))</f>
        <v/>
      </c>
      <c r="T425" s="127"/>
      <c r="U425" s="137"/>
      <c r="V425" s="58" t="str" cm="1">
        <f>IF(ISBLANK($A425),"",INDEX(Array_ElectricalCharges,MATCH($A425,List_ElectricityMeters,0),ROUNDUP(COLUMN()/3,0)-2))</f>
        <v/>
      </c>
      <c r="W425" s="127"/>
      <c r="X425" s="137"/>
      <c r="Y425" s="58" t="str" cm="1">
        <f>IF(ISBLANK($A425),"",INDEX(Array_ElectricalCharges,MATCH($A425,List_ElectricityMeters,0),ROUNDUP(COLUMN()/3,0)-2))</f>
        <v/>
      </c>
      <c r="Z425" s="127"/>
      <c r="AA425" s="137"/>
      <c r="AB425" s="58" t="str" cm="1">
        <f>IF(ISBLANK($A425),"",INDEX(Array_ElectricalCharges,MATCH($A425,List_ElectricityMeters,0),ROUNDUP(COLUMN()/3,0)-2))</f>
        <v/>
      </c>
      <c r="AC425" s="127"/>
      <c r="AD425" s="137"/>
      <c r="AE425" s="58" t="str" cm="1">
        <f>IF(ISBLANK($A425),"",INDEX(Array_ElectricalCharges,MATCH($A425,List_ElectricityMeters,0),ROUNDUP(COLUMN()/3,0)-2))</f>
        <v/>
      </c>
      <c r="AF425" s="127"/>
      <c r="AG425" s="137"/>
      <c r="AH425" s="58" t="str" cm="1">
        <f>IF(ISBLANK($A425),"",INDEX(Array_ElectricalCharges,MATCH($A425,List_ElectricityMeters,0),ROUNDUP(COLUMN()/3,0)-2))</f>
        <v/>
      </c>
      <c r="AI425" s="127"/>
      <c r="AJ425" s="137"/>
      <c r="AK425" s="58" t="str" cm="1">
        <f>IF(ISBLANK($A425),"",INDEX(Array_ElectricalCharges,MATCH($A425,List_ElectricityMeters,0),ROUNDUP(COLUMN()/3,0)-2))</f>
        <v/>
      </c>
      <c r="AL425" s="127"/>
      <c r="AM425" s="137"/>
      <c r="AN425" s="58" t="str" cm="1">
        <f>IF(ISBLANK($A425),"",INDEX(Array_ElectricalCharges,MATCH($A425,List_ElectricityMeters,0),ROUNDUP(COLUMN()/3,0)-2))</f>
        <v/>
      </c>
      <c r="AO425" s="127"/>
      <c r="AP425" s="137"/>
      <c r="AQ425" s="58" t="str" cm="1">
        <f>IF(ISBLANK($A425),"",INDEX(Array_ElectricalCharges,MATCH($A425,List_ElectricityMeters,0),ROUNDUP(COLUMN()/3,0)-2))</f>
        <v/>
      </c>
      <c r="AR425" s="127"/>
      <c r="AS425" s="137"/>
      <c r="AT425" s="58" t="str" cm="1">
        <f>IF(ISBLANK($A425),"",INDEX(Array_ElectricalCharges,MATCH($A425,List_ElectricityMeters,0),ROUNDUP(COLUMN()/3,0)-2))</f>
        <v/>
      </c>
      <c r="AU425" s="127"/>
      <c r="AV425" s="137"/>
      <c r="AW425" s="58" t="str" cm="1">
        <f>IF(ISBLANK($A425),"",INDEX(Array_ElectricalCharges,MATCH($A425,List_ElectricityMeters,0),ROUNDUP(COLUMN()/3,0)-2))</f>
        <v/>
      </c>
      <c r="AX425" s="127"/>
      <c r="AY425" s="137"/>
    </row>
    <row r="426" spans="1:51" x14ac:dyDescent="0.3">
      <c r="A426" s="126"/>
      <c r="B426" s="133"/>
      <c r="C426" s="134"/>
      <c r="D426" s="134"/>
      <c r="E426" s="135"/>
      <c r="F426" s="136"/>
      <c r="G426" s="58" t="str" cm="1">
        <f>IF(ISBLANK($A426),"",INDEX(Array_ElectricalCharges,MATCH($A426,List_ElectricityMeters,0),ROUNDUP(COLUMN()/3,0)-2))</f>
        <v/>
      </c>
      <c r="H426" s="127"/>
      <c r="I426" s="137"/>
      <c r="J426" s="58" t="str" cm="1">
        <f>IF(ISBLANK($A426),"",INDEX(Array_ElectricalCharges,MATCH($A426,List_ElectricityMeters,0),ROUNDUP(COLUMN()/3,0)-2))</f>
        <v/>
      </c>
      <c r="K426" s="127"/>
      <c r="L426" s="137"/>
      <c r="M426" s="58" t="str" cm="1">
        <f>IF(ISBLANK($A426),"",INDEX(Array_ElectricalCharges,MATCH($A426,List_ElectricityMeters,0),ROUNDUP(COLUMN()/3,0)-2))</f>
        <v/>
      </c>
      <c r="N426" s="127"/>
      <c r="O426" s="137"/>
      <c r="P426" s="58" t="str" cm="1">
        <f>IF(ISBLANK($A426),"",INDEX(Array_ElectricalCharges,MATCH($A426,List_ElectricityMeters,0),ROUNDUP(COLUMN()/3,0)-2))</f>
        <v/>
      </c>
      <c r="Q426" s="127"/>
      <c r="R426" s="137"/>
      <c r="S426" s="58" t="str" cm="1">
        <f>IF(ISBLANK($A426),"",INDEX(Array_ElectricalCharges,MATCH($A426,List_ElectricityMeters,0),ROUNDUP(COLUMN()/3,0)-2))</f>
        <v/>
      </c>
      <c r="T426" s="127"/>
      <c r="U426" s="137"/>
      <c r="V426" s="58" t="str" cm="1">
        <f>IF(ISBLANK($A426),"",INDEX(Array_ElectricalCharges,MATCH($A426,List_ElectricityMeters,0),ROUNDUP(COLUMN()/3,0)-2))</f>
        <v/>
      </c>
      <c r="W426" s="127"/>
      <c r="X426" s="137"/>
      <c r="Y426" s="58" t="str" cm="1">
        <f>IF(ISBLANK($A426),"",INDEX(Array_ElectricalCharges,MATCH($A426,List_ElectricityMeters,0),ROUNDUP(COLUMN()/3,0)-2))</f>
        <v/>
      </c>
      <c r="Z426" s="127"/>
      <c r="AA426" s="137"/>
      <c r="AB426" s="58" t="str" cm="1">
        <f>IF(ISBLANK($A426),"",INDEX(Array_ElectricalCharges,MATCH($A426,List_ElectricityMeters,0),ROUNDUP(COLUMN()/3,0)-2))</f>
        <v/>
      </c>
      <c r="AC426" s="127"/>
      <c r="AD426" s="137"/>
      <c r="AE426" s="58" t="str" cm="1">
        <f>IF(ISBLANK($A426),"",INDEX(Array_ElectricalCharges,MATCH($A426,List_ElectricityMeters,0),ROUNDUP(COLUMN()/3,0)-2))</f>
        <v/>
      </c>
      <c r="AF426" s="127"/>
      <c r="AG426" s="137"/>
      <c r="AH426" s="58" t="str" cm="1">
        <f>IF(ISBLANK($A426),"",INDEX(Array_ElectricalCharges,MATCH($A426,List_ElectricityMeters,0),ROUNDUP(COLUMN()/3,0)-2))</f>
        <v/>
      </c>
      <c r="AI426" s="127"/>
      <c r="AJ426" s="137"/>
      <c r="AK426" s="58" t="str" cm="1">
        <f>IF(ISBLANK($A426),"",INDEX(Array_ElectricalCharges,MATCH($A426,List_ElectricityMeters,0),ROUNDUP(COLUMN()/3,0)-2))</f>
        <v/>
      </c>
      <c r="AL426" s="127"/>
      <c r="AM426" s="137"/>
      <c r="AN426" s="58" t="str" cm="1">
        <f>IF(ISBLANK($A426),"",INDEX(Array_ElectricalCharges,MATCH($A426,List_ElectricityMeters,0),ROUNDUP(COLUMN()/3,0)-2))</f>
        <v/>
      </c>
      <c r="AO426" s="127"/>
      <c r="AP426" s="137"/>
      <c r="AQ426" s="58" t="str" cm="1">
        <f>IF(ISBLANK($A426),"",INDEX(Array_ElectricalCharges,MATCH($A426,List_ElectricityMeters,0),ROUNDUP(COLUMN()/3,0)-2))</f>
        <v/>
      </c>
      <c r="AR426" s="127"/>
      <c r="AS426" s="137"/>
      <c r="AT426" s="58" t="str" cm="1">
        <f>IF(ISBLANK($A426),"",INDEX(Array_ElectricalCharges,MATCH($A426,List_ElectricityMeters,0),ROUNDUP(COLUMN()/3,0)-2))</f>
        <v/>
      </c>
      <c r="AU426" s="127"/>
      <c r="AV426" s="137"/>
      <c r="AW426" s="58" t="str" cm="1">
        <f>IF(ISBLANK($A426),"",INDEX(Array_ElectricalCharges,MATCH($A426,List_ElectricityMeters,0),ROUNDUP(COLUMN()/3,0)-2))</f>
        <v/>
      </c>
      <c r="AX426" s="127"/>
      <c r="AY426" s="137"/>
    </row>
    <row r="427" spans="1:51" x14ac:dyDescent="0.3">
      <c r="A427" s="126"/>
      <c r="B427" s="133"/>
      <c r="C427" s="134"/>
      <c r="D427" s="134"/>
      <c r="E427" s="135"/>
      <c r="F427" s="136"/>
      <c r="G427" s="58" t="str" cm="1">
        <f>IF(ISBLANK($A427),"",INDEX(Array_ElectricalCharges,MATCH($A427,List_ElectricityMeters,0),ROUNDUP(COLUMN()/3,0)-2))</f>
        <v/>
      </c>
      <c r="H427" s="127"/>
      <c r="I427" s="137"/>
      <c r="J427" s="58" t="str" cm="1">
        <f>IF(ISBLANK($A427),"",INDEX(Array_ElectricalCharges,MATCH($A427,List_ElectricityMeters,0),ROUNDUP(COLUMN()/3,0)-2))</f>
        <v/>
      </c>
      <c r="K427" s="127"/>
      <c r="L427" s="137"/>
      <c r="M427" s="58" t="str" cm="1">
        <f>IF(ISBLANK($A427),"",INDEX(Array_ElectricalCharges,MATCH($A427,List_ElectricityMeters,0),ROUNDUP(COLUMN()/3,0)-2))</f>
        <v/>
      </c>
      <c r="N427" s="127"/>
      <c r="O427" s="137"/>
      <c r="P427" s="58" t="str" cm="1">
        <f>IF(ISBLANK($A427),"",INDEX(Array_ElectricalCharges,MATCH($A427,List_ElectricityMeters,0),ROUNDUP(COLUMN()/3,0)-2))</f>
        <v/>
      </c>
      <c r="Q427" s="127"/>
      <c r="R427" s="137"/>
      <c r="S427" s="58" t="str" cm="1">
        <f>IF(ISBLANK($A427),"",INDEX(Array_ElectricalCharges,MATCH($A427,List_ElectricityMeters,0),ROUNDUP(COLUMN()/3,0)-2))</f>
        <v/>
      </c>
      <c r="T427" s="127"/>
      <c r="U427" s="137"/>
      <c r="V427" s="58" t="str" cm="1">
        <f>IF(ISBLANK($A427),"",INDEX(Array_ElectricalCharges,MATCH($A427,List_ElectricityMeters,0),ROUNDUP(COLUMN()/3,0)-2))</f>
        <v/>
      </c>
      <c r="W427" s="127"/>
      <c r="X427" s="137"/>
      <c r="Y427" s="58" t="str" cm="1">
        <f>IF(ISBLANK($A427),"",INDEX(Array_ElectricalCharges,MATCH($A427,List_ElectricityMeters,0),ROUNDUP(COLUMN()/3,0)-2))</f>
        <v/>
      </c>
      <c r="Z427" s="127"/>
      <c r="AA427" s="137"/>
      <c r="AB427" s="58" t="str" cm="1">
        <f>IF(ISBLANK($A427),"",INDEX(Array_ElectricalCharges,MATCH($A427,List_ElectricityMeters,0),ROUNDUP(COLUMN()/3,0)-2))</f>
        <v/>
      </c>
      <c r="AC427" s="127"/>
      <c r="AD427" s="137"/>
      <c r="AE427" s="58" t="str" cm="1">
        <f>IF(ISBLANK($A427),"",INDEX(Array_ElectricalCharges,MATCH($A427,List_ElectricityMeters,0),ROUNDUP(COLUMN()/3,0)-2))</f>
        <v/>
      </c>
      <c r="AF427" s="127"/>
      <c r="AG427" s="137"/>
      <c r="AH427" s="58" t="str" cm="1">
        <f>IF(ISBLANK($A427),"",INDEX(Array_ElectricalCharges,MATCH($A427,List_ElectricityMeters,0),ROUNDUP(COLUMN()/3,0)-2))</f>
        <v/>
      </c>
      <c r="AI427" s="127"/>
      <c r="AJ427" s="137"/>
      <c r="AK427" s="58" t="str" cm="1">
        <f>IF(ISBLANK($A427),"",INDEX(Array_ElectricalCharges,MATCH($A427,List_ElectricityMeters,0),ROUNDUP(COLUMN()/3,0)-2))</f>
        <v/>
      </c>
      <c r="AL427" s="127"/>
      <c r="AM427" s="137"/>
      <c r="AN427" s="58" t="str" cm="1">
        <f>IF(ISBLANK($A427),"",INDEX(Array_ElectricalCharges,MATCH($A427,List_ElectricityMeters,0),ROUNDUP(COLUMN()/3,0)-2))</f>
        <v/>
      </c>
      <c r="AO427" s="127"/>
      <c r="AP427" s="137"/>
      <c r="AQ427" s="58" t="str" cm="1">
        <f>IF(ISBLANK($A427),"",INDEX(Array_ElectricalCharges,MATCH($A427,List_ElectricityMeters,0),ROUNDUP(COLUMN()/3,0)-2))</f>
        <v/>
      </c>
      <c r="AR427" s="127"/>
      <c r="AS427" s="137"/>
      <c r="AT427" s="58" t="str" cm="1">
        <f>IF(ISBLANK($A427),"",INDEX(Array_ElectricalCharges,MATCH($A427,List_ElectricityMeters,0),ROUNDUP(COLUMN()/3,0)-2))</f>
        <v/>
      </c>
      <c r="AU427" s="127"/>
      <c r="AV427" s="137"/>
      <c r="AW427" s="58" t="str" cm="1">
        <f>IF(ISBLANK($A427),"",INDEX(Array_ElectricalCharges,MATCH($A427,List_ElectricityMeters,0),ROUNDUP(COLUMN()/3,0)-2))</f>
        <v/>
      </c>
      <c r="AX427" s="127"/>
      <c r="AY427" s="137"/>
    </row>
    <row r="428" spans="1:51" x14ac:dyDescent="0.3">
      <c r="A428" s="126"/>
      <c r="B428" s="133"/>
      <c r="C428" s="134"/>
      <c r="D428" s="134"/>
      <c r="E428" s="135"/>
      <c r="F428" s="136"/>
      <c r="G428" s="58" t="str" cm="1">
        <f>IF(ISBLANK($A428),"",INDEX(Array_ElectricalCharges,MATCH($A428,List_ElectricityMeters,0),ROUNDUP(COLUMN()/3,0)-2))</f>
        <v/>
      </c>
      <c r="H428" s="127"/>
      <c r="I428" s="137"/>
      <c r="J428" s="58" t="str" cm="1">
        <f>IF(ISBLANK($A428),"",INDEX(Array_ElectricalCharges,MATCH($A428,List_ElectricityMeters,0),ROUNDUP(COLUMN()/3,0)-2))</f>
        <v/>
      </c>
      <c r="K428" s="127"/>
      <c r="L428" s="137"/>
      <c r="M428" s="58" t="str" cm="1">
        <f>IF(ISBLANK($A428),"",INDEX(Array_ElectricalCharges,MATCH($A428,List_ElectricityMeters,0),ROUNDUP(COLUMN()/3,0)-2))</f>
        <v/>
      </c>
      <c r="N428" s="127"/>
      <c r="O428" s="137"/>
      <c r="P428" s="58" t="str" cm="1">
        <f>IF(ISBLANK($A428),"",INDEX(Array_ElectricalCharges,MATCH($A428,List_ElectricityMeters,0),ROUNDUP(COLUMN()/3,0)-2))</f>
        <v/>
      </c>
      <c r="Q428" s="127"/>
      <c r="R428" s="137"/>
      <c r="S428" s="58" t="str" cm="1">
        <f>IF(ISBLANK($A428),"",INDEX(Array_ElectricalCharges,MATCH($A428,List_ElectricityMeters,0),ROUNDUP(COLUMN()/3,0)-2))</f>
        <v/>
      </c>
      <c r="T428" s="127"/>
      <c r="U428" s="137"/>
      <c r="V428" s="58" t="str" cm="1">
        <f>IF(ISBLANK($A428),"",INDEX(Array_ElectricalCharges,MATCH($A428,List_ElectricityMeters,0),ROUNDUP(COLUMN()/3,0)-2))</f>
        <v/>
      </c>
      <c r="W428" s="127"/>
      <c r="X428" s="137"/>
      <c r="Y428" s="58" t="str" cm="1">
        <f>IF(ISBLANK($A428),"",INDEX(Array_ElectricalCharges,MATCH($A428,List_ElectricityMeters,0),ROUNDUP(COLUMN()/3,0)-2))</f>
        <v/>
      </c>
      <c r="Z428" s="127"/>
      <c r="AA428" s="137"/>
      <c r="AB428" s="58" t="str" cm="1">
        <f>IF(ISBLANK($A428),"",INDEX(Array_ElectricalCharges,MATCH($A428,List_ElectricityMeters,0),ROUNDUP(COLUMN()/3,0)-2))</f>
        <v/>
      </c>
      <c r="AC428" s="127"/>
      <c r="AD428" s="137"/>
      <c r="AE428" s="58" t="str" cm="1">
        <f>IF(ISBLANK($A428),"",INDEX(Array_ElectricalCharges,MATCH($A428,List_ElectricityMeters,0),ROUNDUP(COLUMN()/3,0)-2))</f>
        <v/>
      </c>
      <c r="AF428" s="127"/>
      <c r="AG428" s="137"/>
      <c r="AH428" s="58" t="str" cm="1">
        <f>IF(ISBLANK($A428),"",INDEX(Array_ElectricalCharges,MATCH($A428,List_ElectricityMeters,0),ROUNDUP(COLUMN()/3,0)-2))</f>
        <v/>
      </c>
      <c r="AI428" s="127"/>
      <c r="AJ428" s="137"/>
      <c r="AK428" s="58" t="str" cm="1">
        <f>IF(ISBLANK($A428),"",INDEX(Array_ElectricalCharges,MATCH($A428,List_ElectricityMeters,0),ROUNDUP(COLUMN()/3,0)-2))</f>
        <v/>
      </c>
      <c r="AL428" s="127"/>
      <c r="AM428" s="137"/>
      <c r="AN428" s="58" t="str" cm="1">
        <f>IF(ISBLANK($A428),"",INDEX(Array_ElectricalCharges,MATCH($A428,List_ElectricityMeters,0),ROUNDUP(COLUMN()/3,0)-2))</f>
        <v/>
      </c>
      <c r="AO428" s="127"/>
      <c r="AP428" s="137"/>
      <c r="AQ428" s="58" t="str" cm="1">
        <f>IF(ISBLANK($A428),"",INDEX(Array_ElectricalCharges,MATCH($A428,List_ElectricityMeters,0),ROUNDUP(COLUMN()/3,0)-2))</f>
        <v/>
      </c>
      <c r="AR428" s="127"/>
      <c r="AS428" s="137"/>
      <c r="AT428" s="58" t="str" cm="1">
        <f>IF(ISBLANK($A428),"",INDEX(Array_ElectricalCharges,MATCH($A428,List_ElectricityMeters,0),ROUNDUP(COLUMN()/3,0)-2))</f>
        <v/>
      </c>
      <c r="AU428" s="127"/>
      <c r="AV428" s="137"/>
      <c r="AW428" s="58" t="str" cm="1">
        <f>IF(ISBLANK($A428),"",INDEX(Array_ElectricalCharges,MATCH($A428,List_ElectricityMeters,0),ROUNDUP(COLUMN()/3,0)-2))</f>
        <v/>
      </c>
      <c r="AX428" s="127"/>
      <c r="AY428" s="137"/>
    </row>
    <row r="429" spans="1:51" x14ac:dyDescent="0.3">
      <c r="A429" s="126"/>
      <c r="B429" s="133"/>
      <c r="C429" s="134"/>
      <c r="D429" s="134"/>
      <c r="E429" s="135"/>
      <c r="F429" s="136"/>
      <c r="G429" s="58" t="str" cm="1">
        <f>IF(ISBLANK($A429),"",INDEX(Array_ElectricalCharges,MATCH($A429,List_ElectricityMeters,0),ROUNDUP(COLUMN()/3,0)-2))</f>
        <v/>
      </c>
      <c r="H429" s="127"/>
      <c r="I429" s="137"/>
      <c r="J429" s="58" t="str" cm="1">
        <f>IF(ISBLANK($A429),"",INDEX(Array_ElectricalCharges,MATCH($A429,List_ElectricityMeters,0),ROUNDUP(COLUMN()/3,0)-2))</f>
        <v/>
      </c>
      <c r="K429" s="127"/>
      <c r="L429" s="137"/>
      <c r="M429" s="58" t="str" cm="1">
        <f>IF(ISBLANK($A429),"",INDEX(Array_ElectricalCharges,MATCH($A429,List_ElectricityMeters,0),ROUNDUP(COLUMN()/3,0)-2))</f>
        <v/>
      </c>
      <c r="N429" s="127"/>
      <c r="O429" s="137"/>
      <c r="P429" s="58" t="str" cm="1">
        <f>IF(ISBLANK($A429),"",INDEX(Array_ElectricalCharges,MATCH($A429,List_ElectricityMeters,0),ROUNDUP(COLUMN()/3,0)-2))</f>
        <v/>
      </c>
      <c r="Q429" s="127"/>
      <c r="R429" s="137"/>
      <c r="S429" s="58" t="str" cm="1">
        <f>IF(ISBLANK($A429),"",INDEX(Array_ElectricalCharges,MATCH($A429,List_ElectricityMeters,0),ROUNDUP(COLUMN()/3,0)-2))</f>
        <v/>
      </c>
      <c r="T429" s="127"/>
      <c r="U429" s="137"/>
      <c r="V429" s="58" t="str" cm="1">
        <f>IF(ISBLANK($A429),"",INDEX(Array_ElectricalCharges,MATCH($A429,List_ElectricityMeters,0),ROUNDUP(COLUMN()/3,0)-2))</f>
        <v/>
      </c>
      <c r="W429" s="127"/>
      <c r="X429" s="137"/>
      <c r="Y429" s="58" t="str" cm="1">
        <f>IF(ISBLANK($A429),"",INDEX(Array_ElectricalCharges,MATCH($A429,List_ElectricityMeters,0),ROUNDUP(COLUMN()/3,0)-2))</f>
        <v/>
      </c>
      <c r="Z429" s="127"/>
      <c r="AA429" s="137"/>
      <c r="AB429" s="58" t="str" cm="1">
        <f>IF(ISBLANK($A429),"",INDEX(Array_ElectricalCharges,MATCH($A429,List_ElectricityMeters,0),ROUNDUP(COLUMN()/3,0)-2))</f>
        <v/>
      </c>
      <c r="AC429" s="127"/>
      <c r="AD429" s="137"/>
      <c r="AE429" s="58" t="str" cm="1">
        <f>IF(ISBLANK($A429),"",INDEX(Array_ElectricalCharges,MATCH($A429,List_ElectricityMeters,0),ROUNDUP(COLUMN()/3,0)-2))</f>
        <v/>
      </c>
      <c r="AF429" s="127"/>
      <c r="AG429" s="137"/>
      <c r="AH429" s="58" t="str" cm="1">
        <f>IF(ISBLANK($A429),"",INDEX(Array_ElectricalCharges,MATCH($A429,List_ElectricityMeters,0),ROUNDUP(COLUMN()/3,0)-2))</f>
        <v/>
      </c>
      <c r="AI429" s="127"/>
      <c r="AJ429" s="137"/>
      <c r="AK429" s="58" t="str" cm="1">
        <f>IF(ISBLANK($A429),"",INDEX(Array_ElectricalCharges,MATCH($A429,List_ElectricityMeters,0),ROUNDUP(COLUMN()/3,0)-2))</f>
        <v/>
      </c>
      <c r="AL429" s="127"/>
      <c r="AM429" s="137"/>
      <c r="AN429" s="58" t="str" cm="1">
        <f>IF(ISBLANK($A429),"",INDEX(Array_ElectricalCharges,MATCH($A429,List_ElectricityMeters,0),ROUNDUP(COLUMN()/3,0)-2))</f>
        <v/>
      </c>
      <c r="AO429" s="127"/>
      <c r="AP429" s="137"/>
      <c r="AQ429" s="58" t="str" cm="1">
        <f>IF(ISBLANK($A429),"",INDEX(Array_ElectricalCharges,MATCH($A429,List_ElectricityMeters,0),ROUNDUP(COLUMN()/3,0)-2))</f>
        <v/>
      </c>
      <c r="AR429" s="127"/>
      <c r="AS429" s="137"/>
      <c r="AT429" s="58" t="str" cm="1">
        <f>IF(ISBLANK($A429),"",INDEX(Array_ElectricalCharges,MATCH($A429,List_ElectricityMeters,0),ROUNDUP(COLUMN()/3,0)-2))</f>
        <v/>
      </c>
      <c r="AU429" s="127"/>
      <c r="AV429" s="137"/>
      <c r="AW429" s="58" t="str" cm="1">
        <f>IF(ISBLANK($A429),"",INDEX(Array_ElectricalCharges,MATCH($A429,List_ElectricityMeters,0),ROUNDUP(COLUMN()/3,0)-2))</f>
        <v/>
      </c>
      <c r="AX429" s="127"/>
      <c r="AY429" s="137"/>
    </row>
    <row r="430" spans="1:51" x14ac:dyDescent="0.3">
      <c r="A430" s="126"/>
      <c r="B430" s="133"/>
      <c r="C430" s="134"/>
      <c r="D430" s="134"/>
      <c r="E430" s="135"/>
      <c r="F430" s="136"/>
      <c r="G430" s="58" t="str" cm="1">
        <f>IF(ISBLANK($A430),"",INDEX(Array_ElectricalCharges,MATCH($A430,List_ElectricityMeters,0),ROUNDUP(COLUMN()/3,0)-2))</f>
        <v/>
      </c>
      <c r="H430" s="127"/>
      <c r="I430" s="137"/>
      <c r="J430" s="58" t="str" cm="1">
        <f>IF(ISBLANK($A430),"",INDEX(Array_ElectricalCharges,MATCH($A430,List_ElectricityMeters,0),ROUNDUP(COLUMN()/3,0)-2))</f>
        <v/>
      </c>
      <c r="K430" s="127"/>
      <c r="L430" s="137"/>
      <c r="M430" s="58" t="str" cm="1">
        <f>IF(ISBLANK($A430),"",INDEX(Array_ElectricalCharges,MATCH($A430,List_ElectricityMeters,0),ROUNDUP(COLUMN()/3,0)-2))</f>
        <v/>
      </c>
      <c r="N430" s="127"/>
      <c r="O430" s="137"/>
      <c r="P430" s="58" t="str" cm="1">
        <f>IF(ISBLANK($A430),"",INDEX(Array_ElectricalCharges,MATCH($A430,List_ElectricityMeters,0),ROUNDUP(COLUMN()/3,0)-2))</f>
        <v/>
      </c>
      <c r="Q430" s="127"/>
      <c r="R430" s="137"/>
      <c r="S430" s="58" t="str" cm="1">
        <f>IF(ISBLANK($A430),"",INDEX(Array_ElectricalCharges,MATCH($A430,List_ElectricityMeters,0),ROUNDUP(COLUMN()/3,0)-2))</f>
        <v/>
      </c>
      <c r="T430" s="127"/>
      <c r="U430" s="137"/>
      <c r="V430" s="58" t="str" cm="1">
        <f>IF(ISBLANK($A430),"",INDEX(Array_ElectricalCharges,MATCH($A430,List_ElectricityMeters,0),ROUNDUP(COLUMN()/3,0)-2))</f>
        <v/>
      </c>
      <c r="W430" s="127"/>
      <c r="X430" s="137"/>
      <c r="Y430" s="58" t="str" cm="1">
        <f>IF(ISBLANK($A430),"",INDEX(Array_ElectricalCharges,MATCH($A430,List_ElectricityMeters,0),ROUNDUP(COLUMN()/3,0)-2))</f>
        <v/>
      </c>
      <c r="Z430" s="127"/>
      <c r="AA430" s="137"/>
      <c r="AB430" s="58" t="str" cm="1">
        <f>IF(ISBLANK($A430),"",INDEX(Array_ElectricalCharges,MATCH($A430,List_ElectricityMeters,0),ROUNDUP(COLUMN()/3,0)-2))</f>
        <v/>
      </c>
      <c r="AC430" s="127"/>
      <c r="AD430" s="137"/>
      <c r="AE430" s="58" t="str" cm="1">
        <f>IF(ISBLANK($A430),"",INDEX(Array_ElectricalCharges,MATCH($A430,List_ElectricityMeters,0),ROUNDUP(COLUMN()/3,0)-2))</f>
        <v/>
      </c>
      <c r="AF430" s="127"/>
      <c r="AG430" s="137"/>
      <c r="AH430" s="58" t="str" cm="1">
        <f>IF(ISBLANK($A430),"",INDEX(Array_ElectricalCharges,MATCH($A430,List_ElectricityMeters,0),ROUNDUP(COLUMN()/3,0)-2))</f>
        <v/>
      </c>
      <c r="AI430" s="127"/>
      <c r="AJ430" s="137"/>
      <c r="AK430" s="58" t="str" cm="1">
        <f>IF(ISBLANK($A430),"",INDEX(Array_ElectricalCharges,MATCH($A430,List_ElectricityMeters,0),ROUNDUP(COLUMN()/3,0)-2))</f>
        <v/>
      </c>
      <c r="AL430" s="127"/>
      <c r="AM430" s="137"/>
      <c r="AN430" s="58" t="str" cm="1">
        <f>IF(ISBLANK($A430),"",INDEX(Array_ElectricalCharges,MATCH($A430,List_ElectricityMeters,0),ROUNDUP(COLUMN()/3,0)-2))</f>
        <v/>
      </c>
      <c r="AO430" s="127"/>
      <c r="AP430" s="137"/>
      <c r="AQ430" s="58" t="str" cm="1">
        <f>IF(ISBLANK($A430),"",INDEX(Array_ElectricalCharges,MATCH($A430,List_ElectricityMeters,0),ROUNDUP(COLUMN()/3,0)-2))</f>
        <v/>
      </c>
      <c r="AR430" s="127"/>
      <c r="AS430" s="137"/>
      <c r="AT430" s="58" t="str" cm="1">
        <f>IF(ISBLANK($A430),"",INDEX(Array_ElectricalCharges,MATCH($A430,List_ElectricityMeters,0),ROUNDUP(COLUMN()/3,0)-2))</f>
        <v/>
      </c>
      <c r="AU430" s="127"/>
      <c r="AV430" s="137"/>
      <c r="AW430" s="58" t="str" cm="1">
        <f>IF(ISBLANK($A430),"",INDEX(Array_ElectricalCharges,MATCH($A430,List_ElectricityMeters,0),ROUNDUP(COLUMN()/3,0)-2))</f>
        <v/>
      </c>
      <c r="AX430" s="127"/>
      <c r="AY430" s="137"/>
    </row>
    <row r="431" spans="1:51" x14ac:dyDescent="0.3">
      <c r="A431" s="126"/>
      <c r="B431" s="133"/>
      <c r="C431" s="134"/>
      <c r="D431" s="134"/>
      <c r="E431" s="135"/>
      <c r="F431" s="136"/>
      <c r="G431" s="58" t="str" cm="1">
        <f>IF(ISBLANK($A431),"",INDEX(Array_ElectricalCharges,MATCH($A431,List_ElectricityMeters,0),ROUNDUP(COLUMN()/3,0)-2))</f>
        <v/>
      </c>
      <c r="H431" s="127"/>
      <c r="I431" s="137"/>
      <c r="J431" s="58" t="str" cm="1">
        <f>IF(ISBLANK($A431),"",INDEX(Array_ElectricalCharges,MATCH($A431,List_ElectricityMeters,0),ROUNDUP(COLUMN()/3,0)-2))</f>
        <v/>
      </c>
      <c r="K431" s="127"/>
      <c r="L431" s="137"/>
      <c r="M431" s="58" t="str" cm="1">
        <f>IF(ISBLANK($A431),"",INDEX(Array_ElectricalCharges,MATCH($A431,List_ElectricityMeters,0),ROUNDUP(COLUMN()/3,0)-2))</f>
        <v/>
      </c>
      <c r="N431" s="127"/>
      <c r="O431" s="137"/>
      <c r="P431" s="58" t="str" cm="1">
        <f>IF(ISBLANK($A431),"",INDEX(Array_ElectricalCharges,MATCH($A431,List_ElectricityMeters,0),ROUNDUP(COLUMN()/3,0)-2))</f>
        <v/>
      </c>
      <c r="Q431" s="127"/>
      <c r="R431" s="137"/>
      <c r="S431" s="58" t="str" cm="1">
        <f>IF(ISBLANK($A431),"",INDEX(Array_ElectricalCharges,MATCH($A431,List_ElectricityMeters,0),ROUNDUP(COLUMN()/3,0)-2))</f>
        <v/>
      </c>
      <c r="T431" s="127"/>
      <c r="U431" s="137"/>
      <c r="V431" s="58" t="str" cm="1">
        <f>IF(ISBLANK($A431),"",INDEX(Array_ElectricalCharges,MATCH($A431,List_ElectricityMeters,0),ROUNDUP(COLUMN()/3,0)-2))</f>
        <v/>
      </c>
      <c r="W431" s="127"/>
      <c r="X431" s="137"/>
      <c r="Y431" s="58" t="str" cm="1">
        <f>IF(ISBLANK($A431),"",INDEX(Array_ElectricalCharges,MATCH($A431,List_ElectricityMeters,0),ROUNDUP(COLUMN()/3,0)-2))</f>
        <v/>
      </c>
      <c r="Z431" s="127"/>
      <c r="AA431" s="137"/>
      <c r="AB431" s="58" t="str" cm="1">
        <f>IF(ISBLANK($A431),"",INDEX(Array_ElectricalCharges,MATCH($A431,List_ElectricityMeters,0),ROUNDUP(COLUMN()/3,0)-2))</f>
        <v/>
      </c>
      <c r="AC431" s="127"/>
      <c r="AD431" s="137"/>
      <c r="AE431" s="58" t="str" cm="1">
        <f>IF(ISBLANK($A431),"",INDEX(Array_ElectricalCharges,MATCH($A431,List_ElectricityMeters,0),ROUNDUP(COLUMN()/3,0)-2))</f>
        <v/>
      </c>
      <c r="AF431" s="127"/>
      <c r="AG431" s="137"/>
      <c r="AH431" s="58" t="str" cm="1">
        <f>IF(ISBLANK($A431),"",INDEX(Array_ElectricalCharges,MATCH($A431,List_ElectricityMeters,0),ROUNDUP(COLUMN()/3,0)-2))</f>
        <v/>
      </c>
      <c r="AI431" s="127"/>
      <c r="AJ431" s="137"/>
      <c r="AK431" s="58" t="str" cm="1">
        <f>IF(ISBLANK($A431),"",INDEX(Array_ElectricalCharges,MATCH($A431,List_ElectricityMeters,0),ROUNDUP(COLUMN()/3,0)-2))</f>
        <v/>
      </c>
      <c r="AL431" s="127"/>
      <c r="AM431" s="137"/>
      <c r="AN431" s="58" t="str" cm="1">
        <f>IF(ISBLANK($A431),"",INDEX(Array_ElectricalCharges,MATCH($A431,List_ElectricityMeters,0),ROUNDUP(COLUMN()/3,0)-2))</f>
        <v/>
      </c>
      <c r="AO431" s="127"/>
      <c r="AP431" s="137"/>
      <c r="AQ431" s="58" t="str" cm="1">
        <f>IF(ISBLANK($A431),"",INDEX(Array_ElectricalCharges,MATCH($A431,List_ElectricityMeters,0),ROUNDUP(COLUMN()/3,0)-2))</f>
        <v/>
      </c>
      <c r="AR431" s="127"/>
      <c r="AS431" s="137"/>
      <c r="AT431" s="58" t="str" cm="1">
        <f>IF(ISBLANK($A431),"",INDEX(Array_ElectricalCharges,MATCH($A431,List_ElectricityMeters,0),ROUNDUP(COLUMN()/3,0)-2))</f>
        <v/>
      </c>
      <c r="AU431" s="127"/>
      <c r="AV431" s="137"/>
      <c r="AW431" s="58" t="str" cm="1">
        <f>IF(ISBLANK($A431),"",INDEX(Array_ElectricalCharges,MATCH($A431,List_ElectricityMeters,0),ROUNDUP(COLUMN()/3,0)-2))</f>
        <v/>
      </c>
      <c r="AX431" s="127"/>
      <c r="AY431" s="137"/>
    </row>
    <row r="432" spans="1:51" x14ac:dyDescent="0.3">
      <c r="A432" s="126"/>
      <c r="B432" s="133"/>
      <c r="C432" s="134"/>
      <c r="D432" s="134"/>
      <c r="E432" s="135"/>
      <c r="F432" s="136"/>
      <c r="G432" s="58" t="str" cm="1">
        <f>IF(ISBLANK($A432),"",INDEX(Array_ElectricalCharges,MATCH($A432,List_ElectricityMeters,0),ROUNDUP(COLUMN()/3,0)-2))</f>
        <v/>
      </c>
      <c r="H432" s="127"/>
      <c r="I432" s="137"/>
      <c r="J432" s="58" t="str" cm="1">
        <f>IF(ISBLANK($A432),"",INDEX(Array_ElectricalCharges,MATCH($A432,List_ElectricityMeters,0),ROUNDUP(COLUMN()/3,0)-2))</f>
        <v/>
      </c>
      <c r="K432" s="127"/>
      <c r="L432" s="137"/>
      <c r="M432" s="58" t="str" cm="1">
        <f>IF(ISBLANK($A432),"",INDEX(Array_ElectricalCharges,MATCH($A432,List_ElectricityMeters,0),ROUNDUP(COLUMN()/3,0)-2))</f>
        <v/>
      </c>
      <c r="N432" s="127"/>
      <c r="O432" s="137"/>
      <c r="P432" s="58" t="str" cm="1">
        <f>IF(ISBLANK($A432),"",INDEX(Array_ElectricalCharges,MATCH($A432,List_ElectricityMeters,0),ROUNDUP(COLUMN()/3,0)-2))</f>
        <v/>
      </c>
      <c r="Q432" s="127"/>
      <c r="R432" s="137"/>
      <c r="S432" s="58" t="str" cm="1">
        <f>IF(ISBLANK($A432),"",INDEX(Array_ElectricalCharges,MATCH($A432,List_ElectricityMeters,0),ROUNDUP(COLUMN()/3,0)-2))</f>
        <v/>
      </c>
      <c r="T432" s="127"/>
      <c r="U432" s="137"/>
      <c r="V432" s="58" t="str" cm="1">
        <f>IF(ISBLANK($A432),"",INDEX(Array_ElectricalCharges,MATCH($A432,List_ElectricityMeters,0),ROUNDUP(COLUMN()/3,0)-2))</f>
        <v/>
      </c>
      <c r="W432" s="127"/>
      <c r="X432" s="137"/>
      <c r="Y432" s="58" t="str" cm="1">
        <f>IF(ISBLANK($A432),"",INDEX(Array_ElectricalCharges,MATCH($A432,List_ElectricityMeters,0),ROUNDUP(COLUMN()/3,0)-2))</f>
        <v/>
      </c>
      <c r="Z432" s="127"/>
      <c r="AA432" s="137"/>
      <c r="AB432" s="58" t="str" cm="1">
        <f>IF(ISBLANK($A432),"",INDEX(Array_ElectricalCharges,MATCH($A432,List_ElectricityMeters,0),ROUNDUP(COLUMN()/3,0)-2))</f>
        <v/>
      </c>
      <c r="AC432" s="127"/>
      <c r="AD432" s="137"/>
      <c r="AE432" s="58" t="str" cm="1">
        <f>IF(ISBLANK($A432),"",INDEX(Array_ElectricalCharges,MATCH($A432,List_ElectricityMeters,0),ROUNDUP(COLUMN()/3,0)-2))</f>
        <v/>
      </c>
      <c r="AF432" s="127"/>
      <c r="AG432" s="137"/>
      <c r="AH432" s="58" t="str" cm="1">
        <f>IF(ISBLANK($A432),"",INDEX(Array_ElectricalCharges,MATCH($A432,List_ElectricityMeters,0),ROUNDUP(COLUMN()/3,0)-2))</f>
        <v/>
      </c>
      <c r="AI432" s="127"/>
      <c r="AJ432" s="137"/>
      <c r="AK432" s="58" t="str" cm="1">
        <f>IF(ISBLANK($A432),"",INDEX(Array_ElectricalCharges,MATCH($A432,List_ElectricityMeters,0),ROUNDUP(COLUMN()/3,0)-2))</f>
        <v/>
      </c>
      <c r="AL432" s="127"/>
      <c r="AM432" s="137"/>
      <c r="AN432" s="58" t="str" cm="1">
        <f>IF(ISBLANK($A432),"",INDEX(Array_ElectricalCharges,MATCH($A432,List_ElectricityMeters,0),ROUNDUP(COLUMN()/3,0)-2))</f>
        <v/>
      </c>
      <c r="AO432" s="127"/>
      <c r="AP432" s="137"/>
      <c r="AQ432" s="58" t="str" cm="1">
        <f>IF(ISBLANK($A432),"",INDEX(Array_ElectricalCharges,MATCH($A432,List_ElectricityMeters,0),ROUNDUP(COLUMN()/3,0)-2))</f>
        <v/>
      </c>
      <c r="AR432" s="127"/>
      <c r="AS432" s="137"/>
      <c r="AT432" s="58" t="str" cm="1">
        <f>IF(ISBLANK($A432),"",INDEX(Array_ElectricalCharges,MATCH($A432,List_ElectricityMeters,0),ROUNDUP(COLUMN()/3,0)-2))</f>
        <v/>
      </c>
      <c r="AU432" s="127"/>
      <c r="AV432" s="137"/>
      <c r="AW432" s="58" t="str" cm="1">
        <f>IF(ISBLANK($A432),"",INDEX(Array_ElectricalCharges,MATCH($A432,List_ElectricityMeters,0),ROUNDUP(COLUMN()/3,0)-2))</f>
        <v/>
      </c>
      <c r="AX432" s="127"/>
      <c r="AY432" s="137"/>
    </row>
    <row r="433" spans="1:51" x14ac:dyDescent="0.3">
      <c r="A433" s="126"/>
      <c r="B433" s="133"/>
      <c r="C433" s="134"/>
      <c r="D433" s="134"/>
      <c r="E433" s="135"/>
      <c r="F433" s="136"/>
      <c r="G433" s="58" t="str" cm="1">
        <f>IF(ISBLANK($A433),"",INDEX(Array_ElectricalCharges,MATCH($A433,List_ElectricityMeters,0),ROUNDUP(COLUMN()/3,0)-2))</f>
        <v/>
      </c>
      <c r="H433" s="127"/>
      <c r="I433" s="137"/>
      <c r="J433" s="58" t="str" cm="1">
        <f>IF(ISBLANK($A433),"",INDEX(Array_ElectricalCharges,MATCH($A433,List_ElectricityMeters,0),ROUNDUP(COLUMN()/3,0)-2))</f>
        <v/>
      </c>
      <c r="K433" s="127"/>
      <c r="L433" s="137"/>
      <c r="M433" s="58" t="str" cm="1">
        <f>IF(ISBLANK($A433),"",INDEX(Array_ElectricalCharges,MATCH($A433,List_ElectricityMeters,0),ROUNDUP(COLUMN()/3,0)-2))</f>
        <v/>
      </c>
      <c r="N433" s="127"/>
      <c r="O433" s="137"/>
      <c r="P433" s="58" t="str" cm="1">
        <f>IF(ISBLANK($A433),"",INDEX(Array_ElectricalCharges,MATCH($A433,List_ElectricityMeters,0),ROUNDUP(COLUMN()/3,0)-2))</f>
        <v/>
      </c>
      <c r="Q433" s="127"/>
      <c r="R433" s="137"/>
      <c r="S433" s="58" t="str" cm="1">
        <f>IF(ISBLANK($A433),"",INDEX(Array_ElectricalCharges,MATCH($A433,List_ElectricityMeters,0),ROUNDUP(COLUMN()/3,0)-2))</f>
        <v/>
      </c>
      <c r="T433" s="127"/>
      <c r="U433" s="137"/>
      <c r="V433" s="58" t="str" cm="1">
        <f>IF(ISBLANK($A433),"",INDEX(Array_ElectricalCharges,MATCH($A433,List_ElectricityMeters,0),ROUNDUP(COLUMN()/3,0)-2))</f>
        <v/>
      </c>
      <c r="W433" s="127"/>
      <c r="X433" s="137"/>
      <c r="Y433" s="58" t="str" cm="1">
        <f>IF(ISBLANK($A433),"",INDEX(Array_ElectricalCharges,MATCH($A433,List_ElectricityMeters,0),ROUNDUP(COLUMN()/3,0)-2))</f>
        <v/>
      </c>
      <c r="Z433" s="127"/>
      <c r="AA433" s="137"/>
      <c r="AB433" s="58" t="str" cm="1">
        <f>IF(ISBLANK($A433),"",INDEX(Array_ElectricalCharges,MATCH($A433,List_ElectricityMeters,0),ROUNDUP(COLUMN()/3,0)-2))</f>
        <v/>
      </c>
      <c r="AC433" s="127"/>
      <c r="AD433" s="137"/>
      <c r="AE433" s="58" t="str" cm="1">
        <f>IF(ISBLANK($A433),"",INDEX(Array_ElectricalCharges,MATCH($A433,List_ElectricityMeters,0),ROUNDUP(COLUMN()/3,0)-2))</f>
        <v/>
      </c>
      <c r="AF433" s="127"/>
      <c r="AG433" s="137"/>
      <c r="AH433" s="58" t="str" cm="1">
        <f>IF(ISBLANK($A433),"",INDEX(Array_ElectricalCharges,MATCH($A433,List_ElectricityMeters,0),ROUNDUP(COLUMN()/3,0)-2))</f>
        <v/>
      </c>
      <c r="AI433" s="127"/>
      <c r="AJ433" s="137"/>
      <c r="AK433" s="58" t="str" cm="1">
        <f>IF(ISBLANK($A433),"",INDEX(Array_ElectricalCharges,MATCH($A433,List_ElectricityMeters,0),ROUNDUP(COLUMN()/3,0)-2))</f>
        <v/>
      </c>
      <c r="AL433" s="127"/>
      <c r="AM433" s="137"/>
      <c r="AN433" s="58" t="str" cm="1">
        <f>IF(ISBLANK($A433),"",INDEX(Array_ElectricalCharges,MATCH($A433,List_ElectricityMeters,0),ROUNDUP(COLUMN()/3,0)-2))</f>
        <v/>
      </c>
      <c r="AO433" s="127"/>
      <c r="AP433" s="137"/>
      <c r="AQ433" s="58" t="str" cm="1">
        <f>IF(ISBLANK($A433),"",INDEX(Array_ElectricalCharges,MATCH($A433,List_ElectricityMeters,0),ROUNDUP(COLUMN()/3,0)-2))</f>
        <v/>
      </c>
      <c r="AR433" s="127"/>
      <c r="AS433" s="137"/>
      <c r="AT433" s="58" t="str" cm="1">
        <f>IF(ISBLANK($A433),"",INDEX(Array_ElectricalCharges,MATCH($A433,List_ElectricityMeters,0),ROUNDUP(COLUMN()/3,0)-2))</f>
        <v/>
      </c>
      <c r="AU433" s="127"/>
      <c r="AV433" s="137"/>
      <c r="AW433" s="58" t="str" cm="1">
        <f>IF(ISBLANK($A433),"",INDEX(Array_ElectricalCharges,MATCH($A433,List_ElectricityMeters,0),ROUNDUP(COLUMN()/3,0)-2))</f>
        <v/>
      </c>
      <c r="AX433" s="127"/>
      <c r="AY433" s="137"/>
    </row>
    <row r="434" spans="1:51" x14ac:dyDescent="0.3">
      <c r="A434" s="126"/>
      <c r="B434" s="133"/>
      <c r="C434" s="134"/>
      <c r="D434" s="134"/>
      <c r="E434" s="135"/>
      <c r="F434" s="136"/>
      <c r="G434" s="58" t="str" cm="1">
        <f>IF(ISBLANK($A434),"",INDEX(Array_ElectricalCharges,MATCH($A434,List_ElectricityMeters,0),ROUNDUP(COLUMN()/3,0)-2))</f>
        <v/>
      </c>
      <c r="H434" s="127"/>
      <c r="I434" s="137"/>
      <c r="J434" s="58" t="str" cm="1">
        <f>IF(ISBLANK($A434),"",INDEX(Array_ElectricalCharges,MATCH($A434,List_ElectricityMeters,0),ROUNDUP(COLUMN()/3,0)-2))</f>
        <v/>
      </c>
      <c r="K434" s="127"/>
      <c r="L434" s="137"/>
      <c r="M434" s="58" t="str" cm="1">
        <f>IF(ISBLANK($A434),"",INDEX(Array_ElectricalCharges,MATCH($A434,List_ElectricityMeters,0),ROUNDUP(COLUMN()/3,0)-2))</f>
        <v/>
      </c>
      <c r="N434" s="127"/>
      <c r="O434" s="137"/>
      <c r="P434" s="58" t="str" cm="1">
        <f>IF(ISBLANK($A434),"",INDEX(Array_ElectricalCharges,MATCH($A434,List_ElectricityMeters,0),ROUNDUP(COLUMN()/3,0)-2))</f>
        <v/>
      </c>
      <c r="Q434" s="127"/>
      <c r="R434" s="137"/>
      <c r="S434" s="58" t="str" cm="1">
        <f>IF(ISBLANK($A434),"",INDEX(Array_ElectricalCharges,MATCH($A434,List_ElectricityMeters,0),ROUNDUP(COLUMN()/3,0)-2))</f>
        <v/>
      </c>
      <c r="T434" s="127"/>
      <c r="U434" s="137"/>
      <c r="V434" s="58" t="str" cm="1">
        <f>IF(ISBLANK($A434),"",INDEX(Array_ElectricalCharges,MATCH($A434,List_ElectricityMeters,0),ROUNDUP(COLUMN()/3,0)-2))</f>
        <v/>
      </c>
      <c r="W434" s="127"/>
      <c r="X434" s="137"/>
      <c r="Y434" s="58" t="str" cm="1">
        <f>IF(ISBLANK($A434),"",INDEX(Array_ElectricalCharges,MATCH($A434,List_ElectricityMeters,0),ROUNDUP(COLUMN()/3,0)-2))</f>
        <v/>
      </c>
      <c r="Z434" s="127"/>
      <c r="AA434" s="137"/>
      <c r="AB434" s="58" t="str" cm="1">
        <f>IF(ISBLANK($A434),"",INDEX(Array_ElectricalCharges,MATCH($A434,List_ElectricityMeters,0),ROUNDUP(COLUMN()/3,0)-2))</f>
        <v/>
      </c>
      <c r="AC434" s="127"/>
      <c r="AD434" s="137"/>
      <c r="AE434" s="58" t="str" cm="1">
        <f>IF(ISBLANK($A434),"",INDEX(Array_ElectricalCharges,MATCH($A434,List_ElectricityMeters,0),ROUNDUP(COLUMN()/3,0)-2))</f>
        <v/>
      </c>
      <c r="AF434" s="127"/>
      <c r="AG434" s="137"/>
      <c r="AH434" s="58" t="str" cm="1">
        <f>IF(ISBLANK($A434),"",INDEX(Array_ElectricalCharges,MATCH($A434,List_ElectricityMeters,0),ROUNDUP(COLUMN()/3,0)-2))</f>
        <v/>
      </c>
      <c r="AI434" s="127"/>
      <c r="AJ434" s="137"/>
      <c r="AK434" s="58" t="str" cm="1">
        <f>IF(ISBLANK($A434),"",INDEX(Array_ElectricalCharges,MATCH($A434,List_ElectricityMeters,0),ROUNDUP(COLUMN()/3,0)-2))</f>
        <v/>
      </c>
      <c r="AL434" s="127"/>
      <c r="AM434" s="137"/>
      <c r="AN434" s="58" t="str" cm="1">
        <f>IF(ISBLANK($A434),"",INDEX(Array_ElectricalCharges,MATCH($A434,List_ElectricityMeters,0),ROUNDUP(COLUMN()/3,0)-2))</f>
        <v/>
      </c>
      <c r="AO434" s="127"/>
      <c r="AP434" s="137"/>
      <c r="AQ434" s="58" t="str" cm="1">
        <f>IF(ISBLANK($A434),"",INDEX(Array_ElectricalCharges,MATCH($A434,List_ElectricityMeters,0),ROUNDUP(COLUMN()/3,0)-2))</f>
        <v/>
      </c>
      <c r="AR434" s="127"/>
      <c r="AS434" s="137"/>
      <c r="AT434" s="58" t="str" cm="1">
        <f>IF(ISBLANK($A434),"",INDEX(Array_ElectricalCharges,MATCH($A434,List_ElectricityMeters,0),ROUNDUP(COLUMN()/3,0)-2))</f>
        <v/>
      </c>
      <c r="AU434" s="127"/>
      <c r="AV434" s="137"/>
      <c r="AW434" s="58" t="str" cm="1">
        <f>IF(ISBLANK($A434),"",INDEX(Array_ElectricalCharges,MATCH($A434,List_ElectricityMeters,0),ROUNDUP(COLUMN()/3,0)-2))</f>
        <v/>
      </c>
      <c r="AX434" s="127"/>
      <c r="AY434" s="137"/>
    </row>
    <row r="435" spans="1:51" x14ac:dyDescent="0.3">
      <c r="A435" s="126"/>
      <c r="B435" s="133"/>
      <c r="C435" s="134"/>
      <c r="D435" s="134"/>
      <c r="E435" s="135"/>
      <c r="F435" s="136"/>
      <c r="G435" s="58" t="str" cm="1">
        <f>IF(ISBLANK($A435),"",INDEX(Array_ElectricalCharges,MATCH($A435,List_ElectricityMeters,0),ROUNDUP(COLUMN()/3,0)-2))</f>
        <v/>
      </c>
      <c r="H435" s="127"/>
      <c r="I435" s="137"/>
      <c r="J435" s="58" t="str" cm="1">
        <f>IF(ISBLANK($A435),"",INDEX(Array_ElectricalCharges,MATCH($A435,List_ElectricityMeters,0),ROUNDUP(COLUMN()/3,0)-2))</f>
        <v/>
      </c>
      <c r="K435" s="127"/>
      <c r="L435" s="137"/>
      <c r="M435" s="58" t="str" cm="1">
        <f>IF(ISBLANK($A435),"",INDEX(Array_ElectricalCharges,MATCH($A435,List_ElectricityMeters,0),ROUNDUP(COLUMN()/3,0)-2))</f>
        <v/>
      </c>
      <c r="N435" s="127"/>
      <c r="O435" s="137"/>
      <c r="P435" s="58" t="str" cm="1">
        <f>IF(ISBLANK($A435),"",INDEX(Array_ElectricalCharges,MATCH($A435,List_ElectricityMeters,0),ROUNDUP(COLUMN()/3,0)-2))</f>
        <v/>
      </c>
      <c r="Q435" s="127"/>
      <c r="R435" s="137"/>
      <c r="S435" s="58" t="str" cm="1">
        <f>IF(ISBLANK($A435),"",INDEX(Array_ElectricalCharges,MATCH($A435,List_ElectricityMeters,0),ROUNDUP(COLUMN()/3,0)-2))</f>
        <v/>
      </c>
      <c r="T435" s="127"/>
      <c r="U435" s="137"/>
      <c r="V435" s="58" t="str" cm="1">
        <f>IF(ISBLANK($A435),"",INDEX(Array_ElectricalCharges,MATCH($A435,List_ElectricityMeters,0),ROUNDUP(COLUMN()/3,0)-2))</f>
        <v/>
      </c>
      <c r="W435" s="127"/>
      <c r="X435" s="137"/>
      <c r="Y435" s="58" t="str" cm="1">
        <f>IF(ISBLANK($A435),"",INDEX(Array_ElectricalCharges,MATCH($A435,List_ElectricityMeters,0),ROUNDUP(COLUMN()/3,0)-2))</f>
        <v/>
      </c>
      <c r="Z435" s="127"/>
      <c r="AA435" s="137"/>
      <c r="AB435" s="58" t="str" cm="1">
        <f>IF(ISBLANK($A435),"",INDEX(Array_ElectricalCharges,MATCH($A435,List_ElectricityMeters,0),ROUNDUP(COLUMN()/3,0)-2))</f>
        <v/>
      </c>
      <c r="AC435" s="127"/>
      <c r="AD435" s="137"/>
      <c r="AE435" s="58" t="str" cm="1">
        <f>IF(ISBLANK($A435),"",INDEX(Array_ElectricalCharges,MATCH($A435,List_ElectricityMeters,0),ROUNDUP(COLUMN()/3,0)-2))</f>
        <v/>
      </c>
      <c r="AF435" s="127"/>
      <c r="AG435" s="137"/>
      <c r="AH435" s="58" t="str" cm="1">
        <f>IF(ISBLANK($A435),"",INDEX(Array_ElectricalCharges,MATCH($A435,List_ElectricityMeters,0),ROUNDUP(COLUMN()/3,0)-2))</f>
        <v/>
      </c>
      <c r="AI435" s="127"/>
      <c r="AJ435" s="137"/>
      <c r="AK435" s="58" t="str" cm="1">
        <f>IF(ISBLANK($A435),"",INDEX(Array_ElectricalCharges,MATCH($A435,List_ElectricityMeters,0),ROUNDUP(COLUMN()/3,0)-2))</f>
        <v/>
      </c>
      <c r="AL435" s="127"/>
      <c r="AM435" s="137"/>
      <c r="AN435" s="58" t="str" cm="1">
        <f>IF(ISBLANK($A435),"",INDEX(Array_ElectricalCharges,MATCH($A435,List_ElectricityMeters,0),ROUNDUP(COLUMN()/3,0)-2))</f>
        <v/>
      </c>
      <c r="AO435" s="127"/>
      <c r="AP435" s="137"/>
      <c r="AQ435" s="58" t="str" cm="1">
        <f>IF(ISBLANK($A435),"",INDEX(Array_ElectricalCharges,MATCH($A435,List_ElectricityMeters,0),ROUNDUP(COLUMN()/3,0)-2))</f>
        <v/>
      </c>
      <c r="AR435" s="127"/>
      <c r="AS435" s="137"/>
      <c r="AT435" s="58" t="str" cm="1">
        <f>IF(ISBLANK($A435),"",INDEX(Array_ElectricalCharges,MATCH($A435,List_ElectricityMeters,0),ROUNDUP(COLUMN()/3,0)-2))</f>
        <v/>
      </c>
      <c r="AU435" s="127"/>
      <c r="AV435" s="137"/>
      <c r="AW435" s="58" t="str" cm="1">
        <f>IF(ISBLANK($A435),"",INDEX(Array_ElectricalCharges,MATCH($A435,List_ElectricityMeters,0),ROUNDUP(COLUMN()/3,0)-2))</f>
        <v/>
      </c>
      <c r="AX435" s="127"/>
      <c r="AY435" s="137"/>
    </row>
    <row r="436" spans="1:51" x14ac:dyDescent="0.3">
      <c r="A436" s="126"/>
      <c r="B436" s="133"/>
      <c r="C436" s="134"/>
      <c r="D436" s="134"/>
      <c r="E436" s="135"/>
      <c r="F436" s="136"/>
      <c r="G436" s="58" t="str" cm="1">
        <f>IF(ISBLANK($A436),"",INDEX(Array_ElectricalCharges,MATCH($A436,List_ElectricityMeters,0),ROUNDUP(COLUMN()/3,0)-2))</f>
        <v/>
      </c>
      <c r="H436" s="127"/>
      <c r="I436" s="137"/>
      <c r="J436" s="58" t="str" cm="1">
        <f>IF(ISBLANK($A436),"",INDEX(Array_ElectricalCharges,MATCH($A436,List_ElectricityMeters,0),ROUNDUP(COLUMN()/3,0)-2))</f>
        <v/>
      </c>
      <c r="K436" s="127"/>
      <c r="L436" s="137"/>
      <c r="M436" s="58" t="str" cm="1">
        <f>IF(ISBLANK($A436),"",INDEX(Array_ElectricalCharges,MATCH($A436,List_ElectricityMeters,0),ROUNDUP(COLUMN()/3,0)-2))</f>
        <v/>
      </c>
      <c r="N436" s="127"/>
      <c r="O436" s="137"/>
      <c r="P436" s="58" t="str" cm="1">
        <f>IF(ISBLANK($A436),"",INDEX(Array_ElectricalCharges,MATCH($A436,List_ElectricityMeters,0),ROUNDUP(COLUMN()/3,0)-2))</f>
        <v/>
      </c>
      <c r="Q436" s="127"/>
      <c r="R436" s="137"/>
      <c r="S436" s="58" t="str" cm="1">
        <f>IF(ISBLANK($A436),"",INDEX(Array_ElectricalCharges,MATCH($A436,List_ElectricityMeters,0),ROUNDUP(COLUMN()/3,0)-2))</f>
        <v/>
      </c>
      <c r="T436" s="127"/>
      <c r="U436" s="137"/>
      <c r="V436" s="58" t="str" cm="1">
        <f>IF(ISBLANK($A436),"",INDEX(Array_ElectricalCharges,MATCH($A436,List_ElectricityMeters,0),ROUNDUP(COLUMN()/3,0)-2))</f>
        <v/>
      </c>
      <c r="W436" s="127"/>
      <c r="X436" s="137"/>
      <c r="Y436" s="58" t="str" cm="1">
        <f>IF(ISBLANK($A436),"",INDEX(Array_ElectricalCharges,MATCH($A436,List_ElectricityMeters,0),ROUNDUP(COLUMN()/3,0)-2))</f>
        <v/>
      </c>
      <c r="Z436" s="127"/>
      <c r="AA436" s="137"/>
      <c r="AB436" s="58" t="str" cm="1">
        <f>IF(ISBLANK($A436),"",INDEX(Array_ElectricalCharges,MATCH($A436,List_ElectricityMeters,0),ROUNDUP(COLUMN()/3,0)-2))</f>
        <v/>
      </c>
      <c r="AC436" s="127"/>
      <c r="AD436" s="137"/>
      <c r="AE436" s="58" t="str" cm="1">
        <f>IF(ISBLANK($A436),"",INDEX(Array_ElectricalCharges,MATCH($A436,List_ElectricityMeters,0),ROUNDUP(COLUMN()/3,0)-2))</f>
        <v/>
      </c>
      <c r="AF436" s="127"/>
      <c r="AG436" s="137"/>
      <c r="AH436" s="58" t="str" cm="1">
        <f>IF(ISBLANK($A436),"",INDEX(Array_ElectricalCharges,MATCH($A436,List_ElectricityMeters,0),ROUNDUP(COLUMN()/3,0)-2))</f>
        <v/>
      </c>
      <c r="AI436" s="127"/>
      <c r="AJ436" s="137"/>
      <c r="AK436" s="58" t="str" cm="1">
        <f>IF(ISBLANK($A436),"",INDEX(Array_ElectricalCharges,MATCH($A436,List_ElectricityMeters,0),ROUNDUP(COLUMN()/3,0)-2))</f>
        <v/>
      </c>
      <c r="AL436" s="127"/>
      <c r="AM436" s="137"/>
      <c r="AN436" s="58" t="str" cm="1">
        <f>IF(ISBLANK($A436),"",INDEX(Array_ElectricalCharges,MATCH($A436,List_ElectricityMeters,0),ROUNDUP(COLUMN()/3,0)-2))</f>
        <v/>
      </c>
      <c r="AO436" s="127"/>
      <c r="AP436" s="137"/>
      <c r="AQ436" s="58" t="str" cm="1">
        <f>IF(ISBLANK($A436),"",INDEX(Array_ElectricalCharges,MATCH($A436,List_ElectricityMeters,0),ROUNDUP(COLUMN()/3,0)-2))</f>
        <v/>
      </c>
      <c r="AR436" s="127"/>
      <c r="AS436" s="137"/>
      <c r="AT436" s="58" t="str" cm="1">
        <f>IF(ISBLANK($A436),"",INDEX(Array_ElectricalCharges,MATCH($A436,List_ElectricityMeters,0),ROUNDUP(COLUMN()/3,0)-2))</f>
        <v/>
      </c>
      <c r="AU436" s="127"/>
      <c r="AV436" s="137"/>
      <c r="AW436" s="58" t="str" cm="1">
        <f>IF(ISBLANK($A436),"",INDEX(Array_ElectricalCharges,MATCH($A436,List_ElectricityMeters,0),ROUNDUP(COLUMN()/3,0)-2))</f>
        <v/>
      </c>
      <c r="AX436" s="127"/>
      <c r="AY436" s="137"/>
    </row>
    <row r="437" spans="1:51" x14ac:dyDescent="0.3">
      <c r="A437" s="126"/>
      <c r="B437" s="133"/>
      <c r="C437" s="134"/>
      <c r="D437" s="134"/>
      <c r="E437" s="135"/>
      <c r="F437" s="136"/>
      <c r="G437" s="58" t="str" cm="1">
        <f>IF(ISBLANK($A437),"",INDEX(Array_ElectricalCharges,MATCH($A437,List_ElectricityMeters,0),ROUNDUP(COLUMN()/3,0)-2))</f>
        <v/>
      </c>
      <c r="H437" s="127"/>
      <c r="I437" s="137"/>
      <c r="J437" s="58" t="str" cm="1">
        <f>IF(ISBLANK($A437),"",INDEX(Array_ElectricalCharges,MATCH($A437,List_ElectricityMeters,0),ROUNDUP(COLUMN()/3,0)-2))</f>
        <v/>
      </c>
      <c r="K437" s="127"/>
      <c r="L437" s="137"/>
      <c r="M437" s="58" t="str" cm="1">
        <f>IF(ISBLANK($A437),"",INDEX(Array_ElectricalCharges,MATCH($A437,List_ElectricityMeters,0),ROUNDUP(COLUMN()/3,0)-2))</f>
        <v/>
      </c>
      <c r="N437" s="127"/>
      <c r="O437" s="137"/>
      <c r="P437" s="58" t="str" cm="1">
        <f>IF(ISBLANK($A437),"",INDEX(Array_ElectricalCharges,MATCH($A437,List_ElectricityMeters,0),ROUNDUP(COLUMN()/3,0)-2))</f>
        <v/>
      </c>
      <c r="Q437" s="127"/>
      <c r="R437" s="137"/>
      <c r="S437" s="58" t="str" cm="1">
        <f>IF(ISBLANK($A437),"",INDEX(Array_ElectricalCharges,MATCH($A437,List_ElectricityMeters,0),ROUNDUP(COLUMN()/3,0)-2))</f>
        <v/>
      </c>
      <c r="T437" s="127"/>
      <c r="U437" s="137"/>
      <c r="V437" s="58" t="str" cm="1">
        <f>IF(ISBLANK($A437),"",INDEX(Array_ElectricalCharges,MATCH($A437,List_ElectricityMeters,0),ROUNDUP(COLUMN()/3,0)-2))</f>
        <v/>
      </c>
      <c r="W437" s="127"/>
      <c r="X437" s="137"/>
      <c r="Y437" s="58" t="str" cm="1">
        <f>IF(ISBLANK($A437),"",INDEX(Array_ElectricalCharges,MATCH($A437,List_ElectricityMeters,0),ROUNDUP(COLUMN()/3,0)-2))</f>
        <v/>
      </c>
      <c r="Z437" s="127"/>
      <c r="AA437" s="137"/>
      <c r="AB437" s="58" t="str" cm="1">
        <f>IF(ISBLANK($A437),"",INDEX(Array_ElectricalCharges,MATCH($A437,List_ElectricityMeters,0),ROUNDUP(COLUMN()/3,0)-2))</f>
        <v/>
      </c>
      <c r="AC437" s="127"/>
      <c r="AD437" s="137"/>
      <c r="AE437" s="58" t="str" cm="1">
        <f>IF(ISBLANK($A437),"",INDEX(Array_ElectricalCharges,MATCH($A437,List_ElectricityMeters,0),ROUNDUP(COLUMN()/3,0)-2))</f>
        <v/>
      </c>
      <c r="AF437" s="127"/>
      <c r="AG437" s="137"/>
      <c r="AH437" s="58" t="str" cm="1">
        <f>IF(ISBLANK($A437),"",INDEX(Array_ElectricalCharges,MATCH($A437,List_ElectricityMeters,0),ROUNDUP(COLUMN()/3,0)-2))</f>
        <v/>
      </c>
      <c r="AI437" s="127"/>
      <c r="AJ437" s="137"/>
      <c r="AK437" s="58" t="str" cm="1">
        <f>IF(ISBLANK($A437),"",INDEX(Array_ElectricalCharges,MATCH($A437,List_ElectricityMeters,0),ROUNDUP(COLUMN()/3,0)-2))</f>
        <v/>
      </c>
      <c r="AL437" s="127"/>
      <c r="AM437" s="137"/>
      <c r="AN437" s="58" t="str" cm="1">
        <f>IF(ISBLANK($A437),"",INDEX(Array_ElectricalCharges,MATCH($A437,List_ElectricityMeters,0),ROUNDUP(COLUMN()/3,0)-2))</f>
        <v/>
      </c>
      <c r="AO437" s="127"/>
      <c r="AP437" s="137"/>
      <c r="AQ437" s="58" t="str" cm="1">
        <f>IF(ISBLANK($A437),"",INDEX(Array_ElectricalCharges,MATCH($A437,List_ElectricityMeters,0),ROUNDUP(COLUMN()/3,0)-2))</f>
        <v/>
      </c>
      <c r="AR437" s="127"/>
      <c r="AS437" s="137"/>
      <c r="AT437" s="58" t="str" cm="1">
        <f>IF(ISBLANK($A437),"",INDEX(Array_ElectricalCharges,MATCH($A437,List_ElectricityMeters,0),ROUNDUP(COLUMN()/3,0)-2))</f>
        <v/>
      </c>
      <c r="AU437" s="127"/>
      <c r="AV437" s="137"/>
      <c r="AW437" s="58" t="str" cm="1">
        <f>IF(ISBLANK($A437),"",INDEX(Array_ElectricalCharges,MATCH($A437,List_ElectricityMeters,0),ROUNDUP(COLUMN()/3,0)-2))</f>
        <v/>
      </c>
      <c r="AX437" s="127"/>
      <c r="AY437" s="137"/>
    </row>
    <row r="438" spans="1:51" x14ac:dyDescent="0.3">
      <c r="A438" s="126"/>
      <c r="B438" s="133"/>
      <c r="C438" s="134"/>
      <c r="D438" s="134"/>
      <c r="E438" s="135"/>
      <c r="F438" s="136"/>
      <c r="G438" s="58" t="str" cm="1">
        <f>IF(ISBLANK($A438),"",INDEX(Array_ElectricalCharges,MATCH($A438,List_ElectricityMeters,0),ROUNDUP(COLUMN()/3,0)-2))</f>
        <v/>
      </c>
      <c r="H438" s="127"/>
      <c r="I438" s="137"/>
      <c r="J438" s="58" t="str" cm="1">
        <f>IF(ISBLANK($A438),"",INDEX(Array_ElectricalCharges,MATCH($A438,List_ElectricityMeters,0),ROUNDUP(COLUMN()/3,0)-2))</f>
        <v/>
      </c>
      <c r="K438" s="127"/>
      <c r="L438" s="137"/>
      <c r="M438" s="58" t="str" cm="1">
        <f>IF(ISBLANK($A438),"",INDEX(Array_ElectricalCharges,MATCH($A438,List_ElectricityMeters,0),ROUNDUP(COLUMN()/3,0)-2))</f>
        <v/>
      </c>
      <c r="N438" s="127"/>
      <c r="O438" s="137"/>
      <c r="P438" s="58" t="str" cm="1">
        <f>IF(ISBLANK($A438),"",INDEX(Array_ElectricalCharges,MATCH($A438,List_ElectricityMeters,0),ROUNDUP(COLUMN()/3,0)-2))</f>
        <v/>
      </c>
      <c r="Q438" s="127"/>
      <c r="R438" s="137"/>
      <c r="S438" s="58" t="str" cm="1">
        <f>IF(ISBLANK($A438),"",INDEX(Array_ElectricalCharges,MATCH($A438,List_ElectricityMeters,0),ROUNDUP(COLUMN()/3,0)-2))</f>
        <v/>
      </c>
      <c r="T438" s="127"/>
      <c r="U438" s="137"/>
      <c r="V438" s="58" t="str" cm="1">
        <f>IF(ISBLANK($A438),"",INDEX(Array_ElectricalCharges,MATCH($A438,List_ElectricityMeters,0),ROUNDUP(COLUMN()/3,0)-2))</f>
        <v/>
      </c>
      <c r="W438" s="127"/>
      <c r="X438" s="137"/>
      <c r="Y438" s="58" t="str" cm="1">
        <f>IF(ISBLANK($A438),"",INDEX(Array_ElectricalCharges,MATCH($A438,List_ElectricityMeters,0),ROUNDUP(COLUMN()/3,0)-2))</f>
        <v/>
      </c>
      <c r="Z438" s="127"/>
      <c r="AA438" s="137"/>
      <c r="AB438" s="58" t="str" cm="1">
        <f>IF(ISBLANK($A438),"",INDEX(Array_ElectricalCharges,MATCH($A438,List_ElectricityMeters,0),ROUNDUP(COLUMN()/3,0)-2))</f>
        <v/>
      </c>
      <c r="AC438" s="127"/>
      <c r="AD438" s="137"/>
      <c r="AE438" s="58" t="str" cm="1">
        <f>IF(ISBLANK($A438),"",INDEX(Array_ElectricalCharges,MATCH($A438,List_ElectricityMeters,0),ROUNDUP(COLUMN()/3,0)-2))</f>
        <v/>
      </c>
      <c r="AF438" s="127"/>
      <c r="AG438" s="137"/>
      <c r="AH438" s="58" t="str" cm="1">
        <f>IF(ISBLANK($A438),"",INDEX(Array_ElectricalCharges,MATCH($A438,List_ElectricityMeters,0),ROUNDUP(COLUMN()/3,0)-2))</f>
        <v/>
      </c>
      <c r="AI438" s="127"/>
      <c r="AJ438" s="137"/>
      <c r="AK438" s="58" t="str" cm="1">
        <f>IF(ISBLANK($A438),"",INDEX(Array_ElectricalCharges,MATCH($A438,List_ElectricityMeters,0),ROUNDUP(COLUMN()/3,0)-2))</f>
        <v/>
      </c>
      <c r="AL438" s="127"/>
      <c r="AM438" s="137"/>
      <c r="AN438" s="58" t="str" cm="1">
        <f>IF(ISBLANK($A438),"",INDEX(Array_ElectricalCharges,MATCH($A438,List_ElectricityMeters,0),ROUNDUP(COLUMN()/3,0)-2))</f>
        <v/>
      </c>
      <c r="AO438" s="127"/>
      <c r="AP438" s="137"/>
      <c r="AQ438" s="58" t="str" cm="1">
        <f>IF(ISBLANK($A438),"",INDEX(Array_ElectricalCharges,MATCH($A438,List_ElectricityMeters,0),ROUNDUP(COLUMN()/3,0)-2))</f>
        <v/>
      </c>
      <c r="AR438" s="127"/>
      <c r="AS438" s="137"/>
      <c r="AT438" s="58" t="str" cm="1">
        <f>IF(ISBLANK($A438),"",INDEX(Array_ElectricalCharges,MATCH($A438,List_ElectricityMeters,0),ROUNDUP(COLUMN()/3,0)-2))</f>
        <v/>
      </c>
      <c r="AU438" s="127"/>
      <c r="AV438" s="137"/>
      <c r="AW438" s="58" t="str" cm="1">
        <f>IF(ISBLANK($A438),"",INDEX(Array_ElectricalCharges,MATCH($A438,List_ElectricityMeters,0),ROUNDUP(COLUMN()/3,0)-2))</f>
        <v/>
      </c>
      <c r="AX438" s="127"/>
      <c r="AY438" s="137"/>
    </row>
    <row r="439" spans="1:51" x14ac:dyDescent="0.3">
      <c r="A439" s="126"/>
      <c r="B439" s="133"/>
      <c r="C439" s="134"/>
      <c r="D439" s="134"/>
      <c r="E439" s="135"/>
      <c r="F439" s="136"/>
      <c r="G439" s="58" t="str" cm="1">
        <f>IF(ISBLANK($A439),"",INDEX(Array_ElectricalCharges,MATCH($A439,List_ElectricityMeters,0),ROUNDUP(COLUMN()/3,0)-2))</f>
        <v/>
      </c>
      <c r="H439" s="127"/>
      <c r="I439" s="137"/>
      <c r="J439" s="58" t="str" cm="1">
        <f>IF(ISBLANK($A439),"",INDEX(Array_ElectricalCharges,MATCH($A439,List_ElectricityMeters,0),ROUNDUP(COLUMN()/3,0)-2))</f>
        <v/>
      </c>
      <c r="K439" s="127"/>
      <c r="L439" s="137"/>
      <c r="M439" s="58" t="str" cm="1">
        <f>IF(ISBLANK($A439),"",INDEX(Array_ElectricalCharges,MATCH($A439,List_ElectricityMeters,0),ROUNDUP(COLUMN()/3,0)-2))</f>
        <v/>
      </c>
      <c r="N439" s="127"/>
      <c r="O439" s="137"/>
      <c r="P439" s="58" t="str" cm="1">
        <f>IF(ISBLANK($A439),"",INDEX(Array_ElectricalCharges,MATCH($A439,List_ElectricityMeters,0),ROUNDUP(COLUMN()/3,0)-2))</f>
        <v/>
      </c>
      <c r="Q439" s="127"/>
      <c r="R439" s="137"/>
      <c r="S439" s="58" t="str" cm="1">
        <f>IF(ISBLANK($A439),"",INDEX(Array_ElectricalCharges,MATCH($A439,List_ElectricityMeters,0),ROUNDUP(COLUMN()/3,0)-2))</f>
        <v/>
      </c>
      <c r="T439" s="127"/>
      <c r="U439" s="137"/>
      <c r="V439" s="58" t="str" cm="1">
        <f>IF(ISBLANK($A439),"",INDEX(Array_ElectricalCharges,MATCH($A439,List_ElectricityMeters,0),ROUNDUP(COLUMN()/3,0)-2))</f>
        <v/>
      </c>
      <c r="W439" s="127"/>
      <c r="X439" s="137"/>
      <c r="Y439" s="58" t="str" cm="1">
        <f>IF(ISBLANK($A439),"",INDEX(Array_ElectricalCharges,MATCH($A439,List_ElectricityMeters,0),ROUNDUP(COLUMN()/3,0)-2))</f>
        <v/>
      </c>
      <c r="Z439" s="127"/>
      <c r="AA439" s="137"/>
      <c r="AB439" s="58" t="str" cm="1">
        <f>IF(ISBLANK($A439),"",INDEX(Array_ElectricalCharges,MATCH($A439,List_ElectricityMeters,0),ROUNDUP(COLUMN()/3,0)-2))</f>
        <v/>
      </c>
      <c r="AC439" s="127"/>
      <c r="AD439" s="137"/>
      <c r="AE439" s="58" t="str" cm="1">
        <f>IF(ISBLANK($A439),"",INDEX(Array_ElectricalCharges,MATCH($A439,List_ElectricityMeters,0),ROUNDUP(COLUMN()/3,0)-2))</f>
        <v/>
      </c>
      <c r="AF439" s="127"/>
      <c r="AG439" s="137"/>
      <c r="AH439" s="58" t="str" cm="1">
        <f>IF(ISBLANK($A439),"",INDEX(Array_ElectricalCharges,MATCH($A439,List_ElectricityMeters,0),ROUNDUP(COLUMN()/3,0)-2))</f>
        <v/>
      </c>
      <c r="AI439" s="127"/>
      <c r="AJ439" s="137"/>
      <c r="AK439" s="58" t="str" cm="1">
        <f>IF(ISBLANK($A439),"",INDEX(Array_ElectricalCharges,MATCH($A439,List_ElectricityMeters,0),ROUNDUP(COLUMN()/3,0)-2))</f>
        <v/>
      </c>
      <c r="AL439" s="127"/>
      <c r="AM439" s="137"/>
      <c r="AN439" s="58" t="str" cm="1">
        <f>IF(ISBLANK($A439),"",INDEX(Array_ElectricalCharges,MATCH($A439,List_ElectricityMeters,0),ROUNDUP(COLUMN()/3,0)-2))</f>
        <v/>
      </c>
      <c r="AO439" s="127"/>
      <c r="AP439" s="137"/>
      <c r="AQ439" s="58" t="str" cm="1">
        <f>IF(ISBLANK($A439),"",INDEX(Array_ElectricalCharges,MATCH($A439,List_ElectricityMeters,0),ROUNDUP(COLUMN()/3,0)-2))</f>
        <v/>
      </c>
      <c r="AR439" s="127"/>
      <c r="AS439" s="137"/>
      <c r="AT439" s="58" t="str" cm="1">
        <f>IF(ISBLANK($A439),"",INDEX(Array_ElectricalCharges,MATCH($A439,List_ElectricityMeters,0),ROUNDUP(COLUMN()/3,0)-2))</f>
        <v/>
      </c>
      <c r="AU439" s="127"/>
      <c r="AV439" s="137"/>
      <c r="AW439" s="58" t="str" cm="1">
        <f>IF(ISBLANK($A439),"",INDEX(Array_ElectricalCharges,MATCH($A439,List_ElectricityMeters,0),ROUNDUP(COLUMN()/3,0)-2))</f>
        <v/>
      </c>
      <c r="AX439" s="127"/>
      <c r="AY439" s="137"/>
    </row>
    <row r="440" spans="1:51" x14ac:dyDescent="0.3">
      <c r="A440" s="126"/>
      <c r="B440" s="133"/>
      <c r="C440" s="134"/>
      <c r="D440" s="134"/>
      <c r="E440" s="135"/>
      <c r="F440" s="136"/>
      <c r="G440" s="58" t="str" cm="1">
        <f>IF(ISBLANK($A440),"",INDEX(Array_ElectricalCharges,MATCH($A440,List_ElectricityMeters,0),ROUNDUP(COLUMN()/3,0)-2))</f>
        <v/>
      </c>
      <c r="H440" s="127"/>
      <c r="I440" s="137"/>
      <c r="J440" s="58" t="str" cm="1">
        <f>IF(ISBLANK($A440),"",INDEX(Array_ElectricalCharges,MATCH($A440,List_ElectricityMeters,0),ROUNDUP(COLUMN()/3,0)-2))</f>
        <v/>
      </c>
      <c r="K440" s="127"/>
      <c r="L440" s="137"/>
      <c r="M440" s="58" t="str" cm="1">
        <f>IF(ISBLANK($A440),"",INDEX(Array_ElectricalCharges,MATCH($A440,List_ElectricityMeters,0),ROUNDUP(COLUMN()/3,0)-2))</f>
        <v/>
      </c>
      <c r="N440" s="127"/>
      <c r="O440" s="137"/>
      <c r="P440" s="58" t="str" cm="1">
        <f>IF(ISBLANK($A440),"",INDEX(Array_ElectricalCharges,MATCH($A440,List_ElectricityMeters,0),ROUNDUP(COLUMN()/3,0)-2))</f>
        <v/>
      </c>
      <c r="Q440" s="127"/>
      <c r="R440" s="137"/>
      <c r="S440" s="58" t="str" cm="1">
        <f>IF(ISBLANK($A440),"",INDEX(Array_ElectricalCharges,MATCH($A440,List_ElectricityMeters,0),ROUNDUP(COLUMN()/3,0)-2))</f>
        <v/>
      </c>
      <c r="T440" s="127"/>
      <c r="U440" s="137"/>
      <c r="V440" s="58" t="str" cm="1">
        <f>IF(ISBLANK($A440),"",INDEX(Array_ElectricalCharges,MATCH($A440,List_ElectricityMeters,0),ROUNDUP(COLUMN()/3,0)-2))</f>
        <v/>
      </c>
      <c r="W440" s="127"/>
      <c r="X440" s="137"/>
      <c r="Y440" s="58" t="str" cm="1">
        <f>IF(ISBLANK($A440),"",INDEX(Array_ElectricalCharges,MATCH($A440,List_ElectricityMeters,0),ROUNDUP(COLUMN()/3,0)-2))</f>
        <v/>
      </c>
      <c r="Z440" s="127"/>
      <c r="AA440" s="137"/>
      <c r="AB440" s="58" t="str" cm="1">
        <f>IF(ISBLANK($A440),"",INDEX(Array_ElectricalCharges,MATCH($A440,List_ElectricityMeters,0),ROUNDUP(COLUMN()/3,0)-2))</f>
        <v/>
      </c>
      <c r="AC440" s="127"/>
      <c r="AD440" s="137"/>
      <c r="AE440" s="58" t="str" cm="1">
        <f>IF(ISBLANK($A440),"",INDEX(Array_ElectricalCharges,MATCH($A440,List_ElectricityMeters,0),ROUNDUP(COLUMN()/3,0)-2))</f>
        <v/>
      </c>
      <c r="AF440" s="127"/>
      <c r="AG440" s="137"/>
      <c r="AH440" s="58" t="str" cm="1">
        <f>IF(ISBLANK($A440),"",INDEX(Array_ElectricalCharges,MATCH($A440,List_ElectricityMeters,0),ROUNDUP(COLUMN()/3,0)-2))</f>
        <v/>
      </c>
      <c r="AI440" s="127"/>
      <c r="AJ440" s="137"/>
      <c r="AK440" s="58" t="str" cm="1">
        <f>IF(ISBLANK($A440),"",INDEX(Array_ElectricalCharges,MATCH($A440,List_ElectricityMeters,0),ROUNDUP(COLUMN()/3,0)-2))</f>
        <v/>
      </c>
      <c r="AL440" s="127"/>
      <c r="AM440" s="137"/>
      <c r="AN440" s="58" t="str" cm="1">
        <f>IF(ISBLANK($A440),"",INDEX(Array_ElectricalCharges,MATCH($A440,List_ElectricityMeters,0),ROUNDUP(COLUMN()/3,0)-2))</f>
        <v/>
      </c>
      <c r="AO440" s="127"/>
      <c r="AP440" s="137"/>
      <c r="AQ440" s="58" t="str" cm="1">
        <f>IF(ISBLANK($A440),"",INDEX(Array_ElectricalCharges,MATCH($A440,List_ElectricityMeters,0),ROUNDUP(COLUMN()/3,0)-2))</f>
        <v/>
      </c>
      <c r="AR440" s="127"/>
      <c r="AS440" s="137"/>
      <c r="AT440" s="58" t="str" cm="1">
        <f>IF(ISBLANK($A440),"",INDEX(Array_ElectricalCharges,MATCH($A440,List_ElectricityMeters,0),ROUNDUP(COLUMN()/3,0)-2))</f>
        <v/>
      </c>
      <c r="AU440" s="127"/>
      <c r="AV440" s="137"/>
      <c r="AW440" s="58" t="str" cm="1">
        <f>IF(ISBLANK($A440),"",INDEX(Array_ElectricalCharges,MATCH($A440,List_ElectricityMeters,0),ROUNDUP(COLUMN()/3,0)-2))</f>
        <v/>
      </c>
      <c r="AX440" s="127"/>
      <c r="AY440" s="137"/>
    </row>
    <row r="441" spans="1:51" x14ac:dyDescent="0.3">
      <c r="A441" s="126"/>
      <c r="B441" s="133"/>
      <c r="C441" s="134"/>
      <c r="D441" s="134"/>
      <c r="E441" s="135"/>
      <c r="F441" s="136"/>
      <c r="G441" s="58" t="str" cm="1">
        <f>IF(ISBLANK($A441),"",INDEX(Array_ElectricalCharges,MATCH($A441,List_ElectricityMeters,0),ROUNDUP(COLUMN()/3,0)-2))</f>
        <v/>
      </c>
      <c r="H441" s="127"/>
      <c r="I441" s="137"/>
      <c r="J441" s="58" t="str" cm="1">
        <f>IF(ISBLANK($A441),"",INDEX(Array_ElectricalCharges,MATCH($A441,List_ElectricityMeters,0),ROUNDUP(COLUMN()/3,0)-2))</f>
        <v/>
      </c>
      <c r="K441" s="127"/>
      <c r="L441" s="137"/>
      <c r="M441" s="58" t="str" cm="1">
        <f>IF(ISBLANK($A441),"",INDEX(Array_ElectricalCharges,MATCH($A441,List_ElectricityMeters,0),ROUNDUP(COLUMN()/3,0)-2))</f>
        <v/>
      </c>
      <c r="N441" s="127"/>
      <c r="O441" s="137"/>
      <c r="P441" s="58" t="str" cm="1">
        <f>IF(ISBLANK($A441),"",INDEX(Array_ElectricalCharges,MATCH($A441,List_ElectricityMeters,0),ROUNDUP(COLUMN()/3,0)-2))</f>
        <v/>
      </c>
      <c r="Q441" s="127"/>
      <c r="R441" s="137"/>
      <c r="S441" s="58" t="str" cm="1">
        <f>IF(ISBLANK($A441),"",INDEX(Array_ElectricalCharges,MATCH($A441,List_ElectricityMeters,0),ROUNDUP(COLUMN()/3,0)-2))</f>
        <v/>
      </c>
      <c r="T441" s="127"/>
      <c r="U441" s="137"/>
      <c r="V441" s="58" t="str" cm="1">
        <f>IF(ISBLANK($A441),"",INDEX(Array_ElectricalCharges,MATCH($A441,List_ElectricityMeters,0),ROUNDUP(COLUMN()/3,0)-2))</f>
        <v/>
      </c>
      <c r="W441" s="127"/>
      <c r="X441" s="137"/>
      <c r="Y441" s="58" t="str" cm="1">
        <f>IF(ISBLANK($A441),"",INDEX(Array_ElectricalCharges,MATCH($A441,List_ElectricityMeters,0),ROUNDUP(COLUMN()/3,0)-2))</f>
        <v/>
      </c>
      <c r="Z441" s="127"/>
      <c r="AA441" s="137"/>
      <c r="AB441" s="58" t="str" cm="1">
        <f>IF(ISBLANK($A441),"",INDEX(Array_ElectricalCharges,MATCH($A441,List_ElectricityMeters,0),ROUNDUP(COLUMN()/3,0)-2))</f>
        <v/>
      </c>
      <c r="AC441" s="127"/>
      <c r="AD441" s="137"/>
      <c r="AE441" s="58" t="str" cm="1">
        <f>IF(ISBLANK($A441),"",INDEX(Array_ElectricalCharges,MATCH($A441,List_ElectricityMeters,0),ROUNDUP(COLUMN()/3,0)-2))</f>
        <v/>
      </c>
      <c r="AF441" s="127"/>
      <c r="AG441" s="137"/>
      <c r="AH441" s="58" t="str" cm="1">
        <f>IF(ISBLANK($A441),"",INDEX(Array_ElectricalCharges,MATCH($A441,List_ElectricityMeters,0),ROUNDUP(COLUMN()/3,0)-2))</f>
        <v/>
      </c>
      <c r="AI441" s="127"/>
      <c r="AJ441" s="137"/>
      <c r="AK441" s="58" t="str" cm="1">
        <f>IF(ISBLANK($A441),"",INDEX(Array_ElectricalCharges,MATCH($A441,List_ElectricityMeters,0),ROUNDUP(COLUMN()/3,0)-2))</f>
        <v/>
      </c>
      <c r="AL441" s="127"/>
      <c r="AM441" s="137"/>
      <c r="AN441" s="58" t="str" cm="1">
        <f>IF(ISBLANK($A441),"",INDEX(Array_ElectricalCharges,MATCH($A441,List_ElectricityMeters,0),ROUNDUP(COLUMN()/3,0)-2))</f>
        <v/>
      </c>
      <c r="AO441" s="127"/>
      <c r="AP441" s="137"/>
      <c r="AQ441" s="58" t="str" cm="1">
        <f>IF(ISBLANK($A441),"",INDEX(Array_ElectricalCharges,MATCH($A441,List_ElectricityMeters,0),ROUNDUP(COLUMN()/3,0)-2))</f>
        <v/>
      </c>
      <c r="AR441" s="127"/>
      <c r="AS441" s="137"/>
      <c r="AT441" s="58" t="str" cm="1">
        <f>IF(ISBLANK($A441),"",INDEX(Array_ElectricalCharges,MATCH($A441,List_ElectricityMeters,0),ROUNDUP(COLUMN()/3,0)-2))</f>
        <v/>
      </c>
      <c r="AU441" s="127"/>
      <c r="AV441" s="137"/>
      <c r="AW441" s="58" t="str" cm="1">
        <f>IF(ISBLANK($A441),"",INDEX(Array_ElectricalCharges,MATCH($A441,List_ElectricityMeters,0),ROUNDUP(COLUMN()/3,0)-2))</f>
        <v/>
      </c>
      <c r="AX441" s="127"/>
      <c r="AY441" s="137"/>
    </row>
    <row r="442" spans="1:51" x14ac:dyDescent="0.3">
      <c r="A442" s="126"/>
      <c r="B442" s="133"/>
      <c r="C442" s="134"/>
      <c r="D442" s="134"/>
      <c r="E442" s="135"/>
      <c r="F442" s="136"/>
      <c r="G442" s="58" t="str" cm="1">
        <f>IF(ISBLANK($A442),"",INDEX(Array_ElectricalCharges,MATCH($A442,List_ElectricityMeters,0),ROUNDUP(COLUMN()/3,0)-2))</f>
        <v/>
      </c>
      <c r="H442" s="127"/>
      <c r="I442" s="137"/>
      <c r="J442" s="58" t="str" cm="1">
        <f>IF(ISBLANK($A442),"",INDEX(Array_ElectricalCharges,MATCH($A442,List_ElectricityMeters,0),ROUNDUP(COLUMN()/3,0)-2))</f>
        <v/>
      </c>
      <c r="K442" s="127"/>
      <c r="L442" s="137"/>
      <c r="M442" s="58" t="str" cm="1">
        <f>IF(ISBLANK($A442),"",INDEX(Array_ElectricalCharges,MATCH($A442,List_ElectricityMeters,0),ROUNDUP(COLUMN()/3,0)-2))</f>
        <v/>
      </c>
      <c r="N442" s="127"/>
      <c r="O442" s="137"/>
      <c r="P442" s="58" t="str" cm="1">
        <f>IF(ISBLANK($A442),"",INDEX(Array_ElectricalCharges,MATCH($A442,List_ElectricityMeters,0),ROUNDUP(COLUMN()/3,0)-2))</f>
        <v/>
      </c>
      <c r="Q442" s="127"/>
      <c r="R442" s="137"/>
      <c r="S442" s="58" t="str" cm="1">
        <f>IF(ISBLANK($A442),"",INDEX(Array_ElectricalCharges,MATCH($A442,List_ElectricityMeters,0),ROUNDUP(COLUMN()/3,0)-2))</f>
        <v/>
      </c>
      <c r="T442" s="127"/>
      <c r="U442" s="137"/>
      <c r="V442" s="58" t="str" cm="1">
        <f>IF(ISBLANK($A442),"",INDEX(Array_ElectricalCharges,MATCH($A442,List_ElectricityMeters,0),ROUNDUP(COLUMN()/3,0)-2))</f>
        <v/>
      </c>
      <c r="W442" s="127"/>
      <c r="X442" s="137"/>
      <c r="Y442" s="58" t="str" cm="1">
        <f>IF(ISBLANK($A442),"",INDEX(Array_ElectricalCharges,MATCH($A442,List_ElectricityMeters,0),ROUNDUP(COLUMN()/3,0)-2))</f>
        <v/>
      </c>
      <c r="Z442" s="127"/>
      <c r="AA442" s="137"/>
      <c r="AB442" s="58" t="str" cm="1">
        <f>IF(ISBLANK($A442),"",INDEX(Array_ElectricalCharges,MATCH($A442,List_ElectricityMeters,0),ROUNDUP(COLUMN()/3,0)-2))</f>
        <v/>
      </c>
      <c r="AC442" s="127"/>
      <c r="AD442" s="137"/>
      <c r="AE442" s="58" t="str" cm="1">
        <f>IF(ISBLANK($A442),"",INDEX(Array_ElectricalCharges,MATCH($A442,List_ElectricityMeters,0),ROUNDUP(COLUMN()/3,0)-2))</f>
        <v/>
      </c>
      <c r="AF442" s="127"/>
      <c r="AG442" s="137"/>
      <c r="AH442" s="58" t="str" cm="1">
        <f>IF(ISBLANK($A442),"",INDEX(Array_ElectricalCharges,MATCH($A442,List_ElectricityMeters,0),ROUNDUP(COLUMN()/3,0)-2))</f>
        <v/>
      </c>
      <c r="AI442" s="127"/>
      <c r="AJ442" s="137"/>
      <c r="AK442" s="58" t="str" cm="1">
        <f>IF(ISBLANK($A442),"",INDEX(Array_ElectricalCharges,MATCH($A442,List_ElectricityMeters,0),ROUNDUP(COLUMN()/3,0)-2))</f>
        <v/>
      </c>
      <c r="AL442" s="127"/>
      <c r="AM442" s="137"/>
      <c r="AN442" s="58" t="str" cm="1">
        <f>IF(ISBLANK($A442),"",INDEX(Array_ElectricalCharges,MATCH($A442,List_ElectricityMeters,0),ROUNDUP(COLUMN()/3,0)-2))</f>
        <v/>
      </c>
      <c r="AO442" s="127"/>
      <c r="AP442" s="137"/>
      <c r="AQ442" s="58" t="str" cm="1">
        <f>IF(ISBLANK($A442),"",INDEX(Array_ElectricalCharges,MATCH($A442,List_ElectricityMeters,0),ROUNDUP(COLUMN()/3,0)-2))</f>
        <v/>
      </c>
      <c r="AR442" s="127"/>
      <c r="AS442" s="137"/>
      <c r="AT442" s="58" t="str" cm="1">
        <f>IF(ISBLANK($A442),"",INDEX(Array_ElectricalCharges,MATCH($A442,List_ElectricityMeters,0),ROUNDUP(COLUMN()/3,0)-2))</f>
        <v/>
      </c>
      <c r="AU442" s="127"/>
      <c r="AV442" s="137"/>
      <c r="AW442" s="58" t="str" cm="1">
        <f>IF(ISBLANK($A442),"",INDEX(Array_ElectricalCharges,MATCH($A442,List_ElectricityMeters,0),ROUNDUP(COLUMN()/3,0)-2))</f>
        <v/>
      </c>
      <c r="AX442" s="127"/>
      <c r="AY442" s="137"/>
    </row>
    <row r="443" spans="1:51" x14ac:dyDescent="0.3">
      <c r="A443" s="126"/>
      <c r="B443" s="133"/>
      <c r="C443" s="134"/>
      <c r="D443" s="134"/>
      <c r="E443" s="135"/>
      <c r="F443" s="136"/>
      <c r="G443" s="58" t="str" cm="1">
        <f>IF(ISBLANK($A443),"",INDEX(Array_ElectricalCharges,MATCH($A443,List_ElectricityMeters,0),ROUNDUP(COLUMN()/3,0)-2))</f>
        <v/>
      </c>
      <c r="H443" s="127"/>
      <c r="I443" s="137"/>
      <c r="J443" s="58" t="str" cm="1">
        <f>IF(ISBLANK($A443),"",INDEX(Array_ElectricalCharges,MATCH($A443,List_ElectricityMeters,0),ROUNDUP(COLUMN()/3,0)-2))</f>
        <v/>
      </c>
      <c r="K443" s="127"/>
      <c r="L443" s="137"/>
      <c r="M443" s="58" t="str" cm="1">
        <f>IF(ISBLANK($A443),"",INDEX(Array_ElectricalCharges,MATCH($A443,List_ElectricityMeters,0),ROUNDUP(COLUMN()/3,0)-2))</f>
        <v/>
      </c>
      <c r="N443" s="127"/>
      <c r="O443" s="137"/>
      <c r="P443" s="58" t="str" cm="1">
        <f>IF(ISBLANK($A443),"",INDEX(Array_ElectricalCharges,MATCH($A443,List_ElectricityMeters,0),ROUNDUP(COLUMN()/3,0)-2))</f>
        <v/>
      </c>
      <c r="Q443" s="127"/>
      <c r="R443" s="137"/>
      <c r="S443" s="58" t="str" cm="1">
        <f>IF(ISBLANK($A443),"",INDEX(Array_ElectricalCharges,MATCH($A443,List_ElectricityMeters,0),ROUNDUP(COLUMN()/3,0)-2))</f>
        <v/>
      </c>
      <c r="T443" s="127"/>
      <c r="U443" s="137"/>
      <c r="V443" s="58" t="str" cm="1">
        <f>IF(ISBLANK($A443),"",INDEX(Array_ElectricalCharges,MATCH($A443,List_ElectricityMeters,0),ROUNDUP(COLUMN()/3,0)-2))</f>
        <v/>
      </c>
      <c r="W443" s="127"/>
      <c r="X443" s="137"/>
      <c r="Y443" s="58" t="str" cm="1">
        <f>IF(ISBLANK($A443),"",INDEX(Array_ElectricalCharges,MATCH($A443,List_ElectricityMeters,0),ROUNDUP(COLUMN()/3,0)-2))</f>
        <v/>
      </c>
      <c r="Z443" s="127"/>
      <c r="AA443" s="137"/>
      <c r="AB443" s="58" t="str" cm="1">
        <f>IF(ISBLANK($A443),"",INDEX(Array_ElectricalCharges,MATCH($A443,List_ElectricityMeters,0),ROUNDUP(COLUMN()/3,0)-2))</f>
        <v/>
      </c>
      <c r="AC443" s="127"/>
      <c r="AD443" s="137"/>
      <c r="AE443" s="58" t="str" cm="1">
        <f>IF(ISBLANK($A443),"",INDEX(Array_ElectricalCharges,MATCH($A443,List_ElectricityMeters,0),ROUNDUP(COLUMN()/3,0)-2))</f>
        <v/>
      </c>
      <c r="AF443" s="127"/>
      <c r="AG443" s="137"/>
      <c r="AH443" s="58" t="str" cm="1">
        <f>IF(ISBLANK($A443),"",INDEX(Array_ElectricalCharges,MATCH($A443,List_ElectricityMeters,0),ROUNDUP(COLUMN()/3,0)-2))</f>
        <v/>
      </c>
      <c r="AI443" s="127"/>
      <c r="AJ443" s="137"/>
      <c r="AK443" s="58" t="str" cm="1">
        <f>IF(ISBLANK($A443),"",INDEX(Array_ElectricalCharges,MATCH($A443,List_ElectricityMeters,0),ROUNDUP(COLUMN()/3,0)-2))</f>
        <v/>
      </c>
      <c r="AL443" s="127"/>
      <c r="AM443" s="137"/>
      <c r="AN443" s="58" t="str" cm="1">
        <f>IF(ISBLANK($A443),"",INDEX(Array_ElectricalCharges,MATCH($A443,List_ElectricityMeters,0),ROUNDUP(COLUMN()/3,0)-2))</f>
        <v/>
      </c>
      <c r="AO443" s="127"/>
      <c r="AP443" s="137"/>
      <c r="AQ443" s="58" t="str" cm="1">
        <f>IF(ISBLANK($A443),"",INDEX(Array_ElectricalCharges,MATCH($A443,List_ElectricityMeters,0),ROUNDUP(COLUMN()/3,0)-2))</f>
        <v/>
      </c>
      <c r="AR443" s="127"/>
      <c r="AS443" s="137"/>
      <c r="AT443" s="58" t="str" cm="1">
        <f>IF(ISBLANK($A443),"",INDEX(Array_ElectricalCharges,MATCH($A443,List_ElectricityMeters,0),ROUNDUP(COLUMN()/3,0)-2))</f>
        <v/>
      </c>
      <c r="AU443" s="127"/>
      <c r="AV443" s="137"/>
      <c r="AW443" s="58" t="str" cm="1">
        <f>IF(ISBLANK($A443),"",INDEX(Array_ElectricalCharges,MATCH($A443,List_ElectricityMeters,0),ROUNDUP(COLUMN()/3,0)-2))</f>
        <v/>
      </c>
      <c r="AX443" s="127"/>
      <c r="AY443" s="137"/>
    </row>
    <row r="444" spans="1:51" x14ac:dyDescent="0.3">
      <c r="A444" s="126"/>
      <c r="B444" s="133"/>
      <c r="C444" s="134"/>
      <c r="D444" s="134"/>
      <c r="E444" s="135"/>
      <c r="F444" s="136"/>
      <c r="G444" s="58" t="str" cm="1">
        <f>IF(ISBLANK($A444),"",INDEX(Array_ElectricalCharges,MATCH($A444,List_ElectricityMeters,0),ROUNDUP(COLUMN()/3,0)-2))</f>
        <v/>
      </c>
      <c r="H444" s="127"/>
      <c r="I444" s="137"/>
      <c r="J444" s="58" t="str" cm="1">
        <f>IF(ISBLANK($A444),"",INDEX(Array_ElectricalCharges,MATCH($A444,List_ElectricityMeters,0),ROUNDUP(COLUMN()/3,0)-2))</f>
        <v/>
      </c>
      <c r="K444" s="127"/>
      <c r="L444" s="137"/>
      <c r="M444" s="58" t="str" cm="1">
        <f>IF(ISBLANK($A444),"",INDEX(Array_ElectricalCharges,MATCH($A444,List_ElectricityMeters,0),ROUNDUP(COLUMN()/3,0)-2))</f>
        <v/>
      </c>
      <c r="N444" s="127"/>
      <c r="O444" s="137"/>
      <c r="P444" s="58" t="str" cm="1">
        <f>IF(ISBLANK($A444),"",INDEX(Array_ElectricalCharges,MATCH($A444,List_ElectricityMeters,0),ROUNDUP(COLUMN()/3,0)-2))</f>
        <v/>
      </c>
      <c r="Q444" s="127"/>
      <c r="R444" s="137"/>
      <c r="S444" s="58" t="str" cm="1">
        <f>IF(ISBLANK($A444),"",INDEX(Array_ElectricalCharges,MATCH($A444,List_ElectricityMeters,0),ROUNDUP(COLUMN()/3,0)-2))</f>
        <v/>
      </c>
      <c r="T444" s="127"/>
      <c r="U444" s="137"/>
      <c r="V444" s="58" t="str" cm="1">
        <f>IF(ISBLANK($A444),"",INDEX(Array_ElectricalCharges,MATCH($A444,List_ElectricityMeters,0),ROUNDUP(COLUMN()/3,0)-2))</f>
        <v/>
      </c>
      <c r="W444" s="127"/>
      <c r="X444" s="137"/>
      <c r="Y444" s="58" t="str" cm="1">
        <f>IF(ISBLANK($A444),"",INDEX(Array_ElectricalCharges,MATCH($A444,List_ElectricityMeters,0),ROUNDUP(COLUMN()/3,0)-2))</f>
        <v/>
      </c>
      <c r="Z444" s="127"/>
      <c r="AA444" s="137"/>
      <c r="AB444" s="58" t="str" cm="1">
        <f>IF(ISBLANK($A444),"",INDEX(Array_ElectricalCharges,MATCH($A444,List_ElectricityMeters,0),ROUNDUP(COLUMN()/3,0)-2))</f>
        <v/>
      </c>
      <c r="AC444" s="127"/>
      <c r="AD444" s="137"/>
      <c r="AE444" s="58" t="str" cm="1">
        <f>IF(ISBLANK($A444),"",INDEX(Array_ElectricalCharges,MATCH($A444,List_ElectricityMeters,0),ROUNDUP(COLUMN()/3,0)-2))</f>
        <v/>
      </c>
      <c r="AF444" s="127"/>
      <c r="AG444" s="137"/>
      <c r="AH444" s="58" t="str" cm="1">
        <f>IF(ISBLANK($A444),"",INDEX(Array_ElectricalCharges,MATCH($A444,List_ElectricityMeters,0),ROUNDUP(COLUMN()/3,0)-2))</f>
        <v/>
      </c>
      <c r="AI444" s="127"/>
      <c r="AJ444" s="137"/>
      <c r="AK444" s="58" t="str" cm="1">
        <f>IF(ISBLANK($A444),"",INDEX(Array_ElectricalCharges,MATCH($A444,List_ElectricityMeters,0),ROUNDUP(COLUMN()/3,0)-2))</f>
        <v/>
      </c>
      <c r="AL444" s="127"/>
      <c r="AM444" s="137"/>
      <c r="AN444" s="58" t="str" cm="1">
        <f>IF(ISBLANK($A444),"",INDEX(Array_ElectricalCharges,MATCH($A444,List_ElectricityMeters,0),ROUNDUP(COLUMN()/3,0)-2))</f>
        <v/>
      </c>
      <c r="AO444" s="127"/>
      <c r="AP444" s="137"/>
      <c r="AQ444" s="58" t="str" cm="1">
        <f>IF(ISBLANK($A444),"",INDEX(Array_ElectricalCharges,MATCH($A444,List_ElectricityMeters,0),ROUNDUP(COLUMN()/3,0)-2))</f>
        <v/>
      </c>
      <c r="AR444" s="127"/>
      <c r="AS444" s="137"/>
      <c r="AT444" s="58" t="str" cm="1">
        <f>IF(ISBLANK($A444),"",INDEX(Array_ElectricalCharges,MATCH($A444,List_ElectricityMeters,0),ROUNDUP(COLUMN()/3,0)-2))</f>
        <v/>
      </c>
      <c r="AU444" s="127"/>
      <c r="AV444" s="137"/>
      <c r="AW444" s="58" t="str" cm="1">
        <f>IF(ISBLANK($A444),"",INDEX(Array_ElectricalCharges,MATCH($A444,List_ElectricityMeters,0),ROUNDUP(COLUMN()/3,0)-2))</f>
        <v/>
      </c>
      <c r="AX444" s="127"/>
      <c r="AY444" s="137"/>
    </row>
    <row r="445" spans="1:51" x14ac:dyDescent="0.3">
      <c r="A445" s="126"/>
      <c r="B445" s="133"/>
      <c r="C445" s="134"/>
      <c r="D445" s="134"/>
      <c r="E445" s="135"/>
      <c r="F445" s="136"/>
      <c r="G445" s="58" t="str" cm="1">
        <f>IF(ISBLANK($A445),"",INDEX(Array_ElectricalCharges,MATCH($A445,List_ElectricityMeters,0),ROUNDUP(COLUMN()/3,0)-2))</f>
        <v/>
      </c>
      <c r="H445" s="127"/>
      <c r="I445" s="137"/>
      <c r="J445" s="58" t="str" cm="1">
        <f>IF(ISBLANK($A445),"",INDEX(Array_ElectricalCharges,MATCH($A445,List_ElectricityMeters,0),ROUNDUP(COLUMN()/3,0)-2))</f>
        <v/>
      </c>
      <c r="K445" s="127"/>
      <c r="L445" s="137"/>
      <c r="M445" s="58" t="str" cm="1">
        <f>IF(ISBLANK($A445),"",INDEX(Array_ElectricalCharges,MATCH($A445,List_ElectricityMeters,0),ROUNDUP(COLUMN()/3,0)-2))</f>
        <v/>
      </c>
      <c r="N445" s="127"/>
      <c r="O445" s="137"/>
      <c r="P445" s="58" t="str" cm="1">
        <f>IF(ISBLANK($A445),"",INDEX(Array_ElectricalCharges,MATCH($A445,List_ElectricityMeters,0),ROUNDUP(COLUMN()/3,0)-2))</f>
        <v/>
      </c>
      <c r="Q445" s="127"/>
      <c r="R445" s="137"/>
      <c r="S445" s="58" t="str" cm="1">
        <f>IF(ISBLANK($A445),"",INDEX(Array_ElectricalCharges,MATCH($A445,List_ElectricityMeters,0),ROUNDUP(COLUMN()/3,0)-2))</f>
        <v/>
      </c>
      <c r="T445" s="127"/>
      <c r="U445" s="137"/>
      <c r="V445" s="58" t="str" cm="1">
        <f>IF(ISBLANK($A445),"",INDEX(Array_ElectricalCharges,MATCH($A445,List_ElectricityMeters,0),ROUNDUP(COLUMN()/3,0)-2))</f>
        <v/>
      </c>
      <c r="W445" s="127"/>
      <c r="X445" s="137"/>
      <c r="Y445" s="58" t="str" cm="1">
        <f>IF(ISBLANK($A445),"",INDEX(Array_ElectricalCharges,MATCH($A445,List_ElectricityMeters,0),ROUNDUP(COLUMN()/3,0)-2))</f>
        <v/>
      </c>
      <c r="Z445" s="127"/>
      <c r="AA445" s="137"/>
      <c r="AB445" s="58" t="str" cm="1">
        <f>IF(ISBLANK($A445),"",INDEX(Array_ElectricalCharges,MATCH($A445,List_ElectricityMeters,0),ROUNDUP(COLUMN()/3,0)-2))</f>
        <v/>
      </c>
      <c r="AC445" s="127"/>
      <c r="AD445" s="137"/>
      <c r="AE445" s="58" t="str" cm="1">
        <f>IF(ISBLANK($A445),"",INDEX(Array_ElectricalCharges,MATCH($A445,List_ElectricityMeters,0),ROUNDUP(COLUMN()/3,0)-2))</f>
        <v/>
      </c>
      <c r="AF445" s="127"/>
      <c r="AG445" s="137"/>
      <c r="AH445" s="58" t="str" cm="1">
        <f>IF(ISBLANK($A445),"",INDEX(Array_ElectricalCharges,MATCH($A445,List_ElectricityMeters,0),ROUNDUP(COLUMN()/3,0)-2))</f>
        <v/>
      </c>
      <c r="AI445" s="127"/>
      <c r="AJ445" s="137"/>
      <c r="AK445" s="58" t="str" cm="1">
        <f>IF(ISBLANK($A445),"",INDEX(Array_ElectricalCharges,MATCH($A445,List_ElectricityMeters,0),ROUNDUP(COLUMN()/3,0)-2))</f>
        <v/>
      </c>
      <c r="AL445" s="127"/>
      <c r="AM445" s="137"/>
      <c r="AN445" s="58" t="str" cm="1">
        <f>IF(ISBLANK($A445),"",INDEX(Array_ElectricalCharges,MATCH($A445,List_ElectricityMeters,0),ROUNDUP(COLUMN()/3,0)-2))</f>
        <v/>
      </c>
      <c r="AO445" s="127"/>
      <c r="AP445" s="137"/>
      <c r="AQ445" s="58" t="str" cm="1">
        <f>IF(ISBLANK($A445),"",INDEX(Array_ElectricalCharges,MATCH($A445,List_ElectricityMeters,0),ROUNDUP(COLUMN()/3,0)-2))</f>
        <v/>
      </c>
      <c r="AR445" s="127"/>
      <c r="AS445" s="137"/>
      <c r="AT445" s="58" t="str" cm="1">
        <f>IF(ISBLANK($A445),"",INDEX(Array_ElectricalCharges,MATCH($A445,List_ElectricityMeters,0),ROUNDUP(COLUMN()/3,0)-2))</f>
        <v/>
      </c>
      <c r="AU445" s="127"/>
      <c r="AV445" s="137"/>
      <c r="AW445" s="58" t="str" cm="1">
        <f>IF(ISBLANK($A445),"",INDEX(Array_ElectricalCharges,MATCH($A445,List_ElectricityMeters,0),ROUNDUP(COLUMN()/3,0)-2))</f>
        <v/>
      </c>
      <c r="AX445" s="127"/>
      <c r="AY445" s="137"/>
    </row>
    <row r="446" spans="1:51" x14ac:dyDescent="0.3">
      <c r="A446" s="126"/>
      <c r="B446" s="133"/>
      <c r="C446" s="134"/>
      <c r="D446" s="134"/>
      <c r="E446" s="135"/>
      <c r="F446" s="136"/>
      <c r="G446" s="58" t="str" cm="1">
        <f>IF(ISBLANK($A446),"",INDEX(Array_ElectricalCharges,MATCH($A446,List_ElectricityMeters,0),ROUNDUP(COLUMN()/3,0)-2))</f>
        <v/>
      </c>
      <c r="H446" s="127"/>
      <c r="I446" s="137"/>
      <c r="J446" s="58" t="str" cm="1">
        <f>IF(ISBLANK($A446),"",INDEX(Array_ElectricalCharges,MATCH($A446,List_ElectricityMeters,0),ROUNDUP(COLUMN()/3,0)-2))</f>
        <v/>
      </c>
      <c r="K446" s="127"/>
      <c r="L446" s="137"/>
      <c r="M446" s="58" t="str" cm="1">
        <f>IF(ISBLANK($A446),"",INDEX(Array_ElectricalCharges,MATCH($A446,List_ElectricityMeters,0),ROUNDUP(COLUMN()/3,0)-2))</f>
        <v/>
      </c>
      <c r="N446" s="127"/>
      <c r="O446" s="137"/>
      <c r="P446" s="58" t="str" cm="1">
        <f>IF(ISBLANK($A446),"",INDEX(Array_ElectricalCharges,MATCH($A446,List_ElectricityMeters,0),ROUNDUP(COLUMN()/3,0)-2))</f>
        <v/>
      </c>
      <c r="Q446" s="127"/>
      <c r="R446" s="137"/>
      <c r="S446" s="58" t="str" cm="1">
        <f>IF(ISBLANK($A446),"",INDEX(Array_ElectricalCharges,MATCH($A446,List_ElectricityMeters,0),ROUNDUP(COLUMN()/3,0)-2))</f>
        <v/>
      </c>
      <c r="T446" s="127"/>
      <c r="U446" s="137"/>
      <c r="V446" s="58" t="str" cm="1">
        <f>IF(ISBLANK($A446),"",INDEX(Array_ElectricalCharges,MATCH($A446,List_ElectricityMeters,0),ROUNDUP(COLUMN()/3,0)-2))</f>
        <v/>
      </c>
      <c r="W446" s="127"/>
      <c r="X446" s="137"/>
      <c r="Y446" s="58" t="str" cm="1">
        <f>IF(ISBLANK($A446),"",INDEX(Array_ElectricalCharges,MATCH($A446,List_ElectricityMeters,0),ROUNDUP(COLUMN()/3,0)-2))</f>
        <v/>
      </c>
      <c r="Z446" s="127"/>
      <c r="AA446" s="137"/>
      <c r="AB446" s="58" t="str" cm="1">
        <f>IF(ISBLANK($A446),"",INDEX(Array_ElectricalCharges,MATCH($A446,List_ElectricityMeters,0),ROUNDUP(COLUMN()/3,0)-2))</f>
        <v/>
      </c>
      <c r="AC446" s="127"/>
      <c r="AD446" s="137"/>
      <c r="AE446" s="58" t="str" cm="1">
        <f>IF(ISBLANK($A446),"",INDEX(Array_ElectricalCharges,MATCH($A446,List_ElectricityMeters,0),ROUNDUP(COLUMN()/3,0)-2))</f>
        <v/>
      </c>
      <c r="AF446" s="127"/>
      <c r="AG446" s="137"/>
      <c r="AH446" s="58" t="str" cm="1">
        <f>IF(ISBLANK($A446),"",INDEX(Array_ElectricalCharges,MATCH($A446,List_ElectricityMeters,0),ROUNDUP(COLUMN()/3,0)-2))</f>
        <v/>
      </c>
      <c r="AI446" s="127"/>
      <c r="AJ446" s="137"/>
      <c r="AK446" s="58" t="str" cm="1">
        <f>IF(ISBLANK($A446),"",INDEX(Array_ElectricalCharges,MATCH($A446,List_ElectricityMeters,0),ROUNDUP(COLUMN()/3,0)-2))</f>
        <v/>
      </c>
      <c r="AL446" s="127"/>
      <c r="AM446" s="137"/>
      <c r="AN446" s="58" t="str" cm="1">
        <f>IF(ISBLANK($A446),"",INDEX(Array_ElectricalCharges,MATCH($A446,List_ElectricityMeters,0),ROUNDUP(COLUMN()/3,0)-2))</f>
        <v/>
      </c>
      <c r="AO446" s="127"/>
      <c r="AP446" s="137"/>
      <c r="AQ446" s="58" t="str" cm="1">
        <f>IF(ISBLANK($A446),"",INDEX(Array_ElectricalCharges,MATCH($A446,List_ElectricityMeters,0),ROUNDUP(COLUMN()/3,0)-2))</f>
        <v/>
      </c>
      <c r="AR446" s="127"/>
      <c r="AS446" s="137"/>
      <c r="AT446" s="58" t="str" cm="1">
        <f>IF(ISBLANK($A446),"",INDEX(Array_ElectricalCharges,MATCH($A446,List_ElectricityMeters,0),ROUNDUP(COLUMN()/3,0)-2))</f>
        <v/>
      </c>
      <c r="AU446" s="127"/>
      <c r="AV446" s="137"/>
      <c r="AW446" s="58" t="str" cm="1">
        <f>IF(ISBLANK($A446),"",INDEX(Array_ElectricalCharges,MATCH($A446,List_ElectricityMeters,0),ROUNDUP(COLUMN()/3,0)-2))</f>
        <v/>
      </c>
      <c r="AX446" s="127"/>
      <c r="AY446" s="137"/>
    </row>
    <row r="447" spans="1:51" x14ac:dyDescent="0.3">
      <c r="A447" s="126"/>
      <c r="B447" s="133"/>
      <c r="C447" s="134"/>
      <c r="D447" s="134"/>
      <c r="E447" s="135"/>
      <c r="F447" s="136"/>
      <c r="G447" s="58" t="str" cm="1">
        <f>IF(ISBLANK($A447),"",INDEX(Array_ElectricalCharges,MATCH($A447,List_ElectricityMeters,0),ROUNDUP(COLUMN()/3,0)-2))</f>
        <v/>
      </c>
      <c r="H447" s="127"/>
      <c r="I447" s="137"/>
      <c r="J447" s="58" t="str" cm="1">
        <f>IF(ISBLANK($A447),"",INDEX(Array_ElectricalCharges,MATCH($A447,List_ElectricityMeters,0),ROUNDUP(COLUMN()/3,0)-2))</f>
        <v/>
      </c>
      <c r="K447" s="127"/>
      <c r="L447" s="137"/>
      <c r="M447" s="58" t="str" cm="1">
        <f>IF(ISBLANK($A447),"",INDEX(Array_ElectricalCharges,MATCH($A447,List_ElectricityMeters,0),ROUNDUP(COLUMN()/3,0)-2))</f>
        <v/>
      </c>
      <c r="N447" s="127"/>
      <c r="O447" s="137"/>
      <c r="P447" s="58" t="str" cm="1">
        <f>IF(ISBLANK($A447),"",INDEX(Array_ElectricalCharges,MATCH($A447,List_ElectricityMeters,0),ROUNDUP(COLUMN()/3,0)-2))</f>
        <v/>
      </c>
      <c r="Q447" s="127"/>
      <c r="R447" s="137"/>
      <c r="S447" s="58" t="str" cm="1">
        <f>IF(ISBLANK($A447),"",INDEX(Array_ElectricalCharges,MATCH($A447,List_ElectricityMeters,0),ROUNDUP(COLUMN()/3,0)-2))</f>
        <v/>
      </c>
      <c r="T447" s="127"/>
      <c r="U447" s="137"/>
      <c r="V447" s="58" t="str" cm="1">
        <f>IF(ISBLANK($A447),"",INDEX(Array_ElectricalCharges,MATCH($A447,List_ElectricityMeters,0),ROUNDUP(COLUMN()/3,0)-2))</f>
        <v/>
      </c>
      <c r="W447" s="127"/>
      <c r="X447" s="137"/>
      <c r="Y447" s="58" t="str" cm="1">
        <f>IF(ISBLANK($A447),"",INDEX(Array_ElectricalCharges,MATCH($A447,List_ElectricityMeters,0),ROUNDUP(COLUMN()/3,0)-2))</f>
        <v/>
      </c>
      <c r="Z447" s="127"/>
      <c r="AA447" s="137"/>
      <c r="AB447" s="58" t="str" cm="1">
        <f>IF(ISBLANK($A447),"",INDEX(Array_ElectricalCharges,MATCH($A447,List_ElectricityMeters,0),ROUNDUP(COLUMN()/3,0)-2))</f>
        <v/>
      </c>
      <c r="AC447" s="127"/>
      <c r="AD447" s="137"/>
      <c r="AE447" s="58" t="str" cm="1">
        <f>IF(ISBLANK($A447),"",INDEX(Array_ElectricalCharges,MATCH($A447,List_ElectricityMeters,0),ROUNDUP(COLUMN()/3,0)-2))</f>
        <v/>
      </c>
      <c r="AF447" s="127"/>
      <c r="AG447" s="137"/>
      <c r="AH447" s="58" t="str" cm="1">
        <f>IF(ISBLANK($A447),"",INDEX(Array_ElectricalCharges,MATCH($A447,List_ElectricityMeters,0),ROUNDUP(COLUMN()/3,0)-2))</f>
        <v/>
      </c>
      <c r="AI447" s="127"/>
      <c r="AJ447" s="137"/>
      <c r="AK447" s="58" t="str" cm="1">
        <f>IF(ISBLANK($A447),"",INDEX(Array_ElectricalCharges,MATCH($A447,List_ElectricityMeters,0),ROUNDUP(COLUMN()/3,0)-2))</f>
        <v/>
      </c>
      <c r="AL447" s="127"/>
      <c r="AM447" s="137"/>
      <c r="AN447" s="58" t="str" cm="1">
        <f>IF(ISBLANK($A447),"",INDEX(Array_ElectricalCharges,MATCH($A447,List_ElectricityMeters,0),ROUNDUP(COLUMN()/3,0)-2))</f>
        <v/>
      </c>
      <c r="AO447" s="127"/>
      <c r="AP447" s="137"/>
      <c r="AQ447" s="58" t="str" cm="1">
        <f>IF(ISBLANK($A447),"",INDEX(Array_ElectricalCharges,MATCH($A447,List_ElectricityMeters,0),ROUNDUP(COLUMN()/3,0)-2))</f>
        <v/>
      </c>
      <c r="AR447" s="127"/>
      <c r="AS447" s="137"/>
      <c r="AT447" s="58" t="str" cm="1">
        <f>IF(ISBLANK($A447),"",INDEX(Array_ElectricalCharges,MATCH($A447,List_ElectricityMeters,0),ROUNDUP(COLUMN()/3,0)-2))</f>
        <v/>
      </c>
      <c r="AU447" s="127"/>
      <c r="AV447" s="137"/>
      <c r="AW447" s="58" t="str" cm="1">
        <f>IF(ISBLANK($A447),"",INDEX(Array_ElectricalCharges,MATCH($A447,List_ElectricityMeters,0),ROUNDUP(COLUMN()/3,0)-2))</f>
        <v/>
      </c>
      <c r="AX447" s="127"/>
      <c r="AY447" s="137"/>
    </row>
    <row r="448" spans="1:51" x14ac:dyDescent="0.3">
      <c r="A448" s="126"/>
      <c r="B448" s="133"/>
      <c r="C448" s="134"/>
      <c r="D448" s="134"/>
      <c r="E448" s="135"/>
      <c r="F448" s="136"/>
      <c r="G448" s="58" t="str" cm="1">
        <f>IF(ISBLANK($A448),"",INDEX(Array_ElectricalCharges,MATCH($A448,List_ElectricityMeters,0),ROUNDUP(COLUMN()/3,0)-2))</f>
        <v/>
      </c>
      <c r="H448" s="127"/>
      <c r="I448" s="137"/>
      <c r="J448" s="58" t="str" cm="1">
        <f>IF(ISBLANK($A448),"",INDEX(Array_ElectricalCharges,MATCH($A448,List_ElectricityMeters,0),ROUNDUP(COLUMN()/3,0)-2))</f>
        <v/>
      </c>
      <c r="K448" s="127"/>
      <c r="L448" s="137"/>
      <c r="M448" s="58" t="str" cm="1">
        <f>IF(ISBLANK($A448),"",INDEX(Array_ElectricalCharges,MATCH($A448,List_ElectricityMeters,0),ROUNDUP(COLUMN()/3,0)-2))</f>
        <v/>
      </c>
      <c r="N448" s="127"/>
      <c r="O448" s="137"/>
      <c r="P448" s="58" t="str" cm="1">
        <f>IF(ISBLANK($A448),"",INDEX(Array_ElectricalCharges,MATCH($A448,List_ElectricityMeters,0),ROUNDUP(COLUMN()/3,0)-2))</f>
        <v/>
      </c>
      <c r="Q448" s="127"/>
      <c r="R448" s="137"/>
      <c r="S448" s="58" t="str" cm="1">
        <f>IF(ISBLANK($A448),"",INDEX(Array_ElectricalCharges,MATCH($A448,List_ElectricityMeters,0),ROUNDUP(COLUMN()/3,0)-2))</f>
        <v/>
      </c>
      <c r="T448" s="127"/>
      <c r="U448" s="137"/>
      <c r="V448" s="58" t="str" cm="1">
        <f>IF(ISBLANK($A448),"",INDEX(Array_ElectricalCharges,MATCH($A448,List_ElectricityMeters,0),ROUNDUP(COLUMN()/3,0)-2))</f>
        <v/>
      </c>
      <c r="W448" s="127"/>
      <c r="X448" s="137"/>
      <c r="Y448" s="58" t="str" cm="1">
        <f>IF(ISBLANK($A448),"",INDEX(Array_ElectricalCharges,MATCH($A448,List_ElectricityMeters,0),ROUNDUP(COLUMN()/3,0)-2))</f>
        <v/>
      </c>
      <c r="Z448" s="127"/>
      <c r="AA448" s="137"/>
      <c r="AB448" s="58" t="str" cm="1">
        <f>IF(ISBLANK($A448),"",INDEX(Array_ElectricalCharges,MATCH($A448,List_ElectricityMeters,0),ROUNDUP(COLUMN()/3,0)-2))</f>
        <v/>
      </c>
      <c r="AC448" s="127"/>
      <c r="AD448" s="137"/>
      <c r="AE448" s="58" t="str" cm="1">
        <f>IF(ISBLANK($A448),"",INDEX(Array_ElectricalCharges,MATCH($A448,List_ElectricityMeters,0),ROUNDUP(COLUMN()/3,0)-2))</f>
        <v/>
      </c>
      <c r="AF448" s="127"/>
      <c r="AG448" s="137"/>
      <c r="AH448" s="58" t="str" cm="1">
        <f>IF(ISBLANK($A448),"",INDEX(Array_ElectricalCharges,MATCH($A448,List_ElectricityMeters,0),ROUNDUP(COLUMN()/3,0)-2))</f>
        <v/>
      </c>
      <c r="AI448" s="127"/>
      <c r="AJ448" s="137"/>
      <c r="AK448" s="58" t="str" cm="1">
        <f>IF(ISBLANK($A448),"",INDEX(Array_ElectricalCharges,MATCH($A448,List_ElectricityMeters,0),ROUNDUP(COLUMN()/3,0)-2))</f>
        <v/>
      </c>
      <c r="AL448" s="127"/>
      <c r="AM448" s="137"/>
      <c r="AN448" s="58" t="str" cm="1">
        <f>IF(ISBLANK($A448),"",INDEX(Array_ElectricalCharges,MATCH($A448,List_ElectricityMeters,0),ROUNDUP(COLUMN()/3,0)-2))</f>
        <v/>
      </c>
      <c r="AO448" s="127"/>
      <c r="AP448" s="137"/>
      <c r="AQ448" s="58" t="str" cm="1">
        <f>IF(ISBLANK($A448),"",INDEX(Array_ElectricalCharges,MATCH($A448,List_ElectricityMeters,0),ROUNDUP(COLUMN()/3,0)-2))</f>
        <v/>
      </c>
      <c r="AR448" s="127"/>
      <c r="AS448" s="137"/>
      <c r="AT448" s="58" t="str" cm="1">
        <f>IF(ISBLANK($A448),"",INDEX(Array_ElectricalCharges,MATCH($A448,List_ElectricityMeters,0),ROUNDUP(COLUMN()/3,0)-2))</f>
        <v/>
      </c>
      <c r="AU448" s="127"/>
      <c r="AV448" s="137"/>
      <c r="AW448" s="58" t="str" cm="1">
        <f>IF(ISBLANK($A448),"",INDEX(Array_ElectricalCharges,MATCH($A448,List_ElectricityMeters,0),ROUNDUP(COLUMN()/3,0)-2))</f>
        <v/>
      </c>
      <c r="AX448" s="127"/>
      <c r="AY448" s="137"/>
    </row>
    <row r="449" spans="1:51" x14ac:dyDescent="0.3">
      <c r="A449" s="126"/>
      <c r="B449" s="133"/>
      <c r="C449" s="134"/>
      <c r="D449" s="134"/>
      <c r="E449" s="135"/>
      <c r="F449" s="136"/>
      <c r="G449" s="58" t="str" cm="1">
        <f>IF(ISBLANK($A449),"",INDEX(Array_ElectricalCharges,MATCH($A449,List_ElectricityMeters,0),ROUNDUP(COLUMN()/3,0)-2))</f>
        <v/>
      </c>
      <c r="H449" s="127"/>
      <c r="I449" s="137"/>
      <c r="J449" s="58" t="str" cm="1">
        <f>IF(ISBLANK($A449),"",INDEX(Array_ElectricalCharges,MATCH($A449,List_ElectricityMeters,0),ROUNDUP(COLUMN()/3,0)-2))</f>
        <v/>
      </c>
      <c r="K449" s="127"/>
      <c r="L449" s="137"/>
      <c r="M449" s="58" t="str" cm="1">
        <f>IF(ISBLANK($A449),"",INDEX(Array_ElectricalCharges,MATCH($A449,List_ElectricityMeters,0),ROUNDUP(COLUMN()/3,0)-2))</f>
        <v/>
      </c>
      <c r="N449" s="127"/>
      <c r="O449" s="137"/>
      <c r="P449" s="58" t="str" cm="1">
        <f>IF(ISBLANK($A449),"",INDEX(Array_ElectricalCharges,MATCH($A449,List_ElectricityMeters,0),ROUNDUP(COLUMN()/3,0)-2))</f>
        <v/>
      </c>
      <c r="Q449" s="127"/>
      <c r="R449" s="137"/>
      <c r="S449" s="58" t="str" cm="1">
        <f>IF(ISBLANK($A449),"",INDEX(Array_ElectricalCharges,MATCH($A449,List_ElectricityMeters,0),ROUNDUP(COLUMN()/3,0)-2))</f>
        <v/>
      </c>
      <c r="T449" s="127"/>
      <c r="U449" s="137"/>
      <c r="V449" s="58" t="str" cm="1">
        <f>IF(ISBLANK($A449),"",INDEX(Array_ElectricalCharges,MATCH($A449,List_ElectricityMeters,0),ROUNDUP(COLUMN()/3,0)-2))</f>
        <v/>
      </c>
      <c r="W449" s="127"/>
      <c r="X449" s="137"/>
      <c r="Y449" s="58" t="str" cm="1">
        <f>IF(ISBLANK($A449),"",INDEX(Array_ElectricalCharges,MATCH($A449,List_ElectricityMeters,0),ROUNDUP(COLUMN()/3,0)-2))</f>
        <v/>
      </c>
      <c r="Z449" s="127"/>
      <c r="AA449" s="137"/>
      <c r="AB449" s="58" t="str" cm="1">
        <f>IF(ISBLANK($A449),"",INDEX(Array_ElectricalCharges,MATCH($A449,List_ElectricityMeters,0),ROUNDUP(COLUMN()/3,0)-2))</f>
        <v/>
      </c>
      <c r="AC449" s="127"/>
      <c r="AD449" s="137"/>
      <c r="AE449" s="58" t="str" cm="1">
        <f>IF(ISBLANK($A449),"",INDEX(Array_ElectricalCharges,MATCH($A449,List_ElectricityMeters,0),ROUNDUP(COLUMN()/3,0)-2))</f>
        <v/>
      </c>
      <c r="AF449" s="127"/>
      <c r="AG449" s="137"/>
      <c r="AH449" s="58" t="str" cm="1">
        <f>IF(ISBLANK($A449),"",INDEX(Array_ElectricalCharges,MATCH($A449,List_ElectricityMeters,0),ROUNDUP(COLUMN()/3,0)-2))</f>
        <v/>
      </c>
      <c r="AI449" s="127"/>
      <c r="AJ449" s="137"/>
      <c r="AK449" s="58" t="str" cm="1">
        <f>IF(ISBLANK($A449),"",INDEX(Array_ElectricalCharges,MATCH($A449,List_ElectricityMeters,0),ROUNDUP(COLUMN()/3,0)-2))</f>
        <v/>
      </c>
      <c r="AL449" s="127"/>
      <c r="AM449" s="137"/>
      <c r="AN449" s="58" t="str" cm="1">
        <f>IF(ISBLANK($A449),"",INDEX(Array_ElectricalCharges,MATCH($A449,List_ElectricityMeters,0),ROUNDUP(COLUMN()/3,0)-2))</f>
        <v/>
      </c>
      <c r="AO449" s="127"/>
      <c r="AP449" s="137"/>
      <c r="AQ449" s="58" t="str" cm="1">
        <f>IF(ISBLANK($A449),"",INDEX(Array_ElectricalCharges,MATCH($A449,List_ElectricityMeters,0),ROUNDUP(COLUMN()/3,0)-2))</f>
        <v/>
      </c>
      <c r="AR449" s="127"/>
      <c r="AS449" s="137"/>
      <c r="AT449" s="58" t="str" cm="1">
        <f>IF(ISBLANK($A449),"",INDEX(Array_ElectricalCharges,MATCH($A449,List_ElectricityMeters,0),ROUNDUP(COLUMN()/3,0)-2))</f>
        <v/>
      </c>
      <c r="AU449" s="127"/>
      <c r="AV449" s="137"/>
      <c r="AW449" s="58" t="str" cm="1">
        <f>IF(ISBLANK($A449),"",INDEX(Array_ElectricalCharges,MATCH($A449,List_ElectricityMeters,0),ROUNDUP(COLUMN()/3,0)-2))</f>
        <v/>
      </c>
      <c r="AX449" s="127"/>
      <c r="AY449" s="137"/>
    </row>
    <row r="450" spans="1:51" x14ac:dyDescent="0.3">
      <c r="A450" s="126"/>
      <c r="B450" s="133"/>
      <c r="C450" s="134"/>
      <c r="D450" s="134"/>
      <c r="E450" s="135"/>
      <c r="F450" s="136"/>
      <c r="G450" s="58" t="str" cm="1">
        <f>IF(ISBLANK($A450),"",INDEX(Array_ElectricalCharges,MATCH($A450,List_ElectricityMeters,0),ROUNDUP(COLUMN()/3,0)-2))</f>
        <v/>
      </c>
      <c r="H450" s="127"/>
      <c r="I450" s="137"/>
      <c r="J450" s="58" t="str" cm="1">
        <f>IF(ISBLANK($A450),"",INDEX(Array_ElectricalCharges,MATCH($A450,List_ElectricityMeters,0),ROUNDUP(COLUMN()/3,0)-2))</f>
        <v/>
      </c>
      <c r="K450" s="127"/>
      <c r="L450" s="137"/>
      <c r="M450" s="58" t="str" cm="1">
        <f>IF(ISBLANK($A450),"",INDEX(Array_ElectricalCharges,MATCH($A450,List_ElectricityMeters,0),ROUNDUP(COLUMN()/3,0)-2))</f>
        <v/>
      </c>
      <c r="N450" s="127"/>
      <c r="O450" s="137"/>
      <c r="P450" s="58" t="str" cm="1">
        <f>IF(ISBLANK($A450),"",INDEX(Array_ElectricalCharges,MATCH($A450,List_ElectricityMeters,0),ROUNDUP(COLUMN()/3,0)-2))</f>
        <v/>
      </c>
      <c r="Q450" s="127"/>
      <c r="R450" s="137"/>
      <c r="S450" s="58" t="str" cm="1">
        <f>IF(ISBLANK($A450),"",INDEX(Array_ElectricalCharges,MATCH($A450,List_ElectricityMeters,0),ROUNDUP(COLUMN()/3,0)-2))</f>
        <v/>
      </c>
      <c r="T450" s="127"/>
      <c r="U450" s="137"/>
      <c r="V450" s="58" t="str" cm="1">
        <f>IF(ISBLANK($A450),"",INDEX(Array_ElectricalCharges,MATCH($A450,List_ElectricityMeters,0),ROUNDUP(COLUMN()/3,0)-2))</f>
        <v/>
      </c>
      <c r="W450" s="127"/>
      <c r="X450" s="137"/>
      <c r="Y450" s="58" t="str" cm="1">
        <f>IF(ISBLANK($A450),"",INDEX(Array_ElectricalCharges,MATCH($A450,List_ElectricityMeters,0),ROUNDUP(COLUMN()/3,0)-2))</f>
        <v/>
      </c>
      <c r="Z450" s="127"/>
      <c r="AA450" s="137"/>
      <c r="AB450" s="58" t="str" cm="1">
        <f>IF(ISBLANK($A450),"",INDEX(Array_ElectricalCharges,MATCH($A450,List_ElectricityMeters,0),ROUNDUP(COLUMN()/3,0)-2))</f>
        <v/>
      </c>
      <c r="AC450" s="127"/>
      <c r="AD450" s="137"/>
      <c r="AE450" s="58" t="str" cm="1">
        <f>IF(ISBLANK($A450),"",INDEX(Array_ElectricalCharges,MATCH($A450,List_ElectricityMeters,0),ROUNDUP(COLUMN()/3,0)-2))</f>
        <v/>
      </c>
      <c r="AF450" s="127"/>
      <c r="AG450" s="137"/>
      <c r="AH450" s="58" t="str" cm="1">
        <f>IF(ISBLANK($A450),"",INDEX(Array_ElectricalCharges,MATCH($A450,List_ElectricityMeters,0),ROUNDUP(COLUMN()/3,0)-2))</f>
        <v/>
      </c>
      <c r="AI450" s="127"/>
      <c r="AJ450" s="137"/>
      <c r="AK450" s="58" t="str" cm="1">
        <f>IF(ISBLANK($A450),"",INDEX(Array_ElectricalCharges,MATCH($A450,List_ElectricityMeters,0),ROUNDUP(COLUMN()/3,0)-2))</f>
        <v/>
      </c>
      <c r="AL450" s="127"/>
      <c r="AM450" s="137"/>
      <c r="AN450" s="58" t="str" cm="1">
        <f>IF(ISBLANK($A450),"",INDEX(Array_ElectricalCharges,MATCH($A450,List_ElectricityMeters,0),ROUNDUP(COLUMN()/3,0)-2))</f>
        <v/>
      </c>
      <c r="AO450" s="127"/>
      <c r="AP450" s="137"/>
      <c r="AQ450" s="58" t="str" cm="1">
        <f>IF(ISBLANK($A450),"",INDEX(Array_ElectricalCharges,MATCH($A450,List_ElectricityMeters,0),ROUNDUP(COLUMN()/3,0)-2))</f>
        <v/>
      </c>
      <c r="AR450" s="127"/>
      <c r="AS450" s="137"/>
      <c r="AT450" s="58" t="str" cm="1">
        <f>IF(ISBLANK($A450),"",INDEX(Array_ElectricalCharges,MATCH($A450,List_ElectricityMeters,0),ROUNDUP(COLUMN()/3,0)-2))</f>
        <v/>
      </c>
      <c r="AU450" s="127"/>
      <c r="AV450" s="137"/>
      <c r="AW450" s="58" t="str" cm="1">
        <f>IF(ISBLANK($A450),"",INDEX(Array_ElectricalCharges,MATCH($A450,List_ElectricityMeters,0),ROUNDUP(COLUMN()/3,0)-2))</f>
        <v/>
      </c>
      <c r="AX450" s="127"/>
      <c r="AY450" s="137"/>
    </row>
    <row r="451" spans="1:51" x14ac:dyDescent="0.3">
      <c r="A451" s="126"/>
      <c r="B451" s="133"/>
      <c r="C451" s="134"/>
      <c r="D451" s="134"/>
      <c r="E451" s="135"/>
      <c r="F451" s="136"/>
      <c r="G451" s="58" t="str" cm="1">
        <f>IF(ISBLANK($A451),"",INDEX(Array_ElectricalCharges,MATCH($A451,List_ElectricityMeters,0),ROUNDUP(COLUMN()/3,0)-2))</f>
        <v/>
      </c>
      <c r="H451" s="127"/>
      <c r="I451" s="137"/>
      <c r="J451" s="58" t="str" cm="1">
        <f>IF(ISBLANK($A451),"",INDEX(Array_ElectricalCharges,MATCH($A451,List_ElectricityMeters,0),ROUNDUP(COLUMN()/3,0)-2))</f>
        <v/>
      </c>
      <c r="K451" s="127"/>
      <c r="L451" s="137"/>
      <c r="M451" s="58" t="str" cm="1">
        <f>IF(ISBLANK($A451),"",INDEX(Array_ElectricalCharges,MATCH($A451,List_ElectricityMeters,0),ROUNDUP(COLUMN()/3,0)-2))</f>
        <v/>
      </c>
      <c r="N451" s="127"/>
      <c r="O451" s="137"/>
      <c r="P451" s="58" t="str" cm="1">
        <f>IF(ISBLANK($A451),"",INDEX(Array_ElectricalCharges,MATCH($A451,List_ElectricityMeters,0),ROUNDUP(COLUMN()/3,0)-2))</f>
        <v/>
      </c>
      <c r="Q451" s="127"/>
      <c r="R451" s="137"/>
      <c r="S451" s="58" t="str" cm="1">
        <f>IF(ISBLANK($A451),"",INDEX(Array_ElectricalCharges,MATCH($A451,List_ElectricityMeters,0),ROUNDUP(COLUMN()/3,0)-2))</f>
        <v/>
      </c>
      <c r="T451" s="127"/>
      <c r="U451" s="137"/>
      <c r="V451" s="58" t="str" cm="1">
        <f>IF(ISBLANK($A451),"",INDEX(Array_ElectricalCharges,MATCH($A451,List_ElectricityMeters,0),ROUNDUP(COLUMN()/3,0)-2))</f>
        <v/>
      </c>
      <c r="W451" s="127"/>
      <c r="X451" s="137"/>
      <c r="Y451" s="58" t="str" cm="1">
        <f>IF(ISBLANK($A451),"",INDEX(Array_ElectricalCharges,MATCH($A451,List_ElectricityMeters,0),ROUNDUP(COLUMN()/3,0)-2))</f>
        <v/>
      </c>
      <c r="Z451" s="127"/>
      <c r="AA451" s="137"/>
      <c r="AB451" s="58" t="str" cm="1">
        <f>IF(ISBLANK($A451),"",INDEX(Array_ElectricalCharges,MATCH($A451,List_ElectricityMeters,0),ROUNDUP(COLUMN()/3,0)-2))</f>
        <v/>
      </c>
      <c r="AC451" s="127"/>
      <c r="AD451" s="137"/>
      <c r="AE451" s="58" t="str" cm="1">
        <f>IF(ISBLANK($A451),"",INDEX(Array_ElectricalCharges,MATCH($A451,List_ElectricityMeters,0),ROUNDUP(COLUMN()/3,0)-2))</f>
        <v/>
      </c>
      <c r="AF451" s="127"/>
      <c r="AG451" s="137"/>
      <c r="AH451" s="58" t="str" cm="1">
        <f>IF(ISBLANK($A451),"",INDEX(Array_ElectricalCharges,MATCH($A451,List_ElectricityMeters,0),ROUNDUP(COLUMN()/3,0)-2))</f>
        <v/>
      </c>
      <c r="AI451" s="127"/>
      <c r="AJ451" s="137"/>
      <c r="AK451" s="58" t="str" cm="1">
        <f>IF(ISBLANK($A451),"",INDEX(Array_ElectricalCharges,MATCH($A451,List_ElectricityMeters,0),ROUNDUP(COLUMN()/3,0)-2))</f>
        <v/>
      </c>
      <c r="AL451" s="127"/>
      <c r="AM451" s="137"/>
      <c r="AN451" s="58" t="str" cm="1">
        <f>IF(ISBLANK($A451),"",INDEX(Array_ElectricalCharges,MATCH($A451,List_ElectricityMeters,0),ROUNDUP(COLUMN()/3,0)-2))</f>
        <v/>
      </c>
      <c r="AO451" s="127"/>
      <c r="AP451" s="137"/>
      <c r="AQ451" s="58" t="str" cm="1">
        <f>IF(ISBLANK($A451),"",INDEX(Array_ElectricalCharges,MATCH($A451,List_ElectricityMeters,0),ROUNDUP(COLUMN()/3,0)-2))</f>
        <v/>
      </c>
      <c r="AR451" s="127"/>
      <c r="AS451" s="137"/>
      <c r="AT451" s="58" t="str" cm="1">
        <f>IF(ISBLANK($A451),"",INDEX(Array_ElectricalCharges,MATCH($A451,List_ElectricityMeters,0),ROUNDUP(COLUMN()/3,0)-2))</f>
        <v/>
      </c>
      <c r="AU451" s="127"/>
      <c r="AV451" s="137"/>
      <c r="AW451" s="58" t="str" cm="1">
        <f>IF(ISBLANK($A451),"",INDEX(Array_ElectricalCharges,MATCH($A451,List_ElectricityMeters,0),ROUNDUP(COLUMN()/3,0)-2))</f>
        <v/>
      </c>
      <c r="AX451" s="127"/>
      <c r="AY451" s="137"/>
    </row>
    <row r="452" spans="1:51" x14ac:dyDescent="0.3">
      <c r="A452" s="126"/>
      <c r="B452" s="133"/>
      <c r="C452" s="134"/>
      <c r="D452" s="134"/>
      <c r="E452" s="135"/>
      <c r="F452" s="136"/>
      <c r="G452" s="58" t="str" cm="1">
        <f>IF(ISBLANK($A452),"",INDEX(Array_ElectricalCharges,MATCH($A452,List_ElectricityMeters,0),ROUNDUP(COLUMN()/3,0)-2))</f>
        <v/>
      </c>
      <c r="H452" s="127"/>
      <c r="I452" s="137"/>
      <c r="J452" s="58" t="str" cm="1">
        <f>IF(ISBLANK($A452),"",INDEX(Array_ElectricalCharges,MATCH($A452,List_ElectricityMeters,0),ROUNDUP(COLUMN()/3,0)-2))</f>
        <v/>
      </c>
      <c r="K452" s="127"/>
      <c r="L452" s="137"/>
      <c r="M452" s="58" t="str" cm="1">
        <f>IF(ISBLANK($A452),"",INDEX(Array_ElectricalCharges,MATCH($A452,List_ElectricityMeters,0),ROUNDUP(COLUMN()/3,0)-2))</f>
        <v/>
      </c>
      <c r="N452" s="127"/>
      <c r="O452" s="137"/>
      <c r="P452" s="58" t="str" cm="1">
        <f>IF(ISBLANK($A452),"",INDEX(Array_ElectricalCharges,MATCH($A452,List_ElectricityMeters,0),ROUNDUP(COLUMN()/3,0)-2))</f>
        <v/>
      </c>
      <c r="Q452" s="127"/>
      <c r="R452" s="137"/>
      <c r="S452" s="58" t="str" cm="1">
        <f>IF(ISBLANK($A452),"",INDEX(Array_ElectricalCharges,MATCH($A452,List_ElectricityMeters,0),ROUNDUP(COLUMN()/3,0)-2))</f>
        <v/>
      </c>
      <c r="T452" s="127"/>
      <c r="U452" s="137"/>
      <c r="V452" s="58" t="str" cm="1">
        <f>IF(ISBLANK($A452),"",INDEX(Array_ElectricalCharges,MATCH($A452,List_ElectricityMeters,0),ROUNDUP(COLUMN()/3,0)-2))</f>
        <v/>
      </c>
      <c r="W452" s="127"/>
      <c r="X452" s="137"/>
      <c r="Y452" s="58" t="str" cm="1">
        <f>IF(ISBLANK($A452),"",INDEX(Array_ElectricalCharges,MATCH($A452,List_ElectricityMeters,0),ROUNDUP(COLUMN()/3,0)-2))</f>
        <v/>
      </c>
      <c r="Z452" s="127"/>
      <c r="AA452" s="137"/>
      <c r="AB452" s="58" t="str" cm="1">
        <f>IF(ISBLANK($A452),"",INDEX(Array_ElectricalCharges,MATCH($A452,List_ElectricityMeters,0),ROUNDUP(COLUMN()/3,0)-2))</f>
        <v/>
      </c>
      <c r="AC452" s="127"/>
      <c r="AD452" s="137"/>
      <c r="AE452" s="58" t="str" cm="1">
        <f>IF(ISBLANK($A452),"",INDEX(Array_ElectricalCharges,MATCH($A452,List_ElectricityMeters,0),ROUNDUP(COLUMN()/3,0)-2))</f>
        <v/>
      </c>
      <c r="AF452" s="127"/>
      <c r="AG452" s="137"/>
      <c r="AH452" s="58" t="str" cm="1">
        <f>IF(ISBLANK($A452),"",INDEX(Array_ElectricalCharges,MATCH($A452,List_ElectricityMeters,0),ROUNDUP(COLUMN()/3,0)-2))</f>
        <v/>
      </c>
      <c r="AI452" s="127"/>
      <c r="AJ452" s="137"/>
      <c r="AK452" s="58" t="str" cm="1">
        <f>IF(ISBLANK($A452),"",INDEX(Array_ElectricalCharges,MATCH($A452,List_ElectricityMeters,0),ROUNDUP(COLUMN()/3,0)-2))</f>
        <v/>
      </c>
      <c r="AL452" s="127"/>
      <c r="AM452" s="137"/>
      <c r="AN452" s="58" t="str" cm="1">
        <f>IF(ISBLANK($A452),"",INDEX(Array_ElectricalCharges,MATCH($A452,List_ElectricityMeters,0),ROUNDUP(COLUMN()/3,0)-2))</f>
        <v/>
      </c>
      <c r="AO452" s="127"/>
      <c r="AP452" s="137"/>
      <c r="AQ452" s="58" t="str" cm="1">
        <f>IF(ISBLANK($A452),"",INDEX(Array_ElectricalCharges,MATCH($A452,List_ElectricityMeters,0),ROUNDUP(COLUMN()/3,0)-2))</f>
        <v/>
      </c>
      <c r="AR452" s="127"/>
      <c r="AS452" s="137"/>
      <c r="AT452" s="58" t="str" cm="1">
        <f>IF(ISBLANK($A452),"",INDEX(Array_ElectricalCharges,MATCH($A452,List_ElectricityMeters,0),ROUNDUP(COLUMN()/3,0)-2))</f>
        <v/>
      </c>
      <c r="AU452" s="127"/>
      <c r="AV452" s="137"/>
      <c r="AW452" s="58" t="str" cm="1">
        <f>IF(ISBLANK($A452),"",INDEX(Array_ElectricalCharges,MATCH($A452,List_ElectricityMeters,0),ROUNDUP(COLUMN()/3,0)-2))</f>
        <v/>
      </c>
      <c r="AX452" s="127"/>
      <c r="AY452" s="137"/>
    </row>
    <row r="453" spans="1:51" x14ac:dyDescent="0.3">
      <c r="A453" s="126"/>
      <c r="B453" s="133"/>
      <c r="C453" s="134"/>
      <c r="D453" s="134"/>
      <c r="E453" s="135"/>
      <c r="F453" s="136"/>
      <c r="G453" s="58" t="str" cm="1">
        <f>IF(ISBLANK($A453),"",INDEX(Array_ElectricalCharges,MATCH($A453,List_ElectricityMeters,0),ROUNDUP(COLUMN()/3,0)-2))</f>
        <v/>
      </c>
      <c r="H453" s="127"/>
      <c r="I453" s="137"/>
      <c r="J453" s="58" t="str" cm="1">
        <f>IF(ISBLANK($A453),"",INDEX(Array_ElectricalCharges,MATCH($A453,List_ElectricityMeters,0),ROUNDUP(COLUMN()/3,0)-2))</f>
        <v/>
      </c>
      <c r="K453" s="127"/>
      <c r="L453" s="137"/>
      <c r="M453" s="58" t="str" cm="1">
        <f>IF(ISBLANK($A453),"",INDEX(Array_ElectricalCharges,MATCH($A453,List_ElectricityMeters,0),ROUNDUP(COLUMN()/3,0)-2))</f>
        <v/>
      </c>
      <c r="N453" s="127"/>
      <c r="O453" s="137"/>
      <c r="P453" s="58" t="str" cm="1">
        <f>IF(ISBLANK($A453),"",INDEX(Array_ElectricalCharges,MATCH($A453,List_ElectricityMeters,0),ROUNDUP(COLUMN()/3,0)-2))</f>
        <v/>
      </c>
      <c r="Q453" s="127"/>
      <c r="R453" s="137"/>
      <c r="S453" s="58" t="str" cm="1">
        <f>IF(ISBLANK($A453),"",INDEX(Array_ElectricalCharges,MATCH($A453,List_ElectricityMeters,0),ROUNDUP(COLUMN()/3,0)-2))</f>
        <v/>
      </c>
      <c r="T453" s="127"/>
      <c r="U453" s="137"/>
      <c r="V453" s="58" t="str" cm="1">
        <f>IF(ISBLANK($A453),"",INDEX(Array_ElectricalCharges,MATCH($A453,List_ElectricityMeters,0),ROUNDUP(COLUMN()/3,0)-2))</f>
        <v/>
      </c>
      <c r="W453" s="127"/>
      <c r="X453" s="137"/>
      <c r="Y453" s="58" t="str" cm="1">
        <f>IF(ISBLANK($A453),"",INDEX(Array_ElectricalCharges,MATCH($A453,List_ElectricityMeters,0),ROUNDUP(COLUMN()/3,0)-2))</f>
        <v/>
      </c>
      <c r="Z453" s="127"/>
      <c r="AA453" s="137"/>
      <c r="AB453" s="58" t="str" cm="1">
        <f>IF(ISBLANK($A453),"",INDEX(Array_ElectricalCharges,MATCH($A453,List_ElectricityMeters,0),ROUNDUP(COLUMN()/3,0)-2))</f>
        <v/>
      </c>
      <c r="AC453" s="127"/>
      <c r="AD453" s="137"/>
      <c r="AE453" s="58" t="str" cm="1">
        <f>IF(ISBLANK($A453),"",INDEX(Array_ElectricalCharges,MATCH($A453,List_ElectricityMeters,0),ROUNDUP(COLUMN()/3,0)-2))</f>
        <v/>
      </c>
      <c r="AF453" s="127"/>
      <c r="AG453" s="137"/>
      <c r="AH453" s="58" t="str" cm="1">
        <f>IF(ISBLANK($A453),"",INDEX(Array_ElectricalCharges,MATCH($A453,List_ElectricityMeters,0),ROUNDUP(COLUMN()/3,0)-2))</f>
        <v/>
      </c>
      <c r="AI453" s="127"/>
      <c r="AJ453" s="137"/>
      <c r="AK453" s="58" t="str" cm="1">
        <f>IF(ISBLANK($A453),"",INDEX(Array_ElectricalCharges,MATCH($A453,List_ElectricityMeters,0),ROUNDUP(COLUMN()/3,0)-2))</f>
        <v/>
      </c>
      <c r="AL453" s="127"/>
      <c r="AM453" s="137"/>
      <c r="AN453" s="58" t="str" cm="1">
        <f>IF(ISBLANK($A453),"",INDEX(Array_ElectricalCharges,MATCH($A453,List_ElectricityMeters,0),ROUNDUP(COLUMN()/3,0)-2))</f>
        <v/>
      </c>
      <c r="AO453" s="127"/>
      <c r="AP453" s="137"/>
      <c r="AQ453" s="58" t="str" cm="1">
        <f>IF(ISBLANK($A453),"",INDEX(Array_ElectricalCharges,MATCH($A453,List_ElectricityMeters,0),ROUNDUP(COLUMN()/3,0)-2))</f>
        <v/>
      </c>
      <c r="AR453" s="127"/>
      <c r="AS453" s="137"/>
      <c r="AT453" s="58" t="str" cm="1">
        <f>IF(ISBLANK($A453),"",INDEX(Array_ElectricalCharges,MATCH($A453,List_ElectricityMeters,0),ROUNDUP(COLUMN()/3,0)-2))</f>
        <v/>
      </c>
      <c r="AU453" s="127"/>
      <c r="AV453" s="137"/>
      <c r="AW453" s="58" t="str" cm="1">
        <f>IF(ISBLANK($A453),"",INDEX(Array_ElectricalCharges,MATCH($A453,List_ElectricityMeters,0),ROUNDUP(COLUMN()/3,0)-2))</f>
        <v/>
      </c>
      <c r="AX453" s="127"/>
      <c r="AY453" s="137"/>
    </row>
    <row r="454" spans="1:51" x14ac:dyDescent="0.3">
      <c r="A454" s="126"/>
      <c r="B454" s="133"/>
      <c r="C454" s="134"/>
      <c r="D454" s="134"/>
      <c r="E454" s="135"/>
      <c r="F454" s="136"/>
      <c r="G454" s="58" t="str" cm="1">
        <f>IF(ISBLANK($A454),"",INDEX(Array_ElectricalCharges,MATCH($A454,List_ElectricityMeters,0),ROUNDUP(COLUMN()/3,0)-2))</f>
        <v/>
      </c>
      <c r="H454" s="127"/>
      <c r="I454" s="137"/>
      <c r="J454" s="58" t="str" cm="1">
        <f>IF(ISBLANK($A454),"",INDEX(Array_ElectricalCharges,MATCH($A454,List_ElectricityMeters,0),ROUNDUP(COLUMN()/3,0)-2))</f>
        <v/>
      </c>
      <c r="K454" s="127"/>
      <c r="L454" s="137"/>
      <c r="M454" s="58" t="str" cm="1">
        <f>IF(ISBLANK($A454),"",INDEX(Array_ElectricalCharges,MATCH($A454,List_ElectricityMeters,0),ROUNDUP(COLUMN()/3,0)-2))</f>
        <v/>
      </c>
      <c r="N454" s="127"/>
      <c r="O454" s="137"/>
      <c r="P454" s="58" t="str" cm="1">
        <f>IF(ISBLANK($A454),"",INDEX(Array_ElectricalCharges,MATCH($A454,List_ElectricityMeters,0),ROUNDUP(COLUMN()/3,0)-2))</f>
        <v/>
      </c>
      <c r="Q454" s="127"/>
      <c r="R454" s="137"/>
      <c r="S454" s="58" t="str" cm="1">
        <f>IF(ISBLANK($A454),"",INDEX(Array_ElectricalCharges,MATCH($A454,List_ElectricityMeters,0),ROUNDUP(COLUMN()/3,0)-2))</f>
        <v/>
      </c>
      <c r="T454" s="127"/>
      <c r="U454" s="137"/>
      <c r="V454" s="58" t="str" cm="1">
        <f>IF(ISBLANK($A454),"",INDEX(Array_ElectricalCharges,MATCH($A454,List_ElectricityMeters,0),ROUNDUP(COLUMN()/3,0)-2))</f>
        <v/>
      </c>
      <c r="W454" s="127"/>
      <c r="X454" s="137"/>
      <c r="Y454" s="58" t="str" cm="1">
        <f>IF(ISBLANK($A454),"",INDEX(Array_ElectricalCharges,MATCH($A454,List_ElectricityMeters,0),ROUNDUP(COLUMN()/3,0)-2))</f>
        <v/>
      </c>
      <c r="Z454" s="127"/>
      <c r="AA454" s="137"/>
      <c r="AB454" s="58" t="str" cm="1">
        <f>IF(ISBLANK($A454),"",INDEX(Array_ElectricalCharges,MATCH($A454,List_ElectricityMeters,0),ROUNDUP(COLUMN()/3,0)-2))</f>
        <v/>
      </c>
      <c r="AC454" s="127"/>
      <c r="AD454" s="137"/>
      <c r="AE454" s="58" t="str" cm="1">
        <f>IF(ISBLANK($A454),"",INDEX(Array_ElectricalCharges,MATCH($A454,List_ElectricityMeters,0),ROUNDUP(COLUMN()/3,0)-2))</f>
        <v/>
      </c>
      <c r="AF454" s="127"/>
      <c r="AG454" s="137"/>
      <c r="AH454" s="58" t="str" cm="1">
        <f>IF(ISBLANK($A454),"",INDEX(Array_ElectricalCharges,MATCH($A454,List_ElectricityMeters,0),ROUNDUP(COLUMN()/3,0)-2))</f>
        <v/>
      </c>
      <c r="AI454" s="127"/>
      <c r="AJ454" s="137"/>
      <c r="AK454" s="58" t="str" cm="1">
        <f>IF(ISBLANK($A454),"",INDEX(Array_ElectricalCharges,MATCH($A454,List_ElectricityMeters,0),ROUNDUP(COLUMN()/3,0)-2))</f>
        <v/>
      </c>
      <c r="AL454" s="127"/>
      <c r="AM454" s="137"/>
      <c r="AN454" s="58" t="str" cm="1">
        <f>IF(ISBLANK($A454),"",INDEX(Array_ElectricalCharges,MATCH($A454,List_ElectricityMeters,0),ROUNDUP(COLUMN()/3,0)-2))</f>
        <v/>
      </c>
      <c r="AO454" s="127"/>
      <c r="AP454" s="137"/>
      <c r="AQ454" s="58" t="str" cm="1">
        <f>IF(ISBLANK($A454),"",INDEX(Array_ElectricalCharges,MATCH($A454,List_ElectricityMeters,0),ROUNDUP(COLUMN()/3,0)-2))</f>
        <v/>
      </c>
      <c r="AR454" s="127"/>
      <c r="AS454" s="137"/>
      <c r="AT454" s="58" t="str" cm="1">
        <f>IF(ISBLANK($A454),"",INDEX(Array_ElectricalCharges,MATCH($A454,List_ElectricityMeters,0),ROUNDUP(COLUMN()/3,0)-2))</f>
        <v/>
      </c>
      <c r="AU454" s="127"/>
      <c r="AV454" s="137"/>
      <c r="AW454" s="58" t="str" cm="1">
        <f>IF(ISBLANK($A454),"",INDEX(Array_ElectricalCharges,MATCH($A454,List_ElectricityMeters,0),ROUNDUP(COLUMN()/3,0)-2))</f>
        <v/>
      </c>
      <c r="AX454" s="127"/>
      <c r="AY454" s="137"/>
    </row>
    <row r="455" spans="1:51" x14ac:dyDescent="0.3">
      <c r="A455" s="126"/>
      <c r="B455" s="133"/>
      <c r="C455" s="134"/>
      <c r="D455" s="134"/>
      <c r="E455" s="135"/>
      <c r="F455" s="136"/>
      <c r="G455" s="58" t="str" cm="1">
        <f>IF(ISBLANK($A455),"",INDEX(Array_ElectricalCharges,MATCH($A455,List_ElectricityMeters,0),ROUNDUP(COLUMN()/3,0)-2))</f>
        <v/>
      </c>
      <c r="H455" s="127"/>
      <c r="I455" s="137"/>
      <c r="J455" s="58" t="str" cm="1">
        <f>IF(ISBLANK($A455),"",INDEX(Array_ElectricalCharges,MATCH($A455,List_ElectricityMeters,0),ROUNDUP(COLUMN()/3,0)-2))</f>
        <v/>
      </c>
      <c r="K455" s="127"/>
      <c r="L455" s="137"/>
      <c r="M455" s="58" t="str" cm="1">
        <f>IF(ISBLANK($A455),"",INDEX(Array_ElectricalCharges,MATCH($A455,List_ElectricityMeters,0),ROUNDUP(COLUMN()/3,0)-2))</f>
        <v/>
      </c>
      <c r="N455" s="127"/>
      <c r="O455" s="137"/>
      <c r="P455" s="58" t="str" cm="1">
        <f>IF(ISBLANK($A455),"",INDEX(Array_ElectricalCharges,MATCH($A455,List_ElectricityMeters,0),ROUNDUP(COLUMN()/3,0)-2))</f>
        <v/>
      </c>
      <c r="Q455" s="127"/>
      <c r="R455" s="137"/>
      <c r="S455" s="58" t="str" cm="1">
        <f>IF(ISBLANK($A455),"",INDEX(Array_ElectricalCharges,MATCH($A455,List_ElectricityMeters,0),ROUNDUP(COLUMN()/3,0)-2))</f>
        <v/>
      </c>
      <c r="T455" s="127"/>
      <c r="U455" s="137"/>
      <c r="V455" s="58" t="str" cm="1">
        <f>IF(ISBLANK($A455),"",INDEX(Array_ElectricalCharges,MATCH($A455,List_ElectricityMeters,0),ROUNDUP(COLUMN()/3,0)-2))</f>
        <v/>
      </c>
      <c r="W455" s="127"/>
      <c r="X455" s="137"/>
      <c r="Y455" s="58" t="str" cm="1">
        <f>IF(ISBLANK($A455),"",INDEX(Array_ElectricalCharges,MATCH($A455,List_ElectricityMeters,0),ROUNDUP(COLUMN()/3,0)-2))</f>
        <v/>
      </c>
      <c r="Z455" s="127"/>
      <c r="AA455" s="137"/>
      <c r="AB455" s="58" t="str" cm="1">
        <f>IF(ISBLANK($A455),"",INDEX(Array_ElectricalCharges,MATCH($A455,List_ElectricityMeters,0),ROUNDUP(COLUMN()/3,0)-2))</f>
        <v/>
      </c>
      <c r="AC455" s="127"/>
      <c r="AD455" s="137"/>
      <c r="AE455" s="58" t="str" cm="1">
        <f>IF(ISBLANK($A455),"",INDEX(Array_ElectricalCharges,MATCH($A455,List_ElectricityMeters,0),ROUNDUP(COLUMN()/3,0)-2))</f>
        <v/>
      </c>
      <c r="AF455" s="127"/>
      <c r="AG455" s="137"/>
      <c r="AH455" s="58" t="str" cm="1">
        <f>IF(ISBLANK($A455),"",INDEX(Array_ElectricalCharges,MATCH($A455,List_ElectricityMeters,0),ROUNDUP(COLUMN()/3,0)-2))</f>
        <v/>
      </c>
      <c r="AI455" s="127"/>
      <c r="AJ455" s="137"/>
      <c r="AK455" s="58" t="str" cm="1">
        <f>IF(ISBLANK($A455),"",INDEX(Array_ElectricalCharges,MATCH($A455,List_ElectricityMeters,0),ROUNDUP(COLUMN()/3,0)-2))</f>
        <v/>
      </c>
      <c r="AL455" s="127"/>
      <c r="AM455" s="137"/>
      <c r="AN455" s="58" t="str" cm="1">
        <f>IF(ISBLANK($A455),"",INDEX(Array_ElectricalCharges,MATCH($A455,List_ElectricityMeters,0),ROUNDUP(COLUMN()/3,0)-2))</f>
        <v/>
      </c>
      <c r="AO455" s="127"/>
      <c r="AP455" s="137"/>
      <c r="AQ455" s="58" t="str" cm="1">
        <f>IF(ISBLANK($A455),"",INDEX(Array_ElectricalCharges,MATCH($A455,List_ElectricityMeters,0),ROUNDUP(COLUMN()/3,0)-2))</f>
        <v/>
      </c>
      <c r="AR455" s="127"/>
      <c r="AS455" s="137"/>
      <c r="AT455" s="58" t="str" cm="1">
        <f>IF(ISBLANK($A455),"",INDEX(Array_ElectricalCharges,MATCH($A455,List_ElectricityMeters,0),ROUNDUP(COLUMN()/3,0)-2))</f>
        <v/>
      </c>
      <c r="AU455" s="127"/>
      <c r="AV455" s="137"/>
      <c r="AW455" s="58" t="str" cm="1">
        <f>IF(ISBLANK($A455),"",INDEX(Array_ElectricalCharges,MATCH($A455,List_ElectricityMeters,0),ROUNDUP(COLUMN()/3,0)-2))</f>
        <v/>
      </c>
      <c r="AX455" s="127"/>
      <c r="AY455" s="137"/>
    </row>
    <row r="456" spans="1:51" x14ac:dyDescent="0.3">
      <c r="A456" s="126"/>
      <c r="B456" s="133"/>
      <c r="C456" s="134"/>
      <c r="D456" s="134"/>
      <c r="E456" s="135"/>
      <c r="F456" s="136"/>
      <c r="G456" s="58" t="str" cm="1">
        <f>IF(ISBLANK($A456),"",INDEX(Array_ElectricalCharges,MATCH($A456,List_ElectricityMeters,0),ROUNDUP(COLUMN()/3,0)-2))</f>
        <v/>
      </c>
      <c r="H456" s="127"/>
      <c r="I456" s="137"/>
      <c r="J456" s="58" t="str" cm="1">
        <f>IF(ISBLANK($A456),"",INDEX(Array_ElectricalCharges,MATCH($A456,List_ElectricityMeters,0),ROUNDUP(COLUMN()/3,0)-2))</f>
        <v/>
      </c>
      <c r="K456" s="127"/>
      <c r="L456" s="137"/>
      <c r="M456" s="58" t="str" cm="1">
        <f>IF(ISBLANK($A456),"",INDEX(Array_ElectricalCharges,MATCH($A456,List_ElectricityMeters,0),ROUNDUP(COLUMN()/3,0)-2))</f>
        <v/>
      </c>
      <c r="N456" s="127"/>
      <c r="O456" s="137"/>
      <c r="P456" s="58" t="str" cm="1">
        <f>IF(ISBLANK($A456),"",INDEX(Array_ElectricalCharges,MATCH($A456,List_ElectricityMeters,0),ROUNDUP(COLUMN()/3,0)-2))</f>
        <v/>
      </c>
      <c r="Q456" s="127"/>
      <c r="R456" s="137"/>
      <c r="S456" s="58" t="str" cm="1">
        <f>IF(ISBLANK($A456),"",INDEX(Array_ElectricalCharges,MATCH($A456,List_ElectricityMeters,0),ROUNDUP(COLUMN()/3,0)-2))</f>
        <v/>
      </c>
      <c r="T456" s="127"/>
      <c r="U456" s="137"/>
      <c r="V456" s="58" t="str" cm="1">
        <f>IF(ISBLANK($A456),"",INDEX(Array_ElectricalCharges,MATCH($A456,List_ElectricityMeters,0),ROUNDUP(COLUMN()/3,0)-2))</f>
        <v/>
      </c>
      <c r="W456" s="127"/>
      <c r="X456" s="137"/>
      <c r="Y456" s="58" t="str" cm="1">
        <f>IF(ISBLANK($A456),"",INDEX(Array_ElectricalCharges,MATCH($A456,List_ElectricityMeters,0),ROUNDUP(COLUMN()/3,0)-2))</f>
        <v/>
      </c>
      <c r="Z456" s="127"/>
      <c r="AA456" s="137"/>
      <c r="AB456" s="58" t="str" cm="1">
        <f>IF(ISBLANK($A456),"",INDEX(Array_ElectricalCharges,MATCH($A456,List_ElectricityMeters,0),ROUNDUP(COLUMN()/3,0)-2))</f>
        <v/>
      </c>
      <c r="AC456" s="127"/>
      <c r="AD456" s="137"/>
      <c r="AE456" s="58" t="str" cm="1">
        <f>IF(ISBLANK($A456),"",INDEX(Array_ElectricalCharges,MATCH($A456,List_ElectricityMeters,0),ROUNDUP(COLUMN()/3,0)-2))</f>
        <v/>
      </c>
      <c r="AF456" s="127"/>
      <c r="AG456" s="137"/>
      <c r="AH456" s="58" t="str" cm="1">
        <f>IF(ISBLANK($A456),"",INDEX(Array_ElectricalCharges,MATCH($A456,List_ElectricityMeters,0),ROUNDUP(COLUMN()/3,0)-2))</f>
        <v/>
      </c>
      <c r="AI456" s="127"/>
      <c r="AJ456" s="137"/>
      <c r="AK456" s="58" t="str" cm="1">
        <f>IF(ISBLANK($A456),"",INDEX(Array_ElectricalCharges,MATCH($A456,List_ElectricityMeters,0),ROUNDUP(COLUMN()/3,0)-2))</f>
        <v/>
      </c>
      <c r="AL456" s="127"/>
      <c r="AM456" s="137"/>
      <c r="AN456" s="58" t="str" cm="1">
        <f>IF(ISBLANK($A456),"",INDEX(Array_ElectricalCharges,MATCH($A456,List_ElectricityMeters,0),ROUNDUP(COLUMN()/3,0)-2))</f>
        <v/>
      </c>
      <c r="AO456" s="127"/>
      <c r="AP456" s="137"/>
      <c r="AQ456" s="58" t="str" cm="1">
        <f>IF(ISBLANK($A456),"",INDEX(Array_ElectricalCharges,MATCH($A456,List_ElectricityMeters,0),ROUNDUP(COLUMN()/3,0)-2))</f>
        <v/>
      </c>
      <c r="AR456" s="127"/>
      <c r="AS456" s="137"/>
      <c r="AT456" s="58" t="str" cm="1">
        <f>IF(ISBLANK($A456),"",INDEX(Array_ElectricalCharges,MATCH($A456,List_ElectricityMeters,0),ROUNDUP(COLUMN()/3,0)-2))</f>
        <v/>
      </c>
      <c r="AU456" s="127"/>
      <c r="AV456" s="137"/>
      <c r="AW456" s="58" t="str" cm="1">
        <f>IF(ISBLANK($A456),"",INDEX(Array_ElectricalCharges,MATCH($A456,List_ElectricityMeters,0),ROUNDUP(COLUMN()/3,0)-2))</f>
        <v/>
      </c>
      <c r="AX456" s="127"/>
      <c r="AY456" s="137"/>
    </row>
    <row r="457" spans="1:51" x14ac:dyDescent="0.3">
      <c r="A457" s="126"/>
      <c r="B457" s="133"/>
      <c r="C457" s="134"/>
      <c r="D457" s="134"/>
      <c r="E457" s="135"/>
      <c r="F457" s="136"/>
      <c r="G457" s="58" t="str" cm="1">
        <f>IF(ISBLANK($A457),"",INDEX(Array_ElectricalCharges,MATCH($A457,List_ElectricityMeters,0),ROUNDUP(COLUMN()/3,0)-2))</f>
        <v/>
      </c>
      <c r="H457" s="127"/>
      <c r="I457" s="137"/>
      <c r="J457" s="58" t="str" cm="1">
        <f>IF(ISBLANK($A457),"",INDEX(Array_ElectricalCharges,MATCH($A457,List_ElectricityMeters,0),ROUNDUP(COLUMN()/3,0)-2))</f>
        <v/>
      </c>
      <c r="K457" s="127"/>
      <c r="L457" s="137"/>
      <c r="M457" s="58" t="str" cm="1">
        <f>IF(ISBLANK($A457),"",INDEX(Array_ElectricalCharges,MATCH($A457,List_ElectricityMeters,0),ROUNDUP(COLUMN()/3,0)-2))</f>
        <v/>
      </c>
      <c r="N457" s="127"/>
      <c r="O457" s="137"/>
      <c r="P457" s="58" t="str" cm="1">
        <f>IF(ISBLANK($A457),"",INDEX(Array_ElectricalCharges,MATCH($A457,List_ElectricityMeters,0),ROUNDUP(COLUMN()/3,0)-2))</f>
        <v/>
      </c>
      <c r="Q457" s="127"/>
      <c r="R457" s="137"/>
      <c r="S457" s="58" t="str" cm="1">
        <f>IF(ISBLANK($A457),"",INDEX(Array_ElectricalCharges,MATCH($A457,List_ElectricityMeters,0),ROUNDUP(COLUMN()/3,0)-2))</f>
        <v/>
      </c>
      <c r="T457" s="127"/>
      <c r="U457" s="137"/>
      <c r="V457" s="58" t="str" cm="1">
        <f>IF(ISBLANK($A457),"",INDEX(Array_ElectricalCharges,MATCH($A457,List_ElectricityMeters,0),ROUNDUP(COLUMN()/3,0)-2))</f>
        <v/>
      </c>
      <c r="W457" s="127"/>
      <c r="X457" s="137"/>
      <c r="Y457" s="58" t="str" cm="1">
        <f>IF(ISBLANK($A457),"",INDEX(Array_ElectricalCharges,MATCH($A457,List_ElectricityMeters,0),ROUNDUP(COLUMN()/3,0)-2))</f>
        <v/>
      </c>
      <c r="Z457" s="127"/>
      <c r="AA457" s="137"/>
      <c r="AB457" s="58" t="str" cm="1">
        <f>IF(ISBLANK($A457),"",INDEX(Array_ElectricalCharges,MATCH($A457,List_ElectricityMeters,0),ROUNDUP(COLUMN()/3,0)-2))</f>
        <v/>
      </c>
      <c r="AC457" s="127"/>
      <c r="AD457" s="137"/>
      <c r="AE457" s="58" t="str" cm="1">
        <f>IF(ISBLANK($A457),"",INDEX(Array_ElectricalCharges,MATCH($A457,List_ElectricityMeters,0),ROUNDUP(COLUMN()/3,0)-2))</f>
        <v/>
      </c>
      <c r="AF457" s="127"/>
      <c r="AG457" s="137"/>
      <c r="AH457" s="58" t="str" cm="1">
        <f>IF(ISBLANK($A457),"",INDEX(Array_ElectricalCharges,MATCH($A457,List_ElectricityMeters,0),ROUNDUP(COLUMN()/3,0)-2))</f>
        <v/>
      </c>
      <c r="AI457" s="127"/>
      <c r="AJ457" s="137"/>
      <c r="AK457" s="58" t="str" cm="1">
        <f>IF(ISBLANK($A457),"",INDEX(Array_ElectricalCharges,MATCH($A457,List_ElectricityMeters,0),ROUNDUP(COLUMN()/3,0)-2))</f>
        <v/>
      </c>
      <c r="AL457" s="127"/>
      <c r="AM457" s="137"/>
      <c r="AN457" s="58" t="str" cm="1">
        <f>IF(ISBLANK($A457),"",INDEX(Array_ElectricalCharges,MATCH($A457,List_ElectricityMeters,0),ROUNDUP(COLUMN()/3,0)-2))</f>
        <v/>
      </c>
      <c r="AO457" s="127"/>
      <c r="AP457" s="137"/>
      <c r="AQ457" s="58" t="str" cm="1">
        <f>IF(ISBLANK($A457),"",INDEX(Array_ElectricalCharges,MATCH($A457,List_ElectricityMeters,0),ROUNDUP(COLUMN()/3,0)-2))</f>
        <v/>
      </c>
      <c r="AR457" s="127"/>
      <c r="AS457" s="137"/>
      <c r="AT457" s="58" t="str" cm="1">
        <f>IF(ISBLANK($A457),"",INDEX(Array_ElectricalCharges,MATCH($A457,List_ElectricityMeters,0),ROUNDUP(COLUMN()/3,0)-2))</f>
        <v/>
      </c>
      <c r="AU457" s="127"/>
      <c r="AV457" s="137"/>
      <c r="AW457" s="58" t="str" cm="1">
        <f>IF(ISBLANK($A457),"",INDEX(Array_ElectricalCharges,MATCH($A457,List_ElectricityMeters,0),ROUNDUP(COLUMN()/3,0)-2))</f>
        <v/>
      </c>
      <c r="AX457" s="127"/>
      <c r="AY457" s="137"/>
    </row>
    <row r="458" spans="1:51" x14ac:dyDescent="0.3">
      <c r="A458" s="126"/>
      <c r="B458" s="133"/>
      <c r="C458" s="134"/>
      <c r="D458" s="134"/>
      <c r="E458" s="135"/>
      <c r="F458" s="136"/>
      <c r="G458" s="58" t="str" cm="1">
        <f>IF(ISBLANK($A458),"",INDEX(Array_ElectricalCharges,MATCH($A458,List_ElectricityMeters,0),ROUNDUP(COLUMN()/3,0)-2))</f>
        <v/>
      </c>
      <c r="H458" s="127"/>
      <c r="I458" s="137"/>
      <c r="J458" s="58" t="str" cm="1">
        <f>IF(ISBLANK($A458),"",INDEX(Array_ElectricalCharges,MATCH($A458,List_ElectricityMeters,0),ROUNDUP(COLUMN()/3,0)-2))</f>
        <v/>
      </c>
      <c r="K458" s="127"/>
      <c r="L458" s="137"/>
      <c r="M458" s="58" t="str" cm="1">
        <f>IF(ISBLANK($A458),"",INDEX(Array_ElectricalCharges,MATCH($A458,List_ElectricityMeters,0),ROUNDUP(COLUMN()/3,0)-2))</f>
        <v/>
      </c>
      <c r="N458" s="127"/>
      <c r="O458" s="137"/>
      <c r="P458" s="58" t="str" cm="1">
        <f>IF(ISBLANK($A458),"",INDEX(Array_ElectricalCharges,MATCH($A458,List_ElectricityMeters,0),ROUNDUP(COLUMN()/3,0)-2))</f>
        <v/>
      </c>
      <c r="Q458" s="127"/>
      <c r="R458" s="137"/>
      <c r="S458" s="58" t="str" cm="1">
        <f>IF(ISBLANK($A458),"",INDEX(Array_ElectricalCharges,MATCH($A458,List_ElectricityMeters,0),ROUNDUP(COLUMN()/3,0)-2))</f>
        <v/>
      </c>
      <c r="T458" s="127"/>
      <c r="U458" s="137"/>
      <c r="V458" s="58" t="str" cm="1">
        <f>IF(ISBLANK($A458),"",INDEX(Array_ElectricalCharges,MATCH($A458,List_ElectricityMeters,0),ROUNDUP(COLUMN()/3,0)-2))</f>
        <v/>
      </c>
      <c r="W458" s="127"/>
      <c r="X458" s="137"/>
      <c r="Y458" s="58" t="str" cm="1">
        <f>IF(ISBLANK($A458),"",INDEX(Array_ElectricalCharges,MATCH($A458,List_ElectricityMeters,0),ROUNDUP(COLUMN()/3,0)-2))</f>
        <v/>
      </c>
      <c r="Z458" s="127"/>
      <c r="AA458" s="137"/>
      <c r="AB458" s="58" t="str" cm="1">
        <f>IF(ISBLANK($A458),"",INDEX(Array_ElectricalCharges,MATCH($A458,List_ElectricityMeters,0),ROUNDUP(COLUMN()/3,0)-2))</f>
        <v/>
      </c>
      <c r="AC458" s="127"/>
      <c r="AD458" s="137"/>
      <c r="AE458" s="58" t="str" cm="1">
        <f>IF(ISBLANK($A458),"",INDEX(Array_ElectricalCharges,MATCH($A458,List_ElectricityMeters,0),ROUNDUP(COLUMN()/3,0)-2))</f>
        <v/>
      </c>
      <c r="AF458" s="127"/>
      <c r="AG458" s="137"/>
      <c r="AH458" s="58" t="str" cm="1">
        <f>IF(ISBLANK($A458),"",INDEX(Array_ElectricalCharges,MATCH($A458,List_ElectricityMeters,0),ROUNDUP(COLUMN()/3,0)-2))</f>
        <v/>
      </c>
      <c r="AI458" s="127"/>
      <c r="AJ458" s="137"/>
      <c r="AK458" s="58" t="str" cm="1">
        <f>IF(ISBLANK($A458),"",INDEX(Array_ElectricalCharges,MATCH($A458,List_ElectricityMeters,0),ROUNDUP(COLUMN()/3,0)-2))</f>
        <v/>
      </c>
      <c r="AL458" s="127"/>
      <c r="AM458" s="137"/>
      <c r="AN458" s="58" t="str" cm="1">
        <f>IF(ISBLANK($A458),"",INDEX(Array_ElectricalCharges,MATCH($A458,List_ElectricityMeters,0),ROUNDUP(COLUMN()/3,0)-2))</f>
        <v/>
      </c>
      <c r="AO458" s="127"/>
      <c r="AP458" s="137"/>
      <c r="AQ458" s="58" t="str" cm="1">
        <f>IF(ISBLANK($A458),"",INDEX(Array_ElectricalCharges,MATCH($A458,List_ElectricityMeters,0),ROUNDUP(COLUMN()/3,0)-2))</f>
        <v/>
      </c>
      <c r="AR458" s="127"/>
      <c r="AS458" s="137"/>
      <c r="AT458" s="58" t="str" cm="1">
        <f>IF(ISBLANK($A458),"",INDEX(Array_ElectricalCharges,MATCH($A458,List_ElectricityMeters,0),ROUNDUP(COLUMN()/3,0)-2))</f>
        <v/>
      </c>
      <c r="AU458" s="127"/>
      <c r="AV458" s="137"/>
      <c r="AW458" s="58" t="str" cm="1">
        <f>IF(ISBLANK($A458),"",INDEX(Array_ElectricalCharges,MATCH($A458,List_ElectricityMeters,0),ROUNDUP(COLUMN()/3,0)-2))</f>
        <v/>
      </c>
      <c r="AX458" s="127"/>
      <c r="AY458" s="137"/>
    </row>
    <row r="459" spans="1:51" x14ac:dyDescent="0.3">
      <c r="A459" s="126"/>
      <c r="B459" s="133"/>
      <c r="C459" s="134"/>
      <c r="D459" s="134"/>
      <c r="E459" s="135"/>
      <c r="F459" s="136"/>
      <c r="G459" s="58" t="str" cm="1">
        <f>IF(ISBLANK($A459),"",INDEX(Array_ElectricalCharges,MATCH($A459,List_ElectricityMeters,0),ROUNDUP(COLUMN()/3,0)-2))</f>
        <v/>
      </c>
      <c r="H459" s="127"/>
      <c r="I459" s="137"/>
      <c r="J459" s="58" t="str" cm="1">
        <f>IF(ISBLANK($A459),"",INDEX(Array_ElectricalCharges,MATCH($A459,List_ElectricityMeters,0),ROUNDUP(COLUMN()/3,0)-2))</f>
        <v/>
      </c>
      <c r="K459" s="127"/>
      <c r="L459" s="137"/>
      <c r="M459" s="58" t="str" cm="1">
        <f>IF(ISBLANK($A459),"",INDEX(Array_ElectricalCharges,MATCH($A459,List_ElectricityMeters,0),ROUNDUP(COLUMN()/3,0)-2))</f>
        <v/>
      </c>
      <c r="N459" s="127"/>
      <c r="O459" s="137"/>
      <c r="P459" s="58" t="str" cm="1">
        <f>IF(ISBLANK($A459),"",INDEX(Array_ElectricalCharges,MATCH($A459,List_ElectricityMeters,0),ROUNDUP(COLUMN()/3,0)-2))</f>
        <v/>
      </c>
      <c r="Q459" s="127"/>
      <c r="R459" s="137"/>
      <c r="S459" s="58" t="str" cm="1">
        <f>IF(ISBLANK($A459),"",INDEX(Array_ElectricalCharges,MATCH($A459,List_ElectricityMeters,0),ROUNDUP(COLUMN()/3,0)-2))</f>
        <v/>
      </c>
      <c r="T459" s="127"/>
      <c r="U459" s="137"/>
      <c r="V459" s="58" t="str" cm="1">
        <f>IF(ISBLANK($A459),"",INDEX(Array_ElectricalCharges,MATCH($A459,List_ElectricityMeters,0),ROUNDUP(COLUMN()/3,0)-2))</f>
        <v/>
      </c>
      <c r="W459" s="127"/>
      <c r="X459" s="137"/>
      <c r="Y459" s="58" t="str" cm="1">
        <f>IF(ISBLANK($A459),"",INDEX(Array_ElectricalCharges,MATCH($A459,List_ElectricityMeters,0),ROUNDUP(COLUMN()/3,0)-2))</f>
        <v/>
      </c>
      <c r="Z459" s="127"/>
      <c r="AA459" s="137"/>
      <c r="AB459" s="58" t="str" cm="1">
        <f>IF(ISBLANK($A459),"",INDEX(Array_ElectricalCharges,MATCH($A459,List_ElectricityMeters,0),ROUNDUP(COLUMN()/3,0)-2))</f>
        <v/>
      </c>
      <c r="AC459" s="127"/>
      <c r="AD459" s="137"/>
      <c r="AE459" s="58" t="str" cm="1">
        <f>IF(ISBLANK($A459),"",INDEX(Array_ElectricalCharges,MATCH($A459,List_ElectricityMeters,0),ROUNDUP(COLUMN()/3,0)-2))</f>
        <v/>
      </c>
      <c r="AF459" s="127"/>
      <c r="AG459" s="137"/>
      <c r="AH459" s="58" t="str" cm="1">
        <f>IF(ISBLANK($A459),"",INDEX(Array_ElectricalCharges,MATCH($A459,List_ElectricityMeters,0),ROUNDUP(COLUMN()/3,0)-2))</f>
        <v/>
      </c>
      <c r="AI459" s="127"/>
      <c r="AJ459" s="137"/>
      <c r="AK459" s="58" t="str" cm="1">
        <f>IF(ISBLANK($A459),"",INDEX(Array_ElectricalCharges,MATCH($A459,List_ElectricityMeters,0),ROUNDUP(COLUMN()/3,0)-2))</f>
        <v/>
      </c>
      <c r="AL459" s="127"/>
      <c r="AM459" s="137"/>
      <c r="AN459" s="58" t="str" cm="1">
        <f>IF(ISBLANK($A459),"",INDEX(Array_ElectricalCharges,MATCH($A459,List_ElectricityMeters,0),ROUNDUP(COLUMN()/3,0)-2))</f>
        <v/>
      </c>
      <c r="AO459" s="127"/>
      <c r="AP459" s="137"/>
      <c r="AQ459" s="58" t="str" cm="1">
        <f>IF(ISBLANK($A459),"",INDEX(Array_ElectricalCharges,MATCH($A459,List_ElectricityMeters,0),ROUNDUP(COLUMN()/3,0)-2))</f>
        <v/>
      </c>
      <c r="AR459" s="127"/>
      <c r="AS459" s="137"/>
      <c r="AT459" s="58" t="str" cm="1">
        <f>IF(ISBLANK($A459),"",INDEX(Array_ElectricalCharges,MATCH($A459,List_ElectricityMeters,0),ROUNDUP(COLUMN()/3,0)-2))</f>
        <v/>
      </c>
      <c r="AU459" s="127"/>
      <c r="AV459" s="137"/>
      <c r="AW459" s="58" t="str" cm="1">
        <f>IF(ISBLANK($A459),"",INDEX(Array_ElectricalCharges,MATCH($A459,List_ElectricityMeters,0),ROUNDUP(COLUMN()/3,0)-2))</f>
        <v/>
      </c>
      <c r="AX459" s="127"/>
      <c r="AY459" s="137"/>
    </row>
    <row r="460" spans="1:51" x14ac:dyDescent="0.3">
      <c r="A460" s="126"/>
      <c r="B460" s="133"/>
      <c r="C460" s="134"/>
      <c r="D460" s="134"/>
      <c r="E460" s="135"/>
      <c r="F460" s="136"/>
      <c r="G460" s="58" t="str" cm="1">
        <f>IF(ISBLANK($A460),"",INDEX(Array_ElectricalCharges,MATCH($A460,List_ElectricityMeters,0),ROUNDUP(COLUMN()/3,0)-2))</f>
        <v/>
      </c>
      <c r="H460" s="127"/>
      <c r="I460" s="137"/>
      <c r="J460" s="58" t="str" cm="1">
        <f>IF(ISBLANK($A460),"",INDEX(Array_ElectricalCharges,MATCH($A460,List_ElectricityMeters,0),ROUNDUP(COLUMN()/3,0)-2))</f>
        <v/>
      </c>
      <c r="K460" s="127"/>
      <c r="L460" s="137"/>
      <c r="M460" s="58" t="str" cm="1">
        <f>IF(ISBLANK($A460),"",INDEX(Array_ElectricalCharges,MATCH($A460,List_ElectricityMeters,0),ROUNDUP(COLUMN()/3,0)-2))</f>
        <v/>
      </c>
      <c r="N460" s="127"/>
      <c r="O460" s="137"/>
      <c r="P460" s="58" t="str" cm="1">
        <f>IF(ISBLANK($A460),"",INDEX(Array_ElectricalCharges,MATCH($A460,List_ElectricityMeters,0),ROUNDUP(COLUMN()/3,0)-2))</f>
        <v/>
      </c>
      <c r="Q460" s="127"/>
      <c r="R460" s="137"/>
      <c r="S460" s="58" t="str" cm="1">
        <f>IF(ISBLANK($A460),"",INDEX(Array_ElectricalCharges,MATCH($A460,List_ElectricityMeters,0),ROUNDUP(COLUMN()/3,0)-2))</f>
        <v/>
      </c>
      <c r="T460" s="127"/>
      <c r="U460" s="137"/>
      <c r="V460" s="58" t="str" cm="1">
        <f>IF(ISBLANK($A460),"",INDEX(Array_ElectricalCharges,MATCH($A460,List_ElectricityMeters,0),ROUNDUP(COLUMN()/3,0)-2))</f>
        <v/>
      </c>
      <c r="W460" s="127"/>
      <c r="X460" s="137"/>
      <c r="Y460" s="58" t="str" cm="1">
        <f>IF(ISBLANK($A460),"",INDEX(Array_ElectricalCharges,MATCH($A460,List_ElectricityMeters,0),ROUNDUP(COLUMN()/3,0)-2))</f>
        <v/>
      </c>
      <c r="Z460" s="127"/>
      <c r="AA460" s="137"/>
      <c r="AB460" s="58" t="str" cm="1">
        <f>IF(ISBLANK($A460),"",INDEX(Array_ElectricalCharges,MATCH($A460,List_ElectricityMeters,0),ROUNDUP(COLUMN()/3,0)-2))</f>
        <v/>
      </c>
      <c r="AC460" s="127"/>
      <c r="AD460" s="137"/>
      <c r="AE460" s="58" t="str" cm="1">
        <f>IF(ISBLANK($A460),"",INDEX(Array_ElectricalCharges,MATCH($A460,List_ElectricityMeters,0),ROUNDUP(COLUMN()/3,0)-2))</f>
        <v/>
      </c>
      <c r="AF460" s="127"/>
      <c r="AG460" s="137"/>
      <c r="AH460" s="58" t="str" cm="1">
        <f>IF(ISBLANK($A460),"",INDEX(Array_ElectricalCharges,MATCH($A460,List_ElectricityMeters,0),ROUNDUP(COLUMN()/3,0)-2))</f>
        <v/>
      </c>
      <c r="AI460" s="127"/>
      <c r="AJ460" s="137"/>
      <c r="AK460" s="58" t="str" cm="1">
        <f>IF(ISBLANK($A460),"",INDEX(Array_ElectricalCharges,MATCH($A460,List_ElectricityMeters,0),ROUNDUP(COLUMN()/3,0)-2))</f>
        <v/>
      </c>
      <c r="AL460" s="127"/>
      <c r="AM460" s="137"/>
      <c r="AN460" s="58" t="str" cm="1">
        <f>IF(ISBLANK($A460),"",INDEX(Array_ElectricalCharges,MATCH($A460,List_ElectricityMeters,0),ROUNDUP(COLUMN()/3,0)-2))</f>
        <v/>
      </c>
      <c r="AO460" s="127"/>
      <c r="AP460" s="137"/>
      <c r="AQ460" s="58" t="str" cm="1">
        <f>IF(ISBLANK($A460),"",INDEX(Array_ElectricalCharges,MATCH($A460,List_ElectricityMeters,0),ROUNDUP(COLUMN()/3,0)-2))</f>
        <v/>
      </c>
      <c r="AR460" s="127"/>
      <c r="AS460" s="137"/>
      <c r="AT460" s="58" t="str" cm="1">
        <f>IF(ISBLANK($A460),"",INDEX(Array_ElectricalCharges,MATCH($A460,List_ElectricityMeters,0),ROUNDUP(COLUMN()/3,0)-2))</f>
        <v/>
      </c>
      <c r="AU460" s="127"/>
      <c r="AV460" s="137"/>
      <c r="AW460" s="58" t="str" cm="1">
        <f>IF(ISBLANK($A460),"",INDEX(Array_ElectricalCharges,MATCH($A460,List_ElectricityMeters,0),ROUNDUP(COLUMN()/3,0)-2))</f>
        <v/>
      </c>
      <c r="AX460" s="127"/>
      <c r="AY460" s="137"/>
    </row>
    <row r="461" spans="1:51" x14ac:dyDescent="0.3">
      <c r="A461" s="126"/>
      <c r="B461" s="133"/>
      <c r="C461" s="134"/>
      <c r="D461" s="134"/>
      <c r="E461" s="135"/>
      <c r="F461" s="136"/>
      <c r="G461" s="58" t="str" cm="1">
        <f>IF(ISBLANK($A461),"",INDEX(Array_ElectricalCharges,MATCH($A461,List_ElectricityMeters,0),ROUNDUP(COLUMN()/3,0)-2))</f>
        <v/>
      </c>
      <c r="H461" s="127"/>
      <c r="I461" s="137"/>
      <c r="J461" s="58" t="str" cm="1">
        <f>IF(ISBLANK($A461),"",INDEX(Array_ElectricalCharges,MATCH($A461,List_ElectricityMeters,0),ROUNDUP(COLUMN()/3,0)-2))</f>
        <v/>
      </c>
      <c r="K461" s="127"/>
      <c r="L461" s="137"/>
      <c r="M461" s="58" t="str" cm="1">
        <f>IF(ISBLANK($A461),"",INDEX(Array_ElectricalCharges,MATCH($A461,List_ElectricityMeters,0),ROUNDUP(COLUMN()/3,0)-2))</f>
        <v/>
      </c>
      <c r="N461" s="127"/>
      <c r="O461" s="137"/>
      <c r="P461" s="58" t="str" cm="1">
        <f>IF(ISBLANK($A461),"",INDEX(Array_ElectricalCharges,MATCH($A461,List_ElectricityMeters,0),ROUNDUP(COLUMN()/3,0)-2))</f>
        <v/>
      </c>
      <c r="Q461" s="127"/>
      <c r="R461" s="137"/>
      <c r="S461" s="58" t="str" cm="1">
        <f>IF(ISBLANK($A461),"",INDEX(Array_ElectricalCharges,MATCH($A461,List_ElectricityMeters,0),ROUNDUP(COLUMN()/3,0)-2))</f>
        <v/>
      </c>
      <c r="T461" s="127"/>
      <c r="U461" s="137"/>
      <c r="V461" s="58" t="str" cm="1">
        <f>IF(ISBLANK($A461),"",INDEX(Array_ElectricalCharges,MATCH($A461,List_ElectricityMeters,0),ROUNDUP(COLUMN()/3,0)-2))</f>
        <v/>
      </c>
      <c r="W461" s="127"/>
      <c r="X461" s="137"/>
      <c r="Y461" s="58" t="str" cm="1">
        <f>IF(ISBLANK($A461),"",INDEX(Array_ElectricalCharges,MATCH($A461,List_ElectricityMeters,0),ROUNDUP(COLUMN()/3,0)-2))</f>
        <v/>
      </c>
      <c r="Z461" s="127"/>
      <c r="AA461" s="137"/>
      <c r="AB461" s="58" t="str" cm="1">
        <f>IF(ISBLANK($A461),"",INDEX(Array_ElectricalCharges,MATCH($A461,List_ElectricityMeters,0),ROUNDUP(COLUMN()/3,0)-2))</f>
        <v/>
      </c>
      <c r="AC461" s="127"/>
      <c r="AD461" s="137"/>
      <c r="AE461" s="58" t="str" cm="1">
        <f>IF(ISBLANK($A461),"",INDEX(Array_ElectricalCharges,MATCH($A461,List_ElectricityMeters,0),ROUNDUP(COLUMN()/3,0)-2))</f>
        <v/>
      </c>
      <c r="AF461" s="127"/>
      <c r="AG461" s="137"/>
      <c r="AH461" s="58" t="str" cm="1">
        <f>IF(ISBLANK($A461),"",INDEX(Array_ElectricalCharges,MATCH($A461,List_ElectricityMeters,0),ROUNDUP(COLUMN()/3,0)-2))</f>
        <v/>
      </c>
      <c r="AI461" s="127"/>
      <c r="AJ461" s="137"/>
      <c r="AK461" s="58" t="str" cm="1">
        <f>IF(ISBLANK($A461),"",INDEX(Array_ElectricalCharges,MATCH($A461,List_ElectricityMeters,0),ROUNDUP(COLUMN()/3,0)-2))</f>
        <v/>
      </c>
      <c r="AL461" s="127"/>
      <c r="AM461" s="137"/>
      <c r="AN461" s="58" t="str" cm="1">
        <f>IF(ISBLANK($A461),"",INDEX(Array_ElectricalCharges,MATCH($A461,List_ElectricityMeters,0),ROUNDUP(COLUMN()/3,0)-2))</f>
        <v/>
      </c>
      <c r="AO461" s="127"/>
      <c r="AP461" s="137"/>
      <c r="AQ461" s="58" t="str" cm="1">
        <f>IF(ISBLANK($A461),"",INDEX(Array_ElectricalCharges,MATCH($A461,List_ElectricityMeters,0),ROUNDUP(COLUMN()/3,0)-2))</f>
        <v/>
      </c>
      <c r="AR461" s="127"/>
      <c r="AS461" s="137"/>
      <c r="AT461" s="58" t="str" cm="1">
        <f>IF(ISBLANK($A461),"",INDEX(Array_ElectricalCharges,MATCH($A461,List_ElectricityMeters,0),ROUNDUP(COLUMN()/3,0)-2))</f>
        <v/>
      </c>
      <c r="AU461" s="127"/>
      <c r="AV461" s="137"/>
      <c r="AW461" s="58" t="str" cm="1">
        <f>IF(ISBLANK($A461),"",INDEX(Array_ElectricalCharges,MATCH($A461,List_ElectricityMeters,0),ROUNDUP(COLUMN()/3,0)-2))</f>
        <v/>
      </c>
      <c r="AX461" s="127"/>
      <c r="AY461" s="137"/>
    </row>
    <row r="462" spans="1:51" x14ac:dyDescent="0.3">
      <c r="A462" s="126"/>
      <c r="B462" s="133"/>
      <c r="C462" s="134"/>
      <c r="D462" s="134"/>
      <c r="E462" s="135"/>
      <c r="F462" s="136"/>
      <c r="G462" s="58" t="str" cm="1">
        <f>IF(ISBLANK($A462),"",INDEX(Array_ElectricalCharges,MATCH($A462,List_ElectricityMeters,0),ROUNDUP(COLUMN()/3,0)-2))</f>
        <v/>
      </c>
      <c r="H462" s="127"/>
      <c r="I462" s="137"/>
      <c r="J462" s="58" t="str" cm="1">
        <f>IF(ISBLANK($A462),"",INDEX(Array_ElectricalCharges,MATCH($A462,List_ElectricityMeters,0),ROUNDUP(COLUMN()/3,0)-2))</f>
        <v/>
      </c>
      <c r="K462" s="127"/>
      <c r="L462" s="137"/>
      <c r="M462" s="58" t="str" cm="1">
        <f>IF(ISBLANK($A462),"",INDEX(Array_ElectricalCharges,MATCH($A462,List_ElectricityMeters,0),ROUNDUP(COLUMN()/3,0)-2))</f>
        <v/>
      </c>
      <c r="N462" s="127"/>
      <c r="O462" s="137"/>
      <c r="P462" s="58" t="str" cm="1">
        <f>IF(ISBLANK($A462),"",INDEX(Array_ElectricalCharges,MATCH($A462,List_ElectricityMeters,0),ROUNDUP(COLUMN()/3,0)-2))</f>
        <v/>
      </c>
      <c r="Q462" s="127"/>
      <c r="R462" s="137"/>
      <c r="S462" s="58" t="str" cm="1">
        <f>IF(ISBLANK($A462),"",INDEX(Array_ElectricalCharges,MATCH($A462,List_ElectricityMeters,0),ROUNDUP(COLUMN()/3,0)-2))</f>
        <v/>
      </c>
      <c r="T462" s="127"/>
      <c r="U462" s="137"/>
      <c r="V462" s="58" t="str" cm="1">
        <f>IF(ISBLANK($A462),"",INDEX(Array_ElectricalCharges,MATCH($A462,List_ElectricityMeters,0),ROUNDUP(COLUMN()/3,0)-2))</f>
        <v/>
      </c>
      <c r="W462" s="127"/>
      <c r="X462" s="137"/>
      <c r="Y462" s="58" t="str" cm="1">
        <f>IF(ISBLANK($A462),"",INDEX(Array_ElectricalCharges,MATCH($A462,List_ElectricityMeters,0),ROUNDUP(COLUMN()/3,0)-2))</f>
        <v/>
      </c>
      <c r="Z462" s="127"/>
      <c r="AA462" s="137"/>
      <c r="AB462" s="58" t="str" cm="1">
        <f>IF(ISBLANK($A462),"",INDEX(Array_ElectricalCharges,MATCH($A462,List_ElectricityMeters,0),ROUNDUP(COLUMN()/3,0)-2))</f>
        <v/>
      </c>
      <c r="AC462" s="127"/>
      <c r="AD462" s="137"/>
      <c r="AE462" s="58" t="str" cm="1">
        <f>IF(ISBLANK($A462),"",INDEX(Array_ElectricalCharges,MATCH($A462,List_ElectricityMeters,0),ROUNDUP(COLUMN()/3,0)-2))</f>
        <v/>
      </c>
      <c r="AF462" s="127"/>
      <c r="AG462" s="137"/>
      <c r="AH462" s="58" t="str" cm="1">
        <f>IF(ISBLANK($A462),"",INDEX(Array_ElectricalCharges,MATCH($A462,List_ElectricityMeters,0),ROUNDUP(COLUMN()/3,0)-2))</f>
        <v/>
      </c>
      <c r="AI462" s="127"/>
      <c r="AJ462" s="137"/>
      <c r="AK462" s="58" t="str" cm="1">
        <f>IF(ISBLANK($A462),"",INDEX(Array_ElectricalCharges,MATCH($A462,List_ElectricityMeters,0),ROUNDUP(COLUMN()/3,0)-2))</f>
        <v/>
      </c>
      <c r="AL462" s="127"/>
      <c r="AM462" s="137"/>
      <c r="AN462" s="58" t="str" cm="1">
        <f>IF(ISBLANK($A462),"",INDEX(Array_ElectricalCharges,MATCH($A462,List_ElectricityMeters,0),ROUNDUP(COLUMN()/3,0)-2))</f>
        <v/>
      </c>
      <c r="AO462" s="127"/>
      <c r="AP462" s="137"/>
      <c r="AQ462" s="58" t="str" cm="1">
        <f>IF(ISBLANK($A462),"",INDEX(Array_ElectricalCharges,MATCH($A462,List_ElectricityMeters,0),ROUNDUP(COLUMN()/3,0)-2))</f>
        <v/>
      </c>
      <c r="AR462" s="127"/>
      <c r="AS462" s="137"/>
      <c r="AT462" s="58" t="str" cm="1">
        <f>IF(ISBLANK($A462),"",INDEX(Array_ElectricalCharges,MATCH($A462,List_ElectricityMeters,0),ROUNDUP(COLUMN()/3,0)-2))</f>
        <v/>
      </c>
      <c r="AU462" s="127"/>
      <c r="AV462" s="137"/>
      <c r="AW462" s="58" t="str" cm="1">
        <f>IF(ISBLANK($A462),"",INDEX(Array_ElectricalCharges,MATCH($A462,List_ElectricityMeters,0),ROUNDUP(COLUMN()/3,0)-2))</f>
        <v/>
      </c>
      <c r="AX462" s="127"/>
      <c r="AY462" s="137"/>
    </row>
    <row r="463" spans="1:51" x14ac:dyDescent="0.3">
      <c r="A463" s="126"/>
      <c r="B463" s="133"/>
      <c r="C463" s="134"/>
      <c r="D463" s="134"/>
      <c r="E463" s="135"/>
      <c r="F463" s="136"/>
      <c r="G463" s="58" t="str" cm="1">
        <f>IF(ISBLANK($A463),"",INDEX(Array_ElectricalCharges,MATCH($A463,List_ElectricityMeters,0),ROUNDUP(COLUMN()/3,0)-2))</f>
        <v/>
      </c>
      <c r="H463" s="127"/>
      <c r="I463" s="137"/>
      <c r="J463" s="58" t="str" cm="1">
        <f>IF(ISBLANK($A463),"",INDEX(Array_ElectricalCharges,MATCH($A463,List_ElectricityMeters,0),ROUNDUP(COLUMN()/3,0)-2))</f>
        <v/>
      </c>
      <c r="K463" s="127"/>
      <c r="L463" s="137"/>
      <c r="M463" s="58" t="str" cm="1">
        <f>IF(ISBLANK($A463),"",INDEX(Array_ElectricalCharges,MATCH($A463,List_ElectricityMeters,0),ROUNDUP(COLUMN()/3,0)-2))</f>
        <v/>
      </c>
      <c r="N463" s="127"/>
      <c r="O463" s="137"/>
      <c r="P463" s="58" t="str" cm="1">
        <f>IF(ISBLANK($A463),"",INDEX(Array_ElectricalCharges,MATCH($A463,List_ElectricityMeters,0),ROUNDUP(COLUMN()/3,0)-2))</f>
        <v/>
      </c>
      <c r="Q463" s="127"/>
      <c r="R463" s="137"/>
      <c r="S463" s="58" t="str" cm="1">
        <f>IF(ISBLANK($A463),"",INDEX(Array_ElectricalCharges,MATCH($A463,List_ElectricityMeters,0),ROUNDUP(COLUMN()/3,0)-2))</f>
        <v/>
      </c>
      <c r="T463" s="127"/>
      <c r="U463" s="137"/>
      <c r="V463" s="58" t="str" cm="1">
        <f>IF(ISBLANK($A463),"",INDEX(Array_ElectricalCharges,MATCH($A463,List_ElectricityMeters,0),ROUNDUP(COLUMN()/3,0)-2))</f>
        <v/>
      </c>
      <c r="W463" s="127"/>
      <c r="X463" s="137"/>
      <c r="Y463" s="58" t="str" cm="1">
        <f>IF(ISBLANK($A463),"",INDEX(Array_ElectricalCharges,MATCH($A463,List_ElectricityMeters,0),ROUNDUP(COLUMN()/3,0)-2))</f>
        <v/>
      </c>
      <c r="Z463" s="127"/>
      <c r="AA463" s="137"/>
      <c r="AB463" s="58" t="str" cm="1">
        <f>IF(ISBLANK($A463),"",INDEX(Array_ElectricalCharges,MATCH($A463,List_ElectricityMeters,0),ROUNDUP(COLUMN()/3,0)-2))</f>
        <v/>
      </c>
      <c r="AC463" s="127"/>
      <c r="AD463" s="137"/>
      <c r="AE463" s="58" t="str" cm="1">
        <f>IF(ISBLANK($A463),"",INDEX(Array_ElectricalCharges,MATCH($A463,List_ElectricityMeters,0),ROUNDUP(COLUMN()/3,0)-2))</f>
        <v/>
      </c>
      <c r="AF463" s="127"/>
      <c r="AG463" s="137"/>
      <c r="AH463" s="58" t="str" cm="1">
        <f>IF(ISBLANK($A463),"",INDEX(Array_ElectricalCharges,MATCH($A463,List_ElectricityMeters,0),ROUNDUP(COLUMN()/3,0)-2))</f>
        <v/>
      </c>
      <c r="AI463" s="127"/>
      <c r="AJ463" s="137"/>
      <c r="AK463" s="58" t="str" cm="1">
        <f>IF(ISBLANK($A463),"",INDEX(Array_ElectricalCharges,MATCH($A463,List_ElectricityMeters,0),ROUNDUP(COLUMN()/3,0)-2))</f>
        <v/>
      </c>
      <c r="AL463" s="127"/>
      <c r="AM463" s="137"/>
      <c r="AN463" s="58" t="str" cm="1">
        <f>IF(ISBLANK($A463),"",INDEX(Array_ElectricalCharges,MATCH($A463,List_ElectricityMeters,0),ROUNDUP(COLUMN()/3,0)-2))</f>
        <v/>
      </c>
      <c r="AO463" s="127"/>
      <c r="AP463" s="137"/>
      <c r="AQ463" s="58" t="str" cm="1">
        <f>IF(ISBLANK($A463),"",INDEX(Array_ElectricalCharges,MATCH($A463,List_ElectricityMeters,0),ROUNDUP(COLUMN()/3,0)-2))</f>
        <v/>
      </c>
      <c r="AR463" s="127"/>
      <c r="AS463" s="137"/>
      <c r="AT463" s="58" t="str" cm="1">
        <f>IF(ISBLANK($A463),"",INDEX(Array_ElectricalCharges,MATCH($A463,List_ElectricityMeters,0),ROUNDUP(COLUMN()/3,0)-2))</f>
        <v/>
      </c>
      <c r="AU463" s="127"/>
      <c r="AV463" s="137"/>
      <c r="AW463" s="58" t="str" cm="1">
        <f>IF(ISBLANK($A463),"",INDEX(Array_ElectricalCharges,MATCH($A463,List_ElectricityMeters,0),ROUNDUP(COLUMN()/3,0)-2))</f>
        <v/>
      </c>
      <c r="AX463" s="127"/>
      <c r="AY463" s="137"/>
    </row>
    <row r="464" spans="1:51" x14ac:dyDescent="0.3">
      <c r="A464" s="126"/>
      <c r="B464" s="133"/>
      <c r="C464" s="134"/>
      <c r="D464" s="134"/>
      <c r="E464" s="135"/>
      <c r="F464" s="136"/>
      <c r="G464" s="58" t="str" cm="1">
        <f>IF(ISBLANK($A464),"",INDEX(Array_ElectricalCharges,MATCH($A464,List_ElectricityMeters,0),ROUNDUP(COLUMN()/3,0)-2))</f>
        <v/>
      </c>
      <c r="H464" s="127"/>
      <c r="I464" s="137"/>
      <c r="J464" s="58" t="str" cm="1">
        <f>IF(ISBLANK($A464),"",INDEX(Array_ElectricalCharges,MATCH($A464,List_ElectricityMeters,0),ROUNDUP(COLUMN()/3,0)-2))</f>
        <v/>
      </c>
      <c r="K464" s="127"/>
      <c r="L464" s="137"/>
      <c r="M464" s="58" t="str" cm="1">
        <f>IF(ISBLANK($A464),"",INDEX(Array_ElectricalCharges,MATCH($A464,List_ElectricityMeters,0),ROUNDUP(COLUMN()/3,0)-2))</f>
        <v/>
      </c>
      <c r="N464" s="127"/>
      <c r="O464" s="137"/>
      <c r="P464" s="58" t="str" cm="1">
        <f>IF(ISBLANK($A464),"",INDEX(Array_ElectricalCharges,MATCH($A464,List_ElectricityMeters,0),ROUNDUP(COLUMN()/3,0)-2))</f>
        <v/>
      </c>
      <c r="Q464" s="127"/>
      <c r="R464" s="137"/>
      <c r="S464" s="58" t="str" cm="1">
        <f>IF(ISBLANK($A464),"",INDEX(Array_ElectricalCharges,MATCH($A464,List_ElectricityMeters,0),ROUNDUP(COLUMN()/3,0)-2))</f>
        <v/>
      </c>
      <c r="T464" s="127"/>
      <c r="U464" s="137"/>
      <c r="V464" s="58" t="str" cm="1">
        <f>IF(ISBLANK($A464),"",INDEX(Array_ElectricalCharges,MATCH($A464,List_ElectricityMeters,0),ROUNDUP(COLUMN()/3,0)-2))</f>
        <v/>
      </c>
      <c r="W464" s="127"/>
      <c r="X464" s="137"/>
      <c r="Y464" s="58" t="str" cm="1">
        <f>IF(ISBLANK($A464),"",INDEX(Array_ElectricalCharges,MATCH($A464,List_ElectricityMeters,0),ROUNDUP(COLUMN()/3,0)-2))</f>
        <v/>
      </c>
      <c r="Z464" s="127"/>
      <c r="AA464" s="137"/>
      <c r="AB464" s="58" t="str" cm="1">
        <f>IF(ISBLANK($A464),"",INDEX(Array_ElectricalCharges,MATCH($A464,List_ElectricityMeters,0),ROUNDUP(COLUMN()/3,0)-2))</f>
        <v/>
      </c>
      <c r="AC464" s="127"/>
      <c r="AD464" s="137"/>
      <c r="AE464" s="58" t="str" cm="1">
        <f>IF(ISBLANK($A464),"",INDEX(Array_ElectricalCharges,MATCH($A464,List_ElectricityMeters,0),ROUNDUP(COLUMN()/3,0)-2))</f>
        <v/>
      </c>
      <c r="AF464" s="127"/>
      <c r="AG464" s="137"/>
      <c r="AH464" s="58" t="str" cm="1">
        <f>IF(ISBLANK($A464),"",INDEX(Array_ElectricalCharges,MATCH($A464,List_ElectricityMeters,0),ROUNDUP(COLUMN()/3,0)-2))</f>
        <v/>
      </c>
      <c r="AI464" s="127"/>
      <c r="AJ464" s="137"/>
      <c r="AK464" s="58" t="str" cm="1">
        <f>IF(ISBLANK($A464),"",INDEX(Array_ElectricalCharges,MATCH($A464,List_ElectricityMeters,0),ROUNDUP(COLUMN()/3,0)-2))</f>
        <v/>
      </c>
      <c r="AL464" s="127"/>
      <c r="AM464" s="137"/>
      <c r="AN464" s="58" t="str" cm="1">
        <f>IF(ISBLANK($A464),"",INDEX(Array_ElectricalCharges,MATCH($A464,List_ElectricityMeters,0),ROUNDUP(COLUMN()/3,0)-2))</f>
        <v/>
      </c>
      <c r="AO464" s="127"/>
      <c r="AP464" s="137"/>
      <c r="AQ464" s="58" t="str" cm="1">
        <f>IF(ISBLANK($A464),"",INDEX(Array_ElectricalCharges,MATCH($A464,List_ElectricityMeters,0),ROUNDUP(COLUMN()/3,0)-2))</f>
        <v/>
      </c>
      <c r="AR464" s="127"/>
      <c r="AS464" s="137"/>
      <c r="AT464" s="58" t="str" cm="1">
        <f>IF(ISBLANK($A464),"",INDEX(Array_ElectricalCharges,MATCH($A464,List_ElectricityMeters,0),ROUNDUP(COLUMN()/3,0)-2))</f>
        <v/>
      </c>
      <c r="AU464" s="127"/>
      <c r="AV464" s="137"/>
      <c r="AW464" s="58" t="str" cm="1">
        <f>IF(ISBLANK($A464),"",INDEX(Array_ElectricalCharges,MATCH($A464,List_ElectricityMeters,0),ROUNDUP(COLUMN()/3,0)-2))</f>
        <v/>
      </c>
      <c r="AX464" s="127"/>
      <c r="AY464" s="137"/>
    </row>
    <row r="465" spans="1:51" x14ac:dyDescent="0.3">
      <c r="A465" s="126"/>
      <c r="B465" s="133"/>
      <c r="C465" s="134"/>
      <c r="D465" s="134"/>
      <c r="E465" s="135"/>
      <c r="F465" s="136"/>
      <c r="G465" s="58" t="str" cm="1">
        <f>IF(ISBLANK($A465),"",INDEX(Array_ElectricalCharges,MATCH($A465,List_ElectricityMeters,0),ROUNDUP(COLUMN()/3,0)-2))</f>
        <v/>
      </c>
      <c r="H465" s="127"/>
      <c r="I465" s="137"/>
      <c r="J465" s="58" t="str" cm="1">
        <f>IF(ISBLANK($A465),"",INDEX(Array_ElectricalCharges,MATCH($A465,List_ElectricityMeters,0),ROUNDUP(COLUMN()/3,0)-2))</f>
        <v/>
      </c>
      <c r="K465" s="127"/>
      <c r="L465" s="137"/>
      <c r="M465" s="58" t="str" cm="1">
        <f>IF(ISBLANK($A465),"",INDEX(Array_ElectricalCharges,MATCH($A465,List_ElectricityMeters,0),ROUNDUP(COLUMN()/3,0)-2))</f>
        <v/>
      </c>
      <c r="N465" s="127"/>
      <c r="O465" s="137"/>
      <c r="P465" s="58" t="str" cm="1">
        <f>IF(ISBLANK($A465),"",INDEX(Array_ElectricalCharges,MATCH($A465,List_ElectricityMeters,0),ROUNDUP(COLUMN()/3,0)-2))</f>
        <v/>
      </c>
      <c r="Q465" s="127"/>
      <c r="R465" s="137"/>
      <c r="S465" s="58" t="str" cm="1">
        <f>IF(ISBLANK($A465),"",INDEX(Array_ElectricalCharges,MATCH($A465,List_ElectricityMeters,0),ROUNDUP(COLUMN()/3,0)-2))</f>
        <v/>
      </c>
      <c r="T465" s="127"/>
      <c r="U465" s="137"/>
      <c r="V465" s="58" t="str" cm="1">
        <f>IF(ISBLANK($A465),"",INDEX(Array_ElectricalCharges,MATCH($A465,List_ElectricityMeters,0),ROUNDUP(COLUMN()/3,0)-2))</f>
        <v/>
      </c>
      <c r="W465" s="127"/>
      <c r="X465" s="137"/>
      <c r="Y465" s="58" t="str" cm="1">
        <f>IF(ISBLANK($A465),"",INDEX(Array_ElectricalCharges,MATCH($A465,List_ElectricityMeters,0),ROUNDUP(COLUMN()/3,0)-2))</f>
        <v/>
      </c>
      <c r="Z465" s="127"/>
      <c r="AA465" s="137"/>
      <c r="AB465" s="58" t="str" cm="1">
        <f>IF(ISBLANK($A465),"",INDEX(Array_ElectricalCharges,MATCH($A465,List_ElectricityMeters,0),ROUNDUP(COLUMN()/3,0)-2))</f>
        <v/>
      </c>
      <c r="AC465" s="127"/>
      <c r="AD465" s="137"/>
      <c r="AE465" s="58" t="str" cm="1">
        <f>IF(ISBLANK($A465),"",INDEX(Array_ElectricalCharges,MATCH($A465,List_ElectricityMeters,0),ROUNDUP(COLUMN()/3,0)-2))</f>
        <v/>
      </c>
      <c r="AF465" s="127"/>
      <c r="AG465" s="137"/>
      <c r="AH465" s="58" t="str" cm="1">
        <f>IF(ISBLANK($A465),"",INDEX(Array_ElectricalCharges,MATCH($A465,List_ElectricityMeters,0),ROUNDUP(COLUMN()/3,0)-2))</f>
        <v/>
      </c>
      <c r="AI465" s="127"/>
      <c r="AJ465" s="137"/>
      <c r="AK465" s="58" t="str" cm="1">
        <f>IF(ISBLANK($A465),"",INDEX(Array_ElectricalCharges,MATCH($A465,List_ElectricityMeters,0),ROUNDUP(COLUMN()/3,0)-2))</f>
        <v/>
      </c>
      <c r="AL465" s="127"/>
      <c r="AM465" s="137"/>
      <c r="AN465" s="58" t="str" cm="1">
        <f>IF(ISBLANK($A465),"",INDEX(Array_ElectricalCharges,MATCH($A465,List_ElectricityMeters,0),ROUNDUP(COLUMN()/3,0)-2))</f>
        <v/>
      </c>
      <c r="AO465" s="127"/>
      <c r="AP465" s="137"/>
      <c r="AQ465" s="58" t="str" cm="1">
        <f>IF(ISBLANK($A465),"",INDEX(Array_ElectricalCharges,MATCH($A465,List_ElectricityMeters,0),ROUNDUP(COLUMN()/3,0)-2))</f>
        <v/>
      </c>
      <c r="AR465" s="127"/>
      <c r="AS465" s="137"/>
      <c r="AT465" s="58" t="str" cm="1">
        <f>IF(ISBLANK($A465),"",INDEX(Array_ElectricalCharges,MATCH($A465,List_ElectricityMeters,0),ROUNDUP(COLUMN()/3,0)-2))</f>
        <v/>
      </c>
      <c r="AU465" s="127"/>
      <c r="AV465" s="137"/>
      <c r="AW465" s="58" t="str" cm="1">
        <f>IF(ISBLANK($A465),"",INDEX(Array_ElectricalCharges,MATCH($A465,List_ElectricityMeters,0),ROUNDUP(COLUMN()/3,0)-2))</f>
        <v/>
      </c>
      <c r="AX465" s="127"/>
      <c r="AY465" s="137"/>
    </row>
    <row r="466" spans="1:51" x14ac:dyDescent="0.3">
      <c r="A466" s="126"/>
      <c r="B466" s="133"/>
      <c r="C466" s="134"/>
      <c r="D466" s="134"/>
      <c r="E466" s="135"/>
      <c r="F466" s="136"/>
      <c r="G466" s="58" t="str" cm="1">
        <f>IF(ISBLANK($A466),"",INDEX(Array_ElectricalCharges,MATCH($A466,List_ElectricityMeters,0),ROUNDUP(COLUMN()/3,0)-2))</f>
        <v/>
      </c>
      <c r="H466" s="127"/>
      <c r="I466" s="137"/>
      <c r="J466" s="58" t="str" cm="1">
        <f>IF(ISBLANK($A466),"",INDEX(Array_ElectricalCharges,MATCH($A466,List_ElectricityMeters,0),ROUNDUP(COLUMN()/3,0)-2))</f>
        <v/>
      </c>
      <c r="K466" s="127"/>
      <c r="L466" s="137"/>
      <c r="M466" s="58" t="str" cm="1">
        <f>IF(ISBLANK($A466),"",INDEX(Array_ElectricalCharges,MATCH($A466,List_ElectricityMeters,0),ROUNDUP(COLUMN()/3,0)-2))</f>
        <v/>
      </c>
      <c r="N466" s="127"/>
      <c r="O466" s="137"/>
      <c r="P466" s="58" t="str" cm="1">
        <f>IF(ISBLANK($A466),"",INDEX(Array_ElectricalCharges,MATCH($A466,List_ElectricityMeters,0),ROUNDUP(COLUMN()/3,0)-2))</f>
        <v/>
      </c>
      <c r="Q466" s="127"/>
      <c r="R466" s="137"/>
      <c r="S466" s="58" t="str" cm="1">
        <f>IF(ISBLANK($A466),"",INDEX(Array_ElectricalCharges,MATCH($A466,List_ElectricityMeters,0),ROUNDUP(COLUMN()/3,0)-2))</f>
        <v/>
      </c>
      <c r="T466" s="127"/>
      <c r="U466" s="137"/>
      <c r="V466" s="58" t="str" cm="1">
        <f>IF(ISBLANK($A466),"",INDEX(Array_ElectricalCharges,MATCH($A466,List_ElectricityMeters,0),ROUNDUP(COLUMN()/3,0)-2))</f>
        <v/>
      </c>
      <c r="W466" s="127"/>
      <c r="X466" s="137"/>
      <c r="Y466" s="58" t="str" cm="1">
        <f>IF(ISBLANK($A466),"",INDEX(Array_ElectricalCharges,MATCH($A466,List_ElectricityMeters,0),ROUNDUP(COLUMN()/3,0)-2))</f>
        <v/>
      </c>
      <c r="Z466" s="127"/>
      <c r="AA466" s="137"/>
      <c r="AB466" s="58" t="str" cm="1">
        <f>IF(ISBLANK($A466),"",INDEX(Array_ElectricalCharges,MATCH($A466,List_ElectricityMeters,0),ROUNDUP(COLUMN()/3,0)-2))</f>
        <v/>
      </c>
      <c r="AC466" s="127"/>
      <c r="AD466" s="137"/>
      <c r="AE466" s="58" t="str" cm="1">
        <f>IF(ISBLANK($A466),"",INDEX(Array_ElectricalCharges,MATCH($A466,List_ElectricityMeters,0),ROUNDUP(COLUMN()/3,0)-2))</f>
        <v/>
      </c>
      <c r="AF466" s="127"/>
      <c r="AG466" s="137"/>
      <c r="AH466" s="58" t="str" cm="1">
        <f>IF(ISBLANK($A466),"",INDEX(Array_ElectricalCharges,MATCH($A466,List_ElectricityMeters,0),ROUNDUP(COLUMN()/3,0)-2))</f>
        <v/>
      </c>
      <c r="AI466" s="127"/>
      <c r="AJ466" s="137"/>
      <c r="AK466" s="58" t="str" cm="1">
        <f>IF(ISBLANK($A466),"",INDEX(Array_ElectricalCharges,MATCH($A466,List_ElectricityMeters,0),ROUNDUP(COLUMN()/3,0)-2))</f>
        <v/>
      </c>
      <c r="AL466" s="127"/>
      <c r="AM466" s="137"/>
      <c r="AN466" s="58" t="str" cm="1">
        <f>IF(ISBLANK($A466),"",INDEX(Array_ElectricalCharges,MATCH($A466,List_ElectricityMeters,0),ROUNDUP(COLUMN()/3,0)-2))</f>
        <v/>
      </c>
      <c r="AO466" s="127"/>
      <c r="AP466" s="137"/>
      <c r="AQ466" s="58" t="str" cm="1">
        <f>IF(ISBLANK($A466),"",INDEX(Array_ElectricalCharges,MATCH($A466,List_ElectricityMeters,0),ROUNDUP(COLUMN()/3,0)-2))</f>
        <v/>
      </c>
      <c r="AR466" s="127"/>
      <c r="AS466" s="137"/>
      <c r="AT466" s="58" t="str" cm="1">
        <f>IF(ISBLANK($A466),"",INDEX(Array_ElectricalCharges,MATCH($A466,List_ElectricityMeters,0),ROUNDUP(COLUMN()/3,0)-2))</f>
        <v/>
      </c>
      <c r="AU466" s="127"/>
      <c r="AV466" s="137"/>
      <c r="AW466" s="58" t="str" cm="1">
        <f>IF(ISBLANK($A466),"",INDEX(Array_ElectricalCharges,MATCH($A466,List_ElectricityMeters,0),ROUNDUP(COLUMN()/3,0)-2))</f>
        <v/>
      </c>
      <c r="AX466" s="127"/>
      <c r="AY466" s="137"/>
    </row>
    <row r="467" spans="1:51" x14ac:dyDescent="0.3">
      <c r="A467" s="126"/>
      <c r="B467" s="133"/>
      <c r="C467" s="134"/>
      <c r="D467" s="134"/>
      <c r="E467" s="135"/>
      <c r="F467" s="136"/>
      <c r="G467" s="58" t="str" cm="1">
        <f>IF(ISBLANK($A467),"",INDEX(Array_ElectricalCharges,MATCH($A467,List_ElectricityMeters,0),ROUNDUP(COLUMN()/3,0)-2))</f>
        <v/>
      </c>
      <c r="H467" s="127"/>
      <c r="I467" s="137"/>
      <c r="J467" s="58" t="str" cm="1">
        <f>IF(ISBLANK($A467),"",INDEX(Array_ElectricalCharges,MATCH($A467,List_ElectricityMeters,0),ROUNDUP(COLUMN()/3,0)-2))</f>
        <v/>
      </c>
      <c r="K467" s="127"/>
      <c r="L467" s="137"/>
      <c r="M467" s="58" t="str" cm="1">
        <f>IF(ISBLANK($A467),"",INDEX(Array_ElectricalCharges,MATCH($A467,List_ElectricityMeters,0),ROUNDUP(COLUMN()/3,0)-2))</f>
        <v/>
      </c>
      <c r="N467" s="127"/>
      <c r="O467" s="137"/>
      <c r="P467" s="58" t="str" cm="1">
        <f>IF(ISBLANK($A467),"",INDEX(Array_ElectricalCharges,MATCH($A467,List_ElectricityMeters,0),ROUNDUP(COLUMN()/3,0)-2))</f>
        <v/>
      </c>
      <c r="Q467" s="127"/>
      <c r="R467" s="137"/>
      <c r="S467" s="58" t="str" cm="1">
        <f>IF(ISBLANK($A467),"",INDEX(Array_ElectricalCharges,MATCH($A467,List_ElectricityMeters,0),ROUNDUP(COLUMN()/3,0)-2))</f>
        <v/>
      </c>
      <c r="T467" s="127"/>
      <c r="U467" s="137"/>
      <c r="V467" s="58" t="str" cm="1">
        <f>IF(ISBLANK($A467),"",INDEX(Array_ElectricalCharges,MATCH($A467,List_ElectricityMeters,0),ROUNDUP(COLUMN()/3,0)-2))</f>
        <v/>
      </c>
      <c r="W467" s="127"/>
      <c r="X467" s="137"/>
      <c r="Y467" s="58" t="str" cm="1">
        <f>IF(ISBLANK($A467),"",INDEX(Array_ElectricalCharges,MATCH($A467,List_ElectricityMeters,0),ROUNDUP(COLUMN()/3,0)-2))</f>
        <v/>
      </c>
      <c r="Z467" s="127"/>
      <c r="AA467" s="137"/>
      <c r="AB467" s="58" t="str" cm="1">
        <f>IF(ISBLANK($A467),"",INDEX(Array_ElectricalCharges,MATCH($A467,List_ElectricityMeters,0),ROUNDUP(COLUMN()/3,0)-2))</f>
        <v/>
      </c>
      <c r="AC467" s="127"/>
      <c r="AD467" s="137"/>
      <c r="AE467" s="58" t="str" cm="1">
        <f>IF(ISBLANK($A467),"",INDEX(Array_ElectricalCharges,MATCH($A467,List_ElectricityMeters,0),ROUNDUP(COLUMN()/3,0)-2))</f>
        <v/>
      </c>
      <c r="AF467" s="127"/>
      <c r="AG467" s="137"/>
      <c r="AH467" s="58" t="str" cm="1">
        <f>IF(ISBLANK($A467),"",INDEX(Array_ElectricalCharges,MATCH($A467,List_ElectricityMeters,0),ROUNDUP(COLUMN()/3,0)-2))</f>
        <v/>
      </c>
      <c r="AI467" s="127"/>
      <c r="AJ467" s="137"/>
      <c r="AK467" s="58" t="str" cm="1">
        <f>IF(ISBLANK($A467),"",INDEX(Array_ElectricalCharges,MATCH($A467,List_ElectricityMeters,0),ROUNDUP(COLUMN()/3,0)-2))</f>
        <v/>
      </c>
      <c r="AL467" s="127"/>
      <c r="AM467" s="137"/>
      <c r="AN467" s="58" t="str" cm="1">
        <f>IF(ISBLANK($A467),"",INDEX(Array_ElectricalCharges,MATCH($A467,List_ElectricityMeters,0),ROUNDUP(COLUMN()/3,0)-2))</f>
        <v/>
      </c>
      <c r="AO467" s="127"/>
      <c r="AP467" s="137"/>
      <c r="AQ467" s="58" t="str" cm="1">
        <f>IF(ISBLANK($A467),"",INDEX(Array_ElectricalCharges,MATCH($A467,List_ElectricityMeters,0),ROUNDUP(COLUMN()/3,0)-2))</f>
        <v/>
      </c>
      <c r="AR467" s="127"/>
      <c r="AS467" s="137"/>
      <c r="AT467" s="58" t="str" cm="1">
        <f>IF(ISBLANK($A467),"",INDEX(Array_ElectricalCharges,MATCH($A467,List_ElectricityMeters,0),ROUNDUP(COLUMN()/3,0)-2))</f>
        <v/>
      </c>
      <c r="AU467" s="127"/>
      <c r="AV467" s="137"/>
      <c r="AW467" s="58" t="str" cm="1">
        <f>IF(ISBLANK($A467),"",INDEX(Array_ElectricalCharges,MATCH($A467,List_ElectricityMeters,0),ROUNDUP(COLUMN()/3,0)-2))</f>
        <v/>
      </c>
      <c r="AX467" s="127"/>
      <c r="AY467" s="137"/>
    </row>
    <row r="468" spans="1:51" x14ac:dyDescent="0.3">
      <c r="A468" s="126"/>
      <c r="B468" s="133"/>
      <c r="C468" s="134"/>
      <c r="D468" s="134"/>
      <c r="E468" s="135"/>
      <c r="F468" s="136"/>
      <c r="G468" s="58" t="str" cm="1">
        <f>IF(ISBLANK($A468),"",INDEX(Array_ElectricalCharges,MATCH($A468,List_ElectricityMeters,0),ROUNDUP(COLUMN()/3,0)-2))</f>
        <v/>
      </c>
      <c r="H468" s="127"/>
      <c r="I468" s="137"/>
      <c r="J468" s="58" t="str" cm="1">
        <f>IF(ISBLANK($A468),"",INDEX(Array_ElectricalCharges,MATCH($A468,List_ElectricityMeters,0),ROUNDUP(COLUMN()/3,0)-2))</f>
        <v/>
      </c>
      <c r="K468" s="127"/>
      <c r="L468" s="137"/>
      <c r="M468" s="58" t="str" cm="1">
        <f>IF(ISBLANK($A468),"",INDEX(Array_ElectricalCharges,MATCH($A468,List_ElectricityMeters,0),ROUNDUP(COLUMN()/3,0)-2))</f>
        <v/>
      </c>
      <c r="N468" s="127"/>
      <c r="O468" s="137"/>
      <c r="P468" s="58" t="str" cm="1">
        <f>IF(ISBLANK($A468),"",INDEX(Array_ElectricalCharges,MATCH($A468,List_ElectricityMeters,0),ROUNDUP(COLUMN()/3,0)-2))</f>
        <v/>
      </c>
      <c r="Q468" s="127"/>
      <c r="R468" s="137"/>
      <c r="S468" s="58" t="str" cm="1">
        <f>IF(ISBLANK($A468),"",INDEX(Array_ElectricalCharges,MATCH($A468,List_ElectricityMeters,0),ROUNDUP(COLUMN()/3,0)-2))</f>
        <v/>
      </c>
      <c r="T468" s="127"/>
      <c r="U468" s="137"/>
      <c r="V468" s="58" t="str" cm="1">
        <f>IF(ISBLANK($A468),"",INDEX(Array_ElectricalCharges,MATCH($A468,List_ElectricityMeters,0),ROUNDUP(COLUMN()/3,0)-2))</f>
        <v/>
      </c>
      <c r="W468" s="127"/>
      <c r="X468" s="137"/>
      <c r="Y468" s="58" t="str" cm="1">
        <f>IF(ISBLANK($A468),"",INDEX(Array_ElectricalCharges,MATCH($A468,List_ElectricityMeters,0),ROUNDUP(COLUMN()/3,0)-2))</f>
        <v/>
      </c>
      <c r="Z468" s="127"/>
      <c r="AA468" s="137"/>
      <c r="AB468" s="58" t="str" cm="1">
        <f>IF(ISBLANK($A468),"",INDEX(Array_ElectricalCharges,MATCH($A468,List_ElectricityMeters,0),ROUNDUP(COLUMN()/3,0)-2))</f>
        <v/>
      </c>
      <c r="AC468" s="127"/>
      <c r="AD468" s="137"/>
      <c r="AE468" s="58" t="str" cm="1">
        <f>IF(ISBLANK($A468),"",INDEX(Array_ElectricalCharges,MATCH($A468,List_ElectricityMeters,0),ROUNDUP(COLUMN()/3,0)-2))</f>
        <v/>
      </c>
      <c r="AF468" s="127"/>
      <c r="AG468" s="137"/>
      <c r="AH468" s="58" t="str" cm="1">
        <f>IF(ISBLANK($A468),"",INDEX(Array_ElectricalCharges,MATCH($A468,List_ElectricityMeters,0),ROUNDUP(COLUMN()/3,0)-2))</f>
        <v/>
      </c>
      <c r="AI468" s="127"/>
      <c r="AJ468" s="137"/>
      <c r="AK468" s="58" t="str" cm="1">
        <f>IF(ISBLANK($A468),"",INDEX(Array_ElectricalCharges,MATCH($A468,List_ElectricityMeters,0),ROUNDUP(COLUMN()/3,0)-2))</f>
        <v/>
      </c>
      <c r="AL468" s="127"/>
      <c r="AM468" s="137"/>
      <c r="AN468" s="58" t="str" cm="1">
        <f>IF(ISBLANK($A468),"",INDEX(Array_ElectricalCharges,MATCH($A468,List_ElectricityMeters,0),ROUNDUP(COLUMN()/3,0)-2))</f>
        <v/>
      </c>
      <c r="AO468" s="127"/>
      <c r="AP468" s="137"/>
      <c r="AQ468" s="58" t="str" cm="1">
        <f>IF(ISBLANK($A468),"",INDEX(Array_ElectricalCharges,MATCH($A468,List_ElectricityMeters,0),ROUNDUP(COLUMN()/3,0)-2))</f>
        <v/>
      </c>
      <c r="AR468" s="127"/>
      <c r="AS468" s="137"/>
      <c r="AT468" s="58" t="str" cm="1">
        <f>IF(ISBLANK($A468),"",INDEX(Array_ElectricalCharges,MATCH($A468,List_ElectricityMeters,0),ROUNDUP(COLUMN()/3,0)-2))</f>
        <v/>
      </c>
      <c r="AU468" s="127"/>
      <c r="AV468" s="137"/>
      <c r="AW468" s="58" t="str" cm="1">
        <f>IF(ISBLANK($A468),"",INDEX(Array_ElectricalCharges,MATCH($A468,List_ElectricityMeters,0),ROUNDUP(COLUMN()/3,0)-2))</f>
        <v/>
      </c>
      <c r="AX468" s="127"/>
      <c r="AY468" s="137"/>
    </row>
    <row r="469" spans="1:51" x14ac:dyDescent="0.3">
      <c r="A469" s="126"/>
      <c r="B469" s="133"/>
      <c r="C469" s="134"/>
      <c r="D469" s="134"/>
      <c r="E469" s="135"/>
      <c r="F469" s="136"/>
      <c r="G469" s="58" t="str" cm="1">
        <f>IF(ISBLANK($A469),"",INDEX(Array_ElectricalCharges,MATCH($A469,List_ElectricityMeters,0),ROUNDUP(COLUMN()/3,0)-2))</f>
        <v/>
      </c>
      <c r="H469" s="127"/>
      <c r="I469" s="137"/>
      <c r="J469" s="58" t="str" cm="1">
        <f>IF(ISBLANK($A469),"",INDEX(Array_ElectricalCharges,MATCH($A469,List_ElectricityMeters,0),ROUNDUP(COLUMN()/3,0)-2))</f>
        <v/>
      </c>
      <c r="K469" s="127"/>
      <c r="L469" s="137"/>
      <c r="M469" s="58" t="str" cm="1">
        <f>IF(ISBLANK($A469),"",INDEX(Array_ElectricalCharges,MATCH($A469,List_ElectricityMeters,0),ROUNDUP(COLUMN()/3,0)-2))</f>
        <v/>
      </c>
      <c r="N469" s="127"/>
      <c r="O469" s="137"/>
      <c r="P469" s="58" t="str" cm="1">
        <f>IF(ISBLANK($A469),"",INDEX(Array_ElectricalCharges,MATCH($A469,List_ElectricityMeters,0),ROUNDUP(COLUMN()/3,0)-2))</f>
        <v/>
      </c>
      <c r="Q469" s="127"/>
      <c r="R469" s="137"/>
      <c r="S469" s="58" t="str" cm="1">
        <f>IF(ISBLANK($A469),"",INDEX(Array_ElectricalCharges,MATCH($A469,List_ElectricityMeters,0),ROUNDUP(COLUMN()/3,0)-2))</f>
        <v/>
      </c>
      <c r="T469" s="127"/>
      <c r="U469" s="137"/>
      <c r="V469" s="58" t="str" cm="1">
        <f>IF(ISBLANK($A469),"",INDEX(Array_ElectricalCharges,MATCH($A469,List_ElectricityMeters,0),ROUNDUP(COLUMN()/3,0)-2))</f>
        <v/>
      </c>
      <c r="W469" s="127"/>
      <c r="X469" s="137"/>
      <c r="Y469" s="58" t="str" cm="1">
        <f>IF(ISBLANK($A469),"",INDEX(Array_ElectricalCharges,MATCH($A469,List_ElectricityMeters,0),ROUNDUP(COLUMN()/3,0)-2))</f>
        <v/>
      </c>
      <c r="Z469" s="127"/>
      <c r="AA469" s="137"/>
      <c r="AB469" s="58" t="str" cm="1">
        <f>IF(ISBLANK($A469),"",INDEX(Array_ElectricalCharges,MATCH($A469,List_ElectricityMeters,0),ROUNDUP(COLUMN()/3,0)-2))</f>
        <v/>
      </c>
      <c r="AC469" s="127"/>
      <c r="AD469" s="137"/>
      <c r="AE469" s="58" t="str" cm="1">
        <f>IF(ISBLANK($A469),"",INDEX(Array_ElectricalCharges,MATCH($A469,List_ElectricityMeters,0),ROUNDUP(COLUMN()/3,0)-2))</f>
        <v/>
      </c>
      <c r="AF469" s="127"/>
      <c r="AG469" s="137"/>
      <c r="AH469" s="58" t="str" cm="1">
        <f>IF(ISBLANK($A469),"",INDEX(Array_ElectricalCharges,MATCH($A469,List_ElectricityMeters,0),ROUNDUP(COLUMN()/3,0)-2))</f>
        <v/>
      </c>
      <c r="AI469" s="127"/>
      <c r="AJ469" s="137"/>
      <c r="AK469" s="58" t="str" cm="1">
        <f>IF(ISBLANK($A469),"",INDEX(Array_ElectricalCharges,MATCH($A469,List_ElectricityMeters,0),ROUNDUP(COLUMN()/3,0)-2))</f>
        <v/>
      </c>
      <c r="AL469" s="127"/>
      <c r="AM469" s="137"/>
      <c r="AN469" s="58" t="str" cm="1">
        <f>IF(ISBLANK($A469),"",INDEX(Array_ElectricalCharges,MATCH($A469,List_ElectricityMeters,0),ROUNDUP(COLUMN()/3,0)-2))</f>
        <v/>
      </c>
      <c r="AO469" s="127"/>
      <c r="AP469" s="137"/>
      <c r="AQ469" s="58" t="str" cm="1">
        <f>IF(ISBLANK($A469),"",INDEX(Array_ElectricalCharges,MATCH($A469,List_ElectricityMeters,0),ROUNDUP(COLUMN()/3,0)-2))</f>
        <v/>
      </c>
      <c r="AR469" s="127"/>
      <c r="AS469" s="137"/>
      <c r="AT469" s="58" t="str" cm="1">
        <f>IF(ISBLANK($A469),"",INDEX(Array_ElectricalCharges,MATCH($A469,List_ElectricityMeters,0),ROUNDUP(COLUMN()/3,0)-2))</f>
        <v/>
      </c>
      <c r="AU469" s="127"/>
      <c r="AV469" s="137"/>
      <c r="AW469" s="58" t="str" cm="1">
        <f>IF(ISBLANK($A469),"",INDEX(Array_ElectricalCharges,MATCH($A469,List_ElectricityMeters,0),ROUNDUP(COLUMN()/3,0)-2))</f>
        <v/>
      </c>
      <c r="AX469" s="127"/>
      <c r="AY469" s="137"/>
    </row>
    <row r="470" spans="1:51" x14ac:dyDescent="0.3">
      <c r="A470" s="126"/>
      <c r="B470" s="133"/>
      <c r="C470" s="134"/>
      <c r="D470" s="134"/>
      <c r="E470" s="135"/>
      <c r="F470" s="136"/>
      <c r="G470" s="58" t="str" cm="1">
        <f>IF(ISBLANK($A470),"",INDEX(Array_ElectricalCharges,MATCH($A470,List_ElectricityMeters,0),ROUNDUP(COLUMN()/3,0)-2))</f>
        <v/>
      </c>
      <c r="H470" s="127"/>
      <c r="I470" s="137"/>
      <c r="J470" s="58" t="str" cm="1">
        <f>IF(ISBLANK($A470),"",INDEX(Array_ElectricalCharges,MATCH($A470,List_ElectricityMeters,0),ROUNDUP(COLUMN()/3,0)-2))</f>
        <v/>
      </c>
      <c r="K470" s="127"/>
      <c r="L470" s="137"/>
      <c r="M470" s="58" t="str" cm="1">
        <f>IF(ISBLANK($A470),"",INDEX(Array_ElectricalCharges,MATCH($A470,List_ElectricityMeters,0),ROUNDUP(COLUMN()/3,0)-2))</f>
        <v/>
      </c>
      <c r="N470" s="127"/>
      <c r="O470" s="137"/>
      <c r="P470" s="58" t="str" cm="1">
        <f>IF(ISBLANK($A470),"",INDEX(Array_ElectricalCharges,MATCH($A470,List_ElectricityMeters,0),ROUNDUP(COLUMN()/3,0)-2))</f>
        <v/>
      </c>
      <c r="Q470" s="127"/>
      <c r="R470" s="137"/>
      <c r="S470" s="58" t="str" cm="1">
        <f>IF(ISBLANK($A470),"",INDEX(Array_ElectricalCharges,MATCH($A470,List_ElectricityMeters,0),ROUNDUP(COLUMN()/3,0)-2))</f>
        <v/>
      </c>
      <c r="T470" s="127"/>
      <c r="U470" s="137"/>
      <c r="V470" s="58" t="str" cm="1">
        <f>IF(ISBLANK($A470),"",INDEX(Array_ElectricalCharges,MATCH($A470,List_ElectricityMeters,0),ROUNDUP(COLUMN()/3,0)-2))</f>
        <v/>
      </c>
      <c r="W470" s="127"/>
      <c r="X470" s="137"/>
      <c r="Y470" s="58" t="str" cm="1">
        <f>IF(ISBLANK($A470),"",INDEX(Array_ElectricalCharges,MATCH($A470,List_ElectricityMeters,0),ROUNDUP(COLUMN()/3,0)-2))</f>
        <v/>
      </c>
      <c r="Z470" s="127"/>
      <c r="AA470" s="137"/>
      <c r="AB470" s="58" t="str" cm="1">
        <f>IF(ISBLANK($A470),"",INDEX(Array_ElectricalCharges,MATCH($A470,List_ElectricityMeters,0),ROUNDUP(COLUMN()/3,0)-2))</f>
        <v/>
      </c>
      <c r="AC470" s="127"/>
      <c r="AD470" s="137"/>
      <c r="AE470" s="58" t="str" cm="1">
        <f>IF(ISBLANK($A470),"",INDEX(Array_ElectricalCharges,MATCH($A470,List_ElectricityMeters,0),ROUNDUP(COLUMN()/3,0)-2))</f>
        <v/>
      </c>
      <c r="AF470" s="127"/>
      <c r="AG470" s="137"/>
      <c r="AH470" s="58" t="str" cm="1">
        <f>IF(ISBLANK($A470),"",INDEX(Array_ElectricalCharges,MATCH($A470,List_ElectricityMeters,0),ROUNDUP(COLUMN()/3,0)-2))</f>
        <v/>
      </c>
      <c r="AI470" s="127"/>
      <c r="AJ470" s="137"/>
      <c r="AK470" s="58" t="str" cm="1">
        <f>IF(ISBLANK($A470),"",INDEX(Array_ElectricalCharges,MATCH($A470,List_ElectricityMeters,0),ROUNDUP(COLUMN()/3,0)-2))</f>
        <v/>
      </c>
      <c r="AL470" s="127"/>
      <c r="AM470" s="137"/>
      <c r="AN470" s="58" t="str" cm="1">
        <f>IF(ISBLANK($A470),"",INDEX(Array_ElectricalCharges,MATCH($A470,List_ElectricityMeters,0),ROUNDUP(COLUMN()/3,0)-2))</f>
        <v/>
      </c>
      <c r="AO470" s="127"/>
      <c r="AP470" s="137"/>
      <c r="AQ470" s="58" t="str" cm="1">
        <f>IF(ISBLANK($A470),"",INDEX(Array_ElectricalCharges,MATCH($A470,List_ElectricityMeters,0),ROUNDUP(COLUMN()/3,0)-2))</f>
        <v/>
      </c>
      <c r="AR470" s="127"/>
      <c r="AS470" s="137"/>
      <c r="AT470" s="58" t="str" cm="1">
        <f>IF(ISBLANK($A470),"",INDEX(Array_ElectricalCharges,MATCH($A470,List_ElectricityMeters,0),ROUNDUP(COLUMN()/3,0)-2))</f>
        <v/>
      </c>
      <c r="AU470" s="127"/>
      <c r="AV470" s="137"/>
      <c r="AW470" s="58" t="str" cm="1">
        <f>IF(ISBLANK($A470),"",INDEX(Array_ElectricalCharges,MATCH($A470,List_ElectricityMeters,0),ROUNDUP(COLUMN()/3,0)-2))</f>
        <v/>
      </c>
      <c r="AX470" s="127"/>
      <c r="AY470" s="137"/>
    </row>
    <row r="471" spans="1:51" x14ac:dyDescent="0.3">
      <c r="A471" s="126"/>
      <c r="B471" s="133"/>
      <c r="C471" s="134"/>
      <c r="D471" s="134"/>
      <c r="E471" s="135"/>
      <c r="F471" s="136"/>
      <c r="G471" s="58" t="str" cm="1">
        <f>IF(ISBLANK($A471),"",INDEX(Array_ElectricalCharges,MATCH($A471,List_ElectricityMeters,0),ROUNDUP(COLUMN()/3,0)-2))</f>
        <v/>
      </c>
      <c r="H471" s="127"/>
      <c r="I471" s="137"/>
      <c r="J471" s="58" t="str" cm="1">
        <f>IF(ISBLANK($A471),"",INDEX(Array_ElectricalCharges,MATCH($A471,List_ElectricityMeters,0),ROUNDUP(COLUMN()/3,0)-2))</f>
        <v/>
      </c>
      <c r="K471" s="127"/>
      <c r="L471" s="137"/>
      <c r="M471" s="58" t="str" cm="1">
        <f>IF(ISBLANK($A471),"",INDEX(Array_ElectricalCharges,MATCH($A471,List_ElectricityMeters,0),ROUNDUP(COLUMN()/3,0)-2))</f>
        <v/>
      </c>
      <c r="N471" s="127"/>
      <c r="O471" s="137"/>
      <c r="P471" s="58" t="str" cm="1">
        <f>IF(ISBLANK($A471),"",INDEX(Array_ElectricalCharges,MATCH($A471,List_ElectricityMeters,0),ROUNDUP(COLUMN()/3,0)-2))</f>
        <v/>
      </c>
      <c r="Q471" s="127"/>
      <c r="R471" s="137"/>
      <c r="S471" s="58" t="str" cm="1">
        <f>IF(ISBLANK($A471),"",INDEX(Array_ElectricalCharges,MATCH($A471,List_ElectricityMeters,0),ROUNDUP(COLUMN()/3,0)-2))</f>
        <v/>
      </c>
      <c r="T471" s="127"/>
      <c r="U471" s="137"/>
      <c r="V471" s="58" t="str" cm="1">
        <f>IF(ISBLANK($A471),"",INDEX(Array_ElectricalCharges,MATCH($A471,List_ElectricityMeters,0),ROUNDUP(COLUMN()/3,0)-2))</f>
        <v/>
      </c>
      <c r="W471" s="127"/>
      <c r="X471" s="137"/>
      <c r="Y471" s="58" t="str" cm="1">
        <f>IF(ISBLANK($A471),"",INDEX(Array_ElectricalCharges,MATCH($A471,List_ElectricityMeters,0),ROUNDUP(COLUMN()/3,0)-2))</f>
        <v/>
      </c>
      <c r="Z471" s="127"/>
      <c r="AA471" s="137"/>
      <c r="AB471" s="58" t="str" cm="1">
        <f>IF(ISBLANK($A471),"",INDEX(Array_ElectricalCharges,MATCH($A471,List_ElectricityMeters,0),ROUNDUP(COLUMN()/3,0)-2))</f>
        <v/>
      </c>
      <c r="AC471" s="127"/>
      <c r="AD471" s="137"/>
      <c r="AE471" s="58" t="str" cm="1">
        <f>IF(ISBLANK($A471),"",INDEX(Array_ElectricalCharges,MATCH($A471,List_ElectricityMeters,0),ROUNDUP(COLUMN()/3,0)-2))</f>
        <v/>
      </c>
      <c r="AF471" s="127"/>
      <c r="AG471" s="137"/>
      <c r="AH471" s="58" t="str" cm="1">
        <f>IF(ISBLANK($A471),"",INDEX(Array_ElectricalCharges,MATCH($A471,List_ElectricityMeters,0),ROUNDUP(COLUMN()/3,0)-2))</f>
        <v/>
      </c>
      <c r="AI471" s="127"/>
      <c r="AJ471" s="137"/>
      <c r="AK471" s="58" t="str" cm="1">
        <f>IF(ISBLANK($A471),"",INDEX(Array_ElectricalCharges,MATCH($A471,List_ElectricityMeters,0),ROUNDUP(COLUMN()/3,0)-2))</f>
        <v/>
      </c>
      <c r="AL471" s="127"/>
      <c r="AM471" s="137"/>
      <c r="AN471" s="58" t="str" cm="1">
        <f>IF(ISBLANK($A471),"",INDEX(Array_ElectricalCharges,MATCH($A471,List_ElectricityMeters,0),ROUNDUP(COLUMN()/3,0)-2))</f>
        <v/>
      </c>
      <c r="AO471" s="127"/>
      <c r="AP471" s="137"/>
      <c r="AQ471" s="58" t="str" cm="1">
        <f>IF(ISBLANK($A471),"",INDEX(Array_ElectricalCharges,MATCH($A471,List_ElectricityMeters,0),ROUNDUP(COLUMN()/3,0)-2))</f>
        <v/>
      </c>
      <c r="AR471" s="127"/>
      <c r="AS471" s="137"/>
      <c r="AT471" s="58" t="str" cm="1">
        <f>IF(ISBLANK($A471),"",INDEX(Array_ElectricalCharges,MATCH($A471,List_ElectricityMeters,0),ROUNDUP(COLUMN()/3,0)-2))</f>
        <v/>
      </c>
      <c r="AU471" s="127"/>
      <c r="AV471" s="137"/>
      <c r="AW471" s="58" t="str" cm="1">
        <f>IF(ISBLANK($A471),"",INDEX(Array_ElectricalCharges,MATCH($A471,List_ElectricityMeters,0),ROUNDUP(COLUMN()/3,0)-2))</f>
        <v/>
      </c>
      <c r="AX471" s="127"/>
      <c r="AY471" s="137"/>
    </row>
    <row r="472" spans="1:51" x14ac:dyDescent="0.3">
      <c r="A472" s="126"/>
      <c r="B472" s="133"/>
      <c r="C472" s="134"/>
      <c r="D472" s="134"/>
      <c r="E472" s="135"/>
      <c r="F472" s="136"/>
      <c r="G472" s="58" t="str" cm="1">
        <f>IF(ISBLANK($A472),"",INDEX(Array_ElectricalCharges,MATCH($A472,List_ElectricityMeters,0),ROUNDUP(COLUMN()/3,0)-2))</f>
        <v/>
      </c>
      <c r="H472" s="127"/>
      <c r="I472" s="137"/>
      <c r="J472" s="58" t="str" cm="1">
        <f>IF(ISBLANK($A472),"",INDEX(Array_ElectricalCharges,MATCH($A472,List_ElectricityMeters,0),ROUNDUP(COLUMN()/3,0)-2))</f>
        <v/>
      </c>
      <c r="K472" s="127"/>
      <c r="L472" s="137"/>
      <c r="M472" s="58" t="str" cm="1">
        <f>IF(ISBLANK($A472),"",INDEX(Array_ElectricalCharges,MATCH($A472,List_ElectricityMeters,0),ROUNDUP(COLUMN()/3,0)-2))</f>
        <v/>
      </c>
      <c r="N472" s="127"/>
      <c r="O472" s="137"/>
      <c r="P472" s="58" t="str" cm="1">
        <f>IF(ISBLANK($A472),"",INDEX(Array_ElectricalCharges,MATCH($A472,List_ElectricityMeters,0),ROUNDUP(COLUMN()/3,0)-2))</f>
        <v/>
      </c>
      <c r="Q472" s="127"/>
      <c r="R472" s="137"/>
      <c r="S472" s="58" t="str" cm="1">
        <f>IF(ISBLANK($A472),"",INDEX(Array_ElectricalCharges,MATCH($A472,List_ElectricityMeters,0),ROUNDUP(COLUMN()/3,0)-2))</f>
        <v/>
      </c>
      <c r="T472" s="127"/>
      <c r="U472" s="137"/>
      <c r="V472" s="58" t="str" cm="1">
        <f>IF(ISBLANK($A472),"",INDEX(Array_ElectricalCharges,MATCH($A472,List_ElectricityMeters,0),ROUNDUP(COLUMN()/3,0)-2))</f>
        <v/>
      </c>
      <c r="W472" s="127"/>
      <c r="X472" s="137"/>
      <c r="Y472" s="58" t="str" cm="1">
        <f>IF(ISBLANK($A472),"",INDEX(Array_ElectricalCharges,MATCH($A472,List_ElectricityMeters,0),ROUNDUP(COLUMN()/3,0)-2))</f>
        <v/>
      </c>
      <c r="Z472" s="127"/>
      <c r="AA472" s="137"/>
      <c r="AB472" s="58" t="str" cm="1">
        <f>IF(ISBLANK($A472),"",INDEX(Array_ElectricalCharges,MATCH($A472,List_ElectricityMeters,0),ROUNDUP(COLUMN()/3,0)-2))</f>
        <v/>
      </c>
      <c r="AC472" s="127"/>
      <c r="AD472" s="137"/>
      <c r="AE472" s="58" t="str" cm="1">
        <f>IF(ISBLANK($A472),"",INDEX(Array_ElectricalCharges,MATCH($A472,List_ElectricityMeters,0),ROUNDUP(COLUMN()/3,0)-2))</f>
        <v/>
      </c>
      <c r="AF472" s="127"/>
      <c r="AG472" s="137"/>
      <c r="AH472" s="58" t="str" cm="1">
        <f>IF(ISBLANK($A472),"",INDEX(Array_ElectricalCharges,MATCH($A472,List_ElectricityMeters,0),ROUNDUP(COLUMN()/3,0)-2))</f>
        <v/>
      </c>
      <c r="AI472" s="127"/>
      <c r="AJ472" s="137"/>
      <c r="AK472" s="58" t="str" cm="1">
        <f>IF(ISBLANK($A472),"",INDEX(Array_ElectricalCharges,MATCH($A472,List_ElectricityMeters,0),ROUNDUP(COLUMN()/3,0)-2))</f>
        <v/>
      </c>
      <c r="AL472" s="127"/>
      <c r="AM472" s="137"/>
      <c r="AN472" s="58" t="str" cm="1">
        <f>IF(ISBLANK($A472),"",INDEX(Array_ElectricalCharges,MATCH($A472,List_ElectricityMeters,0),ROUNDUP(COLUMN()/3,0)-2))</f>
        <v/>
      </c>
      <c r="AO472" s="127"/>
      <c r="AP472" s="137"/>
      <c r="AQ472" s="58" t="str" cm="1">
        <f>IF(ISBLANK($A472),"",INDEX(Array_ElectricalCharges,MATCH($A472,List_ElectricityMeters,0),ROUNDUP(COLUMN()/3,0)-2))</f>
        <v/>
      </c>
      <c r="AR472" s="127"/>
      <c r="AS472" s="137"/>
      <c r="AT472" s="58" t="str" cm="1">
        <f>IF(ISBLANK($A472),"",INDEX(Array_ElectricalCharges,MATCH($A472,List_ElectricityMeters,0),ROUNDUP(COLUMN()/3,0)-2))</f>
        <v/>
      </c>
      <c r="AU472" s="127"/>
      <c r="AV472" s="137"/>
      <c r="AW472" s="58" t="str" cm="1">
        <f>IF(ISBLANK($A472),"",INDEX(Array_ElectricalCharges,MATCH($A472,List_ElectricityMeters,0),ROUNDUP(COLUMN()/3,0)-2))</f>
        <v/>
      </c>
      <c r="AX472" s="127"/>
      <c r="AY472" s="137"/>
    </row>
    <row r="473" spans="1:51" x14ac:dyDescent="0.3">
      <c r="A473" s="126"/>
      <c r="B473" s="133"/>
      <c r="C473" s="134"/>
      <c r="D473" s="134"/>
      <c r="E473" s="135"/>
      <c r="F473" s="136"/>
      <c r="G473" s="58" t="str" cm="1">
        <f>IF(ISBLANK($A473),"",INDEX(Array_ElectricalCharges,MATCH($A473,List_ElectricityMeters,0),ROUNDUP(COLUMN()/3,0)-2))</f>
        <v/>
      </c>
      <c r="H473" s="127"/>
      <c r="I473" s="137"/>
      <c r="J473" s="58" t="str" cm="1">
        <f>IF(ISBLANK($A473),"",INDEX(Array_ElectricalCharges,MATCH($A473,List_ElectricityMeters,0),ROUNDUP(COLUMN()/3,0)-2))</f>
        <v/>
      </c>
      <c r="K473" s="127"/>
      <c r="L473" s="137"/>
      <c r="M473" s="58" t="str" cm="1">
        <f>IF(ISBLANK($A473),"",INDEX(Array_ElectricalCharges,MATCH($A473,List_ElectricityMeters,0),ROUNDUP(COLUMN()/3,0)-2))</f>
        <v/>
      </c>
      <c r="N473" s="127"/>
      <c r="O473" s="137"/>
      <c r="P473" s="58" t="str" cm="1">
        <f>IF(ISBLANK($A473),"",INDEX(Array_ElectricalCharges,MATCH($A473,List_ElectricityMeters,0),ROUNDUP(COLUMN()/3,0)-2))</f>
        <v/>
      </c>
      <c r="Q473" s="127"/>
      <c r="R473" s="137"/>
      <c r="S473" s="58" t="str" cm="1">
        <f>IF(ISBLANK($A473),"",INDEX(Array_ElectricalCharges,MATCH($A473,List_ElectricityMeters,0),ROUNDUP(COLUMN()/3,0)-2))</f>
        <v/>
      </c>
      <c r="T473" s="127"/>
      <c r="U473" s="137"/>
      <c r="V473" s="58" t="str" cm="1">
        <f>IF(ISBLANK($A473),"",INDEX(Array_ElectricalCharges,MATCH($A473,List_ElectricityMeters,0),ROUNDUP(COLUMN()/3,0)-2))</f>
        <v/>
      </c>
      <c r="W473" s="127"/>
      <c r="X473" s="137"/>
      <c r="Y473" s="58" t="str" cm="1">
        <f>IF(ISBLANK($A473),"",INDEX(Array_ElectricalCharges,MATCH($A473,List_ElectricityMeters,0),ROUNDUP(COLUMN()/3,0)-2))</f>
        <v/>
      </c>
      <c r="Z473" s="127"/>
      <c r="AA473" s="137"/>
      <c r="AB473" s="58" t="str" cm="1">
        <f>IF(ISBLANK($A473),"",INDEX(Array_ElectricalCharges,MATCH($A473,List_ElectricityMeters,0),ROUNDUP(COLUMN()/3,0)-2))</f>
        <v/>
      </c>
      <c r="AC473" s="127"/>
      <c r="AD473" s="137"/>
      <c r="AE473" s="58" t="str" cm="1">
        <f>IF(ISBLANK($A473),"",INDEX(Array_ElectricalCharges,MATCH($A473,List_ElectricityMeters,0),ROUNDUP(COLUMN()/3,0)-2))</f>
        <v/>
      </c>
      <c r="AF473" s="127"/>
      <c r="AG473" s="137"/>
      <c r="AH473" s="58" t="str" cm="1">
        <f>IF(ISBLANK($A473),"",INDEX(Array_ElectricalCharges,MATCH($A473,List_ElectricityMeters,0),ROUNDUP(COLUMN()/3,0)-2))</f>
        <v/>
      </c>
      <c r="AI473" s="127"/>
      <c r="AJ473" s="137"/>
      <c r="AK473" s="58" t="str" cm="1">
        <f>IF(ISBLANK($A473),"",INDEX(Array_ElectricalCharges,MATCH($A473,List_ElectricityMeters,0),ROUNDUP(COLUMN()/3,0)-2))</f>
        <v/>
      </c>
      <c r="AL473" s="127"/>
      <c r="AM473" s="137"/>
      <c r="AN473" s="58" t="str" cm="1">
        <f>IF(ISBLANK($A473),"",INDEX(Array_ElectricalCharges,MATCH($A473,List_ElectricityMeters,0),ROUNDUP(COLUMN()/3,0)-2))</f>
        <v/>
      </c>
      <c r="AO473" s="127"/>
      <c r="AP473" s="137"/>
      <c r="AQ473" s="58" t="str" cm="1">
        <f>IF(ISBLANK($A473),"",INDEX(Array_ElectricalCharges,MATCH($A473,List_ElectricityMeters,0),ROUNDUP(COLUMN()/3,0)-2))</f>
        <v/>
      </c>
      <c r="AR473" s="127"/>
      <c r="AS473" s="137"/>
      <c r="AT473" s="58" t="str" cm="1">
        <f>IF(ISBLANK($A473),"",INDEX(Array_ElectricalCharges,MATCH($A473,List_ElectricityMeters,0),ROUNDUP(COLUMN()/3,0)-2))</f>
        <v/>
      </c>
      <c r="AU473" s="127"/>
      <c r="AV473" s="137"/>
      <c r="AW473" s="58" t="str" cm="1">
        <f>IF(ISBLANK($A473),"",INDEX(Array_ElectricalCharges,MATCH($A473,List_ElectricityMeters,0),ROUNDUP(COLUMN()/3,0)-2))</f>
        <v/>
      </c>
      <c r="AX473" s="127"/>
      <c r="AY473" s="137"/>
    </row>
    <row r="474" spans="1:51" x14ac:dyDescent="0.3">
      <c r="A474" s="126"/>
      <c r="B474" s="133"/>
      <c r="C474" s="134"/>
      <c r="D474" s="134"/>
      <c r="E474" s="135"/>
      <c r="F474" s="136"/>
      <c r="G474" s="58" t="str" cm="1">
        <f>IF(ISBLANK($A474),"",INDEX(Array_ElectricalCharges,MATCH($A474,List_ElectricityMeters,0),ROUNDUP(COLUMN()/3,0)-2))</f>
        <v/>
      </c>
      <c r="H474" s="127"/>
      <c r="I474" s="137"/>
      <c r="J474" s="58" t="str" cm="1">
        <f>IF(ISBLANK($A474),"",INDEX(Array_ElectricalCharges,MATCH($A474,List_ElectricityMeters,0),ROUNDUP(COLUMN()/3,0)-2))</f>
        <v/>
      </c>
      <c r="K474" s="127"/>
      <c r="L474" s="137"/>
      <c r="M474" s="58" t="str" cm="1">
        <f>IF(ISBLANK($A474),"",INDEX(Array_ElectricalCharges,MATCH($A474,List_ElectricityMeters,0),ROUNDUP(COLUMN()/3,0)-2))</f>
        <v/>
      </c>
      <c r="N474" s="127"/>
      <c r="O474" s="137"/>
      <c r="P474" s="58" t="str" cm="1">
        <f>IF(ISBLANK($A474),"",INDEX(Array_ElectricalCharges,MATCH($A474,List_ElectricityMeters,0),ROUNDUP(COLUMN()/3,0)-2))</f>
        <v/>
      </c>
      <c r="Q474" s="127"/>
      <c r="R474" s="137"/>
      <c r="S474" s="58" t="str" cm="1">
        <f>IF(ISBLANK($A474),"",INDEX(Array_ElectricalCharges,MATCH($A474,List_ElectricityMeters,0),ROUNDUP(COLUMN()/3,0)-2))</f>
        <v/>
      </c>
      <c r="T474" s="127"/>
      <c r="U474" s="137"/>
      <c r="V474" s="58" t="str" cm="1">
        <f>IF(ISBLANK($A474),"",INDEX(Array_ElectricalCharges,MATCH($A474,List_ElectricityMeters,0),ROUNDUP(COLUMN()/3,0)-2))</f>
        <v/>
      </c>
      <c r="W474" s="127"/>
      <c r="X474" s="137"/>
      <c r="Y474" s="58" t="str" cm="1">
        <f>IF(ISBLANK($A474),"",INDEX(Array_ElectricalCharges,MATCH($A474,List_ElectricityMeters,0),ROUNDUP(COLUMN()/3,0)-2))</f>
        <v/>
      </c>
      <c r="Z474" s="127"/>
      <c r="AA474" s="137"/>
      <c r="AB474" s="58" t="str" cm="1">
        <f>IF(ISBLANK($A474),"",INDEX(Array_ElectricalCharges,MATCH($A474,List_ElectricityMeters,0),ROUNDUP(COLUMN()/3,0)-2))</f>
        <v/>
      </c>
      <c r="AC474" s="127"/>
      <c r="AD474" s="137"/>
      <c r="AE474" s="58" t="str" cm="1">
        <f>IF(ISBLANK($A474),"",INDEX(Array_ElectricalCharges,MATCH($A474,List_ElectricityMeters,0),ROUNDUP(COLUMN()/3,0)-2))</f>
        <v/>
      </c>
      <c r="AF474" s="127"/>
      <c r="AG474" s="137"/>
      <c r="AH474" s="58" t="str" cm="1">
        <f>IF(ISBLANK($A474),"",INDEX(Array_ElectricalCharges,MATCH($A474,List_ElectricityMeters,0),ROUNDUP(COLUMN()/3,0)-2))</f>
        <v/>
      </c>
      <c r="AI474" s="127"/>
      <c r="AJ474" s="137"/>
      <c r="AK474" s="58" t="str" cm="1">
        <f>IF(ISBLANK($A474),"",INDEX(Array_ElectricalCharges,MATCH($A474,List_ElectricityMeters,0),ROUNDUP(COLUMN()/3,0)-2))</f>
        <v/>
      </c>
      <c r="AL474" s="127"/>
      <c r="AM474" s="137"/>
      <c r="AN474" s="58" t="str" cm="1">
        <f>IF(ISBLANK($A474),"",INDEX(Array_ElectricalCharges,MATCH($A474,List_ElectricityMeters,0),ROUNDUP(COLUMN()/3,0)-2))</f>
        <v/>
      </c>
      <c r="AO474" s="127"/>
      <c r="AP474" s="137"/>
      <c r="AQ474" s="58" t="str" cm="1">
        <f>IF(ISBLANK($A474),"",INDEX(Array_ElectricalCharges,MATCH($A474,List_ElectricityMeters,0),ROUNDUP(COLUMN()/3,0)-2))</f>
        <v/>
      </c>
      <c r="AR474" s="127"/>
      <c r="AS474" s="137"/>
      <c r="AT474" s="58" t="str" cm="1">
        <f>IF(ISBLANK($A474),"",INDEX(Array_ElectricalCharges,MATCH($A474,List_ElectricityMeters,0),ROUNDUP(COLUMN()/3,0)-2))</f>
        <v/>
      </c>
      <c r="AU474" s="127"/>
      <c r="AV474" s="137"/>
      <c r="AW474" s="58" t="str" cm="1">
        <f>IF(ISBLANK($A474),"",INDEX(Array_ElectricalCharges,MATCH($A474,List_ElectricityMeters,0),ROUNDUP(COLUMN()/3,0)-2))</f>
        <v/>
      </c>
      <c r="AX474" s="127"/>
      <c r="AY474" s="137"/>
    </row>
    <row r="475" spans="1:51" x14ac:dyDescent="0.3">
      <c r="A475" s="126"/>
      <c r="B475" s="133"/>
      <c r="C475" s="134"/>
      <c r="D475" s="134"/>
      <c r="E475" s="135"/>
      <c r="F475" s="136"/>
      <c r="G475" s="58" t="str" cm="1">
        <f>IF(ISBLANK($A475),"",INDEX(Array_ElectricalCharges,MATCH($A475,List_ElectricityMeters,0),ROUNDUP(COLUMN()/3,0)-2))</f>
        <v/>
      </c>
      <c r="H475" s="127"/>
      <c r="I475" s="137"/>
      <c r="J475" s="58" t="str" cm="1">
        <f>IF(ISBLANK($A475),"",INDEX(Array_ElectricalCharges,MATCH($A475,List_ElectricityMeters,0),ROUNDUP(COLUMN()/3,0)-2))</f>
        <v/>
      </c>
      <c r="K475" s="127"/>
      <c r="L475" s="137"/>
      <c r="M475" s="58" t="str" cm="1">
        <f>IF(ISBLANK($A475),"",INDEX(Array_ElectricalCharges,MATCH($A475,List_ElectricityMeters,0),ROUNDUP(COLUMN()/3,0)-2))</f>
        <v/>
      </c>
      <c r="N475" s="127"/>
      <c r="O475" s="137"/>
      <c r="P475" s="58" t="str" cm="1">
        <f>IF(ISBLANK($A475),"",INDEX(Array_ElectricalCharges,MATCH($A475,List_ElectricityMeters,0),ROUNDUP(COLUMN()/3,0)-2))</f>
        <v/>
      </c>
      <c r="Q475" s="127"/>
      <c r="R475" s="137"/>
      <c r="S475" s="58" t="str" cm="1">
        <f>IF(ISBLANK($A475),"",INDEX(Array_ElectricalCharges,MATCH($A475,List_ElectricityMeters,0),ROUNDUP(COLUMN()/3,0)-2))</f>
        <v/>
      </c>
      <c r="T475" s="127"/>
      <c r="U475" s="137"/>
      <c r="V475" s="58" t="str" cm="1">
        <f>IF(ISBLANK($A475),"",INDEX(Array_ElectricalCharges,MATCH($A475,List_ElectricityMeters,0),ROUNDUP(COLUMN()/3,0)-2))</f>
        <v/>
      </c>
      <c r="W475" s="127"/>
      <c r="X475" s="137"/>
      <c r="Y475" s="58" t="str" cm="1">
        <f>IF(ISBLANK($A475),"",INDEX(Array_ElectricalCharges,MATCH($A475,List_ElectricityMeters,0),ROUNDUP(COLUMN()/3,0)-2))</f>
        <v/>
      </c>
      <c r="Z475" s="127"/>
      <c r="AA475" s="137"/>
      <c r="AB475" s="58" t="str" cm="1">
        <f>IF(ISBLANK($A475),"",INDEX(Array_ElectricalCharges,MATCH($A475,List_ElectricityMeters,0),ROUNDUP(COLUMN()/3,0)-2))</f>
        <v/>
      </c>
      <c r="AC475" s="127"/>
      <c r="AD475" s="137"/>
      <c r="AE475" s="58" t="str" cm="1">
        <f>IF(ISBLANK($A475),"",INDEX(Array_ElectricalCharges,MATCH($A475,List_ElectricityMeters,0),ROUNDUP(COLUMN()/3,0)-2))</f>
        <v/>
      </c>
      <c r="AF475" s="127"/>
      <c r="AG475" s="137"/>
      <c r="AH475" s="58" t="str" cm="1">
        <f>IF(ISBLANK($A475),"",INDEX(Array_ElectricalCharges,MATCH($A475,List_ElectricityMeters,0),ROUNDUP(COLUMN()/3,0)-2))</f>
        <v/>
      </c>
      <c r="AI475" s="127"/>
      <c r="AJ475" s="137"/>
      <c r="AK475" s="58" t="str" cm="1">
        <f>IF(ISBLANK($A475),"",INDEX(Array_ElectricalCharges,MATCH($A475,List_ElectricityMeters,0),ROUNDUP(COLUMN()/3,0)-2))</f>
        <v/>
      </c>
      <c r="AL475" s="127"/>
      <c r="AM475" s="137"/>
      <c r="AN475" s="58" t="str" cm="1">
        <f>IF(ISBLANK($A475),"",INDEX(Array_ElectricalCharges,MATCH($A475,List_ElectricityMeters,0),ROUNDUP(COLUMN()/3,0)-2))</f>
        <v/>
      </c>
      <c r="AO475" s="127"/>
      <c r="AP475" s="137"/>
      <c r="AQ475" s="58" t="str" cm="1">
        <f>IF(ISBLANK($A475),"",INDEX(Array_ElectricalCharges,MATCH($A475,List_ElectricityMeters,0),ROUNDUP(COLUMN()/3,0)-2))</f>
        <v/>
      </c>
      <c r="AR475" s="127"/>
      <c r="AS475" s="137"/>
      <c r="AT475" s="58" t="str" cm="1">
        <f>IF(ISBLANK($A475),"",INDEX(Array_ElectricalCharges,MATCH($A475,List_ElectricityMeters,0),ROUNDUP(COLUMN()/3,0)-2))</f>
        <v/>
      </c>
      <c r="AU475" s="127"/>
      <c r="AV475" s="137"/>
      <c r="AW475" s="58" t="str" cm="1">
        <f>IF(ISBLANK($A475),"",INDEX(Array_ElectricalCharges,MATCH($A475,List_ElectricityMeters,0),ROUNDUP(COLUMN()/3,0)-2))</f>
        <v/>
      </c>
      <c r="AX475" s="127"/>
      <c r="AY475" s="137"/>
    </row>
    <row r="476" spans="1:51" x14ac:dyDescent="0.3">
      <c r="A476" s="126"/>
      <c r="B476" s="133"/>
      <c r="C476" s="134"/>
      <c r="D476" s="134"/>
      <c r="E476" s="135"/>
      <c r="F476" s="136"/>
      <c r="G476" s="58" t="str" cm="1">
        <f>IF(ISBLANK($A476),"",INDEX(Array_ElectricalCharges,MATCH($A476,List_ElectricityMeters,0),ROUNDUP(COLUMN()/3,0)-2))</f>
        <v/>
      </c>
      <c r="H476" s="127"/>
      <c r="I476" s="137"/>
      <c r="J476" s="58" t="str" cm="1">
        <f>IF(ISBLANK($A476),"",INDEX(Array_ElectricalCharges,MATCH($A476,List_ElectricityMeters,0),ROUNDUP(COLUMN()/3,0)-2))</f>
        <v/>
      </c>
      <c r="K476" s="127"/>
      <c r="L476" s="137"/>
      <c r="M476" s="58" t="str" cm="1">
        <f>IF(ISBLANK($A476),"",INDEX(Array_ElectricalCharges,MATCH($A476,List_ElectricityMeters,0),ROUNDUP(COLUMN()/3,0)-2))</f>
        <v/>
      </c>
      <c r="N476" s="127"/>
      <c r="O476" s="137"/>
      <c r="P476" s="58" t="str" cm="1">
        <f>IF(ISBLANK($A476),"",INDEX(Array_ElectricalCharges,MATCH($A476,List_ElectricityMeters,0),ROUNDUP(COLUMN()/3,0)-2))</f>
        <v/>
      </c>
      <c r="Q476" s="127"/>
      <c r="R476" s="137"/>
      <c r="S476" s="58" t="str" cm="1">
        <f>IF(ISBLANK($A476),"",INDEX(Array_ElectricalCharges,MATCH($A476,List_ElectricityMeters,0),ROUNDUP(COLUMN()/3,0)-2))</f>
        <v/>
      </c>
      <c r="T476" s="127"/>
      <c r="U476" s="137"/>
      <c r="V476" s="58" t="str" cm="1">
        <f>IF(ISBLANK($A476),"",INDEX(Array_ElectricalCharges,MATCH($A476,List_ElectricityMeters,0),ROUNDUP(COLUMN()/3,0)-2))</f>
        <v/>
      </c>
      <c r="W476" s="127"/>
      <c r="X476" s="137"/>
      <c r="Y476" s="58" t="str" cm="1">
        <f>IF(ISBLANK($A476),"",INDEX(Array_ElectricalCharges,MATCH($A476,List_ElectricityMeters,0),ROUNDUP(COLUMN()/3,0)-2))</f>
        <v/>
      </c>
      <c r="Z476" s="127"/>
      <c r="AA476" s="137"/>
      <c r="AB476" s="58" t="str" cm="1">
        <f>IF(ISBLANK($A476),"",INDEX(Array_ElectricalCharges,MATCH($A476,List_ElectricityMeters,0),ROUNDUP(COLUMN()/3,0)-2))</f>
        <v/>
      </c>
      <c r="AC476" s="127"/>
      <c r="AD476" s="137"/>
      <c r="AE476" s="58" t="str" cm="1">
        <f>IF(ISBLANK($A476),"",INDEX(Array_ElectricalCharges,MATCH($A476,List_ElectricityMeters,0),ROUNDUP(COLUMN()/3,0)-2))</f>
        <v/>
      </c>
      <c r="AF476" s="127"/>
      <c r="AG476" s="137"/>
      <c r="AH476" s="58" t="str" cm="1">
        <f>IF(ISBLANK($A476),"",INDEX(Array_ElectricalCharges,MATCH($A476,List_ElectricityMeters,0),ROUNDUP(COLUMN()/3,0)-2))</f>
        <v/>
      </c>
      <c r="AI476" s="127"/>
      <c r="AJ476" s="137"/>
      <c r="AK476" s="58" t="str" cm="1">
        <f>IF(ISBLANK($A476),"",INDEX(Array_ElectricalCharges,MATCH($A476,List_ElectricityMeters,0),ROUNDUP(COLUMN()/3,0)-2))</f>
        <v/>
      </c>
      <c r="AL476" s="127"/>
      <c r="AM476" s="137"/>
      <c r="AN476" s="58" t="str" cm="1">
        <f>IF(ISBLANK($A476),"",INDEX(Array_ElectricalCharges,MATCH($A476,List_ElectricityMeters,0),ROUNDUP(COLUMN()/3,0)-2))</f>
        <v/>
      </c>
      <c r="AO476" s="127"/>
      <c r="AP476" s="137"/>
      <c r="AQ476" s="58" t="str" cm="1">
        <f>IF(ISBLANK($A476),"",INDEX(Array_ElectricalCharges,MATCH($A476,List_ElectricityMeters,0),ROUNDUP(COLUMN()/3,0)-2))</f>
        <v/>
      </c>
      <c r="AR476" s="127"/>
      <c r="AS476" s="137"/>
      <c r="AT476" s="58" t="str" cm="1">
        <f>IF(ISBLANK($A476),"",INDEX(Array_ElectricalCharges,MATCH($A476,List_ElectricityMeters,0),ROUNDUP(COLUMN()/3,0)-2))</f>
        <v/>
      </c>
      <c r="AU476" s="127"/>
      <c r="AV476" s="137"/>
      <c r="AW476" s="58" t="str" cm="1">
        <f>IF(ISBLANK($A476),"",INDEX(Array_ElectricalCharges,MATCH($A476,List_ElectricityMeters,0),ROUNDUP(COLUMN()/3,0)-2))</f>
        <v/>
      </c>
      <c r="AX476" s="127"/>
      <c r="AY476" s="137"/>
    </row>
    <row r="477" spans="1:51" x14ac:dyDescent="0.3">
      <c r="A477" s="126"/>
      <c r="B477" s="133"/>
      <c r="C477" s="134"/>
      <c r="D477" s="134"/>
      <c r="E477" s="135"/>
      <c r="F477" s="136"/>
      <c r="G477" s="58" t="str" cm="1">
        <f>IF(ISBLANK($A477),"",INDEX(Array_ElectricalCharges,MATCH($A477,List_ElectricityMeters,0),ROUNDUP(COLUMN()/3,0)-2))</f>
        <v/>
      </c>
      <c r="H477" s="127"/>
      <c r="I477" s="137"/>
      <c r="J477" s="58" t="str" cm="1">
        <f>IF(ISBLANK($A477),"",INDEX(Array_ElectricalCharges,MATCH($A477,List_ElectricityMeters,0),ROUNDUP(COLUMN()/3,0)-2))</f>
        <v/>
      </c>
      <c r="K477" s="127"/>
      <c r="L477" s="137"/>
      <c r="M477" s="58" t="str" cm="1">
        <f>IF(ISBLANK($A477),"",INDEX(Array_ElectricalCharges,MATCH($A477,List_ElectricityMeters,0),ROUNDUP(COLUMN()/3,0)-2))</f>
        <v/>
      </c>
      <c r="N477" s="127"/>
      <c r="O477" s="137"/>
      <c r="P477" s="58" t="str" cm="1">
        <f>IF(ISBLANK($A477),"",INDEX(Array_ElectricalCharges,MATCH($A477,List_ElectricityMeters,0),ROUNDUP(COLUMN()/3,0)-2))</f>
        <v/>
      </c>
      <c r="Q477" s="127"/>
      <c r="R477" s="137"/>
      <c r="S477" s="58" t="str" cm="1">
        <f>IF(ISBLANK($A477),"",INDEX(Array_ElectricalCharges,MATCH($A477,List_ElectricityMeters,0),ROUNDUP(COLUMN()/3,0)-2))</f>
        <v/>
      </c>
      <c r="T477" s="127"/>
      <c r="U477" s="137"/>
      <c r="V477" s="58" t="str" cm="1">
        <f>IF(ISBLANK($A477),"",INDEX(Array_ElectricalCharges,MATCH($A477,List_ElectricityMeters,0),ROUNDUP(COLUMN()/3,0)-2))</f>
        <v/>
      </c>
      <c r="W477" s="127"/>
      <c r="X477" s="137"/>
      <c r="Y477" s="58" t="str" cm="1">
        <f>IF(ISBLANK($A477),"",INDEX(Array_ElectricalCharges,MATCH($A477,List_ElectricityMeters,0),ROUNDUP(COLUMN()/3,0)-2))</f>
        <v/>
      </c>
      <c r="Z477" s="127"/>
      <c r="AA477" s="137"/>
      <c r="AB477" s="58" t="str" cm="1">
        <f>IF(ISBLANK($A477),"",INDEX(Array_ElectricalCharges,MATCH($A477,List_ElectricityMeters,0),ROUNDUP(COLUMN()/3,0)-2))</f>
        <v/>
      </c>
      <c r="AC477" s="127"/>
      <c r="AD477" s="137"/>
      <c r="AE477" s="58" t="str" cm="1">
        <f>IF(ISBLANK($A477),"",INDEX(Array_ElectricalCharges,MATCH($A477,List_ElectricityMeters,0),ROUNDUP(COLUMN()/3,0)-2))</f>
        <v/>
      </c>
      <c r="AF477" s="127"/>
      <c r="AG477" s="137"/>
      <c r="AH477" s="58" t="str" cm="1">
        <f>IF(ISBLANK($A477),"",INDEX(Array_ElectricalCharges,MATCH($A477,List_ElectricityMeters,0),ROUNDUP(COLUMN()/3,0)-2))</f>
        <v/>
      </c>
      <c r="AI477" s="127"/>
      <c r="AJ477" s="137"/>
      <c r="AK477" s="58" t="str" cm="1">
        <f>IF(ISBLANK($A477),"",INDEX(Array_ElectricalCharges,MATCH($A477,List_ElectricityMeters,0),ROUNDUP(COLUMN()/3,0)-2))</f>
        <v/>
      </c>
      <c r="AL477" s="127"/>
      <c r="AM477" s="137"/>
      <c r="AN477" s="58" t="str" cm="1">
        <f>IF(ISBLANK($A477),"",INDEX(Array_ElectricalCharges,MATCH($A477,List_ElectricityMeters,0),ROUNDUP(COLUMN()/3,0)-2))</f>
        <v/>
      </c>
      <c r="AO477" s="127"/>
      <c r="AP477" s="137"/>
      <c r="AQ477" s="58" t="str" cm="1">
        <f>IF(ISBLANK($A477),"",INDEX(Array_ElectricalCharges,MATCH($A477,List_ElectricityMeters,0),ROUNDUP(COLUMN()/3,0)-2))</f>
        <v/>
      </c>
      <c r="AR477" s="127"/>
      <c r="AS477" s="137"/>
      <c r="AT477" s="58" t="str" cm="1">
        <f>IF(ISBLANK($A477),"",INDEX(Array_ElectricalCharges,MATCH($A477,List_ElectricityMeters,0),ROUNDUP(COLUMN()/3,0)-2))</f>
        <v/>
      </c>
      <c r="AU477" s="127"/>
      <c r="AV477" s="137"/>
      <c r="AW477" s="58" t="str" cm="1">
        <f>IF(ISBLANK($A477),"",INDEX(Array_ElectricalCharges,MATCH($A477,List_ElectricityMeters,0),ROUNDUP(COLUMN()/3,0)-2))</f>
        <v/>
      </c>
      <c r="AX477" s="127"/>
      <c r="AY477" s="137"/>
    </row>
    <row r="478" spans="1:51" x14ac:dyDescent="0.3">
      <c r="A478" s="126"/>
      <c r="B478" s="133"/>
      <c r="C478" s="134"/>
      <c r="D478" s="134"/>
      <c r="E478" s="135"/>
      <c r="F478" s="136"/>
      <c r="G478" s="58" t="str" cm="1">
        <f>IF(ISBLANK($A478),"",INDEX(Array_ElectricalCharges,MATCH($A478,List_ElectricityMeters,0),ROUNDUP(COLUMN()/3,0)-2))</f>
        <v/>
      </c>
      <c r="H478" s="127"/>
      <c r="I478" s="137"/>
      <c r="J478" s="58" t="str" cm="1">
        <f>IF(ISBLANK($A478),"",INDEX(Array_ElectricalCharges,MATCH($A478,List_ElectricityMeters,0),ROUNDUP(COLUMN()/3,0)-2))</f>
        <v/>
      </c>
      <c r="K478" s="127"/>
      <c r="L478" s="137"/>
      <c r="M478" s="58" t="str" cm="1">
        <f>IF(ISBLANK($A478),"",INDEX(Array_ElectricalCharges,MATCH($A478,List_ElectricityMeters,0),ROUNDUP(COLUMN()/3,0)-2))</f>
        <v/>
      </c>
      <c r="N478" s="127"/>
      <c r="O478" s="137"/>
      <c r="P478" s="58" t="str" cm="1">
        <f>IF(ISBLANK($A478),"",INDEX(Array_ElectricalCharges,MATCH($A478,List_ElectricityMeters,0),ROUNDUP(COLUMN()/3,0)-2))</f>
        <v/>
      </c>
      <c r="Q478" s="127"/>
      <c r="R478" s="137"/>
      <c r="S478" s="58" t="str" cm="1">
        <f>IF(ISBLANK($A478),"",INDEX(Array_ElectricalCharges,MATCH($A478,List_ElectricityMeters,0),ROUNDUP(COLUMN()/3,0)-2))</f>
        <v/>
      </c>
      <c r="T478" s="127"/>
      <c r="U478" s="137"/>
      <c r="V478" s="58" t="str" cm="1">
        <f>IF(ISBLANK($A478),"",INDEX(Array_ElectricalCharges,MATCH($A478,List_ElectricityMeters,0),ROUNDUP(COLUMN()/3,0)-2))</f>
        <v/>
      </c>
      <c r="W478" s="127"/>
      <c r="X478" s="137"/>
      <c r="Y478" s="58" t="str" cm="1">
        <f>IF(ISBLANK($A478),"",INDEX(Array_ElectricalCharges,MATCH($A478,List_ElectricityMeters,0),ROUNDUP(COLUMN()/3,0)-2))</f>
        <v/>
      </c>
      <c r="Z478" s="127"/>
      <c r="AA478" s="137"/>
      <c r="AB478" s="58" t="str" cm="1">
        <f>IF(ISBLANK($A478),"",INDEX(Array_ElectricalCharges,MATCH($A478,List_ElectricityMeters,0),ROUNDUP(COLUMN()/3,0)-2))</f>
        <v/>
      </c>
      <c r="AC478" s="127"/>
      <c r="AD478" s="137"/>
      <c r="AE478" s="58" t="str" cm="1">
        <f>IF(ISBLANK($A478),"",INDEX(Array_ElectricalCharges,MATCH($A478,List_ElectricityMeters,0),ROUNDUP(COLUMN()/3,0)-2))</f>
        <v/>
      </c>
      <c r="AF478" s="127"/>
      <c r="AG478" s="137"/>
      <c r="AH478" s="58" t="str" cm="1">
        <f>IF(ISBLANK($A478),"",INDEX(Array_ElectricalCharges,MATCH($A478,List_ElectricityMeters,0),ROUNDUP(COLUMN()/3,0)-2))</f>
        <v/>
      </c>
      <c r="AI478" s="127"/>
      <c r="AJ478" s="137"/>
      <c r="AK478" s="58" t="str" cm="1">
        <f>IF(ISBLANK($A478),"",INDEX(Array_ElectricalCharges,MATCH($A478,List_ElectricityMeters,0),ROUNDUP(COLUMN()/3,0)-2))</f>
        <v/>
      </c>
      <c r="AL478" s="127"/>
      <c r="AM478" s="137"/>
      <c r="AN478" s="58" t="str" cm="1">
        <f>IF(ISBLANK($A478),"",INDEX(Array_ElectricalCharges,MATCH($A478,List_ElectricityMeters,0),ROUNDUP(COLUMN()/3,0)-2))</f>
        <v/>
      </c>
      <c r="AO478" s="127"/>
      <c r="AP478" s="137"/>
      <c r="AQ478" s="58" t="str" cm="1">
        <f>IF(ISBLANK($A478),"",INDEX(Array_ElectricalCharges,MATCH($A478,List_ElectricityMeters,0),ROUNDUP(COLUMN()/3,0)-2))</f>
        <v/>
      </c>
      <c r="AR478" s="127"/>
      <c r="AS478" s="137"/>
      <c r="AT478" s="58" t="str" cm="1">
        <f>IF(ISBLANK($A478),"",INDEX(Array_ElectricalCharges,MATCH($A478,List_ElectricityMeters,0),ROUNDUP(COLUMN()/3,0)-2))</f>
        <v/>
      </c>
      <c r="AU478" s="127"/>
      <c r="AV478" s="137"/>
      <c r="AW478" s="58" t="str" cm="1">
        <f>IF(ISBLANK($A478),"",INDEX(Array_ElectricalCharges,MATCH($A478,List_ElectricityMeters,0),ROUNDUP(COLUMN()/3,0)-2))</f>
        <v/>
      </c>
      <c r="AX478" s="127"/>
      <c r="AY478" s="137"/>
    </row>
    <row r="479" spans="1:51" x14ac:dyDescent="0.3">
      <c r="A479" s="126"/>
      <c r="B479" s="133"/>
      <c r="C479" s="134"/>
      <c r="D479" s="134"/>
      <c r="E479" s="135"/>
      <c r="F479" s="136"/>
      <c r="G479" s="58" t="str" cm="1">
        <f>IF(ISBLANK($A479),"",INDEX(Array_ElectricalCharges,MATCH($A479,List_ElectricityMeters,0),ROUNDUP(COLUMN()/3,0)-2))</f>
        <v/>
      </c>
      <c r="H479" s="127"/>
      <c r="I479" s="137"/>
      <c r="J479" s="58" t="str" cm="1">
        <f>IF(ISBLANK($A479),"",INDEX(Array_ElectricalCharges,MATCH($A479,List_ElectricityMeters,0),ROUNDUP(COLUMN()/3,0)-2))</f>
        <v/>
      </c>
      <c r="K479" s="127"/>
      <c r="L479" s="137"/>
      <c r="M479" s="58" t="str" cm="1">
        <f>IF(ISBLANK($A479),"",INDEX(Array_ElectricalCharges,MATCH($A479,List_ElectricityMeters,0),ROUNDUP(COLUMN()/3,0)-2))</f>
        <v/>
      </c>
      <c r="N479" s="127"/>
      <c r="O479" s="137"/>
      <c r="P479" s="58" t="str" cm="1">
        <f>IF(ISBLANK($A479),"",INDEX(Array_ElectricalCharges,MATCH($A479,List_ElectricityMeters,0),ROUNDUP(COLUMN()/3,0)-2))</f>
        <v/>
      </c>
      <c r="Q479" s="127"/>
      <c r="R479" s="137"/>
      <c r="S479" s="58" t="str" cm="1">
        <f>IF(ISBLANK($A479),"",INDEX(Array_ElectricalCharges,MATCH($A479,List_ElectricityMeters,0),ROUNDUP(COLUMN()/3,0)-2))</f>
        <v/>
      </c>
      <c r="T479" s="127"/>
      <c r="U479" s="137"/>
      <c r="V479" s="58" t="str" cm="1">
        <f>IF(ISBLANK($A479),"",INDEX(Array_ElectricalCharges,MATCH($A479,List_ElectricityMeters,0),ROUNDUP(COLUMN()/3,0)-2))</f>
        <v/>
      </c>
      <c r="W479" s="127"/>
      <c r="X479" s="137"/>
      <c r="Y479" s="58" t="str" cm="1">
        <f>IF(ISBLANK($A479),"",INDEX(Array_ElectricalCharges,MATCH($A479,List_ElectricityMeters,0),ROUNDUP(COLUMN()/3,0)-2))</f>
        <v/>
      </c>
      <c r="Z479" s="127"/>
      <c r="AA479" s="137"/>
      <c r="AB479" s="58" t="str" cm="1">
        <f>IF(ISBLANK($A479),"",INDEX(Array_ElectricalCharges,MATCH($A479,List_ElectricityMeters,0),ROUNDUP(COLUMN()/3,0)-2))</f>
        <v/>
      </c>
      <c r="AC479" s="127"/>
      <c r="AD479" s="137"/>
      <c r="AE479" s="58" t="str" cm="1">
        <f>IF(ISBLANK($A479),"",INDEX(Array_ElectricalCharges,MATCH($A479,List_ElectricityMeters,0),ROUNDUP(COLUMN()/3,0)-2))</f>
        <v/>
      </c>
      <c r="AF479" s="127"/>
      <c r="AG479" s="137"/>
      <c r="AH479" s="58" t="str" cm="1">
        <f>IF(ISBLANK($A479),"",INDEX(Array_ElectricalCharges,MATCH($A479,List_ElectricityMeters,0),ROUNDUP(COLUMN()/3,0)-2))</f>
        <v/>
      </c>
      <c r="AI479" s="127"/>
      <c r="AJ479" s="137"/>
      <c r="AK479" s="58" t="str" cm="1">
        <f>IF(ISBLANK($A479),"",INDEX(Array_ElectricalCharges,MATCH($A479,List_ElectricityMeters,0),ROUNDUP(COLUMN()/3,0)-2))</f>
        <v/>
      </c>
      <c r="AL479" s="127"/>
      <c r="AM479" s="137"/>
      <c r="AN479" s="58" t="str" cm="1">
        <f>IF(ISBLANK($A479),"",INDEX(Array_ElectricalCharges,MATCH($A479,List_ElectricityMeters,0),ROUNDUP(COLUMN()/3,0)-2))</f>
        <v/>
      </c>
      <c r="AO479" s="127"/>
      <c r="AP479" s="137"/>
      <c r="AQ479" s="58" t="str" cm="1">
        <f>IF(ISBLANK($A479),"",INDEX(Array_ElectricalCharges,MATCH($A479,List_ElectricityMeters,0),ROUNDUP(COLUMN()/3,0)-2))</f>
        <v/>
      </c>
      <c r="AR479" s="127"/>
      <c r="AS479" s="137"/>
      <c r="AT479" s="58" t="str" cm="1">
        <f>IF(ISBLANK($A479),"",INDEX(Array_ElectricalCharges,MATCH($A479,List_ElectricityMeters,0),ROUNDUP(COLUMN()/3,0)-2))</f>
        <v/>
      </c>
      <c r="AU479" s="127"/>
      <c r="AV479" s="137"/>
      <c r="AW479" s="58" t="str" cm="1">
        <f>IF(ISBLANK($A479),"",INDEX(Array_ElectricalCharges,MATCH($A479,List_ElectricityMeters,0),ROUNDUP(COLUMN()/3,0)-2))</f>
        <v/>
      </c>
      <c r="AX479" s="127"/>
      <c r="AY479" s="137"/>
    </row>
    <row r="480" spans="1:51" x14ac:dyDescent="0.3">
      <c r="A480" s="126"/>
      <c r="B480" s="133"/>
      <c r="C480" s="134"/>
      <c r="D480" s="134"/>
      <c r="E480" s="135"/>
      <c r="F480" s="136"/>
      <c r="G480" s="58" t="str" cm="1">
        <f>IF(ISBLANK($A480),"",INDEX(Array_ElectricalCharges,MATCH($A480,List_ElectricityMeters,0),ROUNDUP(COLUMN()/3,0)-2))</f>
        <v/>
      </c>
      <c r="H480" s="127"/>
      <c r="I480" s="137"/>
      <c r="J480" s="58" t="str" cm="1">
        <f>IF(ISBLANK($A480),"",INDEX(Array_ElectricalCharges,MATCH($A480,List_ElectricityMeters,0),ROUNDUP(COLUMN()/3,0)-2))</f>
        <v/>
      </c>
      <c r="K480" s="127"/>
      <c r="L480" s="137"/>
      <c r="M480" s="58" t="str" cm="1">
        <f>IF(ISBLANK($A480),"",INDEX(Array_ElectricalCharges,MATCH($A480,List_ElectricityMeters,0),ROUNDUP(COLUMN()/3,0)-2))</f>
        <v/>
      </c>
      <c r="N480" s="127"/>
      <c r="O480" s="137"/>
      <c r="P480" s="58" t="str" cm="1">
        <f>IF(ISBLANK($A480),"",INDEX(Array_ElectricalCharges,MATCH($A480,List_ElectricityMeters,0),ROUNDUP(COLUMN()/3,0)-2))</f>
        <v/>
      </c>
      <c r="Q480" s="127"/>
      <c r="R480" s="137"/>
      <c r="S480" s="58" t="str" cm="1">
        <f>IF(ISBLANK($A480),"",INDEX(Array_ElectricalCharges,MATCH($A480,List_ElectricityMeters,0),ROUNDUP(COLUMN()/3,0)-2))</f>
        <v/>
      </c>
      <c r="T480" s="127"/>
      <c r="U480" s="137"/>
      <c r="V480" s="58" t="str" cm="1">
        <f>IF(ISBLANK($A480),"",INDEX(Array_ElectricalCharges,MATCH($A480,List_ElectricityMeters,0),ROUNDUP(COLUMN()/3,0)-2))</f>
        <v/>
      </c>
      <c r="W480" s="127"/>
      <c r="X480" s="137"/>
      <c r="Y480" s="58" t="str" cm="1">
        <f>IF(ISBLANK($A480),"",INDEX(Array_ElectricalCharges,MATCH($A480,List_ElectricityMeters,0),ROUNDUP(COLUMN()/3,0)-2))</f>
        <v/>
      </c>
      <c r="Z480" s="127"/>
      <c r="AA480" s="137"/>
      <c r="AB480" s="58" t="str" cm="1">
        <f>IF(ISBLANK($A480),"",INDEX(Array_ElectricalCharges,MATCH($A480,List_ElectricityMeters,0),ROUNDUP(COLUMN()/3,0)-2))</f>
        <v/>
      </c>
      <c r="AC480" s="127"/>
      <c r="AD480" s="137"/>
      <c r="AE480" s="58" t="str" cm="1">
        <f>IF(ISBLANK($A480),"",INDEX(Array_ElectricalCharges,MATCH($A480,List_ElectricityMeters,0),ROUNDUP(COLUMN()/3,0)-2))</f>
        <v/>
      </c>
      <c r="AF480" s="127"/>
      <c r="AG480" s="137"/>
      <c r="AH480" s="58" t="str" cm="1">
        <f>IF(ISBLANK($A480),"",INDEX(Array_ElectricalCharges,MATCH($A480,List_ElectricityMeters,0),ROUNDUP(COLUMN()/3,0)-2))</f>
        <v/>
      </c>
      <c r="AI480" s="127"/>
      <c r="AJ480" s="137"/>
      <c r="AK480" s="58" t="str" cm="1">
        <f>IF(ISBLANK($A480),"",INDEX(Array_ElectricalCharges,MATCH($A480,List_ElectricityMeters,0),ROUNDUP(COLUMN()/3,0)-2))</f>
        <v/>
      </c>
      <c r="AL480" s="127"/>
      <c r="AM480" s="137"/>
      <c r="AN480" s="58" t="str" cm="1">
        <f>IF(ISBLANK($A480),"",INDEX(Array_ElectricalCharges,MATCH($A480,List_ElectricityMeters,0),ROUNDUP(COLUMN()/3,0)-2))</f>
        <v/>
      </c>
      <c r="AO480" s="127"/>
      <c r="AP480" s="137"/>
      <c r="AQ480" s="58" t="str" cm="1">
        <f>IF(ISBLANK($A480),"",INDEX(Array_ElectricalCharges,MATCH($A480,List_ElectricityMeters,0),ROUNDUP(COLUMN()/3,0)-2))</f>
        <v/>
      </c>
      <c r="AR480" s="127"/>
      <c r="AS480" s="137"/>
      <c r="AT480" s="58" t="str" cm="1">
        <f>IF(ISBLANK($A480),"",INDEX(Array_ElectricalCharges,MATCH($A480,List_ElectricityMeters,0),ROUNDUP(COLUMN()/3,0)-2))</f>
        <v/>
      </c>
      <c r="AU480" s="127"/>
      <c r="AV480" s="137"/>
      <c r="AW480" s="58" t="str" cm="1">
        <f>IF(ISBLANK($A480),"",INDEX(Array_ElectricalCharges,MATCH($A480,List_ElectricityMeters,0),ROUNDUP(COLUMN()/3,0)-2))</f>
        <v/>
      </c>
      <c r="AX480" s="127"/>
      <c r="AY480" s="137"/>
    </row>
    <row r="481" spans="1:51" x14ac:dyDescent="0.3">
      <c r="A481" s="126"/>
      <c r="B481" s="133"/>
      <c r="C481" s="134"/>
      <c r="D481" s="134"/>
      <c r="E481" s="135"/>
      <c r="F481" s="136"/>
      <c r="G481" s="58" t="str" cm="1">
        <f>IF(ISBLANK($A481),"",INDEX(Array_ElectricalCharges,MATCH($A481,List_ElectricityMeters,0),ROUNDUP(COLUMN()/3,0)-2))</f>
        <v/>
      </c>
      <c r="H481" s="127"/>
      <c r="I481" s="137"/>
      <c r="J481" s="58" t="str" cm="1">
        <f>IF(ISBLANK($A481),"",INDEX(Array_ElectricalCharges,MATCH($A481,List_ElectricityMeters,0),ROUNDUP(COLUMN()/3,0)-2))</f>
        <v/>
      </c>
      <c r="K481" s="127"/>
      <c r="L481" s="137"/>
      <c r="M481" s="58" t="str" cm="1">
        <f>IF(ISBLANK($A481),"",INDEX(Array_ElectricalCharges,MATCH($A481,List_ElectricityMeters,0),ROUNDUP(COLUMN()/3,0)-2))</f>
        <v/>
      </c>
      <c r="N481" s="127"/>
      <c r="O481" s="137"/>
      <c r="P481" s="58" t="str" cm="1">
        <f>IF(ISBLANK($A481),"",INDEX(Array_ElectricalCharges,MATCH($A481,List_ElectricityMeters,0),ROUNDUP(COLUMN()/3,0)-2))</f>
        <v/>
      </c>
      <c r="Q481" s="127"/>
      <c r="R481" s="137"/>
      <c r="S481" s="58" t="str" cm="1">
        <f>IF(ISBLANK($A481),"",INDEX(Array_ElectricalCharges,MATCH($A481,List_ElectricityMeters,0),ROUNDUP(COLUMN()/3,0)-2))</f>
        <v/>
      </c>
      <c r="T481" s="127"/>
      <c r="U481" s="137"/>
      <c r="V481" s="58" t="str" cm="1">
        <f>IF(ISBLANK($A481),"",INDEX(Array_ElectricalCharges,MATCH($A481,List_ElectricityMeters,0),ROUNDUP(COLUMN()/3,0)-2))</f>
        <v/>
      </c>
      <c r="W481" s="127"/>
      <c r="X481" s="137"/>
      <c r="Y481" s="58" t="str" cm="1">
        <f>IF(ISBLANK($A481),"",INDEX(Array_ElectricalCharges,MATCH($A481,List_ElectricityMeters,0),ROUNDUP(COLUMN()/3,0)-2))</f>
        <v/>
      </c>
      <c r="Z481" s="127"/>
      <c r="AA481" s="137"/>
      <c r="AB481" s="58" t="str" cm="1">
        <f>IF(ISBLANK($A481),"",INDEX(Array_ElectricalCharges,MATCH($A481,List_ElectricityMeters,0),ROUNDUP(COLUMN()/3,0)-2))</f>
        <v/>
      </c>
      <c r="AC481" s="127"/>
      <c r="AD481" s="137"/>
      <c r="AE481" s="58" t="str" cm="1">
        <f>IF(ISBLANK($A481),"",INDEX(Array_ElectricalCharges,MATCH($A481,List_ElectricityMeters,0),ROUNDUP(COLUMN()/3,0)-2))</f>
        <v/>
      </c>
      <c r="AF481" s="127"/>
      <c r="AG481" s="137"/>
      <c r="AH481" s="58" t="str" cm="1">
        <f>IF(ISBLANK($A481),"",INDEX(Array_ElectricalCharges,MATCH($A481,List_ElectricityMeters,0),ROUNDUP(COLUMN()/3,0)-2))</f>
        <v/>
      </c>
      <c r="AI481" s="127"/>
      <c r="AJ481" s="137"/>
      <c r="AK481" s="58" t="str" cm="1">
        <f>IF(ISBLANK($A481),"",INDEX(Array_ElectricalCharges,MATCH($A481,List_ElectricityMeters,0),ROUNDUP(COLUMN()/3,0)-2))</f>
        <v/>
      </c>
      <c r="AL481" s="127"/>
      <c r="AM481" s="137"/>
      <c r="AN481" s="58" t="str" cm="1">
        <f>IF(ISBLANK($A481),"",INDEX(Array_ElectricalCharges,MATCH($A481,List_ElectricityMeters,0),ROUNDUP(COLUMN()/3,0)-2))</f>
        <v/>
      </c>
      <c r="AO481" s="127"/>
      <c r="AP481" s="137"/>
      <c r="AQ481" s="58" t="str" cm="1">
        <f>IF(ISBLANK($A481),"",INDEX(Array_ElectricalCharges,MATCH($A481,List_ElectricityMeters,0),ROUNDUP(COLUMN()/3,0)-2))</f>
        <v/>
      </c>
      <c r="AR481" s="127"/>
      <c r="AS481" s="137"/>
      <c r="AT481" s="58" t="str" cm="1">
        <f>IF(ISBLANK($A481),"",INDEX(Array_ElectricalCharges,MATCH($A481,List_ElectricityMeters,0),ROUNDUP(COLUMN()/3,0)-2))</f>
        <v/>
      </c>
      <c r="AU481" s="127"/>
      <c r="AV481" s="137"/>
      <c r="AW481" s="58" t="str" cm="1">
        <f>IF(ISBLANK($A481),"",INDEX(Array_ElectricalCharges,MATCH($A481,List_ElectricityMeters,0),ROUNDUP(COLUMN()/3,0)-2))</f>
        <v/>
      </c>
      <c r="AX481" s="127"/>
      <c r="AY481" s="137"/>
    </row>
    <row r="482" spans="1:51" x14ac:dyDescent="0.3">
      <c r="A482" s="126"/>
      <c r="B482" s="133"/>
      <c r="C482" s="134"/>
      <c r="D482" s="134"/>
      <c r="E482" s="135"/>
      <c r="F482" s="136"/>
      <c r="G482" s="58" t="str" cm="1">
        <f>IF(ISBLANK($A482),"",INDEX(Array_ElectricalCharges,MATCH($A482,List_ElectricityMeters,0),ROUNDUP(COLUMN()/3,0)-2))</f>
        <v/>
      </c>
      <c r="H482" s="127"/>
      <c r="I482" s="137"/>
      <c r="J482" s="58" t="str" cm="1">
        <f>IF(ISBLANK($A482),"",INDEX(Array_ElectricalCharges,MATCH($A482,List_ElectricityMeters,0),ROUNDUP(COLUMN()/3,0)-2))</f>
        <v/>
      </c>
      <c r="K482" s="127"/>
      <c r="L482" s="137"/>
      <c r="M482" s="58" t="str" cm="1">
        <f>IF(ISBLANK($A482),"",INDEX(Array_ElectricalCharges,MATCH($A482,List_ElectricityMeters,0),ROUNDUP(COLUMN()/3,0)-2))</f>
        <v/>
      </c>
      <c r="N482" s="127"/>
      <c r="O482" s="137"/>
      <c r="P482" s="58" t="str" cm="1">
        <f>IF(ISBLANK($A482),"",INDEX(Array_ElectricalCharges,MATCH($A482,List_ElectricityMeters,0),ROUNDUP(COLUMN()/3,0)-2))</f>
        <v/>
      </c>
      <c r="Q482" s="127"/>
      <c r="R482" s="137"/>
      <c r="S482" s="58" t="str" cm="1">
        <f>IF(ISBLANK($A482),"",INDEX(Array_ElectricalCharges,MATCH($A482,List_ElectricityMeters,0),ROUNDUP(COLUMN()/3,0)-2))</f>
        <v/>
      </c>
      <c r="T482" s="127"/>
      <c r="U482" s="137"/>
      <c r="V482" s="58" t="str" cm="1">
        <f>IF(ISBLANK($A482),"",INDEX(Array_ElectricalCharges,MATCH($A482,List_ElectricityMeters,0),ROUNDUP(COLUMN()/3,0)-2))</f>
        <v/>
      </c>
      <c r="W482" s="127"/>
      <c r="X482" s="137"/>
      <c r="Y482" s="58" t="str" cm="1">
        <f>IF(ISBLANK($A482),"",INDEX(Array_ElectricalCharges,MATCH($A482,List_ElectricityMeters,0),ROUNDUP(COLUMN()/3,0)-2))</f>
        <v/>
      </c>
      <c r="Z482" s="127"/>
      <c r="AA482" s="137"/>
      <c r="AB482" s="58" t="str" cm="1">
        <f>IF(ISBLANK($A482),"",INDEX(Array_ElectricalCharges,MATCH($A482,List_ElectricityMeters,0),ROUNDUP(COLUMN()/3,0)-2))</f>
        <v/>
      </c>
      <c r="AC482" s="127"/>
      <c r="AD482" s="137"/>
      <c r="AE482" s="58" t="str" cm="1">
        <f>IF(ISBLANK($A482),"",INDEX(Array_ElectricalCharges,MATCH($A482,List_ElectricityMeters,0),ROUNDUP(COLUMN()/3,0)-2))</f>
        <v/>
      </c>
      <c r="AF482" s="127"/>
      <c r="AG482" s="137"/>
      <c r="AH482" s="58" t="str" cm="1">
        <f>IF(ISBLANK($A482),"",INDEX(Array_ElectricalCharges,MATCH($A482,List_ElectricityMeters,0),ROUNDUP(COLUMN()/3,0)-2))</f>
        <v/>
      </c>
      <c r="AI482" s="127"/>
      <c r="AJ482" s="137"/>
      <c r="AK482" s="58" t="str" cm="1">
        <f>IF(ISBLANK($A482),"",INDEX(Array_ElectricalCharges,MATCH($A482,List_ElectricityMeters,0),ROUNDUP(COLUMN()/3,0)-2))</f>
        <v/>
      </c>
      <c r="AL482" s="127"/>
      <c r="AM482" s="137"/>
      <c r="AN482" s="58" t="str" cm="1">
        <f>IF(ISBLANK($A482),"",INDEX(Array_ElectricalCharges,MATCH($A482,List_ElectricityMeters,0),ROUNDUP(COLUMN()/3,0)-2))</f>
        <v/>
      </c>
      <c r="AO482" s="127"/>
      <c r="AP482" s="137"/>
      <c r="AQ482" s="58" t="str" cm="1">
        <f>IF(ISBLANK($A482),"",INDEX(Array_ElectricalCharges,MATCH($A482,List_ElectricityMeters,0),ROUNDUP(COLUMN()/3,0)-2))</f>
        <v/>
      </c>
      <c r="AR482" s="127"/>
      <c r="AS482" s="137"/>
      <c r="AT482" s="58" t="str" cm="1">
        <f>IF(ISBLANK($A482),"",INDEX(Array_ElectricalCharges,MATCH($A482,List_ElectricityMeters,0),ROUNDUP(COLUMN()/3,0)-2))</f>
        <v/>
      </c>
      <c r="AU482" s="127"/>
      <c r="AV482" s="137"/>
      <c r="AW482" s="58" t="str" cm="1">
        <f>IF(ISBLANK($A482),"",INDEX(Array_ElectricalCharges,MATCH($A482,List_ElectricityMeters,0),ROUNDUP(COLUMN()/3,0)-2))</f>
        <v/>
      </c>
      <c r="AX482" s="127"/>
      <c r="AY482" s="137"/>
    </row>
    <row r="483" spans="1:51" x14ac:dyDescent="0.3">
      <c r="A483" s="126"/>
      <c r="B483" s="133"/>
      <c r="C483" s="134"/>
      <c r="D483" s="134"/>
      <c r="E483" s="135"/>
      <c r="F483" s="136"/>
      <c r="G483" s="58" t="str" cm="1">
        <f>IF(ISBLANK($A483),"",INDEX(Array_ElectricalCharges,MATCH($A483,List_ElectricityMeters,0),ROUNDUP(COLUMN()/3,0)-2))</f>
        <v/>
      </c>
      <c r="H483" s="127"/>
      <c r="I483" s="137"/>
      <c r="J483" s="58" t="str" cm="1">
        <f>IF(ISBLANK($A483),"",INDEX(Array_ElectricalCharges,MATCH($A483,List_ElectricityMeters,0),ROUNDUP(COLUMN()/3,0)-2))</f>
        <v/>
      </c>
      <c r="K483" s="127"/>
      <c r="L483" s="137"/>
      <c r="M483" s="58" t="str" cm="1">
        <f>IF(ISBLANK($A483),"",INDEX(Array_ElectricalCharges,MATCH($A483,List_ElectricityMeters,0),ROUNDUP(COLUMN()/3,0)-2))</f>
        <v/>
      </c>
      <c r="N483" s="127"/>
      <c r="O483" s="137"/>
      <c r="P483" s="58" t="str" cm="1">
        <f>IF(ISBLANK($A483),"",INDEX(Array_ElectricalCharges,MATCH($A483,List_ElectricityMeters,0),ROUNDUP(COLUMN()/3,0)-2))</f>
        <v/>
      </c>
      <c r="Q483" s="127"/>
      <c r="R483" s="137"/>
      <c r="S483" s="58" t="str" cm="1">
        <f>IF(ISBLANK($A483),"",INDEX(Array_ElectricalCharges,MATCH($A483,List_ElectricityMeters,0),ROUNDUP(COLUMN()/3,0)-2))</f>
        <v/>
      </c>
      <c r="T483" s="127"/>
      <c r="U483" s="137"/>
      <c r="V483" s="58" t="str" cm="1">
        <f>IF(ISBLANK($A483),"",INDEX(Array_ElectricalCharges,MATCH($A483,List_ElectricityMeters,0),ROUNDUP(COLUMN()/3,0)-2))</f>
        <v/>
      </c>
      <c r="W483" s="127"/>
      <c r="X483" s="137"/>
      <c r="Y483" s="58" t="str" cm="1">
        <f>IF(ISBLANK($A483),"",INDEX(Array_ElectricalCharges,MATCH($A483,List_ElectricityMeters,0),ROUNDUP(COLUMN()/3,0)-2))</f>
        <v/>
      </c>
      <c r="Z483" s="127"/>
      <c r="AA483" s="137"/>
      <c r="AB483" s="58" t="str" cm="1">
        <f>IF(ISBLANK($A483),"",INDEX(Array_ElectricalCharges,MATCH($A483,List_ElectricityMeters,0),ROUNDUP(COLUMN()/3,0)-2))</f>
        <v/>
      </c>
      <c r="AC483" s="127"/>
      <c r="AD483" s="137"/>
      <c r="AE483" s="58" t="str" cm="1">
        <f>IF(ISBLANK($A483),"",INDEX(Array_ElectricalCharges,MATCH($A483,List_ElectricityMeters,0),ROUNDUP(COLUMN()/3,0)-2))</f>
        <v/>
      </c>
      <c r="AF483" s="127"/>
      <c r="AG483" s="137"/>
      <c r="AH483" s="58" t="str" cm="1">
        <f>IF(ISBLANK($A483),"",INDEX(Array_ElectricalCharges,MATCH($A483,List_ElectricityMeters,0),ROUNDUP(COLUMN()/3,0)-2))</f>
        <v/>
      </c>
      <c r="AI483" s="127"/>
      <c r="AJ483" s="137"/>
      <c r="AK483" s="58" t="str" cm="1">
        <f>IF(ISBLANK($A483),"",INDEX(Array_ElectricalCharges,MATCH($A483,List_ElectricityMeters,0),ROUNDUP(COLUMN()/3,0)-2))</f>
        <v/>
      </c>
      <c r="AL483" s="127"/>
      <c r="AM483" s="137"/>
      <c r="AN483" s="58" t="str" cm="1">
        <f>IF(ISBLANK($A483),"",INDEX(Array_ElectricalCharges,MATCH($A483,List_ElectricityMeters,0),ROUNDUP(COLUMN()/3,0)-2))</f>
        <v/>
      </c>
      <c r="AO483" s="127"/>
      <c r="AP483" s="137"/>
      <c r="AQ483" s="58" t="str" cm="1">
        <f>IF(ISBLANK($A483),"",INDEX(Array_ElectricalCharges,MATCH($A483,List_ElectricityMeters,0),ROUNDUP(COLUMN()/3,0)-2))</f>
        <v/>
      </c>
      <c r="AR483" s="127"/>
      <c r="AS483" s="137"/>
      <c r="AT483" s="58" t="str" cm="1">
        <f>IF(ISBLANK($A483),"",INDEX(Array_ElectricalCharges,MATCH($A483,List_ElectricityMeters,0),ROUNDUP(COLUMN()/3,0)-2))</f>
        <v/>
      </c>
      <c r="AU483" s="127"/>
      <c r="AV483" s="137"/>
      <c r="AW483" s="58" t="str" cm="1">
        <f>IF(ISBLANK($A483),"",INDEX(Array_ElectricalCharges,MATCH($A483,List_ElectricityMeters,0),ROUNDUP(COLUMN()/3,0)-2))</f>
        <v/>
      </c>
      <c r="AX483" s="127"/>
      <c r="AY483" s="137"/>
    </row>
    <row r="484" spans="1:51" x14ac:dyDescent="0.3">
      <c r="A484" s="126"/>
      <c r="B484" s="133"/>
      <c r="C484" s="134"/>
      <c r="D484" s="134"/>
      <c r="E484" s="135"/>
      <c r="F484" s="136"/>
      <c r="G484" s="58" t="str" cm="1">
        <f>IF(ISBLANK($A484),"",INDEX(Array_ElectricalCharges,MATCH($A484,List_ElectricityMeters,0),ROUNDUP(COLUMN()/3,0)-2))</f>
        <v/>
      </c>
      <c r="H484" s="127"/>
      <c r="I484" s="137"/>
      <c r="J484" s="58" t="str" cm="1">
        <f>IF(ISBLANK($A484),"",INDEX(Array_ElectricalCharges,MATCH($A484,List_ElectricityMeters,0),ROUNDUP(COLUMN()/3,0)-2))</f>
        <v/>
      </c>
      <c r="K484" s="127"/>
      <c r="L484" s="137"/>
      <c r="M484" s="58" t="str" cm="1">
        <f>IF(ISBLANK($A484),"",INDEX(Array_ElectricalCharges,MATCH($A484,List_ElectricityMeters,0),ROUNDUP(COLUMN()/3,0)-2))</f>
        <v/>
      </c>
      <c r="N484" s="127"/>
      <c r="O484" s="137"/>
      <c r="P484" s="58" t="str" cm="1">
        <f>IF(ISBLANK($A484),"",INDEX(Array_ElectricalCharges,MATCH($A484,List_ElectricityMeters,0),ROUNDUP(COLUMN()/3,0)-2))</f>
        <v/>
      </c>
      <c r="Q484" s="127"/>
      <c r="R484" s="137"/>
      <c r="S484" s="58" t="str" cm="1">
        <f>IF(ISBLANK($A484),"",INDEX(Array_ElectricalCharges,MATCH($A484,List_ElectricityMeters,0),ROUNDUP(COLUMN()/3,0)-2))</f>
        <v/>
      </c>
      <c r="T484" s="127"/>
      <c r="U484" s="137"/>
      <c r="V484" s="58" t="str" cm="1">
        <f>IF(ISBLANK($A484),"",INDEX(Array_ElectricalCharges,MATCH($A484,List_ElectricityMeters,0),ROUNDUP(COLUMN()/3,0)-2))</f>
        <v/>
      </c>
      <c r="W484" s="127"/>
      <c r="X484" s="137"/>
      <c r="Y484" s="58" t="str" cm="1">
        <f>IF(ISBLANK($A484),"",INDEX(Array_ElectricalCharges,MATCH($A484,List_ElectricityMeters,0),ROUNDUP(COLUMN()/3,0)-2))</f>
        <v/>
      </c>
      <c r="Z484" s="127"/>
      <c r="AA484" s="137"/>
      <c r="AB484" s="58" t="str" cm="1">
        <f>IF(ISBLANK($A484),"",INDEX(Array_ElectricalCharges,MATCH($A484,List_ElectricityMeters,0),ROUNDUP(COLUMN()/3,0)-2))</f>
        <v/>
      </c>
      <c r="AC484" s="127"/>
      <c r="AD484" s="137"/>
      <c r="AE484" s="58" t="str" cm="1">
        <f>IF(ISBLANK($A484),"",INDEX(Array_ElectricalCharges,MATCH($A484,List_ElectricityMeters,0),ROUNDUP(COLUMN()/3,0)-2))</f>
        <v/>
      </c>
      <c r="AF484" s="127"/>
      <c r="AG484" s="137"/>
      <c r="AH484" s="58" t="str" cm="1">
        <f>IF(ISBLANK($A484),"",INDEX(Array_ElectricalCharges,MATCH($A484,List_ElectricityMeters,0),ROUNDUP(COLUMN()/3,0)-2))</f>
        <v/>
      </c>
      <c r="AI484" s="127"/>
      <c r="AJ484" s="137"/>
      <c r="AK484" s="58" t="str" cm="1">
        <f>IF(ISBLANK($A484),"",INDEX(Array_ElectricalCharges,MATCH($A484,List_ElectricityMeters,0),ROUNDUP(COLUMN()/3,0)-2))</f>
        <v/>
      </c>
      <c r="AL484" s="127"/>
      <c r="AM484" s="137"/>
      <c r="AN484" s="58" t="str" cm="1">
        <f>IF(ISBLANK($A484),"",INDEX(Array_ElectricalCharges,MATCH($A484,List_ElectricityMeters,0),ROUNDUP(COLUMN()/3,0)-2))</f>
        <v/>
      </c>
      <c r="AO484" s="127"/>
      <c r="AP484" s="137"/>
      <c r="AQ484" s="58" t="str" cm="1">
        <f>IF(ISBLANK($A484),"",INDEX(Array_ElectricalCharges,MATCH($A484,List_ElectricityMeters,0),ROUNDUP(COLUMN()/3,0)-2))</f>
        <v/>
      </c>
      <c r="AR484" s="127"/>
      <c r="AS484" s="137"/>
      <c r="AT484" s="58" t="str" cm="1">
        <f>IF(ISBLANK($A484),"",INDEX(Array_ElectricalCharges,MATCH($A484,List_ElectricityMeters,0),ROUNDUP(COLUMN()/3,0)-2))</f>
        <v/>
      </c>
      <c r="AU484" s="127"/>
      <c r="AV484" s="137"/>
      <c r="AW484" s="58" t="str" cm="1">
        <f>IF(ISBLANK($A484),"",INDEX(Array_ElectricalCharges,MATCH($A484,List_ElectricityMeters,0),ROUNDUP(COLUMN()/3,0)-2))</f>
        <v/>
      </c>
      <c r="AX484" s="127"/>
      <c r="AY484" s="137"/>
    </row>
    <row r="485" spans="1:51" x14ac:dyDescent="0.3">
      <c r="A485" s="126"/>
      <c r="B485" s="133"/>
      <c r="C485" s="134"/>
      <c r="D485" s="134"/>
      <c r="E485" s="135"/>
      <c r="F485" s="136"/>
      <c r="G485" s="58" t="str" cm="1">
        <f>IF(ISBLANK($A485),"",INDEX(Array_ElectricalCharges,MATCH($A485,List_ElectricityMeters,0),ROUNDUP(COLUMN()/3,0)-2))</f>
        <v/>
      </c>
      <c r="H485" s="127"/>
      <c r="I485" s="137"/>
      <c r="J485" s="58" t="str" cm="1">
        <f>IF(ISBLANK($A485),"",INDEX(Array_ElectricalCharges,MATCH($A485,List_ElectricityMeters,0),ROUNDUP(COLUMN()/3,0)-2))</f>
        <v/>
      </c>
      <c r="K485" s="127"/>
      <c r="L485" s="137"/>
      <c r="M485" s="58" t="str" cm="1">
        <f>IF(ISBLANK($A485),"",INDEX(Array_ElectricalCharges,MATCH($A485,List_ElectricityMeters,0),ROUNDUP(COLUMN()/3,0)-2))</f>
        <v/>
      </c>
      <c r="N485" s="127"/>
      <c r="O485" s="137"/>
      <c r="P485" s="58" t="str" cm="1">
        <f>IF(ISBLANK($A485),"",INDEX(Array_ElectricalCharges,MATCH($A485,List_ElectricityMeters,0),ROUNDUP(COLUMN()/3,0)-2))</f>
        <v/>
      </c>
      <c r="Q485" s="127"/>
      <c r="R485" s="137"/>
      <c r="S485" s="58" t="str" cm="1">
        <f>IF(ISBLANK($A485),"",INDEX(Array_ElectricalCharges,MATCH($A485,List_ElectricityMeters,0),ROUNDUP(COLUMN()/3,0)-2))</f>
        <v/>
      </c>
      <c r="T485" s="127"/>
      <c r="U485" s="137"/>
      <c r="V485" s="58" t="str" cm="1">
        <f>IF(ISBLANK($A485),"",INDEX(Array_ElectricalCharges,MATCH($A485,List_ElectricityMeters,0),ROUNDUP(COLUMN()/3,0)-2))</f>
        <v/>
      </c>
      <c r="W485" s="127"/>
      <c r="X485" s="137"/>
      <c r="Y485" s="58" t="str" cm="1">
        <f>IF(ISBLANK($A485),"",INDEX(Array_ElectricalCharges,MATCH($A485,List_ElectricityMeters,0),ROUNDUP(COLUMN()/3,0)-2))</f>
        <v/>
      </c>
      <c r="Z485" s="127"/>
      <c r="AA485" s="137"/>
      <c r="AB485" s="58" t="str" cm="1">
        <f>IF(ISBLANK($A485),"",INDEX(Array_ElectricalCharges,MATCH($A485,List_ElectricityMeters,0),ROUNDUP(COLUMN()/3,0)-2))</f>
        <v/>
      </c>
      <c r="AC485" s="127"/>
      <c r="AD485" s="137"/>
      <c r="AE485" s="58" t="str" cm="1">
        <f>IF(ISBLANK($A485),"",INDEX(Array_ElectricalCharges,MATCH($A485,List_ElectricityMeters,0),ROUNDUP(COLUMN()/3,0)-2))</f>
        <v/>
      </c>
      <c r="AF485" s="127"/>
      <c r="AG485" s="137"/>
      <c r="AH485" s="58" t="str" cm="1">
        <f>IF(ISBLANK($A485),"",INDEX(Array_ElectricalCharges,MATCH($A485,List_ElectricityMeters,0),ROUNDUP(COLUMN()/3,0)-2))</f>
        <v/>
      </c>
      <c r="AI485" s="127"/>
      <c r="AJ485" s="137"/>
      <c r="AK485" s="58" t="str" cm="1">
        <f>IF(ISBLANK($A485),"",INDEX(Array_ElectricalCharges,MATCH($A485,List_ElectricityMeters,0),ROUNDUP(COLUMN()/3,0)-2))</f>
        <v/>
      </c>
      <c r="AL485" s="127"/>
      <c r="AM485" s="137"/>
      <c r="AN485" s="58" t="str" cm="1">
        <f>IF(ISBLANK($A485),"",INDEX(Array_ElectricalCharges,MATCH($A485,List_ElectricityMeters,0),ROUNDUP(COLUMN()/3,0)-2))</f>
        <v/>
      </c>
      <c r="AO485" s="127"/>
      <c r="AP485" s="137"/>
      <c r="AQ485" s="58" t="str" cm="1">
        <f>IF(ISBLANK($A485),"",INDEX(Array_ElectricalCharges,MATCH($A485,List_ElectricityMeters,0),ROUNDUP(COLUMN()/3,0)-2))</f>
        <v/>
      </c>
      <c r="AR485" s="127"/>
      <c r="AS485" s="137"/>
      <c r="AT485" s="58" t="str" cm="1">
        <f>IF(ISBLANK($A485),"",INDEX(Array_ElectricalCharges,MATCH($A485,List_ElectricityMeters,0),ROUNDUP(COLUMN()/3,0)-2))</f>
        <v/>
      </c>
      <c r="AU485" s="127"/>
      <c r="AV485" s="137"/>
      <c r="AW485" s="58" t="str" cm="1">
        <f>IF(ISBLANK($A485),"",INDEX(Array_ElectricalCharges,MATCH($A485,List_ElectricityMeters,0),ROUNDUP(COLUMN()/3,0)-2))</f>
        <v/>
      </c>
      <c r="AX485" s="127"/>
      <c r="AY485" s="137"/>
    </row>
    <row r="486" spans="1:51" x14ac:dyDescent="0.3">
      <c r="A486" s="126"/>
      <c r="B486" s="133"/>
      <c r="C486" s="134"/>
      <c r="D486" s="134"/>
      <c r="E486" s="135"/>
      <c r="F486" s="136"/>
      <c r="G486" s="58" t="str" cm="1">
        <f>IF(ISBLANK($A486),"",INDEX(Array_ElectricalCharges,MATCH($A486,List_ElectricityMeters,0),ROUNDUP(COLUMN()/3,0)-2))</f>
        <v/>
      </c>
      <c r="H486" s="127"/>
      <c r="I486" s="137"/>
      <c r="J486" s="58" t="str" cm="1">
        <f>IF(ISBLANK($A486),"",INDEX(Array_ElectricalCharges,MATCH($A486,List_ElectricityMeters,0),ROUNDUP(COLUMN()/3,0)-2))</f>
        <v/>
      </c>
      <c r="K486" s="127"/>
      <c r="L486" s="137"/>
      <c r="M486" s="58" t="str" cm="1">
        <f>IF(ISBLANK($A486),"",INDEX(Array_ElectricalCharges,MATCH($A486,List_ElectricityMeters,0),ROUNDUP(COLUMN()/3,0)-2))</f>
        <v/>
      </c>
      <c r="N486" s="127"/>
      <c r="O486" s="137"/>
      <c r="P486" s="58" t="str" cm="1">
        <f>IF(ISBLANK($A486),"",INDEX(Array_ElectricalCharges,MATCH($A486,List_ElectricityMeters,0),ROUNDUP(COLUMN()/3,0)-2))</f>
        <v/>
      </c>
      <c r="Q486" s="127"/>
      <c r="R486" s="137"/>
      <c r="S486" s="58" t="str" cm="1">
        <f>IF(ISBLANK($A486),"",INDEX(Array_ElectricalCharges,MATCH($A486,List_ElectricityMeters,0),ROUNDUP(COLUMN()/3,0)-2))</f>
        <v/>
      </c>
      <c r="T486" s="127"/>
      <c r="U486" s="137"/>
      <c r="V486" s="58" t="str" cm="1">
        <f>IF(ISBLANK($A486),"",INDEX(Array_ElectricalCharges,MATCH($A486,List_ElectricityMeters,0),ROUNDUP(COLUMN()/3,0)-2))</f>
        <v/>
      </c>
      <c r="W486" s="127"/>
      <c r="X486" s="137"/>
      <c r="Y486" s="58" t="str" cm="1">
        <f>IF(ISBLANK($A486),"",INDEX(Array_ElectricalCharges,MATCH($A486,List_ElectricityMeters,0),ROUNDUP(COLUMN()/3,0)-2))</f>
        <v/>
      </c>
      <c r="Z486" s="127"/>
      <c r="AA486" s="137"/>
      <c r="AB486" s="58" t="str" cm="1">
        <f>IF(ISBLANK($A486),"",INDEX(Array_ElectricalCharges,MATCH($A486,List_ElectricityMeters,0),ROUNDUP(COLUMN()/3,0)-2))</f>
        <v/>
      </c>
      <c r="AC486" s="127"/>
      <c r="AD486" s="137"/>
      <c r="AE486" s="58" t="str" cm="1">
        <f>IF(ISBLANK($A486),"",INDEX(Array_ElectricalCharges,MATCH($A486,List_ElectricityMeters,0),ROUNDUP(COLUMN()/3,0)-2))</f>
        <v/>
      </c>
      <c r="AF486" s="127"/>
      <c r="AG486" s="137"/>
      <c r="AH486" s="58" t="str" cm="1">
        <f>IF(ISBLANK($A486),"",INDEX(Array_ElectricalCharges,MATCH($A486,List_ElectricityMeters,0),ROUNDUP(COLUMN()/3,0)-2))</f>
        <v/>
      </c>
      <c r="AI486" s="127"/>
      <c r="AJ486" s="137"/>
      <c r="AK486" s="58" t="str" cm="1">
        <f>IF(ISBLANK($A486),"",INDEX(Array_ElectricalCharges,MATCH($A486,List_ElectricityMeters,0),ROUNDUP(COLUMN()/3,0)-2))</f>
        <v/>
      </c>
      <c r="AL486" s="127"/>
      <c r="AM486" s="137"/>
      <c r="AN486" s="58" t="str" cm="1">
        <f>IF(ISBLANK($A486),"",INDEX(Array_ElectricalCharges,MATCH($A486,List_ElectricityMeters,0),ROUNDUP(COLUMN()/3,0)-2))</f>
        <v/>
      </c>
      <c r="AO486" s="127"/>
      <c r="AP486" s="137"/>
      <c r="AQ486" s="58" t="str" cm="1">
        <f>IF(ISBLANK($A486),"",INDEX(Array_ElectricalCharges,MATCH($A486,List_ElectricityMeters,0),ROUNDUP(COLUMN()/3,0)-2))</f>
        <v/>
      </c>
      <c r="AR486" s="127"/>
      <c r="AS486" s="137"/>
      <c r="AT486" s="58" t="str" cm="1">
        <f>IF(ISBLANK($A486),"",INDEX(Array_ElectricalCharges,MATCH($A486,List_ElectricityMeters,0),ROUNDUP(COLUMN()/3,0)-2))</f>
        <v/>
      </c>
      <c r="AU486" s="127"/>
      <c r="AV486" s="137"/>
      <c r="AW486" s="58" t="str" cm="1">
        <f>IF(ISBLANK($A486),"",INDEX(Array_ElectricalCharges,MATCH($A486,List_ElectricityMeters,0),ROUNDUP(COLUMN()/3,0)-2))</f>
        <v/>
      </c>
      <c r="AX486" s="127"/>
      <c r="AY486" s="137"/>
    </row>
    <row r="487" spans="1:51" x14ac:dyDescent="0.3">
      <c r="A487" s="126"/>
      <c r="B487" s="133"/>
      <c r="C487" s="134"/>
      <c r="D487" s="134"/>
      <c r="E487" s="135"/>
      <c r="F487" s="136"/>
      <c r="G487" s="58" t="str" cm="1">
        <f>IF(ISBLANK($A487),"",INDEX(Array_ElectricalCharges,MATCH($A487,List_ElectricityMeters,0),ROUNDUP(COLUMN()/3,0)-2))</f>
        <v/>
      </c>
      <c r="H487" s="127"/>
      <c r="I487" s="137"/>
      <c r="J487" s="58" t="str" cm="1">
        <f>IF(ISBLANK($A487),"",INDEX(Array_ElectricalCharges,MATCH($A487,List_ElectricityMeters,0),ROUNDUP(COLUMN()/3,0)-2))</f>
        <v/>
      </c>
      <c r="K487" s="127"/>
      <c r="L487" s="137"/>
      <c r="M487" s="58" t="str" cm="1">
        <f>IF(ISBLANK($A487),"",INDEX(Array_ElectricalCharges,MATCH($A487,List_ElectricityMeters,0),ROUNDUP(COLUMN()/3,0)-2))</f>
        <v/>
      </c>
      <c r="N487" s="127"/>
      <c r="O487" s="137"/>
      <c r="P487" s="58" t="str" cm="1">
        <f>IF(ISBLANK($A487),"",INDEX(Array_ElectricalCharges,MATCH($A487,List_ElectricityMeters,0),ROUNDUP(COLUMN()/3,0)-2))</f>
        <v/>
      </c>
      <c r="Q487" s="127"/>
      <c r="R487" s="137"/>
      <c r="S487" s="58" t="str" cm="1">
        <f>IF(ISBLANK($A487),"",INDEX(Array_ElectricalCharges,MATCH($A487,List_ElectricityMeters,0),ROUNDUP(COLUMN()/3,0)-2))</f>
        <v/>
      </c>
      <c r="T487" s="127"/>
      <c r="U487" s="137"/>
      <c r="V487" s="58" t="str" cm="1">
        <f>IF(ISBLANK($A487),"",INDEX(Array_ElectricalCharges,MATCH($A487,List_ElectricityMeters,0),ROUNDUP(COLUMN()/3,0)-2))</f>
        <v/>
      </c>
      <c r="W487" s="127"/>
      <c r="X487" s="137"/>
      <c r="Y487" s="58" t="str" cm="1">
        <f>IF(ISBLANK($A487),"",INDEX(Array_ElectricalCharges,MATCH($A487,List_ElectricityMeters,0),ROUNDUP(COLUMN()/3,0)-2))</f>
        <v/>
      </c>
      <c r="Z487" s="127"/>
      <c r="AA487" s="137"/>
      <c r="AB487" s="58" t="str" cm="1">
        <f>IF(ISBLANK($A487),"",INDEX(Array_ElectricalCharges,MATCH($A487,List_ElectricityMeters,0),ROUNDUP(COLUMN()/3,0)-2))</f>
        <v/>
      </c>
      <c r="AC487" s="127"/>
      <c r="AD487" s="137"/>
      <c r="AE487" s="58" t="str" cm="1">
        <f>IF(ISBLANK($A487),"",INDEX(Array_ElectricalCharges,MATCH($A487,List_ElectricityMeters,0),ROUNDUP(COLUMN()/3,0)-2))</f>
        <v/>
      </c>
      <c r="AF487" s="127"/>
      <c r="AG487" s="137"/>
      <c r="AH487" s="58" t="str" cm="1">
        <f>IF(ISBLANK($A487),"",INDEX(Array_ElectricalCharges,MATCH($A487,List_ElectricityMeters,0),ROUNDUP(COLUMN()/3,0)-2))</f>
        <v/>
      </c>
      <c r="AI487" s="127"/>
      <c r="AJ487" s="137"/>
      <c r="AK487" s="58" t="str" cm="1">
        <f>IF(ISBLANK($A487),"",INDEX(Array_ElectricalCharges,MATCH($A487,List_ElectricityMeters,0),ROUNDUP(COLUMN()/3,0)-2))</f>
        <v/>
      </c>
      <c r="AL487" s="127"/>
      <c r="AM487" s="137"/>
      <c r="AN487" s="58" t="str" cm="1">
        <f>IF(ISBLANK($A487),"",INDEX(Array_ElectricalCharges,MATCH($A487,List_ElectricityMeters,0),ROUNDUP(COLUMN()/3,0)-2))</f>
        <v/>
      </c>
      <c r="AO487" s="127"/>
      <c r="AP487" s="137"/>
      <c r="AQ487" s="58" t="str" cm="1">
        <f>IF(ISBLANK($A487),"",INDEX(Array_ElectricalCharges,MATCH($A487,List_ElectricityMeters,0),ROUNDUP(COLUMN()/3,0)-2))</f>
        <v/>
      </c>
      <c r="AR487" s="127"/>
      <c r="AS487" s="137"/>
      <c r="AT487" s="58" t="str" cm="1">
        <f>IF(ISBLANK($A487),"",INDEX(Array_ElectricalCharges,MATCH($A487,List_ElectricityMeters,0),ROUNDUP(COLUMN()/3,0)-2))</f>
        <v/>
      </c>
      <c r="AU487" s="127"/>
      <c r="AV487" s="137"/>
      <c r="AW487" s="58" t="str" cm="1">
        <f>IF(ISBLANK($A487),"",INDEX(Array_ElectricalCharges,MATCH($A487,List_ElectricityMeters,0),ROUNDUP(COLUMN()/3,0)-2))</f>
        <v/>
      </c>
      <c r="AX487" s="127"/>
      <c r="AY487" s="137"/>
    </row>
    <row r="488" spans="1:51" x14ac:dyDescent="0.3">
      <c r="A488" s="126"/>
      <c r="B488" s="133"/>
      <c r="C488" s="134"/>
      <c r="D488" s="134"/>
      <c r="E488" s="135"/>
      <c r="F488" s="136"/>
      <c r="G488" s="58" t="str" cm="1">
        <f>IF(ISBLANK($A488),"",INDEX(Array_ElectricalCharges,MATCH($A488,List_ElectricityMeters,0),ROUNDUP(COLUMN()/3,0)-2))</f>
        <v/>
      </c>
      <c r="H488" s="127"/>
      <c r="I488" s="137"/>
      <c r="J488" s="58" t="str" cm="1">
        <f>IF(ISBLANK($A488),"",INDEX(Array_ElectricalCharges,MATCH($A488,List_ElectricityMeters,0),ROUNDUP(COLUMN()/3,0)-2))</f>
        <v/>
      </c>
      <c r="K488" s="127"/>
      <c r="L488" s="137"/>
      <c r="M488" s="58" t="str" cm="1">
        <f>IF(ISBLANK($A488),"",INDEX(Array_ElectricalCharges,MATCH($A488,List_ElectricityMeters,0),ROUNDUP(COLUMN()/3,0)-2))</f>
        <v/>
      </c>
      <c r="N488" s="127"/>
      <c r="O488" s="137"/>
      <c r="P488" s="58" t="str" cm="1">
        <f>IF(ISBLANK($A488),"",INDEX(Array_ElectricalCharges,MATCH($A488,List_ElectricityMeters,0),ROUNDUP(COLUMN()/3,0)-2))</f>
        <v/>
      </c>
      <c r="Q488" s="127"/>
      <c r="R488" s="137"/>
      <c r="S488" s="58" t="str" cm="1">
        <f>IF(ISBLANK($A488),"",INDEX(Array_ElectricalCharges,MATCH($A488,List_ElectricityMeters,0),ROUNDUP(COLUMN()/3,0)-2))</f>
        <v/>
      </c>
      <c r="T488" s="127"/>
      <c r="U488" s="137"/>
      <c r="V488" s="58" t="str" cm="1">
        <f>IF(ISBLANK($A488),"",INDEX(Array_ElectricalCharges,MATCH($A488,List_ElectricityMeters,0),ROUNDUP(COLUMN()/3,0)-2))</f>
        <v/>
      </c>
      <c r="W488" s="127"/>
      <c r="X488" s="137"/>
      <c r="Y488" s="58" t="str" cm="1">
        <f>IF(ISBLANK($A488),"",INDEX(Array_ElectricalCharges,MATCH($A488,List_ElectricityMeters,0),ROUNDUP(COLUMN()/3,0)-2))</f>
        <v/>
      </c>
      <c r="Z488" s="127"/>
      <c r="AA488" s="137"/>
      <c r="AB488" s="58" t="str" cm="1">
        <f>IF(ISBLANK($A488),"",INDEX(Array_ElectricalCharges,MATCH($A488,List_ElectricityMeters,0),ROUNDUP(COLUMN()/3,0)-2))</f>
        <v/>
      </c>
      <c r="AC488" s="127"/>
      <c r="AD488" s="137"/>
      <c r="AE488" s="58" t="str" cm="1">
        <f>IF(ISBLANK($A488),"",INDEX(Array_ElectricalCharges,MATCH($A488,List_ElectricityMeters,0),ROUNDUP(COLUMN()/3,0)-2))</f>
        <v/>
      </c>
      <c r="AF488" s="127"/>
      <c r="AG488" s="137"/>
      <c r="AH488" s="58" t="str" cm="1">
        <f>IF(ISBLANK($A488),"",INDEX(Array_ElectricalCharges,MATCH($A488,List_ElectricityMeters,0),ROUNDUP(COLUMN()/3,0)-2))</f>
        <v/>
      </c>
      <c r="AI488" s="127"/>
      <c r="AJ488" s="137"/>
      <c r="AK488" s="58" t="str" cm="1">
        <f>IF(ISBLANK($A488),"",INDEX(Array_ElectricalCharges,MATCH($A488,List_ElectricityMeters,0),ROUNDUP(COLUMN()/3,0)-2))</f>
        <v/>
      </c>
      <c r="AL488" s="127"/>
      <c r="AM488" s="137"/>
      <c r="AN488" s="58" t="str" cm="1">
        <f>IF(ISBLANK($A488),"",INDEX(Array_ElectricalCharges,MATCH($A488,List_ElectricityMeters,0),ROUNDUP(COLUMN()/3,0)-2))</f>
        <v/>
      </c>
      <c r="AO488" s="127"/>
      <c r="AP488" s="137"/>
      <c r="AQ488" s="58" t="str" cm="1">
        <f>IF(ISBLANK($A488),"",INDEX(Array_ElectricalCharges,MATCH($A488,List_ElectricityMeters,0),ROUNDUP(COLUMN()/3,0)-2))</f>
        <v/>
      </c>
      <c r="AR488" s="127"/>
      <c r="AS488" s="137"/>
      <c r="AT488" s="58" t="str" cm="1">
        <f>IF(ISBLANK($A488),"",INDEX(Array_ElectricalCharges,MATCH($A488,List_ElectricityMeters,0),ROUNDUP(COLUMN()/3,0)-2))</f>
        <v/>
      </c>
      <c r="AU488" s="127"/>
      <c r="AV488" s="137"/>
      <c r="AW488" s="58" t="str" cm="1">
        <f>IF(ISBLANK($A488),"",INDEX(Array_ElectricalCharges,MATCH($A488,List_ElectricityMeters,0),ROUNDUP(COLUMN()/3,0)-2))</f>
        <v/>
      </c>
      <c r="AX488" s="127"/>
      <c r="AY488" s="137"/>
    </row>
    <row r="489" spans="1:51" x14ac:dyDescent="0.3">
      <c r="A489" s="126"/>
      <c r="B489" s="133"/>
      <c r="C489" s="134"/>
      <c r="D489" s="134"/>
      <c r="E489" s="135"/>
      <c r="F489" s="136"/>
      <c r="G489" s="58" t="str" cm="1">
        <f>IF(ISBLANK($A489),"",INDEX(Array_ElectricalCharges,MATCH($A489,List_ElectricityMeters,0),ROUNDUP(COLUMN()/3,0)-2))</f>
        <v/>
      </c>
      <c r="H489" s="127"/>
      <c r="I489" s="137"/>
      <c r="J489" s="58" t="str" cm="1">
        <f>IF(ISBLANK($A489),"",INDEX(Array_ElectricalCharges,MATCH($A489,List_ElectricityMeters,0),ROUNDUP(COLUMN()/3,0)-2))</f>
        <v/>
      </c>
      <c r="K489" s="127"/>
      <c r="L489" s="137"/>
      <c r="M489" s="58" t="str" cm="1">
        <f>IF(ISBLANK($A489),"",INDEX(Array_ElectricalCharges,MATCH($A489,List_ElectricityMeters,0),ROUNDUP(COLUMN()/3,0)-2))</f>
        <v/>
      </c>
      <c r="N489" s="127"/>
      <c r="O489" s="137"/>
      <c r="P489" s="58" t="str" cm="1">
        <f>IF(ISBLANK($A489),"",INDEX(Array_ElectricalCharges,MATCH($A489,List_ElectricityMeters,0),ROUNDUP(COLUMN()/3,0)-2))</f>
        <v/>
      </c>
      <c r="Q489" s="127"/>
      <c r="R489" s="137"/>
      <c r="S489" s="58" t="str" cm="1">
        <f>IF(ISBLANK($A489),"",INDEX(Array_ElectricalCharges,MATCH($A489,List_ElectricityMeters,0),ROUNDUP(COLUMN()/3,0)-2))</f>
        <v/>
      </c>
      <c r="T489" s="127"/>
      <c r="U489" s="137"/>
      <c r="V489" s="58" t="str" cm="1">
        <f>IF(ISBLANK($A489),"",INDEX(Array_ElectricalCharges,MATCH($A489,List_ElectricityMeters,0),ROUNDUP(COLUMN()/3,0)-2))</f>
        <v/>
      </c>
      <c r="W489" s="127"/>
      <c r="X489" s="137"/>
      <c r="Y489" s="58" t="str" cm="1">
        <f>IF(ISBLANK($A489),"",INDEX(Array_ElectricalCharges,MATCH($A489,List_ElectricityMeters,0),ROUNDUP(COLUMN()/3,0)-2))</f>
        <v/>
      </c>
      <c r="Z489" s="127"/>
      <c r="AA489" s="137"/>
      <c r="AB489" s="58" t="str" cm="1">
        <f>IF(ISBLANK($A489),"",INDEX(Array_ElectricalCharges,MATCH($A489,List_ElectricityMeters,0),ROUNDUP(COLUMN()/3,0)-2))</f>
        <v/>
      </c>
      <c r="AC489" s="127"/>
      <c r="AD489" s="137"/>
      <c r="AE489" s="58" t="str" cm="1">
        <f>IF(ISBLANK($A489),"",INDEX(Array_ElectricalCharges,MATCH($A489,List_ElectricityMeters,0),ROUNDUP(COLUMN()/3,0)-2))</f>
        <v/>
      </c>
      <c r="AF489" s="127"/>
      <c r="AG489" s="137"/>
      <c r="AH489" s="58" t="str" cm="1">
        <f>IF(ISBLANK($A489),"",INDEX(Array_ElectricalCharges,MATCH($A489,List_ElectricityMeters,0),ROUNDUP(COLUMN()/3,0)-2))</f>
        <v/>
      </c>
      <c r="AI489" s="127"/>
      <c r="AJ489" s="137"/>
      <c r="AK489" s="58" t="str" cm="1">
        <f>IF(ISBLANK($A489),"",INDEX(Array_ElectricalCharges,MATCH($A489,List_ElectricityMeters,0),ROUNDUP(COLUMN()/3,0)-2))</f>
        <v/>
      </c>
      <c r="AL489" s="127"/>
      <c r="AM489" s="137"/>
      <c r="AN489" s="58" t="str" cm="1">
        <f>IF(ISBLANK($A489),"",INDEX(Array_ElectricalCharges,MATCH($A489,List_ElectricityMeters,0),ROUNDUP(COLUMN()/3,0)-2))</f>
        <v/>
      </c>
      <c r="AO489" s="127"/>
      <c r="AP489" s="137"/>
      <c r="AQ489" s="58" t="str" cm="1">
        <f>IF(ISBLANK($A489),"",INDEX(Array_ElectricalCharges,MATCH($A489,List_ElectricityMeters,0),ROUNDUP(COLUMN()/3,0)-2))</f>
        <v/>
      </c>
      <c r="AR489" s="127"/>
      <c r="AS489" s="137"/>
      <c r="AT489" s="58" t="str" cm="1">
        <f>IF(ISBLANK($A489),"",INDEX(Array_ElectricalCharges,MATCH($A489,List_ElectricityMeters,0),ROUNDUP(COLUMN()/3,0)-2))</f>
        <v/>
      </c>
      <c r="AU489" s="127"/>
      <c r="AV489" s="137"/>
      <c r="AW489" s="58" t="str" cm="1">
        <f>IF(ISBLANK($A489),"",INDEX(Array_ElectricalCharges,MATCH($A489,List_ElectricityMeters,0),ROUNDUP(COLUMN()/3,0)-2))</f>
        <v/>
      </c>
      <c r="AX489" s="127"/>
      <c r="AY489" s="137"/>
    </row>
    <row r="490" spans="1:51" x14ac:dyDescent="0.3">
      <c r="A490" s="126"/>
      <c r="B490" s="133"/>
      <c r="C490" s="134"/>
      <c r="D490" s="134"/>
      <c r="E490" s="135"/>
      <c r="F490" s="136"/>
      <c r="G490" s="58" t="str" cm="1">
        <f>IF(ISBLANK($A490),"",INDEX(Array_ElectricalCharges,MATCH($A490,List_ElectricityMeters,0),ROUNDUP(COLUMN()/3,0)-2))</f>
        <v/>
      </c>
      <c r="H490" s="127"/>
      <c r="I490" s="137"/>
      <c r="J490" s="58" t="str" cm="1">
        <f>IF(ISBLANK($A490),"",INDEX(Array_ElectricalCharges,MATCH($A490,List_ElectricityMeters,0),ROUNDUP(COLUMN()/3,0)-2))</f>
        <v/>
      </c>
      <c r="K490" s="127"/>
      <c r="L490" s="137"/>
      <c r="M490" s="58" t="str" cm="1">
        <f>IF(ISBLANK($A490),"",INDEX(Array_ElectricalCharges,MATCH($A490,List_ElectricityMeters,0),ROUNDUP(COLUMN()/3,0)-2))</f>
        <v/>
      </c>
      <c r="N490" s="127"/>
      <c r="O490" s="137"/>
      <c r="P490" s="58" t="str" cm="1">
        <f>IF(ISBLANK($A490),"",INDEX(Array_ElectricalCharges,MATCH($A490,List_ElectricityMeters,0),ROUNDUP(COLUMN()/3,0)-2))</f>
        <v/>
      </c>
      <c r="Q490" s="127"/>
      <c r="R490" s="137"/>
      <c r="S490" s="58" t="str" cm="1">
        <f>IF(ISBLANK($A490),"",INDEX(Array_ElectricalCharges,MATCH($A490,List_ElectricityMeters,0),ROUNDUP(COLUMN()/3,0)-2))</f>
        <v/>
      </c>
      <c r="T490" s="127"/>
      <c r="U490" s="137"/>
      <c r="V490" s="58" t="str" cm="1">
        <f>IF(ISBLANK($A490),"",INDEX(Array_ElectricalCharges,MATCH($A490,List_ElectricityMeters,0),ROUNDUP(COLUMN()/3,0)-2))</f>
        <v/>
      </c>
      <c r="W490" s="127"/>
      <c r="X490" s="137"/>
      <c r="Y490" s="58" t="str" cm="1">
        <f>IF(ISBLANK($A490),"",INDEX(Array_ElectricalCharges,MATCH($A490,List_ElectricityMeters,0),ROUNDUP(COLUMN()/3,0)-2))</f>
        <v/>
      </c>
      <c r="Z490" s="127"/>
      <c r="AA490" s="137"/>
      <c r="AB490" s="58" t="str" cm="1">
        <f>IF(ISBLANK($A490),"",INDEX(Array_ElectricalCharges,MATCH($A490,List_ElectricityMeters,0),ROUNDUP(COLUMN()/3,0)-2))</f>
        <v/>
      </c>
      <c r="AC490" s="127"/>
      <c r="AD490" s="137"/>
      <c r="AE490" s="58" t="str" cm="1">
        <f>IF(ISBLANK($A490),"",INDEX(Array_ElectricalCharges,MATCH($A490,List_ElectricityMeters,0),ROUNDUP(COLUMN()/3,0)-2))</f>
        <v/>
      </c>
      <c r="AF490" s="127"/>
      <c r="AG490" s="137"/>
      <c r="AH490" s="58" t="str" cm="1">
        <f>IF(ISBLANK($A490),"",INDEX(Array_ElectricalCharges,MATCH($A490,List_ElectricityMeters,0),ROUNDUP(COLUMN()/3,0)-2))</f>
        <v/>
      </c>
      <c r="AI490" s="127"/>
      <c r="AJ490" s="137"/>
      <c r="AK490" s="58" t="str" cm="1">
        <f>IF(ISBLANK($A490),"",INDEX(Array_ElectricalCharges,MATCH($A490,List_ElectricityMeters,0),ROUNDUP(COLUMN()/3,0)-2))</f>
        <v/>
      </c>
      <c r="AL490" s="127"/>
      <c r="AM490" s="137"/>
      <c r="AN490" s="58" t="str" cm="1">
        <f>IF(ISBLANK($A490),"",INDEX(Array_ElectricalCharges,MATCH($A490,List_ElectricityMeters,0),ROUNDUP(COLUMN()/3,0)-2))</f>
        <v/>
      </c>
      <c r="AO490" s="127"/>
      <c r="AP490" s="137"/>
      <c r="AQ490" s="58" t="str" cm="1">
        <f>IF(ISBLANK($A490),"",INDEX(Array_ElectricalCharges,MATCH($A490,List_ElectricityMeters,0),ROUNDUP(COLUMN()/3,0)-2))</f>
        <v/>
      </c>
      <c r="AR490" s="127"/>
      <c r="AS490" s="137"/>
      <c r="AT490" s="58" t="str" cm="1">
        <f>IF(ISBLANK($A490),"",INDEX(Array_ElectricalCharges,MATCH($A490,List_ElectricityMeters,0),ROUNDUP(COLUMN()/3,0)-2))</f>
        <v/>
      </c>
      <c r="AU490" s="127"/>
      <c r="AV490" s="137"/>
      <c r="AW490" s="58" t="str" cm="1">
        <f>IF(ISBLANK($A490),"",INDEX(Array_ElectricalCharges,MATCH($A490,List_ElectricityMeters,0),ROUNDUP(COLUMN()/3,0)-2))</f>
        <v/>
      </c>
      <c r="AX490" s="127"/>
      <c r="AY490" s="137"/>
    </row>
    <row r="491" spans="1:51" x14ac:dyDescent="0.3">
      <c r="A491" s="126"/>
      <c r="B491" s="133"/>
      <c r="C491" s="134"/>
      <c r="D491" s="134"/>
      <c r="E491" s="135"/>
      <c r="F491" s="136"/>
      <c r="G491" s="58" t="str" cm="1">
        <f>IF(ISBLANK($A491),"",INDEX(Array_ElectricalCharges,MATCH($A491,List_ElectricityMeters,0),ROUNDUP(COLUMN()/3,0)-2))</f>
        <v/>
      </c>
      <c r="H491" s="127"/>
      <c r="I491" s="137"/>
      <c r="J491" s="58" t="str" cm="1">
        <f>IF(ISBLANK($A491),"",INDEX(Array_ElectricalCharges,MATCH($A491,List_ElectricityMeters,0),ROUNDUP(COLUMN()/3,0)-2))</f>
        <v/>
      </c>
      <c r="K491" s="127"/>
      <c r="L491" s="137"/>
      <c r="M491" s="58" t="str" cm="1">
        <f>IF(ISBLANK($A491),"",INDEX(Array_ElectricalCharges,MATCH($A491,List_ElectricityMeters,0),ROUNDUP(COLUMN()/3,0)-2))</f>
        <v/>
      </c>
      <c r="N491" s="127"/>
      <c r="O491" s="137"/>
      <c r="P491" s="58" t="str" cm="1">
        <f>IF(ISBLANK($A491),"",INDEX(Array_ElectricalCharges,MATCH($A491,List_ElectricityMeters,0),ROUNDUP(COLUMN()/3,0)-2))</f>
        <v/>
      </c>
      <c r="Q491" s="127"/>
      <c r="R491" s="137"/>
      <c r="S491" s="58" t="str" cm="1">
        <f>IF(ISBLANK($A491),"",INDEX(Array_ElectricalCharges,MATCH($A491,List_ElectricityMeters,0),ROUNDUP(COLUMN()/3,0)-2))</f>
        <v/>
      </c>
      <c r="T491" s="127"/>
      <c r="U491" s="137"/>
      <c r="V491" s="58" t="str" cm="1">
        <f>IF(ISBLANK($A491),"",INDEX(Array_ElectricalCharges,MATCH($A491,List_ElectricityMeters,0),ROUNDUP(COLUMN()/3,0)-2))</f>
        <v/>
      </c>
      <c r="W491" s="127"/>
      <c r="X491" s="137"/>
      <c r="Y491" s="58" t="str" cm="1">
        <f>IF(ISBLANK($A491),"",INDEX(Array_ElectricalCharges,MATCH($A491,List_ElectricityMeters,0),ROUNDUP(COLUMN()/3,0)-2))</f>
        <v/>
      </c>
      <c r="Z491" s="127"/>
      <c r="AA491" s="137"/>
      <c r="AB491" s="58" t="str" cm="1">
        <f>IF(ISBLANK($A491),"",INDEX(Array_ElectricalCharges,MATCH($A491,List_ElectricityMeters,0),ROUNDUP(COLUMN()/3,0)-2))</f>
        <v/>
      </c>
      <c r="AC491" s="127"/>
      <c r="AD491" s="137"/>
      <c r="AE491" s="58" t="str" cm="1">
        <f>IF(ISBLANK($A491),"",INDEX(Array_ElectricalCharges,MATCH($A491,List_ElectricityMeters,0),ROUNDUP(COLUMN()/3,0)-2))</f>
        <v/>
      </c>
      <c r="AF491" s="127"/>
      <c r="AG491" s="137"/>
      <c r="AH491" s="58" t="str" cm="1">
        <f>IF(ISBLANK($A491),"",INDEX(Array_ElectricalCharges,MATCH($A491,List_ElectricityMeters,0),ROUNDUP(COLUMN()/3,0)-2))</f>
        <v/>
      </c>
      <c r="AI491" s="127"/>
      <c r="AJ491" s="137"/>
      <c r="AK491" s="58" t="str" cm="1">
        <f>IF(ISBLANK($A491),"",INDEX(Array_ElectricalCharges,MATCH($A491,List_ElectricityMeters,0),ROUNDUP(COLUMN()/3,0)-2))</f>
        <v/>
      </c>
      <c r="AL491" s="127"/>
      <c r="AM491" s="137"/>
      <c r="AN491" s="58" t="str" cm="1">
        <f>IF(ISBLANK($A491),"",INDEX(Array_ElectricalCharges,MATCH($A491,List_ElectricityMeters,0),ROUNDUP(COLUMN()/3,0)-2))</f>
        <v/>
      </c>
      <c r="AO491" s="127"/>
      <c r="AP491" s="137"/>
      <c r="AQ491" s="58" t="str" cm="1">
        <f>IF(ISBLANK($A491),"",INDEX(Array_ElectricalCharges,MATCH($A491,List_ElectricityMeters,0),ROUNDUP(COLUMN()/3,0)-2))</f>
        <v/>
      </c>
      <c r="AR491" s="127"/>
      <c r="AS491" s="137"/>
      <c r="AT491" s="58" t="str" cm="1">
        <f>IF(ISBLANK($A491),"",INDEX(Array_ElectricalCharges,MATCH($A491,List_ElectricityMeters,0),ROUNDUP(COLUMN()/3,0)-2))</f>
        <v/>
      </c>
      <c r="AU491" s="127"/>
      <c r="AV491" s="137"/>
      <c r="AW491" s="58" t="str" cm="1">
        <f>IF(ISBLANK($A491),"",INDEX(Array_ElectricalCharges,MATCH($A491,List_ElectricityMeters,0),ROUNDUP(COLUMN()/3,0)-2))</f>
        <v/>
      </c>
      <c r="AX491" s="127"/>
      <c r="AY491" s="137"/>
    </row>
    <row r="492" spans="1:51" x14ac:dyDescent="0.3">
      <c r="A492" s="126"/>
      <c r="B492" s="133"/>
      <c r="C492" s="134"/>
      <c r="D492" s="134"/>
      <c r="E492" s="135"/>
      <c r="F492" s="136"/>
      <c r="G492" s="58" t="str" cm="1">
        <f>IF(ISBLANK($A492),"",INDEX(Array_ElectricalCharges,MATCH($A492,List_ElectricityMeters,0),ROUNDUP(COLUMN()/3,0)-2))</f>
        <v/>
      </c>
      <c r="H492" s="127"/>
      <c r="I492" s="137"/>
      <c r="J492" s="58" t="str" cm="1">
        <f>IF(ISBLANK($A492),"",INDEX(Array_ElectricalCharges,MATCH($A492,List_ElectricityMeters,0),ROUNDUP(COLUMN()/3,0)-2))</f>
        <v/>
      </c>
      <c r="K492" s="127"/>
      <c r="L492" s="137"/>
      <c r="M492" s="58" t="str" cm="1">
        <f>IF(ISBLANK($A492),"",INDEX(Array_ElectricalCharges,MATCH($A492,List_ElectricityMeters,0),ROUNDUP(COLUMN()/3,0)-2))</f>
        <v/>
      </c>
      <c r="N492" s="127"/>
      <c r="O492" s="137"/>
      <c r="P492" s="58" t="str" cm="1">
        <f>IF(ISBLANK($A492),"",INDEX(Array_ElectricalCharges,MATCH($A492,List_ElectricityMeters,0),ROUNDUP(COLUMN()/3,0)-2))</f>
        <v/>
      </c>
      <c r="Q492" s="127"/>
      <c r="R492" s="137"/>
      <c r="S492" s="58" t="str" cm="1">
        <f>IF(ISBLANK($A492),"",INDEX(Array_ElectricalCharges,MATCH($A492,List_ElectricityMeters,0),ROUNDUP(COLUMN()/3,0)-2))</f>
        <v/>
      </c>
      <c r="T492" s="127"/>
      <c r="U492" s="137"/>
      <c r="V492" s="58" t="str" cm="1">
        <f>IF(ISBLANK($A492),"",INDEX(Array_ElectricalCharges,MATCH($A492,List_ElectricityMeters,0),ROUNDUP(COLUMN()/3,0)-2))</f>
        <v/>
      </c>
      <c r="W492" s="127"/>
      <c r="X492" s="137"/>
      <c r="Y492" s="58" t="str" cm="1">
        <f>IF(ISBLANK($A492),"",INDEX(Array_ElectricalCharges,MATCH($A492,List_ElectricityMeters,0),ROUNDUP(COLUMN()/3,0)-2))</f>
        <v/>
      </c>
      <c r="Z492" s="127"/>
      <c r="AA492" s="137"/>
      <c r="AB492" s="58" t="str" cm="1">
        <f>IF(ISBLANK($A492),"",INDEX(Array_ElectricalCharges,MATCH($A492,List_ElectricityMeters,0),ROUNDUP(COLUMN()/3,0)-2))</f>
        <v/>
      </c>
      <c r="AC492" s="127"/>
      <c r="AD492" s="137"/>
      <c r="AE492" s="58" t="str" cm="1">
        <f>IF(ISBLANK($A492),"",INDEX(Array_ElectricalCharges,MATCH($A492,List_ElectricityMeters,0),ROUNDUP(COLUMN()/3,0)-2))</f>
        <v/>
      </c>
      <c r="AF492" s="127"/>
      <c r="AG492" s="137"/>
      <c r="AH492" s="58" t="str" cm="1">
        <f>IF(ISBLANK($A492),"",INDEX(Array_ElectricalCharges,MATCH($A492,List_ElectricityMeters,0),ROUNDUP(COLUMN()/3,0)-2))</f>
        <v/>
      </c>
      <c r="AI492" s="127"/>
      <c r="AJ492" s="137"/>
      <c r="AK492" s="58" t="str" cm="1">
        <f>IF(ISBLANK($A492),"",INDEX(Array_ElectricalCharges,MATCH($A492,List_ElectricityMeters,0),ROUNDUP(COLUMN()/3,0)-2))</f>
        <v/>
      </c>
      <c r="AL492" s="127"/>
      <c r="AM492" s="137"/>
      <c r="AN492" s="58" t="str" cm="1">
        <f>IF(ISBLANK($A492),"",INDEX(Array_ElectricalCharges,MATCH($A492,List_ElectricityMeters,0),ROUNDUP(COLUMN()/3,0)-2))</f>
        <v/>
      </c>
      <c r="AO492" s="127"/>
      <c r="AP492" s="137"/>
      <c r="AQ492" s="58" t="str" cm="1">
        <f>IF(ISBLANK($A492),"",INDEX(Array_ElectricalCharges,MATCH($A492,List_ElectricityMeters,0),ROUNDUP(COLUMN()/3,0)-2))</f>
        <v/>
      </c>
      <c r="AR492" s="127"/>
      <c r="AS492" s="137"/>
      <c r="AT492" s="58" t="str" cm="1">
        <f>IF(ISBLANK($A492),"",INDEX(Array_ElectricalCharges,MATCH($A492,List_ElectricityMeters,0),ROUNDUP(COLUMN()/3,0)-2))</f>
        <v/>
      </c>
      <c r="AU492" s="127"/>
      <c r="AV492" s="137"/>
      <c r="AW492" s="58" t="str" cm="1">
        <f>IF(ISBLANK($A492),"",INDEX(Array_ElectricalCharges,MATCH($A492,List_ElectricityMeters,0),ROUNDUP(COLUMN()/3,0)-2))</f>
        <v/>
      </c>
      <c r="AX492" s="127"/>
      <c r="AY492" s="137"/>
    </row>
    <row r="493" spans="1:51" x14ac:dyDescent="0.3">
      <c r="A493" s="126"/>
      <c r="B493" s="133"/>
      <c r="C493" s="134"/>
      <c r="D493" s="134"/>
      <c r="E493" s="135"/>
      <c r="F493" s="136"/>
      <c r="G493" s="58" t="str" cm="1">
        <f>IF(ISBLANK($A493),"",INDEX(Array_ElectricalCharges,MATCH($A493,List_ElectricityMeters,0),ROUNDUP(COLUMN()/3,0)-2))</f>
        <v/>
      </c>
      <c r="H493" s="127"/>
      <c r="I493" s="137"/>
      <c r="J493" s="58" t="str" cm="1">
        <f>IF(ISBLANK($A493),"",INDEX(Array_ElectricalCharges,MATCH($A493,List_ElectricityMeters,0),ROUNDUP(COLUMN()/3,0)-2))</f>
        <v/>
      </c>
      <c r="K493" s="127"/>
      <c r="L493" s="137"/>
      <c r="M493" s="58" t="str" cm="1">
        <f>IF(ISBLANK($A493),"",INDEX(Array_ElectricalCharges,MATCH($A493,List_ElectricityMeters,0),ROUNDUP(COLUMN()/3,0)-2))</f>
        <v/>
      </c>
      <c r="N493" s="127"/>
      <c r="O493" s="137"/>
      <c r="P493" s="58" t="str" cm="1">
        <f>IF(ISBLANK($A493),"",INDEX(Array_ElectricalCharges,MATCH($A493,List_ElectricityMeters,0),ROUNDUP(COLUMN()/3,0)-2))</f>
        <v/>
      </c>
      <c r="Q493" s="127"/>
      <c r="R493" s="137"/>
      <c r="S493" s="58" t="str" cm="1">
        <f>IF(ISBLANK($A493),"",INDEX(Array_ElectricalCharges,MATCH($A493,List_ElectricityMeters,0),ROUNDUP(COLUMN()/3,0)-2))</f>
        <v/>
      </c>
      <c r="T493" s="127"/>
      <c r="U493" s="137"/>
      <c r="V493" s="58" t="str" cm="1">
        <f>IF(ISBLANK($A493),"",INDEX(Array_ElectricalCharges,MATCH($A493,List_ElectricityMeters,0),ROUNDUP(COLUMN()/3,0)-2))</f>
        <v/>
      </c>
      <c r="W493" s="127"/>
      <c r="X493" s="137"/>
      <c r="Y493" s="58" t="str" cm="1">
        <f>IF(ISBLANK($A493),"",INDEX(Array_ElectricalCharges,MATCH($A493,List_ElectricityMeters,0),ROUNDUP(COLUMN()/3,0)-2))</f>
        <v/>
      </c>
      <c r="Z493" s="127"/>
      <c r="AA493" s="137"/>
      <c r="AB493" s="58" t="str" cm="1">
        <f>IF(ISBLANK($A493),"",INDEX(Array_ElectricalCharges,MATCH($A493,List_ElectricityMeters,0),ROUNDUP(COLUMN()/3,0)-2))</f>
        <v/>
      </c>
      <c r="AC493" s="127"/>
      <c r="AD493" s="137"/>
      <c r="AE493" s="58" t="str" cm="1">
        <f>IF(ISBLANK($A493),"",INDEX(Array_ElectricalCharges,MATCH($A493,List_ElectricityMeters,0),ROUNDUP(COLUMN()/3,0)-2))</f>
        <v/>
      </c>
      <c r="AF493" s="127"/>
      <c r="AG493" s="137"/>
      <c r="AH493" s="58" t="str" cm="1">
        <f>IF(ISBLANK($A493),"",INDEX(Array_ElectricalCharges,MATCH($A493,List_ElectricityMeters,0),ROUNDUP(COLUMN()/3,0)-2))</f>
        <v/>
      </c>
      <c r="AI493" s="127"/>
      <c r="AJ493" s="137"/>
      <c r="AK493" s="58" t="str" cm="1">
        <f>IF(ISBLANK($A493),"",INDEX(Array_ElectricalCharges,MATCH($A493,List_ElectricityMeters,0),ROUNDUP(COLUMN()/3,0)-2))</f>
        <v/>
      </c>
      <c r="AL493" s="127"/>
      <c r="AM493" s="137"/>
      <c r="AN493" s="58" t="str" cm="1">
        <f>IF(ISBLANK($A493),"",INDEX(Array_ElectricalCharges,MATCH($A493,List_ElectricityMeters,0),ROUNDUP(COLUMN()/3,0)-2))</f>
        <v/>
      </c>
      <c r="AO493" s="127"/>
      <c r="AP493" s="137"/>
      <c r="AQ493" s="58" t="str" cm="1">
        <f>IF(ISBLANK($A493),"",INDEX(Array_ElectricalCharges,MATCH($A493,List_ElectricityMeters,0),ROUNDUP(COLUMN()/3,0)-2))</f>
        <v/>
      </c>
      <c r="AR493" s="127"/>
      <c r="AS493" s="137"/>
      <c r="AT493" s="58" t="str" cm="1">
        <f>IF(ISBLANK($A493),"",INDEX(Array_ElectricalCharges,MATCH($A493,List_ElectricityMeters,0),ROUNDUP(COLUMN()/3,0)-2))</f>
        <v/>
      </c>
      <c r="AU493" s="127"/>
      <c r="AV493" s="137"/>
      <c r="AW493" s="58" t="str" cm="1">
        <f>IF(ISBLANK($A493),"",INDEX(Array_ElectricalCharges,MATCH($A493,List_ElectricityMeters,0),ROUNDUP(COLUMN()/3,0)-2))</f>
        <v/>
      </c>
      <c r="AX493" s="127"/>
      <c r="AY493" s="137"/>
    </row>
    <row r="494" spans="1:51" x14ac:dyDescent="0.3">
      <c r="A494" s="126"/>
      <c r="B494" s="133"/>
      <c r="C494" s="134"/>
      <c r="D494" s="134"/>
      <c r="E494" s="135"/>
      <c r="F494" s="136"/>
      <c r="G494" s="58" t="str" cm="1">
        <f>IF(ISBLANK($A494),"",INDEX(Array_ElectricalCharges,MATCH($A494,List_ElectricityMeters,0),ROUNDUP(COLUMN()/3,0)-2))</f>
        <v/>
      </c>
      <c r="H494" s="127"/>
      <c r="I494" s="137"/>
      <c r="J494" s="58" t="str" cm="1">
        <f>IF(ISBLANK($A494),"",INDEX(Array_ElectricalCharges,MATCH($A494,List_ElectricityMeters,0),ROUNDUP(COLUMN()/3,0)-2))</f>
        <v/>
      </c>
      <c r="K494" s="127"/>
      <c r="L494" s="137"/>
      <c r="M494" s="58" t="str" cm="1">
        <f>IF(ISBLANK($A494),"",INDEX(Array_ElectricalCharges,MATCH($A494,List_ElectricityMeters,0),ROUNDUP(COLUMN()/3,0)-2))</f>
        <v/>
      </c>
      <c r="N494" s="127"/>
      <c r="O494" s="137"/>
      <c r="P494" s="58" t="str" cm="1">
        <f>IF(ISBLANK($A494),"",INDEX(Array_ElectricalCharges,MATCH($A494,List_ElectricityMeters,0),ROUNDUP(COLUMN()/3,0)-2))</f>
        <v/>
      </c>
      <c r="Q494" s="127"/>
      <c r="R494" s="137"/>
      <c r="S494" s="58" t="str" cm="1">
        <f>IF(ISBLANK($A494),"",INDEX(Array_ElectricalCharges,MATCH($A494,List_ElectricityMeters,0),ROUNDUP(COLUMN()/3,0)-2))</f>
        <v/>
      </c>
      <c r="T494" s="127"/>
      <c r="U494" s="137"/>
      <c r="V494" s="58" t="str" cm="1">
        <f>IF(ISBLANK($A494),"",INDEX(Array_ElectricalCharges,MATCH($A494,List_ElectricityMeters,0),ROUNDUP(COLUMN()/3,0)-2))</f>
        <v/>
      </c>
      <c r="W494" s="127"/>
      <c r="X494" s="137"/>
      <c r="Y494" s="58" t="str" cm="1">
        <f>IF(ISBLANK($A494),"",INDEX(Array_ElectricalCharges,MATCH($A494,List_ElectricityMeters,0),ROUNDUP(COLUMN()/3,0)-2))</f>
        <v/>
      </c>
      <c r="Z494" s="127"/>
      <c r="AA494" s="137"/>
      <c r="AB494" s="58" t="str" cm="1">
        <f>IF(ISBLANK($A494),"",INDEX(Array_ElectricalCharges,MATCH($A494,List_ElectricityMeters,0),ROUNDUP(COLUMN()/3,0)-2))</f>
        <v/>
      </c>
      <c r="AC494" s="127"/>
      <c r="AD494" s="137"/>
      <c r="AE494" s="58" t="str" cm="1">
        <f>IF(ISBLANK($A494),"",INDEX(Array_ElectricalCharges,MATCH($A494,List_ElectricityMeters,0),ROUNDUP(COLUMN()/3,0)-2))</f>
        <v/>
      </c>
      <c r="AF494" s="127"/>
      <c r="AG494" s="137"/>
      <c r="AH494" s="58" t="str" cm="1">
        <f>IF(ISBLANK($A494),"",INDEX(Array_ElectricalCharges,MATCH($A494,List_ElectricityMeters,0),ROUNDUP(COLUMN()/3,0)-2))</f>
        <v/>
      </c>
      <c r="AI494" s="127"/>
      <c r="AJ494" s="137"/>
      <c r="AK494" s="58" t="str" cm="1">
        <f>IF(ISBLANK($A494),"",INDEX(Array_ElectricalCharges,MATCH($A494,List_ElectricityMeters,0),ROUNDUP(COLUMN()/3,0)-2))</f>
        <v/>
      </c>
      <c r="AL494" s="127"/>
      <c r="AM494" s="137"/>
      <c r="AN494" s="58" t="str" cm="1">
        <f>IF(ISBLANK($A494),"",INDEX(Array_ElectricalCharges,MATCH($A494,List_ElectricityMeters,0),ROUNDUP(COLUMN()/3,0)-2))</f>
        <v/>
      </c>
      <c r="AO494" s="127"/>
      <c r="AP494" s="137"/>
      <c r="AQ494" s="58" t="str" cm="1">
        <f>IF(ISBLANK($A494),"",INDEX(Array_ElectricalCharges,MATCH($A494,List_ElectricityMeters,0),ROUNDUP(COLUMN()/3,0)-2))</f>
        <v/>
      </c>
      <c r="AR494" s="127"/>
      <c r="AS494" s="137"/>
      <c r="AT494" s="58" t="str" cm="1">
        <f>IF(ISBLANK($A494),"",INDEX(Array_ElectricalCharges,MATCH($A494,List_ElectricityMeters,0),ROUNDUP(COLUMN()/3,0)-2))</f>
        <v/>
      </c>
      <c r="AU494" s="127"/>
      <c r="AV494" s="137"/>
      <c r="AW494" s="58" t="str" cm="1">
        <f>IF(ISBLANK($A494),"",INDEX(Array_ElectricalCharges,MATCH($A494,List_ElectricityMeters,0),ROUNDUP(COLUMN()/3,0)-2))</f>
        <v/>
      </c>
      <c r="AX494" s="127"/>
      <c r="AY494" s="137"/>
    </row>
    <row r="495" spans="1:51" x14ac:dyDescent="0.3">
      <c r="A495" s="126"/>
      <c r="B495" s="133"/>
      <c r="C495" s="134"/>
      <c r="D495" s="134"/>
      <c r="E495" s="135"/>
      <c r="F495" s="136"/>
      <c r="G495" s="58" t="str" cm="1">
        <f>IF(ISBLANK($A495),"",INDEX(Array_ElectricalCharges,MATCH($A495,List_ElectricityMeters,0),ROUNDUP(COLUMN()/3,0)-2))</f>
        <v/>
      </c>
      <c r="H495" s="127"/>
      <c r="I495" s="137"/>
      <c r="J495" s="58" t="str" cm="1">
        <f>IF(ISBLANK($A495),"",INDEX(Array_ElectricalCharges,MATCH($A495,List_ElectricityMeters,0),ROUNDUP(COLUMN()/3,0)-2))</f>
        <v/>
      </c>
      <c r="K495" s="127"/>
      <c r="L495" s="137"/>
      <c r="M495" s="58" t="str" cm="1">
        <f>IF(ISBLANK($A495),"",INDEX(Array_ElectricalCharges,MATCH($A495,List_ElectricityMeters,0),ROUNDUP(COLUMN()/3,0)-2))</f>
        <v/>
      </c>
      <c r="N495" s="127"/>
      <c r="O495" s="137"/>
      <c r="P495" s="58" t="str" cm="1">
        <f>IF(ISBLANK($A495),"",INDEX(Array_ElectricalCharges,MATCH($A495,List_ElectricityMeters,0),ROUNDUP(COLUMN()/3,0)-2))</f>
        <v/>
      </c>
      <c r="Q495" s="127"/>
      <c r="R495" s="137"/>
      <c r="S495" s="58" t="str" cm="1">
        <f>IF(ISBLANK($A495),"",INDEX(Array_ElectricalCharges,MATCH($A495,List_ElectricityMeters,0),ROUNDUP(COLUMN()/3,0)-2))</f>
        <v/>
      </c>
      <c r="T495" s="127"/>
      <c r="U495" s="137"/>
      <c r="V495" s="58" t="str" cm="1">
        <f>IF(ISBLANK($A495),"",INDEX(Array_ElectricalCharges,MATCH($A495,List_ElectricityMeters,0),ROUNDUP(COLUMN()/3,0)-2))</f>
        <v/>
      </c>
      <c r="W495" s="127"/>
      <c r="X495" s="137"/>
      <c r="Y495" s="58" t="str" cm="1">
        <f>IF(ISBLANK($A495),"",INDEX(Array_ElectricalCharges,MATCH($A495,List_ElectricityMeters,0),ROUNDUP(COLUMN()/3,0)-2))</f>
        <v/>
      </c>
      <c r="Z495" s="127"/>
      <c r="AA495" s="137"/>
      <c r="AB495" s="58" t="str" cm="1">
        <f>IF(ISBLANK($A495),"",INDEX(Array_ElectricalCharges,MATCH($A495,List_ElectricityMeters,0),ROUNDUP(COLUMN()/3,0)-2))</f>
        <v/>
      </c>
      <c r="AC495" s="127"/>
      <c r="AD495" s="137"/>
      <c r="AE495" s="58" t="str" cm="1">
        <f>IF(ISBLANK($A495),"",INDEX(Array_ElectricalCharges,MATCH($A495,List_ElectricityMeters,0),ROUNDUP(COLUMN()/3,0)-2))</f>
        <v/>
      </c>
      <c r="AF495" s="127"/>
      <c r="AG495" s="137"/>
      <c r="AH495" s="58" t="str" cm="1">
        <f>IF(ISBLANK($A495),"",INDEX(Array_ElectricalCharges,MATCH($A495,List_ElectricityMeters,0),ROUNDUP(COLUMN()/3,0)-2))</f>
        <v/>
      </c>
      <c r="AI495" s="127"/>
      <c r="AJ495" s="137"/>
      <c r="AK495" s="58" t="str" cm="1">
        <f>IF(ISBLANK($A495),"",INDEX(Array_ElectricalCharges,MATCH($A495,List_ElectricityMeters,0),ROUNDUP(COLUMN()/3,0)-2))</f>
        <v/>
      </c>
      <c r="AL495" s="127"/>
      <c r="AM495" s="137"/>
      <c r="AN495" s="58" t="str" cm="1">
        <f>IF(ISBLANK($A495),"",INDEX(Array_ElectricalCharges,MATCH($A495,List_ElectricityMeters,0),ROUNDUP(COLUMN()/3,0)-2))</f>
        <v/>
      </c>
      <c r="AO495" s="127"/>
      <c r="AP495" s="137"/>
      <c r="AQ495" s="58" t="str" cm="1">
        <f>IF(ISBLANK($A495),"",INDEX(Array_ElectricalCharges,MATCH($A495,List_ElectricityMeters,0),ROUNDUP(COLUMN()/3,0)-2))</f>
        <v/>
      </c>
      <c r="AR495" s="127"/>
      <c r="AS495" s="137"/>
      <c r="AT495" s="58" t="str" cm="1">
        <f>IF(ISBLANK($A495),"",INDEX(Array_ElectricalCharges,MATCH($A495,List_ElectricityMeters,0),ROUNDUP(COLUMN()/3,0)-2))</f>
        <v/>
      </c>
      <c r="AU495" s="127"/>
      <c r="AV495" s="137"/>
      <c r="AW495" s="58" t="str" cm="1">
        <f>IF(ISBLANK($A495),"",INDEX(Array_ElectricalCharges,MATCH($A495,List_ElectricityMeters,0),ROUNDUP(COLUMN()/3,0)-2))</f>
        <v/>
      </c>
      <c r="AX495" s="127"/>
      <c r="AY495" s="137"/>
    </row>
    <row r="496" spans="1:51" x14ac:dyDescent="0.3">
      <c r="A496" s="126"/>
      <c r="B496" s="133"/>
      <c r="C496" s="134"/>
      <c r="D496" s="134"/>
      <c r="E496" s="135"/>
      <c r="F496" s="136"/>
      <c r="G496" s="58" t="str" cm="1">
        <f>IF(ISBLANK($A496),"",INDEX(Array_ElectricalCharges,MATCH($A496,List_ElectricityMeters,0),ROUNDUP(COLUMN()/3,0)-2))</f>
        <v/>
      </c>
      <c r="H496" s="127"/>
      <c r="I496" s="137"/>
      <c r="J496" s="58" t="str" cm="1">
        <f>IF(ISBLANK($A496),"",INDEX(Array_ElectricalCharges,MATCH($A496,List_ElectricityMeters,0),ROUNDUP(COLUMN()/3,0)-2))</f>
        <v/>
      </c>
      <c r="K496" s="127"/>
      <c r="L496" s="137"/>
      <c r="M496" s="58" t="str" cm="1">
        <f>IF(ISBLANK($A496),"",INDEX(Array_ElectricalCharges,MATCH($A496,List_ElectricityMeters,0),ROUNDUP(COLUMN()/3,0)-2))</f>
        <v/>
      </c>
      <c r="N496" s="127"/>
      <c r="O496" s="137"/>
      <c r="P496" s="58" t="str" cm="1">
        <f>IF(ISBLANK($A496),"",INDEX(Array_ElectricalCharges,MATCH($A496,List_ElectricityMeters,0),ROUNDUP(COLUMN()/3,0)-2))</f>
        <v/>
      </c>
      <c r="Q496" s="127"/>
      <c r="R496" s="137"/>
      <c r="S496" s="58" t="str" cm="1">
        <f>IF(ISBLANK($A496),"",INDEX(Array_ElectricalCharges,MATCH($A496,List_ElectricityMeters,0),ROUNDUP(COLUMN()/3,0)-2))</f>
        <v/>
      </c>
      <c r="T496" s="127"/>
      <c r="U496" s="137"/>
      <c r="V496" s="58" t="str" cm="1">
        <f>IF(ISBLANK($A496),"",INDEX(Array_ElectricalCharges,MATCH($A496,List_ElectricityMeters,0),ROUNDUP(COLUMN()/3,0)-2))</f>
        <v/>
      </c>
      <c r="W496" s="127"/>
      <c r="X496" s="137"/>
      <c r="Y496" s="58" t="str" cm="1">
        <f>IF(ISBLANK($A496),"",INDEX(Array_ElectricalCharges,MATCH($A496,List_ElectricityMeters,0),ROUNDUP(COLUMN()/3,0)-2))</f>
        <v/>
      </c>
      <c r="Z496" s="127"/>
      <c r="AA496" s="137"/>
      <c r="AB496" s="58" t="str" cm="1">
        <f>IF(ISBLANK($A496),"",INDEX(Array_ElectricalCharges,MATCH($A496,List_ElectricityMeters,0),ROUNDUP(COLUMN()/3,0)-2))</f>
        <v/>
      </c>
      <c r="AC496" s="127"/>
      <c r="AD496" s="137"/>
      <c r="AE496" s="58" t="str" cm="1">
        <f>IF(ISBLANK($A496),"",INDEX(Array_ElectricalCharges,MATCH($A496,List_ElectricityMeters,0),ROUNDUP(COLUMN()/3,0)-2))</f>
        <v/>
      </c>
      <c r="AF496" s="127"/>
      <c r="AG496" s="137"/>
      <c r="AH496" s="58" t="str" cm="1">
        <f>IF(ISBLANK($A496),"",INDEX(Array_ElectricalCharges,MATCH($A496,List_ElectricityMeters,0),ROUNDUP(COLUMN()/3,0)-2))</f>
        <v/>
      </c>
      <c r="AI496" s="127"/>
      <c r="AJ496" s="137"/>
      <c r="AK496" s="58" t="str" cm="1">
        <f>IF(ISBLANK($A496),"",INDEX(Array_ElectricalCharges,MATCH($A496,List_ElectricityMeters,0),ROUNDUP(COLUMN()/3,0)-2))</f>
        <v/>
      </c>
      <c r="AL496" s="127"/>
      <c r="AM496" s="137"/>
      <c r="AN496" s="58" t="str" cm="1">
        <f>IF(ISBLANK($A496),"",INDEX(Array_ElectricalCharges,MATCH($A496,List_ElectricityMeters,0),ROUNDUP(COLUMN()/3,0)-2))</f>
        <v/>
      </c>
      <c r="AO496" s="127"/>
      <c r="AP496" s="137"/>
      <c r="AQ496" s="58" t="str" cm="1">
        <f>IF(ISBLANK($A496),"",INDEX(Array_ElectricalCharges,MATCH($A496,List_ElectricityMeters,0),ROUNDUP(COLUMN()/3,0)-2))</f>
        <v/>
      </c>
      <c r="AR496" s="127"/>
      <c r="AS496" s="137"/>
      <c r="AT496" s="58" t="str" cm="1">
        <f>IF(ISBLANK($A496),"",INDEX(Array_ElectricalCharges,MATCH($A496,List_ElectricityMeters,0),ROUNDUP(COLUMN()/3,0)-2))</f>
        <v/>
      </c>
      <c r="AU496" s="127"/>
      <c r="AV496" s="137"/>
      <c r="AW496" s="58" t="str" cm="1">
        <f>IF(ISBLANK($A496),"",INDEX(Array_ElectricalCharges,MATCH($A496,List_ElectricityMeters,0),ROUNDUP(COLUMN()/3,0)-2))</f>
        <v/>
      </c>
      <c r="AX496" s="127"/>
      <c r="AY496" s="137"/>
    </row>
    <row r="497" spans="1:51" x14ac:dyDescent="0.3">
      <c r="A497" s="126"/>
      <c r="B497" s="133"/>
      <c r="C497" s="134"/>
      <c r="D497" s="134"/>
      <c r="E497" s="135"/>
      <c r="F497" s="136"/>
      <c r="G497" s="58" t="str" cm="1">
        <f>IF(ISBLANK($A497),"",INDEX(Array_ElectricalCharges,MATCH($A497,List_ElectricityMeters,0),ROUNDUP(COLUMN()/3,0)-2))</f>
        <v/>
      </c>
      <c r="H497" s="127"/>
      <c r="I497" s="137"/>
      <c r="J497" s="58" t="str" cm="1">
        <f>IF(ISBLANK($A497),"",INDEX(Array_ElectricalCharges,MATCH($A497,List_ElectricityMeters,0),ROUNDUP(COLUMN()/3,0)-2))</f>
        <v/>
      </c>
      <c r="K497" s="127"/>
      <c r="L497" s="137"/>
      <c r="M497" s="58" t="str" cm="1">
        <f>IF(ISBLANK($A497),"",INDEX(Array_ElectricalCharges,MATCH($A497,List_ElectricityMeters,0),ROUNDUP(COLUMN()/3,0)-2))</f>
        <v/>
      </c>
      <c r="N497" s="127"/>
      <c r="O497" s="137"/>
      <c r="P497" s="58" t="str" cm="1">
        <f>IF(ISBLANK($A497),"",INDEX(Array_ElectricalCharges,MATCH($A497,List_ElectricityMeters,0),ROUNDUP(COLUMN()/3,0)-2))</f>
        <v/>
      </c>
      <c r="Q497" s="127"/>
      <c r="R497" s="137"/>
      <c r="S497" s="58" t="str" cm="1">
        <f>IF(ISBLANK($A497),"",INDEX(Array_ElectricalCharges,MATCH($A497,List_ElectricityMeters,0),ROUNDUP(COLUMN()/3,0)-2))</f>
        <v/>
      </c>
      <c r="T497" s="127"/>
      <c r="U497" s="137"/>
      <c r="V497" s="58" t="str" cm="1">
        <f>IF(ISBLANK($A497),"",INDEX(Array_ElectricalCharges,MATCH($A497,List_ElectricityMeters,0),ROUNDUP(COLUMN()/3,0)-2))</f>
        <v/>
      </c>
      <c r="W497" s="127"/>
      <c r="X497" s="137"/>
      <c r="Y497" s="58" t="str" cm="1">
        <f>IF(ISBLANK($A497),"",INDEX(Array_ElectricalCharges,MATCH($A497,List_ElectricityMeters,0),ROUNDUP(COLUMN()/3,0)-2))</f>
        <v/>
      </c>
      <c r="Z497" s="127"/>
      <c r="AA497" s="137"/>
      <c r="AB497" s="58" t="str" cm="1">
        <f>IF(ISBLANK($A497),"",INDEX(Array_ElectricalCharges,MATCH($A497,List_ElectricityMeters,0),ROUNDUP(COLUMN()/3,0)-2))</f>
        <v/>
      </c>
      <c r="AC497" s="127"/>
      <c r="AD497" s="137"/>
      <c r="AE497" s="58" t="str" cm="1">
        <f>IF(ISBLANK($A497),"",INDEX(Array_ElectricalCharges,MATCH($A497,List_ElectricityMeters,0),ROUNDUP(COLUMN()/3,0)-2))</f>
        <v/>
      </c>
      <c r="AF497" s="127"/>
      <c r="AG497" s="137"/>
      <c r="AH497" s="58" t="str" cm="1">
        <f>IF(ISBLANK($A497),"",INDEX(Array_ElectricalCharges,MATCH($A497,List_ElectricityMeters,0),ROUNDUP(COLUMN()/3,0)-2))</f>
        <v/>
      </c>
      <c r="AI497" s="127"/>
      <c r="AJ497" s="137"/>
      <c r="AK497" s="58" t="str" cm="1">
        <f>IF(ISBLANK($A497),"",INDEX(Array_ElectricalCharges,MATCH($A497,List_ElectricityMeters,0),ROUNDUP(COLUMN()/3,0)-2))</f>
        <v/>
      </c>
      <c r="AL497" s="127"/>
      <c r="AM497" s="137"/>
      <c r="AN497" s="58" t="str" cm="1">
        <f>IF(ISBLANK($A497),"",INDEX(Array_ElectricalCharges,MATCH($A497,List_ElectricityMeters,0),ROUNDUP(COLUMN()/3,0)-2))</f>
        <v/>
      </c>
      <c r="AO497" s="127"/>
      <c r="AP497" s="137"/>
      <c r="AQ497" s="58" t="str" cm="1">
        <f>IF(ISBLANK($A497),"",INDEX(Array_ElectricalCharges,MATCH($A497,List_ElectricityMeters,0),ROUNDUP(COLUMN()/3,0)-2))</f>
        <v/>
      </c>
      <c r="AR497" s="127"/>
      <c r="AS497" s="137"/>
      <c r="AT497" s="58" t="str" cm="1">
        <f>IF(ISBLANK($A497),"",INDEX(Array_ElectricalCharges,MATCH($A497,List_ElectricityMeters,0),ROUNDUP(COLUMN()/3,0)-2))</f>
        <v/>
      </c>
      <c r="AU497" s="127"/>
      <c r="AV497" s="137"/>
      <c r="AW497" s="58" t="str" cm="1">
        <f>IF(ISBLANK($A497),"",INDEX(Array_ElectricalCharges,MATCH($A497,List_ElectricityMeters,0),ROUNDUP(COLUMN()/3,0)-2))</f>
        <v/>
      </c>
      <c r="AX497" s="127"/>
      <c r="AY497" s="137"/>
    </row>
    <row r="498" spans="1:51" x14ac:dyDescent="0.3">
      <c r="A498" s="126"/>
      <c r="B498" s="133"/>
      <c r="C498" s="134"/>
      <c r="D498" s="134"/>
      <c r="E498" s="135"/>
      <c r="F498" s="136"/>
      <c r="G498" s="58" t="str" cm="1">
        <f>IF(ISBLANK($A498),"",INDEX(Array_ElectricalCharges,MATCH($A498,List_ElectricityMeters,0),ROUNDUP(COLUMN()/3,0)-2))</f>
        <v/>
      </c>
      <c r="H498" s="127"/>
      <c r="I498" s="137"/>
      <c r="J498" s="58" t="str" cm="1">
        <f>IF(ISBLANK($A498),"",INDEX(Array_ElectricalCharges,MATCH($A498,List_ElectricityMeters,0),ROUNDUP(COLUMN()/3,0)-2))</f>
        <v/>
      </c>
      <c r="K498" s="127"/>
      <c r="L498" s="137"/>
      <c r="M498" s="58" t="str" cm="1">
        <f>IF(ISBLANK($A498),"",INDEX(Array_ElectricalCharges,MATCH($A498,List_ElectricityMeters,0),ROUNDUP(COLUMN()/3,0)-2))</f>
        <v/>
      </c>
      <c r="N498" s="127"/>
      <c r="O498" s="137"/>
      <c r="P498" s="58" t="str" cm="1">
        <f>IF(ISBLANK($A498),"",INDEX(Array_ElectricalCharges,MATCH($A498,List_ElectricityMeters,0),ROUNDUP(COLUMN()/3,0)-2))</f>
        <v/>
      </c>
      <c r="Q498" s="127"/>
      <c r="R498" s="137"/>
      <c r="S498" s="58" t="str" cm="1">
        <f>IF(ISBLANK($A498),"",INDEX(Array_ElectricalCharges,MATCH($A498,List_ElectricityMeters,0),ROUNDUP(COLUMN()/3,0)-2))</f>
        <v/>
      </c>
      <c r="T498" s="127"/>
      <c r="U498" s="137"/>
      <c r="V498" s="58" t="str" cm="1">
        <f>IF(ISBLANK($A498),"",INDEX(Array_ElectricalCharges,MATCH($A498,List_ElectricityMeters,0),ROUNDUP(COLUMN()/3,0)-2))</f>
        <v/>
      </c>
      <c r="W498" s="127"/>
      <c r="X498" s="137"/>
      <c r="Y498" s="58" t="str" cm="1">
        <f>IF(ISBLANK($A498),"",INDEX(Array_ElectricalCharges,MATCH($A498,List_ElectricityMeters,0),ROUNDUP(COLUMN()/3,0)-2))</f>
        <v/>
      </c>
      <c r="Z498" s="127"/>
      <c r="AA498" s="137"/>
      <c r="AB498" s="58" t="str" cm="1">
        <f>IF(ISBLANK($A498),"",INDEX(Array_ElectricalCharges,MATCH($A498,List_ElectricityMeters,0),ROUNDUP(COLUMN()/3,0)-2))</f>
        <v/>
      </c>
      <c r="AC498" s="127"/>
      <c r="AD498" s="137"/>
      <c r="AE498" s="58" t="str" cm="1">
        <f>IF(ISBLANK($A498),"",INDEX(Array_ElectricalCharges,MATCH($A498,List_ElectricityMeters,0),ROUNDUP(COLUMN()/3,0)-2))</f>
        <v/>
      </c>
      <c r="AF498" s="127"/>
      <c r="AG498" s="137"/>
      <c r="AH498" s="58" t="str" cm="1">
        <f>IF(ISBLANK($A498),"",INDEX(Array_ElectricalCharges,MATCH($A498,List_ElectricityMeters,0),ROUNDUP(COLUMN()/3,0)-2))</f>
        <v/>
      </c>
      <c r="AI498" s="127"/>
      <c r="AJ498" s="137"/>
      <c r="AK498" s="58" t="str" cm="1">
        <f>IF(ISBLANK($A498),"",INDEX(Array_ElectricalCharges,MATCH($A498,List_ElectricityMeters,0),ROUNDUP(COLUMN()/3,0)-2))</f>
        <v/>
      </c>
      <c r="AL498" s="127"/>
      <c r="AM498" s="137"/>
      <c r="AN498" s="58" t="str" cm="1">
        <f>IF(ISBLANK($A498),"",INDEX(Array_ElectricalCharges,MATCH($A498,List_ElectricityMeters,0),ROUNDUP(COLUMN()/3,0)-2))</f>
        <v/>
      </c>
      <c r="AO498" s="127"/>
      <c r="AP498" s="137"/>
      <c r="AQ498" s="58" t="str" cm="1">
        <f>IF(ISBLANK($A498),"",INDEX(Array_ElectricalCharges,MATCH($A498,List_ElectricityMeters,0),ROUNDUP(COLUMN()/3,0)-2))</f>
        <v/>
      </c>
      <c r="AR498" s="127"/>
      <c r="AS498" s="137"/>
      <c r="AT498" s="58" t="str" cm="1">
        <f>IF(ISBLANK($A498),"",INDEX(Array_ElectricalCharges,MATCH($A498,List_ElectricityMeters,0),ROUNDUP(COLUMN()/3,0)-2))</f>
        <v/>
      </c>
      <c r="AU498" s="127"/>
      <c r="AV498" s="137"/>
      <c r="AW498" s="58" t="str" cm="1">
        <f>IF(ISBLANK($A498),"",INDEX(Array_ElectricalCharges,MATCH($A498,List_ElectricityMeters,0),ROUNDUP(COLUMN()/3,0)-2))</f>
        <v/>
      </c>
      <c r="AX498" s="127"/>
      <c r="AY498" s="137"/>
    </row>
    <row r="499" spans="1:51" x14ac:dyDescent="0.3">
      <c r="A499" s="126"/>
      <c r="B499" s="133"/>
      <c r="C499" s="134"/>
      <c r="D499" s="134"/>
      <c r="E499" s="135"/>
      <c r="F499" s="136"/>
      <c r="G499" s="58" t="str" cm="1">
        <f>IF(ISBLANK($A499),"",INDEX(Array_ElectricalCharges,MATCH($A499,List_ElectricityMeters,0),ROUNDUP(COLUMN()/3,0)-2))</f>
        <v/>
      </c>
      <c r="H499" s="127"/>
      <c r="I499" s="137"/>
      <c r="J499" s="58" t="str" cm="1">
        <f>IF(ISBLANK($A499),"",INDEX(Array_ElectricalCharges,MATCH($A499,List_ElectricityMeters,0),ROUNDUP(COLUMN()/3,0)-2))</f>
        <v/>
      </c>
      <c r="K499" s="127"/>
      <c r="L499" s="137"/>
      <c r="M499" s="58" t="str" cm="1">
        <f>IF(ISBLANK($A499),"",INDEX(Array_ElectricalCharges,MATCH($A499,List_ElectricityMeters,0),ROUNDUP(COLUMN()/3,0)-2))</f>
        <v/>
      </c>
      <c r="N499" s="127"/>
      <c r="O499" s="137"/>
      <c r="P499" s="58" t="str" cm="1">
        <f>IF(ISBLANK($A499),"",INDEX(Array_ElectricalCharges,MATCH($A499,List_ElectricityMeters,0),ROUNDUP(COLUMN()/3,0)-2))</f>
        <v/>
      </c>
      <c r="Q499" s="127"/>
      <c r="R499" s="137"/>
      <c r="S499" s="58" t="str" cm="1">
        <f>IF(ISBLANK($A499),"",INDEX(Array_ElectricalCharges,MATCH($A499,List_ElectricityMeters,0),ROUNDUP(COLUMN()/3,0)-2))</f>
        <v/>
      </c>
      <c r="T499" s="127"/>
      <c r="U499" s="137"/>
      <c r="V499" s="58" t="str" cm="1">
        <f>IF(ISBLANK($A499),"",INDEX(Array_ElectricalCharges,MATCH($A499,List_ElectricityMeters,0),ROUNDUP(COLUMN()/3,0)-2))</f>
        <v/>
      </c>
      <c r="W499" s="127"/>
      <c r="X499" s="137"/>
      <c r="Y499" s="58" t="str" cm="1">
        <f>IF(ISBLANK($A499),"",INDEX(Array_ElectricalCharges,MATCH($A499,List_ElectricityMeters,0),ROUNDUP(COLUMN()/3,0)-2))</f>
        <v/>
      </c>
      <c r="Z499" s="127"/>
      <c r="AA499" s="137"/>
      <c r="AB499" s="58" t="str" cm="1">
        <f>IF(ISBLANK($A499),"",INDEX(Array_ElectricalCharges,MATCH($A499,List_ElectricityMeters,0),ROUNDUP(COLUMN()/3,0)-2))</f>
        <v/>
      </c>
      <c r="AC499" s="127"/>
      <c r="AD499" s="137"/>
      <c r="AE499" s="58" t="str" cm="1">
        <f>IF(ISBLANK($A499),"",INDEX(Array_ElectricalCharges,MATCH($A499,List_ElectricityMeters,0),ROUNDUP(COLUMN()/3,0)-2))</f>
        <v/>
      </c>
      <c r="AF499" s="127"/>
      <c r="AG499" s="137"/>
      <c r="AH499" s="58" t="str" cm="1">
        <f>IF(ISBLANK($A499),"",INDEX(Array_ElectricalCharges,MATCH($A499,List_ElectricityMeters,0),ROUNDUP(COLUMN()/3,0)-2))</f>
        <v/>
      </c>
      <c r="AI499" s="127"/>
      <c r="AJ499" s="137"/>
      <c r="AK499" s="58" t="str" cm="1">
        <f>IF(ISBLANK($A499),"",INDEX(Array_ElectricalCharges,MATCH($A499,List_ElectricityMeters,0),ROUNDUP(COLUMN()/3,0)-2))</f>
        <v/>
      </c>
      <c r="AL499" s="127"/>
      <c r="AM499" s="137"/>
      <c r="AN499" s="58" t="str" cm="1">
        <f>IF(ISBLANK($A499),"",INDEX(Array_ElectricalCharges,MATCH($A499,List_ElectricityMeters,0),ROUNDUP(COLUMN()/3,0)-2))</f>
        <v/>
      </c>
      <c r="AO499" s="127"/>
      <c r="AP499" s="137"/>
      <c r="AQ499" s="58" t="str" cm="1">
        <f>IF(ISBLANK($A499),"",INDEX(Array_ElectricalCharges,MATCH($A499,List_ElectricityMeters,0),ROUNDUP(COLUMN()/3,0)-2))</f>
        <v/>
      </c>
      <c r="AR499" s="127"/>
      <c r="AS499" s="137"/>
      <c r="AT499" s="58" t="str" cm="1">
        <f>IF(ISBLANK($A499),"",INDEX(Array_ElectricalCharges,MATCH($A499,List_ElectricityMeters,0),ROUNDUP(COLUMN()/3,0)-2))</f>
        <v/>
      </c>
      <c r="AU499" s="127"/>
      <c r="AV499" s="137"/>
      <c r="AW499" s="58" t="str" cm="1">
        <f>IF(ISBLANK($A499),"",INDEX(Array_ElectricalCharges,MATCH($A499,List_ElectricityMeters,0),ROUNDUP(COLUMN()/3,0)-2))</f>
        <v/>
      </c>
      <c r="AX499" s="127"/>
      <c r="AY499" s="137"/>
    </row>
    <row r="500" spans="1:51" x14ac:dyDescent="0.3">
      <c r="A500" s="126"/>
      <c r="B500" s="133"/>
      <c r="C500" s="134"/>
      <c r="D500" s="134"/>
      <c r="E500" s="135"/>
      <c r="F500" s="136"/>
      <c r="G500" s="58" t="str" cm="1">
        <f>IF(ISBLANK($A500),"",INDEX(Array_ElectricalCharges,MATCH($A500,List_ElectricityMeters,0),ROUNDUP(COLUMN()/3,0)-2))</f>
        <v/>
      </c>
      <c r="H500" s="127"/>
      <c r="I500" s="137"/>
      <c r="J500" s="58" t="str" cm="1">
        <f>IF(ISBLANK($A500),"",INDEX(Array_ElectricalCharges,MATCH($A500,List_ElectricityMeters,0),ROUNDUP(COLUMN()/3,0)-2))</f>
        <v/>
      </c>
      <c r="K500" s="127"/>
      <c r="L500" s="137"/>
      <c r="M500" s="58" t="str" cm="1">
        <f>IF(ISBLANK($A500),"",INDEX(Array_ElectricalCharges,MATCH($A500,List_ElectricityMeters,0),ROUNDUP(COLUMN()/3,0)-2))</f>
        <v/>
      </c>
      <c r="N500" s="127"/>
      <c r="O500" s="137"/>
      <c r="P500" s="58" t="str" cm="1">
        <f>IF(ISBLANK($A500),"",INDEX(Array_ElectricalCharges,MATCH($A500,List_ElectricityMeters,0),ROUNDUP(COLUMN()/3,0)-2))</f>
        <v/>
      </c>
      <c r="Q500" s="127"/>
      <c r="R500" s="137"/>
      <c r="S500" s="58" t="str" cm="1">
        <f>IF(ISBLANK($A500),"",INDEX(Array_ElectricalCharges,MATCH($A500,List_ElectricityMeters,0),ROUNDUP(COLUMN()/3,0)-2))</f>
        <v/>
      </c>
      <c r="T500" s="127"/>
      <c r="U500" s="137"/>
      <c r="V500" s="58" t="str" cm="1">
        <f>IF(ISBLANK($A500),"",INDEX(Array_ElectricalCharges,MATCH($A500,List_ElectricityMeters,0),ROUNDUP(COLUMN()/3,0)-2))</f>
        <v/>
      </c>
      <c r="W500" s="127"/>
      <c r="X500" s="137"/>
      <c r="Y500" s="58" t="str" cm="1">
        <f>IF(ISBLANK($A500),"",INDEX(Array_ElectricalCharges,MATCH($A500,List_ElectricityMeters,0),ROUNDUP(COLUMN()/3,0)-2))</f>
        <v/>
      </c>
      <c r="Z500" s="127"/>
      <c r="AA500" s="137"/>
      <c r="AB500" s="58" t="str" cm="1">
        <f>IF(ISBLANK($A500),"",INDEX(Array_ElectricalCharges,MATCH($A500,List_ElectricityMeters,0),ROUNDUP(COLUMN()/3,0)-2))</f>
        <v/>
      </c>
      <c r="AC500" s="127"/>
      <c r="AD500" s="137"/>
      <c r="AE500" s="58" t="str" cm="1">
        <f>IF(ISBLANK($A500),"",INDEX(Array_ElectricalCharges,MATCH($A500,List_ElectricityMeters,0),ROUNDUP(COLUMN()/3,0)-2))</f>
        <v/>
      </c>
      <c r="AF500" s="127"/>
      <c r="AG500" s="137"/>
      <c r="AH500" s="58" t="str" cm="1">
        <f>IF(ISBLANK($A500),"",INDEX(Array_ElectricalCharges,MATCH($A500,List_ElectricityMeters,0),ROUNDUP(COLUMN()/3,0)-2))</f>
        <v/>
      </c>
      <c r="AI500" s="127"/>
      <c r="AJ500" s="137"/>
      <c r="AK500" s="58" t="str" cm="1">
        <f>IF(ISBLANK($A500),"",INDEX(Array_ElectricalCharges,MATCH($A500,List_ElectricityMeters,0),ROUNDUP(COLUMN()/3,0)-2))</f>
        <v/>
      </c>
      <c r="AL500" s="127"/>
      <c r="AM500" s="137"/>
      <c r="AN500" s="58" t="str" cm="1">
        <f>IF(ISBLANK($A500),"",INDEX(Array_ElectricalCharges,MATCH($A500,List_ElectricityMeters,0),ROUNDUP(COLUMN()/3,0)-2))</f>
        <v/>
      </c>
      <c r="AO500" s="127"/>
      <c r="AP500" s="137"/>
      <c r="AQ500" s="58" t="str" cm="1">
        <f>IF(ISBLANK($A500),"",INDEX(Array_ElectricalCharges,MATCH($A500,List_ElectricityMeters,0),ROUNDUP(COLUMN()/3,0)-2))</f>
        <v/>
      </c>
      <c r="AR500" s="127"/>
      <c r="AS500" s="137"/>
      <c r="AT500" s="58" t="str" cm="1">
        <f>IF(ISBLANK($A500),"",INDEX(Array_ElectricalCharges,MATCH($A500,List_ElectricityMeters,0),ROUNDUP(COLUMN()/3,0)-2))</f>
        <v/>
      </c>
      <c r="AU500" s="127"/>
      <c r="AV500" s="137"/>
      <c r="AW500" s="58" t="str" cm="1">
        <f>IF(ISBLANK($A500),"",INDEX(Array_ElectricalCharges,MATCH($A500,List_ElectricityMeters,0),ROUNDUP(COLUMN()/3,0)-2))</f>
        <v/>
      </c>
      <c r="AX500" s="127"/>
      <c r="AY500" s="137"/>
    </row>
    <row r="501" spans="1:51" x14ac:dyDescent="0.3">
      <c r="A501" s="126"/>
      <c r="B501" s="133"/>
      <c r="C501" s="134"/>
      <c r="D501" s="134"/>
      <c r="E501" s="135"/>
      <c r="F501" s="136"/>
      <c r="G501" s="58" t="str" cm="1">
        <f>IF(ISBLANK($A501),"",INDEX(Array_ElectricalCharges,MATCH($A501,List_ElectricityMeters,0),ROUNDUP(COLUMN()/3,0)-2))</f>
        <v/>
      </c>
      <c r="H501" s="127"/>
      <c r="I501" s="137"/>
      <c r="J501" s="58" t="str" cm="1">
        <f>IF(ISBLANK($A501),"",INDEX(Array_ElectricalCharges,MATCH($A501,List_ElectricityMeters,0),ROUNDUP(COLUMN()/3,0)-2))</f>
        <v/>
      </c>
      <c r="K501" s="127"/>
      <c r="L501" s="137"/>
      <c r="M501" s="58" t="str" cm="1">
        <f>IF(ISBLANK($A501),"",INDEX(Array_ElectricalCharges,MATCH($A501,List_ElectricityMeters,0),ROUNDUP(COLUMN()/3,0)-2))</f>
        <v/>
      </c>
      <c r="N501" s="127"/>
      <c r="O501" s="137"/>
      <c r="P501" s="58" t="str" cm="1">
        <f>IF(ISBLANK($A501),"",INDEX(Array_ElectricalCharges,MATCH($A501,List_ElectricityMeters,0),ROUNDUP(COLUMN()/3,0)-2))</f>
        <v/>
      </c>
      <c r="Q501" s="127"/>
      <c r="R501" s="137"/>
      <c r="S501" s="58" t="str" cm="1">
        <f>IF(ISBLANK($A501),"",INDEX(Array_ElectricalCharges,MATCH($A501,List_ElectricityMeters,0),ROUNDUP(COLUMN()/3,0)-2))</f>
        <v/>
      </c>
      <c r="T501" s="127"/>
      <c r="U501" s="137"/>
      <c r="V501" s="58" t="str" cm="1">
        <f>IF(ISBLANK($A501),"",INDEX(Array_ElectricalCharges,MATCH($A501,List_ElectricityMeters,0),ROUNDUP(COLUMN()/3,0)-2))</f>
        <v/>
      </c>
      <c r="W501" s="127"/>
      <c r="X501" s="137"/>
      <c r="Y501" s="58" t="str" cm="1">
        <f>IF(ISBLANK($A501),"",INDEX(Array_ElectricalCharges,MATCH($A501,List_ElectricityMeters,0),ROUNDUP(COLUMN()/3,0)-2))</f>
        <v/>
      </c>
      <c r="Z501" s="127"/>
      <c r="AA501" s="137"/>
      <c r="AB501" s="58" t="str" cm="1">
        <f>IF(ISBLANK($A501),"",INDEX(Array_ElectricalCharges,MATCH($A501,List_ElectricityMeters,0),ROUNDUP(COLUMN()/3,0)-2))</f>
        <v/>
      </c>
      <c r="AC501" s="127"/>
      <c r="AD501" s="137"/>
      <c r="AE501" s="58" t="str" cm="1">
        <f>IF(ISBLANK($A501),"",INDEX(Array_ElectricalCharges,MATCH($A501,List_ElectricityMeters,0),ROUNDUP(COLUMN()/3,0)-2))</f>
        <v/>
      </c>
      <c r="AF501" s="127"/>
      <c r="AG501" s="137"/>
      <c r="AH501" s="58" t="str" cm="1">
        <f>IF(ISBLANK($A501),"",INDEX(Array_ElectricalCharges,MATCH($A501,List_ElectricityMeters,0),ROUNDUP(COLUMN()/3,0)-2))</f>
        <v/>
      </c>
      <c r="AI501" s="127"/>
      <c r="AJ501" s="137"/>
      <c r="AK501" s="58" t="str" cm="1">
        <f>IF(ISBLANK($A501),"",INDEX(Array_ElectricalCharges,MATCH($A501,List_ElectricityMeters,0),ROUNDUP(COLUMN()/3,0)-2))</f>
        <v/>
      </c>
      <c r="AL501" s="127"/>
      <c r="AM501" s="137"/>
      <c r="AN501" s="58" t="str" cm="1">
        <f>IF(ISBLANK($A501),"",INDEX(Array_ElectricalCharges,MATCH($A501,List_ElectricityMeters,0),ROUNDUP(COLUMN()/3,0)-2))</f>
        <v/>
      </c>
      <c r="AO501" s="127"/>
      <c r="AP501" s="137"/>
      <c r="AQ501" s="58" t="str" cm="1">
        <f>IF(ISBLANK($A501),"",INDEX(Array_ElectricalCharges,MATCH($A501,List_ElectricityMeters,0),ROUNDUP(COLUMN()/3,0)-2))</f>
        <v/>
      </c>
      <c r="AR501" s="127"/>
      <c r="AS501" s="137"/>
      <c r="AT501" s="58" t="str" cm="1">
        <f>IF(ISBLANK($A501),"",INDEX(Array_ElectricalCharges,MATCH($A501,List_ElectricityMeters,0),ROUNDUP(COLUMN()/3,0)-2))</f>
        <v/>
      </c>
      <c r="AU501" s="127"/>
      <c r="AV501" s="137"/>
      <c r="AW501" s="58" t="str" cm="1">
        <f>IF(ISBLANK($A501),"",INDEX(Array_ElectricalCharges,MATCH($A501,List_ElectricityMeters,0),ROUNDUP(COLUMN()/3,0)-2))</f>
        <v/>
      </c>
      <c r="AX501" s="127"/>
      <c r="AY501" s="137"/>
    </row>
    <row r="502" spans="1:51" x14ac:dyDescent="0.3">
      <c r="A502" s="126"/>
      <c r="B502" s="133"/>
      <c r="C502" s="134"/>
      <c r="D502" s="134"/>
      <c r="E502" s="135"/>
      <c r="F502" s="136"/>
      <c r="G502" s="58" t="str" cm="1">
        <f>IF(ISBLANK($A502),"",INDEX(Array_ElectricalCharges,MATCH($A502,List_ElectricityMeters,0),ROUNDUP(COLUMN()/3,0)-2))</f>
        <v/>
      </c>
      <c r="H502" s="127"/>
      <c r="I502" s="137"/>
      <c r="J502" s="58" t="str" cm="1">
        <f>IF(ISBLANK($A502),"",INDEX(Array_ElectricalCharges,MATCH($A502,List_ElectricityMeters,0),ROUNDUP(COLUMN()/3,0)-2))</f>
        <v/>
      </c>
      <c r="K502" s="127"/>
      <c r="L502" s="137"/>
      <c r="M502" s="58" t="str" cm="1">
        <f>IF(ISBLANK($A502),"",INDEX(Array_ElectricalCharges,MATCH($A502,List_ElectricityMeters,0),ROUNDUP(COLUMN()/3,0)-2))</f>
        <v/>
      </c>
      <c r="N502" s="127"/>
      <c r="O502" s="137"/>
      <c r="P502" s="58" t="str" cm="1">
        <f>IF(ISBLANK($A502),"",INDEX(Array_ElectricalCharges,MATCH($A502,List_ElectricityMeters,0),ROUNDUP(COLUMN()/3,0)-2))</f>
        <v/>
      </c>
      <c r="Q502" s="127"/>
      <c r="R502" s="137"/>
      <c r="S502" s="58" t="str" cm="1">
        <f>IF(ISBLANK($A502),"",INDEX(Array_ElectricalCharges,MATCH($A502,List_ElectricityMeters,0),ROUNDUP(COLUMN()/3,0)-2))</f>
        <v/>
      </c>
      <c r="T502" s="127"/>
      <c r="U502" s="137"/>
      <c r="V502" s="58" t="str" cm="1">
        <f>IF(ISBLANK($A502),"",INDEX(Array_ElectricalCharges,MATCH($A502,List_ElectricityMeters,0),ROUNDUP(COLUMN()/3,0)-2))</f>
        <v/>
      </c>
      <c r="W502" s="127"/>
      <c r="X502" s="137"/>
      <c r="Y502" s="58" t="str" cm="1">
        <f>IF(ISBLANK($A502),"",INDEX(Array_ElectricalCharges,MATCH($A502,List_ElectricityMeters,0),ROUNDUP(COLUMN()/3,0)-2))</f>
        <v/>
      </c>
      <c r="Z502" s="127"/>
      <c r="AA502" s="137"/>
      <c r="AB502" s="58" t="str" cm="1">
        <f>IF(ISBLANK($A502),"",INDEX(Array_ElectricalCharges,MATCH($A502,List_ElectricityMeters,0),ROUNDUP(COLUMN()/3,0)-2))</f>
        <v/>
      </c>
      <c r="AC502" s="127"/>
      <c r="AD502" s="137"/>
      <c r="AE502" s="58" t="str" cm="1">
        <f>IF(ISBLANK($A502),"",INDEX(Array_ElectricalCharges,MATCH($A502,List_ElectricityMeters,0),ROUNDUP(COLUMN()/3,0)-2))</f>
        <v/>
      </c>
      <c r="AF502" s="127"/>
      <c r="AG502" s="137"/>
      <c r="AH502" s="58" t="str" cm="1">
        <f>IF(ISBLANK($A502),"",INDEX(Array_ElectricalCharges,MATCH($A502,List_ElectricityMeters,0),ROUNDUP(COLUMN()/3,0)-2))</f>
        <v/>
      </c>
      <c r="AI502" s="127"/>
      <c r="AJ502" s="137"/>
      <c r="AK502" s="58" t="str" cm="1">
        <f>IF(ISBLANK($A502),"",INDEX(Array_ElectricalCharges,MATCH($A502,List_ElectricityMeters,0),ROUNDUP(COLUMN()/3,0)-2))</f>
        <v/>
      </c>
      <c r="AL502" s="127"/>
      <c r="AM502" s="137"/>
      <c r="AN502" s="58" t="str" cm="1">
        <f>IF(ISBLANK($A502),"",INDEX(Array_ElectricalCharges,MATCH($A502,List_ElectricityMeters,0),ROUNDUP(COLUMN()/3,0)-2))</f>
        <v/>
      </c>
      <c r="AO502" s="127"/>
      <c r="AP502" s="137"/>
      <c r="AQ502" s="58" t="str" cm="1">
        <f>IF(ISBLANK($A502),"",INDEX(Array_ElectricalCharges,MATCH($A502,List_ElectricityMeters,0),ROUNDUP(COLUMN()/3,0)-2))</f>
        <v/>
      </c>
      <c r="AR502" s="127"/>
      <c r="AS502" s="137"/>
      <c r="AT502" s="58" t="str" cm="1">
        <f>IF(ISBLANK($A502),"",INDEX(Array_ElectricalCharges,MATCH($A502,List_ElectricityMeters,0),ROUNDUP(COLUMN()/3,0)-2))</f>
        <v/>
      </c>
      <c r="AU502" s="127"/>
      <c r="AV502" s="137"/>
      <c r="AW502" s="58" t="str" cm="1">
        <f>IF(ISBLANK($A502),"",INDEX(Array_ElectricalCharges,MATCH($A502,List_ElectricityMeters,0),ROUNDUP(COLUMN()/3,0)-2))</f>
        <v/>
      </c>
      <c r="AX502" s="127"/>
      <c r="AY502" s="137"/>
    </row>
    <row r="502" spans="1:51" x14ac:dyDescent="0.3">
      <c r="A502" s="126"/>
      <c r="B502" s="133"/>
      <c r="C502" s="134"/>
      <c r="D502" s="134"/>
      <c r="E502" s="135"/>
      <c r="F502" s="136"/>
      <c r="G502" s="58" t="str" cm="1">
        <f>IF(ISBLANK($A502),"",INDEX(Array_ElectricalCharges,MATCH($A502,List_ElectricityMeters,0),ROUNDUP(COLUMN()/3,0)-2))</f>
        <v/>
      </c>
      <c r="H502" s="127"/>
      <c r="I502" s="137"/>
      <c r="J502" s="58" t="str" cm="1">
        <f>IF(ISBLANK($A502),"",INDEX(Array_ElectricalCharges,MATCH($A502,List_ElectricityMeters,0),ROUNDUP(COLUMN()/3,0)-2))</f>
        <v/>
      </c>
      <c r="K502" s="127"/>
      <c r="L502" s="137"/>
      <c r="M502" s="58" t="str" cm="1">
        <f>IF(ISBLANK($A502),"",INDEX(Array_ElectricalCharges,MATCH($A502,List_ElectricityMeters,0),ROUNDUP(COLUMN()/3,0)-2))</f>
        <v/>
      </c>
      <c r="N502" s="127"/>
      <c r="O502" s="137"/>
      <c r="P502" s="58" t="str" cm="1">
        <f>IF(ISBLANK($A502),"",INDEX(Array_ElectricalCharges,MATCH($A502,List_ElectricityMeters,0),ROUNDUP(COLUMN()/3,0)-2))</f>
        <v/>
      </c>
      <c r="Q502" s="127"/>
      <c r="R502" s="137"/>
      <c r="S502" s="58" t="str" cm="1">
        <f>IF(ISBLANK($A502),"",INDEX(Array_ElectricalCharges,MATCH($A502,List_ElectricityMeters,0),ROUNDUP(COLUMN()/3,0)-2))</f>
        <v/>
      </c>
      <c r="T502" s="127"/>
      <c r="U502" s="137"/>
      <c r="V502" s="58" t="str" cm="1">
        <f>IF(ISBLANK($A502),"",INDEX(Array_ElectricalCharges,MATCH($A502,List_ElectricityMeters,0),ROUNDUP(COLUMN()/3,0)-2))</f>
        <v/>
      </c>
      <c r="W502" s="127"/>
      <c r="X502" s="137"/>
      <c r="Y502" s="58" t="str" cm="1">
        <f>IF(ISBLANK($A502),"",INDEX(Array_ElectricalCharges,MATCH($A502,List_ElectricityMeters,0),ROUNDUP(COLUMN()/3,0)-2))</f>
        <v/>
      </c>
      <c r="Z502" s="127"/>
      <c r="AA502" s="137"/>
      <c r="AB502" s="58" t="str" cm="1">
        <f>IF(ISBLANK($A502),"",INDEX(Array_ElectricalCharges,MATCH($A502,List_ElectricityMeters,0),ROUNDUP(COLUMN()/3,0)-2))</f>
        <v/>
      </c>
      <c r="AC502" s="127"/>
      <c r="AD502" s="137"/>
      <c r="AE502" s="58" t="str" cm="1">
        <f>IF(ISBLANK($A502),"",INDEX(Array_ElectricalCharges,MATCH($A502,List_ElectricityMeters,0),ROUNDUP(COLUMN()/3,0)-2))</f>
        <v/>
      </c>
      <c r="AF502" s="127"/>
      <c r="AG502" s="137"/>
      <c r="AH502" s="58" t="str" cm="1">
        <f>IF(ISBLANK($A502),"",INDEX(Array_ElectricalCharges,MATCH($A502,List_ElectricityMeters,0),ROUNDUP(COLUMN()/3,0)-2))</f>
        <v/>
      </c>
      <c r="AI502" s="127"/>
      <c r="AJ502" s="137"/>
      <c r="AK502" s="58" t="str" cm="1">
        <f>IF(ISBLANK($A502),"",INDEX(Array_ElectricalCharges,MATCH($A502,List_ElectricityMeters,0),ROUNDUP(COLUMN()/3,0)-2))</f>
        <v/>
      </c>
      <c r="AL502" s="127"/>
      <c r="AM502" s="137"/>
      <c r="AN502" s="58" t="str" cm="1">
        <f>IF(ISBLANK($A502),"",INDEX(Array_ElectricalCharges,MATCH($A502,List_ElectricityMeters,0),ROUNDUP(COLUMN()/3,0)-2))</f>
        <v/>
      </c>
      <c r="AO502" s="127"/>
      <c r="AP502" s="137"/>
      <c r="AQ502" s="58" t="str" cm="1">
        <f>IF(ISBLANK($A502),"",INDEX(Array_ElectricalCharges,MATCH($A502,List_ElectricityMeters,0),ROUNDUP(COLUMN()/3,0)-2))</f>
        <v/>
      </c>
      <c r="AR502" s="127"/>
      <c r="AS502" s="137"/>
      <c r="AT502" s="58" t="str" cm="1">
        <f>IF(ISBLANK($A502),"",INDEX(Array_ElectricalCharges,MATCH($A502,List_ElectricityMeters,0),ROUNDUP(COLUMN()/3,0)-2))</f>
        <v/>
      </c>
      <c r="AU502" s="127"/>
      <c r="AV502" s="137"/>
      <c r="AW502" s="58" t="str" cm="1">
        <f>IF(ISBLANK($A502),"",INDEX(Array_ElectricalCharges,MATCH($A502,List_ElectricityMeters,0),ROUNDUP(COLUMN()/3,0)-2))</f>
        <v/>
      </c>
      <c r="AX502" s="127"/>
      <c r="AY502" s="137"/>
    </row>
    <row r="502" spans="1:51" x14ac:dyDescent="0.3">
      <c r="A502" s="126"/>
      <c r="B502" s="133"/>
      <c r="C502" s="134"/>
      <c r="D502" s="134"/>
      <c r="E502" s="135"/>
      <c r="F502" s="136"/>
      <c r="G502" s="58" t="str" cm="1">
        <f>IF(ISBLANK($A502),"",INDEX(Array_ElectricalCharges,MATCH($A502,List_ElectricityMeters,0),ROUNDUP(COLUMN()/3,0)-2))</f>
        <v/>
      </c>
      <c r="H502" s="127"/>
      <c r="I502" s="137"/>
      <c r="J502" s="58" t="str" cm="1">
        <f>IF(ISBLANK($A502),"",INDEX(Array_ElectricalCharges,MATCH($A502,List_ElectricityMeters,0),ROUNDUP(COLUMN()/3,0)-2))</f>
        <v/>
      </c>
      <c r="K502" s="127"/>
      <c r="L502" s="137"/>
      <c r="M502" s="58" t="str" cm="1">
        <f>IF(ISBLANK($A502),"",INDEX(Array_ElectricalCharges,MATCH($A502,List_ElectricityMeters,0),ROUNDUP(COLUMN()/3,0)-2))</f>
        <v/>
      </c>
      <c r="N502" s="127"/>
      <c r="O502" s="137"/>
      <c r="P502" s="58" t="str" cm="1">
        <f>IF(ISBLANK($A502),"",INDEX(Array_ElectricalCharges,MATCH($A502,List_ElectricityMeters,0),ROUNDUP(COLUMN()/3,0)-2))</f>
        <v/>
      </c>
      <c r="Q502" s="127"/>
      <c r="R502" s="137"/>
      <c r="S502" s="58" t="str" cm="1">
        <f>IF(ISBLANK($A502),"",INDEX(Array_ElectricalCharges,MATCH($A502,List_ElectricityMeters,0),ROUNDUP(COLUMN()/3,0)-2))</f>
        <v/>
      </c>
      <c r="T502" s="127"/>
      <c r="U502" s="137"/>
      <c r="V502" s="58" t="str" cm="1">
        <f>IF(ISBLANK($A502),"",INDEX(Array_ElectricalCharges,MATCH($A502,List_ElectricityMeters,0),ROUNDUP(COLUMN()/3,0)-2))</f>
        <v/>
      </c>
      <c r="W502" s="127"/>
      <c r="X502" s="137"/>
      <c r="Y502" s="58" t="str" cm="1">
        <f>IF(ISBLANK($A502),"",INDEX(Array_ElectricalCharges,MATCH($A502,List_ElectricityMeters,0),ROUNDUP(COLUMN()/3,0)-2))</f>
        <v/>
      </c>
      <c r="Z502" s="127"/>
      <c r="AA502" s="137"/>
      <c r="AB502" s="58" t="str" cm="1">
        <f>IF(ISBLANK($A502),"",INDEX(Array_ElectricalCharges,MATCH($A502,List_ElectricityMeters,0),ROUNDUP(COLUMN()/3,0)-2))</f>
        <v/>
      </c>
      <c r="AC502" s="127"/>
      <c r="AD502" s="137"/>
      <c r="AE502" s="58" t="str" cm="1">
        <f>IF(ISBLANK($A502),"",INDEX(Array_ElectricalCharges,MATCH($A502,List_ElectricityMeters,0),ROUNDUP(COLUMN()/3,0)-2))</f>
        <v/>
      </c>
      <c r="AF502" s="127"/>
      <c r="AG502" s="137"/>
      <c r="AH502" s="58" t="str" cm="1">
        <f>IF(ISBLANK($A502),"",INDEX(Array_ElectricalCharges,MATCH($A502,List_ElectricityMeters,0),ROUNDUP(COLUMN()/3,0)-2))</f>
        <v/>
      </c>
      <c r="AI502" s="127"/>
      <c r="AJ502" s="137"/>
      <c r="AK502" s="58" t="str" cm="1">
        <f>IF(ISBLANK($A502),"",INDEX(Array_ElectricalCharges,MATCH($A502,List_ElectricityMeters,0),ROUNDUP(COLUMN()/3,0)-2))</f>
        <v/>
      </c>
      <c r="AL502" s="127"/>
      <c r="AM502" s="137"/>
      <c r="AN502" s="58" t="str" cm="1">
        <f>IF(ISBLANK($A502),"",INDEX(Array_ElectricalCharges,MATCH($A502,List_ElectricityMeters,0),ROUNDUP(COLUMN()/3,0)-2))</f>
        <v/>
      </c>
      <c r="AO502" s="127"/>
      <c r="AP502" s="137"/>
      <c r="AQ502" s="58" t="str" cm="1">
        <f>IF(ISBLANK($A502),"",INDEX(Array_ElectricalCharges,MATCH($A502,List_ElectricityMeters,0),ROUNDUP(COLUMN()/3,0)-2))</f>
        <v/>
      </c>
      <c r="AR502" s="127"/>
      <c r="AS502" s="137"/>
      <c r="AT502" s="58" t="str" cm="1">
        <f>IF(ISBLANK($A502),"",INDEX(Array_ElectricalCharges,MATCH($A502,List_ElectricityMeters,0),ROUNDUP(COLUMN()/3,0)-2))</f>
        <v/>
      </c>
      <c r="AU502" s="127"/>
      <c r="AV502" s="137"/>
      <c r="AW502" s="58" t="str" cm="1">
        <f>IF(ISBLANK($A502),"",INDEX(Array_ElectricalCharges,MATCH($A502,List_ElectricityMeters,0),ROUNDUP(COLUMN()/3,0)-2))</f>
        <v/>
      </c>
      <c r="AX502" s="127"/>
      <c r="AY502" s="137"/>
    </row>
  </sheetData>
  <sheetProtection algorithmName="SHA-512" hashValue="T+duxKMXKthkxaPe2yyrlvk95BnBfSuZkckWph9C2im9eOpIM6j24uiRHsQVKLOrfmpHcizd+N/PLUqkeW+jrQ==" saltValue="PF50OW2+zh6wFevpi/LZKQ==" spinCount="100000" sheet="1" objects="1" scenarios="1"/>
  <phoneticPr fontId="2" type="noConversion"/>
  <conditionalFormatting sqref="A3:C502">
    <cfRule type="expression" dxfId="147" priority="2">
      <formula>AND(COUNTA($A3:$F3)&gt;0,A3="")</formula>
    </cfRule>
  </conditionalFormatting>
  <conditionalFormatting sqref="A3:AY502">
    <cfRule type="expression" dxfId="146" priority="1">
      <formula>AND(COUNTA($A3:$F3)=0,ROW()&lt;&gt;3)</formula>
    </cfRule>
  </conditionalFormatting>
  <conditionalFormatting sqref="G3:I502">
    <cfRule type="expression" dxfId="145" priority="6">
      <formula>$G3=""</formula>
    </cfRule>
  </conditionalFormatting>
  <conditionalFormatting sqref="G2:AY2">
    <cfRule type="expression" dxfId="144" priority="4">
      <formula>G2=""</formula>
    </cfRule>
  </conditionalFormatting>
  <conditionalFormatting sqref="J3:L502">
    <cfRule type="expression" dxfId="143" priority="8">
      <formula>$J3=""</formula>
    </cfRule>
  </conditionalFormatting>
  <conditionalFormatting sqref="M3:O502">
    <cfRule type="expression" dxfId="142" priority="10">
      <formula>$M3=""</formula>
    </cfRule>
  </conditionalFormatting>
  <conditionalFormatting sqref="P3:R502">
    <cfRule type="expression" dxfId="141" priority="20">
      <formula>$P3=""</formula>
    </cfRule>
  </conditionalFormatting>
  <conditionalFormatting sqref="S3:U502">
    <cfRule type="expression" dxfId="140" priority="57">
      <formula>$S3=""</formula>
    </cfRule>
  </conditionalFormatting>
  <conditionalFormatting sqref="V3:X502">
    <cfRule type="expression" dxfId="139" priority="58">
      <formula>$V3=""</formula>
    </cfRule>
  </conditionalFormatting>
  <conditionalFormatting sqref="Y3:AA502">
    <cfRule type="expression" dxfId="138" priority="59">
      <formula>$Y3=""</formula>
    </cfRule>
  </conditionalFormatting>
  <conditionalFormatting sqref="AB3:AD502">
    <cfRule type="expression" dxfId="137" priority="60">
      <formula>$AB3=""</formula>
    </cfRule>
  </conditionalFormatting>
  <conditionalFormatting sqref="AE3:AG502">
    <cfRule type="expression" dxfId="136" priority="61">
      <formula>$AE3=""</formula>
    </cfRule>
  </conditionalFormatting>
  <conditionalFormatting sqref="AH3:AJ502">
    <cfRule type="expression" dxfId="135" priority="62">
      <formula>$AH3=""</formula>
    </cfRule>
  </conditionalFormatting>
  <conditionalFormatting sqref="AK3:AM502">
    <cfRule type="expression" dxfId="134" priority="63">
      <formula>$AK3=""</formula>
    </cfRule>
  </conditionalFormatting>
  <conditionalFormatting sqref="AN3:AP502">
    <cfRule type="expression" dxfId="133" priority="64">
      <formula>$AN3=""</formula>
    </cfRule>
  </conditionalFormatting>
  <conditionalFormatting sqref="AQ3:AS502">
    <cfRule type="expression" dxfId="132" priority="67">
      <formula>$AQ3=""</formula>
    </cfRule>
  </conditionalFormatting>
  <conditionalFormatting sqref="AT3:AV502">
    <cfRule type="expression" dxfId="131" priority="70">
      <formula>$AT3=""</formula>
    </cfRule>
  </conditionalFormatting>
  <conditionalFormatting sqref="AW3:AY502">
    <cfRule type="expression" dxfId="130" priority="73">
      <formula>$AW3=""</formula>
    </cfRule>
  </conditionalFormatting>
  <dataValidations count="1">
    <dataValidation type="list" allowBlank="1" showInputMessage="1" showErrorMessage="1" sqref="A3:A502" xr:uid="{3E5CA3C7-1B06-4700-B79E-AD4D79DF2B59}">
      <formula1>List_ElectricityMeters</formula1>
    </dataValidation>
  </dataValidations>
  <pageMargins left="0.7" right="0.7" top="0.75" bottom="0.75" header="0.3" footer="0.3"/>
  <pageSetup orientation="portrait" horizontalDpi="1200" verticalDpi="12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8EF4B-C3F3-41DD-9F05-75BE92635426}">
  <sheetPr codeName="Sheet6">
    <tabColor rgb="FFD62728"/>
  </sheetPr>
  <dimension ref="A1:P4022"/>
  <sheetViews>
    <sheetView zoomScale="55" workbookViewId="0">
      <selection activeCell="D2" sqref="D2:D5"/>
    </sheetView>
  </sheetViews>
  <sheetFormatPr defaultColWidth="20.7265625" defaultRowHeight="14.5" x14ac:dyDescent="0.35"/>
  <cols>
    <col min="10" max="10" width="20.81640625" customWidth="1"/>
  </cols>
  <sheetData>
    <row r="1" spans="1:16" ht="15" thickBot="1" x14ac:dyDescent="0.4">
      <c r="A1" s="11" t="s">
        <v>6</v>
      </c>
      <c r="B1" s="11" t="s">
        <v>483</v>
      </c>
      <c r="C1" s="11" t="s">
        <v>494</v>
      </c>
      <c r="D1" s="14" t="s">
        <v>495</v>
      </c>
      <c r="E1" s="14" t="s">
        <v>502</v>
      </c>
      <c r="J1" t="s">
        <v>476</v>
      </c>
      <c r="K1" t="s">
        <v>477</v>
      </c>
    </row>
    <row r="2" spans="1:16" x14ac:dyDescent="0.35">
      <c r="A2" s="4" t="s">
        <v>778</v>
      </c>
      <c r="B2" s="4" t="s">
        <v>484</v>
      </c>
      <c r="C2" s="4" t="s">
        <v>14</v>
      </c>
      <c r="D2" s="4" t="s">
        <v>496</v>
      </c>
      <c r="E2" s="4" t="s">
        <v>25</v>
      </c>
      <c r="J2" t="s">
        <v>2</v>
      </c>
      <c r="K2" t="s">
        <v>10</v>
      </c>
    </row>
    <row r="3" spans="1:16" x14ac:dyDescent="0.35">
      <c r="A3" t="s">
        <v>779</v>
      </c>
      <c r="B3" t="s">
        <v>485</v>
      </c>
      <c r="C3" t="s">
        <v>16</v>
      </c>
      <c r="D3" t="s">
        <v>498</v>
      </c>
      <c r="E3" t="s">
        <v>26</v>
      </c>
      <c r="J3" t="s">
        <v>3</v>
      </c>
      <c r="K3" t="s">
        <v>478</v>
      </c>
    </row>
    <row r="4" spans="1:16" ht="15" thickBot="1" x14ac:dyDescent="0.4">
      <c r="A4" s="4" t="s">
        <v>15</v>
      </c>
      <c r="B4" s="8" t="s">
        <v>486</v>
      </c>
      <c r="C4" s="4" t="s">
        <v>487</v>
      </c>
      <c r="D4" s="4" t="s">
        <v>497</v>
      </c>
      <c r="E4" s="4" t="s">
        <v>27</v>
      </c>
      <c r="J4" t="s">
        <v>507</v>
      </c>
      <c r="K4" s="3">
        <v>16</v>
      </c>
    </row>
    <row r="5" spans="1:16" ht="15" thickBot="1" x14ac:dyDescent="0.4">
      <c r="A5" t="s">
        <v>781</v>
      </c>
      <c r="C5" t="s">
        <v>488</v>
      </c>
      <c r="D5" s="9" t="s">
        <v>499</v>
      </c>
      <c r="E5" t="s">
        <v>28</v>
      </c>
    </row>
    <row r="6" spans="1:16" x14ac:dyDescent="0.35">
      <c r="A6" t="s">
        <v>780</v>
      </c>
      <c r="C6" s="4" t="s">
        <v>489</v>
      </c>
      <c r="E6" s="4" t="s">
        <v>29</v>
      </c>
    </row>
    <row r="7" spans="1:16" ht="15" thickBot="1" x14ac:dyDescent="0.4">
      <c r="A7" t="s">
        <v>782</v>
      </c>
      <c r="C7" t="s">
        <v>490</v>
      </c>
      <c r="E7" s="9" t="s">
        <v>13</v>
      </c>
      <c r="J7" s="12" t="s">
        <v>776</v>
      </c>
    </row>
    <row r="8" spans="1:16" x14ac:dyDescent="0.35">
      <c r="A8" t="s">
        <v>783</v>
      </c>
      <c r="C8" s="4" t="s">
        <v>491</v>
      </c>
    </row>
    <row r="9" spans="1:16" ht="15" thickBot="1" x14ac:dyDescent="0.4">
      <c r="A9" s="5" t="s">
        <v>475</v>
      </c>
      <c r="C9" t="s">
        <v>492</v>
      </c>
      <c r="J9" s="13" t="s">
        <v>501</v>
      </c>
    </row>
    <row r="10" spans="1:16" ht="15" thickBot="1" x14ac:dyDescent="0.4">
      <c r="C10" s="8" t="s">
        <v>493</v>
      </c>
    </row>
    <row r="14" spans="1:16" x14ac:dyDescent="0.35">
      <c r="C14" s="3"/>
      <c r="D14" s="3"/>
      <c r="F14" s="15"/>
      <c r="H14" s="3"/>
      <c r="I14" s="3"/>
      <c r="J14" s="3"/>
    </row>
    <row r="15" spans="1:16" x14ac:dyDescent="0.35">
      <c r="A15" t="s">
        <v>775</v>
      </c>
      <c r="B15">
        <f>COUNTIF(B17:B116,"?*")</f>
        <v>0</v>
      </c>
      <c r="C15">
        <f t="shared" ref="C15:P15" si="0">COUNTIF(C17:C116,"?*")</f>
        <v>0</v>
      </c>
      <c r="D15">
        <f t="shared" si="0"/>
        <v>0</v>
      </c>
      <c r="E15">
        <f t="shared" si="0"/>
        <v>0</v>
      </c>
      <c r="F15">
        <f t="shared" si="0"/>
        <v>0</v>
      </c>
      <c r="G15">
        <f t="shared" si="0"/>
        <v>0</v>
      </c>
      <c r="H15">
        <f t="shared" si="0"/>
        <v>0</v>
      </c>
      <c r="I15">
        <f t="shared" si="0"/>
        <v>0</v>
      </c>
      <c r="J15">
        <f t="shared" si="0"/>
        <v>0</v>
      </c>
      <c r="K15">
        <f t="shared" si="0"/>
        <v>0</v>
      </c>
      <c r="L15">
        <f t="shared" si="0"/>
        <v>0</v>
      </c>
      <c r="M15">
        <f t="shared" si="0"/>
        <v>0</v>
      </c>
      <c r="N15">
        <f t="shared" si="0"/>
        <v>0</v>
      </c>
      <c r="O15">
        <f t="shared" si="0"/>
        <v>0</v>
      </c>
      <c r="P15">
        <f t="shared" si="0"/>
        <v>0</v>
      </c>
    </row>
    <row r="16" spans="1:16" ht="15" thickBot="1" x14ac:dyDescent="0.4">
      <c r="A16" s="12" t="s">
        <v>23</v>
      </c>
      <c r="B16" s="12" t="s">
        <v>760</v>
      </c>
      <c r="C16" s="12" t="s">
        <v>761</v>
      </c>
      <c r="D16" s="12" t="s">
        <v>762</v>
      </c>
      <c r="E16" s="12" t="s">
        <v>763</v>
      </c>
      <c r="F16" s="12" t="s">
        <v>764</v>
      </c>
      <c r="G16" s="12" t="s">
        <v>765</v>
      </c>
      <c r="H16" s="12" t="s">
        <v>766</v>
      </c>
      <c r="I16" s="12" t="s">
        <v>767</v>
      </c>
      <c r="J16" s="12" t="s">
        <v>768</v>
      </c>
      <c r="K16" s="12" t="s">
        <v>769</v>
      </c>
      <c r="L16" s="12" t="s">
        <v>770</v>
      </c>
      <c r="M16" s="12" t="s">
        <v>771</v>
      </c>
      <c r="N16" s="12" t="s">
        <v>772</v>
      </c>
      <c r="O16" s="12" t="s">
        <v>773</v>
      </c>
      <c r="P16" s="12" t="s">
        <v>774</v>
      </c>
    </row>
    <row r="17" spans="1:16" x14ac:dyDescent="0.35">
      <c r="A17" t="str">
        <f>IF('Electricity Meters'!B3="",A16,'Electricity Meters'!B3)</f>
        <v>Meter Numbers</v>
      </c>
      <c r="B17" t="str" cm="1">
        <f>IF(ISBLANK(INDEX(Array_ElectricalChargeData,ROW()-16,COLUMN()*2-3)),"",INDEX(Array_ElectricalChargeData,ROW()-16,COLUMN()*2-3))</f>
        <v/>
      </c>
      <c r="C17" t="str" cm="1">
        <f>IF(ISBLANK(INDEX(Array_ElectricalChargeData,ROW()-16,COLUMN()*2-3)),"",INDEX(Array_ElectricalChargeData,ROW()-16,COLUMN()*2-3))</f>
        <v/>
      </c>
      <c r="D17" t="str" cm="1">
        <f>IF(ISBLANK(INDEX(Array_ElectricalChargeData,ROW()-16,COLUMN()*2-3)),"",INDEX(Array_ElectricalChargeData,ROW()-16,COLUMN()*2-3))</f>
        <v/>
      </c>
      <c r="E17" t="str" cm="1">
        <f>IF(ISBLANK(INDEX(Array_ElectricalChargeData,ROW()-16,COLUMN()*2-3)),"",INDEX(Array_ElectricalChargeData,ROW()-16,COLUMN()*2-3))</f>
        <v/>
      </c>
      <c r="F17" t="str" cm="1">
        <f>IF(ISBLANK(INDEX(Array_ElectricalChargeData,ROW()-16,COLUMN()*2-3)),"",INDEX(Array_ElectricalChargeData,ROW()-16,COLUMN()*2-3))</f>
        <v/>
      </c>
      <c r="G17" t="str" cm="1">
        <f>IF(ISBLANK(INDEX(Array_ElectricalChargeData,ROW()-16,COLUMN()*2-3)),"",INDEX(Array_ElectricalChargeData,ROW()-16,COLUMN()*2-3))</f>
        <v/>
      </c>
      <c r="H17" t="str" cm="1">
        <f>IF(ISBLANK(INDEX(Array_ElectricalChargeData,ROW()-16,COLUMN()*2-3)),"",INDEX(Array_ElectricalChargeData,ROW()-16,COLUMN()*2-3))</f>
        <v/>
      </c>
      <c r="I17" t="str" cm="1">
        <f>IF(ISBLANK(INDEX(Array_ElectricalChargeData,ROW()-16,COLUMN()*2-3)),"",INDEX(Array_ElectricalChargeData,ROW()-16,COLUMN()*2-3))</f>
        <v/>
      </c>
      <c r="J17" t="str" cm="1">
        <f>IF(ISBLANK(INDEX(Array_ElectricalChargeData,ROW()-16,COLUMN()*2-3)),"",INDEX(Array_ElectricalChargeData,ROW()-16,COLUMN()*2-3))</f>
        <v/>
      </c>
      <c r="K17" t="str" cm="1">
        <f>IF(ISBLANK(INDEX(Array_ElectricalChargeData,ROW()-16,COLUMN()*2-3)),"",INDEX(Array_ElectricalChargeData,ROW()-16,COLUMN()*2-3))</f>
        <v/>
      </c>
      <c r="L17" t="str" cm="1">
        <f>IF(ISBLANK(INDEX(Array_ElectricalChargeData,ROW()-16,COLUMN()*2-3)),"",INDEX(Array_ElectricalChargeData,ROW()-16,COLUMN()*2-3))</f>
        <v/>
      </c>
      <c r="M17" t="str" cm="1">
        <f>IF(ISBLANK(INDEX(Array_ElectricalChargeData,ROW()-16,COLUMN()*2-3)),"",INDEX(Array_ElectricalChargeData,ROW()-16,COLUMN()*2-3))</f>
        <v/>
      </c>
      <c r="N17" t="str" cm="1">
        <f>IF(ISBLANK(INDEX(Array_ElectricalChargeData,ROW()-16,COLUMN()*2-3)),"",INDEX(Array_ElectricalChargeData,ROW()-16,COLUMN()*2-3))</f>
        <v/>
      </c>
      <c r="O17" t="str" cm="1">
        <f>IF(ISBLANK(INDEX(Array_ElectricalChargeData,ROW()-16,COLUMN()*2-3)),"",INDEX(Array_ElectricalChargeData,ROW()-16,COLUMN()*2-3))</f>
        <v/>
      </c>
      <c r="P17" t="str" cm="1">
        <f>IF(ISBLANK(INDEX(Array_ElectricalChargeData,ROW()-16,COLUMN()*2-3)),"",INDEX(Array_ElectricalChargeData,ROW()-16,COLUMN()*2-3))</f>
        <v/>
      </c>
    </row>
    <row r="18" spans="1:16" x14ac:dyDescent="0.35">
      <c r="A18" t="str">
        <f>IF('Electricity Meters'!B4="",A17,'Electricity Meters'!B4)</f>
        <v>Meter Numbers</v>
      </c>
      <c r="B18" t="str" cm="1">
        <f>IF(ISBLANK(INDEX(Array_ElectricalChargeData,ROW()-16,COLUMN()*2-3)),"",INDEX(Array_ElectricalChargeData,ROW()-16,COLUMN()*2-3))</f>
        <v/>
      </c>
      <c r="C18" t="str" cm="1">
        <f>IF(ISBLANK(INDEX(Array_ElectricalChargeData,ROW()-16,COLUMN()*2-3)),"",INDEX(Array_ElectricalChargeData,ROW()-16,COLUMN()*2-3))</f>
        <v/>
      </c>
      <c r="D18" t="str" cm="1">
        <f>IF(ISBLANK(INDEX(Array_ElectricalChargeData,ROW()-16,COLUMN()*2-3)),"",INDEX(Array_ElectricalChargeData,ROW()-16,COLUMN()*2-3))</f>
        <v/>
      </c>
      <c r="E18" t="str" cm="1">
        <f>IF(ISBLANK(INDEX(Array_ElectricalChargeData,ROW()-16,COLUMN()*2-3)),"",INDEX(Array_ElectricalChargeData,ROW()-16,COLUMN()*2-3))</f>
        <v/>
      </c>
      <c r="F18" t="str" cm="1">
        <f>IF(ISBLANK(INDEX(Array_ElectricalChargeData,ROW()-16,COLUMN()*2-3)),"",INDEX(Array_ElectricalChargeData,ROW()-16,COLUMN()*2-3))</f>
        <v/>
      </c>
      <c r="G18" t="str" cm="1">
        <f>IF(ISBLANK(INDEX(Array_ElectricalChargeData,ROW()-16,COLUMN()*2-3)),"",INDEX(Array_ElectricalChargeData,ROW()-16,COLUMN()*2-3))</f>
        <v/>
      </c>
      <c r="H18" t="str" cm="1">
        <f>IF(ISBLANK(INDEX(Array_ElectricalChargeData,ROW()-16,COLUMN()*2-3)),"",INDEX(Array_ElectricalChargeData,ROW()-16,COLUMN()*2-3))</f>
        <v/>
      </c>
      <c r="I18" t="str" cm="1">
        <f>IF(ISBLANK(INDEX(Array_ElectricalChargeData,ROW()-16,COLUMN()*2-3)),"",INDEX(Array_ElectricalChargeData,ROW()-16,COLUMN()*2-3))</f>
        <v/>
      </c>
      <c r="J18" t="str" cm="1">
        <f>IF(ISBLANK(INDEX(Array_ElectricalChargeData,ROW()-16,COLUMN()*2-3)),"",INDEX(Array_ElectricalChargeData,ROW()-16,COLUMN()*2-3))</f>
        <v/>
      </c>
      <c r="K18" t="str" cm="1">
        <f>IF(ISBLANK(INDEX(Array_ElectricalChargeData,ROW()-16,COLUMN()*2-3)),"",INDEX(Array_ElectricalChargeData,ROW()-16,COLUMN()*2-3))</f>
        <v/>
      </c>
      <c r="L18" t="str" cm="1">
        <f>IF(ISBLANK(INDEX(Array_ElectricalChargeData,ROW()-16,COLUMN()*2-3)),"",INDEX(Array_ElectricalChargeData,ROW()-16,COLUMN()*2-3))</f>
        <v/>
      </c>
      <c r="M18" t="str" cm="1">
        <f>IF(ISBLANK(INDEX(Array_ElectricalChargeData,ROW()-16,COLUMN()*2-3)),"",INDEX(Array_ElectricalChargeData,ROW()-16,COLUMN()*2-3))</f>
        <v/>
      </c>
      <c r="N18" t="str" cm="1">
        <f>IF(ISBLANK(INDEX(Array_ElectricalChargeData,ROW()-16,COLUMN()*2-3)),"",INDEX(Array_ElectricalChargeData,ROW()-16,COLUMN()*2-3))</f>
        <v/>
      </c>
      <c r="O18" t="str" cm="1">
        <f>IF(ISBLANK(INDEX(Array_ElectricalChargeData,ROW()-16,COLUMN()*2-3)),"",INDEX(Array_ElectricalChargeData,ROW()-16,COLUMN()*2-3))</f>
        <v/>
      </c>
      <c r="P18" t="str" cm="1">
        <f>IF(ISBLANK(INDEX(Array_ElectricalChargeData,ROW()-16,COLUMN()*2-3)),"",INDEX(Array_ElectricalChargeData,ROW()-16,COLUMN()*2-3))</f>
        <v/>
      </c>
    </row>
    <row r="19" spans="1:16" x14ac:dyDescent="0.35">
      <c r="A19" t="str">
        <f>IF('Electricity Meters'!B5="",A18,'Electricity Meters'!B5)</f>
        <v>Meter Numbers</v>
      </c>
      <c r="B19" t="str" cm="1">
        <f>IF(ISBLANK(INDEX(Array_ElectricalChargeData,ROW()-16,COLUMN()*2-3)),"",INDEX(Array_ElectricalChargeData,ROW()-16,COLUMN()*2-3))</f>
        <v/>
      </c>
      <c r="C19" t="str" cm="1">
        <f>IF(ISBLANK(INDEX(Array_ElectricalChargeData,ROW()-16,COLUMN()*2-3)),"",INDEX(Array_ElectricalChargeData,ROW()-16,COLUMN()*2-3))</f>
        <v/>
      </c>
      <c r="D19" t="str" cm="1">
        <f>IF(ISBLANK(INDEX(Array_ElectricalChargeData,ROW()-16,COLUMN()*2-3)),"",INDEX(Array_ElectricalChargeData,ROW()-16,COLUMN()*2-3))</f>
        <v/>
      </c>
      <c r="E19" t="str" cm="1">
        <f>IF(ISBLANK(INDEX(Array_ElectricalChargeData,ROW()-16,COLUMN()*2-3)),"",INDEX(Array_ElectricalChargeData,ROW()-16,COLUMN()*2-3))</f>
        <v/>
      </c>
      <c r="F19" t="str" cm="1">
        <f>IF(ISBLANK(INDEX(Array_ElectricalChargeData,ROW()-16,COLUMN()*2-3)),"",INDEX(Array_ElectricalChargeData,ROW()-16,COLUMN()*2-3))</f>
        <v/>
      </c>
      <c r="G19" t="str" cm="1">
        <f>IF(ISBLANK(INDEX(Array_ElectricalChargeData,ROW()-16,COLUMN()*2-3)),"",INDEX(Array_ElectricalChargeData,ROW()-16,COLUMN()*2-3))</f>
        <v/>
      </c>
      <c r="H19" t="str" cm="1">
        <f>IF(ISBLANK(INDEX(Array_ElectricalChargeData,ROW()-16,COLUMN()*2-3)),"",INDEX(Array_ElectricalChargeData,ROW()-16,COLUMN()*2-3))</f>
        <v/>
      </c>
      <c r="I19" t="str" cm="1">
        <f>IF(ISBLANK(INDEX(Array_ElectricalChargeData,ROW()-16,COLUMN()*2-3)),"",INDEX(Array_ElectricalChargeData,ROW()-16,COLUMN()*2-3))</f>
        <v/>
      </c>
      <c r="J19" t="str" cm="1">
        <f>IF(ISBLANK(INDEX(Array_ElectricalChargeData,ROW()-16,COLUMN()*2-3)),"",INDEX(Array_ElectricalChargeData,ROW()-16,COLUMN()*2-3))</f>
        <v/>
      </c>
      <c r="K19" t="str" cm="1">
        <f>IF(ISBLANK(INDEX(Array_ElectricalChargeData,ROW()-16,COLUMN()*2-3)),"",INDEX(Array_ElectricalChargeData,ROW()-16,COLUMN()*2-3))</f>
        <v/>
      </c>
      <c r="L19" t="str" cm="1">
        <f>IF(ISBLANK(INDEX(Array_ElectricalChargeData,ROW()-16,COLUMN()*2-3)),"",INDEX(Array_ElectricalChargeData,ROW()-16,COLUMN()*2-3))</f>
        <v/>
      </c>
      <c r="M19" t="str" cm="1">
        <f>IF(ISBLANK(INDEX(Array_ElectricalChargeData,ROW()-16,COLUMN()*2-3)),"",INDEX(Array_ElectricalChargeData,ROW()-16,COLUMN()*2-3))</f>
        <v/>
      </c>
      <c r="N19" t="str" cm="1">
        <f>IF(ISBLANK(INDEX(Array_ElectricalChargeData,ROW()-16,COLUMN()*2-3)),"",INDEX(Array_ElectricalChargeData,ROW()-16,COLUMN()*2-3))</f>
        <v/>
      </c>
      <c r="O19" t="str" cm="1">
        <f>IF(ISBLANK(INDEX(Array_ElectricalChargeData,ROW()-16,COLUMN()*2-3)),"",INDEX(Array_ElectricalChargeData,ROW()-16,COLUMN()*2-3))</f>
        <v/>
      </c>
      <c r="P19" t="str" cm="1">
        <f>IF(ISBLANK(INDEX(Array_ElectricalChargeData,ROW()-16,COLUMN()*2-3)),"",INDEX(Array_ElectricalChargeData,ROW()-16,COLUMN()*2-3))</f>
        <v/>
      </c>
    </row>
    <row r="20" spans="1:16" x14ac:dyDescent="0.35">
      <c r="A20" t="str">
        <f>IF('Electricity Meters'!B6="",A19,'Electricity Meters'!B6)</f>
        <v>Meter Numbers</v>
      </c>
      <c r="B20" t="str" cm="1">
        <f>IF(ISBLANK(INDEX(Array_ElectricalChargeData,ROW()-16,COLUMN()*2-3)),"",INDEX(Array_ElectricalChargeData,ROW()-16,COLUMN()*2-3))</f>
        <v/>
      </c>
      <c r="C20" t="str" cm="1">
        <f>IF(ISBLANK(INDEX(Array_ElectricalChargeData,ROW()-16,COLUMN()*2-3)),"",INDEX(Array_ElectricalChargeData,ROW()-16,COLUMN()*2-3))</f>
        <v/>
      </c>
      <c r="D20" t="str" cm="1">
        <f>IF(ISBLANK(INDEX(Array_ElectricalChargeData,ROW()-16,COLUMN()*2-3)),"",INDEX(Array_ElectricalChargeData,ROW()-16,COLUMN()*2-3))</f>
        <v/>
      </c>
      <c r="E20" t="str" cm="1">
        <f>IF(ISBLANK(INDEX(Array_ElectricalChargeData,ROW()-16,COLUMN()*2-3)),"",INDEX(Array_ElectricalChargeData,ROW()-16,COLUMN()*2-3))</f>
        <v/>
      </c>
      <c r="F20" t="str" cm="1">
        <f>IF(ISBLANK(INDEX(Array_ElectricalChargeData,ROW()-16,COLUMN()*2-3)),"",INDEX(Array_ElectricalChargeData,ROW()-16,COLUMN()*2-3))</f>
        <v/>
      </c>
      <c r="G20" t="str" cm="1">
        <f>IF(ISBLANK(INDEX(Array_ElectricalChargeData,ROW()-16,COLUMN()*2-3)),"",INDEX(Array_ElectricalChargeData,ROW()-16,COLUMN()*2-3))</f>
        <v/>
      </c>
      <c r="H20" t="str" cm="1">
        <f>IF(ISBLANK(INDEX(Array_ElectricalChargeData,ROW()-16,COLUMN()*2-3)),"",INDEX(Array_ElectricalChargeData,ROW()-16,COLUMN()*2-3))</f>
        <v/>
      </c>
      <c r="I20" t="str" cm="1">
        <f>IF(ISBLANK(INDEX(Array_ElectricalChargeData,ROW()-16,COLUMN()*2-3)),"",INDEX(Array_ElectricalChargeData,ROW()-16,COLUMN()*2-3))</f>
        <v/>
      </c>
      <c r="J20" t="str" cm="1">
        <f>IF(ISBLANK(INDEX(Array_ElectricalChargeData,ROW()-16,COLUMN()*2-3)),"",INDEX(Array_ElectricalChargeData,ROW()-16,COLUMN()*2-3))</f>
        <v/>
      </c>
      <c r="K20" t="str" cm="1">
        <f>IF(ISBLANK(INDEX(Array_ElectricalChargeData,ROW()-16,COLUMN()*2-3)),"",INDEX(Array_ElectricalChargeData,ROW()-16,COLUMN()*2-3))</f>
        <v/>
      </c>
      <c r="L20" t="str" cm="1">
        <f>IF(ISBLANK(INDEX(Array_ElectricalChargeData,ROW()-16,COLUMN()*2-3)),"",INDEX(Array_ElectricalChargeData,ROW()-16,COLUMN()*2-3))</f>
        <v/>
      </c>
      <c r="M20" t="str" cm="1">
        <f>IF(ISBLANK(INDEX(Array_ElectricalChargeData,ROW()-16,COLUMN()*2-3)),"",INDEX(Array_ElectricalChargeData,ROW()-16,COLUMN()*2-3))</f>
        <v/>
      </c>
      <c r="N20" t="str" cm="1">
        <f>IF(ISBLANK(INDEX(Array_ElectricalChargeData,ROW()-16,COLUMN()*2-3)),"",INDEX(Array_ElectricalChargeData,ROW()-16,COLUMN()*2-3))</f>
        <v/>
      </c>
      <c r="O20" t="str" cm="1">
        <f>IF(ISBLANK(INDEX(Array_ElectricalChargeData,ROW()-16,COLUMN()*2-3)),"",INDEX(Array_ElectricalChargeData,ROW()-16,COLUMN()*2-3))</f>
        <v/>
      </c>
      <c r="P20" t="str" cm="1">
        <f>IF(ISBLANK(INDEX(Array_ElectricalChargeData,ROW()-16,COLUMN()*2-3)),"",INDEX(Array_ElectricalChargeData,ROW()-16,COLUMN()*2-3))</f>
        <v/>
      </c>
    </row>
    <row r="21" spans="1:16" x14ac:dyDescent="0.35">
      <c r="A21" t="str">
        <f>IF('Electricity Meters'!B7="",A20,'Electricity Meters'!B7)</f>
        <v>Meter Numbers</v>
      </c>
      <c r="B21" t="str" cm="1">
        <f>IF(ISBLANK(INDEX(Array_ElectricalChargeData,ROW()-16,COLUMN()*2-3)),"",INDEX(Array_ElectricalChargeData,ROW()-16,COLUMN()*2-3))</f>
        <v/>
      </c>
      <c r="C21" t="str" cm="1">
        <f>IF(ISBLANK(INDEX(Array_ElectricalChargeData,ROW()-16,COLUMN()*2-3)),"",INDEX(Array_ElectricalChargeData,ROW()-16,COLUMN()*2-3))</f>
        <v/>
      </c>
      <c r="D21" t="str" cm="1">
        <f>IF(ISBLANK(INDEX(Array_ElectricalChargeData,ROW()-16,COLUMN()*2-3)),"",INDEX(Array_ElectricalChargeData,ROW()-16,COLUMN()*2-3))</f>
        <v/>
      </c>
      <c r="E21" t="str" cm="1">
        <f>IF(ISBLANK(INDEX(Array_ElectricalChargeData,ROW()-16,COLUMN()*2-3)),"",INDEX(Array_ElectricalChargeData,ROW()-16,COLUMN()*2-3))</f>
        <v/>
      </c>
      <c r="F21" t="str" cm="1">
        <f>IF(ISBLANK(INDEX(Array_ElectricalChargeData,ROW()-16,COLUMN()*2-3)),"",INDEX(Array_ElectricalChargeData,ROW()-16,COLUMN()*2-3))</f>
        <v/>
      </c>
      <c r="G21" t="str" cm="1">
        <f>IF(ISBLANK(INDEX(Array_ElectricalChargeData,ROW()-16,COLUMN()*2-3)),"",INDEX(Array_ElectricalChargeData,ROW()-16,COLUMN()*2-3))</f>
        <v/>
      </c>
      <c r="H21" t="str" cm="1">
        <f>IF(ISBLANK(INDEX(Array_ElectricalChargeData,ROW()-16,COLUMN()*2-3)),"",INDEX(Array_ElectricalChargeData,ROW()-16,COLUMN()*2-3))</f>
        <v/>
      </c>
      <c r="I21" t="str" cm="1">
        <f>IF(ISBLANK(INDEX(Array_ElectricalChargeData,ROW()-16,COLUMN()*2-3)),"",INDEX(Array_ElectricalChargeData,ROW()-16,COLUMN()*2-3))</f>
        <v/>
      </c>
      <c r="J21" t="str" cm="1">
        <f>IF(ISBLANK(INDEX(Array_ElectricalChargeData,ROW()-16,COLUMN()*2-3)),"",INDEX(Array_ElectricalChargeData,ROW()-16,COLUMN()*2-3))</f>
        <v/>
      </c>
      <c r="K21" t="str" cm="1">
        <f>IF(ISBLANK(INDEX(Array_ElectricalChargeData,ROW()-16,COLUMN()*2-3)),"",INDEX(Array_ElectricalChargeData,ROW()-16,COLUMN()*2-3))</f>
        <v/>
      </c>
      <c r="L21" t="str" cm="1">
        <f>IF(ISBLANK(INDEX(Array_ElectricalChargeData,ROW()-16,COLUMN()*2-3)),"",INDEX(Array_ElectricalChargeData,ROW()-16,COLUMN()*2-3))</f>
        <v/>
      </c>
      <c r="M21" t="str" cm="1">
        <f>IF(ISBLANK(INDEX(Array_ElectricalChargeData,ROW()-16,COLUMN()*2-3)),"",INDEX(Array_ElectricalChargeData,ROW()-16,COLUMN()*2-3))</f>
        <v/>
      </c>
      <c r="N21" t="str" cm="1">
        <f>IF(ISBLANK(INDEX(Array_ElectricalChargeData,ROW()-16,COLUMN()*2-3)),"",INDEX(Array_ElectricalChargeData,ROW()-16,COLUMN()*2-3))</f>
        <v/>
      </c>
      <c r="O21" t="str" cm="1">
        <f>IF(ISBLANK(INDEX(Array_ElectricalChargeData,ROW()-16,COLUMN()*2-3)),"",INDEX(Array_ElectricalChargeData,ROW()-16,COLUMN()*2-3))</f>
        <v/>
      </c>
      <c r="P21" t="str" cm="1">
        <f>IF(ISBLANK(INDEX(Array_ElectricalChargeData,ROW()-16,COLUMN()*2-3)),"",INDEX(Array_ElectricalChargeData,ROW()-16,COLUMN()*2-3))</f>
        <v/>
      </c>
    </row>
    <row r="22" spans="1:16" x14ac:dyDescent="0.35">
      <c r="A22" t="str">
        <f>IF('Electricity Meters'!B8="",A21,'Electricity Meters'!B8)</f>
        <v>Meter Numbers</v>
      </c>
      <c r="B22" t="str" cm="1">
        <f>IF(ISBLANK(INDEX(Array_ElectricalChargeData,ROW()-16,COLUMN()*2-3)),"",INDEX(Array_ElectricalChargeData,ROW()-16,COLUMN()*2-3))</f>
        <v/>
      </c>
      <c r="C22" t="str" cm="1">
        <f>IF(ISBLANK(INDEX(Array_ElectricalChargeData,ROW()-16,COLUMN()*2-3)),"",INDEX(Array_ElectricalChargeData,ROW()-16,COLUMN()*2-3))</f>
        <v/>
      </c>
      <c r="D22" t="str" cm="1">
        <f>IF(ISBLANK(INDEX(Array_ElectricalChargeData,ROW()-16,COLUMN()*2-3)),"",INDEX(Array_ElectricalChargeData,ROW()-16,COLUMN()*2-3))</f>
        <v/>
      </c>
      <c r="E22" t="str" cm="1">
        <f>IF(ISBLANK(INDEX(Array_ElectricalChargeData,ROW()-16,COLUMN()*2-3)),"",INDEX(Array_ElectricalChargeData,ROW()-16,COLUMN()*2-3))</f>
        <v/>
      </c>
      <c r="F22" t="str" cm="1">
        <f>IF(ISBLANK(INDEX(Array_ElectricalChargeData,ROW()-16,COLUMN()*2-3)),"",INDEX(Array_ElectricalChargeData,ROW()-16,COLUMN()*2-3))</f>
        <v/>
      </c>
      <c r="G22" t="str" cm="1">
        <f>IF(ISBLANK(INDEX(Array_ElectricalChargeData,ROW()-16,COLUMN()*2-3)),"",INDEX(Array_ElectricalChargeData,ROW()-16,COLUMN()*2-3))</f>
        <v/>
      </c>
      <c r="H22" t="str" cm="1">
        <f>IF(ISBLANK(INDEX(Array_ElectricalChargeData,ROW()-16,COLUMN()*2-3)),"",INDEX(Array_ElectricalChargeData,ROW()-16,COLUMN()*2-3))</f>
        <v/>
      </c>
      <c r="I22" t="str" cm="1">
        <f>IF(ISBLANK(INDEX(Array_ElectricalChargeData,ROW()-16,COLUMN()*2-3)),"",INDEX(Array_ElectricalChargeData,ROW()-16,COLUMN()*2-3))</f>
        <v/>
      </c>
      <c r="J22" t="str" cm="1">
        <f>IF(ISBLANK(INDEX(Array_ElectricalChargeData,ROW()-16,COLUMN()*2-3)),"",INDEX(Array_ElectricalChargeData,ROW()-16,COLUMN()*2-3))</f>
        <v/>
      </c>
      <c r="K22" t="str" cm="1">
        <f>IF(ISBLANK(INDEX(Array_ElectricalChargeData,ROW()-16,COLUMN()*2-3)),"",INDEX(Array_ElectricalChargeData,ROW()-16,COLUMN()*2-3))</f>
        <v/>
      </c>
      <c r="L22" t="str" cm="1">
        <f>IF(ISBLANK(INDEX(Array_ElectricalChargeData,ROW()-16,COLUMN()*2-3)),"",INDEX(Array_ElectricalChargeData,ROW()-16,COLUMN()*2-3))</f>
        <v/>
      </c>
      <c r="M22" t="str" cm="1">
        <f>IF(ISBLANK(INDEX(Array_ElectricalChargeData,ROW()-16,COLUMN()*2-3)),"",INDEX(Array_ElectricalChargeData,ROW()-16,COLUMN()*2-3))</f>
        <v/>
      </c>
      <c r="N22" t="str" cm="1">
        <f>IF(ISBLANK(INDEX(Array_ElectricalChargeData,ROW()-16,COLUMN()*2-3)),"",INDEX(Array_ElectricalChargeData,ROW()-16,COLUMN()*2-3))</f>
        <v/>
      </c>
      <c r="O22" t="str" cm="1">
        <f>IF(ISBLANK(INDEX(Array_ElectricalChargeData,ROW()-16,COLUMN()*2-3)),"",INDEX(Array_ElectricalChargeData,ROW()-16,COLUMN()*2-3))</f>
        <v/>
      </c>
      <c r="P22" t="str" cm="1">
        <f>IF(ISBLANK(INDEX(Array_ElectricalChargeData,ROW()-16,COLUMN()*2-3)),"",INDEX(Array_ElectricalChargeData,ROW()-16,COLUMN()*2-3))</f>
        <v/>
      </c>
    </row>
    <row r="23" spans="1:16" x14ac:dyDescent="0.35">
      <c r="A23" t="str">
        <f>IF('Electricity Meters'!B9="",A22,'Electricity Meters'!B9)</f>
        <v>Meter Numbers</v>
      </c>
      <c r="B23" t="str" cm="1">
        <f>IF(ISBLANK(INDEX(Array_ElectricalChargeData,ROW()-16,COLUMN()*2-3)),"",INDEX(Array_ElectricalChargeData,ROW()-16,COLUMN()*2-3))</f>
        <v/>
      </c>
      <c r="C23" t="str" cm="1">
        <f>IF(ISBLANK(INDEX(Array_ElectricalChargeData,ROW()-16,COLUMN()*2-3)),"",INDEX(Array_ElectricalChargeData,ROW()-16,COLUMN()*2-3))</f>
        <v/>
      </c>
      <c r="D23" t="str" cm="1">
        <f>IF(ISBLANK(INDEX(Array_ElectricalChargeData,ROW()-16,COLUMN()*2-3)),"",INDEX(Array_ElectricalChargeData,ROW()-16,COLUMN()*2-3))</f>
        <v/>
      </c>
      <c r="E23" t="str" cm="1">
        <f>IF(ISBLANK(INDEX(Array_ElectricalChargeData,ROW()-16,COLUMN()*2-3)),"",INDEX(Array_ElectricalChargeData,ROW()-16,COLUMN()*2-3))</f>
        <v/>
      </c>
      <c r="F23" t="str" cm="1">
        <f>IF(ISBLANK(INDEX(Array_ElectricalChargeData,ROW()-16,COLUMN()*2-3)),"",INDEX(Array_ElectricalChargeData,ROW()-16,COLUMN()*2-3))</f>
        <v/>
      </c>
      <c r="G23" t="str" cm="1">
        <f>IF(ISBLANK(INDEX(Array_ElectricalChargeData,ROW()-16,COLUMN()*2-3)),"",INDEX(Array_ElectricalChargeData,ROW()-16,COLUMN()*2-3))</f>
        <v/>
      </c>
      <c r="H23" t="str" cm="1">
        <f>IF(ISBLANK(INDEX(Array_ElectricalChargeData,ROW()-16,COLUMN()*2-3)),"",INDEX(Array_ElectricalChargeData,ROW()-16,COLUMN()*2-3))</f>
        <v/>
      </c>
      <c r="I23" t="str" cm="1">
        <f>IF(ISBLANK(INDEX(Array_ElectricalChargeData,ROW()-16,COLUMN()*2-3)),"",INDEX(Array_ElectricalChargeData,ROW()-16,COLUMN()*2-3))</f>
        <v/>
      </c>
      <c r="J23" t="str" cm="1">
        <f>IF(ISBLANK(INDEX(Array_ElectricalChargeData,ROW()-16,COLUMN()*2-3)),"",INDEX(Array_ElectricalChargeData,ROW()-16,COLUMN()*2-3))</f>
        <v/>
      </c>
      <c r="K23" t="str" cm="1">
        <f>IF(ISBLANK(INDEX(Array_ElectricalChargeData,ROW()-16,COLUMN()*2-3)),"",INDEX(Array_ElectricalChargeData,ROW()-16,COLUMN()*2-3))</f>
        <v/>
      </c>
      <c r="L23" t="str" cm="1">
        <f>IF(ISBLANK(INDEX(Array_ElectricalChargeData,ROW()-16,COLUMN()*2-3)),"",INDEX(Array_ElectricalChargeData,ROW()-16,COLUMN()*2-3))</f>
        <v/>
      </c>
      <c r="M23" t="str" cm="1">
        <f>IF(ISBLANK(INDEX(Array_ElectricalChargeData,ROW()-16,COLUMN()*2-3)),"",INDEX(Array_ElectricalChargeData,ROW()-16,COLUMN()*2-3))</f>
        <v/>
      </c>
      <c r="N23" t="str" cm="1">
        <f>IF(ISBLANK(INDEX(Array_ElectricalChargeData,ROW()-16,COLUMN()*2-3)),"",INDEX(Array_ElectricalChargeData,ROW()-16,COLUMN()*2-3))</f>
        <v/>
      </c>
      <c r="O23" t="str" cm="1">
        <f>IF(ISBLANK(INDEX(Array_ElectricalChargeData,ROW()-16,COLUMN()*2-3)),"",INDEX(Array_ElectricalChargeData,ROW()-16,COLUMN()*2-3))</f>
        <v/>
      </c>
      <c r="P23" t="str" cm="1">
        <f>IF(ISBLANK(INDEX(Array_ElectricalChargeData,ROW()-16,COLUMN()*2-3)),"",INDEX(Array_ElectricalChargeData,ROW()-16,COLUMN()*2-3))</f>
        <v/>
      </c>
    </row>
    <row r="24" spans="1:16" x14ac:dyDescent="0.35">
      <c r="A24" t="str">
        <f>IF('Electricity Meters'!B10="",A23,'Electricity Meters'!B10)</f>
        <v>Meter Numbers</v>
      </c>
      <c r="B24" t="str" cm="1">
        <f>IF(ISBLANK(INDEX(Array_ElectricalChargeData,ROW()-16,COLUMN()*2-3)),"",INDEX(Array_ElectricalChargeData,ROW()-16,COLUMN()*2-3))</f>
        <v/>
      </c>
      <c r="C24" t="str" cm="1">
        <f>IF(ISBLANK(INDEX(Array_ElectricalChargeData,ROW()-16,COLUMN()*2-3)),"",INDEX(Array_ElectricalChargeData,ROW()-16,COLUMN()*2-3))</f>
        <v/>
      </c>
      <c r="D24" t="str" cm="1">
        <f>IF(ISBLANK(INDEX(Array_ElectricalChargeData,ROW()-16,COLUMN()*2-3)),"",INDEX(Array_ElectricalChargeData,ROW()-16,COLUMN()*2-3))</f>
        <v/>
      </c>
      <c r="E24" t="str" cm="1">
        <f>IF(ISBLANK(INDEX(Array_ElectricalChargeData,ROW()-16,COLUMN()*2-3)),"",INDEX(Array_ElectricalChargeData,ROW()-16,COLUMN()*2-3))</f>
        <v/>
      </c>
      <c r="F24" t="str" cm="1">
        <f>IF(ISBLANK(INDEX(Array_ElectricalChargeData,ROW()-16,COLUMN()*2-3)),"",INDEX(Array_ElectricalChargeData,ROW()-16,COLUMN()*2-3))</f>
        <v/>
      </c>
      <c r="G24" t="str" cm="1">
        <f>IF(ISBLANK(INDEX(Array_ElectricalChargeData,ROW()-16,COLUMN()*2-3)),"",INDEX(Array_ElectricalChargeData,ROW()-16,COLUMN()*2-3))</f>
        <v/>
      </c>
      <c r="H24" t="str" cm="1">
        <f>IF(ISBLANK(INDEX(Array_ElectricalChargeData,ROW()-16,COLUMN()*2-3)),"",INDEX(Array_ElectricalChargeData,ROW()-16,COLUMN()*2-3))</f>
        <v/>
      </c>
      <c r="I24" t="str" cm="1">
        <f>IF(ISBLANK(INDEX(Array_ElectricalChargeData,ROW()-16,COLUMN()*2-3)),"",INDEX(Array_ElectricalChargeData,ROW()-16,COLUMN()*2-3))</f>
        <v/>
      </c>
      <c r="J24" t="str" cm="1">
        <f>IF(ISBLANK(INDEX(Array_ElectricalChargeData,ROW()-16,COLUMN()*2-3)),"",INDEX(Array_ElectricalChargeData,ROW()-16,COLUMN()*2-3))</f>
        <v/>
      </c>
      <c r="K24" t="str" cm="1">
        <f>IF(ISBLANK(INDEX(Array_ElectricalChargeData,ROW()-16,COLUMN()*2-3)),"",INDEX(Array_ElectricalChargeData,ROW()-16,COLUMN()*2-3))</f>
        <v/>
      </c>
      <c r="L24" t="str" cm="1">
        <f>IF(ISBLANK(INDEX(Array_ElectricalChargeData,ROW()-16,COLUMN()*2-3)),"",INDEX(Array_ElectricalChargeData,ROW()-16,COLUMN()*2-3))</f>
        <v/>
      </c>
      <c r="M24" t="str" cm="1">
        <f>IF(ISBLANK(INDEX(Array_ElectricalChargeData,ROW()-16,COLUMN()*2-3)),"",INDEX(Array_ElectricalChargeData,ROW()-16,COLUMN()*2-3))</f>
        <v/>
      </c>
      <c r="N24" t="str" cm="1">
        <f>IF(ISBLANK(INDEX(Array_ElectricalChargeData,ROW()-16,COLUMN()*2-3)),"",INDEX(Array_ElectricalChargeData,ROW()-16,COLUMN()*2-3))</f>
        <v/>
      </c>
      <c r="O24" t="str" cm="1">
        <f>IF(ISBLANK(INDEX(Array_ElectricalChargeData,ROW()-16,COLUMN()*2-3)),"",INDEX(Array_ElectricalChargeData,ROW()-16,COLUMN()*2-3))</f>
        <v/>
      </c>
      <c r="P24" t="str" cm="1">
        <f>IF(ISBLANK(INDEX(Array_ElectricalChargeData,ROW()-16,COLUMN()*2-3)),"",INDEX(Array_ElectricalChargeData,ROW()-16,COLUMN()*2-3))</f>
        <v/>
      </c>
    </row>
    <row r="25" spans="1:16" x14ac:dyDescent="0.35">
      <c r="A25" t="str">
        <f>IF('Electricity Meters'!B11="",A24,'Electricity Meters'!B11)</f>
        <v>Meter Numbers</v>
      </c>
      <c r="B25" t="str" cm="1">
        <f>IF(ISBLANK(INDEX(Array_ElectricalChargeData,ROW()-16,COLUMN()*2-3)),"",INDEX(Array_ElectricalChargeData,ROW()-16,COLUMN()*2-3))</f>
        <v/>
      </c>
      <c r="C25" t="str" cm="1">
        <f>IF(ISBLANK(INDEX(Array_ElectricalChargeData,ROW()-16,COLUMN()*2-3)),"",INDEX(Array_ElectricalChargeData,ROW()-16,COLUMN()*2-3))</f>
        <v/>
      </c>
      <c r="D25" t="str" cm="1">
        <f>IF(ISBLANK(INDEX(Array_ElectricalChargeData,ROW()-16,COLUMN()*2-3)),"",INDEX(Array_ElectricalChargeData,ROW()-16,COLUMN()*2-3))</f>
        <v/>
      </c>
      <c r="E25" t="str" cm="1">
        <f>IF(ISBLANK(INDEX(Array_ElectricalChargeData,ROW()-16,COLUMN()*2-3)),"",INDEX(Array_ElectricalChargeData,ROW()-16,COLUMN()*2-3))</f>
        <v/>
      </c>
      <c r="F25" t="str" cm="1">
        <f>IF(ISBLANK(INDEX(Array_ElectricalChargeData,ROW()-16,COLUMN()*2-3)),"",INDEX(Array_ElectricalChargeData,ROW()-16,COLUMN()*2-3))</f>
        <v/>
      </c>
      <c r="G25" t="str" cm="1">
        <f>IF(ISBLANK(INDEX(Array_ElectricalChargeData,ROW()-16,COLUMN()*2-3)),"",INDEX(Array_ElectricalChargeData,ROW()-16,COLUMN()*2-3))</f>
        <v/>
      </c>
      <c r="H25" t="str" cm="1">
        <f>IF(ISBLANK(INDEX(Array_ElectricalChargeData,ROW()-16,COLUMN()*2-3)),"",INDEX(Array_ElectricalChargeData,ROW()-16,COLUMN()*2-3))</f>
        <v/>
      </c>
      <c r="I25" t="str" cm="1">
        <f>IF(ISBLANK(INDEX(Array_ElectricalChargeData,ROW()-16,COLUMN()*2-3)),"",INDEX(Array_ElectricalChargeData,ROW()-16,COLUMN()*2-3))</f>
        <v/>
      </c>
      <c r="J25" t="str" cm="1">
        <f>IF(ISBLANK(INDEX(Array_ElectricalChargeData,ROW()-16,COLUMN()*2-3)),"",INDEX(Array_ElectricalChargeData,ROW()-16,COLUMN()*2-3))</f>
        <v/>
      </c>
      <c r="K25" t="str" cm="1">
        <f>IF(ISBLANK(INDEX(Array_ElectricalChargeData,ROW()-16,COLUMN()*2-3)),"",INDEX(Array_ElectricalChargeData,ROW()-16,COLUMN()*2-3))</f>
        <v/>
      </c>
      <c r="L25" t="str" cm="1">
        <f>IF(ISBLANK(INDEX(Array_ElectricalChargeData,ROW()-16,COLUMN()*2-3)),"",INDEX(Array_ElectricalChargeData,ROW()-16,COLUMN()*2-3))</f>
        <v/>
      </c>
      <c r="M25" t="str" cm="1">
        <f>IF(ISBLANK(INDEX(Array_ElectricalChargeData,ROW()-16,COLUMN()*2-3)),"",INDEX(Array_ElectricalChargeData,ROW()-16,COLUMN()*2-3))</f>
        <v/>
      </c>
      <c r="N25" t="str" cm="1">
        <f>IF(ISBLANK(INDEX(Array_ElectricalChargeData,ROW()-16,COLUMN()*2-3)),"",INDEX(Array_ElectricalChargeData,ROW()-16,COLUMN()*2-3))</f>
        <v/>
      </c>
      <c r="O25" t="str" cm="1">
        <f>IF(ISBLANK(INDEX(Array_ElectricalChargeData,ROW()-16,COLUMN()*2-3)),"",INDEX(Array_ElectricalChargeData,ROW()-16,COLUMN()*2-3))</f>
        <v/>
      </c>
      <c r="P25" t="str" cm="1">
        <f>IF(ISBLANK(INDEX(Array_ElectricalChargeData,ROW()-16,COLUMN()*2-3)),"",INDEX(Array_ElectricalChargeData,ROW()-16,COLUMN()*2-3))</f>
        <v/>
      </c>
    </row>
    <row r="26" spans="1:16" x14ac:dyDescent="0.35">
      <c r="A26" t="str">
        <f>IF('Electricity Meters'!B12="",A25,'Electricity Meters'!B12)</f>
        <v>Meter Numbers</v>
      </c>
      <c r="B26" t="str" cm="1">
        <f>IF(ISBLANK(INDEX(Array_ElectricalChargeData,ROW()-16,COLUMN()*2-3)),"",INDEX(Array_ElectricalChargeData,ROW()-16,COLUMN()*2-3))</f>
        <v/>
      </c>
      <c r="C26" t="str" cm="1">
        <f>IF(ISBLANK(INDEX(Array_ElectricalChargeData,ROW()-16,COLUMN()*2-3)),"",INDEX(Array_ElectricalChargeData,ROW()-16,COLUMN()*2-3))</f>
        <v/>
      </c>
      <c r="D26" t="str" cm="1">
        <f>IF(ISBLANK(INDEX(Array_ElectricalChargeData,ROW()-16,COLUMN()*2-3)),"",INDEX(Array_ElectricalChargeData,ROW()-16,COLUMN()*2-3))</f>
        <v/>
      </c>
      <c r="E26" t="str" cm="1">
        <f>IF(ISBLANK(INDEX(Array_ElectricalChargeData,ROW()-16,COLUMN()*2-3)),"",INDEX(Array_ElectricalChargeData,ROW()-16,COLUMN()*2-3))</f>
        <v/>
      </c>
      <c r="F26" t="str" cm="1">
        <f>IF(ISBLANK(INDEX(Array_ElectricalChargeData,ROW()-16,COLUMN()*2-3)),"",INDEX(Array_ElectricalChargeData,ROW()-16,COLUMN()*2-3))</f>
        <v/>
      </c>
      <c r="G26" t="str" cm="1">
        <f>IF(ISBLANK(INDEX(Array_ElectricalChargeData,ROW()-16,COLUMN()*2-3)),"",INDEX(Array_ElectricalChargeData,ROW()-16,COLUMN()*2-3))</f>
        <v/>
      </c>
      <c r="H26" t="str" cm="1">
        <f>IF(ISBLANK(INDEX(Array_ElectricalChargeData,ROW()-16,COLUMN()*2-3)),"",INDEX(Array_ElectricalChargeData,ROW()-16,COLUMN()*2-3))</f>
        <v/>
      </c>
      <c r="I26" t="str" cm="1">
        <f>IF(ISBLANK(INDEX(Array_ElectricalChargeData,ROW()-16,COLUMN()*2-3)),"",INDEX(Array_ElectricalChargeData,ROW()-16,COLUMN()*2-3))</f>
        <v/>
      </c>
      <c r="J26" t="str" cm="1">
        <f>IF(ISBLANK(INDEX(Array_ElectricalChargeData,ROW()-16,COLUMN()*2-3)),"",INDEX(Array_ElectricalChargeData,ROW()-16,COLUMN()*2-3))</f>
        <v/>
      </c>
      <c r="K26" t="str" cm="1">
        <f>IF(ISBLANK(INDEX(Array_ElectricalChargeData,ROW()-16,COLUMN()*2-3)),"",INDEX(Array_ElectricalChargeData,ROW()-16,COLUMN()*2-3))</f>
        <v/>
      </c>
      <c r="L26" t="str" cm="1">
        <f>IF(ISBLANK(INDEX(Array_ElectricalChargeData,ROW()-16,COLUMN()*2-3)),"",INDEX(Array_ElectricalChargeData,ROW()-16,COLUMN()*2-3))</f>
        <v/>
      </c>
      <c r="M26" t="str" cm="1">
        <f>IF(ISBLANK(INDEX(Array_ElectricalChargeData,ROW()-16,COLUMN()*2-3)),"",INDEX(Array_ElectricalChargeData,ROW()-16,COLUMN()*2-3))</f>
        <v/>
      </c>
      <c r="N26" t="str" cm="1">
        <f>IF(ISBLANK(INDEX(Array_ElectricalChargeData,ROW()-16,COLUMN()*2-3)),"",INDEX(Array_ElectricalChargeData,ROW()-16,COLUMN()*2-3))</f>
        <v/>
      </c>
      <c r="O26" t="str" cm="1">
        <f>IF(ISBLANK(INDEX(Array_ElectricalChargeData,ROW()-16,COLUMN()*2-3)),"",INDEX(Array_ElectricalChargeData,ROW()-16,COLUMN()*2-3))</f>
        <v/>
      </c>
      <c r="P26" t="str" cm="1">
        <f>IF(ISBLANK(INDEX(Array_ElectricalChargeData,ROW()-16,COLUMN()*2-3)),"",INDEX(Array_ElectricalChargeData,ROW()-16,COLUMN()*2-3))</f>
        <v/>
      </c>
    </row>
    <row r="27" spans="1:16" x14ac:dyDescent="0.35">
      <c r="A27" t="str">
        <f>IF('Electricity Meters'!B13="",A26,'Electricity Meters'!B13)</f>
        <v>Meter Numbers</v>
      </c>
      <c r="B27" t="str" cm="1">
        <f>IF(ISBLANK(INDEX(Array_ElectricalChargeData,ROW()-16,COLUMN()*2-3)),"",INDEX(Array_ElectricalChargeData,ROW()-16,COLUMN()*2-3))</f>
        <v/>
      </c>
      <c r="C27" t="str" cm="1">
        <f>IF(ISBLANK(INDEX(Array_ElectricalChargeData,ROW()-16,COLUMN()*2-3)),"",INDEX(Array_ElectricalChargeData,ROW()-16,COLUMN()*2-3))</f>
        <v/>
      </c>
      <c r="D27" t="str" cm="1">
        <f>IF(ISBLANK(INDEX(Array_ElectricalChargeData,ROW()-16,COLUMN()*2-3)),"",INDEX(Array_ElectricalChargeData,ROW()-16,COLUMN()*2-3))</f>
        <v/>
      </c>
      <c r="E27" t="str" cm="1">
        <f>IF(ISBLANK(INDEX(Array_ElectricalChargeData,ROW()-16,COLUMN()*2-3)),"",INDEX(Array_ElectricalChargeData,ROW()-16,COLUMN()*2-3))</f>
        <v/>
      </c>
      <c r="F27" t="str" cm="1">
        <f>IF(ISBLANK(INDEX(Array_ElectricalChargeData,ROW()-16,COLUMN()*2-3)),"",INDEX(Array_ElectricalChargeData,ROW()-16,COLUMN()*2-3))</f>
        <v/>
      </c>
      <c r="G27" t="str" cm="1">
        <f>IF(ISBLANK(INDEX(Array_ElectricalChargeData,ROW()-16,COLUMN()*2-3)),"",INDEX(Array_ElectricalChargeData,ROW()-16,COLUMN()*2-3))</f>
        <v/>
      </c>
      <c r="H27" t="str" cm="1">
        <f>IF(ISBLANK(INDEX(Array_ElectricalChargeData,ROW()-16,COLUMN()*2-3)),"",INDEX(Array_ElectricalChargeData,ROW()-16,COLUMN()*2-3))</f>
        <v/>
      </c>
      <c r="I27" t="str" cm="1">
        <f>IF(ISBLANK(INDEX(Array_ElectricalChargeData,ROW()-16,COLUMN()*2-3)),"",INDEX(Array_ElectricalChargeData,ROW()-16,COLUMN()*2-3))</f>
        <v/>
      </c>
      <c r="J27" t="str" cm="1">
        <f>IF(ISBLANK(INDEX(Array_ElectricalChargeData,ROW()-16,COLUMN()*2-3)),"",INDEX(Array_ElectricalChargeData,ROW()-16,COLUMN()*2-3))</f>
        <v/>
      </c>
      <c r="K27" t="str" cm="1">
        <f>IF(ISBLANK(INDEX(Array_ElectricalChargeData,ROW()-16,COLUMN()*2-3)),"",INDEX(Array_ElectricalChargeData,ROW()-16,COLUMN()*2-3))</f>
        <v/>
      </c>
      <c r="L27" t="str" cm="1">
        <f>IF(ISBLANK(INDEX(Array_ElectricalChargeData,ROW()-16,COLUMN()*2-3)),"",INDEX(Array_ElectricalChargeData,ROW()-16,COLUMN()*2-3))</f>
        <v/>
      </c>
      <c r="M27" t="str" cm="1">
        <f>IF(ISBLANK(INDEX(Array_ElectricalChargeData,ROW()-16,COLUMN()*2-3)),"",INDEX(Array_ElectricalChargeData,ROW()-16,COLUMN()*2-3))</f>
        <v/>
      </c>
      <c r="N27" t="str" cm="1">
        <f>IF(ISBLANK(INDEX(Array_ElectricalChargeData,ROW()-16,COLUMN()*2-3)),"",INDEX(Array_ElectricalChargeData,ROW()-16,COLUMN()*2-3))</f>
        <v/>
      </c>
      <c r="O27" t="str" cm="1">
        <f>IF(ISBLANK(INDEX(Array_ElectricalChargeData,ROW()-16,COLUMN()*2-3)),"",INDEX(Array_ElectricalChargeData,ROW()-16,COLUMN()*2-3))</f>
        <v/>
      </c>
      <c r="P27" t="str" cm="1">
        <f>IF(ISBLANK(INDEX(Array_ElectricalChargeData,ROW()-16,COLUMN()*2-3)),"",INDEX(Array_ElectricalChargeData,ROW()-16,COLUMN()*2-3))</f>
        <v/>
      </c>
    </row>
    <row r="28" spans="1:16" x14ac:dyDescent="0.35">
      <c r="A28" t="str">
        <f>IF('Electricity Meters'!B14="",A27,'Electricity Meters'!B14)</f>
        <v>Meter Numbers</v>
      </c>
      <c r="B28" t="str" cm="1">
        <f>IF(ISBLANK(INDEX(Array_ElectricalChargeData,ROW()-16,COLUMN()*2-3)),"",INDEX(Array_ElectricalChargeData,ROW()-16,COLUMN()*2-3))</f>
        <v/>
      </c>
      <c r="C28" t="str" cm="1">
        <f>IF(ISBLANK(INDEX(Array_ElectricalChargeData,ROW()-16,COLUMN()*2-3)),"",INDEX(Array_ElectricalChargeData,ROW()-16,COLUMN()*2-3))</f>
        <v/>
      </c>
      <c r="D28" t="str" cm="1">
        <f>IF(ISBLANK(INDEX(Array_ElectricalChargeData,ROW()-16,COLUMN()*2-3)),"",INDEX(Array_ElectricalChargeData,ROW()-16,COLUMN()*2-3))</f>
        <v/>
      </c>
      <c r="E28" t="str" cm="1">
        <f>IF(ISBLANK(INDEX(Array_ElectricalChargeData,ROW()-16,COLUMN()*2-3)),"",INDEX(Array_ElectricalChargeData,ROW()-16,COLUMN()*2-3))</f>
        <v/>
      </c>
      <c r="F28" t="str" cm="1">
        <f>IF(ISBLANK(INDEX(Array_ElectricalChargeData,ROW()-16,COLUMN()*2-3)),"",INDEX(Array_ElectricalChargeData,ROW()-16,COLUMN()*2-3))</f>
        <v/>
      </c>
      <c r="G28" t="str" cm="1">
        <f>IF(ISBLANK(INDEX(Array_ElectricalChargeData,ROW()-16,COLUMN()*2-3)),"",INDEX(Array_ElectricalChargeData,ROW()-16,COLUMN()*2-3))</f>
        <v/>
      </c>
      <c r="H28" t="str" cm="1">
        <f>IF(ISBLANK(INDEX(Array_ElectricalChargeData,ROW()-16,COLUMN()*2-3)),"",INDEX(Array_ElectricalChargeData,ROW()-16,COLUMN()*2-3))</f>
        <v/>
      </c>
      <c r="I28" t="str" cm="1">
        <f>IF(ISBLANK(INDEX(Array_ElectricalChargeData,ROW()-16,COLUMN()*2-3)),"",INDEX(Array_ElectricalChargeData,ROW()-16,COLUMN()*2-3))</f>
        <v/>
      </c>
      <c r="J28" t="str" cm="1">
        <f>IF(ISBLANK(INDEX(Array_ElectricalChargeData,ROW()-16,COLUMN()*2-3)),"",INDEX(Array_ElectricalChargeData,ROW()-16,COLUMN()*2-3))</f>
        <v/>
      </c>
      <c r="K28" t="str" cm="1">
        <f>IF(ISBLANK(INDEX(Array_ElectricalChargeData,ROW()-16,COLUMN()*2-3)),"",INDEX(Array_ElectricalChargeData,ROW()-16,COLUMN()*2-3))</f>
        <v/>
      </c>
      <c r="L28" t="str" cm="1">
        <f>IF(ISBLANK(INDEX(Array_ElectricalChargeData,ROW()-16,COLUMN()*2-3)),"",INDEX(Array_ElectricalChargeData,ROW()-16,COLUMN()*2-3))</f>
        <v/>
      </c>
      <c r="M28" t="str" cm="1">
        <f>IF(ISBLANK(INDEX(Array_ElectricalChargeData,ROW()-16,COLUMN()*2-3)),"",INDEX(Array_ElectricalChargeData,ROW()-16,COLUMN()*2-3))</f>
        <v/>
      </c>
      <c r="N28" t="str" cm="1">
        <f>IF(ISBLANK(INDEX(Array_ElectricalChargeData,ROW()-16,COLUMN()*2-3)),"",INDEX(Array_ElectricalChargeData,ROW()-16,COLUMN()*2-3))</f>
        <v/>
      </c>
      <c r="O28" t="str" cm="1">
        <f>IF(ISBLANK(INDEX(Array_ElectricalChargeData,ROW()-16,COLUMN()*2-3)),"",INDEX(Array_ElectricalChargeData,ROW()-16,COLUMN()*2-3))</f>
        <v/>
      </c>
      <c r="P28" t="str" cm="1">
        <f>IF(ISBLANK(INDEX(Array_ElectricalChargeData,ROW()-16,COLUMN()*2-3)),"",INDEX(Array_ElectricalChargeData,ROW()-16,COLUMN()*2-3))</f>
        <v/>
      </c>
    </row>
    <row r="29" spans="1:16" x14ac:dyDescent="0.35">
      <c r="A29" t="str">
        <f>IF('Electricity Meters'!B15="",A28,'Electricity Meters'!B15)</f>
        <v>Meter Numbers</v>
      </c>
      <c r="B29" t="str" cm="1">
        <f>IF(ISBLANK(INDEX(Array_ElectricalChargeData,ROW()-16,COLUMN()*2-3)),"",INDEX(Array_ElectricalChargeData,ROW()-16,COLUMN()*2-3))</f>
        <v/>
      </c>
      <c r="C29" t="str" cm="1">
        <f>IF(ISBLANK(INDEX(Array_ElectricalChargeData,ROW()-16,COLUMN()*2-3)),"",INDEX(Array_ElectricalChargeData,ROW()-16,COLUMN()*2-3))</f>
        <v/>
      </c>
      <c r="D29" t="str" cm="1">
        <f>IF(ISBLANK(INDEX(Array_ElectricalChargeData,ROW()-16,COLUMN()*2-3)),"",INDEX(Array_ElectricalChargeData,ROW()-16,COLUMN()*2-3))</f>
        <v/>
      </c>
      <c r="E29" t="str" cm="1">
        <f>IF(ISBLANK(INDEX(Array_ElectricalChargeData,ROW()-16,COLUMN()*2-3)),"",INDEX(Array_ElectricalChargeData,ROW()-16,COLUMN()*2-3))</f>
        <v/>
      </c>
      <c r="F29" t="str" cm="1">
        <f>IF(ISBLANK(INDEX(Array_ElectricalChargeData,ROW()-16,COLUMN()*2-3)),"",INDEX(Array_ElectricalChargeData,ROW()-16,COLUMN()*2-3))</f>
        <v/>
      </c>
      <c r="G29" t="str" cm="1">
        <f>IF(ISBLANK(INDEX(Array_ElectricalChargeData,ROW()-16,COLUMN()*2-3)),"",INDEX(Array_ElectricalChargeData,ROW()-16,COLUMN()*2-3))</f>
        <v/>
      </c>
      <c r="H29" t="str" cm="1">
        <f>IF(ISBLANK(INDEX(Array_ElectricalChargeData,ROW()-16,COLUMN()*2-3)),"",INDEX(Array_ElectricalChargeData,ROW()-16,COLUMN()*2-3))</f>
        <v/>
      </c>
      <c r="I29" t="str" cm="1">
        <f>IF(ISBLANK(INDEX(Array_ElectricalChargeData,ROW()-16,COLUMN()*2-3)),"",INDEX(Array_ElectricalChargeData,ROW()-16,COLUMN()*2-3))</f>
        <v/>
      </c>
      <c r="J29" t="str" cm="1">
        <f>IF(ISBLANK(INDEX(Array_ElectricalChargeData,ROW()-16,COLUMN()*2-3)),"",INDEX(Array_ElectricalChargeData,ROW()-16,COLUMN()*2-3))</f>
        <v/>
      </c>
      <c r="K29" t="str" cm="1">
        <f>IF(ISBLANK(INDEX(Array_ElectricalChargeData,ROW()-16,COLUMN()*2-3)),"",INDEX(Array_ElectricalChargeData,ROW()-16,COLUMN()*2-3))</f>
        <v/>
      </c>
      <c r="L29" t="str" cm="1">
        <f>IF(ISBLANK(INDEX(Array_ElectricalChargeData,ROW()-16,COLUMN()*2-3)),"",INDEX(Array_ElectricalChargeData,ROW()-16,COLUMN()*2-3))</f>
        <v/>
      </c>
      <c r="M29" t="str" cm="1">
        <f>IF(ISBLANK(INDEX(Array_ElectricalChargeData,ROW()-16,COLUMN()*2-3)),"",INDEX(Array_ElectricalChargeData,ROW()-16,COLUMN()*2-3))</f>
        <v/>
      </c>
      <c r="N29" t="str" cm="1">
        <f>IF(ISBLANK(INDEX(Array_ElectricalChargeData,ROW()-16,COLUMN()*2-3)),"",INDEX(Array_ElectricalChargeData,ROW()-16,COLUMN()*2-3))</f>
        <v/>
      </c>
      <c r="O29" t="str" cm="1">
        <f>IF(ISBLANK(INDEX(Array_ElectricalChargeData,ROW()-16,COLUMN()*2-3)),"",INDEX(Array_ElectricalChargeData,ROW()-16,COLUMN()*2-3))</f>
        <v/>
      </c>
      <c r="P29" t="str" cm="1">
        <f>IF(ISBLANK(INDEX(Array_ElectricalChargeData,ROW()-16,COLUMN()*2-3)),"",INDEX(Array_ElectricalChargeData,ROW()-16,COLUMN()*2-3))</f>
        <v/>
      </c>
    </row>
    <row r="30" spans="1:16" x14ac:dyDescent="0.35">
      <c r="A30" t="str">
        <f>IF('Electricity Meters'!B16="",A29,'Electricity Meters'!B16)</f>
        <v>Meter Numbers</v>
      </c>
      <c r="B30" t="str" cm="1">
        <f>IF(ISBLANK(INDEX(Array_ElectricalChargeData,ROW()-16,COLUMN()*2-3)),"",INDEX(Array_ElectricalChargeData,ROW()-16,COLUMN()*2-3))</f>
        <v/>
      </c>
      <c r="C30" t="str" cm="1">
        <f>IF(ISBLANK(INDEX(Array_ElectricalChargeData,ROW()-16,COLUMN()*2-3)),"",INDEX(Array_ElectricalChargeData,ROW()-16,COLUMN()*2-3))</f>
        <v/>
      </c>
      <c r="D30" t="str" cm="1">
        <f>IF(ISBLANK(INDEX(Array_ElectricalChargeData,ROW()-16,COLUMN()*2-3)),"",INDEX(Array_ElectricalChargeData,ROW()-16,COLUMN()*2-3))</f>
        <v/>
      </c>
      <c r="E30" t="str" cm="1">
        <f>IF(ISBLANK(INDEX(Array_ElectricalChargeData,ROW()-16,COLUMN()*2-3)),"",INDEX(Array_ElectricalChargeData,ROW()-16,COLUMN()*2-3))</f>
        <v/>
      </c>
      <c r="F30" t="str" cm="1">
        <f>IF(ISBLANK(INDEX(Array_ElectricalChargeData,ROW()-16,COLUMN()*2-3)),"",INDEX(Array_ElectricalChargeData,ROW()-16,COLUMN()*2-3))</f>
        <v/>
      </c>
      <c r="G30" t="str" cm="1">
        <f>IF(ISBLANK(INDEX(Array_ElectricalChargeData,ROW()-16,COLUMN()*2-3)),"",INDEX(Array_ElectricalChargeData,ROW()-16,COLUMN()*2-3))</f>
        <v/>
      </c>
      <c r="H30" t="str" cm="1">
        <f>IF(ISBLANK(INDEX(Array_ElectricalChargeData,ROW()-16,COLUMN()*2-3)),"",INDEX(Array_ElectricalChargeData,ROW()-16,COLUMN()*2-3))</f>
        <v/>
      </c>
      <c r="I30" t="str" cm="1">
        <f>IF(ISBLANK(INDEX(Array_ElectricalChargeData,ROW()-16,COLUMN()*2-3)),"",INDEX(Array_ElectricalChargeData,ROW()-16,COLUMN()*2-3))</f>
        <v/>
      </c>
      <c r="J30" t="str" cm="1">
        <f>IF(ISBLANK(INDEX(Array_ElectricalChargeData,ROW()-16,COLUMN()*2-3)),"",INDEX(Array_ElectricalChargeData,ROW()-16,COLUMN()*2-3))</f>
        <v/>
      </c>
      <c r="K30" t="str" cm="1">
        <f>IF(ISBLANK(INDEX(Array_ElectricalChargeData,ROW()-16,COLUMN()*2-3)),"",INDEX(Array_ElectricalChargeData,ROW()-16,COLUMN()*2-3))</f>
        <v/>
      </c>
      <c r="L30" t="str" cm="1">
        <f>IF(ISBLANK(INDEX(Array_ElectricalChargeData,ROW()-16,COLUMN()*2-3)),"",INDEX(Array_ElectricalChargeData,ROW()-16,COLUMN()*2-3))</f>
        <v/>
      </c>
      <c r="M30" t="str" cm="1">
        <f>IF(ISBLANK(INDEX(Array_ElectricalChargeData,ROW()-16,COLUMN()*2-3)),"",INDEX(Array_ElectricalChargeData,ROW()-16,COLUMN()*2-3))</f>
        <v/>
      </c>
      <c r="N30" t="str" cm="1">
        <f>IF(ISBLANK(INDEX(Array_ElectricalChargeData,ROW()-16,COLUMN()*2-3)),"",INDEX(Array_ElectricalChargeData,ROW()-16,COLUMN()*2-3))</f>
        <v/>
      </c>
      <c r="O30" t="str" cm="1">
        <f>IF(ISBLANK(INDEX(Array_ElectricalChargeData,ROW()-16,COLUMN()*2-3)),"",INDEX(Array_ElectricalChargeData,ROW()-16,COLUMN()*2-3))</f>
        <v/>
      </c>
      <c r="P30" t="str" cm="1">
        <f>IF(ISBLANK(INDEX(Array_ElectricalChargeData,ROW()-16,COLUMN()*2-3)),"",INDEX(Array_ElectricalChargeData,ROW()-16,COLUMN()*2-3))</f>
        <v/>
      </c>
    </row>
    <row r="31" spans="1:16" x14ac:dyDescent="0.35">
      <c r="A31" t="str">
        <f>IF('Electricity Meters'!B17="",A30,'Electricity Meters'!B17)</f>
        <v>Meter Numbers</v>
      </c>
      <c r="B31" t="str" cm="1">
        <f>IF(ISBLANK(INDEX(Array_ElectricalChargeData,ROW()-16,COLUMN()*2-3)),"",INDEX(Array_ElectricalChargeData,ROW()-16,COLUMN()*2-3))</f>
        <v/>
      </c>
      <c r="C31" t="str" cm="1">
        <f>IF(ISBLANK(INDEX(Array_ElectricalChargeData,ROW()-16,COLUMN()*2-3)),"",INDEX(Array_ElectricalChargeData,ROW()-16,COLUMN()*2-3))</f>
        <v/>
      </c>
      <c r="D31" t="str" cm="1">
        <f>IF(ISBLANK(INDEX(Array_ElectricalChargeData,ROW()-16,COLUMN()*2-3)),"",INDEX(Array_ElectricalChargeData,ROW()-16,COLUMN()*2-3))</f>
        <v/>
      </c>
      <c r="E31" t="str" cm="1">
        <f>IF(ISBLANK(INDEX(Array_ElectricalChargeData,ROW()-16,COLUMN()*2-3)),"",INDEX(Array_ElectricalChargeData,ROW()-16,COLUMN()*2-3))</f>
        <v/>
      </c>
      <c r="F31" t="str" cm="1">
        <f>IF(ISBLANK(INDEX(Array_ElectricalChargeData,ROW()-16,COLUMN()*2-3)),"",INDEX(Array_ElectricalChargeData,ROW()-16,COLUMN()*2-3))</f>
        <v/>
      </c>
      <c r="G31" t="str" cm="1">
        <f>IF(ISBLANK(INDEX(Array_ElectricalChargeData,ROW()-16,COLUMN()*2-3)),"",INDEX(Array_ElectricalChargeData,ROW()-16,COLUMN()*2-3))</f>
        <v/>
      </c>
      <c r="H31" t="str" cm="1">
        <f>IF(ISBLANK(INDEX(Array_ElectricalChargeData,ROW()-16,COLUMN()*2-3)),"",INDEX(Array_ElectricalChargeData,ROW()-16,COLUMN()*2-3))</f>
        <v/>
      </c>
      <c r="I31" t="str" cm="1">
        <f>IF(ISBLANK(INDEX(Array_ElectricalChargeData,ROW()-16,COLUMN()*2-3)),"",INDEX(Array_ElectricalChargeData,ROW()-16,COLUMN()*2-3))</f>
        <v/>
      </c>
      <c r="J31" t="str" cm="1">
        <f>IF(ISBLANK(INDEX(Array_ElectricalChargeData,ROW()-16,COLUMN()*2-3)),"",INDEX(Array_ElectricalChargeData,ROW()-16,COLUMN()*2-3))</f>
        <v/>
      </c>
      <c r="K31" t="str" cm="1">
        <f>IF(ISBLANK(INDEX(Array_ElectricalChargeData,ROW()-16,COLUMN()*2-3)),"",INDEX(Array_ElectricalChargeData,ROW()-16,COLUMN()*2-3))</f>
        <v/>
      </c>
      <c r="L31" t="str" cm="1">
        <f>IF(ISBLANK(INDEX(Array_ElectricalChargeData,ROW()-16,COLUMN()*2-3)),"",INDEX(Array_ElectricalChargeData,ROW()-16,COLUMN()*2-3))</f>
        <v/>
      </c>
      <c r="M31" t="str" cm="1">
        <f>IF(ISBLANK(INDEX(Array_ElectricalChargeData,ROW()-16,COLUMN()*2-3)),"",INDEX(Array_ElectricalChargeData,ROW()-16,COLUMN()*2-3))</f>
        <v/>
      </c>
      <c r="N31" t="str" cm="1">
        <f>IF(ISBLANK(INDEX(Array_ElectricalChargeData,ROW()-16,COLUMN()*2-3)),"",INDEX(Array_ElectricalChargeData,ROW()-16,COLUMN()*2-3))</f>
        <v/>
      </c>
      <c r="O31" t="str" cm="1">
        <f>IF(ISBLANK(INDEX(Array_ElectricalChargeData,ROW()-16,COLUMN()*2-3)),"",INDEX(Array_ElectricalChargeData,ROW()-16,COLUMN()*2-3))</f>
        <v/>
      </c>
      <c r="P31" t="str" cm="1">
        <f>IF(ISBLANK(INDEX(Array_ElectricalChargeData,ROW()-16,COLUMN()*2-3)),"",INDEX(Array_ElectricalChargeData,ROW()-16,COLUMN()*2-3))</f>
        <v/>
      </c>
    </row>
    <row r="32" spans="1:16" x14ac:dyDescent="0.35">
      <c r="A32" t="str">
        <f>IF('Electricity Meters'!B18="",A31,'Electricity Meters'!B18)</f>
        <v>Meter Numbers</v>
      </c>
      <c r="B32" t="str" cm="1">
        <f>IF(ISBLANK(INDEX(Array_ElectricalChargeData,ROW()-16,COLUMN()*2-3)),"",INDEX(Array_ElectricalChargeData,ROW()-16,COLUMN()*2-3))</f>
        <v/>
      </c>
      <c r="C32" t="str" cm="1">
        <f>IF(ISBLANK(INDEX(Array_ElectricalChargeData,ROW()-16,COLUMN()*2-3)),"",INDEX(Array_ElectricalChargeData,ROW()-16,COLUMN()*2-3))</f>
        <v/>
      </c>
      <c r="D32" t="str" cm="1">
        <f>IF(ISBLANK(INDEX(Array_ElectricalChargeData,ROW()-16,COLUMN()*2-3)),"",INDEX(Array_ElectricalChargeData,ROW()-16,COLUMN()*2-3))</f>
        <v/>
      </c>
      <c r="E32" t="str" cm="1">
        <f>IF(ISBLANK(INDEX(Array_ElectricalChargeData,ROW()-16,COLUMN()*2-3)),"",INDEX(Array_ElectricalChargeData,ROW()-16,COLUMN()*2-3))</f>
        <v/>
      </c>
      <c r="F32" t="str" cm="1">
        <f>IF(ISBLANK(INDEX(Array_ElectricalChargeData,ROW()-16,COLUMN()*2-3)),"",INDEX(Array_ElectricalChargeData,ROW()-16,COLUMN()*2-3))</f>
        <v/>
      </c>
      <c r="G32" t="str" cm="1">
        <f>IF(ISBLANK(INDEX(Array_ElectricalChargeData,ROW()-16,COLUMN()*2-3)),"",INDEX(Array_ElectricalChargeData,ROW()-16,COLUMN()*2-3))</f>
        <v/>
      </c>
      <c r="H32" t="str" cm="1">
        <f>IF(ISBLANK(INDEX(Array_ElectricalChargeData,ROW()-16,COLUMN()*2-3)),"",INDEX(Array_ElectricalChargeData,ROW()-16,COLUMN()*2-3))</f>
        <v/>
      </c>
      <c r="I32" t="str" cm="1">
        <f>IF(ISBLANK(INDEX(Array_ElectricalChargeData,ROW()-16,COLUMN()*2-3)),"",INDEX(Array_ElectricalChargeData,ROW()-16,COLUMN()*2-3))</f>
        <v/>
      </c>
      <c r="J32" t="str" cm="1">
        <f>IF(ISBLANK(INDEX(Array_ElectricalChargeData,ROW()-16,COLUMN()*2-3)),"",INDEX(Array_ElectricalChargeData,ROW()-16,COLUMN()*2-3))</f>
        <v/>
      </c>
      <c r="K32" t="str" cm="1">
        <f>IF(ISBLANK(INDEX(Array_ElectricalChargeData,ROW()-16,COLUMN()*2-3)),"",INDEX(Array_ElectricalChargeData,ROW()-16,COLUMN()*2-3))</f>
        <v/>
      </c>
      <c r="L32" t="str" cm="1">
        <f>IF(ISBLANK(INDEX(Array_ElectricalChargeData,ROW()-16,COLUMN()*2-3)),"",INDEX(Array_ElectricalChargeData,ROW()-16,COLUMN()*2-3))</f>
        <v/>
      </c>
      <c r="M32" t="str" cm="1">
        <f>IF(ISBLANK(INDEX(Array_ElectricalChargeData,ROW()-16,COLUMN()*2-3)),"",INDEX(Array_ElectricalChargeData,ROW()-16,COLUMN()*2-3))</f>
        <v/>
      </c>
      <c r="N32" t="str" cm="1">
        <f>IF(ISBLANK(INDEX(Array_ElectricalChargeData,ROW()-16,COLUMN()*2-3)),"",INDEX(Array_ElectricalChargeData,ROW()-16,COLUMN()*2-3))</f>
        <v/>
      </c>
      <c r="O32" t="str" cm="1">
        <f>IF(ISBLANK(INDEX(Array_ElectricalChargeData,ROW()-16,COLUMN()*2-3)),"",INDEX(Array_ElectricalChargeData,ROW()-16,COLUMN()*2-3))</f>
        <v/>
      </c>
      <c r="P32" t="str" cm="1">
        <f>IF(ISBLANK(INDEX(Array_ElectricalChargeData,ROW()-16,COLUMN()*2-3)),"",INDEX(Array_ElectricalChargeData,ROW()-16,COLUMN()*2-3))</f>
        <v/>
      </c>
    </row>
    <row r="33" spans="1:16" x14ac:dyDescent="0.35">
      <c r="A33" t="str">
        <f>IF('Electricity Meters'!B19="",A32,'Electricity Meters'!B19)</f>
        <v>Meter Numbers</v>
      </c>
      <c r="B33" t="str" cm="1">
        <f>IF(ISBLANK(INDEX(Array_ElectricalChargeData,ROW()-16,COLUMN()*2-3)),"",INDEX(Array_ElectricalChargeData,ROW()-16,COLUMN()*2-3))</f>
        <v/>
      </c>
      <c r="C33" t="str" cm="1">
        <f>IF(ISBLANK(INDEX(Array_ElectricalChargeData,ROW()-16,COLUMN()*2-3)),"",INDEX(Array_ElectricalChargeData,ROW()-16,COLUMN()*2-3))</f>
        <v/>
      </c>
      <c r="D33" t="str" cm="1">
        <f>IF(ISBLANK(INDEX(Array_ElectricalChargeData,ROW()-16,COLUMN()*2-3)),"",INDEX(Array_ElectricalChargeData,ROW()-16,COLUMN()*2-3))</f>
        <v/>
      </c>
      <c r="E33" t="str" cm="1">
        <f>IF(ISBLANK(INDEX(Array_ElectricalChargeData,ROW()-16,COLUMN()*2-3)),"",INDEX(Array_ElectricalChargeData,ROW()-16,COLUMN()*2-3))</f>
        <v/>
      </c>
      <c r="F33" t="str" cm="1">
        <f>IF(ISBLANK(INDEX(Array_ElectricalChargeData,ROW()-16,COLUMN()*2-3)),"",INDEX(Array_ElectricalChargeData,ROW()-16,COLUMN()*2-3))</f>
        <v/>
      </c>
      <c r="G33" t="str" cm="1">
        <f>IF(ISBLANK(INDEX(Array_ElectricalChargeData,ROW()-16,COLUMN()*2-3)),"",INDEX(Array_ElectricalChargeData,ROW()-16,COLUMN()*2-3))</f>
        <v/>
      </c>
      <c r="H33" t="str" cm="1">
        <f>IF(ISBLANK(INDEX(Array_ElectricalChargeData,ROW()-16,COLUMN()*2-3)),"",INDEX(Array_ElectricalChargeData,ROW()-16,COLUMN()*2-3))</f>
        <v/>
      </c>
      <c r="I33" t="str" cm="1">
        <f>IF(ISBLANK(INDEX(Array_ElectricalChargeData,ROW()-16,COLUMN()*2-3)),"",INDEX(Array_ElectricalChargeData,ROW()-16,COLUMN()*2-3))</f>
        <v/>
      </c>
      <c r="J33" t="str" cm="1">
        <f>IF(ISBLANK(INDEX(Array_ElectricalChargeData,ROW()-16,COLUMN()*2-3)),"",INDEX(Array_ElectricalChargeData,ROW()-16,COLUMN()*2-3))</f>
        <v/>
      </c>
      <c r="K33" t="str" cm="1">
        <f>IF(ISBLANK(INDEX(Array_ElectricalChargeData,ROW()-16,COLUMN()*2-3)),"",INDEX(Array_ElectricalChargeData,ROW()-16,COLUMN()*2-3))</f>
        <v/>
      </c>
      <c r="L33" t="str" cm="1">
        <f>IF(ISBLANK(INDEX(Array_ElectricalChargeData,ROW()-16,COLUMN()*2-3)),"",INDEX(Array_ElectricalChargeData,ROW()-16,COLUMN()*2-3))</f>
        <v/>
      </c>
      <c r="M33" t="str" cm="1">
        <f>IF(ISBLANK(INDEX(Array_ElectricalChargeData,ROW()-16,COLUMN()*2-3)),"",INDEX(Array_ElectricalChargeData,ROW()-16,COLUMN()*2-3))</f>
        <v/>
      </c>
      <c r="N33" t="str" cm="1">
        <f>IF(ISBLANK(INDEX(Array_ElectricalChargeData,ROW()-16,COLUMN()*2-3)),"",INDEX(Array_ElectricalChargeData,ROW()-16,COLUMN()*2-3))</f>
        <v/>
      </c>
      <c r="O33" t="str" cm="1">
        <f>IF(ISBLANK(INDEX(Array_ElectricalChargeData,ROW()-16,COLUMN()*2-3)),"",INDEX(Array_ElectricalChargeData,ROW()-16,COLUMN()*2-3))</f>
        <v/>
      </c>
      <c r="P33" t="str" cm="1">
        <f>IF(ISBLANK(INDEX(Array_ElectricalChargeData,ROW()-16,COLUMN()*2-3)),"",INDEX(Array_ElectricalChargeData,ROW()-16,COLUMN()*2-3))</f>
        <v/>
      </c>
    </row>
    <row r="34" spans="1:16" x14ac:dyDescent="0.35">
      <c r="A34" t="str">
        <f>IF('Electricity Meters'!B20="",A33,'Electricity Meters'!B20)</f>
        <v>Meter Numbers</v>
      </c>
      <c r="B34" t="str" cm="1">
        <f>IF(ISBLANK(INDEX(Array_ElectricalChargeData,ROW()-16,COLUMN()*2-3)),"",INDEX(Array_ElectricalChargeData,ROW()-16,COLUMN()*2-3))</f>
        <v/>
      </c>
      <c r="C34" t="str" cm="1">
        <f>IF(ISBLANK(INDEX(Array_ElectricalChargeData,ROW()-16,COLUMN()*2-3)),"",INDEX(Array_ElectricalChargeData,ROW()-16,COLUMN()*2-3))</f>
        <v/>
      </c>
      <c r="D34" t="str" cm="1">
        <f>IF(ISBLANK(INDEX(Array_ElectricalChargeData,ROW()-16,COLUMN()*2-3)),"",INDEX(Array_ElectricalChargeData,ROW()-16,COLUMN()*2-3))</f>
        <v/>
      </c>
      <c r="E34" t="str" cm="1">
        <f>IF(ISBLANK(INDEX(Array_ElectricalChargeData,ROW()-16,COLUMN()*2-3)),"",INDEX(Array_ElectricalChargeData,ROW()-16,COLUMN()*2-3))</f>
        <v/>
      </c>
      <c r="F34" t="str" cm="1">
        <f>IF(ISBLANK(INDEX(Array_ElectricalChargeData,ROW()-16,COLUMN()*2-3)),"",INDEX(Array_ElectricalChargeData,ROW()-16,COLUMN()*2-3))</f>
        <v/>
      </c>
      <c r="G34" t="str" cm="1">
        <f>IF(ISBLANK(INDEX(Array_ElectricalChargeData,ROW()-16,COLUMN()*2-3)),"",INDEX(Array_ElectricalChargeData,ROW()-16,COLUMN()*2-3))</f>
        <v/>
      </c>
      <c r="H34" t="str" cm="1">
        <f>IF(ISBLANK(INDEX(Array_ElectricalChargeData,ROW()-16,COLUMN()*2-3)),"",INDEX(Array_ElectricalChargeData,ROW()-16,COLUMN()*2-3))</f>
        <v/>
      </c>
      <c r="I34" t="str" cm="1">
        <f>IF(ISBLANK(INDEX(Array_ElectricalChargeData,ROW()-16,COLUMN()*2-3)),"",INDEX(Array_ElectricalChargeData,ROW()-16,COLUMN()*2-3))</f>
        <v/>
      </c>
      <c r="J34" t="str" cm="1">
        <f>IF(ISBLANK(INDEX(Array_ElectricalChargeData,ROW()-16,COLUMN()*2-3)),"",INDEX(Array_ElectricalChargeData,ROW()-16,COLUMN()*2-3))</f>
        <v/>
      </c>
      <c r="K34" t="str" cm="1">
        <f>IF(ISBLANK(INDEX(Array_ElectricalChargeData,ROW()-16,COLUMN()*2-3)),"",INDEX(Array_ElectricalChargeData,ROW()-16,COLUMN()*2-3))</f>
        <v/>
      </c>
      <c r="L34" t="str" cm="1">
        <f>IF(ISBLANK(INDEX(Array_ElectricalChargeData,ROW()-16,COLUMN()*2-3)),"",INDEX(Array_ElectricalChargeData,ROW()-16,COLUMN()*2-3))</f>
        <v/>
      </c>
      <c r="M34" t="str" cm="1">
        <f>IF(ISBLANK(INDEX(Array_ElectricalChargeData,ROW()-16,COLUMN()*2-3)),"",INDEX(Array_ElectricalChargeData,ROW()-16,COLUMN()*2-3))</f>
        <v/>
      </c>
      <c r="N34" t="str" cm="1">
        <f>IF(ISBLANK(INDEX(Array_ElectricalChargeData,ROW()-16,COLUMN()*2-3)),"",INDEX(Array_ElectricalChargeData,ROW()-16,COLUMN()*2-3))</f>
        <v/>
      </c>
      <c r="O34" t="str" cm="1">
        <f>IF(ISBLANK(INDEX(Array_ElectricalChargeData,ROW()-16,COLUMN()*2-3)),"",INDEX(Array_ElectricalChargeData,ROW()-16,COLUMN()*2-3))</f>
        <v/>
      </c>
      <c r="P34" t="str" cm="1">
        <f>IF(ISBLANK(INDEX(Array_ElectricalChargeData,ROW()-16,COLUMN()*2-3)),"",INDEX(Array_ElectricalChargeData,ROW()-16,COLUMN()*2-3))</f>
        <v/>
      </c>
    </row>
    <row r="35" spans="1:16" x14ac:dyDescent="0.35">
      <c r="A35" t="str">
        <f>IF('Electricity Meters'!B21="",A34,'Electricity Meters'!B21)</f>
        <v>Meter Numbers</v>
      </c>
      <c r="B35" t="str" cm="1">
        <f>IF(ISBLANK(INDEX(Array_ElectricalChargeData,ROW()-16,COLUMN()*2-3)),"",INDEX(Array_ElectricalChargeData,ROW()-16,COLUMN()*2-3))</f>
        <v/>
      </c>
      <c r="C35" t="str" cm="1">
        <f>IF(ISBLANK(INDEX(Array_ElectricalChargeData,ROW()-16,COLUMN()*2-3)),"",INDEX(Array_ElectricalChargeData,ROW()-16,COLUMN()*2-3))</f>
        <v/>
      </c>
      <c r="D35" t="str" cm="1">
        <f>IF(ISBLANK(INDEX(Array_ElectricalChargeData,ROW()-16,COLUMN()*2-3)),"",INDEX(Array_ElectricalChargeData,ROW()-16,COLUMN()*2-3))</f>
        <v/>
      </c>
      <c r="E35" t="str" cm="1">
        <f>IF(ISBLANK(INDEX(Array_ElectricalChargeData,ROW()-16,COLUMN()*2-3)),"",INDEX(Array_ElectricalChargeData,ROW()-16,COLUMN()*2-3))</f>
        <v/>
      </c>
      <c r="F35" t="str" cm="1">
        <f>IF(ISBLANK(INDEX(Array_ElectricalChargeData,ROW()-16,COLUMN()*2-3)),"",INDEX(Array_ElectricalChargeData,ROW()-16,COLUMN()*2-3))</f>
        <v/>
      </c>
      <c r="G35" t="str" cm="1">
        <f>IF(ISBLANK(INDEX(Array_ElectricalChargeData,ROW()-16,COLUMN()*2-3)),"",INDEX(Array_ElectricalChargeData,ROW()-16,COLUMN()*2-3))</f>
        <v/>
      </c>
      <c r="H35" t="str" cm="1">
        <f>IF(ISBLANK(INDEX(Array_ElectricalChargeData,ROW()-16,COLUMN()*2-3)),"",INDEX(Array_ElectricalChargeData,ROW()-16,COLUMN()*2-3))</f>
        <v/>
      </c>
      <c r="I35" t="str" cm="1">
        <f>IF(ISBLANK(INDEX(Array_ElectricalChargeData,ROW()-16,COLUMN()*2-3)),"",INDEX(Array_ElectricalChargeData,ROW()-16,COLUMN()*2-3))</f>
        <v/>
      </c>
      <c r="J35" t="str" cm="1">
        <f>IF(ISBLANK(INDEX(Array_ElectricalChargeData,ROW()-16,COLUMN()*2-3)),"",INDEX(Array_ElectricalChargeData,ROW()-16,COLUMN()*2-3))</f>
        <v/>
      </c>
      <c r="K35" t="str" cm="1">
        <f>IF(ISBLANK(INDEX(Array_ElectricalChargeData,ROW()-16,COLUMN()*2-3)),"",INDEX(Array_ElectricalChargeData,ROW()-16,COLUMN()*2-3))</f>
        <v/>
      </c>
      <c r="L35" t="str" cm="1">
        <f>IF(ISBLANK(INDEX(Array_ElectricalChargeData,ROW()-16,COLUMN()*2-3)),"",INDEX(Array_ElectricalChargeData,ROW()-16,COLUMN()*2-3))</f>
        <v/>
      </c>
      <c r="M35" t="str" cm="1">
        <f>IF(ISBLANK(INDEX(Array_ElectricalChargeData,ROW()-16,COLUMN()*2-3)),"",INDEX(Array_ElectricalChargeData,ROW()-16,COLUMN()*2-3))</f>
        <v/>
      </c>
      <c r="N35" t="str" cm="1">
        <f>IF(ISBLANK(INDEX(Array_ElectricalChargeData,ROW()-16,COLUMN()*2-3)),"",INDEX(Array_ElectricalChargeData,ROW()-16,COLUMN()*2-3))</f>
        <v/>
      </c>
      <c r="O35" t="str" cm="1">
        <f>IF(ISBLANK(INDEX(Array_ElectricalChargeData,ROW()-16,COLUMN()*2-3)),"",INDEX(Array_ElectricalChargeData,ROW()-16,COLUMN()*2-3))</f>
        <v/>
      </c>
      <c r="P35" t="str" cm="1">
        <f>IF(ISBLANK(INDEX(Array_ElectricalChargeData,ROW()-16,COLUMN()*2-3)),"",INDEX(Array_ElectricalChargeData,ROW()-16,COLUMN()*2-3))</f>
        <v/>
      </c>
    </row>
    <row r="36" spans="1:16" x14ac:dyDescent="0.35">
      <c r="A36" t="str">
        <f>IF('Electricity Meters'!B22="",A35,'Electricity Meters'!B22)</f>
        <v>Meter Numbers</v>
      </c>
      <c r="B36" t="str" cm="1">
        <f>IF(ISBLANK(INDEX(Array_ElectricalChargeData,ROW()-16,COLUMN()*2-3)),"",INDEX(Array_ElectricalChargeData,ROW()-16,COLUMN()*2-3))</f>
        <v/>
      </c>
      <c r="C36" t="str" cm="1">
        <f>IF(ISBLANK(INDEX(Array_ElectricalChargeData,ROW()-16,COLUMN()*2-3)),"",INDEX(Array_ElectricalChargeData,ROW()-16,COLUMN()*2-3))</f>
        <v/>
      </c>
      <c r="D36" t="str" cm="1">
        <f>IF(ISBLANK(INDEX(Array_ElectricalChargeData,ROW()-16,COLUMN()*2-3)),"",INDEX(Array_ElectricalChargeData,ROW()-16,COLUMN()*2-3))</f>
        <v/>
      </c>
      <c r="E36" t="str" cm="1">
        <f>IF(ISBLANK(INDEX(Array_ElectricalChargeData,ROW()-16,COLUMN()*2-3)),"",INDEX(Array_ElectricalChargeData,ROW()-16,COLUMN()*2-3))</f>
        <v/>
      </c>
      <c r="F36" t="str" cm="1">
        <f>IF(ISBLANK(INDEX(Array_ElectricalChargeData,ROW()-16,COLUMN()*2-3)),"",INDEX(Array_ElectricalChargeData,ROW()-16,COLUMN()*2-3))</f>
        <v/>
      </c>
      <c r="G36" t="str" cm="1">
        <f>IF(ISBLANK(INDEX(Array_ElectricalChargeData,ROW()-16,COLUMN()*2-3)),"",INDEX(Array_ElectricalChargeData,ROW()-16,COLUMN()*2-3))</f>
        <v/>
      </c>
      <c r="H36" t="str" cm="1">
        <f>IF(ISBLANK(INDEX(Array_ElectricalChargeData,ROW()-16,COLUMN()*2-3)),"",INDEX(Array_ElectricalChargeData,ROW()-16,COLUMN()*2-3))</f>
        <v/>
      </c>
      <c r="I36" t="str" cm="1">
        <f>IF(ISBLANK(INDEX(Array_ElectricalChargeData,ROW()-16,COLUMN()*2-3)),"",INDEX(Array_ElectricalChargeData,ROW()-16,COLUMN()*2-3))</f>
        <v/>
      </c>
      <c r="J36" t="str" cm="1">
        <f>IF(ISBLANK(INDEX(Array_ElectricalChargeData,ROW()-16,COLUMN()*2-3)),"",INDEX(Array_ElectricalChargeData,ROW()-16,COLUMN()*2-3))</f>
        <v/>
      </c>
      <c r="K36" t="str" cm="1">
        <f>IF(ISBLANK(INDEX(Array_ElectricalChargeData,ROW()-16,COLUMN()*2-3)),"",INDEX(Array_ElectricalChargeData,ROW()-16,COLUMN()*2-3))</f>
        <v/>
      </c>
      <c r="L36" t="str" cm="1">
        <f>IF(ISBLANK(INDEX(Array_ElectricalChargeData,ROW()-16,COLUMN()*2-3)),"",INDEX(Array_ElectricalChargeData,ROW()-16,COLUMN()*2-3))</f>
        <v/>
      </c>
      <c r="M36" t="str" cm="1">
        <f>IF(ISBLANK(INDEX(Array_ElectricalChargeData,ROW()-16,COLUMN()*2-3)),"",INDEX(Array_ElectricalChargeData,ROW()-16,COLUMN()*2-3))</f>
        <v/>
      </c>
      <c r="N36" t="str" cm="1">
        <f>IF(ISBLANK(INDEX(Array_ElectricalChargeData,ROW()-16,COLUMN()*2-3)),"",INDEX(Array_ElectricalChargeData,ROW()-16,COLUMN()*2-3))</f>
        <v/>
      </c>
      <c r="O36" t="str" cm="1">
        <f>IF(ISBLANK(INDEX(Array_ElectricalChargeData,ROW()-16,COLUMN()*2-3)),"",INDEX(Array_ElectricalChargeData,ROW()-16,COLUMN()*2-3))</f>
        <v/>
      </c>
      <c r="P36" t="str" cm="1">
        <f>IF(ISBLANK(INDEX(Array_ElectricalChargeData,ROW()-16,COLUMN()*2-3)),"",INDEX(Array_ElectricalChargeData,ROW()-16,COLUMN()*2-3))</f>
        <v/>
      </c>
    </row>
    <row r="37" spans="1:16" x14ac:dyDescent="0.35">
      <c r="A37" t="str">
        <f>IF('Electricity Meters'!B23="",A36,'Electricity Meters'!B23)</f>
        <v>Meter Numbers</v>
      </c>
      <c r="B37" t="str" cm="1">
        <f>IF(ISBLANK(INDEX(Array_ElectricalChargeData,ROW()-16,COLUMN()*2-3)),"",INDEX(Array_ElectricalChargeData,ROW()-16,COLUMN()*2-3))</f>
        <v/>
      </c>
      <c r="C37" t="str" cm="1">
        <f>IF(ISBLANK(INDEX(Array_ElectricalChargeData,ROW()-16,COLUMN()*2-3)),"",INDEX(Array_ElectricalChargeData,ROW()-16,COLUMN()*2-3))</f>
        <v/>
      </c>
      <c r="D37" t="str" cm="1">
        <f>IF(ISBLANK(INDEX(Array_ElectricalChargeData,ROW()-16,COLUMN()*2-3)),"",INDEX(Array_ElectricalChargeData,ROW()-16,COLUMN()*2-3))</f>
        <v/>
      </c>
      <c r="E37" t="str" cm="1">
        <f>IF(ISBLANK(INDEX(Array_ElectricalChargeData,ROW()-16,COLUMN()*2-3)),"",INDEX(Array_ElectricalChargeData,ROW()-16,COLUMN()*2-3))</f>
        <v/>
      </c>
      <c r="F37" t="str" cm="1">
        <f>IF(ISBLANK(INDEX(Array_ElectricalChargeData,ROW()-16,COLUMN()*2-3)),"",INDEX(Array_ElectricalChargeData,ROW()-16,COLUMN()*2-3))</f>
        <v/>
      </c>
      <c r="G37" t="str" cm="1">
        <f>IF(ISBLANK(INDEX(Array_ElectricalChargeData,ROW()-16,COLUMN()*2-3)),"",INDEX(Array_ElectricalChargeData,ROW()-16,COLUMN()*2-3))</f>
        <v/>
      </c>
      <c r="H37" t="str" cm="1">
        <f>IF(ISBLANK(INDEX(Array_ElectricalChargeData,ROW()-16,COLUMN()*2-3)),"",INDEX(Array_ElectricalChargeData,ROW()-16,COLUMN()*2-3))</f>
        <v/>
      </c>
      <c r="I37" t="str" cm="1">
        <f>IF(ISBLANK(INDEX(Array_ElectricalChargeData,ROW()-16,COLUMN()*2-3)),"",INDEX(Array_ElectricalChargeData,ROW()-16,COLUMN()*2-3))</f>
        <v/>
      </c>
      <c r="J37" t="str" cm="1">
        <f>IF(ISBLANK(INDEX(Array_ElectricalChargeData,ROW()-16,COLUMN()*2-3)),"",INDEX(Array_ElectricalChargeData,ROW()-16,COLUMN()*2-3))</f>
        <v/>
      </c>
      <c r="K37" t="str" cm="1">
        <f>IF(ISBLANK(INDEX(Array_ElectricalChargeData,ROW()-16,COLUMN()*2-3)),"",INDEX(Array_ElectricalChargeData,ROW()-16,COLUMN()*2-3))</f>
        <v/>
      </c>
      <c r="L37" t="str" cm="1">
        <f>IF(ISBLANK(INDEX(Array_ElectricalChargeData,ROW()-16,COLUMN()*2-3)),"",INDEX(Array_ElectricalChargeData,ROW()-16,COLUMN()*2-3))</f>
        <v/>
      </c>
      <c r="M37" t="str" cm="1">
        <f>IF(ISBLANK(INDEX(Array_ElectricalChargeData,ROW()-16,COLUMN()*2-3)),"",INDEX(Array_ElectricalChargeData,ROW()-16,COLUMN()*2-3))</f>
        <v/>
      </c>
      <c r="N37" t="str" cm="1">
        <f>IF(ISBLANK(INDEX(Array_ElectricalChargeData,ROW()-16,COLUMN()*2-3)),"",INDEX(Array_ElectricalChargeData,ROW()-16,COLUMN()*2-3))</f>
        <v/>
      </c>
      <c r="O37" t="str" cm="1">
        <f>IF(ISBLANK(INDEX(Array_ElectricalChargeData,ROW()-16,COLUMN()*2-3)),"",INDEX(Array_ElectricalChargeData,ROW()-16,COLUMN()*2-3))</f>
        <v/>
      </c>
      <c r="P37" t="str" cm="1">
        <f>IF(ISBLANK(INDEX(Array_ElectricalChargeData,ROW()-16,COLUMN()*2-3)),"",INDEX(Array_ElectricalChargeData,ROW()-16,COLUMN()*2-3))</f>
        <v/>
      </c>
    </row>
    <row r="38" spans="1:16" x14ac:dyDescent="0.35">
      <c r="A38" t="str">
        <f>IF('Electricity Meters'!B24="",A37,'Electricity Meters'!B24)</f>
        <v>Meter Numbers</v>
      </c>
      <c r="B38" t="str" cm="1">
        <f>IF(ISBLANK(INDEX(Array_ElectricalChargeData,ROW()-16,COLUMN()*2-3)),"",INDEX(Array_ElectricalChargeData,ROW()-16,COLUMN()*2-3))</f>
        <v/>
      </c>
      <c r="C38" t="str" cm="1">
        <f>IF(ISBLANK(INDEX(Array_ElectricalChargeData,ROW()-16,COLUMN()*2-3)),"",INDEX(Array_ElectricalChargeData,ROW()-16,COLUMN()*2-3))</f>
        <v/>
      </c>
      <c r="D38" t="str" cm="1">
        <f>IF(ISBLANK(INDEX(Array_ElectricalChargeData,ROW()-16,COLUMN()*2-3)),"",INDEX(Array_ElectricalChargeData,ROW()-16,COLUMN()*2-3))</f>
        <v/>
      </c>
      <c r="E38" t="str" cm="1">
        <f>IF(ISBLANK(INDEX(Array_ElectricalChargeData,ROW()-16,COLUMN()*2-3)),"",INDEX(Array_ElectricalChargeData,ROW()-16,COLUMN()*2-3))</f>
        <v/>
      </c>
      <c r="F38" t="str" cm="1">
        <f>IF(ISBLANK(INDEX(Array_ElectricalChargeData,ROW()-16,COLUMN()*2-3)),"",INDEX(Array_ElectricalChargeData,ROW()-16,COLUMN()*2-3))</f>
        <v/>
      </c>
      <c r="G38" t="str" cm="1">
        <f>IF(ISBLANK(INDEX(Array_ElectricalChargeData,ROW()-16,COLUMN()*2-3)),"",INDEX(Array_ElectricalChargeData,ROW()-16,COLUMN()*2-3))</f>
        <v/>
      </c>
      <c r="H38" t="str" cm="1">
        <f>IF(ISBLANK(INDEX(Array_ElectricalChargeData,ROW()-16,COLUMN()*2-3)),"",INDEX(Array_ElectricalChargeData,ROW()-16,COLUMN()*2-3))</f>
        <v/>
      </c>
      <c r="I38" t="str" cm="1">
        <f>IF(ISBLANK(INDEX(Array_ElectricalChargeData,ROW()-16,COLUMN()*2-3)),"",INDEX(Array_ElectricalChargeData,ROW()-16,COLUMN()*2-3))</f>
        <v/>
      </c>
      <c r="J38" t="str" cm="1">
        <f>IF(ISBLANK(INDEX(Array_ElectricalChargeData,ROW()-16,COLUMN()*2-3)),"",INDEX(Array_ElectricalChargeData,ROW()-16,COLUMN()*2-3))</f>
        <v/>
      </c>
      <c r="K38" t="str" cm="1">
        <f>IF(ISBLANK(INDEX(Array_ElectricalChargeData,ROW()-16,COLUMN()*2-3)),"",INDEX(Array_ElectricalChargeData,ROW()-16,COLUMN()*2-3))</f>
        <v/>
      </c>
      <c r="L38" t="str" cm="1">
        <f>IF(ISBLANK(INDEX(Array_ElectricalChargeData,ROW()-16,COLUMN()*2-3)),"",INDEX(Array_ElectricalChargeData,ROW()-16,COLUMN()*2-3))</f>
        <v/>
      </c>
      <c r="M38" t="str" cm="1">
        <f>IF(ISBLANK(INDEX(Array_ElectricalChargeData,ROW()-16,COLUMN()*2-3)),"",INDEX(Array_ElectricalChargeData,ROW()-16,COLUMN()*2-3))</f>
        <v/>
      </c>
      <c r="N38" t="str" cm="1">
        <f>IF(ISBLANK(INDEX(Array_ElectricalChargeData,ROW()-16,COLUMN()*2-3)),"",INDEX(Array_ElectricalChargeData,ROW()-16,COLUMN()*2-3))</f>
        <v/>
      </c>
      <c r="O38" t="str" cm="1">
        <f>IF(ISBLANK(INDEX(Array_ElectricalChargeData,ROW()-16,COLUMN()*2-3)),"",INDEX(Array_ElectricalChargeData,ROW()-16,COLUMN()*2-3))</f>
        <v/>
      </c>
      <c r="P38" t="str" cm="1">
        <f>IF(ISBLANK(INDEX(Array_ElectricalChargeData,ROW()-16,COLUMN()*2-3)),"",INDEX(Array_ElectricalChargeData,ROW()-16,COLUMN()*2-3))</f>
        <v/>
      </c>
    </row>
    <row r="39" spans="1:16" x14ac:dyDescent="0.35">
      <c r="A39" t="str">
        <f>IF('Electricity Meters'!B25="",A38,'Electricity Meters'!B25)</f>
        <v>Meter Numbers</v>
      </c>
      <c r="B39" t="str" cm="1">
        <f>IF(ISBLANK(INDEX(Array_ElectricalChargeData,ROW()-16,COLUMN()*2-3)),"",INDEX(Array_ElectricalChargeData,ROW()-16,COLUMN()*2-3))</f>
        <v/>
      </c>
      <c r="C39" t="str" cm="1">
        <f>IF(ISBLANK(INDEX(Array_ElectricalChargeData,ROW()-16,COLUMN()*2-3)),"",INDEX(Array_ElectricalChargeData,ROW()-16,COLUMN()*2-3))</f>
        <v/>
      </c>
      <c r="D39" t="str" cm="1">
        <f>IF(ISBLANK(INDEX(Array_ElectricalChargeData,ROW()-16,COLUMN()*2-3)),"",INDEX(Array_ElectricalChargeData,ROW()-16,COLUMN()*2-3))</f>
        <v/>
      </c>
      <c r="E39" t="str" cm="1">
        <f>IF(ISBLANK(INDEX(Array_ElectricalChargeData,ROW()-16,COLUMN()*2-3)),"",INDEX(Array_ElectricalChargeData,ROW()-16,COLUMN()*2-3))</f>
        <v/>
      </c>
      <c r="F39" t="str" cm="1">
        <f>IF(ISBLANK(INDEX(Array_ElectricalChargeData,ROW()-16,COLUMN()*2-3)),"",INDEX(Array_ElectricalChargeData,ROW()-16,COLUMN()*2-3))</f>
        <v/>
      </c>
      <c r="G39" t="str" cm="1">
        <f>IF(ISBLANK(INDEX(Array_ElectricalChargeData,ROW()-16,COLUMN()*2-3)),"",INDEX(Array_ElectricalChargeData,ROW()-16,COLUMN()*2-3))</f>
        <v/>
      </c>
      <c r="H39" t="str" cm="1">
        <f>IF(ISBLANK(INDEX(Array_ElectricalChargeData,ROW()-16,COLUMN()*2-3)),"",INDEX(Array_ElectricalChargeData,ROW()-16,COLUMN()*2-3))</f>
        <v/>
      </c>
      <c r="I39" t="str" cm="1">
        <f>IF(ISBLANK(INDEX(Array_ElectricalChargeData,ROW()-16,COLUMN()*2-3)),"",INDEX(Array_ElectricalChargeData,ROW()-16,COLUMN()*2-3))</f>
        <v/>
      </c>
      <c r="J39" t="str" cm="1">
        <f>IF(ISBLANK(INDEX(Array_ElectricalChargeData,ROW()-16,COLUMN()*2-3)),"",INDEX(Array_ElectricalChargeData,ROW()-16,COLUMN()*2-3))</f>
        <v/>
      </c>
      <c r="K39" t="str" cm="1">
        <f>IF(ISBLANK(INDEX(Array_ElectricalChargeData,ROW()-16,COLUMN()*2-3)),"",INDEX(Array_ElectricalChargeData,ROW()-16,COLUMN()*2-3))</f>
        <v/>
      </c>
      <c r="L39" t="str" cm="1">
        <f>IF(ISBLANK(INDEX(Array_ElectricalChargeData,ROW()-16,COLUMN()*2-3)),"",INDEX(Array_ElectricalChargeData,ROW()-16,COLUMN()*2-3))</f>
        <v/>
      </c>
      <c r="M39" t="str" cm="1">
        <f>IF(ISBLANK(INDEX(Array_ElectricalChargeData,ROW()-16,COLUMN()*2-3)),"",INDEX(Array_ElectricalChargeData,ROW()-16,COLUMN()*2-3))</f>
        <v/>
      </c>
      <c r="N39" t="str" cm="1">
        <f>IF(ISBLANK(INDEX(Array_ElectricalChargeData,ROW()-16,COLUMN()*2-3)),"",INDEX(Array_ElectricalChargeData,ROW()-16,COLUMN()*2-3))</f>
        <v/>
      </c>
      <c r="O39" t="str" cm="1">
        <f>IF(ISBLANK(INDEX(Array_ElectricalChargeData,ROW()-16,COLUMN()*2-3)),"",INDEX(Array_ElectricalChargeData,ROW()-16,COLUMN()*2-3))</f>
        <v/>
      </c>
      <c r="P39" t="str" cm="1">
        <f>IF(ISBLANK(INDEX(Array_ElectricalChargeData,ROW()-16,COLUMN()*2-3)),"",INDEX(Array_ElectricalChargeData,ROW()-16,COLUMN()*2-3))</f>
        <v/>
      </c>
    </row>
    <row r="40" spans="1:16" x14ac:dyDescent="0.35">
      <c r="A40" t="str">
        <f>IF('Electricity Meters'!B26="",A39,'Electricity Meters'!B26)</f>
        <v>Meter Numbers</v>
      </c>
      <c r="B40" t="str" cm="1">
        <f>IF(ISBLANK(INDEX(Array_ElectricalChargeData,ROW()-16,COLUMN()*2-3)),"",INDEX(Array_ElectricalChargeData,ROW()-16,COLUMN()*2-3))</f>
        <v/>
      </c>
      <c r="C40" t="str" cm="1">
        <f>IF(ISBLANK(INDEX(Array_ElectricalChargeData,ROW()-16,COLUMN()*2-3)),"",INDEX(Array_ElectricalChargeData,ROW()-16,COLUMN()*2-3))</f>
        <v/>
      </c>
      <c r="D40" t="str" cm="1">
        <f>IF(ISBLANK(INDEX(Array_ElectricalChargeData,ROW()-16,COLUMN()*2-3)),"",INDEX(Array_ElectricalChargeData,ROW()-16,COLUMN()*2-3))</f>
        <v/>
      </c>
      <c r="E40" t="str" cm="1">
        <f>IF(ISBLANK(INDEX(Array_ElectricalChargeData,ROW()-16,COLUMN()*2-3)),"",INDEX(Array_ElectricalChargeData,ROW()-16,COLUMN()*2-3))</f>
        <v/>
      </c>
      <c r="F40" t="str" cm="1">
        <f>IF(ISBLANK(INDEX(Array_ElectricalChargeData,ROW()-16,COLUMN()*2-3)),"",INDEX(Array_ElectricalChargeData,ROW()-16,COLUMN()*2-3))</f>
        <v/>
      </c>
      <c r="G40" t="str" cm="1">
        <f>IF(ISBLANK(INDEX(Array_ElectricalChargeData,ROW()-16,COLUMN()*2-3)),"",INDEX(Array_ElectricalChargeData,ROW()-16,COLUMN()*2-3))</f>
        <v/>
      </c>
      <c r="H40" t="str" cm="1">
        <f>IF(ISBLANK(INDEX(Array_ElectricalChargeData,ROW()-16,COLUMN()*2-3)),"",INDEX(Array_ElectricalChargeData,ROW()-16,COLUMN()*2-3))</f>
        <v/>
      </c>
      <c r="I40" t="str" cm="1">
        <f>IF(ISBLANK(INDEX(Array_ElectricalChargeData,ROW()-16,COLUMN()*2-3)),"",INDEX(Array_ElectricalChargeData,ROW()-16,COLUMN()*2-3))</f>
        <v/>
      </c>
      <c r="J40" t="str" cm="1">
        <f>IF(ISBLANK(INDEX(Array_ElectricalChargeData,ROW()-16,COLUMN()*2-3)),"",INDEX(Array_ElectricalChargeData,ROW()-16,COLUMN()*2-3))</f>
        <v/>
      </c>
      <c r="K40" t="str" cm="1">
        <f>IF(ISBLANK(INDEX(Array_ElectricalChargeData,ROW()-16,COLUMN()*2-3)),"",INDEX(Array_ElectricalChargeData,ROW()-16,COLUMN()*2-3))</f>
        <v/>
      </c>
      <c r="L40" t="str" cm="1">
        <f>IF(ISBLANK(INDEX(Array_ElectricalChargeData,ROW()-16,COLUMN()*2-3)),"",INDEX(Array_ElectricalChargeData,ROW()-16,COLUMN()*2-3))</f>
        <v/>
      </c>
      <c r="M40" t="str" cm="1">
        <f>IF(ISBLANK(INDEX(Array_ElectricalChargeData,ROW()-16,COLUMN()*2-3)),"",INDEX(Array_ElectricalChargeData,ROW()-16,COLUMN()*2-3))</f>
        <v/>
      </c>
      <c r="N40" t="str" cm="1">
        <f>IF(ISBLANK(INDEX(Array_ElectricalChargeData,ROW()-16,COLUMN()*2-3)),"",INDEX(Array_ElectricalChargeData,ROW()-16,COLUMN()*2-3))</f>
        <v/>
      </c>
      <c r="O40" t="str" cm="1">
        <f>IF(ISBLANK(INDEX(Array_ElectricalChargeData,ROW()-16,COLUMN()*2-3)),"",INDEX(Array_ElectricalChargeData,ROW()-16,COLUMN()*2-3))</f>
        <v/>
      </c>
      <c r="P40" t="str" cm="1">
        <f>IF(ISBLANK(INDEX(Array_ElectricalChargeData,ROW()-16,COLUMN()*2-3)),"",INDEX(Array_ElectricalChargeData,ROW()-16,COLUMN()*2-3))</f>
        <v/>
      </c>
    </row>
    <row r="41" spans="1:16" x14ac:dyDescent="0.35">
      <c r="A41" t="str">
        <f>IF('Electricity Meters'!B27="",A40,'Electricity Meters'!B27)</f>
        <v>Meter Numbers</v>
      </c>
      <c r="B41" t="str" cm="1">
        <f>IF(ISBLANK(INDEX(Array_ElectricalChargeData,ROW()-16,COLUMN()*2-3)),"",INDEX(Array_ElectricalChargeData,ROW()-16,COLUMN()*2-3))</f>
        <v/>
      </c>
      <c r="C41" t="str" cm="1">
        <f>IF(ISBLANK(INDEX(Array_ElectricalChargeData,ROW()-16,COLUMN()*2-3)),"",INDEX(Array_ElectricalChargeData,ROW()-16,COLUMN()*2-3))</f>
        <v/>
      </c>
      <c r="D41" t="str" cm="1">
        <f>IF(ISBLANK(INDEX(Array_ElectricalChargeData,ROW()-16,COLUMN()*2-3)),"",INDEX(Array_ElectricalChargeData,ROW()-16,COLUMN()*2-3))</f>
        <v/>
      </c>
      <c r="E41" t="str" cm="1">
        <f>IF(ISBLANK(INDEX(Array_ElectricalChargeData,ROW()-16,COLUMN()*2-3)),"",INDEX(Array_ElectricalChargeData,ROW()-16,COLUMN()*2-3))</f>
        <v/>
      </c>
      <c r="F41" t="str" cm="1">
        <f>IF(ISBLANK(INDEX(Array_ElectricalChargeData,ROW()-16,COLUMN()*2-3)),"",INDEX(Array_ElectricalChargeData,ROW()-16,COLUMN()*2-3))</f>
        <v/>
      </c>
      <c r="G41" t="str" cm="1">
        <f>IF(ISBLANK(INDEX(Array_ElectricalChargeData,ROW()-16,COLUMN()*2-3)),"",INDEX(Array_ElectricalChargeData,ROW()-16,COLUMN()*2-3))</f>
        <v/>
      </c>
      <c r="H41" t="str" cm="1">
        <f>IF(ISBLANK(INDEX(Array_ElectricalChargeData,ROW()-16,COLUMN()*2-3)),"",INDEX(Array_ElectricalChargeData,ROW()-16,COLUMN()*2-3))</f>
        <v/>
      </c>
      <c r="I41" t="str" cm="1">
        <f>IF(ISBLANK(INDEX(Array_ElectricalChargeData,ROW()-16,COLUMN()*2-3)),"",INDEX(Array_ElectricalChargeData,ROW()-16,COLUMN()*2-3))</f>
        <v/>
      </c>
      <c r="J41" t="str" cm="1">
        <f>IF(ISBLANK(INDEX(Array_ElectricalChargeData,ROW()-16,COLUMN()*2-3)),"",INDEX(Array_ElectricalChargeData,ROW()-16,COLUMN()*2-3))</f>
        <v/>
      </c>
      <c r="K41" t="str" cm="1">
        <f>IF(ISBLANK(INDEX(Array_ElectricalChargeData,ROW()-16,COLUMN()*2-3)),"",INDEX(Array_ElectricalChargeData,ROW()-16,COLUMN()*2-3))</f>
        <v/>
      </c>
      <c r="L41" t="str" cm="1">
        <f>IF(ISBLANK(INDEX(Array_ElectricalChargeData,ROW()-16,COLUMN()*2-3)),"",INDEX(Array_ElectricalChargeData,ROW()-16,COLUMN()*2-3))</f>
        <v/>
      </c>
      <c r="M41" t="str" cm="1">
        <f>IF(ISBLANK(INDEX(Array_ElectricalChargeData,ROW()-16,COLUMN()*2-3)),"",INDEX(Array_ElectricalChargeData,ROW()-16,COLUMN()*2-3))</f>
        <v/>
      </c>
      <c r="N41" t="str" cm="1">
        <f>IF(ISBLANK(INDEX(Array_ElectricalChargeData,ROW()-16,COLUMN()*2-3)),"",INDEX(Array_ElectricalChargeData,ROW()-16,COLUMN()*2-3))</f>
        <v/>
      </c>
      <c r="O41" t="str" cm="1">
        <f>IF(ISBLANK(INDEX(Array_ElectricalChargeData,ROW()-16,COLUMN()*2-3)),"",INDEX(Array_ElectricalChargeData,ROW()-16,COLUMN()*2-3))</f>
        <v/>
      </c>
      <c r="P41" t="str" cm="1">
        <f>IF(ISBLANK(INDEX(Array_ElectricalChargeData,ROW()-16,COLUMN()*2-3)),"",INDEX(Array_ElectricalChargeData,ROW()-16,COLUMN()*2-3))</f>
        <v/>
      </c>
    </row>
    <row r="42" spans="1:16" x14ac:dyDescent="0.35">
      <c r="A42" t="str">
        <f>IF('Electricity Meters'!B28="",A41,'Electricity Meters'!B28)</f>
        <v>Meter Numbers</v>
      </c>
      <c r="B42" t="str" cm="1">
        <f>IF(ISBLANK(INDEX(Array_ElectricalChargeData,ROW()-16,COLUMN()*2-3)),"",INDEX(Array_ElectricalChargeData,ROW()-16,COLUMN()*2-3))</f>
        <v/>
      </c>
      <c r="C42" t="str" cm="1">
        <f>IF(ISBLANK(INDEX(Array_ElectricalChargeData,ROW()-16,COLUMN()*2-3)),"",INDEX(Array_ElectricalChargeData,ROW()-16,COLUMN()*2-3))</f>
        <v/>
      </c>
      <c r="D42" t="str" cm="1">
        <f>IF(ISBLANK(INDEX(Array_ElectricalChargeData,ROW()-16,COLUMN()*2-3)),"",INDEX(Array_ElectricalChargeData,ROW()-16,COLUMN()*2-3))</f>
        <v/>
      </c>
      <c r="E42" t="str" cm="1">
        <f>IF(ISBLANK(INDEX(Array_ElectricalChargeData,ROW()-16,COLUMN()*2-3)),"",INDEX(Array_ElectricalChargeData,ROW()-16,COLUMN()*2-3))</f>
        <v/>
      </c>
      <c r="F42" t="str" cm="1">
        <f>IF(ISBLANK(INDEX(Array_ElectricalChargeData,ROW()-16,COLUMN()*2-3)),"",INDEX(Array_ElectricalChargeData,ROW()-16,COLUMN()*2-3))</f>
        <v/>
      </c>
      <c r="G42" t="str" cm="1">
        <f>IF(ISBLANK(INDEX(Array_ElectricalChargeData,ROW()-16,COLUMN()*2-3)),"",INDEX(Array_ElectricalChargeData,ROW()-16,COLUMN()*2-3))</f>
        <v/>
      </c>
      <c r="H42" t="str" cm="1">
        <f>IF(ISBLANK(INDEX(Array_ElectricalChargeData,ROW()-16,COLUMN()*2-3)),"",INDEX(Array_ElectricalChargeData,ROW()-16,COLUMN()*2-3))</f>
        <v/>
      </c>
      <c r="I42" t="str" cm="1">
        <f>IF(ISBLANK(INDEX(Array_ElectricalChargeData,ROW()-16,COLUMN()*2-3)),"",INDEX(Array_ElectricalChargeData,ROW()-16,COLUMN()*2-3))</f>
        <v/>
      </c>
      <c r="J42" t="str" cm="1">
        <f>IF(ISBLANK(INDEX(Array_ElectricalChargeData,ROW()-16,COLUMN()*2-3)),"",INDEX(Array_ElectricalChargeData,ROW()-16,COLUMN()*2-3))</f>
        <v/>
      </c>
      <c r="K42" t="str" cm="1">
        <f>IF(ISBLANK(INDEX(Array_ElectricalChargeData,ROW()-16,COLUMN()*2-3)),"",INDEX(Array_ElectricalChargeData,ROW()-16,COLUMN()*2-3))</f>
        <v/>
      </c>
      <c r="L42" t="str" cm="1">
        <f>IF(ISBLANK(INDEX(Array_ElectricalChargeData,ROW()-16,COLUMN()*2-3)),"",INDEX(Array_ElectricalChargeData,ROW()-16,COLUMN()*2-3))</f>
        <v/>
      </c>
      <c r="M42" t="str" cm="1">
        <f>IF(ISBLANK(INDEX(Array_ElectricalChargeData,ROW()-16,COLUMN()*2-3)),"",INDEX(Array_ElectricalChargeData,ROW()-16,COLUMN()*2-3))</f>
        <v/>
      </c>
      <c r="N42" t="str" cm="1">
        <f>IF(ISBLANK(INDEX(Array_ElectricalChargeData,ROW()-16,COLUMN()*2-3)),"",INDEX(Array_ElectricalChargeData,ROW()-16,COLUMN()*2-3))</f>
        <v/>
      </c>
      <c r="O42" t="str" cm="1">
        <f>IF(ISBLANK(INDEX(Array_ElectricalChargeData,ROW()-16,COLUMN()*2-3)),"",INDEX(Array_ElectricalChargeData,ROW()-16,COLUMN()*2-3))</f>
        <v/>
      </c>
      <c r="P42" t="str" cm="1">
        <f>IF(ISBLANK(INDEX(Array_ElectricalChargeData,ROW()-16,COLUMN()*2-3)),"",INDEX(Array_ElectricalChargeData,ROW()-16,COLUMN()*2-3))</f>
        <v/>
      </c>
    </row>
    <row r="43" spans="1:16" x14ac:dyDescent="0.35">
      <c r="A43" t="str">
        <f>IF('Electricity Meters'!B29="",A42,'Electricity Meters'!B29)</f>
        <v>Meter Numbers</v>
      </c>
      <c r="B43" t="str" cm="1">
        <f>IF(ISBLANK(INDEX(Array_ElectricalChargeData,ROW()-16,COLUMN()*2-3)),"",INDEX(Array_ElectricalChargeData,ROW()-16,COLUMN()*2-3))</f>
        <v/>
      </c>
      <c r="C43" t="str" cm="1">
        <f>IF(ISBLANK(INDEX(Array_ElectricalChargeData,ROW()-16,COLUMN()*2-3)),"",INDEX(Array_ElectricalChargeData,ROW()-16,COLUMN()*2-3))</f>
        <v/>
      </c>
      <c r="D43" t="str" cm="1">
        <f>IF(ISBLANK(INDEX(Array_ElectricalChargeData,ROW()-16,COLUMN()*2-3)),"",INDEX(Array_ElectricalChargeData,ROW()-16,COLUMN()*2-3))</f>
        <v/>
      </c>
      <c r="E43" t="str" cm="1">
        <f>IF(ISBLANK(INDEX(Array_ElectricalChargeData,ROW()-16,COLUMN()*2-3)),"",INDEX(Array_ElectricalChargeData,ROW()-16,COLUMN()*2-3))</f>
        <v/>
      </c>
      <c r="F43" t="str" cm="1">
        <f>IF(ISBLANK(INDEX(Array_ElectricalChargeData,ROW()-16,COLUMN()*2-3)),"",INDEX(Array_ElectricalChargeData,ROW()-16,COLUMN()*2-3))</f>
        <v/>
      </c>
      <c r="G43" t="str" cm="1">
        <f>IF(ISBLANK(INDEX(Array_ElectricalChargeData,ROW()-16,COLUMN()*2-3)),"",INDEX(Array_ElectricalChargeData,ROW()-16,COLUMN()*2-3))</f>
        <v/>
      </c>
      <c r="H43" t="str" cm="1">
        <f>IF(ISBLANK(INDEX(Array_ElectricalChargeData,ROW()-16,COLUMN()*2-3)),"",INDEX(Array_ElectricalChargeData,ROW()-16,COLUMN()*2-3))</f>
        <v/>
      </c>
      <c r="I43" t="str" cm="1">
        <f>IF(ISBLANK(INDEX(Array_ElectricalChargeData,ROW()-16,COLUMN()*2-3)),"",INDEX(Array_ElectricalChargeData,ROW()-16,COLUMN()*2-3))</f>
        <v/>
      </c>
      <c r="J43" t="str" cm="1">
        <f>IF(ISBLANK(INDEX(Array_ElectricalChargeData,ROW()-16,COLUMN()*2-3)),"",INDEX(Array_ElectricalChargeData,ROW()-16,COLUMN()*2-3))</f>
        <v/>
      </c>
      <c r="K43" t="str" cm="1">
        <f>IF(ISBLANK(INDEX(Array_ElectricalChargeData,ROW()-16,COLUMN()*2-3)),"",INDEX(Array_ElectricalChargeData,ROW()-16,COLUMN()*2-3))</f>
        <v/>
      </c>
      <c r="L43" t="str" cm="1">
        <f>IF(ISBLANK(INDEX(Array_ElectricalChargeData,ROW()-16,COLUMN()*2-3)),"",INDEX(Array_ElectricalChargeData,ROW()-16,COLUMN()*2-3))</f>
        <v/>
      </c>
      <c r="M43" t="str" cm="1">
        <f>IF(ISBLANK(INDEX(Array_ElectricalChargeData,ROW()-16,COLUMN()*2-3)),"",INDEX(Array_ElectricalChargeData,ROW()-16,COLUMN()*2-3))</f>
        <v/>
      </c>
      <c r="N43" t="str" cm="1">
        <f>IF(ISBLANK(INDEX(Array_ElectricalChargeData,ROW()-16,COLUMN()*2-3)),"",INDEX(Array_ElectricalChargeData,ROW()-16,COLUMN()*2-3))</f>
        <v/>
      </c>
      <c r="O43" t="str" cm="1">
        <f>IF(ISBLANK(INDEX(Array_ElectricalChargeData,ROW()-16,COLUMN()*2-3)),"",INDEX(Array_ElectricalChargeData,ROW()-16,COLUMN()*2-3))</f>
        <v/>
      </c>
      <c r="P43" t="str" cm="1">
        <f>IF(ISBLANK(INDEX(Array_ElectricalChargeData,ROW()-16,COLUMN()*2-3)),"",INDEX(Array_ElectricalChargeData,ROW()-16,COLUMN()*2-3))</f>
        <v/>
      </c>
    </row>
    <row r="44" spans="1:16" x14ac:dyDescent="0.35">
      <c r="A44" t="str">
        <f>IF('Electricity Meters'!B30="",A43,'Electricity Meters'!B30)</f>
        <v>Meter Numbers</v>
      </c>
      <c r="B44" t="str" cm="1">
        <f>IF(ISBLANK(INDEX(Array_ElectricalChargeData,ROW()-16,COLUMN()*2-3)),"",INDEX(Array_ElectricalChargeData,ROW()-16,COLUMN()*2-3))</f>
        <v/>
      </c>
      <c r="C44" t="str" cm="1">
        <f>IF(ISBLANK(INDEX(Array_ElectricalChargeData,ROW()-16,COLUMN()*2-3)),"",INDEX(Array_ElectricalChargeData,ROW()-16,COLUMN()*2-3))</f>
        <v/>
      </c>
      <c r="D44" t="str" cm="1">
        <f>IF(ISBLANK(INDEX(Array_ElectricalChargeData,ROW()-16,COLUMN()*2-3)),"",INDEX(Array_ElectricalChargeData,ROW()-16,COLUMN()*2-3))</f>
        <v/>
      </c>
      <c r="E44" t="str" cm="1">
        <f>IF(ISBLANK(INDEX(Array_ElectricalChargeData,ROW()-16,COLUMN()*2-3)),"",INDEX(Array_ElectricalChargeData,ROW()-16,COLUMN()*2-3))</f>
        <v/>
      </c>
      <c r="F44" t="str" cm="1">
        <f>IF(ISBLANK(INDEX(Array_ElectricalChargeData,ROW()-16,COLUMN()*2-3)),"",INDEX(Array_ElectricalChargeData,ROW()-16,COLUMN()*2-3))</f>
        <v/>
      </c>
      <c r="G44" t="str" cm="1">
        <f>IF(ISBLANK(INDEX(Array_ElectricalChargeData,ROW()-16,COLUMN()*2-3)),"",INDEX(Array_ElectricalChargeData,ROW()-16,COLUMN()*2-3))</f>
        <v/>
      </c>
      <c r="H44" t="str" cm="1">
        <f>IF(ISBLANK(INDEX(Array_ElectricalChargeData,ROW()-16,COLUMN()*2-3)),"",INDEX(Array_ElectricalChargeData,ROW()-16,COLUMN()*2-3))</f>
        <v/>
      </c>
      <c r="I44" t="str" cm="1">
        <f>IF(ISBLANK(INDEX(Array_ElectricalChargeData,ROW()-16,COLUMN()*2-3)),"",INDEX(Array_ElectricalChargeData,ROW()-16,COLUMN()*2-3))</f>
        <v/>
      </c>
      <c r="J44" t="str" cm="1">
        <f>IF(ISBLANK(INDEX(Array_ElectricalChargeData,ROW()-16,COLUMN()*2-3)),"",INDEX(Array_ElectricalChargeData,ROW()-16,COLUMN()*2-3))</f>
        <v/>
      </c>
      <c r="K44" t="str" cm="1">
        <f>IF(ISBLANK(INDEX(Array_ElectricalChargeData,ROW()-16,COLUMN()*2-3)),"",INDEX(Array_ElectricalChargeData,ROW()-16,COLUMN()*2-3))</f>
        <v/>
      </c>
      <c r="L44" t="str" cm="1">
        <f>IF(ISBLANK(INDEX(Array_ElectricalChargeData,ROW()-16,COLUMN()*2-3)),"",INDEX(Array_ElectricalChargeData,ROW()-16,COLUMN()*2-3))</f>
        <v/>
      </c>
      <c r="M44" t="str" cm="1">
        <f>IF(ISBLANK(INDEX(Array_ElectricalChargeData,ROW()-16,COLUMN()*2-3)),"",INDEX(Array_ElectricalChargeData,ROW()-16,COLUMN()*2-3))</f>
        <v/>
      </c>
      <c r="N44" t="str" cm="1">
        <f>IF(ISBLANK(INDEX(Array_ElectricalChargeData,ROW()-16,COLUMN()*2-3)),"",INDEX(Array_ElectricalChargeData,ROW()-16,COLUMN()*2-3))</f>
        <v/>
      </c>
      <c r="O44" t="str" cm="1">
        <f>IF(ISBLANK(INDEX(Array_ElectricalChargeData,ROW()-16,COLUMN()*2-3)),"",INDEX(Array_ElectricalChargeData,ROW()-16,COLUMN()*2-3))</f>
        <v/>
      </c>
      <c r="P44" t="str" cm="1">
        <f>IF(ISBLANK(INDEX(Array_ElectricalChargeData,ROW()-16,COLUMN()*2-3)),"",INDEX(Array_ElectricalChargeData,ROW()-16,COLUMN()*2-3))</f>
        <v/>
      </c>
    </row>
    <row r="45" spans="1:16" x14ac:dyDescent="0.35">
      <c r="A45" t="str">
        <f>IF('Electricity Meters'!B31="",A44,'Electricity Meters'!B31)</f>
        <v>Meter Numbers</v>
      </c>
      <c r="B45" t="str" cm="1">
        <f>IF(ISBLANK(INDEX(Array_ElectricalChargeData,ROW()-16,COLUMN()*2-3)),"",INDEX(Array_ElectricalChargeData,ROW()-16,COLUMN()*2-3))</f>
        <v/>
      </c>
      <c r="C45" t="str" cm="1">
        <f>IF(ISBLANK(INDEX(Array_ElectricalChargeData,ROW()-16,COLUMN()*2-3)),"",INDEX(Array_ElectricalChargeData,ROW()-16,COLUMN()*2-3))</f>
        <v/>
      </c>
      <c r="D45" t="str" cm="1">
        <f>IF(ISBLANK(INDEX(Array_ElectricalChargeData,ROW()-16,COLUMN()*2-3)),"",INDEX(Array_ElectricalChargeData,ROW()-16,COLUMN()*2-3))</f>
        <v/>
      </c>
      <c r="E45" t="str" cm="1">
        <f>IF(ISBLANK(INDEX(Array_ElectricalChargeData,ROW()-16,COLUMN()*2-3)),"",INDEX(Array_ElectricalChargeData,ROW()-16,COLUMN()*2-3))</f>
        <v/>
      </c>
      <c r="F45" t="str" cm="1">
        <f>IF(ISBLANK(INDEX(Array_ElectricalChargeData,ROW()-16,COLUMN()*2-3)),"",INDEX(Array_ElectricalChargeData,ROW()-16,COLUMN()*2-3))</f>
        <v/>
      </c>
      <c r="G45" t="str" cm="1">
        <f>IF(ISBLANK(INDEX(Array_ElectricalChargeData,ROW()-16,COLUMN()*2-3)),"",INDEX(Array_ElectricalChargeData,ROW()-16,COLUMN()*2-3))</f>
        <v/>
      </c>
      <c r="H45" t="str" cm="1">
        <f>IF(ISBLANK(INDEX(Array_ElectricalChargeData,ROW()-16,COLUMN()*2-3)),"",INDEX(Array_ElectricalChargeData,ROW()-16,COLUMN()*2-3))</f>
        <v/>
      </c>
      <c r="I45" t="str" cm="1">
        <f>IF(ISBLANK(INDEX(Array_ElectricalChargeData,ROW()-16,COLUMN()*2-3)),"",INDEX(Array_ElectricalChargeData,ROW()-16,COLUMN()*2-3))</f>
        <v/>
      </c>
      <c r="J45" t="str" cm="1">
        <f>IF(ISBLANK(INDEX(Array_ElectricalChargeData,ROW()-16,COLUMN()*2-3)),"",INDEX(Array_ElectricalChargeData,ROW()-16,COLUMN()*2-3))</f>
        <v/>
      </c>
      <c r="K45" t="str" cm="1">
        <f>IF(ISBLANK(INDEX(Array_ElectricalChargeData,ROW()-16,COLUMN()*2-3)),"",INDEX(Array_ElectricalChargeData,ROW()-16,COLUMN()*2-3))</f>
        <v/>
      </c>
      <c r="L45" t="str" cm="1">
        <f>IF(ISBLANK(INDEX(Array_ElectricalChargeData,ROW()-16,COLUMN()*2-3)),"",INDEX(Array_ElectricalChargeData,ROW()-16,COLUMN()*2-3))</f>
        <v/>
      </c>
      <c r="M45" t="str" cm="1">
        <f>IF(ISBLANK(INDEX(Array_ElectricalChargeData,ROW()-16,COLUMN()*2-3)),"",INDEX(Array_ElectricalChargeData,ROW()-16,COLUMN()*2-3))</f>
        <v/>
      </c>
      <c r="N45" t="str" cm="1">
        <f>IF(ISBLANK(INDEX(Array_ElectricalChargeData,ROW()-16,COLUMN()*2-3)),"",INDEX(Array_ElectricalChargeData,ROW()-16,COLUMN()*2-3))</f>
        <v/>
      </c>
      <c r="O45" t="str" cm="1">
        <f>IF(ISBLANK(INDEX(Array_ElectricalChargeData,ROW()-16,COLUMN()*2-3)),"",INDEX(Array_ElectricalChargeData,ROW()-16,COLUMN()*2-3))</f>
        <v/>
      </c>
      <c r="P45" t="str" cm="1">
        <f>IF(ISBLANK(INDEX(Array_ElectricalChargeData,ROW()-16,COLUMN()*2-3)),"",INDEX(Array_ElectricalChargeData,ROW()-16,COLUMN()*2-3))</f>
        <v/>
      </c>
    </row>
    <row r="46" spans="1:16" x14ac:dyDescent="0.35">
      <c r="A46" t="str">
        <f>IF('Electricity Meters'!B32="",A45,'Electricity Meters'!B32)</f>
        <v>Meter Numbers</v>
      </c>
      <c r="B46" t="str" cm="1">
        <f>IF(ISBLANK(INDEX(Array_ElectricalChargeData,ROW()-16,COLUMN()*2-3)),"",INDEX(Array_ElectricalChargeData,ROW()-16,COLUMN()*2-3))</f>
        <v/>
      </c>
      <c r="C46" t="str" cm="1">
        <f>IF(ISBLANK(INDEX(Array_ElectricalChargeData,ROW()-16,COLUMN()*2-3)),"",INDEX(Array_ElectricalChargeData,ROW()-16,COLUMN()*2-3))</f>
        <v/>
      </c>
      <c r="D46" t="str" cm="1">
        <f>IF(ISBLANK(INDEX(Array_ElectricalChargeData,ROW()-16,COLUMN()*2-3)),"",INDEX(Array_ElectricalChargeData,ROW()-16,COLUMN()*2-3))</f>
        <v/>
      </c>
      <c r="E46" t="str" cm="1">
        <f>IF(ISBLANK(INDEX(Array_ElectricalChargeData,ROW()-16,COLUMN()*2-3)),"",INDEX(Array_ElectricalChargeData,ROW()-16,COLUMN()*2-3))</f>
        <v/>
      </c>
      <c r="F46" t="str" cm="1">
        <f>IF(ISBLANK(INDEX(Array_ElectricalChargeData,ROW()-16,COLUMN()*2-3)),"",INDEX(Array_ElectricalChargeData,ROW()-16,COLUMN()*2-3))</f>
        <v/>
      </c>
      <c r="G46" t="str" cm="1">
        <f>IF(ISBLANK(INDEX(Array_ElectricalChargeData,ROW()-16,COLUMN()*2-3)),"",INDEX(Array_ElectricalChargeData,ROW()-16,COLUMN()*2-3))</f>
        <v/>
      </c>
      <c r="H46" t="str" cm="1">
        <f>IF(ISBLANK(INDEX(Array_ElectricalChargeData,ROW()-16,COLUMN()*2-3)),"",INDEX(Array_ElectricalChargeData,ROW()-16,COLUMN()*2-3))</f>
        <v/>
      </c>
      <c r="I46" t="str" cm="1">
        <f>IF(ISBLANK(INDEX(Array_ElectricalChargeData,ROW()-16,COLUMN()*2-3)),"",INDEX(Array_ElectricalChargeData,ROW()-16,COLUMN()*2-3))</f>
        <v/>
      </c>
      <c r="J46" t="str" cm="1">
        <f>IF(ISBLANK(INDEX(Array_ElectricalChargeData,ROW()-16,COLUMN()*2-3)),"",INDEX(Array_ElectricalChargeData,ROW()-16,COLUMN()*2-3))</f>
        <v/>
      </c>
      <c r="K46" t="str" cm="1">
        <f>IF(ISBLANK(INDEX(Array_ElectricalChargeData,ROW()-16,COLUMN()*2-3)),"",INDEX(Array_ElectricalChargeData,ROW()-16,COLUMN()*2-3))</f>
        <v/>
      </c>
      <c r="L46" t="str" cm="1">
        <f>IF(ISBLANK(INDEX(Array_ElectricalChargeData,ROW()-16,COLUMN()*2-3)),"",INDEX(Array_ElectricalChargeData,ROW()-16,COLUMN()*2-3))</f>
        <v/>
      </c>
      <c r="M46" t="str" cm="1">
        <f>IF(ISBLANK(INDEX(Array_ElectricalChargeData,ROW()-16,COLUMN()*2-3)),"",INDEX(Array_ElectricalChargeData,ROW()-16,COLUMN()*2-3))</f>
        <v/>
      </c>
      <c r="N46" t="str" cm="1">
        <f>IF(ISBLANK(INDEX(Array_ElectricalChargeData,ROW()-16,COLUMN()*2-3)),"",INDEX(Array_ElectricalChargeData,ROW()-16,COLUMN()*2-3))</f>
        <v/>
      </c>
      <c r="O46" t="str" cm="1">
        <f>IF(ISBLANK(INDEX(Array_ElectricalChargeData,ROW()-16,COLUMN()*2-3)),"",INDEX(Array_ElectricalChargeData,ROW()-16,COLUMN()*2-3))</f>
        <v/>
      </c>
      <c r="P46" t="str" cm="1">
        <f>IF(ISBLANK(INDEX(Array_ElectricalChargeData,ROW()-16,COLUMN()*2-3)),"",INDEX(Array_ElectricalChargeData,ROW()-16,COLUMN()*2-3))</f>
        <v/>
      </c>
    </row>
    <row r="47" spans="1:16" x14ac:dyDescent="0.35">
      <c r="A47" t="str">
        <f>IF('Electricity Meters'!B33="",A46,'Electricity Meters'!B33)</f>
        <v>Meter Numbers</v>
      </c>
      <c r="B47" t="str" cm="1">
        <f>IF(ISBLANK(INDEX(Array_ElectricalChargeData,ROW()-16,COLUMN()*2-3)),"",INDEX(Array_ElectricalChargeData,ROW()-16,COLUMN()*2-3))</f>
        <v/>
      </c>
      <c r="C47" t="str" cm="1">
        <f>IF(ISBLANK(INDEX(Array_ElectricalChargeData,ROW()-16,COLUMN()*2-3)),"",INDEX(Array_ElectricalChargeData,ROW()-16,COLUMN()*2-3))</f>
        <v/>
      </c>
      <c r="D47" t="str" cm="1">
        <f>IF(ISBLANK(INDEX(Array_ElectricalChargeData,ROW()-16,COLUMN()*2-3)),"",INDEX(Array_ElectricalChargeData,ROW()-16,COLUMN()*2-3))</f>
        <v/>
      </c>
      <c r="E47" t="str" cm="1">
        <f>IF(ISBLANK(INDEX(Array_ElectricalChargeData,ROW()-16,COLUMN()*2-3)),"",INDEX(Array_ElectricalChargeData,ROW()-16,COLUMN()*2-3))</f>
        <v/>
      </c>
      <c r="F47" t="str" cm="1">
        <f>IF(ISBLANK(INDEX(Array_ElectricalChargeData,ROW()-16,COLUMN()*2-3)),"",INDEX(Array_ElectricalChargeData,ROW()-16,COLUMN()*2-3))</f>
        <v/>
      </c>
      <c r="G47" t="str" cm="1">
        <f>IF(ISBLANK(INDEX(Array_ElectricalChargeData,ROW()-16,COLUMN()*2-3)),"",INDEX(Array_ElectricalChargeData,ROW()-16,COLUMN()*2-3))</f>
        <v/>
      </c>
      <c r="H47" t="str" cm="1">
        <f>IF(ISBLANK(INDEX(Array_ElectricalChargeData,ROW()-16,COLUMN()*2-3)),"",INDEX(Array_ElectricalChargeData,ROW()-16,COLUMN()*2-3))</f>
        <v/>
      </c>
      <c r="I47" t="str" cm="1">
        <f>IF(ISBLANK(INDEX(Array_ElectricalChargeData,ROW()-16,COLUMN()*2-3)),"",INDEX(Array_ElectricalChargeData,ROW()-16,COLUMN()*2-3))</f>
        <v/>
      </c>
      <c r="J47" t="str" cm="1">
        <f>IF(ISBLANK(INDEX(Array_ElectricalChargeData,ROW()-16,COLUMN()*2-3)),"",INDEX(Array_ElectricalChargeData,ROW()-16,COLUMN()*2-3))</f>
        <v/>
      </c>
      <c r="K47" t="str" cm="1">
        <f>IF(ISBLANK(INDEX(Array_ElectricalChargeData,ROW()-16,COLUMN()*2-3)),"",INDEX(Array_ElectricalChargeData,ROW()-16,COLUMN()*2-3))</f>
        <v/>
      </c>
      <c r="L47" t="str" cm="1">
        <f>IF(ISBLANK(INDEX(Array_ElectricalChargeData,ROW()-16,COLUMN()*2-3)),"",INDEX(Array_ElectricalChargeData,ROW()-16,COLUMN()*2-3))</f>
        <v/>
      </c>
      <c r="M47" t="str" cm="1">
        <f>IF(ISBLANK(INDEX(Array_ElectricalChargeData,ROW()-16,COLUMN()*2-3)),"",INDEX(Array_ElectricalChargeData,ROW()-16,COLUMN()*2-3))</f>
        <v/>
      </c>
      <c r="N47" t="str" cm="1">
        <f>IF(ISBLANK(INDEX(Array_ElectricalChargeData,ROW()-16,COLUMN()*2-3)),"",INDEX(Array_ElectricalChargeData,ROW()-16,COLUMN()*2-3))</f>
        <v/>
      </c>
      <c r="O47" t="str" cm="1">
        <f>IF(ISBLANK(INDEX(Array_ElectricalChargeData,ROW()-16,COLUMN()*2-3)),"",INDEX(Array_ElectricalChargeData,ROW()-16,COLUMN()*2-3))</f>
        <v/>
      </c>
      <c r="P47" t="str" cm="1">
        <f>IF(ISBLANK(INDEX(Array_ElectricalChargeData,ROW()-16,COLUMN()*2-3)),"",INDEX(Array_ElectricalChargeData,ROW()-16,COLUMN()*2-3))</f>
        <v/>
      </c>
    </row>
    <row r="48" spans="1:16" x14ac:dyDescent="0.35">
      <c r="A48" t="str">
        <f>IF('Electricity Meters'!B34="",A47,'Electricity Meters'!B34)</f>
        <v>Meter Numbers</v>
      </c>
      <c r="B48" t="str" cm="1">
        <f>IF(ISBLANK(INDEX(Array_ElectricalChargeData,ROW()-16,COLUMN()*2-3)),"",INDEX(Array_ElectricalChargeData,ROW()-16,COLUMN()*2-3))</f>
        <v/>
      </c>
      <c r="C48" t="str" cm="1">
        <f>IF(ISBLANK(INDEX(Array_ElectricalChargeData,ROW()-16,COLUMN()*2-3)),"",INDEX(Array_ElectricalChargeData,ROW()-16,COLUMN()*2-3))</f>
        <v/>
      </c>
      <c r="D48" t="str" cm="1">
        <f>IF(ISBLANK(INDEX(Array_ElectricalChargeData,ROW()-16,COLUMN()*2-3)),"",INDEX(Array_ElectricalChargeData,ROW()-16,COLUMN()*2-3))</f>
        <v/>
      </c>
      <c r="E48" t="str" cm="1">
        <f>IF(ISBLANK(INDEX(Array_ElectricalChargeData,ROW()-16,COLUMN()*2-3)),"",INDEX(Array_ElectricalChargeData,ROW()-16,COLUMN()*2-3))</f>
        <v/>
      </c>
      <c r="F48" t="str" cm="1">
        <f>IF(ISBLANK(INDEX(Array_ElectricalChargeData,ROW()-16,COLUMN()*2-3)),"",INDEX(Array_ElectricalChargeData,ROW()-16,COLUMN()*2-3))</f>
        <v/>
      </c>
      <c r="G48" t="str" cm="1">
        <f>IF(ISBLANK(INDEX(Array_ElectricalChargeData,ROW()-16,COLUMN()*2-3)),"",INDEX(Array_ElectricalChargeData,ROW()-16,COLUMN()*2-3))</f>
        <v/>
      </c>
      <c r="H48" t="str" cm="1">
        <f>IF(ISBLANK(INDEX(Array_ElectricalChargeData,ROW()-16,COLUMN()*2-3)),"",INDEX(Array_ElectricalChargeData,ROW()-16,COLUMN()*2-3))</f>
        <v/>
      </c>
      <c r="I48" t="str" cm="1">
        <f>IF(ISBLANK(INDEX(Array_ElectricalChargeData,ROW()-16,COLUMN()*2-3)),"",INDEX(Array_ElectricalChargeData,ROW()-16,COLUMN()*2-3))</f>
        <v/>
      </c>
      <c r="J48" t="str" cm="1">
        <f>IF(ISBLANK(INDEX(Array_ElectricalChargeData,ROW()-16,COLUMN()*2-3)),"",INDEX(Array_ElectricalChargeData,ROW()-16,COLUMN()*2-3))</f>
        <v/>
      </c>
      <c r="K48" t="str" cm="1">
        <f>IF(ISBLANK(INDEX(Array_ElectricalChargeData,ROW()-16,COLUMN()*2-3)),"",INDEX(Array_ElectricalChargeData,ROW()-16,COLUMN()*2-3))</f>
        <v/>
      </c>
      <c r="L48" t="str" cm="1">
        <f>IF(ISBLANK(INDEX(Array_ElectricalChargeData,ROW()-16,COLUMN()*2-3)),"",INDEX(Array_ElectricalChargeData,ROW()-16,COLUMN()*2-3))</f>
        <v/>
      </c>
      <c r="M48" t="str" cm="1">
        <f>IF(ISBLANK(INDEX(Array_ElectricalChargeData,ROW()-16,COLUMN()*2-3)),"",INDEX(Array_ElectricalChargeData,ROW()-16,COLUMN()*2-3))</f>
        <v/>
      </c>
      <c r="N48" t="str" cm="1">
        <f>IF(ISBLANK(INDEX(Array_ElectricalChargeData,ROW()-16,COLUMN()*2-3)),"",INDEX(Array_ElectricalChargeData,ROW()-16,COLUMN()*2-3))</f>
        <v/>
      </c>
      <c r="O48" t="str" cm="1">
        <f>IF(ISBLANK(INDEX(Array_ElectricalChargeData,ROW()-16,COLUMN()*2-3)),"",INDEX(Array_ElectricalChargeData,ROW()-16,COLUMN()*2-3))</f>
        <v/>
      </c>
      <c r="P48" t="str" cm="1">
        <f>IF(ISBLANK(INDEX(Array_ElectricalChargeData,ROW()-16,COLUMN()*2-3)),"",INDEX(Array_ElectricalChargeData,ROW()-16,COLUMN()*2-3))</f>
        <v/>
      </c>
    </row>
    <row r="49" spans="1:16" x14ac:dyDescent="0.35">
      <c r="A49" t="str">
        <f>IF('Electricity Meters'!B35="",A48,'Electricity Meters'!B35)</f>
        <v>Meter Numbers</v>
      </c>
      <c r="B49" t="str" cm="1">
        <f>IF(ISBLANK(INDEX(Array_ElectricalChargeData,ROW()-16,COLUMN()*2-3)),"",INDEX(Array_ElectricalChargeData,ROW()-16,COLUMN()*2-3))</f>
        <v/>
      </c>
      <c r="C49" t="str" cm="1">
        <f>IF(ISBLANK(INDEX(Array_ElectricalChargeData,ROW()-16,COLUMN()*2-3)),"",INDEX(Array_ElectricalChargeData,ROW()-16,COLUMN()*2-3))</f>
        <v/>
      </c>
      <c r="D49" t="str" cm="1">
        <f>IF(ISBLANK(INDEX(Array_ElectricalChargeData,ROW()-16,COLUMN()*2-3)),"",INDEX(Array_ElectricalChargeData,ROW()-16,COLUMN()*2-3))</f>
        <v/>
      </c>
      <c r="E49" t="str" cm="1">
        <f>IF(ISBLANK(INDEX(Array_ElectricalChargeData,ROW()-16,COLUMN()*2-3)),"",INDEX(Array_ElectricalChargeData,ROW()-16,COLUMN()*2-3))</f>
        <v/>
      </c>
      <c r="F49" t="str" cm="1">
        <f>IF(ISBLANK(INDEX(Array_ElectricalChargeData,ROW()-16,COLUMN()*2-3)),"",INDEX(Array_ElectricalChargeData,ROW()-16,COLUMN()*2-3))</f>
        <v/>
      </c>
      <c r="G49" t="str" cm="1">
        <f>IF(ISBLANK(INDEX(Array_ElectricalChargeData,ROW()-16,COLUMN()*2-3)),"",INDEX(Array_ElectricalChargeData,ROW()-16,COLUMN()*2-3))</f>
        <v/>
      </c>
      <c r="H49" t="str" cm="1">
        <f>IF(ISBLANK(INDEX(Array_ElectricalChargeData,ROW()-16,COLUMN()*2-3)),"",INDEX(Array_ElectricalChargeData,ROW()-16,COLUMN()*2-3))</f>
        <v/>
      </c>
      <c r="I49" t="str" cm="1">
        <f>IF(ISBLANK(INDEX(Array_ElectricalChargeData,ROW()-16,COLUMN()*2-3)),"",INDEX(Array_ElectricalChargeData,ROW()-16,COLUMN()*2-3))</f>
        <v/>
      </c>
      <c r="J49" t="str" cm="1">
        <f>IF(ISBLANK(INDEX(Array_ElectricalChargeData,ROW()-16,COLUMN()*2-3)),"",INDEX(Array_ElectricalChargeData,ROW()-16,COLUMN()*2-3))</f>
        <v/>
      </c>
      <c r="K49" t="str" cm="1">
        <f>IF(ISBLANK(INDEX(Array_ElectricalChargeData,ROW()-16,COLUMN()*2-3)),"",INDEX(Array_ElectricalChargeData,ROW()-16,COLUMN()*2-3))</f>
        <v/>
      </c>
      <c r="L49" t="str" cm="1">
        <f>IF(ISBLANK(INDEX(Array_ElectricalChargeData,ROW()-16,COLUMN()*2-3)),"",INDEX(Array_ElectricalChargeData,ROW()-16,COLUMN()*2-3))</f>
        <v/>
      </c>
      <c r="M49" t="str" cm="1">
        <f>IF(ISBLANK(INDEX(Array_ElectricalChargeData,ROW()-16,COLUMN()*2-3)),"",INDEX(Array_ElectricalChargeData,ROW()-16,COLUMN()*2-3))</f>
        <v/>
      </c>
      <c r="N49" t="str" cm="1">
        <f>IF(ISBLANK(INDEX(Array_ElectricalChargeData,ROW()-16,COLUMN()*2-3)),"",INDEX(Array_ElectricalChargeData,ROW()-16,COLUMN()*2-3))</f>
        <v/>
      </c>
      <c r="O49" t="str" cm="1">
        <f>IF(ISBLANK(INDEX(Array_ElectricalChargeData,ROW()-16,COLUMN()*2-3)),"",INDEX(Array_ElectricalChargeData,ROW()-16,COLUMN()*2-3))</f>
        <v/>
      </c>
      <c r="P49" t="str" cm="1">
        <f>IF(ISBLANK(INDEX(Array_ElectricalChargeData,ROW()-16,COLUMN()*2-3)),"",INDEX(Array_ElectricalChargeData,ROW()-16,COLUMN()*2-3))</f>
        <v/>
      </c>
    </row>
    <row r="50" spans="1:16" x14ac:dyDescent="0.35">
      <c r="A50" t="str">
        <f>IF('Electricity Meters'!B36="",A49,'Electricity Meters'!B36)</f>
        <v>Meter Numbers</v>
      </c>
      <c r="B50" t="str" cm="1">
        <f>IF(ISBLANK(INDEX(Array_ElectricalChargeData,ROW()-16,COLUMN()*2-3)),"",INDEX(Array_ElectricalChargeData,ROW()-16,COLUMN()*2-3))</f>
        <v/>
      </c>
      <c r="C50" t="str" cm="1">
        <f>IF(ISBLANK(INDEX(Array_ElectricalChargeData,ROW()-16,COLUMN()*2-3)),"",INDEX(Array_ElectricalChargeData,ROW()-16,COLUMN()*2-3))</f>
        <v/>
      </c>
      <c r="D50" t="str" cm="1">
        <f>IF(ISBLANK(INDEX(Array_ElectricalChargeData,ROW()-16,COLUMN()*2-3)),"",INDEX(Array_ElectricalChargeData,ROW()-16,COLUMN()*2-3))</f>
        <v/>
      </c>
      <c r="E50" t="str" cm="1">
        <f>IF(ISBLANK(INDEX(Array_ElectricalChargeData,ROW()-16,COLUMN()*2-3)),"",INDEX(Array_ElectricalChargeData,ROW()-16,COLUMN()*2-3))</f>
        <v/>
      </c>
      <c r="F50" t="str" cm="1">
        <f>IF(ISBLANK(INDEX(Array_ElectricalChargeData,ROW()-16,COLUMN()*2-3)),"",INDEX(Array_ElectricalChargeData,ROW()-16,COLUMN()*2-3))</f>
        <v/>
      </c>
      <c r="G50" t="str" cm="1">
        <f>IF(ISBLANK(INDEX(Array_ElectricalChargeData,ROW()-16,COLUMN()*2-3)),"",INDEX(Array_ElectricalChargeData,ROW()-16,COLUMN()*2-3))</f>
        <v/>
      </c>
      <c r="H50" t="str" cm="1">
        <f>IF(ISBLANK(INDEX(Array_ElectricalChargeData,ROW()-16,COLUMN()*2-3)),"",INDEX(Array_ElectricalChargeData,ROW()-16,COLUMN()*2-3))</f>
        <v/>
      </c>
      <c r="I50" t="str" cm="1">
        <f>IF(ISBLANK(INDEX(Array_ElectricalChargeData,ROW()-16,COLUMN()*2-3)),"",INDEX(Array_ElectricalChargeData,ROW()-16,COLUMN()*2-3))</f>
        <v/>
      </c>
      <c r="J50" t="str" cm="1">
        <f>IF(ISBLANK(INDEX(Array_ElectricalChargeData,ROW()-16,COLUMN()*2-3)),"",INDEX(Array_ElectricalChargeData,ROW()-16,COLUMN()*2-3))</f>
        <v/>
      </c>
      <c r="K50" t="str" cm="1">
        <f>IF(ISBLANK(INDEX(Array_ElectricalChargeData,ROW()-16,COLUMN()*2-3)),"",INDEX(Array_ElectricalChargeData,ROW()-16,COLUMN()*2-3))</f>
        <v/>
      </c>
      <c r="L50" t="str" cm="1">
        <f>IF(ISBLANK(INDEX(Array_ElectricalChargeData,ROW()-16,COLUMN()*2-3)),"",INDEX(Array_ElectricalChargeData,ROW()-16,COLUMN()*2-3))</f>
        <v/>
      </c>
      <c r="M50" t="str" cm="1">
        <f>IF(ISBLANK(INDEX(Array_ElectricalChargeData,ROW()-16,COLUMN()*2-3)),"",INDEX(Array_ElectricalChargeData,ROW()-16,COLUMN()*2-3))</f>
        <v/>
      </c>
      <c r="N50" t="str" cm="1">
        <f>IF(ISBLANK(INDEX(Array_ElectricalChargeData,ROW()-16,COLUMN()*2-3)),"",INDEX(Array_ElectricalChargeData,ROW()-16,COLUMN()*2-3))</f>
        <v/>
      </c>
      <c r="O50" t="str" cm="1">
        <f>IF(ISBLANK(INDEX(Array_ElectricalChargeData,ROW()-16,COLUMN()*2-3)),"",INDEX(Array_ElectricalChargeData,ROW()-16,COLUMN()*2-3))</f>
        <v/>
      </c>
      <c r="P50" t="str" cm="1">
        <f>IF(ISBLANK(INDEX(Array_ElectricalChargeData,ROW()-16,COLUMN()*2-3)),"",INDEX(Array_ElectricalChargeData,ROW()-16,COLUMN()*2-3))</f>
        <v/>
      </c>
    </row>
    <row r="51" spans="1:16" x14ac:dyDescent="0.35">
      <c r="A51" t="str">
        <f>IF('Electricity Meters'!B37="",A50,'Electricity Meters'!B37)</f>
        <v>Meter Numbers</v>
      </c>
      <c r="B51" t="str" cm="1">
        <f>IF(ISBLANK(INDEX(Array_ElectricalChargeData,ROW()-16,COLUMN()*2-3)),"",INDEX(Array_ElectricalChargeData,ROW()-16,COLUMN()*2-3))</f>
        <v/>
      </c>
      <c r="C51" t="str" cm="1">
        <f>IF(ISBLANK(INDEX(Array_ElectricalChargeData,ROW()-16,COLUMN()*2-3)),"",INDEX(Array_ElectricalChargeData,ROW()-16,COLUMN()*2-3))</f>
        <v/>
      </c>
      <c r="D51" t="str" cm="1">
        <f>IF(ISBLANK(INDEX(Array_ElectricalChargeData,ROW()-16,COLUMN()*2-3)),"",INDEX(Array_ElectricalChargeData,ROW()-16,COLUMN()*2-3))</f>
        <v/>
      </c>
      <c r="E51" t="str" cm="1">
        <f>IF(ISBLANK(INDEX(Array_ElectricalChargeData,ROW()-16,COLUMN()*2-3)),"",INDEX(Array_ElectricalChargeData,ROW()-16,COLUMN()*2-3))</f>
        <v/>
      </c>
      <c r="F51" t="str" cm="1">
        <f>IF(ISBLANK(INDEX(Array_ElectricalChargeData,ROW()-16,COLUMN()*2-3)),"",INDEX(Array_ElectricalChargeData,ROW()-16,COLUMN()*2-3))</f>
        <v/>
      </c>
      <c r="G51" t="str" cm="1">
        <f>IF(ISBLANK(INDEX(Array_ElectricalChargeData,ROW()-16,COLUMN()*2-3)),"",INDEX(Array_ElectricalChargeData,ROW()-16,COLUMN()*2-3))</f>
        <v/>
      </c>
      <c r="H51" t="str" cm="1">
        <f>IF(ISBLANK(INDEX(Array_ElectricalChargeData,ROW()-16,COLUMN()*2-3)),"",INDEX(Array_ElectricalChargeData,ROW()-16,COLUMN()*2-3))</f>
        <v/>
      </c>
      <c r="I51" t="str" cm="1">
        <f>IF(ISBLANK(INDEX(Array_ElectricalChargeData,ROW()-16,COLUMN()*2-3)),"",INDEX(Array_ElectricalChargeData,ROW()-16,COLUMN()*2-3))</f>
        <v/>
      </c>
      <c r="J51" t="str" cm="1">
        <f>IF(ISBLANK(INDEX(Array_ElectricalChargeData,ROW()-16,COLUMN()*2-3)),"",INDEX(Array_ElectricalChargeData,ROW()-16,COLUMN()*2-3))</f>
        <v/>
      </c>
      <c r="K51" t="str" cm="1">
        <f>IF(ISBLANK(INDEX(Array_ElectricalChargeData,ROW()-16,COLUMN()*2-3)),"",INDEX(Array_ElectricalChargeData,ROW()-16,COLUMN()*2-3))</f>
        <v/>
      </c>
      <c r="L51" t="str" cm="1">
        <f>IF(ISBLANK(INDEX(Array_ElectricalChargeData,ROW()-16,COLUMN()*2-3)),"",INDEX(Array_ElectricalChargeData,ROW()-16,COLUMN()*2-3))</f>
        <v/>
      </c>
      <c r="M51" t="str" cm="1">
        <f>IF(ISBLANK(INDEX(Array_ElectricalChargeData,ROW()-16,COLUMN()*2-3)),"",INDEX(Array_ElectricalChargeData,ROW()-16,COLUMN()*2-3))</f>
        <v/>
      </c>
      <c r="N51" t="str" cm="1">
        <f>IF(ISBLANK(INDEX(Array_ElectricalChargeData,ROW()-16,COLUMN()*2-3)),"",INDEX(Array_ElectricalChargeData,ROW()-16,COLUMN()*2-3))</f>
        <v/>
      </c>
      <c r="O51" t="str" cm="1">
        <f>IF(ISBLANK(INDEX(Array_ElectricalChargeData,ROW()-16,COLUMN()*2-3)),"",INDEX(Array_ElectricalChargeData,ROW()-16,COLUMN()*2-3))</f>
        <v/>
      </c>
      <c r="P51" t="str" cm="1">
        <f>IF(ISBLANK(INDEX(Array_ElectricalChargeData,ROW()-16,COLUMN()*2-3)),"",INDEX(Array_ElectricalChargeData,ROW()-16,COLUMN()*2-3))</f>
        <v/>
      </c>
    </row>
    <row r="52" spans="1:16" x14ac:dyDescent="0.35">
      <c r="A52" t="str">
        <f>IF('Electricity Meters'!B38="",A51,'Electricity Meters'!B38)</f>
        <v>Meter Numbers</v>
      </c>
      <c r="B52" t="str" cm="1">
        <f>IF(ISBLANK(INDEX(Array_ElectricalChargeData,ROW()-16,COLUMN()*2-3)),"",INDEX(Array_ElectricalChargeData,ROW()-16,COLUMN()*2-3))</f>
        <v/>
      </c>
      <c r="C52" t="str" cm="1">
        <f>IF(ISBLANK(INDEX(Array_ElectricalChargeData,ROW()-16,COLUMN()*2-3)),"",INDEX(Array_ElectricalChargeData,ROW()-16,COLUMN()*2-3))</f>
        <v/>
      </c>
      <c r="D52" t="str" cm="1">
        <f>IF(ISBLANK(INDEX(Array_ElectricalChargeData,ROW()-16,COLUMN()*2-3)),"",INDEX(Array_ElectricalChargeData,ROW()-16,COLUMN()*2-3))</f>
        <v/>
      </c>
      <c r="E52" t="str" cm="1">
        <f>IF(ISBLANK(INDEX(Array_ElectricalChargeData,ROW()-16,COLUMN()*2-3)),"",INDEX(Array_ElectricalChargeData,ROW()-16,COLUMN()*2-3))</f>
        <v/>
      </c>
      <c r="F52" t="str" cm="1">
        <f>IF(ISBLANK(INDEX(Array_ElectricalChargeData,ROW()-16,COLUMN()*2-3)),"",INDEX(Array_ElectricalChargeData,ROW()-16,COLUMN()*2-3))</f>
        <v/>
      </c>
      <c r="G52" t="str" cm="1">
        <f>IF(ISBLANK(INDEX(Array_ElectricalChargeData,ROW()-16,COLUMN()*2-3)),"",INDEX(Array_ElectricalChargeData,ROW()-16,COLUMN()*2-3))</f>
        <v/>
      </c>
      <c r="H52" t="str" cm="1">
        <f>IF(ISBLANK(INDEX(Array_ElectricalChargeData,ROW()-16,COLUMN()*2-3)),"",INDEX(Array_ElectricalChargeData,ROW()-16,COLUMN()*2-3))</f>
        <v/>
      </c>
      <c r="I52" t="str" cm="1">
        <f>IF(ISBLANK(INDEX(Array_ElectricalChargeData,ROW()-16,COLUMN()*2-3)),"",INDEX(Array_ElectricalChargeData,ROW()-16,COLUMN()*2-3))</f>
        <v/>
      </c>
      <c r="J52" t="str" cm="1">
        <f>IF(ISBLANK(INDEX(Array_ElectricalChargeData,ROW()-16,COLUMN()*2-3)),"",INDEX(Array_ElectricalChargeData,ROW()-16,COLUMN()*2-3))</f>
        <v/>
      </c>
      <c r="K52" t="str" cm="1">
        <f>IF(ISBLANK(INDEX(Array_ElectricalChargeData,ROW()-16,COLUMN()*2-3)),"",INDEX(Array_ElectricalChargeData,ROW()-16,COLUMN()*2-3))</f>
        <v/>
      </c>
      <c r="L52" t="str" cm="1">
        <f>IF(ISBLANK(INDEX(Array_ElectricalChargeData,ROW()-16,COLUMN()*2-3)),"",INDEX(Array_ElectricalChargeData,ROW()-16,COLUMN()*2-3))</f>
        <v/>
      </c>
      <c r="M52" t="str" cm="1">
        <f>IF(ISBLANK(INDEX(Array_ElectricalChargeData,ROW()-16,COLUMN()*2-3)),"",INDEX(Array_ElectricalChargeData,ROW()-16,COLUMN()*2-3))</f>
        <v/>
      </c>
      <c r="N52" t="str" cm="1">
        <f>IF(ISBLANK(INDEX(Array_ElectricalChargeData,ROW()-16,COLUMN()*2-3)),"",INDEX(Array_ElectricalChargeData,ROW()-16,COLUMN()*2-3))</f>
        <v/>
      </c>
      <c r="O52" t="str" cm="1">
        <f>IF(ISBLANK(INDEX(Array_ElectricalChargeData,ROW()-16,COLUMN()*2-3)),"",INDEX(Array_ElectricalChargeData,ROW()-16,COLUMN()*2-3))</f>
        <v/>
      </c>
      <c r="P52" t="str" cm="1">
        <f>IF(ISBLANK(INDEX(Array_ElectricalChargeData,ROW()-16,COLUMN()*2-3)),"",INDEX(Array_ElectricalChargeData,ROW()-16,COLUMN()*2-3))</f>
        <v/>
      </c>
    </row>
    <row r="53" spans="1:16" x14ac:dyDescent="0.35">
      <c r="A53" t="str">
        <f>IF('Electricity Meters'!B39="",A52,'Electricity Meters'!B39)</f>
        <v>Meter Numbers</v>
      </c>
      <c r="B53" t="str" cm="1">
        <f>IF(ISBLANK(INDEX(Array_ElectricalChargeData,ROW()-16,COLUMN()*2-3)),"",INDEX(Array_ElectricalChargeData,ROW()-16,COLUMN()*2-3))</f>
        <v/>
      </c>
      <c r="C53" t="str" cm="1">
        <f>IF(ISBLANK(INDEX(Array_ElectricalChargeData,ROW()-16,COLUMN()*2-3)),"",INDEX(Array_ElectricalChargeData,ROW()-16,COLUMN()*2-3))</f>
        <v/>
      </c>
      <c r="D53" t="str" cm="1">
        <f>IF(ISBLANK(INDEX(Array_ElectricalChargeData,ROW()-16,COLUMN()*2-3)),"",INDEX(Array_ElectricalChargeData,ROW()-16,COLUMN()*2-3))</f>
        <v/>
      </c>
      <c r="E53" t="str" cm="1">
        <f>IF(ISBLANK(INDEX(Array_ElectricalChargeData,ROW()-16,COLUMN()*2-3)),"",INDEX(Array_ElectricalChargeData,ROW()-16,COLUMN()*2-3))</f>
        <v/>
      </c>
      <c r="F53" t="str" cm="1">
        <f>IF(ISBLANK(INDEX(Array_ElectricalChargeData,ROW()-16,COLUMN()*2-3)),"",INDEX(Array_ElectricalChargeData,ROW()-16,COLUMN()*2-3))</f>
        <v/>
      </c>
      <c r="G53" t="str" cm="1">
        <f>IF(ISBLANK(INDEX(Array_ElectricalChargeData,ROW()-16,COLUMN()*2-3)),"",INDEX(Array_ElectricalChargeData,ROW()-16,COLUMN()*2-3))</f>
        <v/>
      </c>
      <c r="H53" t="str" cm="1">
        <f>IF(ISBLANK(INDEX(Array_ElectricalChargeData,ROW()-16,COLUMN()*2-3)),"",INDEX(Array_ElectricalChargeData,ROW()-16,COLUMN()*2-3))</f>
        <v/>
      </c>
      <c r="I53" t="str" cm="1">
        <f>IF(ISBLANK(INDEX(Array_ElectricalChargeData,ROW()-16,COLUMN()*2-3)),"",INDEX(Array_ElectricalChargeData,ROW()-16,COLUMN()*2-3))</f>
        <v/>
      </c>
      <c r="J53" t="str" cm="1">
        <f>IF(ISBLANK(INDEX(Array_ElectricalChargeData,ROW()-16,COLUMN()*2-3)),"",INDEX(Array_ElectricalChargeData,ROW()-16,COLUMN()*2-3))</f>
        <v/>
      </c>
      <c r="K53" t="str" cm="1">
        <f>IF(ISBLANK(INDEX(Array_ElectricalChargeData,ROW()-16,COLUMN()*2-3)),"",INDEX(Array_ElectricalChargeData,ROW()-16,COLUMN()*2-3))</f>
        <v/>
      </c>
      <c r="L53" t="str" cm="1">
        <f>IF(ISBLANK(INDEX(Array_ElectricalChargeData,ROW()-16,COLUMN()*2-3)),"",INDEX(Array_ElectricalChargeData,ROW()-16,COLUMN()*2-3))</f>
        <v/>
      </c>
      <c r="M53" t="str" cm="1">
        <f>IF(ISBLANK(INDEX(Array_ElectricalChargeData,ROW()-16,COLUMN()*2-3)),"",INDEX(Array_ElectricalChargeData,ROW()-16,COLUMN()*2-3))</f>
        <v/>
      </c>
      <c r="N53" t="str" cm="1">
        <f>IF(ISBLANK(INDEX(Array_ElectricalChargeData,ROW()-16,COLUMN()*2-3)),"",INDEX(Array_ElectricalChargeData,ROW()-16,COLUMN()*2-3))</f>
        <v/>
      </c>
      <c r="O53" t="str" cm="1">
        <f>IF(ISBLANK(INDEX(Array_ElectricalChargeData,ROW()-16,COLUMN()*2-3)),"",INDEX(Array_ElectricalChargeData,ROW()-16,COLUMN()*2-3))</f>
        <v/>
      </c>
      <c r="P53" t="str" cm="1">
        <f>IF(ISBLANK(INDEX(Array_ElectricalChargeData,ROW()-16,COLUMN()*2-3)),"",INDEX(Array_ElectricalChargeData,ROW()-16,COLUMN()*2-3))</f>
        <v/>
      </c>
    </row>
    <row r="54" spans="1:16" x14ac:dyDescent="0.35">
      <c r="A54" t="str">
        <f>IF('Electricity Meters'!B40="",A53,'Electricity Meters'!B40)</f>
        <v>Meter Numbers</v>
      </c>
      <c r="B54" t="str" cm="1">
        <f>IF(ISBLANK(INDEX(Array_ElectricalChargeData,ROW()-16,COLUMN()*2-3)),"",INDEX(Array_ElectricalChargeData,ROW()-16,COLUMN()*2-3))</f>
        <v/>
      </c>
      <c r="C54" t="str" cm="1">
        <f>IF(ISBLANK(INDEX(Array_ElectricalChargeData,ROW()-16,COLUMN()*2-3)),"",INDEX(Array_ElectricalChargeData,ROW()-16,COLUMN()*2-3))</f>
        <v/>
      </c>
      <c r="D54" t="str" cm="1">
        <f>IF(ISBLANK(INDEX(Array_ElectricalChargeData,ROW()-16,COLUMN()*2-3)),"",INDEX(Array_ElectricalChargeData,ROW()-16,COLUMN()*2-3))</f>
        <v/>
      </c>
      <c r="E54" t="str" cm="1">
        <f>IF(ISBLANK(INDEX(Array_ElectricalChargeData,ROW()-16,COLUMN()*2-3)),"",INDEX(Array_ElectricalChargeData,ROW()-16,COLUMN()*2-3))</f>
        <v/>
      </c>
      <c r="F54" t="str" cm="1">
        <f>IF(ISBLANK(INDEX(Array_ElectricalChargeData,ROW()-16,COLUMN()*2-3)),"",INDEX(Array_ElectricalChargeData,ROW()-16,COLUMN()*2-3))</f>
        <v/>
      </c>
      <c r="G54" t="str" cm="1">
        <f>IF(ISBLANK(INDEX(Array_ElectricalChargeData,ROW()-16,COLUMN()*2-3)),"",INDEX(Array_ElectricalChargeData,ROW()-16,COLUMN()*2-3))</f>
        <v/>
      </c>
      <c r="H54" t="str" cm="1">
        <f>IF(ISBLANK(INDEX(Array_ElectricalChargeData,ROW()-16,COLUMN()*2-3)),"",INDEX(Array_ElectricalChargeData,ROW()-16,COLUMN()*2-3))</f>
        <v/>
      </c>
      <c r="I54" t="str" cm="1">
        <f>IF(ISBLANK(INDEX(Array_ElectricalChargeData,ROW()-16,COLUMN()*2-3)),"",INDEX(Array_ElectricalChargeData,ROW()-16,COLUMN()*2-3))</f>
        <v/>
      </c>
      <c r="J54" t="str" cm="1">
        <f>IF(ISBLANK(INDEX(Array_ElectricalChargeData,ROW()-16,COLUMN()*2-3)),"",INDEX(Array_ElectricalChargeData,ROW()-16,COLUMN()*2-3))</f>
        <v/>
      </c>
      <c r="K54" t="str" cm="1">
        <f>IF(ISBLANK(INDEX(Array_ElectricalChargeData,ROW()-16,COLUMN()*2-3)),"",INDEX(Array_ElectricalChargeData,ROW()-16,COLUMN()*2-3))</f>
        <v/>
      </c>
      <c r="L54" t="str" cm="1">
        <f>IF(ISBLANK(INDEX(Array_ElectricalChargeData,ROW()-16,COLUMN()*2-3)),"",INDEX(Array_ElectricalChargeData,ROW()-16,COLUMN()*2-3))</f>
        <v/>
      </c>
      <c r="M54" t="str" cm="1">
        <f>IF(ISBLANK(INDEX(Array_ElectricalChargeData,ROW()-16,COLUMN()*2-3)),"",INDEX(Array_ElectricalChargeData,ROW()-16,COLUMN()*2-3))</f>
        <v/>
      </c>
      <c r="N54" t="str" cm="1">
        <f>IF(ISBLANK(INDEX(Array_ElectricalChargeData,ROW()-16,COLUMN()*2-3)),"",INDEX(Array_ElectricalChargeData,ROW()-16,COLUMN()*2-3))</f>
        <v/>
      </c>
      <c r="O54" t="str" cm="1">
        <f>IF(ISBLANK(INDEX(Array_ElectricalChargeData,ROW()-16,COLUMN()*2-3)),"",INDEX(Array_ElectricalChargeData,ROW()-16,COLUMN()*2-3))</f>
        <v/>
      </c>
      <c r="P54" t="str" cm="1">
        <f>IF(ISBLANK(INDEX(Array_ElectricalChargeData,ROW()-16,COLUMN()*2-3)),"",INDEX(Array_ElectricalChargeData,ROW()-16,COLUMN()*2-3))</f>
        <v/>
      </c>
    </row>
    <row r="55" spans="1:16" x14ac:dyDescent="0.35">
      <c r="A55" t="str">
        <f>IF('Electricity Meters'!B41="",A54,'Electricity Meters'!B41)</f>
        <v>Meter Numbers</v>
      </c>
      <c r="B55" t="str" cm="1">
        <f>IF(ISBLANK(INDEX(Array_ElectricalChargeData,ROW()-16,COLUMN()*2-3)),"",INDEX(Array_ElectricalChargeData,ROW()-16,COLUMN()*2-3))</f>
        <v/>
      </c>
      <c r="C55" t="str" cm="1">
        <f>IF(ISBLANK(INDEX(Array_ElectricalChargeData,ROW()-16,COLUMN()*2-3)),"",INDEX(Array_ElectricalChargeData,ROW()-16,COLUMN()*2-3))</f>
        <v/>
      </c>
      <c r="D55" t="str" cm="1">
        <f>IF(ISBLANK(INDEX(Array_ElectricalChargeData,ROW()-16,COLUMN()*2-3)),"",INDEX(Array_ElectricalChargeData,ROW()-16,COLUMN()*2-3))</f>
        <v/>
      </c>
      <c r="E55" t="str" cm="1">
        <f>IF(ISBLANK(INDEX(Array_ElectricalChargeData,ROW()-16,COLUMN()*2-3)),"",INDEX(Array_ElectricalChargeData,ROW()-16,COLUMN()*2-3))</f>
        <v/>
      </c>
      <c r="F55" t="str" cm="1">
        <f>IF(ISBLANK(INDEX(Array_ElectricalChargeData,ROW()-16,COLUMN()*2-3)),"",INDEX(Array_ElectricalChargeData,ROW()-16,COLUMN()*2-3))</f>
        <v/>
      </c>
      <c r="G55" t="str" cm="1">
        <f>IF(ISBLANK(INDEX(Array_ElectricalChargeData,ROW()-16,COLUMN()*2-3)),"",INDEX(Array_ElectricalChargeData,ROW()-16,COLUMN()*2-3))</f>
        <v/>
      </c>
      <c r="H55" t="str" cm="1">
        <f>IF(ISBLANK(INDEX(Array_ElectricalChargeData,ROW()-16,COLUMN()*2-3)),"",INDEX(Array_ElectricalChargeData,ROW()-16,COLUMN()*2-3))</f>
        <v/>
      </c>
      <c r="I55" t="str" cm="1">
        <f>IF(ISBLANK(INDEX(Array_ElectricalChargeData,ROW()-16,COLUMN()*2-3)),"",INDEX(Array_ElectricalChargeData,ROW()-16,COLUMN()*2-3))</f>
        <v/>
      </c>
      <c r="J55" t="str" cm="1">
        <f>IF(ISBLANK(INDEX(Array_ElectricalChargeData,ROW()-16,COLUMN()*2-3)),"",INDEX(Array_ElectricalChargeData,ROW()-16,COLUMN()*2-3))</f>
        <v/>
      </c>
      <c r="K55" t="str" cm="1">
        <f>IF(ISBLANK(INDEX(Array_ElectricalChargeData,ROW()-16,COLUMN()*2-3)),"",INDEX(Array_ElectricalChargeData,ROW()-16,COLUMN()*2-3))</f>
        <v/>
      </c>
      <c r="L55" t="str" cm="1">
        <f>IF(ISBLANK(INDEX(Array_ElectricalChargeData,ROW()-16,COLUMN()*2-3)),"",INDEX(Array_ElectricalChargeData,ROW()-16,COLUMN()*2-3))</f>
        <v/>
      </c>
      <c r="M55" t="str" cm="1">
        <f>IF(ISBLANK(INDEX(Array_ElectricalChargeData,ROW()-16,COLUMN()*2-3)),"",INDEX(Array_ElectricalChargeData,ROW()-16,COLUMN()*2-3))</f>
        <v/>
      </c>
      <c r="N55" t="str" cm="1">
        <f>IF(ISBLANK(INDEX(Array_ElectricalChargeData,ROW()-16,COLUMN()*2-3)),"",INDEX(Array_ElectricalChargeData,ROW()-16,COLUMN()*2-3))</f>
        <v/>
      </c>
      <c r="O55" t="str" cm="1">
        <f>IF(ISBLANK(INDEX(Array_ElectricalChargeData,ROW()-16,COLUMN()*2-3)),"",INDEX(Array_ElectricalChargeData,ROW()-16,COLUMN()*2-3))</f>
        <v/>
      </c>
      <c r="P55" t="str" cm="1">
        <f>IF(ISBLANK(INDEX(Array_ElectricalChargeData,ROW()-16,COLUMN()*2-3)),"",INDEX(Array_ElectricalChargeData,ROW()-16,COLUMN()*2-3))</f>
        <v/>
      </c>
    </row>
    <row r="56" spans="1:16" x14ac:dyDescent="0.35">
      <c r="A56" t="str">
        <f>IF('Electricity Meters'!B42="",A55,'Electricity Meters'!B42)</f>
        <v>Meter Numbers</v>
      </c>
      <c r="B56" t="str" cm="1">
        <f>IF(ISBLANK(INDEX(Array_ElectricalChargeData,ROW()-16,COLUMN()*2-3)),"",INDEX(Array_ElectricalChargeData,ROW()-16,COLUMN()*2-3))</f>
        <v/>
      </c>
      <c r="C56" t="str" cm="1">
        <f>IF(ISBLANK(INDEX(Array_ElectricalChargeData,ROW()-16,COLUMN()*2-3)),"",INDEX(Array_ElectricalChargeData,ROW()-16,COLUMN()*2-3))</f>
        <v/>
      </c>
      <c r="D56" t="str" cm="1">
        <f>IF(ISBLANK(INDEX(Array_ElectricalChargeData,ROW()-16,COLUMN()*2-3)),"",INDEX(Array_ElectricalChargeData,ROW()-16,COLUMN()*2-3))</f>
        <v/>
      </c>
      <c r="E56" t="str" cm="1">
        <f>IF(ISBLANK(INDEX(Array_ElectricalChargeData,ROW()-16,COLUMN()*2-3)),"",INDEX(Array_ElectricalChargeData,ROW()-16,COLUMN()*2-3))</f>
        <v/>
      </c>
      <c r="F56" t="str" cm="1">
        <f>IF(ISBLANK(INDEX(Array_ElectricalChargeData,ROW()-16,COLUMN()*2-3)),"",INDEX(Array_ElectricalChargeData,ROW()-16,COLUMN()*2-3))</f>
        <v/>
      </c>
      <c r="G56" t="str" cm="1">
        <f>IF(ISBLANK(INDEX(Array_ElectricalChargeData,ROW()-16,COLUMN()*2-3)),"",INDEX(Array_ElectricalChargeData,ROW()-16,COLUMN()*2-3))</f>
        <v/>
      </c>
      <c r="H56" t="str" cm="1">
        <f>IF(ISBLANK(INDEX(Array_ElectricalChargeData,ROW()-16,COLUMN()*2-3)),"",INDEX(Array_ElectricalChargeData,ROW()-16,COLUMN()*2-3))</f>
        <v/>
      </c>
      <c r="I56" t="str" cm="1">
        <f>IF(ISBLANK(INDEX(Array_ElectricalChargeData,ROW()-16,COLUMN()*2-3)),"",INDEX(Array_ElectricalChargeData,ROW()-16,COLUMN()*2-3))</f>
        <v/>
      </c>
      <c r="J56" t="str" cm="1">
        <f>IF(ISBLANK(INDEX(Array_ElectricalChargeData,ROW()-16,COLUMN()*2-3)),"",INDEX(Array_ElectricalChargeData,ROW()-16,COLUMN()*2-3))</f>
        <v/>
      </c>
      <c r="K56" t="str" cm="1">
        <f>IF(ISBLANK(INDEX(Array_ElectricalChargeData,ROW()-16,COLUMN()*2-3)),"",INDEX(Array_ElectricalChargeData,ROW()-16,COLUMN()*2-3))</f>
        <v/>
      </c>
      <c r="L56" t="str" cm="1">
        <f>IF(ISBLANK(INDEX(Array_ElectricalChargeData,ROW()-16,COLUMN()*2-3)),"",INDEX(Array_ElectricalChargeData,ROW()-16,COLUMN()*2-3))</f>
        <v/>
      </c>
      <c r="M56" t="str" cm="1">
        <f>IF(ISBLANK(INDEX(Array_ElectricalChargeData,ROW()-16,COLUMN()*2-3)),"",INDEX(Array_ElectricalChargeData,ROW()-16,COLUMN()*2-3))</f>
        <v/>
      </c>
      <c r="N56" t="str" cm="1">
        <f>IF(ISBLANK(INDEX(Array_ElectricalChargeData,ROW()-16,COLUMN()*2-3)),"",INDEX(Array_ElectricalChargeData,ROW()-16,COLUMN()*2-3))</f>
        <v/>
      </c>
      <c r="O56" t="str" cm="1">
        <f>IF(ISBLANK(INDEX(Array_ElectricalChargeData,ROW()-16,COLUMN()*2-3)),"",INDEX(Array_ElectricalChargeData,ROW()-16,COLUMN()*2-3))</f>
        <v/>
      </c>
      <c r="P56" t="str" cm="1">
        <f>IF(ISBLANK(INDEX(Array_ElectricalChargeData,ROW()-16,COLUMN()*2-3)),"",INDEX(Array_ElectricalChargeData,ROW()-16,COLUMN()*2-3))</f>
        <v/>
      </c>
    </row>
    <row r="57" spans="1:16" x14ac:dyDescent="0.35">
      <c r="A57" t="str">
        <f>IF('Electricity Meters'!B43="",A56,'Electricity Meters'!B43)</f>
        <v>Meter Numbers</v>
      </c>
      <c r="B57" t="str" cm="1">
        <f>IF(ISBLANK(INDEX(Array_ElectricalChargeData,ROW()-16,COLUMN()*2-3)),"",INDEX(Array_ElectricalChargeData,ROW()-16,COLUMN()*2-3))</f>
        <v/>
      </c>
      <c r="C57" t="str" cm="1">
        <f>IF(ISBLANK(INDEX(Array_ElectricalChargeData,ROW()-16,COLUMN()*2-3)),"",INDEX(Array_ElectricalChargeData,ROW()-16,COLUMN()*2-3))</f>
        <v/>
      </c>
      <c r="D57" t="str" cm="1">
        <f>IF(ISBLANK(INDEX(Array_ElectricalChargeData,ROW()-16,COLUMN()*2-3)),"",INDEX(Array_ElectricalChargeData,ROW()-16,COLUMN()*2-3))</f>
        <v/>
      </c>
      <c r="E57" t="str" cm="1">
        <f>IF(ISBLANK(INDEX(Array_ElectricalChargeData,ROW()-16,COLUMN()*2-3)),"",INDEX(Array_ElectricalChargeData,ROW()-16,COLUMN()*2-3))</f>
        <v/>
      </c>
      <c r="F57" t="str" cm="1">
        <f>IF(ISBLANK(INDEX(Array_ElectricalChargeData,ROW()-16,COLUMN()*2-3)),"",INDEX(Array_ElectricalChargeData,ROW()-16,COLUMN()*2-3))</f>
        <v/>
      </c>
      <c r="G57" t="str" cm="1">
        <f>IF(ISBLANK(INDEX(Array_ElectricalChargeData,ROW()-16,COLUMN()*2-3)),"",INDEX(Array_ElectricalChargeData,ROW()-16,COLUMN()*2-3))</f>
        <v/>
      </c>
      <c r="H57" t="str" cm="1">
        <f>IF(ISBLANK(INDEX(Array_ElectricalChargeData,ROW()-16,COLUMN()*2-3)),"",INDEX(Array_ElectricalChargeData,ROW()-16,COLUMN()*2-3))</f>
        <v/>
      </c>
      <c r="I57" t="str" cm="1">
        <f>IF(ISBLANK(INDEX(Array_ElectricalChargeData,ROW()-16,COLUMN()*2-3)),"",INDEX(Array_ElectricalChargeData,ROW()-16,COLUMN()*2-3))</f>
        <v/>
      </c>
      <c r="J57" t="str" cm="1">
        <f>IF(ISBLANK(INDEX(Array_ElectricalChargeData,ROW()-16,COLUMN()*2-3)),"",INDEX(Array_ElectricalChargeData,ROW()-16,COLUMN()*2-3))</f>
        <v/>
      </c>
      <c r="K57" t="str" cm="1">
        <f>IF(ISBLANK(INDEX(Array_ElectricalChargeData,ROW()-16,COLUMN()*2-3)),"",INDEX(Array_ElectricalChargeData,ROW()-16,COLUMN()*2-3))</f>
        <v/>
      </c>
      <c r="L57" t="str" cm="1">
        <f>IF(ISBLANK(INDEX(Array_ElectricalChargeData,ROW()-16,COLUMN()*2-3)),"",INDEX(Array_ElectricalChargeData,ROW()-16,COLUMN()*2-3))</f>
        <v/>
      </c>
      <c r="M57" t="str" cm="1">
        <f>IF(ISBLANK(INDEX(Array_ElectricalChargeData,ROW()-16,COLUMN()*2-3)),"",INDEX(Array_ElectricalChargeData,ROW()-16,COLUMN()*2-3))</f>
        <v/>
      </c>
      <c r="N57" t="str" cm="1">
        <f>IF(ISBLANK(INDEX(Array_ElectricalChargeData,ROW()-16,COLUMN()*2-3)),"",INDEX(Array_ElectricalChargeData,ROW()-16,COLUMN()*2-3))</f>
        <v/>
      </c>
      <c r="O57" t="str" cm="1">
        <f>IF(ISBLANK(INDEX(Array_ElectricalChargeData,ROW()-16,COLUMN()*2-3)),"",INDEX(Array_ElectricalChargeData,ROW()-16,COLUMN()*2-3))</f>
        <v/>
      </c>
      <c r="P57" t="str" cm="1">
        <f>IF(ISBLANK(INDEX(Array_ElectricalChargeData,ROW()-16,COLUMN()*2-3)),"",INDEX(Array_ElectricalChargeData,ROW()-16,COLUMN()*2-3))</f>
        <v/>
      </c>
    </row>
    <row r="58" spans="1:16" x14ac:dyDescent="0.35">
      <c r="A58" t="str">
        <f>IF('Electricity Meters'!B44="",A57,'Electricity Meters'!B44)</f>
        <v>Meter Numbers</v>
      </c>
      <c r="B58" t="str" cm="1">
        <f>IF(ISBLANK(INDEX(Array_ElectricalChargeData,ROW()-16,COLUMN()*2-3)),"",INDEX(Array_ElectricalChargeData,ROW()-16,COLUMN()*2-3))</f>
        <v/>
      </c>
      <c r="C58" t="str" cm="1">
        <f>IF(ISBLANK(INDEX(Array_ElectricalChargeData,ROW()-16,COLUMN()*2-3)),"",INDEX(Array_ElectricalChargeData,ROW()-16,COLUMN()*2-3))</f>
        <v/>
      </c>
      <c r="D58" t="str" cm="1">
        <f>IF(ISBLANK(INDEX(Array_ElectricalChargeData,ROW()-16,COLUMN()*2-3)),"",INDEX(Array_ElectricalChargeData,ROW()-16,COLUMN()*2-3))</f>
        <v/>
      </c>
      <c r="E58" t="str" cm="1">
        <f>IF(ISBLANK(INDEX(Array_ElectricalChargeData,ROW()-16,COLUMN()*2-3)),"",INDEX(Array_ElectricalChargeData,ROW()-16,COLUMN()*2-3))</f>
        <v/>
      </c>
      <c r="F58" t="str" cm="1">
        <f>IF(ISBLANK(INDEX(Array_ElectricalChargeData,ROW()-16,COLUMN()*2-3)),"",INDEX(Array_ElectricalChargeData,ROW()-16,COLUMN()*2-3))</f>
        <v/>
      </c>
      <c r="G58" t="str" cm="1">
        <f>IF(ISBLANK(INDEX(Array_ElectricalChargeData,ROW()-16,COLUMN()*2-3)),"",INDEX(Array_ElectricalChargeData,ROW()-16,COLUMN()*2-3))</f>
        <v/>
      </c>
      <c r="H58" t="str" cm="1">
        <f>IF(ISBLANK(INDEX(Array_ElectricalChargeData,ROW()-16,COLUMN()*2-3)),"",INDEX(Array_ElectricalChargeData,ROW()-16,COLUMN()*2-3))</f>
        <v/>
      </c>
      <c r="I58" t="str" cm="1">
        <f>IF(ISBLANK(INDEX(Array_ElectricalChargeData,ROW()-16,COLUMN()*2-3)),"",INDEX(Array_ElectricalChargeData,ROW()-16,COLUMN()*2-3))</f>
        <v/>
      </c>
      <c r="J58" t="str" cm="1">
        <f>IF(ISBLANK(INDEX(Array_ElectricalChargeData,ROW()-16,COLUMN()*2-3)),"",INDEX(Array_ElectricalChargeData,ROW()-16,COLUMN()*2-3))</f>
        <v/>
      </c>
      <c r="K58" t="str" cm="1">
        <f>IF(ISBLANK(INDEX(Array_ElectricalChargeData,ROW()-16,COLUMN()*2-3)),"",INDEX(Array_ElectricalChargeData,ROW()-16,COLUMN()*2-3))</f>
        <v/>
      </c>
      <c r="L58" t="str" cm="1">
        <f>IF(ISBLANK(INDEX(Array_ElectricalChargeData,ROW()-16,COLUMN()*2-3)),"",INDEX(Array_ElectricalChargeData,ROW()-16,COLUMN()*2-3))</f>
        <v/>
      </c>
      <c r="M58" t="str" cm="1">
        <f>IF(ISBLANK(INDEX(Array_ElectricalChargeData,ROW()-16,COLUMN()*2-3)),"",INDEX(Array_ElectricalChargeData,ROW()-16,COLUMN()*2-3))</f>
        <v/>
      </c>
      <c r="N58" t="str" cm="1">
        <f>IF(ISBLANK(INDEX(Array_ElectricalChargeData,ROW()-16,COLUMN()*2-3)),"",INDEX(Array_ElectricalChargeData,ROW()-16,COLUMN()*2-3))</f>
        <v/>
      </c>
      <c r="O58" t="str" cm="1">
        <f>IF(ISBLANK(INDEX(Array_ElectricalChargeData,ROW()-16,COLUMN()*2-3)),"",INDEX(Array_ElectricalChargeData,ROW()-16,COLUMN()*2-3))</f>
        <v/>
      </c>
      <c r="P58" t="str" cm="1">
        <f>IF(ISBLANK(INDEX(Array_ElectricalChargeData,ROW()-16,COLUMN()*2-3)),"",INDEX(Array_ElectricalChargeData,ROW()-16,COLUMN()*2-3))</f>
        <v/>
      </c>
    </row>
    <row r="59" spans="1:16" x14ac:dyDescent="0.35">
      <c r="A59" t="str">
        <f>IF('Electricity Meters'!B45="",A58,'Electricity Meters'!B45)</f>
        <v>Meter Numbers</v>
      </c>
      <c r="B59" t="str" cm="1">
        <f>IF(ISBLANK(INDEX(Array_ElectricalChargeData,ROW()-16,COLUMN()*2-3)),"",INDEX(Array_ElectricalChargeData,ROW()-16,COLUMN()*2-3))</f>
        <v/>
      </c>
      <c r="C59" t="str" cm="1">
        <f>IF(ISBLANK(INDEX(Array_ElectricalChargeData,ROW()-16,COLUMN()*2-3)),"",INDEX(Array_ElectricalChargeData,ROW()-16,COLUMN()*2-3))</f>
        <v/>
      </c>
      <c r="D59" t="str" cm="1">
        <f>IF(ISBLANK(INDEX(Array_ElectricalChargeData,ROW()-16,COLUMN()*2-3)),"",INDEX(Array_ElectricalChargeData,ROW()-16,COLUMN()*2-3))</f>
        <v/>
      </c>
      <c r="E59" t="str" cm="1">
        <f>IF(ISBLANK(INDEX(Array_ElectricalChargeData,ROW()-16,COLUMN()*2-3)),"",INDEX(Array_ElectricalChargeData,ROW()-16,COLUMN()*2-3))</f>
        <v/>
      </c>
      <c r="F59" t="str" cm="1">
        <f>IF(ISBLANK(INDEX(Array_ElectricalChargeData,ROW()-16,COLUMN()*2-3)),"",INDEX(Array_ElectricalChargeData,ROW()-16,COLUMN()*2-3))</f>
        <v/>
      </c>
      <c r="G59" t="str" cm="1">
        <f>IF(ISBLANK(INDEX(Array_ElectricalChargeData,ROW()-16,COLUMN()*2-3)),"",INDEX(Array_ElectricalChargeData,ROW()-16,COLUMN()*2-3))</f>
        <v/>
      </c>
      <c r="H59" t="str" cm="1">
        <f>IF(ISBLANK(INDEX(Array_ElectricalChargeData,ROW()-16,COLUMN()*2-3)),"",INDEX(Array_ElectricalChargeData,ROW()-16,COLUMN()*2-3))</f>
        <v/>
      </c>
      <c r="I59" t="str" cm="1">
        <f>IF(ISBLANK(INDEX(Array_ElectricalChargeData,ROW()-16,COLUMN()*2-3)),"",INDEX(Array_ElectricalChargeData,ROW()-16,COLUMN()*2-3))</f>
        <v/>
      </c>
      <c r="J59" t="str" cm="1">
        <f>IF(ISBLANK(INDEX(Array_ElectricalChargeData,ROW()-16,COLUMN()*2-3)),"",INDEX(Array_ElectricalChargeData,ROW()-16,COLUMN()*2-3))</f>
        <v/>
      </c>
      <c r="K59" t="str" cm="1">
        <f>IF(ISBLANK(INDEX(Array_ElectricalChargeData,ROW()-16,COLUMN()*2-3)),"",INDEX(Array_ElectricalChargeData,ROW()-16,COLUMN()*2-3))</f>
        <v/>
      </c>
      <c r="L59" t="str" cm="1">
        <f>IF(ISBLANK(INDEX(Array_ElectricalChargeData,ROW()-16,COLUMN()*2-3)),"",INDEX(Array_ElectricalChargeData,ROW()-16,COLUMN()*2-3))</f>
        <v/>
      </c>
      <c r="M59" t="str" cm="1">
        <f>IF(ISBLANK(INDEX(Array_ElectricalChargeData,ROW()-16,COLUMN()*2-3)),"",INDEX(Array_ElectricalChargeData,ROW()-16,COLUMN()*2-3))</f>
        <v/>
      </c>
      <c r="N59" t="str" cm="1">
        <f>IF(ISBLANK(INDEX(Array_ElectricalChargeData,ROW()-16,COLUMN()*2-3)),"",INDEX(Array_ElectricalChargeData,ROW()-16,COLUMN()*2-3))</f>
        <v/>
      </c>
      <c r="O59" t="str" cm="1">
        <f>IF(ISBLANK(INDEX(Array_ElectricalChargeData,ROW()-16,COLUMN()*2-3)),"",INDEX(Array_ElectricalChargeData,ROW()-16,COLUMN()*2-3))</f>
        <v/>
      </c>
      <c r="P59" t="str" cm="1">
        <f>IF(ISBLANK(INDEX(Array_ElectricalChargeData,ROW()-16,COLUMN()*2-3)),"",INDEX(Array_ElectricalChargeData,ROW()-16,COLUMN()*2-3))</f>
        <v/>
      </c>
    </row>
    <row r="60" spans="1:16" x14ac:dyDescent="0.35">
      <c r="A60" t="str">
        <f>IF('Electricity Meters'!B46="",A59,'Electricity Meters'!B46)</f>
        <v>Meter Numbers</v>
      </c>
      <c r="B60" t="str" cm="1">
        <f>IF(ISBLANK(INDEX(Array_ElectricalChargeData,ROW()-16,COLUMN()*2-3)),"",INDEX(Array_ElectricalChargeData,ROW()-16,COLUMN()*2-3))</f>
        <v/>
      </c>
      <c r="C60" t="str" cm="1">
        <f>IF(ISBLANK(INDEX(Array_ElectricalChargeData,ROW()-16,COLUMN()*2-3)),"",INDEX(Array_ElectricalChargeData,ROW()-16,COLUMN()*2-3))</f>
        <v/>
      </c>
      <c r="D60" t="str" cm="1">
        <f>IF(ISBLANK(INDEX(Array_ElectricalChargeData,ROW()-16,COLUMN()*2-3)),"",INDEX(Array_ElectricalChargeData,ROW()-16,COLUMN()*2-3))</f>
        <v/>
      </c>
      <c r="E60" t="str" cm="1">
        <f>IF(ISBLANK(INDEX(Array_ElectricalChargeData,ROW()-16,COLUMN()*2-3)),"",INDEX(Array_ElectricalChargeData,ROW()-16,COLUMN()*2-3))</f>
        <v/>
      </c>
      <c r="F60" t="str" cm="1">
        <f>IF(ISBLANK(INDEX(Array_ElectricalChargeData,ROW()-16,COLUMN()*2-3)),"",INDEX(Array_ElectricalChargeData,ROW()-16,COLUMN()*2-3))</f>
        <v/>
      </c>
      <c r="G60" t="str" cm="1">
        <f>IF(ISBLANK(INDEX(Array_ElectricalChargeData,ROW()-16,COLUMN()*2-3)),"",INDEX(Array_ElectricalChargeData,ROW()-16,COLUMN()*2-3))</f>
        <v/>
      </c>
      <c r="H60" t="str" cm="1">
        <f>IF(ISBLANK(INDEX(Array_ElectricalChargeData,ROW()-16,COLUMN()*2-3)),"",INDEX(Array_ElectricalChargeData,ROW()-16,COLUMN()*2-3))</f>
        <v/>
      </c>
      <c r="I60" t="str" cm="1">
        <f>IF(ISBLANK(INDEX(Array_ElectricalChargeData,ROW()-16,COLUMN()*2-3)),"",INDEX(Array_ElectricalChargeData,ROW()-16,COLUMN()*2-3))</f>
        <v/>
      </c>
      <c r="J60" t="str" cm="1">
        <f>IF(ISBLANK(INDEX(Array_ElectricalChargeData,ROW()-16,COLUMN()*2-3)),"",INDEX(Array_ElectricalChargeData,ROW()-16,COLUMN()*2-3))</f>
        <v/>
      </c>
      <c r="K60" t="str" cm="1">
        <f>IF(ISBLANK(INDEX(Array_ElectricalChargeData,ROW()-16,COLUMN()*2-3)),"",INDEX(Array_ElectricalChargeData,ROW()-16,COLUMN()*2-3))</f>
        <v/>
      </c>
      <c r="L60" t="str" cm="1">
        <f>IF(ISBLANK(INDEX(Array_ElectricalChargeData,ROW()-16,COLUMN()*2-3)),"",INDEX(Array_ElectricalChargeData,ROW()-16,COLUMN()*2-3))</f>
        <v/>
      </c>
      <c r="M60" t="str" cm="1">
        <f>IF(ISBLANK(INDEX(Array_ElectricalChargeData,ROW()-16,COLUMN()*2-3)),"",INDEX(Array_ElectricalChargeData,ROW()-16,COLUMN()*2-3))</f>
        <v/>
      </c>
      <c r="N60" t="str" cm="1">
        <f>IF(ISBLANK(INDEX(Array_ElectricalChargeData,ROW()-16,COLUMN()*2-3)),"",INDEX(Array_ElectricalChargeData,ROW()-16,COLUMN()*2-3))</f>
        <v/>
      </c>
      <c r="O60" t="str" cm="1">
        <f>IF(ISBLANK(INDEX(Array_ElectricalChargeData,ROW()-16,COLUMN()*2-3)),"",INDEX(Array_ElectricalChargeData,ROW()-16,COLUMN()*2-3))</f>
        <v/>
      </c>
      <c r="P60" t="str" cm="1">
        <f>IF(ISBLANK(INDEX(Array_ElectricalChargeData,ROW()-16,COLUMN()*2-3)),"",INDEX(Array_ElectricalChargeData,ROW()-16,COLUMN()*2-3))</f>
        <v/>
      </c>
    </row>
    <row r="61" spans="1:16" x14ac:dyDescent="0.35">
      <c r="A61" t="str">
        <f>IF('Electricity Meters'!B47="",A60,'Electricity Meters'!B47)</f>
        <v>Meter Numbers</v>
      </c>
      <c r="B61" t="str" cm="1">
        <f>IF(ISBLANK(INDEX(Array_ElectricalChargeData,ROW()-16,COLUMN()*2-3)),"",INDEX(Array_ElectricalChargeData,ROW()-16,COLUMN()*2-3))</f>
        <v/>
      </c>
      <c r="C61" t="str" cm="1">
        <f>IF(ISBLANK(INDEX(Array_ElectricalChargeData,ROW()-16,COLUMN()*2-3)),"",INDEX(Array_ElectricalChargeData,ROW()-16,COLUMN()*2-3))</f>
        <v/>
      </c>
      <c r="D61" t="str" cm="1">
        <f>IF(ISBLANK(INDEX(Array_ElectricalChargeData,ROW()-16,COLUMN()*2-3)),"",INDEX(Array_ElectricalChargeData,ROW()-16,COLUMN()*2-3))</f>
        <v/>
      </c>
      <c r="E61" t="str" cm="1">
        <f>IF(ISBLANK(INDEX(Array_ElectricalChargeData,ROW()-16,COLUMN()*2-3)),"",INDEX(Array_ElectricalChargeData,ROW()-16,COLUMN()*2-3))</f>
        <v/>
      </c>
      <c r="F61" t="str" cm="1">
        <f>IF(ISBLANK(INDEX(Array_ElectricalChargeData,ROW()-16,COLUMN()*2-3)),"",INDEX(Array_ElectricalChargeData,ROW()-16,COLUMN()*2-3))</f>
        <v/>
      </c>
      <c r="G61" t="str" cm="1">
        <f>IF(ISBLANK(INDEX(Array_ElectricalChargeData,ROW()-16,COLUMN()*2-3)),"",INDEX(Array_ElectricalChargeData,ROW()-16,COLUMN()*2-3))</f>
        <v/>
      </c>
      <c r="H61" t="str" cm="1">
        <f>IF(ISBLANK(INDEX(Array_ElectricalChargeData,ROW()-16,COLUMN()*2-3)),"",INDEX(Array_ElectricalChargeData,ROW()-16,COLUMN()*2-3))</f>
        <v/>
      </c>
      <c r="I61" t="str" cm="1">
        <f>IF(ISBLANK(INDEX(Array_ElectricalChargeData,ROW()-16,COLUMN()*2-3)),"",INDEX(Array_ElectricalChargeData,ROW()-16,COLUMN()*2-3))</f>
        <v/>
      </c>
      <c r="J61" t="str" cm="1">
        <f>IF(ISBLANK(INDEX(Array_ElectricalChargeData,ROW()-16,COLUMN()*2-3)),"",INDEX(Array_ElectricalChargeData,ROW()-16,COLUMN()*2-3))</f>
        <v/>
      </c>
      <c r="K61" t="str" cm="1">
        <f>IF(ISBLANK(INDEX(Array_ElectricalChargeData,ROW()-16,COLUMN()*2-3)),"",INDEX(Array_ElectricalChargeData,ROW()-16,COLUMN()*2-3))</f>
        <v/>
      </c>
      <c r="L61" t="str" cm="1">
        <f>IF(ISBLANK(INDEX(Array_ElectricalChargeData,ROW()-16,COLUMN()*2-3)),"",INDEX(Array_ElectricalChargeData,ROW()-16,COLUMN()*2-3))</f>
        <v/>
      </c>
      <c r="M61" t="str" cm="1">
        <f>IF(ISBLANK(INDEX(Array_ElectricalChargeData,ROW()-16,COLUMN()*2-3)),"",INDEX(Array_ElectricalChargeData,ROW()-16,COLUMN()*2-3))</f>
        <v/>
      </c>
      <c r="N61" t="str" cm="1">
        <f>IF(ISBLANK(INDEX(Array_ElectricalChargeData,ROW()-16,COLUMN()*2-3)),"",INDEX(Array_ElectricalChargeData,ROW()-16,COLUMN()*2-3))</f>
        <v/>
      </c>
      <c r="O61" t="str" cm="1">
        <f>IF(ISBLANK(INDEX(Array_ElectricalChargeData,ROW()-16,COLUMN()*2-3)),"",INDEX(Array_ElectricalChargeData,ROW()-16,COLUMN()*2-3))</f>
        <v/>
      </c>
      <c r="P61" t="str" cm="1">
        <f>IF(ISBLANK(INDEX(Array_ElectricalChargeData,ROW()-16,COLUMN()*2-3)),"",INDEX(Array_ElectricalChargeData,ROW()-16,COLUMN()*2-3))</f>
        <v/>
      </c>
    </row>
    <row r="62" spans="1:16" x14ac:dyDescent="0.35">
      <c r="A62" t="str">
        <f>IF('Electricity Meters'!B48="",A61,'Electricity Meters'!B48)</f>
        <v>Meter Numbers</v>
      </c>
      <c r="B62" t="str" cm="1">
        <f>IF(ISBLANK(INDEX(Array_ElectricalChargeData,ROW()-16,COLUMN()*2-3)),"",INDEX(Array_ElectricalChargeData,ROW()-16,COLUMN()*2-3))</f>
        <v/>
      </c>
      <c r="C62" t="str" cm="1">
        <f>IF(ISBLANK(INDEX(Array_ElectricalChargeData,ROW()-16,COLUMN()*2-3)),"",INDEX(Array_ElectricalChargeData,ROW()-16,COLUMN()*2-3))</f>
        <v/>
      </c>
      <c r="D62" t="str" cm="1">
        <f>IF(ISBLANK(INDEX(Array_ElectricalChargeData,ROW()-16,COLUMN()*2-3)),"",INDEX(Array_ElectricalChargeData,ROW()-16,COLUMN()*2-3))</f>
        <v/>
      </c>
      <c r="E62" t="str" cm="1">
        <f>IF(ISBLANK(INDEX(Array_ElectricalChargeData,ROW()-16,COLUMN()*2-3)),"",INDEX(Array_ElectricalChargeData,ROW()-16,COLUMN()*2-3))</f>
        <v/>
      </c>
      <c r="F62" t="str" cm="1">
        <f>IF(ISBLANK(INDEX(Array_ElectricalChargeData,ROW()-16,COLUMN()*2-3)),"",INDEX(Array_ElectricalChargeData,ROW()-16,COLUMN()*2-3))</f>
        <v/>
      </c>
      <c r="G62" t="str" cm="1">
        <f>IF(ISBLANK(INDEX(Array_ElectricalChargeData,ROW()-16,COLUMN()*2-3)),"",INDEX(Array_ElectricalChargeData,ROW()-16,COLUMN()*2-3))</f>
        <v/>
      </c>
      <c r="H62" t="str" cm="1">
        <f>IF(ISBLANK(INDEX(Array_ElectricalChargeData,ROW()-16,COLUMN()*2-3)),"",INDEX(Array_ElectricalChargeData,ROW()-16,COLUMN()*2-3))</f>
        <v/>
      </c>
      <c r="I62" t="str" cm="1">
        <f>IF(ISBLANK(INDEX(Array_ElectricalChargeData,ROW()-16,COLUMN()*2-3)),"",INDEX(Array_ElectricalChargeData,ROW()-16,COLUMN()*2-3))</f>
        <v/>
      </c>
      <c r="J62" t="str" cm="1">
        <f>IF(ISBLANK(INDEX(Array_ElectricalChargeData,ROW()-16,COLUMN()*2-3)),"",INDEX(Array_ElectricalChargeData,ROW()-16,COLUMN()*2-3))</f>
        <v/>
      </c>
      <c r="K62" t="str" cm="1">
        <f>IF(ISBLANK(INDEX(Array_ElectricalChargeData,ROW()-16,COLUMN()*2-3)),"",INDEX(Array_ElectricalChargeData,ROW()-16,COLUMN()*2-3))</f>
        <v/>
      </c>
      <c r="L62" t="str" cm="1">
        <f>IF(ISBLANK(INDEX(Array_ElectricalChargeData,ROW()-16,COLUMN()*2-3)),"",INDEX(Array_ElectricalChargeData,ROW()-16,COLUMN()*2-3))</f>
        <v/>
      </c>
      <c r="M62" t="str" cm="1">
        <f>IF(ISBLANK(INDEX(Array_ElectricalChargeData,ROW()-16,COLUMN()*2-3)),"",INDEX(Array_ElectricalChargeData,ROW()-16,COLUMN()*2-3))</f>
        <v/>
      </c>
      <c r="N62" t="str" cm="1">
        <f>IF(ISBLANK(INDEX(Array_ElectricalChargeData,ROW()-16,COLUMN()*2-3)),"",INDEX(Array_ElectricalChargeData,ROW()-16,COLUMN()*2-3))</f>
        <v/>
      </c>
      <c r="O62" t="str" cm="1">
        <f>IF(ISBLANK(INDEX(Array_ElectricalChargeData,ROW()-16,COLUMN()*2-3)),"",INDEX(Array_ElectricalChargeData,ROW()-16,COLUMN()*2-3))</f>
        <v/>
      </c>
      <c r="P62" t="str" cm="1">
        <f>IF(ISBLANK(INDEX(Array_ElectricalChargeData,ROW()-16,COLUMN()*2-3)),"",INDEX(Array_ElectricalChargeData,ROW()-16,COLUMN()*2-3))</f>
        <v/>
      </c>
    </row>
    <row r="63" spans="1:16" x14ac:dyDescent="0.35">
      <c r="A63" t="str">
        <f>IF('Electricity Meters'!B49="",A62,'Electricity Meters'!B49)</f>
        <v>Meter Numbers</v>
      </c>
      <c r="B63" t="str" cm="1">
        <f>IF(ISBLANK(INDEX(Array_ElectricalChargeData,ROW()-16,COLUMN()*2-3)),"",INDEX(Array_ElectricalChargeData,ROW()-16,COLUMN()*2-3))</f>
        <v/>
      </c>
      <c r="C63" t="str" cm="1">
        <f>IF(ISBLANK(INDEX(Array_ElectricalChargeData,ROW()-16,COLUMN()*2-3)),"",INDEX(Array_ElectricalChargeData,ROW()-16,COLUMN()*2-3))</f>
        <v/>
      </c>
      <c r="D63" t="str" cm="1">
        <f>IF(ISBLANK(INDEX(Array_ElectricalChargeData,ROW()-16,COLUMN()*2-3)),"",INDEX(Array_ElectricalChargeData,ROW()-16,COLUMN()*2-3))</f>
        <v/>
      </c>
      <c r="E63" t="str" cm="1">
        <f>IF(ISBLANK(INDEX(Array_ElectricalChargeData,ROW()-16,COLUMN()*2-3)),"",INDEX(Array_ElectricalChargeData,ROW()-16,COLUMN()*2-3))</f>
        <v/>
      </c>
      <c r="F63" t="str" cm="1">
        <f>IF(ISBLANK(INDEX(Array_ElectricalChargeData,ROW()-16,COLUMN()*2-3)),"",INDEX(Array_ElectricalChargeData,ROW()-16,COLUMN()*2-3))</f>
        <v/>
      </c>
      <c r="G63" t="str" cm="1">
        <f>IF(ISBLANK(INDEX(Array_ElectricalChargeData,ROW()-16,COLUMN()*2-3)),"",INDEX(Array_ElectricalChargeData,ROW()-16,COLUMN()*2-3))</f>
        <v/>
      </c>
      <c r="H63" t="str" cm="1">
        <f>IF(ISBLANK(INDEX(Array_ElectricalChargeData,ROW()-16,COLUMN()*2-3)),"",INDEX(Array_ElectricalChargeData,ROW()-16,COLUMN()*2-3))</f>
        <v/>
      </c>
      <c r="I63" t="str" cm="1">
        <f>IF(ISBLANK(INDEX(Array_ElectricalChargeData,ROW()-16,COLUMN()*2-3)),"",INDEX(Array_ElectricalChargeData,ROW()-16,COLUMN()*2-3))</f>
        <v/>
      </c>
      <c r="J63" t="str" cm="1">
        <f>IF(ISBLANK(INDEX(Array_ElectricalChargeData,ROW()-16,COLUMN()*2-3)),"",INDEX(Array_ElectricalChargeData,ROW()-16,COLUMN()*2-3))</f>
        <v/>
      </c>
      <c r="K63" t="str" cm="1">
        <f>IF(ISBLANK(INDEX(Array_ElectricalChargeData,ROW()-16,COLUMN()*2-3)),"",INDEX(Array_ElectricalChargeData,ROW()-16,COLUMN()*2-3))</f>
        <v/>
      </c>
      <c r="L63" t="str" cm="1">
        <f>IF(ISBLANK(INDEX(Array_ElectricalChargeData,ROW()-16,COLUMN()*2-3)),"",INDEX(Array_ElectricalChargeData,ROW()-16,COLUMN()*2-3))</f>
        <v/>
      </c>
      <c r="M63" t="str" cm="1">
        <f>IF(ISBLANK(INDEX(Array_ElectricalChargeData,ROW()-16,COLUMN()*2-3)),"",INDEX(Array_ElectricalChargeData,ROW()-16,COLUMN()*2-3))</f>
        <v/>
      </c>
      <c r="N63" t="str" cm="1">
        <f>IF(ISBLANK(INDEX(Array_ElectricalChargeData,ROW()-16,COLUMN()*2-3)),"",INDEX(Array_ElectricalChargeData,ROW()-16,COLUMN()*2-3))</f>
        <v/>
      </c>
      <c r="O63" t="str" cm="1">
        <f>IF(ISBLANK(INDEX(Array_ElectricalChargeData,ROW()-16,COLUMN()*2-3)),"",INDEX(Array_ElectricalChargeData,ROW()-16,COLUMN()*2-3))</f>
        <v/>
      </c>
      <c r="P63" t="str" cm="1">
        <f>IF(ISBLANK(INDEX(Array_ElectricalChargeData,ROW()-16,COLUMN()*2-3)),"",INDEX(Array_ElectricalChargeData,ROW()-16,COLUMN()*2-3))</f>
        <v/>
      </c>
    </row>
    <row r="64" spans="1:16" x14ac:dyDescent="0.35">
      <c r="A64" t="str">
        <f>IF('Electricity Meters'!B50="",A63,'Electricity Meters'!B50)</f>
        <v>Meter Numbers</v>
      </c>
      <c r="B64" t="str" cm="1">
        <f>IF(ISBLANK(INDEX(Array_ElectricalChargeData,ROW()-16,COLUMN()*2-3)),"",INDEX(Array_ElectricalChargeData,ROW()-16,COLUMN()*2-3))</f>
        <v/>
      </c>
      <c r="C64" t="str" cm="1">
        <f>IF(ISBLANK(INDEX(Array_ElectricalChargeData,ROW()-16,COLUMN()*2-3)),"",INDEX(Array_ElectricalChargeData,ROW()-16,COLUMN()*2-3))</f>
        <v/>
      </c>
      <c r="D64" t="str" cm="1">
        <f>IF(ISBLANK(INDEX(Array_ElectricalChargeData,ROW()-16,COLUMN()*2-3)),"",INDEX(Array_ElectricalChargeData,ROW()-16,COLUMN()*2-3))</f>
        <v/>
      </c>
      <c r="E64" t="str" cm="1">
        <f>IF(ISBLANK(INDEX(Array_ElectricalChargeData,ROW()-16,COLUMN()*2-3)),"",INDEX(Array_ElectricalChargeData,ROW()-16,COLUMN()*2-3))</f>
        <v/>
      </c>
      <c r="F64" t="str" cm="1">
        <f>IF(ISBLANK(INDEX(Array_ElectricalChargeData,ROW()-16,COLUMN()*2-3)),"",INDEX(Array_ElectricalChargeData,ROW()-16,COLUMN()*2-3))</f>
        <v/>
      </c>
      <c r="G64" t="str" cm="1">
        <f>IF(ISBLANK(INDEX(Array_ElectricalChargeData,ROW()-16,COLUMN()*2-3)),"",INDEX(Array_ElectricalChargeData,ROW()-16,COLUMN()*2-3))</f>
        <v/>
      </c>
      <c r="H64" t="str" cm="1">
        <f>IF(ISBLANK(INDEX(Array_ElectricalChargeData,ROW()-16,COLUMN()*2-3)),"",INDEX(Array_ElectricalChargeData,ROW()-16,COLUMN()*2-3))</f>
        <v/>
      </c>
      <c r="I64" t="str" cm="1">
        <f>IF(ISBLANK(INDEX(Array_ElectricalChargeData,ROW()-16,COLUMN()*2-3)),"",INDEX(Array_ElectricalChargeData,ROW()-16,COLUMN()*2-3))</f>
        <v/>
      </c>
      <c r="J64" t="str" cm="1">
        <f>IF(ISBLANK(INDEX(Array_ElectricalChargeData,ROW()-16,COLUMN()*2-3)),"",INDEX(Array_ElectricalChargeData,ROW()-16,COLUMN()*2-3))</f>
        <v/>
      </c>
      <c r="K64" t="str" cm="1">
        <f>IF(ISBLANK(INDEX(Array_ElectricalChargeData,ROW()-16,COLUMN()*2-3)),"",INDEX(Array_ElectricalChargeData,ROW()-16,COLUMN()*2-3))</f>
        <v/>
      </c>
      <c r="L64" t="str" cm="1">
        <f>IF(ISBLANK(INDEX(Array_ElectricalChargeData,ROW()-16,COLUMN()*2-3)),"",INDEX(Array_ElectricalChargeData,ROW()-16,COLUMN()*2-3))</f>
        <v/>
      </c>
      <c r="M64" t="str" cm="1">
        <f>IF(ISBLANK(INDEX(Array_ElectricalChargeData,ROW()-16,COLUMN()*2-3)),"",INDEX(Array_ElectricalChargeData,ROW()-16,COLUMN()*2-3))</f>
        <v/>
      </c>
      <c r="N64" t="str" cm="1">
        <f>IF(ISBLANK(INDEX(Array_ElectricalChargeData,ROW()-16,COLUMN()*2-3)),"",INDEX(Array_ElectricalChargeData,ROW()-16,COLUMN()*2-3))</f>
        <v/>
      </c>
      <c r="O64" t="str" cm="1">
        <f>IF(ISBLANK(INDEX(Array_ElectricalChargeData,ROW()-16,COLUMN()*2-3)),"",INDEX(Array_ElectricalChargeData,ROW()-16,COLUMN()*2-3))</f>
        <v/>
      </c>
      <c r="P64" t="str" cm="1">
        <f>IF(ISBLANK(INDEX(Array_ElectricalChargeData,ROW()-16,COLUMN()*2-3)),"",INDEX(Array_ElectricalChargeData,ROW()-16,COLUMN()*2-3))</f>
        <v/>
      </c>
    </row>
    <row r="65" spans="1:16" x14ac:dyDescent="0.35">
      <c r="A65" t="str">
        <f>IF('Electricity Meters'!B51="",A64,'Electricity Meters'!B51)</f>
        <v>Meter Numbers</v>
      </c>
      <c r="B65" t="str" cm="1">
        <f>IF(ISBLANK(INDEX(Array_ElectricalChargeData,ROW()-16,COLUMN()*2-3)),"",INDEX(Array_ElectricalChargeData,ROW()-16,COLUMN()*2-3))</f>
        <v/>
      </c>
      <c r="C65" t="str" cm="1">
        <f>IF(ISBLANK(INDEX(Array_ElectricalChargeData,ROW()-16,COLUMN()*2-3)),"",INDEX(Array_ElectricalChargeData,ROW()-16,COLUMN()*2-3))</f>
        <v/>
      </c>
      <c r="D65" t="str" cm="1">
        <f>IF(ISBLANK(INDEX(Array_ElectricalChargeData,ROW()-16,COLUMN()*2-3)),"",INDEX(Array_ElectricalChargeData,ROW()-16,COLUMN()*2-3))</f>
        <v/>
      </c>
      <c r="E65" t="str" cm="1">
        <f>IF(ISBLANK(INDEX(Array_ElectricalChargeData,ROW()-16,COLUMN()*2-3)),"",INDEX(Array_ElectricalChargeData,ROW()-16,COLUMN()*2-3))</f>
        <v/>
      </c>
      <c r="F65" t="str" cm="1">
        <f>IF(ISBLANK(INDEX(Array_ElectricalChargeData,ROW()-16,COLUMN()*2-3)),"",INDEX(Array_ElectricalChargeData,ROW()-16,COLUMN()*2-3))</f>
        <v/>
      </c>
      <c r="G65" t="str" cm="1">
        <f>IF(ISBLANK(INDEX(Array_ElectricalChargeData,ROW()-16,COLUMN()*2-3)),"",INDEX(Array_ElectricalChargeData,ROW()-16,COLUMN()*2-3))</f>
        <v/>
      </c>
      <c r="H65" t="str" cm="1">
        <f>IF(ISBLANK(INDEX(Array_ElectricalChargeData,ROW()-16,COLUMN()*2-3)),"",INDEX(Array_ElectricalChargeData,ROW()-16,COLUMN()*2-3))</f>
        <v/>
      </c>
      <c r="I65" t="str" cm="1">
        <f>IF(ISBLANK(INDEX(Array_ElectricalChargeData,ROW()-16,COLUMN()*2-3)),"",INDEX(Array_ElectricalChargeData,ROW()-16,COLUMN()*2-3))</f>
        <v/>
      </c>
      <c r="J65" t="str" cm="1">
        <f>IF(ISBLANK(INDEX(Array_ElectricalChargeData,ROW()-16,COLUMN()*2-3)),"",INDEX(Array_ElectricalChargeData,ROW()-16,COLUMN()*2-3))</f>
        <v/>
      </c>
      <c r="K65" t="str" cm="1">
        <f>IF(ISBLANK(INDEX(Array_ElectricalChargeData,ROW()-16,COLUMN()*2-3)),"",INDEX(Array_ElectricalChargeData,ROW()-16,COLUMN()*2-3))</f>
        <v/>
      </c>
      <c r="L65" t="str" cm="1">
        <f>IF(ISBLANK(INDEX(Array_ElectricalChargeData,ROW()-16,COLUMN()*2-3)),"",INDEX(Array_ElectricalChargeData,ROW()-16,COLUMN()*2-3))</f>
        <v/>
      </c>
      <c r="M65" t="str" cm="1">
        <f>IF(ISBLANK(INDEX(Array_ElectricalChargeData,ROW()-16,COLUMN()*2-3)),"",INDEX(Array_ElectricalChargeData,ROW()-16,COLUMN()*2-3))</f>
        <v/>
      </c>
      <c r="N65" t="str" cm="1">
        <f>IF(ISBLANK(INDEX(Array_ElectricalChargeData,ROW()-16,COLUMN()*2-3)),"",INDEX(Array_ElectricalChargeData,ROW()-16,COLUMN()*2-3))</f>
        <v/>
      </c>
      <c r="O65" t="str" cm="1">
        <f>IF(ISBLANK(INDEX(Array_ElectricalChargeData,ROW()-16,COLUMN()*2-3)),"",INDEX(Array_ElectricalChargeData,ROW()-16,COLUMN()*2-3))</f>
        <v/>
      </c>
      <c r="P65" t="str" cm="1">
        <f>IF(ISBLANK(INDEX(Array_ElectricalChargeData,ROW()-16,COLUMN()*2-3)),"",INDEX(Array_ElectricalChargeData,ROW()-16,COLUMN()*2-3))</f>
        <v/>
      </c>
    </row>
    <row r="66" spans="1:16" x14ac:dyDescent="0.35">
      <c r="A66" t="str">
        <f>IF('Electricity Meters'!B52="",A65,'Electricity Meters'!B52)</f>
        <v>Meter Numbers</v>
      </c>
      <c r="B66" t="str" cm="1">
        <f>IF(ISBLANK(INDEX(Array_ElectricalChargeData,ROW()-16,COLUMN()*2-3)),"",INDEX(Array_ElectricalChargeData,ROW()-16,COLUMN()*2-3))</f>
        <v/>
      </c>
      <c r="C66" t="str" cm="1">
        <f>IF(ISBLANK(INDEX(Array_ElectricalChargeData,ROW()-16,COLUMN()*2-3)),"",INDEX(Array_ElectricalChargeData,ROW()-16,COLUMN()*2-3))</f>
        <v/>
      </c>
      <c r="D66" t="str" cm="1">
        <f>IF(ISBLANK(INDEX(Array_ElectricalChargeData,ROW()-16,COLUMN()*2-3)),"",INDEX(Array_ElectricalChargeData,ROW()-16,COLUMN()*2-3))</f>
        <v/>
      </c>
      <c r="E66" t="str" cm="1">
        <f>IF(ISBLANK(INDEX(Array_ElectricalChargeData,ROW()-16,COLUMN()*2-3)),"",INDEX(Array_ElectricalChargeData,ROW()-16,COLUMN()*2-3))</f>
        <v/>
      </c>
      <c r="F66" t="str" cm="1">
        <f>IF(ISBLANK(INDEX(Array_ElectricalChargeData,ROW()-16,COLUMN()*2-3)),"",INDEX(Array_ElectricalChargeData,ROW()-16,COLUMN()*2-3))</f>
        <v/>
      </c>
      <c r="G66" t="str" cm="1">
        <f>IF(ISBLANK(INDEX(Array_ElectricalChargeData,ROW()-16,COLUMN()*2-3)),"",INDEX(Array_ElectricalChargeData,ROW()-16,COLUMN()*2-3))</f>
        <v/>
      </c>
      <c r="H66" t="str" cm="1">
        <f>IF(ISBLANK(INDEX(Array_ElectricalChargeData,ROW()-16,COLUMN()*2-3)),"",INDEX(Array_ElectricalChargeData,ROW()-16,COLUMN()*2-3))</f>
        <v/>
      </c>
      <c r="I66" t="str" cm="1">
        <f>IF(ISBLANK(INDEX(Array_ElectricalChargeData,ROW()-16,COLUMN()*2-3)),"",INDEX(Array_ElectricalChargeData,ROW()-16,COLUMN()*2-3))</f>
        <v/>
      </c>
      <c r="J66" t="str" cm="1">
        <f>IF(ISBLANK(INDEX(Array_ElectricalChargeData,ROW()-16,COLUMN()*2-3)),"",INDEX(Array_ElectricalChargeData,ROW()-16,COLUMN()*2-3))</f>
        <v/>
      </c>
      <c r="K66" t="str" cm="1">
        <f>IF(ISBLANK(INDEX(Array_ElectricalChargeData,ROW()-16,COLUMN()*2-3)),"",INDEX(Array_ElectricalChargeData,ROW()-16,COLUMN()*2-3))</f>
        <v/>
      </c>
      <c r="L66" t="str" cm="1">
        <f>IF(ISBLANK(INDEX(Array_ElectricalChargeData,ROW()-16,COLUMN()*2-3)),"",INDEX(Array_ElectricalChargeData,ROW()-16,COLUMN()*2-3))</f>
        <v/>
      </c>
      <c r="M66" t="str" cm="1">
        <f>IF(ISBLANK(INDEX(Array_ElectricalChargeData,ROW()-16,COLUMN()*2-3)),"",INDEX(Array_ElectricalChargeData,ROW()-16,COLUMN()*2-3))</f>
        <v/>
      </c>
      <c r="N66" t="str" cm="1">
        <f>IF(ISBLANK(INDEX(Array_ElectricalChargeData,ROW()-16,COLUMN()*2-3)),"",INDEX(Array_ElectricalChargeData,ROW()-16,COLUMN()*2-3))</f>
        <v/>
      </c>
      <c r="O66" t="str" cm="1">
        <f>IF(ISBLANK(INDEX(Array_ElectricalChargeData,ROW()-16,COLUMN()*2-3)),"",INDEX(Array_ElectricalChargeData,ROW()-16,COLUMN()*2-3))</f>
        <v/>
      </c>
      <c r="P66" t="str" cm="1">
        <f>IF(ISBLANK(INDEX(Array_ElectricalChargeData,ROW()-16,COLUMN()*2-3)),"",INDEX(Array_ElectricalChargeData,ROW()-16,COLUMN()*2-3))</f>
        <v/>
      </c>
    </row>
    <row r="67" spans="1:16" x14ac:dyDescent="0.35">
      <c r="A67" t="str">
        <f>IF('Electricity Meters'!B53="",A66,'Electricity Meters'!B53)</f>
        <v>Meter Numbers</v>
      </c>
      <c r="B67" t="str" cm="1">
        <f>IF(ISBLANK(INDEX(Array_ElectricalChargeData,ROW()-16,COLUMN()*2-3)),"",INDEX(Array_ElectricalChargeData,ROW()-16,COLUMN()*2-3))</f>
        <v/>
      </c>
      <c r="C67" t="str" cm="1">
        <f>IF(ISBLANK(INDEX(Array_ElectricalChargeData,ROW()-16,COLUMN()*2-3)),"",INDEX(Array_ElectricalChargeData,ROW()-16,COLUMN()*2-3))</f>
        <v/>
      </c>
      <c r="D67" t="str" cm="1">
        <f>IF(ISBLANK(INDEX(Array_ElectricalChargeData,ROW()-16,COLUMN()*2-3)),"",INDEX(Array_ElectricalChargeData,ROW()-16,COLUMN()*2-3))</f>
        <v/>
      </c>
      <c r="E67" t="str" cm="1">
        <f>IF(ISBLANK(INDEX(Array_ElectricalChargeData,ROW()-16,COLUMN()*2-3)),"",INDEX(Array_ElectricalChargeData,ROW()-16,COLUMN()*2-3))</f>
        <v/>
      </c>
      <c r="F67" t="str" cm="1">
        <f>IF(ISBLANK(INDEX(Array_ElectricalChargeData,ROW()-16,COLUMN()*2-3)),"",INDEX(Array_ElectricalChargeData,ROW()-16,COLUMN()*2-3))</f>
        <v/>
      </c>
      <c r="G67" t="str" cm="1">
        <f>IF(ISBLANK(INDEX(Array_ElectricalChargeData,ROW()-16,COLUMN()*2-3)),"",INDEX(Array_ElectricalChargeData,ROW()-16,COLUMN()*2-3))</f>
        <v/>
      </c>
      <c r="H67" t="str" cm="1">
        <f>IF(ISBLANK(INDEX(Array_ElectricalChargeData,ROW()-16,COLUMN()*2-3)),"",INDEX(Array_ElectricalChargeData,ROW()-16,COLUMN()*2-3))</f>
        <v/>
      </c>
      <c r="I67" t="str" cm="1">
        <f>IF(ISBLANK(INDEX(Array_ElectricalChargeData,ROW()-16,COLUMN()*2-3)),"",INDEX(Array_ElectricalChargeData,ROW()-16,COLUMN()*2-3))</f>
        <v/>
      </c>
      <c r="J67" t="str" cm="1">
        <f>IF(ISBLANK(INDEX(Array_ElectricalChargeData,ROW()-16,COLUMN()*2-3)),"",INDEX(Array_ElectricalChargeData,ROW()-16,COLUMN()*2-3))</f>
        <v/>
      </c>
      <c r="K67" t="str" cm="1">
        <f>IF(ISBLANK(INDEX(Array_ElectricalChargeData,ROW()-16,COLUMN()*2-3)),"",INDEX(Array_ElectricalChargeData,ROW()-16,COLUMN()*2-3))</f>
        <v/>
      </c>
      <c r="L67" t="str" cm="1">
        <f>IF(ISBLANK(INDEX(Array_ElectricalChargeData,ROW()-16,COLUMN()*2-3)),"",INDEX(Array_ElectricalChargeData,ROW()-16,COLUMN()*2-3))</f>
        <v/>
      </c>
      <c r="M67" t="str" cm="1">
        <f>IF(ISBLANK(INDEX(Array_ElectricalChargeData,ROW()-16,COLUMN()*2-3)),"",INDEX(Array_ElectricalChargeData,ROW()-16,COLUMN()*2-3))</f>
        <v/>
      </c>
      <c r="N67" t="str" cm="1">
        <f>IF(ISBLANK(INDEX(Array_ElectricalChargeData,ROW()-16,COLUMN()*2-3)),"",INDEX(Array_ElectricalChargeData,ROW()-16,COLUMN()*2-3))</f>
        <v/>
      </c>
      <c r="O67" t="str" cm="1">
        <f>IF(ISBLANK(INDEX(Array_ElectricalChargeData,ROW()-16,COLUMN()*2-3)),"",INDEX(Array_ElectricalChargeData,ROW()-16,COLUMN()*2-3))</f>
        <v/>
      </c>
      <c r="P67" t="str" cm="1">
        <f>IF(ISBLANK(INDEX(Array_ElectricalChargeData,ROW()-16,COLUMN()*2-3)),"",INDEX(Array_ElectricalChargeData,ROW()-16,COLUMN()*2-3))</f>
        <v/>
      </c>
    </row>
    <row r="68" spans="1:16" x14ac:dyDescent="0.35">
      <c r="A68" t="str">
        <f>IF('Electricity Meters'!B54="",A67,'Electricity Meters'!B54)</f>
        <v>Meter Numbers</v>
      </c>
      <c r="B68" t="str" cm="1">
        <f>IF(ISBLANK(INDEX(Array_ElectricalChargeData,ROW()-16,COLUMN()*2-3)),"",INDEX(Array_ElectricalChargeData,ROW()-16,COLUMN()*2-3))</f>
        <v/>
      </c>
      <c r="C68" t="str" cm="1">
        <f>IF(ISBLANK(INDEX(Array_ElectricalChargeData,ROW()-16,COLUMN()*2-3)),"",INDEX(Array_ElectricalChargeData,ROW()-16,COLUMN()*2-3))</f>
        <v/>
      </c>
      <c r="D68" t="str" cm="1">
        <f>IF(ISBLANK(INDEX(Array_ElectricalChargeData,ROW()-16,COLUMN()*2-3)),"",INDEX(Array_ElectricalChargeData,ROW()-16,COLUMN()*2-3))</f>
        <v/>
      </c>
      <c r="E68" t="str" cm="1">
        <f>IF(ISBLANK(INDEX(Array_ElectricalChargeData,ROW()-16,COLUMN()*2-3)),"",INDEX(Array_ElectricalChargeData,ROW()-16,COLUMN()*2-3))</f>
        <v/>
      </c>
      <c r="F68" t="str" cm="1">
        <f>IF(ISBLANK(INDEX(Array_ElectricalChargeData,ROW()-16,COLUMN()*2-3)),"",INDEX(Array_ElectricalChargeData,ROW()-16,COLUMN()*2-3))</f>
        <v/>
      </c>
      <c r="G68" t="str" cm="1">
        <f>IF(ISBLANK(INDEX(Array_ElectricalChargeData,ROW()-16,COLUMN()*2-3)),"",INDEX(Array_ElectricalChargeData,ROW()-16,COLUMN()*2-3))</f>
        <v/>
      </c>
      <c r="H68" t="str" cm="1">
        <f>IF(ISBLANK(INDEX(Array_ElectricalChargeData,ROW()-16,COLUMN()*2-3)),"",INDEX(Array_ElectricalChargeData,ROW()-16,COLUMN()*2-3))</f>
        <v/>
      </c>
      <c r="I68" t="str" cm="1">
        <f>IF(ISBLANK(INDEX(Array_ElectricalChargeData,ROW()-16,COLUMN()*2-3)),"",INDEX(Array_ElectricalChargeData,ROW()-16,COLUMN()*2-3))</f>
        <v/>
      </c>
      <c r="J68" t="str" cm="1">
        <f>IF(ISBLANK(INDEX(Array_ElectricalChargeData,ROW()-16,COLUMN()*2-3)),"",INDEX(Array_ElectricalChargeData,ROW()-16,COLUMN()*2-3))</f>
        <v/>
      </c>
      <c r="K68" t="str" cm="1">
        <f>IF(ISBLANK(INDEX(Array_ElectricalChargeData,ROW()-16,COLUMN()*2-3)),"",INDEX(Array_ElectricalChargeData,ROW()-16,COLUMN()*2-3))</f>
        <v/>
      </c>
      <c r="L68" t="str" cm="1">
        <f>IF(ISBLANK(INDEX(Array_ElectricalChargeData,ROW()-16,COLUMN()*2-3)),"",INDEX(Array_ElectricalChargeData,ROW()-16,COLUMN()*2-3))</f>
        <v/>
      </c>
      <c r="M68" t="str" cm="1">
        <f>IF(ISBLANK(INDEX(Array_ElectricalChargeData,ROW()-16,COLUMN()*2-3)),"",INDEX(Array_ElectricalChargeData,ROW()-16,COLUMN()*2-3))</f>
        <v/>
      </c>
      <c r="N68" t="str" cm="1">
        <f>IF(ISBLANK(INDEX(Array_ElectricalChargeData,ROW()-16,COLUMN()*2-3)),"",INDEX(Array_ElectricalChargeData,ROW()-16,COLUMN()*2-3))</f>
        <v/>
      </c>
      <c r="O68" t="str" cm="1">
        <f>IF(ISBLANK(INDEX(Array_ElectricalChargeData,ROW()-16,COLUMN()*2-3)),"",INDEX(Array_ElectricalChargeData,ROW()-16,COLUMN()*2-3))</f>
        <v/>
      </c>
      <c r="P68" t="str" cm="1">
        <f>IF(ISBLANK(INDEX(Array_ElectricalChargeData,ROW()-16,COLUMN()*2-3)),"",INDEX(Array_ElectricalChargeData,ROW()-16,COLUMN()*2-3))</f>
        <v/>
      </c>
    </row>
    <row r="69" spans="1:16" x14ac:dyDescent="0.35">
      <c r="A69" t="str">
        <f>IF('Electricity Meters'!B55="",A68,'Electricity Meters'!B55)</f>
        <v>Meter Numbers</v>
      </c>
      <c r="B69" t="str" cm="1">
        <f>IF(ISBLANK(INDEX(Array_ElectricalChargeData,ROW()-16,COLUMN()*2-3)),"",INDEX(Array_ElectricalChargeData,ROW()-16,COLUMN()*2-3))</f>
        <v/>
      </c>
      <c r="C69" t="str" cm="1">
        <f>IF(ISBLANK(INDEX(Array_ElectricalChargeData,ROW()-16,COLUMN()*2-3)),"",INDEX(Array_ElectricalChargeData,ROW()-16,COLUMN()*2-3))</f>
        <v/>
      </c>
      <c r="D69" t="str" cm="1">
        <f>IF(ISBLANK(INDEX(Array_ElectricalChargeData,ROW()-16,COLUMN()*2-3)),"",INDEX(Array_ElectricalChargeData,ROW()-16,COLUMN()*2-3))</f>
        <v/>
      </c>
      <c r="E69" t="str" cm="1">
        <f>IF(ISBLANK(INDEX(Array_ElectricalChargeData,ROW()-16,COLUMN()*2-3)),"",INDEX(Array_ElectricalChargeData,ROW()-16,COLUMN()*2-3))</f>
        <v/>
      </c>
      <c r="F69" t="str" cm="1">
        <f>IF(ISBLANK(INDEX(Array_ElectricalChargeData,ROW()-16,COLUMN()*2-3)),"",INDEX(Array_ElectricalChargeData,ROW()-16,COLUMN()*2-3))</f>
        <v/>
      </c>
      <c r="G69" t="str" cm="1">
        <f>IF(ISBLANK(INDEX(Array_ElectricalChargeData,ROW()-16,COLUMN()*2-3)),"",INDEX(Array_ElectricalChargeData,ROW()-16,COLUMN()*2-3))</f>
        <v/>
      </c>
      <c r="H69" t="str" cm="1">
        <f>IF(ISBLANK(INDEX(Array_ElectricalChargeData,ROW()-16,COLUMN()*2-3)),"",INDEX(Array_ElectricalChargeData,ROW()-16,COLUMN()*2-3))</f>
        <v/>
      </c>
      <c r="I69" t="str" cm="1">
        <f>IF(ISBLANK(INDEX(Array_ElectricalChargeData,ROW()-16,COLUMN()*2-3)),"",INDEX(Array_ElectricalChargeData,ROW()-16,COLUMN()*2-3))</f>
        <v/>
      </c>
      <c r="J69" t="str" cm="1">
        <f>IF(ISBLANK(INDEX(Array_ElectricalChargeData,ROW()-16,COLUMN()*2-3)),"",INDEX(Array_ElectricalChargeData,ROW()-16,COLUMN()*2-3))</f>
        <v/>
      </c>
      <c r="K69" t="str" cm="1">
        <f>IF(ISBLANK(INDEX(Array_ElectricalChargeData,ROW()-16,COLUMN()*2-3)),"",INDEX(Array_ElectricalChargeData,ROW()-16,COLUMN()*2-3))</f>
        <v/>
      </c>
      <c r="L69" t="str" cm="1">
        <f>IF(ISBLANK(INDEX(Array_ElectricalChargeData,ROW()-16,COLUMN()*2-3)),"",INDEX(Array_ElectricalChargeData,ROW()-16,COLUMN()*2-3))</f>
        <v/>
      </c>
      <c r="M69" t="str" cm="1">
        <f>IF(ISBLANK(INDEX(Array_ElectricalChargeData,ROW()-16,COLUMN()*2-3)),"",INDEX(Array_ElectricalChargeData,ROW()-16,COLUMN()*2-3))</f>
        <v/>
      </c>
      <c r="N69" t="str" cm="1">
        <f>IF(ISBLANK(INDEX(Array_ElectricalChargeData,ROW()-16,COLUMN()*2-3)),"",INDEX(Array_ElectricalChargeData,ROW()-16,COLUMN()*2-3))</f>
        <v/>
      </c>
      <c r="O69" t="str" cm="1">
        <f>IF(ISBLANK(INDEX(Array_ElectricalChargeData,ROW()-16,COLUMN()*2-3)),"",INDEX(Array_ElectricalChargeData,ROW()-16,COLUMN()*2-3))</f>
        <v/>
      </c>
      <c r="P69" t="str" cm="1">
        <f>IF(ISBLANK(INDEX(Array_ElectricalChargeData,ROW()-16,COLUMN()*2-3)),"",INDEX(Array_ElectricalChargeData,ROW()-16,COLUMN()*2-3))</f>
        <v/>
      </c>
    </row>
    <row r="70" spans="1:16" x14ac:dyDescent="0.35">
      <c r="A70" t="str">
        <f>IF('Electricity Meters'!B56="",A69,'Electricity Meters'!B56)</f>
        <v>Meter Numbers</v>
      </c>
      <c r="B70" t="str" cm="1">
        <f>IF(ISBLANK(INDEX(Array_ElectricalChargeData,ROW()-16,COLUMN()*2-3)),"",INDEX(Array_ElectricalChargeData,ROW()-16,COLUMN()*2-3))</f>
        <v/>
      </c>
      <c r="C70" t="str" cm="1">
        <f>IF(ISBLANK(INDEX(Array_ElectricalChargeData,ROW()-16,COLUMN()*2-3)),"",INDEX(Array_ElectricalChargeData,ROW()-16,COLUMN()*2-3))</f>
        <v/>
      </c>
      <c r="D70" t="str" cm="1">
        <f>IF(ISBLANK(INDEX(Array_ElectricalChargeData,ROW()-16,COLUMN()*2-3)),"",INDEX(Array_ElectricalChargeData,ROW()-16,COLUMN()*2-3))</f>
        <v/>
      </c>
      <c r="E70" t="str" cm="1">
        <f>IF(ISBLANK(INDEX(Array_ElectricalChargeData,ROW()-16,COLUMN()*2-3)),"",INDEX(Array_ElectricalChargeData,ROW()-16,COLUMN()*2-3))</f>
        <v/>
      </c>
      <c r="F70" t="str" cm="1">
        <f>IF(ISBLANK(INDEX(Array_ElectricalChargeData,ROW()-16,COLUMN()*2-3)),"",INDEX(Array_ElectricalChargeData,ROW()-16,COLUMN()*2-3))</f>
        <v/>
      </c>
      <c r="G70" t="str" cm="1">
        <f>IF(ISBLANK(INDEX(Array_ElectricalChargeData,ROW()-16,COLUMN()*2-3)),"",INDEX(Array_ElectricalChargeData,ROW()-16,COLUMN()*2-3))</f>
        <v/>
      </c>
      <c r="H70" t="str" cm="1">
        <f>IF(ISBLANK(INDEX(Array_ElectricalChargeData,ROW()-16,COLUMN()*2-3)),"",INDEX(Array_ElectricalChargeData,ROW()-16,COLUMN()*2-3))</f>
        <v/>
      </c>
      <c r="I70" t="str" cm="1">
        <f>IF(ISBLANK(INDEX(Array_ElectricalChargeData,ROW()-16,COLUMN()*2-3)),"",INDEX(Array_ElectricalChargeData,ROW()-16,COLUMN()*2-3))</f>
        <v/>
      </c>
      <c r="J70" t="str" cm="1">
        <f>IF(ISBLANK(INDEX(Array_ElectricalChargeData,ROW()-16,COLUMN()*2-3)),"",INDEX(Array_ElectricalChargeData,ROW()-16,COLUMN()*2-3))</f>
        <v/>
      </c>
      <c r="K70" t="str" cm="1">
        <f>IF(ISBLANK(INDEX(Array_ElectricalChargeData,ROW()-16,COLUMN()*2-3)),"",INDEX(Array_ElectricalChargeData,ROW()-16,COLUMN()*2-3))</f>
        <v/>
      </c>
      <c r="L70" t="str" cm="1">
        <f>IF(ISBLANK(INDEX(Array_ElectricalChargeData,ROW()-16,COLUMN()*2-3)),"",INDEX(Array_ElectricalChargeData,ROW()-16,COLUMN()*2-3))</f>
        <v/>
      </c>
      <c r="M70" t="str" cm="1">
        <f>IF(ISBLANK(INDEX(Array_ElectricalChargeData,ROW()-16,COLUMN()*2-3)),"",INDEX(Array_ElectricalChargeData,ROW()-16,COLUMN()*2-3))</f>
        <v/>
      </c>
      <c r="N70" t="str" cm="1">
        <f>IF(ISBLANK(INDEX(Array_ElectricalChargeData,ROW()-16,COLUMN()*2-3)),"",INDEX(Array_ElectricalChargeData,ROW()-16,COLUMN()*2-3))</f>
        <v/>
      </c>
      <c r="O70" t="str" cm="1">
        <f>IF(ISBLANK(INDEX(Array_ElectricalChargeData,ROW()-16,COLUMN()*2-3)),"",INDEX(Array_ElectricalChargeData,ROW()-16,COLUMN()*2-3))</f>
        <v/>
      </c>
      <c r="P70" t="str" cm="1">
        <f>IF(ISBLANK(INDEX(Array_ElectricalChargeData,ROW()-16,COLUMN()*2-3)),"",INDEX(Array_ElectricalChargeData,ROW()-16,COLUMN()*2-3))</f>
        <v/>
      </c>
    </row>
    <row r="71" spans="1:16" x14ac:dyDescent="0.35">
      <c r="A71" t="str">
        <f>IF('Electricity Meters'!B57="",A70,'Electricity Meters'!B57)</f>
        <v>Meter Numbers</v>
      </c>
      <c r="B71" t="str" cm="1">
        <f>IF(ISBLANK(INDEX(Array_ElectricalChargeData,ROW()-16,COLUMN()*2-3)),"",INDEX(Array_ElectricalChargeData,ROW()-16,COLUMN()*2-3))</f>
        <v/>
      </c>
      <c r="C71" t="str" cm="1">
        <f>IF(ISBLANK(INDEX(Array_ElectricalChargeData,ROW()-16,COLUMN()*2-3)),"",INDEX(Array_ElectricalChargeData,ROW()-16,COLUMN()*2-3))</f>
        <v/>
      </c>
      <c r="D71" t="str" cm="1">
        <f>IF(ISBLANK(INDEX(Array_ElectricalChargeData,ROW()-16,COLUMN()*2-3)),"",INDEX(Array_ElectricalChargeData,ROW()-16,COLUMN()*2-3))</f>
        <v/>
      </c>
      <c r="E71" t="str" cm="1">
        <f>IF(ISBLANK(INDEX(Array_ElectricalChargeData,ROW()-16,COLUMN()*2-3)),"",INDEX(Array_ElectricalChargeData,ROW()-16,COLUMN()*2-3))</f>
        <v/>
      </c>
      <c r="F71" t="str" cm="1">
        <f>IF(ISBLANK(INDEX(Array_ElectricalChargeData,ROW()-16,COLUMN()*2-3)),"",INDEX(Array_ElectricalChargeData,ROW()-16,COLUMN()*2-3))</f>
        <v/>
      </c>
      <c r="G71" t="str" cm="1">
        <f>IF(ISBLANK(INDEX(Array_ElectricalChargeData,ROW()-16,COLUMN()*2-3)),"",INDEX(Array_ElectricalChargeData,ROW()-16,COLUMN()*2-3))</f>
        <v/>
      </c>
      <c r="H71" t="str" cm="1">
        <f>IF(ISBLANK(INDEX(Array_ElectricalChargeData,ROW()-16,COLUMN()*2-3)),"",INDEX(Array_ElectricalChargeData,ROW()-16,COLUMN()*2-3))</f>
        <v/>
      </c>
      <c r="I71" t="str" cm="1">
        <f>IF(ISBLANK(INDEX(Array_ElectricalChargeData,ROW()-16,COLUMN()*2-3)),"",INDEX(Array_ElectricalChargeData,ROW()-16,COLUMN()*2-3))</f>
        <v/>
      </c>
      <c r="J71" t="str" cm="1">
        <f>IF(ISBLANK(INDEX(Array_ElectricalChargeData,ROW()-16,COLUMN()*2-3)),"",INDEX(Array_ElectricalChargeData,ROW()-16,COLUMN()*2-3))</f>
        <v/>
      </c>
      <c r="K71" t="str" cm="1">
        <f>IF(ISBLANK(INDEX(Array_ElectricalChargeData,ROW()-16,COLUMN()*2-3)),"",INDEX(Array_ElectricalChargeData,ROW()-16,COLUMN()*2-3))</f>
        <v/>
      </c>
      <c r="L71" t="str" cm="1">
        <f>IF(ISBLANK(INDEX(Array_ElectricalChargeData,ROW()-16,COLUMN()*2-3)),"",INDEX(Array_ElectricalChargeData,ROW()-16,COLUMN()*2-3))</f>
        <v/>
      </c>
      <c r="M71" t="str" cm="1">
        <f>IF(ISBLANK(INDEX(Array_ElectricalChargeData,ROW()-16,COLUMN()*2-3)),"",INDEX(Array_ElectricalChargeData,ROW()-16,COLUMN()*2-3))</f>
        <v/>
      </c>
      <c r="N71" t="str" cm="1">
        <f>IF(ISBLANK(INDEX(Array_ElectricalChargeData,ROW()-16,COLUMN()*2-3)),"",INDEX(Array_ElectricalChargeData,ROW()-16,COLUMN()*2-3))</f>
        <v/>
      </c>
      <c r="O71" t="str" cm="1">
        <f>IF(ISBLANK(INDEX(Array_ElectricalChargeData,ROW()-16,COLUMN()*2-3)),"",INDEX(Array_ElectricalChargeData,ROW()-16,COLUMN()*2-3))</f>
        <v/>
      </c>
      <c r="P71" t="str" cm="1">
        <f>IF(ISBLANK(INDEX(Array_ElectricalChargeData,ROW()-16,COLUMN()*2-3)),"",INDEX(Array_ElectricalChargeData,ROW()-16,COLUMN()*2-3))</f>
        <v/>
      </c>
    </row>
    <row r="72" spans="1:16" x14ac:dyDescent="0.35">
      <c r="A72" t="str">
        <f>IF('Electricity Meters'!B58="",A71,'Electricity Meters'!B58)</f>
        <v>Meter Numbers</v>
      </c>
      <c r="B72" t="str" cm="1">
        <f>IF(ISBLANK(INDEX(Array_ElectricalChargeData,ROW()-16,COLUMN()*2-3)),"",INDEX(Array_ElectricalChargeData,ROW()-16,COLUMN()*2-3))</f>
        <v/>
      </c>
      <c r="C72" t="str" cm="1">
        <f>IF(ISBLANK(INDEX(Array_ElectricalChargeData,ROW()-16,COLUMN()*2-3)),"",INDEX(Array_ElectricalChargeData,ROW()-16,COLUMN()*2-3))</f>
        <v/>
      </c>
      <c r="D72" t="str" cm="1">
        <f>IF(ISBLANK(INDEX(Array_ElectricalChargeData,ROW()-16,COLUMN()*2-3)),"",INDEX(Array_ElectricalChargeData,ROW()-16,COLUMN()*2-3))</f>
        <v/>
      </c>
      <c r="E72" t="str" cm="1">
        <f>IF(ISBLANK(INDEX(Array_ElectricalChargeData,ROW()-16,COLUMN()*2-3)),"",INDEX(Array_ElectricalChargeData,ROW()-16,COLUMN()*2-3))</f>
        <v/>
      </c>
      <c r="F72" t="str" cm="1">
        <f>IF(ISBLANK(INDEX(Array_ElectricalChargeData,ROW()-16,COLUMN()*2-3)),"",INDEX(Array_ElectricalChargeData,ROW()-16,COLUMN()*2-3))</f>
        <v/>
      </c>
      <c r="G72" t="str" cm="1">
        <f>IF(ISBLANK(INDEX(Array_ElectricalChargeData,ROW()-16,COLUMN()*2-3)),"",INDEX(Array_ElectricalChargeData,ROW()-16,COLUMN()*2-3))</f>
        <v/>
      </c>
      <c r="H72" t="str" cm="1">
        <f>IF(ISBLANK(INDEX(Array_ElectricalChargeData,ROW()-16,COLUMN()*2-3)),"",INDEX(Array_ElectricalChargeData,ROW()-16,COLUMN()*2-3))</f>
        <v/>
      </c>
      <c r="I72" t="str" cm="1">
        <f>IF(ISBLANK(INDEX(Array_ElectricalChargeData,ROW()-16,COLUMN()*2-3)),"",INDEX(Array_ElectricalChargeData,ROW()-16,COLUMN()*2-3))</f>
        <v/>
      </c>
      <c r="J72" t="str" cm="1">
        <f>IF(ISBLANK(INDEX(Array_ElectricalChargeData,ROW()-16,COLUMN()*2-3)),"",INDEX(Array_ElectricalChargeData,ROW()-16,COLUMN()*2-3))</f>
        <v/>
      </c>
      <c r="K72" t="str" cm="1">
        <f>IF(ISBLANK(INDEX(Array_ElectricalChargeData,ROW()-16,COLUMN()*2-3)),"",INDEX(Array_ElectricalChargeData,ROW()-16,COLUMN()*2-3))</f>
        <v/>
      </c>
      <c r="L72" t="str" cm="1">
        <f>IF(ISBLANK(INDEX(Array_ElectricalChargeData,ROW()-16,COLUMN()*2-3)),"",INDEX(Array_ElectricalChargeData,ROW()-16,COLUMN()*2-3))</f>
        <v/>
      </c>
      <c r="M72" t="str" cm="1">
        <f>IF(ISBLANK(INDEX(Array_ElectricalChargeData,ROW()-16,COLUMN()*2-3)),"",INDEX(Array_ElectricalChargeData,ROW()-16,COLUMN()*2-3))</f>
        <v/>
      </c>
      <c r="N72" t="str" cm="1">
        <f>IF(ISBLANK(INDEX(Array_ElectricalChargeData,ROW()-16,COLUMN()*2-3)),"",INDEX(Array_ElectricalChargeData,ROW()-16,COLUMN()*2-3))</f>
        <v/>
      </c>
      <c r="O72" t="str" cm="1">
        <f>IF(ISBLANK(INDEX(Array_ElectricalChargeData,ROW()-16,COLUMN()*2-3)),"",INDEX(Array_ElectricalChargeData,ROW()-16,COLUMN()*2-3))</f>
        <v/>
      </c>
      <c r="P72" t="str" cm="1">
        <f>IF(ISBLANK(INDEX(Array_ElectricalChargeData,ROW()-16,COLUMN()*2-3)),"",INDEX(Array_ElectricalChargeData,ROW()-16,COLUMN()*2-3))</f>
        <v/>
      </c>
    </row>
    <row r="73" spans="1:16" x14ac:dyDescent="0.35">
      <c r="A73" t="str">
        <f>IF('Electricity Meters'!B59="",A72,'Electricity Meters'!B59)</f>
        <v>Meter Numbers</v>
      </c>
      <c r="B73" t="str" cm="1">
        <f>IF(ISBLANK(INDEX(Array_ElectricalChargeData,ROW()-16,COLUMN()*2-3)),"",INDEX(Array_ElectricalChargeData,ROW()-16,COLUMN()*2-3))</f>
        <v/>
      </c>
      <c r="C73" t="str" cm="1">
        <f>IF(ISBLANK(INDEX(Array_ElectricalChargeData,ROW()-16,COLUMN()*2-3)),"",INDEX(Array_ElectricalChargeData,ROW()-16,COLUMN()*2-3))</f>
        <v/>
      </c>
      <c r="D73" t="str" cm="1">
        <f>IF(ISBLANK(INDEX(Array_ElectricalChargeData,ROW()-16,COLUMN()*2-3)),"",INDEX(Array_ElectricalChargeData,ROW()-16,COLUMN()*2-3))</f>
        <v/>
      </c>
      <c r="E73" t="str" cm="1">
        <f>IF(ISBLANK(INDEX(Array_ElectricalChargeData,ROW()-16,COLUMN()*2-3)),"",INDEX(Array_ElectricalChargeData,ROW()-16,COLUMN()*2-3))</f>
        <v/>
      </c>
      <c r="F73" t="str" cm="1">
        <f>IF(ISBLANK(INDEX(Array_ElectricalChargeData,ROW()-16,COLUMN()*2-3)),"",INDEX(Array_ElectricalChargeData,ROW()-16,COLUMN()*2-3))</f>
        <v/>
      </c>
      <c r="G73" t="str" cm="1">
        <f>IF(ISBLANK(INDEX(Array_ElectricalChargeData,ROW()-16,COLUMN()*2-3)),"",INDEX(Array_ElectricalChargeData,ROW()-16,COLUMN()*2-3))</f>
        <v/>
      </c>
      <c r="H73" t="str" cm="1">
        <f>IF(ISBLANK(INDEX(Array_ElectricalChargeData,ROW()-16,COLUMN()*2-3)),"",INDEX(Array_ElectricalChargeData,ROW()-16,COLUMN()*2-3))</f>
        <v/>
      </c>
      <c r="I73" t="str" cm="1">
        <f>IF(ISBLANK(INDEX(Array_ElectricalChargeData,ROW()-16,COLUMN()*2-3)),"",INDEX(Array_ElectricalChargeData,ROW()-16,COLUMN()*2-3))</f>
        <v/>
      </c>
      <c r="J73" t="str" cm="1">
        <f>IF(ISBLANK(INDEX(Array_ElectricalChargeData,ROW()-16,COLUMN()*2-3)),"",INDEX(Array_ElectricalChargeData,ROW()-16,COLUMN()*2-3))</f>
        <v/>
      </c>
      <c r="K73" t="str" cm="1">
        <f>IF(ISBLANK(INDEX(Array_ElectricalChargeData,ROW()-16,COLUMN()*2-3)),"",INDEX(Array_ElectricalChargeData,ROW()-16,COLUMN()*2-3))</f>
        <v/>
      </c>
      <c r="L73" t="str" cm="1">
        <f>IF(ISBLANK(INDEX(Array_ElectricalChargeData,ROW()-16,COLUMN()*2-3)),"",INDEX(Array_ElectricalChargeData,ROW()-16,COLUMN()*2-3))</f>
        <v/>
      </c>
      <c r="M73" t="str" cm="1">
        <f>IF(ISBLANK(INDEX(Array_ElectricalChargeData,ROW()-16,COLUMN()*2-3)),"",INDEX(Array_ElectricalChargeData,ROW()-16,COLUMN()*2-3))</f>
        <v/>
      </c>
      <c r="N73" t="str" cm="1">
        <f>IF(ISBLANK(INDEX(Array_ElectricalChargeData,ROW()-16,COLUMN()*2-3)),"",INDEX(Array_ElectricalChargeData,ROW()-16,COLUMN()*2-3))</f>
        <v/>
      </c>
      <c r="O73" t="str" cm="1">
        <f>IF(ISBLANK(INDEX(Array_ElectricalChargeData,ROW()-16,COLUMN()*2-3)),"",INDEX(Array_ElectricalChargeData,ROW()-16,COLUMN()*2-3))</f>
        <v/>
      </c>
      <c r="P73" t="str" cm="1">
        <f>IF(ISBLANK(INDEX(Array_ElectricalChargeData,ROW()-16,COLUMN()*2-3)),"",INDEX(Array_ElectricalChargeData,ROW()-16,COLUMN()*2-3))</f>
        <v/>
      </c>
    </row>
    <row r="74" spans="1:16" x14ac:dyDescent="0.35">
      <c r="A74" t="str">
        <f>IF('Electricity Meters'!B60="",A73,'Electricity Meters'!B60)</f>
        <v>Meter Numbers</v>
      </c>
      <c r="B74" t="str" cm="1">
        <f>IF(ISBLANK(INDEX(Array_ElectricalChargeData,ROW()-16,COLUMN()*2-3)),"",INDEX(Array_ElectricalChargeData,ROW()-16,COLUMN()*2-3))</f>
        <v/>
      </c>
      <c r="C74" t="str" cm="1">
        <f>IF(ISBLANK(INDEX(Array_ElectricalChargeData,ROW()-16,COLUMN()*2-3)),"",INDEX(Array_ElectricalChargeData,ROW()-16,COLUMN()*2-3))</f>
        <v/>
      </c>
      <c r="D74" t="str" cm="1">
        <f>IF(ISBLANK(INDEX(Array_ElectricalChargeData,ROW()-16,COLUMN()*2-3)),"",INDEX(Array_ElectricalChargeData,ROW()-16,COLUMN()*2-3))</f>
        <v/>
      </c>
      <c r="E74" t="str" cm="1">
        <f>IF(ISBLANK(INDEX(Array_ElectricalChargeData,ROW()-16,COLUMN()*2-3)),"",INDEX(Array_ElectricalChargeData,ROW()-16,COLUMN()*2-3))</f>
        <v/>
      </c>
      <c r="F74" t="str" cm="1">
        <f>IF(ISBLANK(INDEX(Array_ElectricalChargeData,ROW()-16,COLUMN()*2-3)),"",INDEX(Array_ElectricalChargeData,ROW()-16,COLUMN()*2-3))</f>
        <v/>
      </c>
      <c r="G74" t="str" cm="1">
        <f>IF(ISBLANK(INDEX(Array_ElectricalChargeData,ROW()-16,COLUMN()*2-3)),"",INDEX(Array_ElectricalChargeData,ROW()-16,COLUMN()*2-3))</f>
        <v/>
      </c>
      <c r="H74" t="str" cm="1">
        <f>IF(ISBLANK(INDEX(Array_ElectricalChargeData,ROW()-16,COLUMN()*2-3)),"",INDEX(Array_ElectricalChargeData,ROW()-16,COLUMN()*2-3))</f>
        <v/>
      </c>
      <c r="I74" t="str" cm="1">
        <f>IF(ISBLANK(INDEX(Array_ElectricalChargeData,ROW()-16,COLUMN()*2-3)),"",INDEX(Array_ElectricalChargeData,ROW()-16,COLUMN()*2-3))</f>
        <v/>
      </c>
      <c r="J74" t="str" cm="1">
        <f>IF(ISBLANK(INDEX(Array_ElectricalChargeData,ROW()-16,COLUMN()*2-3)),"",INDEX(Array_ElectricalChargeData,ROW()-16,COLUMN()*2-3))</f>
        <v/>
      </c>
      <c r="K74" t="str" cm="1">
        <f>IF(ISBLANK(INDEX(Array_ElectricalChargeData,ROW()-16,COLUMN()*2-3)),"",INDEX(Array_ElectricalChargeData,ROW()-16,COLUMN()*2-3))</f>
        <v/>
      </c>
      <c r="L74" t="str" cm="1">
        <f>IF(ISBLANK(INDEX(Array_ElectricalChargeData,ROW()-16,COLUMN()*2-3)),"",INDEX(Array_ElectricalChargeData,ROW()-16,COLUMN()*2-3))</f>
        <v/>
      </c>
      <c r="M74" t="str" cm="1">
        <f>IF(ISBLANK(INDEX(Array_ElectricalChargeData,ROW()-16,COLUMN()*2-3)),"",INDEX(Array_ElectricalChargeData,ROW()-16,COLUMN()*2-3))</f>
        <v/>
      </c>
      <c r="N74" t="str" cm="1">
        <f>IF(ISBLANK(INDEX(Array_ElectricalChargeData,ROW()-16,COLUMN()*2-3)),"",INDEX(Array_ElectricalChargeData,ROW()-16,COLUMN()*2-3))</f>
        <v/>
      </c>
      <c r="O74" t="str" cm="1">
        <f>IF(ISBLANK(INDEX(Array_ElectricalChargeData,ROW()-16,COLUMN()*2-3)),"",INDEX(Array_ElectricalChargeData,ROW()-16,COLUMN()*2-3))</f>
        <v/>
      </c>
      <c r="P74" t="str" cm="1">
        <f>IF(ISBLANK(INDEX(Array_ElectricalChargeData,ROW()-16,COLUMN()*2-3)),"",INDEX(Array_ElectricalChargeData,ROW()-16,COLUMN()*2-3))</f>
        <v/>
      </c>
    </row>
    <row r="75" spans="1:16" x14ac:dyDescent="0.35">
      <c r="A75" t="str">
        <f>IF('Electricity Meters'!B61="",A74,'Electricity Meters'!B61)</f>
        <v>Meter Numbers</v>
      </c>
      <c r="B75" t="str" cm="1">
        <f>IF(ISBLANK(INDEX(Array_ElectricalChargeData,ROW()-16,COLUMN()*2-3)),"",INDEX(Array_ElectricalChargeData,ROW()-16,COLUMN()*2-3))</f>
        <v/>
      </c>
      <c r="C75" t="str" cm="1">
        <f>IF(ISBLANK(INDEX(Array_ElectricalChargeData,ROW()-16,COLUMN()*2-3)),"",INDEX(Array_ElectricalChargeData,ROW()-16,COLUMN()*2-3))</f>
        <v/>
      </c>
      <c r="D75" t="str" cm="1">
        <f>IF(ISBLANK(INDEX(Array_ElectricalChargeData,ROW()-16,COLUMN()*2-3)),"",INDEX(Array_ElectricalChargeData,ROW()-16,COLUMN()*2-3))</f>
        <v/>
      </c>
      <c r="E75" t="str" cm="1">
        <f>IF(ISBLANK(INDEX(Array_ElectricalChargeData,ROW()-16,COLUMN()*2-3)),"",INDEX(Array_ElectricalChargeData,ROW()-16,COLUMN()*2-3))</f>
        <v/>
      </c>
      <c r="F75" t="str" cm="1">
        <f>IF(ISBLANK(INDEX(Array_ElectricalChargeData,ROW()-16,COLUMN()*2-3)),"",INDEX(Array_ElectricalChargeData,ROW()-16,COLUMN()*2-3))</f>
        <v/>
      </c>
      <c r="G75" t="str" cm="1">
        <f>IF(ISBLANK(INDEX(Array_ElectricalChargeData,ROW()-16,COLUMN()*2-3)),"",INDEX(Array_ElectricalChargeData,ROW()-16,COLUMN()*2-3))</f>
        <v/>
      </c>
      <c r="H75" t="str" cm="1">
        <f>IF(ISBLANK(INDEX(Array_ElectricalChargeData,ROW()-16,COLUMN()*2-3)),"",INDEX(Array_ElectricalChargeData,ROW()-16,COLUMN()*2-3))</f>
        <v/>
      </c>
      <c r="I75" t="str" cm="1">
        <f>IF(ISBLANK(INDEX(Array_ElectricalChargeData,ROW()-16,COLUMN()*2-3)),"",INDEX(Array_ElectricalChargeData,ROW()-16,COLUMN()*2-3))</f>
        <v/>
      </c>
      <c r="J75" t="str" cm="1">
        <f>IF(ISBLANK(INDEX(Array_ElectricalChargeData,ROW()-16,COLUMN()*2-3)),"",INDEX(Array_ElectricalChargeData,ROW()-16,COLUMN()*2-3))</f>
        <v/>
      </c>
      <c r="K75" t="str" cm="1">
        <f>IF(ISBLANK(INDEX(Array_ElectricalChargeData,ROW()-16,COLUMN()*2-3)),"",INDEX(Array_ElectricalChargeData,ROW()-16,COLUMN()*2-3))</f>
        <v/>
      </c>
      <c r="L75" t="str" cm="1">
        <f>IF(ISBLANK(INDEX(Array_ElectricalChargeData,ROW()-16,COLUMN()*2-3)),"",INDEX(Array_ElectricalChargeData,ROW()-16,COLUMN()*2-3))</f>
        <v/>
      </c>
      <c r="M75" t="str" cm="1">
        <f>IF(ISBLANK(INDEX(Array_ElectricalChargeData,ROW()-16,COLUMN()*2-3)),"",INDEX(Array_ElectricalChargeData,ROW()-16,COLUMN()*2-3))</f>
        <v/>
      </c>
      <c r="N75" t="str" cm="1">
        <f>IF(ISBLANK(INDEX(Array_ElectricalChargeData,ROW()-16,COLUMN()*2-3)),"",INDEX(Array_ElectricalChargeData,ROW()-16,COLUMN()*2-3))</f>
        <v/>
      </c>
      <c r="O75" t="str" cm="1">
        <f>IF(ISBLANK(INDEX(Array_ElectricalChargeData,ROW()-16,COLUMN()*2-3)),"",INDEX(Array_ElectricalChargeData,ROW()-16,COLUMN()*2-3))</f>
        <v/>
      </c>
      <c r="P75" t="str" cm="1">
        <f>IF(ISBLANK(INDEX(Array_ElectricalChargeData,ROW()-16,COLUMN()*2-3)),"",INDEX(Array_ElectricalChargeData,ROW()-16,COLUMN()*2-3))</f>
        <v/>
      </c>
    </row>
    <row r="76" spans="1:16" x14ac:dyDescent="0.35">
      <c r="A76" t="str">
        <f>IF('Electricity Meters'!B62="",A75,'Electricity Meters'!B62)</f>
        <v>Meter Numbers</v>
      </c>
      <c r="B76" t="str" cm="1">
        <f>IF(ISBLANK(INDEX(Array_ElectricalChargeData,ROW()-16,COLUMN()*2-3)),"",INDEX(Array_ElectricalChargeData,ROW()-16,COLUMN()*2-3))</f>
        <v/>
      </c>
      <c r="C76" t="str" cm="1">
        <f>IF(ISBLANK(INDEX(Array_ElectricalChargeData,ROW()-16,COLUMN()*2-3)),"",INDEX(Array_ElectricalChargeData,ROW()-16,COLUMN()*2-3))</f>
        <v/>
      </c>
      <c r="D76" t="str" cm="1">
        <f>IF(ISBLANK(INDEX(Array_ElectricalChargeData,ROW()-16,COLUMN()*2-3)),"",INDEX(Array_ElectricalChargeData,ROW()-16,COLUMN()*2-3))</f>
        <v/>
      </c>
      <c r="E76" t="str" cm="1">
        <f>IF(ISBLANK(INDEX(Array_ElectricalChargeData,ROW()-16,COLUMN()*2-3)),"",INDEX(Array_ElectricalChargeData,ROW()-16,COLUMN()*2-3))</f>
        <v/>
      </c>
      <c r="F76" t="str" cm="1">
        <f>IF(ISBLANK(INDEX(Array_ElectricalChargeData,ROW()-16,COLUMN()*2-3)),"",INDEX(Array_ElectricalChargeData,ROW()-16,COLUMN()*2-3))</f>
        <v/>
      </c>
      <c r="G76" t="str" cm="1">
        <f>IF(ISBLANK(INDEX(Array_ElectricalChargeData,ROW()-16,COLUMN()*2-3)),"",INDEX(Array_ElectricalChargeData,ROW()-16,COLUMN()*2-3))</f>
        <v/>
      </c>
      <c r="H76" t="str" cm="1">
        <f>IF(ISBLANK(INDEX(Array_ElectricalChargeData,ROW()-16,COLUMN()*2-3)),"",INDEX(Array_ElectricalChargeData,ROW()-16,COLUMN()*2-3))</f>
        <v/>
      </c>
      <c r="I76" t="str" cm="1">
        <f>IF(ISBLANK(INDEX(Array_ElectricalChargeData,ROW()-16,COLUMN()*2-3)),"",INDEX(Array_ElectricalChargeData,ROW()-16,COLUMN()*2-3))</f>
        <v/>
      </c>
      <c r="J76" t="str" cm="1">
        <f>IF(ISBLANK(INDEX(Array_ElectricalChargeData,ROW()-16,COLUMN()*2-3)),"",INDEX(Array_ElectricalChargeData,ROW()-16,COLUMN()*2-3))</f>
        <v/>
      </c>
      <c r="K76" t="str" cm="1">
        <f>IF(ISBLANK(INDEX(Array_ElectricalChargeData,ROW()-16,COLUMN()*2-3)),"",INDEX(Array_ElectricalChargeData,ROW()-16,COLUMN()*2-3))</f>
        <v/>
      </c>
      <c r="L76" t="str" cm="1">
        <f>IF(ISBLANK(INDEX(Array_ElectricalChargeData,ROW()-16,COLUMN()*2-3)),"",INDEX(Array_ElectricalChargeData,ROW()-16,COLUMN()*2-3))</f>
        <v/>
      </c>
      <c r="M76" t="str" cm="1">
        <f>IF(ISBLANK(INDEX(Array_ElectricalChargeData,ROW()-16,COLUMN()*2-3)),"",INDEX(Array_ElectricalChargeData,ROW()-16,COLUMN()*2-3))</f>
        <v/>
      </c>
      <c r="N76" t="str" cm="1">
        <f>IF(ISBLANK(INDEX(Array_ElectricalChargeData,ROW()-16,COLUMN()*2-3)),"",INDEX(Array_ElectricalChargeData,ROW()-16,COLUMN()*2-3))</f>
        <v/>
      </c>
      <c r="O76" t="str" cm="1">
        <f>IF(ISBLANK(INDEX(Array_ElectricalChargeData,ROW()-16,COLUMN()*2-3)),"",INDEX(Array_ElectricalChargeData,ROW()-16,COLUMN()*2-3))</f>
        <v/>
      </c>
      <c r="P76" t="str" cm="1">
        <f>IF(ISBLANK(INDEX(Array_ElectricalChargeData,ROW()-16,COLUMN()*2-3)),"",INDEX(Array_ElectricalChargeData,ROW()-16,COLUMN()*2-3))</f>
        <v/>
      </c>
    </row>
    <row r="77" spans="1:16" x14ac:dyDescent="0.35">
      <c r="A77" t="str">
        <f>IF('Electricity Meters'!B63="",A76,'Electricity Meters'!B63)</f>
        <v>Meter Numbers</v>
      </c>
      <c r="B77" t="str" cm="1">
        <f>IF(ISBLANK(INDEX(Array_ElectricalChargeData,ROW()-16,COLUMN()*2-3)),"",INDEX(Array_ElectricalChargeData,ROW()-16,COLUMN()*2-3))</f>
        <v/>
      </c>
      <c r="C77" t="str" cm="1">
        <f>IF(ISBLANK(INDEX(Array_ElectricalChargeData,ROW()-16,COLUMN()*2-3)),"",INDEX(Array_ElectricalChargeData,ROW()-16,COLUMN()*2-3))</f>
        <v/>
      </c>
      <c r="D77" t="str" cm="1">
        <f>IF(ISBLANK(INDEX(Array_ElectricalChargeData,ROW()-16,COLUMN()*2-3)),"",INDEX(Array_ElectricalChargeData,ROW()-16,COLUMN()*2-3))</f>
        <v/>
      </c>
      <c r="E77" t="str" cm="1">
        <f>IF(ISBLANK(INDEX(Array_ElectricalChargeData,ROW()-16,COLUMN()*2-3)),"",INDEX(Array_ElectricalChargeData,ROW()-16,COLUMN()*2-3))</f>
        <v/>
      </c>
      <c r="F77" t="str" cm="1">
        <f>IF(ISBLANK(INDEX(Array_ElectricalChargeData,ROW()-16,COLUMN()*2-3)),"",INDEX(Array_ElectricalChargeData,ROW()-16,COLUMN()*2-3))</f>
        <v/>
      </c>
      <c r="G77" t="str" cm="1">
        <f>IF(ISBLANK(INDEX(Array_ElectricalChargeData,ROW()-16,COLUMN()*2-3)),"",INDEX(Array_ElectricalChargeData,ROW()-16,COLUMN()*2-3))</f>
        <v/>
      </c>
      <c r="H77" t="str" cm="1">
        <f>IF(ISBLANK(INDEX(Array_ElectricalChargeData,ROW()-16,COLUMN()*2-3)),"",INDEX(Array_ElectricalChargeData,ROW()-16,COLUMN()*2-3))</f>
        <v/>
      </c>
      <c r="I77" t="str" cm="1">
        <f>IF(ISBLANK(INDEX(Array_ElectricalChargeData,ROW()-16,COLUMN()*2-3)),"",INDEX(Array_ElectricalChargeData,ROW()-16,COLUMN()*2-3))</f>
        <v/>
      </c>
      <c r="J77" t="str" cm="1">
        <f>IF(ISBLANK(INDEX(Array_ElectricalChargeData,ROW()-16,COLUMN()*2-3)),"",INDEX(Array_ElectricalChargeData,ROW()-16,COLUMN()*2-3))</f>
        <v/>
      </c>
      <c r="K77" t="str" cm="1">
        <f>IF(ISBLANK(INDEX(Array_ElectricalChargeData,ROW()-16,COLUMN()*2-3)),"",INDEX(Array_ElectricalChargeData,ROW()-16,COLUMN()*2-3))</f>
        <v/>
      </c>
      <c r="L77" t="str" cm="1">
        <f>IF(ISBLANK(INDEX(Array_ElectricalChargeData,ROW()-16,COLUMN()*2-3)),"",INDEX(Array_ElectricalChargeData,ROW()-16,COLUMN()*2-3))</f>
        <v/>
      </c>
      <c r="M77" t="str" cm="1">
        <f>IF(ISBLANK(INDEX(Array_ElectricalChargeData,ROW()-16,COLUMN()*2-3)),"",INDEX(Array_ElectricalChargeData,ROW()-16,COLUMN()*2-3))</f>
        <v/>
      </c>
      <c r="N77" t="str" cm="1">
        <f>IF(ISBLANK(INDEX(Array_ElectricalChargeData,ROW()-16,COLUMN()*2-3)),"",INDEX(Array_ElectricalChargeData,ROW()-16,COLUMN()*2-3))</f>
        <v/>
      </c>
      <c r="O77" t="str" cm="1">
        <f>IF(ISBLANK(INDEX(Array_ElectricalChargeData,ROW()-16,COLUMN()*2-3)),"",INDEX(Array_ElectricalChargeData,ROW()-16,COLUMN()*2-3))</f>
        <v/>
      </c>
      <c r="P77" t="str" cm="1">
        <f>IF(ISBLANK(INDEX(Array_ElectricalChargeData,ROW()-16,COLUMN()*2-3)),"",INDEX(Array_ElectricalChargeData,ROW()-16,COLUMN()*2-3))</f>
        <v/>
      </c>
    </row>
    <row r="78" spans="1:16" x14ac:dyDescent="0.35">
      <c r="A78" t="str">
        <f>IF('Electricity Meters'!B64="",A77,'Electricity Meters'!B64)</f>
        <v>Meter Numbers</v>
      </c>
      <c r="B78" t="str" cm="1">
        <f>IF(ISBLANK(INDEX(Array_ElectricalChargeData,ROW()-16,COLUMN()*2-3)),"",INDEX(Array_ElectricalChargeData,ROW()-16,COLUMN()*2-3))</f>
        <v/>
      </c>
      <c r="C78" t="str" cm="1">
        <f>IF(ISBLANK(INDEX(Array_ElectricalChargeData,ROW()-16,COLUMN()*2-3)),"",INDEX(Array_ElectricalChargeData,ROW()-16,COLUMN()*2-3))</f>
        <v/>
      </c>
      <c r="D78" t="str" cm="1">
        <f>IF(ISBLANK(INDEX(Array_ElectricalChargeData,ROW()-16,COLUMN()*2-3)),"",INDEX(Array_ElectricalChargeData,ROW()-16,COLUMN()*2-3))</f>
        <v/>
      </c>
      <c r="E78" t="str" cm="1">
        <f>IF(ISBLANK(INDEX(Array_ElectricalChargeData,ROW()-16,COLUMN()*2-3)),"",INDEX(Array_ElectricalChargeData,ROW()-16,COLUMN()*2-3))</f>
        <v/>
      </c>
      <c r="F78" t="str" cm="1">
        <f>IF(ISBLANK(INDEX(Array_ElectricalChargeData,ROW()-16,COLUMN()*2-3)),"",INDEX(Array_ElectricalChargeData,ROW()-16,COLUMN()*2-3))</f>
        <v/>
      </c>
      <c r="G78" t="str" cm="1">
        <f>IF(ISBLANK(INDEX(Array_ElectricalChargeData,ROW()-16,COLUMN()*2-3)),"",INDEX(Array_ElectricalChargeData,ROW()-16,COLUMN()*2-3))</f>
        <v/>
      </c>
      <c r="H78" t="str" cm="1">
        <f>IF(ISBLANK(INDEX(Array_ElectricalChargeData,ROW()-16,COLUMN()*2-3)),"",INDEX(Array_ElectricalChargeData,ROW()-16,COLUMN()*2-3))</f>
        <v/>
      </c>
      <c r="I78" t="str" cm="1">
        <f>IF(ISBLANK(INDEX(Array_ElectricalChargeData,ROW()-16,COLUMN()*2-3)),"",INDEX(Array_ElectricalChargeData,ROW()-16,COLUMN()*2-3))</f>
        <v/>
      </c>
      <c r="J78" t="str" cm="1">
        <f>IF(ISBLANK(INDEX(Array_ElectricalChargeData,ROW()-16,COLUMN()*2-3)),"",INDEX(Array_ElectricalChargeData,ROW()-16,COLUMN()*2-3))</f>
        <v/>
      </c>
      <c r="K78" t="str" cm="1">
        <f>IF(ISBLANK(INDEX(Array_ElectricalChargeData,ROW()-16,COLUMN()*2-3)),"",INDEX(Array_ElectricalChargeData,ROW()-16,COLUMN()*2-3))</f>
        <v/>
      </c>
      <c r="L78" t="str" cm="1">
        <f>IF(ISBLANK(INDEX(Array_ElectricalChargeData,ROW()-16,COLUMN()*2-3)),"",INDEX(Array_ElectricalChargeData,ROW()-16,COLUMN()*2-3))</f>
        <v/>
      </c>
      <c r="M78" t="str" cm="1">
        <f>IF(ISBLANK(INDEX(Array_ElectricalChargeData,ROW()-16,COLUMN()*2-3)),"",INDEX(Array_ElectricalChargeData,ROW()-16,COLUMN()*2-3))</f>
        <v/>
      </c>
      <c r="N78" t="str" cm="1">
        <f>IF(ISBLANK(INDEX(Array_ElectricalChargeData,ROW()-16,COLUMN()*2-3)),"",INDEX(Array_ElectricalChargeData,ROW()-16,COLUMN()*2-3))</f>
        <v/>
      </c>
      <c r="O78" t="str" cm="1">
        <f>IF(ISBLANK(INDEX(Array_ElectricalChargeData,ROW()-16,COLUMN()*2-3)),"",INDEX(Array_ElectricalChargeData,ROW()-16,COLUMN()*2-3))</f>
        <v/>
      </c>
      <c r="P78" t="str" cm="1">
        <f>IF(ISBLANK(INDEX(Array_ElectricalChargeData,ROW()-16,COLUMN()*2-3)),"",INDEX(Array_ElectricalChargeData,ROW()-16,COLUMN()*2-3))</f>
        <v/>
      </c>
    </row>
    <row r="79" spans="1:16" x14ac:dyDescent="0.35">
      <c r="A79" t="str">
        <f>IF('Electricity Meters'!B65="",A78,'Electricity Meters'!B65)</f>
        <v>Meter Numbers</v>
      </c>
      <c r="B79" t="str" cm="1">
        <f>IF(ISBLANK(INDEX(Array_ElectricalChargeData,ROW()-16,COLUMN()*2-3)),"",INDEX(Array_ElectricalChargeData,ROW()-16,COLUMN()*2-3))</f>
        <v/>
      </c>
      <c r="C79" t="str" cm="1">
        <f>IF(ISBLANK(INDEX(Array_ElectricalChargeData,ROW()-16,COLUMN()*2-3)),"",INDEX(Array_ElectricalChargeData,ROW()-16,COLUMN()*2-3))</f>
        <v/>
      </c>
      <c r="D79" t="str" cm="1">
        <f>IF(ISBLANK(INDEX(Array_ElectricalChargeData,ROW()-16,COLUMN()*2-3)),"",INDEX(Array_ElectricalChargeData,ROW()-16,COLUMN()*2-3))</f>
        <v/>
      </c>
      <c r="E79" t="str" cm="1">
        <f>IF(ISBLANK(INDEX(Array_ElectricalChargeData,ROW()-16,COLUMN()*2-3)),"",INDEX(Array_ElectricalChargeData,ROW()-16,COLUMN()*2-3))</f>
        <v/>
      </c>
      <c r="F79" t="str" cm="1">
        <f>IF(ISBLANK(INDEX(Array_ElectricalChargeData,ROW()-16,COLUMN()*2-3)),"",INDEX(Array_ElectricalChargeData,ROW()-16,COLUMN()*2-3))</f>
        <v/>
      </c>
      <c r="G79" t="str" cm="1">
        <f>IF(ISBLANK(INDEX(Array_ElectricalChargeData,ROW()-16,COLUMN()*2-3)),"",INDEX(Array_ElectricalChargeData,ROW()-16,COLUMN()*2-3))</f>
        <v/>
      </c>
      <c r="H79" t="str" cm="1">
        <f>IF(ISBLANK(INDEX(Array_ElectricalChargeData,ROW()-16,COLUMN()*2-3)),"",INDEX(Array_ElectricalChargeData,ROW()-16,COLUMN()*2-3))</f>
        <v/>
      </c>
      <c r="I79" t="str" cm="1">
        <f>IF(ISBLANK(INDEX(Array_ElectricalChargeData,ROW()-16,COLUMN()*2-3)),"",INDEX(Array_ElectricalChargeData,ROW()-16,COLUMN()*2-3))</f>
        <v/>
      </c>
      <c r="J79" t="str" cm="1">
        <f>IF(ISBLANK(INDEX(Array_ElectricalChargeData,ROW()-16,COLUMN()*2-3)),"",INDEX(Array_ElectricalChargeData,ROW()-16,COLUMN()*2-3))</f>
        <v/>
      </c>
      <c r="K79" t="str" cm="1">
        <f>IF(ISBLANK(INDEX(Array_ElectricalChargeData,ROW()-16,COLUMN()*2-3)),"",INDEX(Array_ElectricalChargeData,ROW()-16,COLUMN()*2-3))</f>
        <v/>
      </c>
      <c r="L79" t="str" cm="1">
        <f>IF(ISBLANK(INDEX(Array_ElectricalChargeData,ROW()-16,COLUMN()*2-3)),"",INDEX(Array_ElectricalChargeData,ROW()-16,COLUMN()*2-3))</f>
        <v/>
      </c>
      <c r="M79" t="str" cm="1">
        <f>IF(ISBLANK(INDEX(Array_ElectricalChargeData,ROW()-16,COLUMN()*2-3)),"",INDEX(Array_ElectricalChargeData,ROW()-16,COLUMN()*2-3))</f>
        <v/>
      </c>
      <c r="N79" t="str" cm="1">
        <f>IF(ISBLANK(INDEX(Array_ElectricalChargeData,ROW()-16,COLUMN()*2-3)),"",INDEX(Array_ElectricalChargeData,ROW()-16,COLUMN()*2-3))</f>
        <v/>
      </c>
      <c r="O79" t="str" cm="1">
        <f>IF(ISBLANK(INDEX(Array_ElectricalChargeData,ROW()-16,COLUMN()*2-3)),"",INDEX(Array_ElectricalChargeData,ROW()-16,COLUMN()*2-3))</f>
        <v/>
      </c>
      <c r="P79" t="str" cm="1">
        <f>IF(ISBLANK(INDEX(Array_ElectricalChargeData,ROW()-16,COLUMN()*2-3)),"",INDEX(Array_ElectricalChargeData,ROW()-16,COLUMN()*2-3))</f>
        <v/>
      </c>
    </row>
    <row r="80" spans="1:16" x14ac:dyDescent="0.35">
      <c r="A80" t="str">
        <f>IF('Electricity Meters'!B66="",A79,'Electricity Meters'!B66)</f>
        <v>Meter Numbers</v>
      </c>
      <c r="B80" t="str" cm="1">
        <f>IF(ISBLANK(INDEX(Array_ElectricalChargeData,ROW()-16,COLUMN()*2-3)),"",INDEX(Array_ElectricalChargeData,ROW()-16,COLUMN()*2-3))</f>
        <v/>
      </c>
      <c r="C80" t="str" cm="1">
        <f>IF(ISBLANK(INDEX(Array_ElectricalChargeData,ROW()-16,COLUMN()*2-3)),"",INDEX(Array_ElectricalChargeData,ROW()-16,COLUMN()*2-3))</f>
        <v/>
      </c>
      <c r="D80" t="str" cm="1">
        <f>IF(ISBLANK(INDEX(Array_ElectricalChargeData,ROW()-16,COLUMN()*2-3)),"",INDEX(Array_ElectricalChargeData,ROW()-16,COLUMN()*2-3))</f>
        <v/>
      </c>
      <c r="E80" t="str" cm="1">
        <f>IF(ISBLANK(INDEX(Array_ElectricalChargeData,ROW()-16,COLUMN()*2-3)),"",INDEX(Array_ElectricalChargeData,ROW()-16,COLUMN()*2-3))</f>
        <v/>
      </c>
      <c r="F80" t="str" cm="1">
        <f>IF(ISBLANK(INDEX(Array_ElectricalChargeData,ROW()-16,COLUMN()*2-3)),"",INDEX(Array_ElectricalChargeData,ROW()-16,COLUMN()*2-3))</f>
        <v/>
      </c>
      <c r="G80" t="str" cm="1">
        <f>IF(ISBLANK(INDEX(Array_ElectricalChargeData,ROW()-16,COLUMN()*2-3)),"",INDEX(Array_ElectricalChargeData,ROW()-16,COLUMN()*2-3))</f>
        <v/>
      </c>
      <c r="H80" t="str" cm="1">
        <f>IF(ISBLANK(INDEX(Array_ElectricalChargeData,ROW()-16,COLUMN()*2-3)),"",INDEX(Array_ElectricalChargeData,ROW()-16,COLUMN()*2-3))</f>
        <v/>
      </c>
      <c r="I80" t="str" cm="1">
        <f>IF(ISBLANK(INDEX(Array_ElectricalChargeData,ROW()-16,COLUMN()*2-3)),"",INDEX(Array_ElectricalChargeData,ROW()-16,COLUMN()*2-3))</f>
        <v/>
      </c>
      <c r="J80" t="str" cm="1">
        <f>IF(ISBLANK(INDEX(Array_ElectricalChargeData,ROW()-16,COLUMN()*2-3)),"",INDEX(Array_ElectricalChargeData,ROW()-16,COLUMN()*2-3))</f>
        <v/>
      </c>
      <c r="K80" t="str" cm="1">
        <f>IF(ISBLANK(INDEX(Array_ElectricalChargeData,ROW()-16,COLUMN()*2-3)),"",INDEX(Array_ElectricalChargeData,ROW()-16,COLUMN()*2-3))</f>
        <v/>
      </c>
      <c r="L80" t="str" cm="1">
        <f>IF(ISBLANK(INDEX(Array_ElectricalChargeData,ROW()-16,COLUMN()*2-3)),"",INDEX(Array_ElectricalChargeData,ROW()-16,COLUMN()*2-3))</f>
        <v/>
      </c>
      <c r="M80" t="str" cm="1">
        <f>IF(ISBLANK(INDEX(Array_ElectricalChargeData,ROW()-16,COLUMN()*2-3)),"",INDEX(Array_ElectricalChargeData,ROW()-16,COLUMN()*2-3))</f>
        <v/>
      </c>
      <c r="N80" t="str" cm="1">
        <f>IF(ISBLANK(INDEX(Array_ElectricalChargeData,ROW()-16,COLUMN()*2-3)),"",INDEX(Array_ElectricalChargeData,ROW()-16,COLUMN()*2-3))</f>
        <v/>
      </c>
      <c r="O80" t="str" cm="1">
        <f>IF(ISBLANK(INDEX(Array_ElectricalChargeData,ROW()-16,COLUMN()*2-3)),"",INDEX(Array_ElectricalChargeData,ROW()-16,COLUMN()*2-3))</f>
        <v/>
      </c>
      <c r="P80" t="str" cm="1">
        <f>IF(ISBLANK(INDEX(Array_ElectricalChargeData,ROW()-16,COLUMN()*2-3)),"",INDEX(Array_ElectricalChargeData,ROW()-16,COLUMN()*2-3))</f>
        <v/>
      </c>
    </row>
    <row r="81" spans="1:16" x14ac:dyDescent="0.35">
      <c r="A81" t="str">
        <f>IF('Electricity Meters'!B67="",A80,'Electricity Meters'!B67)</f>
        <v>Meter Numbers</v>
      </c>
      <c r="B81" t="str" cm="1">
        <f>IF(ISBLANK(INDEX(Array_ElectricalChargeData,ROW()-16,COLUMN()*2-3)),"",INDEX(Array_ElectricalChargeData,ROW()-16,COLUMN()*2-3))</f>
        <v/>
      </c>
      <c r="C81" t="str" cm="1">
        <f>IF(ISBLANK(INDEX(Array_ElectricalChargeData,ROW()-16,COLUMN()*2-3)),"",INDEX(Array_ElectricalChargeData,ROW()-16,COLUMN()*2-3))</f>
        <v/>
      </c>
      <c r="D81" t="str" cm="1">
        <f>IF(ISBLANK(INDEX(Array_ElectricalChargeData,ROW()-16,COLUMN()*2-3)),"",INDEX(Array_ElectricalChargeData,ROW()-16,COLUMN()*2-3))</f>
        <v/>
      </c>
      <c r="E81" t="str" cm="1">
        <f>IF(ISBLANK(INDEX(Array_ElectricalChargeData,ROW()-16,COLUMN()*2-3)),"",INDEX(Array_ElectricalChargeData,ROW()-16,COLUMN()*2-3))</f>
        <v/>
      </c>
      <c r="F81" t="str" cm="1">
        <f>IF(ISBLANK(INDEX(Array_ElectricalChargeData,ROW()-16,COLUMN()*2-3)),"",INDEX(Array_ElectricalChargeData,ROW()-16,COLUMN()*2-3))</f>
        <v/>
      </c>
      <c r="G81" t="str" cm="1">
        <f>IF(ISBLANK(INDEX(Array_ElectricalChargeData,ROW()-16,COLUMN()*2-3)),"",INDEX(Array_ElectricalChargeData,ROW()-16,COLUMN()*2-3))</f>
        <v/>
      </c>
      <c r="H81" t="str" cm="1">
        <f>IF(ISBLANK(INDEX(Array_ElectricalChargeData,ROW()-16,COLUMN()*2-3)),"",INDEX(Array_ElectricalChargeData,ROW()-16,COLUMN()*2-3))</f>
        <v/>
      </c>
      <c r="I81" t="str" cm="1">
        <f>IF(ISBLANK(INDEX(Array_ElectricalChargeData,ROW()-16,COLUMN()*2-3)),"",INDEX(Array_ElectricalChargeData,ROW()-16,COLUMN()*2-3))</f>
        <v/>
      </c>
      <c r="J81" t="str" cm="1">
        <f>IF(ISBLANK(INDEX(Array_ElectricalChargeData,ROW()-16,COLUMN()*2-3)),"",INDEX(Array_ElectricalChargeData,ROW()-16,COLUMN()*2-3))</f>
        <v/>
      </c>
      <c r="K81" t="str" cm="1">
        <f>IF(ISBLANK(INDEX(Array_ElectricalChargeData,ROW()-16,COLUMN()*2-3)),"",INDEX(Array_ElectricalChargeData,ROW()-16,COLUMN()*2-3))</f>
        <v/>
      </c>
      <c r="L81" t="str" cm="1">
        <f>IF(ISBLANK(INDEX(Array_ElectricalChargeData,ROW()-16,COLUMN()*2-3)),"",INDEX(Array_ElectricalChargeData,ROW()-16,COLUMN()*2-3))</f>
        <v/>
      </c>
      <c r="M81" t="str" cm="1">
        <f>IF(ISBLANK(INDEX(Array_ElectricalChargeData,ROW()-16,COLUMN()*2-3)),"",INDEX(Array_ElectricalChargeData,ROW()-16,COLUMN()*2-3))</f>
        <v/>
      </c>
      <c r="N81" t="str" cm="1">
        <f>IF(ISBLANK(INDEX(Array_ElectricalChargeData,ROW()-16,COLUMN()*2-3)),"",INDEX(Array_ElectricalChargeData,ROW()-16,COLUMN()*2-3))</f>
        <v/>
      </c>
      <c r="O81" t="str" cm="1">
        <f>IF(ISBLANK(INDEX(Array_ElectricalChargeData,ROW()-16,COLUMN()*2-3)),"",INDEX(Array_ElectricalChargeData,ROW()-16,COLUMN()*2-3))</f>
        <v/>
      </c>
      <c r="P81" t="str" cm="1">
        <f>IF(ISBLANK(INDEX(Array_ElectricalChargeData,ROW()-16,COLUMN()*2-3)),"",INDEX(Array_ElectricalChargeData,ROW()-16,COLUMN()*2-3))</f>
        <v/>
      </c>
    </row>
    <row r="82" spans="1:16" x14ac:dyDescent="0.35">
      <c r="A82" t="str">
        <f>IF('Electricity Meters'!B68="",A81,'Electricity Meters'!B68)</f>
        <v>Meter Numbers</v>
      </c>
      <c r="B82" t="str" cm="1">
        <f>IF(ISBLANK(INDEX(Array_ElectricalChargeData,ROW()-16,COLUMN()*2-3)),"",INDEX(Array_ElectricalChargeData,ROW()-16,COLUMN()*2-3))</f>
        <v/>
      </c>
      <c r="C82" t="str" cm="1">
        <f>IF(ISBLANK(INDEX(Array_ElectricalChargeData,ROW()-16,COLUMN()*2-3)),"",INDEX(Array_ElectricalChargeData,ROW()-16,COLUMN()*2-3))</f>
        <v/>
      </c>
      <c r="D82" t="str" cm="1">
        <f>IF(ISBLANK(INDEX(Array_ElectricalChargeData,ROW()-16,COLUMN()*2-3)),"",INDEX(Array_ElectricalChargeData,ROW()-16,COLUMN()*2-3))</f>
        <v/>
      </c>
      <c r="E82" t="str" cm="1">
        <f>IF(ISBLANK(INDEX(Array_ElectricalChargeData,ROW()-16,COLUMN()*2-3)),"",INDEX(Array_ElectricalChargeData,ROW()-16,COLUMN()*2-3))</f>
        <v/>
      </c>
      <c r="F82" t="str" cm="1">
        <f>IF(ISBLANK(INDEX(Array_ElectricalChargeData,ROW()-16,COLUMN()*2-3)),"",INDEX(Array_ElectricalChargeData,ROW()-16,COLUMN()*2-3))</f>
        <v/>
      </c>
      <c r="G82" t="str" cm="1">
        <f>IF(ISBLANK(INDEX(Array_ElectricalChargeData,ROW()-16,COLUMN()*2-3)),"",INDEX(Array_ElectricalChargeData,ROW()-16,COLUMN()*2-3))</f>
        <v/>
      </c>
      <c r="H82" t="str" cm="1">
        <f>IF(ISBLANK(INDEX(Array_ElectricalChargeData,ROW()-16,COLUMN()*2-3)),"",INDEX(Array_ElectricalChargeData,ROW()-16,COLUMN()*2-3))</f>
        <v/>
      </c>
      <c r="I82" t="str" cm="1">
        <f>IF(ISBLANK(INDEX(Array_ElectricalChargeData,ROW()-16,COLUMN()*2-3)),"",INDEX(Array_ElectricalChargeData,ROW()-16,COLUMN()*2-3))</f>
        <v/>
      </c>
      <c r="J82" t="str" cm="1">
        <f>IF(ISBLANK(INDEX(Array_ElectricalChargeData,ROW()-16,COLUMN()*2-3)),"",INDEX(Array_ElectricalChargeData,ROW()-16,COLUMN()*2-3))</f>
        <v/>
      </c>
      <c r="K82" t="str" cm="1">
        <f>IF(ISBLANK(INDEX(Array_ElectricalChargeData,ROW()-16,COLUMN()*2-3)),"",INDEX(Array_ElectricalChargeData,ROW()-16,COLUMN()*2-3))</f>
        <v/>
      </c>
      <c r="L82" t="str" cm="1">
        <f>IF(ISBLANK(INDEX(Array_ElectricalChargeData,ROW()-16,COLUMN()*2-3)),"",INDEX(Array_ElectricalChargeData,ROW()-16,COLUMN()*2-3))</f>
        <v/>
      </c>
      <c r="M82" t="str" cm="1">
        <f>IF(ISBLANK(INDEX(Array_ElectricalChargeData,ROW()-16,COLUMN()*2-3)),"",INDEX(Array_ElectricalChargeData,ROW()-16,COLUMN()*2-3))</f>
        <v/>
      </c>
      <c r="N82" t="str" cm="1">
        <f>IF(ISBLANK(INDEX(Array_ElectricalChargeData,ROW()-16,COLUMN()*2-3)),"",INDEX(Array_ElectricalChargeData,ROW()-16,COLUMN()*2-3))</f>
        <v/>
      </c>
      <c r="O82" t="str" cm="1">
        <f>IF(ISBLANK(INDEX(Array_ElectricalChargeData,ROW()-16,COLUMN()*2-3)),"",INDEX(Array_ElectricalChargeData,ROW()-16,COLUMN()*2-3))</f>
        <v/>
      </c>
      <c r="P82" t="str" cm="1">
        <f>IF(ISBLANK(INDEX(Array_ElectricalChargeData,ROW()-16,COLUMN()*2-3)),"",INDEX(Array_ElectricalChargeData,ROW()-16,COLUMN()*2-3))</f>
        <v/>
      </c>
    </row>
    <row r="83" spans="1:16" x14ac:dyDescent="0.35">
      <c r="A83" t="str">
        <f>IF('Electricity Meters'!B69="",A82,'Electricity Meters'!B69)</f>
        <v>Meter Numbers</v>
      </c>
      <c r="B83" t="str" cm="1">
        <f>IF(ISBLANK(INDEX(Array_ElectricalChargeData,ROW()-16,COLUMN()*2-3)),"",INDEX(Array_ElectricalChargeData,ROW()-16,COLUMN()*2-3))</f>
        <v/>
      </c>
      <c r="C83" t="str" cm="1">
        <f>IF(ISBLANK(INDEX(Array_ElectricalChargeData,ROW()-16,COLUMN()*2-3)),"",INDEX(Array_ElectricalChargeData,ROW()-16,COLUMN()*2-3))</f>
        <v/>
      </c>
      <c r="D83" t="str" cm="1">
        <f>IF(ISBLANK(INDEX(Array_ElectricalChargeData,ROW()-16,COLUMN()*2-3)),"",INDEX(Array_ElectricalChargeData,ROW()-16,COLUMN()*2-3))</f>
        <v/>
      </c>
      <c r="E83" t="str" cm="1">
        <f>IF(ISBLANK(INDEX(Array_ElectricalChargeData,ROW()-16,COLUMN()*2-3)),"",INDEX(Array_ElectricalChargeData,ROW()-16,COLUMN()*2-3))</f>
        <v/>
      </c>
      <c r="F83" t="str" cm="1">
        <f>IF(ISBLANK(INDEX(Array_ElectricalChargeData,ROW()-16,COLUMN()*2-3)),"",INDEX(Array_ElectricalChargeData,ROW()-16,COLUMN()*2-3))</f>
        <v/>
      </c>
      <c r="G83" t="str" cm="1">
        <f>IF(ISBLANK(INDEX(Array_ElectricalChargeData,ROW()-16,COLUMN()*2-3)),"",INDEX(Array_ElectricalChargeData,ROW()-16,COLUMN()*2-3))</f>
        <v/>
      </c>
      <c r="H83" t="str" cm="1">
        <f>IF(ISBLANK(INDEX(Array_ElectricalChargeData,ROW()-16,COLUMN()*2-3)),"",INDEX(Array_ElectricalChargeData,ROW()-16,COLUMN()*2-3))</f>
        <v/>
      </c>
      <c r="I83" t="str" cm="1">
        <f>IF(ISBLANK(INDEX(Array_ElectricalChargeData,ROW()-16,COLUMN()*2-3)),"",INDEX(Array_ElectricalChargeData,ROW()-16,COLUMN()*2-3))</f>
        <v/>
      </c>
      <c r="J83" t="str" cm="1">
        <f>IF(ISBLANK(INDEX(Array_ElectricalChargeData,ROW()-16,COLUMN()*2-3)),"",INDEX(Array_ElectricalChargeData,ROW()-16,COLUMN()*2-3))</f>
        <v/>
      </c>
      <c r="K83" t="str" cm="1">
        <f>IF(ISBLANK(INDEX(Array_ElectricalChargeData,ROW()-16,COLUMN()*2-3)),"",INDEX(Array_ElectricalChargeData,ROW()-16,COLUMN()*2-3))</f>
        <v/>
      </c>
      <c r="L83" t="str" cm="1">
        <f>IF(ISBLANK(INDEX(Array_ElectricalChargeData,ROW()-16,COLUMN()*2-3)),"",INDEX(Array_ElectricalChargeData,ROW()-16,COLUMN()*2-3))</f>
        <v/>
      </c>
      <c r="M83" t="str" cm="1">
        <f>IF(ISBLANK(INDEX(Array_ElectricalChargeData,ROW()-16,COLUMN()*2-3)),"",INDEX(Array_ElectricalChargeData,ROW()-16,COLUMN()*2-3))</f>
        <v/>
      </c>
      <c r="N83" t="str" cm="1">
        <f>IF(ISBLANK(INDEX(Array_ElectricalChargeData,ROW()-16,COLUMN()*2-3)),"",INDEX(Array_ElectricalChargeData,ROW()-16,COLUMN()*2-3))</f>
        <v/>
      </c>
      <c r="O83" t="str" cm="1">
        <f>IF(ISBLANK(INDEX(Array_ElectricalChargeData,ROW()-16,COLUMN()*2-3)),"",INDEX(Array_ElectricalChargeData,ROW()-16,COLUMN()*2-3))</f>
        <v/>
      </c>
      <c r="P83" t="str" cm="1">
        <f>IF(ISBLANK(INDEX(Array_ElectricalChargeData,ROW()-16,COLUMN()*2-3)),"",INDEX(Array_ElectricalChargeData,ROW()-16,COLUMN()*2-3))</f>
        <v/>
      </c>
    </row>
    <row r="84" spans="1:16" x14ac:dyDescent="0.35">
      <c r="A84" t="str">
        <f>IF('Electricity Meters'!B70="",A83,'Electricity Meters'!B70)</f>
        <v>Meter Numbers</v>
      </c>
      <c r="B84" t="str" cm="1">
        <f>IF(ISBLANK(INDEX(Array_ElectricalChargeData,ROW()-16,COLUMN()*2-3)),"",INDEX(Array_ElectricalChargeData,ROW()-16,COLUMN()*2-3))</f>
        <v/>
      </c>
      <c r="C84" t="str" cm="1">
        <f>IF(ISBLANK(INDEX(Array_ElectricalChargeData,ROW()-16,COLUMN()*2-3)),"",INDEX(Array_ElectricalChargeData,ROW()-16,COLUMN()*2-3))</f>
        <v/>
      </c>
      <c r="D84" t="str" cm="1">
        <f>IF(ISBLANK(INDEX(Array_ElectricalChargeData,ROW()-16,COLUMN()*2-3)),"",INDEX(Array_ElectricalChargeData,ROW()-16,COLUMN()*2-3))</f>
        <v/>
      </c>
      <c r="E84" t="str" cm="1">
        <f>IF(ISBLANK(INDEX(Array_ElectricalChargeData,ROW()-16,COLUMN()*2-3)),"",INDEX(Array_ElectricalChargeData,ROW()-16,COLUMN()*2-3))</f>
        <v/>
      </c>
      <c r="F84" t="str" cm="1">
        <f>IF(ISBLANK(INDEX(Array_ElectricalChargeData,ROW()-16,COLUMN()*2-3)),"",INDEX(Array_ElectricalChargeData,ROW()-16,COLUMN()*2-3))</f>
        <v/>
      </c>
      <c r="G84" t="str" cm="1">
        <f>IF(ISBLANK(INDEX(Array_ElectricalChargeData,ROW()-16,COLUMN()*2-3)),"",INDEX(Array_ElectricalChargeData,ROW()-16,COLUMN()*2-3))</f>
        <v/>
      </c>
      <c r="H84" t="str" cm="1">
        <f>IF(ISBLANK(INDEX(Array_ElectricalChargeData,ROW()-16,COLUMN()*2-3)),"",INDEX(Array_ElectricalChargeData,ROW()-16,COLUMN()*2-3))</f>
        <v/>
      </c>
      <c r="I84" t="str" cm="1">
        <f>IF(ISBLANK(INDEX(Array_ElectricalChargeData,ROW()-16,COLUMN()*2-3)),"",INDEX(Array_ElectricalChargeData,ROW()-16,COLUMN()*2-3))</f>
        <v/>
      </c>
      <c r="J84" t="str" cm="1">
        <f>IF(ISBLANK(INDEX(Array_ElectricalChargeData,ROW()-16,COLUMN()*2-3)),"",INDEX(Array_ElectricalChargeData,ROW()-16,COLUMN()*2-3))</f>
        <v/>
      </c>
      <c r="K84" t="str" cm="1">
        <f>IF(ISBLANK(INDEX(Array_ElectricalChargeData,ROW()-16,COLUMN()*2-3)),"",INDEX(Array_ElectricalChargeData,ROW()-16,COLUMN()*2-3))</f>
        <v/>
      </c>
      <c r="L84" t="str" cm="1">
        <f>IF(ISBLANK(INDEX(Array_ElectricalChargeData,ROW()-16,COLUMN()*2-3)),"",INDEX(Array_ElectricalChargeData,ROW()-16,COLUMN()*2-3))</f>
        <v/>
      </c>
      <c r="M84" t="str" cm="1">
        <f>IF(ISBLANK(INDEX(Array_ElectricalChargeData,ROW()-16,COLUMN()*2-3)),"",INDEX(Array_ElectricalChargeData,ROW()-16,COLUMN()*2-3))</f>
        <v/>
      </c>
      <c r="N84" t="str" cm="1">
        <f>IF(ISBLANK(INDEX(Array_ElectricalChargeData,ROW()-16,COLUMN()*2-3)),"",INDEX(Array_ElectricalChargeData,ROW()-16,COLUMN()*2-3))</f>
        <v/>
      </c>
      <c r="O84" t="str" cm="1">
        <f>IF(ISBLANK(INDEX(Array_ElectricalChargeData,ROW()-16,COLUMN()*2-3)),"",INDEX(Array_ElectricalChargeData,ROW()-16,COLUMN()*2-3))</f>
        <v/>
      </c>
      <c r="P84" t="str" cm="1">
        <f>IF(ISBLANK(INDEX(Array_ElectricalChargeData,ROW()-16,COLUMN()*2-3)),"",INDEX(Array_ElectricalChargeData,ROW()-16,COLUMN()*2-3))</f>
        <v/>
      </c>
    </row>
    <row r="85" spans="1:16" x14ac:dyDescent="0.35">
      <c r="A85" t="str">
        <f>IF('Electricity Meters'!B71="",A84,'Electricity Meters'!B71)</f>
        <v>Meter Numbers</v>
      </c>
      <c r="B85" t="str" cm="1">
        <f>IF(ISBLANK(INDEX(Array_ElectricalChargeData,ROW()-16,COLUMN()*2-3)),"",INDEX(Array_ElectricalChargeData,ROW()-16,COLUMN()*2-3))</f>
        <v/>
      </c>
      <c r="C85" t="str" cm="1">
        <f>IF(ISBLANK(INDEX(Array_ElectricalChargeData,ROW()-16,COLUMN()*2-3)),"",INDEX(Array_ElectricalChargeData,ROW()-16,COLUMN()*2-3))</f>
        <v/>
      </c>
      <c r="D85" t="str" cm="1">
        <f>IF(ISBLANK(INDEX(Array_ElectricalChargeData,ROW()-16,COLUMN()*2-3)),"",INDEX(Array_ElectricalChargeData,ROW()-16,COLUMN()*2-3))</f>
        <v/>
      </c>
      <c r="E85" t="str" cm="1">
        <f>IF(ISBLANK(INDEX(Array_ElectricalChargeData,ROW()-16,COLUMN()*2-3)),"",INDEX(Array_ElectricalChargeData,ROW()-16,COLUMN()*2-3))</f>
        <v/>
      </c>
      <c r="F85" t="str" cm="1">
        <f>IF(ISBLANK(INDEX(Array_ElectricalChargeData,ROW()-16,COLUMN()*2-3)),"",INDEX(Array_ElectricalChargeData,ROW()-16,COLUMN()*2-3))</f>
        <v/>
      </c>
      <c r="G85" t="str" cm="1">
        <f>IF(ISBLANK(INDEX(Array_ElectricalChargeData,ROW()-16,COLUMN()*2-3)),"",INDEX(Array_ElectricalChargeData,ROW()-16,COLUMN()*2-3))</f>
        <v/>
      </c>
      <c r="H85" t="str" cm="1">
        <f>IF(ISBLANK(INDEX(Array_ElectricalChargeData,ROW()-16,COLUMN()*2-3)),"",INDEX(Array_ElectricalChargeData,ROW()-16,COLUMN()*2-3))</f>
        <v/>
      </c>
      <c r="I85" t="str" cm="1">
        <f>IF(ISBLANK(INDEX(Array_ElectricalChargeData,ROW()-16,COLUMN()*2-3)),"",INDEX(Array_ElectricalChargeData,ROW()-16,COLUMN()*2-3))</f>
        <v/>
      </c>
      <c r="J85" t="str" cm="1">
        <f>IF(ISBLANK(INDEX(Array_ElectricalChargeData,ROW()-16,COLUMN()*2-3)),"",INDEX(Array_ElectricalChargeData,ROW()-16,COLUMN()*2-3))</f>
        <v/>
      </c>
      <c r="K85" t="str" cm="1">
        <f>IF(ISBLANK(INDEX(Array_ElectricalChargeData,ROW()-16,COLUMN()*2-3)),"",INDEX(Array_ElectricalChargeData,ROW()-16,COLUMN()*2-3))</f>
        <v/>
      </c>
      <c r="L85" t="str" cm="1">
        <f>IF(ISBLANK(INDEX(Array_ElectricalChargeData,ROW()-16,COLUMN()*2-3)),"",INDEX(Array_ElectricalChargeData,ROW()-16,COLUMN()*2-3))</f>
        <v/>
      </c>
      <c r="M85" t="str" cm="1">
        <f>IF(ISBLANK(INDEX(Array_ElectricalChargeData,ROW()-16,COLUMN()*2-3)),"",INDEX(Array_ElectricalChargeData,ROW()-16,COLUMN()*2-3))</f>
        <v/>
      </c>
      <c r="N85" t="str" cm="1">
        <f>IF(ISBLANK(INDEX(Array_ElectricalChargeData,ROW()-16,COLUMN()*2-3)),"",INDEX(Array_ElectricalChargeData,ROW()-16,COLUMN()*2-3))</f>
        <v/>
      </c>
      <c r="O85" t="str" cm="1">
        <f>IF(ISBLANK(INDEX(Array_ElectricalChargeData,ROW()-16,COLUMN()*2-3)),"",INDEX(Array_ElectricalChargeData,ROW()-16,COLUMN()*2-3))</f>
        <v/>
      </c>
      <c r="P85" t="str" cm="1">
        <f>IF(ISBLANK(INDEX(Array_ElectricalChargeData,ROW()-16,COLUMN()*2-3)),"",INDEX(Array_ElectricalChargeData,ROW()-16,COLUMN()*2-3))</f>
        <v/>
      </c>
    </row>
    <row r="86" spans="1:16" x14ac:dyDescent="0.35">
      <c r="A86" t="str">
        <f>IF('Electricity Meters'!B72="",A85,'Electricity Meters'!B72)</f>
        <v>Meter Numbers</v>
      </c>
      <c r="B86" t="str" cm="1">
        <f>IF(ISBLANK(INDEX(Array_ElectricalChargeData,ROW()-16,COLUMN()*2-3)),"",INDEX(Array_ElectricalChargeData,ROW()-16,COLUMN()*2-3))</f>
        <v/>
      </c>
      <c r="C86" t="str" cm="1">
        <f>IF(ISBLANK(INDEX(Array_ElectricalChargeData,ROW()-16,COLUMN()*2-3)),"",INDEX(Array_ElectricalChargeData,ROW()-16,COLUMN()*2-3))</f>
        <v/>
      </c>
      <c r="D86" t="str" cm="1">
        <f>IF(ISBLANK(INDEX(Array_ElectricalChargeData,ROW()-16,COLUMN()*2-3)),"",INDEX(Array_ElectricalChargeData,ROW()-16,COLUMN()*2-3))</f>
        <v/>
      </c>
      <c r="E86" t="str" cm="1">
        <f>IF(ISBLANK(INDEX(Array_ElectricalChargeData,ROW()-16,COLUMN()*2-3)),"",INDEX(Array_ElectricalChargeData,ROW()-16,COLUMN()*2-3))</f>
        <v/>
      </c>
      <c r="F86" t="str" cm="1">
        <f>IF(ISBLANK(INDEX(Array_ElectricalChargeData,ROW()-16,COLUMN()*2-3)),"",INDEX(Array_ElectricalChargeData,ROW()-16,COLUMN()*2-3))</f>
        <v/>
      </c>
      <c r="G86" t="str" cm="1">
        <f>IF(ISBLANK(INDEX(Array_ElectricalChargeData,ROW()-16,COLUMN()*2-3)),"",INDEX(Array_ElectricalChargeData,ROW()-16,COLUMN()*2-3))</f>
        <v/>
      </c>
      <c r="H86" t="str" cm="1">
        <f>IF(ISBLANK(INDEX(Array_ElectricalChargeData,ROW()-16,COLUMN()*2-3)),"",INDEX(Array_ElectricalChargeData,ROW()-16,COLUMN()*2-3))</f>
        <v/>
      </c>
      <c r="I86" t="str" cm="1">
        <f>IF(ISBLANK(INDEX(Array_ElectricalChargeData,ROW()-16,COLUMN()*2-3)),"",INDEX(Array_ElectricalChargeData,ROW()-16,COLUMN()*2-3))</f>
        <v/>
      </c>
      <c r="J86" t="str" cm="1">
        <f>IF(ISBLANK(INDEX(Array_ElectricalChargeData,ROW()-16,COLUMN()*2-3)),"",INDEX(Array_ElectricalChargeData,ROW()-16,COLUMN()*2-3))</f>
        <v/>
      </c>
      <c r="K86" t="str" cm="1">
        <f>IF(ISBLANK(INDEX(Array_ElectricalChargeData,ROW()-16,COLUMN()*2-3)),"",INDEX(Array_ElectricalChargeData,ROW()-16,COLUMN()*2-3))</f>
        <v/>
      </c>
      <c r="L86" t="str" cm="1">
        <f>IF(ISBLANK(INDEX(Array_ElectricalChargeData,ROW()-16,COLUMN()*2-3)),"",INDEX(Array_ElectricalChargeData,ROW()-16,COLUMN()*2-3))</f>
        <v/>
      </c>
      <c r="M86" t="str" cm="1">
        <f>IF(ISBLANK(INDEX(Array_ElectricalChargeData,ROW()-16,COLUMN()*2-3)),"",INDEX(Array_ElectricalChargeData,ROW()-16,COLUMN()*2-3))</f>
        <v/>
      </c>
      <c r="N86" t="str" cm="1">
        <f>IF(ISBLANK(INDEX(Array_ElectricalChargeData,ROW()-16,COLUMN()*2-3)),"",INDEX(Array_ElectricalChargeData,ROW()-16,COLUMN()*2-3))</f>
        <v/>
      </c>
      <c r="O86" t="str" cm="1">
        <f>IF(ISBLANK(INDEX(Array_ElectricalChargeData,ROW()-16,COLUMN()*2-3)),"",INDEX(Array_ElectricalChargeData,ROW()-16,COLUMN()*2-3))</f>
        <v/>
      </c>
      <c r="P86" t="str" cm="1">
        <f>IF(ISBLANK(INDEX(Array_ElectricalChargeData,ROW()-16,COLUMN()*2-3)),"",INDEX(Array_ElectricalChargeData,ROW()-16,COLUMN()*2-3))</f>
        <v/>
      </c>
    </row>
    <row r="87" spans="1:16" x14ac:dyDescent="0.35">
      <c r="A87" t="str">
        <f>IF('Electricity Meters'!B73="",A86,'Electricity Meters'!B73)</f>
        <v>Meter Numbers</v>
      </c>
      <c r="B87" t="str" cm="1">
        <f>IF(ISBLANK(INDEX(Array_ElectricalChargeData,ROW()-16,COLUMN()*2-3)),"",INDEX(Array_ElectricalChargeData,ROW()-16,COLUMN()*2-3))</f>
        <v/>
      </c>
      <c r="C87" t="str" cm="1">
        <f>IF(ISBLANK(INDEX(Array_ElectricalChargeData,ROW()-16,COLUMN()*2-3)),"",INDEX(Array_ElectricalChargeData,ROW()-16,COLUMN()*2-3))</f>
        <v/>
      </c>
      <c r="D87" t="str" cm="1">
        <f>IF(ISBLANK(INDEX(Array_ElectricalChargeData,ROW()-16,COLUMN()*2-3)),"",INDEX(Array_ElectricalChargeData,ROW()-16,COLUMN()*2-3))</f>
        <v/>
      </c>
      <c r="E87" t="str" cm="1">
        <f>IF(ISBLANK(INDEX(Array_ElectricalChargeData,ROW()-16,COLUMN()*2-3)),"",INDEX(Array_ElectricalChargeData,ROW()-16,COLUMN()*2-3))</f>
        <v/>
      </c>
      <c r="F87" t="str" cm="1">
        <f>IF(ISBLANK(INDEX(Array_ElectricalChargeData,ROW()-16,COLUMN()*2-3)),"",INDEX(Array_ElectricalChargeData,ROW()-16,COLUMN()*2-3))</f>
        <v/>
      </c>
      <c r="G87" t="str" cm="1">
        <f>IF(ISBLANK(INDEX(Array_ElectricalChargeData,ROW()-16,COLUMN()*2-3)),"",INDEX(Array_ElectricalChargeData,ROW()-16,COLUMN()*2-3))</f>
        <v/>
      </c>
      <c r="H87" t="str" cm="1">
        <f>IF(ISBLANK(INDEX(Array_ElectricalChargeData,ROW()-16,COLUMN()*2-3)),"",INDEX(Array_ElectricalChargeData,ROW()-16,COLUMN()*2-3))</f>
        <v/>
      </c>
      <c r="I87" t="str" cm="1">
        <f>IF(ISBLANK(INDEX(Array_ElectricalChargeData,ROW()-16,COLUMN()*2-3)),"",INDEX(Array_ElectricalChargeData,ROW()-16,COLUMN()*2-3))</f>
        <v/>
      </c>
      <c r="J87" t="str" cm="1">
        <f>IF(ISBLANK(INDEX(Array_ElectricalChargeData,ROW()-16,COLUMN()*2-3)),"",INDEX(Array_ElectricalChargeData,ROW()-16,COLUMN()*2-3))</f>
        <v/>
      </c>
      <c r="K87" t="str" cm="1">
        <f>IF(ISBLANK(INDEX(Array_ElectricalChargeData,ROW()-16,COLUMN()*2-3)),"",INDEX(Array_ElectricalChargeData,ROW()-16,COLUMN()*2-3))</f>
        <v/>
      </c>
      <c r="L87" t="str" cm="1">
        <f>IF(ISBLANK(INDEX(Array_ElectricalChargeData,ROW()-16,COLUMN()*2-3)),"",INDEX(Array_ElectricalChargeData,ROW()-16,COLUMN()*2-3))</f>
        <v/>
      </c>
      <c r="M87" t="str" cm="1">
        <f>IF(ISBLANK(INDEX(Array_ElectricalChargeData,ROW()-16,COLUMN()*2-3)),"",INDEX(Array_ElectricalChargeData,ROW()-16,COLUMN()*2-3))</f>
        <v/>
      </c>
      <c r="N87" t="str" cm="1">
        <f>IF(ISBLANK(INDEX(Array_ElectricalChargeData,ROW()-16,COLUMN()*2-3)),"",INDEX(Array_ElectricalChargeData,ROW()-16,COLUMN()*2-3))</f>
        <v/>
      </c>
      <c r="O87" t="str" cm="1">
        <f>IF(ISBLANK(INDEX(Array_ElectricalChargeData,ROW()-16,COLUMN()*2-3)),"",INDEX(Array_ElectricalChargeData,ROW()-16,COLUMN()*2-3))</f>
        <v/>
      </c>
      <c r="P87" t="str" cm="1">
        <f>IF(ISBLANK(INDEX(Array_ElectricalChargeData,ROW()-16,COLUMN()*2-3)),"",INDEX(Array_ElectricalChargeData,ROW()-16,COLUMN()*2-3))</f>
        <v/>
      </c>
    </row>
    <row r="88" spans="1:16" x14ac:dyDescent="0.35">
      <c r="A88" t="str">
        <f>IF('Electricity Meters'!B74="",A87,'Electricity Meters'!B74)</f>
        <v>Meter Numbers</v>
      </c>
      <c r="B88" t="str" cm="1">
        <f>IF(ISBLANK(INDEX(Array_ElectricalChargeData,ROW()-16,COLUMN()*2-3)),"",INDEX(Array_ElectricalChargeData,ROW()-16,COLUMN()*2-3))</f>
        <v/>
      </c>
      <c r="C88" t="str" cm="1">
        <f>IF(ISBLANK(INDEX(Array_ElectricalChargeData,ROW()-16,COLUMN()*2-3)),"",INDEX(Array_ElectricalChargeData,ROW()-16,COLUMN()*2-3))</f>
        <v/>
      </c>
      <c r="D88" t="str" cm="1">
        <f>IF(ISBLANK(INDEX(Array_ElectricalChargeData,ROW()-16,COLUMN()*2-3)),"",INDEX(Array_ElectricalChargeData,ROW()-16,COLUMN()*2-3))</f>
        <v/>
      </c>
      <c r="E88" t="str" cm="1">
        <f>IF(ISBLANK(INDEX(Array_ElectricalChargeData,ROW()-16,COLUMN()*2-3)),"",INDEX(Array_ElectricalChargeData,ROW()-16,COLUMN()*2-3))</f>
        <v/>
      </c>
      <c r="F88" t="str" cm="1">
        <f>IF(ISBLANK(INDEX(Array_ElectricalChargeData,ROW()-16,COLUMN()*2-3)),"",INDEX(Array_ElectricalChargeData,ROW()-16,COLUMN()*2-3))</f>
        <v/>
      </c>
      <c r="G88" t="str" cm="1">
        <f>IF(ISBLANK(INDEX(Array_ElectricalChargeData,ROW()-16,COLUMN()*2-3)),"",INDEX(Array_ElectricalChargeData,ROW()-16,COLUMN()*2-3))</f>
        <v/>
      </c>
      <c r="H88" t="str" cm="1">
        <f>IF(ISBLANK(INDEX(Array_ElectricalChargeData,ROW()-16,COLUMN()*2-3)),"",INDEX(Array_ElectricalChargeData,ROW()-16,COLUMN()*2-3))</f>
        <v/>
      </c>
      <c r="I88" t="str" cm="1">
        <f>IF(ISBLANK(INDEX(Array_ElectricalChargeData,ROW()-16,COLUMN()*2-3)),"",INDEX(Array_ElectricalChargeData,ROW()-16,COLUMN()*2-3))</f>
        <v/>
      </c>
      <c r="J88" t="str" cm="1">
        <f>IF(ISBLANK(INDEX(Array_ElectricalChargeData,ROW()-16,COLUMN()*2-3)),"",INDEX(Array_ElectricalChargeData,ROW()-16,COLUMN()*2-3))</f>
        <v/>
      </c>
      <c r="K88" t="str" cm="1">
        <f>IF(ISBLANK(INDEX(Array_ElectricalChargeData,ROW()-16,COLUMN()*2-3)),"",INDEX(Array_ElectricalChargeData,ROW()-16,COLUMN()*2-3))</f>
        <v/>
      </c>
      <c r="L88" t="str" cm="1">
        <f>IF(ISBLANK(INDEX(Array_ElectricalChargeData,ROW()-16,COLUMN()*2-3)),"",INDEX(Array_ElectricalChargeData,ROW()-16,COLUMN()*2-3))</f>
        <v/>
      </c>
      <c r="M88" t="str" cm="1">
        <f>IF(ISBLANK(INDEX(Array_ElectricalChargeData,ROW()-16,COLUMN()*2-3)),"",INDEX(Array_ElectricalChargeData,ROW()-16,COLUMN()*2-3))</f>
        <v/>
      </c>
      <c r="N88" t="str" cm="1">
        <f>IF(ISBLANK(INDEX(Array_ElectricalChargeData,ROW()-16,COLUMN()*2-3)),"",INDEX(Array_ElectricalChargeData,ROW()-16,COLUMN()*2-3))</f>
        <v/>
      </c>
      <c r="O88" t="str" cm="1">
        <f>IF(ISBLANK(INDEX(Array_ElectricalChargeData,ROW()-16,COLUMN()*2-3)),"",INDEX(Array_ElectricalChargeData,ROW()-16,COLUMN()*2-3))</f>
        <v/>
      </c>
      <c r="P88" t="str" cm="1">
        <f>IF(ISBLANK(INDEX(Array_ElectricalChargeData,ROW()-16,COLUMN()*2-3)),"",INDEX(Array_ElectricalChargeData,ROW()-16,COLUMN()*2-3))</f>
        <v/>
      </c>
    </row>
    <row r="89" spans="1:16" x14ac:dyDescent="0.35">
      <c r="A89" t="str">
        <f>IF('Electricity Meters'!B75="",A88,'Electricity Meters'!B75)</f>
        <v>Meter Numbers</v>
      </c>
      <c r="B89" t="str" cm="1">
        <f>IF(ISBLANK(INDEX(Array_ElectricalChargeData,ROW()-16,COLUMN()*2-3)),"",INDEX(Array_ElectricalChargeData,ROW()-16,COLUMN()*2-3))</f>
        <v/>
      </c>
      <c r="C89" t="str" cm="1">
        <f>IF(ISBLANK(INDEX(Array_ElectricalChargeData,ROW()-16,COLUMN()*2-3)),"",INDEX(Array_ElectricalChargeData,ROW()-16,COLUMN()*2-3))</f>
        <v/>
      </c>
      <c r="D89" t="str" cm="1">
        <f>IF(ISBLANK(INDEX(Array_ElectricalChargeData,ROW()-16,COLUMN()*2-3)),"",INDEX(Array_ElectricalChargeData,ROW()-16,COLUMN()*2-3))</f>
        <v/>
      </c>
      <c r="E89" t="str" cm="1">
        <f>IF(ISBLANK(INDEX(Array_ElectricalChargeData,ROW()-16,COLUMN()*2-3)),"",INDEX(Array_ElectricalChargeData,ROW()-16,COLUMN()*2-3))</f>
        <v/>
      </c>
      <c r="F89" t="str" cm="1">
        <f>IF(ISBLANK(INDEX(Array_ElectricalChargeData,ROW()-16,COLUMN()*2-3)),"",INDEX(Array_ElectricalChargeData,ROW()-16,COLUMN()*2-3))</f>
        <v/>
      </c>
      <c r="G89" t="str" cm="1">
        <f>IF(ISBLANK(INDEX(Array_ElectricalChargeData,ROW()-16,COLUMN()*2-3)),"",INDEX(Array_ElectricalChargeData,ROW()-16,COLUMN()*2-3))</f>
        <v/>
      </c>
      <c r="H89" t="str" cm="1">
        <f>IF(ISBLANK(INDEX(Array_ElectricalChargeData,ROW()-16,COLUMN()*2-3)),"",INDEX(Array_ElectricalChargeData,ROW()-16,COLUMN()*2-3))</f>
        <v/>
      </c>
      <c r="I89" t="str" cm="1">
        <f>IF(ISBLANK(INDEX(Array_ElectricalChargeData,ROW()-16,COLUMN()*2-3)),"",INDEX(Array_ElectricalChargeData,ROW()-16,COLUMN()*2-3))</f>
        <v/>
      </c>
      <c r="J89" t="str" cm="1">
        <f>IF(ISBLANK(INDEX(Array_ElectricalChargeData,ROW()-16,COLUMN()*2-3)),"",INDEX(Array_ElectricalChargeData,ROW()-16,COLUMN()*2-3))</f>
        <v/>
      </c>
      <c r="K89" t="str" cm="1">
        <f>IF(ISBLANK(INDEX(Array_ElectricalChargeData,ROW()-16,COLUMN()*2-3)),"",INDEX(Array_ElectricalChargeData,ROW()-16,COLUMN()*2-3))</f>
        <v/>
      </c>
      <c r="L89" t="str" cm="1">
        <f>IF(ISBLANK(INDEX(Array_ElectricalChargeData,ROW()-16,COLUMN()*2-3)),"",INDEX(Array_ElectricalChargeData,ROW()-16,COLUMN()*2-3))</f>
        <v/>
      </c>
      <c r="M89" t="str" cm="1">
        <f>IF(ISBLANK(INDEX(Array_ElectricalChargeData,ROW()-16,COLUMN()*2-3)),"",INDEX(Array_ElectricalChargeData,ROW()-16,COLUMN()*2-3))</f>
        <v/>
      </c>
      <c r="N89" t="str" cm="1">
        <f>IF(ISBLANK(INDEX(Array_ElectricalChargeData,ROW()-16,COLUMN()*2-3)),"",INDEX(Array_ElectricalChargeData,ROW()-16,COLUMN()*2-3))</f>
        <v/>
      </c>
      <c r="O89" t="str" cm="1">
        <f>IF(ISBLANK(INDEX(Array_ElectricalChargeData,ROW()-16,COLUMN()*2-3)),"",INDEX(Array_ElectricalChargeData,ROW()-16,COLUMN()*2-3))</f>
        <v/>
      </c>
      <c r="P89" t="str" cm="1">
        <f>IF(ISBLANK(INDEX(Array_ElectricalChargeData,ROW()-16,COLUMN()*2-3)),"",INDEX(Array_ElectricalChargeData,ROW()-16,COLUMN()*2-3))</f>
        <v/>
      </c>
    </row>
    <row r="90" spans="1:16" x14ac:dyDescent="0.35">
      <c r="A90" t="str">
        <f>IF('Electricity Meters'!B76="",A89,'Electricity Meters'!B76)</f>
        <v>Meter Numbers</v>
      </c>
      <c r="B90" t="str" cm="1">
        <f>IF(ISBLANK(INDEX(Array_ElectricalChargeData,ROW()-16,COLUMN()*2-3)),"",INDEX(Array_ElectricalChargeData,ROW()-16,COLUMN()*2-3))</f>
        <v/>
      </c>
      <c r="C90" t="str" cm="1">
        <f>IF(ISBLANK(INDEX(Array_ElectricalChargeData,ROW()-16,COLUMN()*2-3)),"",INDEX(Array_ElectricalChargeData,ROW()-16,COLUMN()*2-3))</f>
        <v/>
      </c>
      <c r="D90" t="str" cm="1">
        <f>IF(ISBLANK(INDEX(Array_ElectricalChargeData,ROW()-16,COLUMN()*2-3)),"",INDEX(Array_ElectricalChargeData,ROW()-16,COLUMN()*2-3))</f>
        <v/>
      </c>
      <c r="E90" t="str" cm="1">
        <f>IF(ISBLANK(INDEX(Array_ElectricalChargeData,ROW()-16,COLUMN()*2-3)),"",INDEX(Array_ElectricalChargeData,ROW()-16,COLUMN()*2-3))</f>
        <v/>
      </c>
      <c r="F90" t="str" cm="1">
        <f>IF(ISBLANK(INDEX(Array_ElectricalChargeData,ROW()-16,COLUMN()*2-3)),"",INDEX(Array_ElectricalChargeData,ROW()-16,COLUMN()*2-3))</f>
        <v/>
      </c>
      <c r="G90" t="str" cm="1">
        <f>IF(ISBLANK(INDEX(Array_ElectricalChargeData,ROW()-16,COLUMN()*2-3)),"",INDEX(Array_ElectricalChargeData,ROW()-16,COLUMN()*2-3))</f>
        <v/>
      </c>
      <c r="H90" t="str" cm="1">
        <f>IF(ISBLANK(INDEX(Array_ElectricalChargeData,ROW()-16,COLUMN()*2-3)),"",INDEX(Array_ElectricalChargeData,ROW()-16,COLUMN()*2-3))</f>
        <v/>
      </c>
      <c r="I90" t="str" cm="1">
        <f>IF(ISBLANK(INDEX(Array_ElectricalChargeData,ROW()-16,COLUMN()*2-3)),"",INDEX(Array_ElectricalChargeData,ROW()-16,COLUMN()*2-3))</f>
        <v/>
      </c>
      <c r="J90" t="str" cm="1">
        <f>IF(ISBLANK(INDEX(Array_ElectricalChargeData,ROW()-16,COLUMN()*2-3)),"",INDEX(Array_ElectricalChargeData,ROW()-16,COLUMN()*2-3))</f>
        <v/>
      </c>
      <c r="K90" t="str" cm="1">
        <f>IF(ISBLANK(INDEX(Array_ElectricalChargeData,ROW()-16,COLUMN()*2-3)),"",INDEX(Array_ElectricalChargeData,ROW()-16,COLUMN()*2-3))</f>
        <v/>
      </c>
      <c r="L90" t="str" cm="1">
        <f>IF(ISBLANK(INDEX(Array_ElectricalChargeData,ROW()-16,COLUMN()*2-3)),"",INDEX(Array_ElectricalChargeData,ROW()-16,COLUMN()*2-3))</f>
        <v/>
      </c>
      <c r="M90" t="str" cm="1">
        <f>IF(ISBLANK(INDEX(Array_ElectricalChargeData,ROW()-16,COLUMN()*2-3)),"",INDEX(Array_ElectricalChargeData,ROW()-16,COLUMN()*2-3))</f>
        <v/>
      </c>
      <c r="N90" t="str" cm="1">
        <f>IF(ISBLANK(INDEX(Array_ElectricalChargeData,ROW()-16,COLUMN()*2-3)),"",INDEX(Array_ElectricalChargeData,ROW()-16,COLUMN()*2-3))</f>
        <v/>
      </c>
      <c r="O90" t="str" cm="1">
        <f>IF(ISBLANK(INDEX(Array_ElectricalChargeData,ROW()-16,COLUMN()*2-3)),"",INDEX(Array_ElectricalChargeData,ROW()-16,COLUMN()*2-3))</f>
        <v/>
      </c>
      <c r="P90" t="str" cm="1">
        <f>IF(ISBLANK(INDEX(Array_ElectricalChargeData,ROW()-16,COLUMN()*2-3)),"",INDEX(Array_ElectricalChargeData,ROW()-16,COLUMN()*2-3))</f>
        <v/>
      </c>
    </row>
    <row r="91" spans="1:16" x14ac:dyDescent="0.35">
      <c r="A91" t="str">
        <f>IF('Electricity Meters'!B77="",A90,'Electricity Meters'!B77)</f>
        <v>Meter Numbers</v>
      </c>
      <c r="B91" t="str" cm="1">
        <f>IF(ISBLANK(INDEX(Array_ElectricalChargeData,ROW()-16,COLUMN()*2-3)),"",INDEX(Array_ElectricalChargeData,ROW()-16,COLUMN()*2-3))</f>
        <v/>
      </c>
      <c r="C91" t="str" cm="1">
        <f>IF(ISBLANK(INDEX(Array_ElectricalChargeData,ROW()-16,COLUMN()*2-3)),"",INDEX(Array_ElectricalChargeData,ROW()-16,COLUMN()*2-3))</f>
        <v/>
      </c>
      <c r="D91" t="str" cm="1">
        <f>IF(ISBLANK(INDEX(Array_ElectricalChargeData,ROW()-16,COLUMN()*2-3)),"",INDEX(Array_ElectricalChargeData,ROW()-16,COLUMN()*2-3))</f>
        <v/>
      </c>
      <c r="E91" t="str" cm="1">
        <f>IF(ISBLANK(INDEX(Array_ElectricalChargeData,ROW()-16,COLUMN()*2-3)),"",INDEX(Array_ElectricalChargeData,ROW()-16,COLUMN()*2-3))</f>
        <v/>
      </c>
      <c r="F91" t="str" cm="1">
        <f>IF(ISBLANK(INDEX(Array_ElectricalChargeData,ROW()-16,COLUMN()*2-3)),"",INDEX(Array_ElectricalChargeData,ROW()-16,COLUMN()*2-3))</f>
        <v/>
      </c>
      <c r="G91" t="str" cm="1">
        <f>IF(ISBLANK(INDEX(Array_ElectricalChargeData,ROW()-16,COLUMN()*2-3)),"",INDEX(Array_ElectricalChargeData,ROW()-16,COLUMN()*2-3))</f>
        <v/>
      </c>
      <c r="H91" t="str" cm="1">
        <f>IF(ISBLANK(INDEX(Array_ElectricalChargeData,ROW()-16,COLUMN()*2-3)),"",INDEX(Array_ElectricalChargeData,ROW()-16,COLUMN()*2-3))</f>
        <v/>
      </c>
      <c r="I91" t="str" cm="1">
        <f>IF(ISBLANK(INDEX(Array_ElectricalChargeData,ROW()-16,COLUMN()*2-3)),"",INDEX(Array_ElectricalChargeData,ROW()-16,COLUMN()*2-3))</f>
        <v/>
      </c>
      <c r="J91" t="str" cm="1">
        <f>IF(ISBLANK(INDEX(Array_ElectricalChargeData,ROW()-16,COLUMN()*2-3)),"",INDEX(Array_ElectricalChargeData,ROW()-16,COLUMN()*2-3))</f>
        <v/>
      </c>
      <c r="K91" t="str" cm="1">
        <f>IF(ISBLANK(INDEX(Array_ElectricalChargeData,ROW()-16,COLUMN()*2-3)),"",INDEX(Array_ElectricalChargeData,ROW()-16,COLUMN()*2-3))</f>
        <v/>
      </c>
      <c r="L91" t="str" cm="1">
        <f>IF(ISBLANK(INDEX(Array_ElectricalChargeData,ROW()-16,COLUMN()*2-3)),"",INDEX(Array_ElectricalChargeData,ROW()-16,COLUMN()*2-3))</f>
        <v/>
      </c>
      <c r="M91" t="str" cm="1">
        <f>IF(ISBLANK(INDEX(Array_ElectricalChargeData,ROW()-16,COLUMN()*2-3)),"",INDEX(Array_ElectricalChargeData,ROW()-16,COLUMN()*2-3))</f>
        <v/>
      </c>
      <c r="N91" t="str" cm="1">
        <f>IF(ISBLANK(INDEX(Array_ElectricalChargeData,ROW()-16,COLUMN()*2-3)),"",INDEX(Array_ElectricalChargeData,ROW()-16,COLUMN()*2-3))</f>
        <v/>
      </c>
      <c r="O91" t="str" cm="1">
        <f>IF(ISBLANK(INDEX(Array_ElectricalChargeData,ROW()-16,COLUMN()*2-3)),"",INDEX(Array_ElectricalChargeData,ROW()-16,COLUMN()*2-3))</f>
        <v/>
      </c>
      <c r="P91" t="str" cm="1">
        <f>IF(ISBLANK(INDEX(Array_ElectricalChargeData,ROW()-16,COLUMN()*2-3)),"",INDEX(Array_ElectricalChargeData,ROW()-16,COLUMN()*2-3))</f>
        <v/>
      </c>
    </row>
    <row r="92" spans="1:16" x14ac:dyDescent="0.35">
      <c r="A92" t="str">
        <f>IF('Electricity Meters'!B78="",A91,'Electricity Meters'!B78)</f>
        <v>Meter Numbers</v>
      </c>
      <c r="B92" t="str" cm="1">
        <f>IF(ISBLANK(INDEX(Array_ElectricalChargeData,ROW()-16,COLUMN()*2-3)),"",INDEX(Array_ElectricalChargeData,ROW()-16,COLUMN()*2-3))</f>
        <v/>
      </c>
      <c r="C92" t="str" cm="1">
        <f>IF(ISBLANK(INDEX(Array_ElectricalChargeData,ROW()-16,COLUMN()*2-3)),"",INDEX(Array_ElectricalChargeData,ROW()-16,COLUMN()*2-3))</f>
        <v/>
      </c>
      <c r="D92" t="str" cm="1">
        <f>IF(ISBLANK(INDEX(Array_ElectricalChargeData,ROW()-16,COLUMN()*2-3)),"",INDEX(Array_ElectricalChargeData,ROW()-16,COLUMN()*2-3))</f>
        <v/>
      </c>
      <c r="E92" t="str" cm="1">
        <f>IF(ISBLANK(INDEX(Array_ElectricalChargeData,ROW()-16,COLUMN()*2-3)),"",INDEX(Array_ElectricalChargeData,ROW()-16,COLUMN()*2-3))</f>
        <v/>
      </c>
      <c r="F92" t="str" cm="1">
        <f>IF(ISBLANK(INDEX(Array_ElectricalChargeData,ROW()-16,COLUMN()*2-3)),"",INDEX(Array_ElectricalChargeData,ROW()-16,COLUMN()*2-3))</f>
        <v/>
      </c>
      <c r="G92" t="str" cm="1">
        <f>IF(ISBLANK(INDEX(Array_ElectricalChargeData,ROW()-16,COLUMN()*2-3)),"",INDEX(Array_ElectricalChargeData,ROW()-16,COLUMN()*2-3))</f>
        <v/>
      </c>
      <c r="H92" t="str" cm="1">
        <f>IF(ISBLANK(INDEX(Array_ElectricalChargeData,ROW()-16,COLUMN()*2-3)),"",INDEX(Array_ElectricalChargeData,ROW()-16,COLUMN()*2-3))</f>
        <v/>
      </c>
      <c r="I92" t="str" cm="1">
        <f>IF(ISBLANK(INDEX(Array_ElectricalChargeData,ROW()-16,COLUMN()*2-3)),"",INDEX(Array_ElectricalChargeData,ROW()-16,COLUMN()*2-3))</f>
        <v/>
      </c>
      <c r="J92" t="str" cm="1">
        <f>IF(ISBLANK(INDEX(Array_ElectricalChargeData,ROW()-16,COLUMN()*2-3)),"",INDEX(Array_ElectricalChargeData,ROW()-16,COLUMN()*2-3))</f>
        <v/>
      </c>
      <c r="K92" t="str" cm="1">
        <f>IF(ISBLANK(INDEX(Array_ElectricalChargeData,ROW()-16,COLUMN()*2-3)),"",INDEX(Array_ElectricalChargeData,ROW()-16,COLUMN()*2-3))</f>
        <v/>
      </c>
      <c r="L92" t="str" cm="1">
        <f>IF(ISBLANK(INDEX(Array_ElectricalChargeData,ROW()-16,COLUMN()*2-3)),"",INDEX(Array_ElectricalChargeData,ROW()-16,COLUMN()*2-3))</f>
        <v/>
      </c>
      <c r="M92" t="str" cm="1">
        <f>IF(ISBLANK(INDEX(Array_ElectricalChargeData,ROW()-16,COLUMN()*2-3)),"",INDEX(Array_ElectricalChargeData,ROW()-16,COLUMN()*2-3))</f>
        <v/>
      </c>
      <c r="N92" t="str" cm="1">
        <f>IF(ISBLANK(INDEX(Array_ElectricalChargeData,ROW()-16,COLUMN()*2-3)),"",INDEX(Array_ElectricalChargeData,ROW()-16,COLUMN()*2-3))</f>
        <v/>
      </c>
      <c r="O92" t="str" cm="1">
        <f>IF(ISBLANK(INDEX(Array_ElectricalChargeData,ROW()-16,COLUMN()*2-3)),"",INDEX(Array_ElectricalChargeData,ROW()-16,COLUMN()*2-3))</f>
        <v/>
      </c>
      <c r="P92" t="str" cm="1">
        <f>IF(ISBLANK(INDEX(Array_ElectricalChargeData,ROW()-16,COLUMN()*2-3)),"",INDEX(Array_ElectricalChargeData,ROW()-16,COLUMN()*2-3))</f>
        <v/>
      </c>
    </row>
    <row r="93" spans="1:16" x14ac:dyDescent="0.35">
      <c r="A93" t="str">
        <f>IF('Electricity Meters'!B79="",A92,'Electricity Meters'!B79)</f>
        <v>Meter Numbers</v>
      </c>
      <c r="B93" t="str" cm="1">
        <f>IF(ISBLANK(INDEX(Array_ElectricalChargeData,ROW()-16,COLUMN()*2-3)),"",INDEX(Array_ElectricalChargeData,ROW()-16,COLUMN()*2-3))</f>
        <v/>
      </c>
      <c r="C93" t="str" cm="1">
        <f>IF(ISBLANK(INDEX(Array_ElectricalChargeData,ROW()-16,COLUMN()*2-3)),"",INDEX(Array_ElectricalChargeData,ROW()-16,COLUMN()*2-3))</f>
        <v/>
      </c>
      <c r="D93" t="str" cm="1">
        <f>IF(ISBLANK(INDEX(Array_ElectricalChargeData,ROW()-16,COLUMN()*2-3)),"",INDEX(Array_ElectricalChargeData,ROW()-16,COLUMN()*2-3))</f>
        <v/>
      </c>
      <c r="E93" t="str" cm="1">
        <f>IF(ISBLANK(INDEX(Array_ElectricalChargeData,ROW()-16,COLUMN()*2-3)),"",INDEX(Array_ElectricalChargeData,ROW()-16,COLUMN()*2-3))</f>
        <v/>
      </c>
      <c r="F93" t="str" cm="1">
        <f>IF(ISBLANK(INDEX(Array_ElectricalChargeData,ROW()-16,COLUMN()*2-3)),"",INDEX(Array_ElectricalChargeData,ROW()-16,COLUMN()*2-3))</f>
        <v/>
      </c>
      <c r="G93" t="str" cm="1">
        <f>IF(ISBLANK(INDEX(Array_ElectricalChargeData,ROW()-16,COLUMN()*2-3)),"",INDEX(Array_ElectricalChargeData,ROW()-16,COLUMN()*2-3))</f>
        <v/>
      </c>
      <c r="H93" t="str" cm="1">
        <f>IF(ISBLANK(INDEX(Array_ElectricalChargeData,ROW()-16,COLUMN()*2-3)),"",INDEX(Array_ElectricalChargeData,ROW()-16,COLUMN()*2-3))</f>
        <v/>
      </c>
      <c r="I93" t="str" cm="1">
        <f>IF(ISBLANK(INDEX(Array_ElectricalChargeData,ROW()-16,COLUMN()*2-3)),"",INDEX(Array_ElectricalChargeData,ROW()-16,COLUMN()*2-3))</f>
        <v/>
      </c>
      <c r="J93" t="str" cm="1">
        <f>IF(ISBLANK(INDEX(Array_ElectricalChargeData,ROW()-16,COLUMN()*2-3)),"",INDEX(Array_ElectricalChargeData,ROW()-16,COLUMN()*2-3))</f>
        <v/>
      </c>
      <c r="K93" t="str" cm="1">
        <f>IF(ISBLANK(INDEX(Array_ElectricalChargeData,ROW()-16,COLUMN()*2-3)),"",INDEX(Array_ElectricalChargeData,ROW()-16,COLUMN()*2-3))</f>
        <v/>
      </c>
      <c r="L93" t="str" cm="1">
        <f>IF(ISBLANK(INDEX(Array_ElectricalChargeData,ROW()-16,COLUMN()*2-3)),"",INDEX(Array_ElectricalChargeData,ROW()-16,COLUMN()*2-3))</f>
        <v/>
      </c>
      <c r="M93" t="str" cm="1">
        <f>IF(ISBLANK(INDEX(Array_ElectricalChargeData,ROW()-16,COLUMN()*2-3)),"",INDEX(Array_ElectricalChargeData,ROW()-16,COLUMN()*2-3))</f>
        <v/>
      </c>
      <c r="N93" t="str" cm="1">
        <f>IF(ISBLANK(INDEX(Array_ElectricalChargeData,ROW()-16,COLUMN()*2-3)),"",INDEX(Array_ElectricalChargeData,ROW()-16,COLUMN()*2-3))</f>
        <v/>
      </c>
      <c r="O93" t="str" cm="1">
        <f>IF(ISBLANK(INDEX(Array_ElectricalChargeData,ROW()-16,COLUMN()*2-3)),"",INDEX(Array_ElectricalChargeData,ROW()-16,COLUMN()*2-3))</f>
        <v/>
      </c>
      <c r="P93" t="str" cm="1">
        <f>IF(ISBLANK(INDEX(Array_ElectricalChargeData,ROW()-16,COLUMN()*2-3)),"",INDEX(Array_ElectricalChargeData,ROW()-16,COLUMN()*2-3))</f>
        <v/>
      </c>
    </row>
    <row r="94" spans="1:16" x14ac:dyDescent="0.35">
      <c r="A94" t="str">
        <f>IF('Electricity Meters'!B80="",A93,'Electricity Meters'!B80)</f>
        <v>Meter Numbers</v>
      </c>
      <c r="B94" t="str" cm="1">
        <f>IF(ISBLANK(INDEX(Array_ElectricalChargeData,ROW()-16,COLUMN()*2-3)),"",INDEX(Array_ElectricalChargeData,ROW()-16,COLUMN()*2-3))</f>
        <v/>
      </c>
      <c r="C94" t="str" cm="1">
        <f>IF(ISBLANK(INDEX(Array_ElectricalChargeData,ROW()-16,COLUMN()*2-3)),"",INDEX(Array_ElectricalChargeData,ROW()-16,COLUMN()*2-3))</f>
        <v/>
      </c>
      <c r="D94" t="str" cm="1">
        <f>IF(ISBLANK(INDEX(Array_ElectricalChargeData,ROW()-16,COLUMN()*2-3)),"",INDEX(Array_ElectricalChargeData,ROW()-16,COLUMN()*2-3))</f>
        <v/>
      </c>
      <c r="E94" t="str" cm="1">
        <f>IF(ISBLANK(INDEX(Array_ElectricalChargeData,ROW()-16,COLUMN()*2-3)),"",INDEX(Array_ElectricalChargeData,ROW()-16,COLUMN()*2-3))</f>
        <v/>
      </c>
      <c r="F94" t="str" cm="1">
        <f>IF(ISBLANK(INDEX(Array_ElectricalChargeData,ROW()-16,COLUMN()*2-3)),"",INDEX(Array_ElectricalChargeData,ROW()-16,COLUMN()*2-3))</f>
        <v/>
      </c>
      <c r="G94" t="str" cm="1">
        <f>IF(ISBLANK(INDEX(Array_ElectricalChargeData,ROW()-16,COLUMN()*2-3)),"",INDEX(Array_ElectricalChargeData,ROW()-16,COLUMN()*2-3))</f>
        <v/>
      </c>
      <c r="H94" t="str" cm="1">
        <f>IF(ISBLANK(INDEX(Array_ElectricalChargeData,ROW()-16,COLUMN()*2-3)),"",INDEX(Array_ElectricalChargeData,ROW()-16,COLUMN()*2-3))</f>
        <v/>
      </c>
      <c r="I94" t="str" cm="1">
        <f>IF(ISBLANK(INDEX(Array_ElectricalChargeData,ROW()-16,COLUMN()*2-3)),"",INDEX(Array_ElectricalChargeData,ROW()-16,COLUMN()*2-3))</f>
        <v/>
      </c>
      <c r="J94" t="str" cm="1">
        <f>IF(ISBLANK(INDEX(Array_ElectricalChargeData,ROW()-16,COLUMN()*2-3)),"",INDEX(Array_ElectricalChargeData,ROW()-16,COLUMN()*2-3))</f>
        <v/>
      </c>
      <c r="K94" t="str" cm="1">
        <f>IF(ISBLANK(INDEX(Array_ElectricalChargeData,ROW()-16,COLUMN()*2-3)),"",INDEX(Array_ElectricalChargeData,ROW()-16,COLUMN()*2-3))</f>
        <v/>
      </c>
      <c r="L94" t="str" cm="1">
        <f>IF(ISBLANK(INDEX(Array_ElectricalChargeData,ROW()-16,COLUMN()*2-3)),"",INDEX(Array_ElectricalChargeData,ROW()-16,COLUMN()*2-3))</f>
        <v/>
      </c>
      <c r="M94" t="str" cm="1">
        <f>IF(ISBLANK(INDEX(Array_ElectricalChargeData,ROW()-16,COLUMN()*2-3)),"",INDEX(Array_ElectricalChargeData,ROW()-16,COLUMN()*2-3))</f>
        <v/>
      </c>
      <c r="N94" t="str" cm="1">
        <f>IF(ISBLANK(INDEX(Array_ElectricalChargeData,ROW()-16,COLUMN()*2-3)),"",INDEX(Array_ElectricalChargeData,ROW()-16,COLUMN()*2-3))</f>
        <v/>
      </c>
      <c r="O94" t="str" cm="1">
        <f>IF(ISBLANK(INDEX(Array_ElectricalChargeData,ROW()-16,COLUMN()*2-3)),"",INDEX(Array_ElectricalChargeData,ROW()-16,COLUMN()*2-3))</f>
        <v/>
      </c>
      <c r="P94" t="str" cm="1">
        <f>IF(ISBLANK(INDEX(Array_ElectricalChargeData,ROW()-16,COLUMN()*2-3)),"",INDEX(Array_ElectricalChargeData,ROW()-16,COLUMN()*2-3))</f>
        <v/>
      </c>
    </row>
    <row r="95" spans="1:16" x14ac:dyDescent="0.35">
      <c r="A95" t="str">
        <f>IF('Electricity Meters'!B81="",A94,'Electricity Meters'!B81)</f>
        <v>Meter Numbers</v>
      </c>
      <c r="B95" t="str" cm="1">
        <f>IF(ISBLANK(INDEX(Array_ElectricalChargeData,ROW()-16,COLUMN()*2-3)),"",INDEX(Array_ElectricalChargeData,ROW()-16,COLUMN()*2-3))</f>
        <v/>
      </c>
      <c r="C95" t="str" cm="1">
        <f>IF(ISBLANK(INDEX(Array_ElectricalChargeData,ROW()-16,COLUMN()*2-3)),"",INDEX(Array_ElectricalChargeData,ROW()-16,COLUMN()*2-3))</f>
        <v/>
      </c>
      <c r="D95" t="str" cm="1">
        <f>IF(ISBLANK(INDEX(Array_ElectricalChargeData,ROW()-16,COLUMN()*2-3)),"",INDEX(Array_ElectricalChargeData,ROW()-16,COLUMN()*2-3))</f>
        <v/>
      </c>
      <c r="E95" t="str" cm="1">
        <f>IF(ISBLANK(INDEX(Array_ElectricalChargeData,ROW()-16,COLUMN()*2-3)),"",INDEX(Array_ElectricalChargeData,ROW()-16,COLUMN()*2-3))</f>
        <v/>
      </c>
      <c r="F95" t="str" cm="1">
        <f>IF(ISBLANK(INDEX(Array_ElectricalChargeData,ROW()-16,COLUMN()*2-3)),"",INDEX(Array_ElectricalChargeData,ROW()-16,COLUMN()*2-3))</f>
        <v/>
      </c>
      <c r="G95" t="str" cm="1">
        <f>IF(ISBLANK(INDEX(Array_ElectricalChargeData,ROW()-16,COLUMN()*2-3)),"",INDEX(Array_ElectricalChargeData,ROW()-16,COLUMN()*2-3))</f>
        <v/>
      </c>
      <c r="H95" t="str" cm="1">
        <f>IF(ISBLANK(INDEX(Array_ElectricalChargeData,ROW()-16,COLUMN()*2-3)),"",INDEX(Array_ElectricalChargeData,ROW()-16,COLUMN()*2-3))</f>
        <v/>
      </c>
      <c r="I95" t="str" cm="1">
        <f>IF(ISBLANK(INDEX(Array_ElectricalChargeData,ROW()-16,COLUMN()*2-3)),"",INDEX(Array_ElectricalChargeData,ROW()-16,COLUMN()*2-3))</f>
        <v/>
      </c>
      <c r="J95" t="str" cm="1">
        <f>IF(ISBLANK(INDEX(Array_ElectricalChargeData,ROW()-16,COLUMN()*2-3)),"",INDEX(Array_ElectricalChargeData,ROW()-16,COLUMN()*2-3))</f>
        <v/>
      </c>
      <c r="K95" t="str" cm="1">
        <f>IF(ISBLANK(INDEX(Array_ElectricalChargeData,ROW()-16,COLUMN()*2-3)),"",INDEX(Array_ElectricalChargeData,ROW()-16,COLUMN()*2-3))</f>
        <v/>
      </c>
      <c r="L95" t="str" cm="1">
        <f>IF(ISBLANK(INDEX(Array_ElectricalChargeData,ROW()-16,COLUMN()*2-3)),"",INDEX(Array_ElectricalChargeData,ROW()-16,COLUMN()*2-3))</f>
        <v/>
      </c>
      <c r="M95" t="str" cm="1">
        <f>IF(ISBLANK(INDEX(Array_ElectricalChargeData,ROW()-16,COLUMN()*2-3)),"",INDEX(Array_ElectricalChargeData,ROW()-16,COLUMN()*2-3))</f>
        <v/>
      </c>
      <c r="N95" t="str" cm="1">
        <f>IF(ISBLANK(INDEX(Array_ElectricalChargeData,ROW()-16,COLUMN()*2-3)),"",INDEX(Array_ElectricalChargeData,ROW()-16,COLUMN()*2-3))</f>
        <v/>
      </c>
      <c r="O95" t="str" cm="1">
        <f>IF(ISBLANK(INDEX(Array_ElectricalChargeData,ROW()-16,COLUMN()*2-3)),"",INDEX(Array_ElectricalChargeData,ROW()-16,COLUMN()*2-3))</f>
        <v/>
      </c>
      <c r="P95" t="str" cm="1">
        <f>IF(ISBLANK(INDEX(Array_ElectricalChargeData,ROW()-16,COLUMN()*2-3)),"",INDEX(Array_ElectricalChargeData,ROW()-16,COLUMN()*2-3))</f>
        <v/>
      </c>
    </row>
    <row r="96" spans="1:16" x14ac:dyDescent="0.35">
      <c r="A96" t="str">
        <f>IF('Electricity Meters'!B82="",A95,'Electricity Meters'!B82)</f>
        <v>Meter Numbers</v>
      </c>
      <c r="B96" t="str" cm="1">
        <f>IF(ISBLANK(INDEX(Array_ElectricalChargeData,ROW()-16,COLUMN()*2-3)),"",INDEX(Array_ElectricalChargeData,ROW()-16,COLUMN()*2-3))</f>
        <v/>
      </c>
      <c r="C96" t="str" cm="1">
        <f>IF(ISBLANK(INDEX(Array_ElectricalChargeData,ROW()-16,COLUMN()*2-3)),"",INDEX(Array_ElectricalChargeData,ROW()-16,COLUMN()*2-3))</f>
        <v/>
      </c>
      <c r="D96" t="str" cm="1">
        <f>IF(ISBLANK(INDEX(Array_ElectricalChargeData,ROW()-16,COLUMN()*2-3)),"",INDEX(Array_ElectricalChargeData,ROW()-16,COLUMN()*2-3))</f>
        <v/>
      </c>
      <c r="E96" t="str" cm="1">
        <f>IF(ISBLANK(INDEX(Array_ElectricalChargeData,ROW()-16,COLUMN()*2-3)),"",INDEX(Array_ElectricalChargeData,ROW()-16,COLUMN()*2-3))</f>
        <v/>
      </c>
      <c r="F96" t="str" cm="1">
        <f>IF(ISBLANK(INDEX(Array_ElectricalChargeData,ROW()-16,COLUMN()*2-3)),"",INDEX(Array_ElectricalChargeData,ROW()-16,COLUMN()*2-3))</f>
        <v/>
      </c>
      <c r="G96" t="str" cm="1">
        <f>IF(ISBLANK(INDEX(Array_ElectricalChargeData,ROW()-16,COLUMN()*2-3)),"",INDEX(Array_ElectricalChargeData,ROW()-16,COLUMN()*2-3))</f>
        <v/>
      </c>
      <c r="H96" t="str" cm="1">
        <f>IF(ISBLANK(INDEX(Array_ElectricalChargeData,ROW()-16,COLUMN()*2-3)),"",INDEX(Array_ElectricalChargeData,ROW()-16,COLUMN()*2-3))</f>
        <v/>
      </c>
      <c r="I96" t="str" cm="1">
        <f>IF(ISBLANK(INDEX(Array_ElectricalChargeData,ROW()-16,COLUMN()*2-3)),"",INDEX(Array_ElectricalChargeData,ROW()-16,COLUMN()*2-3))</f>
        <v/>
      </c>
      <c r="J96" t="str" cm="1">
        <f>IF(ISBLANK(INDEX(Array_ElectricalChargeData,ROW()-16,COLUMN()*2-3)),"",INDEX(Array_ElectricalChargeData,ROW()-16,COLUMN()*2-3))</f>
        <v/>
      </c>
      <c r="K96" t="str" cm="1">
        <f>IF(ISBLANK(INDEX(Array_ElectricalChargeData,ROW()-16,COLUMN()*2-3)),"",INDEX(Array_ElectricalChargeData,ROW()-16,COLUMN()*2-3))</f>
        <v/>
      </c>
      <c r="L96" t="str" cm="1">
        <f>IF(ISBLANK(INDEX(Array_ElectricalChargeData,ROW()-16,COLUMN()*2-3)),"",INDEX(Array_ElectricalChargeData,ROW()-16,COLUMN()*2-3))</f>
        <v/>
      </c>
      <c r="M96" t="str" cm="1">
        <f>IF(ISBLANK(INDEX(Array_ElectricalChargeData,ROW()-16,COLUMN()*2-3)),"",INDEX(Array_ElectricalChargeData,ROW()-16,COLUMN()*2-3))</f>
        <v/>
      </c>
      <c r="N96" t="str" cm="1">
        <f>IF(ISBLANK(INDEX(Array_ElectricalChargeData,ROW()-16,COLUMN()*2-3)),"",INDEX(Array_ElectricalChargeData,ROW()-16,COLUMN()*2-3))</f>
        <v/>
      </c>
      <c r="O96" t="str" cm="1">
        <f>IF(ISBLANK(INDEX(Array_ElectricalChargeData,ROW()-16,COLUMN()*2-3)),"",INDEX(Array_ElectricalChargeData,ROW()-16,COLUMN()*2-3))</f>
        <v/>
      </c>
      <c r="P96" t="str" cm="1">
        <f>IF(ISBLANK(INDEX(Array_ElectricalChargeData,ROW()-16,COLUMN()*2-3)),"",INDEX(Array_ElectricalChargeData,ROW()-16,COLUMN()*2-3))</f>
        <v/>
      </c>
    </row>
    <row r="97" spans="1:16" x14ac:dyDescent="0.35">
      <c r="A97" t="str">
        <f>IF('Electricity Meters'!B83="",A96,'Electricity Meters'!B83)</f>
        <v>Meter Numbers</v>
      </c>
      <c r="B97" t="str" cm="1">
        <f>IF(ISBLANK(INDEX(Array_ElectricalChargeData,ROW()-16,COLUMN()*2-3)),"",INDEX(Array_ElectricalChargeData,ROW()-16,COLUMN()*2-3))</f>
        <v/>
      </c>
      <c r="C97" t="str" cm="1">
        <f>IF(ISBLANK(INDEX(Array_ElectricalChargeData,ROW()-16,COLUMN()*2-3)),"",INDEX(Array_ElectricalChargeData,ROW()-16,COLUMN()*2-3))</f>
        <v/>
      </c>
      <c r="D97" t="str" cm="1">
        <f>IF(ISBLANK(INDEX(Array_ElectricalChargeData,ROW()-16,COLUMN()*2-3)),"",INDEX(Array_ElectricalChargeData,ROW()-16,COLUMN()*2-3))</f>
        <v/>
      </c>
      <c r="E97" t="str" cm="1">
        <f>IF(ISBLANK(INDEX(Array_ElectricalChargeData,ROW()-16,COLUMN()*2-3)),"",INDEX(Array_ElectricalChargeData,ROW()-16,COLUMN()*2-3))</f>
        <v/>
      </c>
      <c r="F97" t="str" cm="1">
        <f>IF(ISBLANK(INDEX(Array_ElectricalChargeData,ROW()-16,COLUMN()*2-3)),"",INDEX(Array_ElectricalChargeData,ROW()-16,COLUMN()*2-3))</f>
        <v/>
      </c>
      <c r="G97" t="str" cm="1">
        <f>IF(ISBLANK(INDEX(Array_ElectricalChargeData,ROW()-16,COLUMN()*2-3)),"",INDEX(Array_ElectricalChargeData,ROW()-16,COLUMN()*2-3))</f>
        <v/>
      </c>
      <c r="H97" t="str" cm="1">
        <f>IF(ISBLANK(INDEX(Array_ElectricalChargeData,ROW()-16,COLUMN()*2-3)),"",INDEX(Array_ElectricalChargeData,ROW()-16,COLUMN()*2-3))</f>
        <v/>
      </c>
      <c r="I97" t="str" cm="1">
        <f>IF(ISBLANK(INDEX(Array_ElectricalChargeData,ROW()-16,COLUMN()*2-3)),"",INDEX(Array_ElectricalChargeData,ROW()-16,COLUMN()*2-3))</f>
        <v/>
      </c>
      <c r="J97" t="str" cm="1">
        <f>IF(ISBLANK(INDEX(Array_ElectricalChargeData,ROW()-16,COLUMN()*2-3)),"",INDEX(Array_ElectricalChargeData,ROW()-16,COLUMN()*2-3))</f>
        <v/>
      </c>
      <c r="K97" t="str" cm="1">
        <f>IF(ISBLANK(INDEX(Array_ElectricalChargeData,ROW()-16,COLUMN()*2-3)),"",INDEX(Array_ElectricalChargeData,ROW()-16,COLUMN()*2-3))</f>
        <v/>
      </c>
      <c r="L97" t="str" cm="1">
        <f>IF(ISBLANK(INDEX(Array_ElectricalChargeData,ROW()-16,COLUMN()*2-3)),"",INDEX(Array_ElectricalChargeData,ROW()-16,COLUMN()*2-3))</f>
        <v/>
      </c>
      <c r="M97" t="str" cm="1">
        <f>IF(ISBLANK(INDEX(Array_ElectricalChargeData,ROW()-16,COLUMN()*2-3)),"",INDEX(Array_ElectricalChargeData,ROW()-16,COLUMN()*2-3))</f>
        <v/>
      </c>
      <c r="N97" t="str" cm="1">
        <f>IF(ISBLANK(INDEX(Array_ElectricalChargeData,ROW()-16,COLUMN()*2-3)),"",INDEX(Array_ElectricalChargeData,ROW()-16,COLUMN()*2-3))</f>
        <v/>
      </c>
      <c r="O97" t="str" cm="1">
        <f>IF(ISBLANK(INDEX(Array_ElectricalChargeData,ROW()-16,COLUMN()*2-3)),"",INDEX(Array_ElectricalChargeData,ROW()-16,COLUMN()*2-3))</f>
        <v/>
      </c>
      <c r="P97" t="str" cm="1">
        <f>IF(ISBLANK(INDEX(Array_ElectricalChargeData,ROW()-16,COLUMN()*2-3)),"",INDEX(Array_ElectricalChargeData,ROW()-16,COLUMN()*2-3))</f>
        <v/>
      </c>
    </row>
    <row r="98" spans="1:16" x14ac:dyDescent="0.35">
      <c r="A98" t="str">
        <f>IF('Electricity Meters'!B84="",A97,'Electricity Meters'!B84)</f>
        <v>Meter Numbers</v>
      </c>
      <c r="B98" t="str" cm="1">
        <f>IF(ISBLANK(INDEX(Array_ElectricalChargeData,ROW()-16,COLUMN()*2-3)),"",INDEX(Array_ElectricalChargeData,ROW()-16,COLUMN()*2-3))</f>
        <v/>
      </c>
      <c r="C98" t="str" cm="1">
        <f>IF(ISBLANK(INDEX(Array_ElectricalChargeData,ROW()-16,COLUMN()*2-3)),"",INDEX(Array_ElectricalChargeData,ROW()-16,COLUMN()*2-3))</f>
        <v/>
      </c>
      <c r="D98" t="str" cm="1">
        <f>IF(ISBLANK(INDEX(Array_ElectricalChargeData,ROW()-16,COLUMN()*2-3)),"",INDEX(Array_ElectricalChargeData,ROW()-16,COLUMN()*2-3))</f>
        <v/>
      </c>
      <c r="E98" t="str" cm="1">
        <f>IF(ISBLANK(INDEX(Array_ElectricalChargeData,ROW()-16,COLUMN()*2-3)),"",INDEX(Array_ElectricalChargeData,ROW()-16,COLUMN()*2-3))</f>
        <v/>
      </c>
      <c r="F98" t="str" cm="1">
        <f>IF(ISBLANK(INDEX(Array_ElectricalChargeData,ROW()-16,COLUMN()*2-3)),"",INDEX(Array_ElectricalChargeData,ROW()-16,COLUMN()*2-3))</f>
        <v/>
      </c>
      <c r="G98" t="str" cm="1">
        <f>IF(ISBLANK(INDEX(Array_ElectricalChargeData,ROW()-16,COLUMN()*2-3)),"",INDEX(Array_ElectricalChargeData,ROW()-16,COLUMN()*2-3))</f>
        <v/>
      </c>
      <c r="H98" t="str" cm="1">
        <f>IF(ISBLANK(INDEX(Array_ElectricalChargeData,ROW()-16,COLUMN()*2-3)),"",INDEX(Array_ElectricalChargeData,ROW()-16,COLUMN()*2-3))</f>
        <v/>
      </c>
      <c r="I98" t="str" cm="1">
        <f>IF(ISBLANK(INDEX(Array_ElectricalChargeData,ROW()-16,COLUMN()*2-3)),"",INDEX(Array_ElectricalChargeData,ROW()-16,COLUMN()*2-3))</f>
        <v/>
      </c>
      <c r="J98" t="str" cm="1">
        <f>IF(ISBLANK(INDEX(Array_ElectricalChargeData,ROW()-16,COLUMN()*2-3)),"",INDEX(Array_ElectricalChargeData,ROW()-16,COLUMN()*2-3))</f>
        <v/>
      </c>
      <c r="K98" t="str" cm="1">
        <f>IF(ISBLANK(INDEX(Array_ElectricalChargeData,ROW()-16,COLUMN()*2-3)),"",INDEX(Array_ElectricalChargeData,ROW()-16,COLUMN()*2-3))</f>
        <v/>
      </c>
      <c r="L98" t="str" cm="1">
        <f>IF(ISBLANK(INDEX(Array_ElectricalChargeData,ROW()-16,COLUMN()*2-3)),"",INDEX(Array_ElectricalChargeData,ROW()-16,COLUMN()*2-3))</f>
        <v/>
      </c>
      <c r="M98" t="str" cm="1">
        <f>IF(ISBLANK(INDEX(Array_ElectricalChargeData,ROW()-16,COLUMN()*2-3)),"",INDEX(Array_ElectricalChargeData,ROW()-16,COLUMN()*2-3))</f>
        <v/>
      </c>
      <c r="N98" t="str" cm="1">
        <f>IF(ISBLANK(INDEX(Array_ElectricalChargeData,ROW()-16,COLUMN()*2-3)),"",INDEX(Array_ElectricalChargeData,ROW()-16,COLUMN()*2-3))</f>
        <v/>
      </c>
      <c r="O98" t="str" cm="1">
        <f>IF(ISBLANK(INDEX(Array_ElectricalChargeData,ROW()-16,COLUMN()*2-3)),"",INDEX(Array_ElectricalChargeData,ROW()-16,COLUMN()*2-3))</f>
        <v/>
      </c>
      <c r="P98" t="str" cm="1">
        <f>IF(ISBLANK(INDEX(Array_ElectricalChargeData,ROW()-16,COLUMN()*2-3)),"",INDEX(Array_ElectricalChargeData,ROW()-16,COLUMN()*2-3))</f>
        <v/>
      </c>
    </row>
    <row r="99" spans="1:16" x14ac:dyDescent="0.35">
      <c r="A99" t="str">
        <f>IF('Electricity Meters'!B85="",A98,'Electricity Meters'!B85)</f>
        <v>Meter Numbers</v>
      </c>
      <c r="B99" t="str" cm="1">
        <f>IF(ISBLANK(INDEX(Array_ElectricalChargeData,ROW()-16,COLUMN()*2-3)),"",INDEX(Array_ElectricalChargeData,ROW()-16,COLUMN()*2-3))</f>
        <v/>
      </c>
      <c r="C99" t="str" cm="1">
        <f>IF(ISBLANK(INDEX(Array_ElectricalChargeData,ROW()-16,COLUMN()*2-3)),"",INDEX(Array_ElectricalChargeData,ROW()-16,COLUMN()*2-3))</f>
        <v/>
      </c>
      <c r="D99" t="str" cm="1">
        <f>IF(ISBLANK(INDEX(Array_ElectricalChargeData,ROW()-16,COLUMN()*2-3)),"",INDEX(Array_ElectricalChargeData,ROW()-16,COLUMN()*2-3))</f>
        <v/>
      </c>
      <c r="E99" t="str" cm="1">
        <f>IF(ISBLANK(INDEX(Array_ElectricalChargeData,ROW()-16,COLUMN()*2-3)),"",INDEX(Array_ElectricalChargeData,ROW()-16,COLUMN()*2-3))</f>
        <v/>
      </c>
      <c r="F99" t="str" cm="1">
        <f>IF(ISBLANK(INDEX(Array_ElectricalChargeData,ROW()-16,COLUMN()*2-3)),"",INDEX(Array_ElectricalChargeData,ROW()-16,COLUMN()*2-3))</f>
        <v/>
      </c>
      <c r="G99" t="str" cm="1">
        <f>IF(ISBLANK(INDEX(Array_ElectricalChargeData,ROW()-16,COLUMN()*2-3)),"",INDEX(Array_ElectricalChargeData,ROW()-16,COLUMN()*2-3))</f>
        <v/>
      </c>
      <c r="H99" t="str" cm="1">
        <f>IF(ISBLANK(INDEX(Array_ElectricalChargeData,ROW()-16,COLUMN()*2-3)),"",INDEX(Array_ElectricalChargeData,ROW()-16,COLUMN()*2-3))</f>
        <v/>
      </c>
      <c r="I99" t="str" cm="1">
        <f>IF(ISBLANK(INDEX(Array_ElectricalChargeData,ROW()-16,COLUMN()*2-3)),"",INDEX(Array_ElectricalChargeData,ROW()-16,COLUMN()*2-3))</f>
        <v/>
      </c>
      <c r="J99" t="str" cm="1">
        <f>IF(ISBLANK(INDEX(Array_ElectricalChargeData,ROW()-16,COLUMN()*2-3)),"",INDEX(Array_ElectricalChargeData,ROW()-16,COLUMN()*2-3))</f>
        <v/>
      </c>
      <c r="K99" t="str" cm="1">
        <f>IF(ISBLANK(INDEX(Array_ElectricalChargeData,ROW()-16,COLUMN()*2-3)),"",INDEX(Array_ElectricalChargeData,ROW()-16,COLUMN()*2-3))</f>
        <v/>
      </c>
      <c r="L99" t="str" cm="1">
        <f>IF(ISBLANK(INDEX(Array_ElectricalChargeData,ROW()-16,COLUMN()*2-3)),"",INDEX(Array_ElectricalChargeData,ROW()-16,COLUMN()*2-3))</f>
        <v/>
      </c>
      <c r="M99" t="str" cm="1">
        <f>IF(ISBLANK(INDEX(Array_ElectricalChargeData,ROW()-16,COLUMN()*2-3)),"",INDEX(Array_ElectricalChargeData,ROW()-16,COLUMN()*2-3))</f>
        <v/>
      </c>
      <c r="N99" t="str" cm="1">
        <f>IF(ISBLANK(INDEX(Array_ElectricalChargeData,ROW()-16,COLUMN()*2-3)),"",INDEX(Array_ElectricalChargeData,ROW()-16,COLUMN()*2-3))</f>
        <v/>
      </c>
      <c r="O99" t="str" cm="1">
        <f>IF(ISBLANK(INDEX(Array_ElectricalChargeData,ROW()-16,COLUMN()*2-3)),"",INDEX(Array_ElectricalChargeData,ROW()-16,COLUMN()*2-3))</f>
        <v/>
      </c>
      <c r="P99" t="str" cm="1">
        <f>IF(ISBLANK(INDEX(Array_ElectricalChargeData,ROW()-16,COLUMN()*2-3)),"",INDEX(Array_ElectricalChargeData,ROW()-16,COLUMN()*2-3))</f>
        <v/>
      </c>
    </row>
    <row r="100" spans="1:16" x14ac:dyDescent="0.35">
      <c r="A100" t="str">
        <f>IF('Electricity Meters'!B86="",A99,'Electricity Meters'!B86)</f>
        <v>Meter Numbers</v>
      </c>
      <c r="B100" t="str" cm="1">
        <f>IF(ISBLANK(INDEX(Array_ElectricalChargeData,ROW()-16,COLUMN()*2-3)),"",INDEX(Array_ElectricalChargeData,ROW()-16,COLUMN()*2-3))</f>
        <v/>
      </c>
      <c r="C100" t="str" cm="1">
        <f>IF(ISBLANK(INDEX(Array_ElectricalChargeData,ROW()-16,COLUMN()*2-3)),"",INDEX(Array_ElectricalChargeData,ROW()-16,COLUMN()*2-3))</f>
        <v/>
      </c>
      <c r="D100" t="str" cm="1">
        <f>IF(ISBLANK(INDEX(Array_ElectricalChargeData,ROW()-16,COLUMN()*2-3)),"",INDEX(Array_ElectricalChargeData,ROW()-16,COLUMN()*2-3))</f>
        <v/>
      </c>
      <c r="E100" t="str" cm="1">
        <f>IF(ISBLANK(INDEX(Array_ElectricalChargeData,ROW()-16,COLUMN()*2-3)),"",INDEX(Array_ElectricalChargeData,ROW()-16,COLUMN()*2-3))</f>
        <v/>
      </c>
      <c r="F100" t="str" cm="1">
        <f>IF(ISBLANK(INDEX(Array_ElectricalChargeData,ROW()-16,COLUMN()*2-3)),"",INDEX(Array_ElectricalChargeData,ROW()-16,COLUMN()*2-3))</f>
        <v/>
      </c>
      <c r="G100" t="str" cm="1">
        <f>IF(ISBLANK(INDEX(Array_ElectricalChargeData,ROW()-16,COLUMN()*2-3)),"",INDEX(Array_ElectricalChargeData,ROW()-16,COLUMN()*2-3))</f>
        <v/>
      </c>
      <c r="H100" t="str" cm="1">
        <f>IF(ISBLANK(INDEX(Array_ElectricalChargeData,ROW()-16,COLUMN()*2-3)),"",INDEX(Array_ElectricalChargeData,ROW()-16,COLUMN()*2-3))</f>
        <v/>
      </c>
      <c r="I100" t="str" cm="1">
        <f>IF(ISBLANK(INDEX(Array_ElectricalChargeData,ROW()-16,COLUMN()*2-3)),"",INDEX(Array_ElectricalChargeData,ROW()-16,COLUMN()*2-3))</f>
        <v/>
      </c>
      <c r="J100" t="str" cm="1">
        <f>IF(ISBLANK(INDEX(Array_ElectricalChargeData,ROW()-16,COLUMN()*2-3)),"",INDEX(Array_ElectricalChargeData,ROW()-16,COLUMN()*2-3))</f>
        <v/>
      </c>
      <c r="K100" t="str" cm="1">
        <f>IF(ISBLANK(INDEX(Array_ElectricalChargeData,ROW()-16,COLUMN()*2-3)),"",INDEX(Array_ElectricalChargeData,ROW()-16,COLUMN()*2-3))</f>
        <v/>
      </c>
      <c r="L100" t="str" cm="1">
        <f>IF(ISBLANK(INDEX(Array_ElectricalChargeData,ROW()-16,COLUMN()*2-3)),"",INDEX(Array_ElectricalChargeData,ROW()-16,COLUMN()*2-3))</f>
        <v/>
      </c>
      <c r="M100" t="str" cm="1">
        <f>IF(ISBLANK(INDEX(Array_ElectricalChargeData,ROW()-16,COLUMN()*2-3)),"",INDEX(Array_ElectricalChargeData,ROW()-16,COLUMN()*2-3))</f>
        <v/>
      </c>
      <c r="N100" t="str" cm="1">
        <f>IF(ISBLANK(INDEX(Array_ElectricalChargeData,ROW()-16,COLUMN()*2-3)),"",INDEX(Array_ElectricalChargeData,ROW()-16,COLUMN()*2-3))</f>
        <v/>
      </c>
      <c r="O100" t="str" cm="1">
        <f>IF(ISBLANK(INDEX(Array_ElectricalChargeData,ROW()-16,COLUMN()*2-3)),"",INDEX(Array_ElectricalChargeData,ROW()-16,COLUMN()*2-3))</f>
        <v/>
      </c>
      <c r="P100" t="str" cm="1">
        <f>IF(ISBLANK(INDEX(Array_ElectricalChargeData,ROW()-16,COLUMN()*2-3)),"",INDEX(Array_ElectricalChargeData,ROW()-16,COLUMN()*2-3))</f>
        <v/>
      </c>
    </row>
    <row r="101" spans="1:16" x14ac:dyDescent="0.35">
      <c r="A101" t="str">
        <f>IF('Electricity Meters'!B87="",A100,'Electricity Meters'!B87)</f>
        <v>Meter Numbers</v>
      </c>
      <c r="B101" t="str" cm="1">
        <f>IF(ISBLANK(INDEX(Array_ElectricalChargeData,ROW()-16,COLUMN()*2-3)),"",INDEX(Array_ElectricalChargeData,ROW()-16,COLUMN()*2-3))</f>
        <v/>
      </c>
      <c r="C101" t="str" cm="1">
        <f>IF(ISBLANK(INDEX(Array_ElectricalChargeData,ROW()-16,COLUMN()*2-3)),"",INDEX(Array_ElectricalChargeData,ROW()-16,COLUMN()*2-3))</f>
        <v/>
      </c>
      <c r="D101" t="str" cm="1">
        <f>IF(ISBLANK(INDEX(Array_ElectricalChargeData,ROW()-16,COLUMN()*2-3)),"",INDEX(Array_ElectricalChargeData,ROW()-16,COLUMN()*2-3))</f>
        <v/>
      </c>
      <c r="E101" t="str" cm="1">
        <f>IF(ISBLANK(INDEX(Array_ElectricalChargeData,ROW()-16,COLUMN()*2-3)),"",INDEX(Array_ElectricalChargeData,ROW()-16,COLUMN()*2-3))</f>
        <v/>
      </c>
      <c r="F101" t="str" cm="1">
        <f>IF(ISBLANK(INDEX(Array_ElectricalChargeData,ROW()-16,COLUMN()*2-3)),"",INDEX(Array_ElectricalChargeData,ROW()-16,COLUMN()*2-3))</f>
        <v/>
      </c>
      <c r="G101" t="str" cm="1">
        <f>IF(ISBLANK(INDEX(Array_ElectricalChargeData,ROW()-16,COLUMN()*2-3)),"",INDEX(Array_ElectricalChargeData,ROW()-16,COLUMN()*2-3))</f>
        <v/>
      </c>
      <c r="H101" t="str" cm="1">
        <f>IF(ISBLANK(INDEX(Array_ElectricalChargeData,ROW()-16,COLUMN()*2-3)),"",INDEX(Array_ElectricalChargeData,ROW()-16,COLUMN()*2-3))</f>
        <v/>
      </c>
      <c r="I101" t="str" cm="1">
        <f>IF(ISBLANK(INDEX(Array_ElectricalChargeData,ROW()-16,COLUMN()*2-3)),"",INDEX(Array_ElectricalChargeData,ROW()-16,COLUMN()*2-3))</f>
        <v/>
      </c>
      <c r="J101" t="str" cm="1">
        <f>IF(ISBLANK(INDEX(Array_ElectricalChargeData,ROW()-16,COLUMN()*2-3)),"",INDEX(Array_ElectricalChargeData,ROW()-16,COLUMN()*2-3))</f>
        <v/>
      </c>
      <c r="K101" t="str" cm="1">
        <f>IF(ISBLANK(INDEX(Array_ElectricalChargeData,ROW()-16,COLUMN()*2-3)),"",INDEX(Array_ElectricalChargeData,ROW()-16,COLUMN()*2-3))</f>
        <v/>
      </c>
      <c r="L101" t="str" cm="1">
        <f>IF(ISBLANK(INDEX(Array_ElectricalChargeData,ROW()-16,COLUMN()*2-3)),"",INDEX(Array_ElectricalChargeData,ROW()-16,COLUMN()*2-3))</f>
        <v/>
      </c>
      <c r="M101" t="str" cm="1">
        <f>IF(ISBLANK(INDEX(Array_ElectricalChargeData,ROW()-16,COLUMN()*2-3)),"",INDEX(Array_ElectricalChargeData,ROW()-16,COLUMN()*2-3))</f>
        <v/>
      </c>
      <c r="N101" t="str" cm="1">
        <f>IF(ISBLANK(INDEX(Array_ElectricalChargeData,ROW()-16,COLUMN()*2-3)),"",INDEX(Array_ElectricalChargeData,ROW()-16,COLUMN()*2-3))</f>
        <v/>
      </c>
      <c r="O101" t="str" cm="1">
        <f>IF(ISBLANK(INDEX(Array_ElectricalChargeData,ROW()-16,COLUMN()*2-3)),"",INDEX(Array_ElectricalChargeData,ROW()-16,COLUMN()*2-3))</f>
        <v/>
      </c>
      <c r="P101" t="str" cm="1">
        <f>IF(ISBLANK(INDEX(Array_ElectricalChargeData,ROW()-16,COLUMN()*2-3)),"",INDEX(Array_ElectricalChargeData,ROW()-16,COLUMN()*2-3))</f>
        <v/>
      </c>
    </row>
    <row r="102" spans="1:16" x14ac:dyDescent="0.35">
      <c r="A102" t="str">
        <f>IF('Electricity Meters'!B88="",A101,'Electricity Meters'!B88)</f>
        <v>Meter Numbers</v>
      </c>
      <c r="B102" t="str" cm="1">
        <f>IF(ISBLANK(INDEX(Array_ElectricalChargeData,ROW()-16,COLUMN()*2-3)),"",INDEX(Array_ElectricalChargeData,ROW()-16,COLUMN()*2-3))</f>
        <v/>
      </c>
      <c r="C102" t="str" cm="1">
        <f>IF(ISBLANK(INDEX(Array_ElectricalChargeData,ROW()-16,COLUMN()*2-3)),"",INDEX(Array_ElectricalChargeData,ROW()-16,COLUMN()*2-3))</f>
        <v/>
      </c>
      <c r="D102" t="str" cm="1">
        <f>IF(ISBLANK(INDEX(Array_ElectricalChargeData,ROW()-16,COLUMN()*2-3)),"",INDEX(Array_ElectricalChargeData,ROW()-16,COLUMN()*2-3))</f>
        <v/>
      </c>
      <c r="E102" t="str" cm="1">
        <f>IF(ISBLANK(INDEX(Array_ElectricalChargeData,ROW()-16,COLUMN()*2-3)),"",INDEX(Array_ElectricalChargeData,ROW()-16,COLUMN()*2-3))</f>
        <v/>
      </c>
      <c r="F102" t="str" cm="1">
        <f>IF(ISBLANK(INDEX(Array_ElectricalChargeData,ROW()-16,COLUMN()*2-3)),"",INDEX(Array_ElectricalChargeData,ROW()-16,COLUMN()*2-3))</f>
        <v/>
      </c>
      <c r="G102" t="str" cm="1">
        <f>IF(ISBLANK(INDEX(Array_ElectricalChargeData,ROW()-16,COLUMN()*2-3)),"",INDEX(Array_ElectricalChargeData,ROW()-16,COLUMN()*2-3))</f>
        <v/>
      </c>
      <c r="H102" t="str" cm="1">
        <f>IF(ISBLANK(INDEX(Array_ElectricalChargeData,ROW()-16,COLUMN()*2-3)),"",INDEX(Array_ElectricalChargeData,ROW()-16,COLUMN()*2-3))</f>
        <v/>
      </c>
      <c r="I102" t="str" cm="1">
        <f>IF(ISBLANK(INDEX(Array_ElectricalChargeData,ROW()-16,COLUMN()*2-3)),"",INDEX(Array_ElectricalChargeData,ROW()-16,COLUMN()*2-3))</f>
        <v/>
      </c>
      <c r="J102" t="str" cm="1">
        <f>IF(ISBLANK(INDEX(Array_ElectricalChargeData,ROW()-16,COLUMN()*2-3)),"",INDEX(Array_ElectricalChargeData,ROW()-16,COLUMN()*2-3))</f>
        <v/>
      </c>
      <c r="K102" t="str" cm="1">
        <f>IF(ISBLANK(INDEX(Array_ElectricalChargeData,ROW()-16,COLUMN()*2-3)),"",INDEX(Array_ElectricalChargeData,ROW()-16,COLUMN()*2-3))</f>
        <v/>
      </c>
      <c r="L102" t="str" cm="1">
        <f>IF(ISBLANK(INDEX(Array_ElectricalChargeData,ROW()-16,COLUMN()*2-3)),"",INDEX(Array_ElectricalChargeData,ROW()-16,COLUMN()*2-3))</f>
        <v/>
      </c>
      <c r="M102" t="str" cm="1">
        <f>IF(ISBLANK(INDEX(Array_ElectricalChargeData,ROW()-16,COLUMN()*2-3)),"",INDEX(Array_ElectricalChargeData,ROW()-16,COLUMN()*2-3))</f>
        <v/>
      </c>
      <c r="N102" t="str" cm="1">
        <f>IF(ISBLANK(INDEX(Array_ElectricalChargeData,ROW()-16,COLUMN()*2-3)),"",INDEX(Array_ElectricalChargeData,ROW()-16,COLUMN()*2-3))</f>
        <v/>
      </c>
      <c r="O102" t="str" cm="1">
        <f>IF(ISBLANK(INDEX(Array_ElectricalChargeData,ROW()-16,COLUMN()*2-3)),"",INDEX(Array_ElectricalChargeData,ROW()-16,COLUMN()*2-3))</f>
        <v/>
      </c>
      <c r="P102" t="str" cm="1">
        <f>IF(ISBLANK(INDEX(Array_ElectricalChargeData,ROW()-16,COLUMN()*2-3)),"",INDEX(Array_ElectricalChargeData,ROW()-16,COLUMN()*2-3))</f>
        <v/>
      </c>
    </row>
    <row r="103" spans="1:16" x14ac:dyDescent="0.35">
      <c r="A103" t="str">
        <f>IF('Electricity Meters'!B89="",A102,'Electricity Meters'!B89)</f>
        <v>Meter Numbers</v>
      </c>
      <c r="B103" t="str" cm="1">
        <f>IF(ISBLANK(INDEX(Array_ElectricalChargeData,ROW()-16,COLUMN()*2-3)),"",INDEX(Array_ElectricalChargeData,ROW()-16,COLUMN()*2-3))</f>
        <v/>
      </c>
      <c r="C103" t="str" cm="1">
        <f>IF(ISBLANK(INDEX(Array_ElectricalChargeData,ROW()-16,COLUMN()*2-3)),"",INDEX(Array_ElectricalChargeData,ROW()-16,COLUMN()*2-3))</f>
        <v/>
      </c>
      <c r="D103" t="str" cm="1">
        <f>IF(ISBLANK(INDEX(Array_ElectricalChargeData,ROW()-16,COLUMN()*2-3)),"",INDEX(Array_ElectricalChargeData,ROW()-16,COLUMN()*2-3))</f>
        <v/>
      </c>
      <c r="E103" t="str" cm="1">
        <f>IF(ISBLANK(INDEX(Array_ElectricalChargeData,ROW()-16,COLUMN()*2-3)),"",INDEX(Array_ElectricalChargeData,ROW()-16,COLUMN()*2-3))</f>
        <v/>
      </c>
      <c r="F103" t="str" cm="1">
        <f>IF(ISBLANK(INDEX(Array_ElectricalChargeData,ROW()-16,COLUMN()*2-3)),"",INDEX(Array_ElectricalChargeData,ROW()-16,COLUMN()*2-3))</f>
        <v/>
      </c>
      <c r="G103" t="str" cm="1">
        <f>IF(ISBLANK(INDEX(Array_ElectricalChargeData,ROW()-16,COLUMN()*2-3)),"",INDEX(Array_ElectricalChargeData,ROW()-16,COLUMN()*2-3))</f>
        <v/>
      </c>
      <c r="H103" t="str" cm="1">
        <f>IF(ISBLANK(INDEX(Array_ElectricalChargeData,ROW()-16,COLUMN()*2-3)),"",INDEX(Array_ElectricalChargeData,ROW()-16,COLUMN()*2-3))</f>
        <v/>
      </c>
      <c r="I103" t="str" cm="1">
        <f>IF(ISBLANK(INDEX(Array_ElectricalChargeData,ROW()-16,COLUMN()*2-3)),"",INDEX(Array_ElectricalChargeData,ROW()-16,COLUMN()*2-3))</f>
        <v/>
      </c>
      <c r="J103" t="str" cm="1">
        <f>IF(ISBLANK(INDEX(Array_ElectricalChargeData,ROW()-16,COLUMN()*2-3)),"",INDEX(Array_ElectricalChargeData,ROW()-16,COLUMN()*2-3))</f>
        <v/>
      </c>
      <c r="K103" t="str" cm="1">
        <f>IF(ISBLANK(INDEX(Array_ElectricalChargeData,ROW()-16,COLUMN()*2-3)),"",INDEX(Array_ElectricalChargeData,ROW()-16,COLUMN()*2-3))</f>
        <v/>
      </c>
      <c r="L103" t="str" cm="1">
        <f>IF(ISBLANK(INDEX(Array_ElectricalChargeData,ROW()-16,COLUMN()*2-3)),"",INDEX(Array_ElectricalChargeData,ROW()-16,COLUMN()*2-3))</f>
        <v/>
      </c>
      <c r="M103" t="str" cm="1">
        <f>IF(ISBLANK(INDEX(Array_ElectricalChargeData,ROW()-16,COLUMN()*2-3)),"",INDEX(Array_ElectricalChargeData,ROW()-16,COLUMN()*2-3))</f>
        <v/>
      </c>
      <c r="N103" t="str" cm="1">
        <f>IF(ISBLANK(INDEX(Array_ElectricalChargeData,ROW()-16,COLUMN()*2-3)),"",INDEX(Array_ElectricalChargeData,ROW()-16,COLUMN()*2-3))</f>
        <v/>
      </c>
      <c r="O103" t="str" cm="1">
        <f>IF(ISBLANK(INDEX(Array_ElectricalChargeData,ROW()-16,COLUMN()*2-3)),"",INDEX(Array_ElectricalChargeData,ROW()-16,COLUMN()*2-3))</f>
        <v/>
      </c>
      <c r="P103" t="str" cm="1">
        <f>IF(ISBLANK(INDEX(Array_ElectricalChargeData,ROW()-16,COLUMN()*2-3)),"",INDEX(Array_ElectricalChargeData,ROW()-16,COLUMN()*2-3))</f>
        <v/>
      </c>
    </row>
    <row r="104" spans="1:16" x14ac:dyDescent="0.35">
      <c r="A104" t="str">
        <f>IF('Electricity Meters'!B90="",A103,'Electricity Meters'!B90)</f>
        <v>Meter Numbers</v>
      </c>
      <c r="B104" t="str" cm="1">
        <f>IF(ISBLANK(INDEX(Array_ElectricalChargeData,ROW()-16,COLUMN()*2-3)),"",INDEX(Array_ElectricalChargeData,ROW()-16,COLUMN()*2-3))</f>
        <v/>
      </c>
      <c r="C104" t="str" cm="1">
        <f>IF(ISBLANK(INDEX(Array_ElectricalChargeData,ROW()-16,COLUMN()*2-3)),"",INDEX(Array_ElectricalChargeData,ROW()-16,COLUMN()*2-3))</f>
        <v/>
      </c>
      <c r="D104" t="str" cm="1">
        <f>IF(ISBLANK(INDEX(Array_ElectricalChargeData,ROW()-16,COLUMN()*2-3)),"",INDEX(Array_ElectricalChargeData,ROW()-16,COLUMN()*2-3))</f>
        <v/>
      </c>
      <c r="E104" t="str" cm="1">
        <f>IF(ISBLANK(INDEX(Array_ElectricalChargeData,ROW()-16,COLUMN()*2-3)),"",INDEX(Array_ElectricalChargeData,ROW()-16,COLUMN()*2-3))</f>
        <v/>
      </c>
      <c r="F104" t="str" cm="1">
        <f>IF(ISBLANK(INDEX(Array_ElectricalChargeData,ROW()-16,COLUMN()*2-3)),"",INDEX(Array_ElectricalChargeData,ROW()-16,COLUMN()*2-3))</f>
        <v/>
      </c>
      <c r="G104" t="str" cm="1">
        <f>IF(ISBLANK(INDEX(Array_ElectricalChargeData,ROW()-16,COLUMN()*2-3)),"",INDEX(Array_ElectricalChargeData,ROW()-16,COLUMN()*2-3))</f>
        <v/>
      </c>
      <c r="H104" t="str" cm="1">
        <f>IF(ISBLANK(INDEX(Array_ElectricalChargeData,ROW()-16,COLUMN()*2-3)),"",INDEX(Array_ElectricalChargeData,ROW()-16,COLUMN()*2-3))</f>
        <v/>
      </c>
      <c r="I104" t="str" cm="1">
        <f>IF(ISBLANK(INDEX(Array_ElectricalChargeData,ROW()-16,COLUMN()*2-3)),"",INDEX(Array_ElectricalChargeData,ROW()-16,COLUMN()*2-3))</f>
        <v/>
      </c>
      <c r="J104" t="str" cm="1">
        <f>IF(ISBLANK(INDEX(Array_ElectricalChargeData,ROW()-16,COLUMN()*2-3)),"",INDEX(Array_ElectricalChargeData,ROW()-16,COLUMN()*2-3))</f>
        <v/>
      </c>
      <c r="K104" t="str" cm="1">
        <f>IF(ISBLANK(INDEX(Array_ElectricalChargeData,ROW()-16,COLUMN()*2-3)),"",INDEX(Array_ElectricalChargeData,ROW()-16,COLUMN()*2-3))</f>
        <v/>
      </c>
      <c r="L104" t="str" cm="1">
        <f>IF(ISBLANK(INDEX(Array_ElectricalChargeData,ROW()-16,COLUMN()*2-3)),"",INDEX(Array_ElectricalChargeData,ROW()-16,COLUMN()*2-3))</f>
        <v/>
      </c>
      <c r="M104" t="str" cm="1">
        <f>IF(ISBLANK(INDEX(Array_ElectricalChargeData,ROW()-16,COLUMN()*2-3)),"",INDEX(Array_ElectricalChargeData,ROW()-16,COLUMN()*2-3))</f>
        <v/>
      </c>
      <c r="N104" t="str" cm="1">
        <f>IF(ISBLANK(INDEX(Array_ElectricalChargeData,ROW()-16,COLUMN()*2-3)),"",INDEX(Array_ElectricalChargeData,ROW()-16,COLUMN()*2-3))</f>
        <v/>
      </c>
      <c r="O104" t="str" cm="1">
        <f>IF(ISBLANK(INDEX(Array_ElectricalChargeData,ROW()-16,COLUMN()*2-3)),"",INDEX(Array_ElectricalChargeData,ROW()-16,COLUMN()*2-3))</f>
        <v/>
      </c>
      <c r="P104" t="str" cm="1">
        <f>IF(ISBLANK(INDEX(Array_ElectricalChargeData,ROW()-16,COLUMN()*2-3)),"",INDEX(Array_ElectricalChargeData,ROW()-16,COLUMN()*2-3))</f>
        <v/>
      </c>
    </row>
    <row r="105" spans="1:16" x14ac:dyDescent="0.35">
      <c r="A105" t="str">
        <f>IF('Electricity Meters'!B91="",A104,'Electricity Meters'!B91)</f>
        <v>Meter Numbers</v>
      </c>
      <c r="B105" t="str" cm="1">
        <f>IF(ISBLANK(INDEX(Array_ElectricalChargeData,ROW()-16,COLUMN()*2-3)),"",INDEX(Array_ElectricalChargeData,ROW()-16,COLUMN()*2-3))</f>
        <v/>
      </c>
      <c r="C105" t="str" cm="1">
        <f>IF(ISBLANK(INDEX(Array_ElectricalChargeData,ROW()-16,COLUMN()*2-3)),"",INDEX(Array_ElectricalChargeData,ROW()-16,COLUMN()*2-3))</f>
        <v/>
      </c>
      <c r="D105" t="str" cm="1">
        <f>IF(ISBLANK(INDEX(Array_ElectricalChargeData,ROW()-16,COLUMN()*2-3)),"",INDEX(Array_ElectricalChargeData,ROW()-16,COLUMN()*2-3))</f>
        <v/>
      </c>
      <c r="E105" t="str" cm="1">
        <f>IF(ISBLANK(INDEX(Array_ElectricalChargeData,ROW()-16,COLUMN()*2-3)),"",INDEX(Array_ElectricalChargeData,ROW()-16,COLUMN()*2-3))</f>
        <v/>
      </c>
      <c r="F105" t="str" cm="1">
        <f>IF(ISBLANK(INDEX(Array_ElectricalChargeData,ROW()-16,COLUMN()*2-3)),"",INDEX(Array_ElectricalChargeData,ROW()-16,COLUMN()*2-3))</f>
        <v/>
      </c>
      <c r="G105" t="str" cm="1">
        <f>IF(ISBLANK(INDEX(Array_ElectricalChargeData,ROW()-16,COLUMN()*2-3)),"",INDEX(Array_ElectricalChargeData,ROW()-16,COLUMN()*2-3))</f>
        <v/>
      </c>
      <c r="H105" t="str" cm="1">
        <f>IF(ISBLANK(INDEX(Array_ElectricalChargeData,ROW()-16,COLUMN()*2-3)),"",INDEX(Array_ElectricalChargeData,ROW()-16,COLUMN()*2-3))</f>
        <v/>
      </c>
      <c r="I105" t="str" cm="1">
        <f>IF(ISBLANK(INDEX(Array_ElectricalChargeData,ROW()-16,COLUMN()*2-3)),"",INDEX(Array_ElectricalChargeData,ROW()-16,COLUMN()*2-3))</f>
        <v/>
      </c>
      <c r="J105" t="str" cm="1">
        <f>IF(ISBLANK(INDEX(Array_ElectricalChargeData,ROW()-16,COLUMN()*2-3)),"",INDEX(Array_ElectricalChargeData,ROW()-16,COLUMN()*2-3))</f>
        <v/>
      </c>
      <c r="K105" t="str" cm="1">
        <f>IF(ISBLANK(INDEX(Array_ElectricalChargeData,ROW()-16,COLUMN()*2-3)),"",INDEX(Array_ElectricalChargeData,ROW()-16,COLUMN()*2-3))</f>
        <v/>
      </c>
      <c r="L105" t="str" cm="1">
        <f>IF(ISBLANK(INDEX(Array_ElectricalChargeData,ROW()-16,COLUMN()*2-3)),"",INDEX(Array_ElectricalChargeData,ROW()-16,COLUMN()*2-3))</f>
        <v/>
      </c>
      <c r="M105" t="str" cm="1">
        <f>IF(ISBLANK(INDEX(Array_ElectricalChargeData,ROW()-16,COLUMN()*2-3)),"",INDEX(Array_ElectricalChargeData,ROW()-16,COLUMN()*2-3))</f>
        <v/>
      </c>
      <c r="N105" t="str" cm="1">
        <f>IF(ISBLANK(INDEX(Array_ElectricalChargeData,ROW()-16,COLUMN()*2-3)),"",INDEX(Array_ElectricalChargeData,ROW()-16,COLUMN()*2-3))</f>
        <v/>
      </c>
      <c r="O105" t="str" cm="1">
        <f>IF(ISBLANK(INDEX(Array_ElectricalChargeData,ROW()-16,COLUMN()*2-3)),"",INDEX(Array_ElectricalChargeData,ROW()-16,COLUMN()*2-3))</f>
        <v/>
      </c>
      <c r="P105" t="str" cm="1">
        <f>IF(ISBLANK(INDEX(Array_ElectricalChargeData,ROW()-16,COLUMN()*2-3)),"",INDEX(Array_ElectricalChargeData,ROW()-16,COLUMN()*2-3))</f>
        <v/>
      </c>
    </row>
    <row r="106" spans="1:16" x14ac:dyDescent="0.35">
      <c r="A106" t="str">
        <f>IF('Electricity Meters'!B92="",A105,'Electricity Meters'!B92)</f>
        <v>Meter Numbers</v>
      </c>
      <c r="B106" t="str" cm="1">
        <f>IF(ISBLANK(INDEX(Array_ElectricalChargeData,ROW()-16,COLUMN()*2-3)),"",INDEX(Array_ElectricalChargeData,ROW()-16,COLUMN()*2-3))</f>
        <v/>
      </c>
      <c r="C106" t="str" cm="1">
        <f>IF(ISBLANK(INDEX(Array_ElectricalChargeData,ROW()-16,COLUMN()*2-3)),"",INDEX(Array_ElectricalChargeData,ROW()-16,COLUMN()*2-3))</f>
        <v/>
      </c>
      <c r="D106" t="str" cm="1">
        <f>IF(ISBLANK(INDEX(Array_ElectricalChargeData,ROW()-16,COLUMN()*2-3)),"",INDEX(Array_ElectricalChargeData,ROW()-16,COLUMN()*2-3))</f>
        <v/>
      </c>
      <c r="E106" t="str" cm="1">
        <f>IF(ISBLANK(INDEX(Array_ElectricalChargeData,ROW()-16,COLUMN()*2-3)),"",INDEX(Array_ElectricalChargeData,ROW()-16,COLUMN()*2-3))</f>
        <v/>
      </c>
      <c r="F106" t="str" cm="1">
        <f>IF(ISBLANK(INDEX(Array_ElectricalChargeData,ROW()-16,COLUMN()*2-3)),"",INDEX(Array_ElectricalChargeData,ROW()-16,COLUMN()*2-3))</f>
        <v/>
      </c>
      <c r="G106" t="str" cm="1">
        <f>IF(ISBLANK(INDEX(Array_ElectricalChargeData,ROW()-16,COLUMN()*2-3)),"",INDEX(Array_ElectricalChargeData,ROW()-16,COLUMN()*2-3))</f>
        <v/>
      </c>
      <c r="H106" t="str" cm="1">
        <f>IF(ISBLANK(INDEX(Array_ElectricalChargeData,ROW()-16,COLUMN()*2-3)),"",INDEX(Array_ElectricalChargeData,ROW()-16,COLUMN()*2-3))</f>
        <v/>
      </c>
      <c r="I106" t="str" cm="1">
        <f>IF(ISBLANK(INDEX(Array_ElectricalChargeData,ROW()-16,COLUMN()*2-3)),"",INDEX(Array_ElectricalChargeData,ROW()-16,COLUMN()*2-3))</f>
        <v/>
      </c>
      <c r="J106" t="str" cm="1">
        <f>IF(ISBLANK(INDEX(Array_ElectricalChargeData,ROW()-16,COLUMN()*2-3)),"",INDEX(Array_ElectricalChargeData,ROW()-16,COLUMN()*2-3))</f>
        <v/>
      </c>
      <c r="K106" t="str" cm="1">
        <f>IF(ISBLANK(INDEX(Array_ElectricalChargeData,ROW()-16,COLUMN()*2-3)),"",INDEX(Array_ElectricalChargeData,ROW()-16,COLUMN()*2-3))</f>
        <v/>
      </c>
      <c r="L106" t="str" cm="1">
        <f>IF(ISBLANK(INDEX(Array_ElectricalChargeData,ROW()-16,COLUMN()*2-3)),"",INDEX(Array_ElectricalChargeData,ROW()-16,COLUMN()*2-3))</f>
        <v/>
      </c>
      <c r="M106" t="str" cm="1">
        <f>IF(ISBLANK(INDEX(Array_ElectricalChargeData,ROW()-16,COLUMN()*2-3)),"",INDEX(Array_ElectricalChargeData,ROW()-16,COLUMN()*2-3))</f>
        <v/>
      </c>
      <c r="N106" t="str" cm="1">
        <f>IF(ISBLANK(INDEX(Array_ElectricalChargeData,ROW()-16,COLUMN()*2-3)),"",INDEX(Array_ElectricalChargeData,ROW()-16,COLUMN()*2-3))</f>
        <v/>
      </c>
      <c r="O106" t="str" cm="1">
        <f>IF(ISBLANK(INDEX(Array_ElectricalChargeData,ROW()-16,COLUMN()*2-3)),"",INDEX(Array_ElectricalChargeData,ROW()-16,COLUMN()*2-3))</f>
        <v/>
      </c>
      <c r="P106" t="str" cm="1">
        <f>IF(ISBLANK(INDEX(Array_ElectricalChargeData,ROW()-16,COLUMN()*2-3)),"",INDEX(Array_ElectricalChargeData,ROW()-16,COLUMN()*2-3))</f>
        <v/>
      </c>
    </row>
    <row r="107" spans="1:16" x14ac:dyDescent="0.35">
      <c r="A107" t="str">
        <f>IF('Electricity Meters'!B93="",A106,'Electricity Meters'!B93)</f>
        <v>Meter Numbers</v>
      </c>
      <c r="B107" t="str" cm="1">
        <f>IF(ISBLANK(INDEX(Array_ElectricalChargeData,ROW()-16,COLUMN()*2-3)),"",INDEX(Array_ElectricalChargeData,ROW()-16,COLUMN()*2-3))</f>
        <v/>
      </c>
      <c r="C107" t="str" cm="1">
        <f>IF(ISBLANK(INDEX(Array_ElectricalChargeData,ROW()-16,COLUMN()*2-3)),"",INDEX(Array_ElectricalChargeData,ROW()-16,COLUMN()*2-3))</f>
        <v/>
      </c>
      <c r="D107" t="str" cm="1">
        <f>IF(ISBLANK(INDEX(Array_ElectricalChargeData,ROW()-16,COLUMN()*2-3)),"",INDEX(Array_ElectricalChargeData,ROW()-16,COLUMN()*2-3))</f>
        <v/>
      </c>
      <c r="E107" t="str" cm="1">
        <f>IF(ISBLANK(INDEX(Array_ElectricalChargeData,ROW()-16,COLUMN()*2-3)),"",INDEX(Array_ElectricalChargeData,ROW()-16,COLUMN()*2-3))</f>
        <v/>
      </c>
      <c r="F107" t="str" cm="1">
        <f>IF(ISBLANK(INDEX(Array_ElectricalChargeData,ROW()-16,COLUMN()*2-3)),"",INDEX(Array_ElectricalChargeData,ROW()-16,COLUMN()*2-3))</f>
        <v/>
      </c>
      <c r="G107" t="str" cm="1">
        <f>IF(ISBLANK(INDEX(Array_ElectricalChargeData,ROW()-16,COLUMN()*2-3)),"",INDEX(Array_ElectricalChargeData,ROW()-16,COLUMN()*2-3))</f>
        <v/>
      </c>
      <c r="H107" t="str" cm="1">
        <f>IF(ISBLANK(INDEX(Array_ElectricalChargeData,ROW()-16,COLUMN()*2-3)),"",INDEX(Array_ElectricalChargeData,ROW()-16,COLUMN()*2-3))</f>
        <v/>
      </c>
      <c r="I107" t="str" cm="1">
        <f>IF(ISBLANK(INDEX(Array_ElectricalChargeData,ROW()-16,COLUMN()*2-3)),"",INDEX(Array_ElectricalChargeData,ROW()-16,COLUMN()*2-3))</f>
        <v/>
      </c>
      <c r="J107" t="str" cm="1">
        <f>IF(ISBLANK(INDEX(Array_ElectricalChargeData,ROW()-16,COLUMN()*2-3)),"",INDEX(Array_ElectricalChargeData,ROW()-16,COLUMN()*2-3))</f>
        <v/>
      </c>
      <c r="K107" t="str" cm="1">
        <f>IF(ISBLANK(INDEX(Array_ElectricalChargeData,ROW()-16,COLUMN()*2-3)),"",INDEX(Array_ElectricalChargeData,ROW()-16,COLUMN()*2-3))</f>
        <v/>
      </c>
      <c r="L107" t="str" cm="1">
        <f>IF(ISBLANK(INDEX(Array_ElectricalChargeData,ROW()-16,COLUMN()*2-3)),"",INDEX(Array_ElectricalChargeData,ROW()-16,COLUMN()*2-3))</f>
        <v/>
      </c>
      <c r="M107" t="str" cm="1">
        <f>IF(ISBLANK(INDEX(Array_ElectricalChargeData,ROW()-16,COLUMN()*2-3)),"",INDEX(Array_ElectricalChargeData,ROW()-16,COLUMN()*2-3))</f>
        <v/>
      </c>
      <c r="N107" t="str" cm="1">
        <f>IF(ISBLANK(INDEX(Array_ElectricalChargeData,ROW()-16,COLUMN()*2-3)),"",INDEX(Array_ElectricalChargeData,ROW()-16,COLUMN()*2-3))</f>
        <v/>
      </c>
      <c r="O107" t="str" cm="1">
        <f>IF(ISBLANK(INDEX(Array_ElectricalChargeData,ROW()-16,COLUMN()*2-3)),"",INDEX(Array_ElectricalChargeData,ROW()-16,COLUMN()*2-3))</f>
        <v/>
      </c>
      <c r="P107" t="str" cm="1">
        <f>IF(ISBLANK(INDEX(Array_ElectricalChargeData,ROW()-16,COLUMN()*2-3)),"",INDEX(Array_ElectricalChargeData,ROW()-16,COLUMN()*2-3))</f>
        <v/>
      </c>
    </row>
    <row r="108" spans="1:16" x14ac:dyDescent="0.35">
      <c r="A108" t="str">
        <f>IF('Electricity Meters'!B94="",A107,'Electricity Meters'!B94)</f>
        <v>Meter Numbers</v>
      </c>
      <c r="B108" t="str" cm="1">
        <f>IF(ISBLANK(INDEX(Array_ElectricalChargeData,ROW()-16,COLUMN()*2-3)),"",INDEX(Array_ElectricalChargeData,ROW()-16,COLUMN()*2-3))</f>
        <v/>
      </c>
      <c r="C108" t="str" cm="1">
        <f>IF(ISBLANK(INDEX(Array_ElectricalChargeData,ROW()-16,COLUMN()*2-3)),"",INDEX(Array_ElectricalChargeData,ROW()-16,COLUMN()*2-3))</f>
        <v/>
      </c>
      <c r="D108" t="str" cm="1">
        <f>IF(ISBLANK(INDEX(Array_ElectricalChargeData,ROW()-16,COLUMN()*2-3)),"",INDEX(Array_ElectricalChargeData,ROW()-16,COLUMN()*2-3))</f>
        <v/>
      </c>
      <c r="E108" t="str" cm="1">
        <f>IF(ISBLANK(INDEX(Array_ElectricalChargeData,ROW()-16,COLUMN()*2-3)),"",INDEX(Array_ElectricalChargeData,ROW()-16,COLUMN()*2-3))</f>
        <v/>
      </c>
      <c r="F108" t="str" cm="1">
        <f>IF(ISBLANK(INDEX(Array_ElectricalChargeData,ROW()-16,COLUMN()*2-3)),"",INDEX(Array_ElectricalChargeData,ROW()-16,COLUMN()*2-3))</f>
        <v/>
      </c>
      <c r="G108" t="str" cm="1">
        <f>IF(ISBLANK(INDEX(Array_ElectricalChargeData,ROW()-16,COLUMN()*2-3)),"",INDEX(Array_ElectricalChargeData,ROW()-16,COLUMN()*2-3))</f>
        <v/>
      </c>
      <c r="H108" t="str" cm="1">
        <f>IF(ISBLANK(INDEX(Array_ElectricalChargeData,ROW()-16,COLUMN()*2-3)),"",INDEX(Array_ElectricalChargeData,ROW()-16,COLUMN()*2-3))</f>
        <v/>
      </c>
      <c r="I108" t="str" cm="1">
        <f>IF(ISBLANK(INDEX(Array_ElectricalChargeData,ROW()-16,COLUMN()*2-3)),"",INDEX(Array_ElectricalChargeData,ROW()-16,COLUMN()*2-3))</f>
        <v/>
      </c>
      <c r="J108" t="str" cm="1">
        <f>IF(ISBLANK(INDEX(Array_ElectricalChargeData,ROW()-16,COLUMN()*2-3)),"",INDEX(Array_ElectricalChargeData,ROW()-16,COLUMN()*2-3))</f>
        <v/>
      </c>
      <c r="K108" t="str" cm="1">
        <f>IF(ISBLANK(INDEX(Array_ElectricalChargeData,ROW()-16,COLUMN()*2-3)),"",INDEX(Array_ElectricalChargeData,ROW()-16,COLUMN()*2-3))</f>
        <v/>
      </c>
      <c r="L108" t="str" cm="1">
        <f>IF(ISBLANK(INDEX(Array_ElectricalChargeData,ROW()-16,COLUMN()*2-3)),"",INDEX(Array_ElectricalChargeData,ROW()-16,COLUMN()*2-3))</f>
        <v/>
      </c>
      <c r="M108" t="str" cm="1">
        <f>IF(ISBLANK(INDEX(Array_ElectricalChargeData,ROW()-16,COLUMN()*2-3)),"",INDEX(Array_ElectricalChargeData,ROW()-16,COLUMN()*2-3))</f>
        <v/>
      </c>
      <c r="N108" t="str" cm="1">
        <f>IF(ISBLANK(INDEX(Array_ElectricalChargeData,ROW()-16,COLUMN()*2-3)),"",INDEX(Array_ElectricalChargeData,ROW()-16,COLUMN()*2-3))</f>
        <v/>
      </c>
      <c r="O108" t="str" cm="1">
        <f>IF(ISBLANK(INDEX(Array_ElectricalChargeData,ROW()-16,COLUMN()*2-3)),"",INDEX(Array_ElectricalChargeData,ROW()-16,COLUMN()*2-3))</f>
        <v/>
      </c>
      <c r="P108" t="str" cm="1">
        <f>IF(ISBLANK(INDEX(Array_ElectricalChargeData,ROW()-16,COLUMN()*2-3)),"",INDEX(Array_ElectricalChargeData,ROW()-16,COLUMN()*2-3))</f>
        <v/>
      </c>
    </row>
    <row r="109" spans="1:16" x14ac:dyDescent="0.35">
      <c r="A109" t="str">
        <f>IF('Electricity Meters'!B95="",A108,'Electricity Meters'!B95)</f>
        <v>Meter Numbers</v>
      </c>
      <c r="B109" t="str" cm="1">
        <f>IF(ISBLANK(INDEX(Array_ElectricalChargeData,ROW()-16,COLUMN()*2-3)),"",INDEX(Array_ElectricalChargeData,ROW()-16,COLUMN()*2-3))</f>
        <v/>
      </c>
      <c r="C109" t="str" cm="1">
        <f>IF(ISBLANK(INDEX(Array_ElectricalChargeData,ROW()-16,COLUMN()*2-3)),"",INDEX(Array_ElectricalChargeData,ROW()-16,COLUMN()*2-3))</f>
        <v/>
      </c>
      <c r="D109" t="str" cm="1">
        <f>IF(ISBLANK(INDEX(Array_ElectricalChargeData,ROW()-16,COLUMN()*2-3)),"",INDEX(Array_ElectricalChargeData,ROW()-16,COLUMN()*2-3))</f>
        <v/>
      </c>
      <c r="E109" t="str" cm="1">
        <f>IF(ISBLANK(INDEX(Array_ElectricalChargeData,ROW()-16,COLUMN()*2-3)),"",INDEX(Array_ElectricalChargeData,ROW()-16,COLUMN()*2-3))</f>
        <v/>
      </c>
      <c r="F109" t="str" cm="1">
        <f>IF(ISBLANK(INDEX(Array_ElectricalChargeData,ROW()-16,COLUMN()*2-3)),"",INDEX(Array_ElectricalChargeData,ROW()-16,COLUMN()*2-3))</f>
        <v/>
      </c>
      <c r="G109" t="str" cm="1">
        <f>IF(ISBLANK(INDEX(Array_ElectricalChargeData,ROW()-16,COLUMN()*2-3)),"",INDEX(Array_ElectricalChargeData,ROW()-16,COLUMN()*2-3))</f>
        <v/>
      </c>
      <c r="H109" t="str" cm="1">
        <f>IF(ISBLANK(INDEX(Array_ElectricalChargeData,ROW()-16,COLUMN()*2-3)),"",INDEX(Array_ElectricalChargeData,ROW()-16,COLUMN()*2-3))</f>
        <v/>
      </c>
      <c r="I109" t="str" cm="1">
        <f>IF(ISBLANK(INDEX(Array_ElectricalChargeData,ROW()-16,COLUMN()*2-3)),"",INDEX(Array_ElectricalChargeData,ROW()-16,COLUMN()*2-3))</f>
        <v/>
      </c>
      <c r="J109" t="str" cm="1">
        <f>IF(ISBLANK(INDEX(Array_ElectricalChargeData,ROW()-16,COLUMN()*2-3)),"",INDEX(Array_ElectricalChargeData,ROW()-16,COLUMN()*2-3))</f>
        <v/>
      </c>
      <c r="K109" t="str" cm="1">
        <f>IF(ISBLANK(INDEX(Array_ElectricalChargeData,ROW()-16,COLUMN()*2-3)),"",INDEX(Array_ElectricalChargeData,ROW()-16,COLUMN()*2-3))</f>
        <v/>
      </c>
      <c r="L109" t="str" cm="1">
        <f>IF(ISBLANK(INDEX(Array_ElectricalChargeData,ROW()-16,COLUMN()*2-3)),"",INDEX(Array_ElectricalChargeData,ROW()-16,COLUMN()*2-3))</f>
        <v/>
      </c>
      <c r="M109" t="str" cm="1">
        <f>IF(ISBLANK(INDEX(Array_ElectricalChargeData,ROW()-16,COLUMN()*2-3)),"",INDEX(Array_ElectricalChargeData,ROW()-16,COLUMN()*2-3))</f>
        <v/>
      </c>
      <c r="N109" t="str" cm="1">
        <f>IF(ISBLANK(INDEX(Array_ElectricalChargeData,ROW()-16,COLUMN()*2-3)),"",INDEX(Array_ElectricalChargeData,ROW()-16,COLUMN()*2-3))</f>
        <v/>
      </c>
      <c r="O109" t="str" cm="1">
        <f>IF(ISBLANK(INDEX(Array_ElectricalChargeData,ROW()-16,COLUMN()*2-3)),"",INDEX(Array_ElectricalChargeData,ROW()-16,COLUMN()*2-3))</f>
        <v/>
      </c>
      <c r="P109" t="str" cm="1">
        <f>IF(ISBLANK(INDEX(Array_ElectricalChargeData,ROW()-16,COLUMN()*2-3)),"",INDEX(Array_ElectricalChargeData,ROW()-16,COLUMN()*2-3))</f>
        <v/>
      </c>
    </row>
    <row r="110" spans="1:16" x14ac:dyDescent="0.35">
      <c r="A110" t="str">
        <f>IF('Electricity Meters'!B96="",A109,'Electricity Meters'!B96)</f>
        <v>Meter Numbers</v>
      </c>
      <c r="B110" t="str" cm="1">
        <f>IF(ISBLANK(INDEX(Array_ElectricalChargeData,ROW()-16,COLUMN()*2-3)),"",INDEX(Array_ElectricalChargeData,ROW()-16,COLUMN()*2-3))</f>
        <v/>
      </c>
      <c r="C110" t="str" cm="1">
        <f>IF(ISBLANK(INDEX(Array_ElectricalChargeData,ROW()-16,COLUMN()*2-3)),"",INDEX(Array_ElectricalChargeData,ROW()-16,COLUMN()*2-3))</f>
        <v/>
      </c>
      <c r="D110" t="str" cm="1">
        <f>IF(ISBLANK(INDEX(Array_ElectricalChargeData,ROW()-16,COLUMN()*2-3)),"",INDEX(Array_ElectricalChargeData,ROW()-16,COLUMN()*2-3))</f>
        <v/>
      </c>
      <c r="E110" t="str" cm="1">
        <f>IF(ISBLANK(INDEX(Array_ElectricalChargeData,ROW()-16,COLUMN()*2-3)),"",INDEX(Array_ElectricalChargeData,ROW()-16,COLUMN()*2-3))</f>
        <v/>
      </c>
      <c r="F110" t="str" cm="1">
        <f>IF(ISBLANK(INDEX(Array_ElectricalChargeData,ROW()-16,COLUMN()*2-3)),"",INDEX(Array_ElectricalChargeData,ROW()-16,COLUMN()*2-3))</f>
        <v/>
      </c>
      <c r="G110" t="str" cm="1">
        <f>IF(ISBLANK(INDEX(Array_ElectricalChargeData,ROW()-16,COLUMN()*2-3)),"",INDEX(Array_ElectricalChargeData,ROW()-16,COLUMN()*2-3))</f>
        <v/>
      </c>
      <c r="H110" t="str" cm="1">
        <f>IF(ISBLANK(INDEX(Array_ElectricalChargeData,ROW()-16,COLUMN()*2-3)),"",INDEX(Array_ElectricalChargeData,ROW()-16,COLUMN()*2-3))</f>
        <v/>
      </c>
      <c r="I110" t="str" cm="1">
        <f>IF(ISBLANK(INDEX(Array_ElectricalChargeData,ROW()-16,COLUMN()*2-3)),"",INDEX(Array_ElectricalChargeData,ROW()-16,COLUMN()*2-3))</f>
        <v/>
      </c>
      <c r="J110" t="str" cm="1">
        <f>IF(ISBLANK(INDEX(Array_ElectricalChargeData,ROW()-16,COLUMN()*2-3)),"",INDEX(Array_ElectricalChargeData,ROW()-16,COLUMN()*2-3))</f>
        <v/>
      </c>
      <c r="K110" t="str" cm="1">
        <f>IF(ISBLANK(INDEX(Array_ElectricalChargeData,ROW()-16,COLUMN()*2-3)),"",INDEX(Array_ElectricalChargeData,ROW()-16,COLUMN()*2-3))</f>
        <v/>
      </c>
      <c r="L110" t="str" cm="1">
        <f>IF(ISBLANK(INDEX(Array_ElectricalChargeData,ROW()-16,COLUMN()*2-3)),"",INDEX(Array_ElectricalChargeData,ROW()-16,COLUMN()*2-3))</f>
        <v/>
      </c>
      <c r="M110" t="str" cm="1">
        <f>IF(ISBLANK(INDEX(Array_ElectricalChargeData,ROW()-16,COLUMN()*2-3)),"",INDEX(Array_ElectricalChargeData,ROW()-16,COLUMN()*2-3))</f>
        <v/>
      </c>
      <c r="N110" t="str" cm="1">
        <f>IF(ISBLANK(INDEX(Array_ElectricalChargeData,ROW()-16,COLUMN()*2-3)),"",INDEX(Array_ElectricalChargeData,ROW()-16,COLUMN()*2-3))</f>
        <v/>
      </c>
      <c r="O110" t="str" cm="1">
        <f>IF(ISBLANK(INDEX(Array_ElectricalChargeData,ROW()-16,COLUMN()*2-3)),"",INDEX(Array_ElectricalChargeData,ROW()-16,COLUMN()*2-3))</f>
        <v/>
      </c>
      <c r="P110" t="str" cm="1">
        <f>IF(ISBLANK(INDEX(Array_ElectricalChargeData,ROW()-16,COLUMN()*2-3)),"",INDEX(Array_ElectricalChargeData,ROW()-16,COLUMN()*2-3))</f>
        <v/>
      </c>
    </row>
    <row r="111" spans="1:16" x14ac:dyDescent="0.35">
      <c r="A111" t="str">
        <f>IF('Electricity Meters'!B97="",A110,'Electricity Meters'!B97)</f>
        <v>Meter Numbers</v>
      </c>
      <c r="B111" t="str" cm="1">
        <f>IF(ISBLANK(INDEX(Array_ElectricalChargeData,ROW()-16,COLUMN()*2-3)),"",INDEX(Array_ElectricalChargeData,ROW()-16,COLUMN()*2-3))</f>
        <v/>
      </c>
      <c r="C111" t="str" cm="1">
        <f>IF(ISBLANK(INDEX(Array_ElectricalChargeData,ROW()-16,COLUMN()*2-3)),"",INDEX(Array_ElectricalChargeData,ROW()-16,COLUMN()*2-3))</f>
        <v/>
      </c>
      <c r="D111" t="str" cm="1">
        <f>IF(ISBLANK(INDEX(Array_ElectricalChargeData,ROW()-16,COLUMN()*2-3)),"",INDEX(Array_ElectricalChargeData,ROW()-16,COLUMN()*2-3))</f>
        <v/>
      </c>
      <c r="E111" t="str" cm="1">
        <f>IF(ISBLANK(INDEX(Array_ElectricalChargeData,ROW()-16,COLUMN()*2-3)),"",INDEX(Array_ElectricalChargeData,ROW()-16,COLUMN()*2-3))</f>
        <v/>
      </c>
      <c r="F111" t="str" cm="1">
        <f>IF(ISBLANK(INDEX(Array_ElectricalChargeData,ROW()-16,COLUMN()*2-3)),"",INDEX(Array_ElectricalChargeData,ROW()-16,COLUMN()*2-3))</f>
        <v/>
      </c>
      <c r="G111" t="str" cm="1">
        <f>IF(ISBLANK(INDEX(Array_ElectricalChargeData,ROW()-16,COLUMN()*2-3)),"",INDEX(Array_ElectricalChargeData,ROW()-16,COLUMN()*2-3))</f>
        <v/>
      </c>
      <c r="H111" t="str" cm="1">
        <f>IF(ISBLANK(INDEX(Array_ElectricalChargeData,ROW()-16,COLUMN()*2-3)),"",INDEX(Array_ElectricalChargeData,ROW()-16,COLUMN()*2-3))</f>
        <v/>
      </c>
      <c r="I111" t="str" cm="1">
        <f>IF(ISBLANK(INDEX(Array_ElectricalChargeData,ROW()-16,COLUMN()*2-3)),"",INDEX(Array_ElectricalChargeData,ROW()-16,COLUMN()*2-3))</f>
        <v/>
      </c>
      <c r="J111" t="str" cm="1">
        <f>IF(ISBLANK(INDEX(Array_ElectricalChargeData,ROW()-16,COLUMN()*2-3)),"",INDEX(Array_ElectricalChargeData,ROW()-16,COLUMN()*2-3))</f>
        <v/>
      </c>
      <c r="K111" t="str" cm="1">
        <f>IF(ISBLANK(INDEX(Array_ElectricalChargeData,ROW()-16,COLUMN()*2-3)),"",INDEX(Array_ElectricalChargeData,ROW()-16,COLUMN()*2-3))</f>
        <v/>
      </c>
      <c r="L111" t="str" cm="1">
        <f>IF(ISBLANK(INDEX(Array_ElectricalChargeData,ROW()-16,COLUMN()*2-3)),"",INDEX(Array_ElectricalChargeData,ROW()-16,COLUMN()*2-3))</f>
        <v/>
      </c>
      <c r="M111" t="str" cm="1">
        <f>IF(ISBLANK(INDEX(Array_ElectricalChargeData,ROW()-16,COLUMN()*2-3)),"",INDEX(Array_ElectricalChargeData,ROW()-16,COLUMN()*2-3))</f>
        <v/>
      </c>
      <c r="N111" t="str" cm="1">
        <f>IF(ISBLANK(INDEX(Array_ElectricalChargeData,ROW()-16,COLUMN()*2-3)),"",INDEX(Array_ElectricalChargeData,ROW()-16,COLUMN()*2-3))</f>
        <v/>
      </c>
      <c r="O111" t="str" cm="1">
        <f>IF(ISBLANK(INDEX(Array_ElectricalChargeData,ROW()-16,COLUMN()*2-3)),"",INDEX(Array_ElectricalChargeData,ROW()-16,COLUMN()*2-3))</f>
        <v/>
      </c>
      <c r="P111" t="str" cm="1">
        <f>IF(ISBLANK(INDEX(Array_ElectricalChargeData,ROW()-16,COLUMN()*2-3)),"",INDEX(Array_ElectricalChargeData,ROW()-16,COLUMN()*2-3))</f>
        <v/>
      </c>
    </row>
    <row r="112" spans="1:16" x14ac:dyDescent="0.35">
      <c r="A112" t="str">
        <f>IF('Electricity Meters'!B98="",A111,'Electricity Meters'!B98)</f>
        <v>Meter Numbers</v>
      </c>
      <c r="B112" t="str" cm="1">
        <f>IF(ISBLANK(INDEX(Array_ElectricalChargeData,ROW()-16,COLUMN()*2-3)),"",INDEX(Array_ElectricalChargeData,ROW()-16,COLUMN()*2-3))</f>
        <v/>
      </c>
      <c r="C112" t="str" cm="1">
        <f>IF(ISBLANK(INDEX(Array_ElectricalChargeData,ROW()-16,COLUMN()*2-3)),"",INDEX(Array_ElectricalChargeData,ROW()-16,COLUMN()*2-3))</f>
        <v/>
      </c>
      <c r="D112" t="str" cm="1">
        <f>IF(ISBLANK(INDEX(Array_ElectricalChargeData,ROW()-16,COLUMN()*2-3)),"",INDEX(Array_ElectricalChargeData,ROW()-16,COLUMN()*2-3))</f>
        <v/>
      </c>
      <c r="E112" t="str" cm="1">
        <f>IF(ISBLANK(INDEX(Array_ElectricalChargeData,ROW()-16,COLUMN()*2-3)),"",INDEX(Array_ElectricalChargeData,ROW()-16,COLUMN()*2-3))</f>
        <v/>
      </c>
      <c r="F112" t="str" cm="1">
        <f>IF(ISBLANK(INDEX(Array_ElectricalChargeData,ROW()-16,COLUMN()*2-3)),"",INDEX(Array_ElectricalChargeData,ROW()-16,COLUMN()*2-3))</f>
        <v/>
      </c>
      <c r="G112" t="str" cm="1">
        <f>IF(ISBLANK(INDEX(Array_ElectricalChargeData,ROW()-16,COLUMN()*2-3)),"",INDEX(Array_ElectricalChargeData,ROW()-16,COLUMN()*2-3))</f>
        <v/>
      </c>
      <c r="H112" t="str" cm="1">
        <f>IF(ISBLANK(INDEX(Array_ElectricalChargeData,ROW()-16,COLUMN()*2-3)),"",INDEX(Array_ElectricalChargeData,ROW()-16,COLUMN()*2-3))</f>
        <v/>
      </c>
      <c r="I112" t="str" cm="1">
        <f>IF(ISBLANK(INDEX(Array_ElectricalChargeData,ROW()-16,COLUMN()*2-3)),"",INDEX(Array_ElectricalChargeData,ROW()-16,COLUMN()*2-3))</f>
        <v/>
      </c>
      <c r="J112" t="str" cm="1">
        <f>IF(ISBLANK(INDEX(Array_ElectricalChargeData,ROW()-16,COLUMN()*2-3)),"",INDEX(Array_ElectricalChargeData,ROW()-16,COLUMN()*2-3))</f>
        <v/>
      </c>
      <c r="K112" t="str" cm="1">
        <f>IF(ISBLANK(INDEX(Array_ElectricalChargeData,ROW()-16,COLUMN()*2-3)),"",INDEX(Array_ElectricalChargeData,ROW()-16,COLUMN()*2-3))</f>
        <v/>
      </c>
      <c r="L112" t="str" cm="1">
        <f>IF(ISBLANK(INDEX(Array_ElectricalChargeData,ROW()-16,COLUMN()*2-3)),"",INDEX(Array_ElectricalChargeData,ROW()-16,COLUMN()*2-3))</f>
        <v/>
      </c>
      <c r="M112" t="str" cm="1">
        <f>IF(ISBLANK(INDEX(Array_ElectricalChargeData,ROW()-16,COLUMN()*2-3)),"",INDEX(Array_ElectricalChargeData,ROW()-16,COLUMN()*2-3))</f>
        <v/>
      </c>
      <c r="N112" t="str" cm="1">
        <f>IF(ISBLANK(INDEX(Array_ElectricalChargeData,ROW()-16,COLUMN()*2-3)),"",INDEX(Array_ElectricalChargeData,ROW()-16,COLUMN()*2-3))</f>
        <v/>
      </c>
      <c r="O112" t="str" cm="1">
        <f>IF(ISBLANK(INDEX(Array_ElectricalChargeData,ROW()-16,COLUMN()*2-3)),"",INDEX(Array_ElectricalChargeData,ROW()-16,COLUMN()*2-3))</f>
        <v/>
      </c>
      <c r="P112" t="str" cm="1">
        <f>IF(ISBLANK(INDEX(Array_ElectricalChargeData,ROW()-16,COLUMN()*2-3)),"",INDEX(Array_ElectricalChargeData,ROW()-16,COLUMN()*2-3))</f>
        <v/>
      </c>
    </row>
    <row r="113" spans="1:16" x14ac:dyDescent="0.35">
      <c r="A113" t="str">
        <f>IF('Electricity Meters'!B99="",A112,'Electricity Meters'!B99)</f>
        <v>Meter Numbers</v>
      </c>
      <c r="B113" t="str" cm="1">
        <f>IF(ISBLANK(INDEX(Array_ElectricalChargeData,ROW()-16,COLUMN()*2-3)),"",INDEX(Array_ElectricalChargeData,ROW()-16,COLUMN()*2-3))</f>
        <v/>
      </c>
      <c r="C113" t="str" cm="1">
        <f>IF(ISBLANK(INDEX(Array_ElectricalChargeData,ROW()-16,COLUMN()*2-3)),"",INDEX(Array_ElectricalChargeData,ROW()-16,COLUMN()*2-3))</f>
        <v/>
      </c>
      <c r="D113" t="str" cm="1">
        <f>IF(ISBLANK(INDEX(Array_ElectricalChargeData,ROW()-16,COLUMN()*2-3)),"",INDEX(Array_ElectricalChargeData,ROW()-16,COLUMN()*2-3))</f>
        <v/>
      </c>
      <c r="E113" t="str" cm="1">
        <f>IF(ISBLANK(INDEX(Array_ElectricalChargeData,ROW()-16,COLUMN()*2-3)),"",INDEX(Array_ElectricalChargeData,ROW()-16,COLUMN()*2-3))</f>
        <v/>
      </c>
      <c r="F113" t="str" cm="1">
        <f>IF(ISBLANK(INDEX(Array_ElectricalChargeData,ROW()-16,COLUMN()*2-3)),"",INDEX(Array_ElectricalChargeData,ROW()-16,COLUMN()*2-3))</f>
        <v/>
      </c>
      <c r="G113" t="str" cm="1">
        <f>IF(ISBLANK(INDEX(Array_ElectricalChargeData,ROW()-16,COLUMN()*2-3)),"",INDEX(Array_ElectricalChargeData,ROW()-16,COLUMN()*2-3))</f>
        <v/>
      </c>
      <c r="H113" t="str" cm="1">
        <f>IF(ISBLANK(INDEX(Array_ElectricalChargeData,ROW()-16,COLUMN()*2-3)),"",INDEX(Array_ElectricalChargeData,ROW()-16,COLUMN()*2-3))</f>
        <v/>
      </c>
      <c r="I113" t="str" cm="1">
        <f>IF(ISBLANK(INDEX(Array_ElectricalChargeData,ROW()-16,COLUMN()*2-3)),"",INDEX(Array_ElectricalChargeData,ROW()-16,COLUMN()*2-3))</f>
        <v/>
      </c>
      <c r="J113" t="str" cm="1">
        <f>IF(ISBLANK(INDEX(Array_ElectricalChargeData,ROW()-16,COLUMN()*2-3)),"",INDEX(Array_ElectricalChargeData,ROW()-16,COLUMN()*2-3))</f>
        <v/>
      </c>
      <c r="K113" t="str" cm="1">
        <f>IF(ISBLANK(INDEX(Array_ElectricalChargeData,ROW()-16,COLUMN()*2-3)),"",INDEX(Array_ElectricalChargeData,ROW()-16,COLUMN()*2-3))</f>
        <v/>
      </c>
      <c r="L113" t="str" cm="1">
        <f>IF(ISBLANK(INDEX(Array_ElectricalChargeData,ROW()-16,COLUMN()*2-3)),"",INDEX(Array_ElectricalChargeData,ROW()-16,COLUMN()*2-3))</f>
        <v/>
      </c>
      <c r="M113" t="str" cm="1">
        <f>IF(ISBLANK(INDEX(Array_ElectricalChargeData,ROW()-16,COLUMN()*2-3)),"",INDEX(Array_ElectricalChargeData,ROW()-16,COLUMN()*2-3))</f>
        <v/>
      </c>
      <c r="N113" t="str" cm="1">
        <f>IF(ISBLANK(INDEX(Array_ElectricalChargeData,ROW()-16,COLUMN()*2-3)),"",INDEX(Array_ElectricalChargeData,ROW()-16,COLUMN()*2-3))</f>
        <v/>
      </c>
      <c r="O113" t="str" cm="1">
        <f>IF(ISBLANK(INDEX(Array_ElectricalChargeData,ROW()-16,COLUMN()*2-3)),"",INDEX(Array_ElectricalChargeData,ROW()-16,COLUMN()*2-3))</f>
        <v/>
      </c>
      <c r="P113" t="str" cm="1">
        <f>IF(ISBLANK(INDEX(Array_ElectricalChargeData,ROW()-16,COLUMN()*2-3)),"",INDEX(Array_ElectricalChargeData,ROW()-16,COLUMN()*2-3))</f>
        <v/>
      </c>
    </row>
    <row r="114" spans="1:16" x14ac:dyDescent="0.35">
      <c r="A114" t="str">
        <f>IF('Electricity Meters'!B100="",A113,'Electricity Meters'!B100)</f>
        <v>Meter Numbers</v>
      </c>
      <c r="B114" t="str" cm="1">
        <f>IF(ISBLANK(INDEX(Array_ElectricalChargeData,ROW()-16,COLUMN()*2-3)),"",INDEX(Array_ElectricalChargeData,ROW()-16,COLUMN()*2-3))</f>
        <v/>
      </c>
      <c r="C114" t="str" cm="1">
        <f>IF(ISBLANK(INDEX(Array_ElectricalChargeData,ROW()-16,COLUMN()*2-3)),"",INDEX(Array_ElectricalChargeData,ROW()-16,COLUMN()*2-3))</f>
        <v/>
      </c>
      <c r="D114" t="str" cm="1">
        <f>IF(ISBLANK(INDEX(Array_ElectricalChargeData,ROW()-16,COLUMN()*2-3)),"",INDEX(Array_ElectricalChargeData,ROW()-16,COLUMN()*2-3))</f>
        <v/>
      </c>
      <c r="E114" t="str" cm="1">
        <f>IF(ISBLANK(INDEX(Array_ElectricalChargeData,ROW()-16,COLUMN()*2-3)),"",INDEX(Array_ElectricalChargeData,ROW()-16,COLUMN()*2-3))</f>
        <v/>
      </c>
      <c r="F114" t="str" cm="1">
        <f>IF(ISBLANK(INDEX(Array_ElectricalChargeData,ROW()-16,COLUMN()*2-3)),"",INDEX(Array_ElectricalChargeData,ROW()-16,COLUMN()*2-3))</f>
        <v/>
      </c>
      <c r="G114" t="str" cm="1">
        <f>IF(ISBLANK(INDEX(Array_ElectricalChargeData,ROW()-16,COLUMN()*2-3)),"",INDEX(Array_ElectricalChargeData,ROW()-16,COLUMN()*2-3))</f>
        <v/>
      </c>
      <c r="H114" t="str" cm="1">
        <f>IF(ISBLANK(INDEX(Array_ElectricalChargeData,ROW()-16,COLUMN()*2-3)),"",INDEX(Array_ElectricalChargeData,ROW()-16,COLUMN()*2-3))</f>
        <v/>
      </c>
      <c r="I114" t="str" cm="1">
        <f>IF(ISBLANK(INDEX(Array_ElectricalChargeData,ROW()-16,COLUMN()*2-3)),"",INDEX(Array_ElectricalChargeData,ROW()-16,COLUMN()*2-3))</f>
        <v/>
      </c>
      <c r="J114" t="str" cm="1">
        <f>IF(ISBLANK(INDEX(Array_ElectricalChargeData,ROW()-16,COLUMN()*2-3)),"",INDEX(Array_ElectricalChargeData,ROW()-16,COLUMN()*2-3))</f>
        <v/>
      </c>
      <c r="K114" t="str" cm="1">
        <f>IF(ISBLANK(INDEX(Array_ElectricalChargeData,ROW()-16,COLUMN()*2-3)),"",INDEX(Array_ElectricalChargeData,ROW()-16,COLUMN()*2-3))</f>
        <v/>
      </c>
      <c r="L114" t="str" cm="1">
        <f>IF(ISBLANK(INDEX(Array_ElectricalChargeData,ROW()-16,COLUMN()*2-3)),"",INDEX(Array_ElectricalChargeData,ROW()-16,COLUMN()*2-3))</f>
        <v/>
      </c>
      <c r="M114" t="str" cm="1">
        <f>IF(ISBLANK(INDEX(Array_ElectricalChargeData,ROW()-16,COLUMN()*2-3)),"",INDEX(Array_ElectricalChargeData,ROW()-16,COLUMN()*2-3))</f>
        <v/>
      </c>
      <c r="N114" t="str" cm="1">
        <f>IF(ISBLANK(INDEX(Array_ElectricalChargeData,ROW()-16,COLUMN()*2-3)),"",INDEX(Array_ElectricalChargeData,ROW()-16,COLUMN()*2-3))</f>
        <v/>
      </c>
      <c r="O114" t="str" cm="1">
        <f>IF(ISBLANK(INDEX(Array_ElectricalChargeData,ROW()-16,COLUMN()*2-3)),"",INDEX(Array_ElectricalChargeData,ROW()-16,COLUMN()*2-3))</f>
        <v/>
      </c>
      <c r="P114" t="str" cm="1">
        <f>IF(ISBLANK(INDEX(Array_ElectricalChargeData,ROW()-16,COLUMN()*2-3)),"",INDEX(Array_ElectricalChargeData,ROW()-16,COLUMN()*2-3))</f>
        <v/>
      </c>
    </row>
    <row r="115" spans="1:16" x14ac:dyDescent="0.35">
      <c r="A115" t="str">
        <f>IF('Electricity Meters'!B101="",A114,'Electricity Meters'!B101)</f>
        <v>Meter Numbers</v>
      </c>
      <c r="B115" t="str" cm="1">
        <f>IF(ISBLANK(INDEX(Array_ElectricalChargeData,ROW()-16,COLUMN()*2-3)),"",INDEX(Array_ElectricalChargeData,ROW()-16,COLUMN()*2-3))</f>
        <v/>
      </c>
      <c r="C115" t="str" cm="1">
        <f>IF(ISBLANK(INDEX(Array_ElectricalChargeData,ROW()-16,COLUMN()*2-3)),"",INDEX(Array_ElectricalChargeData,ROW()-16,COLUMN()*2-3))</f>
        <v/>
      </c>
      <c r="D115" t="str" cm="1">
        <f>IF(ISBLANK(INDEX(Array_ElectricalChargeData,ROW()-16,COLUMN()*2-3)),"",INDEX(Array_ElectricalChargeData,ROW()-16,COLUMN()*2-3))</f>
        <v/>
      </c>
      <c r="E115" t="str" cm="1">
        <f>IF(ISBLANK(INDEX(Array_ElectricalChargeData,ROW()-16,COLUMN()*2-3)),"",INDEX(Array_ElectricalChargeData,ROW()-16,COLUMN()*2-3))</f>
        <v/>
      </c>
      <c r="F115" t="str" cm="1">
        <f>IF(ISBLANK(INDEX(Array_ElectricalChargeData,ROW()-16,COLUMN()*2-3)),"",INDEX(Array_ElectricalChargeData,ROW()-16,COLUMN()*2-3))</f>
        <v/>
      </c>
      <c r="G115" t="str" cm="1">
        <f>IF(ISBLANK(INDEX(Array_ElectricalChargeData,ROW()-16,COLUMN()*2-3)),"",INDEX(Array_ElectricalChargeData,ROW()-16,COLUMN()*2-3))</f>
        <v/>
      </c>
      <c r="H115" t="str" cm="1">
        <f>IF(ISBLANK(INDEX(Array_ElectricalChargeData,ROW()-16,COLUMN()*2-3)),"",INDEX(Array_ElectricalChargeData,ROW()-16,COLUMN()*2-3))</f>
        <v/>
      </c>
      <c r="I115" t="str" cm="1">
        <f>IF(ISBLANK(INDEX(Array_ElectricalChargeData,ROW()-16,COLUMN()*2-3)),"",INDEX(Array_ElectricalChargeData,ROW()-16,COLUMN()*2-3))</f>
        <v/>
      </c>
      <c r="J115" t="str" cm="1">
        <f>IF(ISBLANK(INDEX(Array_ElectricalChargeData,ROW()-16,COLUMN()*2-3)),"",INDEX(Array_ElectricalChargeData,ROW()-16,COLUMN()*2-3))</f>
        <v/>
      </c>
      <c r="K115" t="str" cm="1">
        <f>IF(ISBLANK(INDEX(Array_ElectricalChargeData,ROW()-16,COLUMN()*2-3)),"",INDEX(Array_ElectricalChargeData,ROW()-16,COLUMN()*2-3))</f>
        <v/>
      </c>
      <c r="L115" t="str" cm="1">
        <f>IF(ISBLANK(INDEX(Array_ElectricalChargeData,ROW()-16,COLUMN()*2-3)),"",INDEX(Array_ElectricalChargeData,ROW()-16,COLUMN()*2-3))</f>
        <v/>
      </c>
      <c r="M115" t="str" cm="1">
        <f>IF(ISBLANK(INDEX(Array_ElectricalChargeData,ROW()-16,COLUMN()*2-3)),"",INDEX(Array_ElectricalChargeData,ROW()-16,COLUMN()*2-3))</f>
        <v/>
      </c>
      <c r="N115" t="str" cm="1">
        <f>IF(ISBLANK(INDEX(Array_ElectricalChargeData,ROW()-16,COLUMN()*2-3)),"",INDEX(Array_ElectricalChargeData,ROW()-16,COLUMN()*2-3))</f>
        <v/>
      </c>
      <c r="O115" t="str" cm="1">
        <f>IF(ISBLANK(INDEX(Array_ElectricalChargeData,ROW()-16,COLUMN()*2-3)),"",INDEX(Array_ElectricalChargeData,ROW()-16,COLUMN()*2-3))</f>
        <v/>
      </c>
      <c r="P115" t="str" cm="1">
        <f>IF(ISBLANK(INDEX(Array_ElectricalChargeData,ROW()-16,COLUMN()*2-3)),"",INDEX(Array_ElectricalChargeData,ROW()-16,COLUMN()*2-3))</f>
        <v/>
      </c>
    </row>
    <row r="116" spans="1:16" x14ac:dyDescent="0.35">
      <c r="A116" t="str">
        <f>IF('Electricity Meters'!B102="",A115,'Electricity Meters'!B102)</f>
        <v>Meter Numbers</v>
      </c>
      <c r="B116" t="str" cm="1">
        <f>IF(ISBLANK(INDEX(Array_ElectricalChargeData,ROW()-16,COLUMN()*2-3)),"",INDEX(Array_ElectricalChargeData,ROW()-16,COLUMN()*2-3))</f>
        <v/>
      </c>
      <c r="C116" t="str" cm="1">
        <f>IF(ISBLANK(INDEX(Array_ElectricalChargeData,ROW()-16,COLUMN()*2-3)),"",INDEX(Array_ElectricalChargeData,ROW()-16,COLUMN()*2-3))</f>
        <v/>
      </c>
      <c r="D116" t="str" cm="1">
        <f>IF(ISBLANK(INDEX(Array_ElectricalChargeData,ROW()-16,COLUMN()*2-3)),"",INDEX(Array_ElectricalChargeData,ROW()-16,COLUMN()*2-3))</f>
        <v/>
      </c>
      <c r="E116" t="str" cm="1">
        <f>IF(ISBLANK(INDEX(Array_ElectricalChargeData,ROW()-16,COLUMN()*2-3)),"",INDEX(Array_ElectricalChargeData,ROW()-16,COLUMN()*2-3))</f>
        <v/>
      </c>
      <c r="F116" t="str" cm="1">
        <f>IF(ISBLANK(INDEX(Array_ElectricalChargeData,ROW()-16,COLUMN()*2-3)),"",INDEX(Array_ElectricalChargeData,ROW()-16,COLUMN()*2-3))</f>
        <v/>
      </c>
      <c r="G116" t="str" cm="1">
        <f>IF(ISBLANK(INDEX(Array_ElectricalChargeData,ROW()-16,COLUMN()*2-3)),"",INDEX(Array_ElectricalChargeData,ROW()-16,COLUMN()*2-3))</f>
        <v/>
      </c>
      <c r="H116" t="str" cm="1">
        <f>IF(ISBLANK(INDEX(Array_ElectricalChargeData,ROW()-16,COLUMN()*2-3)),"",INDEX(Array_ElectricalChargeData,ROW()-16,COLUMN()*2-3))</f>
        <v/>
      </c>
      <c r="I116" t="str" cm="1">
        <f>IF(ISBLANK(INDEX(Array_ElectricalChargeData,ROW()-16,COLUMN()*2-3)),"",INDEX(Array_ElectricalChargeData,ROW()-16,COLUMN()*2-3))</f>
        <v/>
      </c>
      <c r="J116" t="str" cm="1">
        <f>IF(ISBLANK(INDEX(Array_ElectricalChargeData,ROW()-16,COLUMN()*2-3)),"",INDEX(Array_ElectricalChargeData,ROW()-16,COLUMN()*2-3))</f>
        <v/>
      </c>
      <c r="K116" t="str" cm="1">
        <f>IF(ISBLANK(INDEX(Array_ElectricalChargeData,ROW()-16,COLUMN()*2-3)),"",INDEX(Array_ElectricalChargeData,ROW()-16,COLUMN()*2-3))</f>
        <v/>
      </c>
      <c r="L116" t="str" cm="1">
        <f>IF(ISBLANK(INDEX(Array_ElectricalChargeData,ROW()-16,COLUMN()*2-3)),"",INDEX(Array_ElectricalChargeData,ROW()-16,COLUMN()*2-3))</f>
        <v/>
      </c>
      <c r="M116" t="str" cm="1">
        <f>IF(ISBLANK(INDEX(Array_ElectricalChargeData,ROW()-16,COLUMN()*2-3)),"",INDEX(Array_ElectricalChargeData,ROW()-16,COLUMN()*2-3))</f>
        <v/>
      </c>
      <c r="N116" t="str" cm="1">
        <f>IF(ISBLANK(INDEX(Array_ElectricalChargeData,ROW()-16,COLUMN()*2-3)),"",INDEX(Array_ElectricalChargeData,ROW()-16,COLUMN()*2-3))</f>
        <v/>
      </c>
      <c r="O116" t="str" cm="1">
        <f>IF(ISBLANK(INDEX(Array_ElectricalChargeData,ROW()-16,COLUMN()*2-3)),"",INDEX(Array_ElectricalChargeData,ROW()-16,COLUMN()*2-3))</f>
        <v/>
      </c>
      <c r="P116" t="str" cm="1">
        <f>IF(ISBLANK(INDEX(Array_ElectricalChargeData,ROW()-16,COLUMN()*2-3)),"",INDEX(Array_ElectricalChargeData,ROW()-16,COLUMN()*2-3))</f>
        <v/>
      </c>
    </row>
    <row r="117" spans="1:16" x14ac:dyDescent="0.35">
      <c r="A117" t="str">
        <f>IF('Electricity Meters'!B103="",A116,'Electricity Meters'!B103)</f>
        <v>Meter Numbers</v>
      </c>
      <c r="B117" t="str" cm="1">
        <f>IF(ISBLANK(INDEX(Array_ElectricalChargeData,ROW()-16,COLUMN()*2-3)),"",INDEX(Array_ElectricalChargeData,ROW()-16,COLUMN()*2-3))</f>
        <v/>
      </c>
      <c r="C117" t="str" cm="1">
        <f>IF(ISBLANK(INDEX(Array_ElectricalChargeData,ROW()-16,COLUMN()*2-3)),"",INDEX(Array_ElectricalChargeData,ROW()-16,COLUMN()*2-3))</f>
        <v/>
      </c>
      <c r="D117" t="str" cm="1">
        <f>IF(ISBLANK(INDEX(Array_ElectricalChargeData,ROW()-16,COLUMN()*2-3)),"",INDEX(Array_ElectricalChargeData,ROW()-16,COLUMN()*2-3))</f>
        <v/>
      </c>
      <c r="E117" t="str" cm="1">
        <f>IF(ISBLANK(INDEX(Array_ElectricalChargeData,ROW()-16,COLUMN()*2-3)),"",INDEX(Array_ElectricalChargeData,ROW()-16,COLUMN()*2-3))</f>
        <v/>
      </c>
      <c r="F117" t="str" cm="1">
        <f>IF(ISBLANK(INDEX(Array_ElectricalChargeData,ROW()-16,COLUMN()*2-3)),"",INDEX(Array_ElectricalChargeData,ROW()-16,COLUMN()*2-3))</f>
        <v/>
      </c>
      <c r="G117" t="str" cm="1">
        <f>IF(ISBLANK(INDEX(Array_ElectricalChargeData,ROW()-16,COLUMN()*2-3)),"",INDEX(Array_ElectricalChargeData,ROW()-16,COLUMN()*2-3))</f>
        <v/>
      </c>
      <c r="H117" t="str" cm="1">
        <f>IF(ISBLANK(INDEX(Array_ElectricalChargeData,ROW()-16,COLUMN()*2-3)),"",INDEX(Array_ElectricalChargeData,ROW()-16,COLUMN()*2-3))</f>
        <v/>
      </c>
      <c r="I117" t="str" cm="1">
        <f>IF(ISBLANK(INDEX(Array_ElectricalChargeData,ROW()-16,COLUMN()*2-3)),"",INDEX(Array_ElectricalChargeData,ROW()-16,COLUMN()*2-3))</f>
        <v/>
      </c>
      <c r="J117" t="str" cm="1">
        <f>IF(ISBLANK(INDEX(Array_ElectricalChargeData,ROW()-16,COLUMN()*2-3)),"",INDEX(Array_ElectricalChargeData,ROW()-16,COLUMN()*2-3))</f>
        <v/>
      </c>
      <c r="K117" t="str" cm="1">
        <f>IF(ISBLANK(INDEX(Array_ElectricalChargeData,ROW()-16,COLUMN()*2-3)),"",INDEX(Array_ElectricalChargeData,ROW()-16,COLUMN()*2-3))</f>
        <v/>
      </c>
      <c r="L117" t="str" cm="1">
        <f>IF(ISBLANK(INDEX(Array_ElectricalChargeData,ROW()-16,COLUMN()*2-3)),"",INDEX(Array_ElectricalChargeData,ROW()-16,COLUMN()*2-3))</f>
        <v/>
      </c>
      <c r="M117" t="str" cm="1">
        <f>IF(ISBLANK(INDEX(Array_ElectricalChargeData,ROW()-16,COLUMN()*2-3)),"",INDEX(Array_ElectricalChargeData,ROW()-16,COLUMN()*2-3))</f>
        <v/>
      </c>
      <c r="N117" t="str" cm="1">
        <f>IF(ISBLANK(INDEX(Array_ElectricalChargeData,ROW()-16,COLUMN()*2-3)),"",INDEX(Array_ElectricalChargeData,ROW()-16,COLUMN()*2-3))</f>
        <v/>
      </c>
      <c r="O117" t="str" cm="1">
        <f>IF(ISBLANK(INDEX(Array_ElectricalChargeData,ROW()-16,COLUMN()*2-3)),"",INDEX(Array_ElectricalChargeData,ROW()-16,COLUMN()*2-3))</f>
        <v/>
      </c>
      <c r="P117" t="str" cm="1">
        <f>IF(ISBLANK(INDEX(Array_ElectricalChargeData,ROW()-16,COLUMN()*2-3)),"",INDEX(Array_ElectricalChargeData,ROW()-16,COLUMN()*2-3))</f>
        <v/>
      </c>
    </row>
    <row r="118" spans="1:16" x14ac:dyDescent="0.35">
      <c r="A118" t="str">
        <f>IF('Electricity Meters'!B104="",A117,'Electricity Meters'!B104)</f>
        <v>Meter Numbers</v>
      </c>
      <c r="B118" t="str" cm="1">
        <f>IF(ISBLANK(INDEX(Array_ElectricalChargeData,ROW()-16,COLUMN()*2-3)),"",INDEX(Array_ElectricalChargeData,ROW()-16,COLUMN()*2-3))</f>
        <v/>
      </c>
      <c r="C118" t="str" cm="1">
        <f>IF(ISBLANK(INDEX(Array_ElectricalChargeData,ROW()-16,COLUMN()*2-3)),"",INDEX(Array_ElectricalChargeData,ROW()-16,COLUMN()*2-3))</f>
        <v/>
      </c>
      <c r="D118" t="str" cm="1">
        <f>IF(ISBLANK(INDEX(Array_ElectricalChargeData,ROW()-16,COLUMN()*2-3)),"",INDEX(Array_ElectricalChargeData,ROW()-16,COLUMN()*2-3))</f>
        <v/>
      </c>
      <c r="E118" t="str" cm="1">
        <f>IF(ISBLANK(INDEX(Array_ElectricalChargeData,ROW()-16,COLUMN()*2-3)),"",INDEX(Array_ElectricalChargeData,ROW()-16,COLUMN()*2-3))</f>
        <v/>
      </c>
      <c r="F118" t="str" cm="1">
        <f>IF(ISBLANK(INDEX(Array_ElectricalChargeData,ROW()-16,COLUMN()*2-3)),"",INDEX(Array_ElectricalChargeData,ROW()-16,COLUMN()*2-3))</f>
        <v/>
      </c>
      <c r="G118" t="str" cm="1">
        <f>IF(ISBLANK(INDEX(Array_ElectricalChargeData,ROW()-16,COLUMN()*2-3)),"",INDEX(Array_ElectricalChargeData,ROW()-16,COLUMN()*2-3))</f>
        <v/>
      </c>
      <c r="H118" t="str" cm="1">
        <f>IF(ISBLANK(INDEX(Array_ElectricalChargeData,ROW()-16,COLUMN()*2-3)),"",INDEX(Array_ElectricalChargeData,ROW()-16,COLUMN()*2-3))</f>
        <v/>
      </c>
      <c r="I118" t="str" cm="1">
        <f>IF(ISBLANK(INDEX(Array_ElectricalChargeData,ROW()-16,COLUMN()*2-3)),"",INDEX(Array_ElectricalChargeData,ROW()-16,COLUMN()*2-3))</f>
        <v/>
      </c>
      <c r="J118" t="str" cm="1">
        <f>IF(ISBLANK(INDEX(Array_ElectricalChargeData,ROW()-16,COLUMN()*2-3)),"",INDEX(Array_ElectricalChargeData,ROW()-16,COLUMN()*2-3))</f>
        <v/>
      </c>
      <c r="K118" t="str" cm="1">
        <f>IF(ISBLANK(INDEX(Array_ElectricalChargeData,ROW()-16,COLUMN()*2-3)),"",INDEX(Array_ElectricalChargeData,ROW()-16,COLUMN()*2-3))</f>
        <v/>
      </c>
      <c r="L118" t="str" cm="1">
        <f>IF(ISBLANK(INDEX(Array_ElectricalChargeData,ROW()-16,COLUMN()*2-3)),"",INDEX(Array_ElectricalChargeData,ROW()-16,COLUMN()*2-3))</f>
        <v/>
      </c>
      <c r="M118" t="str" cm="1">
        <f>IF(ISBLANK(INDEX(Array_ElectricalChargeData,ROW()-16,COLUMN()*2-3)),"",INDEX(Array_ElectricalChargeData,ROW()-16,COLUMN()*2-3))</f>
        <v/>
      </c>
      <c r="N118" t="str" cm="1">
        <f>IF(ISBLANK(INDEX(Array_ElectricalChargeData,ROW()-16,COLUMN()*2-3)),"",INDEX(Array_ElectricalChargeData,ROW()-16,COLUMN()*2-3))</f>
        <v/>
      </c>
      <c r="O118" t="str" cm="1">
        <f>IF(ISBLANK(INDEX(Array_ElectricalChargeData,ROW()-16,COLUMN()*2-3)),"",INDEX(Array_ElectricalChargeData,ROW()-16,COLUMN()*2-3))</f>
        <v/>
      </c>
      <c r="P118" t="str" cm="1">
        <f>IF(ISBLANK(INDEX(Array_ElectricalChargeData,ROW()-16,COLUMN()*2-3)),"",INDEX(Array_ElectricalChargeData,ROW()-16,COLUMN()*2-3))</f>
        <v/>
      </c>
    </row>
    <row r="119" spans="1:16" x14ac:dyDescent="0.35">
      <c r="A119" t="str">
        <f>IF('Electricity Meters'!B105="",A118,'Electricity Meters'!B105)</f>
        <v>Meter Numbers</v>
      </c>
      <c r="B119" t="str" cm="1">
        <f>IF(ISBLANK(INDEX(Array_ElectricalChargeData,ROW()-16,COLUMN()*2-3)),"",INDEX(Array_ElectricalChargeData,ROW()-16,COLUMN()*2-3))</f>
        <v/>
      </c>
      <c r="C119" t="str" cm="1">
        <f>IF(ISBLANK(INDEX(Array_ElectricalChargeData,ROW()-16,COLUMN()*2-3)),"",INDEX(Array_ElectricalChargeData,ROW()-16,COLUMN()*2-3))</f>
        <v/>
      </c>
      <c r="D119" t="str" cm="1">
        <f>IF(ISBLANK(INDEX(Array_ElectricalChargeData,ROW()-16,COLUMN()*2-3)),"",INDEX(Array_ElectricalChargeData,ROW()-16,COLUMN()*2-3))</f>
        <v/>
      </c>
      <c r="E119" t="str" cm="1">
        <f>IF(ISBLANK(INDEX(Array_ElectricalChargeData,ROW()-16,COLUMN()*2-3)),"",INDEX(Array_ElectricalChargeData,ROW()-16,COLUMN()*2-3))</f>
        <v/>
      </c>
      <c r="F119" t="str" cm="1">
        <f>IF(ISBLANK(INDEX(Array_ElectricalChargeData,ROW()-16,COLUMN()*2-3)),"",INDEX(Array_ElectricalChargeData,ROW()-16,COLUMN()*2-3))</f>
        <v/>
      </c>
      <c r="G119" t="str" cm="1">
        <f>IF(ISBLANK(INDEX(Array_ElectricalChargeData,ROW()-16,COLUMN()*2-3)),"",INDEX(Array_ElectricalChargeData,ROW()-16,COLUMN()*2-3))</f>
        <v/>
      </c>
      <c r="H119" t="str" cm="1">
        <f>IF(ISBLANK(INDEX(Array_ElectricalChargeData,ROW()-16,COLUMN()*2-3)),"",INDEX(Array_ElectricalChargeData,ROW()-16,COLUMN()*2-3))</f>
        <v/>
      </c>
      <c r="I119" t="str" cm="1">
        <f>IF(ISBLANK(INDEX(Array_ElectricalChargeData,ROW()-16,COLUMN()*2-3)),"",INDEX(Array_ElectricalChargeData,ROW()-16,COLUMN()*2-3))</f>
        <v/>
      </c>
      <c r="J119" t="str" cm="1">
        <f>IF(ISBLANK(INDEX(Array_ElectricalChargeData,ROW()-16,COLUMN()*2-3)),"",INDEX(Array_ElectricalChargeData,ROW()-16,COLUMN()*2-3))</f>
        <v/>
      </c>
      <c r="K119" t="str" cm="1">
        <f>IF(ISBLANK(INDEX(Array_ElectricalChargeData,ROW()-16,COLUMN()*2-3)),"",INDEX(Array_ElectricalChargeData,ROW()-16,COLUMN()*2-3))</f>
        <v/>
      </c>
      <c r="L119" t="str" cm="1">
        <f>IF(ISBLANK(INDEX(Array_ElectricalChargeData,ROW()-16,COLUMN()*2-3)),"",INDEX(Array_ElectricalChargeData,ROW()-16,COLUMN()*2-3))</f>
        <v/>
      </c>
      <c r="M119" t="str" cm="1">
        <f>IF(ISBLANK(INDEX(Array_ElectricalChargeData,ROW()-16,COLUMN()*2-3)),"",INDEX(Array_ElectricalChargeData,ROW()-16,COLUMN()*2-3))</f>
        <v/>
      </c>
      <c r="N119" t="str" cm="1">
        <f>IF(ISBLANK(INDEX(Array_ElectricalChargeData,ROW()-16,COLUMN()*2-3)),"",INDEX(Array_ElectricalChargeData,ROW()-16,COLUMN()*2-3))</f>
        <v/>
      </c>
      <c r="O119" t="str" cm="1">
        <f>IF(ISBLANK(INDEX(Array_ElectricalChargeData,ROW()-16,COLUMN()*2-3)),"",INDEX(Array_ElectricalChargeData,ROW()-16,COLUMN()*2-3))</f>
        <v/>
      </c>
      <c r="P119" t="str" cm="1">
        <f>IF(ISBLANK(INDEX(Array_ElectricalChargeData,ROW()-16,COLUMN()*2-3)),"",INDEX(Array_ElectricalChargeData,ROW()-16,COLUMN()*2-3))</f>
        <v/>
      </c>
    </row>
    <row r="120" spans="1:16" x14ac:dyDescent="0.35">
      <c r="A120" t="str">
        <f>IF('Electricity Meters'!B106="",A119,'Electricity Meters'!B106)</f>
        <v>Meter Numbers</v>
      </c>
      <c r="B120" t="str" cm="1">
        <f>IF(ISBLANK(INDEX(Array_ElectricalChargeData,ROW()-16,COLUMN()*2-3)),"",INDEX(Array_ElectricalChargeData,ROW()-16,COLUMN()*2-3))</f>
        <v/>
      </c>
      <c r="C120" t="str" cm="1">
        <f>IF(ISBLANK(INDEX(Array_ElectricalChargeData,ROW()-16,COLUMN()*2-3)),"",INDEX(Array_ElectricalChargeData,ROW()-16,COLUMN()*2-3))</f>
        <v/>
      </c>
      <c r="D120" t="str" cm="1">
        <f>IF(ISBLANK(INDEX(Array_ElectricalChargeData,ROW()-16,COLUMN()*2-3)),"",INDEX(Array_ElectricalChargeData,ROW()-16,COLUMN()*2-3))</f>
        <v/>
      </c>
      <c r="E120" t="str" cm="1">
        <f>IF(ISBLANK(INDEX(Array_ElectricalChargeData,ROW()-16,COLUMN()*2-3)),"",INDEX(Array_ElectricalChargeData,ROW()-16,COLUMN()*2-3))</f>
        <v/>
      </c>
      <c r="F120" t="str" cm="1">
        <f>IF(ISBLANK(INDEX(Array_ElectricalChargeData,ROW()-16,COLUMN()*2-3)),"",INDEX(Array_ElectricalChargeData,ROW()-16,COLUMN()*2-3))</f>
        <v/>
      </c>
      <c r="G120" t="str" cm="1">
        <f>IF(ISBLANK(INDEX(Array_ElectricalChargeData,ROW()-16,COLUMN()*2-3)),"",INDEX(Array_ElectricalChargeData,ROW()-16,COLUMN()*2-3))</f>
        <v/>
      </c>
      <c r="H120" t="str" cm="1">
        <f>IF(ISBLANK(INDEX(Array_ElectricalChargeData,ROW()-16,COLUMN()*2-3)),"",INDEX(Array_ElectricalChargeData,ROW()-16,COLUMN()*2-3))</f>
        <v/>
      </c>
      <c r="I120" t="str" cm="1">
        <f>IF(ISBLANK(INDEX(Array_ElectricalChargeData,ROW()-16,COLUMN()*2-3)),"",INDEX(Array_ElectricalChargeData,ROW()-16,COLUMN()*2-3))</f>
        <v/>
      </c>
      <c r="J120" t="str" cm="1">
        <f>IF(ISBLANK(INDEX(Array_ElectricalChargeData,ROW()-16,COLUMN()*2-3)),"",INDEX(Array_ElectricalChargeData,ROW()-16,COLUMN()*2-3))</f>
        <v/>
      </c>
      <c r="K120" t="str" cm="1">
        <f>IF(ISBLANK(INDEX(Array_ElectricalChargeData,ROW()-16,COLUMN()*2-3)),"",INDEX(Array_ElectricalChargeData,ROW()-16,COLUMN()*2-3))</f>
        <v/>
      </c>
      <c r="L120" t="str" cm="1">
        <f>IF(ISBLANK(INDEX(Array_ElectricalChargeData,ROW()-16,COLUMN()*2-3)),"",INDEX(Array_ElectricalChargeData,ROW()-16,COLUMN()*2-3))</f>
        <v/>
      </c>
      <c r="M120" t="str" cm="1">
        <f>IF(ISBLANK(INDEX(Array_ElectricalChargeData,ROW()-16,COLUMN()*2-3)),"",INDEX(Array_ElectricalChargeData,ROW()-16,COLUMN()*2-3))</f>
        <v/>
      </c>
      <c r="N120" t="str" cm="1">
        <f>IF(ISBLANK(INDEX(Array_ElectricalChargeData,ROW()-16,COLUMN()*2-3)),"",INDEX(Array_ElectricalChargeData,ROW()-16,COLUMN()*2-3))</f>
        <v/>
      </c>
      <c r="O120" t="str" cm="1">
        <f>IF(ISBLANK(INDEX(Array_ElectricalChargeData,ROW()-16,COLUMN()*2-3)),"",INDEX(Array_ElectricalChargeData,ROW()-16,COLUMN()*2-3))</f>
        <v/>
      </c>
      <c r="P120" t="str" cm="1">
        <f>IF(ISBLANK(INDEX(Array_ElectricalChargeData,ROW()-16,COLUMN()*2-3)),"",INDEX(Array_ElectricalChargeData,ROW()-16,COLUMN()*2-3))</f>
        <v/>
      </c>
    </row>
    <row r="121" spans="1:16" x14ac:dyDescent="0.35">
      <c r="A121" t="str">
        <f>IF('Electricity Meters'!B107="",A120,'Electricity Meters'!B107)</f>
        <v>Meter Numbers</v>
      </c>
      <c r="B121" t="str" cm="1">
        <f>IF(ISBLANK(INDEX(Array_ElectricalChargeData,ROW()-16,COLUMN()*2-3)),"",INDEX(Array_ElectricalChargeData,ROW()-16,COLUMN()*2-3))</f>
        <v/>
      </c>
      <c r="C121" t="str" cm="1">
        <f>IF(ISBLANK(INDEX(Array_ElectricalChargeData,ROW()-16,COLUMN()*2-3)),"",INDEX(Array_ElectricalChargeData,ROW()-16,COLUMN()*2-3))</f>
        <v/>
      </c>
      <c r="D121" t="str" cm="1">
        <f>IF(ISBLANK(INDEX(Array_ElectricalChargeData,ROW()-16,COLUMN()*2-3)),"",INDEX(Array_ElectricalChargeData,ROW()-16,COLUMN()*2-3))</f>
        <v/>
      </c>
      <c r="E121" t="str" cm="1">
        <f>IF(ISBLANK(INDEX(Array_ElectricalChargeData,ROW()-16,COLUMN()*2-3)),"",INDEX(Array_ElectricalChargeData,ROW()-16,COLUMN()*2-3))</f>
        <v/>
      </c>
      <c r="F121" t="str" cm="1">
        <f>IF(ISBLANK(INDEX(Array_ElectricalChargeData,ROW()-16,COLUMN()*2-3)),"",INDEX(Array_ElectricalChargeData,ROW()-16,COLUMN()*2-3))</f>
        <v/>
      </c>
      <c r="G121" t="str" cm="1">
        <f>IF(ISBLANK(INDEX(Array_ElectricalChargeData,ROW()-16,COLUMN()*2-3)),"",INDEX(Array_ElectricalChargeData,ROW()-16,COLUMN()*2-3))</f>
        <v/>
      </c>
      <c r="H121" t="str" cm="1">
        <f>IF(ISBLANK(INDEX(Array_ElectricalChargeData,ROW()-16,COLUMN()*2-3)),"",INDEX(Array_ElectricalChargeData,ROW()-16,COLUMN()*2-3))</f>
        <v/>
      </c>
      <c r="I121" t="str" cm="1">
        <f>IF(ISBLANK(INDEX(Array_ElectricalChargeData,ROW()-16,COLUMN()*2-3)),"",INDEX(Array_ElectricalChargeData,ROW()-16,COLUMN()*2-3))</f>
        <v/>
      </c>
      <c r="J121" t="str" cm="1">
        <f>IF(ISBLANK(INDEX(Array_ElectricalChargeData,ROW()-16,COLUMN()*2-3)),"",INDEX(Array_ElectricalChargeData,ROW()-16,COLUMN()*2-3))</f>
        <v/>
      </c>
      <c r="K121" t="str" cm="1">
        <f>IF(ISBLANK(INDEX(Array_ElectricalChargeData,ROW()-16,COLUMN()*2-3)),"",INDEX(Array_ElectricalChargeData,ROW()-16,COLUMN()*2-3))</f>
        <v/>
      </c>
      <c r="L121" t="str" cm="1">
        <f>IF(ISBLANK(INDEX(Array_ElectricalChargeData,ROW()-16,COLUMN()*2-3)),"",INDEX(Array_ElectricalChargeData,ROW()-16,COLUMN()*2-3))</f>
        <v/>
      </c>
      <c r="M121" t="str" cm="1">
        <f>IF(ISBLANK(INDEX(Array_ElectricalChargeData,ROW()-16,COLUMN()*2-3)),"",INDEX(Array_ElectricalChargeData,ROW()-16,COLUMN()*2-3))</f>
        <v/>
      </c>
      <c r="N121" t="str" cm="1">
        <f>IF(ISBLANK(INDEX(Array_ElectricalChargeData,ROW()-16,COLUMN()*2-3)),"",INDEX(Array_ElectricalChargeData,ROW()-16,COLUMN()*2-3))</f>
        <v/>
      </c>
      <c r="O121" t="str" cm="1">
        <f>IF(ISBLANK(INDEX(Array_ElectricalChargeData,ROW()-16,COLUMN()*2-3)),"",INDEX(Array_ElectricalChargeData,ROW()-16,COLUMN()*2-3))</f>
        <v/>
      </c>
      <c r="P121" t="str" cm="1">
        <f>IF(ISBLANK(INDEX(Array_ElectricalChargeData,ROW()-16,COLUMN()*2-3)),"",INDEX(Array_ElectricalChargeData,ROW()-16,COLUMN()*2-3))</f>
        <v/>
      </c>
    </row>
    <row r="122" spans="1:16" x14ac:dyDescent="0.35">
      <c r="A122" t="str">
        <f>IF('Electricity Meters'!B108="",A121,'Electricity Meters'!B108)</f>
        <v>Meter Numbers</v>
      </c>
      <c r="B122" t="str" cm="1">
        <f>IF(ISBLANK(INDEX(Array_ElectricalChargeData,ROW()-16,COLUMN()*2-3)),"",INDEX(Array_ElectricalChargeData,ROW()-16,COLUMN()*2-3))</f>
        <v/>
      </c>
      <c r="C122" t="str" cm="1">
        <f>IF(ISBLANK(INDEX(Array_ElectricalChargeData,ROW()-16,COLUMN()*2-3)),"",INDEX(Array_ElectricalChargeData,ROW()-16,COLUMN()*2-3))</f>
        <v/>
      </c>
      <c r="D122" t="str" cm="1">
        <f>IF(ISBLANK(INDEX(Array_ElectricalChargeData,ROW()-16,COLUMN()*2-3)),"",INDEX(Array_ElectricalChargeData,ROW()-16,COLUMN()*2-3))</f>
        <v/>
      </c>
      <c r="E122" t="str" cm="1">
        <f>IF(ISBLANK(INDEX(Array_ElectricalChargeData,ROW()-16,COLUMN()*2-3)),"",INDEX(Array_ElectricalChargeData,ROW()-16,COLUMN()*2-3))</f>
        <v/>
      </c>
      <c r="F122" t="str" cm="1">
        <f>IF(ISBLANK(INDEX(Array_ElectricalChargeData,ROW()-16,COLUMN()*2-3)),"",INDEX(Array_ElectricalChargeData,ROW()-16,COLUMN()*2-3))</f>
        <v/>
      </c>
      <c r="G122" t="str" cm="1">
        <f>IF(ISBLANK(INDEX(Array_ElectricalChargeData,ROW()-16,COLUMN()*2-3)),"",INDEX(Array_ElectricalChargeData,ROW()-16,COLUMN()*2-3))</f>
        <v/>
      </c>
      <c r="H122" t="str" cm="1">
        <f>IF(ISBLANK(INDEX(Array_ElectricalChargeData,ROW()-16,COLUMN()*2-3)),"",INDEX(Array_ElectricalChargeData,ROW()-16,COLUMN()*2-3))</f>
        <v/>
      </c>
      <c r="I122" t="str" cm="1">
        <f>IF(ISBLANK(INDEX(Array_ElectricalChargeData,ROW()-16,COLUMN()*2-3)),"",INDEX(Array_ElectricalChargeData,ROW()-16,COLUMN()*2-3))</f>
        <v/>
      </c>
      <c r="J122" t="str" cm="1">
        <f>IF(ISBLANK(INDEX(Array_ElectricalChargeData,ROW()-16,COLUMN()*2-3)),"",INDEX(Array_ElectricalChargeData,ROW()-16,COLUMN()*2-3))</f>
        <v/>
      </c>
      <c r="K122" t="str" cm="1">
        <f>IF(ISBLANK(INDEX(Array_ElectricalChargeData,ROW()-16,COLUMN()*2-3)),"",INDEX(Array_ElectricalChargeData,ROW()-16,COLUMN()*2-3))</f>
        <v/>
      </c>
      <c r="L122" t="str" cm="1">
        <f>IF(ISBLANK(INDEX(Array_ElectricalChargeData,ROW()-16,COLUMN()*2-3)),"",INDEX(Array_ElectricalChargeData,ROW()-16,COLUMN()*2-3))</f>
        <v/>
      </c>
      <c r="M122" t="str" cm="1">
        <f>IF(ISBLANK(INDEX(Array_ElectricalChargeData,ROW()-16,COLUMN()*2-3)),"",INDEX(Array_ElectricalChargeData,ROW()-16,COLUMN()*2-3))</f>
        <v/>
      </c>
      <c r="N122" t="str" cm="1">
        <f>IF(ISBLANK(INDEX(Array_ElectricalChargeData,ROW()-16,COLUMN()*2-3)),"",INDEX(Array_ElectricalChargeData,ROW()-16,COLUMN()*2-3))</f>
        <v/>
      </c>
      <c r="O122" t="str" cm="1">
        <f>IF(ISBLANK(INDEX(Array_ElectricalChargeData,ROW()-16,COLUMN()*2-3)),"",INDEX(Array_ElectricalChargeData,ROW()-16,COLUMN()*2-3))</f>
        <v/>
      </c>
      <c r="P122" t="str" cm="1">
        <f>IF(ISBLANK(INDEX(Array_ElectricalChargeData,ROW()-16,COLUMN()*2-3)),"",INDEX(Array_ElectricalChargeData,ROW()-16,COLUMN()*2-3))</f>
        <v/>
      </c>
    </row>
    <row r="123" spans="1:16" x14ac:dyDescent="0.35">
      <c r="A123" t="str">
        <f>IF('Electricity Meters'!B109="",A122,'Electricity Meters'!B109)</f>
        <v>Meter Numbers</v>
      </c>
      <c r="B123" t="str" cm="1">
        <f>IF(ISBLANK(INDEX(Array_ElectricalChargeData,ROW()-16,COLUMN()*2-3)),"",INDEX(Array_ElectricalChargeData,ROW()-16,COLUMN()*2-3))</f>
        <v/>
      </c>
      <c r="C123" t="str" cm="1">
        <f>IF(ISBLANK(INDEX(Array_ElectricalChargeData,ROW()-16,COLUMN()*2-3)),"",INDEX(Array_ElectricalChargeData,ROW()-16,COLUMN()*2-3))</f>
        <v/>
      </c>
      <c r="D123" t="str" cm="1">
        <f>IF(ISBLANK(INDEX(Array_ElectricalChargeData,ROW()-16,COLUMN()*2-3)),"",INDEX(Array_ElectricalChargeData,ROW()-16,COLUMN()*2-3))</f>
        <v/>
      </c>
      <c r="E123" t="str" cm="1">
        <f>IF(ISBLANK(INDEX(Array_ElectricalChargeData,ROW()-16,COLUMN()*2-3)),"",INDEX(Array_ElectricalChargeData,ROW()-16,COLUMN()*2-3))</f>
        <v/>
      </c>
      <c r="F123" t="str" cm="1">
        <f>IF(ISBLANK(INDEX(Array_ElectricalChargeData,ROW()-16,COLUMN()*2-3)),"",INDEX(Array_ElectricalChargeData,ROW()-16,COLUMN()*2-3))</f>
        <v/>
      </c>
      <c r="G123" t="str" cm="1">
        <f>IF(ISBLANK(INDEX(Array_ElectricalChargeData,ROW()-16,COLUMN()*2-3)),"",INDEX(Array_ElectricalChargeData,ROW()-16,COLUMN()*2-3))</f>
        <v/>
      </c>
      <c r="H123" t="str" cm="1">
        <f>IF(ISBLANK(INDEX(Array_ElectricalChargeData,ROW()-16,COLUMN()*2-3)),"",INDEX(Array_ElectricalChargeData,ROW()-16,COLUMN()*2-3))</f>
        <v/>
      </c>
      <c r="I123" t="str" cm="1">
        <f>IF(ISBLANK(INDEX(Array_ElectricalChargeData,ROW()-16,COLUMN()*2-3)),"",INDEX(Array_ElectricalChargeData,ROW()-16,COLUMN()*2-3))</f>
        <v/>
      </c>
      <c r="J123" t="str" cm="1">
        <f>IF(ISBLANK(INDEX(Array_ElectricalChargeData,ROW()-16,COLUMN()*2-3)),"",INDEX(Array_ElectricalChargeData,ROW()-16,COLUMN()*2-3))</f>
        <v/>
      </c>
      <c r="K123" t="str" cm="1">
        <f>IF(ISBLANK(INDEX(Array_ElectricalChargeData,ROW()-16,COLUMN()*2-3)),"",INDEX(Array_ElectricalChargeData,ROW()-16,COLUMN()*2-3))</f>
        <v/>
      </c>
      <c r="L123" t="str" cm="1">
        <f>IF(ISBLANK(INDEX(Array_ElectricalChargeData,ROW()-16,COLUMN()*2-3)),"",INDEX(Array_ElectricalChargeData,ROW()-16,COLUMN()*2-3))</f>
        <v/>
      </c>
      <c r="M123" t="str" cm="1">
        <f>IF(ISBLANK(INDEX(Array_ElectricalChargeData,ROW()-16,COLUMN()*2-3)),"",INDEX(Array_ElectricalChargeData,ROW()-16,COLUMN()*2-3))</f>
        <v/>
      </c>
      <c r="N123" t="str" cm="1">
        <f>IF(ISBLANK(INDEX(Array_ElectricalChargeData,ROW()-16,COLUMN()*2-3)),"",INDEX(Array_ElectricalChargeData,ROW()-16,COLUMN()*2-3))</f>
        <v/>
      </c>
      <c r="O123" t="str" cm="1">
        <f>IF(ISBLANK(INDEX(Array_ElectricalChargeData,ROW()-16,COLUMN()*2-3)),"",INDEX(Array_ElectricalChargeData,ROW()-16,COLUMN()*2-3))</f>
        <v/>
      </c>
      <c r="P123" t="str" cm="1">
        <f>IF(ISBLANK(INDEX(Array_ElectricalChargeData,ROW()-16,COLUMN()*2-3)),"",INDEX(Array_ElectricalChargeData,ROW()-16,COLUMN()*2-3))</f>
        <v/>
      </c>
    </row>
    <row r="124" spans="1:16" x14ac:dyDescent="0.35">
      <c r="A124" t="str">
        <f>IF('Electricity Meters'!B110="",A123,'Electricity Meters'!B110)</f>
        <v>Meter Numbers</v>
      </c>
      <c r="B124" t="str" cm="1">
        <f>IF(ISBLANK(INDEX(Array_ElectricalChargeData,ROW()-16,COLUMN()*2-3)),"",INDEX(Array_ElectricalChargeData,ROW()-16,COLUMN()*2-3))</f>
        <v/>
      </c>
      <c r="C124" t="str" cm="1">
        <f>IF(ISBLANK(INDEX(Array_ElectricalChargeData,ROW()-16,COLUMN()*2-3)),"",INDEX(Array_ElectricalChargeData,ROW()-16,COLUMN()*2-3))</f>
        <v/>
      </c>
      <c r="D124" t="str" cm="1">
        <f>IF(ISBLANK(INDEX(Array_ElectricalChargeData,ROW()-16,COLUMN()*2-3)),"",INDEX(Array_ElectricalChargeData,ROW()-16,COLUMN()*2-3))</f>
        <v/>
      </c>
      <c r="E124" t="str" cm="1">
        <f>IF(ISBLANK(INDEX(Array_ElectricalChargeData,ROW()-16,COLUMN()*2-3)),"",INDEX(Array_ElectricalChargeData,ROW()-16,COLUMN()*2-3))</f>
        <v/>
      </c>
      <c r="F124" t="str" cm="1">
        <f>IF(ISBLANK(INDEX(Array_ElectricalChargeData,ROW()-16,COLUMN()*2-3)),"",INDEX(Array_ElectricalChargeData,ROW()-16,COLUMN()*2-3))</f>
        <v/>
      </c>
      <c r="G124" t="str" cm="1">
        <f>IF(ISBLANK(INDEX(Array_ElectricalChargeData,ROW()-16,COLUMN()*2-3)),"",INDEX(Array_ElectricalChargeData,ROW()-16,COLUMN()*2-3))</f>
        <v/>
      </c>
      <c r="H124" t="str" cm="1">
        <f>IF(ISBLANK(INDEX(Array_ElectricalChargeData,ROW()-16,COLUMN()*2-3)),"",INDEX(Array_ElectricalChargeData,ROW()-16,COLUMN()*2-3))</f>
        <v/>
      </c>
      <c r="I124" t="str" cm="1">
        <f>IF(ISBLANK(INDEX(Array_ElectricalChargeData,ROW()-16,COLUMN()*2-3)),"",INDEX(Array_ElectricalChargeData,ROW()-16,COLUMN()*2-3))</f>
        <v/>
      </c>
      <c r="J124" t="str" cm="1">
        <f>IF(ISBLANK(INDEX(Array_ElectricalChargeData,ROW()-16,COLUMN()*2-3)),"",INDEX(Array_ElectricalChargeData,ROW()-16,COLUMN()*2-3))</f>
        <v/>
      </c>
      <c r="K124" t="str" cm="1">
        <f>IF(ISBLANK(INDEX(Array_ElectricalChargeData,ROW()-16,COLUMN()*2-3)),"",INDEX(Array_ElectricalChargeData,ROW()-16,COLUMN()*2-3))</f>
        <v/>
      </c>
      <c r="L124" t="str" cm="1">
        <f>IF(ISBLANK(INDEX(Array_ElectricalChargeData,ROW()-16,COLUMN()*2-3)),"",INDEX(Array_ElectricalChargeData,ROW()-16,COLUMN()*2-3))</f>
        <v/>
      </c>
      <c r="M124" t="str" cm="1">
        <f>IF(ISBLANK(INDEX(Array_ElectricalChargeData,ROW()-16,COLUMN()*2-3)),"",INDEX(Array_ElectricalChargeData,ROW()-16,COLUMN()*2-3))</f>
        <v/>
      </c>
      <c r="N124" t="str" cm="1">
        <f>IF(ISBLANK(INDEX(Array_ElectricalChargeData,ROW()-16,COLUMN()*2-3)),"",INDEX(Array_ElectricalChargeData,ROW()-16,COLUMN()*2-3))</f>
        <v/>
      </c>
      <c r="O124" t="str" cm="1">
        <f>IF(ISBLANK(INDEX(Array_ElectricalChargeData,ROW()-16,COLUMN()*2-3)),"",INDEX(Array_ElectricalChargeData,ROW()-16,COLUMN()*2-3))</f>
        <v/>
      </c>
      <c r="P124" t="str" cm="1">
        <f>IF(ISBLANK(INDEX(Array_ElectricalChargeData,ROW()-16,COLUMN()*2-3)),"",INDEX(Array_ElectricalChargeData,ROW()-16,COLUMN()*2-3))</f>
        <v/>
      </c>
    </row>
    <row r="125" spans="1:16" x14ac:dyDescent="0.35">
      <c r="A125" t="str">
        <f>IF('Electricity Meters'!B111="",A124,'Electricity Meters'!B111)</f>
        <v>Meter Numbers</v>
      </c>
      <c r="B125" t="str" cm="1">
        <f>IF(ISBLANK(INDEX(Array_ElectricalChargeData,ROW()-16,COLUMN()*2-3)),"",INDEX(Array_ElectricalChargeData,ROW()-16,COLUMN()*2-3))</f>
        <v/>
      </c>
      <c r="C125" t="str" cm="1">
        <f>IF(ISBLANK(INDEX(Array_ElectricalChargeData,ROW()-16,COLUMN()*2-3)),"",INDEX(Array_ElectricalChargeData,ROW()-16,COLUMN()*2-3))</f>
        <v/>
      </c>
      <c r="D125" t="str" cm="1">
        <f>IF(ISBLANK(INDEX(Array_ElectricalChargeData,ROW()-16,COLUMN()*2-3)),"",INDEX(Array_ElectricalChargeData,ROW()-16,COLUMN()*2-3))</f>
        <v/>
      </c>
      <c r="E125" t="str" cm="1">
        <f>IF(ISBLANK(INDEX(Array_ElectricalChargeData,ROW()-16,COLUMN()*2-3)),"",INDEX(Array_ElectricalChargeData,ROW()-16,COLUMN()*2-3))</f>
        <v/>
      </c>
      <c r="F125" t="str" cm="1">
        <f>IF(ISBLANK(INDEX(Array_ElectricalChargeData,ROW()-16,COLUMN()*2-3)),"",INDEX(Array_ElectricalChargeData,ROW()-16,COLUMN()*2-3))</f>
        <v/>
      </c>
      <c r="G125" t="str" cm="1">
        <f>IF(ISBLANK(INDEX(Array_ElectricalChargeData,ROW()-16,COLUMN()*2-3)),"",INDEX(Array_ElectricalChargeData,ROW()-16,COLUMN()*2-3))</f>
        <v/>
      </c>
      <c r="H125" t="str" cm="1">
        <f>IF(ISBLANK(INDEX(Array_ElectricalChargeData,ROW()-16,COLUMN()*2-3)),"",INDEX(Array_ElectricalChargeData,ROW()-16,COLUMN()*2-3))</f>
        <v/>
      </c>
      <c r="I125" t="str" cm="1">
        <f>IF(ISBLANK(INDEX(Array_ElectricalChargeData,ROW()-16,COLUMN()*2-3)),"",INDEX(Array_ElectricalChargeData,ROW()-16,COLUMN()*2-3))</f>
        <v/>
      </c>
      <c r="J125" t="str" cm="1">
        <f>IF(ISBLANK(INDEX(Array_ElectricalChargeData,ROW()-16,COLUMN()*2-3)),"",INDEX(Array_ElectricalChargeData,ROW()-16,COLUMN()*2-3))</f>
        <v/>
      </c>
      <c r="K125" t="str" cm="1">
        <f>IF(ISBLANK(INDEX(Array_ElectricalChargeData,ROW()-16,COLUMN()*2-3)),"",INDEX(Array_ElectricalChargeData,ROW()-16,COLUMN()*2-3))</f>
        <v/>
      </c>
      <c r="L125" t="str" cm="1">
        <f>IF(ISBLANK(INDEX(Array_ElectricalChargeData,ROW()-16,COLUMN()*2-3)),"",INDEX(Array_ElectricalChargeData,ROW()-16,COLUMN()*2-3))</f>
        <v/>
      </c>
      <c r="M125" t="str" cm="1">
        <f>IF(ISBLANK(INDEX(Array_ElectricalChargeData,ROW()-16,COLUMN()*2-3)),"",INDEX(Array_ElectricalChargeData,ROW()-16,COLUMN()*2-3))</f>
        <v/>
      </c>
      <c r="N125" t="str" cm="1">
        <f>IF(ISBLANK(INDEX(Array_ElectricalChargeData,ROW()-16,COLUMN()*2-3)),"",INDEX(Array_ElectricalChargeData,ROW()-16,COLUMN()*2-3))</f>
        <v/>
      </c>
      <c r="O125" t="str" cm="1">
        <f>IF(ISBLANK(INDEX(Array_ElectricalChargeData,ROW()-16,COLUMN()*2-3)),"",INDEX(Array_ElectricalChargeData,ROW()-16,COLUMN()*2-3))</f>
        <v/>
      </c>
      <c r="P125" t="str" cm="1">
        <f>IF(ISBLANK(INDEX(Array_ElectricalChargeData,ROW()-16,COLUMN()*2-3)),"",INDEX(Array_ElectricalChargeData,ROW()-16,COLUMN()*2-3))</f>
        <v/>
      </c>
    </row>
    <row r="126" spans="1:16" x14ac:dyDescent="0.35">
      <c r="A126" t="str">
        <f>IF('Electricity Meters'!B112="",A125,'Electricity Meters'!B112)</f>
        <v>Meter Numbers</v>
      </c>
      <c r="B126" t="str" cm="1">
        <f>IF(ISBLANK(INDEX(Array_ElectricalChargeData,ROW()-16,COLUMN()*2-3)),"",INDEX(Array_ElectricalChargeData,ROW()-16,COLUMN()*2-3))</f>
        <v/>
      </c>
      <c r="C126" t="str" cm="1">
        <f>IF(ISBLANK(INDEX(Array_ElectricalChargeData,ROW()-16,COLUMN()*2-3)),"",INDEX(Array_ElectricalChargeData,ROW()-16,COLUMN()*2-3))</f>
        <v/>
      </c>
      <c r="D126" t="str" cm="1">
        <f>IF(ISBLANK(INDEX(Array_ElectricalChargeData,ROW()-16,COLUMN()*2-3)),"",INDEX(Array_ElectricalChargeData,ROW()-16,COLUMN()*2-3))</f>
        <v/>
      </c>
      <c r="E126" t="str" cm="1">
        <f>IF(ISBLANK(INDEX(Array_ElectricalChargeData,ROW()-16,COLUMN()*2-3)),"",INDEX(Array_ElectricalChargeData,ROW()-16,COLUMN()*2-3))</f>
        <v/>
      </c>
      <c r="F126" t="str" cm="1">
        <f>IF(ISBLANK(INDEX(Array_ElectricalChargeData,ROW()-16,COLUMN()*2-3)),"",INDEX(Array_ElectricalChargeData,ROW()-16,COLUMN()*2-3))</f>
        <v/>
      </c>
      <c r="G126" t="str" cm="1">
        <f>IF(ISBLANK(INDEX(Array_ElectricalChargeData,ROW()-16,COLUMN()*2-3)),"",INDEX(Array_ElectricalChargeData,ROW()-16,COLUMN()*2-3))</f>
        <v/>
      </c>
      <c r="H126" t="str" cm="1">
        <f>IF(ISBLANK(INDEX(Array_ElectricalChargeData,ROW()-16,COLUMN()*2-3)),"",INDEX(Array_ElectricalChargeData,ROW()-16,COLUMN()*2-3))</f>
        <v/>
      </c>
      <c r="I126" t="str" cm="1">
        <f>IF(ISBLANK(INDEX(Array_ElectricalChargeData,ROW()-16,COLUMN()*2-3)),"",INDEX(Array_ElectricalChargeData,ROW()-16,COLUMN()*2-3))</f>
        <v/>
      </c>
      <c r="J126" t="str" cm="1">
        <f>IF(ISBLANK(INDEX(Array_ElectricalChargeData,ROW()-16,COLUMN()*2-3)),"",INDEX(Array_ElectricalChargeData,ROW()-16,COLUMN()*2-3))</f>
        <v/>
      </c>
      <c r="K126" t="str" cm="1">
        <f>IF(ISBLANK(INDEX(Array_ElectricalChargeData,ROW()-16,COLUMN()*2-3)),"",INDEX(Array_ElectricalChargeData,ROW()-16,COLUMN()*2-3))</f>
        <v/>
      </c>
      <c r="L126" t="str" cm="1">
        <f>IF(ISBLANK(INDEX(Array_ElectricalChargeData,ROW()-16,COLUMN()*2-3)),"",INDEX(Array_ElectricalChargeData,ROW()-16,COLUMN()*2-3))</f>
        <v/>
      </c>
      <c r="M126" t="str" cm="1">
        <f>IF(ISBLANK(INDEX(Array_ElectricalChargeData,ROW()-16,COLUMN()*2-3)),"",INDEX(Array_ElectricalChargeData,ROW()-16,COLUMN()*2-3))</f>
        <v/>
      </c>
      <c r="N126" t="str" cm="1">
        <f>IF(ISBLANK(INDEX(Array_ElectricalChargeData,ROW()-16,COLUMN()*2-3)),"",INDEX(Array_ElectricalChargeData,ROW()-16,COLUMN()*2-3))</f>
        <v/>
      </c>
      <c r="O126" t="str" cm="1">
        <f>IF(ISBLANK(INDEX(Array_ElectricalChargeData,ROW()-16,COLUMN()*2-3)),"",INDEX(Array_ElectricalChargeData,ROW()-16,COLUMN()*2-3))</f>
        <v/>
      </c>
      <c r="P126" t="str" cm="1">
        <f>IF(ISBLANK(INDEX(Array_ElectricalChargeData,ROW()-16,COLUMN()*2-3)),"",INDEX(Array_ElectricalChargeData,ROW()-16,COLUMN()*2-3))</f>
        <v/>
      </c>
    </row>
    <row r="127" spans="1:16" x14ac:dyDescent="0.35">
      <c r="A127" t="str">
        <f>IF('Electricity Meters'!B113="",A126,'Electricity Meters'!B113)</f>
        <v>Meter Numbers</v>
      </c>
      <c r="B127" t="str" cm="1">
        <f>IF(ISBLANK(INDEX(Array_ElectricalChargeData,ROW()-16,COLUMN()*2-3)),"",INDEX(Array_ElectricalChargeData,ROW()-16,COLUMN()*2-3))</f>
        <v/>
      </c>
      <c r="C127" t="str" cm="1">
        <f>IF(ISBLANK(INDEX(Array_ElectricalChargeData,ROW()-16,COLUMN()*2-3)),"",INDEX(Array_ElectricalChargeData,ROW()-16,COLUMN()*2-3))</f>
        <v/>
      </c>
      <c r="D127" t="str" cm="1">
        <f>IF(ISBLANK(INDEX(Array_ElectricalChargeData,ROW()-16,COLUMN()*2-3)),"",INDEX(Array_ElectricalChargeData,ROW()-16,COLUMN()*2-3))</f>
        <v/>
      </c>
      <c r="E127" t="str" cm="1">
        <f>IF(ISBLANK(INDEX(Array_ElectricalChargeData,ROW()-16,COLUMN()*2-3)),"",INDEX(Array_ElectricalChargeData,ROW()-16,COLUMN()*2-3))</f>
        <v/>
      </c>
      <c r="F127" t="str" cm="1">
        <f>IF(ISBLANK(INDEX(Array_ElectricalChargeData,ROW()-16,COLUMN()*2-3)),"",INDEX(Array_ElectricalChargeData,ROW()-16,COLUMN()*2-3))</f>
        <v/>
      </c>
      <c r="G127" t="str" cm="1">
        <f>IF(ISBLANK(INDEX(Array_ElectricalChargeData,ROW()-16,COLUMN()*2-3)),"",INDEX(Array_ElectricalChargeData,ROW()-16,COLUMN()*2-3))</f>
        <v/>
      </c>
      <c r="H127" t="str" cm="1">
        <f>IF(ISBLANK(INDEX(Array_ElectricalChargeData,ROW()-16,COLUMN()*2-3)),"",INDEX(Array_ElectricalChargeData,ROW()-16,COLUMN()*2-3))</f>
        <v/>
      </c>
      <c r="I127" t="str" cm="1">
        <f>IF(ISBLANK(INDEX(Array_ElectricalChargeData,ROW()-16,COLUMN()*2-3)),"",INDEX(Array_ElectricalChargeData,ROW()-16,COLUMN()*2-3))</f>
        <v/>
      </c>
      <c r="J127" t="str" cm="1">
        <f>IF(ISBLANK(INDEX(Array_ElectricalChargeData,ROW()-16,COLUMN()*2-3)),"",INDEX(Array_ElectricalChargeData,ROW()-16,COLUMN()*2-3))</f>
        <v/>
      </c>
      <c r="K127" t="str" cm="1">
        <f>IF(ISBLANK(INDEX(Array_ElectricalChargeData,ROW()-16,COLUMN()*2-3)),"",INDEX(Array_ElectricalChargeData,ROW()-16,COLUMN()*2-3))</f>
        <v/>
      </c>
      <c r="L127" t="str" cm="1">
        <f>IF(ISBLANK(INDEX(Array_ElectricalChargeData,ROW()-16,COLUMN()*2-3)),"",INDEX(Array_ElectricalChargeData,ROW()-16,COLUMN()*2-3))</f>
        <v/>
      </c>
      <c r="M127" t="str" cm="1">
        <f>IF(ISBLANK(INDEX(Array_ElectricalChargeData,ROW()-16,COLUMN()*2-3)),"",INDEX(Array_ElectricalChargeData,ROW()-16,COLUMN()*2-3))</f>
        <v/>
      </c>
      <c r="N127" t="str" cm="1">
        <f>IF(ISBLANK(INDEX(Array_ElectricalChargeData,ROW()-16,COLUMN()*2-3)),"",INDEX(Array_ElectricalChargeData,ROW()-16,COLUMN()*2-3))</f>
        <v/>
      </c>
      <c r="O127" t="str" cm="1">
        <f>IF(ISBLANK(INDEX(Array_ElectricalChargeData,ROW()-16,COLUMN()*2-3)),"",INDEX(Array_ElectricalChargeData,ROW()-16,COLUMN()*2-3))</f>
        <v/>
      </c>
      <c r="P127" t="str" cm="1">
        <f>IF(ISBLANK(INDEX(Array_ElectricalChargeData,ROW()-16,COLUMN()*2-3)),"",INDEX(Array_ElectricalChargeData,ROW()-16,COLUMN()*2-3))</f>
        <v/>
      </c>
    </row>
    <row r="128" spans="1:16" x14ac:dyDescent="0.35">
      <c r="A128" t="str">
        <f>IF('Electricity Meters'!B114="",A127,'Electricity Meters'!B114)</f>
        <v>Meter Numbers</v>
      </c>
      <c r="B128" t="str" cm="1">
        <f>IF(ISBLANK(INDEX(Array_ElectricalChargeData,ROW()-16,COLUMN()*2-3)),"",INDEX(Array_ElectricalChargeData,ROW()-16,COLUMN()*2-3))</f>
        <v/>
      </c>
      <c r="C128" t="str" cm="1">
        <f>IF(ISBLANK(INDEX(Array_ElectricalChargeData,ROW()-16,COLUMN()*2-3)),"",INDEX(Array_ElectricalChargeData,ROW()-16,COLUMN()*2-3))</f>
        <v/>
      </c>
      <c r="D128" t="str" cm="1">
        <f>IF(ISBLANK(INDEX(Array_ElectricalChargeData,ROW()-16,COLUMN()*2-3)),"",INDEX(Array_ElectricalChargeData,ROW()-16,COLUMN()*2-3))</f>
        <v/>
      </c>
      <c r="E128" t="str" cm="1">
        <f>IF(ISBLANK(INDEX(Array_ElectricalChargeData,ROW()-16,COLUMN()*2-3)),"",INDEX(Array_ElectricalChargeData,ROW()-16,COLUMN()*2-3))</f>
        <v/>
      </c>
      <c r="F128" t="str" cm="1">
        <f>IF(ISBLANK(INDEX(Array_ElectricalChargeData,ROW()-16,COLUMN()*2-3)),"",INDEX(Array_ElectricalChargeData,ROW()-16,COLUMN()*2-3))</f>
        <v/>
      </c>
      <c r="G128" t="str" cm="1">
        <f>IF(ISBLANK(INDEX(Array_ElectricalChargeData,ROW()-16,COLUMN()*2-3)),"",INDEX(Array_ElectricalChargeData,ROW()-16,COLUMN()*2-3))</f>
        <v/>
      </c>
      <c r="H128" t="str" cm="1">
        <f>IF(ISBLANK(INDEX(Array_ElectricalChargeData,ROW()-16,COLUMN()*2-3)),"",INDEX(Array_ElectricalChargeData,ROW()-16,COLUMN()*2-3))</f>
        <v/>
      </c>
      <c r="I128" t="str" cm="1">
        <f>IF(ISBLANK(INDEX(Array_ElectricalChargeData,ROW()-16,COLUMN()*2-3)),"",INDEX(Array_ElectricalChargeData,ROW()-16,COLUMN()*2-3))</f>
        <v/>
      </c>
      <c r="J128" t="str" cm="1">
        <f>IF(ISBLANK(INDEX(Array_ElectricalChargeData,ROW()-16,COLUMN()*2-3)),"",INDEX(Array_ElectricalChargeData,ROW()-16,COLUMN()*2-3))</f>
        <v/>
      </c>
      <c r="K128" t="str" cm="1">
        <f>IF(ISBLANK(INDEX(Array_ElectricalChargeData,ROW()-16,COLUMN()*2-3)),"",INDEX(Array_ElectricalChargeData,ROW()-16,COLUMN()*2-3))</f>
        <v/>
      </c>
      <c r="L128" t="str" cm="1">
        <f>IF(ISBLANK(INDEX(Array_ElectricalChargeData,ROW()-16,COLUMN()*2-3)),"",INDEX(Array_ElectricalChargeData,ROW()-16,COLUMN()*2-3))</f>
        <v/>
      </c>
      <c r="M128" t="str" cm="1">
        <f>IF(ISBLANK(INDEX(Array_ElectricalChargeData,ROW()-16,COLUMN()*2-3)),"",INDEX(Array_ElectricalChargeData,ROW()-16,COLUMN()*2-3))</f>
        <v/>
      </c>
      <c r="N128" t="str" cm="1">
        <f>IF(ISBLANK(INDEX(Array_ElectricalChargeData,ROW()-16,COLUMN()*2-3)),"",INDEX(Array_ElectricalChargeData,ROW()-16,COLUMN()*2-3))</f>
        <v/>
      </c>
      <c r="O128" t="str" cm="1">
        <f>IF(ISBLANK(INDEX(Array_ElectricalChargeData,ROW()-16,COLUMN()*2-3)),"",INDEX(Array_ElectricalChargeData,ROW()-16,COLUMN()*2-3))</f>
        <v/>
      </c>
      <c r="P128" t="str" cm="1">
        <f>IF(ISBLANK(INDEX(Array_ElectricalChargeData,ROW()-16,COLUMN()*2-3)),"",INDEX(Array_ElectricalChargeData,ROW()-16,COLUMN()*2-3))</f>
        <v/>
      </c>
    </row>
    <row r="129" spans="1:16" x14ac:dyDescent="0.35">
      <c r="A129" t="str">
        <f>IF('Electricity Meters'!B115="",A128,'Electricity Meters'!B115)</f>
        <v>Meter Numbers</v>
      </c>
      <c r="B129" t="str" cm="1">
        <f>IF(ISBLANK(INDEX(Array_ElectricalChargeData,ROW()-16,COLUMN()*2-3)),"",INDEX(Array_ElectricalChargeData,ROW()-16,COLUMN()*2-3))</f>
        <v/>
      </c>
      <c r="C129" t="str" cm="1">
        <f>IF(ISBLANK(INDEX(Array_ElectricalChargeData,ROW()-16,COLUMN()*2-3)),"",INDEX(Array_ElectricalChargeData,ROW()-16,COLUMN()*2-3))</f>
        <v/>
      </c>
      <c r="D129" t="str" cm="1">
        <f>IF(ISBLANK(INDEX(Array_ElectricalChargeData,ROW()-16,COLUMN()*2-3)),"",INDEX(Array_ElectricalChargeData,ROW()-16,COLUMN()*2-3))</f>
        <v/>
      </c>
      <c r="E129" t="str" cm="1">
        <f>IF(ISBLANK(INDEX(Array_ElectricalChargeData,ROW()-16,COLUMN()*2-3)),"",INDEX(Array_ElectricalChargeData,ROW()-16,COLUMN()*2-3))</f>
        <v/>
      </c>
      <c r="F129" t="str" cm="1">
        <f>IF(ISBLANK(INDEX(Array_ElectricalChargeData,ROW()-16,COLUMN()*2-3)),"",INDEX(Array_ElectricalChargeData,ROW()-16,COLUMN()*2-3))</f>
        <v/>
      </c>
      <c r="G129" t="str" cm="1">
        <f>IF(ISBLANK(INDEX(Array_ElectricalChargeData,ROW()-16,COLUMN()*2-3)),"",INDEX(Array_ElectricalChargeData,ROW()-16,COLUMN()*2-3))</f>
        <v/>
      </c>
      <c r="H129" t="str" cm="1">
        <f>IF(ISBLANK(INDEX(Array_ElectricalChargeData,ROW()-16,COLUMN()*2-3)),"",INDEX(Array_ElectricalChargeData,ROW()-16,COLUMN()*2-3))</f>
        <v/>
      </c>
      <c r="I129" t="str" cm="1">
        <f>IF(ISBLANK(INDEX(Array_ElectricalChargeData,ROW()-16,COLUMN()*2-3)),"",INDEX(Array_ElectricalChargeData,ROW()-16,COLUMN()*2-3))</f>
        <v/>
      </c>
      <c r="J129" t="str" cm="1">
        <f>IF(ISBLANK(INDEX(Array_ElectricalChargeData,ROW()-16,COLUMN()*2-3)),"",INDEX(Array_ElectricalChargeData,ROW()-16,COLUMN()*2-3))</f>
        <v/>
      </c>
      <c r="K129" t="str" cm="1">
        <f>IF(ISBLANK(INDEX(Array_ElectricalChargeData,ROW()-16,COLUMN()*2-3)),"",INDEX(Array_ElectricalChargeData,ROW()-16,COLUMN()*2-3))</f>
        <v/>
      </c>
      <c r="L129" t="str" cm="1">
        <f>IF(ISBLANK(INDEX(Array_ElectricalChargeData,ROW()-16,COLUMN()*2-3)),"",INDEX(Array_ElectricalChargeData,ROW()-16,COLUMN()*2-3))</f>
        <v/>
      </c>
      <c r="M129" t="str" cm="1">
        <f>IF(ISBLANK(INDEX(Array_ElectricalChargeData,ROW()-16,COLUMN()*2-3)),"",INDEX(Array_ElectricalChargeData,ROW()-16,COLUMN()*2-3))</f>
        <v/>
      </c>
      <c r="N129" t="str" cm="1">
        <f>IF(ISBLANK(INDEX(Array_ElectricalChargeData,ROW()-16,COLUMN()*2-3)),"",INDEX(Array_ElectricalChargeData,ROW()-16,COLUMN()*2-3))</f>
        <v/>
      </c>
      <c r="O129" t="str" cm="1">
        <f>IF(ISBLANK(INDEX(Array_ElectricalChargeData,ROW()-16,COLUMN()*2-3)),"",INDEX(Array_ElectricalChargeData,ROW()-16,COLUMN()*2-3))</f>
        <v/>
      </c>
      <c r="P129" t="str" cm="1">
        <f>IF(ISBLANK(INDEX(Array_ElectricalChargeData,ROW()-16,COLUMN()*2-3)),"",INDEX(Array_ElectricalChargeData,ROW()-16,COLUMN()*2-3))</f>
        <v/>
      </c>
    </row>
    <row r="130" spans="1:16" x14ac:dyDescent="0.35">
      <c r="A130" t="str">
        <f>IF('Electricity Meters'!B116="",A129,'Electricity Meters'!B116)</f>
        <v>Meter Numbers</v>
      </c>
      <c r="B130" t="str" cm="1">
        <f>IF(ISBLANK(INDEX(Array_ElectricalChargeData,ROW()-16,COLUMN()*2-3)),"",INDEX(Array_ElectricalChargeData,ROW()-16,COLUMN()*2-3))</f>
        <v/>
      </c>
      <c r="C130" t="str" cm="1">
        <f>IF(ISBLANK(INDEX(Array_ElectricalChargeData,ROW()-16,COLUMN()*2-3)),"",INDEX(Array_ElectricalChargeData,ROW()-16,COLUMN()*2-3))</f>
        <v/>
      </c>
      <c r="D130" t="str" cm="1">
        <f>IF(ISBLANK(INDEX(Array_ElectricalChargeData,ROW()-16,COLUMN()*2-3)),"",INDEX(Array_ElectricalChargeData,ROW()-16,COLUMN()*2-3))</f>
        <v/>
      </c>
      <c r="E130" t="str" cm="1">
        <f>IF(ISBLANK(INDEX(Array_ElectricalChargeData,ROW()-16,COLUMN()*2-3)),"",INDEX(Array_ElectricalChargeData,ROW()-16,COLUMN()*2-3))</f>
        <v/>
      </c>
      <c r="F130" t="str" cm="1">
        <f>IF(ISBLANK(INDEX(Array_ElectricalChargeData,ROW()-16,COLUMN()*2-3)),"",INDEX(Array_ElectricalChargeData,ROW()-16,COLUMN()*2-3))</f>
        <v/>
      </c>
      <c r="G130" t="str" cm="1">
        <f>IF(ISBLANK(INDEX(Array_ElectricalChargeData,ROW()-16,COLUMN()*2-3)),"",INDEX(Array_ElectricalChargeData,ROW()-16,COLUMN()*2-3))</f>
        <v/>
      </c>
      <c r="H130" t="str" cm="1">
        <f>IF(ISBLANK(INDEX(Array_ElectricalChargeData,ROW()-16,COLUMN()*2-3)),"",INDEX(Array_ElectricalChargeData,ROW()-16,COLUMN()*2-3))</f>
        <v/>
      </c>
      <c r="I130" t="str" cm="1">
        <f>IF(ISBLANK(INDEX(Array_ElectricalChargeData,ROW()-16,COLUMN()*2-3)),"",INDEX(Array_ElectricalChargeData,ROW()-16,COLUMN()*2-3))</f>
        <v/>
      </c>
      <c r="J130" t="str" cm="1">
        <f>IF(ISBLANK(INDEX(Array_ElectricalChargeData,ROW()-16,COLUMN()*2-3)),"",INDEX(Array_ElectricalChargeData,ROW()-16,COLUMN()*2-3))</f>
        <v/>
      </c>
      <c r="K130" t="str" cm="1">
        <f>IF(ISBLANK(INDEX(Array_ElectricalChargeData,ROW()-16,COLUMN()*2-3)),"",INDEX(Array_ElectricalChargeData,ROW()-16,COLUMN()*2-3))</f>
        <v/>
      </c>
      <c r="L130" t="str" cm="1">
        <f>IF(ISBLANK(INDEX(Array_ElectricalChargeData,ROW()-16,COLUMN()*2-3)),"",INDEX(Array_ElectricalChargeData,ROW()-16,COLUMN()*2-3))</f>
        <v/>
      </c>
      <c r="M130" t="str" cm="1">
        <f>IF(ISBLANK(INDEX(Array_ElectricalChargeData,ROW()-16,COLUMN()*2-3)),"",INDEX(Array_ElectricalChargeData,ROW()-16,COLUMN()*2-3))</f>
        <v/>
      </c>
      <c r="N130" t="str" cm="1">
        <f>IF(ISBLANK(INDEX(Array_ElectricalChargeData,ROW()-16,COLUMN()*2-3)),"",INDEX(Array_ElectricalChargeData,ROW()-16,COLUMN()*2-3))</f>
        <v/>
      </c>
      <c r="O130" t="str" cm="1">
        <f>IF(ISBLANK(INDEX(Array_ElectricalChargeData,ROW()-16,COLUMN()*2-3)),"",INDEX(Array_ElectricalChargeData,ROW()-16,COLUMN()*2-3))</f>
        <v/>
      </c>
      <c r="P130" t="str" cm="1">
        <f>IF(ISBLANK(INDEX(Array_ElectricalChargeData,ROW()-16,COLUMN()*2-3)),"",INDEX(Array_ElectricalChargeData,ROW()-16,COLUMN()*2-3))</f>
        <v/>
      </c>
    </row>
    <row r="131" spans="1:16" x14ac:dyDescent="0.35">
      <c r="A131" t="str">
        <f>IF('Electricity Meters'!B117="",A130,'Electricity Meters'!B117)</f>
        <v>Meter Numbers</v>
      </c>
      <c r="B131" t="str" cm="1">
        <f>IF(ISBLANK(INDEX(Array_ElectricalChargeData,ROW()-16,COLUMN()*2-3)),"",INDEX(Array_ElectricalChargeData,ROW()-16,COLUMN()*2-3))</f>
        <v/>
      </c>
      <c r="C131" t="str" cm="1">
        <f>IF(ISBLANK(INDEX(Array_ElectricalChargeData,ROW()-16,COLUMN()*2-3)),"",INDEX(Array_ElectricalChargeData,ROW()-16,COLUMN()*2-3))</f>
        <v/>
      </c>
      <c r="D131" t="str" cm="1">
        <f>IF(ISBLANK(INDEX(Array_ElectricalChargeData,ROW()-16,COLUMN()*2-3)),"",INDEX(Array_ElectricalChargeData,ROW()-16,COLUMN()*2-3))</f>
        <v/>
      </c>
      <c r="E131" t="str" cm="1">
        <f>IF(ISBLANK(INDEX(Array_ElectricalChargeData,ROW()-16,COLUMN()*2-3)),"",INDEX(Array_ElectricalChargeData,ROW()-16,COLUMN()*2-3))</f>
        <v/>
      </c>
      <c r="F131" t="str" cm="1">
        <f>IF(ISBLANK(INDEX(Array_ElectricalChargeData,ROW()-16,COLUMN()*2-3)),"",INDEX(Array_ElectricalChargeData,ROW()-16,COLUMN()*2-3))</f>
        <v/>
      </c>
      <c r="G131" t="str" cm="1">
        <f>IF(ISBLANK(INDEX(Array_ElectricalChargeData,ROW()-16,COLUMN()*2-3)),"",INDEX(Array_ElectricalChargeData,ROW()-16,COLUMN()*2-3))</f>
        <v/>
      </c>
      <c r="H131" t="str" cm="1">
        <f>IF(ISBLANK(INDEX(Array_ElectricalChargeData,ROW()-16,COLUMN()*2-3)),"",INDEX(Array_ElectricalChargeData,ROW()-16,COLUMN()*2-3))</f>
        <v/>
      </c>
      <c r="I131" t="str" cm="1">
        <f>IF(ISBLANK(INDEX(Array_ElectricalChargeData,ROW()-16,COLUMN()*2-3)),"",INDEX(Array_ElectricalChargeData,ROW()-16,COLUMN()*2-3))</f>
        <v/>
      </c>
      <c r="J131" t="str" cm="1">
        <f>IF(ISBLANK(INDEX(Array_ElectricalChargeData,ROW()-16,COLUMN()*2-3)),"",INDEX(Array_ElectricalChargeData,ROW()-16,COLUMN()*2-3))</f>
        <v/>
      </c>
      <c r="K131" t="str" cm="1">
        <f>IF(ISBLANK(INDEX(Array_ElectricalChargeData,ROW()-16,COLUMN()*2-3)),"",INDEX(Array_ElectricalChargeData,ROW()-16,COLUMN()*2-3))</f>
        <v/>
      </c>
      <c r="L131" t="str" cm="1">
        <f>IF(ISBLANK(INDEX(Array_ElectricalChargeData,ROW()-16,COLUMN()*2-3)),"",INDEX(Array_ElectricalChargeData,ROW()-16,COLUMN()*2-3))</f>
        <v/>
      </c>
      <c r="M131" t="str" cm="1">
        <f>IF(ISBLANK(INDEX(Array_ElectricalChargeData,ROW()-16,COLUMN()*2-3)),"",INDEX(Array_ElectricalChargeData,ROW()-16,COLUMN()*2-3))</f>
        <v/>
      </c>
      <c r="N131" t="str" cm="1">
        <f>IF(ISBLANK(INDEX(Array_ElectricalChargeData,ROW()-16,COLUMN()*2-3)),"",INDEX(Array_ElectricalChargeData,ROW()-16,COLUMN()*2-3))</f>
        <v/>
      </c>
      <c r="O131" t="str" cm="1">
        <f>IF(ISBLANK(INDEX(Array_ElectricalChargeData,ROW()-16,COLUMN()*2-3)),"",INDEX(Array_ElectricalChargeData,ROW()-16,COLUMN()*2-3))</f>
        <v/>
      </c>
      <c r="P131" t="str" cm="1">
        <f>IF(ISBLANK(INDEX(Array_ElectricalChargeData,ROW()-16,COLUMN()*2-3)),"",INDEX(Array_ElectricalChargeData,ROW()-16,COLUMN()*2-3))</f>
        <v/>
      </c>
    </row>
    <row r="132" spans="1:16" x14ac:dyDescent="0.35">
      <c r="A132" t="str">
        <f>IF('Electricity Meters'!B118="",A131,'Electricity Meters'!B118)</f>
        <v>Meter Numbers</v>
      </c>
      <c r="B132" t="str" cm="1">
        <f>IF(ISBLANK(INDEX(Array_ElectricalChargeData,ROW()-16,COLUMN()*2-3)),"",INDEX(Array_ElectricalChargeData,ROW()-16,COLUMN()*2-3))</f>
        <v/>
      </c>
      <c r="C132" t="str" cm="1">
        <f>IF(ISBLANK(INDEX(Array_ElectricalChargeData,ROW()-16,COLUMN()*2-3)),"",INDEX(Array_ElectricalChargeData,ROW()-16,COLUMN()*2-3))</f>
        <v/>
      </c>
      <c r="D132" t="str" cm="1">
        <f>IF(ISBLANK(INDEX(Array_ElectricalChargeData,ROW()-16,COLUMN()*2-3)),"",INDEX(Array_ElectricalChargeData,ROW()-16,COLUMN()*2-3))</f>
        <v/>
      </c>
      <c r="E132" t="str" cm="1">
        <f>IF(ISBLANK(INDEX(Array_ElectricalChargeData,ROW()-16,COLUMN()*2-3)),"",INDEX(Array_ElectricalChargeData,ROW()-16,COLUMN()*2-3))</f>
        <v/>
      </c>
      <c r="F132" t="str" cm="1">
        <f>IF(ISBLANK(INDEX(Array_ElectricalChargeData,ROW()-16,COLUMN()*2-3)),"",INDEX(Array_ElectricalChargeData,ROW()-16,COLUMN()*2-3))</f>
        <v/>
      </c>
      <c r="G132" t="str" cm="1">
        <f>IF(ISBLANK(INDEX(Array_ElectricalChargeData,ROW()-16,COLUMN()*2-3)),"",INDEX(Array_ElectricalChargeData,ROW()-16,COLUMN()*2-3))</f>
        <v/>
      </c>
      <c r="H132" t="str" cm="1">
        <f>IF(ISBLANK(INDEX(Array_ElectricalChargeData,ROW()-16,COLUMN()*2-3)),"",INDEX(Array_ElectricalChargeData,ROW()-16,COLUMN()*2-3))</f>
        <v/>
      </c>
      <c r="I132" t="str" cm="1">
        <f>IF(ISBLANK(INDEX(Array_ElectricalChargeData,ROW()-16,COLUMN()*2-3)),"",INDEX(Array_ElectricalChargeData,ROW()-16,COLUMN()*2-3))</f>
        <v/>
      </c>
      <c r="J132" t="str" cm="1">
        <f>IF(ISBLANK(INDEX(Array_ElectricalChargeData,ROW()-16,COLUMN()*2-3)),"",INDEX(Array_ElectricalChargeData,ROW()-16,COLUMN()*2-3))</f>
        <v/>
      </c>
      <c r="K132" t="str" cm="1">
        <f>IF(ISBLANK(INDEX(Array_ElectricalChargeData,ROW()-16,COLUMN()*2-3)),"",INDEX(Array_ElectricalChargeData,ROW()-16,COLUMN()*2-3))</f>
        <v/>
      </c>
      <c r="L132" t="str" cm="1">
        <f>IF(ISBLANK(INDEX(Array_ElectricalChargeData,ROW()-16,COLUMN()*2-3)),"",INDEX(Array_ElectricalChargeData,ROW()-16,COLUMN()*2-3))</f>
        <v/>
      </c>
      <c r="M132" t="str" cm="1">
        <f>IF(ISBLANK(INDEX(Array_ElectricalChargeData,ROW()-16,COLUMN()*2-3)),"",INDEX(Array_ElectricalChargeData,ROW()-16,COLUMN()*2-3))</f>
        <v/>
      </c>
      <c r="N132" t="str" cm="1">
        <f>IF(ISBLANK(INDEX(Array_ElectricalChargeData,ROW()-16,COLUMN()*2-3)),"",INDEX(Array_ElectricalChargeData,ROW()-16,COLUMN()*2-3))</f>
        <v/>
      </c>
      <c r="O132" t="str" cm="1">
        <f>IF(ISBLANK(INDEX(Array_ElectricalChargeData,ROW()-16,COLUMN()*2-3)),"",INDEX(Array_ElectricalChargeData,ROW()-16,COLUMN()*2-3))</f>
        <v/>
      </c>
      <c r="P132" t="str" cm="1">
        <f>IF(ISBLANK(INDEX(Array_ElectricalChargeData,ROW()-16,COLUMN()*2-3)),"",INDEX(Array_ElectricalChargeData,ROW()-16,COLUMN()*2-3))</f>
        <v/>
      </c>
    </row>
    <row r="133" spans="1:16" x14ac:dyDescent="0.35">
      <c r="A133" t="str">
        <f>IF('Electricity Meters'!B119="",A132,'Electricity Meters'!B119)</f>
        <v>Meter Numbers</v>
      </c>
      <c r="B133" t="str" cm="1">
        <f>IF(ISBLANK(INDEX(Array_ElectricalChargeData,ROW()-16,COLUMN()*2-3)),"",INDEX(Array_ElectricalChargeData,ROW()-16,COLUMN()*2-3))</f>
        <v/>
      </c>
      <c r="C133" t="str" cm="1">
        <f>IF(ISBLANK(INDEX(Array_ElectricalChargeData,ROW()-16,COLUMN()*2-3)),"",INDEX(Array_ElectricalChargeData,ROW()-16,COLUMN()*2-3))</f>
        <v/>
      </c>
      <c r="D133" t="str" cm="1">
        <f>IF(ISBLANK(INDEX(Array_ElectricalChargeData,ROW()-16,COLUMN()*2-3)),"",INDEX(Array_ElectricalChargeData,ROW()-16,COLUMN()*2-3))</f>
        <v/>
      </c>
      <c r="E133" t="str" cm="1">
        <f>IF(ISBLANK(INDEX(Array_ElectricalChargeData,ROW()-16,COLUMN()*2-3)),"",INDEX(Array_ElectricalChargeData,ROW()-16,COLUMN()*2-3))</f>
        <v/>
      </c>
      <c r="F133" t="str" cm="1">
        <f>IF(ISBLANK(INDEX(Array_ElectricalChargeData,ROW()-16,COLUMN()*2-3)),"",INDEX(Array_ElectricalChargeData,ROW()-16,COLUMN()*2-3))</f>
        <v/>
      </c>
      <c r="G133" t="str" cm="1">
        <f>IF(ISBLANK(INDEX(Array_ElectricalChargeData,ROW()-16,COLUMN()*2-3)),"",INDEX(Array_ElectricalChargeData,ROW()-16,COLUMN()*2-3))</f>
        <v/>
      </c>
      <c r="H133" t="str" cm="1">
        <f>IF(ISBLANK(INDEX(Array_ElectricalChargeData,ROW()-16,COLUMN()*2-3)),"",INDEX(Array_ElectricalChargeData,ROW()-16,COLUMN()*2-3))</f>
        <v/>
      </c>
      <c r="I133" t="str" cm="1">
        <f>IF(ISBLANK(INDEX(Array_ElectricalChargeData,ROW()-16,COLUMN()*2-3)),"",INDEX(Array_ElectricalChargeData,ROW()-16,COLUMN()*2-3))</f>
        <v/>
      </c>
      <c r="J133" t="str" cm="1">
        <f>IF(ISBLANK(INDEX(Array_ElectricalChargeData,ROW()-16,COLUMN()*2-3)),"",INDEX(Array_ElectricalChargeData,ROW()-16,COLUMN()*2-3))</f>
        <v/>
      </c>
      <c r="K133" t="str" cm="1">
        <f>IF(ISBLANK(INDEX(Array_ElectricalChargeData,ROW()-16,COLUMN()*2-3)),"",INDEX(Array_ElectricalChargeData,ROW()-16,COLUMN()*2-3))</f>
        <v/>
      </c>
      <c r="L133" t="str" cm="1">
        <f>IF(ISBLANK(INDEX(Array_ElectricalChargeData,ROW()-16,COLUMN()*2-3)),"",INDEX(Array_ElectricalChargeData,ROW()-16,COLUMN()*2-3))</f>
        <v/>
      </c>
      <c r="M133" t="str" cm="1">
        <f>IF(ISBLANK(INDEX(Array_ElectricalChargeData,ROW()-16,COLUMN()*2-3)),"",INDEX(Array_ElectricalChargeData,ROW()-16,COLUMN()*2-3))</f>
        <v/>
      </c>
      <c r="N133" t="str" cm="1">
        <f>IF(ISBLANK(INDEX(Array_ElectricalChargeData,ROW()-16,COLUMN()*2-3)),"",INDEX(Array_ElectricalChargeData,ROW()-16,COLUMN()*2-3))</f>
        <v/>
      </c>
      <c r="O133" t="str" cm="1">
        <f>IF(ISBLANK(INDEX(Array_ElectricalChargeData,ROW()-16,COLUMN()*2-3)),"",INDEX(Array_ElectricalChargeData,ROW()-16,COLUMN()*2-3))</f>
        <v/>
      </c>
      <c r="P133" t="str" cm="1">
        <f>IF(ISBLANK(INDEX(Array_ElectricalChargeData,ROW()-16,COLUMN()*2-3)),"",INDEX(Array_ElectricalChargeData,ROW()-16,COLUMN()*2-3))</f>
        <v/>
      </c>
    </row>
    <row r="134" spans="1:16" x14ac:dyDescent="0.35">
      <c r="A134" t="str">
        <f>IF('Electricity Meters'!B120="",A133,'Electricity Meters'!B120)</f>
        <v>Meter Numbers</v>
      </c>
      <c r="B134" t="str" cm="1">
        <f>IF(ISBLANK(INDEX(Array_ElectricalChargeData,ROW()-16,COLUMN()*2-3)),"",INDEX(Array_ElectricalChargeData,ROW()-16,COLUMN()*2-3))</f>
        <v/>
      </c>
      <c r="C134" t="str" cm="1">
        <f>IF(ISBLANK(INDEX(Array_ElectricalChargeData,ROW()-16,COLUMN()*2-3)),"",INDEX(Array_ElectricalChargeData,ROW()-16,COLUMN()*2-3))</f>
        <v/>
      </c>
      <c r="D134" t="str" cm="1">
        <f>IF(ISBLANK(INDEX(Array_ElectricalChargeData,ROW()-16,COLUMN()*2-3)),"",INDEX(Array_ElectricalChargeData,ROW()-16,COLUMN()*2-3))</f>
        <v/>
      </c>
      <c r="E134" t="str" cm="1">
        <f>IF(ISBLANK(INDEX(Array_ElectricalChargeData,ROW()-16,COLUMN()*2-3)),"",INDEX(Array_ElectricalChargeData,ROW()-16,COLUMN()*2-3))</f>
        <v/>
      </c>
      <c r="F134" t="str" cm="1">
        <f>IF(ISBLANK(INDEX(Array_ElectricalChargeData,ROW()-16,COLUMN()*2-3)),"",INDEX(Array_ElectricalChargeData,ROW()-16,COLUMN()*2-3))</f>
        <v/>
      </c>
      <c r="G134" t="str" cm="1">
        <f>IF(ISBLANK(INDEX(Array_ElectricalChargeData,ROW()-16,COLUMN()*2-3)),"",INDEX(Array_ElectricalChargeData,ROW()-16,COLUMN()*2-3))</f>
        <v/>
      </c>
      <c r="H134" t="str" cm="1">
        <f>IF(ISBLANK(INDEX(Array_ElectricalChargeData,ROW()-16,COLUMN()*2-3)),"",INDEX(Array_ElectricalChargeData,ROW()-16,COLUMN()*2-3))</f>
        <v/>
      </c>
      <c r="I134" t="str" cm="1">
        <f>IF(ISBLANK(INDEX(Array_ElectricalChargeData,ROW()-16,COLUMN()*2-3)),"",INDEX(Array_ElectricalChargeData,ROW()-16,COLUMN()*2-3))</f>
        <v/>
      </c>
      <c r="J134" t="str" cm="1">
        <f>IF(ISBLANK(INDEX(Array_ElectricalChargeData,ROW()-16,COLUMN()*2-3)),"",INDEX(Array_ElectricalChargeData,ROW()-16,COLUMN()*2-3))</f>
        <v/>
      </c>
      <c r="K134" t="str" cm="1">
        <f>IF(ISBLANK(INDEX(Array_ElectricalChargeData,ROW()-16,COLUMN()*2-3)),"",INDEX(Array_ElectricalChargeData,ROW()-16,COLUMN()*2-3))</f>
        <v/>
      </c>
      <c r="L134" t="str" cm="1">
        <f>IF(ISBLANK(INDEX(Array_ElectricalChargeData,ROW()-16,COLUMN()*2-3)),"",INDEX(Array_ElectricalChargeData,ROW()-16,COLUMN()*2-3))</f>
        <v/>
      </c>
      <c r="M134" t="str" cm="1">
        <f>IF(ISBLANK(INDEX(Array_ElectricalChargeData,ROW()-16,COLUMN()*2-3)),"",INDEX(Array_ElectricalChargeData,ROW()-16,COLUMN()*2-3))</f>
        <v/>
      </c>
      <c r="N134" t="str" cm="1">
        <f>IF(ISBLANK(INDEX(Array_ElectricalChargeData,ROW()-16,COLUMN()*2-3)),"",INDEX(Array_ElectricalChargeData,ROW()-16,COLUMN()*2-3))</f>
        <v/>
      </c>
      <c r="O134" t="str" cm="1">
        <f>IF(ISBLANK(INDEX(Array_ElectricalChargeData,ROW()-16,COLUMN()*2-3)),"",INDEX(Array_ElectricalChargeData,ROW()-16,COLUMN()*2-3))</f>
        <v/>
      </c>
      <c r="P134" t="str" cm="1">
        <f>IF(ISBLANK(INDEX(Array_ElectricalChargeData,ROW()-16,COLUMN()*2-3)),"",INDEX(Array_ElectricalChargeData,ROW()-16,COLUMN()*2-3))</f>
        <v/>
      </c>
    </row>
    <row r="135" spans="1:16" x14ac:dyDescent="0.35">
      <c r="A135" t="str">
        <f>IF('Electricity Meters'!B121="",A134,'Electricity Meters'!B121)</f>
        <v>Meter Numbers</v>
      </c>
      <c r="B135" t="str" cm="1">
        <f>IF(ISBLANK(INDEX(Array_ElectricalChargeData,ROW()-16,COLUMN()*2-3)),"",INDEX(Array_ElectricalChargeData,ROW()-16,COLUMN()*2-3))</f>
        <v/>
      </c>
      <c r="C135" t="str" cm="1">
        <f>IF(ISBLANK(INDEX(Array_ElectricalChargeData,ROW()-16,COLUMN()*2-3)),"",INDEX(Array_ElectricalChargeData,ROW()-16,COLUMN()*2-3))</f>
        <v/>
      </c>
      <c r="D135" t="str" cm="1">
        <f>IF(ISBLANK(INDEX(Array_ElectricalChargeData,ROW()-16,COLUMN()*2-3)),"",INDEX(Array_ElectricalChargeData,ROW()-16,COLUMN()*2-3))</f>
        <v/>
      </c>
      <c r="E135" t="str" cm="1">
        <f>IF(ISBLANK(INDEX(Array_ElectricalChargeData,ROW()-16,COLUMN()*2-3)),"",INDEX(Array_ElectricalChargeData,ROW()-16,COLUMN()*2-3))</f>
        <v/>
      </c>
      <c r="F135" t="str" cm="1">
        <f>IF(ISBLANK(INDEX(Array_ElectricalChargeData,ROW()-16,COLUMN()*2-3)),"",INDEX(Array_ElectricalChargeData,ROW()-16,COLUMN()*2-3))</f>
        <v/>
      </c>
      <c r="G135" t="str" cm="1">
        <f>IF(ISBLANK(INDEX(Array_ElectricalChargeData,ROW()-16,COLUMN()*2-3)),"",INDEX(Array_ElectricalChargeData,ROW()-16,COLUMN()*2-3))</f>
        <v/>
      </c>
      <c r="H135" t="str" cm="1">
        <f>IF(ISBLANK(INDEX(Array_ElectricalChargeData,ROW()-16,COLUMN()*2-3)),"",INDEX(Array_ElectricalChargeData,ROW()-16,COLUMN()*2-3))</f>
        <v/>
      </c>
      <c r="I135" t="str" cm="1">
        <f>IF(ISBLANK(INDEX(Array_ElectricalChargeData,ROW()-16,COLUMN()*2-3)),"",INDEX(Array_ElectricalChargeData,ROW()-16,COLUMN()*2-3))</f>
        <v/>
      </c>
      <c r="J135" t="str" cm="1">
        <f>IF(ISBLANK(INDEX(Array_ElectricalChargeData,ROW()-16,COLUMN()*2-3)),"",INDEX(Array_ElectricalChargeData,ROW()-16,COLUMN()*2-3))</f>
        <v/>
      </c>
      <c r="K135" t="str" cm="1">
        <f>IF(ISBLANK(INDEX(Array_ElectricalChargeData,ROW()-16,COLUMN()*2-3)),"",INDEX(Array_ElectricalChargeData,ROW()-16,COLUMN()*2-3))</f>
        <v/>
      </c>
      <c r="L135" t="str" cm="1">
        <f>IF(ISBLANK(INDEX(Array_ElectricalChargeData,ROW()-16,COLUMN()*2-3)),"",INDEX(Array_ElectricalChargeData,ROW()-16,COLUMN()*2-3))</f>
        <v/>
      </c>
      <c r="M135" t="str" cm="1">
        <f>IF(ISBLANK(INDEX(Array_ElectricalChargeData,ROW()-16,COLUMN()*2-3)),"",INDEX(Array_ElectricalChargeData,ROW()-16,COLUMN()*2-3))</f>
        <v/>
      </c>
      <c r="N135" t="str" cm="1">
        <f>IF(ISBLANK(INDEX(Array_ElectricalChargeData,ROW()-16,COLUMN()*2-3)),"",INDEX(Array_ElectricalChargeData,ROW()-16,COLUMN()*2-3))</f>
        <v/>
      </c>
      <c r="O135" t="str" cm="1">
        <f>IF(ISBLANK(INDEX(Array_ElectricalChargeData,ROW()-16,COLUMN()*2-3)),"",INDEX(Array_ElectricalChargeData,ROW()-16,COLUMN()*2-3))</f>
        <v/>
      </c>
      <c r="P135" t="str" cm="1">
        <f>IF(ISBLANK(INDEX(Array_ElectricalChargeData,ROW()-16,COLUMN()*2-3)),"",INDEX(Array_ElectricalChargeData,ROW()-16,COLUMN()*2-3))</f>
        <v/>
      </c>
    </row>
    <row r="136" spans="1:16" x14ac:dyDescent="0.35">
      <c r="A136" t="str">
        <f>IF('Electricity Meters'!B122="",A135,'Electricity Meters'!B122)</f>
        <v>Meter Numbers</v>
      </c>
      <c r="B136" t="str" cm="1">
        <f>IF(ISBLANK(INDEX(Array_ElectricalChargeData,ROW()-16,COLUMN()*2-3)),"",INDEX(Array_ElectricalChargeData,ROW()-16,COLUMN()*2-3))</f>
        <v/>
      </c>
      <c r="C136" t="str" cm="1">
        <f>IF(ISBLANK(INDEX(Array_ElectricalChargeData,ROW()-16,COLUMN()*2-3)),"",INDEX(Array_ElectricalChargeData,ROW()-16,COLUMN()*2-3))</f>
        <v/>
      </c>
      <c r="D136" t="str" cm="1">
        <f>IF(ISBLANK(INDEX(Array_ElectricalChargeData,ROW()-16,COLUMN()*2-3)),"",INDEX(Array_ElectricalChargeData,ROW()-16,COLUMN()*2-3))</f>
        <v/>
      </c>
      <c r="E136" t="str" cm="1">
        <f>IF(ISBLANK(INDEX(Array_ElectricalChargeData,ROW()-16,COLUMN()*2-3)),"",INDEX(Array_ElectricalChargeData,ROW()-16,COLUMN()*2-3))</f>
        <v/>
      </c>
      <c r="F136" t="str" cm="1">
        <f>IF(ISBLANK(INDEX(Array_ElectricalChargeData,ROW()-16,COLUMN()*2-3)),"",INDEX(Array_ElectricalChargeData,ROW()-16,COLUMN()*2-3))</f>
        <v/>
      </c>
      <c r="G136" t="str" cm="1">
        <f>IF(ISBLANK(INDEX(Array_ElectricalChargeData,ROW()-16,COLUMN()*2-3)),"",INDEX(Array_ElectricalChargeData,ROW()-16,COLUMN()*2-3))</f>
        <v/>
      </c>
      <c r="H136" t="str" cm="1">
        <f>IF(ISBLANK(INDEX(Array_ElectricalChargeData,ROW()-16,COLUMN()*2-3)),"",INDEX(Array_ElectricalChargeData,ROW()-16,COLUMN()*2-3))</f>
        <v/>
      </c>
      <c r="I136" t="str" cm="1">
        <f>IF(ISBLANK(INDEX(Array_ElectricalChargeData,ROW()-16,COLUMN()*2-3)),"",INDEX(Array_ElectricalChargeData,ROW()-16,COLUMN()*2-3))</f>
        <v/>
      </c>
      <c r="J136" t="str" cm="1">
        <f>IF(ISBLANK(INDEX(Array_ElectricalChargeData,ROW()-16,COLUMN()*2-3)),"",INDEX(Array_ElectricalChargeData,ROW()-16,COLUMN()*2-3))</f>
        <v/>
      </c>
      <c r="K136" t="str" cm="1">
        <f>IF(ISBLANK(INDEX(Array_ElectricalChargeData,ROW()-16,COLUMN()*2-3)),"",INDEX(Array_ElectricalChargeData,ROW()-16,COLUMN()*2-3))</f>
        <v/>
      </c>
      <c r="L136" t="str" cm="1">
        <f>IF(ISBLANK(INDEX(Array_ElectricalChargeData,ROW()-16,COLUMN()*2-3)),"",INDEX(Array_ElectricalChargeData,ROW()-16,COLUMN()*2-3))</f>
        <v/>
      </c>
      <c r="M136" t="str" cm="1">
        <f>IF(ISBLANK(INDEX(Array_ElectricalChargeData,ROW()-16,COLUMN()*2-3)),"",INDEX(Array_ElectricalChargeData,ROW()-16,COLUMN()*2-3))</f>
        <v/>
      </c>
      <c r="N136" t="str" cm="1">
        <f>IF(ISBLANK(INDEX(Array_ElectricalChargeData,ROW()-16,COLUMN()*2-3)),"",INDEX(Array_ElectricalChargeData,ROW()-16,COLUMN()*2-3))</f>
        <v/>
      </c>
      <c r="O136" t="str" cm="1">
        <f>IF(ISBLANK(INDEX(Array_ElectricalChargeData,ROW()-16,COLUMN()*2-3)),"",INDEX(Array_ElectricalChargeData,ROW()-16,COLUMN()*2-3))</f>
        <v/>
      </c>
      <c r="P136" t="str" cm="1">
        <f>IF(ISBLANK(INDEX(Array_ElectricalChargeData,ROW()-16,COLUMN()*2-3)),"",INDEX(Array_ElectricalChargeData,ROW()-16,COLUMN()*2-3))</f>
        <v/>
      </c>
    </row>
    <row r="137" spans="1:16" x14ac:dyDescent="0.35">
      <c r="A137" t="str">
        <f>IF('Electricity Meters'!B123="",A136,'Electricity Meters'!B123)</f>
        <v>Meter Numbers</v>
      </c>
      <c r="B137" t="str" cm="1">
        <f>IF(ISBLANK(INDEX(Array_ElectricalChargeData,ROW()-16,COLUMN()*2-3)),"",INDEX(Array_ElectricalChargeData,ROW()-16,COLUMN()*2-3))</f>
        <v/>
      </c>
      <c r="C137" t="str" cm="1">
        <f>IF(ISBLANK(INDEX(Array_ElectricalChargeData,ROW()-16,COLUMN()*2-3)),"",INDEX(Array_ElectricalChargeData,ROW()-16,COLUMN()*2-3))</f>
        <v/>
      </c>
      <c r="D137" t="str" cm="1">
        <f>IF(ISBLANK(INDEX(Array_ElectricalChargeData,ROW()-16,COLUMN()*2-3)),"",INDEX(Array_ElectricalChargeData,ROW()-16,COLUMN()*2-3))</f>
        <v/>
      </c>
      <c r="E137" t="str" cm="1">
        <f>IF(ISBLANK(INDEX(Array_ElectricalChargeData,ROW()-16,COLUMN()*2-3)),"",INDEX(Array_ElectricalChargeData,ROW()-16,COLUMN()*2-3))</f>
        <v/>
      </c>
      <c r="F137" t="str" cm="1">
        <f>IF(ISBLANK(INDEX(Array_ElectricalChargeData,ROW()-16,COLUMN()*2-3)),"",INDEX(Array_ElectricalChargeData,ROW()-16,COLUMN()*2-3))</f>
        <v/>
      </c>
      <c r="G137" t="str" cm="1">
        <f>IF(ISBLANK(INDEX(Array_ElectricalChargeData,ROW()-16,COLUMN()*2-3)),"",INDEX(Array_ElectricalChargeData,ROW()-16,COLUMN()*2-3))</f>
        <v/>
      </c>
      <c r="H137" t="str" cm="1">
        <f>IF(ISBLANK(INDEX(Array_ElectricalChargeData,ROW()-16,COLUMN()*2-3)),"",INDEX(Array_ElectricalChargeData,ROW()-16,COLUMN()*2-3))</f>
        <v/>
      </c>
      <c r="I137" t="str" cm="1">
        <f>IF(ISBLANK(INDEX(Array_ElectricalChargeData,ROW()-16,COLUMN()*2-3)),"",INDEX(Array_ElectricalChargeData,ROW()-16,COLUMN()*2-3))</f>
        <v/>
      </c>
      <c r="J137" t="str" cm="1">
        <f>IF(ISBLANK(INDEX(Array_ElectricalChargeData,ROW()-16,COLUMN()*2-3)),"",INDEX(Array_ElectricalChargeData,ROW()-16,COLUMN()*2-3))</f>
        <v/>
      </c>
      <c r="K137" t="str" cm="1">
        <f>IF(ISBLANK(INDEX(Array_ElectricalChargeData,ROW()-16,COLUMN()*2-3)),"",INDEX(Array_ElectricalChargeData,ROW()-16,COLUMN()*2-3))</f>
        <v/>
      </c>
      <c r="L137" t="str" cm="1">
        <f>IF(ISBLANK(INDEX(Array_ElectricalChargeData,ROW()-16,COLUMN()*2-3)),"",INDEX(Array_ElectricalChargeData,ROW()-16,COLUMN()*2-3))</f>
        <v/>
      </c>
      <c r="M137" t="str" cm="1">
        <f>IF(ISBLANK(INDEX(Array_ElectricalChargeData,ROW()-16,COLUMN()*2-3)),"",INDEX(Array_ElectricalChargeData,ROW()-16,COLUMN()*2-3))</f>
        <v/>
      </c>
      <c r="N137" t="str" cm="1">
        <f>IF(ISBLANK(INDEX(Array_ElectricalChargeData,ROW()-16,COLUMN()*2-3)),"",INDEX(Array_ElectricalChargeData,ROW()-16,COLUMN()*2-3))</f>
        <v/>
      </c>
      <c r="O137" t="str" cm="1">
        <f>IF(ISBLANK(INDEX(Array_ElectricalChargeData,ROW()-16,COLUMN()*2-3)),"",INDEX(Array_ElectricalChargeData,ROW()-16,COLUMN()*2-3))</f>
        <v/>
      </c>
      <c r="P137" t="str" cm="1">
        <f>IF(ISBLANK(INDEX(Array_ElectricalChargeData,ROW()-16,COLUMN()*2-3)),"",INDEX(Array_ElectricalChargeData,ROW()-16,COLUMN()*2-3))</f>
        <v/>
      </c>
    </row>
    <row r="138" spans="1:16" x14ac:dyDescent="0.35">
      <c r="A138" t="str">
        <f>IF('Electricity Meters'!B124="",A137,'Electricity Meters'!B124)</f>
        <v>Meter Numbers</v>
      </c>
      <c r="B138" t="str" cm="1">
        <f>IF(ISBLANK(INDEX(Array_ElectricalChargeData,ROW()-16,COLUMN()*2-3)),"",INDEX(Array_ElectricalChargeData,ROW()-16,COLUMN()*2-3))</f>
        <v/>
      </c>
      <c r="C138" t="str" cm="1">
        <f>IF(ISBLANK(INDEX(Array_ElectricalChargeData,ROW()-16,COLUMN()*2-3)),"",INDEX(Array_ElectricalChargeData,ROW()-16,COLUMN()*2-3))</f>
        <v/>
      </c>
      <c r="D138" t="str" cm="1">
        <f>IF(ISBLANK(INDEX(Array_ElectricalChargeData,ROW()-16,COLUMN()*2-3)),"",INDEX(Array_ElectricalChargeData,ROW()-16,COLUMN()*2-3))</f>
        <v/>
      </c>
      <c r="E138" t="str" cm="1">
        <f>IF(ISBLANK(INDEX(Array_ElectricalChargeData,ROW()-16,COLUMN()*2-3)),"",INDEX(Array_ElectricalChargeData,ROW()-16,COLUMN()*2-3))</f>
        <v/>
      </c>
      <c r="F138" t="str" cm="1">
        <f>IF(ISBLANK(INDEX(Array_ElectricalChargeData,ROW()-16,COLUMN()*2-3)),"",INDEX(Array_ElectricalChargeData,ROW()-16,COLUMN()*2-3))</f>
        <v/>
      </c>
      <c r="G138" t="str" cm="1">
        <f>IF(ISBLANK(INDEX(Array_ElectricalChargeData,ROW()-16,COLUMN()*2-3)),"",INDEX(Array_ElectricalChargeData,ROW()-16,COLUMN()*2-3))</f>
        <v/>
      </c>
      <c r="H138" t="str" cm="1">
        <f>IF(ISBLANK(INDEX(Array_ElectricalChargeData,ROW()-16,COLUMN()*2-3)),"",INDEX(Array_ElectricalChargeData,ROW()-16,COLUMN()*2-3))</f>
        <v/>
      </c>
      <c r="I138" t="str" cm="1">
        <f>IF(ISBLANK(INDEX(Array_ElectricalChargeData,ROW()-16,COLUMN()*2-3)),"",INDEX(Array_ElectricalChargeData,ROW()-16,COLUMN()*2-3))</f>
        <v/>
      </c>
      <c r="J138" t="str" cm="1">
        <f>IF(ISBLANK(INDEX(Array_ElectricalChargeData,ROW()-16,COLUMN()*2-3)),"",INDEX(Array_ElectricalChargeData,ROW()-16,COLUMN()*2-3))</f>
        <v/>
      </c>
      <c r="K138" t="str" cm="1">
        <f>IF(ISBLANK(INDEX(Array_ElectricalChargeData,ROW()-16,COLUMN()*2-3)),"",INDEX(Array_ElectricalChargeData,ROW()-16,COLUMN()*2-3))</f>
        <v/>
      </c>
      <c r="L138" t="str" cm="1">
        <f>IF(ISBLANK(INDEX(Array_ElectricalChargeData,ROW()-16,COLUMN()*2-3)),"",INDEX(Array_ElectricalChargeData,ROW()-16,COLUMN()*2-3))</f>
        <v/>
      </c>
      <c r="M138" t="str" cm="1">
        <f>IF(ISBLANK(INDEX(Array_ElectricalChargeData,ROW()-16,COLUMN()*2-3)),"",INDEX(Array_ElectricalChargeData,ROW()-16,COLUMN()*2-3))</f>
        <v/>
      </c>
      <c r="N138" t="str" cm="1">
        <f>IF(ISBLANK(INDEX(Array_ElectricalChargeData,ROW()-16,COLUMN()*2-3)),"",INDEX(Array_ElectricalChargeData,ROW()-16,COLUMN()*2-3))</f>
        <v/>
      </c>
      <c r="O138" t="str" cm="1">
        <f>IF(ISBLANK(INDEX(Array_ElectricalChargeData,ROW()-16,COLUMN()*2-3)),"",INDEX(Array_ElectricalChargeData,ROW()-16,COLUMN()*2-3))</f>
        <v/>
      </c>
      <c r="P138" t="str" cm="1">
        <f>IF(ISBLANK(INDEX(Array_ElectricalChargeData,ROW()-16,COLUMN()*2-3)),"",INDEX(Array_ElectricalChargeData,ROW()-16,COLUMN()*2-3))</f>
        <v/>
      </c>
    </row>
    <row r="139" spans="1:16" x14ac:dyDescent="0.35">
      <c r="A139" t="str">
        <f>IF('Electricity Meters'!B125="",A138,'Electricity Meters'!B125)</f>
        <v>Meter Numbers</v>
      </c>
      <c r="B139" t="str" cm="1">
        <f>IF(ISBLANK(INDEX(Array_ElectricalChargeData,ROW()-16,COLUMN()*2-3)),"",INDEX(Array_ElectricalChargeData,ROW()-16,COLUMN()*2-3))</f>
        <v/>
      </c>
      <c r="C139" t="str" cm="1">
        <f>IF(ISBLANK(INDEX(Array_ElectricalChargeData,ROW()-16,COLUMN()*2-3)),"",INDEX(Array_ElectricalChargeData,ROW()-16,COLUMN()*2-3))</f>
        <v/>
      </c>
      <c r="D139" t="str" cm="1">
        <f>IF(ISBLANK(INDEX(Array_ElectricalChargeData,ROW()-16,COLUMN()*2-3)),"",INDEX(Array_ElectricalChargeData,ROW()-16,COLUMN()*2-3))</f>
        <v/>
      </c>
      <c r="E139" t="str" cm="1">
        <f>IF(ISBLANK(INDEX(Array_ElectricalChargeData,ROW()-16,COLUMN()*2-3)),"",INDEX(Array_ElectricalChargeData,ROW()-16,COLUMN()*2-3))</f>
        <v/>
      </c>
      <c r="F139" t="str" cm="1">
        <f>IF(ISBLANK(INDEX(Array_ElectricalChargeData,ROW()-16,COLUMN()*2-3)),"",INDEX(Array_ElectricalChargeData,ROW()-16,COLUMN()*2-3))</f>
        <v/>
      </c>
      <c r="G139" t="str" cm="1">
        <f>IF(ISBLANK(INDEX(Array_ElectricalChargeData,ROW()-16,COLUMN()*2-3)),"",INDEX(Array_ElectricalChargeData,ROW()-16,COLUMN()*2-3))</f>
        <v/>
      </c>
      <c r="H139" t="str" cm="1">
        <f>IF(ISBLANK(INDEX(Array_ElectricalChargeData,ROW()-16,COLUMN()*2-3)),"",INDEX(Array_ElectricalChargeData,ROW()-16,COLUMN()*2-3))</f>
        <v/>
      </c>
      <c r="I139" t="str" cm="1">
        <f>IF(ISBLANK(INDEX(Array_ElectricalChargeData,ROW()-16,COLUMN()*2-3)),"",INDEX(Array_ElectricalChargeData,ROW()-16,COLUMN()*2-3))</f>
        <v/>
      </c>
      <c r="J139" t="str" cm="1">
        <f>IF(ISBLANK(INDEX(Array_ElectricalChargeData,ROW()-16,COLUMN()*2-3)),"",INDEX(Array_ElectricalChargeData,ROW()-16,COLUMN()*2-3))</f>
        <v/>
      </c>
      <c r="K139" t="str" cm="1">
        <f>IF(ISBLANK(INDEX(Array_ElectricalChargeData,ROW()-16,COLUMN()*2-3)),"",INDEX(Array_ElectricalChargeData,ROW()-16,COLUMN()*2-3))</f>
        <v/>
      </c>
      <c r="L139" t="str" cm="1">
        <f>IF(ISBLANK(INDEX(Array_ElectricalChargeData,ROW()-16,COLUMN()*2-3)),"",INDEX(Array_ElectricalChargeData,ROW()-16,COLUMN()*2-3))</f>
        <v/>
      </c>
      <c r="M139" t="str" cm="1">
        <f>IF(ISBLANK(INDEX(Array_ElectricalChargeData,ROW()-16,COLUMN()*2-3)),"",INDEX(Array_ElectricalChargeData,ROW()-16,COLUMN()*2-3))</f>
        <v/>
      </c>
      <c r="N139" t="str" cm="1">
        <f>IF(ISBLANK(INDEX(Array_ElectricalChargeData,ROW()-16,COLUMN()*2-3)),"",INDEX(Array_ElectricalChargeData,ROW()-16,COLUMN()*2-3))</f>
        <v/>
      </c>
      <c r="O139" t="str" cm="1">
        <f>IF(ISBLANK(INDEX(Array_ElectricalChargeData,ROW()-16,COLUMN()*2-3)),"",INDEX(Array_ElectricalChargeData,ROW()-16,COLUMN()*2-3))</f>
        <v/>
      </c>
      <c r="P139" t="str" cm="1">
        <f>IF(ISBLANK(INDEX(Array_ElectricalChargeData,ROW()-16,COLUMN()*2-3)),"",INDEX(Array_ElectricalChargeData,ROW()-16,COLUMN()*2-3))</f>
        <v/>
      </c>
    </row>
    <row r="140" spans="1:16" x14ac:dyDescent="0.35">
      <c r="A140" t="str">
        <f>IF('Electricity Meters'!B126="",A139,'Electricity Meters'!B126)</f>
        <v>Meter Numbers</v>
      </c>
      <c r="B140" t="str" cm="1">
        <f>IF(ISBLANK(INDEX(Array_ElectricalChargeData,ROW()-16,COLUMN()*2-3)),"",INDEX(Array_ElectricalChargeData,ROW()-16,COLUMN()*2-3))</f>
        <v/>
      </c>
      <c r="C140" t="str" cm="1">
        <f>IF(ISBLANK(INDEX(Array_ElectricalChargeData,ROW()-16,COLUMN()*2-3)),"",INDEX(Array_ElectricalChargeData,ROW()-16,COLUMN()*2-3))</f>
        <v/>
      </c>
      <c r="D140" t="str" cm="1">
        <f>IF(ISBLANK(INDEX(Array_ElectricalChargeData,ROW()-16,COLUMN()*2-3)),"",INDEX(Array_ElectricalChargeData,ROW()-16,COLUMN()*2-3))</f>
        <v/>
      </c>
      <c r="E140" t="str" cm="1">
        <f>IF(ISBLANK(INDEX(Array_ElectricalChargeData,ROW()-16,COLUMN()*2-3)),"",INDEX(Array_ElectricalChargeData,ROW()-16,COLUMN()*2-3))</f>
        <v/>
      </c>
      <c r="F140" t="str" cm="1">
        <f>IF(ISBLANK(INDEX(Array_ElectricalChargeData,ROW()-16,COLUMN()*2-3)),"",INDEX(Array_ElectricalChargeData,ROW()-16,COLUMN()*2-3))</f>
        <v/>
      </c>
      <c r="G140" t="str" cm="1">
        <f>IF(ISBLANK(INDEX(Array_ElectricalChargeData,ROW()-16,COLUMN()*2-3)),"",INDEX(Array_ElectricalChargeData,ROW()-16,COLUMN()*2-3))</f>
        <v/>
      </c>
      <c r="H140" t="str" cm="1">
        <f>IF(ISBLANK(INDEX(Array_ElectricalChargeData,ROW()-16,COLUMN()*2-3)),"",INDEX(Array_ElectricalChargeData,ROW()-16,COLUMN()*2-3))</f>
        <v/>
      </c>
      <c r="I140" t="str" cm="1">
        <f>IF(ISBLANK(INDEX(Array_ElectricalChargeData,ROW()-16,COLUMN()*2-3)),"",INDEX(Array_ElectricalChargeData,ROW()-16,COLUMN()*2-3))</f>
        <v/>
      </c>
      <c r="J140" t="str" cm="1">
        <f>IF(ISBLANK(INDEX(Array_ElectricalChargeData,ROW()-16,COLUMN()*2-3)),"",INDEX(Array_ElectricalChargeData,ROW()-16,COLUMN()*2-3))</f>
        <v/>
      </c>
      <c r="K140" t="str" cm="1">
        <f>IF(ISBLANK(INDEX(Array_ElectricalChargeData,ROW()-16,COLUMN()*2-3)),"",INDEX(Array_ElectricalChargeData,ROW()-16,COLUMN()*2-3))</f>
        <v/>
      </c>
      <c r="L140" t="str" cm="1">
        <f>IF(ISBLANK(INDEX(Array_ElectricalChargeData,ROW()-16,COLUMN()*2-3)),"",INDEX(Array_ElectricalChargeData,ROW()-16,COLUMN()*2-3))</f>
        <v/>
      </c>
      <c r="M140" t="str" cm="1">
        <f>IF(ISBLANK(INDEX(Array_ElectricalChargeData,ROW()-16,COLUMN()*2-3)),"",INDEX(Array_ElectricalChargeData,ROW()-16,COLUMN()*2-3))</f>
        <v/>
      </c>
      <c r="N140" t="str" cm="1">
        <f>IF(ISBLANK(INDEX(Array_ElectricalChargeData,ROW()-16,COLUMN()*2-3)),"",INDEX(Array_ElectricalChargeData,ROW()-16,COLUMN()*2-3))</f>
        <v/>
      </c>
      <c r="O140" t="str" cm="1">
        <f>IF(ISBLANK(INDEX(Array_ElectricalChargeData,ROW()-16,COLUMN()*2-3)),"",INDEX(Array_ElectricalChargeData,ROW()-16,COLUMN()*2-3))</f>
        <v/>
      </c>
      <c r="P140" t="str" cm="1">
        <f>IF(ISBLANK(INDEX(Array_ElectricalChargeData,ROW()-16,COLUMN()*2-3)),"",INDEX(Array_ElectricalChargeData,ROW()-16,COLUMN()*2-3))</f>
        <v/>
      </c>
    </row>
    <row r="141" spans="1:16" x14ac:dyDescent="0.35">
      <c r="A141" t="str">
        <f>IF('Electricity Meters'!B127="",A140,'Electricity Meters'!B127)</f>
        <v>Meter Numbers</v>
      </c>
      <c r="B141" t="str" cm="1">
        <f>IF(ISBLANK(INDEX(Array_ElectricalChargeData,ROW()-16,COLUMN()*2-3)),"",INDEX(Array_ElectricalChargeData,ROW()-16,COLUMN()*2-3))</f>
        <v/>
      </c>
      <c r="C141" t="str" cm="1">
        <f>IF(ISBLANK(INDEX(Array_ElectricalChargeData,ROW()-16,COLUMN()*2-3)),"",INDEX(Array_ElectricalChargeData,ROW()-16,COLUMN()*2-3))</f>
        <v/>
      </c>
      <c r="D141" t="str" cm="1">
        <f>IF(ISBLANK(INDEX(Array_ElectricalChargeData,ROW()-16,COLUMN()*2-3)),"",INDEX(Array_ElectricalChargeData,ROW()-16,COLUMN()*2-3))</f>
        <v/>
      </c>
      <c r="E141" t="str" cm="1">
        <f>IF(ISBLANK(INDEX(Array_ElectricalChargeData,ROW()-16,COLUMN()*2-3)),"",INDEX(Array_ElectricalChargeData,ROW()-16,COLUMN()*2-3))</f>
        <v/>
      </c>
      <c r="F141" t="str" cm="1">
        <f>IF(ISBLANK(INDEX(Array_ElectricalChargeData,ROW()-16,COLUMN()*2-3)),"",INDEX(Array_ElectricalChargeData,ROW()-16,COLUMN()*2-3))</f>
        <v/>
      </c>
      <c r="G141" t="str" cm="1">
        <f>IF(ISBLANK(INDEX(Array_ElectricalChargeData,ROW()-16,COLUMN()*2-3)),"",INDEX(Array_ElectricalChargeData,ROW()-16,COLUMN()*2-3))</f>
        <v/>
      </c>
      <c r="H141" t="str" cm="1">
        <f>IF(ISBLANK(INDEX(Array_ElectricalChargeData,ROW()-16,COLUMN()*2-3)),"",INDEX(Array_ElectricalChargeData,ROW()-16,COLUMN()*2-3))</f>
        <v/>
      </c>
      <c r="I141" t="str" cm="1">
        <f>IF(ISBLANK(INDEX(Array_ElectricalChargeData,ROW()-16,COLUMN()*2-3)),"",INDEX(Array_ElectricalChargeData,ROW()-16,COLUMN()*2-3))</f>
        <v/>
      </c>
      <c r="J141" t="str" cm="1">
        <f>IF(ISBLANK(INDEX(Array_ElectricalChargeData,ROW()-16,COLUMN()*2-3)),"",INDEX(Array_ElectricalChargeData,ROW()-16,COLUMN()*2-3))</f>
        <v/>
      </c>
      <c r="K141" t="str" cm="1">
        <f>IF(ISBLANK(INDEX(Array_ElectricalChargeData,ROW()-16,COLUMN()*2-3)),"",INDEX(Array_ElectricalChargeData,ROW()-16,COLUMN()*2-3))</f>
        <v/>
      </c>
      <c r="L141" t="str" cm="1">
        <f>IF(ISBLANK(INDEX(Array_ElectricalChargeData,ROW()-16,COLUMN()*2-3)),"",INDEX(Array_ElectricalChargeData,ROW()-16,COLUMN()*2-3))</f>
        <v/>
      </c>
      <c r="M141" t="str" cm="1">
        <f>IF(ISBLANK(INDEX(Array_ElectricalChargeData,ROW()-16,COLUMN()*2-3)),"",INDEX(Array_ElectricalChargeData,ROW()-16,COLUMN()*2-3))</f>
        <v/>
      </c>
      <c r="N141" t="str" cm="1">
        <f>IF(ISBLANK(INDEX(Array_ElectricalChargeData,ROW()-16,COLUMN()*2-3)),"",INDEX(Array_ElectricalChargeData,ROW()-16,COLUMN()*2-3))</f>
        <v/>
      </c>
      <c r="O141" t="str" cm="1">
        <f>IF(ISBLANK(INDEX(Array_ElectricalChargeData,ROW()-16,COLUMN()*2-3)),"",INDEX(Array_ElectricalChargeData,ROW()-16,COLUMN()*2-3))</f>
        <v/>
      </c>
      <c r="P141" t="str" cm="1">
        <f>IF(ISBLANK(INDEX(Array_ElectricalChargeData,ROW()-16,COLUMN()*2-3)),"",INDEX(Array_ElectricalChargeData,ROW()-16,COLUMN()*2-3))</f>
        <v/>
      </c>
    </row>
    <row r="142" spans="1:16" x14ac:dyDescent="0.35">
      <c r="A142" t="str">
        <f>IF('Electricity Meters'!B128="",A141,'Electricity Meters'!B128)</f>
        <v>Meter Numbers</v>
      </c>
      <c r="B142" t="str" cm="1">
        <f>IF(ISBLANK(INDEX(Array_ElectricalChargeData,ROW()-16,COLUMN()*2-3)),"",INDEX(Array_ElectricalChargeData,ROW()-16,COLUMN()*2-3))</f>
        <v/>
      </c>
      <c r="C142" t="str" cm="1">
        <f>IF(ISBLANK(INDEX(Array_ElectricalChargeData,ROW()-16,COLUMN()*2-3)),"",INDEX(Array_ElectricalChargeData,ROW()-16,COLUMN()*2-3))</f>
        <v/>
      </c>
      <c r="D142" t="str" cm="1">
        <f>IF(ISBLANK(INDEX(Array_ElectricalChargeData,ROW()-16,COLUMN()*2-3)),"",INDEX(Array_ElectricalChargeData,ROW()-16,COLUMN()*2-3))</f>
        <v/>
      </c>
      <c r="E142" t="str" cm="1">
        <f>IF(ISBLANK(INDEX(Array_ElectricalChargeData,ROW()-16,COLUMN()*2-3)),"",INDEX(Array_ElectricalChargeData,ROW()-16,COLUMN()*2-3))</f>
        <v/>
      </c>
      <c r="F142" t="str" cm="1">
        <f>IF(ISBLANK(INDEX(Array_ElectricalChargeData,ROW()-16,COLUMN()*2-3)),"",INDEX(Array_ElectricalChargeData,ROW()-16,COLUMN()*2-3))</f>
        <v/>
      </c>
      <c r="G142" t="str" cm="1">
        <f>IF(ISBLANK(INDEX(Array_ElectricalChargeData,ROW()-16,COLUMN()*2-3)),"",INDEX(Array_ElectricalChargeData,ROW()-16,COLUMN()*2-3))</f>
        <v/>
      </c>
      <c r="H142" t="str" cm="1">
        <f>IF(ISBLANK(INDEX(Array_ElectricalChargeData,ROW()-16,COLUMN()*2-3)),"",INDEX(Array_ElectricalChargeData,ROW()-16,COLUMN()*2-3))</f>
        <v/>
      </c>
      <c r="I142" t="str" cm="1">
        <f>IF(ISBLANK(INDEX(Array_ElectricalChargeData,ROW()-16,COLUMN()*2-3)),"",INDEX(Array_ElectricalChargeData,ROW()-16,COLUMN()*2-3))</f>
        <v/>
      </c>
      <c r="J142" t="str" cm="1">
        <f>IF(ISBLANK(INDEX(Array_ElectricalChargeData,ROW()-16,COLUMN()*2-3)),"",INDEX(Array_ElectricalChargeData,ROW()-16,COLUMN()*2-3))</f>
        <v/>
      </c>
      <c r="K142" t="str" cm="1">
        <f>IF(ISBLANK(INDEX(Array_ElectricalChargeData,ROW()-16,COLUMN()*2-3)),"",INDEX(Array_ElectricalChargeData,ROW()-16,COLUMN()*2-3))</f>
        <v/>
      </c>
      <c r="L142" t="str" cm="1">
        <f>IF(ISBLANK(INDEX(Array_ElectricalChargeData,ROW()-16,COLUMN()*2-3)),"",INDEX(Array_ElectricalChargeData,ROW()-16,COLUMN()*2-3))</f>
        <v/>
      </c>
      <c r="M142" t="str" cm="1">
        <f>IF(ISBLANK(INDEX(Array_ElectricalChargeData,ROW()-16,COLUMN()*2-3)),"",INDEX(Array_ElectricalChargeData,ROW()-16,COLUMN()*2-3))</f>
        <v/>
      </c>
      <c r="N142" t="str" cm="1">
        <f>IF(ISBLANK(INDEX(Array_ElectricalChargeData,ROW()-16,COLUMN()*2-3)),"",INDEX(Array_ElectricalChargeData,ROW()-16,COLUMN()*2-3))</f>
        <v/>
      </c>
      <c r="O142" t="str" cm="1">
        <f>IF(ISBLANK(INDEX(Array_ElectricalChargeData,ROW()-16,COLUMN()*2-3)),"",INDEX(Array_ElectricalChargeData,ROW()-16,COLUMN()*2-3))</f>
        <v/>
      </c>
      <c r="P142" t="str" cm="1">
        <f>IF(ISBLANK(INDEX(Array_ElectricalChargeData,ROW()-16,COLUMN()*2-3)),"",INDEX(Array_ElectricalChargeData,ROW()-16,COLUMN()*2-3))</f>
        <v/>
      </c>
    </row>
    <row r="143" spans="1:16" x14ac:dyDescent="0.35">
      <c r="A143" t="str">
        <f>IF('Electricity Meters'!B129="",A142,'Electricity Meters'!B129)</f>
        <v>Meter Numbers</v>
      </c>
      <c r="B143" t="str" cm="1">
        <f>IF(ISBLANK(INDEX(Array_ElectricalChargeData,ROW()-16,COLUMN()*2-3)),"",INDEX(Array_ElectricalChargeData,ROW()-16,COLUMN()*2-3))</f>
        <v/>
      </c>
      <c r="C143" t="str" cm="1">
        <f>IF(ISBLANK(INDEX(Array_ElectricalChargeData,ROW()-16,COLUMN()*2-3)),"",INDEX(Array_ElectricalChargeData,ROW()-16,COLUMN()*2-3))</f>
        <v/>
      </c>
      <c r="D143" t="str" cm="1">
        <f>IF(ISBLANK(INDEX(Array_ElectricalChargeData,ROW()-16,COLUMN()*2-3)),"",INDEX(Array_ElectricalChargeData,ROW()-16,COLUMN()*2-3))</f>
        <v/>
      </c>
      <c r="E143" t="str" cm="1">
        <f>IF(ISBLANK(INDEX(Array_ElectricalChargeData,ROW()-16,COLUMN()*2-3)),"",INDEX(Array_ElectricalChargeData,ROW()-16,COLUMN()*2-3))</f>
        <v/>
      </c>
      <c r="F143" t="str" cm="1">
        <f>IF(ISBLANK(INDEX(Array_ElectricalChargeData,ROW()-16,COLUMN()*2-3)),"",INDEX(Array_ElectricalChargeData,ROW()-16,COLUMN()*2-3))</f>
        <v/>
      </c>
      <c r="G143" t="str" cm="1">
        <f>IF(ISBLANK(INDEX(Array_ElectricalChargeData,ROW()-16,COLUMN()*2-3)),"",INDEX(Array_ElectricalChargeData,ROW()-16,COLUMN()*2-3))</f>
        <v/>
      </c>
      <c r="H143" t="str" cm="1">
        <f>IF(ISBLANK(INDEX(Array_ElectricalChargeData,ROW()-16,COLUMN()*2-3)),"",INDEX(Array_ElectricalChargeData,ROW()-16,COLUMN()*2-3))</f>
        <v/>
      </c>
      <c r="I143" t="str" cm="1">
        <f>IF(ISBLANK(INDEX(Array_ElectricalChargeData,ROW()-16,COLUMN()*2-3)),"",INDEX(Array_ElectricalChargeData,ROW()-16,COLUMN()*2-3))</f>
        <v/>
      </c>
      <c r="J143" t="str" cm="1">
        <f>IF(ISBLANK(INDEX(Array_ElectricalChargeData,ROW()-16,COLUMN()*2-3)),"",INDEX(Array_ElectricalChargeData,ROW()-16,COLUMN()*2-3))</f>
        <v/>
      </c>
      <c r="K143" t="str" cm="1">
        <f>IF(ISBLANK(INDEX(Array_ElectricalChargeData,ROW()-16,COLUMN()*2-3)),"",INDEX(Array_ElectricalChargeData,ROW()-16,COLUMN()*2-3))</f>
        <v/>
      </c>
      <c r="L143" t="str" cm="1">
        <f>IF(ISBLANK(INDEX(Array_ElectricalChargeData,ROW()-16,COLUMN()*2-3)),"",INDEX(Array_ElectricalChargeData,ROW()-16,COLUMN()*2-3))</f>
        <v/>
      </c>
      <c r="M143" t="str" cm="1">
        <f>IF(ISBLANK(INDEX(Array_ElectricalChargeData,ROW()-16,COLUMN()*2-3)),"",INDEX(Array_ElectricalChargeData,ROW()-16,COLUMN()*2-3))</f>
        <v/>
      </c>
      <c r="N143" t="str" cm="1">
        <f>IF(ISBLANK(INDEX(Array_ElectricalChargeData,ROW()-16,COLUMN()*2-3)),"",INDEX(Array_ElectricalChargeData,ROW()-16,COLUMN()*2-3))</f>
        <v/>
      </c>
      <c r="O143" t="str" cm="1">
        <f>IF(ISBLANK(INDEX(Array_ElectricalChargeData,ROW()-16,COLUMN()*2-3)),"",INDEX(Array_ElectricalChargeData,ROW()-16,COLUMN()*2-3))</f>
        <v/>
      </c>
      <c r="P143" t="str" cm="1">
        <f>IF(ISBLANK(INDEX(Array_ElectricalChargeData,ROW()-16,COLUMN()*2-3)),"",INDEX(Array_ElectricalChargeData,ROW()-16,COLUMN()*2-3))</f>
        <v/>
      </c>
    </row>
    <row r="144" spans="1:16" x14ac:dyDescent="0.35">
      <c r="A144" t="str">
        <f>IF('Electricity Meters'!B130="",A143,'Electricity Meters'!B130)</f>
        <v>Meter Numbers</v>
      </c>
      <c r="B144" t="str" cm="1">
        <f>IF(ISBLANK(INDEX(Array_ElectricalChargeData,ROW()-16,COLUMN()*2-3)),"",INDEX(Array_ElectricalChargeData,ROW()-16,COLUMN()*2-3))</f>
        <v/>
      </c>
      <c r="C144" t="str" cm="1">
        <f>IF(ISBLANK(INDEX(Array_ElectricalChargeData,ROW()-16,COLUMN()*2-3)),"",INDEX(Array_ElectricalChargeData,ROW()-16,COLUMN()*2-3))</f>
        <v/>
      </c>
      <c r="D144" t="str" cm="1">
        <f>IF(ISBLANK(INDEX(Array_ElectricalChargeData,ROW()-16,COLUMN()*2-3)),"",INDEX(Array_ElectricalChargeData,ROW()-16,COLUMN()*2-3))</f>
        <v/>
      </c>
      <c r="E144" t="str" cm="1">
        <f>IF(ISBLANK(INDEX(Array_ElectricalChargeData,ROW()-16,COLUMN()*2-3)),"",INDEX(Array_ElectricalChargeData,ROW()-16,COLUMN()*2-3))</f>
        <v/>
      </c>
      <c r="F144" t="str" cm="1">
        <f>IF(ISBLANK(INDEX(Array_ElectricalChargeData,ROW()-16,COLUMN()*2-3)),"",INDEX(Array_ElectricalChargeData,ROW()-16,COLUMN()*2-3))</f>
        <v/>
      </c>
      <c r="G144" t="str" cm="1">
        <f>IF(ISBLANK(INDEX(Array_ElectricalChargeData,ROW()-16,COLUMN()*2-3)),"",INDEX(Array_ElectricalChargeData,ROW()-16,COLUMN()*2-3))</f>
        <v/>
      </c>
      <c r="H144" t="str" cm="1">
        <f>IF(ISBLANK(INDEX(Array_ElectricalChargeData,ROW()-16,COLUMN()*2-3)),"",INDEX(Array_ElectricalChargeData,ROW()-16,COLUMN()*2-3))</f>
        <v/>
      </c>
      <c r="I144" t="str" cm="1">
        <f>IF(ISBLANK(INDEX(Array_ElectricalChargeData,ROW()-16,COLUMN()*2-3)),"",INDEX(Array_ElectricalChargeData,ROW()-16,COLUMN()*2-3))</f>
        <v/>
      </c>
      <c r="J144" t="str" cm="1">
        <f>IF(ISBLANK(INDEX(Array_ElectricalChargeData,ROW()-16,COLUMN()*2-3)),"",INDEX(Array_ElectricalChargeData,ROW()-16,COLUMN()*2-3))</f>
        <v/>
      </c>
      <c r="K144" t="str" cm="1">
        <f>IF(ISBLANK(INDEX(Array_ElectricalChargeData,ROW()-16,COLUMN()*2-3)),"",INDEX(Array_ElectricalChargeData,ROW()-16,COLUMN()*2-3))</f>
        <v/>
      </c>
      <c r="L144" t="str" cm="1">
        <f>IF(ISBLANK(INDEX(Array_ElectricalChargeData,ROW()-16,COLUMN()*2-3)),"",INDEX(Array_ElectricalChargeData,ROW()-16,COLUMN()*2-3))</f>
        <v/>
      </c>
      <c r="M144" t="str" cm="1">
        <f>IF(ISBLANK(INDEX(Array_ElectricalChargeData,ROW()-16,COLUMN()*2-3)),"",INDEX(Array_ElectricalChargeData,ROW()-16,COLUMN()*2-3))</f>
        <v/>
      </c>
      <c r="N144" t="str" cm="1">
        <f>IF(ISBLANK(INDEX(Array_ElectricalChargeData,ROW()-16,COLUMN()*2-3)),"",INDEX(Array_ElectricalChargeData,ROW()-16,COLUMN()*2-3))</f>
        <v/>
      </c>
      <c r="O144" t="str" cm="1">
        <f>IF(ISBLANK(INDEX(Array_ElectricalChargeData,ROW()-16,COLUMN()*2-3)),"",INDEX(Array_ElectricalChargeData,ROW()-16,COLUMN()*2-3))</f>
        <v/>
      </c>
      <c r="P144" t="str" cm="1">
        <f>IF(ISBLANK(INDEX(Array_ElectricalChargeData,ROW()-16,COLUMN()*2-3)),"",INDEX(Array_ElectricalChargeData,ROW()-16,COLUMN()*2-3))</f>
        <v/>
      </c>
    </row>
    <row r="145" spans="1:16" x14ac:dyDescent="0.35">
      <c r="A145" t="str">
        <f>IF('Electricity Meters'!B131="",A144,'Electricity Meters'!B131)</f>
        <v>Meter Numbers</v>
      </c>
      <c r="B145" t="str" cm="1">
        <f>IF(ISBLANK(INDEX(Array_ElectricalChargeData,ROW()-16,COLUMN()*2-3)),"",INDEX(Array_ElectricalChargeData,ROW()-16,COLUMN()*2-3))</f>
        <v/>
      </c>
      <c r="C145" t="str" cm="1">
        <f>IF(ISBLANK(INDEX(Array_ElectricalChargeData,ROW()-16,COLUMN()*2-3)),"",INDEX(Array_ElectricalChargeData,ROW()-16,COLUMN()*2-3))</f>
        <v/>
      </c>
      <c r="D145" t="str" cm="1">
        <f>IF(ISBLANK(INDEX(Array_ElectricalChargeData,ROW()-16,COLUMN()*2-3)),"",INDEX(Array_ElectricalChargeData,ROW()-16,COLUMN()*2-3))</f>
        <v/>
      </c>
      <c r="E145" t="str" cm="1">
        <f>IF(ISBLANK(INDEX(Array_ElectricalChargeData,ROW()-16,COLUMN()*2-3)),"",INDEX(Array_ElectricalChargeData,ROW()-16,COLUMN()*2-3))</f>
        <v/>
      </c>
      <c r="F145" t="str" cm="1">
        <f>IF(ISBLANK(INDEX(Array_ElectricalChargeData,ROW()-16,COLUMN()*2-3)),"",INDEX(Array_ElectricalChargeData,ROW()-16,COLUMN()*2-3))</f>
        <v/>
      </c>
      <c r="G145" t="str" cm="1">
        <f>IF(ISBLANK(INDEX(Array_ElectricalChargeData,ROW()-16,COLUMN()*2-3)),"",INDEX(Array_ElectricalChargeData,ROW()-16,COLUMN()*2-3))</f>
        <v/>
      </c>
      <c r="H145" t="str" cm="1">
        <f>IF(ISBLANK(INDEX(Array_ElectricalChargeData,ROW()-16,COLUMN()*2-3)),"",INDEX(Array_ElectricalChargeData,ROW()-16,COLUMN()*2-3))</f>
        <v/>
      </c>
      <c r="I145" t="str" cm="1">
        <f>IF(ISBLANK(INDEX(Array_ElectricalChargeData,ROW()-16,COLUMN()*2-3)),"",INDEX(Array_ElectricalChargeData,ROW()-16,COLUMN()*2-3))</f>
        <v/>
      </c>
      <c r="J145" t="str" cm="1">
        <f>IF(ISBLANK(INDEX(Array_ElectricalChargeData,ROW()-16,COLUMN()*2-3)),"",INDEX(Array_ElectricalChargeData,ROW()-16,COLUMN()*2-3))</f>
        <v/>
      </c>
      <c r="K145" t="str" cm="1">
        <f>IF(ISBLANK(INDEX(Array_ElectricalChargeData,ROW()-16,COLUMN()*2-3)),"",INDEX(Array_ElectricalChargeData,ROW()-16,COLUMN()*2-3))</f>
        <v/>
      </c>
      <c r="L145" t="str" cm="1">
        <f>IF(ISBLANK(INDEX(Array_ElectricalChargeData,ROW()-16,COLUMN()*2-3)),"",INDEX(Array_ElectricalChargeData,ROW()-16,COLUMN()*2-3))</f>
        <v/>
      </c>
      <c r="M145" t="str" cm="1">
        <f>IF(ISBLANK(INDEX(Array_ElectricalChargeData,ROW()-16,COLUMN()*2-3)),"",INDEX(Array_ElectricalChargeData,ROW()-16,COLUMN()*2-3))</f>
        <v/>
      </c>
      <c r="N145" t="str" cm="1">
        <f>IF(ISBLANK(INDEX(Array_ElectricalChargeData,ROW()-16,COLUMN()*2-3)),"",INDEX(Array_ElectricalChargeData,ROW()-16,COLUMN()*2-3))</f>
        <v/>
      </c>
      <c r="O145" t="str" cm="1">
        <f>IF(ISBLANK(INDEX(Array_ElectricalChargeData,ROW()-16,COLUMN()*2-3)),"",INDEX(Array_ElectricalChargeData,ROW()-16,COLUMN()*2-3))</f>
        <v/>
      </c>
      <c r="P145" t="str" cm="1">
        <f>IF(ISBLANK(INDEX(Array_ElectricalChargeData,ROW()-16,COLUMN()*2-3)),"",INDEX(Array_ElectricalChargeData,ROW()-16,COLUMN()*2-3))</f>
        <v/>
      </c>
    </row>
    <row r="146" spans="1:16" x14ac:dyDescent="0.35">
      <c r="A146" t="str">
        <f>IF('Electricity Meters'!B132="",A145,'Electricity Meters'!B132)</f>
        <v>Meter Numbers</v>
      </c>
      <c r="B146" t="str" cm="1">
        <f>IF(ISBLANK(INDEX(Array_ElectricalChargeData,ROW()-16,COLUMN()*2-3)),"",INDEX(Array_ElectricalChargeData,ROW()-16,COLUMN()*2-3))</f>
        <v/>
      </c>
      <c r="C146" t="str" cm="1">
        <f>IF(ISBLANK(INDEX(Array_ElectricalChargeData,ROW()-16,COLUMN()*2-3)),"",INDEX(Array_ElectricalChargeData,ROW()-16,COLUMN()*2-3))</f>
        <v/>
      </c>
      <c r="D146" t="str" cm="1">
        <f>IF(ISBLANK(INDEX(Array_ElectricalChargeData,ROW()-16,COLUMN()*2-3)),"",INDEX(Array_ElectricalChargeData,ROW()-16,COLUMN()*2-3))</f>
        <v/>
      </c>
      <c r="E146" t="str" cm="1">
        <f>IF(ISBLANK(INDEX(Array_ElectricalChargeData,ROW()-16,COLUMN()*2-3)),"",INDEX(Array_ElectricalChargeData,ROW()-16,COLUMN()*2-3))</f>
        <v/>
      </c>
      <c r="F146" t="str" cm="1">
        <f>IF(ISBLANK(INDEX(Array_ElectricalChargeData,ROW()-16,COLUMN()*2-3)),"",INDEX(Array_ElectricalChargeData,ROW()-16,COLUMN()*2-3))</f>
        <v/>
      </c>
      <c r="G146" t="str" cm="1">
        <f>IF(ISBLANK(INDEX(Array_ElectricalChargeData,ROW()-16,COLUMN()*2-3)),"",INDEX(Array_ElectricalChargeData,ROW()-16,COLUMN()*2-3))</f>
        <v/>
      </c>
      <c r="H146" t="str" cm="1">
        <f>IF(ISBLANK(INDEX(Array_ElectricalChargeData,ROW()-16,COLUMN()*2-3)),"",INDEX(Array_ElectricalChargeData,ROW()-16,COLUMN()*2-3))</f>
        <v/>
      </c>
      <c r="I146" t="str" cm="1">
        <f>IF(ISBLANK(INDEX(Array_ElectricalChargeData,ROW()-16,COLUMN()*2-3)),"",INDEX(Array_ElectricalChargeData,ROW()-16,COLUMN()*2-3))</f>
        <v/>
      </c>
      <c r="J146" t="str" cm="1">
        <f>IF(ISBLANK(INDEX(Array_ElectricalChargeData,ROW()-16,COLUMN()*2-3)),"",INDEX(Array_ElectricalChargeData,ROW()-16,COLUMN()*2-3))</f>
        <v/>
      </c>
      <c r="K146" t="str" cm="1">
        <f>IF(ISBLANK(INDEX(Array_ElectricalChargeData,ROW()-16,COLUMN()*2-3)),"",INDEX(Array_ElectricalChargeData,ROW()-16,COLUMN()*2-3))</f>
        <v/>
      </c>
      <c r="L146" t="str" cm="1">
        <f>IF(ISBLANK(INDEX(Array_ElectricalChargeData,ROW()-16,COLUMN()*2-3)),"",INDEX(Array_ElectricalChargeData,ROW()-16,COLUMN()*2-3))</f>
        <v/>
      </c>
      <c r="M146" t="str" cm="1">
        <f>IF(ISBLANK(INDEX(Array_ElectricalChargeData,ROW()-16,COLUMN()*2-3)),"",INDEX(Array_ElectricalChargeData,ROW()-16,COLUMN()*2-3))</f>
        <v/>
      </c>
      <c r="N146" t="str" cm="1">
        <f>IF(ISBLANK(INDEX(Array_ElectricalChargeData,ROW()-16,COLUMN()*2-3)),"",INDEX(Array_ElectricalChargeData,ROW()-16,COLUMN()*2-3))</f>
        <v/>
      </c>
      <c r="O146" t="str" cm="1">
        <f>IF(ISBLANK(INDEX(Array_ElectricalChargeData,ROW()-16,COLUMN()*2-3)),"",INDEX(Array_ElectricalChargeData,ROW()-16,COLUMN()*2-3))</f>
        <v/>
      </c>
      <c r="P146" t="str" cm="1">
        <f>IF(ISBLANK(INDEX(Array_ElectricalChargeData,ROW()-16,COLUMN()*2-3)),"",INDEX(Array_ElectricalChargeData,ROW()-16,COLUMN()*2-3))</f>
        <v/>
      </c>
    </row>
    <row r="147" spans="1:16" x14ac:dyDescent="0.35">
      <c r="A147" t="str">
        <f>IF('Electricity Meters'!B133="",A146,'Electricity Meters'!B133)</f>
        <v>Meter Numbers</v>
      </c>
      <c r="B147" t="str" cm="1">
        <f>IF(ISBLANK(INDEX(Array_ElectricalChargeData,ROW()-16,COLUMN()*2-3)),"",INDEX(Array_ElectricalChargeData,ROW()-16,COLUMN()*2-3))</f>
        <v/>
      </c>
      <c r="C147" t="str" cm="1">
        <f>IF(ISBLANK(INDEX(Array_ElectricalChargeData,ROW()-16,COLUMN()*2-3)),"",INDEX(Array_ElectricalChargeData,ROW()-16,COLUMN()*2-3))</f>
        <v/>
      </c>
      <c r="D147" t="str" cm="1">
        <f>IF(ISBLANK(INDEX(Array_ElectricalChargeData,ROW()-16,COLUMN()*2-3)),"",INDEX(Array_ElectricalChargeData,ROW()-16,COLUMN()*2-3))</f>
        <v/>
      </c>
      <c r="E147" t="str" cm="1">
        <f>IF(ISBLANK(INDEX(Array_ElectricalChargeData,ROW()-16,COLUMN()*2-3)),"",INDEX(Array_ElectricalChargeData,ROW()-16,COLUMN()*2-3))</f>
        <v/>
      </c>
      <c r="F147" t="str" cm="1">
        <f>IF(ISBLANK(INDEX(Array_ElectricalChargeData,ROW()-16,COLUMN()*2-3)),"",INDEX(Array_ElectricalChargeData,ROW()-16,COLUMN()*2-3))</f>
        <v/>
      </c>
      <c r="G147" t="str" cm="1">
        <f>IF(ISBLANK(INDEX(Array_ElectricalChargeData,ROW()-16,COLUMN()*2-3)),"",INDEX(Array_ElectricalChargeData,ROW()-16,COLUMN()*2-3))</f>
        <v/>
      </c>
      <c r="H147" t="str" cm="1">
        <f>IF(ISBLANK(INDEX(Array_ElectricalChargeData,ROW()-16,COLUMN()*2-3)),"",INDEX(Array_ElectricalChargeData,ROW()-16,COLUMN()*2-3))</f>
        <v/>
      </c>
      <c r="I147" t="str" cm="1">
        <f>IF(ISBLANK(INDEX(Array_ElectricalChargeData,ROW()-16,COLUMN()*2-3)),"",INDEX(Array_ElectricalChargeData,ROW()-16,COLUMN()*2-3))</f>
        <v/>
      </c>
      <c r="J147" t="str" cm="1">
        <f>IF(ISBLANK(INDEX(Array_ElectricalChargeData,ROW()-16,COLUMN()*2-3)),"",INDEX(Array_ElectricalChargeData,ROW()-16,COLUMN()*2-3))</f>
        <v/>
      </c>
      <c r="K147" t="str" cm="1">
        <f>IF(ISBLANK(INDEX(Array_ElectricalChargeData,ROW()-16,COLUMN()*2-3)),"",INDEX(Array_ElectricalChargeData,ROW()-16,COLUMN()*2-3))</f>
        <v/>
      </c>
      <c r="L147" t="str" cm="1">
        <f>IF(ISBLANK(INDEX(Array_ElectricalChargeData,ROW()-16,COLUMN()*2-3)),"",INDEX(Array_ElectricalChargeData,ROW()-16,COLUMN()*2-3))</f>
        <v/>
      </c>
      <c r="M147" t="str" cm="1">
        <f>IF(ISBLANK(INDEX(Array_ElectricalChargeData,ROW()-16,COLUMN()*2-3)),"",INDEX(Array_ElectricalChargeData,ROW()-16,COLUMN()*2-3))</f>
        <v/>
      </c>
      <c r="N147" t="str" cm="1">
        <f>IF(ISBLANK(INDEX(Array_ElectricalChargeData,ROW()-16,COLUMN()*2-3)),"",INDEX(Array_ElectricalChargeData,ROW()-16,COLUMN()*2-3))</f>
        <v/>
      </c>
      <c r="O147" t="str" cm="1">
        <f>IF(ISBLANK(INDEX(Array_ElectricalChargeData,ROW()-16,COLUMN()*2-3)),"",INDEX(Array_ElectricalChargeData,ROW()-16,COLUMN()*2-3))</f>
        <v/>
      </c>
      <c r="P147" t="str" cm="1">
        <f>IF(ISBLANK(INDEX(Array_ElectricalChargeData,ROW()-16,COLUMN()*2-3)),"",INDEX(Array_ElectricalChargeData,ROW()-16,COLUMN()*2-3))</f>
        <v/>
      </c>
    </row>
    <row r="148" spans="1:16" x14ac:dyDescent="0.35">
      <c r="A148" t="str">
        <f>IF('Electricity Meters'!B134="",A147,'Electricity Meters'!B134)</f>
        <v>Meter Numbers</v>
      </c>
      <c r="B148" t="str" cm="1">
        <f>IF(ISBLANK(INDEX(Array_ElectricalChargeData,ROW()-16,COLUMN()*2-3)),"",INDEX(Array_ElectricalChargeData,ROW()-16,COLUMN()*2-3))</f>
        <v/>
      </c>
      <c r="C148" t="str" cm="1">
        <f>IF(ISBLANK(INDEX(Array_ElectricalChargeData,ROW()-16,COLUMN()*2-3)),"",INDEX(Array_ElectricalChargeData,ROW()-16,COLUMN()*2-3))</f>
        <v/>
      </c>
      <c r="D148" t="str" cm="1">
        <f>IF(ISBLANK(INDEX(Array_ElectricalChargeData,ROW()-16,COLUMN()*2-3)),"",INDEX(Array_ElectricalChargeData,ROW()-16,COLUMN()*2-3))</f>
        <v/>
      </c>
      <c r="E148" t="str" cm="1">
        <f>IF(ISBLANK(INDEX(Array_ElectricalChargeData,ROW()-16,COLUMN()*2-3)),"",INDEX(Array_ElectricalChargeData,ROW()-16,COLUMN()*2-3))</f>
        <v/>
      </c>
      <c r="F148" t="str" cm="1">
        <f>IF(ISBLANK(INDEX(Array_ElectricalChargeData,ROW()-16,COLUMN()*2-3)),"",INDEX(Array_ElectricalChargeData,ROW()-16,COLUMN()*2-3))</f>
        <v/>
      </c>
      <c r="G148" t="str" cm="1">
        <f>IF(ISBLANK(INDEX(Array_ElectricalChargeData,ROW()-16,COLUMN()*2-3)),"",INDEX(Array_ElectricalChargeData,ROW()-16,COLUMN()*2-3))</f>
        <v/>
      </c>
      <c r="H148" t="str" cm="1">
        <f>IF(ISBLANK(INDEX(Array_ElectricalChargeData,ROW()-16,COLUMN()*2-3)),"",INDEX(Array_ElectricalChargeData,ROW()-16,COLUMN()*2-3))</f>
        <v/>
      </c>
      <c r="I148" t="str" cm="1">
        <f>IF(ISBLANK(INDEX(Array_ElectricalChargeData,ROW()-16,COLUMN()*2-3)),"",INDEX(Array_ElectricalChargeData,ROW()-16,COLUMN()*2-3))</f>
        <v/>
      </c>
      <c r="J148" t="str" cm="1">
        <f>IF(ISBLANK(INDEX(Array_ElectricalChargeData,ROW()-16,COLUMN()*2-3)),"",INDEX(Array_ElectricalChargeData,ROW()-16,COLUMN()*2-3))</f>
        <v/>
      </c>
      <c r="K148" t="str" cm="1">
        <f>IF(ISBLANK(INDEX(Array_ElectricalChargeData,ROW()-16,COLUMN()*2-3)),"",INDEX(Array_ElectricalChargeData,ROW()-16,COLUMN()*2-3))</f>
        <v/>
      </c>
      <c r="L148" t="str" cm="1">
        <f>IF(ISBLANK(INDEX(Array_ElectricalChargeData,ROW()-16,COLUMN()*2-3)),"",INDEX(Array_ElectricalChargeData,ROW()-16,COLUMN()*2-3))</f>
        <v/>
      </c>
      <c r="M148" t="str" cm="1">
        <f>IF(ISBLANK(INDEX(Array_ElectricalChargeData,ROW()-16,COLUMN()*2-3)),"",INDEX(Array_ElectricalChargeData,ROW()-16,COLUMN()*2-3))</f>
        <v/>
      </c>
      <c r="N148" t="str" cm="1">
        <f>IF(ISBLANK(INDEX(Array_ElectricalChargeData,ROW()-16,COLUMN()*2-3)),"",INDEX(Array_ElectricalChargeData,ROW()-16,COLUMN()*2-3))</f>
        <v/>
      </c>
      <c r="O148" t="str" cm="1">
        <f>IF(ISBLANK(INDEX(Array_ElectricalChargeData,ROW()-16,COLUMN()*2-3)),"",INDEX(Array_ElectricalChargeData,ROW()-16,COLUMN()*2-3))</f>
        <v/>
      </c>
      <c r="P148" t="str" cm="1">
        <f>IF(ISBLANK(INDEX(Array_ElectricalChargeData,ROW()-16,COLUMN()*2-3)),"",INDEX(Array_ElectricalChargeData,ROW()-16,COLUMN()*2-3))</f>
        <v/>
      </c>
    </row>
    <row r="149" spans="1:16" x14ac:dyDescent="0.35">
      <c r="A149" t="str">
        <f>IF('Electricity Meters'!B135="",A148,'Electricity Meters'!B135)</f>
        <v>Meter Numbers</v>
      </c>
      <c r="B149" t="str" cm="1">
        <f>IF(ISBLANK(INDEX(Array_ElectricalChargeData,ROW()-16,COLUMN()*2-3)),"",INDEX(Array_ElectricalChargeData,ROW()-16,COLUMN()*2-3))</f>
        <v/>
      </c>
      <c r="C149" t="str" cm="1">
        <f>IF(ISBLANK(INDEX(Array_ElectricalChargeData,ROW()-16,COLUMN()*2-3)),"",INDEX(Array_ElectricalChargeData,ROW()-16,COLUMN()*2-3))</f>
        <v/>
      </c>
      <c r="D149" t="str" cm="1">
        <f>IF(ISBLANK(INDEX(Array_ElectricalChargeData,ROW()-16,COLUMN()*2-3)),"",INDEX(Array_ElectricalChargeData,ROW()-16,COLUMN()*2-3))</f>
        <v/>
      </c>
      <c r="E149" t="str" cm="1">
        <f>IF(ISBLANK(INDEX(Array_ElectricalChargeData,ROW()-16,COLUMN()*2-3)),"",INDEX(Array_ElectricalChargeData,ROW()-16,COLUMN()*2-3))</f>
        <v/>
      </c>
      <c r="F149" t="str" cm="1">
        <f>IF(ISBLANK(INDEX(Array_ElectricalChargeData,ROW()-16,COLUMN()*2-3)),"",INDEX(Array_ElectricalChargeData,ROW()-16,COLUMN()*2-3))</f>
        <v/>
      </c>
      <c r="G149" t="str" cm="1">
        <f>IF(ISBLANK(INDEX(Array_ElectricalChargeData,ROW()-16,COLUMN()*2-3)),"",INDEX(Array_ElectricalChargeData,ROW()-16,COLUMN()*2-3))</f>
        <v/>
      </c>
      <c r="H149" t="str" cm="1">
        <f>IF(ISBLANK(INDEX(Array_ElectricalChargeData,ROW()-16,COLUMN()*2-3)),"",INDEX(Array_ElectricalChargeData,ROW()-16,COLUMN()*2-3))</f>
        <v/>
      </c>
      <c r="I149" t="str" cm="1">
        <f>IF(ISBLANK(INDEX(Array_ElectricalChargeData,ROW()-16,COLUMN()*2-3)),"",INDEX(Array_ElectricalChargeData,ROW()-16,COLUMN()*2-3))</f>
        <v/>
      </c>
      <c r="J149" t="str" cm="1">
        <f>IF(ISBLANK(INDEX(Array_ElectricalChargeData,ROW()-16,COLUMN()*2-3)),"",INDEX(Array_ElectricalChargeData,ROW()-16,COLUMN()*2-3))</f>
        <v/>
      </c>
      <c r="K149" t="str" cm="1">
        <f>IF(ISBLANK(INDEX(Array_ElectricalChargeData,ROW()-16,COLUMN()*2-3)),"",INDEX(Array_ElectricalChargeData,ROW()-16,COLUMN()*2-3))</f>
        <v/>
      </c>
      <c r="L149" t="str" cm="1">
        <f>IF(ISBLANK(INDEX(Array_ElectricalChargeData,ROW()-16,COLUMN()*2-3)),"",INDEX(Array_ElectricalChargeData,ROW()-16,COLUMN()*2-3))</f>
        <v/>
      </c>
      <c r="M149" t="str" cm="1">
        <f>IF(ISBLANK(INDEX(Array_ElectricalChargeData,ROW()-16,COLUMN()*2-3)),"",INDEX(Array_ElectricalChargeData,ROW()-16,COLUMN()*2-3))</f>
        <v/>
      </c>
      <c r="N149" t="str" cm="1">
        <f>IF(ISBLANK(INDEX(Array_ElectricalChargeData,ROW()-16,COLUMN()*2-3)),"",INDEX(Array_ElectricalChargeData,ROW()-16,COLUMN()*2-3))</f>
        <v/>
      </c>
      <c r="O149" t="str" cm="1">
        <f>IF(ISBLANK(INDEX(Array_ElectricalChargeData,ROW()-16,COLUMN()*2-3)),"",INDEX(Array_ElectricalChargeData,ROW()-16,COLUMN()*2-3))</f>
        <v/>
      </c>
      <c r="P149" t="str" cm="1">
        <f>IF(ISBLANK(INDEX(Array_ElectricalChargeData,ROW()-16,COLUMN()*2-3)),"",INDEX(Array_ElectricalChargeData,ROW()-16,COLUMN()*2-3))</f>
        <v/>
      </c>
    </row>
    <row r="150" spans="1:16" x14ac:dyDescent="0.35">
      <c r="A150" t="str">
        <f>IF('Electricity Meters'!B136="",A149,'Electricity Meters'!B136)</f>
        <v>Meter Numbers</v>
      </c>
      <c r="B150" t="str" cm="1">
        <f>IF(ISBLANK(INDEX(Array_ElectricalChargeData,ROW()-16,COLUMN()*2-3)),"",INDEX(Array_ElectricalChargeData,ROW()-16,COLUMN()*2-3))</f>
        <v/>
      </c>
      <c r="C150" t="str" cm="1">
        <f>IF(ISBLANK(INDEX(Array_ElectricalChargeData,ROW()-16,COLUMN()*2-3)),"",INDEX(Array_ElectricalChargeData,ROW()-16,COLUMN()*2-3))</f>
        <v/>
      </c>
      <c r="D150" t="str" cm="1">
        <f>IF(ISBLANK(INDEX(Array_ElectricalChargeData,ROW()-16,COLUMN()*2-3)),"",INDEX(Array_ElectricalChargeData,ROW()-16,COLUMN()*2-3))</f>
        <v/>
      </c>
      <c r="E150" t="str" cm="1">
        <f>IF(ISBLANK(INDEX(Array_ElectricalChargeData,ROW()-16,COLUMN()*2-3)),"",INDEX(Array_ElectricalChargeData,ROW()-16,COLUMN()*2-3))</f>
        <v/>
      </c>
      <c r="F150" t="str" cm="1">
        <f>IF(ISBLANK(INDEX(Array_ElectricalChargeData,ROW()-16,COLUMN()*2-3)),"",INDEX(Array_ElectricalChargeData,ROW()-16,COLUMN()*2-3))</f>
        <v/>
      </c>
      <c r="G150" t="str" cm="1">
        <f>IF(ISBLANK(INDEX(Array_ElectricalChargeData,ROW()-16,COLUMN()*2-3)),"",INDEX(Array_ElectricalChargeData,ROW()-16,COLUMN()*2-3))</f>
        <v/>
      </c>
      <c r="H150" t="str" cm="1">
        <f>IF(ISBLANK(INDEX(Array_ElectricalChargeData,ROW()-16,COLUMN()*2-3)),"",INDEX(Array_ElectricalChargeData,ROW()-16,COLUMN()*2-3))</f>
        <v/>
      </c>
      <c r="I150" t="str" cm="1">
        <f>IF(ISBLANK(INDEX(Array_ElectricalChargeData,ROW()-16,COLUMN()*2-3)),"",INDEX(Array_ElectricalChargeData,ROW()-16,COLUMN()*2-3))</f>
        <v/>
      </c>
      <c r="J150" t="str" cm="1">
        <f>IF(ISBLANK(INDEX(Array_ElectricalChargeData,ROW()-16,COLUMN()*2-3)),"",INDEX(Array_ElectricalChargeData,ROW()-16,COLUMN()*2-3))</f>
        <v/>
      </c>
      <c r="K150" t="str" cm="1">
        <f>IF(ISBLANK(INDEX(Array_ElectricalChargeData,ROW()-16,COLUMN()*2-3)),"",INDEX(Array_ElectricalChargeData,ROW()-16,COLUMN()*2-3))</f>
        <v/>
      </c>
      <c r="L150" t="str" cm="1">
        <f>IF(ISBLANK(INDEX(Array_ElectricalChargeData,ROW()-16,COLUMN()*2-3)),"",INDEX(Array_ElectricalChargeData,ROW()-16,COLUMN()*2-3))</f>
        <v/>
      </c>
      <c r="M150" t="str" cm="1">
        <f>IF(ISBLANK(INDEX(Array_ElectricalChargeData,ROW()-16,COLUMN()*2-3)),"",INDEX(Array_ElectricalChargeData,ROW()-16,COLUMN()*2-3))</f>
        <v/>
      </c>
      <c r="N150" t="str" cm="1">
        <f>IF(ISBLANK(INDEX(Array_ElectricalChargeData,ROW()-16,COLUMN()*2-3)),"",INDEX(Array_ElectricalChargeData,ROW()-16,COLUMN()*2-3))</f>
        <v/>
      </c>
      <c r="O150" t="str" cm="1">
        <f>IF(ISBLANK(INDEX(Array_ElectricalChargeData,ROW()-16,COLUMN()*2-3)),"",INDEX(Array_ElectricalChargeData,ROW()-16,COLUMN()*2-3))</f>
        <v/>
      </c>
      <c r="P150" t="str" cm="1">
        <f>IF(ISBLANK(INDEX(Array_ElectricalChargeData,ROW()-16,COLUMN()*2-3)),"",INDEX(Array_ElectricalChargeData,ROW()-16,COLUMN()*2-3))</f>
        <v/>
      </c>
    </row>
    <row r="151" spans="1:16" x14ac:dyDescent="0.35">
      <c r="A151" t="str">
        <f>IF('Electricity Meters'!B137="",A150,'Electricity Meters'!B137)</f>
        <v>Meter Numbers</v>
      </c>
      <c r="B151" t="str" cm="1">
        <f>IF(ISBLANK(INDEX(Array_ElectricalChargeData,ROW()-16,COLUMN()*2-3)),"",INDEX(Array_ElectricalChargeData,ROW()-16,COLUMN()*2-3))</f>
        <v/>
      </c>
      <c r="C151" t="str" cm="1">
        <f>IF(ISBLANK(INDEX(Array_ElectricalChargeData,ROW()-16,COLUMN()*2-3)),"",INDEX(Array_ElectricalChargeData,ROW()-16,COLUMN()*2-3))</f>
        <v/>
      </c>
      <c r="D151" t="str" cm="1">
        <f>IF(ISBLANK(INDEX(Array_ElectricalChargeData,ROW()-16,COLUMN()*2-3)),"",INDEX(Array_ElectricalChargeData,ROW()-16,COLUMN()*2-3))</f>
        <v/>
      </c>
      <c r="E151" t="str" cm="1">
        <f>IF(ISBLANK(INDEX(Array_ElectricalChargeData,ROW()-16,COLUMN()*2-3)),"",INDEX(Array_ElectricalChargeData,ROW()-16,COLUMN()*2-3))</f>
        <v/>
      </c>
      <c r="F151" t="str" cm="1">
        <f>IF(ISBLANK(INDEX(Array_ElectricalChargeData,ROW()-16,COLUMN()*2-3)),"",INDEX(Array_ElectricalChargeData,ROW()-16,COLUMN()*2-3))</f>
        <v/>
      </c>
      <c r="G151" t="str" cm="1">
        <f>IF(ISBLANK(INDEX(Array_ElectricalChargeData,ROW()-16,COLUMN()*2-3)),"",INDEX(Array_ElectricalChargeData,ROW()-16,COLUMN()*2-3))</f>
        <v/>
      </c>
      <c r="H151" t="str" cm="1">
        <f>IF(ISBLANK(INDEX(Array_ElectricalChargeData,ROW()-16,COLUMN()*2-3)),"",INDEX(Array_ElectricalChargeData,ROW()-16,COLUMN()*2-3))</f>
        <v/>
      </c>
      <c r="I151" t="str" cm="1">
        <f>IF(ISBLANK(INDEX(Array_ElectricalChargeData,ROW()-16,COLUMN()*2-3)),"",INDEX(Array_ElectricalChargeData,ROW()-16,COLUMN()*2-3))</f>
        <v/>
      </c>
      <c r="J151" t="str" cm="1">
        <f>IF(ISBLANK(INDEX(Array_ElectricalChargeData,ROW()-16,COLUMN()*2-3)),"",INDEX(Array_ElectricalChargeData,ROW()-16,COLUMN()*2-3))</f>
        <v/>
      </c>
      <c r="K151" t="str" cm="1">
        <f>IF(ISBLANK(INDEX(Array_ElectricalChargeData,ROW()-16,COLUMN()*2-3)),"",INDEX(Array_ElectricalChargeData,ROW()-16,COLUMN()*2-3))</f>
        <v/>
      </c>
      <c r="L151" t="str" cm="1">
        <f>IF(ISBLANK(INDEX(Array_ElectricalChargeData,ROW()-16,COLUMN()*2-3)),"",INDEX(Array_ElectricalChargeData,ROW()-16,COLUMN()*2-3))</f>
        <v/>
      </c>
      <c r="M151" t="str" cm="1">
        <f>IF(ISBLANK(INDEX(Array_ElectricalChargeData,ROW()-16,COLUMN()*2-3)),"",INDEX(Array_ElectricalChargeData,ROW()-16,COLUMN()*2-3))</f>
        <v/>
      </c>
      <c r="N151" t="str" cm="1">
        <f>IF(ISBLANK(INDEX(Array_ElectricalChargeData,ROW()-16,COLUMN()*2-3)),"",INDEX(Array_ElectricalChargeData,ROW()-16,COLUMN()*2-3))</f>
        <v/>
      </c>
      <c r="O151" t="str" cm="1">
        <f>IF(ISBLANK(INDEX(Array_ElectricalChargeData,ROW()-16,COLUMN()*2-3)),"",INDEX(Array_ElectricalChargeData,ROW()-16,COLUMN()*2-3))</f>
        <v/>
      </c>
      <c r="P151" t="str" cm="1">
        <f>IF(ISBLANK(INDEX(Array_ElectricalChargeData,ROW()-16,COLUMN()*2-3)),"",INDEX(Array_ElectricalChargeData,ROW()-16,COLUMN()*2-3))</f>
        <v/>
      </c>
    </row>
    <row r="152" spans="1:16" x14ac:dyDescent="0.35">
      <c r="A152" t="str">
        <f>IF('Electricity Meters'!B138="",A151,'Electricity Meters'!B138)</f>
        <v>Meter Numbers</v>
      </c>
      <c r="B152" t="str" cm="1">
        <f>IF(ISBLANK(INDEX(Array_ElectricalChargeData,ROW()-16,COLUMN()*2-3)),"",INDEX(Array_ElectricalChargeData,ROW()-16,COLUMN()*2-3))</f>
        <v/>
      </c>
      <c r="C152" t="str" cm="1">
        <f>IF(ISBLANK(INDEX(Array_ElectricalChargeData,ROW()-16,COLUMN()*2-3)),"",INDEX(Array_ElectricalChargeData,ROW()-16,COLUMN()*2-3))</f>
        <v/>
      </c>
      <c r="D152" t="str" cm="1">
        <f>IF(ISBLANK(INDEX(Array_ElectricalChargeData,ROW()-16,COLUMN()*2-3)),"",INDEX(Array_ElectricalChargeData,ROW()-16,COLUMN()*2-3))</f>
        <v/>
      </c>
      <c r="E152" t="str" cm="1">
        <f>IF(ISBLANK(INDEX(Array_ElectricalChargeData,ROW()-16,COLUMN()*2-3)),"",INDEX(Array_ElectricalChargeData,ROW()-16,COLUMN()*2-3))</f>
        <v/>
      </c>
      <c r="F152" t="str" cm="1">
        <f>IF(ISBLANK(INDEX(Array_ElectricalChargeData,ROW()-16,COLUMN()*2-3)),"",INDEX(Array_ElectricalChargeData,ROW()-16,COLUMN()*2-3))</f>
        <v/>
      </c>
      <c r="G152" t="str" cm="1">
        <f>IF(ISBLANK(INDEX(Array_ElectricalChargeData,ROW()-16,COLUMN()*2-3)),"",INDEX(Array_ElectricalChargeData,ROW()-16,COLUMN()*2-3))</f>
        <v/>
      </c>
      <c r="H152" t="str" cm="1">
        <f>IF(ISBLANK(INDEX(Array_ElectricalChargeData,ROW()-16,COLUMN()*2-3)),"",INDEX(Array_ElectricalChargeData,ROW()-16,COLUMN()*2-3))</f>
        <v/>
      </c>
      <c r="I152" t="str" cm="1">
        <f>IF(ISBLANK(INDEX(Array_ElectricalChargeData,ROW()-16,COLUMN()*2-3)),"",INDEX(Array_ElectricalChargeData,ROW()-16,COLUMN()*2-3))</f>
        <v/>
      </c>
      <c r="J152" t="str" cm="1">
        <f>IF(ISBLANK(INDEX(Array_ElectricalChargeData,ROW()-16,COLUMN()*2-3)),"",INDEX(Array_ElectricalChargeData,ROW()-16,COLUMN()*2-3))</f>
        <v/>
      </c>
      <c r="K152" t="str" cm="1">
        <f>IF(ISBLANK(INDEX(Array_ElectricalChargeData,ROW()-16,COLUMN()*2-3)),"",INDEX(Array_ElectricalChargeData,ROW()-16,COLUMN()*2-3))</f>
        <v/>
      </c>
      <c r="L152" t="str" cm="1">
        <f>IF(ISBLANK(INDEX(Array_ElectricalChargeData,ROW()-16,COLUMN()*2-3)),"",INDEX(Array_ElectricalChargeData,ROW()-16,COLUMN()*2-3))</f>
        <v/>
      </c>
      <c r="M152" t="str" cm="1">
        <f>IF(ISBLANK(INDEX(Array_ElectricalChargeData,ROW()-16,COLUMN()*2-3)),"",INDEX(Array_ElectricalChargeData,ROW()-16,COLUMN()*2-3))</f>
        <v/>
      </c>
      <c r="N152" t="str" cm="1">
        <f>IF(ISBLANK(INDEX(Array_ElectricalChargeData,ROW()-16,COLUMN()*2-3)),"",INDEX(Array_ElectricalChargeData,ROW()-16,COLUMN()*2-3))</f>
        <v/>
      </c>
      <c r="O152" t="str" cm="1">
        <f>IF(ISBLANK(INDEX(Array_ElectricalChargeData,ROW()-16,COLUMN()*2-3)),"",INDEX(Array_ElectricalChargeData,ROW()-16,COLUMN()*2-3))</f>
        <v/>
      </c>
      <c r="P152" t="str" cm="1">
        <f>IF(ISBLANK(INDEX(Array_ElectricalChargeData,ROW()-16,COLUMN()*2-3)),"",INDEX(Array_ElectricalChargeData,ROW()-16,COLUMN()*2-3))</f>
        <v/>
      </c>
    </row>
    <row r="153" spans="1:16" x14ac:dyDescent="0.35">
      <c r="A153" t="str">
        <f>IF('Electricity Meters'!B139="",A152,'Electricity Meters'!B139)</f>
        <v>Meter Numbers</v>
      </c>
      <c r="B153" t="str" cm="1">
        <f>IF(ISBLANK(INDEX(Array_ElectricalChargeData,ROW()-16,COLUMN()*2-3)),"",INDEX(Array_ElectricalChargeData,ROW()-16,COLUMN()*2-3))</f>
        <v/>
      </c>
      <c r="C153" t="str" cm="1">
        <f>IF(ISBLANK(INDEX(Array_ElectricalChargeData,ROW()-16,COLUMN()*2-3)),"",INDEX(Array_ElectricalChargeData,ROW()-16,COLUMN()*2-3))</f>
        <v/>
      </c>
      <c r="D153" t="str" cm="1">
        <f>IF(ISBLANK(INDEX(Array_ElectricalChargeData,ROW()-16,COLUMN()*2-3)),"",INDEX(Array_ElectricalChargeData,ROW()-16,COLUMN()*2-3))</f>
        <v/>
      </c>
      <c r="E153" t="str" cm="1">
        <f>IF(ISBLANK(INDEX(Array_ElectricalChargeData,ROW()-16,COLUMN()*2-3)),"",INDEX(Array_ElectricalChargeData,ROW()-16,COLUMN()*2-3))</f>
        <v/>
      </c>
      <c r="F153" t="str" cm="1">
        <f>IF(ISBLANK(INDEX(Array_ElectricalChargeData,ROW()-16,COLUMN()*2-3)),"",INDEX(Array_ElectricalChargeData,ROW()-16,COLUMN()*2-3))</f>
        <v/>
      </c>
      <c r="G153" t="str" cm="1">
        <f>IF(ISBLANK(INDEX(Array_ElectricalChargeData,ROW()-16,COLUMN()*2-3)),"",INDEX(Array_ElectricalChargeData,ROW()-16,COLUMN()*2-3))</f>
        <v/>
      </c>
      <c r="H153" t="str" cm="1">
        <f>IF(ISBLANK(INDEX(Array_ElectricalChargeData,ROW()-16,COLUMN()*2-3)),"",INDEX(Array_ElectricalChargeData,ROW()-16,COLUMN()*2-3))</f>
        <v/>
      </c>
      <c r="I153" t="str" cm="1">
        <f>IF(ISBLANK(INDEX(Array_ElectricalChargeData,ROW()-16,COLUMN()*2-3)),"",INDEX(Array_ElectricalChargeData,ROW()-16,COLUMN()*2-3))</f>
        <v/>
      </c>
      <c r="J153" t="str" cm="1">
        <f>IF(ISBLANK(INDEX(Array_ElectricalChargeData,ROW()-16,COLUMN()*2-3)),"",INDEX(Array_ElectricalChargeData,ROW()-16,COLUMN()*2-3))</f>
        <v/>
      </c>
      <c r="K153" t="str" cm="1">
        <f>IF(ISBLANK(INDEX(Array_ElectricalChargeData,ROW()-16,COLUMN()*2-3)),"",INDEX(Array_ElectricalChargeData,ROW()-16,COLUMN()*2-3))</f>
        <v/>
      </c>
      <c r="L153" t="str" cm="1">
        <f>IF(ISBLANK(INDEX(Array_ElectricalChargeData,ROW()-16,COLUMN()*2-3)),"",INDEX(Array_ElectricalChargeData,ROW()-16,COLUMN()*2-3))</f>
        <v/>
      </c>
      <c r="M153" t="str" cm="1">
        <f>IF(ISBLANK(INDEX(Array_ElectricalChargeData,ROW()-16,COLUMN()*2-3)),"",INDEX(Array_ElectricalChargeData,ROW()-16,COLUMN()*2-3))</f>
        <v/>
      </c>
      <c r="N153" t="str" cm="1">
        <f>IF(ISBLANK(INDEX(Array_ElectricalChargeData,ROW()-16,COLUMN()*2-3)),"",INDEX(Array_ElectricalChargeData,ROW()-16,COLUMN()*2-3))</f>
        <v/>
      </c>
      <c r="O153" t="str" cm="1">
        <f>IF(ISBLANK(INDEX(Array_ElectricalChargeData,ROW()-16,COLUMN()*2-3)),"",INDEX(Array_ElectricalChargeData,ROW()-16,COLUMN()*2-3))</f>
        <v/>
      </c>
      <c r="P153" t="str" cm="1">
        <f>IF(ISBLANK(INDEX(Array_ElectricalChargeData,ROW()-16,COLUMN()*2-3)),"",INDEX(Array_ElectricalChargeData,ROW()-16,COLUMN()*2-3))</f>
        <v/>
      </c>
    </row>
    <row r="154" spans="1:16" x14ac:dyDescent="0.35">
      <c r="A154" t="str">
        <f>IF('Electricity Meters'!B140="",A153,'Electricity Meters'!B140)</f>
        <v>Meter Numbers</v>
      </c>
      <c r="B154" t="str" cm="1">
        <f>IF(ISBLANK(INDEX(Array_ElectricalChargeData,ROW()-16,COLUMN()*2-3)),"",INDEX(Array_ElectricalChargeData,ROW()-16,COLUMN()*2-3))</f>
        <v/>
      </c>
      <c r="C154" t="str" cm="1">
        <f>IF(ISBLANK(INDEX(Array_ElectricalChargeData,ROW()-16,COLUMN()*2-3)),"",INDEX(Array_ElectricalChargeData,ROW()-16,COLUMN()*2-3))</f>
        <v/>
      </c>
      <c r="D154" t="str" cm="1">
        <f>IF(ISBLANK(INDEX(Array_ElectricalChargeData,ROW()-16,COLUMN()*2-3)),"",INDEX(Array_ElectricalChargeData,ROW()-16,COLUMN()*2-3))</f>
        <v/>
      </c>
      <c r="E154" t="str" cm="1">
        <f>IF(ISBLANK(INDEX(Array_ElectricalChargeData,ROW()-16,COLUMN()*2-3)),"",INDEX(Array_ElectricalChargeData,ROW()-16,COLUMN()*2-3))</f>
        <v/>
      </c>
      <c r="F154" t="str" cm="1">
        <f>IF(ISBLANK(INDEX(Array_ElectricalChargeData,ROW()-16,COLUMN()*2-3)),"",INDEX(Array_ElectricalChargeData,ROW()-16,COLUMN()*2-3))</f>
        <v/>
      </c>
      <c r="G154" t="str" cm="1">
        <f>IF(ISBLANK(INDEX(Array_ElectricalChargeData,ROW()-16,COLUMN()*2-3)),"",INDEX(Array_ElectricalChargeData,ROW()-16,COLUMN()*2-3))</f>
        <v/>
      </c>
      <c r="H154" t="str" cm="1">
        <f>IF(ISBLANK(INDEX(Array_ElectricalChargeData,ROW()-16,COLUMN()*2-3)),"",INDEX(Array_ElectricalChargeData,ROW()-16,COLUMN()*2-3))</f>
        <v/>
      </c>
      <c r="I154" t="str" cm="1">
        <f>IF(ISBLANK(INDEX(Array_ElectricalChargeData,ROW()-16,COLUMN()*2-3)),"",INDEX(Array_ElectricalChargeData,ROW()-16,COLUMN()*2-3))</f>
        <v/>
      </c>
      <c r="J154" t="str" cm="1">
        <f>IF(ISBLANK(INDEX(Array_ElectricalChargeData,ROW()-16,COLUMN()*2-3)),"",INDEX(Array_ElectricalChargeData,ROW()-16,COLUMN()*2-3))</f>
        <v/>
      </c>
      <c r="K154" t="str" cm="1">
        <f>IF(ISBLANK(INDEX(Array_ElectricalChargeData,ROW()-16,COLUMN()*2-3)),"",INDEX(Array_ElectricalChargeData,ROW()-16,COLUMN()*2-3))</f>
        <v/>
      </c>
      <c r="L154" t="str" cm="1">
        <f>IF(ISBLANK(INDEX(Array_ElectricalChargeData,ROW()-16,COLUMN()*2-3)),"",INDEX(Array_ElectricalChargeData,ROW()-16,COLUMN()*2-3))</f>
        <v/>
      </c>
      <c r="M154" t="str" cm="1">
        <f>IF(ISBLANK(INDEX(Array_ElectricalChargeData,ROW()-16,COLUMN()*2-3)),"",INDEX(Array_ElectricalChargeData,ROW()-16,COLUMN()*2-3))</f>
        <v/>
      </c>
      <c r="N154" t="str" cm="1">
        <f>IF(ISBLANK(INDEX(Array_ElectricalChargeData,ROW()-16,COLUMN()*2-3)),"",INDEX(Array_ElectricalChargeData,ROW()-16,COLUMN()*2-3))</f>
        <v/>
      </c>
      <c r="O154" t="str" cm="1">
        <f>IF(ISBLANK(INDEX(Array_ElectricalChargeData,ROW()-16,COLUMN()*2-3)),"",INDEX(Array_ElectricalChargeData,ROW()-16,COLUMN()*2-3))</f>
        <v/>
      </c>
      <c r="P154" t="str" cm="1">
        <f>IF(ISBLANK(INDEX(Array_ElectricalChargeData,ROW()-16,COLUMN()*2-3)),"",INDEX(Array_ElectricalChargeData,ROW()-16,COLUMN()*2-3))</f>
        <v/>
      </c>
    </row>
    <row r="155" spans="1:16" x14ac:dyDescent="0.35">
      <c r="A155" t="str">
        <f>IF('Electricity Meters'!B141="",A154,'Electricity Meters'!B141)</f>
        <v>Meter Numbers</v>
      </c>
      <c r="B155" t="str" cm="1">
        <f>IF(ISBLANK(INDEX(Array_ElectricalChargeData,ROW()-16,COLUMN()*2-3)),"",INDEX(Array_ElectricalChargeData,ROW()-16,COLUMN()*2-3))</f>
        <v/>
      </c>
      <c r="C155" t="str" cm="1">
        <f>IF(ISBLANK(INDEX(Array_ElectricalChargeData,ROW()-16,COLUMN()*2-3)),"",INDEX(Array_ElectricalChargeData,ROW()-16,COLUMN()*2-3))</f>
        <v/>
      </c>
      <c r="D155" t="str" cm="1">
        <f>IF(ISBLANK(INDEX(Array_ElectricalChargeData,ROW()-16,COLUMN()*2-3)),"",INDEX(Array_ElectricalChargeData,ROW()-16,COLUMN()*2-3))</f>
        <v/>
      </c>
      <c r="E155" t="str" cm="1">
        <f>IF(ISBLANK(INDEX(Array_ElectricalChargeData,ROW()-16,COLUMN()*2-3)),"",INDEX(Array_ElectricalChargeData,ROW()-16,COLUMN()*2-3))</f>
        <v/>
      </c>
      <c r="F155" t="str" cm="1">
        <f>IF(ISBLANK(INDEX(Array_ElectricalChargeData,ROW()-16,COLUMN()*2-3)),"",INDEX(Array_ElectricalChargeData,ROW()-16,COLUMN()*2-3))</f>
        <v/>
      </c>
      <c r="G155" t="str" cm="1">
        <f>IF(ISBLANK(INDEX(Array_ElectricalChargeData,ROW()-16,COLUMN()*2-3)),"",INDEX(Array_ElectricalChargeData,ROW()-16,COLUMN()*2-3))</f>
        <v/>
      </c>
      <c r="H155" t="str" cm="1">
        <f>IF(ISBLANK(INDEX(Array_ElectricalChargeData,ROW()-16,COLUMN()*2-3)),"",INDEX(Array_ElectricalChargeData,ROW()-16,COLUMN()*2-3))</f>
        <v/>
      </c>
      <c r="I155" t="str" cm="1">
        <f>IF(ISBLANK(INDEX(Array_ElectricalChargeData,ROW()-16,COLUMN()*2-3)),"",INDEX(Array_ElectricalChargeData,ROW()-16,COLUMN()*2-3))</f>
        <v/>
      </c>
      <c r="J155" t="str" cm="1">
        <f>IF(ISBLANK(INDEX(Array_ElectricalChargeData,ROW()-16,COLUMN()*2-3)),"",INDEX(Array_ElectricalChargeData,ROW()-16,COLUMN()*2-3))</f>
        <v/>
      </c>
      <c r="K155" t="str" cm="1">
        <f>IF(ISBLANK(INDEX(Array_ElectricalChargeData,ROW()-16,COLUMN()*2-3)),"",INDEX(Array_ElectricalChargeData,ROW()-16,COLUMN()*2-3))</f>
        <v/>
      </c>
      <c r="L155" t="str" cm="1">
        <f>IF(ISBLANK(INDEX(Array_ElectricalChargeData,ROW()-16,COLUMN()*2-3)),"",INDEX(Array_ElectricalChargeData,ROW()-16,COLUMN()*2-3))</f>
        <v/>
      </c>
      <c r="M155" t="str" cm="1">
        <f>IF(ISBLANK(INDEX(Array_ElectricalChargeData,ROW()-16,COLUMN()*2-3)),"",INDEX(Array_ElectricalChargeData,ROW()-16,COLUMN()*2-3))</f>
        <v/>
      </c>
      <c r="N155" t="str" cm="1">
        <f>IF(ISBLANK(INDEX(Array_ElectricalChargeData,ROW()-16,COLUMN()*2-3)),"",INDEX(Array_ElectricalChargeData,ROW()-16,COLUMN()*2-3))</f>
        <v/>
      </c>
      <c r="O155" t="str" cm="1">
        <f>IF(ISBLANK(INDEX(Array_ElectricalChargeData,ROW()-16,COLUMN()*2-3)),"",INDEX(Array_ElectricalChargeData,ROW()-16,COLUMN()*2-3))</f>
        <v/>
      </c>
      <c r="P155" t="str" cm="1">
        <f>IF(ISBLANK(INDEX(Array_ElectricalChargeData,ROW()-16,COLUMN()*2-3)),"",INDEX(Array_ElectricalChargeData,ROW()-16,COLUMN()*2-3))</f>
        <v/>
      </c>
    </row>
    <row r="156" spans="1:16" x14ac:dyDescent="0.35">
      <c r="A156" t="str">
        <f>IF('Electricity Meters'!B142="",A155,'Electricity Meters'!B142)</f>
        <v>Meter Numbers</v>
      </c>
      <c r="B156" t="str" cm="1">
        <f>IF(ISBLANK(INDEX(Array_ElectricalChargeData,ROW()-16,COLUMN()*2-3)),"",INDEX(Array_ElectricalChargeData,ROW()-16,COLUMN()*2-3))</f>
        <v/>
      </c>
      <c r="C156" t="str" cm="1">
        <f>IF(ISBLANK(INDEX(Array_ElectricalChargeData,ROW()-16,COLUMN()*2-3)),"",INDEX(Array_ElectricalChargeData,ROW()-16,COLUMN()*2-3))</f>
        <v/>
      </c>
      <c r="D156" t="str" cm="1">
        <f>IF(ISBLANK(INDEX(Array_ElectricalChargeData,ROW()-16,COLUMN()*2-3)),"",INDEX(Array_ElectricalChargeData,ROW()-16,COLUMN()*2-3))</f>
        <v/>
      </c>
      <c r="E156" t="str" cm="1">
        <f>IF(ISBLANK(INDEX(Array_ElectricalChargeData,ROW()-16,COLUMN()*2-3)),"",INDEX(Array_ElectricalChargeData,ROW()-16,COLUMN()*2-3))</f>
        <v/>
      </c>
      <c r="F156" t="str" cm="1">
        <f>IF(ISBLANK(INDEX(Array_ElectricalChargeData,ROW()-16,COLUMN()*2-3)),"",INDEX(Array_ElectricalChargeData,ROW()-16,COLUMN()*2-3))</f>
        <v/>
      </c>
      <c r="G156" t="str" cm="1">
        <f>IF(ISBLANK(INDEX(Array_ElectricalChargeData,ROW()-16,COLUMN()*2-3)),"",INDEX(Array_ElectricalChargeData,ROW()-16,COLUMN()*2-3))</f>
        <v/>
      </c>
      <c r="H156" t="str" cm="1">
        <f>IF(ISBLANK(INDEX(Array_ElectricalChargeData,ROW()-16,COLUMN()*2-3)),"",INDEX(Array_ElectricalChargeData,ROW()-16,COLUMN()*2-3))</f>
        <v/>
      </c>
      <c r="I156" t="str" cm="1">
        <f>IF(ISBLANK(INDEX(Array_ElectricalChargeData,ROW()-16,COLUMN()*2-3)),"",INDEX(Array_ElectricalChargeData,ROW()-16,COLUMN()*2-3))</f>
        <v/>
      </c>
      <c r="J156" t="str" cm="1">
        <f>IF(ISBLANK(INDEX(Array_ElectricalChargeData,ROW()-16,COLUMN()*2-3)),"",INDEX(Array_ElectricalChargeData,ROW()-16,COLUMN()*2-3))</f>
        <v/>
      </c>
      <c r="K156" t="str" cm="1">
        <f>IF(ISBLANK(INDEX(Array_ElectricalChargeData,ROW()-16,COLUMN()*2-3)),"",INDEX(Array_ElectricalChargeData,ROW()-16,COLUMN()*2-3))</f>
        <v/>
      </c>
      <c r="L156" t="str" cm="1">
        <f>IF(ISBLANK(INDEX(Array_ElectricalChargeData,ROW()-16,COLUMN()*2-3)),"",INDEX(Array_ElectricalChargeData,ROW()-16,COLUMN()*2-3))</f>
        <v/>
      </c>
      <c r="M156" t="str" cm="1">
        <f>IF(ISBLANK(INDEX(Array_ElectricalChargeData,ROW()-16,COLUMN()*2-3)),"",INDEX(Array_ElectricalChargeData,ROW()-16,COLUMN()*2-3))</f>
        <v/>
      </c>
      <c r="N156" t="str" cm="1">
        <f>IF(ISBLANK(INDEX(Array_ElectricalChargeData,ROW()-16,COLUMN()*2-3)),"",INDEX(Array_ElectricalChargeData,ROW()-16,COLUMN()*2-3))</f>
        <v/>
      </c>
      <c r="O156" t="str" cm="1">
        <f>IF(ISBLANK(INDEX(Array_ElectricalChargeData,ROW()-16,COLUMN()*2-3)),"",INDEX(Array_ElectricalChargeData,ROW()-16,COLUMN()*2-3))</f>
        <v/>
      </c>
      <c r="P156" t="str" cm="1">
        <f>IF(ISBLANK(INDEX(Array_ElectricalChargeData,ROW()-16,COLUMN()*2-3)),"",INDEX(Array_ElectricalChargeData,ROW()-16,COLUMN()*2-3))</f>
        <v/>
      </c>
    </row>
    <row r="157" spans="1:16" x14ac:dyDescent="0.35">
      <c r="A157" t="str">
        <f>IF('Electricity Meters'!B143="",A156,'Electricity Meters'!B143)</f>
        <v>Meter Numbers</v>
      </c>
      <c r="B157" t="str" cm="1">
        <f>IF(ISBLANK(INDEX(Array_ElectricalChargeData,ROW()-16,COLUMN()*2-3)),"",INDEX(Array_ElectricalChargeData,ROW()-16,COLUMN()*2-3))</f>
        <v/>
      </c>
      <c r="C157" t="str" cm="1">
        <f>IF(ISBLANK(INDEX(Array_ElectricalChargeData,ROW()-16,COLUMN()*2-3)),"",INDEX(Array_ElectricalChargeData,ROW()-16,COLUMN()*2-3))</f>
        <v/>
      </c>
      <c r="D157" t="str" cm="1">
        <f>IF(ISBLANK(INDEX(Array_ElectricalChargeData,ROW()-16,COLUMN()*2-3)),"",INDEX(Array_ElectricalChargeData,ROW()-16,COLUMN()*2-3))</f>
        <v/>
      </c>
      <c r="E157" t="str" cm="1">
        <f>IF(ISBLANK(INDEX(Array_ElectricalChargeData,ROW()-16,COLUMN()*2-3)),"",INDEX(Array_ElectricalChargeData,ROW()-16,COLUMN()*2-3))</f>
        <v/>
      </c>
      <c r="F157" t="str" cm="1">
        <f>IF(ISBLANK(INDEX(Array_ElectricalChargeData,ROW()-16,COLUMN()*2-3)),"",INDEX(Array_ElectricalChargeData,ROW()-16,COLUMN()*2-3))</f>
        <v/>
      </c>
      <c r="G157" t="str" cm="1">
        <f>IF(ISBLANK(INDEX(Array_ElectricalChargeData,ROW()-16,COLUMN()*2-3)),"",INDEX(Array_ElectricalChargeData,ROW()-16,COLUMN()*2-3))</f>
        <v/>
      </c>
      <c r="H157" t="str" cm="1">
        <f>IF(ISBLANK(INDEX(Array_ElectricalChargeData,ROW()-16,COLUMN()*2-3)),"",INDEX(Array_ElectricalChargeData,ROW()-16,COLUMN()*2-3))</f>
        <v/>
      </c>
      <c r="I157" t="str" cm="1">
        <f>IF(ISBLANK(INDEX(Array_ElectricalChargeData,ROW()-16,COLUMN()*2-3)),"",INDEX(Array_ElectricalChargeData,ROW()-16,COLUMN()*2-3))</f>
        <v/>
      </c>
      <c r="J157" t="str" cm="1">
        <f>IF(ISBLANK(INDEX(Array_ElectricalChargeData,ROW()-16,COLUMN()*2-3)),"",INDEX(Array_ElectricalChargeData,ROW()-16,COLUMN()*2-3))</f>
        <v/>
      </c>
      <c r="K157" t="str" cm="1">
        <f>IF(ISBLANK(INDEX(Array_ElectricalChargeData,ROW()-16,COLUMN()*2-3)),"",INDEX(Array_ElectricalChargeData,ROW()-16,COLUMN()*2-3))</f>
        <v/>
      </c>
      <c r="L157" t="str" cm="1">
        <f>IF(ISBLANK(INDEX(Array_ElectricalChargeData,ROW()-16,COLUMN()*2-3)),"",INDEX(Array_ElectricalChargeData,ROW()-16,COLUMN()*2-3))</f>
        <v/>
      </c>
      <c r="M157" t="str" cm="1">
        <f>IF(ISBLANK(INDEX(Array_ElectricalChargeData,ROW()-16,COLUMN()*2-3)),"",INDEX(Array_ElectricalChargeData,ROW()-16,COLUMN()*2-3))</f>
        <v/>
      </c>
      <c r="N157" t="str" cm="1">
        <f>IF(ISBLANK(INDEX(Array_ElectricalChargeData,ROW()-16,COLUMN()*2-3)),"",INDEX(Array_ElectricalChargeData,ROW()-16,COLUMN()*2-3))</f>
        <v/>
      </c>
      <c r="O157" t="str" cm="1">
        <f>IF(ISBLANK(INDEX(Array_ElectricalChargeData,ROW()-16,COLUMN()*2-3)),"",INDEX(Array_ElectricalChargeData,ROW()-16,COLUMN()*2-3))</f>
        <v/>
      </c>
      <c r="P157" t="str" cm="1">
        <f>IF(ISBLANK(INDEX(Array_ElectricalChargeData,ROW()-16,COLUMN()*2-3)),"",INDEX(Array_ElectricalChargeData,ROW()-16,COLUMN()*2-3))</f>
        <v/>
      </c>
    </row>
    <row r="158" spans="1:16" x14ac:dyDescent="0.35">
      <c r="A158" t="str">
        <f>IF('Electricity Meters'!B144="",A157,'Electricity Meters'!B144)</f>
        <v>Meter Numbers</v>
      </c>
      <c r="B158" t="str" cm="1">
        <f>IF(ISBLANK(INDEX(Array_ElectricalChargeData,ROW()-16,COLUMN()*2-3)),"",INDEX(Array_ElectricalChargeData,ROW()-16,COLUMN()*2-3))</f>
        <v/>
      </c>
      <c r="C158" t="str" cm="1">
        <f>IF(ISBLANK(INDEX(Array_ElectricalChargeData,ROW()-16,COLUMN()*2-3)),"",INDEX(Array_ElectricalChargeData,ROW()-16,COLUMN()*2-3))</f>
        <v/>
      </c>
      <c r="D158" t="str" cm="1">
        <f>IF(ISBLANK(INDEX(Array_ElectricalChargeData,ROW()-16,COLUMN()*2-3)),"",INDEX(Array_ElectricalChargeData,ROW()-16,COLUMN()*2-3))</f>
        <v/>
      </c>
      <c r="E158" t="str" cm="1">
        <f>IF(ISBLANK(INDEX(Array_ElectricalChargeData,ROW()-16,COLUMN()*2-3)),"",INDEX(Array_ElectricalChargeData,ROW()-16,COLUMN()*2-3))</f>
        <v/>
      </c>
      <c r="F158" t="str" cm="1">
        <f>IF(ISBLANK(INDEX(Array_ElectricalChargeData,ROW()-16,COLUMN()*2-3)),"",INDEX(Array_ElectricalChargeData,ROW()-16,COLUMN()*2-3))</f>
        <v/>
      </c>
      <c r="G158" t="str" cm="1">
        <f>IF(ISBLANK(INDEX(Array_ElectricalChargeData,ROW()-16,COLUMN()*2-3)),"",INDEX(Array_ElectricalChargeData,ROW()-16,COLUMN()*2-3))</f>
        <v/>
      </c>
      <c r="H158" t="str" cm="1">
        <f>IF(ISBLANK(INDEX(Array_ElectricalChargeData,ROW()-16,COLUMN()*2-3)),"",INDEX(Array_ElectricalChargeData,ROW()-16,COLUMN()*2-3))</f>
        <v/>
      </c>
      <c r="I158" t="str" cm="1">
        <f>IF(ISBLANK(INDEX(Array_ElectricalChargeData,ROW()-16,COLUMN()*2-3)),"",INDEX(Array_ElectricalChargeData,ROW()-16,COLUMN()*2-3))</f>
        <v/>
      </c>
      <c r="J158" t="str" cm="1">
        <f>IF(ISBLANK(INDEX(Array_ElectricalChargeData,ROW()-16,COLUMN()*2-3)),"",INDEX(Array_ElectricalChargeData,ROW()-16,COLUMN()*2-3))</f>
        <v/>
      </c>
      <c r="K158" t="str" cm="1">
        <f>IF(ISBLANK(INDEX(Array_ElectricalChargeData,ROW()-16,COLUMN()*2-3)),"",INDEX(Array_ElectricalChargeData,ROW()-16,COLUMN()*2-3))</f>
        <v/>
      </c>
      <c r="L158" t="str" cm="1">
        <f>IF(ISBLANK(INDEX(Array_ElectricalChargeData,ROW()-16,COLUMN()*2-3)),"",INDEX(Array_ElectricalChargeData,ROW()-16,COLUMN()*2-3))</f>
        <v/>
      </c>
      <c r="M158" t="str" cm="1">
        <f>IF(ISBLANK(INDEX(Array_ElectricalChargeData,ROW()-16,COLUMN()*2-3)),"",INDEX(Array_ElectricalChargeData,ROW()-16,COLUMN()*2-3))</f>
        <v/>
      </c>
      <c r="N158" t="str" cm="1">
        <f>IF(ISBLANK(INDEX(Array_ElectricalChargeData,ROW()-16,COLUMN()*2-3)),"",INDEX(Array_ElectricalChargeData,ROW()-16,COLUMN()*2-3))</f>
        <v/>
      </c>
      <c r="O158" t="str" cm="1">
        <f>IF(ISBLANK(INDEX(Array_ElectricalChargeData,ROW()-16,COLUMN()*2-3)),"",INDEX(Array_ElectricalChargeData,ROW()-16,COLUMN()*2-3))</f>
        <v/>
      </c>
      <c r="P158" t="str" cm="1">
        <f>IF(ISBLANK(INDEX(Array_ElectricalChargeData,ROW()-16,COLUMN()*2-3)),"",INDEX(Array_ElectricalChargeData,ROW()-16,COLUMN()*2-3))</f>
        <v/>
      </c>
    </row>
    <row r="159" spans="1:16" x14ac:dyDescent="0.35">
      <c r="A159" t="str">
        <f>IF('Electricity Meters'!B145="",A158,'Electricity Meters'!B145)</f>
        <v>Meter Numbers</v>
      </c>
      <c r="B159" t="str" cm="1">
        <f>IF(ISBLANK(INDEX(Array_ElectricalChargeData,ROW()-16,COLUMN()*2-3)),"",INDEX(Array_ElectricalChargeData,ROW()-16,COLUMN()*2-3))</f>
        <v/>
      </c>
      <c r="C159" t="str" cm="1">
        <f>IF(ISBLANK(INDEX(Array_ElectricalChargeData,ROW()-16,COLUMN()*2-3)),"",INDEX(Array_ElectricalChargeData,ROW()-16,COLUMN()*2-3))</f>
        <v/>
      </c>
      <c r="D159" t="str" cm="1">
        <f>IF(ISBLANK(INDEX(Array_ElectricalChargeData,ROW()-16,COLUMN()*2-3)),"",INDEX(Array_ElectricalChargeData,ROW()-16,COLUMN()*2-3))</f>
        <v/>
      </c>
      <c r="E159" t="str" cm="1">
        <f>IF(ISBLANK(INDEX(Array_ElectricalChargeData,ROW()-16,COLUMN()*2-3)),"",INDEX(Array_ElectricalChargeData,ROW()-16,COLUMN()*2-3))</f>
        <v/>
      </c>
      <c r="F159" t="str" cm="1">
        <f>IF(ISBLANK(INDEX(Array_ElectricalChargeData,ROW()-16,COLUMN()*2-3)),"",INDEX(Array_ElectricalChargeData,ROW()-16,COLUMN()*2-3))</f>
        <v/>
      </c>
      <c r="G159" t="str" cm="1">
        <f>IF(ISBLANK(INDEX(Array_ElectricalChargeData,ROW()-16,COLUMN()*2-3)),"",INDEX(Array_ElectricalChargeData,ROW()-16,COLUMN()*2-3))</f>
        <v/>
      </c>
      <c r="H159" t="str" cm="1">
        <f>IF(ISBLANK(INDEX(Array_ElectricalChargeData,ROW()-16,COLUMN()*2-3)),"",INDEX(Array_ElectricalChargeData,ROW()-16,COLUMN()*2-3))</f>
        <v/>
      </c>
      <c r="I159" t="str" cm="1">
        <f>IF(ISBLANK(INDEX(Array_ElectricalChargeData,ROW()-16,COLUMN()*2-3)),"",INDEX(Array_ElectricalChargeData,ROW()-16,COLUMN()*2-3))</f>
        <v/>
      </c>
      <c r="J159" t="str" cm="1">
        <f>IF(ISBLANK(INDEX(Array_ElectricalChargeData,ROW()-16,COLUMN()*2-3)),"",INDEX(Array_ElectricalChargeData,ROW()-16,COLUMN()*2-3))</f>
        <v/>
      </c>
      <c r="K159" t="str" cm="1">
        <f>IF(ISBLANK(INDEX(Array_ElectricalChargeData,ROW()-16,COLUMN()*2-3)),"",INDEX(Array_ElectricalChargeData,ROW()-16,COLUMN()*2-3))</f>
        <v/>
      </c>
      <c r="L159" t="str" cm="1">
        <f>IF(ISBLANK(INDEX(Array_ElectricalChargeData,ROW()-16,COLUMN()*2-3)),"",INDEX(Array_ElectricalChargeData,ROW()-16,COLUMN()*2-3))</f>
        <v/>
      </c>
      <c r="M159" t="str" cm="1">
        <f>IF(ISBLANK(INDEX(Array_ElectricalChargeData,ROW()-16,COLUMN()*2-3)),"",INDEX(Array_ElectricalChargeData,ROW()-16,COLUMN()*2-3))</f>
        <v/>
      </c>
      <c r="N159" t="str" cm="1">
        <f>IF(ISBLANK(INDEX(Array_ElectricalChargeData,ROW()-16,COLUMN()*2-3)),"",INDEX(Array_ElectricalChargeData,ROW()-16,COLUMN()*2-3))</f>
        <v/>
      </c>
      <c r="O159" t="str" cm="1">
        <f>IF(ISBLANK(INDEX(Array_ElectricalChargeData,ROW()-16,COLUMN()*2-3)),"",INDEX(Array_ElectricalChargeData,ROW()-16,COLUMN()*2-3))</f>
        <v/>
      </c>
      <c r="P159" t="str" cm="1">
        <f>IF(ISBLANK(INDEX(Array_ElectricalChargeData,ROW()-16,COLUMN()*2-3)),"",INDEX(Array_ElectricalChargeData,ROW()-16,COLUMN()*2-3))</f>
        <v/>
      </c>
    </row>
    <row r="160" spans="1:16" x14ac:dyDescent="0.35">
      <c r="A160" t="str">
        <f>IF('Electricity Meters'!B146="",A159,'Electricity Meters'!B146)</f>
        <v>Meter Numbers</v>
      </c>
      <c r="B160" t="str" cm="1">
        <f>IF(ISBLANK(INDEX(Array_ElectricalChargeData,ROW()-16,COLUMN()*2-3)),"",INDEX(Array_ElectricalChargeData,ROW()-16,COLUMN()*2-3))</f>
        <v/>
      </c>
      <c r="C160" t="str" cm="1">
        <f>IF(ISBLANK(INDEX(Array_ElectricalChargeData,ROW()-16,COLUMN()*2-3)),"",INDEX(Array_ElectricalChargeData,ROW()-16,COLUMN()*2-3))</f>
        <v/>
      </c>
      <c r="D160" t="str" cm="1">
        <f>IF(ISBLANK(INDEX(Array_ElectricalChargeData,ROW()-16,COLUMN()*2-3)),"",INDEX(Array_ElectricalChargeData,ROW()-16,COLUMN()*2-3))</f>
        <v/>
      </c>
      <c r="E160" t="str" cm="1">
        <f>IF(ISBLANK(INDEX(Array_ElectricalChargeData,ROW()-16,COLUMN()*2-3)),"",INDEX(Array_ElectricalChargeData,ROW()-16,COLUMN()*2-3))</f>
        <v/>
      </c>
      <c r="F160" t="str" cm="1">
        <f>IF(ISBLANK(INDEX(Array_ElectricalChargeData,ROW()-16,COLUMN()*2-3)),"",INDEX(Array_ElectricalChargeData,ROW()-16,COLUMN()*2-3))</f>
        <v/>
      </c>
      <c r="G160" t="str" cm="1">
        <f>IF(ISBLANK(INDEX(Array_ElectricalChargeData,ROW()-16,COLUMN()*2-3)),"",INDEX(Array_ElectricalChargeData,ROW()-16,COLUMN()*2-3))</f>
        <v/>
      </c>
      <c r="H160" t="str" cm="1">
        <f>IF(ISBLANK(INDEX(Array_ElectricalChargeData,ROW()-16,COLUMN()*2-3)),"",INDEX(Array_ElectricalChargeData,ROW()-16,COLUMN()*2-3))</f>
        <v/>
      </c>
      <c r="I160" t="str" cm="1">
        <f>IF(ISBLANK(INDEX(Array_ElectricalChargeData,ROW()-16,COLUMN()*2-3)),"",INDEX(Array_ElectricalChargeData,ROW()-16,COLUMN()*2-3))</f>
        <v/>
      </c>
      <c r="J160" t="str" cm="1">
        <f>IF(ISBLANK(INDEX(Array_ElectricalChargeData,ROW()-16,COLUMN()*2-3)),"",INDEX(Array_ElectricalChargeData,ROW()-16,COLUMN()*2-3))</f>
        <v/>
      </c>
      <c r="K160" t="str" cm="1">
        <f>IF(ISBLANK(INDEX(Array_ElectricalChargeData,ROW()-16,COLUMN()*2-3)),"",INDEX(Array_ElectricalChargeData,ROW()-16,COLUMN()*2-3))</f>
        <v/>
      </c>
      <c r="L160" t="str" cm="1">
        <f>IF(ISBLANK(INDEX(Array_ElectricalChargeData,ROW()-16,COLUMN()*2-3)),"",INDEX(Array_ElectricalChargeData,ROW()-16,COLUMN()*2-3))</f>
        <v/>
      </c>
      <c r="M160" t="str" cm="1">
        <f>IF(ISBLANK(INDEX(Array_ElectricalChargeData,ROW()-16,COLUMN()*2-3)),"",INDEX(Array_ElectricalChargeData,ROW()-16,COLUMN()*2-3))</f>
        <v/>
      </c>
      <c r="N160" t="str" cm="1">
        <f>IF(ISBLANK(INDEX(Array_ElectricalChargeData,ROW()-16,COLUMN()*2-3)),"",INDEX(Array_ElectricalChargeData,ROW()-16,COLUMN()*2-3))</f>
        <v/>
      </c>
      <c r="O160" t="str" cm="1">
        <f>IF(ISBLANK(INDEX(Array_ElectricalChargeData,ROW()-16,COLUMN()*2-3)),"",INDEX(Array_ElectricalChargeData,ROW()-16,COLUMN()*2-3))</f>
        <v/>
      </c>
      <c r="P160" t="str" cm="1">
        <f>IF(ISBLANK(INDEX(Array_ElectricalChargeData,ROW()-16,COLUMN()*2-3)),"",INDEX(Array_ElectricalChargeData,ROW()-16,COLUMN()*2-3))</f>
        <v/>
      </c>
    </row>
    <row r="161" spans="1:16" x14ac:dyDescent="0.35">
      <c r="A161" t="str">
        <f>IF('Electricity Meters'!B147="",A160,'Electricity Meters'!B147)</f>
        <v>Meter Numbers</v>
      </c>
      <c r="B161" t="str" cm="1">
        <f>IF(ISBLANK(INDEX(Array_ElectricalChargeData,ROW()-16,COLUMN()*2-3)),"",INDEX(Array_ElectricalChargeData,ROW()-16,COLUMN()*2-3))</f>
        <v/>
      </c>
      <c r="C161" t="str" cm="1">
        <f>IF(ISBLANK(INDEX(Array_ElectricalChargeData,ROW()-16,COLUMN()*2-3)),"",INDEX(Array_ElectricalChargeData,ROW()-16,COLUMN()*2-3))</f>
        <v/>
      </c>
      <c r="D161" t="str" cm="1">
        <f>IF(ISBLANK(INDEX(Array_ElectricalChargeData,ROW()-16,COLUMN()*2-3)),"",INDEX(Array_ElectricalChargeData,ROW()-16,COLUMN()*2-3))</f>
        <v/>
      </c>
      <c r="E161" t="str" cm="1">
        <f>IF(ISBLANK(INDEX(Array_ElectricalChargeData,ROW()-16,COLUMN()*2-3)),"",INDEX(Array_ElectricalChargeData,ROW()-16,COLUMN()*2-3))</f>
        <v/>
      </c>
      <c r="F161" t="str" cm="1">
        <f>IF(ISBLANK(INDEX(Array_ElectricalChargeData,ROW()-16,COLUMN()*2-3)),"",INDEX(Array_ElectricalChargeData,ROW()-16,COLUMN()*2-3))</f>
        <v/>
      </c>
      <c r="G161" t="str" cm="1">
        <f>IF(ISBLANK(INDEX(Array_ElectricalChargeData,ROW()-16,COLUMN()*2-3)),"",INDEX(Array_ElectricalChargeData,ROW()-16,COLUMN()*2-3))</f>
        <v/>
      </c>
      <c r="H161" t="str" cm="1">
        <f>IF(ISBLANK(INDEX(Array_ElectricalChargeData,ROW()-16,COLUMN()*2-3)),"",INDEX(Array_ElectricalChargeData,ROW()-16,COLUMN()*2-3))</f>
        <v/>
      </c>
      <c r="I161" t="str" cm="1">
        <f>IF(ISBLANK(INDEX(Array_ElectricalChargeData,ROW()-16,COLUMN()*2-3)),"",INDEX(Array_ElectricalChargeData,ROW()-16,COLUMN()*2-3))</f>
        <v/>
      </c>
      <c r="J161" t="str" cm="1">
        <f>IF(ISBLANK(INDEX(Array_ElectricalChargeData,ROW()-16,COLUMN()*2-3)),"",INDEX(Array_ElectricalChargeData,ROW()-16,COLUMN()*2-3))</f>
        <v/>
      </c>
      <c r="K161" t="str" cm="1">
        <f>IF(ISBLANK(INDEX(Array_ElectricalChargeData,ROW()-16,COLUMN()*2-3)),"",INDEX(Array_ElectricalChargeData,ROW()-16,COLUMN()*2-3))</f>
        <v/>
      </c>
      <c r="L161" t="str" cm="1">
        <f>IF(ISBLANK(INDEX(Array_ElectricalChargeData,ROW()-16,COLUMN()*2-3)),"",INDEX(Array_ElectricalChargeData,ROW()-16,COLUMN()*2-3))</f>
        <v/>
      </c>
      <c r="M161" t="str" cm="1">
        <f>IF(ISBLANK(INDEX(Array_ElectricalChargeData,ROW()-16,COLUMN()*2-3)),"",INDEX(Array_ElectricalChargeData,ROW()-16,COLUMN()*2-3))</f>
        <v/>
      </c>
      <c r="N161" t="str" cm="1">
        <f>IF(ISBLANK(INDEX(Array_ElectricalChargeData,ROW()-16,COLUMN()*2-3)),"",INDEX(Array_ElectricalChargeData,ROW()-16,COLUMN()*2-3))</f>
        <v/>
      </c>
      <c r="O161" t="str" cm="1">
        <f>IF(ISBLANK(INDEX(Array_ElectricalChargeData,ROW()-16,COLUMN()*2-3)),"",INDEX(Array_ElectricalChargeData,ROW()-16,COLUMN()*2-3))</f>
        <v/>
      </c>
      <c r="P161" t="str" cm="1">
        <f>IF(ISBLANK(INDEX(Array_ElectricalChargeData,ROW()-16,COLUMN()*2-3)),"",INDEX(Array_ElectricalChargeData,ROW()-16,COLUMN()*2-3))</f>
        <v/>
      </c>
    </row>
    <row r="162" spans="1:16" x14ac:dyDescent="0.35">
      <c r="A162" t="str">
        <f>IF('Electricity Meters'!B148="",A161,'Electricity Meters'!B148)</f>
        <v>Meter Numbers</v>
      </c>
      <c r="B162" t="str" cm="1">
        <f>IF(ISBLANK(INDEX(Array_ElectricalChargeData,ROW()-16,COLUMN()*2-3)),"",INDEX(Array_ElectricalChargeData,ROW()-16,COLUMN()*2-3))</f>
        <v/>
      </c>
      <c r="C162" t="str" cm="1">
        <f>IF(ISBLANK(INDEX(Array_ElectricalChargeData,ROW()-16,COLUMN()*2-3)),"",INDEX(Array_ElectricalChargeData,ROW()-16,COLUMN()*2-3))</f>
        <v/>
      </c>
      <c r="D162" t="str" cm="1">
        <f>IF(ISBLANK(INDEX(Array_ElectricalChargeData,ROW()-16,COLUMN()*2-3)),"",INDEX(Array_ElectricalChargeData,ROW()-16,COLUMN()*2-3))</f>
        <v/>
      </c>
      <c r="E162" t="str" cm="1">
        <f>IF(ISBLANK(INDEX(Array_ElectricalChargeData,ROW()-16,COLUMN()*2-3)),"",INDEX(Array_ElectricalChargeData,ROW()-16,COLUMN()*2-3))</f>
        <v/>
      </c>
      <c r="F162" t="str" cm="1">
        <f>IF(ISBLANK(INDEX(Array_ElectricalChargeData,ROW()-16,COLUMN()*2-3)),"",INDEX(Array_ElectricalChargeData,ROW()-16,COLUMN()*2-3))</f>
        <v/>
      </c>
      <c r="G162" t="str" cm="1">
        <f>IF(ISBLANK(INDEX(Array_ElectricalChargeData,ROW()-16,COLUMN()*2-3)),"",INDEX(Array_ElectricalChargeData,ROW()-16,COLUMN()*2-3))</f>
        <v/>
      </c>
      <c r="H162" t="str" cm="1">
        <f>IF(ISBLANK(INDEX(Array_ElectricalChargeData,ROW()-16,COLUMN()*2-3)),"",INDEX(Array_ElectricalChargeData,ROW()-16,COLUMN()*2-3))</f>
        <v/>
      </c>
      <c r="I162" t="str" cm="1">
        <f>IF(ISBLANK(INDEX(Array_ElectricalChargeData,ROW()-16,COLUMN()*2-3)),"",INDEX(Array_ElectricalChargeData,ROW()-16,COLUMN()*2-3))</f>
        <v/>
      </c>
      <c r="J162" t="str" cm="1">
        <f>IF(ISBLANK(INDEX(Array_ElectricalChargeData,ROW()-16,COLUMN()*2-3)),"",INDEX(Array_ElectricalChargeData,ROW()-16,COLUMN()*2-3))</f>
        <v/>
      </c>
      <c r="K162" t="str" cm="1">
        <f>IF(ISBLANK(INDEX(Array_ElectricalChargeData,ROW()-16,COLUMN()*2-3)),"",INDEX(Array_ElectricalChargeData,ROW()-16,COLUMN()*2-3))</f>
        <v/>
      </c>
      <c r="L162" t="str" cm="1">
        <f>IF(ISBLANK(INDEX(Array_ElectricalChargeData,ROW()-16,COLUMN()*2-3)),"",INDEX(Array_ElectricalChargeData,ROW()-16,COLUMN()*2-3))</f>
        <v/>
      </c>
      <c r="M162" t="str" cm="1">
        <f>IF(ISBLANK(INDEX(Array_ElectricalChargeData,ROW()-16,COLUMN()*2-3)),"",INDEX(Array_ElectricalChargeData,ROW()-16,COLUMN()*2-3))</f>
        <v/>
      </c>
      <c r="N162" t="str" cm="1">
        <f>IF(ISBLANK(INDEX(Array_ElectricalChargeData,ROW()-16,COLUMN()*2-3)),"",INDEX(Array_ElectricalChargeData,ROW()-16,COLUMN()*2-3))</f>
        <v/>
      </c>
      <c r="O162" t="str" cm="1">
        <f>IF(ISBLANK(INDEX(Array_ElectricalChargeData,ROW()-16,COLUMN()*2-3)),"",INDEX(Array_ElectricalChargeData,ROW()-16,COLUMN()*2-3))</f>
        <v/>
      </c>
      <c r="P162" t="str" cm="1">
        <f>IF(ISBLANK(INDEX(Array_ElectricalChargeData,ROW()-16,COLUMN()*2-3)),"",INDEX(Array_ElectricalChargeData,ROW()-16,COLUMN()*2-3))</f>
        <v/>
      </c>
    </row>
    <row r="163" spans="1:16" x14ac:dyDescent="0.35">
      <c r="A163" t="str">
        <f>IF('Electricity Meters'!B149="",A162,'Electricity Meters'!B149)</f>
        <v>Meter Numbers</v>
      </c>
      <c r="B163" t="str" cm="1">
        <f>IF(ISBLANK(INDEX(Array_ElectricalChargeData,ROW()-16,COLUMN()*2-3)),"",INDEX(Array_ElectricalChargeData,ROW()-16,COLUMN()*2-3))</f>
        <v/>
      </c>
      <c r="C163" t="str" cm="1">
        <f>IF(ISBLANK(INDEX(Array_ElectricalChargeData,ROW()-16,COLUMN()*2-3)),"",INDEX(Array_ElectricalChargeData,ROW()-16,COLUMN()*2-3))</f>
        <v/>
      </c>
      <c r="D163" t="str" cm="1">
        <f>IF(ISBLANK(INDEX(Array_ElectricalChargeData,ROW()-16,COLUMN()*2-3)),"",INDEX(Array_ElectricalChargeData,ROW()-16,COLUMN()*2-3))</f>
        <v/>
      </c>
      <c r="E163" t="str" cm="1">
        <f>IF(ISBLANK(INDEX(Array_ElectricalChargeData,ROW()-16,COLUMN()*2-3)),"",INDEX(Array_ElectricalChargeData,ROW()-16,COLUMN()*2-3))</f>
        <v/>
      </c>
      <c r="F163" t="str" cm="1">
        <f>IF(ISBLANK(INDEX(Array_ElectricalChargeData,ROW()-16,COLUMN()*2-3)),"",INDEX(Array_ElectricalChargeData,ROW()-16,COLUMN()*2-3))</f>
        <v/>
      </c>
      <c r="G163" t="str" cm="1">
        <f>IF(ISBLANK(INDEX(Array_ElectricalChargeData,ROW()-16,COLUMN()*2-3)),"",INDEX(Array_ElectricalChargeData,ROW()-16,COLUMN()*2-3))</f>
        <v/>
      </c>
      <c r="H163" t="str" cm="1">
        <f>IF(ISBLANK(INDEX(Array_ElectricalChargeData,ROW()-16,COLUMN()*2-3)),"",INDEX(Array_ElectricalChargeData,ROW()-16,COLUMN()*2-3))</f>
        <v/>
      </c>
      <c r="I163" t="str" cm="1">
        <f>IF(ISBLANK(INDEX(Array_ElectricalChargeData,ROW()-16,COLUMN()*2-3)),"",INDEX(Array_ElectricalChargeData,ROW()-16,COLUMN()*2-3))</f>
        <v/>
      </c>
      <c r="J163" t="str" cm="1">
        <f>IF(ISBLANK(INDEX(Array_ElectricalChargeData,ROW()-16,COLUMN()*2-3)),"",INDEX(Array_ElectricalChargeData,ROW()-16,COLUMN()*2-3))</f>
        <v/>
      </c>
      <c r="K163" t="str" cm="1">
        <f>IF(ISBLANK(INDEX(Array_ElectricalChargeData,ROW()-16,COLUMN()*2-3)),"",INDEX(Array_ElectricalChargeData,ROW()-16,COLUMN()*2-3))</f>
        <v/>
      </c>
      <c r="L163" t="str" cm="1">
        <f>IF(ISBLANK(INDEX(Array_ElectricalChargeData,ROW()-16,COLUMN()*2-3)),"",INDEX(Array_ElectricalChargeData,ROW()-16,COLUMN()*2-3))</f>
        <v/>
      </c>
      <c r="M163" t="str" cm="1">
        <f>IF(ISBLANK(INDEX(Array_ElectricalChargeData,ROW()-16,COLUMN()*2-3)),"",INDEX(Array_ElectricalChargeData,ROW()-16,COLUMN()*2-3))</f>
        <v/>
      </c>
      <c r="N163" t="str" cm="1">
        <f>IF(ISBLANK(INDEX(Array_ElectricalChargeData,ROW()-16,COLUMN()*2-3)),"",INDEX(Array_ElectricalChargeData,ROW()-16,COLUMN()*2-3))</f>
        <v/>
      </c>
      <c r="O163" t="str" cm="1">
        <f>IF(ISBLANK(INDEX(Array_ElectricalChargeData,ROW()-16,COLUMN()*2-3)),"",INDEX(Array_ElectricalChargeData,ROW()-16,COLUMN()*2-3))</f>
        <v/>
      </c>
      <c r="P163" t="str" cm="1">
        <f>IF(ISBLANK(INDEX(Array_ElectricalChargeData,ROW()-16,COLUMN()*2-3)),"",INDEX(Array_ElectricalChargeData,ROW()-16,COLUMN()*2-3))</f>
        <v/>
      </c>
    </row>
    <row r="164" spans="1:16" x14ac:dyDescent="0.35">
      <c r="A164" t="str">
        <f>IF('Electricity Meters'!B150="",A163,'Electricity Meters'!B150)</f>
        <v>Meter Numbers</v>
      </c>
      <c r="B164" t="str" cm="1">
        <f>IF(ISBLANK(INDEX(Array_ElectricalChargeData,ROW()-16,COLUMN()*2-3)),"",INDEX(Array_ElectricalChargeData,ROW()-16,COLUMN()*2-3))</f>
        <v/>
      </c>
      <c r="C164" t="str" cm="1">
        <f>IF(ISBLANK(INDEX(Array_ElectricalChargeData,ROW()-16,COLUMN()*2-3)),"",INDEX(Array_ElectricalChargeData,ROW()-16,COLUMN()*2-3))</f>
        <v/>
      </c>
      <c r="D164" t="str" cm="1">
        <f>IF(ISBLANK(INDEX(Array_ElectricalChargeData,ROW()-16,COLUMN()*2-3)),"",INDEX(Array_ElectricalChargeData,ROW()-16,COLUMN()*2-3))</f>
        <v/>
      </c>
      <c r="E164" t="str" cm="1">
        <f>IF(ISBLANK(INDEX(Array_ElectricalChargeData,ROW()-16,COLUMN()*2-3)),"",INDEX(Array_ElectricalChargeData,ROW()-16,COLUMN()*2-3))</f>
        <v/>
      </c>
      <c r="F164" t="str" cm="1">
        <f>IF(ISBLANK(INDEX(Array_ElectricalChargeData,ROW()-16,COLUMN()*2-3)),"",INDEX(Array_ElectricalChargeData,ROW()-16,COLUMN()*2-3))</f>
        <v/>
      </c>
      <c r="G164" t="str" cm="1">
        <f>IF(ISBLANK(INDEX(Array_ElectricalChargeData,ROW()-16,COLUMN()*2-3)),"",INDEX(Array_ElectricalChargeData,ROW()-16,COLUMN()*2-3))</f>
        <v/>
      </c>
      <c r="H164" t="str" cm="1">
        <f>IF(ISBLANK(INDEX(Array_ElectricalChargeData,ROW()-16,COLUMN()*2-3)),"",INDEX(Array_ElectricalChargeData,ROW()-16,COLUMN()*2-3))</f>
        <v/>
      </c>
      <c r="I164" t="str" cm="1">
        <f>IF(ISBLANK(INDEX(Array_ElectricalChargeData,ROW()-16,COLUMN()*2-3)),"",INDEX(Array_ElectricalChargeData,ROW()-16,COLUMN()*2-3))</f>
        <v/>
      </c>
      <c r="J164" t="str" cm="1">
        <f>IF(ISBLANK(INDEX(Array_ElectricalChargeData,ROW()-16,COLUMN()*2-3)),"",INDEX(Array_ElectricalChargeData,ROW()-16,COLUMN()*2-3))</f>
        <v/>
      </c>
      <c r="K164" t="str" cm="1">
        <f>IF(ISBLANK(INDEX(Array_ElectricalChargeData,ROW()-16,COLUMN()*2-3)),"",INDEX(Array_ElectricalChargeData,ROW()-16,COLUMN()*2-3))</f>
        <v/>
      </c>
      <c r="L164" t="str" cm="1">
        <f>IF(ISBLANK(INDEX(Array_ElectricalChargeData,ROW()-16,COLUMN()*2-3)),"",INDEX(Array_ElectricalChargeData,ROW()-16,COLUMN()*2-3))</f>
        <v/>
      </c>
      <c r="M164" t="str" cm="1">
        <f>IF(ISBLANK(INDEX(Array_ElectricalChargeData,ROW()-16,COLUMN()*2-3)),"",INDEX(Array_ElectricalChargeData,ROW()-16,COLUMN()*2-3))</f>
        <v/>
      </c>
      <c r="N164" t="str" cm="1">
        <f>IF(ISBLANK(INDEX(Array_ElectricalChargeData,ROW()-16,COLUMN()*2-3)),"",INDEX(Array_ElectricalChargeData,ROW()-16,COLUMN()*2-3))</f>
        <v/>
      </c>
      <c r="O164" t="str" cm="1">
        <f>IF(ISBLANK(INDEX(Array_ElectricalChargeData,ROW()-16,COLUMN()*2-3)),"",INDEX(Array_ElectricalChargeData,ROW()-16,COLUMN()*2-3))</f>
        <v/>
      </c>
      <c r="P164" t="str" cm="1">
        <f>IF(ISBLANK(INDEX(Array_ElectricalChargeData,ROW()-16,COLUMN()*2-3)),"",INDEX(Array_ElectricalChargeData,ROW()-16,COLUMN()*2-3))</f>
        <v/>
      </c>
    </row>
    <row r="165" spans="1:16" x14ac:dyDescent="0.35">
      <c r="A165" t="str">
        <f>IF('Electricity Meters'!B151="",A164,'Electricity Meters'!B151)</f>
        <v>Meter Numbers</v>
      </c>
      <c r="B165" t="str" cm="1">
        <f>IF(ISBLANK(INDEX(Array_ElectricalChargeData,ROW()-16,COLUMN()*2-3)),"",INDEX(Array_ElectricalChargeData,ROW()-16,COLUMN()*2-3))</f>
        <v/>
      </c>
      <c r="C165" t="str" cm="1">
        <f>IF(ISBLANK(INDEX(Array_ElectricalChargeData,ROW()-16,COLUMN()*2-3)),"",INDEX(Array_ElectricalChargeData,ROW()-16,COLUMN()*2-3))</f>
        <v/>
      </c>
      <c r="D165" t="str" cm="1">
        <f>IF(ISBLANK(INDEX(Array_ElectricalChargeData,ROW()-16,COLUMN()*2-3)),"",INDEX(Array_ElectricalChargeData,ROW()-16,COLUMN()*2-3))</f>
        <v/>
      </c>
      <c r="E165" t="str" cm="1">
        <f>IF(ISBLANK(INDEX(Array_ElectricalChargeData,ROW()-16,COLUMN()*2-3)),"",INDEX(Array_ElectricalChargeData,ROW()-16,COLUMN()*2-3))</f>
        <v/>
      </c>
      <c r="F165" t="str" cm="1">
        <f>IF(ISBLANK(INDEX(Array_ElectricalChargeData,ROW()-16,COLUMN()*2-3)),"",INDEX(Array_ElectricalChargeData,ROW()-16,COLUMN()*2-3))</f>
        <v/>
      </c>
      <c r="G165" t="str" cm="1">
        <f>IF(ISBLANK(INDEX(Array_ElectricalChargeData,ROW()-16,COLUMN()*2-3)),"",INDEX(Array_ElectricalChargeData,ROW()-16,COLUMN()*2-3))</f>
        <v/>
      </c>
      <c r="H165" t="str" cm="1">
        <f>IF(ISBLANK(INDEX(Array_ElectricalChargeData,ROW()-16,COLUMN()*2-3)),"",INDEX(Array_ElectricalChargeData,ROW()-16,COLUMN()*2-3))</f>
        <v/>
      </c>
      <c r="I165" t="str" cm="1">
        <f>IF(ISBLANK(INDEX(Array_ElectricalChargeData,ROW()-16,COLUMN()*2-3)),"",INDEX(Array_ElectricalChargeData,ROW()-16,COLUMN()*2-3))</f>
        <v/>
      </c>
      <c r="J165" t="str" cm="1">
        <f>IF(ISBLANK(INDEX(Array_ElectricalChargeData,ROW()-16,COLUMN()*2-3)),"",INDEX(Array_ElectricalChargeData,ROW()-16,COLUMN()*2-3))</f>
        <v/>
      </c>
      <c r="K165" t="str" cm="1">
        <f>IF(ISBLANK(INDEX(Array_ElectricalChargeData,ROW()-16,COLUMN()*2-3)),"",INDEX(Array_ElectricalChargeData,ROW()-16,COLUMN()*2-3))</f>
        <v/>
      </c>
      <c r="L165" t="str" cm="1">
        <f>IF(ISBLANK(INDEX(Array_ElectricalChargeData,ROW()-16,COLUMN()*2-3)),"",INDEX(Array_ElectricalChargeData,ROW()-16,COLUMN()*2-3))</f>
        <v/>
      </c>
      <c r="M165" t="str" cm="1">
        <f>IF(ISBLANK(INDEX(Array_ElectricalChargeData,ROW()-16,COLUMN()*2-3)),"",INDEX(Array_ElectricalChargeData,ROW()-16,COLUMN()*2-3))</f>
        <v/>
      </c>
      <c r="N165" t="str" cm="1">
        <f>IF(ISBLANK(INDEX(Array_ElectricalChargeData,ROW()-16,COLUMN()*2-3)),"",INDEX(Array_ElectricalChargeData,ROW()-16,COLUMN()*2-3))</f>
        <v/>
      </c>
      <c r="O165" t="str" cm="1">
        <f>IF(ISBLANK(INDEX(Array_ElectricalChargeData,ROW()-16,COLUMN()*2-3)),"",INDEX(Array_ElectricalChargeData,ROW()-16,COLUMN()*2-3))</f>
        <v/>
      </c>
      <c r="P165" t="str" cm="1">
        <f>IF(ISBLANK(INDEX(Array_ElectricalChargeData,ROW()-16,COLUMN()*2-3)),"",INDEX(Array_ElectricalChargeData,ROW()-16,COLUMN()*2-3))</f>
        <v/>
      </c>
    </row>
    <row r="166" spans="1:16" x14ac:dyDescent="0.35">
      <c r="A166" t="str">
        <f>IF('Electricity Meters'!B152="",A165,'Electricity Meters'!B152)</f>
        <v>Meter Numbers</v>
      </c>
      <c r="B166" t="str" cm="1">
        <f>IF(ISBLANK(INDEX(Array_ElectricalChargeData,ROW()-16,COLUMN()*2-3)),"",INDEX(Array_ElectricalChargeData,ROW()-16,COLUMN()*2-3))</f>
        <v/>
      </c>
      <c r="C166" t="str" cm="1">
        <f>IF(ISBLANK(INDEX(Array_ElectricalChargeData,ROW()-16,COLUMN()*2-3)),"",INDEX(Array_ElectricalChargeData,ROW()-16,COLUMN()*2-3))</f>
        <v/>
      </c>
      <c r="D166" t="str" cm="1">
        <f>IF(ISBLANK(INDEX(Array_ElectricalChargeData,ROW()-16,COLUMN()*2-3)),"",INDEX(Array_ElectricalChargeData,ROW()-16,COLUMN()*2-3))</f>
        <v/>
      </c>
      <c r="E166" t="str" cm="1">
        <f>IF(ISBLANK(INDEX(Array_ElectricalChargeData,ROW()-16,COLUMN()*2-3)),"",INDEX(Array_ElectricalChargeData,ROW()-16,COLUMN()*2-3))</f>
        <v/>
      </c>
      <c r="F166" t="str" cm="1">
        <f>IF(ISBLANK(INDEX(Array_ElectricalChargeData,ROW()-16,COLUMN()*2-3)),"",INDEX(Array_ElectricalChargeData,ROW()-16,COLUMN()*2-3))</f>
        <v/>
      </c>
      <c r="G166" t="str" cm="1">
        <f>IF(ISBLANK(INDEX(Array_ElectricalChargeData,ROW()-16,COLUMN()*2-3)),"",INDEX(Array_ElectricalChargeData,ROW()-16,COLUMN()*2-3))</f>
        <v/>
      </c>
      <c r="H166" t="str" cm="1">
        <f>IF(ISBLANK(INDEX(Array_ElectricalChargeData,ROW()-16,COLUMN()*2-3)),"",INDEX(Array_ElectricalChargeData,ROW()-16,COLUMN()*2-3))</f>
        <v/>
      </c>
      <c r="I166" t="str" cm="1">
        <f>IF(ISBLANK(INDEX(Array_ElectricalChargeData,ROW()-16,COLUMN()*2-3)),"",INDEX(Array_ElectricalChargeData,ROW()-16,COLUMN()*2-3))</f>
        <v/>
      </c>
      <c r="J166" t="str" cm="1">
        <f>IF(ISBLANK(INDEX(Array_ElectricalChargeData,ROW()-16,COLUMN()*2-3)),"",INDEX(Array_ElectricalChargeData,ROW()-16,COLUMN()*2-3))</f>
        <v/>
      </c>
      <c r="K166" t="str" cm="1">
        <f>IF(ISBLANK(INDEX(Array_ElectricalChargeData,ROW()-16,COLUMN()*2-3)),"",INDEX(Array_ElectricalChargeData,ROW()-16,COLUMN()*2-3))</f>
        <v/>
      </c>
      <c r="L166" t="str" cm="1">
        <f>IF(ISBLANK(INDEX(Array_ElectricalChargeData,ROW()-16,COLUMN()*2-3)),"",INDEX(Array_ElectricalChargeData,ROW()-16,COLUMN()*2-3))</f>
        <v/>
      </c>
      <c r="M166" t="str" cm="1">
        <f>IF(ISBLANK(INDEX(Array_ElectricalChargeData,ROW()-16,COLUMN()*2-3)),"",INDEX(Array_ElectricalChargeData,ROW()-16,COLUMN()*2-3))</f>
        <v/>
      </c>
      <c r="N166" t="str" cm="1">
        <f>IF(ISBLANK(INDEX(Array_ElectricalChargeData,ROW()-16,COLUMN()*2-3)),"",INDEX(Array_ElectricalChargeData,ROW()-16,COLUMN()*2-3))</f>
        <v/>
      </c>
      <c r="O166" t="str" cm="1">
        <f>IF(ISBLANK(INDEX(Array_ElectricalChargeData,ROW()-16,COLUMN()*2-3)),"",INDEX(Array_ElectricalChargeData,ROW()-16,COLUMN()*2-3))</f>
        <v/>
      </c>
      <c r="P166" t="str" cm="1">
        <f>IF(ISBLANK(INDEX(Array_ElectricalChargeData,ROW()-16,COLUMN()*2-3)),"",INDEX(Array_ElectricalChargeData,ROW()-16,COLUMN()*2-3))</f>
        <v/>
      </c>
    </row>
    <row r="167" spans="1:16" x14ac:dyDescent="0.35">
      <c r="A167" t="str">
        <f>IF('Electricity Meters'!B153="",A166,'Electricity Meters'!B153)</f>
        <v>Meter Numbers</v>
      </c>
      <c r="B167" t="str" cm="1">
        <f>IF(ISBLANK(INDEX(Array_ElectricalChargeData,ROW()-16,COLUMN()*2-3)),"",INDEX(Array_ElectricalChargeData,ROW()-16,COLUMN()*2-3))</f>
        <v/>
      </c>
      <c r="C167" t="str" cm="1">
        <f>IF(ISBLANK(INDEX(Array_ElectricalChargeData,ROW()-16,COLUMN()*2-3)),"",INDEX(Array_ElectricalChargeData,ROW()-16,COLUMN()*2-3))</f>
        <v/>
      </c>
      <c r="D167" t="str" cm="1">
        <f>IF(ISBLANK(INDEX(Array_ElectricalChargeData,ROW()-16,COLUMN()*2-3)),"",INDEX(Array_ElectricalChargeData,ROW()-16,COLUMN()*2-3))</f>
        <v/>
      </c>
      <c r="E167" t="str" cm="1">
        <f>IF(ISBLANK(INDEX(Array_ElectricalChargeData,ROW()-16,COLUMN()*2-3)),"",INDEX(Array_ElectricalChargeData,ROW()-16,COLUMN()*2-3))</f>
        <v/>
      </c>
      <c r="F167" t="str" cm="1">
        <f>IF(ISBLANK(INDEX(Array_ElectricalChargeData,ROW()-16,COLUMN()*2-3)),"",INDEX(Array_ElectricalChargeData,ROW()-16,COLUMN()*2-3))</f>
        <v/>
      </c>
      <c r="G167" t="str" cm="1">
        <f>IF(ISBLANK(INDEX(Array_ElectricalChargeData,ROW()-16,COLUMN()*2-3)),"",INDEX(Array_ElectricalChargeData,ROW()-16,COLUMN()*2-3))</f>
        <v/>
      </c>
      <c r="H167" t="str" cm="1">
        <f>IF(ISBLANK(INDEX(Array_ElectricalChargeData,ROW()-16,COLUMN()*2-3)),"",INDEX(Array_ElectricalChargeData,ROW()-16,COLUMN()*2-3))</f>
        <v/>
      </c>
      <c r="I167" t="str" cm="1">
        <f>IF(ISBLANK(INDEX(Array_ElectricalChargeData,ROW()-16,COLUMN()*2-3)),"",INDEX(Array_ElectricalChargeData,ROW()-16,COLUMN()*2-3))</f>
        <v/>
      </c>
      <c r="J167" t="str" cm="1">
        <f>IF(ISBLANK(INDEX(Array_ElectricalChargeData,ROW()-16,COLUMN()*2-3)),"",INDEX(Array_ElectricalChargeData,ROW()-16,COLUMN()*2-3))</f>
        <v/>
      </c>
      <c r="K167" t="str" cm="1">
        <f>IF(ISBLANK(INDEX(Array_ElectricalChargeData,ROW()-16,COLUMN()*2-3)),"",INDEX(Array_ElectricalChargeData,ROW()-16,COLUMN()*2-3))</f>
        <v/>
      </c>
      <c r="L167" t="str" cm="1">
        <f>IF(ISBLANK(INDEX(Array_ElectricalChargeData,ROW()-16,COLUMN()*2-3)),"",INDEX(Array_ElectricalChargeData,ROW()-16,COLUMN()*2-3))</f>
        <v/>
      </c>
      <c r="M167" t="str" cm="1">
        <f>IF(ISBLANK(INDEX(Array_ElectricalChargeData,ROW()-16,COLUMN()*2-3)),"",INDEX(Array_ElectricalChargeData,ROW()-16,COLUMN()*2-3))</f>
        <v/>
      </c>
      <c r="N167" t="str" cm="1">
        <f>IF(ISBLANK(INDEX(Array_ElectricalChargeData,ROW()-16,COLUMN()*2-3)),"",INDEX(Array_ElectricalChargeData,ROW()-16,COLUMN()*2-3))</f>
        <v/>
      </c>
      <c r="O167" t="str" cm="1">
        <f>IF(ISBLANK(INDEX(Array_ElectricalChargeData,ROW()-16,COLUMN()*2-3)),"",INDEX(Array_ElectricalChargeData,ROW()-16,COLUMN()*2-3))</f>
        <v/>
      </c>
      <c r="P167" t="str" cm="1">
        <f>IF(ISBLANK(INDEX(Array_ElectricalChargeData,ROW()-16,COLUMN()*2-3)),"",INDEX(Array_ElectricalChargeData,ROW()-16,COLUMN()*2-3))</f>
        <v/>
      </c>
    </row>
    <row r="168" spans="1:16" x14ac:dyDescent="0.35">
      <c r="A168" t="str">
        <f>IF('Electricity Meters'!B154="",A167,'Electricity Meters'!B154)</f>
        <v>Meter Numbers</v>
      </c>
      <c r="B168" t="str" cm="1">
        <f>IF(ISBLANK(INDEX(Array_ElectricalChargeData,ROW()-16,COLUMN()*2-3)),"",INDEX(Array_ElectricalChargeData,ROW()-16,COLUMN()*2-3))</f>
        <v/>
      </c>
      <c r="C168" t="str" cm="1">
        <f>IF(ISBLANK(INDEX(Array_ElectricalChargeData,ROW()-16,COLUMN()*2-3)),"",INDEX(Array_ElectricalChargeData,ROW()-16,COLUMN()*2-3))</f>
        <v/>
      </c>
      <c r="D168" t="str" cm="1">
        <f>IF(ISBLANK(INDEX(Array_ElectricalChargeData,ROW()-16,COLUMN()*2-3)),"",INDEX(Array_ElectricalChargeData,ROW()-16,COLUMN()*2-3))</f>
        <v/>
      </c>
      <c r="E168" t="str" cm="1">
        <f>IF(ISBLANK(INDEX(Array_ElectricalChargeData,ROW()-16,COLUMN()*2-3)),"",INDEX(Array_ElectricalChargeData,ROW()-16,COLUMN()*2-3))</f>
        <v/>
      </c>
      <c r="F168" t="str" cm="1">
        <f>IF(ISBLANK(INDEX(Array_ElectricalChargeData,ROW()-16,COLUMN()*2-3)),"",INDEX(Array_ElectricalChargeData,ROW()-16,COLUMN()*2-3))</f>
        <v/>
      </c>
      <c r="G168" t="str" cm="1">
        <f>IF(ISBLANK(INDEX(Array_ElectricalChargeData,ROW()-16,COLUMN()*2-3)),"",INDEX(Array_ElectricalChargeData,ROW()-16,COLUMN()*2-3))</f>
        <v/>
      </c>
      <c r="H168" t="str" cm="1">
        <f>IF(ISBLANK(INDEX(Array_ElectricalChargeData,ROW()-16,COLUMN()*2-3)),"",INDEX(Array_ElectricalChargeData,ROW()-16,COLUMN()*2-3))</f>
        <v/>
      </c>
      <c r="I168" t="str" cm="1">
        <f>IF(ISBLANK(INDEX(Array_ElectricalChargeData,ROW()-16,COLUMN()*2-3)),"",INDEX(Array_ElectricalChargeData,ROW()-16,COLUMN()*2-3))</f>
        <v/>
      </c>
      <c r="J168" t="str" cm="1">
        <f>IF(ISBLANK(INDEX(Array_ElectricalChargeData,ROW()-16,COLUMN()*2-3)),"",INDEX(Array_ElectricalChargeData,ROW()-16,COLUMN()*2-3))</f>
        <v/>
      </c>
      <c r="K168" t="str" cm="1">
        <f>IF(ISBLANK(INDEX(Array_ElectricalChargeData,ROW()-16,COLUMN()*2-3)),"",INDEX(Array_ElectricalChargeData,ROW()-16,COLUMN()*2-3))</f>
        <v/>
      </c>
      <c r="L168" t="str" cm="1">
        <f>IF(ISBLANK(INDEX(Array_ElectricalChargeData,ROW()-16,COLUMN()*2-3)),"",INDEX(Array_ElectricalChargeData,ROW()-16,COLUMN()*2-3))</f>
        <v/>
      </c>
      <c r="M168" t="str" cm="1">
        <f>IF(ISBLANK(INDEX(Array_ElectricalChargeData,ROW()-16,COLUMN()*2-3)),"",INDEX(Array_ElectricalChargeData,ROW()-16,COLUMN()*2-3))</f>
        <v/>
      </c>
      <c r="N168" t="str" cm="1">
        <f>IF(ISBLANK(INDEX(Array_ElectricalChargeData,ROW()-16,COLUMN()*2-3)),"",INDEX(Array_ElectricalChargeData,ROW()-16,COLUMN()*2-3))</f>
        <v/>
      </c>
      <c r="O168" t="str" cm="1">
        <f>IF(ISBLANK(INDEX(Array_ElectricalChargeData,ROW()-16,COLUMN()*2-3)),"",INDEX(Array_ElectricalChargeData,ROW()-16,COLUMN()*2-3))</f>
        <v/>
      </c>
      <c r="P168" t="str" cm="1">
        <f>IF(ISBLANK(INDEX(Array_ElectricalChargeData,ROW()-16,COLUMN()*2-3)),"",INDEX(Array_ElectricalChargeData,ROW()-16,COLUMN()*2-3))</f>
        <v/>
      </c>
    </row>
    <row r="169" spans="1:16" x14ac:dyDescent="0.35">
      <c r="A169" t="str">
        <f>IF('Electricity Meters'!B155="",A168,'Electricity Meters'!B155)</f>
        <v>Meter Numbers</v>
      </c>
      <c r="B169" t="str" cm="1">
        <f>IF(ISBLANK(INDEX(Array_ElectricalChargeData,ROW()-16,COLUMN()*2-3)),"",INDEX(Array_ElectricalChargeData,ROW()-16,COLUMN()*2-3))</f>
        <v/>
      </c>
      <c r="C169" t="str" cm="1">
        <f>IF(ISBLANK(INDEX(Array_ElectricalChargeData,ROW()-16,COLUMN()*2-3)),"",INDEX(Array_ElectricalChargeData,ROW()-16,COLUMN()*2-3))</f>
        <v/>
      </c>
      <c r="D169" t="str" cm="1">
        <f>IF(ISBLANK(INDEX(Array_ElectricalChargeData,ROW()-16,COLUMN()*2-3)),"",INDEX(Array_ElectricalChargeData,ROW()-16,COLUMN()*2-3))</f>
        <v/>
      </c>
      <c r="E169" t="str" cm="1">
        <f>IF(ISBLANK(INDEX(Array_ElectricalChargeData,ROW()-16,COLUMN()*2-3)),"",INDEX(Array_ElectricalChargeData,ROW()-16,COLUMN()*2-3))</f>
        <v/>
      </c>
      <c r="F169" t="str" cm="1">
        <f>IF(ISBLANK(INDEX(Array_ElectricalChargeData,ROW()-16,COLUMN()*2-3)),"",INDEX(Array_ElectricalChargeData,ROW()-16,COLUMN()*2-3))</f>
        <v/>
      </c>
      <c r="G169" t="str" cm="1">
        <f>IF(ISBLANK(INDEX(Array_ElectricalChargeData,ROW()-16,COLUMN()*2-3)),"",INDEX(Array_ElectricalChargeData,ROW()-16,COLUMN()*2-3))</f>
        <v/>
      </c>
      <c r="H169" t="str" cm="1">
        <f>IF(ISBLANK(INDEX(Array_ElectricalChargeData,ROW()-16,COLUMN()*2-3)),"",INDEX(Array_ElectricalChargeData,ROW()-16,COLUMN()*2-3))</f>
        <v/>
      </c>
      <c r="I169" t="str" cm="1">
        <f>IF(ISBLANK(INDEX(Array_ElectricalChargeData,ROW()-16,COLUMN()*2-3)),"",INDEX(Array_ElectricalChargeData,ROW()-16,COLUMN()*2-3))</f>
        <v/>
      </c>
      <c r="J169" t="str" cm="1">
        <f>IF(ISBLANK(INDEX(Array_ElectricalChargeData,ROW()-16,COLUMN()*2-3)),"",INDEX(Array_ElectricalChargeData,ROW()-16,COLUMN()*2-3))</f>
        <v/>
      </c>
      <c r="K169" t="str" cm="1">
        <f>IF(ISBLANK(INDEX(Array_ElectricalChargeData,ROW()-16,COLUMN()*2-3)),"",INDEX(Array_ElectricalChargeData,ROW()-16,COLUMN()*2-3))</f>
        <v/>
      </c>
      <c r="L169" t="str" cm="1">
        <f>IF(ISBLANK(INDEX(Array_ElectricalChargeData,ROW()-16,COLUMN()*2-3)),"",INDEX(Array_ElectricalChargeData,ROW()-16,COLUMN()*2-3))</f>
        <v/>
      </c>
      <c r="M169" t="str" cm="1">
        <f>IF(ISBLANK(INDEX(Array_ElectricalChargeData,ROW()-16,COLUMN()*2-3)),"",INDEX(Array_ElectricalChargeData,ROW()-16,COLUMN()*2-3))</f>
        <v/>
      </c>
      <c r="N169" t="str" cm="1">
        <f>IF(ISBLANK(INDEX(Array_ElectricalChargeData,ROW()-16,COLUMN()*2-3)),"",INDEX(Array_ElectricalChargeData,ROW()-16,COLUMN()*2-3))</f>
        <v/>
      </c>
      <c r="O169" t="str" cm="1">
        <f>IF(ISBLANK(INDEX(Array_ElectricalChargeData,ROW()-16,COLUMN()*2-3)),"",INDEX(Array_ElectricalChargeData,ROW()-16,COLUMN()*2-3))</f>
        <v/>
      </c>
      <c r="P169" t="str" cm="1">
        <f>IF(ISBLANK(INDEX(Array_ElectricalChargeData,ROW()-16,COLUMN()*2-3)),"",INDEX(Array_ElectricalChargeData,ROW()-16,COLUMN()*2-3))</f>
        <v/>
      </c>
    </row>
    <row r="170" spans="1:16" x14ac:dyDescent="0.35">
      <c r="A170" t="str">
        <f>IF('Electricity Meters'!B156="",A169,'Electricity Meters'!B156)</f>
        <v>Meter Numbers</v>
      </c>
      <c r="B170" t="str" cm="1">
        <f>IF(ISBLANK(INDEX(Array_ElectricalChargeData,ROW()-16,COLUMN()*2-3)),"",INDEX(Array_ElectricalChargeData,ROW()-16,COLUMN()*2-3))</f>
        <v/>
      </c>
      <c r="C170" t="str" cm="1">
        <f>IF(ISBLANK(INDEX(Array_ElectricalChargeData,ROW()-16,COLUMN()*2-3)),"",INDEX(Array_ElectricalChargeData,ROW()-16,COLUMN()*2-3))</f>
        <v/>
      </c>
      <c r="D170" t="str" cm="1">
        <f>IF(ISBLANK(INDEX(Array_ElectricalChargeData,ROW()-16,COLUMN()*2-3)),"",INDEX(Array_ElectricalChargeData,ROW()-16,COLUMN()*2-3))</f>
        <v/>
      </c>
      <c r="E170" t="str" cm="1">
        <f>IF(ISBLANK(INDEX(Array_ElectricalChargeData,ROW()-16,COLUMN()*2-3)),"",INDEX(Array_ElectricalChargeData,ROW()-16,COLUMN()*2-3))</f>
        <v/>
      </c>
      <c r="F170" t="str" cm="1">
        <f>IF(ISBLANK(INDEX(Array_ElectricalChargeData,ROW()-16,COLUMN()*2-3)),"",INDEX(Array_ElectricalChargeData,ROW()-16,COLUMN()*2-3))</f>
        <v/>
      </c>
      <c r="G170" t="str" cm="1">
        <f>IF(ISBLANK(INDEX(Array_ElectricalChargeData,ROW()-16,COLUMN()*2-3)),"",INDEX(Array_ElectricalChargeData,ROW()-16,COLUMN()*2-3))</f>
        <v/>
      </c>
      <c r="H170" t="str" cm="1">
        <f>IF(ISBLANK(INDEX(Array_ElectricalChargeData,ROW()-16,COLUMN()*2-3)),"",INDEX(Array_ElectricalChargeData,ROW()-16,COLUMN()*2-3))</f>
        <v/>
      </c>
      <c r="I170" t="str" cm="1">
        <f>IF(ISBLANK(INDEX(Array_ElectricalChargeData,ROW()-16,COLUMN()*2-3)),"",INDEX(Array_ElectricalChargeData,ROW()-16,COLUMN()*2-3))</f>
        <v/>
      </c>
      <c r="J170" t="str" cm="1">
        <f>IF(ISBLANK(INDEX(Array_ElectricalChargeData,ROW()-16,COLUMN()*2-3)),"",INDEX(Array_ElectricalChargeData,ROW()-16,COLUMN()*2-3))</f>
        <v/>
      </c>
      <c r="K170" t="str" cm="1">
        <f>IF(ISBLANK(INDEX(Array_ElectricalChargeData,ROW()-16,COLUMN()*2-3)),"",INDEX(Array_ElectricalChargeData,ROW()-16,COLUMN()*2-3))</f>
        <v/>
      </c>
      <c r="L170" t="str" cm="1">
        <f>IF(ISBLANK(INDEX(Array_ElectricalChargeData,ROW()-16,COLUMN()*2-3)),"",INDEX(Array_ElectricalChargeData,ROW()-16,COLUMN()*2-3))</f>
        <v/>
      </c>
      <c r="M170" t="str" cm="1">
        <f>IF(ISBLANK(INDEX(Array_ElectricalChargeData,ROW()-16,COLUMN()*2-3)),"",INDEX(Array_ElectricalChargeData,ROW()-16,COLUMN()*2-3))</f>
        <v/>
      </c>
      <c r="N170" t="str" cm="1">
        <f>IF(ISBLANK(INDEX(Array_ElectricalChargeData,ROW()-16,COLUMN()*2-3)),"",INDEX(Array_ElectricalChargeData,ROW()-16,COLUMN()*2-3))</f>
        <v/>
      </c>
      <c r="O170" t="str" cm="1">
        <f>IF(ISBLANK(INDEX(Array_ElectricalChargeData,ROW()-16,COLUMN()*2-3)),"",INDEX(Array_ElectricalChargeData,ROW()-16,COLUMN()*2-3))</f>
        <v/>
      </c>
      <c r="P170" t="str" cm="1">
        <f>IF(ISBLANK(INDEX(Array_ElectricalChargeData,ROW()-16,COLUMN()*2-3)),"",INDEX(Array_ElectricalChargeData,ROW()-16,COLUMN()*2-3))</f>
        <v/>
      </c>
    </row>
    <row r="171" spans="1:16" x14ac:dyDescent="0.35">
      <c r="A171" t="str">
        <f>IF('Electricity Meters'!B157="",A170,'Electricity Meters'!B157)</f>
        <v>Meter Numbers</v>
      </c>
      <c r="B171" t="str" cm="1">
        <f>IF(ISBLANK(INDEX(Array_ElectricalChargeData,ROW()-16,COLUMN()*2-3)),"",INDEX(Array_ElectricalChargeData,ROW()-16,COLUMN()*2-3))</f>
        <v/>
      </c>
      <c r="C171" t="str" cm="1">
        <f>IF(ISBLANK(INDEX(Array_ElectricalChargeData,ROW()-16,COLUMN()*2-3)),"",INDEX(Array_ElectricalChargeData,ROW()-16,COLUMN()*2-3))</f>
        <v/>
      </c>
      <c r="D171" t="str" cm="1">
        <f>IF(ISBLANK(INDEX(Array_ElectricalChargeData,ROW()-16,COLUMN()*2-3)),"",INDEX(Array_ElectricalChargeData,ROW()-16,COLUMN()*2-3))</f>
        <v/>
      </c>
      <c r="E171" t="str" cm="1">
        <f>IF(ISBLANK(INDEX(Array_ElectricalChargeData,ROW()-16,COLUMN()*2-3)),"",INDEX(Array_ElectricalChargeData,ROW()-16,COLUMN()*2-3))</f>
        <v/>
      </c>
      <c r="F171" t="str" cm="1">
        <f>IF(ISBLANK(INDEX(Array_ElectricalChargeData,ROW()-16,COLUMN()*2-3)),"",INDEX(Array_ElectricalChargeData,ROW()-16,COLUMN()*2-3))</f>
        <v/>
      </c>
      <c r="G171" t="str" cm="1">
        <f>IF(ISBLANK(INDEX(Array_ElectricalChargeData,ROW()-16,COLUMN()*2-3)),"",INDEX(Array_ElectricalChargeData,ROW()-16,COLUMN()*2-3))</f>
        <v/>
      </c>
      <c r="H171" t="str" cm="1">
        <f>IF(ISBLANK(INDEX(Array_ElectricalChargeData,ROW()-16,COLUMN()*2-3)),"",INDEX(Array_ElectricalChargeData,ROW()-16,COLUMN()*2-3))</f>
        <v/>
      </c>
      <c r="I171" t="str" cm="1">
        <f>IF(ISBLANK(INDEX(Array_ElectricalChargeData,ROW()-16,COLUMN()*2-3)),"",INDEX(Array_ElectricalChargeData,ROW()-16,COLUMN()*2-3))</f>
        <v/>
      </c>
      <c r="J171" t="str" cm="1">
        <f>IF(ISBLANK(INDEX(Array_ElectricalChargeData,ROW()-16,COLUMN()*2-3)),"",INDEX(Array_ElectricalChargeData,ROW()-16,COLUMN()*2-3))</f>
        <v/>
      </c>
      <c r="K171" t="str" cm="1">
        <f>IF(ISBLANK(INDEX(Array_ElectricalChargeData,ROW()-16,COLUMN()*2-3)),"",INDEX(Array_ElectricalChargeData,ROW()-16,COLUMN()*2-3))</f>
        <v/>
      </c>
      <c r="L171" t="str" cm="1">
        <f>IF(ISBLANK(INDEX(Array_ElectricalChargeData,ROW()-16,COLUMN()*2-3)),"",INDEX(Array_ElectricalChargeData,ROW()-16,COLUMN()*2-3))</f>
        <v/>
      </c>
      <c r="M171" t="str" cm="1">
        <f>IF(ISBLANK(INDEX(Array_ElectricalChargeData,ROW()-16,COLUMN()*2-3)),"",INDEX(Array_ElectricalChargeData,ROW()-16,COLUMN()*2-3))</f>
        <v/>
      </c>
      <c r="N171" t="str" cm="1">
        <f>IF(ISBLANK(INDEX(Array_ElectricalChargeData,ROW()-16,COLUMN()*2-3)),"",INDEX(Array_ElectricalChargeData,ROW()-16,COLUMN()*2-3))</f>
        <v/>
      </c>
      <c r="O171" t="str" cm="1">
        <f>IF(ISBLANK(INDEX(Array_ElectricalChargeData,ROW()-16,COLUMN()*2-3)),"",INDEX(Array_ElectricalChargeData,ROW()-16,COLUMN()*2-3))</f>
        <v/>
      </c>
      <c r="P171" t="str" cm="1">
        <f>IF(ISBLANK(INDEX(Array_ElectricalChargeData,ROW()-16,COLUMN()*2-3)),"",INDEX(Array_ElectricalChargeData,ROW()-16,COLUMN()*2-3))</f>
        <v/>
      </c>
    </row>
    <row r="172" spans="1:16" x14ac:dyDescent="0.35">
      <c r="A172" t="str">
        <f>IF('Electricity Meters'!B158="",A171,'Electricity Meters'!B158)</f>
        <v>Meter Numbers</v>
      </c>
      <c r="B172" t="str" cm="1">
        <f>IF(ISBLANK(INDEX(Array_ElectricalChargeData,ROW()-16,COLUMN()*2-3)),"",INDEX(Array_ElectricalChargeData,ROW()-16,COLUMN()*2-3))</f>
        <v/>
      </c>
      <c r="C172" t="str" cm="1">
        <f>IF(ISBLANK(INDEX(Array_ElectricalChargeData,ROW()-16,COLUMN()*2-3)),"",INDEX(Array_ElectricalChargeData,ROW()-16,COLUMN()*2-3))</f>
        <v/>
      </c>
      <c r="D172" t="str" cm="1">
        <f>IF(ISBLANK(INDEX(Array_ElectricalChargeData,ROW()-16,COLUMN()*2-3)),"",INDEX(Array_ElectricalChargeData,ROW()-16,COLUMN()*2-3))</f>
        <v/>
      </c>
      <c r="E172" t="str" cm="1">
        <f>IF(ISBLANK(INDEX(Array_ElectricalChargeData,ROW()-16,COLUMN()*2-3)),"",INDEX(Array_ElectricalChargeData,ROW()-16,COLUMN()*2-3))</f>
        <v/>
      </c>
      <c r="F172" t="str" cm="1">
        <f>IF(ISBLANK(INDEX(Array_ElectricalChargeData,ROW()-16,COLUMN()*2-3)),"",INDEX(Array_ElectricalChargeData,ROW()-16,COLUMN()*2-3))</f>
        <v/>
      </c>
      <c r="G172" t="str" cm="1">
        <f>IF(ISBLANK(INDEX(Array_ElectricalChargeData,ROW()-16,COLUMN()*2-3)),"",INDEX(Array_ElectricalChargeData,ROW()-16,COLUMN()*2-3))</f>
        <v/>
      </c>
      <c r="H172" t="str" cm="1">
        <f>IF(ISBLANK(INDEX(Array_ElectricalChargeData,ROW()-16,COLUMN()*2-3)),"",INDEX(Array_ElectricalChargeData,ROW()-16,COLUMN()*2-3))</f>
        <v/>
      </c>
      <c r="I172" t="str" cm="1">
        <f>IF(ISBLANK(INDEX(Array_ElectricalChargeData,ROW()-16,COLUMN()*2-3)),"",INDEX(Array_ElectricalChargeData,ROW()-16,COLUMN()*2-3))</f>
        <v/>
      </c>
      <c r="J172" t="str" cm="1">
        <f>IF(ISBLANK(INDEX(Array_ElectricalChargeData,ROW()-16,COLUMN()*2-3)),"",INDEX(Array_ElectricalChargeData,ROW()-16,COLUMN()*2-3))</f>
        <v/>
      </c>
      <c r="K172" t="str" cm="1">
        <f>IF(ISBLANK(INDEX(Array_ElectricalChargeData,ROW()-16,COLUMN()*2-3)),"",INDEX(Array_ElectricalChargeData,ROW()-16,COLUMN()*2-3))</f>
        <v/>
      </c>
      <c r="L172" t="str" cm="1">
        <f>IF(ISBLANK(INDEX(Array_ElectricalChargeData,ROW()-16,COLUMN()*2-3)),"",INDEX(Array_ElectricalChargeData,ROW()-16,COLUMN()*2-3))</f>
        <v/>
      </c>
      <c r="M172" t="str" cm="1">
        <f>IF(ISBLANK(INDEX(Array_ElectricalChargeData,ROW()-16,COLUMN()*2-3)),"",INDEX(Array_ElectricalChargeData,ROW()-16,COLUMN()*2-3))</f>
        <v/>
      </c>
      <c r="N172" t="str" cm="1">
        <f>IF(ISBLANK(INDEX(Array_ElectricalChargeData,ROW()-16,COLUMN()*2-3)),"",INDEX(Array_ElectricalChargeData,ROW()-16,COLUMN()*2-3))</f>
        <v/>
      </c>
      <c r="O172" t="str" cm="1">
        <f>IF(ISBLANK(INDEX(Array_ElectricalChargeData,ROW()-16,COLUMN()*2-3)),"",INDEX(Array_ElectricalChargeData,ROW()-16,COLUMN()*2-3))</f>
        <v/>
      </c>
      <c r="P172" t="str" cm="1">
        <f>IF(ISBLANK(INDEX(Array_ElectricalChargeData,ROW()-16,COLUMN()*2-3)),"",INDEX(Array_ElectricalChargeData,ROW()-16,COLUMN()*2-3))</f>
        <v/>
      </c>
    </row>
    <row r="173" spans="1:16" x14ac:dyDescent="0.35">
      <c r="A173" t="str">
        <f>IF('Electricity Meters'!B159="",A172,'Electricity Meters'!B159)</f>
        <v>Meter Numbers</v>
      </c>
      <c r="B173" t="str" cm="1">
        <f>IF(ISBLANK(INDEX(Array_ElectricalChargeData,ROW()-16,COLUMN()*2-3)),"",INDEX(Array_ElectricalChargeData,ROW()-16,COLUMN()*2-3))</f>
        <v/>
      </c>
      <c r="C173" t="str" cm="1">
        <f>IF(ISBLANK(INDEX(Array_ElectricalChargeData,ROW()-16,COLUMN()*2-3)),"",INDEX(Array_ElectricalChargeData,ROW()-16,COLUMN()*2-3))</f>
        <v/>
      </c>
      <c r="D173" t="str" cm="1">
        <f>IF(ISBLANK(INDEX(Array_ElectricalChargeData,ROW()-16,COLUMN()*2-3)),"",INDEX(Array_ElectricalChargeData,ROW()-16,COLUMN()*2-3))</f>
        <v/>
      </c>
      <c r="E173" t="str" cm="1">
        <f>IF(ISBLANK(INDEX(Array_ElectricalChargeData,ROW()-16,COLUMN()*2-3)),"",INDEX(Array_ElectricalChargeData,ROW()-16,COLUMN()*2-3))</f>
        <v/>
      </c>
      <c r="F173" t="str" cm="1">
        <f>IF(ISBLANK(INDEX(Array_ElectricalChargeData,ROW()-16,COLUMN()*2-3)),"",INDEX(Array_ElectricalChargeData,ROW()-16,COLUMN()*2-3))</f>
        <v/>
      </c>
      <c r="G173" t="str" cm="1">
        <f>IF(ISBLANK(INDEX(Array_ElectricalChargeData,ROW()-16,COLUMN()*2-3)),"",INDEX(Array_ElectricalChargeData,ROW()-16,COLUMN()*2-3))</f>
        <v/>
      </c>
      <c r="H173" t="str" cm="1">
        <f>IF(ISBLANK(INDEX(Array_ElectricalChargeData,ROW()-16,COLUMN()*2-3)),"",INDEX(Array_ElectricalChargeData,ROW()-16,COLUMN()*2-3))</f>
        <v/>
      </c>
      <c r="I173" t="str" cm="1">
        <f>IF(ISBLANK(INDEX(Array_ElectricalChargeData,ROW()-16,COLUMN()*2-3)),"",INDEX(Array_ElectricalChargeData,ROW()-16,COLUMN()*2-3))</f>
        <v/>
      </c>
      <c r="J173" t="str" cm="1">
        <f>IF(ISBLANK(INDEX(Array_ElectricalChargeData,ROW()-16,COLUMN()*2-3)),"",INDEX(Array_ElectricalChargeData,ROW()-16,COLUMN()*2-3))</f>
        <v/>
      </c>
      <c r="K173" t="str" cm="1">
        <f>IF(ISBLANK(INDEX(Array_ElectricalChargeData,ROW()-16,COLUMN()*2-3)),"",INDEX(Array_ElectricalChargeData,ROW()-16,COLUMN()*2-3))</f>
        <v/>
      </c>
      <c r="L173" t="str" cm="1">
        <f>IF(ISBLANK(INDEX(Array_ElectricalChargeData,ROW()-16,COLUMN()*2-3)),"",INDEX(Array_ElectricalChargeData,ROW()-16,COLUMN()*2-3))</f>
        <v/>
      </c>
      <c r="M173" t="str" cm="1">
        <f>IF(ISBLANK(INDEX(Array_ElectricalChargeData,ROW()-16,COLUMN()*2-3)),"",INDEX(Array_ElectricalChargeData,ROW()-16,COLUMN()*2-3))</f>
        <v/>
      </c>
      <c r="N173" t="str" cm="1">
        <f>IF(ISBLANK(INDEX(Array_ElectricalChargeData,ROW()-16,COLUMN()*2-3)),"",INDEX(Array_ElectricalChargeData,ROW()-16,COLUMN()*2-3))</f>
        <v/>
      </c>
      <c r="O173" t="str" cm="1">
        <f>IF(ISBLANK(INDEX(Array_ElectricalChargeData,ROW()-16,COLUMN()*2-3)),"",INDEX(Array_ElectricalChargeData,ROW()-16,COLUMN()*2-3))</f>
        <v/>
      </c>
      <c r="P173" t="str" cm="1">
        <f>IF(ISBLANK(INDEX(Array_ElectricalChargeData,ROW()-16,COLUMN()*2-3)),"",INDEX(Array_ElectricalChargeData,ROW()-16,COLUMN()*2-3))</f>
        <v/>
      </c>
    </row>
    <row r="174" spans="1:16" x14ac:dyDescent="0.35">
      <c r="A174" t="str">
        <f>IF('Electricity Meters'!B160="",A173,'Electricity Meters'!B160)</f>
        <v>Meter Numbers</v>
      </c>
      <c r="B174" t="str" cm="1">
        <f>IF(ISBLANK(INDEX(Array_ElectricalChargeData,ROW()-16,COLUMN()*2-3)),"",INDEX(Array_ElectricalChargeData,ROW()-16,COLUMN()*2-3))</f>
        <v/>
      </c>
      <c r="C174" t="str" cm="1">
        <f>IF(ISBLANK(INDEX(Array_ElectricalChargeData,ROW()-16,COLUMN()*2-3)),"",INDEX(Array_ElectricalChargeData,ROW()-16,COLUMN()*2-3))</f>
        <v/>
      </c>
      <c r="D174" t="str" cm="1">
        <f>IF(ISBLANK(INDEX(Array_ElectricalChargeData,ROW()-16,COLUMN()*2-3)),"",INDEX(Array_ElectricalChargeData,ROW()-16,COLUMN()*2-3))</f>
        <v/>
      </c>
      <c r="E174" t="str" cm="1">
        <f>IF(ISBLANK(INDEX(Array_ElectricalChargeData,ROW()-16,COLUMN()*2-3)),"",INDEX(Array_ElectricalChargeData,ROW()-16,COLUMN()*2-3))</f>
        <v/>
      </c>
      <c r="F174" t="str" cm="1">
        <f>IF(ISBLANK(INDEX(Array_ElectricalChargeData,ROW()-16,COLUMN()*2-3)),"",INDEX(Array_ElectricalChargeData,ROW()-16,COLUMN()*2-3))</f>
        <v/>
      </c>
      <c r="G174" t="str" cm="1">
        <f>IF(ISBLANK(INDEX(Array_ElectricalChargeData,ROW()-16,COLUMN()*2-3)),"",INDEX(Array_ElectricalChargeData,ROW()-16,COLUMN()*2-3))</f>
        <v/>
      </c>
      <c r="H174" t="str" cm="1">
        <f>IF(ISBLANK(INDEX(Array_ElectricalChargeData,ROW()-16,COLUMN()*2-3)),"",INDEX(Array_ElectricalChargeData,ROW()-16,COLUMN()*2-3))</f>
        <v/>
      </c>
      <c r="I174" t="str" cm="1">
        <f>IF(ISBLANK(INDEX(Array_ElectricalChargeData,ROW()-16,COLUMN()*2-3)),"",INDEX(Array_ElectricalChargeData,ROW()-16,COLUMN()*2-3))</f>
        <v/>
      </c>
      <c r="J174" t="str" cm="1">
        <f>IF(ISBLANK(INDEX(Array_ElectricalChargeData,ROW()-16,COLUMN()*2-3)),"",INDEX(Array_ElectricalChargeData,ROW()-16,COLUMN()*2-3))</f>
        <v/>
      </c>
      <c r="K174" t="str" cm="1">
        <f>IF(ISBLANK(INDEX(Array_ElectricalChargeData,ROW()-16,COLUMN()*2-3)),"",INDEX(Array_ElectricalChargeData,ROW()-16,COLUMN()*2-3))</f>
        <v/>
      </c>
      <c r="L174" t="str" cm="1">
        <f>IF(ISBLANK(INDEX(Array_ElectricalChargeData,ROW()-16,COLUMN()*2-3)),"",INDEX(Array_ElectricalChargeData,ROW()-16,COLUMN()*2-3))</f>
        <v/>
      </c>
      <c r="M174" t="str" cm="1">
        <f>IF(ISBLANK(INDEX(Array_ElectricalChargeData,ROW()-16,COLUMN()*2-3)),"",INDEX(Array_ElectricalChargeData,ROW()-16,COLUMN()*2-3))</f>
        <v/>
      </c>
      <c r="N174" t="str" cm="1">
        <f>IF(ISBLANK(INDEX(Array_ElectricalChargeData,ROW()-16,COLUMN()*2-3)),"",INDEX(Array_ElectricalChargeData,ROW()-16,COLUMN()*2-3))</f>
        <v/>
      </c>
      <c r="O174" t="str" cm="1">
        <f>IF(ISBLANK(INDEX(Array_ElectricalChargeData,ROW()-16,COLUMN()*2-3)),"",INDEX(Array_ElectricalChargeData,ROW()-16,COLUMN()*2-3))</f>
        <v/>
      </c>
      <c r="P174" t="str" cm="1">
        <f>IF(ISBLANK(INDEX(Array_ElectricalChargeData,ROW()-16,COLUMN()*2-3)),"",INDEX(Array_ElectricalChargeData,ROW()-16,COLUMN()*2-3))</f>
        <v/>
      </c>
    </row>
    <row r="175" spans="1:16" x14ac:dyDescent="0.35">
      <c r="A175" t="str">
        <f>IF('Electricity Meters'!B161="",A174,'Electricity Meters'!B161)</f>
        <v>Meter Numbers</v>
      </c>
      <c r="B175" t="str" cm="1">
        <f>IF(ISBLANK(INDEX(Array_ElectricalChargeData,ROW()-16,COLUMN()*2-3)),"",INDEX(Array_ElectricalChargeData,ROW()-16,COLUMN()*2-3))</f>
        <v/>
      </c>
      <c r="C175" t="str" cm="1">
        <f>IF(ISBLANK(INDEX(Array_ElectricalChargeData,ROW()-16,COLUMN()*2-3)),"",INDEX(Array_ElectricalChargeData,ROW()-16,COLUMN()*2-3))</f>
        <v/>
      </c>
      <c r="D175" t="str" cm="1">
        <f>IF(ISBLANK(INDEX(Array_ElectricalChargeData,ROW()-16,COLUMN()*2-3)),"",INDEX(Array_ElectricalChargeData,ROW()-16,COLUMN()*2-3))</f>
        <v/>
      </c>
      <c r="E175" t="str" cm="1">
        <f>IF(ISBLANK(INDEX(Array_ElectricalChargeData,ROW()-16,COLUMN()*2-3)),"",INDEX(Array_ElectricalChargeData,ROW()-16,COLUMN()*2-3))</f>
        <v/>
      </c>
      <c r="F175" t="str" cm="1">
        <f>IF(ISBLANK(INDEX(Array_ElectricalChargeData,ROW()-16,COLUMN()*2-3)),"",INDEX(Array_ElectricalChargeData,ROW()-16,COLUMN()*2-3))</f>
        <v/>
      </c>
      <c r="G175" t="str" cm="1">
        <f>IF(ISBLANK(INDEX(Array_ElectricalChargeData,ROW()-16,COLUMN()*2-3)),"",INDEX(Array_ElectricalChargeData,ROW()-16,COLUMN()*2-3))</f>
        <v/>
      </c>
      <c r="H175" t="str" cm="1">
        <f>IF(ISBLANK(INDEX(Array_ElectricalChargeData,ROW()-16,COLUMN()*2-3)),"",INDEX(Array_ElectricalChargeData,ROW()-16,COLUMN()*2-3))</f>
        <v/>
      </c>
      <c r="I175" t="str" cm="1">
        <f>IF(ISBLANK(INDEX(Array_ElectricalChargeData,ROW()-16,COLUMN()*2-3)),"",INDEX(Array_ElectricalChargeData,ROW()-16,COLUMN()*2-3))</f>
        <v/>
      </c>
      <c r="J175" t="str" cm="1">
        <f>IF(ISBLANK(INDEX(Array_ElectricalChargeData,ROW()-16,COLUMN()*2-3)),"",INDEX(Array_ElectricalChargeData,ROW()-16,COLUMN()*2-3))</f>
        <v/>
      </c>
      <c r="K175" t="str" cm="1">
        <f>IF(ISBLANK(INDEX(Array_ElectricalChargeData,ROW()-16,COLUMN()*2-3)),"",INDEX(Array_ElectricalChargeData,ROW()-16,COLUMN()*2-3))</f>
        <v/>
      </c>
      <c r="L175" t="str" cm="1">
        <f>IF(ISBLANK(INDEX(Array_ElectricalChargeData,ROW()-16,COLUMN()*2-3)),"",INDEX(Array_ElectricalChargeData,ROW()-16,COLUMN()*2-3))</f>
        <v/>
      </c>
      <c r="M175" t="str" cm="1">
        <f>IF(ISBLANK(INDEX(Array_ElectricalChargeData,ROW()-16,COLUMN()*2-3)),"",INDEX(Array_ElectricalChargeData,ROW()-16,COLUMN()*2-3))</f>
        <v/>
      </c>
      <c r="N175" t="str" cm="1">
        <f>IF(ISBLANK(INDEX(Array_ElectricalChargeData,ROW()-16,COLUMN()*2-3)),"",INDEX(Array_ElectricalChargeData,ROW()-16,COLUMN()*2-3))</f>
        <v/>
      </c>
      <c r="O175" t="str" cm="1">
        <f>IF(ISBLANK(INDEX(Array_ElectricalChargeData,ROW()-16,COLUMN()*2-3)),"",INDEX(Array_ElectricalChargeData,ROW()-16,COLUMN()*2-3))</f>
        <v/>
      </c>
      <c r="P175" t="str" cm="1">
        <f>IF(ISBLANK(INDEX(Array_ElectricalChargeData,ROW()-16,COLUMN()*2-3)),"",INDEX(Array_ElectricalChargeData,ROW()-16,COLUMN()*2-3))</f>
        <v/>
      </c>
    </row>
    <row r="176" spans="1:16" x14ac:dyDescent="0.35">
      <c r="A176" t="str">
        <f>IF('Electricity Meters'!B162="",A175,'Electricity Meters'!B162)</f>
        <v>Meter Numbers</v>
      </c>
      <c r="B176" t="str" cm="1">
        <f>IF(ISBLANK(INDEX(Array_ElectricalChargeData,ROW()-16,COLUMN()*2-3)),"",INDEX(Array_ElectricalChargeData,ROW()-16,COLUMN()*2-3))</f>
        <v/>
      </c>
      <c r="C176" t="str" cm="1">
        <f>IF(ISBLANK(INDEX(Array_ElectricalChargeData,ROW()-16,COLUMN()*2-3)),"",INDEX(Array_ElectricalChargeData,ROW()-16,COLUMN()*2-3))</f>
        <v/>
      </c>
      <c r="D176" t="str" cm="1">
        <f>IF(ISBLANK(INDEX(Array_ElectricalChargeData,ROW()-16,COLUMN()*2-3)),"",INDEX(Array_ElectricalChargeData,ROW()-16,COLUMN()*2-3))</f>
        <v/>
      </c>
      <c r="E176" t="str" cm="1">
        <f>IF(ISBLANK(INDEX(Array_ElectricalChargeData,ROW()-16,COLUMN()*2-3)),"",INDEX(Array_ElectricalChargeData,ROW()-16,COLUMN()*2-3))</f>
        <v/>
      </c>
      <c r="F176" t="str" cm="1">
        <f>IF(ISBLANK(INDEX(Array_ElectricalChargeData,ROW()-16,COLUMN()*2-3)),"",INDEX(Array_ElectricalChargeData,ROW()-16,COLUMN()*2-3))</f>
        <v/>
      </c>
      <c r="G176" t="str" cm="1">
        <f>IF(ISBLANK(INDEX(Array_ElectricalChargeData,ROW()-16,COLUMN()*2-3)),"",INDEX(Array_ElectricalChargeData,ROW()-16,COLUMN()*2-3))</f>
        <v/>
      </c>
      <c r="H176" t="str" cm="1">
        <f>IF(ISBLANK(INDEX(Array_ElectricalChargeData,ROW()-16,COLUMN()*2-3)),"",INDEX(Array_ElectricalChargeData,ROW()-16,COLUMN()*2-3))</f>
        <v/>
      </c>
      <c r="I176" t="str" cm="1">
        <f>IF(ISBLANK(INDEX(Array_ElectricalChargeData,ROW()-16,COLUMN()*2-3)),"",INDEX(Array_ElectricalChargeData,ROW()-16,COLUMN()*2-3))</f>
        <v/>
      </c>
      <c r="J176" t="str" cm="1">
        <f>IF(ISBLANK(INDEX(Array_ElectricalChargeData,ROW()-16,COLUMN()*2-3)),"",INDEX(Array_ElectricalChargeData,ROW()-16,COLUMN()*2-3))</f>
        <v/>
      </c>
      <c r="K176" t="str" cm="1">
        <f>IF(ISBLANK(INDEX(Array_ElectricalChargeData,ROW()-16,COLUMN()*2-3)),"",INDEX(Array_ElectricalChargeData,ROW()-16,COLUMN()*2-3))</f>
        <v/>
      </c>
      <c r="L176" t="str" cm="1">
        <f>IF(ISBLANK(INDEX(Array_ElectricalChargeData,ROW()-16,COLUMN()*2-3)),"",INDEX(Array_ElectricalChargeData,ROW()-16,COLUMN()*2-3))</f>
        <v/>
      </c>
      <c r="M176" t="str" cm="1">
        <f>IF(ISBLANK(INDEX(Array_ElectricalChargeData,ROW()-16,COLUMN()*2-3)),"",INDEX(Array_ElectricalChargeData,ROW()-16,COLUMN()*2-3))</f>
        <v/>
      </c>
      <c r="N176" t="str" cm="1">
        <f>IF(ISBLANK(INDEX(Array_ElectricalChargeData,ROW()-16,COLUMN()*2-3)),"",INDEX(Array_ElectricalChargeData,ROW()-16,COLUMN()*2-3))</f>
        <v/>
      </c>
      <c r="O176" t="str" cm="1">
        <f>IF(ISBLANK(INDEX(Array_ElectricalChargeData,ROW()-16,COLUMN()*2-3)),"",INDEX(Array_ElectricalChargeData,ROW()-16,COLUMN()*2-3))</f>
        <v/>
      </c>
      <c r="P176" t="str" cm="1">
        <f>IF(ISBLANK(INDEX(Array_ElectricalChargeData,ROW()-16,COLUMN()*2-3)),"",INDEX(Array_ElectricalChargeData,ROW()-16,COLUMN()*2-3))</f>
        <v/>
      </c>
    </row>
    <row r="177" spans="1:16" x14ac:dyDescent="0.35">
      <c r="A177" t="str">
        <f>IF('Electricity Meters'!B163="",A176,'Electricity Meters'!B163)</f>
        <v>Meter Numbers</v>
      </c>
      <c r="B177" t="str" cm="1">
        <f>IF(ISBLANK(INDEX(Array_ElectricalChargeData,ROW()-16,COLUMN()*2-3)),"",INDEX(Array_ElectricalChargeData,ROW()-16,COLUMN()*2-3))</f>
        <v/>
      </c>
      <c r="C177" t="str" cm="1">
        <f>IF(ISBLANK(INDEX(Array_ElectricalChargeData,ROW()-16,COLUMN()*2-3)),"",INDEX(Array_ElectricalChargeData,ROW()-16,COLUMN()*2-3))</f>
        <v/>
      </c>
      <c r="D177" t="str" cm="1">
        <f>IF(ISBLANK(INDEX(Array_ElectricalChargeData,ROW()-16,COLUMN()*2-3)),"",INDEX(Array_ElectricalChargeData,ROW()-16,COLUMN()*2-3))</f>
        <v/>
      </c>
      <c r="E177" t="str" cm="1">
        <f>IF(ISBLANK(INDEX(Array_ElectricalChargeData,ROW()-16,COLUMN()*2-3)),"",INDEX(Array_ElectricalChargeData,ROW()-16,COLUMN()*2-3))</f>
        <v/>
      </c>
      <c r="F177" t="str" cm="1">
        <f>IF(ISBLANK(INDEX(Array_ElectricalChargeData,ROW()-16,COLUMN()*2-3)),"",INDEX(Array_ElectricalChargeData,ROW()-16,COLUMN()*2-3))</f>
        <v/>
      </c>
      <c r="G177" t="str" cm="1">
        <f>IF(ISBLANK(INDEX(Array_ElectricalChargeData,ROW()-16,COLUMN()*2-3)),"",INDEX(Array_ElectricalChargeData,ROW()-16,COLUMN()*2-3))</f>
        <v/>
      </c>
      <c r="H177" t="str" cm="1">
        <f>IF(ISBLANK(INDEX(Array_ElectricalChargeData,ROW()-16,COLUMN()*2-3)),"",INDEX(Array_ElectricalChargeData,ROW()-16,COLUMN()*2-3))</f>
        <v/>
      </c>
      <c r="I177" t="str" cm="1">
        <f>IF(ISBLANK(INDEX(Array_ElectricalChargeData,ROW()-16,COLUMN()*2-3)),"",INDEX(Array_ElectricalChargeData,ROW()-16,COLUMN()*2-3))</f>
        <v/>
      </c>
      <c r="J177" t="str" cm="1">
        <f>IF(ISBLANK(INDEX(Array_ElectricalChargeData,ROW()-16,COLUMN()*2-3)),"",INDEX(Array_ElectricalChargeData,ROW()-16,COLUMN()*2-3))</f>
        <v/>
      </c>
      <c r="K177" t="str" cm="1">
        <f>IF(ISBLANK(INDEX(Array_ElectricalChargeData,ROW()-16,COLUMN()*2-3)),"",INDEX(Array_ElectricalChargeData,ROW()-16,COLUMN()*2-3))</f>
        <v/>
      </c>
      <c r="L177" t="str" cm="1">
        <f>IF(ISBLANK(INDEX(Array_ElectricalChargeData,ROW()-16,COLUMN()*2-3)),"",INDEX(Array_ElectricalChargeData,ROW()-16,COLUMN()*2-3))</f>
        <v/>
      </c>
      <c r="M177" t="str" cm="1">
        <f>IF(ISBLANK(INDEX(Array_ElectricalChargeData,ROW()-16,COLUMN()*2-3)),"",INDEX(Array_ElectricalChargeData,ROW()-16,COLUMN()*2-3))</f>
        <v/>
      </c>
      <c r="N177" t="str" cm="1">
        <f>IF(ISBLANK(INDEX(Array_ElectricalChargeData,ROW()-16,COLUMN()*2-3)),"",INDEX(Array_ElectricalChargeData,ROW()-16,COLUMN()*2-3))</f>
        <v/>
      </c>
      <c r="O177" t="str" cm="1">
        <f>IF(ISBLANK(INDEX(Array_ElectricalChargeData,ROW()-16,COLUMN()*2-3)),"",INDEX(Array_ElectricalChargeData,ROW()-16,COLUMN()*2-3))</f>
        <v/>
      </c>
      <c r="P177" t="str" cm="1">
        <f>IF(ISBLANK(INDEX(Array_ElectricalChargeData,ROW()-16,COLUMN()*2-3)),"",INDEX(Array_ElectricalChargeData,ROW()-16,COLUMN()*2-3))</f>
        <v/>
      </c>
    </row>
    <row r="178" spans="1:16" x14ac:dyDescent="0.35">
      <c r="A178" t="str">
        <f>IF('Electricity Meters'!B164="",A177,'Electricity Meters'!B164)</f>
        <v>Meter Numbers</v>
      </c>
      <c r="B178" t="str" cm="1">
        <f>IF(ISBLANK(INDEX(Array_ElectricalChargeData,ROW()-16,COLUMN()*2-3)),"",INDEX(Array_ElectricalChargeData,ROW()-16,COLUMN()*2-3))</f>
        <v/>
      </c>
      <c r="C178" t="str" cm="1">
        <f>IF(ISBLANK(INDEX(Array_ElectricalChargeData,ROW()-16,COLUMN()*2-3)),"",INDEX(Array_ElectricalChargeData,ROW()-16,COLUMN()*2-3))</f>
        <v/>
      </c>
      <c r="D178" t="str" cm="1">
        <f>IF(ISBLANK(INDEX(Array_ElectricalChargeData,ROW()-16,COLUMN()*2-3)),"",INDEX(Array_ElectricalChargeData,ROW()-16,COLUMN()*2-3))</f>
        <v/>
      </c>
      <c r="E178" t="str" cm="1">
        <f>IF(ISBLANK(INDEX(Array_ElectricalChargeData,ROW()-16,COLUMN()*2-3)),"",INDEX(Array_ElectricalChargeData,ROW()-16,COLUMN()*2-3))</f>
        <v/>
      </c>
      <c r="F178" t="str" cm="1">
        <f>IF(ISBLANK(INDEX(Array_ElectricalChargeData,ROW()-16,COLUMN()*2-3)),"",INDEX(Array_ElectricalChargeData,ROW()-16,COLUMN()*2-3))</f>
        <v/>
      </c>
      <c r="G178" t="str" cm="1">
        <f>IF(ISBLANK(INDEX(Array_ElectricalChargeData,ROW()-16,COLUMN()*2-3)),"",INDEX(Array_ElectricalChargeData,ROW()-16,COLUMN()*2-3))</f>
        <v/>
      </c>
      <c r="H178" t="str" cm="1">
        <f>IF(ISBLANK(INDEX(Array_ElectricalChargeData,ROW()-16,COLUMN()*2-3)),"",INDEX(Array_ElectricalChargeData,ROW()-16,COLUMN()*2-3))</f>
        <v/>
      </c>
      <c r="I178" t="str" cm="1">
        <f>IF(ISBLANK(INDEX(Array_ElectricalChargeData,ROW()-16,COLUMN()*2-3)),"",INDEX(Array_ElectricalChargeData,ROW()-16,COLUMN()*2-3))</f>
        <v/>
      </c>
      <c r="J178" t="str" cm="1">
        <f>IF(ISBLANK(INDEX(Array_ElectricalChargeData,ROW()-16,COLUMN()*2-3)),"",INDEX(Array_ElectricalChargeData,ROW()-16,COLUMN()*2-3))</f>
        <v/>
      </c>
      <c r="K178" t="str" cm="1">
        <f>IF(ISBLANK(INDEX(Array_ElectricalChargeData,ROW()-16,COLUMN()*2-3)),"",INDEX(Array_ElectricalChargeData,ROW()-16,COLUMN()*2-3))</f>
        <v/>
      </c>
      <c r="L178" t="str" cm="1">
        <f>IF(ISBLANK(INDEX(Array_ElectricalChargeData,ROW()-16,COLUMN()*2-3)),"",INDEX(Array_ElectricalChargeData,ROW()-16,COLUMN()*2-3))</f>
        <v/>
      </c>
      <c r="M178" t="str" cm="1">
        <f>IF(ISBLANK(INDEX(Array_ElectricalChargeData,ROW()-16,COLUMN()*2-3)),"",INDEX(Array_ElectricalChargeData,ROW()-16,COLUMN()*2-3))</f>
        <v/>
      </c>
      <c r="N178" t="str" cm="1">
        <f>IF(ISBLANK(INDEX(Array_ElectricalChargeData,ROW()-16,COLUMN()*2-3)),"",INDEX(Array_ElectricalChargeData,ROW()-16,COLUMN()*2-3))</f>
        <v/>
      </c>
      <c r="O178" t="str" cm="1">
        <f>IF(ISBLANK(INDEX(Array_ElectricalChargeData,ROW()-16,COLUMN()*2-3)),"",INDEX(Array_ElectricalChargeData,ROW()-16,COLUMN()*2-3))</f>
        <v/>
      </c>
      <c r="P178" t="str" cm="1">
        <f>IF(ISBLANK(INDEX(Array_ElectricalChargeData,ROW()-16,COLUMN()*2-3)),"",INDEX(Array_ElectricalChargeData,ROW()-16,COLUMN()*2-3))</f>
        <v/>
      </c>
    </row>
    <row r="179" spans="1:16" x14ac:dyDescent="0.35">
      <c r="A179" t="str">
        <f>IF('Electricity Meters'!B165="",A178,'Electricity Meters'!B165)</f>
        <v>Meter Numbers</v>
      </c>
      <c r="B179" t="str" cm="1">
        <f>IF(ISBLANK(INDEX(Array_ElectricalChargeData,ROW()-16,COLUMN()*2-3)),"",INDEX(Array_ElectricalChargeData,ROW()-16,COLUMN()*2-3))</f>
        <v/>
      </c>
      <c r="C179" t="str" cm="1">
        <f>IF(ISBLANK(INDEX(Array_ElectricalChargeData,ROW()-16,COLUMN()*2-3)),"",INDEX(Array_ElectricalChargeData,ROW()-16,COLUMN()*2-3))</f>
        <v/>
      </c>
      <c r="D179" t="str" cm="1">
        <f>IF(ISBLANK(INDEX(Array_ElectricalChargeData,ROW()-16,COLUMN()*2-3)),"",INDEX(Array_ElectricalChargeData,ROW()-16,COLUMN()*2-3))</f>
        <v/>
      </c>
      <c r="E179" t="str" cm="1">
        <f>IF(ISBLANK(INDEX(Array_ElectricalChargeData,ROW()-16,COLUMN()*2-3)),"",INDEX(Array_ElectricalChargeData,ROW()-16,COLUMN()*2-3))</f>
        <v/>
      </c>
      <c r="F179" t="str" cm="1">
        <f>IF(ISBLANK(INDEX(Array_ElectricalChargeData,ROW()-16,COLUMN()*2-3)),"",INDEX(Array_ElectricalChargeData,ROW()-16,COLUMN()*2-3))</f>
        <v/>
      </c>
      <c r="G179" t="str" cm="1">
        <f>IF(ISBLANK(INDEX(Array_ElectricalChargeData,ROW()-16,COLUMN()*2-3)),"",INDEX(Array_ElectricalChargeData,ROW()-16,COLUMN()*2-3))</f>
        <v/>
      </c>
      <c r="H179" t="str" cm="1">
        <f>IF(ISBLANK(INDEX(Array_ElectricalChargeData,ROW()-16,COLUMN()*2-3)),"",INDEX(Array_ElectricalChargeData,ROW()-16,COLUMN()*2-3))</f>
        <v/>
      </c>
      <c r="I179" t="str" cm="1">
        <f>IF(ISBLANK(INDEX(Array_ElectricalChargeData,ROW()-16,COLUMN()*2-3)),"",INDEX(Array_ElectricalChargeData,ROW()-16,COLUMN()*2-3))</f>
        <v/>
      </c>
      <c r="J179" t="str" cm="1">
        <f>IF(ISBLANK(INDEX(Array_ElectricalChargeData,ROW()-16,COLUMN()*2-3)),"",INDEX(Array_ElectricalChargeData,ROW()-16,COLUMN()*2-3))</f>
        <v/>
      </c>
      <c r="K179" t="str" cm="1">
        <f>IF(ISBLANK(INDEX(Array_ElectricalChargeData,ROW()-16,COLUMN()*2-3)),"",INDEX(Array_ElectricalChargeData,ROW()-16,COLUMN()*2-3))</f>
        <v/>
      </c>
      <c r="L179" t="str" cm="1">
        <f>IF(ISBLANK(INDEX(Array_ElectricalChargeData,ROW()-16,COLUMN()*2-3)),"",INDEX(Array_ElectricalChargeData,ROW()-16,COLUMN()*2-3))</f>
        <v/>
      </c>
      <c r="M179" t="str" cm="1">
        <f>IF(ISBLANK(INDEX(Array_ElectricalChargeData,ROW()-16,COLUMN()*2-3)),"",INDEX(Array_ElectricalChargeData,ROW()-16,COLUMN()*2-3))</f>
        <v/>
      </c>
      <c r="N179" t="str" cm="1">
        <f>IF(ISBLANK(INDEX(Array_ElectricalChargeData,ROW()-16,COLUMN()*2-3)),"",INDEX(Array_ElectricalChargeData,ROW()-16,COLUMN()*2-3))</f>
        <v/>
      </c>
      <c r="O179" t="str" cm="1">
        <f>IF(ISBLANK(INDEX(Array_ElectricalChargeData,ROW()-16,COLUMN()*2-3)),"",INDEX(Array_ElectricalChargeData,ROW()-16,COLUMN()*2-3))</f>
        <v/>
      </c>
      <c r="P179" t="str" cm="1">
        <f>IF(ISBLANK(INDEX(Array_ElectricalChargeData,ROW()-16,COLUMN()*2-3)),"",INDEX(Array_ElectricalChargeData,ROW()-16,COLUMN()*2-3))</f>
        <v/>
      </c>
    </row>
    <row r="180" spans="1:16" x14ac:dyDescent="0.35">
      <c r="A180" t="str">
        <f>IF('Electricity Meters'!B166="",A179,'Electricity Meters'!B166)</f>
        <v>Meter Numbers</v>
      </c>
      <c r="B180" t="str" cm="1">
        <f>IF(ISBLANK(INDEX(Array_ElectricalChargeData,ROW()-16,COLUMN()*2-3)),"",INDEX(Array_ElectricalChargeData,ROW()-16,COLUMN()*2-3))</f>
        <v/>
      </c>
      <c r="C180" t="str" cm="1">
        <f>IF(ISBLANK(INDEX(Array_ElectricalChargeData,ROW()-16,COLUMN()*2-3)),"",INDEX(Array_ElectricalChargeData,ROW()-16,COLUMN()*2-3))</f>
        <v/>
      </c>
      <c r="D180" t="str" cm="1">
        <f>IF(ISBLANK(INDEX(Array_ElectricalChargeData,ROW()-16,COLUMN()*2-3)),"",INDEX(Array_ElectricalChargeData,ROW()-16,COLUMN()*2-3))</f>
        <v/>
      </c>
      <c r="E180" t="str" cm="1">
        <f>IF(ISBLANK(INDEX(Array_ElectricalChargeData,ROW()-16,COLUMN()*2-3)),"",INDEX(Array_ElectricalChargeData,ROW()-16,COLUMN()*2-3))</f>
        <v/>
      </c>
      <c r="F180" t="str" cm="1">
        <f>IF(ISBLANK(INDEX(Array_ElectricalChargeData,ROW()-16,COLUMN()*2-3)),"",INDEX(Array_ElectricalChargeData,ROW()-16,COLUMN()*2-3))</f>
        <v/>
      </c>
      <c r="G180" t="str" cm="1">
        <f>IF(ISBLANK(INDEX(Array_ElectricalChargeData,ROW()-16,COLUMN()*2-3)),"",INDEX(Array_ElectricalChargeData,ROW()-16,COLUMN()*2-3))</f>
        <v/>
      </c>
      <c r="H180" t="str" cm="1">
        <f>IF(ISBLANK(INDEX(Array_ElectricalChargeData,ROW()-16,COLUMN()*2-3)),"",INDEX(Array_ElectricalChargeData,ROW()-16,COLUMN()*2-3))</f>
        <v/>
      </c>
      <c r="I180" t="str" cm="1">
        <f>IF(ISBLANK(INDEX(Array_ElectricalChargeData,ROW()-16,COLUMN()*2-3)),"",INDEX(Array_ElectricalChargeData,ROW()-16,COLUMN()*2-3))</f>
        <v/>
      </c>
      <c r="J180" t="str" cm="1">
        <f>IF(ISBLANK(INDEX(Array_ElectricalChargeData,ROW()-16,COLUMN()*2-3)),"",INDEX(Array_ElectricalChargeData,ROW()-16,COLUMN()*2-3))</f>
        <v/>
      </c>
      <c r="K180" t="str" cm="1">
        <f>IF(ISBLANK(INDEX(Array_ElectricalChargeData,ROW()-16,COLUMN()*2-3)),"",INDEX(Array_ElectricalChargeData,ROW()-16,COLUMN()*2-3))</f>
        <v/>
      </c>
      <c r="L180" t="str" cm="1">
        <f>IF(ISBLANK(INDEX(Array_ElectricalChargeData,ROW()-16,COLUMN()*2-3)),"",INDEX(Array_ElectricalChargeData,ROW()-16,COLUMN()*2-3))</f>
        <v/>
      </c>
      <c r="M180" t="str" cm="1">
        <f>IF(ISBLANK(INDEX(Array_ElectricalChargeData,ROW()-16,COLUMN()*2-3)),"",INDEX(Array_ElectricalChargeData,ROW()-16,COLUMN()*2-3))</f>
        <v/>
      </c>
      <c r="N180" t="str" cm="1">
        <f>IF(ISBLANK(INDEX(Array_ElectricalChargeData,ROW()-16,COLUMN()*2-3)),"",INDEX(Array_ElectricalChargeData,ROW()-16,COLUMN()*2-3))</f>
        <v/>
      </c>
      <c r="O180" t="str" cm="1">
        <f>IF(ISBLANK(INDEX(Array_ElectricalChargeData,ROW()-16,COLUMN()*2-3)),"",INDEX(Array_ElectricalChargeData,ROW()-16,COLUMN()*2-3))</f>
        <v/>
      </c>
      <c r="P180" t="str" cm="1">
        <f>IF(ISBLANK(INDEX(Array_ElectricalChargeData,ROW()-16,COLUMN()*2-3)),"",INDEX(Array_ElectricalChargeData,ROW()-16,COLUMN()*2-3))</f>
        <v/>
      </c>
    </row>
    <row r="181" spans="1:16" x14ac:dyDescent="0.35">
      <c r="A181" t="str">
        <f>IF('Electricity Meters'!B167="",A180,'Electricity Meters'!B167)</f>
        <v>Meter Numbers</v>
      </c>
      <c r="B181" t="str" cm="1">
        <f>IF(ISBLANK(INDEX(Array_ElectricalChargeData,ROW()-16,COLUMN()*2-3)),"",INDEX(Array_ElectricalChargeData,ROW()-16,COLUMN()*2-3))</f>
        <v/>
      </c>
      <c r="C181" t="str" cm="1">
        <f>IF(ISBLANK(INDEX(Array_ElectricalChargeData,ROW()-16,COLUMN()*2-3)),"",INDEX(Array_ElectricalChargeData,ROW()-16,COLUMN()*2-3))</f>
        <v/>
      </c>
      <c r="D181" t="str" cm="1">
        <f>IF(ISBLANK(INDEX(Array_ElectricalChargeData,ROW()-16,COLUMN()*2-3)),"",INDEX(Array_ElectricalChargeData,ROW()-16,COLUMN()*2-3))</f>
        <v/>
      </c>
      <c r="E181" t="str" cm="1">
        <f>IF(ISBLANK(INDEX(Array_ElectricalChargeData,ROW()-16,COLUMN()*2-3)),"",INDEX(Array_ElectricalChargeData,ROW()-16,COLUMN()*2-3))</f>
        <v/>
      </c>
      <c r="F181" t="str" cm="1">
        <f>IF(ISBLANK(INDEX(Array_ElectricalChargeData,ROW()-16,COLUMN()*2-3)),"",INDEX(Array_ElectricalChargeData,ROW()-16,COLUMN()*2-3))</f>
        <v/>
      </c>
      <c r="G181" t="str" cm="1">
        <f>IF(ISBLANK(INDEX(Array_ElectricalChargeData,ROW()-16,COLUMN()*2-3)),"",INDEX(Array_ElectricalChargeData,ROW()-16,COLUMN()*2-3))</f>
        <v/>
      </c>
      <c r="H181" t="str" cm="1">
        <f>IF(ISBLANK(INDEX(Array_ElectricalChargeData,ROW()-16,COLUMN()*2-3)),"",INDEX(Array_ElectricalChargeData,ROW()-16,COLUMN()*2-3))</f>
        <v/>
      </c>
      <c r="I181" t="str" cm="1">
        <f>IF(ISBLANK(INDEX(Array_ElectricalChargeData,ROW()-16,COLUMN()*2-3)),"",INDEX(Array_ElectricalChargeData,ROW()-16,COLUMN()*2-3))</f>
        <v/>
      </c>
      <c r="J181" t="str" cm="1">
        <f>IF(ISBLANK(INDEX(Array_ElectricalChargeData,ROW()-16,COLUMN()*2-3)),"",INDEX(Array_ElectricalChargeData,ROW()-16,COLUMN()*2-3))</f>
        <v/>
      </c>
      <c r="K181" t="str" cm="1">
        <f>IF(ISBLANK(INDEX(Array_ElectricalChargeData,ROW()-16,COLUMN()*2-3)),"",INDEX(Array_ElectricalChargeData,ROW()-16,COLUMN()*2-3))</f>
        <v/>
      </c>
      <c r="L181" t="str" cm="1">
        <f>IF(ISBLANK(INDEX(Array_ElectricalChargeData,ROW()-16,COLUMN()*2-3)),"",INDEX(Array_ElectricalChargeData,ROW()-16,COLUMN()*2-3))</f>
        <v/>
      </c>
      <c r="M181" t="str" cm="1">
        <f>IF(ISBLANK(INDEX(Array_ElectricalChargeData,ROW()-16,COLUMN()*2-3)),"",INDEX(Array_ElectricalChargeData,ROW()-16,COLUMN()*2-3))</f>
        <v/>
      </c>
      <c r="N181" t="str" cm="1">
        <f>IF(ISBLANK(INDEX(Array_ElectricalChargeData,ROW()-16,COLUMN()*2-3)),"",INDEX(Array_ElectricalChargeData,ROW()-16,COLUMN()*2-3))</f>
        <v/>
      </c>
      <c r="O181" t="str" cm="1">
        <f>IF(ISBLANK(INDEX(Array_ElectricalChargeData,ROW()-16,COLUMN()*2-3)),"",INDEX(Array_ElectricalChargeData,ROW()-16,COLUMN()*2-3))</f>
        <v/>
      </c>
      <c r="P181" t="str" cm="1">
        <f>IF(ISBLANK(INDEX(Array_ElectricalChargeData,ROW()-16,COLUMN()*2-3)),"",INDEX(Array_ElectricalChargeData,ROW()-16,COLUMN()*2-3))</f>
        <v/>
      </c>
    </row>
    <row r="182" spans="1:16" x14ac:dyDescent="0.35">
      <c r="A182" t="str">
        <f>IF('Electricity Meters'!B168="",A181,'Electricity Meters'!B168)</f>
        <v>Meter Numbers</v>
      </c>
      <c r="B182" t="str" cm="1">
        <f>IF(ISBLANK(INDEX(Array_ElectricalChargeData,ROW()-16,COLUMN()*2-3)),"",INDEX(Array_ElectricalChargeData,ROW()-16,COLUMN()*2-3))</f>
        <v/>
      </c>
      <c r="C182" t="str" cm="1">
        <f>IF(ISBLANK(INDEX(Array_ElectricalChargeData,ROW()-16,COLUMN()*2-3)),"",INDEX(Array_ElectricalChargeData,ROW()-16,COLUMN()*2-3))</f>
        <v/>
      </c>
      <c r="D182" t="str" cm="1">
        <f>IF(ISBLANK(INDEX(Array_ElectricalChargeData,ROW()-16,COLUMN()*2-3)),"",INDEX(Array_ElectricalChargeData,ROW()-16,COLUMN()*2-3))</f>
        <v/>
      </c>
      <c r="E182" t="str" cm="1">
        <f>IF(ISBLANK(INDEX(Array_ElectricalChargeData,ROW()-16,COLUMN()*2-3)),"",INDEX(Array_ElectricalChargeData,ROW()-16,COLUMN()*2-3))</f>
        <v/>
      </c>
      <c r="F182" t="str" cm="1">
        <f>IF(ISBLANK(INDEX(Array_ElectricalChargeData,ROW()-16,COLUMN()*2-3)),"",INDEX(Array_ElectricalChargeData,ROW()-16,COLUMN()*2-3))</f>
        <v/>
      </c>
      <c r="G182" t="str" cm="1">
        <f>IF(ISBLANK(INDEX(Array_ElectricalChargeData,ROW()-16,COLUMN()*2-3)),"",INDEX(Array_ElectricalChargeData,ROW()-16,COLUMN()*2-3))</f>
        <v/>
      </c>
      <c r="H182" t="str" cm="1">
        <f>IF(ISBLANK(INDEX(Array_ElectricalChargeData,ROW()-16,COLUMN()*2-3)),"",INDEX(Array_ElectricalChargeData,ROW()-16,COLUMN()*2-3))</f>
        <v/>
      </c>
      <c r="I182" t="str" cm="1">
        <f>IF(ISBLANK(INDEX(Array_ElectricalChargeData,ROW()-16,COLUMN()*2-3)),"",INDEX(Array_ElectricalChargeData,ROW()-16,COLUMN()*2-3))</f>
        <v/>
      </c>
      <c r="J182" t="str" cm="1">
        <f>IF(ISBLANK(INDEX(Array_ElectricalChargeData,ROW()-16,COLUMN()*2-3)),"",INDEX(Array_ElectricalChargeData,ROW()-16,COLUMN()*2-3))</f>
        <v/>
      </c>
      <c r="K182" t="str" cm="1">
        <f>IF(ISBLANK(INDEX(Array_ElectricalChargeData,ROW()-16,COLUMN()*2-3)),"",INDEX(Array_ElectricalChargeData,ROW()-16,COLUMN()*2-3))</f>
        <v/>
      </c>
      <c r="L182" t="str" cm="1">
        <f>IF(ISBLANK(INDEX(Array_ElectricalChargeData,ROW()-16,COLUMN()*2-3)),"",INDEX(Array_ElectricalChargeData,ROW()-16,COLUMN()*2-3))</f>
        <v/>
      </c>
      <c r="M182" t="str" cm="1">
        <f>IF(ISBLANK(INDEX(Array_ElectricalChargeData,ROW()-16,COLUMN()*2-3)),"",INDEX(Array_ElectricalChargeData,ROW()-16,COLUMN()*2-3))</f>
        <v/>
      </c>
      <c r="N182" t="str" cm="1">
        <f>IF(ISBLANK(INDEX(Array_ElectricalChargeData,ROW()-16,COLUMN()*2-3)),"",INDEX(Array_ElectricalChargeData,ROW()-16,COLUMN()*2-3))</f>
        <v/>
      </c>
      <c r="O182" t="str" cm="1">
        <f>IF(ISBLANK(INDEX(Array_ElectricalChargeData,ROW()-16,COLUMN()*2-3)),"",INDEX(Array_ElectricalChargeData,ROW()-16,COLUMN()*2-3))</f>
        <v/>
      </c>
      <c r="P182" t="str" cm="1">
        <f>IF(ISBLANK(INDEX(Array_ElectricalChargeData,ROW()-16,COLUMN()*2-3)),"",INDEX(Array_ElectricalChargeData,ROW()-16,COLUMN()*2-3))</f>
        <v/>
      </c>
    </row>
    <row r="183" spans="1:16" x14ac:dyDescent="0.35">
      <c r="A183" t="str">
        <f>IF('Electricity Meters'!B169="",A182,'Electricity Meters'!B169)</f>
        <v>Meter Numbers</v>
      </c>
      <c r="B183" t="str" cm="1">
        <f>IF(ISBLANK(INDEX(Array_ElectricalChargeData,ROW()-16,COLUMN()*2-3)),"",INDEX(Array_ElectricalChargeData,ROW()-16,COLUMN()*2-3))</f>
        <v/>
      </c>
      <c r="C183" t="str" cm="1">
        <f>IF(ISBLANK(INDEX(Array_ElectricalChargeData,ROW()-16,COLUMN()*2-3)),"",INDEX(Array_ElectricalChargeData,ROW()-16,COLUMN()*2-3))</f>
        <v/>
      </c>
      <c r="D183" t="str" cm="1">
        <f>IF(ISBLANK(INDEX(Array_ElectricalChargeData,ROW()-16,COLUMN()*2-3)),"",INDEX(Array_ElectricalChargeData,ROW()-16,COLUMN()*2-3))</f>
        <v/>
      </c>
      <c r="E183" t="str" cm="1">
        <f>IF(ISBLANK(INDEX(Array_ElectricalChargeData,ROW()-16,COLUMN()*2-3)),"",INDEX(Array_ElectricalChargeData,ROW()-16,COLUMN()*2-3))</f>
        <v/>
      </c>
      <c r="F183" t="str" cm="1">
        <f>IF(ISBLANK(INDEX(Array_ElectricalChargeData,ROW()-16,COLUMN()*2-3)),"",INDEX(Array_ElectricalChargeData,ROW()-16,COLUMN()*2-3))</f>
        <v/>
      </c>
      <c r="G183" t="str" cm="1">
        <f>IF(ISBLANK(INDEX(Array_ElectricalChargeData,ROW()-16,COLUMN()*2-3)),"",INDEX(Array_ElectricalChargeData,ROW()-16,COLUMN()*2-3))</f>
        <v/>
      </c>
      <c r="H183" t="str" cm="1">
        <f>IF(ISBLANK(INDEX(Array_ElectricalChargeData,ROW()-16,COLUMN()*2-3)),"",INDEX(Array_ElectricalChargeData,ROW()-16,COLUMN()*2-3))</f>
        <v/>
      </c>
      <c r="I183" t="str" cm="1">
        <f>IF(ISBLANK(INDEX(Array_ElectricalChargeData,ROW()-16,COLUMN()*2-3)),"",INDEX(Array_ElectricalChargeData,ROW()-16,COLUMN()*2-3))</f>
        <v/>
      </c>
      <c r="J183" t="str" cm="1">
        <f>IF(ISBLANK(INDEX(Array_ElectricalChargeData,ROW()-16,COLUMN()*2-3)),"",INDEX(Array_ElectricalChargeData,ROW()-16,COLUMN()*2-3))</f>
        <v/>
      </c>
      <c r="K183" t="str" cm="1">
        <f>IF(ISBLANK(INDEX(Array_ElectricalChargeData,ROW()-16,COLUMN()*2-3)),"",INDEX(Array_ElectricalChargeData,ROW()-16,COLUMN()*2-3))</f>
        <v/>
      </c>
      <c r="L183" t="str" cm="1">
        <f>IF(ISBLANK(INDEX(Array_ElectricalChargeData,ROW()-16,COLUMN()*2-3)),"",INDEX(Array_ElectricalChargeData,ROW()-16,COLUMN()*2-3))</f>
        <v/>
      </c>
      <c r="M183" t="str" cm="1">
        <f>IF(ISBLANK(INDEX(Array_ElectricalChargeData,ROW()-16,COLUMN()*2-3)),"",INDEX(Array_ElectricalChargeData,ROW()-16,COLUMN()*2-3))</f>
        <v/>
      </c>
      <c r="N183" t="str" cm="1">
        <f>IF(ISBLANK(INDEX(Array_ElectricalChargeData,ROW()-16,COLUMN()*2-3)),"",INDEX(Array_ElectricalChargeData,ROW()-16,COLUMN()*2-3))</f>
        <v/>
      </c>
      <c r="O183" t="str" cm="1">
        <f>IF(ISBLANK(INDEX(Array_ElectricalChargeData,ROW()-16,COLUMN()*2-3)),"",INDEX(Array_ElectricalChargeData,ROW()-16,COLUMN()*2-3))</f>
        <v/>
      </c>
      <c r="P183" t="str" cm="1">
        <f>IF(ISBLANK(INDEX(Array_ElectricalChargeData,ROW()-16,COLUMN()*2-3)),"",INDEX(Array_ElectricalChargeData,ROW()-16,COLUMN()*2-3))</f>
        <v/>
      </c>
    </row>
    <row r="184" spans="1:16" x14ac:dyDescent="0.35">
      <c r="A184" t="str">
        <f>IF('Electricity Meters'!B170="",A183,'Electricity Meters'!B170)</f>
        <v>Meter Numbers</v>
      </c>
      <c r="B184" t="str" cm="1">
        <f>IF(ISBLANK(INDEX(Array_ElectricalChargeData,ROW()-16,COLUMN()*2-3)),"",INDEX(Array_ElectricalChargeData,ROW()-16,COLUMN()*2-3))</f>
        <v/>
      </c>
      <c r="C184" t="str" cm="1">
        <f>IF(ISBLANK(INDEX(Array_ElectricalChargeData,ROW()-16,COLUMN()*2-3)),"",INDEX(Array_ElectricalChargeData,ROW()-16,COLUMN()*2-3))</f>
        <v/>
      </c>
      <c r="D184" t="str" cm="1">
        <f>IF(ISBLANK(INDEX(Array_ElectricalChargeData,ROW()-16,COLUMN()*2-3)),"",INDEX(Array_ElectricalChargeData,ROW()-16,COLUMN()*2-3))</f>
        <v/>
      </c>
      <c r="E184" t="str" cm="1">
        <f>IF(ISBLANK(INDEX(Array_ElectricalChargeData,ROW()-16,COLUMN()*2-3)),"",INDEX(Array_ElectricalChargeData,ROW()-16,COLUMN()*2-3))</f>
        <v/>
      </c>
      <c r="F184" t="str" cm="1">
        <f>IF(ISBLANK(INDEX(Array_ElectricalChargeData,ROW()-16,COLUMN()*2-3)),"",INDEX(Array_ElectricalChargeData,ROW()-16,COLUMN()*2-3))</f>
        <v/>
      </c>
      <c r="G184" t="str" cm="1">
        <f>IF(ISBLANK(INDEX(Array_ElectricalChargeData,ROW()-16,COLUMN()*2-3)),"",INDEX(Array_ElectricalChargeData,ROW()-16,COLUMN()*2-3))</f>
        <v/>
      </c>
      <c r="H184" t="str" cm="1">
        <f>IF(ISBLANK(INDEX(Array_ElectricalChargeData,ROW()-16,COLUMN()*2-3)),"",INDEX(Array_ElectricalChargeData,ROW()-16,COLUMN()*2-3))</f>
        <v/>
      </c>
      <c r="I184" t="str" cm="1">
        <f>IF(ISBLANK(INDEX(Array_ElectricalChargeData,ROW()-16,COLUMN()*2-3)),"",INDEX(Array_ElectricalChargeData,ROW()-16,COLUMN()*2-3))</f>
        <v/>
      </c>
      <c r="J184" t="str" cm="1">
        <f>IF(ISBLANK(INDEX(Array_ElectricalChargeData,ROW()-16,COLUMN()*2-3)),"",INDEX(Array_ElectricalChargeData,ROW()-16,COLUMN()*2-3))</f>
        <v/>
      </c>
      <c r="K184" t="str" cm="1">
        <f>IF(ISBLANK(INDEX(Array_ElectricalChargeData,ROW()-16,COLUMN()*2-3)),"",INDEX(Array_ElectricalChargeData,ROW()-16,COLUMN()*2-3))</f>
        <v/>
      </c>
      <c r="L184" t="str" cm="1">
        <f>IF(ISBLANK(INDEX(Array_ElectricalChargeData,ROW()-16,COLUMN()*2-3)),"",INDEX(Array_ElectricalChargeData,ROW()-16,COLUMN()*2-3))</f>
        <v/>
      </c>
      <c r="M184" t="str" cm="1">
        <f>IF(ISBLANK(INDEX(Array_ElectricalChargeData,ROW()-16,COLUMN()*2-3)),"",INDEX(Array_ElectricalChargeData,ROW()-16,COLUMN()*2-3))</f>
        <v/>
      </c>
      <c r="N184" t="str" cm="1">
        <f>IF(ISBLANK(INDEX(Array_ElectricalChargeData,ROW()-16,COLUMN()*2-3)),"",INDEX(Array_ElectricalChargeData,ROW()-16,COLUMN()*2-3))</f>
        <v/>
      </c>
      <c r="O184" t="str" cm="1">
        <f>IF(ISBLANK(INDEX(Array_ElectricalChargeData,ROW()-16,COLUMN()*2-3)),"",INDEX(Array_ElectricalChargeData,ROW()-16,COLUMN()*2-3))</f>
        <v/>
      </c>
      <c r="P184" t="str" cm="1">
        <f>IF(ISBLANK(INDEX(Array_ElectricalChargeData,ROW()-16,COLUMN()*2-3)),"",INDEX(Array_ElectricalChargeData,ROW()-16,COLUMN()*2-3))</f>
        <v/>
      </c>
    </row>
    <row r="185" spans="1:16" x14ac:dyDescent="0.35">
      <c r="A185" t="str">
        <f>IF('Electricity Meters'!B171="",A184,'Electricity Meters'!B171)</f>
        <v>Meter Numbers</v>
      </c>
      <c r="B185" t="str" cm="1">
        <f>IF(ISBLANK(INDEX(Array_ElectricalChargeData,ROW()-16,COLUMN()*2-3)),"",INDEX(Array_ElectricalChargeData,ROW()-16,COLUMN()*2-3))</f>
        <v/>
      </c>
      <c r="C185" t="str" cm="1">
        <f>IF(ISBLANK(INDEX(Array_ElectricalChargeData,ROW()-16,COLUMN()*2-3)),"",INDEX(Array_ElectricalChargeData,ROW()-16,COLUMN()*2-3))</f>
        <v/>
      </c>
      <c r="D185" t="str" cm="1">
        <f>IF(ISBLANK(INDEX(Array_ElectricalChargeData,ROW()-16,COLUMN()*2-3)),"",INDEX(Array_ElectricalChargeData,ROW()-16,COLUMN()*2-3))</f>
        <v/>
      </c>
      <c r="E185" t="str" cm="1">
        <f>IF(ISBLANK(INDEX(Array_ElectricalChargeData,ROW()-16,COLUMN()*2-3)),"",INDEX(Array_ElectricalChargeData,ROW()-16,COLUMN()*2-3))</f>
        <v/>
      </c>
      <c r="F185" t="str" cm="1">
        <f>IF(ISBLANK(INDEX(Array_ElectricalChargeData,ROW()-16,COLUMN()*2-3)),"",INDEX(Array_ElectricalChargeData,ROW()-16,COLUMN()*2-3))</f>
        <v/>
      </c>
      <c r="G185" t="str" cm="1">
        <f>IF(ISBLANK(INDEX(Array_ElectricalChargeData,ROW()-16,COLUMN()*2-3)),"",INDEX(Array_ElectricalChargeData,ROW()-16,COLUMN()*2-3))</f>
        <v/>
      </c>
      <c r="H185" t="str" cm="1">
        <f>IF(ISBLANK(INDEX(Array_ElectricalChargeData,ROW()-16,COLUMN()*2-3)),"",INDEX(Array_ElectricalChargeData,ROW()-16,COLUMN()*2-3))</f>
        <v/>
      </c>
      <c r="I185" t="str" cm="1">
        <f>IF(ISBLANK(INDEX(Array_ElectricalChargeData,ROW()-16,COLUMN()*2-3)),"",INDEX(Array_ElectricalChargeData,ROW()-16,COLUMN()*2-3))</f>
        <v/>
      </c>
      <c r="J185" t="str" cm="1">
        <f>IF(ISBLANK(INDEX(Array_ElectricalChargeData,ROW()-16,COLUMN()*2-3)),"",INDEX(Array_ElectricalChargeData,ROW()-16,COLUMN()*2-3))</f>
        <v/>
      </c>
      <c r="K185" t="str" cm="1">
        <f>IF(ISBLANK(INDEX(Array_ElectricalChargeData,ROW()-16,COLUMN()*2-3)),"",INDEX(Array_ElectricalChargeData,ROW()-16,COLUMN()*2-3))</f>
        <v/>
      </c>
      <c r="L185" t="str" cm="1">
        <f>IF(ISBLANK(INDEX(Array_ElectricalChargeData,ROW()-16,COLUMN()*2-3)),"",INDEX(Array_ElectricalChargeData,ROW()-16,COLUMN()*2-3))</f>
        <v/>
      </c>
      <c r="M185" t="str" cm="1">
        <f>IF(ISBLANK(INDEX(Array_ElectricalChargeData,ROW()-16,COLUMN()*2-3)),"",INDEX(Array_ElectricalChargeData,ROW()-16,COLUMN()*2-3))</f>
        <v/>
      </c>
      <c r="N185" t="str" cm="1">
        <f>IF(ISBLANK(INDEX(Array_ElectricalChargeData,ROW()-16,COLUMN()*2-3)),"",INDEX(Array_ElectricalChargeData,ROW()-16,COLUMN()*2-3))</f>
        <v/>
      </c>
      <c r="O185" t="str" cm="1">
        <f>IF(ISBLANK(INDEX(Array_ElectricalChargeData,ROW()-16,COLUMN()*2-3)),"",INDEX(Array_ElectricalChargeData,ROW()-16,COLUMN()*2-3))</f>
        <v/>
      </c>
      <c r="P185" t="str" cm="1">
        <f>IF(ISBLANK(INDEX(Array_ElectricalChargeData,ROW()-16,COLUMN()*2-3)),"",INDEX(Array_ElectricalChargeData,ROW()-16,COLUMN()*2-3))</f>
        <v/>
      </c>
    </row>
    <row r="186" spans="1:16" x14ac:dyDescent="0.35">
      <c r="A186" t="str">
        <f>IF('Electricity Meters'!B172="",A185,'Electricity Meters'!B172)</f>
        <v>Meter Numbers</v>
      </c>
      <c r="B186" t="str" cm="1">
        <f>IF(ISBLANK(INDEX(Array_ElectricalChargeData,ROW()-16,COLUMN()*2-3)),"",INDEX(Array_ElectricalChargeData,ROW()-16,COLUMN()*2-3))</f>
        <v/>
      </c>
      <c r="C186" t="str" cm="1">
        <f>IF(ISBLANK(INDEX(Array_ElectricalChargeData,ROW()-16,COLUMN()*2-3)),"",INDEX(Array_ElectricalChargeData,ROW()-16,COLUMN()*2-3))</f>
        <v/>
      </c>
      <c r="D186" t="str" cm="1">
        <f>IF(ISBLANK(INDEX(Array_ElectricalChargeData,ROW()-16,COLUMN()*2-3)),"",INDEX(Array_ElectricalChargeData,ROW()-16,COLUMN()*2-3))</f>
        <v/>
      </c>
      <c r="E186" t="str" cm="1">
        <f>IF(ISBLANK(INDEX(Array_ElectricalChargeData,ROW()-16,COLUMN()*2-3)),"",INDEX(Array_ElectricalChargeData,ROW()-16,COLUMN()*2-3))</f>
        <v/>
      </c>
      <c r="F186" t="str" cm="1">
        <f>IF(ISBLANK(INDEX(Array_ElectricalChargeData,ROW()-16,COLUMN()*2-3)),"",INDEX(Array_ElectricalChargeData,ROW()-16,COLUMN()*2-3))</f>
        <v/>
      </c>
      <c r="G186" t="str" cm="1">
        <f>IF(ISBLANK(INDEX(Array_ElectricalChargeData,ROW()-16,COLUMN()*2-3)),"",INDEX(Array_ElectricalChargeData,ROW()-16,COLUMN()*2-3))</f>
        <v/>
      </c>
      <c r="H186" t="str" cm="1">
        <f>IF(ISBLANK(INDEX(Array_ElectricalChargeData,ROW()-16,COLUMN()*2-3)),"",INDEX(Array_ElectricalChargeData,ROW()-16,COLUMN()*2-3))</f>
        <v/>
      </c>
      <c r="I186" t="str" cm="1">
        <f>IF(ISBLANK(INDEX(Array_ElectricalChargeData,ROW()-16,COLUMN()*2-3)),"",INDEX(Array_ElectricalChargeData,ROW()-16,COLUMN()*2-3))</f>
        <v/>
      </c>
      <c r="J186" t="str" cm="1">
        <f>IF(ISBLANK(INDEX(Array_ElectricalChargeData,ROW()-16,COLUMN()*2-3)),"",INDEX(Array_ElectricalChargeData,ROW()-16,COLUMN()*2-3))</f>
        <v/>
      </c>
      <c r="K186" t="str" cm="1">
        <f>IF(ISBLANK(INDEX(Array_ElectricalChargeData,ROW()-16,COLUMN()*2-3)),"",INDEX(Array_ElectricalChargeData,ROW()-16,COLUMN()*2-3))</f>
        <v/>
      </c>
      <c r="L186" t="str" cm="1">
        <f>IF(ISBLANK(INDEX(Array_ElectricalChargeData,ROW()-16,COLUMN()*2-3)),"",INDEX(Array_ElectricalChargeData,ROW()-16,COLUMN()*2-3))</f>
        <v/>
      </c>
      <c r="M186" t="str" cm="1">
        <f>IF(ISBLANK(INDEX(Array_ElectricalChargeData,ROW()-16,COLUMN()*2-3)),"",INDEX(Array_ElectricalChargeData,ROW()-16,COLUMN()*2-3))</f>
        <v/>
      </c>
      <c r="N186" t="str" cm="1">
        <f>IF(ISBLANK(INDEX(Array_ElectricalChargeData,ROW()-16,COLUMN()*2-3)),"",INDEX(Array_ElectricalChargeData,ROW()-16,COLUMN()*2-3))</f>
        <v/>
      </c>
      <c r="O186" t="str" cm="1">
        <f>IF(ISBLANK(INDEX(Array_ElectricalChargeData,ROW()-16,COLUMN()*2-3)),"",INDEX(Array_ElectricalChargeData,ROW()-16,COLUMN()*2-3))</f>
        <v/>
      </c>
      <c r="P186" t="str" cm="1">
        <f>IF(ISBLANK(INDEX(Array_ElectricalChargeData,ROW()-16,COLUMN()*2-3)),"",INDEX(Array_ElectricalChargeData,ROW()-16,COLUMN()*2-3))</f>
        <v/>
      </c>
    </row>
    <row r="187" spans="1:16" x14ac:dyDescent="0.35">
      <c r="A187" t="str">
        <f>IF('Electricity Meters'!B173="",A186,'Electricity Meters'!B173)</f>
        <v>Meter Numbers</v>
      </c>
      <c r="B187" t="str" cm="1">
        <f>IF(ISBLANK(INDEX(Array_ElectricalChargeData,ROW()-16,COLUMN()*2-3)),"",INDEX(Array_ElectricalChargeData,ROW()-16,COLUMN()*2-3))</f>
        <v/>
      </c>
      <c r="C187" t="str" cm="1">
        <f>IF(ISBLANK(INDEX(Array_ElectricalChargeData,ROW()-16,COLUMN()*2-3)),"",INDEX(Array_ElectricalChargeData,ROW()-16,COLUMN()*2-3))</f>
        <v/>
      </c>
      <c r="D187" t="str" cm="1">
        <f>IF(ISBLANK(INDEX(Array_ElectricalChargeData,ROW()-16,COLUMN()*2-3)),"",INDEX(Array_ElectricalChargeData,ROW()-16,COLUMN()*2-3))</f>
        <v/>
      </c>
      <c r="E187" t="str" cm="1">
        <f>IF(ISBLANK(INDEX(Array_ElectricalChargeData,ROW()-16,COLUMN()*2-3)),"",INDEX(Array_ElectricalChargeData,ROW()-16,COLUMN()*2-3))</f>
        <v/>
      </c>
      <c r="F187" t="str" cm="1">
        <f>IF(ISBLANK(INDEX(Array_ElectricalChargeData,ROW()-16,COLUMN()*2-3)),"",INDEX(Array_ElectricalChargeData,ROW()-16,COLUMN()*2-3))</f>
        <v/>
      </c>
      <c r="G187" t="str" cm="1">
        <f>IF(ISBLANK(INDEX(Array_ElectricalChargeData,ROW()-16,COLUMN()*2-3)),"",INDEX(Array_ElectricalChargeData,ROW()-16,COLUMN()*2-3))</f>
        <v/>
      </c>
      <c r="H187" t="str" cm="1">
        <f>IF(ISBLANK(INDEX(Array_ElectricalChargeData,ROW()-16,COLUMN()*2-3)),"",INDEX(Array_ElectricalChargeData,ROW()-16,COLUMN()*2-3))</f>
        <v/>
      </c>
      <c r="I187" t="str" cm="1">
        <f>IF(ISBLANK(INDEX(Array_ElectricalChargeData,ROW()-16,COLUMN()*2-3)),"",INDEX(Array_ElectricalChargeData,ROW()-16,COLUMN()*2-3))</f>
        <v/>
      </c>
      <c r="J187" t="str" cm="1">
        <f>IF(ISBLANK(INDEX(Array_ElectricalChargeData,ROW()-16,COLUMN()*2-3)),"",INDEX(Array_ElectricalChargeData,ROW()-16,COLUMN()*2-3))</f>
        <v/>
      </c>
      <c r="K187" t="str" cm="1">
        <f>IF(ISBLANK(INDEX(Array_ElectricalChargeData,ROW()-16,COLUMN()*2-3)),"",INDEX(Array_ElectricalChargeData,ROW()-16,COLUMN()*2-3))</f>
        <v/>
      </c>
      <c r="L187" t="str" cm="1">
        <f>IF(ISBLANK(INDEX(Array_ElectricalChargeData,ROW()-16,COLUMN()*2-3)),"",INDEX(Array_ElectricalChargeData,ROW()-16,COLUMN()*2-3))</f>
        <v/>
      </c>
      <c r="M187" t="str" cm="1">
        <f>IF(ISBLANK(INDEX(Array_ElectricalChargeData,ROW()-16,COLUMN()*2-3)),"",INDEX(Array_ElectricalChargeData,ROW()-16,COLUMN()*2-3))</f>
        <v/>
      </c>
      <c r="N187" t="str" cm="1">
        <f>IF(ISBLANK(INDEX(Array_ElectricalChargeData,ROW()-16,COLUMN()*2-3)),"",INDEX(Array_ElectricalChargeData,ROW()-16,COLUMN()*2-3))</f>
        <v/>
      </c>
      <c r="O187" t="str" cm="1">
        <f>IF(ISBLANK(INDEX(Array_ElectricalChargeData,ROW()-16,COLUMN()*2-3)),"",INDEX(Array_ElectricalChargeData,ROW()-16,COLUMN()*2-3))</f>
        <v/>
      </c>
      <c r="P187" t="str" cm="1">
        <f>IF(ISBLANK(INDEX(Array_ElectricalChargeData,ROW()-16,COLUMN()*2-3)),"",INDEX(Array_ElectricalChargeData,ROW()-16,COLUMN()*2-3))</f>
        <v/>
      </c>
    </row>
    <row r="188" spans="1:16" x14ac:dyDescent="0.35">
      <c r="A188" t="str">
        <f>IF('Electricity Meters'!B174="",A187,'Electricity Meters'!B174)</f>
        <v>Meter Numbers</v>
      </c>
      <c r="B188" t="str" cm="1">
        <f>IF(ISBLANK(INDEX(Array_ElectricalChargeData,ROW()-16,COLUMN()*2-3)),"",INDEX(Array_ElectricalChargeData,ROW()-16,COLUMN()*2-3))</f>
        <v/>
      </c>
      <c r="C188" t="str" cm="1">
        <f>IF(ISBLANK(INDEX(Array_ElectricalChargeData,ROW()-16,COLUMN()*2-3)),"",INDEX(Array_ElectricalChargeData,ROW()-16,COLUMN()*2-3))</f>
        <v/>
      </c>
      <c r="D188" t="str" cm="1">
        <f>IF(ISBLANK(INDEX(Array_ElectricalChargeData,ROW()-16,COLUMN()*2-3)),"",INDEX(Array_ElectricalChargeData,ROW()-16,COLUMN()*2-3))</f>
        <v/>
      </c>
      <c r="E188" t="str" cm="1">
        <f>IF(ISBLANK(INDEX(Array_ElectricalChargeData,ROW()-16,COLUMN()*2-3)),"",INDEX(Array_ElectricalChargeData,ROW()-16,COLUMN()*2-3))</f>
        <v/>
      </c>
      <c r="F188" t="str" cm="1">
        <f>IF(ISBLANK(INDEX(Array_ElectricalChargeData,ROW()-16,COLUMN()*2-3)),"",INDEX(Array_ElectricalChargeData,ROW()-16,COLUMN()*2-3))</f>
        <v/>
      </c>
      <c r="G188" t="str" cm="1">
        <f>IF(ISBLANK(INDEX(Array_ElectricalChargeData,ROW()-16,COLUMN()*2-3)),"",INDEX(Array_ElectricalChargeData,ROW()-16,COLUMN()*2-3))</f>
        <v/>
      </c>
      <c r="H188" t="str" cm="1">
        <f>IF(ISBLANK(INDEX(Array_ElectricalChargeData,ROW()-16,COLUMN()*2-3)),"",INDEX(Array_ElectricalChargeData,ROW()-16,COLUMN()*2-3))</f>
        <v/>
      </c>
      <c r="I188" t="str" cm="1">
        <f>IF(ISBLANK(INDEX(Array_ElectricalChargeData,ROW()-16,COLUMN()*2-3)),"",INDEX(Array_ElectricalChargeData,ROW()-16,COLUMN()*2-3))</f>
        <v/>
      </c>
      <c r="J188" t="str" cm="1">
        <f>IF(ISBLANK(INDEX(Array_ElectricalChargeData,ROW()-16,COLUMN()*2-3)),"",INDEX(Array_ElectricalChargeData,ROW()-16,COLUMN()*2-3))</f>
        <v/>
      </c>
      <c r="K188" t="str" cm="1">
        <f>IF(ISBLANK(INDEX(Array_ElectricalChargeData,ROW()-16,COLUMN()*2-3)),"",INDEX(Array_ElectricalChargeData,ROW()-16,COLUMN()*2-3))</f>
        <v/>
      </c>
      <c r="L188" t="str" cm="1">
        <f>IF(ISBLANK(INDEX(Array_ElectricalChargeData,ROW()-16,COLUMN()*2-3)),"",INDEX(Array_ElectricalChargeData,ROW()-16,COLUMN()*2-3))</f>
        <v/>
      </c>
      <c r="M188" t="str" cm="1">
        <f>IF(ISBLANK(INDEX(Array_ElectricalChargeData,ROW()-16,COLUMN()*2-3)),"",INDEX(Array_ElectricalChargeData,ROW()-16,COLUMN()*2-3))</f>
        <v/>
      </c>
      <c r="N188" t="str" cm="1">
        <f>IF(ISBLANK(INDEX(Array_ElectricalChargeData,ROW()-16,COLUMN()*2-3)),"",INDEX(Array_ElectricalChargeData,ROW()-16,COLUMN()*2-3))</f>
        <v/>
      </c>
      <c r="O188" t="str" cm="1">
        <f>IF(ISBLANK(INDEX(Array_ElectricalChargeData,ROW()-16,COLUMN()*2-3)),"",INDEX(Array_ElectricalChargeData,ROW()-16,COLUMN()*2-3))</f>
        <v/>
      </c>
      <c r="P188" t="str" cm="1">
        <f>IF(ISBLANK(INDEX(Array_ElectricalChargeData,ROW()-16,COLUMN()*2-3)),"",INDEX(Array_ElectricalChargeData,ROW()-16,COLUMN()*2-3))</f>
        <v/>
      </c>
    </row>
    <row r="189" spans="1:16" x14ac:dyDescent="0.35">
      <c r="A189" t="str">
        <f>IF('Electricity Meters'!B175="",A188,'Electricity Meters'!B175)</f>
        <v>Meter Numbers</v>
      </c>
      <c r="B189" t="str" cm="1">
        <f>IF(ISBLANK(INDEX(Array_ElectricalChargeData,ROW()-16,COLUMN()*2-3)),"",INDEX(Array_ElectricalChargeData,ROW()-16,COLUMN()*2-3))</f>
        <v/>
      </c>
      <c r="C189" t="str" cm="1">
        <f>IF(ISBLANK(INDEX(Array_ElectricalChargeData,ROW()-16,COLUMN()*2-3)),"",INDEX(Array_ElectricalChargeData,ROW()-16,COLUMN()*2-3))</f>
        <v/>
      </c>
      <c r="D189" t="str" cm="1">
        <f>IF(ISBLANK(INDEX(Array_ElectricalChargeData,ROW()-16,COLUMN()*2-3)),"",INDEX(Array_ElectricalChargeData,ROW()-16,COLUMN()*2-3))</f>
        <v/>
      </c>
      <c r="E189" t="str" cm="1">
        <f>IF(ISBLANK(INDEX(Array_ElectricalChargeData,ROW()-16,COLUMN()*2-3)),"",INDEX(Array_ElectricalChargeData,ROW()-16,COLUMN()*2-3))</f>
        <v/>
      </c>
      <c r="F189" t="str" cm="1">
        <f>IF(ISBLANK(INDEX(Array_ElectricalChargeData,ROW()-16,COLUMN()*2-3)),"",INDEX(Array_ElectricalChargeData,ROW()-16,COLUMN()*2-3))</f>
        <v/>
      </c>
      <c r="G189" t="str" cm="1">
        <f>IF(ISBLANK(INDEX(Array_ElectricalChargeData,ROW()-16,COLUMN()*2-3)),"",INDEX(Array_ElectricalChargeData,ROW()-16,COLUMN()*2-3))</f>
        <v/>
      </c>
      <c r="H189" t="str" cm="1">
        <f>IF(ISBLANK(INDEX(Array_ElectricalChargeData,ROW()-16,COLUMN()*2-3)),"",INDEX(Array_ElectricalChargeData,ROW()-16,COLUMN()*2-3))</f>
        <v/>
      </c>
      <c r="I189" t="str" cm="1">
        <f>IF(ISBLANK(INDEX(Array_ElectricalChargeData,ROW()-16,COLUMN()*2-3)),"",INDEX(Array_ElectricalChargeData,ROW()-16,COLUMN()*2-3))</f>
        <v/>
      </c>
      <c r="J189" t="str" cm="1">
        <f>IF(ISBLANK(INDEX(Array_ElectricalChargeData,ROW()-16,COLUMN()*2-3)),"",INDEX(Array_ElectricalChargeData,ROW()-16,COLUMN()*2-3))</f>
        <v/>
      </c>
      <c r="K189" t="str" cm="1">
        <f>IF(ISBLANK(INDEX(Array_ElectricalChargeData,ROW()-16,COLUMN()*2-3)),"",INDEX(Array_ElectricalChargeData,ROW()-16,COLUMN()*2-3))</f>
        <v/>
      </c>
      <c r="L189" t="str" cm="1">
        <f>IF(ISBLANK(INDEX(Array_ElectricalChargeData,ROW()-16,COLUMN()*2-3)),"",INDEX(Array_ElectricalChargeData,ROW()-16,COLUMN()*2-3))</f>
        <v/>
      </c>
      <c r="M189" t="str" cm="1">
        <f>IF(ISBLANK(INDEX(Array_ElectricalChargeData,ROW()-16,COLUMN()*2-3)),"",INDEX(Array_ElectricalChargeData,ROW()-16,COLUMN()*2-3))</f>
        <v/>
      </c>
      <c r="N189" t="str" cm="1">
        <f>IF(ISBLANK(INDEX(Array_ElectricalChargeData,ROW()-16,COLUMN()*2-3)),"",INDEX(Array_ElectricalChargeData,ROW()-16,COLUMN()*2-3))</f>
        <v/>
      </c>
      <c r="O189" t="str" cm="1">
        <f>IF(ISBLANK(INDEX(Array_ElectricalChargeData,ROW()-16,COLUMN()*2-3)),"",INDEX(Array_ElectricalChargeData,ROW()-16,COLUMN()*2-3))</f>
        <v/>
      </c>
      <c r="P189" t="str" cm="1">
        <f>IF(ISBLANK(INDEX(Array_ElectricalChargeData,ROW()-16,COLUMN()*2-3)),"",INDEX(Array_ElectricalChargeData,ROW()-16,COLUMN()*2-3))</f>
        <v/>
      </c>
    </row>
    <row r="190" spans="1:16" x14ac:dyDescent="0.35">
      <c r="A190" t="str">
        <f>IF('Electricity Meters'!B176="",A189,'Electricity Meters'!B176)</f>
        <v>Meter Numbers</v>
      </c>
      <c r="B190" t="str" cm="1">
        <f>IF(ISBLANK(INDEX(Array_ElectricalChargeData,ROW()-16,COLUMN()*2-3)),"",INDEX(Array_ElectricalChargeData,ROW()-16,COLUMN()*2-3))</f>
        <v/>
      </c>
      <c r="C190" t="str" cm="1">
        <f>IF(ISBLANK(INDEX(Array_ElectricalChargeData,ROW()-16,COLUMN()*2-3)),"",INDEX(Array_ElectricalChargeData,ROW()-16,COLUMN()*2-3))</f>
        <v/>
      </c>
      <c r="D190" t="str" cm="1">
        <f>IF(ISBLANK(INDEX(Array_ElectricalChargeData,ROW()-16,COLUMN()*2-3)),"",INDEX(Array_ElectricalChargeData,ROW()-16,COLUMN()*2-3))</f>
        <v/>
      </c>
      <c r="E190" t="str" cm="1">
        <f>IF(ISBLANK(INDEX(Array_ElectricalChargeData,ROW()-16,COLUMN()*2-3)),"",INDEX(Array_ElectricalChargeData,ROW()-16,COLUMN()*2-3))</f>
        <v/>
      </c>
      <c r="F190" t="str" cm="1">
        <f>IF(ISBLANK(INDEX(Array_ElectricalChargeData,ROW()-16,COLUMN()*2-3)),"",INDEX(Array_ElectricalChargeData,ROW()-16,COLUMN()*2-3))</f>
        <v/>
      </c>
      <c r="G190" t="str" cm="1">
        <f>IF(ISBLANK(INDEX(Array_ElectricalChargeData,ROW()-16,COLUMN()*2-3)),"",INDEX(Array_ElectricalChargeData,ROW()-16,COLUMN()*2-3))</f>
        <v/>
      </c>
      <c r="H190" t="str" cm="1">
        <f>IF(ISBLANK(INDEX(Array_ElectricalChargeData,ROW()-16,COLUMN()*2-3)),"",INDEX(Array_ElectricalChargeData,ROW()-16,COLUMN()*2-3))</f>
        <v/>
      </c>
      <c r="I190" t="str" cm="1">
        <f>IF(ISBLANK(INDEX(Array_ElectricalChargeData,ROW()-16,COLUMN()*2-3)),"",INDEX(Array_ElectricalChargeData,ROW()-16,COLUMN()*2-3))</f>
        <v/>
      </c>
      <c r="J190" t="str" cm="1">
        <f>IF(ISBLANK(INDEX(Array_ElectricalChargeData,ROW()-16,COLUMN()*2-3)),"",INDEX(Array_ElectricalChargeData,ROW()-16,COLUMN()*2-3))</f>
        <v/>
      </c>
      <c r="K190" t="str" cm="1">
        <f>IF(ISBLANK(INDEX(Array_ElectricalChargeData,ROW()-16,COLUMN()*2-3)),"",INDEX(Array_ElectricalChargeData,ROW()-16,COLUMN()*2-3))</f>
        <v/>
      </c>
      <c r="L190" t="str" cm="1">
        <f>IF(ISBLANK(INDEX(Array_ElectricalChargeData,ROW()-16,COLUMN()*2-3)),"",INDEX(Array_ElectricalChargeData,ROW()-16,COLUMN()*2-3))</f>
        <v/>
      </c>
      <c r="M190" t="str" cm="1">
        <f>IF(ISBLANK(INDEX(Array_ElectricalChargeData,ROW()-16,COLUMN()*2-3)),"",INDEX(Array_ElectricalChargeData,ROW()-16,COLUMN()*2-3))</f>
        <v/>
      </c>
      <c r="N190" t="str" cm="1">
        <f>IF(ISBLANK(INDEX(Array_ElectricalChargeData,ROW()-16,COLUMN()*2-3)),"",INDEX(Array_ElectricalChargeData,ROW()-16,COLUMN()*2-3))</f>
        <v/>
      </c>
      <c r="O190" t="str" cm="1">
        <f>IF(ISBLANK(INDEX(Array_ElectricalChargeData,ROW()-16,COLUMN()*2-3)),"",INDEX(Array_ElectricalChargeData,ROW()-16,COLUMN()*2-3))</f>
        <v/>
      </c>
      <c r="P190" t="str" cm="1">
        <f>IF(ISBLANK(INDEX(Array_ElectricalChargeData,ROW()-16,COLUMN()*2-3)),"",INDEX(Array_ElectricalChargeData,ROW()-16,COLUMN()*2-3))</f>
        <v/>
      </c>
    </row>
    <row r="191" spans="1:16" x14ac:dyDescent="0.35">
      <c r="A191" t="str">
        <f>IF('Electricity Meters'!B177="",A190,'Electricity Meters'!B177)</f>
        <v>Meter Numbers</v>
      </c>
      <c r="B191" t="str" cm="1">
        <f>IF(ISBLANK(INDEX(Array_ElectricalChargeData,ROW()-16,COLUMN()*2-3)),"",INDEX(Array_ElectricalChargeData,ROW()-16,COLUMN()*2-3))</f>
        <v/>
      </c>
      <c r="C191" t="str" cm="1">
        <f>IF(ISBLANK(INDEX(Array_ElectricalChargeData,ROW()-16,COLUMN()*2-3)),"",INDEX(Array_ElectricalChargeData,ROW()-16,COLUMN()*2-3))</f>
        <v/>
      </c>
      <c r="D191" t="str" cm="1">
        <f>IF(ISBLANK(INDEX(Array_ElectricalChargeData,ROW()-16,COLUMN()*2-3)),"",INDEX(Array_ElectricalChargeData,ROW()-16,COLUMN()*2-3))</f>
        <v/>
      </c>
      <c r="E191" t="str" cm="1">
        <f>IF(ISBLANK(INDEX(Array_ElectricalChargeData,ROW()-16,COLUMN()*2-3)),"",INDEX(Array_ElectricalChargeData,ROW()-16,COLUMN()*2-3))</f>
        <v/>
      </c>
      <c r="F191" t="str" cm="1">
        <f>IF(ISBLANK(INDEX(Array_ElectricalChargeData,ROW()-16,COLUMN()*2-3)),"",INDEX(Array_ElectricalChargeData,ROW()-16,COLUMN()*2-3))</f>
        <v/>
      </c>
      <c r="G191" t="str" cm="1">
        <f>IF(ISBLANK(INDEX(Array_ElectricalChargeData,ROW()-16,COLUMN()*2-3)),"",INDEX(Array_ElectricalChargeData,ROW()-16,COLUMN()*2-3))</f>
        <v/>
      </c>
      <c r="H191" t="str" cm="1">
        <f>IF(ISBLANK(INDEX(Array_ElectricalChargeData,ROW()-16,COLUMN()*2-3)),"",INDEX(Array_ElectricalChargeData,ROW()-16,COLUMN()*2-3))</f>
        <v/>
      </c>
      <c r="I191" t="str" cm="1">
        <f>IF(ISBLANK(INDEX(Array_ElectricalChargeData,ROW()-16,COLUMN()*2-3)),"",INDEX(Array_ElectricalChargeData,ROW()-16,COLUMN()*2-3))</f>
        <v/>
      </c>
      <c r="J191" t="str" cm="1">
        <f>IF(ISBLANK(INDEX(Array_ElectricalChargeData,ROW()-16,COLUMN()*2-3)),"",INDEX(Array_ElectricalChargeData,ROW()-16,COLUMN()*2-3))</f>
        <v/>
      </c>
      <c r="K191" t="str" cm="1">
        <f>IF(ISBLANK(INDEX(Array_ElectricalChargeData,ROW()-16,COLUMN()*2-3)),"",INDEX(Array_ElectricalChargeData,ROW()-16,COLUMN()*2-3))</f>
        <v/>
      </c>
      <c r="L191" t="str" cm="1">
        <f>IF(ISBLANK(INDEX(Array_ElectricalChargeData,ROW()-16,COLUMN()*2-3)),"",INDEX(Array_ElectricalChargeData,ROW()-16,COLUMN()*2-3))</f>
        <v/>
      </c>
      <c r="M191" t="str" cm="1">
        <f>IF(ISBLANK(INDEX(Array_ElectricalChargeData,ROW()-16,COLUMN()*2-3)),"",INDEX(Array_ElectricalChargeData,ROW()-16,COLUMN()*2-3))</f>
        <v/>
      </c>
      <c r="N191" t="str" cm="1">
        <f>IF(ISBLANK(INDEX(Array_ElectricalChargeData,ROW()-16,COLUMN()*2-3)),"",INDEX(Array_ElectricalChargeData,ROW()-16,COLUMN()*2-3))</f>
        <v/>
      </c>
      <c r="O191" t="str" cm="1">
        <f>IF(ISBLANK(INDEX(Array_ElectricalChargeData,ROW()-16,COLUMN()*2-3)),"",INDEX(Array_ElectricalChargeData,ROW()-16,COLUMN()*2-3))</f>
        <v/>
      </c>
      <c r="P191" t="str" cm="1">
        <f>IF(ISBLANK(INDEX(Array_ElectricalChargeData,ROW()-16,COLUMN()*2-3)),"",INDEX(Array_ElectricalChargeData,ROW()-16,COLUMN()*2-3))</f>
        <v/>
      </c>
    </row>
    <row r="192" spans="1:16" x14ac:dyDescent="0.35">
      <c r="A192" t="str">
        <f>IF('Electricity Meters'!B178="",A191,'Electricity Meters'!B178)</f>
        <v>Meter Numbers</v>
      </c>
      <c r="B192" t="str" cm="1">
        <f>IF(ISBLANK(INDEX(Array_ElectricalChargeData,ROW()-16,COLUMN()*2-3)),"",INDEX(Array_ElectricalChargeData,ROW()-16,COLUMN()*2-3))</f>
        <v/>
      </c>
      <c r="C192" t="str" cm="1">
        <f>IF(ISBLANK(INDEX(Array_ElectricalChargeData,ROW()-16,COLUMN()*2-3)),"",INDEX(Array_ElectricalChargeData,ROW()-16,COLUMN()*2-3))</f>
        <v/>
      </c>
      <c r="D192" t="str" cm="1">
        <f>IF(ISBLANK(INDEX(Array_ElectricalChargeData,ROW()-16,COLUMN()*2-3)),"",INDEX(Array_ElectricalChargeData,ROW()-16,COLUMN()*2-3))</f>
        <v/>
      </c>
      <c r="E192" t="str" cm="1">
        <f>IF(ISBLANK(INDEX(Array_ElectricalChargeData,ROW()-16,COLUMN()*2-3)),"",INDEX(Array_ElectricalChargeData,ROW()-16,COLUMN()*2-3))</f>
        <v/>
      </c>
      <c r="F192" t="str" cm="1">
        <f>IF(ISBLANK(INDEX(Array_ElectricalChargeData,ROW()-16,COLUMN()*2-3)),"",INDEX(Array_ElectricalChargeData,ROW()-16,COLUMN()*2-3))</f>
        <v/>
      </c>
      <c r="G192" t="str" cm="1">
        <f>IF(ISBLANK(INDEX(Array_ElectricalChargeData,ROW()-16,COLUMN()*2-3)),"",INDEX(Array_ElectricalChargeData,ROW()-16,COLUMN()*2-3))</f>
        <v/>
      </c>
      <c r="H192" t="str" cm="1">
        <f>IF(ISBLANK(INDEX(Array_ElectricalChargeData,ROW()-16,COLUMN()*2-3)),"",INDEX(Array_ElectricalChargeData,ROW()-16,COLUMN()*2-3))</f>
        <v/>
      </c>
      <c r="I192" t="str" cm="1">
        <f>IF(ISBLANK(INDEX(Array_ElectricalChargeData,ROW()-16,COLUMN()*2-3)),"",INDEX(Array_ElectricalChargeData,ROW()-16,COLUMN()*2-3))</f>
        <v/>
      </c>
      <c r="J192" t="str" cm="1">
        <f>IF(ISBLANK(INDEX(Array_ElectricalChargeData,ROW()-16,COLUMN()*2-3)),"",INDEX(Array_ElectricalChargeData,ROW()-16,COLUMN()*2-3))</f>
        <v/>
      </c>
      <c r="K192" t="str" cm="1">
        <f>IF(ISBLANK(INDEX(Array_ElectricalChargeData,ROW()-16,COLUMN()*2-3)),"",INDEX(Array_ElectricalChargeData,ROW()-16,COLUMN()*2-3))</f>
        <v/>
      </c>
      <c r="L192" t="str" cm="1">
        <f>IF(ISBLANK(INDEX(Array_ElectricalChargeData,ROW()-16,COLUMN()*2-3)),"",INDEX(Array_ElectricalChargeData,ROW()-16,COLUMN()*2-3))</f>
        <v/>
      </c>
      <c r="M192" t="str" cm="1">
        <f>IF(ISBLANK(INDEX(Array_ElectricalChargeData,ROW()-16,COLUMN()*2-3)),"",INDEX(Array_ElectricalChargeData,ROW()-16,COLUMN()*2-3))</f>
        <v/>
      </c>
      <c r="N192" t="str" cm="1">
        <f>IF(ISBLANK(INDEX(Array_ElectricalChargeData,ROW()-16,COLUMN()*2-3)),"",INDEX(Array_ElectricalChargeData,ROW()-16,COLUMN()*2-3))</f>
        <v/>
      </c>
      <c r="O192" t="str" cm="1">
        <f>IF(ISBLANK(INDEX(Array_ElectricalChargeData,ROW()-16,COLUMN()*2-3)),"",INDEX(Array_ElectricalChargeData,ROW()-16,COLUMN()*2-3))</f>
        <v/>
      </c>
      <c r="P192" t="str" cm="1">
        <f>IF(ISBLANK(INDEX(Array_ElectricalChargeData,ROW()-16,COLUMN()*2-3)),"",INDEX(Array_ElectricalChargeData,ROW()-16,COLUMN()*2-3))</f>
        <v/>
      </c>
    </row>
    <row r="193" spans="1:16" x14ac:dyDescent="0.35">
      <c r="A193" t="str">
        <f>IF('Electricity Meters'!B179="",A192,'Electricity Meters'!B179)</f>
        <v>Meter Numbers</v>
      </c>
      <c r="B193" t="str" cm="1">
        <f>IF(ISBLANK(INDEX(Array_ElectricalChargeData,ROW()-16,COLUMN()*2-3)),"",INDEX(Array_ElectricalChargeData,ROW()-16,COLUMN()*2-3))</f>
        <v/>
      </c>
      <c r="C193" t="str" cm="1">
        <f>IF(ISBLANK(INDEX(Array_ElectricalChargeData,ROW()-16,COLUMN()*2-3)),"",INDEX(Array_ElectricalChargeData,ROW()-16,COLUMN()*2-3))</f>
        <v/>
      </c>
      <c r="D193" t="str" cm="1">
        <f>IF(ISBLANK(INDEX(Array_ElectricalChargeData,ROW()-16,COLUMN()*2-3)),"",INDEX(Array_ElectricalChargeData,ROW()-16,COLUMN()*2-3))</f>
        <v/>
      </c>
      <c r="E193" t="str" cm="1">
        <f>IF(ISBLANK(INDEX(Array_ElectricalChargeData,ROW()-16,COLUMN()*2-3)),"",INDEX(Array_ElectricalChargeData,ROW()-16,COLUMN()*2-3))</f>
        <v/>
      </c>
      <c r="F193" t="str" cm="1">
        <f>IF(ISBLANK(INDEX(Array_ElectricalChargeData,ROW()-16,COLUMN()*2-3)),"",INDEX(Array_ElectricalChargeData,ROW()-16,COLUMN()*2-3))</f>
        <v/>
      </c>
      <c r="G193" t="str" cm="1">
        <f>IF(ISBLANK(INDEX(Array_ElectricalChargeData,ROW()-16,COLUMN()*2-3)),"",INDEX(Array_ElectricalChargeData,ROW()-16,COLUMN()*2-3))</f>
        <v/>
      </c>
      <c r="H193" t="str" cm="1">
        <f>IF(ISBLANK(INDEX(Array_ElectricalChargeData,ROW()-16,COLUMN()*2-3)),"",INDEX(Array_ElectricalChargeData,ROW()-16,COLUMN()*2-3))</f>
        <v/>
      </c>
      <c r="I193" t="str" cm="1">
        <f>IF(ISBLANK(INDEX(Array_ElectricalChargeData,ROW()-16,COLUMN()*2-3)),"",INDEX(Array_ElectricalChargeData,ROW()-16,COLUMN()*2-3))</f>
        <v/>
      </c>
      <c r="J193" t="str" cm="1">
        <f>IF(ISBLANK(INDEX(Array_ElectricalChargeData,ROW()-16,COLUMN()*2-3)),"",INDEX(Array_ElectricalChargeData,ROW()-16,COLUMN()*2-3))</f>
        <v/>
      </c>
      <c r="K193" t="str" cm="1">
        <f>IF(ISBLANK(INDEX(Array_ElectricalChargeData,ROW()-16,COLUMN()*2-3)),"",INDEX(Array_ElectricalChargeData,ROW()-16,COLUMN()*2-3))</f>
        <v/>
      </c>
      <c r="L193" t="str" cm="1">
        <f>IF(ISBLANK(INDEX(Array_ElectricalChargeData,ROW()-16,COLUMN()*2-3)),"",INDEX(Array_ElectricalChargeData,ROW()-16,COLUMN()*2-3))</f>
        <v/>
      </c>
      <c r="M193" t="str" cm="1">
        <f>IF(ISBLANK(INDEX(Array_ElectricalChargeData,ROW()-16,COLUMN()*2-3)),"",INDEX(Array_ElectricalChargeData,ROW()-16,COLUMN()*2-3))</f>
        <v/>
      </c>
      <c r="N193" t="str" cm="1">
        <f>IF(ISBLANK(INDEX(Array_ElectricalChargeData,ROW()-16,COLUMN()*2-3)),"",INDEX(Array_ElectricalChargeData,ROW()-16,COLUMN()*2-3))</f>
        <v/>
      </c>
      <c r="O193" t="str" cm="1">
        <f>IF(ISBLANK(INDEX(Array_ElectricalChargeData,ROW()-16,COLUMN()*2-3)),"",INDEX(Array_ElectricalChargeData,ROW()-16,COLUMN()*2-3))</f>
        <v/>
      </c>
      <c r="P193" t="str" cm="1">
        <f>IF(ISBLANK(INDEX(Array_ElectricalChargeData,ROW()-16,COLUMN()*2-3)),"",INDEX(Array_ElectricalChargeData,ROW()-16,COLUMN()*2-3))</f>
        <v/>
      </c>
    </row>
    <row r="194" spans="1:16" x14ac:dyDescent="0.35">
      <c r="A194" t="str">
        <f>IF('Electricity Meters'!B180="",A193,'Electricity Meters'!B180)</f>
        <v>Meter Numbers</v>
      </c>
      <c r="B194" t="str" cm="1">
        <f>IF(ISBLANK(INDEX(Array_ElectricalChargeData,ROW()-16,COLUMN()*2-3)),"",INDEX(Array_ElectricalChargeData,ROW()-16,COLUMN()*2-3))</f>
        <v/>
      </c>
      <c r="C194" t="str" cm="1">
        <f>IF(ISBLANK(INDEX(Array_ElectricalChargeData,ROW()-16,COLUMN()*2-3)),"",INDEX(Array_ElectricalChargeData,ROW()-16,COLUMN()*2-3))</f>
        <v/>
      </c>
      <c r="D194" t="str" cm="1">
        <f>IF(ISBLANK(INDEX(Array_ElectricalChargeData,ROW()-16,COLUMN()*2-3)),"",INDEX(Array_ElectricalChargeData,ROW()-16,COLUMN()*2-3))</f>
        <v/>
      </c>
      <c r="E194" t="str" cm="1">
        <f>IF(ISBLANK(INDEX(Array_ElectricalChargeData,ROW()-16,COLUMN()*2-3)),"",INDEX(Array_ElectricalChargeData,ROW()-16,COLUMN()*2-3))</f>
        <v/>
      </c>
      <c r="F194" t="str" cm="1">
        <f>IF(ISBLANK(INDEX(Array_ElectricalChargeData,ROW()-16,COLUMN()*2-3)),"",INDEX(Array_ElectricalChargeData,ROW()-16,COLUMN()*2-3))</f>
        <v/>
      </c>
      <c r="G194" t="str" cm="1">
        <f>IF(ISBLANK(INDEX(Array_ElectricalChargeData,ROW()-16,COLUMN()*2-3)),"",INDEX(Array_ElectricalChargeData,ROW()-16,COLUMN()*2-3))</f>
        <v/>
      </c>
      <c r="H194" t="str" cm="1">
        <f>IF(ISBLANK(INDEX(Array_ElectricalChargeData,ROW()-16,COLUMN()*2-3)),"",INDEX(Array_ElectricalChargeData,ROW()-16,COLUMN()*2-3))</f>
        <v/>
      </c>
      <c r="I194" t="str" cm="1">
        <f>IF(ISBLANK(INDEX(Array_ElectricalChargeData,ROW()-16,COLUMN()*2-3)),"",INDEX(Array_ElectricalChargeData,ROW()-16,COLUMN()*2-3))</f>
        <v/>
      </c>
      <c r="J194" t="str" cm="1">
        <f>IF(ISBLANK(INDEX(Array_ElectricalChargeData,ROW()-16,COLUMN()*2-3)),"",INDEX(Array_ElectricalChargeData,ROW()-16,COLUMN()*2-3))</f>
        <v/>
      </c>
      <c r="K194" t="str" cm="1">
        <f>IF(ISBLANK(INDEX(Array_ElectricalChargeData,ROW()-16,COLUMN()*2-3)),"",INDEX(Array_ElectricalChargeData,ROW()-16,COLUMN()*2-3))</f>
        <v/>
      </c>
      <c r="L194" t="str" cm="1">
        <f>IF(ISBLANK(INDEX(Array_ElectricalChargeData,ROW()-16,COLUMN()*2-3)),"",INDEX(Array_ElectricalChargeData,ROW()-16,COLUMN()*2-3))</f>
        <v/>
      </c>
      <c r="M194" t="str" cm="1">
        <f>IF(ISBLANK(INDEX(Array_ElectricalChargeData,ROW()-16,COLUMN()*2-3)),"",INDEX(Array_ElectricalChargeData,ROW()-16,COLUMN()*2-3))</f>
        <v/>
      </c>
      <c r="N194" t="str" cm="1">
        <f>IF(ISBLANK(INDEX(Array_ElectricalChargeData,ROW()-16,COLUMN()*2-3)),"",INDEX(Array_ElectricalChargeData,ROW()-16,COLUMN()*2-3))</f>
        <v/>
      </c>
      <c r="O194" t="str" cm="1">
        <f>IF(ISBLANK(INDEX(Array_ElectricalChargeData,ROW()-16,COLUMN()*2-3)),"",INDEX(Array_ElectricalChargeData,ROW()-16,COLUMN()*2-3))</f>
        <v/>
      </c>
      <c r="P194" t="str" cm="1">
        <f>IF(ISBLANK(INDEX(Array_ElectricalChargeData,ROW()-16,COLUMN()*2-3)),"",INDEX(Array_ElectricalChargeData,ROW()-16,COLUMN()*2-3))</f>
        <v/>
      </c>
    </row>
    <row r="195" spans="1:16" x14ac:dyDescent="0.35">
      <c r="A195" t="str">
        <f>IF('Electricity Meters'!B181="",A194,'Electricity Meters'!B181)</f>
        <v>Meter Numbers</v>
      </c>
      <c r="B195" t="str" cm="1">
        <f>IF(ISBLANK(INDEX(Array_ElectricalChargeData,ROW()-16,COLUMN()*2-3)),"",INDEX(Array_ElectricalChargeData,ROW()-16,COLUMN()*2-3))</f>
        <v/>
      </c>
      <c r="C195" t="str" cm="1">
        <f>IF(ISBLANK(INDEX(Array_ElectricalChargeData,ROW()-16,COLUMN()*2-3)),"",INDEX(Array_ElectricalChargeData,ROW()-16,COLUMN()*2-3))</f>
        <v/>
      </c>
      <c r="D195" t="str" cm="1">
        <f>IF(ISBLANK(INDEX(Array_ElectricalChargeData,ROW()-16,COLUMN()*2-3)),"",INDEX(Array_ElectricalChargeData,ROW()-16,COLUMN()*2-3))</f>
        <v/>
      </c>
      <c r="E195" t="str" cm="1">
        <f>IF(ISBLANK(INDEX(Array_ElectricalChargeData,ROW()-16,COLUMN()*2-3)),"",INDEX(Array_ElectricalChargeData,ROW()-16,COLUMN()*2-3))</f>
        <v/>
      </c>
      <c r="F195" t="str" cm="1">
        <f>IF(ISBLANK(INDEX(Array_ElectricalChargeData,ROW()-16,COLUMN()*2-3)),"",INDEX(Array_ElectricalChargeData,ROW()-16,COLUMN()*2-3))</f>
        <v/>
      </c>
      <c r="G195" t="str" cm="1">
        <f>IF(ISBLANK(INDEX(Array_ElectricalChargeData,ROW()-16,COLUMN()*2-3)),"",INDEX(Array_ElectricalChargeData,ROW()-16,COLUMN()*2-3))</f>
        <v/>
      </c>
      <c r="H195" t="str" cm="1">
        <f>IF(ISBLANK(INDEX(Array_ElectricalChargeData,ROW()-16,COLUMN()*2-3)),"",INDEX(Array_ElectricalChargeData,ROW()-16,COLUMN()*2-3))</f>
        <v/>
      </c>
      <c r="I195" t="str" cm="1">
        <f>IF(ISBLANK(INDEX(Array_ElectricalChargeData,ROW()-16,COLUMN()*2-3)),"",INDEX(Array_ElectricalChargeData,ROW()-16,COLUMN()*2-3))</f>
        <v/>
      </c>
      <c r="J195" t="str" cm="1">
        <f>IF(ISBLANK(INDEX(Array_ElectricalChargeData,ROW()-16,COLUMN()*2-3)),"",INDEX(Array_ElectricalChargeData,ROW()-16,COLUMN()*2-3))</f>
        <v/>
      </c>
      <c r="K195" t="str" cm="1">
        <f>IF(ISBLANK(INDEX(Array_ElectricalChargeData,ROW()-16,COLUMN()*2-3)),"",INDEX(Array_ElectricalChargeData,ROW()-16,COLUMN()*2-3))</f>
        <v/>
      </c>
      <c r="L195" t="str" cm="1">
        <f>IF(ISBLANK(INDEX(Array_ElectricalChargeData,ROW()-16,COLUMN()*2-3)),"",INDEX(Array_ElectricalChargeData,ROW()-16,COLUMN()*2-3))</f>
        <v/>
      </c>
      <c r="M195" t="str" cm="1">
        <f>IF(ISBLANK(INDEX(Array_ElectricalChargeData,ROW()-16,COLUMN()*2-3)),"",INDEX(Array_ElectricalChargeData,ROW()-16,COLUMN()*2-3))</f>
        <v/>
      </c>
      <c r="N195" t="str" cm="1">
        <f>IF(ISBLANK(INDEX(Array_ElectricalChargeData,ROW()-16,COLUMN()*2-3)),"",INDEX(Array_ElectricalChargeData,ROW()-16,COLUMN()*2-3))</f>
        <v/>
      </c>
      <c r="O195" t="str" cm="1">
        <f>IF(ISBLANK(INDEX(Array_ElectricalChargeData,ROW()-16,COLUMN()*2-3)),"",INDEX(Array_ElectricalChargeData,ROW()-16,COLUMN()*2-3))</f>
        <v/>
      </c>
      <c r="P195" t="str" cm="1">
        <f>IF(ISBLANK(INDEX(Array_ElectricalChargeData,ROW()-16,COLUMN()*2-3)),"",INDEX(Array_ElectricalChargeData,ROW()-16,COLUMN()*2-3))</f>
        <v/>
      </c>
    </row>
    <row r="196" spans="1:16" x14ac:dyDescent="0.35">
      <c r="A196" t="str">
        <f>IF('Electricity Meters'!B182="",A195,'Electricity Meters'!B182)</f>
        <v>Meter Numbers</v>
      </c>
      <c r="B196" t="str" cm="1">
        <f>IF(ISBLANK(INDEX(Array_ElectricalChargeData,ROW()-16,COLUMN()*2-3)),"",INDEX(Array_ElectricalChargeData,ROW()-16,COLUMN()*2-3))</f>
        <v/>
      </c>
      <c r="C196" t="str" cm="1">
        <f>IF(ISBLANK(INDEX(Array_ElectricalChargeData,ROW()-16,COLUMN()*2-3)),"",INDEX(Array_ElectricalChargeData,ROW()-16,COLUMN()*2-3))</f>
        <v/>
      </c>
      <c r="D196" t="str" cm="1">
        <f>IF(ISBLANK(INDEX(Array_ElectricalChargeData,ROW()-16,COLUMN()*2-3)),"",INDEX(Array_ElectricalChargeData,ROW()-16,COLUMN()*2-3))</f>
        <v/>
      </c>
      <c r="E196" t="str" cm="1">
        <f>IF(ISBLANK(INDEX(Array_ElectricalChargeData,ROW()-16,COLUMN()*2-3)),"",INDEX(Array_ElectricalChargeData,ROW()-16,COLUMN()*2-3))</f>
        <v/>
      </c>
      <c r="F196" t="str" cm="1">
        <f>IF(ISBLANK(INDEX(Array_ElectricalChargeData,ROW()-16,COLUMN()*2-3)),"",INDEX(Array_ElectricalChargeData,ROW()-16,COLUMN()*2-3))</f>
        <v/>
      </c>
      <c r="G196" t="str" cm="1">
        <f>IF(ISBLANK(INDEX(Array_ElectricalChargeData,ROW()-16,COLUMN()*2-3)),"",INDEX(Array_ElectricalChargeData,ROW()-16,COLUMN()*2-3))</f>
        <v/>
      </c>
      <c r="H196" t="str" cm="1">
        <f>IF(ISBLANK(INDEX(Array_ElectricalChargeData,ROW()-16,COLUMN()*2-3)),"",INDEX(Array_ElectricalChargeData,ROW()-16,COLUMN()*2-3))</f>
        <v/>
      </c>
      <c r="I196" t="str" cm="1">
        <f>IF(ISBLANK(INDEX(Array_ElectricalChargeData,ROW()-16,COLUMN()*2-3)),"",INDEX(Array_ElectricalChargeData,ROW()-16,COLUMN()*2-3))</f>
        <v/>
      </c>
      <c r="J196" t="str" cm="1">
        <f>IF(ISBLANK(INDEX(Array_ElectricalChargeData,ROW()-16,COLUMN()*2-3)),"",INDEX(Array_ElectricalChargeData,ROW()-16,COLUMN()*2-3))</f>
        <v/>
      </c>
      <c r="K196" t="str" cm="1">
        <f>IF(ISBLANK(INDEX(Array_ElectricalChargeData,ROW()-16,COLUMN()*2-3)),"",INDEX(Array_ElectricalChargeData,ROW()-16,COLUMN()*2-3))</f>
        <v/>
      </c>
      <c r="L196" t="str" cm="1">
        <f>IF(ISBLANK(INDEX(Array_ElectricalChargeData,ROW()-16,COLUMN()*2-3)),"",INDEX(Array_ElectricalChargeData,ROW()-16,COLUMN()*2-3))</f>
        <v/>
      </c>
      <c r="M196" t="str" cm="1">
        <f>IF(ISBLANK(INDEX(Array_ElectricalChargeData,ROW()-16,COLUMN()*2-3)),"",INDEX(Array_ElectricalChargeData,ROW()-16,COLUMN()*2-3))</f>
        <v/>
      </c>
      <c r="N196" t="str" cm="1">
        <f>IF(ISBLANK(INDEX(Array_ElectricalChargeData,ROW()-16,COLUMN()*2-3)),"",INDEX(Array_ElectricalChargeData,ROW()-16,COLUMN()*2-3))</f>
        <v/>
      </c>
      <c r="O196" t="str" cm="1">
        <f>IF(ISBLANK(INDEX(Array_ElectricalChargeData,ROW()-16,COLUMN()*2-3)),"",INDEX(Array_ElectricalChargeData,ROW()-16,COLUMN()*2-3))</f>
        <v/>
      </c>
      <c r="P196" t="str" cm="1">
        <f>IF(ISBLANK(INDEX(Array_ElectricalChargeData,ROW()-16,COLUMN()*2-3)),"",INDEX(Array_ElectricalChargeData,ROW()-16,COLUMN()*2-3))</f>
        <v/>
      </c>
    </row>
    <row r="197" spans="1:16" x14ac:dyDescent="0.35">
      <c r="A197" t="str">
        <f>IF('Electricity Meters'!B183="",A196,'Electricity Meters'!B183)</f>
        <v>Meter Numbers</v>
      </c>
      <c r="B197" t="str" cm="1">
        <f>IF(ISBLANK(INDEX(Array_ElectricalChargeData,ROW()-16,COLUMN()*2-3)),"",INDEX(Array_ElectricalChargeData,ROW()-16,COLUMN()*2-3))</f>
        <v/>
      </c>
      <c r="C197" t="str" cm="1">
        <f>IF(ISBLANK(INDEX(Array_ElectricalChargeData,ROW()-16,COLUMN()*2-3)),"",INDEX(Array_ElectricalChargeData,ROW()-16,COLUMN()*2-3))</f>
        <v/>
      </c>
      <c r="D197" t="str" cm="1">
        <f>IF(ISBLANK(INDEX(Array_ElectricalChargeData,ROW()-16,COLUMN()*2-3)),"",INDEX(Array_ElectricalChargeData,ROW()-16,COLUMN()*2-3))</f>
        <v/>
      </c>
      <c r="E197" t="str" cm="1">
        <f>IF(ISBLANK(INDEX(Array_ElectricalChargeData,ROW()-16,COLUMN()*2-3)),"",INDEX(Array_ElectricalChargeData,ROW()-16,COLUMN()*2-3))</f>
        <v/>
      </c>
      <c r="F197" t="str" cm="1">
        <f>IF(ISBLANK(INDEX(Array_ElectricalChargeData,ROW()-16,COLUMN()*2-3)),"",INDEX(Array_ElectricalChargeData,ROW()-16,COLUMN()*2-3))</f>
        <v/>
      </c>
      <c r="G197" t="str" cm="1">
        <f>IF(ISBLANK(INDEX(Array_ElectricalChargeData,ROW()-16,COLUMN()*2-3)),"",INDEX(Array_ElectricalChargeData,ROW()-16,COLUMN()*2-3))</f>
        <v/>
      </c>
      <c r="H197" t="str" cm="1">
        <f>IF(ISBLANK(INDEX(Array_ElectricalChargeData,ROW()-16,COLUMN()*2-3)),"",INDEX(Array_ElectricalChargeData,ROW()-16,COLUMN()*2-3))</f>
        <v/>
      </c>
      <c r="I197" t="str" cm="1">
        <f>IF(ISBLANK(INDEX(Array_ElectricalChargeData,ROW()-16,COLUMN()*2-3)),"",INDEX(Array_ElectricalChargeData,ROW()-16,COLUMN()*2-3))</f>
        <v/>
      </c>
      <c r="J197" t="str" cm="1">
        <f>IF(ISBLANK(INDEX(Array_ElectricalChargeData,ROW()-16,COLUMN()*2-3)),"",INDEX(Array_ElectricalChargeData,ROW()-16,COLUMN()*2-3))</f>
        <v/>
      </c>
      <c r="K197" t="str" cm="1">
        <f>IF(ISBLANK(INDEX(Array_ElectricalChargeData,ROW()-16,COLUMN()*2-3)),"",INDEX(Array_ElectricalChargeData,ROW()-16,COLUMN()*2-3))</f>
        <v/>
      </c>
      <c r="L197" t="str" cm="1">
        <f>IF(ISBLANK(INDEX(Array_ElectricalChargeData,ROW()-16,COLUMN()*2-3)),"",INDEX(Array_ElectricalChargeData,ROW()-16,COLUMN()*2-3))</f>
        <v/>
      </c>
      <c r="M197" t="str" cm="1">
        <f>IF(ISBLANK(INDEX(Array_ElectricalChargeData,ROW()-16,COLUMN()*2-3)),"",INDEX(Array_ElectricalChargeData,ROW()-16,COLUMN()*2-3))</f>
        <v/>
      </c>
      <c r="N197" t="str" cm="1">
        <f>IF(ISBLANK(INDEX(Array_ElectricalChargeData,ROW()-16,COLUMN()*2-3)),"",INDEX(Array_ElectricalChargeData,ROW()-16,COLUMN()*2-3))</f>
        <v/>
      </c>
      <c r="O197" t="str" cm="1">
        <f>IF(ISBLANK(INDEX(Array_ElectricalChargeData,ROW()-16,COLUMN()*2-3)),"",INDEX(Array_ElectricalChargeData,ROW()-16,COLUMN()*2-3))</f>
        <v/>
      </c>
      <c r="P197" t="str" cm="1">
        <f>IF(ISBLANK(INDEX(Array_ElectricalChargeData,ROW()-16,COLUMN()*2-3)),"",INDEX(Array_ElectricalChargeData,ROW()-16,COLUMN()*2-3))</f>
        <v/>
      </c>
    </row>
    <row r="198" spans="1:16" x14ac:dyDescent="0.35">
      <c r="A198" t="str">
        <f>IF('Electricity Meters'!B184="",A197,'Electricity Meters'!B184)</f>
        <v>Meter Numbers</v>
      </c>
      <c r="B198" t="str" cm="1">
        <f>IF(ISBLANK(INDEX(Array_ElectricalChargeData,ROW()-16,COLUMN()*2-3)),"",INDEX(Array_ElectricalChargeData,ROW()-16,COLUMN()*2-3))</f>
        <v/>
      </c>
      <c r="C198" t="str" cm="1">
        <f>IF(ISBLANK(INDEX(Array_ElectricalChargeData,ROW()-16,COLUMN()*2-3)),"",INDEX(Array_ElectricalChargeData,ROW()-16,COLUMN()*2-3))</f>
        <v/>
      </c>
      <c r="D198" t="str" cm="1">
        <f>IF(ISBLANK(INDEX(Array_ElectricalChargeData,ROW()-16,COLUMN()*2-3)),"",INDEX(Array_ElectricalChargeData,ROW()-16,COLUMN()*2-3))</f>
        <v/>
      </c>
      <c r="E198" t="str" cm="1">
        <f>IF(ISBLANK(INDEX(Array_ElectricalChargeData,ROW()-16,COLUMN()*2-3)),"",INDEX(Array_ElectricalChargeData,ROW()-16,COLUMN()*2-3))</f>
        <v/>
      </c>
      <c r="F198" t="str" cm="1">
        <f>IF(ISBLANK(INDEX(Array_ElectricalChargeData,ROW()-16,COLUMN()*2-3)),"",INDEX(Array_ElectricalChargeData,ROW()-16,COLUMN()*2-3))</f>
        <v/>
      </c>
      <c r="G198" t="str" cm="1">
        <f>IF(ISBLANK(INDEX(Array_ElectricalChargeData,ROW()-16,COLUMN()*2-3)),"",INDEX(Array_ElectricalChargeData,ROW()-16,COLUMN()*2-3))</f>
        <v/>
      </c>
      <c r="H198" t="str" cm="1">
        <f>IF(ISBLANK(INDEX(Array_ElectricalChargeData,ROW()-16,COLUMN()*2-3)),"",INDEX(Array_ElectricalChargeData,ROW()-16,COLUMN()*2-3))</f>
        <v/>
      </c>
      <c r="I198" t="str" cm="1">
        <f>IF(ISBLANK(INDEX(Array_ElectricalChargeData,ROW()-16,COLUMN()*2-3)),"",INDEX(Array_ElectricalChargeData,ROW()-16,COLUMN()*2-3))</f>
        <v/>
      </c>
      <c r="J198" t="str" cm="1">
        <f>IF(ISBLANK(INDEX(Array_ElectricalChargeData,ROW()-16,COLUMN()*2-3)),"",INDEX(Array_ElectricalChargeData,ROW()-16,COLUMN()*2-3))</f>
        <v/>
      </c>
      <c r="K198" t="str" cm="1">
        <f>IF(ISBLANK(INDEX(Array_ElectricalChargeData,ROW()-16,COLUMN()*2-3)),"",INDEX(Array_ElectricalChargeData,ROW()-16,COLUMN()*2-3))</f>
        <v/>
      </c>
      <c r="L198" t="str" cm="1">
        <f>IF(ISBLANK(INDEX(Array_ElectricalChargeData,ROW()-16,COLUMN()*2-3)),"",INDEX(Array_ElectricalChargeData,ROW()-16,COLUMN()*2-3))</f>
        <v/>
      </c>
      <c r="M198" t="str" cm="1">
        <f>IF(ISBLANK(INDEX(Array_ElectricalChargeData,ROW()-16,COLUMN()*2-3)),"",INDEX(Array_ElectricalChargeData,ROW()-16,COLUMN()*2-3))</f>
        <v/>
      </c>
      <c r="N198" t="str" cm="1">
        <f>IF(ISBLANK(INDEX(Array_ElectricalChargeData,ROW()-16,COLUMN()*2-3)),"",INDEX(Array_ElectricalChargeData,ROW()-16,COLUMN()*2-3))</f>
        <v/>
      </c>
      <c r="O198" t="str" cm="1">
        <f>IF(ISBLANK(INDEX(Array_ElectricalChargeData,ROW()-16,COLUMN()*2-3)),"",INDEX(Array_ElectricalChargeData,ROW()-16,COLUMN()*2-3))</f>
        <v/>
      </c>
      <c r="P198" t="str" cm="1">
        <f>IF(ISBLANK(INDEX(Array_ElectricalChargeData,ROW()-16,COLUMN()*2-3)),"",INDEX(Array_ElectricalChargeData,ROW()-16,COLUMN()*2-3))</f>
        <v/>
      </c>
    </row>
    <row r="199" spans="1:16" x14ac:dyDescent="0.35">
      <c r="A199" t="str">
        <f>IF('Electricity Meters'!B185="",A198,'Electricity Meters'!B185)</f>
        <v>Meter Numbers</v>
      </c>
      <c r="B199" t="str" cm="1">
        <f>IF(ISBLANK(INDEX(Array_ElectricalChargeData,ROW()-16,COLUMN()*2-3)),"",INDEX(Array_ElectricalChargeData,ROW()-16,COLUMN()*2-3))</f>
        <v/>
      </c>
      <c r="C199" t="str" cm="1">
        <f>IF(ISBLANK(INDEX(Array_ElectricalChargeData,ROW()-16,COLUMN()*2-3)),"",INDEX(Array_ElectricalChargeData,ROW()-16,COLUMN()*2-3))</f>
        <v/>
      </c>
      <c r="D199" t="str" cm="1">
        <f>IF(ISBLANK(INDEX(Array_ElectricalChargeData,ROW()-16,COLUMN()*2-3)),"",INDEX(Array_ElectricalChargeData,ROW()-16,COLUMN()*2-3))</f>
        <v/>
      </c>
      <c r="E199" t="str" cm="1">
        <f>IF(ISBLANK(INDEX(Array_ElectricalChargeData,ROW()-16,COLUMN()*2-3)),"",INDEX(Array_ElectricalChargeData,ROW()-16,COLUMN()*2-3))</f>
        <v/>
      </c>
      <c r="F199" t="str" cm="1">
        <f>IF(ISBLANK(INDEX(Array_ElectricalChargeData,ROW()-16,COLUMN()*2-3)),"",INDEX(Array_ElectricalChargeData,ROW()-16,COLUMN()*2-3))</f>
        <v/>
      </c>
      <c r="G199" t="str" cm="1">
        <f>IF(ISBLANK(INDEX(Array_ElectricalChargeData,ROW()-16,COLUMN()*2-3)),"",INDEX(Array_ElectricalChargeData,ROW()-16,COLUMN()*2-3))</f>
        <v/>
      </c>
      <c r="H199" t="str" cm="1">
        <f>IF(ISBLANK(INDEX(Array_ElectricalChargeData,ROW()-16,COLUMN()*2-3)),"",INDEX(Array_ElectricalChargeData,ROW()-16,COLUMN()*2-3))</f>
        <v/>
      </c>
      <c r="I199" t="str" cm="1">
        <f>IF(ISBLANK(INDEX(Array_ElectricalChargeData,ROW()-16,COLUMN()*2-3)),"",INDEX(Array_ElectricalChargeData,ROW()-16,COLUMN()*2-3))</f>
        <v/>
      </c>
      <c r="J199" t="str" cm="1">
        <f>IF(ISBLANK(INDEX(Array_ElectricalChargeData,ROW()-16,COLUMN()*2-3)),"",INDEX(Array_ElectricalChargeData,ROW()-16,COLUMN()*2-3))</f>
        <v/>
      </c>
      <c r="K199" t="str" cm="1">
        <f>IF(ISBLANK(INDEX(Array_ElectricalChargeData,ROW()-16,COLUMN()*2-3)),"",INDEX(Array_ElectricalChargeData,ROW()-16,COLUMN()*2-3))</f>
        <v/>
      </c>
      <c r="L199" t="str" cm="1">
        <f>IF(ISBLANK(INDEX(Array_ElectricalChargeData,ROW()-16,COLUMN()*2-3)),"",INDEX(Array_ElectricalChargeData,ROW()-16,COLUMN()*2-3))</f>
        <v/>
      </c>
      <c r="M199" t="str" cm="1">
        <f>IF(ISBLANK(INDEX(Array_ElectricalChargeData,ROW()-16,COLUMN()*2-3)),"",INDEX(Array_ElectricalChargeData,ROW()-16,COLUMN()*2-3))</f>
        <v/>
      </c>
      <c r="N199" t="str" cm="1">
        <f>IF(ISBLANK(INDEX(Array_ElectricalChargeData,ROW()-16,COLUMN()*2-3)),"",INDEX(Array_ElectricalChargeData,ROW()-16,COLUMN()*2-3))</f>
        <v/>
      </c>
      <c r="O199" t="str" cm="1">
        <f>IF(ISBLANK(INDEX(Array_ElectricalChargeData,ROW()-16,COLUMN()*2-3)),"",INDEX(Array_ElectricalChargeData,ROW()-16,COLUMN()*2-3))</f>
        <v/>
      </c>
      <c r="P199" t="str" cm="1">
        <f>IF(ISBLANK(INDEX(Array_ElectricalChargeData,ROW()-16,COLUMN()*2-3)),"",INDEX(Array_ElectricalChargeData,ROW()-16,COLUMN()*2-3))</f>
        <v/>
      </c>
    </row>
    <row r="200" spans="1:16" x14ac:dyDescent="0.35">
      <c r="A200" t="str">
        <f>IF('Electricity Meters'!B186="",A199,'Electricity Meters'!B186)</f>
        <v>Meter Numbers</v>
      </c>
      <c r="B200" t="str" cm="1">
        <f>IF(ISBLANK(INDEX(Array_ElectricalChargeData,ROW()-16,COLUMN()*2-3)),"",INDEX(Array_ElectricalChargeData,ROW()-16,COLUMN()*2-3))</f>
        <v/>
      </c>
      <c r="C200" t="str" cm="1">
        <f>IF(ISBLANK(INDEX(Array_ElectricalChargeData,ROW()-16,COLUMN()*2-3)),"",INDEX(Array_ElectricalChargeData,ROW()-16,COLUMN()*2-3))</f>
        <v/>
      </c>
      <c r="D200" t="str" cm="1">
        <f>IF(ISBLANK(INDEX(Array_ElectricalChargeData,ROW()-16,COLUMN()*2-3)),"",INDEX(Array_ElectricalChargeData,ROW()-16,COLUMN()*2-3))</f>
        <v/>
      </c>
      <c r="E200" t="str" cm="1">
        <f>IF(ISBLANK(INDEX(Array_ElectricalChargeData,ROW()-16,COLUMN()*2-3)),"",INDEX(Array_ElectricalChargeData,ROW()-16,COLUMN()*2-3))</f>
        <v/>
      </c>
      <c r="F200" t="str" cm="1">
        <f>IF(ISBLANK(INDEX(Array_ElectricalChargeData,ROW()-16,COLUMN()*2-3)),"",INDEX(Array_ElectricalChargeData,ROW()-16,COLUMN()*2-3))</f>
        <v/>
      </c>
      <c r="G200" t="str" cm="1">
        <f>IF(ISBLANK(INDEX(Array_ElectricalChargeData,ROW()-16,COLUMN()*2-3)),"",INDEX(Array_ElectricalChargeData,ROW()-16,COLUMN()*2-3))</f>
        <v/>
      </c>
      <c r="H200" t="str" cm="1">
        <f>IF(ISBLANK(INDEX(Array_ElectricalChargeData,ROW()-16,COLUMN()*2-3)),"",INDEX(Array_ElectricalChargeData,ROW()-16,COLUMN()*2-3))</f>
        <v/>
      </c>
      <c r="I200" t="str" cm="1">
        <f>IF(ISBLANK(INDEX(Array_ElectricalChargeData,ROW()-16,COLUMN()*2-3)),"",INDEX(Array_ElectricalChargeData,ROW()-16,COLUMN()*2-3))</f>
        <v/>
      </c>
      <c r="J200" t="str" cm="1">
        <f>IF(ISBLANK(INDEX(Array_ElectricalChargeData,ROW()-16,COLUMN()*2-3)),"",INDEX(Array_ElectricalChargeData,ROW()-16,COLUMN()*2-3))</f>
        <v/>
      </c>
      <c r="K200" t="str" cm="1">
        <f>IF(ISBLANK(INDEX(Array_ElectricalChargeData,ROW()-16,COLUMN()*2-3)),"",INDEX(Array_ElectricalChargeData,ROW()-16,COLUMN()*2-3))</f>
        <v/>
      </c>
      <c r="L200" t="str" cm="1">
        <f>IF(ISBLANK(INDEX(Array_ElectricalChargeData,ROW()-16,COLUMN()*2-3)),"",INDEX(Array_ElectricalChargeData,ROW()-16,COLUMN()*2-3))</f>
        <v/>
      </c>
      <c r="M200" t="str" cm="1">
        <f>IF(ISBLANK(INDEX(Array_ElectricalChargeData,ROW()-16,COLUMN()*2-3)),"",INDEX(Array_ElectricalChargeData,ROW()-16,COLUMN()*2-3))</f>
        <v/>
      </c>
      <c r="N200" t="str" cm="1">
        <f>IF(ISBLANK(INDEX(Array_ElectricalChargeData,ROW()-16,COLUMN()*2-3)),"",INDEX(Array_ElectricalChargeData,ROW()-16,COLUMN()*2-3))</f>
        <v/>
      </c>
      <c r="O200" t="str" cm="1">
        <f>IF(ISBLANK(INDEX(Array_ElectricalChargeData,ROW()-16,COLUMN()*2-3)),"",INDEX(Array_ElectricalChargeData,ROW()-16,COLUMN()*2-3))</f>
        <v/>
      </c>
      <c r="P200" t="str" cm="1">
        <f>IF(ISBLANK(INDEX(Array_ElectricalChargeData,ROW()-16,COLUMN()*2-3)),"",INDEX(Array_ElectricalChargeData,ROW()-16,COLUMN()*2-3))</f>
        <v/>
      </c>
    </row>
    <row r="201" spans="1:16" x14ac:dyDescent="0.35">
      <c r="A201" t="str">
        <f>IF('Electricity Meters'!B187="",A200,'Electricity Meters'!B187)</f>
        <v>Meter Numbers</v>
      </c>
      <c r="B201" t="str" cm="1">
        <f>IF(ISBLANK(INDEX(Array_ElectricalChargeData,ROW()-16,COLUMN()*2-3)),"",INDEX(Array_ElectricalChargeData,ROW()-16,COLUMN()*2-3))</f>
        <v/>
      </c>
      <c r="C201" t="str" cm="1">
        <f>IF(ISBLANK(INDEX(Array_ElectricalChargeData,ROW()-16,COLUMN()*2-3)),"",INDEX(Array_ElectricalChargeData,ROW()-16,COLUMN()*2-3))</f>
        <v/>
      </c>
      <c r="D201" t="str" cm="1">
        <f>IF(ISBLANK(INDEX(Array_ElectricalChargeData,ROW()-16,COLUMN()*2-3)),"",INDEX(Array_ElectricalChargeData,ROW()-16,COLUMN()*2-3))</f>
        <v/>
      </c>
      <c r="E201" t="str" cm="1">
        <f>IF(ISBLANK(INDEX(Array_ElectricalChargeData,ROW()-16,COLUMN()*2-3)),"",INDEX(Array_ElectricalChargeData,ROW()-16,COLUMN()*2-3))</f>
        <v/>
      </c>
      <c r="F201" t="str" cm="1">
        <f>IF(ISBLANK(INDEX(Array_ElectricalChargeData,ROW()-16,COLUMN()*2-3)),"",INDEX(Array_ElectricalChargeData,ROW()-16,COLUMN()*2-3))</f>
        <v/>
      </c>
      <c r="G201" t="str" cm="1">
        <f>IF(ISBLANK(INDEX(Array_ElectricalChargeData,ROW()-16,COLUMN()*2-3)),"",INDEX(Array_ElectricalChargeData,ROW()-16,COLUMN()*2-3))</f>
        <v/>
      </c>
      <c r="H201" t="str" cm="1">
        <f>IF(ISBLANK(INDEX(Array_ElectricalChargeData,ROW()-16,COLUMN()*2-3)),"",INDEX(Array_ElectricalChargeData,ROW()-16,COLUMN()*2-3))</f>
        <v/>
      </c>
      <c r="I201" t="str" cm="1">
        <f>IF(ISBLANK(INDEX(Array_ElectricalChargeData,ROW()-16,COLUMN()*2-3)),"",INDEX(Array_ElectricalChargeData,ROW()-16,COLUMN()*2-3))</f>
        <v/>
      </c>
      <c r="J201" t="str" cm="1">
        <f>IF(ISBLANK(INDEX(Array_ElectricalChargeData,ROW()-16,COLUMN()*2-3)),"",INDEX(Array_ElectricalChargeData,ROW()-16,COLUMN()*2-3))</f>
        <v/>
      </c>
      <c r="K201" t="str" cm="1">
        <f>IF(ISBLANK(INDEX(Array_ElectricalChargeData,ROW()-16,COLUMN()*2-3)),"",INDEX(Array_ElectricalChargeData,ROW()-16,COLUMN()*2-3))</f>
        <v/>
      </c>
      <c r="L201" t="str" cm="1">
        <f>IF(ISBLANK(INDEX(Array_ElectricalChargeData,ROW()-16,COLUMN()*2-3)),"",INDEX(Array_ElectricalChargeData,ROW()-16,COLUMN()*2-3))</f>
        <v/>
      </c>
      <c r="M201" t="str" cm="1">
        <f>IF(ISBLANK(INDEX(Array_ElectricalChargeData,ROW()-16,COLUMN()*2-3)),"",INDEX(Array_ElectricalChargeData,ROW()-16,COLUMN()*2-3))</f>
        <v/>
      </c>
      <c r="N201" t="str" cm="1">
        <f>IF(ISBLANK(INDEX(Array_ElectricalChargeData,ROW()-16,COLUMN()*2-3)),"",INDEX(Array_ElectricalChargeData,ROW()-16,COLUMN()*2-3))</f>
        <v/>
      </c>
      <c r="O201" t="str" cm="1">
        <f>IF(ISBLANK(INDEX(Array_ElectricalChargeData,ROW()-16,COLUMN()*2-3)),"",INDEX(Array_ElectricalChargeData,ROW()-16,COLUMN()*2-3))</f>
        <v/>
      </c>
      <c r="P201" t="str" cm="1">
        <f>IF(ISBLANK(INDEX(Array_ElectricalChargeData,ROW()-16,COLUMN()*2-3)),"",INDEX(Array_ElectricalChargeData,ROW()-16,COLUMN()*2-3))</f>
        <v/>
      </c>
    </row>
    <row r="202" spans="1:16" x14ac:dyDescent="0.35">
      <c r="A202" t="str">
        <f>IF('Electricity Meters'!B188="",A201,'Electricity Meters'!B188)</f>
        <v>Meter Numbers</v>
      </c>
      <c r="B202" t="str" cm="1">
        <f>IF(ISBLANK(INDEX(Array_ElectricalChargeData,ROW()-16,COLUMN()*2-3)),"",INDEX(Array_ElectricalChargeData,ROW()-16,COLUMN()*2-3))</f>
        <v/>
      </c>
      <c r="C202" t="str" cm="1">
        <f>IF(ISBLANK(INDEX(Array_ElectricalChargeData,ROW()-16,COLUMN()*2-3)),"",INDEX(Array_ElectricalChargeData,ROW()-16,COLUMN()*2-3))</f>
        <v/>
      </c>
      <c r="D202" t="str" cm="1">
        <f>IF(ISBLANK(INDEX(Array_ElectricalChargeData,ROW()-16,COLUMN()*2-3)),"",INDEX(Array_ElectricalChargeData,ROW()-16,COLUMN()*2-3))</f>
        <v/>
      </c>
      <c r="E202" t="str" cm="1">
        <f>IF(ISBLANK(INDEX(Array_ElectricalChargeData,ROW()-16,COLUMN()*2-3)),"",INDEX(Array_ElectricalChargeData,ROW()-16,COLUMN()*2-3))</f>
        <v/>
      </c>
      <c r="F202" t="str" cm="1">
        <f>IF(ISBLANK(INDEX(Array_ElectricalChargeData,ROW()-16,COLUMN()*2-3)),"",INDEX(Array_ElectricalChargeData,ROW()-16,COLUMN()*2-3))</f>
        <v/>
      </c>
      <c r="G202" t="str" cm="1">
        <f>IF(ISBLANK(INDEX(Array_ElectricalChargeData,ROW()-16,COLUMN()*2-3)),"",INDEX(Array_ElectricalChargeData,ROW()-16,COLUMN()*2-3))</f>
        <v/>
      </c>
      <c r="H202" t="str" cm="1">
        <f>IF(ISBLANK(INDEX(Array_ElectricalChargeData,ROW()-16,COLUMN()*2-3)),"",INDEX(Array_ElectricalChargeData,ROW()-16,COLUMN()*2-3))</f>
        <v/>
      </c>
      <c r="I202" t="str" cm="1">
        <f>IF(ISBLANK(INDEX(Array_ElectricalChargeData,ROW()-16,COLUMN()*2-3)),"",INDEX(Array_ElectricalChargeData,ROW()-16,COLUMN()*2-3))</f>
        <v/>
      </c>
      <c r="J202" t="str" cm="1">
        <f>IF(ISBLANK(INDEX(Array_ElectricalChargeData,ROW()-16,COLUMN()*2-3)),"",INDEX(Array_ElectricalChargeData,ROW()-16,COLUMN()*2-3))</f>
        <v/>
      </c>
      <c r="K202" t="str" cm="1">
        <f>IF(ISBLANK(INDEX(Array_ElectricalChargeData,ROW()-16,COLUMN()*2-3)),"",INDEX(Array_ElectricalChargeData,ROW()-16,COLUMN()*2-3))</f>
        <v/>
      </c>
      <c r="L202" t="str" cm="1">
        <f>IF(ISBLANK(INDEX(Array_ElectricalChargeData,ROW()-16,COLUMN()*2-3)),"",INDEX(Array_ElectricalChargeData,ROW()-16,COLUMN()*2-3))</f>
        <v/>
      </c>
      <c r="M202" t="str" cm="1">
        <f>IF(ISBLANK(INDEX(Array_ElectricalChargeData,ROW()-16,COLUMN()*2-3)),"",INDEX(Array_ElectricalChargeData,ROW()-16,COLUMN()*2-3))</f>
        <v/>
      </c>
      <c r="N202" t="str" cm="1">
        <f>IF(ISBLANK(INDEX(Array_ElectricalChargeData,ROW()-16,COLUMN()*2-3)),"",INDEX(Array_ElectricalChargeData,ROW()-16,COLUMN()*2-3))</f>
        <v/>
      </c>
      <c r="O202" t="str" cm="1">
        <f>IF(ISBLANK(INDEX(Array_ElectricalChargeData,ROW()-16,COLUMN()*2-3)),"",INDEX(Array_ElectricalChargeData,ROW()-16,COLUMN()*2-3))</f>
        <v/>
      </c>
      <c r="P202" t="str" cm="1">
        <f>IF(ISBLANK(INDEX(Array_ElectricalChargeData,ROW()-16,COLUMN()*2-3)),"",INDEX(Array_ElectricalChargeData,ROW()-16,COLUMN()*2-3))</f>
        <v/>
      </c>
    </row>
    <row r="203" spans="1:16" x14ac:dyDescent="0.35">
      <c r="A203" t="str">
        <f>IF('Electricity Meters'!B189="",A202,'Electricity Meters'!B189)</f>
        <v>Meter Numbers</v>
      </c>
      <c r="B203" t="str" cm="1">
        <f>IF(ISBLANK(INDEX(Array_ElectricalChargeData,ROW()-16,COLUMN()*2-3)),"",INDEX(Array_ElectricalChargeData,ROW()-16,COLUMN()*2-3))</f>
        <v/>
      </c>
      <c r="C203" t="str" cm="1">
        <f>IF(ISBLANK(INDEX(Array_ElectricalChargeData,ROW()-16,COLUMN()*2-3)),"",INDEX(Array_ElectricalChargeData,ROW()-16,COLUMN()*2-3))</f>
        <v/>
      </c>
      <c r="D203" t="str" cm="1">
        <f>IF(ISBLANK(INDEX(Array_ElectricalChargeData,ROW()-16,COLUMN()*2-3)),"",INDEX(Array_ElectricalChargeData,ROW()-16,COLUMN()*2-3))</f>
        <v/>
      </c>
      <c r="E203" t="str" cm="1">
        <f>IF(ISBLANK(INDEX(Array_ElectricalChargeData,ROW()-16,COLUMN()*2-3)),"",INDEX(Array_ElectricalChargeData,ROW()-16,COLUMN()*2-3))</f>
        <v/>
      </c>
      <c r="F203" t="str" cm="1">
        <f>IF(ISBLANK(INDEX(Array_ElectricalChargeData,ROW()-16,COLUMN()*2-3)),"",INDEX(Array_ElectricalChargeData,ROW()-16,COLUMN()*2-3))</f>
        <v/>
      </c>
      <c r="G203" t="str" cm="1">
        <f>IF(ISBLANK(INDEX(Array_ElectricalChargeData,ROW()-16,COLUMN()*2-3)),"",INDEX(Array_ElectricalChargeData,ROW()-16,COLUMN()*2-3))</f>
        <v/>
      </c>
      <c r="H203" t="str" cm="1">
        <f>IF(ISBLANK(INDEX(Array_ElectricalChargeData,ROW()-16,COLUMN()*2-3)),"",INDEX(Array_ElectricalChargeData,ROW()-16,COLUMN()*2-3))</f>
        <v/>
      </c>
      <c r="I203" t="str" cm="1">
        <f>IF(ISBLANK(INDEX(Array_ElectricalChargeData,ROW()-16,COLUMN()*2-3)),"",INDEX(Array_ElectricalChargeData,ROW()-16,COLUMN()*2-3))</f>
        <v/>
      </c>
      <c r="J203" t="str" cm="1">
        <f>IF(ISBLANK(INDEX(Array_ElectricalChargeData,ROW()-16,COLUMN()*2-3)),"",INDEX(Array_ElectricalChargeData,ROW()-16,COLUMN()*2-3))</f>
        <v/>
      </c>
      <c r="K203" t="str" cm="1">
        <f>IF(ISBLANK(INDEX(Array_ElectricalChargeData,ROW()-16,COLUMN()*2-3)),"",INDEX(Array_ElectricalChargeData,ROW()-16,COLUMN()*2-3))</f>
        <v/>
      </c>
      <c r="L203" t="str" cm="1">
        <f>IF(ISBLANK(INDEX(Array_ElectricalChargeData,ROW()-16,COLUMN()*2-3)),"",INDEX(Array_ElectricalChargeData,ROW()-16,COLUMN()*2-3))</f>
        <v/>
      </c>
      <c r="M203" t="str" cm="1">
        <f>IF(ISBLANK(INDEX(Array_ElectricalChargeData,ROW()-16,COLUMN()*2-3)),"",INDEX(Array_ElectricalChargeData,ROW()-16,COLUMN()*2-3))</f>
        <v/>
      </c>
      <c r="N203" t="str" cm="1">
        <f>IF(ISBLANK(INDEX(Array_ElectricalChargeData,ROW()-16,COLUMN()*2-3)),"",INDEX(Array_ElectricalChargeData,ROW()-16,COLUMN()*2-3))</f>
        <v/>
      </c>
      <c r="O203" t="str" cm="1">
        <f>IF(ISBLANK(INDEX(Array_ElectricalChargeData,ROW()-16,COLUMN()*2-3)),"",INDEX(Array_ElectricalChargeData,ROW()-16,COLUMN()*2-3))</f>
        <v/>
      </c>
      <c r="P203" t="str" cm="1">
        <f>IF(ISBLANK(INDEX(Array_ElectricalChargeData,ROW()-16,COLUMN()*2-3)),"",INDEX(Array_ElectricalChargeData,ROW()-16,COLUMN()*2-3))</f>
        <v/>
      </c>
    </row>
    <row r="204" spans="1:16" x14ac:dyDescent="0.35">
      <c r="A204" t="str">
        <f>IF('Electricity Meters'!B190="",A203,'Electricity Meters'!B190)</f>
        <v>Meter Numbers</v>
      </c>
      <c r="B204" t="str" cm="1">
        <f>IF(ISBLANK(INDEX(Array_ElectricalChargeData,ROW()-16,COLUMN()*2-3)),"",INDEX(Array_ElectricalChargeData,ROW()-16,COLUMN()*2-3))</f>
        <v/>
      </c>
      <c r="C204" t="str" cm="1">
        <f>IF(ISBLANK(INDEX(Array_ElectricalChargeData,ROW()-16,COLUMN()*2-3)),"",INDEX(Array_ElectricalChargeData,ROW()-16,COLUMN()*2-3))</f>
        <v/>
      </c>
      <c r="D204" t="str" cm="1">
        <f>IF(ISBLANK(INDEX(Array_ElectricalChargeData,ROW()-16,COLUMN()*2-3)),"",INDEX(Array_ElectricalChargeData,ROW()-16,COLUMN()*2-3))</f>
        <v/>
      </c>
      <c r="E204" t="str" cm="1">
        <f>IF(ISBLANK(INDEX(Array_ElectricalChargeData,ROW()-16,COLUMN()*2-3)),"",INDEX(Array_ElectricalChargeData,ROW()-16,COLUMN()*2-3))</f>
        <v/>
      </c>
      <c r="F204" t="str" cm="1">
        <f>IF(ISBLANK(INDEX(Array_ElectricalChargeData,ROW()-16,COLUMN()*2-3)),"",INDEX(Array_ElectricalChargeData,ROW()-16,COLUMN()*2-3))</f>
        <v/>
      </c>
      <c r="G204" t="str" cm="1">
        <f>IF(ISBLANK(INDEX(Array_ElectricalChargeData,ROW()-16,COLUMN()*2-3)),"",INDEX(Array_ElectricalChargeData,ROW()-16,COLUMN()*2-3))</f>
        <v/>
      </c>
      <c r="H204" t="str" cm="1">
        <f>IF(ISBLANK(INDEX(Array_ElectricalChargeData,ROW()-16,COLUMN()*2-3)),"",INDEX(Array_ElectricalChargeData,ROW()-16,COLUMN()*2-3))</f>
        <v/>
      </c>
      <c r="I204" t="str" cm="1">
        <f>IF(ISBLANK(INDEX(Array_ElectricalChargeData,ROW()-16,COLUMN()*2-3)),"",INDEX(Array_ElectricalChargeData,ROW()-16,COLUMN()*2-3))</f>
        <v/>
      </c>
      <c r="J204" t="str" cm="1">
        <f>IF(ISBLANK(INDEX(Array_ElectricalChargeData,ROW()-16,COLUMN()*2-3)),"",INDEX(Array_ElectricalChargeData,ROW()-16,COLUMN()*2-3))</f>
        <v/>
      </c>
      <c r="K204" t="str" cm="1">
        <f>IF(ISBLANK(INDEX(Array_ElectricalChargeData,ROW()-16,COLUMN()*2-3)),"",INDEX(Array_ElectricalChargeData,ROW()-16,COLUMN()*2-3))</f>
        <v/>
      </c>
      <c r="L204" t="str" cm="1">
        <f>IF(ISBLANK(INDEX(Array_ElectricalChargeData,ROW()-16,COLUMN()*2-3)),"",INDEX(Array_ElectricalChargeData,ROW()-16,COLUMN()*2-3))</f>
        <v/>
      </c>
      <c r="M204" t="str" cm="1">
        <f>IF(ISBLANK(INDEX(Array_ElectricalChargeData,ROW()-16,COLUMN()*2-3)),"",INDEX(Array_ElectricalChargeData,ROW()-16,COLUMN()*2-3))</f>
        <v/>
      </c>
      <c r="N204" t="str" cm="1">
        <f>IF(ISBLANK(INDEX(Array_ElectricalChargeData,ROW()-16,COLUMN()*2-3)),"",INDEX(Array_ElectricalChargeData,ROW()-16,COLUMN()*2-3))</f>
        <v/>
      </c>
      <c r="O204" t="str" cm="1">
        <f>IF(ISBLANK(INDEX(Array_ElectricalChargeData,ROW()-16,COLUMN()*2-3)),"",INDEX(Array_ElectricalChargeData,ROW()-16,COLUMN()*2-3))</f>
        <v/>
      </c>
      <c r="P204" t="str" cm="1">
        <f>IF(ISBLANK(INDEX(Array_ElectricalChargeData,ROW()-16,COLUMN()*2-3)),"",INDEX(Array_ElectricalChargeData,ROW()-16,COLUMN()*2-3))</f>
        <v/>
      </c>
    </row>
    <row r="205" spans="1:16" x14ac:dyDescent="0.35">
      <c r="A205" t="str">
        <f>IF('Electricity Meters'!B191="",A204,'Electricity Meters'!B191)</f>
        <v>Meter Numbers</v>
      </c>
      <c r="B205" t="str" cm="1">
        <f>IF(ISBLANK(INDEX(Array_ElectricalChargeData,ROW()-16,COLUMN()*2-3)),"",INDEX(Array_ElectricalChargeData,ROW()-16,COLUMN()*2-3))</f>
        <v/>
      </c>
      <c r="C205" t="str" cm="1">
        <f>IF(ISBLANK(INDEX(Array_ElectricalChargeData,ROW()-16,COLUMN()*2-3)),"",INDEX(Array_ElectricalChargeData,ROW()-16,COLUMN()*2-3))</f>
        <v/>
      </c>
      <c r="D205" t="str" cm="1">
        <f>IF(ISBLANK(INDEX(Array_ElectricalChargeData,ROW()-16,COLUMN()*2-3)),"",INDEX(Array_ElectricalChargeData,ROW()-16,COLUMN()*2-3))</f>
        <v/>
      </c>
      <c r="E205" t="str" cm="1">
        <f>IF(ISBLANK(INDEX(Array_ElectricalChargeData,ROW()-16,COLUMN()*2-3)),"",INDEX(Array_ElectricalChargeData,ROW()-16,COLUMN()*2-3))</f>
        <v/>
      </c>
      <c r="F205" t="str" cm="1">
        <f>IF(ISBLANK(INDEX(Array_ElectricalChargeData,ROW()-16,COLUMN()*2-3)),"",INDEX(Array_ElectricalChargeData,ROW()-16,COLUMN()*2-3))</f>
        <v/>
      </c>
      <c r="G205" t="str" cm="1">
        <f>IF(ISBLANK(INDEX(Array_ElectricalChargeData,ROW()-16,COLUMN()*2-3)),"",INDEX(Array_ElectricalChargeData,ROW()-16,COLUMN()*2-3))</f>
        <v/>
      </c>
      <c r="H205" t="str" cm="1">
        <f>IF(ISBLANK(INDEX(Array_ElectricalChargeData,ROW()-16,COLUMN()*2-3)),"",INDEX(Array_ElectricalChargeData,ROW()-16,COLUMN()*2-3))</f>
        <v/>
      </c>
      <c r="I205" t="str" cm="1">
        <f>IF(ISBLANK(INDEX(Array_ElectricalChargeData,ROW()-16,COLUMN()*2-3)),"",INDEX(Array_ElectricalChargeData,ROW()-16,COLUMN()*2-3))</f>
        <v/>
      </c>
      <c r="J205" t="str" cm="1">
        <f>IF(ISBLANK(INDEX(Array_ElectricalChargeData,ROW()-16,COLUMN()*2-3)),"",INDEX(Array_ElectricalChargeData,ROW()-16,COLUMN()*2-3))</f>
        <v/>
      </c>
      <c r="K205" t="str" cm="1">
        <f>IF(ISBLANK(INDEX(Array_ElectricalChargeData,ROW()-16,COLUMN()*2-3)),"",INDEX(Array_ElectricalChargeData,ROW()-16,COLUMN()*2-3))</f>
        <v/>
      </c>
      <c r="L205" t="str" cm="1">
        <f>IF(ISBLANK(INDEX(Array_ElectricalChargeData,ROW()-16,COLUMN()*2-3)),"",INDEX(Array_ElectricalChargeData,ROW()-16,COLUMN()*2-3))</f>
        <v/>
      </c>
      <c r="M205" t="str" cm="1">
        <f>IF(ISBLANK(INDEX(Array_ElectricalChargeData,ROW()-16,COLUMN()*2-3)),"",INDEX(Array_ElectricalChargeData,ROW()-16,COLUMN()*2-3))</f>
        <v/>
      </c>
      <c r="N205" t="str" cm="1">
        <f>IF(ISBLANK(INDEX(Array_ElectricalChargeData,ROW()-16,COLUMN()*2-3)),"",INDEX(Array_ElectricalChargeData,ROW()-16,COLUMN()*2-3))</f>
        <v/>
      </c>
      <c r="O205" t="str" cm="1">
        <f>IF(ISBLANK(INDEX(Array_ElectricalChargeData,ROW()-16,COLUMN()*2-3)),"",INDEX(Array_ElectricalChargeData,ROW()-16,COLUMN()*2-3))</f>
        <v/>
      </c>
      <c r="P205" t="str" cm="1">
        <f>IF(ISBLANK(INDEX(Array_ElectricalChargeData,ROW()-16,COLUMN()*2-3)),"",INDEX(Array_ElectricalChargeData,ROW()-16,COLUMN()*2-3))</f>
        <v/>
      </c>
    </row>
    <row r="206" spans="1:16" x14ac:dyDescent="0.35">
      <c r="A206" t="str">
        <f>IF('Electricity Meters'!B192="",A205,'Electricity Meters'!B192)</f>
        <v>Meter Numbers</v>
      </c>
      <c r="B206" t="str" cm="1">
        <f>IF(ISBLANK(INDEX(Array_ElectricalChargeData,ROW()-16,COLUMN()*2-3)),"",INDEX(Array_ElectricalChargeData,ROW()-16,COLUMN()*2-3))</f>
        <v/>
      </c>
      <c r="C206" t="str" cm="1">
        <f>IF(ISBLANK(INDEX(Array_ElectricalChargeData,ROW()-16,COLUMN()*2-3)),"",INDEX(Array_ElectricalChargeData,ROW()-16,COLUMN()*2-3))</f>
        <v/>
      </c>
      <c r="D206" t="str" cm="1">
        <f>IF(ISBLANK(INDEX(Array_ElectricalChargeData,ROW()-16,COLUMN()*2-3)),"",INDEX(Array_ElectricalChargeData,ROW()-16,COLUMN()*2-3))</f>
        <v/>
      </c>
      <c r="E206" t="str" cm="1">
        <f>IF(ISBLANK(INDEX(Array_ElectricalChargeData,ROW()-16,COLUMN()*2-3)),"",INDEX(Array_ElectricalChargeData,ROW()-16,COLUMN()*2-3))</f>
        <v/>
      </c>
      <c r="F206" t="str" cm="1">
        <f>IF(ISBLANK(INDEX(Array_ElectricalChargeData,ROW()-16,COLUMN()*2-3)),"",INDEX(Array_ElectricalChargeData,ROW()-16,COLUMN()*2-3))</f>
        <v/>
      </c>
      <c r="G206" t="str" cm="1">
        <f>IF(ISBLANK(INDEX(Array_ElectricalChargeData,ROW()-16,COLUMN()*2-3)),"",INDEX(Array_ElectricalChargeData,ROW()-16,COLUMN()*2-3))</f>
        <v/>
      </c>
      <c r="H206" t="str" cm="1">
        <f>IF(ISBLANK(INDEX(Array_ElectricalChargeData,ROW()-16,COLUMN()*2-3)),"",INDEX(Array_ElectricalChargeData,ROW()-16,COLUMN()*2-3))</f>
        <v/>
      </c>
      <c r="I206" t="str" cm="1">
        <f>IF(ISBLANK(INDEX(Array_ElectricalChargeData,ROW()-16,COLUMN()*2-3)),"",INDEX(Array_ElectricalChargeData,ROW()-16,COLUMN()*2-3))</f>
        <v/>
      </c>
      <c r="J206" t="str" cm="1">
        <f>IF(ISBLANK(INDEX(Array_ElectricalChargeData,ROW()-16,COLUMN()*2-3)),"",INDEX(Array_ElectricalChargeData,ROW()-16,COLUMN()*2-3))</f>
        <v/>
      </c>
      <c r="K206" t="str" cm="1">
        <f>IF(ISBLANK(INDEX(Array_ElectricalChargeData,ROW()-16,COLUMN()*2-3)),"",INDEX(Array_ElectricalChargeData,ROW()-16,COLUMN()*2-3))</f>
        <v/>
      </c>
      <c r="L206" t="str" cm="1">
        <f>IF(ISBLANK(INDEX(Array_ElectricalChargeData,ROW()-16,COLUMN()*2-3)),"",INDEX(Array_ElectricalChargeData,ROW()-16,COLUMN()*2-3))</f>
        <v/>
      </c>
      <c r="M206" t="str" cm="1">
        <f>IF(ISBLANK(INDEX(Array_ElectricalChargeData,ROW()-16,COLUMN()*2-3)),"",INDEX(Array_ElectricalChargeData,ROW()-16,COLUMN()*2-3))</f>
        <v/>
      </c>
      <c r="N206" t="str" cm="1">
        <f>IF(ISBLANK(INDEX(Array_ElectricalChargeData,ROW()-16,COLUMN()*2-3)),"",INDEX(Array_ElectricalChargeData,ROW()-16,COLUMN()*2-3))</f>
        <v/>
      </c>
      <c r="O206" t="str" cm="1">
        <f>IF(ISBLANK(INDEX(Array_ElectricalChargeData,ROW()-16,COLUMN()*2-3)),"",INDEX(Array_ElectricalChargeData,ROW()-16,COLUMN()*2-3))</f>
        <v/>
      </c>
      <c r="P206" t="str" cm="1">
        <f>IF(ISBLANK(INDEX(Array_ElectricalChargeData,ROW()-16,COLUMN()*2-3)),"",INDEX(Array_ElectricalChargeData,ROW()-16,COLUMN()*2-3))</f>
        <v/>
      </c>
    </row>
    <row r="207" spans="1:16" x14ac:dyDescent="0.35">
      <c r="A207" t="str">
        <f>IF('Electricity Meters'!B193="",A206,'Electricity Meters'!B193)</f>
        <v>Meter Numbers</v>
      </c>
      <c r="B207" t="str" cm="1">
        <f>IF(ISBLANK(INDEX(Array_ElectricalChargeData,ROW()-16,COLUMN()*2-3)),"",INDEX(Array_ElectricalChargeData,ROW()-16,COLUMN()*2-3))</f>
        <v/>
      </c>
      <c r="C207" t="str" cm="1">
        <f>IF(ISBLANK(INDEX(Array_ElectricalChargeData,ROW()-16,COLUMN()*2-3)),"",INDEX(Array_ElectricalChargeData,ROW()-16,COLUMN()*2-3))</f>
        <v/>
      </c>
      <c r="D207" t="str" cm="1">
        <f>IF(ISBLANK(INDEX(Array_ElectricalChargeData,ROW()-16,COLUMN()*2-3)),"",INDEX(Array_ElectricalChargeData,ROW()-16,COLUMN()*2-3))</f>
        <v/>
      </c>
      <c r="E207" t="str" cm="1">
        <f>IF(ISBLANK(INDEX(Array_ElectricalChargeData,ROW()-16,COLUMN()*2-3)),"",INDEX(Array_ElectricalChargeData,ROW()-16,COLUMN()*2-3))</f>
        <v/>
      </c>
      <c r="F207" t="str" cm="1">
        <f>IF(ISBLANK(INDEX(Array_ElectricalChargeData,ROW()-16,COLUMN()*2-3)),"",INDEX(Array_ElectricalChargeData,ROW()-16,COLUMN()*2-3))</f>
        <v/>
      </c>
      <c r="G207" t="str" cm="1">
        <f>IF(ISBLANK(INDEX(Array_ElectricalChargeData,ROW()-16,COLUMN()*2-3)),"",INDEX(Array_ElectricalChargeData,ROW()-16,COLUMN()*2-3))</f>
        <v/>
      </c>
      <c r="H207" t="str" cm="1">
        <f>IF(ISBLANK(INDEX(Array_ElectricalChargeData,ROW()-16,COLUMN()*2-3)),"",INDEX(Array_ElectricalChargeData,ROW()-16,COLUMN()*2-3))</f>
        <v/>
      </c>
      <c r="I207" t="str" cm="1">
        <f>IF(ISBLANK(INDEX(Array_ElectricalChargeData,ROW()-16,COLUMN()*2-3)),"",INDEX(Array_ElectricalChargeData,ROW()-16,COLUMN()*2-3))</f>
        <v/>
      </c>
      <c r="J207" t="str" cm="1">
        <f>IF(ISBLANK(INDEX(Array_ElectricalChargeData,ROW()-16,COLUMN()*2-3)),"",INDEX(Array_ElectricalChargeData,ROW()-16,COLUMN()*2-3))</f>
        <v/>
      </c>
      <c r="K207" t="str" cm="1">
        <f>IF(ISBLANK(INDEX(Array_ElectricalChargeData,ROW()-16,COLUMN()*2-3)),"",INDEX(Array_ElectricalChargeData,ROW()-16,COLUMN()*2-3))</f>
        <v/>
      </c>
      <c r="L207" t="str" cm="1">
        <f>IF(ISBLANK(INDEX(Array_ElectricalChargeData,ROW()-16,COLUMN()*2-3)),"",INDEX(Array_ElectricalChargeData,ROW()-16,COLUMN()*2-3))</f>
        <v/>
      </c>
      <c r="M207" t="str" cm="1">
        <f>IF(ISBLANK(INDEX(Array_ElectricalChargeData,ROW()-16,COLUMN()*2-3)),"",INDEX(Array_ElectricalChargeData,ROW()-16,COLUMN()*2-3))</f>
        <v/>
      </c>
      <c r="N207" t="str" cm="1">
        <f>IF(ISBLANK(INDEX(Array_ElectricalChargeData,ROW()-16,COLUMN()*2-3)),"",INDEX(Array_ElectricalChargeData,ROW()-16,COLUMN()*2-3))</f>
        <v/>
      </c>
      <c r="O207" t="str" cm="1">
        <f>IF(ISBLANK(INDEX(Array_ElectricalChargeData,ROW()-16,COLUMN()*2-3)),"",INDEX(Array_ElectricalChargeData,ROW()-16,COLUMN()*2-3))</f>
        <v/>
      </c>
      <c r="P207" t="str" cm="1">
        <f>IF(ISBLANK(INDEX(Array_ElectricalChargeData,ROW()-16,COLUMN()*2-3)),"",INDEX(Array_ElectricalChargeData,ROW()-16,COLUMN()*2-3))</f>
        <v/>
      </c>
    </row>
    <row r="208" spans="1:16" x14ac:dyDescent="0.35">
      <c r="A208" t="str">
        <f>IF('Electricity Meters'!B194="",A207,'Electricity Meters'!B194)</f>
        <v>Meter Numbers</v>
      </c>
      <c r="B208" t="str" cm="1">
        <f>IF(ISBLANK(INDEX(Array_ElectricalChargeData,ROW()-16,COLUMN()*2-3)),"",INDEX(Array_ElectricalChargeData,ROW()-16,COLUMN()*2-3))</f>
        <v/>
      </c>
      <c r="C208" t="str" cm="1">
        <f>IF(ISBLANK(INDEX(Array_ElectricalChargeData,ROW()-16,COLUMN()*2-3)),"",INDEX(Array_ElectricalChargeData,ROW()-16,COLUMN()*2-3))</f>
        <v/>
      </c>
      <c r="D208" t="str" cm="1">
        <f>IF(ISBLANK(INDEX(Array_ElectricalChargeData,ROW()-16,COLUMN()*2-3)),"",INDEX(Array_ElectricalChargeData,ROW()-16,COLUMN()*2-3))</f>
        <v/>
      </c>
      <c r="E208" t="str" cm="1">
        <f>IF(ISBLANK(INDEX(Array_ElectricalChargeData,ROW()-16,COLUMN()*2-3)),"",INDEX(Array_ElectricalChargeData,ROW()-16,COLUMN()*2-3))</f>
        <v/>
      </c>
      <c r="F208" t="str" cm="1">
        <f>IF(ISBLANK(INDEX(Array_ElectricalChargeData,ROW()-16,COLUMN()*2-3)),"",INDEX(Array_ElectricalChargeData,ROW()-16,COLUMN()*2-3))</f>
        <v/>
      </c>
      <c r="G208" t="str" cm="1">
        <f>IF(ISBLANK(INDEX(Array_ElectricalChargeData,ROW()-16,COLUMN()*2-3)),"",INDEX(Array_ElectricalChargeData,ROW()-16,COLUMN()*2-3))</f>
        <v/>
      </c>
      <c r="H208" t="str" cm="1">
        <f>IF(ISBLANK(INDEX(Array_ElectricalChargeData,ROW()-16,COLUMN()*2-3)),"",INDEX(Array_ElectricalChargeData,ROW()-16,COLUMN()*2-3))</f>
        <v/>
      </c>
      <c r="I208" t="str" cm="1">
        <f>IF(ISBLANK(INDEX(Array_ElectricalChargeData,ROW()-16,COLUMN()*2-3)),"",INDEX(Array_ElectricalChargeData,ROW()-16,COLUMN()*2-3))</f>
        <v/>
      </c>
      <c r="J208" t="str" cm="1">
        <f>IF(ISBLANK(INDEX(Array_ElectricalChargeData,ROW()-16,COLUMN()*2-3)),"",INDEX(Array_ElectricalChargeData,ROW()-16,COLUMN()*2-3))</f>
        <v/>
      </c>
      <c r="K208" t="str" cm="1">
        <f>IF(ISBLANK(INDEX(Array_ElectricalChargeData,ROW()-16,COLUMN()*2-3)),"",INDEX(Array_ElectricalChargeData,ROW()-16,COLUMN()*2-3))</f>
        <v/>
      </c>
      <c r="L208" t="str" cm="1">
        <f>IF(ISBLANK(INDEX(Array_ElectricalChargeData,ROW()-16,COLUMN()*2-3)),"",INDEX(Array_ElectricalChargeData,ROW()-16,COLUMN()*2-3))</f>
        <v/>
      </c>
      <c r="M208" t="str" cm="1">
        <f>IF(ISBLANK(INDEX(Array_ElectricalChargeData,ROW()-16,COLUMN()*2-3)),"",INDEX(Array_ElectricalChargeData,ROW()-16,COLUMN()*2-3))</f>
        <v/>
      </c>
      <c r="N208" t="str" cm="1">
        <f>IF(ISBLANK(INDEX(Array_ElectricalChargeData,ROW()-16,COLUMN()*2-3)),"",INDEX(Array_ElectricalChargeData,ROW()-16,COLUMN()*2-3))</f>
        <v/>
      </c>
      <c r="O208" t="str" cm="1">
        <f>IF(ISBLANK(INDEX(Array_ElectricalChargeData,ROW()-16,COLUMN()*2-3)),"",INDEX(Array_ElectricalChargeData,ROW()-16,COLUMN()*2-3))</f>
        <v/>
      </c>
      <c r="P208" t="str" cm="1">
        <f>IF(ISBLANK(INDEX(Array_ElectricalChargeData,ROW()-16,COLUMN()*2-3)),"",INDEX(Array_ElectricalChargeData,ROW()-16,COLUMN()*2-3))</f>
        <v/>
      </c>
    </row>
    <row r="209" spans="1:16" x14ac:dyDescent="0.35">
      <c r="A209" t="str">
        <f>IF('Electricity Meters'!B195="",A208,'Electricity Meters'!B195)</f>
        <v>Meter Numbers</v>
      </c>
      <c r="B209" t="str" cm="1">
        <f>IF(ISBLANK(INDEX(Array_ElectricalChargeData,ROW()-16,COLUMN()*2-3)),"",INDEX(Array_ElectricalChargeData,ROW()-16,COLUMN()*2-3))</f>
        <v/>
      </c>
      <c r="C209" t="str" cm="1">
        <f>IF(ISBLANK(INDEX(Array_ElectricalChargeData,ROW()-16,COLUMN()*2-3)),"",INDEX(Array_ElectricalChargeData,ROW()-16,COLUMN()*2-3))</f>
        <v/>
      </c>
      <c r="D209" t="str" cm="1">
        <f>IF(ISBLANK(INDEX(Array_ElectricalChargeData,ROW()-16,COLUMN()*2-3)),"",INDEX(Array_ElectricalChargeData,ROW()-16,COLUMN()*2-3))</f>
        <v/>
      </c>
      <c r="E209" t="str" cm="1">
        <f>IF(ISBLANK(INDEX(Array_ElectricalChargeData,ROW()-16,COLUMN()*2-3)),"",INDEX(Array_ElectricalChargeData,ROW()-16,COLUMN()*2-3))</f>
        <v/>
      </c>
      <c r="F209" t="str" cm="1">
        <f>IF(ISBLANK(INDEX(Array_ElectricalChargeData,ROW()-16,COLUMN()*2-3)),"",INDEX(Array_ElectricalChargeData,ROW()-16,COLUMN()*2-3))</f>
        <v/>
      </c>
      <c r="G209" t="str" cm="1">
        <f>IF(ISBLANK(INDEX(Array_ElectricalChargeData,ROW()-16,COLUMN()*2-3)),"",INDEX(Array_ElectricalChargeData,ROW()-16,COLUMN()*2-3))</f>
        <v/>
      </c>
      <c r="H209" t="str" cm="1">
        <f>IF(ISBLANK(INDEX(Array_ElectricalChargeData,ROW()-16,COLUMN()*2-3)),"",INDEX(Array_ElectricalChargeData,ROW()-16,COLUMN()*2-3))</f>
        <v/>
      </c>
      <c r="I209" t="str" cm="1">
        <f>IF(ISBLANK(INDEX(Array_ElectricalChargeData,ROW()-16,COLUMN()*2-3)),"",INDEX(Array_ElectricalChargeData,ROW()-16,COLUMN()*2-3))</f>
        <v/>
      </c>
      <c r="J209" t="str" cm="1">
        <f>IF(ISBLANK(INDEX(Array_ElectricalChargeData,ROW()-16,COLUMN()*2-3)),"",INDEX(Array_ElectricalChargeData,ROW()-16,COLUMN()*2-3))</f>
        <v/>
      </c>
      <c r="K209" t="str" cm="1">
        <f>IF(ISBLANK(INDEX(Array_ElectricalChargeData,ROW()-16,COLUMN()*2-3)),"",INDEX(Array_ElectricalChargeData,ROW()-16,COLUMN()*2-3))</f>
        <v/>
      </c>
      <c r="L209" t="str" cm="1">
        <f>IF(ISBLANK(INDEX(Array_ElectricalChargeData,ROW()-16,COLUMN()*2-3)),"",INDEX(Array_ElectricalChargeData,ROW()-16,COLUMN()*2-3))</f>
        <v/>
      </c>
      <c r="M209" t="str" cm="1">
        <f>IF(ISBLANK(INDEX(Array_ElectricalChargeData,ROW()-16,COLUMN()*2-3)),"",INDEX(Array_ElectricalChargeData,ROW()-16,COLUMN()*2-3))</f>
        <v/>
      </c>
      <c r="N209" t="str" cm="1">
        <f>IF(ISBLANK(INDEX(Array_ElectricalChargeData,ROW()-16,COLUMN()*2-3)),"",INDEX(Array_ElectricalChargeData,ROW()-16,COLUMN()*2-3))</f>
        <v/>
      </c>
      <c r="O209" t="str" cm="1">
        <f>IF(ISBLANK(INDEX(Array_ElectricalChargeData,ROW()-16,COLUMN()*2-3)),"",INDEX(Array_ElectricalChargeData,ROW()-16,COLUMN()*2-3))</f>
        <v/>
      </c>
      <c r="P209" t="str" cm="1">
        <f>IF(ISBLANK(INDEX(Array_ElectricalChargeData,ROW()-16,COLUMN()*2-3)),"",INDEX(Array_ElectricalChargeData,ROW()-16,COLUMN()*2-3))</f>
        <v/>
      </c>
    </row>
    <row r="210" spans="1:16" x14ac:dyDescent="0.35">
      <c r="A210" t="str">
        <f>IF('Electricity Meters'!B196="",A209,'Electricity Meters'!B196)</f>
        <v>Meter Numbers</v>
      </c>
      <c r="B210" t="str" cm="1">
        <f>IF(ISBLANK(INDEX(Array_ElectricalChargeData,ROW()-16,COLUMN()*2-3)),"",INDEX(Array_ElectricalChargeData,ROW()-16,COLUMN()*2-3))</f>
        <v/>
      </c>
      <c r="C210" t="str" cm="1">
        <f>IF(ISBLANK(INDEX(Array_ElectricalChargeData,ROW()-16,COLUMN()*2-3)),"",INDEX(Array_ElectricalChargeData,ROW()-16,COLUMN()*2-3))</f>
        <v/>
      </c>
      <c r="D210" t="str" cm="1">
        <f>IF(ISBLANK(INDEX(Array_ElectricalChargeData,ROW()-16,COLUMN()*2-3)),"",INDEX(Array_ElectricalChargeData,ROW()-16,COLUMN()*2-3))</f>
        <v/>
      </c>
      <c r="E210" t="str" cm="1">
        <f>IF(ISBLANK(INDEX(Array_ElectricalChargeData,ROW()-16,COLUMN()*2-3)),"",INDEX(Array_ElectricalChargeData,ROW()-16,COLUMN()*2-3))</f>
        <v/>
      </c>
      <c r="F210" t="str" cm="1">
        <f>IF(ISBLANK(INDEX(Array_ElectricalChargeData,ROW()-16,COLUMN()*2-3)),"",INDEX(Array_ElectricalChargeData,ROW()-16,COLUMN()*2-3))</f>
        <v/>
      </c>
      <c r="G210" t="str" cm="1">
        <f>IF(ISBLANK(INDEX(Array_ElectricalChargeData,ROW()-16,COLUMN()*2-3)),"",INDEX(Array_ElectricalChargeData,ROW()-16,COLUMN()*2-3))</f>
        <v/>
      </c>
      <c r="H210" t="str" cm="1">
        <f>IF(ISBLANK(INDEX(Array_ElectricalChargeData,ROW()-16,COLUMN()*2-3)),"",INDEX(Array_ElectricalChargeData,ROW()-16,COLUMN()*2-3))</f>
        <v/>
      </c>
      <c r="I210" t="str" cm="1">
        <f>IF(ISBLANK(INDEX(Array_ElectricalChargeData,ROW()-16,COLUMN()*2-3)),"",INDEX(Array_ElectricalChargeData,ROW()-16,COLUMN()*2-3))</f>
        <v/>
      </c>
      <c r="J210" t="str" cm="1">
        <f>IF(ISBLANK(INDEX(Array_ElectricalChargeData,ROW()-16,COLUMN()*2-3)),"",INDEX(Array_ElectricalChargeData,ROW()-16,COLUMN()*2-3))</f>
        <v/>
      </c>
      <c r="K210" t="str" cm="1">
        <f>IF(ISBLANK(INDEX(Array_ElectricalChargeData,ROW()-16,COLUMN()*2-3)),"",INDEX(Array_ElectricalChargeData,ROW()-16,COLUMN()*2-3))</f>
        <v/>
      </c>
      <c r="L210" t="str" cm="1">
        <f>IF(ISBLANK(INDEX(Array_ElectricalChargeData,ROW()-16,COLUMN()*2-3)),"",INDEX(Array_ElectricalChargeData,ROW()-16,COLUMN()*2-3))</f>
        <v/>
      </c>
      <c r="M210" t="str" cm="1">
        <f>IF(ISBLANK(INDEX(Array_ElectricalChargeData,ROW()-16,COLUMN()*2-3)),"",INDEX(Array_ElectricalChargeData,ROW()-16,COLUMN()*2-3))</f>
        <v/>
      </c>
      <c r="N210" t="str" cm="1">
        <f>IF(ISBLANK(INDEX(Array_ElectricalChargeData,ROW()-16,COLUMN()*2-3)),"",INDEX(Array_ElectricalChargeData,ROW()-16,COLUMN()*2-3))</f>
        <v/>
      </c>
      <c r="O210" t="str" cm="1">
        <f>IF(ISBLANK(INDEX(Array_ElectricalChargeData,ROW()-16,COLUMN()*2-3)),"",INDEX(Array_ElectricalChargeData,ROW()-16,COLUMN()*2-3))</f>
        <v/>
      </c>
      <c r="P210" t="str" cm="1">
        <f>IF(ISBLANK(INDEX(Array_ElectricalChargeData,ROW()-16,COLUMN()*2-3)),"",INDEX(Array_ElectricalChargeData,ROW()-16,COLUMN()*2-3))</f>
        <v/>
      </c>
    </row>
    <row r="211" spans="1:16" x14ac:dyDescent="0.35">
      <c r="A211" t="str">
        <f>IF('Electricity Meters'!B197="",A210,'Electricity Meters'!B197)</f>
        <v>Meter Numbers</v>
      </c>
      <c r="B211" t="str" cm="1">
        <f>IF(ISBLANK(INDEX(Array_ElectricalChargeData,ROW()-16,COLUMN()*2-3)),"",INDEX(Array_ElectricalChargeData,ROW()-16,COLUMN()*2-3))</f>
        <v/>
      </c>
      <c r="C211" t="str" cm="1">
        <f>IF(ISBLANK(INDEX(Array_ElectricalChargeData,ROW()-16,COLUMN()*2-3)),"",INDEX(Array_ElectricalChargeData,ROW()-16,COLUMN()*2-3))</f>
        <v/>
      </c>
      <c r="D211" t="str" cm="1">
        <f>IF(ISBLANK(INDEX(Array_ElectricalChargeData,ROW()-16,COLUMN()*2-3)),"",INDEX(Array_ElectricalChargeData,ROW()-16,COLUMN()*2-3))</f>
        <v/>
      </c>
      <c r="E211" t="str" cm="1">
        <f>IF(ISBLANK(INDEX(Array_ElectricalChargeData,ROW()-16,COLUMN()*2-3)),"",INDEX(Array_ElectricalChargeData,ROW()-16,COLUMN()*2-3))</f>
        <v/>
      </c>
      <c r="F211" t="str" cm="1">
        <f>IF(ISBLANK(INDEX(Array_ElectricalChargeData,ROW()-16,COLUMN()*2-3)),"",INDEX(Array_ElectricalChargeData,ROW()-16,COLUMN()*2-3))</f>
        <v/>
      </c>
      <c r="G211" t="str" cm="1">
        <f>IF(ISBLANK(INDEX(Array_ElectricalChargeData,ROW()-16,COLUMN()*2-3)),"",INDEX(Array_ElectricalChargeData,ROW()-16,COLUMN()*2-3))</f>
        <v/>
      </c>
      <c r="H211" t="str" cm="1">
        <f>IF(ISBLANK(INDEX(Array_ElectricalChargeData,ROW()-16,COLUMN()*2-3)),"",INDEX(Array_ElectricalChargeData,ROW()-16,COLUMN()*2-3))</f>
        <v/>
      </c>
      <c r="I211" t="str" cm="1">
        <f>IF(ISBLANK(INDEX(Array_ElectricalChargeData,ROW()-16,COLUMN()*2-3)),"",INDEX(Array_ElectricalChargeData,ROW()-16,COLUMN()*2-3))</f>
        <v/>
      </c>
      <c r="J211" t="str" cm="1">
        <f>IF(ISBLANK(INDEX(Array_ElectricalChargeData,ROW()-16,COLUMN()*2-3)),"",INDEX(Array_ElectricalChargeData,ROW()-16,COLUMN()*2-3))</f>
        <v/>
      </c>
      <c r="K211" t="str" cm="1">
        <f>IF(ISBLANK(INDEX(Array_ElectricalChargeData,ROW()-16,COLUMN()*2-3)),"",INDEX(Array_ElectricalChargeData,ROW()-16,COLUMN()*2-3))</f>
        <v/>
      </c>
      <c r="L211" t="str" cm="1">
        <f>IF(ISBLANK(INDEX(Array_ElectricalChargeData,ROW()-16,COLUMN()*2-3)),"",INDEX(Array_ElectricalChargeData,ROW()-16,COLUMN()*2-3))</f>
        <v/>
      </c>
      <c r="M211" t="str" cm="1">
        <f>IF(ISBLANK(INDEX(Array_ElectricalChargeData,ROW()-16,COLUMN()*2-3)),"",INDEX(Array_ElectricalChargeData,ROW()-16,COLUMN()*2-3))</f>
        <v/>
      </c>
      <c r="N211" t="str" cm="1">
        <f>IF(ISBLANK(INDEX(Array_ElectricalChargeData,ROW()-16,COLUMN()*2-3)),"",INDEX(Array_ElectricalChargeData,ROW()-16,COLUMN()*2-3))</f>
        <v/>
      </c>
      <c r="O211" t="str" cm="1">
        <f>IF(ISBLANK(INDEX(Array_ElectricalChargeData,ROW()-16,COLUMN()*2-3)),"",INDEX(Array_ElectricalChargeData,ROW()-16,COLUMN()*2-3))</f>
        <v/>
      </c>
      <c r="P211" t="str" cm="1">
        <f>IF(ISBLANK(INDEX(Array_ElectricalChargeData,ROW()-16,COLUMN()*2-3)),"",INDEX(Array_ElectricalChargeData,ROW()-16,COLUMN()*2-3))</f>
        <v/>
      </c>
    </row>
    <row r="212" spans="1:16" x14ac:dyDescent="0.35">
      <c r="A212" t="str">
        <f>IF('Electricity Meters'!B198="",A211,'Electricity Meters'!B198)</f>
        <v>Meter Numbers</v>
      </c>
      <c r="B212" t="str" cm="1">
        <f>IF(ISBLANK(INDEX(Array_ElectricalChargeData,ROW()-16,COLUMN()*2-3)),"",INDEX(Array_ElectricalChargeData,ROW()-16,COLUMN()*2-3))</f>
        <v/>
      </c>
      <c r="C212" t="str" cm="1">
        <f>IF(ISBLANK(INDEX(Array_ElectricalChargeData,ROW()-16,COLUMN()*2-3)),"",INDEX(Array_ElectricalChargeData,ROW()-16,COLUMN()*2-3))</f>
        <v/>
      </c>
      <c r="D212" t="str" cm="1">
        <f>IF(ISBLANK(INDEX(Array_ElectricalChargeData,ROW()-16,COLUMN()*2-3)),"",INDEX(Array_ElectricalChargeData,ROW()-16,COLUMN()*2-3))</f>
        <v/>
      </c>
      <c r="E212" t="str" cm="1">
        <f>IF(ISBLANK(INDEX(Array_ElectricalChargeData,ROW()-16,COLUMN()*2-3)),"",INDEX(Array_ElectricalChargeData,ROW()-16,COLUMN()*2-3))</f>
        <v/>
      </c>
      <c r="F212" t="str" cm="1">
        <f>IF(ISBLANK(INDEX(Array_ElectricalChargeData,ROW()-16,COLUMN()*2-3)),"",INDEX(Array_ElectricalChargeData,ROW()-16,COLUMN()*2-3))</f>
        <v/>
      </c>
      <c r="G212" t="str" cm="1">
        <f>IF(ISBLANK(INDEX(Array_ElectricalChargeData,ROW()-16,COLUMN()*2-3)),"",INDEX(Array_ElectricalChargeData,ROW()-16,COLUMN()*2-3))</f>
        <v/>
      </c>
      <c r="H212" t="str" cm="1">
        <f>IF(ISBLANK(INDEX(Array_ElectricalChargeData,ROW()-16,COLUMN()*2-3)),"",INDEX(Array_ElectricalChargeData,ROW()-16,COLUMN()*2-3))</f>
        <v/>
      </c>
      <c r="I212" t="str" cm="1">
        <f>IF(ISBLANK(INDEX(Array_ElectricalChargeData,ROW()-16,COLUMN()*2-3)),"",INDEX(Array_ElectricalChargeData,ROW()-16,COLUMN()*2-3))</f>
        <v/>
      </c>
      <c r="J212" t="str" cm="1">
        <f>IF(ISBLANK(INDEX(Array_ElectricalChargeData,ROW()-16,COLUMN()*2-3)),"",INDEX(Array_ElectricalChargeData,ROW()-16,COLUMN()*2-3))</f>
        <v/>
      </c>
      <c r="K212" t="str" cm="1">
        <f>IF(ISBLANK(INDEX(Array_ElectricalChargeData,ROW()-16,COLUMN()*2-3)),"",INDEX(Array_ElectricalChargeData,ROW()-16,COLUMN()*2-3))</f>
        <v/>
      </c>
      <c r="L212" t="str" cm="1">
        <f>IF(ISBLANK(INDEX(Array_ElectricalChargeData,ROW()-16,COLUMN()*2-3)),"",INDEX(Array_ElectricalChargeData,ROW()-16,COLUMN()*2-3))</f>
        <v/>
      </c>
      <c r="M212" t="str" cm="1">
        <f>IF(ISBLANK(INDEX(Array_ElectricalChargeData,ROW()-16,COLUMN()*2-3)),"",INDEX(Array_ElectricalChargeData,ROW()-16,COLUMN()*2-3))</f>
        <v/>
      </c>
      <c r="N212" t="str" cm="1">
        <f>IF(ISBLANK(INDEX(Array_ElectricalChargeData,ROW()-16,COLUMN()*2-3)),"",INDEX(Array_ElectricalChargeData,ROW()-16,COLUMN()*2-3))</f>
        <v/>
      </c>
      <c r="O212" t="str" cm="1">
        <f>IF(ISBLANK(INDEX(Array_ElectricalChargeData,ROW()-16,COLUMN()*2-3)),"",INDEX(Array_ElectricalChargeData,ROW()-16,COLUMN()*2-3))</f>
        <v/>
      </c>
      <c r="P212" t="str" cm="1">
        <f>IF(ISBLANK(INDEX(Array_ElectricalChargeData,ROW()-16,COLUMN()*2-3)),"",INDEX(Array_ElectricalChargeData,ROW()-16,COLUMN()*2-3))</f>
        <v/>
      </c>
    </row>
    <row r="213" spans="1:16" x14ac:dyDescent="0.35">
      <c r="A213" t="str">
        <f>IF('Electricity Meters'!B199="",A212,'Electricity Meters'!B199)</f>
        <v>Meter Numbers</v>
      </c>
      <c r="B213" t="str" cm="1">
        <f>IF(ISBLANK(INDEX(Array_ElectricalChargeData,ROW()-16,COLUMN()*2-3)),"",INDEX(Array_ElectricalChargeData,ROW()-16,COLUMN()*2-3))</f>
        <v/>
      </c>
      <c r="C213" t="str" cm="1">
        <f>IF(ISBLANK(INDEX(Array_ElectricalChargeData,ROW()-16,COLUMN()*2-3)),"",INDEX(Array_ElectricalChargeData,ROW()-16,COLUMN()*2-3))</f>
        <v/>
      </c>
      <c r="D213" t="str" cm="1">
        <f>IF(ISBLANK(INDEX(Array_ElectricalChargeData,ROW()-16,COLUMN()*2-3)),"",INDEX(Array_ElectricalChargeData,ROW()-16,COLUMN()*2-3))</f>
        <v/>
      </c>
      <c r="E213" t="str" cm="1">
        <f>IF(ISBLANK(INDEX(Array_ElectricalChargeData,ROW()-16,COLUMN()*2-3)),"",INDEX(Array_ElectricalChargeData,ROW()-16,COLUMN()*2-3))</f>
        <v/>
      </c>
      <c r="F213" t="str" cm="1">
        <f>IF(ISBLANK(INDEX(Array_ElectricalChargeData,ROW()-16,COLUMN()*2-3)),"",INDEX(Array_ElectricalChargeData,ROW()-16,COLUMN()*2-3))</f>
        <v/>
      </c>
      <c r="G213" t="str" cm="1">
        <f>IF(ISBLANK(INDEX(Array_ElectricalChargeData,ROW()-16,COLUMN()*2-3)),"",INDEX(Array_ElectricalChargeData,ROW()-16,COLUMN()*2-3))</f>
        <v/>
      </c>
      <c r="H213" t="str" cm="1">
        <f>IF(ISBLANK(INDEX(Array_ElectricalChargeData,ROW()-16,COLUMN()*2-3)),"",INDEX(Array_ElectricalChargeData,ROW()-16,COLUMN()*2-3))</f>
        <v/>
      </c>
      <c r="I213" t="str" cm="1">
        <f>IF(ISBLANK(INDEX(Array_ElectricalChargeData,ROW()-16,COLUMN()*2-3)),"",INDEX(Array_ElectricalChargeData,ROW()-16,COLUMN()*2-3))</f>
        <v/>
      </c>
      <c r="J213" t="str" cm="1">
        <f>IF(ISBLANK(INDEX(Array_ElectricalChargeData,ROW()-16,COLUMN()*2-3)),"",INDEX(Array_ElectricalChargeData,ROW()-16,COLUMN()*2-3))</f>
        <v/>
      </c>
      <c r="K213" t="str" cm="1">
        <f>IF(ISBLANK(INDEX(Array_ElectricalChargeData,ROW()-16,COLUMN()*2-3)),"",INDEX(Array_ElectricalChargeData,ROW()-16,COLUMN()*2-3))</f>
        <v/>
      </c>
      <c r="L213" t="str" cm="1">
        <f>IF(ISBLANK(INDEX(Array_ElectricalChargeData,ROW()-16,COLUMN()*2-3)),"",INDEX(Array_ElectricalChargeData,ROW()-16,COLUMN()*2-3))</f>
        <v/>
      </c>
      <c r="M213" t="str" cm="1">
        <f>IF(ISBLANK(INDEX(Array_ElectricalChargeData,ROW()-16,COLUMN()*2-3)),"",INDEX(Array_ElectricalChargeData,ROW()-16,COLUMN()*2-3))</f>
        <v/>
      </c>
      <c r="N213" t="str" cm="1">
        <f>IF(ISBLANK(INDEX(Array_ElectricalChargeData,ROW()-16,COLUMN()*2-3)),"",INDEX(Array_ElectricalChargeData,ROW()-16,COLUMN()*2-3))</f>
        <v/>
      </c>
      <c r="O213" t="str" cm="1">
        <f>IF(ISBLANK(INDEX(Array_ElectricalChargeData,ROW()-16,COLUMN()*2-3)),"",INDEX(Array_ElectricalChargeData,ROW()-16,COLUMN()*2-3))</f>
        <v/>
      </c>
      <c r="P213" t="str" cm="1">
        <f>IF(ISBLANK(INDEX(Array_ElectricalChargeData,ROW()-16,COLUMN()*2-3)),"",INDEX(Array_ElectricalChargeData,ROW()-16,COLUMN()*2-3))</f>
        <v/>
      </c>
    </row>
    <row r="214" spans="1:16" x14ac:dyDescent="0.35">
      <c r="A214" t="str">
        <f>IF('Electricity Meters'!B200="",A213,'Electricity Meters'!B200)</f>
        <v>Meter Numbers</v>
      </c>
      <c r="B214" t="str" cm="1">
        <f>IF(ISBLANK(INDEX(Array_ElectricalChargeData,ROW()-16,COLUMN()*2-3)),"",INDEX(Array_ElectricalChargeData,ROW()-16,COLUMN()*2-3))</f>
        <v/>
      </c>
      <c r="C214" t="str" cm="1">
        <f>IF(ISBLANK(INDEX(Array_ElectricalChargeData,ROW()-16,COLUMN()*2-3)),"",INDEX(Array_ElectricalChargeData,ROW()-16,COLUMN()*2-3))</f>
        <v/>
      </c>
      <c r="D214" t="str" cm="1">
        <f>IF(ISBLANK(INDEX(Array_ElectricalChargeData,ROW()-16,COLUMN()*2-3)),"",INDEX(Array_ElectricalChargeData,ROW()-16,COLUMN()*2-3))</f>
        <v/>
      </c>
      <c r="E214" t="str" cm="1">
        <f>IF(ISBLANK(INDEX(Array_ElectricalChargeData,ROW()-16,COLUMN()*2-3)),"",INDEX(Array_ElectricalChargeData,ROW()-16,COLUMN()*2-3))</f>
        <v/>
      </c>
      <c r="F214" t="str" cm="1">
        <f>IF(ISBLANK(INDEX(Array_ElectricalChargeData,ROW()-16,COLUMN()*2-3)),"",INDEX(Array_ElectricalChargeData,ROW()-16,COLUMN()*2-3))</f>
        <v/>
      </c>
      <c r="G214" t="str" cm="1">
        <f>IF(ISBLANK(INDEX(Array_ElectricalChargeData,ROW()-16,COLUMN()*2-3)),"",INDEX(Array_ElectricalChargeData,ROW()-16,COLUMN()*2-3))</f>
        <v/>
      </c>
      <c r="H214" t="str" cm="1">
        <f>IF(ISBLANK(INDEX(Array_ElectricalChargeData,ROW()-16,COLUMN()*2-3)),"",INDEX(Array_ElectricalChargeData,ROW()-16,COLUMN()*2-3))</f>
        <v/>
      </c>
      <c r="I214" t="str" cm="1">
        <f>IF(ISBLANK(INDEX(Array_ElectricalChargeData,ROW()-16,COLUMN()*2-3)),"",INDEX(Array_ElectricalChargeData,ROW()-16,COLUMN()*2-3))</f>
        <v/>
      </c>
      <c r="J214" t="str" cm="1">
        <f>IF(ISBLANK(INDEX(Array_ElectricalChargeData,ROW()-16,COLUMN()*2-3)),"",INDEX(Array_ElectricalChargeData,ROW()-16,COLUMN()*2-3))</f>
        <v/>
      </c>
      <c r="K214" t="str" cm="1">
        <f>IF(ISBLANK(INDEX(Array_ElectricalChargeData,ROW()-16,COLUMN()*2-3)),"",INDEX(Array_ElectricalChargeData,ROW()-16,COLUMN()*2-3))</f>
        <v/>
      </c>
      <c r="L214" t="str" cm="1">
        <f>IF(ISBLANK(INDEX(Array_ElectricalChargeData,ROW()-16,COLUMN()*2-3)),"",INDEX(Array_ElectricalChargeData,ROW()-16,COLUMN()*2-3))</f>
        <v/>
      </c>
      <c r="M214" t="str" cm="1">
        <f>IF(ISBLANK(INDEX(Array_ElectricalChargeData,ROW()-16,COLUMN()*2-3)),"",INDEX(Array_ElectricalChargeData,ROW()-16,COLUMN()*2-3))</f>
        <v/>
      </c>
      <c r="N214" t="str" cm="1">
        <f>IF(ISBLANK(INDEX(Array_ElectricalChargeData,ROW()-16,COLUMN()*2-3)),"",INDEX(Array_ElectricalChargeData,ROW()-16,COLUMN()*2-3))</f>
        <v/>
      </c>
      <c r="O214" t="str" cm="1">
        <f>IF(ISBLANK(INDEX(Array_ElectricalChargeData,ROW()-16,COLUMN()*2-3)),"",INDEX(Array_ElectricalChargeData,ROW()-16,COLUMN()*2-3))</f>
        <v/>
      </c>
      <c r="P214" t="str" cm="1">
        <f>IF(ISBLANK(INDEX(Array_ElectricalChargeData,ROW()-16,COLUMN()*2-3)),"",INDEX(Array_ElectricalChargeData,ROW()-16,COLUMN()*2-3))</f>
        <v/>
      </c>
    </row>
    <row r="215" spans="1:16" x14ac:dyDescent="0.35">
      <c r="A215" t="str">
        <f>IF('Electricity Meters'!B201="",A214,'Electricity Meters'!B201)</f>
        <v>Meter Numbers</v>
      </c>
      <c r="B215" t="str" cm="1">
        <f>IF(ISBLANK(INDEX(Array_ElectricalChargeData,ROW()-16,COLUMN()*2-3)),"",INDEX(Array_ElectricalChargeData,ROW()-16,COLUMN()*2-3))</f>
        <v/>
      </c>
      <c r="C215" t="str" cm="1">
        <f>IF(ISBLANK(INDEX(Array_ElectricalChargeData,ROW()-16,COLUMN()*2-3)),"",INDEX(Array_ElectricalChargeData,ROW()-16,COLUMN()*2-3))</f>
        <v/>
      </c>
      <c r="D215" t="str" cm="1">
        <f>IF(ISBLANK(INDEX(Array_ElectricalChargeData,ROW()-16,COLUMN()*2-3)),"",INDEX(Array_ElectricalChargeData,ROW()-16,COLUMN()*2-3))</f>
        <v/>
      </c>
      <c r="E215" t="str" cm="1">
        <f>IF(ISBLANK(INDEX(Array_ElectricalChargeData,ROW()-16,COLUMN()*2-3)),"",INDEX(Array_ElectricalChargeData,ROW()-16,COLUMN()*2-3))</f>
        <v/>
      </c>
      <c r="F215" t="str" cm="1">
        <f>IF(ISBLANK(INDEX(Array_ElectricalChargeData,ROW()-16,COLUMN()*2-3)),"",INDEX(Array_ElectricalChargeData,ROW()-16,COLUMN()*2-3))</f>
        <v/>
      </c>
      <c r="G215" t="str" cm="1">
        <f>IF(ISBLANK(INDEX(Array_ElectricalChargeData,ROW()-16,COLUMN()*2-3)),"",INDEX(Array_ElectricalChargeData,ROW()-16,COLUMN()*2-3))</f>
        <v/>
      </c>
      <c r="H215" t="str" cm="1">
        <f>IF(ISBLANK(INDEX(Array_ElectricalChargeData,ROW()-16,COLUMN()*2-3)),"",INDEX(Array_ElectricalChargeData,ROW()-16,COLUMN()*2-3))</f>
        <v/>
      </c>
      <c r="I215" t="str" cm="1">
        <f>IF(ISBLANK(INDEX(Array_ElectricalChargeData,ROW()-16,COLUMN()*2-3)),"",INDEX(Array_ElectricalChargeData,ROW()-16,COLUMN()*2-3))</f>
        <v/>
      </c>
      <c r="J215" t="str" cm="1">
        <f>IF(ISBLANK(INDEX(Array_ElectricalChargeData,ROW()-16,COLUMN()*2-3)),"",INDEX(Array_ElectricalChargeData,ROW()-16,COLUMN()*2-3))</f>
        <v/>
      </c>
      <c r="K215" t="str" cm="1">
        <f>IF(ISBLANK(INDEX(Array_ElectricalChargeData,ROW()-16,COLUMN()*2-3)),"",INDEX(Array_ElectricalChargeData,ROW()-16,COLUMN()*2-3))</f>
        <v/>
      </c>
      <c r="L215" t="str" cm="1">
        <f>IF(ISBLANK(INDEX(Array_ElectricalChargeData,ROW()-16,COLUMN()*2-3)),"",INDEX(Array_ElectricalChargeData,ROW()-16,COLUMN()*2-3))</f>
        <v/>
      </c>
      <c r="M215" t="str" cm="1">
        <f>IF(ISBLANK(INDEX(Array_ElectricalChargeData,ROW()-16,COLUMN()*2-3)),"",INDEX(Array_ElectricalChargeData,ROW()-16,COLUMN()*2-3))</f>
        <v/>
      </c>
      <c r="N215" t="str" cm="1">
        <f>IF(ISBLANK(INDEX(Array_ElectricalChargeData,ROW()-16,COLUMN()*2-3)),"",INDEX(Array_ElectricalChargeData,ROW()-16,COLUMN()*2-3))</f>
        <v/>
      </c>
      <c r="O215" t="str" cm="1">
        <f>IF(ISBLANK(INDEX(Array_ElectricalChargeData,ROW()-16,COLUMN()*2-3)),"",INDEX(Array_ElectricalChargeData,ROW()-16,COLUMN()*2-3))</f>
        <v/>
      </c>
      <c r="P215" t="str" cm="1">
        <f>IF(ISBLANK(INDEX(Array_ElectricalChargeData,ROW()-16,COLUMN()*2-3)),"",INDEX(Array_ElectricalChargeData,ROW()-16,COLUMN()*2-3))</f>
        <v/>
      </c>
    </row>
    <row r="216" spans="1:16" x14ac:dyDescent="0.35">
      <c r="A216" t="str">
        <f>IF('Electricity Meters'!B202="",A215,'Electricity Meters'!B202)</f>
        <v>Meter Numbers</v>
      </c>
      <c r="B216" t="str" cm="1">
        <f>IF(ISBLANK(INDEX(Array_ElectricalChargeData,ROW()-16,COLUMN()*2-3)),"",INDEX(Array_ElectricalChargeData,ROW()-16,COLUMN()*2-3))</f>
        <v/>
      </c>
      <c r="C216" t="str" cm="1">
        <f>IF(ISBLANK(INDEX(Array_ElectricalChargeData,ROW()-16,COLUMN()*2-3)),"",INDEX(Array_ElectricalChargeData,ROW()-16,COLUMN()*2-3))</f>
        <v/>
      </c>
      <c r="D216" t="str" cm="1">
        <f>IF(ISBLANK(INDEX(Array_ElectricalChargeData,ROW()-16,COLUMN()*2-3)),"",INDEX(Array_ElectricalChargeData,ROW()-16,COLUMN()*2-3))</f>
        <v/>
      </c>
      <c r="E216" t="str" cm="1">
        <f>IF(ISBLANK(INDEX(Array_ElectricalChargeData,ROW()-16,COLUMN()*2-3)),"",INDEX(Array_ElectricalChargeData,ROW()-16,COLUMN()*2-3))</f>
        <v/>
      </c>
      <c r="F216" t="str" cm="1">
        <f>IF(ISBLANK(INDEX(Array_ElectricalChargeData,ROW()-16,COLUMN()*2-3)),"",INDEX(Array_ElectricalChargeData,ROW()-16,COLUMN()*2-3))</f>
        <v/>
      </c>
      <c r="G216" t="str" cm="1">
        <f>IF(ISBLANK(INDEX(Array_ElectricalChargeData,ROW()-16,COLUMN()*2-3)),"",INDEX(Array_ElectricalChargeData,ROW()-16,COLUMN()*2-3))</f>
        <v/>
      </c>
      <c r="H216" t="str" cm="1">
        <f>IF(ISBLANK(INDEX(Array_ElectricalChargeData,ROW()-16,COLUMN()*2-3)),"",INDEX(Array_ElectricalChargeData,ROW()-16,COLUMN()*2-3))</f>
        <v/>
      </c>
      <c r="I216" t="str" cm="1">
        <f>IF(ISBLANK(INDEX(Array_ElectricalChargeData,ROW()-16,COLUMN()*2-3)),"",INDEX(Array_ElectricalChargeData,ROW()-16,COLUMN()*2-3))</f>
        <v/>
      </c>
      <c r="J216" t="str" cm="1">
        <f>IF(ISBLANK(INDEX(Array_ElectricalChargeData,ROW()-16,COLUMN()*2-3)),"",INDEX(Array_ElectricalChargeData,ROW()-16,COLUMN()*2-3))</f>
        <v/>
      </c>
      <c r="K216" t="str" cm="1">
        <f>IF(ISBLANK(INDEX(Array_ElectricalChargeData,ROW()-16,COLUMN()*2-3)),"",INDEX(Array_ElectricalChargeData,ROW()-16,COLUMN()*2-3))</f>
        <v/>
      </c>
      <c r="L216" t="str" cm="1">
        <f>IF(ISBLANK(INDEX(Array_ElectricalChargeData,ROW()-16,COLUMN()*2-3)),"",INDEX(Array_ElectricalChargeData,ROW()-16,COLUMN()*2-3))</f>
        <v/>
      </c>
      <c r="M216" t="str" cm="1">
        <f>IF(ISBLANK(INDEX(Array_ElectricalChargeData,ROW()-16,COLUMN()*2-3)),"",INDEX(Array_ElectricalChargeData,ROW()-16,COLUMN()*2-3))</f>
        <v/>
      </c>
      <c r="N216" t="str" cm="1">
        <f>IF(ISBLANK(INDEX(Array_ElectricalChargeData,ROW()-16,COLUMN()*2-3)),"",INDEX(Array_ElectricalChargeData,ROW()-16,COLUMN()*2-3))</f>
        <v/>
      </c>
      <c r="O216" t="str" cm="1">
        <f>IF(ISBLANK(INDEX(Array_ElectricalChargeData,ROW()-16,COLUMN()*2-3)),"",INDEX(Array_ElectricalChargeData,ROW()-16,COLUMN()*2-3))</f>
        <v/>
      </c>
      <c r="P216" t="str" cm="1">
        <f>IF(ISBLANK(INDEX(Array_ElectricalChargeData,ROW()-16,COLUMN()*2-3)),"",INDEX(Array_ElectricalChargeData,ROW()-16,COLUMN()*2-3))</f>
        <v/>
      </c>
    </row>
    <row r="340" spans="7:10" x14ac:dyDescent="0.35">
      <c r="G340" s="3"/>
      <c r="H340" s="3"/>
      <c r="I340" s="3"/>
      <c r="J340" s="3"/>
    </row>
    <row r="341" spans="7:10" x14ac:dyDescent="0.35">
      <c r="G341" s="3"/>
      <c r="H341" s="3"/>
      <c r="I341" s="3"/>
      <c r="J341" s="3"/>
    </row>
    <row r="342" spans="7:10" x14ac:dyDescent="0.35">
      <c r="G342" s="3"/>
      <c r="H342" s="3"/>
      <c r="I342" s="3"/>
      <c r="J342" s="3"/>
    </row>
    <row r="343" spans="7:10" x14ac:dyDescent="0.35">
      <c r="G343" s="3"/>
      <c r="H343" s="3"/>
      <c r="I343" s="3"/>
      <c r="J343" s="3"/>
    </row>
    <row r="344" spans="7:10" x14ac:dyDescent="0.35">
      <c r="G344" s="3"/>
      <c r="H344" s="3"/>
      <c r="I344" s="3"/>
      <c r="J344" s="3"/>
    </row>
    <row r="345" spans="7:10" x14ac:dyDescent="0.35">
      <c r="G345" s="3"/>
      <c r="H345" s="3"/>
      <c r="I345" s="3"/>
      <c r="J345" s="3"/>
    </row>
    <row r="346" spans="7:10" x14ac:dyDescent="0.35">
      <c r="G346" s="3"/>
      <c r="H346" s="3"/>
      <c r="I346" s="3"/>
      <c r="J346" s="3"/>
    </row>
    <row r="347" spans="7:10" x14ac:dyDescent="0.35">
      <c r="G347" s="3"/>
      <c r="H347" s="3"/>
      <c r="I347" s="3"/>
      <c r="J347" s="3"/>
    </row>
    <row r="348" spans="7:10" x14ac:dyDescent="0.35">
      <c r="G348" s="3"/>
      <c r="H348" s="3"/>
      <c r="I348" s="3"/>
      <c r="J348" s="3"/>
    </row>
    <row r="349" spans="7:10" x14ac:dyDescent="0.35">
      <c r="G349" s="3"/>
      <c r="H349" s="3"/>
      <c r="I349" s="3"/>
      <c r="J349" s="3"/>
    </row>
    <row r="350" spans="7:10" x14ac:dyDescent="0.35">
      <c r="G350" s="3"/>
      <c r="H350" s="3"/>
      <c r="I350" s="3"/>
      <c r="J350" s="3"/>
    </row>
    <row r="351" spans="7:10" x14ac:dyDescent="0.35">
      <c r="G351" s="3"/>
      <c r="H351" s="3"/>
      <c r="I351" s="3"/>
      <c r="J351" s="3"/>
    </row>
    <row r="352" spans="7:10" x14ac:dyDescent="0.35">
      <c r="G352" s="3"/>
      <c r="H352" s="3"/>
      <c r="I352" s="3"/>
      <c r="J352" s="3"/>
    </row>
    <row r="353" spans="7:10" x14ac:dyDescent="0.35">
      <c r="G353" s="3"/>
      <c r="H353" s="3"/>
      <c r="I353" s="3"/>
      <c r="J353" s="3"/>
    </row>
    <row r="354" spans="7:10" x14ac:dyDescent="0.35">
      <c r="G354" s="3"/>
      <c r="H354" s="3"/>
      <c r="I354" s="3"/>
      <c r="J354" s="3"/>
    </row>
    <row r="355" spans="7:10" x14ac:dyDescent="0.35">
      <c r="G355" s="3"/>
      <c r="H355" s="3"/>
      <c r="I355" s="3"/>
      <c r="J355" s="3"/>
    </row>
    <row r="356" spans="7:10" x14ac:dyDescent="0.35">
      <c r="G356" s="3"/>
      <c r="H356" s="3"/>
      <c r="I356" s="3"/>
      <c r="J356" s="3"/>
    </row>
    <row r="357" spans="7:10" x14ac:dyDescent="0.35">
      <c r="G357" s="3"/>
      <c r="H357" s="3"/>
      <c r="I357" s="3"/>
      <c r="J357" s="3"/>
    </row>
    <row r="358" spans="7:10" x14ac:dyDescent="0.35">
      <c r="G358" s="3"/>
      <c r="H358" s="3"/>
      <c r="I358" s="3"/>
      <c r="J358" s="3"/>
    </row>
    <row r="359" spans="7:10" x14ac:dyDescent="0.35">
      <c r="G359" s="3"/>
      <c r="H359" s="3"/>
      <c r="I359" s="3"/>
      <c r="J359" s="3"/>
    </row>
    <row r="360" spans="7:10" x14ac:dyDescent="0.35">
      <c r="G360" s="3"/>
      <c r="H360" s="3"/>
      <c r="I360" s="3"/>
      <c r="J360" s="3"/>
    </row>
    <row r="361" spans="7:10" x14ac:dyDescent="0.35">
      <c r="G361" s="3"/>
      <c r="H361" s="3"/>
      <c r="I361" s="3"/>
      <c r="J361" s="3"/>
    </row>
    <row r="362" spans="7:10" x14ac:dyDescent="0.35">
      <c r="G362" s="3"/>
      <c r="H362" s="3"/>
      <c r="I362" s="3"/>
      <c r="J362" s="3"/>
    </row>
    <row r="363" spans="7:10" x14ac:dyDescent="0.35">
      <c r="G363" s="3"/>
      <c r="H363" s="3"/>
      <c r="I363" s="3"/>
      <c r="J363" s="3"/>
    </row>
    <row r="364" spans="7:10" x14ac:dyDescent="0.35">
      <c r="G364" s="3"/>
      <c r="H364" s="3"/>
      <c r="I364" s="3"/>
      <c r="J364" s="3"/>
    </row>
    <row r="365" spans="7:10" x14ac:dyDescent="0.35">
      <c r="G365" s="3"/>
      <c r="H365" s="3"/>
      <c r="I365" s="3"/>
      <c r="J365" s="3"/>
    </row>
    <row r="366" spans="7:10" x14ac:dyDescent="0.35">
      <c r="G366" s="3"/>
      <c r="H366" s="3"/>
      <c r="I366" s="3"/>
      <c r="J366" s="3"/>
    </row>
    <row r="367" spans="7:10" x14ac:dyDescent="0.35">
      <c r="G367" s="3"/>
      <c r="H367" s="3"/>
      <c r="I367" s="3"/>
      <c r="J367" s="3"/>
    </row>
    <row r="368" spans="7:10" x14ac:dyDescent="0.35">
      <c r="G368" s="3"/>
      <c r="H368" s="3"/>
      <c r="I368" s="3"/>
      <c r="J368" s="3"/>
    </row>
    <row r="369" spans="7:10" x14ac:dyDescent="0.35">
      <c r="G369" s="3"/>
      <c r="H369" s="3"/>
      <c r="I369" s="3"/>
      <c r="J369" s="3"/>
    </row>
    <row r="370" spans="7:10" x14ac:dyDescent="0.35">
      <c r="G370" s="3"/>
      <c r="H370" s="3"/>
      <c r="I370" s="3"/>
      <c r="J370" s="3"/>
    </row>
    <row r="371" spans="7:10" x14ac:dyDescent="0.35">
      <c r="G371" s="3"/>
      <c r="H371" s="3"/>
      <c r="I371" s="3"/>
      <c r="J371" s="3"/>
    </row>
    <row r="372" spans="7:10" x14ac:dyDescent="0.35">
      <c r="G372" s="3"/>
      <c r="H372" s="3"/>
      <c r="I372" s="3"/>
      <c r="J372" s="3"/>
    </row>
    <row r="373" spans="7:10" x14ac:dyDescent="0.35">
      <c r="G373" s="3"/>
      <c r="H373" s="3"/>
      <c r="I373" s="3"/>
      <c r="J373" s="3"/>
    </row>
    <row r="374" spans="7:10" x14ac:dyDescent="0.35">
      <c r="G374" s="3"/>
      <c r="H374" s="3"/>
      <c r="I374" s="3"/>
      <c r="J374" s="3"/>
    </row>
    <row r="375" spans="7:10" x14ac:dyDescent="0.35">
      <c r="G375" s="3"/>
      <c r="H375" s="3"/>
      <c r="I375" s="3"/>
      <c r="J375" s="3"/>
    </row>
    <row r="376" spans="7:10" x14ac:dyDescent="0.35">
      <c r="G376" s="3"/>
      <c r="H376" s="3"/>
      <c r="I376" s="3"/>
      <c r="J376" s="3"/>
    </row>
    <row r="377" spans="7:10" x14ac:dyDescent="0.35">
      <c r="G377" s="3"/>
      <c r="H377" s="3"/>
      <c r="I377" s="3"/>
      <c r="J377" s="3"/>
    </row>
    <row r="378" spans="7:10" x14ac:dyDescent="0.35">
      <c r="G378" s="3"/>
      <c r="H378" s="3"/>
      <c r="I378" s="3"/>
      <c r="J378" s="3"/>
    </row>
    <row r="379" spans="7:10" x14ac:dyDescent="0.35">
      <c r="G379" s="3"/>
      <c r="H379" s="3"/>
      <c r="I379" s="3"/>
      <c r="J379" s="3"/>
    </row>
    <row r="380" spans="7:10" x14ac:dyDescent="0.35">
      <c r="G380" s="3"/>
      <c r="H380" s="3"/>
      <c r="I380" s="3"/>
      <c r="J380" s="3"/>
    </row>
    <row r="381" spans="7:10" x14ac:dyDescent="0.35">
      <c r="G381" s="3"/>
      <c r="H381" s="3"/>
      <c r="I381" s="3"/>
      <c r="J381" s="3"/>
    </row>
    <row r="382" spans="7:10" x14ac:dyDescent="0.35">
      <c r="G382" s="3"/>
      <c r="H382" s="3"/>
      <c r="I382" s="3"/>
      <c r="J382" s="3"/>
    </row>
    <row r="383" spans="7:10" x14ac:dyDescent="0.35">
      <c r="G383" s="3"/>
      <c r="H383" s="3"/>
      <c r="I383" s="3"/>
      <c r="J383" s="3"/>
    </row>
    <row r="384" spans="7:10" x14ac:dyDescent="0.35">
      <c r="G384" s="3"/>
      <c r="H384" s="3"/>
      <c r="I384" s="3"/>
      <c r="J384" s="3"/>
    </row>
    <row r="385" spans="7:10" x14ac:dyDescent="0.35">
      <c r="G385" s="3"/>
      <c r="H385" s="3"/>
      <c r="I385" s="3"/>
      <c r="J385" s="3"/>
    </row>
    <row r="386" spans="7:10" x14ac:dyDescent="0.35">
      <c r="G386" s="3"/>
      <c r="H386" s="3"/>
      <c r="I386" s="3"/>
      <c r="J386" s="3"/>
    </row>
    <row r="387" spans="7:10" x14ac:dyDescent="0.35">
      <c r="G387" s="3"/>
      <c r="H387" s="3"/>
      <c r="I387" s="3"/>
      <c r="J387" s="3"/>
    </row>
    <row r="388" spans="7:10" x14ac:dyDescent="0.35">
      <c r="G388" s="3"/>
      <c r="H388" s="3"/>
      <c r="I388" s="3"/>
      <c r="J388" s="3"/>
    </row>
    <row r="389" spans="7:10" x14ac:dyDescent="0.35">
      <c r="G389" s="3"/>
      <c r="H389" s="3"/>
      <c r="I389" s="3"/>
      <c r="J389" s="3"/>
    </row>
    <row r="390" spans="7:10" x14ac:dyDescent="0.35">
      <c r="G390" s="3"/>
      <c r="H390" s="3"/>
      <c r="I390" s="3"/>
      <c r="J390" s="3"/>
    </row>
    <row r="391" spans="7:10" x14ac:dyDescent="0.35">
      <c r="G391" s="3"/>
      <c r="H391" s="3"/>
      <c r="I391" s="3"/>
      <c r="J391" s="3"/>
    </row>
    <row r="392" spans="7:10" x14ac:dyDescent="0.35">
      <c r="G392" s="3"/>
      <c r="H392" s="3"/>
      <c r="I392" s="3"/>
      <c r="J392" s="3"/>
    </row>
    <row r="393" spans="7:10" x14ac:dyDescent="0.35">
      <c r="G393" s="3"/>
      <c r="H393" s="3"/>
      <c r="I393" s="3"/>
      <c r="J393" s="3"/>
    </row>
    <row r="394" spans="7:10" x14ac:dyDescent="0.35">
      <c r="G394" s="3"/>
      <c r="H394" s="3"/>
      <c r="I394" s="3"/>
      <c r="J394" s="3"/>
    </row>
    <row r="395" spans="7:10" x14ac:dyDescent="0.35">
      <c r="G395" s="3"/>
      <c r="H395" s="3"/>
      <c r="I395" s="3"/>
      <c r="J395" s="3"/>
    </row>
    <row r="396" spans="7:10" x14ac:dyDescent="0.35">
      <c r="G396" s="3"/>
      <c r="H396" s="3"/>
      <c r="I396" s="3"/>
      <c r="J396" s="3"/>
    </row>
    <row r="397" spans="7:10" x14ac:dyDescent="0.35">
      <c r="G397" s="3"/>
      <c r="H397" s="3"/>
      <c r="I397" s="3"/>
      <c r="J397" s="3"/>
    </row>
    <row r="398" spans="7:10" x14ac:dyDescent="0.35">
      <c r="G398" s="3"/>
      <c r="H398" s="3"/>
      <c r="I398" s="3"/>
      <c r="J398" s="3"/>
    </row>
    <row r="399" spans="7:10" x14ac:dyDescent="0.35">
      <c r="G399" s="3"/>
      <c r="H399" s="3"/>
      <c r="I399" s="3"/>
      <c r="J399" s="3"/>
    </row>
    <row r="400" spans="7:10" x14ac:dyDescent="0.35">
      <c r="G400" s="3"/>
      <c r="H400" s="3"/>
      <c r="I400" s="3"/>
      <c r="J400" s="3"/>
    </row>
    <row r="401" spans="7:10" x14ac:dyDescent="0.35">
      <c r="G401" s="3"/>
      <c r="H401" s="3"/>
      <c r="I401" s="3"/>
      <c r="J401" s="3"/>
    </row>
    <row r="402" spans="7:10" x14ac:dyDescent="0.35">
      <c r="G402" s="3"/>
      <c r="H402" s="3"/>
      <c r="I402" s="3"/>
      <c r="J402" s="3"/>
    </row>
    <row r="403" spans="7:10" x14ac:dyDescent="0.35">
      <c r="G403" s="3"/>
      <c r="H403" s="3"/>
      <c r="I403" s="3"/>
      <c r="J403" s="3"/>
    </row>
    <row r="404" spans="7:10" x14ac:dyDescent="0.35">
      <c r="G404" s="3"/>
      <c r="H404" s="3"/>
      <c r="I404" s="3"/>
      <c r="J404" s="3"/>
    </row>
    <row r="405" spans="7:10" x14ac:dyDescent="0.35">
      <c r="G405" s="3"/>
      <c r="H405" s="3"/>
      <c r="I405" s="3"/>
      <c r="J405" s="3"/>
    </row>
    <row r="406" spans="7:10" x14ac:dyDescent="0.35">
      <c r="G406" s="3"/>
      <c r="H406" s="3"/>
      <c r="I406" s="3"/>
      <c r="J406" s="3"/>
    </row>
    <row r="407" spans="7:10" x14ac:dyDescent="0.35">
      <c r="G407" s="3"/>
      <c r="H407" s="3"/>
      <c r="I407" s="3"/>
      <c r="J407" s="3"/>
    </row>
    <row r="408" spans="7:10" x14ac:dyDescent="0.35">
      <c r="G408" s="3"/>
      <c r="H408" s="3"/>
      <c r="I408" s="3"/>
      <c r="J408" s="3"/>
    </row>
    <row r="409" spans="7:10" x14ac:dyDescent="0.35">
      <c r="G409" s="3"/>
      <c r="H409" s="3"/>
      <c r="I409" s="3"/>
      <c r="J409" s="3"/>
    </row>
    <row r="410" spans="7:10" x14ac:dyDescent="0.35">
      <c r="G410" s="3"/>
      <c r="H410" s="3"/>
      <c r="I410" s="3"/>
      <c r="J410" s="3"/>
    </row>
    <row r="411" spans="7:10" x14ac:dyDescent="0.35">
      <c r="G411" s="3"/>
      <c r="H411" s="3"/>
      <c r="I411" s="3"/>
      <c r="J411" s="3"/>
    </row>
    <row r="412" spans="7:10" x14ac:dyDescent="0.35">
      <c r="G412" s="3"/>
      <c r="H412" s="3"/>
      <c r="I412" s="3"/>
      <c r="J412" s="3"/>
    </row>
    <row r="413" spans="7:10" x14ac:dyDescent="0.35">
      <c r="G413" s="3"/>
      <c r="H413" s="3"/>
      <c r="I413" s="3"/>
      <c r="J413" s="3"/>
    </row>
    <row r="414" spans="7:10" x14ac:dyDescent="0.35">
      <c r="G414" s="3"/>
      <c r="H414" s="3"/>
      <c r="I414" s="3"/>
      <c r="J414" s="3"/>
    </row>
    <row r="415" spans="7:10" x14ac:dyDescent="0.35">
      <c r="G415" s="3"/>
      <c r="H415" s="3"/>
      <c r="I415" s="3"/>
      <c r="J415" s="3"/>
    </row>
    <row r="416" spans="7:10" x14ac:dyDescent="0.35">
      <c r="G416" s="3"/>
      <c r="H416" s="3"/>
      <c r="I416" s="3"/>
      <c r="J416" s="3"/>
    </row>
    <row r="417" spans="7:10" x14ac:dyDescent="0.35">
      <c r="G417" s="3"/>
      <c r="H417" s="3"/>
      <c r="I417" s="3"/>
      <c r="J417" s="3"/>
    </row>
    <row r="418" spans="7:10" x14ac:dyDescent="0.35">
      <c r="G418" s="3"/>
      <c r="H418" s="3"/>
      <c r="I418" s="3"/>
      <c r="J418" s="3"/>
    </row>
    <row r="419" spans="7:10" x14ac:dyDescent="0.35">
      <c r="G419" s="3"/>
      <c r="H419" s="3"/>
      <c r="I419" s="3"/>
      <c r="J419" s="3"/>
    </row>
    <row r="420" spans="7:10" x14ac:dyDescent="0.35">
      <c r="G420" s="3"/>
      <c r="H420" s="3"/>
      <c r="I420" s="3"/>
      <c r="J420" s="3"/>
    </row>
    <row r="421" spans="7:10" x14ac:dyDescent="0.35">
      <c r="G421" s="3"/>
      <c r="H421" s="3"/>
      <c r="I421" s="3"/>
      <c r="J421" s="3"/>
    </row>
    <row r="422" spans="7:10" x14ac:dyDescent="0.35">
      <c r="G422" s="3"/>
      <c r="H422" s="3"/>
      <c r="I422" s="3"/>
      <c r="J422" s="3"/>
    </row>
    <row r="423" spans="7:10" x14ac:dyDescent="0.35">
      <c r="G423" s="3"/>
      <c r="H423" s="3"/>
      <c r="I423" s="3"/>
      <c r="J423" s="3"/>
    </row>
    <row r="424" spans="7:10" x14ac:dyDescent="0.35">
      <c r="G424" s="3"/>
      <c r="H424" s="3"/>
      <c r="I424" s="3"/>
      <c r="J424" s="3"/>
    </row>
    <row r="425" spans="7:10" x14ac:dyDescent="0.35">
      <c r="G425" s="3"/>
      <c r="H425" s="3"/>
      <c r="I425" s="3"/>
      <c r="J425" s="3"/>
    </row>
    <row r="426" spans="7:10" x14ac:dyDescent="0.35">
      <c r="G426" s="3"/>
      <c r="H426" s="3"/>
      <c r="I426" s="3"/>
      <c r="J426" s="3"/>
    </row>
    <row r="427" spans="7:10" x14ac:dyDescent="0.35">
      <c r="G427" s="3"/>
      <c r="H427" s="3"/>
      <c r="I427" s="3"/>
      <c r="J427" s="3"/>
    </row>
    <row r="428" spans="7:10" x14ac:dyDescent="0.35">
      <c r="G428" s="3"/>
      <c r="H428" s="3"/>
      <c r="I428" s="3"/>
      <c r="J428" s="3"/>
    </row>
    <row r="429" spans="7:10" x14ac:dyDescent="0.35">
      <c r="G429" s="3"/>
      <c r="H429" s="3"/>
      <c r="I429" s="3"/>
      <c r="J429" s="3"/>
    </row>
    <row r="430" spans="7:10" x14ac:dyDescent="0.35">
      <c r="G430" s="3"/>
      <c r="H430" s="3"/>
      <c r="I430" s="3"/>
      <c r="J430" s="3"/>
    </row>
    <row r="431" spans="7:10" x14ac:dyDescent="0.35">
      <c r="G431" s="3"/>
      <c r="H431" s="3"/>
      <c r="I431" s="3"/>
      <c r="J431" s="3"/>
    </row>
    <row r="432" spans="7:10" x14ac:dyDescent="0.35">
      <c r="G432" s="3"/>
      <c r="H432" s="3"/>
      <c r="I432" s="3"/>
      <c r="J432" s="3"/>
    </row>
    <row r="433" spans="7:10" x14ac:dyDescent="0.35">
      <c r="G433" s="3"/>
      <c r="H433" s="3"/>
      <c r="I433" s="3"/>
      <c r="J433" s="3"/>
    </row>
    <row r="434" spans="7:10" x14ac:dyDescent="0.35">
      <c r="G434" s="3"/>
      <c r="H434" s="3"/>
      <c r="I434" s="3"/>
      <c r="J434" s="3"/>
    </row>
    <row r="435" spans="7:10" x14ac:dyDescent="0.35">
      <c r="G435" s="3"/>
      <c r="H435" s="3"/>
      <c r="I435" s="3"/>
      <c r="J435" s="3"/>
    </row>
    <row r="436" spans="7:10" x14ac:dyDescent="0.35">
      <c r="G436" s="3"/>
      <c r="H436" s="3"/>
      <c r="I436" s="3"/>
      <c r="J436" s="3"/>
    </row>
    <row r="437" spans="7:10" x14ac:dyDescent="0.35">
      <c r="G437" s="3"/>
      <c r="H437" s="3"/>
      <c r="I437" s="3"/>
      <c r="J437" s="3"/>
    </row>
    <row r="438" spans="7:10" x14ac:dyDescent="0.35">
      <c r="G438" s="3"/>
      <c r="H438" s="3"/>
      <c r="I438" s="3"/>
      <c r="J438" s="3"/>
    </row>
    <row r="439" spans="7:10" x14ac:dyDescent="0.35">
      <c r="G439" s="3"/>
      <c r="H439" s="3"/>
      <c r="I439" s="3"/>
      <c r="J439" s="3"/>
    </row>
    <row r="440" spans="7:10" x14ac:dyDescent="0.35">
      <c r="G440" s="3"/>
      <c r="H440" s="3"/>
      <c r="I440" s="3"/>
      <c r="J440" s="3"/>
    </row>
    <row r="441" spans="7:10" x14ac:dyDescent="0.35">
      <c r="G441" s="3"/>
      <c r="H441" s="3"/>
      <c r="I441" s="3"/>
      <c r="J441" s="3"/>
    </row>
    <row r="442" spans="7:10" x14ac:dyDescent="0.35">
      <c r="G442" s="3"/>
      <c r="H442" s="3"/>
      <c r="I442" s="3"/>
      <c r="J442" s="3"/>
    </row>
    <row r="443" spans="7:10" x14ac:dyDescent="0.35">
      <c r="G443" s="3"/>
      <c r="H443" s="3"/>
      <c r="I443" s="3"/>
      <c r="J443" s="3"/>
    </row>
    <row r="444" spans="7:10" x14ac:dyDescent="0.35">
      <c r="G444" s="3"/>
      <c r="H444" s="3"/>
      <c r="I444" s="3"/>
      <c r="J444" s="3"/>
    </row>
    <row r="445" spans="7:10" x14ac:dyDescent="0.35">
      <c r="G445" s="3"/>
      <c r="H445" s="3"/>
      <c r="I445" s="3"/>
      <c r="J445" s="3"/>
    </row>
    <row r="446" spans="7:10" x14ac:dyDescent="0.35">
      <c r="G446" s="3"/>
      <c r="H446" s="3"/>
      <c r="I446" s="3"/>
      <c r="J446" s="3"/>
    </row>
    <row r="447" spans="7:10" x14ac:dyDescent="0.35">
      <c r="G447" s="3"/>
      <c r="H447" s="3"/>
      <c r="I447" s="3"/>
      <c r="J447" s="3"/>
    </row>
    <row r="448" spans="7:10" x14ac:dyDescent="0.35">
      <c r="G448" s="3"/>
      <c r="H448" s="3"/>
      <c r="I448" s="3"/>
      <c r="J448" s="3"/>
    </row>
    <row r="449" spans="7:10" x14ac:dyDescent="0.35">
      <c r="G449" s="3"/>
      <c r="H449" s="3"/>
      <c r="I449" s="3"/>
      <c r="J449" s="3"/>
    </row>
    <row r="450" spans="7:10" x14ac:dyDescent="0.35">
      <c r="G450" s="3"/>
      <c r="H450" s="3"/>
      <c r="I450" s="3"/>
      <c r="J450" s="3"/>
    </row>
    <row r="451" spans="7:10" x14ac:dyDescent="0.35">
      <c r="G451" s="3"/>
      <c r="H451" s="3"/>
      <c r="I451" s="3"/>
      <c r="J451" s="3"/>
    </row>
    <row r="452" spans="7:10" x14ac:dyDescent="0.35">
      <c r="G452" s="3"/>
      <c r="H452" s="3"/>
      <c r="I452" s="3"/>
      <c r="J452" s="3"/>
    </row>
    <row r="453" spans="7:10" x14ac:dyDescent="0.35">
      <c r="G453" s="3"/>
      <c r="H453" s="3"/>
      <c r="I453" s="3"/>
      <c r="J453" s="3"/>
    </row>
    <row r="454" spans="7:10" x14ac:dyDescent="0.35">
      <c r="G454" s="3"/>
      <c r="H454" s="3"/>
      <c r="I454" s="3"/>
      <c r="J454" s="3"/>
    </row>
    <row r="455" spans="7:10" x14ac:dyDescent="0.35">
      <c r="G455" s="3"/>
      <c r="H455" s="3"/>
      <c r="I455" s="3"/>
      <c r="J455" s="3"/>
    </row>
    <row r="456" spans="7:10" x14ac:dyDescent="0.35">
      <c r="G456" s="3"/>
      <c r="H456" s="3"/>
      <c r="I456" s="3"/>
      <c r="J456" s="3"/>
    </row>
    <row r="457" spans="7:10" x14ac:dyDescent="0.35">
      <c r="G457" s="3"/>
      <c r="H457" s="3"/>
      <c r="I457" s="3"/>
      <c r="J457" s="3"/>
    </row>
    <row r="458" spans="7:10" x14ac:dyDescent="0.35">
      <c r="G458" s="3"/>
      <c r="H458" s="3"/>
      <c r="I458" s="3"/>
      <c r="J458" s="3"/>
    </row>
    <row r="459" spans="7:10" x14ac:dyDescent="0.35">
      <c r="G459" s="3"/>
      <c r="H459" s="3"/>
      <c r="I459" s="3"/>
      <c r="J459" s="3"/>
    </row>
    <row r="460" spans="7:10" x14ac:dyDescent="0.35">
      <c r="G460" s="3"/>
      <c r="H460" s="3"/>
      <c r="I460" s="3"/>
      <c r="J460" s="3"/>
    </row>
    <row r="461" spans="7:10" x14ac:dyDescent="0.35">
      <c r="G461" s="3"/>
      <c r="H461" s="3"/>
      <c r="I461" s="3"/>
      <c r="J461" s="3"/>
    </row>
    <row r="462" spans="7:10" x14ac:dyDescent="0.35">
      <c r="G462" s="3"/>
      <c r="H462" s="3"/>
      <c r="I462" s="3"/>
      <c r="J462" s="3"/>
    </row>
    <row r="463" spans="7:10" x14ac:dyDescent="0.35">
      <c r="G463" s="3"/>
      <c r="H463" s="3"/>
      <c r="I463" s="3"/>
      <c r="J463" s="3"/>
    </row>
    <row r="464" spans="7:10" x14ac:dyDescent="0.35">
      <c r="G464" s="3"/>
      <c r="H464" s="3"/>
      <c r="I464" s="3"/>
      <c r="J464" s="3"/>
    </row>
    <row r="465" spans="7:10" x14ac:dyDescent="0.35">
      <c r="G465" s="3"/>
      <c r="H465" s="3"/>
      <c r="I465" s="3"/>
      <c r="J465" s="3"/>
    </row>
    <row r="466" spans="7:10" x14ac:dyDescent="0.35">
      <c r="G466" s="3"/>
      <c r="H466" s="3"/>
      <c r="I466" s="3"/>
      <c r="J466" s="3"/>
    </row>
    <row r="467" spans="7:10" x14ac:dyDescent="0.35">
      <c r="G467" s="3"/>
      <c r="H467" s="3"/>
      <c r="I467" s="3"/>
      <c r="J467" s="3"/>
    </row>
    <row r="468" spans="7:10" x14ac:dyDescent="0.35">
      <c r="G468" s="3"/>
      <c r="H468" s="3"/>
      <c r="I468" s="3"/>
      <c r="J468" s="3"/>
    </row>
    <row r="469" spans="7:10" x14ac:dyDescent="0.35">
      <c r="G469" s="3"/>
      <c r="H469" s="3"/>
      <c r="I469" s="3"/>
      <c r="J469" s="3"/>
    </row>
    <row r="470" spans="7:10" x14ac:dyDescent="0.35">
      <c r="G470" s="3"/>
      <c r="H470" s="3"/>
      <c r="I470" s="3"/>
      <c r="J470" s="3"/>
    </row>
    <row r="471" spans="7:10" x14ac:dyDescent="0.35">
      <c r="G471" s="3"/>
      <c r="H471" s="3"/>
      <c r="I471" s="3"/>
      <c r="J471" s="3"/>
    </row>
    <row r="472" spans="7:10" x14ac:dyDescent="0.35">
      <c r="G472" s="3"/>
      <c r="H472" s="3"/>
      <c r="I472" s="3"/>
      <c r="J472" s="3"/>
    </row>
    <row r="473" spans="7:10" x14ac:dyDescent="0.35">
      <c r="G473" s="3"/>
      <c r="H473" s="3"/>
      <c r="I473" s="3"/>
      <c r="J473" s="3"/>
    </row>
    <row r="474" spans="7:10" x14ac:dyDescent="0.35">
      <c r="G474" s="3"/>
      <c r="H474" s="3"/>
      <c r="I474" s="3"/>
      <c r="J474" s="3"/>
    </row>
    <row r="475" spans="7:10" x14ac:dyDescent="0.35">
      <c r="G475" s="3"/>
      <c r="H475" s="3"/>
      <c r="I475" s="3"/>
      <c r="J475" s="3"/>
    </row>
    <row r="476" spans="7:10" x14ac:dyDescent="0.35">
      <c r="G476" s="3"/>
      <c r="H476" s="3"/>
      <c r="I476" s="3"/>
      <c r="J476" s="3"/>
    </row>
    <row r="477" spans="7:10" x14ac:dyDescent="0.35">
      <c r="G477" s="3"/>
      <c r="H477" s="3"/>
      <c r="I477" s="3"/>
      <c r="J477" s="3"/>
    </row>
    <row r="478" spans="7:10" x14ac:dyDescent="0.35">
      <c r="G478" s="3"/>
      <c r="H478" s="3"/>
      <c r="I478" s="3"/>
      <c r="J478" s="3"/>
    </row>
    <row r="479" spans="7:10" x14ac:dyDescent="0.35">
      <c r="G479" s="3"/>
      <c r="H479" s="3"/>
      <c r="I479" s="3"/>
      <c r="J479" s="3"/>
    </row>
    <row r="480" spans="7:10" x14ac:dyDescent="0.35">
      <c r="G480" s="3"/>
      <c r="H480" s="3"/>
      <c r="I480" s="3"/>
      <c r="J480" s="3"/>
    </row>
    <row r="481" spans="7:10" x14ac:dyDescent="0.35">
      <c r="G481" s="3"/>
      <c r="H481" s="3"/>
      <c r="I481" s="3"/>
      <c r="J481" s="3"/>
    </row>
    <row r="482" spans="7:10" x14ac:dyDescent="0.35">
      <c r="G482" s="3"/>
      <c r="H482" s="3"/>
      <c r="I482" s="3"/>
      <c r="J482" s="3"/>
    </row>
    <row r="483" spans="7:10" x14ac:dyDescent="0.35">
      <c r="G483" s="3"/>
      <c r="H483" s="3"/>
      <c r="I483" s="3"/>
      <c r="J483" s="3"/>
    </row>
    <row r="484" spans="7:10" x14ac:dyDescent="0.35">
      <c r="G484" s="3"/>
      <c r="H484" s="3"/>
      <c r="I484" s="3"/>
      <c r="J484" s="3"/>
    </row>
    <row r="485" spans="7:10" x14ac:dyDescent="0.35">
      <c r="G485" s="3"/>
      <c r="H485" s="3"/>
      <c r="I485" s="3"/>
      <c r="J485" s="3"/>
    </row>
    <row r="486" spans="7:10" x14ac:dyDescent="0.35">
      <c r="G486" s="3"/>
      <c r="H486" s="3"/>
      <c r="I486" s="3"/>
      <c r="J486" s="3"/>
    </row>
    <row r="487" spans="7:10" x14ac:dyDescent="0.35">
      <c r="G487" s="3"/>
      <c r="H487" s="3"/>
      <c r="I487" s="3"/>
      <c r="J487" s="3"/>
    </row>
    <row r="488" spans="7:10" x14ac:dyDescent="0.35">
      <c r="G488" s="3"/>
      <c r="H488" s="3"/>
      <c r="I488" s="3"/>
      <c r="J488" s="3"/>
    </row>
    <row r="489" spans="7:10" x14ac:dyDescent="0.35">
      <c r="G489" s="3"/>
      <c r="H489" s="3"/>
      <c r="I489" s="3"/>
      <c r="J489" s="3"/>
    </row>
    <row r="490" spans="7:10" x14ac:dyDescent="0.35">
      <c r="G490" s="3"/>
      <c r="H490" s="3"/>
      <c r="I490" s="3"/>
      <c r="J490" s="3"/>
    </row>
    <row r="491" spans="7:10" x14ac:dyDescent="0.35">
      <c r="G491" s="3"/>
      <c r="H491" s="3"/>
      <c r="I491" s="3"/>
      <c r="J491" s="3"/>
    </row>
    <row r="492" spans="7:10" x14ac:dyDescent="0.35">
      <c r="G492" s="3"/>
      <c r="H492" s="3"/>
      <c r="I492" s="3"/>
      <c r="J492" s="3"/>
    </row>
    <row r="493" spans="7:10" x14ac:dyDescent="0.35">
      <c r="G493" s="3"/>
      <c r="H493" s="3"/>
      <c r="I493" s="3"/>
      <c r="J493" s="3"/>
    </row>
    <row r="494" spans="7:10" x14ac:dyDescent="0.35">
      <c r="G494" s="3"/>
      <c r="H494" s="3"/>
      <c r="I494" s="3"/>
      <c r="J494" s="3"/>
    </row>
    <row r="495" spans="7:10" x14ac:dyDescent="0.35">
      <c r="G495" s="3"/>
      <c r="H495" s="3"/>
      <c r="I495" s="3"/>
      <c r="J495" s="3"/>
    </row>
    <row r="496" spans="7:10" x14ac:dyDescent="0.35">
      <c r="G496" s="3"/>
      <c r="H496" s="3"/>
      <c r="I496" s="3"/>
      <c r="J496" s="3"/>
    </row>
    <row r="497" spans="7:10" x14ac:dyDescent="0.35">
      <c r="G497" s="3"/>
      <c r="H497" s="3"/>
      <c r="I497" s="3"/>
      <c r="J497" s="3"/>
    </row>
    <row r="498" spans="7:10" x14ac:dyDescent="0.35">
      <c r="G498" s="3"/>
      <c r="H498" s="3"/>
      <c r="I498" s="3"/>
      <c r="J498" s="3"/>
    </row>
    <row r="499" spans="7:10" x14ac:dyDescent="0.35">
      <c r="G499" s="3"/>
      <c r="H499" s="3"/>
      <c r="I499" s="3"/>
      <c r="J499" s="3"/>
    </row>
    <row r="500" spans="7:10" x14ac:dyDescent="0.35">
      <c r="G500" s="3"/>
      <c r="H500" s="3"/>
      <c r="I500" s="3"/>
      <c r="J500" s="3"/>
    </row>
    <row r="501" spans="7:10" x14ac:dyDescent="0.35">
      <c r="G501" s="3"/>
      <c r="H501" s="3"/>
      <c r="I501" s="3"/>
      <c r="J501" s="3"/>
    </row>
    <row r="502" spans="7:10" x14ac:dyDescent="0.35">
      <c r="G502" s="3"/>
      <c r="H502" s="3"/>
      <c r="I502" s="3"/>
      <c r="J502" s="3"/>
    </row>
    <row r="503" spans="7:10" x14ac:dyDescent="0.35">
      <c r="G503" s="3"/>
      <c r="H503" s="3"/>
      <c r="I503" s="3"/>
      <c r="J503" s="3"/>
    </row>
    <row r="504" spans="7:10" x14ac:dyDescent="0.35">
      <c r="G504" s="3"/>
      <c r="H504" s="3"/>
      <c r="I504" s="3"/>
      <c r="J504" s="3"/>
    </row>
    <row r="505" spans="7:10" x14ac:dyDescent="0.35">
      <c r="G505" s="3"/>
      <c r="H505" s="3"/>
      <c r="I505" s="3"/>
      <c r="J505" s="3"/>
    </row>
    <row r="506" spans="7:10" x14ac:dyDescent="0.35">
      <c r="G506" s="3"/>
      <c r="H506" s="3"/>
      <c r="I506" s="3"/>
      <c r="J506" s="3"/>
    </row>
    <row r="507" spans="7:10" x14ac:dyDescent="0.35">
      <c r="G507" s="3"/>
      <c r="H507" s="3"/>
      <c r="I507" s="3"/>
      <c r="J507" s="3"/>
    </row>
    <row r="508" spans="7:10" x14ac:dyDescent="0.35">
      <c r="G508" s="3"/>
      <c r="H508" s="3"/>
      <c r="I508" s="3"/>
      <c r="J508" s="3"/>
    </row>
    <row r="509" spans="7:10" x14ac:dyDescent="0.35">
      <c r="G509" s="3"/>
      <c r="H509" s="3"/>
      <c r="I509" s="3"/>
      <c r="J509" s="3"/>
    </row>
    <row r="510" spans="7:10" x14ac:dyDescent="0.35">
      <c r="G510" s="3"/>
      <c r="H510" s="3"/>
      <c r="I510" s="3"/>
      <c r="J510" s="3"/>
    </row>
    <row r="511" spans="7:10" x14ac:dyDescent="0.35">
      <c r="G511" s="3"/>
      <c r="H511" s="3"/>
      <c r="I511" s="3"/>
      <c r="J511" s="3"/>
    </row>
    <row r="512" spans="7:10" x14ac:dyDescent="0.35">
      <c r="G512" s="3"/>
      <c r="H512" s="3"/>
      <c r="I512" s="3"/>
      <c r="J512" s="3"/>
    </row>
    <row r="513" spans="7:10" x14ac:dyDescent="0.35">
      <c r="G513" s="3"/>
      <c r="H513" s="3"/>
      <c r="I513" s="3"/>
      <c r="J513" s="3"/>
    </row>
    <row r="514" spans="7:10" x14ac:dyDescent="0.35">
      <c r="G514" s="3"/>
      <c r="H514" s="3"/>
      <c r="I514" s="3"/>
      <c r="J514" s="3"/>
    </row>
    <row r="515" spans="7:10" x14ac:dyDescent="0.35">
      <c r="G515" s="3"/>
      <c r="H515" s="3"/>
      <c r="I515" s="3"/>
      <c r="J515" s="3"/>
    </row>
    <row r="516" spans="7:10" x14ac:dyDescent="0.35">
      <c r="G516" s="3"/>
      <c r="H516" s="3"/>
      <c r="I516" s="3"/>
      <c r="J516" s="3"/>
    </row>
    <row r="517" spans="7:10" x14ac:dyDescent="0.35">
      <c r="G517" s="3"/>
      <c r="H517" s="3"/>
      <c r="I517" s="3"/>
      <c r="J517" s="3"/>
    </row>
    <row r="518" spans="7:10" x14ac:dyDescent="0.35">
      <c r="G518" s="3"/>
      <c r="H518" s="3"/>
      <c r="I518" s="3"/>
      <c r="J518" s="3"/>
    </row>
    <row r="519" spans="7:10" x14ac:dyDescent="0.35">
      <c r="G519" s="3"/>
      <c r="H519" s="3"/>
      <c r="I519" s="3"/>
      <c r="J519" s="3"/>
    </row>
    <row r="520" spans="7:10" x14ac:dyDescent="0.35">
      <c r="G520" s="3"/>
      <c r="H520" s="3"/>
      <c r="I520" s="3"/>
      <c r="J520" s="3"/>
    </row>
    <row r="521" spans="7:10" x14ac:dyDescent="0.35">
      <c r="G521" s="3"/>
      <c r="H521" s="3"/>
      <c r="I521" s="3"/>
      <c r="J521" s="3"/>
    </row>
    <row r="522" spans="7:10" x14ac:dyDescent="0.35">
      <c r="G522" s="3"/>
      <c r="H522" s="3"/>
      <c r="I522" s="3"/>
      <c r="J522" s="3"/>
    </row>
    <row r="523" spans="7:10" x14ac:dyDescent="0.35">
      <c r="G523" s="3"/>
      <c r="H523" s="3"/>
      <c r="I523" s="3"/>
      <c r="J523" s="3"/>
    </row>
    <row r="524" spans="7:10" x14ac:dyDescent="0.35">
      <c r="G524" s="3"/>
      <c r="H524" s="3"/>
      <c r="I524" s="3"/>
      <c r="J524" s="3"/>
    </row>
    <row r="525" spans="7:10" x14ac:dyDescent="0.35">
      <c r="G525" s="3"/>
      <c r="H525" s="3"/>
      <c r="I525" s="3"/>
      <c r="J525" s="3"/>
    </row>
    <row r="526" spans="7:10" x14ac:dyDescent="0.35">
      <c r="G526" s="3"/>
      <c r="H526" s="3"/>
      <c r="I526" s="3"/>
      <c r="J526" s="3"/>
    </row>
    <row r="527" spans="7:10" x14ac:dyDescent="0.35">
      <c r="G527" s="3"/>
      <c r="H527" s="3"/>
      <c r="I527" s="3"/>
      <c r="J527" s="3"/>
    </row>
    <row r="528" spans="7:10" x14ac:dyDescent="0.35">
      <c r="G528" s="3"/>
      <c r="H528" s="3"/>
      <c r="I528" s="3"/>
      <c r="J528" s="3"/>
    </row>
    <row r="529" spans="7:10" x14ac:dyDescent="0.35">
      <c r="G529" s="3"/>
      <c r="H529" s="3"/>
      <c r="I529" s="3"/>
      <c r="J529" s="3"/>
    </row>
    <row r="530" spans="7:10" x14ac:dyDescent="0.35">
      <c r="G530" s="3"/>
      <c r="H530" s="3"/>
      <c r="I530" s="3"/>
      <c r="J530" s="3"/>
    </row>
    <row r="531" spans="7:10" x14ac:dyDescent="0.35">
      <c r="G531" s="3"/>
      <c r="H531" s="3"/>
      <c r="I531" s="3"/>
      <c r="J531" s="3"/>
    </row>
    <row r="532" spans="7:10" x14ac:dyDescent="0.35">
      <c r="G532" s="3"/>
      <c r="H532" s="3"/>
      <c r="I532" s="3"/>
      <c r="J532" s="3"/>
    </row>
    <row r="533" spans="7:10" x14ac:dyDescent="0.35">
      <c r="G533" s="3"/>
      <c r="H533" s="3"/>
      <c r="I533" s="3"/>
      <c r="J533" s="3"/>
    </row>
    <row r="534" spans="7:10" x14ac:dyDescent="0.35">
      <c r="G534" s="3"/>
      <c r="H534" s="3"/>
      <c r="I534" s="3"/>
      <c r="J534" s="3"/>
    </row>
    <row r="535" spans="7:10" x14ac:dyDescent="0.35">
      <c r="G535" s="3"/>
      <c r="H535" s="3"/>
      <c r="I535" s="3"/>
      <c r="J535" s="3"/>
    </row>
    <row r="536" spans="7:10" x14ac:dyDescent="0.35">
      <c r="G536" s="3"/>
      <c r="H536" s="3"/>
      <c r="I536" s="3"/>
      <c r="J536" s="3"/>
    </row>
    <row r="537" spans="7:10" x14ac:dyDescent="0.35">
      <c r="G537" s="3"/>
      <c r="H537" s="3"/>
      <c r="I537" s="3"/>
      <c r="J537" s="3"/>
    </row>
    <row r="538" spans="7:10" x14ac:dyDescent="0.35">
      <c r="G538" s="3"/>
      <c r="H538" s="3"/>
      <c r="I538" s="3"/>
      <c r="J538" s="3"/>
    </row>
    <row r="539" spans="7:10" x14ac:dyDescent="0.35">
      <c r="G539" s="3"/>
      <c r="H539" s="3"/>
      <c r="I539" s="3"/>
      <c r="J539" s="3"/>
    </row>
    <row r="540" spans="7:10" x14ac:dyDescent="0.35">
      <c r="G540" s="3"/>
      <c r="H540" s="3"/>
      <c r="I540" s="3"/>
      <c r="J540" s="3"/>
    </row>
    <row r="541" spans="7:10" x14ac:dyDescent="0.35">
      <c r="G541" s="3"/>
      <c r="H541" s="3"/>
      <c r="I541" s="3"/>
      <c r="J541" s="3"/>
    </row>
    <row r="542" spans="7:10" x14ac:dyDescent="0.35">
      <c r="G542" s="3"/>
      <c r="H542" s="3"/>
      <c r="I542" s="3"/>
      <c r="J542" s="3"/>
    </row>
    <row r="543" spans="7:10" x14ac:dyDescent="0.35">
      <c r="G543" s="3"/>
      <c r="H543" s="3"/>
      <c r="I543" s="3"/>
      <c r="J543" s="3"/>
    </row>
    <row r="544" spans="7:10" x14ac:dyDescent="0.35">
      <c r="G544" s="3"/>
      <c r="H544" s="3"/>
      <c r="I544" s="3"/>
      <c r="J544" s="3"/>
    </row>
    <row r="545" spans="7:10" x14ac:dyDescent="0.35">
      <c r="G545" s="3"/>
      <c r="H545" s="3"/>
      <c r="I545" s="3"/>
      <c r="J545" s="3"/>
    </row>
    <row r="546" spans="7:10" x14ac:dyDescent="0.35">
      <c r="G546" s="3"/>
      <c r="H546" s="3"/>
      <c r="I546" s="3"/>
      <c r="J546" s="3"/>
    </row>
    <row r="547" spans="7:10" x14ac:dyDescent="0.35">
      <c r="G547" s="3"/>
      <c r="H547" s="3"/>
      <c r="I547" s="3"/>
      <c r="J547" s="3"/>
    </row>
    <row r="548" spans="7:10" x14ac:dyDescent="0.35">
      <c r="G548" s="3"/>
      <c r="H548" s="3"/>
      <c r="I548" s="3"/>
      <c r="J548" s="3"/>
    </row>
    <row r="549" spans="7:10" x14ac:dyDescent="0.35">
      <c r="G549" s="3"/>
      <c r="H549" s="3"/>
      <c r="I549" s="3"/>
      <c r="J549" s="3"/>
    </row>
    <row r="550" spans="7:10" x14ac:dyDescent="0.35">
      <c r="G550" s="3"/>
      <c r="H550" s="3"/>
      <c r="I550" s="3"/>
      <c r="J550" s="3"/>
    </row>
    <row r="551" spans="7:10" x14ac:dyDescent="0.35">
      <c r="G551" s="3"/>
      <c r="H551" s="3"/>
      <c r="I551" s="3"/>
      <c r="J551" s="3"/>
    </row>
    <row r="552" spans="7:10" x14ac:dyDescent="0.35">
      <c r="G552" s="3"/>
      <c r="H552" s="3"/>
      <c r="I552" s="3"/>
      <c r="J552" s="3"/>
    </row>
    <row r="553" spans="7:10" x14ac:dyDescent="0.35">
      <c r="G553" s="3"/>
      <c r="H553" s="3"/>
      <c r="I553" s="3"/>
      <c r="J553" s="3"/>
    </row>
    <row r="554" spans="7:10" x14ac:dyDescent="0.35">
      <c r="G554" s="3"/>
      <c r="H554" s="3"/>
      <c r="I554" s="3"/>
      <c r="J554" s="3"/>
    </row>
    <row r="555" spans="7:10" x14ac:dyDescent="0.35">
      <c r="G555" s="3"/>
      <c r="H555" s="3"/>
      <c r="I555" s="3"/>
      <c r="J555" s="3"/>
    </row>
    <row r="556" spans="7:10" x14ac:dyDescent="0.35">
      <c r="G556" s="3"/>
      <c r="H556" s="3"/>
      <c r="I556" s="3"/>
      <c r="J556" s="3"/>
    </row>
    <row r="557" spans="7:10" x14ac:dyDescent="0.35">
      <c r="G557" s="3"/>
      <c r="H557" s="3"/>
      <c r="I557" s="3"/>
      <c r="J557" s="3"/>
    </row>
    <row r="558" spans="7:10" x14ac:dyDescent="0.35">
      <c r="G558" s="3"/>
      <c r="H558" s="3"/>
      <c r="I558" s="3"/>
      <c r="J558" s="3"/>
    </row>
    <row r="559" spans="7:10" x14ac:dyDescent="0.35">
      <c r="G559" s="3"/>
      <c r="H559" s="3"/>
      <c r="I559" s="3"/>
      <c r="J559" s="3"/>
    </row>
    <row r="560" spans="7:10" x14ac:dyDescent="0.35">
      <c r="G560" s="3"/>
      <c r="H560" s="3"/>
      <c r="I560" s="3"/>
      <c r="J560" s="3"/>
    </row>
    <row r="561" spans="7:10" x14ac:dyDescent="0.35">
      <c r="G561" s="3"/>
      <c r="H561" s="3"/>
      <c r="I561" s="3"/>
      <c r="J561" s="3"/>
    </row>
    <row r="562" spans="7:10" x14ac:dyDescent="0.35">
      <c r="G562" s="3"/>
      <c r="H562" s="3"/>
      <c r="I562" s="3"/>
      <c r="J562" s="3"/>
    </row>
    <row r="563" spans="7:10" x14ac:dyDescent="0.35">
      <c r="G563" s="3"/>
      <c r="H563" s="3"/>
      <c r="I563" s="3"/>
      <c r="J563" s="3"/>
    </row>
    <row r="564" spans="7:10" x14ac:dyDescent="0.35">
      <c r="G564" s="3"/>
      <c r="H564" s="3"/>
      <c r="I564" s="3"/>
      <c r="J564" s="3"/>
    </row>
    <row r="565" spans="7:10" x14ac:dyDescent="0.35">
      <c r="G565" s="3"/>
      <c r="H565" s="3"/>
      <c r="I565" s="3"/>
      <c r="J565" s="3"/>
    </row>
    <row r="566" spans="7:10" x14ac:dyDescent="0.35">
      <c r="G566" s="3"/>
      <c r="H566" s="3"/>
      <c r="I566" s="3"/>
      <c r="J566" s="3"/>
    </row>
    <row r="567" spans="7:10" x14ac:dyDescent="0.35">
      <c r="G567" s="3"/>
      <c r="H567" s="3"/>
      <c r="I567" s="3"/>
      <c r="J567" s="3"/>
    </row>
    <row r="568" spans="7:10" x14ac:dyDescent="0.35">
      <c r="G568" s="3"/>
      <c r="H568" s="3"/>
      <c r="I568" s="3"/>
      <c r="J568" s="3"/>
    </row>
    <row r="569" spans="7:10" x14ac:dyDescent="0.35">
      <c r="G569" s="3"/>
      <c r="H569" s="3"/>
      <c r="I569" s="3"/>
      <c r="J569" s="3"/>
    </row>
    <row r="570" spans="7:10" x14ac:dyDescent="0.35">
      <c r="G570" s="3"/>
      <c r="H570" s="3"/>
      <c r="I570" s="3"/>
      <c r="J570" s="3"/>
    </row>
    <row r="571" spans="7:10" x14ac:dyDescent="0.35">
      <c r="G571" s="3"/>
      <c r="H571" s="3"/>
      <c r="I571" s="3"/>
      <c r="J571" s="3"/>
    </row>
    <row r="572" spans="7:10" x14ac:dyDescent="0.35">
      <c r="G572" s="3"/>
      <c r="H572" s="3"/>
      <c r="I572" s="3"/>
      <c r="J572" s="3"/>
    </row>
    <row r="573" spans="7:10" x14ac:dyDescent="0.35">
      <c r="G573" s="3"/>
      <c r="H573" s="3"/>
      <c r="I573" s="3"/>
      <c r="J573" s="3"/>
    </row>
    <row r="574" spans="7:10" x14ac:dyDescent="0.35">
      <c r="G574" s="3"/>
      <c r="H574" s="3"/>
      <c r="I574" s="3"/>
      <c r="J574" s="3"/>
    </row>
    <row r="575" spans="7:10" x14ac:dyDescent="0.35">
      <c r="G575" s="3"/>
      <c r="H575" s="3"/>
      <c r="I575" s="3"/>
      <c r="J575" s="3"/>
    </row>
    <row r="576" spans="7:10" x14ac:dyDescent="0.35">
      <c r="G576" s="3"/>
      <c r="H576" s="3"/>
      <c r="I576" s="3"/>
      <c r="J576" s="3"/>
    </row>
    <row r="577" spans="7:10" x14ac:dyDescent="0.35">
      <c r="G577" s="3"/>
      <c r="H577" s="3"/>
      <c r="I577" s="3"/>
      <c r="J577" s="3"/>
    </row>
    <row r="578" spans="7:10" x14ac:dyDescent="0.35">
      <c r="G578" s="3"/>
      <c r="H578" s="3"/>
      <c r="I578" s="3"/>
      <c r="J578" s="3"/>
    </row>
    <row r="579" spans="7:10" x14ac:dyDescent="0.35">
      <c r="G579" s="3"/>
      <c r="H579" s="3"/>
      <c r="I579" s="3"/>
      <c r="J579" s="3"/>
    </row>
    <row r="580" spans="7:10" x14ac:dyDescent="0.35">
      <c r="G580" s="3"/>
      <c r="H580" s="3"/>
      <c r="I580" s="3"/>
      <c r="J580" s="3"/>
    </row>
    <row r="581" spans="7:10" x14ac:dyDescent="0.35">
      <c r="G581" s="3"/>
      <c r="H581" s="3"/>
      <c r="I581" s="3"/>
      <c r="J581" s="3"/>
    </row>
    <row r="582" spans="7:10" x14ac:dyDescent="0.35">
      <c r="G582" s="3"/>
      <c r="H582" s="3"/>
      <c r="I582" s="3"/>
      <c r="J582" s="3"/>
    </row>
    <row r="583" spans="7:10" x14ac:dyDescent="0.35">
      <c r="G583" s="3"/>
      <c r="H583" s="3"/>
      <c r="I583" s="3"/>
      <c r="J583" s="3"/>
    </row>
    <row r="584" spans="7:10" x14ac:dyDescent="0.35">
      <c r="G584" s="3"/>
      <c r="H584" s="3"/>
      <c r="I584" s="3"/>
      <c r="J584" s="3"/>
    </row>
    <row r="585" spans="7:10" x14ac:dyDescent="0.35">
      <c r="G585" s="3"/>
      <c r="H585" s="3"/>
      <c r="I585" s="3"/>
      <c r="J585" s="3"/>
    </row>
    <row r="586" spans="7:10" x14ac:dyDescent="0.35">
      <c r="G586" s="3"/>
      <c r="H586" s="3"/>
      <c r="I586" s="3"/>
      <c r="J586" s="3"/>
    </row>
    <row r="587" spans="7:10" x14ac:dyDescent="0.35">
      <c r="G587" s="3"/>
      <c r="H587" s="3"/>
      <c r="I587" s="3"/>
      <c r="J587" s="3"/>
    </row>
    <row r="588" spans="7:10" x14ac:dyDescent="0.35">
      <c r="G588" s="3"/>
      <c r="H588" s="3"/>
      <c r="I588" s="3"/>
      <c r="J588" s="3"/>
    </row>
    <row r="589" spans="7:10" x14ac:dyDescent="0.35">
      <c r="G589" s="3"/>
      <c r="H589" s="3"/>
      <c r="I589" s="3"/>
      <c r="J589" s="3"/>
    </row>
    <row r="590" spans="7:10" x14ac:dyDescent="0.35">
      <c r="G590" s="3"/>
      <c r="H590" s="3"/>
      <c r="I590" s="3"/>
      <c r="J590" s="3"/>
    </row>
    <row r="591" spans="7:10" x14ac:dyDescent="0.35">
      <c r="G591" s="3"/>
      <c r="H591" s="3"/>
      <c r="I591" s="3"/>
      <c r="J591" s="3"/>
    </row>
    <row r="592" spans="7:10" x14ac:dyDescent="0.35">
      <c r="G592" s="3"/>
      <c r="H592" s="3"/>
      <c r="I592" s="3"/>
      <c r="J592" s="3"/>
    </row>
    <row r="593" spans="7:10" x14ac:dyDescent="0.35">
      <c r="G593" s="3"/>
      <c r="H593" s="3"/>
      <c r="I593" s="3"/>
      <c r="J593" s="3"/>
    </row>
    <row r="594" spans="7:10" x14ac:dyDescent="0.35">
      <c r="G594" s="3"/>
      <c r="H594" s="3"/>
      <c r="I594" s="3"/>
      <c r="J594" s="3"/>
    </row>
    <row r="595" spans="7:10" x14ac:dyDescent="0.35">
      <c r="G595" s="3"/>
      <c r="H595" s="3"/>
      <c r="I595" s="3"/>
      <c r="J595" s="3"/>
    </row>
    <row r="596" spans="7:10" x14ac:dyDescent="0.35">
      <c r="G596" s="3"/>
      <c r="H596" s="3"/>
      <c r="I596" s="3"/>
      <c r="J596" s="3"/>
    </row>
    <row r="597" spans="7:10" x14ac:dyDescent="0.35">
      <c r="G597" s="3"/>
      <c r="H597" s="3"/>
      <c r="I597" s="3"/>
      <c r="J597" s="3"/>
    </row>
    <row r="598" spans="7:10" x14ac:dyDescent="0.35">
      <c r="G598" s="3"/>
      <c r="H598" s="3"/>
      <c r="I598" s="3"/>
      <c r="J598" s="3"/>
    </row>
    <row r="599" spans="7:10" x14ac:dyDescent="0.35">
      <c r="G599" s="3"/>
      <c r="H599" s="3"/>
      <c r="I599" s="3"/>
      <c r="J599" s="3"/>
    </row>
    <row r="600" spans="7:10" x14ac:dyDescent="0.35">
      <c r="G600" s="3"/>
      <c r="H600" s="3"/>
      <c r="I600" s="3"/>
      <c r="J600" s="3"/>
    </row>
    <row r="601" spans="7:10" x14ac:dyDescent="0.35">
      <c r="G601" s="3"/>
      <c r="H601" s="3"/>
      <c r="I601" s="3"/>
      <c r="J601" s="3"/>
    </row>
    <row r="602" spans="7:10" x14ac:dyDescent="0.35">
      <c r="G602" s="3"/>
      <c r="H602" s="3"/>
      <c r="I602" s="3"/>
      <c r="J602" s="3"/>
    </row>
    <row r="603" spans="7:10" x14ac:dyDescent="0.35">
      <c r="G603" s="3"/>
      <c r="H603" s="3"/>
      <c r="I603" s="3"/>
      <c r="J603" s="3"/>
    </row>
    <row r="604" spans="7:10" x14ac:dyDescent="0.35">
      <c r="G604" s="3"/>
      <c r="H604" s="3"/>
      <c r="I604" s="3"/>
      <c r="J604" s="3"/>
    </row>
    <row r="605" spans="7:10" x14ac:dyDescent="0.35">
      <c r="G605" s="3"/>
      <c r="H605" s="3"/>
      <c r="I605" s="3"/>
      <c r="J605" s="3"/>
    </row>
    <row r="606" spans="7:10" x14ac:dyDescent="0.35">
      <c r="G606" s="3"/>
      <c r="H606" s="3"/>
      <c r="I606" s="3"/>
      <c r="J606" s="3"/>
    </row>
    <row r="607" spans="7:10" x14ac:dyDescent="0.35">
      <c r="G607" s="3"/>
      <c r="H607" s="3"/>
      <c r="I607" s="3"/>
      <c r="J607" s="3"/>
    </row>
    <row r="608" spans="7:10" x14ac:dyDescent="0.35">
      <c r="G608" s="3"/>
      <c r="H608" s="3"/>
      <c r="I608" s="3"/>
      <c r="J608" s="3"/>
    </row>
    <row r="609" spans="7:10" x14ac:dyDescent="0.35">
      <c r="G609" s="3"/>
      <c r="H609" s="3"/>
      <c r="I609" s="3"/>
      <c r="J609" s="3"/>
    </row>
    <row r="610" spans="7:10" x14ac:dyDescent="0.35">
      <c r="G610" s="3"/>
      <c r="H610" s="3"/>
      <c r="I610" s="3"/>
      <c r="J610" s="3"/>
    </row>
    <row r="611" spans="7:10" x14ac:dyDescent="0.35">
      <c r="G611" s="3"/>
      <c r="H611" s="3"/>
      <c r="I611" s="3"/>
      <c r="J611" s="3"/>
    </row>
    <row r="612" spans="7:10" x14ac:dyDescent="0.35">
      <c r="G612" s="3"/>
      <c r="H612" s="3"/>
      <c r="I612" s="3"/>
      <c r="J612" s="3"/>
    </row>
    <row r="613" spans="7:10" x14ac:dyDescent="0.35">
      <c r="G613" s="3"/>
      <c r="H613" s="3"/>
      <c r="I613" s="3"/>
      <c r="J613" s="3"/>
    </row>
    <row r="614" spans="7:10" x14ac:dyDescent="0.35">
      <c r="G614" s="3"/>
      <c r="H614" s="3"/>
      <c r="I614" s="3"/>
      <c r="J614" s="3"/>
    </row>
    <row r="615" spans="7:10" x14ac:dyDescent="0.35">
      <c r="G615" s="3"/>
      <c r="H615" s="3"/>
      <c r="I615" s="3"/>
      <c r="J615" s="3"/>
    </row>
    <row r="616" spans="7:10" x14ac:dyDescent="0.35">
      <c r="G616" s="3"/>
      <c r="H616" s="3"/>
      <c r="I616" s="3"/>
      <c r="J616" s="3"/>
    </row>
    <row r="617" spans="7:10" x14ac:dyDescent="0.35">
      <c r="G617" s="3"/>
      <c r="H617" s="3"/>
      <c r="I617" s="3"/>
      <c r="J617" s="3"/>
    </row>
    <row r="618" spans="7:10" x14ac:dyDescent="0.35">
      <c r="G618" s="3"/>
      <c r="H618" s="3"/>
      <c r="I618" s="3"/>
      <c r="J618" s="3"/>
    </row>
    <row r="619" spans="7:10" x14ac:dyDescent="0.35">
      <c r="G619" s="3"/>
      <c r="H619" s="3"/>
      <c r="I619" s="3"/>
      <c r="J619" s="3"/>
    </row>
    <row r="620" spans="7:10" x14ac:dyDescent="0.35">
      <c r="G620" s="3"/>
      <c r="H620" s="3"/>
      <c r="I620" s="3"/>
      <c r="J620" s="3"/>
    </row>
    <row r="621" spans="7:10" x14ac:dyDescent="0.35">
      <c r="G621" s="3"/>
      <c r="H621" s="3"/>
      <c r="I621" s="3"/>
      <c r="J621" s="3"/>
    </row>
    <row r="622" spans="7:10" x14ac:dyDescent="0.35">
      <c r="G622" s="3"/>
      <c r="H622" s="3"/>
      <c r="I622" s="3"/>
      <c r="J622" s="3"/>
    </row>
    <row r="623" spans="7:10" x14ac:dyDescent="0.35">
      <c r="G623" s="3"/>
      <c r="H623" s="3"/>
      <c r="I623" s="3"/>
      <c r="J623" s="3"/>
    </row>
    <row r="624" spans="7:10" x14ac:dyDescent="0.35">
      <c r="G624" s="3"/>
      <c r="H624" s="3"/>
      <c r="I624" s="3"/>
      <c r="J624" s="3"/>
    </row>
    <row r="625" spans="7:10" x14ac:dyDescent="0.35">
      <c r="G625" s="3"/>
      <c r="H625" s="3"/>
      <c r="I625" s="3"/>
      <c r="J625" s="3"/>
    </row>
    <row r="626" spans="7:10" x14ac:dyDescent="0.35">
      <c r="G626" s="3"/>
      <c r="H626" s="3"/>
      <c r="I626" s="3"/>
      <c r="J626" s="3"/>
    </row>
    <row r="627" spans="7:10" x14ac:dyDescent="0.35">
      <c r="G627" s="3"/>
      <c r="H627" s="3"/>
      <c r="I627" s="3"/>
      <c r="J627" s="3"/>
    </row>
    <row r="628" spans="7:10" x14ac:dyDescent="0.35">
      <c r="G628" s="3"/>
      <c r="H628" s="3"/>
      <c r="I628" s="3"/>
      <c r="J628" s="3"/>
    </row>
    <row r="629" spans="7:10" x14ac:dyDescent="0.35">
      <c r="G629" s="3"/>
      <c r="H629" s="3"/>
      <c r="I629" s="3"/>
      <c r="J629" s="3"/>
    </row>
    <row r="630" spans="7:10" x14ac:dyDescent="0.35">
      <c r="G630" s="3"/>
      <c r="H630" s="3"/>
      <c r="I630" s="3"/>
      <c r="J630" s="3"/>
    </row>
    <row r="631" spans="7:10" x14ac:dyDescent="0.35">
      <c r="G631" s="3"/>
      <c r="H631" s="3"/>
      <c r="I631" s="3"/>
      <c r="J631" s="3"/>
    </row>
    <row r="632" spans="7:10" x14ac:dyDescent="0.35">
      <c r="G632" s="3"/>
      <c r="H632" s="3"/>
      <c r="I632" s="3"/>
      <c r="J632" s="3"/>
    </row>
    <row r="633" spans="7:10" x14ac:dyDescent="0.35">
      <c r="G633" s="3"/>
      <c r="H633" s="3"/>
      <c r="I633" s="3"/>
      <c r="J633" s="3"/>
    </row>
    <row r="634" spans="7:10" x14ac:dyDescent="0.35">
      <c r="G634" s="3"/>
      <c r="H634" s="3"/>
      <c r="I634" s="3"/>
      <c r="J634" s="3"/>
    </row>
    <row r="635" spans="7:10" x14ac:dyDescent="0.35">
      <c r="G635" s="3"/>
      <c r="H635" s="3"/>
      <c r="I635" s="3"/>
      <c r="J635" s="3"/>
    </row>
    <row r="636" spans="7:10" x14ac:dyDescent="0.35">
      <c r="G636" s="3"/>
      <c r="H636" s="3"/>
      <c r="I636" s="3"/>
      <c r="J636" s="3"/>
    </row>
    <row r="637" spans="7:10" x14ac:dyDescent="0.35">
      <c r="G637" s="3"/>
      <c r="H637" s="3"/>
      <c r="I637" s="3"/>
      <c r="J637" s="3"/>
    </row>
    <row r="638" spans="7:10" x14ac:dyDescent="0.35">
      <c r="G638" s="3"/>
      <c r="H638" s="3"/>
      <c r="I638" s="3"/>
      <c r="J638" s="3"/>
    </row>
    <row r="639" spans="7:10" x14ac:dyDescent="0.35">
      <c r="G639" s="3"/>
      <c r="H639" s="3"/>
      <c r="I639" s="3"/>
      <c r="J639" s="3"/>
    </row>
    <row r="640" spans="7:10" x14ac:dyDescent="0.35">
      <c r="G640" s="3"/>
      <c r="H640" s="3"/>
      <c r="I640" s="3"/>
      <c r="J640" s="3"/>
    </row>
    <row r="641" spans="7:10" x14ac:dyDescent="0.35">
      <c r="G641" s="3"/>
      <c r="H641" s="3"/>
      <c r="I641" s="3"/>
      <c r="J641" s="3"/>
    </row>
    <row r="642" spans="7:10" x14ac:dyDescent="0.35">
      <c r="G642" s="3"/>
      <c r="H642" s="3"/>
      <c r="I642" s="3"/>
      <c r="J642" s="3"/>
    </row>
    <row r="643" spans="7:10" x14ac:dyDescent="0.35">
      <c r="G643" s="3"/>
      <c r="H643" s="3"/>
      <c r="I643" s="3"/>
      <c r="J643" s="3"/>
    </row>
    <row r="644" spans="7:10" x14ac:dyDescent="0.35">
      <c r="G644" s="3"/>
      <c r="H644" s="3"/>
      <c r="I644" s="3"/>
      <c r="J644" s="3"/>
    </row>
    <row r="645" spans="7:10" x14ac:dyDescent="0.35">
      <c r="G645" s="3"/>
      <c r="H645" s="3"/>
      <c r="I645" s="3"/>
      <c r="J645" s="3"/>
    </row>
    <row r="646" spans="7:10" x14ac:dyDescent="0.35">
      <c r="G646" s="3"/>
      <c r="H646" s="3"/>
      <c r="I646" s="3"/>
      <c r="J646" s="3"/>
    </row>
    <row r="647" spans="7:10" x14ac:dyDescent="0.35">
      <c r="G647" s="3"/>
      <c r="H647" s="3"/>
      <c r="I647" s="3"/>
      <c r="J647" s="3"/>
    </row>
    <row r="648" spans="7:10" x14ac:dyDescent="0.35">
      <c r="G648" s="3"/>
      <c r="H648" s="3"/>
      <c r="I648" s="3"/>
      <c r="J648" s="3"/>
    </row>
    <row r="649" spans="7:10" x14ac:dyDescent="0.35">
      <c r="G649" s="3"/>
      <c r="H649" s="3"/>
      <c r="I649" s="3"/>
      <c r="J649" s="3"/>
    </row>
    <row r="650" spans="7:10" x14ac:dyDescent="0.35">
      <c r="G650" s="3"/>
      <c r="H650" s="3"/>
      <c r="I650" s="3"/>
      <c r="J650" s="3"/>
    </row>
    <row r="651" spans="7:10" x14ac:dyDescent="0.35">
      <c r="G651" s="3"/>
      <c r="H651" s="3"/>
      <c r="I651" s="3"/>
      <c r="J651" s="3"/>
    </row>
    <row r="652" spans="7:10" x14ac:dyDescent="0.35">
      <c r="G652" s="3"/>
      <c r="H652" s="3"/>
      <c r="I652" s="3"/>
      <c r="J652" s="3"/>
    </row>
    <row r="653" spans="7:10" x14ac:dyDescent="0.35">
      <c r="G653" s="3"/>
      <c r="H653" s="3"/>
      <c r="I653" s="3"/>
      <c r="J653" s="3"/>
    </row>
    <row r="654" spans="7:10" x14ac:dyDescent="0.35">
      <c r="G654" s="3"/>
      <c r="H654" s="3"/>
      <c r="I654" s="3"/>
      <c r="J654" s="3"/>
    </row>
    <row r="655" spans="7:10" x14ac:dyDescent="0.35">
      <c r="G655" s="3"/>
      <c r="H655" s="3"/>
      <c r="I655" s="3"/>
      <c r="J655" s="3"/>
    </row>
    <row r="656" spans="7:10" x14ac:dyDescent="0.35">
      <c r="G656" s="3"/>
      <c r="H656" s="3"/>
      <c r="I656" s="3"/>
      <c r="J656" s="3"/>
    </row>
    <row r="657" spans="7:10" x14ac:dyDescent="0.35">
      <c r="G657" s="3"/>
      <c r="H657" s="3"/>
      <c r="I657" s="3"/>
      <c r="J657" s="3"/>
    </row>
    <row r="658" spans="7:10" x14ac:dyDescent="0.35">
      <c r="G658" s="3"/>
      <c r="H658" s="3"/>
      <c r="I658" s="3"/>
      <c r="J658" s="3"/>
    </row>
    <row r="659" spans="7:10" x14ac:dyDescent="0.35">
      <c r="G659" s="3"/>
      <c r="H659" s="3"/>
      <c r="I659" s="3"/>
      <c r="J659" s="3"/>
    </row>
    <row r="660" spans="7:10" x14ac:dyDescent="0.35">
      <c r="G660" s="3"/>
      <c r="H660" s="3"/>
      <c r="I660" s="3"/>
      <c r="J660" s="3"/>
    </row>
    <row r="661" spans="7:10" x14ac:dyDescent="0.35">
      <c r="G661" s="3"/>
      <c r="H661" s="3"/>
      <c r="I661" s="3"/>
      <c r="J661" s="3"/>
    </row>
    <row r="662" spans="7:10" x14ac:dyDescent="0.35">
      <c r="G662" s="3"/>
      <c r="H662" s="3"/>
      <c r="I662" s="3"/>
      <c r="J662" s="3"/>
    </row>
    <row r="663" spans="7:10" x14ac:dyDescent="0.35">
      <c r="G663" s="3"/>
      <c r="H663" s="3"/>
      <c r="I663" s="3"/>
      <c r="J663" s="3"/>
    </row>
    <row r="664" spans="7:10" x14ac:dyDescent="0.35">
      <c r="G664" s="3"/>
      <c r="H664" s="3"/>
      <c r="I664" s="3"/>
      <c r="J664" s="3"/>
    </row>
    <row r="665" spans="7:10" x14ac:dyDescent="0.35">
      <c r="G665" s="3"/>
      <c r="H665" s="3"/>
      <c r="I665" s="3"/>
      <c r="J665" s="3"/>
    </row>
    <row r="666" spans="7:10" x14ac:dyDescent="0.35">
      <c r="G666" s="3"/>
      <c r="H666" s="3"/>
      <c r="I666" s="3"/>
      <c r="J666" s="3"/>
    </row>
    <row r="667" spans="7:10" x14ac:dyDescent="0.35">
      <c r="G667" s="3"/>
      <c r="H667" s="3"/>
      <c r="I667" s="3"/>
      <c r="J667" s="3"/>
    </row>
    <row r="668" spans="7:10" x14ac:dyDescent="0.35">
      <c r="G668" s="3"/>
      <c r="H668" s="3"/>
      <c r="I668" s="3"/>
      <c r="J668" s="3"/>
    </row>
    <row r="669" spans="7:10" x14ac:dyDescent="0.35">
      <c r="G669" s="3"/>
      <c r="H669" s="3"/>
      <c r="I669" s="3"/>
      <c r="J669" s="3"/>
    </row>
    <row r="670" spans="7:10" x14ac:dyDescent="0.35">
      <c r="G670" s="3"/>
      <c r="H670" s="3"/>
      <c r="I670" s="3"/>
      <c r="J670" s="3"/>
    </row>
    <row r="671" spans="7:10" x14ac:dyDescent="0.35">
      <c r="G671" s="3"/>
      <c r="H671" s="3"/>
      <c r="I671" s="3"/>
      <c r="J671" s="3"/>
    </row>
    <row r="672" spans="7:10" x14ac:dyDescent="0.35">
      <c r="G672" s="3"/>
      <c r="H672" s="3"/>
      <c r="I672" s="3"/>
      <c r="J672" s="3"/>
    </row>
    <row r="673" spans="7:10" x14ac:dyDescent="0.35">
      <c r="G673" s="3"/>
      <c r="H673" s="3"/>
      <c r="I673" s="3"/>
      <c r="J673" s="3"/>
    </row>
    <row r="674" spans="7:10" x14ac:dyDescent="0.35">
      <c r="G674" s="3"/>
      <c r="H674" s="3"/>
      <c r="I674" s="3"/>
      <c r="J674" s="3"/>
    </row>
    <row r="675" spans="7:10" x14ac:dyDescent="0.35">
      <c r="G675" s="3"/>
      <c r="H675" s="3"/>
      <c r="I675" s="3"/>
      <c r="J675" s="3"/>
    </row>
    <row r="676" spans="7:10" x14ac:dyDescent="0.35">
      <c r="G676" s="3"/>
      <c r="H676" s="3"/>
      <c r="I676" s="3"/>
      <c r="J676" s="3"/>
    </row>
    <row r="677" spans="7:10" x14ac:dyDescent="0.35">
      <c r="G677" s="3"/>
      <c r="H677" s="3"/>
      <c r="I677" s="3"/>
      <c r="J677" s="3"/>
    </row>
    <row r="678" spans="7:10" x14ac:dyDescent="0.35">
      <c r="G678" s="3"/>
      <c r="H678" s="3"/>
      <c r="I678" s="3"/>
      <c r="J678" s="3"/>
    </row>
    <row r="679" spans="7:10" x14ac:dyDescent="0.35">
      <c r="G679" s="3"/>
      <c r="H679" s="3"/>
      <c r="I679" s="3"/>
      <c r="J679" s="3"/>
    </row>
    <row r="680" spans="7:10" x14ac:dyDescent="0.35">
      <c r="G680" s="3"/>
      <c r="H680" s="3"/>
      <c r="I680" s="3"/>
      <c r="J680" s="3"/>
    </row>
    <row r="681" spans="7:10" x14ac:dyDescent="0.35">
      <c r="G681" s="3"/>
      <c r="H681" s="3"/>
      <c r="I681" s="3"/>
      <c r="J681" s="3"/>
    </row>
    <row r="682" spans="7:10" x14ac:dyDescent="0.35">
      <c r="G682" s="3"/>
      <c r="H682" s="3"/>
      <c r="I682" s="3"/>
      <c r="J682" s="3"/>
    </row>
    <row r="683" spans="7:10" x14ac:dyDescent="0.35">
      <c r="G683" s="3"/>
      <c r="H683" s="3"/>
      <c r="I683" s="3"/>
      <c r="J683" s="3"/>
    </row>
    <row r="684" spans="7:10" x14ac:dyDescent="0.35">
      <c r="G684" s="3"/>
      <c r="H684" s="3"/>
      <c r="I684" s="3"/>
      <c r="J684" s="3"/>
    </row>
    <row r="685" spans="7:10" x14ac:dyDescent="0.35">
      <c r="G685" s="3"/>
      <c r="H685" s="3"/>
      <c r="I685" s="3"/>
      <c r="J685" s="3"/>
    </row>
    <row r="686" spans="7:10" x14ac:dyDescent="0.35">
      <c r="G686" s="3"/>
      <c r="H686" s="3"/>
      <c r="I686" s="3"/>
      <c r="J686" s="3"/>
    </row>
    <row r="687" spans="7:10" x14ac:dyDescent="0.35">
      <c r="G687" s="3"/>
      <c r="H687" s="3"/>
      <c r="I687" s="3"/>
      <c r="J687" s="3"/>
    </row>
    <row r="688" spans="7:10" x14ac:dyDescent="0.35">
      <c r="G688" s="3"/>
      <c r="H688" s="3"/>
      <c r="I688" s="3"/>
      <c r="J688" s="3"/>
    </row>
    <row r="689" spans="7:10" x14ac:dyDescent="0.35">
      <c r="G689" s="3"/>
      <c r="H689" s="3"/>
      <c r="I689" s="3"/>
      <c r="J689" s="3"/>
    </row>
    <row r="690" spans="7:10" x14ac:dyDescent="0.35">
      <c r="G690" s="3"/>
      <c r="H690" s="3"/>
      <c r="I690" s="3"/>
      <c r="J690" s="3"/>
    </row>
    <row r="691" spans="7:10" x14ac:dyDescent="0.35">
      <c r="G691" s="3"/>
      <c r="H691" s="3"/>
      <c r="I691" s="3"/>
      <c r="J691" s="3"/>
    </row>
    <row r="692" spans="7:10" x14ac:dyDescent="0.35">
      <c r="G692" s="3"/>
      <c r="H692" s="3"/>
      <c r="I692" s="3"/>
      <c r="J692" s="3"/>
    </row>
    <row r="693" spans="7:10" x14ac:dyDescent="0.35">
      <c r="G693" s="3"/>
      <c r="H693" s="3"/>
      <c r="I693" s="3"/>
      <c r="J693" s="3"/>
    </row>
    <row r="694" spans="7:10" x14ac:dyDescent="0.35">
      <c r="G694" s="3"/>
      <c r="H694" s="3"/>
      <c r="I694" s="3"/>
      <c r="J694" s="3"/>
    </row>
    <row r="695" spans="7:10" x14ac:dyDescent="0.35">
      <c r="G695" s="3"/>
      <c r="H695" s="3"/>
      <c r="I695" s="3"/>
      <c r="J695" s="3"/>
    </row>
    <row r="696" spans="7:10" x14ac:dyDescent="0.35">
      <c r="G696" s="3"/>
      <c r="H696" s="3"/>
      <c r="I696" s="3"/>
      <c r="J696" s="3"/>
    </row>
    <row r="697" spans="7:10" x14ac:dyDescent="0.35">
      <c r="G697" s="3"/>
      <c r="H697" s="3"/>
      <c r="I697" s="3"/>
      <c r="J697" s="3"/>
    </row>
    <row r="698" spans="7:10" x14ac:dyDescent="0.35">
      <c r="G698" s="3"/>
      <c r="H698" s="3"/>
      <c r="I698" s="3"/>
      <c r="J698" s="3"/>
    </row>
    <row r="699" spans="7:10" x14ac:dyDescent="0.35">
      <c r="G699" s="3"/>
      <c r="H699" s="3"/>
      <c r="I699" s="3"/>
      <c r="J699" s="3"/>
    </row>
    <row r="700" spans="7:10" x14ac:dyDescent="0.35">
      <c r="G700" s="3"/>
      <c r="H700" s="3"/>
      <c r="I700" s="3"/>
      <c r="J700" s="3"/>
    </row>
    <row r="701" spans="7:10" x14ac:dyDescent="0.35">
      <c r="G701" s="3"/>
      <c r="H701" s="3"/>
      <c r="I701" s="3"/>
      <c r="J701" s="3"/>
    </row>
    <row r="702" spans="7:10" x14ac:dyDescent="0.35">
      <c r="G702" s="3"/>
      <c r="H702" s="3"/>
      <c r="I702" s="3"/>
      <c r="J702" s="3"/>
    </row>
    <row r="703" spans="7:10" x14ac:dyDescent="0.35">
      <c r="G703" s="3"/>
      <c r="H703" s="3"/>
      <c r="I703" s="3"/>
      <c r="J703" s="3"/>
    </row>
    <row r="704" spans="7:10" x14ac:dyDescent="0.35">
      <c r="G704" s="3"/>
      <c r="H704" s="3"/>
      <c r="I704" s="3"/>
      <c r="J704" s="3"/>
    </row>
    <row r="705" spans="7:10" x14ac:dyDescent="0.35">
      <c r="G705" s="3"/>
      <c r="H705" s="3"/>
      <c r="I705" s="3"/>
      <c r="J705" s="3"/>
    </row>
    <row r="706" spans="7:10" x14ac:dyDescent="0.35">
      <c r="G706" s="3"/>
      <c r="H706" s="3"/>
      <c r="I706" s="3"/>
      <c r="J706" s="3"/>
    </row>
    <row r="707" spans="7:10" x14ac:dyDescent="0.35">
      <c r="G707" s="3"/>
      <c r="H707" s="3"/>
      <c r="I707" s="3"/>
      <c r="J707" s="3"/>
    </row>
    <row r="708" spans="7:10" x14ac:dyDescent="0.35">
      <c r="G708" s="3"/>
      <c r="H708" s="3"/>
      <c r="I708" s="3"/>
      <c r="J708" s="3"/>
    </row>
    <row r="709" spans="7:10" x14ac:dyDescent="0.35">
      <c r="G709" s="3"/>
      <c r="H709" s="3"/>
      <c r="I709" s="3"/>
      <c r="J709" s="3"/>
    </row>
    <row r="710" spans="7:10" x14ac:dyDescent="0.35">
      <c r="G710" s="3"/>
      <c r="H710" s="3"/>
      <c r="I710" s="3"/>
      <c r="J710" s="3"/>
    </row>
    <row r="711" spans="7:10" x14ac:dyDescent="0.35">
      <c r="G711" s="3"/>
      <c r="H711" s="3"/>
      <c r="I711" s="3"/>
      <c r="J711" s="3"/>
    </row>
    <row r="712" spans="7:10" x14ac:dyDescent="0.35">
      <c r="G712" s="3"/>
      <c r="H712" s="3"/>
      <c r="I712" s="3"/>
      <c r="J712" s="3"/>
    </row>
    <row r="713" spans="7:10" x14ac:dyDescent="0.35">
      <c r="G713" s="3"/>
      <c r="H713" s="3"/>
      <c r="I713" s="3"/>
      <c r="J713" s="3"/>
    </row>
    <row r="714" spans="7:10" x14ac:dyDescent="0.35">
      <c r="G714" s="3"/>
      <c r="H714" s="3"/>
      <c r="I714" s="3"/>
      <c r="J714" s="3"/>
    </row>
    <row r="715" spans="7:10" x14ac:dyDescent="0.35">
      <c r="G715" s="3"/>
      <c r="H715" s="3"/>
      <c r="I715" s="3"/>
      <c r="J715" s="3"/>
    </row>
    <row r="716" spans="7:10" x14ac:dyDescent="0.35">
      <c r="G716" s="3"/>
      <c r="H716" s="3"/>
      <c r="I716" s="3"/>
      <c r="J716" s="3"/>
    </row>
    <row r="717" spans="7:10" x14ac:dyDescent="0.35">
      <c r="G717" s="3"/>
      <c r="H717" s="3"/>
      <c r="I717" s="3"/>
      <c r="J717" s="3"/>
    </row>
    <row r="718" spans="7:10" x14ac:dyDescent="0.35">
      <c r="G718" s="3"/>
      <c r="H718" s="3"/>
      <c r="I718" s="3"/>
      <c r="J718" s="3"/>
    </row>
    <row r="719" spans="7:10" x14ac:dyDescent="0.35">
      <c r="G719" s="3"/>
      <c r="H719" s="3"/>
      <c r="I719" s="3"/>
      <c r="J719" s="3"/>
    </row>
    <row r="720" spans="7:10" x14ac:dyDescent="0.35">
      <c r="G720" s="3"/>
      <c r="H720" s="3"/>
      <c r="I720" s="3"/>
      <c r="J720" s="3"/>
    </row>
    <row r="721" spans="7:10" x14ac:dyDescent="0.35">
      <c r="G721" s="3"/>
      <c r="H721" s="3"/>
      <c r="I721" s="3"/>
      <c r="J721" s="3"/>
    </row>
    <row r="722" spans="7:10" x14ac:dyDescent="0.35">
      <c r="G722" s="3"/>
      <c r="H722" s="3"/>
      <c r="I722" s="3"/>
      <c r="J722" s="3"/>
    </row>
    <row r="723" spans="7:10" x14ac:dyDescent="0.35">
      <c r="G723" s="3"/>
      <c r="H723" s="3"/>
      <c r="I723" s="3"/>
      <c r="J723" s="3"/>
    </row>
    <row r="724" spans="7:10" x14ac:dyDescent="0.35">
      <c r="G724" s="3"/>
      <c r="H724" s="3"/>
      <c r="I724" s="3"/>
      <c r="J724" s="3"/>
    </row>
    <row r="725" spans="7:10" x14ac:dyDescent="0.35">
      <c r="G725" s="3"/>
      <c r="H725" s="3"/>
      <c r="I725" s="3"/>
      <c r="J725" s="3"/>
    </row>
    <row r="726" spans="7:10" x14ac:dyDescent="0.35">
      <c r="G726" s="3"/>
      <c r="H726" s="3"/>
      <c r="I726" s="3"/>
      <c r="J726" s="3"/>
    </row>
    <row r="727" spans="7:10" x14ac:dyDescent="0.35">
      <c r="G727" s="3"/>
      <c r="H727" s="3"/>
      <c r="I727" s="3"/>
      <c r="J727" s="3"/>
    </row>
    <row r="728" spans="7:10" x14ac:dyDescent="0.35">
      <c r="G728" s="3"/>
      <c r="H728" s="3"/>
      <c r="I728" s="3"/>
      <c r="J728" s="3"/>
    </row>
    <row r="729" spans="7:10" x14ac:dyDescent="0.35">
      <c r="G729" s="3"/>
      <c r="H729" s="3"/>
      <c r="I729" s="3"/>
      <c r="J729" s="3"/>
    </row>
    <row r="730" spans="7:10" x14ac:dyDescent="0.35">
      <c r="G730" s="3"/>
      <c r="H730" s="3"/>
      <c r="I730" s="3"/>
      <c r="J730" s="3"/>
    </row>
    <row r="731" spans="7:10" x14ac:dyDescent="0.35">
      <c r="G731" s="3"/>
      <c r="H731" s="3"/>
      <c r="I731" s="3"/>
      <c r="J731" s="3"/>
    </row>
    <row r="732" spans="7:10" x14ac:dyDescent="0.35">
      <c r="G732" s="3"/>
      <c r="H732" s="3"/>
      <c r="I732" s="3"/>
      <c r="J732" s="3"/>
    </row>
    <row r="733" spans="7:10" x14ac:dyDescent="0.35">
      <c r="G733" s="3"/>
      <c r="H733" s="3"/>
      <c r="I733" s="3"/>
      <c r="J733" s="3"/>
    </row>
    <row r="734" spans="7:10" x14ac:dyDescent="0.35">
      <c r="G734" s="3"/>
      <c r="H734" s="3"/>
      <c r="I734" s="3"/>
      <c r="J734" s="3"/>
    </row>
    <row r="735" spans="7:10" x14ac:dyDescent="0.35">
      <c r="G735" s="3"/>
      <c r="H735" s="3"/>
      <c r="I735" s="3"/>
      <c r="J735" s="3"/>
    </row>
    <row r="736" spans="7:10" x14ac:dyDescent="0.35">
      <c r="G736" s="3"/>
      <c r="H736" s="3"/>
      <c r="I736" s="3"/>
      <c r="J736" s="3"/>
    </row>
    <row r="737" spans="7:10" x14ac:dyDescent="0.35">
      <c r="G737" s="3"/>
      <c r="H737" s="3"/>
      <c r="I737" s="3"/>
      <c r="J737" s="3"/>
    </row>
    <row r="738" spans="7:10" x14ac:dyDescent="0.35">
      <c r="G738" s="3"/>
      <c r="H738" s="3"/>
      <c r="I738" s="3"/>
      <c r="J738" s="3"/>
    </row>
    <row r="739" spans="7:10" x14ac:dyDescent="0.35">
      <c r="G739" s="3"/>
      <c r="H739" s="3"/>
      <c r="I739" s="3"/>
      <c r="J739" s="3"/>
    </row>
    <row r="740" spans="7:10" x14ac:dyDescent="0.35">
      <c r="G740" s="3"/>
      <c r="H740" s="3"/>
      <c r="I740" s="3"/>
      <c r="J740" s="3"/>
    </row>
    <row r="741" spans="7:10" x14ac:dyDescent="0.35">
      <c r="G741" s="3"/>
      <c r="H741" s="3"/>
      <c r="I741" s="3"/>
      <c r="J741" s="3"/>
    </row>
    <row r="742" spans="7:10" x14ac:dyDescent="0.35">
      <c r="G742" s="3"/>
      <c r="H742" s="3"/>
      <c r="I742" s="3"/>
      <c r="J742" s="3"/>
    </row>
    <row r="743" spans="7:10" x14ac:dyDescent="0.35">
      <c r="G743" s="3"/>
      <c r="H743" s="3"/>
      <c r="I743" s="3"/>
      <c r="J743" s="3"/>
    </row>
    <row r="744" spans="7:10" x14ac:dyDescent="0.35">
      <c r="G744" s="3"/>
      <c r="H744" s="3"/>
      <c r="I744" s="3"/>
      <c r="J744" s="3"/>
    </row>
    <row r="745" spans="7:10" x14ac:dyDescent="0.35">
      <c r="G745" s="3"/>
      <c r="H745" s="3"/>
      <c r="I745" s="3"/>
      <c r="J745" s="3"/>
    </row>
    <row r="746" spans="7:10" x14ac:dyDescent="0.35">
      <c r="G746" s="3"/>
      <c r="H746" s="3"/>
      <c r="I746" s="3"/>
      <c r="J746" s="3"/>
    </row>
    <row r="747" spans="7:10" x14ac:dyDescent="0.35">
      <c r="G747" s="3"/>
      <c r="H747" s="3"/>
      <c r="I747" s="3"/>
      <c r="J747" s="3"/>
    </row>
    <row r="748" spans="7:10" x14ac:dyDescent="0.35">
      <c r="G748" s="3"/>
      <c r="H748" s="3"/>
      <c r="I748" s="3"/>
      <c r="J748" s="3"/>
    </row>
    <row r="749" spans="7:10" x14ac:dyDescent="0.35">
      <c r="G749" s="3"/>
      <c r="H749" s="3"/>
      <c r="I749" s="3"/>
      <c r="J749" s="3"/>
    </row>
    <row r="750" spans="7:10" x14ac:dyDescent="0.35">
      <c r="G750" s="3"/>
      <c r="H750" s="3"/>
      <c r="I750" s="3"/>
      <c r="J750" s="3"/>
    </row>
    <row r="751" spans="7:10" x14ac:dyDescent="0.35">
      <c r="G751" s="3"/>
      <c r="H751" s="3"/>
      <c r="I751" s="3"/>
      <c r="J751" s="3"/>
    </row>
    <row r="752" spans="7:10" x14ac:dyDescent="0.35">
      <c r="G752" s="3"/>
      <c r="H752" s="3"/>
      <c r="I752" s="3"/>
      <c r="J752" s="3"/>
    </row>
    <row r="753" spans="7:10" x14ac:dyDescent="0.35">
      <c r="G753" s="3"/>
      <c r="H753" s="3"/>
      <c r="I753" s="3"/>
      <c r="J753" s="3"/>
    </row>
    <row r="754" spans="7:10" x14ac:dyDescent="0.35">
      <c r="G754" s="3"/>
      <c r="H754" s="3"/>
      <c r="I754" s="3"/>
      <c r="J754" s="3"/>
    </row>
    <row r="755" spans="7:10" x14ac:dyDescent="0.35">
      <c r="G755" s="3"/>
      <c r="H755" s="3"/>
      <c r="I755" s="3"/>
      <c r="J755" s="3"/>
    </row>
    <row r="756" spans="7:10" x14ac:dyDescent="0.35">
      <c r="G756" s="3"/>
      <c r="H756" s="3"/>
      <c r="I756" s="3"/>
      <c r="J756" s="3"/>
    </row>
    <row r="757" spans="7:10" x14ac:dyDescent="0.35">
      <c r="G757" s="3"/>
      <c r="H757" s="3"/>
      <c r="I757" s="3"/>
      <c r="J757" s="3"/>
    </row>
    <row r="758" spans="7:10" x14ac:dyDescent="0.35">
      <c r="G758" s="3"/>
      <c r="H758" s="3"/>
      <c r="I758" s="3"/>
      <c r="J758" s="3"/>
    </row>
    <row r="759" spans="7:10" x14ac:dyDescent="0.35">
      <c r="G759" s="3"/>
      <c r="H759" s="3"/>
      <c r="I759" s="3"/>
      <c r="J759" s="3"/>
    </row>
    <row r="760" spans="7:10" x14ac:dyDescent="0.35">
      <c r="G760" s="3"/>
      <c r="H760" s="3"/>
      <c r="I760" s="3"/>
      <c r="J760" s="3"/>
    </row>
    <row r="761" spans="7:10" x14ac:dyDescent="0.35">
      <c r="G761" s="3"/>
      <c r="H761" s="3"/>
      <c r="I761" s="3"/>
      <c r="J761" s="3"/>
    </row>
    <row r="762" spans="7:10" x14ac:dyDescent="0.35">
      <c r="G762" s="3"/>
      <c r="H762" s="3"/>
      <c r="I762" s="3"/>
      <c r="J762" s="3"/>
    </row>
    <row r="763" spans="7:10" x14ac:dyDescent="0.35">
      <c r="G763" s="3"/>
      <c r="H763" s="3"/>
      <c r="I763" s="3"/>
      <c r="J763" s="3"/>
    </row>
    <row r="764" spans="7:10" x14ac:dyDescent="0.35">
      <c r="G764" s="3"/>
      <c r="H764" s="3"/>
      <c r="I764" s="3"/>
      <c r="J764" s="3"/>
    </row>
    <row r="765" spans="7:10" x14ac:dyDescent="0.35">
      <c r="G765" s="3"/>
      <c r="H765" s="3"/>
      <c r="I765" s="3"/>
      <c r="J765" s="3"/>
    </row>
    <row r="766" spans="7:10" x14ac:dyDescent="0.35">
      <c r="G766" s="3"/>
      <c r="H766" s="3"/>
      <c r="I766" s="3"/>
      <c r="J766" s="3"/>
    </row>
    <row r="767" spans="7:10" x14ac:dyDescent="0.35">
      <c r="G767" s="3"/>
      <c r="H767" s="3"/>
      <c r="I767" s="3"/>
      <c r="J767" s="3"/>
    </row>
    <row r="768" spans="7:10" x14ac:dyDescent="0.35">
      <c r="G768" s="3"/>
      <c r="H768" s="3"/>
      <c r="I768" s="3"/>
      <c r="J768" s="3"/>
    </row>
    <row r="769" spans="7:10" x14ac:dyDescent="0.35">
      <c r="G769" s="3"/>
      <c r="H769" s="3"/>
      <c r="I769" s="3"/>
      <c r="J769" s="3"/>
    </row>
    <row r="770" spans="7:10" x14ac:dyDescent="0.35">
      <c r="G770" s="3"/>
      <c r="H770" s="3"/>
      <c r="I770" s="3"/>
      <c r="J770" s="3"/>
    </row>
    <row r="771" spans="7:10" x14ac:dyDescent="0.35">
      <c r="G771" s="3"/>
      <c r="H771" s="3"/>
      <c r="I771" s="3"/>
      <c r="J771" s="3"/>
    </row>
    <row r="772" spans="7:10" x14ac:dyDescent="0.35">
      <c r="G772" s="3"/>
      <c r="H772" s="3"/>
      <c r="I772" s="3"/>
      <c r="J772" s="3"/>
    </row>
    <row r="773" spans="7:10" x14ac:dyDescent="0.35">
      <c r="G773" s="3"/>
      <c r="H773" s="3"/>
      <c r="I773" s="3"/>
      <c r="J773" s="3"/>
    </row>
    <row r="774" spans="7:10" x14ac:dyDescent="0.35">
      <c r="G774" s="3"/>
      <c r="H774" s="3"/>
      <c r="I774" s="3"/>
      <c r="J774" s="3"/>
    </row>
    <row r="775" spans="7:10" x14ac:dyDescent="0.35">
      <c r="G775" s="3"/>
      <c r="H775" s="3"/>
      <c r="I775" s="3"/>
      <c r="J775" s="3"/>
    </row>
    <row r="776" spans="7:10" x14ac:dyDescent="0.35">
      <c r="G776" s="3"/>
      <c r="H776" s="3"/>
      <c r="I776" s="3"/>
      <c r="J776" s="3"/>
    </row>
    <row r="777" spans="7:10" x14ac:dyDescent="0.35">
      <c r="G777" s="3"/>
      <c r="H777" s="3"/>
      <c r="I777" s="3"/>
      <c r="J777" s="3"/>
    </row>
    <row r="778" spans="7:10" x14ac:dyDescent="0.35">
      <c r="G778" s="3"/>
      <c r="H778" s="3"/>
      <c r="I778" s="3"/>
      <c r="J778" s="3"/>
    </row>
    <row r="779" spans="7:10" x14ac:dyDescent="0.35">
      <c r="G779" s="3"/>
      <c r="H779" s="3"/>
      <c r="I779" s="3"/>
      <c r="J779" s="3"/>
    </row>
    <row r="780" spans="7:10" x14ac:dyDescent="0.35">
      <c r="G780" s="3"/>
      <c r="H780" s="3"/>
      <c r="I780" s="3"/>
      <c r="J780" s="3"/>
    </row>
    <row r="781" spans="7:10" x14ac:dyDescent="0.35">
      <c r="G781" s="3"/>
      <c r="H781" s="3"/>
      <c r="I781" s="3"/>
      <c r="J781" s="3"/>
    </row>
    <row r="782" spans="7:10" x14ac:dyDescent="0.35">
      <c r="G782" s="3"/>
      <c r="H782" s="3"/>
      <c r="I782" s="3"/>
      <c r="J782" s="3"/>
    </row>
    <row r="783" spans="7:10" x14ac:dyDescent="0.35">
      <c r="G783" s="3"/>
      <c r="H783" s="3"/>
      <c r="I783" s="3"/>
      <c r="J783" s="3"/>
    </row>
    <row r="784" spans="7:10" x14ac:dyDescent="0.35">
      <c r="G784" s="3"/>
      <c r="H784" s="3"/>
      <c r="I784" s="3"/>
      <c r="J784" s="3"/>
    </row>
    <row r="785" spans="7:10" x14ac:dyDescent="0.35">
      <c r="G785" s="3"/>
      <c r="H785" s="3"/>
      <c r="I785" s="3"/>
      <c r="J785" s="3"/>
    </row>
    <row r="786" spans="7:10" x14ac:dyDescent="0.35">
      <c r="G786" s="3"/>
      <c r="H786" s="3"/>
      <c r="I786" s="3"/>
      <c r="J786" s="3"/>
    </row>
    <row r="787" spans="7:10" x14ac:dyDescent="0.35">
      <c r="G787" s="3"/>
      <c r="H787" s="3"/>
      <c r="I787" s="3"/>
      <c r="J787" s="3"/>
    </row>
    <row r="788" spans="7:10" x14ac:dyDescent="0.35">
      <c r="G788" s="3"/>
      <c r="H788" s="3"/>
      <c r="I788" s="3"/>
      <c r="J788" s="3"/>
    </row>
    <row r="789" spans="7:10" x14ac:dyDescent="0.35">
      <c r="G789" s="3"/>
      <c r="H789" s="3"/>
      <c r="I789" s="3"/>
      <c r="J789" s="3"/>
    </row>
    <row r="790" spans="7:10" x14ac:dyDescent="0.35">
      <c r="G790" s="3"/>
      <c r="H790" s="3"/>
      <c r="I790" s="3"/>
      <c r="J790" s="3"/>
    </row>
    <row r="791" spans="7:10" x14ac:dyDescent="0.35">
      <c r="G791" s="3"/>
      <c r="H791" s="3"/>
      <c r="I791" s="3"/>
      <c r="J791" s="3"/>
    </row>
    <row r="792" spans="7:10" x14ac:dyDescent="0.35">
      <c r="G792" s="3"/>
      <c r="H792" s="3"/>
      <c r="I792" s="3"/>
      <c r="J792" s="3"/>
    </row>
    <row r="793" spans="7:10" x14ac:dyDescent="0.35">
      <c r="G793" s="3"/>
      <c r="H793" s="3"/>
      <c r="I793" s="3"/>
      <c r="J793" s="3"/>
    </row>
    <row r="794" spans="7:10" x14ac:dyDescent="0.35">
      <c r="G794" s="3"/>
      <c r="H794" s="3"/>
      <c r="I794" s="3"/>
      <c r="J794" s="3"/>
    </row>
    <row r="795" spans="7:10" x14ac:dyDescent="0.35">
      <c r="G795" s="3"/>
      <c r="H795" s="3"/>
      <c r="I795" s="3"/>
      <c r="J795" s="3"/>
    </row>
    <row r="796" spans="7:10" x14ac:dyDescent="0.35">
      <c r="G796" s="3"/>
      <c r="H796" s="3"/>
      <c r="I796" s="3"/>
      <c r="J796" s="3"/>
    </row>
    <row r="797" spans="7:10" x14ac:dyDescent="0.35">
      <c r="G797" s="3"/>
      <c r="H797" s="3"/>
      <c r="I797" s="3"/>
      <c r="J797" s="3"/>
    </row>
    <row r="798" spans="7:10" x14ac:dyDescent="0.35">
      <c r="G798" s="3"/>
      <c r="H798" s="3"/>
      <c r="I798" s="3"/>
      <c r="J798" s="3"/>
    </row>
    <row r="799" spans="7:10" x14ac:dyDescent="0.35">
      <c r="G799" s="3"/>
      <c r="H799" s="3"/>
      <c r="I799" s="3"/>
      <c r="J799" s="3"/>
    </row>
    <row r="800" spans="7:10" x14ac:dyDescent="0.35">
      <c r="G800" s="3"/>
      <c r="H800" s="3"/>
      <c r="I800" s="3"/>
      <c r="J800" s="3"/>
    </row>
    <row r="801" spans="7:10" x14ac:dyDescent="0.35">
      <c r="G801" s="3"/>
      <c r="H801" s="3"/>
      <c r="I801" s="3"/>
      <c r="J801" s="3"/>
    </row>
    <row r="802" spans="7:10" x14ac:dyDescent="0.35">
      <c r="G802" s="3"/>
      <c r="H802" s="3"/>
      <c r="I802" s="3"/>
      <c r="J802" s="3"/>
    </row>
    <row r="803" spans="7:10" x14ac:dyDescent="0.35">
      <c r="G803" s="3"/>
      <c r="H803" s="3"/>
      <c r="I803" s="3"/>
      <c r="J803" s="3"/>
    </row>
    <row r="804" spans="7:10" x14ac:dyDescent="0.35">
      <c r="G804" s="3"/>
      <c r="H804" s="3"/>
      <c r="I804" s="3"/>
      <c r="J804" s="3"/>
    </row>
    <row r="805" spans="7:10" x14ac:dyDescent="0.35">
      <c r="G805" s="3"/>
      <c r="H805" s="3"/>
      <c r="I805" s="3"/>
      <c r="J805" s="3"/>
    </row>
    <row r="806" spans="7:10" x14ac:dyDescent="0.35">
      <c r="G806" s="3"/>
      <c r="H806" s="3"/>
      <c r="I806" s="3"/>
      <c r="J806" s="3"/>
    </row>
    <row r="807" spans="7:10" x14ac:dyDescent="0.35">
      <c r="G807" s="3"/>
      <c r="H807" s="3"/>
      <c r="I807" s="3"/>
      <c r="J807" s="3"/>
    </row>
    <row r="808" spans="7:10" x14ac:dyDescent="0.35">
      <c r="G808" s="3"/>
      <c r="H808" s="3"/>
      <c r="I808" s="3"/>
      <c r="J808" s="3"/>
    </row>
    <row r="809" spans="7:10" x14ac:dyDescent="0.35">
      <c r="G809" s="3"/>
      <c r="H809" s="3"/>
      <c r="I809" s="3"/>
      <c r="J809" s="3"/>
    </row>
    <row r="810" spans="7:10" x14ac:dyDescent="0.35">
      <c r="G810" s="3"/>
      <c r="H810" s="3"/>
      <c r="I810" s="3"/>
      <c r="J810" s="3"/>
    </row>
    <row r="811" spans="7:10" x14ac:dyDescent="0.35">
      <c r="G811" s="3"/>
      <c r="H811" s="3"/>
      <c r="I811" s="3"/>
      <c r="J811" s="3"/>
    </row>
    <row r="812" spans="7:10" x14ac:dyDescent="0.35">
      <c r="G812" s="3"/>
      <c r="H812" s="3"/>
      <c r="I812" s="3"/>
      <c r="J812" s="3"/>
    </row>
    <row r="813" spans="7:10" x14ac:dyDescent="0.35">
      <c r="G813" s="3"/>
      <c r="H813" s="3"/>
      <c r="I813" s="3"/>
      <c r="J813" s="3"/>
    </row>
    <row r="814" spans="7:10" x14ac:dyDescent="0.35">
      <c r="G814" s="3"/>
      <c r="H814" s="3"/>
      <c r="I814" s="3"/>
      <c r="J814" s="3"/>
    </row>
    <row r="815" spans="7:10" x14ac:dyDescent="0.35">
      <c r="G815" s="3"/>
      <c r="H815" s="3"/>
      <c r="I815" s="3"/>
      <c r="J815" s="3"/>
    </row>
    <row r="816" spans="7:10" x14ac:dyDescent="0.35">
      <c r="G816" s="3"/>
      <c r="H816" s="3"/>
      <c r="I816" s="3"/>
      <c r="J816" s="3"/>
    </row>
    <row r="817" spans="7:10" x14ac:dyDescent="0.35">
      <c r="G817" s="3"/>
      <c r="H817" s="3"/>
      <c r="I817" s="3"/>
      <c r="J817" s="3"/>
    </row>
    <row r="818" spans="7:10" x14ac:dyDescent="0.35">
      <c r="G818" s="3"/>
      <c r="H818" s="3"/>
      <c r="I818" s="3"/>
      <c r="J818" s="3"/>
    </row>
    <row r="819" spans="7:10" x14ac:dyDescent="0.35">
      <c r="G819" s="3"/>
      <c r="H819" s="3"/>
      <c r="I819" s="3"/>
      <c r="J819" s="3"/>
    </row>
    <row r="820" spans="7:10" x14ac:dyDescent="0.35">
      <c r="G820" s="3"/>
      <c r="H820" s="3"/>
      <c r="I820" s="3"/>
      <c r="J820" s="3"/>
    </row>
    <row r="821" spans="7:10" x14ac:dyDescent="0.35">
      <c r="G821" s="3"/>
      <c r="H821" s="3"/>
      <c r="I821" s="3"/>
      <c r="J821" s="3"/>
    </row>
    <row r="822" spans="7:10" x14ac:dyDescent="0.35">
      <c r="G822" s="3"/>
      <c r="H822" s="3"/>
      <c r="I822" s="3"/>
      <c r="J822" s="3"/>
    </row>
    <row r="823" spans="7:10" x14ac:dyDescent="0.35">
      <c r="G823" s="3"/>
      <c r="H823" s="3"/>
      <c r="I823" s="3"/>
      <c r="J823" s="3"/>
    </row>
    <row r="824" spans="7:10" x14ac:dyDescent="0.35">
      <c r="G824" s="3"/>
      <c r="H824" s="3"/>
      <c r="I824" s="3"/>
      <c r="J824" s="3"/>
    </row>
    <row r="825" spans="7:10" x14ac:dyDescent="0.35">
      <c r="G825" s="3"/>
      <c r="H825" s="3"/>
      <c r="I825" s="3"/>
      <c r="J825" s="3"/>
    </row>
    <row r="826" spans="7:10" x14ac:dyDescent="0.35">
      <c r="G826" s="3"/>
      <c r="H826" s="3"/>
      <c r="I826" s="3"/>
      <c r="J826" s="3"/>
    </row>
    <row r="827" spans="7:10" x14ac:dyDescent="0.35">
      <c r="G827" s="3"/>
      <c r="H827" s="3"/>
      <c r="I827" s="3"/>
      <c r="J827" s="3"/>
    </row>
    <row r="828" spans="7:10" x14ac:dyDescent="0.35">
      <c r="G828" s="3"/>
      <c r="H828" s="3"/>
      <c r="I828" s="3"/>
      <c r="J828" s="3"/>
    </row>
    <row r="829" spans="7:10" x14ac:dyDescent="0.35">
      <c r="G829" s="3"/>
      <c r="H829" s="3"/>
      <c r="I829" s="3"/>
      <c r="J829" s="3"/>
    </row>
    <row r="830" spans="7:10" x14ac:dyDescent="0.35">
      <c r="G830" s="3"/>
      <c r="H830" s="3"/>
      <c r="I830" s="3"/>
      <c r="J830" s="3"/>
    </row>
    <row r="831" spans="7:10" x14ac:dyDescent="0.35">
      <c r="G831" s="3"/>
      <c r="H831" s="3"/>
      <c r="I831" s="3"/>
      <c r="J831" s="3"/>
    </row>
    <row r="832" spans="7:10" x14ac:dyDescent="0.35">
      <c r="G832" s="3"/>
      <c r="H832" s="3"/>
      <c r="I832" s="3"/>
      <c r="J832" s="3"/>
    </row>
    <row r="833" spans="7:10" x14ac:dyDescent="0.35">
      <c r="G833" s="3"/>
      <c r="H833" s="3"/>
      <c r="I833" s="3"/>
      <c r="J833" s="3"/>
    </row>
    <row r="834" spans="7:10" x14ac:dyDescent="0.35">
      <c r="G834" s="3"/>
      <c r="H834" s="3"/>
      <c r="I834" s="3"/>
      <c r="J834" s="3"/>
    </row>
    <row r="835" spans="7:10" x14ac:dyDescent="0.35">
      <c r="G835" s="3"/>
      <c r="H835" s="3"/>
      <c r="I835" s="3"/>
      <c r="J835" s="3"/>
    </row>
    <row r="836" spans="7:10" x14ac:dyDescent="0.35">
      <c r="G836" s="3"/>
      <c r="H836" s="3"/>
      <c r="I836" s="3"/>
      <c r="J836" s="3"/>
    </row>
    <row r="837" spans="7:10" x14ac:dyDescent="0.35">
      <c r="G837" s="3"/>
      <c r="H837" s="3"/>
      <c r="I837" s="3"/>
      <c r="J837" s="3"/>
    </row>
    <row r="838" spans="7:10" x14ac:dyDescent="0.35">
      <c r="G838" s="3"/>
      <c r="H838" s="3"/>
      <c r="I838" s="3"/>
      <c r="J838" s="3"/>
    </row>
    <row r="839" spans="7:10" x14ac:dyDescent="0.35">
      <c r="G839" s="3"/>
      <c r="H839" s="3"/>
      <c r="I839" s="3"/>
      <c r="J839" s="3"/>
    </row>
    <row r="840" spans="7:10" x14ac:dyDescent="0.35">
      <c r="G840" s="3"/>
      <c r="H840" s="3"/>
      <c r="I840" s="3"/>
      <c r="J840" s="3"/>
    </row>
    <row r="841" spans="7:10" x14ac:dyDescent="0.35">
      <c r="G841" s="3"/>
      <c r="H841" s="3"/>
      <c r="I841" s="3"/>
      <c r="J841" s="3"/>
    </row>
    <row r="842" spans="7:10" x14ac:dyDescent="0.35">
      <c r="G842" s="3"/>
      <c r="H842" s="3"/>
      <c r="I842" s="3"/>
      <c r="J842" s="3"/>
    </row>
    <row r="843" spans="7:10" x14ac:dyDescent="0.35">
      <c r="G843" s="3"/>
      <c r="H843" s="3"/>
      <c r="I843" s="3"/>
      <c r="J843" s="3"/>
    </row>
    <row r="844" spans="7:10" x14ac:dyDescent="0.35">
      <c r="G844" s="3"/>
      <c r="H844" s="3"/>
      <c r="I844" s="3"/>
      <c r="J844" s="3"/>
    </row>
    <row r="845" spans="7:10" x14ac:dyDescent="0.35">
      <c r="G845" s="3"/>
      <c r="H845" s="3"/>
      <c r="I845" s="3"/>
      <c r="J845" s="3"/>
    </row>
    <row r="846" spans="7:10" x14ac:dyDescent="0.35">
      <c r="G846" s="3"/>
      <c r="H846" s="3"/>
      <c r="I846" s="3"/>
      <c r="J846" s="3"/>
    </row>
    <row r="847" spans="7:10" x14ac:dyDescent="0.35">
      <c r="G847" s="3"/>
      <c r="H847" s="3"/>
      <c r="I847" s="3"/>
      <c r="J847" s="3"/>
    </row>
    <row r="848" spans="7:10" x14ac:dyDescent="0.35">
      <c r="G848" s="3"/>
      <c r="H848" s="3"/>
      <c r="I848" s="3"/>
      <c r="J848" s="3"/>
    </row>
    <row r="849" spans="7:10" x14ac:dyDescent="0.35">
      <c r="G849" s="3"/>
      <c r="H849" s="3"/>
      <c r="I849" s="3"/>
      <c r="J849" s="3"/>
    </row>
    <row r="850" spans="7:10" x14ac:dyDescent="0.35">
      <c r="G850" s="3"/>
      <c r="H850" s="3"/>
      <c r="I850" s="3"/>
      <c r="J850" s="3"/>
    </row>
    <row r="851" spans="7:10" x14ac:dyDescent="0.35">
      <c r="G851" s="3"/>
      <c r="H851" s="3"/>
      <c r="I851" s="3"/>
      <c r="J851" s="3"/>
    </row>
    <row r="852" spans="7:10" x14ac:dyDescent="0.35">
      <c r="G852" s="3"/>
      <c r="H852" s="3"/>
      <c r="I852" s="3"/>
      <c r="J852" s="3"/>
    </row>
    <row r="853" spans="7:10" x14ac:dyDescent="0.35">
      <c r="G853" s="3"/>
      <c r="H853" s="3"/>
      <c r="I853" s="3"/>
      <c r="J853" s="3"/>
    </row>
    <row r="854" spans="7:10" x14ac:dyDescent="0.35">
      <c r="G854" s="3"/>
      <c r="H854" s="3"/>
      <c r="I854" s="3"/>
      <c r="J854" s="3"/>
    </row>
    <row r="855" spans="7:10" x14ac:dyDescent="0.35">
      <c r="G855" s="3"/>
      <c r="H855" s="3"/>
      <c r="I855" s="3"/>
      <c r="J855" s="3"/>
    </row>
    <row r="856" spans="7:10" x14ac:dyDescent="0.35">
      <c r="G856" s="3"/>
      <c r="H856" s="3"/>
      <c r="I856" s="3"/>
      <c r="J856" s="3"/>
    </row>
    <row r="857" spans="7:10" x14ac:dyDescent="0.35">
      <c r="G857" s="3"/>
      <c r="H857" s="3"/>
      <c r="I857" s="3"/>
      <c r="J857" s="3"/>
    </row>
    <row r="858" spans="7:10" x14ac:dyDescent="0.35">
      <c r="G858" s="3"/>
      <c r="H858" s="3"/>
      <c r="I858" s="3"/>
      <c r="J858" s="3"/>
    </row>
    <row r="859" spans="7:10" x14ac:dyDescent="0.35">
      <c r="G859" s="3"/>
      <c r="H859" s="3"/>
      <c r="I859" s="3"/>
      <c r="J859" s="3"/>
    </row>
    <row r="860" spans="7:10" x14ac:dyDescent="0.35">
      <c r="G860" s="3"/>
      <c r="H860" s="3"/>
      <c r="I860" s="3"/>
      <c r="J860" s="3"/>
    </row>
    <row r="861" spans="7:10" x14ac:dyDescent="0.35">
      <c r="G861" s="3"/>
      <c r="H861" s="3"/>
      <c r="I861" s="3"/>
      <c r="J861" s="3"/>
    </row>
    <row r="862" spans="7:10" x14ac:dyDescent="0.35">
      <c r="G862" s="3"/>
      <c r="H862" s="3"/>
      <c r="I862" s="3"/>
      <c r="J862" s="3"/>
    </row>
    <row r="863" spans="7:10" x14ac:dyDescent="0.35">
      <c r="G863" s="3"/>
      <c r="H863" s="3"/>
      <c r="I863" s="3"/>
      <c r="J863" s="3"/>
    </row>
    <row r="864" spans="7:10" x14ac:dyDescent="0.35">
      <c r="G864" s="3"/>
      <c r="H864" s="3"/>
      <c r="I864" s="3"/>
      <c r="J864" s="3"/>
    </row>
    <row r="865" spans="7:10" x14ac:dyDescent="0.35">
      <c r="G865" s="3"/>
      <c r="H865" s="3"/>
      <c r="I865" s="3"/>
      <c r="J865" s="3"/>
    </row>
    <row r="866" spans="7:10" x14ac:dyDescent="0.35">
      <c r="G866" s="3"/>
      <c r="H866" s="3"/>
      <c r="I866" s="3"/>
      <c r="J866" s="3"/>
    </row>
    <row r="867" spans="7:10" x14ac:dyDescent="0.35">
      <c r="G867" s="3"/>
      <c r="H867" s="3"/>
      <c r="I867" s="3"/>
      <c r="J867" s="3"/>
    </row>
    <row r="868" spans="7:10" x14ac:dyDescent="0.35">
      <c r="G868" s="3"/>
      <c r="H868" s="3"/>
      <c r="I868" s="3"/>
      <c r="J868" s="3"/>
    </row>
    <row r="869" spans="7:10" x14ac:dyDescent="0.35">
      <c r="G869" s="3"/>
      <c r="H869" s="3"/>
      <c r="I869" s="3"/>
      <c r="J869" s="3"/>
    </row>
    <row r="870" spans="7:10" x14ac:dyDescent="0.35">
      <c r="G870" s="3"/>
      <c r="H870" s="3"/>
      <c r="I870" s="3"/>
      <c r="J870" s="3"/>
    </row>
    <row r="871" spans="7:10" x14ac:dyDescent="0.35">
      <c r="G871" s="3"/>
      <c r="H871" s="3"/>
      <c r="I871" s="3"/>
      <c r="J871" s="3"/>
    </row>
    <row r="872" spans="7:10" x14ac:dyDescent="0.35">
      <c r="G872" s="3"/>
      <c r="H872" s="3"/>
      <c r="I872" s="3"/>
      <c r="J872" s="3"/>
    </row>
    <row r="873" spans="7:10" x14ac:dyDescent="0.35">
      <c r="G873" s="3"/>
      <c r="H873" s="3"/>
      <c r="I873" s="3"/>
      <c r="J873" s="3"/>
    </row>
    <row r="874" spans="7:10" x14ac:dyDescent="0.35">
      <c r="G874" s="3"/>
      <c r="H874" s="3"/>
      <c r="I874" s="3"/>
      <c r="J874" s="3"/>
    </row>
    <row r="875" spans="7:10" x14ac:dyDescent="0.35">
      <c r="G875" s="3"/>
      <c r="H875" s="3"/>
      <c r="I875" s="3"/>
      <c r="J875" s="3"/>
    </row>
    <row r="876" spans="7:10" x14ac:dyDescent="0.35">
      <c r="G876" s="3"/>
      <c r="H876" s="3"/>
      <c r="I876" s="3"/>
      <c r="J876" s="3"/>
    </row>
    <row r="877" spans="7:10" x14ac:dyDescent="0.35">
      <c r="G877" s="3"/>
      <c r="H877" s="3"/>
      <c r="I877" s="3"/>
      <c r="J877" s="3"/>
    </row>
    <row r="878" spans="7:10" x14ac:dyDescent="0.35">
      <c r="G878" s="3"/>
      <c r="H878" s="3"/>
      <c r="I878" s="3"/>
      <c r="J878" s="3"/>
    </row>
    <row r="879" spans="7:10" x14ac:dyDescent="0.35">
      <c r="G879" s="3"/>
      <c r="H879" s="3"/>
      <c r="I879" s="3"/>
      <c r="J879" s="3"/>
    </row>
    <row r="880" spans="7:10" x14ac:dyDescent="0.35">
      <c r="G880" s="3"/>
      <c r="H880" s="3"/>
      <c r="I880" s="3"/>
      <c r="J880" s="3"/>
    </row>
    <row r="881" spans="7:10" x14ac:dyDescent="0.35">
      <c r="G881" s="3"/>
      <c r="H881" s="3"/>
      <c r="I881" s="3"/>
      <c r="J881" s="3"/>
    </row>
    <row r="882" spans="7:10" x14ac:dyDescent="0.35">
      <c r="G882" s="3"/>
      <c r="H882" s="3"/>
      <c r="I882" s="3"/>
      <c r="J882" s="3"/>
    </row>
    <row r="883" spans="7:10" x14ac:dyDescent="0.35">
      <c r="G883" s="3"/>
      <c r="H883" s="3"/>
      <c r="I883" s="3"/>
      <c r="J883" s="3"/>
    </row>
    <row r="884" spans="7:10" x14ac:dyDescent="0.35">
      <c r="G884" s="3"/>
      <c r="H884" s="3"/>
      <c r="I884" s="3"/>
      <c r="J884" s="3"/>
    </row>
    <row r="885" spans="7:10" x14ac:dyDescent="0.35">
      <c r="G885" s="3"/>
      <c r="H885" s="3"/>
      <c r="I885" s="3"/>
      <c r="J885" s="3"/>
    </row>
    <row r="886" spans="7:10" x14ac:dyDescent="0.35">
      <c r="G886" s="3"/>
      <c r="H886" s="3"/>
      <c r="I886" s="3"/>
      <c r="J886" s="3"/>
    </row>
    <row r="887" spans="7:10" x14ac:dyDescent="0.35">
      <c r="G887" s="3"/>
      <c r="H887" s="3"/>
      <c r="I887" s="3"/>
      <c r="J887" s="3"/>
    </row>
    <row r="888" spans="7:10" x14ac:dyDescent="0.35">
      <c r="G888" s="3"/>
      <c r="H888" s="3"/>
      <c r="I888" s="3"/>
      <c r="J888" s="3"/>
    </row>
    <row r="889" spans="7:10" x14ac:dyDescent="0.35">
      <c r="G889" s="3"/>
      <c r="H889" s="3"/>
      <c r="I889" s="3"/>
      <c r="J889" s="3"/>
    </row>
    <row r="890" spans="7:10" x14ac:dyDescent="0.35">
      <c r="G890" s="3"/>
      <c r="H890" s="3"/>
      <c r="I890" s="3"/>
      <c r="J890" s="3"/>
    </row>
    <row r="891" spans="7:10" x14ac:dyDescent="0.35">
      <c r="G891" s="3"/>
      <c r="H891" s="3"/>
      <c r="I891" s="3"/>
      <c r="J891" s="3"/>
    </row>
    <row r="892" spans="7:10" x14ac:dyDescent="0.35">
      <c r="G892" s="3"/>
      <c r="H892" s="3"/>
      <c r="I892" s="3"/>
      <c r="J892" s="3"/>
    </row>
    <row r="893" spans="7:10" x14ac:dyDescent="0.35">
      <c r="G893" s="3"/>
      <c r="H893" s="3"/>
      <c r="I893" s="3"/>
      <c r="J893" s="3"/>
    </row>
    <row r="894" spans="7:10" x14ac:dyDescent="0.35">
      <c r="G894" s="3"/>
      <c r="H894" s="3"/>
      <c r="I894" s="3"/>
      <c r="J894" s="3"/>
    </row>
    <row r="895" spans="7:10" x14ac:dyDescent="0.35">
      <c r="G895" s="3"/>
      <c r="H895" s="3"/>
      <c r="I895" s="3"/>
      <c r="J895" s="3"/>
    </row>
    <row r="896" spans="7:10" x14ac:dyDescent="0.35">
      <c r="G896" s="3"/>
      <c r="H896" s="3"/>
      <c r="I896" s="3"/>
      <c r="J896" s="3"/>
    </row>
    <row r="897" spans="7:10" x14ac:dyDescent="0.35">
      <c r="G897" s="3"/>
      <c r="H897" s="3"/>
      <c r="I897" s="3"/>
      <c r="J897" s="3"/>
    </row>
    <row r="898" spans="7:10" x14ac:dyDescent="0.35">
      <c r="G898" s="3"/>
      <c r="H898" s="3"/>
      <c r="I898" s="3"/>
      <c r="J898" s="3"/>
    </row>
    <row r="899" spans="7:10" x14ac:dyDescent="0.35">
      <c r="G899" s="3"/>
      <c r="H899" s="3"/>
      <c r="I899" s="3"/>
      <c r="J899" s="3"/>
    </row>
    <row r="900" spans="7:10" x14ac:dyDescent="0.35">
      <c r="G900" s="3"/>
      <c r="H900" s="3"/>
      <c r="I900" s="3"/>
      <c r="J900" s="3"/>
    </row>
    <row r="901" spans="7:10" x14ac:dyDescent="0.35">
      <c r="G901" s="3"/>
      <c r="H901" s="3"/>
      <c r="I901" s="3"/>
      <c r="J901" s="3"/>
    </row>
    <row r="902" spans="7:10" x14ac:dyDescent="0.35">
      <c r="G902" s="3"/>
      <c r="H902" s="3"/>
      <c r="I902" s="3"/>
      <c r="J902" s="3"/>
    </row>
    <row r="903" spans="7:10" x14ac:dyDescent="0.35">
      <c r="G903" s="3"/>
      <c r="H903" s="3"/>
      <c r="I903" s="3"/>
      <c r="J903" s="3"/>
    </row>
    <row r="904" spans="7:10" x14ac:dyDescent="0.35">
      <c r="G904" s="3"/>
      <c r="H904" s="3"/>
      <c r="I904" s="3"/>
      <c r="J904" s="3"/>
    </row>
    <row r="905" spans="7:10" x14ac:dyDescent="0.35">
      <c r="G905" s="3"/>
      <c r="H905" s="3"/>
      <c r="I905" s="3"/>
      <c r="J905" s="3"/>
    </row>
    <row r="906" spans="7:10" x14ac:dyDescent="0.35">
      <c r="G906" s="3"/>
      <c r="H906" s="3"/>
      <c r="I906" s="3"/>
      <c r="J906" s="3"/>
    </row>
    <row r="907" spans="7:10" x14ac:dyDescent="0.35">
      <c r="G907" s="3"/>
      <c r="H907" s="3"/>
      <c r="I907" s="3"/>
      <c r="J907" s="3"/>
    </row>
    <row r="908" spans="7:10" x14ac:dyDescent="0.35">
      <c r="G908" s="3"/>
      <c r="H908" s="3"/>
      <c r="I908" s="3"/>
      <c r="J908" s="3"/>
    </row>
    <row r="909" spans="7:10" x14ac:dyDescent="0.35">
      <c r="G909" s="3"/>
      <c r="H909" s="3"/>
      <c r="I909" s="3"/>
      <c r="J909" s="3"/>
    </row>
    <row r="910" spans="7:10" x14ac:dyDescent="0.35">
      <c r="G910" s="3"/>
      <c r="H910" s="3"/>
      <c r="I910" s="3"/>
      <c r="J910" s="3"/>
    </row>
    <row r="911" spans="7:10" x14ac:dyDescent="0.35">
      <c r="G911" s="3"/>
      <c r="H911" s="3"/>
      <c r="I911" s="3"/>
      <c r="J911" s="3"/>
    </row>
    <row r="912" spans="7:10" x14ac:dyDescent="0.35">
      <c r="G912" s="3"/>
      <c r="H912" s="3"/>
      <c r="I912" s="3"/>
      <c r="J912" s="3"/>
    </row>
    <row r="913" spans="7:10" x14ac:dyDescent="0.35">
      <c r="G913" s="3"/>
      <c r="H913" s="3"/>
      <c r="I913" s="3"/>
      <c r="J913" s="3"/>
    </row>
    <row r="914" spans="7:10" x14ac:dyDescent="0.35">
      <c r="G914" s="3"/>
      <c r="H914" s="3"/>
      <c r="I914" s="3"/>
      <c r="J914" s="3"/>
    </row>
    <row r="915" spans="7:10" x14ac:dyDescent="0.35">
      <c r="G915" s="3"/>
      <c r="H915" s="3"/>
      <c r="I915" s="3"/>
      <c r="J915" s="3"/>
    </row>
    <row r="916" spans="7:10" x14ac:dyDescent="0.35">
      <c r="G916" s="3"/>
      <c r="H916" s="3"/>
      <c r="I916" s="3"/>
      <c r="J916" s="3"/>
    </row>
    <row r="917" spans="7:10" x14ac:dyDescent="0.35">
      <c r="G917" s="3"/>
      <c r="H917" s="3"/>
      <c r="I917" s="3"/>
      <c r="J917" s="3"/>
    </row>
    <row r="918" spans="7:10" x14ac:dyDescent="0.35">
      <c r="G918" s="3"/>
      <c r="H918" s="3"/>
      <c r="I918" s="3"/>
      <c r="J918" s="3"/>
    </row>
    <row r="919" spans="7:10" x14ac:dyDescent="0.35">
      <c r="G919" s="3"/>
      <c r="H919" s="3"/>
      <c r="I919" s="3"/>
      <c r="J919" s="3"/>
    </row>
    <row r="920" spans="7:10" x14ac:dyDescent="0.35">
      <c r="G920" s="3"/>
      <c r="H920" s="3"/>
      <c r="I920" s="3"/>
      <c r="J920" s="3"/>
    </row>
    <row r="921" spans="7:10" x14ac:dyDescent="0.35">
      <c r="G921" s="3"/>
      <c r="H921" s="3"/>
      <c r="I921" s="3"/>
      <c r="J921" s="3"/>
    </row>
    <row r="922" spans="7:10" x14ac:dyDescent="0.35">
      <c r="G922" s="3"/>
      <c r="H922" s="3"/>
      <c r="I922" s="3"/>
      <c r="J922" s="3"/>
    </row>
    <row r="923" spans="7:10" x14ac:dyDescent="0.35">
      <c r="G923" s="3"/>
      <c r="H923" s="3"/>
      <c r="I923" s="3"/>
      <c r="J923" s="3"/>
    </row>
    <row r="924" spans="7:10" x14ac:dyDescent="0.35">
      <c r="G924" s="3"/>
      <c r="H924" s="3"/>
      <c r="I924" s="3"/>
      <c r="J924" s="3"/>
    </row>
    <row r="925" spans="7:10" x14ac:dyDescent="0.35">
      <c r="G925" s="3"/>
      <c r="H925" s="3"/>
      <c r="I925" s="3"/>
      <c r="J925" s="3"/>
    </row>
    <row r="926" spans="7:10" x14ac:dyDescent="0.35">
      <c r="G926" s="3"/>
      <c r="H926" s="3"/>
      <c r="I926" s="3"/>
      <c r="J926" s="3"/>
    </row>
    <row r="927" spans="7:10" x14ac:dyDescent="0.35">
      <c r="G927" s="3"/>
      <c r="H927" s="3"/>
      <c r="I927" s="3"/>
      <c r="J927" s="3"/>
    </row>
    <row r="928" spans="7:10" x14ac:dyDescent="0.35">
      <c r="G928" s="3"/>
      <c r="H928" s="3"/>
      <c r="I928" s="3"/>
      <c r="J928" s="3"/>
    </row>
    <row r="929" spans="7:10" x14ac:dyDescent="0.35">
      <c r="G929" s="3"/>
      <c r="H929" s="3"/>
      <c r="I929" s="3"/>
      <c r="J929" s="3"/>
    </row>
    <row r="930" spans="7:10" x14ac:dyDescent="0.35">
      <c r="G930" s="3"/>
      <c r="H930" s="3"/>
      <c r="I930" s="3"/>
      <c r="J930" s="3"/>
    </row>
    <row r="931" spans="7:10" x14ac:dyDescent="0.35">
      <c r="G931" s="3"/>
      <c r="H931" s="3"/>
      <c r="I931" s="3"/>
      <c r="J931" s="3"/>
    </row>
    <row r="932" spans="7:10" x14ac:dyDescent="0.35">
      <c r="G932" s="3"/>
      <c r="H932" s="3"/>
      <c r="I932" s="3"/>
      <c r="J932" s="3"/>
    </row>
    <row r="933" spans="7:10" x14ac:dyDescent="0.35">
      <c r="G933" s="3"/>
      <c r="H933" s="3"/>
      <c r="I933" s="3"/>
      <c r="J933" s="3"/>
    </row>
    <row r="934" spans="7:10" x14ac:dyDescent="0.35">
      <c r="G934" s="3"/>
      <c r="H934" s="3"/>
      <c r="I934" s="3"/>
      <c r="J934" s="3"/>
    </row>
    <row r="935" spans="7:10" x14ac:dyDescent="0.35">
      <c r="G935" s="3"/>
      <c r="H935" s="3"/>
      <c r="I935" s="3"/>
      <c r="J935" s="3"/>
    </row>
    <row r="936" spans="7:10" x14ac:dyDescent="0.35">
      <c r="G936" s="3"/>
      <c r="H936" s="3"/>
      <c r="I936" s="3"/>
      <c r="J936" s="3"/>
    </row>
    <row r="937" spans="7:10" x14ac:dyDescent="0.35">
      <c r="G937" s="3"/>
      <c r="H937" s="3"/>
      <c r="I937" s="3"/>
      <c r="J937" s="3"/>
    </row>
    <row r="938" spans="7:10" x14ac:dyDescent="0.35">
      <c r="G938" s="3"/>
      <c r="H938" s="3"/>
      <c r="I938" s="3"/>
      <c r="J938" s="3"/>
    </row>
    <row r="939" spans="7:10" x14ac:dyDescent="0.35">
      <c r="G939" s="3"/>
      <c r="H939" s="3"/>
      <c r="I939" s="3"/>
      <c r="J939" s="3"/>
    </row>
    <row r="940" spans="7:10" x14ac:dyDescent="0.35">
      <c r="G940" s="3"/>
      <c r="H940" s="3"/>
      <c r="I940" s="3"/>
      <c r="J940" s="3"/>
    </row>
    <row r="941" spans="7:10" x14ac:dyDescent="0.35">
      <c r="G941" s="3"/>
      <c r="H941" s="3"/>
      <c r="I941" s="3"/>
      <c r="J941" s="3"/>
    </row>
    <row r="942" spans="7:10" x14ac:dyDescent="0.35">
      <c r="G942" s="3"/>
      <c r="H942" s="3"/>
      <c r="I942" s="3"/>
      <c r="J942" s="3"/>
    </row>
    <row r="943" spans="7:10" x14ac:dyDescent="0.35">
      <c r="G943" s="3"/>
      <c r="H943" s="3"/>
      <c r="I943" s="3"/>
      <c r="J943" s="3"/>
    </row>
    <row r="944" spans="7:10" x14ac:dyDescent="0.35">
      <c r="G944" s="3"/>
      <c r="H944" s="3"/>
      <c r="I944" s="3"/>
      <c r="J944" s="3"/>
    </row>
    <row r="945" spans="7:10" x14ac:dyDescent="0.35">
      <c r="G945" s="3"/>
      <c r="H945" s="3"/>
      <c r="I945" s="3"/>
      <c r="J945" s="3"/>
    </row>
    <row r="946" spans="7:10" x14ac:dyDescent="0.35">
      <c r="G946" s="3"/>
      <c r="H946" s="3"/>
      <c r="I946" s="3"/>
      <c r="J946" s="3"/>
    </row>
    <row r="947" spans="7:10" x14ac:dyDescent="0.35">
      <c r="G947" s="3"/>
      <c r="H947" s="3"/>
      <c r="I947" s="3"/>
      <c r="J947" s="3"/>
    </row>
    <row r="948" spans="7:10" x14ac:dyDescent="0.35">
      <c r="G948" s="3"/>
      <c r="H948" s="3"/>
      <c r="I948" s="3"/>
      <c r="J948" s="3"/>
    </row>
    <row r="949" spans="7:10" x14ac:dyDescent="0.35">
      <c r="G949" s="3"/>
      <c r="H949" s="3"/>
      <c r="I949" s="3"/>
      <c r="J949" s="3"/>
    </row>
    <row r="950" spans="7:10" x14ac:dyDescent="0.35">
      <c r="G950" s="3"/>
      <c r="H950" s="3"/>
      <c r="I950" s="3"/>
      <c r="J950" s="3"/>
    </row>
    <row r="951" spans="7:10" x14ac:dyDescent="0.35">
      <c r="G951" s="3"/>
      <c r="H951" s="3"/>
      <c r="I951" s="3"/>
      <c r="J951" s="3"/>
    </row>
    <row r="952" spans="7:10" x14ac:dyDescent="0.35">
      <c r="G952" s="3"/>
      <c r="H952" s="3"/>
      <c r="I952" s="3"/>
      <c r="J952" s="3"/>
    </row>
    <row r="953" spans="7:10" x14ac:dyDescent="0.35">
      <c r="G953" s="3"/>
      <c r="H953" s="3"/>
      <c r="I953" s="3"/>
      <c r="J953" s="3"/>
    </row>
    <row r="954" spans="7:10" x14ac:dyDescent="0.35">
      <c r="G954" s="3"/>
      <c r="H954" s="3"/>
      <c r="I954" s="3"/>
      <c r="J954" s="3"/>
    </row>
    <row r="955" spans="7:10" x14ac:dyDescent="0.35">
      <c r="G955" s="3"/>
      <c r="H955" s="3"/>
      <c r="I955" s="3"/>
      <c r="J955" s="3"/>
    </row>
    <row r="956" spans="7:10" x14ac:dyDescent="0.35">
      <c r="G956" s="3"/>
      <c r="H956" s="3"/>
      <c r="I956" s="3"/>
      <c r="J956" s="3"/>
    </row>
    <row r="957" spans="7:10" x14ac:dyDescent="0.35">
      <c r="G957" s="3"/>
      <c r="H957" s="3"/>
      <c r="I957" s="3"/>
      <c r="J957" s="3"/>
    </row>
    <row r="958" spans="7:10" x14ac:dyDescent="0.35">
      <c r="G958" s="3"/>
      <c r="H958" s="3"/>
      <c r="I958" s="3"/>
      <c r="J958" s="3"/>
    </row>
    <row r="959" spans="7:10" x14ac:dyDescent="0.35">
      <c r="G959" s="3"/>
      <c r="H959" s="3"/>
      <c r="I959" s="3"/>
      <c r="J959" s="3"/>
    </row>
    <row r="960" spans="7:10" x14ac:dyDescent="0.35">
      <c r="G960" s="3"/>
      <c r="H960" s="3"/>
      <c r="I960" s="3"/>
      <c r="J960" s="3"/>
    </row>
    <row r="961" spans="7:10" x14ac:dyDescent="0.35">
      <c r="G961" s="3"/>
      <c r="H961" s="3"/>
      <c r="I961" s="3"/>
      <c r="J961" s="3"/>
    </row>
    <row r="962" spans="7:10" x14ac:dyDescent="0.35">
      <c r="G962" s="3"/>
      <c r="H962" s="3"/>
      <c r="I962" s="3"/>
      <c r="J962" s="3"/>
    </row>
    <row r="963" spans="7:10" x14ac:dyDescent="0.35">
      <c r="G963" s="3"/>
      <c r="H963" s="3"/>
      <c r="I963" s="3"/>
      <c r="J963" s="3"/>
    </row>
    <row r="964" spans="7:10" x14ac:dyDescent="0.35">
      <c r="G964" s="3"/>
      <c r="H964" s="3"/>
      <c r="I964" s="3"/>
      <c r="J964" s="3"/>
    </row>
    <row r="965" spans="7:10" x14ac:dyDescent="0.35">
      <c r="G965" s="3"/>
      <c r="H965" s="3"/>
      <c r="I965" s="3"/>
      <c r="J965" s="3"/>
    </row>
    <row r="966" spans="7:10" x14ac:dyDescent="0.35">
      <c r="G966" s="3"/>
      <c r="H966" s="3"/>
      <c r="I966" s="3"/>
      <c r="J966" s="3"/>
    </row>
    <row r="967" spans="7:10" x14ac:dyDescent="0.35">
      <c r="G967" s="3"/>
      <c r="H967" s="3"/>
      <c r="I967" s="3"/>
      <c r="J967" s="3"/>
    </row>
    <row r="968" spans="7:10" x14ac:dyDescent="0.35">
      <c r="G968" s="3"/>
      <c r="H968" s="3"/>
      <c r="I968" s="3"/>
      <c r="J968" s="3"/>
    </row>
    <row r="969" spans="7:10" x14ac:dyDescent="0.35">
      <c r="G969" s="3"/>
      <c r="H969" s="3"/>
      <c r="I969" s="3"/>
      <c r="J969" s="3"/>
    </row>
    <row r="970" spans="7:10" x14ac:dyDescent="0.35">
      <c r="G970" s="3"/>
      <c r="H970" s="3"/>
      <c r="I970" s="3"/>
      <c r="J970" s="3"/>
    </row>
    <row r="971" spans="7:10" x14ac:dyDescent="0.35">
      <c r="G971" s="3"/>
      <c r="H971" s="3"/>
      <c r="I971" s="3"/>
      <c r="J971" s="3"/>
    </row>
    <row r="972" spans="7:10" x14ac:dyDescent="0.35">
      <c r="G972" s="3"/>
      <c r="H972" s="3"/>
      <c r="I972" s="3"/>
      <c r="J972" s="3"/>
    </row>
    <row r="973" spans="7:10" x14ac:dyDescent="0.35">
      <c r="G973" s="3"/>
      <c r="H973" s="3"/>
      <c r="I973" s="3"/>
      <c r="J973" s="3"/>
    </row>
    <row r="974" spans="7:10" x14ac:dyDescent="0.35">
      <c r="G974" s="3"/>
      <c r="H974" s="3"/>
      <c r="I974" s="3"/>
      <c r="J974" s="3"/>
    </row>
    <row r="975" spans="7:10" x14ac:dyDescent="0.35">
      <c r="G975" s="3"/>
      <c r="H975" s="3"/>
      <c r="I975" s="3"/>
      <c r="J975" s="3"/>
    </row>
    <row r="976" spans="7:10" x14ac:dyDescent="0.35">
      <c r="G976" s="3"/>
      <c r="H976" s="3"/>
      <c r="I976" s="3"/>
      <c r="J976" s="3"/>
    </row>
    <row r="977" spans="7:10" x14ac:dyDescent="0.35">
      <c r="G977" s="3"/>
      <c r="H977" s="3"/>
      <c r="I977" s="3"/>
      <c r="J977" s="3"/>
    </row>
    <row r="978" spans="7:10" x14ac:dyDescent="0.35">
      <c r="G978" s="3"/>
      <c r="H978" s="3"/>
      <c r="I978" s="3"/>
      <c r="J978" s="3"/>
    </row>
    <row r="979" spans="7:10" x14ac:dyDescent="0.35">
      <c r="G979" s="3"/>
      <c r="H979" s="3"/>
      <c r="I979" s="3"/>
      <c r="J979" s="3"/>
    </row>
    <row r="980" spans="7:10" x14ac:dyDescent="0.35">
      <c r="G980" s="3"/>
      <c r="H980" s="3"/>
      <c r="I980" s="3"/>
      <c r="J980" s="3"/>
    </row>
    <row r="981" spans="7:10" x14ac:dyDescent="0.35">
      <c r="G981" s="3"/>
      <c r="H981" s="3"/>
      <c r="I981" s="3"/>
      <c r="J981" s="3"/>
    </row>
    <row r="982" spans="7:10" x14ac:dyDescent="0.35">
      <c r="G982" s="3"/>
      <c r="H982" s="3"/>
      <c r="I982" s="3"/>
      <c r="J982" s="3"/>
    </row>
    <row r="983" spans="7:10" x14ac:dyDescent="0.35">
      <c r="G983" s="3"/>
      <c r="H983" s="3"/>
      <c r="I983" s="3"/>
      <c r="J983" s="3"/>
    </row>
    <row r="984" spans="7:10" x14ac:dyDescent="0.35">
      <c r="G984" s="3"/>
      <c r="H984" s="3"/>
      <c r="I984" s="3"/>
      <c r="J984" s="3"/>
    </row>
    <row r="985" spans="7:10" x14ac:dyDescent="0.35">
      <c r="G985" s="3"/>
      <c r="H985" s="3"/>
      <c r="I985" s="3"/>
      <c r="J985" s="3"/>
    </row>
    <row r="986" spans="7:10" x14ac:dyDescent="0.35">
      <c r="G986" s="3"/>
      <c r="H986" s="3"/>
      <c r="I986" s="3"/>
      <c r="J986" s="3"/>
    </row>
    <row r="987" spans="7:10" x14ac:dyDescent="0.35">
      <c r="G987" s="3"/>
      <c r="H987" s="3"/>
      <c r="I987" s="3"/>
      <c r="J987" s="3"/>
    </row>
    <row r="988" spans="7:10" x14ac:dyDescent="0.35">
      <c r="G988" s="3"/>
      <c r="H988" s="3"/>
      <c r="I988" s="3"/>
      <c r="J988" s="3"/>
    </row>
    <row r="989" spans="7:10" x14ac:dyDescent="0.35">
      <c r="G989" s="3"/>
      <c r="H989" s="3"/>
      <c r="I989" s="3"/>
      <c r="J989" s="3"/>
    </row>
    <row r="990" spans="7:10" x14ac:dyDescent="0.35">
      <c r="G990" s="3"/>
      <c r="H990" s="3"/>
      <c r="I990" s="3"/>
      <c r="J990" s="3"/>
    </row>
    <row r="991" spans="7:10" x14ac:dyDescent="0.35">
      <c r="G991" s="3"/>
      <c r="H991" s="3"/>
      <c r="I991" s="3"/>
      <c r="J991" s="3"/>
    </row>
    <row r="992" spans="7:10" x14ac:dyDescent="0.35">
      <c r="G992" s="3"/>
      <c r="H992" s="3"/>
      <c r="I992" s="3"/>
      <c r="J992" s="3"/>
    </row>
    <row r="993" spans="7:10" x14ac:dyDescent="0.35">
      <c r="G993" s="3"/>
      <c r="H993" s="3"/>
      <c r="I993" s="3"/>
      <c r="J993" s="3"/>
    </row>
    <row r="994" spans="7:10" x14ac:dyDescent="0.35">
      <c r="G994" s="3"/>
      <c r="H994" s="3"/>
      <c r="I994" s="3"/>
      <c r="J994" s="3"/>
    </row>
    <row r="995" spans="7:10" x14ac:dyDescent="0.35">
      <c r="G995" s="3"/>
      <c r="H995" s="3"/>
      <c r="I995" s="3"/>
      <c r="J995" s="3"/>
    </row>
    <row r="996" spans="7:10" x14ac:dyDescent="0.35">
      <c r="G996" s="3"/>
      <c r="H996" s="3"/>
      <c r="I996" s="3"/>
      <c r="J996" s="3"/>
    </row>
    <row r="997" spans="7:10" x14ac:dyDescent="0.35">
      <c r="G997" s="3"/>
      <c r="H997" s="3"/>
      <c r="I997" s="3"/>
      <c r="J997" s="3"/>
    </row>
    <row r="998" spans="7:10" x14ac:dyDescent="0.35">
      <c r="G998" s="3"/>
      <c r="H998" s="3"/>
      <c r="I998" s="3"/>
      <c r="J998" s="3"/>
    </row>
    <row r="999" spans="7:10" x14ac:dyDescent="0.35">
      <c r="G999" s="3"/>
      <c r="H999" s="3"/>
      <c r="I999" s="3"/>
      <c r="J999" s="3"/>
    </row>
    <row r="1000" spans="7:10" x14ac:dyDescent="0.35">
      <c r="G1000" s="3"/>
      <c r="H1000" s="3"/>
      <c r="I1000" s="3"/>
      <c r="J1000" s="3"/>
    </row>
    <row r="1001" spans="7:10" x14ac:dyDescent="0.35">
      <c r="G1001" s="3"/>
      <c r="H1001" s="3"/>
      <c r="I1001" s="3"/>
      <c r="J1001" s="3"/>
    </row>
    <row r="1002" spans="7:10" x14ac:dyDescent="0.35">
      <c r="G1002" s="3"/>
      <c r="H1002" s="3"/>
      <c r="I1002" s="3"/>
      <c r="J1002" s="3"/>
    </row>
    <row r="1003" spans="7:10" x14ac:dyDescent="0.35">
      <c r="G1003" s="3"/>
      <c r="H1003" s="3"/>
      <c r="I1003" s="3"/>
      <c r="J1003" s="3"/>
    </row>
    <row r="1004" spans="7:10" x14ac:dyDescent="0.35">
      <c r="G1004" s="3"/>
      <c r="H1004" s="3"/>
      <c r="I1004" s="3"/>
      <c r="J1004" s="3"/>
    </row>
    <row r="1005" spans="7:10" x14ac:dyDescent="0.35">
      <c r="G1005" s="3"/>
      <c r="H1005" s="3"/>
      <c r="I1005" s="3"/>
      <c r="J1005" s="3"/>
    </row>
    <row r="1006" spans="7:10" x14ac:dyDescent="0.35">
      <c r="G1006" s="3"/>
      <c r="H1006" s="3"/>
      <c r="I1006" s="3"/>
      <c r="J1006" s="3"/>
    </row>
    <row r="1007" spans="7:10" x14ac:dyDescent="0.35">
      <c r="G1007" s="3"/>
      <c r="H1007" s="3"/>
      <c r="I1007" s="3"/>
      <c r="J1007" s="3"/>
    </row>
    <row r="1008" spans="7:10" x14ac:dyDescent="0.35">
      <c r="G1008" s="3"/>
      <c r="H1008" s="3"/>
      <c r="I1008" s="3"/>
      <c r="J1008" s="3"/>
    </row>
    <row r="1009" spans="7:10" x14ac:dyDescent="0.35">
      <c r="G1009" s="3"/>
      <c r="H1009" s="3"/>
      <c r="I1009" s="3"/>
      <c r="J1009" s="3"/>
    </row>
    <row r="1010" spans="7:10" x14ac:dyDescent="0.35">
      <c r="G1010" s="3"/>
      <c r="H1010" s="3"/>
      <c r="I1010" s="3"/>
      <c r="J1010" s="3"/>
    </row>
    <row r="1011" spans="7:10" x14ac:dyDescent="0.35">
      <c r="G1011" s="3"/>
      <c r="H1011" s="3"/>
      <c r="I1011" s="3"/>
      <c r="J1011" s="3"/>
    </row>
    <row r="1012" spans="7:10" x14ac:dyDescent="0.35">
      <c r="G1012" s="3"/>
      <c r="H1012" s="3"/>
      <c r="I1012" s="3"/>
      <c r="J1012" s="3"/>
    </row>
    <row r="1013" spans="7:10" x14ac:dyDescent="0.35">
      <c r="G1013" s="3"/>
      <c r="H1013" s="3"/>
      <c r="I1013" s="3"/>
      <c r="J1013" s="3"/>
    </row>
    <row r="1014" spans="7:10" x14ac:dyDescent="0.35">
      <c r="G1014" s="3"/>
      <c r="H1014" s="3"/>
      <c r="I1014" s="3"/>
      <c r="J1014" s="3"/>
    </row>
    <row r="1015" spans="7:10" x14ac:dyDescent="0.35">
      <c r="G1015" s="3"/>
      <c r="H1015" s="3"/>
      <c r="I1015" s="3"/>
      <c r="J1015" s="3"/>
    </row>
    <row r="1016" spans="7:10" x14ac:dyDescent="0.35">
      <c r="G1016" s="3"/>
      <c r="H1016" s="3"/>
      <c r="I1016" s="3"/>
      <c r="J1016" s="3"/>
    </row>
    <row r="1017" spans="7:10" x14ac:dyDescent="0.35">
      <c r="G1017" s="3"/>
      <c r="H1017" s="3"/>
      <c r="I1017" s="3"/>
      <c r="J1017" s="3"/>
    </row>
    <row r="1018" spans="7:10" x14ac:dyDescent="0.35">
      <c r="G1018" s="3"/>
      <c r="H1018" s="3"/>
      <c r="I1018" s="3"/>
      <c r="J1018" s="3"/>
    </row>
    <row r="1019" spans="7:10" x14ac:dyDescent="0.35">
      <c r="G1019" s="3"/>
      <c r="H1019" s="3"/>
      <c r="I1019" s="3"/>
      <c r="J1019" s="3"/>
    </row>
    <row r="1020" spans="7:10" x14ac:dyDescent="0.35">
      <c r="G1020" s="3"/>
      <c r="H1020" s="3"/>
      <c r="I1020" s="3"/>
      <c r="J1020" s="3"/>
    </row>
    <row r="1021" spans="7:10" x14ac:dyDescent="0.35">
      <c r="G1021" s="3"/>
      <c r="H1021" s="3"/>
      <c r="I1021" s="3"/>
      <c r="J1021" s="3"/>
    </row>
    <row r="1022" spans="7:10" x14ac:dyDescent="0.35">
      <c r="G1022" s="3"/>
      <c r="H1022" s="3"/>
      <c r="I1022" s="3"/>
      <c r="J1022" s="3"/>
    </row>
    <row r="1023" spans="7:10" x14ac:dyDescent="0.35">
      <c r="G1023" s="3"/>
      <c r="H1023" s="3"/>
      <c r="I1023" s="3"/>
      <c r="J1023" s="3"/>
    </row>
    <row r="1024" spans="7:10" x14ac:dyDescent="0.35">
      <c r="G1024" s="3"/>
      <c r="H1024" s="3"/>
      <c r="I1024" s="3"/>
      <c r="J1024" s="3"/>
    </row>
    <row r="1025" spans="7:10" x14ac:dyDescent="0.35">
      <c r="G1025" s="3"/>
      <c r="H1025" s="3"/>
      <c r="I1025" s="3"/>
      <c r="J1025" s="3"/>
    </row>
    <row r="1026" spans="7:10" x14ac:dyDescent="0.35">
      <c r="G1026" s="3"/>
      <c r="H1026" s="3"/>
      <c r="I1026" s="3"/>
      <c r="J1026" s="3"/>
    </row>
    <row r="1027" spans="7:10" x14ac:dyDescent="0.35">
      <c r="G1027" s="3"/>
      <c r="H1027" s="3"/>
      <c r="I1027" s="3"/>
      <c r="J1027" s="3"/>
    </row>
    <row r="1028" spans="7:10" x14ac:dyDescent="0.35">
      <c r="G1028" s="3"/>
      <c r="H1028" s="3"/>
      <c r="I1028" s="3"/>
      <c r="J1028" s="3"/>
    </row>
    <row r="1029" spans="7:10" x14ac:dyDescent="0.35">
      <c r="G1029" s="3"/>
      <c r="H1029" s="3"/>
      <c r="I1029" s="3"/>
      <c r="J1029" s="3"/>
    </row>
    <row r="1030" spans="7:10" x14ac:dyDescent="0.35">
      <c r="G1030" s="3"/>
      <c r="H1030" s="3"/>
      <c r="I1030" s="3"/>
      <c r="J1030" s="3"/>
    </row>
    <row r="1031" spans="7:10" x14ac:dyDescent="0.35">
      <c r="G1031" s="3"/>
      <c r="H1031" s="3"/>
      <c r="I1031" s="3"/>
      <c r="J1031" s="3"/>
    </row>
    <row r="1032" spans="7:10" x14ac:dyDescent="0.35">
      <c r="G1032" s="3"/>
      <c r="H1032" s="3"/>
      <c r="I1032" s="3"/>
      <c r="J1032" s="3"/>
    </row>
    <row r="1033" spans="7:10" x14ac:dyDescent="0.35">
      <c r="G1033" s="3"/>
      <c r="H1033" s="3"/>
      <c r="I1033" s="3"/>
      <c r="J1033" s="3"/>
    </row>
    <row r="1034" spans="7:10" x14ac:dyDescent="0.35">
      <c r="G1034" s="3"/>
      <c r="H1034" s="3"/>
      <c r="I1034" s="3"/>
      <c r="J1034" s="3"/>
    </row>
    <row r="1035" spans="7:10" x14ac:dyDescent="0.35">
      <c r="G1035" s="3"/>
      <c r="H1035" s="3"/>
      <c r="I1035" s="3"/>
      <c r="J1035" s="3"/>
    </row>
    <row r="1036" spans="7:10" x14ac:dyDescent="0.35">
      <c r="G1036" s="3"/>
      <c r="H1036" s="3"/>
      <c r="I1036" s="3"/>
      <c r="J1036" s="3"/>
    </row>
    <row r="1037" spans="7:10" x14ac:dyDescent="0.35">
      <c r="G1037" s="3"/>
      <c r="H1037" s="3"/>
      <c r="I1037" s="3"/>
      <c r="J1037" s="3"/>
    </row>
    <row r="1038" spans="7:10" x14ac:dyDescent="0.35">
      <c r="G1038" s="3"/>
      <c r="H1038" s="3"/>
      <c r="I1038" s="3"/>
      <c r="J1038" s="3"/>
    </row>
    <row r="1039" spans="7:10" x14ac:dyDescent="0.35">
      <c r="G1039" s="3"/>
      <c r="H1039" s="3"/>
      <c r="I1039" s="3"/>
      <c r="J1039" s="3"/>
    </row>
    <row r="1040" spans="7:10" x14ac:dyDescent="0.35">
      <c r="G1040" s="3"/>
      <c r="H1040" s="3"/>
      <c r="I1040" s="3"/>
      <c r="J1040" s="3"/>
    </row>
    <row r="1041" spans="7:10" x14ac:dyDescent="0.35">
      <c r="G1041" s="3"/>
      <c r="H1041" s="3"/>
      <c r="I1041" s="3"/>
      <c r="J1041" s="3"/>
    </row>
    <row r="1042" spans="7:10" x14ac:dyDescent="0.35">
      <c r="G1042" s="3"/>
      <c r="H1042" s="3"/>
      <c r="I1042" s="3"/>
      <c r="J1042" s="3"/>
    </row>
    <row r="1043" spans="7:10" x14ac:dyDescent="0.35">
      <c r="G1043" s="3"/>
      <c r="H1043" s="3"/>
      <c r="I1043" s="3"/>
      <c r="J1043" s="3"/>
    </row>
    <row r="1044" spans="7:10" x14ac:dyDescent="0.35">
      <c r="G1044" s="3"/>
      <c r="H1044" s="3"/>
      <c r="I1044" s="3"/>
      <c r="J1044" s="3"/>
    </row>
    <row r="1045" spans="7:10" x14ac:dyDescent="0.35">
      <c r="G1045" s="3"/>
      <c r="H1045" s="3"/>
      <c r="I1045" s="3"/>
      <c r="J1045" s="3"/>
    </row>
    <row r="1046" spans="7:10" x14ac:dyDescent="0.35">
      <c r="G1046" s="3"/>
      <c r="H1046" s="3"/>
      <c r="I1046" s="3"/>
      <c r="J1046" s="3"/>
    </row>
    <row r="1047" spans="7:10" x14ac:dyDescent="0.35">
      <c r="G1047" s="3"/>
      <c r="H1047" s="3"/>
      <c r="I1047" s="3"/>
      <c r="J1047" s="3"/>
    </row>
    <row r="1048" spans="7:10" x14ac:dyDescent="0.35">
      <c r="G1048" s="3"/>
      <c r="H1048" s="3"/>
      <c r="I1048" s="3"/>
      <c r="J1048" s="3"/>
    </row>
    <row r="1049" spans="7:10" x14ac:dyDescent="0.35">
      <c r="G1049" s="3"/>
      <c r="H1049" s="3"/>
      <c r="I1049" s="3"/>
      <c r="J1049" s="3"/>
    </row>
    <row r="1050" spans="7:10" x14ac:dyDescent="0.35">
      <c r="G1050" s="3"/>
      <c r="H1050" s="3"/>
      <c r="I1050" s="3"/>
      <c r="J1050" s="3"/>
    </row>
    <row r="1051" spans="7:10" x14ac:dyDescent="0.35">
      <c r="G1051" s="3"/>
      <c r="H1051" s="3"/>
      <c r="I1051" s="3"/>
      <c r="J1051" s="3"/>
    </row>
    <row r="1052" spans="7:10" x14ac:dyDescent="0.35">
      <c r="G1052" s="3"/>
      <c r="H1052" s="3"/>
      <c r="I1052" s="3"/>
      <c r="J1052" s="3"/>
    </row>
    <row r="1053" spans="7:10" x14ac:dyDescent="0.35">
      <c r="G1053" s="3"/>
      <c r="H1053" s="3"/>
      <c r="I1053" s="3"/>
      <c r="J1053" s="3"/>
    </row>
    <row r="1054" spans="7:10" x14ac:dyDescent="0.35">
      <c r="G1054" s="3"/>
      <c r="H1054" s="3"/>
      <c r="I1054" s="3"/>
      <c r="J1054" s="3"/>
    </row>
    <row r="1055" spans="7:10" x14ac:dyDescent="0.35">
      <c r="G1055" s="3"/>
      <c r="H1055" s="3"/>
      <c r="I1055" s="3"/>
      <c r="J1055" s="3"/>
    </row>
    <row r="1056" spans="7:10" x14ac:dyDescent="0.35">
      <c r="G1056" s="3"/>
      <c r="H1056" s="3"/>
      <c r="I1056" s="3"/>
      <c r="J1056" s="3"/>
    </row>
    <row r="1057" spans="7:10" x14ac:dyDescent="0.35">
      <c r="G1057" s="3"/>
      <c r="H1057" s="3"/>
      <c r="I1057" s="3"/>
      <c r="J1057" s="3"/>
    </row>
    <row r="1058" spans="7:10" x14ac:dyDescent="0.35">
      <c r="G1058" s="3"/>
      <c r="H1058" s="3"/>
      <c r="I1058" s="3"/>
      <c r="J1058" s="3"/>
    </row>
    <row r="1059" spans="7:10" x14ac:dyDescent="0.35">
      <c r="G1059" s="3"/>
      <c r="H1059" s="3"/>
      <c r="I1059" s="3"/>
      <c r="J1059" s="3"/>
    </row>
    <row r="1060" spans="7:10" x14ac:dyDescent="0.35">
      <c r="G1060" s="3"/>
      <c r="H1060" s="3"/>
      <c r="I1060" s="3"/>
      <c r="J1060" s="3"/>
    </row>
    <row r="1061" spans="7:10" x14ac:dyDescent="0.35">
      <c r="G1061" s="3"/>
      <c r="H1061" s="3"/>
      <c r="I1061" s="3"/>
      <c r="J1061" s="3"/>
    </row>
    <row r="1062" spans="7:10" x14ac:dyDescent="0.35">
      <c r="G1062" s="3"/>
      <c r="H1062" s="3"/>
      <c r="I1062" s="3"/>
      <c r="J1062" s="3"/>
    </row>
    <row r="1063" spans="7:10" x14ac:dyDescent="0.35">
      <c r="G1063" s="3"/>
      <c r="H1063" s="3"/>
      <c r="I1063" s="3"/>
      <c r="J1063" s="3"/>
    </row>
    <row r="1064" spans="7:10" x14ac:dyDescent="0.35">
      <c r="G1064" s="3"/>
      <c r="H1064" s="3"/>
      <c r="I1064" s="3"/>
      <c r="J1064" s="3"/>
    </row>
    <row r="1065" spans="7:10" x14ac:dyDescent="0.35">
      <c r="G1065" s="3"/>
      <c r="H1065" s="3"/>
      <c r="I1065" s="3"/>
      <c r="J1065" s="3"/>
    </row>
    <row r="1066" spans="7:10" x14ac:dyDescent="0.35">
      <c r="G1066" s="3"/>
      <c r="H1066" s="3"/>
      <c r="I1066" s="3"/>
      <c r="J1066" s="3"/>
    </row>
    <row r="1067" spans="7:10" x14ac:dyDescent="0.35">
      <c r="G1067" s="3"/>
      <c r="H1067" s="3"/>
      <c r="I1067" s="3"/>
      <c r="J1067" s="3"/>
    </row>
    <row r="1068" spans="7:10" x14ac:dyDescent="0.35">
      <c r="G1068" s="3"/>
      <c r="H1068" s="3"/>
      <c r="I1068" s="3"/>
      <c r="J1068" s="3"/>
    </row>
    <row r="1069" spans="7:10" x14ac:dyDescent="0.35">
      <c r="G1069" s="3"/>
      <c r="H1069" s="3"/>
      <c r="I1069" s="3"/>
      <c r="J1069" s="3"/>
    </row>
    <row r="1070" spans="7:10" x14ac:dyDescent="0.35">
      <c r="G1070" s="3"/>
      <c r="H1070" s="3"/>
      <c r="I1070" s="3"/>
      <c r="J1070" s="3"/>
    </row>
    <row r="1071" spans="7:10" x14ac:dyDescent="0.35">
      <c r="G1071" s="3"/>
      <c r="H1071" s="3"/>
      <c r="I1071" s="3"/>
      <c r="J1071" s="3"/>
    </row>
    <row r="1072" spans="7:10" x14ac:dyDescent="0.35">
      <c r="G1072" s="3"/>
      <c r="H1072" s="3"/>
      <c r="I1072" s="3"/>
      <c r="J1072" s="3"/>
    </row>
    <row r="1073" spans="7:10" x14ac:dyDescent="0.35">
      <c r="G1073" s="3"/>
      <c r="H1073" s="3"/>
      <c r="I1073" s="3"/>
      <c r="J1073" s="3"/>
    </row>
    <row r="1074" spans="7:10" x14ac:dyDescent="0.35">
      <c r="G1074" s="3"/>
      <c r="H1074" s="3"/>
      <c r="I1074" s="3"/>
      <c r="J1074" s="3"/>
    </row>
    <row r="1075" spans="7:10" x14ac:dyDescent="0.35">
      <c r="G1075" s="3"/>
      <c r="H1075" s="3"/>
      <c r="I1075" s="3"/>
      <c r="J1075" s="3"/>
    </row>
    <row r="1076" spans="7:10" x14ac:dyDescent="0.35">
      <c r="G1076" s="3"/>
      <c r="H1076" s="3"/>
      <c r="I1076" s="3"/>
      <c r="J1076" s="3"/>
    </row>
    <row r="1077" spans="7:10" x14ac:dyDescent="0.35">
      <c r="G1077" s="3"/>
      <c r="H1077" s="3"/>
      <c r="I1077" s="3"/>
      <c r="J1077" s="3"/>
    </row>
    <row r="1078" spans="7:10" x14ac:dyDescent="0.35">
      <c r="G1078" s="3"/>
      <c r="H1078" s="3"/>
      <c r="I1078" s="3"/>
      <c r="J1078" s="3"/>
    </row>
    <row r="1079" spans="7:10" x14ac:dyDescent="0.35">
      <c r="G1079" s="3"/>
      <c r="H1079" s="3"/>
      <c r="I1079" s="3"/>
      <c r="J1079" s="3"/>
    </row>
    <row r="1080" spans="7:10" x14ac:dyDescent="0.35">
      <c r="G1080" s="3"/>
      <c r="H1080" s="3"/>
      <c r="I1080" s="3"/>
      <c r="J1080" s="3"/>
    </row>
    <row r="1081" spans="7:10" x14ac:dyDescent="0.35">
      <c r="G1081" s="3"/>
      <c r="H1081" s="3"/>
      <c r="I1081" s="3"/>
      <c r="J1081" s="3"/>
    </row>
    <row r="1082" spans="7:10" x14ac:dyDescent="0.35">
      <c r="G1082" s="3"/>
      <c r="H1082" s="3"/>
      <c r="I1082" s="3"/>
      <c r="J1082" s="3"/>
    </row>
    <row r="1083" spans="7:10" x14ac:dyDescent="0.35">
      <c r="G1083" s="3"/>
      <c r="H1083" s="3"/>
      <c r="I1083" s="3"/>
      <c r="J1083" s="3"/>
    </row>
    <row r="1084" spans="7:10" x14ac:dyDescent="0.35">
      <c r="G1084" s="3"/>
      <c r="H1084" s="3"/>
      <c r="I1084" s="3"/>
      <c r="J1084" s="3"/>
    </row>
    <row r="1085" spans="7:10" x14ac:dyDescent="0.35">
      <c r="G1085" s="3"/>
      <c r="H1085" s="3"/>
      <c r="I1085" s="3"/>
      <c r="J1085" s="3"/>
    </row>
    <row r="1086" spans="7:10" x14ac:dyDescent="0.35">
      <c r="G1086" s="3"/>
      <c r="H1086" s="3"/>
      <c r="I1086" s="3"/>
      <c r="J1086" s="3"/>
    </row>
    <row r="1087" spans="7:10" x14ac:dyDescent="0.35">
      <c r="G1087" s="3"/>
      <c r="H1087" s="3"/>
      <c r="I1087" s="3"/>
      <c r="J1087" s="3"/>
    </row>
    <row r="1088" spans="7:10" x14ac:dyDescent="0.35">
      <c r="G1088" s="3"/>
      <c r="H1088" s="3"/>
      <c r="I1088" s="3"/>
      <c r="J1088" s="3"/>
    </row>
    <row r="1089" spans="7:10" x14ac:dyDescent="0.35">
      <c r="G1089" s="3"/>
      <c r="H1089" s="3"/>
      <c r="I1089" s="3"/>
      <c r="J1089" s="3"/>
    </row>
    <row r="1090" spans="7:10" x14ac:dyDescent="0.35">
      <c r="G1090" s="3"/>
      <c r="H1090" s="3"/>
      <c r="I1090" s="3"/>
      <c r="J1090" s="3"/>
    </row>
    <row r="1091" spans="7:10" x14ac:dyDescent="0.35">
      <c r="G1091" s="3"/>
      <c r="H1091" s="3"/>
      <c r="I1091" s="3"/>
      <c r="J1091" s="3"/>
    </row>
    <row r="1092" spans="7:10" x14ac:dyDescent="0.35">
      <c r="G1092" s="3"/>
      <c r="H1092" s="3"/>
      <c r="I1092" s="3"/>
      <c r="J1092" s="3"/>
    </row>
    <row r="1093" spans="7:10" x14ac:dyDescent="0.35">
      <c r="G1093" s="3"/>
      <c r="H1093" s="3"/>
      <c r="I1093" s="3"/>
      <c r="J1093" s="3"/>
    </row>
    <row r="1094" spans="7:10" x14ac:dyDescent="0.35">
      <c r="G1094" s="3"/>
      <c r="H1094" s="3"/>
      <c r="I1094" s="3"/>
      <c r="J1094" s="3"/>
    </row>
    <row r="1095" spans="7:10" x14ac:dyDescent="0.35">
      <c r="G1095" s="3"/>
      <c r="H1095" s="3"/>
      <c r="I1095" s="3"/>
      <c r="J1095" s="3"/>
    </row>
    <row r="1096" spans="7:10" x14ac:dyDescent="0.35">
      <c r="G1096" s="3"/>
      <c r="H1096" s="3"/>
      <c r="I1096" s="3"/>
      <c r="J1096" s="3"/>
    </row>
    <row r="1097" spans="7:10" x14ac:dyDescent="0.35">
      <c r="G1097" s="3"/>
      <c r="H1097" s="3"/>
      <c r="I1097" s="3"/>
      <c r="J1097" s="3"/>
    </row>
    <row r="1098" spans="7:10" x14ac:dyDescent="0.35">
      <c r="G1098" s="3"/>
      <c r="H1098" s="3"/>
      <c r="I1098" s="3"/>
      <c r="J1098" s="3"/>
    </row>
    <row r="1099" spans="7:10" x14ac:dyDescent="0.35">
      <c r="G1099" s="3"/>
      <c r="H1099" s="3"/>
      <c r="I1099" s="3"/>
      <c r="J1099" s="3"/>
    </row>
    <row r="1100" spans="7:10" x14ac:dyDescent="0.35">
      <c r="G1100" s="3"/>
      <c r="H1100" s="3"/>
      <c r="I1100" s="3"/>
      <c r="J1100" s="3"/>
    </row>
    <row r="1101" spans="7:10" x14ac:dyDescent="0.35">
      <c r="G1101" s="3"/>
      <c r="H1101" s="3"/>
      <c r="I1101" s="3"/>
      <c r="J1101" s="3"/>
    </row>
    <row r="1102" spans="7:10" x14ac:dyDescent="0.35">
      <c r="G1102" s="3"/>
      <c r="H1102" s="3"/>
      <c r="I1102" s="3"/>
      <c r="J1102" s="3"/>
    </row>
    <row r="1103" spans="7:10" x14ac:dyDescent="0.35">
      <c r="G1103" s="3"/>
      <c r="H1103" s="3"/>
      <c r="I1103" s="3"/>
      <c r="J1103" s="3"/>
    </row>
    <row r="1104" spans="7:10" x14ac:dyDescent="0.35">
      <c r="G1104" s="3"/>
      <c r="H1104" s="3"/>
      <c r="I1104" s="3"/>
      <c r="J1104" s="3"/>
    </row>
    <row r="1105" spans="7:10" x14ac:dyDescent="0.35">
      <c r="G1105" s="3"/>
      <c r="H1105" s="3"/>
      <c r="I1105" s="3"/>
      <c r="J1105" s="3"/>
    </row>
    <row r="1106" spans="7:10" x14ac:dyDescent="0.35">
      <c r="G1106" s="3"/>
      <c r="H1106" s="3"/>
      <c r="I1106" s="3"/>
      <c r="J1106" s="3"/>
    </row>
    <row r="1107" spans="7:10" x14ac:dyDescent="0.35">
      <c r="G1107" s="3"/>
      <c r="H1107" s="3"/>
      <c r="I1107" s="3"/>
      <c r="J1107" s="3"/>
    </row>
    <row r="1108" spans="7:10" x14ac:dyDescent="0.35">
      <c r="G1108" s="3"/>
      <c r="H1108" s="3"/>
      <c r="I1108" s="3"/>
      <c r="J1108" s="3"/>
    </row>
    <row r="1109" spans="7:10" x14ac:dyDescent="0.35">
      <c r="G1109" s="3"/>
      <c r="H1109" s="3"/>
      <c r="I1109" s="3"/>
      <c r="J1109" s="3"/>
    </row>
    <row r="1110" spans="7:10" x14ac:dyDescent="0.35">
      <c r="G1110" s="3"/>
      <c r="H1110" s="3"/>
      <c r="I1110" s="3"/>
      <c r="J1110" s="3"/>
    </row>
    <row r="1111" spans="7:10" x14ac:dyDescent="0.35">
      <c r="G1111" s="3"/>
      <c r="H1111" s="3"/>
      <c r="I1111" s="3"/>
      <c r="J1111" s="3"/>
    </row>
    <row r="1112" spans="7:10" x14ac:dyDescent="0.35">
      <c r="G1112" s="3"/>
      <c r="H1112" s="3"/>
      <c r="I1112" s="3"/>
      <c r="J1112" s="3"/>
    </row>
    <row r="1113" spans="7:10" x14ac:dyDescent="0.35">
      <c r="G1113" s="3"/>
      <c r="H1113" s="3"/>
      <c r="I1113" s="3"/>
      <c r="J1113" s="3"/>
    </row>
    <row r="1114" spans="7:10" x14ac:dyDescent="0.35">
      <c r="G1114" s="3"/>
      <c r="H1114" s="3"/>
      <c r="I1114" s="3"/>
      <c r="J1114" s="3"/>
    </row>
    <row r="1115" spans="7:10" x14ac:dyDescent="0.35">
      <c r="G1115" s="3"/>
      <c r="H1115" s="3"/>
      <c r="I1115" s="3"/>
      <c r="J1115" s="3"/>
    </row>
    <row r="1116" spans="7:10" x14ac:dyDescent="0.35">
      <c r="G1116" s="3"/>
      <c r="H1116" s="3"/>
      <c r="I1116" s="3"/>
      <c r="J1116" s="3"/>
    </row>
    <row r="1117" spans="7:10" x14ac:dyDescent="0.35">
      <c r="G1117" s="3"/>
      <c r="H1117" s="3"/>
      <c r="I1117" s="3"/>
      <c r="J1117" s="3"/>
    </row>
    <row r="1118" spans="7:10" x14ac:dyDescent="0.35">
      <c r="G1118" s="3"/>
      <c r="H1118" s="3"/>
      <c r="I1118" s="3"/>
      <c r="J1118" s="3"/>
    </row>
    <row r="1119" spans="7:10" x14ac:dyDescent="0.35">
      <c r="G1119" s="3"/>
      <c r="H1119" s="3"/>
      <c r="I1119" s="3"/>
      <c r="J1119" s="3"/>
    </row>
    <row r="1120" spans="7:10" x14ac:dyDescent="0.35">
      <c r="G1120" s="3"/>
      <c r="H1120" s="3"/>
      <c r="I1120" s="3"/>
      <c r="J1120" s="3"/>
    </row>
    <row r="1121" spans="7:10" x14ac:dyDescent="0.35">
      <c r="G1121" s="3"/>
      <c r="H1121" s="3"/>
      <c r="I1121" s="3"/>
      <c r="J1121" s="3"/>
    </row>
    <row r="1122" spans="7:10" x14ac:dyDescent="0.35">
      <c r="G1122" s="3"/>
      <c r="H1122" s="3"/>
      <c r="I1122" s="3"/>
      <c r="J1122" s="3"/>
    </row>
    <row r="1123" spans="7:10" x14ac:dyDescent="0.35">
      <c r="G1123" s="3"/>
      <c r="H1123" s="3"/>
      <c r="I1123" s="3"/>
      <c r="J1123" s="3"/>
    </row>
    <row r="1124" spans="7:10" x14ac:dyDescent="0.35">
      <c r="G1124" s="3"/>
      <c r="H1124" s="3"/>
      <c r="I1124" s="3"/>
      <c r="J1124" s="3"/>
    </row>
    <row r="1125" spans="7:10" x14ac:dyDescent="0.35">
      <c r="G1125" s="3"/>
      <c r="H1125" s="3"/>
      <c r="I1125" s="3"/>
      <c r="J1125" s="3"/>
    </row>
    <row r="1126" spans="7:10" x14ac:dyDescent="0.35">
      <c r="G1126" s="3"/>
      <c r="H1126" s="3"/>
      <c r="I1126" s="3"/>
      <c r="J1126" s="3"/>
    </row>
    <row r="1127" spans="7:10" x14ac:dyDescent="0.35">
      <c r="G1127" s="3"/>
      <c r="H1127" s="3"/>
      <c r="I1127" s="3"/>
      <c r="J1127" s="3"/>
    </row>
    <row r="1128" spans="7:10" x14ac:dyDescent="0.35">
      <c r="G1128" s="3"/>
      <c r="H1128" s="3"/>
      <c r="I1128" s="3"/>
      <c r="J1128" s="3"/>
    </row>
    <row r="1129" spans="7:10" x14ac:dyDescent="0.35">
      <c r="G1129" s="3"/>
      <c r="H1129" s="3"/>
      <c r="I1129" s="3"/>
      <c r="J1129" s="3"/>
    </row>
    <row r="1130" spans="7:10" x14ac:dyDescent="0.35">
      <c r="G1130" s="3"/>
      <c r="H1130" s="3"/>
      <c r="I1130" s="3"/>
      <c r="J1130" s="3"/>
    </row>
    <row r="1131" spans="7:10" x14ac:dyDescent="0.35">
      <c r="G1131" s="3"/>
      <c r="H1131" s="3"/>
      <c r="I1131" s="3"/>
      <c r="J1131" s="3"/>
    </row>
    <row r="1132" spans="7:10" x14ac:dyDescent="0.35">
      <c r="G1132" s="3"/>
      <c r="H1132" s="3"/>
      <c r="I1132" s="3"/>
      <c r="J1132" s="3"/>
    </row>
    <row r="1133" spans="7:10" x14ac:dyDescent="0.35">
      <c r="G1133" s="3"/>
      <c r="H1133" s="3"/>
      <c r="I1133" s="3"/>
      <c r="J1133" s="3"/>
    </row>
    <row r="1134" spans="7:10" x14ac:dyDescent="0.35">
      <c r="G1134" s="3"/>
      <c r="H1134" s="3"/>
      <c r="I1134" s="3"/>
      <c r="J1134" s="3"/>
    </row>
    <row r="1135" spans="7:10" x14ac:dyDescent="0.35">
      <c r="G1135" s="3"/>
      <c r="H1135" s="3"/>
      <c r="I1135" s="3"/>
      <c r="J1135" s="3"/>
    </row>
    <row r="1136" spans="7:10" x14ac:dyDescent="0.35">
      <c r="G1136" s="3"/>
      <c r="H1136" s="3"/>
      <c r="I1136" s="3"/>
      <c r="J1136" s="3"/>
    </row>
    <row r="1137" spans="7:10" x14ac:dyDescent="0.35">
      <c r="G1137" s="3"/>
      <c r="H1137" s="3"/>
      <c r="I1137" s="3"/>
      <c r="J1137" s="3"/>
    </row>
    <row r="1138" spans="7:10" x14ac:dyDescent="0.35">
      <c r="G1138" s="3"/>
      <c r="H1138" s="3"/>
      <c r="I1138" s="3"/>
      <c r="J1138" s="3"/>
    </row>
    <row r="1139" spans="7:10" x14ac:dyDescent="0.35">
      <c r="G1139" s="3"/>
      <c r="H1139" s="3"/>
      <c r="I1139" s="3"/>
      <c r="J1139" s="3"/>
    </row>
    <row r="1140" spans="7:10" x14ac:dyDescent="0.35">
      <c r="G1140" s="3"/>
      <c r="H1140" s="3"/>
      <c r="I1140" s="3"/>
      <c r="J1140" s="3"/>
    </row>
    <row r="1141" spans="7:10" x14ac:dyDescent="0.35">
      <c r="G1141" s="3"/>
      <c r="H1141" s="3"/>
      <c r="I1141" s="3"/>
      <c r="J1141" s="3"/>
    </row>
    <row r="1142" spans="7:10" x14ac:dyDescent="0.35">
      <c r="G1142" s="3"/>
      <c r="H1142" s="3"/>
      <c r="I1142" s="3"/>
      <c r="J1142" s="3"/>
    </row>
    <row r="1143" spans="7:10" x14ac:dyDescent="0.35">
      <c r="G1143" s="3"/>
      <c r="H1143" s="3"/>
      <c r="I1143" s="3"/>
      <c r="J1143" s="3"/>
    </row>
    <row r="1144" spans="7:10" x14ac:dyDescent="0.35">
      <c r="G1144" s="3"/>
      <c r="H1144" s="3"/>
      <c r="I1144" s="3"/>
      <c r="J1144" s="3"/>
    </row>
    <row r="1145" spans="7:10" x14ac:dyDescent="0.35">
      <c r="G1145" s="3"/>
      <c r="H1145" s="3"/>
      <c r="I1145" s="3"/>
      <c r="J1145" s="3"/>
    </row>
    <row r="1146" spans="7:10" x14ac:dyDescent="0.35">
      <c r="G1146" s="3"/>
      <c r="H1146" s="3"/>
      <c r="I1146" s="3"/>
      <c r="J1146" s="3"/>
    </row>
    <row r="1147" spans="7:10" x14ac:dyDescent="0.35">
      <c r="G1147" s="3"/>
      <c r="H1147" s="3"/>
      <c r="I1147" s="3"/>
      <c r="J1147" s="3"/>
    </row>
    <row r="1148" spans="7:10" x14ac:dyDescent="0.35">
      <c r="G1148" s="3"/>
      <c r="H1148" s="3"/>
      <c r="I1148" s="3"/>
      <c r="J1148" s="3"/>
    </row>
    <row r="1149" spans="7:10" x14ac:dyDescent="0.35">
      <c r="G1149" s="3"/>
      <c r="H1149" s="3"/>
      <c r="I1149" s="3"/>
      <c r="J1149" s="3"/>
    </row>
    <row r="1150" spans="7:10" x14ac:dyDescent="0.35">
      <c r="G1150" s="3"/>
      <c r="H1150" s="3"/>
      <c r="I1150" s="3"/>
      <c r="J1150" s="3"/>
    </row>
    <row r="1151" spans="7:10" x14ac:dyDescent="0.35">
      <c r="G1151" s="3"/>
      <c r="H1151" s="3"/>
      <c r="I1151" s="3"/>
      <c r="J1151" s="3"/>
    </row>
    <row r="1152" spans="7:10" x14ac:dyDescent="0.35">
      <c r="G1152" s="3"/>
      <c r="H1152" s="3"/>
      <c r="I1152" s="3"/>
      <c r="J1152" s="3"/>
    </row>
    <row r="1153" spans="7:10" x14ac:dyDescent="0.35">
      <c r="G1153" s="3"/>
      <c r="H1153" s="3"/>
      <c r="I1153" s="3"/>
      <c r="J1153" s="3"/>
    </row>
    <row r="1154" spans="7:10" x14ac:dyDescent="0.35">
      <c r="G1154" s="3"/>
      <c r="H1154" s="3"/>
      <c r="I1154" s="3"/>
      <c r="J1154" s="3"/>
    </row>
    <row r="1155" spans="7:10" x14ac:dyDescent="0.35">
      <c r="G1155" s="3"/>
      <c r="H1155" s="3"/>
      <c r="I1155" s="3"/>
      <c r="J1155" s="3"/>
    </row>
    <row r="1156" spans="7:10" x14ac:dyDescent="0.35">
      <c r="G1156" s="3"/>
      <c r="H1156" s="3"/>
      <c r="I1156" s="3"/>
      <c r="J1156" s="3"/>
    </row>
    <row r="1157" spans="7:10" x14ac:dyDescent="0.35">
      <c r="G1157" s="3"/>
      <c r="H1157" s="3"/>
      <c r="I1157" s="3"/>
      <c r="J1157" s="3"/>
    </row>
    <row r="1158" spans="7:10" x14ac:dyDescent="0.35">
      <c r="G1158" s="3"/>
      <c r="H1158" s="3"/>
      <c r="I1158" s="3"/>
      <c r="J1158" s="3"/>
    </row>
    <row r="1159" spans="7:10" x14ac:dyDescent="0.35">
      <c r="G1159" s="3"/>
      <c r="H1159" s="3"/>
      <c r="I1159" s="3"/>
      <c r="J1159" s="3"/>
    </row>
    <row r="1160" spans="7:10" x14ac:dyDescent="0.35">
      <c r="G1160" s="3"/>
      <c r="H1160" s="3"/>
      <c r="I1160" s="3"/>
      <c r="J1160" s="3"/>
    </row>
    <row r="1161" spans="7:10" x14ac:dyDescent="0.35">
      <c r="G1161" s="3"/>
      <c r="H1161" s="3"/>
      <c r="I1161" s="3"/>
      <c r="J1161" s="3"/>
    </row>
    <row r="1162" spans="7:10" x14ac:dyDescent="0.35">
      <c r="G1162" s="3"/>
      <c r="H1162" s="3"/>
      <c r="I1162" s="3"/>
      <c r="J1162" s="3"/>
    </row>
    <row r="1163" spans="7:10" x14ac:dyDescent="0.35">
      <c r="G1163" s="3"/>
      <c r="H1163" s="3"/>
      <c r="I1163" s="3"/>
      <c r="J1163" s="3"/>
    </row>
    <row r="1164" spans="7:10" x14ac:dyDescent="0.35">
      <c r="G1164" s="3"/>
      <c r="H1164" s="3"/>
      <c r="I1164" s="3"/>
      <c r="J1164" s="3"/>
    </row>
    <row r="1165" spans="7:10" x14ac:dyDescent="0.35">
      <c r="G1165" s="3"/>
      <c r="H1165" s="3"/>
      <c r="I1165" s="3"/>
      <c r="J1165" s="3"/>
    </row>
    <row r="1166" spans="7:10" x14ac:dyDescent="0.35">
      <c r="G1166" s="3"/>
      <c r="H1166" s="3"/>
      <c r="I1166" s="3"/>
      <c r="J1166" s="3"/>
    </row>
    <row r="1167" spans="7:10" x14ac:dyDescent="0.35">
      <c r="G1167" s="3"/>
      <c r="H1167" s="3"/>
      <c r="I1167" s="3"/>
      <c r="J1167" s="3"/>
    </row>
    <row r="1168" spans="7:10" x14ac:dyDescent="0.35">
      <c r="G1168" s="3"/>
      <c r="H1168" s="3"/>
      <c r="I1168" s="3"/>
      <c r="J1168" s="3"/>
    </row>
    <row r="1169" spans="7:10" x14ac:dyDescent="0.35">
      <c r="G1169" s="3"/>
      <c r="H1169" s="3"/>
      <c r="I1169" s="3"/>
      <c r="J1169" s="3"/>
    </row>
    <row r="1170" spans="7:10" x14ac:dyDescent="0.35">
      <c r="G1170" s="3"/>
      <c r="H1170" s="3"/>
      <c r="I1170" s="3"/>
      <c r="J1170" s="3"/>
    </row>
    <row r="1171" spans="7:10" x14ac:dyDescent="0.35">
      <c r="G1171" s="3"/>
      <c r="H1171" s="3"/>
      <c r="I1171" s="3"/>
      <c r="J1171" s="3"/>
    </row>
    <row r="1172" spans="7:10" x14ac:dyDescent="0.35">
      <c r="G1172" s="3"/>
      <c r="H1172" s="3"/>
      <c r="I1172" s="3"/>
      <c r="J1172" s="3"/>
    </row>
    <row r="1173" spans="7:10" x14ac:dyDescent="0.35">
      <c r="G1173" s="3"/>
      <c r="H1173" s="3"/>
      <c r="I1173" s="3"/>
      <c r="J1173" s="3"/>
    </row>
    <row r="1174" spans="7:10" x14ac:dyDescent="0.35">
      <c r="G1174" s="3"/>
      <c r="H1174" s="3"/>
      <c r="I1174" s="3"/>
      <c r="J1174" s="3"/>
    </row>
    <row r="1175" spans="7:10" x14ac:dyDescent="0.35">
      <c r="G1175" s="3"/>
      <c r="H1175" s="3"/>
      <c r="I1175" s="3"/>
      <c r="J1175" s="3"/>
    </row>
    <row r="1176" spans="7:10" x14ac:dyDescent="0.35">
      <c r="G1176" s="3"/>
      <c r="H1176" s="3"/>
      <c r="I1176" s="3"/>
      <c r="J1176" s="3"/>
    </row>
    <row r="1177" spans="7:10" x14ac:dyDescent="0.35">
      <c r="G1177" s="3"/>
      <c r="H1177" s="3"/>
      <c r="I1177" s="3"/>
      <c r="J1177" s="3"/>
    </row>
    <row r="1178" spans="7:10" x14ac:dyDescent="0.35">
      <c r="G1178" s="3"/>
      <c r="H1178" s="3"/>
      <c r="I1178" s="3"/>
      <c r="J1178" s="3"/>
    </row>
    <row r="1179" spans="7:10" x14ac:dyDescent="0.35">
      <c r="G1179" s="3"/>
      <c r="H1179" s="3"/>
      <c r="I1179" s="3"/>
      <c r="J1179" s="3"/>
    </row>
    <row r="1180" spans="7:10" x14ac:dyDescent="0.35">
      <c r="G1180" s="3"/>
      <c r="H1180" s="3"/>
      <c r="I1180" s="3"/>
      <c r="J1180" s="3"/>
    </row>
    <row r="1181" spans="7:10" x14ac:dyDescent="0.35">
      <c r="G1181" s="3"/>
      <c r="H1181" s="3"/>
      <c r="I1181" s="3"/>
      <c r="J1181" s="3"/>
    </row>
    <row r="1182" spans="7:10" x14ac:dyDescent="0.35">
      <c r="G1182" s="3"/>
      <c r="H1182" s="3"/>
      <c r="I1182" s="3"/>
      <c r="J1182" s="3"/>
    </row>
    <row r="1183" spans="7:10" x14ac:dyDescent="0.35">
      <c r="G1183" s="3"/>
      <c r="H1183" s="3"/>
      <c r="I1183" s="3"/>
      <c r="J1183" s="3"/>
    </row>
    <row r="1184" spans="7:10" x14ac:dyDescent="0.35">
      <c r="G1184" s="3"/>
      <c r="H1184" s="3"/>
      <c r="I1184" s="3"/>
      <c r="J1184" s="3"/>
    </row>
    <row r="1185" spans="7:10" x14ac:dyDescent="0.35">
      <c r="G1185" s="3"/>
      <c r="H1185" s="3"/>
      <c r="I1185" s="3"/>
      <c r="J1185" s="3"/>
    </row>
    <row r="1186" spans="7:10" x14ac:dyDescent="0.35">
      <c r="G1186" s="3"/>
      <c r="H1186" s="3"/>
      <c r="I1186" s="3"/>
      <c r="J1186" s="3"/>
    </row>
    <row r="1187" spans="7:10" x14ac:dyDescent="0.35">
      <c r="G1187" s="3"/>
      <c r="H1187" s="3"/>
      <c r="I1187" s="3"/>
      <c r="J1187" s="3"/>
    </row>
    <row r="1188" spans="7:10" x14ac:dyDescent="0.35">
      <c r="G1188" s="3"/>
      <c r="H1188" s="3"/>
      <c r="I1188" s="3"/>
      <c r="J1188" s="3"/>
    </row>
    <row r="1189" spans="7:10" x14ac:dyDescent="0.35">
      <c r="G1189" s="3"/>
      <c r="H1189" s="3"/>
      <c r="I1189" s="3"/>
      <c r="J1189" s="3"/>
    </row>
    <row r="1190" spans="7:10" x14ac:dyDescent="0.35">
      <c r="G1190" s="3"/>
      <c r="H1190" s="3"/>
      <c r="I1190" s="3"/>
      <c r="J1190" s="3"/>
    </row>
    <row r="1191" spans="7:10" x14ac:dyDescent="0.35">
      <c r="G1191" s="3"/>
      <c r="H1191" s="3"/>
      <c r="I1191" s="3"/>
      <c r="J1191" s="3"/>
    </row>
    <row r="1192" spans="7:10" x14ac:dyDescent="0.35">
      <c r="G1192" s="3"/>
      <c r="H1192" s="3"/>
      <c r="I1192" s="3"/>
      <c r="J1192" s="3"/>
    </row>
    <row r="1193" spans="7:10" x14ac:dyDescent="0.35">
      <c r="G1193" s="3"/>
      <c r="H1193" s="3"/>
      <c r="I1193" s="3"/>
      <c r="J1193" s="3"/>
    </row>
    <row r="1194" spans="7:10" x14ac:dyDescent="0.35">
      <c r="G1194" s="3"/>
      <c r="H1194" s="3"/>
      <c r="I1194" s="3"/>
      <c r="J1194" s="3"/>
    </row>
    <row r="1195" spans="7:10" x14ac:dyDescent="0.35">
      <c r="G1195" s="3"/>
      <c r="H1195" s="3"/>
      <c r="I1195" s="3"/>
      <c r="J1195" s="3"/>
    </row>
    <row r="1196" spans="7:10" x14ac:dyDescent="0.35">
      <c r="G1196" s="3"/>
      <c r="H1196" s="3"/>
      <c r="I1196" s="3"/>
      <c r="J1196" s="3"/>
    </row>
    <row r="1197" spans="7:10" x14ac:dyDescent="0.35">
      <c r="G1197" s="3"/>
      <c r="H1197" s="3"/>
      <c r="I1197" s="3"/>
      <c r="J1197" s="3"/>
    </row>
    <row r="1198" spans="7:10" x14ac:dyDescent="0.35">
      <c r="G1198" s="3"/>
      <c r="H1198" s="3"/>
      <c r="I1198" s="3"/>
      <c r="J1198" s="3"/>
    </row>
    <row r="1199" spans="7:10" x14ac:dyDescent="0.35">
      <c r="G1199" s="3"/>
      <c r="H1199" s="3"/>
      <c r="I1199" s="3"/>
      <c r="J1199" s="3"/>
    </row>
    <row r="1200" spans="7:10" x14ac:dyDescent="0.35">
      <c r="G1200" s="3"/>
      <c r="H1200" s="3"/>
      <c r="I1200" s="3"/>
      <c r="J1200" s="3"/>
    </row>
    <row r="1201" spans="7:10" x14ac:dyDescent="0.35">
      <c r="G1201" s="3"/>
      <c r="H1201" s="3"/>
      <c r="I1201" s="3"/>
      <c r="J1201" s="3"/>
    </row>
    <row r="1202" spans="7:10" x14ac:dyDescent="0.35">
      <c r="G1202" s="3"/>
      <c r="H1202" s="3"/>
      <c r="I1202" s="3"/>
      <c r="J1202" s="3"/>
    </row>
    <row r="1203" spans="7:10" x14ac:dyDescent="0.35">
      <c r="G1203" s="3"/>
      <c r="H1203" s="3"/>
      <c r="I1203" s="3"/>
      <c r="J1203" s="3"/>
    </row>
    <row r="1204" spans="7:10" x14ac:dyDescent="0.35">
      <c r="G1204" s="3"/>
      <c r="H1204" s="3"/>
      <c r="I1204" s="3"/>
      <c r="J1204" s="3"/>
    </row>
    <row r="1205" spans="7:10" x14ac:dyDescent="0.35">
      <c r="G1205" s="3"/>
      <c r="H1205" s="3"/>
      <c r="I1205" s="3"/>
      <c r="J1205" s="3"/>
    </row>
    <row r="1206" spans="7:10" x14ac:dyDescent="0.35">
      <c r="G1206" s="3"/>
      <c r="H1206" s="3"/>
      <c r="I1206" s="3"/>
      <c r="J1206" s="3"/>
    </row>
    <row r="1207" spans="7:10" x14ac:dyDescent="0.35">
      <c r="G1207" s="3"/>
      <c r="H1207" s="3"/>
      <c r="I1207" s="3"/>
      <c r="J1207" s="3"/>
    </row>
    <row r="1208" spans="7:10" x14ac:dyDescent="0.35">
      <c r="G1208" s="3"/>
      <c r="H1208" s="3"/>
      <c r="I1208" s="3"/>
      <c r="J1208" s="3"/>
    </row>
    <row r="1209" spans="7:10" x14ac:dyDescent="0.35">
      <c r="G1209" s="3"/>
      <c r="H1209" s="3"/>
      <c r="I1209" s="3"/>
      <c r="J1209" s="3"/>
    </row>
    <row r="1210" spans="7:10" x14ac:dyDescent="0.35">
      <c r="G1210" s="3"/>
      <c r="H1210" s="3"/>
      <c r="I1210" s="3"/>
      <c r="J1210" s="3"/>
    </row>
    <row r="1211" spans="7:10" x14ac:dyDescent="0.35">
      <c r="G1211" s="3"/>
      <c r="H1211" s="3"/>
      <c r="I1211" s="3"/>
      <c r="J1211" s="3"/>
    </row>
    <row r="1212" spans="7:10" x14ac:dyDescent="0.35">
      <c r="G1212" s="3"/>
      <c r="H1212" s="3"/>
      <c r="I1212" s="3"/>
      <c r="J1212" s="3"/>
    </row>
    <row r="1213" spans="7:10" x14ac:dyDescent="0.35">
      <c r="G1213" s="3"/>
      <c r="H1213" s="3"/>
      <c r="I1213" s="3"/>
      <c r="J1213" s="3"/>
    </row>
    <row r="1214" spans="7:10" x14ac:dyDescent="0.35">
      <c r="G1214" s="3"/>
      <c r="H1214" s="3"/>
      <c r="I1214" s="3"/>
      <c r="J1214" s="3"/>
    </row>
    <row r="1215" spans="7:10" x14ac:dyDescent="0.35">
      <c r="G1215" s="3"/>
      <c r="H1215" s="3"/>
      <c r="I1215" s="3"/>
      <c r="J1215" s="3"/>
    </row>
    <row r="1216" spans="7:10" x14ac:dyDescent="0.35">
      <c r="G1216" s="3"/>
      <c r="H1216" s="3"/>
      <c r="I1216" s="3"/>
      <c r="J1216" s="3"/>
    </row>
    <row r="1217" spans="7:10" x14ac:dyDescent="0.35">
      <c r="G1217" s="3"/>
      <c r="H1217" s="3"/>
      <c r="I1217" s="3"/>
      <c r="J1217" s="3"/>
    </row>
    <row r="1218" spans="7:10" x14ac:dyDescent="0.35">
      <c r="G1218" s="3"/>
      <c r="H1218" s="3"/>
      <c r="I1218" s="3"/>
      <c r="J1218" s="3"/>
    </row>
    <row r="1219" spans="7:10" x14ac:dyDescent="0.35">
      <c r="G1219" s="3"/>
      <c r="H1219" s="3"/>
      <c r="I1219" s="3"/>
      <c r="J1219" s="3"/>
    </row>
    <row r="1220" spans="7:10" x14ac:dyDescent="0.35">
      <c r="G1220" s="3"/>
      <c r="H1220" s="3"/>
      <c r="I1220" s="3"/>
      <c r="J1220" s="3"/>
    </row>
    <row r="1221" spans="7:10" x14ac:dyDescent="0.35">
      <c r="G1221" s="3"/>
      <c r="H1221" s="3"/>
      <c r="I1221" s="3"/>
      <c r="J1221" s="3"/>
    </row>
    <row r="1222" spans="7:10" x14ac:dyDescent="0.35">
      <c r="G1222" s="3"/>
      <c r="H1222" s="3"/>
      <c r="I1222" s="3"/>
      <c r="J1222" s="3"/>
    </row>
    <row r="1223" spans="7:10" x14ac:dyDescent="0.35">
      <c r="G1223" s="3"/>
      <c r="H1223" s="3"/>
      <c r="I1223" s="3"/>
      <c r="J1223" s="3"/>
    </row>
    <row r="1224" spans="7:10" x14ac:dyDescent="0.35">
      <c r="G1224" s="3"/>
      <c r="H1224" s="3"/>
      <c r="I1224" s="3"/>
      <c r="J1224" s="3"/>
    </row>
    <row r="1225" spans="7:10" x14ac:dyDescent="0.35">
      <c r="G1225" s="3"/>
      <c r="H1225" s="3"/>
      <c r="I1225" s="3"/>
      <c r="J1225" s="3"/>
    </row>
    <row r="1226" spans="7:10" x14ac:dyDescent="0.35">
      <c r="G1226" s="3"/>
      <c r="H1226" s="3"/>
      <c r="I1226" s="3"/>
      <c r="J1226" s="3"/>
    </row>
    <row r="1227" spans="7:10" x14ac:dyDescent="0.35">
      <c r="G1227" s="3"/>
      <c r="H1227" s="3"/>
      <c r="I1227" s="3"/>
      <c r="J1227" s="3"/>
    </row>
    <row r="1228" spans="7:10" x14ac:dyDescent="0.35">
      <c r="G1228" s="3"/>
      <c r="H1228" s="3"/>
      <c r="I1228" s="3"/>
      <c r="J1228" s="3"/>
    </row>
    <row r="1229" spans="7:10" x14ac:dyDescent="0.35">
      <c r="G1229" s="3"/>
      <c r="H1229" s="3"/>
      <c r="I1229" s="3"/>
      <c r="J1229" s="3"/>
    </row>
    <row r="1230" spans="7:10" x14ac:dyDescent="0.35">
      <c r="G1230" s="3"/>
      <c r="H1230" s="3"/>
      <c r="I1230" s="3"/>
      <c r="J1230" s="3"/>
    </row>
    <row r="1231" spans="7:10" x14ac:dyDescent="0.35">
      <c r="G1231" s="3"/>
      <c r="H1231" s="3"/>
      <c r="I1231" s="3"/>
      <c r="J1231" s="3"/>
    </row>
    <row r="1232" spans="7:10" x14ac:dyDescent="0.35">
      <c r="G1232" s="3"/>
      <c r="H1232" s="3"/>
      <c r="I1232" s="3"/>
      <c r="J1232" s="3"/>
    </row>
    <row r="1233" spans="7:10" x14ac:dyDescent="0.35">
      <c r="G1233" s="3"/>
      <c r="H1233" s="3"/>
      <c r="I1233" s="3"/>
      <c r="J1233" s="3"/>
    </row>
    <row r="1234" spans="7:10" x14ac:dyDescent="0.35">
      <c r="G1234" s="3"/>
      <c r="H1234" s="3"/>
      <c r="I1234" s="3"/>
      <c r="J1234" s="3"/>
    </row>
    <row r="1235" spans="7:10" x14ac:dyDescent="0.35">
      <c r="G1235" s="3"/>
      <c r="H1235" s="3"/>
      <c r="I1235" s="3"/>
      <c r="J1235" s="3"/>
    </row>
    <row r="1236" spans="7:10" x14ac:dyDescent="0.35">
      <c r="G1236" s="3"/>
      <c r="H1236" s="3"/>
      <c r="I1236" s="3"/>
      <c r="J1236" s="3"/>
    </row>
    <row r="1237" spans="7:10" x14ac:dyDescent="0.35">
      <c r="G1237" s="3"/>
      <c r="H1237" s="3"/>
      <c r="I1237" s="3"/>
      <c r="J1237" s="3"/>
    </row>
    <row r="1238" spans="7:10" x14ac:dyDescent="0.35">
      <c r="G1238" s="3"/>
      <c r="H1238" s="3"/>
      <c r="I1238" s="3"/>
      <c r="J1238" s="3"/>
    </row>
    <row r="1239" spans="7:10" x14ac:dyDescent="0.35">
      <c r="G1239" s="3"/>
      <c r="H1239" s="3"/>
      <c r="I1239" s="3"/>
      <c r="J1239" s="3"/>
    </row>
    <row r="1240" spans="7:10" x14ac:dyDescent="0.35">
      <c r="G1240" s="3"/>
      <c r="H1240" s="3"/>
      <c r="I1240" s="3"/>
      <c r="J1240" s="3"/>
    </row>
    <row r="1241" spans="7:10" x14ac:dyDescent="0.35">
      <c r="G1241" s="3"/>
      <c r="H1241" s="3"/>
      <c r="I1241" s="3"/>
      <c r="J1241" s="3"/>
    </row>
    <row r="1242" spans="7:10" x14ac:dyDescent="0.35">
      <c r="G1242" s="3"/>
      <c r="H1242" s="3"/>
      <c r="I1242" s="3"/>
      <c r="J1242" s="3"/>
    </row>
    <row r="1243" spans="7:10" x14ac:dyDescent="0.35">
      <c r="G1243" s="3"/>
      <c r="H1243" s="3"/>
      <c r="I1243" s="3"/>
      <c r="J1243" s="3"/>
    </row>
    <row r="1244" spans="7:10" x14ac:dyDescent="0.35">
      <c r="G1244" s="3"/>
      <c r="H1244" s="3"/>
      <c r="I1244" s="3"/>
      <c r="J1244" s="3"/>
    </row>
    <row r="1245" spans="7:10" x14ac:dyDescent="0.35">
      <c r="G1245" s="3"/>
      <c r="H1245" s="3"/>
      <c r="I1245" s="3"/>
      <c r="J1245" s="3"/>
    </row>
    <row r="1246" spans="7:10" x14ac:dyDescent="0.35">
      <c r="G1246" s="3"/>
      <c r="H1246" s="3"/>
      <c r="I1246" s="3"/>
      <c r="J1246" s="3"/>
    </row>
    <row r="1247" spans="7:10" x14ac:dyDescent="0.35">
      <c r="G1247" s="3"/>
      <c r="H1247" s="3"/>
      <c r="I1247" s="3"/>
      <c r="J1247" s="3"/>
    </row>
    <row r="1248" spans="7:10" x14ac:dyDescent="0.35">
      <c r="G1248" s="3"/>
      <c r="H1248" s="3"/>
      <c r="I1248" s="3"/>
      <c r="J1248" s="3"/>
    </row>
    <row r="1249" spans="7:10" x14ac:dyDescent="0.35">
      <c r="G1249" s="3"/>
      <c r="H1249" s="3"/>
      <c r="I1249" s="3"/>
      <c r="J1249" s="3"/>
    </row>
    <row r="1250" spans="7:10" x14ac:dyDescent="0.35">
      <c r="G1250" s="3"/>
      <c r="H1250" s="3"/>
      <c r="I1250" s="3"/>
      <c r="J1250" s="3"/>
    </row>
    <row r="1251" spans="7:10" x14ac:dyDescent="0.35">
      <c r="G1251" s="3"/>
      <c r="H1251" s="3"/>
      <c r="I1251" s="3"/>
      <c r="J1251" s="3"/>
    </row>
    <row r="1252" spans="7:10" x14ac:dyDescent="0.35">
      <c r="G1252" s="3"/>
      <c r="H1252" s="3"/>
      <c r="I1252" s="3"/>
      <c r="J1252" s="3"/>
    </row>
    <row r="1253" spans="7:10" x14ac:dyDescent="0.35">
      <c r="G1253" s="3"/>
      <c r="H1253" s="3"/>
      <c r="I1253" s="3"/>
      <c r="J1253" s="3"/>
    </row>
    <row r="1254" spans="7:10" x14ac:dyDescent="0.35">
      <c r="G1254" s="3"/>
      <c r="H1254" s="3"/>
      <c r="I1254" s="3"/>
      <c r="J1254" s="3"/>
    </row>
    <row r="1255" spans="7:10" x14ac:dyDescent="0.35">
      <c r="G1255" s="3"/>
      <c r="H1255" s="3"/>
      <c r="I1255" s="3"/>
      <c r="J1255" s="3"/>
    </row>
    <row r="1256" spans="7:10" x14ac:dyDescent="0.35">
      <c r="G1256" s="3"/>
      <c r="H1256" s="3"/>
      <c r="I1256" s="3"/>
      <c r="J1256" s="3"/>
    </row>
    <row r="1257" spans="7:10" x14ac:dyDescent="0.35">
      <c r="G1257" s="3"/>
      <c r="H1257" s="3"/>
      <c r="I1257" s="3"/>
      <c r="J1257" s="3"/>
    </row>
    <row r="1258" spans="7:10" x14ac:dyDescent="0.35">
      <c r="G1258" s="3"/>
      <c r="H1258" s="3"/>
      <c r="I1258" s="3"/>
      <c r="J1258" s="3"/>
    </row>
    <row r="1259" spans="7:10" x14ac:dyDescent="0.35">
      <c r="G1259" s="3"/>
      <c r="H1259" s="3"/>
      <c r="I1259" s="3"/>
      <c r="J1259" s="3"/>
    </row>
    <row r="1260" spans="7:10" x14ac:dyDescent="0.35">
      <c r="G1260" s="3"/>
      <c r="H1260" s="3"/>
      <c r="I1260" s="3"/>
      <c r="J1260" s="3"/>
    </row>
    <row r="1261" spans="7:10" x14ac:dyDescent="0.35">
      <c r="G1261" s="3"/>
      <c r="H1261" s="3"/>
      <c r="I1261" s="3"/>
      <c r="J1261" s="3"/>
    </row>
    <row r="1262" spans="7:10" x14ac:dyDescent="0.35">
      <c r="G1262" s="3"/>
      <c r="H1262" s="3"/>
      <c r="I1262" s="3"/>
      <c r="J1262" s="3"/>
    </row>
    <row r="1263" spans="7:10" x14ac:dyDescent="0.35">
      <c r="G1263" s="3"/>
      <c r="H1263" s="3"/>
      <c r="I1263" s="3"/>
      <c r="J1263" s="3"/>
    </row>
    <row r="1264" spans="7:10" x14ac:dyDescent="0.35">
      <c r="G1264" s="3"/>
      <c r="H1264" s="3"/>
      <c r="I1264" s="3"/>
      <c r="J1264" s="3"/>
    </row>
    <row r="1265" spans="7:10" x14ac:dyDescent="0.35">
      <c r="G1265" s="3"/>
      <c r="H1265" s="3"/>
      <c r="I1265" s="3"/>
      <c r="J1265" s="3"/>
    </row>
    <row r="1266" spans="7:10" x14ac:dyDescent="0.35">
      <c r="G1266" s="3"/>
      <c r="H1266" s="3"/>
      <c r="I1266" s="3"/>
      <c r="J1266" s="3"/>
    </row>
    <row r="1267" spans="7:10" x14ac:dyDescent="0.35">
      <c r="G1267" s="3"/>
      <c r="H1267" s="3"/>
      <c r="I1267" s="3"/>
      <c r="J1267" s="3"/>
    </row>
    <row r="1268" spans="7:10" x14ac:dyDescent="0.35">
      <c r="G1268" s="3"/>
      <c r="H1268" s="3"/>
      <c r="I1268" s="3"/>
      <c r="J1268" s="3"/>
    </row>
    <row r="1269" spans="7:10" x14ac:dyDescent="0.35">
      <c r="G1269" s="3"/>
      <c r="H1269" s="3"/>
      <c r="I1269" s="3"/>
      <c r="J1269" s="3"/>
    </row>
    <row r="1270" spans="7:10" x14ac:dyDescent="0.35">
      <c r="G1270" s="3"/>
      <c r="H1270" s="3"/>
      <c r="I1270" s="3"/>
      <c r="J1270" s="3"/>
    </row>
    <row r="1271" spans="7:10" x14ac:dyDescent="0.35">
      <c r="G1271" s="3"/>
      <c r="H1271" s="3"/>
      <c r="I1271" s="3"/>
      <c r="J1271" s="3"/>
    </row>
    <row r="1272" spans="7:10" x14ac:dyDescent="0.35">
      <c r="G1272" s="3"/>
      <c r="H1272" s="3"/>
      <c r="I1272" s="3"/>
      <c r="J1272" s="3"/>
    </row>
    <row r="1273" spans="7:10" x14ac:dyDescent="0.35">
      <c r="G1273" s="3"/>
      <c r="H1273" s="3"/>
      <c r="I1273" s="3"/>
      <c r="J1273" s="3"/>
    </row>
    <row r="1274" spans="7:10" x14ac:dyDescent="0.35">
      <c r="G1274" s="3"/>
      <c r="H1274" s="3"/>
      <c r="I1274" s="3"/>
      <c r="J1274" s="3"/>
    </row>
    <row r="1275" spans="7:10" x14ac:dyDescent="0.35">
      <c r="G1275" s="3"/>
      <c r="H1275" s="3"/>
      <c r="I1275" s="3"/>
      <c r="J1275" s="3"/>
    </row>
    <row r="1276" spans="7:10" x14ac:dyDescent="0.35">
      <c r="G1276" s="3"/>
      <c r="H1276" s="3"/>
      <c r="I1276" s="3"/>
      <c r="J1276" s="3"/>
    </row>
    <row r="1277" spans="7:10" x14ac:dyDescent="0.35">
      <c r="G1277" s="3"/>
      <c r="H1277" s="3"/>
      <c r="I1277" s="3"/>
      <c r="J1277" s="3"/>
    </row>
    <row r="1278" spans="7:10" x14ac:dyDescent="0.35">
      <c r="G1278" s="3"/>
      <c r="H1278" s="3"/>
      <c r="I1278" s="3"/>
      <c r="J1278" s="3"/>
    </row>
    <row r="1279" spans="7:10" x14ac:dyDescent="0.35">
      <c r="G1279" s="3"/>
      <c r="H1279" s="3"/>
      <c r="I1279" s="3"/>
      <c r="J1279" s="3"/>
    </row>
    <row r="1280" spans="7:10" x14ac:dyDescent="0.35">
      <c r="G1280" s="3"/>
      <c r="H1280" s="3"/>
      <c r="I1280" s="3"/>
      <c r="J1280" s="3"/>
    </row>
    <row r="1281" spans="7:10" x14ac:dyDescent="0.35">
      <c r="G1281" s="3"/>
      <c r="H1281" s="3"/>
      <c r="I1281" s="3"/>
      <c r="J1281" s="3"/>
    </row>
    <row r="1282" spans="7:10" x14ac:dyDescent="0.35">
      <c r="G1282" s="3"/>
      <c r="H1282" s="3"/>
      <c r="I1282" s="3"/>
      <c r="J1282" s="3"/>
    </row>
    <row r="1283" spans="7:10" x14ac:dyDescent="0.35">
      <c r="G1283" s="3"/>
      <c r="H1283" s="3"/>
      <c r="I1283" s="3"/>
      <c r="J1283" s="3"/>
    </row>
    <row r="1284" spans="7:10" x14ac:dyDescent="0.35">
      <c r="G1284" s="3"/>
      <c r="H1284" s="3"/>
      <c r="I1284" s="3"/>
      <c r="J1284" s="3"/>
    </row>
    <row r="1285" spans="7:10" x14ac:dyDescent="0.35">
      <c r="G1285" s="3"/>
      <c r="H1285" s="3"/>
      <c r="I1285" s="3"/>
      <c r="J1285" s="3"/>
    </row>
    <row r="1286" spans="7:10" x14ac:dyDescent="0.35">
      <c r="G1286" s="3"/>
      <c r="H1286" s="3"/>
      <c r="I1286" s="3"/>
      <c r="J1286" s="3"/>
    </row>
    <row r="1287" spans="7:10" x14ac:dyDescent="0.35">
      <c r="G1287" s="3"/>
      <c r="H1287" s="3"/>
      <c r="I1287" s="3"/>
      <c r="J1287" s="3"/>
    </row>
    <row r="1288" spans="7:10" x14ac:dyDescent="0.35">
      <c r="G1288" s="3"/>
      <c r="H1288" s="3"/>
      <c r="I1288" s="3"/>
      <c r="J1288" s="3"/>
    </row>
    <row r="1289" spans="7:10" x14ac:dyDescent="0.35">
      <c r="G1289" s="3"/>
      <c r="H1289" s="3"/>
      <c r="I1289" s="3"/>
      <c r="J1289" s="3"/>
    </row>
    <row r="1290" spans="7:10" x14ac:dyDescent="0.35">
      <c r="G1290" s="3"/>
      <c r="H1290" s="3"/>
      <c r="I1290" s="3"/>
      <c r="J1290" s="3"/>
    </row>
    <row r="1291" spans="7:10" x14ac:dyDescent="0.35">
      <c r="G1291" s="3"/>
      <c r="H1291" s="3"/>
      <c r="I1291" s="3"/>
      <c r="J1291" s="3"/>
    </row>
    <row r="1292" spans="7:10" x14ac:dyDescent="0.35">
      <c r="G1292" s="3"/>
      <c r="H1292" s="3"/>
      <c r="I1292" s="3"/>
      <c r="J1292" s="3"/>
    </row>
    <row r="1293" spans="7:10" x14ac:dyDescent="0.35">
      <c r="G1293" s="3"/>
      <c r="H1293" s="3"/>
      <c r="I1293" s="3"/>
      <c r="J1293" s="3"/>
    </row>
    <row r="1294" spans="7:10" x14ac:dyDescent="0.35">
      <c r="G1294" s="3"/>
      <c r="H1294" s="3"/>
      <c r="I1294" s="3"/>
      <c r="J1294" s="3"/>
    </row>
    <row r="1295" spans="7:10" x14ac:dyDescent="0.35">
      <c r="G1295" s="3"/>
      <c r="H1295" s="3"/>
      <c r="I1295" s="3"/>
      <c r="J1295" s="3"/>
    </row>
    <row r="1296" spans="7:10" x14ac:dyDescent="0.35">
      <c r="G1296" s="3"/>
      <c r="H1296" s="3"/>
      <c r="I1296" s="3"/>
      <c r="J1296" s="3"/>
    </row>
    <row r="1297" spans="7:10" x14ac:dyDescent="0.35">
      <c r="G1297" s="3"/>
      <c r="H1297" s="3"/>
      <c r="I1297" s="3"/>
      <c r="J1297" s="3"/>
    </row>
    <row r="1298" spans="7:10" x14ac:dyDescent="0.35">
      <c r="G1298" s="3"/>
      <c r="H1298" s="3"/>
      <c r="I1298" s="3"/>
      <c r="J1298" s="3"/>
    </row>
    <row r="1299" spans="7:10" x14ac:dyDescent="0.35">
      <c r="G1299" s="3"/>
      <c r="H1299" s="3"/>
      <c r="I1299" s="3"/>
      <c r="J1299" s="3"/>
    </row>
    <row r="1300" spans="7:10" x14ac:dyDescent="0.35">
      <c r="G1300" s="3"/>
      <c r="H1300" s="3"/>
      <c r="I1300" s="3"/>
      <c r="J1300" s="3"/>
    </row>
    <row r="1301" spans="7:10" x14ac:dyDescent="0.35">
      <c r="G1301" s="3"/>
      <c r="H1301" s="3"/>
      <c r="I1301" s="3"/>
      <c r="J1301" s="3"/>
    </row>
    <row r="1302" spans="7:10" x14ac:dyDescent="0.35">
      <c r="G1302" s="3"/>
      <c r="H1302" s="3"/>
      <c r="I1302" s="3"/>
      <c r="J1302" s="3"/>
    </row>
    <row r="1303" spans="7:10" x14ac:dyDescent="0.35">
      <c r="G1303" s="3"/>
      <c r="H1303" s="3"/>
      <c r="I1303" s="3"/>
      <c r="J1303" s="3"/>
    </row>
    <row r="1304" spans="7:10" x14ac:dyDescent="0.35">
      <c r="G1304" s="3"/>
      <c r="H1304" s="3"/>
      <c r="I1304" s="3"/>
      <c r="J1304" s="3"/>
    </row>
    <row r="1305" spans="7:10" x14ac:dyDescent="0.35">
      <c r="G1305" s="3"/>
      <c r="H1305" s="3"/>
      <c r="I1305" s="3"/>
      <c r="J1305" s="3"/>
    </row>
    <row r="1306" spans="7:10" x14ac:dyDescent="0.35">
      <c r="G1306" s="3"/>
      <c r="H1306" s="3"/>
      <c r="I1306" s="3"/>
      <c r="J1306" s="3"/>
    </row>
    <row r="1307" spans="7:10" x14ac:dyDescent="0.35">
      <c r="G1307" s="3"/>
      <c r="H1307" s="3"/>
      <c r="I1307" s="3"/>
      <c r="J1307" s="3"/>
    </row>
    <row r="1308" spans="7:10" x14ac:dyDescent="0.35">
      <c r="G1308" s="3"/>
      <c r="H1308" s="3"/>
      <c r="I1308" s="3"/>
      <c r="J1308" s="3"/>
    </row>
    <row r="1309" spans="7:10" x14ac:dyDescent="0.35">
      <c r="G1309" s="3"/>
      <c r="H1309" s="3"/>
      <c r="I1309" s="3"/>
      <c r="J1309" s="3"/>
    </row>
    <row r="1310" spans="7:10" x14ac:dyDescent="0.35">
      <c r="G1310" s="3"/>
      <c r="H1310" s="3"/>
      <c r="I1310" s="3"/>
      <c r="J1310" s="3"/>
    </row>
    <row r="1311" spans="7:10" x14ac:dyDescent="0.35">
      <c r="G1311" s="3"/>
      <c r="H1311" s="3"/>
      <c r="I1311" s="3"/>
      <c r="J1311" s="3"/>
    </row>
    <row r="1312" spans="7:10" x14ac:dyDescent="0.35">
      <c r="G1312" s="3"/>
      <c r="H1312" s="3"/>
      <c r="I1312" s="3"/>
      <c r="J1312" s="3"/>
    </row>
    <row r="1313" spans="7:10" x14ac:dyDescent="0.35">
      <c r="G1313" s="3"/>
      <c r="H1313" s="3"/>
      <c r="I1313" s="3"/>
      <c r="J1313" s="3"/>
    </row>
    <row r="1314" spans="7:10" x14ac:dyDescent="0.35">
      <c r="G1314" s="3"/>
      <c r="H1314" s="3"/>
      <c r="I1314" s="3"/>
      <c r="J1314" s="3"/>
    </row>
    <row r="1315" spans="7:10" x14ac:dyDescent="0.35">
      <c r="G1315" s="3"/>
      <c r="H1315" s="3"/>
      <c r="I1315" s="3"/>
      <c r="J1315" s="3"/>
    </row>
    <row r="1316" spans="7:10" x14ac:dyDescent="0.35">
      <c r="G1316" s="3"/>
      <c r="H1316" s="3"/>
      <c r="I1316" s="3"/>
      <c r="J1316" s="3"/>
    </row>
    <row r="1317" spans="7:10" x14ac:dyDescent="0.35">
      <c r="G1317" s="3"/>
      <c r="H1317" s="3"/>
      <c r="I1317" s="3"/>
      <c r="J1317" s="3"/>
    </row>
    <row r="1318" spans="7:10" x14ac:dyDescent="0.35">
      <c r="G1318" s="3"/>
      <c r="H1318" s="3"/>
      <c r="I1318" s="3"/>
      <c r="J1318" s="3"/>
    </row>
    <row r="1319" spans="7:10" x14ac:dyDescent="0.35">
      <c r="G1319" s="3"/>
      <c r="H1319" s="3"/>
      <c r="I1319" s="3"/>
      <c r="J1319" s="3"/>
    </row>
    <row r="1320" spans="7:10" x14ac:dyDescent="0.35">
      <c r="G1320" s="3"/>
      <c r="H1320" s="3"/>
      <c r="I1320" s="3"/>
      <c r="J1320" s="3"/>
    </row>
    <row r="1321" spans="7:10" x14ac:dyDescent="0.35">
      <c r="G1321" s="3"/>
      <c r="H1321" s="3"/>
      <c r="I1321" s="3"/>
      <c r="J1321" s="3"/>
    </row>
    <row r="1322" spans="7:10" x14ac:dyDescent="0.35">
      <c r="G1322" s="3"/>
      <c r="H1322" s="3"/>
      <c r="I1322" s="3"/>
      <c r="J1322" s="3"/>
    </row>
    <row r="1323" spans="7:10" x14ac:dyDescent="0.35">
      <c r="G1323" s="3"/>
      <c r="H1323" s="3"/>
      <c r="I1323" s="3"/>
      <c r="J1323" s="3"/>
    </row>
    <row r="1324" spans="7:10" x14ac:dyDescent="0.35">
      <c r="G1324" s="3"/>
      <c r="H1324" s="3"/>
      <c r="I1324" s="3"/>
      <c r="J1324" s="3"/>
    </row>
    <row r="1325" spans="7:10" x14ac:dyDescent="0.35">
      <c r="G1325" s="3"/>
      <c r="H1325" s="3"/>
      <c r="I1325" s="3"/>
      <c r="J1325" s="3"/>
    </row>
    <row r="1326" spans="7:10" x14ac:dyDescent="0.35">
      <c r="G1326" s="3"/>
      <c r="H1326" s="3"/>
      <c r="I1326" s="3"/>
      <c r="J1326" s="3"/>
    </row>
    <row r="1327" spans="7:10" x14ac:dyDescent="0.35">
      <c r="G1327" s="3"/>
      <c r="H1327" s="3"/>
      <c r="I1327" s="3"/>
      <c r="J1327" s="3"/>
    </row>
    <row r="1328" spans="7:10" x14ac:dyDescent="0.35">
      <c r="G1328" s="3"/>
      <c r="H1328" s="3"/>
      <c r="I1328" s="3"/>
      <c r="J1328" s="3"/>
    </row>
    <row r="1329" spans="7:10" x14ac:dyDescent="0.35">
      <c r="G1329" s="3"/>
      <c r="H1329" s="3"/>
      <c r="I1329" s="3"/>
      <c r="J1329" s="3"/>
    </row>
    <row r="1330" spans="7:10" x14ac:dyDescent="0.35">
      <c r="G1330" s="3"/>
      <c r="H1330" s="3"/>
      <c r="I1330" s="3"/>
      <c r="J1330" s="3"/>
    </row>
    <row r="1331" spans="7:10" x14ac:dyDescent="0.35">
      <c r="G1331" s="3"/>
      <c r="H1331" s="3"/>
      <c r="I1331" s="3"/>
      <c r="J1331" s="3"/>
    </row>
    <row r="1332" spans="7:10" x14ac:dyDescent="0.35">
      <c r="G1332" s="3"/>
      <c r="H1332" s="3"/>
      <c r="I1332" s="3"/>
      <c r="J1332" s="3"/>
    </row>
    <row r="1333" spans="7:10" x14ac:dyDescent="0.35">
      <c r="G1333" s="3"/>
      <c r="H1333" s="3"/>
      <c r="I1333" s="3"/>
      <c r="J1333" s="3"/>
    </row>
    <row r="1334" spans="7:10" x14ac:dyDescent="0.35">
      <c r="G1334" s="3"/>
      <c r="H1334" s="3"/>
      <c r="I1334" s="3"/>
      <c r="J1334" s="3"/>
    </row>
    <row r="1335" spans="7:10" x14ac:dyDescent="0.35">
      <c r="G1335" s="3"/>
      <c r="H1335" s="3"/>
      <c r="I1335" s="3"/>
      <c r="J1335" s="3"/>
    </row>
    <row r="1336" spans="7:10" x14ac:dyDescent="0.35">
      <c r="G1336" s="3"/>
      <c r="H1336" s="3"/>
      <c r="I1336" s="3"/>
      <c r="J1336" s="3"/>
    </row>
    <row r="1337" spans="7:10" x14ac:dyDescent="0.35">
      <c r="G1337" s="3"/>
      <c r="H1337" s="3"/>
      <c r="I1337" s="3"/>
      <c r="J1337" s="3"/>
    </row>
    <row r="1338" spans="7:10" x14ac:dyDescent="0.35">
      <c r="G1338" s="3"/>
      <c r="H1338" s="3"/>
      <c r="I1338" s="3"/>
      <c r="J1338" s="3"/>
    </row>
    <row r="1339" spans="7:10" x14ac:dyDescent="0.35">
      <c r="G1339" s="3"/>
      <c r="H1339" s="3"/>
      <c r="I1339" s="3"/>
      <c r="J1339" s="3"/>
    </row>
    <row r="1340" spans="7:10" x14ac:dyDescent="0.35">
      <c r="G1340" s="3"/>
      <c r="H1340" s="3"/>
      <c r="I1340" s="3"/>
      <c r="J1340" s="3"/>
    </row>
    <row r="1341" spans="7:10" x14ac:dyDescent="0.35">
      <c r="G1341" s="3"/>
      <c r="H1341" s="3"/>
      <c r="I1341" s="3"/>
      <c r="J1341" s="3"/>
    </row>
    <row r="1342" spans="7:10" x14ac:dyDescent="0.35">
      <c r="G1342" s="3"/>
      <c r="H1342" s="3"/>
      <c r="I1342" s="3"/>
      <c r="J1342" s="3"/>
    </row>
    <row r="1343" spans="7:10" x14ac:dyDescent="0.35">
      <c r="G1343" s="3"/>
      <c r="H1343" s="3"/>
      <c r="I1343" s="3"/>
      <c r="J1343" s="3"/>
    </row>
    <row r="1344" spans="7:10" x14ac:dyDescent="0.35">
      <c r="G1344" s="3"/>
      <c r="H1344" s="3"/>
      <c r="I1344" s="3"/>
      <c r="J1344" s="3"/>
    </row>
    <row r="1345" spans="7:10" x14ac:dyDescent="0.35">
      <c r="G1345" s="3"/>
      <c r="H1345" s="3"/>
      <c r="I1345" s="3"/>
      <c r="J1345" s="3"/>
    </row>
    <row r="1346" spans="7:10" x14ac:dyDescent="0.35">
      <c r="G1346" s="3"/>
      <c r="H1346" s="3"/>
      <c r="I1346" s="3"/>
      <c r="J1346" s="3"/>
    </row>
    <row r="1347" spans="7:10" x14ac:dyDescent="0.35">
      <c r="G1347" s="3"/>
      <c r="H1347" s="3"/>
      <c r="I1347" s="3"/>
      <c r="J1347" s="3"/>
    </row>
    <row r="1348" spans="7:10" x14ac:dyDescent="0.35">
      <c r="G1348" s="3"/>
      <c r="H1348" s="3"/>
      <c r="I1348" s="3"/>
      <c r="J1348" s="3"/>
    </row>
    <row r="1349" spans="7:10" x14ac:dyDescent="0.35">
      <c r="G1349" s="3"/>
      <c r="H1349" s="3"/>
      <c r="I1349" s="3"/>
      <c r="J1349" s="3"/>
    </row>
    <row r="1350" spans="7:10" x14ac:dyDescent="0.35">
      <c r="G1350" s="3"/>
      <c r="H1350" s="3"/>
      <c r="I1350" s="3"/>
      <c r="J1350" s="3"/>
    </row>
    <row r="1351" spans="7:10" x14ac:dyDescent="0.35">
      <c r="G1351" s="3"/>
      <c r="H1351" s="3"/>
      <c r="I1351" s="3"/>
      <c r="J1351" s="3"/>
    </row>
    <row r="1352" spans="7:10" x14ac:dyDescent="0.35">
      <c r="G1352" s="3"/>
      <c r="H1352" s="3"/>
      <c r="I1352" s="3"/>
      <c r="J1352" s="3"/>
    </row>
    <row r="1353" spans="7:10" x14ac:dyDescent="0.35">
      <c r="G1353" s="3"/>
      <c r="H1353" s="3"/>
      <c r="I1353" s="3"/>
      <c r="J1353" s="3"/>
    </row>
    <row r="1354" spans="7:10" x14ac:dyDescent="0.35">
      <c r="G1354" s="3"/>
      <c r="H1354" s="3"/>
      <c r="I1354" s="3"/>
      <c r="J1354" s="3"/>
    </row>
    <row r="1355" spans="7:10" x14ac:dyDescent="0.35">
      <c r="G1355" s="3"/>
      <c r="H1355" s="3"/>
      <c r="I1355" s="3"/>
      <c r="J1355" s="3"/>
    </row>
    <row r="1356" spans="7:10" x14ac:dyDescent="0.35">
      <c r="G1356" s="3"/>
      <c r="H1356" s="3"/>
      <c r="I1356" s="3"/>
      <c r="J1356" s="3"/>
    </row>
    <row r="1357" spans="7:10" x14ac:dyDescent="0.35">
      <c r="G1357" s="3"/>
      <c r="H1357" s="3"/>
      <c r="I1357" s="3"/>
      <c r="J1357" s="3"/>
    </row>
    <row r="1358" spans="7:10" x14ac:dyDescent="0.35">
      <c r="G1358" s="3"/>
      <c r="H1358" s="3"/>
      <c r="I1358" s="3"/>
      <c r="J1358" s="3"/>
    </row>
    <row r="1359" spans="7:10" x14ac:dyDescent="0.35">
      <c r="G1359" s="3"/>
      <c r="H1359" s="3"/>
      <c r="I1359" s="3"/>
      <c r="J1359" s="3"/>
    </row>
    <row r="1360" spans="7:10" x14ac:dyDescent="0.35">
      <c r="G1360" s="3"/>
      <c r="H1360" s="3"/>
      <c r="I1360" s="3"/>
      <c r="J1360" s="3"/>
    </row>
    <row r="1361" spans="7:10" x14ac:dyDescent="0.35">
      <c r="G1361" s="3"/>
      <c r="H1361" s="3"/>
      <c r="I1361" s="3"/>
      <c r="J1361" s="3"/>
    </row>
    <row r="1362" spans="7:10" x14ac:dyDescent="0.35">
      <c r="G1362" s="3"/>
      <c r="H1362" s="3"/>
      <c r="I1362" s="3"/>
      <c r="J1362" s="3"/>
    </row>
    <row r="1363" spans="7:10" x14ac:dyDescent="0.35">
      <c r="G1363" s="3"/>
      <c r="H1363" s="3"/>
      <c r="I1363" s="3"/>
      <c r="J1363" s="3"/>
    </row>
    <row r="1364" spans="7:10" x14ac:dyDescent="0.35">
      <c r="G1364" s="3"/>
      <c r="H1364" s="3"/>
      <c r="I1364" s="3"/>
      <c r="J1364" s="3"/>
    </row>
    <row r="1365" spans="7:10" x14ac:dyDescent="0.35">
      <c r="G1365" s="3"/>
      <c r="H1365" s="3"/>
      <c r="I1365" s="3"/>
      <c r="J1365" s="3"/>
    </row>
    <row r="1366" spans="7:10" x14ac:dyDescent="0.35">
      <c r="G1366" s="3"/>
      <c r="H1366" s="3"/>
      <c r="I1366" s="3"/>
      <c r="J1366" s="3"/>
    </row>
    <row r="1367" spans="7:10" x14ac:dyDescent="0.35">
      <c r="G1367" s="3"/>
      <c r="H1367" s="3"/>
      <c r="I1367" s="3"/>
      <c r="J1367" s="3"/>
    </row>
    <row r="1368" spans="7:10" x14ac:dyDescent="0.35">
      <c r="G1368" s="3"/>
      <c r="H1368" s="3"/>
      <c r="I1368" s="3"/>
      <c r="J1368" s="3"/>
    </row>
    <row r="1369" spans="7:10" x14ac:dyDescent="0.35">
      <c r="G1369" s="3"/>
      <c r="H1369" s="3"/>
      <c r="I1369" s="3"/>
      <c r="J1369" s="3"/>
    </row>
    <row r="1370" spans="7:10" x14ac:dyDescent="0.35">
      <c r="G1370" s="3"/>
      <c r="H1370" s="3"/>
      <c r="I1370" s="3"/>
      <c r="J1370" s="3"/>
    </row>
    <row r="1371" spans="7:10" x14ac:dyDescent="0.35">
      <c r="G1371" s="3"/>
      <c r="H1371" s="3"/>
      <c r="I1371" s="3"/>
      <c r="J1371" s="3"/>
    </row>
    <row r="1372" spans="7:10" x14ac:dyDescent="0.35">
      <c r="G1372" s="3"/>
      <c r="H1372" s="3"/>
      <c r="I1372" s="3"/>
      <c r="J1372" s="3"/>
    </row>
    <row r="1373" spans="7:10" x14ac:dyDescent="0.35">
      <c r="G1373" s="3"/>
      <c r="H1373" s="3"/>
      <c r="I1373" s="3"/>
      <c r="J1373" s="3"/>
    </row>
    <row r="1374" spans="7:10" x14ac:dyDescent="0.35">
      <c r="G1374" s="3"/>
      <c r="H1374" s="3"/>
      <c r="I1374" s="3"/>
      <c r="J1374" s="3"/>
    </row>
    <row r="1375" spans="7:10" x14ac:dyDescent="0.35">
      <c r="G1375" s="3"/>
      <c r="H1375" s="3"/>
      <c r="I1375" s="3"/>
      <c r="J1375" s="3"/>
    </row>
    <row r="1376" spans="7:10" x14ac:dyDescent="0.35">
      <c r="G1376" s="3"/>
      <c r="H1376" s="3"/>
      <c r="I1376" s="3"/>
      <c r="J1376" s="3"/>
    </row>
    <row r="1377" spans="7:10" x14ac:dyDescent="0.35">
      <c r="G1377" s="3"/>
      <c r="H1377" s="3"/>
      <c r="I1377" s="3"/>
      <c r="J1377" s="3"/>
    </row>
    <row r="1378" spans="7:10" x14ac:dyDescent="0.35">
      <c r="G1378" s="3"/>
      <c r="H1378" s="3"/>
      <c r="I1378" s="3"/>
      <c r="J1378" s="3"/>
    </row>
    <row r="1379" spans="7:10" x14ac:dyDescent="0.35">
      <c r="G1379" s="3"/>
      <c r="H1379" s="3"/>
      <c r="I1379" s="3"/>
      <c r="J1379" s="3"/>
    </row>
    <row r="1380" spans="7:10" x14ac:dyDescent="0.35">
      <c r="G1380" s="3"/>
      <c r="H1380" s="3"/>
      <c r="I1380" s="3"/>
      <c r="J1380" s="3"/>
    </row>
    <row r="1381" spans="7:10" x14ac:dyDescent="0.35">
      <c r="G1381" s="3"/>
      <c r="H1381" s="3"/>
      <c r="I1381" s="3"/>
      <c r="J1381" s="3"/>
    </row>
    <row r="1382" spans="7:10" x14ac:dyDescent="0.35">
      <c r="G1382" s="3"/>
      <c r="H1382" s="3"/>
      <c r="I1382" s="3"/>
      <c r="J1382" s="3"/>
    </row>
    <row r="1383" spans="7:10" x14ac:dyDescent="0.35">
      <c r="G1383" s="3"/>
      <c r="H1383" s="3"/>
      <c r="I1383" s="3"/>
      <c r="J1383" s="3"/>
    </row>
    <row r="1384" spans="7:10" x14ac:dyDescent="0.35">
      <c r="G1384" s="3"/>
      <c r="H1384" s="3"/>
      <c r="I1384" s="3"/>
      <c r="J1384" s="3"/>
    </row>
    <row r="1385" spans="7:10" x14ac:dyDescent="0.35">
      <c r="G1385" s="3"/>
      <c r="H1385" s="3"/>
      <c r="I1385" s="3"/>
      <c r="J1385" s="3"/>
    </row>
    <row r="1386" spans="7:10" x14ac:dyDescent="0.35">
      <c r="G1386" s="3"/>
      <c r="H1386" s="3"/>
      <c r="I1386" s="3"/>
      <c r="J1386" s="3"/>
    </row>
    <row r="1387" spans="7:10" x14ac:dyDescent="0.35">
      <c r="G1387" s="3"/>
      <c r="H1387" s="3"/>
      <c r="I1387" s="3"/>
      <c r="J1387" s="3"/>
    </row>
    <row r="1388" spans="7:10" x14ac:dyDescent="0.35">
      <c r="G1388" s="3"/>
      <c r="H1388" s="3"/>
      <c r="I1388" s="3"/>
      <c r="J1388" s="3"/>
    </row>
    <row r="1389" spans="7:10" x14ac:dyDescent="0.35">
      <c r="G1389" s="3"/>
      <c r="H1389" s="3"/>
      <c r="I1389" s="3"/>
      <c r="J1389" s="3"/>
    </row>
    <row r="1390" spans="7:10" x14ac:dyDescent="0.35">
      <c r="G1390" s="3"/>
      <c r="H1390" s="3"/>
      <c r="I1390" s="3"/>
      <c r="J1390" s="3"/>
    </row>
    <row r="1391" spans="7:10" x14ac:dyDescent="0.35">
      <c r="G1391" s="3"/>
      <c r="H1391" s="3"/>
      <c r="I1391" s="3"/>
      <c r="J1391" s="3"/>
    </row>
    <row r="1392" spans="7:10" x14ac:dyDescent="0.35">
      <c r="G1392" s="3"/>
      <c r="H1392" s="3"/>
      <c r="I1392" s="3"/>
      <c r="J1392" s="3"/>
    </row>
    <row r="1393" spans="7:10" x14ac:dyDescent="0.35">
      <c r="G1393" s="3"/>
      <c r="H1393" s="3"/>
      <c r="I1393" s="3"/>
      <c r="J1393" s="3"/>
    </row>
    <row r="1394" spans="7:10" x14ac:dyDescent="0.35">
      <c r="G1394" s="3"/>
      <c r="H1394" s="3"/>
      <c r="I1394" s="3"/>
      <c r="J1394" s="3"/>
    </row>
    <row r="1395" spans="7:10" x14ac:dyDescent="0.35">
      <c r="G1395" s="3"/>
      <c r="H1395" s="3"/>
      <c r="I1395" s="3"/>
      <c r="J1395" s="3"/>
    </row>
    <row r="1396" spans="7:10" x14ac:dyDescent="0.35">
      <c r="G1396" s="3"/>
      <c r="H1396" s="3"/>
      <c r="I1396" s="3"/>
      <c r="J1396" s="3"/>
    </row>
    <row r="1397" spans="7:10" x14ac:dyDescent="0.35">
      <c r="G1397" s="3"/>
      <c r="H1397" s="3"/>
      <c r="I1397" s="3"/>
      <c r="J1397" s="3"/>
    </row>
    <row r="1398" spans="7:10" x14ac:dyDescent="0.35">
      <c r="G1398" s="3"/>
      <c r="H1398" s="3"/>
      <c r="I1398" s="3"/>
      <c r="J1398" s="3"/>
    </row>
    <row r="1399" spans="7:10" x14ac:dyDescent="0.35">
      <c r="G1399" s="3"/>
      <c r="H1399" s="3"/>
      <c r="I1399" s="3"/>
      <c r="J1399" s="3"/>
    </row>
    <row r="1400" spans="7:10" x14ac:dyDescent="0.35">
      <c r="G1400" s="3"/>
      <c r="H1400" s="3"/>
      <c r="I1400" s="3"/>
      <c r="J1400" s="3"/>
    </row>
    <row r="1401" spans="7:10" x14ac:dyDescent="0.35">
      <c r="G1401" s="3"/>
      <c r="H1401" s="3"/>
      <c r="I1401" s="3"/>
      <c r="J1401" s="3"/>
    </row>
    <row r="1402" spans="7:10" x14ac:dyDescent="0.35">
      <c r="G1402" s="3"/>
      <c r="H1402" s="3"/>
      <c r="I1402" s="3"/>
      <c r="J1402" s="3"/>
    </row>
    <row r="1403" spans="7:10" x14ac:dyDescent="0.35">
      <c r="G1403" s="3"/>
      <c r="H1403" s="3"/>
      <c r="I1403" s="3"/>
      <c r="J1403" s="3"/>
    </row>
    <row r="1404" spans="7:10" x14ac:dyDescent="0.35">
      <c r="G1404" s="3"/>
      <c r="H1404" s="3"/>
      <c r="I1404" s="3"/>
      <c r="J1404" s="3"/>
    </row>
    <row r="1405" spans="7:10" x14ac:dyDescent="0.35">
      <c r="G1405" s="3"/>
      <c r="H1405" s="3"/>
      <c r="I1405" s="3"/>
      <c r="J1405" s="3"/>
    </row>
    <row r="1406" spans="7:10" x14ac:dyDescent="0.35">
      <c r="G1406" s="3"/>
      <c r="H1406" s="3"/>
      <c r="I1406" s="3"/>
      <c r="J1406" s="3"/>
    </row>
    <row r="1407" spans="7:10" x14ac:dyDescent="0.35">
      <c r="G1407" s="3"/>
      <c r="H1407" s="3"/>
      <c r="I1407" s="3"/>
      <c r="J1407" s="3"/>
    </row>
    <row r="1408" spans="7:10" x14ac:dyDescent="0.35">
      <c r="G1408" s="3"/>
      <c r="H1408" s="3"/>
      <c r="I1408" s="3"/>
      <c r="J1408" s="3"/>
    </row>
    <row r="1409" spans="7:10" x14ac:dyDescent="0.35">
      <c r="G1409" s="3"/>
      <c r="H1409" s="3"/>
      <c r="I1409" s="3"/>
      <c r="J1409" s="3"/>
    </row>
    <row r="1410" spans="7:10" x14ac:dyDescent="0.35">
      <c r="G1410" s="3"/>
      <c r="H1410" s="3"/>
      <c r="I1410" s="3"/>
      <c r="J1410" s="3"/>
    </row>
    <row r="1411" spans="7:10" x14ac:dyDescent="0.35">
      <c r="G1411" s="3"/>
      <c r="H1411" s="3"/>
      <c r="I1411" s="3"/>
      <c r="J1411" s="3"/>
    </row>
    <row r="1412" spans="7:10" x14ac:dyDescent="0.35">
      <c r="G1412" s="3"/>
      <c r="H1412" s="3"/>
      <c r="I1412" s="3"/>
      <c r="J1412" s="3"/>
    </row>
    <row r="1413" spans="7:10" x14ac:dyDescent="0.35">
      <c r="G1413" s="3"/>
      <c r="H1413" s="3"/>
      <c r="I1413" s="3"/>
      <c r="J1413" s="3"/>
    </row>
    <row r="1414" spans="7:10" x14ac:dyDescent="0.35">
      <c r="G1414" s="3"/>
      <c r="H1414" s="3"/>
      <c r="I1414" s="3"/>
      <c r="J1414" s="3"/>
    </row>
    <row r="1415" spans="7:10" x14ac:dyDescent="0.35">
      <c r="G1415" s="3"/>
      <c r="H1415" s="3"/>
      <c r="I1415" s="3"/>
      <c r="J1415" s="3"/>
    </row>
    <row r="1416" spans="7:10" x14ac:dyDescent="0.35">
      <c r="G1416" s="3"/>
      <c r="H1416" s="3"/>
      <c r="I1416" s="3"/>
      <c r="J1416" s="3"/>
    </row>
    <row r="1417" spans="7:10" x14ac:dyDescent="0.35">
      <c r="G1417" s="3"/>
      <c r="H1417" s="3"/>
      <c r="I1417" s="3"/>
      <c r="J1417" s="3"/>
    </row>
    <row r="1418" spans="7:10" x14ac:dyDescent="0.35">
      <c r="G1418" s="3"/>
      <c r="H1418" s="3"/>
      <c r="I1418" s="3"/>
      <c r="J1418" s="3"/>
    </row>
    <row r="1419" spans="7:10" x14ac:dyDescent="0.35">
      <c r="G1419" s="3"/>
      <c r="H1419" s="3"/>
      <c r="I1419" s="3"/>
      <c r="J1419" s="3"/>
    </row>
    <row r="1420" spans="7:10" x14ac:dyDescent="0.35">
      <c r="G1420" s="3"/>
      <c r="H1420" s="3"/>
      <c r="I1420" s="3"/>
      <c r="J1420" s="3"/>
    </row>
    <row r="1421" spans="7:10" x14ac:dyDescent="0.35">
      <c r="G1421" s="3"/>
      <c r="H1421" s="3"/>
      <c r="I1421" s="3"/>
      <c r="J1421" s="3"/>
    </row>
    <row r="1422" spans="7:10" x14ac:dyDescent="0.35">
      <c r="G1422" s="3"/>
      <c r="H1422" s="3"/>
      <c r="I1422" s="3"/>
      <c r="J1422" s="3"/>
    </row>
    <row r="1423" spans="7:10" x14ac:dyDescent="0.35">
      <c r="G1423" s="3"/>
      <c r="H1423" s="3"/>
      <c r="I1423" s="3"/>
      <c r="J1423" s="3"/>
    </row>
    <row r="1424" spans="7:10" x14ac:dyDescent="0.35">
      <c r="G1424" s="3"/>
      <c r="H1424" s="3"/>
      <c r="I1424" s="3"/>
      <c r="J1424" s="3"/>
    </row>
    <row r="1425" spans="7:10" x14ac:dyDescent="0.35">
      <c r="G1425" s="3"/>
      <c r="H1425" s="3"/>
      <c r="I1425" s="3"/>
      <c r="J1425" s="3"/>
    </row>
    <row r="1426" spans="7:10" x14ac:dyDescent="0.35">
      <c r="G1426" s="3"/>
      <c r="H1426" s="3"/>
      <c r="I1426" s="3"/>
      <c r="J1426" s="3"/>
    </row>
    <row r="1427" spans="7:10" x14ac:dyDescent="0.35">
      <c r="G1427" s="3"/>
      <c r="H1427" s="3"/>
      <c r="I1427" s="3"/>
      <c r="J1427" s="3"/>
    </row>
    <row r="1428" spans="7:10" x14ac:dyDescent="0.35">
      <c r="G1428" s="3"/>
      <c r="H1428" s="3"/>
      <c r="I1428" s="3"/>
      <c r="J1428" s="3"/>
    </row>
    <row r="1429" spans="7:10" x14ac:dyDescent="0.35">
      <c r="G1429" s="3"/>
      <c r="H1429" s="3"/>
      <c r="I1429" s="3"/>
      <c r="J1429" s="3"/>
    </row>
    <row r="1430" spans="7:10" x14ac:dyDescent="0.35">
      <c r="G1430" s="3"/>
      <c r="H1430" s="3"/>
      <c r="I1430" s="3"/>
      <c r="J1430" s="3"/>
    </row>
    <row r="1431" spans="7:10" x14ac:dyDescent="0.35">
      <c r="G1431" s="3"/>
      <c r="H1431" s="3"/>
      <c r="I1431" s="3"/>
      <c r="J1431" s="3"/>
    </row>
    <row r="1432" spans="7:10" x14ac:dyDescent="0.35">
      <c r="G1432" s="3"/>
      <c r="H1432" s="3"/>
      <c r="I1432" s="3"/>
      <c r="J1432" s="3"/>
    </row>
    <row r="1433" spans="7:10" x14ac:dyDescent="0.35">
      <c r="G1433" s="3"/>
      <c r="H1433" s="3"/>
      <c r="I1433" s="3"/>
      <c r="J1433" s="3"/>
    </row>
    <row r="1434" spans="7:10" x14ac:dyDescent="0.35">
      <c r="G1434" s="3"/>
      <c r="H1434" s="3"/>
      <c r="I1434" s="3"/>
      <c r="J1434" s="3"/>
    </row>
    <row r="1435" spans="7:10" x14ac:dyDescent="0.35">
      <c r="G1435" s="3"/>
      <c r="H1435" s="3"/>
      <c r="I1435" s="3"/>
      <c r="J1435" s="3"/>
    </row>
    <row r="1436" spans="7:10" x14ac:dyDescent="0.35">
      <c r="G1436" s="3"/>
      <c r="H1436" s="3"/>
      <c r="I1436" s="3"/>
      <c r="J1436" s="3"/>
    </row>
    <row r="1437" spans="7:10" x14ac:dyDescent="0.35">
      <c r="G1437" s="3"/>
      <c r="H1437" s="3"/>
      <c r="I1437" s="3"/>
      <c r="J1437" s="3"/>
    </row>
    <row r="1438" spans="7:10" x14ac:dyDescent="0.35">
      <c r="G1438" s="3"/>
      <c r="H1438" s="3"/>
      <c r="I1438" s="3"/>
      <c r="J1438" s="3"/>
    </row>
    <row r="1439" spans="7:10" x14ac:dyDescent="0.35">
      <c r="G1439" s="3"/>
      <c r="H1439" s="3"/>
      <c r="I1439" s="3"/>
      <c r="J1439" s="3"/>
    </row>
    <row r="1440" spans="7:10" x14ac:dyDescent="0.35">
      <c r="G1440" s="3"/>
      <c r="H1440" s="3"/>
      <c r="I1440" s="3"/>
      <c r="J1440" s="3"/>
    </row>
    <row r="1441" spans="7:10" x14ac:dyDescent="0.35">
      <c r="G1441" s="3"/>
      <c r="H1441" s="3"/>
      <c r="I1441" s="3"/>
      <c r="J1441" s="3"/>
    </row>
    <row r="1442" spans="7:10" x14ac:dyDescent="0.35">
      <c r="G1442" s="3"/>
      <c r="H1442" s="3"/>
      <c r="I1442" s="3"/>
      <c r="J1442" s="3"/>
    </row>
    <row r="1443" spans="7:10" x14ac:dyDescent="0.35">
      <c r="G1443" s="3"/>
      <c r="H1443" s="3"/>
      <c r="I1443" s="3"/>
      <c r="J1443" s="3"/>
    </row>
    <row r="1444" spans="7:10" x14ac:dyDescent="0.35">
      <c r="G1444" s="3"/>
      <c r="H1444" s="3"/>
      <c r="I1444" s="3"/>
      <c r="J1444" s="3"/>
    </row>
    <row r="1445" spans="7:10" x14ac:dyDescent="0.35">
      <c r="G1445" s="3"/>
      <c r="H1445" s="3"/>
      <c r="I1445" s="3"/>
      <c r="J1445" s="3"/>
    </row>
    <row r="1446" spans="7:10" x14ac:dyDescent="0.35">
      <c r="G1446" s="3"/>
      <c r="H1446" s="3"/>
      <c r="I1446" s="3"/>
      <c r="J1446" s="3"/>
    </row>
    <row r="1447" spans="7:10" x14ac:dyDescent="0.35">
      <c r="G1447" s="3"/>
      <c r="H1447" s="3"/>
      <c r="I1447" s="3"/>
      <c r="J1447" s="3"/>
    </row>
    <row r="1448" spans="7:10" x14ac:dyDescent="0.35">
      <c r="G1448" s="3"/>
      <c r="H1448" s="3"/>
      <c r="I1448" s="3"/>
      <c r="J1448" s="3"/>
    </row>
    <row r="1449" spans="7:10" x14ac:dyDescent="0.35">
      <c r="G1449" s="3"/>
      <c r="H1449" s="3"/>
      <c r="I1449" s="3"/>
      <c r="J1449" s="3"/>
    </row>
    <row r="1450" spans="7:10" x14ac:dyDescent="0.35">
      <c r="G1450" s="3"/>
      <c r="H1450" s="3"/>
      <c r="I1450" s="3"/>
      <c r="J1450" s="3"/>
    </row>
    <row r="1451" spans="7:10" x14ac:dyDescent="0.35">
      <c r="G1451" s="3"/>
      <c r="H1451" s="3"/>
      <c r="I1451" s="3"/>
      <c r="J1451" s="3"/>
    </row>
    <row r="1452" spans="7:10" x14ac:dyDescent="0.35">
      <c r="G1452" s="3"/>
      <c r="H1452" s="3"/>
      <c r="I1452" s="3"/>
      <c r="J1452" s="3"/>
    </row>
    <row r="1453" spans="7:10" x14ac:dyDescent="0.35">
      <c r="G1453" s="3"/>
      <c r="H1453" s="3"/>
      <c r="I1453" s="3"/>
      <c r="J1453" s="3"/>
    </row>
    <row r="1454" spans="7:10" x14ac:dyDescent="0.35">
      <c r="G1454" s="3"/>
      <c r="H1454" s="3"/>
      <c r="I1454" s="3"/>
      <c r="J1454" s="3"/>
    </row>
    <row r="1455" spans="7:10" x14ac:dyDescent="0.35">
      <c r="G1455" s="3"/>
      <c r="H1455" s="3"/>
      <c r="I1455" s="3"/>
      <c r="J1455" s="3"/>
    </row>
    <row r="1456" spans="7:10" x14ac:dyDescent="0.35">
      <c r="G1456" s="3"/>
      <c r="H1456" s="3"/>
      <c r="I1456" s="3"/>
      <c r="J1456" s="3"/>
    </row>
    <row r="1457" spans="7:10" x14ac:dyDescent="0.35">
      <c r="G1457" s="3"/>
      <c r="H1457" s="3"/>
      <c r="I1457" s="3"/>
      <c r="J1457" s="3"/>
    </row>
    <row r="1458" spans="7:10" x14ac:dyDescent="0.35">
      <c r="G1458" s="3"/>
      <c r="H1458" s="3"/>
      <c r="I1458" s="3"/>
      <c r="J1458" s="3"/>
    </row>
    <row r="1459" spans="7:10" x14ac:dyDescent="0.35">
      <c r="G1459" s="3"/>
      <c r="H1459" s="3"/>
      <c r="I1459" s="3"/>
      <c r="J1459" s="3"/>
    </row>
    <row r="1460" spans="7:10" x14ac:dyDescent="0.35">
      <c r="G1460" s="3"/>
      <c r="H1460" s="3"/>
      <c r="I1460" s="3"/>
      <c r="J1460" s="3"/>
    </row>
    <row r="1461" spans="7:10" x14ac:dyDescent="0.35">
      <c r="G1461" s="3"/>
      <c r="H1461" s="3"/>
      <c r="I1461" s="3"/>
      <c r="J1461" s="3"/>
    </row>
    <row r="1462" spans="7:10" x14ac:dyDescent="0.35">
      <c r="G1462" s="3"/>
      <c r="H1462" s="3"/>
      <c r="I1462" s="3"/>
      <c r="J1462" s="3"/>
    </row>
    <row r="1463" spans="7:10" x14ac:dyDescent="0.35">
      <c r="G1463" s="3"/>
      <c r="H1463" s="3"/>
      <c r="I1463" s="3"/>
      <c r="J1463" s="3"/>
    </row>
    <row r="1464" spans="7:10" x14ac:dyDescent="0.35">
      <c r="G1464" s="3"/>
      <c r="H1464" s="3"/>
      <c r="I1464" s="3"/>
      <c r="J1464" s="3"/>
    </row>
    <row r="1465" spans="7:10" x14ac:dyDescent="0.35">
      <c r="G1465" s="3"/>
      <c r="H1465" s="3"/>
      <c r="I1465" s="3"/>
      <c r="J1465" s="3"/>
    </row>
    <row r="1466" spans="7:10" x14ac:dyDescent="0.35">
      <c r="G1466" s="3"/>
      <c r="H1466" s="3"/>
      <c r="I1466" s="3"/>
      <c r="J1466" s="3"/>
    </row>
    <row r="1467" spans="7:10" x14ac:dyDescent="0.35">
      <c r="G1467" s="3"/>
      <c r="H1467" s="3"/>
      <c r="I1467" s="3"/>
      <c r="J1467" s="3"/>
    </row>
    <row r="1468" spans="7:10" x14ac:dyDescent="0.35">
      <c r="G1468" s="3"/>
      <c r="H1468" s="3"/>
      <c r="I1468" s="3"/>
      <c r="J1468" s="3"/>
    </row>
    <row r="1469" spans="7:10" x14ac:dyDescent="0.35">
      <c r="G1469" s="3"/>
      <c r="H1469" s="3"/>
      <c r="I1469" s="3"/>
      <c r="J1469" s="3"/>
    </row>
    <row r="1470" spans="7:10" x14ac:dyDescent="0.35">
      <c r="G1470" s="3"/>
      <c r="H1470" s="3"/>
      <c r="I1470" s="3"/>
      <c r="J1470" s="3"/>
    </row>
    <row r="1471" spans="7:10" x14ac:dyDescent="0.35">
      <c r="G1471" s="3"/>
      <c r="H1471" s="3"/>
      <c r="I1471" s="3"/>
      <c r="J1471" s="3"/>
    </row>
    <row r="1472" spans="7:10" x14ac:dyDescent="0.35">
      <c r="G1472" s="3"/>
      <c r="H1472" s="3"/>
      <c r="I1472" s="3"/>
      <c r="J1472" s="3"/>
    </row>
    <row r="1473" spans="7:10" x14ac:dyDescent="0.35">
      <c r="G1473" s="3"/>
      <c r="H1473" s="3"/>
      <c r="I1473" s="3"/>
      <c r="J1473" s="3"/>
    </row>
    <row r="1474" spans="7:10" x14ac:dyDescent="0.35">
      <c r="G1474" s="3"/>
      <c r="H1474" s="3"/>
      <c r="I1474" s="3"/>
      <c r="J1474" s="3"/>
    </row>
    <row r="1475" spans="7:10" x14ac:dyDescent="0.35">
      <c r="G1475" s="3"/>
      <c r="H1475" s="3"/>
      <c r="I1475" s="3"/>
      <c r="J1475" s="3"/>
    </row>
    <row r="1476" spans="7:10" x14ac:dyDescent="0.35">
      <c r="G1476" s="3"/>
      <c r="H1476" s="3"/>
      <c r="I1476" s="3"/>
      <c r="J1476" s="3"/>
    </row>
    <row r="1477" spans="7:10" x14ac:dyDescent="0.35">
      <c r="G1477" s="3"/>
      <c r="H1477" s="3"/>
      <c r="I1477" s="3"/>
      <c r="J1477" s="3"/>
    </row>
    <row r="1478" spans="7:10" x14ac:dyDescent="0.35">
      <c r="G1478" s="3"/>
      <c r="H1478" s="3"/>
      <c r="I1478" s="3"/>
      <c r="J1478" s="3"/>
    </row>
    <row r="1479" spans="7:10" x14ac:dyDescent="0.35">
      <c r="G1479" s="3"/>
      <c r="H1479" s="3"/>
      <c r="I1479" s="3"/>
      <c r="J1479" s="3"/>
    </row>
    <row r="1480" spans="7:10" x14ac:dyDescent="0.35">
      <c r="G1480" s="3"/>
      <c r="H1480" s="3"/>
      <c r="I1480" s="3"/>
      <c r="J1480" s="3"/>
    </row>
    <row r="1481" spans="7:10" x14ac:dyDescent="0.35">
      <c r="G1481" s="3"/>
      <c r="H1481" s="3"/>
      <c r="I1481" s="3"/>
      <c r="J1481" s="3"/>
    </row>
    <row r="1482" spans="7:10" x14ac:dyDescent="0.35">
      <c r="G1482" s="3"/>
      <c r="H1482" s="3"/>
      <c r="I1482" s="3"/>
      <c r="J1482" s="3"/>
    </row>
    <row r="1483" spans="7:10" x14ac:dyDescent="0.35">
      <c r="G1483" s="3"/>
      <c r="H1483" s="3"/>
      <c r="I1483" s="3"/>
      <c r="J1483" s="3"/>
    </row>
    <row r="1484" spans="7:10" x14ac:dyDescent="0.35">
      <c r="G1484" s="3"/>
      <c r="H1484" s="3"/>
      <c r="I1484" s="3"/>
      <c r="J1484" s="3"/>
    </row>
    <row r="1485" spans="7:10" x14ac:dyDescent="0.35">
      <c r="G1485" s="3"/>
      <c r="H1485" s="3"/>
      <c r="I1485" s="3"/>
      <c r="J1485" s="3"/>
    </row>
    <row r="1486" spans="7:10" x14ac:dyDescent="0.35">
      <c r="G1486" s="3"/>
      <c r="H1486" s="3"/>
      <c r="I1486" s="3"/>
      <c r="J1486" s="3"/>
    </row>
    <row r="1487" spans="7:10" x14ac:dyDescent="0.35">
      <c r="G1487" s="3"/>
      <c r="H1487" s="3"/>
      <c r="I1487" s="3"/>
      <c r="J1487" s="3"/>
    </row>
    <row r="1488" spans="7:10" x14ac:dyDescent="0.35">
      <c r="G1488" s="3"/>
      <c r="H1488" s="3"/>
      <c r="I1488" s="3"/>
      <c r="J1488" s="3"/>
    </row>
    <row r="1489" spans="7:10" x14ac:dyDescent="0.35">
      <c r="G1489" s="3"/>
      <c r="H1489" s="3"/>
      <c r="I1489" s="3"/>
      <c r="J1489" s="3"/>
    </row>
    <row r="1490" spans="7:10" x14ac:dyDescent="0.35">
      <c r="G1490" s="3"/>
      <c r="H1490" s="3"/>
      <c r="I1490" s="3"/>
      <c r="J1490" s="3"/>
    </row>
    <row r="1491" spans="7:10" x14ac:dyDescent="0.35">
      <c r="G1491" s="3"/>
      <c r="H1491" s="3"/>
      <c r="I1491" s="3"/>
      <c r="J1491" s="3"/>
    </row>
    <row r="1492" spans="7:10" x14ac:dyDescent="0.35">
      <c r="G1492" s="3"/>
      <c r="H1492" s="3"/>
      <c r="I1492" s="3"/>
      <c r="J1492" s="3"/>
    </row>
    <row r="1493" spans="7:10" x14ac:dyDescent="0.35">
      <c r="G1493" s="3"/>
      <c r="H1493" s="3"/>
      <c r="I1493" s="3"/>
      <c r="J1493" s="3"/>
    </row>
    <row r="1494" spans="7:10" x14ac:dyDescent="0.35">
      <c r="G1494" s="3"/>
      <c r="H1494" s="3"/>
      <c r="I1494" s="3"/>
      <c r="J1494" s="3"/>
    </row>
    <row r="1495" spans="7:10" x14ac:dyDescent="0.35">
      <c r="G1495" s="3"/>
      <c r="H1495" s="3"/>
      <c r="I1495" s="3"/>
      <c r="J1495" s="3"/>
    </row>
    <row r="1496" spans="7:10" x14ac:dyDescent="0.35">
      <c r="G1496" s="3"/>
      <c r="H1496" s="3"/>
      <c r="I1496" s="3"/>
      <c r="J1496" s="3"/>
    </row>
    <row r="1497" spans="7:10" x14ac:dyDescent="0.35">
      <c r="G1497" s="3"/>
      <c r="H1497" s="3"/>
      <c r="I1497" s="3"/>
      <c r="J1497" s="3"/>
    </row>
    <row r="1498" spans="7:10" x14ac:dyDescent="0.35">
      <c r="G1498" s="3"/>
      <c r="H1498" s="3"/>
      <c r="I1498" s="3"/>
      <c r="J1498" s="3"/>
    </row>
    <row r="1499" spans="7:10" x14ac:dyDescent="0.35">
      <c r="G1499" s="3"/>
      <c r="H1499" s="3"/>
      <c r="I1499" s="3"/>
      <c r="J1499" s="3"/>
    </row>
    <row r="1500" spans="7:10" x14ac:dyDescent="0.35">
      <c r="G1500" s="3"/>
      <c r="H1500" s="3"/>
      <c r="I1500" s="3"/>
      <c r="J1500" s="3"/>
    </row>
    <row r="1501" spans="7:10" x14ac:dyDescent="0.35">
      <c r="G1501" s="3"/>
      <c r="H1501" s="3"/>
      <c r="I1501" s="3"/>
      <c r="J1501" s="3"/>
    </row>
    <row r="1502" spans="7:10" x14ac:dyDescent="0.35">
      <c r="G1502" s="3"/>
      <c r="H1502" s="3"/>
      <c r="I1502" s="3"/>
      <c r="J1502" s="3"/>
    </row>
    <row r="1503" spans="7:10" x14ac:dyDescent="0.35">
      <c r="G1503" s="3"/>
      <c r="H1503" s="3"/>
      <c r="I1503" s="3"/>
      <c r="J1503" s="3"/>
    </row>
    <row r="1504" spans="7:10" x14ac:dyDescent="0.35">
      <c r="G1504" s="3"/>
      <c r="H1504" s="3"/>
      <c r="I1504" s="3"/>
      <c r="J1504" s="3"/>
    </row>
    <row r="1505" spans="7:10" x14ac:dyDescent="0.35">
      <c r="G1505" s="3"/>
      <c r="H1505" s="3"/>
      <c r="I1505" s="3"/>
      <c r="J1505" s="3"/>
    </row>
    <row r="1506" spans="7:10" x14ac:dyDescent="0.35">
      <c r="G1506" s="3"/>
      <c r="H1506" s="3"/>
      <c r="I1506" s="3"/>
      <c r="J1506" s="3"/>
    </row>
    <row r="1507" spans="7:10" x14ac:dyDescent="0.35">
      <c r="G1507" s="3"/>
      <c r="H1507" s="3"/>
      <c r="I1507" s="3"/>
      <c r="J1507" s="3"/>
    </row>
    <row r="1508" spans="7:10" x14ac:dyDescent="0.35">
      <c r="G1508" s="3"/>
      <c r="H1508" s="3"/>
      <c r="I1508" s="3"/>
      <c r="J1508" s="3"/>
    </row>
    <row r="1509" spans="7:10" x14ac:dyDescent="0.35">
      <c r="G1509" s="3"/>
      <c r="H1509" s="3"/>
      <c r="I1509" s="3"/>
      <c r="J1509" s="3"/>
    </row>
    <row r="1510" spans="7:10" x14ac:dyDescent="0.35">
      <c r="G1510" s="3"/>
      <c r="H1510" s="3"/>
      <c r="I1510" s="3"/>
      <c r="J1510" s="3"/>
    </row>
    <row r="1511" spans="7:10" x14ac:dyDescent="0.35">
      <c r="G1511" s="3"/>
      <c r="H1511" s="3"/>
      <c r="I1511" s="3"/>
      <c r="J1511" s="3"/>
    </row>
    <row r="1512" spans="7:10" x14ac:dyDescent="0.35">
      <c r="G1512" s="3"/>
      <c r="H1512" s="3"/>
      <c r="I1512" s="3"/>
      <c r="J1512" s="3"/>
    </row>
    <row r="1513" spans="7:10" x14ac:dyDescent="0.35">
      <c r="G1513" s="3"/>
      <c r="H1513" s="3"/>
      <c r="I1513" s="3"/>
      <c r="J1513" s="3"/>
    </row>
    <row r="1514" spans="7:10" x14ac:dyDescent="0.35">
      <c r="G1514" s="3"/>
      <c r="H1514" s="3"/>
      <c r="I1514" s="3"/>
      <c r="J1514" s="3"/>
    </row>
    <row r="1515" spans="7:10" x14ac:dyDescent="0.35">
      <c r="G1515" s="3"/>
      <c r="H1515" s="3"/>
      <c r="I1515" s="3"/>
      <c r="J1515" s="3"/>
    </row>
    <row r="1516" spans="7:10" x14ac:dyDescent="0.35">
      <c r="G1516" s="3"/>
      <c r="H1516" s="3"/>
      <c r="I1516" s="3"/>
      <c r="J1516" s="3"/>
    </row>
    <row r="1517" spans="7:10" x14ac:dyDescent="0.35">
      <c r="G1517" s="3"/>
      <c r="H1517" s="3"/>
      <c r="I1517" s="3"/>
      <c r="J1517" s="3"/>
    </row>
    <row r="1518" spans="7:10" x14ac:dyDescent="0.35">
      <c r="G1518" s="3"/>
      <c r="H1518" s="3"/>
      <c r="I1518" s="3"/>
      <c r="J1518" s="3"/>
    </row>
    <row r="1519" spans="7:10" x14ac:dyDescent="0.35">
      <c r="G1519" s="3"/>
      <c r="H1519" s="3"/>
      <c r="I1519" s="3"/>
      <c r="J1519" s="3"/>
    </row>
    <row r="1520" spans="7:10" x14ac:dyDescent="0.35">
      <c r="G1520" s="3"/>
      <c r="H1520" s="3"/>
      <c r="I1520" s="3"/>
      <c r="J1520" s="3"/>
    </row>
    <row r="1521" spans="7:10" x14ac:dyDescent="0.35">
      <c r="G1521" s="3"/>
      <c r="H1521" s="3"/>
      <c r="I1521" s="3"/>
      <c r="J1521" s="3"/>
    </row>
    <row r="1522" spans="7:10" x14ac:dyDescent="0.35">
      <c r="G1522" s="3"/>
      <c r="H1522" s="3"/>
      <c r="I1522" s="3"/>
      <c r="J1522" s="3"/>
    </row>
    <row r="1523" spans="7:10" x14ac:dyDescent="0.35">
      <c r="G1523" s="3"/>
      <c r="H1523" s="3"/>
      <c r="I1523" s="3"/>
      <c r="J1523" s="3"/>
    </row>
    <row r="1524" spans="7:10" x14ac:dyDescent="0.35">
      <c r="G1524" s="3"/>
      <c r="H1524" s="3"/>
      <c r="I1524" s="3"/>
      <c r="J1524" s="3"/>
    </row>
    <row r="1525" spans="7:10" x14ac:dyDescent="0.35">
      <c r="G1525" s="3"/>
      <c r="H1525" s="3"/>
      <c r="I1525" s="3"/>
      <c r="J1525" s="3"/>
    </row>
    <row r="1526" spans="7:10" x14ac:dyDescent="0.35">
      <c r="G1526" s="3"/>
      <c r="H1526" s="3"/>
      <c r="I1526" s="3"/>
      <c r="J1526" s="3"/>
    </row>
    <row r="1527" spans="7:10" x14ac:dyDescent="0.35">
      <c r="G1527" s="3"/>
      <c r="H1527" s="3"/>
      <c r="I1527" s="3"/>
      <c r="J1527" s="3"/>
    </row>
    <row r="1528" spans="7:10" x14ac:dyDescent="0.35">
      <c r="G1528" s="3"/>
      <c r="H1528" s="3"/>
      <c r="I1528" s="3"/>
      <c r="J1528" s="3"/>
    </row>
    <row r="1529" spans="7:10" x14ac:dyDescent="0.35">
      <c r="G1529" s="3"/>
      <c r="H1529" s="3"/>
      <c r="I1529" s="3"/>
      <c r="J1529" s="3"/>
    </row>
    <row r="1530" spans="7:10" x14ac:dyDescent="0.35">
      <c r="G1530" s="3"/>
      <c r="H1530" s="3"/>
      <c r="I1530" s="3"/>
      <c r="J1530" s="3"/>
    </row>
    <row r="1531" spans="7:10" x14ac:dyDescent="0.35">
      <c r="G1531" s="3"/>
      <c r="H1531" s="3"/>
      <c r="I1531" s="3"/>
      <c r="J1531" s="3"/>
    </row>
    <row r="1532" spans="7:10" x14ac:dyDescent="0.35">
      <c r="G1532" s="3"/>
      <c r="H1532" s="3"/>
      <c r="I1532" s="3"/>
      <c r="J1532" s="3"/>
    </row>
    <row r="1533" spans="7:10" x14ac:dyDescent="0.35">
      <c r="G1533" s="3"/>
      <c r="H1533" s="3"/>
      <c r="I1533" s="3"/>
      <c r="J1533" s="3"/>
    </row>
    <row r="1534" spans="7:10" x14ac:dyDescent="0.35">
      <c r="G1534" s="3"/>
      <c r="H1534" s="3"/>
      <c r="I1534" s="3"/>
      <c r="J1534" s="3"/>
    </row>
    <row r="1535" spans="7:10" x14ac:dyDescent="0.35">
      <c r="G1535" s="3"/>
      <c r="H1535" s="3"/>
      <c r="I1535" s="3"/>
      <c r="J1535" s="3"/>
    </row>
    <row r="1536" spans="7:10" x14ac:dyDescent="0.35">
      <c r="G1536" s="3"/>
      <c r="H1536" s="3"/>
      <c r="I1536" s="3"/>
      <c r="J1536" s="3"/>
    </row>
    <row r="1537" spans="7:10" x14ac:dyDescent="0.35">
      <c r="G1537" s="3"/>
      <c r="H1537" s="3"/>
      <c r="I1537" s="3"/>
      <c r="J1537" s="3"/>
    </row>
    <row r="1538" spans="7:10" x14ac:dyDescent="0.35">
      <c r="G1538" s="3"/>
      <c r="H1538" s="3"/>
      <c r="I1538" s="3"/>
      <c r="J1538" s="3"/>
    </row>
    <row r="1539" spans="7:10" x14ac:dyDescent="0.35">
      <c r="G1539" s="3"/>
      <c r="H1539" s="3"/>
      <c r="I1539" s="3"/>
      <c r="J1539" s="3"/>
    </row>
    <row r="1540" spans="7:10" x14ac:dyDescent="0.35">
      <c r="G1540" s="3"/>
      <c r="H1540" s="3"/>
      <c r="I1540" s="3"/>
      <c r="J1540" s="3"/>
    </row>
    <row r="1541" spans="7:10" x14ac:dyDescent="0.35">
      <c r="G1541" s="3"/>
      <c r="H1541" s="3"/>
      <c r="I1541" s="3"/>
      <c r="J1541" s="3"/>
    </row>
    <row r="1542" spans="7:10" x14ac:dyDescent="0.35">
      <c r="G1542" s="3"/>
      <c r="H1542" s="3"/>
      <c r="I1542" s="3"/>
      <c r="J1542" s="3"/>
    </row>
    <row r="1543" spans="7:10" x14ac:dyDescent="0.35">
      <c r="G1543" s="3"/>
      <c r="H1543" s="3"/>
      <c r="I1543" s="3"/>
      <c r="J1543" s="3"/>
    </row>
    <row r="1544" spans="7:10" x14ac:dyDescent="0.35">
      <c r="G1544" s="3"/>
      <c r="H1544" s="3"/>
      <c r="I1544" s="3"/>
      <c r="J1544" s="3"/>
    </row>
    <row r="1545" spans="7:10" x14ac:dyDescent="0.35">
      <c r="G1545" s="3"/>
      <c r="H1545" s="3"/>
      <c r="I1545" s="3"/>
      <c r="J1545" s="3"/>
    </row>
    <row r="1546" spans="7:10" x14ac:dyDescent="0.35">
      <c r="G1546" s="3"/>
      <c r="H1546" s="3"/>
      <c r="I1546" s="3"/>
      <c r="J1546" s="3"/>
    </row>
    <row r="1547" spans="7:10" x14ac:dyDescent="0.35">
      <c r="G1547" s="3"/>
      <c r="H1547" s="3"/>
      <c r="I1547" s="3"/>
      <c r="J1547" s="3"/>
    </row>
    <row r="1548" spans="7:10" x14ac:dyDescent="0.35">
      <c r="G1548" s="3"/>
      <c r="H1548" s="3"/>
      <c r="I1548" s="3"/>
      <c r="J1548" s="3"/>
    </row>
    <row r="1549" spans="7:10" x14ac:dyDescent="0.35">
      <c r="G1549" s="3"/>
      <c r="H1549" s="3"/>
      <c r="I1549" s="3"/>
      <c r="J1549" s="3"/>
    </row>
    <row r="1550" spans="7:10" x14ac:dyDescent="0.35">
      <c r="G1550" s="3"/>
      <c r="H1550" s="3"/>
      <c r="I1550" s="3"/>
      <c r="J1550" s="3"/>
    </row>
    <row r="1551" spans="7:10" x14ac:dyDescent="0.35">
      <c r="G1551" s="3"/>
      <c r="H1551" s="3"/>
      <c r="I1551" s="3"/>
      <c r="J1551" s="3"/>
    </row>
    <row r="1552" spans="7:10" x14ac:dyDescent="0.35">
      <c r="G1552" s="3"/>
      <c r="H1552" s="3"/>
      <c r="I1552" s="3"/>
      <c r="J1552" s="3"/>
    </row>
    <row r="1553" spans="7:10" x14ac:dyDescent="0.35">
      <c r="G1553" s="3"/>
      <c r="H1553" s="3"/>
      <c r="I1553" s="3"/>
      <c r="J1553" s="3"/>
    </row>
    <row r="1554" spans="7:10" x14ac:dyDescent="0.35">
      <c r="G1554" s="3"/>
      <c r="H1554" s="3"/>
      <c r="I1554" s="3"/>
      <c r="J1554" s="3"/>
    </row>
    <row r="1555" spans="7:10" x14ac:dyDescent="0.35">
      <c r="G1555" s="3"/>
      <c r="H1555" s="3"/>
      <c r="I1555" s="3"/>
      <c r="J1555" s="3"/>
    </row>
    <row r="1556" spans="7:10" x14ac:dyDescent="0.35">
      <c r="G1556" s="3"/>
      <c r="H1556" s="3"/>
      <c r="I1556" s="3"/>
      <c r="J1556" s="3"/>
    </row>
    <row r="1557" spans="7:10" x14ac:dyDescent="0.35">
      <c r="G1557" s="3"/>
      <c r="H1557" s="3"/>
      <c r="I1557" s="3"/>
      <c r="J1557" s="3"/>
    </row>
    <row r="1558" spans="7:10" x14ac:dyDescent="0.35">
      <c r="G1558" s="3"/>
      <c r="H1558" s="3"/>
      <c r="I1558" s="3"/>
      <c r="J1558" s="3"/>
    </row>
    <row r="1559" spans="7:10" x14ac:dyDescent="0.35">
      <c r="G1559" s="3"/>
      <c r="H1559" s="3"/>
      <c r="I1559" s="3"/>
      <c r="J1559" s="3"/>
    </row>
    <row r="1560" spans="7:10" x14ac:dyDescent="0.35">
      <c r="G1560" s="3"/>
      <c r="H1560" s="3"/>
      <c r="I1560" s="3"/>
      <c r="J1560" s="3"/>
    </row>
    <row r="1561" spans="7:10" x14ac:dyDescent="0.35">
      <c r="G1561" s="3"/>
      <c r="H1561" s="3"/>
      <c r="I1561" s="3"/>
      <c r="J1561" s="3"/>
    </row>
    <row r="1562" spans="7:10" x14ac:dyDescent="0.35">
      <c r="G1562" s="3"/>
      <c r="H1562" s="3"/>
      <c r="I1562" s="3"/>
      <c r="J1562" s="3"/>
    </row>
    <row r="1563" spans="7:10" x14ac:dyDescent="0.35">
      <c r="G1563" s="3"/>
      <c r="H1563" s="3"/>
      <c r="I1563" s="3"/>
      <c r="J1563" s="3"/>
    </row>
    <row r="1564" spans="7:10" x14ac:dyDescent="0.35">
      <c r="G1564" s="3"/>
      <c r="H1564" s="3"/>
      <c r="I1564" s="3"/>
      <c r="J1564" s="3"/>
    </row>
    <row r="1565" spans="7:10" x14ac:dyDescent="0.35">
      <c r="G1565" s="3"/>
      <c r="H1565" s="3"/>
      <c r="I1565" s="3"/>
      <c r="J1565" s="3"/>
    </row>
    <row r="1566" spans="7:10" x14ac:dyDescent="0.35">
      <c r="G1566" s="3"/>
      <c r="H1566" s="3"/>
      <c r="I1566" s="3"/>
      <c r="J1566" s="3"/>
    </row>
    <row r="1567" spans="7:10" x14ac:dyDescent="0.35">
      <c r="G1567" s="3"/>
      <c r="H1567" s="3"/>
      <c r="I1567" s="3"/>
      <c r="J1567" s="3"/>
    </row>
    <row r="1568" spans="7:10" x14ac:dyDescent="0.35">
      <c r="G1568" s="3"/>
      <c r="H1568" s="3"/>
      <c r="I1568" s="3"/>
      <c r="J1568" s="3"/>
    </row>
    <row r="1569" spans="7:10" x14ac:dyDescent="0.35">
      <c r="G1569" s="3"/>
      <c r="H1569" s="3"/>
      <c r="I1569" s="3"/>
      <c r="J1569" s="3"/>
    </row>
    <row r="1570" spans="7:10" x14ac:dyDescent="0.35">
      <c r="G1570" s="3"/>
      <c r="H1570" s="3"/>
      <c r="I1570" s="3"/>
      <c r="J1570" s="3"/>
    </row>
    <row r="1571" spans="7:10" x14ac:dyDescent="0.35">
      <c r="G1571" s="3"/>
      <c r="H1571" s="3"/>
      <c r="I1571" s="3"/>
      <c r="J1571" s="3"/>
    </row>
    <row r="1572" spans="7:10" x14ac:dyDescent="0.35">
      <c r="G1572" s="3"/>
      <c r="H1572" s="3"/>
      <c r="I1572" s="3"/>
      <c r="J1572" s="3"/>
    </row>
    <row r="1573" spans="7:10" x14ac:dyDescent="0.35">
      <c r="G1573" s="3"/>
      <c r="H1573" s="3"/>
      <c r="I1573" s="3"/>
      <c r="J1573" s="3"/>
    </row>
    <row r="1574" spans="7:10" x14ac:dyDescent="0.35">
      <c r="G1574" s="3"/>
      <c r="H1574" s="3"/>
      <c r="I1574" s="3"/>
      <c r="J1574" s="3"/>
    </row>
    <row r="1575" spans="7:10" x14ac:dyDescent="0.35">
      <c r="G1575" s="3"/>
      <c r="H1575" s="3"/>
      <c r="I1575" s="3"/>
      <c r="J1575" s="3"/>
    </row>
    <row r="1576" spans="7:10" x14ac:dyDescent="0.35">
      <c r="G1576" s="3"/>
      <c r="H1576" s="3"/>
      <c r="I1576" s="3"/>
      <c r="J1576" s="3"/>
    </row>
    <row r="1577" spans="7:10" x14ac:dyDescent="0.35">
      <c r="G1577" s="3"/>
      <c r="H1577" s="3"/>
      <c r="I1577" s="3"/>
      <c r="J1577" s="3"/>
    </row>
    <row r="1578" spans="7:10" x14ac:dyDescent="0.35">
      <c r="G1578" s="3"/>
      <c r="H1578" s="3"/>
      <c r="I1578" s="3"/>
      <c r="J1578" s="3"/>
    </row>
    <row r="1579" spans="7:10" x14ac:dyDescent="0.35">
      <c r="G1579" s="3"/>
      <c r="H1579" s="3"/>
      <c r="I1579" s="3"/>
      <c r="J1579" s="3"/>
    </row>
    <row r="1580" spans="7:10" x14ac:dyDescent="0.35">
      <c r="G1580" s="3"/>
      <c r="H1580" s="3"/>
      <c r="I1580" s="3"/>
      <c r="J1580" s="3"/>
    </row>
    <row r="1581" spans="7:10" x14ac:dyDescent="0.35">
      <c r="G1581" s="3"/>
      <c r="H1581" s="3"/>
      <c r="I1581" s="3"/>
      <c r="J1581" s="3"/>
    </row>
    <row r="1582" spans="7:10" x14ac:dyDescent="0.35">
      <c r="G1582" s="3"/>
      <c r="H1582" s="3"/>
      <c r="I1582" s="3"/>
      <c r="J1582" s="3"/>
    </row>
    <row r="1583" spans="7:10" x14ac:dyDescent="0.35">
      <c r="G1583" s="3"/>
      <c r="H1583" s="3"/>
      <c r="I1583" s="3"/>
      <c r="J1583" s="3"/>
    </row>
    <row r="1584" spans="7:10" x14ac:dyDescent="0.35">
      <c r="G1584" s="3"/>
      <c r="H1584" s="3"/>
      <c r="I1584" s="3"/>
      <c r="J1584" s="3"/>
    </row>
    <row r="1585" spans="7:10" x14ac:dyDescent="0.35">
      <c r="G1585" s="3"/>
      <c r="H1585" s="3"/>
      <c r="I1585" s="3"/>
      <c r="J1585" s="3"/>
    </row>
    <row r="1586" spans="7:10" x14ac:dyDescent="0.35">
      <c r="G1586" s="3"/>
      <c r="H1586" s="3"/>
      <c r="I1586" s="3"/>
      <c r="J1586" s="3"/>
    </row>
    <row r="1587" spans="7:10" x14ac:dyDescent="0.35">
      <c r="G1587" s="3"/>
      <c r="H1587" s="3"/>
      <c r="I1587" s="3"/>
      <c r="J1587" s="3"/>
    </row>
    <row r="1588" spans="7:10" x14ac:dyDescent="0.35">
      <c r="G1588" s="3"/>
      <c r="H1588" s="3"/>
      <c r="I1588" s="3"/>
      <c r="J1588" s="3"/>
    </row>
    <row r="1589" spans="7:10" x14ac:dyDescent="0.35">
      <c r="G1589" s="3"/>
      <c r="H1589" s="3"/>
      <c r="I1589" s="3"/>
      <c r="J1589" s="3"/>
    </row>
    <row r="1590" spans="7:10" x14ac:dyDescent="0.35">
      <c r="G1590" s="3"/>
      <c r="H1590" s="3"/>
      <c r="I1590" s="3"/>
      <c r="J1590" s="3"/>
    </row>
    <row r="1591" spans="7:10" x14ac:dyDescent="0.35">
      <c r="G1591" s="3"/>
      <c r="H1591" s="3"/>
      <c r="I1591" s="3"/>
      <c r="J1591" s="3"/>
    </row>
    <row r="1592" spans="7:10" x14ac:dyDescent="0.35">
      <c r="G1592" s="3"/>
      <c r="H1592" s="3"/>
      <c r="I1592" s="3"/>
      <c r="J1592" s="3"/>
    </row>
    <row r="1593" spans="7:10" x14ac:dyDescent="0.35">
      <c r="G1593" s="3"/>
      <c r="H1593" s="3"/>
      <c r="I1593" s="3"/>
      <c r="J1593" s="3"/>
    </row>
    <row r="1594" spans="7:10" x14ac:dyDescent="0.35">
      <c r="G1594" s="3"/>
      <c r="H1594" s="3"/>
      <c r="I1594" s="3"/>
      <c r="J1594" s="3"/>
    </row>
    <row r="1595" spans="7:10" x14ac:dyDescent="0.35">
      <c r="G1595" s="3"/>
      <c r="H1595" s="3"/>
      <c r="I1595" s="3"/>
      <c r="J1595" s="3"/>
    </row>
    <row r="1596" spans="7:10" x14ac:dyDescent="0.35">
      <c r="G1596" s="3"/>
      <c r="H1596" s="3"/>
      <c r="I1596" s="3"/>
      <c r="J1596" s="3"/>
    </row>
    <row r="1597" spans="7:10" x14ac:dyDescent="0.35">
      <c r="G1597" s="3"/>
      <c r="H1597" s="3"/>
      <c r="I1597" s="3"/>
      <c r="J1597" s="3"/>
    </row>
    <row r="1598" spans="7:10" x14ac:dyDescent="0.35">
      <c r="G1598" s="3"/>
      <c r="H1598" s="3"/>
      <c r="I1598" s="3"/>
      <c r="J1598" s="3"/>
    </row>
    <row r="1599" spans="7:10" x14ac:dyDescent="0.35">
      <c r="G1599" s="3"/>
      <c r="H1599" s="3"/>
      <c r="I1599" s="3"/>
      <c r="J1599" s="3"/>
    </row>
    <row r="1600" spans="7:10" x14ac:dyDescent="0.35">
      <c r="G1600" s="3"/>
      <c r="H1600" s="3"/>
      <c r="I1600" s="3"/>
      <c r="J1600" s="3"/>
    </row>
    <row r="1601" spans="7:10" x14ac:dyDescent="0.35">
      <c r="G1601" s="3"/>
      <c r="H1601" s="3"/>
      <c r="I1601" s="3"/>
      <c r="J1601" s="3"/>
    </row>
    <row r="1602" spans="7:10" x14ac:dyDescent="0.35">
      <c r="G1602" s="3"/>
      <c r="H1602" s="3"/>
      <c r="I1602" s="3"/>
      <c r="J1602" s="3"/>
    </row>
    <row r="1603" spans="7:10" x14ac:dyDescent="0.35">
      <c r="G1603" s="3"/>
      <c r="H1603" s="3"/>
      <c r="I1603" s="3"/>
      <c r="J1603" s="3"/>
    </row>
    <row r="1604" spans="7:10" x14ac:dyDescent="0.35">
      <c r="G1604" s="3"/>
      <c r="H1604" s="3"/>
      <c r="I1604" s="3"/>
      <c r="J1604" s="3"/>
    </row>
    <row r="1605" spans="7:10" x14ac:dyDescent="0.35">
      <c r="G1605" s="3"/>
      <c r="H1605" s="3"/>
      <c r="I1605" s="3"/>
      <c r="J1605" s="3"/>
    </row>
    <row r="1606" spans="7:10" x14ac:dyDescent="0.35">
      <c r="G1606" s="3"/>
      <c r="H1606" s="3"/>
      <c r="I1606" s="3"/>
      <c r="J1606" s="3"/>
    </row>
    <row r="1607" spans="7:10" x14ac:dyDescent="0.35">
      <c r="G1607" s="3"/>
      <c r="H1607" s="3"/>
      <c r="I1607" s="3"/>
      <c r="J1607" s="3"/>
    </row>
    <row r="1608" spans="7:10" x14ac:dyDescent="0.35">
      <c r="G1608" s="3"/>
      <c r="H1608" s="3"/>
      <c r="I1608" s="3"/>
      <c r="J1608" s="3"/>
    </row>
    <row r="1609" spans="7:10" x14ac:dyDescent="0.35">
      <c r="G1609" s="3"/>
      <c r="H1609" s="3"/>
      <c r="I1609" s="3"/>
      <c r="J1609" s="3"/>
    </row>
    <row r="1610" spans="7:10" x14ac:dyDescent="0.35">
      <c r="G1610" s="3"/>
      <c r="H1610" s="3"/>
      <c r="I1610" s="3"/>
      <c r="J1610" s="3"/>
    </row>
    <row r="1611" spans="7:10" x14ac:dyDescent="0.35">
      <c r="G1611" s="3"/>
      <c r="H1611" s="3"/>
      <c r="I1611" s="3"/>
      <c r="J1611" s="3"/>
    </row>
    <row r="1612" spans="7:10" x14ac:dyDescent="0.35">
      <c r="G1612" s="3"/>
      <c r="H1612" s="3"/>
      <c r="I1612" s="3"/>
      <c r="J1612" s="3"/>
    </row>
    <row r="1613" spans="7:10" x14ac:dyDescent="0.35">
      <c r="G1613" s="3"/>
      <c r="H1613" s="3"/>
      <c r="I1613" s="3"/>
      <c r="J1613" s="3"/>
    </row>
    <row r="1614" spans="7:10" x14ac:dyDescent="0.35">
      <c r="G1614" s="3"/>
      <c r="H1614" s="3"/>
      <c r="I1614" s="3"/>
      <c r="J1614" s="3"/>
    </row>
    <row r="1615" spans="7:10" x14ac:dyDescent="0.35">
      <c r="G1615" s="3"/>
      <c r="H1615" s="3"/>
      <c r="I1615" s="3"/>
      <c r="J1615" s="3"/>
    </row>
    <row r="1616" spans="7:10" x14ac:dyDescent="0.35">
      <c r="G1616" s="3"/>
      <c r="H1616" s="3"/>
      <c r="I1616" s="3"/>
      <c r="J1616" s="3"/>
    </row>
    <row r="1617" spans="7:10" x14ac:dyDescent="0.35">
      <c r="G1617" s="3"/>
      <c r="H1617" s="3"/>
      <c r="I1617" s="3"/>
      <c r="J1617" s="3"/>
    </row>
    <row r="1618" spans="7:10" x14ac:dyDescent="0.35">
      <c r="G1618" s="3"/>
      <c r="H1618" s="3"/>
      <c r="I1618" s="3"/>
      <c r="J1618" s="3"/>
    </row>
    <row r="1619" spans="7:10" x14ac:dyDescent="0.35">
      <c r="G1619" s="3"/>
      <c r="H1619" s="3"/>
      <c r="I1619" s="3"/>
      <c r="J1619" s="3"/>
    </row>
    <row r="1620" spans="7:10" x14ac:dyDescent="0.35">
      <c r="G1620" s="3"/>
      <c r="H1620" s="3"/>
      <c r="I1620" s="3"/>
      <c r="J1620" s="3"/>
    </row>
    <row r="1621" spans="7:10" x14ac:dyDescent="0.35">
      <c r="G1621" s="3"/>
      <c r="H1621" s="3"/>
      <c r="I1621" s="3"/>
      <c r="J1621" s="3"/>
    </row>
    <row r="1622" spans="7:10" x14ac:dyDescent="0.35">
      <c r="G1622" s="3"/>
      <c r="H1622" s="3"/>
      <c r="I1622" s="3"/>
      <c r="J1622" s="3"/>
    </row>
    <row r="1623" spans="7:10" x14ac:dyDescent="0.35">
      <c r="G1623" s="3"/>
      <c r="H1623" s="3"/>
      <c r="I1623" s="3"/>
      <c r="J1623" s="3"/>
    </row>
    <row r="1624" spans="7:10" x14ac:dyDescent="0.35">
      <c r="G1624" s="3"/>
      <c r="H1624" s="3"/>
      <c r="I1624" s="3"/>
      <c r="J1624" s="3"/>
    </row>
    <row r="1625" spans="7:10" x14ac:dyDescent="0.35">
      <c r="G1625" s="3"/>
      <c r="H1625" s="3"/>
      <c r="I1625" s="3"/>
      <c r="J1625" s="3"/>
    </row>
    <row r="1626" spans="7:10" x14ac:dyDescent="0.35">
      <c r="G1626" s="3"/>
      <c r="H1626" s="3"/>
      <c r="I1626" s="3"/>
      <c r="J1626" s="3"/>
    </row>
    <row r="1627" spans="7:10" x14ac:dyDescent="0.35">
      <c r="G1627" s="3"/>
      <c r="H1627" s="3"/>
      <c r="I1627" s="3"/>
      <c r="J1627" s="3"/>
    </row>
    <row r="1628" spans="7:10" x14ac:dyDescent="0.35">
      <c r="G1628" s="3"/>
      <c r="H1628" s="3"/>
      <c r="I1628" s="3"/>
      <c r="J1628" s="3"/>
    </row>
    <row r="1629" spans="7:10" x14ac:dyDescent="0.35">
      <c r="G1629" s="3"/>
      <c r="H1629" s="3"/>
      <c r="I1629" s="3"/>
      <c r="J1629" s="3"/>
    </row>
    <row r="1630" spans="7:10" x14ac:dyDescent="0.35">
      <c r="G1630" s="3"/>
      <c r="H1630" s="3"/>
      <c r="I1630" s="3"/>
      <c r="J1630" s="3"/>
    </row>
    <row r="1631" spans="7:10" x14ac:dyDescent="0.35">
      <c r="G1631" s="3"/>
      <c r="H1631" s="3"/>
      <c r="I1631" s="3"/>
      <c r="J1631" s="3"/>
    </row>
    <row r="1632" spans="7:10" x14ac:dyDescent="0.35">
      <c r="G1632" s="3"/>
      <c r="H1632" s="3"/>
      <c r="I1632" s="3"/>
      <c r="J1632" s="3"/>
    </row>
    <row r="1633" spans="7:10" x14ac:dyDescent="0.35">
      <c r="G1633" s="3"/>
      <c r="H1633" s="3"/>
      <c r="I1633" s="3"/>
      <c r="J1633" s="3"/>
    </row>
    <row r="1634" spans="7:10" x14ac:dyDescent="0.35">
      <c r="G1634" s="3"/>
      <c r="H1634" s="3"/>
      <c r="I1634" s="3"/>
      <c r="J1634" s="3"/>
    </row>
    <row r="1635" spans="7:10" x14ac:dyDescent="0.35">
      <c r="G1635" s="3"/>
      <c r="H1635" s="3"/>
      <c r="I1635" s="3"/>
      <c r="J1635" s="3"/>
    </row>
    <row r="1636" spans="7:10" x14ac:dyDescent="0.35">
      <c r="G1636" s="3"/>
      <c r="H1636" s="3"/>
      <c r="I1636" s="3"/>
      <c r="J1636" s="3"/>
    </row>
    <row r="1637" spans="7:10" x14ac:dyDescent="0.35">
      <c r="G1637" s="3"/>
      <c r="H1637" s="3"/>
      <c r="I1637" s="3"/>
      <c r="J1637" s="3"/>
    </row>
    <row r="1638" spans="7:10" x14ac:dyDescent="0.35">
      <c r="G1638" s="3"/>
      <c r="H1638" s="3"/>
      <c r="I1638" s="3"/>
      <c r="J1638" s="3"/>
    </row>
    <row r="1639" spans="7:10" x14ac:dyDescent="0.35">
      <c r="G1639" s="3"/>
      <c r="H1639" s="3"/>
      <c r="I1639" s="3"/>
      <c r="J1639" s="3"/>
    </row>
    <row r="1640" spans="7:10" x14ac:dyDescent="0.35">
      <c r="G1640" s="3"/>
      <c r="H1640" s="3"/>
      <c r="I1640" s="3"/>
      <c r="J1640" s="3"/>
    </row>
    <row r="1641" spans="7:10" x14ac:dyDescent="0.35">
      <c r="G1641" s="3"/>
      <c r="H1641" s="3"/>
      <c r="I1641" s="3"/>
      <c r="J1641" s="3"/>
    </row>
    <row r="1642" spans="7:10" x14ac:dyDescent="0.35">
      <c r="G1642" s="3"/>
      <c r="H1642" s="3"/>
      <c r="I1642" s="3"/>
      <c r="J1642" s="3"/>
    </row>
    <row r="1643" spans="7:10" x14ac:dyDescent="0.35">
      <c r="G1643" s="3"/>
      <c r="H1643" s="3"/>
      <c r="I1643" s="3"/>
      <c r="J1643" s="3"/>
    </row>
    <row r="1644" spans="7:10" x14ac:dyDescent="0.35">
      <c r="G1644" s="3"/>
      <c r="H1644" s="3"/>
      <c r="I1644" s="3"/>
      <c r="J1644" s="3"/>
    </row>
    <row r="1645" spans="7:10" x14ac:dyDescent="0.35">
      <c r="G1645" s="3"/>
      <c r="H1645" s="3"/>
      <c r="I1645" s="3"/>
      <c r="J1645" s="3"/>
    </row>
    <row r="1646" spans="7:10" x14ac:dyDescent="0.35">
      <c r="G1646" s="3"/>
      <c r="H1646" s="3"/>
      <c r="I1646" s="3"/>
      <c r="J1646" s="3"/>
    </row>
    <row r="1647" spans="7:10" x14ac:dyDescent="0.35">
      <c r="G1647" s="3"/>
      <c r="H1647" s="3"/>
      <c r="I1647" s="3"/>
      <c r="J1647" s="3"/>
    </row>
    <row r="1648" spans="7:10" x14ac:dyDescent="0.35">
      <c r="G1648" s="3"/>
      <c r="H1648" s="3"/>
      <c r="I1648" s="3"/>
      <c r="J1648" s="3"/>
    </row>
    <row r="1649" spans="7:10" x14ac:dyDescent="0.35">
      <c r="G1649" s="3"/>
      <c r="H1649" s="3"/>
      <c r="I1649" s="3"/>
      <c r="J1649" s="3"/>
    </row>
    <row r="1650" spans="7:10" x14ac:dyDescent="0.35">
      <c r="G1650" s="3"/>
      <c r="H1650" s="3"/>
      <c r="I1650" s="3"/>
      <c r="J1650" s="3"/>
    </row>
    <row r="1651" spans="7:10" x14ac:dyDescent="0.35">
      <c r="G1651" s="3"/>
      <c r="H1651" s="3"/>
      <c r="I1651" s="3"/>
      <c r="J1651" s="3"/>
    </row>
    <row r="1652" spans="7:10" x14ac:dyDescent="0.35">
      <c r="G1652" s="3"/>
      <c r="H1652" s="3"/>
      <c r="I1652" s="3"/>
      <c r="J1652" s="3"/>
    </row>
    <row r="1653" spans="7:10" x14ac:dyDescent="0.35">
      <c r="G1653" s="3"/>
      <c r="H1653" s="3"/>
      <c r="I1653" s="3"/>
      <c r="J1653" s="3"/>
    </row>
    <row r="1654" spans="7:10" x14ac:dyDescent="0.35">
      <c r="G1654" s="3"/>
      <c r="H1654" s="3"/>
      <c r="I1654" s="3"/>
      <c r="J1654" s="3"/>
    </row>
    <row r="1655" spans="7:10" x14ac:dyDescent="0.35">
      <c r="G1655" s="3"/>
      <c r="H1655" s="3"/>
      <c r="I1655" s="3"/>
      <c r="J1655" s="3"/>
    </row>
    <row r="1656" spans="7:10" x14ac:dyDescent="0.35">
      <c r="G1656" s="3"/>
      <c r="H1656" s="3"/>
      <c r="I1656" s="3"/>
      <c r="J1656" s="3"/>
    </row>
    <row r="1657" spans="7:10" x14ac:dyDescent="0.35">
      <c r="G1657" s="3"/>
      <c r="H1657" s="3"/>
      <c r="I1657" s="3"/>
      <c r="J1657" s="3"/>
    </row>
    <row r="1658" spans="7:10" x14ac:dyDescent="0.35">
      <c r="G1658" s="3"/>
      <c r="H1658" s="3"/>
      <c r="I1658" s="3"/>
      <c r="J1658" s="3"/>
    </row>
    <row r="1659" spans="7:10" x14ac:dyDescent="0.35">
      <c r="G1659" s="3"/>
      <c r="H1659" s="3"/>
      <c r="I1659" s="3"/>
      <c r="J1659" s="3"/>
    </row>
    <row r="1660" spans="7:10" x14ac:dyDescent="0.35">
      <c r="G1660" s="3"/>
      <c r="H1660" s="3"/>
      <c r="I1660" s="3"/>
      <c r="J1660" s="3"/>
    </row>
    <row r="1661" spans="7:10" x14ac:dyDescent="0.35">
      <c r="G1661" s="3"/>
      <c r="H1661" s="3"/>
      <c r="I1661" s="3"/>
      <c r="J1661" s="3"/>
    </row>
    <row r="1662" spans="7:10" x14ac:dyDescent="0.35">
      <c r="G1662" s="3"/>
      <c r="H1662" s="3"/>
      <c r="I1662" s="3"/>
      <c r="J1662" s="3"/>
    </row>
    <row r="1663" spans="7:10" x14ac:dyDescent="0.35">
      <c r="G1663" s="3"/>
      <c r="H1663" s="3"/>
      <c r="I1663" s="3"/>
      <c r="J1663" s="3"/>
    </row>
    <row r="1664" spans="7:10" x14ac:dyDescent="0.35">
      <c r="G1664" s="3"/>
      <c r="H1664" s="3"/>
      <c r="I1664" s="3"/>
      <c r="J1664" s="3"/>
    </row>
    <row r="1665" spans="7:10" x14ac:dyDescent="0.35">
      <c r="G1665" s="3"/>
      <c r="H1665" s="3"/>
      <c r="I1665" s="3"/>
      <c r="J1665" s="3"/>
    </row>
    <row r="1666" spans="7:10" x14ac:dyDescent="0.35">
      <c r="G1666" s="3"/>
      <c r="H1666" s="3"/>
      <c r="I1666" s="3"/>
      <c r="J1666" s="3"/>
    </row>
    <row r="1667" spans="7:10" x14ac:dyDescent="0.35">
      <c r="G1667" s="3"/>
      <c r="H1667" s="3"/>
      <c r="I1667" s="3"/>
      <c r="J1667" s="3"/>
    </row>
    <row r="1668" spans="7:10" x14ac:dyDescent="0.35">
      <c r="G1668" s="3"/>
      <c r="H1668" s="3"/>
      <c r="I1668" s="3"/>
      <c r="J1668" s="3"/>
    </row>
    <row r="1669" spans="7:10" x14ac:dyDescent="0.35">
      <c r="G1669" s="3"/>
      <c r="H1669" s="3"/>
      <c r="I1669" s="3"/>
      <c r="J1669" s="3"/>
    </row>
    <row r="1670" spans="7:10" x14ac:dyDescent="0.35">
      <c r="G1670" s="3"/>
      <c r="H1670" s="3"/>
      <c r="I1670" s="3"/>
      <c r="J1670" s="3"/>
    </row>
    <row r="1671" spans="7:10" x14ac:dyDescent="0.35">
      <c r="G1671" s="3"/>
      <c r="H1671" s="3"/>
      <c r="I1671" s="3"/>
      <c r="J1671" s="3"/>
    </row>
    <row r="1672" spans="7:10" x14ac:dyDescent="0.35">
      <c r="G1672" s="3"/>
      <c r="H1672" s="3"/>
      <c r="I1672" s="3"/>
      <c r="J1672" s="3"/>
    </row>
    <row r="1673" spans="7:10" x14ac:dyDescent="0.35">
      <c r="G1673" s="3"/>
      <c r="H1673" s="3"/>
      <c r="I1673" s="3"/>
      <c r="J1673" s="3"/>
    </row>
    <row r="1674" spans="7:10" x14ac:dyDescent="0.35">
      <c r="G1674" s="3"/>
      <c r="H1674" s="3"/>
      <c r="I1674" s="3"/>
      <c r="J1674" s="3"/>
    </row>
    <row r="1675" spans="7:10" x14ac:dyDescent="0.35">
      <c r="G1675" s="3"/>
      <c r="H1675" s="3"/>
      <c r="I1675" s="3"/>
      <c r="J1675" s="3"/>
    </row>
    <row r="1676" spans="7:10" x14ac:dyDescent="0.35">
      <c r="G1676" s="3"/>
      <c r="H1676" s="3"/>
      <c r="I1676" s="3"/>
      <c r="J1676" s="3"/>
    </row>
    <row r="1677" spans="7:10" x14ac:dyDescent="0.35">
      <c r="G1677" s="3"/>
      <c r="H1677" s="3"/>
      <c r="I1677" s="3"/>
      <c r="J1677" s="3"/>
    </row>
    <row r="1678" spans="7:10" x14ac:dyDescent="0.35">
      <c r="G1678" s="3"/>
      <c r="H1678" s="3"/>
      <c r="I1678" s="3"/>
      <c r="J1678" s="3"/>
    </row>
    <row r="1679" spans="7:10" x14ac:dyDescent="0.35">
      <c r="G1679" s="3"/>
      <c r="H1679" s="3"/>
      <c r="I1679" s="3"/>
      <c r="J1679" s="3"/>
    </row>
    <row r="1680" spans="7:10" x14ac:dyDescent="0.35">
      <c r="G1680" s="3"/>
      <c r="H1680" s="3"/>
      <c r="I1680" s="3"/>
      <c r="J1680" s="3"/>
    </row>
    <row r="1681" spans="7:10" x14ac:dyDescent="0.35">
      <c r="G1681" s="3"/>
      <c r="H1681" s="3"/>
      <c r="I1681" s="3"/>
      <c r="J1681" s="3"/>
    </row>
    <row r="1682" spans="7:10" x14ac:dyDescent="0.35">
      <c r="G1682" s="3"/>
      <c r="H1682" s="3"/>
      <c r="I1682" s="3"/>
      <c r="J1682" s="3"/>
    </row>
    <row r="1683" spans="7:10" x14ac:dyDescent="0.35">
      <c r="G1683" s="3"/>
      <c r="H1683" s="3"/>
      <c r="I1683" s="3"/>
      <c r="J1683" s="3"/>
    </row>
    <row r="1684" spans="7:10" x14ac:dyDescent="0.35">
      <c r="G1684" s="3"/>
      <c r="H1684" s="3"/>
      <c r="I1684" s="3"/>
      <c r="J1684" s="3"/>
    </row>
    <row r="1685" spans="7:10" x14ac:dyDescent="0.35">
      <c r="G1685" s="3"/>
      <c r="H1685" s="3"/>
      <c r="I1685" s="3"/>
      <c r="J1685" s="3"/>
    </row>
    <row r="1686" spans="7:10" x14ac:dyDescent="0.35">
      <c r="G1686" s="3"/>
      <c r="H1686" s="3"/>
      <c r="I1686" s="3"/>
      <c r="J1686" s="3"/>
    </row>
    <row r="1687" spans="7:10" x14ac:dyDescent="0.35">
      <c r="G1687" s="3"/>
      <c r="H1687" s="3"/>
      <c r="I1687" s="3"/>
      <c r="J1687" s="3"/>
    </row>
    <row r="1688" spans="7:10" x14ac:dyDescent="0.35">
      <c r="G1688" s="3"/>
      <c r="H1688" s="3"/>
      <c r="I1688" s="3"/>
      <c r="J1688" s="3"/>
    </row>
    <row r="1689" spans="7:10" x14ac:dyDescent="0.35">
      <c r="G1689" s="3"/>
      <c r="H1689" s="3"/>
      <c r="I1689" s="3"/>
      <c r="J1689" s="3"/>
    </row>
    <row r="1690" spans="7:10" x14ac:dyDescent="0.35">
      <c r="G1690" s="3"/>
      <c r="H1690" s="3"/>
      <c r="I1690" s="3"/>
      <c r="J1690" s="3"/>
    </row>
    <row r="1691" spans="7:10" x14ac:dyDescent="0.35">
      <c r="G1691" s="3"/>
      <c r="H1691" s="3"/>
      <c r="I1691" s="3"/>
      <c r="J1691" s="3"/>
    </row>
    <row r="1692" spans="7:10" x14ac:dyDescent="0.35">
      <c r="G1692" s="3"/>
      <c r="H1692" s="3"/>
      <c r="I1692" s="3"/>
      <c r="J1692" s="3"/>
    </row>
    <row r="1693" spans="7:10" x14ac:dyDescent="0.35">
      <c r="G1693" s="3"/>
      <c r="H1693" s="3"/>
      <c r="I1693" s="3"/>
      <c r="J1693" s="3"/>
    </row>
    <row r="1694" spans="7:10" x14ac:dyDescent="0.35">
      <c r="G1694" s="3"/>
      <c r="H1694" s="3"/>
      <c r="I1694" s="3"/>
      <c r="J1694" s="3"/>
    </row>
    <row r="1695" spans="7:10" x14ac:dyDescent="0.35">
      <c r="G1695" s="3"/>
      <c r="H1695" s="3"/>
      <c r="I1695" s="3"/>
      <c r="J1695" s="3"/>
    </row>
    <row r="1696" spans="7:10" x14ac:dyDescent="0.35">
      <c r="G1696" s="3"/>
      <c r="H1696" s="3"/>
      <c r="I1696" s="3"/>
      <c r="J1696" s="3"/>
    </row>
    <row r="1697" spans="7:10" x14ac:dyDescent="0.35">
      <c r="G1697" s="3"/>
      <c r="H1697" s="3"/>
      <c r="I1697" s="3"/>
      <c r="J1697" s="3"/>
    </row>
    <row r="1698" spans="7:10" x14ac:dyDescent="0.35">
      <c r="G1698" s="3"/>
      <c r="H1698" s="3"/>
      <c r="I1698" s="3"/>
      <c r="J1698" s="3"/>
    </row>
    <row r="1699" spans="7:10" x14ac:dyDescent="0.35">
      <c r="G1699" s="3"/>
      <c r="H1699" s="3"/>
      <c r="I1699" s="3"/>
      <c r="J1699" s="3"/>
    </row>
    <row r="1700" spans="7:10" x14ac:dyDescent="0.35">
      <c r="G1700" s="3"/>
      <c r="H1700" s="3"/>
      <c r="I1700" s="3"/>
      <c r="J1700" s="3"/>
    </row>
    <row r="1701" spans="7:10" x14ac:dyDescent="0.35">
      <c r="G1701" s="3"/>
      <c r="H1701" s="3"/>
      <c r="I1701" s="3"/>
      <c r="J1701" s="3"/>
    </row>
    <row r="1702" spans="7:10" x14ac:dyDescent="0.35">
      <c r="G1702" s="3"/>
      <c r="H1702" s="3"/>
      <c r="I1702" s="3"/>
      <c r="J1702" s="3"/>
    </row>
    <row r="1703" spans="7:10" x14ac:dyDescent="0.35">
      <c r="G1703" s="3"/>
      <c r="H1703" s="3"/>
      <c r="I1703" s="3"/>
      <c r="J1703" s="3"/>
    </row>
    <row r="1704" spans="7:10" x14ac:dyDescent="0.35">
      <c r="G1704" s="3"/>
      <c r="H1704" s="3"/>
      <c r="I1704" s="3"/>
      <c r="J1704" s="3"/>
    </row>
    <row r="1705" spans="7:10" x14ac:dyDescent="0.35">
      <c r="G1705" s="3"/>
      <c r="H1705" s="3"/>
      <c r="I1705" s="3"/>
      <c r="J1705" s="3"/>
    </row>
    <row r="1706" spans="7:10" x14ac:dyDescent="0.35">
      <c r="G1706" s="3"/>
      <c r="H1706" s="3"/>
      <c r="I1706" s="3"/>
      <c r="J1706" s="3"/>
    </row>
    <row r="1707" spans="7:10" x14ac:dyDescent="0.35">
      <c r="G1707" s="3"/>
      <c r="H1707" s="3"/>
      <c r="I1707" s="3"/>
      <c r="J1707" s="3"/>
    </row>
    <row r="1708" spans="7:10" x14ac:dyDescent="0.35">
      <c r="G1708" s="3"/>
      <c r="H1708" s="3"/>
      <c r="I1708" s="3"/>
      <c r="J1708" s="3"/>
    </row>
    <row r="1709" spans="7:10" x14ac:dyDescent="0.35">
      <c r="G1709" s="3"/>
      <c r="H1709" s="3"/>
      <c r="I1709" s="3"/>
      <c r="J1709" s="3"/>
    </row>
    <row r="1710" spans="7:10" x14ac:dyDescent="0.35">
      <c r="G1710" s="3"/>
      <c r="H1710" s="3"/>
      <c r="I1710" s="3"/>
      <c r="J1710" s="3"/>
    </row>
    <row r="1711" spans="7:10" x14ac:dyDescent="0.35">
      <c r="G1711" s="3"/>
      <c r="H1711" s="3"/>
      <c r="I1711" s="3"/>
      <c r="J1711" s="3"/>
    </row>
    <row r="1712" spans="7:10" x14ac:dyDescent="0.35">
      <c r="G1712" s="3"/>
      <c r="H1712" s="3"/>
      <c r="I1712" s="3"/>
      <c r="J1712" s="3"/>
    </row>
    <row r="1713" spans="7:10" x14ac:dyDescent="0.35">
      <c r="G1713" s="3"/>
      <c r="H1713" s="3"/>
      <c r="I1713" s="3"/>
      <c r="J1713" s="3"/>
    </row>
    <row r="1714" spans="7:10" x14ac:dyDescent="0.35">
      <c r="G1714" s="3"/>
      <c r="H1714" s="3"/>
      <c r="I1714" s="3"/>
      <c r="J1714" s="3"/>
    </row>
    <row r="1715" spans="7:10" x14ac:dyDescent="0.35">
      <c r="G1715" s="3"/>
      <c r="H1715" s="3"/>
      <c r="I1715" s="3"/>
      <c r="J1715" s="3"/>
    </row>
    <row r="1716" spans="7:10" x14ac:dyDescent="0.35">
      <c r="G1716" s="3"/>
      <c r="H1716" s="3"/>
      <c r="I1716" s="3"/>
      <c r="J1716" s="3"/>
    </row>
    <row r="1717" spans="7:10" x14ac:dyDescent="0.35">
      <c r="G1717" s="3"/>
      <c r="H1717" s="3"/>
      <c r="I1717" s="3"/>
      <c r="J1717" s="3"/>
    </row>
    <row r="1718" spans="7:10" x14ac:dyDescent="0.35">
      <c r="G1718" s="3"/>
      <c r="H1718" s="3"/>
      <c r="I1718" s="3"/>
      <c r="J1718" s="3"/>
    </row>
    <row r="1719" spans="7:10" x14ac:dyDescent="0.35">
      <c r="G1719" s="3"/>
      <c r="H1719" s="3"/>
      <c r="I1719" s="3"/>
      <c r="J1719" s="3"/>
    </row>
    <row r="1720" spans="7:10" x14ac:dyDescent="0.35">
      <c r="G1720" s="3"/>
      <c r="H1720" s="3"/>
      <c r="I1720" s="3"/>
      <c r="J1720" s="3"/>
    </row>
    <row r="1721" spans="7:10" x14ac:dyDescent="0.35">
      <c r="G1721" s="3"/>
      <c r="H1721" s="3"/>
      <c r="I1721" s="3"/>
      <c r="J1721" s="3"/>
    </row>
    <row r="1722" spans="7:10" x14ac:dyDescent="0.35">
      <c r="G1722" s="3"/>
      <c r="H1722" s="3"/>
      <c r="I1722" s="3"/>
      <c r="J1722" s="3"/>
    </row>
    <row r="1723" spans="7:10" x14ac:dyDescent="0.35">
      <c r="G1723" s="3"/>
      <c r="H1723" s="3"/>
      <c r="I1723" s="3"/>
      <c r="J1723" s="3"/>
    </row>
    <row r="1724" spans="7:10" x14ac:dyDescent="0.35">
      <c r="G1724" s="3"/>
      <c r="H1724" s="3"/>
      <c r="I1724" s="3"/>
      <c r="J1724" s="3"/>
    </row>
    <row r="1725" spans="7:10" x14ac:dyDescent="0.35">
      <c r="G1725" s="3"/>
      <c r="H1725" s="3"/>
      <c r="I1725" s="3"/>
      <c r="J1725" s="3"/>
    </row>
    <row r="1726" spans="7:10" x14ac:dyDescent="0.35">
      <c r="G1726" s="3"/>
      <c r="H1726" s="3"/>
      <c r="I1726" s="3"/>
      <c r="J1726" s="3"/>
    </row>
    <row r="1727" spans="7:10" x14ac:dyDescent="0.35">
      <c r="G1727" s="3"/>
      <c r="H1727" s="3"/>
      <c r="I1727" s="3"/>
      <c r="J1727" s="3"/>
    </row>
    <row r="1728" spans="7:10" x14ac:dyDescent="0.35">
      <c r="G1728" s="3"/>
      <c r="H1728" s="3"/>
      <c r="I1728" s="3"/>
      <c r="J1728" s="3"/>
    </row>
    <row r="1729" spans="7:10" x14ac:dyDescent="0.35">
      <c r="G1729" s="3"/>
      <c r="H1729" s="3"/>
      <c r="I1729" s="3"/>
      <c r="J1729" s="3"/>
    </row>
    <row r="1730" spans="7:10" x14ac:dyDescent="0.35">
      <c r="G1730" s="3"/>
      <c r="H1730" s="3"/>
      <c r="I1730" s="3"/>
      <c r="J1730" s="3"/>
    </row>
    <row r="1731" spans="7:10" x14ac:dyDescent="0.35">
      <c r="G1731" s="3"/>
      <c r="H1731" s="3"/>
      <c r="I1731" s="3"/>
      <c r="J1731" s="3"/>
    </row>
    <row r="1732" spans="7:10" x14ac:dyDescent="0.35">
      <c r="G1732" s="3"/>
      <c r="H1732" s="3"/>
      <c r="I1732" s="3"/>
      <c r="J1732" s="3"/>
    </row>
    <row r="1733" spans="7:10" x14ac:dyDescent="0.35">
      <c r="G1733" s="3"/>
      <c r="H1733" s="3"/>
      <c r="I1733" s="3"/>
      <c r="J1733" s="3"/>
    </row>
    <row r="1734" spans="7:10" x14ac:dyDescent="0.35">
      <c r="G1734" s="3"/>
      <c r="H1734" s="3"/>
      <c r="I1734" s="3"/>
      <c r="J1734" s="3"/>
    </row>
    <row r="1735" spans="7:10" x14ac:dyDescent="0.35">
      <c r="G1735" s="3"/>
      <c r="H1735" s="3"/>
      <c r="I1735" s="3"/>
      <c r="J1735" s="3"/>
    </row>
    <row r="1736" spans="7:10" x14ac:dyDescent="0.35">
      <c r="G1736" s="3"/>
      <c r="H1736" s="3"/>
      <c r="I1736" s="3"/>
      <c r="J1736" s="3"/>
    </row>
    <row r="1737" spans="7:10" x14ac:dyDescent="0.35">
      <c r="G1737" s="3"/>
      <c r="H1737" s="3"/>
      <c r="I1737" s="3"/>
      <c r="J1737" s="3"/>
    </row>
    <row r="1738" spans="7:10" x14ac:dyDescent="0.35">
      <c r="G1738" s="3"/>
      <c r="H1738" s="3"/>
      <c r="I1738" s="3"/>
      <c r="J1738" s="3"/>
    </row>
    <row r="1739" spans="7:10" x14ac:dyDescent="0.35">
      <c r="G1739" s="3"/>
      <c r="H1739" s="3"/>
      <c r="I1739" s="3"/>
      <c r="J1739" s="3"/>
    </row>
    <row r="1740" spans="7:10" x14ac:dyDescent="0.35">
      <c r="G1740" s="3"/>
      <c r="H1740" s="3"/>
      <c r="I1740" s="3"/>
      <c r="J1740" s="3"/>
    </row>
    <row r="1741" spans="7:10" x14ac:dyDescent="0.35">
      <c r="G1741" s="3"/>
      <c r="H1741" s="3"/>
      <c r="I1741" s="3"/>
      <c r="J1741" s="3"/>
    </row>
    <row r="1742" spans="7:10" x14ac:dyDescent="0.35">
      <c r="G1742" s="3"/>
      <c r="H1742" s="3"/>
      <c r="I1742" s="3"/>
      <c r="J1742" s="3"/>
    </row>
    <row r="1743" spans="7:10" x14ac:dyDescent="0.35">
      <c r="G1743" s="3"/>
      <c r="H1743" s="3"/>
      <c r="I1743" s="3"/>
      <c r="J1743" s="3"/>
    </row>
    <row r="1744" spans="7:10" x14ac:dyDescent="0.35">
      <c r="G1744" s="3"/>
      <c r="H1744" s="3"/>
      <c r="I1744" s="3"/>
      <c r="J1744" s="3"/>
    </row>
    <row r="1745" spans="7:10" x14ac:dyDescent="0.35">
      <c r="G1745" s="3"/>
      <c r="H1745" s="3"/>
      <c r="I1745" s="3"/>
      <c r="J1745" s="3"/>
    </row>
    <row r="1746" spans="7:10" x14ac:dyDescent="0.35">
      <c r="G1746" s="3"/>
      <c r="H1746" s="3"/>
      <c r="I1746" s="3"/>
      <c r="J1746" s="3"/>
    </row>
    <row r="1747" spans="7:10" x14ac:dyDescent="0.35">
      <c r="G1747" s="3"/>
      <c r="H1747" s="3"/>
      <c r="I1747" s="3"/>
      <c r="J1747" s="3"/>
    </row>
    <row r="1748" spans="7:10" x14ac:dyDescent="0.35">
      <c r="G1748" s="3"/>
      <c r="H1748" s="3"/>
      <c r="I1748" s="3"/>
      <c r="J1748" s="3"/>
    </row>
    <row r="1749" spans="7:10" x14ac:dyDescent="0.35">
      <c r="G1749" s="3"/>
      <c r="H1749" s="3"/>
      <c r="I1749" s="3"/>
      <c r="J1749" s="3"/>
    </row>
    <row r="1750" spans="7:10" x14ac:dyDescent="0.35">
      <c r="G1750" s="3"/>
      <c r="H1750" s="3"/>
      <c r="I1750" s="3"/>
      <c r="J1750" s="3"/>
    </row>
    <row r="1751" spans="7:10" x14ac:dyDescent="0.35">
      <c r="G1751" s="3"/>
      <c r="H1751" s="3"/>
      <c r="I1751" s="3"/>
      <c r="J1751" s="3"/>
    </row>
    <row r="1752" spans="7:10" x14ac:dyDescent="0.35">
      <c r="G1752" s="3"/>
      <c r="H1752" s="3"/>
      <c r="I1752" s="3"/>
      <c r="J1752" s="3"/>
    </row>
    <row r="1753" spans="7:10" x14ac:dyDescent="0.35">
      <c r="G1753" s="3"/>
      <c r="H1753" s="3"/>
      <c r="I1753" s="3"/>
      <c r="J1753" s="3"/>
    </row>
    <row r="1754" spans="7:10" x14ac:dyDescent="0.35">
      <c r="G1754" s="3"/>
      <c r="H1754" s="3"/>
      <c r="I1754" s="3"/>
      <c r="J1754" s="3"/>
    </row>
    <row r="1755" spans="7:10" x14ac:dyDescent="0.35">
      <c r="G1755" s="3"/>
      <c r="H1755" s="3"/>
      <c r="I1755" s="3"/>
      <c r="J1755" s="3"/>
    </row>
    <row r="1756" spans="7:10" x14ac:dyDescent="0.35">
      <c r="G1756" s="3"/>
      <c r="H1756" s="3"/>
      <c r="I1756" s="3"/>
      <c r="J1756" s="3"/>
    </row>
    <row r="1757" spans="7:10" x14ac:dyDescent="0.35">
      <c r="G1757" s="3"/>
      <c r="H1757" s="3"/>
      <c r="I1757" s="3"/>
      <c r="J1757" s="3"/>
    </row>
    <row r="1758" spans="7:10" x14ac:dyDescent="0.35">
      <c r="G1758" s="3"/>
      <c r="H1758" s="3"/>
      <c r="I1758" s="3"/>
      <c r="J1758" s="3"/>
    </row>
    <row r="1759" spans="7:10" x14ac:dyDescent="0.35">
      <c r="G1759" s="3"/>
      <c r="H1759" s="3"/>
      <c r="I1759" s="3"/>
      <c r="J1759" s="3"/>
    </row>
    <row r="1760" spans="7:10" x14ac:dyDescent="0.35">
      <c r="G1760" s="3"/>
      <c r="H1760" s="3"/>
      <c r="I1760" s="3"/>
      <c r="J1760" s="3"/>
    </row>
    <row r="1761" spans="7:10" x14ac:dyDescent="0.35">
      <c r="G1761" s="3"/>
      <c r="H1761" s="3"/>
      <c r="I1761" s="3"/>
      <c r="J1761" s="3"/>
    </row>
    <row r="1762" spans="7:10" x14ac:dyDescent="0.35">
      <c r="G1762" s="3"/>
      <c r="H1762" s="3"/>
      <c r="I1762" s="3"/>
      <c r="J1762" s="3"/>
    </row>
    <row r="1763" spans="7:10" x14ac:dyDescent="0.35">
      <c r="G1763" s="3"/>
      <c r="H1763" s="3"/>
      <c r="I1763" s="3"/>
      <c r="J1763" s="3"/>
    </row>
    <row r="1764" spans="7:10" x14ac:dyDescent="0.35">
      <c r="G1764" s="3"/>
      <c r="H1764" s="3"/>
      <c r="I1764" s="3"/>
      <c r="J1764" s="3"/>
    </row>
    <row r="1765" spans="7:10" x14ac:dyDescent="0.35">
      <c r="G1765" s="3"/>
      <c r="H1765" s="3"/>
      <c r="I1765" s="3"/>
      <c r="J1765" s="3"/>
    </row>
    <row r="1766" spans="7:10" x14ac:dyDescent="0.35">
      <c r="G1766" s="3"/>
      <c r="H1766" s="3"/>
      <c r="I1766" s="3"/>
      <c r="J1766" s="3"/>
    </row>
    <row r="1767" spans="7:10" x14ac:dyDescent="0.35">
      <c r="G1767" s="3"/>
      <c r="H1767" s="3"/>
      <c r="I1767" s="3"/>
      <c r="J1767" s="3"/>
    </row>
    <row r="1768" spans="7:10" x14ac:dyDescent="0.35">
      <c r="G1768" s="3"/>
      <c r="H1768" s="3"/>
      <c r="I1768" s="3"/>
      <c r="J1768" s="3"/>
    </row>
    <row r="1769" spans="7:10" x14ac:dyDescent="0.35">
      <c r="G1769" s="3"/>
      <c r="H1769" s="3"/>
      <c r="I1769" s="3"/>
      <c r="J1769" s="3"/>
    </row>
    <row r="1770" spans="7:10" x14ac:dyDescent="0.35">
      <c r="G1770" s="3"/>
      <c r="H1770" s="3"/>
      <c r="I1770" s="3"/>
      <c r="J1770" s="3"/>
    </row>
    <row r="1771" spans="7:10" x14ac:dyDescent="0.35">
      <c r="G1771" s="3"/>
      <c r="H1771" s="3"/>
      <c r="I1771" s="3"/>
      <c r="J1771" s="3"/>
    </row>
    <row r="1772" spans="7:10" x14ac:dyDescent="0.35">
      <c r="G1772" s="3"/>
      <c r="H1772" s="3"/>
      <c r="I1772" s="3"/>
      <c r="J1772" s="3"/>
    </row>
    <row r="1773" spans="7:10" x14ac:dyDescent="0.35">
      <c r="G1773" s="3"/>
      <c r="H1773" s="3"/>
      <c r="I1773" s="3"/>
      <c r="J1773" s="3"/>
    </row>
    <row r="1774" spans="7:10" x14ac:dyDescent="0.35">
      <c r="G1774" s="3"/>
      <c r="H1774" s="3"/>
      <c r="I1774" s="3"/>
      <c r="J1774" s="3"/>
    </row>
    <row r="1775" spans="7:10" x14ac:dyDescent="0.35">
      <c r="G1775" s="3"/>
      <c r="H1775" s="3"/>
      <c r="I1775" s="3"/>
      <c r="J1775" s="3"/>
    </row>
    <row r="1776" spans="7:10" x14ac:dyDescent="0.35">
      <c r="G1776" s="3"/>
      <c r="H1776" s="3"/>
      <c r="I1776" s="3"/>
      <c r="J1776" s="3"/>
    </row>
    <row r="1777" spans="7:10" x14ac:dyDescent="0.35">
      <c r="G1777" s="3"/>
      <c r="H1777" s="3"/>
      <c r="I1777" s="3"/>
      <c r="J1777" s="3"/>
    </row>
    <row r="1778" spans="7:10" x14ac:dyDescent="0.35">
      <c r="G1778" s="3"/>
      <c r="H1778" s="3"/>
      <c r="I1778" s="3"/>
      <c r="J1778" s="3"/>
    </row>
    <row r="1779" spans="7:10" x14ac:dyDescent="0.35">
      <c r="G1779" s="3"/>
      <c r="H1779" s="3"/>
      <c r="I1779" s="3"/>
      <c r="J1779" s="3"/>
    </row>
    <row r="1780" spans="7:10" x14ac:dyDescent="0.35">
      <c r="G1780" s="3"/>
      <c r="H1780" s="3"/>
      <c r="I1780" s="3"/>
      <c r="J1780" s="3"/>
    </row>
    <row r="1781" spans="7:10" x14ac:dyDescent="0.35">
      <c r="G1781" s="3"/>
      <c r="H1781" s="3"/>
      <c r="I1781" s="3"/>
      <c r="J1781" s="3"/>
    </row>
    <row r="1782" spans="7:10" x14ac:dyDescent="0.35">
      <c r="G1782" s="3"/>
      <c r="H1782" s="3"/>
      <c r="I1782" s="3"/>
      <c r="J1782" s="3"/>
    </row>
    <row r="1783" spans="7:10" x14ac:dyDescent="0.35">
      <c r="G1783" s="3"/>
      <c r="H1783" s="3"/>
      <c r="I1783" s="3"/>
      <c r="J1783" s="3"/>
    </row>
    <row r="1784" spans="7:10" x14ac:dyDescent="0.35">
      <c r="G1784" s="3"/>
      <c r="H1784" s="3"/>
      <c r="I1784" s="3"/>
      <c r="J1784" s="3"/>
    </row>
    <row r="1785" spans="7:10" x14ac:dyDescent="0.35">
      <c r="G1785" s="3"/>
      <c r="H1785" s="3"/>
      <c r="I1785" s="3"/>
      <c r="J1785" s="3"/>
    </row>
    <row r="1786" spans="7:10" x14ac:dyDescent="0.35">
      <c r="G1786" s="3"/>
      <c r="H1786" s="3"/>
      <c r="I1786" s="3"/>
      <c r="J1786" s="3"/>
    </row>
    <row r="1787" spans="7:10" x14ac:dyDescent="0.35">
      <c r="G1787" s="3"/>
      <c r="H1787" s="3"/>
      <c r="I1787" s="3"/>
      <c r="J1787" s="3"/>
    </row>
    <row r="1788" spans="7:10" x14ac:dyDescent="0.35">
      <c r="G1788" s="3"/>
      <c r="H1788" s="3"/>
      <c r="I1788" s="3"/>
      <c r="J1788" s="3"/>
    </row>
    <row r="1789" spans="7:10" x14ac:dyDescent="0.35">
      <c r="G1789" s="3"/>
      <c r="H1789" s="3"/>
      <c r="I1789" s="3"/>
      <c r="J1789" s="3"/>
    </row>
    <row r="1790" spans="7:10" x14ac:dyDescent="0.35">
      <c r="G1790" s="3"/>
      <c r="H1790" s="3"/>
      <c r="I1790" s="3"/>
      <c r="J1790" s="3"/>
    </row>
    <row r="1791" spans="7:10" x14ac:dyDescent="0.35">
      <c r="G1791" s="3"/>
      <c r="H1791" s="3"/>
      <c r="I1791" s="3"/>
      <c r="J1791" s="3"/>
    </row>
    <row r="1792" spans="7:10" x14ac:dyDescent="0.35">
      <c r="G1792" s="3"/>
      <c r="H1792" s="3"/>
      <c r="I1792" s="3"/>
      <c r="J1792" s="3"/>
    </row>
    <row r="1793" spans="7:10" x14ac:dyDescent="0.35">
      <c r="G1793" s="3"/>
      <c r="H1793" s="3"/>
      <c r="I1793" s="3"/>
      <c r="J1793" s="3"/>
    </row>
    <row r="1794" spans="7:10" x14ac:dyDescent="0.35">
      <c r="G1794" s="3"/>
      <c r="H1794" s="3"/>
      <c r="I1794" s="3"/>
      <c r="J1794" s="3"/>
    </row>
    <row r="1795" spans="7:10" x14ac:dyDescent="0.35">
      <c r="G1795" s="3"/>
      <c r="H1795" s="3"/>
      <c r="I1795" s="3"/>
      <c r="J1795" s="3"/>
    </row>
    <row r="1796" spans="7:10" x14ac:dyDescent="0.35">
      <c r="G1796" s="3"/>
      <c r="H1796" s="3"/>
      <c r="I1796" s="3"/>
      <c r="J1796" s="3"/>
    </row>
    <row r="1797" spans="7:10" x14ac:dyDescent="0.35">
      <c r="G1797" s="3"/>
      <c r="H1797" s="3"/>
      <c r="I1797" s="3"/>
      <c r="J1797" s="3"/>
    </row>
    <row r="1798" spans="7:10" x14ac:dyDescent="0.35">
      <c r="G1798" s="3"/>
      <c r="H1798" s="3"/>
      <c r="I1798" s="3"/>
      <c r="J1798" s="3"/>
    </row>
    <row r="1799" spans="7:10" x14ac:dyDescent="0.35">
      <c r="G1799" s="3"/>
      <c r="H1799" s="3"/>
      <c r="I1799" s="3"/>
      <c r="J1799" s="3"/>
    </row>
    <row r="1800" spans="7:10" x14ac:dyDescent="0.35">
      <c r="G1800" s="3"/>
      <c r="H1800" s="3"/>
      <c r="I1800" s="3"/>
      <c r="J1800" s="3"/>
    </row>
    <row r="1801" spans="7:10" x14ac:dyDescent="0.35">
      <c r="G1801" s="3"/>
      <c r="H1801" s="3"/>
      <c r="I1801" s="3"/>
      <c r="J1801" s="3"/>
    </row>
    <row r="1802" spans="7:10" x14ac:dyDescent="0.35">
      <c r="G1802" s="3"/>
      <c r="H1802" s="3"/>
      <c r="I1802" s="3"/>
      <c r="J1802" s="3"/>
    </row>
    <row r="1803" spans="7:10" x14ac:dyDescent="0.35">
      <c r="G1803" s="3"/>
      <c r="H1803" s="3"/>
      <c r="I1803" s="3"/>
      <c r="J1803" s="3"/>
    </row>
    <row r="1804" spans="7:10" x14ac:dyDescent="0.35">
      <c r="G1804" s="3"/>
      <c r="H1804" s="3"/>
      <c r="I1804" s="3"/>
      <c r="J1804" s="3"/>
    </row>
    <row r="1805" spans="7:10" x14ac:dyDescent="0.35">
      <c r="G1805" s="3"/>
      <c r="H1805" s="3"/>
      <c r="I1805" s="3"/>
      <c r="J1805" s="3"/>
    </row>
    <row r="1806" spans="7:10" x14ac:dyDescent="0.35">
      <c r="G1806" s="3"/>
      <c r="H1806" s="3"/>
      <c r="I1806" s="3"/>
      <c r="J1806" s="3"/>
    </row>
    <row r="1807" spans="7:10" x14ac:dyDescent="0.35">
      <c r="G1807" s="3"/>
      <c r="H1807" s="3"/>
      <c r="I1807" s="3"/>
      <c r="J1807" s="3"/>
    </row>
    <row r="1808" spans="7:10" x14ac:dyDescent="0.35">
      <c r="G1808" s="3"/>
      <c r="H1808" s="3"/>
      <c r="I1808" s="3"/>
      <c r="J1808" s="3"/>
    </row>
    <row r="1809" spans="7:10" x14ac:dyDescent="0.35">
      <c r="G1809" s="3"/>
      <c r="H1809" s="3"/>
      <c r="I1809" s="3"/>
      <c r="J1809" s="3"/>
    </row>
    <row r="1810" spans="7:10" x14ac:dyDescent="0.35">
      <c r="G1810" s="3"/>
      <c r="H1810" s="3"/>
      <c r="I1810" s="3"/>
      <c r="J1810" s="3"/>
    </row>
    <row r="1811" spans="7:10" x14ac:dyDescent="0.35">
      <c r="G1811" s="3"/>
      <c r="H1811" s="3"/>
      <c r="I1811" s="3"/>
      <c r="J1811" s="3"/>
    </row>
    <row r="1812" spans="7:10" x14ac:dyDescent="0.35">
      <c r="G1812" s="3"/>
      <c r="H1812" s="3"/>
      <c r="I1812" s="3"/>
      <c r="J1812" s="3"/>
    </row>
    <row r="1813" spans="7:10" x14ac:dyDescent="0.35">
      <c r="G1813" s="3"/>
      <c r="H1813" s="3"/>
      <c r="I1813" s="3"/>
      <c r="J1813" s="3"/>
    </row>
    <row r="1814" spans="7:10" x14ac:dyDescent="0.35">
      <c r="G1814" s="3"/>
      <c r="H1814" s="3"/>
      <c r="I1814" s="3"/>
      <c r="J1814" s="3"/>
    </row>
    <row r="1815" spans="7:10" x14ac:dyDescent="0.35">
      <c r="G1815" s="3"/>
      <c r="H1815" s="3"/>
      <c r="I1815" s="3"/>
      <c r="J1815" s="3"/>
    </row>
    <row r="1816" spans="7:10" x14ac:dyDescent="0.35">
      <c r="G1816" s="3"/>
      <c r="H1816" s="3"/>
      <c r="I1816" s="3"/>
      <c r="J1816" s="3"/>
    </row>
    <row r="1817" spans="7:10" x14ac:dyDescent="0.35">
      <c r="G1817" s="3"/>
      <c r="H1817" s="3"/>
      <c r="I1817" s="3"/>
      <c r="J1817" s="3"/>
    </row>
    <row r="1818" spans="7:10" x14ac:dyDescent="0.35">
      <c r="G1818" s="3"/>
      <c r="H1818" s="3"/>
      <c r="I1818" s="3"/>
      <c r="J1818" s="3"/>
    </row>
    <row r="1819" spans="7:10" x14ac:dyDescent="0.35">
      <c r="G1819" s="3"/>
      <c r="H1819" s="3"/>
      <c r="I1819" s="3"/>
      <c r="J1819" s="3"/>
    </row>
    <row r="1820" spans="7:10" x14ac:dyDescent="0.35">
      <c r="G1820" s="3"/>
      <c r="H1820" s="3"/>
      <c r="I1820" s="3"/>
      <c r="J1820" s="3"/>
    </row>
    <row r="1821" spans="7:10" x14ac:dyDescent="0.35">
      <c r="G1821" s="3"/>
      <c r="H1821" s="3"/>
      <c r="I1821" s="3"/>
      <c r="J1821" s="3"/>
    </row>
    <row r="1822" spans="7:10" x14ac:dyDescent="0.35">
      <c r="G1822" s="3"/>
      <c r="H1822" s="3"/>
      <c r="I1822" s="3"/>
      <c r="J1822" s="3"/>
    </row>
    <row r="1823" spans="7:10" x14ac:dyDescent="0.35">
      <c r="G1823" s="3"/>
      <c r="H1823" s="3"/>
      <c r="I1823" s="3"/>
      <c r="J1823" s="3"/>
    </row>
    <row r="1824" spans="7:10" x14ac:dyDescent="0.35">
      <c r="G1824" s="3"/>
      <c r="H1824" s="3"/>
      <c r="I1824" s="3"/>
      <c r="J1824" s="3"/>
    </row>
    <row r="1825" spans="7:10" x14ac:dyDescent="0.35">
      <c r="G1825" s="3"/>
      <c r="H1825" s="3"/>
      <c r="I1825" s="3"/>
      <c r="J1825" s="3"/>
    </row>
    <row r="1826" spans="7:10" x14ac:dyDescent="0.35">
      <c r="G1826" s="3"/>
      <c r="H1826" s="3"/>
      <c r="I1826" s="3"/>
      <c r="J1826" s="3"/>
    </row>
    <row r="1827" spans="7:10" x14ac:dyDescent="0.35">
      <c r="G1827" s="3"/>
      <c r="H1827" s="3"/>
      <c r="I1827" s="3"/>
      <c r="J1827" s="3"/>
    </row>
    <row r="1828" spans="7:10" x14ac:dyDescent="0.35">
      <c r="G1828" s="3"/>
      <c r="H1828" s="3"/>
      <c r="I1828" s="3"/>
      <c r="J1828" s="3"/>
    </row>
    <row r="1829" spans="7:10" x14ac:dyDescent="0.35">
      <c r="G1829" s="3"/>
      <c r="H1829" s="3"/>
      <c r="I1829" s="3"/>
      <c r="J1829" s="3"/>
    </row>
    <row r="1830" spans="7:10" x14ac:dyDescent="0.35">
      <c r="G1830" s="3"/>
      <c r="H1830" s="3"/>
      <c r="I1830" s="3"/>
      <c r="J1830" s="3"/>
    </row>
    <row r="1831" spans="7:10" x14ac:dyDescent="0.35">
      <c r="G1831" s="3"/>
      <c r="H1831" s="3"/>
      <c r="I1831" s="3"/>
      <c r="J1831" s="3"/>
    </row>
    <row r="1832" spans="7:10" x14ac:dyDescent="0.35">
      <c r="G1832" s="3"/>
      <c r="H1832" s="3"/>
      <c r="I1832" s="3"/>
      <c r="J1832" s="3"/>
    </row>
    <row r="1833" spans="7:10" x14ac:dyDescent="0.35">
      <c r="G1833" s="3"/>
      <c r="H1833" s="3"/>
      <c r="I1833" s="3"/>
      <c r="J1833" s="3"/>
    </row>
    <row r="1834" spans="7:10" x14ac:dyDescent="0.35">
      <c r="G1834" s="3"/>
      <c r="H1834" s="3"/>
      <c r="I1834" s="3"/>
      <c r="J1834" s="3"/>
    </row>
    <row r="1835" spans="7:10" x14ac:dyDescent="0.35">
      <c r="G1835" s="3"/>
      <c r="H1835" s="3"/>
      <c r="I1835" s="3"/>
      <c r="J1835" s="3"/>
    </row>
    <row r="1836" spans="7:10" x14ac:dyDescent="0.35">
      <c r="G1836" s="3"/>
      <c r="H1836" s="3"/>
      <c r="I1836" s="3"/>
      <c r="J1836" s="3"/>
    </row>
    <row r="1837" spans="7:10" x14ac:dyDescent="0.35">
      <c r="G1837" s="3"/>
      <c r="H1837" s="3"/>
      <c r="I1837" s="3"/>
      <c r="J1837" s="3"/>
    </row>
    <row r="1838" spans="7:10" x14ac:dyDescent="0.35">
      <c r="G1838" s="3"/>
      <c r="H1838" s="3"/>
      <c r="I1838" s="3"/>
      <c r="J1838" s="3"/>
    </row>
    <row r="1839" spans="7:10" x14ac:dyDescent="0.35">
      <c r="G1839" s="3"/>
      <c r="H1839" s="3"/>
      <c r="I1839" s="3"/>
      <c r="J1839" s="3"/>
    </row>
    <row r="1840" spans="7:10" x14ac:dyDescent="0.35">
      <c r="G1840" s="3"/>
      <c r="H1840" s="3"/>
      <c r="I1840" s="3"/>
      <c r="J1840" s="3"/>
    </row>
    <row r="1841" spans="7:10" x14ac:dyDescent="0.35">
      <c r="G1841" s="3"/>
      <c r="H1841" s="3"/>
      <c r="I1841" s="3"/>
      <c r="J1841" s="3"/>
    </row>
    <row r="1842" spans="7:10" x14ac:dyDescent="0.35">
      <c r="G1842" s="3"/>
      <c r="H1842" s="3"/>
      <c r="I1842" s="3"/>
      <c r="J1842" s="3"/>
    </row>
    <row r="1843" spans="7:10" x14ac:dyDescent="0.35">
      <c r="G1843" s="3"/>
      <c r="H1843" s="3"/>
      <c r="I1843" s="3"/>
      <c r="J1843" s="3"/>
    </row>
    <row r="1844" spans="7:10" x14ac:dyDescent="0.35">
      <c r="G1844" s="3"/>
      <c r="H1844" s="3"/>
      <c r="I1844" s="3"/>
      <c r="J1844" s="3"/>
    </row>
    <row r="1845" spans="7:10" x14ac:dyDescent="0.35">
      <c r="G1845" s="3"/>
      <c r="H1845" s="3"/>
      <c r="I1845" s="3"/>
      <c r="J1845" s="3"/>
    </row>
    <row r="1846" spans="7:10" x14ac:dyDescent="0.35">
      <c r="G1846" s="3"/>
      <c r="H1846" s="3"/>
      <c r="I1846" s="3"/>
      <c r="J1846" s="3"/>
    </row>
    <row r="1847" spans="7:10" x14ac:dyDescent="0.35">
      <c r="G1847" s="3"/>
      <c r="H1847" s="3"/>
      <c r="I1847" s="3"/>
      <c r="J1847" s="3"/>
    </row>
    <row r="1848" spans="7:10" x14ac:dyDescent="0.35">
      <c r="G1848" s="3"/>
      <c r="H1848" s="3"/>
      <c r="I1848" s="3"/>
      <c r="J1848" s="3"/>
    </row>
    <row r="1849" spans="7:10" x14ac:dyDescent="0.35">
      <c r="G1849" s="3"/>
      <c r="H1849" s="3"/>
      <c r="I1849" s="3"/>
      <c r="J1849" s="3"/>
    </row>
    <row r="1850" spans="7:10" x14ac:dyDescent="0.35">
      <c r="G1850" s="3"/>
      <c r="H1850" s="3"/>
      <c r="I1850" s="3"/>
      <c r="J1850" s="3"/>
    </row>
    <row r="1851" spans="7:10" x14ac:dyDescent="0.35">
      <c r="G1851" s="3"/>
      <c r="H1851" s="3"/>
      <c r="I1851" s="3"/>
      <c r="J1851" s="3"/>
    </row>
    <row r="1852" spans="7:10" x14ac:dyDescent="0.35">
      <c r="G1852" s="3"/>
      <c r="H1852" s="3"/>
      <c r="I1852" s="3"/>
      <c r="J1852" s="3"/>
    </row>
    <row r="1853" spans="7:10" x14ac:dyDescent="0.35">
      <c r="G1853" s="3"/>
      <c r="H1853" s="3"/>
      <c r="I1853" s="3"/>
      <c r="J1853" s="3"/>
    </row>
    <row r="1854" spans="7:10" x14ac:dyDescent="0.35">
      <c r="G1854" s="3"/>
      <c r="H1854" s="3"/>
      <c r="I1854" s="3"/>
      <c r="J1854" s="3"/>
    </row>
    <row r="1855" spans="7:10" x14ac:dyDescent="0.35">
      <c r="G1855" s="3"/>
      <c r="H1855" s="3"/>
      <c r="I1855" s="3"/>
      <c r="J1855" s="3"/>
    </row>
    <row r="1856" spans="7:10" x14ac:dyDescent="0.35">
      <c r="G1856" s="3"/>
      <c r="H1856" s="3"/>
      <c r="I1856" s="3"/>
      <c r="J1856" s="3"/>
    </row>
    <row r="1857" spans="7:10" x14ac:dyDescent="0.35">
      <c r="G1857" s="3"/>
      <c r="H1857" s="3"/>
      <c r="I1857" s="3"/>
      <c r="J1857" s="3"/>
    </row>
    <row r="1858" spans="7:10" x14ac:dyDescent="0.35">
      <c r="G1858" s="3"/>
      <c r="H1858" s="3"/>
      <c r="I1858" s="3"/>
      <c r="J1858" s="3"/>
    </row>
    <row r="1859" spans="7:10" x14ac:dyDescent="0.35">
      <c r="G1859" s="3"/>
      <c r="H1859" s="3"/>
      <c r="I1859" s="3"/>
      <c r="J1859" s="3"/>
    </row>
    <row r="1860" spans="7:10" x14ac:dyDescent="0.35">
      <c r="G1860" s="3"/>
      <c r="H1860" s="3"/>
      <c r="I1860" s="3"/>
      <c r="J1860" s="3"/>
    </row>
    <row r="1861" spans="7:10" x14ac:dyDescent="0.35">
      <c r="G1861" s="3"/>
      <c r="H1861" s="3"/>
      <c r="I1861" s="3"/>
      <c r="J1861" s="3"/>
    </row>
    <row r="1862" spans="7:10" x14ac:dyDescent="0.35">
      <c r="G1862" s="3"/>
      <c r="H1862" s="3"/>
      <c r="I1862" s="3"/>
      <c r="J1862" s="3"/>
    </row>
    <row r="1863" spans="7:10" x14ac:dyDescent="0.35">
      <c r="G1863" s="3"/>
      <c r="H1863" s="3"/>
      <c r="I1863" s="3"/>
      <c r="J1863" s="3"/>
    </row>
    <row r="1864" spans="7:10" x14ac:dyDescent="0.35">
      <c r="G1864" s="3"/>
      <c r="H1864" s="3"/>
      <c r="I1864" s="3"/>
      <c r="J1864" s="3"/>
    </row>
    <row r="1865" spans="7:10" x14ac:dyDescent="0.35">
      <c r="G1865" s="3"/>
      <c r="H1865" s="3"/>
      <c r="I1865" s="3"/>
      <c r="J1865" s="3"/>
    </row>
    <row r="1866" spans="7:10" x14ac:dyDescent="0.35">
      <c r="G1866" s="3"/>
      <c r="H1866" s="3"/>
      <c r="I1866" s="3"/>
      <c r="J1866" s="3"/>
    </row>
    <row r="1867" spans="7:10" x14ac:dyDescent="0.35">
      <c r="G1867" s="3"/>
      <c r="H1867" s="3"/>
      <c r="I1867" s="3"/>
      <c r="J1867" s="3"/>
    </row>
    <row r="1868" spans="7:10" x14ac:dyDescent="0.35">
      <c r="G1868" s="3"/>
      <c r="H1868" s="3"/>
      <c r="I1868" s="3"/>
      <c r="J1868" s="3"/>
    </row>
    <row r="1869" spans="7:10" x14ac:dyDescent="0.35">
      <c r="G1869" s="3"/>
      <c r="H1869" s="3"/>
      <c r="I1869" s="3"/>
      <c r="J1869" s="3"/>
    </row>
    <row r="1870" spans="7:10" x14ac:dyDescent="0.35">
      <c r="G1870" s="3"/>
      <c r="H1870" s="3"/>
      <c r="I1870" s="3"/>
      <c r="J1870" s="3"/>
    </row>
    <row r="1871" spans="7:10" x14ac:dyDescent="0.35">
      <c r="G1871" s="3"/>
      <c r="H1871" s="3"/>
      <c r="I1871" s="3"/>
      <c r="J1871" s="3"/>
    </row>
    <row r="1872" spans="7:10" x14ac:dyDescent="0.35">
      <c r="G1872" s="3"/>
      <c r="H1872" s="3"/>
      <c r="I1872" s="3"/>
      <c r="J1872" s="3"/>
    </row>
    <row r="1873" spans="7:10" x14ac:dyDescent="0.35">
      <c r="G1873" s="3"/>
      <c r="H1873" s="3"/>
      <c r="I1873" s="3"/>
      <c r="J1873" s="3"/>
    </row>
    <row r="1874" spans="7:10" x14ac:dyDescent="0.35">
      <c r="G1874" s="3"/>
      <c r="H1874" s="3"/>
      <c r="I1874" s="3"/>
      <c r="J1874" s="3"/>
    </row>
    <row r="1875" spans="7:10" x14ac:dyDescent="0.35">
      <c r="G1875" s="3"/>
      <c r="H1875" s="3"/>
      <c r="I1875" s="3"/>
      <c r="J1875" s="3"/>
    </row>
    <row r="1876" spans="7:10" x14ac:dyDescent="0.35">
      <c r="G1876" s="3"/>
      <c r="H1876" s="3"/>
      <c r="I1876" s="3"/>
      <c r="J1876" s="3"/>
    </row>
    <row r="1877" spans="7:10" x14ac:dyDescent="0.35">
      <c r="G1877" s="3"/>
      <c r="H1877" s="3"/>
      <c r="I1877" s="3"/>
      <c r="J1877" s="3"/>
    </row>
    <row r="1878" spans="7:10" x14ac:dyDescent="0.35">
      <c r="G1878" s="3"/>
      <c r="H1878" s="3"/>
      <c r="I1878" s="3"/>
      <c r="J1878" s="3"/>
    </row>
    <row r="1879" spans="7:10" x14ac:dyDescent="0.35">
      <c r="G1879" s="3"/>
      <c r="H1879" s="3"/>
      <c r="I1879" s="3"/>
      <c r="J1879" s="3"/>
    </row>
    <row r="1880" spans="7:10" x14ac:dyDescent="0.35">
      <c r="G1880" s="3"/>
      <c r="H1880" s="3"/>
      <c r="I1880" s="3"/>
      <c r="J1880" s="3"/>
    </row>
    <row r="1881" spans="7:10" x14ac:dyDescent="0.35">
      <c r="G1881" s="3"/>
      <c r="H1881" s="3"/>
      <c r="I1881" s="3"/>
      <c r="J1881" s="3"/>
    </row>
    <row r="1882" spans="7:10" x14ac:dyDescent="0.35">
      <c r="G1882" s="3"/>
      <c r="H1882" s="3"/>
      <c r="I1882" s="3"/>
      <c r="J1882" s="3"/>
    </row>
    <row r="1883" spans="7:10" x14ac:dyDescent="0.35">
      <c r="G1883" s="3"/>
      <c r="H1883" s="3"/>
      <c r="I1883" s="3"/>
      <c r="J1883" s="3"/>
    </row>
    <row r="1884" spans="7:10" x14ac:dyDescent="0.35">
      <c r="G1884" s="3"/>
      <c r="H1884" s="3"/>
      <c r="I1884" s="3"/>
      <c r="J1884" s="3"/>
    </row>
    <row r="1885" spans="7:10" x14ac:dyDescent="0.35">
      <c r="G1885" s="3"/>
      <c r="H1885" s="3"/>
      <c r="I1885" s="3"/>
      <c r="J1885" s="3"/>
    </row>
    <row r="1886" spans="7:10" x14ac:dyDescent="0.35">
      <c r="G1886" s="3"/>
      <c r="H1886" s="3"/>
      <c r="I1886" s="3"/>
      <c r="J1886" s="3"/>
    </row>
    <row r="1887" spans="7:10" x14ac:dyDescent="0.35">
      <c r="G1887" s="3"/>
      <c r="H1887" s="3"/>
      <c r="I1887" s="3"/>
      <c r="J1887" s="3"/>
    </row>
    <row r="1888" spans="7:10" x14ac:dyDescent="0.35">
      <c r="G1888" s="3"/>
      <c r="H1888" s="3"/>
      <c r="I1888" s="3"/>
      <c r="J1888" s="3"/>
    </row>
    <row r="1889" spans="7:10" x14ac:dyDescent="0.35">
      <c r="G1889" s="3"/>
      <c r="H1889" s="3"/>
      <c r="I1889" s="3"/>
      <c r="J1889" s="3"/>
    </row>
    <row r="1890" spans="7:10" x14ac:dyDescent="0.35">
      <c r="G1890" s="3"/>
      <c r="H1890" s="3"/>
      <c r="I1890" s="3"/>
      <c r="J1890" s="3"/>
    </row>
    <row r="1891" spans="7:10" x14ac:dyDescent="0.35">
      <c r="G1891" s="3"/>
      <c r="H1891" s="3"/>
      <c r="I1891" s="3"/>
      <c r="J1891" s="3"/>
    </row>
    <row r="1892" spans="7:10" x14ac:dyDescent="0.35">
      <c r="G1892" s="3"/>
      <c r="H1892" s="3"/>
      <c r="I1892" s="3"/>
      <c r="J1892" s="3"/>
    </row>
    <row r="1893" spans="7:10" x14ac:dyDescent="0.35">
      <c r="G1893" s="3"/>
      <c r="H1893" s="3"/>
      <c r="I1893" s="3"/>
      <c r="J1893" s="3"/>
    </row>
    <row r="1894" spans="7:10" x14ac:dyDescent="0.35">
      <c r="G1894" s="3"/>
      <c r="H1894" s="3"/>
      <c r="I1894" s="3"/>
      <c r="J1894" s="3"/>
    </row>
    <row r="1895" spans="7:10" x14ac:dyDescent="0.35">
      <c r="G1895" s="3"/>
      <c r="H1895" s="3"/>
      <c r="I1895" s="3"/>
      <c r="J1895" s="3"/>
    </row>
    <row r="1896" spans="7:10" x14ac:dyDescent="0.35">
      <c r="G1896" s="3"/>
      <c r="H1896" s="3"/>
      <c r="I1896" s="3"/>
      <c r="J1896" s="3"/>
    </row>
    <row r="1897" spans="7:10" x14ac:dyDescent="0.35">
      <c r="G1897" s="3"/>
      <c r="H1897" s="3"/>
      <c r="I1897" s="3"/>
      <c r="J1897" s="3"/>
    </row>
    <row r="1898" spans="7:10" x14ac:dyDescent="0.35">
      <c r="G1898" s="3"/>
      <c r="H1898" s="3"/>
      <c r="I1898" s="3"/>
      <c r="J1898" s="3"/>
    </row>
    <row r="1899" spans="7:10" x14ac:dyDescent="0.35">
      <c r="G1899" s="3"/>
      <c r="H1899" s="3"/>
      <c r="I1899" s="3"/>
      <c r="J1899" s="3"/>
    </row>
    <row r="1900" spans="7:10" x14ac:dyDescent="0.35">
      <c r="G1900" s="3"/>
      <c r="H1900" s="3"/>
      <c r="I1900" s="3"/>
      <c r="J1900" s="3"/>
    </row>
    <row r="1901" spans="7:10" x14ac:dyDescent="0.35">
      <c r="G1901" s="3"/>
      <c r="H1901" s="3"/>
      <c r="I1901" s="3"/>
      <c r="J1901" s="3"/>
    </row>
    <row r="1902" spans="7:10" x14ac:dyDescent="0.35">
      <c r="G1902" s="3"/>
      <c r="H1902" s="3"/>
      <c r="I1902" s="3"/>
      <c r="J1902" s="3"/>
    </row>
    <row r="1903" spans="7:10" x14ac:dyDescent="0.35">
      <c r="G1903" s="3"/>
      <c r="H1903" s="3"/>
      <c r="I1903" s="3"/>
      <c r="J1903" s="3"/>
    </row>
    <row r="1904" spans="7:10" x14ac:dyDescent="0.35">
      <c r="G1904" s="3"/>
      <c r="H1904" s="3"/>
      <c r="I1904" s="3"/>
      <c r="J1904" s="3"/>
    </row>
    <row r="1905" spans="7:10" x14ac:dyDescent="0.35">
      <c r="G1905" s="3"/>
      <c r="H1905" s="3"/>
      <c r="I1905" s="3"/>
      <c r="J1905" s="3"/>
    </row>
    <row r="1906" spans="7:10" x14ac:dyDescent="0.35">
      <c r="G1906" s="3"/>
      <c r="H1906" s="3"/>
      <c r="I1906" s="3"/>
      <c r="J1906" s="3"/>
    </row>
    <row r="1907" spans="7:10" x14ac:dyDescent="0.35">
      <c r="G1907" s="3"/>
      <c r="H1907" s="3"/>
      <c r="I1907" s="3"/>
      <c r="J1907" s="3"/>
    </row>
    <row r="1908" spans="7:10" x14ac:dyDescent="0.35">
      <c r="G1908" s="3"/>
      <c r="H1908" s="3"/>
      <c r="I1908" s="3"/>
      <c r="J1908" s="3"/>
    </row>
    <row r="1909" spans="7:10" x14ac:dyDescent="0.35">
      <c r="G1909" s="3"/>
      <c r="H1909" s="3"/>
      <c r="I1909" s="3"/>
      <c r="J1909" s="3"/>
    </row>
    <row r="1910" spans="7:10" x14ac:dyDescent="0.35">
      <c r="G1910" s="3"/>
      <c r="H1910" s="3"/>
      <c r="I1910" s="3"/>
      <c r="J1910" s="3"/>
    </row>
    <row r="1911" spans="7:10" x14ac:dyDescent="0.35">
      <c r="G1911" s="3"/>
      <c r="H1911" s="3"/>
      <c r="I1911" s="3"/>
      <c r="J1911" s="3"/>
    </row>
    <row r="1912" spans="7:10" x14ac:dyDescent="0.35">
      <c r="G1912" s="3"/>
      <c r="H1912" s="3"/>
      <c r="I1912" s="3"/>
      <c r="J1912" s="3"/>
    </row>
    <row r="1913" spans="7:10" x14ac:dyDescent="0.35">
      <c r="G1913" s="3"/>
      <c r="H1913" s="3"/>
      <c r="I1913" s="3"/>
      <c r="J1913" s="3"/>
    </row>
    <row r="1914" spans="7:10" x14ac:dyDescent="0.35">
      <c r="G1914" s="3"/>
      <c r="H1914" s="3"/>
      <c r="I1914" s="3"/>
      <c r="J1914" s="3"/>
    </row>
    <row r="1915" spans="7:10" x14ac:dyDescent="0.35">
      <c r="G1915" s="3"/>
      <c r="H1915" s="3"/>
      <c r="I1915" s="3"/>
      <c r="J1915" s="3"/>
    </row>
    <row r="1916" spans="7:10" x14ac:dyDescent="0.35">
      <c r="G1916" s="3"/>
      <c r="H1916" s="3"/>
      <c r="I1916" s="3"/>
      <c r="J1916" s="3"/>
    </row>
    <row r="1917" spans="7:10" x14ac:dyDescent="0.35">
      <c r="G1917" s="3"/>
      <c r="H1917" s="3"/>
      <c r="I1917" s="3"/>
      <c r="J1917" s="3"/>
    </row>
    <row r="1918" spans="7:10" x14ac:dyDescent="0.35">
      <c r="G1918" s="3"/>
      <c r="H1918" s="3"/>
      <c r="I1918" s="3"/>
      <c r="J1918" s="3"/>
    </row>
    <row r="1919" spans="7:10" x14ac:dyDescent="0.35">
      <c r="G1919" s="3"/>
      <c r="H1919" s="3"/>
      <c r="I1919" s="3"/>
      <c r="J1919" s="3"/>
    </row>
    <row r="1920" spans="7:10" x14ac:dyDescent="0.35">
      <c r="G1920" s="3"/>
      <c r="H1920" s="3"/>
      <c r="I1920" s="3"/>
      <c r="J1920" s="3"/>
    </row>
    <row r="1921" spans="7:10" x14ac:dyDescent="0.35">
      <c r="G1921" s="3"/>
      <c r="H1921" s="3"/>
      <c r="I1921" s="3"/>
      <c r="J1921" s="3"/>
    </row>
    <row r="1922" spans="7:10" x14ac:dyDescent="0.35">
      <c r="G1922" s="3"/>
      <c r="H1922" s="3"/>
      <c r="I1922" s="3"/>
      <c r="J1922" s="3"/>
    </row>
    <row r="1923" spans="7:10" x14ac:dyDescent="0.35">
      <c r="G1923" s="3"/>
      <c r="H1923" s="3"/>
      <c r="I1923" s="3"/>
      <c r="J1923" s="3"/>
    </row>
    <row r="1924" spans="7:10" x14ac:dyDescent="0.35">
      <c r="G1924" s="3"/>
      <c r="H1924" s="3"/>
      <c r="I1924" s="3"/>
      <c r="J1924" s="3"/>
    </row>
    <row r="1925" spans="7:10" x14ac:dyDescent="0.35">
      <c r="G1925" s="3"/>
      <c r="H1925" s="3"/>
      <c r="I1925" s="3"/>
      <c r="J1925" s="3"/>
    </row>
    <row r="1926" spans="7:10" x14ac:dyDescent="0.35">
      <c r="G1926" s="3"/>
      <c r="H1926" s="3"/>
      <c r="I1926" s="3"/>
      <c r="J1926" s="3"/>
    </row>
    <row r="1927" spans="7:10" x14ac:dyDescent="0.35">
      <c r="G1927" s="3"/>
      <c r="H1927" s="3"/>
      <c r="I1927" s="3"/>
      <c r="J1927" s="3"/>
    </row>
    <row r="1928" spans="7:10" x14ac:dyDescent="0.35">
      <c r="G1928" s="3"/>
      <c r="H1928" s="3"/>
      <c r="I1928" s="3"/>
      <c r="J1928" s="3"/>
    </row>
    <row r="1929" spans="7:10" x14ac:dyDescent="0.35">
      <c r="G1929" s="3"/>
      <c r="H1929" s="3"/>
      <c r="I1929" s="3"/>
      <c r="J1929" s="3"/>
    </row>
    <row r="1930" spans="7:10" x14ac:dyDescent="0.35">
      <c r="G1930" s="3"/>
      <c r="H1930" s="3"/>
      <c r="I1930" s="3"/>
      <c r="J1930" s="3"/>
    </row>
    <row r="1931" spans="7:10" x14ac:dyDescent="0.35">
      <c r="G1931" s="3"/>
      <c r="H1931" s="3"/>
      <c r="I1931" s="3"/>
      <c r="J1931" s="3"/>
    </row>
    <row r="1932" spans="7:10" x14ac:dyDescent="0.35">
      <c r="G1932" s="3"/>
      <c r="H1932" s="3"/>
      <c r="I1932" s="3"/>
      <c r="J1932" s="3"/>
    </row>
    <row r="1933" spans="7:10" x14ac:dyDescent="0.35">
      <c r="G1933" s="3"/>
      <c r="H1933" s="3"/>
      <c r="I1933" s="3"/>
      <c r="J1933" s="3"/>
    </row>
    <row r="1934" spans="7:10" x14ac:dyDescent="0.35">
      <c r="G1934" s="3"/>
      <c r="H1934" s="3"/>
      <c r="I1934" s="3"/>
      <c r="J1934" s="3"/>
    </row>
    <row r="1935" spans="7:10" x14ac:dyDescent="0.35">
      <c r="G1935" s="3"/>
      <c r="H1935" s="3"/>
      <c r="I1935" s="3"/>
      <c r="J1935" s="3"/>
    </row>
    <row r="1936" spans="7:10" x14ac:dyDescent="0.35">
      <c r="G1936" s="3"/>
      <c r="H1936" s="3"/>
      <c r="I1936" s="3"/>
      <c r="J1936" s="3"/>
    </row>
    <row r="1937" spans="7:10" x14ac:dyDescent="0.35">
      <c r="G1937" s="3"/>
      <c r="H1937" s="3"/>
      <c r="I1937" s="3"/>
      <c r="J1937" s="3"/>
    </row>
    <row r="1938" spans="7:10" x14ac:dyDescent="0.35">
      <c r="G1938" s="3"/>
      <c r="H1938" s="3"/>
      <c r="I1938" s="3"/>
      <c r="J1938" s="3"/>
    </row>
    <row r="1939" spans="7:10" x14ac:dyDescent="0.35">
      <c r="G1939" s="3"/>
      <c r="H1939" s="3"/>
      <c r="I1939" s="3"/>
      <c r="J1939" s="3"/>
    </row>
    <row r="1940" spans="7:10" x14ac:dyDescent="0.35">
      <c r="G1940" s="3"/>
      <c r="H1940" s="3"/>
      <c r="I1940" s="3"/>
      <c r="J1940" s="3"/>
    </row>
    <row r="1941" spans="7:10" x14ac:dyDescent="0.35">
      <c r="G1941" s="3"/>
      <c r="H1941" s="3"/>
      <c r="I1941" s="3"/>
      <c r="J1941" s="3"/>
    </row>
    <row r="1942" spans="7:10" x14ac:dyDescent="0.35">
      <c r="G1942" s="3"/>
      <c r="H1942" s="3"/>
      <c r="I1942" s="3"/>
      <c r="J1942" s="3"/>
    </row>
    <row r="1943" spans="7:10" x14ac:dyDescent="0.35">
      <c r="G1943" s="3"/>
      <c r="H1943" s="3"/>
      <c r="I1943" s="3"/>
      <c r="J1943" s="3"/>
    </row>
    <row r="1944" spans="7:10" x14ac:dyDescent="0.35">
      <c r="G1944" s="3"/>
      <c r="H1944" s="3"/>
      <c r="I1944" s="3"/>
      <c r="J1944" s="3"/>
    </row>
    <row r="1945" spans="7:10" x14ac:dyDescent="0.35">
      <c r="G1945" s="3"/>
      <c r="H1945" s="3"/>
      <c r="I1945" s="3"/>
      <c r="J1945" s="3"/>
    </row>
    <row r="1946" spans="7:10" x14ac:dyDescent="0.35">
      <c r="G1946" s="3"/>
      <c r="H1946" s="3"/>
      <c r="I1946" s="3"/>
      <c r="J1946" s="3"/>
    </row>
    <row r="1947" spans="7:10" x14ac:dyDescent="0.35">
      <c r="G1947" s="3"/>
      <c r="H1947" s="3"/>
      <c r="I1947" s="3"/>
      <c r="J1947" s="3"/>
    </row>
    <row r="1948" spans="7:10" x14ac:dyDescent="0.35">
      <c r="G1948" s="3"/>
      <c r="H1948" s="3"/>
      <c r="I1948" s="3"/>
      <c r="J1948" s="3"/>
    </row>
    <row r="1949" spans="7:10" x14ac:dyDescent="0.35">
      <c r="G1949" s="3"/>
      <c r="H1949" s="3"/>
      <c r="I1949" s="3"/>
      <c r="J1949" s="3"/>
    </row>
    <row r="1950" spans="7:10" x14ac:dyDescent="0.35">
      <c r="G1950" s="3"/>
      <c r="H1950" s="3"/>
      <c r="I1950" s="3"/>
      <c r="J1950" s="3"/>
    </row>
    <row r="1951" spans="7:10" x14ac:dyDescent="0.35">
      <c r="G1951" s="3"/>
      <c r="H1951" s="3"/>
      <c r="I1951" s="3"/>
      <c r="J1951" s="3"/>
    </row>
    <row r="1952" spans="7:10" x14ac:dyDescent="0.35">
      <c r="G1952" s="3"/>
      <c r="H1952" s="3"/>
      <c r="I1952" s="3"/>
      <c r="J1952" s="3"/>
    </row>
    <row r="1953" spans="7:10" x14ac:dyDescent="0.35">
      <c r="G1953" s="3"/>
      <c r="H1953" s="3"/>
      <c r="I1953" s="3"/>
      <c r="J1953" s="3"/>
    </row>
    <row r="1954" spans="7:10" x14ac:dyDescent="0.35">
      <c r="G1954" s="3"/>
      <c r="H1954" s="3"/>
      <c r="I1954" s="3"/>
      <c r="J1954" s="3"/>
    </row>
    <row r="1955" spans="7:10" x14ac:dyDescent="0.35">
      <c r="G1955" s="3"/>
      <c r="H1955" s="3"/>
      <c r="I1955" s="3"/>
      <c r="J1955" s="3"/>
    </row>
    <row r="1956" spans="7:10" x14ac:dyDescent="0.35">
      <c r="G1956" s="3"/>
      <c r="H1956" s="3"/>
      <c r="I1956" s="3"/>
      <c r="J1956" s="3"/>
    </row>
    <row r="1957" spans="7:10" x14ac:dyDescent="0.35">
      <c r="G1957" s="3"/>
      <c r="H1957" s="3"/>
      <c r="I1957" s="3"/>
      <c r="J1957" s="3"/>
    </row>
    <row r="1958" spans="7:10" x14ac:dyDescent="0.35">
      <c r="G1958" s="3"/>
      <c r="H1958" s="3"/>
      <c r="I1958" s="3"/>
      <c r="J1958" s="3"/>
    </row>
    <row r="1959" spans="7:10" x14ac:dyDescent="0.35">
      <c r="G1959" s="3"/>
      <c r="H1959" s="3"/>
      <c r="I1959" s="3"/>
      <c r="J1959" s="3"/>
    </row>
    <row r="1960" spans="7:10" x14ac:dyDescent="0.35">
      <c r="G1960" s="3"/>
      <c r="H1960" s="3"/>
      <c r="I1960" s="3"/>
      <c r="J1960" s="3"/>
    </row>
    <row r="1961" spans="7:10" x14ac:dyDescent="0.35">
      <c r="G1961" s="3"/>
      <c r="H1961" s="3"/>
      <c r="I1961" s="3"/>
      <c r="J1961" s="3"/>
    </row>
    <row r="1962" spans="7:10" x14ac:dyDescent="0.35">
      <c r="G1962" s="3"/>
      <c r="H1962" s="3"/>
      <c r="I1962" s="3"/>
      <c r="J1962" s="3"/>
    </row>
    <row r="1963" spans="7:10" x14ac:dyDescent="0.35">
      <c r="G1963" s="3"/>
      <c r="H1963" s="3"/>
      <c r="I1963" s="3"/>
      <c r="J1963" s="3"/>
    </row>
    <row r="1964" spans="7:10" x14ac:dyDescent="0.35">
      <c r="G1964" s="3"/>
      <c r="H1964" s="3"/>
      <c r="I1964" s="3"/>
      <c r="J1964" s="3"/>
    </row>
    <row r="1965" spans="7:10" x14ac:dyDescent="0.35">
      <c r="G1965" s="3"/>
      <c r="H1965" s="3"/>
      <c r="I1965" s="3"/>
      <c r="J1965" s="3"/>
    </row>
    <row r="1966" spans="7:10" x14ac:dyDescent="0.35">
      <c r="G1966" s="3"/>
      <c r="H1966" s="3"/>
      <c r="I1966" s="3"/>
      <c r="J1966" s="3"/>
    </row>
    <row r="1967" spans="7:10" x14ac:dyDescent="0.35">
      <c r="G1967" s="3"/>
      <c r="H1967" s="3"/>
      <c r="I1967" s="3"/>
      <c r="J1967" s="3"/>
    </row>
    <row r="1968" spans="7:10" x14ac:dyDescent="0.35">
      <c r="G1968" s="3"/>
      <c r="H1968" s="3"/>
      <c r="I1968" s="3"/>
      <c r="J1968" s="3"/>
    </row>
    <row r="1969" spans="7:10" x14ac:dyDescent="0.35">
      <c r="G1969" s="3"/>
      <c r="H1969" s="3"/>
      <c r="I1969" s="3"/>
      <c r="J1969" s="3"/>
    </row>
    <row r="1970" spans="7:10" x14ac:dyDescent="0.35">
      <c r="G1970" s="3"/>
      <c r="H1970" s="3"/>
      <c r="I1970" s="3"/>
      <c r="J1970" s="3"/>
    </row>
    <row r="1971" spans="7:10" x14ac:dyDescent="0.35">
      <c r="G1971" s="3"/>
      <c r="H1971" s="3"/>
      <c r="I1971" s="3"/>
      <c r="J1971" s="3"/>
    </row>
    <row r="1972" spans="7:10" x14ac:dyDescent="0.35">
      <c r="G1972" s="3"/>
      <c r="H1972" s="3"/>
      <c r="I1972" s="3"/>
      <c r="J1972" s="3"/>
    </row>
    <row r="1973" spans="7:10" x14ac:dyDescent="0.35">
      <c r="G1973" s="3"/>
      <c r="H1973" s="3"/>
      <c r="I1973" s="3"/>
      <c r="J1973" s="3"/>
    </row>
    <row r="1974" spans="7:10" x14ac:dyDescent="0.35">
      <c r="G1974" s="3"/>
      <c r="H1974" s="3"/>
      <c r="I1974" s="3"/>
      <c r="J1974" s="3"/>
    </row>
    <row r="1975" spans="7:10" x14ac:dyDescent="0.35">
      <c r="G1975" s="3"/>
      <c r="H1975" s="3"/>
      <c r="I1975" s="3"/>
      <c r="J1975" s="3"/>
    </row>
    <row r="1976" spans="7:10" x14ac:dyDescent="0.35">
      <c r="G1976" s="3"/>
      <c r="H1976" s="3"/>
      <c r="I1976" s="3"/>
      <c r="J1976" s="3"/>
    </row>
    <row r="1977" spans="7:10" x14ac:dyDescent="0.35">
      <c r="G1977" s="3"/>
      <c r="H1977" s="3"/>
      <c r="I1977" s="3"/>
      <c r="J1977" s="3"/>
    </row>
    <row r="1978" spans="7:10" x14ac:dyDescent="0.35">
      <c r="G1978" s="3"/>
      <c r="H1978" s="3"/>
      <c r="I1978" s="3"/>
      <c r="J1978" s="3"/>
    </row>
    <row r="1979" spans="7:10" x14ac:dyDescent="0.35">
      <c r="G1979" s="3"/>
      <c r="H1979" s="3"/>
      <c r="I1979" s="3"/>
      <c r="J1979" s="3"/>
    </row>
    <row r="1980" spans="7:10" x14ac:dyDescent="0.35">
      <c r="G1980" s="3"/>
      <c r="H1980" s="3"/>
      <c r="I1980" s="3"/>
      <c r="J1980" s="3"/>
    </row>
    <row r="1981" spans="7:10" x14ac:dyDescent="0.35">
      <c r="G1981" s="3"/>
      <c r="H1981" s="3"/>
      <c r="I1981" s="3"/>
      <c r="J1981" s="3"/>
    </row>
    <row r="1982" spans="7:10" x14ac:dyDescent="0.35">
      <c r="G1982" s="3"/>
      <c r="H1982" s="3"/>
      <c r="I1982" s="3"/>
      <c r="J1982" s="3"/>
    </row>
    <row r="1983" spans="7:10" x14ac:dyDescent="0.35">
      <c r="G1983" s="3"/>
      <c r="H1983" s="3"/>
      <c r="I1983" s="3"/>
      <c r="J1983" s="3"/>
    </row>
    <row r="1984" spans="7:10" x14ac:dyDescent="0.35">
      <c r="G1984" s="3"/>
      <c r="H1984" s="3"/>
      <c r="I1984" s="3"/>
      <c r="J1984" s="3"/>
    </row>
    <row r="1985" spans="7:10" x14ac:dyDescent="0.35">
      <c r="G1985" s="3"/>
      <c r="H1985" s="3"/>
      <c r="I1985" s="3"/>
      <c r="J1985" s="3"/>
    </row>
    <row r="1986" spans="7:10" x14ac:dyDescent="0.35">
      <c r="G1986" s="3"/>
      <c r="H1986" s="3"/>
      <c r="I1986" s="3"/>
      <c r="J1986" s="3"/>
    </row>
    <row r="1987" spans="7:10" x14ac:dyDescent="0.35">
      <c r="G1987" s="3"/>
      <c r="H1987" s="3"/>
      <c r="I1987" s="3"/>
      <c r="J1987" s="3"/>
    </row>
    <row r="1988" spans="7:10" x14ac:dyDescent="0.35">
      <c r="G1988" s="3"/>
      <c r="H1988" s="3"/>
      <c r="I1988" s="3"/>
      <c r="J1988" s="3"/>
    </row>
    <row r="1989" spans="7:10" x14ac:dyDescent="0.35">
      <c r="G1989" s="3"/>
      <c r="H1989" s="3"/>
      <c r="I1989" s="3"/>
      <c r="J1989" s="3"/>
    </row>
    <row r="1990" spans="7:10" x14ac:dyDescent="0.35">
      <c r="G1990" s="3"/>
      <c r="H1990" s="3"/>
      <c r="I1990" s="3"/>
      <c r="J1990" s="3"/>
    </row>
    <row r="1991" spans="7:10" x14ac:dyDescent="0.35">
      <c r="G1991" s="3"/>
      <c r="H1991" s="3"/>
      <c r="I1991" s="3"/>
      <c r="J1991" s="3"/>
    </row>
    <row r="1992" spans="7:10" x14ac:dyDescent="0.35">
      <c r="G1992" s="3"/>
      <c r="H1992" s="3"/>
      <c r="I1992" s="3"/>
      <c r="J1992" s="3"/>
    </row>
    <row r="1993" spans="7:10" x14ac:dyDescent="0.35">
      <c r="G1993" s="3"/>
      <c r="H1993" s="3"/>
      <c r="I1993" s="3"/>
      <c r="J1993" s="3"/>
    </row>
    <row r="1994" spans="7:10" x14ac:dyDescent="0.35">
      <c r="G1994" s="3"/>
      <c r="H1994" s="3"/>
      <c r="I1994" s="3"/>
      <c r="J1994" s="3"/>
    </row>
    <row r="1995" spans="7:10" x14ac:dyDescent="0.35">
      <c r="G1995" s="3"/>
      <c r="H1995" s="3"/>
      <c r="I1995" s="3"/>
      <c r="J1995" s="3"/>
    </row>
    <row r="1996" spans="7:10" x14ac:dyDescent="0.35">
      <c r="G1996" s="3"/>
      <c r="H1996" s="3"/>
      <c r="I1996" s="3"/>
      <c r="J1996" s="3"/>
    </row>
    <row r="1997" spans="7:10" x14ac:dyDescent="0.35">
      <c r="G1997" s="3"/>
      <c r="H1997" s="3"/>
      <c r="I1997" s="3"/>
      <c r="J1997" s="3"/>
    </row>
    <row r="1998" spans="7:10" x14ac:dyDescent="0.35">
      <c r="G1998" s="3"/>
      <c r="H1998" s="3"/>
      <c r="I1998" s="3"/>
      <c r="J1998" s="3"/>
    </row>
    <row r="1999" spans="7:10" x14ac:dyDescent="0.35">
      <c r="G1999" s="3"/>
      <c r="H1999" s="3"/>
      <c r="I1999" s="3"/>
      <c r="J1999" s="3"/>
    </row>
    <row r="2000" spans="7:10" x14ac:dyDescent="0.35">
      <c r="G2000" s="3"/>
      <c r="H2000" s="3"/>
      <c r="I2000" s="3"/>
      <c r="J2000" s="3"/>
    </row>
    <row r="2001" spans="7:10" x14ac:dyDescent="0.35">
      <c r="G2001" s="3"/>
      <c r="H2001" s="3"/>
      <c r="I2001" s="3"/>
      <c r="J2001" s="3"/>
    </row>
    <row r="502" spans="7:10" x14ac:dyDescent="0.35">
      <c r="G502" s="3"/>
      <c r="H502" s="3"/>
      <c r="I502" s="3"/>
      <c r="J502" s="3"/>
    </row>
    <row r="2003" spans="7:10" x14ac:dyDescent="0.35">
      <c r="G2003" s="3"/>
      <c r="H2003" s="3"/>
      <c r="I2003" s="3"/>
      <c r="J2003" s="3"/>
    </row>
    <row r="2004" spans="7:10" x14ac:dyDescent="0.35">
      <c r="G2004" s="3"/>
      <c r="H2004" s="3"/>
      <c r="I2004" s="3"/>
      <c r="J2004" s="3"/>
    </row>
    <row r="2005" spans="7:10" x14ac:dyDescent="0.35">
      <c r="G2005" s="3"/>
      <c r="H2005" s="3"/>
      <c r="I2005" s="3"/>
      <c r="J2005" s="3"/>
    </row>
    <row r="2006" spans="7:10" x14ac:dyDescent="0.35">
      <c r="G2006" s="3"/>
      <c r="H2006" s="3"/>
      <c r="I2006" s="3"/>
      <c r="J2006" s="3"/>
    </row>
    <row r="2007" spans="7:10" x14ac:dyDescent="0.35">
      <c r="G2007" s="3"/>
      <c r="H2007" s="3"/>
      <c r="I2007" s="3"/>
      <c r="J2007" s="3"/>
    </row>
    <row r="2008" spans="7:10" x14ac:dyDescent="0.35">
      <c r="G2008" s="3"/>
      <c r="H2008" s="3"/>
      <c r="I2008" s="3"/>
      <c r="J2008" s="3"/>
    </row>
    <row r="2009" spans="7:10" x14ac:dyDescent="0.35">
      <c r="G2009" s="3"/>
      <c r="H2009" s="3"/>
      <c r="I2009" s="3"/>
      <c r="J2009" s="3"/>
    </row>
    <row r="2010" spans="7:10" x14ac:dyDescent="0.35">
      <c r="G2010" s="3"/>
      <c r="H2010" s="3"/>
      <c r="I2010" s="3"/>
      <c r="J2010" s="3"/>
    </row>
    <row r="2011" spans="7:10" x14ac:dyDescent="0.35">
      <c r="G2011" s="3"/>
      <c r="H2011" s="3"/>
      <c r="I2011" s="3"/>
      <c r="J2011" s="3"/>
    </row>
    <row r="2012" spans="7:10" x14ac:dyDescent="0.35">
      <c r="G2012" s="3"/>
      <c r="H2012" s="3"/>
      <c r="I2012" s="3"/>
      <c r="J2012" s="3"/>
    </row>
    <row r="2013" spans="7:10" x14ac:dyDescent="0.35">
      <c r="G2013" s="3"/>
      <c r="H2013" s="3"/>
      <c r="I2013" s="3"/>
      <c r="J2013" s="3"/>
    </row>
    <row r="2014" spans="7:10" x14ac:dyDescent="0.35">
      <c r="G2014" s="3"/>
      <c r="H2014" s="3"/>
      <c r="I2014" s="3"/>
      <c r="J2014" s="3"/>
    </row>
    <row r="2015" spans="7:10" x14ac:dyDescent="0.35">
      <c r="G2015" s="3"/>
      <c r="H2015" s="3"/>
      <c r="I2015" s="3"/>
      <c r="J2015" s="3"/>
    </row>
    <row r="2016" spans="7:10" x14ac:dyDescent="0.35">
      <c r="G2016" s="3"/>
      <c r="H2016" s="3"/>
      <c r="I2016" s="3"/>
      <c r="J2016" s="3"/>
    </row>
    <row r="2017" spans="7:10" x14ac:dyDescent="0.35">
      <c r="G2017" s="3"/>
      <c r="H2017" s="3"/>
      <c r="I2017" s="3"/>
      <c r="J2017" s="3"/>
    </row>
    <row r="2018" spans="7:10" x14ac:dyDescent="0.35">
      <c r="G2018" s="3"/>
      <c r="H2018" s="3"/>
      <c r="I2018" s="3"/>
      <c r="J2018" s="3"/>
    </row>
    <row r="2019" spans="7:10" x14ac:dyDescent="0.35">
      <c r="G2019" s="3"/>
      <c r="H2019" s="3"/>
      <c r="I2019" s="3"/>
      <c r="J2019" s="3"/>
    </row>
    <row r="2020" spans="7:10" x14ac:dyDescent="0.35">
      <c r="G2020" s="3"/>
      <c r="H2020" s="3"/>
      <c r="I2020" s="3"/>
      <c r="J2020" s="3"/>
    </row>
    <row r="2021" spans="7:10" x14ac:dyDescent="0.35">
      <c r="G2021" s="3"/>
      <c r="H2021" s="3"/>
      <c r="I2021" s="3"/>
      <c r="J2021" s="3"/>
    </row>
    <row r="2022" spans="7:10" x14ac:dyDescent="0.35">
      <c r="G2022" s="3"/>
      <c r="H2022" s="3"/>
      <c r="I2022" s="3"/>
      <c r="J2022" s="3"/>
    </row>
    <row r="2023" spans="7:10" x14ac:dyDescent="0.35">
      <c r="G2023" s="3"/>
      <c r="H2023" s="3"/>
      <c r="I2023" s="3"/>
      <c r="J2023" s="3"/>
    </row>
    <row r="2024" spans="7:10" x14ac:dyDescent="0.35">
      <c r="G2024" s="3"/>
      <c r="H2024" s="3"/>
      <c r="I2024" s="3"/>
      <c r="J2024" s="3"/>
    </row>
    <row r="2025" spans="7:10" x14ac:dyDescent="0.35">
      <c r="G2025" s="3"/>
      <c r="H2025" s="3"/>
      <c r="I2025" s="3"/>
      <c r="J2025" s="3"/>
    </row>
    <row r="2026" spans="7:10" x14ac:dyDescent="0.35">
      <c r="G2026" s="3"/>
      <c r="H2026" s="3"/>
      <c r="I2026" s="3"/>
      <c r="J2026" s="3"/>
    </row>
    <row r="2027" spans="7:10" x14ac:dyDescent="0.35">
      <c r="G2027" s="3"/>
      <c r="H2027" s="3"/>
      <c r="I2027" s="3"/>
      <c r="J2027" s="3"/>
    </row>
    <row r="2028" spans="7:10" x14ac:dyDescent="0.35">
      <c r="G2028" s="3"/>
      <c r="H2028" s="3"/>
      <c r="I2028" s="3"/>
      <c r="J2028" s="3"/>
    </row>
    <row r="2029" spans="7:10" x14ac:dyDescent="0.35">
      <c r="G2029" s="3"/>
      <c r="H2029" s="3"/>
      <c r="I2029" s="3"/>
      <c r="J2029" s="3"/>
    </row>
    <row r="2030" spans="7:10" x14ac:dyDescent="0.35">
      <c r="G2030" s="3"/>
      <c r="H2030" s="3"/>
      <c r="I2030" s="3"/>
      <c r="J2030" s="3"/>
    </row>
    <row r="2031" spans="7:10" x14ac:dyDescent="0.35">
      <c r="G2031" s="3"/>
      <c r="H2031" s="3"/>
      <c r="I2031" s="3"/>
      <c r="J2031" s="3"/>
    </row>
    <row r="2032" spans="7:10" x14ac:dyDescent="0.35">
      <c r="G2032" s="3"/>
      <c r="H2032" s="3"/>
      <c r="I2032" s="3"/>
      <c r="J2032" s="3"/>
    </row>
    <row r="2033" spans="7:10" x14ac:dyDescent="0.35">
      <c r="G2033" s="3"/>
      <c r="H2033" s="3"/>
      <c r="I2033" s="3"/>
      <c r="J2033" s="3"/>
    </row>
    <row r="2034" spans="7:10" x14ac:dyDescent="0.35">
      <c r="G2034" s="3"/>
      <c r="H2034" s="3"/>
      <c r="I2034" s="3"/>
      <c r="J2034" s="3"/>
    </row>
    <row r="2035" spans="7:10" x14ac:dyDescent="0.35">
      <c r="G2035" s="3"/>
      <c r="H2035" s="3"/>
      <c r="I2035" s="3"/>
      <c r="J2035" s="3"/>
    </row>
    <row r="2036" spans="7:10" x14ac:dyDescent="0.35">
      <c r="G2036" s="3"/>
      <c r="H2036" s="3"/>
      <c r="I2036" s="3"/>
      <c r="J2036" s="3"/>
    </row>
    <row r="2037" spans="7:10" x14ac:dyDescent="0.35">
      <c r="G2037" s="3"/>
      <c r="H2037" s="3"/>
      <c r="I2037" s="3"/>
      <c r="J2037" s="3"/>
    </row>
    <row r="2038" spans="7:10" x14ac:dyDescent="0.35">
      <c r="G2038" s="3"/>
      <c r="H2038" s="3"/>
      <c r="I2038" s="3"/>
      <c r="J2038" s="3"/>
    </row>
    <row r="2039" spans="7:10" x14ac:dyDescent="0.35">
      <c r="G2039" s="3"/>
      <c r="H2039" s="3"/>
      <c r="I2039" s="3"/>
      <c r="J2039" s="3"/>
    </row>
    <row r="2040" spans="7:10" x14ac:dyDescent="0.35">
      <c r="G2040" s="3"/>
      <c r="H2040" s="3"/>
      <c r="I2040" s="3"/>
      <c r="J2040" s="3"/>
    </row>
    <row r="2041" spans="7:10" x14ac:dyDescent="0.35">
      <c r="G2041" s="3"/>
      <c r="H2041" s="3"/>
      <c r="I2041" s="3"/>
      <c r="J2041" s="3"/>
    </row>
    <row r="2042" spans="7:10" x14ac:dyDescent="0.35">
      <c r="G2042" s="3"/>
      <c r="H2042" s="3"/>
      <c r="I2042" s="3"/>
      <c r="J2042" s="3"/>
    </row>
    <row r="2043" spans="7:10" x14ac:dyDescent="0.35">
      <c r="G2043" s="3"/>
      <c r="H2043" s="3"/>
      <c r="I2043" s="3"/>
      <c r="J2043" s="3"/>
    </row>
    <row r="2044" spans="7:10" x14ac:dyDescent="0.35">
      <c r="G2044" s="3"/>
      <c r="H2044" s="3"/>
      <c r="I2044" s="3"/>
      <c r="J2044" s="3"/>
    </row>
    <row r="2045" spans="7:10" x14ac:dyDescent="0.35">
      <c r="G2045" s="3"/>
      <c r="H2045" s="3"/>
      <c r="I2045" s="3"/>
      <c r="J2045" s="3"/>
    </row>
    <row r="2046" spans="7:10" x14ac:dyDescent="0.35">
      <c r="G2046" s="3"/>
      <c r="H2046" s="3"/>
      <c r="I2046" s="3"/>
      <c r="J2046" s="3"/>
    </row>
    <row r="2047" spans="7:10" x14ac:dyDescent="0.35">
      <c r="G2047" s="3"/>
      <c r="H2047" s="3"/>
      <c r="I2047" s="3"/>
      <c r="J2047" s="3"/>
    </row>
    <row r="2048" spans="7:10" x14ac:dyDescent="0.35">
      <c r="G2048" s="3"/>
      <c r="H2048" s="3"/>
      <c r="I2048" s="3"/>
      <c r="J2048" s="3"/>
    </row>
    <row r="2049" spans="7:10" x14ac:dyDescent="0.35">
      <c r="G2049" s="3"/>
      <c r="H2049" s="3"/>
      <c r="I2049" s="3"/>
      <c r="J2049" s="3"/>
    </row>
    <row r="2050" spans="7:10" x14ac:dyDescent="0.35">
      <c r="G2050" s="3"/>
      <c r="H2050" s="3"/>
      <c r="I2050" s="3"/>
      <c r="J2050" s="3"/>
    </row>
    <row r="2051" spans="7:10" x14ac:dyDescent="0.35">
      <c r="G2051" s="3"/>
      <c r="H2051" s="3"/>
      <c r="I2051" s="3"/>
      <c r="J2051" s="3"/>
    </row>
    <row r="2052" spans="7:10" x14ac:dyDescent="0.35">
      <c r="G2052" s="3"/>
      <c r="H2052" s="3"/>
      <c r="I2052" s="3"/>
      <c r="J2052" s="3"/>
    </row>
    <row r="2053" spans="7:10" x14ac:dyDescent="0.35">
      <c r="G2053" s="3"/>
      <c r="H2053" s="3"/>
      <c r="I2053" s="3"/>
      <c r="J2053" s="3"/>
    </row>
    <row r="2054" spans="7:10" x14ac:dyDescent="0.35">
      <c r="G2054" s="3"/>
      <c r="H2054" s="3"/>
      <c r="I2054" s="3"/>
      <c r="J2054" s="3"/>
    </row>
    <row r="2055" spans="7:10" x14ac:dyDescent="0.35">
      <c r="G2055" s="3"/>
      <c r="H2055" s="3"/>
      <c r="I2055" s="3"/>
      <c r="J2055" s="3"/>
    </row>
    <row r="2056" spans="7:10" x14ac:dyDescent="0.35">
      <c r="G2056" s="3"/>
      <c r="H2056" s="3"/>
      <c r="I2056" s="3"/>
      <c r="J2056" s="3"/>
    </row>
    <row r="2057" spans="7:10" x14ac:dyDescent="0.35">
      <c r="G2057" s="3"/>
      <c r="H2057" s="3"/>
      <c r="I2057" s="3"/>
      <c r="J2057" s="3"/>
    </row>
    <row r="2058" spans="7:10" x14ac:dyDescent="0.35">
      <c r="G2058" s="3"/>
      <c r="H2058" s="3"/>
      <c r="I2058" s="3"/>
      <c r="J2058" s="3"/>
    </row>
    <row r="2059" spans="7:10" x14ac:dyDescent="0.35">
      <c r="G2059" s="3"/>
      <c r="H2059" s="3"/>
      <c r="I2059" s="3"/>
      <c r="J2059" s="3"/>
    </row>
    <row r="2060" spans="7:10" x14ac:dyDescent="0.35">
      <c r="G2060" s="3"/>
      <c r="H2060" s="3"/>
      <c r="I2060" s="3"/>
      <c r="J2060" s="3"/>
    </row>
    <row r="2061" spans="7:10" x14ac:dyDescent="0.35">
      <c r="G2061" s="3"/>
      <c r="H2061" s="3"/>
      <c r="I2061" s="3"/>
      <c r="J2061" s="3"/>
    </row>
    <row r="2062" spans="7:10" x14ac:dyDescent="0.35">
      <c r="G2062" s="3"/>
      <c r="H2062" s="3"/>
      <c r="I2062" s="3"/>
      <c r="J2062" s="3"/>
    </row>
    <row r="2063" spans="7:10" x14ac:dyDescent="0.35">
      <c r="G2063" s="3"/>
      <c r="H2063" s="3"/>
      <c r="I2063" s="3"/>
      <c r="J2063" s="3"/>
    </row>
    <row r="2064" spans="7:10" x14ac:dyDescent="0.35">
      <c r="G2064" s="3"/>
      <c r="H2064" s="3"/>
      <c r="I2064" s="3"/>
      <c r="J2064" s="3"/>
    </row>
    <row r="2065" spans="7:10" x14ac:dyDescent="0.35">
      <c r="G2065" s="3"/>
      <c r="H2065" s="3"/>
      <c r="I2065" s="3"/>
      <c r="J2065" s="3"/>
    </row>
    <row r="2066" spans="7:10" x14ac:dyDescent="0.35">
      <c r="G2066" s="3"/>
      <c r="H2066" s="3"/>
      <c r="I2066" s="3"/>
      <c r="J2066" s="3"/>
    </row>
    <row r="2067" spans="7:10" x14ac:dyDescent="0.35">
      <c r="G2067" s="3"/>
      <c r="H2067" s="3"/>
      <c r="I2067" s="3"/>
      <c r="J2067" s="3"/>
    </row>
    <row r="2068" spans="7:10" x14ac:dyDescent="0.35">
      <c r="G2068" s="3"/>
      <c r="H2068" s="3"/>
      <c r="I2068" s="3"/>
      <c r="J2068" s="3"/>
    </row>
    <row r="2069" spans="7:10" x14ac:dyDescent="0.35">
      <c r="G2069" s="3"/>
      <c r="H2069" s="3"/>
      <c r="I2069" s="3"/>
      <c r="J2069" s="3"/>
    </row>
    <row r="2070" spans="7:10" x14ac:dyDescent="0.35">
      <c r="G2070" s="3"/>
      <c r="H2070" s="3"/>
      <c r="I2070" s="3"/>
      <c r="J2070" s="3"/>
    </row>
    <row r="2071" spans="7:10" x14ac:dyDescent="0.35">
      <c r="G2071" s="3"/>
      <c r="H2071" s="3"/>
      <c r="I2071" s="3"/>
      <c r="J2071" s="3"/>
    </row>
    <row r="2072" spans="7:10" x14ac:dyDescent="0.35">
      <c r="G2072" s="3"/>
      <c r="H2072" s="3"/>
      <c r="I2072" s="3"/>
      <c r="J2072" s="3"/>
    </row>
    <row r="2073" spans="7:10" x14ac:dyDescent="0.35">
      <c r="G2073" s="3"/>
      <c r="H2073" s="3"/>
      <c r="I2073" s="3"/>
      <c r="J2073" s="3"/>
    </row>
    <row r="2074" spans="7:10" x14ac:dyDescent="0.35">
      <c r="G2074" s="3"/>
      <c r="H2074" s="3"/>
      <c r="I2074" s="3"/>
      <c r="J2074" s="3"/>
    </row>
    <row r="2075" spans="7:10" x14ac:dyDescent="0.35">
      <c r="G2075" s="3"/>
      <c r="H2075" s="3"/>
      <c r="I2075" s="3"/>
      <c r="J2075" s="3"/>
    </row>
    <row r="2076" spans="7:10" x14ac:dyDescent="0.35">
      <c r="G2076" s="3"/>
      <c r="H2076" s="3"/>
      <c r="I2076" s="3"/>
      <c r="J2076" s="3"/>
    </row>
    <row r="2077" spans="7:10" x14ac:dyDescent="0.35">
      <c r="G2077" s="3"/>
      <c r="H2077" s="3"/>
      <c r="I2077" s="3"/>
      <c r="J2077" s="3"/>
    </row>
    <row r="2078" spans="7:10" x14ac:dyDescent="0.35">
      <c r="G2078" s="3"/>
      <c r="H2078" s="3"/>
      <c r="I2078" s="3"/>
      <c r="J2078" s="3"/>
    </row>
    <row r="2079" spans="7:10" x14ac:dyDescent="0.35">
      <c r="G2079" s="3"/>
      <c r="H2079" s="3"/>
      <c r="I2079" s="3"/>
      <c r="J2079" s="3"/>
    </row>
    <row r="2080" spans="7:10" x14ac:dyDescent="0.35">
      <c r="G2080" s="3"/>
      <c r="H2080" s="3"/>
      <c r="I2080" s="3"/>
      <c r="J2080" s="3"/>
    </row>
    <row r="2081" spans="7:10" x14ac:dyDescent="0.35">
      <c r="G2081" s="3"/>
      <c r="H2081" s="3"/>
      <c r="I2081" s="3"/>
      <c r="J2081" s="3"/>
    </row>
    <row r="2082" spans="7:10" x14ac:dyDescent="0.35">
      <c r="G2082" s="3"/>
      <c r="H2082" s="3"/>
      <c r="I2082" s="3"/>
      <c r="J2082" s="3"/>
    </row>
    <row r="2083" spans="7:10" x14ac:dyDescent="0.35">
      <c r="G2083" s="3"/>
      <c r="H2083" s="3"/>
      <c r="I2083" s="3"/>
      <c r="J2083" s="3"/>
    </row>
    <row r="2084" spans="7:10" x14ac:dyDescent="0.35">
      <c r="G2084" s="3"/>
      <c r="H2084" s="3"/>
      <c r="I2084" s="3"/>
      <c r="J2084" s="3"/>
    </row>
    <row r="2085" spans="7:10" x14ac:dyDescent="0.35">
      <c r="G2085" s="3"/>
      <c r="H2085" s="3"/>
      <c r="I2085" s="3"/>
      <c r="J2085" s="3"/>
    </row>
    <row r="2086" spans="7:10" x14ac:dyDescent="0.35">
      <c r="G2086" s="3"/>
      <c r="H2086" s="3"/>
      <c r="I2086" s="3"/>
      <c r="J2086" s="3"/>
    </row>
    <row r="2087" spans="7:10" x14ac:dyDescent="0.35">
      <c r="G2087" s="3"/>
      <c r="H2087" s="3"/>
      <c r="I2087" s="3"/>
      <c r="J2087" s="3"/>
    </row>
    <row r="2088" spans="7:10" x14ac:dyDescent="0.35">
      <c r="G2088" s="3"/>
      <c r="H2088" s="3"/>
      <c r="I2088" s="3"/>
      <c r="J2088" s="3"/>
    </row>
    <row r="2089" spans="7:10" x14ac:dyDescent="0.35">
      <c r="G2089" s="3"/>
      <c r="H2089" s="3"/>
      <c r="I2089" s="3"/>
      <c r="J2089" s="3"/>
    </row>
    <row r="2090" spans="7:10" x14ac:dyDescent="0.35">
      <c r="G2090" s="3"/>
      <c r="H2090" s="3"/>
      <c r="I2090" s="3"/>
      <c r="J2090" s="3"/>
    </row>
    <row r="2091" spans="7:10" x14ac:dyDescent="0.35">
      <c r="G2091" s="3"/>
      <c r="H2091" s="3"/>
      <c r="I2091" s="3"/>
      <c r="J2091" s="3"/>
    </row>
    <row r="2092" spans="7:10" x14ac:dyDescent="0.35">
      <c r="G2092" s="3"/>
      <c r="H2092" s="3"/>
      <c r="I2092" s="3"/>
      <c r="J2092" s="3"/>
    </row>
    <row r="2093" spans="7:10" x14ac:dyDescent="0.35">
      <c r="G2093" s="3"/>
      <c r="H2093" s="3"/>
      <c r="I2093" s="3"/>
      <c r="J2093" s="3"/>
    </row>
    <row r="2094" spans="7:10" x14ac:dyDescent="0.35">
      <c r="G2094" s="3"/>
      <c r="H2094" s="3"/>
      <c r="I2094" s="3"/>
      <c r="J2094" s="3"/>
    </row>
    <row r="2095" spans="7:10" x14ac:dyDescent="0.35">
      <c r="G2095" s="3"/>
      <c r="H2095" s="3"/>
      <c r="I2095" s="3"/>
      <c r="J2095" s="3"/>
    </row>
    <row r="2096" spans="7:10" x14ac:dyDescent="0.35">
      <c r="G2096" s="3"/>
      <c r="H2096" s="3"/>
      <c r="I2096" s="3"/>
      <c r="J2096" s="3"/>
    </row>
    <row r="2097" spans="7:10" x14ac:dyDescent="0.35">
      <c r="G2097" s="3"/>
      <c r="H2097" s="3"/>
      <c r="I2097" s="3"/>
      <c r="J2097" s="3"/>
    </row>
    <row r="2098" spans="7:10" x14ac:dyDescent="0.35">
      <c r="G2098" s="3"/>
      <c r="H2098" s="3"/>
      <c r="I2098" s="3"/>
      <c r="J2098" s="3"/>
    </row>
    <row r="2099" spans="7:10" x14ac:dyDescent="0.35">
      <c r="G2099" s="3"/>
      <c r="H2099" s="3"/>
      <c r="I2099" s="3"/>
      <c r="J2099" s="3"/>
    </row>
    <row r="2100" spans="7:10" x14ac:dyDescent="0.35">
      <c r="G2100" s="3"/>
      <c r="H2100" s="3"/>
      <c r="I2100" s="3"/>
      <c r="J2100" s="3"/>
    </row>
    <row r="2101" spans="7:10" x14ac:dyDescent="0.35">
      <c r="G2101" s="3"/>
      <c r="H2101" s="3"/>
      <c r="I2101" s="3"/>
      <c r="J2101" s="3"/>
    </row>
    <row r="2102" spans="7:10" x14ac:dyDescent="0.35">
      <c r="G2102" s="3"/>
      <c r="H2102" s="3"/>
      <c r="I2102" s="3"/>
      <c r="J2102" s="3"/>
    </row>
    <row r="2103" spans="7:10" x14ac:dyDescent="0.35">
      <c r="G2103" s="3"/>
      <c r="H2103" s="3"/>
      <c r="I2103" s="3"/>
      <c r="J2103" s="3"/>
    </row>
    <row r="2104" spans="7:10" x14ac:dyDescent="0.35">
      <c r="G2104" s="3"/>
      <c r="H2104" s="3"/>
      <c r="I2104" s="3"/>
      <c r="J2104" s="3"/>
    </row>
    <row r="2105" spans="7:10" x14ac:dyDescent="0.35">
      <c r="G2105" s="3"/>
      <c r="H2105" s="3"/>
      <c r="I2105" s="3"/>
      <c r="J2105" s="3"/>
    </row>
    <row r="2106" spans="7:10" x14ac:dyDescent="0.35">
      <c r="G2106" s="3"/>
      <c r="H2106" s="3"/>
      <c r="I2106" s="3"/>
      <c r="J2106" s="3"/>
    </row>
    <row r="2107" spans="7:10" x14ac:dyDescent="0.35">
      <c r="G2107" s="3"/>
      <c r="H2107" s="3"/>
      <c r="I2107" s="3"/>
      <c r="J2107" s="3"/>
    </row>
    <row r="2108" spans="7:10" x14ac:dyDescent="0.35">
      <c r="G2108" s="3"/>
      <c r="H2108" s="3"/>
      <c r="I2108" s="3"/>
      <c r="J2108" s="3"/>
    </row>
    <row r="2109" spans="7:10" x14ac:dyDescent="0.35">
      <c r="G2109" s="3"/>
      <c r="H2109" s="3"/>
      <c r="I2109" s="3"/>
      <c r="J2109" s="3"/>
    </row>
    <row r="2110" spans="7:10" x14ac:dyDescent="0.35">
      <c r="G2110" s="3"/>
      <c r="H2110" s="3"/>
      <c r="I2110" s="3"/>
      <c r="J2110" s="3"/>
    </row>
    <row r="2111" spans="7:10" x14ac:dyDescent="0.35">
      <c r="G2111" s="3"/>
      <c r="H2111" s="3"/>
      <c r="I2111" s="3"/>
      <c r="J2111" s="3"/>
    </row>
    <row r="2112" spans="7:10" x14ac:dyDescent="0.35">
      <c r="G2112" s="3"/>
      <c r="H2112" s="3"/>
      <c r="I2112" s="3"/>
      <c r="J2112" s="3"/>
    </row>
    <row r="2113" spans="7:10" x14ac:dyDescent="0.35">
      <c r="G2113" s="3"/>
      <c r="H2113" s="3"/>
      <c r="I2113" s="3"/>
      <c r="J2113" s="3"/>
    </row>
    <row r="2114" spans="7:10" x14ac:dyDescent="0.35">
      <c r="G2114" s="3"/>
      <c r="H2114" s="3"/>
      <c r="I2114" s="3"/>
      <c r="J2114" s="3"/>
    </row>
    <row r="2115" spans="7:10" x14ac:dyDescent="0.35">
      <c r="G2115" s="3"/>
      <c r="H2115" s="3"/>
      <c r="I2115" s="3"/>
      <c r="J2115" s="3"/>
    </row>
    <row r="2116" spans="7:10" x14ac:dyDescent="0.35">
      <c r="G2116" s="3"/>
      <c r="H2116" s="3"/>
      <c r="I2116" s="3"/>
      <c r="J2116" s="3"/>
    </row>
    <row r="2117" spans="7:10" x14ac:dyDescent="0.35">
      <c r="G2117" s="3"/>
      <c r="H2117" s="3"/>
      <c r="I2117" s="3"/>
      <c r="J2117" s="3"/>
    </row>
    <row r="2118" spans="7:10" x14ac:dyDescent="0.35">
      <c r="G2118" s="3"/>
      <c r="H2118" s="3"/>
      <c r="I2118" s="3"/>
      <c r="J2118" s="3"/>
    </row>
    <row r="2119" spans="7:10" x14ac:dyDescent="0.35">
      <c r="G2119" s="3"/>
      <c r="H2119" s="3"/>
      <c r="I2119" s="3"/>
      <c r="J2119" s="3"/>
    </row>
    <row r="2120" spans="7:10" x14ac:dyDescent="0.35">
      <c r="G2120" s="3"/>
      <c r="H2120" s="3"/>
      <c r="I2120" s="3"/>
      <c r="J2120" s="3"/>
    </row>
    <row r="2121" spans="7:10" x14ac:dyDescent="0.35">
      <c r="G2121" s="3"/>
      <c r="H2121" s="3"/>
      <c r="I2121" s="3"/>
      <c r="J2121" s="3"/>
    </row>
    <row r="2122" spans="7:10" x14ac:dyDescent="0.35">
      <c r="G2122" s="3"/>
      <c r="H2122" s="3"/>
      <c r="I2122" s="3"/>
      <c r="J2122" s="3"/>
    </row>
    <row r="2123" spans="7:10" x14ac:dyDescent="0.35">
      <c r="G2123" s="3"/>
      <c r="H2123" s="3"/>
      <c r="I2123" s="3"/>
      <c r="J2123" s="3"/>
    </row>
    <row r="2124" spans="7:10" x14ac:dyDescent="0.35">
      <c r="G2124" s="3"/>
      <c r="H2124" s="3"/>
      <c r="I2124" s="3"/>
      <c r="J2124" s="3"/>
    </row>
    <row r="2125" spans="7:10" x14ac:dyDescent="0.35">
      <c r="G2125" s="3"/>
      <c r="H2125" s="3"/>
      <c r="I2125" s="3"/>
      <c r="J2125" s="3"/>
    </row>
    <row r="2126" spans="7:10" x14ac:dyDescent="0.35">
      <c r="G2126" s="3"/>
      <c r="H2126" s="3"/>
      <c r="I2126" s="3"/>
      <c r="J2126" s="3"/>
    </row>
    <row r="2127" spans="7:10" x14ac:dyDescent="0.35">
      <c r="G2127" s="3"/>
      <c r="H2127" s="3"/>
      <c r="I2127" s="3"/>
      <c r="J2127" s="3"/>
    </row>
    <row r="2128" spans="7:10" x14ac:dyDescent="0.35">
      <c r="G2128" s="3"/>
      <c r="H2128" s="3"/>
      <c r="I2128" s="3"/>
      <c r="J2128" s="3"/>
    </row>
    <row r="2129" spans="7:10" x14ac:dyDescent="0.35">
      <c r="G2129" s="3"/>
      <c r="H2129" s="3"/>
      <c r="I2129" s="3"/>
      <c r="J2129" s="3"/>
    </row>
    <row r="2130" spans="7:10" x14ac:dyDescent="0.35">
      <c r="G2130" s="3"/>
      <c r="H2130" s="3"/>
      <c r="I2130" s="3"/>
      <c r="J2130" s="3"/>
    </row>
    <row r="2131" spans="7:10" x14ac:dyDescent="0.35">
      <c r="G2131" s="3"/>
      <c r="H2131" s="3"/>
      <c r="I2131" s="3"/>
      <c r="J2131" s="3"/>
    </row>
    <row r="2132" spans="7:10" x14ac:dyDescent="0.35">
      <c r="G2132" s="3"/>
      <c r="H2132" s="3"/>
      <c r="I2132" s="3"/>
      <c r="J2132" s="3"/>
    </row>
    <row r="2133" spans="7:10" x14ac:dyDescent="0.35">
      <c r="G2133" s="3"/>
      <c r="H2133" s="3"/>
      <c r="I2133" s="3"/>
      <c r="J2133" s="3"/>
    </row>
    <row r="2134" spans="7:10" x14ac:dyDescent="0.35">
      <c r="G2134" s="3"/>
      <c r="H2134" s="3"/>
      <c r="I2134" s="3"/>
      <c r="J2134" s="3"/>
    </row>
    <row r="2135" spans="7:10" x14ac:dyDescent="0.35">
      <c r="G2135" s="3"/>
      <c r="H2135" s="3"/>
      <c r="I2135" s="3"/>
      <c r="J2135" s="3"/>
    </row>
    <row r="2136" spans="7:10" x14ac:dyDescent="0.35">
      <c r="G2136" s="3"/>
      <c r="H2136" s="3"/>
      <c r="I2136" s="3"/>
      <c r="J2136" s="3"/>
    </row>
    <row r="2137" spans="7:10" x14ac:dyDescent="0.35">
      <c r="G2137" s="3"/>
      <c r="H2137" s="3"/>
      <c r="I2137" s="3"/>
      <c r="J2137" s="3"/>
    </row>
    <row r="2138" spans="7:10" x14ac:dyDescent="0.35">
      <c r="G2138" s="3"/>
      <c r="H2138" s="3"/>
      <c r="I2138" s="3"/>
      <c r="J2138" s="3"/>
    </row>
    <row r="2139" spans="7:10" x14ac:dyDescent="0.35">
      <c r="G2139" s="3"/>
      <c r="H2139" s="3"/>
      <c r="I2139" s="3"/>
      <c r="J2139" s="3"/>
    </row>
    <row r="2140" spans="7:10" x14ac:dyDescent="0.35">
      <c r="G2140" s="3"/>
      <c r="H2140" s="3"/>
      <c r="I2140" s="3"/>
      <c r="J2140" s="3"/>
    </row>
    <row r="2141" spans="7:10" x14ac:dyDescent="0.35">
      <c r="G2141" s="3"/>
      <c r="H2141" s="3"/>
      <c r="I2141" s="3"/>
      <c r="J2141" s="3"/>
    </row>
    <row r="2142" spans="7:10" x14ac:dyDescent="0.35">
      <c r="G2142" s="3"/>
      <c r="H2142" s="3"/>
      <c r="I2142" s="3"/>
      <c r="J2142" s="3"/>
    </row>
    <row r="2143" spans="7:10" x14ac:dyDescent="0.35">
      <c r="G2143" s="3"/>
      <c r="H2143" s="3"/>
      <c r="I2143" s="3"/>
      <c r="J2143" s="3"/>
    </row>
    <row r="2144" spans="7:10" x14ac:dyDescent="0.35">
      <c r="G2144" s="3"/>
      <c r="H2144" s="3"/>
      <c r="I2144" s="3"/>
      <c r="J2144" s="3"/>
    </row>
    <row r="2145" spans="7:10" x14ac:dyDescent="0.35">
      <c r="G2145" s="3"/>
      <c r="H2145" s="3"/>
      <c r="I2145" s="3"/>
      <c r="J2145" s="3"/>
    </row>
    <row r="2146" spans="7:10" x14ac:dyDescent="0.35">
      <c r="G2146" s="3"/>
      <c r="H2146" s="3"/>
      <c r="I2146" s="3"/>
      <c r="J2146" s="3"/>
    </row>
    <row r="2147" spans="7:10" x14ac:dyDescent="0.35">
      <c r="G2147" s="3"/>
      <c r="H2147" s="3"/>
      <c r="I2147" s="3"/>
      <c r="J2147" s="3"/>
    </row>
    <row r="2148" spans="7:10" x14ac:dyDescent="0.35">
      <c r="G2148" s="3"/>
      <c r="H2148" s="3"/>
      <c r="I2148" s="3"/>
      <c r="J2148" s="3"/>
    </row>
    <row r="2149" spans="7:10" x14ac:dyDescent="0.35">
      <c r="G2149" s="3"/>
      <c r="H2149" s="3"/>
      <c r="I2149" s="3"/>
      <c r="J2149" s="3"/>
    </row>
    <row r="2150" spans="7:10" x14ac:dyDescent="0.35">
      <c r="G2150" s="3"/>
      <c r="H2150" s="3"/>
      <c r="I2150" s="3"/>
      <c r="J2150" s="3"/>
    </row>
    <row r="2151" spans="7:10" x14ac:dyDescent="0.35">
      <c r="G2151" s="3"/>
      <c r="H2151" s="3"/>
      <c r="I2151" s="3"/>
      <c r="J2151" s="3"/>
    </row>
    <row r="2152" spans="7:10" x14ac:dyDescent="0.35">
      <c r="G2152" s="3"/>
      <c r="H2152" s="3"/>
      <c r="I2152" s="3"/>
      <c r="J2152" s="3"/>
    </row>
    <row r="2153" spans="7:10" x14ac:dyDescent="0.35">
      <c r="G2153" s="3"/>
      <c r="H2153" s="3"/>
      <c r="I2153" s="3"/>
      <c r="J2153" s="3"/>
    </row>
    <row r="2154" spans="7:10" x14ac:dyDescent="0.35">
      <c r="G2154" s="3"/>
      <c r="H2154" s="3"/>
      <c r="I2154" s="3"/>
      <c r="J2154" s="3"/>
    </row>
    <row r="2155" spans="7:10" x14ac:dyDescent="0.35">
      <c r="G2155" s="3"/>
      <c r="H2155" s="3"/>
      <c r="I2155" s="3"/>
      <c r="J2155" s="3"/>
    </row>
    <row r="2156" spans="7:10" x14ac:dyDescent="0.35">
      <c r="G2156" s="3"/>
      <c r="H2156" s="3"/>
      <c r="I2156" s="3"/>
      <c r="J2156" s="3"/>
    </row>
    <row r="2157" spans="7:10" x14ac:dyDescent="0.35">
      <c r="G2157" s="3"/>
      <c r="H2157" s="3"/>
      <c r="I2157" s="3"/>
      <c r="J2157" s="3"/>
    </row>
    <row r="2158" spans="7:10" x14ac:dyDescent="0.35">
      <c r="G2158" s="3"/>
      <c r="H2158" s="3"/>
      <c r="I2158" s="3"/>
      <c r="J2158" s="3"/>
    </row>
    <row r="2159" spans="7:10" x14ac:dyDescent="0.35">
      <c r="G2159" s="3"/>
      <c r="H2159" s="3"/>
      <c r="I2159" s="3"/>
      <c r="J2159" s="3"/>
    </row>
    <row r="2160" spans="7:10" x14ac:dyDescent="0.35">
      <c r="G2160" s="3"/>
      <c r="H2160" s="3"/>
      <c r="I2160" s="3"/>
      <c r="J2160" s="3"/>
    </row>
    <row r="2161" spans="7:10" x14ac:dyDescent="0.35">
      <c r="G2161" s="3"/>
      <c r="H2161" s="3"/>
      <c r="I2161" s="3"/>
      <c r="J2161" s="3"/>
    </row>
    <row r="2162" spans="7:10" x14ac:dyDescent="0.35">
      <c r="G2162" s="3"/>
      <c r="H2162" s="3"/>
      <c r="I2162" s="3"/>
      <c r="J2162" s="3"/>
    </row>
    <row r="2163" spans="7:10" x14ac:dyDescent="0.35">
      <c r="G2163" s="3"/>
      <c r="H2163" s="3"/>
      <c r="I2163" s="3"/>
      <c r="J2163" s="3"/>
    </row>
    <row r="2164" spans="7:10" x14ac:dyDescent="0.35">
      <c r="G2164" s="3"/>
      <c r="H2164" s="3"/>
      <c r="I2164" s="3"/>
      <c r="J2164" s="3"/>
    </row>
    <row r="2165" spans="7:10" x14ac:dyDescent="0.35">
      <c r="G2165" s="3"/>
      <c r="H2165" s="3"/>
      <c r="I2165" s="3"/>
      <c r="J2165" s="3"/>
    </row>
    <row r="2166" spans="7:10" x14ac:dyDescent="0.35">
      <c r="G2166" s="3"/>
      <c r="H2166" s="3"/>
      <c r="I2166" s="3"/>
      <c r="J2166" s="3"/>
    </row>
    <row r="2167" spans="7:10" x14ac:dyDescent="0.35">
      <c r="G2167" s="3"/>
      <c r="H2167" s="3"/>
      <c r="I2167" s="3"/>
      <c r="J2167" s="3"/>
    </row>
    <row r="2168" spans="7:10" x14ac:dyDescent="0.35">
      <c r="G2168" s="3"/>
      <c r="H2168" s="3"/>
      <c r="I2168" s="3"/>
      <c r="J2168" s="3"/>
    </row>
    <row r="2169" spans="7:10" x14ac:dyDescent="0.35">
      <c r="G2169" s="3"/>
      <c r="H2169" s="3"/>
      <c r="I2169" s="3"/>
      <c r="J2169" s="3"/>
    </row>
    <row r="2170" spans="7:10" x14ac:dyDescent="0.35">
      <c r="G2170" s="3"/>
      <c r="H2170" s="3"/>
      <c r="I2170" s="3"/>
      <c r="J2170" s="3"/>
    </row>
    <row r="2171" spans="7:10" x14ac:dyDescent="0.35">
      <c r="G2171" s="3"/>
      <c r="H2171" s="3"/>
      <c r="I2171" s="3"/>
      <c r="J2171" s="3"/>
    </row>
    <row r="2172" spans="7:10" x14ac:dyDescent="0.35">
      <c r="G2172" s="3"/>
      <c r="H2172" s="3"/>
      <c r="I2172" s="3"/>
      <c r="J2172" s="3"/>
    </row>
    <row r="2173" spans="7:10" x14ac:dyDescent="0.35">
      <c r="G2173" s="3"/>
      <c r="H2173" s="3"/>
      <c r="I2173" s="3"/>
      <c r="J2173" s="3"/>
    </row>
    <row r="2174" spans="7:10" x14ac:dyDescent="0.35">
      <c r="G2174" s="3"/>
      <c r="H2174" s="3"/>
      <c r="I2174" s="3"/>
      <c r="J2174" s="3"/>
    </row>
    <row r="2175" spans="7:10" x14ac:dyDescent="0.35">
      <c r="G2175" s="3"/>
      <c r="H2175" s="3"/>
      <c r="I2175" s="3"/>
      <c r="J2175" s="3"/>
    </row>
    <row r="2176" spans="7:10" x14ac:dyDescent="0.35">
      <c r="G2176" s="3"/>
      <c r="H2176" s="3"/>
      <c r="I2176" s="3"/>
      <c r="J2176" s="3"/>
    </row>
    <row r="2177" spans="7:10" x14ac:dyDescent="0.35">
      <c r="G2177" s="3"/>
      <c r="H2177" s="3"/>
      <c r="I2177" s="3"/>
      <c r="J2177" s="3"/>
    </row>
    <row r="2178" spans="7:10" x14ac:dyDescent="0.35">
      <c r="G2178" s="3"/>
      <c r="H2178" s="3"/>
      <c r="I2178" s="3"/>
      <c r="J2178" s="3"/>
    </row>
    <row r="2179" spans="7:10" x14ac:dyDescent="0.35">
      <c r="G2179" s="3"/>
      <c r="H2179" s="3"/>
      <c r="I2179" s="3"/>
      <c r="J2179" s="3"/>
    </row>
    <row r="2180" spans="7:10" x14ac:dyDescent="0.35">
      <c r="G2180" s="3"/>
      <c r="H2180" s="3"/>
      <c r="I2180" s="3"/>
      <c r="J2180" s="3"/>
    </row>
    <row r="2181" spans="7:10" x14ac:dyDescent="0.35">
      <c r="G2181" s="3"/>
      <c r="H2181" s="3"/>
      <c r="I2181" s="3"/>
      <c r="J2181" s="3"/>
    </row>
    <row r="2182" spans="7:10" x14ac:dyDescent="0.35">
      <c r="G2182" s="3"/>
      <c r="H2182" s="3"/>
      <c r="I2182" s="3"/>
      <c r="J2182" s="3"/>
    </row>
    <row r="2183" spans="7:10" x14ac:dyDescent="0.35">
      <c r="G2183" s="3"/>
      <c r="H2183" s="3"/>
      <c r="I2183" s="3"/>
      <c r="J2183" s="3"/>
    </row>
    <row r="2184" spans="7:10" x14ac:dyDescent="0.35">
      <c r="G2184" s="3"/>
      <c r="H2184" s="3"/>
      <c r="I2184" s="3"/>
      <c r="J2184" s="3"/>
    </row>
    <row r="2185" spans="7:10" x14ac:dyDescent="0.35">
      <c r="G2185" s="3"/>
      <c r="H2185" s="3"/>
      <c r="I2185" s="3"/>
      <c r="J2185" s="3"/>
    </row>
    <row r="2186" spans="7:10" x14ac:dyDescent="0.35">
      <c r="G2186" s="3"/>
      <c r="H2186" s="3"/>
      <c r="I2186" s="3"/>
      <c r="J2186" s="3"/>
    </row>
    <row r="2187" spans="7:10" x14ac:dyDescent="0.35">
      <c r="G2187" s="3"/>
      <c r="H2187" s="3"/>
      <c r="I2187" s="3"/>
      <c r="J2187" s="3"/>
    </row>
    <row r="2188" spans="7:10" x14ac:dyDescent="0.35">
      <c r="G2188" s="3"/>
      <c r="H2188" s="3"/>
      <c r="I2188" s="3"/>
      <c r="J2188" s="3"/>
    </row>
    <row r="2189" spans="7:10" x14ac:dyDescent="0.35">
      <c r="G2189" s="3"/>
      <c r="H2189" s="3"/>
      <c r="I2189" s="3"/>
      <c r="J2189" s="3"/>
    </row>
    <row r="2190" spans="7:10" x14ac:dyDescent="0.35">
      <c r="G2190" s="3"/>
      <c r="H2190" s="3"/>
      <c r="I2190" s="3"/>
      <c r="J2190" s="3"/>
    </row>
    <row r="2191" spans="7:10" x14ac:dyDescent="0.35">
      <c r="G2191" s="3"/>
      <c r="H2191" s="3"/>
      <c r="I2191" s="3"/>
      <c r="J2191" s="3"/>
    </row>
    <row r="2192" spans="7:10" x14ac:dyDescent="0.35">
      <c r="G2192" s="3"/>
      <c r="H2192" s="3"/>
      <c r="I2192" s="3"/>
      <c r="J2192" s="3"/>
    </row>
    <row r="2193" spans="7:10" x14ac:dyDescent="0.35">
      <c r="G2193" s="3"/>
      <c r="H2193" s="3"/>
      <c r="I2193" s="3"/>
      <c r="J2193" s="3"/>
    </row>
    <row r="2194" spans="7:10" x14ac:dyDescent="0.35">
      <c r="G2194" s="3"/>
      <c r="H2194" s="3"/>
      <c r="I2194" s="3"/>
      <c r="J2194" s="3"/>
    </row>
    <row r="2195" spans="7:10" x14ac:dyDescent="0.35">
      <c r="G2195" s="3"/>
      <c r="H2195" s="3"/>
      <c r="I2195" s="3"/>
      <c r="J2195" s="3"/>
    </row>
    <row r="2196" spans="7:10" x14ac:dyDescent="0.35">
      <c r="G2196" s="3"/>
      <c r="H2196" s="3"/>
      <c r="I2196" s="3"/>
      <c r="J2196" s="3"/>
    </row>
    <row r="2197" spans="7:10" x14ac:dyDescent="0.35">
      <c r="G2197" s="3"/>
      <c r="H2197" s="3"/>
      <c r="I2197" s="3"/>
      <c r="J2197" s="3"/>
    </row>
    <row r="2198" spans="7:10" x14ac:dyDescent="0.35">
      <c r="G2198" s="3"/>
      <c r="H2198" s="3"/>
      <c r="I2198" s="3"/>
      <c r="J2198" s="3"/>
    </row>
    <row r="2199" spans="7:10" x14ac:dyDescent="0.35">
      <c r="G2199" s="3"/>
      <c r="H2199" s="3"/>
      <c r="I2199" s="3"/>
      <c r="J2199" s="3"/>
    </row>
    <row r="2200" spans="7:10" x14ac:dyDescent="0.35">
      <c r="G2200" s="3"/>
      <c r="H2200" s="3"/>
      <c r="I2200" s="3"/>
      <c r="J2200" s="3"/>
    </row>
    <row r="2201" spans="7:10" x14ac:dyDescent="0.35">
      <c r="G2201" s="3"/>
      <c r="H2201" s="3"/>
      <c r="I2201" s="3"/>
      <c r="J2201" s="3"/>
    </row>
    <row r="2202" spans="7:10" x14ac:dyDescent="0.35">
      <c r="G2202" s="3"/>
      <c r="H2202" s="3"/>
      <c r="I2202" s="3"/>
      <c r="J2202" s="3"/>
    </row>
    <row r="2203" spans="7:10" x14ac:dyDescent="0.35">
      <c r="G2203" s="3"/>
      <c r="H2203" s="3"/>
      <c r="I2203" s="3"/>
      <c r="J2203" s="3"/>
    </row>
    <row r="2204" spans="7:10" x14ac:dyDescent="0.35">
      <c r="G2204" s="3"/>
      <c r="H2204" s="3"/>
      <c r="I2204" s="3"/>
      <c r="J2204" s="3"/>
    </row>
    <row r="2205" spans="7:10" x14ac:dyDescent="0.35">
      <c r="G2205" s="3"/>
      <c r="H2205" s="3"/>
      <c r="I2205" s="3"/>
      <c r="J2205" s="3"/>
    </row>
    <row r="2206" spans="7:10" x14ac:dyDescent="0.35">
      <c r="G2206" s="3"/>
      <c r="H2206" s="3"/>
      <c r="I2206" s="3"/>
      <c r="J2206" s="3"/>
    </row>
    <row r="2207" spans="7:10" x14ac:dyDescent="0.35">
      <c r="G2207" s="3"/>
      <c r="H2207" s="3"/>
      <c r="I2207" s="3"/>
      <c r="J2207" s="3"/>
    </row>
    <row r="2208" spans="7:10" x14ac:dyDescent="0.35">
      <c r="G2208" s="3"/>
      <c r="H2208" s="3"/>
      <c r="I2208" s="3"/>
      <c r="J2208" s="3"/>
    </row>
    <row r="2209" spans="7:10" x14ac:dyDescent="0.35">
      <c r="G2209" s="3"/>
      <c r="H2209" s="3"/>
      <c r="I2209" s="3"/>
      <c r="J2209" s="3"/>
    </row>
    <row r="2210" spans="7:10" x14ac:dyDescent="0.35">
      <c r="G2210" s="3"/>
      <c r="H2210" s="3"/>
      <c r="I2210" s="3"/>
      <c r="J2210" s="3"/>
    </row>
    <row r="2211" spans="7:10" x14ac:dyDescent="0.35">
      <c r="G2211" s="3"/>
      <c r="H2211" s="3"/>
      <c r="I2211" s="3"/>
      <c r="J2211" s="3"/>
    </row>
    <row r="2212" spans="7:10" x14ac:dyDescent="0.35">
      <c r="G2212" s="3"/>
      <c r="H2212" s="3"/>
      <c r="I2212" s="3"/>
      <c r="J2212" s="3"/>
    </row>
    <row r="2213" spans="7:10" x14ac:dyDescent="0.35">
      <c r="G2213" s="3"/>
      <c r="H2213" s="3"/>
      <c r="I2213" s="3"/>
      <c r="J2213" s="3"/>
    </row>
    <row r="2214" spans="7:10" x14ac:dyDescent="0.35">
      <c r="G2214" s="3"/>
      <c r="H2214" s="3"/>
      <c r="I2214" s="3"/>
      <c r="J2214" s="3"/>
    </row>
    <row r="2215" spans="7:10" x14ac:dyDescent="0.35">
      <c r="G2215" s="3"/>
      <c r="H2215" s="3"/>
      <c r="I2215" s="3"/>
      <c r="J2215" s="3"/>
    </row>
    <row r="2216" spans="7:10" x14ac:dyDescent="0.35">
      <c r="G2216" s="3"/>
      <c r="H2216" s="3"/>
      <c r="I2216" s="3"/>
      <c r="J2216" s="3"/>
    </row>
    <row r="2217" spans="7:10" x14ac:dyDescent="0.35">
      <c r="G2217" s="3"/>
      <c r="H2217" s="3"/>
      <c r="I2217" s="3"/>
      <c r="J2217" s="3"/>
    </row>
    <row r="2218" spans="7:10" x14ac:dyDescent="0.35">
      <c r="G2218" s="3"/>
      <c r="H2218" s="3"/>
      <c r="I2218" s="3"/>
      <c r="J2218" s="3"/>
    </row>
    <row r="2219" spans="7:10" x14ac:dyDescent="0.35">
      <c r="G2219" s="3"/>
      <c r="H2219" s="3"/>
      <c r="I2219" s="3"/>
      <c r="J2219" s="3"/>
    </row>
    <row r="2220" spans="7:10" x14ac:dyDescent="0.35">
      <c r="G2220" s="3"/>
      <c r="H2220" s="3"/>
      <c r="I2220" s="3"/>
      <c r="J2220" s="3"/>
    </row>
    <row r="2221" spans="7:10" x14ac:dyDescent="0.35">
      <c r="G2221" s="3"/>
      <c r="H2221" s="3"/>
      <c r="I2221" s="3"/>
      <c r="J2221" s="3"/>
    </row>
    <row r="2222" spans="7:10" x14ac:dyDescent="0.35">
      <c r="G2222" s="3"/>
      <c r="H2222" s="3"/>
      <c r="I2222" s="3"/>
      <c r="J2222" s="3"/>
    </row>
    <row r="2223" spans="7:10" x14ac:dyDescent="0.35">
      <c r="G2223" s="3"/>
      <c r="H2223" s="3"/>
      <c r="I2223" s="3"/>
      <c r="J2223" s="3"/>
    </row>
    <row r="2224" spans="7:10" x14ac:dyDescent="0.35">
      <c r="G2224" s="3"/>
      <c r="H2224" s="3"/>
      <c r="I2224" s="3"/>
      <c r="J2224" s="3"/>
    </row>
    <row r="2225" spans="7:10" x14ac:dyDescent="0.35">
      <c r="G2225" s="3"/>
      <c r="H2225" s="3"/>
      <c r="I2225" s="3"/>
      <c r="J2225" s="3"/>
    </row>
    <row r="2226" spans="7:10" x14ac:dyDescent="0.35">
      <c r="G2226" s="3"/>
      <c r="H2226" s="3"/>
      <c r="I2226" s="3"/>
      <c r="J2226" s="3"/>
    </row>
    <row r="2227" spans="7:10" x14ac:dyDescent="0.35">
      <c r="G2227" s="3"/>
      <c r="H2227" s="3"/>
      <c r="I2227" s="3"/>
      <c r="J2227" s="3"/>
    </row>
    <row r="2228" spans="7:10" x14ac:dyDescent="0.35">
      <c r="G2228" s="3"/>
      <c r="H2228" s="3"/>
      <c r="I2228" s="3"/>
      <c r="J2228" s="3"/>
    </row>
    <row r="2229" spans="7:10" x14ac:dyDescent="0.35">
      <c r="G2229" s="3"/>
      <c r="H2229" s="3"/>
      <c r="I2229" s="3"/>
      <c r="J2229" s="3"/>
    </row>
    <row r="2230" spans="7:10" x14ac:dyDescent="0.35">
      <c r="G2230" s="3"/>
      <c r="H2230" s="3"/>
      <c r="I2230" s="3"/>
      <c r="J2230" s="3"/>
    </row>
    <row r="2231" spans="7:10" x14ac:dyDescent="0.35">
      <c r="G2231" s="3"/>
      <c r="H2231" s="3"/>
      <c r="I2231" s="3"/>
      <c r="J2231" s="3"/>
    </row>
    <row r="2232" spans="7:10" x14ac:dyDescent="0.35">
      <c r="G2232" s="3"/>
      <c r="H2232" s="3"/>
      <c r="I2232" s="3"/>
      <c r="J2232" s="3"/>
    </row>
    <row r="2233" spans="7:10" x14ac:dyDescent="0.35">
      <c r="G2233" s="3"/>
      <c r="H2233" s="3"/>
      <c r="I2233" s="3"/>
      <c r="J2233" s="3"/>
    </row>
    <row r="2234" spans="7:10" x14ac:dyDescent="0.35">
      <c r="G2234" s="3"/>
      <c r="H2234" s="3"/>
      <c r="I2234" s="3"/>
      <c r="J2234" s="3"/>
    </row>
    <row r="2235" spans="7:10" x14ac:dyDescent="0.35">
      <c r="G2235" s="3"/>
      <c r="H2235" s="3"/>
      <c r="I2235" s="3"/>
      <c r="J2235" s="3"/>
    </row>
    <row r="2236" spans="7:10" x14ac:dyDescent="0.35">
      <c r="G2236" s="3"/>
      <c r="H2236" s="3"/>
      <c r="I2236" s="3"/>
      <c r="J2236" s="3"/>
    </row>
    <row r="2237" spans="7:10" x14ac:dyDescent="0.35">
      <c r="G2237" s="3"/>
      <c r="H2237" s="3"/>
      <c r="I2237" s="3"/>
      <c r="J2237" s="3"/>
    </row>
    <row r="2238" spans="7:10" x14ac:dyDescent="0.35">
      <c r="G2238" s="3"/>
      <c r="H2238" s="3"/>
      <c r="I2238" s="3"/>
      <c r="J2238" s="3"/>
    </row>
    <row r="2239" spans="7:10" x14ac:dyDescent="0.35">
      <c r="G2239" s="3"/>
      <c r="H2239" s="3"/>
      <c r="I2239" s="3"/>
      <c r="J2239" s="3"/>
    </row>
    <row r="2240" spans="7:10" x14ac:dyDescent="0.35">
      <c r="G2240" s="3"/>
      <c r="H2240" s="3"/>
      <c r="I2240" s="3"/>
      <c r="J2240" s="3"/>
    </row>
    <row r="2241" spans="7:10" x14ac:dyDescent="0.35">
      <c r="G2241" s="3"/>
      <c r="H2241" s="3"/>
      <c r="I2241" s="3"/>
      <c r="J2241" s="3"/>
    </row>
    <row r="2242" spans="7:10" x14ac:dyDescent="0.35">
      <c r="G2242" s="3"/>
      <c r="H2242" s="3"/>
      <c r="I2242" s="3"/>
      <c r="J2242" s="3"/>
    </row>
    <row r="2243" spans="7:10" x14ac:dyDescent="0.35">
      <c r="G2243" s="3"/>
      <c r="H2243" s="3"/>
      <c r="I2243" s="3"/>
      <c r="J2243" s="3"/>
    </row>
    <row r="2244" spans="7:10" x14ac:dyDescent="0.35">
      <c r="G2244" s="3"/>
      <c r="H2244" s="3"/>
      <c r="I2244" s="3"/>
      <c r="J2244" s="3"/>
    </row>
    <row r="2245" spans="7:10" x14ac:dyDescent="0.35">
      <c r="G2245" s="3"/>
      <c r="H2245" s="3"/>
      <c r="I2245" s="3"/>
      <c r="J2245" s="3"/>
    </row>
    <row r="2246" spans="7:10" x14ac:dyDescent="0.35">
      <c r="G2246" s="3"/>
      <c r="H2246" s="3"/>
      <c r="I2246" s="3"/>
      <c r="J2246" s="3"/>
    </row>
    <row r="2247" spans="7:10" x14ac:dyDescent="0.35">
      <c r="G2247" s="3"/>
      <c r="H2247" s="3"/>
      <c r="I2247" s="3"/>
      <c r="J2247" s="3"/>
    </row>
    <row r="2248" spans="7:10" x14ac:dyDescent="0.35">
      <c r="G2248" s="3"/>
      <c r="H2248" s="3"/>
      <c r="I2248" s="3"/>
      <c r="J2248" s="3"/>
    </row>
    <row r="2249" spans="7:10" x14ac:dyDescent="0.35">
      <c r="G2249" s="3"/>
      <c r="H2249" s="3"/>
      <c r="I2249" s="3"/>
      <c r="J2249" s="3"/>
    </row>
    <row r="2250" spans="7:10" x14ac:dyDescent="0.35">
      <c r="G2250" s="3"/>
      <c r="H2250" s="3"/>
      <c r="I2250" s="3"/>
      <c r="J2250" s="3"/>
    </row>
    <row r="2251" spans="7:10" x14ac:dyDescent="0.35">
      <c r="G2251" s="3"/>
      <c r="H2251" s="3"/>
      <c r="I2251" s="3"/>
      <c r="J2251" s="3"/>
    </row>
    <row r="2252" spans="7:10" x14ac:dyDescent="0.35">
      <c r="G2252" s="3"/>
      <c r="H2252" s="3"/>
      <c r="I2252" s="3"/>
      <c r="J2252" s="3"/>
    </row>
    <row r="2253" spans="7:10" x14ac:dyDescent="0.35">
      <c r="G2253" s="3"/>
      <c r="H2253" s="3"/>
      <c r="I2253" s="3"/>
      <c r="J2253" s="3"/>
    </row>
    <row r="2254" spans="7:10" x14ac:dyDescent="0.35">
      <c r="G2254" s="3"/>
      <c r="H2254" s="3"/>
      <c r="I2254" s="3"/>
      <c r="J2254" s="3"/>
    </row>
    <row r="2255" spans="7:10" x14ac:dyDescent="0.35">
      <c r="G2255" s="3"/>
      <c r="H2255" s="3"/>
      <c r="I2255" s="3"/>
      <c r="J2255" s="3"/>
    </row>
    <row r="2256" spans="7:10" x14ac:dyDescent="0.35">
      <c r="G2256" s="3"/>
      <c r="H2256" s="3"/>
      <c r="I2256" s="3"/>
      <c r="J2256" s="3"/>
    </row>
    <row r="2257" spans="7:10" x14ac:dyDescent="0.35">
      <c r="G2257" s="3"/>
      <c r="H2257" s="3"/>
      <c r="I2257" s="3"/>
      <c r="J2257" s="3"/>
    </row>
    <row r="2258" spans="7:10" x14ac:dyDescent="0.35">
      <c r="G2258" s="3"/>
      <c r="H2258" s="3"/>
      <c r="I2258" s="3"/>
      <c r="J2258" s="3"/>
    </row>
    <row r="2259" spans="7:10" x14ac:dyDescent="0.35">
      <c r="G2259" s="3"/>
      <c r="H2259" s="3"/>
      <c r="I2259" s="3"/>
      <c r="J2259" s="3"/>
    </row>
    <row r="2260" spans="7:10" x14ac:dyDescent="0.35">
      <c r="G2260" s="3"/>
      <c r="H2260" s="3"/>
      <c r="I2260" s="3"/>
      <c r="J2260" s="3"/>
    </row>
    <row r="2261" spans="7:10" x14ac:dyDescent="0.35">
      <c r="G2261" s="3"/>
      <c r="H2261" s="3"/>
      <c r="I2261" s="3"/>
      <c r="J2261" s="3"/>
    </row>
    <row r="2262" spans="7:10" x14ac:dyDescent="0.35">
      <c r="G2262" s="3"/>
      <c r="H2262" s="3"/>
      <c r="I2262" s="3"/>
      <c r="J2262" s="3"/>
    </row>
    <row r="2263" spans="7:10" x14ac:dyDescent="0.35">
      <c r="G2263" s="3"/>
      <c r="H2263" s="3"/>
      <c r="I2263" s="3"/>
      <c r="J2263" s="3"/>
    </row>
    <row r="2264" spans="7:10" x14ac:dyDescent="0.35">
      <c r="G2264" s="3"/>
      <c r="H2264" s="3"/>
      <c r="I2264" s="3"/>
      <c r="J2264" s="3"/>
    </row>
    <row r="2265" spans="7:10" x14ac:dyDescent="0.35">
      <c r="G2265" s="3"/>
      <c r="H2265" s="3"/>
      <c r="I2265" s="3"/>
      <c r="J2265" s="3"/>
    </row>
    <row r="2266" spans="7:10" x14ac:dyDescent="0.35">
      <c r="G2266" s="3"/>
      <c r="H2266" s="3"/>
      <c r="I2266" s="3"/>
      <c r="J2266" s="3"/>
    </row>
    <row r="2267" spans="7:10" x14ac:dyDescent="0.35">
      <c r="G2267" s="3"/>
      <c r="H2267" s="3"/>
      <c r="I2267" s="3"/>
      <c r="J2267" s="3"/>
    </row>
    <row r="2268" spans="7:10" x14ac:dyDescent="0.35">
      <c r="G2268" s="3"/>
      <c r="H2268" s="3"/>
      <c r="I2268" s="3"/>
      <c r="J2268" s="3"/>
    </row>
    <row r="2269" spans="7:10" x14ac:dyDescent="0.35">
      <c r="G2269" s="3"/>
      <c r="H2269" s="3"/>
      <c r="I2269" s="3"/>
      <c r="J2269" s="3"/>
    </row>
    <row r="2270" spans="7:10" x14ac:dyDescent="0.35">
      <c r="G2270" s="3"/>
      <c r="H2270" s="3"/>
      <c r="I2270" s="3"/>
      <c r="J2270" s="3"/>
    </row>
    <row r="2271" spans="7:10" x14ac:dyDescent="0.35">
      <c r="G2271" s="3"/>
      <c r="H2271" s="3"/>
      <c r="I2271" s="3"/>
      <c r="J2271" s="3"/>
    </row>
    <row r="2272" spans="7:10" x14ac:dyDescent="0.35">
      <c r="G2272" s="3"/>
      <c r="H2272" s="3"/>
      <c r="I2272" s="3"/>
      <c r="J2272" s="3"/>
    </row>
    <row r="2273" spans="7:10" x14ac:dyDescent="0.35">
      <c r="G2273" s="3"/>
      <c r="H2273" s="3"/>
      <c r="I2273" s="3"/>
      <c r="J2273" s="3"/>
    </row>
    <row r="2274" spans="7:10" x14ac:dyDescent="0.35">
      <c r="G2274" s="3"/>
      <c r="H2274" s="3"/>
      <c r="I2274" s="3"/>
      <c r="J2274" s="3"/>
    </row>
    <row r="2275" spans="7:10" x14ac:dyDescent="0.35">
      <c r="G2275" s="3"/>
      <c r="H2275" s="3"/>
      <c r="I2275" s="3"/>
      <c r="J2275" s="3"/>
    </row>
    <row r="2276" spans="7:10" x14ac:dyDescent="0.35">
      <c r="G2276" s="3"/>
      <c r="H2276" s="3"/>
      <c r="I2276" s="3"/>
      <c r="J2276" s="3"/>
    </row>
    <row r="2277" spans="7:10" x14ac:dyDescent="0.35">
      <c r="G2277" s="3"/>
      <c r="H2277" s="3"/>
      <c r="I2277" s="3"/>
      <c r="J2277" s="3"/>
    </row>
    <row r="2278" spans="7:10" x14ac:dyDescent="0.35">
      <c r="G2278" s="3"/>
      <c r="H2278" s="3"/>
      <c r="I2278" s="3"/>
      <c r="J2278" s="3"/>
    </row>
    <row r="2279" spans="7:10" x14ac:dyDescent="0.35">
      <c r="G2279" s="3"/>
      <c r="H2279" s="3"/>
      <c r="I2279" s="3"/>
      <c r="J2279" s="3"/>
    </row>
    <row r="2280" spans="7:10" x14ac:dyDescent="0.35">
      <c r="G2280" s="3"/>
      <c r="H2280" s="3"/>
      <c r="I2280" s="3"/>
      <c r="J2280" s="3"/>
    </row>
    <row r="2281" spans="7:10" x14ac:dyDescent="0.35">
      <c r="G2281" s="3"/>
      <c r="H2281" s="3"/>
      <c r="I2281" s="3"/>
      <c r="J2281" s="3"/>
    </row>
    <row r="2282" spans="7:10" x14ac:dyDescent="0.35">
      <c r="G2282" s="3"/>
      <c r="H2282" s="3"/>
      <c r="I2282" s="3"/>
      <c r="J2282" s="3"/>
    </row>
    <row r="2283" spans="7:10" x14ac:dyDescent="0.35">
      <c r="G2283" s="3"/>
      <c r="H2283" s="3"/>
      <c r="I2283" s="3"/>
      <c r="J2283" s="3"/>
    </row>
    <row r="2284" spans="7:10" x14ac:dyDescent="0.35">
      <c r="G2284" s="3"/>
      <c r="H2284" s="3"/>
      <c r="I2284" s="3"/>
      <c r="J2284" s="3"/>
    </row>
    <row r="2285" spans="7:10" x14ac:dyDescent="0.35">
      <c r="G2285" s="3"/>
      <c r="H2285" s="3"/>
      <c r="I2285" s="3"/>
      <c r="J2285" s="3"/>
    </row>
    <row r="2286" spans="7:10" x14ac:dyDescent="0.35">
      <c r="G2286" s="3"/>
      <c r="H2286" s="3"/>
      <c r="I2286" s="3"/>
      <c r="J2286" s="3"/>
    </row>
    <row r="2287" spans="7:10" x14ac:dyDescent="0.35">
      <c r="G2287" s="3"/>
      <c r="H2287" s="3"/>
      <c r="I2287" s="3"/>
      <c r="J2287" s="3"/>
    </row>
    <row r="2288" spans="7:10" x14ac:dyDescent="0.35">
      <c r="G2288" s="3"/>
      <c r="H2288" s="3"/>
      <c r="I2288" s="3"/>
      <c r="J2288" s="3"/>
    </row>
    <row r="2289" spans="7:10" x14ac:dyDescent="0.35">
      <c r="G2289" s="3"/>
      <c r="H2289" s="3"/>
      <c r="I2289" s="3"/>
      <c r="J2289" s="3"/>
    </row>
    <row r="2290" spans="7:10" x14ac:dyDescent="0.35">
      <c r="G2290" s="3"/>
      <c r="H2290" s="3"/>
      <c r="I2290" s="3"/>
      <c r="J2290" s="3"/>
    </row>
    <row r="2291" spans="7:10" x14ac:dyDescent="0.35">
      <c r="G2291" s="3"/>
      <c r="H2291" s="3"/>
      <c r="I2291" s="3"/>
      <c r="J2291" s="3"/>
    </row>
    <row r="2292" spans="7:10" x14ac:dyDescent="0.35">
      <c r="G2292" s="3"/>
      <c r="H2292" s="3"/>
      <c r="I2292" s="3"/>
      <c r="J2292" s="3"/>
    </row>
    <row r="2293" spans="7:10" x14ac:dyDescent="0.35">
      <c r="G2293" s="3"/>
      <c r="H2293" s="3"/>
      <c r="I2293" s="3"/>
      <c r="J2293" s="3"/>
    </row>
    <row r="2294" spans="7:10" x14ac:dyDescent="0.35">
      <c r="G2294" s="3"/>
      <c r="H2294" s="3"/>
      <c r="I2294" s="3"/>
      <c r="J2294" s="3"/>
    </row>
    <row r="2295" spans="7:10" x14ac:dyDescent="0.35">
      <c r="G2295" s="3"/>
      <c r="H2295" s="3"/>
      <c r="I2295" s="3"/>
      <c r="J2295" s="3"/>
    </row>
    <row r="2296" spans="7:10" x14ac:dyDescent="0.35">
      <c r="G2296" s="3"/>
      <c r="H2296" s="3"/>
      <c r="I2296" s="3"/>
      <c r="J2296" s="3"/>
    </row>
    <row r="2297" spans="7:10" x14ac:dyDescent="0.35">
      <c r="G2297" s="3"/>
      <c r="H2297" s="3"/>
      <c r="I2297" s="3"/>
      <c r="J2297" s="3"/>
    </row>
    <row r="2298" spans="7:10" x14ac:dyDescent="0.35">
      <c r="G2298" s="3"/>
      <c r="H2298" s="3"/>
      <c r="I2298" s="3"/>
      <c r="J2298" s="3"/>
    </row>
    <row r="2299" spans="7:10" x14ac:dyDescent="0.35">
      <c r="G2299" s="3"/>
      <c r="H2299" s="3"/>
      <c r="I2299" s="3"/>
      <c r="J2299" s="3"/>
    </row>
    <row r="2300" spans="7:10" x14ac:dyDescent="0.35">
      <c r="G2300" s="3"/>
      <c r="H2300" s="3"/>
      <c r="I2300" s="3"/>
      <c r="J2300" s="3"/>
    </row>
    <row r="2301" spans="7:10" x14ac:dyDescent="0.35">
      <c r="G2301" s="3"/>
      <c r="H2301" s="3"/>
      <c r="I2301" s="3"/>
      <c r="J2301" s="3"/>
    </row>
    <row r="2302" spans="7:10" x14ac:dyDescent="0.35">
      <c r="G2302" s="3"/>
      <c r="H2302" s="3"/>
      <c r="I2302" s="3"/>
      <c r="J2302" s="3"/>
    </row>
    <row r="2303" spans="7:10" x14ac:dyDescent="0.35">
      <c r="G2303" s="3"/>
      <c r="H2303" s="3"/>
      <c r="I2303" s="3"/>
      <c r="J2303" s="3"/>
    </row>
    <row r="2304" spans="7:10" x14ac:dyDescent="0.35">
      <c r="G2304" s="3"/>
      <c r="H2304" s="3"/>
      <c r="I2304" s="3"/>
      <c r="J2304" s="3"/>
    </row>
    <row r="2305" spans="7:10" x14ac:dyDescent="0.35">
      <c r="G2305" s="3"/>
      <c r="H2305" s="3"/>
      <c r="I2305" s="3"/>
      <c r="J2305" s="3"/>
    </row>
    <row r="2306" spans="7:10" x14ac:dyDescent="0.35">
      <c r="G2306" s="3"/>
      <c r="H2306" s="3"/>
      <c r="I2306" s="3"/>
      <c r="J2306" s="3"/>
    </row>
    <row r="2307" spans="7:10" x14ac:dyDescent="0.35">
      <c r="G2307" s="3"/>
      <c r="H2307" s="3"/>
      <c r="I2307" s="3"/>
      <c r="J2307" s="3"/>
    </row>
    <row r="2308" spans="7:10" x14ac:dyDescent="0.35">
      <c r="G2308" s="3"/>
      <c r="H2308" s="3"/>
      <c r="I2308" s="3"/>
      <c r="J2308" s="3"/>
    </row>
    <row r="2309" spans="7:10" x14ac:dyDescent="0.35">
      <c r="G2309" s="3"/>
      <c r="H2309" s="3"/>
      <c r="I2309" s="3"/>
      <c r="J2309" s="3"/>
    </row>
    <row r="2310" spans="7:10" x14ac:dyDescent="0.35">
      <c r="G2310" s="3"/>
      <c r="H2310" s="3"/>
      <c r="I2310" s="3"/>
      <c r="J2310" s="3"/>
    </row>
    <row r="2311" spans="7:10" x14ac:dyDescent="0.35">
      <c r="G2311" s="3"/>
      <c r="H2311" s="3"/>
      <c r="I2311" s="3"/>
      <c r="J2311" s="3"/>
    </row>
    <row r="2312" spans="7:10" x14ac:dyDescent="0.35">
      <c r="G2312" s="3"/>
      <c r="H2312" s="3"/>
      <c r="I2312" s="3"/>
      <c r="J2312" s="3"/>
    </row>
    <row r="2313" spans="7:10" x14ac:dyDescent="0.35">
      <c r="G2313" s="3"/>
      <c r="H2313" s="3"/>
      <c r="I2313" s="3"/>
      <c r="J2313" s="3"/>
    </row>
    <row r="2314" spans="7:10" x14ac:dyDescent="0.35">
      <c r="G2314" s="3"/>
      <c r="H2314" s="3"/>
      <c r="I2314" s="3"/>
      <c r="J2314" s="3"/>
    </row>
    <row r="2315" spans="7:10" x14ac:dyDescent="0.35">
      <c r="G2315" s="3"/>
      <c r="H2315" s="3"/>
      <c r="I2315" s="3"/>
      <c r="J2315" s="3"/>
    </row>
    <row r="2316" spans="7:10" x14ac:dyDescent="0.35">
      <c r="G2316" s="3"/>
      <c r="H2316" s="3"/>
      <c r="I2316" s="3"/>
      <c r="J2316" s="3"/>
    </row>
    <row r="2317" spans="7:10" x14ac:dyDescent="0.35">
      <c r="G2317" s="3"/>
      <c r="H2317" s="3"/>
      <c r="I2317" s="3"/>
      <c r="J2317" s="3"/>
    </row>
    <row r="2318" spans="7:10" x14ac:dyDescent="0.35">
      <c r="G2318" s="3"/>
      <c r="H2318" s="3"/>
      <c r="I2318" s="3"/>
      <c r="J2318" s="3"/>
    </row>
    <row r="2319" spans="7:10" x14ac:dyDescent="0.35">
      <c r="G2319" s="3"/>
      <c r="H2319" s="3"/>
      <c r="I2319" s="3"/>
      <c r="J2319" s="3"/>
    </row>
    <row r="2320" spans="7:10" x14ac:dyDescent="0.35">
      <c r="G2320" s="3"/>
      <c r="H2320" s="3"/>
      <c r="I2320" s="3"/>
      <c r="J2320" s="3"/>
    </row>
    <row r="2321" spans="7:10" x14ac:dyDescent="0.35">
      <c r="G2321" s="3"/>
      <c r="H2321" s="3"/>
      <c r="I2321" s="3"/>
      <c r="J2321" s="3"/>
    </row>
    <row r="2322" spans="7:10" x14ac:dyDescent="0.35">
      <c r="G2322" s="3"/>
      <c r="H2322" s="3"/>
      <c r="I2322" s="3"/>
      <c r="J2322" s="3"/>
    </row>
    <row r="2323" spans="7:10" x14ac:dyDescent="0.35">
      <c r="G2323" s="3"/>
      <c r="H2323" s="3"/>
      <c r="I2323" s="3"/>
      <c r="J2323" s="3"/>
    </row>
    <row r="2324" spans="7:10" x14ac:dyDescent="0.35">
      <c r="G2324" s="3"/>
      <c r="H2324" s="3"/>
      <c r="I2324" s="3"/>
      <c r="J2324" s="3"/>
    </row>
    <row r="2325" spans="7:10" x14ac:dyDescent="0.35">
      <c r="G2325" s="3"/>
      <c r="H2325" s="3"/>
      <c r="I2325" s="3"/>
      <c r="J2325" s="3"/>
    </row>
    <row r="2326" spans="7:10" x14ac:dyDescent="0.35">
      <c r="G2326" s="3"/>
      <c r="H2326" s="3"/>
      <c r="I2326" s="3"/>
      <c r="J2326" s="3"/>
    </row>
    <row r="2327" spans="7:10" x14ac:dyDescent="0.35">
      <c r="G2327" s="3"/>
      <c r="H2327" s="3"/>
      <c r="I2327" s="3"/>
      <c r="J2327" s="3"/>
    </row>
    <row r="2328" spans="7:10" x14ac:dyDescent="0.35">
      <c r="G2328" s="3"/>
      <c r="H2328" s="3"/>
      <c r="I2328" s="3"/>
      <c r="J2328" s="3"/>
    </row>
    <row r="2329" spans="7:10" x14ac:dyDescent="0.35">
      <c r="G2329" s="3"/>
      <c r="H2329" s="3"/>
      <c r="I2329" s="3"/>
      <c r="J2329" s="3"/>
    </row>
    <row r="2330" spans="7:10" x14ac:dyDescent="0.35">
      <c r="G2330" s="3"/>
      <c r="H2330" s="3"/>
      <c r="I2330" s="3"/>
      <c r="J2330" s="3"/>
    </row>
    <row r="2331" spans="7:10" x14ac:dyDescent="0.35">
      <c r="G2331" s="3"/>
      <c r="H2331" s="3"/>
      <c r="I2331" s="3"/>
      <c r="J2331" s="3"/>
    </row>
    <row r="2332" spans="7:10" x14ac:dyDescent="0.35">
      <c r="G2332" s="3"/>
      <c r="H2332" s="3"/>
      <c r="I2332" s="3"/>
      <c r="J2332" s="3"/>
    </row>
    <row r="2333" spans="7:10" x14ac:dyDescent="0.35">
      <c r="G2333" s="3"/>
      <c r="H2333" s="3"/>
      <c r="I2333" s="3"/>
      <c r="J2333" s="3"/>
    </row>
    <row r="2334" spans="7:10" x14ac:dyDescent="0.35">
      <c r="G2334" s="3"/>
      <c r="H2334" s="3"/>
      <c r="I2334" s="3"/>
      <c r="J2334" s="3"/>
    </row>
    <row r="2335" spans="7:10" x14ac:dyDescent="0.35">
      <c r="G2335" s="3"/>
      <c r="H2335" s="3"/>
      <c r="I2335" s="3"/>
      <c r="J2335" s="3"/>
    </row>
    <row r="2336" spans="7:10" x14ac:dyDescent="0.35">
      <c r="G2336" s="3"/>
      <c r="H2336" s="3"/>
      <c r="I2336" s="3"/>
      <c r="J2336" s="3"/>
    </row>
    <row r="2337" spans="7:10" x14ac:dyDescent="0.35">
      <c r="G2337" s="3"/>
      <c r="H2337" s="3"/>
      <c r="I2337" s="3"/>
      <c r="J2337" s="3"/>
    </row>
    <row r="2338" spans="7:10" x14ac:dyDescent="0.35">
      <c r="G2338" s="3"/>
      <c r="H2338" s="3"/>
      <c r="I2338" s="3"/>
      <c r="J2338" s="3"/>
    </row>
    <row r="2339" spans="7:10" x14ac:dyDescent="0.35">
      <c r="G2339" s="3"/>
      <c r="H2339" s="3"/>
      <c r="I2339" s="3"/>
      <c r="J2339" s="3"/>
    </row>
    <row r="2340" spans="7:10" x14ac:dyDescent="0.35">
      <c r="G2340" s="3"/>
      <c r="H2340" s="3"/>
      <c r="I2340" s="3"/>
      <c r="J2340" s="3"/>
    </row>
    <row r="2341" spans="7:10" x14ac:dyDescent="0.35">
      <c r="G2341" s="3"/>
      <c r="H2341" s="3"/>
      <c r="I2341" s="3"/>
      <c r="J2341" s="3"/>
    </row>
    <row r="2342" spans="7:10" x14ac:dyDescent="0.35">
      <c r="G2342" s="3"/>
      <c r="H2342" s="3"/>
      <c r="I2342" s="3"/>
      <c r="J2342" s="3"/>
    </row>
    <row r="2343" spans="7:10" x14ac:dyDescent="0.35">
      <c r="G2343" s="3"/>
      <c r="H2343" s="3"/>
      <c r="I2343" s="3"/>
      <c r="J2343" s="3"/>
    </row>
    <row r="2344" spans="7:10" x14ac:dyDescent="0.35">
      <c r="G2344" s="3"/>
      <c r="H2344" s="3"/>
      <c r="I2344" s="3"/>
      <c r="J2344" s="3"/>
    </row>
    <row r="2345" spans="7:10" x14ac:dyDescent="0.35">
      <c r="G2345" s="3"/>
      <c r="H2345" s="3"/>
      <c r="I2345" s="3"/>
      <c r="J2345" s="3"/>
    </row>
    <row r="2346" spans="7:10" x14ac:dyDescent="0.35">
      <c r="G2346" s="3"/>
      <c r="H2346" s="3"/>
      <c r="I2346" s="3"/>
      <c r="J2346" s="3"/>
    </row>
    <row r="2347" spans="7:10" x14ac:dyDescent="0.35">
      <c r="G2347" s="3"/>
      <c r="H2347" s="3"/>
      <c r="I2347" s="3"/>
      <c r="J2347" s="3"/>
    </row>
    <row r="2348" spans="7:10" x14ac:dyDescent="0.35">
      <c r="G2348" s="3"/>
      <c r="H2348" s="3"/>
      <c r="I2348" s="3"/>
      <c r="J2348" s="3"/>
    </row>
    <row r="2349" spans="7:10" x14ac:dyDescent="0.35">
      <c r="G2349" s="3"/>
      <c r="H2349" s="3"/>
      <c r="I2349" s="3"/>
      <c r="J2349" s="3"/>
    </row>
    <row r="2350" spans="7:10" x14ac:dyDescent="0.35">
      <c r="G2350" s="3"/>
      <c r="H2350" s="3"/>
      <c r="I2350" s="3"/>
      <c r="J2350" s="3"/>
    </row>
    <row r="2351" spans="7:10" x14ac:dyDescent="0.35">
      <c r="G2351" s="3"/>
      <c r="H2351" s="3"/>
      <c r="I2351" s="3"/>
      <c r="J2351" s="3"/>
    </row>
    <row r="2352" spans="7:10" x14ac:dyDescent="0.35">
      <c r="G2352" s="3"/>
      <c r="H2352" s="3"/>
      <c r="I2352" s="3"/>
      <c r="J2352" s="3"/>
    </row>
    <row r="2353" spans="7:10" x14ac:dyDescent="0.35">
      <c r="G2353" s="3"/>
      <c r="H2353" s="3"/>
      <c r="I2353" s="3"/>
      <c r="J2353" s="3"/>
    </row>
    <row r="2354" spans="7:10" x14ac:dyDescent="0.35">
      <c r="G2354" s="3"/>
      <c r="H2354" s="3"/>
      <c r="I2354" s="3"/>
      <c r="J2354" s="3"/>
    </row>
    <row r="2355" spans="7:10" x14ac:dyDescent="0.35">
      <c r="G2355" s="3"/>
      <c r="H2355" s="3"/>
      <c r="I2355" s="3"/>
      <c r="J2355" s="3"/>
    </row>
    <row r="2356" spans="7:10" x14ac:dyDescent="0.35">
      <c r="G2356" s="3"/>
      <c r="H2356" s="3"/>
      <c r="I2356" s="3"/>
      <c r="J2356" s="3"/>
    </row>
    <row r="2357" spans="7:10" x14ac:dyDescent="0.35">
      <c r="G2357" s="3"/>
      <c r="H2357" s="3"/>
      <c r="I2357" s="3"/>
      <c r="J2357" s="3"/>
    </row>
    <row r="2358" spans="7:10" x14ac:dyDescent="0.35">
      <c r="G2358" s="3"/>
      <c r="H2358" s="3"/>
      <c r="I2358" s="3"/>
      <c r="J2358" s="3"/>
    </row>
    <row r="2359" spans="7:10" x14ac:dyDescent="0.35">
      <c r="G2359" s="3"/>
      <c r="H2359" s="3"/>
      <c r="I2359" s="3"/>
      <c r="J2359" s="3"/>
    </row>
    <row r="2360" spans="7:10" x14ac:dyDescent="0.35">
      <c r="G2360" s="3"/>
      <c r="H2360" s="3"/>
      <c r="I2360" s="3"/>
      <c r="J2360" s="3"/>
    </row>
    <row r="2361" spans="7:10" x14ac:dyDescent="0.35">
      <c r="G2361" s="3"/>
      <c r="H2361" s="3"/>
      <c r="I2361" s="3"/>
      <c r="J2361" s="3"/>
    </row>
    <row r="2362" spans="7:10" x14ac:dyDescent="0.35">
      <c r="G2362" s="3"/>
      <c r="H2362" s="3"/>
      <c r="I2362" s="3"/>
      <c r="J2362" s="3"/>
    </row>
    <row r="2363" spans="7:10" x14ac:dyDescent="0.35">
      <c r="G2363" s="3"/>
      <c r="H2363" s="3"/>
      <c r="I2363" s="3"/>
      <c r="J2363" s="3"/>
    </row>
    <row r="2364" spans="7:10" x14ac:dyDescent="0.35">
      <c r="G2364" s="3"/>
      <c r="H2364" s="3"/>
      <c r="I2364" s="3"/>
      <c r="J2364" s="3"/>
    </row>
    <row r="2365" spans="7:10" x14ac:dyDescent="0.35">
      <c r="G2365" s="3"/>
      <c r="H2365" s="3"/>
      <c r="I2365" s="3"/>
      <c r="J2365" s="3"/>
    </row>
    <row r="2366" spans="7:10" x14ac:dyDescent="0.35">
      <c r="G2366" s="3"/>
      <c r="H2366" s="3"/>
      <c r="I2366" s="3"/>
      <c r="J2366" s="3"/>
    </row>
    <row r="2367" spans="7:10" x14ac:dyDescent="0.35">
      <c r="G2367" s="3"/>
      <c r="H2367" s="3"/>
      <c r="I2367" s="3"/>
      <c r="J2367" s="3"/>
    </row>
    <row r="2368" spans="7:10" x14ac:dyDescent="0.35">
      <c r="G2368" s="3"/>
      <c r="H2368" s="3"/>
      <c r="I2368" s="3"/>
      <c r="J2368" s="3"/>
    </row>
    <row r="2369" spans="7:10" x14ac:dyDescent="0.35">
      <c r="G2369" s="3"/>
      <c r="H2369" s="3"/>
      <c r="I2369" s="3"/>
      <c r="J2369" s="3"/>
    </row>
    <row r="2370" spans="7:10" x14ac:dyDescent="0.35">
      <c r="G2370" s="3"/>
      <c r="H2370" s="3"/>
      <c r="I2370" s="3"/>
      <c r="J2370" s="3"/>
    </row>
    <row r="2371" spans="7:10" x14ac:dyDescent="0.35">
      <c r="G2371" s="3"/>
      <c r="H2371" s="3"/>
      <c r="I2371" s="3"/>
      <c r="J2371" s="3"/>
    </row>
    <row r="2372" spans="7:10" x14ac:dyDescent="0.35">
      <c r="G2372" s="3"/>
      <c r="H2372" s="3"/>
      <c r="I2372" s="3"/>
      <c r="J2372" s="3"/>
    </row>
    <row r="2373" spans="7:10" x14ac:dyDescent="0.35">
      <c r="G2373" s="3"/>
      <c r="H2373" s="3"/>
      <c r="I2373" s="3"/>
      <c r="J2373" s="3"/>
    </row>
    <row r="2374" spans="7:10" x14ac:dyDescent="0.35">
      <c r="G2374" s="3"/>
      <c r="H2374" s="3"/>
      <c r="I2374" s="3"/>
      <c r="J2374" s="3"/>
    </row>
    <row r="2375" spans="7:10" x14ac:dyDescent="0.35">
      <c r="G2375" s="3"/>
      <c r="H2375" s="3"/>
      <c r="I2375" s="3"/>
      <c r="J2375" s="3"/>
    </row>
    <row r="2376" spans="7:10" x14ac:dyDescent="0.35">
      <c r="G2376" s="3"/>
      <c r="H2376" s="3"/>
      <c r="I2376" s="3"/>
      <c r="J2376" s="3"/>
    </row>
    <row r="2377" spans="7:10" x14ac:dyDescent="0.35">
      <c r="G2377" s="3"/>
      <c r="H2377" s="3"/>
      <c r="I2377" s="3"/>
      <c r="J2377" s="3"/>
    </row>
    <row r="2378" spans="7:10" x14ac:dyDescent="0.35">
      <c r="G2378" s="3"/>
      <c r="H2378" s="3"/>
      <c r="I2378" s="3"/>
      <c r="J2378" s="3"/>
    </row>
    <row r="2379" spans="7:10" x14ac:dyDescent="0.35">
      <c r="G2379" s="3"/>
      <c r="H2379" s="3"/>
      <c r="I2379" s="3"/>
      <c r="J2379" s="3"/>
    </row>
    <row r="2380" spans="7:10" x14ac:dyDescent="0.35">
      <c r="G2380" s="3"/>
      <c r="H2380" s="3"/>
      <c r="I2380" s="3"/>
      <c r="J2380" s="3"/>
    </row>
    <row r="2381" spans="7:10" x14ac:dyDescent="0.35">
      <c r="G2381" s="3"/>
      <c r="H2381" s="3"/>
      <c r="I2381" s="3"/>
      <c r="J2381" s="3"/>
    </row>
    <row r="2382" spans="7:10" x14ac:dyDescent="0.35">
      <c r="G2382" s="3"/>
      <c r="H2382" s="3"/>
      <c r="I2382" s="3"/>
      <c r="J2382" s="3"/>
    </row>
    <row r="2383" spans="7:10" x14ac:dyDescent="0.35">
      <c r="G2383" s="3"/>
      <c r="H2383" s="3"/>
      <c r="I2383" s="3"/>
      <c r="J2383" s="3"/>
    </row>
    <row r="2384" spans="7:10" x14ac:dyDescent="0.35">
      <c r="G2384" s="3"/>
      <c r="H2384" s="3"/>
      <c r="I2384" s="3"/>
      <c r="J2384" s="3"/>
    </row>
    <row r="2385" spans="7:10" x14ac:dyDescent="0.35">
      <c r="G2385" s="3"/>
      <c r="H2385" s="3"/>
      <c r="I2385" s="3"/>
      <c r="J2385" s="3"/>
    </row>
    <row r="2386" spans="7:10" x14ac:dyDescent="0.35">
      <c r="G2386" s="3"/>
      <c r="H2386" s="3"/>
      <c r="I2386" s="3"/>
      <c r="J2386" s="3"/>
    </row>
    <row r="2387" spans="7:10" x14ac:dyDescent="0.35">
      <c r="G2387" s="3"/>
      <c r="H2387" s="3"/>
      <c r="I2387" s="3"/>
      <c r="J2387" s="3"/>
    </row>
    <row r="2388" spans="7:10" x14ac:dyDescent="0.35">
      <c r="G2388" s="3"/>
      <c r="H2388" s="3"/>
      <c r="I2388" s="3"/>
      <c r="J2388" s="3"/>
    </row>
    <row r="2389" spans="7:10" x14ac:dyDescent="0.35">
      <c r="G2389" s="3"/>
      <c r="H2389" s="3"/>
      <c r="I2389" s="3"/>
      <c r="J2389" s="3"/>
    </row>
    <row r="2390" spans="7:10" x14ac:dyDescent="0.35">
      <c r="G2390" s="3"/>
      <c r="H2390" s="3"/>
      <c r="I2390" s="3"/>
      <c r="J2390" s="3"/>
    </row>
    <row r="2391" spans="7:10" x14ac:dyDescent="0.35">
      <c r="G2391" s="3"/>
      <c r="H2391" s="3"/>
      <c r="I2391" s="3"/>
      <c r="J2391" s="3"/>
    </row>
    <row r="2392" spans="7:10" x14ac:dyDescent="0.35">
      <c r="G2392" s="3"/>
      <c r="H2392" s="3"/>
      <c r="I2392" s="3"/>
      <c r="J2392" s="3"/>
    </row>
    <row r="2393" spans="7:10" x14ac:dyDescent="0.35">
      <c r="G2393" s="3"/>
      <c r="H2393" s="3"/>
      <c r="I2393" s="3"/>
      <c r="J2393" s="3"/>
    </row>
    <row r="2394" spans="7:10" x14ac:dyDescent="0.35">
      <c r="G2394" s="3"/>
      <c r="H2394" s="3"/>
      <c r="I2394" s="3"/>
      <c r="J2394" s="3"/>
    </row>
    <row r="2395" spans="7:10" x14ac:dyDescent="0.35">
      <c r="G2395" s="3"/>
      <c r="H2395" s="3"/>
      <c r="I2395" s="3"/>
      <c r="J2395" s="3"/>
    </row>
    <row r="2396" spans="7:10" x14ac:dyDescent="0.35">
      <c r="G2396" s="3"/>
      <c r="H2396" s="3"/>
      <c r="I2396" s="3"/>
      <c r="J2396" s="3"/>
    </row>
    <row r="2397" spans="7:10" x14ac:dyDescent="0.35">
      <c r="G2397" s="3"/>
      <c r="H2397" s="3"/>
      <c r="I2397" s="3"/>
      <c r="J2397" s="3"/>
    </row>
    <row r="2398" spans="7:10" x14ac:dyDescent="0.35">
      <c r="G2398" s="3"/>
      <c r="H2398" s="3"/>
      <c r="I2398" s="3"/>
      <c r="J2398" s="3"/>
    </row>
    <row r="2399" spans="7:10" x14ac:dyDescent="0.35">
      <c r="G2399" s="3"/>
      <c r="H2399" s="3"/>
      <c r="I2399" s="3"/>
      <c r="J2399" s="3"/>
    </row>
    <row r="2400" spans="7:10" x14ac:dyDescent="0.35">
      <c r="G2400" s="3"/>
      <c r="H2400" s="3"/>
      <c r="I2400" s="3"/>
      <c r="J2400" s="3"/>
    </row>
    <row r="2401" spans="7:10" x14ac:dyDescent="0.35">
      <c r="G2401" s="3"/>
      <c r="H2401" s="3"/>
      <c r="I2401" s="3"/>
      <c r="J2401" s="3"/>
    </row>
    <row r="2402" spans="7:10" x14ac:dyDescent="0.35">
      <c r="G2402" s="3"/>
      <c r="H2402" s="3"/>
      <c r="I2402" s="3"/>
      <c r="J2402" s="3"/>
    </row>
    <row r="2403" spans="7:10" x14ac:dyDescent="0.35">
      <c r="G2403" s="3"/>
      <c r="H2403" s="3"/>
      <c r="I2403" s="3"/>
      <c r="J2403" s="3"/>
    </row>
    <row r="2404" spans="7:10" x14ac:dyDescent="0.35">
      <c r="G2404" s="3"/>
      <c r="H2404" s="3"/>
      <c r="I2404" s="3"/>
      <c r="J2404" s="3"/>
    </row>
    <row r="2405" spans="7:10" x14ac:dyDescent="0.35">
      <c r="G2405" s="3"/>
      <c r="H2405" s="3"/>
      <c r="I2405" s="3"/>
      <c r="J2405" s="3"/>
    </row>
    <row r="2406" spans="7:10" x14ac:dyDescent="0.35">
      <c r="G2406" s="3"/>
      <c r="H2406" s="3"/>
      <c r="I2406" s="3"/>
      <c r="J2406" s="3"/>
    </row>
    <row r="2407" spans="7:10" x14ac:dyDescent="0.35">
      <c r="G2407" s="3"/>
      <c r="H2407" s="3"/>
      <c r="I2407" s="3"/>
      <c r="J2407" s="3"/>
    </row>
    <row r="2408" spans="7:10" x14ac:dyDescent="0.35">
      <c r="G2408" s="3"/>
      <c r="H2408" s="3"/>
      <c r="I2408" s="3"/>
      <c r="J2408" s="3"/>
    </row>
    <row r="2409" spans="7:10" x14ac:dyDescent="0.35">
      <c r="G2409" s="3"/>
      <c r="H2409" s="3"/>
      <c r="I2409" s="3"/>
      <c r="J2409" s="3"/>
    </row>
    <row r="2410" spans="7:10" x14ac:dyDescent="0.35">
      <c r="G2410" s="3"/>
      <c r="H2410" s="3"/>
      <c r="I2410" s="3"/>
      <c r="J2410" s="3"/>
    </row>
    <row r="2411" spans="7:10" x14ac:dyDescent="0.35">
      <c r="G2411" s="3"/>
      <c r="H2411" s="3"/>
      <c r="I2411" s="3"/>
      <c r="J2411" s="3"/>
    </row>
    <row r="2412" spans="7:10" x14ac:dyDescent="0.35">
      <c r="G2412" s="3"/>
      <c r="H2412" s="3"/>
      <c r="I2412" s="3"/>
      <c r="J2412" s="3"/>
    </row>
    <row r="2413" spans="7:10" x14ac:dyDescent="0.35">
      <c r="G2413" s="3"/>
      <c r="H2413" s="3"/>
      <c r="I2413" s="3"/>
      <c r="J2413" s="3"/>
    </row>
    <row r="2414" spans="7:10" x14ac:dyDescent="0.35">
      <c r="G2414" s="3"/>
      <c r="H2414" s="3"/>
      <c r="I2414" s="3"/>
      <c r="J2414" s="3"/>
    </row>
    <row r="2415" spans="7:10" x14ac:dyDescent="0.35">
      <c r="G2415" s="3"/>
      <c r="H2415" s="3"/>
      <c r="I2415" s="3"/>
      <c r="J2415" s="3"/>
    </row>
    <row r="2416" spans="7:10" x14ac:dyDescent="0.35">
      <c r="G2416" s="3"/>
      <c r="H2416" s="3"/>
      <c r="I2416" s="3"/>
      <c r="J2416" s="3"/>
    </row>
    <row r="2417" spans="7:10" x14ac:dyDescent="0.35">
      <c r="G2417" s="3"/>
      <c r="H2417" s="3"/>
      <c r="I2417" s="3"/>
      <c r="J2417" s="3"/>
    </row>
    <row r="2418" spans="7:10" x14ac:dyDescent="0.35">
      <c r="G2418" s="3"/>
      <c r="H2418" s="3"/>
      <c r="I2418" s="3"/>
      <c r="J2418" s="3"/>
    </row>
    <row r="2419" spans="7:10" x14ac:dyDescent="0.35">
      <c r="G2419" s="3"/>
      <c r="H2419" s="3"/>
      <c r="I2419" s="3"/>
      <c r="J2419" s="3"/>
    </row>
    <row r="2420" spans="7:10" x14ac:dyDescent="0.35">
      <c r="G2420" s="3"/>
      <c r="H2420" s="3"/>
      <c r="I2420" s="3"/>
      <c r="J2420" s="3"/>
    </row>
    <row r="2421" spans="7:10" x14ac:dyDescent="0.35">
      <c r="G2421" s="3"/>
      <c r="H2421" s="3"/>
      <c r="I2421" s="3"/>
      <c r="J2421" s="3"/>
    </row>
    <row r="2422" spans="7:10" x14ac:dyDescent="0.35">
      <c r="G2422" s="3"/>
      <c r="H2422" s="3"/>
      <c r="I2422" s="3"/>
      <c r="J2422" s="3"/>
    </row>
    <row r="2423" spans="7:10" x14ac:dyDescent="0.35">
      <c r="G2423" s="3"/>
      <c r="H2423" s="3"/>
      <c r="I2423" s="3"/>
      <c r="J2423" s="3"/>
    </row>
    <row r="2424" spans="7:10" x14ac:dyDescent="0.35">
      <c r="G2424" s="3"/>
      <c r="H2424" s="3"/>
      <c r="I2424" s="3"/>
      <c r="J2424" s="3"/>
    </row>
    <row r="2425" spans="7:10" x14ac:dyDescent="0.35">
      <c r="G2425" s="3"/>
      <c r="H2425" s="3"/>
      <c r="I2425" s="3"/>
      <c r="J2425" s="3"/>
    </row>
    <row r="2426" spans="7:10" x14ac:dyDescent="0.35">
      <c r="G2426" s="3"/>
      <c r="H2426" s="3"/>
      <c r="I2426" s="3"/>
      <c r="J2426" s="3"/>
    </row>
    <row r="2427" spans="7:10" x14ac:dyDescent="0.35">
      <c r="G2427" s="3"/>
      <c r="H2427" s="3"/>
      <c r="I2427" s="3"/>
      <c r="J2427" s="3"/>
    </row>
    <row r="2428" spans="7:10" x14ac:dyDescent="0.35">
      <c r="G2428" s="3"/>
      <c r="H2428" s="3"/>
      <c r="I2428" s="3"/>
      <c r="J2428" s="3"/>
    </row>
    <row r="2429" spans="7:10" x14ac:dyDescent="0.35">
      <c r="G2429" s="3"/>
      <c r="H2429" s="3"/>
      <c r="I2429" s="3"/>
      <c r="J2429" s="3"/>
    </row>
    <row r="2430" spans="7:10" x14ac:dyDescent="0.35">
      <c r="G2430" s="3"/>
      <c r="H2430" s="3"/>
      <c r="I2430" s="3"/>
      <c r="J2430" s="3"/>
    </row>
    <row r="2431" spans="7:10" x14ac:dyDescent="0.35">
      <c r="G2431" s="3"/>
      <c r="H2431" s="3"/>
      <c r="I2431" s="3"/>
      <c r="J2431" s="3"/>
    </row>
    <row r="2432" spans="7:10" x14ac:dyDescent="0.35">
      <c r="G2432" s="3"/>
      <c r="H2432" s="3"/>
      <c r="I2432" s="3"/>
      <c r="J2432" s="3"/>
    </row>
    <row r="2433" spans="7:10" x14ac:dyDescent="0.35">
      <c r="G2433" s="3"/>
      <c r="H2433" s="3"/>
      <c r="I2433" s="3"/>
      <c r="J2433" s="3"/>
    </row>
    <row r="2434" spans="7:10" x14ac:dyDescent="0.35">
      <c r="G2434" s="3"/>
      <c r="H2434" s="3"/>
      <c r="I2434" s="3"/>
      <c r="J2434" s="3"/>
    </row>
    <row r="2435" spans="7:10" x14ac:dyDescent="0.35">
      <c r="G2435" s="3"/>
      <c r="H2435" s="3"/>
      <c r="I2435" s="3"/>
      <c r="J2435" s="3"/>
    </row>
    <row r="2436" spans="7:10" x14ac:dyDescent="0.35">
      <c r="G2436" s="3"/>
      <c r="H2436" s="3"/>
      <c r="I2436" s="3"/>
      <c r="J2436" s="3"/>
    </row>
    <row r="2437" spans="7:10" x14ac:dyDescent="0.35">
      <c r="G2437" s="3"/>
      <c r="H2437" s="3"/>
      <c r="I2437" s="3"/>
      <c r="J2437" s="3"/>
    </row>
    <row r="2438" spans="7:10" x14ac:dyDescent="0.35">
      <c r="G2438" s="3"/>
      <c r="H2438" s="3"/>
      <c r="I2438" s="3"/>
      <c r="J2438" s="3"/>
    </row>
    <row r="2439" spans="7:10" x14ac:dyDescent="0.35">
      <c r="G2439" s="3"/>
      <c r="H2439" s="3"/>
      <c r="I2439" s="3"/>
      <c r="J2439" s="3"/>
    </row>
    <row r="2440" spans="7:10" x14ac:dyDescent="0.35">
      <c r="G2440" s="3"/>
      <c r="H2440" s="3"/>
      <c r="I2440" s="3"/>
      <c r="J2440" s="3"/>
    </row>
    <row r="2441" spans="7:10" x14ac:dyDescent="0.35">
      <c r="G2441" s="3"/>
      <c r="H2441" s="3"/>
      <c r="I2441" s="3"/>
      <c r="J2441" s="3"/>
    </row>
    <row r="2442" spans="7:10" x14ac:dyDescent="0.35">
      <c r="G2442" s="3"/>
      <c r="H2442" s="3"/>
      <c r="I2442" s="3"/>
      <c r="J2442" s="3"/>
    </row>
    <row r="2443" spans="7:10" x14ac:dyDescent="0.35">
      <c r="G2443" s="3"/>
      <c r="H2443" s="3"/>
      <c r="I2443" s="3"/>
      <c r="J2443" s="3"/>
    </row>
    <row r="2444" spans="7:10" x14ac:dyDescent="0.35">
      <c r="G2444" s="3"/>
      <c r="H2444" s="3"/>
      <c r="I2444" s="3"/>
      <c r="J2444" s="3"/>
    </row>
    <row r="2445" spans="7:10" x14ac:dyDescent="0.35">
      <c r="G2445" s="3"/>
      <c r="H2445" s="3"/>
      <c r="I2445" s="3"/>
      <c r="J2445" s="3"/>
    </row>
    <row r="2446" spans="7:10" x14ac:dyDescent="0.35">
      <c r="G2446" s="3"/>
      <c r="H2446" s="3"/>
      <c r="I2446" s="3"/>
      <c r="J2446" s="3"/>
    </row>
    <row r="2447" spans="7:10" x14ac:dyDescent="0.35">
      <c r="G2447" s="3"/>
      <c r="H2447" s="3"/>
      <c r="I2447" s="3"/>
      <c r="J2447" s="3"/>
    </row>
    <row r="2448" spans="7:10" x14ac:dyDescent="0.35">
      <c r="G2448" s="3"/>
      <c r="H2448" s="3"/>
      <c r="I2448" s="3"/>
      <c r="J2448" s="3"/>
    </row>
    <row r="2449" spans="7:10" x14ac:dyDescent="0.35">
      <c r="G2449" s="3"/>
      <c r="H2449" s="3"/>
      <c r="I2449" s="3"/>
      <c r="J2449" s="3"/>
    </row>
    <row r="2450" spans="7:10" x14ac:dyDescent="0.35">
      <c r="G2450" s="3"/>
      <c r="H2450" s="3"/>
      <c r="I2450" s="3"/>
      <c r="J2450" s="3"/>
    </row>
    <row r="2451" spans="7:10" x14ac:dyDescent="0.35">
      <c r="G2451" s="3"/>
      <c r="H2451" s="3"/>
      <c r="I2451" s="3"/>
      <c r="J2451" s="3"/>
    </row>
    <row r="2452" spans="7:10" x14ac:dyDescent="0.35">
      <c r="G2452" s="3"/>
      <c r="H2452" s="3"/>
      <c r="I2452" s="3"/>
      <c r="J2452" s="3"/>
    </row>
    <row r="2453" spans="7:10" x14ac:dyDescent="0.35">
      <c r="G2453" s="3"/>
      <c r="H2453" s="3"/>
      <c r="I2453" s="3"/>
      <c r="J2453" s="3"/>
    </row>
    <row r="2454" spans="7:10" x14ac:dyDescent="0.35">
      <c r="G2454" s="3"/>
      <c r="H2454" s="3"/>
      <c r="I2454" s="3"/>
      <c r="J2454" s="3"/>
    </row>
    <row r="2455" spans="7:10" x14ac:dyDescent="0.35">
      <c r="G2455" s="3"/>
      <c r="H2455" s="3"/>
      <c r="I2455" s="3"/>
      <c r="J2455" s="3"/>
    </row>
    <row r="2456" spans="7:10" x14ac:dyDescent="0.35">
      <c r="G2456" s="3"/>
      <c r="H2456" s="3"/>
      <c r="I2456" s="3"/>
      <c r="J2456" s="3"/>
    </row>
    <row r="2457" spans="7:10" x14ac:dyDescent="0.35">
      <c r="G2457" s="3"/>
      <c r="H2457" s="3"/>
      <c r="I2457" s="3"/>
      <c r="J2457" s="3"/>
    </row>
    <row r="2458" spans="7:10" x14ac:dyDescent="0.35">
      <c r="G2458" s="3"/>
      <c r="H2458" s="3"/>
      <c r="I2458" s="3"/>
      <c r="J2458" s="3"/>
    </row>
    <row r="2459" spans="7:10" x14ac:dyDescent="0.35">
      <c r="G2459" s="3"/>
      <c r="H2459" s="3"/>
      <c r="I2459" s="3"/>
      <c r="J2459" s="3"/>
    </row>
    <row r="2460" spans="7:10" x14ac:dyDescent="0.35">
      <c r="G2460" s="3"/>
      <c r="H2460" s="3"/>
      <c r="I2460" s="3"/>
      <c r="J2460" s="3"/>
    </row>
    <row r="2461" spans="7:10" x14ac:dyDescent="0.35">
      <c r="G2461" s="3"/>
      <c r="H2461" s="3"/>
      <c r="I2461" s="3"/>
      <c r="J2461" s="3"/>
    </row>
    <row r="2462" spans="7:10" x14ac:dyDescent="0.35">
      <c r="G2462" s="3"/>
      <c r="H2462" s="3"/>
      <c r="I2462" s="3"/>
      <c r="J2462" s="3"/>
    </row>
    <row r="2463" spans="7:10" x14ac:dyDescent="0.35">
      <c r="G2463" s="3"/>
      <c r="H2463" s="3"/>
      <c r="I2463" s="3"/>
      <c r="J2463" s="3"/>
    </row>
    <row r="2464" spans="7:10" x14ac:dyDescent="0.35">
      <c r="G2464" s="3"/>
      <c r="H2464" s="3"/>
      <c r="I2464" s="3"/>
      <c r="J2464" s="3"/>
    </row>
    <row r="2465" spans="7:10" x14ac:dyDescent="0.35">
      <c r="G2465" s="3"/>
      <c r="H2465" s="3"/>
      <c r="I2465" s="3"/>
      <c r="J2465" s="3"/>
    </row>
    <row r="2466" spans="7:10" x14ac:dyDescent="0.35">
      <c r="G2466" s="3"/>
      <c r="H2466" s="3"/>
      <c r="I2466" s="3"/>
      <c r="J2466" s="3"/>
    </row>
    <row r="2467" spans="7:10" x14ac:dyDescent="0.35">
      <c r="G2467" s="3"/>
      <c r="H2467" s="3"/>
      <c r="I2467" s="3"/>
      <c r="J2467" s="3"/>
    </row>
    <row r="2468" spans="7:10" x14ac:dyDescent="0.35">
      <c r="G2468" s="3"/>
      <c r="H2468" s="3"/>
      <c r="I2468" s="3"/>
      <c r="J2468" s="3"/>
    </row>
    <row r="2469" spans="7:10" x14ac:dyDescent="0.35">
      <c r="G2469" s="3"/>
      <c r="H2469" s="3"/>
      <c r="I2469" s="3"/>
      <c r="J2469" s="3"/>
    </row>
    <row r="2470" spans="7:10" x14ac:dyDescent="0.35">
      <c r="G2470" s="3"/>
      <c r="H2470" s="3"/>
      <c r="I2470" s="3"/>
      <c r="J2470" s="3"/>
    </row>
    <row r="2471" spans="7:10" x14ac:dyDescent="0.35">
      <c r="G2471" s="3"/>
      <c r="H2471" s="3"/>
      <c r="I2471" s="3"/>
      <c r="J2471" s="3"/>
    </row>
    <row r="2472" spans="7:10" x14ac:dyDescent="0.35">
      <c r="G2472" s="3"/>
      <c r="H2472" s="3"/>
      <c r="I2472" s="3"/>
      <c r="J2472" s="3"/>
    </row>
    <row r="2473" spans="7:10" x14ac:dyDescent="0.35">
      <c r="G2473" s="3"/>
      <c r="H2473" s="3"/>
      <c r="I2473" s="3"/>
      <c r="J2473" s="3"/>
    </row>
    <row r="2474" spans="7:10" x14ac:dyDescent="0.35">
      <c r="G2474" s="3"/>
      <c r="H2474" s="3"/>
      <c r="I2474" s="3"/>
      <c r="J2474" s="3"/>
    </row>
    <row r="2475" spans="7:10" x14ac:dyDescent="0.35">
      <c r="G2475" s="3"/>
      <c r="H2475" s="3"/>
      <c r="I2475" s="3"/>
      <c r="J2475" s="3"/>
    </row>
    <row r="2476" spans="7:10" x14ac:dyDescent="0.35">
      <c r="G2476" s="3"/>
      <c r="H2476" s="3"/>
      <c r="I2476" s="3"/>
      <c r="J2476" s="3"/>
    </row>
    <row r="2477" spans="7:10" x14ac:dyDescent="0.35">
      <c r="G2477" s="3"/>
      <c r="H2477" s="3"/>
      <c r="I2477" s="3"/>
      <c r="J2477" s="3"/>
    </row>
    <row r="2478" spans="7:10" x14ac:dyDescent="0.35">
      <c r="G2478" s="3"/>
      <c r="H2478" s="3"/>
      <c r="I2478" s="3"/>
      <c r="J2478" s="3"/>
    </row>
    <row r="2479" spans="7:10" x14ac:dyDescent="0.35">
      <c r="G2479" s="3"/>
      <c r="H2479" s="3"/>
      <c r="I2479" s="3"/>
      <c r="J2479" s="3"/>
    </row>
    <row r="2480" spans="7:10" x14ac:dyDescent="0.35">
      <c r="G2480" s="3"/>
      <c r="H2480" s="3"/>
      <c r="I2480" s="3"/>
      <c r="J2480" s="3"/>
    </row>
    <row r="2481" spans="7:10" x14ac:dyDescent="0.35">
      <c r="G2481" s="3"/>
      <c r="H2481" s="3"/>
      <c r="I2481" s="3"/>
      <c r="J2481" s="3"/>
    </row>
    <row r="2482" spans="7:10" x14ac:dyDescent="0.35">
      <c r="G2482" s="3"/>
      <c r="H2482" s="3"/>
      <c r="I2482" s="3"/>
      <c r="J2482" s="3"/>
    </row>
    <row r="2483" spans="7:10" x14ac:dyDescent="0.35">
      <c r="G2483" s="3"/>
      <c r="H2483" s="3"/>
      <c r="I2483" s="3"/>
      <c r="J2483" s="3"/>
    </row>
    <row r="2484" spans="7:10" x14ac:dyDescent="0.35">
      <c r="G2484" s="3"/>
      <c r="H2484" s="3"/>
      <c r="I2484" s="3"/>
      <c r="J2484" s="3"/>
    </row>
    <row r="2485" spans="7:10" x14ac:dyDescent="0.35">
      <c r="G2485" s="3"/>
      <c r="H2485" s="3"/>
      <c r="I2485" s="3"/>
      <c r="J2485" s="3"/>
    </row>
    <row r="2486" spans="7:10" x14ac:dyDescent="0.35">
      <c r="G2486" s="3"/>
      <c r="H2486" s="3"/>
      <c r="I2486" s="3"/>
      <c r="J2486" s="3"/>
    </row>
    <row r="2487" spans="7:10" x14ac:dyDescent="0.35">
      <c r="G2487" s="3"/>
      <c r="H2487" s="3"/>
      <c r="I2487" s="3"/>
      <c r="J2487" s="3"/>
    </row>
    <row r="2488" spans="7:10" x14ac:dyDescent="0.35">
      <c r="G2488" s="3"/>
      <c r="H2488" s="3"/>
      <c r="I2488" s="3"/>
      <c r="J2488" s="3"/>
    </row>
    <row r="2489" spans="7:10" x14ac:dyDescent="0.35">
      <c r="G2489" s="3"/>
      <c r="H2489" s="3"/>
      <c r="I2489" s="3"/>
      <c r="J2489" s="3"/>
    </row>
    <row r="2490" spans="7:10" x14ac:dyDescent="0.35">
      <c r="G2490" s="3"/>
      <c r="H2490" s="3"/>
      <c r="I2490" s="3"/>
      <c r="J2490" s="3"/>
    </row>
    <row r="2491" spans="7:10" x14ac:dyDescent="0.35">
      <c r="G2491" s="3"/>
      <c r="H2491" s="3"/>
      <c r="I2491" s="3"/>
      <c r="J2491" s="3"/>
    </row>
    <row r="2492" spans="7:10" x14ac:dyDescent="0.35">
      <c r="G2492" s="3"/>
      <c r="H2492" s="3"/>
      <c r="I2492" s="3"/>
      <c r="J2492" s="3"/>
    </row>
    <row r="2493" spans="7:10" x14ac:dyDescent="0.35">
      <c r="G2493" s="3"/>
      <c r="H2493" s="3"/>
      <c r="I2493" s="3"/>
      <c r="J2493" s="3"/>
    </row>
    <row r="2494" spans="7:10" x14ac:dyDescent="0.35">
      <c r="G2494" s="3"/>
      <c r="H2494" s="3"/>
      <c r="I2494" s="3"/>
      <c r="J2494" s="3"/>
    </row>
    <row r="2495" spans="7:10" x14ac:dyDescent="0.35">
      <c r="G2495" s="3"/>
      <c r="H2495" s="3"/>
      <c r="I2495" s="3"/>
      <c r="J2495" s="3"/>
    </row>
    <row r="2496" spans="7:10" x14ac:dyDescent="0.35">
      <c r="G2496" s="3"/>
      <c r="H2496" s="3"/>
      <c r="I2496" s="3"/>
      <c r="J2496" s="3"/>
    </row>
    <row r="2497" spans="7:10" x14ac:dyDescent="0.35">
      <c r="G2497" s="3"/>
      <c r="H2497" s="3"/>
      <c r="I2497" s="3"/>
      <c r="J2497" s="3"/>
    </row>
    <row r="2498" spans="7:10" x14ac:dyDescent="0.35">
      <c r="G2498" s="3"/>
      <c r="H2498" s="3"/>
      <c r="I2498" s="3"/>
      <c r="J2498" s="3"/>
    </row>
    <row r="2499" spans="7:10" x14ac:dyDescent="0.35">
      <c r="G2499" s="3"/>
      <c r="H2499" s="3"/>
      <c r="I2499" s="3"/>
      <c r="J2499" s="3"/>
    </row>
    <row r="2500" spans="7:10" x14ac:dyDescent="0.35">
      <c r="G2500" s="3"/>
      <c r="H2500" s="3"/>
      <c r="I2500" s="3"/>
      <c r="J2500" s="3"/>
    </row>
    <row r="2501" spans="7:10" x14ac:dyDescent="0.35">
      <c r="G2501" s="3"/>
      <c r="H2501" s="3"/>
      <c r="I2501" s="3"/>
      <c r="J2501" s="3"/>
    </row>
    <row r="2502" spans="7:10" x14ac:dyDescent="0.35">
      <c r="G2502" s="3"/>
      <c r="H2502" s="3"/>
      <c r="I2502" s="3"/>
      <c r="J2502" s="3"/>
    </row>
    <row r="2503" spans="7:10" x14ac:dyDescent="0.35">
      <c r="G2503" s="3"/>
      <c r="H2503" s="3"/>
      <c r="I2503" s="3"/>
      <c r="J2503" s="3"/>
    </row>
    <row r="2504" spans="7:10" x14ac:dyDescent="0.35">
      <c r="G2504" s="3"/>
      <c r="H2504" s="3"/>
      <c r="I2504" s="3"/>
      <c r="J2504" s="3"/>
    </row>
    <row r="2505" spans="7:10" x14ac:dyDescent="0.35">
      <c r="G2505" s="3"/>
      <c r="H2505" s="3"/>
      <c r="I2505" s="3"/>
      <c r="J2505" s="3"/>
    </row>
    <row r="2506" spans="7:10" x14ac:dyDescent="0.35">
      <c r="G2506" s="3"/>
      <c r="H2506" s="3"/>
      <c r="I2506" s="3"/>
      <c r="J2506" s="3"/>
    </row>
    <row r="2507" spans="7:10" x14ac:dyDescent="0.35">
      <c r="G2507" s="3"/>
      <c r="H2507" s="3"/>
      <c r="I2507" s="3"/>
      <c r="J2507" s="3"/>
    </row>
    <row r="2508" spans="7:10" x14ac:dyDescent="0.35">
      <c r="G2508" s="3"/>
      <c r="H2508" s="3"/>
      <c r="I2508" s="3"/>
      <c r="J2508" s="3"/>
    </row>
    <row r="2509" spans="7:10" x14ac:dyDescent="0.35">
      <c r="G2509" s="3"/>
      <c r="H2509" s="3"/>
      <c r="I2509" s="3"/>
      <c r="J2509" s="3"/>
    </row>
    <row r="2510" spans="7:10" x14ac:dyDescent="0.35">
      <c r="G2510" s="3"/>
      <c r="H2510" s="3"/>
      <c r="I2510" s="3"/>
      <c r="J2510" s="3"/>
    </row>
    <row r="2511" spans="7:10" x14ac:dyDescent="0.35">
      <c r="G2511" s="3"/>
      <c r="H2511" s="3"/>
      <c r="I2511" s="3"/>
      <c r="J2511" s="3"/>
    </row>
    <row r="2512" spans="7:10" x14ac:dyDescent="0.35">
      <c r="G2512" s="3"/>
      <c r="H2512" s="3"/>
      <c r="I2512" s="3"/>
      <c r="J2512" s="3"/>
    </row>
    <row r="2513" spans="7:10" x14ac:dyDescent="0.35">
      <c r="G2513" s="3"/>
      <c r="H2513" s="3"/>
      <c r="I2513" s="3"/>
      <c r="J2513" s="3"/>
    </row>
    <row r="2514" spans="7:10" x14ac:dyDescent="0.35">
      <c r="G2514" s="3"/>
      <c r="H2514" s="3"/>
      <c r="I2514" s="3"/>
      <c r="J2514" s="3"/>
    </row>
    <row r="2515" spans="7:10" x14ac:dyDescent="0.35">
      <c r="G2515" s="3"/>
      <c r="H2515" s="3"/>
      <c r="I2515" s="3"/>
      <c r="J2515" s="3"/>
    </row>
    <row r="2516" spans="7:10" x14ac:dyDescent="0.35">
      <c r="G2516" s="3"/>
      <c r="H2516" s="3"/>
      <c r="I2516" s="3"/>
      <c r="J2516" s="3"/>
    </row>
    <row r="2517" spans="7:10" x14ac:dyDescent="0.35">
      <c r="G2517" s="3"/>
      <c r="H2517" s="3"/>
      <c r="I2517" s="3"/>
      <c r="J2517" s="3"/>
    </row>
    <row r="2518" spans="7:10" x14ac:dyDescent="0.35">
      <c r="G2518" s="3"/>
      <c r="H2518" s="3"/>
      <c r="I2518" s="3"/>
      <c r="J2518" s="3"/>
    </row>
    <row r="2519" spans="7:10" x14ac:dyDescent="0.35">
      <c r="G2519" s="3"/>
      <c r="H2519" s="3"/>
      <c r="I2519" s="3"/>
      <c r="J2519" s="3"/>
    </row>
    <row r="2520" spans="7:10" x14ac:dyDescent="0.35">
      <c r="G2520" s="3"/>
      <c r="H2520" s="3"/>
      <c r="I2520" s="3"/>
      <c r="J2520" s="3"/>
    </row>
    <row r="2521" spans="7:10" x14ac:dyDescent="0.35">
      <c r="G2521" s="3"/>
      <c r="H2521" s="3"/>
      <c r="I2521" s="3"/>
      <c r="J2521" s="3"/>
    </row>
    <row r="2522" spans="7:10" x14ac:dyDescent="0.35">
      <c r="G2522" s="3"/>
      <c r="H2522" s="3"/>
      <c r="I2522" s="3"/>
      <c r="J2522" s="3"/>
    </row>
    <row r="2523" spans="7:10" x14ac:dyDescent="0.35">
      <c r="G2523" s="3"/>
      <c r="H2523" s="3"/>
      <c r="I2523" s="3"/>
      <c r="J2523" s="3"/>
    </row>
    <row r="2524" spans="7:10" x14ac:dyDescent="0.35">
      <c r="G2524" s="3"/>
      <c r="H2524" s="3"/>
      <c r="I2524" s="3"/>
      <c r="J2524" s="3"/>
    </row>
    <row r="2525" spans="7:10" x14ac:dyDescent="0.35">
      <c r="G2525" s="3"/>
      <c r="H2525" s="3"/>
      <c r="I2525" s="3"/>
      <c r="J2525" s="3"/>
    </row>
    <row r="2526" spans="7:10" x14ac:dyDescent="0.35">
      <c r="G2526" s="3"/>
      <c r="H2526" s="3"/>
      <c r="I2526" s="3"/>
      <c r="J2526" s="3"/>
    </row>
    <row r="2527" spans="7:10" x14ac:dyDescent="0.35">
      <c r="G2527" s="3"/>
      <c r="H2527" s="3"/>
      <c r="I2527" s="3"/>
      <c r="J2527" s="3"/>
    </row>
    <row r="2528" spans="7:10" x14ac:dyDescent="0.35">
      <c r="G2528" s="3"/>
      <c r="H2528" s="3"/>
      <c r="I2528" s="3"/>
      <c r="J2528" s="3"/>
    </row>
    <row r="2529" spans="7:10" x14ac:dyDescent="0.35">
      <c r="G2529" s="3"/>
      <c r="H2529" s="3"/>
      <c r="I2529" s="3"/>
      <c r="J2529" s="3"/>
    </row>
    <row r="2530" spans="7:10" x14ac:dyDescent="0.35">
      <c r="G2530" s="3"/>
      <c r="H2530" s="3"/>
      <c r="I2530" s="3"/>
      <c r="J2530" s="3"/>
    </row>
    <row r="2531" spans="7:10" x14ac:dyDescent="0.35">
      <c r="G2531" s="3"/>
      <c r="H2531" s="3"/>
      <c r="I2531" s="3"/>
      <c r="J2531" s="3"/>
    </row>
    <row r="2532" spans="7:10" x14ac:dyDescent="0.35">
      <c r="G2532" s="3"/>
      <c r="H2532" s="3"/>
      <c r="I2532" s="3"/>
      <c r="J2532" s="3"/>
    </row>
    <row r="2533" spans="7:10" x14ac:dyDescent="0.35">
      <c r="G2533" s="3"/>
      <c r="H2533" s="3"/>
      <c r="I2533" s="3"/>
      <c r="J2533" s="3"/>
    </row>
    <row r="2534" spans="7:10" x14ac:dyDescent="0.35">
      <c r="G2534" s="3"/>
      <c r="H2534" s="3"/>
      <c r="I2534" s="3"/>
      <c r="J2534" s="3"/>
    </row>
    <row r="2535" spans="7:10" x14ac:dyDescent="0.35">
      <c r="G2535" s="3"/>
      <c r="H2535" s="3"/>
      <c r="I2535" s="3"/>
      <c r="J2535" s="3"/>
    </row>
    <row r="2536" spans="7:10" x14ac:dyDescent="0.35">
      <c r="G2536" s="3"/>
      <c r="H2536" s="3"/>
      <c r="I2536" s="3"/>
      <c r="J2536" s="3"/>
    </row>
    <row r="2537" spans="7:10" x14ac:dyDescent="0.35">
      <c r="G2537" s="3"/>
      <c r="H2537" s="3"/>
      <c r="I2537" s="3"/>
      <c r="J2537" s="3"/>
    </row>
    <row r="2538" spans="7:10" x14ac:dyDescent="0.35">
      <c r="G2538" s="3"/>
      <c r="H2538" s="3"/>
      <c r="I2538" s="3"/>
      <c r="J2538" s="3"/>
    </row>
    <row r="2539" spans="7:10" x14ac:dyDescent="0.35">
      <c r="G2539" s="3"/>
      <c r="H2539" s="3"/>
      <c r="I2539" s="3"/>
      <c r="J2539" s="3"/>
    </row>
    <row r="2540" spans="7:10" x14ac:dyDescent="0.35">
      <c r="G2540" s="3"/>
      <c r="H2540" s="3"/>
      <c r="I2540" s="3"/>
      <c r="J2540" s="3"/>
    </row>
    <row r="2541" spans="7:10" x14ac:dyDescent="0.35">
      <c r="G2541" s="3"/>
      <c r="H2541" s="3"/>
      <c r="I2541" s="3"/>
      <c r="J2541" s="3"/>
    </row>
    <row r="2542" spans="7:10" x14ac:dyDescent="0.35">
      <c r="G2542" s="3"/>
      <c r="H2542" s="3"/>
      <c r="I2542" s="3"/>
      <c r="J2542" s="3"/>
    </row>
    <row r="2543" spans="7:10" x14ac:dyDescent="0.35">
      <c r="G2543" s="3"/>
      <c r="H2543" s="3"/>
      <c r="I2543" s="3"/>
      <c r="J2543" s="3"/>
    </row>
    <row r="2544" spans="7:10" x14ac:dyDescent="0.35">
      <c r="G2544" s="3"/>
      <c r="H2544" s="3"/>
      <c r="I2544" s="3"/>
      <c r="J2544" s="3"/>
    </row>
    <row r="2545" spans="7:10" x14ac:dyDescent="0.35">
      <c r="G2545" s="3"/>
      <c r="H2545" s="3"/>
      <c r="I2545" s="3"/>
      <c r="J2545" s="3"/>
    </row>
    <row r="2546" spans="7:10" x14ac:dyDescent="0.35">
      <c r="G2546" s="3"/>
      <c r="H2546" s="3"/>
      <c r="I2546" s="3"/>
      <c r="J2546" s="3"/>
    </row>
    <row r="2547" spans="7:10" x14ac:dyDescent="0.35">
      <c r="G2547" s="3"/>
      <c r="H2547" s="3"/>
      <c r="I2547" s="3"/>
      <c r="J2547" s="3"/>
    </row>
    <row r="2548" spans="7:10" x14ac:dyDescent="0.35">
      <c r="G2548" s="3"/>
      <c r="H2548" s="3"/>
      <c r="I2548" s="3"/>
      <c r="J2548" s="3"/>
    </row>
    <row r="2549" spans="7:10" x14ac:dyDescent="0.35">
      <c r="G2549" s="3"/>
      <c r="H2549" s="3"/>
      <c r="I2549" s="3"/>
      <c r="J2549" s="3"/>
    </row>
    <row r="2550" spans="7:10" x14ac:dyDescent="0.35">
      <c r="G2550" s="3"/>
      <c r="H2550" s="3"/>
      <c r="I2550" s="3"/>
      <c r="J2550" s="3"/>
    </row>
    <row r="2551" spans="7:10" x14ac:dyDescent="0.35">
      <c r="G2551" s="3"/>
      <c r="H2551" s="3"/>
      <c r="I2551" s="3"/>
      <c r="J2551" s="3"/>
    </row>
    <row r="2552" spans="7:10" x14ac:dyDescent="0.35">
      <c r="G2552" s="3"/>
      <c r="H2552" s="3"/>
      <c r="I2552" s="3"/>
      <c r="J2552" s="3"/>
    </row>
    <row r="2553" spans="7:10" x14ac:dyDescent="0.35">
      <c r="G2553" s="3"/>
      <c r="H2553" s="3"/>
      <c r="I2553" s="3"/>
      <c r="J2553" s="3"/>
    </row>
    <row r="2554" spans="7:10" x14ac:dyDescent="0.35">
      <c r="G2554" s="3"/>
      <c r="H2554" s="3"/>
      <c r="I2554" s="3"/>
      <c r="J2554" s="3"/>
    </row>
    <row r="2555" spans="7:10" x14ac:dyDescent="0.35">
      <c r="G2555" s="3"/>
      <c r="H2555" s="3"/>
      <c r="I2555" s="3"/>
      <c r="J2555" s="3"/>
    </row>
    <row r="2556" spans="7:10" x14ac:dyDescent="0.35">
      <c r="G2556" s="3"/>
      <c r="H2556" s="3"/>
      <c r="I2556" s="3"/>
      <c r="J2556" s="3"/>
    </row>
    <row r="2557" spans="7:10" x14ac:dyDescent="0.35">
      <c r="G2557" s="3"/>
      <c r="H2557" s="3"/>
      <c r="I2557" s="3"/>
      <c r="J2557" s="3"/>
    </row>
    <row r="2558" spans="7:10" x14ac:dyDescent="0.35">
      <c r="G2558" s="3"/>
      <c r="H2558" s="3"/>
      <c r="I2558" s="3"/>
      <c r="J2558" s="3"/>
    </row>
    <row r="2559" spans="7:10" x14ac:dyDescent="0.35">
      <c r="G2559" s="3"/>
      <c r="H2559" s="3"/>
      <c r="I2559" s="3"/>
      <c r="J2559" s="3"/>
    </row>
    <row r="2560" spans="7:10" x14ac:dyDescent="0.35">
      <c r="G2560" s="3"/>
      <c r="H2560" s="3"/>
      <c r="I2560" s="3"/>
      <c r="J2560" s="3"/>
    </row>
    <row r="2561" spans="7:10" x14ac:dyDescent="0.35">
      <c r="G2561" s="3"/>
      <c r="H2561" s="3"/>
      <c r="I2561" s="3"/>
      <c r="J2561" s="3"/>
    </row>
    <row r="2562" spans="7:10" x14ac:dyDescent="0.35">
      <c r="G2562" s="3"/>
      <c r="H2562" s="3"/>
      <c r="I2562" s="3"/>
      <c r="J2562" s="3"/>
    </row>
    <row r="2563" spans="7:10" x14ac:dyDescent="0.35">
      <c r="G2563" s="3"/>
      <c r="H2563" s="3"/>
      <c r="I2563" s="3"/>
      <c r="J2563" s="3"/>
    </row>
    <row r="2564" spans="7:10" x14ac:dyDescent="0.35">
      <c r="G2564" s="3"/>
      <c r="H2564" s="3"/>
      <c r="I2564" s="3"/>
      <c r="J2564" s="3"/>
    </row>
    <row r="2565" spans="7:10" x14ac:dyDescent="0.35">
      <c r="G2565" s="3"/>
      <c r="H2565" s="3"/>
      <c r="I2565" s="3"/>
      <c r="J2565" s="3"/>
    </row>
    <row r="2566" spans="7:10" x14ac:dyDescent="0.35">
      <c r="G2566" s="3"/>
      <c r="H2566" s="3"/>
      <c r="I2566" s="3"/>
      <c r="J2566" s="3"/>
    </row>
    <row r="2567" spans="7:10" x14ac:dyDescent="0.35">
      <c r="G2567" s="3"/>
      <c r="H2567" s="3"/>
      <c r="I2567" s="3"/>
      <c r="J2567" s="3"/>
    </row>
    <row r="2568" spans="7:10" x14ac:dyDescent="0.35">
      <c r="G2568" s="3"/>
      <c r="H2568" s="3"/>
      <c r="I2568" s="3"/>
      <c r="J2568" s="3"/>
    </row>
    <row r="2569" spans="7:10" x14ac:dyDescent="0.35">
      <c r="G2569" s="3"/>
      <c r="H2569" s="3"/>
      <c r="I2569" s="3"/>
      <c r="J2569" s="3"/>
    </row>
    <row r="2570" spans="7:10" x14ac:dyDescent="0.35">
      <c r="G2570" s="3"/>
      <c r="H2570" s="3"/>
      <c r="I2570" s="3"/>
      <c r="J2570" s="3"/>
    </row>
    <row r="2571" spans="7:10" x14ac:dyDescent="0.35">
      <c r="G2571" s="3"/>
      <c r="H2571" s="3"/>
      <c r="I2571" s="3"/>
      <c r="J2571" s="3"/>
    </row>
    <row r="2572" spans="7:10" x14ac:dyDescent="0.35">
      <c r="G2572" s="3"/>
      <c r="H2572" s="3"/>
      <c r="I2572" s="3"/>
      <c r="J2572" s="3"/>
    </row>
    <row r="2573" spans="7:10" x14ac:dyDescent="0.35">
      <c r="G2573" s="3"/>
      <c r="H2573" s="3"/>
      <c r="I2573" s="3"/>
      <c r="J2573" s="3"/>
    </row>
    <row r="2574" spans="7:10" x14ac:dyDescent="0.35">
      <c r="G2574" s="3"/>
      <c r="H2574" s="3"/>
      <c r="I2574" s="3"/>
      <c r="J2574" s="3"/>
    </row>
    <row r="2575" spans="7:10" x14ac:dyDescent="0.35">
      <c r="G2575" s="3"/>
      <c r="H2575" s="3"/>
      <c r="I2575" s="3"/>
      <c r="J2575" s="3"/>
    </row>
    <row r="2576" spans="7:10" x14ac:dyDescent="0.35">
      <c r="G2576" s="3"/>
      <c r="H2576" s="3"/>
      <c r="I2576" s="3"/>
      <c r="J2576" s="3"/>
    </row>
    <row r="2577" spans="7:10" x14ac:dyDescent="0.35">
      <c r="G2577" s="3"/>
      <c r="H2577" s="3"/>
      <c r="I2577" s="3"/>
      <c r="J2577" s="3"/>
    </row>
    <row r="2578" spans="7:10" x14ac:dyDescent="0.35">
      <c r="G2578" s="3"/>
      <c r="H2578" s="3"/>
      <c r="I2578" s="3"/>
      <c r="J2578" s="3"/>
    </row>
    <row r="2579" spans="7:10" x14ac:dyDescent="0.35">
      <c r="G2579" s="3"/>
      <c r="H2579" s="3"/>
      <c r="I2579" s="3"/>
      <c r="J2579" s="3"/>
    </row>
    <row r="2580" spans="7:10" x14ac:dyDescent="0.35">
      <c r="G2580" s="3"/>
      <c r="H2580" s="3"/>
      <c r="I2580" s="3"/>
      <c r="J2580" s="3"/>
    </row>
    <row r="2581" spans="7:10" x14ac:dyDescent="0.35">
      <c r="G2581" s="3"/>
      <c r="H2581" s="3"/>
      <c r="I2581" s="3"/>
      <c r="J2581" s="3"/>
    </row>
    <row r="2582" spans="7:10" x14ac:dyDescent="0.35">
      <c r="G2582" s="3"/>
      <c r="H2582" s="3"/>
      <c r="I2582" s="3"/>
      <c r="J2582" s="3"/>
    </row>
    <row r="2583" spans="7:10" x14ac:dyDescent="0.35">
      <c r="G2583" s="3"/>
      <c r="H2583" s="3"/>
      <c r="I2583" s="3"/>
      <c r="J2583" s="3"/>
    </row>
    <row r="2584" spans="7:10" x14ac:dyDescent="0.35">
      <c r="G2584" s="3"/>
      <c r="H2584" s="3"/>
      <c r="I2584" s="3"/>
      <c r="J2584" s="3"/>
    </row>
    <row r="2585" spans="7:10" x14ac:dyDescent="0.35">
      <c r="G2585" s="3"/>
      <c r="H2585" s="3"/>
      <c r="I2585" s="3"/>
      <c r="J2585" s="3"/>
    </row>
    <row r="2586" spans="7:10" x14ac:dyDescent="0.35">
      <c r="G2586" s="3"/>
      <c r="H2586" s="3"/>
      <c r="I2586" s="3"/>
      <c r="J2586" s="3"/>
    </row>
    <row r="2587" spans="7:10" x14ac:dyDescent="0.35">
      <c r="G2587" s="3"/>
      <c r="H2587" s="3"/>
      <c r="I2587" s="3"/>
      <c r="J2587" s="3"/>
    </row>
    <row r="2588" spans="7:10" x14ac:dyDescent="0.35">
      <c r="G2588" s="3"/>
      <c r="H2588" s="3"/>
      <c r="I2588" s="3"/>
      <c r="J2588" s="3"/>
    </row>
    <row r="2589" spans="7:10" x14ac:dyDescent="0.35">
      <c r="G2589" s="3"/>
      <c r="H2589" s="3"/>
      <c r="I2589" s="3"/>
      <c r="J2589" s="3"/>
    </row>
    <row r="2590" spans="7:10" x14ac:dyDescent="0.35">
      <c r="G2590" s="3"/>
      <c r="H2590" s="3"/>
      <c r="I2590" s="3"/>
      <c r="J2590" s="3"/>
    </row>
    <row r="2591" spans="7:10" x14ac:dyDescent="0.35">
      <c r="G2591" s="3"/>
      <c r="H2591" s="3"/>
      <c r="I2591" s="3"/>
      <c r="J2591" s="3"/>
    </row>
    <row r="2592" spans="7:10" x14ac:dyDescent="0.35">
      <c r="G2592" s="3"/>
      <c r="H2592" s="3"/>
      <c r="I2592" s="3"/>
      <c r="J2592" s="3"/>
    </row>
    <row r="2593" spans="7:10" x14ac:dyDescent="0.35">
      <c r="G2593" s="3"/>
      <c r="H2593" s="3"/>
      <c r="I2593" s="3"/>
      <c r="J2593" s="3"/>
    </row>
    <row r="2594" spans="7:10" x14ac:dyDescent="0.35">
      <c r="G2594" s="3"/>
      <c r="H2594" s="3"/>
      <c r="I2594" s="3"/>
      <c r="J2594" s="3"/>
    </row>
    <row r="2595" spans="7:10" x14ac:dyDescent="0.35">
      <c r="G2595" s="3"/>
      <c r="H2595" s="3"/>
      <c r="I2595" s="3"/>
      <c r="J2595" s="3"/>
    </row>
    <row r="2596" spans="7:10" x14ac:dyDescent="0.35">
      <c r="G2596" s="3"/>
      <c r="H2596" s="3"/>
      <c r="I2596" s="3"/>
      <c r="J2596" s="3"/>
    </row>
    <row r="2597" spans="7:10" x14ac:dyDescent="0.35">
      <c r="G2597" s="3"/>
      <c r="H2597" s="3"/>
      <c r="I2597" s="3"/>
      <c r="J2597" s="3"/>
    </row>
    <row r="2598" spans="7:10" x14ac:dyDescent="0.35">
      <c r="G2598" s="3"/>
      <c r="H2598" s="3"/>
      <c r="I2598" s="3"/>
      <c r="J2598" s="3"/>
    </row>
    <row r="2599" spans="7:10" x14ac:dyDescent="0.35">
      <c r="G2599" s="3"/>
      <c r="H2599" s="3"/>
      <c r="I2599" s="3"/>
      <c r="J2599" s="3"/>
    </row>
    <row r="2600" spans="7:10" x14ac:dyDescent="0.35">
      <c r="G2600" s="3"/>
      <c r="H2600" s="3"/>
      <c r="I2600" s="3"/>
      <c r="J2600" s="3"/>
    </row>
    <row r="2601" spans="7:10" x14ac:dyDescent="0.35">
      <c r="G2601" s="3"/>
      <c r="H2601" s="3"/>
      <c r="I2601" s="3"/>
      <c r="J2601" s="3"/>
    </row>
    <row r="2602" spans="7:10" x14ac:dyDescent="0.35">
      <c r="G2602" s="3"/>
      <c r="H2602" s="3"/>
      <c r="I2602" s="3"/>
      <c r="J2602" s="3"/>
    </row>
    <row r="2603" spans="7:10" x14ac:dyDescent="0.35">
      <c r="G2603" s="3"/>
      <c r="H2603" s="3"/>
      <c r="I2603" s="3"/>
      <c r="J2603" s="3"/>
    </row>
    <row r="2604" spans="7:10" x14ac:dyDescent="0.35">
      <c r="G2604" s="3"/>
      <c r="H2604" s="3"/>
      <c r="I2604" s="3"/>
      <c r="J2604" s="3"/>
    </row>
    <row r="2605" spans="7:10" x14ac:dyDescent="0.35">
      <c r="G2605" s="3"/>
      <c r="H2605" s="3"/>
      <c r="I2605" s="3"/>
      <c r="J2605" s="3"/>
    </row>
    <row r="2606" spans="7:10" x14ac:dyDescent="0.35">
      <c r="G2606" s="3"/>
      <c r="H2606" s="3"/>
      <c r="I2606" s="3"/>
      <c r="J2606" s="3"/>
    </row>
    <row r="2607" spans="7:10" x14ac:dyDescent="0.35">
      <c r="G2607" s="3"/>
      <c r="H2607" s="3"/>
      <c r="I2607" s="3"/>
      <c r="J2607" s="3"/>
    </row>
    <row r="2608" spans="7:10" x14ac:dyDescent="0.35">
      <c r="G2608" s="3"/>
      <c r="H2608" s="3"/>
      <c r="I2608" s="3"/>
      <c r="J2608" s="3"/>
    </row>
    <row r="2609" spans="7:10" x14ac:dyDescent="0.35">
      <c r="G2609" s="3"/>
      <c r="H2609" s="3"/>
      <c r="I2609" s="3"/>
      <c r="J2609" s="3"/>
    </row>
    <row r="2610" spans="7:10" x14ac:dyDescent="0.35">
      <c r="G2610" s="3"/>
      <c r="H2610" s="3"/>
      <c r="I2610" s="3"/>
      <c r="J2610" s="3"/>
    </row>
    <row r="2611" spans="7:10" x14ac:dyDescent="0.35">
      <c r="G2611" s="3"/>
      <c r="H2611" s="3"/>
      <c r="I2611" s="3"/>
      <c r="J2611" s="3"/>
    </row>
    <row r="2612" spans="7:10" x14ac:dyDescent="0.35">
      <c r="G2612" s="3"/>
      <c r="H2612" s="3"/>
      <c r="I2612" s="3"/>
      <c r="J2612" s="3"/>
    </row>
    <row r="2613" spans="7:10" x14ac:dyDescent="0.35">
      <c r="G2613" s="3"/>
      <c r="H2613" s="3"/>
      <c r="I2613" s="3"/>
      <c r="J2613" s="3"/>
    </row>
    <row r="2614" spans="7:10" x14ac:dyDescent="0.35">
      <c r="G2614" s="3"/>
      <c r="H2614" s="3"/>
      <c r="I2614" s="3"/>
      <c r="J2614" s="3"/>
    </row>
    <row r="2615" spans="7:10" x14ac:dyDescent="0.35">
      <c r="G2615" s="3"/>
      <c r="H2615" s="3"/>
      <c r="I2615" s="3"/>
      <c r="J2615" s="3"/>
    </row>
    <row r="2616" spans="7:10" x14ac:dyDescent="0.35">
      <c r="G2616" s="3"/>
      <c r="H2616" s="3"/>
      <c r="I2616" s="3"/>
      <c r="J2616" s="3"/>
    </row>
    <row r="2617" spans="7:10" x14ac:dyDescent="0.35">
      <c r="G2617" s="3"/>
      <c r="H2617" s="3"/>
      <c r="I2617" s="3"/>
      <c r="J2617" s="3"/>
    </row>
    <row r="2618" spans="7:10" x14ac:dyDescent="0.35">
      <c r="G2618" s="3"/>
      <c r="H2618" s="3"/>
      <c r="I2618" s="3"/>
      <c r="J2618" s="3"/>
    </row>
    <row r="2619" spans="7:10" x14ac:dyDescent="0.35">
      <c r="G2619" s="3"/>
      <c r="H2619" s="3"/>
      <c r="I2619" s="3"/>
      <c r="J2619" s="3"/>
    </row>
    <row r="2620" spans="7:10" x14ac:dyDescent="0.35">
      <c r="G2620" s="3"/>
      <c r="H2620" s="3"/>
      <c r="I2620" s="3"/>
      <c r="J2620" s="3"/>
    </row>
    <row r="2621" spans="7:10" x14ac:dyDescent="0.35">
      <c r="G2621" s="3"/>
      <c r="H2621" s="3"/>
      <c r="I2621" s="3"/>
      <c r="J2621" s="3"/>
    </row>
    <row r="2622" spans="7:10" x14ac:dyDescent="0.35">
      <c r="G2622" s="3"/>
      <c r="H2622" s="3"/>
      <c r="I2622" s="3"/>
      <c r="J2622" s="3"/>
    </row>
    <row r="2623" spans="7:10" x14ac:dyDescent="0.35">
      <c r="G2623" s="3"/>
      <c r="H2623" s="3"/>
      <c r="I2623" s="3"/>
      <c r="J2623" s="3"/>
    </row>
    <row r="2624" spans="7:10" x14ac:dyDescent="0.35">
      <c r="G2624" s="3"/>
      <c r="H2624" s="3"/>
      <c r="I2624" s="3"/>
      <c r="J2624" s="3"/>
    </row>
    <row r="2625" spans="7:10" x14ac:dyDescent="0.35">
      <c r="G2625" s="3"/>
      <c r="H2625" s="3"/>
      <c r="I2625" s="3"/>
      <c r="J2625" s="3"/>
    </row>
    <row r="2626" spans="7:10" x14ac:dyDescent="0.35">
      <c r="G2626" s="3"/>
      <c r="H2626" s="3"/>
      <c r="I2626" s="3"/>
      <c r="J2626" s="3"/>
    </row>
    <row r="2627" spans="7:10" x14ac:dyDescent="0.35">
      <c r="G2627" s="3"/>
      <c r="H2627" s="3"/>
      <c r="I2627" s="3"/>
      <c r="J2627" s="3"/>
    </row>
    <row r="2628" spans="7:10" x14ac:dyDescent="0.35">
      <c r="G2628" s="3"/>
      <c r="H2628" s="3"/>
      <c r="I2628" s="3"/>
      <c r="J2628" s="3"/>
    </row>
    <row r="2629" spans="7:10" x14ac:dyDescent="0.35">
      <c r="G2629" s="3"/>
      <c r="H2629" s="3"/>
      <c r="I2629" s="3"/>
      <c r="J2629" s="3"/>
    </row>
    <row r="2630" spans="7:10" x14ac:dyDescent="0.35">
      <c r="G2630" s="3"/>
      <c r="H2630" s="3"/>
      <c r="I2630" s="3"/>
      <c r="J2630" s="3"/>
    </row>
    <row r="2631" spans="7:10" x14ac:dyDescent="0.35">
      <c r="G2631" s="3"/>
      <c r="H2631" s="3"/>
      <c r="I2631" s="3"/>
      <c r="J2631" s="3"/>
    </row>
    <row r="2632" spans="7:10" x14ac:dyDescent="0.35">
      <c r="G2632" s="3"/>
      <c r="H2632" s="3"/>
      <c r="I2632" s="3"/>
      <c r="J2632" s="3"/>
    </row>
    <row r="2633" spans="7:10" x14ac:dyDescent="0.35">
      <c r="G2633" s="3"/>
      <c r="H2633" s="3"/>
      <c r="I2633" s="3"/>
      <c r="J2633" s="3"/>
    </row>
    <row r="2634" spans="7:10" x14ac:dyDescent="0.35">
      <c r="G2634" s="3"/>
      <c r="H2634" s="3"/>
      <c r="I2634" s="3"/>
      <c r="J2634" s="3"/>
    </row>
    <row r="2635" spans="7:10" x14ac:dyDescent="0.35">
      <c r="G2635" s="3"/>
      <c r="H2635" s="3"/>
      <c r="I2635" s="3"/>
      <c r="J2635" s="3"/>
    </row>
    <row r="2636" spans="7:10" x14ac:dyDescent="0.35">
      <c r="G2636" s="3"/>
      <c r="H2636" s="3"/>
      <c r="I2636" s="3"/>
      <c r="J2636" s="3"/>
    </row>
    <row r="2637" spans="7:10" x14ac:dyDescent="0.35">
      <c r="G2637" s="3"/>
      <c r="H2637" s="3"/>
      <c r="I2637" s="3"/>
      <c r="J2637" s="3"/>
    </row>
    <row r="2638" spans="7:10" x14ac:dyDescent="0.35">
      <c r="G2638" s="3"/>
      <c r="H2638" s="3"/>
      <c r="I2638" s="3"/>
      <c r="J2638" s="3"/>
    </row>
    <row r="2639" spans="7:10" x14ac:dyDescent="0.35">
      <c r="G2639" s="3"/>
      <c r="H2639" s="3"/>
      <c r="I2639" s="3"/>
      <c r="J2639" s="3"/>
    </row>
    <row r="2640" spans="7:10" x14ac:dyDescent="0.35">
      <c r="G2640" s="3"/>
      <c r="H2640" s="3"/>
      <c r="I2640" s="3"/>
      <c r="J2640" s="3"/>
    </row>
    <row r="2641" spans="7:10" x14ac:dyDescent="0.35">
      <c r="G2641" s="3"/>
      <c r="H2641" s="3"/>
      <c r="I2641" s="3"/>
      <c r="J2641" s="3"/>
    </row>
    <row r="2642" spans="7:10" x14ac:dyDescent="0.35">
      <c r="G2642" s="3"/>
      <c r="H2642" s="3"/>
      <c r="I2642" s="3"/>
      <c r="J2642" s="3"/>
    </row>
    <row r="2643" spans="7:10" x14ac:dyDescent="0.35">
      <c r="G2643" s="3"/>
      <c r="H2643" s="3"/>
      <c r="I2643" s="3"/>
      <c r="J2643" s="3"/>
    </row>
    <row r="2644" spans="7:10" x14ac:dyDescent="0.35">
      <c r="G2644" s="3"/>
      <c r="H2644" s="3"/>
      <c r="I2644" s="3"/>
      <c r="J2644" s="3"/>
    </row>
    <row r="2645" spans="7:10" x14ac:dyDescent="0.35">
      <c r="G2645" s="3"/>
      <c r="H2645" s="3"/>
      <c r="I2645" s="3"/>
      <c r="J2645" s="3"/>
    </row>
    <row r="2646" spans="7:10" x14ac:dyDescent="0.35">
      <c r="G2646" s="3"/>
      <c r="H2646" s="3"/>
      <c r="I2646" s="3"/>
      <c r="J2646" s="3"/>
    </row>
    <row r="2647" spans="7:10" x14ac:dyDescent="0.35">
      <c r="G2647" s="3"/>
      <c r="H2647" s="3"/>
      <c r="I2647" s="3"/>
      <c r="J2647" s="3"/>
    </row>
    <row r="2648" spans="7:10" x14ac:dyDescent="0.35">
      <c r="G2648" s="3"/>
      <c r="H2648" s="3"/>
      <c r="I2648" s="3"/>
      <c r="J2648" s="3"/>
    </row>
    <row r="2649" spans="7:10" x14ac:dyDescent="0.35">
      <c r="G2649" s="3"/>
      <c r="H2649" s="3"/>
      <c r="I2649" s="3"/>
      <c r="J2649" s="3"/>
    </row>
    <row r="2650" spans="7:10" x14ac:dyDescent="0.35">
      <c r="G2650" s="3"/>
      <c r="H2650" s="3"/>
      <c r="I2650" s="3"/>
      <c r="J2650" s="3"/>
    </row>
    <row r="2651" spans="7:10" x14ac:dyDescent="0.35">
      <c r="G2651" s="3"/>
      <c r="H2651" s="3"/>
      <c r="I2651" s="3"/>
      <c r="J2651" s="3"/>
    </row>
    <row r="2652" spans="7:10" x14ac:dyDescent="0.35">
      <c r="G2652" s="3"/>
      <c r="H2652" s="3"/>
      <c r="I2652" s="3"/>
      <c r="J2652" s="3"/>
    </row>
    <row r="2653" spans="7:10" x14ac:dyDescent="0.35">
      <c r="G2653" s="3"/>
      <c r="H2653" s="3"/>
      <c r="I2653" s="3"/>
      <c r="J2653" s="3"/>
    </row>
    <row r="2654" spans="7:10" x14ac:dyDescent="0.35">
      <c r="G2654" s="3"/>
      <c r="H2654" s="3"/>
      <c r="I2654" s="3"/>
      <c r="J2654" s="3"/>
    </row>
    <row r="2655" spans="7:10" x14ac:dyDescent="0.35">
      <c r="G2655" s="3"/>
      <c r="H2655" s="3"/>
      <c r="I2655" s="3"/>
      <c r="J2655" s="3"/>
    </row>
    <row r="2656" spans="7:10" x14ac:dyDescent="0.35">
      <c r="G2656" s="3"/>
      <c r="H2656" s="3"/>
      <c r="I2656" s="3"/>
      <c r="J2656" s="3"/>
    </row>
    <row r="2657" spans="7:10" x14ac:dyDescent="0.35">
      <c r="G2657" s="3"/>
      <c r="H2657" s="3"/>
      <c r="I2657" s="3"/>
      <c r="J2657" s="3"/>
    </row>
    <row r="2658" spans="7:10" x14ac:dyDescent="0.35">
      <c r="G2658" s="3"/>
      <c r="H2658" s="3"/>
      <c r="I2658" s="3"/>
      <c r="J2658" s="3"/>
    </row>
    <row r="2659" spans="7:10" x14ac:dyDescent="0.35">
      <c r="G2659" s="3"/>
      <c r="H2659" s="3"/>
      <c r="I2659" s="3"/>
      <c r="J2659" s="3"/>
    </row>
    <row r="2660" spans="7:10" x14ac:dyDescent="0.35">
      <c r="G2660" s="3"/>
      <c r="H2660" s="3"/>
      <c r="I2660" s="3"/>
      <c r="J2660" s="3"/>
    </row>
    <row r="2661" spans="7:10" x14ac:dyDescent="0.35">
      <c r="G2661" s="3"/>
      <c r="H2661" s="3"/>
      <c r="I2661" s="3"/>
      <c r="J2661" s="3"/>
    </row>
    <row r="2662" spans="7:10" x14ac:dyDescent="0.35">
      <c r="G2662" s="3"/>
      <c r="H2662" s="3"/>
      <c r="I2662" s="3"/>
      <c r="J2662" s="3"/>
    </row>
    <row r="2663" spans="7:10" x14ac:dyDescent="0.35">
      <c r="G2663" s="3"/>
      <c r="H2663" s="3"/>
      <c r="I2663" s="3"/>
      <c r="J2663" s="3"/>
    </row>
    <row r="2664" spans="7:10" x14ac:dyDescent="0.35">
      <c r="G2664" s="3"/>
      <c r="H2664" s="3"/>
      <c r="I2664" s="3"/>
      <c r="J2664" s="3"/>
    </row>
    <row r="2665" spans="7:10" x14ac:dyDescent="0.35">
      <c r="G2665" s="3"/>
      <c r="H2665" s="3"/>
      <c r="I2665" s="3"/>
      <c r="J2665" s="3"/>
    </row>
    <row r="2666" spans="7:10" x14ac:dyDescent="0.35">
      <c r="G2666" s="3"/>
      <c r="H2666" s="3"/>
      <c r="I2666" s="3"/>
      <c r="J2666" s="3"/>
    </row>
    <row r="2667" spans="7:10" x14ac:dyDescent="0.35">
      <c r="G2667" s="3"/>
      <c r="H2667" s="3"/>
      <c r="I2667" s="3"/>
      <c r="J2667" s="3"/>
    </row>
    <row r="2668" spans="7:10" x14ac:dyDescent="0.35">
      <c r="G2668" s="3"/>
      <c r="H2668" s="3"/>
      <c r="I2668" s="3"/>
      <c r="J2668" s="3"/>
    </row>
    <row r="2669" spans="7:10" x14ac:dyDescent="0.35">
      <c r="G2669" s="3"/>
      <c r="H2669" s="3"/>
      <c r="I2669" s="3"/>
      <c r="J2669" s="3"/>
    </row>
    <row r="2670" spans="7:10" x14ac:dyDescent="0.35">
      <c r="G2670" s="3"/>
      <c r="H2670" s="3"/>
      <c r="I2670" s="3"/>
      <c r="J2670" s="3"/>
    </row>
    <row r="2671" spans="7:10" x14ac:dyDescent="0.35">
      <c r="G2671" s="3"/>
      <c r="H2671" s="3"/>
      <c r="I2671" s="3"/>
      <c r="J2671" s="3"/>
    </row>
    <row r="2672" spans="7:10" x14ac:dyDescent="0.35">
      <c r="G2672" s="3"/>
      <c r="H2672" s="3"/>
      <c r="I2672" s="3"/>
      <c r="J2672" s="3"/>
    </row>
    <row r="2673" spans="7:10" x14ac:dyDescent="0.35">
      <c r="G2673" s="3"/>
      <c r="H2673" s="3"/>
      <c r="I2673" s="3"/>
      <c r="J2673" s="3"/>
    </row>
    <row r="2674" spans="7:10" x14ac:dyDescent="0.35">
      <c r="G2674" s="3"/>
      <c r="H2674" s="3"/>
      <c r="I2674" s="3"/>
      <c r="J2674" s="3"/>
    </row>
    <row r="2675" spans="7:10" x14ac:dyDescent="0.35">
      <c r="G2675" s="3"/>
      <c r="H2675" s="3"/>
      <c r="I2675" s="3"/>
      <c r="J2675" s="3"/>
    </row>
    <row r="2676" spans="7:10" x14ac:dyDescent="0.35">
      <c r="G2676" s="3"/>
      <c r="H2676" s="3"/>
      <c r="I2676" s="3"/>
      <c r="J2676" s="3"/>
    </row>
    <row r="2677" spans="7:10" x14ac:dyDescent="0.35">
      <c r="G2677" s="3"/>
      <c r="H2677" s="3"/>
      <c r="I2677" s="3"/>
      <c r="J2677" s="3"/>
    </row>
    <row r="2678" spans="7:10" x14ac:dyDescent="0.35">
      <c r="G2678" s="3"/>
      <c r="H2678" s="3"/>
      <c r="I2678" s="3"/>
      <c r="J2678" s="3"/>
    </row>
    <row r="2679" spans="7:10" x14ac:dyDescent="0.35">
      <c r="G2679" s="3"/>
      <c r="H2679" s="3"/>
      <c r="I2679" s="3"/>
      <c r="J2679" s="3"/>
    </row>
    <row r="2680" spans="7:10" x14ac:dyDescent="0.35">
      <c r="G2680" s="3"/>
      <c r="H2680" s="3"/>
      <c r="I2680" s="3"/>
      <c r="J2680" s="3"/>
    </row>
    <row r="2681" spans="7:10" x14ac:dyDescent="0.35">
      <c r="G2681" s="3"/>
      <c r="H2681" s="3"/>
      <c r="I2681" s="3"/>
      <c r="J2681" s="3"/>
    </row>
    <row r="2682" spans="7:10" x14ac:dyDescent="0.35">
      <c r="G2682" s="3"/>
      <c r="H2682" s="3"/>
      <c r="I2682" s="3"/>
      <c r="J2682" s="3"/>
    </row>
    <row r="2683" spans="7:10" x14ac:dyDescent="0.35">
      <c r="G2683" s="3"/>
      <c r="H2683" s="3"/>
      <c r="I2683" s="3"/>
      <c r="J2683" s="3"/>
    </row>
    <row r="2684" spans="7:10" x14ac:dyDescent="0.35">
      <c r="G2684" s="3"/>
      <c r="H2684" s="3"/>
      <c r="I2684" s="3"/>
      <c r="J2684" s="3"/>
    </row>
    <row r="2685" spans="7:10" x14ac:dyDescent="0.35">
      <c r="G2685" s="3"/>
      <c r="H2685" s="3"/>
      <c r="I2685" s="3"/>
      <c r="J2685" s="3"/>
    </row>
    <row r="2686" spans="7:10" x14ac:dyDescent="0.35">
      <c r="G2686" s="3"/>
      <c r="H2686" s="3"/>
      <c r="I2686" s="3"/>
      <c r="J2686" s="3"/>
    </row>
    <row r="2687" spans="7:10" x14ac:dyDescent="0.35">
      <c r="G2687" s="3"/>
      <c r="H2687" s="3"/>
      <c r="I2687" s="3"/>
      <c r="J2687" s="3"/>
    </row>
    <row r="2688" spans="7:10" x14ac:dyDescent="0.35">
      <c r="G2688" s="3"/>
      <c r="H2688" s="3"/>
      <c r="I2688" s="3"/>
      <c r="J2688" s="3"/>
    </row>
    <row r="2689" spans="7:10" x14ac:dyDescent="0.35">
      <c r="G2689" s="3"/>
      <c r="H2689" s="3"/>
      <c r="I2689" s="3"/>
      <c r="J2689" s="3"/>
    </row>
    <row r="2690" spans="7:10" x14ac:dyDescent="0.35">
      <c r="G2690" s="3"/>
      <c r="H2690" s="3"/>
      <c r="I2690" s="3"/>
      <c r="J2690" s="3"/>
    </row>
    <row r="2691" spans="7:10" x14ac:dyDescent="0.35">
      <c r="G2691" s="3"/>
      <c r="H2691" s="3"/>
      <c r="I2691" s="3"/>
      <c r="J2691" s="3"/>
    </row>
    <row r="2692" spans="7:10" x14ac:dyDescent="0.35">
      <c r="G2692" s="3"/>
      <c r="H2692" s="3"/>
      <c r="I2692" s="3"/>
      <c r="J2692" s="3"/>
    </row>
    <row r="2693" spans="7:10" x14ac:dyDescent="0.35">
      <c r="G2693" s="3"/>
      <c r="H2693" s="3"/>
      <c r="I2693" s="3"/>
      <c r="J2693" s="3"/>
    </row>
    <row r="2694" spans="7:10" x14ac:dyDescent="0.35">
      <c r="G2694" s="3"/>
      <c r="H2694" s="3"/>
      <c r="I2694" s="3"/>
      <c r="J2694" s="3"/>
    </row>
    <row r="2695" spans="7:10" x14ac:dyDescent="0.35">
      <c r="G2695" s="3"/>
      <c r="H2695" s="3"/>
      <c r="I2695" s="3"/>
      <c r="J2695" s="3"/>
    </row>
    <row r="2696" spans="7:10" x14ac:dyDescent="0.35">
      <c r="G2696" s="3"/>
      <c r="H2696" s="3"/>
      <c r="I2696" s="3"/>
      <c r="J2696" s="3"/>
    </row>
    <row r="2697" spans="7:10" x14ac:dyDescent="0.35">
      <c r="G2697" s="3"/>
      <c r="H2697" s="3"/>
      <c r="I2697" s="3"/>
      <c r="J2697" s="3"/>
    </row>
    <row r="2698" spans="7:10" x14ac:dyDescent="0.35">
      <c r="G2698" s="3"/>
      <c r="H2698" s="3"/>
      <c r="I2698" s="3"/>
      <c r="J2698" s="3"/>
    </row>
    <row r="2699" spans="7:10" x14ac:dyDescent="0.35">
      <c r="G2699" s="3"/>
      <c r="H2699" s="3"/>
      <c r="I2699" s="3"/>
      <c r="J2699" s="3"/>
    </row>
    <row r="2700" spans="7:10" x14ac:dyDescent="0.35">
      <c r="G2700" s="3"/>
      <c r="H2700" s="3"/>
      <c r="I2700" s="3"/>
      <c r="J2700" s="3"/>
    </row>
    <row r="2701" spans="7:10" x14ac:dyDescent="0.35">
      <c r="G2701" s="3"/>
      <c r="H2701" s="3"/>
      <c r="I2701" s="3"/>
      <c r="J2701" s="3"/>
    </row>
    <row r="2702" spans="7:10" x14ac:dyDescent="0.35">
      <c r="G2702" s="3"/>
      <c r="H2702" s="3"/>
      <c r="I2702" s="3"/>
      <c r="J2702" s="3"/>
    </row>
    <row r="2703" spans="7:10" x14ac:dyDescent="0.35">
      <c r="G2703" s="3"/>
      <c r="H2703" s="3"/>
      <c r="I2703" s="3"/>
      <c r="J2703" s="3"/>
    </row>
    <row r="2704" spans="7:10" x14ac:dyDescent="0.35">
      <c r="G2704" s="3"/>
      <c r="H2704" s="3"/>
      <c r="I2704" s="3"/>
      <c r="J2704" s="3"/>
    </row>
    <row r="2705" spans="7:10" x14ac:dyDescent="0.35">
      <c r="G2705" s="3"/>
      <c r="H2705" s="3"/>
      <c r="I2705" s="3"/>
      <c r="J2705" s="3"/>
    </row>
    <row r="2706" spans="7:10" x14ac:dyDescent="0.35">
      <c r="G2706" s="3"/>
      <c r="H2706" s="3"/>
      <c r="I2706" s="3"/>
      <c r="J2706" s="3"/>
    </row>
    <row r="2707" spans="7:10" x14ac:dyDescent="0.35">
      <c r="G2707" s="3"/>
      <c r="H2707" s="3"/>
      <c r="I2707" s="3"/>
      <c r="J2707" s="3"/>
    </row>
    <row r="2708" spans="7:10" x14ac:dyDescent="0.35">
      <c r="G2708" s="3"/>
      <c r="H2708" s="3"/>
      <c r="I2708" s="3"/>
      <c r="J2708" s="3"/>
    </row>
    <row r="2709" spans="7:10" x14ac:dyDescent="0.35">
      <c r="G2709" s="3"/>
      <c r="H2709" s="3"/>
      <c r="I2709" s="3"/>
      <c r="J2709" s="3"/>
    </row>
    <row r="2710" spans="7:10" x14ac:dyDescent="0.35">
      <c r="G2710" s="3"/>
      <c r="H2710" s="3"/>
      <c r="I2710" s="3"/>
      <c r="J2710" s="3"/>
    </row>
    <row r="2711" spans="7:10" x14ac:dyDescent="0.35">
      <c r="G2711" s="3"/>
      <c r="H2711" s="3"/>
      <c r="I2711" s="3"/>
      <c r="J2711" s="3"/>
    </row>
    <row r="2712" spans="7:10" x14ac:dyDescent="0.35">
      <c r="G2712" s="3"/>
      <c r="H2712" s="3"/>
      <c r="I2712" s="3"/>
      <c r="J2712" s="3"/>
    </row>
    <row r="2713" spans="7:10" x14ac:dyDescent="0.35">
      <c r="G2713" s="3"/>
      <c r="H2713" s="3"/>
      <c r="I2713" s="3"/>
      <c r="J2713" s="3"/>
    </row>
    <row r="2714" spans="7:10" x14ac:dyDescent="0.35">
      <c r="G2714" s="3"/>
      <c r="H2714" s="3"/>
      <c r="I2714" s="3"/>
      <c r="J2714" s="3"/>
    </row>
    <row r="2715" spans="7:10" x14ac:dyDescent="0.35">
      <c r="G2715" s="3"/>
      <c r="H2715" s="3"/>
      <c r="I2715" s="3"/>
      <c r="J2715" s="3"/>
    </row>
    <row r="2716" spans="7:10" x14ac:dyDescent="0.35">
      <c r="G2716" s="3"/>
      <c r="H2716" s="3"/>
      <c r="I2716" s="3"/>
      <c r="J2716" s="3"/>
    </row>
    <row r="2717" spans="7:10" x14ac:dyDescent="0.35">
      <c r="G2717" s="3"/>
      <c r="H2717" s="3"/>
      <c r="I2717" s="3"/>
      <c r="J2717" s="3"/>
    </row>
    <row r="2718" spans="7:10" x14ac:dyDescent="0.35">
      <c r="G2718" s="3"/>
      <c r="H2718" s="3"/>
      <c r="I2718" s="3"/>
      <c r="J2718" s="3"/>
    </row>
    <row r="2719" spans="7:10" x14ac:dyDescent="0.35">
      <c r="G2719" s="3"/>
      <c r="H2719" s="3"/>
      <c r="I2719" s="3"/>
      <c r="J2719" s="3"/>
    </row>
    <row r="2720" spans="7:10" x14ac:dyDescent="0.35">
      <c r="G2720" s="3"/>
      <c r="H2720" s="3"/>
      <c r="I2720" s="3"/>
      <c r="J2720" s="3"/>
    </row>
    <row r="2721" spans="7:10" x14ac:dyDescent="0.35">
      <c r="G2721" s="3"/>
      <c r="H2721" s="3"/>
      <c r="I2721" s="3"/>
      <c r="J2721" s="3"/>
    </row>
    <row r="2722" spans="7:10" x14ac:dyDescent="0.35">
      <c r="G2722" s="3"/>
      <c r="H2722" s="3"/>
      <c r="I2722" s="3"/>
      <c r="J2722" s="3"/>
    </row>
    <row r="2723" spans="7:10" x14ac:dyDescent="0.35">
      <c r="G2723" s="3"/>
      <c r="H2723" s="3"/>
      <c r="I2723" s="3"/>
      <c r="J2723" s="3"/>
    </row>
    <row r="2724" spans="7:10" x14ac:dyDescent="0.35">
      <c r="G2724" s="3"/>
      <c r="H2724" s="3"/>
      <c r="I2724" s="3"/>
      <c r="J2724" s="3"/>
    </row>
    <row r="2725" spans="7:10" x14ac:dyDescent="0.35">
      <c r="G2725" s="3"/>
      <c r="H2725" s="3"/>
      <c r="I2725" s="3"/>
      <c r="J2725" s="3"/>
    </row>
    <row r="2726" spans="7:10" x14ac:dyDescent="0.35">
      <c r="G2726" s="3"/>
      <c r="H2726" s="3"/>
      <c r="I2726" s="3"/>
      <c r="J2726" s="3"/>
    </row>
    <row r="2727" spans="7:10" x14ac:dyDescent="0.35">
      <c r="G2727" s="3"/>
      <c r="H2727" s="3"/>
      <c r="I2727" s="3"/>
      <c r="J2727" s="3"/>
    </row>
    <row r="2728" spans="7:10" x14ac:dyDescent="0.35">
      <c r="G2728" s="3"/>
      <c r="H2728" s="3"/>
      <c r="I2728" s="3"/>
      <c r="J2728" s="3"/>
    </row>
    <row r="2729" spans="7:10" x14ac:dyDescent="0.35">
      <c r="G2729" s="3"/>
      <c r="H2729" s="3"/>
      <c r="I2729" s="3"/>
      <c r="J2729" s="3"/>
    </row>
    <row r="2730" spans="7:10" x14ac:dyDescent="0.35">
      <c r="G2730" s="3"/>
      <c r="H2730" s="3"/>
      <c r="I2730" s="3"/>
      <c r="J2730" s="3"/>
    </row>
    <row r="2731" spans="7:10" x14ac:dyDescent="0.35">
      <c r="G2731" s="3"/>
      <c r="H2731" s="3"/>
      <c r="I2731" s="3"/>
      <c r="J2731" s="3"/>
    </row>
    <row r="2732" spans="7:10" x14ac:dyDescent="0.35">
      <c r="G2732" s="3"/>
      <c r="H2732" s="3"/>
      <c r="I2732" s="3"/>
      <c r="J2732" s="3"/>
    </row>
    <row r="2733" spans="7:10" x14ac:dyDescent="0.35">
      <c r="G2733" s="3"/>
      <c r="H2733" s="3"/>
      <c r="I2733" s="3"/>
      <c r="J2733" s="3"/>
    </row>
    <row r="2734" spans="7:10" x14ac:dyDescent="0.35">
      <c r="G2734" s="3"/>
      <c r="H2734" s="3"/>
      <c r="I2734" s="3"/>
      <c r="J2734" s="3"/>
    </row>
    <row r="2735" spans="7:10" x14ac:dyDescent="0.35">
      <c r="G2735" s="3"/>
      <c r="H2735" s="3"/>
      <c r="I2735" s="3"/>
      <c r="J2735" s="3"/>
    </row>
    <row r="2736" spans="7:10" x14ac:dyDescent="0.35">
      <c r="G2736" s="3"/>
      <c r="H2736" s="3"/>
      <c r="I2736" s="3"/>
      <c r="J2736" s="3"/>
    </row>
    <row r="2737" spans="7:10" x14ac:dyDescent="0.35">
      <c r="G2737" s="3"/>
      <c r="H2737" s="3"/>
      <c r="I2737" s="3"/>
      <c r="J2737" s="3"/>
    </row>
    <row r="2738" spans="7:10" x14ac:dyDescent="0.35">
      <c r="G2738" s="3"/>
      <c r="H2738" s="3"/>
      <c r="I2738" s="3"/>
      <c r="J2738" s="3"/>
    </row>
    <row r="2739" spans="7:10" x14ac:dyDescent="0.35">
      <c r="G2739" s="3"/>
      <c r="H2739" s="3"/>
      <c r="I2739" s="3"/>
      <c r="J2739" s="3"/>
    </row>
    <row r="2740" spans="7:10" x14ac:dyDescent="0.35">
      <c r="G2740" s="3"/>
      <c r="H2740" s="3"/>
      <c r="I2740" s="3"/>
      <c r="J2740" s="3"/>
    </row>
    <row r="2741" spans="7:10" x14ac:dyDescent="0.35">
      <c r="G2741" s="3"/>
      <c r="H2741" s="3"/>
      <c r="I2741" s="3"/>
      <c r="J2741" s="3"/>
    </row>
    <row r="2742" spans="7:10" x14ac:dyDescent="0.35">
      <c r="G2742" s="3"/>
      <c r="H2742" s="3"/>
      <c r="I2742" s="3"/>
      <c r="J2742" s="3"/>
    </row>
    <row r="2743" spans="7:10" x14ac:dyDescent="0.35">
      <c r="G2743" s="3"/>
      <c r="H2743" s="3"/>
      <c r="I2743" s="3"/>
      <c r="J2743" s="3"/>
    </row>
    <row r="2744" spans="7:10" x14ac:dyDescent="0.35">
      <c r="G2744" s="3"/>
      <c r="H2744" s="3"/>
      <c r="I2744" s="3"/>
      <c r="J2744" s="3"/>
    </row>
    <row r="2745" spans="7:10" x14ac:dyDescent="0.35">
      <c r="G2745" s="3"/>
      <c r="H2745" s="3"/>
      <c r="I2745" s="3"/>
      <c r="J2745" s="3"/>
    </row>
    <row r="2746" spans="7:10" x14ac:dyDescent="0.35">
      <c r="G2746" s="3"/>
      <c r="H2746" s="3"/>
      <c r="I2746" s="3"/>
      <c r="J2746" s="3"/>
    </row>
    <row r="2747" spans="7:10" x14ac:dyDescent="0.35">
      <c r="G2747" s="3"/>
      <c r="H2747" s="3"/>
      <c r="I2747" s="3"/>
      <c r="J2747" s="3"/>
    </row>
    <row r="2748" spans="7:10" x14ac:dyDescent="0.35">
      <c r="G2748" s="3"/>
      <c r="H2748" s="3"/>
      <c r="I2748" s="3"/>
      <c r="J2748" s="3"/>
    </row>
    <row r="2749" spans="7:10" x14ac:dyDescent="0.35">
      <c r="G2749" s="3"/>
      <c r="H2749" s="3"/>
      <c r="I2749" s="3"/>
      <c r="J2749" s="3"/>
    </row>
    <row r="2750" spans="7:10" x14ac:dyDescent="0.35">
      <c r="G2750" s="3"/>
      <c r="H2750" s="3"/>
      <c r="I2750" s="3"/>
      <c r="J2750" s="3"/>
    </row>
    <row r="2751" spans="7:10" x14ac:dyDescent="0.35">
      <c r="G2751" s="3"/>
      <c r="H2751" s="3"/>
      <c r="I2751" s="3"/>
      <c r="J2751" s="3"/>
    </row>
    <row r="2752" spans="7:10" x14ac:dyDescent="0.35">
      <c r="G2752" s="3"/>
      <c r="H2752" s="3"/>
      <c r="I2752" s="3"/>
      <c r="J2752" s="3"/>
    </row>
    <row r="2753" spans="7:10" x14ac:dyDescent="0.35">
      <c r="G2753" s="3"/>
      <c r="H2753" s="3"/>
      <c r="I2753" s="3"/>
      <c r="J2753" s="3"/>
    </row>
    <row r="2754" spans="7:10" x14ac:dyDescent="0.35">
      <c r="G2754" s="3"/>
      <c r="H2754" s="3"/>
      <c r="I2754" s="3"/>
      <c r="J2754" s="3"/>
    </row>
    <row r="2755" spans="7:10" x14ac:dyDescent="0.35">
      <c r="G2755" s="3"/>
      <c r="H2755" s="3"/>
      <c r="I2755" s="3"/>
      <c r="J2755" s="3"/>
    </row>
    <row r="2756" spans="7:10" x14ac:dyDescent="0.35">
      <c r="G2756" s="3"/>
      <c r="H2756" s="3"/>
      <c r="I2756" s="3"/>
      <c r="J2756" s="3"/>
    </row>
    <row r="2757" spans="7:10" x14ac:dyDescent="0.35">
      <c r="G2757" s="3"/>
      <c r="H2757" s="3"/>
      <c r="I2757" s="3"/>
      <c r="J2757" s="3"/>
    </row>
    <row r="2758" spans="7:10" x14ac:dyDescent="0.35">
      <c r="G2758" s="3"/>
      <c r="H2758" s="3"/>
      <c r="I2758" s="3"/>
      <c r="J2758" s="3"/>
    </row>
    <row r="2759" spans="7:10" x14ac:dyDescent="0.35">
      <c r="G2759" s="3"/>
      <c r="H2759" s="3"/>
      <c r="I2759" s="3"/>
      <c r="J2759" s="3"/>
    </row>
    <row r="2760" spans="7:10" x14ac:dyDescent="0.35">
      <c r="G2760" s="3"/>
      <c r="H2760" s="3"/>
      <c r="I2760" s="3"/>
      <c r="J2760" s="3"/>
    </row>
    <row r="2761" spans="7:10" x14ac:dyDescent="0.35">
      <c r="G2761" s="3"/>
      <c r="H2761" s="3"/>
      <c r="I2761" s="3"/>
      <c r="J2761" s="3"/>
    </row>
    <row r="2762" spans="7:10" x14ac:dyDescent="0.35">
      <c r="G2762" s="3"/>
      <c r="H2762" s="3"/>
      <c r="I2762" s="3"/>
      <c r="J2762" s="3"/>
    </row>
    <row r="2763" spans="7:10" x14ac:dyDescent="0.35">
      <c r="G2763" s="3"/>
      <c r="H2763" s="3"/>
      <c r="I2763" s="3"/>
      <c r="J2763" s="3"/>
    </row>
    <row r="2764" spans="7:10" x14ac:dyDescent="0.35">
      <c r="G2764" s="3"/>
      <c r="H2764" s="3"/>
      <c r="I2764" s="3"/>
      <c r="J2764" s="3"/>
    </row>
    <row r="2765" spans="7:10" x14ac:dyDescent="0.35">
      <c r="G2765" s="3"/>
      <c r="H2765" s="3"/>
      <c r="I2765" s="3"/>
      <c r="J2765" s="3"/>
    </row>
    <row r="2766" spans="7:10" x14ac:dyDescent="0.35">
      <c r="G2766" s="3"/>
      <c r="H2766" s="3"/>
      <c r="I2766" s="3"/>
      <c r="J2766" s="3"/>
    </row>
    <row r="2767" spans="7:10" x14ac:dyDescent="0.35">
      <c r="G2767" s="3"/>
      <c r="H2767" s="3"/>
      <c r="I2767" s="3"/>
      <c r="J2767" s="3"/>
    </row>
    <row r="2768" spans="7:10" x14ac:dyDescent="0.35">
      <c r="G2768" s="3"/>
      <c r="H2768" s="3"/>
      <c r="I2768" s="3"/>
      <c r="J2768" s="3"/>
    </row>
    <row r="2769" spans="7:10" x14ac:dyDescent="0.35">
      <c r="G2769" s="3"/>
      <c r="H2769" s="3"/>
      <c r="I2769" s="3"/>
      <c r="J2769" s="3"/>
    </row>
    <row r="2770" spans="7:10" x14ac:dyDescent="0.35">
      <c r="G2770" s="3"/>
      <c r="H2770" s="3"/>
      <c r="I2770" s="3"/>
      <c r="J2770" s="3"/>
    </row>
    <row r="2771" spans="7:10" x14ac:dyDescent="0.35">
      <c r="G2771" s="3"/>
      <c r="H2771" s="3"/>
      <c r="I2771" s="3"/>
      <c r="J2771" s="3"/>
    </row>
    <row r="2772" spans="7:10" x14ac:dyDescent="0.35">
      <c r="G2772" s="3"/>
      <c r="H2772" s="3"/>
      <c r="I2772" s="3"/>
      <c r="J2772" s="3"/>
    </row>
    <row r="2773" spans="7:10" x14ac:dyDescent="0.35">
      <c r="G2773" s="3"/>
      <c r="H2773" s="3"/>
      <c r="I2773" s="3"/>
      <c r="J2773" s="3"/>
    </row>
    <row r="2774" spans="7:10" x14ac:dyDescent="0.35">
      <c r="G2774" s="3"/>
      <c r="H2774" s="3"/>
      <c r="I2774" s="3"/>
      <c r="J2774" s="3"/>
    </row>
    <row r="2775" spans="7:10" x14ac:dyDescent="0.35">
      <c r="G2775" s="3"/>
      <c r="H2775" s="3"/>
      <c r="I2775" s="3"/>
      <c r="J2775" s="3"/>
    </row>
    <row r="2776" spans="7:10" x14ac:dyDescent="0.35">
      <c r="G2776" s="3"/>
      <c r="H2776" s="3"/>
      <c r="I2776" s="3"/>
      <c r="J2776" s="3"/>
    </row>
    <row r="2777" spans="7:10" x14ac:dyDescent="0.35">
      <c r="G2777" s="3"/>
      <c r="H2777" s="3"/>
      <c r="I2777" s="3"/>
      <c r="J2777" s="3"/>
    </row>
    <row r="2778" spans="7:10" x14ac:dyDescent="0.35">
      <c r="G2778" s="3"/>
      <c r="H2778" s="3"/>
      <c r="I2778" s="3"/>
      <c r="J2778" s="3"/>
    </row>
    <row r="2779" spans="7:10" x14ac:dyDescent="0.35">
      <c r="G2779" s="3"/>
      <c r="H2779" s="3"/>
      <c r="I2779" s="3"/>
      <c r="J2779" s="3"/>
    </row>
    <row r="2780" spans="7:10" x14ac:dyDescent="0.35">
      <c r="G2780" s="3"/>
      <c r="H2780" s="3"/>
      <c r="I2780" s="3"/>
      <c r="J2780" s="3"/>
    </row>
    <row r="2781" spans="7:10" x14ac:dyDescent="0.35">
      <c r="G2781" s="3"/>
      <c r="H2781" s="3"/>
      <c r="I2781" s="3"/>
      <c r="J2781" s="3"/>
    </row>
    <row r="2782" spans="7:10" x14ac:dyDescent="0.35">
      <c r="G2782" s="3"/>
      <c r="H2782" s="3"/>
      <c r="I2782" s="3"/>
      <c r="J2782" s="3"/>
    </row>
    <row r="2783" spans="7:10" x14ac:dyDescent="0.35">
      <c r="G2783" s="3"/>
      <c r="H2783" s="3"/>
      <c r="I2783" s="3"/>
      <c r="J2783" s="3"/>
    </row>
    <row r="2784" spans="7:10" x14ac:dyDescent="0.35">
      <c r="G2784" s="3"/>
      <c r="H2784" s="3"/>
      <c r="I2784" s="3"/>
      <c r="J2784" s="3"/>
    </row>
    <row r="2785" spans="7:10" x14ac:dyDescent="0.35">
      <c r="G2785" s="3"/>
      <c r="H2785" s="3"/>
      <c r="I2785" s="3"/>
      <c r="J2785" s="3"/>
    </row>
    <row r="2786" spans="7:10" x14ac:dyDescent="0.35">
      <c r="G2786" s="3"/>
      <c r="H2786" s="3"/>
      <c r="I2786" s="3"/>
      <c r="J2786" s="3"/>
    </row>
    <row r="2787" spans="7:10" x14ac:dyDescent="0.35">
      <c r="G2787" s="3"/>
      <c r="H2787" s="3"/>
      <c r="I2787" s="3"/>
      <c r="J2787" s="3"/>
    </row>
    <row r="2788" spans="7:10" x14ac:dyDescent="0.35">
      <c r="G2788" s="3"/>
      <c r="H2788" s="3"/>
      <c r="I2788" s="3"/>
      <c r="J2788" s="3"/>
    </row>
    <row r="2789" spans="7:10" x14ac:dyDescent="0.35">
      <c r="G2789" s="3"/>
      <c r="H2789" s="3"/>
      <c r="I2789" s="3"/>
      <c r="J2789" s="3"/>
    </row>
    <row r="2790" spans="7:10" x14ac:dyDescent="0.35">
      <c r="G2790" s="3"/>
      <c r="H2790" s="3"/>
      <c r="I2790" s="3"/>
      <c r="J2790" s="3"/>
    </row>
    <row r="2791" spans="7:10" x14ac:dyDescent="0.35">
      <c r="G2791" s="3"/>
      <c r="H2791" s="3"/>
      <c r="I2791" s="3"/>
      <c r="J2791" s="3"/>
    </row>
    <row r="2792" spans="7:10" x14ac:dyDescent="0.35">
      <c r="G2792" s="3"/>
      <c r="H2792" s="3"/>
      <c r="I2792" s="3"/>
      <c r="J2792" s="3"/>
    </row>
    <row r="2793" spans="7:10" x14ac:dyDescent="0.35">
      <c r="G2793" s="3"/>
      <c r="H2793" s="3"/>
      <c r="I2793" s="3"/>
      <c r="J2793" s="3"/>
    </row>
    <row r="2794" spans="7:10" x14ac:dyDescent="0.35">
      <c r="G2794" s="3"/>
      <c r="H2794" s="3"/>
      <c r="I2794" s="3"/>
      <c r="J2794" s="3"/>
    </row>
    <row r="2795" spans="7:10" x14ac:dyDescent="0.35">
      <c r="G2795" s="3"/>
      <c r="H2795" s="3"/>
      <c r="I2795" s="3"/>
      <c r="J2795" s="3"/>
    </row>
    <row r="2796" spans="7:10" x14ac:dyDescent="0.35">
      <c r="G2796" s="3"/>
      <c r="H2796" s="3"/>
      <c r="I2796" s="3"/>
      <c r="J2796" s="3"/>
    </row>
    <row r="2797" spans="7:10" x14ac:dyDescent="0.35">
      <c r="G2797" s="3"/>
      <c r="H2797" s="3"/>
      <c r="I2797" s="3"/>
      <c r="J2797" s="3"/>
    </row>
    <row r="2798" spans="7:10" x14ac:dyDescent="0.35">
      <c r="G2798" s="3"/>
      <c r="H2798" s="3"/>
      <c r="I2798" s="3"/>
      <c r="J2798" s="3"/>
    </row>
    <row r="2799" spans="7:10" x14ac:dyDescent="0.35">
      <c r="G2799" s="3"/>
      <c r="H2799" s="3"/>
      <c r="I2799" s="3"/>
      <c r="J2799" s="3"/>
    </row>
    <row r="2800" spans="7:10" x14ac:dyDescent="0.35">
      <c r="G2800" s="3"/>
      <c r="H2800" s="3"/>
      <c r="I2800" s="3"/>
      <c r="J2800" s="3"/>
    </row>
    <row r="2801" spans="7:10" x14ac:dyDescent="0.35">
      <c r="G2801" s="3"/>
      <c r="H2801" s="3"/>
      <c r="I2801" s="3"/>
      <c r="J2801" s="3"/>
    </row>
    <row r="2802" spans="7:10" x14ac:dyDescent="0.35">
      <c r="G2802" s="3"/>
      <c r="H2802" s="3"/>
      <c r="I2802" s="3"/>
      <c r="J2802" s="3"/>
    </row>
    <row r="2803" spans="7:10" x14ac:dyDescent="0.35">
      <c r="G2803" s="3"/>
      <c r="H2803" s="3"/>
      <c r="I2803" s="3"/>
      <c r="J2803" s="3"/>
    </row>
    <row r="2804" spans="7:10" x14ac:dyDescent="0.35">
      <c r="G2804" s="3"/>
      <c r="H2804" s="3"/>
      <c r="I2804" s="3"/>
      <c r="J2804" s="3"/>
    </row>
    <row r="2805" spans="7:10" x14ac:dyDescent="0.35">
      <c r="G2805" s="3"/>
      <c r="H2805" s="3"/>
      <c r="I2805" s="3"/>
      <c r="J2805" s="3"/>
    </row>
    <row r="2806" spans="7:10" x14ac:dyDescent="0.35">
      <c r="G2806" s="3"/>
      <c r="H2806" s="3"/>
      <c r="I2806" s="3"/>
      <c r="J2806" s="3"/>
    </row>
    <row r="2807" spans="7:10" x14ac:dyDescent="0.35">
      <c r="G2807" s="3"/>
      <c r="H2807" s="3"/>
      <c r="I2807" s="3"/>
      <c r="J2807" s="3"/>
    </row>
    <row r="2808" spans="7:10" x14ac:dyDescent="0.35">
      <c r="G2808" s="3"/>
      <c r="H2808" s="3"/>
      <c r="I2808" s="3"/>
      <c r="J2808" s="3"/>
    </row>
    <row r="2809" spans="7:10" x14ac:dyDescent="0.35">
      <c r="G2809" s="3"/>
      <c r="H2809" s="3"/>
      <c r="I2809" s="3"/>
      <c r="J2809" s="3"/>
    </row>
    <row r="2810" spans="7:10" x14ac:dyDescent="0.35">
      <c r="G2810" s="3"/>
      <c r="H2810" s="3"/>
      <c r="I2810" s="3"/>
      <c r="J2810" s="3"/>
    </row>
    <row r="2811" spans="7:10" x14ac:dyDescent="0.35">
      <c r="G2811" s="3"/>
      <c r="H2811" s="3"/>
      <c r="I2811" s="3"/>
      <c r="J2811" s="3"/>
    </row>
    <row r="2812" spans="7:10" x14ac:dyDescent="0.35">
      <c r="G2812" s="3"/>
      <c r="H2812" s="3"/>
      <c r="I2812" s="3"/>
      <c r="J2812" s="3"/>
    </row>
    <row r="2813" spans="7:10" x14ac:dyDescent="0.35">
      <c r="G2813" s="3"/>
      <c r="H2813" s="3"/>
      <c r="I2813" s="3"/>
      <c r="J2813" s="3"/>
    </row>
    <row r="2814" spans="7:10" x14ac:dyDescent="0.35">
      <c r="G2814" s="3"/>
      <c r="H2814" s="3"/>
      <c r="I2814" s="3"/>
      <c r="J2814" s="3"/>
    </row>
    <row r="2815" spans="7:10" x14ac:dyDescent="0.35">
      <c r="G2815" s="3"/>
      <c r="H2815" s="3"/>
      <c r="I2815" s="3"/>
      <c r="J2815" s="3"/>
    </row>
    <row r="2816" spans="7:10" x14ac:dyDescent="0.35">
      <c r="G2816" s="3"/>
      <c r="H2816" s="3"/>
      <c r="I2816" s="3"/>
      <c r="J2816" s="3"/>
    </row>
    <row r="2817" spans="7:10" x14ac:dyDescent="0.35">
      <c r="G2817" s="3"/>
      <c r="H2817" s="3"/>
      <c r="I2817" s="3"/>
      <c r="J2817" s="3"/>
    </row>
    <row r="2818" spans="7:10" x14ac:dyDescent="0.35">
      <c r="G2818" s="3"/>
      <c r="H2818" s="3"/>
      <c r="I2818" s="3"/>
      <c r="J2818" s="3"/>
    </row>
    <row r="2819" spans="7:10" x14ac:dyDescent="0.35">
      <c r="G2819" s="3"/>
      <c r="H2819" s="3"/>
      <c r="I2819" s="3"/>
      <c r="J2819" s="3"/>
    </row>
    <row r="2820" spans="7:10" x14ac:dyDescent="0.35">
      <c r="G2820" s="3"/>
      <c r="H2820" s="3"/>
      <c r="I2820" s="3"/>
      <c r="J2820" s="3"/>
    </row>
    <row r="2821" spans="7:10" x14ac:dyDescent="0.35">
      <c r="G2821" s="3"/>
      <c r="H2821" s="3"/>
      <c r="I2821" s="3"/>
      <c r="J2821" s="3"/>
    </row>
    <row r="2822" spans="7:10" x14ac:dyDescent="0.35">
      <c r="G2822" s="3"/>
      <c r="H2822" s="3"/>
      <c r="I2822" s="3"/>
      <c r="J2822" s="3"/>
    </row>
    <row r="2823" spans="7:10" x14ac:dyDescent="0.35">
      <c r="G2823" s="3"/>
      <c r="H2823" s="3"/>
      <c r="I2823" s="3"/>
      <c r="J2823" s="3"/>
    </row>
    <row r="2824" spans="7:10" x14ac:dyDescent="0.35">
      <c r="G2824" s="3"/>
      <c r="H2824" s="3"/>
      <c r="I2824" s="3"/>
      <c r="J2824" s="3"/>
    </row>
    <row r="2825" spans="7:10" x14ac:dyDescent="0.35">
      <c r="G2825" s="3"/>
      <c r="H2825" s="3"/>
      <c r="I2825" s="3"/>
      <c r="J2825" s="3"/>
    </row>
    <row r="2826" spans="7:10" x14ac:dyDescent="0.35">
      <c r="G2826" s="3"/>
      <c r="H2826" s="3"/>
      <c r="I2826" s="3"/>
      <c r="J2826" s="3"/>
    </row>
    <row r="2827" spans="7:10" x14ac:dyDescent="0.35">
      <c r="G2827" s="3"/>
      <c r="H2827" s="3"/>
      <c r="I2827" s="3"/>
      <c r="J2827" s="3"/>
    </row>
    <row r="2828" spans="7:10" x14ac:dyDescent="0.35">
      <c r="G2828" s="3"/>
      <c r="H2828" s="3"/>
      <c r="I2828" s="3"/>
      <c r="J2828" s="3"/>
    </row>
    <row r="2829" spans="7:10" x14ac:dyDescent="0.35">
      <c r="G2829" s="3"/>
      <c r="H2829" s="3"/>
      <c r="I2829" s="3"/>
      <c r="J2829" s="3"/>
    </row>
    <row r="2830" spans="7:10" x14ac:dyDescent="0.35">
      <c r="G2830" s="3"/>
      <c r="H2830" s="3"/>
      <c r="I2830" s="3"/>
      <c r="J2830" s="3"/>
    </row>
    <row r="2831" spans="7:10" x14ac:dyDescent="0.35">
      <c r="G2831" s="3"/>
      <c r="H2831" s="3"/>
      <c r="I2831" s="3"/>
      <c r="J2831" s="3"/>
    </row>
    <row r="2832" spans="7:10" x14ac:dyDescent="0.35">
      <c r="G2832" s="3"/>
      <c r="H2832" s="3"/>
      <c r="I2832" s="3"/>
      <c r="J2832" s="3"/>
    </row>
    <row r="2833" spans="7:10" x14ac:dyDescent="0.35">
      <c r="G2833" s="3"/>
      <c r="H2833" s="3"/>
      <c r="I2833" s="3"/>
      <c r="J2833" s="3"/>
    </row>
    <row r="2834" spans="7:10" x14ac:dyDescent="0.35">
      <c r="G2834" s="3"/>
      <c r="H2834" s="3"/>
      <c r="I2834" s="3"/>
      <c r="J2834" s="3"/>
    </row>
    <row r="2835" spans="7:10" x14ac:dyDescent="0.35">
      <c r="G2835" s="3"/>
      <c r="H2835" s="3"/>
      <c r="I2835" s="3"/>
      <c r="J2835" s="3"/>
    </row>
    <row r="2836" spans="7:10" x14ac:dyDescent="0.35">
      <c r="G2836" s="3"/>
      <c r="H2836" s="3"/>
      <c r="I2836" s="3"/>
      <c r="J2836" s="3"/>
    </row>
    <row r="2837" spans="7:10" x14ac:dyDescent="0.35">
      <c r="G2837" s="3"/>
      <c r="H2837" s="3"/>
      <c r="I2837" s="3"/>
      <c r="J2837" s="3"/>
    </row>
    <row r="2838" spans="7:10" x14ac:dyDescent="0.35">
      <c r="G2838" s="3"/>
      <c r="H2838" s="3"/>
      <c r="I2838" s="3"/>
      <c r="J2838" s="3"/>
    </row>
    <row r="2839" spans="7:10" x14ac:dyDescent="0.35">
      <c r="G2839" s="3"/>
      <c r="H2839" s="3"/>
      <c r="I2839" s="3"/>
      <c r="J2839" s="3"/>
    </row>
    <row r="2840" spans="7:10" x14ac:dyDescent="0.35">
      <c r="G2840" s="3"/>
      <c r="H2840" s="3"/>
      <c r="I2840" s="3"/>
      <c r="J2840" s="3"/>
    </row>
    <row r="2841" spans="7:10" x14ac:dyDescent="0.35">
      <c r="G2841" s="3"/>
      <c r="H2841" s="3"/>
      <c r="I2841" s="3"/>
      <c r="J2841" s="3"/>
    </row>
    <row r="2842" spans="7:10" x14ac:dyDescent="0.35">
      <c r="G2842" s="3"/>
      <c r="H2842" s="3"/>
      <c r="I2842" s="3"/>
      <c r="J2842" s="3"/>
    </row>
    <row r="2843" spans="7:10" x14ac:dyDescent="0.35">
      <c r="G2843" s="3"/>
      <c r="H2843" s="3"/>
      <c r="I2843" s="3"/>
      <c r="J2843" s="3"/>
    </row>
    <row r="2844" spans="7:10" x14ac:dyDescent="0.35">
      <c r="G2844" s="3"/>
      <c r="H2844" s="3"/>
      <c r="I2844" s="3"/>
      <c r="J2844" s="3"/>
    </row>
    <row r="2845" spans="7:10" x14ac:dyDescent="0.35">
      <c r="G2845" s="3"/>
      <c r="H2845" s="3"/>
      <c r="I2845" s="3"/>
      <c r="J2845" s="3"/>
    </row>
    <row r="2846" spans="7:10" x14ac:dyDescent="0.35">
      <c r="G2846" s="3"/>
      <c r="H2846" s="3"/>
      <c r="I2846" s="3"/>
      <c r="J2846" s="3"/>
    </row>
    <row r="2847" spans="7:10" x14ac:dyDescent="0.35">
      <c r="G2847" s="3"/>
      <c r="H2847" s="3"/>
      <c r="I2847" s="3"/>
      <c r="J2847" s="3"/>
    </row>
    <row r="2848" spans="7:10" x14ac:dyDescent="0.35">
      <c r="G2848" s="3"/>
      <c r="H2848" s="3"/>
      <c r="I2848" s="3"/>
      <c r="J2848" s="3"/>
    </row>
    <row r="2849" spans="7:10" x14ac:dyDescent="0.35">
      <c r="G2849" s="3"/>
      <c r="H2849" s="3"/>
      <c r="I2849" s="3"/>
      <c r="J2849" s="3"/>
    </row>
    <row r="2850" spans="7:10" x14ac:dyDescent="0.35">
      <c r="G2850" s="3"/>
      <c r="H2850" s="3"/>
      <c r="I2850" s="3"/>
      <c r="J2850" s="3"/>
    </row>
    <row r="2851" spans="7:10" x14ac:dyDescent="0.35">
      <c r="G2851" s="3"/>
      <c r="H2851" s="3"/>
      <c r="I2851" s="3"/>
      <c r="J2851" s="3"/>
    </row>
    <row r="2852" spans="7:10" x14ac:dyDescent="0.35">
      <c r="G2852" s="3"/>
      <c r="H2852" s="3"/>
      <c r="I2852" s="3"/>
      <c r="J2852" s="3"/>
    </row>
    <row r="2853" spans="7:10" x14ac:dyDescent="0.35">
      <c r="G2853" s="3"/>
      <c r="H2853" s="3"/>
      <c r="I2853" s="3"/>
      <c r="J2853" s="3"/>
    </row>
    <row r="2854" spans="7:10" x14ac:dyDescent="0.35">
      <c r="G2854" s="3"/>
      <c r="H2854" s="3"/>
      <c r="I2854" s="3"/>
      <c r="J2854" s="3"/>
    </row>
    <row r="2855" spans="7:10" x14ac:dyDescent="0.35">
      <c r="G2855" s="3"/>
      <c r="H2855" s="3"/>
      <c r="I2855" s="3"/>
      <c r="J2855" s="3"/>
    </row>
    <row r="2856" spans="7:10" x14ac:dyDescent="0.35">
      <c r="G2856" s="3"/>
      <c r="H2856" s="3"/>
      <c r="I2856" s="3"/>
      <c r="J2856" s="3"/>
    </row>
    <row r="2857" spans="7:10" x14ac:dyDescent="0.35">
      <c r="G2857" s="3"/>
      <c r="H2857" s="3"/>
      <c r="I2857" s="3"/>
      <c r="J2857" s="3"/>
    </row>
    <row r="2858" spans="7:10" x14ac:dyDescent="0.35">
      <c r="G2858" s="3"/>
      <c r="H2858" s="3"/>
      <c r="I2858" s="3"/>
      <c r="J2858" s="3"/>
    </row>
    <row r="2859" spans="7:10" x14ac:dyDescent="0.35">
      <c r="G2859" s="3"/>
      <c r="H2859" s="3"/>
      <c r="I2859" s="3"/>
      <c r="J2859" s="3"/>
    </row>
    <row r="2860" spans="7:10" x14ac:dyDescent="0.35">
      <c r="G2860" s="3"/>
      <c r="H2860" s="3"/>
      <c r="I2860" s="3"/>
      <c r="J2860" s="3"/>
    </row>
    <row r="2861" spans="7:10" x14ac:dyDescent="0.35">
      <c r="G2861" s="3"/>
      <c r="H2861" s="3"/>
      <c r="I2861" s="3"/>
      <c r="J2861" s="3"/>
    </row>
    <row r="2862" spans="7:10" x14ac:dyDescent="0.35">
      <c r="G2862" s="3"/>
      <c r="H2862" s="3"/>
      <c r="I2862" s="3"/>
      <c r="J2862" s="3"/>
    </row>
    <row r="2863" spans="7:10" x14ac:dyDescent="0.35">
      <c r="G2863" s="3"/>
      <c r="H2863" s="3"/>
      <c r="I2863" s="3"/>
      <c r="J2863" s="3"/>
    </row>
    <row r="2864" spans="7:10" x14ac:dyDescent="0.35">
      <c r="G2864" s="3"/>
      <c r="H2864" s="3"/>
      <c r="I2864" s="3"/>
      <c r="J2864" s="3"/>
    </row>
    <row r="2865" spans="7:10" x14ac:dyDescent="0.35">
      <c r="G2865" s="3"/>
      <c r="H2865" s="3"/>
      <c r="I2865" s="3"/>
      <c r="J2865" s="3"/>
    </row>
    <row r="2866" spans="7:10" x14ac:dyDescent="0.35">
      <c r="G2866" s="3"/>
      <c r="H2866" s="3"/>
      <c r="I2866" s="3"/>
      <c r="J2866" s="3"/>
    </row>
    <row r="2867" spans="7:10" x14ac:dyDescent="0.35">
      <c r="G2867" s="3"/>
      <c r="H2867" s="3"/>
      <c r="I2867" s="3"/>
      <c r="J2867" s="3"/>
    </row>
    <row r="2868" spans="7:10" x14ac:dyDescent="0.35">
      <c r="G2868" s="3"/>
      <c r="H2868" s="3"/>
      <c r="I2868" s="3"/>
      <c r="J2868" s="3"/>
    </row>
    <row r="2869" spans="7:10" x14ac:dyDescent="0.35">
      <c r="G2869" s="3"/>
      <c r="H2869" s="3"/>
      <c r="I2869" s="3"/>
      <c r="J2869" s="3"/>
    </row>
    <row r="2870" spans="7:10" x14ac:dyDescent="0.35">
      <c r="G2870" s="3"/>
      <c r="H2870" s="3"/>
      <c r="I2870" s="3"/>
      <c r="J2870" s="3"/>
    </row>
    <row r="2871" spans="7:10" x14ac:dyDescent="0.35">
      <c r="G2871" s="3"/>
      <c r="H2871" s="3"/>
      <c r="I2871" s="3"/>
      <c r="J2871" s="3"/>
    </row>
    <row r="2872" spans="7:10" x14ac:dyDescent="0.35">
      <c r="G2872" s="3"/>
      <c r="H2872" s="3"/>
      <c r="I2872" s="3"/>
      <c r="J2872" s="3"/>
    </row>
    <row r="2873" spans="7:10" x14ac:dyDescent="0.35">
      <c r="G2873" s="3"/>
      <c r="H2873" s="3"/>
      <c r="I2873" s="3"/>
      <c r="J2873" s="3"/>
    </row>
    <row r="2874" spans="7:10" x14ac:dyDescent="0.35">
      <c r="G2874" s="3"/>
      <c r="H2874" s="3"/>
      <c r="I2874" s="3"/>
      <c r="J2874" s="3"/>
    </row>
    <row r="2875" spans="7:10" x14ac:dyDescent="0.35">
      <c r="G2875" s="3"/>
      <c r="H2875" s="3"/>
      <c r="I2875" s="3"/>
      <c r="J2875" s="3"/>
    </row>
    <row r="2876" spans="7:10" x14ac:dyDescent="0.35">
      <c r="G2876" s="3"/>
      <c r="H2876" s="3"/>
      <c r="I2876" s="3"/>
      <c r="J2876" s="3"/>
    </row>
    <row r="2877" spans="7:10" x14ac:dyDescent="0.35">
      <c r="G2877" s="3"/>
      <c r="H2877" s="3"/>
      <c r="I2877" s="3"/>
      <c r="J2877" s="3"/>
    </row>
    <row r="2878" spans="7:10" x14ac:dyDescent="0.35">
      <c r="G2878" s="3"/>
      <c r="H2878" s="3"/>
      <c r="I2878" s="3"/>
      <c r="J2878" s="3"/>
    </row>
    <row r="2879" spans="7:10" x14ac:dyDescent="0.35">
      <c r="G2879" s="3"/>
      <c r="H2879" s="3"/>
      <c r="I2879" s="3"/>
      <c r="J2879" s="3"/>
    </row>
    <row r="2880" spans="7:10" x14ac:dyDescent="0.35">
      <c r="G2880" s="3"/>
      <c r="H2880" s="3"/>
      <c r="I2880" s="3"/>
      <c r="J2880" s="3"/>
    </row>
    <row r="2881" spans="7:10" x14ac:dyDescent="0.35">
      <c r="G2881" s="3"/>
      <c r="H2881" s="3"/>
      <c r="I2881" s="3"/>
      <c r="J2881" s="3"/>
    </row>
    <row r="2882" spans="7:10" x14ac:dyDescent="0.35">
      <c r="G2882" s="3"/>
      <c r="H2882" s="3"/>
      <c r="I2882" s="3"/>
      <c r="J2882" s="3"/>
    </row>
    <row r="2883" spans="7:10" x14ac:dyDescent="0.35">
      <c r="G2883" s="3"/>
      <c r="H2883" s="3"/>
      <c r="I2883" s="3"/>
      <c r="J2883" s="3"/>
    </row>
    <row r="2884" spans="7:10" x14ac:dyDescent="0.35">
      <c r="G2884" s="3"/>
      <c r="H2884" s="3"/>
      <c r="I2884" s="3"/>
      <c r="J2884" s="3"/>
    </row>
    <row r="2885" spans="7:10" x14ac:dyDescent="0.35">
      <c r="G2885" s="3"/>
      <c r="H2885" s="3"/>
      <c r="I2885" s="3"/>
      <c r="J2885" s="3"/>
    </row>
    <row r="2886" spans="7:10" x14ac:dyDescent="0.35">
      <c r="G2886" s="3"/>
      <c r="H2886" s="3"/>
      <c r="I2886" s="3"/>
      <c r="J2886" s="3"/>
    </row>
    <row r="2887" spans="7:10" x14ac:dyDescent="0.35">
      <c r="G2887" s="3"/>
      <c r="H2887" s="3"/>
      <c r="I2887" s="3"/>
      <c r="J2887" s="3"/>
    </row>
    <row r="2888" spans="7:10" x14ac:dyDescent="0.35">
      <c r="G2888" s="3"/>
      <c r="H2888" s="3"/>
      <c r="I2888" s="3"/>
      <c r="J2888" s="3"/>
    </row>
    <row r="2889" spans="7:10" x14ac:dyDescent="0.35">
      <c r="G2889" s="3"/>
      <c r="H2889" s="3"/>
      <c r="I2889" s="3"/>
      <c r="J2889" s="3"/>
    </row>
    <row r="2890" spans="7:10" x14ac:dyDescent="0.35">
      <c r="G2890" s="3"/>
      <c r="H2890" s="3"/>
      <c r="I2890" s="3"/>
      <c r="J2890" s="3"/>
    </row>
    <row r="2891" spans="7:10" x14ac:dyDescent="0.35">
      <c r="G2891" s="3"/>
      <c r="H2891" s="3"/>
      <c r="I2891" s="3"/>
      <c r="J2891" s="3"/>
    </row>
    <row r="2892" spans="7:10" x14ac:dyDescent="0.35">
      <c r="G2892" s="3"/>
      <c r="H2892" s="3"/>
      <c r="I2892" s="3"/>
      <c r="J2892" s="3"/>
    </row>
    <row r="2893" spans="7:10" x14ac:dyDescent="0.35">
      <c r="G2893" s="3"/>
      <c r="H2893" s="3"/>
      <c r="I2893" s="3"/>
      <c r="J2893" s="3"/>
    </row>
    <row r="2894" spans="7:10" x14ac:dyDescent="0.35">
      <c r="G2894" s="3"/>
      <c r="H2894" s="3"/>
      <c r="I2894" s="3"/>
      <c r="J2894" s="3"/>
    </row>
    <row r="2895" spans="7:10" x14ac:dyDescent="0.35">
      <c r="G2895" s="3"/>
      <c r="H2895" s="3"/>
      <c r="I2895" s="3"/>
      <c r="J2895" s="3"/>
    </row>
    <row r="2896" spans="7:10" x14ac:dyDescent="0.35">
      <c r="G2896" s="3"/>
      <c r="H2896" s="3"/>
      <c r="I2896" s="3"/>
      <c r="J2896" s="3"/>
    </row>
    <row r="2897" spans="7:10" x14ac:dyDescent="0.35">
      <c r="G2897" s="3"/>
      <c r="H2897" s="3"/>
      <c r="I2897" s="3"/>
      <c r="J2897" s="3"/>
    </row>
    <row r="2898" spans="7:10" x14ac:dyDescent="0.35">
      <c r="G2898" s="3"/>
      <c r="H2898" s="3"/>
      <c r="I2898" s="3"/>
      <c r="J2898" s="3"/>
    </row>
    <row r="2899" spans="7:10" x14ac:dyDescent="0.35">
      <c r="G2899" s="3"/>
      <c r="H2899" s="3"/>
      <c r="I2899" s="3"/>
      <c r="J2899" s="3"/>
    </row>
    <row r="2900" spans="7:10" x14ac:dyDescent="0.35">
      <c r="G2900" s="3"/>
      <c r="H2900" s="3"/>
      <c r="I2900" s="3"/>
      <c r="J2900" s="3"/>
    </row>
    <row r="2901" spans="7:10" x14ac:dyDescent="0.35">
      <c r="G2901" s="3"/>
      <c r="H2901" s="3"/>
      <c r="I2901" s="3"/>
      <c r="J2901" s="3"/>
    </row>
    <row r="2902" spans="7:10" x14ac:dyDescent="0.35">
      <c r="G2902" s="3"/>
      <c r="H2902" s="3"/>
      <c r="I2902" s="3"/>
      <c r="J2902" s="3"/>
    </row>
    <row r="2903" spans="7:10" x14ac:dyDescent="0.35">
      <c r="G2903" s="3"/>
      <c r="H2903" s="3"/>
      <c r="I2903" s="3"/>
      <c r="J2903" s="3"/>
    </row>
    <row r="2904" spans="7:10" x14ac:dyDescent="0.35">
      <c r="G2904" s="3"/>
      <c r="H2904" s="3"/>
      <c r="I2904" s="3"/>
      <c r="J2904" s="3"/>
    </row>
    <row r="2905" spans="7:10" x14ac:dyDescent="0.35">
      <c r="G2905" s="3"/>
      <c r="H2905" s="3"/>
      <c r="I2905" s="3"/>
      <c r="J2905" s="3"/>
    </row>
    <row r="2906" spans="7:10" x14ac:dyDescent="0.35">
      <c r="G2906" s="3"/>
      <c r="H2906" s="3"/>
      <c r="I2906" s="3"/>
      <c r="J2906" s="3"/>
    </row>
    <row r="2907" spans="7:10" x14ac:dyDescent="0.35">
      <c r="G2907" s="3"/>
      <c r="H2907" s="3"/>
      <c r="I2907" s="3"/>
      <c r="J2907" s="3"/>
    </row>
    <row r="2908" spans="7:10" x14ac:dyDescent="0.35">
      <c r="G2908" s="3"/>
      <c r="H2908" s="3"/>
      <c r="I2908" s="3"/>
      <c r="J2908" s="3"/>
    </row>
    <row r="2909" spans="7:10" x14ac:dyDescent="0.35">
      <c r="G2909" s="3"/>
      <c r="H2909" s="3"/>
      <c r="I2909" s="3"/>
      <c r="J2909" s="3"/>
    </row>
    <row r="2910" spans="7:10" x14ac:dyDescent="0.35">
      <c r="G2910" s="3"/>
      <c r="H2910" s="3"/>
      <c r="I2910" s="3"/>
      <c r="J2910" s="3"/>
    </row>
    <row r="2911" spans="7:10" x14ac:dyDescent="0.35">
      <c r="G2911" s="3"/>
      <c r="H2911" s="3"/>
      <c r="I2911" s="3"/>
      <c r="J2911" s="3"/>
    </row>
    <row r="2912" spans="7:10" x14ac:dyDescent="0.35">
      <c r="G2912" s="3"/>
      <c r="H2912" s="3"/>
      <c r="I2912" s="3"/>
      <c r="J2912" s="3"/>
    </row>
    <row r="2913" spans="7:10" x14ac:dyDescent="0.35">
      <c r="G2913" s="3"/>
      <c r="H2913" s="3"/>
      <c r="I2913" s="3"/>
      <c r="J2913" s="3"/>
    </row>
    <row r="2914" spans="7:10" x14ac:dyDescent="0.35">
      <c r="G2914" s="3"/>
      <c r="H2914" s="3"/>
      <c r="I2914" s="3"/>
      <c r="J2914" s="3"/>
    </row>
    <row r="2915" spans="7:10" x14ac:dyDescent="0.35">
      <c r="G2915" s="3"/>
      <c r="H2915" s="3"/>
      <c r="I2915" s="3"/>
      <c r="J2915" s="3"/>
    </row>
    <row r="2916" spans="7:10" x14ac:dyDescent="0.35">
      <c r="G2916" s="3"/>
      <c r="H2916" s="3"/>
      <c r="I2916" s="3"/>
      <c r="J2916" s="3"/>
    </row>
    <row r="2917" spans="7:10" x14ac:dyDescent="0.35">
      <c r="G2917" s="3"/>
      <c r="H2917" s="3"/>
      <c r="I2917" s="3"/>
      <c r="J2917" s="3"/>
    </row>
    <row r="2918" spans="7:10" x14ac:dyDescent="0.35">
      <c r="G2918" s="3"/>
      <c r="H2918" s="3"/>
      <c r="I2918" s="3"/>
      <c r="J2918" s="3"/>
    </row>
    <row r="2919" spans="7:10" x14ac:dyDescent="0.35">
      <c r="G2919" s="3"/>
      <c r="H2919" s="3"/>
      <c r="I2919" s="3"/>
      <c r="J2919" s="3"/>
    </row>
    <row r="2920" spans="7:10" x14ac:dyDescent="0.35">
      <c r="G2920" s="3"/>
      <c r="H2920" s="3"/>
      <c r="I2920" s="3"/>
      <c r="J2920" s="3"/>
    </row>
    <row r="2921" spans="7:10" x14ac:dyDescent="0.35">
      <c r="G2921" s="3"/>
      <c r="H2921" s="3"/>
      <c r="I2921" s="3"/>
      <c r="J2921" s="3"/>
    </row>
    <row r="2922" spans="7:10" x14ac:dyDescent="0.35">
      <c r="G2922" s="3"/>
      <c r="H2922" s="3"/>
      <c r="I2922" s="3"/>
      <c r="J2922" s="3"/>
    </row>
    <row r="2923" spans="7:10" x14ac:dyDescent="0.35">
      <c r="G2923" s="3"/>
      <c r="H2923" s="3"/>
      <c r="I2923" s="3"/>
      <c r="J2923" s="3"/>
    </row>
    <row r="2924" spans="7:10" x14ac:dyDescent="0.35">
      <c r="G2924" s="3"/>
      <c r="H2924" s="3"/>
      <c r="I2924" s="3"/>
      <c r="J2924" s="3"/>
    </row>
    <row r="2925" spans="7:10" x14ac:dyDescent="0.35">
      <c r="G2925" s="3"/>
      <c r="H2925" s="3"/>
      <c r="I2925" s="3"/>
      <c r="J2925" s="3"/>
    </row>
    <row r="2926" spans="7:10" x14ac:dyDescent="0.35">
      <c r="G2926" s="3"/>
      <c r="H2926" s="3"/>
      <c r="I2926" s="3"/>
      <c r="J2926" s="3"/>
    </row>
    <row r="2927" spans="7:10" x14ac:dyDescent="0.35">
      <c r="G2927" s="3"/>
      <c r="H2927" s="3"/>
      <c r="I2927" s="3"/>
      <c r="J2927" s="3"/>
    </row>
    <row r="2928" spans="7:10" x14ac:dyDescent="0.35">
      <c r="G2928" s="3"/>
      <c r="H2928" s="3"/>
      <c r="I2928" s="3"/>
      <c r="J2928" s="3"/>
    </row>
    <row r="2929" spans="7:10" x14ac:dyDescent="0.35">
      <c r="G2929" s="3"/>
      <c r="H2929" s="3"/>
      <c r="I2929" s="3"/>
      <c r="J2929" s="3"/>
    </row>
    <row r="2930" spans="7:10" x14ac:dyDescent="0.35">
      <c r="G2930" s="3"/>
      <c r="H2930" s="3"/>
      <c r="I2930" s="3"/>
      <c r="J2930" s="3"/>
    </row>
    <row r="2931" spans="7:10" x14ac:dyDescent="0.35">
      <c r="G2931" s="3"/>
      <c r="H2931" s="3"/>
      <c r="I2931" s="3"/>
      <c r="J2931" s="3"/>
    </row>
    <row r="2932" spans="7:10" x14ac:dyDescent="0.35">
      <c r="G2932" s="3"/>
      <c r="H2932" s="3"/>
      <c r="I2932" s="3"/>
      <c r="J2932" s="3"/>
    </row>
    <row r="2933" spans="7:10" x14ac:dyDescent="0.35">
      <c r="G2933" s="3"/>
      <c r="H2933" s="3"/>
      <c r="I2933" s="3"/>
      <c r="J2933" s="3"/>
    </row>
    <row r="2934" spans="7:10" x14ac:dyDescent="0.35">
      <c r="G2934" s="3"/>
      <c r="H2934" s="3"/>
      <c r="I2934" s="3"/>
      <c r="J2934" s="3"/>
    </row>
    <row r="2935" spans="7:10" x14ac:dyDescent="0.35">
      <c r="G2935" s="3"/>
      <c r="H2935" s="3"/>
      <c r="I2935" s="3"/>
      <c r="J2935" s="3"/>
    </row>
    <row r="2936" spans="7:10" x14ac:dyDescent="0.35">
      <c r="G2936" s="3"/>
      <c r="H2936" s="3"/>
      <c r="I2936" s="3"/>
      <c r="J2936" s="3"/>
    </row>
    <row r="2937" spans="7:10" x14ac:dyDescent="0.35">
      <c r="G2937" s="3"/>
      <c r="H2937" s="3"/>
      <c r="I2937" s="3"/>
      <c r="J2937" s="3"/>
    </row>
    <row r="2938" spans="7:10" x14ac:dyDescent="0.35">
      <c r="G2938" s="3"/>
      <c r="H2938" s="3"/>
      <c r="I2938" s="3"/>
      <c r="J2938" s="3"/>
    </row>
    <row r="2939" spans="7:10" x14ac:dyDescent="0.35">
      <c r="G2939" s="3"/>
      <c r="H2939" s="3"/>
      <c r="I2939" s="3"/>
      <c r="J2939" s="3"/>
    </row>
    <row r="2940" spans="7:10" x14ac:dyDescent="0.35">
      <c r="G2940" s="3"/>
      <c r="H2940" s="3"/>
      <c r="I2940" s="3"/>
      <c r="J2940" s="3"/>
    </row>
    <row r="2941" spans="7:10" x14ac:dyDescent="0.35">
      <c r="G2941" s="3"/>
      <c r="H2941" s="3"/>
      <c r="I2941" s="3"/>
      <c r="J2941" s="3"/>
    </row>
    <row r="2942" spans="7:10" x14ac:dyDescent="0.35">
      <c r="G2942" s="3"/>
      <c r="H2942" s="3"/>
      <c r="I2942" s="3"/>
      <c r="J2942" s="3"/>
    </row>
    <row r="2943" spans="7:10" x14ac:dyDescent="0.35">
      <c r="G2943" s="3"/>
      <c r="H2943" s="3"/>
      <c r="I2943" s="3"/>
      <c r="J2943" s="3"/>
    </row>
    <row r="2944" spans="7:10" x14ac:dyDescent="0.35">
      <c r="G2944" s="3"/>
      <c r="H2944" s="3"/>
      <c r="I2944" s="3"/>
      <c r="J2944" s="3"/>
    </row>
    <row r="2945" spans="7:10" x14ac:dyDescent="0.35">
      <c r="G2945" s="3"/>
      <c r="H2945" s="3"/>
      <c r="I2945" s="3"/>
      <c r="J2945" s="3"/>
    </row>
    <row r="2946" spans="7:10" x14ac:dyDescent="0.35">
      <c r="G2946" s="3"/>
      <c r="H2946" s="3"/>
      <c r="I2946" s="3"/>
      <c r="J2946" s="3"/>
    </row>
    <row r="2947" spans="7:10" x14ac:dyDescent="0.35">
      <c r="G2947" s="3"/>
      <c r="H2947" s="3"/>
      <c r="I2947" s="3"/>
      <c r="J2947" s="3"/>
    </row>
    <row r="2948" spans="7:10" x14ac:dyDescent="0.35">
      <c r="G2948" s="3"/>
      <c r="H2948" s="3"/>
      <c r="I2948" s="3"/>
      <c r="J2948" s="3"/>
    </row>
    <row r="2949" spans="7:10" x14ac:dyDescent="0.35">
      <c r="G2949" s="3"/>
      <c r="H2949" s="3"/>
      <c r="I2949" s="3"/>
      <c r="J2949" s="3"/>
    </row>
    <row r="2950" spans="7:10" x14ac:dyDescent="0.35">
      <c r="G2950" s="3"/>
      <c r="H2950" s="3"/>
      <c r="I2950" s="3"/>
      <c r="J2950" s="3"/>
    </row>
    <row r="2951" spans="7:10" x14ac:dyDescent="0.35">
      <c r="G2951" s="3"/>
      <c r="H2951" s="3"/>
      <c r="I2951" s="3"/>
      <c r="J2951" s="3"/>
    </row>
    <row r="2952" spans="7:10" x14ac:dyDescent="0.35">
      <c r="G2952" s="3"/>
      <c r="H2952" s="3"/>
      <c r="I2952" s="3"/>
      <c r="J2952" s="3"/>
    </row>
    <row r="2953" spans="7:10" x14ac:dyDescent="0.35">
      <c r="G2953" s="3"/>
      <c r="H2953" s="3"/>
      <c r="I2953" s="3"/>
      <c r="J2953" s="3"/>
    </row>
    <row r="2954" spans="7:10" x14ac:dyDescent="0.35">
      <c r="G2954" s="3"/>
      <c r="H2954" s="3"/>
      <c r="I2954" s="3"/>
      <c r="J2954" s="3"/>
    </row>
    <row r="2955" spans="7:10" x14ac:dyDescent="0.35">
      <c r="G2955" s="3"/>
      <c r="H2955" s="3"/>
      <c r="I2955" s="3"/>
      <c r="J2955" s="3"/>
    </row>
    <row r="2956" spans="7:10" x14ac:dyDescent="0.35">
      <c r="G2956" s="3"/>
      <c r="H2956" s="3"/>
      <c r="I2956" s="3"/>
      <c r="J2956" s="3"/>
    </row>
    <row r="2957" spans="7:10" x14ac:dyDescent="0.35">
      <c r="G2957" s="3"/>
      <c r="H2957" s="3"/>
      <c r="I2957" s="3"/>
      <c r="J2957" s="3"/>
    </row>
    <row r="2958" spans="7:10" x14ac:dyDescent="0.35">
      <c r="G2958" s="3"/>
      <c r="H2958" s="3"/>
      <c r="I2958" s="3"/>
      <c r="J2958" s="3"/>
    </row>
    <row r="2959" spans="7:10" x14ac:dyDescent="0.35">
      <c r="G2959" s="3"/>
      <c r="H2959" s="3"/>
      <c r="I2959" s="3"/>
      <c r="J2959" s="3"/>
    </row>
    <row r="2960" spans="7:10" x14ac:dyDescent="0.35">
      <c r="G2960" s="3"/>
      <c r="H2960" s="3"/>
      <c r="I2960" s="3"/>
      <c r="J2960" s="3"/>
    </row>
    <row r="2961" spans="7:10" x14ac:dyDescent="0.35">
      <c r="G2961" s="3"/>
      <c r="H2961" s="3"/>
      <c r="I2961" s="3"/>
      <c r="J2961" s="3"/>
    </row>
    <row r="2962" spans="7:10" x14ac:dyDescent="0.35">
      <c r="G2962" s="3"/>
      <c r="H2962" s="3"/>
      <c r="I2962" s="3"/>
      <c r="J2962" s="3"/>
    </row>
    <row r="2963" spans="7:10" x14ac:dyDescent="0.35">
      <c r="G2963" s="3"/>
      <c r="H2963" s="3"/>
      <c r="I2963" s="3"/>
      <c r="J2963" s="3"/>
    </row>
    <row r="2964" spans="7:10" x14ac:dyDescent="0.35">
      <c r="G2964" s="3"/>
      <c r="H2964" s="3"/>
      <c r="I2964" s="3"/>
      <c r="J2964" s="3"/>
    </row>
    <row r="2965" spans="7:10" x14ac:dyDescent="0.35">
      <c r="G2965" s="3"/>
      <c r="H2965" s="3"/>
      <c r="I2965" s="3"/>
      <c r="J2965" s="3"/>
    </row>
    <row r="2966" spans="7:10" x14ac:dyDescent="0.35">
      <c r="G2966" s="3"/>
      <c r="H2966" s="3"/>
      <c r="I2966" s="3"/>
      <c r="J2966" s="3"/>
    </row>
    <row r="2967" spans="7:10" x14ac:dyDescent="0.35">
      <c r="G2967" s="3"/>
      <c r="H2967" s="3"/>
      <c r="I2967" s="3"/>
      <c r="J2967" s="3"/>
    </row>
    <row r="2968" spans="7:10" x14ac:dyDescent="0.35">
      <c r="G2968" s="3"/>
      <c r="H2968" s="3"/>
      <c r="I2968" s="3"/>
      <c r="J2968" s="3"/>
    </row>
    <row r="2969" spans="7:10" x14ac:dyDescent="0.35">
      <c r="G2969" s="3"/>
      <c r="H2969" s="3"/>
      <c r="I2969" s="3"/>
      <c r="J2969" s="3"/>
    </row>
    <row r="2970" spans="7:10" x14ac:dyDescent="0.35">
      <c r="G2970" s="3"/>
      <c r="H2970" s="3"/>
      <c r="I2970" s="3"/>
      <c r="J2970" s="3"/>
    </row>
    <row r="2971" spans="7:10" x14ac:dyDescent="0.35">
      <c r="G2971" s="3"/>
      <c r="H2971" s="3"/>
      <c r="I2971" s="3"/>
      <c r="J2971" s="3"/>
    </row>
    <row r="2972" spans="7:10" x14ac:dyDescent="0.35">
      <c r="G2972" s="3"/>
      <c r="H2972" s="3"/>
      <c r="I2972" s="3"/>
      <c r="J2972" s="3"/>
    </row>
    <row r="2973" spans="7:10" x14ac:dyDescent="0.35">
      <c r="G2973" s="3"/>
      <c r="H2973" s="3"/>
      <c r="I2973" s="3"/>
      <c r="J2973" s="3"/>
    </row>
    <row r="2974" spans="7:10" x14ac:dyDescent="0.35">
      <c r="G2974" s="3"/>
      <c r="H2974" s="3"/>
      <c r="I2974" s="3"/>
      <c r="J2974" s="3"/>
    </row>
    <row r="2975" spans="7:10" x14ac:dyDescent="0.35">
      <c r="G2975" s="3"/>
      <c r="H2975" s="3"/>
      <c r="I2975" s="3"/>
      <c r="J2975" s="3"/>
    </row>
    <row r="2976" spans="7:10" x14ac:dyDescent="0.35">
      <c r="G2976" s="3"/>
      <c r="H2976" s="3"/>
      <c r="I2976" s="3"/>
      <c r="J2976" s="3"/>
    </row>
    <row r="2977" spans="7:10" x14ac:dyDescent="0.35">
      <c r="G2977" s="3"/>
      <c r="H2977" s="3"/>
      <c r="I2977" s="3"/>
      <c r="J2977" s="3"/>
    </row>
    <row r="2978" spans="7:10" x14ac:dyDescent="0.35">
      <c r="G2978" s="3"/>
      <c r="H2978" s="3"/>
      <c r="I2978" s="3"/>
      <c r="J2978" s="3"/>
    </row>
    <row r="2979" spans="7:10" x14ac:dyDescent="0.35">
      <c r="G2979" s="3"/>
      <c r="H2979" s="3"/>
      <c r="I2979" s="3"/>
      <c r="J2979" s="3"/>
    </row>
    <row r="2980" spans="7:10" x14ac:dyDescent="0.35">
      <c r="G2980" s="3"/>
      <c r="H2980" s="3"/>
      <c r="I2980" s="3"/>
      <c r="J2980" s="3"/>
    </row>
    <row r="2981" spans="7:10" x14ac:dyDescent="0.35">
      <c r="G2981" s="3"/>
      <c r="H2981" s="3"/>
      <c r="I2981" s="3"/>
      <c r="J2981" s="3"/>
    </row>
    <row r="2982" spans="7:10" x14ac:dyDescent="0.35">
      <c r="G2982" s="3"/>
      <c r="H2982" s="3"/>
      <c r="I2982" s="3"/>
      <c r="J2982" s="3"/>
    </row>
    <row r="2983" spans="7:10" x14ac:dyDescent="0.35">
      <c r="G2983" s="3"/>
      <c r="H2983" s="3"/>
      <c r="I2983" s="3"/>
      <c r="J2983" s="3"/>
    </row>
    <row r="2984" spans="7:10" x14ac:dyDescent="0.35">
      <c r="G2984" s="3"/>
      <c r="H2984" s="3"/>
      <c r="I2984" s="3"/>
      <c r="J2984" s="3"/>
    </row>
    <row r="2985" spans="7:10" x14ac:dyDescent="0.35">
      <c r="G2985" s="3"/>
      <c r="H2985" s="3"/>
      <c r="I2985" s="3"/>
      <c r="J2985" s="3"/>
    </row>
    <row r="2986" spans="7:10" x14ac:dyDescent="0.35">
      <c r="G2986" s="3"/>
      <c r="H2986" s="3"/>
      <c r="I2986" s="3"/>
      <c r="J2986" s="3"/>
    </row>
    <row r="2987" spans="7:10" x14ac:dyDescent="0.35">
      <c r="G2987" s="3"/>
      <c r="H2987" s="3"/>
      <c r="I2987" s="3"/>
      <c r="J2987" s="3"/>
    </row>
    <row r="2988" spans="7:10" x14ac:dyDescent="0.35">
      <c r="G2988" s="3"/>
      <c r="H2988" s="3"/>
      <c r="I2988" s="3"/>
      <c r="J2988" s="3"/>
    </row>
    <row r="2989" spans="7:10" x14ac:dyDescent="0.35">
      <c r="G2989" s="3"/>
      <c r="H2989" s="3"/>
      <c r="I2989" s="3"/>
      <c r="J2989" s="3"/>
    </row>
    <row r="2990" spans="7:10" x14ac:dyDescent="0.35">
      <c r="G2990" s="3"/>
      <c r="H2990" s="3"/>
      <c r="I2990" s="3"/>
      <c r="J2990" s="3"/>
    </row>
    <row r="2991" spans="7:10" x14ac:dyDescent="0.35">
      <c r="G2991" s="3"/>
      <c r="H2991" s="3"/>
      <c r="I2991" s="3"/>
      <c r="J2991" s="3"/>
    </row>
    <row r="2992" spans="7:10" x14ac:dyDescent="0.35">
      <c r="G2992" s="3"/>
      <c r="H2992" s="3"/>
      <c r="I2992" s="3"/>
      <c r="J2992" s="3"/>
    </row>
    <row r="2993" spans="7:10" x14ac:dyDescent="0.35">
      <c r="G2993" s="3"/>
      <c r="H2993" s="3"/>
      <c r="I2993" s="3"/>
      <c r="J2993" s="3"/>
    </row>
    <row r="2994" spans="7:10" x14ac:dyDescent="0.35">
      <c r="G2994" s="3"/>
      <c r="H2994" s="3"/>
      <c r="I2994" s="3"/>
      <c r="J2994" s="3"/>
    </row>
    <row r="2995" spans="7:10" x14ac:dyDescent="0.35">
      <c r="G2995" s="3"/>
      <c r="H2995" s="3"/>
      <c r="I2995" s="3"/>
      <c r="J2995" s="3"/>
    </row>
    <row r="2996" spans="7:10" x14ac:dyDescent="0.35">
      <c r="G2996" s="3"/>
      <c r="H2996" s="3"/>
      <c r="I2996" s="3"/>
      <c r="J2996" s="3"/>
    </row>
    <row r="2997" spans="7:10" x14ac:dyDescent="0.35">
      <c r="G2997" s="3"/>
      <c r="H2997" s="3"/>
      <c r="I2997" s="3"/>
      <c r="J2997" s="3"/>
    </row>
    <row r="2998" spans="7:10" x14ac:dyDescent="0.35">
      <c r="G2998" s="3"/>
      <c r="H2998" s="3"/>
      <c r="I2998" s="3"/>
      <c r="J2998" s="3"/>
    </row>
    <row r="2999" spans="7:10" x14ac:dyDescent="0.35">
      <c r="G2999" s="3"/>
      <c r="H2999" s="3"/>
      <c r="I2999" s="3"/>
      <c r="J2999" s="3"/>
    </row>
    <row r="3000" spans="7:10" x14ac:dyDescent="0.35">
      <c r="G3000" s="3"/>
      <c r="H3000" s="3"/>
      <c r="I3000" s="3"/>
      <c r="J3000" s="3"/>
    </row>
    <row r="3001" spans="7:10" x14ac:dyDescent="0.35">
      <c r="G3001" s="3"/>
      <c r="H3001" s="3"/>
      <c r="I3001" s="3"/>
      <c r="J3001" s="3"/>
    </row>
    <row r="3002" spans="7:10" x14ac:dyDescent="0.35">
      <c r="G3002" s="3"/>
      <c r="H3002" s="3"/>
      <c r="I3002" s="3"/>
      <c r="J3002" s="3"/>
    </row>
    <row r="3003" spans="7:10" x14ac:dyDescent="0.35">
      <c r="G3003" s="3"/>
      <c r="H3003" s="3"/>
      <c r="I3003" s="3"/>
      <c r="J3003" s="3"/>
    </row>
    <row r="3004" spans="7:10" x14ac:dyDescent="0.35">
      <c r="G3004" s="3"/>
      <c r="H3004" s="3"/>
      <c r="I3004" s="3"/>
      <c r="J3004" s="3"/>
    </row>
    <row r="3005" spans="7:10" x14ac:dyDescent="0.35">
      <c r="G3005" s="3"/>
      <c r="H3005" s="3"/>
      <c r="I3005" s="3"/>
      <c r="J3005" s="3"/>
    </row>
    <row r="3006" spans="7:10" x14ac:dyDescent="0.35">
      <c r="G3006" s="3"/>
      <c r="H3006" s="3"/>
      <c r="I3006" s="3"/>
      <c r="J3006" s="3"/>
    </row>
    <row r="3007" spans="7:10" x14ac:dyDescent="0.35">
      <c r="G3007" s="3"/>
      <c r="H3007" s="3"/>
      <c r="I3007" s="3"/>
      <c r="J3007" s="3"/>
    </row>
    <row r="3008" spans="7:10" x14ac:dyDescent="0.35">
      <c r="G3008" s="3"/>
      <c r="H3008" s="3"/>
      <c r="I3008" s="3"/>
      <c r="J3008" s="3"/>
    </row>
    <row r="3009" spans="7:10" x14ac:dyDescent="0.35">
      <c r="G3009" s="3"/>
      <c r="H3009" s="3"/>
      <c r="I3009" s="3"/>
      <c r="J3009" s="3"/>
    </row>
    <row r="3010" spans="7:10" x14ac:dyDescent="0.35">
      <c r="G3010" s="3"/>
      <c r="H3010" s="3"/>
      <c r="I3010" s="3"/>
      <c r="J3010" s="3"/>
    </row>
    <row r="3011" spans="7:10" x14ac:dyDescent="0.35">
      <c r="G3011" s="3"/>
      <c r="H3011" s="3"/>
      <c r="I3011" s="3"/>
      <c r="J3011" s="3"/>
    </row>
    <row r="3012" spans="7:10" x14ac:dyDescent="0.35">
      <c r="G3012" s="3"/>
      <c r="H3012" s="3"/>
      <c r="I3012" s="3"/>
      <c r="J3012" s="3"/>
    </row>
    <row r="3013" spans="7:10" x14ac:dyDescent="0.35">
      <c r="G3013" s="3"/>
      <c r="H3013" s="3"/>
      <c r="I3013" s="3"/>
      <c r="J3013" s="3"/>
    </row>
    <row r="3014" spans="7:10" x14ac:dyDescent="0.35">
      <c r="G3014" s="3"/>
      <c r="H3014" s="3"/>
      <c r="I3014" s="3"/>
      <c r="J3014" s="3"/>
    </row>
    <row r="3015" spans="7:10" x14ac:dyDescent="0.35">
      <c r="G3015" s="3"/>
      <c r="H3015" s="3"/>
      <c r="I3015" s="3"/>
      <c r="J3015" s="3"/>
    </row>
    <row r="3016" spans="7:10" x14ac:dyDescent="0.35">
      <c r="G3016" s="3"/>
      <c r="H3016" s="3"/>
      <c r="I3016" s="3"/>
      <c r="J3016" s="3"/>
    </row>
    <row r="3017" spans="7:10" x14ac:dyDescent="0.35">
      <c r="G3017" s="3"/>
      <c r="H3017" s="3"/>
      <c r="I3017" s="3"/>
      <c r="J3017" s="3"/>
    </row>
    <row r="3018" spans="7:10" x14ac:dyDescent="0.35">
      <c r="G3018" s="3"/>
      <c r="H3018" s="3"/>
      <c r="I3018" s="3"/>
      <c r="J3018" s="3"/>
    </row>
    <row r="3019" spans="7:10" x14ac:dyDescent="0.35">
      <c r="G3019" s="3"/>
      <c r="H3019" s="3"/>
      <c r="I3019" s="3"/>
      <c r="J3019" s="3"/>
    </row>
    <row r="3020" spans="7:10" x14ac:dyDescent="0.35">
      <c r="G3020" s="3"/>
      <c r="H3020" s="3"/>
      <c r="I3020" s="3"/>
      <c r="J3020" s="3"/>
    </row>
    <row r="3021" spans="7:10" x14ac:dyDescent="0.35">
      <c r="G3021" s="3"/>
      <c r="H3021" s="3"/>
      <c r="I3021" s="3"/>
      <c r="J3021" s="3"/>
    </row>
    <row r="3022" spans="7:10" x14ac:dyDescent="0.35">
      <c r="G3022" s="3"/>
      <c r="H3022" s="3"/>
      <c r="I3022" s="3"/>
      <c r="J3022" s="3"/>
    </row>
    <row r="3023" spans="7:10" x14ac:dyDescent="0.35">
      <c r="G3023" s="3"/>
      <c r="H3023" s="3"/>
      <c r="I3023" s="3"/>
      <c r="J3023" s="3"/>
    </row>
    <row r="3024" spans="7:10" x14ac:dyDescent="0.35">
      <c r="G3024" s="3"/>
      <c r="H3024" s="3"/>
      <c r="I3024" s="3"/>
      <c r="J3024" s="3"/>
    </row>
    <row r="3025" spans="7:10" x14ac:dyDescent="0.35">
      <c r="G3025" s="3"/>
      <c r="H3025" s="3"/>
      <c r="I3025" s="3"/>
      <c r="J3025" s="3"/>
    </row>
    <row r="3026" spans="7:10" x14ac:dyDescent="0.35">
      <c r="G3026" s="3"/>
      <c r="H3026" s="3"/>
      <c r="I3026" s="3"/>
      <c r="J3026" s="3"/>
    </row>
    <row r="3027" spans="7:10" x14ac:dyDescent="0.35">
      <c r="G3027" s="3"/>
      <c r="H3027" s="3"/>
      <c r="I3027" s="3"/>
      <c r="J3027" s="3"/>
    </row>
    <row r="3028" spans="7:10" x14ac:dyDescent="0.35">
      <c r="G3028" s="3"/>
      <c r="H3028" s="3"/>
      <c r="I3028" s="3"/>
      <c r="J3028" s="3"/>
    </row>
    <row r="3029" spans="7:10" x14ac:dyDescent="0.35">
      <c r="G3029" s="3"/>
      <c r="H3029" s="3"/>
      <c r="I3029" s="3"/>
      <c r="J3029" s="3"/>
    </row>
    <row r="3030" spans="7:10" x14ac:dyDescent="0.35">
      <c r="G3030" s="3"/>
      <c r="H3030" s="3"/>
      <c r="I3030" s="3"/>
      <c r="J3030" s="3"/>
    </row>
    <row r="3031" spans="7:10" x14ac:dyDescent="0.35">
      <c r="G3031" s="3"/>
      <c r="H3031" s="3"/>
      <c r="I3031" s="3"/>
      <c r="J3031" s="3"/>
    </row>
    <row r="3032" spans="7:10" x14ac:dyDescent="0.35">
      <c r="G3032" s="3"/>
      <c r="H3032" s="3"/>
      <c r="I3032" s="3"/>
      <c r="J3032" s="3"/>
    </row>
    <row r="3033" spans="7:10" x14ac:dyDescent="0.35">
      <c r="G3033" s="3"/>
      <c r="H3033" s="3"/>
      <c r="I3033" s="3"/>
      <c r="J3033" s="3"/>
    </row>
    <row r="3034" spans="7:10" x14ac:dyDescent="0.35">
      <c r="G3034" s="3"/>
      <c r="H3034" s="3"/>
      <c r="I3034" s="3"/>
      <c r="J3034" s="3"/>
    </row>
    <row r="3035" spans="7:10" x14ac:dyDescent="0.35">
      <c r="G3035" s="3"/>
      <c r="H3035" s="3"/>
      <c r="I3035" s="3"/>
      <c r="J3035" s="3"/>
    </row>
    <row r="3036" spans="7:10" x14ac:dyDescent="0.35">
      <c r="G3036" s="3"/>
      <c r="H3036" s="3"/>
      <c r="I3036" s="3"/>
      <c r="J3036" s="3"/>
    </row>
    <row r="3037" spans="7:10" x14ac:dyDescent="0.35">
      <c r="G3037" s="3"/>
      <c r="H3037" s="3"/>
      <c r="I3037" s="3"/>
      <c r="J3037" s="3"/>
    </row>
    <row r="3038" spans="7:10" x14ac:dyDescent="0.35">
      <c r="G3038" s="3"/>
      <c r="H3038" s="3"/>
      <c r="I3038" s="3"/>
      <c r="J3038" s="3"/>
    </row>
    <row r="3039" spans="7:10" x14ac:dyDescent="0.35">
      <c r="G3039" s="3"/>
      <c r="H3039" s="3"/>
      <c r="I3039" s="3"/>
      <c r="J3039" s="3"/>
    </row>
    <row r="3040" spans="7:10" x14ac:dyDescent="0.35">
      <c r="G3040" s="3"/>
      <c r="H3040" s="3"/>
      <c r="I3040" s="3"/>
      <c r="J3040" s="3"/>
    </row>
    <row r="3041" spans="7:10" x14ac:dyDescent="0.35">
      <c r="G3041" s="3"/>
      <c r="H3041" s="3"/>
      <c r="I3041" s="3"/>
      <c r="J3041" s="3"/>
    </row>
    <row r="3042" spans="7:10" x14ac:dyDescent="0.35">
      <c r="G3042" s="3"/>
      <c r="H3042" s="3"/>
      <c r="I3042" s="3"/>
      <c r="J3042" s="3"/>
    </row>
    <row r="3043" spans="7:10" x14ac:dyDescent="0.35">
      <c r="G3043" s="3"/>
      <c r="H3043" s="3"/>
      <c r="I3043" s="3"/>
      <c r="J3043" s="3"/>
    </row>
    <row r="3044" spans="7:10" x14ac:dyDescent="0.35">
      <c r="G3044" s="3"/>
      <c r="H3044" s="3"/>
      <c r="I3044" s="3"/>
      <c r="J3044" s="3"/>
    </row>
    <row r="3045" spans="7:10" x14ac:dyDescent="0.35">
      <c r="G3045" s="3"/>
      <c r="H3045" s="3"/>
      <c r="I3045" s="3"/>
      <c r="J3045" s="3"/>
    </row>
    <row r="3046" spans="7:10" x14ac:dyDescent="0.35">
      <c r="G3046" s="3"/>
      <c r="H3046" s="3"/>
      <c r="I3046" s="3"/>
      <c r="J3046" s="3"/>
    </row>
    <row r="3047" spans="7:10" x14ac:dyDescent="0.35">
      <c r="G3047" s="3"/>
      <c r="H3047" s="3"/>
      <c r="I3047" s="3"/>
      <c r="J3047" s="3"/>
    </row>
    <row r="3048" spans="7:10" x14ac:dyDescent="0.35">
      <c r="G3048" s="3"/>
      <c r="H3048" s="3"/>
      <c r="I3048" s="3"/>
      <c r="J3048" s="3"/>
    </row>
    <row r="3049" spans="7:10" x14ac:dyDescent="0.35">
      <c r="G3049" s="3"/>
      <c r="H3049" s="3"/>
      <c r="I3049" s="3"/>
      <c r="J3049" s="3"/>
    </row>
    <row r="3050" spans="7:10" x14ac:dyDescent="0.35">
      <c r="G3050" s="3"/>
      <c r="H3050" s="3"/>
      <c r="I3050" s="3"/>
      <c r="J3050" s="3"/>
    </row>
    <row r="3051" spans="7:10" x14ac:dyDescent="0.35">
      <c r="G3051" s="3"/>
      <c r="H3051" s="3"/>
      <c r="I3051" s="3"/>
      <c r="J3051" s="3"/>
    </row>
    <row r="3052" spans="7:10" x14ac:dyDescent="0.35">
      <c r="G3052" s="3"/>
      <c r="H3052" s="3"/>
      <c r="I3052" s="3"/>
      <c r="J3052" s="3"/>
    </row>
    <row r="3053" spans="7:10" x14ac:dyDescent="0.35">
      <c r="G3053" s="3"/>
      <c r="H3053" s="3"/>
      <c r="I3053" s="3"/>
      <c r="J3053" s="3"/>
    </row>
    <row r="3054" spans="7:10" x14ac:dyDescent="0.35">
      <c r="G3054" s="3"/>
      <c r="H3054" s="3"/>
      <c r="I3054" s="3"/>
      <c r="J3054" s="3"/>
    </row>
    <row r="3055" spans="7:10" x14ac:dyDescent="0.35">
      <c r="G3055" s="3"/>
      <c r="H3055" s="3"/>
      <c r="I3055" s="3"/>
      <c r="J3055" s="3"/>
    </row>
    <row r="3056" spans="7:10" x14ac:dyDescent="0.35">
      <c r="G3056" s="3"/>
      <c r="H3056" s="3"/>
      <c r="I3056" s="3"/>
      <c r="J3056" s="3"/>
    </row>
    <row r="3057" spans="7:10" x14ac:dyDescent="0.35">
      <c r="G3057" s="3"/>
      <c r="H3057" s="3"/>
      <c r="I3057" s="3"/>
      <c r="J3057" s="3"/>
    </row>
    <row r="3058" spans="7:10" x14ac:dyDescent="0.35">
      <c r="G3058" s="3"/>
      <c r="H3058" s="3"/>
      <c r="I3058" s="3"/>
      <c r="J3058" s="3"/>
    </row>
    <row r="3059" spans="7:10" x14ac:dyDescent="0.35">
      <c r="G3059" s="3"/>
      <c r="H3059" s="3"/>
      <c r="I3059" s="3"/>
      <c r="J3059" s="3"/>
    </row>
    <row r="3060" spans="7:10" x14ac:dyDescent="0.35">
      <c r="G3060" s="3"/>
      <c r="H3060" s="3"/>
      <c r="I3060" s="3"/>
      <c r="J3060" s="3"/>
    </row>
    <row r="3061" spans="7:10" x14ac:dyDescent="0.35">
      <c r="G3061" s="3"/>
      <c r="H3061" s="3"/>
      <c r="I3061" s="3"/>
      <c r="J3061" s="3"/>
    </row>
    <row r="3062" spans="7:10" x14ac:dyDescent="0.35">
      <c r="G3062" s="3"/>
      <c r="H3062" s="3"/>
      <c r="I3062" s="3"/>
      <c r="J3062" s="3"/>
    </row>
    <row r="3063" spans="7:10" x14ac:dyDescent="0.35">
      <c r="G3063" s="3"/>
      <c r="H3063" s="3"/>
      <c r="I3063" s="3"/>
      <c r="J3063" s="3"/>
    </row>
    <row r="3064" spans="7:10" x14ac:dyDescent="0.35">
      <c r="G3064" s="3"/>
      <c r="H3064" s="3"/>
      <c r="I3064" s="3"/>
      <c r="J3064" s="3"/>
    </row>
    <row r="3065" spans="7:10" x14ac:dyDescent="0.35">
      <c r="G3065" s="3"/>
      <c r="H3065" s="3"/>
      <c r="I3065" s="3"/>
      <c r="J3065" s="3"/>
    </row>
    <row r="3066" spans="7:10" x14ac:dyDescent="0.35">
      <c r="G3066" s="3"/>
      <c r="H3066" s="3"/>
      <c r="I3066" s="3"/>
      <c r="J3066" s="3"/>
    </row>
    <row r="3067" spans="7:10" x14ac:dyDescent="0.35">
      <c r="G3067" s="3"/>
      <c r="H3067" s="3"/>
      <c r="I3067" s="3"/>
      <c r="J3067" s="3"/>
    </row>
    <row r="3068" spans="7:10" x14ac:dyDescent="0.35">
      <c r="G3068" s="3"/>
      <c r="H3068" s="3"/>
      <c r="I3068" s="3"/>
      <c r="J3068" s="3"/>
    </row>
    <row r="3069" spans="7:10" x14ac:dyDescent="0.35">
      <c r="G3069" s="3"/>
      <c r="H3069" s="3"/>
      <c r="I3069" s="3"/>
      <c r="J3069" s="3"/>
    </row>
    <row r="3070" spans="7:10" x14ac:dyDescent="0.35">
      <c r="G3070" s="3"/>
      <c r="H3070" s="3"/>
      <c r="I3070" s="3"/>
      <c r="J3070" s="3"/>
    </row>
    <row r="3071" spans="7:10" x14ac:dyDescent="0.35">
      <c r="G3071" s="3"/>
      <c r="H3071" s="3"/>
      <c r="I3071" s="3"/>
      <c r="J3071" s="3"/>
    </row>
    <row r="3072" spans="7:10" x14ac:dyDescent="0.35">
      <c r="G3072" s="3"/>
      <c r="H3072" s="3"/>
      <c r="I3072" s="3"/>
      <c r="J3072" s="3"/>
    </row>
    <row r="3073" spans="7:10" x14ac:dyDescent="0.35">
      <c r="G3073" s="3"/>
      <c r="H3073" s="3"/>
      <c r="I3073" s="3"/>
      <c r="J3073" s="3"/>
    </row>
    <row r="3074" spans="7:10" x14ac:dyDescent="0.35">
      <c r="G3074" s="3"/>
      <c r="H3074" s="3"/>
      <c r="I3074" s="3"/>
      <c r="J3074" s="3"/>
    </row>
    <row r="3075" spans="7:10" x14ac:dyDescent="0.35">
      <c r="G3075" s="3"/>
      <c r="H3075" s="3"/>
      <c r="I3075" s="3"/>
      <c r="J3075" s="3"/>
    </row>
    <row r="3076" spans="7:10" x14ac:dyDescent="0.35">
      <c r="G3076" s="3"/>
      <c r="H3076" s="3"/>
      <c r="I3076" s="3"/>
      <c r="J3076" s="3"/>
    </row>
    <row r="3077" spans="7:10" x14ac:dyDescent="0.35">
      <c r="G3077" s="3"/>
      <c r="H3077" s="3"/>
      <c r="I3077" s="3"/>
      <c r="J3077" s="3"/>
    </row>
    <row r="3078" spans="7:10" x14ac:dyDescent="0.35">
      <c r="G3078" s="3"/>
      <c r="H3078" s="3"/>
      <c r="I3078" s="3"/>
      <c r="J3078" s="3"/>
    </row>
    <row r="3079" spans="7:10" x14ac:dyDescent="0.35">
      <c r="G3079" s="3"/>
      <c r="H3079" s="3"/>
      <c r="I3079" s="3"/>
      <c r="J3079" s="3"/>
    </row>
    <row r="3080" spans="7:10" x14ac:dyDescent="0.35">
      <c r="G3080" s="3"/>
      <c r="H3080" s="3"/>
      <c r="I3080" s="3"/>
      <c r="J3080" s="3"/>
    </row>
    <row r="3081" spans="7:10" x14ac:dyDescent="0.35">
      <c r="G3081" s="3"/>
      <c r="H3081" s="3"/>
      <c r="I3081" s="3"/>
      <c r="J3081" s="3"/>
    </row>
    <row r="3082" spans="7:10" x14ac:dyDescent="0.35">
      <c r="G3082" s="3"/>
      <c r="H3082" s="3"/>
      <c r="I3082" s="3"/>
      <c r="J3082" s="3"/>
    </row>
    <row r="3083" spans="7:10" x14ac:dyDescent="0.35">
      <c r="G3083" s="3"/>
      <c r="H3083" s="3"/>
      <c r="I3083" s="3"/>
      <c r="J3083" s="3"/>
    </row>
    <row r="3084" spans="7:10" x14ac:dyDescent="0.35">
      <c r="G3084" s="3"/>
      <c r="H3084" s="3"/>
      <c r="I3084" s="3"/>
      <c r="J3084" s="3"/>
    </row>
    <row r="3085" spans="7:10" x14ac:dyDescent="0.35">
      <c r="G3085" s="3"/>
      <c r="H3085" s="3"/>
      <c r="I3085" s="3"/>
      <c r="J3085" s="3"/>
    </row>
    <row r="3086" spans="7:10" x14ac:dyDescent="0.35">
      <c r="G3086" s="3"/>
      <c r="H3086" s="3"/>
      <c r="I3086" s="3"/>
      <c r="J3086" s="3"/>
    </row>
    <row r="3087" spans="7:10" x14ac:dyDescent="0.35">
      <c r="G3087" s="3"/>
      <c r="H3087" s="3"/>
      <c r="I3087" s="3"/>
      <c r="J3087" s="3"/>
    </row>
    <row r="3088" spans="7:10" x14ac:dyDescent="0.35">
      <c r="G3088" s="3"/>
      <c r="H3088" s="3"/>
      <c r="I3088" s="3"/>
      <c r="J3088" s="3"/>
    </row>
    <row r="3089" spans="7:10" x14ac:dyDescent="0.35">
      <c r="G3089" s="3"/>
      <c r="H3089" s="3"/>
      <c r="I3089" s="3"/>
      <c r="J3089" s="3"/>
    </row>
    <row r="3090" spans="7:10" x14ac:dyDescent="0.35">
      <c r="G3090" s="3"/>
      <c r="H3090" s="3"/>
      <c r="I3090" s="3"/>
      <c r="J3090" s="3"/>
    </row>
    <row r="3091" spans="7:10" x14ac:dyDescent="0.35">
      <c r="G3091" s="3"/>
      <c r="H3091" s="3"/>
      <c r="I3091" s="3"/>
      <c r="J3091" s="3"/>
    </row>
    <row r="3092" spans="7:10" x14ac:dyDescent="0.35">
      <c r="G3092" s="3"/>
      <c r="H3092" s="3"/>
      <c r="I3092" s="3"/>
      <c r="J3092" s="3"/>
    </row>
    <row r="3093" spans="7:10" x14ac:dyDescent="0.35">
      <c r="G3093" s="3"/>
      <c r="H3093" s="3"/>
      <c r="I3093" s="3"/>
      <c r="J3093" s="3"/>
    </row>
    <row r="3094" spans="7:10" x14ac:dyDescent="0.35">
      <c r="G3094" s="3"/>
      <c r="H3094" s="3"/>
      <c r="I3094" s="3"/>
      <c r="J3094" s="3"/>
    </row>
    <row r="3095" spans="7:10" x14ac:dyDescent="0.35">
      <c r="G3095" s="3"/>
      <c r="H3095" s="3"/>
      <c r="I3095" s="3"/>
      <c r="J3095" s="3"/>
    </row>
    <row r="3096" spans="7:10" x14ac:dyDescent="0.35">
      <c r="G3096" s="3"/>
      <c r="H3096" s="3"/>
      <c r="I3096" s="3"/>
      <c r="J3096" s="3"/>
    </row>
    <row r="3097" spans="7:10" x14ac:dyDescent="0.35">
      <c r="G3097" s="3"/>
      <c r="H3097" s="3"/>
      <c r="I3097" s="3"/>
      <c r="J3097" s="3"/>
    </row>
    <row r="3098" spans="7:10" x14ac:dyDescent="0.35">
      <c r="G3098" s="3"/>
      <c r="H3098" s="3"/>
      <c r="I3098" s="3"/>
      <c r="J3098" s="3"/>
    </row>
    <row r="3099" spans="7:10" x14ac:dyDescent="0.35">
      <c r="G3099" s="3"/>
      <c r="H3099" s="3"/>
      <c r="I3099" s="3"/>
      <c r="J3099" s="3"/>
    </row>
    <row r="3100" spans="7:10" x14ac:dyDescent="0.35">
      <c r="G3100" s="3"/>
      <c r="H3100" s="3"/>
      <c r="I3100" s="3"/>
      <c r="J3100" s="3"/>
    </row>
    <row r="3101" spans="7:10" x14ac:dyDescent="0.35">
      <c r="G3101" s="3"/>
      <c r="H3101" s="3"/>
      <c r="I3101" s="3"/>
      <c r="J3101" s="3"/>
    </row>
    <row r="3102" spans="7:10" x14ac:dyDescent="0.35">
      <c r="G3102" s="3"/>
      <c r="H3102" s="3"/>
      <c r="I3102" s="3"/>
      <c r="J3102" s="3"/>
    </row>
    <row r="3103" spans="7:10" x14ac:dyDescent="0.35">
      <c r="G3103" s="3"/>
      <c r="H3103" s="3"/>
      <c r="I3103" s="3"/>
      <c r="J3103" s="3"/>
    </row>
    <row r="3104" spans="7:10" x14ac:dyDescent="0.35">
      <c r="G3104" s="3"/>
      <c r="H3104" s="3"/>
      <c r="I3104" s="3"/>
      <c r="J3104" s="3"/>
    </row>
    <row r="3105" spans="7:10" x14ac:dyDescent="0.35">
      <c r="G3105" s="3"/>
      <c r="H3105" s="3"/>
      <c r="I3105" s="3"/>
      <c r="J3105" s="3"/>
    </row>
    <row r="3106" spans="7:10" x14ac:dyDescent="0.35">
      <c r="G3106" s="3"/>
      <c r="H3106" s="3"/>
      <c r="I3106" s="3"/>
      <c r="J3106" s="3"/>
    </row>
    <row r="3107" spans="7:10" x14ac:dyDescent="0.35">
      <c r="G3107" s="3"/>
      <c r="H3107" s="3"/>
      <c r="I3107" s="3"/>
      <c r="J3107" s="3"/>
    </row>
    <row r="3108" spans="7:10" x14ac:dyDescent="0.35">
      <c r="G3108" s="3"/>
      <c r="H3108" s="3"/>
      <c r="I3108" s="3"/>
      <c r="J3108" s="3"/>
    </row>
    <row r="3109" spans="7:10" x14ac:dyDescent="0.35">
      <c r="G3109" s="3"/>
      <c r="H3109" s="3"/>
      <c r="I3109" s="3"/>
      <c r="J3109" s="3"/>
    </row>
    <row r="3110" spans="7:10" x14ac:dyDescent="0.35">
      <c r="G3110" s="3"/>
      <c r="H3110" s="3"/>
      <c r="I3110" s="3"/>
      <c r="J3110" s="3"/>
    </row>
    <row r="3111" spans="7:10" x14ac:dyDescent="0.35">
      <c r="G3111" s="3"/>
      <c r="H3111" s="3"/>
      <c r="I3111" s="3"/>
      <c r="J3111" s="3"/>
    </row>
    <row r="3112" spans="7:10" x14ac:dyDescent="0.35">
      <c r="G3112" s="3"/>
      <c r="H3112" s="3"/>
      <c r="I3112" s="3"/>
      <c r="J3112" s="3"/>
    </row>
    <row r="3113" spans="7:10" x14ac:dyDescent="0.35">
      <c r="G3113" s="3"/>
      <c r="H3113" s="3"/>
      <c r="I3113" s="3"/>
      <c r="J3113" s="3"/>
    </row>
    <row r="3114" spans="7:10" x14ac:dyDescent="0.35">
      <c r="G3114" s="3"/>
      <c r="H3114" s="3"/>
      <c r="I3114" s="3"/>
      <c r="J3114" s="3"/>
    </row>
    <row r="3115" spans="7:10" x14ac:dyDescent="0.35">
      <c r="G3115" s="3"/>
      <c r="H3115" s="3"/>
      <c r="I3115" s="3"/>
      <c r="J3115" s="3"/>
    </row>
    <row r="3116" spans="7:10" x14ac:dyDescent="0.35">
      <c r="G3116" s="3"/>
      <c r="H3116" s="3"/>
      <c r="I3116" s="3"/>
      <c r="J3116" s="3"/>
    </row>
    <row r="3117" spans="7:10" x14ac:dyDescent="0.35">
      <c r="G3117" s="3"/>
      <c r="H3117" s="3"/>
      <c r="I3117" s="3"/>
      <c r="J3117" s="3"/>
    </row>
    <row r="3118" spans="7:10" x14ac:dyDescent="0.35">
      <c r="G3118" s="3"/>
      <c r="H3118" s="3"/>
      <c r="I3118" s="3"/>
      <c r="J3118" s="3"/>
    </row>
    <row r="3119" spans="7:10" x14ac:dyDescent="0.35">
      <c r="G3119" s="3"/>
      <c r="H3119" s="3"/>
      <c r="I3119" s="3"/>
      <c r="J3119" s="3"/>
    </row>
    <row r="3120" spans="7:10" x14ac:dyDescent="0.35">
      <c r="G3120" s="3"/>
      <c r="H3120" s="3"/>
      <c r="I3120" s="3"/>
      <c r="J3120" s="3"/>
    </row>
    <row r="3121" spans="7:10" x14ac:dyDescent="0.35">
      <c r="G3121" s="3"/>
      <c r="H3121" s="3"/>
      <c r="I3121" s="3"/>
      <c r="J3121" s="3"/>
    </row>
    <row r="3122" spans="7:10" x14ac:dyDescent="0.35">
      <c r="G3122" s="3"/>
      <c r="H3122" s="3"/>
      <c r="I3122" s="3"/>
      <c r="J3122" s="3"/>
    </row>
    <row r="3123" spans="7:10" x14ac:dyDescent="0.35">
      <c r="G3123" s="3"/>
      <c r="H3123" s="3"/>
      <c r="I3123" s="3"/>
      <c r="J3123" s="3"/>
    </row>
    <row r="3124" spans="7:10" x14ac:dyDescent="0.35">
      <c r="G3124" s="3"/>
      <c r="H3124" s="3"/>
      <c r="I3124" s="3"/>
      <c r="J3124" s="3"/>
    </row>
    <row r="3125" spans="7:10" x14ac:dyDescent="0.35">
      <c r="G3125" s="3"/>
      <c r="H3125" s="3"/>
      <c r="I3125" s="3"/>
      <c r="J3125" s="3"/>
    </row>
    <row r="3126" spans="7:10" x14ac:dyDescent="0.35">
      <c r="G3126" s="3"/>
      <c r="H3126" s="3"/>
      <c r="I3126" s="3"/>
      <c r="J3126" s="3"/>
    </row>
    <row r="3127" spans="7:10" x14ac:dyDescent="0.35">
      <c r="G3127" s="3"/>
      <c r="H3127" s="3"/>
      <c r="I3127" s="3"/>
      <c r="J3127" s="3"/>
    </row>
    <row r="3128" spans="7:10" x14ac:dyDescent="0.35">
      <c r="G3128" s="3"/>
      <c r="H3128" s="3"/>
      <c r="I3128" s="3"/>
      <c r="J3128" s="3"/>
    </row>
    <row r="3129" spans="7:10" x14ac:dyDescent="0.35">
      <c r="G3129" s="3"/>
      <c r="H3129" s="3"/>
      <c r="I3129" s="3"/>
      <c r="J3129" s="3"/>
    </row>
    <row r="3130" spans="7:10" x14ac:dyDescent="0.35">
      <c r="G3130" s="3"/>
      <c r="H3130" s="3"/>
      <c r="I3130" s="3"/>
      <c r="J3130" s="3"/>
    </row>
    <row r="3131" spans="7:10" x14ac:dyDescent="0.35">
      <c r="G3131" s="3"/>
      <c r="H3131" s="3"/>
      <c r="I3131" s="3"/>
      <c r="J3131" s="3"/>
    </row>
    <row r="3132" spans="7:10" x14ac:dyDescent="0.35">
      <c r="G3132" s="3"/>
      <c r="H3132" s="3"/>
      <c r="I3132" s="3"/>
      <c r="J3132" s="3"/>
    </row>
    <row r="3133" spans="7:10" x14ac:dyDescent="0.35">
      <c r="G3133" s="3"/>
      <c r="H3133" s="3"/>
      <c r="I3133" s="3"/>
      <c r="J3133" s="3"/>
    </row>
    <row r="3134" spans="7:10" x14ac:dyDescent="0.35">
      <c r="G3134" s="3"/>
      <c r="H3134" s="3"/>
      <c r="I3134" s="3"/>
      <c r="J3134" s="3"/>
    </row>
    <row r="3135" spans="7:10" x14ac:dyDescent="0.35">
      <c r="G3135" s="3"/>
      <c r="H3135" s="3"/>
      <c r="I3135" s="3"/>
      <c r="J3135" s="3"/>
    </row>
    <row r="3136" spans="7:10" x14ac:dyDescent="0.35">
      <c r="G3136" s="3"/>
      <c r="H3136" s="3"/>
      <c r="I3136" s="3"/>
      <c r="J3136" s="3"/>
    </row>
    <row r="3137" spans="7:10" x14ac:dyDescent="0.35">
      <c r="G3137" s="3"/>
      <c r="H3137" s="3"/>
      <c r="I3137" s="3"/>
      <c r="J3137" s="3"/>
    </row>
    <row r="3138" spans="7:10" x14ac:dyDescent="0.35">
      <c r="G3138" s="3"/>
      <c r="H3138" s="3"/>
      <c r="I3138" s="3"/>
      <c r="J3138" s="3"/>
    </row>
    <row r="3139" spans="7:10" x14ac:dyDescent="0.35">
      <c r="G3139" s="3"/>
      <c r="H3139" s="3"/>
      <c r="I3139" s="3"/>
      <c r="J3139" s="3"/>
    </row>
    <row r="3140" spans="7:10" x14ac:dyDescent="0.35">
      <c r="G3140" s="3"/>
      <c r="H3140" s="3"/>
      <c r="I3140" s="3"/>
      <c r="J3140" s="3"/>
    </row>
    <row r="3141" spans="7:10" x14ac:dyDescent="0.35">
      <c r="G3141" s="3"/>
      <c r="H3141" s="3"/>
      <c r="I3141" s="3"/>
      <c r="J3141" s="3"/>
    </row>
    <row r="3142" spans="7:10" x14ac:dyDescent="0.35">
      <c r="G3142" s="3"/>
      <c r="H3142" s="3"/>
      <c r="I3142" s="3"/>
      <c r="J3142" s="3"/>
    </row>
    <row r="3143" spans="7:10" x14ac:dyDescent="0.35">
      <c r="G3143" s="3"/>
      <c r="H3143" s="3"/>
      <c r="I3143" s="3"/>
      <c r="J3143" s="3"/>
    </row>
    <row r="3144" spans="7:10" x14ac:dyDescent="0.35">
      <c r="G3144" s="3"/>
      <c r="H3144" s="3"/>
      <c r="I3144" s="3"/>
      <c r="J3144" s="3"/>
    </row>
    <row r="3145" spans="7:10" x14ac:dyDescent="0.35">
      <c r="G3145" s="3"/>
      <c r="H3145" s="3"/>
      <c r="I3145" s="3"/>
      <c r="J3145" s="3"/>
    </row>
    <row r="3146" spans="7:10" x14ac:dyDescent="0.35">
      <c r="G3146" s="3"/>
      <c r="H3146" s="3"/>
      <c r="I3146" s="3"/>
      <c r="J3146" s="3"/>
    </row>
    <row r="3147" spans="7:10" x14ac:dyDescent="0.35">
      <c r="G3147" s="3"/>
      <c r="H3147" s="3"/>
      <c r="I3147" s="3"/>
      <c r="J3147" s="3"/>
    </row>
    <row r="3148" spans="7:10" x14ac:dyDescent="0.35">
      <c r="G3148" s="3"/>
      <c r="H3148" s="3"/>
      <c r="I3148" s="3"/>
      <c r="J3148" s="3"/>
    </row>
    <row r="3149" spans="7:10" x14ac:dyDescent="0.35">
      <c r="G3149" s="3"/>
      <c r="H3149" s="3"/>
      <c r="I3149" s="3"/>
      <c r="J3149" s="3"/>
    </row>
    <row r="3150" spans="7:10" x14ac:dyDescent="0.35">
      <c r="G3150" s="3"/>
      <c r="H3150" s="3"/>
      <c r="I3150" s="3"/>
      <c r="J3150" s="3"/>
    </row>
    <row r="3151" spans="7:10" x14ac:dyDescent="0.35">
      <c r="G3151" s="3"/>
      <c r="H3151" s="3"/>
      <c r="I3151" s="3"/>
      <c r="J3151" s="3"/>
    </row>
    <row r="3152" spans="7:10" x14ac:dyDescent="0.35">
      <c r="G3152" s="3"/>
      <c r="H3152" s="3"/>
      <c r="I3152" s="3"/>
      <c r="J3152" s="3"/>
    </row>
    <row r="3153" spans="7:10" x14ac:dyDescent="0.35">
      <c r="G3153" s="3"/>
      <c r="H3153" s="3"/>
      <c r="I3153" s="3"/>
      <c r="J3153" s="3"/>
    </row>
    <row r="3154" spans="7:10" x14ac:dyDescent="0.35">
      <c r="G3154" s="3"/>
      <c r="H3154" s="3"/>
      <c r="I3154" s="3"/>
      <c r="J3154" s="3"/>
    </row>
    <row r="3155" spans="7:10" x14ac:dyDescent="0.35">
      <c r="G3155" s="3"/>
      <c r="H3155" s="3"/>
      <c r="I3155" s="3"/>
      <c r="J3155" s="3"/>
    </row>
    <row r="3156" spans="7:10" x14ac:dyDescent="0.35">
      <c r="G3156" s="3"/>
      <c r="H3156" s="3"/>
      <c r="I3156" s="3"/>
      <c r="J3156" s="3"/>
    </row>
    <row r="3157" spans="7:10" x14ac:dyDescent="0.35">
      <c r="G3157" s="3"/>
      <c r="H3157" s="3"/>
      <c r="I3157" s="3"/>
      <c r="J3157" s="3"/>
    </row>
    <row r="3158" spans="7:10" x14ac:dyDescent="0.35">
      <c r="G3158" s="3"/>
      <c r="H3158" s="3"/>
      <c r="I3158" s="3"/>
      <c r="J3158" s="3"/>
    </row>
    <row r="3159" spans="7:10" x14ac:dyDescent="0.35">
      <c r="G3159" s="3"/>
      <c r="H3159" s="3"/>
      <c r="I3159" s="3"/>
      <c r="J3159" s="3"/>
    </row>
    <row r="3160" spans="7:10" x14ac:dyDescent="0.35">
      <c r="G3160" s="3"/>
      <c r="H3160" s="3"/>
      <c r="I3160" s="3"/>
      <c r="J3160" s="3"/>
    </row>
    <row r="3161" spans="7:10" x14ac:dyDescent="0.35">
      <c r="G3161" s="3"/>
      <c r="H3161" s="3"/>
      <c r="I3161" s="3"/>
      <c r="J3161" s="3"/>
    </row>
    <row r="3162" spans="7:10" x14ac:dyDescent="0.35">
      <c r="G3162" s="3"/>
      <c r="H3162" s="3"/>
      <c r="I3162" s="3"/>
      <c r="J3162" s="3"/>
    </row>
    <row r="3163" spans="7:10" x14ac:dyDescent="0.35">
      <c r="G3163" s="3"/>
      <c r="H3163" s="3"/>
      <c r="I3163" s="3"/>
      <c r="J3163" s="3"/>
    </row>
    <row r="3164" spans="7:10" x14ac:dyDescent="0.35">
      <c r="G3164" s="3"/>
      <c r="H3164" s="3"/>
      <c r="I3164" s="3"/>
      <c r="J3164" s="3"/>
    </row>
    <row r="3165" spans="7:10" x14ac:dyDescent="0.35">
      <c r="G3165" s="3"/>
      <c r="H3165" s="3"/>
      <c r="I3165" s="3"/>
      <c r="J3165" s="3"/>
    </row>
    <row r="3166" spans="7:10" x14ac:dyDescent="0.35">
      <c r="G3166" s="3"/>
      <c r="H3166" s="3"/>
      <c r="I3166" s="3"/>
      <c r="J3166" s="3"/>
    </row>
    <row r="3167" spans="7:10" x14ac:dyDescent="0.35">
      <c r="G3167" s="3"/>
      <c r="H3167" s="3"/>
      <c r="I3167" s="3"/>
      <c r="J3167" s="3"/>
    </row>
    <row r="3168" spans="7:10" x14ac:dyDescent="0.35">
      <c r="G3168" s="3"/>
      <c r="H3168" s="3"/>
      <c r="I3168" s="3"/>
      <c r="J3168" s="3"/>
    </row>
    <row r="3169" spans="7:10" x14ac:dyDescent="0.35">
      <c r="G3169" s="3"/>
      <c r="H3169" s="3"/>
      <c r="I3169" s="3"/>
      <c r="J3169" s="3"/>
    </row>
    <row r="3170" spans="7:10" x14ac:dyDescent="0.35">
      <c r="G3170" s="3"/>
      <c r="H3170" s="3"/>
      <c r="I3170" s="3"/>
      <c r="J3170" s="3"/>
    </row>
    <row r="3171" spans="7:10" x14ac:dyDescent="0.35">
      <c r="G3171" s="3"/>
      <c r="H3171" s="3"/>
      <c r="I3171" s="3"/>
      <c r="J3171" s="3"/>
    </row>
    <row r="3172" spans="7:10" x14ac:dyDescent="0.35">
      <c r="G3172" s="3"/>
      <c r="H3172" s="3"/>
      <c r="I3172" s="3"/>
      <c r="J3172" s="3"/>
    </row>
    <row r="3173" spans="7:10" x14ac:dyDescent="0.35">
      <c r="G3173" s="3"/>
      <c r="H3173" s="3"/>
      <c r="I3173" s="3"/>
      <c r="J3173" s="3"/>
    </row>
    <row r="3174" spans="7:10" x14ac:dyDescent="0.35">
      <c r="G3174" s="3"/>
      <c r="H3174" s="3"/>
      <c r="I3174" s="3"/>
      <c r="J3174" s="3"/>
    </row>
    <row r="3175" spans="7:10" x14ac:dyDescent="0.35">
      <c r="G3175" s="3"/>
      <c r="H3175" s="3"/>
      <c r="I3175" s="3"/>
      <c r="J3175" s="3"/>
    </row>
    <row r="3176" spans="7:10" x14ac:dyDescent="0.35">
      <c r="G3176" s="3"/>
      <c r="H3176" s="3"/>
      <c r="I3176" s="3"/>
      <c r="J3176" s="3"/>
    </row>
    <row r="3177" spans="7:10" x14ac:dyDescent="0.35">
      <c r="G3177" s="3"/>
      <c r="H3177" s="3"/>
      <c r="I3177" s="3"/>
      <c r="J3177" s="3"/>
    </row>
    <row r="3178" spans="7:10" x14ac:dyDescent="0.35">
      <c r="G3178" s="3"/>
      <c r="H3178" s="3"/>
      <c r="I3178" s="3"/>
      <c r="J3178" s="3"/>
    </row>
    <row r="3179" spans="7:10" x14ac:dyDescent="0.35">
      <c r="G3179" s="3"/>
      <c r="H3179" s="3"/>
      <c r="I3179" s="3"/>
      <c r="J3179" s="3"/>
    </row>
    <row r="3180" spans="7:10" x14ac:dyDescent="0.35">
      <c r="G3180" s="3"/>
      <c r="H3180" s="3"/>
      <c r="I3180" s="3"/>
      <c r="J3180" s="3"/>
    </row>
    <row r="3181" spans="7:10" x14ac:dyDescent="0.35">
      <c r="G3181" s="3"/>
      <c r="H3181" s="3"/>
      <c r="I3181" s="3"/>
      <c r="J3181" s="3"/>
    </row>
    <row r="3182" spans="7:10" x14ac:dyDescent="0.35">
      <c r="G3182" s="3"/>
      <c r="H3182" s="3"/>
      <c r="I3182" s="3"/>
      <c r="J3182" s="3"/>
    </row>
    <row r="3183" spans="7:10" x14ac:dyDescent="0.35">
      <c r="G3183" s="3"/>
      <c r="H3183" s="3"/>
      <c r="I3183" s="3"/>
      <c r="J3183" s="3"/>
    </row>
    <row r="3184" spans="7:10" x14ac:dyDescent="0.35">
      <c r="G3184" s="3"/>
      <c r="H3184" s="3"/>
      <c r="I3184" s="3"/>
      <c r="J3184" s="3"/>
    </row>
    <row r="3185" spans="7:10" x14ac:dyDescent="0.35">
      <c r="G3185" s="3"/>
      <c r="H3185" s="3"/>
      <c r="I3185" s="3"/>
      <c r="J3185" s="3"/>
    </row>
    <row r="3186" spans="7:10" x14ac:dyDescent="0.35">
      <c r="G3186" s="3"/>
      <c r="H3186" s="3"/>
      <c r="I3186" s="3"/>
      <c r="J3186" s="3"/>
    </row>
    <row r="3187" spans="7:10" x14ac:dyDescent="0.35">
      <c r="G3187" s="3"/>
      <c r="H3187" s="3"/>
      <c r="I3187" s="3"/>
      <c r="J3187" s="3"/>
    </row>
    <row r="3188" spans="7:10" x14ac:dyDescent="0.35">
      <c r="G3188" s="3"/>
      <c r="H3188" s="3"/>
      <c r="I3188" s="3"/>
      <c r="J3188" s="3"/>
    </row>
    <row r="3189" spans="7:10" x14ac:dyDescent="0.35">
      <c r="G3189" s="3"/>
      <c r="H3189" s="3"/>
      <c r="I3189" s="3"/>
      <c r="J3189" s="3"/>
    </row>
    <row r="3190" spans="7:10" x14ac:dyDescent="0.35">
      <c r="G3190" s="3"/>
      <c r="H3190" s="3"/>
      <c r="I3190" s="3"/>
      <c r="J3190" s="3"/>
    </row>
    <row r="3191" spans="7:10" x14ac:dyDescent="0.35">
      <c r="G3191" s="3"/>
      <c r="H3191" s="3"/>
      <c r="I3191" s="3"/>
      <c r="J3191" s="3"/>
    </row>
    <row r="3192" spans="7:10" x14ac:dyDescent="0.35">
      <c r="G3192" s="3"/>
      <c r="H3192" s="3"/>
      <c r="I3192" s="3"/>
      <c r="J3192" s="3"/>
    </row>
    <row r="3193" spans="7:10" x14ac:dyDescent="0.35">
      <c r="G3193" s="3"/>
      <c r="H3193" s="3"/>
      <c r="I3193" s="3"/>
      <c r="J3193" s="3"/>
    </row>
    <row r="3194" spans="7:10" x14ac:dyDescent="0.35">
      <c r="G3194" s="3"/>
      <c r="H3194" s="3"/>
      <c r="I3194" s="3"/>
      <c r="J3194" s="3"/>
    </row>
    <row r="3195" spans="7:10" x14ac:dyDescent="0.35">
      <c r="G3195" s="3"/>
      <c r="H3195" s="3"/>
      <c r="I3195" s="3"/>
      <c r="J3195" s="3"/>
    </row>
    <row r="3196" spans="7:10" x14ac:dyDescent="0.35">
      <c r="G3196" s="3"/>
      <c r="H3196" s="3"/>
      <c r="I3196" s="3"/>
      <c r="J3196" s="3"/>
    </row>
    <row r="3197" spans="7:10" x14ac:dyDescent="0.35">
      <c r="G3197" s="3"/>
      <c r="H3197" s="3"/>
      <c r="I3197" s="3"/>
      <c r="J3197" s="3"/>
    </row>
    <row r="3198" spans="7:10" x14ac:dyDescent="0.35">
      <c r="G3198" s="3"/>
      <c r="H3198" s="3"/>
      <c r="I3198" s="3"/>
      <c r="J3198" s="3"/>
    </row>
    <row r="3199" spans="7:10" x14ac:dyDescent="0.35">
      <c r="G3199" s="3"/>
      <c r="H3199" s="3"/>
      <c r="I3199" s="3"/>
      <c r="J3199" s="3"/>
    </row>
    <row r="3200" spans="7:10" x14ac:dyDescent="0.35">
      <c r="G3200" s="3"/>
      <c r="H3200" s="3"/>
      <c r="I3200" s="3"/>
      <c r="J3200" s="3"/>
    </row>
    <row r="3201" spans="7:10" x14ac:dyDescent="0.35">
      <c r="G3201" s="3"/>
      <c r="H3201" s="3"/>
      <c r="I3201" s="3"/>
      <c r="J3201" s="3"/>
    </row>
    <row r="3202" spans="7:10" x14ac:dyDescent="0.35">
      <c r="G3202" s="3"/>
      <c r="H3202" s="3"/>
      <c r="I3202" s="3"/>
      <c r="J3202" s="3"/>
    </row>
    <row r="3203" spans="7:10" x14ac:dyDescent="0.35">
      <c r="G3203" s="3"/>
      <c r="H3203" s="3"/>
      <c r="I3203" s="3"/>
      <c r="J3203" s="3"/>
    </row>
    <row r="3204" spans="7:10" x14ac:dyDescent="0.35">
      <c r="G3204" s="3"/>
      <c r="H3204" s="3"/>
      <c r="I3204" s="3"/>
      <c r="J3204" s="3"/>
    </row>
    <row r="3205" spans="7:10" x14ac:dyDescent="0.35">
      <c r="G3205" s="3"/>
      <c r="H3205" s="3"/>
      <c r="I3205" s="3"/>
      <c r="J3205" s="3"/>
    </row>
    <row r="3206" spans="7:10" x14ac:dyDescent="0.35">
      <c r="G3206" s="3"/>
      <c r="H3206" s="3"/>
      <c r="I3206" s="3"/>
      <c r="J3206" s="3"/>
    </row>
    <row r="3207" spans="7:10" x14ac:dyDescent="0.35">
      <c r="G3207" s="3"/>
      <c r="H3207" s="3"/>
      <c r="I3207" s="3"/>
      <c r="J3207" s="3"/>
    </row>
    <row r="3208" spans="7:10" x14ac:dyDescent="0.35">
      <c r="G3208" s="3"/>
      <c r="H3208" s="3"/>
      <c r="I3208" s="3"/>
      <c r="J3208" s="3"/>
    </row>
    <row r="3209" spans="7:10" x14ac:dyDescent="0.35">
      <c r="G3209" s="3"/>
      <c r="H3209" s="3"/>
      <c r="I3209" s="3"/>
      <c r="J3209" s="3"/>
    </row>
    <row r="3210" spans="7:10" x14ac:dyDescent="0.35">
      <c r="G3210" s="3"/>
      <c r="H3210" s="3"/>
      <c r="I3210" s="3"/>
      <c r="J3210" s="3"/>
    </row>
    <row r="3211" spans="7:10" x14ac:dyDescent="0.35">
      <c r="G3211" s="3"/>
      <c r="H3211" s="3"/>
      <c r="I3211" s="3"/>
      <c r="J3211" s="3"/>
    </row>
    <row r="3212" spans="7:10" x14ac:dyDescent="0.35">
      <c r="G3212" s="3"/>
      <c r="H3212" s="3"/>
      <c r="I3212" s="3"/>
      <c r="J3212" s="3"/>
    </row>
    <row r="3213" spans="7:10" x14ac:dyDescent="0.35">
      <c r="G3213" s="3"/>
      <c r="H3213" s="3"/>
      <c r="I3213" s="3"/>
      <c r="J3213" s="3"/>
    </row>
    <row r="3214" spans="7:10" x14ac:dyDescent="0.35">
      <c r="G3214" s="3"/>
      <c r="H3214" s="3"/>
      <c r="I3214" s="3"/>
      <c r="J3214" s="3"/>
    </row>
    <row r="3215" spans="7:10" x14ac:dyDescent="0.35">
      <c r="G3215" s="3"/>
      <c r="H3215" s="3"/>
      <c r="I3215" s="3"/>
      <c r="J3215" s="3"/>
    </row>
    <row r="3216" spans="7:10" x14ac:dyDescent="0.35">
      <c r="G3216" s="3"/>
      <c r="H3216" s="3"/>
      <c r="I3216" s="3"/>
      <c r="J3216" s="3"/>
    </row>
    <row r="3217" spans="7:10" x14ac:dyDescent="0.35">
      <c r="G3217" s="3"/>
      <c r="H3217" s="3"/>
      <c r="I3217" s="3"/>
      <c r="J3217" s="3"/>
    </row>
    <row r="3218" spans="7:10" x14ac:dyDescent="0.35">
      <c r="G3218" s="3"/>
      <c r="H3218" s="3"/>
      <c r="I3218" s="3"/>
      <c r="J3218" s="3"/>
    </row>
    <row r="3219" spans="7:10" x14ac:dyDescent="0.35">
      <c r="G3219" s="3"/>
      <c r="H3219" s="3"/>
      <c r="I3219" s="3"/>
      <c r="J3219" s="3"/>
    </row>
    <row r="3220" spans="7:10" x14ac:dyDescent="0.35">
      <c r="G3220" s="3"/>
      <c r="H3220" s="3"/>
      <c r="I3220" s="3"/>
      <c r="J3220" s="3"/>
    </row>
    <row r="3221" spans="7:10" x14ac:dyDescent="0.35">
      <c r="G3221" s="3"/>
      <c r="H3221" s="3"/>
      <c r="I3221" s="3"/>
      <c r="J3221" s="3"/>
    </row>
    <row r="3222" spans="7:10" x14ac:dyDescent="0.35">
      <c r="G3222" s="3"/>
      <c r="H3222" s="3"/>
      <c r="I3222" s="3"/>
      <c r="J3222" s="3"/>
    </row>
    <row r="3223" spans="7:10" x14ac:dyDescent="0.35">
      <c r="G3223" s="3"/>
      <c r="H3223" s="3"/>
      <c r="I3223" s="3"/>
      <c r="J3223" s="3"/>
    </row>
    <row r="3224" spans="7:10" x14ac:dyDescent="0.35">
      <c r="G3224" s="3"/>
      <c r="H3224" s="3"/>
      <c r="I3224" s="3"/>
      <c r="J3224" s="3"/>
    </row>
    <row r="3225" spans="7:10" x14ac:dyDescent="0.35">
      <c r="G3225" s="3"/>
      <c r="H3225" s="3"/>
      <c r="I3225" s="3"/>
      <c r="J3225" s="3"/>
    </row>
    <row r="3226" spans="7:10" x14ac:dyDescent="0.35">
      <c r="G3226" s="3"/>
      <c r="H3226" s="3"/>
      <c r="I3226" s="3"/>
      <c r="J3226" s="3"/>
    </row>
    <row r="3227" spans="7:10" x14ac:dyDescent="0.35">
      <c r="G3227" s="3"/>
      <c r="H3227" s="3"/>
      <c r="I3227" s="3"/>
      <c r="J3227" s="3"/>
    </row>
    <row r="3228" spans="7:10" x14ac:dyDescent="0.35">
      <c r="G3228" s="3"/>
      <c r="H3228" s="3"/>
      <c r="I3228" s="3"/>
      <c r="J3228" s="3"/>
    </row>
    <row r="3229" spans="7:10" x14ac:dyDescent="0.35">
      <c r="G3229" s="3"/>
      <c r="H3229" s="3"/>
      <c r="I3229" s="3"/>
      <c r="J3229" s="3"/>
    </row>
    <row r="3230" spans="7:10" x14ac:dyDescent="0.35">
      <c r="G3230" s="3"/>
      <c r="H3230" s="3"/>
      <c r="I3230" s="3"/>
      <c r="J3230" s="3"/>
    </row>
    <row r="3231" spans="7:10" x14ac:dyDescent="0.35">
      <c r="G3231" s="3"/>
      <c r="H3231" s="3"/>
      <c r="I3231" s="3"/>
      <c r="J3231" s="3"/>
    </row>
    <row r="3232" spans="7:10" x14ac:dyDescent="0.35">
      <c r="G3232" s="3"/>
      <c r="H3232" s="3"/>
      <c r="I3232" s="3"/>
      <c r="J3232" s="3"/>
    </row>
    <row r="3233" spans="7:10" x14ac:dyDescent="0.35">
      <c r="G3233" s="3"/>
      <c r="H3233" s="3"/>
      <c r="I3233" s="3"/>
      <c r="J3233" s="3"/>
    </row>
    <row r="3234" spans="7:10" x14ac:dyDescent="0.35">
      <c r="G3234" s="3"/>
      <c r="H3234" s="3"/>
      <c r="I3234" s="3"/>
      <c r="J3234" s="3"/>
    </row>
    <row r="3235" spans="7:10" x14ac:dyDescent="0.35">
      <c r="G3235" s="3"/>
      <c r="H3235" s="3"/>
      <c r="I3235" s="3"/>
      <c r="J3235" s="3"/>
    </row>
    <row r="3236" spans="7:10" x14ac:dyDescent="0.35">
      <c r="G3236" s="3"/>
      <c r="H3236" s="3"/>
      <c r="I3236" s="3"/>
      <c r="J3236" s="3"/>
    </row>
    <row r="3237" spans="7:10" x14ac:dyDescent="0.35">
      <c r="G3237" s="3"/>
      <c r="H3237" s="3"/>
      <c r="I3237" s="3"/>
      <c r="J3237" s="3"/>
    </row>
    <row r="3238" spans="7:10" x14ac:dyDescent="0.35">
      <c r="G3238" s="3"/>
      <c r="H3238" s="3"/>
      <c r="I3238" s="3"/>
      <c r="J3238" s="3"/>
    </row>
    <row r="3239" spans="7:10" x14ac:dyDescent="0.35">
      <c r="G3239" s="3"/>
      <c r="H3239" s="3"/>
      <c r="I3239" s="3"/>
      <c r="J3239" s="3"/>
    </row>
    <row r="3240" spans="7:10" x14ac:dyDescent="0.35">
      <c r="G3240" s="3"/>
      <c r="H3240" s="3"/>
      <c r="I3240" s="3"/>
      <c r="J3240" s="3"/>
    </row>
    <row r="3241" spans="7:10" x14ac:dyDescent="0.35">
      <c r="G3241" s="3"/>
      <c r="H3241" s="3"/>
      <c r="I3241" s="3"/>
      <c r="J3241" s="3"/>
    </row>
    <row r="3242" spans="7:10" x14ac:dyDescent="0.35">
      <c r="G3242" s="3"/>
      <c r="H3242" s="3"/>
      <c r="I3242" s="3"/>
      <c r="J3242" s="3"/>
    </row>
    <row r="3243" spans="7:10" x14ac:dyDescent="0.35">
      <c r="G3243" s="3"/>
      <c r="H3243" s="3"/>
      <c r="I3243" s="3"/>
      <c r="J3243" s="3"/>
    </row>
    <row r="3244" spans="7:10" x14ac:dyDescent="0.35">
      <c r="G3244" s="3"/>
      <c r="H3244" s="3"/>
      <c r="I3244" s="3"/>
      <c r="J3244" s="3"/>
    </row>
    <row r="3245" spans="7:10" x14ac:dyDescent="0.35">
      <c r="G3245" s="3"/>
      <c r="H3245" s="3"/>
      <c r="I3245" s="3"/>
      <c r="J3245" s="3"/>
    </row>
    <row r="3246" spans="7:10" x14ac:dyDescent="0.35">
      <c r="G3246" s="3"/>
      <c r="H3246" s="3"/>
      <c r="I3246" s="3"/>
      <c r="J3246" s="3"/>
    </row>
    <row r="3247" spans="7:10" x14ac:dyDescent="0.35">
      <c r="G3247" s="3"/>
      <c r="H3247" s="3"/>
      <c r="I3247" s="3"/>
      <c r="J3247" s="3"/>
    </row>
    <row r="3248" spans="7:10" x14ac:dyDescent="0.35">
      <c r="G3248" s="3"/>
      <c r="H3248" s="3"/>
      <c r="I3248" s="3"/>
      <c r="J3248" s="3"/>
    </row>
    <row r="3249" spans="7:10" x14ac:dyDescent="0.35">
      <c r="G3249" s="3"/>
      <c r="H3249" s="3"/>
      <c r="I3249" s="3"/>
      <c r="J3249" s="3"/>
    </row>
    <row r="3250" spans="7:10" x14ac:dyDescent="0.35">
      <c r="G3250" s="3"/>
      <c r="H3250" s="3"/>
      <c r="I3250" s="3"/>
      <c r="J3250" s="3"/>
    </row>
    <row r="3251" spans="7:10" x14ac:dyDescent="0.35">
      <c r="G3251" s="3"/>
      <c r="H3251" s="3"/>
      <c r="I3251" s="3"/>
      <c r="J3251" s="3"/>
    </row>
    <row r="3252" spans="7:10" x14ac:dyDescent="0.35">
      <c r="G3252" s="3"/>
      <c r="H3252" s="3"/>
      <c r="I3252" s="3"/>
      <c r="J3252" s="3"/>
    </row>
    <row r="3253" spans="7:10" x14ac:dyDescent="0.35">
      <c r="G3253" s="3"/>
      <c r="H3253" s="3"/>
      <c r="I3253" s="3"/>
      <c r="J3253" s="3"/>
    </row>
    <row r="3254" spans="7:10" x14ac:dyDescent="0.35">
      <c r="G3254" s="3"/>
      <c r="H3254" s="3"/>
      <c r="I3254" s="3"/>
      <c r="J3254" s="3"/>
    </row>
    <row r="3255" spans="7:10" x14ac:dyDescent="0.35">
      <c r="G3255" s="3"/>
      <c r="H3255" s="3"/>
      <c r="I3255" s="3"/>
      <c r="J3255" s="3"/>
    </row>
    <row r="3256" spans="7:10" x14ac:dyDescent="0.35">
      <c r="G3256" s="3"/>
      <c r="H3256" s="3"/>
      <c r="I3256" s="3"/>
      <c r="J3256" s="3"/>
    </row>
    <row r="3257" spans="7:10" x14ac:dyDescent="0.35">
      <c r="G3257" s="3"/>
      <c r="H3257" s="3"/>
      <c r="I3257" s="3"/>
      <c r="J3257" s="3"/>
    </row>
    <row r="3258" spans="7:10" x14ac:dyDescent="0.35">
      <c r="G3258" s="3"/>
      <c r="H3258" s="3"/>
      <c r="I3258" s="3"/>
      <c r="J3258" s="3"/>
    </row>
    <row r="3259" spans="7:10" x14ac:dyDescent="0.35">
      <c r="G3259" s="3"/>
      <c r="H3259" s="3"/>
      <c r="I3259" s="3"/>
      <c r="J3259" s="3"/>
    </row>
    <row r="3260" spans="7:10" x14ac:dyDescent="0.35">
      <c r="G3260" s="3"/>
      <c r="H3260" s="3"/>
      <c r="I3260" s="3"/>
      <c r="J3260" s="3"/>
    </row>
    <row r="3261" spans="7:10" x14ac:dyDescent="0.35">
      <c r="G3261" s="3"/>
      <c r="H3261" s="3"/>
      <c r="I3261" s="3"/>
      <c r="J3261" s="3"/>
    </row>
    <row r="3262" spans="7:10" x14ac:dyDescent="0.35">
      <c r="G3262" s="3"/>
      <c r="H3262" s="3"/>
      <c r="I3262" s="3"/>
      <c r="J3262" s="3"/>
    </row>
    <row r="3263" spans="7:10" x14ac:dyDescent="0.35">
      <c r="G3263" s="3"/>
      <c r="H3263" s="3"/>
      <c r="I3263" s="3"/>
      <c r="J3263" s="3"/>
    </row>
    <row r="3264" spans="7:10" x14ac:dyDescent="0.35">
      <c r="G3264" s="3"/>
      <c r="H3264" s="3"/>
      <c r="I3264" s="3"/>
      <c r="J3264" s="3"/>
    </row>
    <row r="3265" spans="7:10" x14ac:dyDescent="0.35">
      <c r="G3265" s="3"/>
      <c r="H3265" s="3"/>
      <c r="I3265" s="3"/>
      <c r="J3265" s="3"/>
    </row>
    <row r="3266" spans="7:10" x14ac:dyDescent="0.35">
      <c r="G3266" s="3"/>
      <c r="H3266" s="3"/>
      <c r="I3266" s="3"/>
      <c r="J3266" s="3"/>
    </row>
    <row r="3267" spans="7:10" x14ac:dyDescent="0.35">
      <c r="G3267" s="3"/>
      <c r="H3267" s="3"/>
      <c r="I3267" s="3"/>
      <c r="J3267" s="3"/>
    </row>
    <row r="3268" spans="7:10" x14ac:dyDescent="0.35">
      <c r="G3268" s="3"/>
      <c r="H3268" s="3"/>
      <c r="I3268" s="3"/>
      <c r="J3268" s="3"/>
    </row>
    <row r="3269" spans="7:10" x14ac:dyDescent="0.35">
      <c r="G3269" s="3"/>
      <c r="H3269" s="3"/>
      <c r="I3269" s="3"/>
      <c r="J3269" s="3"/>
    </row>
    <row r="3270" spans="7:10" x14ac:dyDescent="0.35">
      <c r="G3270" s="3"/>
      <c r="H3270" s="3"/>
      <c r="I3270" s="3"/>
      <c r="J3270" s="3"/>
    </row>
    <row r="3271" spans="7:10" x14ac:dyDescent="0.35">
      <c r="G3271" s="3"/>
      <c r="H3271" s="3"/>
      <c r="I3271" s="3"/>
      <c r="J3271" s="3"/>
    </row>
    <row r="3272" spans="7:10" x14ac:dyDescent="0.35">
      <c r="G3272" s="3"/>
      <c r="H3272" s="3"/>
      <c r="I3272" s="3"/>
      <c r="J3272" s="3"/>
    </row>
    <row r="3273" spans="7:10" x14ac:dyDescent="0.35">
      <c r="G3273" s="3"/>
      <c r="H3273" s="3"/>
      <c r="I3273" s="3"/>
      <c r="J3273" s="3"/>
    </row>
    <row r="3274" spans="7:10" x14ac:dyDescent="0.35">
      <c r="G3274" s="3"/>
      <c r="H3274" s="3"/>
      <c r="I3274" s="3"/>
      <c r="J3274" s="3"/>
    </row>
    <row r="3275" spans="7:10" x14ac:dyDescent="0.35">
      <c r="G3275" s="3"/>
      <c r="H3275" s="3"/>
      <c r="I3275" s="3"/>
      <c r="J3275" s="3"/>
    </row>
    <row r="3276" spans="7:10" x14ac:dyDescent="0.35">
      <c r="G3276" s="3"/>
      <c r="H3276" s="3"/>
      <c r="I3276" s="3"/>
      <c r="J3276" s="3"/>
    </row>
    <row r="3277" spans="7:10" x14ac:dyDescent="0.35">
      <c r="G3277" s="3"/>
      <c r="H3277" s="3"/>
      <c r="I3277" s="3"/>
      <c r="J3277" s="3"/>
    </row>
    <row r="3278" spans="7:10" x14ac:dyDescent="0.35">
      <c r="G3278" s="3"/>
      <c r="H3278" s="3"/>
      <c r="I3278" s="3"/>
      <c r="J3278" s="3"/>
    </row>
    <row r="3279" spans="7:10" x14ac:dyDescent="0.35">
      <c r="G3279" s="3"/>
      <c r="H3279" s="3"/>
      <c r="I3279" s="3"/>
      <c r="J3279" s="3"/>
    </row>
    <row r="3280" spans="7:10" x14ac:dyDescent="0.35">
      <c r="G3280" s="3"/>
      <c r="H3280" s="3"/>
      <c r="I3280" s="3"/>
      <c r="J3280" s="3"/>
    </row>
    <row r="3281" spans="7:10" x14ac:dyDescent="0.35">
      <c r="G3281" s="3"/>
      <c r="H3281" s="3"/>
      <c r="I3281" s="3"/>
      <c r="J3281" s="3"/>
    </row>
    <row r="3282" spans="7:10" x14ac:dyDescent="0.35">
      <c r="G3282" s="3"/>
      <c r="H3282" s="3"/>
      <c r="I3282" s="3"/>
      <c r="J3282" s="3"/>
    </row>
    <row r="3283" spans="7:10" x14ac:dyDescent="0.35">
      <c r="G3283" s="3"/>
      <c r="H3283" s="3"/>
      <c r="I3283" s="3"/>
      <c r="J3283" s="3"/>
    </row>
    <row r="3284" spans="7:10" x14ac:dyDescent="0.35">
      <c r="G3284" s="3"/>
      <c r="H3284" s="3"/>
      <c r="I3284" s="3"/>
      <c r="J3284" s="3"/>
    </row>
    <row r="3285" spans="7:10" x14ac:dyDescent="0.35">
      <c r="G3285" s="3"/>
      <c r="H3285" s="3"/>
      <c r="I3285" s="3"/>
      <c r="J3285" s="3"/>
    </row>
    <row r="3286" spans="7:10" x14ac:dyDescent="0.35">
      <c r="G3286" s="3"/>
      <c r="H3286" s="3"/>
      <c r="I3286" s="3"/>
      <c r="J3286" s="3"/>
    </row>
    <row r="3287" spans="7:10" x14ac:dyDescent="0.35">
      <c r="G3287" s="3"/>
      <c r="H3287" s="3"/>
      <c r="I3287" s="3"/>
      <c r="J3287" s="3"/>
    </row>
    <row r="3288" spans="7:10" x14ac:dyDescent="0.35">
      <c r="G3288" s="3"/>
      <c r="H3288" s="3"/>
      <c r="I3288" s="3"/>
      <c r="J3288" s="3"/>
    </row>
    <row r="3289" spans="7:10" x14ac:dyDescent="0.35">
      <c r="G3289" s="3"/>
      <c r="H3289" s="3"/>
      <c r="I3289" s="3"/>
      <c r="J3289" s="3"/>
    </row>
    <row r="3290" spans="7:10" x14ac:dyDescent="0.35">
      <c r="G3290" s="3"/>
      <c r="H3290" s="3"/>
      <c r="I3290" s="3"/>
      <c r="J3290" s="3"/>
    </row>
    <row r="3291" spans="7:10" x14ac:dyDescent="0.35">
      <c r="G3291" s="3"/>
      <c r="H3291" s="3"/>
      <c r="I3291" s="3"/>
      <c r="J3291" s="3"/>
    </row>
    <row r="3292" spans="7:10" x14ac:dyDescent="0.35">
      <c r="G3292" s="3"/>
      <c r="H3292" s="3"/>
      <c r="I3292" s="3"/>
      <c r="J3292" s="3"/>
    </row>
    <row r="3293" spans="7:10" x14ac:dyDescent="0.35">
      <c r="G3293" s="3"/>
      <c r="H3293" s="3"/>
      <c r="I3293" s="3"/>
      <c r="J3293" s="3"/>
    </row>
    <row r="3294" spans="7:10" x14ac:dyDescent="0.35">
      <c r="G3294" s="3"/>
      <c r="H3294" s="3"/>
      <c r="I3294" s="3"/>
      <c r="J3294" s="3"/>
    </row>
    <row r="3295" spans="7:10" x14ac:dyDescent="0.35">
      <c r="G3295" s="3"/>
      <c r="H3295" s="3"/>
      <c r="I3295" s="3"/>
      <c r="J3295" s="3"/>
    </row>
    <row r="3296" spans="7:10" x14ac:dyDescent="0.35">
      <c r="G3296" s="3"/>
      <c r="H3296" s="3"/>
      <c r="I3296" s="3"/>
      <c r="J3296" s="3"/>
    </row>
    <row r="3297" spans="7:10" x14ac:dyDescent="0.35">
      <c r="G3297" s="3"/>
      <c r="H3297" s="3"/>
      <c r="I3297" s="3"/>
      <c r="J3297" s="3"/>
    </row>
    <row r="3298" spans="7:10" x14ac:dyDescent="0.35">
      <c r="G3298" s="3"/>
      <c r="H3298" s="3"/>
      <c r="I3298" s="3"/>
      <c r="J3298" s="3"/>
    </row>
    <row r="3299" spans="7:10" x14ac:dyDescent="0.35">
      <c r="G3299" s="3"/>
      <c r="H3299" s="3"/>
      <c r="I3299" s="3"/>
      <c r="J3299" s="3"/>
    </row>
    <row r="3300" spans="7:10" x14ac:dyDescent="0.35">
      <c r="G3300" s="3"/>
      <c r="H3300" s="3"/>
      <c r="I3300" s="3"/>
      <c r="J3300" s="3"/>
    </row>
    <row r="3301" spans="7:10" x14ac:dyDescent="0.35">
      <c r="G3301" s="3"/>
      <c r="H3301" s="3"/>
      <c r="I3301" s="3"/>
      <c r="J3301" s="3"/>
    </row>
    <row r="3302" spans="7:10" x14ac:dyDescent="0.35">
      <c r="G3302" s="3"/>
      <c r="H3302" s="3"/>
      <c r="I3302" s="3"/>
      <c r="J3302" s="3"/>
    </row>
    <row r="3303" spans="7:10" x14ac:dyDescent="0.35">
      <c r="G3303" s="3"/>
      <c r="H3303" s="3"/>
      <c r="I3303" s="3"/>
      <c r="J3303" s="3"/>
    </row>
    <row r="3304" spans="7:10" x14ac:dyDescent="0.35">
      <c r="G3304" s="3"/>
      <c r="H3304" s="3"/>
      <c r="I3304" s="3"/>
      <c r="J3304" s="3"/>
    </row>
    <row r="3305" spans="7:10" x14ac:dyDescent="0.35">
      <c r="G3305" s="3"/>
      <c r="H3305" s="3"/>
      <c r="I3305" s="3"/>
      <c r="J3305" s="3"/>
    </row>
    <row r="3306" spans="7:10" x14ac:dyDescent="0.35">
      <c r="G3306" s="3"/>
      <c r="H3306" s="3"/>
      <c r="I3306" s="3"/>
      <c r="J3306" s="3"/>
    </row>
    <row r="3307" spans="7:10" x14ac:dyDescent="0.35">
      <c r="G3307" s="3"/>
      <c r="H3307" s="3"/>
      <c r="I3307" s="3"/>
      <c r="J3307" s="3"/>
    </row>
    <row r="3308" spans="7:10" x14ac:dyDescent="0.35">
      <c r="G3308" s="3"/>
      <c r="H3308" s="3"/>
      <c r="I3308" s="3"/>
      <c r="J3308" s="3"/>
    </row>
    <row r="3309" spans="7:10" x14ac:dyDescent="0.35">
      <c r="G3309" s="3"/>
      <c r="H3309" s="3"/>
      <c r="I3309" s="3"/>
      <c r="J3309" s="3"/>
    </row>
    <row r="3310" spans="7:10" x14ac:dyDescent="0.35">
      <c r="G3310" s="3"/>
      <c r="H3310" s="3"/>
      <c r="I3310" s="3"/>
      <c r="J3310" s="3"/>
    </row>
    <row r="3311" spans="7:10" x14ac:dyDescent="0.35">
      <c r="G3311" s="3"/>
      <c r="H3311" s="3"/>
      <c r="I3311" s="3"/>
      <c r="J3311" s="3"/>
    </row>
    <row r="3312" spans="7:10" x14ac:dyDescent="0.35">
      <c r="G3312" s="3"/>
      <c r="H3312" s="3"/>
      <c r="I3312" s="3"/>
      <c r="J3312" s="3"/>
    </row>
    <row r="3313" spans="7:10" x14ac:dyDescent="0.35">
      <c r="G3313" s="3"/>
      <c r="H3313" s="3"/>
      <c r="I3313" s="3"/>
      <c r="J3313" s="3"/>
    </row>
    <row r="3314" spans="7:10" x14ac:dyDescent="0.35">
      <c r="G3314" s="3"/>
      <c r="H3314" s="3"/>
      <c r="I3314" s="3"/>
      <c r="J3314" s="3"/>
    </row>
    <row r="3315" spans="7:10" x14ac:dyDescent="0.35">
      <c r="G3315" s="3"/>
      <c r="H3315" s="3"/>
      <c r="I3315" s="3"/>
      <c r="J3315" s="3"/>
    </row>
    <row r="3316" spans="7:10" x14ac:dyDescent="0.35">
      <c r="G3316" s="3"/>
      <c r="H3316" s="3"/>
      <c r="I3316" s="3"/>
      <c r="J3316" s="3"/>
    </row>
    <row r="3317" spans="7:10" x14ac:dyDescent="0.35">
      <c r="G3317" s="3"/>
      <c r="H3317" s="3"/>
      <c r="I3317" s="3"/>
      <c r="J3317" s="3"/>
    </row>
    <row r="3318" spans="7:10" x14ac:dyDescent="0.35">
      <c r="G3318" s="3"/>
      <c r="H3318" s="3"/>
      <c r="I3318" s="3"/>
      <c r="J3318" s="3"/>
    </row>
    <row r="3319" spans="7:10" x14ac:dyDescent="0.35">
      <c r="G3319" s="3"/>
      <c r="H3319" s="3"/>
      <c r="I3319" s="3"/>
      <c r="J3319" s="3"/>
    </row>
    <row r="3320" spans="7:10" x14ac:dyDescent="0.35">
      <c r="G3320" s="3"/>
      <c r="H3320" s="3"/>
      <c r="I3320" s="3"/>
      <c r="J3320" s="3"/>
    </row>
    <row r="3321" spans="7:10" x14ac:dyDescent="0.35">
      <c r="G3321" s="3"/>
      <c r="H3321" s="3"/>
      <c r="I3321" s="3"/>
      <c r="J3321" s="3"/>
    </row>
    <row r="3322" spans="7:10" x14ac:dyDescent="0.35">
      <c r="G3322" s="3"/>
      <c r="H3322" s="3"/>
      <c r="I3322" s="3"/>
      <c r="J3322" s="3"/>
    </row>
    <row r="3323" spans="7:10" x14ac:dyDescent="0.35">
      <c r="G3323" s="3"/>
      <c r="H3323" s="3"/>
      <c r="I3323" s="3"/>
      <c r="J3323" s="3"/>
    </row>
    <row r="3324" spans="7:10" x14ac:dyDescent="0.35">
      <c r="G3324" s="3"/>
      <c r="H3324" s="3"/>
      <c r="I3324" s="3"/>
      <c r="J3324" s="3"/>
    </row>
    <row r="3325" spans="7:10" x14ac:dyDescent="0.35">
      <c r="G3325" s="3"/>
      <c r="H3325" s="3"/>
      <c r="I3325" s="3"/>
      <c r="J3325" s="3"/>
    </row>
    <row r="3326" spans="7:10" x14ac:dyDescent="0.35">
      <c r="G3326" s="3"/>
      <c r="H3326" s="3"/>
      <c r="I3326" s="3"/>
      <c r="J3326" s="3"/>
    </row>
    <row r="3327" spans="7:10" x14ac:dyDescent="0.35">
      <c r="G3327" s="3"/>
      <c r="H3327" s="3"/>
      <c r="I3327" s="3"/>
      <c r="J3327" s="3"/>
    </row>
    <row r="3328" spans="7:10" x14ac:dyDescent="0.35">
      <c r="G3328" s="3"/>
      <c r="H3328" s="3"/>
      <c r="I3328" s="3"/>
      <c r="J3328" s="3"/>
    </row>
    <row r="3329" spans="7:10" x14ac:dyDescent="0.35">
      <c r="G3329" s="3"/>
      <c r="H3329" s="3"/>
      <c r="I3329" s="3"/>
      <c r="J3329" s="3"/>
    </row>
    <row r="3330" spans="7:10" x14ac:dyDescent="0.35">
      <c r="G3330" s="3"/>
      <c r="H3330" s="3"/>
      <c r="I3330" s="3"/>
      <c r="J3330" s="3"/>
    </row>
    <row r="3331" spans="7:10" x14ac:dyDescent="0.35">
      <c r="G3331" s="3"/>
      <c r="H3331" s="3"/>
      <c r="I3331" s="3"/>
      <c r="J3331" s="3"/>
    </row>
    <row r="3332" spans="7:10" x14ac:dyDescent="0.35">
      <c r="G3332" s="3"/>
      <c r="H3332" s="3"/>
      <c r="I3332" s="3"/>
      <c r="J3332" s="3"/>
    </row>
    <row r="3333" spans="7:10" x14ac:dyDescent="0.35">
      <c r="G3333" s="3"/>
      <c r="H3333" s="3"/>
      <c r="I3333" s="3"/>
      <c r="J3333" s="3"/>
    </row>
    <row r="3334" spans="7:10" x14ac:dyDescent="0.35">
      <c r="G3334" s="3"/>
      <c r="H3334" s="3"/>
      <c r="I3334" s="3"/>
      <c r="J3334" s="3"/>
    </row>
    <row r="3335" spans="7:10" x14ac:dyDescent="0.35">
      <c r="G3335" s="3"/>
      <c r="H3335" s="3"/>
      <c r="I3335" s="3"/>
      <c r="J3335" s="3"/>
    </row>
    <row r="3336" spans="7:10" x14ac:dyDescent="0.35">
      <c r="G3336" s="3"/>
      <c r="H3336" s="3"/>
      <c r="I3336" s="3"/>
      <c r="J3336" s="3"/>
    </row>
    <row r="3337" spans="7:10" x14ac:dyDescent="0.35">
      <c r="G3337" s="3"/>
      <c r="H3337" s="3"/>
      <c r="I3337" s="3"/>
      <c r="J3337" s="3"/>
    </row>
    <row r="3338" spans="7:10" x14ac:dyDescent="0.35">
      <c r="G3338" s="3"/>
      <c r="H3338" s="3"/>
      <c r="I3338" s="3"/>
      <c r="J3338" s="3"/>
    </row>
    <row r="3339" spans="7:10" x14ac:dyDescent="0.35">
      <c r="G3339" s="3"/>
      <c r="H3339" s="3"/>
      <c r="I3339" s="3"/>
      <c r="J3339" s="3"/>
    </row>
    <row r="3340" spans="7:10" x14ac:dyDescent="0.35">
      <c r="G3340" s="3"/>
      <c r="H3340" s="3"/>
      <c r="I3340" s="3"/>
      <c r="J3340" s="3"/>
    </row>
    <row r="3341" spans="7:10" x14ac:dyDescent="0.35">
      <c r="G3341" s="3"/>
      <c r="H3341" s="3"/>
      <c r="I3341" s="3"/>
      <c r="J3341" s="3"/>
    </row>
    <row r="3342" spans="7:10" x14ac:dyDescent="0.35">
      <c r="G3342" s="3"/>
      <c r="H3342" s="3"/>
      <c r="I3342" s="3"/>
      <c r="J3342" s="3"/>
    </row>
    <row r="3343" spans="7:10" x14ac:dyDescent="0.35">
      <c r="G3343" s="3"/>
      <c r="H3343" s="3"/>
      <c r="I3343" s="3"/>
      <c r="J3343" s="3"/>
    </row>
    <row r="3344" spans="7:10" x14ac:dyDescent="0.35">
      <c r="G3344" s="3"/>
      <c r="H3344" s="3"/>
      <c r="I3344" s="3"/>
      <c r="J3344" s="3"/>
    </row>
    <row r="3345" spans="7:10" x14ac:dyDescent="0.35">
      <c r="G3345" s="3"/>
      <c r="H3345" s="3"/>
      <c r="I3345" s="3"/>
      <c r="J3345" s="3"/>
    </row>
    <row r="3346" spans="7:10" x14ac:dyDescent="0.35">
      <c r="G3346" s="3"/>
      <c r="H3346" s="3"/>
      <c r="I3346" s="3"/>
      <c r="J3346" s="3"/>
    </row>
    <row r="3347" spans="7:10" x14ac:dyDescent="0.35">
      <c r="G3347" s="3"/>
      <c r="H3347" s="3"/>
      <c r="I3347" s="3"/>
      <c r="J3347" s="3"/>
    </row>
    <row r="3348" spans="7:10" x14ac:dyDescent="0.35">
      <c r="G3348" s="3"/>
      <c r="H3348" s="3"/>
      <c r="I3348" s="3"/>
      <c r="J3348" s="3"/>
    </row>
    <row r="3349" spans="7:10" x14ac:dyDescent="0.35">
      <c r="G3349" s="3"/>
      <c r="H3349" s="3"/>
      <c r="I3349" s="3"/>
      <c r="J3349" s="3"/>
    </row>
    <row r="3350" spans="7:10" x14ac:dyDescent="0.35">
      <c r="G3350" s="3"/>
      <c r="H3350" s="3"/>
      <c r="I3350" s="3"/>
      <c r="J3350" s="3"/>
    </row>
    <row r="3351" spans="7:10" x14ac:dyDescent="0.35">
      <c r="G3351" s="3"/>
      <c r="H3351" s="3"/>
      <c r="I3351" s="3"/>
      <c r="J3351" s="3"/>
    </row>
    <row r="3352" spans="7:10" x14ac:dyDescent="0.35">
      <c r="G3352" s="3"/>
      <c r="H3352" s="3"/>
      <c r="I3352" s="3"/>
      <c r="J3352" s="3"/>
    </row>
    <row r="3353" spans="7:10" x14ac:dyDescent="0.35">
      <c r="G3353" s="3"/>
      <c r="H3353" s="3"/>
      <c r="I3353" s="3"/>
      <c r="J3353" s="3"/>
    </row>
    <row r="3354" spans="7:10" x14ac:dyDescent="0.35">
      <c r="G3354" s="3"/>
      <c r="H3354" s="3"/>
      <c r="I3354" s="3"/>
      <c r="J3354" s="3"/>
    </row>
    <row r="3355" spans="7:10" x14ac:dyDescent="0.35">
      <c r="G3355" s="3"/>
      <c r="H3355" s="3"/>
      <c r="I3355" s="3"/>
      <c r="J3355" s="3"/>
    </row>
    <row r="3356" spans="7:10" x14ac:dyDescent="0.35">
      <c r="G3356" s="3"/>
      <c r="H3356" s="3"/>
      <c r="I3356" s="3"/>
      <c r="J3356" s="3"/>
    </row>
    <row r="3357" spans="7:10" x14ac:dyDescent="0.35">
      <c r="G3357" s="3"/>
      <c r="H3357" s="3"/>
      <c r="I3357" s="3"/>
      <c r="J3357" s="3"/>
    </row>
    <row r="3358" spans="7:10" x14ac:dyDescent="0.35">
      <c r="G3358" s="3"/>
      <c r="H3358" s="3"/>
      <c r="I3358" s="3"/>
      <c r="J3358" s="3"/>
    </row>
    <row r="3359" spans="7:10" x14ac:dyDescent="0.35">
      <c r="G3359" s="3"/>
      <c r="H3359" s="3"/>
      <c r="I3359" s="3"/>
      <c r="J3359" s="3"/>
    </row>
    <row r="3360" spans="7:10" x14ac:dyDescent="0.35">
      <c r="G3360" s="3"/>
      <c r="H3360" s="3"/>
      <c r="I3360" s="3"/>
      <c r="J3360" s="3"/>
    </row>
    <row r="3361" spans="7:10" x14ac:dyDescent="0.35">
      <c r="G3361" s="3"/>
      <c r="H3361" s="3"/>
      <c r="I3361" s="3"/>
      <c r="J3361" s="3"/>
    </row>
    <row r="3362" spans="7:10" x14ac:dyDescent="0.35">
      <c r="G3362" s="3"/>
      <c r="H3362" s="3"/>
      <c r="I3362" s="3"/>
      <c r="J3362" s="3"/>
    </row>
    <row r="3363" spans="7:10" x14ac:dyDescent="0.35">
      <c r="G3363" s="3"/>
      <c r="H3363" s="3"/>
      <c r="I3363" s="3"/>
      <c r="J3363" s="3"/>
    </row>
    <row r="3364" spans="7:10" x14ac:dyDescent="0.35">
      <c r="G3364" s="3"/>
      <c r="H3364" s="3"/>
      <c r="I3364" s="3"/>
      <c r="J3364" s="3"/>
    </row>
    <row r="3365" spans="7:10" x14ac:dyDescent="0.35">
      <c r="G3365" s="3"/>
      <c r="H3365" s="3"/>
      <c r="I3365" s="3"/>
      <c r="J3365" s="3"/>
    </row>
    <row r="3366" spans="7:10" x14ac:dyDescent="0.35">
      <c r="G3366" s="3"/>
      <c r="H3366" s="3"/>
      <c r="I3366" s="3"/>
      <c r="J3366" s="3"/>
    </row>
    <row r="3367" spans="7:10" x14ac:dyDescent="0.35">
      <c r="G3367" s="3"/>
      <c r="H3367" s="3"/>
      <c r="I3367" s="3"/>
      <c r="J3367" s="3"/>
    </row>
    <row r="3368" spans="7:10" x14ac:dyDescent="0.35">
      <c r="G3368" s="3"/>
      <c r="H3368" s="3"/>
      <c r="I3368" s="3"/>
      <c r="J3368" s="3"/>
    </row>
    <row r="3369" spans="7:10" x14ac:dyDescent="0.35">
      <c r="G3369" s="3"/>
      <c r="H3369" s="3"/>
      <c r="I3369" s="3"/>
      <c r="J3369" s="3"/>
    </row>
    <row r="3370" spans="7:10" x14ac:dyDescent="0.35">
      <c r="G3370" s="3"/>
      <c r="H3370" s="3"/>
      <c r="I3370" s="3"/>
      <c r="J3370" s="3"/>
    </row>
    <row r="3371" spans="7:10" x14ac:dyDescent="0.35">
      <c r="G3371" s="3"/>
      <c r="H3371" s="3"/>
      <c r="I3371" s="3"/>
      <c r="J3371" s="3"/>
    </row>
    <row r="3372" spans="7:10" x14ac:dyDescent="0.35">
      <c r="G3372" s="3"/>
      <c r="H3372" s="3"/>
      <c r="I3372" s="3"/>
      <c r="J3372" s="3"/>
    </row>
    <row r="3373" spans="7:10" x14ac:dyDescent="0.35">
      <c r="G3373" s="3"/>
      <c r="H3373" s="3"/>
      <c r="I3373" s="3"/>
      <c r="J3373" s="3"/>
    </row>
    <row r="3374" spans="7:10" x14ac:dyDescent="0.35">
      <c r="G3374" s="3"/>
      <c r="H3374" s="3"/>
      <c r="I3374" s="3"/>
      <c r="J3374" s="3"/>
    </row>
    <row r="3375" spans="7:10" x14ac:dyDescent="0.35">
      <c r="G3375" s="3"/>
      <c r="H3375" s="3"/>
      <c r="I3375" s="3"/>
      <c r="J3375" s="3"/>
    </row>
    <row r="3376" spans="7:10" x14ac:dyDescent="0.35">
      <c r="G3376" s="3"/>
      <c r="H3376" s="3"/>
      <c r="I3376" s="3"/>
      <c r="J3376" s="3"/>
    </row>
    <row r="3377" spans="7:10" x14ac:dyDescent="0.35">
      <c r="G3377" s="3"/>
      <c r="H3377" s="3"/>
      <c r="I3377" s="3"/>
      <c r="J3377" s="3"/>
    </row>
    <row r="3378" spans="7:10" x14ac:dyDescent="0.35">
      <c r="G3378" s="3"/>
      <c r="H3378" s="3"/>
      <c r="I3378" s="3"/>
      <c r="J3378" s="3"/>
    </row>
    <row r="3379" spans="7:10" x14ac:dyDescent="0.35">
      <c r="G3379" s="3"/>
      <c r="H3379" s="3"/>
      <c r="I3379" s="3"/>
      <c r="J3379" s="3"/>
    </row>
    <row r="3380" spans="7:10" x14ac:dyDescent="0.35">
      <c r="G3380" s="3"/>
      <c r="H3380" s="3"/>
      <c r="I3380" s="3"/>
      <c r="J3380" s="3"/>
    </row>
    <row r="3381" spans="7:10" x14ac:dyDescent="0.35">
      <c r="G3381" s="3"/>
      <c r="H3381" s="3"/>
      <c r="I3381" s="3"/>
      <c r="J3381" s="3"/>
    </row>
    <row r="3382" spans="7:10" x14ac:dyDescent="0.35">
      <c r="G3382" s="3"/>
      <c r="H3382" s="3"/>
      <c r="I3382" s="3"/>
      <c r="J3382" s="3"/>
    </row>
    <row r="3383" spans="7:10" x14ac:dyDescent="0.35">
      <c r="G3383" s="3"/>
      <c r="H3383" s="3"/>
      <c r="I3383" s="3"/>
      <c r="J3383" s="3"/>
    </row>
    <row r="3384" spans="7:10" x14ac:dyDescent="0.35">
      <c r="G3384" s="3"/>
      <c r="H3384" s="3"/>
      <c r="I3384" s="3"/>
      <c r="J3384" s="3"/>
    </row>
    <row r="3385" spans="7:10" x14ac:dyDescent="0.35">
      <c r="G3385" s="3"/>
      <c r="H3385" s="3"/>
      <c r="I3385" s="3"/>
      <c r="J3385" s="3"/>
    </row>
    <row r="3386" spans="7:10" x14ac:dyDescent="0.35">
      <c r="G3386" s="3"/>
      <c r="H3386" s="3"/>
      <c r="I3386" s="3"/>
      <c r="J3386" s="3"/>
    </row>
    <row r="3387" spans="7:10" x14ac:dyDescent="0.35">
      <c r="G3387" s="3"/>
      <c r="H3387" s="3"/>
      <c r="I3387" s="3"/>
      <c r="J3387" s="3"/>
    </row>
    <row r="3388" spans="7:10" x14ac:dyDescent="0.35">
      <c r="G3388" s="3"/>
      <c r="H3388" s="3"/>
      <c r="I3388" s="3"/>
      <c r="J3388" s="3"/>
    </row>
    <row r="3389" spans="7:10" x14ac:dyDescent="0.35">
      <c r="G3389" s="3"/>
      <c r="H3389" s="3"/>
      <c r="I3389" s="3"/>
      <c r="J3389" s="3"/>
    </row>
    <row r="3390" spans="7:10" x14ac:dyDescent="0.35">
      <c r="G3390" s="3"/>
      <c r="H3390" s="3"/>
      <c r="I3390" s="3"/>
      <c r="J3390" s="3"/>
    </row>
    <row r="3391" spans="7:10" x14ac:dyDescent="0.35">
      <c r="G3391" s="3"/>
      <c r="H3391" s="3"/>
      <c r="I3391" s="3"/>
      <c r="J3391" s="3"/>
    </row>
    <row r="3392" spans="7:10" x14ac:dyDescent="0.35">
      <c r="G3392" s="3"/>
      <c r="H3392" s="3"/>
      <c r="I3392" s="3"/>
      <c r="J3392" s="3"/>
    </row>
    <row r="3393" spans="7:10" x14ac:dyDescent="0.35">
      <c r="G3393" s="3"/>
      <c r="H3393" s="3"/>
      <c r="I3393" s="3"/>
      <c r="J3393" s="3"/>
    </row>
    <row r="3394" spans="7:10" x14ac:dyDescent="0.35">
      <c r="G3394" s="3"/>
      <c r="H3394" s="3"/>
      <c r="I3394" s="3"/>
      <c r="J3394" s="3"/>
    </row>
    <row r="3395" spans="7:10" x14ac:dyDescent="0.35">
      <c r="G3395" s="3"/>
      <c r="H3395" s="3"/>
      <c r="I3395" s="3"/>
      <c r="J3395" s="3"/>
    </row>
    <row r="3396" spans="7:10" x14ac:dyDescent="0.35">
      <c r="G3396" s="3"/>
      <c r="H3396" s="3"/>
      <c r="I3396" s="3"/>
      <c r="J3396" s="3"/>
    </row>
    <row r="3397" spans="7:10" x14ac:dyDescent="0.35">
      <c r="G3397" s="3"/>
      <c r="H3397" s="3"/>
      <c r="I3397" s="3"/>
      <c r="J3397" s="3"/>
    </row>
    <row r="3398" spans="7:10" x14ac:dyDescent="0.35">
      <c r="G3398" s="3"/>
      <c r="H3398" s="3"/>
      <c r="I3398" s="3"/>
      <c r="J3398" s="3"/>
    </row>
    <row r="3399" spans="7:10" x14ac:dyDescent="0.35">
      <c r="G3399" s="3"/>
      <c r="H3399" s="3"/>
      <c r="I3399" s="3"/>
      <c r="J3399" s="3"/>
    </row>
    <row r="3400" spans="7:10" x14ac:dyDescent="0.35">
      <c r="G3400" s="3"/>
      <c r="H3400" s="3"/>
      <c r="I3400" s="3"/>
      <c r="J3400" s="3"/>
    </row>
    <row r="3401" spans="7:10" x14ac:dyDescent="0.35">
      <c r="G3401" s="3"/>
      <c r="H3401" s="3"/>
      <c r="I3401" s="3"/>
      <c r="J3401" s="3"/>
    </row>
    <row r="3402" spans="7:10" x14ac:dyDescent="0.35">
      <c r="G3402" s="3"/>
      <c r="H3402" s="3"/>
      <c r="I3402" s="3"/>
      <c r="J3402" s="3"/>
    </row>
    <row r="3403" spans="7:10" x14ac:dyDescent="0.35">
      <c r="G3403" s="3"/>
      <c r="H3403" s="3"/>
      <c r="I3403" s="3"/>
      <c r="J3403" s="3"/>
    </row>
    <row r="3404" spans="7:10" x14ac:dyDescent="0.35">
      <c r="G3404" s="3"/>
      <c r="H3404" s="3"/>
      <c r="I3404" s="3"/>
      <c r="J3404" s="3"/>
    </row>
    <row r="3405" spans="7:10" x14ac:dyDescent="0.35">
      <c r="G3405" s="3"/>
      <c r="H3405" s="3"/>
      <c r="I3405" s="3"/>
      <c r="J3405" s="3"/>
    </row>
    <row r="3406" spans="7:10" x14ac:dyDescent="0.35">
      <c r="G3406" s="3"/>
      <c r="H3406" s="3"/>
      <c r="I3406" s="3"/>
      <c r="J3406" s="3"/>
    </row>
    <row r="3407" spans="7:10" x14ac:dyDescent="0.35">
      <c r="G3407" s="3"/>
      <c r="H3407" s="3"/>
      <c r="I3407" s="3"/>
      <c r="J3407" s="3"/>
    </row>
    <row r="3408" spans="7:10" x14ac:dyDescent="0.35">
      <c r="G3408" s="3"/>
      <c r="H3408" s="3"/>
      <c r="I3408" s="3"/>
      <c r="J3408" s="3"/>
    </row>
    <row r="3409" spans="7:10" x14ac:dyDescent="0.35">
      <c r="G3409" s="3"/>
      <c r="H3409" s="3"/>
      <c r="I3409" s="3"/>
      <c r="J3409" s="3"/>
    </row>
    <row r="3410" spans="7:10" x14ac:dyDescent="0.35">
      <c r="G3410" s="3"/>
      <c r="H3410" s="3"/>
      <c r="I3410" s="3"/>
      <c r="J3410" s="3"/>
    </row>
    <row r="3411" spans="7:10" x14ac:dyDescent="0.35">
      <c r="G3411" s="3"/>
      <c r="H3411" s="3"/>
      <c r="I3411" s="3"/>
      <c r="J3411" s="3"/>
    </row>
    <row r="3412" spans="7:10" x14ac:dyDescent="0.35">
      <c r="G3412" s="3"/>
      <c r="H3412" s="3"/>
      <c r="I3412" s="3"/>
      <c r="J3412" s="3"/>
    </row>
    <row r="3413" spans="7:10" x14ac:dyDescent="0.35">
      <c r="G3413" s="3"/>
      <c r="H3413" s="3"/>
      <c r="I3413" s="3"/>
      <c r="J3413" s="3"/>
    </row>
    <row r="3414" spans="7:10" x14ac:dyDescent="0.35">
      <c r="G3414" s="3"/>
      <c r="H3414" s="3"/>
      <c r="I3414" s="3"/>
      <c r="J3414" s="3"/>
    </row>
    <row r="3415" spans="7:10" x14ac:dyDescent="0.35">
      <c r="G3415" s="3"/>
      <c r="H3415" s="3"/>
      <c r="I3415" s="3"/>
      <c r="J3415" s="3"/>
    </row>
    <row r="3416" spans="7:10" x14ac:dyDescent="0.35">
      <c r="G3416" s="3"/>
      <c r="H3416" s="3"/>
      <c r="I3416" s="3"/>
      <c r="J3416" s="3"/>
    </row>
    <row r="3417" spans="7:10" x14ac:dyDescent="0.35">
      <c r="G3417" s="3"/>
      <c r="H3417" s="3"/>
      <c r="I3417" s="3"/>
      <c r="J3417" s="3"/>
    </row>
    <row r="3418" spans="7:10" x14ac:dyDescent="0.35">
      <c r="G3418" s="3"/>
      <c r="H3418" s="3"/>
      <c r="I3418" s="3"/>
      <c r="J3418" s="3"/>
    </row>
    <row r="3419" spans="7:10" x14ac:dyDescent="0.35">
      <c r="G3419" s="3"/>
      <c r="H3419" s="3"/>
      <c r="I3419" s="3"/>
      <c r="J3419" s="3"/>
    </row>
    <row r="3420" spans="7:10" x14ac:dyDescent="0.35">
      <c r="G3420" s="3"/>
      <c r="H3420" s="3"/>
      <c r="I3420" s="3"/>
      <c r="J3420" s="3"/>
    </row>
    <row r="3421" spans="7:10" x14ac:dyDescent="0.35">
      <c r="G3421" s="3"/>
      <c r="H3421" s="3"/>
      <c r="I3421" s="3"/>
      <c r="J3421" s="3"/>
    </row>
    <row r="3422" spans="7:10" x14ac:dyDescent="0.35">
      <c r="G3422" s="3"/>
      <c r="H3422" s="3"/>
      <c r="I3422" s="3"/>
      <c r="J3422" s="3"/>
    </row>
    <row r="3423" spans="7:10" x14ac:dyDescent="0.35">
      <c r="G3423" s="3"/>
      <c r="H3423" s="3"/>
      <c r="I3423" s="3"/>
      <c r="J3423" s="3"/>
    </row>
    <row r="3424" spans="7:10" x14ac:dyDescent="0.35">
      <c r="G3424" s="3"/>
      <c r="H3424" s="3"/>
      <c r="I3424" s="3"/>
      <c r="J3424" s="3"/>
    </row>
    <row r="3425" spans="7:10" x14ac:dyDescent="0.35">
      <c r="G3425" s="3"/>
      <c r="H3425" s="3"/>
      <c r="I3425" s="3"/>
      <c r="J3425" s="3"/>
    </row>
    <row r="3426" spans="7:10" x14ac:dyDescent="0.35">
      <c r="G3426" s="3"/>
      <c r="H3426" s="3"/>
      <c r="I3426" s="3"/>
      <c r="J3426" s="3"/>
    </row>
    <row r="3427" spans="7:10" x14ac:dyDescent="0.35">
      <c r="G3427" s="3"/>
      <c r="H3427" s="3"/>
      <c r="I3427" s="3"/>
      <c r="J3427" s="3"/>
    </row>
    <row r="3428" spans="7:10" x14ac:dyDescent="0.35">
      <c r="G3428" s="3"/>
      <c r="H3428" s="3"/>
      <c r="I3428" s="3"/>
      <c r="J3428" s="3"/>
    </row>
    <row r="3429" spans="7:10" x14ac:dyDescent="0.35">
      <c r="G3429" s="3"/>
      <c r="H3429" s="3"/>
      <c r="I3429" s="3"/>
      <c r="J3429" s="3"/>
    </row>
    <row r="3430" spans="7:10" x14ac:dyDescent="0.35">
      <c r="G3430" s="3"/>
      <c r="H3430" s="3"/>
      <c r="I3430" s="3"/>
      <c r="J3430" s="3"/>
    </row>
    <row r="3431" spans="7:10" x14ac:dyDescent="0.35">
      <c r="G3431" s="3"/>
      <c r="H3431" s="3"/>
      <c r="I3431" s="3"/>
      <c r="J3431" s="3"/>
    </row>
    <row r="3432" spans="7:10" x14ac:dyDescent="0.35">
      <c r="G3432" s="3"/>
      <c r="H3432" s="3"/>
      <c r="I3432" s="3"/>
      <c r="J3432" s="3"/>
    </row>
    <row r="3433" spans="7:10" x14ac:dyDescent="0.35">
      <c r="G3433" s="3"/>
      <c r="H3433" s="3"/>
      <c r="I3433" s="3"/>
      <c r="J3433" s="3"/>
    </row>
    <row r="3434" spans="7:10" x14ac:dyDescent="0.35">
      <c r="G3434" s="3"/>
      <c r="H3434" s="3"/>
      <c r="I3434" s="3"/>
      <c r="J3434" s="3"/>
    </row>
    <row r="3435" spans="7:10" x14ac:dyDescent="0.35">
      <c r="G3435" s="3"/>
      <c r="H3435" s="3"/>
      <c r="I3435" s="3"/>
      <c r="J3435" s="3"/>
    </row>
    <row r="3436" spans="7:10" x14ac:dyDescent="0.35">
      <c r="G3436" s="3"/>
      <c r="H3436" s="3"/>
      <c r="I3436" s="3"/>
      <c r="J3436" s="3"/>
    </row>
    <row r="3437" spans="7:10" x14ac:dyDescent="0.35">
      <c r="G3437" s="3"/>
      <c r="H3437" s="3"/>
      <c r="I3437" s="3"/>
      <c r="J3437" s="3"/>
    </row>
    <row r="3438" spans="7:10" x14ac:dyDescent="0.35">
      <c r="G3438" s="3"/>
      <c r="H3438" s="3"/>
      <c r="I3438" s="3"/>
      <c r="J3438" s="3"/>
    </row>
    <row r="3439" spans="7:10" x14ac:dyDescent="0.35">
      <c r="G3439" s="3"/>
      <c r="H3439" s="3"/>
      <c r="I3439" s="3"/>
      <c r="J3439" s="3"/>
    </row>
    <row r="3440" spans="7:10" x14ac:dyDescent="0.35">
      <c r="G3440" s="3"/>
      <c r="H3440" s="3"/>
      <c r="I3440" s="3"/>
      <c r="J3440" s="3"/>
    </row>
    <row r="3441" spans="7:10" x14ac:dyDescent="0.35">
      <c r="G3441" s="3"/>
      <c r="H3441" s="3"/>
      <c r="I3441" s="3"/>
      <c r="J3441" s="3"/>
    </row>
    <row r="3442" spans="7:10" x14ac:dyDescent="0.35">
      <c r="G3442" s="3"/>
      <c r="H3442" s="3"/>
      <c r="I3442" s="3"/>
      <c r="J3442" s="3"/>
    </row>
    <row r="3443" spans="7:10" x14ac:dyDescent="0.35">
      <c r="G3443" s="3"/>
      <c r="H3443" s="3"/>
      <c r="I3443" s="3"/>
      <c r="J3443" s="3"/>
    </row>
    <row r="3444" spans="7:10" x14ac:dyDescent="0.35">
      <c r="G3444" s="3"/>
      <c r="H3444" s="3"/>
      <c r="I3444" s="3"/>
      <c r="J3444" s="3"/>
    </row>
    <row r="3445" spans="7:10" x14ac:dyDescent="0.35">
      <c r="G3445" s="3"/>
      <c r="H3445" s="3"/>
      <c r="I3445" s="3"/>
      <c r="J3445" s="3"/>
    </row>
    <row r="3446" spans="7:10" x14ac:dyDescent="0.35">
      <c r="G3446" s="3"/>
      <c r="H3446" s="3"/>
      <c r="I3446" s="3"/>
      <c r="J3446" s="3"/>
    </row>
    <row r="3447" spans="7:10" x14ac:dyDescent="0.35">
      <c r="G3447" s="3"/>
      <c r="H3447" s="3"/>
      <c r="I3447" s="3"/>
      <c r="J3447" s="3"/>
    </row>
    <row r="3448" spans="7:10" x14ac:dyDescent="0.35">
      <c r="G3448" s="3"/>
      <c r="H3448" s="3"/>
      <c r="I3448" s="3"/>
      <c r="J3448" s="3"/>
    </row>
    <row r="3449" spans="7:10" x14ac:dyDescent="0.35">
      <c r="G3449" s="3"/>
      <c r="H3449" s="3"/>
      <c r="I3449" s="3"/>
      <c r="J3449" s="3"/>
    </row>
    <row r="3450" spans="7:10" x14ac:dyDescent="0.35">
      <c r="G3450" s="3"/>
      <c r="H3450" s="3"/>
      <c r="I3450" s="3"/>
      <c r="J3450" s="3"/>
    </row>
    <row r="3451" spans="7:10" x14ac:dyDescent="0.35">
      <c r="G3451" s="3"/>
      <c r="H3451" s="3"/>
      <c r="I3451" s="3"/>
      <c r="J3451" s="3"/>
    </row>
    <row r="3452" spans="7:10" x14ac:dyDescent="0.35">
      <c r="G3452" s="3"/>
      <c r="H3452" s="3"/>
      <c r="I3452" s="3"/>
      <c r="J3452" s="3"/>
    </row>
    <row r="3453" spans="7:10" x14ac:dyDescent="0.35">
      <c r="G3453" s="3"/>
      <c r="H3453" s="3"/>
      <c r="I3453" s="3"/>
      <c r="J3453" s="3"/>
    </row>
    <row r="3454" spans="7:10" x14ac:dyDescent="0.35">
      <c r="G3454" s="3"/>
      <c r="H3454" s="3"/>
      <c r="I3454" s="3"/>
      <c r="J3454" s="3"/>
    </row>
    <row r="3455" spans="7:10" x14ac:dyDescent="0.35">
      <c r="G3455" s="3"/>
      <c r="H3455" s="3"/>
      <c r="I3455" s="3"/>
      <c r="J3455" s="3"/>
    </row>
    <row r="3456" spans="7:10" x14ac:dyDescent="0.35">
      <c r="G3456" s="3"/>
      <c r="H3456" s="3"/>
      <c r="I3456" s="3"/>
      <c r="J3456" s="3"/>
    </row>
    <row r="3457" spans="7:10" x14ac:dyDescent="0.35">
      <c r="G3457" s="3"/>
      <c r="H3457" s="3"/>
      <c r="I3457" s="3"/>
      <c r="J3457" s="3"/>
    </row>
    <row r="3458" spans="7:10" x14ac:dyDescent="0.35">
      <c r="G3458" s="3"/>
      <c r="H3458" s="3"/>
      <c r="I3458" s="3"/>
      <c r="J3458" s="3"/>
    </row>
    <row r="3459" spans="7:10" x14ac:dyDescent="0.35">
      <c r="G3459" s="3"/>
      <c r="H3459" s="3"/>
      <c r="I3459" s="3"/>
      <c r="J3459" s="3"/>
    </row>
    <row r="3460" spans="7:10" x14ac:dyDescent="0.35">
      <c r="G3460" s="3"/>
      <c r="H3460" s="3"/>
      <c r="I3460" s="3"/>
      <c r="J3460" s="3"/>
    </row>
    <row r="3461" spans="7:10" x14ac:dyDescent="0.35">
      <c r="G3461" s="3"/>
      <c r="H3461" s="3"/>
      <c r="I3461" s="3"/>
      <c r="J3461" s="3"/>
    </row>
    <row r="3462" spans="7:10" x14ac:dyDescent="0.35">
      <c r="G3462" s="3"/>
      <c r="H3462" s="3"/>
      <c r="I3462" s="3"/>
      <c r="J3462" s="3"/>
    </row>
    <row r="3463" spans="7:10" x14ac:dyDescent="0.35">
      <c r="G3463" s="3"/>
      <c r="H3463" s="3"/>
      <c r="I3463" s="3"/>
      <c r="J3463" s="3"/>
    </row>
    <row r="3464" spans="7:10" x14ac:dyDescent="0.35">
      <c r="G3464" s="3"/>
      <c r="H3464" s="3"/>
      <c r="I3464" s="3"/>
      <c r="J3464" s="3"/>
    </row>
    <row r="3465" spans="7:10" x14ac:dyDescent="0.35">
      <c r="G3465" s="3"/>
      <c r="H3465" s="3"/>
      <c r="I3465" s="3"/>
      <c r="J3465" s="3"/>
    </row>
    <row r="3466" spans="7:10" x14ac:dyDescent="0.35">
      <c r="G3466" s="3"/>
      <c r="H3466" s="3"/>
      <c r="I3466" s="3"/>
      <c r="J3466" s="3"/>
    </row>
    <row r="3467" spans="7:10" x14ac:dyDescent="0.35">
      <c r="G3467" s="3"/>
      <c r="H3467" s="3"/>
      <c r="I3467" s="3"/>
      <c r="J3467" s="3"/>
    </row>
    <row r="3468" spans="7:10" x14ac:dyDescent="0.35">
      <c r="G3468" s="3"/>
      <c r="H3468" s="3"/>
      <c r="I3468" s="3"/>
      <c r="J3468" s="3"/>
    </row>
    <row r="3469" spans="7:10" x14ac:dyDescent="0.35">
      <c r="G3469" s="3"/>
      <c r="H3469" s="3"/>
      <c r="I3469" s="3"/>
      <c r="J3469" s="3"/>
    </row>
    <row r="3470" spans="7:10" x14ac:dyDescent="0.35">
      <c r="G3470" s="3"/>
      <c r="H3470" s="3"/>
      <c r="I3470" s="3"/>
      <c r="J3470" s="3"/>
    </row>
    <row r="3471" spans="7:10" x14ac:dyDescent="0.35">
      <c r="G3471" s="3"/>
      <c r="H3471" s="3"/>
      <c r="I3471" s="3"/>
      <c r="J3471" s="3"/>
    </row>
    <row r="3472" spans="7:10" x14ac:dyDescent="0.35">
      <c r="G3472" s="3"/>
      <c r="H3472" s="3"/>
      <c r="I3472" s="3"/>
      <c r="J3472" s="3"/>
    </row>
    <row r="3473" spans="7:10" x14ac:dyDescent="0.35">
      <c r="G3473" s="3"/>
      <c r="H3473" s="3"/>
      <c r="I3473" s="3"/>
      <c r="J3473" s="3"/>
    </row>
    <row r="3474" spans="7:10" x14ac:dyDescent="0.35">
      <c r="G3474" s="3"/>
      <c r="H3474" s="3"/>
      <c r="I3474" s="3"/>
      <c r="J3474" s="3"/>
    </row>
    <row r="3475" spans="7:10" x14ac:dyDescent="0.35">
      <c r="G3475" s="3"/>
      <c r="H3475" s="3"/>
      <c r="I3475" s="3"/>
      <c r="J3475" s="3"/>
    </row>
    <row r="3476" spans="7:10" x14ac:dyDescent="0.35">
      <c r="G3476" s="3"/>
      <c r="H3476" s="3"/>
      <c r="I3476" s="3"/>
      <c r="J3476" s="3"/>
    </row>
    <row r="3477" spans="7:10" x14ac:dyDescent="0.35">
      <c r="G3477" s="3"/>
      <c r="H3477" s="3"/>
      <c r="I3477" s="3"/>
      <c r="J3477" s="3"/>
    </row>
    <row r="3478" spans="7:10" x14ac:dyDescent="0.35">
      <c r="G3478" s="3"/>
      <c r="H3478" s="3"/>
      <c r="I3478" s="3"/>
      <c r="J3478" s="3"/>
    </row>
    <row r="3479" spans="7:10" x14ac:dyDescent="0.35">
      <c r="G3479" s="3"/>
      <c r="H3479" s="3"/>
      <c r="I3479" s="3"/>
      <c r="J3479" s="3"/>
    </row>
    <row r="3480" spans="7:10" x14ac:dyDescent="0.35">
      <c r="G3480" s="3"/>
      <c r="H3480" s="3"/>
      <c r="I3480" s="3"/>
      <c r="J3480" s="3"/>
    </row>
    <row r="3481" spans="7:10" x14ac:dyDescent="0.35">
      <c r="G3481" s="3"/>
      <c r="H3481" s="3"/>
      <c r="I3481" s="3"/>
      <c r="J3481" s="3"/>
    </row>
    <row r="3482" spans="7:10" x14ac:dyDescent="0.35">
      <c r="G3482" s="3"/>
      <c r="H3482" s="3"/>
      <c r="I3482" s="3"/>
      <c r="J3482" s="3"/>
    </row>
    <row r="3483" spans="7:10" x14ac:dyDescent="0.35">
      <c r="G3483" s="3"/>
      <c r="H3483" s="3"/>
      <c r="I3483" s="3"/>
      <c r="J3483" s="3"/>
    </row>
    <row r="3484" spans="7:10" x14ac:dyDescent="0.35">
      <c r="G3484" s="3"/>
      <c r="H3484" s="3"/>
      <c r="I3484" s="3"/>
      <c r="J3484" s="3"/>
    </row>
    <row r="3485" spans="7:10" x14ac:dyDescent="0.35">
      <c r="G3485" s="3"/>
      <c r="H3485" s="3"/>
      <c r="I3485" s="3"/>
      <c r="J3485" s="3"/>
    </row>
    <row r="3486" spans="7:10" x14ac:dyDescent="0.35">
      <c r="G3486" s="3"/>
      <c r="H3486" s="3"/>
      <c r="I3486" s="3"/>
      <c r="J3486" s="3"/>
    </row>
    <row r="3487" spans="7:10" x14ac:dyDescent="0.35">
      <c r="G3487" s="3"/>
      <c r="H3487" s="3"/>
      <c r="I3487" s="3"/>
      <c r="J3487" s="3"/>
    </row>
    <row r="3488" spans="7:10" x14ac:dyDescent="0.35">
      <c r="G3488" s="3"/>
      <c r="H3488" s="3"/>
      <c r="I3488" s="3"/>
      <c r="J3488" s="3"/>
    </row>
    <row r="3489" spans="7:10" x14ac:dyDescent="0.35">
      <c r="G3489" s="3"/>
      <c r="H3489" s="3"/>
      <c r="I3489" s="3"/>
      <c r="J3489" s="3"/>
    </row>
    <row r="3490" spans="7:10" x14ac:dyDescent="0.35">
      <c r="G3490" s="3"/>
      <c r="H3490" s="3"/>
      <c r="I3490" s="3"/>
      <c r="J3490" s="3"/>
    </row>
    <row r="3491" spans="7:10" x14ac:dyDescent="0.35">
      <c r="G3491" s="3"/>
      <c r="H3491" s="3"/>
      <c r="I3491" s="3"/>
      <c r="J3491" s="3"/>
    </row>
    <row r="3492" spans="7:10" x14ac:dyDescent="0.35">
      <c r="G3492" s="3"/>
      <c r="H3492" s="3"/>
      <c r="I3492" s="3"/>
      <c r="J3492" s="3"/>
    </row>
    <row r="3493" spans="7:10" x14ac:dyDescent="0.35">
      <c r="G3493" s="3"/>
      <c r="H3493" s="3"/>
      <c r="I3493" s="3"/>
      <c r="J3493" s="3"/>
    </row>
    <row r="3494" spans="7:10" x14ac:dyDescent="0.35">
      <c r="G3494" s="3"/>
      <c r="H3494" s="3"/>
      <c r="I3494" s="3"/>
      <c r="J3494" s="3"/>
    </row>
    <row r="3495" spans="7:10" x14ac:dyDescent="0.35">
      <c r="G3495" s="3"/>
      <c r="H3495" s="3"/>
      <c r="I3495" s="3"/>
      <c r="J3495" s="3"/>
    </row>
    <row r="3496" spans="7:10" x14ac:dyDescent="0.35">
      <c r="G3496" s="3"/>
      <c r="H3496" s="3"/>
      <c r="I3496" s="3"/>
      <c r="J3496" s="3"/>
    </row>
    <row r="3497" spans="7:10" x14ac:dyDescent="0.35">
      <c r="G3497" s="3"/>
      <c r="H3497" s="3"/>
      <c r="I3497" s="3"/>
      <c r="J3497" s="3"/>
    </row>
    <row r="3498" spans="7:10" x14ac:dyDescent="0.35">
      <c r="G3498" s="3"/>
      <c r="H3498" s="3"/>
      <c r="I3498" s="3"/>
      <c r="J3498" s="3"/>
    </row>
    <row r="3499" spans="7:10" x14ac:dyDescent="0.35">
      <c r="G3499" s="3"/>
      <c r="H3499" s="3"/>
      <c r="I3499" s="3"/>
      <c r="J3499" s="3"/>
    </row>
    <row r="3500" spans="7:10" x14ac:dyDescent="0.35">
      <c r="G3500" s="3"/>
      <c r="H3500" s="3"/>
      <c r="I3500" s="3"/>
      <c r="J3500" s="3"/>
    </row>
    <row r="3501" spans="7:10" x14ac:dyDescent="0.35">
      <c r="G3501" s="3"/>
      <c r="H3501" s="3"/>
      <c r="I3501" s="3"/>
      <c r="J3501" s="3"/>
    </row>
    <row r="3502" spans="7:10" x14ac:dyDescent="0.35">
      <c r="G3502" s="3"/>
      <c r="H3502" s="3"/>
      <c r="I3502" s="3"/>
      <c r="J3502" s="3"/>
    </row>
    <row r="3503" spans="7:10" x14ac:dyDescent="0.35">
      <c r="G3503" s="3"/>
      <c r="H3503" s="3"/>
      <c r="I3503" s="3"/>
      <c r="J3503" s="3"/>
    </row>
    <row r="3504" spans="7:10" x14ac:dyDescent="0.35">
      <c r="G3504" s="3"/>
      <c r="H3504" s="3"/>
      <c r="I3504" s="3"/>
      <c r="J3504" s="3"/>
    </row>
    <row r="3505" spans="7:10" x14ac:dyDescent="0.35">
      <c r="G3505" s="3"/>
      <c r="H3505" s="3"/>
      <c r="I3505" s="3"/>
      <c r="J3505" s="3"/>
    </row>
    <row r="3506" spans="7:10" x14ac:dyDescent="0.35">
      <c r="G3506" s="3"/>
      <c r="H3506" s="3"/>
      <c r="I3506" s="3"/>
      <c r="J3506" s="3"/>
    </row>
    <row r="3507" spans="7:10" x14ac:dyDescent="0.35">
      <c r="G3507" s="3"/>
      <c r="H3507" s="3"/>
      <c r="I3507" s="3"/>
      <c r="J3507" s="3"/>
    </row>
    <row r="3508" spans="7:10" x14ac:dyDescent="0.35">
      <c r="G3508" s="3"/>
      <c r="H3508" s="3"/>
      <c r="I3508" s="3"/>
      <c r="J3508" s="3"/>
    </row>
    <row r="3509" spans="7:10" x14ac:dyDescent="0.35">
      <c r="G3509" s="3"/>
      <c r="H3509" s="3"/>
      <c r="I3509" s="3"/>
      <c r="J3509" s="3"/>
    </row>
    <row r="3510" spans="7:10" x14ac:dyDescent="0.35">
      <c r="G3510" s="3"/>
      <c r="H3510" s="3"/>
      <c r="I3510" s="3"/>
      <c r="J3510" s="3"/>
    </row>
    <row r="3511" spans="7:10" x14ac:dyDescent="0.35">
      <c r="G3511" s="3"/>
      <c r="H3511" s="3"/>
      <c r="I3511" s="3"/>
      <c r="J3511" s="3"/>
    </row>
    <row r="3512" spans="7:10" x14ac:dyDescent="0.35">
      <c r="G3512" s="3"/>
      <c r="H3512" s="3"/>
      <c r="I3512" s="3"/>
      <c r="J3512" s="3"/>
    </row>
    <row r="3513" spans="7:10" x14ac:dyDescent="0.35">
      <c r="G3513" s="3"/>
      <c r="H3513" s="3"/>
      <c r="I3513" s="3"/>
      <c r="J3513" s="3"/>
    </row>
    <row r="3514" spans="7:10" x14ac:dyDescent="0.35">
      <c r="G3514" s="3"/>
      <c r="H3514" s="3"/>
      <c r="I3514" s="3"/>
      <c r="J3514" s="3"/>
    </row>
    <row r="3515" spans="7:10" x14ac:dyDescent="0.35">
      <c r="G3515" s="3"/>
      <c r="H3515" s="3"/>
      <c r="I3515" s="3"/>
      <c r="J3515" s="3"/>
    </row>
    <row r="3516" spans="7:10" x14ac:dyDescent="0.35">
      <c r="G3516" s="3"/>
      <c r="H3516" s="3"/>
      <c r="I3516" s="3"/>
      <c r="J3516" s="3"/>
    </row>
    <row r="3517" spans="7:10" x14ac:dyDescent="0.35">
      <c r="G3517" s="3"/>
      <c r="H3517" s="3"/>
      <c r="I3517" s="3"/>
      <c r="J3517" s="3"/>
    </row>
    <row r="3518" spans="7:10" x14ac:dyDescent="0.35">
      <c r="G3518" s="3"/>
      <c r="H3518" s="3"/>
      <c r="I3518" s="3"/>
      <c r="J3518" s="3"/>
    </row>
    <row r="3519" spans="7:10" x14ac:dyDescent="0.35">
      <c r="G3519" s="3"/>
      <c r="H3519" s="3"/>
      <c r="I3519" s="3"/>
      <c r="J3519" s="3"/>
    </row>
    <row r="3520" spans="7:10" x14ac:dyDescent="0.35">
      <c r="G3520" s="3"/>
      <c r="H3520" s="3"/>
      <c r="I3520" s="3"/>
      <c r="J3520" s="3"/>
    </row>
    <row r="3521" spans="7:10" x14ac:dyDescent="0.35">
      <c r="G3521" s="3"/>
      <c r="H3521" s="3"/>
      <c r="I3521" s="3"/>
      <c r="J3521" s="3"/>
    </row>
    <row r="3522" spans="7:10" x14ac:dyDescent="0.35">
      <c r="G3522" s="3"/>
      <c r="H3522" s="3"/>
      <c r="I3522" s="3"/>
      <c r="J3522" s="3"/>
    </row>
    <row r="3523" spans="7:10" x14ac:dyDescent="0.35">
      <c r="G3523" s="3"/>
      <c r="H3523" s="3"/>
      <c r="I3523" s="3"/>
      <c r="J3523" s="3"/>
    </row>
    <row r="3524" spans="7:10" x14ac:dyDescent="0.35">
      <c r="G3524" s="3"/>
      <c r="H3524" s="3"/>
      <c r="I3524" s="3"/>
      <c r="J3524" s="3"/>
    </row>
    <row r="3525" spans="7:10" x14ac:dyDescent="0.35">
      <c r="G3525" s="3"/>
      <c r="H3525" s="3"/>
      <c r="I3525" s="3"/>
      <c r="J3525" s="3"/>
    </row>
    <row r="3526" spans="7:10" x14ac:dyDescent="0.35">
      <c r="G3526" s="3"/>
      <c r="H3526" s="3"/>
      <c r="I3526" s="3"/>
      <c r="J3526" s="3"/>
    </row>
    <row r="3527" spans="7:10" x14ac:dyDescent="0.35">
      <c r="G3527" s="3"/>
      <c r="H3527" s="3"/>
      <c r="I3527" s="3"/>
      <c r="J3527" s="3"/>
    </row>
    <row r="3528" spans="7:10" x14ac:dyDescent="0.35">
      <c r="G3528" s="3"/>
      <c r="H3528" s="3"/>
      <c r="I3528" s="3"/>
      <c r="J3528" s="3"/>
    </row>
    <row r="3529" spans="7:10" x14ac:dyDescent="0.35">
      <c r="G3529" s="3"/>
      <c r="H3529" s="3"/>
      <c r="I3529" s="3"/>
      <c r="J3529" s="3"/>
    </row>
    <row r="3530" spans="7:10" x14ac:dyDescent="0.35">
      <c r="G3530" s="3"/>
      <c r="H3530" s="3"/>
      <c r="I3530" s="3"/>
      <c r="J3530" s="3"/>
    </row>
    <row r="3531" spans="7:10" x14ac:dyDescent="0.35">
      <c r="G3531" s="3"/>
      <c r="H3531" s="3"/>
      <c r="I3531" s="3"/>
      <c r="J3531" s="3"/>
    </row>
    <row r="3532" spans="7:10" x14ac:dyDescent="0.35">
      <c r="G3532" s="3"/>
      <c r="H3532" s="3"/>
      <c r="I3532" s="3"/>
      <c r="J3532" s="3"/>
    </row>
    <row r="3533" spans="7:10" x14ac:dyDescent="0.35">
      <c r="G3533" s="3"/>
      <c r="H3533" s="3"/>
      <c r="I3533" s="3"/>
      <c r="J3533" s="3"/>
    </row>
    <row r="3534" spans="7:10" x14ac:dyDescent="0.35">
      <c r="G3534" s="3"/>
      <c r="H3534" s="3"/>
      <c r="I3534" s="3"/>
      <c r="J3534" s="3"/>
    </row>
    <row r="3535" spans="7:10" x14ac:dyDescent="0.35">
      <c r="G3535" s="3"/>
      <c r="H3535" s="3"/>
      <c r="I3535" s="3"/>
      <c r="J3535" s="3"/>
    </row>
    <row r="3536" spans="7:10" x14ac:dyDescent="0.35">
      <c r="G3536" s="3"/>
      <c r="H3536" s="3"/>
      <c r="I3536" s="3"/>
      <c r="J3536" s="3"/>
    </row>
    <row r="3537" spans="7:10" x14ac:dyDescent="0.35">
      <c r="G3537" s="3"/>
      <c r="H3537" s="3"/>
      <c r="I3537" s="3"/>
      <c r="J3537" s="3"/>
    </row>
    <row r="3538" spans="7:10" x14ac:dyDescent="0.35">
      <c r="G3538" s="3"/>
      <c r="H3538" s="3"/>
      <c r="I3538" s="3"/>
      <c r="J3538" s="3"/>
    </row>
    <row r="3539" spans="7:10" x14ac:dyDescent="0.35">
      <c r="G3539" s="3"/>
      <c r="H3539" s="3"/>
      <c r="I3539" s="3"/>
      <c r="J3539" s="3"/>
    </row>
    <row r="3540" spans="7:10" x14ac:dyDescent="0.35">
      <c r="G3540" s="3"/>
      <c r="H3540" s="3"/>
      <c r="I3540" s="3"/>
      <c r="J3540" s="3"/>
    </row>
    <row r="3541" spans="7:10" x14ac:dyDescent="0.35">
      <c r="G3541" s="3"/>
      <c r="H3541" s="3"/>
      <c r="I3541" s="3"/>
      <c r="J3541" s="3"/>
    </row>
    <row r="3542" spans="7:10" x14ac:dyDescent="0.35">
      <c r="G3542" s="3"/>
      <c r="H3542" s="3"/>
      <c r="I3542" s="3"/>
      <c r="J3542" s="3"/>
    </row>
    <row r="3543" spans="7:10" x14ac:dyDescent="0.35">
      <c r="G3543" s="3"/>
      <c r="H3543" s="3"/>
      <c r="I3543" s="3"/>
      <c r="J3543" s="3"/>
    </row>
    <row r="3544" spans="7:10" x14ac:dyDescent="0.35">
      <c r="G3544" s="3"/>
      <c r="H3544" s="3"/>
      <c r="I3544" s="3"/>
      <c r="J3544" s="3"/>
    </row>
    <row r="3545" spans="7:10" x14ac:dyDescent="0.35">
      <c r="G3545" s="3"/>
      <c r="H3545" s="3"/>
      <c r="I3545" s="3"/>
      <c r="J3545" s="3"/>
    </row>
    <row r="3546" spans="7:10" x14ac:dyDescent="0.35">
      <c r="G3546" s="3"/>
      <c r="H3546" s="3"/>
      <c r="I3546" s="3"/>
      <c r="J3546" s="3"/>
    </row>
    <row r="3547" spans="7:10" x14ac:dyDescent="0.35">
      <c r="G3547" s="3"/>
      <c r="H3547" s="3"/>
      <c r="I3547" s="3"/>
      <c r="J3547" s="3"/>
    </row>
    <row r="3548" spans="7:10" x14ac:dyDescent="0.35">
      <c r="G3548" s="3"/>
      <c r="H3548" s="3"/>
      <c r="I3548" s="3"/>
      <c r="J3548" s="3"/>
    </row>
    <row r="3549" spans="7:10" x14ac:dyDescent="0.35">
      <c r="G3549" s="3"/>
      <c r="H3549" s="3"/>
      <c r="I3549" s="3"/>
      <c r="J3549" s="3"/>
    </row>
    <row r="3550" spans="7:10" x14ac:dyDescent="0.35">
      <c r="G3550" s="3"/>
      <c r="H3550" s="3"/>
      <c r="I3550" s="3"/>
      <c r="J3550" s="3"/>
    </row>
    <row r="3551" spans="7:10" x14ac:dyDescent="0.35">
      <c r="G3551" s="3"/>
      <c r="H3551" s="3"/>
      <c r="I3551" s="3"/>
      <c r="J3551" s="3"/>
    </row>
    <row r="3552" spans="7:10" x14ac:dyDescent="0.35">
      <c r="G3552" s="3"/>
      <c r="H3552" s="3"/>
      <c r="I3552" s="3"/>
      <c r="J3552" s="3"/>
    </row>
    <row r="3553" spans="7:10" x14ac:dyDescent="0.35">
      <c r="G3553" s="3"/>
      <c r="H3553" s="3"/>
      <c r="I3553" s="3"/>
      <c r="J3553" s="3"/>
    </row>
    <row r="3554" spans="7:10" x14ac:dyDescent="0.35">
      <c r="G3554" s="3"/>
      <c r="H3554" s="3"/>
      <c r="I3554" s="3"/>
      <c r="J3554" s="3"/>
    </row>
    <row r="3555" spans="7:10" x14ac:dyDescent="0.35">
      <c r="G3555" s="3"/>
      <c r="H3555" s="3"/>
      <c r="I3555" s="3"/>
      <c r="J3555" s="3"/>
    </row>
    <row r="3556" spans="7:10" x14ac:dyDescent="0.35">
      <c r="G3556" s="3"/>
      <c r="H3556" s="3"/>
      <c r="I3556" s="3"/>
      <c r="J3556" s="3"/>
    </row>
    <row r="3557" spans="7:10" x14ac:dyDescent="0.35">
      <c r="G3557" s="3"/>
      <c r="H3557" s="3"/>
      <c r="I3557" s="3"/>
      <c r="J3557" s="3"/>
    </row>
    <row r="3558" spans="7:10" x14ac:dyDescent="0.35">
      <c r="G3558" s="3"/>
      <c r="H3558" s="3"/>
      <c r="I3558" s="3"/>
      <c r="J3558" s="3"/>
    </row>
    <row r="3559" spans="7:10" x14ac:dyDescent="0.35">
      <c r="G3559" s="3"/>
      <c r="H3559" s="3"/>
      <c r="I3559" s="3"/>
      <c r="J3559" s="3"/>
    </row>
    <row r="3560" spans="7:10" x14ac:dyDescent="0.35">
      <c r="G3560" s="3"/>
      <c r="H3560" s="3"/>
      <c r="I3560" s="3"/>
      <c r="J3560" s="3"/>
    </row>
    <row r="3561" spans="7:10" x14ac:dyDescent="0.35">
      <c r="G3561" s="3"/>
      <c r="H3561" s="3"/>
      <c r="I3561" s="3"/>
      <c r="J3561" s="3"/>
    </row>
    <row r="3562" spans="7:10" x14ac:dyDescent="0.35">
      <c r="G3562" s="3"/>
      <c r="H3562" s="3"/>
      <c r="I3562" s="3"/>
      <c r="J3562" s="3"/>
    </row>
    <row r="3563" spans="7:10" x14ac:dyDescent="0.35">
      <c r="G3563" s="3"/>
      <c r="H3563" s="3"/>
      <c r="I3563" s="3"/>
      <c r="J3563" s="3"/>
    </row>
    <row r="3564" spans="7:10" x14ac:dyDescent="0.35">
      <c r="G3564" s="3"/>
      <c r="H3564" s="3"/>
      <c r="I3564" s="3"/>
      <c r="J3564" s="3"/>
    </row>
    <row r="3565" spans="7:10" x14ac:dyDescent="0.35">
      <c r="G3565" s="3"/>
      <c r="H3565" s="3"/>
      <c r="I3565" s="3"/>
      <c r="J3565" s="3"/>
    </row>
    <row r="3566" spans="7:10" x14ac:dyDescent="0.35">
      <c r="G3566" s="3"/>
      <c r="H3566" s="3"/>
      <c r="I3566" s="3"/>
      <c r="J3566" s="3"/>
    </row>
    <row r="3567" spans="7:10" x14ac:dyDescent="0.35">
      <c r="G3567" s="3"/>
      <c r="H3567" s="3"/>
      <c r="I3567" s="3"/>
      <c r="J3567" s="3"/>
    </row>
    <row r="3568" spans="7:10" x14ac:dyDescent="0.35">
      <c r="G3568" s="3"/>
      <c r="H3568" s="3"/>
      <c r="I3568" s="3"/>
      <c r="J3568" s="3"/>
    </row>
    <row r="3569" spans="7:10" x14ac:dyDescent="0.35">
      <c r="G3569" s="3"/>
      <c r="H3569" s="3"/>
      <c r="I3569" s="3"/>
      <c r="J3569" s="3"/>
    </row>
    <row r="3570" spans="7:10" x14ac:dyDescent="0.35">
      <c r="G3570" s="3"/>
      <c r="H3570" s="3"/>
      <c r="I3570" s="3"/>
      <c r="J3570" s="3"/>
    </row>
    <row r="3571" spans="7:10" x14ac:dyDescent="0.35">
      <c r="G3571" s="3"/>
      <c r="H3571" s="3"/>
      <c r="I3571" s="3"/>
      <c r="J3571" s="3"/>
    </row>
    <row r="3572" spans="7:10" x14ac:dyDescent="0.35">
      <c r="G3572" s="3"/>
      <c r="H3572" s="3"/>
      <c r="I3572" s="3"/>
      <c r="J3572" s="3"/>
    </row>
    <row r="3573" spans="7:10" x14ac:dyDescent="0.35">
      <c r="G3573" s="3"/>
      <c r="H3573" s="3"/>
      <c r="I3573" s="3"/>
      <c r="J3573" s="3"/>
    </row>
    <row r="3574" spans="7:10" x14ac:dyDescent="0.35">
      <c r="G3574" s="3"/>
      <c r="H3574" s="3"/>
      <c r="I3574" s="3"/>
      <c r="J3574" s="3"/>
    </row>
    <row r="3575" spans="7:10" x14ac:dyDescent="0.35">
      <c r="G3575" s="3"/>
      <c r="H3575" s="3"/>
      <c r="I3575" s="3"/>
      <c r="J3575" s="3"/>
    </row>
    <row r="3576" spans="7:10" x14ac:dyDescent="0.35">
      <c r="G3576" s="3"/>
      <c r="H3576" s="3"/>
      <c r="I3576" s="3"/>
      <c r="J3576" s="3"/>
    </row>
    <row r="3577" spans="7:10" x14ac:dyDescent="0.35">
      <c r="G3577" s="3"/>
      <c r="H3577" s="3"/>
      <c r="I3577" s="3"/>
      <c r="J3577" s="3"/>
    </row>
    <row r="3578" spans="7:10" x14ac:dyDescent="0.35">
      <c r="G3578" s="3"/>
      <c r="H3578" s="3"/>
      <c r="I3578" s="3"/>
      <c r="J3578" s="3"/>
    </row>
    <row r="3579" spans="7:10" x14ac:dyDescent="0.35">
      <c r="G3579" s="3"/>
      <c r="H3579" s="3"/>
      <c r="I3579" s="3"/>
      <c r="J3579" s="3"/>
    </row>
    <row r="3580" spans="7:10" x14ac:dyDescent="0.35">
      <c r="G3580" s="3"/>
      <c r="H3580" s="3"/>
      <c r="I3580" s="3"/>
      <c r="J3580" s="3"/>
    </row>
    <row r="3581" spans="7:10" x14ac:dyDescent="0.35">
      <c r="G3581" s="3"/>
      <c r="H3581" s="3"/>
      <c r="I3581" s="3"/>
      <c r="J3581" s="3"/>
    </row>
    <row r="3582" spans="7:10" x14ac:dyDescent="0.35">
      <c r="G3582" s="3"/>
      <c r="H3582" s="3"/>
      <c r="I3582" s="3"/>
      <c r="J3582" s="3"/>
    </row>
    <row r="3583" spans="7:10" x14ac:dyDescent="0.35">
      <c r="G3583" s="3"/>
      <c r="H3583" s="3"/>
      <c r="I3583" s="3"/>
      <c r="J3583" s="3"/>
    </row>
    <row r="3584" spans="7:10" x14ac:dyDescent="0.35">
      <c r="G3584" s="3"/>
      <c r="H3584" s="3"/>
      <c r="I3584" s="3"/>
      <c r="J3584" s="3"/>
    </row>
    <row r="3585" spans="7:10" x14ac:dyDescent="0.35">
      <c r="G3585" s="3"/>
      <c r="H3585" s="3"/>
      <c r="I3585" s="3"/>
      <c r="J3585" s="3"/>
    </row>
    <row r="3586" spans="7:10" x14ac:dyDescent="0.35">
      <c r="G3586" s="3"/>
      <c r="H3586" s="3"/>
      <c r="I3586" s="3"/>
      <c r="J3586" s="3"/>
    </row>
    <row r="3587" spans="7:10" x14ac:dyDescent="0.35">
      <c r="G3587" s="3"/>
      <c r="H3587" s="3"/>
      <c r="I3587" s="3"/>
      <c r="J3587" s="3"/>
    </row>
    <row r="3588" spans="7:10" x14ac:dyDescent="0.35">
      <c r="G3588" s="3"/>
      <c r="H3588" s="3"/>
      <c r="I3588" s="3"/>
      <c r="J3588" s="3"/>
    </row>
    <row r="3589" spans="7:10" x14ac:dyDescent="0.35">
      <c r="G3589" s="3"/>
      <c r="H3589" s="3"/>
      <c r="I3589" s="3"/>
      <c r="J3589" s="3"/>
    </row>
    <row r="3590" spans="7:10" x14ac:dyDescent="0.35">
      <c r="G3590" s="3"/>
      <c r="H3590" s="3"/>
      <c r="I3590" s="3"/>
      <c r="J3590" s="3"/>
    </row>
    <row r="3591" spans="7:10" x14ac:dyDescent="0.35">
      <c r="G3591" s="3"/>
      <c r="H3591" s="3"/>
      <c r="I3591" s="3"/>
      <c r="J3591" s="3"/>
    </row>
    <row r="3592" spans="7:10" x14ac:dyDescent="0.35">
      <c r="G3592" s="3"/>
      <c r="H3592" s="3"/>
      <c r="I3592" s="3"/>
      <c r="J3592" s="3"/>
    </row>
    <row r="3593" spans="7:10" x14ac:dyDescent="0.35">
      <c r="G3593" s="3"/>
      <c r="H3593" s="3"/>
      <c r="I3593" s="3"/>
      <c r="J3593" s="3"/>
    </row>
    <row r="3594" spans="7:10" x14ac:dyDescent="0.35">
      <c r="G3594" s="3"/>
      <c r="H3594" s="3"/>
      <c r="I3594" s="3"/>
      <c r="J3594" s="3"/>
    </row>
    <row r="3595" spans="7:10" x14ac:dyDescent="0.35">
      <c r="G3595" s="3"/>
      <c r="H3595" s="3"/>
      <c r="I3595" s="3"/>
      <c r="J3595" s="3"/>
    </row>
    <row r="3596" spans="7:10" x14ac:dyDescent="0.35">
      <c r="G3596" s="3"/>
      <c r="H3596" s="3"/>
      <c r="I3596" s="3"/>
      <c r="J3596" s="3"/>
    </row>
    <row r="3597" spans="7:10" x14ac:dyDescent="0.35">
      <c r="G3597" s="3"/>
      <c r="H3597" s="3"/>
      <c r="I3597" s="3"/>
      <c r="J3597" s="3"/>
    </row>
    <row r="3598" spans="7:10" x14ac:dyDescent="0.35">
      <c r="G3598" s="3"/>
      <c r="H3598" s="3"/>
      <c r="I3598" s="3"/>
      <c r="J3598" s="3"/>
    </row>
    <row r="3599" spans="7:10" x14ac:dyDescent="0.35">
      <c r="G3599" s="3"/>
      <c r="H3599" s="3"/>
      <c r="I3599" s="3"/>
      <c r="J3599" s="3"/>
    </row>
    <row r="3600" spans="7:10" x14ac:dyDescent="0.35">
      <c r="G3600" s="3"/>
      <c r="H3600" s="3"/>
      <c r="I3600" s="3"/>
      <c r="J3600" s="3"/>
    </row>
    <row r="3601" spans="7:10" x14ac:dyDescent="0.35">
      <c r="G3601" s="3"/>
      <c r="H3601" s="3"/>
      <c r="I3601" s="3"/>
      <c r="J3601" s="3"/>
    </row>
    <row r="3602" spans="7:10" x14ac:dyDescent="0.35">
      <c r="G3602" s="3"/>
      <c r="H3602" s="3"/>
      <c r="I3602" s="3"/>
      <c r="J3602" s="3"/>
    </row>
    <row r="3603" spans="7:10" x14ac:dyDescent="0.35">
      <c r="G3603" s="3"/>
      <c r="H3603" s="3"/>
      <c r="I3603" s="3"/>
      <c r="J3603" s="3"/>
    </row>
    <row r="3604" spans="7:10" x14ac:dyDescent="0.35">
      <c r="G3604" s="3"/>
      <c r="H3604" s="3"/>
      <c r="I3604" s="3"/>
      <c r="J3604" s="3"/>
    </row>
    <row r="3605" spans="7:10" x14ac:dyDescent="0.35">
      <c r="G3605" s="3"/>
      <c r="H3605" s="3"/>
      <c r="I3605" s="3"/>
      <c r="J3605" s="3"/>
    </row>
    <row r="3606" spans="7:10" x14ac:dyDescent="0.35">
      <c r="G3606" s="3"/>
      <c r="H3606" s="3"/>
      <c r="I3606" s="3"/>
      <c r="J3606" s="3"/>
    </row>
    <row r="3607" spans="7:10" x14ac:dyDescent="0.35">
      <c r="G3607" s="3"/>
      <c r="H3607" s="3"/>
      <c r="I3607" s="3"/>
      <c r="J3607" s="3"/>
    </row>
    <row r="3608" spans="7:10" x14ac:dyDescent="0.35">
      <c r="G3608" s="3"/>
      <c r="H3608" s="3"/>
      <c r="I3608" s="3"/>
      <c r="J3608" s="3"/>
    </row>
    <row r="3609" spans="7:10" x14ac:dyDescent="0.35">
      <c r="G3609" s="3"/>
      <c r="H3609" s="3"/>
      <c r="I3609" s="3"/>
      <c r="J3609" s="3"/>
    </row>
    <row r="3610" spans="7:10" x14ac:dyDescent="0.35">
      <c r="G3610" s="3"/>
      <c r="H3610" s="3"/>
      <c r="I3610" s="3"/>
      <c r="J3610" s="3"/>
    </row>
    <row r="3611" spans="7:10" x14ac:dyDescent="0.35">
      <c r="G3611" s="3"/>
      <c r="H3611" s="3"/>
      <c r="I3611" s="3"/>
      <c r="J3611" s="3"/>
    </row>
    <row r="3612" spans="7:10" x14ac:dyDescent="0.35">
      <c r="G3612" s="3"/>
      <c r="H3612" s="3"/>
      <c r="I3612" s="3"/>
      <c r="J3612" s="3"/>
    </row>
    <row r="3613" spans="7:10" x14ac:dyDescent="0.35">
      <c r="G3613" s="3"/>
      <c r="H3613" s="3"/>
      <c r="I3613" s="3"/>
      <c r="J3613" s="3"/>
    </row>
    <row r="3614" spans="7:10" x14ac:dyDescent="0.35">
      <c r="G3614" s="3"/>
      <c r="H3614" s="3"/>
      <c r="I3614" s="3"/>
      <c r="J3614" s="3"/>
    </row>
    <row r="3615" spans="7:10" x14ac:dyDescent="0.35">
      <c r="G3615" s="3"/>
      <c r="H3615" s="3"/>
      <c r="I3615" s="3"/>
      <c r="J3615" s="3"/>
    </row>
    <row r="3616" spans="7:10" x14ac:dyDescent="0.35">
      <c r="G3616" s="3"/>
      <c r="H3616" s="3"/>
      <c r="I3616" s="3"/>
      <c r="J3616" s="3"/>
    </row>
    <row r="3617" spans="7:10" x14ac:dyDescent="0.35">
      <c r="G3617" s="3"/>
      <c r="H3617" s="3"/>
      <c r="I3617" s="3"/>
      <c r="J3617" s="3"/>
    </row>
    <row r="3618" spans="7:10" x14ac:dyDescent="0.35">
      <c r="G3618" s="3"/>
      <c r="H3618" s="3"/>
      <c r="I3618" s="3"/>
      <c r="J3618" s="3"/>
    </row>
    <row r="3619" spans="7:10" x14ac:dyDescent="0.35">
      <c r="G3619" s="3"/>
      <c r="H3619" s="3"/>
      <c r="I3619" s="3"/>
      <c r="J3619" s="3"/>
    </row>
    <row r="3620" spans="7:10" x14ac:dyDescent="0.35">
      <c r="G3620" s="3"/>
      <c r="H3620" s="3"/>
      <c r="I3620" s="3"/>
      <c r="J3620" s="3"/>
    </row>
    <row r="3621" spans="7:10" x14ac:dyDescent="0.35">
      <c r="G3621" s="3"/>
      <c r="H3621" s="3"/>
      <c r="I3621" s="3"/>
      <c r="J3621" s="3"/>
    </row>
    <row r="3622" spans="7:10" x14ac:dyDescent="0.35">
      <c r="G3622" s="3"/>
      <c r="H3622" s="3"/>
      <c r="I3622" s="3"/>
      <c r="J3622" s="3"/>
    </row>
    <row r="3623" spans="7:10" x14ac:dyDescent="0.35">
      <c r="G3623" s="3"/>
      <c r="H3623" s="3"/>
      <c r="I3623" s="3"/>
      <c r="J3623" s="3"/>
    </row>
    <row r="3624" spans="7:10" x14ac:dyDescent="0.35">
      <c r="G3624" s="3"/>
      <c r="H3624" s="3"/>
      <c r="I3624" s="3"/>
      <c r="J3624" s="3"/>
    </row>
    <row r="3625" spans="7:10" x14ac:dyDescent="0.35">
      <c r="G3625" s="3"/>
      <c r="H3625" s="3"/>
      <c r="I3625" s="3"/>
      <c r="J3625" s="3"/>
    </row>
    <row r="3626" spans="7:10" x14ac:dyDescent="0.35">
      <c r="G3626" s="3"/>
      <c r="H3626" s="3"/>
      <c r="I3626" s="3"/>
      <c r="J3626" s="3"/>
    </row>
    <row r="3627" spans="7:10" x14ac:dyDescent="0.35">
      <c r="G3627" s="3"/>
      <c r="H3627" s="3"/>
      <c r="I3627" s="3"/>
      <c r="J3627" s="3"/>
    </row>
    <row r="3628" spans="7:10" x14ac:dyDescent="0.35">
      <c r="G3628" s="3"/>
      <c r="H3628" s="3"/>
      <c r="I3628" s="3"/>
      <c r="J3628" s="3"/>
    </row>
    <row r="3629" spans="7:10" x14ac:dyDescent="0.35">
      <c r="G3629" s="3"/>
      <c r="H3629" s="3"/>
      <c r="I3629" s="3"/>
      <c r="J3629" s="3"/>
    </row>
    <row r="3630" spans="7:10" x14ac:dyDescent="0.35">
      <c r="G3630" s="3"/>
      <c r="H3630" s="3"/>
      <c r="I3630" s="3"/>
      <c r="J3630" s="3"/>
    </row>
    <row r="3631" spans="7:10" x14ac:dyDescent="0.35">
      <c r="G3631" s="3"/>
      <c r="H3631" s="3"/>
      <c r="I3631" s="3"/>
      <c r="J3631" s="3"/>
    </row>
    <row r="3632" spans="7:10" x14ac:dyDescent="0.35">
      <c r="G3632" s="3"/>
      <c r="H3632" s="3"/>
      <c r="I3632" s="3"/>
      <c r="J3632" s="3"/>
    </row>
    <row r="3633" spans="7:10" x14ac:dyDescent="0.35">
      <c r="G3633" s="3"/>
      <c r="H3633" s="3"/>
      <c r="I3633" s="3"/>
      <c r="J3633" s="3"/>
    </row>
    <row r="3634" spans="7:10" x14ac:dyDescent="0.35">
      <c r="G3634" s="3"/>
      <c r="H3634" s="3"/>
      <c r="I3634" s="3"/>
      <c r="J3634" s="3"/>
    </row>
    <row r="3635" spans="7:10" x14ac:dyDescent="0.35">
      <c r="G3635" s="3"/>
      <c r="H3635" s="3"/>
      <c r="I3635" s="3"/>
      <c r="J3635" s="3"/>
    </row>
    <row r="3636" spans="7:10" x14ac:dyDescent="0.35">
      <c r="G3636" s="3"/>
      <c r="H3636" s="3"/>
      <c r="I3636" s="3"/>
      <c r="J3636" s="3"/>
    </row>
    <row r="3637" spans="7:10" x14ac:dyDescent="0.35">
      <c r="G3637" s="3"/>
      <c r="H3637" s="3"/>
      <c r="I3637" s="3"/>
      <c r="J3637" s="3"/>
    </row>
    <row r="3638" spans="7:10" x14ac:dyDescent="0.35">
      <c r="G3638" s="3"/>
      <c r="H3638" s="3"/>
      <c r="I3638" s="3"/>
      <c r="J3638" s="3"/>
    </row>
    <row r="3639" spans="7:10" x14ac:dyDescent="0.35">
      <c r="G3639" s="3"/>
      <c r="H3639" s="3"/>
      <c r="I3639" s="3"/>
      <c r="J3639" s="3"/>
    </row>
    <row r="3640" spans="7:10" x14ac:dyDescent="0.35">
      <c r="G3640" s="3"/>
      <c r="H3640" s="3"/>
      <c r="I3640" s="3"/>
      <c r="J3640" s="3"/>
    </row>
    <row r="3641" spans="7:10" x14ac:dyDescent="0.35">
      <c r="G3641" s="3"/>
      <c r="H3641" s="3"/>
      <c r="I3641" s="3"/>
      <c r="J3641" s="3"/>
    </row>
    <row r="3642" spans="7:10" x14ac:dyDescent="0.35">
      <c r="G3642" s="3"/>
      <c r="H3642" s="3"/>
      <c r="I3642" s="3"/>
      <c r="J3642" s="3"/>
    </row>
    <row r="3643" spans="7:10" x14ac:dyDescent="0.35">
      <c r="G3643" s="3"/>
      <c r="H3643" s="3"/>
      <c r="I3643" s="3"/>
      <c r="J3643" s="3"/>
    </row>
    <row r="3644" spans="7:10" x14ac:dyDescent="0.35">
      <c r="G3644" s="3"/>
      <c r="H3644" s="3"/>
      <c r="I3644" s="3"/>
      <c r="J3644" s="3"/>
    </row>
    <row r="3645" spans="7:10" x14ac:dyDescent="0.35">
      <c r="G3645" s="3"/>
      <c r="H3645" s="3"/>
      <c r="I3645" s="3"/>
      <c r="J3645" s="3"/>
    </row>
    <row r="3646" spans="7:10" x14ac:dyDescent="0.35">
      <c r="G3646" s="3"/>
      <c r="H3646" s="3"/>
      <c r="I3646" s="3"/>
      <c r="J3646" s="3"/>
    </row>
    <row r="3647" spans="7:10" x14ac:dyDescent="0.35">
      <c r="G3647" s="3"/>
      <c r="H3647" s="3"/>
      <c r="I3647" s="3"/>
      <c r="J3647" s="3"/>
    </row>
    <row r="3648" spans="7:10" x14ac:dyDescent="0.35">
      <c r="G3648" s="3"/>
      <c r="H3648" s="3"/>
      <c r="I3648" s="3"/>
      <c r="J3648" s="3"/>
    </row>
    <row r="3649" spans="7:10" x14ac:dyDescent="0.35">
      <c r="G3649" s="3"/>
      <c r="H3649" s="3"/>
      <c r="I3649" s="3"/>
      <c r="J3649" s="3"/>
    </row>
    <row r="3650" spans="7:10" x14ac:dyDescent="0.35">
      <c r="G3650" s="3"/>
      <c r="H3650" s="3"/>
      <c r="I3650" s="3"/>
      <c r="J3650" s="3"/>
    </row>
    <row r="3651" spans="7:10" x14ac:dyDescent="0.35">
      <c r="G3651" s="3"/>
      <c r="H3651" s="3"/>
      <c r="I3651" s="3"/>
      <c r="J3651" s="3"/>
    </row>
    <row r="3652" spans="7:10" x14ac:dyDescent="0.35">
      <c r="G3652" s="3"/>
      <c r="H3652" s="3"/>
      <c r="I3652" s="3"/>
      <c r="J3652" s="3"/>
    </row>
    <row r="3653" spans="7:10" x14ac:dyDescent="0.35">
      <c r="G3653" s="3"/>
      <c r="H3653" s="3"/>
      <c r="I3653" s="3"/>
      <c r="J3653" s="3"/>
    </row>
    <row r="3654" spans="7:10" x14ac:dyDescent="0.35">
      <c r="G3654" s="3"/>
      <c r="H3654" s="3"/>
      <c r="I3654" s="3"/>
      <c r="J3654" s="3"/>
    </row>
    <row r="3655" spans="7:10" x14ac:dyDescent="0.35">
      <c r="G3655" s="3"/>
      <c r="H3655" s="3"/>
      <c r="I3655" s="3"/>
      <c r="J3655" s="3"/>
    </row>
    <row r="3656" spans="7:10" x14ac:dyDescent="0.35">
      <c r="G3656" s="3"/>
      <c r="H3656" s="3"/>
      <c r="I3656" s="3"/>
      <c r="J3656" s="3"/>
    </row>
    <row r="3657" spans="7:10" x14ac:dyDescent="0.35">
      <c r="G3657" s="3"/>
      <c r="H3657" s="3"/>
      <c r="I3657" s="3"/>
      <c r="J3657" s="3"/>
    </row>
    <row r="3658" spans="7:10" x14ac:dyDescent="0.35">
      <c r="G3658" s="3"/>
      <c r="H3658" s="3"/>
      <c r="I3658" s="3"/>
      <c r="J3658" s="3"/>
    </row>
    <row r="3659" spans="7:10" x14ac:dyDescent="0.35">
      <c r="G3659" s="3"/>
      <c r="H3659" s="3"/>
      <c r="I3659" s="3"/>
      <c r="J3659" s="3"/>
    </row>
    <row r="3660" spans="7:10" x14ac:dyDescent="0.35">
      <c r="G3660" s="3"/>
      <c r="H3660" s="3"/>
      <c r="I3660" s="3"/>
      <c r="J3660" s="3"/>
    </row>
    <row r="3661" spans="7:10" x14ac:dyDescent="0.35">
      <c r="G3661" s="3"/>
      <c r="H3661" s="3"/>
      <c r="I3661" s="3"/>
      <c r="J3661" s="3"/>
    </row>
    <row r="3662" spans="7:10" x14ac:dyDescent="0.35">
      <c r="G3662" s="3"/>
      <c r="H3662" s="3"/>
      <c r="I3662" s="3"/>
      <c r="J3662" s="3"/>
    </row>
    <row r="3663" spans="7:10" x14ac:dyDescent="0.35">
      <c r="G3663" s="3"/>
      <c r="H3663" s="3"/>
      <c r="I3663" s="3"/>
      <c r="J3663" s="3"/>
    </row>
    <row r="3664" spans="7:10" x14ac:dyDescent="0.35">
      <c r="G3664" s="3"/>
      <c r="H3664" s="3"/>
      <c r="I3664" s="3"/>
      <c r="J3664" s="3"/>
    </row>
    <row r="3665" spans="7:10" x14ac:dyDescent="0.35">
      <c r="G3665" s="3"/>
      <c r="H3665" s="3"/>
      <c r="I3665" s="3"/>
      <c r="J3665" s="3"/>
    </row>
    <row r="3666" spans="7:10" x14ac:dyDescent="0.35">
      <c r="G3666" s="3"/>
      <c r="H3666" s="3"/>
      <c r="I3666" s="3"/>
      <c r="J3666" s="3"/>
    </row>
    <row r="3667" spans="7:10" x14ac:dyDescent="0.35">
      <c r="G3667" s="3"/>
      <c r="H3667" s="3"/>
      <c r="I3667" s="3"/>
      <c r="J3667" s="3"/>
    </row>
    <row r="3668" spans="7:10" x14ac:dyDescent="0.35">
      <c r="G3668" s="3"/>
      <c r="H3668" s="3"/>
      <c r="I3668" s="3"/>
      <c r="J3668" s="3"/>
    </row>
    <row r="3669" spans="7:10" x14ac:dyDescent="0.35">
      <c r="G3669" s="3"/>
      <c r="H3669" s="3"/>
      <c r="I3669" s="3"/>
      <c r="J3669" s="3"/>
    </row>
    <row r="3670" spans="7:10" x14ac:dyDescent="0.35">
      <c r="G3670" s="3"/>
      <c r="H3670" s="3"/>
      <c r="I3670" s="3"/>
      <c r="J3670" s="3"/>
    </row>
    <row r="3671" spans="7:10" x14ac:dyDescent="0.35">
      <c r="G3671" s="3"/>
      <c r="H3671" s="3"/>
      <c r="I3671" s="3"/>
      <c r="J3671" s="3"/>
    </row>
    <row r="3672" spans="7:10" x14ac:dyDescent="0.35">
      <c r="G3672" s="3"/>
      <c r="H3672" s="3"/>
      <c r="I3672" s="3"/>
      <c r="J3672" s="3"/>
    </row>
    <row r="3673" spans="7:10" x14ac:dyDescent="0.35">
      <c r="G3673" s="3"/>
      <c r="H3673" s="3"/>
      <c r="I3673" s="3"/>
      <c r="J3673" s="3"/>
    </row>
    <row r="3674" spans="7:10" x14ac:dyDescent="0.35">
      <c r="G3674" s="3"/>
      <c r="H3674" s="3"/>
      <c r="I3674" s="3"/>
      <c r="J3674" s="3"/>
    </row>
    <row r="3675" spans="7:10" x14ac:dyDescent="0.35">
      <c r="G3675" s="3"/>
      <c r="H3675" s="3"/>
      <c r="I3675" s="3"/>
      <c r="J3675" s="3"/>
    </row>
    <row r="3676" spans="7:10" x14ac:dyDescent="0.35">
      <c r="G3676" s="3"/>
      <c r="H3676" s="3"/>
      <c r="I3676" s="3"/>
      <c r="J3676" s="3"/>
    </row>
    <row r="3677" spans="7:10" x14ac:dyDescent="0.35">
      <c r="G3677" s="3"/>
      <c r="H3677" s="3"/>
      <c r="I3677" s="3"/>
      <c r="J3677" s="3"/>
    </row>
    <row r="3678" spans="7:10" x14ac:dyDescent="0.35">
      <c r="G3678" s="3"/>
      <c r="H3678" s="3"/>
      <c r="I3678" s="3"/>
      <c r="J3678" s="3"/>
    </row>
    <row r="3679" spans="7:10" x14ac:dyDescent="0.35">
      <c r="G3679" s="3"/>
      <c r="H3679" s="3"/>
      <c r="I3679" s="3"/>
      <c r="J3679" s="3"/>
    </row>
    <row r="3680" spans="7:10" x14ac:dyDescent="0.35">
      <c r="G3680" s="3"/>
      <c r="H3680" s="3"/>
      <c r="I3680" s="3"/>
      <c r="J3680" s="3"/>
    </row>
    <row r="3681" spans="7:10" x14ac:dyDescent="0.35">
      <c r="G3681" s="3"/>
      <c r="H3681" s="3"/>
      <c r="I3681" s="3"/>
      <c r="J3681" s="3"/>
    </row>
    <row r="3682" spans="7:10" x14ac:dyDescent="0.35">
      <c r="G3682" s="3"/>
      <c r="H3682" s="3"/>
      <c r="I3682" s="3"/>
      <c r="J3682" s="3"/>
    </row>
    <row r="3683" spans="7:10" x14ac:dyDescent="0.35">
      <c r="G3683" s="3"/>
      <c r="H3683" s="3"/>
      <c r="I3683" s="3"/>
      <c r="J3683" s="3"/>
    </row>
    <row r="3684" spans="7:10" x14ac:dyDescent="0.35">
      <c r="G3684" s="3"/>
      <c r="H3684" s="3"/>
      <c r="I3684" s="3"/>
      <c r="J3684" s="3"/>
    </row>
    <row r="3685" spans="7:10" x14ac:dyDescent="0.35">
      <c r="G3685" s="3"/>
      <c r="H3685" s="3"/>
      <c r="I3685" s="3"/>
      <c r="J3685" s="3"/>
    </row>
    <row r="3686" spans="7:10" x14ac:dyDescent="0.35">
      <c r="G3686" s="3"/>
      <c r="H3686" s="3"/>
      <c r="I3686" s="3"/>
      <c r="J3686" s="3"/>
    </row>
    <row r="3687" spans="7:10" x14ac:dyDescent="0.35">
      <c r="G3687" s="3"/>
      <c r="H3687" s="3"/>
      <c r="I3687" s="3"/>
      <c r="J3687" s="3"/>
    </row>
    <row r="3688" spans="7:10" x14ac:dyDescent="0.35">
      <c r="G3688" s="3"/>
      <c r="H3688" s="3"/>
      <c r="I3688" s="3"/>
      <c r="J3688" s="3"/>
    </row>
    <row r="3689" spans="7:10" x14ac:dyDescent="0.35">
      <c r="G3689" s="3"/>
      <c r="H3689" s="3"/>
      <c r="I3689" s="3"/>
      <c r="J3689" s="3"/>
    </row>
    <row r="3690" spans="7:10" x14ac:dyDescent="0.35">
      <c r="G3690" s="3"/>
      <c r="H3690" s="3"/>
      <c r="I3690" s="3"/>
      <c r="J3690" s="3"/>
    </row>
    <row r="3691" spans="7:10" x14ac:dyDescent="0.35">
      <c r="G3691" s="3"/>
      <c r="H3691" s="3"/>
      <c r="I3691" s="3"/>
      <c r="J3691" s="3"/>
    </row>
    <row r="3692" spans="7:10" x14ac:dyDescent="0.35">
      <c r="G3692" s="3"/>
      <c r="H3692" s="3"/>
      <c r="I3692" s="3"/>
      <c r="J3692" s="3"/>
    </row>
    <row r="3693" spans="7:10" x14ac:dyDescent="0.35">
      <c r="G3693" s="3"/>
      <c r="H3693" s="3"/>
      <c r="I3693" s="3"/>
      <c r="J3693" s="3"/>
    </row>
    <row r="3694" spans="7:10" x14ac:dyDescent="0.35">
      <c r="G3694" s="3"/>
      <c r="H3694" s="3"/>
      <c r="I3694" s="3"/>
      <c r="J3694" s="3"/>
    </row>
    <row r="3695" spans="7:10" x14ac:dyDescent="0.35">
      <c r="G3695" s="3"/>
      <c r="H3695" s="3"/>
      <c r="I3695" s="3"/>
      <c r="J3695" s="3"/>
    </row>
    <row r="3696" spans="7:10" x14ac:dyDescent="0.35">
      <c r="G3696" s="3"/>
      <c r="H3696" s="3"/>
      <c r="I3696" s="3"/>
      <c r="J3696" s="3"/>
    </row>
    <row r="3697" spans="7:10" x14ac:dyDescent="0.35">
      <c r="G3697" s="3"/>
      <c r="H3697" s="3"/>
      <c r="I3697" s="3"/>
      <c r="J3697" s="3"/>
    </row>
    <row r="3698" spans="7:10" x14ac:dyDescent="0.35">
      <c r="G3698" s="3"/>
      <c r="H3698" s="3"/>
      <c r="I3698" s="3"/>
      <c r="J3698" s="3"/>
    </row>
    <row r="3699" spans="7:10" x14ac:dyDescent="0.35">
      <c r="G3699" s="3"/>
      <c r="H3699" s="3"/>
      <c r="I3699" s="3"/>
      <c r="J3699" s="3"/>
    </row>
    <row r="3700" spans="7:10" x14ac:dyDescent="0.35">
      <c r="G3700" s="3"/>
      <c r="H3700" s="3"/>
      <c r="I3700" s="3"/>
      <c r="J3700" s="3"/>
    </row>
    <row r="3701" spans="7:10" x14ac:dyDescent="0.35">
      <c r="G3701" s="3"/>
      <c r="H3701" s="3"/>
      <c r="I3701" s="3"/>
      <c r="J3701" s="3"/>
    </row>
    <row r="3702" spans="7:10" x14ac:dyDescent="0.35">
      <c r="G3702" s="3"/>
      <c r="H3702" s="3"/>
      <c r="I3702" s="3"/>
      <c r="J3702" s="3"/>
    </row>
    <row r="3703" spans="7:10" x14ac:dyDescent="0.35">
      <c r="G3703" s="3"/>
      <c r="H3703" s="3"/>
      <c r="I3703" s="3"/>
      <c r="J3703" s="3"/>
    </row>
    <row r="3704" spans="7:10" x14ac:dyDescent="0.35">
      <c r="G3704" s="3"/>
      <c r="H3704" s="3"/>
      <c r="I3704" s="3"/>
      <c r="J3704" s="3"/>
    </row>
    <row r="3705" spans="7:10" x14ac:dyDescent="0.35">
      <c r="G3705" s="3"/>
      <c r="H3705" s="3"/>
      <c r="I3705" s="3"/>
      <c r="J3705" s="3"/>
    </row>
    <row r="3706" spans="7:10" x14ac:dyDescent="0.35">
      <c r="G3706" s="3"/>
      <c r="H3706" s="3"/>
      <c r="I3706" s="3"/>
      <c r="J3706" s="3"/>
    </row>
    <row r="3707" spans="7:10" x14ac:dyDescent="0.35">
      <c r="G3707" s="3"/>
      <c r="H3707" s="3"/>
      <c r="I3707" s="3"/>
      <c r="J3707" s="3"/>
    </row>
    <row r="3708" spans="7:10" x14ac:dyDescent="0.35">
      <c r="G3708" s="3"/>
      <c r="H3708" s="3"/>
      <c r="I3708" s="3"/>
      <c r="J3708" s="3"/>
    </row>
    <row r="3709" spans="7:10" x14ac:dyDescent="0.35">
      <c r="G3709" s="3"/>
      <c r="H3709" s="3"/>
      <c r="I3709" s="3"/>
      <c r="J3709" s="3"/>
    </row>
    <row r="3710" spans="7:10" x14ac:dyDescent="0.35">
      <c r="G3710" s="3"/>
      <c r="H3710" s="3"/>
      <c r="I3710" s="3"/>
      <c r="J3710" s="3"/>
    </row>
    <row r="3711" spans="7:10" x14ac:dyDescent="0.35">
      <c r="G3711" s="3"/>
      <c r="H3711" s="3"/>
      <c r="I3711" s="3"/>
      <c r="J3711" s="3"/>
    </row>
    <row r="3712" spans="7:10" x14ac:dyDescent="0.35">
      <c r="G3712" s="3"/>
      <c r="H3712" s="3"/>
      <c r="I3712" s="3"/>
      <c r="J3712" s="3"/>
    </row>
    <row r="3713" spans="7:10" x14ac:dyDescent="0.35">
      <c r="G3713" s="3"/>
      <c r="H3713" s="3"/>
      <c r="I3713" s="3"/>
      <c r="J3713" s="3"/>
    </row>
    <row r="3714" spans="7:10" x14ac:dyDescent="0.35">
      <c r="G3714" s="3"/>
      <c r="H3714" s="3"/>
      <c r="I3714" s="3"/>
      <c r="J3714" s="3"/>
    </row>
    <row r="3715" spans="7:10" x14ac:dyDescent="0.35">
      <c r="G3715" s="3"/>
      <c r="H3715" s="3"/>
      <c r="I3715" s="3"/>
      <c r="J3715" s="3"/>
    </row>
    <row r="3716" spans="7:10" x14ac:dyDescent="0.35">
      <c r="G3716" s="3"/>
      <c r="H3716" s="3"/>
      <c r="I3716" s="3"/>
      <c r="J3716" s="3"/>
    </row>
    <row r="3717" spans="7:10" x14ac:dyDescent="0.35">
      <c r="G3717" s="3"/>
      <c r="H3717" s="3"/>
      <c r="I3717" s="3"/>
      <c r="J3717" s="3"/>
    </row>
    <row r="3718" spans="7:10" x14ac:dyDescent="0.35">
      <c r="G3718" s="3"/>
      <c r="H3718" s="3"/>
      <c r="I3718" s="3"/>
      <c r="J3718" s="3"/>
    </row>
    <row r="3719" spans="7:10" x14ac:dyDescent="0.35">
      <c r="G3719" s="3"/>
      <c r="H3719" s="3"/>
      <c r="I3719" s="3"/>
      <c r="J3719" s="3"/>
    </row>
    <row r="3720" spans="7:10" x14ac:dyDescent="0.35">
      <c r="G3720" s="3"/>
      <c r="H3720" s="3"/>
      <c r="I3720" s="3"/>
      <c r="J3720" s="3"/>
    </row>
    <row r="3721" spans="7:10" x14ac:dyDescent="0.35">
      <c r="G3721" s="3"/>
      <c r="H3721" s="3"/>
      <c r="I3721" s="3"/>
      <c r="J3721" s="3"/>
    </row>
    <row r="3722" spans="7:10" x14ac:dyDescent="0.35">
      <c r="G3722" s="3"/>
      <c r="H3722" s="3"/>
      <c r="I3722" s="3"/>
      <c r="J3722" s="3"/>
    </row>
    <row r="3723" spans="7:10" x14ac:dyDescent="0.35">
      <c r="G3723" s="3"/>
      <c r="H3723" s="3"/>
      <c r="I3723" s="3"/>
      <c r="J3723" s="3"/>
    </row>
    <row r="3724" spans="7:10" x14ac:dyDescent="0.35">
      <c r="G3724" s="3"/>
      <c r="H3724" s="3"/>
      <c r="I3724" s="3"/>
      <c r="J3724" s="3"/>
    </row>
    <row r="3725" spans="7:10" x14ac:dyDescent="0.35">
      <c r="G3725" s="3"/>
      <c r="H3725" s="3"/>
      <c r="I3725" s="3"/>
      <c r="J3725" s="3"/>
    </row>
    <row r="3726" spans="7:10" x14ac:dyDescent="0.35">
      <c r="G3726" s="3"/>
      <c r="H3726" s="3"/>
      <c r="I3726" s="3"/>
      <c r="J3726" s="3"/>
    </row>
    <row r="3727" spans="7:10" x14ac:dyDescent="0.35">
      <c r="G3727" s="3"/>
      <c r="H3727" s="3"/>
      <c r="I3727" s="3"/>
      <c r="J3727" s="3"/>
    </row>
    <row r="3728" spans="7:10" x14ac:dyDescent="0.35">
      <c r="G3728" s="3"/>
      <c r="H3728" s="3"/>
      <c r="I3728" s="3"/>
      <c r="J3728" s="3"/>
    </row>
    <row r="3729" spans="7:10" x14ac:dyDescent="0.35">
      <c r="G3729" s="3"/>
      <c r="H3729" s="3"/>
      <c r="I3729" s="3"/>
      <c r="J3729" s="3"/>
    </row>
    <row r="3730" spans="7:10" x14ac:dyDescent="0.35">
      <c r="G3730" s="3"/>
      <c r="H3730" s="3"/>
      <c r="I3730" s="3"/>
      <c r="J3730" s="3"/>
    </row>
    <row r="3731" spans="7:10" x14ac:dyDescent="0.35">
      <c r="G3731" s="3"/>
      <c r="H3731" s="3"/>
      <c r="I3731" s="3"/>
      <c r="J3731" s="3"/>
    </row>
    <row r="3732" spans="7:10" x14ac:dyDescent="0.35">
      <c r="G3732" s="3"/>
      <c r="H3732" s="3"/>
      <c r="I3732" s="3"/>
      <c r="J3732" s="3"/>
    </row>
    <row r="3733" spans="7:10" x14ac:dyDescent="0.35">
      <c r="G3733" s="3"/>
      <c r="H3733" s="3"/>
      <c r="I3733" s="3"/>
      <c r="J3733" s="3"/>
    </row>
    <row r="3734" spans="7:10" x14ac:dyDescent="0.35">
      <c r="G3734" s="3"/>
      <c r="H3734" s="3"/>
      <c r="I3734" s="3"/>
      <c r="J3734" s="3"/>
    </row>
    <row r="3735" spans="7:10" x14ac:dyDescent="0.35">
      <c r="G3735" s="3"/>
      <c r="H3735" s="3"/>
      <c r="I3735" s="3"/>
      <c r="J3735" s="3"/>
    </row>
    <row r="3736" spans="7:10" x14ac:dyDescent="0.35">
      <c r="G3736" s="3"/>
      <c r="H3736" s="3"/>
      <c r="I3736" s="3"/>
      <c r="J3736" s="3"/>
    </row>
    <row r="3737" spans="7:10" x14ac:dyDescent="0.35">
      <c r="G3737" s="3"/>
      <c r="H3737" s="3"/>
      <c r="I3737" s="3"/>
      <c r="J3737" s="3"/>
    </row>
    <row r="3738" spans="7:10" x14ac:dyDescent="0.35">
      <c r="G3738" s="3"/>
      <c r="H3738" s="3"/>
      <c r="I3738" s="3"/>
      <c r="J3738" s="3"/>
    </row>
    <row r="3739" spans="7:10" x14ac:dyDescent="0.35">
      <c r="G3739" s="3"/>
      <c r="H3739" s="3"/>
      <c r="I3739" s="3"/>
      <c r="J3739" s="3"/>
    </row>
    <row r="3740" spans="7:10" x14ac:dyDescent="0.35">
      <c r="G3740" s="3"/>
      <c r="H3740" s="3"/>
      <c r="I3740" s="3"/>
      <c r="J3740" s="3"/>
    </row>
    <row r="3741" spans="7:10" x14ac:dyDescent="0.35">
      <c r="G3741" s="3"/>
      <c r="H3741" s="3"/>
      <c r="I3741" s="3"/>
      <c r="J3741" s="3"/>
    </row>
    <row r="3742" spans="7:10" x14ac:dyDescent="0.35">
      <c r="G3742" s="3"/>
      <c r="H3742" s="3"/>
      <c r="I3742" s="3"/>
      <c r="J3742" s="3"/>
    </row>
    <row r="3743" spans="7:10" x14ac:dyDescent="0.35">
      <c r="G3743" s="3"/>
      <c r="H3743" s="3"/>
      <c r="I3743" s="3"/>
      <c r="J3743" s="3"/>
    </row>
    <row r="3744" spans="7:10" x14ac:dyDescent="0.35">
      <c r="G3744" s="3"/>
      <c r="H3744" s="3"/>
      <c r="I3744" s="3"/>
      <c r="J3744" s="3"/>
    </row>
    <row r="3745" spans="7:10" x14ac:dyDescent="0.35">
      <c r="G3745" s="3"/>
      <c r="H3745" s="3"/>
      <c r="I3745" s="3"/>
      <c r="J3745" s="3"/>
    </row>
    <row r="3746" spans="7:10" x14ac:dyDescent="0.35">
      <c r="G3746" s="3"/>
      <c r="H3746" s="3"/>
      <c r="I3746" s="3"/>
      <c r="J3746" s="3"/>
    </row>
    <row r="3747" spans="7:10" x14ac:dyDescent="0.35">
      <c r="G3747" s="3"/>
      <c r="H3747" s="3"/>
      <c r="I3747" s="3"/>
      <c r="J3747" s="3"/>
    </row>
    <row r="3748" spans="7:10" x14ac:dyDescent="0.35">
      <c r="G3748" s="3"/>
      <c r="H3748" s="3"/>
      <c r="I3748" s="3"/>
      <c r="J3748" s="3"/>
    </row>
    <row r="3749" spans="7:10" x14ac:dyDescent="0.35">
      <c r="G3749" s="3"/>
      <c r="H3749" s="3"/>
      <c r="I3749" s="3"/>
      <c r="J3749" s="3"/>
    </row>
    <row r="3750" spans="7:10" x14ac:dyDescent="0.35">
      <c r="G3750" s="3"/>
      <c r="H3750" s="3"/>
      <c r="I3750" s="3"/>
      <c r="J3750" s="3"/>
    </row>
    <row r="3751" spans="7:10" x14ac:dyDescent="0.35">
      <c r="G3751" s="3"/>
      <c r="H3751" s="3"/>
      <c r="I3751" s="3"/>
      <c r="J3751" s="3"/>
    </row>
    <row r="3752" spans="7:10" x14ac:dyDescent="0.35">
      <c r="G3752" s="3"/>
      <c r="H3752" s="3"/>
      <c r="I3752" s="3"/>
      <c r="J3752" s="3"/>
    </row>
    <row r="3753" spans="7:10" x14ac:dyDescent="0.35">
      <c r="G3753" s="3"/>
      <c r="H3753" s="3"/>
      <c r="I3753" s="3"/>
      <c r="J3753" s="3"/>
    </row>
    <row r="3754" spans="7:10" x14ac:dyDescent="0.35">
      <c r="G3754" s="3"/>
      <c r="H3754" s="3"/>
      <c r="I3754" s="3"/>
      <c r="J3754" s="3"/>
    </row>
    <row r="3755" spans="7:10" x14ac:dyDescent="0.35">
      <c r="G3755" s="3"/>
      <c r="H3755" s="3"/>
      <c r="I3755" s="3"/>
      <c r="J3755" s="3"/>
    </row>
    <row r="3756" spans="7:10" x14ac:dyDescent="0.35">
      <c r="G3756" s="3"/>
      <c r="H3756" s="3"/>
      <c r="I3756" s="3"/>
      <c r="J3756" s="3"/>
    </row>
    <row r="3757" spans="7:10" x14ac:dyDescent="0.35">
      <c r="G3757" s="3"/>
      <c r="H3757" s="3"/>
      <c r="I3757" s="3"/>
      <c r="J3757" s="3"/>
    </row>
    <row r="3758" spans="7:10" x14ac:dyDescent="0.35">
      <c r="G3758" s="3"/>
      <c r="H3758" s="3"/>
      <c r="I3758" s="3"/>
      <c r="J3758" s="3"/>
    </row>
    <row r="3759" spans="7:10" x14ac:dyDescent="0.35">
      <c r="G3759" s="3"/>
      <c r="H3759" s="3"/>
      <c r="I3759" s="3"/>
      <c r="J3759" s="3"/>
    </row>
    <row r="3760" spans="7:10" x14ac:dyDescent="0.35">
      <c r="G3760" s="3"/>
      <c r="H3760" s="3"/>
      <c r="I3760" s="3"/>
      <c r="J3760" s="3"/>
    </row>
    <row r="3761" spans="7:10" x14ac:dyDescent="0.35">
      <c r="G3761" s="3"/>
      <c r="H3761" s="3"/>
      <c r="I3761" s="3"/>
      <c r="J3761" s="3"/>
    </row>
    <row r="3762" spans="7:10" x14ac:dyDescent="0.35">
      <c r="G3762" s="3"/>
      <c r="H3762" s="3"/>
      <c r="I3762" s="3"/>
      <c r="J3762" s="3"/>
    </row>
    <row r="3763" spans="7:10" x14ac:dyDescent="0.35">
      <c r="G3763" s="3"/>
      <c r="H3763" s="3"/>
      <c r="I3763" s="3"/>
      <c r="J3763" s="3"/>
    </row>
    <row r="3764" spans="7:10" x14ac:dyDescent="0.35">
      <c r="G3764" s="3"/>
      <c r="H3764" s="3"/>
      <c r="I3764" s="3"/>
      <c r="J3764" s="3"/>
    </row>
    <row r="3765" spans="7:10" x14ac:dyDescent="0.35">
      <c r="G3765" s="3"/>
      <c r="H3765" s="3"/>
      <c r="I3765" s="3"/>
      <c r="J3765" s="3"/>
    </row>
    <row r="3766" spans="7:10" x14ac:dyDescent="0.35">
      <c r="G3766" s="3"/>
      <c r="H3766" s="3"/>
      <c r="I3766" s="3"/>
      <c r="J3766" s="3"/>
    </row>
    <row r="3767" spans="7:10" x14ac:dyDescent="0.35">
      <c r="G3767" s="3"/>
      <c r="H3767" s="3"/>
      <c r="I3767" s="3"/>
      <c r="J3767" s="3"/>
    </row>
    <row r="3768" spans="7:10" x14ac:dyDescent="0.35">
      <c r="G3768" s="3"/>
      <c r="H3768" s="3"/>
      <c r="I3768" s="3"/>
      <c r="J3768" s="3"/>
    </row>
    <row r="3769" spans="7:10" x14ac:dyDescent="0.35">
      <c r="G3769" s="3"/>
      <c r="H3769" s="3"/>
      <c r="I3769" s="3"/>
      <c r="J3769" s="3"/>
    </row>
    <row r="3770" spans="7:10" x14ac:dyDescent="0.35">
      <c r="G3770" s="3"/>
      <c r="H3770" s="3"/>
      <c r="I3770" s="3"/>
      <c r="J3770" s="3"/>
    </row>
    <row r="3771" spans="7:10" x14ac:dyDescent="0.35">
      <c r="G3771" s="3"/>
      <c r="H3771" s="3"/>
      <c r="I3771" s="3"/>
      <c r="J3771" s="3"/>
    </row>
    <row r="3772" spans="7:10" x14ac:dyDescent="0.35">
      <c r="G3772" s="3"/>
      <c r="H3772" s="3"/>
      <c r="I3772" s="3"/>
      <c r="J3772" s="3"/>
    </row>
    <row r="3773" spans="7:10" x14ac:dyDescent="0.35">
      <c r="G3773" s="3"/>
      <c r="H3773" s="3"/>
      <c r="I3773" s="3"/>
      <c r="J3773" s="3"/>
    </row>
    <row r="3774" spans="7:10" x14ac:dyDescent="0.35">
      <c r="G3774" s="3"/>
      <c r="H3774" s="3"/>
      <c r="I3774" s="3"/>
      <c r="J3774" s="3"/>
    </row>
    <row r="3775" spans="7:10" x14ac:dyDescent="0.35">
      <c r="G3775" s="3"/>
      <c r="H3775" s="3"/>
      <c r="I3775" s="3"/>
      <c r="J3775" s="3"/>
    </row>
    <row r="3776" spans="7:10" x14ac:dyDescent="0.35">
      <c r="G3776" s="3"/>
      <c r="H3776" s="3"/>
      <c r="I3776" s="3"/>
      <c r="J3776" s="3"/>
    </row>
    <row r="3777" spans="7:10" x14ac:dyDescent="0.35">
      <c r="G3777" s="3"/>
      <c r="H3777" s="3"/>
      <c r="I3777" s="3"/>
      <c r="J3777" s="3"/>
    </row>
    <row r="3778" spans="7:10" x14ac:dyDescent="0.35">
      <c r="G3778" s="3"/>
      <c r="H3778" s="3"/>
      <c r="I3778" s="3"/>
      <c r="J3778" s="3"/>
    </row>
    <row r="3779" spans="7:10" x14ac:dyDescent="0.35">
      <c r="G3779" s="3"/>
      <c r="H3779" s="3"/>
      <c r="I3779" s="3"/>
      <c r="J3779" s="3"/>
    </row>
    <row r="3780" spans="7:10" x14ac:dyDescent="0.35">
      <c r="G3780" s="3"/>
      <c r="H3780" s="3"/>
      <c r="I3780" s="3"/>
      <c r="J3780" s="3"/>
    </row>
    <row r="3781" spans="7:10" x14ac:dyDescent="0.35">
      <c r="G3781" s="3"/>
      <c r="H3781" s="3"/>
      <c r="I3781" s="3"/>
      <c r="J3781" s="3"/>
    </row>
    <row r="3782" spans="7:10" x14ac:dyDescent="0.35">
      <c r="G3782" s="3"/>
      <c r="H3782" s="3"/>
      <c r="I3782" s="3"/>
      <c r="J3782" s="3"/>
    </row>
    <row r="3783" spans="7:10" x14ac:dyDescent="0.35">
      <c r="G3783" s="3"/>
      <c r="H3783" s="3"/>
      <c r="I3783" s="3"/>
      <c r="J3783" s="3"/>
    </row>
    <row r="3784" spans="7:10" x14ac:dyDescent="0.35">
      <c r="G3784" s="3"/>
      <c r="H3784" s="3"/>
      <c r="I3784" s="3"/>
      <c r="J3784" s="3"/>
    </row>
    <row r="3785" spans="7:10" x14ac:dyDescent="0.35">
      <c r="G3785" s="3"/>
      <c r="H3785" s="3"/>
      <c r="I3785" s="3"/>
      <c r="J3785" s="3"/>
    </row>
    <row r="3786" spans="7:10" x14ac:dyDescent="0.35">
      <c r="G3786" s="3"/>
      <c r="H3786" s="3"/>
      <c r="I3786" s="3"/>
      <c r="J3786" s="3"/>
    </row>
    <row r="3787" spans="7:10" x14ac:dyDescent="0.35">
      <c r="G3787" s="3"/>
      <c r="H3787" s="3"/>
      <c r="I3787" s="3"/>
      <c r="J3787" s="3"/>
    </row>
    <row r="3788" spans="7:10" x14ac:dyDescent="0.35">
      <c r="G3788" s="3"/>
      <c r="H3788" s="3"/>
      <c r="I3788" s="3"/>
      <c r="J3788" s="3"/>
    </row>
    <row r="3789" spans="7:10" x14ac:dyDescent="0.35">
      <c r="G3789" s="3"/>
      <c r="H3789" s="3"/>
      <c r="I3789" s="3"/>
      <c r="J3789" s="3"/>
    </row>
    <row r="3790" spans="7:10" x14ac:dyDescent="0.35">
      <c r="G3790" s="3"/>
      <c r="H3790" s="3"/>
      <c r="I3790" s="3"/>
      <c r="J3790" s="3"/>
    </row>
    <row r="3791" spans="7:10" x14ac:dyDescent="0.35">
      <c r="G3791" s="3"/>
      <c r="H3791" s="3"/>
      <c r="I3791" s="3"/>
      <c r="J3791" s="3"/>
    </row>
    <row r="3792" spans="7:10" x14ac:dyDescent="0.35">
      <c r="G3792" s="3"/>
      <c r="H3792" s="3"/>
      <c r="I3792" s="3"/>
      <c r="J3792" s="3"/>
    </row>
    <row r="3793" spans="7:10" x14ac:dyDescent="0.35">
      <c r="G3793" s="3"/>
      <c r="H3793" s="3"/>
      <c r="I3793" s="3"/>
      <c r="J3793" s="3"/>
    </row>
    <row r="3794" spans="7:10" x14ac:dyDescent="0.35">
      <c r="G3794" s="3"/>
      <c r="H3794" s="3"/>
      <c r="I3794" s="3"/>
      <c r="J3794" s="3"/>
    </row>
    <row r="3795" spans="7:10" x14ac:dyDescent="0.35">
      <c r="G3795" s="3"/>
      <c r="H3795" s="3"/>
      <c r="I3795" s="3"/>
      <c r="J3795" s="3"/>
    </row>
    <row r="3796" spans="7:10" x14ac:dyDescent="0.35">
      <c r="G3796" s="3"/>
      <c r="H3796" s="3"/>
      <c r="I3796" s="3"/>
      <c r="J3796" s="3"/>
    </row>
    <row r="3797" spans="7:10" x14ac:dyDescent="0.35">
      <c r="G3797" s="3"/>
      <c r="H3797" s="3"/>
      <c r="I3797" s="3"/>
      <c r="J3797" s="3"/>
    </row>
    <row r="3798" spans="7:10" x14ac:dyDescent="0.35">
      <c r="G3798" s="3"/>
      <c r="H3798" s="3"/>
      <c r="I3798" s="3"/>
      <c r="J3798" s="3"/>
    </row>
    <row r="3799" spans="7:10" x14ac:dyDescent="0.35">
      <c r="G3799" s="3"/>
      <c r="H3799" s="3"/>
      <c r="I3799" s="3"/>
      <c r="J3799" s="3"/>
    </row>
    <row r="3800" spans="7:10" x14ac:dyDescent="0.35">
      <c r="G3800" s="3"/>
      <c r="H3800" s="3"/>
      <c r="I3800" s="3"/>
      <c r="J3800" s="3"/>
    </row>
    <row r="3801" spans="7:10" x14ac:dyDescent="0.35">
      <c r="G3801" s="3"/>
      <c r="H3801" s="3"/>
      <c r="I3801" s="3"/>
      <c r="J3801" s="3"/>
    </row>
    <row r="3802" spans="7:10" x14ac:dyDescent="0.35">
      <c r="G3802" s="3"/>
      <c r="H3802" s="3"/>
      <c r="I3802" s="3"/>
      <c r="J3802" s="3"/>
    </row>
    <row r="3803" spans="7:10" x14ac:dyDescent="0.35">
      <c r="G3803" s="3"/>
      <c r="H3803" s="3"/>
      <c r="I3803" s="3"/>
      <c r="J3803" s="3"/>
    </row>
    <row r="3804" spans="7:10" x14ac:dyDescent="0.35">
      <c r="G3804" s="3"/>
      <c r="H3804" s="3"/>
      <c r="I3804" s="3"/>
      <c r="J3804" s="3"/>
    </row>
    <row r="3805" spans="7:10" x14ac:dyDescent="0.35">
      <c r="G3805" s="3"/>
      <c r="H3805" s="3"/>
      <c r="I3805" s="3"/>
      <c r="J3805" s="3"/>
    </row>
    <row r="3806" spans="7:10" x14ac:dyDescent="0.35">
      <c r="G3806" s="3"/>
      <c r="H3806" s="3"/>
      <c r="I3806" s="3"/>
      <c r="J3806" s="3"/>
    </row>
    <row r="3807" spans="7:10" x14ac:dyDescent="0.35">
      <c r="G3807" s="3"/>
      <c r="H3807" s="3"/>
      <c r="I3807" s="3"/>
      <c r="J3807" s="3"/>
    </row>
    <row r="3808" spans="7:10" x14ac:dyDescent="0.35">
      <c r="G3808" s="3"/>
      <c r="H3808" s="3"/>
      <c r="I3808" s="3"/>
      <c r="J3808" s="3"/>
    </row>
    <row r="3809" spans="7:10" x14ac:dyDescent="0.35">
      <c r="G3809" s="3"/>
      <c r="H3809" s="3"/>
      <c r="I3809" s="3"/>
      <c r="J3809" s="3"/>
    </row>
    <row r="3810" spans="7:10" x14ac:dyDescent="0.35">
      <c r="G3810" s="3"/>
      <c r="H3810" s="3"/>
      <c r="I3810" s="3"/>
      <c r="J3810" s="3"/>
    </row>
    <row r="3811" spans="7:10" x14ac:dyDescent="0.35">
      <c r="G3811" s="3"/>
      <c r="H3811" s="3"/>
      <c r="I3811" s="3"/>
      <c r="J3811" s="3"/>
    </row>
    <row r="3812" spans="7:10" x14ac:dyDescent="0.35">
      <c r="G3812" s="3"/>
      <c r="H3812" s="3"/>
      <c r="I3812" s="3"/>
      <c r="J3812" s="3"/>
    </row>
    <row r="3813" spans="7:10" x14ac:dyDescent="0.35">
      <c r="G3813" s="3"/>
      <c r="H3813" s="3"/>
      <c r="I3813" s="3"/>
      <c r="J3813" s="3"/>
    </row>
    <row r="3814" spans="7:10" x14ac:dyDescent="0.35">
      <c r="G3814" s="3"/>
      <c r="H3814" s="3"/>
      <c r="I3814" s="3"/>
      <c r="J3814" s="3"/>
    </row>
    <row r="3815" spans="7:10" x14ac:dyDescent="0.35">
      <c r="G3815" s="3"/>
      <c r="H3815" s="3"/>
      <c r="I3815" s="3"/>
      <c r="J3815" s="3"/>
    </row>
    <row r="3816" spans="7:10" x14ac:dyDescent="0.35">
      <c r="G3816" s="3"/>
      <c r="H3816" s="3"/>
      <c r="I3816" s="3"/>
      <c r="J3816" s="3"/>
    </row>
    <row r="3817" spans="7:10" x14ac:dyDescent="0.35">
      <c r="G3817" s="3"/>
      <c r="H3817" s="3"/>
      <c r="I3817" s="3"/>
      <c r="J3817" s="3"/>
    </row>
    <row r="3818" spans="7:10" x14ac:dyDescent="0.35">
      <c r="G3818" s="3"/>
      <c r="H3818" s="3"/>
      <c r="I3818" s="3"/>
      <c r="J3818" s="3"/>
    </row>
    <row r="3819" spans="7:10" x14ac:dyDescent="0.35">
      <c r="G3819" s="3"/>
      <c r="H3819" s="3"/>
      <c r="I3819" s="3"/>
      <c r="J3819" s="3"/>
    </row>
    <row r="3820" spans="7:10" x14ac:dyDescent="0.35">
      <c r="G3820" s="3"/>
      <c r="H3820" s="3"/>
      <c r="I3820" s="3"/>
      <c r="J3820" s="3"/>
    </row>
    <row r="3821" spans="7:10" x14ac:dyDescent="0.35">
      <c r="G3821" s="3"/>
      <c r="H3821" s="3"/>
      <c r="I3821" s="3"/>
      <c r="J3821" s="3"/>
    </row>
    <row r="3822" spans="7:10" x14ac:dyDescent="0.35">
      <c r="G3822" s="3"/>
      <c r="H3822" s="3"/>
      <c r="I3822" s="3"/>
      <c r="J3822" s="3"/>
    </row>
    <row r="3823" spans="7:10" x14ac:dyDescent="0.35">
      <c r="G3823" s="3"/>
      <c r="H3823" s="3"/>
      <c r="I3823" s="3"/>
      <c r="J3823" s="3"/>
    </row>
    <row r="3824" spans="7:10" x14ac:dyDescent="0.35">
      <c r="G3824" s="3"/>
      <c r="H3824" s="3"/>
      <c r="I3824" s="3"/>
      <c r="J3824" s="3"/>
    </row>
    <row r="3825" spans="7:10" x14ac:dyDescent="0.35">
      <c r="G3825" s="3"/>
      <c r="H3825" s="3"/>
      <c r="I3825" s="3"/>
      <c r="J3825" s="3"/>
    </row>
    <row r="3826" spans="7:10" x14ac:dyDescent="0.35">
      <c r="G3826" s="3"/>
      <c r="H3826" s="3"/>
      <c r="I3826" s="3"/>
      <c r="J3826" s="3"/>
    </row>
    <row r="3827" spans="7:10" x14ac:dyDescent="0.35">
      <c r="G3827" s="3"/>
      <c r="H3827" s="3"/>
      <c r="I3827" s="3"/>
      <c r="J3827" s="3"/>
    </row>
    <row r="3828" spans="7:10" x14ac:dyDescent="0.35">
      <c r="G3828" s="3"/>
      <c r="H3828" s="3"/>
      <c r="I3828" s="3"/>
      <c r="J3828" s="3"/>
    </row>
    <row r="3829" spans="7:10" x14ac:dyDescent="0.35">
      <c r="G3829" s="3"/>
      <c r="H3829" s="3"/>
      <c r="I3829" s="3"/>
      <c r="J3829" s="3"/>
    </row>
    <row r="3830" spans="7:10" x14ac:dyDescent="0.35">
      <c r="G3830" s="3"/>
      <c r="H3830" s="3"/>
      <c r="I3830" s="3"/>
      <c r="J3830" s="3"/>
    </row>
    <row r="3831" spans="7:10" x14ac:dyDescent="0.35">
      <c r="G3831" s="3"/>
      <c r="H3831" s="3"/>
      <c r="I3831" s="3"/>
      <c r="J3831" s="3"/>
    </row>
    <row r="3832" spans="7:10" x14ac:dyDescent="0.35">
      <c r="G3832" s="3"/>
      <c r="H3832" s="3"/>
      <c r="I3832" s="3"/>
      <c r="J3832" s="3"/>
    </row>
    <row r="3833" spans="7:10" x14ac:dyDescent="0.35">
      <c r="G3833" s="3"/>
      <c r="H3833" s="3"/>
      <c r="I3833" s="3"/>
      <c r="J3833" s="3"/>
    </row>
    <row r="3834" spans="7:10" x14ac:dyDescent="0.35">
      <c r="G3834" s="3"/>
      <c r="H3834" s="3"/>
      <c r="I3834" s="3"/>
      <c r="J3834" s="3"/>
    </row>
    <row r="3835" spans="7:10" x14ac:dyDescent="0.35">
      <c r="G3835" s="3"/>
      <c r="H3835" s="3"/>
      <c r="I3835" s="3"/>
      <c r="J3835" s="3"/>
    </row>
    <row r="3836" spans="7:10" x14ac:dyDescent="0.35">
      <c r="G3836" s="3"/>
      <c r="H3836" s="3"/>
      <c r="I3836" s="3"/>
      <c r="J3836" s="3"/>
    </row>
    <row r="3837" spans="7:10" x14ac:dyDescent="0.35">
      <c r="G3837" s="3"/>
      <c r="H3837" s="3"/>
      <c r="I3837" s="3"/>
      <c r="J3837" s="3"/>
    </row>
    <row r="3838" spans="7:10" x14ac:dyDescent="0.35">
      <c r="G3838" s="3"/>
      <c r="H3838" s="3"/>
      <c r="I3838" s="3"/>
      <c r="J3838" s="3"/>
    </row>
    <row r="3839" spans="7:10" x14ac:dyDescent="0.35">
      <c r="G3839" s="3"/>
      <c r="H3839" s="3"/>
      <c r="I3839" s="3"/>
      <c r="J3839" s="3"/>
    </row>
    <row r="3840" spans="7:10" x14ac:dyDescent="0.35">
      <c r="G3840" s="3"/>
      <c r="H3840" s="3"/>
      <c r="I3840" s="3"/>
      <c r="J3840" s="3"/>
    </row>
    <row r="3841" spans="7:10" x14ac:dyDescent="0.35">
      <c r="G3841" s="3"/>
      <c r="H3841" s="3"/>
      <c r="I3841" s="3"/>
      <c r="J3841" s="3"/>
    </row>
    <row r="3842" spans="7:10" x14ac:dyDescent="0.35">
      <c r="G3842" s="3"/>
      <c r="H3842" s="3"/>
      <c r="I3842" s="3"/>
      <c r="J3842" s="3"/>
    </row>
    <row r="3843" spans="7:10" x14ac:dyDescent="0.35">
      <c r="G3843" s="3"/>
      <c r="H3843" s="3"/>
      <c r="I3843" s="3"/>
      <c r="J3843" s="3"/>
    </row>
    <row r="3844" spans="7:10" x14ac:dyDescent="0.35">
      <c r="G3844" s="3"/>
      <c r="H3844" s="3"/>
      <c r="I3844" s="3"/>
      <c r="J3844" s="3"/>
    </row>
    <row r="3845" spans="7:10" x14ac:dyDescent="0.35">
      <c r="G3845" s="3"/>
      <c r="H3845" s="3"/>
      <c r="I3845" s="3"/>
      <c r="J3845" s="3"/>
    </row>
    <row r="3846" spans="7:10" x14ac:dyDescent="0.35">
      <c r="G3846" s="3"/>
      <c r="H3846" s="3"/>
      <c r="I3846" s="3"/>
      <c r="J3846" s="3"/>
    </row>
    <row r="3847" spans="7:10" x14ac:dyDescent="0.35">
      <c r="G3847" s="3"/>
      <c r="H3847" s="3"/>
      <c r="I3847" s="3"/>
      <c r="J3847" s="3"/>
    </row>
    <row r="3848" spans="7:10" x14ac:dyDescent="0.35">
      <c r="G3848" s="3"/>
      <c r="H3848" s="3"/>
      <c r="I3848" s="3"/>
      <c r="J3848" s="3"/>
    </row>
    <row r="3849" spans="7:10" x14ac:dyDescent="0.35">
      <c r="G3849" s="3"/>
      <c r="H3849" s="3"/>
      <c r="I3849" s="3"/>
      <c r="J3849" s="3"/>
    </row>
    <row r="3850" spans="7:10" x14ac:dyDescent="0.35">
      <c r="G3850" s="3"/>
      <c r="H3850" s="3"/>
      <c r="I3850" s="3"/>
      <c r="J3850" s="3"/>
    </row>
    <row r="3851" spans="7:10" x14ac:dyDescent="0.35">
      <c r="G3851" s="3"/>
      <c r="H3851" s="3"/>
      <c r="I3851" s="3"/>
      <c r="J3851" s="3"/>
    </row>
    <row r="3852" spans="7:10" x14ac:dyDescent="0.35">
      <c r="G3852" s="3"/>
      <c r="H3852" s="3"/>
      <c r="I3852" s="3"/>
      <c r="J3852" s="3"/>
    </row>
    <row r="3853" spans="7:10" x14ac:dyDescent="0.35">
      <c r="G3853" s="3"/>
      <c r="H3853" s="3"/>
      <c r="I3853" s="3"/>
      <c r="J3853" s="3"/>
    </row>
    <row r="3854" spans="7:10" x14ac:dyDescent="0.35">
      <c r="G3854" s="3"/>
      <c r="H3854" s="3"/>
      <c r="I3854" s="3"/>
      <c r="J3854" s="3"/>
    </row>
    <row r="3855" spans="7:10" x14ac:dyDescent="0.35">
      <c r="G3855" s="3"/>
      <c r="H3855" s="3"/>
      <c r="I3855" s="3"/>
      <c r="J3855" s="3"/>
    </row>
    <row r="3856" spans="7:10" x14ac:dyDescent="0.35">
      <c r="G3856" s="3"/>
      <c r="H3856" s="3"/>
      <c r="I3856" s="3"/>
      <c r="J3856" s="3"/>
    </row>
    <row r="3857" spans="7:10" x14ac:dyDescent="0.35">
      <c r="G3857" s="3"/>
      <c r="H3857" s="3"/>
      <c r="I3857" s="3"/>
      <c r="J3857" s="3"/>
    </row>
    <row r="3858" spans="7:10" x14ac:dyDescent="0.35">
      <c r="G3858" s="3"/>
      <c r="H3858" s="3"/>
      <c r="I3858" s="3"/>
      <c r="J3858" s="3"/>
    </row>
    <row r="3859" spans="7:10" x14ac:dyDescent="0.35">
      <c r="G3859" s="3"/>
      <c r="H3859" s="3"/>
      <c r="I3859" s="3"/>
      <c r="J3859" s="3"/>
    </row>
    <row r="3860" spans="7:10" x14ac:dyDescent="0.35">
      <c r="G3860" s="3"/>
      <c r="H3860" s="3"/>
      <c r="I3860" s="3"/>
      <c r="J3860" s="3"/>
    </row>
    <row r="3861" spans="7:10" x14ac:dyDescent="0.35">
      <c r="G3861" s="3"/>
      <c r="H3861" s="3"/>
      <c r="I3861" s="3"/>
      <c r="J3861" s="3"/>
    </row>
    <row r="3862" spans="7:10" x14ac:dyDescent="0.35">
      <c r="G3862" s="3"/>
      <c r="H3862" s="3"/>
      <c r="I3862" s="3"/>
      <c r="J3862" s="3"/>
    </row>
    <row r="3863" spans="7:10" x14ac:dyDescent="0.35">
      <c r="G3863" s="3"/>
      <c r="H3863" s="3"/>
      <c r="I3863" s="3"/>
      <c r="J3863" s="3"/>
    </row>
    <row r="3864" spans="7:10" x14ac:dyDescent="0.35">
      <c r="G3864" s="3"/>
      <c r="H3864" s="3"/>
      <c r="I3864" s="3"/>
      <c r="J3864" s="3"/>
    </row>
    <row r="3865" spans="7:10" x14ac:dyDescent="0.35">
      <c r="G3865" s="3"/>
      <c r="H3865" s="3"/>
      <c r="I3865" s="3"/>
      <c r="J3865" s="3"/>
    </row>
    <row r="3866" spans="7:10" x14ac:dyDescent="0.35">
      <c r="G3866" s="3"/>
      <c r="H3866" s="3"/>
      <c r="I3866" s="3"/>
      <c r="J3866" s="3"/>
    </row>
    <row r="3867" spans="7:10" x14ac:dyDescent="0.35">
      <c r="G3867" s="3"/>
      <c r="H3867" s="3"/>
      <c r="I3867" s="3"/>
      <c r="J3867" s="3"/>
    </row>
    <row r="3868" spans="7:10" x14ac:dyDescent="0.35">
      <c r="G3868" s="3"/>
      <c r="H3868" s="3"/>
      <c r="I3868" s="3"/>
      <c r="J3868" s="3"/>
    </row>
    <row r="3869" spans="7:10" x14ac:dyDescent="0.35">
      <c r="G3869" s="3"/>
      <c r="H3869" s="3"/>
      <c r="I3869" s="3"/>
      <c r="J3869" s="3"/>
    </row>
    <row r="3870" spans="7:10" x14ac:dyDescent="0.35">
      <c r="G3870" s="3"/>
      <c r="H3870" s="3"/>
      <c r="I3870" s="3"/>
      <c r="J3870" s="3"/>
    </row>
    <row r="3871" spans="7:10" x14ac:dyDescent="0.35">
      <c r="G3871" s="3"/>
      <c r="H3871" s="3"/>
      <c r="I3871" s="3"/>
      <c r="J3871" s="3"/>
    </row>
    <row r="3872" spans="7:10" x14ac:dyDescent="0.35">
      <c r="G3872" s="3"/>
      <c r="H3872" s="3"/>
      <c r="I3872" s="3"/>
      <c r="J3872" s="3"/>
    </row>
    <row r="3873" spans="7:10" x14ac:dyDescent="0.35">
      <c r="G3873" s="3"/>
      <c r="H3873" s="3"/>
      <c r="I3873" s="3"/>
      <c r="J3873" s="3"/>
    </row>
    <row r="3874" spans="7:10" x14ac:dyDescent="0.35">
      <c r="G3874" s="3"/>
      <c r="H3874" s="3"/>
      <c r="I3874" s="3"/>
      <c r="J3874" s="3"/>
    </row>
    <row r="3875" spans="7:10" x14ac:dyDescent="0.35">
      <c r="G3875" s="3"/>
      <c r="H3875" s="3"/>
      <c r="I3875" s="3"/>
      <c r="J3875" s="3"/>
    </row>
    <row r="3876" spans="7:10" x14ac:dyDescent="0.35">
      <c r="G3876" s="3"/>
      <c r="H3876" s="3"/>
      <c r="I3876" s="3"/>
      <c r="J3876" s="3"/>
    </row>
    <row r="3877" spans="7:10" x14ac:dyDescent="0.35">
      <c r="G3877" s="3"/>
      <c r="H3877" s="3"/>
      <c r="I3877" s="3"/>
      <c r="J3877" s="3"/>
    </row>
    <row r="3878" spans="7:10" x14ac:dyDescent="0.35">
      <c r="G3878" s="3"/>
      <c r="H3878" s="3"/>
      <c r="I3878" s="3"/>
      <c r="J3878" s="3"/>
    </row>
    <row r="3879" spans="7:10" x14ac:dyDescent="0.35">
      <c r="G3879" s="3"/>
      <c r="H3879" s="3"/>
      <c r="I3879" s="3"/>
      <c r="J3879" s="3"/>
    </row>
    <row r="3880" spans="7:10" x14ac:dyDescent="0.35">
      <c r="G3880" s="3"/>
      <c r="H3880" s="3"/>
      <c r="I3880" s="3"/>
      <c r="J3880" s="3"/>
    </row>
    <row r="3881" spans="7:10" x14ac:dyDescent="0.35">
      <c r="G3881" s="3"/>
      <c r="H3881" s="3"/>
      <c r="I3881" s="3"/>
      <c r="J3881" s="3"/>
    </row>
    <row r="3882" spans="7:10" x14ac:dyDescent="0.35">
      <c r="G3882" s="3"/>
      <c r="H3882" s="3"/>
      <c r="I3882" s="3"/>
      <c r="J3882" s="3"/>
    </row>
    <row r="3883" spans="7:10" x14ac:dyDescent="0.35">
      <c r="G3883" s="3"/>
      <c r="H3883" s="3"/>
      <c r="I3883" s="3"/>
      <c r="J3883" s="3"/>
    </row>
    <row r="3884" spans="7:10" x14ac:dyDescent="0.35">
      <c r="G3884" s="3"/>
      <c r="H3884" s="3"/>
      <c r="I3884" s="3"/>
      <c r="J3884" s="3"/>
    </row>
    <row r="3885" spans="7:10" x14ac:dyDescent="0.35">
      <c r="G3885" s="3"/>
      <c r="H3885" s="3"/>
      <c r="I3885" s="3"/>
      <c r="J3885" s="3"/>
    </row>
    <row r="3886" spans="7:10" x14ac:dyDescent="0.35">
      <c r="G3886" s="3"/>
      <c r="H3886" s="3"/>
      <c r="I3886" s="3"/>
      <c r="J3886" s="3"/>
    </row>
    <row r="3887" spans="7:10" x14ac:dyDescent="0.35">
      <c r="G3887" s="3"/>
      <c r="H3887" s="3"/>
      <c r="I3887" s="3"/>
      <c r="J3887" s="3"/>
    </row>
    <row r="3888" spans="7:10" x14ac:dyDescent="0.35">
      <c r="G3888" s="3"/>
      <c r="H3888" s="3"/>
      <c r="I3888" s="3"/>
      <c r="J3888" s="3"/>
    </row>
    <row r="3889" spans="7:10" x14ac:dyDescent="0.35">
      <c r="G3889" s="3"/>
      <c r="H3889" s="3"/>
      <c r="I3889" s="3"/>
      <c r="J3889" s="3"/>
    </row>
    <row r="3890" spans="7:10" x14ac:dyDescent="0.35">
      <c r="G3890" s="3"/>
      <c r="H3890" s="3"/>
      <c r="I3890" s="3"/>
      <c r="J3890" s="3"/>
    </row>
    <row r="3891" spans="7:10" x14ac:dyDescent="0.35">
      <c r="G3891" s="3"/>
      <c r="H3891" s="3"/>
      <c r="I3891" s="3"/>
      <c r="J3891" s="3"/>
    </row>
    <row r="3892" spans="7:10" x14ac:dyDescent="0.35">
      <c r="G3892" s="3"/>
      <c r="H3892" s="3"/>
      <c r="I3892" s="3"/>
      <c r="J3892" s="3"/>
    </row>
    <row r="3893" spans="7:10" x14ac:dyDescent="0.35">
      <c r="G3893" s="3"/>
      <c r="H3893" s="3"/>
      <c r="I3893" s="3"/>
      <c r="J3893" s="3"/>
    </row>
    <row r="3894" spans="7:10" x14ac:dyDescent="0.35">
      <c r="G3894" s="3"/>
      <c r="H3894" s="3"/>
      <c r="I3894" s="3"/>
      <c r="J3894" s="3"/>
    </row>
    <row r="3895" spans="7:10" x14ac:dyDescent="0.35">
      <c r="G3895" s="3"/>
      <c r="H3895" s="3"/>
      <c r="I3895" s="3"/>
      <c r="J3895" s="3"/>
    </row>
    <row r="3896" spans="7:10" x14ac:dyDescent="0.35">
      <c r="G3896" s="3"/>
      <c r="H3896" s="3"/>
      <c r="I3896" s="3"/>
      <c r="J3896" s="3"/>
    </row>
    <row r="3897" spans="7:10" x14ac:dyDescent="0.35">
      <c r="G3897" s="3"/>
      <c r="H3897" s="3"/>
      <c r="I3897" s="3"/>
      <c r="J3897" s="3"/>
    </row>
    <row r="3898" spans="7:10" x14ac:dyDescent="0.35">
      <c r="G3898" s="3"/>
      <c r="H3898" s="3"/>
      <c r="I3898" s="3"/>
      <c r="J3898" s="3"/>
    </row>
    <row r="3899" spans="7:10" x14ac:dyDescent="0.35">
      <c r="G3899" s="3"/>
      <c r="H3899" s="3"/>
      <c r="I3899" s="3"/>
      <c r="J3899" s="3"/>
    </row>
    <row r="3900" spans="7:10" x14ac:dyDescent="0.35">
      <c r="G3900" s="3"/>
      <c r="H3900" s="3"/>
      <c r="I3900" s="3"/>
      <c r="J3900" s="3"/>
    </row>
    <row r="3901" spans="7:10" x14ac:dyDescent="0.35">
      <c r="G3901" s="3"/>
      <c r="H3901" s="3"/>
      <c r="I3901" s="3"/>
      <c r="J3901" s="3"/>
    </row>
    <row r="3902" spans="7:10" x14ac:dyDescent="0.35">
      <c r="G3902" s="3"/>
      <c r="H3902" s="3"/>
      <c r="I3902" s="3"/>
      <c r="J3902" s="3"/>
    </row>
    <row r="3903" spans="7:10" x14ac:dyDescent="0.35">
      <c r="G3903" s="3"/>
      <c r="H3903" s="3"/>
      <c r="I3903" s="3"/>
      <c r="J3903" s="3"/>
    </row>
    <row r="3904" spans="7:10" x14ac:dyDescent="0.35">
      <c r="G3904" s="3"/>
      <c r="H3904" s="3"/>
      <c r="I3904" s="3"/>
      <c r="J3904" s="3"/>
    </row>
    <row r="3905" spans="7:10" x14ac:dyDescent="0.35">
      <c r="G3905" s="3"/>
      <c r="H3905" s="3"/>
      <c r="I3905" s="3"/>
      <c r="J3905" s="3"/>
    </row>
    <row r="3906" spans="7:10" x14ac:dyDescent="0.35">
      <c r="G3906" s="3"/>
      <c r="H3906" s="3"/>
      <c r="I3906" s="3"/>
      <c r="J3906" s="3"/>
    </row>
    <row r="3907" spans="7:10" x14ac:dyDescent="0.35">
      <c r="G3907" s="3"/>
      <c r="H3907" s="3"/>
      <c r="I3907" s="3"/>
      <c r="J3907" s="3"/>
    </row>
    <row r="3908" spans="7:10" x14ac:dyDescent="0.35">
      <c r="G3908" s="3"/>
      <c r="H3908" s="3"/>
      <c r="I3908" s="3"/>
      <c r="J3908" s="3"/>
    </row>
    <row r="3909" spans="7:10" x14ac:dyDescent="0.35">
      <c r="G3909" s="3"/>
      <c r="H3909" s="3"/>
      <c r="I3909" s="3"/>
      <c r="J3909" s="3"/>
    </row>
    <row r="3910" spans="7:10" x14ac:dyDescent="0.35">
      <c r="G3910" s="3"/>
      <c r="H3910" s="3"/>
      <c r="I3910" s="3"/>
      <c r="J3910" s="3"/>
    </row>
    <row r="3911" spans="7:10" x14ac:dyDescent="0.35">
      <c r="G3911" s="3"/>
      <c r="H3911" s="3"/>
      <c r="I3911" s="3"/>
      <c r="J3911" s="3"/>
    </row>
    <row r="3912" spans="7:10" x14ac:dyDescent="0.35">
      <c r="G3912" s="3"/>
      <c r="H3912" s="3"/>
      <c r="I3912" s="3"/>
      <c r="J3912" s="3"/>
    </row>
    <row r="3913" spans="7:10" x14ac:dyDescent="0.35">
      <c r="G3913" s="3"/>
      <c r="H3913" s="3"/>
      <c r="I3913" s="3"/>
      <c r="J3913" s="3"/>
    </row>
    <row r="3914" spans="7:10" x14ac:dyDescent="0.35">
      <c r="G3914" s="3"/>
      <c r="H3914" s="3"/>
      <c r="I3914" s="3"/>
      <c r="J3914" s="3"/>
    </row>
    <row r="3915" spans="7:10" x14ac:dyDescent="0.35">
      <c r="G3915" s="3"/>
      <c r="H3915" s="3"/>
      <c r="I3915" s="3"/>
      <c r="J3915" s="3"/>
    </row>
    <row r="3916" spans="7:10" x14ac:dyDescent="0.35">
      <c r="G3916" s="3"/>
      <c r="H3916" s="3"/>
      <c r="I3916" s="3"/>
      <c r="J3916" s="3"/>
    </row>
    <row r="3917" spans="7:10" x14ac:dyDescent="0.35">
      <c r="G3917" s="3"/>
      <c r="H3917" s="3"/>
      <c r="I3917" s="3"/>
      <c r="J3917" s="3"/>
    </row>
    <row r="3918" spans="7:10" x14ac:dyDescent="0.35">
      <c r="G3918" s="3"/>
      <c r="H3918" s="3"/>
      <c r="I3918" s="3"/>
      <c r="J3918" s="3"/>
    </row>
    <row r="3919" spans="7:10" x14ac:dyDescent="0.35">
      <c r="G3919" s="3"/>
      <c r="H3919" s="3"/>
      <c r="I3919" s="3"/>
      <c r="J3919" s="3"/>
    </row>
    <row r="3920" spans="7:10" x14ac:dyDescent="0.35">
      <c r="G3920" s="3"/>
      <c r="H3920" s="3"/>
      <c r="I3920" s="3"/>
      <c r="J3920" s="3"/>
    </row>
    <row r="3921" spans="7:10" x14ac:dyDescent="0.35">
      <c r="G3921" s="3"/>
      <c r="H3921" s="3"/>
      <c r="I3921" s="3"/>
      <c r="J3921" s="3"/>
    </row>
    <row r="3922" spans="7:10" x14ac:dyDescent="0.35">
      <c r="G3922" s="3"/>
      <c r="H3922" s="3"/>
      <c r="I3922" s="3"/>
      <c r="J3922" s="3"/>
    </row>
    <row r="3923" spans="7:10" x14ac:dyDescent="0.35">
      <c r="G3923" s="3"/>
      <c r="H3923" s="3"/>
      <c r="I3923" s="3"/>
      <c r="J3923" s="3"/>
    </row>
    <row r="3924" spans="7:10" x14ac:dyDescent="0.35">
      <c r="G3924" s="3"/>
      <c r="H3924" s="3"/>
      <c r="I3924" s="3"/>
      <c r="J3924" s="3"/>
    </row>
    <row r="3925" spans="7:10" x14ac:dyDescent="0.35">
      <c r="G3925" s="3"/>
      <c r="H3925" s="3"/>
      <c r="I3925" s="3"/>
      <c r="J3925" s="3"/>
    </row>
    <row r="3926" spans="7:10" x14ac:dyDescent="0.35">
      <c r="G3926" s="3"/>
      <c r="H3926" s="3"/>
      <c r="I3926" s="3"/>
      <c r="J3926" s="3"/>
    </row>
    <row r="3927" spans="7:10" x14ac:dyDescent="0.35">
      <c r="G3927" s="3"/>
      <c r="H3927" s="3"/>
      <c r="I3927" s="3"/>
      <c r="J3927" s="3"/>
    </row>
    <row r="3928" spans="7:10" x14ac:dyDescent="0.35">
      <c r="G3928" s="3"/>
      <c r="H3928" s="3"/>
      <c r="I3928" s="3"/>
      <c r="J3928" s="3"/>
    </row>
    <row r="3929" spans="7:10" x14ac:dyDescent="0.35">
      <c r="G3929" s="3"/>
      <c r="H3929" s="3"/>
      <c r="I3929" s="3"/>
      <c r="J3929" s="3"/>
    </row>
    <row r="3930" spans="7:10" x14ac:dyDescent="0.35">
      <c r="G3930" s="3"/>
      <c r="H3930" s="3"/>
      <c r="I3930" s="3"/>
      <c r="J3930" s="3"/>
    </row>
    <row r="3931" spans="7:10" x14ac:dyDescent="0.35">
      <c r="G3931" s="3"/>
      <c r="H3931" s="3"/>
      <c r="I3931" s="3"/>
      <c r="J3931" s="3"/>
    </row>
    <row r="3932" spans="7:10" x14ac:dyDescent="0.35">
      <c r="G3932" s="3"/>
      <c r="H3932" s="3"/>
      <c r="I3932" s="3"/>
      <c r="J3932" s="3"/>
    </row>
    <row r="3933" spans="7:10" x14ac:dyDescent="0.35">
      <c r="G3933" s="3"/>
      <c r="H3933" s="3"/>
      <c r="I3933" s="3"/>
      <c r="J3933" s="3"/>
    </row>
    <row r="3934" spans="7:10" x14ac:dyDescent="0.35">
      <c r="G3934" s="3"/>
      <c r="H3934" s="3"/>
      <c r="I3934" s="3"/>
      <c r="J3934" s="3"/>
    </row>
    <row r="3935" spans="7:10" x14ac:dyDescent="0.35">
      <c r="G3935" s="3"/>
      <c r="H3935" s="3"/>
      <c r="I3935" s="3"/>
      <c r="J3935" s="3"/>
    </row>
    <row r="3936" spans="7:10" x14ac:dyDescent="0.35">
      <c r="G3936" s="3"/>
      <c r="H3936" s="3"/>
      <c r="I3936" s="3"/>
      <c r="J3936" s="3"/>
    </row>
    <row r="3937" spans="7:10" x14ac:dyDescent="0.35">
      <c r="G3937" s="3"/>
      <c r="H3937" s="3"/>
      <c r="I3937" s="3"/>
      <c r="J3937" s="3"/>
    </row>
    <row r="3938" spans="7:10" x14ac:dyDescent="0.35">
      <c r="G3938" s="3"/>
      <c r="H3938" s="3"/>
      <c r="I3938" s="3"/>
      <c r="J3938" s="3"/>
    </row>
    <row r="3939" spans="7:10" x14ac:dyDescent="0.35">
      <c r="G3939" s="3"/>
      <c r="H3939" s="3"/>
      <c r="I3939" s="3"/>
      <c r="J3939" s="3"/>
    </row>
    <row r="3940" spans="7:10" x14ac:dyDescent="0.35">
      <c r="G3940" s="3"/>
      <c r="H3940" s="3"/>
      <c r="I3940" s="3"/>
      <c r="J3940" s="3"/>
    </row>
    <row r="3941" spans="7:10" x14ac:dyDescent="0.35">
      <c r="G3941" s="3"/>
      <c r="H3941" s="3"/>
      <c r="I3941" s="3"/>
      <c r="J3941" s="3"/>
    </row>
    <row r="3942" spans="7:10" x14ac:dyDescent="0.35">
      <c r="G3942" s="3"/>
      <c r="H3942" s="3"/>
      <c r="I3942" s="3"/>
      <c r="J3942" s="3"/>
    </row>
    <row r="3943" spans="7:10" x14ac:dyDescent="0.35">
      <c r="G3943" s="3"/>
      <c r="H3943" s="3"/>
      <c r="I3943" s="3"/>
      <c r="J3943" s="3"/>
    </row>
    <row r="3944" spans="7:10" x14ac:dyDescent="0.35">
      <c r="G3944" s="3"/>
      <c r="H3944" s="3"/>
      <c r="I3944" s="3"/>
      <c r="J3944" s="3"/>
    </row>
    <row r="3945" spans="7:10" x14ac:dyDescent="0.35">
      <c r="G3945" s="3"/>
      <c r="H3945" s="3"/>
      <c r="I3945" s="3"/>
      <c r="J3945" s="3"/>
    </row>
    <row r="3946" spans="7:10" x14ac:dyDescent="0.35">
      <c r="G3946" s="3"/>
      <c r="H3946" s="3"/>
      <c r="I3946" s="3"/>
      <c r="J3946" s="3"/>
    </row>
    <row r="3947" spans="7:10" x14ac:dyDescent="0.35">
      <c r="G3947" s="3"/>
      <c r="H3947" s="3"/>
      <c r="I3947" s="3"/>
      <c r="J3947" s="3"/>
    </row>
    <row r="3948" spans="7:10" x14ac:dyDescent="0.35">
      <c r="G3948" s="3"/>
      <c r="H3948" s="3"/>
      <c r="I3948" s="3"/>
      <c r="J3948" s="3"/>
    </row>
    <row r="3949" spans="7:10" x14ac:dyDescent="0.35">
      <c r="G3949" s="3"/>
      <c r="H3949" s="3"/>
      <c r="I3949" s="3"/>
      <c r="J3949" s="3"/>
    </row>
    <row r="3950" spans="7:10" x14ac:dyDescent="0.35">
      <c r="G3950" s="3"/>
      <c r="H3950" s="3"/>
      <c r="I3950" s="3"/>
      <c r="J3950" s="3"/>
    </row>
    <row r="3951" spans="7:10" x14ac:dyDescent="0.35">
      <c r="G3951" s="3"/>
      <c r="H3951" s="3"/>
      <c r="I3951" s="3"/>
      <c r="J3951" s="3"/>
    </row>
    <row r="3952" spans="7:10" x14ac:dyDescent="0.35">
      <c r="G3952" s="3"/>
      <c r="H3952" s="3"/>
      <c r="I3952" s="3"/>
      <c r="J3952" s="3"/>
    </row>
    <row r="3953" spans="7:10" x14ac:dyDescent="0.35">
      <c r="G3953" s="3"/>
      <c r="H3953" s="3"/>
      <c r="I3953" s="3"/>
      <c r="J3953" s="3"/>
    </row>
    <row r="3954" spans="7:10" x14ac:dyDescent="0.35">
      <c r="G3954" s="3"/>
      <c r="H3954" s="3"/>
      <c r="I3954" s="3"/>
      <c r="J3954" s="3"/>
    </row>
    <row r="3955" spans="7:10" x14ac:dyDescent="0.35">
      <c r="G3955" s="3"/>
      <c r="H3955" s="3"/>
      <c r="I3955" s="3"/>
      <c r="J3955" s="3"/>
    </row>
    <row r="3956" spans="7:10" x14ac:dyDescent="0.35">
      <c r="G3956" s="3"/>
      <c r="H3956" s="3"/>
      <c r="I3956" s="3"/>
      <c r="J3956" s="3"/>
    </row>
    <row r="3957" spans="7:10" x14ac:dyDescent="0.35">
      <c r="G3957" s="3"/>
      <c r="H3957" s="3"/>
      <c r="I3957" s="3"/>
      <c r="J3957" s="3"/>
    </row>
    <row r="3958" spans="7:10" x14ac:dyDescent="0.35">
      <c r="G3958" s="3"/>
      <c r="H3958" s="3"/>
      <c r="I3958" s="3"/>
      <c r="J3958" s="3"/>
    </row>
    <row r="3959" spans="7:10" x14ac:dyDescent="0.35">
      <c r="G3959" s="3"/>
      <c r="H3959" s="3"/>
      <c r="I3959" s="3"/>
      <c r="J3959" s="3"/>
    </row>
    <row r="3960" spans="7:10" x14ac:dyDescent="0.35">
      <c r="G3960" s="3"/>
      <c r="H3960" s="3"/>
      <c r="I3960" s="3"/>
      <c r="J3960" s="3"/>
    </row>
    <row r="3961" spans="7:10" x14ac:dyDescent="0.35">
      <c r="G3961" s="3"/>
      <c r="H3961" s="3"/>
      <c r="I3961" s="3"/>
      <c r="J3961" s="3"/>
    </row>
    <row r="3962" spans="7:10" x14ac:dyDescent="0.35">
      <c r="G3962" s="3"/>
      <c r="H3962" s="3"/>
      <c r="I3962" s="3"/>
      <c r="J3962" s="3"/>
    </row>
    <row r="3963" spans="7:10" x14ac:dyDescent="0.35">
      <c r="G3963" s="3"/>
      <c r="H3963" s="3"/>
      <c r="I3963" s="3"/>
      <c r="J3963" s="3"/>
    </row>
    <row r="3964" spans="7:10" x14ac:dyDescent="0.35">
      <c r="G3964" s="3"/>
      <c r="H3964" s="3"/>
      <c r="I3964" s="3"/>
      <c r="J3964" s="3"/>
    </row>
    <row r="3965" spans="7:10" x14ac:dyDescent="0.35">
      <c r="G3965" s="3"/>
      <c r="H3965" s="3"/>
      <c r="I3965" s="3"/>
      <c r="J3965" s="3"/>
    </row>
    <row r="3966" spans="7:10" x14ac:dyDescent="0.35">
      <c r="G3966" s="3"/>
      <c r="H3966" s="3"/>
      <c r="I3966" s="3"/>
      <c r="J3966" s="3"/>
    </row>
    <row r="3967" spans="7:10" x14ac:dyDescent="0.35">
      <c r="G3967" s="3"/>
      <c r="H3967" s="3"/>
      <c r="I3967" s="3"/>
      <c r="J3967" s="3"/>
    </row>
    <row r="3968" spans="7:10" x14ac:dyDescent="0.35">
      <c r="G3968" s="3"/>
      <c r="H3968" s="3"/>
      <c r="I3968" s="3"/>
      <c r="J3968" s="3"/>
    </row>
    <row r="3969" spans="7:10" x14ac:dyDescent="0.35">
      <c r="G3969" s="3"/>
      <c r="H3969" s="3"/>
      <c r="I3969" s="3"/>
      <c r="J3969" s="3"/>
    </row>
    <row r="3970" spans="7:10" x14ac:dyDescent="0.35">
      <c r="G3970" s="3"/>
      <c r="H3970" s="3"/>
      <c r="I3970" s="3"/>
      <c r="J3970" s="3"/>
    </row>
    <row r="3971" spans="7:10" x14ac:dyDescent="0.35">
      <c r="G3971" s="3"/>
      <c r="H3971" s="3"/>
      <c r="I3971" s="3"/>
      <c r="J3971" s="3"/>
    </row>
    <row r="3972" spans="7:10" x14ac:dyDescent="0.35">
      <c r="G3972" s="3"/>
      <c r="H3972" s="3"/>
      <c r="I3972" s="3"/>
      <c r="J3972" s="3"/>
    </row>
    <row r="3973" spans="7:10" x14ac:dyDescent="0.35">
      <c r="G3973" s="3"/>
      <c r="H3973" s="3"/>
      <c r="I3973" s="3"/>
      <c r="J3973" s="3"/>
    </row>
    <row r="3974" spans="7:10" x14ac:dyDescent="0.35">
      <c r="G3974" s="3"/>
      <c r="H3974" s="3"/>
      <c r="I3974" s="3"/>
      <c r="J3974" s="3"/>
    </row>
    <row r="3975" spans="7:10" x14ac:dyDescent="0.35">
      <c r="G3975" s="3"/>
      <c r="H3975" s="3"/>
      <c r="I3975" s="3"/>
      <c r="J3975" s="3"/>
    </row>
    <row r="3976" spans="7:10" x14ac:dyDescent="0.35">
      <c r="G3976" s="3"/>
      <c r="H3976" s="3"/>
      <c r="I3976" s="3"/>
      <c r="J3976" s="3"/>
    </row>
    <row r="3977" spans="7:10" x14ac:dyDescent="0.35">
      <c r="G3977" s="3"/>
      <c r="H3977" s="3"/>
      <c r="I3977" s="3"/>
      <c r="J3977" s="3"/>
    </row>
    <row r="3978" spans="7:10" x14ac:dyDescent="0.35">
      <c r="G3978" s="3"/>
      <c r="H3978" s="3"/>
      <c r="I3978" s="3"/>
      <c r="J3978" s="3"/>
    </row>
    <row r="3979" spans="7:10" x14ac:dyDescent="0.35">
      <c r="G3979" s="3"/>
      <c r="H3979" s="3"/>
      <c r="I3979" s="3"/>
      <c r="J3979" s="3"/>
    </row>
    <row r="3980" spans="7:10" x14ac:dyDescent="0.35">
      <c r="G3980" s="3"/>
      <c r="H3980" s="3"/>
      <c r="I3980" s="3"/>
      <c r="J3980" s="3"/>
    </row>
    <row r="3981" spans="7:10" x14ac:dyDescent="0.35">
      <c r="G3981" s="3"/>
      <c r="H3981" s="3"/>
      <c r="I3981" s="3"/>
      <c r="J3981" s="3"/>
    </row>
    <row r="3982" spans="7:10" x14ac:dyDescent="0.35">
      <c r="G3982" s="3"/>
      <c r="H3982" s="3"/>
      <c r="I3982" s="3"/>
      <c r="J3982" s="3"/>
    </row>
    <row r="3983" spans="7:10" x14ac:dyDescent="0.35">
      <c r="G3983" s="3"/>
      <c r="H3983" s="3"/>
      <c r="I3983" s="3"/>
      <c r="J3983" s="3"/>
    </row>
    <row r="3984" spans="7:10" x14ac:dyDescent="0.35">
      <c r="G3984" s="3"/>
      <c r="H3984" s="3"/>
      <c r="I3984" s="3"/>
      <c r="J3984" s="3"/>
    </row>
    <row r="3985" spans="7:10" x14ac:dyDescent="0.35">
      <c r="G3985" s="3"/>
      <c r="H3985" s="3"/>
      <c r="I3985" s="3"/>
      <c r="J3985" s="3"/>
    </row>
    <row r="3986" spans="7:10" x14ac:dyDescent="0.35">
      <c r="G3986" s="3"/>
      <c r="H3986" s="3"/>
      <c r="I3986" s="3"/>
      <c r="J3986" s="3"/>
    </row>
    <row r="3987" spans="7:10" x14ac:dyDescent="0.35">
      <c r="G3987" s="3"/>
      <c r="H3987" s="3"/>
      <c r="I3987" s="3"/>
      <c r="J3987" s="3"/>
    </row>
    <row r="3988" spans="7:10" x14ac:dyDescent="0.35">
      <c r="G3988" s="3"/>
      <c r="H3988" s="3"/>
      <c r="I3988" s="3"/>
      <c r="J3988" s="3"/>
    </row>
    <row r="3989" spans="7:10" x14ac:dyDescent="0.35">
      <c r="G3989" s="3"/>
      <c r="H3989" s="3"/>
      <c r="I3989" s="3"/>
      <c r="J3989" s="3"/>
    </row>
    <row r="3990" spans="7:10" x14ac:dyDescent="0.35">
      <c r="G3990" s="3"/>
      <c r="H3990" s="3"/>
      <c r="I3990" s="3"/>
      <c r="J3990" s="3"/>
    </row>
    <row r="3991" spans="7:10" x14ac:dyDescent="0.35">
      <c r="G3991" s="3"/>
      <c r="H3991" s="3"/>
      <c r="I3991" s="3"/>
      <c r="J3991" s="3"/>
    </row>
    <row r="3992" spans="7:10" x14ac:dyDescent="0.35">
      <c r="G3992" s="3"/>
      <c r="H3992" s="3"/>
      <c r="I3992" s="3"/>
      <c r="J3992" s="3"/>
    </row>
    <row r="3993" spans="7:10" x14ac:dyDescent="0.35">
      <c r="G3993" s="3"/>
      <c r="H3993" s="3"/>
      <c r="I3993" s="3"/>
      <c r="J3993" s="3"/>
    </row>
    <row r="3994" spans="7:10" x14ac:dyDescent="0.35">
      <c r="G3994" s="3"/>
      <c r="H3994" s="3"/>
      <c r="I3994" s="3"/>
      <c r="J3994" s="3"/>
    </row>
    <row r="3995" spans="7:10" x14ac:dyDescent="0.35">
      <c r="G3995" s="3"/>
      <c r="H3995" s="3"/>
      <c r="I3995" s="3"/>
      <c r="J3995" s="3"/>
    </row>
    <row r="3996" spans="7:10" x14ac:dyDescent="0.35">
      <c r="G3996" s="3"/>
      <c r="H3996" s="3"/>
      <c r="I3996" s="3"/>
      <c r="J3996" s="3"/>
    </row>
    <row r="3997" spans="7:10" x14ac:dyDescent="0.35">
      <c r="G3997" s="3"/>
      <c r="H3997" s="3"/>
      <c r="I3997" s="3"/>
      <c r="J3997" s="3"/>
    </row>
    <row r="3998" spans="7:10" x14ac:dyDescent="0.35">
      <c r="G3998" s="3"/>
      <c r="H3998" s="3"/>
      <c r="I3998" s="3"/>
      <c r="J3998" s="3"/>
    </row>
    <row r="3999" spans="7:10" x14ac:dyDescent="0.35">
      <c r="G3999" s="3"/>
      <c r="H3999" s="3"/>
      <c r="I3999" s="3"/>
      <c r="J3999" s="3"/>
    </row>
    <row r="4000" spans="7:10" x14ac:dyDescent="0.35">
      <c r="G4000" s="3"/>
      <c r="H4000" s="3"/>
      <c r="I4000" s="3"/>
      <c r="J4000" s="3"/>
    </row>
    <row r="4001" spans="7:10" x14ac:dyDescent="0.35">
      <c r="G4001" s="3"/>
      <c r="H4001" s="3"/>
      <c r="I4001" s="3"/>
      <c r="J4001" s="3"/>
    </row>
    <row r="4002" spans="7:10" x14ac:dyDescent="0.35">
      <c r="G4002" s="3"/>
      <c r="H4002" s="3"/>
      <c r="I4002" s="3"/>
      <c r="J4002" s="3"/>
    </row>
    <row r="4003" spans="7:10" x14ac:dyDescent="0.35">
      <c r="G4003" s="3"/>
      <c r="H4003" s="3"/>
      <c r="I4003" s="3"/>
      <c r="J4003" s="3"/>
    </row>
    <row r="4004" spans="7:10" x14ac:dyDescent="0.35">
      <c r="G4004" s="3"/>
      <c r="H4004" s="3"/>
      <c r="I4004" s="3"/>
      <c r="J4004" s="3"/>
    </row>
    <row r="4005" spans="7:10" x14ac:dyDescent="0.35">
      <c r="G4005" s="3"/>
      <c r="H4005" s="3"/>
      <c r="I4005" s="3"/>
      <c r="J4005" s="3"/>
    </row>
    <row r="4006" spans="7:10" x14ac:dyDescent="0.35">
      <c r="H4006" s="3"/>
      <c r="I4006" s="3"/>
    </row>
    <row r="4007" spans="7:10" x14ac:dyDescent="0.35">
      <c r="H4007" s="3"/>
      <c r="I4007" s="3"/>
    </row>
    <row r="4008" spans="7:10" x14ac:dyDescent="0.35">
      <c r="H4008" s="3"/>
      <c r="I4008" s="3"/>
    </row>
    <row r="4009" spans="7:10" x14ac:dyDescent="0.35">
      <c r="H4009" s="3"/>
      <c r="I4009" s="3"/>
    </row>
    <row r="4010" spans="7:10" x14ac:dyDescent="0.35">
      <c r="H4010" s="3"/>
      <c r="I4010" s="3"/>
    </row>
    <row r="4011" spans="7:10" x14ac:dyDescent="0.35">
      <c r="H4011" s="3"/>
      <c r="I4011" s="3"/>
    </row>
    <row r="4012" spans="7:10" x14ac:dyDescent="0.35">
      <c r="H4012" s="3"/>
      <c r="I4012" s="3"/>
    </row>
    <row r="4013" spans="7:10" x14ac:dyDescent="0.35">
      <c r="H4013" s="3"/>
      <c r="I4013" s="3"/>
    </row>
    <row r="4014" spans="7:10" x14ac:dyDescent="0.35">
      <c r="H4014" s="3"/>
      <c r="I4014" s="3"/>
    </row>
    <row r="4015" spans="7:10" x14ac:dyDescent="0.35">
      <c r="H4015" s="3"/>
      <c r="I4015" s="3"/>
    </row>
    <row r="4016" spans="7:10" x14ac:dyDescent="0.35">
      <c r="H4016" s="3"/>
      <c r="I4016" s="3"/>
    </row>
    <row r="4017" spans="8:9" x14ac:dyDescent="0.35">
      <c r="H4017" s="3"/>
      <c r="I4017" s="3"/>
    </row>
    <row r="4018" spans="8:9" x14ac:dyDescent="0.35">
      <c r="H4018" s="3"/>
      <c r="I4018" s="3"/>
    </row>
    <row r="4019" spans="8:9" x14ac:dyDescent="0.35">
      <c r="H4019" s="3"/>
      <c r="I4019" s="3"/>
    </row>
    <row r="4020" spans="8:9" x14ac:dyDescent="0.35">
      <c r="H4020" s="3"/>
      <c r="I4020" s="3"/>
    </row>
    <row r="4021" spans="8:9" x14ac:dyDescent="0.35">
      <c r="H4021" s="3"/>
      <c r="I4021" s="3"/>
    </row>
    <row r="4022" spans="8:9" x14ac:dyDescent="0.35">
      <c r="H4022" s="3"/>
      <c r="I4022" s="3"/>
    </row>
  </sheetData>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69601-67CA-48D3-B1E0-4473927097A8}">
  <sheetPr codeName="Sheet7">
    <tabColor rgb="FF9467BD"/>
  </sheetPr>
  <dimension ref="A1:AS202"/>
  <sheetViews>
    <sheetView topLeftCell="D1" zoomScaleNormal="100" workbookViewId="0">
      <selection activeCell="F3" sqref="F3"/>
    </sheetView>
  </sheetViews>
  <sheetFormatPr defaultColWidth="0" defaultRowHeight="14" zeroHeight="1" x14ac:dyDescent="0.3"/>
  <cols>
    <col min="1" max="1" width="24.7265625" style="45" customWidth="1"/>
    <col min="2" max="5" width="16.7265625" style="45" customWidth="1"/>
    <col min="6" max="6" width="16.7265625" style="126" customWidth="1"/>
    <col min="7" max="10" width="16.7265625" style="45" customWidth="1"/>
    <col min="11" max="11" width="16.7265625" style="126" customWidth="1"/>
    <col min="12" max="14" width="16.7265625" style="45" customWidth="1"/>
    <col min="15" max="15" width="16.7265625" style="49" customWidth="1"/>
    <col min="16" max="45" width="16.7265625" style="45" customWidth="1"/>
    <col min="46" max="16384" width="16.7265625" style="45" hidden="1"/>
  </cols>
  <sheetData>
    <row r="1" spans="1:45" ht="30" customHeight="1" x14ac:dyDescent="0.3">
      <c r="A1" s="40" t="s">
        <v>819</v>
      </c>
      <c r="B1" s="41"/>
      <c r="C1" s="41"/>
      <c r="D1" s="41"/>
      <c r="E1" s="41"/>
      <c r="F1" s="41"/>
      <c r="G1" s="41"/>
      <c r="H1" s="41"/>
      <c r="I1" s="41"/>
      <c r="J1" s="41"/>
      <c r="K1" s="41"/>
      <c r="L1" s="41"/>
      <c r="M1" s="41"/>
      <c r="N1" s="41"/>
      <c r="O1" s="42"/>
      <c r="P1" s="43" t="s">
        <v>785</v>
      </c>
      <c r="Q1" s="44"/>
      <c r="R1" s="44"/>
      <c r="S1" s="44"/>
      <c r="T1" s="44"/>
      <c r="U1" s="44"/>
      <c r="V1" s="44"/>
      <c r="W1" s="44"/>
      <c r="X1" s="44"/>
      <c r="Y1" s="44"/>
      <c r="Z1" s="44"/>
      <c r="AA1" s="44"/>
      <c r="AB1" s="44"/>
      <c r="AC1" s="44"/>
      <c r="AD1" s="44"/>
      <c r="AE1" s="44"/>
      <c r="AF1" s="44"/>
      <c r="AG1" s="44"/>
      <c r="AH1" s="44"/>
      <c r="AI1" s="44"/>
      <c r="AJ1" s="44"/>
      <c r="AK1" s="44"/>
      <c r="AL1" s="44"/>
      <c r="AM1" s="44"/>
      <c r="AN1" s="44"/>
      <c r="AO1" s="44"/>
      <c r="AP1" s="44"/>
      <c r="AQ1" s="44"/>
      <c r="AR1" s="44"/>
      <c r="AS1" s="44"/>
    </row>
    <row r="2" spans="1:45" ht="30" customHeight="1" x14ac:dyDescent="0.3">
      <c r="A2" s="99" t="s">
        <v>0</v>
      </c>
      <c r="B2" s="100" t="s">
        <v>1</v>
      </c>
      <c r="C2" s="100" t="s">
        <v>24</v>
      </c>
      <c r="D2" s="100" t="s">
        <v>798</v>
      </c>
      <c r="E2" s="99" t="s">
        <v>479</v>
      </c>
      <c r="F2" s="99" t="s">
        <v>537</v>
      </c>
      <c r="G2" s="99" t="s">
        <v>18</v>
      </c>
      <c r="H2" s="99" t="s">
        <v>9</v>
      </c>
      <c r="I2" s="100" t="s">
        <v>5</v>
      </c>
      <c r="J2" s="100" t="s">
        <v>818</v>
      </c>
      <c r="K2" s="99" t="s">
        <v>799</v>
      </c>
      <c r="L2" s="100" t="s">
        <v>480</v>
      </c>
      <c r="M2" s="100" t="s">
        <v>481</v>
      </c>
      <c r="N2" s="100" t="s">
        <v>482</v>
      </c>
      <c r="O2" s="101" t="s">
        <v>8</v>
      </c>
      <c r="P2" s="102" t="str">
        <f>"Charge "&amp;QUOTIENT(COLUMN()-14,2)&amp;" Name"</f>
        <v>Charge 1 Name</v>
      </c>
      <c r="Q2" s="103" t="str">
        <f>"Charge "&amp;QUOTIENT(COLUMN()-14,2)&amp;" Type"</f>
        <v>Charge 1 Type</v>
      </c>
      <c r="R2" s="102" t="str">
        <f>"Charge "&amp;QUOTIENT(COLUMN()-14,2)&amp;" Name"</f>
        <v>Charge 2 Name</v>
      </c>
      <c r="S2" s="103" t="str">
        <f>"Charge "&amp;QUOTIENT(COLUMN()-14,2)&amp;" Type"</f>
        <v>Charge 2 Type</v>
      </c>
      <c r="T2" s="102" t="str">
        <f>"Charge "&amp;QUOTIENT(COLUMN()-14,2)&amp;" Name"</f>
        <v>Charge 3 Name</v>
      </c>
      <c r="U2" s="103" t="str">
        <f>"Charge "&amp;QUOTIENT(COLUMN()-14,2)&amp;" Type"</f>
        <v>Charge 3 Type</v>
      </c>
      <c r="V2" s="102" t="str">
        <f>"Charge "&amp;QUOTIENT(COLUMN()-14,2)&amp;" Name"</f>
        <v>Charge 4 Name</v>
      </c>
      <c r="W2" s="103" t="str">
        <f>"Charge "&amp;QUOTIENT(COLUMN()-14,2)&amp;" Type"</f>
        <v>Charge 4 Type</v>
      </c>
      <c r="X2" s="102" t="str">
        <f>"Charge "&amp;QUOTIENT(COLUMN()-14,2)&amp;" Name"</f>
        <v>Charge 5 Name</v>
      </c>
      <c r="Y2" s="103" t="str">
        <f>"Charge "&amp;QUOTIENT(COLUMN()-14,2)&amp;" Type"</f>
        <v>Charge 5 Type</v>
      </c>
      <c r="Z2" s="102" t="str">
        <f>"Charge "&amp;QUOTIENT(COLUMN()-14,2)&amp;" Name"</f>
        <v>Charge 6 Name</v>
      </c>
      <c r="AA2" s="103" t="str">
        <f>"Charge "&amp;QUOTIENT(COLUMN()-14,2)&amp;" Type"</f>
        <v>Charge 6 Type</v>
      </c>
      <c r="AB2" s="102" t="str">
        <f>"Charge "&amp;QUOTIENT(COLUMN()-14,2)&amp;" Name"</f>
        <v>Charge 7 Name</v>
      </c>
      <c r="AC2" s="103" t="str">
        <f>"Charge "&amp;QUOTIENT(COLUMN()-14,2)&amp;" Type"</f>
        <v>Charge 7 Type</v>
      </c>
      <c r="AD2" s="102" t="str">
        <f>"Charge "&amp;QUOTIENT(COLUMN()-14,2)&amp;" Name"</f>
        <v>Charge 8 Name</v>
      </c>
      <c r="AE2" s="103" t="str">
        <f>"Charge "&amp;QUOTIENT(COLUMN()-14,2)&amp;" Type"</f>
        <v>Charge 8 Type</v>
      </c>
      <c r="AF2" s="102" t="str">
        <f>"Charge "&amp;QUOTIENT(COLUMN()-14,2)&amp;" Name"</f>
        <v>Charge 9 Name</v>
      </c>
      <c r="AG2" s="103" t="str">
        <f>"Charge "&amp;QUOTIENT(COLUMN()-14,2)&amp;" Type"</f>
        <v>Charge 9 Type</v>
      </c>
      <c r="AH2" s="102" t="str">
        <f>"Charge "&amp;QUOTIENT(COLUMN()-14,2)&amp;" Name"</f>
        <v>Charge 10 Name</v>
      </c>
      <c r="AI2" s="103" t="str">
        <f>"Charge "&amp;QUOTIENT(COLUMN()-14,2)&amp;" Type"</f>
        <v>Charge 10 Type</v>
      </c>
      <c r="AJ2" s="102" t="str">
        <f>"Charge "&amp;QUOTIENT(COLUMN()-14,2)&amp;" Name"</f>
        <v>Charge 11 Name</v>
      </c>
      <c r="AK2" s="103" t="str">
        <f>"Charge "&amp;QUOTIENT(COLUMN()-14,2)&amp;" Type"</f>
        <v>Charge 11 Type</v>
      </c>
      <c r="AL2" s="102" t="str">
        <f>"Charge "&amp;QUOTIENT(COLUMN()-14,2)&amp;" Name"</f>
        <v>Charge 12 Name</v>
      </c>
      <c r="AM2" s="103" t="str">
        <f>"Charge "&amp;QUOTIENT(COLUMN()-14,2)&amp;" Type"</f>
        <v>Charge 12 Type</v>
      </c>
      <c r="AN2" s="102" t="str">
        <f>"Charge "&amp;QUOTIENT(COLUMN()-14,2)&amp;" Name"</f>
        <v>Charge 13 Name</v>
      </c>
      <c r="AO2" s="103" t="str">
        <f>"Charge "&amp;QUOTIENT(COLUMN()-14,2)&amp;" Type"</f>
        <v>Charge 13 Type</v>
      </c>
      <c r="AP2" s="102" t="str">
        <f>"Charge "&amp;QUOTIENT(COLUMN()-14,2)&amp;" Name"</f>
        <v>Charge 14 Name</v>
      </c>
      <c r="AQ2" s="103" t="str">
        <f>"Charge "&amp;QUOTIENT(COLUMN()-14,2)&amp;" Type"</f>
        <v>Charge 14 Type</v>
      </c>
      <c r="AR2" s="102" t="str">
        <f>"Charge "&amp;QUOTIENT(COLUMN()-14,2)&amp;" Name"</f>
        <v>Charge 15 Name</v>
      </c>
      <c r="AS2" s="103" t="str">
        <f>"Charge "&amp;QUOTIENT(COLUMN()-14,2)&amp;" Type"</f>
        <v>Charge 15 Type</v>
      </c>
    </row>
    <row r="3" spans="1:45" x14ac:dyDescent="0.3">
      <c r="A3" s="126"/>
      <c r="B3" s="127"/>
      <c r="C3" s="127"/>
      <c r="D3" s="127"/>
      <c r="E3" s="126"/>
      <c r="G3" s="126"/>
      <c r="H3" s="126"/>
      <c r="I3" s="135"/>
      <c r="J3" s="127"/>
      <c r="L3" s="127"/>
      <c r="M3" s="127"/>
      <c r="N3" s="127"/>
      <c r="O3" s="137"/>
      <c r="P3" s="130"/>
      <c r="Q3" s="131"/>
      <c r="R3" s="130"/>
      <c r="S3" s="131"/>
      <c r="T3" s="130"/>
      <c r="U3" s="131"/>
      <c r="V3" s="130"/>
      <c r="W3" s="131"/>
      <c r="X3" s="130"/>
      <c r="Y3" s="131"/>
      <c r="Z3" s="130"/>
      <c r="AA3" s="131"/>
      <c r="AB3" s="130"/>
      <c r="AC3" s="131"/>
      <c r="AD3" s="130"/>
      <c r="AE3" s="131"/>
      <c r="AF3" s="130"/>
      <c r="AG3" s="131"/>
      <c r="AH3" s="130"/>
      <c r="AI3" s="131"/>
      <c r="AJ3" s="130"/>
      <c r="AK3" s="131"/>
      <c r="AL3" s="130"/>
      <c r="AM3" s="131"/>
      <c r="AN3" s="130"/>
      <c r="AO3" s="131"/>
      <c r="AP3" s="130"/>
      <c r="AQ3" s="131"/>
      <c r="AR3" s="130"/>
      <c r="AS3" s="131"/>
    </row>
    <row r="4" spans="1:45" x14ac:dyDescent="0.3">
      <c r="A4" s="126"/>
      <c r="B4" s="127"/>
      <c r="C4" s="127"/>
      <c r="D4" s="127"/>
      <c r="E4" s="126"/>
      <c r="G4" s="126"/>
      <c r="H4" s="126"/>
      <c r="I4" s="135"/>
      <c r="J4" s="127"/>
      <c r="L4" s="127"/>
      <c r="M4" s="127"/>
      <c r="N4" s="127"/>
      <c r="O4" s="137"/>
      <c r="P4" s="130"/>
      <c r="Q4" s="131"/>
      <c r="R4" s="130"/>
      <c r="S4" s="131"/>
      <c r="T4" s="130"/>
      <c r="U4" s="131"/>
      <c r="V4" s="130"/>
      <c r="W4" s="131"/>
      <c r="X4" s="130"/>
      <c r="Y4" s="131"/>
      <c r="Z4" s="130"/>
      <c r="AA4" s="131"/>
      <c r="AB4" s="130"/>
      <c r="AC4" s="131"/>
      <c r="AD4" s="130"/>
      <c r="AE4" s="131"/>
      <c r="AF4" s="130"/>
      <c r="AG4" s="131"/>
      <c r="AH4" s="130"/>
      <c r="AI4" s="131"/>
      <c r="AJ4" s="130"/>
      <c r="AK4" s="131"/>
      <c r="AL4" s="130"/>
      <c r="AM4" s="131"/>
      <c r="AN4" s="130"/>
      <c r="AO4" s="131"/>
      <c r="AP4" s="130"/>
      <c r="AQ4" s="131"/>
      <c r="AR4" s="130"/>
      <c r="AS4" s="131"/>
    </row>
    <row r="5" spans="1:45" x14ac:dyDescent="0.3">
      <c r="A5" s="126"/>
      <c r="B5" s="127"/>
      <c r="C5" s="127"/>
      <c r="D5" s="127"/>
      <c r="E5" s="126"/>
      <c r="G5" s="126"/>
      <c r="H5" s="126"/>
      <c r="I5" s="135"/>
      <c r="J5" s="127"/>
      <c r="L5" s="127"/>
      <c r="M5" s="127"/>
      <c r="N5" s="127"/>
      <c r="O5" s="137"/>
      <c r="P5" s="130"/>
      <c r="Q5" s="131"/>
      <c r="R5" s="130"/>
      <c r="S5" s="131"/>
      <c r="T5" s="130"/>
      <c r="U5" s="131"/>
      <c r="V5" s="130"/>
      <c r="W5" s="131"/>
      <c r="X5" s="130"/>
      <c r="Y5" s="131"/>
      <c r="Z5" s="130"/>
      <c r="AA5" s="131"/>
      <c r="AB5" s="130"/>
      <c r="AC5" s="131"/>
      <c r="AD5" s="130"/>
      <c r="AE5" s="131"/>
      <c r="AF5" s="130"/>
      <c r="AG5" s="131"/>
      <c r="AH5" s="130"/>
      <c r="AI5" s="131"/>
      <c r="AJ5" s="130"/>
      <c r="AK5" s="131"/>
      <c r="AL5" s="130"/>
      <c r="AM5" s="131"/>
      <c r="AN5" s="130"/>
      <c r="AO5" s="131"/>
      <c r="AP5" s="130"/>
      <c r="AQ5" s="131"/>
      <c r="AR5" s="130"/>
      <c r="AS5" s="131"/>
    </row>
    <row r="6" spans="1:45" x14ac:dyDescent="0.3">
      <c r="A6" s="126"/>
      <c r="B6" s="127"/>
      <c r="C6" s="127"/>
      <c r="D6" s="127"/>
      <c r="E6" s="126"/>
      <c r="G6" s="126"/>
      <c r="H6" s="126"/>
      <c r="I6" s="135"/>
      <c r="J6" s="127"/>
      <c r="L6" s="127"/>
      <c r="M6" s="127"/>
      <c r="N6" s="127"/>
      <c r="O6" s="137"/>
      <c r="P6" s="130"/>
      <c r="Q6" s="131"/>
      <c r="R6" s="130"/>
      <c r="S6" s="131"/>
      <c r="T6" s="130"/>
      <c r="U6" s="131"/>
      <c r="V6" s="130"/>
      <c r="W6" s="131"/>
      <c r="X6" s="130"/>
      <c r="Y6" s="131"/>
      <c r="Z6" s="130"/>
      <c r="AA6" s="131"/>
      <c r="AB6" s="130"/>
      <c r="AC6" s="131"/>
      <c r="AD6" s="130"/>
      <c r="AE6" s="131"/>
      <c r="AF6" s="130"/>
      <c r="AG6" s="131"/>
      <c r="AH6" s="130"/>
      <c r="AI6" s="131"/>
      <c r="AJ6" s="130"/>
      <c r="AK6" s="131"/>
      <c r="AL6" s="130"/>
      <c r="AM6" s="131"/>
      <c r="AN6" s="130"/>
      <c r="AO6" s="131"/>
      <c r="AP6" s="130"/>
      <c r="AQ6" s="131"/>
      <c r="AR6" s="130"/>
      <c r="AS6" s="131"/>
    </row>
    <row r="7" spans="1:45" x14ac:dyDescent="0.3">
      <c r="A7" s="126"/>
      <c r="B7" s="127"/>
      <c r="C7" s="127"/>
      <c r="D7" s="127"/>
      <c r="E7" s="126"/>
      <c r="G7" s="126"/>
      <c r="H7" s="126"/>
      <c r="I7" s="135"/>
      <c r="J7" s="127"/>
      <c r="L7" s="127"/>
      <c r="M7" s="127"/>
      <c r="N7" s="127"/>
      <c r="O7" s="137"/>
      <c r="P7" s="130"/>
      <c r="Q7" s="131"/>
      <c r="R7" s="130"/>
      <c r="S7" s="131"/>
      <c r="T7" s="130"/>
      <c r="U7" s="131"/>
      <c r="V7" s="130"/>
      <c r="W7" s="131"/>
      <c r="X7" s="130"/>
      <c r="Y7" s="131"/>
      <c r="Z7" s="130"/>
      <c r="AA7" s="131"/>
      <c r="AB7" s="130"/>
      <c r="AC7" s="131"/>
      <c r="AD7" s="130"/>
      <c r="AE7" s="131"/>
      <c r="AF7" s="130"/>
      <c r="AG7" s="131"/>
      <c r="AH7" s="130"/>
      <c r="AI7" s="131"/>
      <c r="AJ7" s="130"/>
      <c r="AK7" s="131"/>
      <c r="AL7" s="130"/>
      <c r="AM7" s="131"/>
      <c r="AN7" s="130"/>
      <c r="AO7" s="131"/>
      <c r="AP7" s="130"/>
      <c r="AQ7" s="131"/>
      <c r="AR7" s="130"/>
      <c r="AS7" s="131"/>
    </row>
    <row r="8" spans="1:45" x14ac:dyDescent="0.3">
      <c r="A8" s="126"/>
      <c r="B8" s="127"/>
      <c r="C8" s="127"/>
      <c r="D8" s="127"/>
      <c r="E8" s="126"/>
      <c r="G8" s="126"/>
      <c r="H8" s="126"/>
      <c r="I8" s="135"/>
      <c r="J8" s="127"/>
      <c r="L8" s="127"/>
      <c r="M8" s="127"/>
      <c r="N8" s="127"/>
      <c r="O8" s="137"/>
      <c r="P8" s="130"/>
      <c r="Q8" s="131"/>
      <c r="R8" s="130"/>
      <c r="S8" s="131"/>
      <c r="T8" s="130"/>
      <c r="U8" s="131"/>
      <c r="V8" s="130"/>
      <c r="W8" s="131"/>
      <c r="X8" s="130"/>
      <c r="Y8" s="131"/>
      <c r="Z8" s="130"/>
      <c r="AA8" s="131"/>
      <c r="AB8" s="130"/>
      <c r="AC8" s="131"/>
      <c r="AD8" s="130"/>
      <c r="AE8" s="131"/>
      <c r="AF8" s="130"/>
      <c r="AG8" s="131"/>
      <c r="AH8" s="130"/>
      <c r="AI8" s="131"/>
      <c r="AJ8" s="130"/>
      <c r="AK8" s="131"/>
      <c r="AL8" s="130"/>
      <c r="AM8" s="131"/>
      <c r="AN8" s="130"/>
      <c r="AO8" s="131"/>
      <c r="AP8" s="130"/>
      <c r="AQ8" s="131"/>
      <c r="AR8" s="130"/>
      <c r="AS8" s="131"/>
    </row>
    <row r="9" spans="1:45" x14ac:dyDescent="0.3">
      <c r="A9" s="126"/>
      <c r="B9" s="127"/>
      <c r="C9" s="127"/>
      <c r="D9" s="127"/>
      <c r="E9" s="126"/>
      <c r="G9" s="126"/>
      <c r="H9" s="126"/>
      <c r="I9" s="135"/>
      <c r="J9" s="127"/>
      <c r="L9" s="127"/>
      <c r="M9" s="127"/>
      <c r="N9" s="127"/>
      <c r="O9" s="137"/>
      <c r="P9" s="130"/>
      <c r="Q9" s="131"/>
      <c r="R9" s="130"/>
      <c r="S9" s="131"/>
      <c r="T9" s="130"/>
      <c r="U9" s="131"/>
      <c r="V9" s="130"/>
      <c r="W9" s="131"/>
      <c r="X9" s="130"/>
      <c r="Y9" s="131"/>
      <c r="Z9" s="130"/>
      <c r="AA9" s="131"/>
      <c r="AB9" s="130"/>
      <c r="AC9" s="131"/>
      <c r="AD9" s="130"/>
      <c r="AE9" s="131"/>
      <c r="AF9" s="130"/>
      <c r="AG9" s="131"/>
      <c r="AH9" s="130"/>
      <c r="AI9" s="131"/>
      <c r="AJ9" s="130"/>
      <c r="AK9" s="131"/>
      <c r="AL9" s="130"/>
      <c r="AM9" s="131"/>
      <c r="AN9" s="130"/>
      <c r="AO9" s="131"/>
      <c r="AP9" s="130"/>
      <c r="AQ9" s="131"/>
      <c r="AR9" s="130"/>
      <c r="AS9" s="131"/>
    </row>
    <row r="10" spans="1:45" x14ac:dyDescent="0.3">
      <c r="A10" s="126"/>
      <c r="B10" s="127"/>
      <c r="C10" s="127"/>
      <c r="D10" s="127"/>
      <c r="E10" s="126"/>
      <c r="G10" s="126"/>
      <c r="H10" s="126"/>
      <c r="I10" s="135"/>
      <c r="J10" s="127"/>
      <c r="L10" s="127"/>
      <c r="M10" s="127"/>
      <c r="N10" s="127"/>
      <c r="O10" s="137"/>
      <c r="P10" s="130"/>
      <c r="Q10" s="131"/>
      <c r="R10" s="130"/>
      <c r="S10" s="131"/>
      <c r="T10" s="130"/>
      <c r="U10" s="131"/>
      <c r="V10" s="130"/>
      <c r="W10" s="131"/>
      <c r="X10" s="130"/>
      <c r="Y10" s="131"/>
      <c r="Z10" s="130"/>
      <c r="AA10" s="131"/>
      <c r="AB10" s="130"/>
      <c r="AC10" s="131"/>
      <c r="AD10" s="130"/>
      <c r="AE10" s="131"/>
      <c r="AF10" s="130"/>
      <c r="AG10" s="131"/>
      <c r="AH10" s="130"/>
      <c r="AI10" s="131"/>
      <c r="AJ10" s="130"/>
      <c r="AK10" s="131"/>
      <c r="AL10" s="130"/>
      <c r="AM10" s="131"/>
      <c r="AN10" s="130"/>
      <c r="AO10" s="131"/>
      <c r="AP10" s="130"/>
      <c r="AQ10" s="131"/>
      <c r="AR10" s="130"/>
      <c r="AS10" s="131"/>
    </row>
    <row r="11" spans="1:45" x14ac:dyDescent="0.3">
      <c r="A11" s="126"/>
      <c r="B11" s="127"/>
      <c r="C11" s="127"/>
      <c r="D11" s="127"/>
      <c r="E11" s="126"/>
      <c r="G11" s="126"/>
      <c r="H11" s="126"/>
      <c r="I11" s="135"/>
      <c r="J11" s="127"/>
      <c r="L11" s="127"/>
      <c r="M11" s="127"/>
      <c r="N11" s="127"/>
      <c r="O11" s="137"/>
      <c r="P11" s="130"/>
      <c r="Q11" s="131"/>
      <c r="R11" s="130"/>
      <c r="S11" s="131"/>
      <c r="T11" s="130"/>
      <c r="U11" s="131"/>
      <c r="V11" s="130"/>
      <c r="W11" s="131"/>
      <c r="X11" s="130"/>
      <c r="Y11" s="131"/>
      <c r="Z11" s="130"/>
      <c r="AA11" s="131"/>
      <c r="AB11" s="130"/>
      <c r="AC11" s="131"/>
      <c r="AD11" s="130"/>
      <c r="AE11" s="131"/>
      <c r="AF11" s="130"/>
      <c r="AG11" s="131"/>
      <c r="AH11" s="130"/>
      <c r="AI11" s="131"/>
      <c r="AJ11" s="130"/>
      <c r="AK11" s="131"/>
      <c r="AL11" s="130"/>
      <c r="AM11" s="131"/>
      <c r="AN11" s="130"/>
      <c r="AO11" s="131"/>
      <c r="AP11" s="130"/>
      <c r="AQ11" s="131"/>
      <c r="AR11" s="130"/>
      <c r="AS11" s="131"/>
    </row>
    <row r="12" spans="1:45" x14ac:dyDescent="0.3">
      <c r="A12" s="126"/>
      <c r="B12" s="127"/>
      <c r="C12" s="127"/>
      <c r="D12" s="127"/>
      <c r="E12" s="126"/>
      <c r="G12" s="126"/>
      <c r="H12" s="126"/>
      <c r="I12" s="135"/>
      <c r="J12" s="127"/>
      <c r="L12" s="127"/>
      <c r="M12" s="127"/>
      <c r="N12" s="127"/>
      <c r="O12" s="137"/>
      <c r="P12" s="130"/>
      <c r="Q12" s="131"/>
      <c r="R12" s="130"/>
      <c r="S12" s="131"/>
      <c r="T12" s="130"/>
      <c r="U12" s="131"/>
      <c r="V12" s="130"/>
      <c r="W12" s="131"/>
      <c r="X12" s="130"/>
      <c r="Y12" s="131"/>
      <c r="Z12" s="130"/>
      <c r="AA12" s="131"/>
      <c r="AB12" s="130"/>
      <c r="AC12" s="131"/>
      <c r="AD12" s="130"/>
      <c r="AE12" s="131"/>
      <c r="AF12" s="130"/>
      <c r="AG12" s="131"/>
      <c r="AH12" s="130"/>
      <c r="AI12" s="131"/>
      <c r="AJ12" s="130"/>
      <c r="AK12" s="131"/>
      <c r="AL12" s="130"/>
      <c r="AM12" s="131"/>
      <c r="AN12" s="130"/>
      <c r="AO12" s="131"/>
      <c r="AP12" s="130"/>
      <c r="AQ12" s="131"/>
      <c r="AR12" s="130"/>
      <c r="AS12" s="131"/>
    </row>
    <row r="13" spans="1:45" x14ac:dyDescent="0.3">
      <c r="A13" s="126"/>
      <c r="B13" s="127"/>
      <c r="C13" s="127"/>
      <c r="D13" s="127"/>
      <c r="E13" s="126"/>
      <c r="G13" s="126"/>
      <c r="H13" s="126"/>
      <c r="I13" s="135"/>
      <c r="J13" s="127"/>
      <c r="L13" s="127"/>
      <c r="M13" s="127"/>
      <c r="N13" s="127"/>
      <c r="O13" s="137"/>
      <c r="P13" s="130"/>
      <c r="Q13" s="131"/>
      <c r="R13" s="130"/>
      <c r="S13" s="131"/>
      <c r="T13" s="130"/>
      <c r="U13" s="131"/>
      <c r="V13" s="130"/>
      <c r="W13" s="131"/>
      <c r="X13" s="130"/>
      <c r="Y13" s="131"/>
      <c r="Z13" s="130"/>
      <c r="AA13" s="131"/>
      <c r="AB13" s="130"/>
      <c r="AC13" s="131"/>
      <c r="AD13" s="130"/>
      <c r="AE13" s="131"/>
      <c r="AF13" s="130"/>
      <c r="AG13" s="131"/>
      <c r="AH13" s="130"/>
      <c r="AI13" s="131"/>
      <c r="AJ13" s="130"/>
      <c r="AK13" s="131"/>
      <c r="AL13" s="130"/>
      <c r="AM13" s="131"/>
      <c r="AN13" s="130"/>
      <c r="AO13" s="131"/>
      <c r="AP13" s="130"/>
      <c r="AQ13" s="131"/>
      <c r="AR13" s="130"/>
      <c r="AS13" s="131"/>
    </row>
    <row r="14" spans="1:45" x14ac:dyDescent="0.3">
      <c r="A14" s="126"/>
      <c r="B14" s="127"/>
      <c r="C14" s="127"/>
      <c r="D14" s="127"/>
      <c r="E14" s="126"/>
      <c r="G14" s="126"/>
      <c r="H14" s="126"/>
      <c r="I14" s="135"/>
      <c r="J14" s="127"/>
      <c r="L14" s="127"/>
      <c r="M14" s="127"/>
      <c r="N14" s="127"/>
      <c r="O14" s="137"/>
      <c r="P14" s="130"/>
      <c r="Q14" s="131"/>
      <c r="R14" s="130"/>
      <c r="S14" s="131"/>
      <c r="T14" s="130"/>
      <c r="U14" s="131"/>
      <c r="V14" s="130"/>
      <c r="W14" s="131"/>
      <c r="X14" s="130"/>
      <c r="Y14" s="131"/>
      <c r="Z14" s="130"/>
      <c r="AA14" s="131"/>
      <c r="AB14" s="130"/>
      <c r="AC14" s="131"/>
      <c r="AD14" s="130"/>
      <c r="AE14" s="131"/>
      <c r="AF14" s="130"/>
      <c r="AG14" s="131"/>
      <c r="AH14" s="130"/>
      <c r="AI14" s="131"/>
      <c r="AJ14" s="130"/>
      <c r="AK14" s="131"/>
      <c r="AL14" s="130"/>
      <c r="AM14" s="131"/>
      <c r="AN14" s="130"/>
      <c r="AO14" s="131"/>
      <c r="AP14" s="130"/>
      <c r="AQ14" s="131"/>
      <c r="AR14" s="130"/>
      <c r="AS14" s="131"/>
    </row>
    <row r="15" spans="1:45" x14ac:dyDescent="0.3">
      <c r="A15" s="126"/>
      <c r="B15" s="127"/>
      <c r="C15" s="127"/>
      <c r="D15" s="127"/>
      <c r="E15" s="126"/>
      <c r="G15" s="126"/>
      <c r="H15" s="126"/>
      <c r="I15" s="135"/>
      <c r="J15" s="127"/>
      <c r="L15" s="127"/>
      <c r="M15" s="127"/>
      <c r="N15" s="127"/>
      <c r="O15" s="137"/>
      <c r="P15" s="130"/>
      <c r="Q15" s="131"/>
      <c r="R15" s="130"/>
      <c r="S15" s="131"/>
      <c r="T15" s="130"/>
      <c r="U15" s="131"/>
      <c r="V15" s="130"/>
      <c r="W15" s="131"/>
      <c r="X15" s="130"/>
      <c r="Y15" s="131"/>
      <c r="Z15" s="130"/>
      <c r="AA15" s="131"/>
      <c r="AB15" s="130"/>
      <c r="AC15" s="131"/>
      <c r="AD15" s="130"/>
      <c r="AE15" s="131"/>
      <c r="AF15" s="130"/>
      <c r="AG15" s="131"/>
      <c r="AH15" s="130"/>
      <c r="AI15" s="131"/>
      <c r="AJ15" s="130"/>
      <c r="AK15" s="131"/>
      <c r="AL15" s="130"/>
      <c r="AM15" s="131"/>
      <c r="AN15" s="130"/>
      <c r="AO15" s="131"/>
      <c r="AP15" s="130"/>
      <c r="AQ15" s="131"/>
      <c r="AR15" s="130"/>
      <c r="AS15" s="131"/>
    </row>
    <row r="16" spans="1:45" x14ac:dyDescent="0.3">
      <c r="A16" s="126"/>
      <c r="B16" s="127"/>
      <c r="C16" s="127"/>
      <c r="D16" s="127"/>
      <c r="E16" s="126"/>
      <c r="G16" s="126"/>
      <c r="H16" s="126"/>
      <c r="I16" s="135"/>
      <c r="J16" s="127"/>
      <c r="L16" s="127"/>
      <c r="M16" s="127"/>
      <c r="N16" s="127"/>
      <c r="O16" s="137"/>
      <c r="P16" s="130"/>
      <c r="Q16" s="131"/>
      <c r="R16" s="130"/>
      <c r="S16" s="131"/>
      <c r="T16" s="130"/>
      <c r="U16" s="131"/>
      <c r="V16" s="130"/>
      <c r="W16" s="131"/>
      <c r="X16" s="130"/>
      <c r="Y16" s="131"/>
      <c r="Z16" s="130"/>
      <c r="AA16" s="131"/>
      <c r="AB16" s="130"/>
      <c r="AC16" s="131"/>
      <c r="AD16" s="130"/>
      <c r="AE16" s="131"/>
      <c r="AF16" s="130"/>
      <c r="AG16" s="131"/>
      <c r="AH16" s="130"/>
      <c r="AI16" s="131"/>
      <c r="AJ16" s="130"/>
      <c r="AK16" s="131"/>
      <c r="AL16" s="130"/>
      <c r="AM16" s="131"/>
      <c r="AN16" s="130"/>
      <c r="AO16" s="131"/>
      <c r="AP16" s="130"/>
      <c r="AQ16" s="131"/>
      <c r="AR16" s="130"/>
      <c r="AS16" s="131"/>
    </row>
    <row r="17" spans="1:45" x14ac:dyDescent="0.3">
      <c r="A17" s="126"/>
      <c r="B17" s="127"/>
      <c r="C17" s="127"/>
      <c r="D17" s="127"/>
      <c r="E17" s="126"/>
      <c r="G17" s="126"/>
      <c r="H17" s="126"/>
      <c r="I17" s="135"/>
      <c r="J17" s="127"/>
      <c r="L17" s="127"/>
      <c r="M17" s="127"/>
      <c r="N17" s="127"/>
      <c r="O17" s="137"/>
      <c r="P17" s="130"/>
      <c r="Q17" s="131"/>
      <c r="R17" s="130"/>
      <c r="S17" s="131"/>
      <c r="T17" s="130"/>
      <c r="U17" s="131"/>
      <c r="V17" s="130"/>
      <c r="W17" s="131"/>
      <c r="X17" s="130"/>
      <c r="Y17" s="131"/>
      <c r="Z17" s="130"/>
      <c r="AA17" s="131"/>
      <c r="AB17" s="130"/>
      <c r="AC17" s="131"/>
      <c r="AD17" s="130"/>
      <c r="AE17" s="131"/>
      <c r="AF17" s="130"/>
      <c r="AG17" s="131"/>
      <c r="AH17" s="130"/>
      <c r="AI17" s="131"/>
      <c r="AJ17" s="130"/>
      <c r="AK17" s="131"/>
      <c r="AL17" s="130"/>
      <c r="AM17" s="131"/>
      <c r="AN17" s="130"/>
      <c r="AO17" s="131"/>
      <c r="AP17" s="130"/>
      <c r="AQ17" s="131"/>
      <c r="AR17" s="130"/>
      <c r="AS17" s="131"/>
    </row>
    <row r="18" spans="1:45" x14ac:dyDescent="0.3">
      <c r="A18" s="126"/>
      <c r="B18" s="127"/>
      <c r="C18" s="127"/>
      <c r="D18" s="127"/>
      <c r="E18" s="126"/>
      <c r="G18" s="126"/>
      <c r="H18" s="126"/>
      <c r="I18" s="135"/>
      <c r="J18" s="127"/>
      <c r="L18" s="127"/>
      <c r="M18" s="127"/>
      <c r="N18" s="127"/>
      <c r="O18" s="137"/>
      <c r="P18" s="130"/>
      <c r="Q18" s="131"/>
      <c r="R18" s="130"/>
      <c r="S18" s="131"/>
      <c r="T18" s="130"/>
      <c r="U18" s="131"/>
      <c r="V18" s="130"/>
      <c r="W18" s="131"/>
      <c r="X18" s="130"/>
      <c r="Y18" s="131"/>
      <c r="Z18" s="130"/>
      <c r="AA18" s="131"/>
      <c r="AB18" s="130"/>
      <c r="AC18" s="131"/>
      <c r="AD18" s="130"/>
      <c r="AE18" s="131"/>
      <c r="AF18" s="130"/>
      <c r="AG18" s="131"/>
      <c r="AH18" s="130"/>
      <c r="AI18" s="131"/>
      <c r="AJ18" s="130"/>
      <c r="AK18" s="131"/>
      <c r="AL18" s="130"/>
      <c r="AM18" s="131"/>
      <c r="AN18" s="130"/>
      <c r="AO18" s="131"/>
      <c r="AP18" s="130"/>
      <c r="AQ18" s="131"/>
      <c r="AR18" s="130"/>
      <c r="AS18" s="131"/>
    </row>
    <row r="19" spans="1:45" x14ac:dyDescent="0.3">
      <c r="A19" s="126"/>
      <c r="B19" s="127"/>
      <c r="C19" s="127"/>
      <c r="D19" s="127"/>
      <c r="E19" s="126"/>
      <c r="G19" s="126"/>
      <c r="H19" s="126"/>
      <c r="I19" s="135"/>
      <c r="J19" s="127"/>
      <c r="L19" s="127"/>
      <c r="M19" s="127"/>
      <c r="N19" s="127"/>
      <c r="O19" s="137"/>
      <c r="P19" s="130"/>
      <c r="Q19" s="131"/>
      <c r="R19" s="130"/>
      <c r="S19" s="131"/>
      <c r="T19" s="130"/>
      <c r="U19" s="131"/>
      <c r="V19" s="130"/>
      <c r="W19" s="131"/>
      <c r="X19" s="130"/>
      <c r="Y19" s="131"/>
      <c r="Z19" s="130"/>
      <c r="AA19" s="131"/>
      <c r="AB19" s="130"/>
      <c r="AC19" s="131"/>
      <c r="AD19" s="130"/>
      <c r="AE19" s="131"/>
      <c r="AF19" s="130"/>
      <c r="AG19" s="131"/>
      <c r="AH19" s="130"/>
      <c r="AI19" s="131"/>
      <c r="AJ19" s="130"/>
      <c r="AK19" s="131"/>
      <c r="AL19" s="130"/>
      <c r="AM19" s="131"/>
      <c r="AN19" s="130"/>
      <c r="AO19" s="131"/>
      <c r="AP19" s="130"/>
      <c r="AQ19" s="131"/>
      <c r="AR19" s="130"/>
      <c r="AS19" s="131"/>
    </row>
    <row r="20" spans="1:45" x14ac:dyDescent="0.3">
      <c r="A20" s="126"/>
      <c r="B20" s="127"/>
      <c r="C20" s="127"/>
      <c r="D20" s="127"/>
      <c r="E20" s="126"/>
      <c r="G20" s="126"/>
      <c r="H20" s="126"/>
      <c r="I20" s="135"/>
      <c r="J20" s="127"/>
      <c r="L20" s="127"/>
      <c r="M20" s="127"/>
      <c r="N20" s="127"/>
      <c r="O20" s="137"/>
      <c r="P20" s="130"/>
      <c r="Q20" s="131"/>
      <c r="R20" s="130"/>
      <c r="S20" s="131"/>
      <c r="T20" s="130"/>
      <c r="U20" s="131"/>
      <c r="V20" s="130"/>
      <c r="W20" s="131"/>
      <c r="X20" s="130"/>
      <c r="Y20" s="131"/>
      <c r="Z20" s="130"/>
      <c r="AA20" s="131"/>
      <c r="AB20" s="130"/>
      <c r="AC20" s="131"/>
      <c r="AD20" s="130"/>
      <c r="AE20" s="131"/>
      <c r="AF20" s="130"/>
      <c r="AG20" s="131"/>
      <c r="AH20" s="130"/>
      <c r="AI20" s="131"/>
      <c r="AJ20" s="130"/>
      <c r="AK20" s="131"/>
      <c r="AL20" s="130"/>
      <c r="AM20" s="131"/>
      <c r="AN20" s="130"/>
      <c r="AO20" s="131"/>
      <c r="AP20" s="130"/>
      <c r="AQ20" s="131"/>
      <c r="AR20" s="130"/>
      <c r="AS20" s="131"/>
    </row>
    <row r="21" spans="1:45" x14ac:dyDescent="0.3">
      <c r="A21" s="126"/>
      <c r="B21" s="127"/>
      <c r="C21" s="127"/>
      <c r="D21" s="127"/>
      <c r="E21" s="126"/>
      <c r="G21" s="126"/>
      <c r="H21" s="126"/>
      <c r="I21" s="135"/>
      <c r="J21" s="127"/>
      <c r="L21" s="127"/>
      <c r="M21" s="127"/>
      <c r="N21" s="127"/>
      <c r="O21" s="137"/>
      <c r="P21" s="130"/>
      <c r="Q21" s="131"/>
      <c r="R21" s="130"/>
      <c r="S21" s="131"/>
      <c r="T21" s="130"/>
      <c r="U21" s="131"/>
      <c r="V21" s="130"/>
      <c r="W21" s="131"/>
      <c r="X21" s="130"/>
      <c r="Y21" s="131"/>
      <c r="Z21" s="130"/>
      <c r="AA21" s="131"/>
      <c r="AB21" s="130"/>
      <c r="AC21" s="131"/>
      <c r="AD21" s="130"/>
      <c r="AE21" s="131"/>
      <c r="AF21" s="130"/>
      <c r="AG21" s="131"/>
      <c r="AH21" s="130"/>
      <c r="AI21" s="131"/>
      <c r="AJ21" s="130"/>
      <c r="AK21" s="131"/>
      <c r="AL21" s="130"/>
      <c r="AM21" s="131"/>
      <c r="AN21" s="130"/>
      <c r="AO21" s="131"/>
      <c r="AP21" s="130"/>
      <c r="AQ21" s="131"/>
      <c r="AR21" s="130"/>
      <c r="AS21" s="131"/>
    </row>
    <row r="22" spans="1:45" x14ac:dyDescent="0.3">
      <c r="A22" s="126"/>
      <c r="B22" s="127"/>
      <c r="C22" s="127"/>
      <c r="D22" s="127"/>
      <c r="E22" s="126"/>
      <c r="G22" s="126"/>
      <c r="H22" s="126"/>
      <c r="I22" s="135"/>
      <c r="J22" s="127"/>
      <c r="L22" s="127"/>
      <c r="M22" s="127"/>
      <c r="N22" s="127"/>
      <c r="O22" s="137"/>
      <c r="P22" s="130"/>
      <c r="Q22" s="131"/>
      <c r="R22" s="130"/>
      <c r="S22" s="131"/>
      <c r="T22" s="130"/>
      <c r="U22" s="131"/>
      <c r="V22" s="130"/>
      <c r="W22" s="131"/>
      <c r="X22" s="130"/>
      <c r="Y22" s="131"/>
      <c r="Z22" s="130"/>
      <c r="AA22" s="131"/>
      <c r="AB22" s="130"/>
      <c r="AC22" s="131"/>
      <c r="AD22" s="130"/>
      <c r="AE22" s="131"/>
      <c r="AF22" s="130"/>
      <c r="AG22" s="131"/>
      <c r="AH22" s="130"/>
      <c r="AI22" s="131"/>
      <c r="AJ22" s="130"/>
      <c r="AK22" s="131"/>
      <c r="AL22" s="130"/>
      <c r="AM22" s="131"/>
      <c r="AN22" s="130"/>
      <c r="AO22" s="131"/>
      <c r="AP22" s="130"/>
      <c r="AQ22" s="131"/>
      <c r="AR22" s="130"/>
      <c r="AS22" s="131"/>
    </row>
    <row r="23" spans="1:45" x14ac:dyDescent="0.3">
      <c r="A23" s="126"/>
      <c r="B23" s="127"/>
      <c r="C23" s="127"/>
      <c r="D23" s="127"/>
      <c r="E23" s="126"/>
      <c r="G23" s="126"/>
      <c r="H23" s="126"/>
      <c r="I23" s="135"/>
      <c r="J23" s="127"/>
      <c r="L23" s="127"/>
      <c r="M23" s="127"/>
      <c r="N23" s="127"/>
      <c r="O23" s="137"/>
      <c r="P23" s="130"/>
      <c r="Q23" s="131"/>
      <c r="R23" s="130"/>
      <c r="S23" s="131"/>
      <c r="T23" s="130"/>
      <c r="U23" s="131"/>
      <c r="V23" s="130"/>
      <c r="W23" s="131"/>
      <c r="X23" s="130"/>
      <c r="Y23" s="131"/>
      <c r="Z23" s="130"/>
      <c r="AA23" s="131"/>
      <c r="AB23" s="130"/>
      <c r="AC23" s="131"/>
      <c r="AD23" s="130"/>
      <c r="AE23" s="131"/>
      <c r="AF23" s="130"/>
      <c r="AG23" s="131"/>
      <c r="AH23" s="130"/>
      <c r="AI23" s="131"/>
      <c r="AJ23" s="130"/>
      <c r="AK23" s="131"/>
      <c r="AL23" s="130"/>
      <c r="AM23" s="131"/>
      <c r="AN23" s="130"/>
      <c r="AO23" s="131"/>
      <c r="AP23" s="130"/>
      <c r="AQ23" s="131"/>
      <c r="AR23" s="130"/>
      <c r="AS23" s="131"/>
    </row>
    <row r="24" spans="1:45" x14ac:dyDescent="0.3">
      <c r="A24" s="126"/>
      <c r="B24" s="127"/>
      <c r="C24" s="127"/>
      <c r="D24" s="127"/>
      <c r="E24" s="126"/>
      <c r="G24" s="126"/>
      <c r="H24" s="126"/>
      <c r="I24" s="135"/>
      <c r="J24" s="127"/>
      <c r="L24" s="127"/>
      <c r="M24" s="127"/>
      <c r="N24" s="127"/>
      <c r="O24" s="137"/>
      <c r="P24" s="130"/>
      <c r="Q24" s="131"/>
      <c r="R24" s="130"/>
      <c r="S24" s="131"/>
      <c r="T24" s="130"/>
      <c r="U24" s="131"/>
      <c r="V24" s="130"/>
      <c r="W24" s="131"/>
      <c r="X24" s="130"/>
      <c r="Y24" s="131"/>
      <c r="Z24" s="130"/>
      <c r="AA24" s="131"/>
      <c r="AB24" s="130"/>
      <c r="AC24" s="131"/>
      <c r="AD24" s="130"/>
      <c r="AE24" s="131"/>
      <c r="AF24" s="130"/>
      <c r="AG24" s="131"/>
      <c r="AH24" s="130"/>
      <c r="AI24" s="131"/>
      <c r="AJ24" s="130"/>
      <c r="AK24" s="131"/>
      <c r="AL24" s="130"/>
      <c r="AM24" s="131"/>
      <c r="AN24" s="130"/>
      <c r="AO24" s="131"/>
      <c r="AP24" s="130"/>
      <c r="AQ24" s="131"/>
      <c r="AR24" s="130"/>
      <c r="AS24" s="131"/>
    </row>
    <row r="25" spans="1:45" x14ac:dyDescent="0.3">
      <c r="A25" s="126"/>
      <c r="B25" s="127"/>
      <c r="C25" s="127"/>
      <c r="D25" s="127"/>
      <c r="E25" s="126"/>
      <c r="G25" s="126"/>
      <c r="H25" s="126"/>
      <c r="I25" s="135"/>
      <c r="J25" s="127"/>
      <c r="L25" s="127"/>
      <c r="M25" s="127"/>
      <c r="N25" s="127"/>
      <c r="O25" s="137"/>
      <c r="P25" s="130"/>
      <c r="Q25" s="131"/>
      <c r="R25" s="130"/>
      <c r="S25" s="131"/>
      <c r="T25" s="130"/>
      <c r="U25" s="131"/>
      <c r="V25" s="130"/>
      <c r="W25" s="131"/>
      <c r="X25" s="130"/>
      <c r="Y25" s="131"/>
      <c r="Z25" s="130"/>
      <c r="AA25" s="131"/>
      <c r="AB25" s="130"/>
      <c r="AC25" s="131"/>
      <c r="AD25" s="130"/>
      <c r="AE25" s="131"/>
      <c r="AF25" s="130"/>
      <c r="AG25" s="131"/>
      <c r="AH25" s="130"/>
      <c r="AI25" s="131"/>
      <c r="AJ25" s="130"/>
      <c r="AK25" s="131"/>
      <c r="AL25" s="130"/>
      <c r="AM25" s="131"/>
      <c r="AN25" s="130"/>
      <c r="AO25" s="131"/>
      <c r="AP25" s="130"/>
      <c r="AQ25" s="131"/>
      <c r="AR25" s="130"/>
      <c r="AS25" s="131"/>
    </row>
    <row r="26" spans="1:45" x14ac:dyDescent="0.3">
      <c r="A26" s="126"/>
      <c r="B26" s="127"/>
      <c r="C26" s="127"/>
      <c r="D26" s="127"/>
      <c r="E26" s="126"/>
      <c r="G26" s="126"/>
      <c r="H26" s="126"/>
      <c r="I26" s="135"/>
      <c r="J26" s="127"/>
      <c r="L26" s="127"/>
      <c r="M26" s="127"/>
      <c r="N26" s="127"/>
      <c r="O26" s="137"/>
      <c r="P26" s="130"/>
      <c r="Q26" s="131"/>
      <c r="R26" s="130"/>
      <c r="S26" s="131"/>
      <c r="T26" s="130"/>
      <c r="U26" s="131"/>
      <c r="V26" s="130"/>
      <c r="W26" s="131"/>
      <c r="X26" s="130"/>
      <c r="Y26" s="131"/>
      <c r="Z26" s="130"/>
      <c r="AA26" s="131"/>
      <c r="AB26" s="130"/>
      <c r="AC26" s="131"/>
      <c r="AD26" s="130"/>
      <c r="AE26" s="131"/>
      <c r="AF26" s="130"/>
      <c r="AG26" s="131"/>
      <c r="AH26" s="130"/>
      <c r="AI26" s="131"/>
      <c r="AJ26" s="130"/>
      <c r="AK26" s="131"/>
      <c r="AL26" s="130"/>
      <c r="AM26" s="131"/>
      <c r="AN26" s="130"/>
      <c r="AO26" s="131"/>
      <c r="AP26" s="130"/>
      <c r="AQ26" s="131"/>
      <c r="AR26" s="130"/>
      <c r="AS26" s="131"/>
    </row>
    <row r="27" spans="1:45" x14ac:dyDescent="0.3">
      <c r="A27" s="126"/>
      <c r="B27" s="127"/>
      <c r="C27" s="127"/>
      <c r="D27" s="127"/>
      <c r="E27" s="126"/>
      <c r="G27" s="126"/>
      <c r="H27" s="126"/>
      <c r="I27" s="135"/>
      <c r="J27" s="127"/>
      <c r="L27" s="127"/>
      <c r="M27" s="127"/>
      <c r="N27" s="127"/>
      <c r="O27" s="137"/>
      <c r="P27" s="130"/>
      <c r="Q27" s="131"/>
      <c r="R27" s="130"/>
      <c r="S27" s="131"/>
      <c r="T27" s="130"/>
      <c r="U27" s="131"/>
      <c r="V27" s="130"/>
      <c r="W27" s="131"/>
      <c r="X27" s="130"/>
      <c r="Y27" s="131"/>
      <c r="Z27" s="130"/>
      <c r="AA27" s="131"/>
      <c r="AB27" s="130"/>
      <c r="AC27" s="131"/>
      <c r="AD27" s="130"/>
      <c r="AE27" s="131"/>
      <c r="AF27" s="130"/>
      <c r="AG27" s="131"/>
      <c r="AH27" s="130"/>
      <c r="AI27" s="131"/>
      <c r="AJ27" s="130"/>
      <c r="AK27" s="131"/>
      <c r="AL27" s="130"/>
      <c r="AM27" s="131"/>
      <c r="AN27" s="130"/>
      <c r="AO27" s="131"/>
      <c r="AP27" s="130"/>
      <c r="AQ27" s="131"/>
      <c r="AR27" s="130"/>
      <c r="AS27" s="131"/>
    </row>
    <row r="28" spans="1:45" x14ac:dyDescent="0.3">
      <c r="A28" s="126"/>
      <c r="B28" s="127"/>
      <c r="C28" s="127"/>
      <c r="D28" s="127"/>
      <c r="E28" s="126"/>
      <c r="G28" s="126"/>
      <c r="H28" s="126"/>
      <c r="I28" s="135"/>
      <c r="J28" s="127"/>
      <c r="L28" s="127"/>
      <c r="M28" s="127"/>
      <c r="N28" s="127"/>
      <c r="O28" s="137"/>
      <c r="P28" s="130"/>
      <c r="Q28" s="131"/>
      <c r="R28" s="130"/>
      <c r="S28" s="131"/>
      <c r="T28" s="130"/>
      <c r="U28" s="131"/>
      <c r="V28" s="130"/>
      <c r="W28" s="131"/>
      <c r="X28" s="130"/>
      <c r="Y28" s="131"/>
      <c r="Z28" s="130"/>
      <c r="AA28" s="131"/>
      <c r="AB28" s="130"/>
      <c r="AC28" s="131"/>
      <c r="AD28" s="130"/>
      <c r="AE28" s="131"/>
      <c r="AF28" s="130"/>
      <c r="AG28" s="131"/>
      <c r="AH28" s="130"/>
      <c r="AI28" s="131"/>
      <c r="AJ28" s="130"/>
      <c r="AK28" s="131"/>
      <c r="AL28" s="130"/>
      <c r="AM28" s="131"/>
      <c r="AN28" s="130"/>
      <c r="AO28" s="131"/>
      <c r="AP28" s="130"/>
      <c r="AQ28" s="131"/>
      <c r="AR28" s="130"/>
      <c r="AS28" s="131"/>
    </row>
    <row r="29" spans="1:45" x14ac:dyDescent="0.3">
      <c r="A29" s="126"/>
      <c r="B29" s="127"/>
      <c r="C29" s="127"/>
      <c r="D29" s="127"/>
      <c r="E29" s="126"/>
      <c r="G29" s="126"/>
      <c r="H29" s="126"/>
      <c r="I29" s="135"/>
      <c r="J29" s="127"/>
      <c r="L29" s="127"/>
      <c r="M29" s="127"/>
      <c r="N29" s="127"/>
      <c r="O29" s="137"/>
      <c r="P29" s="130"/>
      <c r="Q29" s="131"/>
      <c r="R29" s="130"/>
      <c r="S29" s="131"/>
      <c r="T29" s="130"/>
      <c r="U29" s="131"/>
      <c r="V29" s="130"/>
      <c r="W29" s="131"/>
      <c r="X29" s="130"/>
      <c r="Y29" s="131"/>
      <c r="Z29" s="130"/>
      <c r="AA29" s="131"/>
      <c r="AB29" s="130"/>
      <c r="AC29" s="131"/>
      <c r="AD29" s="130"/>
      <c r="AE29" s="131"/>
      <c r="AF29" s="130"/>
      <c r="AG29" s="131"/>
      <c r="AH29" s="130"/>
      <c r="AI29" s="131"/>
      <c r="AJ29" s="130"/>
      <c r="AK29" s="131"/>
      <c r="AL29" s="130"/>
      <c r="AM29" s="131"/>
      <c r="AN29" s="130"/>
      <c r="AO29" s="131"/>
      <c r="AP29" s="130"/>
      <c r="AQ29" s="131"/>
      <c r="AR29" s="130"/>
      <c r="AS29" s="131"/>
    </row>
    <row r="30" spans="1:45" x14ac:dyDescent="0.3">
      <c r="A30" s="126"/>
      <c r="B30" s="127"/>
      <c r="C30" s="127"/>
      <c r="D30" s="127"/>
      <c r="E30" s="126"/>
      <c r="G30" s="126"/>
      <c r="H30" s="126"/>
      <c r="I30" s="135"/>
      <c r="J30" s="127"/>
      <c r="L30" s="127"/>
      <c r="M30" s="127"/>
      <c r="N30" s="127"/>
      <c r="O30" s="137"/>
      <c r="P30" s="130"/>
      <c r="Q30" s="131"/>
      <c r="R30" s="130"/>
      <c r="S30" s="131"/>
      <c r="T30" s="130"/>
      <c r="U30" s="131"/>
      <c r="V30" s="130"/>
      <c r="W30" s="131"/>
      <c r="X30" s="130"/>
      <c r="Y30" s="131"/>
      <c r="Z30" s="130"/>
      <c r="AA30" s="131"/>
      <c r="AB30" s="130"/>
      <c r="AC30" s="131"/>
      <c r="AD30" s="130"/>
      <c r="AE30" s="131"/>
      <c r="AF30" s="130"/>
      <c r="AG30" s="131"/>
      <c r="AH30" s="130"/>
      <c r="AI30" s="131"/>
      <c r="AJ30" s="130"/>
      <c r="AK30" s="131"/>
      <c r="AL30" s="130"/>
      <c r="AM30" s="131"/>
      <c r="AN30" s="130"/>
      <c r="AO30" s="131"/>
      <c r="AP30" s="130"/>
      <c r="AQ30" s="131"/>
      <c r="AR30" s="130"/>
      <c r="AS30" s="131"/>
    </row>
    <row r="31" spans="1:45" x14ac:dyDescent="0.3">
      <c r="A31" s="126"/>
      <c r="B31" s="127"/>
      <c r="C31" s="127"/>
      <c r="D31" s="127"/>
      <c r="E31" s="126"/>
      <c r="G31" s="126"/>
      <c r="H31" s="126"/>
      <c r="I31" s="135"/>
      <c r="J31" s="127"/>
      <c r="L31" s="127"/>
      <c r="M31" s="127"/>
      <c r="N31" s="127"/>
      <c r="O31" s="137"/>
      <c r="P31" s="130"/>
      <c r="Q31" s="131"/>
      <c r="R31" s="130"/>
      <c r="S31" s="131"/>
      <c r="T31" s="130"/>
      <c r="U31" s="131"/>
      <c r="V31" s="130"/>
      <c r="W31" s="131"/>
      <c r="X31" s="130"/>
      <c r="Y31" s="131"/>
      <c r="Z31" s="130"/>
      <c r="AA31" s="131"/>
      <c r="AB31" s="130"/>
      <c r="AC31" s="131"/>
      <c r="AD31" s="130"/>
      <c r="AE31" s="131"/>
      <c r="AF31" s="130"/>
      <c r="AG31" s="131"/>
      <c r="AH31" s="130"/>
      <c r="AI31" s="131"/>
      <c r="AJ31" s="130"/>
      <c r="AK31" s="131"/>
      <c r="AL31" s="130"/>
      <c r="AM31" s="131"/>
      <c r="AN31" s="130"/>
      <c r="AO31" s="131"/>
      <c r="AP31" s="130"/>
      <c r="AQ31" s="131"/>
      <c r="AR31" s="130"/>
      <c r="AS31" s="131"/>
    </row>
    <row r="32" spans="1:45" x14ac:dyDescent="0.3">
      <c r="A32" s="126"/>
      <c r="B32" s="127"/>
      <c r="C32" s="127"/>
      <c r="D32" s="127"/>
      <c r="E32" s="126"/>
      <c r="G32" s="126"/>
      <c r="H32" s="126"/>
      <c r="I32" s="135"/>
      <c r="J32" s="127"/>
      <c r="L32" s="127"/>
      <c r="M32" s="127"/>
      <c r="N32" s="127"/>
      <c r="O32" s="137"/>
      <c r="P32" s="130"/>
      <c r="Q32" s="131"/>
      <c r="R32" s="130"/>
      <c r="S32" s="131"/>
      <c r="T32" s="130"/>
      <c r="U32" s="131"/>
      <c r="V32" s="130"/>
      <c r="W32" s="131"/>
      <c r="X32" s="130"/>
      <c r="Y32" s="131"/>
      <c r="Z32" s="130"/>
      <c r="AA32" s="131"/>
      <c r="AB32" s="130"/>
      <c r="AC32" s="131"/>
      <c r="AD32" s="130"/>
      <c r="AE32" s="131"/>
      <c r="AF32" s="130"/>
      <c r="AG32" s="131"/>
      <c r="AH32" s="130"/>
      <c r="AI32" s="131"/>
      <c r="AJ32" s="130"/>
      <c r="AK32" s="131"/>
      <c r="AL32" s="130"/>
      <c r="AM32" s="131"/>
      <c r="AN32" s="130"/>
      <c r="AO32" s="131"/>
      <c r="AP32" s="130"/>
      <c r="AQ32" s="131"/>
      <c r="AR32" s="130"/>
      <c r="AS32" s="131"/>
    </row>
    <row r="33" spans="1:45" x14ac:dyDescent="0.3">
      <c r="A33" s="126"/>
      <c r="B33" s="127"/>
      <c r="C33" s="127"/>
      <c r="D33" s="127"/>
      <c r="E33" s="126"/>
      <c r="G33" s="126"/>
      <c r="H33" s="126"/>
      <c r="I33" s="135"/>
      <c r="J33" s="127"/>
      <c r="L33" s="127"/>
      <c r="M33" s="127"/>
      <c r="N33" s="127"/>
      <c r="O33" s="137"/>
      <c r="P33" s="130"/>
      <c r="Q33" s="131"/>
      <c r="R33" s="130"/>
      <c r="S33" s="131"/>
      <c r="T33" s="130"/>
      <c r="U33" s="131"/>
      <c r="V33" s="130"/>
      <c r="W33" s="131"/>
      <c r="X33" s="130"/>
      <c r="Y33" s="131"/>
      <c r="Z33" s="130"/>
      <c r="AA33" s="131"/>
      <c r="AB33" s="130"/>
      <c r="AC33" s="131"/>
      <c r="AD33" s="130"/>
      <c r="AE33" s="131"/>
      <c r="AF33" s="130"/>
      <c r="AG33" s="131"/>
      <c r="AH33" s="130"/>
      <c r="AI33" s="131"/>
      <c r="AJ33" s="130"/>
      <c r="AK33" s="131"/>
      <c r="AL33" s="130"/>
      <c r="AM33" s="131"/>
      <c r="AN33" s="130"/>
      <c r="AO33" s="131"/>
      <c r="AP33" s="130"/>
      <c r="AQ33" s="131"/>
      <c r="AR33" s="130"/>
      <c r="AS33" s="131"/>
    </row>
    <row r="34" spans="1:45" x14ac:dyDescent="0.3">
      <c r="A34" s="126"/>
      <c r="B34" s="127"/>
      <c r="C34" s="127"/>
      <c r="D34" s="127"/>
      <c r="E34" s="126"/>
      <c r="G34" s="126"/>
      <c r="H34" s="126"/>
      <c r="I34" s="135"/>
      <c r="J34" s="127"/>
      <c r="L34" s="127"/>
      <c r="M34" s="127"/>
      <c r="N34" s="127"/>
      <c r="O34" s="137"/>
      <c r="P34" s="130"/>
      <c r="Q34" s="131"/>
      <c r="R34" s="130"/>
      <c r="S34" s="131"/>
      <c r="T34" s="130"/>
      <c r="U34" s="131"/>
      <c r="V34" s="130"/>
      <c r="W34" s="131"/>
      <c r="X34" s="130"/>
      <c r="Y34" s="131"/>
      <c r="Z34" s="130"/>
      <c r="AA34" s="131"/>
      <c r="AB34" s="130"/>
      <c r="AC34" s="131"/>
      <c r="AD34" s="130"/>
      <c r="AE34" s="131"/>
      <c r="AF34" s="130"/>
      <c r="AG34" s="131"/>
      <c r="AH34" s="130"/>
      <c r="AI34" s="131"/>
      <c r="AJ34" s="130"/>
      <c r="AK34" s="131"/>
      <c r="AL34" s="130"/>
      <c r="AM34" s="131"/>
      <c r="AN34" s="130"/>
      <c r="AO34" s="131"/>
      <c r="AP34" s="130"/>
      <c r="AQ34" s="131"/>
      <c r="AR34" s="130"/>
      <c r="AS34" s="131"/>
    </row>
    <row r="35" spans="1:45" x14ac:dyDescent="0.3">
      <c r="A35" s="126"/>
      <c r="B35" s="127"/>
      <c r="C35" s="127"/>
      <c r="D35" s="127"/>
      <c r="E35" s="126"/>
      <c r="G35" s="126"/>
      <c r="H35" s="126"/>
      <c r="I35" s="135"/>
      <c r="J35" s="127"/>
      <c r="L35" s="127"/>
      <c r="M35" s="127"/>
      <c r="N35" s="127"/>
      <c r="O35" s="137"/>
      <c r="P35" s="130"/>
      <c r="Q35" s="131"/>
      <c r="R35" s="130"/>
      <c r="S35" s="131"/>
      <c r="T35" s="130"/>
      <c r="U35" s="131"/>
      <c r="V35" s="130"/>
      <c r="W35" s="131"/>
      <c r="X35" s="130"/>
      <c r="Y35" s="131"/>
      <c r="Z35" s="130"/>
      <c r="AA35" s="131"/>
      <c r="AB35" s="130"/>
      <c r="AC35" s="131"/>
      <c r="AD35" s="130"/>
      <c r="AE35" s="131"/>
      <c r="AF35" s="130"/>
      <c r="AG35" s="131"/>
      <c r="AH35" s="130"/>
      <c r="AI35" s="131"/>
      <c r="AJ35" s="130"/>
      <c r="AK35" s="131"/>
      <c r="AL35" s="130"/>
      <c r="AM35" s="131"/>
      <c r="AN35" s="130"/>
      <c r="AO35" s="131"/>
      <c r="AP35" s="130"/>
      <c r="AQ35" s="131"/>
      <c r="AR35" s="130"/>
      <c r="AS35" s="131"/>
    </row>
    <row r="36" spans="1:45" x14ac:dyDescent="0.3">
      <c r="A36" s="126"/>
      <c r="B36" s="127"/>
      <c r="C36" s="127"/>
      <c r="D36" s="127"/>
      <c r="E36" s="126"/>
      <c r="G36" s="126"/>
      <c r="H36" s="126"/>
      <c r="I36" s="135"/>
      <c r="J36" s="127"/>
      <c r="L36" s="127"/>
      <c r="M36" s="127"/>
      <c r="N36" s="127"/>
      <c r="O36" s="137"/>
      <c r="P36" s="130"/>
      <c r="Q36" s="131"/>
      <c r="R36" s="130"/>
      <c r="S36" s="131"/>
      <c r="T36" s="130"/>
      <c r="U36" s="131"/>
      <c r="V36" s="130"/>
      <c r="W36" s="131"/>
      <c r="X36" s="130"/>
      <c r="Y36" s="131"/>
      <c r="Z36" s="130"/>
      <c r="AA36" s="131"/>
      <c r="AB36" s="130"/>
      <c r="AC36" s="131"/>
      <c r="AD36" s="130"/>
      <c r="AE36" s="131"/>
      <c r="AF36" s="130"/>
      <c r="AG36" s="131"/>
      <c r="AH36" s="130"/>
      <c r="AI36" s="131"/>
      <c r="AJ36" s="130"/>
      <c r="AK36" s="131"/>
      <c r="AL36" s="130"/>
      <c r="AM36" s="131"/>
      <c r="AN36" s="130"/>
      <c r="AO36" s="131"/>
      <c r="AP36" s="130"/>
      <c r="AQ36" s="131"/>
      <c r="AR36" s="130"/>
      <c r="AS36" s="131"/>
    </row>
    <row r="37" spans="1:45" x14ac:dyDescent="0.3">
      <c r="A37" s="126"/>
      <c r="B37" s="127"/>
      <c r="C37" s="127"/>
      <c r="D37" s="127"/>
      <c r="E37" s="126"/>
      <c r="G37" s="126"/>
      <c r="H37" s="126"/>
      <c r="I37" s="135"/>
      <c r="J37" s="127"/>
      <c r="L37" s="127"/>
      <c r="M37" s="127"/>
      <c r="N37" s="127"/>
      <c r="O37" s="137"/>
      <c r="P37" s="130"/>
      <c r="Q37" s="131"/>
      <c r="R37" s="130"/>
      <c r="S37" s="131"/>
      <c r="T37" s="130"/>
      <c r="U37" s="131"/>
      <c r="V37" s="130"/>
      <c r="W37" s="131"/>
      <c r="X37" s="130"/>
      <c r="Y37" s="131"/>
      <c r="Z37" s="130"/>
      <c r="AA37" s="131"/>
      <c r="AB37" s="130"/>
      <c r="AC37" s="131"/>
      <c r="AD37" s="130"/>
      <c r="AE37" s="131"/>
      <c r="AF37" s="130"/>
      <c r="AG37" s="131"/>
      <c r="AH37" s="130"/>
      <c r="AI37" s="131"/>
      <c r="AJ37" s="130"/>
      <c r="AK37" s="131"/>
      <c r="AL37" s="130"/>
      <c r="AM37" s="131"/>
      <c r="AN37" s="130"/>
      <c r="AO37" s="131"/>
      <c r="AP37" s="130"/>
      <c r="AQ37" s="131"/>
      <c r="AR37" s="130"/>
      <c r="AS37" s="131"/>
    </row>
    <row r="38" spans="1:45" x14ac:dyDescent="0.3">
      <c r="A38" s="126"/>
      <c r="B38" s="127"/>
      <c r="C38" s="127"/>
      <c r="D38" s="127"/>
      <c r="E38" s="126"/>
      <c r="G38" s="126"/>
      <c r="H38" s="126"/>
      <c r="I38" s="135"/>
      <c r="J38" s="127"/>
      <c r="L38" s="127"/>
      <c r="M38" s="127"/>
      <c r="N38" s="127"/>
      <c r="O38" s="137"/>
      <c r="P38" s="130"/>
      <c r="Q38" s="131"/>
      <c r="R38" s="130"/>
      <c r="S38" s="131"/>
      <c r="T38" s="130"/>
      <c r="U38" s="131"/>
      <c r="V38" s="130"/>
      <c r="W38" s="131"/>
      <c r="X38" s="130"/>
      <c r="Y38" s="131"/>
      <c r="Z38" s="130"/>
      <c r="AA38" s="131"/>
      <c r="AB38" s="130"/>
      <c r="AC38" s="131"/>
      <c r="AD38" s="130"/>
      <c r="AE38" s="131"/>
      <c r="AF38" s="130"/>
      <c r="AG38" s="131"/>
      <c r="AH38" s="130"/>
      <c r="AI38" s="131"/>
      <c r="AJ38" s="130"/>
      <c r="AK38" s="131"/>
      <c r="AL38" s="130"/>
      <c r="AM38" s="131"/>
      <c r="AN38" s="130"/>
      <c r="AO38" s="131"/>
      <c r="AP38" s="130"/>
      <c r="AQ38" s="131"/>
      <c r="AR38" s="130"/>
      <c r="AS38" s="131"/>
    </row>
    <row r="39" spans="1:45" x14ac:dyDescent="0.3">
      <c r="A39" s="126"/>
      <c r="B39" s="127"/>
      <c r="C39" s="127"/>
      <c r="D39" s="127"/>
      <c r="E39" s="126"/>
      <c r="G39" s="126"/>
      <c r="H39" s="126"/>
      <c r="I39" s="135"/>
      <c r="J39" s="127"/>
      <c r="L39" s="127"/>
      <c r="M39" s="127"/>
      <c r="N39" s="127"/>
      <c r="O39" s="137"/>
      <c r="P39" s="130"/>
      <c r="Q39" s="131"/>
      <c r="R39" s="130"/>
      <c r="S39" s="131"/>
      <c r="T39" s="130"/>
      <c r="U39" s="131"/>
      <c r="V39" s="130"/>
      <c r="W39" s="131"/>
      <c r="X39" s="130"/>
      <c r="Y39" s="131"/>
      <c r="Z39" s="130"/>
      <c r="AA39" s="131"/>
      <c r="AB39" s="130"/>
      <c r="AC39" s="131"/>
      <c r="AD39" s="130"/>
      <c r="AE39" s="131"/>
      <c r="AF39" s="130"/>
      <c r="AG39" s="131"/>
      <c r="AH39" s="130"/>
      <c r="AI39" s="131"/>
      <c r="AJ39" s="130"/>
      <c r="AK39" s="131"/>
      <c r="AL39" s="130"/>
      <c r="AM39" s="131"/>
      <c r="AN39" s="130"/>
      <c r="AO39" s="131"/>
      <c r="AP39" s="130"/>
      <c r="AQ39" s="131"/>
      <c r="AR39" s="130"/>
      <c r="AS39" s="131"/>
    </row>
    <row r="40" spans="1:45" x14ac:dyDescent="0.3">
      <c r="A40" s="126"/>
      <c r="B40" s="127"/>
      <c r="C40" s="127"/>
      <c r="D40" s="127"/>
      <c r="E40" s="126"/>
      <c r="G40" s="126"/>
      <c r="H40" s="126"/>
      <c r="I40" s="135"/>
      <c r="J40" s="127"/>
      <c r="L40" s="127"/>
      <c r="M40" s="127"/>
      <c r="N40" s="127"/>
      <c r="O40" s="137"/>
      <c r="P40" s="130"/>
      <c r="Q40" s="131"/>
      <c r="R40" s="130"/>
      <c r="S40" s="131"/>
      <c r="T40" s="130"/>
      <c r="U40" s="131"/>
      <c r="V40" s="130"/>
      <c r="W40" s="131"/>
      <c r="X40" s="130"/>
      <c r="Y40" s="131"/>
      <c r="Z40" s="130"/>
      <c r="AA40" s="131"/>
      <c r="AB40" s="130"/>
      <c r="AC40" s="131"/>
      <c r="AD40" s="130"/>
      <c r="AE40" s="131"/>
      <c r="AF40" s="130"/>
      <c r="AG40" s="131"/>
      <c r="AH40" s="130"/>
      <c r="AI40" s="131"/>
      <c r="AJ40" s="130"/>
      <c r="AK40" s="131"/>
      <c r="AL40" s="130"/>
      <c r="AM40" s="131"/>
      <c r="AN40" s="130"/>
      <c r="AO40" s="131"/>
      <c r="AP40" s="130"/>
      <c r="AQ40" s="131"/>
      <c r="AR40" s="130"/>
      <c r="AS40" s="131"/>
    </row>
    <row r="41" spans="1:45" x14ac:dyDescent="0.3">
      <c r="A41" s="126"/>
      <c r="B41" s="127"/>
      <c r="C41" s="127"/>
      <c r="D41" s="127"/>
      <c r="E41" s="126"/>
      <c r="G41" s="126"/>
      <c r="H41" s="126"/>
      <c r="I41" s="135"/>
      <c r="J41" s="127"/>
      <c r="L41" s="127"/>
      <c r="M41" s="127"/>
      <c r="N41" s="127"/>
      <c r="O41" s="137"/>
      <c r="P41" s="130"/>
      <c r="Q41" s="131"/>
      <c r="R41" s="130"/>
      <c r="S41" s="131"/>
      <c r="T41" s="130"/>
      <c r="U41" s="131"/>
      <c r="V41" s="130"/>
      <c r="W41" s="131"/>
      <c r="X41" s="130"/>
      <c r="Y41" s="131"/>
      <c r="Z41" s="130"/>
      <c r="AA41" s="131"/>
      <c r="AB41" s="130"/>
      <c r="AC41" s="131"/>
      <c r="AD41" s="130"/>
      <c r="AE41" s="131"/>
      <c r="AF41" s="130"/>
      <c r="AG41" s="131"/>
      <c r="AH41" s="130"/>
      <c r="AI41" s="131"/>
      <c r="AJ41" s="130"/>
      <c r="AK41" s="131"/>
      <c r="AL41" s="130"/>
      <c r="AM41" s="131"/>
      <c r="AN41" s="130"/>
      <c r="AO41" s="131"/>
      <c r="AP41" s="130"/>
      <c r="AQ41" s="131"/>
      <c r="AR41" s="130"/>
      <c r="AS41" s="131"/>
    </row>
    <row r="42" spans="1:45" x14ac:dyDescent="0.3">
      <c r="A42" s="126"/>
      <c r="B42" s="127"/>
      <c r="C42" s="127"/>
      <c r="D42" s="127"/>
      <c r="E42" s="126"/>
      <c r="G42" s="126"/>
      <c r="H42" s="126"/>
      <c r="I42" s="135"/>
      <c r="J42" s="127"/>
      <c r="L42" s="127"/>
      <c r="M42" s="127"/>
      <c r="N42" s="127"/>
      <c r="O42" s="137"/>
      <c r="P42" s="130"/>
      <c r="Q42" s="131"/>
      <c r="R42" s="130"/>
      <c r="S42" s="131"/>
      <c r="T42" s="130"/>
      <c r="U42" s="131"/>
      <c r="V42" s="130"/>
      <c r="W42" s="131"/>
      <c r="X42" s="130"/>
      <c r="Y42" s="131"/>
      <c r="Z42" s="130"/>
      <c r="AA42" s="131"/>
      <c r="AB42" s="130"/>
      <c r="AC42" s="131"/>
      <c r="AD42" s="130"/>
      <c r="AE42" s="131"/>
      <c r="AF42" s="130"/>
      <c r="AG42" s="131"/>
      <c r="AH42" s="130"/>
      <c r="AI42" s="131"/>
      <c r="AJ42" s="130"/>
      <c r="AK42" s="131"/>
      <c r="AL42" s="130"/>
      <c r="AM42" s="131"/>
      <c r="AN42" s="130"/>
      <c r="AO42" s="131"/>
      <c r="AP42" s="130"/>
      <c r="AQ42" s="131"/>
      <c r="AR42" s="130"/>
      <c r="AS42" s="131"/>
    </row>
    <row r="43" spans="1:45" x14ac:dyDescent="0.3">
      <c r="A43" s="126"/>
      <c r="B43" s="127"/>
      <c r="C43" s="127"/>
      <c r="D43" s="127"/>
      <c r="E43" s="126"/>
      <c r="G43" s="126"/>
      <c r="H43" s="126"/>
      <c r="I43" s="135"/>
      <c r="J43" s="127"/>
      <c r="L43" s="127"/>
      <c r="M43" s="127"/>
      <c r="N43" s="127"/>
      <c r="O43" s="137"/>
      <c r="P43" s="130"/>
      <c r="Q43" s="131"/>
      <c r="R43" s="130"/>
      <c r="S43" s="131"/>
      <c r="T43" s="130"/>
      <c r="U43" s="131"/>
      <c r="V43" s="130"/>
      <c r="W43" s="131"/>
      <c r="X43" s="130"/>
      <c r="Y43" s="131"/>
      <c r="Z43" s="130"/>
      <c r="AA43" s="131"/>
      <c r="AB43" s="130"/>
      <c r="AC43" s="131"/>
      <c r="AD43" s="130"/>
      <c r="AE43" s="131"/>
      <c r="AF43" s="130"/>
      <c r="AG43" s="131"/>
      <c r="AH43" s="130"/>
      <c r="AI43" s="131"/>
      <c r="AJ43" s="130"/>
      <c r="AK43" s="131"/>
      <c r="AL43" s="130"/>
      <c r="AM43" s="131"/>
      <c r="AN43" s="130"/>
      <c r="AO43" s="131"/>
      <c r="AP43" s="130"/>
      <c r="AQ43" s="131"/>
      <c r="AR43" s="130"/>
      <c r="AS43" s="131"/>
    </row>
    <row r="44" spans="1:45" x14ac:dyDescent="0.3">
      <c r="A44" s="126"/>
      <c r="B44" s="127"/>
      <c r="C44" s="127"/>
      <c r="D44" s="127"/>
      <c r="E44" s="126"/>
      <c r="G44" s="126"/>
      <c r="H44" s="126"/>
      <c r="I44" s="135"/>
      <c r="J44" s="127"/>
      <c r="L44" s="127"/>
      <c r="M44" s="127"/>
      <c r="N44" s="127"/>
      <c r="O44" s="137"/>
      <c r="P44" s="130"/>
      <c r="Q44" s="131"/>
      <c r="R44" s="130"/>
      <c r="S44" s="131"/>
      <c r="T44" s="130"/>
      <c r="U44" s="131"/>
      <c r="V44" s="130"/>
      <c r="W44" s="131"/>
      <c r="X44" s="130"/>
      <c r="Y44" s="131"/>
      <c r="Z44" s="130"/>
      <c r="AA44" s="131"/>
      <c r="AB44" s="130"/>
      <c r="AC44" s="131"/>
      <c r="AD44" s="130"/>
      <c r="AE44" s="131"/>
      <c r="AF44" s="130"/>
      <c r="AG44" s="131"/>
      <c r="AH44" s="130"/>
      <c r="AI44" s="131"/>
      <c r="AJ44" s="130"/>
      <c r="AK44" s="131"/>
      <c r="AL44" s="130"/>
      <c r="AM44" s="131"/>
      <c r="AN44" s="130"/>
      <c r="AO44" s="131"/>
      <c r="AP44" s="130"/>
      <c r="AQ44" s="131"/>
      <c r="AR44" s="130"/>
      <c r="AS44" s="131"/>
    </row>
    <row r="45" spans="1:45" x14ac:dyDescent="0.3">
      <c r="A45" s="126"/>
      <c r="B45" s="127"/>
      <c r="C45" s="127"/>
      <c r="D45" s="127"/>
      <c r="E45" s="126"/>
      <c r="G45" s="126"/>
      <c r="H45" s="126"/>
      <c r="I45" s="135"/>
      <c r="J45" s="127"/>
      <c r="L45" s="127"/>
      <c r="M45" s="127"/>
      <c r="N45" s="127"/>
      <c r="O45" s="137"/>
      <c r="P45" s="130"/>
      <c r="Q45" s="131"/>
      <c r="R45" s="130"/>
      <c r="S45" s="131"/>
      <c r="T45" s="130"/>
      <c r="U45" s="131"/>
      <c r="V45" s="130"/>
      <c r="W45" s="131"/>
      <c r="X45" s="130"/>
      <c r="Y45" s="131"/>
      <c r="Z45" s="130"/>
      <c r="AA45" s="131"/>
      <c r="AB45" s="130"/>
      <c r="AC45" s="131"/>
      <c r="AD45" s="130"/>
      <c r="AE45" s="131"/>
      <c r="AF45" s="130"/>
      <c r="AG45" s="131"/>
      <c r="AH45" s="130"/>
      <c r="AI45" s="131"/>
      <c r="AJ45" s="130"/>
      <c r="AK45" s="131"/>
      <c r="AL45" s="130"/>
      <c r="AM45" s="131"/>
      <c r="AN45" s="130"/>
      <c r="AO45" s="131"/>
      <c r="AP45" s="130"/>
      <c r="AQ45" s="131"/>
      <c r="AR45" s="130"/>
      <c r="AS45" s="131"/>
    </row>
    <row r="46" spans="1:45" x14ac:dyDescent="0.3">
      <c r="A46" s="126"/>
      <c r="B46" s="127"/>
      <c r="C46" s="127"/>
      <c r="D46" s="127"/>
      <c r="E46" s="126"/>
      <c r="G46" s="126"/>
      <c r="H46" s="126"/>
      <c r="I46" s="135"/>
      <c r="J46" s="127"/>
      <c r="L46" s="127"/>
      <c r="M46" s="127"/>
      <c r="N46" s="127"/>
      <c r="O46" s="137"/>
      <c r="P46" s="130"/>
      <c r="Q46" s="131"/>
      <c r="R46" s="130"/>
      <c r="S46" s="131"/>
      <c r="T46" s="130"/>
      <c r="U46" s="131"/>
      <c r="V46" s="130"/>
      <c r="W46" s="131"/>
      <c r="X46" s="130"/>
      <c r="Y46" s="131"/>
      <c r="Z46" s="130"/>
      <c r="AA46" s="131"/>
      <c r="AB46" s="130"/>
      <c r="AC46" s="131"/>
      <c r="AD46" s="130"/>
      <c r="AE46" s="131"/>
      <c r="AF46" s="130"/>
      <c r="AG46" s="131"/>
      <c r="AH46" s="130"/>
      <c r="AI46" s="131"/>
      <c r="AJ46" s="130"/>
      <c r="AK46" s="131"/>
      <c r="AL46" s="130"/>
      <c r="AM46" s="131"/>
      <c r="AN46" s="130"/>
      <c r="AO46" s="131"/>
      <c r="AP46" s="130"/>
      <c r="AQ46" s="131"/>
      <c r="AR46" s="130"/>
      <c r="AS46" s="131"/>
    </row>
    <row r="47" spans="1:45" x14ac:dyDescent="0.3">
      <c r="A47" s="126"/>
      <c r="B47" s="127"/>
      <c r="C47" s="127"/>
      <c r="D47" s="127"/>
      <c r="E47" s="126"/>
      <c r="G47" s="126"/>
      <c r="H47" s="126"/>
      <c r="I47" s="135"/>
      <c r="J47" s="127"/>
      <c r="L47" s="127"/>
      <c r="M47" s="127"/>
      <c r="N47" s="127"/>
      <c r="O47" s="137"/>
      <c r="P47" s="130"/>
      <c r="Q47" s="131"/>
      <c r="R47" s="130"/>
      <c r="S47" s="131"/>
      <c r="T47" s="130"/>
      <c r="U47" s="131"/>
      <c r="V47" s="130"/>
      <c r="W47" s="131"/>
      <c r="X47" s="130"/>
      <c r="Y47" s="131"/>
      <c r="Z47" s="130"/>
      <c r="AA47" s="131"/>
      <c r="AB47" s="130"/>
      <c r="AC47" s="131"/>
      <c r="AD47" s="130"/>
      <c r="AE47" s="131"/>
      <c r="AF47" s="130"/>
      <c r="AG47" s="131"/>
      <c r="AH47" s="130"/>
      <c r="AI47" s="131"/>
      <c r="AJ47" s="130"/>
      <c r="AK47" s="131"/>
      <c r="AL47" s="130"/>
      <c r="AM47" s="131"/>
      <c r="AN47" s="130"/>
      <c r="AO47" s="131"/>
      <c r="AP47" s="130"/>
      <c r="AQ47" s="131"/>
      <c r="AR47" s="130"/>
      <c r="AS47" s="131"/>
    </row>
    <row r="48" spans="1:45" x14ac:dyDescent="0.3">
      <c r="A48" s="126"/>
      <c r="B48" s="127"/>
      <c r="C48" s="127"/>
      <c r="D48" s="127"/>
      <c r="E48" s="126"/>
      <c r="G48" s="126"/>
      <c r="H48" s="126"/>
      <c r="I48" s="135"/>
      <c r="J48" s="127"/>
      <c r="L48" s="127"/>
      <c r="M48" s="127"/>
      <c r="N48" s="127"/>
      <c r="O48" s="137"/>
      <c r="P48" s="130"/>
      <c r="Q48" s="131"/>
      <c r="R48" s="130"/>
      <c r="S48" s="131"/>
      <c r="T48" s="130"/>
      <c r="U48" s="131"/>
      <c r="V48" s="130"/>
      <c r="W48" s="131"/>
      <c r="X48" s="130"/>
      <c r="Y48" s="131"/>
      <c r="Z48" s="130"/>
      <c r="AA48" s="131"/>
      <c r="AB48" s="130"/>
      <c r="AC48" s="131"/>
      <c r="AD48" s="130"/>
      <c r="AE48" s="131"/>
      <c r="AF48" s="130"/>
      <c r="AG48" s="131"/>
      <c r="AH48" s="130"/>
      <c r="AI48" s="131"/>
      <c r="AJ48" s="130"/>
      <c r="AK48" s="131"/>
      <c r="AL48" s="130"/>
      <c r="AM48" s="131"/>
      <c r="AN48" s="130"/>
      <c r="AO48" s="131"/>
      <c r="AP48" s="130"/>
      <c r="AQ48" s="131"/>
      <c r="AR48" s="130"/>
      <c r="AS48" s="131"/>
    </row>
    <row r="49" spans="1:45" x14ac:dyDescent="0.3">
      <c r="A49" s="126"/>
      <c r="B49" s="127"/>
      <c r="C49" s="127"/>
      <c r="D49" s="127"/>
      <c r="E49" s="126"/>
      <c r="G49" s="126"/>
      <c r="H49" s="126"/>
      <c r="I49" s="135"/>
      <c r="J49" s="127"/>
      <c r="L49" s="127"/>
      <c r="M49" s="127"/>
      <c r="N49" s="127"/>
      <c r="O49" s="137"/>
      <c r="P49" s="130"/>
      <c r="Q49" s="131"/>
      <c r="R49" s="130"/>
      <c r="S49" s="131"/>
      <c r="T49" s="130"/>
      <c r="U49" s="131"/>
      <c r="V49" s="130"/>
      <c r="W49" s="131"/>
      <c r="X49" s="130"/>
      <c r="Y49" s="131"/>
      <c r="Z49" s="130"/>
      <c r="AA49" s="131"/>
      <c r="AB49" s="130"/>
      <c r="AC49" s="131"/>
      <c r="AD49" s="130"/>
      <c r="AE49" s="131"/>
      <c r="AF49" s="130"/>
      <c r="AG49" s="131"/>
      <c r="AH49" s="130"/>
      <c r="AI49" s="131"/>
      <c r="AJ49" s="130"/>
      <c r="AK49" s="131"/>
      <c r="AL49" s="130"/>
      <c r="AM49" s="131"/>
      <c r="AN49" s="130"/>
      <c r="AO49" s="131"/>
      <c r="AP49" s="130"/>
      <c r="AQ49" s="131"/>
      <c r="AR49" s="130"/>
      <c r="AS49" s="131"/>
    </row>
    <row r="50" spans="1:45" x14ac:dyDescent="0.3">
      <c r="A50" s="126"/>
      <c r="B50" s="127"/>
      <c r="C50" s="127"/>
      <c r="D50" s="127"/>
      <c r="E50" s="126"/>
      <c r="G50" s="126"/>
      <c r="H50" s="126"/>
      <c r="I50" s="135"/>
      <c r="J50" s="127"/>
      <c r="L50" s="127"/>
      <c r="M50" s="127"/>
      <c r="N50" s="127"/>
      <c r="O50" s="137"/>
      <c r="P50" s="130"/>
      <c r="Q50" s="131"/>
      <c r="R50" s="130"/>
      <c r="S50" s="131"/>
      <c r="T50" s="130"/>
      <c r="U50" s="131"/>
      <c r="V50" s="130"/>
      <c r="W50" s="131"/>
      <c r="X50" s="130"/>
      <c r="Y50" s="131"/>
      <c r="Z50" s="130"/>
      <c r="AA50" s="131"/>
      <c r="AB50" s="130"/>
      <c r="AC50" s="131"/>
      <c r="AD50" s="130"/>
      <c r="AE50" s="131"/>
      <c r="AF50" s="130"/>
      <c r="AG50" s="131"/>
      <c r="AH50" s="130"/>
      <c r="AI50" s="131"/>
      <c r="AJ50" s="130"/>
      <c r="AK50" s="131"/>
      <c r="AL50" s="130"/>
      <c r="AM50" s="131"/>
      <c r="AN50" s="130"/>
      <c r="AO50" s="131"/>
      <c r="AP50" s="130"/>
      <c r="AQ50" s="131"/>
      <c r="AR50" s="130"/>
      <c r="AS50" s="131"/>
    </row>
    <row r="51" spans="1:45" x14ac:dyDescent="0.3">
      <c r="A51" s="126"/>
      <c r="B51" s="127"/>
      <c r="C51" s="127"/>
      <c r="D51" s="127"/>
      <c r="E51" s="126"/>
      <c r="G51" s="126"/>
      <c r="H51" s="126"/>
      <c r="I51" s="135"/>
      <c r="J51" s="127"/>
      <c r="L51" s="127"/>
      <c r="M51" s="127"/>
      <c r="N51" s="127"/>
      <c r="O51" s="137"/>
      <c r="P51" s="130"/>
      <c r="Q51" s="131"/>
      <c r="R51" s="130"/>
      <c r="S51" s="131"/>
      <c r="T51" s="130"/>
      <c r="U51" s="131"/>
      <c r="V51" s="130"/>
      <c r="W51" s="131"/>
      <c r="X51" s="130"/>
      <c r="Y51" s="131"/>
      <c r="Z51" s="130"/>
      <c r="AA51" s="131"/>
      <c r="AB51" s="130"/>
      <c r="AC51" s="131"/>
      <c r="AD51" s="130"/>
      <c r="AE51" s="131"/>
      <c r="AF51" s="130"/>
      <c r="AG51" s="131"/>
      <c r="AH51" s="130"/>
      <c r="AI51" s="131"/>
      <c r="AJ51" s="130"/>
      <c r="AK51" s="131"/>
      <c r="AL51" s="130"/>
      <c r="AM51" s="131"/>
      <c r="AN51" s="130"/>
      <c r="AO51" s="131"/>
      <c r="AP51" s="130"/>
      <c r="AQ51" s="131"/>
      <c r="AR51" s="130"/>
      <c r="AS51" s="131"/>
    </row>
    <row r="52" spans="1:45" x14ac:dyDescent="0.3">
      <c r="A52" s="126"/>
      <c r="B52" s="127"/>
      <c r="C52" s="127"/>
      <c r="D52" s="127"/>
      <c r="E52" s="126"/>
      <c r="G52" s="126"/>
      <c r="H52" s="126"/>
      <c r="I52" s="135"/>
      <c r="J52" s="127"/>
      <c r="L52" s="127"/>
      <c r="M52" s="127"/>
      <c r="N52" s="127"/>
      <c r="O52" s="137"/>
      <c r="P52" s="130"/>
      <c r="Q52" s="131"/>
      <c r="R52" s="130"/>
      <c r="S52" s="131"/>
      <c r="T52" s="130"/>
      <c r="U52" s="131"/>
      <c r="V52" s="130"/>
      <c r="W52" s="131"/>
      <c r="X52" s="130"/>
      <c r="Y52" s="131"/>
      <c r="Z52" s="130"/>
      <c r="AA52" s="131"/>
      <c r="AB52" s="130"/>
      <c r="AC52" s="131"/>
      <c r="AD52" s="130"/>
      <c r="AE52" s="131"/>
      <c r="AF52" s="130"/>
      <c r="AG52" s="131"/>
      <c r="AH52" s="130"/>
      <c r="AI52" s="131"/>
      <c r="AJ52" s="130"/>
      <c r="AK52" s="131"/>
      <c r="AL52" s="130"/>
      <c r="AM52" s="131"/>
      <c r="AN52" s="130"/>
      <c r="AO52" s="131"/>
      <c r="AP52" s="130"/>
      <c r="AQ52" s="131"/>
      <c r="AR52" s="130"/>
      <c r="AS52" s="131"/>
    </row>
    <row r="53" spans="1:45" x14ac:dyDescent="0.3">
      <c r="A53" s="126"/>
      <c r="B53" s="127"/>
      <c r="C53" s="127"/>
      <c r="D53" s="127"/>
      <c r="E53" s="126"/>
      <c r="G53" s="126"/>
      <c r="H53" s="126"/>
      <c r="I53" s="135"/>
      <c r="J53" s="127"/>
      <c r="L53" s="127"/>
      <c r="M53" s="127"/>
      <c r="N53" s="127"/>
      <c r="O53" s="137"/>
      <c r="P53" s="130"/>
      <c r="Q53" s="131"/>
      <c r="R53" s="130"/>
      <c r="S53" s="131"/>
      <c r="T53" s="130"/>
      <c r="U53" s="131"/>
      <c r="V53" s="130"/>
      <c r="W53" s="131"/>
      <c r="X53" s="130"/>
      <c r="Y53" s="131"/>
      <c r="Z53" s="130"/>
      <c r="AA53" s="131"/>
      <c r="AB53" s="130"/>
      <c r="AC53" s="131"/>
      <c r="AD53" s="130"/>
      <c r="AE53" s="131"/>
      <c r="AF53" s="130"/>
      <c r="AG53" s="131"/>
      <c r="AH53" s="130"/>
      <c r="AI53" s="131"/>
      <c r="AJ53" s="130"/>
      <c r="AK53" s="131"/>
      <c r="AL53" s="130"/>
      <c r="AM53" s="131"/>
      <c r="AN53" s="130"/>
      <c r="AO53" s="131"/>
      <c r="AP53" s="130"/>
      <c r="AQ53" s="131"/>
      <c r="AR53" s="130"/>
      <c r="AS53" s="131"/>
    </row>
    <row r="54" spans="1:45" x14ac:dyDescent="0.3">
      <c r="A54" s="126"/>
      <c r="B54" s="127"/>
      <c r="C54" s="127"/>
      <c r="D54" s="127"/>
      <c r="E54" s="126"/>
      <c r="G54" s="126"/>
      <c r="H54" s="126"/>
      <c r="I54" s="135"/>
      <c r="J54" s="127"/>
      <c r="L54" s="127"/>
      <c r="M54" s="127"/>
      <c r="N54" s="127"/>
      <c r="O54" s="137"/>
      <c r="P54" s="130"/>
      <c r="Q54" s="131"/>
      <c r="R54" s="130"/>
      <c r="S54" s="131"/>
      <c r="T54" s="130"/>
      <c r="U54" s="131"/>
      <c r="V54" s="130"/>
      <c r="W54" s="131"/>
      <c r="X54" s="130"/>
      <c r="Y54" s="131"/>
      <c r="Z54" s="130"/>
      <c r="AA54" s="131"/>
      <c r="AB54" s="130"/>
      <c r="AC54" s="131"/>
      <c r="AD54" s="130"/>
      <c r="AE54" s="131"/>
      <c r="AF54" s="130"/>
      <c r="AG54" s="131"/>
      <c r="AH54" s="130"/>
      <c r="AI54" s="131"/>
      <c r="AJ54" s="130"/>
      <c r="AK54" s="131"/>
      <c r="AL54" s="130"/>
      <c r="AM54" s="131"/>
      <c r="AN54" s="130"/>
      <c r="AO54" s="131"/>
      <c r="AP54" s="130"/>
      <c r="AQ54" s="131"/>
      <c r="AR54" s="130"/>
      <c r="AS54" s="131"/>
    </row>
    <row r="55" spans="1:45" x14ac:dyDescent="0.3">
      <c r="A55" s="126"/>
      <c r="B55" s="127"/>
      <c r="C55" s="127"/>
      <c r="D55" s="127"/>
      <c r="E55" s="126"/>
      <c r="G55" s="126"/>
      <c r="H55" s="126"/>
      <c r="I55" s="135"/>
      <c r="J55" s="127"/>
      <c r="L55" s="127"/>
      <c r="M55" s="127"/>
      <c r="N55" s="127"/>
      <c r="O55" s="137"/>
      <c r="P55" s="130"/>
      <c r="Q55" s="131"/>
      <c r="R55" s="130"/>
      <c r="S55" s="131"/>
      <c r="T55" s="130"/>
      <c r="U55" s="131"/>
      <c r="V55" s="130"/>
      <c r="W55" s="131"/>
      <c r="X55" s="130"/>
      <c r="Y55" s="131"/>
      <c r="Z55" s="130"/>
      <c r="AA55" s="131"/>
      <c r="AB55" s="130"/>
      <c r="AC55" s="131"/>
      <c r="AD55" s="130"/>
      <c r="AE55" s="131"/>
      <c r="AF55" s="130"/>
      <c r="AG55" s="131"/>
      <c r="AH55" s="130"/>
      <c r="AI55" s="131"/>
      <c r="AJ55" s="130"/>
      <c r="AK55" s="131"/>
      <c r="AL55" s="130"/>
      <c r="AM55" s="131"/>
      <c r="AN55" s="130"/>
      <c r="AO55" s="131"/>
      <c r="AP55" s="130"/>
      <c r="AQ55" s="131"/>
      <c r="AR55" s="130"/>
      <c r="AS55" s="131"/>
    </row>
    <row r="56" spans="1:45" x14ac:dyDescent="0.3">
      <c r="A56" s="126"/>
      <c r="B56" s="127"/>
      <c r="C56" s="127"/>
      <c r="D56" s="127"/>
      <c r="E56" s="126"/>
      <c r="G56" s="126"/>
      <c r="H56" s="126"/>
      <c r="I56" s="135"/>
      <c r="J56" s="127"/>
      <c r="L56" s="127"/>
      <c r="M56" s="127"/>
      <c r="N56" s="127"/>
      <c r="O56" s="137"/>
      <c r="P56" s="130"/>
      <c r="Q56" s="131"/>
      <c r="R56" s="130"/>
      <c r="S56" s="131"/>
      <c r="T56" s="130"/>
      <c r="U56" s="131"/>
      <c r="V56" s="130"/>
      <c r="W56" s="131"/>
      <c r="X56" s="130"/>
      <c r="Y56" s="131"/>
      <c r="Z56" s="130"/>
      <c r="AA56" s="131"/>
      <c r="AB56" s="130"/>
      <c r="AC56" s="131"/>
      <c r="AD56" s="130"/>
      <c r="AE56" s="131"/>
      <c r="AF56" s="130"/>
      <c r="AG56" s="131"/>
      <c r="AH56" s="130"/>
      <c r="AI56" s="131"/>
      <c r="AJ56" s="130"/>
      <c r="AK56" s="131"/>
      <c r="AL56" s="130"/>
      <c r="AM56" s="131"/>
      <c r="AN56" s="130"/>
      <c r="AO56" s="131"/>
      <c r="AP56" s="130"/>
      <c r="AQ56" s="131"/>
      <c r="AR56" s="130"/>
      <c r="AS56" s="131"/>
    </row>
    <row r="57" spans="1:45" x14ac:dyDescent="0.3">
      <c r="A57" s="126"/>
      <c r="B57" s="127"/>
      <c r="C57" s="127"/>
      <c r="D57" s="127"/>
      <c r="E57" s="126"/>
      <c r="G57" s="126"/>
      <c r="H57" s="126"/>
      <c r="I57" s="135"/>
      <c r="J57" s="127"/>
      <c r="L57" s="127"/>
      <c r="M57" s="127"/>
      <c r="N57" s="127"/>
      <c r="O57" s="137"/>
      <c r="P57" s="130"/>
      <c r="Q57" s="131"/>
      <c r="R57" s="130"/>
      <c r="S57" s="131"/>
      <c r="T57" s="130"/>
      <c r="U57" s="131"/>
      <c r="V57" s="130"/>
      <c r="W57" s="131"/>
      <c r="X57" s="130"/>
      <c r="Y57" s="131"/>
      <c r="Z57" s="130"/>
      <c r="AA57" s="131"/>
      <c r="AB57" s="130"/>
      <c r="AC57" s="131"/>
      <c r="AD57" s="130"/>
      <c r="AE57" s="131"/>
      <c r="AF57" s="130"/>
      <c r="AG57" s="131"/>
      <c r="AH57" s="130"/>
      <c r="AI57" s="131"/>
      <c r="AJ57" s="130"/>
      <c r="AK57" s="131"/>
      <c r="AL57" s="130"/>
      <c r="AM57" s="131"/>
      <c r="AN57" s="130"/>
      <c r="AO57" s="131"/>
      <c r="AP57" s="130"/>
      <c r="AQ57" s="131"/>
      <c r="AR57" s="130"/>
      <c r="AS57" s="131"/>
    </row>
    <row r="58" spans="1:45" x14ac:dyDescent="0.3">
      <c r="A58" s="126"/>
      <c r="B58" s="127"/>
      <c r="C58" s="127"/>
      <c r="D58" s="127"/>
      <c r="E58" s="126"/>
      <c r="G58" s="126"/>
      <c r="H58" s="126"/>
      <c r="I58" s="135"/>
      <c r="J58" s="127"/>
      <c r="L58" s="127"/>
      <c r="M58" s="127"/>
      <c r="N58" s="127"/>
      <c r="O58" s="137"/>
      <c r="P58" s="130"/>
      <c r="Q58" s="131"/>
      <c r="R58" s="130"/>
      <c r="S58" s="131"/>
      <c r="T58" s="130"/>
      <c r="U58" s="131"/>
      <c r="V58" s="130"/>
      <c r="W58" s="131"/>
      <c r="X58" s="130"/>
      <c r="Y58" s="131"/>
      <c r="Z58" s="130"/>
      <c r="AA58" s="131"/>
      <c r="AB58" s="130"/>
      <c r="AC58" s="131"/>
      <c r="AD58" s="130"/>
      <c r="AE58" s="131"/>
      <c r="AF58" s="130"/>
      <c r="AG58" s="131"/>
      <c r="AH58" s="130"/>
      <c r="AI58" s="131"/>
      <c r="AJ58" s="130"/>
      <c r="AK58" s="131"/>
      <c r="AL58" s="130"/>
      <c r="AM58" s="131"/>
      <c r="AN58" s="130"/>
      <c r="AO58" s="131"/>
      <c r="AP58" s="130"/>
      <c r="AQ58" s="131"/>
      <c r="AR58" s="130"/>
      <c r="AS58" s="131"/>
    </row>
    <row r="59" spans="1:45" x14ac:dyDescent="0.3">
      <c r="A59" s="126"/>
      <c r="B59" s="127"/>
      <c r="C59" s="127"/>
      <c r="D59" s="127"/>
      <c r="E59" s="126"/>
      <c r="G59" s="126"/>
      <c r="H59" s="126"/>
      <c r="I59" s="135"/>
      <c r="J59" s="127"/>
      <c r="L59" s="127"/>
      <c r="M59" s="127"/>
      <c r="N59" s="127"/>
      <c r="O59" s="137"/>
      <c r="P59" s="130"/>
      <c r="Q59" s="131"/>
      <c r="R59" s="130"/>
      <c r="S59" s="131"/>
      <c r="T59" s="130"/>
      <c r="U59" s="131"/>
      <c r="V59" s="130"/>
      <c r="W59" s="131"/>
      <c r="X59" s="130"/>
      <c r="Y59" s="131"/>
      <c r="Z59" s="130"/>
      <c r="AA59" s="131"/>
      <c r="AB59" s="130"/>
      <c r="AC59" s="131"/>
      <c r="AD59" s="130"/>
      <c r="AE59" s="131"/>
      <c r="AF59" s="130"/>
      <c r="AG59" s="131"/>
      <c r="AH59" s="130"/>
      <c r="AI59" s="131"/>
      <c r="AJ59" s="130"/>
      <c r="AK59" s="131"/>
      <c r="AL59" s="130"/>
      <c r="AM59" s="131"/>
      <c r="AN59" s="130"/>
      <c r="AO59" s="131"/>
      <c r="AP59" s="130"/>
      <c r="AQ59" s="131"/>
      <c r="AR59" s="130"/>
      <c r="AS59" s="131"/>
    </row>
    <row r="60" spans="1:45" x14ac:dyDescent="0.3">
      <c r="A60" s="126"/>
      <c r="B60" s="127"/>
      <c r="C60" s="127"/>
      <c r="D60" s="127"/>
      <c r="E60" s="126"/>
      <c r="G60" s="126"/>
      <c r="H60" s="126"/>
      <c r="I60" s="135"/>
      <c r="J60" s="127"/>
      <c r="L60" s="127"/>
      <c r="M60" s="127"/>
      <c r="N60" s="127"/>
      <c r="O60" s="137"/>
      <c r="P60" s="130"/>
      <c r="Q60" s="131"/>
      <c r="R60" s="130"/>
      <c r="S60" s="131"/>
      <c r="T60" s="130"/>
      <c r="U60" s="131"/>
      <c r="V60" s="130"/>
      <c r="W60" s="131"/>
      <c r="X60" s="130"/>
      <c r="Y60" s="131"/>
      <c r="Z60" s="130"/>
      <c r="AA60" s="131"/>
      <c r="AB60" s="130"/>
      <c r="AC60" s="131"/>
      <c r="AD60" s="130"/>
      <c r="AE60" s="131"/>
      <c r="AF60" s="130"/>
      <c r="AG60" s="131"/>
      <c r="AH60" s="130"/>
      <c r="AI60" s="131"/>
      <c r="AJ60" s="130"/>
      <c r="AK60" s="131"/>
      <c r="AL60" s="130"/>
      <c r="AM60" s="131"/>
      <c r="AN60" s="130"/>
      <c r="AO60" s="131"/>
      <c r="AP60" s="130"/>
      <c r="AQ60" s="131"/>
      <c r="AR60" s="130"/>
      <c r="AS60" s="131"/>
    </row>
    <row r="61" spans="1:45" x14ac:dyDescent="0.3">
      <c r="A61" s="126"/>
      <c r="B61" s="127"/>
      <c r="C61" s="127"/>
      <c r="D61" s="127"/>
      <c r="E61" s="126"/>
      <c r="G61" s="126"/>
      <c r="H61" s="126"/>
      <c r="I61" s="135"/>
      <c r="J61" s="127"/>
      <c r="L61" s="127"/>
      <c r="M61" s="127"/>
      <c r="N61" s="127"/>
      <c r="O61" s="137"/>
      <c r="P61" s="130"/>
      <c r="Q61" s="131"/>
      <c r="R61" s="130"/>
      <c r="S61" s="131"/>
      <c r="T61" s="130"/>
      <c r="U61" s="131"/>
      <c r="V61" s="130"/>
      <c r="W61" s="131"/>
      <c r="X61" s="130"/>
      <c r="Y61" s="131"/>
      <c r="Z61" s="130"/>
      <c r="AA61" s="131"/>
      <c r="AB61" s="130"/>
      <c r="AC61" s="131"/>
      <c r="AD61" s="130"/>
      <c r="AE61" s="131"/>
      <c r="AF61" s="130"/>
      <c r="AG61" s="131"/>
      <c r="AH61" s="130"/>
      <c r="AI61" s="131"/>
      <c r="AJ61" s="130"/>
      <c r="AK61" s="131"/>
      <c r="AL61" s="130"/>
      <c r="AM61" s="131"/>
      <c r="AN61" s="130"/>
      <c r="AO61" s="131"/>
      <c r="AP61" s="130"/>
      <c r="AQ61" s="131"/>
      <c r="AR61" s="130"/>
      <c r="AS61" s="131"/>
    </row>
    <row r="62" spans="1:45" x14ac:dyDescent="0.3">
      <c r="A62" s="126"/>
      <c r="B62" s="127"/>
      <c r="C62" s="127"/>
      <c r="D62" s="127"/>
      <c r="E62" s="126"/>
      <c r="G62" s="126"/>
      <c r="H62" s="126"/>
      <c r="I62" s="135"/>
      <c r="J62" s="127"/>
      <c r="L62" s="127"/>
      <c r="M62" s="127"/>
      <c r="N62" s="127"/>
      <c r="O62" s="137"/>
      <c r="P62" s="130"/>
      <c r="Q62" s="131"/>
      <c r="R62" s="130"/>
      <c r="S62" s="131"/>
      <c r="T62" s="130"/>
      <c r="U62" s="131"/>
      <c r="V62" s="130"/>
      <c r="W62" s="131"/>
      <c r="X62" s="130"/>
      <c r="Y62" s="131"/>
      <c r="Z62" s="130"/>
      <c r="AA62" s="131"/>
      <c r="AB62" s="130"/>
      <c r="AC62" s="131"/>
      <c r="AD62" s="130"/>
      <c r="AE62" s="131"/>
      <c r="AF62" s="130"/>
      <c r="AG62" s="131"/>
      <c r="AH62" s="130"/>
      <c r="AI62" s="131"/>
      <c r="AJ62" s="130"/>
      <c r="AK62" s="131"/>
      <c r="AL62" s="130"/>
      <c r="AM62" s="131"/>
      <c r="AN62" s="130"/>
      <c r="AO62" s="131"/>
      <c r="AP62" s="130"/>
      <c r="AQ62" s="131"/>
      <c r="AR62" s="130"/>
      <c r="AS62" s="131"/>
    </row>
    <row r="63" spans="1:45" x14ac:dyDescent="0.3">
      <c r="A63" s="126"/>
      <c r="B63" s="127"/>
      <c r="C63" s="127"/>
      <c r="D63" s="127"/>
      <c r="E63" s="126"/>
      <c r="G63" s="126"/>
      <c r="H63" s="126"/>
      <c r="I63" s="135"/>
      <c r="J63" s="127"/>
      <c r="L63" s="127"/>
      <c r="M63" s="127"/>
      <c r="N63" s="127"/>
      <c r="O63" s="137"/>
      <c r="P63" s="130"/>
      <c r="Q63" s="131"/>
      <c r="R63" s="130"/>
      <c r="S63" s="131"/>
      <c r="T63" s="130"/>
      <c r="U63" s="131"/>
      <c r="V63" s="130"/>
      <c r="W63" s="131"/>
      <c r="X63" s="130"/>
      <c r="Y63" s="131"/>
      <c r="Z63" s="130"/>
      <c r="AA63" s="131"/>
      <c r="AB63" s="130"/>
      <c r="AC63" s="131"/>
      <c r="AD63" s="130"/>
      <c r="AE63" s="131"/>
      <c r="AF63" s="130"/>
      <c r="AG63" s="131"/>
      <c r="AH63" s="130"/>
      <c r="AI63" s="131"/>
      <c r="AJ63" s="130"/>
      <c r="AK63" s="131"/>
      <c r="AL63" s="130"/>
      <c r="AM63" s="131"/>
      <c r="AN63" s="130"/>
      <c r="AO63" s="131"/>
      <c r="AP63" s="130"/>
      <c r="AQ63" s="131"/>
      <c r="AR63" s="130"/>
      <c r="AS63" s="131"/>
    </row>
    <row r="64" spans="1:45" x14ac:dyDescent="0.3">
      <c r="A64" s="126"/>
      <c r="B64" s="127"/>
      <c r="C64" s="127"/>
      <c r="D64" s="127"/>
      <c r="E64" s="126"/>
      <c r="G64" s="126"/>
      <c r="H64" s="126"/>
      <c r="I64" s="135"/>
      <c r="J64" s="127"/>
      <c r="L64" s="127"/>
      <c r="M64" s="127"/>
      <c r="N64" s="127"/>
      <c r="O64" s="137"/>
      <c r="P64" s="130"/>
      <c r="Q64" s="131"/>
      <c r="R64" s="130"/>
      <c r="S64" s="131"/>
      <c r="T64" s="130"/>
      <c r="U64" s="131"/>
      <c r="V64" s="130"/>
      <c r="W64" s="131"/>
      <c r="X64" s="130"/>
      <c r="Y64" s="131"/>
      <c r="Z64" s="130"/>
      <c r="AA64" s="131"/>
      <c r="AB64" s="130"/>
      <c r="AC64" s="131"/>
      <c r="AD64" s="130"/>
      <c r="AE64" s="131"/>
      <c r="AF64" s="130"/>
      <c r="AG64" s="131"/>
      <c r="AH64" s="130"/>
      <c r="AI64" s="131"/>
      <c r="AJ64" s="130"/>
      <c r="AK64" s="131"/>
      <c r="AL64" s="130"/>
      <c r="AM64" s="131"/>
      <c r="AN64" s="130"/>
      <c r="AO64" s="131"/>
      <c r="AP64" s="130"/>
      <c r="AQ64" s="131"/>
      <c r="AR64" s="130"/>
      <c r="AS64" s="131"/>
    </row>
    <row r="65" spans="1:45" x14ac:dyDescent="0.3">
      <c r="A65" s="126"/>
      <c r="B65" s="127"/>
      <c r="C65" s="127"/>
      <c r="D65" s="127"/>
      <c r="E65" s="126"/>
      <c r="G65" s="126"/>
      <c r="H65" s="126"/>
      <c r="I65" s="135"/>
      <c r="J65" s="127"/>
      <c r="L65" s="127"/>
      <c r="M65" s="127"/>
      <c r="N65" s="127"/>
      <c r="O65" s="137"/>
      <c r="P65" s="130"/>
      <c r="Q65" s="131"/>
      <c r="R65" s="130"/>
      <c r="S65" s="131"/>
      <c r="T65" s="130"/>
      <c r="U65" s="131"/>
      <c r="V65" s="130"/>
      <c r="W65" s="131"/>
      <c r="X65" s="130"/>
      <c r="Y65" s="131"/>
      <c r="Z65" s="130"/>
      <c r="AA65" s="131"/>
      <c r="AB65" s="130"/>
      <c r="AC65" s="131"/>
      <c r="AD65" s="130"/>
      <c r="AE65" s="131"/>
      <c r="AF65" s="130"/>
      <c r="AG65" s="131"/>
      <c r="AH65" s="130"/>
      <c r="AI65" s="131"/>
      <c r="AJ65" s="130"/>
      <c r="AK65" s="131"/>
      <c r="AL65" s="130"/>
      <c r="AM65" s="131"/>
      <c r="AN65" s="130"/>
      <c r="AO65" s="131"/>
      <c r="AP65" s="130"/>
      <c r="AQ65" s="131"/>
      <c r="AR65" s="130"/>
      <c r="AS65" s="131"/>
    </row>
    <row r="66" spans="1:45" x14ac:dyDescent="0.3">
      <c r="A66" s="126"/>
      <c r="B66" s="127"/>
      <c r="C66" s="127"/>
      <c r="D66" s="127"/>
      <c r="E66" s="126"/>
      <c r="G66" s="126"/>
      <c r="H66" s="126"/>
      <c r="I66" s="135"/>
      <c r="J66" s="127"/>
      <c r="L66" s="127"/>
      <c r="M66" s="127"/>
      <c r="N66" s="127"/>
      <c r="O66" s="137"/>
      <c r="P66" s="130"/>
      <c r="Q66" s="131"/>
      <c r="R66" s="130"/>
      <c r="S66" s="131"/>
      <c r="T66" s="130"/>
      <c r="U66" s="131"/>
      <c r="V66" s="130"/>
      <c r="W66" s="131"/>
      <c r="X66" s="130"/>
      <c r="Y66" s="131"/>
      <c r="Z66" s="130"/>
      <c r="AA66" s="131"/>
      <c r="AB66" s="130"/>
      <c r="AC66" s="131"/>
      <c r="AD66" s="130"/>
      <c r="AE66" s="131"/>
      <c r="AF66" s="130"/>
      <c r="AG66" s="131"/>
      <c r="AH66" s="130"/>
      <c r="AI66" s="131"/>
      <c r="AJ66" s="130"/>
      <c r="AK66" s="131"/>
      <c r="AL66" s="130"/>
      <c r="AM66" s="131"/>
      <c r="AN66" s="130"/>
      <c r="AO66" s="131"/>
      <c r="AP66" s="130"/>
      <c r="AQ66" s="131"/>
      <c r="AR66" s="130"/>
      <c r="AS66" s="131"/>
    </row>
    <row r="67" spans="1:45" x14ac:dyDescent="0.3">
      <c r="A67" s="126"/>
      <c r="B67" s="127"/>
      <c r="C67" s="127"/>
      <c r="D67" s="127"/>
      <c r="E67" s="126"/>
      <c r="G67" s="126"/>
      <c r="H67" s="126"/>
      <c r="I67" s="135"/>
      <c r="J67" s="127"/>
      <c r="L67" s="127"/>
      <c r="M67" s="127"/>
      <c r="N67" s="127"/>
      <c r="O67" s="137"/>
      <c r="P67" s="130"/>
      <c r="Q67" s="131"/>
      <c r="R67" s="130"/>
      <c r="S67" s="131"/>
      <c r="T67" s="130"/>
      <c r="U67" s="131"/>
      <c r="V67" s="130"/>
      <c r="W67" s="131"/>
      <c r="X67" s="130"/>
      <c r="Y67" s="131"/>
      <c r="Z67" s="130"/>
      <c r="AA67" s="131"/>
      <c r="AB67" s="130"/>
      <c r="AC67" s="131"/>
      <c r="AD67" s="130"/>
      <c r="AE67" s="131"/>
      <c r="AF67" s="130"/>
      <c r="AG67" s="131"/>
      <c r="AH67" s="130"/>
      <c r="AI67" s="131"/>
      <c r="AJ67" s="130"/>
      <c r="AK67" s="131"/>
      <c r="AL67" s="130"/>
      <c r="AM67" s="131"/>
      <c r="AN67" s="130"/>
      <c r="AO67" s="131"/>
      <c r="AP67" s="130"/>
      <c r="AQ67" s="131"/>
      <c r="AR67" s="130"/>
      <c r="AS67" s="131"/>
    </row>
    <row r="68" spans="1:45" x14ac:dyDescent="0.3">
      <c r="A68" s="126"/>
      <c r="B68" s="127"/>
      <c r="C68" s="127"/>
      <c r="D68" s="127"/>
      <c r="E68" s="126"/>
      <c r="G68" s="126"/>
      <c r="H68" s="126"/>
      <c r="I68" s="135"/>
      <c r="J68" s="127"/>
      <c r="L68" s="127"/>
      <c r="M68" s="127"/>
      <c r="N68" s="127"/>
      <c r="O68" s="137"/>
      <c r="P68" s="130"/>
      <c r="Q68" s="131"/>
      <c r="R68" s="130"/>
      <c r="S68" s="131"/>
      <c r="T68" s="130"/>
      <c r="U68" s="131"/>
      <c r="V68" s="130"/>
      <c r="W68" s="131"/>
      <c r="X68" s="130"/>
      <c r="Y68" s="131"/>
      <c r="Z68" s="130"/>
      <c r="AA68" s="131"/>
      <c r="AB68" s="130"/>
      <c r="AC68" s="131"/>
      <c r="AD68" s="130"/>
      <c r="AE68" s="131"/>
      <c r="AF68" s="130"/>
      <c r="AG68" s="131"/>
      <c r="AH68" s="130"/>
      <c r="AI68" s="131"/>
      <c r="AJ68" s="130"/>
      <c r="AK68" s="131"/>
      <c r="AL68" s="130"/>
      <c r="AM68" s="131"/>
      <c r="AN68" s="130"/>
      <c r="AO68" s="131"/>
      <c r="AP68" s="130"/>
      <c r="AQ68" s="131"/>
      <c r="AR68" s="130"/>
      <c r="AS68" s="131"/>
    </row>
    <row r="69" spans="1:45" x14ac:dyDescent="0.3">
      <c r="A69" s="126"/>
      <c r="B69" s="127"/>
      <c r="C69" s="127"/>
      <c r="D69" s="127"/>
      <c r="E69" s="126"/>
      <c r="G69" s="126"/>
      <c r="H69" s="126"/>
      <c r="I69" s="135"/>
      <c r="J69" s="127"/>
      <c r="L69" s="127"/>
      <c r="M69" s="127"/>
      <c r="N69" s="127"/>
      <c r="O69" s="137"/>
      <c r="P69" s="130"/>
      <c r="Q69" s="131"/>
      <c r="R69" s="130"/>
      <c r="S69" s="131"/>
      <c r="T69" s="130"/>
      <c r="U69" s="131"/>
      <c r="V69" s="130"/>
      <c r="W69" s="131"/>
      <c r="X69" s="130"/>
      <c r="Y69" s="131"/>
      <c r="Z69" s="130"/>
      <c r="AA69" s="131"/>
      <c r="AB69" s="130"/>
      <c r="AC69" s="131"/>
      <c r="AD69" s="130"/>
      <c r="AE69" s="131"/>
      <c r="AF69" s="130"/>
      <c r="AG69" s="131"/>
      <c r="AH69" s="130"/>
      <c r="AI69" s="131"/>
      <c r="AJ69" s="130"/>
      <c r="AK69" s="131"/>
      <c r="AL69" s="130"/>
      <c r="AM69" s="131"/>
      <c r="AN69" s="130"/>
      <c r="AO69" s="131"/>
      <c r="AP69" s="130"/>
      <c r="AQ69" s="131"/>
      <c r="AR69" s="130"/>
      <c r="AS69" s="131"/>
    </row>
    <row r="70" spans="1:45" x14ac:dyDescent="0.3">
      <c r="A70" s="126"/>
      <c r="B70" s="127"/>
      <c r="C70" s="127"/>
      <c r="D70" s="127"/>
      <c r="E70" s="126"/>
      <c r="G70" s="126"/>
      <c r="H70" s="126"/>
      <c r="I70" s="135"/>
      <c r="J70" s="127"/>
      <c r="L70" s="127"/>
      <c r="M70" s="127"/>
      <c r="N70" s="127"/>
      <c r="O70" s="137"/>
      <c r="P70" s="130"/>
      <c r="Q70" s="131"/>
      <c r="R70" s="130"/>
      <c r="S70" s="131"/>
      <c r="T70" s="130"/>
      <c r="U70" s="131"/>
      <c r="V70" s="130"/>
      <c r="W70" s="131"/>
      <c r="X70" s="130"/>
      <c r="Y70" s="131"/>
      <c r="Z70" s="130"/>
      <c r="AA70" s="131"/>
      <c r="AB70" s="130"/>
      <c r="AC70" s="131"/>
      <c r="AD70" s="130"/>
      <c r="AE70" s="131"/>
      <c r="AF70" s="130"/>
      <c r="AG70" s="131"/>
      <c r="AH70" s="130"/>
      <c r="AI70" s="131"/>
      <c r="AJ70" s="130"/>
      <c r="AK70" s="131"/>
      <c r="AL70" s="130"/>
      <c r="AM70" s="131"/>
      <c r="AN70" s="130"/>
      <c r="AO70" s="131"/>
      <c r="AP70" s="130"/>
      <c r="AQ70" s="131"/>
      <c r="AR70" s="130"/>
      <c r="AS70" s="131"/>
    </row>
    <row r="71" spans="1:45" x14ac:dyDescent="0.3">
      <c r="A71" s="126"/>
      <c r="B71" s="127"/>
      <c r="C71" s="127"/>
      <c r="D71" s="127"/>
      <c r="E71" s="126"/>
      <c r="G71" s="126"/>
      <c r="H71" s="126"/>
      <c r="I71" s="135"/>
      <c r="J71" s="127"/>
      <c r="L71" s="127"/>
      <c r="M71" s="127"/>
      <c r="N71" s="127"/>
      <c r="O71" s="137"/>
      <c r="P71" s="130"/>
      <c r="Q71" s="131"/>
      <c r="R71" s="130"/>
      <c r="S71" s="131"/>
      <c r="T71" s="130"/>
      <c r="U71" s="131"/>
      <c r="V71" s="130"/>
      <c r="W71" s="131"/>
      <c r="X71" s="130"/>
      <c r="Y71" s="131"/>
      <c r="Z71" s="130"/>
      <c r="AA71" s="131"/>
      <c r="AB71" s="130"/>
      <c r="AC71" s="131"/>
      <c r="AD71" s="130"/>
      <c r="AE71" s="131"/>
      <c r="AF71" s="130"/>
      <c r="AG71" s="131"/>
      <c r="AH71" s="130"/>
      <c r="AI71" s="131"/>
      <c r="AJ71" s="130"/>
      <c r="AK71" s="131"/>
      <c r="AL71" s="130"/>
      <c r="AM71" s="131"/>
      <c r="AN71" s="130"/>
      <c r="AO71" s="131"/>
      <c r="AP71" s="130"/>
      <c r="AQ71" s="131"/>
      <c r="AR71" s="130"/>
      <c r="AS71" s="131"/>
    </row>
    <row r="72" spans="1:45" x14ac:dyDescent="0.3">
      <c r="A72" s="126"/>
      <c r="B72" s="127"/>
      <c r="C72" s="127"/>
      <c r="D72" s="127"/>
      <c r="E72" s="126"/>
      <c r="G72" s="126"/>
      <c r="H72" s="126"/>
      <c r="I72" s="135"/>
      <c r="J72" s="127"/>
      <c r="L72" s="127"/>
      <c r="M72" s="127"/>
      <c r="N72" s="127"/>
      <c r="O72" s="137"/>
      <c r="P72" s="130"/>
      <c r="Q72" s="131"/>
      <c r="R72" s="130"/>
      <c r="S72" s="131"/>
      <c r="T72" s="130"/>
      <c r="U72" s="131"/>
      <c r="V72" s="130"/>
      <c r="W72" s="131"/>
      <c r="X72" s="130"/>
      <c r="Y72" s="131"/>
      <c r="Z72" s="130"/>
      <c r="AA72" s="131"/>
      <c r="AB72" s="130"/>
      <c r="AC72" s="131"/>
      <c r="AD72" s="130"/>
      <c r="AE72" s="131"/>
      <c r="AF72" s="130"/>
      <c r="AG72" s="131"/>
      <c r="AH72" s="130"/>
      <c r="AI72" s="131"/>
      <c r="AJ72" s="130"/>
      <c r="AK72" s="131"/>
      <c r="AL72" s="130"/>
      <c r="AM72" s="131"/>
      <c r="AN72" s="130"/>
      <c r="AO72" s="131"/>
      <c r="AP72" s="130"/>
      <c r="AQ72" s="131"/>
      <c r="AR72" s="130"/>
      <c r="AS72" s="131"/>
    </row>
    <row r="73" spans="1:45" x14ac:dyDescent="0.3">
      <c r="A73" s="126"/>
      <c r="B73" s="127"/>
      <c r="C73" s="127"/>
      <c r="D73" s="127"/>
      <c r="E73" s="126"/>
      <c r="G73" s="126"/>
      <c r="H73" s="126"/>
      <c r="I73" s="135"/>
      <c r="J73" s="127"/>
      <c r="L73" s="127"/>
      <c r="M73" s="127"/>
      <c r="N73" s="127"/>
      <c r="O73" s="137"/>
      <c r="P73" s="130"/>
      <c r="Q73" s="131"/>
      <c r="R73" s="130"/>
      <c r="S73" s="131"/>
      <c r="T73" s="130"/>
      <c r="U73" s="131"/>
      <c r="V73" s="130"/>
      <c r="W73" s="131"/>
      <c r="X73" s="130"/>
      <c r="Y73" s="131"/>
      <c r="Z73" s="130"/>
      <c r="AA73" s="131"/>
      <c r="AB73" s="130"/>
      <c r="AC73" s="131"/>
      <c r="AD73" s="130"/>
      <c r="AE73" s="131"/>
      <c r="AF73" s="130"/>
      <c r="AG73" s="131"/>
      <c r="AH73" s="130"/>
      <c r="AI73" s="131"/>
      <c r="AJ73" s="130"/>
      <c r="AK73" s="131"/>
      <c r="AL73" s="130"/>
      <c r="AM73" s="131"/>
      <c r="AN73" s="130"/>
      <c r="AO73" s="131"/>
      <c r="AP73" s="130"/>
      <c r="AQ73" s="131"/>
      <c r="AR73" s="130"/>
      <c r="AS73" s="131"/>
    </row>
    <row r="74" spans="1:45" x14ac:dyDescent="0.3">
      <c r="A74" s="126"/>
      <c r="B74" s="127"/>
      <c r="C74" s="127"/>
      <c r="D74" s="127"/>
      <c r="E74" s="126"/>
      <c r="G74" s="126"/>
      <c r="H74" s="126"/>
      <c r="I74" s="135"/>
      <c r="J74" s="127"/>
      <c r="L74" s="127"/>
      <c r="M74" s="127"/>
      <c r="N74" s="127"/>
      <c r="O74" s="137"/>
      <c r="P74" s="130"/>
      <c r="Q74" s="131"/>
      <c r="R74" s="130"/>
      <c r="S74" s="131"/>
      <c r="T74" s="130"/>
      <c r="U74" s="131"/>
      <c r="V74" s="130"/>
      <c r="W74" s="131"/>
      <c r="X74" s="130"/>
      <c r="Y74" s="131"/>
      <c r="Z74" s="130"/>
      <c r="AA74" s="131"/>
      <c r="AB74" s="130"/>
      <c r="AC74" s="131"/>
      <c r="AD74" s="130"/>
      <c r="AE74" s="131"/>
      <c r="AF74" s="130"/>
      <c r="AG74" s="131"/>
      <c r="AH74" s="130"/>
      <c r="AI74" s="131"/>
      <c r="AJ74" s="130"/>
      <c r="AK74" s="131"/>
      <c r="AL74" s="130"/>
      <c r="AM74" s="131"/>
      <c r="AN74" s="130"/>
      <c r="AO74" s="131"/>
      <c r="AP74" s="130"/>
      <c r="AQ74" s="131"/>
      <c r="AR74" s="130"/>
      <c r="AS74" s="131"/>
    </row>
    <row r="75" spans="1:45" x14ac:dyDescent="0.3">
      <c r="A75" s="126"/>
      <c r="B75" s="127"/>
      <c r="C75" s="127"/>
      <c r="D75" s="127"/>
      <c r="E75" s="126"/>
      <c r="G75" s="126"/>
      <c r="H75" s="126"/>
      <c r="I75" s="135"/>
      <c r="J75" s="127"/>
      <c r="L75" s="127"/>
      <c r="M75" s="127"/>
      <c r="N75" s="127"/>
      <c r="O75" s="137"/>
      <c r="P75" s="130"/>
      <c r="Q75" s="131"/>
      <c r="R75" s="130"/>
      <c r="S75" s="131"/>
      <c r="T75" s="130"/>
      <c r="U75" s="131"/>
      <c r="V75" s="130"/>
      <c r="W75" s="131"/>
      <c r="X75" s="130"/>
      <c r="Y75" s="131"/>
      <c r="Z75" s="130"/>
      <c r="AA75" s="131"/>
      <c r="AB75" s="130"/>
      <c r="AC75" s="131"/>
      <c r="AD75" s="130"/>
      <c r="AE75" s="131"/>
      <c r="AF75" s="130"/>
      <c r="AG75" s="131"/>
      <c r="AH75" s="130"/>
      <c r="AI75" s="131"/>
      <c r="AJ75" s="130"/>
      <c r="AK75" s="131"/>
      <c r="AL75" s="130"/>
      <c r="AM75" s="131"/>
      <c r="AN75" s="130"/>
      <c r="AO75" s="131"/>
      <c r="AP75" s="130"/>
      <c r="AQ75" s="131"/>
      <c r="AR75" s="130"/>
      <c r="AS75" s="131"/>
    </row>
    <row r="76" spans="1:45" x14ac:dyDescent="0.3">
      <c r="A76" s="126"/>
      <c r="B76" s="127"/>
      <c r="C76" s="127"/>
      <c r="D76" s="127"/>
      <c r="E76" s="126"/>
      <c r="G76" s="126"/>
      <c r="H76" s="126"/>
      <c r="I76" s="135"/>
      <c r="J76" s="127"/>
      <c r="L76" s="127"/>
      <c r="M76" s="127"/>
      <c r="N76" s="127"/>
      <c r="O76" s="137"/>
      <c r="P76" s="130"/>
      <c r="Q76" s="131"/>
      <c r="R76" s="130"/>
      <c r="S76" s="131"/>
      <c r="T76" s="130"/>
      <c r="U76" s="131"/>
      <c r="V76" s="130"/>
      <c r="W76" s="131"/>
      <c r="X76" s="130"/>
      <c r="Y76" s="131"/>
      <c r="Z76" s="130"/>
      <c r="AA76" s="131"/>
      <c r="AB76" s="130"/>
      <c r="AC76" s="131"/>
      <c r="AD76" s="130"/>
      <c r="AE76" s="131"/>
      <c r="AF76" s="130"/>
      <c r="AG76" s="131"/>
      <c r="AH76" s="130"/>
      <c r="AI76" s="131"/>
      <c r="AJ76" s="130"/>
      <c r="AK76" s="131"/>
      <c r="AL76" s="130"/>
      <c r="AM76" s="131"/>
      <c r="AN76" s="130"/>
      <c r="AO76" s="131"/>
      <c r="AP76" s="130"/>
      <c r="AQ76" s="131"/>
      <c r="AR76" s="130"/>
      <c r="AS76" s="131"/>
    </row>
    <row r="77" spans="1:45" x14ac:dyDescent="0.3">
      <c r="A77" s="126"/>
      <c r="B77" s="127"/>
      <c r="C77" s="127"/>
      <c r="D77" s="127"/>
      <c r="E77" s="126"/>
      <c r="G77" s="126"/>
      <c r="H77" s="126"/>
      <c r="I77" s="135"/>
      <c r="J77" s="127"/>
      <c r="L77" s="127"/>
      <c r="M77" s="127"/>
      <c r="N77" s="127"/>
      <c r="O77" s="137"/>
      <c r="P77" s="130"/>
      <c r="Q77" s="131"/>
      <c r="R77" s="130"/>
      <c r="S77" s="131"/>
      <c r="T77" s="130"/>
      <c r="U77" s="131"/>
      <c r="V77" s="130"/>
      <c r="W77" s="131"/>
      <c r="X77" s="130"/>
      <c r="Y77" s="131"/>
      <c r="Z77" s="130"/>
      <c r="AA77" s="131"/>
      <c r="AB77" s="130"/>
      <c r="AC77" s="131"/>
      <c r="AD77" s="130"/>
      <c r="AE77" s="131"/>
      <c r="AF77" s="130"/>
      <c r="AG77" s="131"/>
      <c r="AH77" s="130"/>
      <c r="AI77" s="131"/>
      <c r="AJ77" s="130"/>
      <c r="AK77" s="131"/>
      <c r="AL77" s="130"/>
      <c r="AM77" s="131"/>
      <c r="AN77" s="130"/>
      <c r="AO77" s="131"/>
      <c r="AP77" s="130"/>
      <c r="AQ77" s="131"/>
      <c r="AR77" s="130"/>
      <c r="AS77" s="131"/>
    </row>
    <row r="78" spans="1:45" x14ac:dyDescent="0.3">
      <c r="A78" s="126"/>
      <c r="B78" s="127"/>
      <c r="C78" s="127"/>
      <c r="D78" s="127"/>
      <c r="E78" s="126"/>
      <c r="G78" s="126"/>
      <c r="H78" s="126"/>
      <c r="I78" s="135"/>
      <c r="J78" s="127"/>
      <c r="L78" s="127"/>
      <c r="M78" s="127"/>
      <c r="N78" s="127"/>
      <c r="O78" s="137"/>
      <c r="P78" s="130"/>
      <c r="Q78" s="131"/>
      <c r="R78" s="130"/>
      <c r="S78" s="131"/>
      <c r="T78" s="130"/>
      <c r="U78" s="131"/>
      <c r="V78" s="130"/>
      <c r="W78" s="131"/>
      <c r="X78" s="130"/>
      <c r="Y78" s="131"/>
      <c r="Z78" s="130"/>
      <c r="AA78" s="131"/>
      <c r="AB78" s="130"/>
      <c r="AC78" s="131"/>
      <c r="AD78" s="130"/>
      <c r="AE78" s="131"/>
      <c r="AF78" s="130"/>
      <c r="AG78" s="131"/>
      <c r="AH78" s="130"/>
      <c r="AI78" s="131"/>
      <c r="AJ78" s="130"/>
      <c r="AK78" s="131"/>
      <c r="AL78" s="130"/>
      <c r="AM78" s="131"/>
      <c r="AN78" s="130"/>
      <c r="AO78" s="131"/>
      <c r="AP78" s="130"/>
      <c r="AQ78" s="131"/>
      <c r="AR78" s="130"/>
      <c r="AS78" s="131"/>
    </row>
    <row r="79" spans="1:45" x14ac:dyDescent="0.3">
      <c r="A79" s="126"/>
      <c r="B79" s="127"/>
      <c r="C79" s="127"/>
      <c r="D79" s="127"/>
      <c r="E79" s="126"/>
      <c r="G79" s="126"/>
      <c r="H79" s="126"/>
      <c r="I79" s="135"/>
      <c r="J79" s="127"/>
      <c r="L79" s="127"/>
      <c r="M79" s="127"/>
      <c r="N79" s="127"/>
      <c r="O79" s="137"/>
      <c r="P79" s="130"/>
      <c r="Q79" s="131"/>
      <c r="R79" s="130"/>
      <c r="S79" s="131"/>
      <c r="T79" s="130"/>
      <c r="U79" s="131"/>
      <c r="V79" s="130"/>
      <c r="W79" s="131"/>
      <c r="X79" s="130"/>
      <c r="Y79" s="131"/>
      <c r="Z79" s="130"/>
      <c r="AA79" s="131"/>
      <c r="AB79" s="130"/>
      <c r="AC79" s="131"/>
      <c r="AD79" s="130"/>
      <c r="AE79" s="131"/>
      <c r="AF79" s="130"/>
      <c r="AG79" s="131"/>
      <c r="AH79" s="130"/>
      <c r="AI79" s="131"/>
      <c r="AJ79" s="130"/>
      <c r="AK79" s="131"/>
      <c r="AL79" s="130"/>
      <c r="AM79" s="131"/>
      <c r="AN79" s="130"/>
      <c r="AO79" s="131"/>
      <c r="AP79" s="130"/>
      <c r="AQ79" s="131"/>
      <c r="AR79" s="130"/>
      <c r="AS79" s="131"/>
    </row>
    <row r="80" spans="1:45" x14ac:dyDescent="0.3">
      <c r="A80" s="126"/>
      <c r="B80" s="127"/>
      <c r="C80" s="127"/>
      <c r="D80" s="127"/>
      <c r="E80" s="126"/>
      <c r="G80" s="126"/>
      <c r="H80" s="126"/>
      <c r="I80" s="135"/>
      <c r="J80" s="127"/>
      <c r="L80" s="127"/>
      <c r="M80" s="127"/>
      <c r="N80" s="127"/>
      <c r="O80" s="137"/>
      <c r="P80" s="130"/>
      <c r="Q80" s="131"/>
      <c r="R80" s="130"/>
      <c r="S80" s="131"/>
      <c r="T80" s="130"/>
      <c r="U80" s="131"/>
      <c r="V80" s="130"/>
      <c r="W80" s="131"/>
      <c r="X80" s="130"/>
      <c r="Y80" s="131"/>
      <c r="Z80" s="130"/>
      <c r="AA80" s="131"/>
      <c r="AB80" s="130"/>
      <c r="AC80" s="131"/>
      <c r="AD80" s="130"/>
      <c r="AE80" s="131"/>
      <c r="AF80" s="130"/>
      <c r="AG80" s="131"/>
      <c r="AH80" s="130"/>
      <c r="AI80" s="131"/>
      <c r="AJ80" s="130"/>
      <c r="AK80" s="131"/>
      <c r="AL80" s="130"/>
      <c r="AM80" s="131"/>
      <c r="AN80" s="130"/>
      <c r="AO80" s="131"/>
      <c r="AP80" s="130"/>
      <c r="AQ80" s="131"/>
      <c r="AR80" s="130"/>
      <c r="AS80" s="131"/>
    </row>
    <row r="81" spans="1:45" x14ac:dyDescent="0.3">
      <c r="A81" s="126"/>
      <c r="B81" s="127"/>
      <c r="C81" s="127"/>
      <c r="D81" s="127"/>
      <c r="E81" s="126"/>
      <c r="G81" s="126"/>
      <c r="H81" s="126"/>
      <c r="I81" s="135"/>
      <c r="J81" s="127"/>
      <c r="L81" s="127"/>
      <c r="M81" s="127"/>
      <c r="N81" s="127"/>
      <c r="O81" s="137"/>
      <c r="P81" s="130"/>
      <c r="Q81" s="131"/>
      <c r="R81" s="130"/>
      <c r="S81" s="131"/>
      <c r="T81" s="130"/>
      <c r="U81" s="131"/>
      <c r="V81" s="130"/>
      <c r="W81" s="131"/>
      <c r="X81" s="130"/>
      <c r="Y81" s="131"/>
      <c r="Z81" s="130"/>
      <c r="AA81" s="131"/>
      <c r="AB81" s="130"/>
      <c r="AC81" s="131"/>
      <c r="AD81" s="130"/>
      <c r="AE81" s="131"/>
      <c r="AF81" s="130"/>
      <c r="AG81" s="131"/>
      <c r="AH81" s="130"/>
      <c r="AI81" s="131"/>
      <c r="AJ81" s="130"/>
      <c r="AK81" s="131"/>
      <c r="AL81" s="130"/>
      <c r="AM81" s="131"/>
      <c r="AN81" s="130"/>
      <c r="AO81" s="131"/>
      <c r="AP81" s="130"/>
      <c r="AQ81" s="131"/>
      <c r="AR81" s="130"/>
      <c r="AS81" s="131"/>
    </row>
    <row r="82" spans="1:45" x14ac:dyDescent="0.3">
      <c r="A82" s="126"/>
      <c r="B82" s="127"/>
      <c r="C82" s="127"/>
      <c r="D82" s="127"/>
      <c r="E82" s="126"/>
      <c r="G82" s="126"/>
      <c r="H82" s="126"/>
      <c r="I82" s="135"/>
      <c r="J82" s="127"/>
      <c r="L82" s="127"/>
      <c r="M82" s="127"/>
      <c r="N82" s="127"/>
      <c r="O82" s="137"/>
      <c r="P82" s="130"/>
      <c r="Q82" s="131"/>
      <c r="R82" s="130"/>
      <c r="S82" s="131"/>
      <c r="T82" s="130"/>
      <c r="U82" s="131"/>
      <c r="V82" s="130"/>
      <c r="W82" s="131"/>
      <c r="X82" s="130"/>
      <c r="Y82" s="131"/>
      <c r="Z82" s="130"/>
      <c r="AA82" s="131"/>
      <c r="AB82" s="130"/>
      <c r="AC82" s="131"/>
      <c r="AD82" s="130"/>
      <c r="AE82" s="131"/>
      <c r="AF82" s="130"/>
      <c r="AG82" s="131"/>
      <c r="AH82" s="130"/>
      <c r="AI82" s="131"/>
      <c r="AJ82" s="130"/>
      <c r="AK82" s="131"/>
      <c r="AL82" s="130"/>
      <c r="AM82" s="131"/>
      <c r="AN82" s="130"/>
      <c r="AO82" s="131"/>
      <c r="AP82" s="130"/>
      <c r="AQ82" s="131"/>
      <c r="AR82" s="130"/>
      <c r="AS82" s="131"/>
    </row>
    <row r="83" spans="1:45" x14ac:dyDescent="0.3">
      <c r="A83" s="126"/>
      <c r="B83" s="127"/>
      <c r="C83" s="127"/>
      <c r="D83" s="127"/>
      <c r="E83" s="126"/>
      <c r="G83" s="126"/>
      <c r="H83" s="126"/>
      <c r="I83" s="135"/>
      <c r="J83" s="127"/>
      <c r="L83" s="127"/>
      <c r="M83" s="127"/>
      <c r="N83" s="127"/>
      <c r="O83" s="137"/>
      <c r="P83" s="130"/>
      <c r="Q83" s="131"/>
      <c r="R83" s="130"/>
      <c r="S83" s="131"/>
      <c r="T83" s="130"/>
      <c r="U83" s="131"/>
      <c r="V83" s="130"/>
      <c r="W83" s="131"/>
      <c r="X83" s="130"/>
      <c r="Y83" s="131"/>
      <c r="Z83" s="130"/>
      <c r="AA83" s="131"/>
      <c r="AB83" s="130"/>
      <c r="AC83" s="131"/>
      <c r="AD83" s="130"/>
      <c r="AE83" s="131"/>
      <c r="AF83" s="130"/>
      <c r="AG83" s="131"/>
      <c r="AH83" s="130"/>
      <c r="AI83" s="131"/>
      <c r="AJ83" s="130"/>
      <c r="AK83" s="131"/>
      <c r="AL83" s="130"/>
      <c r="AM83" s="131"/>
      <c r="AN83" s="130"/>
      <c r="AO83" s="131"/>
      <c r="AP83" s="130"/>
      <c r="AQ83" s="131"/>
      <c r="AR83" s="130"/>
      <c r="AS83" s="131"/>
    </row>
    <row r="84" spans="1:45" x14ac:dyDescent="0.3">
      <c r="A84" s="126"/>
      <c r="B84" s="127"/>
      <c r="C84" s="127"/>
      <c r="D84" s="127"/>
      <c r="E84" s="126"/>
      <c r="G84" s="126"/>
      <c r="H84" s="126"/>
      <c r="I84" s="135"/>
      <c r="J84" s="127"/>
      <c r="L84" s="127"/>
      <c r="M84" s="127"/>
      <c r="N84" s="127"/>
      <c r="O84" s="137"/>
      <c r="P84" s="130"/>
      <c r="Q84" s="131"/>
      <c r="R84" s="130"/>
      <c r="S84" s="131"/>
      <c r="T84" s="130"/>
      <c r="U84" s="131"/>
      <c r="V84" s="130"/>
      <c r="W84" s="131"/>
      <c r="X84" s="130"/>
      <c r="Y84" s="131"/>
      <c r="Z84" s="130"/>
      <c r="AA84" s="131"/>
      <c r="AB84" s="130"/>
      <c r="AC84" s="131"/>
      <c r="AD84" s="130"/>
      <c r="AE84" s="131"/>
      <c r="AF84" s="130"/>
      <c r="AG84" s="131"/>
      <c r="AH84" s="130"/>
      <c r="AI84" s="131"/>
      <c r="AJ84" s="130"/>
      <c r="AK84" s="131"/>
      <c r="AL84" s="130"/>
      <c r="AM84" s="131"/>
      <c r="AN84" s="130"/>
      <c r="AO84" s="131"/>
      <c r="AP84" s="130"/>
      <c r="AQ84" s="131"/>
      <c r="AR84" s="130"/>
      <c r="AS84" s="131"/>
    </row>
    <row r="85" spans="1:45" x14ac:dyDescent="0.3">
      <c r="A85" s="126"/>
      <c r="B85" s="127"/>
      <c r="C85" s="127"/>
      <c r="D85" s="127"/>
      <c r="E85" s="126"/>
      <c r="G85" s="126"/>
      <c r="H85" s="126"/>
      <c r="I85" s="135"/>
      <c r="J85" s="127"/>
      <c r="L85" s="127"/>
      <c r="M85" s="127"/>
      <c r="N85" s="127"/>
      <c r="O85" s="137"/>
      <c r="P85" s="130"/>
      <c r="Q85" s="131"/>
      <c r="R85" s="130"/>
      <c r="S85" s="131"/>
      <c r="T85" s="130"/>
      <c r="U85" s="131"/>
      <c r="V85" s="130"/>
      <c r="W85" s="131"/>
      <c r="X85" s="130"/>
      <c r="Y85" s="131"/>
      <c r="Z85" s="130"/>
      <c r="AA85" s="131"/>
      <c r="AB85" s="130"/>
      <c r="AC85" s="131"/>
      <c r="AD85" s="130"/>
      <c r="AE85" s="131"/>
      <c r="AF85" s="130"/>
      <c r="AG85" s="131"/>
      <c r="AH85" s="130"/>
      <c r="AI85" s="131"/>
      <c r="AJ85" s="130"/>
      <c r="AK85" s="131"/>
      <c r="AL85" s="130"/>
      <c r="AM85" s="131"/>
      <c r="AN85" s="130"/>
      <c r="AO85" s="131"/>
      <c r="AP85" s="130"/>
      <c r="AQ85" s="131"/>
      <c r="AR85" s="130"/>
      <c r="AS85" s="131"/>
    </row>
    <row r="86" spans="1:45" x14ac:dyDescent="0.3">
      <c r="A86" s="126"/>
      <c r="B86" s="127"/>
      <c r="C86" s="127"/>
      <c r="D86" s="127"/>
      <c r="E86" s="126"/>
      <c r="G86" s="126"/>
      <c r="H86" s="126"/>
      <c r="I86" s="135"/>
      <c r="J86" s="127"/>
      <c r="L86" s="127"/>
      <c r="M86" s="127"/>
      <c r="N86" s="127"/>
      <c r="O86" s="137"/>
      <c r="P86" s="130"/>
      <c r="Q86" s="131"/>
      <c r="R86" s="130"/>
      <c r="S86" s="131"/>
      <c r="T86" s="130"/>
      <c r="U86" s="131"/>
      <c r="V86" s="130"/>
      <c r="W86" s="131"/>
      <c r="X86" s="130"/>
      <c r="Y86" s="131"/>
      <c r="Z86" s="130"/>
      <c r="AA86" s="131"/>
      <c r="AB86" s="130"/>
      <c r="AC86" s="131"/>
      <c r="AD86" s="130"/>
      <c r="AE86" s="131"/>
      <c r="AF86" s="130"/>
      <c r="AG86" s="131"/>
      <c r="AH86" s="130"/>
      <c r="AI86" s="131"/>
      <c r="AJ86" s="130"/>
      <c r="AK86" s="131"/>
      <c r="AL86" s="130"/>
      <c r="AM86" s="131"/>
      <c r="AN86" s="130"/>
      <c r="AO86" s="131"/>
      <c r="AP86" s="130"/>
      <c r="AQ86" s="131"/>
      <c r="AR86" s="130"/>
      <c r="AS86" s="131"/>
    </row>
    <row r="87" spans="1:45" x14ac:dyDescent="0.3">
      <c r="A87" s="126"/>
      <c r="B87" s="127"/>
      <c r="C87" s="127"/>
      <c r="D87" s="127"/>
      <c r="E87" s="126"/>
      <c r="G87" s="126"/>
      <c r="H87" s="126"/>
      <c r="I87" s="135"/>
      <c r="J87" s="127"/>
      <c r="L87" s="127"/>
      <c r="M87" s="127"/>
      <c r="N87" s="127"/>
      <c r="O87" s="137"/>
      <c r="P87" s="130"/>
      <c r="Q87" s="131"/>
      <c r="R87" s="130"/>
      <c r="S87" s="131"/>
      <c r="T87" s="130"/>
      <c r="U87" s="131"/>
      <c r="V87" s="130"/>
      <c r="W87" s="131"/>
      <c r="X87" s="130"/>
      <c r="Y87" s="131"/>
      <c r="Z87" s="130"/>
      <c r="AA87" s="131"/>
      <c r="AB87" s="130"/>
      <c r="AC87" s="131"/>
      <c r="AD87" s="130"/>
      <c r="AE87" s="131"/>
      <c r="AF87" s="130"/>
      <c r="AG87" s="131"/>
      <c r="AH87" s="130"/>
      <c r="AI87" s="131"/>
      <c r="AJ87" s="130"/>
      <c r="AK87" s="131"/>
      <c r="AL87" s="130"/>
      <c r="AM87" s="131"/>
      <c r="AN87" s="130"/>
      <c r="AO87" s="131"/>
      <c r="AP87" s="130"/>
      <c r="AQ87" s="131"/>
      <c r="AR87" s="130"/>
      <c r="AS87" s="131"/>
    </row>
    <row r="88" spans="1:45" x14ac:dyDescent="0.3">
      <c r="A88" s="126"/>
      <c r="B88" s="127"/>
      <c r="C88" s="127"/>
      <c r="D88" s="127"/>
      <c r="E88" s="126"/>
      <c r="G88" s="126"/>
      <c r="H88" s="126"/>
      <c r="I88" s="135"/>
      <c r="J88" s="127"/>
      <c r="L88" s="127"/>
      <c r="M88" s="127"/>
      <c r="N88" s="127"/>
      <c r="O88" s="137"/>
      <c r="P88" s="130"/>
      <c r="Q88" s="131"/>
      <c r="R88" s="130"/>
      <c r="S88" s="131"/>
      <c r="T88" s="130"/>
      <c r="U88" s="131"/>
      <c r="V88" s="130"/>
      <c r="W88" s="131"/>
      <c r="X88" s="130"/>
      <c r="Y88" s="131"/>
      <c r="Z88" s="130"/>
      <c r="AA88" s="131"/>
      <c r="AB88" s="130"/>
      <c r="AC88" s="131"/>
      <c r="AD88" s="130"/>
      <c r="AE88" s="131"/>
      <c r="AF88" s="130"/>
      <c r="AG88" s="131"/>
      <c r="AH88" s="130"/>
      <c r="AI88" s="131"/>
      <c r="AJ88" s="130"/>
      <c r="AK88" s="131"/>
      <c r="AL88" s="130"/>
      <c r="AM88" s="131"/>
      <c r="AN88" s="130"/>
      <c r="AO88" s="131"/>
      <c r="AP88" s="130"/>
      <c r="AQ88" s="131"/>
      <c r="AR88" s="130"/>
      <c r="AS88" s="131"/>
    </row>
    <row r="89" spans="1:45" x14ac:dyDescent="0.3">
      <c r="A89" s="126"/>
      <c r="B89" s="127"/>
      <c r="C89" s="127"/>
      <c r="D89" s="127"/>
      <c r="E89" s="126"/>
      <c r="G89" s="126"/>
      <c r="H89" s="126"/>
      <c r="I89" s="135"/>
      <c r="J89" s="127"/>
      <c r="L89" s="127"/>
      <c r="M89" s="127"/>
      <c r="N89" s="127"/>
      <c r="O89" s="137"/>
      <c r="P89" s="130"/>
      <c r="Q89" s="131"/>
      <c r="R89" s="130"/>
      <c r="S89" s="131"/>
      <c r="T89" s="130"/>
      <c r="U89" s="131"/>
      <c r="V89" s="130"/>
      <c r="W89" s="131"/>
      <c r="X89" s="130"/>
      <c r="Y89" s="131"/>
      <c r="Z89" s="130"/>
      <c r="AA89" s="131"/>
      <c r="AB89" s="130"/>
      <c r="AC89" s="131"/>
      <c r="AD89" s="130"/>
      <c r="AE89" s="131"/>
      <c r="AF89" s="130"/>
      <c r="AG89" s="131"/>
      <c r="AH89" s="130"/>
      <c r="AI89" s="131"/>
      <c r="AJ89" s="130"/>
      <c r="AK89" s="131"/>
      <c r="AL89" s="130"/>
      <c r="AM89" s="131"/>
      <c r="AN89" s="130"/>
      <c r="AO89" s="131"/>
      <c r="AP89" s="130"/>
      <c r="AQ89" s="131"/>
      <c r="AR89" s="130"/>
      <c r="AS89" s="131"/>
    </row>
    <row r="90" spans="1:45" x14ac:dyDescent="0.3">
      <c r="A90" s="126"/>
      <c r="B90" s="127"/>
      <c r="C90" s="127"/>
      <c r="D90" s="127"/>
      <c r="E90" s="126"/>
      <c r="G90" s="126"/>
      <c r="H90" s="126"/>
      <c r="I90" s="135"/>
      <c r="J90" s="127"/>
      <c r="L90" s="127"/>
      <c r="M90" s="127"/>
      <c r="N90" s="127"/>
      <c r="O90" s="137"/>
      <c r="P90" s="130"/>
      <c r="Q90" s="131"/>
      <c r="R90" s="130"/>
      <c r="S90" s="131"/>
      <c r="T90" s="130"/>
      <c r="U90" s="131"/>
      <c r="V90" s="130"/>
      <c r="W90" s="131"/>
      <c r="X90" s="130"/>
      <c r="Y90" s="131"/>
      <c r="Z90" s="130"/>
      <c r="AA90" s="131"/>
      <c r="AB90" s="130"/>
      <c r="AC90" s="131"/>
      <c r="AD90" s="130"/>
      <c r="AE90" s="131"/>
      <c r="AF90" s="130"/>
      <c r="AG90" s="131"/>
      <c r="AH90" s="130"/>
      <c r="AI90" s="131"/>
      <c r="AJ90" s="130"/>
      <c r="AK90" s="131"/>
      <c r="AL90" s="130"/>
      <c r="AM90" s="131"/>
      <c r="AN90" s="130"/>
      <c r="AO90" s="131"/>
      <c r="AP90" s="130"/>
      <c r="AQ90" s="131"/>
      <c r="AR90" s="130"/>
      <c r="AS90" s="131"/>
    </row>
    <row r="91" spans="1:45" x14ac:dyDescent="0.3">
      <c r="A91" s="126"/>
      <c r="B91" s="127"/>
      <c r="C91" s="127"/>
      <c r="D91" s="127"/>
      <c r="E91" s="126"/>
      <c r="G91" s="126"/>
      <c r="H91" s="126"/>
      <c r="I91" s="135"/>
      <c r="J91" s="127"/>
      <c r="L91" s="127"/>
      <c r="M91" s="127"/>
      <c r="N91" s="127"/>
      <c r="O91" s="137"/>
      <c r="P91" s="130"/>
      <c r="Q91" s="131"/>
      <c r="R91" s="130"/>
      <c r="S91" s="131"/>
      <c r="T91" s="130"/>
      <c r="U91" s="131"/>
      <c r="V91" s="130"/>
      <c r="W91" s="131"/>
      <c r="X91" s="130"/>
      <c r="Y91" s="131"/>
      <c r="Z91" s="130"/>
      <c r="AA91" s="131"/>
      <c r="AB91" s="130"/>
      <c r="AC91" s="131"/>
      <c r="AD91" s="130"/>
      <c r="AE91" s="131"/>
      <c r="AF91" s="130"/>
      <c r="AG91" s="131"/>
      <c r="AH91" s="130"/>
      <c r="AI91" s="131"/>
      <c r="AJ91" s="130"/>
      <c r="AK91" s="131"/>
      <c r="AL91" s="130"/>
      <c r="AM91" s="131"/>
      <c r="AN91" s="130"/>
      <c r="AO91" s="131"/>
      <c r="AP91" s="130"/>
      <c r="AQ91" s="131"/>
      <c r="AR91" s="130"/>
      <c r="AS91" s="131"/>
    </row>
    <row r="92" spans="1:45" x14ac:dyDescent="0.3">
      <c r="A92" s="126"/>
      <c r="B92" s="127"/>
      <c r="C92" s="127"/>
      <c r="D92" s="127"/>
      <c r="E92" s="126"/>
      <c r="G92" s="126"/>
      <c r="H92" s="126"/>
      <c r="I92" s="135"/>
      <c r="J92" s="127"/>
      <c r="L92" s="127"/>
      <c r="M92" s="127"/>
      <c r="N92" s="127"/>
      <c r="O92" s="137"/>
      <c r="P92" s="130"/>
      <c r="Q92" s="131"/>
      <c r="R92" s="130"/>
      <c r="S92" s="131"/>
      <c r="T92" s="130"/>
      <c r="U92" s="131"/>
      <c r="V92" s="130"/>
      <c r="W92" s="131"/>
      <c r="X92" s="130"/>
      <c r="Y92" s="131"/>
      <c r="Z92" s="130"/>
      <c r="AA92" s="131"/>
      <c r="AB92" s="130"/>
      <c r="AC92" s="131"/>
      <c r="AD92" s="130"/>
      <c r="AE92" s="131"/>
      <c r="AF92" s="130"/>
      <c r="AG92" s="131"/>
      <c r="AH92" s="130"/>
      <c r="AI92" s="131"/>
      <c r="AJ92" s="130"/>
      <c r="AK92" s="131"/>
      <c r="AL92" s="130"/>
      <c r="AM92" s="131"/>
      <c r="AN92" s="130"/>
      <c r="AO92" s="131"/>
      <c r="AP92" s="130"/>
      <c r="AQ92" s="131"/>
      <c r="AR92" s="130"/>
      <c r="AS92" s="131"/>
    </row>
    <row r="93" spans="1:45" x14ac:dyDescent="0.3">
      <c r="A93" s="126"/>
      <c r="B93" s="127"/>
      <c r="C93" s="127"/>
      <c r="D93" s="127"/>
      <c r="E93" s="126"/>
      <c r="G93" s="126"/>
      <c r="H93" s="126"/>
      <c r="I93" s="135"/>
      <c r="J93" s="127"/>
      <c r="L93" s="127"/>
      <c r="M93" s="127"/>
      <c r="N93" s="127"/>
      <c r="O93" s="137"/>
      <c r="P93" s="130"/>
      <c r="Q93" s="131"/>
      <c r="R93" s="130"/>
      <c r="S93" s="131"/>
      <c r="T93" s="130"/>
      <c r="U93" s="131"/>
      <c r="V93" s="130"/>
      <c r="W93" s="131"/>
      <c r="X93" s="130"/>
      <c r="Y93" s="131"/>
      <c r="Z93" s="130"/>
      <c r="AA93" s="131"/>
      <c r="AB93" s="130"/>
      <c r="AC93" s="131"/>
      <c r="AD93" s="130"/>
      <c r="AE93" s="131"/>
      <c r="AF93" s="130"/>
      <c r="AG93" s="131"/>
      <c r="AH93" s="130"/>
      <c r="AI93" s="131"/>
      <c r="AJ93" s="130"/>
      <c r="AK93" s="131"/>
      <c r="AL93" s="130"/>
      <c r="AM93" s="131"/>
      <c r="AN93" s="130"/>
      <c r="AO93" s="131"/>
      <c r="AP93" s="130"/>
      <c r="AQ93" s="131"/>
      <c r="AR93" s="130"/>
      <c r="AS93" s="131"/>
    </row>
    <row r="94" spans="1:45" x14ac:dyDescent="0.3">
      <c r="A94" s="126"/>
      <c r="B94" s="127"/>
      <c r="C94" s="127"/>
      <c r="D94" s="127"/>
      <c r="E94" s="126"/>
      <c r="G94" s="126"/>
      <c r="H94" s="126"/>
      <c r="I94" s="135"/>
      <c r="J94" s="127"/>
      <c r="L94" s="127"/>
      <c r="M94" s="127"/>
      <c r="N94" s="127"/>
      <c r="O94" s="137"/>
      <c r="P94" s="130"/>
      <c r="Q94" s="131"/>
      <c r="R94" s="130"/>
      <c r="S94" s="131"/>
      <c r="T94" s="130"/>
      <c r="U94" s="131"/>
      <c r="V94" s="130"/>
      <c r="W94" s="131"/>
      <c r="X94" s="130"/>
      <c r="Y94" s="131"/>
      <c r="Z94" s="130"/>
      <c r="AA94" s="131"/>
      <c r="AB94" s="130"/>
      <c r="AC94" s="131"/>
      <c r="AD94" s="130"/>
      <c r="AE94" s="131"/>
      <c r="AF94" s="130"/>
      <c r="AG94" s="131"/>
      <c r="AH94" s="130"/>
      <c r="AI94" s="131"/>
      <c r="AJ94" s="130"/>
      <c r="AK94" s="131"/>
      <c r="AL94" s="130"/>
      <c r="AM94" s="131"/>
      <c r="AN94" s="130"/>
      <c r="AO94" s="131"/>
      <c r="AP94" s="130"/>
      <c r="AQ94" s="131"/>
      <c r="AR94" s="130"/>
      <c r="AS94" s="131"/>
    </row>
    <row r="95" spans="1:45" x14ac:dyDescent="0.3">
      <c r="A95" s="126"/>
      <c r="B95" s="127"/>
      <c r="C95" s="127"/>
      <c r="D95" s="127"/>
      <c r="E95" s="126"/>
      <c r="G95" s="126"/>
      <c r="H95" s="126"/>
      <c r="I95" s="135"/>
      <c r="J95" s="127"/>
      <c r="L95" s="127"/>
      <c r="M95" s="127"/>
      <c r="N95" s="127"/>
      <c r="O95" s="137"/>
      <c r="P95" s="130"/>
      <c r="Q95" s="131"/>
      <c r="R95" s="130"/>
      <c r="S95" s="131"/>
      <c r="T95" s="130"/>
      <c r="U95" s="131"/>
      <c r="V95" s="130"/>
      <c r="W95" s="131"/>
      <c r="X95" s="130"/>
      <c r="Y95" s="131"/>
      <c r="Z95" s="130"/>
      <c r="AA95" s="131"/>
      <c r="AB95" s="130"/>
      <c r="AC95" s="131"/>
      <c r="AD95" s="130"/>
      <c r="AE95" s="131"/>
      <c r="AF95" s="130"/>
      <c r="AG95" s="131"/>
      <c r="AH95" s="130"/>
      <c r="AI95" s="131"/>
      <c r="AJ95" s="130"/>
      <c r="AK95" s="131"/>
      <c r="AL95" s="130"/>
      <c r="AM95" s="131"/>
      <c r="AN95" s="130"/>
      <c r="AO95" s="131"/>
      <c r="AP95" s="130"/>
      <c r="AQ95" s="131"/>
      <c r="AR95" s="130"/>
      <c r="AS95" s="131"/>
    </row>
    <row r="96" spans="1:45" x14ac:dyDescent="0.3">
      <c r="A96" s="126"/>
      <c r="B96" s="127"/>
      <c r="C96" s="127"/>
      <c r="D96" s="127"/>
      <c r="E96" s="126"/>
      <c r="G96" s="126"/>
      <c r="H96" s="126"/>
      <c r="I96" s="135"/>
      <c r="J96" s="127"/>
      <c r="L96" s="127"/>
      <c r="M96" s="127"/>
      <c r="N96" s="127"/>
      <c r="O96" s="137"/>
      <c r="P96" s="130"/>
      <c r="Q96" s="131"/>
      <c r="R96" s="130"/>
      <c r="S96" s="131"/>
      <c r="T96" s="130"/>
      <c r="U96" s="131"/>
      <c r="V96" s="130"/>
      <c r="W96" s="131"/>
      <c r="X96" s="130"/>
      <c r="Y96" s="131"/>
      <c r="Z96" s="130"/>
      <c r="AA96" s="131"/>
      <c r="AB96" s="130"/>
      <c r="AC96" s="131"/>
      <c r="AD96" s="130"/>
      <c r="AE96" s="131"/>
      <c r="AF96" s="130"/>
      <c r="AG96" s="131"/>
      <c r="AH96" s="130"/>
      <c r="AI96" s="131"/>
      <c r="AJ96" s="130"/>
      <c r="AK96" s="131"/>
      <c r="AL96" s="130"/>
      <c r="AM96" s="131"/>
      <c r="AN96" s="130"/>
      <c r="AO96" s="131"/>
      <c r="AP96" s="130"/>
      <c r="AQ96" s="131"/>
      <c r="AR96" s="130"/>
      <c r="AS96" s="131"/>
    </row>
    <row r="97" spans="1:45" x14ac:dyDescent="0.3">
      <c r="A97" s="126"/>
      <c r="B97" s="127"/>
      <c r="C97" s="127"/>
      <c r="D97" s="127"/>
      <c r="E97" s="126"/>
      <c r="G97" s="126"/>
      <c r="H97" s="126"/>
      <c r="I97" s="135"/>
      <c r="J97" s="127"/>
      <c r="L97" s="127"/>
      <c r="M97" s="127"/>
      <c r="N97" s="127"/>
      <c r="O97" s="137"/>
      <c r="P97" s="130"/>
      <c r="Q97" s="131"/>
      <c r="R97" s="130"/>
      <c r="S97" s="131"/>
      <c r="T97" s="130"/>
      <c r="U97" s="131"/>
      <c r="V97" s="130"/>
      <c r="W97" s="131"/>
      <c r="X97" s="130"/>
      <c r="Y97" s="131"/>
      <c r="Z97" s="130"/>
      <c r="AA97" s="131"/>
      <c r="AB97" s="130"/>
      <c r="AC97" s="131"/>
      <c r="AD97" s="130"/>
      <c r="AE97" s="131"/>
      <c r="AF97" s="130"/>
      <c r="AG97" s="131"/>
      <c r="AH97" s="130"/>
      <c r="AI97" s="131"/>
      <c r="AJ97" s="130"/>
      <c r="AK97" s="131"/>
      <c r="AL97" s="130"/>
      <c r="AM97" s="131"/>
      <c r="AN97" s="130"/>
      <c r="AO97" s="131"/>
      <c r="AP97" s="130"/>
      <c r="AQ97" s="131"/>
      <c r="AR97" s="130"/>
      <c r="AS97" s="131"/>
    </row>
    <row r="98" spans="1:45" x14ac:dyDescent="0.3">
      <c r="A98" s="126"/>
      <c r="B98" s="127"/>
      <c r="C98" s="127"/>
      <c r="D98" s="127"/>
      <c r="E98" s="126"/>
      <c r="G98" s="126"/>
      <c r="H98" s="126"/>
      <c r="I98" s="135"/>
      <c r="J98" s="127"/>
      <c r="L98" s="127"/>
      <c r="M98" s="127"/>
      <c r="N98" s="127"/>
      <c r="O98" s="137"/>
      <c r="P98" s="130"/>
      <c r="Q98" s="131"/>
      <c r="R98" s="130"/>
      <c r="S98" s="131"/>
      <c r="T98" s="130"/>
      <c r="U98" s="131"/>
      <c r="V98" s="130"/>
      <c r="W98" s="131"/>
      <c r="X98" s="130"/>
      <c r="Y98" s="131"/>
      <c r="Z98" s="130"/>
      <c r="AA98" s="131"/>
      <c r="AB98" s="130"/>
      <c r="AC98" s="131"/>
      <c r="AD98" s="130"/>
      <c r="AE98" s="131"/>
      <c r="AF98" s="130"/>
      <c r="AG98" s="131"/>
      <c r="AH98" s="130"/>
      <c r="AI98" s="131"/>
      <c r="AJ98" s="130"/>
      <c r="AK98" s="131"/>
      <c r="AL98" s="130"/>
      <c r="AM98" s="131"/>
      <c r="AN98" s="130"/>
      <c r="AO98" s="131"/>
      <c r="AP98" s="130"/>
      <c r="AQ98" s="131"/>
      <c r="AR98" s="130"/>
      <c r="AS98" s="131"/>
    </row>
    <row r="99" spans="1:45" x14ac:dyDescent="0.3">
      <c r="A99" s="126"/>
      <c r="B99" s="127"/>
      <c r="C99" s="127"/>
      <c r="D99" s="127"/>
      <c r="E99" s="126"/>
      <c r="G99" s="126"/>
      <c r="H99" s="126"/>
      <c r="I99" s="135"/>
      <c r="J99" s="127"/>
      <c r="L99" s="127"/>
      <c r="M99" s="127"/>
      <c r="N99" s="127"/>
      <c r="O99" s="137"/>
      <c r="P99" s="130"/>
      <c r="Q99" s="131"/>
      <c r="R99" s="130"/>
      <c r="S99" s="131"/>
      <c r="T99" s="130"/>
      <c r="U99" s="131"/>
      <c r="V99" s="130"/>
      <c r="W99" s="131"/>
      <c r="X99" s="130"/>
      <c r="Y99" s="131"/>
      <c r="Z99" s="130"/>
      <c r="AA99" s="131"/>
      <c r="AB99" s="130"/>
      <c r="AC99" s="131"/>
      <c r="AD99" s="130"/>
      <c r="AE99" s="131"/>
      <c r="AF99" s="130"/>
      <c r="AG99" s="131"/>
      <c r="AH99" s="130"/>
      <c r="AI99" s="131"/>
      <c r="AJ99" s="130"/>
      <c r="AK99" s="131"/>
      <c r="AL99" s="130"/>
      <c r="AM99" s="131"/>
      <c r="AN99" s="130"/>
      <c r="AO99" s="131"/>
      <c r="AP99" s="130"/>
      <c r="AQ99" s="131"/>
      <c r="AR99" s="130"/>
      <c r="AS99" s="131"/>
    </row>
    <row r="100" spans="1:45" x14ac:dyDescent="0.3">
      <c r="A100" s="126"/>
      <c r="B100" s="127"/>
      <c r="C100" s="127"/>
      <c r="D100" s="127"/>
      <c r="E100" s="126"/>
      <c r="G100" s="126"/>
      <c r="H100" s="126"/>
      <c r="I100" s="135"/>
      <c r="J100" s="127"/>
      <c r="L100" s="127"/>
      <c r="M100" s="127"/>
      <c r="N100" s="127"/>
      <c r="O100" s="137"/>
      <c r="P100" s="130"/>
      <c r="Q100" s="131"/>
      <c r="R100" s="130"/>
      <c r="S100" s="131"/>
      <c r="T100" s="130"/>
      <c r="U100" s="131"/>
      <c r="V100" s="130"/>
      <c r="W100" s="131"/>
      <c r="X100" s="130"/>
      <c r="Y100" s="131"/>
      <c r="Z100" s="130"/>
      <c r="AA100" s="131"/>
      <c r="AB100" s="130"/>
      <c r="AC100" s="131"/>
      <c r="AD100" s="130"/>
      <c r="AE100" s="131"/>
      <c r="AF100" s="130"/>
      <c r="AG100" s="131"/>
      <c r="AH100" s="130"/>
      <c r="AI100" s="131"/>
      <c r="AJ100" s="130"/>
      <c r="AK100" s="131"/>
      <c r="AL100" s="130"/>
      <c r="AM100" s="131"/>
      <c r="AN100" s="130"/>
      <c r="AO100" s="131"/>
      <c r="AP100" s="130"/>
      <c r="AQ100" s="131"/>
      <c r="AR100" s="130"/>
      <c r="AS100" s="131"/>
    </row>
    <row r="101" spans="1:45" x14ac:dyDescent="0.3">
      <c r="A101" s="126"/>
      <c r="B101" s="127"/>
      <c r="C101" s="127"/>
      <c r="D101" s="127"/>
      <c r="E101" s="126"/>
      <c r="G101" s="126"/>
      <c r="H101" s="126"/>
      <c r="I101" s="135"/>
      <c r="J101" s="127"/>
      <c r="L101" s="127"/>
      <c r="M101" s="127"/>
      <c r="N101" s="127"/>
      <c r="O101" s="137"/>
      <c r="P101" s="130"/>
      <c r="Q101" s="131"/>
      <c r="R101" s="130"/>
      <c r="S101" s="131"/>
      <c r="T101" s="130"/>
      <c r="U101" s="131"/>
      <c r="V101" s="130"/>
      <c r="W101" s="131"/>
      <c r="X101" s="130"/>
      <c r="Y101" s="131"/>
      <c r="Z101" s="130"/>
      <c r="AA101" s="131"/>
      <c r="AB101" s="130"/>
      <c r="AC101" s="131"/>
      <c r="AD101" s="130"/>
      <c r="AE101" s="131"/>
      <c r="AF101" s="130"/>
      <c r="AG101" s="131"/>
      <c r="AH101" s="130"/>
      <c r="AI101" s="131"/>
      <c r="AJ101" s="130"/>
      <c r="AK101" s="131"/>
      <c r="AL101" s="130"/>
      <c r="AM101" s="131"/>
      <c r="AN101" s="130"/>
      <c r="AO101" s="131"/>
      <c r="AP101" s="130"/>
      <c r="AQ101" s="131"/>
      <c r="AR101" s="130"/>
      <c r="AS101" s="131"/>
    </row>
    <row r="102" spans="1:45" x14ac:dyDescent="0.3">
      <c r="A102" s="126"/>
      <c r="B102" s="127"/>
      <c r="C102" s="127"/>
      <c r="D102" s="127"/>
      <c r="E102" s="126"/>
      <c r="G102" s="126"/>
      <c r="H102" s="126"/>
      <c r="I102" s="135"/>
      <c r="J102" s="127"/>
      <c r="L102" s="127"/>
      <c r="M102" s="127"/>
      <c r="N102" s="127"/>
      <c r="O102" s="137"/>
      <c r="P102" s="130"/>
      <c r="Q102" s="131"/>
      <c r="R102" s="130"/>
      <c r="S102" s="131"/>
      <c r="T102" s="130"/>
      <c r="U102" s="131"/>
      <c r="V102" s="130"/>
      <c r="W102" s="131"/>
      <c r="X102" s="130"/>
      <c r="Y102" s="131"/>
      <c r="Z102" s="130"/>
      <c r="AA102" s="131"/>
      <c r="AB102" s="130"/>
      <c r="AC102" s="131"/>
      <c r="AD102" s="130"/>
      <c r="AE102" s="131"/>
      <c r="AF102" s="130"/>
      <c r="AG102" s="131"/>
      <c r="AH102" s="130"/>
      <c r="AI102" s="131"/>
      <c r="AJ102" s="130"/>
      <c r="AK102" s="131"/>
      <c r="AL102" s="130"/>
      <c r="AM102" s="131"/>
      <c r="AN102" s="130"/>
      <c r="AO102" s="131"/>
      <c r="AP102" s="130"/>
      <c r="AQ102" s="131"/>
      <c r="AR102" s="130"/>
      <c r="AS102" s="131"/>
    </row>
    <row r="103" spans="1:45" x14ac:dyDescent="0.3">
      <c r="A103" s="126"/>
      <c r="B103" s="127"/>
      <c r="C103" s="127"/>
      <c r="D103" s="127"/>
      <c r="E103" s="126"/>
      <c r="G103" s="126"/>
      <c r="H103" s="126"/>
      <c r="I103" s="135"/>
      <c r="J103" s="127"/>
      <c r="L103" s="127"/>
      <c r="M103" s="127"/>
      <c r="N103" s="127"/>
      <c r="O103" s="137"/>
      <c r="P103" s="130"/>
      <c r="Q103" s="131"/>
      <c r="R103" s="130"/>
      <c r="S103" s="131"/>
      <c r="T103" s="130"/>
      <c r="U103" s="131"/>
      <c r="V103" s="130"/>
      <c r="W103" s="131"/>
      <c r="X103" s="130"/>
      <c r="Y103" s="131"/>
      <c r="Z103" s="130"/>
      <c r="AA103" s="131"/>
      <c r="AB103" s="130"/>
      <c r="AC103" s="131"/>
      <c r="AD103" s="130"/>
      <c r="AE103" s="131"/>
      <c r="AF103" s="130"/>
      <c r="AG103" s="131"/>
      <c r="AH103" s="130"/>
      <c r="AI103" s="131"/>
      <c r="AJ103" s="130"/>
      <c r="AK103" s="131"/>
      <c r="AL103" s="130"/>
      <c r="AM103" s="131"/>
      <c r="AN103" s="130"/>
      <c r="AO103" s="131"/>
      <c r="AP103" s="130"/>
      <c r="AQ103" s="131"/>
      <c r="AR103" s="130"/>
      <c r="AS103" s="131"/>
    </row>
    <row r="104" spans="1:45" x14ac:dyDescent="0.3">
      <c r="A104" s="126"/>
      <c r="B104" s="127"/>
      <c r="C104" s="127"/>
      <c r="D104" s="127"/>
      <c r="E104" s="126"/>
      <c r="G104" s="126"/>
      <c r="H104" s="126"/>
      <c r="I104" s="135"/>
      <c r="J104" s="127"/>
      <c r="L104" s="127"/>
      <c r="M104" s="127"/>
      <c r="N104" s="127"/>
      <c r="O104" s="137"/>
      <c r="P104" s="130"/>
      <c r="Q104" s="131"/>
      <c r="R104" s="130"/>
      <c r="S104" s="131"/>
      <c r="T104" s="130"/>
      <c r="U104" s="131"/>
      <c r="V104" s="130"/>
      <c r="W104" s="131"/>
      <c r="X104" s="130"/>
      <c r="Y104" s="131"/>
      <c r="Z104" s="130"/>
      <c r="AA104" s="131"/>
      <c r="AB104" s="130"/>
      <c r="AC104" s="131"/>
      <c r="AD104" s="130"/>
      <c r="AE104" s="131"/>
      <c r="AF104" s="130"/>
      <c r="AG104" s="131"/>
      <c r="AH104" s="130"/>
      <c r="AI104" s="131"/>
      <c r="AJ104" s="130"/>
      <c r="AK104" s="131"/>
      <c r="AL104" s="130"/>
      <c r="AM104" s="131"/>
      <c r="AN104" s="130"/>
      <c r="AO104" s="131"/>
      <c r="AP104" s="130"/>
      <c r="AQ104" s="131"/>
      <c r="AR104" s="130"/>
      <c r="AS104" s="131"/>
    </row>
    <row r="105" spans="1:45" x14ac:dyDescent="0.3">
      <c r="A105" s="126"/>
      <c r="B105" s="127"/>
      <c r="C105" s="127"/>
      <c r="D105" s="127"/>
      <c r="E105" s="126"/>
      <c r="G105" s="126"/>
      <c r="H105" s="126"/>
      <c r="I105" s="135"/>
      <c r="J105" s="127"/>
      <c r="L105" s="127"/>
      <c r="M105" s="127"/>
      <c r="N105" s="127"/>
      <c r="O105" s="137"/>
      <c r="P105" s="130"/>
      <c r="Q105" s="131"/>
      <c r="R105" s="130"/>
      <c r="S105" s="131"/>
      <c r="T105" s="130"/>
      <c r="U105" s="131"/>
      <c r="V105" s="130"/>
      <c r="W105" s="131"/>
      <c r="X105" s="130"/>
      <c r="Y105" s="131"/>
      <c r="Z105" s="130"/>
      <c r="AA105" s="131"/>
      <c r="AB105" s="130"/>
      <c r="AC105" s="131"/>
      <c r="AD105" s="130"/>
      <c r="AE105" s="131"/>
      <c r="AF105" s="130"/>
      <c r="AG105" s="131"/>
      <c r="AH105" s="130"/>
      <c r="AI105" s="131"/>
      <c r="AJ105" s="130"/>
      <c r="AK105" s="131"/>
      <c r="AL105" s="130"/>
      <c r="AM105" s="131"/>
      <c r="AN105" s="130"/>
      <c r="AO105" s="131"/>
      <c r="AP105" s="130"/>
      <c r="AQ105" s="131"/>
      <c r="AR105" s="130"/>
      <c r="AS105" s="131"/>
    </row>
    <row r="106" spans="1:45" x14ac:dyDescent="0.3">
      <c r="A106" s="126"/>
      <c r="B106" s="127"/>
      <c r="C106" s="127"/>
      <c r="D106" s="127"/>
      <c r="E106" s="126"/>
      <c r="G106" s="126"/>
      <c r="H106" s="126"/>
      <c r="I106" s="135"/>
      <c r="J106" s="127"/>
      <c r="L106" s="127"/>
      <c r="M106" s="127"/>
      <c r="N106" s="127"/>
      <c r="O106" s="137"/>
      <c r="P106" s="130"/>
      <c r="Q106" s="131"/>
      <c r="R106" s="130"/>
      <c r="S106" s="131"/>
      <c r="T106" s="130"/>
      <c r="U106" s="131"/>
      <c r="V106" s="130"/>
      <c r="W106" s="131"/>
      <c r="X106" s="130"/>
      <c r="Y106" s="131"/>
      <c r="Z106" s="130"/>
      <c r="AA106" s="131"/>
      <c r="AB106" s="130"/>
      <c r="AC106" s="131"/>
      <c r="AD106" s="130"/>
      <c r="AE106" s="131"/>
      <c r="AF106" s="130"/>
      <c r="AG106" s="131"/>
      <c r="AH106" s="130"/>
      <c r="AI106" s="131"/>
      <c r="AJ106" s="130"/>
      <c r="AK106" s="131"/>
      <c r="AL106" s="130"/>
      <c r="AM106" s="131"/>
      <c r="AN106" s="130"/>
      <c r="AO106" s="131"/>
      <c r="AP106" s="130"/>
      <c r="AQ106" s="131"/>
      <c r="AR106" s="130"/>
      <c r="AS106" s="131"/>
    </row>
    <row r="107" spans="1:45" x14ac:dyDescent="0.3">
      <c r="A107" s="126"/>
      <c r="B107" s="127"/>
      <c r="C107" s="127"/>
      <c r="D107" s="127"/>
      <c r="E107" s="126"/>
      <c r="G107" s="126"/>
      <c r="H107" s="126"/>
      <c r="I107" s="135"/>
      <c r="J107" s="127"/>
      <c r="L107" s="127"/>
      <c r="M107" s="127"/>
      <c r="N107" s="127"/>
      <c r="O107" s="137"/>
      <c r="P107" s="130"/>
      <c r="Q107" s="131"/>
      <c r="R107" s="130"/>
      <c r="S107" s="131"/>
      <c r="T107" s="130"/>
      <c r="U107" s="131"/>
      <c r="V107" s="130"/>
      <c r="W107" s="131"/>
      <c r="X107" s="130"/>
      <c r="Y107" s="131"/>
      <c r="Z107" s="130"/>
      <c r="AA107" s="131"/>
      <c r="AB107" s="130"/>
      <c r="AC107" s="131"/>
      <c r="AD107" s="130"/>
      <c r="AE107" s="131"/>
      <c r="AF107" s="130"/>
      <c r="AG107" s="131"/>
      <c r="AH107" s="130"/>
      <c r="AI107" s="131"/>
      <c r="AJ107" s="130"/>
      <c r="AK107" s="131"/>
      <c r="AL107" s="130"/>
      <c r="AM107" s="131"/>
      <c r="AN107" s="130"/>
      <c r="AO107" s="131"/>
      <c r="AP107" s="130"/>
      <c r="AQ107" s="131"/>
      <c r="AR107" s="130"/>
      <c r="AS107" s="131"/>
    </row>
    <row r="108" spans="1:45" x14ac:dyDescent="0.3">
      <c r="A108" s="126"/>
      <c r="B108" s="127"/>
      <c r="C108" s="127"/>
      <c r="D108" s="127"/>
      <c r="E108" s="126"/>
      <c r="G108" s="126"/>
      <c r="H108" s="126"/>
      <c r="I108" s="135"/>
      <c r="J108" s="127"/>
      <c r="L108" s="127"/>
      <c r="M108" s="127"/>
      <c r="N108" s="127"/>
      <c r="O108" s="137"/>
      <c r="P108" s="130"/>
      <c r="Q108" s="131"/>
      <c r="R108" s="130"/>
      <c r="S108" s="131"/>
      <c r="T108" s="130"/>
      <c r="U108" s="131"/>
      <c r="V108" s="130"/>
      <c r="W108" s="131"/>
      <c r="X108" s="130"/>
      <c r="Y108" s="131"/>
      <c r="Z108" s="130"/>
      <c r="AA108" s="131"/>
      <c r="AB108" s="130"/>
      <c r="AC108" s="131"/>
      <c r="AD108" s="130"/>
      <c r="AE108" s="131"/>
      <c r="AF108" s="130"/>
      <c r="AG108" s="131"/>
      <c r="AH108" s="130"/>
      <c r="AI108" s="131"/>
      <c r="AJ108" s="130"/>
      <c r="AK108" s="131"/>
      <c r="AL108" s="130"/>
      <c r="AM108" s="131"/>
      <c r="AN108" s="130"/>
      <c r="AO108" s="131"/>
      <c r="AP108" s="130"/>
      <c r="AQ108" s="131"/>
      <c r="AR108" s="130"/>
      <c r="AS108" s="131"/>
    </row>
    <row r="109" spans="1:45" x14ac:dyDescent="0.3">
      <c r="A109" s="126"/>
      <c r="B109" s="127"/>
      <c r="C109" s="127"/>
      <c r="D109" s="127"/>
      <c r="E109" s="126"/>
      <c r="G109" s="126"/>
      <c r="H109" s="126"/>
      <c r="I109" s="135"/>
      <c r="J109" s="127"/>
      <c r="L109" s="127"/>
      <c r="M109" s="127"/>
      <c r="N109" s="127"/>
      <c r="O109" s="137"/>
      <c r="P109" s="130"/>
      <c r="Q109" s="131"/>
      <c r="R109" s="130"/>
      <c r="S109" s="131"/>
      <c r="T109" s="130"/>
      <c r="U109" s="131"/>
      <c r="V109" s="130"/>
      <c r="W109" s="131"/>
      <c r="X109" s="130"/>
      <c r="Y109" s="131"/>
      <c r="Z109" s="130"/>
      <c r="AA109" s="131"/>
      <c r="AB109" s="130"/>
      <c r="AC109" s="131"/>
      <c r="AD109" s="130"/>
      <c r="AE109" s="131"/>
      <c r="AF109" s="130"/>
      <c r="AG109" s="131"/>
      <c r="AH109" s="130"/>
      <c r="AI109" s="131"/>
      <c r="AJ109" s="130"/>
      <c r="AK109" s="131"/>
      <c r="AL109" s="130"/>
      <c r="AM109" s="131"/>
      <c r="AN109" s="130"/>
      <c r="AO109" s="131"/>
      <c r="AP109" s="130"/>
      <c r="AQ109" s="131"/>
      <c r="AR109" s="130"/>
      <c r="AS109" s="131"/>
    </row>
    <row r="110" spans="1:45" x14ac:dyDescent="0.3">
      <c r="A110" s="126"/>
      <c r="B110" s="127"/>
      <c r="C110" s="127"/>
      <c r="D110" s="127"/>
      <c r="E110" s="126"/>
      <c r="G110" s="126"/>
      <c r="H110" s="126"/>
      <c r="I110" s="135"/>
      <c r="J110" s="127"/>
      <c r="L110" s="127"/>
      <c r="M110" s="127"/>
      <c r="N110" s="127"/>
      <c r="O110" s="137"/>
      <c r="P110" s="130"/>
      <c r="Q110" s="131"/>
      <c r="R110" s="130"/>
      <c r="S110" s="131"/>
      <c r="T110" s="130"/>
      <c r="U110" s="131"/>
      <c r="V110" s="130"/>
      <c r="W110" s="131"/>
      <c r="X110" s="130"/>
      <c r="Y110" s="131"/>
      <c r="Z110" s="130"/>
      <c r="AA110" s="131"/>
      <c r="AB110" s="130"/>
      <c r="AC110" s="131"/>
      <c r="AD110" s="130"/>
      <c r="AE110" s="131"/>
      <c r="AF110" s="130"/>
      <c r="AG110" s="131"/>
      <c r="AH110" s="130"/>
      <c r="AI110" s="131"/>
      <c r="AJ110" s="130"/>
      <c r="AK110" s="131"/>
      <c r="AL110" s="130"/>
      <c r="AM110" s="131"/>
      <c r="AN110" s="130"/>
      <c r="AO110" s="131"/>
      <c r="AP110" s="130"/>
      <c r="AQ110" s="131"/>
      <c r="AR110" s="130"/>
      <c r="AS110" s="131"/>
    </row>
    <row r="111" spans="1:45" x14ac:dyDescent="0.3">
      <c r="A111" s="126"/>
      <c r="B111" s="127"/>
      <c r="C111" s="127"/>
      <c r="D111" s="127"/>
      <c r="E111" s="126"/>
      <c r="G111" s="126"/>
      <c r="H111" s="126"/>
      <c r="I111" s="135"/>
      <c r="J111" s="127"/>
      <c r="L111" s="127"/>
      <c r="M111" s="127"/>
      <c r="N111" s="127"/>
      <c r="O111" s="137"/>
      <c r="P111" s="130"/>
      <c r="Q111" s="131"/>
      <c r="R111" s="130"/>
      <c r="S111" s="131"/>
      <c r="T111" s="130"/>
      <c r="U111" s="131"/>
      <c r="V111" s="130"/>
      <c r="W111" s="131"/>
      <c r="X111" s="130"/>
      <c r="Y111" s="131"/>
      <c r="Z111" s="130"/>
      <c r="AA111" s="131"/>
      <c r="AB111" s="130"/>
      <c r="AC111" s="131"/>
      <c r="AD111" s="130"/>
      <c r="AE111" s="131"/>
      <c r="AF111" s="130"/>
      <c r="AG111" s="131"/>
      <c r="AH111" s="130"/>
      <c r="AI111" s="131"/>
      <c r="AJ111" s="130"/>
      <c r="AK111" s="131"/>
      <c r="AL111" s="130"/>
      <c r="AM111" s="131"/>
      <c r="AN111" s="130"/>
      <c r="AO111" s="131"/>
      <c r="AP111" s="130"/>
      <c r="AQ111" s="131"/>
      <c r="AR111" s="130"/>
      <c r="AS111" s="131"/>
    </row>
    <row r="112" spans="1:45" x14ac:dyDescent="0.3">
      <c r="A112" s="126"/>
      <c r="B112" s="127"/>
      <c r="C112" s="127"/>
      <c r="D112" s="127"/>
      <c r="E112" s="126"/>
      <c r="G112" s="126"/>
      <c r="H112" s="126"/>
      <c r="I112" s="135"/>
      <c r="J112" s="127"/>
      <c r="L112" s="127"/>
      <c r="M112" s="127"/>
      <c r="N112" s="127"/>
      <c r="O112" s="137"/>
      <c r="P112" s="130"/>
      <c r="Q112" s="131"/>
      <c r="R112" s="130"/>
      <c r="S112" s="131"/>
      <c r="T112" s="130"/>
      <c r="U112" s="131"/>
      <c r="V112" s="130"/>
      <c r="W112" s="131"/>
      <c r="X112" s="130"/>
      <c r="Y112" s="131"/>
      <c r="Z112" s="130"/>
      <c r="AA112" s="131"/>
      <c r="AB112" s="130"/>
      <c r="AC112" s="131"/>
      <c r="AD112" s="130"/>
      <c r="AE112" s="131"/>
      <c r="AF112" s="130"/>
      <c r="AG112" s="131"/>
      <c r="AH112" s="130"/>
      <c r="AI112" s="131"/>
      <c r="AJ112" s="130"/>
      <c r="AK112" s="131"/>
      <c r="AL112" s="130"/>
      <c r="AM112" s="131"/>
      <c r="AN112" s="130"/>
      <c r="AO112" s="131"/>
      <c r="AP112" s="130"/>
      <c r="AQ112" s="131"/>
      <c r="AR112" s="130"/>
      <c r="AS112" s="131"/>
    </row>
    <row r="113" spans="1:45" x14ac:dyDescent="0.3">
      <c r="A113" s="126"/>
      <c r="B113" s="127"/>
      <c r="C113" s="127"/>
      <c r="D113" s="127"/>
      <c r="E113" s="126"/>
      <c r="G113" s="126"/>
      <c r="H113" s="126"/>
      <c r="I113" s="135"/>
      <c r="J113" s="127"/>
      <c r="L113" s="127"/>
      <c r="M113" s="127"/>
      <c r="N113" s="127"/>
      <c r="O113" s="137"/>
      <c r="P113" s="130"/>
      <c r="Q113" s="131"/>
      <c r="R113" s="130"/>
      <c r="S113" s="131"/>
      <c r="T113" s="130"/>
      <c r="U113" s="131"/>
      <c r="V113" s="130"/>
      <c r="W113" s="131"/>
      <c r="X113" s="130"/>
      <c r="Y113" s="131"/>
      <c r="Z113" s="130"/>
      <c r="AA113" s="131"/>
      <c r="AB113" s="130"/>
      <c r="AC113" s="131"/>
      <c r="AD113" s="130"/>
      <c r="AE113" s="131"/>
      <c r="AF113" s="130"/>
      <c r="AG113" s="131"/>
      <c r="AH113" s="130"/>
      <c r="AI113" s="131"/>
      <c r="AJ113" s="130"/>
      <c r="AK113" s="131"/>
      <c r="AL113" s="130"/>
      <c r="AM113" s="131"/>
      <c r="AN113" s="130"/>
      <c r="AO113" s="131"/>
      <c r="AP113" s="130"/>
      <c r="AQ113" s="131"/>
      <c r="AR113" s="130"/>
      <c r="AS113" s="131"/>
    </row>
    <row r="114" spans="1:45" x14ac:dyDescent="0.3">
      <c r="A114" s="126"/>
      <c r="B114" s="127"/>
      <c r="C114" s="127"/>
      <c r="D114" s="127"/>
      <c r="E114" s="126"/>
      <c r="G114" s="126"/>
      <c r="H114" s="126"/>
      <c r="I114" s="135"/>
      <c r="J114" s="127"/>
      <c r="L114" s="127"/>
      <c r="M114" s="127"/>
      <c r="N114" s="127"/>
      <c r="O114" s="137"/>
      <c r="P114" s="130"/>
      <c r="Q114" s="131"/>
      <c r="R114" s="130"/>
      <c r="S114" s="131"/>
      <c r="T114" s="130"/>
      <c r="U114" s="131"/>
      <c r="V114" s="130"/>
      <c r="W114" s="131"/>
      <c r="X114" s="130"/>
      <c r="Y114" s="131"/>
      <c r="Z114" s="130"/>
      <c r="AA114" s="131"/>
      <c r="AB114" s="130"/>
      <c r="AC114" s="131"/>
      <c r="AD114" s="130"/>
      <c r="AE114" s="131"/>
      <c r="AF114" s="130"/>
      <c r="AG114" s="131"/>
      <c r="AH114" s="130"/>
      <c r="AI114" s="131"/>
      <c r="AJ114" s="130"/>
      <c r="AK114" s="131"/>
      <c r="AL114" s="130"/>
      <c r="AM114" s="131"/>
      <c r="AN114" s="130"/>
      <c r="AO114" s="131"/>
      <c r="AP114" s="130"/>
      <c r="AQ114" s="131"/>
      <c r="AR114" s="130"/>
      <c r="AS114" s="131"/>
    </row>
    <row r="115" spans="1:45" x14ac:dyDescent="0.3">
      <c r="A115" s="126"/>
      <c r="B115" s="127"/>
      <c r="C115" s="127"/>
      <c r="D115" s="127"/>
      <c r="E115" s="126"/>
      <c r="G115" s="126"/>
      <c r="H115" s="126"/>
      <c r="I115" s="135"/>
      <c r="J115" s="127"/>
      <c r="L115" s="127"/>
      <c r="M115" s="127"/>
      <c r="N115" s="127"/>
      <c r="O115" s="137"/>
      <c r="P115" s="130"/>
      <c r="Q115" s="131"/>
      <c r="R115" s="130"/>
      <c r="S115" s="131"/>
      <c r="T115" s="130"/>
      <c r="U115" s="131"/>
      <c r="V115" s="130"/>
      <c r="W115" s="131"/>
      <c r="X115" s="130"/>
      <c r="Y115" s="131"/>
      <c r="Z115" s="130"/>
      <c r="AA115" s="131"/>
      <c r="AB115" s="130"/>
      <c r="AC115" s="131"/>
      <c r="AD115" s="130"/>
      <c r="AE115" s="131"/>
      <c r="AF115" s="130"/>
      <c r="AG115" s="131"/>
      <c r="AH115" s="130"/>
      <c r="AI115" s="131"/>
      <c r="AJ115" s="130"/>
      <c r="AK115" s="131"/>
      <c r="AL115" s="130"/>
      <c r="AM115" s="131"/>
      <c r="AN115" s="130"/>
      <c r="AO115" s="131"/>
      <c r="AP115" s="130"/>
      <c r="AQ115" s="131"/>
      <c r="AR115" s="130"/>
      <c r="AS115" s="131"/>
    </row>
    <row r="116" spans="1:45" x14ac:dyDescent="0.3">
      <c r="A116" s="126"/>
      <c r="B116" s="127"/>
      <c r="C116" s="127"/>
      <c r="D116" s="127"/>
      <c r="E116" s="126"/>
      <c r="G116" s="126"/>
      <c r="H116" s="126"/>
      <c r="I116" s="135"/>
      <c r="J116" s="127"/>
      <c r="L116" s="127"/>
      <c r="M116" s="127"/>
      <c r="N116" s="127"/>
      <c r="O116" s="137"/>
      <c r="P116" s="130"/>
      <c r="Q116" s="131"/>
      <c r="R116" s="130"/>
      <c r="S116" s="131"/>
      <c r="T116" s="130"/>
      <c r="U116" s="131"/>
      <c r="V116" s="130"/>
      <c r="W116" s="131"/>
      <c r="X116" s="130"/>
      <c r="Y116" s="131"/>
      <c r="Z116" s="130"/>
      <c r="AA116" s="131"/>
      <c r="AB116" s="130"/>
      <c r="AC116" s="131"/>
      <c r="AD116" s="130"/>
      <c r="AE116" s="131"/>
      <c r="AF116" s="130"/>
      <c r="AG116" s="131"/>
      <c r="AH116" s="130"/>
      <c r="AI116" s="131"/>
      <c r="AJ116" s="130"/>
      <c r="AK116" s="131"/>
      <c r="AL116" s="130"/>
      <c r="AM116" s="131"/>
      <c r="AN116" s="130"/>
      <c r="AO116" s="131"/>
      <c r="AP116" s="130"/>
      <c r="AQ116" s="131"/>
      <c r="AR116" s="130"/>
      <c r="AS116" s="131"/>
    </row>
    <row r="117" spans="1:45" x14ac:dyDescent="0.3">
      <c r="A117" s="126"/>
      <c r="B117" s="127"/>
      <c r="C117" s="127"/>
      <c r="D117" s="127"/>
      <c r="E117" s="126"/>
      <c r="G117" s="126"/>
      <c r="H117" s="126"/>
      <c r="I117" s="135"/>
      <c r="J117" s="127"/>
      <c r="L117" s="127"/>
      <c r="M117" s="127"/>
      <c r="N117" s="127"/>
      <c r="O117" s="137"/>
      <c r="P117" s="130"/>
      <c r="Q117" s="131"/>
      <c r="R117" s="130"/>
      <c r="S117" s="131"/>
      <c r="T117" s="130"/>
      <c r="U117" s="131"/>
      <c r="V117" s="130"/>
      <c r="W117" s="131"/>
      <c r="X117" s="130"/>
      <c r="Y117" s="131"/>
      <c r="Z117" s="130"/>
      <c r="AA117" s="131"/>
      <c r="AB117" s="130"/>
      <c r="AC117" s="131"/>
      <c r="AD117" s="130"/>
      <c r="AE117" s="131"/>
      <c r="AF117" s="130"/>
      <c r="AG117" s="131"/>
      <c r="AH117" s="130"/>
      <c r="AI117" s="131"/>
      <c r="AJ117" s="130"/>
      <c r="AK117" s="131"/>
      <c r="AL117" s="130"/>
      <c r="AM117" s="131"/>
      <c r="AN117" s="130"/>
      <c r="AO117" s="131"/>
      <c r="AP117" s="130"/>
      <c r="AQ117" s="131"/>
      <c r="AR117" s="130"/>
      <c r="AS117" s="131"/>
    </row>
    <row r="118" spans="1:45" x14ac:dyDescent="0.3">
      <c r="A118" s="126"/>
      <c r="B118" s="127"/>
      <c r="C118" s="127"/>
      <c r="D118" s="127"/>
      <c r="E118" s="126"/>
      <c r="G118" s="126"/>
      <c r="H118" s="126"/>
      <c r="I118" s="135"/>
      <c r="J118" s="127"/>
      <c r="L118" s="127"/>
      <c r="M118" s="127"/>
      <c r="N118" s="127"/>
      <c r="O118" s="137"/>
      <c r="P118" s="130"/>
      <c r="Q118" s="131"/>
      <c r="R118" s="130"/>
      <c r="S118" s="131"/>
      <c r="T118" s="130"/>
      <c r="U118" s="131"/>
      <c r="V118" s="130"/>
      <c r="W118" s="131"/>
      <c r="X118" s="130"/>
      <c r="Y118" s="131"/>
      <c r="Z118" s="130"/>
      <c r="AA118" s="131"/>
      <c r="AB118" s="130"/>
      <c r="AC118" s="131"/>
      <c r="AD118" s="130"/>
      <c r="AE118" s="131"/>
      <c r="AF118" s="130"/>
      <c r="AG118" s="131"/>
      <c r="AH118" s="130"/>
      <c r="AI118" s="131"/>
      <c r="AJ118" s="130"/>
      <c r="AK118" s="131"/>
      <c r="AL118" s="130"/>
      <c r="AM118" s="131"/>
      <c r="AN118" s="130"/>
      <c r="AO118" s="131"/>
      <c r="AP118" s="130"/>
      <c r="AQ118" s="131"/>
      <c r="AR118" s="130"/>
      <c r="AS118" s="131"/>
    </row>
    <row r="119" spans="1:45" x14ac:dyDescent="0.3">
      <c r="A119" s="126"/>
      <c r="B119" s="127"/>
      <c r="C119" s="127"/>
      <c r="D119" s="127"/>
      <c r="E119" s="126"/>
      <c r="G119" s="126"/>
      <c r="H119" s="126"/>
      <c r="I119" s="135"/>
      <c r="J119" s="127"/>
      <c r="L119" s="127"/>
      <c r="M119" s="127"/>
      <c r="N119" s="127"/>
      <c r="O119" s="137"/>
      <c r="P119" s="130"/>
      <c r="Q119" s="131"/>
      <c r="R119" s="130"/>
      <c r="S119" s="131"/>
      <c r="T119" s="130"/>
      <c r="U119" s="131"/>
      <c r="V119" s="130"/>
      <c r="W119" s="131"/>
      <c r="X119" s="130"/>
      <c r="Y119" s="131"/>
      <c r="Z119" s="130"/>
      <c r="AA119" s="131"/>
      <c r="AB119" s="130"/>
      <c r="AC119" s="131"/>
      <c r="AD119" s="130"/>
      <c r="AE119" s="131"/>
      <c r="AF119" s="130"/>
      <c r="AG119" s="131"/>
      <c r="AH119" s="130"/>
      <c r="AI119" s="131"/>
      <c r="AJ119" s="130"/>
      <c r="AK119" s="131"/>
      <c r="AL119" s="130"/>
      <c r="AM119" s="131"/>
      <c r="AN119" s="130"/>
      <c r="AO119" s="131"/>
      <c r="AP119" s="130"/>
      <c r="AQ119" s="131"/>
      <c r="AR119" s="130"/>
      <c r="AS119" s="131"/>
    </row>
    <row r="120" spans="1:45" x14ac:dyDescent="0.3">
      <c r="A120" s="126"/>
      <c r="B120" s="127"/>
      <c r="C120" s="127"/>
      <c r="D120" s="127"/>
      <c r="E120" s="126"/>
      <c r="G120" s="126"/>
      <c r="H120" s="126"/>
      <c r="I120" s="135"/>
      <c r="J120" s="127"/>
      <c r="L120" s="127"/>
      <c r="M120" s="127"/>
      <c r="N120" s="127"/>
      <c r="O120" s="137"/>
      <c r="P120" s="130"/>
      <c r="Q120" s="131"/>
      <c r="R120" s="130"/>
      <c r="S120" s="131"/>
      <c r="T120" s="130"/>
      <c r="U120" s="131"/>
      <c r="V120" s="130"/>
      <c r="W120" s="131"/>
      <c r="X120" s="130"/>
      <c r="Y120" s="131"/>
      <c r="Z120" s="130"/>
      <c r="AA120" s="131"/>
      <c r="AB120" s="130"/>
      <c r="AC120" s="131"/>
      <c r="AD120" s="130"/>
      <c r="AE120" s="131"/>
      <c r="AF120" s="130"/>
      <c r="AG120" s="131"/>
      <c r="AH120" s="130"/>
      <c r="AI120" s="131"/>
      <c r="AJ120" s="130"/>
      <c r="AK120" s="131"/>
      <c r="AL120" s="130"/>
      <c r="AM120" s="131"/>
      <c r="AN120" s="130"/>
      <c r="AO120" s="131"/>
      <c r="AP120" s="130"/>
      <c r="AQ120" s="131"/>
      <c r="AR120" s="130"/>
      <c r="AS120" s="131"/>
    </row>
    <row r="121" spans="1:45" x14ac:dyDescent="0.3">
      <c r="A121" s="126"/>
      <c r="B121" s="127"/>
      <c r="C121" s="127"/>
      <c r="D121" s="127"/>
      <c r="E121" s="126"/>
      <c r="G121" s="126"/>
      <c r="H121" s="126"/>
      <c r="I121" s="135"/>
      <c r="J121" s="127"/>
      <c r="L121" s="127"/>
      <c r="M121" s="127"/>
      <c r="N121" s="127"/>
      <c r="O121" s="137"/>
      <c r="P121" s="130"/>
      <c r="Q121" s="131"/>
      <c r="R121" s="130"/>
      <c r="S121" s="131"/>
      <c r="T121" s="130"/>
      <c r="U121" s="131"/>
      <c r="V121" s="130"/>
      <c r="W121" s="131"/>
      <c r="X121" s="130"/>
      <c r="Y121" s="131"/>
      <c r="Z121" s="130"/>
      <c r="AA121" s="131"/>
      <c r="AB121" s="130"/>
      <c r="AC121" s="131"/>
      <c r="AD121" s="130"/>
      <c r="AE121" s="131"/>
      <c r="AF121" s="130"/>
      <c r="AG121" s="131"/>
      <c r="AH121" s="130"/>
      <c r="AI121" s="131"/>
      <c r="AJ121" s="130"/>
      <c r="AK121" s="131"/>
      <c r="AL121" s="130"/>
      <c r="AM121" s="131"/>
      <c r="AN121" s="130"/>
      <c r="AO121" s="131"/>
      <c r="AP121" s="130"/>
      <c r="AQ121" s="131"/>
      <c r="AR121" s="130"/>
      <c r="AS121" s="131"/>
    </row>
    <row r="122" spans="1:45" x14ac:dyDescent="0.3">
      <c r="A122" s="126"/>
      <c r="B122" s="127"/>
      <c r="C122" s="127"/>
      <c r="D122" s="127"/>
      <c r="E122" s="126"/>
      <c r="G122" s="126"/>
      <c r="H122" s="126"/>
      <c r="I122" s="135"/>
      <c r="J122" s="127"/>
      <c r="L122" s="127"/>
      <c r="M122" s="127"/>
      <c r="N122" s="127"/>
      <c r="O122" s="137"/>
      <c r="P122" s="130"/>
      <c r="Q122" s="131"/>
      <c r="R122" s="130"/>
      <c r="S122" s="131"/>
      <c r="T122" s="130"/>
      <c r="U122" s="131"/>
      <c r="V122" s="130"/>
      <c r="W122" s="131"/>
      <c r="X122" s="130"/>
      <c r="Y122" s="131"/>
      <c r="Z122" s="130"/>
      <c r="AA122" s="131"/>
      <c r="AB122" s="130"/>
      <c r="AC122" s="131"/>
      <c r="AD122" s="130"/>
      <c r="AE122" s="131"/>
      <c r="AF122" s="130"/>
      <c r="AG122" s="131"/>
      <c r="AH122" s="130"/>
      <c r="AI122" s="131"/>
      <c r="AJ122" s="130"/>
      <c r="AK122" s="131"/>
      <c r="AL122" s="130"/>
      <c r="AM122" s="131"/>
      <c r="AN122" s="130"/>
      <c r="AO122" s="131"/>
      <c r="AP122" s="130"/>
      <c r="AQ122" s="131"/>
      <c r="AR122" s="130"/>
      <c r="AS122" s="131"/>
    </row>
    <row r="123" spans="1:45" x14ac:dyDescent="0.3">
      <c r="A123" s="126"/>
      <c r="B123" s="127"/>
      <c r="C123" s="127"/>
      <c r="D123" s="127"/>
      <c r="E123" s="126"/>
      <c r="G123" s="126"/>
      <c r="H123" s="126"/>
      <c r="I123" s="135"/>
      <c r="J123" s="127"/>
      <c r="L123" s="127"/>
      <c r="M123" s="127"/>
      <c r="N123" s="127"/>
      <c r="O123" s="137"/>
      <c r="P123" s="130"/>
      <c r="Q123" s="131"/>
      <c r="R123" s="130"/>
      <c r="S123" s="131"/>
      <c r="T123" s="130"/>
      <c r="U123" s="131"/>
      <c r="V123" s="130"/>
      <c r="W123" s="131"/>
      <c r="X123" s="130"/>
      <c r="Y123" s="131"/>
      <c r="Z123" s="130"/>
      <c r="AA123" s="131"/>
      <c r="AB123" s="130"/>
      <c r="AC123" s="131"/>
      <c r="AD123" s="130"/>
      <c r="AE123" s="131"/>
      <c r="AF123" s="130"/>
      <c r="AG123" s="131"/>
      <c r="AH123" s="130"/>
      <c r="AI123" s="131"/>
      <c r="AJ123" s="130"/>
      <c r="AK123" s="131"/>
      <c r="AL123" s="130"/>
      <c r="AM123" s="131"/>
      <c r="AN123" s="130"/>
      <c r="AO123" s="131"/>
      <c r="AP123" s="130"/>
      <c r="AQ123" s="131"/>
      <c r="AR123" s="130"/>
      <c r="AS123" s="131"/>
    </row>
    <row r="124" spans="1:45" x14ac:dyDescent="0.3">
      <c r="A124" s="126"/>
      <c r="B124" s="127"/>
      <c r="C124" s="127"/>
      <c r="D124" s="127"/>
      <c r="E124" s="126"/>
      <c r="G124" s="126"/>
      <c r="H124" s="126"/>
      <c r="I124" s="135"/>
      <c r="J124" s="127"/>
      <c r="L124" s="127"/>
      <c r="M124" s="127"/>
      <c r="N124" s="127"/>
      <c r="O124" s="137"/>
      <c r="P124" s="130"/>
      <c r="Q124" s="131"/>
      <c r="R124" s="130"/>
      <c r="S124" s="131"/>
      <c r="T124" s="130"/>
      <c r="U124" s="131"/>
      <c r="V124" s="130"/>
      <c r="W124" s="131"/>
      <c r="X124" s="130"/>
      <c r="Y124" s="131"/>
      <c r="Z124" s="130"/>
      <c r="AA124" s="131"/>
      <c r="AB124" s="130"/>
      <c r="AC124" s="131"/>
      <c r="AD124" s="130"/>
      <c r="AE124" s="131"/>
      <c r="AF124" s="130"/>
      <c r="AG124" s="131"/>
      <c r="AH124" s="130"/>
      <c r="AI124" s="131"/>
      <c r="AJ124" s="130"/>
      <c r="AK124" s="131"/>
      <c r="AL124" s="130"/>
      <c r="AM124" s="131"/>
      <c r="AN124" s="130"/>
      <c r="AO124" s="131"/>
      <c r="AP124" s="130"/>
      <c r="AQ124" s="131"/>
      <c r="AR124" s="130"/>
      <c r="AS124" s="131"/>
    </row>
    <row r="125" spans="1:45" x14ac:dyDescent="0.3">
      <c r="A125" s="126"/>
      <c r="B125" s="127"/>
      <c r="C125" s="127"/>
      <c r="D125" s="127"/>
      <c r="E125" s="126"/>
      <c r="G125" s="126"/>
      <c r="H125" s="126"/>
      <c r="I125" s="135"/>
      <c r="J125" s="127"/>
      <c r="L125" s="127"/>
      <c r="M125" s="127"/>
      <c r="N125" s="127"/>
      <c r="O125" s="137"/>
      <c r="P125" s="130"/>
      <c r="Q125" s="131"/>
      <c r="R125" s="130"/>
      <c r="S125" s="131"/>
      <c r="T125" s="130"/>
      <c r="U125" s="131"/>
      <c r="V125" s="130"/>
      <c r="W125" s="131"/>
      <c r="X125" s="130"/>
      <c r="Y125" s="131"/>
      <c r="Z125" s="130"/>
      <c r="AA125" s="131"/>
      <c r="AB125" s="130"/>
      <c r="AC125" s="131"/>
      <c r="AD125" s="130"/>
      <c r="AE125" s="131"/>
      <c r="AF125" s="130"/>
      <c r="AG125" s="131"/>
      <c r="AH125" s="130"/>
      <c r="AI125" s="131"/>
      <c r="AJ125" s="130"/>
      <c r="AK125" s="131"/>
      <c r="AL125" s="130"/>
      <c r="AM125" s="131"/>
      <c r="AN125" s="130"/>
      <c r="AO125" s="131"/>
      <c r="AP125" s="130"/>
      <c r="AQ125" s="131"/>
      <c r="AR125" s="130"/>
      <c r="AS125" s="131"/>
    </row>
    <row r="126" spans="1:45" x14ac:dyDescent="0.3">
      <c r="A126" s="126"/>
      <c r="B126" s="127"/>
      <c r="C126" s="127"/>
      <c r="D126" s="127"/>
      <c r="E126" s="126"/>
      <c r="G126" s="126"/>
      <c r="H126" s="126"/>
      <c r="I126" s="135"/>
      <c r="J126" s="127"/>
      <c r="L126" s="127"/>
      <c r="M126" s="127"/>
      <c r="N126" s="127"/>
      <c r="O126" s="137"/>
      <c r="P126" s="130"/>
      <c r="Q126" s="131"/>
      <c r="R126" s="130"/>
      <c r="S126" s="131"/>
      <c r="T126" s="130"/>
      <c r="U126" s="131"/>
      <c r="V126" s="130"/>
      <c r="W126" s="131"/>
      <c r="X126" s="130"/>
      <c r="Y126" s="131"/>
      <c r="Z126" s="130"/>
      <c r="AA126" s="131"/>
      <c r="AB126" s="130"/>
      <c r="AC126" s="131"/>
      <c r="AD126" s="130"/>
      <c r="AE126" s="131"/>
      <c r="AF126" s="130"/>
      <c r="AG126" s="131"/>
      <c r="AH126" s="130"/>
      <c r="AI126" s="131"/>
      <c r="AJ126" s="130"/>
      <c r="AK126" s="131"/>
      <c r="AL126" s="130"/>
      <c r="AM126" s="131"/>
      <c r="AN126" s="130"/>
      <c r="AO126" s="131"/>
      <c r="AP126" s="130"/>
      <c r="AQ126" s="131"/>
      <c r="AR126" s="130"/>
      <c r="AS126" s="131"/>
    </row>
    <row r="127" spans="1:45" x14ac:dyDescent="0.3">
      <c r="A127" s="126"/>
      <c r="B127" s="127"/>
      <c r="C127" s="127"/>
      <c r="D127" s="127"/>
      <c r="E127" s="126"/>
      <c r="G127" s="126"/>
      <c r="H127" s="126"/>
      <c r="I127" s="135"/>
      <c r="J127" s="127"/>
      <c r="L127" s="127"/>
      <c r="M127" s="127"/>
      <c r="N127" s="127"/>
      <c r="O127" s="137"/>
      <c r="P127" s="130"/>
      <c r="Q127" s="131"/>
      <c r="R127" s="130"/>
      <c r="S127" s="131"/>
      <c r="T127" s="130"/>
      <c r="U127" s="131"/>
      <c r="V127" s="130"/>
      <c r="W127" s="131"/>
      <c r="X127" s="130"/>
      <c r="Y127" s="131"/>
      <c r="Z127" s="130"/>
      <c r="AA127" s="131"/>
      <c r="AB127" s="130"/>
      <c r="AC127" s="131"/>
      <c r="AD127" s="130"/>
      <c r="AE127" s="131"/>
      <c r="AF127" s="130"/>
      <c r="AG127" s="131"/>
      <c r="AH127" s="130"/>
      <c r="AI127" s="131"/>
      <c r="AJ127" s="130"/>
      <c r="AK127" s="131"/>
      <c r="AL127" s="130"/>
      <c r="AM127" s="131"/>
      <c r="AN127" s="130"/>
      <c r="AO127" s="131"/>
      <c r="AP127" s="130"/>
      <c r="AQ127" s="131"/>
      <c r="AR127" s="130"/>
      <c r="AS127" s="131"/>
    </row>
    <row r="128" spans="1:45" x14ac:dyDescent="0.3">
      <c r="A128" s="126"/>
      <c r="B128" s="127"/>
      <c r="C128" s="127"/>
      <c r="D128" s="127"/>
      <c r="E128" s="126"/>
      <c r="G128" s="126"/>
      <c r="H128" s="126"/>
      <c r="I128" s="135"/>
      <c r="J128" s="127"/>
      <c r="L128" s="127"/>
      <c r="M128" s="127"/>
      <c r="N128" s="127"/>
      <c r="O128" s="137"/>
      <c r="P128" s="130"/>
      <c r="Q128" s="131"/>
      <c r="R128" s="130"/>
      <c r="S128" s="131"/>
      <c r="T128" s="130"/>
      <c r="U128" s="131"/>
      <c r="V128" s="130"/>
      <c r="W128" s="131"/>
      <c r="X128" s="130"/>
      <c r="Y128" s="131"/>
      <c r="Z128" s="130"/>
      <c r="AA128" s="131"/>
      <c r="AB128" s="130"/>
      <c r="AC128" s="131"/>
      <c r="AD128" s="130"/>
      <c r="AE128" s="131"/>
      <c r="AF128" s="130"/>
      <c r="AG128" s="131"/>
      <c r="AH128" s="130"/>
      <c r="AI128" s="131"/>
      <c r="AJ128" s="130"/>
      <c r="AK128" s="131"/>
      <c r="AL128" s="130"/>
      <c r="AM128" s="131"/>
      <c r="AN128" s="130"/>
      <c r="AO128" s="131"/>
      <c r="AP128" s="130"/>
      <c r="AQ128" s="131"/>
      <c r="AR128" s="130"/>
      <c r="AS128" s="131"/>
    </row>
    <row r="129" spans="1:45" x14ac:dyDescent="0.3">
      <c r="A129" s="126"/>
      <c r="B129" s="127"/>
      <c r="C129" s="127"/>
      <c r="D129" s="127"/>
      <c r="E129" s="126"/>
      <c r="G129" s="126"/>
      <c r="H129" s="126"/>
      <c r="I129" s="135"/>
      <c r="J129" s="127"/>
      <c r="L129" s="127"/>
      <c r="M129" s="127"/>
      <c r="N129" s="127"/>
      <c r="O129" s="137"/>
      <c r="P129" s="130"/>
      <c r="Q129" s="131"/>
      <c r="R129" s="130"/>
      <c r="S129" s="131"/>
      <c r="T129" s="130"/>
      <c r="U129" s="131"/>
      <c r="V129" s="130"/>
      <c r="W129" s="131"/>
      <c r="X129" s="130"/>
      <c r="Y129" s="131"/>
      <c r="Z129" s="130"/>
      <c r="AA129" s="131"/>
      <c r="AB129" s="130"/>
      <c r="AC129" s="131"/>
      <c r="AD129" s="130"/>
      <c r="AE129" s="131"/>
      <c r="AF129" s="130"/>
      <c r="AG129" s="131"/>
      <c r="AH129" s="130"/>
      <c r="AI129" s="131"/>
      <c r="AJ129" s="130"/>
      <c r="AK129" s="131"/>
      <c r="AL129" s="130"/>
      <c r="AM129" s="131"/>
      <c r="AN129" s="130"/>
      <c r="AO129" s="131"/>
      <c r="AP129" s="130"/>
      <c r="AQ129" s="131"/>
      <c r="AR129" s="130"/>
      <c r="AS129" s="131"/>
    </row>
    <row r="130" spans="1:45" x14ac:dyDescent="0.3">
      <c r="A130" s="126"/>
      <c r="B130" s="127"/>
      <c r="C130" s="127"/>
      <c r="D130" s="127"/>
      <c r="E130" s="126"/>
      <c r="G130" s="126"/>
      <c r="H130" s="126"/>
      <c r="I130" s="135"/>
      <c r="J130" s="127"/>
      <c r="L130" s="127"/>
      <c r="M130" s="127"/>
      <c r="N130" s="127"/>
      <c r="O130" s="137"/>
      <c r="P130" s="130"/>
      <c r="Q130" s="131"/>
      <c r="R130" s="130"/>
      <c r="S130" s="131"/>
      <c r="T130" s="130"/>
      <c r="U130" s="131"/>
      <c r="V130" s="130"/>
      <c r="W130" s="131"/>
      <c r="X130" s="130"/>
      <c r="Y130" s="131"/>
      <c r="Z130" s="130"/>
      <c r="AA130" s="131"/>
      <c r="AB130" s="130"/>
      <c r="AC130" s="131"/>
      <c r="AD130" s="130"/>
      <c r="AE130" s="131"/>
      <c r="AF130" s="130"/>
      <c r="AG130" s="131"/>
      <c r="AH130" s="130"/>
      <c r="AI130" s="131"/>
      <c r="AJ130" s="130"/>
      <c r="AK130" s="131"/>
      <c r="AL130" s="130"/>
      <c r="AM130" s="131"/>
      <c r="AN130" s="130"/>
      <c r="AO130" s="131"/>
      <c r="AP130" s="130"/>
      <c r="AQ130" s="131"/>
      <c r="AR130" s="130"/>
      <c r="AS130" s="131"/>
    </row>
    <row r="131" spans="1:45" x14ac:dyDescent="0.3">
      <c r="A131" s="126"/>
      <c r="B131" s="127"/>
      <c r="C131" s="127"/>
      <c r="D131" s="127"/>
      <c r="E131" s="126"/>
      <c r="G131" s="126"/>
      <c r="H131" s="126"/>
      <c r="I131" s="135"/>
      <c r="J131" s="127"/>
      <c r="L131" s="127"/>
      <c r="M131" s="127"/>
      <c r="N131" s="127"/>
      <c r="O131" s="137"/>
      <c r="P131" s="130"/>
      <c r="Q131" s="131"/>
      <c r="R131" s="130"/>
      <c r="S131" s="131"/>
      <c r="T131" s="130"/>
      <c r="U131" s="131"/>
      <c r="V131" s="130"/>
      <c r="W131" s="131"/>
      <c r="X131" s="130"/>
      <c r="Y131" s="131"/>
      <c r="Z131" s="130"/>
      <c r="AA131" s="131"/>
      <c r="AB131" s="130"/>
      <c r="AC131" s="131"/>
      <c r="AD131" s="130"/>
      <c r="AE131" s="131"/>
      <c r="AF131" s="130"/>
      <c r="AG131" s="131"/>
      <c r="AH131" s="130"/>
      <c r="AI131" s="131"/>
      <c r="AJ131" s="130"/>
      <c r="AK131" s="131"/>
      <c r="AL131" s="130"/>
      <c r="AM131" s="131"/>
      <c r="AN131" s="130"/>
      <c r="AO131" s="131"/>
      <c r="AP131" s="130"/>
      <c r="AQ131" s="131"/>
      <c r="AR131" s="130"/>
      <c r="AS131" s="131"/>
    </row>
    <row r="132" spans="1:45" x14ac:dyDescent="0.3">
      <c r="A132" s="126"/>
      <c r="B132" s="127"/>
      <c r="C132" s="127"/>
      <c r="D132" s="127"/>
      <c r="E132" s="126"/>
      <c r="G132" s="126"/>
      <c r="H132" s="126"/>
      <c r="I132" s="135"/>
      <c r="J132" s="127"/>
      <c r="L132" s="127"/>
      <c r="M132" s="127"/>
      <c r="N132" s="127"/>
      <c r="O132" s="137"/>
      <c r="P132" s="130"/>
      <c r="Q132" s="131"/>
      <c r="R132" s="130"/>
      <c r="S132" s="131"/>
      <c r="T132" s="130"/>
      <c r="U132" s="131"/>
      <c r="V132" s="130"/>
      <c r="W132" s="131"/>
      <c r="X132" s="130"/>
      <c r="Y132" s="131"/>
      <c r="Z132" s="130"/>
      <c r="AA132" s="131"/>
      <c r="AB132" s="130"/>
      <c r="AC132" s="131"/>
      <c r="AD132" s="130"/>
      <c r="AE132" s="131"/>
      <c r="AF132" s="130"/>
      <c r="AG132" s="131"/>
      <c r="AH132" s="130"/>
      <c r="AI132" s="131"/>
      <c r="AJ132" s="130"/>
      <c r="AK132" s="131"/>
      <c r="AL132" s="130"/>
      <c r="AM132" s="131"/>
      <c r="AN132" s="130"/>
      <c r="AO132" s="131"/>
      <c r="AP132" s="130"/>
      <c r="AQ132" s="131"/>
      <c r="AR132" s="130"/>
      <c r="AS132" s="131"/>
    </row>
    <row r="133" spans="1:45" x14ac:dyDescent="0.3">
      <c r="A133" s="126"/>
      <c r="B133" s="127"/>
      <c r="C133" s="127"/>
      <c r="D133" s="127"/>
      <c r="E133" s="126"/>
      <c r="G133" s="126"/>
      <c r="H133" s="126"/>
      <c r="I133" s="135"/>
      <c r="J133" s="127"/>
      <c r="L133" s="127"/>
      <c r="M133" s="127"/>
      <c r="N133" s="127"/>
      <c r="O133" s="137"/>
      <c r="P133" s="130"/>
      <c r="Q133" s="131"/>
      <c r="R133" s="130"/>
      <c r="S133" s="131"/>
      <c r="T133" s="130"/>
      <c r="U133" s="131"/>
      <c r="V133" s="130"/>
      <c r="W133" s="131"/>
      <c r="X133" s="130"/>
      <c r="Y133" s="131"/>
      <c r="Z133" s="130"/>
      <c r="AA133" s="131"/>
      <c r="AB133" s="130"/>
      <c r="AC133" s="131"/>
      <c r="AD133" s="130"/>
      <c r="AE133" s="131"/>
      <c r="AF133" s="130"/>
      <c r="AG133" s="131"/>
      <c r="AH133" s="130"/>
      <c r="AI133" s="131"/>
      <c r="AJ133" s="130"/>
      <c r="AK133" s="131"/>
      <c r="AL133" s="130"/>
      <c r="AM133" s="131"/>
      <c r="AN133" s="130"/>
      <c r="AO133" s="131"/>
      <c r="AP133" s="130"/>
      <c r="AQ133" s="131"/>
      <c r="AR133" s="130"/>
      <c r="AS133" s="131"/>
    </row>
    <row r="134" spans="1:45" x14ac:dyDescent="0.3">
      <c r="A134" s="126"/>
      <c r="B134" s="127"/>
      <c r="C134" s="127"/>
      <c r="D134" s="127"/>
      <c r="E134" s="126"/>
      <c r="G134" s="126"/>
      <c r="H134" s="126"/>
      <c r="I134" s="135"/>
      <c r="J134" s="127"/>
      <c r="L134" s="127"/>
      <c r="M134" s="127"/>
      <c r="N134" s="127"/>
      <c r="O134" s="137"/>
      <c r="P134" s="130"/>
      <c r="Q134" s="131"/>
      <c r="R134" s="130"/>
      <c r="S134" s="131"/>
      <c r="T134" s="130"/>
      <c r="U134" s="131"/>
      <c r="V134" s="130"/>
      <c r="W134" s="131"/>
      <c r="X134" s="130"/>
      <c r="Y134" s="131"/>
      <c r="Z134" s="130"/>
      <c r="AA134" s="131"/>
      <c r="AB134" s="130"/>
      <c r="AC134" s="131"/>
      <c r="AD134" s="130"/>
      <c r="AE134" s="131"/>
      <c r="AF134" s="130"/>
      <c r="AG134" s="131"/>
      <c r="AH134" s="130"/>
      <c r="AI134" s="131"/>
      <c r="AJ134" s="130"/>
      <c r="AK134" s="131"/>
      <c r="AL134" s="130"/>
      <c r="AM134" s="131"/>
      <c r="AN134" s="130"/>
      <c r="AO134" s="131"/>
      <c r="AP134" s="130"/>
      <c r="AQ134" s="131"/>
      <c r="AR134" s="130"/>
      <c r="AS134" s="131"/>
    </row>
    <row r="135" spans="1:45" x14ac:dyDescent="0.3">
      <c r="A135" s="126"/>
      <c r="B135" s="127"/>
      <c r="C135" s="127"/>
      <c r="D135" s="127"/>
      <c r="E135" s="126"/>
      <c r="G135" s="126"/>
      <c r="H135" s="126"/>
      <c r="I135" s="135"/>
      <c r="J135" s="127"/>
      <c r="L135" s="127"/>
      <c r="M135" s="127"/>
      <c r="N135" s="127"/>
      <c r="O135" s="137"/>
      <c r="P135" s="130"/>
      <c r="Q135" s="131"/>
      <c r="R135" s="130"/>
      <c r="S135" s="131"/>
      <c r="T135" s="130"/>
      <c r="U135" s="131"/>
      <c r="V135" s="130"/>
      <c r="W135" s="131"/>
      <c r="X135" s="130"/>
      <c r="Y135" s="131"/>
      <c r="Z135" s="130"/>
      <c r="AA135" s="131"/>
      <c r="AB135" s="130"/>
      <c r="AC135" s="131"/>
      <c r="AD135" s="130"/>
      <c r="AE135" s="131"/>
      <c r="AF135" s="130"/>
      <c r="AG135" s="131"/>
      <c r="AH135" s="130"/>
      <c r="AI135" s="131"/>
      <c r="AJ135" s="130"/>
      <c r="AK135" s="131"/>
      <c r="AL135" s="130"/>
      <c r="AM135" s="131"/>
      <c r="AN135" s="130"/>
      <c r="AO135" s="131"/>
      <c r="AP135" s="130"/>
      <c r="AQ135" s="131"/>
      <c r="AR135" s="130"/>
      <c r="AS135" s="131"/>
    </row>
    <row r="136" spans="1:45" x14ac:dyDescent="0.3">
      <c r="A136" s="126"/>
      <c r="B136" s="127"/>
      <c r="C136" s="127"/>
      <c r="D136" s="127"/>
      <c r="E136" s="126"/>
      <c r="G136" s="126"/>
      <c r="H136" s="126"/>
      <c r="I136" s="135"/>
      <c r="J136" s="127"/>
      <c r="L136" s="127"/>
      <c r="M136" s="127"/>
      <c r="N136" s="127"/>
      <c r="O136" s="137"/>
      <c r="P136" s="130"/>
      <c r="Q136" s="131"/>
      <c r="R136" s="130"/>
      <c r="S136" s="131"/>
      <c r="T136" s="130"/>
      <c r="U136" s="131"/>
      <c r="V136" s="130"/>
      <c r="W136" s="131"/>
      <c r="X136" s="130"/>
      <c r="Y136" s="131"/>
      <c r="Z136" s="130"/>
      <c r="AA136" s="131"/>
      <c r="AB136" s="130"/>
      <c r="AC136" s="131"/>
      <c r="AD136" s="130"/>
      <c r="AE136" s="131"/>
      <c r="AF136" s="130"/>
      <c r="AG136" s="131"/>
      <c r="AH136" s="130"/>
      <c r="AI136" s="131"/>
      <c r="AJ136" s="130"/>
      <c r="AK136" s="131"/>
      <c r="AL136" s="130"/>
      <c r="AM136" s="131"/>
      <c r="AN136" s="130"/>
      <c r="AO136" s="131"/>
      <c r="AP136" s="130"/>
      <c r="AQ136" s="131"/>
      <c r="AR136" s="130"/>
      <c r="AS136" s="131"/>
    </row>
    <row r="137" spans="1:45" x14ac:dyDescent="0.3">
      <c r="A137" s="126"/>
      <c r="B137" s="127"/>
      <c r="C137" s="127"/>
      <c r="D137" s="127"/>
      <c r="E137" s="126"/>
      <c r="G137" s="126"/>
      <c r="H137" s="126"/>
      <c r="I137" s="135"/>
      <c r="J137" s="127"/>
      <c r="L137" s="127"/>
      <c r="M137" s="127"/>
      <c r="N137" s="127"/>
      <c r="O137" s="137"/>
      <c r="P137" s="130"/>
      <c r="Q137" s="131"/>
      <c r="R137" s="130"/>
      <c r="S137" s="131"/>
      <c r="T137" s="130"/>
      <c r="U137" s="131"/>
      <c r="V137" s="130"/>
      <c r="W137" s="131"/>
      <c r="X137" s="130"/>
      <c r="Y137" s="131"/>
      <c r="Z137" s="130"/>
      <c r="AA137" s="131"/>
      <c r="AB137" s="130"/>
      <c r="AC137" s="131"/>
      <c r="AD137" s="130"/>
      <c r="AE137" s="131"/>
      <c r="AF137" s="130"/>
      <c r="AG137" s="131"/>
      <c r="AH137" s="130"/>
      <c r="AI137" s="131"/>
      <c r="AJ137" s="130"/>
      <c r="AK137" s="131"/>
      <c r="AL137" s="130"/>
      <c r="AM137" s="131"/>
      <c r="AN137" s="130"/>
      <c r="AO137" s="131"/>
      <c r="AP137" s="130"/>
      <c r="AQ137" s="131"/>
      <c r="AR137" s="130"/>
      <c r="AS137" s="131"/>
    </row>
    <row r="138" spans="1:45" x14ac:dyDescent="0.3">
      <c r="A138" s="126"/>
      <c r="B138" s="127"/>
      <c r="C138" s="127"/>
      <c r="D138" s="127"/>
      <c r="E138" s="126"/>
      <c r="G138" s="126"/>
      <c r="H138" s="126"/>
      <c r="I138" s="135"/>
      <c r="J138" s="127"/>
      <c r="L138" s="127"/>
      <c r="M138" s="127"/>
      <c r="N138" s="127"/>
      <c r="O138" s="137"/>
      <c r="P138" s="130"/>
      <c r="Q138" s="131"/>
      <c r="R138" s="130"/>
      <c r="S138" s="131"/>
      <c r="T138" s="130"/>
      <c r="U138" s="131"/>
      <c r="V138" s="130"/>
      <c r="W138" s="131"/>
      <c r="X138" s="130"/>
      <c r="Y138" s="131"/>
      <c r="Z138" s="130"/>
      <c r="AA138" s="131"/>
      <c r="AB138" s="130"/>
      <c r="AC138" s="131"/>
      <c r="AD138" s="130"/>
      <c r="AE138" s="131"/>
      <c r="AF138" s="130"/>
      <c r="AG138" s="131"/>
      <c r="AH138" s="130"/>
      <c r="AI138" s="131"/>
      <c r="AJ138" s="130"/>
      <c r="AK138" s="131"/>
      <c r="AL138" s="130"/>
      <c r="AM138" s="131"/>
      <c r="AN138" s="130"/>
      <c r="AO138" s="131"/>
      <c r="AP138" s="130"/>
      <c r="AQ138" s="131"/>
      <c r="AR138" s="130"/>
      <c r="AS138" s="131"/>
    </row>
    <row r="139" spans="1:45" x14ac:dyDescent="0.3">
      <c r="A139" s="126"/>
      <c r="B139" s="127"/>
      <c r="C139" s="127"/>
      <c r="D139" s="127"/>
      <c r="E139" s="126"/>
      <c r="G139" s="126"/>
      <c r="H139" s="126"/>
      <c r="I139" s="135"/>
      <c r="J139" s="127"/>
      <c r="L139" s="127"/>
      <c r="M139" s="127"/>
      <c r="N139" s="127"/>
      <c r="O139" s="137"/>
      <c r="P139" s="130"/>
      <c r="Q139" s="131"/>
      <c r="R139" s="130"/>
      <c r="S139" s="131"/>
      <c r="T139" s="130"/>
      <c r="U139" s="131"/>
      <c r="V139" s="130"/>
      <c r="W139" s="131"/>
      <c r="X139" s="130"/>
      <c r="Y139" s="131"/>
      <c r="Z139" s="130"/>
      <c r="AA139" s="131"/>
      <c r="AB139" s="130"/>
      <c r="AC139" s="131"/>
      <c r="AD139" s="130"/>
      <c r="AE139" s="131"/>
      <c r="AF139" s="130"/>
      <c r="AG139" s="131"/>
      <c r="AH139" s="130"/>
      <c r="AI139" s="131"/>
      <c r="AJ139" s="130"/>
      <c r="AK139" s="131"/>
      <c r="AL139" s="130"/>
      <c r="AM139" s="131"/>
      <c r="AN139" s="130"/>
      <c r="AO139" s="131"/>
      <c r="AP139" s="130"/>
      <c r="AQ139" s="131"/>
      <c r="AR139" s="130"/>
      <c r="AS139" s="131"/>
    </row>
    <row r="140" spans="1:45" x14ac:dyDescent="0.3">
      <c r="A140" s="126"/>
      <c r="B140" s="127"/>
      <c r="C140" s="127"/>
      <c r="D140" s="127"/>
      <c r="E140" s="126"/>
      <c r="G140" s="126"/>
      <c r="H140" s="126"/>
      <c r="I140" s="135"/>
      <c r="J140" s="127"/>
      <c r="L140" s="127"/>
      <c r="M140" s="127"/>
      <c r="N140" s="127"/>
      <c r="O140" s="137"/>
      <c r="P140" s="130"/>
      <c r="Q140" s="131"/>
      <c r="R140" s="130"/>
      <c r="S140" s="131"/>
      <c r="T140" s="130"/>
      <c r="U140" s="131"/>
      <c r="V140" s="130"/>
      <c r="W140" s="131"/>
      <c r="X140" s="130"/>
      <c r="Y140" s="131"/>
      <c r="Z140" s="130"/>
      <c r="AA140" s="131"/>
      <c r="AB140" s="130"/>
      <c r="AC140" s="131"/>
      <c r="AD140" s="130"/>
      <c r="AE140" s="131"/>
      <c r="AF140" s="130"/>
      <c r="AG140" s="131"/>
      <c r="AH140" s="130"/>
      <c r="AI140" s="131"/>
      <c r="AJ140" s="130"/>
      <c r="AK140" s="131"/>
      <c r="AL140" s="130"/>
      <c r="AM140" s="131"/>
      <c r="AN140" s="130"/>
      <c r="AO140" s="131"/>
      <c r="AP140" s="130"/>
      <c r="AQ140" s="131"/>
      <c r="AR140" s="130"/>
      <c r="AS140" s="131"/>
    </row>
    <row r="141" spans="1:45" x14ac:dyDescent="0.3">
      <c r="A141" s="126"/>
      <c r="B141" s="127"/>
      <c r="C141" s="127"/>
      <c r="D141" s="127"/>
      <c r="E141" s="126"/>
      <c r="G141" s="126"/>
      <c r="H141" s="126"/>
      <c r="I141" s="135"/>
      <c r="J141" s="127"/>
      <c r="L141" s="127"/>
      <c r="M141" s="127"/>
      <c r="N141" s="127"/>
      <c r="O141" s="137"/>
      <c r="P141" s="130"/>
      <c r="Q141" s="131"/>
      <c r="R141" s="130"/>
      <c r="S141" s="131"/>
      <c r="T141" s="130"/>
      <c r="U141" s="131"/>
      <c r="V141" s="130"/>
      <c r="W141" s="131"/>
      <c r="X141" s="130"/>
      <c r="Y141" s="131"/>
      <c r="Z141" s="130"/>
      <c r="AA141" s="131"/>
      <c r="AB141" s="130"/>
      <c r="AC141" s="131"/>
      <c r="AD141" s="130"/>
      <c r="AE141" s="131"/>
      <c r="AF141" s="130"/>
      <c r="AG141" s="131"/>
      <c r="AH141" s="130"/>
      <c r="AI141" s="131"/>
      <c r="AJ141" s="130"/>
      <c r="AK141" s="131"/>
      <c r="AL141" s="130"/>
      <c r="AM141" s="131"/>
      <c r="AN141" s="130"/>
      <c r="AO141" s="131"/>
      <c r="AP141" s="130"/>
      <c r="AQ141" s="131"/>
      <c r="AR141" s="130"/>
      <c r="AS141" s="131"/>
    </row>
    <row r="142" spans="1:45" x14ac:dyDescent="0.3">
      <c r="A142" s="126"/>
      <c r="B142" s="127"/>
      <c r="C142" s="127"/>
      <c r="D142" s="127"/>
      <c r="E142" s="126"/>
      <c r="G142" s="126"/>
      <c r="H142" s="126"/>
      <c r="I142" s="135"/>
      <c r="J142" s="127"/>
      <c r="L142" s="127"/>
      <c r="M142" s="127"/>
      <c r="N142" s="127"/>
      <c r="O142" s="137"/>
      <c r="P142" s="130"/>
      <c r="Q142" s="131"/>
      <c r="R142" s="130"/>
      <c r="S142" s="131"/>
      <c r="T142" s="130"/>
      <c r="U142" s="131"/>
      <c r="V142" s="130"/>
      <c r="W142" s="131"/>
      <c r="X142" s="130"/>
      <c r="Y142" s="131"/>
      <c r="Z142" s="130"/>
      <c r="AA142" s="131"/>
      <c r="AB142" s="130"/>
      <c r="AC142" s="131"/>
      <c r="AD142" s="130"/>
      <c r="AE142" s="131"/>
      <c r="AF142" s="130"/>
      <c r="AG142" s="131"/>
      <c r="AH142" s="130"/>
      <c r="AI142" s="131"/>
      <c r="AJ142" s="130"/>
      <c r="AK142" s="131"/>
      <c r="AL142" s="130"/>
      <c r="AM142" s="131"/>
      <c r="AN142" s="130"/>
      <c r="AO142" s="131"/>
      <c r="AP142" s="130"/>
      <c r="AQ142" s="131"/>
      <c r="AR142" s="130"/>
      <c r="AS142" s="131"/>
    </row>
    <row r="143" spans="1:45" x14ac:dyDescent="0.3">
      <c r="A143" s="126"/>
      <c r="B143" s="127"/>
      <c r="C143" s="127"/>
      <c r="D143" s="127"/>
      <c r="E143" s="126"/>
      <c r="G143" s="126"/>
      <c r="H143" s="126"/>
      <c r="I143" s="135"/>
      <c r="J143" s="127"/>
      <c r="L143" s="127"/>
      <c r="M143" s="127"/>
      <c r="N143" s="127"/>
      <c r="O143" s="137"/>
      <c r="P143" s="130"/>
      <c r="Q143" s="131"/>
      <c r="R143" s="130"/>
      <c r="S143" s="131"/>
      <c r="T143" s="130"/>
      <c r="U143" s="131"/>
      <c r="V143" s="130"/>
      <c r="W143" s="131"/>
      <c r="X143" s="130"/>
      <c r="Y143" s="131"/>
      <c r="Z143" s="130"/>
      <c r="AA143" s="131"/>
      <c r="AB143" s="130"/>
      <c r="AC143" s="131"/>
      <c r="AD143" s="130"/>
      <c r="AE143" s="131"/>
      <c r="AF143" s="130"/>
      <c r="AG143" s="131"/>
      <c r="AH143" s="130"/>
      <c r="AI143" s="131"/>
      <c r="AJ143" s="130"/>
      <c r="AK143" s="131"/>
      <c r="AL143" s="130"/>
      <c r="AM143" s="131"/>
      <c r="AN143" s="130"/>
      <c r="AO143" s="131"/>
      <c r="AP143" s="130"/>
      <c r="AQ143" s="131"/>
      <c r="AR143" s="130"/>
      <c r="AS143" s="131"/>
    </row>
    <row r="144" spans="1:45" x14ac:dyDescent="0.3">
      <c r="A144" s="126"/>
      <c r="B144" s="127"/>
      <c r="C144" s="127"/>
      <c r="D144" s="127"/>
      <c r="E144" s="126"/>
      <c r="G144" s="126"/>
      <c r="H144" s="126"/>
      <c r="I144" s="135"/>
      <c r="J144" s="127"/>
      <c r="L144" s="127"/>
      <c r="M144" s="127"/>
      <c r="N144" s="127"/>
      <c r="O144" s="137"/>
      <c r="P144" s="130"/>
      <c r="Q144" s="131"/>
      <c r="R144" s="130"/>
      <c r="S144" s="131"/>
      <c r="T144" s="130"/>
      <c r="U144" s="131"/>
      <c r="V144" s="130"/>
      <c r="W144" s="131"/>
      <c r="X144" s="130"/>
      <c r="Y144" s="131"/>
      <c r="Z144" s="130"/>
      <c r="AA144" s="131"/>
      <c r="AB144" s="130"/>
      <c r="AC144" s="131"/>
      <c r="AD144" s="130"/>
      <c r="AE144" s="131"/>
      <c r="AF144" s="130"/>
      <c r="AG144" s="131"/>
      <c r="AH144" s="130"/>
      <c r="AI144" s="131"/>
      <c r="AJ144" s="130"/>
      <c r="AK144" s="131"/>
      <c r="AL144" s="130"/>
      <c r="AM144" s="131"/>
      <c r="AN144" s="130"/>
      <c r="AO144" s="131"/>
      <c r="AP144" s="130"/>
      <c r="AQ144" s="131"/>
      <c r="AR144" s="130"/>
      <c r="AS144" s="131"/>
    </row>
    <row r="145" spans="1:45" x14ac:dyDescent="0.3">
      <c r="A145" s="126"/>
      <c r="B145" s="127"/>
      <c r="C145" s="127"/>
      <c r="D145" s="127"/>
      <c r="E145" s="126"/>
      <c r="G145" s="126"/>
      <c r="H145" s="126"/>
      <c r="I145" s="135"/>
      <c r="J145" s="127"/>
      <c r="L145" s="127"/>
      <c r="M145" s="127"/>
      <c r="N145" s="127"/>
      <c r="O145" s="137"/>
      <c r="P145" s="130"/>
      <c r="Q145" s="131"/>
      <c r="R145" s="130"/>
      <c r="S145" s="131"/>
      <c r="T145" s="130"/>
      <c r="U145" s="131"/>
      <c r="V145" s="130"/>
      <c r="W145" s="131"/>
      <c r="X145" s="130"/>
      <c r="Y145" s="131"/>
      <c r="Z145" s="130"/>
      <c r="AA145" s="131"/>
      <c r="AB145" s="130"/>
      <c r="AC145" s="131"/>
      <c r="AD145" s="130"/>
      <c r="AE145" s="131"/>
      <c r="AF145" s="130"/>
      <c r="AG145" s="131"/>
      <c r="AH145" s="130"/>
      <c r="AI145" s="131"/>
      <c r="AJ145" s="130"/>
      <c r="AK145" s="131"/>
      <c r="AL145" s="130"/>
      <c r="AM145" s="131"/>
      <c r="AN145" s="130"/>
      <c r="AO145" s="131"/>
      <c r="AP145" s="130"/>
      <c r="AQ145" s="131"/>
      <c r="AR145" s="130"/>
      <c r="AS145" s="131"/>
    </row>
    <row r="146" spans="1:45" x14ac:dyDescent="0.3">
      <c r="A146" s="126"/>
      <c r="B146" s="127"/>
      <c r="C146" s="127"/>
      <c r="D146" s="127"/>
      <c r="E146" s="126"/>
      <c r="G146" s="126"/>
      <c r="H146" s="126"/>
      <c r="I146" s="135"/>
      <c r="J146" s="127"/>
      <c r="L146" s="127"/>
      <c r="M146" s="127"/>
      <c r="N146" s="127"/>
      <c r="O146" s="137"/>
      <c r="P146" s="130"/>
      <c r="Q146" s="131"/>
      <c r="R146" s="130"/>
      <c r="S146" s="131"/>
      <c r="T146" s="130"/>
      <c r="U146" s="131"/>
      <c r="V146" s="130"/>
      <c r="W146" s="131"/>
      <c r="X146" s="130"/>
      <c r="Y146" s="131"/>
      <c r="Z146" s="130"/>
      <c r="AA146" s="131"/>
      <c r="AB146" s="130"/>
      <c r="AC146" s="131"/>
      <c r="AD146" s="130"/>
      <c r="AE146" s="131"/>
      <c r="AF146" s="130"/>
      <c r="AG146" s="131"/>
      <c r="AH146" s="130"/>
      <c r="AI146" s="131"/>
      <c r="AJ146" s="130"/>
      <c r="AK146" s="131"/>
      <c r="AL146" s="130"/>
      <c r="AM146" s="131"/>
      <c r="AN146" s="130"/>
      <c r="AO146" s="131"/>
      <c r="AP146" s="130"/>
      <c r="AQ146" s="131"/>
      <c r="AR146" s="130"/>
      <c r="AS146" s="131"/>
    </row>
    <row r="147" spans="1:45" x14ac:dyDescent="0.3">
      <c r="A147" s="126"/>
      <c r="B147" s="127"/>
      <c r="C147" s="127"/>
      <c r="D147" s="127"/>
      <c r="E147" s="126"/>
      <c r="G147" s="126"/>
      <c r="H147" s="126"/>
      <c r="I147" s="135"/>
      <c r="J147" s="127"/>
      <c r="L147" s="127"/>
      <c r="M147" s="127"/>
      <c r="N147" s="127"/>
      <c r="O147" s="137"/>
      <c r="P147" s="130"/>
      <c r="Q147" s="131"/>
      <c r="R147" s="130"/>
      <c r="S147" s="131"/>
      <c r="T147" s="130"/>
      <c r="U147" s="131"/>
      <c r="V147" s="130"/>
      <c r="W147" s="131"/>
      <c r="X147" s="130"/>
      <c r="Y147" s="131"/>
      <c r="Z147" s="130"/>
      <c r="AA147" s="131"/>
      <c r="AB147" s="130"/>
      <c r="AC147" s="131"/>
      <c r="AD147" s="130"/>
      <c r="AE147" s="131"/>
      <c r="AF147" s="130"/>
      <c r="AG147" s="131"/>
      <c r="AH147" s="130"/>
      <c r="AI147" s="131"/>
      <c r="AJ147" s="130"/>
      <c r="AK147" s="131"/>
      <c r="AL147" s="130"/>
      <c r="AM147" s="131"/>
      <c r="AN147" s="130"/>
      <c r="AO147" s="131"/>
      <c r="AP147" s="130"/>
      <c r="AQ147" s="131"/>
      <c r="AR147" s="130"/>
      <c r="AS147" s="131"/>
    </row>
    <row r="148" spans="1:45" x14ac:dyDescent="0.3">
      <c r="A148" s="126"/>
      <c r="B148" s="127"/>
      <c r="C148" s="127"/>
      <c r="D148" s="127"/>
      <c r="E148" s="126"/>
      <c r="G148" s="126"/>
      <c r="H148" s="126"/>
      <c r="I148" s="135"/>
      <c r="J148" s="127"/>
      <c r="L148" s="127"/>
      <c r="M148" s="127"/>
      <c r="N148" s="127"/>
      <c r="O148" s="137"/>
      <c r="P148" s="130"/>
      <c r="Q148" s="131"/>
      <c r="R148" s="130"/>
      <c r="S148" s="131"/>
      <c r="T148" s="130"/>
      <c r="U148" s="131"/>
      <c r="V148" s="130"/>
      <c r="W148" s="131"/>
      <c r="X148" s="130"/>
      <c r="Y148" s="131"/>
      <c r="Z148" s="130"/>
      <c r="AA148" s="131"/>
      <c r="AB148" s="130"/>
      <c r="AC148" s="131"/>
      <c r="AD148" s="130"/>
      <c r="AE148" s="131"/>
      <c r="AF148" s="130"/>
      <c r="AG148" s="131"/>
      <c r="AH148" s="130"/>
      <c r="AI148" s="131"/>
      <c r="AJ148" s="130"/>
      <c r="AK148" s="131"/>
      <c r="AL148" s="130"/>
      <c r="AM148" s="131"/>
      <c r="AN148" s="130"/>
      <c r="AO148" s="131"/>
      <c r="AP148" s="130"/>
      <c r="AQ148" s="131"/>
      <c r="AR148" s="130"/>
      <c r="AS148" s="131"/>
    </row>
    <row r="149" spans="1:45" x14ac:dyDescent="0.3">
      <c r="A149" s="126"/>
      <c r="B149" s="127"/>
      <c r="C149" s="127"/>
      <c r="D149" s="127"/>
      <c r="E149" s="126"/>
      <c r="G149" s="126"/>
      <c r="H149" s="126"/>
      <c r="I149" s="135"/>
      <c r="J149" s="127"/>
      <c r="L149" s="127"/>
      <c r="M149" s="127"/>
      <c r="N149" s="127"/>
      <c r="O149" s="137"/>
      <c r="P149" s="130"/>
      <c r="Q149" s="131"/>
      <c r="R149" s="130"/>
      <c r="S149" s="131"/>
      <c r="T149" s="130"/>
      <c r="U149" s="131"/>
      <c r="V149" s="130"/>
      <c r="W149" s="131"/>
      <c r="X149" s="130"/>
      <c r="Y149" s="131"/>
      <c r="Z149" s="130"/>
      <c r="AA149" s="131"/>
      <c r="AB149" s="130"/>
      <c r="AC149" s="131"/>
      <c r="AD149" s="130"/>
      <c r="AE149" s="131"/>
      <c r="AF149" s="130"/>
      <c r="AG149" s="131"/>
      <c r="AH149" s="130"/>
      <c r="AI149" s="131"/>
      <c r="AJ149" s="130"/>
      <c r="AK149" s="131"/>
      <c r="AL149" s="130"/>
      <c r="AM149" s="131"/>
      <c r="AN149" s="130"/>
      <c r="AO149" s="131"/>
      <c r="AP149" s="130"/>
      <c r="AQ149" s="131"/>
      <c r="AR149" s="130"/>
      <c r="AS149" s="131"/>
    </row>
    <row r="150" spans="1:45" x14ac:dyDescent="0.3">
      <c r="A150" s="126"/>
      <c r="B150" s="127"/>
      <c r="C150" s="127"/>
      <c r="D150" s="127"/>
      <c r="E150" s="126"/>
      <c r="G150" s="126"/>
      <c r="H150" s="126"/>
      <c r="I150" s="135"/>
      <c r="J150" s="127"/>
      <c r="L150" s="127"/>
      <c r="M150" s="127"/>
      <c r="N150" s="127"/>
      <c r="O150" s="137"/>
      <c r="P150" s="130"/>
      <c r="Q150" s="131"/>
      <c r="R150" s="130"/>
      <c r="S150" s="131"/>
      <c r="T150" s="130"/>
      <c r="U150" s="131"/>
      <c r="V150" s="130"/>
      <c r="W150" s="131"/>
      <c r="X150" s="130"/>
      <c r="Y150" s="131"/>
      <c r="Z150" s="130"/>
      <c r="AA150" s="131"/>
      <c r="AB150" s="130"/>
      <c r="AC150" s="131"/>
      <c r="AD150" s="130"/>
      <c r="AE150" s="131"/>
      <c r="AF150" s="130"/>
      <c r="AG150" s="131"/>
      <c r="AH150" s="130"/>
      <c r="AI150" s="131"/>
      <c r="AJ150" s="130"/>
      <c r="AK150" s="131"/>
      <c r="AL150" s="130"/>
      <c r="AM150" s="131"/>
      <c r="AN150" s="130"/>
      <c r="AO150" s="131"/>
      <c r="AP150" s="130"/>
      <c r="AQ150" s="131"/>
      <c r="AR150" s="130"/>
      <c r="AS150" s="131"/>
    </row>
    <row r="151" spans="1:45" x14ac:dyDescent="0.3">
      <c r="A151" s="126"/>
      <c r="B151" s="127"/>
      <c r="C151" s="127"/>
      <c r="D151" s="127"/>
      <c r="E151" s="126"/>
      <c r="G151" s="126"/>
      <c r="H151" s="126"/>
      <c r="I151" s="135"/>
      <c r="J151" s="127"/>
      <c r="L151" s="127"/>
      <c r="M151" s="127"/>
      <c r="N151" s="127"/>
      <c r="O151" s="137"/>
      <c r="P151" s="130"/>
      <c r="Q151" s="131"/>
      <c r="R151" s="130"/>
      <c r="S151" s="131"/>
      <c r="T151" s="130"/>
      <c r="U151" s="131"/>
      <c r="V151" s="130"/>
      <c r="W151" s="131"/>
      <c r="X151" s="130"/>
      <c r="Y151" s="131"/>
      <c r="Z151" s="130"/>
      <c r="AA151" s="131"/>
      <c r="AB151" s="130"/>
      <c r="AC151" s="131"/>
      <c r="AD151" s="130"/>
      <c r="AE151" s="131"/>
      <c r="AF151" s="130"/>
      <c r="AG151" s="131"/>
      <c r="AH151" s="130"/>
      <c r="AI151" s="131"/>
      <c r="AJ151" s="130"/>
      <c r="AK151" s="131"/>
      <c r="AL151" s="130"/>
      <c r="AM151" s="131"/>
      <c r="AN151" s="130"/>
      <c r="AO151" s="131"/>
      <c r="AP151" s="130"/>
      <c r="AQ151" s="131"/>
      <c r="AR151" s="130"/>
      <c r="AS151" s="131"/>
    </row>
    <row r="152" spans="1:45" x14ac:dyDescent="0.3">
      <c r="A152" s="126"/>
      <c r="B152" s="127"/>
      <c r="C152" s="127"/>
      <c r="D152" s="127"/>
      <c r="E152" s="126"/>
      <c r="G152" s="126"/>
      <c r="H152" s="126"/>
      <c r="I152" s="135"/>
      <c r="J152" s="127"/>
      <c r="L152" s="127"/>
      <c r="M152" s="127"/>
      <c r="N152" s="127"/>
      <c r="O152" s="137"/>
      <c r="P152" s="130"/>
      <c r="Q152" s="131"/>
      <c r="R152" s="130"/>
      <c r="S152" s="131"/>
      <c r="T152" s="130"/>
      <c r="U152" s="131"/>
      <c r="V152" s="130"/>
      <c r="W152" s="131"/>
      <c r="X152" s="130"/>
      <c r="Y152" s="131"/>
      <c r="Z152" s="130"/>
      <c r="AA152" s="131"/>
      <c r="AB152" s="130"/>
      <c r="AC152" s="131"/>
      <c r="AD152" s="130"/>
      <c r="AE152" s="131"/>
      <c r="AF152" s="130"/>
      <c r="AG152" s="131"/>
      <c r="AH152" s="130"/>
      <c r="AI152" s="131"/>
      <c r="AJ152" s="130"/>
      <c r="AK152" s="131"/>
      <c r="AL152" s="130"/>
      <c r="AM152" s="131"/>
      <c r="AN152" s="130"/>
      <c r="AO152" s="131"/>
      <c r="AP152" s="130"/>
      <c r="AQ152" s="131"/>
      <c r="AR152" s="130"/>
      <c r="AS152" s="131"/>
    </row>
    <row r="153" spans="1:45" x14ac:dyDescent="0.3">
      <c r="A153" s="126"/>
      <c r="B153" s="127"/>
      <c r="C153" s="127"/>
      <c r="D153" s="127"/>
      <c r="E153" s="126"/>
      <c r="G153" s="126"/>
      <c r="H153" s="126"/>
      <c r="I153" s="135"/>
      <c r="J153" s="127"/>
      <c r="L153" s="127"/>
      <c r="M153" s="127"/>
      <c r="N153" s="127"/>
      <c r="O153" s="137"/>
      <c r="P153" s="130"/>
      <c r="Q153" s="131"/>
      <c r="R153" s="130"/>
      <c r="S153" s="131"/>
      <c r="T153" s="130"/>
      <c r="U153" s="131"/>
      <c r="V153" s="130"/>
      <c r="W153" s="131"/>
      <c r="X153" s="130"/>
      <c r="Y153" s="131"/>
      <c r="Z153" s="130"/>
      <c r="AA153" s="131"/>
      <c r="AB153" s="130"/>
      <c r="AC153" s="131"/>
      <c r="AD153" s="130"/>
      <c r="AE153" s="131"/>
      <c r="AF153" s="130"/>
      <c r="AG153" s="131"/>
      <c r="AH153" s="130"/>
      <c r="AI153" s="131"/>
      <c r="AJ153" s="130"/>
      <c r="AK153" s="131"/>
      <c r="AL153" s="130"/>
      <c r="AM153" s="131"/>
      <c r="AN153" s="130"/>
      <c r="AO153" s="131"/>
      <c r="AP153" s="130"/>
      <c r="AQ153" s="131"/>
      <c r="AR153" s="130"/>
      <c r="AS153" s="131"/>
    </row>
    <row r="154" spans="1:45" x14ac:dyDescent="0.3">
      <c r="A154" s="126"/>
      <c r="B154" s="127"/>
      <c r="C154" s="127"/>
      <c r="D154" s="127"/>
      <c r="E154" s="126"/>
      <c r="G154" s="126"/>
      <c r="H154" s="126"/>
      <c r="I154" s="135"/>
      <c r="J154" s="127"/>
      <c r="L154" s="127"/>
      <c r="M154" s="127"/>
      <c r="N154" s="127"/>
      <c r="O154" s="137"/>
      <c r="P154" s="130"/>
      <c r="Q154" s="131"/>
      <c r="R154" s="130"/>
      <c r="S154" s="131"/>
      <c r="T154" s="130"/>
      <c r="U154" s="131"/>
      <c r="V154" s="130"/>
      <c r="W154" s="131"/>
      <c r="X154" s="130"/>
      <c r="Y154" s="131"/>
      <c r="Z154" s="130"/>
      <c r="AA154" s="131"/>
      <c r="AB154" s="130"/>
      <c r="AC154" s="131"/>
      <c r="AD154" s="130"/>
      <c r="AE154" s="131"/>
      <c r="AF154" s="130"/>
      <c r="AG154" s="131"/>
      <c r="AH154" s="130"/>
      <c r="AI154" s="131"/>
      <c r="AJ154" s="130"/>
      <c r="AK154" s="131"/>
      <c r="AL154" s="130"/>
      <c r="AM154" s="131"/>
      <c r="AN154" s="130"/>
      <c r="AO154" s="131"/>
      <c r="AP154" s="130"/>
      <c r="AQ154" s="131"/>
      <c r="AR154" s="130"/>
      <c r="AS154" s="131"/>
    </row>
    <row r="155" spans="1:45" x14ac:dyDescent="0.3">
      <c r="A155" s="126"/>
      <c r="B155" s="127"/>
      <c r="C155" s="127"/>
      <c r="D155" s="127"/>
      <c r="E155" s="126"/>
      <c r="G155" s="126"/>
      <c r="H155" s="126"/>
      <c r="I155" s="135"/>
      <c r="J155" s="127"/>
      <c r="L155" s="127"/>
      <c r="M155" s="127"/>
      <c r="N155" s="127"/>
      <c r="O155" s="137"/>
      <c r="P155" s="130"/>
      <c r="Q155" s="131"/>
      <c r="R155" s="130"/>
      <c r="S155" s="131"/>
      <c r="T155" s="130"/>
      <c r="U155" s="131"/>
      <c r="V155" s="130"/>
      <c r="W155" s="131"/>
      <c r="X155" s="130"/>
      <c r="Y155" s="131"/>
      <c r="Z155" s="130"/>
      <c r="AA155" s="131"/>
      <c r="AB155" s="130"/>
      <c r="AC155" s="131"/>
      <c r="AD155" s="130"/>
      <c r="AE155" s="131"/>
      <c r="AF155" s="130"/>
      <c r="AG155" s="131"/>
      <c r="AH155" s="130"/>
      <c r="AI155" s="131"/>
      <c r="AJ155" s="130"/>
      <c r="AK155" s="131"/>
      <c r="AL155" s="130"/>
      <c r="AM155" s="131"/>
      <c r="AN155" s="130"/>
      <c r="AO155" s="131"/>
      <c r="AP155" s="130"/>
      <c r="AQ155" s="131"/>
      <c r="AR155" s="130"/>
      <c r="AS155" s="131"/>
    </row>
    <row r="156" spans="1:45" x14ac:dyDescent="0.3">
      <c r="A156" s="126"/>
      <c r="B156" s="127"/>
      <c r="C156" s="127"/>
      <c r="D156" s="127"/>
      <c r="E156" s="126"/>
      <c r="G156" s="126"/>
      <c r="H156" s="126"/>
      <c r="I156" s="135"/>
      <c r="J156" s="127"/>
      <c r="L156" s="127"/>
      <c r="M156" s="127"/>
      <c r="N156" s="127"/>
      <c r="O156" s="137"/>
      <c r="P156" s="130"/>
      <c r="Q156" s="131"/>
      <c r="R156" s="130"/>
      <c r="S156" s="131"/>
      <c r="T156" s="130"/>
      <c r="U156" s="131"/>
      <c r="V156" s="130"/>
      <c r="W156" s="131"/>
      <c r="X156" s="130"/>
      <c r="Y156" s="131"/>
      <c r="Z156" s="130"/>
      <c r="AA156" s="131"/>
      <c r="AB156" s="130"/>
      <c r="AC156" s="131"/>
      <c r="AD156" s="130"/>
      <c r="AE156" s="131"/>
      <c r="AF156" s="130"/>
      <c r="AG156" s="131"/>
      <c r="AH156" s="130"/>
      <c r="AI156" s="131"/>
      <c r="AJ156" s="130"/>
      <c r="AK156" s="131"/>
      <c r="AL156" s="130"/>
      <c r="AM156" s="131"/>
      <c r="AN156" s="130"/>
      <c r="AO156" s="131"/>
      <c r="AP156" s="130"/>
      <c r="AQ156" s="131"/>
      <c r="AR156" s="130"/>
      <c r="AS156" s="131"/>
    </row>
    <row r="157" spans="1:45" x14ac:dyDescent="0.3">
      <c r="A157" s="126"/>
      <c r="B157" s="127"/>
      <c r="C157" s="127"/>
      <c r="D157" s="127"/>
      <c r="E157" s="126"/>
      <c r="G157" s="126"/>
      <c r="H157" s="126"/>
      <c r="I157" s="135"/>
      <c r="J157" s="127"/>
      <c r="L157" s="127"/>
      <c r="M157" s="127"/>
      <c r="N157" s="127"/>
      <c r="O157" s="137"/>
      <c r="P157" s="130"/>
      <c r="Q157" s="131"/>
      <c r="R157" s="130"/>
      <c r="S157" s="131"/>
      <c r="T157" s="130"/>
      <c r="U157" s="131"/>
      <c r="V157" s="130"/>
      <c r="W157" s="131"/>
      <c r="X157" s="130"/>
      <c r="Y157" s="131"/>
      <c r="Z157" s="130"/>
      <c r="AA157" s="131"/>
      <c r="AB157" s="130"/>
      <c r="AC157" s="131"/>
      <c r="AD157" s="130"/>
      <c r="AE157" s="131"/>
      <c r="AF157" s="130"/>
      <c r="AG157" s="131"/>
      <c r="AH157" s="130"/>
      <c r="AI157" s="131"/>
      <c r="AJ157" s="130"/>
      <c r="AK157" s="131"/>
      <c r="AL157" s="130"/>
      <c r="AM157" s="131"/>
      <c r="AN157" s="130"/>
      <c r="AO157" s="131"/>
      <c r="AP157" s="130"/>
      <c r="AQ157" s="131"/>
      <c r="AR157" s="130"/>
      <c r="AS157" s="131"/>
    </row>
    <row r="158" spans="1:45" x14ac:dyDescent="0.3">
      <c r="A158" s="126"/>
      <c r="B158" s="127"/>
      <c r="C158" s="127"/>
      <c r="D158" s="127"/>
      <c r="E158" s="126"/>
      <c r="G158" s="126"/>
      <c r="H158" s="126"/>
      <c r="I158" s="135"/>
      <c r="J158" s="127"/>
      <c r="L158" s="127"/>
      <c r="M158" s="127"/>
      <c r="N158" s="127"/>
      <c r="O158" s="137"/>
      <c r="P158" s="130"/>
      <c r="Q158" s="131"/>
      <c r="R158" s="130"/>
      <c r="S158" s="131"/>
      <c r="T158" s="130"/>
      <c r="U158" s="131"/>
      <c r="V158" s="130"/>
      <c r="W158" s="131"/>
      <c r="X158" s="130"/>
      <c r="Y158" s="131"/>
      <c r="Z158" s="130"/>
      <c r="AA158" s="131"/>
      <c r="AB158" s="130"/>
      <c r="AC158" s="131"/>
      <c r="AD158" s="130"/>
      <c r="AE158" s="131"/>
      <c r="AF158" s="130"/>
      <c r="AG158" s="131"/>
      <c r="AH158" s="130"/>
      <c r="AI158" s="131"/>
      <c r="AJ158" s="130"/>
      <c r="AK158" s="131"/>
      <c r="AL158" s="130"/>
      <c r="AM158" s="131"/>
      <c r="AN158" s="130"/>
      <c r="AO158" s="131"/>
      <c r="AP158" s="130"/>
      <c r="AQ158" s="131"/>
      <c r="AR158" s="130"/>
      <c r="AS158" s="131"/>
    </row>
    <row r="159" spans="1:45" x14ac:dyDescent="0.3">
      <c r="A159" s="126"/>
      <c r="B159" s="127"/>
      <c r="C159" s="127"/>
      <c r="D159" s="127"/>
      <c r="E159" s="126"/>
      <c r="G159" s="126"/>
      <c r="H159" s="126"/>
      <c r="I159" s="135"/>
      <c r="J159" s="127"/>
      <c r="L159" s="127"/>
      <c r="M159" s="127"/>
      <c r="N159" s="127"/>
      <c r="O159" s="137"/>
      <c r="P159" s="130"/>
      <c r="Q159" s="131"/>
      <c r="R159" s="130"/>
      <c r="S159" s="131"/>
      <c r="T159" s="130"/>
      <c r="U159" s="131"/>
      <c r="V159" s="130"/>
      <c r="W159" s="131"/>
      <c r="X159" s="130"/>
      <c r="Y159" s="131"/>
      <c r="Z159" s="130"/>
      <c r="AA159" s="131"/>
      <c r="AB159" s="130"/>
      <c r="AC159" s="131"/>
      <c r="AD159" s="130"/>
      <c r="AE159" s="131"/>
      <c r="AF159" s="130"/>
      <c r="AG159" s="131"/>
      <c r="AH159" s="130"/>
      <c r="AI159" s="131"/>
      <c r="AJ159" s="130"/>
      <c r="AK159" s="131"/>
      <c r="AL159" s="130"/>
      <c r="AM159" s="131"/>
      <c r="AN159" s="130"/>
      <c r="AO159" s="131"/>
      <c r="AP159" s="130"/>
      <c r="AQ159" s="131"/>
      <c r="AR159" s="130"/>
      <c r="AS159" s="131"/>
    </row>
    <row r="160" spans="1:45" x14ac:dyDescent="0.3">
      <c r="A160" s="126"/>
      <c r="B160" s="127"/>
      <c r="C160" s="127"/>
      <c r="D160" s="127"/>
      <c r="E160" s="126"/>
      <c r="G160" s="126"/>
      <c r="H160" s="126"/>
      <c r="I160" s="135"/>
      <c r="J160" s="127"/>
      <c r="L160" s="127"/>
      <c r="M160" s="127"/>
      <c r="N160" s="127"/>
      <c r="O160" s="137"/>
      <c r="P160" s="130"/>
      <c r="Q160" s="131"/>
      <c r="R160" s="130"/>
      <c r="S160" s="131"/>
      <c r="T160" s="130"/>
      <c r="U160" s="131"/>
      <c r="V160" s="130"/>
      <c r="W160" s="131"/>
      <c r="X160" s="130"/>
      <c r="Y160" s="131"/>
      <c r="Z160" s="130"/>
      <c r="AA160" s="131"/>
      <c r="AB160" s="130"/>
      <c r="AC160" s="131"/>
      <c r="AD160" s="130"/>
      <c r="AE160" s="131"/>
      <c r="AF160" s="130"/>
      <c r="AG160" s="131"/>
      <c r="AH160" s="130"/>
      <c r="AI160" s="131"/>
      <c r="AJ160" s="130"/>
      <c r="AK160" s="131"/>
      <c r="AL160" s="130"/>
      <c r="AM160" s="131"/>
      <c r="AN160" s="130"/>
      <c r="AO160" s="131"/>
      <c r="AP160" s="130"/>
      <c r="AQ160" s="131"/>
      <c r="AR160" s="130"/>
      <c r="AS160" s="131"/>
    </row>
    <row r="161" spans="1:45" x14ac:dyDescent="0.3">
      <c r="A161" s="126"/>
      <c r="B161" s="127"/>
      <c r="C161" s="127"/>
      <c r="D161" s="127"/>
      <c r="E161" s="126"/>
      <c r="G161" s="126"/>
      <c r="H161" s="126"/>
      <c r="I161" s="135"/>
      <c r="J161" s="127"/>
      <c r="L161" s="127"/>
      <c r="M161" s="127"/>
      <c r="N161" s="127"/>
      <c r="O161" s="137"/>
      <c r="P161" s="130"/>
      <c r="Q161" s="131"/>
      <c r="R161" s="130"/>
      <c r="S161" s="131"/>
      <c r="T161" s="130"/>
      <c r="U161" s="131"/>
      <c r="V161" s="130"/>
      <c r="W161" s="131"/>
      <c r="X161" s="130"/>
      <c r="Y161" s="131"/>
      <c r="Z161" s="130"/>
      <c r="AA161" s="131"/>
      <c r="AB161" s="130"/>
      <c r="AC161" s="131"/>
      <c r="AD161" s="130"/>
      <c r="AE161" s="131"/>
      <c r="AF161" s="130"/>
      <c r="AG161" s="131"/>
      <c r="AH161" s="130"/>
      <c r="AI161" s="131"/>
      <c r="AJ161" s="130"/>
      <c r="AK161" s="131"/>
      <c r="AL161" s="130"/>
      <c r="AM161" s="131"/>
      <c r="AN161" s="130"/>
      <c r="AO161" s="131"/>
      <c r="AP161" s="130"/>
      <c r="AQ161" s="131"/>
      <c r="AR161" s="130"/>
      <c r="AS161" s="131"/>
    </row>
    <row r="162" spans="1:45" x14ac:dyDescent="0.3">
      <c r="A162" s="126"/>
      <c r="B162" s="127"/>
      <c r="C162" s="127"/>
      <c r="D162" s="127"/>
      <c r="E162" s="126"/>
      <c r="G162" s="126"/>
      <c r="H162" s="126"/>
      <c r="I162" s="135"/>
      <c r="J162" s="127"/>
      <c r="L162" s="127"/>
      <c r="M162" s="127"/>
      <c r="N162" s="127"/>
      <c r="O162" s="137"/>
      <c r="P162" s="130"/>
      <c r="Q162" s="131"/>
      <c r="R162" s="130"/>
      <c r="S162" s="131"/>
      <c r="T162" s="130"/>
      <c r="U162" s="131"/>
      <c r="V162" s="130"/>
      <c r="W162" s="131"/>
      <c r="X162" s="130"/>
      <c r="Y162" s="131"/>
      <c r="Z162" s="130"/>
      <c r="AA162" s="131"/>
      <c r="AB162" s="130"/>
      <c r="AC162" s="131"/>
      <c r="AD162" s="130"/>
      <c r="AE162" s="131"/>
      <c r="AF162" s="130"/>
      <c r="AG162" s="131"/>
      <c r="AH162" s="130"/>
      <c r="AI162" s="131"/>
      <c r="AJ162" s="130"/>
      <c r="AK162" s="131"/>
      <c r="AL162" s="130"/>
      <c r="AM162" s="131"/>
      <c r="AN162" s="130"/>
      <c r="AO162" s="131"/>
      <c r="AP162" s="130"/>
      <c r="AQ162" s="131"/>
      <c r="AR162" s="130"/>
      <c r="AS162" s="131"/>
    </row>
    <row r="163" spans="1:45" x14ac:dyDescent="0.3">
      <c r="A163" s="126"/>
      <c r="B163" s="127"/>
      <c r="C163" s="127"/>
      <c r="D163" s="127"/>
      <c r="E163" s="126"/>
      <c r="G163" s="126"/>
      <c r="H163" s="126"/>
      <c r="I163" s="135"/>
      <c r="J163" s="127"/>
      <c r="L163" s="127"/>
      <c r="M163" s="127"/>
      <c r="N163" s="127"/>
      <c r="O163" s="137"/>
      <c r="P163" s="130"/>
      <c r="Q163" s="131"/>
      <c r="R163" s="130"/>
      <c r="S163" s="131"/>
      <c r="T163" s="130"/>
      <c r="U163" s="131"/>
      <c r="V163" s="130"/>
      <c r="W163" s="131"/>
      <c r="X163" s="130"/>
      <c r="Y163" s="131"/>
      <c r="Z163" s="130"/>
      <c r="AA163" s="131"/>
      <c r="AB163" s="130"/>
      <c r="AC163" s="131"/>
      <c r="AD163" s="130"/>
      <c r="AE163" s="131"/>
      <c r="AF163" s="130"/>
      <c r="AG163" s="131"/>
      <c r="AH163" s="130"/>
      <c r="AI163" s="131"/>
      <c r="AJ163" s="130"/>
      <c r="AK163" s="131"/>
      <c r="AL163" s="130"/>
      <c r="AM163" s="131"/>
      <c r="AN163" s="130"/>
      <c r="AO163" s="131"/>
      <c r="AP163" s="130"/>
      <c r="AQ163" s="131"/>
      <c r="AR163" s="130"/>
      <c r="AS163" s="131"/>
    </row>
    <row r="164" spans="1:45" x14ac:dyDescent="0.3">
      <c r="A164" s="126"/>
      <c r="B164" s="127"/>
      <c r="C164" s="127"/>
      <c r="D164" s="127"/>
      <c r="E164" s="126"/>
      <c r="G164" s="126"/>
      <c r="H164" s="126"/>
      <c r="I164" s="135"/>
      <c r="J164" s="127"/>
      <c r="L164" s="127"/>
      <c r="M164" s="127"/>
      <c r="N164" s="127"/>
      <c r="O164" s="137"/>
      <c r="P164" s="130"/>
      <c r="Q164" s="131"/>
      <c r="R164" s="130"/>
      <c r="S164" s="131"/>
      <c r="T164" s="130"/>
      <c r="U164" s="131"/>
      <c r="V164" s="130"/>
      <c r="W164" s="131"/>
      <c r="X164" s="130"/>
      <c r="Y164" s="131"/>
      <c r="Z164" s="130"/>
      <c r="AA164" s="131"/>
      <c r="AB164" s="130"/>
      <c r="AC164" s="131"/>
      <c r="AD164" s="130"/>
      <c r="AE164" s="131"/>
      <c r="AF164" s="130"/>
      <c r="AG164" s="131"/>
      <c r="AH164" s="130"/>
      <c r="AI164" s="131"/>
      <c r="AJ164" s="130"/>
      <c r="AK164" s="131"/>
      <c r="AL164" s="130"/>
      <c r="AM164" s="131"/>
      <c r="AN164" s="130"/>
      <c r="AO164" s="131"/>
      <c r="AP164" s="130"/>
      <c r="AQ164" s="131"/>
      <c r="AR164" s="130"/>
      <c r="AS164" s="131"/>
    </row>
    <row r="165" spans="1:45" x14ac:dyDescent="0.3">
      <c r="A165" s="126"/>
      <c r="B165" s="127"/>
      <c r="C165" s="127"/>
      <c r="D165" s="127"/>
      <c r="E165" s="126"/>
      <c r="G165" s="126"/>
      <c r="H165" s="126"/>
      <c r="I165" s="135"/>
      <c r="J165" s="127"/>
      <c r="L165" s="127"/>
      <c r="M165" s="127"/>
      <c r="N165" s="127"/>
      <c r="O165" s="137"/>
      <c r="P165" s="130"/>
      <c r="Q165" s="131"/>
      <c r="R165" s="130"/>
      <c r="S165" s="131"/>
      <c r="T165" s="130"/>
      <c r="U165" s="131"/>
      <c r="V165" s="130"/>
      <c r="W165" s="131"/>
      <c r="X165" s="130"/>
      <c r="Y165" s="131"/>
      <c r="Z165" s="130"/>
      <c r="AA165" s="131"/>
      <c r="AB165" s="130"/>
      <c r="AC165" s="131"/>
      <c r="AD165" s="130"/>
      <c r="AE165" s="131"/>
      <c r="AF165" s="130"/>
      <c r="AG165" s="131"/>
      <c r="AH165" s="130"/>
      <c r="AI165" s="131"/>
      <c r="AJ165" s="130"/>
      <c r="AK165" s="131"/>
      <c r="AL165" s="130"/>
      <c r="AM165" s="131"/>
      <c r="AN165" s="130"/>
      <c r="AO165" s="131"/>
      <c r="AP165" s="130"/>
      <c r="AQ165" s="131"/>
      <c r="AR165" s="130"/>
      <c r="AS165" s="131"/>
    </row>
    <row r="166" spans="1:45" x14ac:dyDescent="0.3">
      <c r="A166" s="126"/>
      <c r="B166" s="127"/>
      <c r="C166" s="127"/>
      <c r="D166" s="127"/>
      <c r="E166" s="126"/>
      <c r="G166" s="126"/>
      <c r="H166" s="126"/>
      <c r="I166" s="135"/>
      <c r="J166" s="127"/>
      <c r="L166" s="127"/>
      <c r="M166" s="127"/>
      <c r="N166" s="127"/>
      <c r="O166" s="137"/>
      <c r="P166" s="130"/>
      <c r="Q166" s="131"/>
      <c r="R166" s="130"/>
      <c r="S166" s="131"/>
      <c r="T166" s="130"/>
      <c r="U166" s="131"/>
      <c r="V166" s="130"/>
      <c r="W166" s="131"/>
      <c r="X166" s="130"/>
      <c r="Y166" s="131"/>
      <c r="Z166" s="130"/>
      <c r="AA166" s="131"/>
      <c r="AB166" s="130"/>
      <c r="AC166" s="131"/>
      <c r="AD166" s="130"/>
      <c r="AE166" s="131"/>
      <c r="AF166" s="130"/>
      <c r="AG166" s="131"/>
      <c r="AH166" s="130"/>
      <c r="AI166" s="131"/>
      <c r="AJ166" s="130"/>
      <c r="AK166" s="131"/>
      <c r="AL166" s="130"/>
      <c r="AM166" s="131"/>
      <c r="AN166" s="130"/>
      <c r="AO166" s="131"/>
      <c r="AP166" s="130"/>
      <c r="AQ166" s="131"/>
      <c r="AR166" s="130"/>
      <c r="AS166" s="131"/>
    </row>
    <row r="167" spans="1:45" x14ac:dyDescent="0.3">
      <c r="A167" s="126"/>
      <c r="B167" s="127"/>
      <c r="C167" s="127"/>
      <c r="D167" s="127"/>
      <c r="E167" s="126"/>
      <c r="G167" s="126"/>
      <c r="H167" s="126"/>
      <c r="I167" s="135"/>
      <c r="J167" s="127"/>
      <c r="L167" s="127"/>
      <c r="M167" s="127"/>
      <c r="N167" s="127"/>
      <c r="O167" s="137"/>
      <c r="P167" s="130"/>
      <c r="Q167" s="131"/>
      <c r="R167" s="130"/>
      <c r="S167" s="131"/>
      <c r="T167" s="130"/>
      <c r="U167" s="131"/>
      <c r="V167" s="130"/>
      <c r="W167" s="131"/>
      <c r="X167" s="130"/>
      <c r="Y167" s="131"/>
      <c r="Z167" s="130"/>
      <c r="AA167" s="131"/>
      <c r="AB167" s="130"/>
      <c r="AC167" s="131"/>
      <c r="AD167" s="130"/>
      <c r="AE167" s="131"/>
      <c r="AF167" s="130"/>
      <c r="AG167" s="131"/>
      <c r="AH167" s="130"/>
      <c r="AI167" s="131"/>
      <c r="AJ167" s="130"/>
      <c r="AK167" s="131"/>
      <c r="AL167" s="130"/>
      <c r="AM167" s="131"/>
      <c r="AN167" s="130"/>
      <c r="AO167" s="131"/>
      <c r="AP167" s="130"/>
      <c r="AQ167" s="131"/>
      <c r="AR167" s="130"/>
      <c r="AS167" s="131"/>
    </row>
    <row r="168" spans="1:45" x14ac:dyDescent="0.3">
      <c r="A168" s="126"/>
      <c r="B168" s="127"/>
      <c r="C168" s="127"/>
      <c r="D168" s="127"/>
      <c r="E168" s="126"/>
      <c r="G168" s="126"/>
      <c r="H168" s="126"/>
      <c r="I168" s="135"/>
      <c r="J168" s="127"/>
      <c r="L168" s="127"/>
      <c r="M168" s="127"/>
      <c r="N168" s="127"/>
      <c r="O168" s="137"/>
      <c r="P168" s="130"/>
      <c r="Q168" s="131"/>
      <c r="R168" s="130"/>
      <c r="S168" s="131"/>
      <c r="T168" s="130"/>
      <c r="U168" s="131"/>
      <c r="V168" s="130"/>
      <c r="W168" s="131"/>
      <c r="X168" s="130"/>
      <c r="Y168" s="131"/>
      <c r="Z168" s="130"/>
      <c r="AA168" s="131"/>
      <c r="AB168" s="130"/>
      <c r="AC168" s="131"/>
      <c r="AD168" s="130"/>
      <c r="AE168" s="131"/>
      <c r="AF168" s="130"/>
      <c r="AG168" s="131"/>
      <c r="AH168" s="130"/>
      <c r="AI168" s="131"/>
      <c r="AJ168" s="130"/>
      <c r="AK168" s="131"/>
      <c r="AL168" s="130"/>
      <c r="AM168" s="131"/>
      <c r="AN168" s="130"/>
      <c r="AO168" s="131"/>
      <c r="AP168" s="130"/>
      <c r="AQ168" s="131"/>
      <c r="AR168" s="130"/>
      <c r="AS168" s="131"/>
    </row>
    <row r="169" spans="1:45" x14ac:dyDescent="0.3">
      <c r="A169" s="126"/>
      <c r="B169" s="127"/>
      <c r="C169" s="127"/>
      <c r="D169" s="127"/>
      <c r="E169" s="126"/>
      <c r="G169" s="126"/>
      <c r="H169" s="126"/>
      <c r="I169" s="135"/>
      <c r="J169" s="127"/>
      <c r="L169" s="127"/>
      <c r="M169" s="127"/>
      <c r="N169" s="127"/>
      <c r="O169" s="137"/>
      <c r="P169" s="130"/>
      <c r="Q169" s="131"/>
      <c r="R169" s="130"/>
      <c r="S169" s="131"/>
      <c r="T169" s="130"/>
      <c r="U169" s="131"/>
      <c r="V169" s="130"/>
      <c r="W169" s="131"/>
      <c r="X169" s="130"/>
      <c r="Y169" s="131"/>
      <c r="Z169" s="130"/>
      <c r="AA169" s="131"/>
      <c r="AB169" s="130"/>
      <c r="AC169" s="131"/>
      <c r="AD169" s="130"/>
      <c r="AE169" s="131"/>
      <c r="AF169" s="130"/>
      <c r="AG169" s="131"/>
      <c r="AH169" s="130"/>
      <c r="AI169" s="131"/>
      <c r="AJ169" s="130"/>
      <c r="AK169" s="131"/>
      <c r="AL169" s="130"/>
      <c r="AM169" s="131"/>
      <c r="AN169" s="130"/>
      <c r="AO169" s="131"/>
      <c r="AP169" s="130"/>
      <c r="AQ169" s="131"/>
      <c r="AR169" s="130"/>
      <c r="AS169" s="131"/>
    </row>
    <row r="170" spans="1:45" x14ac:dyDescent="0.3">
      <c r="A170" s="126"/>
      <c r="B170" s="127"/>
      <c r="C170" s="127"/>
      <c r="D170" s="127"/>
      <c r="E170" s="126"/>
      <c r="G170" s="126"/>
      <c r="H170" s="126"/>
      <c r="I170" s="135"/>
      <c r="J170" s="127"/>
      <c r="L170" s="127"/>
      <c r="M170" s="127"/>
      <c r="N170" s="127"/>
      <c r="O170" s="137"/>
      <c r="P170" s="130"/>
      <c r="Q170" s="131"/>
      <c r="R170" s="130"/>
      <c r="S170" s="131"/>
      <c r="T170" s="130"/>
      <c r="U170" s="131"/>
      <c r="V170" s="130"/>
      <c r="W170" s="131"/>
      <c r="X170" s="130"/>
      <c r="Y170" s="131"/>
      <c r="Z170" s="130"/>
      <c r="AA170" s="131"/>
      <c r="AB170" s="130"/>
      <c r="AC170" s="131"/>
      <c r="AD170" s="130"/>
      <c r="AE170" s="131"/>
      <c r="AF170" s="130"/>
      <c r="AG170" s="131"/>
      <c r="AH170" s="130"/>
      <c r="AI170" s="131"/>
      <c r="AJ170" s="130"/>
      <c r="AK170" s="131"/>
      <c r="AL170" s="130"/>
      <c r="AM170" s="131"/>
      <c r="AN170" s="130"/>
      <c r="AO170" s="131"/>
      <c r="AP170" s="130"/>
      <c r="AQ170" s="131"/>
      <c r="AR170" s="130"/>
      <c r="AS170" s="131"/>
    </row>
    <row r="171" spans="1:45" x14ac:dyDescent="0.3">
      <c r="A171" s="126"/>
      <c r="B171" s="127"/>
      <c r="C171" s="127"/>
      <c r="D171" s="127"/>
      <c r="E171" s="126"/>
      <c r="G171" s="126"/>
      <c r="H171" s="126"/>
      <c r="I171" s="135"/>
      <c r="J171" s="127"/>
      <c r="L171" s="127"/>
      <c r="M171" s="127"/>
      <c r="N171" s="127"/>
      <c r="O171" s="137"/>
      <c r="P171" s="130"/>
      <c r="Q171" s="131"/>
      <c r="R171" s="130"/>
      <c r="S171" s="131"/>
      <c r="T171" s="130"/>
      <c r="U171" s="131"/>
      <c r="V171" s="130"/>
      <c r="W171" s="131"/>
      <c r="X171" s="130"/>
      <c r="Y171" s="131"/>
      <c r="Z171" s="130"/>
      <c r="AA171" s="131"/>
      <c r="AB171" s="130"/>
      <c r="AC171" s="131"/>
      <c r="AD171" s="130"/>
      <c r="AE171" s="131"/>
      <c r="AF171" s="130"/>
      <c r="AG171" s="131"/>
      <c r="AH171" s="130"/>
      <c r="AI171" s="131"/>
      <c r="AJ171" s="130"/>
      <c r="AK171" s="131"/>
      <c r="AL171" s="130"/>
      <c r="AM171" s="131"/>
      <c r="AN171" s="130"/>
      <c r="AO171" s="131"/>
      <c r="AP171" s="130"/>
      <c r="AQ171" s="131"/>
      <c r="AR171" s="130"/>
      <c r="AS171" s="131"/>
    </row>
    <row r="172" spans="1:45" x14ac:dyDescent="0.3">
      <c r="A172" s="126"/>
      <c r="B172" s="127"/>
      <c r="C172" s="127"/>
      <c r="D172" s="127"/>
      <c r="E172" s="126"/>
      <c r="G172" s="126"/>
      <c r="H172" s="126"/>
      <c r="I172" s="135"/>
      <c r="J172" s="127"/>
      <c r="L172" s="127"/>
      <c r="M172" s="127"/>
      <c r="N172" s="127"/>
      <c r="O172" s="137"/>
      <c r="P172" s="130"/>
      <c r="Q172" s="131"/>
      <c r="R172" s="130"/>
      <c r="S172" s="131"/>
      <c r="T172" s="130"/>
      <c r="U172" s="131"/>
      <c r="V172" s="130"/>
      <c r="W172" s="131"/>
      <c r="X172" s="130"/>
      <c r="Y172" s="131"/>
      <c r="Z172" s="130"/>
      <c r="AA172" s="131"/>
      <c r="AB172" s="130"/>
      <c r="AC172" s="131"/>
      <c r="AD172" s="130"/>
      <c r="AE172" s="131"/>
      <c r="AF172" s="130"/>
      <c r="AG172" s="131"/>
      <c r="AH172" s="130"/>
      <c r="AI172" s="131"/>
      <c r="AJ172" s="130"/>
      <c r="AK172" s="131"/>
      <c r="AL172" s="130"/>
      <c r="AM172" s="131"/>
      <c r="AN172" s="130"/>
      <c r="AO172" s="131"/>
      <c r="AP172" s="130"/>
      <c r="AQ172" s="131"/>
      <c r="AR172" s="130"/>
      <c r="AS172" s="131"/>
    </row>
    <row r="173" spans="1:45" x14ac:dyDescent="0.3">
      <c r="A173" s="126"/>
      <c r="B173" s="127"/>
      <c r="C173" s="127"/>
      <c r="D173" s="127"/>
      <c r="E173" s="126"/>
      <c r="G173" s="126"/>
      <c r="H173" s="126"/>
      <c r="I173" s="135"/>
      <c r="J173" s="127"/>
      <c r="L173" s="127"/>
      <c r="M173" s="127"/>
      <c r="N173" s="127"/>
      <c r="O173" s="137"/>
      <c r="P173" s="130"/>
      <c r="Q173" s="131"/>
      <c r="R173" s="130"/>
      <c r="S173" s="131"/>
      <c r="T173" s="130"/>
      <c r="U173" s="131"/>
      <c r="V173" s="130"/>
      <c r="W173" s="131"/>
      <c r="X173" s="130"/>
      <c r="Y173" s="131"/>
      <c r="Z173" s="130"/>
      <c r="AA173" s="131"/>
      <c r="AB173" s="130"/>
      <c r="AC173" s="131"/>
      <c r="AD173" s="130"/>
      <c r="AE173" s="131"/>
      <c r="AF173" s="130"/>
      <c r="AG173" s="131"/>
      <c r="AH173" s="130"/>
      <c r="AI173" s="131"/>
      <c r="AJ173" s="130"/>
      <c r="AK173" s="131"/>
      <c r="AL173" s="130"/>
      <c r="AM173" s="131"/>
      <c r="AN173" s="130"/>
      <c r="AO173" s="131"/>
      <c r="AP173" s="130"/>
      <c r="AQ173" s="131"/>
      <c r="AR173" s="130"/>
      <c r="AS173" s="131"/>
    </row>
    <row r="174" spans="1:45" x14ac:dyDescent="0.3">
      <c r="A174" s="126"/>
      <c r="B174" s="127"/>
      <c r="C174" s="127"/>
      <c r="D174" s="127"/>
      <c r="E174" s="126"/>
      <c r="G174" s="126"/>
      <c r="H174" s="126"/>
      <c r="I174" s="135"/>
      <c r="J174" s="127"/>
      <c r="L174" s="127"/>
      <c r="M174" s="127"/>
      <c r="N174" s="127"/>
      <c r="O174" s="137"/>
      <c r="P174" s="130"/>
      <c r="Q174" s="131"/>
      <c r="R174" s="130"/>
      <c r="S174" s="131"/>
      <c r="T174" s="130"/>
      <c r="U174" s="131"/>
      <c r="V174" s="130"/>
      <c r="W174" s="131"/>
      <c r="X174" s="130"/>
      <c r="Y174" s="131"/>
      <c r="Z174" s="130"/>
      <c r="AA174" s="131"/>
      <c r="AB174" s="130"/>
      <c r="AC174" s="131"/>
      <c r="AD174" s="130"/>
      <c r="AE174" s="131"/>
      <c r="AF174" s="130"/>
      <c r="AG174" s="131"/>
      <c r="AH174" s="130"/>
      <c r="AI174" s="131"/>
      <c r="AJ174" s="130"/>
      <c r="AK174" s="131"/>
      <c r="AL174" s="130"/>
      <c r="AM174" s="131"/>
      <c r="AN174" s="130"/>
      <c r="AO174" s="131"/>
      <c r="AP174" s="130"/>
      <c r="AQ174" s="131"/>
      <c r="AR174" s="130"/>
      <c r="AS174" s="131"/>
    </row>
    <row r="175" spans="1:45" x14ac:dyDescent="0.3">
      <c r="A175" s="126"/>
      <c r="B175" s="127"/>
      <c r="C175" s="127"/>
      <c r="D175" s="127"/>
      <c r="E175" s="126"/>
      <c r="G175" s="126"/>
      <c r="H175" s="126"/>
      <c r="I175" s="135"/>
      <c r="J175" s="127"/>
      <c r="L175" s="127"/>
      <c r="M175" s="127"/>
      <c r="N175" s="127"/>
      <c r="O175" s="137"/>
      <c r="P175" s="130"/>
      <c r="Q175" s="131"/>
      <c r="R175" s="130"/>
      <c r="S175" s="131"/>
      <c r="T175" s="130"/>
      <c r="U175" s="131"/>
      <c r="V175" s="130"/>
      <c r="W175" s="131"/>
      <c r="X175" s="130"/>
      <c r="Y175" s="131"/>
      <c r="Z175" s="130"/>
      <c r="AA175" s="131"/>
      <c r="AB175" s="130"/>
      <c r="AC175" s="131"/>
      <c r="AD175" s="130"/>
      <c r="AE175" s="131"/>
      <c r="AF175" s="130"/>
      <c r="AG175" s="131"/>
      <c r="AH175" s="130"/>
      <c r="AI175" s="131"/>
      <c r="AJ175" s="130"/>
      <c r="AK175" s="131"/>
      <c r="AL175" s="130"/>
      <c r="AM175" s="131"/>
      <c r="AN175" s="130"/>
      <c r="AO175" s="131"/>
      <c r="AP175" s="130"/>
      <c r="AQ175" s="131"/>
      <c r="AR175" s="130"/>
      <c r="AS175" s="131"/>
    </row>
    <row r="176" spans="1:45" x14ac:dyDescent="0.3">
      <c r="A176" s="126"/>
      <c r="B176" s="127"/>
      <c r="C176" s="127"/>
      <c r="D176" s="127"/>
      <c r="E176" s="126"/>
      <c r="G176" s="126"/>
      <c r="H176" s="126"/>
      <c r="I176" s="135"/>
      <c r="J176" s="127"/>
      <c r="L176" s="127"/>
      <c r="M176" s="127"/>
      <c r="N176" s="127"/>
      <c r="O176" s="137"/>
      <c r="P176" s="130"/>
      <c r="Q176" s="131"/>
      <c r="R176" s="130"/>
      <c r="S176" s="131"/>
      <c r="T176" s="130"/>
      <c r="U176" s="131"/>
      <c r="V176" s="130"/>
      <c r="W176" s="131"/>
      <c r="X176" s="130"/>
      <c r="Y176" s="131"/>
      <c r="Z176" s="130"/>
      <c r="AA176" s="131"/>
      <c r="AB176" s="130"/>
      <c r="AC176" s="131"/>
      <c r="AD176" s="130"/>
      <c r="AE176" s="131"/>
      <c r="AF176" s="130"/>
      <c r="AG176" s="131"/>
      <c r="AH176" s="130"/>
      <c r="AI176" s="131"/>
      <c r="AJ176" s="130"/>
      <c r="AK176" s="131"/>
      <c r="AL176" s="130"/>
      <c r="AM176" s="131"/>
      <c r="AN176" s="130"/>
      <c r="AO176" s="131"/>
      <c r="AP176" s="130"/>
      <c r="AQ176" s="131"/>
      <c r="AR176" s="130"/>
      <c r="AS176" s="131"/>
    </row>
    <row r="177" spans="1:45" x14ac:dyDescent="0.3">
      <c r="A177" s="126"/>
      <c r="B177" s="127"/>
      <c r="C177" s="127"/>
      <c r="D177" s="127"/>
      <c r="E177" s="126"/>
      <c r="G177" s="126"/>
      <c r="H177" s="126"/>
      <c r="I177" s="135"/>
      <c r="J177" s="127"/>
      <c r="L177" s="127"/>
      <c r="M177" s="127"/>
      <c r="N177" s="127"/>
      <c r="O177" s="137"/>
      <c r="P177" s="130"/>
      <c r="Q177" s="131"/>
      <c r="R177" s="130"/>
      <c r="S177" s="131"/>
      <c r="T177" s="130"/>
      <c r="U177" s="131"/>
      <c r="V177" s="130"/>
      <c r="W177" s="131"/>
      <c r="X177" s="130"/>
      <c r="Y177" s="131"/>
      <c r="Z177" s="130"/>
      <c r="AA177" s="131"/>
      <c r="AB177" s="130"/>
      <c r="AC177" s="131"/>
      <c r="AD177" s="130"/>
      <c r="AE177" s="131"/>
      <c r="AF177" s="130"/>
      <c r="AG177" s="131"/>
      <c r="AH177" s="130"/>
      <c r="AI177" s="131"/>
      <c r="AJ177" s="130"/>
      <c r="AK177" s="131"/>
      <c r="AL177" s="130"/>
      <c r="AM177" s="131"/>
      <c r="AN177" s="130"/>
      <c r="AO177" s="131"/>
      <c r="AP177" s="130"/>
      <c r="AQ177" s="131"/>
      <c r="AR177" s="130"/>
      <c r="AS177" s="131"/>
    </row>
    <row r="178" spans="1:45" x14ac:dyDescent="0.3">
      <c r="A178" s="126"/>
      <c r="B178" s="127"/>
      <c r="C178" s="127"/>
      <c r="D178" s="127"/>
      <c r="E178" s="126"/>
      <c r="G178" s="126"/>
      <c r="H178" s="126"/>
      <c r="I178" s="135"/>
      <c r="J178" s="127"/>
      <c r="L178" s="127"/>
      <c r="M178" s="127"/>
      <c r="N178" s="127"/>
      <c r="O178" s="137"/>
      <c r="P178" s="130"/>
      <c r="Q178" s="131"/>
      <c r="R178" s="130"/>
      <c r="S178" s="131"/>
      <c r="T178" s="130"/>
      <c r="U178" s="131"/>
      <c r="V178" s="130"/>
      <c r="W178" s="131"/>
      <c r="X178" s="130"/>
      <c r="Y178" s="131"/>
      <c r="Z178" s="130"/>
      <c r="AA178" s="131"/>
      <c r="AB178" s="130"/>
      <c r="AC178" s="131"/>
      <c r="AD178" s="130"/>
      <c r="AE178" s="131"/>
      <c r="AF178" s="130"/>
      <c r="AG178" s="131"/>
      <c r="AH178" s="130"/>
      <c r="AI178" s="131"/>
      <c r="AJ178" s="130"/>
      <c r="AK178" s="131"/>
      <c r="AL178" s="130"/>
      <c r="AM178" s="131"/>
      <c r="AN178" s="130"/>
      <c r="AO178" s="131"/>
      <c r="AP178" s="130"/>
      <c r="AQ178" s="131"/>
      <c r="AR178" s="130"/>
      <c r="AS178" s="131"/>
    </row>
    <row r="179" spans="1:45" x14ac:dyDescent="0.3">
      <c r="A179" s="126"/>
      <c r="B179" s="127"/>
      <c r="C179" s="127"/>
      <c r="D179" s="127"/>
      <c r="E179" s="126"/>
      <c r="G179" s="126"/>
      <c r="H179" s="126"/>
      <c r="I179" s="135"/>
      <c r="J179" s="127"/>
      <c r="L179" s="127"/>
      <c r="M179" s="127"/>
      <c r="N179" s="127"/>
      <c r="O179" s="137"/>
      <c r="P179" s="130"/>
      <c r="Q179" s="131"/>
      <c r="R179" s="130"/>
      <c r="S179" s="131"/>
      <c r="T179" s="130"/>
      <c r="U179" s="131"/>
      <c r="V179" s="130"/>
      <c r="W179" s="131"/>
      <c r="X179" s="130"/>
      <c r="Y179" s="131"/>
      <c r="Z179" s="130"/>
      <c r="AA179" s="131"/>
      <c r="AB179" s="130"/>
      <c r="AC179" s="131"/>
      <c r="AD179" s="130"/>
      <c r="AE179" s="131"/>
      <c r="AF179" s="130"/>
      <c r="AG179" s="131"/>
      <c r="AH179" s="130"/>
      <c r="AI179" s="131"/>
      <c r="AJ179" s="130"/>
      <c r="AK179" s="131"/>
      <c r="AL179" s="130"/>
      <c r="AM179" s="131"/>
      <c r="AN179" s="130"/>
      <c r="AO179" s="131"/>
      <c r="AP179" s="130"/>
      <c r="AQ179" s="131"/>
      <c r="AR179" s="130"/>
      <c r="AS179" s="131"/>
    </row>
    <row r="180" spans="1:45" x14ac:dyDescent="0.3">
      <c r="A180" s="126"/>
      <c r="B180" s="127"/>
      <c r="C180" s="127"/>
      <c r="D180" s="127"/>
      <c r="E180" s="126"/>
      <c r="G180" s="126"/>
      <c r="H180" s="126"/>
      <c r="I180" s="135"/>
      <c r="J180" s="127"/>
      <c r="L180" s="127"/>
      <c r="M180" s="127"/>
      <c r="N180" s="127"/>
      <c r="O180" s="137"/>
      <c r="P180" s="130"/>
      <c r="Q180" s="131"/>
      <c r="R180" s="130"/>
      <c r="S180" s="131"/>
      <c r="T180" s="130"/>
      <c r="U180" s="131"/>
      <c r="V180" s="130"/>
      <c r="W180" s="131"/>
      <c r="X180" s="130"/>
      <c r="Y180" s="131"/>
      <c r="Z180" s="130"/>
      <c r="AA180" s="131"/>
      <c r="AB180" s="130"/>
      <c r="AC180" s="131"/>
      <c r="AD180" s="130"/>
      <c r="AE180" s="131"/>
      <c r="AF180" s="130"/>
      <c r="AG180" s="131"/>
      <c r="AH180" s="130"/>
      <c r="AI180" s="131"/>
      <c r="AJ180" s="130"/>
      <c r="AK180" s="131"/>
      <c r="AL180" s="130"/>
      <c r="AM180" s="131"/>
      <c r="AN180" s="130"/>
      <c r="AO180" s="131"/>
      <c r="AP180" s="130"/>
      <c r="AQ180" s="131"/>
      <c r="AR180" s="130"/>
      <c r="AS180" s="131"/>
    </row>
    <row r="181" spans="1:45" x14ac:dyDescent="0.3">
      <c r="A181" s="126"/>
      <c r="B181" s="127"/>
      <c r="C181" s="127"/>
      <c r="D181" s="127"/>
      <c r="E181" s="126"/>
      <c r="G181" s="126"/>
      <c r="H181" s="126"/>
      <c r="I181" s="135"/>
      <c r="J181" s="127"/>
      <c r="L181" s="127"/>
      <c r="M181" s="127"/>
      <c r="N181" s="127"/>
      <c r="O181" s="137"/>
      <c r="P181" s="130"/>
      <c r="Q181" s="131"/>
      <c r="R181" s="130"/>
      <c r="S181" s="131"/>
      <c r="T181" s="130"/>
      <c r="U181" s="131"/>
      <c r="V181" s="130"/>
      <c r="W181" s="131"/>
      <c r="X181" s="130"/>
      <c r="Y181" s="131"/>
      <c r="Z181" s="130"/>
      <c r="AA181" s="131"/>
      <c r="AB181" s="130"/>
      <c r="AC181" s="131"/>
      <c r="AD181" s="130"/>
      <c r="AE181" s="131"/>
      <c r="AF181" s="130"/>
      <c r="AG181" s="131"/>
      <c r="AH181" s="130"/>
      <c r="AI181" s="131"/>
      <c r="AJ181" s="130"/>
      <c r="AK181" s="131"/>
      <c r="AL181" s="130"/>
      <c r="AM181" s="131"/>
      <c r="AN181" s="130"/>
      <c r="AO181" s="131"/>
      <c r="AP181" s="130"/>
      <c r="AQ181" s="131"/>
      <c r="AR181" s="130"/>
      <c r="AS181" s="131"/>
    </row>
    <row r="182" spans="1:45" x14ac:dyDescent="0.3">
      <c r="A182" s="126"/>
      <c r="B182" s="127"/>
      <c r="C182" s="127"/>
      <c r="D182" s="127"/>
      <c r="E182" s="126"/>
      <c r="G182" s="126"/>
      <c r="H182" s="126"/>
      <c r="I182" s="135"/>
      <c r="J182" s="127"/>
      <c r="L182" s="127"/>
      <c r="M182" s="127"/>
      <c r="N182" s="127"/>
      <c r="O182" s="137"/>
      <c r="P182" s="130"/>
      <c r="Q182" s="131"/>
      <c r="R182" s="130"/>
      <c r="S182" s="131"/>
      <c r="T182" s="130"/>
      <c r="U182" s="131"/>
      <c r="V182" s="130"/>
      <c r="W182" s="131"/>
      <c r="X182" s="130"/>
      <c r="Y182" s="131"/>
      <c r="Z182" s="130"/>
      <c r="AA182" s="131"/>
      <c r="AB182" s="130"/>
      <c r="AC182" s="131"/>
      <c r="AD182" s="130"/>
      <c r="AE182" s="131"/>
      <c r="AF182" s="130"/>
      <c r="AG182" s="131"/>
      <c r="AH182" s="130"/>
      <c r="AI182" s="131"/>
      <c r="AJ182" s="130"/>
      <c r="AK182" s="131"/>
      <c r="AL182" s="130"/>
      <c r="AM182" s="131"/>
      <c r="AN182" s="130"/>
      <c r="AO182" s="131"/>
      <c r="AP182" s="130"/>
      <c r="AQ182" s="131"/>
      <c r="AR182" s="130"/>
      <c r="AS182" s="131"/>
    </row>
    <row r="183" spans="1:45" x14ac:dyDescent="0.3">
      <c r="A183" s="126"/>
      <c r="B183" s="127"/>
      <c r="C183" s="127"/>
      <c r="D183" s="127"/>
      <c r="E183" s="126"/>
      <c r="G183" s="126"/>
      <c r="H183" s="126"/>
      <c r="I183" s="135"/>
      <c r="J183" s="127"/>
      <c r="L183" s="127"/>
      <c r="M183" s="127"/>
      <c r="N183" s="127"/>
      <c r="O183" s="137"/>
      <c r="P183" s="130"/>
      <c r="Q183" s="131"/>
      <c r="R183" s="130"/>
      <c r="S183" s="131"/>
      <c r="T183" s="130"/>
      <c r="U183" s="131"/>
      <c r="V183" s="130"/>
      <c r="W183" s="131"/>
      <c r="X183" s="130"/>
      <c r="Y183" s="131"/>
      <c r="Z183" s="130"/>
      <c r="AA183" s="131"/>
      <c r="AB183" s="130"/>
      <c r="AC183" s="131"/>
      <c r="AD183" s="130"/>
      <c r="AE183" s="131"/>
      <c r="AF183" s="130"/>
      <c r="AG183" s="131"/>
      <c r="AH183" s="130"/>
      <c r="AI183" s="131"/>
      <c r="AJ183" s="130"/>
      <c r="AK183" s="131"/>
      <c r="AL183" s="130"/>
      <c r="AM183" s="131"/>
      <c r="AN183" s="130"/>
      <c r="AO183" s="131"/>
      <c r="AP183" s="130"/>
      <c r="AQ183" s="131"/>
      <c r="AR183" s="130"/>
      <c r="AS183" s="131"/>
    </row>
    <row r="184" spans="1:45" x14ac:dyDescent="0.3">
      <c r="A184" s="126"/>
      <c r="B184" s="127"/>
      <c r="C184" s="127"/>
      <c r="D184" s="127"/>
      <c r="E184" s="126"/>
      <c r="G184" s="126"/>
      <c r="H184" s="126"/>
      <c r="I184" s="135"/>
      <c r="J184" s="127"/>
      <c r="L184" s="127"/>
      <c r="M184" s="127"/>
      <c r="N184" s="127"/>
      <c r="O184" s="137"/>
      <c r="P184" s="130"/>
      <c r="Q184" s="131"/>
      <c r="R184" s="130"/>
      <c r="S184" s="131"/>
      <c r="T184" s="130"/>
      <c r="U184" s="131"/>
      <c r="V184" s="130"/>
      <c r="W184" s="131"/>
      <c r="X184" s="130"/>
      <c r="Y184" s="131"/>
      <c r="Z184" s="130"/>
      <c r="AA184" s="131"/>
      <c r="AB184" s="130"/>
      <c r="AC184" s="131"/>
      <c r="AD184" s="130"/>
      <c r="AE184" s="131"/>
      <c r="AF184" s="130"/>
      <c r="AG184" s="131"/>
      <c r="AH184" s="130"/>
      <c r="AI184" s="131"/>
      <c r="AJ184" s="130"/>
      <c r="AK184" s="131"/>
      <c r="AL184" s="130"/>
      <c r="AM184" s="131"/>
      <c r="AN184" s="130"/>
      <c r="AO184" s="131"/>
      <c r="AP184" s="130"/>
      <c r="AQ184" s="131"/>
      <c r="AR184" s="130"/>
      <c r="AS184" s="131"/>
    </row>
    <row r="185" spans="1:45" x14ac:dyDescent="0.3">
      <c r="A185" s="126"/>
      <c r="B185" s="127"/>
      <c r="C185" s="127"/>
      <c r="D185" s="127"/>
      <c r="E185" s="126"/>
      <c r="G185" s="126"/>
      <c r="H185" s="126"/>
      <c r="I185" s="135"/>
      <c r="J185" s="127"/>
      <c r="L185" s="127"/>
      <c r="M185" s="127"/>
      <c r="N185" s="127"/>
      <c r="O185" s="137"/>
      <c r="P185" s="130"/>
      <c r="Q185" s="131"/>
      <c r="R185" s="130"/>
      <c r="S185" s="131"/>
      <c r="T185" s="130"/>
      <c r="U185" s="131"/>
      <c r="V185" s="130"/>
      <c r="W185" s="131"/>
      <c r="X185" s="130"/>
      <c r="Y185" s="131"/>
      <c r="Z185" s="130"/>
      <c r="AA185" s="131"/>
      <c r="AB185" s="130"/>
      <c r="AC185" s="131"/>
      <c r="AD185" s="130"/>
      <c r="AE185" s="131"/>
      <c r="AF185" s="130"/>
      <c r="AG185" s="131"/>
      <c r="AH185" s="130"/>
      <c r="AI185" s="131"/>
      <c r="AJ185" s="130"/>
      <c r="AK185" s="131"/>
      <c r="AL185" s="130"/>
      <c r="AM185" s="131"/>
      <c r="AN185" s="130"/>
      <c r="AO185" s="131"/>
      <c r="AP185" s="130"/>
      <c r="AQ185" s="131"/>
      <c r="AR185" s="130"/>
      <c r="AS185" s="131"/>
    </row>
    <row r="186" spans="1:45" x14ac:dyDescent="0.3">
      <c r="A186" s="126"/>
      <c r="B186" s="127"/>
      <c r="C186" s="127"/>
      <c r="D186" s="127"/>
      <c r="E186" s="126"/>
      <c r="G186" s="126"/>
      <c r="H186" s="126"/>
      <c r="I186" s="135"/>
      <c r="J186" s="127"/>
      <c r="L186" s="127"/>
      <c r="M186" s="127"/>
      <c r="N186" s="127"/>
      <c r="O186" s="137"/>
      <c r="P186" s="130"/>
      <c r="Q186" s="131"/>
      <c r="R186" s="130"/>
      <c r="S186" s="131"/>
      <c r="T186" s="130"/>
      <c r="U186" s="131"/>
      <c r="V186" s="130"/>
      <c r="W186" s="131"/>
      <c r="X186" s="130"/>
      <c r="Y186" s="131"/>
      <c r="Z186" s="130"/>
      <c r="AA186" s="131"/>
      <c r="AB186" s="130"/>
      <c r="AC186" s="131"/>
      <c r="AD186" s="130"/>
      <c r="AE186" s="131"/>
      <c r="AF186" s="130"/>
      <c r="AG186" s="131"/>
      <c r="AH186" s="130"/>
      <c r="AI186" s="131"/>
      <c r="AJ186" s="130"/>
      <c r="AK186" s="131"/>
      <c r="AL186" s="130"/>
      <c r="AM186" s="131"/>
      <c r="AN186" s="130"/>
      <c r="AO186" s="131"/>
      <c r="AP186" s="130"/>
      <c r="AQ186" s="131"/>
      <c r="AR186" s="130"/>
      <c r="AS186" s="131"/>
    </row>
    <row r="187" spans="1:45" x14ac:dyDescent="0.3">
      <c r="A187" s="126"/>
      <c r="B187" s="127"/>
      <c r="C187" s="127"/>
      <c r="D187" s="127"/>
      <c r="E187" s="126"/>
      <c r="G187" s="126"/>
      <c r="H187" s="126"/>
      <c r="I187" s="135"/>
      <c r="J187" s="127"/>
      <c r="L187" s="127"/>
      <c r="M187" s="127"/>
      <c r="N187" s="127"/>
      <c r="O187" s="137"/>
      <c r="P187" s="130"/>
      <c r="Q187" s="131"/>
      <c r="R187" s="130"/>
      <c r="S187" s="131"/>
      <c r="T187" s="130"/>
      <c r="U187" s="131"/>
      <c r="V187" s="130"/>
      <c r="W187" s="131"/>
      <c r="X187" s="130"/>
      <c r="Y187" s="131"/>
      <c r="Z187" s="130"/>
      <c r="AA187" s="131"/>
      <c r="AB187" s="130"/>
      <c r="AC187" s="131"/>
      <c r="AD187" s="130"/>
      <c r="AE187" s="131"/>
      <c r="AF187" s="130"/>
      <c r="AG187" s="131"/>
      <c r="AH187" s="130"/>
      <c r="AI187" s="131"/>
      <c r="AJ187" s="130"/>
      <c r="AK187" s="131"/>
      <c r="AL187" s="130"/>
      <c r="AM187" s="131"/>
      <c r="AN187" s="130"/>
      <c r="AO187" s="131"/>
      <c r="AP187" s="130"/>
      <c r="AQ187" s="131"/>
      <c r="AR187" s="130"/>
      <c r="AS187" s="131"/>
    </row>
    <row r="188" spans="1:45" x14ac:dyDescent="0.3">
      <c r="A188" s="126"/>
      <c r="B188" s="127"/>
      <c r="C188" s="127"/>
      <c r="D188" s="127"/>
      <c r="E188" s="126"/>
      <c r="G188" s="126"/>
      <c r="H188" s="126"/>
      <c r="I188" s="135"/>
      <c r="J188" s="127"/>
      <c r="L188" s="127"/>
      <c r="M188" s="127"/>
      <c r="N188" s="127"/>
      <c r="O188" s="137"/>
      <c r="P188" s="130"/>
      <c r="Q188" s="131"/>
      <c r="R188" s="130"/>
      <c r="S188" s="131"/>
      <c r="T188" s="130"/>
      <c r="U188" s="131"/>
      <c r="V188" s="130"/>
      <c r="W188" s="131"/>
      <c r="X188" s="130"/>
      <c r="Y188" s="131"/>
      <c r="Z188" s="130"/>
      <c r="AA188" s="131"/>
      <c r="AB188" s="130"/>
      <c r="AC188" s="131"/>
      <c r="AD188" s="130"/>
      <c r="AE188" s="131"/>
      <c r="AF188" s="130"/>
      <c r="AG188" s="131"/>
      <c r="AH188" s="130"/>
      <c r="AI188" s="131"/>
      <c r="AJ188" s="130"/>
      <c r="AK188" s="131"/>
      <c r="AL188" s="130"/>
      <c r="AM188" s="131"/>
      <c r="AN188" s="130"/>
      <c r="AO188" s="131"/>
      <c r="AP188" s="130"/>
      <c r="AQ188" s="131"/>
      <c r="AR188" s="130"/>
      <c r="AS188" s="131"/>
    </row>
    <row r="189" spans="1:45" x14ac:dyDescent="0.3">
      <c r="A189" s="126"/>
      <c r="B189" s="127"/>
      <c r="C189" s="127"/>
      <c r="D189" s="127"/>
      <c r="E189" s="126"/>
      <c r="G189" s="126"/>
      <c r="H189" s="126"/>
      <c r="I189" s="135"/>
      <c r="J189" s="127"/>
      <c r="L189" s="127"/>
      <c r="M189" s="127"/>
      <c r="N189" s="127"/>
      <c r="O189" s="137"/>
      <c r="P189" s="130"/>
      <c r="Q189" s="131"/>
      <c r="R189" s="130"/>
      <c r="S189" s="131"/>
      <c r="T189" s="130"/>
      <c r="U189" s="131"/>
      <c r="V189" s="130"/>
      <c r="W189" s="131"/>
      <c r="X189" s="130"/>
      <c r="Y189" s="131"/>
      <c r="Z189" s="130"/>
      <c r="AA189" s="131"/>
      <c r="AB189" s="130"/>
      <c r="AC189" s="131"/>
      <c r="AD189" s="130"/>
      <c r="AE189" s="131"/>
      <c r="AF189" s="130"/>
      <c r="AG189" s="131"/>
      <c r="AH189" s="130"/>
      <c r="AI189" s="131"/>
      <c r="AJ189" s="130"/>
      <c r="AK189" s="131"/>
      <c r="AL189" s="130"/>
      <c r="AM189" s="131"/>
      <c r="AN189" s="130"/>
      <c r="AO189" s="131"/>
      <c r="AP189" s="130"/>
      <c r="AQ189" s="131"/>
      <c r="AR189" s="130"/>
      <c r="AS189" s="131"/>
    </row>
    <row r="190" spans="1:45" x14ac:dyDescent="0.3">
      <c r="A190" s="126"/>
      <c r="B190" s="127"/>
      <c r="C190" s="127"/>
      <c r="D190" s="127"/>
      <c r="E190" s="126"/>
      <c r="G190" s="126"/>
      <c r="H190" s="126"/>
      <c r="I190" s="135"/>
      <c r="J190" s="127"/>
      <c r="L190" s="127"/>
      <c r="M190" s="127"/>
      <c r="N190" s="127"/>
      <c r="O190" s="137"/>
      <c r="P190" s="130"/>
      <c r="Q190" s="131"/>
      <c r="R190" s="130"/>
      <c r="S190" s="131"/>
      <c r="T190" s="130"/>
      <c r="U190" s="131"/>
      <c r="V190" s="130"/>
      <c r="W190" s="131"/>
      <c r="X190" s="130"/>
      <c r="Y190" s="131"/>
      <c r="Z190" s="130"/>
      <c r="AA190" s="131"/>
      <c r="AB190" s="130"/>
      <c r="AC190" s="131"/>
      <c r="AD190" s="130"/>
      <c r="AE190" s="131"/>
      <c r="AF190" s="130"/>
      <c r="AG190" s="131"/>
      <c r="AH190" s="130"/>
      <c r="AI190" s="131"/>
      <c r="AJ190" s="130"/>
      <c r="AK190" s="131"/>
      <c r="AL190" s="130"/>
      <c r="AM190" s="131"/>
      <c r="AN190" s="130"/>
      <c r="AO190" s="131"/>
      <c r="AP190" s="130"/>
      <c r="AQ190" s="131"/>
      <c r="AR190" s="130"/>
      <c r="AS190" s="131"/>
    </row>
    <row r="191" spans="1:45" x14ac:dyDescent="0.3">
      <c r="A191" s="126"/>
      <c r="B191" s="127"/>
      <c r="C191" s="127"/>
      <c r="D191" s="127"/>
      <c r="E191" s="126"/>
      <c r="G191" s="126"/>
      <c r="H191" s="126"/>
      <c r="I191" s="135"/>
      <c r="J191" s="127"/>
      <c r="L191" s="127"/>
      <c r="M191" s="127"/>
      <c r="N191" s="127"/>
      <c r="O191" s="137"/>
      <c r="P191" s="130"/>
      <c r="Q191" s="131"/>
      <c r="R191" s="130"/>
      <c r="S191" s="131"/>
      <c r="T191" s="130"/>
      <c r="U191" s="131"/>
      <c r="V191" s="130"/>
      <c r="W191" s="131"/>
      <c r="X191" s="130"/>
      <c r="Y191" s="131"/>
      <c r="Z191" s="130"/>
      <c r="AA191" s="131"/>
      <c r="AB191" s="130"/>
      <c r="AC191" s="131"/>
      <c r="AD191" s="130"/>
      <c r="AE191" s="131"/>
      <c r="AF191" s="130"/>
      <c r="AG191" s="131"/>
      <c r="AH191" s="130"/>
      <c r="AI191" s="131"/>
      <c r="AJ191" s="130"/>
      <c r="AK191" s="131"/>
      <c r="AL191" s="130"/>
      <c r="AM191" s="131"/>
      <c r="AN191" s="130"/>
      <c r="AO191" s="131"/>
      <c r="AP191" s="130"/>
      <c r="AQ191" s="131"/>
      <c r="AR191" s="130"/>
      <c r="AS191" s="131"/>
    </row>
    <row r="192" spans="1:45" x14ac:dyDescent="0.3">
      <c r="A192" s="126"/>
      <c r="B192" s="127"/>
      <c r="C192" s="127"/>
      <c r="D192" s="127"/>
      <c r="E192" s="126"/>
      <c r="G192" s="126"/>
      <c r="H192" s="126"/>
      <c r="I192" s="135"/>
      <c r="J192" s="127"/>
      <c r="L192" s="127"/>
      <c r="M192" s="127"/>
      <c r="N192" s="127"/>
      <c r="O192" s="137"/>
      <c r="P192" s="130"/>
      <c r="Q192" s="131"/>
      <c r="R192" s="130"/>
      <c r="S192" s="131"/>
      <c r="T192" s="130"/>
      <c r="U192" s="131"/>
      <c r="V192" s="130"/>
      <c r="W192" s="131"/>
      <c r="X192" s="130"/>
      <c r="Y192" s="131"/>
      <c r="Z192" s="130"/>
      <c r="AA192" s="131"/>
      <c r="AB192" s="130"/>
      <c r="AC192" s="131"/>
      <c r="AD192" s="130"/>
      <c r="AE192" s="131"/>
      <c r="AF192" s="130"/>
      <c r="AG192" s="131"/>
      <c r="AH192" s="130"/>
      <c r="AI192" s="131"/>
      <c r="AJ192" s="130"/>
      <c r="AK192" s="131"/>
      <c r="AL192" s="130"/>
      <c r="AM192" s="131"/>
      <c r="AN192" s="130"/>
      <c r="AO192" s="131"/>
      <c r="AP192" s="130"/>
      <c r="AQ192" s="131"/>
      <c r="AR192" s="130"/>
      <c r="AS192" s="131"/>
    </row>
    <row r="193" spans="1:45" x14ac:dyDescent="0.3">
      <c r="A193" s="126"/>
      <c r="B193" s="127"/>
      <c r="C193" s="127"/>
      <c r="D193" s="127"/>
      <c r="E193" s="126"/>
      <c r="G193" s="126"/>
      <c r="H193" s="126"/>
      <c r="I193" s="135"/>
      <c r="J193" s="127"/>
      <c r="L193" s="127"/>
      <c r="M193" s="127"/>
      <c r="N193" s="127"/>
      <c r="O193" s="137"/>
      <c r="P193" s="130"/>
      <c r="Q193" s="131"/>
      <c r="R193" s="130"/>
      <c r="S193" s="131"/>
      <c r="T193" s="130"/>
      <c r="U193" s="131"/>
      <c r="V193" s="130"/>
      <c r="W193" s="131"/>
      <c r="X193" s="130"/>
      <c r="Y193" s="131"/>
      <c r="Z193" s="130"/>
      <c r="AA193" s="131"/>
      <c r="AB193" s="130"/>
      <c r="AC193" s="131"/>
      <c r="AD193" s="130"/>
      <c r="AE193" s="131"/>
      <c r="AF193" s="130"/>
      <c r="AG193" s="131"/>
      <c r="AH193" s="130"/>
      <c r="AI193" s="131"/>
      <c r="AJ193" s="130"/>
      <c r="AK193" s="131"/>
      <c r="AL193" s="130"/>
      <c r="AM193" s="131"/>
      <c r="AN193" s="130"/>
      <c r="AO193" s="131"/>
      <c r="AP193" s="130"/>
      <c r="AQ193" s="131"/>
      <c r="AR193" s="130"/>
      <c r="AS193" s="131"/>
    </row>
    <row r="194" spans="1:45" x14ac:dyDescent="0.3">
      <c r="A194" s="126"/>
      <c r="B194" s="127"/>
      <c r="C194" s="127"/>
      <c r="D194" s="127"/>
      <c r="E194" s="126"/>
      <c r="G194" s="126"/>
      <c r="H194" s="126"/>
      <c r="I194" s="135"/>
      <c r="J194" s="127"/>
      <c r="L194" s="127"/>
      <c r="M194" s="127"/>
      <c r="N194" s="127"/>
      <c r="O194" s="137"/>
      <c r="P194" s="130"/>
      <c r="Q194" s="131"/>
      <c r="R194" s="130"/>
      <c r="S194" s="131"/>
      <c r="T194" s="130"/>
      <c r="U194" s="131"/>
      <c r="V194" s="130"/>
      <c r="W194" s="131"/>
      <c r="X194" s="130"/>
      <c r="Y194" s="131"/>
      <c r="Z194" s="130"/>
      <c r="AA194" s="131"/>
      <c r="AB194" s="130"/>
      <c r="AC194" s="131"/>
      <c r="AD194" s="130"/>
      <c r="AE194" s="131"/>
      <c r="AF194" s="130"/>
      <c r="AG194" s="131"/>
      <c r="AH194" s="130"/>
      <c r="AI194" s="131"/>
      <c r="AJ194" s="130"/>
      <c r="AK194" s="131"/>
      <c r="AL194" s="130"/>
      <c r="AM194" s="131"/>
      <c r="AN194" s="130"/>
      <c r="AO194" s="131"/>
      <c r="AP194" s="130"/>
      <c r="AQ194" s="131"/>
      <c r="AR194" s="130"/>
      <c r="AS194" s="131"/>
    </row>
    <row r="195" spans="1:45" x14ac:dyDescent="0.3">
      <c r="A195" s="126"/>
      <c r="B195" s="127"/>
      <c r="C195" s="127"/>
      <c r="D195" s="127"/>
      <c r="E195" s="126"/>
      <c r="G195" s="126"/>
      <c r="H195" s="126"/>
      <c r="I195" s="135"/>
      <c r="J195" s="127"/>
      <c r="L195" s="127"/>
      <c r="M195" s="127"/>
      <c r="N195" s="127"/>
      <c r="O195" s="137"/>
      <c r="P195" s="130"/>
      <c r="Q195" s="131"/>
      <c r="R195" s="130"/>
      <c r="S195" s="131"/>
      <c r="T195" s="130"/>
      <c r="U195" s="131"/>
      <c r="V195" s="130"/>
      <c r="W195" s="131"/>
      <c r="X195" s="130"/>
      <c r="Y195" s="131"/>
      <c r="Z195" s="130"/>
      <c r="AA195" s="131"/>
      <c r="AB195" s="130"/>
      <c r="AC195" s="131"/>
      <c r="AD195" s="130"/>
      <c r="AE195" s="131"/>
      <c r="AF195" s="130"/>
      <c r="AG195" s="131"/>
      <c r="AH195" s="130"/>
      <c r="AI195" s="131"/>
      <c r="AJ195" s="130"/>
      <c r="AK195" s="131"/>
      <c r="AL195" s="130"/>
      <c r="AM195" s="131"/>
      <c r="AN195" s="130"/>
      <c r="AO195" s="131"/>
      <c r="AP195" s="130"/>
      <c r="AQ195" s="131"/>
      <c r="AR195" s="130"/>
      <c r="AS195" s="131"/>
    </row>
    <row r="196" spans="1:45" x14ac:dyDescent="0.3">
      <c r="A196" s="126"/>
      <c r="B196" s="127"/>
      <c r="C196" s="127"/>
      <c r="D196" s="127"/>
      <c r="E196" s="126"/>
      <c r="G196" s="126"/>
      <c r="H196" s="126"/>
      <c r="I196" s="135"/>
      <c r="J196" s="127"/>
      <c r="L196" s="127"/>
      <c r="M196" s="127"/>
      <c r="N196" s="127"/>
      <c r="O196" s="137"/>
      <c r="P196" s="130"/>
      <c r="Q196" s="131"/>
      <c r="R196" s="130"/>
      <c r="S196" s="131"/>
      <c r="T196" s="130"/>
      <c r="U196" s="131"/>
      <c r="V196" s="130"/>
      <c r="W196" s="131"/>
      <c r="X196" s="130"/>
      <c r="Y196" s="131"/>
      <c r="Z196" s="130"/>
      <c r="AA196" s="131"/>
      <c r="AB196" s="130"/>
      <c r="AC196" s="131"/>
      <c r="AD196" s="130"/>
      <c r="AE196" s="131"/>
      <c r="AF196" s="130"/>
      <c r="AG196" s="131"/>
      <c r="AH196" s="130"/>
      <c r="AI196" s="131"/>
      <c r="AJ196" s="130"/>
      <c r="AK196" s="131"/>
      <c r="AL196" s="130"/>
      <c r="AM196" s="131"/>
      <c r="AN196" s="130"/>
      <c r="AO196" s="131"/>
      <c r="AP196" s="130"/>
      <c r="AQ196" s="131"/>
      <c r="AR196" s="130"/>
      <c r="AS196" s="131"/>
    </row>
    <row r="197" spans="1:45" x14ac:dyDescent="0.3">
      <c r="A197" s="126"/>
      <c r="B197" s="127"/>
      <c r="C197" s="127"/>
      <c r="D197" s="127"/>
      <c r="E197" s="126"/>
      <c r="G197" s="126"/>
      <c r="H197" s="126"/>
      <c r="I197" s="135"/>
      <c r="J197" s="127"/>
      <c r="L197" s="127"/>
      <c r="M197" s="127"/>
      <c r="N197" s="127"/>
      <c r="O197" s="137"/>
      <c r="P197" s="130"/>
      <c r="Q197" s="131"/>
      <c r="R197" s="130"/>
      <c r="S197" s="131"/>
      <c r="T197" s="130"/>
      <c r="U197" s="131"/>
      <c r="V197" s="130"/>
      <c r="W197" s="131"/>
      <c r="X197" s="130"/>
      <c r="Y197" s="131"/>
      <c r="Z197" s="130"/>
      <c r="AA197" s="131"/>
      <c r="AB197" s="130"/>
      <c r="AC197" s="131"/>
      <c r="AD197" s="130"/>
      <c r="AE197" s="131"/>
      <c r="AF197" s="130"/>
      <c r="AG197" s="131"/>
      <c r="AH197" s="130"/>
      <c r="AI197" s="131"/>
      <c r="AJ197" s="130"/>
      <c r="AK197" s="131"/>
      <c r="AL197" s="130"/>
      <c r="AM197" s="131"/>
      <c r="AN197" s="130"/>
      <c r="AO197" s="131"/>
      <c r="AP197" s="130"/>
      <c r="AQ197" s="131"/>
      <c r="AR197" s="130"/>
      <c r="AS197" s="131"/>
    </row>
    <row r="198" spans="1:45" x14ac:dyDescent="0.3">
      <c r="A198" s="126"/>
      <c r="B198" s="127"/>
      <c r="C198" s="127"/>
      <c r="D198" s="127"/>
      <c r="E198" s="126"/>
      <c r="G198" s="126"/>
      <c r="H198" s="126"/>
      <c r="I198" s="135"/>
      <c r="J198" s="127"/>
      <c r="L198" s="127"/>
      <c r="M198" s="127"/>
      <c r="N198" s="127"/>
      <c r="O198" s="137"/>
      <c r="P198" s="130"/>
      <c r="Q198" s="131"/>
      <c r="R198" s="130"/>
      <c r="S198" s="131"/>
      <c r="T198" s="130"/>
      <c r="U198" s="131"/>
      <c r="V198" s="130"/>
      <c r="W198" s="131"/>
      <c r="X198" s="130"/>
      <c r="Y198" s="131"/>
      <c r="Z198" s="130"/>
      <c r="AA198" s="131"/>
      <c r="AB198" s="130"/>
      <c r="AC198" s="131"/>
      <c r="AD198" s="130"/>
      <c r="AE198" s="131"/>
      <c r="AF198" s="130"/>
      <c r="AG198" s="131"/>
      <c r="AH198" s="130"/>
      <c r="AI198" s="131"/>
      <c r="AJ198" s="130"/>
      <c r="AK198" s="131"/>
      <c r="AL198" s="130"/>
      <c r="AM198" s="131"/>
      <c r="AN198" s="130"/>
      <c r="AO198" s="131"/>
      <c r="AP198" s="130"/>
      <c r="AQ198" s="131"/>
      <c r="AR198" s="130"/>
      <c r="AS198" s="131"/>
    </row>
    <row r="199" spans="1:45" x14ac:dyDescent="0.3">
      <c r="A199" s="126"/>
      <c r="B199" s="127"/>
      <c r="C199" s="127"/>
      <c r="D199" s="127"/>
      <c r="E199" s="126"/>
      <c r="G199" s="126"/>
      <c r="H199" s="126"/>
      <c r="I199" s="135"/>
      <c r="J199" s="127"/>
      <c r="L199" s="127"/>
      <c r="M199" s="127"/>
      <c r="N199" s="127"/>
      <c r="O199" s="137"/>
      <c r="P199" s="130"/>
      <c r="Q199" s="131"/>
      <c r="R199" s="130"/>
      <c r="S199" s="131"/>
      <c r="T199" s="130"/>
      <c r="U199" s="131"/>
      <c r="V199" s="130"/>
      <c r="W199" s="131"/>
      <c r="X199" s="130"/>
      <c r="Y199" s="131"/>
      <c r="Z199" s="130"/>
      <c r="AA199" s="131"/>
      <c r="AB199" s="130"/>
      <c r="AC199" s="131"/>
      <c r="AD199" s="130"/>
      <c r="AE199" s="131"/>
      <c r="AF199" s="130"/>
      <c r="AG199" s="131"/>
      <c r="AH199" s="130"/>
      <c r="AI199" s="131"/>
      <c r="AJ199" s="130"/>
      <c r="AK199" s="131"/>
      <c r="AL199" s="130"/>
      <c r="AM199" s="131"/>
      <c r="AN199" s="130"/>
      <c r="AO199" s="131"/>
      <c r="AP199" s="130"/>
      <c r="AQ199" s="131"/>
      <c r="AR199" s="130"/>
      <c r="AS199" s="131"/>
    </row>
    <row r="200" spans="1:45" x14ac:dyDescent="0.3">
      <c r="A200" s="126"/>
      <c r="B200" s="127"/>
      <c r="C200" s="127"/>
      <c r="D200" s="127"/>
      <c r="E200" s="126"/>
      <c r="G200" s="126"/>
      <c r="H200" s="126"/>
      <c r="I200" s="135"/>
      <c r="J200" s="127"/>
      <c r="L200" s="127"/>
      <c r="M200" s="127"/>
      <c r="N200" s="127"/>
      <c r="O200" s="137"/>
      <c r="P200" s="130"/>
      <c r="Q200" s="131"/>
      <c r="R200" s="130"/>
      <c r="S200" s="131"/>
      <c r="T200" s="130"/>
      <c r="U200" s="131"/>
      <c r="V200" s="130"/>
      <c r="W200" s="131"/>
      <c r="X200" s="130"/>
      <c r="Y200" s="131"/>
      <c r="Z200" s="130"/>
      <c r="AA200" s="131"/>
      <c r="AB200" s="130"/>
      <c r="AC200" s="131"/>
      <c r="AD200" s="130"/>
      <c r="AE200" s="131"/>
      <c r="AF200" s="130"/>
      <c r="AG200" s="131"/>
      <c r="AH200" s="130"/>
      <c r="AI200" s="131"/>
      <c r="AJ200" s="130"/>
      <c r="AK200" s="131"/>
      <c r="AL200" s="130"/>
      <c r="AM200" s="131"/>
      <c r="AN200" s="130"/>
      <c r="AO200" s="131"/>
      <c r="AP200" s="130"/>
      <c r="AQ200" s="131"/>
      <c r="AR200" s="130"/>
      <c r="AS200" s="131"/>
    </row>
    <row r="201" spans="1:45" x14ac:dyDescent="0.3">
      <c r="A201" s="126"/>
      <c r="B201" s="127"/>
      <c r="C201" s="127"/>
      <c r="D201" s="127"/>
      <c r="E201" s="126"/>
      <c r="G201" s="126"/>
      <c r="H201" s="126"/>
      <c r="I201" s="135"/>
      <c r="J201" s="127"/>
      <c r="L201" s="127"/>
      <c r="M201" s="127"/>
      <c r="N201" s="127"/>
      <c r="O201" s="137"/>
      <c r="P201" s="130"/>
      <c r="Q201" s="131"/>
      <c r="R201" s="130"/>
      <c r="S201" s="131"/>
      <c r="T201" s="130"/>
      <c r="U201" s="131"/>
      <c r="V201" s="130"/>
      <c r="W201" s="131"/>
      <c r="X201" s="130"/>
      <c r="Y201" s="131"/>
      <c r="Z201" s="130"/>
      <c r="AA201" s="131"/>
      <c r="AB201" s="130"/>
      <c r="AC201" s="131"/>
      <c r="AD201" s="130"/>
      <c r="AE201" s="131"/>
      <c r="AF201" s="130"/>
      <c r="AG201" s="131"/>
      <c r="AH201" s="130"/>
      <c r="AI201" s="131"/>
      <c r="AJ201" s="130"/>
      <c r="AK201" s="131"/>
      <c r="AL201" s="130"/>
      <c r="AM201" s="131"/>
      <c r="AN201" s="130"/>
      <c r="AO201" s="131"/>
      <c r="AP201" s="130"/>
      <c r="AQ201" s="131"/>
      <c r="AR201" s="130"/>
      <c r="AS201" s="131"/>
    </row>
    <row r="202" spans="1:45" x14ac:dyDescent="0.3">
      <c r="A202" s="126"/>
      <c r="B202" s="127"/>
      <c r="C202" s="127"/>
      <c r="D202" s="127"/>
      <c r="E202" s="126"/>
      <c r="G202" s="126"/>
      <c r="H202" s="126"/>
      <c r="I202" s="135"/>
      <c r="J202" s="127"/>
      <c r="L202" s="127"/>
      <c r="M202" s="127"/>
      <c r="N202" s="127"/>
      <c r="O202" s="137"/>
      <c r="P202" s="130"/>
      <c r="Q202" s="131"/>
      <c r="R202" s="130"/>
      <c r="S202" s="131"/>
      <c r="T202" s="130"/>
      <c r="U202" s="131"/>
      <c r="V202" s="130"/>
      <c r="W202" s="131"/>
      <c r="X202" s="130"/>
      <c r="Y202" s="131"/>
      <c r="Z202" s="130"/>
      <c r="AA202" s="131"/>
      <c r="AB202" s="130"/>
      <c r="AC202" s="131"/>
      <c r="AD202" s="130"/>
      <c r="AE202" s="131"/>
      <c r="AF202" s="130"/>
      <c r="AG202" s="131"/>
      <c r="AH202" s="130"/>
      <c r="AI202" s="131"/>
      <c r="AJ202" s="130"/>
      <c r="AK202" s="131"/>
      <c r="AL202" s="130"/>
      <c r="AM202" s="131"/>
      <c r="AN202" s="130"/>
      <c r="AO202" s="131"/>
      <c r="AP202" s="130"/>
      <c r="AQ202" s="131"/>
      <c r="AR202" s="130"/>
      <c r="AS202" s="131"/>
    </row>
  </sheetData>
  <sheetProtection algorithmName="SHA-512" hashValue="qiewidkgV/idDGqKMSQo1oNXH7W1cQLsihSxJXi/tmFJ2z7xTmMe1HrLqKg0Xy+F6hHrLuf0mnZUER1bp9591Q==" saltValue="ayc0HgfZ7JqzCmKxcnf6Yg==" spinCount="100000" sheet="1" objects="1" scenarios="1"/>
  <conditionalFormatting sqref="A3:AS3 A4:E202 G4:J202 F4:F202 L4:AS202 K4:K202">
    <cfRule type="expression" dxfId="129" priority="292">
      <formula>AND(COUNTA($A3:$AS3)=0,ROW()&lt;&gt;3)</formula>
    </cfRule>
  </conditionalFormatting>
  <conditionalFormatting sqref="F3:H3 A3:B202 G4:H202 F4:F202">
    <cfRule type="expression" dxfId="128" priority="290">
      <formula>AND(COUNTA($A3:$AS3)&gt;0,A3="")</formula>
    </cfRule>
  </conditionalFormatting>
  <conditionalFormatting sqref="J3:K3 J4:J202 K4:K202">
    <cfRule type="expression" dxfId="127" priority="298">
      <formula>OR(ISBLANK($H3),MATCH($H3,Options_UnitsEnergy,0)&gt;0)</formula>
    </cfRule>
    <cfRule type="expression" dxfId="126" priority="299">
      <formula>AND(COUNTA($A3:$AS3)&gt;0,J3="")</formula>
    </cfRule>
  </conditionalFormatting>
  <conditionalFormatting sqref="Q3:Q202">
    <cfRule type="expression" dxfId="125" priority="166">
      <formula>AND($P3="",COUNTA($P3:$Q3)=0)</formula>
    </cfRule>
  </conditionalFormatting>
  <conditionalFormatting sqref="S3:S202">
    <cfRule type="expression" dxfId="124" priority="167">
      <formula>AND($R3="",COUNTA($R3:$S3)=0)</formula>
    </cfRule>
  </conditionalFormatting>
  <conditionalFormatting sqref="U3:U202">
    <cfRule type="expression" dxfId="123" priority="175">
      <formula>AND($T3="",COUNTA($T3:$U3)=0)</formula>
    </cfRule>
  </conditionalFormatting>
  <conditionalFormatting sqref="W3:W202">
    <cfRule type="expression" dxfId="122" priority="183">
      <formula>AND($V3="",COUNTA($V3:$W3)=0)</formula>
    </cfRule>
  </conditionalFormatting>
  <conditionalFormatting sqref="Y3:Y202">
    <cfRule type="expression" dxfId="121" priority="190">
      <formula>AND($X3="",COUNTA($X3:$Y3)=0)</formula>
    </cfRule>
  </conditionalFormatting>
  <conditionalFormatting sqref="AA3:AA202">
    <cfRule type="expression" dxfId="120" priority="197">
      <formula>AND($Z3="",COUNTA($Z3,$AA3)=0)</formula>
    </cfRule>
  </conditionalFormatting>
  <conditionalFormatting sqref="AC3:AC202">
    <cfRule type="expression" dxfId="119" priority="204">
      <formula>AND($AB3="",COUNTA($AB3:$AC3)=0)</formula>
    </cfRule>
  </conditionalFormatting>
  <conditionalFormatting sqref="AE3:AE202">
    <cfRule type="expression" dxfId="118" priority="211">
      <formula>AND($AD3="",COUNTA($AD3:$AE3)=0)</formula>
    </cfRule>
  </conditionalFormatting>
  <conditionalFormatting sqref="AG3:AG202">
    <cfRule type="expression" dxfId="117" priority="222">
      <formula>AND($AF3="",COUNTA($AF3:$AG3)=0)</formula>
    </cfRule>
  </conditionalFormatting>
  <conditionalFormatting sqref="AI3:AI202">
    <cfRule type="expression" dxfId="116" priority="234">
      <formula>AND($AH3="",COUNTA($AH3:$AI3)=0)</formula>
    </cfRule>
  </conditionalFormatting>
  <conditionalFormatting sqref="AK3:AK202">
    <cfRule type="expression" dxfId="115" priority="245">
      <formula>AND($AJ3="",COUNTA($AJ3:$AK3)=0)</formula>
    </cfRule>
  </conditionalFormatting>
  <conditionalFormatting sqref="AM3:AM202">
    <cfRule type="expression" dxfId="114" priority="256">
      <formula>AND($AL3="",COUNTA($AL3:$AM3)=0)</formula>
    </cfRule>
  </conditionalFormatting>
  <conditionalFormatting sqref="AO3:AO202">
    <cfRule type="expression" dxfId="113" priority="267">
      <formula>AND($AN3="",COUNTA($AN3:$AO3)=0)</formula>
    </cfRule>
  </conditionalFormatting>
  <conditionalFormatting sqref="AQ3:AQ202">
    <cfRule type="expression" dxfId="112" priority="278">
      <formula>AND($AP3="",COUNTA($AP3:$AQ3)=0)</formula>
    </cfRule>
  </conditionalFormatting>
  <conditionalFormatting sqref="AS3:AS202">
    <cfRule type="expression" dxfId="111" priority="289">
      <formula>AND($AR3="",COUNTA($AR3:$AS3)=0)</formula>
    </cfRule>
  </conditionalFormatting>
  <dataValidations count="7">
    <dataValidation type="list" allowBlank="1" showInputMessage="1" showErrorMessage="1" sqref="E3:E202" xr:uid="{16CEAC77-251E-4636-A36D-005C96078D09}">
      <formula1>Options_Calendarizing</formula1>
    </dataValidation>
    <dataValidation type="list" allowBlank="1" showInputMessage="1" sqref="G3:G202" xr:uid="{0E85BBD0-4FEA-485C-8708-7A698E6E6397}">
      <formula1>INDIRECT("Options_Fuels"&amp;F3)</formula1>
    </dataValidation>
    <dataValidation type="list" allowBlank="1" showInputMessage="1" showErrorMessage="1" sqref="H3:H202" xr:uid="{51DE56FD-93EA-4258-A35D-C9888024D0DC}">
      <formula1>INDIRECT("Options_FuelsUnits"&amp;F3)</formula1>
    </dataValidation>
    <dataValidation type="list" allowBlank="1" showInputMessage="1" showErrorMessage="1" sqref="A3:A202" xr:uid="{3F8A22F0-CE46-4DC0-A3E0-C888BF9B45D7}">
      <formula1>List_Facilities</formula1>
    </dataValidation>
    <dataValidation type="list" allowBlank="1" showInputMessage="1" showErrorMessage="1" sqref="AS3:AS202 Q3:Q202 S3:S202 U3:U202 W3:W202 Y3:Y202 AA3:AA202 AC3:AC202 AE3:AE202 AG3:AG202 AI3:AI202 AK3:AK202 AM3:AM202 AO3:AO202 AQ3:AQ202" xr:uid="{B1FC0F4F-3E94-403F-BA68-A3D103E87EAB}">
      <formula1>Options_StationaryChargeTypes</formula1>
    </dataValidation>
    <dataValidation type="list" allowBlank="1" showInputMessage="1" showErrorMessage="1" sqref="K3:K202" xr:uid="{452236DB-52D1-4B21-8E69-368D5EF7FFEE}">
      <formula1>Options_UnitsEnergy</formula1>
    </dataValidation>
    <dataValidation type="list" allowBlank="1" showInputMessage="1" showErrorMessage="1" sqref="F3:F202" xr:uid="{87D44AB6-378D-44A7-8442-B226838F7B58}">
      <formula1>Options_Phase</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9B372-E0BC-4BE3-BEE5-078B5BA1C145}">
  <sheetPr codeName="Sheet8">
    <tabColor rgb="FF9467BD"/>
  </sheetPr>
  <dimension ref="A1:AX502"/>
  <sheetViews>
    <sheetView workbookViewId="0">
      <selection activeCell="D9" sqref="D9"/>
    </sheetView>
  </sheetViews>
  <sheetFormatPr defaultColWidth="0" defaultRowHeight="14" zeroHeight="1" x14ac:dyDescent="0.3"/>
  <cols>
    <col min="1" max="49" width="16.7265625" style="45" customWidth="1"/>
    <col min="50" max="50" width="16.7265625" style="49" customWidth="1"/>
    <col min="51" max="16384" width="16.7265625" style="45" hidden="1"/>
  </cols>
  <sheetData>
    <row r="1" spans="1:50" ht="30" customHeight="1" x14ac:dyDescent="0.3">
      <c r="A1" s="40" t="s">
        <v>823</v>
      </c>
      <c r="B1" s="67"/>
      <c r="C1" s="41"/>
      <c r="D1" s="41"/>
      <c r="E1" s="41"/>
      <c r="F1" s="43" t="s">
        <v>791</v>
      </c>
      <c r="G1" s="44"/>
      <c r="H1" s="44"/>
      <c r="I1" s="44"/>
      <c r="J1" s="44"/>
      <c r="K1" s="44"/>
      <c r="L1" s="44"/>
      <c r="M1" s="44"/>
      <c r="N1" s="44"/>
      <c r="O1" s="44"/>
      <c r="P1" s="44"/>
      <c r="Q1" s="44"/>
      <c r="R1" s="44"/>
      <c r="S1" s="44"/>
      <c r="T1" s="44"/>
      <c r="U1" s="44"/>
      <c r="V1" s="44"/>
      <c r="W1" s="44"/>
      <c r="X1" s="44"/>
      <c r="Y1" s="44"/>
      <c r="Z1" s="44"/>
      <c r="AA1" s="44"/>
      <c r="AB1" s="44"/>
      <c r="AC1" s="44"/>
      <c r="AD1" s="44"/>
      <c r="AE1" s="44"/>
      <c r="AF1" s="44"/>
      <c r="AG1" s="44"/>
      <c r="AH1" s="44"/>
      <c r="AI1" s="44"/>
      <c r="AJ1" s="44"/>
      <c r="AK1" s="44"/>
      <c r="AL1" s="44"/>
      <c r="AM1" s="44"/>
      <c r="AN1" s="44"/>
      <c r="AO1" s="44"/>
      <c r="AP1" s="44"/>
      <c r="AQ1" s="44"/>
      <c r="AR1" s="44"/>
      <c r="AS1" s="44"/>
      <c r="AT1" s="44"/>
      <c r="AU1" s="44"/>
      <c r="AV1" s="44"/>
      <c r="AW1" s="44"/>
      <c r="AX1" s="52"/>
    </row>
    <row r="2" spans="1:50" ht="30" customHeight="1" x14ac:dyDescent="0.3">
      <c r="A2" s="99" t="s">
        <v>22</v>
      </c>
      <c r="B2" s="105" t="s">
        <v>30</v>
      </c>
      <c r="C2" s="100" t="s">
        <v>34</v>
      </c>
      <c r="D2" s="114" t="s">
        <v>33</v>
      </c>
      <c r="E2" s="114" t="s">
        <v>777</v>
      </c>
      <c r="F2" s="54" t="str" cm="1">
        <f>IF(INDEX(List_ChargeNumbers_Stationary, 1, ROUNDUP((COLUMN()+1)/3-2,0)) = 0,"",INDEX(List_ChargeNumbers_Stationary, 2, ROUNDUP((COLUMN()+1)/3-2,0))&amp;" Name")</f>
        <v/>
      </c>
      <c r="G2" s="55" t="str" cm="1">
        <f>IF(INDEX(List_ChargeNumbers_Stationary, 1, ROUNDUP((COLUMN()+1)/3-2,0)) = 0,"",INDEX(List_ChargeNumbers_Stationary, 2, ROUNDUP((COLUMN()+1)/3-2,0))&amp;" Reading")</f>
        <v/>
      </c>
      <c r="H2" s="56" t="str" cm="1">
        <f>IF(INDEX(List_ChargeNumbers_Stationary, 1, ROUNDUP((COLUMN()+1)/3-2,0)) = 0,"",INDEX(List_ChargeNumbers_Stationary, 2, ROUNDUP((COLUMN()+1)/3-2,0))&amp;" Cost")</f>
        <v/>
      </c>
      <c r="I2" s="54" t="str" cm="1">
        <f>IF(INDEX(List_ChargeNumbers_Stationary, 1, ROUNDUP((COLUMN()+1)/3-2,0)) = 0,"",INDEX(List_ChargeNumbers_Stationary, 2, ROUNDUP((COLUMN()+1)/3-2,0))&amp;" Name")</f>
        <v/>
      </c>
      <c r="J2" s="55" t="str" cm="1">
        <f>IF(INDEX(List_ChargeNumbers_Stationary, 1, ROUNDUP((COLUMN()+1)/3-2,0)) = 0,"",INDEX(List_ChargeNumbers_Stationary, 2, ROUNDUP((COLUMN()+1)/3-2,0))&amp;" Reading")</f>
        <v/>
      </c>
      <c r="K2" s="56" t="str" cm="1">
        <f>IF(INDEX(List_ChargeNumbers_Stationary, 1, ROUNDUP((COLUMN()+1)/3-2,0)) = 0,"",INDEX(List_ChargeNumbers_Stationary, 2, ROUNDUP((COLUMN()+1)/3-2,0))&amp;" Cost")</f>
        <v/>
      </c>
      <c r="L2" s="54" t="str" cm="1">
        <f>IF(INDEX(List_ChargeNumbers_Stationary, 1, ROUNDUP((COLUMN()+1)/3-2,0)) = 0,"",INDEX(List_ChargeNumbers_Stationary, 2, ROUNDUP((COLUMN()+1)/3-2,0))&amp;" Name")</f>
        <v/>
      </c>
      <c r="M2" s="55" t="str" cm="1">
        <f>IF(INDEX(List_ChargeNumbers_Stationary, 1, ROUNDUP((COLUMN()+1)/3-2,0)) = 0,"",INDEX(List_ChargeNumbers_Stationary, 2, ROUNDUP((COLUMN()+1)/3-2,0))&amp;" Reading")</f>
        <v/>
      </c>
      <c r="N2" s="56" t="str" cm="1">
        <f>IF(INDEX(List_ChargeNumbers_Stationary, 1, ROUNDUP((COLUMN()+1)/3-2,0)) = 0,"",INDEX(List_ChargeNumbers_Stationary, 2, ROUNDUP((COLUMN()+1)/3-2,0))&amp;" Cost")</f>
        <v/>
      </c>
      <c r="O2" s="54" t="str" cm="1">
        <f>IF(INDEX(List_ChargeNumbers_Stationary, 1, ROUNDUP((COLUMN()+1)/3-2,0)) = 0,"",INDEX(List_ChargeNumbers_Stationary, 2, ROUNDUP((COLUMN()+1)/3-2,0))&amp;" Name")</f>
        <v/>
      </c>
      <c r="P2" s="55" t="str" cm="1">
        <f>IF(INDEX(List_ChargeNumbers_Stationary, 1, ROUNDUP((COLUMN()+1)/3-2,0)) = 0,"",INDEX(List_ChargeNumbers_Stationary, 2, ROUNDUP((COLUMN()+1)/3-2,0))&amp;" Reading")</f>
        <v/>
      </c>
      <c r="Q2" s="56" t="str" cm="1">
        <f>IF(INDEX(List_ChargeNumbers_Stationary, 1, ROUNDUP((COLUMN()+1)/3-2,0)) = 0,"",INDEX(List_ChargeNumbers_Stationary, 2, ROUNDUP((COLUMN()+1)/3-2,0))&amp;" Cost")</f>
        <v/>
      </c>
      <c r="R2" s="54" t="str" cm="1">
        <f>IF(INDEX(List_ChargeNumbers_Stationary, 1, ROUNDUP((COLUMN()+1)/3-2,0)) = 0,"",INDEX(List_ChargeNumbers_Stationary, 2, ROUNDUP((COLUMN()+1)/3-2,0))&amp;" Name")</f>
        <v/>
      </c>
      <c r="S2" s="55" t="str" cm="1">
        <f>IF(INDEX(List_ChargeNumbers_Stationary, 1, ROUNDUP((COLUMN()+1)/3-2,0)) = 0,"",INDEX(List_ChargeNumbers_Stationary, 2, ROUNDUP((COLUMN()+1)/3-2,0))&amp;" Reading")</f>
        <v/>
      </c>
      <c r="T2" s="56" t="str" cm="1">
        <f>IF(INDEX(List_ChargeNumbers_Stationary, 1, ROUNDUP((COLUMN()+1)/3-2,0)) = 0,"",INDEX(List_ChargeNumbers_Stationary, 2, ROUNDUP((COLUMN()+1)/3-2,0))&amp;" Cost")</f>
        <v/>
      </c>
      <c r="U2" s="54" t="str" cm="1">
        <f>IF(INDEX(List_ChargeNumbers_Stationary, 1, ROUNDUP((COLUMN()+1)/3-2,0)) = 0,"",INDEX(List_ChargeNumbers_Stationary, 2, ROUNDUP((COLUMN()+1)/3-2,0))&amp;" Name")</f>
        <v/>
      </c>
      <c r="V2" s="55" t="str" cm="1">
        <f>IF(INDEX(List_ChargeNumbers_Stationary, 1, ROUNDUP((COLUMN()+1)/3-2,0)) = 0,"",INDEX(List_ChargeNumbers_Stationary, 2, ROUNDUP((COLUMN()+1)/3-2,0))&amp;" Reading")</f>
        <v/>
      </c>
      <c r="W2" s="56" t="str" cm="1">
        <f>IF(INDEX(List_ChargeNumbers_Stationary, 1, ROUNDUP((COLUMN()+1)/3-2,0)) = 0,"",INDEX(List_ChargeNumbers_Stationary, 2, ROUNDUP((COLUMN()+1)/3-2,0))&amp;" Cost")</f>
        <v/>
      </c>
      <c r="X2" s="54" t="str" cm="1">
        <f>IF(INDEX(List_ChargeNumbers_Stationary, 1, ROUNDUP((COLUMN()+1)/3-2,0)) = 0,"",INDEX(List_ChargeNumbers_Stationary, 2, ROUNDUP((COLUMN()+1)/3-2,0))&amp;" Name")</f>
        <v/>
      </c>
      <c r="Y2" s="55" t="str" cm="1">
        <f>IF(INDEX(List_ChargeNumbers_Stationary, 1, ROUNDUP((COLUMN()+1)/3-2,0)) = 0,"",INDEX(List_ChargeNumbers_Stationary, 2, ROUNDUP((COLUMN()+1)/3-2,0))&amp;" Reading")</f>
        <v/>
      </c>
      <c r="Z2" s="56" t="str" cm="1">
        <f>IF(INDEX(List_ChargeNumbers_Stationary, 1, ROUNDUP((COLUMN()+1)/3-2,0)) = 0,"",INDEX(List_ChargeNumbers_Stationary, 2, ROUNDUP((COLUMN()+1)/3-2,0))&amp;" Cost")</f>
        <v/>
      </c>
      <c r="AA2" s="54" t="str" cm="1">
        <f>IF(INDEX(List_ChargeNumbers_Stationary, 1, ROUNDUP((COLUMN()+1)/3-2,0)) = 0,"",INDEX(List_ChargeNumbers_Stationary, 2, ROUNDUP((COLUMN()+1)/3-2,0))&amp;" Name")</f>
        <v/>
      </c>
      <c r="AB2" s="55" t="str" cm="1">
        <f>IF(INDEX(List_ChargeNumbers_Stationary, 1, ROUNDUP((COLUMN()+1)/3-2,0)) = 0,"",INDEX(List_ChargeNumbers_Stationary, 2, ROUNDUP((COLUMN()+1)/3-2,0))&amp;" Reading")</f>
        <v/>
      </c>
      <c r="AC2" s="56" t="str" cm="1">
        <f>IF(INDEX(List_ChargeNumbers_Stationary, 1, ROUNDUP((COLUMN()+1)/3-2,0)) = 0,"",INDEX(List_ChargeNumbers_Stationary, 2, ROUNDUP((COLUMN()+1)/3-2,0))&amp;" Cost")</f>
        <v/>
      </c>
      <c r="AD2" s="54" t="str" cm="1">
        <f>IF(INDEX(List_ChargeNumbers_Stationary, 1, ROUNDUP((COLUMN()+1)/3-2,0)) = 0,"",INDEX(List_ChargeNumbers_Stationary, 2, ROUNDUP((COLUMN()+1)/3-2,0))&amp;" Name")</f>
        <v/>
      </c>
      <c r="AE2" s="55" t="str" cm="1">
        <f>IF(INDEX(List_ChargeNumbers_Stationary, 1, ROUNDUP((COLUMN()+1)/3-2,0)) = 0,"",INDEX(List_ChargeNumbers_Stationary, 2, ROUNDUP((COLUMN()+1)/3-2,0))&amp;" Reading")</f>
        <v/>
      </c>
      <c r="AF2" s="56" t="str" cm="1">
        <f>IF(INDEX(List_ChargeNumbers_Stationary, 1, ROUNDUP((COLUMN()+1)/3-2,0)) = 0,"",INDEX(List_ChargeNumbers_Stationary, 2, ROUNDUP((COLUMN()+1)/3-2,0))&amp;" Cost")</f>
        <v/>
      </c>
      <c r="AG2" s="54" t="str" cm="1">
        <f>IF(INDEX(List_ChargeNumbers_Stationary, 1, ROUNDUP((COLUMN()+1)/3-2,0)) = 0,"",INDEX(List_ChargeNumbers_Stationary, 2, ROUNDUP((COLUMN()+1)/3-2,0))&amp;" Name")</f>
        <v/>
      </c>
      <c r="AH2" s="55" t="str" cm="1">
        <f>IF(INDEX(List_ChargeNumbers_Stationary, 1, ROUNDUP((COLUMN()+1)/3-2,0)) = 0,"",INDEX(List_ChargeNumbers_Stationary, 2, ROUNDUP((COLUMN()+1)/3-2,0))&amp;" Reading")</f>
        <v/>
      </c>
      <c r="AI2" s="56" t="str" cm="1">
        <f>IF(INDEX(List_ChargeNumbers_Stationary, 1, ROUNDUP((COLUMN()+1)/3-2,0)) = 0,"",INDEX(List_ChargeNumbers_Stationary, 2, ROUNDUP((COLUMN()+1)/3-2,0))&amp;" Cost")</f>
        <v/>
      </c>
      <c r="AJ2" s="54" t="str" cm="1">
        <f>IF(INDEX(List_ChargeNumbers_Stationary, 1, ROUNDUP((COLUMN()+1)/3-2,0)) = 0,"",INDEX(List_ChargeNumbers_Stationary, 2, ROUNDUP((COLUMN()+1)/3-2,0))&amp;" Name")</f>
        <v/>
      </c>
      <c r="AK2" s="55" t="str" cm="1">
        <f>IF(INDEX(List_ChargeNumbers_Stationary, 1, ROUNDUP((COLUMN()+1)/3-2,0)) = 0,"",INDEX(List_ChargeNumbers_Stationary, 2, ROUNDUP((COLUMN()+1)/3-2,0))&amp;" Reading")</f>
        <v/>
      </c>
      <c r="AL2" s="56" t="str" cm="1">
        <f>IF(INDEX(List_ChargeNumbers_Stationary, 1, ROUNDUP((COLUMN()+1)/3-2,0)) = 0,"",INDEX(List_ChargeNumbers_Stationary, 2, ROUNDUP((COLUMN()+1)/3-2,0))&amp;" Cost")</f>
        <v/>
      </c>
      <c r="AM2" s="54" t="str" cm="1">
        <f>IF(INDEX(List_ChargeNumbers_Stationary, 1, ROUNDUP((COLUMN()+1)/3-2,0)) = 0,"",INDEX(List_ChargeNumbers_Stationary, 2, ROUNDUP((COLUMN()+1)/3-2,0))&amp;" Name")</f>
        <v/>
      </c>
      <c r="AN2" s="55" t="str" cm="1">
        <f>IF(INDEX(List_ChargeNumbers_Stationary, 1, ROUNDUP((COLUMN()+1)/3-2,0)) = 0,"",INDEX(List_ChargeNumbers_Stationary, 2, ROUNDUP((COLUMN()+1)/3-2,0))&amp;" Reading")</f>
        <v/>
      </c>
      <c r="AO2" s="56" t="str" cm="1">
        <f>IF(INDEX(List_ChargeNumbers_Stationary, 1, ROUNDUP((COLUMN()+1)/3-2,0)) = 0,"",INDEX(List_ChargeNumbers_Stationary, 2, ROUNDUP((COLUMN()+1)/3-2,0))&amp;" Cost")</f>
        <v/>
      </c>
      <c r="AP2" s="54" t="str" cm="1">
        <f>IF(INDEX(List_ChargeNumbers_Stationary, 1, ROUNDUP((COLUMN()+1)/3-2,0)) = 0,"",INDEX(List_ChargeNumbers_Stationary, 2, ROUNDUP((COLUMN()+1)/3-2,0))&amp;" Name")</f>
        <v/>
      </c>
      <c r="AQ2" s="55" t="str" cm="1">
        <f>IF(INDEX(List_ChargeNumbers_Stationary, 1, ROUNDUP((COLUMN()+1)/3-2,0)) = 0,"",INDEX(List_ChargeNumbers_Stationary, 2, ROUNDUP((COLUMN()+1)/3-2,0))&amp;" Reading")</f>
        <v/>
      </c>
      <c r="AR2" s="56" t="str" cm="1">
        <f>IF(INDEX(List_ChargeNumbers_Stationary, 1, ROUNDUP((COLUMN()+1)/3-2,0)) = 0,"",INDEX(List_ChargeNumbers_Stationary, 2, ROUNDUP((COLUMN()+1)/3-2,0))&amp;" Cost")</f>
        <v/>
      </c>
      <c r="AS2" s="54" t="str" cm="1">
        <f>IF(INDEX(List_ChargeNumbers_Stationary, 1, ROUNDUP((COLUMN()+1)/3-2,0)) = 0,"",INDEX(List_ChargeNumbers_Stationary, 2, ROUNDUP((COLUMN()+1)/3-2,0))&amp;" Name")</f>
        <v/>
      </c>
      <c r="AT2" s="55" t="str" cm="1">
        <f>IF(INDEX(List_ChargeNumbers_Stationary, 1, ROUNDUP((COLUMN()+1)/3-2,0)) = 0,"",INDEX(List_ChargeNumbers_Stationary, 2, ROUNDUP((COLUMN()+1)/3-2,0))&amp;" Reading")</f>
        <v/>
      </c>
      <c r="AU2" s="56" t="str" cm="1">
        <f>IF(INDEX(List_ChargeNumbers_Stationary, 1, ROUNDUP((COLUMN()+1)/3-2,0)) = 0,"",INDEX(List_ChargeNumbers_Stationary, 2, ROUNDUP((COLUMN()+1)/3-2,0))&amp;" Cost")</f>
        <v/>
      </c>
      <c r="AV2" s="54" t="str" cm="1">
        <f>IF(INDEX(List_ChargeNumbers_Stationary, 1, ROUNDUP((COLUMN()+1)/3-2,0)) = 0,"",INDEX(List_ChargeNumbers_Stationary, 2, ROUNDUP((COLUMN()+1)/3-2,0))&amp;" Name")</f>
        <v/>
      </c>
      <c r="AW2" s="55" t="str" cm="1">
        <f>IF(INDEX(List_ChargeNumbers_Stationary, 1, ROUNDUP((COLUMN()+1)/3-2,0)) = 0,"",INDEX(List_ChargeNumbers_Stationary, 2, ROUNDUP((COLUMN()+1)/3-2,0))&amp;" Reading")</f>
        <v/>
      </c>
      <c r="AX2" s="56" t="str" cm="1">
        <f>IF(INDEX(List_ChargeNumbers_Stationary, 1, ROUNDUP((COLUMN()+1)/3-2,0)) = 0,"",INDEX(List_ChargeNumbers_Stationary, 2, ROUNDUP((COLUMN()+1)/3-2,0))&amp;" Cost")</f>
        <v/>
      </c>
    </row>
    <row r="3" spans="1:50" x14ac:dyDescent="0.3">
      <c r="A3" s="126"/>
      <c r="B3" s="133"/>
      <c r="C3" s="127"/>
      <c r="D3" s="138"/>
      <c r="E3" s="138"/>
      <c r="F3" s="58" t="str" cm="1">
        <f>IFERROR(IF(ISBLANK($A3),"",INDEX(Array_StationaryCharges,MATCH($A3,List_StationaryFuelMeters,0),ROUNDUP((COLUMN()+1)/3-2,0))),"")</f>
        <v/>
      </c>
      <c r="G3" s="127"/>
      <c r="H3" s="127"/>
      <c r="I3" s="58" t="str" cm="1">
        <f>IFERROR(IF(ISBLANK($A3),"",INDEX(Array_StationaryCharges,MATCH($A3,List_StationaryFuelMeters,0),ROUNDUP((COLUMN()+1)/3-2,0))),"")</f>
        <v/>
      </c>
      <c r="J3" s="127"/>
      <c r="K3" s="127"/>
      <c r="L3" s="58" t="str" cm="1">
        <f>IFERROR(IF(ISBLANK($A3),"",INDEX(Array_StationaryCharges,MATCH($A3,List_StationaryFuelMeters,0),ROUNDUP((COLUMN()+1)/3-2,0))),"")</f>
        <v/>
      </c>
      <c r="M3" s="127"/>
      <c r="N3" s="127"/>
      <c r="O3" s="58" t="str" cm="1">
        <f>IFERROR(IF(ISBLANK($A3),"",INDEX(Array_StationaryCharges,MATCH($A3,List_StationaryFuelMeters,0),ROUNDUP((COLUMN()+1)/3-2,0))),"")</f>
        <v/>
      </c>
      <c r="P3" s="127"/>
      <c r="Q3" s="127"/>
      <c r="R3" s="58" t="str" cm="1">
        <f>IFERROR(IF(ISBLANK($A3),"",INDEX(Array_StationaryCharges,MATCH($A3,List_StationaryFuelMeters,0),ROUNDUP((COLUMN()+1)/3-2,0))),"")</f>
        <v/>
      </c>
      <c r="S3" s="127"/>
      <c r="T3" s="127"/>
      <c r="U3" s="58" t="str" cm="1">
        <f>IFERROR(IF(ISBLANK($A3),"",INDEX(Array_StationaryCharges,MATCH($A3,List_StationaryFuelMeters,0),ROUNDUP((COLUMN()+1)/3-2,0))),"")</f>
        <v/>
      </c>
      <c r="V3" s="127"/>
      <c r="W3" s="127"/>
      <c r="X3" s="58" t="str" cm="1">
        <f>IFERROR(IF(ISBLANK($A3),"",INDEX(Array_StationaryCharges,MATCH($A3,List_StationaryFuelMeters,0),ROUNDUP((COLUMN()+1)/3-2,0))),"")</f>
        <v/>
      </c>
      <c r="Y3" s="127"/>
      <c r="Z3" s="127"/>
      <c r="AA3" s="58" t="str" cm="1">
        <f>IFERROR(IF(ISBLANK($A3),"",INDEX(Array_StationaryCharges,MATCH($A3,List_StationaryFuelMeters,0),ROUNDUP((COLUMN()+1)/3-2,0))),"")</f>
        <v/>
      </c>
      <c r="AB3" s="127"/>
      <c r="AC3" s="127"/>
      <c r="AD3" s="58" t="str" cm="1">
        <f>IFERROR(IF(ISBLANK($A3),"",INDEX(Array_StationaryCharges,MATCH($A3,List_StationaryFuelMeters,0),ROUNDUP((COLUMN()+1)/3-2,0))),"")</f>
        <v/>
      </c>
      <c r="AE3" s="127"/>
      <c r="AF3" s="127"/>
      <c r="AG3" s="58" t="str" cm="1">
        <f>IFERROR(IF(ISBLANK($A3),"",INDEX(Array_StationaryCharges,MATCH($A3,List_StationaryFuelMeters,0),ROUNDUP((COLUMN()+1)/3-2,0))),"")</f>
        <v/>
      </c>
      <c r="AH3" s="127"/>
      <c r="AI3" s="127"/>
      <c r="AJ3" s="58" t="str" cm="1">
        <f>IFERROR(IF(ISBLANK($A3),"",INDEX(Array_StationaryCharges,MATCH($A3,List_StationaryFuelMeters,0),ROUNDUP((COLUMN()+1)/3-2,0))),"")</f>
        <v/>
      </c>
      <c r="AK3" s="127"/>
      <c r="AL3" s="127"/>
      <c r="AM3" s="58" t="str" cm="1">
        <f>IFERROR(IF(ISBLANK($A3),"",INDEX(Array_StationaryCharges,MATCH($A3,List_StationaryFuelMeters,0),ROUNDUP((COLUMN()+1)/3-2,0))),"")</f>
        <v/>
      </c>
      <c r="AN3" s="127"/>
      <c r="AO3" s="127"/>
      <c r="AP3" s="58" t="str" cm="1">
        <f>IFERROR(IF(ISBLANK($A3),"",INDEX(Array_StationaryCharges,MATCH($A3,List_StationaryFuelMeters,0),ROUNDUP((COLUMN()+1)/3-2,0))),"")</f>
        <v/>
      </c>
      <c r="AQ3" s="127"/>
      <c r="AR3" s="127"/>
      <c r="AS3" s="58" t="str" cm="1">
        <f>IFERROR(IF(ISBLANK($A3),"",INDEX(Array_StationaryCharges,MATCH($A3,List_StationaryFuelMeters,0),ROUNDUP((COLUMN()+1)/3-2,0))),"")</f>
        <v/>
      </c>
      <c r="AT3" s="127"/>
      <c r="AU3" s="127"/>
      <c r="AV3" s="58" t="str" cm="1">
        <f>IFERROR(IF(ISBLANK($A3),"",INDEX(Array_StationaryCharges,MATCH($A3,List_StationaryFuelMeters,0),ROUNDUP((COLUMN()+1)/3-2,0))),"")</f>
        <v/>
      </c>
      <c r="AW3" s="127"/>
      <c r="AX3" s="127"/>
    </row>
    <row r="4" spans="1:50" x14ac:dyDescent="0.3">
      <c r="A4" s="126"/>
      <c r="B4" s="133"/>
      <c r="C4" s="127"/>
      <c r="D4" s="138"/>
      <c r="E4" s="138"/>
      <c r="F4" s="58" t="str" cm="1">
        <f>IFERROR(IF(ISBLANK($A4),"",INDEX(Array_StationaryCharges,MATCH($A4,List_StationaryFuelMeters,0),ROUNDUP((COLUMN()+1)/3-2,0))),"")</f>
        <v/>
      </c>
      <c r="G4" s="127"/>
      <c r="H4" s="127"/>
      <c r="I4" s="58" t="str" cm="1">
        <f>IFERROR(IF(ISBLANK($A4),"",INDEX(Array_StationaryCharges,MATCH($A4,List_StationaryFuelMeters,0),ROUNDUP((COLUMN()+1)/3-2,0))),"")</f>
        <v/>
      </c>
      <c r="J4" s="127"/>
      <c r="K4" s="127"/>
      <c r="L4" s="58" t="str" cm="1">
        <f>IFERROR(IF(ISBLANK($A4),"",INDEX(Array_StationaryCharges,MATCH($A4,List_StationaryFuelMeters,0),ROUNDUP((COLUMN()+1)/3-2,0))),"")</f>
        <v/>
      </c>
      <c r="M4" s="127"/>
      <c r="N4" s="127"/>
      <c r="O4" s="58" t="str" cm="1">
        <f>IFERROR(IF(ISBLANK($A4),"",INDEX(Array_StationaryCharges,MATCH($A4,List_StationaryFuelMeters,0),ROUNDUP((COLUMN()+1)/3-2,0))),"")</f>
        <v/>
      </c>
      <c r="P4" s="127"/>
      <c r="Q4" s="127"/>
      <c r="R4" s="58" t="str" cm="1">
        <f>IFERROR(IF(ISBLANK($A4),"",INDEX(Array_StationaryCharges,MATCH($A4,List_StationaryFuelMeters,0),ROUNDUP((COLUMN()+1)/3-2,0))),"")</f>
        <v/>
      </c>
      <c r="S4" s="127"/>
      <c r="T4" s="127"/>
      <c r="U4" s="58" t="str" cm="1">
        <f>IFERROR(IF(ISBLANK($A4),"",INDEX(Array_StationaryCharges,MATCH($A4,List_StationaryFuelMeters,0),ROUNDUP((COLUMN()+1)/3-2,0))),"")</f>
        <v/>
      </c>
      <c r="V4" s="127"/>
      <c r="W4" s="127"/>
      <c r="X4" s="58" t="str" cm="1">
        <f>IFERROR(IF(ISBLANK($A4),"",INDEX(Array_StationaryCharges,MATCH($A4,List_StationaryFuelMeters,0),ROUNDUP((COLUMN()+1)/3-2,0))),"")</f>
        <v/>
      </c>
      <c r="Y4" s="127"/>
      <c r="Z4" s="127"/>
      <c r="AA4" s="58" t="str" cm="1">
        <f>IFERROR(IF(ISBLANK($A4),"",INDEX(Array_StationaryCharges,MATCH($A4,List_StationaryFuelMeters,0),ROUNDUP((COLUMN()+1)/3-2,0))),"")</f>
        <v/>
      </c>
      <c r="AB4" s="127"/>
      <c r="AC4" s="127"/>
      <c r="AD4" s="58" t="str" cm="1">
        <f>IFERROR(IF(ISBLANK($A4),"",INDEX(Array_StationaryCharges,MATCH($A4,List_StationaryFuelMeters,0),ROUNDUP((COLUMN()+1)/3-2,0))),"")</f>
        <v/>
      </c>
      <c r="AE4" s="127"/>
      <c r="AF4" s="127"/>
      <c r="AG4" s="58" t="str" cm="1">
        <f>IFERROR(IF(ISBLANK($A4),"",INDEX(Array_StationaryCharges,MATCH($A4,List_StationaryFuelMeters,0),ROUNDUP((COLUMN()+1)/3-2,0))),"")</f>
        <v/>
      </c>
      <c r="AH4" s="127"/>
      <c r="AI4" s="127"/>
      <c r="AJ4" s="58" t="str" cm="1">
        <f>IFERROR(IF(ISBLANK($A4),"",INDEX(Array_StationaryCharges,MATCH($A4,List_StationaryFuelMeters,0),ROUNDUP((COLUMN()+1)/3-2,0))),"")</f>
        <v/>
      </c>
      <c r="AK4" s="127"/>
      <c r="AL4" s="127"/>
      <c r="AM4" s="58" t="str" cm="1">
        <f>IFERROR(IF(ISBLANK($A4),"",INDEX(Array_StationaryCharges,MATCH($A4,List_StationaryFuelMeters,0),ROUNDUP((COLUMN()+1)/3-2,0))),"")</f>
        <v/>
      </c>
      <c r="AN4" s="127"/>
      <c r="AO4" s="127"/>
      <c r="AP4" s="58" t="str" cm="1">
        <f>IFERROR(IF(ISBLANK($A4),"",INDEX(Array_StationaryCharges,MATCH($A4,List_StationaryFuelMeters,0),ROUNDUP((COLUMN()+1)/3-2,0))),"")</f>
        <v/>
      </c>
      <c r="AQ4" s="127"/>
      <c r="AR4" s="127"/>
      <c r="AS4" s="58" t="str" cm="1">
        <f>IFERROR(IF(ISBLANK($A4),"",INDEX(Array_StationaryCharges,MATCH($A4,List_StationaryFuelMeters,0),ROUNDUP((COLUMN()+1)/3-2,0))),"")</f>
        <v/>
      </c>
      <c r="AT4" s="127"/>
      <c r="AU4" s="127"/>
      <c r="AV4" s="58" t="str" cm="1">
        <f>IFERROR(IF(ISBLANK($A4),"",INDEX(Array_StationaryCharges,MATCH($A4,List_StationaryFuelMeters,0),ROUNDUP((COLUMN()+1)/3-2,0))),"")</f>
        <v/>
      </c>
      <c r="AW4" s="127"/>
      <c r="AX4" s="127"/>
    </row>
    <row r="5" spans="1:50" x14ac:dyDescent="0.3">
      <c r="A5" s="126"/>
      <c r="B5" s="133"/>
      <c r="C5" s="127"/>
      <c r="D5" s="138"/>
      <c r="E5" s="138"/>
      <c r="F5" s="58" t="str" cm="1">
        <f>IFERROR(IF(ISBLANK($A5),"",INDEX(Array_StationaryCharges,MATCH($A5,List_StationaryFuelMeters,0),ROUNDUP((COLUMN()+1)/3-2,0))),"")</f>
        <v/>
      </c>
      <c r="G5" s="127"/>
      <c r="H5" s="127"/>
      <c r="I5" s="58" t="str" cm="1">
        <f>IFERROR(IF(ISBLANK($A5),"",INDEX(Array_StationaryCharges,MATCH($A5,List_StationaryFuelMeters,0),ROUNDUP((COLUMN()+1)/3-2,0))),"")</f>
        <v/>
      </c>
      <c r="J5" s="127"/>
      <c r="K5" s="127"/>
      <c r="L5" s="58" t="str" cm="1">
        <f>IFERROR(IF(ISBLANK($A5),"",INDEX(Array_StationaryCharges,MATCH($A5,List_StationaryFuelMeters,0),ROUNDUP((COLUMN()+1)/3-2,0))),"")</f>
        <v/>
      </c>
      <c r="M5" s="127"/>
      <c r="N5" s="127"/>
      <c r="O5" s="58" t="str" cm="1">
        <f>IFERROR(IF(ISBLANK($A5),"",INDEX(Array_StationaryCharges,MATCH($A5,List_StationaryFuelMeters,0),ROUNDUP((COLUMN()+1)/3-2,0))),"")</f>
        <v/>
      </c>
      <c r="P5" s="127"/>
      <c r="Q5" s="127"/>
      <c r="R5" s="58" t="str" cm="1">
        <f>IFERROR(IF(ISBLANK($A5),"",INDEX(Array_StationaryCharges,MATCH($A5,List_StationaryFuelMeters,0),ROUNDUP((COLUMN()+1)/3-2,0))),"")</f>
        <v/>
      </c>
      <c r="S5" s="127"/>
      <c r="T5" s="127"/>
      <c r="U5" s="58" t="str" cm="1">
        <f>IFERROR(IF(ISBLANK($A5),"",INDEX(Array_StationaryCharges,MATCH($A5,List_StationaryFuelMeters,0),ROUNDUP((COLUMN()+1)/3-2,0))),"")</f>
        <v/>
      </c>
      <c r="V5" s="127"/>
      <c r="W5" s="127"/>
      <c r="X5" s="58" t="str" cm="1">
        <f>IFERROR(IF(ISBLANK($A5),"",INDEX(Array_StationaryCharges,MATCH($A5,List_StationaryFuelMeters,0),ROUNDUP((COLUMN()+1)/3-2,0))),"")</f>
        <v/>
      </c>
      <c r="Y5" s="127"/>
      <c r="Z5" s="127"/>
      <c r="AA5" s="58" t="str" cm="1">
        <f>IFERROR(IF(ISBLANK($A5),"",INDEX(Array_StationaryCharges,MATCH($A5,List_StationaryFuelMeters,0),ROUNDUP((COLUMN()+1)/3-2,0))),"")</f>
        <v/>
      </c>
      <c r="AB5" s="127"/>
      <c r="AC5" s="127"/>
      <c r="AD5" s="58" t="str" cm="1">
        <f>IFERROR(IF(ISBLANK($A5),"",INDEX(Array_StationaryCharges,MATCH($A5,List_StationaryFuelMeters,0),ROUNDUP((COLUMN()+1)/3-2,0))),"")</f>
        <v/>
      </c>
      <c r="AE5" s="127"/>
      <c r="AF5" s="127"/>
      <c r="AG5" s="58" t="str" cm="1">
        <f>IFERROR(IF(ISBLANK($A5),"",INDEX(Array_StationaryCharges,MATCH($A5,List_StationaryFuelMeters,0),ROUNDUP((COLUMN()+1)/3-2,0))),"")</f>
        <v/>
      </c>
      <c r="AH5" s="127"/>
      <c r="AI5" s="127"/>
      <c r="AJ5" s="58" t="str" cm="1">
        <f>IFERROR(IF(ISBLANK($A5),"",INDEX(Array_StationaryCharges,MATCH($A5,List_StationaryFuelMeters,0),ROUNDUP((COLUMN()+1)/3-2,0))),"")</f>
        <v/>
      </c>
      <c r="AK5" s="127"/>
      <c r="AL5" s="127"/>
      <c r="AM5" s="58" t="str" cm="1">
        <f>IFERROR(IF(ISBLANK($A5),"",INDEX(Array_StationaryCharges,MATCH($A5,List_StationaryFuelMeters,0),ROUNDUP((COLUMN()+1)/3-2,0))),"")</f>
        <v/>
      </c>
      <c r="AN5" s="127"/>
      <c r="AO5" s="127"/>
      <c r="AP5" s="58" t="str" cm="1">
        <f>IFERROR(IF(ISBLANK($A5),"",INDEX(Array_StationaryCharges,MATCH($A5,List_StationaryFuelMeters,0),ROUNDUP((COLUMN()+1)/3-2,0))),"")</f>
        <v/>
      </c>
      <c r="AQ5" s="127"/>
      <c r="AR5" s="127"/>
      <c r="AS5" s="58" t="str" cm="1">
        <f>IFERROR(IF(ISBLANK($A5),"",INDEX(Array_StationaryCharges,MATCH($A5,List_StationaryFuelMeters,0),ROUNDUP((COLUMN()+1)/3-2,0))),"")</f>
        <v/>
      </c>
      <c r="AT5" s="127"/>
      <c r="AU5" s="127"/>
      <c r="AV5" s="58" t="str" cm="1">
        <f>IFERROR(IF(ISBLANK($A5),"",INDEX(Array_StationaryCharges,MATCH($A5,List_StationaryFuelMeters,0),ROUNDUP((COLUMN()+1)/3-2,0))),"")</f>
        <v/>
      </c>
      <c r="AW5" s="127"/>
      <c r="AX5" s="127"/>
    </row>
    <row r="6" spans="1:50" x14ac:dyDescent="0.3">
      <c r="A6" s="126"/>
      <c r="B6" s="133"/>
      <c r="C6" s="127"/>
      <c r="D6" s="138"/>
      <c r="E6" s="138"/>
      <c r="F6" s="58" t="str" cm="1">
        <f>IFERROR(IF(ISBLANK($A6),"",INDEX(Array_StationaryCharges,MATCH($A6,List_StationaryFuelMeters,0),ROUNDUP((COLUMN()+1)/3-2,0))),"")</f>
        <v/>
      </c>
      <c r="G6" s="127"/>
      <c r="H6" s="127"/>
      <c r="I6" s="58" t="str" cm="1">
        <f>IFERROR(IF(ISBLANK($A6),"",INDEX(Array_StationaryCharges,MATCH($A6,List_StationaryFuelMeters,0),ROUNDUP((COLUMN()+1)/3-2,0))),"")</f>
        <v/>
      </c>
      <c r="J6" s="127"/>
      <c r="K6" s="127"/>
      <c r="L6" s="58" t="str" cm="1">
        <f>IFERROR(IF(ISBLANK($A6),"",INDEX(Array_StationaryCharges,MATCH($A6,List_StationaryFuelMeters,0),ROUNDUP((COLUMN()+1)/3-2,0))),"")</f>
        <v/>
      </c>
      <c r="M6" s="127"/>
      <c r="N6" s="127"/>
      <c r="O6" s="58" t="str" cm="1">
        <f>IFERROR(IF(ISBLANK($A6),"",INDEX(Array_StationaryCharges,MATCH($A6,List_StationaryFuelMeters,0),ROUNDUP((COLUMN()+1)/3-2,0))),"")</f>
        <v/>
      </c>
      <c r="P6" s="127"/>
      <c r="Q6" s="127"/>
      <c r="R6" s="58" t="str" cm="1">
        <f>IFERROR(IF(ISBLANK($A6),"",INDEX(Array_StationaryCharges,MATCH($A6,List_StationaryFuelMeters,0),ROUNDUP((COLUMN()+1)/3-2,0))),"")</f>
        <v/>
      </c>
      <c r="S6" s="127"/>
      <c r="T6" s="127"/>
      <c r="U6" s="58" t="str" cm="1">
        <f>IFERROR(IF(ISBLANK($A6),"",INDEX(Array_StationaryCharges,MATCH($A6,List_StationaryFuelMeters,0),ROUNDUP((COLUMN()+1)/3-2,0))),"")</f>
        <v/>
      </c>
      <c r="V6" s="127"/>
      <c r="W6" s="127"/>
      <c r="X6" s="58" t="str" cm="1">
        <f>IFERROR(IF(ISBLANK($A6),"",INDEX(Array_StationaryCharges,MATCH($A6,List_StationaryFuelMeters,0),ROUNDUP((COLUMN()+1)/3-2,0))),"")</f>
        <v/>
      </c>
      <c r="Y6" s="127"/>
      <c r="Z6" s="127"/>
      <c r="AA6" s="58" t="str" cm="1">
        <f>IFERROR(IF(ISBLANK($A6),"",INDEX(Array_StationaryCharges,MATCH($A6,List_StationaryFuelMeters,0),ROUNDUP((COLUMN()+1)/3-2,0))),"")</f>
        <v/>
      </c>
      <c r="AB6" s="127"/>
      <c r="AC6" s="127"/>
      <c r="AD6" s="58" t="str" cm="1">
        <f>IFERROR(IF(ISBLANK($A6),"",INDEX(Array_StationaryCharges,MATCH($A6,List_StationaryFuelMeters,0),ROUNDUP((COLUMN()+1)/3-2,0))),"")</f>
        <v/>
      </c>
      <c r="AE6" s="127"/>
      <c r="AF6" s="127"/>
      <c r="AG6" s="58" t="str" cm="1">
        <f>IFERROR(IF(ISBLANK($A6),"",INDEX(Array_StationaryCharges,MATCH($A6,List_StationaryFuelMeters,0),ROUNDUP((COLUMN()+1)/3-2,0))),"")</f>
        <v/>
      </c>
      <c r="AH6" s="127"/>
      <c r="AI6" s="127"/>
      <c r="AJ6" s="58" t="str" cm="1">
        <f>IFERROR(IF(ISBLANK($A6),"",INDEX(Array_StationaryCharges,MATCH($A6,List_StationaryFuelMeters,0),ROUNDUP((COLUMN()+1)/3-2,0))),"")</f>
        <v/>
      </c>
      <c r="AK6" s="127"/>
      <c r="AL6" s="127"/>
      <c r="AM6" s="58" t="str" cm="1">
        <f>IFERROR(IF(ISBLANK($A6),"",INDEX(Array_StationaryCharges,MATCH($A6,List_StationaryFuelMeters,0),ROUNDUP((COLUMN()+1)/3-2,0))),"")</f>
        <v/>
      </c>
      <c r="AN6" s="127"/>
      <c r="AO6" s="127"/>
      <c r="AP6" s="58" t="str" cm="1">
        <f>IFERROR(IF(ISBLANK($A6),"",INDEX(Array_StationaryCharges,MATCH($A6,List_StationaryFuelMeters,0),ROUNDUP((COLUMN()+1)/3-2,0))),"")</f>
        <v/>
      </c>
      <c r="AQ6" s="127"/>
      <c r="AR6" s="127"/>
      <c r="AS6" s="58" t="str" cm="1">
        <f>IFERROR(IF(ISBLANK($A6),"",INDEX(Array_StationaryCharges,MATCH($A6,List_StationaryFuelMeters,0),ROUNDUP((COLUMN()+1)/3-2,0))),"")</f>
        <v/>
      </c>
      <c r="AT6" s="127"/>
      <c r="AU6" s="127"/>
      <c r="AV6" s="58" t="str" cm="1">
        <f>IFERROR(IF(ISBLANK($A6),"",INDEX(Array_StationaryCharges,MATCH($A6,List_StationaryFuelMeters,0),ROUNDUP((COLUMN()+1)/3-2,0))),"")</f>
        <v/>
      </c>
      <c r="AW6" s="127"/>
      <c r="AX6" s="127"/>
    </row>
    <row r="7" spans="1:50" x14ac:dyDescent="0.3">
      <c r="A7" s="126"/>
      <c r="B7" s="133"/>
      <c r="C7" s="127"/>
      <c r="D7" s="138"/>
      <c r="E7" s="138"/>
      <c r="F7" s="58" t="str" cm="1">
        <f>IFERROR(IF(ISBLANK($A7),"",INDEX(Array_StationaryCharges,MATCH($A7,List_StationaryFuelMeters,0),ROUNDUP((COLUMN()+1)/3-2,0))),"")</f>
        <v/>
      </c>
      <c r="G7" s="127"/>
      <c r="H7" s="127"/>
      <c r="I7" s="58" t="str" cm="1">
        <f>IFERROR(IF(ISBLANK($A7),"",INDEX(Array_StationaryCharges,MATCH($A7,List_StationaryFuelMeters,0),ROUNDUP((COLUMN()+1)/3-2,0))),"")</f>
        <v/>
      </c>
      <c r="J7" s="127"/>
      <c r="K7" s="127"/>
      <c r="L7" s="58" t="str" cm="1">
        <f>IFERROR(IF(ISBLANK($A7),"",INDEX(Array_StationaryCharges,MATCH($A7,List_StationaryFuelMeters,0),ROUNDUP((COLUMN()+1)/3-2,0))),"")</f>
        <v/>
      </c>
      <c r="M7" s="127"/>
      <c r="N7" s="127"/>
      <c r="O7" s="58" t="str" cm="1">
        <f>IFERROR(IF(ISBLANK($A7),"",INDEX(Array_StationaryCharges,MATCH($A7,List_StationaryFuelMeters,0),ROUNDUP((COLUMN()+1)/3-2,0))),"")</f>
        <v/>
      </c>
      <c r="P7" s="127"/>
      <c r="Q7" s="127"/>
      <c r="R7" s="58" t="str" cm="1">
        <f>IFERROR(IF(ISBLANK($A7),"",INDEX(Array_StationaryCharges,MATCH($A7,List_StationaryFuelMeters,0),ROUNDUP((COLUMN()+1)/3-2,0))),"")</f>
        <v/>
      </c>
      <c r="S7" s="127"/>
      <c r="T7" s="127"/>
      <c r="U7" s="58" t="str" cm="1">
        <f>IFERROR(IF(ISBLANK($A7),"",INDEX(Array_StationaryCharges,MATCH($A7,List_StationaryFuelMeters,0),ROUNDUP((COLUMN()+1)/3-2,0))),"")</f>
        <v/>
      </c>
      <c r="V7" s="127"/>
      <c r="W7" s="127"/>
      <c r="X7" s="58" t="str" cm="1">
        <f>IFERROR(IF(ISBLANK($A7),"",INDEX(Array_StationaryCharges,MATCH($A7,List_StationaryFuelMeters,0),ROUNDUP((COLUMN()+1)/3-2,0))),"")</f>
        <v/>
      </c>
      <c r="Y7" s="127"/>
      <c r="Z7" s="127"/>
      <c r="AA7" s="58" t="str" cm="1">
        <f>IFERROR(IF(ISBLANK($A7),"",INDEX(Array_StationaryCharges,MATCH($A7,List_StationaryFuelMeters,0),ROUNDUP((COLUMN()+1)/3-2,0))),"")</f>
        <v/>
      </c>
      <c r="AB7" s="127"/>
      <c r="AC7" s="127"/>
      <c r="AD7" s="58" t="str" cm="1">
        <f>IFERROR(IF(ISBLANK($A7),"",INDEX(Array_StationaryCharges,MATCH($A7,List_StationaryFuelMeters,0),ROUNDUP((COLUMN()+1)/3-2,0))),"")</f>
        <v/>
      </c>
      <c r="AE7" s="127"/>
      <c r="AF7" s="127"/>
      <c r="AG7" s="58" t="str" cm="1">
        <f>IFERROR(IF(ISBLANK($A7),"",INDEX(Array_StationaryCharges,MATCH($A7,List_StationaryFuelMeters,0),ROUNDUP((COLUMN()+1)/3-2,0))),"")</f>
        <v/>
      </c>
      <c r="AH7" s="127"/>
      <c r="AI7" s="127"/>
      <c r="AJ7" s="58" t="str" cm="1">
        <f>IFERROR(IF(ISBLANK($A7),"",INDEX(Array_StationaryCharges,MATCH($A7,List_StationaryFuelMeters,0),ROUNDUP((COLUMN()+1)/3-2,0))),"")</f>
        <v/>
      </c>
      <c r="AK7" s="127"/>
      <c r="AL7" s="127"/>
      <c r="AM7" s="58" t="str" cm="1">
        <f>IFERROR(IF(ISBLANK($A7),"",INDEX(Array_StationaryCharges,MATCH($A7,List_StationaryFuelMeters,0),ROUNDUP((COLUMN()+1)/3-2,0))),"")</f>
        <v/>
      </c>
      <c r="AN7" s="127"/>
      <c r="AO7" s="127"/>
      <c r="AP7" s="58" t="str" cm="1">
        <f>IFERROR(IF(ISBLANK($A7),"",INDEX(Array_StationaryCharges,MATCH($A7,List_StationaryFuelMeters,0),ROUNDUP((COLUMN()+1)/3-2,0))),"")</f>
        <v/>
      </c>
      <c r="AQ7" s="127"/>
      <c r="AR7" s="127"/>
      <c r="AS7" s="58" t="str" cm="1">
        <f>IFERROR(IF(ISBLANK($A7),"",INDEX(Array_StationaryCharges,MATCH($A7,List_StationaryFuelMeters,0),ROUNDUP((COLUMN()+1)/3-2,0))),"")</f>
        <v/>
      </c>
      <c r="AT7" s="127"/>
      <c r="AU7" s="127"/>
      <c r="AV7" s="58" t="str" cm="1">
        <f>IFERROR(IF(ISBLANK($A7),"",INDEX(Array_StationaryCharges,MATCH($A7,List_StationaryFuelMeters,0),ROUNDUP((COLUMN()+1)/3-2,0))),"")</f>
        <v/>
      </c>
      <c r="AW7" s="127"/>
      <c r="AX7" s="127"/>
    </row>
    <row r="8" spans="1:50" x14ac:dyDescent="0.3">
      <c r="A8" s="126"/>
      <c r="B8" s="133"/>
      <c r="C8" s="127"/>
      <c r="D8" s="138"/>
      <c r="E8" s="138"/>
      <c r="F8" s="58" t="str" cm="1">
        <f>IFERROR(IF(ISBLANK($A8),"",INDEX(Array_StationaryCharges,MATCH($A8,List_StationaryFuelMeters,0),ROUNDUP((COLUMN()+1)/3-2,0))),"")</f>
        <v/>
      </c>
      <c r="G8" s="127"/>
      <c r="H8" s="127"/>
      <c r="I8" s="58" t="str" cm="1">
        <f>IFERROR(IF(ISBLANK($A8),"",INDEX(Array_StationaryCharges,MATCH($A8,List_StationaryFuelMeters,0),ROUNDUP((COLUMN()+1)/3-2,0))),"")</f>
        <v/>
      </c>
      <c r="J8" s="127"/>
      <c r="K8" s="127"/>
      <c r="L8" s="58" t="str" cm="1">
        <f>IFERROR(IF(ISBLANK($A8),"",INDEX(Array_StationaryCharges,MATCH($A8,List_StationaryFuelMeters,0),ROUNDUP((COLUMN()+1)/3-2,0))),"")</f>
        <v/>
      </c>
      <c r="M8" s="127"/>
      <c r="N8" s="127"/>
      <c r="O8" s="58" t="str" cm="1">
        <f>IFERROR(IF(ISBLANK($A8),"",INDEX(Array_StationaryCharges,MATCH($A8,List_StationaryFuelMeters,0),ROUNDUP((COLUMN()+1)/3-2,0))),"")</f>
        <v/>
      </c>
      <c r="P8" s="127"/>
      <c r="Q8" s="127"/>
      <c r="R8" s="58" t="str" cm="1">
        <f>IFERROR(IF(ISBLANK($A8),"",INDEX(Array_StationaryCharges,MATCH($A8,List_StationaryFuelMeters,0),ROUNDUP((COLUMN()+1)/3-2,0))),"")</f>
        <v/>
      </c>
      <c r="S8" s="127"/>
      <c r="T8" s="127"/>
      <c r="U8" s="58" t="str" cm="1">
        <f>IFERROR(IF(ISBLANK($A8),"",INDEX(Array_StationaryCharges,MATCH($A8,List_StationaryFuelMeters,0),ROUNDUP((COLUMN()+1)/3-2,0))),"")</f>
        <v/>
      </c>
      <c r="V8" s="127"/>
      <c r="W8" s="127"/>
      <c r="X8" s="58" t="str" cm="1">
        <f>IFERROR(IF(ISBLANK($A8),"",INDEX(Array_StationaryCharges,MATCH($A8,List_StationaryFuelMeters,0),ROUNDUP((COLUMN()+1)/3-2,0))),"")</f>
        <v/>
      </c>
      <c r="Y8" s="127"/>
      <c r="Z8" s="127"/>
      <c r="AA8" s="58" t="str" cm="1">
        <f>IFERROR(IF(ISBLANK($A8),"",INDEX(Array_StationaryCharges,MATCH($A8,List_StationaryFuelMeters,0),ROUNDUP((COLUMN()+1)/3-2,0))),"")</f>
        <v/>
      </c>
      <c r="AB8" s="127"/>
      <c r="AC8" s="127"/>
      <c r="AD8" s="58" t="str" cm="1">
        <f>IFERROR(IF(ISBLANK($A8),"",INDEX(Array_StationaryCharges,MATCH($A8,List_StationaryFuelMeters,0),ROUNDUP((COLUMN()+1)/3-2,0))),"")</f>
        <v/>
      </c>
      <c r="AE8" s="127"/>
      <c r="AF8" s="127"/>
      <c r="AG8" s="58" t="str" cm="1">
        <f>IFERROR(IF(ISBLANK($A8),"",INDEX(Array_StationaryCharges,MATCH($A8,List_StationaryFuelMeters,0),ROUNDUP((COLUMN()+1)/3-2,0))),"")</f>
        <v/>
      </c>
      <c r="AH8" s="127"/>
      <c r="AI8" s="127"/>
      <c r="AJ8" s="58" t="str" cm="1">
        <f>IFERROR(IF(ISBLANK($A8),"",INDEX(Array_StationaryCharges,MATCH($A8,List_StationaryFuelMeters,0),ROUNDUP((COLUMN()+1)/3-2,0))),"")</f>
        <v/>
      </c>
      <c r="AK8" s="127"/>
      <c r="AL8" s="127"/>
      <c r="AM8" s="58" t="str" cm="1">
        <f>IFERROR(IF(ISBLANK($A8),"",INDEX(Array_StationaryCharges,MATCH($A8,List_StationaryFuelMeters,0),ROUNDUP((COLUMN()+1)/3-2,0))),"")</f>
        <v/>
      </c>
      <c r="AN8" s="127"/>
      <c r="AO8" s="127"/>
      <c r="AP8" s="58" t="str" cm="1">
        <f>IFERROR(IF(ISBLANK($A8),"",INDEX(Array_StationaryCharges,MATCH($A8,List_StationaryFuelMeters,0),ROUNDUP((COLUMN()+1)/3-2,0))),"")</f>
        <v/>
      </c>
      <c r="AQ8" s="127"/>
      <c r="AR8" s="127"/>
      <c r="AS8" s="58" t="str" cm="1">
        <f>IFERROR(IF(ISBLANK($A8),"",INDEX(Array_StationaryCharges,MATCH($A8,List_StationaryFuelMeters,0),ROUNDUP((COLUMN()+1)/3-2,0))),"")</f>
        <v/>
      </c>
      <c r="AT8" s="127"/>
      <c r="AU8" s="127"/>
      <c r="AV8" s="58" t="str" cm="1">
        <f>IFERROR(IF(ISBLANK($A8),"",INDEX(Array_StationaryCharges,MATCH($A8,List_StationaryFuelMeters,0),ROUNDUP((COLUMN()+1)/3-2,0))),"")</f>
        <v/>
      </c>
      <c r="AW8" s="127"/>
      <c r="AX8" s="127"/>
    </row>
    <row r="9" spans="1:50" x14ac:dyDescent="0.3">
      <c r="A9" s="126"/>
      <c r="B9" s="133"/>
      <c r="C9" s="127"/>
      <c r="D9" s="138"/>
      <c r="E9" s="138"/>
      <c r="F9" s="58" t="str" cm="1">
        <f>IFERROR(IF(ISBLANK($A9),"",INDEX(Array_StationaryCharges,MATCH($A9,List_StationaryFuelMeters,0),ROUNDUP((COLUMN()+1)/3-2,0))),"")</f>
        <v/>
      </c>
      <c r="G9" s="127"/>
      <c r="H9" s="127"/>
      <c r="I9" s="58" t="str" cm="1">
        <f>IFERROR(IF(ISBLANK($A9),"",INDEX(Array_StationaryCharges,MATCH($A9,List_StationaryFuelMeters,0),ROUNDUP((COLUMN()+1)/3-2,0))),"")</f>
        <v/>
      </c>
      <c r="J9" s="127"/>
      <c r="K9" s="127"/>
      <c r="L9" s="58" t="str" cm="1">
        <f>IFERROR(IF(ISBLANK($A9),"",INDEX(Array_StationaryCharges,MATCH($A9,List_StationaryFuelMeters,0),ROUNDUP((COLUMN()+1)/3-2,0))),"")</f>
        <v/>
      </c>
      <c r="M9" s="127"/>
      <c r="N9" s="127"/>
      <c r="O9" s="58" t="str" cm="1">
        <f>IFERROR(IF(ISBLANK($A9),"",INDEX(Array_StationaryCharges,MATCH($A9,List_StationaryFuelMeters,0),ROUNDUP((COLUMN()+1)/3-2,0))),"")</f>
        <v/>
      </c>
      <c r="P9" s="127"/>
      <c r="Q9" s="127"/>
      <c r="R9" s="58" t="str" cm="1">
        <f>IFERROR(IF(ISBLANK($A9),"",INDEX(Array_StationaryCharges,MATCH($A9,List_StationaryFuelMeters,0),ROUNDUP((COLUMN()+1)/3-2,0))),"")</f>
        <v/>
      </c>
      <c r="S9" s="127"/>
      <c r="T9" s="127"/>
      <c r="U9" s="58" t="str" cm="1">
        <f>IFERROR(IF(ISBLANK($A9),"",INDEX(Array_StationaryCharges,MATCH($A9,List_StationaryFuelMeters,0),ROUNDUP((COLUMN()+1)/3-2,0))),"")</f>
        <v/>
      </c>
      <c r="V9" s="127"/>
      <c r="W9" s="127"/>
      <c r="X9" s="58" t="str" cm="1">
        <f>IFERROR(IF(ISBLANK($A9),"",INDEX(Array_StationaryCharges,MATCH($A9,List_StationaryFuelMeters,0),ROUNDUP((COLUMN()+1)/3-2,0))),"")</f>
        <v/>
      </c>
      <c r="Y9" s="127"/>
      <c r="Z9" s="127"/>
      <c r="AA9" s="58" t="str" cm="1">
        <f>IFERROR(IF(ISBLANK($A9),"",INDEX(Array_StationaryCharges,MATCH($A9,List_StationaryFuelMeters,0),ROUNDUP((COLUMN()+1)/3-2,0))),"")</f>
        <v/>
      </c>
      <c r="AB9" s="127"/>
      <c r="AC9" s="127"/>
      <c r="AD9" s="58" t="str" cm="1">
        <f>IFERROR(IF(ISBLANK($A9),"",INDEX(Array_StationaryCharges,MATCH($A9,List_StationaryFuelMeters,0),ROUNDUP((COLUMN()+1)/3-2,0))),"")</f>
        <v/>
      </c>
      <c r="AE9" s="127"/>
      <c r="AF9" s="127"/>
      <c r="AG9" s="58" t="str" cm="1">
        <f>IFERROR(IF(ISBLANK($A9),"",INDEX(Array_StationaryCharges,MATCH($A9,List_StationaryFuelMeters,0),ROUNDUP((COLUMN()+1)/3-2,0))),"")</f>
        <v/>
      </c>
      <c r="AH9" s="127"/>
      <c r="AI9" s="127"/>
      <c r="AJ9" s="58" t="str" cm="1">
        <f>IFERROR(IF(ISBLANK($A9),"",INDEX(Array_StationaryCharges,MATCH($A9,List_StationaryFuelMeters,0),ROUNDUP((COLUMN()+1)/3-2,0))),"")</f>
        <v/>
      </c>
      <c r="AK9" s="127"/>
      <c r="AL9" s="127"/>
      <c r="AM9" s="58" t="str" cm="1">
        <f>IFERROR(IF(ISBLANK($A9),"",INDEX(Array_StationaryCharges,MATCH($A9,List_StationaryFuelMeters,0),ROUNDUP((COLUMN()+1)/3-2,0))),"")</f>
        <v/>
      </c>
      <c r="AN9" s="127"/>
      <c r="AO9" s="127"/>
      <c r="AP9" s="58" t="str" cm="1">
        <f>IFERROR(IF(ISBLANK($A9),"",INDEX(Array_StationaryCharges,MATCH($A9,List_StationaryFuelMeters,0),ROUNDUP((COLUMN()+1)/3-2,0))),"")</f>
        <v/>
      </c>
      <c r="AQ9" s="127"/>
      <c r="AR9" s="127"/>
      <c r="AS9" s="58" t="str" cm="1">
        <f>IFERROR(IF(ISBLANK($A9),"",INDEX(Array_StationaryCharges,MATCH($A9,List_StationaryFuelMeters,0),ROUNDUP((COLUMN()+1)/3-2,0))),"")</f>
        <v/>
      </c>
      <c r="AT9" s="127"/>
      <c r="AU9" s="127"/>
      <c r="AV9" s="58" t="str" cm="1">
        <f>IFERROR(IF(ISBLANK($A9),"",INDEX(Array_StationaryCharges,MATCH($A9,List_StationaryFuelMeters,0),ROUNDUP((COLUMN()+1)/3-2,0))),"")</f>
        <v/>
      </c>
      <c r="AW9" s="127"/>
      <c r="AX9" s="127"/>
    </row>
    <row r="10" spans="1:50" x14ac:dyDescent="0.3">
      <c r="A10" s="126"/>
      <c r="B10" s="133"/>
      <c r="C10" s="127"/>
      <c r="D10" s="138"/>
      <c r="E10" s="138"/>
      <c r="F10" s="58" t="str" cm="1">
        <f>IFERROR(IF(ISBLANK($A10),"",INDEX(Array_StationaryCharges,MATCH($A10,List_StationaryFuelMeters,0),ROUNDUP((COLUMN()+1)/3-2,0))),"")</f>
        <v/>
      </c>
      <c r="G10" s="127"/>
      <c r="H10" s="127"/>
      <c r="I10" s="58" t="str" cm="1">
        <f>IFERROR(IF(ISBLANK($A10),"",INDEX(Array_StationaryCharges,MATCH($A10,List_StationaryFuelMeters,0),ROUNDUP((COLUMN()+1)/3-2,0))),"")</f>
        <v/>
      </c>
      <c r="J10" s="127"/>
      <c r="K10" s="127"/>
      <c r="L10" s="58" t="str" cm="1">
        <f>IFERROR(IF(ISBLANK($A10),"",INDEX(Array_StationaryCharges,MATCH($A10,List_StationaryFuelMeters,0),ROUNDUP((COLUMN()+1)/3-2,0))),"")</f>
        <v/>
      </c>
      <c r="M10" s="127"/>
      <c r="N10" s="127"/>
      <c r="O10" s="58" t="str" cm="1">
        <f>IFERROR(IF(ISBLANK($A10),"",INDEX(Array_StationaryCharges,MATCH($A10,List_StationaryFuelMeters,0),ROUNDUP((COLUMN()+1)/3-2,0))),"")</f>
        <v/>
      </c>
      <c r="P10" s="127"/>
      <c r="Q10" s="127"/>
      <c r="R10" s="58" t="str" cm="1">
        <f>IFERROR(IF(ISBLANK($A10),"",INDEX(Array_StationaryCharges,MATCH($A10,List_StationaryFuelMeters,0),ROUNDUP((COLUMN()+1)/3-2,0))),"")</f>
        <v/>
      </c>
      <c r="S10" s="127"/>
      <c r="T10" s="127"/>
      <c r="U10" s="58" t="str" cm="1">
        <f>IFERROR(IF(ISBLANK($A10),"",INDEX(Array_StationaryCharges,MATCH($A10,List_StationaryFuelMeters,0),ROUNDUP((COLUMN()+1)/3-2,0))),"")</f>
        <v/>
      </c>
      <c r="V10" s="127"/>
      <c r="W10" s="127"/>
      <c r="X10" s="58" t="str" cm="1">
        <f>IFERROR(IF(ISBLANK($A10),"",INDEX(Array_StationaryCharges,MATCH($A10,List_StationaryFuelMeters,0),ROUNDUP((COLUMN()+1)/3-2,0))),"")</f>
        <v/>
      </c>
      <c r="Y10" s="127"/>
      <c r="Z10" s="127"/>
      <c r="AA10" s="58" t="str" cm="1">
        <f>IFERROR(IF(ISBLANK($A10),"",INDEX(Array_StationaryCharges,MATCH($A10,List_StationaryFuelMeters,0),ROUNDUP((COLUMN()+1)/3-2,0))),"")</f>
        <v/>
      </c>
      <c r="AB10" s="127"/>
      <c r="AC10" s="127"/>
      <c r="AD10" s="58" t="str" cm="1">
        <f>IFERROR(IF(ISBLANK($A10),"",INDEX(Array_StationaryCharges,MATCH($A10,List_StationaryFuelMeters,0),ROUNDUP((COLUMN()+1)/3-2,0))),"")</f>
        <v/>
      </c>
      <c r="AE10" s="127"/>
      <c r="AF10" s="127"/>
      <c r="AG10" s="58" t="str" cm="1">
        <f>IFERROR(IF(ISBLANK($A10),"",INDEX(Array_StationaryCharges,MATCH($A10,List_StationaryFuelMeters,0),ROUNDUP((COLUMN()+1)/3-2,0))),"")</f>
        <v/>
      </c>
      <c r="AH10" s="127"/>
      <c r="AI10" s="127"/>
      <c r="AJ10" s="58" t="str" cm="1">
        <f>IFERROR(IF(ISBLANK($A10),"",INDEX(Array_StationaryCharges,MATCH($A10,List_StationaryFuelMeters,0),ROUNDUP((COLUMN()+1)/3-2,0))),"")</f>
        <v/>
      </c>
      <c r="AK10" s="127"/>
      <c r="AL10" s="127"/>
      <c r="AM10" s="58" t="str" cm="1">
        <f>IFERROR(IF(ISBLANK($A10),"",INDEX(Array_StationaryCharges,MATCH($A10,List_StationaryFuelMeters,0),ROUNDUP((COLUMN()+1)/3-2,0))),"")</f>
        <v/>
      </c>
      <c r="AN10" s="127"/>
      <c r="AO10" s="127"/>
      <c r="AP10" s="58" t="str" cm="1">
        <f>IFERROR(IF(ISBLANK($A10),"",INDEX(Array_StationaryCharges,MATCH($A10,List_StationaryFuelMeters,0),ROUNDUP((COLUMN()+1)/3-2,0))),"")</f>
        <v/>
      </c>
      <c r="AQ10" s="127"/>
      <c r="AR10" s="127"/>
      <c r="AS10" s="58" t="str" cm="1">
        <f>IFERROR(IF(ISBLANK($A10),"",INDEX(Array_StationaryCharges,MATCH($A10,List_StationaryFuelMeters,0),ROUNDUP((COLUMN()+1)/3-2,0))),"")</f>
        <v/>
      </c>
      <c r="AT10" s="127"/>
      <c r="AU10" s="127"/>
      <c r="AV10" s="58" t="str" cm="1">
        <f>IFERROR(IF(ISBLANK($A10),"",INDEX(Array_StationaryCharges,MATCH($A10,List_StationaryFuelMeters,0),ROUNDUP((COLUMN()+1)/3-2,0))),"")</f>
        <v/>
      </c>
      <c r="AW10" s="127"/>
      <c r="AX10" s="127"/>
    </row>
    <row r="11" spans="1:50" x14ac:dyDescent="0.3">
      <c r="A11" s="126"/>
      <c r="B11" s="133"/>
      <c r="C11" s="127"/>
      <c r="D11" s="138"/>
      <c r="E11" s="138"/>
      <c r="F11" s="58" t="str" cm="1">
        <f>IFERROR(IF(ISBLANK($A11),"",INDEX(Array_StationaryCharges,MATCH($A11,List_StationaryFuelMeters,0),ROUNDUP((COLUMN()+1)/3-2,0))),"")</f>
        <v/>
      </c>
      <c r="G11" s="127"/>
      <c r="H11" s="127"/>
      <c r="I11" s="58" t="str" cm="1">
        <f>IFERROR(IF(ISBLANK($A11),"",INDEX(Array_StationaryCharges,MATCH($A11,List_StationaryFuelMeters,0),ROUNDUP((COLUMN()+1)/3-2,0))),"")</f>
        <v/>
      </c>
      <c r="J11" s="127"/>
      <c r="K11" s="127"/>
      <c r="L11" s="58" t="str" cm="1">
        <f>IFERROR(IF(ISBLANK($A11),"",INDEX(Array_StationaryCharges,MATCH($A11,List_StationaryFuelMeters,0),ROUNDUP((COLUMN()+1)/3-2,0))),"")</f>
        <v/>
      </c>
      <c r="M11" s="127"/>
      <c r="N11" s="127"/>
      <c r="O11" s="58" t="str" cm="1">
        <f>IFERROR(IF(ISBLANK($A11),"",INDEX(Array_StationaryCharges,MATCH($A11,List_StationaryFuelMeters,0),ROUNDUP((COLUMN()+1)/3-2,0))),"")</f>
        <v/>
      </c>
      <c r="P11" s="127"/>
      <c r="Q11" s="127"/>
      <c r="R11" s="58" t="str" cm="1">
        <f>IFERROR(IF(ISBLANK($A11),"",INDEX(Array_StationaryCharges,MATCH($A11,List_StationaryFuelMeters,0),ROUNDUP((COLUMN()+1)/3-2,0))),"")</f>
        <v/>
      </c>
      <c r="S11" s="127"/>
      <c r="T11" s="127"/>
      <c r="U11" s="58" t="str" cm="1">
        <f>IFERROR(IF(ISBLANK($A11),"",INDEX(Array_StationaryCharges,MATCH($A11,List_StationaryFuelMeters,0),ROUNDUP((COLUMN()+1)/3-2,0))),"")</f>
        <v/>
      </c>
      <c r="V11" s="127"/>
      <c r="W11" s="127"/>
      <c r="X11" s="58" t="str" cm="1">
        <f>IFERROR(IF(ISBLANK($A11),"",INDEX(Array_StationaryCharges,MATCH($A11,List_StationaryFuelMeters,0),ROUNDUP((COLUMN()+1)/3-2,0))),"")</f>
        <v/>
      </c>
      <c r="Y11" s="127"/>
      <c r="Z11" s="127"/>
      <c r="AA11" s="58" t="str" cm="1">
        <f>IFERROR(IF(ISBLANK($A11),"",INDEX(Array_StationaryCharges,MATCH($A11,List_StationaryFuelMeters,0),ROUNDUP((COLUMN()+1)/3-2,0))),"")</f>
        <v/>
      </c>
      <c r="AB11" s="127"/>
      <c r="AC11" s="127"/>
      <c r="AD11" s="58" t="str" cm="1">
        <f>IFERROR(IF(ISBLANK($A11),"",INDEX(Array_StationaryCharges,MATCH($A11,List_StationaryFuelMeters,0),ROUNDUP((COLUMN()+1)/3-2,0))),"")</f>
        <v/>
      </c>
      <c r="AE11" s="127"/>
      <c r="AF11" s="127"/>
      <c r="AG11" s="58" t="str" cm="1">
        <f>IFERROR(IF(ISBLANK($A11),"",INDEX(Array_StationaryCharges,MATCH($A11,List_StationaryFuelMeters,0),ROUNDUP((COLUMN()+1)/3-2,0))),"")</f>
        <v/>
      </c>
      <c r="AH11" s="127"/>
      <c r="AI11" s="127"/>
      <c r="AJ11" s="58" t="str" cm="1">
        <f>IFERROR(IF(ISBLANK($A11),"",INDEX(Array_StationaryCharges,MATCH($A11,List_StationaryFuelMeters,0),ROUNDUP((COLUMN()+1)/3-2,0))),"")</f>
        <v/>
      </c>
      <c r="AK11" s="127"/>
      <c r="AL11" s="127"/>
      <c r="AM11" s="58" t="str" cm="1">
        <f>IFERROR(IF(ISBLANK($A11),"",INDEX(Array_StationaryCharges,MATCH($A11,List_StationaryFuelMeters,0),ROUNDUP((COLUMN()+1)/3-2,0))),"")</f>
        <v/>
      </c>
      <c r="AN11" s="127"/>
      <c r="AO11" s="127"/>
      <c r="AP11" s="58" t="str" cm="1">
        <f>IFERROR(IF(ISBLANK($A11),"",INDEX(Array_StationaryCharges,MATCH($A11,List_StationaryFuelMeters,0),ROUNDUP((COLUMN()+1)/3-2,0))),"")</f>
        <v/>
      </c>
      <c r="AQ11" s="127"/>
      <c r="AR11" s="127"/>
      <c r="AS11" s="58" t="str" cm="1">
        <f>IFERROR(IF(ISBLANK($A11),"",INDEX(Array_StationaryCharges,MATCH($A11,List_StationaryFuelMeters,0),ROUNDUP((COLUMN()+1)/3-2,0))),"")</f>
        <v/>
      </c>
      <c r="AT11" s="127"/>
      <c r="AU11" s="127"/>
      <c r="AV11" s="58" t="str" cm="1">
        <f>IFERROR(IF(ISBLANK($A11),"",INDEX(Array_StationaryCharges,MATCH($A11,List_StationaryFuelMeters,0),ROUNDUP((COLUMN()+1)/3-2,0))),"")</f>
        <v/>
      </c>
      <c r="AW11" s="127"/>
      <c r="AX11" s="127"/>
    </row>
    <row r="12" spans="1:50" x14ac:dyDescent="0.3">
      <c r="A12" s="126"/>
      <c r="B12" s="133"/>
      <c r="C12" s="127"/>
      <c r="D12" s="138"/>
      <c r="E12" s="138"/>
      <c r="F12" s="58" t="str" cm="1">
        <f>IFERROR(IF(ISBLANK($A12),"",INDEX(Array_StationaryCharges,MATCH($A12,List_StationaryFuelMeters,0),ROUNDUP((COLUMN()+1)/3-2,0))),"")</f>
        <v/>
      </c>
      <c r="G12" s="127"/>
      <c r="H12" s="127"/>
      <c r="I12" s="58" t="str" cm="1">
        <f>IFERROR(IF(ISBLANK($A12),"",INDEX(Array_StationaryCharges,MATCH($A12,List_StationaryFuelMeters,0),ROUNDUP((COLUMN()+1)/3-2,0))),"")</f>
        <v/>
      </c>
      <c r="J12" s="127"/>
      <c r="K12" s="127"/>
      <c r="L12" s="58" t="str" cm="1">
        <f>IFERROR(IF(ISBLANK($A12),"",INDEX(Array_StationaryCharges,MATCH($A12,List_StationaryFuelMeters,0),ROUNDUP((COLUMN()+1)/3-2,0))),"")</f>
        <v/>
      </c>
      <c r="M12" s="127"/>
      <c r="N12" s="127"/>
      <c r="O12" s="58" t="str" cm="1">
        <f>IFERROR(IF(ISBLANK($A12),"",INDEX(Array_StationaryCharges,MATCH($A12,List_StationaryFuelMeters,0),ROUNDUP((COLUMN()+1)/3-2,0))),"")</f>
        <v/>
      </c>
      <c r="P12" s="127"/>
      <c r="Q12" s="127"/>
      <c r="R12" s="58" t="str" cm="1">
        <f>IFERROR(IF(ISBLANK($A12),"",INDEX(Array_StationaryCharges,MATCH($A12,List_StationaryFuelMeters,0),ROUNDUP((COLUMN()+1)/3-2,0))),"")</f>
        <v/>
      </c>
      <c r="S12" s="127"/>
      <c r="T12" s="127"/>
      <c r="U12" s="58" t="str" cm="1">
        <f>IFERROR(IF(ISBLANK($A12),"",INDEX(Array_StationaryCharges,MATCH($A12,List_StationaryFuelMeters,0),ROUNDUP((COLUMN()+1)/3-2,0))),"")</f>
        <v/>
      </c>
      <c r="V12" s="127"/>
      <c r="W12" s="127"/>
      <c r="X12" s="58" t="str" cm="1">
        <f>IFERROR(IF(ISBLANK($A12),"",INDEX(Array_StationaryCharges,MATCH($A12,List_StationaryFuelMeters,0),ROUNDUP((COLUMN()+1)/3-2,0))),"")</f>
        <v/>
      </c>
      <c r="Y12" s="127"/>
      <c r="Z12" s="127"/>
      <c r="AA12" s="58" t="str" cm="1">
        <f>IFERROR(IF(ISBLANK($A12),"",INDEX(Array_StationaryCharges,MATCH($A12,List_StationaryFuelMeters,0),ROUNDUP((COLUMN()+1)/3-2,0))),"")</f>
        <v/>
      </c>
      <c r="AB12" s="127"/>
      <c r="AC12" s="127"/>
      <c r="AD12" s="58" t="str" cm="1">
        <f>IFERROR(IF(ISBLANK($A12),"",INDEX(Array_StationaryCharges,MATCH($A12,List_StationaryFuelMeters,0),ROUNDUP((COLUMN()+1)/3-2,0))),"")</f>
        <v/>
      </c>
      <c r="AE12" s="127"/>
      <c r="AF12" s="127"/>
      <c r="AG12" s="58" t="str" cm="1">
        <f>IFERROR(IF(ISBLANK($A12),"",INDEX(Array_StationaryCharges,MATCH($A12,List_StationaryFuelMeters,0),ROUNDUP((COLUMN()+1)/3-2,0))),"")</f>
        <v/>
      </c>
      <c r="AH12" s="127"/>
      <c r="AI12" s="127"/>
      <c r="AJ12" s="58" t="str" cm="1">
        <f>IFERROR(IF(ISBLANK($A12),"",INDEX(Array_StationaryCharges,MATCH($A12,List_StationaryFuelMeters,0),ROUNDUP((COLUMN()+1)/3-2,0))),"")</f>
        <v/>
      </c>
      <c r="AK12" s="127"/>
      <c r="AL12" s="127"/>
      <c r="AM12" s="58" t="str" cm="1">
        <f>IFERROR(IF(ISBLANK($A12),"",INDEX(Array_StationaryCharges,MATCH($A12,List_StationaryFuelMeters,0),ROUNDUP((COLUMN()+1)/3-2,0))),"")</f>
        <v/>
      </c>
      <c r="AN12" s="127"/>
      <c r="AO12" s="127"/>
      <c r="AP12" s="58" t="str" cm="1">
        <f>IFERROR(IF(ISBLANK($A12),"",INDEX(Array_StationaryCharges,MATCH($A12,List_StationaryFuelMeters,0),ROUNDUP((COLUMN()+1)/3-2,0))),"")</f>
        <v/>
      </c>
      <c r="AQ12" s="127"/>
      <c r="AR12" s="127"/>
      <c r="AS12" s="58" t="str" cm="1">
        <f>IFERROR(IF(ISBLANK($A12),"",INDEX(Array_StationaryCharges,MATCH($A12,List_StationaryFuelMeters,0),ROUNDUP((COLUMN()+1)/3-2,0))),"")</f>
        <v/>
      </c>
      <c r="AT12" s="127"/>
      <c r="AU12" s="127"/>
      <c r="AV12" s="58" t="str" cm="1">
        <f>IFERROR(IF(ISBLANK($A12),"",INDEX(Array_StationaryCharges,MATCH($A12,List_StationaryFuelMeters,0),ROUNDUP((COLUMN()+1)/3-2,0))),"")</f>
        <v/>
      </c>
      <c r="AW12" s="127"/>
      <c r="AX12" s="127"/>
    </row>
    <row r="13" spans="1:50" x14ac:dyDescent="0.3">
      <c r="A13" s="126"/>
      <c r="B13" s="133"/>
      <c r="C13" s="127"/>
      <c r="D13" s="138"/>
      <c r="E13" s="138"/>
      <c r="F13" s="58" t="str" cm="1">
        <f>IFERROR(IF(ISBLANK($A13),"",INDEX(Array_StationaryCharges,MATCH($A13,List_StationaryFuelMeters,0),ROUNDUP((COLUMN()+1)/3-2,0))),"")</f>
        <v/>
      </c>
      <c r="G13" s="127"/>
      <c r="H13" s="127"/>
      <c r="I13" s="58" t="str" cm="1">
        <f>IFERROR(IF(ISBLANK($A13),"",INDEX(Array_StationaryCharges,MATCH($A13,List_StationaryFuelMeters,0),ROUNDUP((COLUMN()+1)/3-2,0))),"")</f>
        <v/>
      </c>
      <c r="J13" s="127"/>
      <c r="K13" s="127"/>
      <c r="L13" s="58" t="str" cm="1">
        <f>IFERROR(IF(ISBLANK($A13),"",INDEX(Array_StationaryCharges,MATCH($A13,List_StationaryFuelMeters,0),ROUNDUP((COLUMN()+1)/3-2,0))),"")</f>
        <v/>
      </c>
      <c r="M13" s="127"/>
      <c r="N13" s="127"/>
      <c r="O13" s="58" t="str" cm="1">
        <f>IFERROR(IF(ISBLANK($A13),"",INDEX(Array_StationaryCharges,MATCH($A13,List_StationaryFuelMeters,0),ROUNDUP((COLUMN()+1)/3-2,0))),"")</f>
        <v/>
      </c>
      <c r="P13" s="127"/>
      <c r="Q13" s="127"/>
      <c r="R13" s="58" t="str" cm="1">
        <f>IFERROR(IF(ISBLANK($A13),"",INDEX(Array_StationaryCharges,MATCH($A13,List_StationaryFuelMeters,0),ROUNDUP((COLUMN()+1)/3-2,0))),"")</f>
        <v/>
      </c>
      <c r="S13" s="127"/>
      <c r="T13" s="127"/>
      <c r="U13" s="58" t="str" cm="1">
        <f>IFERROR(IF(ISBLANK($A13),"",INDEX(Array_StationaryCharges,MATCH($A13,List_StationaryFuelMeters,0),ROUNDUP((COLUMN()+1)/3-2,0))),"")</f>
        <v/>
      </c>
      <c r="V13" s="127"/>
      <c r="W13" s="127"/>
      <c r="X13" s="58" t="str" cm="1">
        <f>IFERROR(IF(ISBLANK($A13),"",INDEX(Array_StationaryCharges,MATCH($A13,List_StationaryFuelMeters,0),ROUNDUP((COLUMN()+1)/3-2,0))),"")</f>
        <v/>
      </c>
      <c r="Y13" s="127"/>
      <c r="Z13" s="127"/>
      <c r="AA13" s="58" t="str" cm="1">
        <f>IFERROR(IF(ISBLANK($A13),"",INDEX(Array_StationaryCharges,MATCH($A13,List_StationaryFuelMeters,0),ROUNDUP((COLUMN()+1)/3-2,0))),"")</f>
        <v/>
      </c>
      <c r="AB13" s="127"/>
      <c r="AC13" s="127"/>
      <c r="AD13" s="58" t="str" cm="1">
        <f>IFERROR(IF(ISBLANK($A13),"",INDEX(Array_StationaryCharges,MATCH($A13,List_StationaryFuelMeters,0),ROUNDUP((COLUMN()+1)/3-2,0))),"")</f>
        <v/>
      </c>
      <c r="AE13" s="127"/>
      <c r="AF13" s="127"/>
      <c r="AG13" s="58" t="str" cm="1">
        <f>IFERROR(IF(ISBLANK($A13),"",INDEX(Array_StationaryCharges,MATCH($A13,List_StationaryFuelMeters,0),ROUNDUP((COLUMN()+1)/3-2,0))),"")</f>
        <v/>
      </c>
      <c r="AH13" s="127"/>
      <c r="AI13" s="127"/>
      <c r="AJ13" s="58" t="str" cm="1">
        <f>IFERROR(IF(ISBLANK($A13),"",INDEX(Array_StationaryCharges,MATCH($A13,List_StationaryFuelMeters,0),ROUNDUP((COLUMN()+1)/3-2,0))),"")</f>
        <v/>
      </c>
      <c r="AK13" s="127"/>
      <c r="AL13" s="127"/>
      <c r="AM13" s="58" t="str" cm="1">
        <f>IFERROR(IF(ISBLANK($A13),"",INDEX(Array_StationaryCharges,MATCH($A13,List_StationaryFuelMeters,0),ROUNDUP((COLUMN()+1)/3-2,0))),"")</f>
        <v/>
      </c>
      <c r="AN13" s="127"/>
      <c r="AO13" s="127"/>
      <c r="AP13" s="58" t="str" cm="1">
        <f>IFERROR(IF(ISBLANK($A13),"",INDEX(Array_StationaryCharges,MATCH($A13,List_StationaryFuelMeters,0),ROUNDUP((COLUMN()+1)/3-2,0))),"")</f>
        <v/>
      </c>
      <c r="AQ13" s="127"/>
      <c r="AR13" s="127"/>
      <c r="AS13" s="58" t="str" cm="1">
        <f>IFERROR(IF(ISBLANK($A13),"",INDEX(Array_StationaryCharges,MATCH($A13,List_StationaryFuelMeters,0),ROUNDUP((COLUMN()+1)/3-2,0))),"")</f>
        <v/>
      </c>
      <c r="AT13" s="127"/>
      <c r="AU13" s="127"/>
      <c r="AV13" s="58" t="str" cm="1">
        <f>IFERROR(IF(ISBLANK($A13),"",INDEX(Array_StationaryCharges,MATCH($A13,List_StationaryFuelMeters,0),ROUNDUP((COLUMN()+1)/3-2,0))),"")</f>
        <v/>
      </c>
      <c r="AW13" s="127"/>
      <c r="AX13" s="127"/>
    </row>
    <row r="14" spans="1:50" x14ac:dyDescent="0.3">
      <c r="A14" s="126"/>
      <c r="B14" s="133"/>
      <c r="C14" s="127"/>
      <c r="D14" s="138"/>
      <c r="E14" s="138"/>
      <c r="F14" s="58" t="str" cm="1">
        <f>IFERROR(IF(ISBLANK($A14),"",INDEX(Array_StationaryCharges,MATCH($A14,List_StationaryFuelMeters,0),ROUNDUP((COLUMN()+1)/3-2,0))),"")</f>
        <v/>
      </c>
      <c r="G14" s="127"/>
      <c r="H14" s="127"/>
      <c r="I14" s="58" t="str" cm="1">
        <f>IFERROR(IF(ISBLANK($A14),"",INDEX(Array_StationaryCharges,MATCH($A14,List_StationaryFuelMeters,0),ROUNDUP((COLUMN()+1)/3-2,0))),"")</f>
        <v/>
      </c>
      <c r="J14" s="127"/>
      <c r="K14" s="127"/>
      <c r="L14" s="58" t="str" cm="1">
        <f>IFERROR(IF(ISBLANK($A14),"",INDEX(Array_StationaryCharges,MATCH($A14,List_StationaryFuelMeters,0),ROUNDUP((COLUMN()+1)/3-2,0))),"")</f>
        <v/>
      </c>
      <c r="M14" s="127"/>
      <c r="N14" s="127"/>
      <c r="O14" s="58" t="str" cm="1">
        <f>IFERROR(IF(ISBLANK($A14),"",INDEX(Array_StationaryCharges,MATCH($A14,List_StationaryFuelMeters,0),ROUNDUP((COLUMN()+1)/3-2,0))),"")</f>
        <v/>
      </c>
      <c r="P14" s="127"/>
      <c r="Q14" s="127"/>
      <c r="R14" s="58" t="str" cm="1">
        <f>IFERROR(IF(ISBLANK($A14),"",INDEX(Array_StationaryCharges,MATCH($A14,List_StationaryFuelMeters,0),ROUNDUP((COLUMN()+1)/3-2,0))),"")</f>
        <v/>
      </c>
      <c r="S14" s="127"/>
      <c r="T14" s="127"/>
      <c r="U14" s="58" t="str" cm="1">
        <f>IFERROR(IF(ISBLANK($A14),"",INDEX(Array_StationaryCharges,MATCH($A14,List_StationaryFuelMeters,0),ROUNDUP((COLUMN()+1)/3-2,0))),"")</f>
        <v/>
      </c>
      <c r="V14" s="127"/>
      <c r="W14" s="127"/>
      <c r="X14" s="58" t="str" cm="1">
        <f>IFERROR(IF(ISBLANK($A14),"",INDEX(Array_StationaryCharges,MATCH($A14,List_StationaryFuelMeters,0),ROUNDUP((COLUMN()+1)/3-2,0))),"")</f>
        <v/>
      </c>
      <c r="Y14" s="127"/>
      <c r="Z14" s="127"/>
      <c r="AA14" s="58" t="str" cm="1">
        <f>IFERROR(IF(ISBLANK($A14),"",INDEX(Array_StationaryCharges,MATCH($A14,List_StationaryFuelMeters,0),ROUNDUP((COLUMN()+1)/3-2,0))),"")</f>
        <v/>
      </c>
      <c r="AB14" s="127"/>
      <c r="AC14" s="127"/>
      <c r="AD14" s="58" t="str" cm="1">
        <f>IFERROR(IF(ISBLANK($A14),"",INDEX(Array_StationaryCharges,MATCH($A14,List_StationaryFuelMeters,0),ROUNDUP((COLUMN()+1)/3-2,0))),"")</f>
        <v/>
      </c>
      <c r="AE14" s="127"/>
      <c r="AF14" s="127"/>
      <c r="AG14" s="58" t="str" cm="1">
        <f>IFERROR(IF(ISBLANK($A14),"",INDEX(Array_StationaryCharges,MATCH($A14,List_StationaryFuelMeters,0),ROUNDUP((COLUMN()+1)/3-2,0))),"")</f>
        <v/>
      </c>
      <c r="AH14" s="127"/>
      <c r="AI14" s="127"/>
      <c r="AJ14" s="58" t="str" cm="1">
        <f>IFERROR(IF(ISBLANK($A14),"",INDEX(Array_StationaryCharges,MATCH($A14,List_StationaryFuelMeters,0),ROUNDUP((COLUMN()+1)/3-2,0))),"")</f>
        <v/>
      </c>
      <c r="AK14" s="127"/>
      <c r="AL14" s="127"/>
      <c r="AM14" s="58" t="str" cm="1">
        <f>IFERROR(IF(ISBLANK($A14),"",INDEX(Array_StationaryCharges,MATCH($A14,List_StationaryFuelMeters,0),ROUNDUP((COLUMN()+1)/3-2,0))),"")</f>
        <v/>
      </c>
      <c r="AN14" s="127"/>
      <c r="AO14" s="127"/>
      <c r="AP14" s="58" t="str" cm="1">
        <f>IFERROR(IF(ISBLANK($A14),"",INDEX(Array_StationaryCharges,MATCH($A14,List_StationaryFuelMeters,0),ROUNDUP((COLUMN()+1)/3-2,0))),"")</f>
        <v/>
      </c>
      <c r="AQ14" s="127"/>
      <c r="AR14" s="127"/>
      <c r="AS14" s="58" t="str" cm="1">
        <f>IFERROR(IF(ISBLANK($A14),"",INDEX(Array_StationaryCharges,MATCH($A14,List_StationaryFuelMeters,0),ROUNDUP((COLUMN()+1)/3-2,0))),"")</f>
        <v/>
      </c>
      <c r="AT14" s="127"/>
      <c r="AU14" s="127"/>
      <c r="AV14" s="58" t="str" cm="1">
        <f>IFERROR(IF(ISBLANK($A14),"",INDEX(Array_StationaryCharges,MATCH($A14,List_StationaryFuelMeters,0),ROUNDUP((COLUMN()+1)/3-2,0))),"")</f>
        <v/>
      </c>
      <c r="AW14" s="127"/>
      <c r="AX14" s="127"/>
    </row>
    <row r="15" spans="1:50" x14ac:dyDescent="0.3">
      <c r="A15" s="126"/>
      <c r="B15" s="133"/>
      <c r="C15" s="127"/>
      <c r="D15" s="138"/>
      <c r="E15" s="138"/>
      <c r="F15" s="58" t="str" cm="1">
        <f>IFERROR(IF(ISBLANK($A15),"",INDEX(Array_StationaryCharges,MATCH($A15,List_StationaryFuelMeters,0),ROUNDUP((COLUMN()+1)/3-2,0))),"")</f>
        <v/>
      </c>
      <c r="G15" s="127"/>
      <c r="H15" s="127"/>
      <c r="I15" s="58" t="str" cm="1">
        <f>IFERROR(IF(ISBLANK($A15),"",INDEX(Array_StationaryCharges,MATCH($A15,List_StationaryFuelMeters,0),ROUNDUP((COLUMN()+1)/3-2,0))),"")</f>
        <v/>
      </c>
      <c r="J15" s="127"/>
      <c r="K15" s="127"/>
      <c r="L15" s="58" t="str" cm="1">
        <f>IFERROR(IF(ISBLANK($A15),"",INDEX(Array_StationaryCharges,MATCH($A15,List_StationaryFuelMeters,0),ROUNDUP((COLUMN()+1)/3-2,0))),"")</f>
        <v/>
      </c>
      <c r="M15" s="127"/>
      <c r="N15" s="127"/>
      <c r="O15" s="58" t="str" cm="1">
        <f>IFERROR(IF(ISBLANK($A15),"",INDEX(Array_StationaryCharges,MATCH($A15,List_StationaryFuelMeters,0),ROUNDUP((COLUMN()+1)/3-2,0))),"")</f>
        <v/>
      </c>
      <c r="P15" s="127"/>
      <c r="Q15" s="127"/>
      <c r="R15" s="58" t="str" cm="1">
        <f>IFERROR(IF(ISBLANK($A15),"",INDEX(Array_StationaryCharges,MATCH($A15,List_StationaryFuelMeters,0),ROUNDUP((COLUMN()+1)/3-2,0))),"")</f>
        <v/>
      </c>
      <c r="S15" s="127"/>
      <c r="T15" s="127"/>
      <c r="U15" s="58" t="str" cm="1">
        <f>IFERROR(IF(ISBLANK($A15),"",INDEX(Array_StationaryCharges,MATCH($A15,List_StationaryFuelMeters,0),ROUNDUP((COLUMN()+1)/3-2,0))),"")</f>
        <v/>
      </c>
      <c r="V15" s="127"/>
      <c r="W15" s="127"/>
      <c r="X15" s="58" t="str" cm="1">
        <f>IFERROR(IF(ISBLANK($A15),"",INDEX(Array_StationaryCharges,MATCH($A15,List_StationaryFuelMeters,0),ROUNDUP((COLUMN()+1)/3-2,0))),"")</f>
        <v/>
      </c>
      <c r="Y15" s="127"/>
      <c r="Z15" s="127"/>
      <c r="AA15" s="58" t="str" cm="1">
        <f>IFERROR(IF(ISBLANK($A15),"",INDEX(Array_StationaryCharges,MATCH($A15,List_StationaryFuelMeters,0),ROUNDUP((COLUMN()+1)/3-2,0))),"")</f>
        <v/>
      </c>
      <c r="AB15" s="127"/>
      <c r="AC15" s="127"/>
      <c r="AD15" s="58" t="str" cm="1">
        <f>IFERROR(IF(ISBLANK($A15),"",INDEX(Array_StationaryCharges,MATCH($A15,List_StationaryFuelMeters,0),ROUNDUP((COLUMN()+1)/3-2,0))),"")</f>
        <v/>
      </c>
      <c r="AE15" s="127"/>
      <c r="AF15" s="127"/>
      <c r="AG15" s="58" t="str" cm="1">
        <f>IFERROR(IF(ISBLANK($A15),"",INDEX(Array_StationaryCharges,MATCH($A15,List_StationaryFuelMeters,0),ROUNDUP((COLUMN()+1)/3-2,0))),"")</f>
        <v/>
      </c>
      <c r="AH15" s="127"/>
      <c r="AI15" s="127"/>
      <c r="AJ15" s="58" t="str" cm="1">
        <f>IFERROR(IF(ISBLANK($A15),"",INDEX(Array_StationaryCharges,MATCH($A15,List_StationaryFuelMeters,0),ROUNDUP((COLUMN()+1)/3-2,0))),"")</f>
        <v/>
      </c>
      <c r="AK15" s="127"/>
      <c r="AL15" s="127"/>
      <c r="AM15" s="58" t="str" cm="1">
        <f>IFERROR(IF(ISBLANK($A15),"",INDEX(Array_StationaryCharges,MATCH($A15,List_StationaryFuelMeters,0),ROUNDUP((COLUMN()+1)/3-2,0))),"")</f>
        <v/>
      </c>
      <c r="AN15" s="127"/>
      <c r="AO15" s="127"/>
      <c r="AP15" s="58" t="str" cm="1">
        <f>IFERROR(IF(ISBLANK($A15),"",INDEX(Array_StationaryCharges,MATCH($A15,List_StationaryFuelMeters,0),ROUNDUP((COLUMN()+1)/3-2,0))),"")</f>
        <v/>
      </c>
      <c r="AQ15" s="127"/>
      <c r="AR15" s="127"/>
      <c r="AS15" s="58" t="str" cm="1">
        <f>IFERROR(IF(ISBLANK($A15),"",INDEX(Array_StationaryCharges,MATCH($A15,List_StationaryFuelMeters,0),ROUNDUP((COLUMN()+1)/3-2,0))),"")</f>
        <v/>
      </c>
      <c r="AT15" s="127"/>
      <c r="AU15" s="127"/>
      <c r="AV15" s="58" t="str" cm="1">
        <f>IFERROR(IF(ISBLANK($A15),"",INDEX(Array_StationaryCharges,MATCH($A15,List_StationaryFuelMeters,0),ROUNDUP((COLUMN()+1)/3-2,0))),"")</f>
        <v/>
      </c>
      <c r="AW15" s="127"/>
      <c r="AX15" s="127"/>
    </row>
    <row r="16" spans="1:50" x14ac:dyDescent="0.3">
      <c r="A16" s="126"/>
      <c r="B16" s="133"/>
      <c r="C16" s="127"/>
      <c r="D16" s="138"/>
      <c r="E16" s="138"/>
      <c r="F16" s="58" t="str" cm="1">
        <f>IFERROR(IF(ISBLANK($A16),"",INDEX(Array_StationaryCharges,MATCH($A16,List_StationaryFuelMeters,0),ROUNDUP((COLUMN()+1)/3-2,0))),"")</f>
        <v/>
      </c>
      <c r="G16" s="127"/>
      <c r="H16" s="127"/>
      <c r="I16" s="58" t="str" cm="1">
        <f>IFERROR(IF(ISBLANK($A16),"",INDEX(Array_StationaryCharges,MATCH($A16,List_StationaryFuelMeters,0),ROUNDUP((COLUMN()+1)/3-2,0))),"")</f>
        <v/>
      </c>
      <c r="J16" s="127"/>
      <c r="K16" s="127"/>
      <c r="L16" s="58" t="str" cm="1">
        <f>IFERROR(IF(ISBLANK($A16),"",INDEX(Array_StationaryCharges,MATCH($A16,List_StationaryFuelMeters,0),ROUNDUP((COLUMN()+1)/3-2,0))),"")</f>
        <v/>
      </c>
      <c r="M16" s="127"/>
      <c r="N16" s="127"/>
      <c r="O16" s="58" t="str" cm="1">
        <f>IFERROR(IF(ISBLANK($A16),"",INDEX(Array_StationaryCharges,MATCH($A16,List_StationaryFuelMeters,0),ROUNDUP((COLUMN()+1)/3-2,0))),"")</f>
        <v/>
      </c>
      <c r="P16" s="127"/>
      <c r="Q16" s="127"/>
      <c r="R16" s="58" t="str" cm="1">
        <f>IFERROR(IF(ISBLANK($A16),"",INDEX(Array_StationaryCharges,MATCH($A16,List_StationaryFuelMeters,0),ROUNDUP((COLUMN()+1)/3-2,0))),"")</f>
        <v/>
      </c>
      <c r="S16" s="127"/>
      <c r="T16" s="127"/>
      <c r="U16" s="58" t="str" cm="1">
        <f>IFERROR(IF(ISBLANK($A16),"",INDEX(Array_StationaryCharges,MATCH($A16,List_StationaryFuelMeters,0),ROUNDUP((COLUMN()+1)/3-2,0))),"")</f>
        <v/>
      </c>
      <c r="V16" s="127"/>
      <c r="W16" s="127"/>
      <c r="X16" s="58" t="str" cm="1">
        <f>IFERROR(IF(ISBLANK($A16),"",INDEX(Array_StationaryCharges,MATCH($A16,List_StationaryFuelMeters,0),ROUNDUP((COLUMN()+1)/3-2,0))),"")</f>
        <v/>
      </c>
      <c r="Y16" s="127"/>
      <c r="Z16" s="127"/>
      <c r="AA16" s="58" t="str" cm="1">
        <f>IFERROR(IF(ISBLANK($A16),"",INDEX(Array_StationaryCharges,MATCH($A16,List_StationaryFuelMeters,0),ROUNDUP((COLUMN()+1)/3-2,0))),"")</f>
        <v/>
      </c>
      <c r="AB16" s="127"/>
      <c r="AC16" s="127"/>
      <c r="AD16" s="58" t="str" cm="1">
        <f>IFERROR(IF(ISBLANK($A16),"",INDEX(Array_StationaryCharges,MATCH($A16,List_StationaryFuelMeters,0),ROUNDUP((COLUMN()+1)/3-2,0))),"")</f>
        <v/>
      </c>
      <c r="AE16" s="127"/>
      <c r="AF16" s="127"/>
      <c r="AG16" s="58" t="str" cm="1">
        <f>IFERROR(IF(ISBLANK($A16),"",INDEX(Array_StationaryCharges,MATCH($A16,List_StationaryFuelMeters,0),ROUNDUP((COLUMN()+1)/3-2,0))),"")</f>
        <v/>
      </c>
      <c r="AH16" s="127"/>
      <c r="AI16" s="127"/>
      <c r="AJ16" s="58" t="str" cm="1">
        <f>IFERROR(IF(ISBLANK($A16),"",INDEX(Array_StationaryCharges,MATCH($A16,List_StationaryFuelMeters,0),ROUNDUP((COLUMN()+1)/3-2,0))),"")</f>
        <v/>
      </c>
      <c r="AK16" s="127"/>
      <c r="AL16" s="127"/>
      <c r="AM16" s="58" t="str" cm="1">
        <f>IFERROR(IF(ISBLANK($A16),"",INDEX(Array_StationaryCharges,MATCH($A16,List_StationaryFuelMeters,0),ROUNDUP((COLUMN()+1)/3-2,0))),"")</f>
        <v/>
      </c>
      <c r="AN16" s="127"/>
      <c r="AO16" s="127"/>
      <c r="AP16" s="58" t="str" cm="1">
        <f>IFERROR(IF(ISBLANK($A16),"",INDEX(Array_StationaryCharges,MATCH($A16,List_StationaryFuelMeters,0),ROUNDUP((COLUMN()+1)/3-2,0))),"")</f>
        <v/>
      </c>
      <c r="AQ16" s="127"/>
      <c r="AR16" s="127"/>
      <c r="AS16" s="58" t="str" cm="1">
        <f>IFERROR(IF(ISBLANK($A16),"",INDEX(Array_StationaryCharges,MATCH($A16,List_StationaryFuelMeters,0),ROUNDUP((COLUMN()+1)/3-2,0))),"")</f>
        <v/>
      </c>
      <c r="AT16" s="127"/>
      <c r="AU16" s="127"/>
      <c r="AV16" s="58" t="str" cm="1">
        <f>IFERROR(IF(ISBLANK($A16),"",INDEX(Array_StationaryCharges,MATCH($A16,List_StationaryFuelMeters,0),ROUNDUP((COLUMN()+1)/3-2,0))),"")</f>
        <v/>
      </c>
      <c r="AW16" s="127"/>
      <c r="AX16" s="127"/>
    </row>
    <row r="17" spans="1:50" x14ac:dyDescent="0.3">
      <c r="A17" s="126"/>
      <c r="B17" s="133"/>
      <c r="C17" s="127"/>
      <c r="D17" s="138"/>
      <c r="E17" s="138"/>
      <c r="F17" s="58" t="str" cm="1">
        <f>IFERROR(IF(ISBLANK($A17),"",INDEX(Array_StationaryCharges,MATCH($A17,List_StationaryFuelMeters,0),ROUNDUP((COLUMN()+1)/3-2,0))),"")</f>
        <v/>
      </c>
      <c r="G17" s="127"/>
      <c r="H17" s="127"/>
      <c r="I17" s="58" t="str" cm="1">
        <f>IFERROR(IF(ISBLANK($A17),"",INDEX(Array_StationaryCharges,MATCH($A17,List_StationaryFuelMeters,0),ROUNDUP((COLUMN()+1)/3-2,0))),"")</f>
        <v/>
      </c>
      <c r="J17" s="127"/>
      <c r="K17" s="127"/>
      <c r="L17" s="58" t="str" cm="1">
        <f>IFERROR(IF(ISBLANK($A17),"",INDEX(Array_StationaryCharges,MATCH($A17,List_StationaryFuelMeters,0),ROUNDUP((COLUMN()+1)/3-2,0))),"")</f>
        <v/>
      </c>
      <c r="M17" s="127"/>
      <c r="N17" s="127"/>
      <c r="O17" s="58" t="str" cm="1">
        <f>IFERROR(IF(ISBLANK($A17),"",INDEX(Array_StationaryCharges,MATCH($A17,List_StationaryFuelMeters,0),ROUNDUP((COLUMN()+1)/3-2,0))),"")</f>
        <v/>
      </c>
      <c r="P17" s="127"/>
      <c r="Q17" s="127"/>
      <c r="R17" s="58" t="str" cm="1">
        <f>IFERROR(IF(ISBLANK($A17),"",INDEX(Array_StationaryCharges,MATCH($A17,List_StationaryFuelMeters,0),ROUNDUP((COLUMN()+1)/3-2,0))),"")</f>
        <v/>
      </c>
      <c r="S17" s="127"/>
      <c r="T17" s="127"/>
      <c r="U17" s="58" t="str" cm="1">
        <f>IFERROR(IF(ISBLANK($A17),"",INDEX(Array_StationaryCharges,MATCH($A17,List_StationaryFuelMeters,0),ROUNDUP((COLUMN()+1)/3-2,0))),"")</f>
        <v/>
      </c>
      <c r="V17" s="127"/>
      <c r="W17" s="127"/>
      <c r="X17" s="58" t="str" cm="1">
        <f>IFERROR(IF(ISBLANK($A17),"",INDEX(Array_StationaryCharges,MATCH($A17,List_StationaryFuelMeters,0),ROUNDUP((COLUMN()+1)/3-2,0))),"")</f>
        <v/>
      </c>
      <c r="Y17" s="127"/>
      <c r="Z17" s="127"/>
      <c r="AA17" s="58" t="str" cm="1">
        <f>IFERROR(IF(ISBLANK($A17),"",INDEX(Array_StationaryCharges,MATCH($A17,List_StationaryFuelMeters,0),ROUNDUP((COLUMN()+1)/3-2,0))),"")</f>
        <v/>
      </c>
      <c r="AB17" s="127"/>
      <c r="AC17" s="127"/>
      <c r="AD17" s="58" t="str" cm="1">
        <f>IFERROR(IF(ISBLANK($A17),"",INDEX(Array_StationaryCharges,MATCH($A17,List_StationaryFuelMeters,0),ROUNDUP((COLUMN()+1)/3-2,0))),"")</f>
        <v/>
      </c>
      <c r="AE17" s="127"/>
      <c r="AF17" s="127"/>
      <c r="AG17" s="58" t="str" cm="1">
        <f>IFERROR(IF(ISBLANK($A17),"",INDEX(Array_StationaryCharges,MATCH($A17,List_StationaryFuelMeters,0),ROUNDUP((COLUMN()+1)/3-2,0))),"")</f>
        <v/>
      </c>
      <c r="AH17" s="127"/>
      <c r="AI17" s="127"/>
      <c r="AJ17" s="58" t="str" cm="1">
        <f>IFERROR(IF(ISBLANK($A17),"",INDEX(Array_StationaryCharges,MATCH($A17,List_StationaryFuelMeters,0),ROUNDUP((COLUMN()+1)/3-2,0))),"")</f>
        <v/>
      </c>
      <c r="AK17" s="127"/>
      <c r="AL17" s="127"/>
      <c r="AM17" s="58" t="str" cm="1">
        <f>IFERROR(IF(ISBLANK($A17),"",INDEX(Array_StationaryCharges,MATCH($A17,List_StationaryFuelMeters,0),ROUNDUP((COLUMN()+1)/3-2,0))),"")</f>
        <v/>
      </c>
      <c r="AN17" s="127"/>
      <c r="AO17" s="127"/>
      <c r="AP17" s="58" t="str" cm="1">
        <f>IFERROR(IF(ISBLANK($A17),"",INDEX(Array_StationaryCharges,MATCH($A17,List_StationaryFuelMeters,0),ROUNDUP((COLUMN()+1)/3-2,0))),"")</f>
        <v/>
      </c>
      <c r="AQ17" s="127"/>
      <c r="AR17" s="127"/>
      <c r="AS17" s="58" t="str" cm="1">
        <f>IFERROR(IF(ISBLANK($A17),"",INDEX(Array_StationaryCharges,MATCH($A17,List_StationaryFuelMeters,0),ROUNDUP((COLUMN()+1)/3-2,0))),"")</f>
        <v/>
      </c>
      <c r="AT17" s="127"/>
      <c r="AU17" s="127"/>
      <c r="AV17" s="58" t="str" cm="1">
        <f>IFERROR(IF(ISBLANK($A17),"",INDEX(Array_StationaryCharges,MATCH($A17,List_StationaryFuelMeters,0),ROUNDUP((COLUMN()+1)/3-2,0))),"")</f>
        <v/>
      </c>
      <c r="AW17" s="127"/>
      <c r="AX17" s="127"/>
    </row>
    <row r="18" spans="1:50" x14ac:dyDescent="0.3">
      <c r="A18" s="126"/>
      <c r="B18" s="133"/>
      <c r="C18" s="127"/>
      <c r="D18" s="138"/>
      <c r="E18" s="138"/>
      <c r="F18" s="58" t="str" cm="1">
        <f>IFERROR(IF(ISBLANK($A18),"",INDEX(Array_StationaryCharges,MATCH($A18,List_StationaryFuelMeters,0),ROUNDUP((COLUMN()+1)/3-2,0))),"")</f>
        <v/>
      </c>
      <c r="G18" s="127"/>
      <c r="H18" s="127"/>
      <c r="I18" s="58" t="str" cm="1">
        <f>IFERROR(IF(ISBLANK($A18),"",INDEX(Array_StationaryCharges,MATCH($A18,List_StationaryFuelMeters,0),ROUNDUP((COLUMN()+1)/3-2,0))),"")</f>
        <v/>
      </c>
      <c r="J18" s="127"/>
      <c r="K18" s="127"/>
      <c r="L18" s="58" t="str" cm="1">
        <f>IFERROR(IF(ISBLANK($A18),"",INDEX(Array_StationaryCharges,MATCH($A18,List_StationaryFuelMeters,0),ROUNDUP((COLUMN()+1)/3-2,0))),"")</f>
        <v/>
      </c>
      <c r="M18" s="127"/>
      <c r="N18" s="127"/>
      <c r="O18" s="58" t="str" cm="1">
        <f>IFERROR(IF(ISBLANK($A18),"",INDEX(Array_StationaryCharges,MATCH($A18,List_StationaryFuelMeters,0),ROUNDUP((COLUMN()+1)/3-2,0))),"")</f>
        <v/>
      </c>
      <c r="P18" s="127"/>
      <c r="Q18" s="127"/>
      <c r="R18" s="58" t="str" cm="1">
        <f>IFERROR(IF(ISBLANK($A18),"",INDEX(Array_StationaryCharges,MATCH($A18,List_StationaryFuelMeters,0),ROUNDUP((COLUMN()+1)/3-2,0))),"")</f>
        <v/>
      </c>
      <c r="S18" s="127"/>
      <c r="T18" s="127"/>
      <c r="U18" s="58" t="str" cm="1">
        <f>IFERROR(IF(ISBLANK($A18),"",INDEX(Array_StationaryCharges,MATCH($A18,List_StationaryFuelMeters,0),ROUNDUP((COLUMN()+1)/3-2,0))),"")</f>
        <v/>
      </c>
      <c r="V18" s="127"/>
      <c r="W18" s="127"/>
      <c r="X18" s="58" t="str" cm="1">
        <f>IFERROR(IF(ISBLANK($A18),"",INDEX(Array_StationaryCharges,MATCH($A18,List_StationaryFuelMeters,0),ROUNDUP((COLUMN()+1)/3-2,0))),"")</f>
        <v/>
      </c>
      <c r="Y18" s="127"/>
      <c r="Z18" s="127"/>
      <c r="AA18" s="58" t="str" cm="1">
        <f>IFERROR(IF(ISBLANK($A18),"",INDEX(Array_StationaryCharges,MATCH($A18,List_StationaryFuelMeters,0),ROUNDUP((COLUMN()+1)/3-2,0))),"")</f>
        <v/>
      </c>
      <c r="AB18" s="127"/>
      <c r="AC18" s="127"/>
      <c r="AD18" s="58" t="str" cm="1">
        <f>IFERROR(IF(ISBLANK($A18),"",INDEX(Array_StationaryCharges,MATCH($A18,List_StationaryFuelMeters,0),ROUNDUP((COLUMN()+1)/3-2,0))),"")</f>
        <v/>
      </c>
      <c r="AE18" s="127"/>
      <c r="AF18" s="127"/>
      <c r="AG18" s="58" t="str" cm="1">
        <f>IFERROR(IF(ISBLANK($A18),"",INDEX(Array_StationaryCharges,MATCH($A18,List_StationaryFuelMeters,0),ROUNDUP((COLUMN()+1)/3-2,0))),"")</f>
        <v/>
      </c>
      <c r="AH18" s="127"/>
      <c r="AI18" s="127"/>
      <c r="AJ18" s="58" t="str" cm="1">
        <f>IFERROR(IF(ISBLANK($A18),"",INDEX(Array_StationaryCharges,MATCH($A18,List_StationaryFuelMeters,0),ROUNDUP((COLUMN()+1)/3-2,0))),"")</f>
        <v/>
      </c>
      <c r="AK18" s="127"/>
      <c r="AL18" s="127"/>
      <c r="AM18" s="58" t="str" cm="1">
        <f>IFERROR(IF(ISBLANK($A18),"",INDEX(Array_StationaryCharges,MATCH($A18,List_StationaryFuelMeters,0),ROUNDUP((COLUMN()+1)/3-2,0))),"")</f>
        <v/>
      </c>
      <c r="AN18" s="127"/>
      <c r="AO18" s="127"/>
      <c r="AP18" s="58" t="str" cm="1">
        <f>IFERROR(IF(ISBLANK($A18),"",INDEX(Array_StationaryCharges,MATCH($A18,List_StationaryFuelMeters,0),ROUNDUP((COLUMN()+1)/3-2,0))),"")</f>
        <v/>
      </c>
      <c r="AQ18" s="127"/>
      <c r="AR18" s="127"/>
      <c r="AS18" s="58" t="str" cm="1">
        <f>IFERROR(IF(ISBLANK($A18),"",INDEX(Array_StationaryCharges,MATCH($A18,List_StationaryFuelMeters,0),ROUNDUP((COLUMN()+1)/3-2,0))),"")</f>
        <v/>
      </c>
      <c r="AT18" s="127"/>
      <c r="AU18" s="127"/>
      <c r="AV18" s="58" t="str" cm="1">
        <f>IFERROR(IF(ISBLANK($A18),"",INDEX(Array_StationaryCharges,MATCH($A18,List_StationaryFuelMeters,0),ROUNDUP((COLUMN()+1)/3-2,0))),"")</f>
        <v/>
      </c>
      <c r="AW18" s="127"/>
      <c r="AX18" s="127"/>
    </row>
    <row r="19" spans="1:50" x14ac:dyDescent="0.3">
      <c r="A19" s="126"/>
      <c r="B19" s="133"/>
      <c r="C19" s="127"/>
      <c r="D19" s="138"/>
      <c r="E19" s="138"/>
      <c r="F19" s="58" t="str" cm="1">
        <f>IFERROR(IF(ISBLANK($A19),"",INDEX(Array_StationaryCharges,MATCH($A19,List_StationaryFuelMeters,0),ROUNDUP((COLUMN()+1)/3-2,0))),"")</f>
        <v/>
      </c>
      <c r="G19" s="127"/>
      <c r="H19" s="127"/>
      <c r="I19" s="58" t="str" cm="1">
        <f>IFERROR(IF(ISBLANK($A19),"",INDEX(Array_StationaryCharges,MATCH($A19,List_StationaryFuelMeters,0),ROUNDUP((COLUMN()+1)/3-2,0))),"")</f>
        <v/>
      </c>
      <c r="J19" s="127"/>
      <c r="K19" s="127"/>
      <c r="L19" s="58" t="str" cm="1">
        <f>IFERROR(IF(ISBLANK($A19),"",INDEX(Array_StationaryCharges,MATCH($A19,List_StationaryFuelMeters,0),ROUNDUP((COLUMN()+1)/3-2,0))),"")</f>
        <v/>
      </c>
      <c r="M19" s="127"/>
      <c r="N19" s="127"/>
      <c r="O19" s="58" t="str" cm="1">
        <f>IFERROR(IF(ISBLANK($A19),"",INDEX(Array_StationaryCharges,MATCH($A19,List_StationaryFuelMeters,0),ROUNDUP((COLUMN()+1)/3-2,0))),"")</f>
        <v/>
      </c>
      <c r="P19" s="127"/>
      <c r="Q19" s="127"/>
      <c r="R19" s="58" t="str" cm="1">
        <f>IFERROR(IF(ISBLANK($A19),"",INDEX(Array_StationaryCharges,MATCH($A19,List_StationaryFuelMeters,0),ROUNDUP((COLUMN()+1)/3-2,0))),"")</f>
        <v/>
      </c>
      <c r="S19" s="127"/>
      <c r="T19" s="127"/>
      <c r="U19" s="58" t="str" cm="1">
        <f>IFERROR(IF(ISBLANK($A19),"",INDEX(Array_StationaryCharges,MATCH($A19,List_StationaryFuelMeters,0),ROUNDUP((COLUMN()+1)/3-2,0))),"")</f>
        <v/>
      </c>
      <c r="V19" s="127"/>
      <c r="W19" s="127"/>
      <c r="X19" s="58" t="str" cm="1">
        <f>IFERROR(IF(ISBLANK($A19),"",INDEX(Array_StationaryCharges,MATCH($A19,List_StationaryFuelMeters,0),ROUNDUP((COLUMN()+1)/3-2,0))),"")</f>
        <v/>
      </c>
      <c r="Y19" s="127"/>
      <c r="Z19" s="127"/>
      <c r="AA19" s="58" t="str" cm="1">
        <f>IFERROR(IF(ISBLANK($A19),"",INDEX(Array_StationaryCharges,MATCH($A19,List_StationaryFuelMeters,0),ROUNDUP((COLUMN()+1)/3-2,0))),"")</f>
        <v/>
      </c>
      <c r="AB19" s="127"/>
      <c r="AC19" s="127"/>
      <c r="AD19" s="58" t="str" cm="1">
        <f>IFERROR(IF(ISBLANK($A19),"",INDEX(Array_StationaryCharges,MATCH($A19,List_StationaryFuelMeters,0),ROUNDUP((COLUMN()+1)/3-2,0))),"")</f>
        <v/>
      </c>
      <c r="AE19" s="127"/>
      <c r="AF19" s="127"/>
      <c r="AG19" s="58" t="str" cm="1">
        <f>IFERROR(IF(ISBLANK($A19),"",INDEX(Array_StationaryCharges,MATCH($A19,List_StationaryFuelMeters,0),ROUNDUP((COLUMN()+1)/3-2,0))),"")</f>
        <v/>
      </c>
      <c r="AH19" s="127"/>
      <c r="AI19" s="127"/>
      <c r="AJ19" s="58" t="str" cm="1">
        <f>IFERROR(IF(ISBLANK($A19),"",INDEX(Array_StationaryCharges,MATCH($A19,List_StationaryFuelMeters,0),ROUNDUP((COLUMN()+1)/3-2,0))),"")</f>
        <v/>
      </c>
      <c r="AK19" s="127"/>
      <c r="AL19" s="127"/>
      <c r="AM19" s="58" t="str" cm="1">
        <f>IFERROR(IF(ISBLANK($A19),"",INDEX(Array_StationaryCharges,MATCH($A19,List_StationaryFuelMeters,0),ROUNDUP((COLUMN()+1)/3-2,0))),"")</f>
        <v/>
      </c>
      <c r="AN19" s="127"/>
      <c r="AO19" s="127"/>
      <c r="AP19" s="58" t="str" cm="1">
        <f>IFERROR(IF(ISBLANK($A19),"",INDEX(Array_StationaryCharges,MATCH($A19,List_StationaryFuelMeters,0),ROUNDUP((COLUMN()+1)/3-2,0))),"")</f>
        <v/>
      </c>
      <c r="AQ19" s="127"/>
      <c r="AR19" s="127"/>
      <c r="AS19" s="58" t="str" cm="1">
        <f>IFERROR(IF(ISBLANK($A19),"",INDEX(Array_StationaryCharges,MATCH($A19,List_StationaryFuelMeters,0),ROUNDUP((COLUMN()+1)/3-2,0))),"")</f>
        <v/>
      </c>
      <c r="AT19" s="127"/>
      <c r="AU19" s="127"/>
      <c r="AV19" s="58" t="str" cm="1">
        <f>IFERROR(IF(ISBLANK($A19),"",INDEX(Array_StationaryCharges,MATCH($A19,List_StationaryFuelMeters,0),ROUNDUP((COLUMN()+1)/3-2,0))),"")</f>
        <v/>
      </c>
      <c r="AW19" s="127"/>
      <c r="AX19" s="127"/>
    </row>
    <row r="20" spans="1:50" x14ac:dyDescent="0.3">
      <c r="A20" s="126"/>
      <c r="B20" s="133"/>
      <c r="C20" s="127"/>
      <c r="D20" s="138"/>
      <c r="E20" s="138"/>
      <c r="F20" s="58" t="str" cm="1">
        <f>IFERROR(IF(ISBLANK($A20),"",INDEX(Array_StationaryCharges,MATCH($A20,List_StationaryFuelMeters,0),ROUNDUP((COLUMN()+1)/3-2,0))),"")</f>
        <v/>
      </c>
      <c r="G20" s="127"/>
      <c r="H20" s="127"/>
      <c r="I20" s="58" t="str" cm="1">
        <f>IFERROR(IF(ISBLANK($A20),"",INDEX(Array_StationaryCharges,MATCH($A20,List_StationaryFuelMeters,0),ROUNDUP((COLUMN()+1)/3-2,0))),"")</f>
        <v/>
      </c>
      <c r="J20" s="127"/>
      <c r="K20" s="127"/>
      <c r="L20" s="58" t="str" cm="1">
        <f>IFERROR(IF(ISBLANK($A20),"",INDEX(Array_StationaryCharges,MATCH($A20,List_StationaryFuelMeters,0),ROUNDUP((COLUMN()+1)/3-2,0))),"")</f>
        <v/>
      </c>
      <c r="M20" s="127"/>
      <c r="N20" s="127"/>
      <c r="O20" s="58" t="str" cm="1">
        <f>IFERROR(IF(ISBLANK($A20),"",INDEX(Array_StationaryCharges,MATCH($A20,List_StationaryFuelMeters,0),ROUNDUP((COLUMN()+1)/3-2,0))),"")</f>
        <v/>
      </c>
      <c r="P20" s="127"/>
      <c r="Q20" s="127"/>
      <c r="R20" s="58" t="str" cm="1">
        <f>IFERROR(IF(ISBLANK($A20),"",INDEX(Array_StationaryCharges,MATCH($A20,List_StationaryFuelMeters,0),ROUNDUP((COLUMN()+1)/3-2,0))),"")</f>
        <v/>
      </c>
      <c r="S20" s="127"/>
      <c r="T20" s="127"/>
      <c r="U20" s="58" t="str" cm="1">
        <f>IFERROR(IF(ISBLANK($A20),"",INDEX(Array_StationaryCharges,MATCH($A20,List_StationaryFuelMeters,0),ROUNDUP((COLUMN()+1)/3-2,0))),"")</f>
        <v/>
      </c>
      <c r="V20" s="127"/>
      <c r="W20" s="127"/>
      <c r="X20" s="58" t="str" cm="1">
        <f>IFERROR(IF(ISBLANK($A20),"",INDEX(Array_StationaryCharges,MATCH($A20,List_StationaryFuelMeters,0),ROUNDUP((COLUMN()+1)/3-2,0))),"")</f>
        <v/>
      </c>
      <c r="Y20" s="127"/>
      <c r="Z20" s="127"/>
      <c r="AA20" s="58" t="str" cm="1">
        <f>IFERROR(IF(ISBLANK($A20),"",INDEX(Array_StationaryCharges,MATCH($A20,List_StationaryFuelMeters,0),ROUNDUP((COLUMN()+1)/3-2,0))),"")</f>
        <v/>
      </c>
      <c r="AB20" s="127"/>
      <c r="AC20" s="127"/>
      <c r="AD20" s="58" t="str" cm="1">
        <f>IFERROR(IF(ISBLANK($A20),"",INDEX(Array_StationaryCharges,MATCH($A20,List_StationaryFuelMeters,0),ROUNDUP((COLUMN()+1)/3-2,0))),"")</f>
        <v/>
      </c>
      <c r="AE20" s="127"/>
      <c r="AF20" s="127"/>
      <c r="AG20" s="58" t="str" cm="1">
        <f>IFERROR(IF(ISBLANK($A20),"",INDEX(Array_StationaryCharges,MATCH($A20,List_StationaryFuelMeters,0),ROUNDUP((COLUMN()+1)/3-2,0))),"")</f>
        <v/>
      </c>
      <c r="AH20" s="127"/>
      <c r="AI20" s="127"/>
      <c r="AJ20" s="58" t="str" cm="1">
        <f>IFERROR(IF(ISBLANK($A20),"",INDEX(Array_StationaryCharges,MATCH($A20,List_StationaryFuelMeters,0),ROUNDUP((COLUMN()+1)/3-2,0))),"")</f>
        <v/>
      </c>
      <c r="AK20" s="127"/>
      <c r="AL20" s="127"/>
      <c r="AM20" s="58" t="str" cm="1">
        <f>IFERROR(IF(ISBLANK($A20),"",INDEX(Array_StationaryCharges,MATCH($A20,List_StationaryFuelMeters,0),ROUNDUP((COLUMN()+1)/3-2,0))),"")</f>
        <v/>
      </c>
      <c r="AN20" s="127"/>
      <c r="AO20" s="127"/>
      <c r="AP20" s="58" t="str" cm="1">
        <f>IFERROR(IF(ISBLANK($A20),"",INDEX(Array_StationaryCharges,MATCH($A20,List_StationaryFuelMeters,0),ROUNDUP((COLUMN()+1)/3-2,0))),"")</f>
        <v/>
      </c>
      <c r="AQ20" s="127"/>
      <c r="AR20" s="127"/>
      <c r="AS20" s="58" t="str" cm="1">
        <f>IFERROR(IF(ISBLANK($A20),"",INDEX(Array_StationaryCharges,MATCH($A20,List_StationaryFuelMeters,0),ROUNDUP((COLUMN()+1)/3-2,0))),"")</f>
        <v/>
      </c>
      <c r="AT20" s="127"/>
      <c r="AU20" s="127"/>
      <c r="AV20" s="58" t="str" cm="1">
        <f>IFERROR(IF(ISBLANK($A20),"",INDEX(Array_StationaryCharges,MATCH($A20,List_StationaryFuelMeters,0),ROUNDUP((COLUMN()+1)/3-2,0))),"")</f>
        <v/>
      </c>
      <c r="AW20" s="127"/>
      <c r="AX20" s="127"/>
    </row>
    <row r="21" spans="1:50" x14ac:dyDescent="0.3">
      <c r="A21" s="126"/>
      <c r="B21" s="133"/>
      <c r="C21" s="127"/>
      <c r="D21" s="138"/>
      <c r="E21" s="138"/>
      <c r="F21" s="58" t="str" cm="1">
        <f>IFERROR(IF(ISBLANK($A21),"",INDEX(Array_StationaryCharges,MATCH($A21,List_StationaryFuelMeters,0),ROUNDUP((COLUMN()+1)/3-2,0))),"")</f>
        <v/>
      </c>
      <c r="G21" s="127"/>
      <c r="H21" s="127"/>
      <c r="I21" s="58" t="str" cm="1">
        <f>IFERROR(IF(ISBLANK($A21),"",INDEX(Array_StationaryCharges,MATCH($A21,List_StationaryFuelMeters,0),ROUNDUP((COLUMN()+1)/3-2,0))),"")</f>
        <v/>
      </c>
      <c r="J21" s="127"/>
      <c r="K21" s="127"/>
      <c r="L21" s="58" t="str" cm="1">
        <f>IFERROR(IF(ISBLANK($A21),"",INDEX(Array_StationaryCharges,MATCH($A21,List_StationaryFuelMeters,0),ROUNDUP((COLUMN()+1)/3-2,0))),"")</f>
        <v/>
      </c>
      <c r="M21" s="127"/>
      <c r="N21" s="127"/>
      <c r="O21" s="58" t="str" cm="1">
        <f>IFERROR(IF(ISBLANK($A21),"",INDEX(Array_StationaryCharges,MATCH($A21,List_StationaryFuelMeters,0),ROUNDUP((COLUMN()+1)/3-2,0))),"")</f>
        <v/>
      </c>
      <c r="P21" s="127"/>
      <c r="Q21" s="127"/>
      <c r="R21" s="58" t="str" cm="1">
        <f>IFERROR(IF(ISBLANK($A21),"",INDEX(Array_StationaryCharges,MATCH($A21,List_StationaryFuelMeters,0),ROUNDUP((COLUMN()+1)/3-2,0))),"")</f>
        <v/>
      </c>
      <c r="S21" s="127"/>
      <c r="T21" s="127"/>
      <c r="U21" s="58" t="str" cm="1">
        <f>IFERROR(IF(ISBLANK($A21),"",INDEX(Array_StationaryCharges,MATCH($A21,List_StationaryFuelMeters,0),ROUNDUP((COLUMN()+1)/3-2,0))),"")</f>
        <v/>
      </c>
      <c r="V21" s="127"/>
      <c r="W21" s="127"/>
      <c r="X21" s="58" t="str" cm="1">
        <f>IFERROR(IF(ISBLANK($A21),"",INDEX(Array_StationaryCharges,MATCH($A21,List_StationaryFuelMeters,0),ROUNDUP((COLUMN()+1)/3-2,0))),"")</f>
        <v/>
      </c>
      <c r="Y21" s="127"/>
      <c r="Z21" s="127"/>
      <c r="AA21" s="58" t="str" cm="1">
        <f>IFERROR(IF(ISBLANK($A21),"",INDEX(Array_StationaryCharges,MATCH($A21,List_StationaryFuelMeters,0),ROUNDUP((COLUMN()+1)/3-2,0))),"")</f>
        <v/>
      </c>
      <c r="AB21" s="127"/>
      <c r="AC21" s="127"/>
      <c r="AD21" s="58" t="str" cm="1">
        <f>IFERROR(IF(ISBLANK($A21),"",INDEX(Array_StationaryCharges,MATCH($A21,List_StationaryFuelMeters,0),ROUNDUP((COLUMN()+1)/3-2,0))),"")</f>
        <v/>
      </c>
      <c r="AE21" s="127"/>
      <c r="AF21" s="127"/>
      <c r="AG21" s="58" t="str" cm="1">
        <f>IFERROR(IF(ISBLANK($A21),"",INDEX(Array_StationaryCharges,MATCH($A21,List_StationaryFuelMeters,0),ROUNDUP((COLUMN()+1)/3-2,0))),"")</f>
        <v/>
      </c>
      <c r="AH21" s="127"/>
      <c r="AI21" s="127"/>
      <c r="AJ21" s="58" t="str" cm="1">
        <f>IFERROR(IF(ISBLANK($A21),"",INDEX(Array_StationaryCharges,MATCH($A21,List_StationaryFuelMeters,0),ROUNDUP((COLUMN()+1)/3-2,0))),"")</f>
        <v/>
      </c>
      <c r="AK21" s="127"/>
      <c r="AL21" s="127"/>
      <c r="AM21" s="58" t="str" cm="1">
        <f>IFERROR(IF(ISBLANK($A21),"",INDEX(Array_StationaryCharges,MATCH($A21,List_StationaryFuelMeters,0),ROUNDUP((COLUMN()+1)/3-2,0))),"")</f>
        <v/>
      </c>
      <c r="AN21" s="127"/>
      <c r="AO21" s="127"/>
      <c r="AP21" s="58" t="str" cm="1">
        <f>IFERROR(IF(ISBLANK($A21),"",INDEX(Array_StationaryCharges,MATCH($A21,List_StationaryFuelMeters,0),ROUNDUP((COLUMN()+1)/3-2,0))),"")</f>
        <v/>
      </c>
      <c r="AQ21" s="127"/>
      <c r="AR21" s="127"/>
      <c r="AS21" s="58" t="str" cm="1">
        <f>IFERROR(IF(ISBLANK($A21),"",INDEX(Array_StationaryCharges,MATCH($A21,List_StationaryFuelMeters,0),ROUNDUP((COLUMN()+1)/3-2,0))),"")</f>
        <v/>
      </c>
      <c r="AT21" s="127"/>
      <c r="AU21" s="127"/>
      <c r="AV21" s="58" t="str" cm="1">
        <f>IFERROR(IF(ISBLANK($A21),"",INDEX(Array_StationaryCharges,MATCH($A21,List_StationaryFuelMeters,0),ROUNDUP((COLUMN()+1)/3-2,0))),"")</f>
        <v/>
      </c>
      <c r="AW21" s="127"/>
      <c r="AX21" s="127"/>
    </row>
    <row r="22" spans="1:50" x14ac:dyDescent="0.3">
      <c r="A22" s="126"/>
      <c r="B22" s="133"/>
      <c r="C22" s="127"/>
      <c r="D22" s="138"/>
      <c r="E22" s="138"/>
      <c r="F22" s="58" t="str" cm="1">
        <f>IFERROR(IF(ISBLANK($A22),"",INDEX(Array_StationaryCharges,MATCH($A22,List_StationaryFuelMeters,0),ROUNDUP((COLUMN()+1)/3-2,0))),"")</f>
        <v/>
      </c>
      <c r="G22" s="127"/>
      <c r="H22" s="127"/>
      <c r="I22" s="58" t="str" cm="1">
        <f>IFERROR(IF(ISBLANK($A22),"",INDEX(Array_StationaryCharges,MATCH($A22,List_StationaryFuelMeters,0),ROUNDUP((COLUMN()+1)/3-2,0))),"")</f>
        <v/>
      </c>
      <c r="J22" s="127"/>
      <c r="K22" s="127"/>
      <c r="L22" s="58" t="str" cm="1">
        <f>IFERROR(IF(ISBLANK($A22),"",INDEX(Array_StationaryCharges,MATCH($A22,List_StationaryFuelMeters,0),ROUNDUP((COLUMN()+1)/3-2,0))),"")</f>
        <v/>
      </c>
      <c r="M22" s="127"/>
      <c r="N22" s="127"/>
      <c r="O22" s="58" t="str" cm="1">
        <f>IFERROR(IF(ISBLANK($A22),"",INDEX(Array_StationaryCharges,MATCH($A22,List_StationaryFuelMeters,0),ROUNDUP((COLUMN()+1)/3-2,0))),"")</f>
        <v/>
      </c>
      <c r="P22" s="127"/>
      <c r="Q22" s="127"/>
      <c r="R22" s="58" t="str" cm="1">
        <f>IFERROR(IF(ISBLANK($A22),"",INDEX(Array_StationaryCharges,MATCH($A22,List_StationaryFuelMeters,0),ROUNDUP((COLUMN()+1)/3-2,0))),"")</f>
        <v/>
      </c>
      <c r="S22" s="127"/>
      <c r="T22" s="127"/>
      <c r="U22" s="58" t="str" cm="1">
        <f>IFERROR(IF(ISBLANK($A22),"",INDEX(Array_StationaryCharges,MATCH($A22,List_StationaryFuelMeters,0),ROUNDUP((COLUMN()+1)/3-2,0))),"")</f>
        <v/>
      </c>
      <c r="V22" s="127"/>
      <c r="W22" s="127"/>
      <c r="X22" s="58" t="str" cm="1">
        <f>IFERROR(IF(ISBLANK($A22),"",INDEX(Array_StationaryCharges,MATCH($A22,List_StationaryFuelMeters,0),ROUNDUP((COLUMN()+1)/3-2,0))),"")</f>
        <v/>
      </c>
      <c r="Y22" s="127"/>
      <c r="Z22" s="127"/>
      <c r="AA22" s="58" t="str" cm="1">
        <f>IFERROR(IF(ISBLANK($A22),"",INDEX(Array_StationaryCharges,MATCH($A22,List_StationaryFuelMeters,0),ROUNDUP((COLUMN()+1)/3-2,0))),"")</f>
        <v/>
      </c>
      <c r="AB22" s="127"/>
      <c r="AC22" s="127"/>
      <c r="AD22" s="58" t="str" cm="1">
        <f>IFERROR(IF(ISBLANK($A22),"",INDEX(Array_StationaryCharges,MATCH($A22,List_StationaryFuelMeters,0),ROUNDUP((COLUMN()+1)/3-2,0))),"")</f>
        <v/>
      </c>
      <c r="AE22" s="127"/>
      <c r="AF22" s="127"/>
      <c r="AG22" s="58" t="str" cm="1">
        <f>IFERROR(IF(ISBLANK($A22),"",INDEX(Array_StationaryCharges,MATCH($A22,List_StationaryFuelMeters,0),ROUNDUP((COLUMN()+1)/3-2,0))),"")</f>
        <v/>
      </c>
      <c r="AH22" s="127"/>
      <c r="AI22" s="127"/>
      <c r="AJ22" s="58" t="str" cm="1">
        <f>IFERROR(IF(ISBLANK($A22),"",INDEX(Array_StationaryCharges,MATCH($A22,List_StationaryFuelMeters,0),ROUNDUP((COLUMN()+1)/3-2,0))),"")</f>
        <v/>
      </c>
      <c r="AK22" s="127"/>
      <c r="AL22" s="127"/>
      <c r="AM22" s="58" t="str" cm="1">
        <f>IFERROR(IF(ISBLANK($A22),"",INDEX(Array_StationaryCharges,MATCH($A22,List_StationaryFuelMeters,0),ROUNDUP((COLUMN()+1)/3-2,0))),"")</f>
        <v/>
      </c>
      <c r="AN22" s="127"/>
      <c r="AO22" s="127"/>
      <c r="AP22" s="58" t="str" cm="1">
        <f>IFERROR(IF(ISBLANK($A22),"",INDEX(Array_StationaryCharges,MATCH($A22,List_StationaryFuelMeters,0),ROUNDUP((COLUMN()+1)/3-2,0))),"")</f>
        <v/>
      </c>
      <c r="AQ22" s="127"/>
      <c r="AR22" s="127"/>
      <c r="AS22" s="58" t="str" cm="1">
        <f>IFERROR(IF(ISBLANK($A22),"",INDEX(Array_StationaryCharges,MATCH($A22,List_StationaryFuelMeters,0),ROUNDUP((COLUMN()+1)/3-2,0))),"")</f>
        <v/>
      </c>
      <c r="AT22" s="127"/>
      <c r="AU22" s="127"/>
      <c r="AV22" s="58" t="str" cm="1">
        <f>IFERROR(IF(ISBLANK($A22),"",INDEX(Array_StationaryCharges,MATCH($A22,List_StationaryFuelMeters,0),ROUNDUP((COLUMN()+1)/3-2,0))),"")</f>
        <v/>
      </c>
      <c r="AW22" s="127"/>
      <c r="AX22" s="127"/>
    </row>
    <row r="23" spans="1:50" x14ac:dyDescent="0.3">
      <c r="A23" s="126"/>
      <c r="B23" s="133"/>
      <c r="C23" s="127"/>
      <c r="D23" s="138"/>
      <c r="E23" s="138"/>
      <c r="F23" s="58" t="str" cm="1">
        <f>IFERROR(IF(ISBLANK($A23),"",INDEX(Array_StationaryCharges,MATCH($A23,List_StationaryFuelMeters,0),ROUNDUP((COLUMN()+1)/3-2,0))),"")</f>
        <v/>
      </c>
      <c r="G23" s="127"/>
      <c r="H23" s="127"/>
      <c r="I23" s="58" t="str" cm="1">
        <f>IFERROR(IF(ISBLANK($A23),"",INDEX(Array_StationaryCharges,MATCH($A23,List_StationaryFuelMeters,0),ROUNDUP((COLUMN()+1)/3-2,0))),"")</f>
        <v/>
      </c>
      <c r="J23" s="127"/>
      <c r="K23" s="127"/>
      <c r="L23" s="58" t="str" cm="1">
        <f>IFERROR(IF(ISBLANK($A23),"",INDEX(Array_StationaryCharges,MATCH($A23,List_StationaryFuelMeters,0),ROUNDUP((COLUMN()+1)/3-2,0))),"")</f>
        <v/>
      </c>
      <c r="M23" s="127"/>
      <c r="N23" s="127"/>
      <c r="O23" s="58" t="str" cm="1">
        <f>IFERROR(IF(ISBLANK($A23),"",INDEX(Array_StationaryCharges,MATCH($A23,List_StationaryFuelMeters,0),ROUNDUP((COLUMN()+1)/3-2,0))),"")</f>
        <v/>
      </c>
      <c r="P23" s="127"/>
      <c r="Q23" s="127"/>
      <c r="R23" s="58" t="str" cm="1">
        <f>IFERROR(IF(ISBLANK($A23),"",INDEX(Array_StationaryCharges,MATCH($A23,List_StationaryFuelMeters,0),ROUNDUP((COLUMN()+1)/3-2,0))),"")</f>
        <v/>
      </c>
      <c r="S23" s="127"/>
      <c r="T23" s="127"/>
      <c r="U23" s="58" t="str" cm="1">
        <f>IFERROR(IF(ISBLANK($A23),"",INDEX(Array_StationaryCharges,MATCH($A23,List_StationaryFuelMeters,0),ROUNDUP((COLUMN()+1)/3-2,0))),"")</f>
        <v/>
      </c>
      <c r="V23" s="127"/>
      <c r="W23" s="127"/>
      <c r="X23" s="58" t="str" cm="1">
        <f>IFERROR(IF(ISBLANK($A23),"",INDEX(Array_StationaryCharges,MATCH($A23,List_StationaryFuelMeters,0),ROUNDUP((COLUMN()+1)/3-2,0))),"")</f>
        <v/>
      </c>
      <c r="Y23" s="127"/>
      <c r="Z23" s="127"/>
      <c r="AA23" s="58" t="str" cm="1">
        <f>IFERROR(IF(ISBLANK($A23),"",INDEX(Array_StationaryCharges,MATCH($A23,List_StationaryFuelMeters,0),ROUNDUP((COLUMN()+1)/3-2,0))),"")</f>
        <v/>
      </c>
      <c r="AB23" s="127"/>
      <c r="AC23" s="127"/>
      <c r="AD23" s="58" t="str" cm="1">
        <f>IFERROR(IF(ISBLANK($A23),"",INDEX(Array_StationaryCharges,MATCH($A23,List_StationaryFuelMeters,0),ROUNDUP((COLUMN()+1)/3-2,0))),"")</f>
        <v/>
      </c>
      <c r="AE23" s="127"/>
      <c r="AF23" s="127"/>
      <c r="AG23" s="58" t="str" cm="1">
        <f>IFERROR(IF(ISBLANK($A23),"",INDEX(Array_StationaryCharges,MATCH($A23,List_StationaryFuelMeters,0),ROUNDUP((COLUMN()+1)/3-2,0))),"")</f>
        <v/>
      </c>
      <c r="AH23" s="127"/>
      <c r="AI23" s="127"/>
      <c r="AJ23" s="58" t="str" cm="1">
        <f>IFERROR(IF(ISBLANK($A23),"",INDEX(Array_StationaryCharges,MATCH($A23,List_StationaryFuelMeters,0),ROUNDUP((COLUMN()+1)/3-2,0))),"")</f>
        <v/>
      </c>
      <c r="AK23" s="127"/>
      <c r="AL23" s="127"/>
      <c r="AM23" s="58" t="str" cm="1">
        <f>IFERROR(IF(ISBLANK($A23),"",INDEX(Array_StationaryCharges,MATCH($A23,List_StationaryFuelMeters,0),ROUNDUP((COLUMN()+1)/3-2,0))),"")</f>
        <v/>
      </c>
      <c r="AN23" s="127"/>
      <c r="AO23" s="127"/>
      <c r="AP23" s="58" t="str" cm="1">
        <f>IFERROR(IF(ISBLANK($A23),"",INDEX(Array_StationaryCharges,MATCH($A23,List_StationaryFuelMeters,0),ROUNDUP((COLUMN()+1)/3-2,0))),"")</f>
        <v/>
      </c>
      <c r="AQ23" s="127"/>
      <c r="AR23" s="127"/>
      <c r="AS23" s="58" t="str" cm="1">
        <f>IFERROR(IF(ISBLANK($A23),"",INDEX(Array_StationaryCharges,MATCH($A23,List_StationaryFuelMeters,0),ROUNDUP((COLUMN()+1)/3-2,0))),"")</f>
        <v/>
      </c>
      <c r="AT23" s="127"/>
      <c r="AU23" s="127"/>
      <c r="AV23" s="58" t="str" cm="1">
        <f>IFERROR(IF(ISBLANK($A23),"",INDEX(Array_StationaryCharges,MATCH($A23,List_StationaryFuelMeters,0),ROUNDUP((COLUMN()+1)/3-2,0))),"")</f>
        <v/>
      </c>
      <c r="AW23" s="127"/>
      <c r="AX23" s="127"/>
    </row>
    <row r="24" spans="1:50" x14ac:dyDescent="0.3">
      <c r="A24" s="126"/>
      <c r="B24" s="133"/>
      <c r="C24" s="127"/>
      <c r="D24" s="138"/>
      <c r="E24" s="138"/>
      <c r="F24" s="58" t="str" cm="1">
        <f>IFERROR(IF(ISBLANK($A24),"",INDEX(Array_StationaryCharges,MATCH($A24,List_StationaryFuelMeters,0),ROUNDUP((COLUMN()+1)/3-2,0))),"")</f>
        <v/>
      </c>
      <c r="G24" s="127"/>
      <c r="H24" s="127"/>
      <c r="I24" s="58" t="str" cm="1">
        <f>IFERROR(IF(ISBLANK($A24),"",INDEX(Array_StationaryCharges,MATCH($A24,List_StationaryFuelMeters,0),ROUNDUP((COLUMN()+1)/3-2,0))),"")</f>
        <v/>
      </c>
      <c r="J24" s="127"/>
      <c r="K24" s="127"/>
      <c r="L24" s="58" t="str" cm="1">
        <f>IFERROR(IF(ISBLANK($A24),"",INDEX(Array_StationaryCharges,MATCH($A24,List_StationaryFuelMeters,0),ROUNDUP((COLUMN()+1)/3-2,0))),"")</f>
        <v/>
      </c>
      <c r="M24" s="127"/>
      <c r="N24" s="127"/>
      <c r="O24" s="58" t="str" cm="1">
        <f>IFERROR(IF(ISBLANK($A24),"",INDEX(Array_StationaryCharges,MATCH($A24,List_StationaryFuelMeters,0),ROUNDUP((COLUMN()+1)/3-2,0))),"")</f>
        <v/>
      </c>
      <c r="P24" s="127"/>
      <c r="Q24" s="127"/>
      <c r="R24" s="58" t="str" cm="1">
        <f>IFERROR(IF(ISBLANK($A24),"",INDEX(Array_StationaryCharges,MATCH($A24,List_StationaryFuelMeters,0),ROUNDUP((COLUMN()+1)/3-2,0))),"")</f>
        <v/>
      </c>
      <c r="S24" s="127"/>
      <c r="T24" s="127"/>
      <c r="U24" s="58" t="str" cm="1">
        <f>IFERROR(IF(ISBLANK($A24),"",INDEX(Array_StationaryCharges,MATCH($A24,List_StationaryFuelMeters,0),ROUNDUP((COLUMN()+1)/3-2,0))),"")</f>
        <v/>
      </c>
      <c r="V24" s="127"/>
      <c r="W24" s="127"/>
      <c r="X24" s="58" t="str" cm="1">
        <f>IFERROR(IF(ISBLANK($A24),"",INDEX(Array_StationaryCharges,MATCH($A24,List_StationaryFuelMeters,0),ROUNDUP((COLUMN()+1)/3-2,0))),"")</f>
        <v/>
      </c>
      <c r="Y24" s="127"/>
      <c r="Z24" s="127"/>
      <c r="AA24" s="58" t="str" cm="1">
        <f>IFERROR(IF(ISBLANK($A24),"",INDEX(Array_StationaryCharges,MATCH($A24,List_StationaryFuelMeters,0),ROUNDUP((COLUMN()+1)/3-2,0))),"")</f>
        <v/>
      </c>
      <c r="AB24" s="127"/>
      <c r="AC24" s="127"/>
      <c r="AD24" s="58" t="str" cm="1">
        <f>IFERROR(IF(ISBLANK($A24),"",INDEX(Array_StationaryCharges,MATCH($A24,List_StationaryFuelMeters,0),ROUNDUP((COLUMN()+1)/3-2,0))),"")</f>
        <v/>
      </c>
      <c r="AE24" s="127"/>
      <c r="AF24" s="127"/>
      <c r="AG24" s="58" t="str" cm="1">
        <f>IFERROR(IF(ISBLANK($A24),"",INDEX(Array_StationaryCharges,MATCH($A24,List_StationaryFuelMeters,0),ROUNDUP((COLUMN()+1)/3-2,0))),"")</f>
        <v/>
      </c>
      <c r="AH24" s="127"/>
      <c r="AI24" s="127"/>
      <c r="AJ24" s="58" t="str" cm="1">
        <f>IFERROR(IF(ISBLANK($A24),"",INDEX(Array_StationaryCharges,MATCH($A24,List_StationaryFuelMeters,0),ROUNDUP((COLUMN()+1)/3-2,0))),"")</f>
        <v/>
      </c>
      <c r="AK24" s="127"/>
      <c r="AL24" s="127"/>
      <c r="AM24" s="58" t="str" cm="1">
        <f>IFERROR(IF(ISBLANK($A24),"",INDEX(Array_StationaryCharges,MATCH($A24,List_StationaryFuelMeters,0),ROUNDUP((COLUMN()+1)/3-2,0))),"")</f>
        <v/>
      </c>
      <c r="AN24" s="127"/>
      <c r="AO24" s="127"/>
      <c r="AP24" s="58" t="str" cm="1">
        <f>IFERROR(IF(ISBLANK($A24),"",INDEX(Array_StationaryCharges,MATCH($A24,List_StationaryFuelMeters,0),ROUNDUP((COLUMN()+1)/3-2,0))),"")</f>
        <v/>
      </c>
      <c r="AQ24" s="127"/>
      <c r="AR24" s="127"/>
      <c r="AS24" s="58" t="str" cm="1">
        <f>IFERROR(IF(ISBLANK($A24),"",INDEX(Array_StationaryCharges,MATCH($A24,List_StationaryFuelMeters,0),ROUNDUP((COLUMN()+1)/3-2,0))),"")</f>
        <v/>
      </c>
      <c r="AT24" s="127"/>
      <c r="AU24" s="127"/>
      <c r="AV24" s="58" t="str" cm="1">
        <f>IFERROR(IF(ISBLANK($A24),"",INDEX(Array_StationaryCharges,MATCH($A24,List_StationaryFuelMeters,0),ROUNDUP((COLUMN()+1)/3-2,0))),"")</f>
        <v/>
      </c>
      <c r="AW24" s="127"/>
      <c r="AX24" s="127"/>
    </row>
    <row r="25" spans="1:50" x14ac:dyDescent="0.3">
      <c r="A25" s="126"/>
      <c r="B25" s="133"/>
      <c r="C25" s="127"/>
      <c r="D25" s="138"/>
      <c r="E25" s="138"/>
      <c r="F25" s="58" t="str" cm="1">
        <f>IFERROR(IF(ISBLANK($A25),"",INDEX(Array_StationaryCharges,MATCH($A25,List_StationaryFuelMeters,0),ROUNDUP((COLUMN()+1)/3-2,0))),"")</f>
        <v/>
      </c>
      <c r="G25" s="127"/>
      <c r="H25" s="127"/>
      <c r="I25" s="58" t="str" cm="1">
        <f>IFERROR(IF(ISBLANK($A25),"",INDEX(Array_StationaryCharges,MATCH($A25,List_StationaryFuelMeters,0),ROUNDUP((COLUMN()+1)/3-2,0))),"")</f>
        <v/>
      </c>
      <c r="J25" s="127"/>
      <c r="K25" s="127"/>
      <c r="L25" s="58" t="str" cm="1">
        <f>IFERROR(IF(ISBLANK($A25),"",INDEX(Array_StationaryCharges,MATCH($A25,List_StationaryFuelMeters,0),ROUNDUP((COLUMN()+1)/3-2,0))),"")</f>
        <v/>
      </c>
      <c r="M25" s="127"/>
      <c r="N25" s="127"/>
      <c r="O25" s="58" t="str" cm="1">
        <f>IFERROR(IF(ISBLANK($A25),"",INDEX(Array_StationaryCharges,MATCH($A25,List_StationaryFuelMeters,0),ROUNDUP((COLUMN()+1)/3-2,0))),"")</f>
        <v/>
      </c>
      <c r="P25" s="127"/>
      <c r="Q25" s="127"/>
      <c r="R25" s="58" t="str" cm="1">
        <f>IFERROR(IF(ISBLANK($A25),"",INDEX(Array_StationaryCharges,MATCH($A25,List_StationaryFuelMeters,0),ROUNDUP((COLUMN()+1)/3-2,0))),"")</f>
        <v/>
      </c>
      <c r="S25" s="127"/>
      <c r="T25" s="127"/>
      <c r="U25" s="58" t="str" cm="1">
        <f>IFERROR(IF(ISBLANK($A25),"",INDEX(Array_StationaryCharges,MATCH($A25,List_StationaryFuelMeters,0),ROUNDUP((COLUMN()+1)/3-2,0))),"")</f>
        <v/>
      </c>
      <c r="V25" s="127"/>
      <c r="W25" s="127"/>
      <c r="X25" s="58" t="str" cm="1">
        <f>IFERROR(IF(ISBLANK($A25),"",INDEX(Array_StationaryCharges,MATCH($A25,List_StationaryFuelMeters,0),ROUNDUP((COLUMN()+1)/3-2,0))),"")</f>
        <v/>
      </c>
      <c r="Y25" s="127"/>
      <c r="Z25" s="127"/>
      <c r="AA25" s="58" t="str" cm="1">
        <f>IFERROR(IF(ISBLANK($A25),"",INDEX(Array_StationaryCharges,MATCH($A25,List_StationaryFuelMeters,0),ROUNDUP((COLUMN()+1)/3-2,0))),"")</f>
        <v/>
      </c>
      <c r="AB25" s="127"/>
      <c r="AC25" s="127"/>
      <c r="AD25" s="58" t="str" cm="1">
        <f>IFERROR(IF(ISBLANK($A25),"",INDEX(Array_StationaryCharges,MATCH($A25,List_StationaryFuelMeters,0),ROUNDUP((COLUMN()+1)/3-2,0))),"")</f>
        <v/>
      </c>
      <c r="AE25" s="127"/>
      <c r="AF25" s="127"/>
      <c r="AG25" s="58" t="str" cm="1">
        <f>IFERROR(IF(ISBLANK($A25),"",INDEX(Array_StationaryCharges,MATCH($A25,List_StationaryFuelMeters,0),ROUNDUP((COLUMN()+1)/3-2,0))),"")</f>
        <v/>
      </c>
      <c r="AH25" s="127"/>
      <c r="AI25" s="127"/>
      <c r="AJ25" s="58" t="str" cm="1">
        <f>IFERROR(IF(ISBLANK($A25),"",INDEX(Array_StationaryCharges,MATCH($A25,List_StationaryFuelMeters,0),ROUNDUP((COLUMN()+1)/3-2,0))),"")</f>
        <v/>
      </c>
      <c r="AK25" s="127"/>
      <c r="AL25" s="127"/>
      <c r="AM25" s="58" t="str" cm="1">
        <f>IFERROR(IF(ISBLANK($A25),"",INDEX(Array_StationaryCharges,MATCH($A25,List_StationaryFuelMeters,0),ROUNDUP((COLUMN()+1)/3-2,0))),"")</f>
        <v/>
      </c>
      <c r="AN25" s="127"/>
      <c r="AO25" s="127"/>
      <c r="AP25" s="58" t="str" cm="1">
        <f>IFERROR(IF(ISBLANK($A25),"",INDEX(Array_StationaryCharges,MATCH($A25,List_StationaryFuelMeters,0),ROUNDUP((COLUMN()+1)/3-2,0))),"")</f>
        <v/>
      </c>
      <c r="AQ25" s="127"/>
      <c r="AR25" s="127"/>
      <c r="AS25" s="58" t="str" cm="1">
        <f>IFERROR(IF(ISBLANK($A25),"",INDEX(Array_StationaryCharges,MATCH($A25,List_StationaryFuelMeters,0),ROUNDUP((COLUMN()+1)/3-2,0))),"")</f>
        <v/>
      </c>
      <c r="AT25" s="127"/>
      <c r="AU25" s="127"/>
      <c r="AV25" s="58" t="str" cm="1">
        <f>IFERROR(IF(ISBLANK($A25),"",INDEX(Array_StationaryCharges,MATCH($A25,List_StationaryFuelMeters,0),ROUNDUP((COLUMN()+1)/3-2,0))),"")</f>
        <v/>
      </c>
      <c r="AW25" s="127"/>
      <c r="AX25" s="127"/>
    </row>
    <row r="26" spans="1:50" x14ac:dyDescent="0.3">
      <c r="A26" s="126"/>
      <c r="B26" s="133"/>
      <c r="C26" s="127"/>
      <c r="D26" s="138"/>
      <c r="E26" s="138"/>
      <c r="F26" s="58" t="str" cm="1">
        <f>IFERROR(IF(ISBLANK($A26),"",INDEX(Array_StationaryCharges,MATCH($A26,List_StationaryFuelMeters,0),ROUNDUP((COLUMN()+1)/3-2,0))),"")</f>
        <v/>
      </c>
      <c r="G26" s="127"/>
      <c r="H26" s="127"/>
      <c r="I26" s="58" t="str" cm="1">
        <f>IFERROR(IF(ISBLANK($A26),"",INDEX(Array_StationaryCharges,MATCH($A26,List_StationaryFuelMeters,0),ROUNDUP((COLUMN()+1)/3-2,0))),"")</f>
        <v/>
      </c>
      <c r="J26" s="127"/>
      <c r="K26" s="127"/>
      <c r="L26" s="58" t="str" cm="1">
        <f>IFERROR(IF(ISBLANK($A26),"",INDEX(Array_StationaryCharges,MATCH($A26,List_StationaryFuelMeters,0),ROUNDUP((COLUMN()+1)/3-2,0))),"")</f>
        <v/>
      </c>
      <c r="M26" s="127"/>
      <c r="N26" s="127"/>
      <c r="O26" s="58" t="str" cm="1">
        <f>IFERROR(IF(ISBLANK($A26),"",INDEX(Array_StationaryCharges,MATCH($A26,List_StationaryFuelMeters,0),ROUNDUP((COLUMN()+1)/3-2,0))),"")</f>
        <v/>
      </c>
      <c r="P26" s="127"/>
      <c r="Q26" s="127"/>
      <c r="R26" s="58" t="str" cm="1">
        <f>IFERROR(IF(ISBLANK($A26),"",INDEX(Array_StationaryCharges,MATCH($A26,List_StationaryFuelMeters,0),ROUNDUP((COLUMN()+1)/3-2,0))),"")</f>
        <v/>
      </c>
      <c r="S26" s="127"/>
      <c r="T26" s="127"/>
      <c r="U26" s="58" t="str" cm="1">
        <f>IFERROR(IF(ISBLANK($A26),"",INDEX(Array_StationaryCharges,MATCH($A26,List_StationaryFuelMeters,0),ROUNDUP((COLUMN()+1)/3-2,0))),"")</f>
        <v/>
      </c>
      <c r="V26" s="127"/>
      <c r="W26" s="127"/>
      <c r="X26" s="58" t="str" cm="1">
        <f>IFERROR(IF(ISBLANK($A26),"",INDEX(Array_StationaryCharges,MATCH($A26,List_StationaryFuelMeters,0),ROUNDUP((COLUMN()+1)/3-2,0))),"")</f>
        <v/>
      </c>
      <c r="Y26" s="127"/>
      <c r="Z26" s="127"/>
      <c r="AA26" s="58" t="str" cm="1">
        <f>IFERROR(IF(ISBLANK($A26),"",INDEX(Array_StationaryCharges,MATCH($A26,List_StationaryFuelMeters,0),ROUNDUP((COLUMN()+1)/3-2,0))),"")</f>
        <v/>
      </c>
      <c r="AB26" s="127"/>
      <c r="AC26" s="127"/>
      <c r="AD26" s="58" t="str" cm="1">
        <f>IFERROR(IF(ISBLANK($A26),"",INDEX(Array_StationaryCharges,MATCH($A26,List_StationaryFuelMeters,0),ROUNDUP((COLUMN()+1)/3-2,0))),"")</f>
        <v/>
      </c>
      <c r="AE26" s="127"/>
      <c r="AF26" s="127"/>
      <c r="AG26" s="58" t="str" cm="1">
        <f>IFERROR(IF(ISBLANK($A26),"",INDEX(Array_StationaryCharges,MATCH($A26,List_StationaryFuelMeters,0),ROUNDUP((COLUMN()+1)/3-2,0))),"")</f>
        <v/>
      </c>
      <c r="AH26" s="127"/>
      <c r="AI26" s="127"/>
      <c r="AJ26" s="58" t="str" cm="1">
        <f>IFERROR(IF(ISBLANK($A26),"",INDEX(Array_StationaryCharges,MATCH($A26,List_StationaryFuelMeters,0),ROUNDUP((COLUMN()+1)/3-2,0))),"")</f>
        <v/>
      </c>
      <c r="AK26" s="127"/>
      <c r="AL26" s="127"/>
      <c r="AM26" s="58" t="str" cm="1">
        <f>IFERROR(IF(ISBLANK($A26),"",INDEX(Array_StationaryCharges,MATCH($A26,List_StationaryFuelMeters,0),ROUNDUP((COLUMN()+1)/3-2,0))),"")</f>
        <v/>
      </c>
      <c r="AN26" s="127"/>
      <c r="AO26" s="127"/>
      <c r="AP26" s="58" t="str" cm="1">
        <f>IFERROR(IF(ISBLANK($A26),"",INDEX(Array_StationaryCharges,MATCH($A26,List_StationaryFuelMeters,0),ROUNDUP((COLUMN()+1)/3-2,0))),"")</f>
        <v/>
      </c>
      <c r="AQ26" s="127"/>
      <c r="AR26" s="127"/>
      <c r="AS26" s="58" t="str" cm="1">
        <f>IFERROR(IF(ISBLANK($A26),"",INDEX(Array_StationaryCharges,MATCH($A26,List_StationaryFuelMeters,0),ROUNDUP((COLUMN()+1)/3-2,0))),"")</f>
        <v/>
      </c>
      <c r="AT26" s="127"/>
      <c r="AU26" s="127"/>
      <c r="AV26" s="58" t="str" cm="1">
        <f>IFERROR(IF(ISBLANK($A26),"",INDEX(Array_StationaryCharges,MATCH($A26,List_StationaryFuelMeters,0),ROUNDUP((COLUMN()+1)/3-2,0))),"")</f>
        <v/>
      </c>
      <c r="AW26" s="127"/>
      <c r="AX26" s="127"/>
    </row>
    <row r="27" spans="1:50" x14ac:dyDescent="0.3">
      <c r="A27" s="126"/>
      <c r="B27" s="133"/>
      <c r="C27" s="127"/>
      <c r="D27" s="138"/>
      <c r="E27" s="138"/>
      <c r="F27" s="58" t="str" cm="1">
        <f>IFERROR(IF(ISBLANK($A27),"",INDEX(Array_StationaryCharges,MATCH($A27,List_StationaryFuelMeters,0),ROUNDUP((COLUMN()+1)/3-2,0))),"")</f>
        <v/>
      </c>
      <c r="G27" s="127"/>
      <c r="H27" s="127"/>
      <c r="I27" s="58" t="str" cm="1">
        <f>IFERROR(IF(ISBLANK($A27),"",INDEX(Array_StationaryCharges,MATCH($A27,List_StationaryFuelMeters,0),ROUNDUP((COLUMN()+1)/3-2,0))),"")</f>
        <v/>
      </c>
      <c r="J27" s="127"/>
      <c r="K27" s="127"/>
      <c r="L27" s="58" t="str" cm="1">
        <f>IFERROR(IF(ISBLANK($A27),"",INDEX(Array_StationaryCharges,MATCH($A27,List_StationaryFuelMeters,0),ROUNDUP((COLUMN()+1)/3-2,0))),"")</f>
        <v/>
      </c>
      <c r="M27" s="127"/>
      <c r="N27" s="127"/>
      <c r="O27" s="58" t="str" cm="1">
        <f>IFERROR(IF(ISBLANK($A27),"",INDEX(Array_StationaryCharges,MATCH($A27,List_StationaryFuelMeters,0),ROUNDUP((COLUMN()+1)/3-2,0))),"")</f>
        <v/>
      </c>
      <c r="P27" s="127"/>
      <c r="Q27" s="127"/>
      <c r="R27" s="58" t="str" cm="1">
        <f>IFERROR(IF(ISBLANK($A27),"",INDEX(Array_StationaryCharges,MATCH($A27,List_StationaryFuelMeters,0),ROUNDUP((COLUMN()+1)/3-2,0))),"")</f>
        <v/>
      </c>
      <c r="S27" s="127"/>
      <c r="T27" s="127"/>
      <c r="U27" s="58" t="str" cm="1">
        <f>IFERROR(IF(ISBLANK($A27),"",INDEX(Array_StationaryCharges,MATCH($A27,List_StationaryFuelMeters,0),ROUNDUP((COLUMN()+1)/3-2,0))),"")</f>
        <v/>
      </c>
      <c r="V27" s="127"/>
      <c r="W27" s="127"/>
      <c r="X27" s="58" t="str" cm="1">
        <f>IFERROR(IF(ISBLANK($A27),"",INDEX(Array_StationaryCharges,MATCH($A27,List_StationaryFuelMeters,0),ROUNDUP((COLUMN()+1)/3-2,0))),"")</f>
        <v/>
      </c>
      <c r="Y27" s="127"/>
      <c r="Z27" s="127"/>
      <c r="AA27" s="58" t="str" cm="1">
        <f>IFERROR(IF(ISBLANK($A27),"",INDEX(Array_StationaryCharges,MATCH($A27,List_StationaryFuelMeters,0),ROUNDUP((COLUMN()+1)/3-2,0))),"")</f>
        <v/>
      </c>
      <c r="AB27" s="127"/>
      <c r="AC27" s="127"/>
      <c r="AD27" s="58" t="str" cm="1">
        <f>IFERROR(IF(ISBLANK($A27),"",INDEX(Array_StationaryCharges,MATCH($A27,List_StationaryFuelMeters,0),ROUNDUP((COLUMN()+1)/3-2,0))),"")</f>
        <v/>
      </c>
      <c r="AE27" s="127"/>
      <c r="AF27" s="127"/>
      <c r="AG27" s="58" t="str" cm="1">
        <f>IFERROR(IF(ISBLANK($A27),"",INDEX(Array_StationaryCharges,MATCH($A27,List_StationaryFuelMeters,0),ROUNDUP((COLUMN()+1)/3-2,0))),"")</f>
        <v/>
      </c>
      <c r="AH27" s="127"/>
      <c r="AI27" s="127"/>
      <c r="AJ27" s="58" t="str" cm="1">
        <f>IFERROR(IF(ISBLANK($A27),"",INDEX(Array_StationaryCharges,MATCH($A27,List_StationaryFuelMeters,0),ROUNDUP((COLUMN()+1)/3-2,0))),"")</f>
        <v/>
      </c>
      <c r="AK27" s="127"/>
      <c r="AL27" s="127"/>
      <c r="AM27" s="58" t="str" cm="1">
        <f>IFERROR(IF(ISBLANK($A27),"",INDEX(Array_StationaryCharges,MATCH($A27,List_StationaryFuelMeters,0),ROUNDUP((COLUMN()+1)/3-2,0))),"")</f>
        <v/>
      </c>
      <c r="AN27" s="127"/>
      <c r="AO27" s="127"/>
      <c r="AP27" s="58" t="str" cm="1">
        <f>IFERROR(IF(ISBLANK($A27),"",INDEX(Array_StationaryCharges,MATCH($A27,List_StationaryFuelMeters,0),ROUNDUP((COLUMN()+1)/3-2,0))),"")</f>
        <v/>
      </c>
      <c r="AQ27" s="127"/>
      <c r="AR27" s="127"/>
      <c r="AS27" s="58" t="str" cm="1">
        <f>IFERROR(IF(ISBLANK($A27),"",INDEX(Array_StationaryCharges,MATCH($A27,List_StationaryFuelMeters,0),ROUNDUP((COLUMN()+1)/3-2,0))),"")</f>
        <v/>
      </c>
      <c r="AT27" s="127"/>
      <c r="AU27" s="127"/>
      <c r="AV27" s="58" t="str" cm="1">
        <f>IFERROR(IF(ISBLANK($A27),"",INDEX(Array_StationaryCharges,MATCH($A27,List_StationaryFuelMeters,0),ROUNDUP((COLUMN()+1)/3-2,0))),"")</f>
        <v/>
      </c>
      <c r="AW27" s="127"/>
      <c r="AX27" s="127"/>
    </row>
    <row r="28" spans="1:50" x14ac:dyDescent="0.3">
      <c r="A28" s="126"/>
      <c r="B28" s="133"/>
      <c r="C28" s="127"/>
      <c r="D28" s="138"/>
      <c r="E28" s="138"/>
      <c r="F28" s="58" t="str" cm="1">
        <f>IFERROR(IF(ISBLANK($A28),"",INDEX(Array_StationaryCharges,MATCH($A28,List_StationaryFuelMeters,0),ROUNDUP((COLUMN()+1)/3-2,0))),"")</f>
        <v/>
      </c>
      <c r="G28" s="127"/>
      <c r="H28" s="127"/>
      <c r="I28" s="58" t="str" cm="1">
        <f>IFERROR(IF(ISBLANK($A28),"",INDEX(Array_StationaryCharges,MATCH($A28,List_StationaryFuelMeters,0),ROUNDUP((COLUMN()+1)/3-2,0))),"")</f>
        <v/>
      </c>
      <c r="J28" s="127"/>
      <c r="K28" s="127"/>
      <c r="L28" s="58" t="str" cm="1">
        <f>IFERROR(IF(ISBLANK($A28),"",INDEX(Array_StationaryCharges,MATCH($A28,List_StationaryFuelMeters,0),ROUNDUP((COLUMN()+1)/3-2,0))),"")</f>
        <v/>
      </c>
      <c r="M28" s="127"/>
      <c r="N28" s="127"/>
      <c r="O28" s="58" t="str" cm="1">
        <f>IFERROR(IF(ISBLANK($A28),"",INDEX(Array_StationaryCharges,MATCH($A28,List_StationaryFuelMeters,0),ROUNDUP((COLUMN()+1)/3-2,0))),"")</f>
        <v/>
      </c>
      <c r="P28" s="127"/>
      <c r="Q28" s="127"/>
      <c r="R28" s="58" t="str" cm="1">
        <f>IFERROR(IF(ISBLANK($A28),"",INDEX(Array_StationaryCharges,MATCH($A28,List_StationaryFuelMeters,0),ROUNDUP((COLUMN()+1)/3-2,0))),"")</f>
        <v/>
      </c>
      <c r="S28" s="127"/>
      <c r="T28" s="127"/>
      <c r="U28" s="58" t="str" cm="1">
        <f>IFERROR(IF(ISBLANK($A28),"",INDEX(Array_StationaryCharges,MATCH($A28,List_StationaryFuelMeters,0),ROUNDUP((COLUMN()+1)/3-2,0))),"")</f>
        <v/>
      </c>
      <c r="V28" s="127"/>
      <c r="W28" s="127"/>
      <c r="X28" s="58" t="str" cm="1">
        <f>IFERROR(IF(ISBLANK($A28),"",INDEX(Array_StationaryCharges,MATCH($A28,List_StationaryFuelMeters,0),ROUNDUP((COLUMN()+1)/3-2,0))),"")</f>
        <v/>
      </c>
      <c r="Y28" s="127"/>
      <c r="Z28" s="127"/>
      <c r="AA28" s="58" t="str" cm="1">
        <f>IFERROR(IF(ISBLANK($A28),"",INDEX(Array_StationaryCharges,MATCH($A28,List_StationaryFuelMeters,0),ROUNDUP((COLUMN()+1)/3-2,0))),"")</f>
        <v/>
      </c>
      <c r="AB28" s="127"/>
      <c r="AC28" s="127"/>
      <c r="AD28" s="58" t="str" cm="1">
        <f>IFERROR(IF(ISBLANK($A28),"",INDEX(Array_StationaryCharges,MATCH($A28,List_StationaryFuelMeters,0),ROUNDUP((COLUMN()+1)/3-2,0))),"")</f>
        <v/>
      </c>
      <c r="AE28" s="127"/>
      <c r="AF28" s="127"/>
      <c r="AG28" s="58" t="str" cm="1">
        <f>IFERROR(IF(ISBLANK($A28),"",INDEX(Array_StationaryCharges,MATCH($A28,List_StationaryFuelMeters,0),ROUNDUP((COLUMN()+1)/3-2,0))),"")</f>
        <v/>
      </c>
      <c r="AH28" s="127"/>
      <c r="AI28" s="127"/>
      <c r="AJ28" s="58" t="str" cm="1">
        <f>IFERROR(IF(ISBLANK($A28),"",INDEX(Array_StationaryCharges,MATCH($A28,List_StationaryFuelMeters,0),ROUNDUP((COLUMN()+1)/3-2,0))),"")</f>
        <v/>
      </c>
      <c r="AK28" s="127"/>
      <c r="AL28" s="127"/>
      <c r="AM28" s="58" t="str" cm="1">
        <f>IFERROR(IF(ISBLANK($A28),"",INDEX(Array_StationaryCharges,MATCH($A28,List_StationaryFuelMeters,0),ROUNDUP((COLUMN()+1)/3-2,0))),"")</f>
        <v/>
      </c>
      <c r="AN28" s="127"/>
      <c r="AO28" s="127"/>
      <c r="AP28" s="58" t="str" cm="1">
        <f>IFERROR(IF(ISBLANK($A28),"",INDEX(Array_StationaryCharges,MATCH($A28,List_StationaryFuelMeters,0),ROUNDUP((COLUMN()+1)/3-2,0))),"")</f>
        <v/>
      </c>
      <c r="AQ28" s="127"/>
      <c r="AR28" s="127"/>
      <c r="AS28" s="58" t="str" cm="1">
        <f>IFERROR(IF(ISBLANK($A28),"",INDEX(Array_StationaryCharges,MATCH($A28,List_StationaryFuelMeters,0),ROUNDUP((COLUMN()+1)/3-2,0))),"")</f>
        <v/>
      </c>
      <c r="AT28" s="127"/>
      <c r="AU28" s="127"/>
      <c r="AV28" s="58" t="str" cm="1">
        <f>IFERROR(IF(ISBLANK($A28),"",INDEX(Array_StationaryCharges,MATCH($A28,List_StationaryFuelMeters,0),ROUNDUP((COLUMN()+1)/3-2,0))),"")</f>
        <v/>
      </c>
      <c r="AW28" s="127"/>
      <c r="AX28" s="127"/>
    </row>
    <row r="29" spans="1:50" x14ac:dyDescent="0.3">
      <c r="A29" s="126"/>
      <c r="B29" s="133"/>
      <c r="C29" s="127"/>
      <c r="D29" s="138"/>
      <c r="E29" s="138"/>
      <c r="F29" s="58" t="str" cm="1">
        <f>IFERROR(IF(ISBLANK($A29),"",INDEX(Array_StationaryCharges,MATCH($A29,List_StationaryFuelMeters,0),ROUNDUP((COLUMN()+1)/3-2,0))),"")</f>
        <v/>
      </c>
      <c r="G29" s="127"/>
      <c r="H29" s="127"/>
      <c r="I29" s="58" t="str" cm="1">
        <f>IFERROR(IF(ISBLANK($A29),"",INDEX(Array_StationaryCharges,MATCH($A29,List_StationaryFuelMeters,0),ROUNDUP((COLUMN()+1)/3-2,0))),"")</f>
        <v/>
      </c>
      <c r="J29" s="127"/>
      <c r="K29" s="127"/>
      <c r="L29" s="58" t="str" cm="1">
        <f>IFERROR(IF(ISBLANK($A29),"",INDEX(Array_StationaryCharges,MATCH($A29,List_StationaryFuelMeters,0),ROUNDUP((COLUMN()+1)/3-2,0))),"")</f>
        <v/>
      </c>
      <c r="M29" s="127"/>
      <c r="N29" s="127"/>
      <c r="O29" s="58" t="str" cm="1">
        <f>IFERROR(IF(ISBLANK($A29),"",INDEX(Array_StationaryCharges,MATCH($A29,List_StationaryFuelMeters,0),ROUNDUP((COLUMN()+1)/3-2,0))),"")</f>
        <v/>
      </c>
      <c r="P29" s="127"/>
      <c r="Q29" s="127"/>
      <c r="R29" s="58" t="str" cm="1">
        <f>IFERROR(IF(ISBLANK($A29),"",INDEX(Array_StationaryCharges,MATCH($A29,List_StationaryFuelMeters,0),ROUNDUP((COLUMN()+1)/3-2,0))),"")</f>
        <v/>
      </c>
      <c r="S29" s="127"/>
      <c r="T29" s="127"/>
      <c r="U29" s="58" t="str" cm="1">
        <f>IFERROR(IF(ISBLANK($A29),"",INDEX(Array_StationaryCharges,MATCH($A29,List_StationaryFuelMeters,0),ROUNDUP((COLUMN()+1)/3-2,0))),"")</f>
        <v/>
      </c>
      <c r="V29" s="127"/>
      <c r="W29" s="127"/>
      <c r="X29" s="58" t="str" cm="1">
        <f>IFERROR(IF(ISBLANK($A29),"",INDEX(Array_StationaryCharges,MATCH($A29,List_StationaryFuelMeters,0),ROUNDUP((COLUMN()+1)/3-2,0))),"")</f>
        <v/>
      </c>
      <c r="Y29" s="127"/>
      <c r="Z29" s="127"/>
      <c r="AA29" s="58" t="str" cm="1">
        <f>IFERROR(IF(ISBLANK($A29),"",INDEX(Array_StationaryCharges,MATCH($A29,List_StationaryFuelMeters,0),ROUNDUP((COLUMN()+1)/3-2,0))),"")</f>
        <v/>
      </c>
      <c r="AB29" s="127"/>
      <c r="AC29" s="127"/>
      <c r="AD29" s="58" t="str" cm="1">
        <f>IFERROR(IF(ISBLANK($A29),"",INDEX(Array_StationaryCharges,MATCH($A29,List_StationaryFuelMeters,0),ROUNDUP((COLUMN()+1)/3-2,0))),"")</f>
        <v/>
      </c>
      <c r="AE29" s="127"/>
      <c r="AF29" s="127"/>
      <c r="AG29" s="58" t="str" cm="1">
        <f>IFERROR(IF(ISBLANK($A29),"",INDEX(Array_StationaryCharges,MATCH($A29,List_StationaryFuelMeters,0),ROUNDUP((COLUMN()+1)/3-2,0))),"")</f>
        <v/>
      </c>
      <c r="AH29" s="127"/>
      <c r="AI29" s="127"/>
      <c r="AJ29" s="58" t="str" cm="1">
        <f>IFERROR(IF(ISBLANK($A29),"",INDEX(Array_StationaryCharges,MATCH($A29,List_StationaryFuelMeters,0),ROUNDUP((COLUMN()+1)/3-2,0))),"")</f>
        <v/>
      </c>
      <c r="AK29" s="127"/>
      <c r="AL29" s="127"/>
      <c r="AM29" s="58" t="str" cm="1">
        <f>IFERROR(IF(ISBLANK($A29),"",INDEX(Array_StationaryCharges,MATCH($A29,List_StationaryFuelMeters,0),ROUNDUP((COLUMN()+1)/3-2,0))),"")</f>
        <v/>
      </c>
      <c r="AN29" s="127"/>
      <c r="AO29" s="127"/>
      <c r="AP29" s="58" t="str" cm="1">
        <f>IFERROR(IF(ISBLANK($A29),"",INDEX(Array_StationaryCharges,MATCH($A29,List_StationaryFuelMeters,0),ROUNDUP((COLUMN()+1)/3-2,0))),"")</f>
        <v/>
      </c>
      <c r="AQ29" s="127"/>
      <c r="AR29" s="127"/>
      <c r="AS29" s="58" t="str" cm="1">
        <f>IFERROR(IF(ISBLANK($A29),"",INDEX(Array_StationaryCharges,MATCH($A29,List_StationaryFuelMeters,0),ROUNDUP((COLUMN()+1)/3-2,0))),"")</f>
        <v/>
      </c>
      <c r="AT29" s="127"/>
      <c r="AU29" s="127"/>
      <c r="AV29" s="58" t="str" cm="1">
        <f>IFERROR(IF(ISBLANK($A29),"",INDEX(Array_StationaryCharges,MATCH($A29,List_StationaryFuelMeters,0),ROUNDUP((COLUMN()+1)/3-2,0))),"")</f>
        <v/>
      </c>
      <c r="AW29" s="127"/>
      <c r="AX29" s="127"/>
    </row>
    <row r="30" spans="1:50" x14ac:dyDescent="0.3">
      <c r="A30" s="126"/>
      <c r="B30" s="133"/>
      <c r="C30" s="127"/>
      <c r="D30" s="138"/>
      <c r="E30" s="138"/>
      <c r="F30" s="58" t="str" cm="1">
        <f>IFERROR(IF(ISBLANK($A30),"",INDEX(Array_StationaryCharges,MATCH($A30,List_StationaryFuelMeters,0),ROUNDUP((COLUMN()+1)/3-2,0))),"")</f>
        <v/>
      </c>
      <c r="G30" s="127"/>
      <c r="H30" s="127"/>
      <c r="I30" s="58" t="str" cm="1">
        <f>IFERROR(IF(ISBLANK($A30),"",INDEX(Array_StationaryCharges,MATCH($A30,List_StationaryFuelMeters,0),ROUNDUP((COLUMN()+1)/3-2,0))),"")</f>
        <v/>
      </c>
      <c r="J30" s="127"/>
      <c r="K30" s="127"/>
      <c r="L30" s="58" t="str" cm="1">
        <f>IFERROR(IF(ISBLANK($A30),"",INDEX(Array_StationaryCharges,MATCH($A30,List_StationaryFuelMeters,0),ROUNDUP((COLUMN()+1)/3-2,0))),"")</f>
        <v/>
      </c>
      <c r="M30" s="127"/>
      <c r="N30" s="127"/>
      <c r="O30" s="58" t="str" cm="1">
        <f>IFERROR(IF(ISBLANK($A30),"",INDEX(Array_StationaryCharges,MATCH($A30,List_StationaryFuelMeters,0),ROUNDUP((COLUMN()+1)/3-2,0))),"")</f>
        <v/>
      </c>
      <c r="P30" s="127"/>
      <c r="Q30" s="127"/>
      <c r="R30" s="58" t="str" cm="1">
        <f>IFERROR(IF(ISBLANK($A30),"",INDEX(Array_StationaryCharges,MATCH($A30,List_StationaryFuelMeters,0),ROUNDUP((COLUMN()+1)/3-2,0))),"")</f>
        <v/>
      </c>
      <c r="S30" s="127"/>
      <c r="T30" s="127"/>
      <c r="U30" s="58" t="str" cm="1">
        <f>IFERROR(IF(ISBLANK($A30),"",INDEX(Array_StationaryCharges,MATCH($A30,List_StationaryFuelMeters,0),ROUNDUP((COLUMN()+1)/3-2,0))),"")</f>
        <v/>
      </c>
      <c r="V30" s="127"/>
      <c r="W30" s="127"/>
      <c r="X30" s="58" t="str" cm="1">
        <f>IFERROR(IF(ISBLANK($A30),"",INDEX(Array_StationaryCharges,MATCH($A30,List_StationaryFuelMeters,0),ROUNDUP((COLUMN()+1)/3-2,0))),"")</f>
        <v/>
      </c>
      <c r="Y30" s="127"/>
      <c r="Z30" s="127"/>
      <c r="AA30" s="58" t="str" cm="1">
        <f>IFERROR(IF(ISBLANK($A30),"",INDEX(Array_StationaryCharges,MATCH($A30,List_StationaryFuelMeters,0),ROUNDUP((COLUMN()+1)/3-2,0))),"")</f>
        <v/>
      </c>
      <c r="AB30" s="127"/>
      <c r="AC30" s="127"/>
      <c r="AD30" s="58" t="str" cm="1">
        <f>IFERROR(IF(ISBLANK($A30),"",INDEX(Array_StationaryCharges,MATCH($A30,List_StationaryFuelMeters,0),ROUNDUP((COLUMN()+1)/3-2,0))),"")</f>
        <v/>
      </c>
      <c r="AE30" s="127"/>
      <c r="AF30" s="127"/>
      <c r="AG30" s="58" t="str" cm="1">
        <f>IFERROR(IF(ISBLANK($A30),"",INDEX(Array_StationaryCharges,MATCH($A30,List_StationaryFuelMeters,0),ROUNDUP((COLUMN()+1)/3-2,0))),"")</f>
        <v/>
      </c>
      <c r="AH30" s="127"/>
      <c r="AI30" s="127"/>
      <c r="AJ30" s="58" t="str" cm="1">
        <f>IFERROR(IF(ISBLANK($A30),"",INDEX(Array_StationaryCharges,MATCH($A30,List_StationaryFuelMeters,0),ROUNDUP((COLUMN()+1)/3-2,0))),"")</f>
        <v/>
      </c>
      <c r="AK30" s="127"/>
      <c r="AL30" s="127"/>
      <c r="AM30" s="58" t="str" cm="1">
        <f>IFERROR(IF(ISBLANK($A30),"",INDEX(Array_StationaryCharges,MATCH($A30,List_StationaryFuelMeters,0),ROUNDUP((COLUMN()+1)/3-2,0))),"")</f>
        <v/>
      </c>
      <c r="AN30" s="127"/>
      <c r="AO30" s="127"/>
      <c r="AP30" s="58" t="str" cm="1">
        <f>IFERROR(IF(ISBLANK($A30),"",INDEX(Array_StationaryCharges,MATCH($A30,List_StationaryFuelMeters,0),ROUNDUP((COLUMN()+1)/3-2,0))),"")</f>
        <v/>
      </c>
      <c r="AQ30" s="127"/>
      <c r="AR30" s="127"/>
      <c r="AS30" s="58" t="str" cm="1">
        <f>IFERROR(IF(ISBLANK($A30),"",INDEX(Array_StationaryCharges,MATCH($A30,List_StationaryFuelMeters,0),ROUNDUP((COLUMN()+1)/3-2,0))),"")</f>
        <v/>
      </c>
      <c r="AT30" s="127"/>
      <c r="AU30" s="127"/>
      <c r="AV30" s="58" t="str" cm="1">
        <f>IFERROR(IF(ISBLANK($A30),"",INDEX(Array_StationaryCharges,MATCH($A30,List_StationaryFuelMeters,0),ROUNDUP((COLUMN()+1)/3-2,0))),"")</f>
        <v/>
      </c>
      <c r="AW30" s="127"/>
      <c r="AX30" s="127"/>
    </row>
    <row r="31" spans="1:50" x14ac:dyDescent="0.3">
      <c r="A31" s="126"/>
      <c r="B31" s="133"/>
      <c r="C31" s="127"/>
      <c r="D31" s="138"/>
      <c r="E31" s="138"/>
      <c r="F31" s="58" t="str" cm="1">
        <f>IFERROR(IF(ISBLANK($A31),"",INDEX(Array_StationaryCharges,MATCH($A31,List_StationaryFuelMeters,0),ROUNDUP((COLUMN()+1)/3-2,0))),"")</f>
        <v/>
      </c>
      <c r="G31" s="127"/>
      <c r="H31" s="127"/>
      <c r="I31" s="58" t="str" cm="1">
        <f>IFERROR(IF(ISBLANK($A31),"",INDEX(Array_StationaryCharges,MATCH($A31,List_StationaryFuelMeters,0),ROUNDUP((COLUMN()+1)/3-2,0))),"")</f>
        <v/>
      </c>
      <c r="J31" s="127"/>
      <c r="K31" s="127"/>
      <c r="L31" s="58" t="str" cm="1">
        <f>IFERROR(IF(ISBLANK($A31),"",INDEX(Array_StationaryCharges,MATCH($A31,List_StationaryFuelMeters,0),ROUNDUP((COLUMN()+1)/3-2,0))),"")</f>
        <v/>
      </c>
      <c r="M31" s="127"/>
      <c r="N31" s="127"/>
      <c r="O31" s="58" t="str" cm="1">
        <f>IFERROR(IF(ISBLANK($A31),"",INDEX(Array_StationaryCharges,MATCH($A31,List_StationaryFuelMeters,0),ROUNDUP((COLUMN()+1)/3-2,0))),"")</f>
        <v/>
      </c>
      <c r="P31" s="127"/>
      <c r="Q31" s="127"/>
      <c r="R31" s="58" t="str" cm="1">
        <f>IFERROR(IF(ISBLANK($A31),"",INDEX(Array_StationaryCharges,MATCH($A31,List_StationaryFuelMeters,0),ROUNDUP((COLUMN()+1)/3-2,0))),"")</f>
        <v/>
      </c>
      <c r="S31" s="127"/>
      <c r="T31" s="127"/>
      <c r="U31" s="58" t="str" cm="1">
        <f>IFERROR(IF(ISBLANK($A31),"",INDEX(Array_StationaryCharges,MATCH($A31,List_StationaryFuelMeters,0),ROUNDUP((COLUMN()+1)/3-2,0))),"")</f>
        <v/>
      </c>
      <c r="V31" s="127"/>
      <c r="W31" s="127"/>
      <c r="X31" s="58" t="str" cm="1">
        <f>IFERROR(IF(ISBLANK($A31),"",INDEX(Array_StationaryCharges,MATCH($A31,List_StationaryFuelMeters,0),ROUNDUP((COLUMN()+1)/3-2,0))),"")</f>
        <v/>
      </c>
      <c r="Y31" s="127"/>
      <c r="Z31" s="127"/>
      <c r="AA31" s="58" t="str" cm="1">
        <f>IFERROR(IF(ISBLANK($A31),"",INDEX(Array_StationaryCharges,MATCH($A31,List_StationaryFuelMeters,0),ROUNDUP((COLUMN()+1)/3-2,0))),"")</f>
        <v/>
      </c>
      <c r="AB31" s="127"/>
      <c r="AC31" s="127"/>
      <c r="AD31" s="58" t="str" cm="1">
        <f>IFERROR(IF(ISBLANK($A31),"",INDEX(Array_StationaryCharges,MATCH($A31,List_StationaryFuelMeters,0),ROUNDUP((COLUMN()+1)/3-2,0))),"")</f>
        <v/>
      </c>
      <c r="AE31" s="127"/>
      <c r="AF31" s="127"/>
      <c r="AG31" s="58" t="str" cm="1">
        <f>IFERROR(IF(ISBLANK($A31),"",INDEX(Array_StationaryCharges,MATCH($A31,List_StationaryFuelMeters,0),ROUNDUP((COLUMN()+1)/3-2,0))),"")</f>
        <v/>
      </c>
      <c r="AH31" s="127"/>
      <c r="AI31" s="127"/>
      <c r="AJ31" s="58" t="str" cm="1">
        <f>IFERROR(IF(ISBLANK($A31),"",INDEX(Array_StationaryCharges,MATCH($A31,List_StationaryFuelMeters,0),ROUNDUP((COLUMN()+1)/3-2,0))),"")</f>
        <v/>
      </c>
      <c r="AK31" s="127"/>
      <c r="AL31" s="127"/>
      <c r="AM31" s="58" t="str" cm="1">
        <f>IFERROR(IF(ISBLANK($A31),"",INDEX(Array_StationaryCharges,MATCH($A31,List_StationaryFuelMeters,0),ROUNDUP((COLUMN()+1)/3-2,0))),"")</f>
        <v/>
      </c>
      <c r="AN31" s="127"/>
      <c r="AO31" s="127"/>
      <c r="AP31" s="58" t="str" cm="1">
        <f>IFERROR(IF(ISBLANK($A31),"",INDEX(Array_StationaryCharges,MATCH($A31,List_StationaryFuelMeters,0),ROUNDUP((COLUMN()+1)/3-2,0))),"")</f>
        <v/>
      </c>
      <c r="AQ31" s="127"/>
      <c r="AR31" s="127"/>
      <c r="AS31" s="58" t="str" cm="1">
        <f>IFERROR(IF(ISBLANK($A31),"",INDEX(Array_StationaryCharges,MATCH($A31,List_StationaryFuelMeters,0),ROUNDUP((COLUMN()+1)/3-2,0))),"")</f>
        <v/>
      </c>
      <c r="AT31" s="127"/>
      <c r="AU31" s="127"/>
      <c r="AV31" s="58" t="str" cm="1">
        <f>IFERROR(IF(ISBLANK($A31),"",INDEX(Array_StationaryCharges,MATCH($A31,List_StationaryFuelMeters,0),ROUNDUP((COLUMN()+1)/3-2,0))),"")</f>
        <v/>
      </c>
      <c r="AW31" s="127"/>
      <c r="AX31" s="127"/>
    </row>
    <row r="32" spans="1:50" x14ac:dyDescent="0.3">
      <c r="A32" s="126"/>
      <c r="B32" s="133"/>
      <c r="C32" s="127"/>
      <c r="D32" s="138"/>
      <c r="E32" s="138"/>
      <c r="F32" s="58" t="str" cm="1">
        <f>IFERROR(IF(ISBLANK($A32),"",INDEX(Array_StationaryCharges,MATCH($A32,List_StationaryFuelMeters,0),ROUNDUP((COLUMN()+1)/3-2,0))),"")</f>
        <v/>
      </c>
      <c r="G32" s="127"/>
      <c r="H32" s="127"/>
      <c r="I32" s="58" t="str" cm="1">
        <f>IFERROR(IF(ISBLANK($A32),"",INDEX(Array_StationaryCharges,MATCH($A32,List_StationaryFuelMeters,0),ROUNDUP((COLUMN()+1)/3-2,0))),"")</f>
        <v/>
      </c>
      <c r="J32" s="127"/>
      <c r="K32" s="127"/>
      <c r="L32" s="58" t="str" cm="1">
        <f>IFERROR(IF(ISBLANK($A32),"",INDEX(Array_StationaryCharges,MATCH($A32,List_StationaryFuelMeters,0),ROUNDUP((COLUMN()+1)/3-2,0))),"")</f>
        <v/>
      </c>
      <c r="M32" s="127"/>
      <c r="N32" s="127"/>
      <c r="O32" s="58" t="str" cm="1">
        <f>IFERROR(IF(ISBLANK($A32),"",INDEX(Array_StationaryCharges,MATCH($A32,List_StationaryFuelMeters,0),ROUNDUP((COLUMN()+1)/3-2,0))),"")</f>
        <v/>
      </c>
      <c r="P32" s="127"/>
      <c r="Q32" s="127"/>
      <c r="R32" s="58" t="str" cm="1">
        <f>IFERROR(IF(ISBLANK($A32),"",INDEX(Array_StationaryCharges,MATCH($A32,List_StationaryFuelMeters,0),ROUNDUP((COLUMN()+1)/3-2,0))),"")</f>
        <v/>
      </c>
      <c r="S32" s="127"/>
      <c r="T32" s="127"/>
      <c r="U32" s="58" t="str" cm="1">
        <f>IFERROR(IF(ISBLANK($A32),"",INDEX(Array_StationaryCharges,MATCH($A32,List_StationaryFuelMeters,0),ROUNDUP((COLUMN()+1)/3-2,0))),"")</f>
        <v/>
      </c>
      <c r="V32" s="127"/>
      <c r="W32" s="127"/>
      <c r="X32" s="58" t="str" cm="1">
        <f>IFERROR(IF(ISBLANK($A32),"",INDEX(Array_StationaryCharges,MATCH($A32,List_StationaryFuelMeters,0),ROUNDUP((COLUMN()+1)/3-2,0))),"")</f>
        <v/>
      </c>
      <c r="Y32" s="127"/>
      <c r="Z32" s="127"/>
      <c r="AA32" s="58" t="str" cm="1">
        <f>IFERROR(IF(ISBLANK($A32),"",INDEX(Array_StationaryCharges,MATCH($A32,List_StationaryFuelMeters,0),ROUNDUP((COLUMN()+1)/3-2,0))),"")</f>
        <v/>
      </c>
      <c r="AB32" s="127"/>
      <c r="AC32" s="127"/>
      <c r="AD32" s="58" t="str" cm="1">
        <f>IFERROR(IF(ISBLANK($A32),"",INDEX(Array_StationaryCharges,MATCH($A32,List_StationaryFuelMeters,0),ROUNDUP((COLUMN()+1)/3-2,0))),"")</f>
        <v/>
      </c>
      <c r="AE32" s="127"/>
      <c r="AF32" s="127"/>
      <c r="AG32" s="58" t="str" cm="1">
        <f>IFERROR(IF(ISBLANK($A32),"",INDEX(Array_StationaryCharges,MATCH($A32,List_StationaryFuelMeters,0),ROUNDUP((COLUMN()+1)/3-2,0))),"")</f>
        <v/>
      </c>
      <c r="AH32" s="127"/>
      <c r="AI32" s="127"/>
      <c r="AJ32" s="58" t="str" cm="1">
        <f>IFERROR(IF(ISBLANK($A32),"",INDEX(Array_StationaryCharges,MATCH($A32,List_StationaryFuelMeters,0),ROUNDUP((COLUMN()+1)/3-2,0))),"")</f>
        <v/>
      </c>
      <c r="AK32" s="127"/>
      <c r="AL32" s="127"/>
      <c r="AM32" s="58" t="str" cm="1">
        <f>IFERROR(IF(ISBLANK($A32),"",INDEX(Array_StationaryCharges,MATCH($A32,List_StationaryFuelMeters,0),ROUNDUP((COLUMN()+1)/3-2,0))),"")</f>
        <v/>
      </c>
      <c r="AN32" s="127"/>
      <c r="AO32" s="127"/>
      <c r="AP32" s="58" t="str" cm="1">
        <f>IFERROR(IF(ISBLANK($A32),"",INDEX(Array_StationaryCharges,MATCH($A32,List_StationaryFuelMeters,0),ROUNDUP((COLUMN()+1)/3-2,0))),"")</f>
        <v/>
      </c>
      <c r="AQ32" s="127"/>
      <c r="AR32" s="127"/>
      <c r="AS32" s="58" t="str" cm="1">
        <f>IFERROR(IF(ISBLANK($A32),"",INDEX(Array_StationaryCharges,MATCH($A32,List_StationaryFuelMeters,0),ROUNDUP((COLUMN()+1)/3-2,0))),"")</f>
        <v/>
      </c>
      <c r="AT32" s="127"/>
      <c r="AU32" s="127"/>
      <c r="AV32" s="58" t="str" cm="1">
        <f>IFERROR(IF(ISBLANK($A32),"",INDEX(Array_StationaryCharges,MATCH($A32,List_StationaryFuelMeters,0),ROUNDUP((COLUMN()+1)/3-2,0))),"")</f>
        <v/>
      </c>
      <c r="AW32" s="127"/>
      <c r="AX32" s="127"/>
    </row>
    <row r="33" spans="1:50" x14ac:dyDescent="0.3">
      <c r="A33" s="126"/>
      <c r="B33" s="133"/>
      <c r="C33" s="127"/>
      <c r="D33" s="138"/>
      <c r="E33" s="138"/>
      <c r="F33" s="58" t="str" cm="1">
        <f>IFERROR(IF(ISBLANK($A33),"",INDEX(Array_StationaryCharges,MATCH($A33,List_StationaryFuelMeters,0),ROUNDUP((COLUMN()+1)/3-2,0))),"")</f>
        <v/>
      </c>
      <c r="G33" s="127"/>
      <c r="H33" s="127"/>
      <c r="I33" s="58" t="str" cm="1">
        <f>IFERROR(IF(ISBLANK($A33),"",INDEX(Array_StationaryCharges,MATCH($A33,List_StationaryFuelMeters,0),ROUNDUP((COLUMN()+1)/3-2,0))),"")</f>
        <v/>
      </c>
      <c r="J33" s="127"/>
      <c r="K33" s="127"/>
      <c r="L33" s="58" t="str" cm="1">
        <f>IFERROR(IF(ISBLANK($A33),"",INDEX(Array_StationaryCharges,MATCH($A33,List_StationaryFuelMeters,0),ROUNDUP((COLUMN()+1)/3-2,0))),"")</f>
        <v/>
      </c>
      <c r="M33" s="127"/>
      <c r="N33" s="127"/>
      <c r="O33" s="58" t="str" cm="1">
        <f>IFERROR(IF(ISBLANK($A33),"",INDEX(Array_StationaryCharges,MATCH($A33,List_StationaryFuelMeters,0),ROUNDUP((COLUMN()+1)/3-2,0))),"")</f>
        <v/>
      </c>
      <c r="P33" s="127"/>
      <c r="Q33" s="127"/>
      <c r="R33" s="58" t="str" cm="1">
        <f>IFERROR(IF(ISBLANK($A33),"",INDEX(Array_StationaryCharges,MATCH($A33,List_StationaryFuelMeters,0),ROUNDUP((COLUMN()+1)/3-2,0))),"")</f>
        <v/>
      </c>
      <c r="S33" s="127"/>
      <c r="T33" s="127"/>
      <c r="U33" s="58" t="str" cm="1">
        <f>IFERROR(IF(ISBLANK($A33),"",INDEX(Array_StationaryCharges,MATCH($A33,List_StationaryFuelMeters,0),ROUNDUP((COLUMN()+1)/3-2,0))),"")</f>
        <v/>
      </c>
      <c r="V33" s="127"/>
      <c r="W33" s="127"/>
      <c r="X33" s="58" t="str" cm="1">
        <f>IFERROR(IF(ISBLANK($A33),"",INDEX(Array_StationaryCharges,MATCH($A33,List_StationaryFuelMeters,0),ROUNDUP((COLUMN()+1)/3-2,0))),"")</f>
        <v/>
      </c>
      <c r="Y33" s="127"/>
      <c r="Z33" s="127"/>
      <c r="AA33" s="58" t="str" cm="1">
        <f>IFERROR(IF(ISBLANK($A33),"",INDEX(Array_StationaryCharges,MATCH($A33,List_StationaryFuelMeters,0),ROUNDUP((COLUMN()+1)/3-2,0))),"")</f>
        <v/>
      </c>
      <c r="AB33" s="127"/>
      <c r="AC33" s="127"/>
      <c r="AD33" s="58" t="str" cm="1">
        <f>IFERROR(IF(ISBLANK($A33),"",INDEX(Array_StationaryCharges,MATCH($A33,List_StationaryFuelMeters,0),ROUNDUP((COLUMN()+1)/3-2,0))),"")</f>
        <v/>
      </c>
      <c r="AE33" s="127"/>
      <c r="AF33" s="127"/>
      <c r="AG33" s="58" t="str" cm="1">
        <f>IFERROR(IF(ISBLANK($A33),"",INDEX(Array_StationaryCharges,MATCH($A33,List_StationaryFuelMeters,0),ROUNDUP((COLUMN()+1)/3-2,0))),"")</f>
        <v/>
      </c>
      <c r="AH33" s="127"/>
      <c r="AI33" s="127"/>
      <c r="AJ33" s="58" t="str" cm="1">
        <f>IFERROR(IF(ISBLANK($A33),"",INDEX(Array_StationaryCharges,MATCH($A33,List_StationaryFuelMeters,0),ROUNDUP((COLUMN()+1)/3-2,0))),"")</f>
        <v/>
      </c>
      <c r="AK33" s="127"/>
      <c r="AL33" s="127"/>
      <c r="AM33" s="58" t="str" cm="1">
        <f>IFERROR(IF(ISBLANK($A33),"",INDEX(Array_StationaryCharges,MATCH($A33,List_StationaryFuelMeters,0),ROUNDUP((COLUMN()+1)/3-2,0))),"")</f>
        <v/>
      </c>
      <c r="AN33" s="127"/>
      <c r="AO33" s="127"/>
      <c r="AP33" s="58" t="str" cm="1">
        <f>IFERROR(IF(ISBLANK($A33),"",INDEX(Array_StationaryCharges,MATCH($A33,List_StationaryFuelMeters,0),ROUNDUP((COLUMN()+1)/3-2,0))),"")</f>
        <v/>
      </c>
      <c r="AQ33" s="127"/>
      <c r="AR33" s="127"/>
      <c r="AS33" s="58" t="str" cm="1">
        <f>IFERROR(IF(ISBLANK($A33),"",INDEX(Array_StationaryCharges,MATCH($A33,List_StationaryFuelMeters,0),ROUNDUP((COLUMN()+1)/3-2,0))),"")</f>
        <v/>
      </c>
      <c r="AT33" s="127"/>
      <c r="AU33" s="127"/>
      <c r="AV33" s="58" t="str" cm="1">
        <f>IFERROR(IF(ISBLANK($A33),"",INDEX(Array_StationaryCharges,MATCH($A33,List_StationaryFuelMeters,0),ROUNDUP((COLUMN()+1)/3-2,0))),"")</f>
        <v/>
      </c>
      <c r="AW33" s="127"/>
      <c r="AX33" s="127"/>
    </row>
    <row r="34" spans="1:50" x14ac:dyDescent="0.3">
      <c r="A34" s="126"/>
      <c r="B34" s="133"/>
      <c r="C34" s="127"/>
      <c r="D34" s="138"/>
      <c r="E34" s="138"/>
      <c r="F34" s="58" t="str" cm="1">
        <f>IFERROR(IF(ISBLANK($A34),"",INDEX(Array_StationaryCharges,MATCH($A34,List_StationaryFuelMeters,0),ROUNDUP((COLUMN()+1)/3-2,0))),"")</f>
        <v/>
      </c>
      <c r="G34" s="127"/>
      <c r="H34" s="127"/>
      <c r="I34" s="58" t="str" cm="1">
        <f>IFERROR(IF(ISBLANK($A34),"",INDEX(Array_StationaryCharges,MATCH($A34,List_StationaryFuelMeters,0),ROUNDUP((COLUMN()+1)/3-2,0))),"")</f>
        <v/>
      </c>
      <c r="J34" s="127"/>
      <c r="K34" s="127"/>
      <c r="L34" s="58" t="str" cm="1">
        <f>IFERROR(IF(ISBLANK($A34),"",INDEX(Array_StationaryCharges,MATCH($A34,List_StationaryFuelMeters,0),ROUNDUP((COLUMN()+1)/3-2,0))),"")</f>
        <v/>
      </c>
      <c r="M34" s="127"/>
      <c r="N34" s="127"/>
      <c r="O34" s="58" t="str" cm="1">
        <f>IFERROR(IF(ISBLANK($A34),"",INDEX(Array_StationaryCharges,MATCH($A34,List_StationaryFuelMeters,0),ROUNDUP((COLUMN()+1)/3-2,0))),"")</f>
        <v/>
      </c>
      <c r="P34" s="127"/>
      <c r="Q34" s="127"/>
      <c r="R34" s="58" t="str" cm="1">
        <f>IFERROR(IF(ISBLANK($A34),"",INDEX(Array_StationaryCharges,MATCH($A34,List_StationaryFuelMeters,0),ROUNDUP((COLUMN()+1)/3-2,0))),"")</f>
        <v/>
      </c>
      <c r="S34" s="127"/>
      <c r="T34" s="127"/>
      <c r="U34" s="58" t="str" cm="1">
        <f>IFERROR(IF(ISBLANK($A34),"",INDEX(Array_StationaryCharges,MATCH($A34,List_StationaryFuelMeters,0),ROUNDUP((COLUMN()+1)/3-2,0))),"")</f>
        <v/>
      </c>
      <c r="V34" s="127"/>
      <c r="W34" s="127"/>
      <c r="X34" s="58" t="str" cm="1">
        <f>IFERROR(IF(ISBLANK($A34),"",INDEX(Array_StationaryCharges,MATCH($A34,List_StationaryFuelMeters,0),ROUNDUP((COLUMN()+1)/3-2,0))),"")</f>
        <v/>
      </c>
      <c r="Y34" s="127"/>
      <c r="Z34" s="127"/>
      <c r="AA34" s="58" t="str" cm="1">
        <f>IFERROR(IF(ISBLANK($A34),"",INDEX(Array_StationaryCharges,MATCH($A34,List_StationaryFuelMeters,0),ROUNDUP((COLUMN()+1)/3-2,0))),"")</f>
        <v/>
      </c>
      <c r="AB34" s="127"/>
      <c r="AC34" s="127"/>
      <c r="AD34" s="58" t="str" cm="1">
        <f>IFERROR(IF(ISBLANK($A34),"",INDEX(Array_StationaryCharges,MATCH($A34,List_StationaryFuelMeters,0),ROUNDUP((COLUMN()+1)/3-2,0))),"")</f>
        <v/>
      </c>
      <c r="AE34" s="127"/>
      <c r="AF34" s="127"/>
      <c r="AG34" s="58" t="str" cm="1">
        <f>IFERROR(IF(ISBLANK($A34),"",INDEX(Array_StationaryCharges,MATCH($A34,List_StationaryFuelMeters,0),ROUNDUP((COLUMN()+1)/3-2,0))),"")</f>
        <v/>
      </c>
      <c r="AH34" s="127"/>
      <c r="AI34" s="127"/>
      <c r="AJ34" s="58" t="str" cm="1">
        <f>IFERROR(IF(ISBLANK($A34),"",INDEX(Array_StationaryCharges,MATCH($A34,List_StationaryFuelMeters,0),ROUNDUP((COLUMN()+1)/3-2,0))),"")</f>
        <v/>
      </c>
      <c r="AK34" s="127"/>
      <c r="AL34" s="127"/>
      <c r="AM34" s="58" t="str" cm="1">
        <f>IFERROR(IF(ISBLANK($A34),"",INDEX(Array_StationaryCharges,MATCH($A34,List_StationaryFuelMeters,0),ROUNDUP((COLUMN()+1)/3-2,0))),"")</f>
        <v/>
      </c>
      <c r="AN34" s="127"/>
      <c r="AO34" s="127"/>
      <c r="AP34" s="58" t="str" cm="1">
        <f>IFERROR(IF(ISBLANK($A34),"",INDEX(Array_StationaryCharges,MATCH($A34,List_StationaryFuelMeters,0),ROUNDUP((COLUMN()+1)/3-2,0))),"")</f>
        <v/>
      </c>
      <c r="AQ34" s="127"/>
      <c r="AR34" s="127"/>
      <c r="AS34" s="58" t="str" cm="1">
        <f>IFERROR(IF(ISBLANK($A34),"",INDEX(Array_StationaryCharges,MATCH($A34,List_StationaryFuelMeters,0),ROUNDUP((COLUMN()+1)/3-2,0))),"")</f>
        <v/>
      </c>
      <c r="AT34" s="127"/>
      <c r="AU34" s="127"/>
      <c r="AV34" s="58" t="str" cm="1">
        <f>IFERROR(IF(ISBLANK($A34),"",INDEX(Array_StationaryCharges,MATCH($A34,List_StationaryFuelMeters,0),ROUNDUP((COLUMN()+1)/3-2,0))),"")</f>
        <v/>
      </c>
      <c r="AW34" s="127"/>
      <c r="AX34" s="127"/>
    </row>
    <row r="35" spans="1:50" x14ac:dyDescent="0.3">
      <c r="A35" s="126"/>
      <c r="B35" s="133"/>
      <c r="C35" s="127"/>
      <c r="D35" s="138"/>
      <c r="E35" s="138"/>
      <c r="F35" s="58" t="str" cm="1">
        <f>IFERROR(IF(ISBLANK($A35),"",INDEX(Array_StationaryCharges,MATCH($A35,List_StationaryFuelMeters,0),ROUNDUP((COLUMN()+1)/3-2,0))),"")</f>
        <v/>
      </c>
      <c r="G35" s="127"/>
      <c r="H35" s="127"/>
      <c r="I35" s="58" t="str" cm="1">
        <f>IFERROR(IF(ISBLANK($A35),"",INDEX(Array_StationaryCharges,MATCH($A35,List_StationaryFuelMeters,0),ROUNDUP((COLUMN()+1)/3-2,0))),"")</f>
        <v/>
      </c>
      <c r="J35" s="127"/>
      <c r="K35" s="127"/>
      <c r="L35" s="58" t="str" cm="1">
        <f>IFERROR(IF(ISBLANK($A35),"",INDEX(Array_StationaryCharges,MATCH($A35,List_StationaryFuelMeters,0),ROUNDUP((COLUMN()+1)/3-2,0))),"")</f>
        <v/>
      </c>
      <c r="M35" s="127"/>
      <c r="N35" s="127"/>
      <c r="O35" s="58" t="str" cm="1">
        <f>IFERROR(IF(ISBLANK($A35),"",INDEX(Array_StationaryCharges,MATCH($A35,List_StationaryFuelMeters,0),ROUNDUP((COLUMN()+1)/3-2,0))),"")</f>
        <v/>
      </c>
      <c r="P35" s="127"/>
      <c r="Q35" s="127"/>
      <c r="R35" s="58" t="str" cm="1">
        <f>IFERROR(IF(ISBLANK($A35),"",INDEX(Array_StationaryCharges,MATCH($A35,List_StationaryFuelMeters,0),ROUNDUP((COLUMN()+1)/3-2,0))),"")</f>
        <v/>
      </c>
      <c r="S35" s="127"/>
      <c r="T35" s="127"/>
      <c r="U35" s="58" t="str" cm="1">
        <f>IFERROR(IF(ISBLANK($A35),"",INDEX(Array_StationaryCharges,MATCH($A35,List_StationaryFuelMeters,0),ROUNDUP((COLUMN()+1)/3-2,0))),"")</f>
        <v/>
      </c>
      <c r="V35" s="127"/>
      <c r="W35" s="127"/>
      <c r="X35" s="58" t="str" cm="1">
        <f>IFERROR(IF(ISBLANK($A35),"",INDEX(Array_StationaryCharges,MATCH($A35,List_StationaryFuelMeters,0),ROUNDUP((COLUMN()+1)/3-2,0))),"")</f>
        <v/>
      </c>
      <c r="Y35" s="127"/>
      <c r="Z35" s="127"/>
      <c r="AA35" s="58" t="str" cm="1">
        <f>IFERROR(IF(ISBLANK($A35),"",INDEX(Array_StationaryCharges,MATCH($A35,List_StationaryFuelMeters,0),ROUNDUP((COLUMN()+1)/3-2,0))),"")</f>
        <v/>
      </c>
      <c r="AB35" s="127"/>
      <c r="AC35" s="127"/>
      <c r="AD35" s="58" t="str" cm="1">
        <f>IFERROR(IF(ISBLANK($A35),"",INDEX(Array_StationaryCharges,MATCH($A35,List_StationaryFuelMeters,0),ROUNDUP((COLUMN()+1)/3-2,0))),"")</f>
        <v/>
      </c>
      <c r="AE35" s="127"/>
      <c r="AF35" s="127"/>
      <c r="AG35" s="58" t="str" cm="1">
        <f>IFERROR(IF(ISBLANK($A35),"",INDEX(Array_StationaryCharges,MATCH($A35,List_StationaryFuelMeters,0),ROUNDUP((COLUMN()+1)/3-2,0))),"")</f>
        <v/>
      </c>
      <c r="AH35" s="127"/>
      <c r="AI35" s="127"/>
      <c r="AJ35" s="58" t="str" cm="1">
        <f>IFERROR(IF(ISBLANK($A35),"",INDEX(Array_StationaryCharges,MATCH($A35,List_StationaryFuelMeters,0),ROUNDUP((COLUMN()+1)/3-2,0))),"")</f>
        <v/>
      </c>
      <c r="AK35" s="127"/>
      <c r="AL35" s="127"/>
      <c r="AM35" s="58" t="str" cm="1">
        <f>IFERROR(IF(ISBLANK($A35),"",INDEX(Array_StationaryCharges,MATCH($A35,List_StationaryFuelMeters,0),ROUNDUP((COLUMN()+1)/3-2,0))),"")</f>
        <v/>
      </c>
      <c r="AN35" s="127"/>
      <c r="AO35" s="127"/>
      <c r="AP35" s="58" t="str" cm="1">
        <f>IFERROR(IF(ISBLANK($A35),"",INDEX(Array_StationaryCharges,MATCH($A35,List_StationaryFuelMeters,0),ROUNDUP((COLUMN()+1)/3-2,0))),"")</f>
        <v/>
      </c>
      <c r="AQ35" s="127"/>
      <c r="AR35" s="127"/>
      <c r="AS35" s="58" t="str" cm="1">
        <f>IFERROR(IF(ISBLANK($A35),"",INDEX(Array_StationaryCharges,MATCH($A35,List_StationaryFuelMeters,0),ROUNDUP((COLUMN()+1)/3-2,0))),"")</f>
        <v/>
      </c>
      <c r="AT35" s="127"/>
      <c r="AU35" s="127"/>
      <c r="AV35" s="58" t="str" cm="1">
        <f>IFERROR(IF(ISBLANK($A35),"",INDEX(Array_StationaryCharges,MATCH($A35,List_StationaryFuelMeters,0),ROUNDUP((COLUMN()+1)/3-2,0))),"")</f>
        <v/>
      </c>
      <c r="AW35" s="127"/>
      <c r="AX35" s="127"/>
    </row>
    <row r="36" spans="1:50" x14ac:dyDescent="0.3">
      <c r="A36" s="126"/>
      <c r="B36" s="133"/>
      <c r="C36" s="127"/>
      <c r="D36" s="138"/>
      <c r="E36" s="138"/>
      <c r="F36" s="58" t="str" cm="1">
        <f>IFERROR(IF(ISBLANK($A36),"",INDEX(Array_StationaryCharges,MATCH($A36,List_StationaryFuelMeters,0),ROUNDUP((COLUMN()+1)/3-2,0))),"")</f>
        <v/>
      </c>
      <c r="G36" s="127"/>
      <c r="H36" s="127"/>
      <c r="I36" s="58" t="str" cm="1">
        <f>IFERROR(IF(ISBLANK($A36),"",INDEX(Array_StationaryCharges,MATCH($A36,List_StationaryFuelMeters,0),ROUNDUP((COLUMN()+1)/3-2,0))),"")</f>
        <v/>
      </c>
      <c r="J36" s="127"/>
      <c r="K36" s="127"/>
      <c r="L36" s="58" t="str" cm="1">
        <f>IFERROR(IF(ISBLANK($A36),"",INDEX(Array_StationaryCharges,MATCH($A36,List_StationaryFuelMeters,0),ROUNDUP((COLUMN()+1)/3-2,0))),"")</f>
        <v/>
      </c>
      <c r="M36" s="127"/>
      <c r="N36" s="127"/>
      <c r="O36" s="58" t="str" cm="1">
        <f>IFERROR(IF(ISBLANK($A36),"",INDEX(Array_StationaryCharges,MATCH($A36,List_StationaryFuelMeters,0),ROUNDUP((COLUMN()+1)/3-2,0))),"")</f>
        <v/>
      </c>
      <c r="P36" s="127"/>
      <c r="Q36" s="127"/>
      <c r="R36" s="58" t="str" cm="1">
        <f>IFERROR(IF(ISBLANK($A36),"",INDEX(Array_StationaryCharges,MATCH($A36,List_StationaryFuelMeters,0),ROUNDUP((COLUMN()+1)/3-2,0))),"")</f>
        <v/>
      </c>
      <c r="S36" s="127"/>
      <c r="T36" s="127"/>
      <c r="U36" s="58" t="str" cm="1">
        <f>IFERROR(IF(ISBLANK($A36),"",INDEX(Array_StationaryCharges,MATCH($A36,List_StationaryFuelMeters,0),ROUNDUP((COLUMN()+1)/3-2,0))),"")</f>
        <v/>
      </c>
      <c r="V36" s="127"/>
      <c r="W36" s="127"/>
      <c r="X36" s="58" t="str" cm="1">
        <f>IFERROR(IF(ISBLANK($A36),"",INDEX(Array_StationaryCharges,MATCH($A36,List_StationaryFuelMeters,0),ROUNDUP((COLUMN()+1)/3-2,0))),"")</f>
        <v/>
      </c>
      <c r="Y36" s="127"/>
      <c r="Z36" s="127"/>
      <c r="AA36" s="58" t="str" cm="1">
        <f>IFERROR(IF(ISBLANK($A36),"",INDEX(Array_StationaryCharges,MATCH($A36,List_StationaryFuelMeters,0),ROUNDUP((COLUMN()+1)/3-2,0))),"")</f>
        <v/>
      </c>
      <c r="AB36" s="127"/>
      <c r="AC36" s="127"/>
      <c r="AD36" s="58" t="str" cm="1">
        <f>IFERROR(IF(ISBLANK($A36),"",INDEX(Array_StationaryCharges,MATCH($A36,List_StationaryFuelMeters,0),ROUNDUP((COLUMN()+1)/3-2,0))),"")</f>
        <v/>
      </c>
      <c r="AE36" s="127"/>
      <c r="AF36" s="127"/>
      <c r="AG36" s="58" t="str" cm="1">
        <f>IFERROR(IF(ISBLANK($A36),"",INDEX(Array_StationaryCharges,MATCH($A36,List_StationaryFuelMeters,0),ROUNDUP((COLUMN()+1)/3-2,0))),"")</f>
        <v/>
      </c>
      <c r="AH36" s="127"/>
      <c r="AI36" s="127"/>
      <c r="AJ36" s="58" t="str" cm="1">
        <f>IFERROR(IF(ISBLANK($A36),"",INDEX(Array_StationaryCharges,MATCH($A36,List_StationaryFuelMeters,0),ROUNDUP((COLUMN()+1)/3-2,0))),"")</f>
        <v/>
      </c>
      <c r="AK36" s="127"/>
      <c r="AL36" s="127"/>
      <c r="AM36" s="58" t="str" cm="1">
        <f>IFERROR(IF(ISBLANK($A36),"",INDEX(Array_StationaryCharges,MATCH($A36,List_StationaryFuelMeters,0),ROUNDUP((COLUMN()+1)/3-2,0))),"")</f>
        <v/>
      </c>
      <c r="AN36" s="127"/>
      <c r="AO36" s="127"/>
      <c r="AP36" s="58" t="str" cm="1">
        <f>IFERROR(IF(ISBLANK($A36),"",INDEX(Array_StationaryCharges,MATCH($A36,List_StationaryFuelMeters,0),ROUNDUP((COLUMN()+1)/3-2,0))),"")</f>
        <v/>
      </c>
      <c r="AQ36" s="127"/>
      <c r="AR36" s="127"/>
      <c r="AS36" s="58" t="str" cm="1">
        <f>IFERROR(IF(ISBLANK($A36),"",INDEX(Array_StationaryCharges,MATCH($A36,List_StationaryFuelMeters,0),ROUNDUP((COLUMN()+1)/3-2,0))),"")</f>
        <v/>
      </c>
      <c r="AT36" s="127"/>
      <c r="AU36" s="127"/>
      <c r="AV36" s="58" t="str" cm="1">
        <f>IFERROR(IF(ISBLANK($A36),"",INDEX(Array_StationaryCharges,MATCH($A36,List_StationaryFuelMeters,0),ROUNDUP((COLUMN()+1)/3-2,0))),"")</f>
        <v/>
      </c>
      <c r="AW36" s="127"/>
      <c r="AX36" s="127"/>
    </row>
    <row r="37" spans="1:50" x14ac:dyDescent="0.3">
      <c r="A37" s="126"/>
      <c r="B37" s="133"/>
      <c r="C37" s="127"/>
      <c r="D37" s="138"/>
      <c r="E37" s="138"/>
      <c r="F37" s="58" t="str" cm="1">
        <f>IFERROR(IF(ISBLANK($A37),"",INDEX(Array_StationaryCharges,MATCH($A37,List_StationaryFuelMeters,0),ROUNDUP((COLUMN()+1)/3-2,0))),"")</f>
        <v/>
      </c>
      <c r="G37" s="127"/>
      <c r="H37" s="127"/>
      <c r="I37" s="58" t="str" cm="1">
        <f>IFERROR(IF(ISBLANK($A37),"",INDEX(Array_StationaryCharges,MATCH($A37,List_StationaryFuelMeters,0),ROUNDUP((COLUMN()+1)/3-2,0))),"")</f>
        <v/>
      </c>
      <c r="J37" s="127"/>
      <c r="K37" s="127"/>
      <c r="L37" s="58" t="str" cm="1">
        <f>IFERROR(IF(ISBLANK($A37),"",INDEX(Array_StationaryCharges,MATCH($A37,List_StationaryFuelMeters,0),ROUNDUP((COLUMN()+1)/3-2,0))),"")</f>
        <v/>
      </c>
      <c r="M37" s="127"/>
      <c r="N37" s="127"/>
      <c r="O37" s="58" t="str" cm="1">
        <f>IFERROR(IF(ISBLANK($A37),"",INDEX(Array_StationaryCharges,MATCH($A37,List_StationaryFuelMeters,0),ROUNDUP((COLUMN()+1)/3-2,0))),"")</f>
        <v/>
      </c>
      <c r="P37" s="127"/>
      <c r="Q37" s="127"/>
      <c r="R37" s="58" t="str" cm="1">
        <f>IFERROR(IF(ISBLANK($A37),"",INDEX(Array_StationaryCharges,MATCH($A37,List_StationaryFuelMeters,0),ROUNDUP((COLUMN()+1)/3-2,0))),"")</f>
        <v/>
      </c>
      <c r="S37" s="127"/>
      <c r="T37" s="127"/>
      <c r="U37" s="58" t="str" cm="1">
        <f>IFERROR(IF(ISBLANK($A37),"",INDEX(Array_StationaryCharges,MATCH($A37,List_StationaryFuelMeters,0),ROUNDUP((COLUMN()+1)/3-2,0))),"")</f>
        <v/>
      </c>
      <c r="V37" s="127"/>
      <c r="W37" s="127"/>
      <c r="X37" s="58" t="str" cm="1">
        <f>IFERROR(IF(ISBLANK($A37),"",INDEX(Array_StationaryCharges,MATCH($A37,List_StationaryFuelMeters,0),ROUNDUP((COLUMN()+1)/3-2,0))),"")</f>
        <v/>
      </c>
      <c r="Y37" s="127"/>
      <c r="Z37" s="127"/>
      <c r="AA37" s="58" t="str" cm="1">
        <f>IFERROR(IF(ISBLANK($A37),"",INDEX(Array_StationaryCharges,MATCH($A37,List_StationaryFuelMeters,0),ROUNDUP((COLUMN()+1)/3-2,0))),"")</f>
        <v/>
      </c>
      <c r="AB37" s="127"/>
      <c r="AC37" s="127"/>
      <c r="AD37" s="58" t="str" cm="1">
        <f>IFERROR(IF(ISBLANK($A37),"",INDEX(Array_StationaryCharges,MATCH($A37,List_StationaryFuelMeters,0),ROUNDUP((COLUMN()+1)/3-2,0))),"")</f>
        <v/>
      </c>
      <c r="AE37" s="127"/>
      <c r="AF37" s="127"/>
      <c r="AG37" s="58" t="str" cm="1">
        <f>IFERROR(IF(ISBLANK($A37),"",INDEX(Array_StationaryCharges,MATCH($A37,List_StationaryFuelMeters,0),ROUNDUP((COLUMN()+1)/3-2,0))),"")</f>
        <v/>
      </c>
      <c r="AH37" s="127"/>
      <c r="AI37" s="127"/>
      <c r="AJ37" s="58" t="str" cm="1">
        <f>IFERROR(IF(ISBLANK($A37),"",INDEX(Array_StationaryCharges,MATCH($A37,List_StationaryFuelMeters,0),ROUNDUP((COLUMN()+1)/3-2,0))),"")</f>
        <v/>
      </c>
      <c r="AK37" s="127"/>
      <c r="AL37" s="127"/>
      <c r="AM37" s="58" t="str" cm="1">
        <f>IFERROR(IF(ISBLANK($A37),"",INDEX(Array_StationaryCharges,MATCH($A37,List_StationaryFuelMeters,0),ROUNDUP((COLUMN()+1)/3-2,0))),"")</f>
        <v/>
      </c>
      <c r="AN37" s="127"/>
      <c r="AO37" s="127"/>
      <c r="AP37" s="58" t="str" cm="1">
        <f>IFERROR(IF(ISBLANK($A37),"",INDEX(Array_StationaryCharges,MATCH($A37,List_StationaryFuelMeters,0),ROUNDUP((COLUMN()+1)/3-2,0))),"")</f>
        <v/>
      </c>
      <c r="AQ37" s="127"/>
      <c r="AR37" s="127"/>
      <c r="AS37" s="58" t="str" cm="1">
        <f>IFERROR(IF(ISBLANK($A37),"",INDEX(Array_StationaryCharges,MATCH($A37,List_StationaryFuelMeters,0),ROUNDUP((COLUMN()+1)/3-2,0))),"")</f>
        <v/>
      </c>
      <c r="AT37" s="127"/>
      <c r="AU37" s="127"/>
      <c r="AV37" s="58" t="str" cm="1">
        <f>IFERROR(IF(ISBLANK($A37),"",INDEX(Array_StationaryCharges,MATCH($A37,List_StationaryFuelMeters,0),ROUNDUP((COLUMN()+1)/3-2,0))),"")</f>
        <v/>
      </c>
      <c r="AW37" s="127"/>
      <c r="AX37" s="127"/>
    </row>
    <row r="38" spans="1:50" x14ac:dyDescent="0.3">
      <c r="A38" s="126"/>
      <c r="B38" s="133"/>
      <c r="C38" s="127"/>
      <c r="D38" s="138"/>
      <c r="E38" s="138"/>
      <c r="F38" s="58" t="str" cm="1">
        <f>IFERROR(IF(ISBLANK($A38),"",INDEX(Array_StationaryCharges,MATCH($A38,List_StationaryFuelMeters,0),ROUNDUP((COLUMN()+1)/3-2,0))),"")</f>
        <v/>
      </c>
      <c r="G38" s="127"/>
      <c r="H38" s="127"/>
      <c r="I38" s="58" t="str" cm="1">
        <f>IFERROR(IF(ISBLANK($A38),"",INDEX(Array_StationaryCharges,MATCH($A38,List_StationaryFuelMeters,0),ROUNDUP((COLUMN()+1)/3-2,0))),"")</f>
        <v/>
      </c>
      <c r="J38" s="127"/>
      <c r="K38" s="127"/>
      <c r="L38" s="58" t="str" cm="1">
        <f>IFERROR(IF(ISBLANK($A38),"",INDEX(Array_StationaryCharges,MATCH($A38,List_StationaryFuelMeters,0),ROUNDUP((COLUMN()+1)/3-2,0))),"")</f>
        <v/>
      </c>
      <c r="M38" s="127"/>
      <c r="N38" s="127"/>
      <c r="O38" s="58" t="str" cm="1">
        <f>IFERROR(IF(ISBLANK($A38),"",INDEX(Array_StationaryCharges,MATCH($A38,List_StationaryFuelMeters,0),ROUNDUP((COLUMN()+1)/3-2,0))),"")</f>
        <v/>
      </c>
      <c r="P38" s="127"/>
      <c r="Q38" s="127"/>
      <c r="R38" s="58" t="str" cm="1">
        <f>IFERROR(IF(ISBLANK($A38),"",INDEX(Array_StationaryCharges,MATCH($A38,List_StationaryFuelMeters,0),ROUNDUP((COLUMN()+1)/3-2,0))),"")</f>
        <v/>
      </c>
      <c r="S38" s="127"/>
      <c r="T38" s="127"/>
      <c r="U38" s="58" t="str" cm="1">
        <f>IFERROR(IF(ISBLANK($A38),"",INDEX(Array_StationaryCharges,MATCH($A38,List_StationaryFuelMeters,0),ROUNDUP((COLUMN()+1)/3-2,0))),"")</f>
        <v/>
      </c>
      <c r="V38" s="127"/>
      <c r="W38" s="127"/>
      <c r="X38" s="58" t="str" cm="1">
        <f>IFERROR(IF(ISBLANK($A38),"",INDEX(Array_StationaryCharges,MATCH($A38,List_StationaryFuelMeters,0),ROUNDUP((COLUMN()+1)/3-2,0))),"")</f>
        <v/>
      </c>
      <c r="Y38" s="127"/>
      <c r="Z38" s="127"/>
      <c r="AA38" s="58" t="str" cm="1">
        <f>IFERROR(IF(ISBLANK($A38),"",INDEX(Array_StationaryCharges,MATCH($A38,List_StationaryFuelMeters,0),ROUNDUP((COLUMN()+1)/3-2,0))),"")</f>
        <v/>
      </c>
      <c r="AB38" s="127"/>
      <c r="AC38" s="127"/>
      <c r="AD38" s="58" t="str" cm="1">
        <f>IFERROR(IF(ISBLANK($A38),"",INDEX(Array_StationaryCharges,MATCH($A38,List_StationaryFuelMeters,0),ROUNDUP((COLUMN()+1)/3-2,0))),"")</f>
        <v/>
      </c>
      <c r="AE38" s="127"/>
      <c r="AF38" s="127"/>
      <c r="AG38" s="58" t="str" cm="1">
        <f>IFERROR(IF(ISBLANK($A38),"",INDEX(Array_StationaryCharges,MATCH($A38,List_StationaryFuelMeters,0),ROUNDUP((COLUMN()+1)/3-2,0))),"")</f>
        <v/>
      </c>
      <c r="AH38" s="127"/>
      <c r="AI38" s="127"/>
      <c r="AJ38" s="58" t="str" cm="1">
        <f>IFERROR(IF(ISBLANK($A38),"",INDEX(Array_StationaryCharges,MATCH($A38,List_StationaryFuelMeters,0),ROUNDUP((COLUMN()+1)/3-2,0))),"")</f>
        <v/>
      </c>
      <c r="AK38" s="127"/>
      <c r="AL38" s="127"/>
      <c r="AM38" s="58" t="str" cm="1">
        <f>IFERROR(IF(ISBLANK($A38),"",INDEX(Array_StationaryCharges,MATCH($A38,List_StationaryFuelMeters,0),ROUNDUP((COLUMN()+1)/3-2,0))),"")</f>
        <v/>
      </c>
      <c r="AN38" s="127"/>
      <c r="AO38" s="127"/>
      <c r="AP38" s="58" t="str" cm="1">
        <f>IFERROR(IF(ISBLANK($A38),"",INDEX(Array_StationaryCharges,MATCH($A38,List_StationaryFuelMeters,0),ROUNDUP((COLUMN()+1)/3-2,0))),"")</f>
        <v/>
      </c>
      <c r="AQ38" s="127"/>
      <c r="AR38" s="127"/>
      <c r="AS38" s="58" t="str" cm="1">
        <f>IFERROR(IF(ISBLANK($A38),"",INDEX(Array_StationaryCharges,MATCH($A38,List_StationaryFuelMeters,0),ROUNDUP((COLUMN()+1)/3-2,0))),"")</f>
        <v/>
      </c>
      <c r="AT38" s="127"/>
      <c r="AU38" s="127"/>
      <c r="AV38" s="58" t="str" cm="1">
        <f>IFERROR(IF(ISBLANK($A38),"",INDEX(Array_StationaryCharges,MATCH($A38,List_StationaryFuelMeters,0),ROUNDUP((COLUMN()+1)/3-2,0))),"")</f>
        <v/>
      </c>
      <c r="AW38" s="127"/>
      <c r="AX38" s="127"/>
    </row>
    <row r="39" spans="1:50" x14ac:dyDescent="0.3">
      <c r="A39" s="126"/>
      <c r="B39" s="133"/>
      <c r="C39" s="127"/>
      <c r="D39" s="138"/>
      <c r="E39" s="138"/>
      <c r="F39" s="58" t="str" cm="1">
        <f>IFERROR(IF(ISBLANK($A39),"",INDEX(Array_StationaryCharges,MATCH($A39,List_StationaryFuelMeters,0),ROUNDUP((COLUMN()+1)/3-2,0))),"")</f>
        <v/>
      </c>
      <c r="G39" s="127"/>
      <c r="H39" s="127"/>
      <c r="I39" s="58" t="str" cm="1">
        <f>IFERROR(IF(ISBLANK($A39),"",INDEX(Array_StationaryCharges,MATCH($A39,List_StationaryFuelMeters,0),ROUNDUP((COLUMN()+1)/3-2,0))),"")</f>
        <v/>
      </c>
      <c r="J39" s="127"/>
      <c r="K39" s="127"/>
      <c r="L39" s="58" t="str" cm="1">
        <f>IFERROR(IF(ISBLANK($A39),"",INDEX(Array_StationaryCharges,MATCH($A39,List_StationaryFuelMeters,0),ROUNDUP((COLUMN()+1)/3-2,0))),"")</f>
        <v/>
      </c>
      <c r="M39" s="127"/>
      <c r="N39" s="127"/>
      <c r="O39" s="58" t="str" cm="1">
        <f>IFERROR(IF(ISBLANK($A39),"",INDEX(Array_StationaryCharges,MATCH($A39,List_StationaryFuelMeters,0),ROUNDUP((COLUMN()+1)/3-2,0))),"")</f>
        <v/>
      </c>
      <c r="P39" s="127"/>
      <c r="Q39" s="127"/>
      <c r="R39" s="58" t="str" cm="1">
        <f>IFERROR(IF(ISBLANK($A39),"",INDEX(Array_StationaryCharges,MATCH($A39,List_StationaryFuelMeters,0),ROUNDUP((COLUMN()+1)/3-2,0))),"")</f>
        <v/>
      </c>
      <c r="S39" s="127"/>
      <c r="T39" s="127"/>
      <c r="U39" s="58" t="str" cm="1">
        <f>IFERROR(IF(ISBLANK($A39),"",INDEX(Array_StationaryCharges,MATCH($A39,List_StationaryFuelMeters,0),ROUNDUP((COLUMN()+1)/3-2,0))),"")</f>
        <v/>
      </c>
      <c r="V39" s="127"/>
      <c r="W39" s="127"/>
      <c r="X39" s="58" t="str" cm="1">
        <f>IFERROR(IF(ISBLANK($A39),"",INDEX(Array_StationaryCharges,MATCH($A39,List_StationaryFuelMeters,0),ROUNDUP((COLUMN()+1)/3-2,0))),"")</f>
        <v/>
      </c>
      <c r="Y39" s="127"/>
      <c r="Z39" s="127"/>
      <c r="AA39" s="58" t="str" cm="1">
        <f>IFERROR(IF(ISBLANK($A39),"",INDEX(Array_StationaryCharges,MATCH($A39,List_StationaryFuelMeters,0),ROUNDUP((COLUMN()+1)/3-2,0))),"")</f>
        <v/>
      </c>
      <c r="AB39" s="127"/>
      <c r="AC39" s="127"/>
      <c r="AD39" s="58" t="str" cm="1">
        <f>IFERROR(IF(ISBLANK($A39),"",INDEX(Array_StationaryCharges,MATCH($A39,List_StationaryFuelMeters,0),ROUNDUP((COLUMN()+1)/3-2,0))),"")</f>
        <v/>
      </c>
      <c r="AE39" s="127"/>
      <c r="AF39" s="127"/>
      <c r="AG39" s="58" t="str" cm="1">
        <f>IFERROR(IF(ISBLANK($A39),"",INDEX(Array_StationaryCharges,MATCH($A39,List_StationaryFuelMeters,0),ROUNDUP((COLUMN()+1)/3-2,0))),"")</f>
        <v/>
      </c>
      <c r="AH39" s="127"/>
      <c r="AI39" s="127"/>
      <c r="AJ39" s="58" t="str" cm="1">
        <f>IFERROR(IF(ISBLANK($A39),"",INDEX(Array_StationaryCharges,MATCH($A39,List_StationaryFuelMeters,0),ROUNDUP((COLUMN()+1)/3-2,0))),"")</f>
        <v/>
      </c>
      <c r="AK39" s="127"/>
      <c r="AL39" s="127"/>
      <c r="AM39" s="58" t="str" cm="1">
        <f>IFERROR(IF(ISBLANK($A39),"",INDEX(Array_StationaryCharges,MATCH($A39,List_StationaryFuelMeters,0),ROUNDUP((COLUMN()+1)/3-2,0))),"")</f>
        <v/>
      </c>
      <c r="AN39" s="127"/>
      <c r="AO39" s="127"/>
      <c r="AP39" s="58" t="str" cm="1">
        <f>IFERROR(IF(ISBLANK($A39),"",INDEX(Array_StationaryCharges,MATCH($A39,List_StationaryFuelMeters,0),ROUNDUP((COLUMN()+1)/3-2,0))),"")</f>
        <v/>
      </c>
      <c r="AQ39" s="127"/>
      <c r="AR39" s="127"/>
      <c r="AS39" s="58" t="str" cm="1">
        <f>IFERROR(IF(ISBLANK($A39),"",INDEX(Array_StationaryCharges,MATCH($A39,List_StationaryFuelMeters,0),ROUNDUP((COLUMN()+1)/3-2,0))),"")</f>
        <v/>
      </c>
      <c r="AT39" s="127"/>
      <c r="AU39" s="127"/>
      <c r="AV39" s="58" t="str" cm="1">
        <f>IFERROR(IF(ISBLANK($A39),"",INDEX(Array_StationaryCharges,MATCH($A39,List_StationaryFuelMeters,0),ROUNDUP((COLUMN()+1)/3-2,0))),"")</f>
        <v/>
      </c>
      <c r="AW39" s="127"/>
      <c r="AX39" s="127"/>
    </row>
    <row r="40" spans="1:50" x14ac:dyDescent="0.3">
      <c r="A40" s="126"/>
      <c r="B40" s="133"/>
      <c r="C40" s="127"/>
      <c r="D40" s="138"/>
      <c r="E40" s="138"/>
      <c r="F40" s="58" t="str" cm="1">
        <f>IFERROR(IF(ISBLANK($A40),"",INDEX(Array_StationaryCharges,MATCH($A40,List_StationaryFuelMeters,0),ROUNDUP((COLUMN()+1)/3-2,0))),"")</f>
        <v/>
      </c>
      <c r="G40" s="127"/>
      <c r="H40" s="127"/>
      <c r="I40" s="58" t="str" cm="1">
        <f>IFERROR(IF(ISBLANK($A40),"",INDEX(Array_StationaryCharges,MATCH($A40,List_StationaryFuelMeters,0),ROUNDUP((COLUMN()+1)/3-2,0))),"")</f>
        <v/>
      </c>
      <c r="J40" s="127"/>
      <c r="K40" s="127"/>
      <c r="L40" s="58" t="str" cm="1">
        <f>IFERROR(IF(ISBLANK($A40),"",INDEX(Array_StationaryCharges,MATCH($A40,List_StationaryFuelMeters,0),ROUNDUP((COLUMN()+1)/3-2,0))),"")</f>
        <v/>
      </c>
      <c r="M40" s="127"/>
      <c r="N40" s="127"/>
      <c r="O40" s="58" t="str" cm="1">
        <f>IFERROR(IF(ISBLANK($A40),"",INDEX(Array_StationaryCharges,MATCH($A40,List_StationaryFuelMeters,0),ROUNDUP((COLUMN()+1)/3-2,0))),"")</f>
        <v/>
      </c>
      <c r="P40" s="127"/>
      <c r="Q40" s="127"/>
      <c r="R40" s="58" t="str" cm="1">
        <f>IFERROR(IF(ISBLANK($A40),"",INDEX(Array_StationaryCharges,MATCH($A40,List_StationaryFuelMeters,0),ROUNDUP((COLUMN()+1)/3-2,0))),"")</f>
        <v/>
      </c>
      <c r="S40" s="127"/>
      <c r="T40" s="127"/>
      <c r="U40" s="58" t="str" cm="1">
        <f>IFERROR(IF(ISBLANK($A40),"",INDEX(Array_StationaryCharges,MATCH($A40,List_StationaryFuelMeters,0),ROUNDUP((COLUMN()+1)/3-2,0))),"")</f>
        <v/>
      </c>
      <c r="V40" s="127"/>
      <c r="W40" s="127"/>
      <c r="X40" s="58" t="str" cm="1">
        <f>IFERROR(IF(ISBLANK($A40),"",INDEX(Array_StationaryCharges,MATCH($A40,List_StationaryFuelMeters,0),ROUNDUP((COLUMN()+1)/3-2,0))),"")</f>
        <v/>
      </c>
      <c r="Y40" s="127"/>
      <c r="Z40" s="127"/>
      <c r="AA40" s="58" t="str" cm="1">
        <f>IFERROR(IF(ISBLANK($A40),"",INDEX(Array_StationaryCharges,MATCH($A40,List_StationaryFuelMeters,0),ROUNDUP((COLUMN()+1)/3-2,0))),"")</f>
        <v/>
      </c>
      <c r="AB40" s="127"/>
      <c r="AC40" s="127"/>
      <c r="AD40" s="58" t="str" cm="1">
        <f>IFERROR(IF(ISBLANK($A40),"",INDEX(Array_StationaryCharges,MATCH($A40,List_StationaryFuelMeters,0),ROUNDUP((COLUMN()+1)/3-2,0))),"")</f>
        <v/>
      </c>
      <c r="AE40" s="127"/>
      <c r="AF40" s="127"/>
      <c r="AG40" s="58" t="str" cm="1">
        <f>IFERROR(IF(ISBLANK($A40),"",INDEX(Array_StationaryCharges,MATCH($A40,List_StationaryFuelMeters,0),ROUNDUP((COLUMN()+1)/3-2,0))),"")</f>
        <v/>
      </c>
      <c r="AH40" s="127"/>
      <c r="AI40" s="127"/>
      <c r="AJ40" s="58" t="str" cm="1">
        <f>IFERROR(IF(ISBLANK($A40),"",INDEX(Array_StationaryCharges,MATCH($A40,List_StationaryFuelMeters,0),ROUNDUP((COLUMN()+1)/3-2,0))),"")</f>
        <v/>
      </c>
      <c r="AK40" s="127"/>
      <c r="AL40" s="127"/>
      <c r="AM40" s="58" t="str" cm="1">
        <f>IFERROR(IF(ISBLANK($A40),"",INDEX(Array_StationaryCharges,MATCH($A40,List_StationaryFuelMeters,0),ROUNDUP((COLUMN()+1)/3-2,0))),"")</f>
        <v/>
      </c>
      <c r="AN40" s="127"/>
      <c r="AO40" s="127"/>
      <c r="AP40" s="58" t="str" cm="1">
        <f>IFERROR(IF(ISBLANK($A40),"",INDEX(Array_StationaryCharges,MATCH($A40,List_StationaryFuelMeters,0),ROUNDUP((COLUMN()+1)/3-2,0))),"")</f>
        <v/>
      </c>
      <c r="AQ40" s="127"/>
      <c r="AR40" s="127"/>
      <c r="AS40" s="58" t="str" cm="1">
        <f>IFERROR(IF(ISBLANK($A40),"",INDEX(Array_StationaryCharges,MATCH($A40,List_StationaryFuelMeters,0),ROUNDUP((COLUMN()+1)/3-2,0))),"")</f>
        <v/>
      </c>
      <c r="AT40" s="127"/>
      <c r="AU40" s="127"/>
      <c r="AV40" s="58" t="str" cm="1">
        <f>IFERROR(IF(ISBLANK($A40),"",INDEX(Array_StationaryCharges,MATCH($A40,List_StationaryFuelMeters,0),ROUNDUP((COLUMN()+1)/3-2,0))),"")</f>
        <v/>
      </c>
      <c r="AW40" s="127"/>
      <c r="AX40" s="127"/>
    </row>
    <row r="41" spans="1:50" x14ac:dyDescent="0.3">
      <c r="A41" s="126"/>
      <c r="B41" s="133"/>
      <c r="C41" s="127"/>
      <c r="D41" s="138"/>
      <c r="E41" s="138"/>
      <c r="F41" s="58" t="str" cm="1">
        <f>IFERROR(IF(ISBLANK($A41),"",INDEX(Array_StationaryCharges,MATCH($A41,List_StationaryFuelMeters,0),ROUNDUP((COLUMN()+1)/3-2,0))),"")</f>
        <v/>
      </c>
      <c r="G41" s="127"/>
      <c r="H41" s="127"/>
      <c r="I41" s="58" t="str" cm="1">
        <f>IFERROR(IF(ISBLANK($A41),"",INDEX(Array_StationaryCharges,MATCH($A41,List_StationaryFuelMeters,0),ROUNDUP((COLUMN()+1)/3-2,0))),"")</f>
        <v/>
      </c>
      <c r="J41" s="127"/>
      <c r="K41" s="127"/>
      <c r="L41" s="58" t="str" cm="1">
        <f>IFERROR(IF(ISBLANK($A41),"",INDEX(Array_StationaryCharges,MATCH($A41,List_StationaryFuelMeters,0),ROUNDUP((COLUMN()+1)/3-2,0))),"")</f>
        <v/>
      </c>
      <c r="M41" s="127"/>
      <c r="N41" s="127"/>
      <c r="O41" s="58" t="str" cm="1">
        <f>IFERROR(IF(ISBLANK($A41),"",INDEX(Array_StationaryCharges,MATCH($A41,List_StationaryFuelMeters,0),ROUNDUP((COLUMN()+1)/3-2,0))),"")</f>
        <v/>
      </c>
      <c r="P41" s="127"/>
      <c r="Q41" s="127"/>
      <c r="R41" s="58" t="str" cm="1">
        <f>IFERROR(IF(ISBLANK($A41),"",INDEX(Array_StationaryCharges,MATCH($A41,List_StationaryFuelMeters,0),ROUNDUP((COLUMN()+1)/3-2,0))),"")</f>
        <v/>
      </c>
      <c r="S41" s="127"/>
      <c r="T41" s="127"/>
      <c r="U41" s="58" t="str" cm="1">
        <f>IFERROR(IF(ISBLANK($A41),"",INDEX(Array_StationaryCharges,MATCH($A41,List_StationaryFuelMeters,0),ROUNDUP((COLUMN()+1)/3-2,0))),"")</f>
        <v/>
      </c>
      <c r="V41" s="127"/>
      <c r="W41" s="127"/>
      <c r="X41" s="58" t="str" cm="1">
        <f>IFERROR(IF(ISBLANK($A41),"",INDEX(Array_StationaryCharges,MATCH($A41,List_StationaryFuelMeters,0),ROUNDUP((COLUMN()+1)/3-2,0))),"")</f>
        <v/>
      </c>
      <c r="Y41" s="127"/>
      <c r="Z41" s="127"/>
      <c r="AA41" s="58" t="str" cm="1">
        <f>IFERROR(IF(ISBLANK($A41),"",INDEX(Array_StationaryCharges,MATCH($A41,List_StationaryFuelMeters,0),ROUNDUP((COLUMN()+1)/3-2,0))),"")</f>
        <v/>
      </c>
      <c r="AB41" s="127"/>
      <c r="AC41" s="127"/>
      <c r="AD41" s="58" t="str" cm="1">
        <f>IFERROR(IF(ISBLANK($A41),"",INDEX(Array_StationaryCharges,MATCH($A41,List_StationaryFuelMeters,0),ROUNDUP((COLUMN()+1)/3-2,0))),"")</f>
        <v/>
      </c>
      <c r="AE41" s="127"/>
      <c r="AF41" s="127"/>
      <c r="AG41" s="58" t="str" cm="1">
        <f>IFERROR(IF(ISBLANK($A41),"",INDEX(Array_StationaryCharges,MATCH($A41,List_StationaryFuelMeters,0),ROUNDUP((COLUMN()+1)/3-2,0))),"")</f>
        <v/>
      </c>
      <c r="AH41" s="127"/>
      <c r="AI41" s="127"/>
      <c r="AJ41" s="58" t="str" cm="1">
        <f>IFERROR(IF(ISBLANK($A41),"",INDEX(Array_StationaryCharges,MATCH($A41,List_StationaryFuelMeters,0),ROUNDUP((COLUMN()+1)/3-2,0))),"")</f>
        <v/>
      </c>
      <c r="AK41" s="127"/>
      <c r="AL41" s="127"/>
      <c r="AM41" s="58" t="str" cm="1">
        <f>IFERROR(IF(ISBLANK($A41),"",INDEX(Array_StationaryCharges,MATCH($A41,List_StationaryFuelMeters,0),ROUNDUP((COLUMN()+1)/3-2,0))),"")</f>
        <v/>
      </c>
      <c r="AN41" s="127"/>
      <c r="AO41" s="127"/>
      <c r="AP41" s="58" t="str" cm="1">
        <f>IFERROR(IF(ISBLANK($A41),"",INDEX(Array_StationaryCharges,MATCH($A41,List_StationaryFuelMeters,0),ROUNDUP((COLUMN()+1)/3-2,0))),"")</f>
        <v/>
      </c>
      <c r="AQ41" s="127"/>
      <c r="AR41" s="127"/>
      <c r="AS41" s="58" t="str" cm="1">
        <f>IFERROR(IF(ISBLANK($A41),"",INDEX(Array_StationaryCharges,MATCH($A41,List_StationaryFuelMeters,0),ROUNDUP((COLUMN()+1)/3-2,0))),"")</f>
        <v/>
      </c>
      <c r="AT41" s="127"/>
      <c r="AU41" s="127"/>
      <c r="AV41" s="58" t="str" cm="1">
        <f>IFERROR(IF(ISBLANK($A41),"",INDEX(Array_StationaryCharges,MATCH($A41,List_StationaryFuelMeters,0),ROUNDUP((COLUMN()+1)/3-2,0))),"")</f>
        <v/>
      </c>
      <c r="AW41" s="127"/>
      <c r="AX41" s="127"/>
    </row>
    <row r="42" spans="1:50" x14ac:dyDescent="0.3">
      <c r="A42" s="126"/>
      <c r="B42" s="133"/>
      <c r="C42" s="127"/>
      <c r="D42" s="138"/>
      <c r="E42" s="138"/>
      <c r="F42" s="58" t="str" cm="1">
        <f>IFERROR(IF(ISBLANK($A42),"",INDEX(Array_StationaryCharges,MATCH($A42,List_StationaryFuelMeters,0),ROUNDUP((COLUMN()+1)/3-2,0))),"")</f>
        <v/>
      </c>
      <c r="G42" s="127"/>
      <c r="H42" s="127"/>
      <c r="I42" s="58" t="str" cm="1">
        <f>IFERROR(IF(ISBLANK($A42),"",INDEX(Array_StationaryCharges,MATCH($A42,List_StationaryFuelMeters,0),ROUNDUP((COLUMN()+1)/3-2,0))),"")</f>
        <v/>
      </c>
      <c r="J42" s="127"/>
      <c r="K42" s="127"/>
      <c r="L42" s="58" t="str" cm="1">
        <f>IFERROR(IF(ISBLANK($A42),"",INDEX(Array_StationaryCharges,MATCH($A42,List_StationaryFuelMeters,0),ROUNDUP((COLUMN()+1)/3-2,0))),"")</f>
        <v/>
      </c>
      <c r="M42" s="127"/>
      <c r="N42" s="127"/>
      <c r="O42" s="58" t="str" cm="1">
        <f>IFERROR(IF(ISBLANK($A42),"",INDEX(Array_StationaryCharges,MATCH($A42,List_StationaryFuelMeters,0),ROUNDUP((COLUMN()+1)/3-2,0))),"")</f>
        <v/>
      </c>
      <c r="P42" s="127"/>
      <c r="Q42" s="127"/>
      <c r="R42" s="58" t="str" cm="1">
        <f>IFERROR(IF(ISBLANK($A42),"",INDEX(Array_StationaryCharges,MATCH($A42,List_StationaryFuelMeters,0),ROUNDUP((COLUMN()+1)/3-2,0))),"")</f>
        <v/>
      </c>
      <c r="S42" s="127"/>
      <c r="T42" s="127"/>
      <c r="U42" s="58" t="str" cm="1">
        <f>IFERROR(IF(ISBLANK($A42),"",INDEX(Array_StationaryCharges,MATCH($A42,List_StationaryFuelMeters,0),ROUNDUP((COLUMN()+1)/3-2,0))),"")</f>
        <v/>
      </c>
      <c r="V42" s="127"/>
      <c r="W42" s="127"/>
      <c r="X42" s="58" t="str" cm="1">
        <f>IFERROR(IF(ISBLANK($A42),"",INDEX(Array_StationaryCharges,MATCH($A42,List_StationaryFuelMeters,0),ROUNDUP((COLUMN()+1)/3-2,0))),"")</f>
        <v/>
      </c>
      <c r="Y42" s="127"/>
      <c r="Z42" s="127"/>
      <c r="AA42" s="58" t="str" cm="1">
        <f>IFERROR(IF(ISBLANK($A42),"",INDEX(Array_StationaryCharges,MATCH($A42,List_StationaryFuelMeters,0),ROUNDUP((COLUMN()+1)/3-2,0))),"")</f>
        <v/>
      </c>
      <c r="AB42" s="127"/>
      <c r="AC42" s="127"/>
      <c r="AD42" s="58" t="str" cm="1">
        <f>IFERROR(IF(ISBLANK($A42),"",INDEX(Array_StationaryCharges,MATCH($A42,List_StationaryFuelMeters,0),ROUNDUP((COLUMN()+1)/3-2,0))),"")</f>
        <v/>
      </c>
      <c r="AE42" s="127"/>
      <c r="AF42" s="127"/>
      <c r="AG42" s="58" t="str" cm="1">
        <f>IFERROR(IF(ISBLANK($A42),"",INDEX(Array_StationaryCharges,MATCH($A42,List_StationaryFuelMeters,0),ROUNDUP((COLUMN()+1)/3-2,0))),"")</f>
        <v/>
      </c>
      <c r="AH42" s="127"/>
      <c r="AI42" s="127"/>
      <c r="AJ42" s="58" t="str" cm="1">
        <f>IFERROR(IF(ISBLANK($A42),"",INDEX(Array_StationaryCharges,MATCH($A42,List_StationaryFuelMeters,0),ROUNDUP((COLUMN()+1)/3-2,0))),"")</f>
        <v/>
      </c>
      <c r="AK42" s="127"/>
      <c r="AL42" s="127"/>
      <c r="AM42" s="58" t="str" cm="1">
        <f>IFERROR(IF(ISBLANK($A42),"",INDEX(Array_StationaryCharges,MATCH($A42,List_StationaryFuelMeters,0),ROUNDUP((COLUMN()+1)/3-2,0))),"")</f>
        <v/>
      </c>
      <c r="AN42" s="127"/>
      <c r="AO42" s="127"/>
      <c r="AP42" s="58" t="str" cm="1">
        <f>IFERROR(IF(ISBLANK($A42),"",INDEX(Array_StationaryCharges,MATCH($A42,List_StationaryFuelMeters,0),ROUNDUP((COLUMN()+1)/3-2,0))),"")</f>
        <v/>
      </c>
      <c r="AQ42" s="127"/>
      <c r="AR42" s="127"/>
      <c r="AS42" s="58" t="str" cm="1">
        <f>IFERROR(IF(ISBLANK($A42),"",INDEX(Array_StationaryCharges,MATCH($A42,List_StationaryFuelMeters,0),ROUNDUP((COLUMN()+1)/3-2,0))),"")</f>
        <v/>
      </c>
      <c r="AT42" s="127"/>
      <c r="AU42" s="127"/>
      <c r="AV42" s="58" t="str" cm="1">
        <f>IFERROR(IF(ISBLANK($A42),"",INDEX(Array_StationaryCharges,MATCH($A42,List_StationaryFuelMeters,0),ROUNDUP((COLUMN()+1)/3-2,0))),"")</f>
        <v/>
      </c>
      <c r="AW42" s="127"/>
      <c r="AX42" s="127"/>
    </row>
    <row r="43" spans="1:50" x14ac:dyDescent="0.3">
      <c r="A43" s="126"/>
      <c r="B43" s="133"/>
      <c r="C43" s="127"/>
      <c r="D43" s="138"/>
      <c r="E43" s="138"/>
      <c r="F43" s="58" t="str" cm="1">
        <f>IFERROR(IF(ISBLANK($A43),"",INDEX(Array_StationaryCharges,MATCH($A43,List_StationaryFuelMeters,0),ROUNDUP((COLUMN()+1)/3-2,0))),"")</f>
        <v/>
      </c>
      <c r="G43" s="127"/>
      <c r="H43" s="127"/>
      <c r="I43" s="58" t="str" cm="1">
        <f>IFERROR(IF(ISBLANK($A43),"",INDEX(Array_StationaryCharges,MATCH($A43,List_StationaryFuelMeters,0),ROUNDUP((COLUMN()+1)/3-2,0))),"")</f>
        <v/>
      </c>
      <c r="J43" s="127"/>
      <c r="K43" s="127"/>
      <c r="L43" s="58" t="str" cm="1">
        <f>IFERROR(IF(ISBLANK($A43),"",INDEX(Array_StationaryCharges,MATCH($A43,List_StationaryFuelMeters,0),ROUNDUP((COLUMN()+1)/3-2,0))),"")</f>
        <v/>
      </c>
      <c r="M43" s="127"/>
      <c r="N43" s="127"/>
      <c r="O43" s="58" t="str" cm="1">
        <f>IFERROR(IF(ISBLANK($A43),"",INDEX(Array_StationaryCharges,MATCH($A43,List_StationaryFuelMeters,0),ROUNDUP((COLUMN()+1)/3-2,0))),"")</f>
        <v/>
      </c>
      <c r="P43" s="127"/>
      <c r="Q43" s="127"/>
      <c r="R43" s="58" t="str" cm="1">
        <f>IFERROR(IF(ISBLANK($A43),"",INDEX(Array_StationaryCharges,MATCH($A43,List_StationaryFuelMeters,0),ROUNDUP((COLUMN()+1)/3-2,0))),"")</f>
        <v/>
      </c>
      <c r="S43" s="127"/>
      <c r="T43" s="127"/>
      <c r="U43" s="58" t="str" cm="1">
        <f>IFERROR(IF(ISBLANK($A43),"",INDEX(Array_StationaryCharges,MATCH($A43,List_StationaryFuelMeters,0),ROUNDUP((COLUMN()+1)/3-2,0))),"")</f>
        <v/>
      </c>
      <c r="V43" s="127"/>
      <c r="W43" s="127"/>
      <c r="X43" s="58" t="str" cm="1">
        <f>IFERROR(IF(ISBLANK($A43),"",INDEX(Array_StationaryCharges,MATCH($A43,List_StationaryFuelMeters,0),ROUNDUP((COLUMN()+1)/3-2,0))),"")</f>
        <v/>
      </c>
      <c r="Y43" s="127"/>
      <c r="Z43" s="127"/>
      <c r="AA43" s="58" t="str" cm="1">
        <f>IFERROR(IF(ISBLANK($A43),"",INDEX(Array_StationaryCharges,MATCH($A43,List_StationaryFuelMeters,0),ROUNDUP((COLUMN()+1)/3-2,0))),"")</f>
        <v/>
      </c>
      <c r="AB43" s="127"/>
      <c r="AC43" s="127"/>
      <c r="AD43" s="58" t="str" cm="1">
        <f>IFERROR(IF(ISBLANK($A43),"",INDEX(Array_StationaryCharges,MATCH($A43,List_StationaryFuelMeters,0),ROUNDUP((COLUMN()+1)/3-2,0))),"")</f>
        <v/>
      </c>
      <c r="AE43" s="127"/>
      <c r="AF43" s="127"/>
      <c r="AG43" s="58" t="str" cm="1">
        <f>IFERROR(IF(ISBLANK($A43),"",INDEX(Array_StationaryCharges,MATCH($A43,List_StationaryFuelMeters,0),ROUNDUP((COLUMN()+1)/3-2,0))),"")</f>
        <v/>
      </c>
      <c r="AH43" s="127"/>
      <c r="AI43" s="127"/>
      <c r="AJ43" s="58" t="str" cm="1">
        <f>IFERROR(IF(ISBLANK($A43),"",INDEX(Array_StationaryCharges,MATCH($A43,List_StationaryFuelMeters,0),ROUNDUP((COLUMN()+1)/3-2,0))),"")</f>
        <v/>
      </c>
      <c r="AK43" s="127"/>
      <c r="AL43" s="127"/>
      <c r="AM43" s="58" t="str" cm="1">
        <f>IFERROR(IF(ISBLANK($A43),"",INDEX(Array_StationaryCharges,MATCH($A43,List_StationaryFuelMeters,0),ROUNDUP((COLUMN()+1)/3-2,0))),"")</f>
        <v/>
      </c>
      <c r="AN43" s="127"/>
      <c r="AO43" s="127"/>
      <c r="AP43" s="58" t="str" cm="1">
        <f>IFERROR(IF(ISBLANK($A43),"",INDEX(Array_StationaryCharges,MATCH($A43,List_StationaryFuelMeters,0),ROUNDUP((COLUMN()+1)/3-2,0))),"")</f>
        <v/>
      </c>
      <c r="AQ43" s="127"/>
      <c r="AR43" s="127"/>
      <c r="AS43" s="58" t="str" cm="1">
        <f>IFERROR(IF(ISBLANK($A43),"",INDEX(Array_StationaryCharges,MATCH($A43,List_StationaryFuelMeters,0),ROUNDUP((COLUMN()+1)/3-2,0))),"")</f>
        <v/>
      </c>
      <c r="AT43" s="127"/>
      <c r="AU43" s="127"/>
      <c r="AV43" s="58" t="str" cm="1">
        <f>IFERROR(IF(ISBLANK($A43),"",INDEX(Array_StationaryCharges,MATCH($A43,List_StationaryFuelMeters,0),ROUNDUP((COLUMN()+1)/3-2,0))),"")</f>
        <v/>
      </c>
      <c r="AW43" s="127"/>
      <c r="AX43" s="127"/>
    </row>
    <row r="44" spans="1:50" x14ac:dyDescent="0.3">
      <c r="A44" s="126"/>
      <c r="B44" s="133"/>
      <c r="C44" s="127"/>
      <c r="D44" s="138"/>
      <c r="E44" s="138"/>
      <c r="F44" s="58" t="str" cm="1">
        <f>IFERROR(IF(ISBLANK($A44),"",INDEX(Array_StationaryCharges,MATCH($A44,List_StationaryFuelMeters,0),ROUNDUP((COLUMN()+1)/3-2,0))),"")</f>
        <v/>
      </c>
      <c r="G44" s="127"/>
      <c r="H44" s="127"/>
      <c r="I44" s="58" t="str" cm="1">
        <f>IFERROR(IF(ISBLANK($A44),"",INDEX(Array_StationaryCharges,MATCH($A44,List_StationaryFuelMeters,0),ROUNDUP((COLUMN()+1)/3-2,0))),"")</f>
        <v/>
      </c>
      <c r="J44" s="127"/>
      <c r="K44" s="127"/>
      <c r="L44" s="58" t="str" cm="1">
        <f>IFERROR(IF(ISBLANK($A44),"",INDEX(Array_StationaryCharges,MATCH($A44,List_StationaryFuelMeters,0),ROUNDUP((COLUMN()+1)/3-2,0))),"")</f>
        <v/>
      </c>
      <c r="M44" s="127"/>
      <c r="N44" s="127"/>
      <c r="O44" s="58" t="str" cm="1">
        <f>IFERROR(IF(ISBLANK($A44),"",INDEX(Array_StationaryCharges,MATCH($A44,List_StationaryFuelMeters,0),ROUNDUP((COLUMN()+1)/3-2,0))),"")</f>
        <v/>
      </c>
      <c r="P44" s="127"/>
      <c r="Q44" s="127"/>
      <c r="R44" s="58" t="str" cm="1">
        <f>IFERROR(IF(ISBLANK($A44),"",INDEX(Array_StationaryCharges,MATCH($A44,List_StationaryFuelMeters,0),ROUNDUP((COLUMN()+1)/3-2,0))),"")</f>
        <v/>
      </c>
      <c r="S44" s="127"/>
      <c r="T44" s="127"/>
      <c r="U44" s="58" t="str" cm="1">
        <f>IFERROR(IF(ISBLANK($A44),"",INDEX(Array_StationaryCharges,MATCH($A44,List_StationaryFuelMeters,0),ROUNDUP((COLUMN()+1)/3-2,0))),"")</f>
        <v/>
      </c>
      <c r="V44" s="127"/>
      <c r="W44" s="127"/>
      <c r="X44" s="58" t="str" cm="1">
        <f>IFERROR(IF(ISBLANK($A44),"",INDEX(Array_StationaryCharges,MATCH($A44,List_StationaryFuelMeters,0),ROUNDUP((COLUMN()+1)/3-2,0))),"")</f>
        <v/>
      </c>
      <c r="Y44" s="127"/>
      <c r="Z44" s="127"/>
      <c r="AA44" s="58" t="str" cm="1">
        <f>IFERROR(IF(ISBLANK($A44),"",INDEX(Array_StationaryCharges,MATCH($A44,List_StationaryFuelMeters,0),ROUNDUP((COLUMN()+1)/3-2,0))),"")</f>
        <v/>
      </c>
      <c r="AB44" s="127"/>
      <c r="AC44" s="127"/>
      <c r="AD44" s="58" t="str" cm="1">
        <f>IFERROR(IF(ISBLANK($A44),"",INDEX(Array_StationaryCharges,MATCH($A44,List_StationaryFuelMeters,0),ROUNDUP((COLUMN()+1)/3-2,0))),"")</f>
        <v/>
      </c>
      <c r="AE44" s="127"/>
      <c r="AF44" s="127"/>
      <c r="AG44" s="58" t="str" cm="1">
        <f>IFERROR(IF(ISBLANK($A44),"",INDEX(Array_StationaryCharges,MATCH($A44,List_StationaryFuelMeters,0),ROUNDUP((COLUMN()+1)/3-2,0))),"")</f>
        <v/>
      </c>
      <c r="AH44" s="127"/>
      <c r="AI44" s="127"/>
      <c r="AJ44" s="58" t="str" cm="1">
        <f>IFERROR(IF(ISBLANK($A44),"",INDEX(Array_StationaryCharges,MATCH($A44,List_StationaryFuelMeters,0),ROUNDUP((COLUMN()+1)/3-2,0))),"")</f>
        <v/>
      </c>
      <c r="AK44" s="127"/>
      <c r="AL44" s="127"/>
      <c r="AM44" s="58" t="str" cm="1">
        <f>IFERROR(IF(ISBLANK($A44),"",INDEX(Array_StationaryCharges,MATCH($A44,List_StationaryFuelMeters,0),ROUNDUP((COLUMN()+1)/3-2,0))),"")</f>
        <v/>
      </c>
      <c r="AN44" s="127"/>
      <c r="AO44" s="127"/>
      <c r="AP44" s="58" t="str" cm="1">
        <f>IFERROR(IF(ISBLANK($A44),"",INDEX(Array_StationaryCharges,MATCH($A44,List_StationaryFuelMeters,0),ROUNDUP((COLUMN()+1)/3-2,0))),"")</f>
        <v/>
      </c>
      <c r="AQ44" s="127"/>
      <c r="AR44" s="127"/>
      <c r="AS44" s="58" t="str" cm="1">
        <f>IFERROR(IF(ISBLANK($A44),"",INDEX(Array_StationaryCharges,MATCH($A44,List_StationaryFuelMeters,0),ROUNDUP((COLUMN()+1)/3-2,0))),"")</f>
        <v/>
      </c>
      <c r="AT44" s="127"/>
      <c r="AU44" s="127"/>
      <c r="AV44" s="58" t="str" cm="1">
        <f>IFERROR(IF(ISBLANK($A44),"",INDEX(Array_StationaryCharges,MATCH($A44,List_StationaryFuelMeters,0),ROUNDUP((COLUMN()+1)/3-2,0))),"")</f>
        <v/>
      </c>
      <c r="AW44" s="127"/>
      <c r="AX44" s="127"/>
    </row>
    <row r="45" spans="1:50" x14ac:dyDescent="0.3">
      <c r="A45" s="126"/>
      <c r="B45" s="133"/>
      <c r="C45" s="127"/>
      <c r="D45" s="138"/>
      <c r="E45" s="138"/>
      <c r="F45" s="58" t="str" cm="1">
        <f>IFERROR(IF(ISBLANK($A45),"",INDEX(Array_StationaryCharges,MATCH($A45,List_StationaryFuelMeters,0),ROUNDUP((COLUMN()+1)/3-2,0))),"")</f>
        <v/>
      </c>
      <c r="G45" s="127"/>
      <c r="H45" s="127"/>
      <c r="I45" s="58" t="str" cm="1">
        <f>IFERROR(IF(ISBLANK($A45),"",INDEX(Array_StationaryCharges,MATCH($A45,List_StationaryFuelMeters,0),ROUNDUP((COLUMN()+1)/3-2,0))),"")</f>
        <v/>
      </c>
      <c r="J45" s="127"/>
      <c r="K45" s="127"/>
      <c r="L45" s="58" t="str" cm="1">
        <f>IFERROR(IF(ISBLANK($A45),"",INDEX(Array_StationaryCharges,MATCH($A45,List_StationaryFuelMeters,0),ROUNDUP((COLUMN()+1)/3-2,0))),"")</f>
        <v/>
      </c>
      <c r="M45" s="127"/>
      <c r="N45" s="127"/>
      <c r="O45" s="58" t="str" cm="1">
        <f>IFERROR(IF(ISBLANK($A45),"",INDEX(Array_StationaryCharges,MATCH($A45,List_StationaryFuelMeters,0),ROUNDUP((COLUMN()+1)/3-2,0))),"")</f>
        <v/>
      </c>
      <c r="P45" s="127"/>
      <c r="Q45" s="127"/>
      <c r="R45" s="58" t="str" cm="1">
        <f>IFERROR(IF(ISBLANK($A45),"",INDEX(Array_StationaryCharges,MATCH($A45,List_StationaryFuelMeters,0),ROUNDUP((COLUMN()+1)/3-2,0))),"")</f>
        <v/>
      </c>
      <c r="S45" s="127"/>
      <c r="T45" s="127"/>
      <c r="U45" s="58" t="str" cm="1">
        <f>IFERROR(IF(ISBLANK($A45),"",INDEX(Array_StationaryCharges,MATCH($A45,List_StationaryFuelMeters,0),ROUNDUP((COLUMN()+1)/3-2,0))),"")</f>
        <v/>
      </c>
      <c r="V45" s="127"/>
      <c r="W45" s="127"/>
      <c r="X45" s="58" t="str" cm="1">
        <f>IFERROR(IF(ISBLANK($A45),"",INDEX(Array_StationaryCharges,MATCH($A45,List_StationaryFuelMeters,0),ROUNDUP((COLUMN()+1)/3-2,0))),"")</f>
        <v/>
      </c>
      <c r="Y45" s="127"/>
      <c r="Z45" s="127"/>
      <c r="AA45" s="58" t="str" cm="1">
        <f>IFERROR(IF(ISBLANK($A45),"",INDEX(Array_StationaryCharges,MATCH($A45,List_StationaryFuelMeters,0),ROUNDUP((COLUMN()+1)/3-2,0))),"")</f>
        <v/>
      </c>
      <c r="AB45" s="127"/>
      <c r="AC45" s="127"/>
      <c r="AD45" s="58" t="str" cm="1">
        <f>IFERROR(IF(ISBLANK($A45),"",INDEX(Array_StationaryCharges,MATCH($A45,List_StationaryFuelMeters,0),ROUNDUP((COLUMN()+1)/3-2,0))),"")</f>
        <v/>
      </c>
      <c r="AE45" s="127"/>
      <c r="AF45" s="127"/>
      <c r="AG45" s="58" t="str" cm="1">
        <f>IFERROR(IF(ISBLANK($A45),"",INDEX(Array_StationaryCharges,MATCH($A45,List_StationaryFuelMeters,0),ROUNDUP((COLUMN()+1)/3-2,0))),"")</f>
        <v/>
      </c>
      <c r="AH45" s="127"/>
      <c r="AI45" s="127"/>
      <c r="AJ45" s="58" t="str" cm="1">
        <f>IFERROR(IF(ISBLANK($A45),"",INDEX(Array_StationaryCharges,MATCH($A45,List_StationaryFuelMeters,0),ROUNDUP((COLUMN()+1)/3-2,0))),"")</f>
        <v/>
      </c>
      <c r="AK45" s="127"/>
      <c r="AL45" s="127"/>
      <c r="AM45" s="58" t="str" cm="1">
        <f>IFERROR(IF(ISBLANK($A45),"",INDEX(Array_StationaryCharges,MATCH($A45,List_StationaryFuelMeters,0),ROUNDUP((COLUMN()+1)/3-2,0))),"")</f>
        <v/>
      </c>
      <c r="AN45" s="127"/>
      <c r="AO45" s="127"/>
      <c r="AP45" s="58" t="str" cm="1">
        <f>IFERROR(IF(ISBLANK($A45),"",INDEX(Array_StationaryCharges,MATCH($A45,List_StationaryFuelMeters,0),ROUNDUP((COLUMN()+1)/3-2,0))),"")</f>
        <v/>
      </c>
      <c r="AQ45" s="127"/>
      <c r="AR45" s="127"/>
      <c r="AS45" s="58" t="str" cm="1">
        <f>IFERROR(IF(ISBLANK($A45),"",INDEX(Array_StationaryCharges,MATCH($A45,List_StationaryFuelMeters,0),ROUNDUP((COLUMN()+1)/3-2,0))),"")</f>
        <v/>
      </c>
      <c r="AT45" s="127"/>
      <c r="AU45" s="127"/>
      <c r="AV45" s="58" t="str" cm="1">
        <f>IFERROR(IF(ISBLANK($A45),"",INDEX(Array_StationaryCharges,MATCH($A45,List_StationaryFuelMeters,0),ROUNDUP((COLUMN()+1)/3-2,0))),"")</f>
        <v/>
      </c>
      <c r="AW45" s="127"/>
      <c r="AX45" s="127"/>
    </row>
    <row r="46" spans="1:50" x14ac:dyDescent="0.3">
      <c r="A46" s="126"/>
      <c r="B46" s="133"/>
      <c r="C46" s="127"/>
      <c r="D46" s="138"/>
      <c r="E46" s="138"/>
      <c r="F46" s="58" t="str" cm="1">
        <f>IFERROR(IF(ISBLANK($A46),"",INDEX(Array_StationaryCharges,MATCH($A46,List_StationaryFuelMeters,0),ROUNDUP((COLUMN()+1)/3-2,0))),"")</f>
        <v/>
      </c>
      <c r="G46" s="127"/>
      <c r="H46" s="127"/>
      <c r="I46" s="58" t="str" cm="1">
        <f>IFERROR(IF(ISBLANK($A46),"",INDEX(Array_StationaryCharges,MATCH($A46,List_StationaryFuelMeters,0),ROUNDUP((COLUMN()+1)/3-2,0))),"")</f>
        <v/>
      </c>
      <c r="J46" s="127"/>
      <c r="K46" s="127"/>
      <c r="L46" s="58" t="str" cm="1">
        <f>IFERROR(IF(ISBLANK($A46),"",INDEX(Array_StationaryCharges,MATCH($A46,List_StationaryFuelMeters,0),ROUNDUP((COLUMN()+1)/3-2,0))),"")</f>
        <v/>
      </c>
      <c r="M46" s="127"/>
      <c r="N46" s="127"/>
      <c r="O46" s="58" t="str" cm="1">
        <f>IFERROR(IF(ISBLANK($A46),"",INDEX(Array_StationaryCharges,MATCH($A46,List_StationaryFuelMeters,0),ROUNDUP((COLUMN()+1)/3-2,0))),"")</f>
        <v/>
      </c>
      <c r="P46" s="127"/>
      <c r="Q46" s="127"/>
      <c r="R46" s="58" t="str" cm="1">
        <f>IFERROR(IF(ISBLANK($A46),"",INDEX(Array_StationaryCharges,MATCH($A46,List_StationaryFuelMeters,0),ROUNDUP((COLUMN()+1)/3-2,0))),"")</f>
        <v/>
      </c>
      <c r="S46" s="127"/>
      <c r="T46" s="127"/>
      <c r="U46" s="58" t="str" cm="1">
        <f>IFERROR(IF(ISBLANK($A46),"",INDEX(Array_StationaryCharges,MATCH($A46,List_StationaryFuelMeters,0),ROUNDUP((COLUMN()+1)/3-2,0))),"")</f>
        <v/>
      </c>
      <c r="V46" s="127"/>
      <c r="W46" s="127"/>
      <c r="X46" s="58" t="str" cm="1">
        <f>IFERROR(IF(ISBLANK($A46),"",INDEX(Array_StationaryCharges,MATCH($A46,List_StationaryFuelMeters,0),ROUNDUP((COLUMN()+1)/3-2,0))),"")</f>
        <v/>
      </c>
      <c r="Y46" s="127"/>
      <c r="Z46" s="127"/>
      <c r="AA46" s="58" t="str" cm="1">
        <f>IFERROR(IF(ISBLANK($A46),"",INDEX(Array_StationaryCharges,MATCH($A46,List_StationaryFuelMeters,0),ROUNDUP((COLUMN()+1)/3-2,0))),"")</f>
        <v/>
      </c>
      <c r="AB46" s="127"/>
      <c r="AC46" s="127"/>
      <c r="AD46" s="58" t="str" cm="1">
        <f>IFERROR(IF(ISBLANK($A46),"",INDEX(Array_StationaryCharges,MATCH($A46,List_StationaryFuelMeters,0),ROUNDUP((COLUMN()+1)/3-2,0))),"")</f>
        <v/>
      </c>
      <c r="AE46" s="127"/>
      <c r="AF46" s="127"/>
      <c r="AG46" s="58" t="str" cm="1">
        <f>IFERROR(IF(ISBLANK($A46),"",INDEX(Array_StationaryCharges,MATCH($A46,List_StationaryFuelMeters,0),ROUNDUP((COLUMN()+1)/3-2,0))),"")</f>
        <v/>
      </c>
      <c r="AH46" s="127"/>
      <c r="AI46" s="127"/>
      <c r="AJ46" s="58" t="str" cm="1">
        <f>IFERROR(IF(ISBLANK($A46),"",INDEX(Array_StationaryCharges,MATCH($A46,List_StationaryFuelMeters,0),ROUNDUP((COLUMN()+1)/3-2,0))),"")</f>
        <v/>
      </c>
      <c r="AK46" s="127"/>
      <c r="AL46" s="127"/>
      <c r="AM46" s="58" t="str" cm="1">
        <f>IFERROR(IF(ISBLANK($A46),"",INDEX(Array_StationaryCharges,MATCH($A46,List_StationaryFuelMeters,0),ROUNDUP((COLUMN()+1)/3-2,0))),"")</f>
        <v/>
      </c>
      <c r="AN46" s="127"/>
      <c r="AO46" s="127"/>
      <c r="AP46" s="58" t="str" cm="1">
        <f>IFERROR(IF(ISBLANK($A46),"",INDEX(Array_StationaryCharges,MATCH($A46,List_StationaryFuelMeters,0),ROUNDUP((COLUMN()+1)/3-2,0))),"")</f>
        <v/>
      </c>
      <c r="AQ46" s="127"/>
      <c r="AR46" s="127"/>
      <c r="AS46" s="58" t="str" cm="1">
        <f>IFERROR(IF(ISBLANK($A46),"",INDEX(Array_StationaryCharges,MATCH($A46,List_StationaryFuelMeters,0),ROUNDUP((COLUMN()+1)/3-2,0))),"")</f>
        <v/>
      </c>
      <c r="AT46" s="127"/>
      <c r="AU46" s="127"/>
      <c r="AV46" s="58" t="str" cm="1">
        <f>IFERROR(IF(ISBLANK($A46),"",INDEX(Array_StationaryCharges,MATCH($A46,List_StationaryFuelMeters,0),ROUNDUP((COLUMN()+1)/3-2,0))),"")</f>
        <v/>
      </c>
      <c r="AW46" s="127"/>
      <c r="AX46" s="127"/>
    </row>
    <row r="47" spans="1:50" x14ac:dyDescent="0.3">
      <c r="A47" s="126"/>
      <c r="B47" s="133"/>
      <c r="C47" s="127"/>
      <c r="D47" s="138"/>
      <c r="E47" s="138"/>
      <c r="F47" s="58" t="str" cm="1">
        <f>IFERROR(IF(ISBLANK($A47),"",INDEX(Array_StationaryCharges,MATCH($A47,List_StationaryFuelMeters,0),ROUNDUP((COLUMN()+1)/3-2,0))),"")</f>
        <v/>
      </c>
      <c r="G47" s="127"/>
      <c r="H47" s="127"/>
      <c r="I47" s="58" t="str" cm="1">
        <f>IFERROR(IF(ISBLANK($A47),"",INDEX(Array_StationaryCharges,MATCH($A47,List_StationaryFuelMeters,0),ROUNDUP((COLUMN()+1)/3-2,0))),"")</f>
        <v/>
      </c>
      <c r="J47" s="127"/>
      <c r="K47" s="127"/>
      <c r="L47" s="58" t="str" cm="1">
        <f>IFERROR(IF(ISBLANK($A47),"",INDEX(Array_StationaryCharges,MATCH($A47,List_StationaryFuelMeters,0),ROUNDUP((COLUMN()+1)/3-2,0))),"")</f>
        <v/>
      </c>
      <c r="M47" s="127"/>
      <c r="N47" s="127"/>
      <c r="O47" s="58" t="str" cm="1">
        <f>IFERROR(IF(ISBLANK($A47),"",INDEX(Array_StationaryCharges,MATCH($A47,List_StationaryFuelMeters,0),ROUNDUP((COLUMN()+1)/3-2,0))),"")</f>
        <v/>
      </c>
      <c r="P47" s="127"/>
      <c r="Q47" s="127"/>
      <c r="R47" s="58" t="str" cm="1">
        <f>IFERROR(IF(ISBLANK($A47),"",INDEX(Array_StationaryCharges,MATCH($A47,List_StationaryFuelMeters,0),ROUNDUP((COLUMN()+1)/3-2,0))),"")</f>
        <v/>
      </c>
      <c r="S47" s="127"/>
      <c r="T47" s="127"/>
      <c r="U47" s="58" t="str" cm="1">
        <f>IFERROR(IF(ISBLANK($A47),"",INDEX(Array_StationaryCharges,MATCH($A47,List_StationaryFuelMeters,0),ROUNDUP((COLUMN()+1)/3-2,0))),"")</f>
        <v/>
      </c>
      <c r="V47" s="127"/>
      <c r="W47" s="127"/>
      <c r="X47" s="58" t="str" cm="1">
        <f>IFERROR(IF(ISBLANK($A47),"",INDEX(Array_StationaryCharges,MATCH($A47,List_StationaryFuelMeters,0),ROUNDUP((COLUMN()+1)/3-2,0))),"")</f>
        <v/>
      </c>
      <c r="Y47" s="127"/>
      <c r="Z47" s="127"/>
      <c r="AA47" s="58" t="str" cm="1">
        <f>IFERROR(IF(ISBLANK($A47),"",INDEX(Array_StationaryCharges,MATCH($A47,List_StationaryFuelMeters,0),ROUNDUP((COLUMN()+1)/3-2,0))),"")</f>
        <v/>
      </c>
      <c r="AB47" s="127"/>
      <c r="AC47" s="127"/>
      <c r="AD47" s="58" t="str" cm="1">
        <f>IFERROR(IF(ISBLANK($A47),"",INDEX(Array_StationaryCharges,MATCH($A47,List_StationaryFuelMeters,0),ROUNDUP((COLUMN()+1)/3-2,0))),"")</f>
        <v/>
      </c>
      <c r="AE47" s="127"/>
      <c r="AF47" s="127"/>
      <c r="AG47" s="58" t="str" cm="1">
        <f>IFERROR(IF(ISBLANK($A47),"",INDEX(Array_StationaryCharges,MATCH($A47,List_StationaryFuelMeters,0),ROUNDUP((COLUMN()+1)/3-2,0))),"")</f>
        <v/>
      </c>
      <c r="AH47" s="127"/>
      <c r="AI47" s="127"/>
      <c r="AJ47" s="58" t="str" cm="1">
        <f>IFERROR(IF(ISBLANK($A47),"",INDEX(Array_StationaryCharges,MATCH($A47,List_StationaryFuelMeters,0),ROUNDUP((COLUMN()+1)/3-2,0))),"")</f>
        <v/>
      </c>
      <c r="AK47" s="127"/>
      <c r="AL47" s="127"/>
      <c r="AM47" s="58" t="str" cm="1">
        <f>IFERROR(IF(ISBLANK($A47),"",INDEX(Array_StationaryCharges,MATCH($A47,List_StationaryFuelMeters,0),ROUNDUP((COLUMN()+1)/3-2,0))),"")</f>
        <v/>
      </c>
      <c r="AN47" s="127"/>
      <c r="AO47" s="127"/>
      <c r="AP47" s="58" t="str" cm="1">
        <f>IFERROR(IF(ISBLANK($A47),"",INDEX(Array_StationaryCharges,MATCH($A47,List_StationaryFuelMeters,0),ROUNDUP((COLUMN()+1)/3-2,0))),"")</f>
        <v/>
      </c>
      <c r="AQ47" s="127"/>
      <c r="AR47" s="127"/>
      <c r="AS47" s="58" t="str" cm="1">
        <f>IFERROR(IF(ISBLANK($A47),"",INDEX(Array_StationaryCharges,MATCH($A47,List_StationaryFuelMeters,0),ROUNDUP((COLUMN()+1)/3-2,0))),"")</f>
        <v/>
      </c>
      <c r="AT47" s="127"/>
      <c r="AU47" s="127"/>
      <c r="AV47" s="58" t="str" cm="1">
        <f>IFERROR(IF(ISBLANK($A47),"",INDEX(Array_StationaryCharges,MATCH($A47,List_StationaryFuelMeters,0),ROUNDUP((COLUMN()+1)/3-2,0))),"")</f>
        <v/>
      </c>
      <c r="AW47" s="127"/>
      <c r="AX47" s="127"/>
    </row>
    <row r="48" spans="1:50" x14ac:dyDescent="0.3">
      <c r="A48" s="126"/>
      <c r="B48" s="133"/>
      <c r="C48" s="127"/>
      <c r="D48" s="138"/>
      <c r="E48" s="138"/>
      <c r="F48" s="58" t="str" cm="1">
        <f>IFERROR(IF(ISBLANK($A48),"",INDEX(Array_StationaryCharges,MATCH($A48,List_StationaryFuelMeters,0),ROUNDUP((COLUMN()+1)/3-2,0))),"")</f>
        <v/>
      </c>
      <c r="G48" s="127"/>
      <c r="H48" s="127"/>
      <c r="I48" s="58" t="str" cm="1">
        <f>IFERROR(IF(ISBLANK($A48),"",INDEX(Array_StationaryCharges,MATCH($A48,List_StationaryFuelMeters,0),ROUNDUP((COLUMN()+1)/3-2,0))),"")</f>
        <v/>
      </c>
      <c r="J48" s="127"/>
      <c r="K48" s="127"/>
      <c r="L48" s="58" t="str" cm="1">
        <f>IFERROR(IF(ISBLANK($A48),"",INDEX(Array_StationaryCharges,MATCH($A48,List_StationaryFuelMeters,0),ROUNDUP((COLUMN()+1)/3-2,0))),"")</f>
        <v/>
      </c>
      <c r="M48" s="127"/>
      <c r="N48" s="127"/>
      <c r="O48" s="58" t="str" cm="1">
        <f>IFERROR(IF(ISBLANK($A48),"",INDEX(Array_StationaryCharges,MATCH($A48,List_StationaryFuelMeters,0),ROUNDUP((COLUMN()+1)/3-2,0))),"")</f>
        <v/>
      </c>
      <c r="P48" s="127"/>
      <c r="Q48" s="127"/>
      <c r="R48" s="58" t="str" cm="1">
        <f>IFERROR(IF(ISBLANK($A48),"",INDEX(Array_StationaryCharges,MATCH($A48,List_StationaryFuelMeters,0),ROUNDUP((COLUMN()+1)/3-2,0))),"")</f>
        <v/>
      </c>
      <c r="S48" s="127"/>
      <c r="T48" s="127"/>
      <c r="U48" s="58" t="str" cm="1">
        <f>IFERROR(IF(ISBLANK($A48),"",INDEX(Array_StationaryCharges,MATCH($A48,List_StationaryFuelMeters,0),ROUNDUP((COLUMN()+1)/3-2,0))),"")</f>
        <v/>
      </c>
      <c r="V48" s="127"/>
      <c r="W48" s="127"/>
      <c r="X48" s="58" t="str" cm="1">
        <f>IFERROR(IF(ISBLANK($A48),"",INDEX(Array_StationaryCharges,MATCH($A48,List_StationaryFuelMeters,0),ROUNDUP((COLUMN()+1)/3-2,0))),"")</f>
        <v/>
      </c>
      <c r="Y48" s="127"/>
      <c r="Z48" s="127"/>
      <c r="AA48" s="58" t="str" cm="1">
        <f>IFERROR(IF(ISBLANK($A48),"",INDEX(Array_StationaryCharges,MATCH($A48,List_StationaryFuelMeters,0),ROUNDUP((COLUMN()+1)/3-2,0))),"")</f>
        <v/>
      </c>
      <c r="AB48" s="127"/>
      <c r="AC48" s="127"/>
      <c r="AD48" s="58" t="str" cm="1">
        <f>IFERROR(IF(ISBLANK($A48),"",INDEX(Array_StationaryCharges,MATCH($A48,List_StationaryFuelMeters,0),ROUNDUP((COLUMN()+1)/3-2,0))),"")</f>
        <v/>
      </c>
      <c r="AE48" s="127"/>
      <c r="AF48" s="127"/>
      <c r="AG48" s="58" t="str" cm="1">
        <f>IFERROR(IF(ISBLANK($A48),"",INDEX(Array_StationaryCharges,MATCH($A48,List_StationaryFuelMeters,0),ROUNDUP((COLUMN()+1)/3-2,0))),"")</f>
        <v/>
      </c>
      <c r="AH48" s="127"/>
      <c r="AI48" s="127"/>
      <c r="AJ48" s="58" t="str" cm="1">
        <f>IFERROR(IF(ISBLANK($A48),"",INDEX(Array_StationaryCharges,MATCH($A48,List_StationaryFuelMeters,0),ROUNDUP((COLUMN()+1)/3-2,0))),"")</f>
        <v/>
      </c>
      <c r="AK48" s="127"/>
      <c r="AL48" s="127"/>
      <c r="AM48" s="58" t="str" cm="1">
        <f>IFERROR(IF(ISBLANK($A48),"",INDEX(Array_StationaryCharges,MATCH($A48,List_StationaryFuelMeters,0),ROUNDUP((COLUMN()+1)/3-2,0))),"")</f>
        <v/>
      </c>
      <c r="AN48" s="127"/>
      <c r="AO48" s="127"/>
      <c r="AP48" s="58" t="str" cm="1">
        <f>IFERROR(IF(ISBLANK($A48),"",INDEX(Array_StationaryCharges,MATCH($A48,List_StationaryFuelMeters,0),ROUNDUP((COLUMN()+1)/3-2,0))),"")</f>
        <v/>
      </c>
      <c r="AQ48" s="127"/>
      <c r="AR48" s="127"/>
      <c r="AS48" s="58" t="str" cm="1">
        <f>IFERROR(IF(ISBLANK($A48),"",INDEX(Array_StationaryCharges,MATCH($A48,List_StationaryFuelMeters,0),ROUNDUP((COLUMN()+1)/3-2,0))),"")</f>
        <v/>
      </c>
      <c r="AT48" s="127"/>
      <c r="AU48" s="127"/>
      <c r="AV48" s="58" t="str" cm="1">
        <f>IFERROR(IF(ISBLANK($A48),"",INDEX(Array_StationaryCharges,MATCH($A48,List_StationaryFuelMeters,0),ROUNDUP((COLUMN()+1)/3-2,0))),"")</f>
        <v/>
      </c>
      <c r="AW48" s="127"/>
      <c r="AX48" s="127"/>
    </row>
    <row r="49" spans="1:50" x14ac:dyDescent="0.3">
      <c r="A49" s="126"/>
      <c r="B49" s="133"/>
      <c r="C49" s="127"/>
      <c r="D49" s="138"/>
      <c r="E49" s="138"/>
      <c r="F49" s="58" t="str" cm="1">
        <f>IFERROR(IF(ISBLANK($A49),"",INDEX(Array_StationaryCharges,MATCH($A49,List_StationaryFuelMeters,0),ROUNDUP((COLUMN()+1)/3-2,0))),"")</f>
        <v/>
      </c>
      <c r="G49" s="127"/>
      <c r="H49" s="127"/>
      <c r="I49" s="58" t="str" cm="1">
        <f>IFERROR(IF(ISBLANK($A49),"",INDEX(Array_StationaryCharges,MATCH($A49,List_StationaryFuelMeters,0),ROUNDUP((COLUMN()+1)/3-2,0))),"")</f>
        <v/>
      </c>
      <c r="J49" s="127"/>
      <c r="K49" s="127"/>
      <c r="L49" s="58" t="str" cm="1">
        <f>IFERROR(IF(ISBLANK($A49),"",INDEX(Array_StationaryCharges,MATCH($A49,List_StationaryFuelMeters,0),ROUNDUP((COLUMN()+1)/3-2,0))),"")</f>
        <v/>
      </c>
      <c r="M49" s="127"/>
      <c r="N49" s="127"/>
      <c r="O49" s="58" t="str" cm="1">
        <f>IFERROR(IF(ISBLANK($A49),"",INDEX(Array_StationaryCharges,MATCH($A49,List_StationaryFuelMeters,0),ROUNDUP((COLUMN()+1)/3-2,0))),"")</f>
        <v/>
      </c>
      <c r="P49" s="127"/>
      <c r="Q49" s="127"/>
      <c r="R49" s="58" t="str" cm="1">
        <f>IFERROR(IF(ISBLANK($A49),"",INDEX(Array_StationaryCharges,MATCH($A49,List_StationaryFuelMeters,0),ROUNDUP((COLUMN()+1)/3-2,0))),"")</f>
        <v/>
      </c>
      <c r="S49" s="127"/>
      <c r="T49" s="127"/>
      <c r="U49" s="58" t="str" cm="1">
        <f>IFERROR(IF(ISBLANK($A49),"",INDEX(Array_StationaryCharges,MATCH($A49,List_StationaryFuelMeters,0),ROUNDUP((COLUMN()+1)/3-2,0))),"")</f>
        <v/>
      </c>
      <c r="V49" s="127"/>
      <c r="W49" s="127"/>
      <c r="X49" s="58" t="str" cm="1">
        <f>IFERROR(IF(ISBLANK($A49),"",INDEX(Array_StationaryCharges,MATCH($A49,List_StationaryFuelMeters,0),ROUNDUP((COLUMN()+1)/3-2,0))),"")</f>
        <v/>
      </c>
      <c r="Y49" s="127"/>
      <c r="Z49" s="127"/>
      <c r="AA49" s="58" t="str" cm="1">
        <f>IFERROR(IF(ISBLANK($A49),"",INDEX(Array_StationaryCharges,MATCH($A49,List_StationaryFuelMeters,0),ROUNDUP((COLUMN()+1)/3-2,0))),"")</f>
        <v/>
      </c>
      <c r="AB49" s="127"/>
      <c r="AC49" s="127"/>
      <c r="AD49" s="58" t="str" cm="1">
        <f>IFERROR(IF(ISBLANK($A49),"",INDEX(Array_StationaryCharges,MATCH($A49,List_StationaryFuelMeters,0),ROUNDUP((COLUMN()+1)/3-2,0))),"")</f>
        <v/>
      </c>
      <c r="AE49" s="127"/>
      <c r="AF49" s="127"/>
      <c r="AG49" s="58" t="str" cm="1">
        <f>IFERROR(IF(ISBLANK($A49),"",INDEX(Array_StationaryCharges,MATCH($A49,List_StationaryFuelMeters,0),ROUNDUP((COLUMN()+1)/3-2,0))),"")</f>
        <v/>
      </c>
      <c r="AH49" s="127"/>
      <c r="AI49" s="127"/>
      <c r="AJ49" s="58" t="str" cm="1">
        <f>IFERROR(IF(ISBLANK($A49),"",INDEX(Array_StationaryCharges,MATCH($A49,List_StationaryFuelMeters,0),ROUNDUP((COLUMN()+1)/3-2,0))),"")</f>
        <v/>
      </c>
      <c r="AK49" s="127"/>
      <c r="AL49" s="127"/>
      <c r="AM49" s="58" t="str" cm="1">
        <f>IFERROR(IF(ISBLANK($A49),"",INDEX(Array_StationaryCharges,MATCH($A49,List_StationaryFuelMeters,0),ROUNDUP((COLUMN()+1)/3-2,0))),"")</f>
        <v/>
      </c>
      <c r="AN49" s="127"/>
      <c r="AO49" s="127"/>
      <c r="AP49" s="58" t="str" cm="1">
        <f>IFERROR(IF(ISBLANK($A49),"",INDEX(Array_StationaryCharges,MATCH($A49,List_StationaryFuelMeters,0),ROUNDUP((COLUMN()+1)/3-2,0))),"")</f>
        <v/>
      </c>
      <c r="AQ49" s="127"/>
      <c r="AR49" s="127"/>
      <c r="AS49" s="58" t="str" cm="1">
        <f>IFERROR(IF(ISBLANK($A49),"",INDEX(Array_StationaryCharges,MATCH($A49,List_StationaryFuelMeters,0),ROUNDUP((COLUMN()+1)/3-2,0))),"")</f>
        <v/>
      </c>
      <c r="AT49" s="127"/>
      <c r="AU49" s="127"/>
      <c r="AV49" s="58" t="str" cm="1">
        <f>IFERROR(IF(ISBLANK($A49),"",INDEX(Array_StationaryCharges,MATCH($A49,List_StationaryFuelMeters,0),ROUNDUP((COLUMN()+1)/3-2,0))),"")</f>
        <v/>
      </c>
      <c r="AW49" s="127"/>
      <c r="AX49" s="127"/>
    </row>
    <row r="50" spans="1:50" x14ac:dyDescent="0.3">
      <c r="A50" s="126"/>
      <c r="B50" s="133"/>
      <c r="C50" s="127"/>
      <c r="D50" s="138"/>
      <c r="E50" s="138"/>
      <c r="F50" s="58" t="str" cm="1">
        <f>IFERROR(IF(ISBLANK($A50),"",INDEX(Array_StationaryCharges,MATCH($A50,List_StationaryFuelMeters,0),ROUNDUP((COLUMN()+1)/3-2,0))),"")</f>
        <v/>
      </c>
      <c r="G50" s="127"/>
      <c r="H50" s="127"/>
      <c r="I50" s="58" t="str" cm="1">
        <f>IFERROR(IF(ISBLANK($A50),"",INDEX(Array_StationaryCharges,MATCH($A50,List_StationaryFuelMeters,0),ROUNDUP((COLUMN()+1)/3-2,0))),"")</f>
        <v/>
      </c>
      <c r="J50" s="127"/>
      <c r="K50" s="127"/>
      <c r="L50" s="58" t="str" cm="1">
        <f>IFERROR(IF(ISBLANK($A50),"",INDEX(Array_StationaryCharges,MATCH($A50,List_StationaryFuelMeters,0),ROUNDUP((COLUMN()+1)/3-2,0))),"")</f>
        <v/>
      </c>
      <c r="M50" s="127"/>
      <c r="N50" s="127"/>
      <c r="O50" s="58" t="str" cm="1">
        <f>IFERROR(IF(ISBLANK($A50),"",INDEX(Array_StationaryCharges,MATCH($A50,List_StationaryFuelMeters,0),ROUNDUP((COLUMN()+1)/3-2,0))),"")</f>
        <v/>
      </c>
      <c r="P50" s="127"/>
      <c r="Q50" s="127"/>
      <c r="R50" s="58" t="str" cm="1">
        <f>IFERROR(IF(ISBLANK($A50),"",INDEX(Array_StationaryCharges,MATCH($A50,List_StationaryFuelMeters,0),ROUNDUP((COLUMN()+1)/3-2,0))),"")</f>
        <v/>
      </c>
      <c r="S50" s="127"/>
      <c r="T50" s="127"/>
      <c r="U50" s="58" t="str" cm="1">
        <f>IFERROR(IF(ISBLANK($A50),"",INDEX(Array_StationaryCharges,MATCH($A50,List_StationaryFuelMeters,0),ROUNDUP((COLUMN()+1)/3-2,0))),"")</f>
        <v/>
      </c>
      <c r="V50" s="127"/>
      <c r="W50" s="127"/>
      <c r="X50" s="58" t="str" cm="1">
        <f>IFERROR(IF(ISBLANK($A50),"",INDEX(Array_StationaryCharges,MATCH($A50,List_StationaryFuelMeters,0),ROUNDUP((COLUMN()+1)/3-2,0))),"")</f>
        <v/>
      </c>
      <c r="Y50" s="127"/>
      <c r="Z50" s="127"/>
      <c r="AA50" s="58" t="str" cm="1">
        <f>IFERROR(IF(ISBLANK($A50),"",INDEX(Array_StationaryCharges,MATCH($A50,List_StationaryFuelMeters,0),ROUNDUP((COLUMN()+1)/3-2,0))),"")</f>
        <v/>
      </c>
      <c r="AB50" s="127"/>
      <c r="AC50" s="127"/>
      <c r="AD50" s="58" t="str" cm="1">
        <f>IFERROR(IF(ISBLANK($A50),"",INDEX(Array_StationaryCharges,MATCH($A50,List_StationaryFuelMeters,0),ROUNDUP((COLUMN()+1)/3-2,0))),"")</f>
        <v/>
      </c>
      <c r="AE50" s="127"/>
      <c r="AF50" s="127"/>
      <c r="AG50" s="58" t="str" cm="1">
        <f>IFERROR(IF(ISBLANK($A50),"",INDEX(Array_StationaryCharges,MATCH($A50,List_StationaryFuelMeters,0),ROUNDUP((COLUMN()+1)/3-2,0))),"")</f>
        <v/>
      </c>
      <c r="AH50" s="127"/>
      <c r="AI50" s="127"/>
      <c r="AJ50" s="58" t="str" cm="1">
        <f>IFERROR(IF(ISBLANK($A50),"",INDEX(Array_StationaryCharges,MATCH($A50,List_StationaryFuelMeters,0),ROUNDUP((COLUMN()+1)/3-2,0))),"")</f>
        <v/>
      </c>
      <c r="AK50" s="127"/>
      <c r="AL50" s="127"/>
      <c r="AM50" s="58" t="str" cm="1">
        <f>IFERROR(IF(ISBLANK($A50),"",INDEX(Array_StationaryCharges,MATCH($A50,List_StationaryFuelMeters,0),ROUNDUP((COLUMN()+1)/3-2,0))),"")</f>
        <v/>
      </c>
      <c r="AN50" s="127"/>
      <c r="AO50" s="127"/>
      <c r="AP50" s="58" t="str" cm="1">
        <f>IFERROR(IF(ISBLANK($A50),"",INDEX(Array_StationaryCharges,MATCH($A50,List_StationaryFuelMeters,0),ROUNDUP((COLUMN()+1)/3-2,0))),"")</f>
        <v/>
      </c>
      <c r="AQ50" s="127"/>
      <c r="AR50" s="127"/>
      <c r="AS50" s="58" t="str" cm="1">
        <f>IFERROR(IF(ISBLANK($A50),"",INDEX(Array_StationaryCharges,MATCH($A50,List_StationaryFuelMeters,0),ROUNDUP((COLUMN()+1)/3-2,0))),"")</f>
        <v/>
      </c>
      <c r="AT50" s="127"/>
      <c r="AU50" s="127"/>
      <c r="AV50" s="58" t="str" cm="1">
        <f>IFERROR(IF(ISBLANK($A50),"",INDEX(Array_StationaryCharges,MATCH($A50,List_StationaryFuelMeters,0),ROUNDUP((COLUMN()+1)/3-2,0))),"")</f>
        <v/>
      </c>
      <c r="AW50" s="127"/>
      <c r="AX50" s="127"/>
    </row>
    <row r="51" spans="1:50" x14ac:dyDescent="0.3">
      <c r="A51" s="126"/>
      <c r="B51" s="133"/>
      <c r="C51" s="127"/>
      <c r="D51" s="138"/>
      <c r="E51" s="138"/>
      <c r="F51" s="58" t="str" cm="1">
        <f>IFERROR(IF(ISBLANK($A51),"",INDEX(Array_StationaryCharges,MATCH($A51,List_StationaryFuelMeters,0),ROUNDUP((COLUMN()+1)/3-2,0))),"")</f>
        <v/>
      </c>
      <c r="G51" s="127"/>
      <c r="H51" s="127"/>
      <c r="I51" s="58" t="str" cm="1">
        <f>IFERROR(IF(ISBLANK($A51),"",INDEX(Array_StationaryCharges,MATCH($A51,List_StationaryFuelMeters,0),ROUNDUP((COLUMN()+1)/3-2,0))),"")</f>
        <v/>
      </c>
      <c r="J51" s="127"/>
      <c r="K51" s="127"/>
      <c r="L51" s="58" t="str" cm="1">
        <f>IFERROR(IF(ISBLANK($A51),"",INDEX(Array_StationaryCharges,MATCH($A51,List_StationaryFuelMeters,0),ROUNDUP((COLUMN()+1)/3-2,0))),"")</f>
        <v/>
      </c>
      <c r="M51" s="127"/>
      <c r="N51" s="127"/>
      <c r="O51" s="58" t="str" cm="1">
        <f>IFERROR(IF(ISBLANK($A51),"",INDEX(Array_StationaryCharges,MATCH($A51,List_StationaryFuelMeters,0),ROUNDUP((COLUMN()+1)/3-2,0))),"")</f>
        <v/>
      </c>
      <c r="P51" s="127"/>
      <c r="Q51" s="127"/>
      <c r="R51" s="58" t="str" cm="1">
        <f>IFERROR(IF(ISBLANK($A51),"",INDEX(Array_StationaryCharges,MATCH($A51,List_StationaryFuelMeters,0),ROUNDUP((COLUMN()+1)/3-2,0))),"")</f>
        <v/>
      </c>
      <c r="S51" s="127"/>
      <c r="T51" s="127"/>
      <c r="U51" s="58" t="str" cm="1">
        <f>IFERROR(IF(ISBLANK($A51),"",INDEX(Array_StationaryCharges,MATCH($A51,List_StationaryFuelMeters,0),ROUNDUP((COLUMN()+1)/3-2,0))),"")</f>
        <v/>
      </c>
      <c r="V51" s="127"/>
      <c r="W51" s="127"/>
      <c r="X51" s="58" t="str" cm="1">
        <f>IFERROR(IF(ISBLANK($A51),"",INDEX(Array_StationaryCharges,MATCH($A51,List_StationaryFuelMeters,0),ROUNDUP((COLUMN()+1)/3-2,0))),"")</f>
        <v/>
      </c>
      <c r="Y51" s="127"/>
      <c r="Z51" s="127"/>
      <c r="AA51" s="58" t="str" cm="1">
        <f>IFERROR(IF(ISBLANK($A51),"",INDEX(Array_StationaryCharges,MATCH($A51,List_StationaryFuelMeters,0),ROUNDUP((COLUMN()+1)/3-2,0))),"")</f>
        <v/>
      </c>
      <c r="AB51" s="127"/>
      <c r="AC51" s="127"/>
      <c r="AD51" s="58" t="str" cm="1">
        <f>IFERROR(IF(ISBLANK($A51),"",INDEX(Array_StationaryCharges,MATCH($A51,List_StationaryFuelMeters,0),ROUNDUP((COLUMN()+1)/3-2,0))),"")</f>
        <v/>
      </c>
      <c r="AE51" s="127"/>
      <c r="AF51" s="127"/>
      <c r="AG51" s="58" t="str" cm="1">
        <f>IFERROR(IF(ISBLANK($A51),"",INDEX(Array_StationaryCharges,MATCH($A51,List_StationaryFuelMeters,0),ROUNDUP((COLUMN()+1)/3-2,0))),"")</f>
        <v/>
      </c>
      <c r="AH51" s="127"/>
      <c r="AI51" s="127"/>
      <c r="AJ51" s="58" t="str" cm="1">
        <f>IFERROR(IF(ISBLANK($A51),"",INDEX(Array_StationaryCharges,MATCH($A51,List_StationaryFuelMeters,0),ROUNDUP((COLUMN()+1)/3-2,0))),"")</f>
        <v/>
      </c>
      <c r="AK51" s="127"/>
      <c r="AL51" s="127"/>
      <c r="AM51" s="58" t="str" cm="1">
        <f>IFERROR(IF(ISBLANK($A51),"",INDEX(Array_StationaryCharges,MATCH($A51,List_StationaryFuelMeters,0),ROUNDUP((COLUMN()+1)/3-2,0))),"")</f>
        <v/>
      </c>
      <c r="AN51" s="127"/>
      <c r="AO51" s="127"/>
      <c r="AP51" s="58" t="str" cm="1">
        <f>IFERROR(IF(ISBLANK($A51),"",INDEX(Array_StationaryCharges,MATCH($A51,List_StationaryFuelMeters,0),ROUNDUP((COLUMN()+1)/3-2,0))),"")</f>
        <v/>
      </c>
      <c r="AQ51" s="127"/>
      <c r="AR51" s="127"/>
      <c r="AS51" s="58" t="str" cm="1">
        <f>IFERROR(IF(ISBLANK($A51),"",INDEX(Array_StationaryCharges,MATCH($A51,List_StationaryFuelMeters,0),ROUNDUP((COLUMN()+1)/3-2,0))),"")</f>
        <v/>
      </c>
      <c r="AT51" s="127"/>
      <c r="AU51" s="127"/>
      <c r="AV51" s="58" t="str" cm="1">
        <f>IFERROR(IF(ISBLANK($A51),"",INDEX(Array_StationaryCharges,MATCH($A51,List_StationaryFuelMeters,0),ROUNDUP((COLUMN()+1)/3-2,0))),"")</f>
        <v/>
      </c>
      <c r="AW51" s="127"/>
      <c r="AX51" s="127"/>
    </row>
    <row r="52" spans="1:50" x14ac:dyDescent="0.3">
      <c r="A52" s="126"/>
      <c r="B52" s="133"/>
      <c r="C52" s="127"/>
      <c r="D52" s="138"/>
      <c r="E52" s="138"/>
      <c r="F52" s="58" t="str" cm="1">
        <f>IFERROR(IF(ISBLANK($A52),"",INDEX(Array_StationaryCharges,MATCH($A52,List_StationaryFuelMeters,0),ROUNDUP((COLUMN()+1)/3-2,0))),"")</f>
        <v/>
      </c>
      <c r="G52" s="127"/>
      <c r="H52" s="127"/>
      <c r="I52" s="58" t="str" cm="1">
        <f>IFERROR(IF(ISBLANK($A52),"",INDEX(Array_StationaryCharges,MATCH($A52,List_StationaryFuelMeters,0),ROUNDUP((COLUMN()+1)/3-2,0))),"")</f>
        <v/>
      </c>
      <c r="J52" s="127"/>
      <c r="K52" s="127"/>
      <c r="L52" s="58" t="str" cm="1">
        <f>IFERROR(IF(ISBLANK($A52),"",INDEX(Array_StationaryCharges,MATCH($A52,List_StationaryFuelMeters,0),ROUNDUP((COLUMN()+1)/3-2,0))),"")</f>
        <v/>
      </c>
      <c r="M52" s="127"/>
      <c r="N52" s="127"/>
      <c r="O52" s="58" t="str" cm="1">
        <f>IFERROR(IF(ISBLANK($A52),"",INDEX(Array_StationaryCharges,MATCH($A52,List_StationaryFuelMeters,0),ROUNDUP((COLUMN()+1)/3-2,0))),"")</f>
        <v/>
      </c>
      <c r="P52" s="127"/>
      <c r="Q52" s="127"/>
      <c r="R52" s="58" t="str" cm="1">
        <f>IFERROR(IF(ISBLANK($A52),"",INDEX(Array_StationaryCharges,MATCH($A52,List_StationaryFuelMeters,0),ROUNDUP((COLUMN()+1)/3-2,0))),"")</f>
        <v/>
      </c>
      <c r="S52" s="127"/>
      <c r="T52" s="127"/>
      <c r="U52" s="58" t="str" cm="1">
        <f>IFERROR(IF(ISBLANK($A52),"",INDEX(Array_StationaryCharges,MATCH($A52,List_StationaryFuelMeters,0),ROUNDUP((COLUMN()+1)/3-2,0))),"")</f>
        <v/>
      </c>
      <c r="V52" s="127"/>
      <c r="W52" s="127"/>
      <c r="X52" s="58" t="str" cm="1">
        <f>IFERROR(IF(ISBLANK($A52),"",INDEX(Array_StationaryCharges,MATCH($A52,List_StationaryFuelMeters,0),ROUNDUP((COLUMN()+1)/3-2,0))),"")</f>
        <v/>
      </c>
      <c r="Y52" s="127"/>
      <c r="Z52" s="127"/>
      <c r="AA52" s="58" t="str" cm="1">
        <f>IFERROR(IF(ISBLANK($A52),"",INDEX(Array_StationaryCharges,MATCH($A52,List_StationaryFuelMeters,0),ROUNDUP((COLUMN()+1)/3-2,0))),"")</f>
        <v/>
      </c>
      <c r="AB52" s="127"/>
      <c r="AC52" s="127"/>
      <c r="AD52" s="58" t="str" cm="1">
        <f>IFERROR(IF(ISBLANK($A52),"",INDEX(Array_StationaryCharges,MATCH($A52,List_StationaryFuelMeters,0),ROUNDUP((COLUMN()+1)/3-2,0))),"")</f>
        <v/>
      </c>
      <c r="AE52" s="127"/>
      <c r="AF52" s="127"/>
      <c r="AG52" s="58" t="str" cm="1">
        <f>IFERROR(IF(ISBLANK($A52),"",INDEX(Array_StationaryCharges,MATCH($A52,List_StationaryFuelMeters,0),ROUNDUP((COLUMN()+1)/3-2,0))),"")</f>
        <v/>
      </c>
      <c r="AH52" s="127"/>
      <c r="AI52" s="127"/>
      <c r="AJ52" s="58" t="str" cm="1">
        <f>IFERROR(IF(ISBLANK($A52),"",INDEX(Array_StationaryCharges,MATCH($A52,List_StationaryFuelMeters,0),ROUNDUP((COLUMN()+1)/3-2,0))),"")</f>
        <v/>
      </c>
      <c r="AK52" s="127"/>
      <c r="AL52" s="127"/>
      <c r="AM52" s="58" t="str" cm="1">
        <f>IFERROR(IF(ISBLANK($A52),"",INDEX(Array_StationaryCharges,MATCH($A52,List_StationaryFuelMeters,0),ROUNDUP((COLUMN()+1)/3-2,0))),"")</f>
        <v/>
      </c>
      <c r="AN52" s="127"/>
      <c r="AO52" s="127"/>
      <c r="AP52" s="58" t="str" cm="1">
        <f>IFERROR(IF(ISBLANK($A52),"",INDEX(Array_StationaryCharges,MATCH($A52,List_StationaryFuelMeters,0),ROUNDUP((COLUMN()+1)/3-2,0))),"")</f>
        <v/>
      </c>
      <c r="AQ52" s="127"/>
      <c r="AR52" s="127"/>
      <c r="AS52" s="58" t="str" cm="1">
        <f>IFERROR(IF(ISBLANK($A52),"",INDEX(Array_StationaryCharges,MATCH($A52,List_StationaryFuelMeters,0),ROUNDUP((COLUMN()+1)/3-2,0))),"")</f>
        <v/>
      </c>
      <c r="AT52" s="127"/>
      <c r="AU52" s="127"/>
      <c r="AV52" s="58" t="str" cm="1">
        <f>IFERROR(IF(ISBLANK($A52),"",INDEX(Array_StationaryCharges,MATCH($A52,List_StationaryFuelMeters,0),ROUNDUP((COLUMN()+1)/3-2,0))),"")</f>
        <v/>
      </c>
      <c r="AW52" s="127"/>
      <c r="AX52" s="127"/>
    </row>
    <row r="53" spans="1:50" x14ac:dyDescent="0.3">
      <c r="A53" s="126"/>
      <c r="B53" s="133"/>
      <c r="C53" s="127"/>
      <c r="D53" s="138"/>
      <c r="E53" s="138"/>
      <c r="F53" s="58" t="str" cm="1">
        <f>IFERROR(IF(ISBLANK($A53),"",INDEX(Array_StationaryCharges,MATCH($A53,List_StationaryFuelMeters,0),ROUNDUP((COLUMN()+1)/3-2,0))),"")</f>
        <v/>
      </c>
      <c r="G53" s="127"/>
      <c r="H53" s="127"/>
      <c r="I53" s="58" t="str" cm="1">
        <f>IFERROR(IF(ISBLANK($A53),"",INDEX(Array_StationaryCharges,MATCH($A53,List_StationaryFuelMeters,0),ROUNDUP((COLUMN()+1)/3-2,0))),"")</f>
        <v/>
      </c>
      <c r="J53" s="127"/>
      <c r="K53" s="127"/>
      <c r="L53" s="58" t="str" cm="1">
        <f>IFERROR(IF(ISBLANK($A53),"",INDEX(Array_StationaryCharges,MATCH($A53,List_StationaryFuelMeters,0),ROUNDUP((COLUMN()+1)/3-2,0))),"")</f>
        <v/>
      </c>
      <c r="M53" s="127"/>
      <c r="N53" s="127"/>
      <c r="O53" s="58" t="str" cm="1">
        <f>IFERROR(IF(ISBLANK($A53),"",INDEX(Array_StationaryCharges,MATCH($A53,List_StationaryFuelMeters,0),ROUNDUP((COLUMN()+1)/3-2,0))),"")</f>
        <v/>
      </c>
      <c r="P53" s="127"/>
      <c r="Q53" s="127"/>
      <c r="R53" s="58" t="str" cm="1">
        <f>IFERROR(IF(ISBLANK($A53),"",INDEX(Array_StationaryCharges,MATCH($A53,List_StationaryFuelMeters,0),ROUNDUP((COLUMN()+1)/3-2,0))),"")</f>
        <v/>
      </c>
      <c r="S53" s="127"/>
      <c r="T53" s="127"/>
      <c r="U53" s="58" t="str" cm="1">
        <f>IFERROR(IF(ISBLANK($A53),"",INDEX(Array_StationaryCharges,MATCH($A53,List_StationaryFuelMeters,0),ROUNDUP((COLUMN()+1)/3-2,0))),"")</f>
        <v/>
      </c>
      <c r="V53" s="127"/>
      <c r="W53" s="127"/>
      <c r="X53" s="58" t="str" cm="1">
        <f>IFERROR(IF(ISBLANK($A53),"",INDEX(Array_StationaryCharges,MATCH($A53,List_StationaryFuelMeters,0),ROUNDUP((COLUMN()+1)/3-2,0))),"")</f>
        <v/>
      </c>
      <c r="Y53" s="127"/>
      <c r="Z53" s="127"/>
      <c r="AA53" s="58" t="str" cm="1">
        <f>IFERROR(IF(ISBLANK($A53),"",INDEX(Array_StationaryCharges,MATCH($A53,List_StationaryFuelMeters,0),ROUNDUP((COLUMN()+1)/3-2,0))),"")</f>
        <v/>
      </c>
      <c r="AB53" s="127"/>
      <c r="AC53" s="127"/>
      <c r="AD53" s="58" t="str" cm="1">
        <f>IFERROR(IF(ISBLANK($A53),"",INDEX(Array_StationaryCharges,MATCH($A53,List_StationaryFuelMeters,0),ROUNDUP((COLUMN()+1)/3-2,0))),"")</f>
        <v/>
      </c>
      <c r="AE53" s="127"/>
      <c r="AF53" s="127"/>
      <c r="AG53" s="58" t="str" cm="1">
        <f>IFERROR(IF(ISBLANK($A53),"",INDEX(Array_StationaryCharges,MATCH($A53,List_StationaryFuelMeters,0),ROUNDUP((COLUMN()+1)/3-2,0))),"")</f>
        <v/>
      </c>
      <c r="AH53" s="127"/>
      <c r="AI53" s="127"/>
      <c r="AJ53" s="58" t="str" cm="1">
        <f>IFERROR(IF(ISBLANK($A53),"",INDEX(Array_StationaryCharges,MATCH($A53,List_StationaryFuelMeters,0),ROUNDUP((COLUMN()+1)/3-2,0))),"")</f>
        <v/>
      </c>
      <c r="AK53" s="127"/>
      <c r="AL53" s="127"/>
      <c r="AM53" s="58" t="str" cm="1">
        <f>IFERROR(IF(ISBLANK($A53),"",INDEX(Array_StationaryCharges,MATCH($A53,List_StationaryFuelMeters,0),ROUNDUP((COLUMN()+1)/3-2,0))),"")</f>
        <v/>
      </c>
      <c r="AN53" s="127"/>
      <c r="AO53" s="127"/>
      <c r="AP53" s="58" t="str" cm="1">
        <f>IFERROR(IF(ISBLANK($A53),"",INDEX(Array_StationaryCharges,MATCH($A53,List_StationaryFuelMeters,0),ROUNDUP((COLUMN()+1)/3-2,0))),"")</f>
        <v/>
      </c>
      <c r="AQ53" s="127"/>
      <c r="AR53" s="127"/>
      <c r="AS53" s="58" t="str" cm="1">
        <f>IFERROR(IF(ISBLANK($A53),"",INDEX(Array_StationaryCharges,MATCH($A53,List_StationaryFuelMeters,0),ROUNDUP((COLUMN()+1)/3-2,0))),"")</f>
        <v/>
      </c>
      <c r="AT53" s="127"/>
      <c r="AU53" s="127"/>
      <c r="AV53" s="58" t="str" cm="1">
        <f>IFERROR(IF(ISBLANK($A53),"",INDEX(Array_StationaryCharges,MATCH($A53,List_StationaryFuelMeters,0),ROUNDUP((COLUMN()+1)/3-2,0))),"")</f>
        <v/>
      </c>
      <c r="AW53" s="127"/>
      <c r="AX53" s="127"/>
    </row>
    <row r="54" spans="1:50" x14ac:dyDescent="0.3">
      <c r="A54" s="126"/>
      <c r="B54" s="133"/>
      <c r="C54" s="127"/>
      <c r="D54" s="138"/>
      <c r="E54" s="138"/>
      <c r="F54" s="58" t="str" cm="1">
        <f>IFERROR(IF(ISBLANK($A54),"",INDEX(Array_StationaryCharges,MATCH($A54,List_StationaryFuelMeters,0),ROUNDUP((COLUMN()+1)/3-2,0))),"")</f>
        <v/>
      </c>
      <c r="G54" s="127"/>
      <c r="H54" s="127"/>
      <c r="I54" s="58" t="str" cm="1">
        <f>IFERROR(IF(ISBLANK($A54),"",INDEX(Array_StationaryCharges,MATCH($A54,List_StationaryFuelMeters,0),ROUNDUP((COLUMN()+1)/3-2,0))),"")</f>
        <v/>
      </c>
      <c r="J54" s="127"/>
      <c r="K54" s="127"/>
      <c r="L54" s="58" t="str" cm="1">
        <f>IFERROR(IF(ISBLANK($A54),"",INDEX(Array_StationaryCharges,MATCH($A54,List_StationaryFuelMeters,0),ROUNDUP((COLUMN()+1)/3-2,0))),"")</f>
        <v/>
      </c>
      <c r="M54" s="127"/>
      <c r="N54" s="127"/>
      <c r="O54" s="58" t="str" cm="1">
        <f>IFERROR(IF(ISBLANK($A54),"",INDEX(Array_StationaryCharges,MATCH($A54,List_StationaryFuelMeters,0),ROUNDUP((COLUMN()+1)/3-2,0))),"")</f>
        <v/>
      </c>
      <c r="P54" s="127"/>
      <c r="Q54" s="127"/>
      <c r="R54" s="58" t="str" cm="1">
        <f>IFERROR(IF(ISBLANK($A54),"",INDEX(Array_StationaryCharges,MATCH($A54,List_StationaryFuelMeters,0),ROUNDUP((COLUMN()+1)/3-2,0))),"")</f>
        <v/>
      </c>
      <c r="S54" s="127"/>
      <c r="T54" s="127"/>
      <c r="U54" s="58" t="str" cm="1">
        <f>IFERROR(IF(ISBLANK($A54),"",INDEX(Array_StationaryCharges,MATCH($A54,List_StationaryFuelMeters,0),ROUNDUP((COLUMN()+1)/3-2,0))),"")</f>
        <v/>
      </c>
      <c r="V54" s="127"/>
      <c r="W54" s="127"/>
      <c r="X54" s="58" t="str" cm="1">
        <f>IFERROR(IF(ISBLANK($A54),"",INDEX(Array_StationaryCharges,MATCH($A54,List_StationaryFuelMeters,0),ROUNDUP((COLUMN()+1)/3-2,0))),"")</f>
        <v/>
      </c>
      <c r="Y54" s="127"/>
      <c r="Z54" s="127"/>
      <c r="AA54" s="58" t="str" cm="1">
        <f>IFERROR(IF(ISBLANK($A54),"",INDEX(Array_StationaryCharges,MATCH($A54,List_StationaryFuelMeters,0),ROUNDUP((COLUMN()+1)/3-2,0))),"")</f>
        <v/>
      </c>
      <c r="AB54" s="127"/>
      <c r="AC54" s="127"/>
      <c r="AD54" s="58" t="str" cm="1">
        <f>IFERROR(IF(ISBLANK($A54),"",INDEX(Array_StationaryCharges,MATCH($A54,List_StationaryFuelMeters,0),ROUNDUP((COLUMN()+1)/3-2,0))),"")</f>
        <v/>
      </c>
      <c r="AE54" s="127"/>
      <c r="AF54" s="127"/>
      <c r="AG54" s="58" t="str" cm="1">
        <f>IFERROR(IF(ISBLANK($A54),"",INDEX(Array_StationaryCharges,MATCH($A54,List_StationaryFuelMeters,0),ROUNDUP((COLUMN()+1)/3-2,0))),"")</f>
        <v/>
      </c>
      <c r="AH54" s="127"/>
      <c r="AI54" s="127"/>
      <c r="AJ54" s="58" t="str" cm="1">
        <f>IFERROR(IF(ISBLANK($A54),"",INDEX(Array_StationaryCharges,MATCH($A54,List_StationaryFuelMeters,0),ROUNDUP((COLUMN()+1)/3-2,0))),"")</f>
        <v/>
      </c>
      <c r="AK54" s="127"/>
      <c r="AL54" s="127"/>
      <c r="AM54" s="58" t="str" cm="1">
        <f>IFERROR(IF(ISBLANK($A54),"",INDEX(Array_StationaryCharges,MATCH($A54,List_StationaryFuelMeters,0),ROUNDUP((COLUMN()+1)/3-2,0))),"")</f>
        <v/>
      </c>
      <c r="AN54" s="127"/>
      <c r="AO54" s="127"/>
      <c r="AP54" s="58" t="str" cm="1">
        <f>IFERROR(IF(ISBLANK($A54),"",INDEX(Array_StationaryCharges,MATCH($A54,List_StationaryFuelMeters,0),ROUNDUP((COLUMN()+1)/3-2,0))),"")</f>
        <v/>
      </c>
      <c r="AQ54" s="127"/>
      <c r="AR54" s="127"/>
      <c r="AS54" s="58" t="str" cm="1">
        <f>IFERROR(IF(ISBLANK($A54),"",INDEX(Array_StationaryCharges,MATCH($A54,List_StationaryFuelMeters,0),ROUNDUP((COLUMN()+1)/3-2,0))),"")</f>
        <v/>
      </c>
      <c r="AT54" s="127"/>
      <c r="AU54" s="127"/>
      <c r="AV54" s="58" t="str" cm="1">
        <f>IFERROR(IF(ISBLANK($A54),"",INDEX(Array_StationaryCharges,MATCH($A54,List_StationaryFuelMeters,0),ROUNDUP((COLUMN()+1)/3-2,0))),"")</f>
        <v/>
      </c>
      <c r="AW54" s="127"/>
      <c r="AX54" s="127"/>
    </row>
    <row r="55" spans="1:50" x14ac:dyDescent="0.3">
      <c r="A55" s="126"/>
      <c r="B55" s="133"/>
      <c r="C55" s="127"/>
      <c r="D55" s="138"/>
      <c r="E55" s="138"/>
      <c r="F55" s="58" t="str" cm="1">
        <f>IFERROR(IF(ISBLANK($A55),"",INDEX(Array_StationaryCharges,MATCH($A55,List_StationaryFuelMeters,0),ROUNDUP((COLUMN()+1)/3-2,0))),"")</f>
        <v/>
      </c>
      <c r="G55" s="127"/>
      <c r="H55" s="127"/>
      <c r="I55" s="58" t="str" cm="1">
        <f>IFERROR(IF(ISBLANK($A55),"",INDEX(Array_StationaryCharges,MATCH($A55,List_StationaryFuelMeters,0),ROUNDUP((COLUMN()+1)/3-2,0))),"")</f>
        <v/>
      </c>
      <c r="J55" s="127"/>
      <c r="K55" s="127"/>
      <c r="L55" s="58" t="str" cm="1">
        <f>IFERROR(IF(ISBLANK($A55),"",INDEX(Array_StationaryCharges,MATCH($A55,List_StationaryFuelMeters,0),ROUNDUP((COLUMN()+1)/3-2,0))),"")</f>
        <v/>
      </c>
      <c r="M55" s="127"/>
      <c r="N55" s="127"/>
      <c r="O55" s="58" t="str" cm="1">
        <f>IFERROR(IF(ISBLANK($A55),"",INDEX(Array_StationaryCharges,MATCH($A55,List_StationaryFuelMeters,0),ROUNDUP((COLUMN()+1)/3-2,0))),"")</f>
        <v/>
      </c>
      <c r="P55" s="127"/>
      <c r="Q55" s="127"/>
      <c r="R55" s="58" t="str" cm="1">
        <f>IFERROR(IF(ISBLANK($A55),"",INDEX(Array_StationaryCharges,MATCH($A55,List_StationaryFuelMeters,0),ROUNDUP((COLUMN()+1)/3-2,0))),"")</f>
        <v/>
      </c>
      <c r="S55" s="127"/>
      <c r="T55" s="127"/>
      <c r="U55" s="58" t="str" cm="1">
        <f>IFERROR(IF(ISBLANK($A55),"",INDEX(Array_StationaryCharges,MATCH($A55,List_StationaryFuelMeters,0),ROUNDUP((COLUMN()+1)/3-2,0))),"")</f>
        <v/>
      </c>
      <c r="V55" s="127"/>
      <c r="W55" s="127"/>
      <c r="X55" s="58" t="str" cm="1">
        <f>IFERROR(IF(ISBLANK($A55),"",INDEX(Array_StationaryCharges,MATCH($A55,List_StationaryFuelMeters,0),ROUNDUP((COLUMN()+1)/3-2,0))),"")</f>
        <v/>
      </c>
      <c r="Y55" s="127"/>
      <c r="Z55" s="127"/>
      <c r="AA55" s="58" t="str" cm="1">
        <f>IFERROR(IF(ISBLANK($A55),"",INDEX(Array_StationaryCharges,MATCH($A55,List_StationaryFuelMeters,0),ROUNDUP((COLUMN()+1)/3-2,0))),"")</f>
        <v/>
      </c>
      <c r="AB55" s="127"/>
      <c r="AC55" s="127"/>
      <c r="AD55" s="58" t="str" cm="1">
        <f>IFERROR(IF(ISBLANK($A55),"",INDEX(Array_StationaryCharges,MATCH($A55,List_StationaryFuelMeters,0),ROUNDUP((COLUMN()+1)/3-2,0))),"")</f>
        <v/>
      </c>
      <c r="AE55" s="127"/>
      <c r="AF55" s="127"/>
      <c r="AG55" s="58" t="str" cm="1">
        <f>IFERROR(IF(ISBLANK($A55),"",INDEX(Array_StationaryCharges,MATCH($A55,List_StationaryFuelMeters,0),ROUNDUP((COLUMN()+1)/3-2,0))),"")</f>
        <v/>
      </c>
      <c r="AH55" s="127"/>
      <c r="AI55" s="127"/>
      <c r="AJ55" s="58" t="str" cm="1">
        <f>IFERROR(IF(ISBLANK($A55),"",INDEX(Array_StationaryCharges,MATCH($A55,List_StationaryFuelMeters,0),ROUNDUP((COLUMN()+1)/3-2,0))),"")</f>
        <v/>
      </c>
      <c r="AK55" s="127"/>
      <c r="AL55" s="127"/>
      <c r="AM55" s="58" t="str" cm="1">
        <f>IFERROR(IF(ISBLANK($A55),"",INDEX(Array_StationaryCharges,MATCH($A55,List_StationaryFuelMeters,0),ROUNDUP((COLUMN()+1)/3-2,0))),"")</f>
        <v/>
      </c>
      <c r="AN55" s="127"/>
      <c r="AO55" s="127"/>
      <c r="AP55" s="58" t="str" cm="1">
        <f>IFERROR(IF(ISBLANK($A55),"",INDEX(Array_StationaryCharges,MATCH($A55,List_StationaryFuelMeters,0),ROUNDUP((COLUMN()+1)/3-2,0))),"")</f>
        <v/>
      </c>
      <c r="AQ55" s="127"/>
      <c r="AR55" s="127"/>
      <c r="AS55" s="58" t="str" cm="1">
        <f>IFERROR(IF(ISBLANK($A55),"",INDEX(Array_StationaryCharges,MATCH($A55,List_StationaryFuelMeters,0),ROUNDUP((COLUMN()+1)/3-2,0))),"")</f>
        <v/>
      </c>
      <c r="AT55" s="127"/>
      <c r="AU55" s="127"/>
      <c r="AV55" s="58" t="str" cm="1">
        <f>IFERROR(IF(ISBLANK($A55),"",INDEX(Array_StationaryCharges,MATCH($A55,List_StationaryFuelMeters,0),ROUNDUP((COLUMN()+1)/3-2,0))),"")</f>
        <v/>
      </c>
      <c r="AW55" s="127"/>
      <c r="AX55" s="127"/>
    </row>
    <row r="56" spans="1:50" x14ac:dyDescent="0.3">
      <c r="A56" s="126"/>
      <c r="B56" s="133"/>
      <c r="C56" s="127"/>
      <c r="D56" s="138"/>
      <c r="E56" s="138"/>
      <c r="F56" s="58" t="str" cm="1">
        <f>IFERROR(IF(ISBLANK($A56),"",INDEX(Array_StationaryCharges,MATCH($A56,List_StationaryFuelMeters,0),ROUNDUP((COLUMN()+1)/3-2,0))),"")</f>
        <v/>
      </c>
      <c r="G56" s="127"/>
      <c r="H56" s="127"/>
      <c r="I56" s="58" t="str" cm="1">
        <f>IFERROR(IF(ISBLANK($A56),"",INDEX(Array_StationaryCharges,MATCH($A56,List_StationaryFuelMeters,0),ROUNDUP((COLUMN()+1)/3-2,0))),"")</f>
        <v/>
      </c>
      <c r="J56" s="127"/>
      <c r="K56" s="127"/>
      <c r="L56" s="58" t="str" cm="1">
        <f>IFERROR(IF(ISBLANK($A56),"",INDEX(Array_StationaryCharges,MATCH($A56,List_StationaryFuelMeters,0),ROUNDUP((COLUMN()+1)/3-2,0))),"")</f>
        <v/>
      </c>
      <c r="M56" s="127"/>
      <c r="N56" s="127"/>
      <c r="O56" s="58" t="str" cm="1">
        <f>IFERROR(IF(ISBLANK($A56),"",INDEX(Array_StationaryCharges,MATCH($A56,List_StationaryFuelMeters,0),ROUNDUP((COLUMN()+1)/3-2,0))),"")</f>
        <v/>
      </c>
      <c r="P56" s="127"/>
      <c r="Q56" s="127"/>
      <c r="R56" s="58" t="str" cm="1">
        <f>IFERROR(IF(ISBLANK($A56),"",INDEX(Array_StationaryCharges,MATCH($A56,List_StationaryFuelMeters,0),ROUNDUP((COLUMN()+1)/3-2,0))),"")</f>
        <v/>
      </c>
      <c r="S56" s="127"/>
      <c r="T56" s="127"/>
      <c r="U56" s="58" t="str" cm="1">
        <f>IFERROR(IF(ISBLANK($A56),"",INDEX(Array_StationaryCharges,MATCH($A56,List_StationaryFuelMeters,0),ROUNDUP((COLUMN()+1)/3-2,0))),"")</f>
        <v/>
      </c>
      <c r="V56" s="127"/>
      <c r="W56" s="127"/>
      <c r="X56" s="58" t="str" cm="1">
        <f>IFERROR(IF(ISBLANK($A56),"",INDEX(Array_StationaryCharges,MATCH($A56,List_StationaryFuelMeters,0),ROUNDUP((COLUMN()+1)/3-2,0))),"")</f>
        <v/>
      </c>
      <c r="Y56" s="127"/>
      <c r="Z56" s="127"/>
      <c r="AA56" s="58" t="str" cm="1">
        <f>IFERROR(IF(ISBLANK($A56),"",INDEX(Array_StationaryCharges,MATCH($A56,List_StationaryFuelMeters,0),ROUNDUP((COLUMN()+1)/3-2,0))),"")</f>
        <v/>
      </c>
      <c r="AB56" s="127"/>
      <c r="AC56" s="127"/>
      <c r="AD56" s="58" t="str" cm="1">
        <f>IFERROR(IF(ISBLANK($A56),"",INDEX(Array_StationaryCharges,MATCH($A56,List_StationaryFuelMeters,0),ROUNDUP((COLUMN()+1)/3-2,0))),"")</f>
        <v/>
      </c>
      <c r="AE56" s="127"/>
      <c r="AF56" s="127"/>
      <c r="AG56" s="58" t="str" cm="1">
        <f>IFERROR(IF(ISBLANK($A56),"",INDEX(Array_StationaryCharges,MATCH($A56,List_StationaryFuelMeters,0),ROUNDUP((COLUMN()+1)/3-2,0))),"")</f>
        <v/>
      </c>
      <c r="AH56" s="127"/>
      <c r="AI56" s="127"/>
      <c r="AJ56" s="58" t="str" cm="1">
        <f>IFERROR(IF(ISBLANK($A56),"",INDEX(Array_StationaryCharges,MATCH($A56,List_StationaryFuelMeters,0),ROUNDUP((COLUMN()+1)/3-2,0))),"")</f>
        <v/>
      </c>
      <c r="AK56" s="127"/>
      <c r="AL56" s="127"/>
      <c r="AM56" s="58" t="str" cm="1">
        <f>IFERROR(IF(ISBLANK($A56),"",INDEX(Array_StationaryCharges,MATCH($A56,List_StationaryFuelMeters,0),ROUNDUP((COLUMN()+1)/3-2,0))),"")</f>
        <v/>
      </c>
      <c r="AN56" s="127"/>
      <c r="AO56" s="127"/>
      <c r="AP56" s="58" t="str" cm="1">
        <f>IFERROR(IF(ISBLANK($A56),"",INDEX(Array_StationaryCharges,MATCH($A56,List_StationaryFuelMeters,0),ROUNDUP((COLUMN()+1)/3-2,0))),"")</f>
        <v/>
      </c>
      <c r="AQ56" s="127"/>
      <c r="AR56" s="127"/>
      <c r="AS56" s="58" t="str" cm="1">
        <f>IFERROR(IF(ISBLANK($A56),"",INDEX(Array_StationaryCharges,MATCH($A56,List_StationaryFuelMeters,0),ROUNDUP((COLUMN()+1)/3-2,0))),"")</f>
        <v/>
      </c>
      <c r="AT56" s="127"/>
      <c r="AU56" s="127"/>
      <c r="AV56" s="58" t="str" cm="1">
        <f>IFERROR(IF(ISBLANK($A56),"",INDEX(Array_StationaryCharges,MATCH($A56,List_StationaryFuelMeters,0),ROUNDUP((COLUMN()+1)/3-2,0))),"")</f>
        <v/>
      </c>
      <c r="AW56" s="127"/>
      <c r="AX56" s="127"/>
    </row>
    <row r="57" spans="1:50" x14ac:dyDescent="0.3">
      <c r="A57" s="126"/>
      <c r="B57" s="133"/>
      <c r="C57" s="127"/>
      <c r="D57" s="138"/>
      <c r="E57" s="138"/>
      <c r="F57" s="58" t="str" cm="1">
        <f>IFERROR(IF(ISBLANK($A57),"",INDEX(Array_StationaryCharges,MATCH($A57,List_StationaryFuelMeters,0),ROUNDUP((COLUMN()+1)/3-2,0))),"")</f>
        <v/>
      </c>
      <c r="G57" s="127"/>
      <c r="H57" s="127"/>
      <c r="I57" s="58" t="str" cm="1">
        <f>IFERROR(IF(ISBLANK($A57),"",INDEX(Array_StationaryCharges,MATCH($A57,List_StationaryFuelMeters,0),ROUNDUP((COLUMN()+1)/3-2,0))),"")</f>
        <v/>
      </c>
      <c r="J57" s="127"/>
      <c r="K57" s="127"/>
      <c r="L57" s="58" t="str" cm="1">
        <f>IFERROR(IF(ISBLANK($A57),"",INDEX(Array_StationaryCharges,MATCH($A57,List_StationaryFuelMeters,0),ROUNDUP((COLUMN()+1)/3-2,0))),"")</f>
        <v/>
      </c>
      <c r="M57" s="127"/>
      <c r="N57" s="127"/>
      <c r="O57" s="58" t="str" cm="1">
        <f>IFERROR(IF(ISBLANK($A57),"",INDEX(Array_StationaryCharges,MATCH($A57,List_StationaryFuelMeters,0),ROUNDUP((COLUMN()+1)/3-2,0))),"")</f>
        <v/>
      </c>
      <c r="P57" s="127"/>
      <c r="Q57" s="127"/>
      <c r="R57" s="58" t="str" cm="1">
        <f>IFERROR(IF(ISBLANK($A57),"",INDEX(Array_StationaryCharges,MATCH($A57,List_StationaryFuelMeters,0),ROUNDUP((COLUMN()+1)/3-2,0))),"")</f>
        <v/>
      </c>
      <c r="S57" s="127"/>
      <c r="T57" s="127"/>
      <c r="U57" s="58" t="str" cm="1">
        <f>IFERROR(IF(ISBLANK($A57),"",INDEX(Array_StationaryCharges,MATCH($A57,List_StationaryFuelMeters,0),ROUNDUP((COLUMN()+1)/3-2,0))),"")</f>
        <v/>
      </c>
      <c r="V57" s="127"/>
      <c r="W57" s="127"/>
      <c r="X57" s="58" t="str" cm="1">
        <f>IFERROR(IF(ISBLANK($A57),"",INDEX(Array_StationaryCharges,MATCH($A57,List_StationaryFuelMeters,0),ROUNDUP((COLUMN()+1)/3-2,0))),"")</f>
        <v/>
      </c>
      <c r="Y57" s="127"/>
      <c r="Z57" s="127"/>
      <c r="AA57" s="58" t="str" cm="1">
        <f>IFERROR(IF(ISBLANK($A57),"",INDEX(Array_StationaryCharges,MATCH($A57,List_StationaryFuelMeters,0),ROUNDUP((COLUMN()+1)/3-2,0))),"")</f>
        <v/>
      </c>
      <c r="AB57" s="127"/>
      <c r="AC57" s="127"/>
      <c r="AD57" s="58" t="str" cm="1">
        <f>IFERROR(IF(ISBLANK($A57),"",INDEX(Array_StationaryCharges,MATCH($A57,List_StationaryFuelMeters,0),ROUNDUP((COLUMN()+1)/3-2,0))),"")</f>
        <v/>
      </c>
      <c r="AE57" s="127"/>
      <c r="AF57" s="127"/>
      <c r="AG57" s="58" t="str" cm="1">
        <f>IFERROR(IF(ISBLANK($A57),"",INDEX(Array_StationaryCharges,MATCH($A57,List_StationaryFuelMeters,0),ROUNDUP((COLUMN()+1)/3-2,0))),"")</f>
        <v/>
      </c>
      <c r="AH57" s="127"/>
      <c r="AI57" s="127"/>
      <c r="AJ57" s="58" t="str" cm="1">
        <f>IFERROR(IF(ISBLANK($A57),"",INDEX(Array_StationaryCharges,MATCH($A57,List_StationaryFuelMeters,0),ROUNDUP((COLUMN()+1)/3-2,0))),"")</f>
        <v/>
      </c>
      <c r="AK57" s="127"/>
      <c r="AL57" s="127"/>
      <c r="AM57" s="58" t="str" cm="1">
        <f>IFERROR(IF(ISBLANK($A57),"",INDEX(Array_StationaryCharges,MATCH($A57,List_StationaryFuelMeters,0),ROUNDUP((COLUMN()+1)/3-2,0))),"")</f>
        <v/>
      </c>
      <c r="AN57" s="127"/>
      <c r="AO57" s="127"/>
      <c r="AP57" s="58" t="str" cm="1">
        <f>IFERROR(IF(ISBLANK($A57),"",INDEX(Array_StationaryCharges,MATCH($A57,List_StationaryFuelMeters,0),ROUNDUP((COLUMN()+1)/3-2,0))),"")</f>
        <v/>
      </c>
      <c r="AQ57" s="127"/>
      <c r="AR57" s="127"/>
      <c r="AS57" s="58" t="str" cm="1">
        <f>IFERROR(IF(ISBLANK($A57),"",INDEX(Array_StationaryCharges,MATCH($A57,List_StationaryFuelMeters,0),ROUNDUP((COLUMN()+1)/3-2,0))),"")</f>
        <v/>
      </c>
      <c r="AT57" s="127"/>
      <c r="AU57" s="127"/>
      <c r="AV57" s="58" t="str" cm="1">
        <f>IFERROR(IF(ISBLANK($A57),"",INDEX(Array_StationaryCharges,MATCH($A57,List_StationaryFuelMeters,0),ROUNDUP((COLUMN()+1)/3-2,0))),"")</f>
        <v/>
      </c>
      <c r="AW57" s="127"/>
      <c r="AX57" s="127"/>
    </row>
    <row r="58" spans="1:50" x14ac:dyDescent="0.3">
      <c r="A58" s="126"/>
      <c r="B58" s="133"/>
      <c r="C58" s="127"/>
      <c r="D58" s="138"/>
      <c r="E58" s="138"/>
      <c r="F58" s="58" t="str" cm="1">
        <f>IFERROR(IF(ISBLANK($A58),"",INDEX(Array_StationaryCharges,MATCH($A58,List_StationaryFuelMeters,0),ROUNDUP((COLUMN()+1)/3-2,0))),"")</f>
        <v/>
      </c>
      <c r="G58" s="127"/>
      <c r="H58" s="127"/>
      <c r="I58" s="58" t="str" cm="1">
        <f>IFERROR(IF(ISBLANK($A58),"",INDEX(Array_StationaryCharges,MATCH($A58,List_StationaryFuelMeters,0),ROUNDUP((COLUMN()+1)/3-2,0))),"")</f>
        <v/>
      </c>
      <c r="J58" s="127"/>
      <c r="K58" s="127"/>
      <c r="L58" s="58" t="str" cm="1">
        <f>IFERROR(IF(ISBLANK($A58),"",INDEX(Array_StationaryCharges,MATCH($A58,List_StationaryFuelMeters,0),ROUNDUP((COLUMN()+1)/3-2,0))),"")</f>
        <v/>
      </c>
      <c r="M58" s="127"/>
      <c r="N58" s="127"/>
      <c r="O58" s="58" t="str" cm="1">
        <f>IFERROR(IF(ISBLANK($A58),"",INDEX(Array_StationaryCharges,MATCH($A58,List_StationaryFuelMeters,0),ROUNDUP((COLUMN()+1)/3-2,0))),"")</f>
        <v/>
      </c>
      <c r="P58" s="127"/>
      <c r="Q58" s="127"/>
      <c r="R58" s="58" t="str" cm="1">
        <f>IFERROR(IF(ISBLANK($A58),"",INDEX(Array_StationaryCharges,MATCH($A58,List_StationaryFuelMeters,0),ROUNDUP((COLUMN()+1)/3-2,0))),"")</f>
        <v/>
      </c>
      <c r="S58" s="127"/>
      <c r="T58" s="127"/>
      <c r="U58" s="58" t="str" cm="1">
        <f>IFERROR(IF(ISBLANK($A58),"",INDEX(Array_StationaryCharges,MATCH($A58,List_StationaryFuelMeters,0),ROUNDUP((COLUMN()+1)/3-2,0))),"")</f>
        <v/>
      </c>
      <c r="V58" s="127"/>
      <c r="W58" s="127"/>
      <c r="X58" s="58" t="str" cm="1">
        <f>IFERROR(IF(ISBLANK($A58),"",INDEX(Array_StationaryCharges,MATCH($A58,List_StationaryFuelMeters,0),ROUNDUP((COLUMN()+1)/3-2,0))),"")</f>
        <v/>
      </c>
      <c r="Y58" s="127"/>
      <c r="Z58" s="127"/>
      <c r="AA58" s="58" t="str" cm="1">
        <f>IFERROR(IF(ISBLANK($A58),"",INDEX(Array_StationaryCharges,MATCH($A58,List_StationaryFuelMeters,0),ROUNDUP((COLUMN()+1)/3-2,0))),"")</f>
        <v/>
      </c>
      <c r="AB58" s="127"/>
      <c r="AC58" s="127"/>
      <c r="AD58" s="58" t="str" cm="1">
        <f>IFERROR(IF(ISBLANK($A58),"",INDEX(Array_StationaryCharges,MATCH($A58,List_StationaryFuelMeters,0),ROUNDUP((COLUMN()+1)/3-2,0))),"")</f>
        <v/>
      </c>
      <c r="AE58" s="127"/>
      <c r="AF58" s="127"/>
      <c r="AG58" s="58" t="str" cm="1">
        <f>IFERROR(IF(ISBLANK($A58),"",INDEX(Array_StationaryCharges,MATCH($A58,List_StationaryFuelMeters,0),ROUNDUP((COLUMN()+1)/3-2,0))),"")</f>
        <v/>
      </c>
      <c r="AH58" s="127"/>
      <c r="AI58" s="127"/>
      <c r="AJ58" s="58" t="str" cm="1">
        <f>IFERROR(IF(ISBLANK($A58),"",INDEX(Array_StationaryCharges,MATCH($A58,List_StationaryFuelMeters,0),ROUNDUP((COLUMN()+1)/3-2,0))),"")</f>
        <v/>
      </c>
      <c r="AK58" s="127"/>
      <c r="AL58" s="127"/>
      <c r="AM58" s="58" t="str" cm="1">
        <f>IFERROR(IF(ISBLANK($A58),"",INDEX(Array_StationaryCharges,MATCH($A58,List_StationaryFuelMeters,0),ROUNDUP((COLUMN()+1)/3-2,0))),"")</f>
        <v/>
      </c>
      <c r="AN58" s="127"/>
      <c r="AO58" s="127"/>
      <c r="AP58" s="58" t="str" cm="1">
        <f>IFERROR(IF(ISBLANK($A58),"",INDEX(Array_StationaryCharges,MATCH($A58,List_StationaryFuelMeters,0),ROUNDUP((COLUMN()+1)/3-2,0))),"")</f>
        <v/>
      </c>
      <c r="AQ58" s="127"/>
      <c r="AR58" s="127"/>
      <c r="AS58" s="58" t="str" cm="1">
        <f>IFERROR(IF(ISBLANK($A58),"",INDEX(Array_StationaryCharges,MATCH($A58,List_StationaryFuelMeters,0),ROUNDUP((COLUMN()+1)/3-2,0))),"")</f>
        <v/>
      </c>
      <c r="AT58" s="127"/>
      <c r="AU58" s="127"/>
      <c r="AV58" s="58" t="str" cm="1">
        <f>IFERROR(IF(ISBLANK($A58),"",INDEX(Array_StationaryCharges,MATCH($A58,List_StationaryFuelMeters,0),ROUNDUP((COLUMN()+1)/3-2,0))),"")</f>
        <v/>
      </c>
      <c r="AW58" s="127"/>
      <c r="AX58" s="127"/>
    </row>
    <row r="59" spans="1:50" x14ac:dyDescent="0.3">
      <c r="A59" s="126"/>
      <c r="B59" s="133"/>
      <c r="C59" s="127"/>
      <c r="D59" s="138"/>
      <c r="E59" s="138"/>
      <c r="F59" s="58" t="str" cm="1">
        <f>IFERROR(IF(ISBLANK($A59),"",INDEX(Array_StationaryCharges,MATCH($A59,List_StationaryFuelMeters,0),ROUNDUP((COLUMN()+1)/3-2,0))),"")</f>
        <v/>
      </c>
      <c r="G59" s="127"/>
      <c r="H59" s="127"/>
      <c r="I59" s="58" t="str" cm="1">
        <f>IFERROR(IF(ISBLANK($A59),"",INDEX(Array_StationaryCharges,MATCH($A59,List_StationaryFuelMeters,0),ROUNDUP((COLUMN()+1)/3-2,0))),"")</f>
        <v/>
      </c>
      <c r="J59" s="127"/>
      <c r="K59" s="127"/>
      <c r="L59" s="58" t="str" cm="1">
        <f>IFERROR(IF(ISBLANK($A59),"",INDEX(Array_StationaryCharges,MATCH($A59,List_StationaryFuelMeters,0),ROUNDUP((COLUMN()+1)/3-2,0))),"")</f>
        <v/>
      </c>
      <c r="M59" s="127"/>
      <c r="N59" s="127"/>
      <c r="O59" s="58" t="str" cm="1">
        <f>IFERROR(IF(ISBLANK($A59),"",INDEX(Array_StationaryCharges,MATCH($A59,List_StationaryFuelMeters,0),ROUNDUP((COLUMN()+1)/3-2,0))),"")</f>
        <v/>
      </c>
      <c r="P59" s="127"/>
      <c r="Q59" s="127"/>
      <c r="R59" s="58" t="str" cm="1">
        <f>IFERROR(IF(ISBLANK($A59),"",INDEX(Array_StationaryCharges,MATCH($A59,List_StationaryFuelMeters,0),ROUNDUP((COLUMN()+1)/3-2,0))),"")</f>
        <v/>
      </c>
      <c r="S59" s="127"/>
      <c r="T59" s="127"/>
      <c r="U59" s="58" t="str" cm="1">
        <f>IFERROR(IF(ISBLANK($A59),"",INDEX(Array_StationaryCharges,MATCH($A59,List_StationaryFuelMeters,0),ROUNDUP((COLUMN()+1)/3-2,0))),"")</f>
        <v/>
      </c>
      <c r="V59" s="127"/>
      <c r="W59" s="127"/>
      <c r="X59" s="58" t="str" cm="1">
        <f>IFERROR(IF(ISBLANK($A59),"",INDEX(Array_StationaryCharges,MATCH($A59,List_StationaryFuelMeters,0),ROUNDUP((COLUMN()+1)/3-2,0))),"")</f>
        <v/>
      </c>
      <c r="Y59" s="127"/>
      <c r="Z59" s="127"/>
      <c r="AA59" s="58" t="str" cm="1">
        <f>IFERROR(IF(ISBLANK($A59),"",INDEX(Array_StationaryCharges,MATCH($A59,List_StationaryFuelMeters,0),ROUNDUP((COLUMN()+1)/3-2,0))),"")</f>
        <v/>
      </c>
      <c r="AB59" s="127"/>
      <c r="AC59" s="127"/>
      <c r="AD59" s="58" t="str" cm="1">
        <f>IFERROR(IF(ISBLANK($A59),"",INDEX(Array_StationaryCharges,MATCH($A59,List_StationaryFuelMeters,0),ROUNDUP((COLUMN()+1)/3-2,0))),"")</f>
        <v/>
      </c>
      <c r="AE59" s="127"/>
      <c r="AF59" s="127"/>
      <c r="AG59" s="58" t="str" cm="1">
        <f>IFERROR(IF(ISBLANK($A59),"",INDEX(Array_StationaryCharges,MATCH($A59,List_StationaryFuelMeters,0),ROUNDUP((COLUMN()+1)/3-2,0))),"")</f>
        <v/>
      </c>
      <c r="AH59" s="127"/>
      <c r="AI59" s="127"/>
      <c r="AJ59" s="58" t="str" cm="1">
        <f>IFERROR(IF(ISBLANK($A59),"",INDEX(Array_StationaryCharges,MATCH($A59,List_StationaryFuelMeters,0),ROUNDUP((COLUMN()+1)/3-2,0))),"")</f>
        <v/>
      </c>
      <c r="AK59" s="127"/>
      <c r="AL59" s="127"/>
      <c r="AM59" s="58" t="str" cm="1">
        <f>IFERROR(IF(ISBLANK($A59),"",INDEX(Array_StationaryCharges,MATCH($A59,List_StationaryFuelMeters,0),ROUNDUP((COLUMN()+1)/3-2,0))),"")</f>
        <v/>
      </c>
      <c r="AN59" s="127"/>
      <c r="AO59" s="127"/>
      <c r="AP59" s="58" t="str" cm="1">
        <f>IFERROR(IF(ISBLANK($A59),"",INDEX(Array_StationaryCharges,MATCH($A59,List_StationaryFuelMeters,0),ROUNDUP((COLUMN()+1)/3-2,0))),"")</f>
        <v/>
      </c>
      <c r="AQ59" s="127"/>
      <c r="AR59" s="127"/>
      <c r="AS59" s="58" t="str" cm="1">
        <f>IFERROR(IF(ISBLANK($A59),"",INDEX(Array_StationaryCharges,MATCH($A59,List_StationaryFuelMeters,0),ROUNDUP((COLUMN()+1)/3-2,0))),"")</f>
        <v/>
      </c>
      <c r="AT59" s="127"/>
      <c r="AU59" s="127"/>
      <c r="AV59" s="58" t="str" cm="1">
        <f>IFERROR(IF(ISBLANK($A59),"",INDEX(Array_StationaryCharges,MATCH($A59,List_StationaryFuelMeters,0),ROUNDUP((COLUMN()+1)/3-2,0))),"")</f>
        <v/>
      </c>
      <c r="AW59" s="127"/>
      <c r="AX59" s="127"/>
    </row>
    <row r="60" spans="1:50" x14ac:dyDescent="0.3">
      <c r="A60" s="126"/>
      <c r="B60" s="133"/>
      <c r="C60" s="127"/>
      <c r="D60" s="138"/>
      <c r="E60" s="138"/>
      <c r="F60" s="58" t="str" cm="1">
        <f>IFERROR(IF(ISBLANK($A60),"",INDEX(Array_StationaryCharges,MATCH($A60,List_StationaryFuelMeters,0),ROUNDUP((COLUMN()+1)/3-2,0))),"")</f>
        <v/>
      </c>
      <c r="G60" s="127"/>
      <c r="H60" s="127"/>
      <c r="I60" s="58" t="str" cm="1">
        <f>IFERROR(IF(ISBLANK($A60),"",INDEX(Array_StationaryCharges,MATCH($A60,List_StationaryFuelMeters,0),ROUNDUP((COLUMN()+1)/3-2,0))),"")</f>
        <v/>
      </c>
      <c r="J60" s="127"/>
      <c r="K60" s="127"/>
      <c r="L60" s="58" t="str" cm="1">
        <f>IFERROR(IF(ISBLANK($A60),"",INDEX(Array_StationaryCharges,MATCH($A60,List_StationaryFuelMeters,0),ROUNDUP((COLUMN()+1)/3-2,0))),"")</f>
        <v/>
      </c>
      <c r="M60" s="127"/>
      <c r="N60" s="127"/>
      <c r="O60" s="58" t="str" cm="1">
        <f>IFERROR(IF(ISBLANK($A60),"",INDEX(Array_StationaryCharges,MATCH($A60,List_StationaryFuelMeters,0),ROUNDUP((COLUMN()+1)/3-2,0))),"")</f>
        <v/>
      </c>
      <c r="P60" s="127"/>
      <c r="Q60" s="127"/>
      <c r="R60" s="58" t="str" cm="1">
        <f>IFERROR(IF(ISBLANK($A60),"",INDEX(Array_StationaryCharges,MATCH($A60,List_StationaryFuelMeters,0),ROUNDUP((COLUMN()+1)/3-2,0))),"")</f>
        <v/>
      </c>
      <c r="S60" s="127"/>
      <c r="T60" s="127"/>
      <c r="U60" s="58" t="str" cm="1">
        <f>IFERROR(IF(ISBLANK($A60),"",INDEX(Array_StationaryCharges,MATCH($A60,List_StationaryFuelMeters,0),ROUNDUP((COLUMN()+1)/3-2,0))),"")</f>
        <v/>
      </c>
      <c r="V60" s="127"/>
      <c r="W60" s="127"/>
      <c r="X60" s="58" t="str" cm="1">
        <f>IFERROR(IF(ISBLANK($A60),"",INDEX(Array_StationaryCharges,MATCH($A60,List_StationaryFuelMeters,0),ROUNDUP((COLUMN()+1)/3-2,0))),"")</f>
        <v/>
      </c>
      <c r="Y60" s="127"/>
      <c r="Z60" s="127"/>
      <c r="AA60" s="58" t="str" cm="1">
        <f>IFERROR(IF(ISBLANK($A60),"",INDEX(Array_StationaryCharges,MATCH($A60,List_StationaryFuelMeters,0),ROUNDUP((COLUMN()+1)/3-2,0))),"")</f>
        <v/>
      </c>
      <c r="AB60" s="127"/>
      <c r="AC60" s="127"/>
      <c r="AD60" s="58" t="str" cm="1">
        <f>IFERROR(IF(ISBLANK($A60),"",INDEX(Array_StationaryCharges,MATCH($A60,List_StationaryFuelMeters,0),ROUNDUP((COLUMN()+1)/3-2,0))),"")</f>
        <v/>
      </c>
      <c r="AE60" s="127"/>
      <c r="AF60" s="127"/>
      <c r="AG60" s="58" t="str" cm="1">
        <f>IFERROR(IF(ISBLANK($A60),"",INDEX(Array_StationaryCharges,MATCH($A60,List_StationaryFuelMeters,0),ROUNDUP((COLUMN()+1)/3-2,0))),"")</f>
        <v/>
      </c>
      <c r="AH60" s="127"/>
      <c r="AI60" s="127"/>
      <c r="AJ60" s="58" t="str" cm="1">
        <f>IFERROR(IF(ISBLANK($A60),"",INDEX(Array_StationaryCharges,MATCH($A60,List_StationaryFuelMeters,0),ROUNDUP((COLUMN()+1)/3-2,0))),"")</f>
        <v/>
      </c>
      <c r="AK60" s="127"/>
      <c r="AL60" s="127"/>
      <c r="AM60" s="58" t="str" cm="1">
        <f>IFERROR(IF(ISBLANK($A60),"",INDEX(Array_StationaryCharges,MATCH($A60,List_StationaryFuelMeters,0),ROUNDUP((COLUMN()+1)/3-2,0))),"")</f>
        <v/>
      </c>
      <c r="AN60" s="127"/>
      <c r="AO60" s="127"/>
      <c r="AP60" s="58" t="str" cm="1">
        <f>IFERROR(IF(ISBLANK($A60),"",INDEX(Array_StationaryCharges,MATCH($A60,List_StationaryFuelMeters,0),ROUNDUP((COLUMN()+1)/3-2,0))),"")</f>
        <v/>
      </c>
      <c r="AQ60" s="127"/>
      <c r="AR60" s="127"/>
      <c r="AS60" s="58" t="str" cm="1">
        <f>IFERROR(IF(ISBLANK($A60),"",INDEX(Array_StationaryCharges,MATCH($A60,List_StationaryFuelMeters,0),ROUNDUP((COLUMN()+1)/3-2,0))),"")</f>
        <v/>
      </c>
      <c r="AT60" s="127"/>
      <c r="AU60" s="127"/>
      <c r="AV60" s="58" t="str" cm="1">
        <f>IFERROR(IF(ISBLANK($A60),"",INDEX(Array_StationaryCharges,MATCH($A60,List_StationaryFuelMeters,0),ROUNDUP((COLUMN()+1)/3-2,0))),"")</f>
        <v/>
      </c>
      <c r="AW60" s="127"/>
      <c r="AX60" s="127"/>
    </row>
    <row r="61" spans="1:50" x14ac:dyDescent="0.3">
      <c r="A61" s="126"/>
      <c r="B61" s="133"/>
      <c r="C61" s="127"/>
      <c r="D61" s="138"/>
      <c r="E61" s="138"/>
      <c r="F61" s="58" t="str" cm="1">
        <f>IFERROR(IF(ISBLANK($A61),"",INDEX(Array_StationaryCharges,MATCH($A61,List_StationaryFuelMeters,0),ROUNDUP((COLUMN()+1)/3-2,0))),"")</f>
        <v/>
      </c>
      <c r="G61" s="127"/>
      <c r="H61" s="127"/>
      <c r="I61" s="58" t="str" cm="1">
        <f>IFERROR(IF(ISBLANK($A61),"",INDEX(Array_StationaryCharges,MATCH($A61,List_StationaryFuelMeters,0),ROUNDUP((COLUMN()+1)/3-2,0))),"")</f>
        <v/>
      </c>
      <c r="J61" s="127"/>
      <c r="K61" s="127"/>
      <c r="L61" s="58" t="str" cm="1">
        <f>IFERROR(IF(ISBLANK($A61),"",INDEX(Array_StationaryCharges,MATCH($A61,List_StationaryFuelMeters,0),ROUNDUP((COLUMN()+1)/3-2,0))),"")</f>
        <v/>
      </c>
      <c r="M61" s="127"/>
      <c r="N61" s="127"/>
      <c r="O61" s="58" t="str" cm="1">
        <f>IFERROR(IF(ISBLANK($A61),"",INDEX(Array_StationaryCharges,MATCH($A61,List_StationaryFuelMeters,0),ROUNDUP((COLUMN()+1)/3-2,0))),"")</f>
        <v/>
      </c>
      <c r="P61" s="127"/>
      <c r="Q61" s="127"/>
      <c r="R61" s="58" t="str" cm="1">
        <f>IFERROR(IF(ISBLANK($A61),"",INDEX(Array_StationaryCharges,MATCH($A61,List_StationaryFuelMeters,0),ROUNDUP((COLUMN()+1)/3-2,0))),"")</f>
        <v/>
      </c>
      <c r="S61" s="127"/>
      <c r="T61" s="127"/>
      <c r="U61" s="58" t="str" cm="1">
        <f>IFERROR(IF(ISBLANK($A61),"",INDEX(Array_StationaryCharges,MATCH($A61,List_StationaryFuelMeters,0),ROUNDUP((COLUMN()+1)/3-2,0))),"")</f>
        <v/>
      </c>
      <c r="V61" s="127"/>
      <c r="W61" s="127"/>
      <c r="X61" s="58" t="str" cm="1">
        <f>IFERROR(IF(ISBLANK($A61),"",INDEX(Array_StationaryCharges,MATCH($A61,List_StationaryFuelMeters,0),ROUNDUP((COLUMN()+1)/3-2,0))),"")</f>
        <v/>
      </c>
      <c r="Y61" s="127"/>
      <c r="Z61" s="127"/>
      <c r="AA61" s="58" t="str" cm="1">
        <f>IFERROR(IF(ISBLANK($A61),"",INDEX(Array_StationaryCharges,MATCH($A61,List_StationaryFuelMeters,0),ROUNDUP((COLUMN()+1)/3-2,0))),"")</f>
        <v/>
      </c>
      <c r="AB61" s="127"/>
      <c r="AC61" s="127"/>
      <c r="AD61" s="58" t="str" cm="1">
        <f>IFERROR(IF(ISBLANK($A61),"",INDEX(Array_StationaryCharges,MATCH($A61,List_StationaryFuelMeters,0),ROUNDUP((COLUMN()+1)/3-2,0))),"")</f>
        <v/>
      </c>
      <c r="AE61" s="127"/>
      <c r="AF61" s="127"/>
      <c r="AG61" s="58" t="str" cm="1">
        <f>IFERROR(IF(ISBLANK($A61),"",INDEX(Array_StationaryCharges,MATCH($A61,List_StationaryFuelMeters,0),ROUNDUP((COLUMN()+1)/3-2,0))),"")</f>
        <v/>
      </c>
      <c r="AH61" s="127"/>
      <c r="AI61" s="127"/>
      <c r="AJ61" s="58" t="str" cm="1">
        <f>IFERROR(IF(ISBLANK($A61),"",INDEX(Array_StationaryCharges,MATCH($A61,List_StationaryFuelMeters,0),ROUNDUP((COLUMN()+1)/3-2,0))),"")</f>
        <v/>
      </c>
      <c r="AK61" s="127"/>
      <c r="AL61" s="127"/>
      <c r="AM61" s="58" t="str" cm="1">
        <f>IFERROR(IF(ISBLANK($A61),"",INDEX(Array_StationaryCharges,MATCH($A61,List_StationaryFuelMeters,0),ROUNDUP((COLUMN()+1)/3-2,0))),"")</f>
        <v/>
      </c>
      <c r="AN61" s="127"/>
      <c r="AO61" s="127"/>
      <c r="AP61" s="58" t="str" cm="1">
        <f>IFERROR(IF(ISBLANK($A61),"",INDEX(Array_StationaryCharges,MATCH($A61,List_StationaryFuelMeters,0),ROUNDUP((COLUMN()+1)/3-2,0))),"")</f>
        <v/>
      </c>
      <c r="AQ61" s="127"/>
      <c r="AR61" s="127"/>
      <c r="AS61" s="58" t="str" cm="1">
        <f>IFERROR(IF(ISBLANK($A61),"",INDEX(Array_StationaryCharges,MATCH($A61,List_StationaryFuelMeters,0),ROUNDUP((COLUMN()+1)/3-2,0))),"")</f>
        <v/>
      </c>
      <c r="AT61" s="127"/>
      <c r="AU61" s="127"/>
      <c r="AV61" s="58" t="str" cm="1">
        <f>IFERROR(IF(ISBLANK($A61),"",INDEX(Array_StationaryCharges,MATCH($A61,List_StationaryFuelMeters,0),ROUNDUP((COLUMN()+1)/3-2,0))),"")</f>
        <v/>
      </c>
      <c r="AW61" s="127"/>
      <c r="AX61" s="127"/>
    </row>
    <row r="62" spans="1:50" x14ac:dyDescent="0.3">
      <c r="A62" s="126"/>
      <c r="B62" s="133"/>
      <c r="C62" s="127"/>
      <c r="D62" s="138"/>
      <c r="E62" s="138"/>
      <c r="F62" s="58" t="str" cm="1">
        <f>IFERROR(IF(ISBLANK($A62),"",INDEX(Array_StationaryCharges,MATCH($A62,List_StationaryFuelMeters,0),ROUNDUP((COLUMN()+1)/3-2,0))),"")</f>
        <v/>
      </c>
      <c r="G62" s="127"/>
      <c r="H62" s="127"/>
      <c r="I62" s="58" t="str" cm="1">
        <f>IFERROR(IF(ISBLANK($A62),"",INDEX(Array_StationaryCharges,MATCH($A62,List_StationaryFuelMeters,0),ROUNDUP((COLUMN()+1)/3-2,0))),"")</f>
        <v/>
      </c>
      <c r="J62" s="127"/>
      <c r="K62" s="127"/>
      <c r="L62" s="58" t="str" cm="1">
        <f>IFERROR(IF(ISBLANK($A62),"",INDEX(Array_StationaryCharges,MATCH($A62,List_StationaryFuelMeters,0),ROUNDUP((COLUMN()+1)/3-2,0))),"")</f>
        <v/>
      </c>
      <c r="M62" s="127"/>
      <c r="N62" s="127"/>
      <c r="O62" s="58" t="str" cm="1">
        <f>IFERROR(IF(ISBLANK($A62),"",INDEX(Array_StationaryCharges,MATCH($A62,List_StationaryFuelMeters,0),ROUNDUP((COLUMN()+1)/3-2,0))),"")</f>
        <v/>
      </c>
      <c r="P62" s="127"/>
      <c r="Q62" s="127"/>
      <c r="R62" s="58" t="str" cm="1">
        <f>IFERROR(IF(ISBLANK($A62),"",INDEX(Array_StationaryCharges,MATCH($A62,List_StationaryFuelMeters,0),ROUNDUP((COLUMN()+1)/3-2,0))),"")</f>
        <v/>
      </c>
      <c r="S62" s="127"/>
      <c r="T62" s="127"/>
      <c r="U62" s="58" t="str" cm="1">
        <f>IFERROR(IF(ISBLANK($A62),"",INDEX(Array_StationaryCharges,MATCH($A62,List_StationaryFuelMeters,0),ROUNDUP((COLUMN()+1)/3-2,0))),"")</f>
        <v/>
      </c>
      <c r="V62" s="127"/>
      <c r="W62" s="127"/>
      <c r="X62" s="58" t="str" cm="1">
        <f>IFERROR(IF(ISBLANK($A62),"",INDEX(Array_StationaryCharges,MATCH($A62,List_StationaryFuelMeters,0),ROUNDUP((COLUMN()+1)/3-2,0))),"")</f>
        <v/>
      </c>
      <c r="Y62" s="127"/>
      <c r="Z62" s="127"/>
      <c r="AA62" s="58" t="str" cm="1">
        <f>IFERROR(IF(ISBLANK($A62),"",INDEX(Array_StationaryCharges,MATCH($A62,List_StationaryFuelMeters,0),ROUNDUP((COLUMN()+1)/3-2,0))),"")</f>
        <v/>
      </c>
      <c r="AB62" s="127"/>
      <c r="AC62" s="127"/>
      <c r="AD62" s="58" t="str" cm="1">
        <f>IFERROR(IF(ISBLANK($A62),"",INDEX(Array_StationaryCharges,MATCH($A62,List_StationaryFuelMeters,0),ROUNDUP((COLUMN()+1)/3-2,0))),"")</f>
        <v/>
      </c>
      <c r="AE62" s="127"/>
      <c r="AF62" s="127"/>
      <c r="AG62" s="58" t="str" cm="1">
        <f>IFERROR(IF(ISBLANK($A62),"",INDEX(Array_StationaryCharges,MATCH($A62,List_StationaryFuelMeters,0),ROUNDUP((COLUMN()+1)/3-2,0))),"")</f>
        <v/>
      </c>
      <c r="AH62" s="127"/>
      <c r="AI62" s="127"/>
      <c r="AJ62" s="58" t="str" cm="1">
        <f>IFERROR(IF(ISBLANK($A62),"",INDEX(Array_StationaryCharges,MATCH($A62,List_StationaryFuelMeters,0),ROUNDUP((COLUMN()+1)/3-2,0))),"")</f>
        <v/>
      </c>
      <c r="AK62" s="127"/>
      <c r="AL62" s="127"/>
      <c r="AM62" s="58" t="str" cm="1">
        <f>IFERROR(IF(ISBLANK($A62),"",INDEX(Array_StationaryCharges,MATCH($A62,List_StationaryFuelMeters,0),ROUNDUP((COLUMN()+1)/3-2,0))),"")</f>
        <v/>
      </c>
      <c r="AN62" s="127"/>
      <c r="AO62" s="127"/>
      <c r="AP62" s="58" t="str" cm="1">
        <f>IFERROR(IF(ISBLANK($A62),"",INDEX(Array_StationaryCharges,MATCH($A62,List_StationaryFuelMeters,0),ROUNDUP((COLUMN()+1)/3-2,0))),"")</f>
        <v/>
      </c>
      <c r="AQ62" s="127"/>
      <c r="AR62" s="127"/>
      <c r="AS62" s="58" t="str" cm="1">
        <f>IFERROR(IF(ISBLANK($A62),"",INDEX(Array_StationaryCharges,MATCH($A62,List_StationaryFuelMeters,0),ROUNDUP((COLUMN()+1)/3-2,0))),"")</f>
        <v/>
      </c>
      <c r="AT62" s="127"/>
      <c r="AU62" s="127"/>
      <c r="AV62" s="58" t="str" cm="1">
        <f>IFERROR(IF(ISBLANK($A62),"",INDEX(Array_StationaryCharges,MATCH($A62,List_StationaryFuelMeters,0),ROUNDUP((COLUMN()+1)/3-2,0))),"")</f>
        <v/>
      </c>
      <c r="AW62" s="127"/>
      <c r="AX62" s="127"/>
    </row>
    <row r="63" spans="1:50" x14ac:dyDescent="0.3">
      <c r="A63" s="126"/>
      <c r="B63" s="133"/>
      <c r="C63" s="127"/>
      <c r="D63" s="138"/>
      <c r="E63" s="138"/>
      <c r="F63" s="58" t="str" cm="1">
        <f>IFERROR(IF(ISBLANK($A63),"",INDEX(Array_StationaryCharges,MATCH($A63,List_StationaryFuelMeters,0),ROUNDUP((COLUMN()+1)/3-2,0))),"")</f>
        <v/>
      </c>
      <c r="G63" s="127"/>
      <c r="H63" s="127"/>
      <c r="I63" s="58" t="str" cm="1">
        <f>IFERROR(IF(ISBLANK($A63),"",INDEX(Array_StationaryCharges,MATCH($A63,List_StationaryFuelMeters,0),ROUNDUP((COLUMN()+1)/3-2,0))),"")</f>
        <v/>
      </c>
      <c r="J63" s="127"/>
      <c r="K63" s="127"/>
      <c r="L63" s="58" t="str" cm="1">
        <f>IFERROR(IF(ISBLANK($A63),"",INDEX(Array_StationaryCharges,MATCH($A63,List_StationaryFuelMeters,0),ROUNDUP((COLUMN()+1)/3-2,0))),"")</f>
        <v/>
      </c>
      <c r="M63" s="127"/>
      <c r="N63" s="127"/>
      <c r="O63" s="58" t="str" cm="1">
        <f>IFERROR(IF(ISBLANK($A63),"",INDEX(Array_StationaryCharges,MATCH($A63,List_StationaryFuelMeters,0),ROUNDUP((COLUMN()+1)/3-2,0))),"")</f>
        <v/>
      </c>
      <c r="P63" s="127"/>
      <c r="Q63" s="127"/>
      <c r="R63" s="58" t="str" cm="1">
        <f>IFERROR(IF(ISBLANK($A63),"",INDEX(Array_StationaryCharges,MATCH($A63,List_StationaryFuelMeters,0),ROUNDUP((COLUMN()+1)/3-2,0))),"")</f>
        <v/>
      </c>
      <c r="S63" s="127"/>
      <c r="T63" s="127"/>
      <c r="U63" s="58" t="str" cm="1">
        <f>IFERROR(IF(ISBLANK($A63),"",INDEX(Array_StationaryCharges,MATCH($A63,List_StationaryFuelMeters,0),ROUNDUP((COLUMN()+1)/3-2,0))),"")</f>
        <v/>
      </c>
      <c r="V63" s="127"/>
      <c r="W63" s="127"/>
      <c r="X63" s="58" t="str" cm="1">
        <f>IFERROR(IF(ISBLANK($A63),"",INDEX(Array_StationaryCharges,MATCH($A63,List_StationaryFuelMeters,0),ROUNDUP((COLUMN()+1)/3-2,0))),"")</f>
        <v/>
      </c>
      <c r="Y63" s="127"/>
      <c r="Z63" s="127"/>
      <c r="AA63" s="58" t="str" cm="1">
        <f>IFERROR(IF(ISBLANK($A63),"",INDEX(Array_StationaryCharges,MATCH($A63,List_StationaryFuelMeters,0),ROUNDUP((COLUMN()+1)/3-2,0))),"")</f>
        <v/>
      </c>
      <c r="AB63" s="127"/>
      <c r="AC63" s="127"/>
      <c r="AD63" s="58" t="str" cm="1">
        <f>IFERROR(IF(ISBLANK($A63),"",INDEX(Array_StationaryCharges,MATCH($A63,List_StationaryFuelMeters,0),ROUNDUP((COLUMN()+1)/3-2,0))),"")</f>
        <v/>
      </c>
      <c r="AE63" s="127"/>
      <c r="AF63" s="127"/>
      <c r="AG63" s="58" t="str" cm="1">
        <f>IFERROR(IF(ISBLANK($A63),"",INDEX(Array_StationaryCharges,MATCH($A63,List_StationaryFuelMeters,0),ROUNDUP((COLUMN()+1)/3-2,0))),"")</f>
        <v/>
      </c>
      <c r="AH63" s="127"/>
      <c r="AI63" s="127"/>
      <c r="AJ63" s="58" t="str" cm="1">
        <f>IFERROR(IF(ISBLANK($A63),"",INDEX(Array_StationaryCharges,MATCH($A63,List_StationaryFuelMeters,0),ROUNDUP((COLUMN()+1)/3-2,0))),"")</f>
        <v/>
      </c>
      <c r="AK63" s="127"/>
      <c r="AL63" s="127"/>
      <c r="AM63" s="58" t="str" cm="1">
        <f>IFERROR(IF(ISBLANK($A63),"",INDEX(Array_StationaryCharges,MATCH($A63,List_StationaryFuelMeters,0),ROUNDUP((COLUMN()+1)/3-2,0))),"")</f>
        <v/>
      </c>
      <c r="AN63" s="127"/>
      <c r="AO63" s="127"/>
      <c r="AP63" s="58" t="str" cm="1">
        <f>IFERROR(IF(ISBLANK($A63),"",INDEX(Array_StationaryCharges,MATCH($A63,List_StationaryFuelMeters,0),ROUNDUP((COLUMN()+1)/3-2,0))),"")</f>
        <v/>
      </c>
      <c r="AQ63" s="127"/>
      <c r="AR63" s="127"/>
      <c r="AS63" s="58" t="str" cm="1">
        <f>IFERROR(IF(ISBLANK($A63),"",INDEX(Array_StationaryCharges,MATCH($A63,List_StationaryFuelMeters,0),ROUNDUP((COLUMN()+1)/3-2,0))),"")</f>
        <v/>
      </c>
      <c r="AT63" s="127"/>
      <c r="AU63" s="127"/>
      <c r="AV63" s="58" t="str" cm="1">
        <f>IFERROR(IF(ISBLANK($A63),"",INDEX(Array_StationaryCharges,MATCH($A63,List_StationaryFuelMeters,0),ROUNDUP((COLUMN()+1)/3-2,0))),"")</f>
        <v/>
      </c>
      <c r="AW63" s="127"/>
      <c r="AX63" s="127"/>
    </row>
    <row r="64" spans="1:50" x14ac:dyDescent="0.3">
      <c r="A64" s="126"/>
      <c r="B64" s="133"/>
      <c r="C64" s="127"/>
      <c r="D64" s="138"/>
      <c r="E64" s="138"/>
      <c r="F64" s="58" t="str" cm="1">
        <f>IFERROR(IF(ISBLANK($A64),"",INDEX(Array_StationaryCharges,MATCH($A64,List_StationaryFuelMeters,0),ROUNDUP((COLUMN()+1)/3-2,0))),"")</f>
        <v/>
      </c>
      <c r="G64" s="127"/>
      <c r="H64" s="127"/>
      <c r="I64" s="58" t="str" cm="1">
        <f>IFERROR(IF(ISBLANK($A64),"",INDEX(Array_StationaryCharges,MATCH($A64,List_StationaryFuelMeters,0),ROUNDUP((COLUMN()+1)/3-2,0))),"")</f>
        <v/>
      </c>
      <c r="J64" s="127"/>
      <c r="K64" s="127"/>
      <c r="L64" s="58" t="str" cm="1">
        <f>IFERROR(IF(ISBLANK($A64),"",INDEX(Array_StationaryCharges,MATCH($A64,List_StationaryFuelMeters,0),ROUNDUP((COLUMN()+1)/3-2,0))),"")</f>
        <v/>
      </c>
      <c r="M64" s="127"/>
      <c r="N64" s="127"/>
      <c r="O64" s="58" t="str" cm="1">
        <f>IFERROR(IF(ISBLANK($A64),"",INDEX(Array_StationaryCharges,MATCH($A64,List_StationaryFuelMeters,0),ROUNDUP((COLUMN()+1)/3-2,0))),"")</f>
        <v/>
      </c>
      <c r="P64" s="127"/>
      <c r="Q64" s="127"/>
      <c r="R64" s="58" t="str" cm="1">
        <f>IFERROR(IF(ISBLANK($A64),"",INDEX(Array_StationaryCharges,MATCH($A64,List_StationaryFuelMeters,0),ROUNDUP((COLUMN()+1)/3-2,0))),"")</f>
        <v/>
      </c>
      <c r="S64" s="127"/>
      <c r="T64" s="127"/>
      <c r="U64" s="58" t="str" cm="1">
        <f>IFERROR(IF(ISBLANK($A64),"",INDEX(Array_StationaryCharges,MATCH($A64,List_StationaryFuelMeters,0),ROUNDUP((COLUMN()+1)/3-2,0))),"")</f>
        <v/>
      </c>
      <c r="V64" s="127"/>
      <c r="W64" s="127"/>
      <c r="X64" s="58" t="str" cm="1">
        <f>IFERROR(IF(ISBLANK($A64),"",INDEX(Array_StationaryCharges,MATCH($A64,List_StationaryFuelMeters,0),ROUNDUP((COLUMN()+1)/3-2,0))),"")</f>
        <v/>
      </c>
      <c r="Y64" s="127"/>
      <c r="Z64" s="127"/>
      <c r="AA64" s="58" t="str" cm="1">
        <f>IFERROR(IF(ISBLANK($A64),"",INDEX(Array_StationaryCharges,MATCH($A64,List_StationaryFuelMeters,0),ROUNDUP((COLUMN()+1)/3-2,0))),"")</f>
        <v/>
      </c>
      <c r="AB64" s="127"/>
      <c r="AC64" s="127"/>
      <c r="AD64" s="58" t="str" cm="1">
        <f>IFERROR(IF(ISBLANK($A64),"",INDEX(Array_StationaryCharges,MATCH($A64,List_StationaryFuelMeters,0),ROUNDUP((COLUMN()+1)/3-2,0))),"")</f>
        <v/>
      </c>
      <c r="AE64" s="127"/>
      <c r="AF64" s="127"/>
      <c r="AG64" s="58" t="str" cm="1">
        <f>IFERROR(IF(ISBLANK($A64),"",INDEX(Array_StationaryCharges,MATCH($A64,List_StationaryFuelMeters,0),ROUNDUP((COLUMN()+1)/3-2,0))),"")</f>
        <v/>
      </c>
      <c r="AH64" s="127"/>
      <c r="AI64" s="127"/>
      <c r="AJ64" s="58" t="str" cm="1">
        <f>IFERROR(IF(ISBLANK($A64),"",INDEX(Array_StationaryCharges,MATCH($A64,List_StationaryFuelMeters,0),ROUNDUP((COLUMN()+1)/3-2,0))),"")</f>
        <v/>
      </c>
      <c r="AK64" s="127"/>
      <c r="AL64" s="127"/>
      <c r="AM64" s="58" t="str" cm="1">
        <f>IFERROR(IF(ISBLANK($A64),"",INDEX(Array_StationaryCharges,MATCH($A64,List_StationaryFuelMeters,0),ROUNDUP((COLUMN()+1)/3-2,0))),"")</f>
        <v/>
      </c>
      <c r="AN64" s="127"/>
      <c r="AO64" s="127"/>
      <c r="AP64" s="58" t="str" cm="1">
        <f>IFERROR(IF(ISBLANK($A64),"",INDEX(Array_StationaryCharges,MATCH($A64,List_StationaryFuelMeters,0),ROUNDUP((COLUMN()+1)/3-2,0))),"")</f>
        <v/>
      </c>
      <c r="AQ64" s="127"/>
      <c r="AR64" s="127"/>
      <c r="AS64" s="58" t="str" cm="1">
        <f>IFERROR(IF(ISBLANK($A64),"",INDEX(Array_StationaryCharges,MATCH($A64,List_StationaryFuelMeters,0),ROUNDUP((COLUMN()+1)/3-2,0))),"")</f>
        <v/>
      </c>
      <c r="AT64" s="127"/>
      <c r="AU64" s="127"/>
      <c r="AV64" s="58" t="str" cm="1">
        <f>IFERROR(IF(ISBLANK($A64),"",INDEX(Array_StationaryCharges,MATCH($A64,List_StationaryFuelMeters,0),ROUNDUP((COLUMN()+1)/3-2,0))),"")</f>
        <v/>
      </c>
      <c r="AW64" s="127"/>
      <c r="AX64" s="127"/>
    </row>
    <row r="65" spans="1:50" x14ac:dyDescent="0.3">
      <c r="A65" s="126"/>
      <c r="B65" s="133"/>
      <c r="C65" s="127"/>
      <c r="D65" s="138"/>
      <c r="E65" s="138"/>
      <c r="F65" s="58" t="str" cm="1">
        <f>IFERROR(IF(ISBLANK($A65),"",INDEX(Array_StationaryCharges,MATCH($A65,List_StationaryFuelMeters,0),ROUNDUP((COLUMN()+1)/3-2,0))),"")</f>
        <v/>
      </c>
      <c r="G65" s="127"/>
      <c r="H65" s="127"/>
      <c r="I65" s="58" t="str" cm="1">
        <f>IFERROR(IF(ISBLANK($A65),"",INDEX(Array_StationaryCharges,MATCH($A65,List_StationaryFuelMeters,0),ROUNDUP((COLUMN()+1)/3-2,0))),"")</f>
        <v/>
      </c>
      <c r="J65" s="127"/>
      <c r="K65" s="127"/>
      <c r="L65" s="58" t="str" cm="1">
        <f>IFERROR(IF(ISBLANK($A65),"",INDEX(Array_StationaryCharges,MATCH($A65,List_StationaryFuelMeters,0),ROUNDUP((COLUMN()+1)/3-2,0))),"")</f>
        <v/>
      </c>
      <c r="M65" s="127"/>
      <c r="N65" s="127"/>
      <c r="O65" s="58" t="str" cm="1">
        <f>IFERROR(IF(ISBLANK($A65),"",INDEX(Array_StationaryCharges,MATCH($A65,List_StationaryFuelMeters,0),ROUNDUP((COLUMN()+1)/3-2,0))),"")</f>
        <v/>
      </c>
      <c r="P65" s="127"/>
      <c r="Q65" s="127"/>
      <c r="R65" s="58" t="str" cm="1">
        <f>IFERROR(IF(ISBLANK($A65),"",INDEX(Array_StationaryCharges,MATCH($A65,List_StationaryFuelMeters,0),ROUNDUP((COLUMN()+1)/3-2,0))),"")</f>
        <v/>
      </c>
      <c r="S65" s="127"/>
      <c r="T65" s="127"/>
      <c r="U65" s="58" t="str" cm="1">
        <f>IFERROR(IF(ISBLANK($A65),"",INDEX(Array_StationaryCharges,MATCH($A65,List_StationaryFuelMeters,0),ROUNDUP((COLUMN()+1)/3-2,0))),"")</f>
        <v/>
      </c>
      <c r="V65" s="127"/>
      <c r="W65" s="127"/>
      <c r="X65" s="58" t="str" cm="1">
        <f>IFERROR(IF(ISBLANK($A65),"",INDEX(Array_StationaryCharges,MATCH($A65,List_StationaryFuelMeters,0),ROUNDUP((COLUMN()+1)/3-2,0))),"")</f>
        <v/>
      </c>
      <c r="Y65" s="127"/>
      <c r="Z65" s="127"/>
      <c r="AA65" s="58" t="str" cm="1">
        <f>IFERROR(IF(ISBLANK($A65),"",INDEX(Array_StationaryCharges,MATCH($A65,List_StationaryFuelMeters,0),ROUNDUP((COLUMN()+1)/3-2,0))),"")</f>
        <v/>
      </c>
      <c r="AB65" s="127"/>
      <c r="AC65" s="127"/>
      <c r="AD65" s="58" t="str" cm="1">
        <f>IFERROR(IF(ISBLANK($A65),"",INDEX(Array_StationaryCharges,MATCH($A65,List_StationaryFuelMeters,0),ROUNDUP((COLUMN()+1)/3-2,0))),"")</f>
        <v/>
      </c>
      <c r="AE65" s="127"/>
      <c r="AF65" s="127"/>
      <c r="AG65" s="58" t="str" cm="1">
        <f>IFERROR(IF(ISBLANK($A65),"",INDEX(Array_StationaryCharges,MATCH($A65,List_StationaryFuelMeters,0),ROUNDUP((COLUMN()+1)/3-2,0))),"")</f>
        <v/>
      </c>
      <c r="AH65" s="127"/>
      <c r="AI65" s="127"/>
      <c r="AJ65" s="58" t="str" cm="1">
        <f>IFERROR(IF(ISBLANK($A65),"",INDEX(Array_StationaryCharges,MATCH($A65,List_StationaryFuelMeters,0),ROUNDUP((COLUMN()+1)/3-2,0))),"")</f>
        <v/>
      </c>
      <c r="AK65" s="127"/>
      <c r="AL65" s="127"/>
      <c r="AM65" s="58" t="str" cm="1">
        <f>IFERROR(IF(ISBLANK($A65),"",INDEX(Array_StationaryCharges,MATCH($A65,List_StationaryFuelMeters,0),ROUNDUP((COLUMN()+1)/3-2,0))),"")</f>
        <v/>
      </c>
      <c r="AN65" s="127"/>
      <c r="AO65" s="127"/>
      <c r="AP65" s="58" t="str" cm="1">
        <f>IFERROR(IF(ISBLANK($A65),"",INDEX(Array_StationaryCharges,MATCH($A65,List_StationaryFuelMeters,0),ROUNDUP((COLUMN()+1)/3-2,0))),"")</f>
        <v/>
      </c>
      <c r="AQ65" s="127"/>
      <c r="AR65" s="127"/>
      <c r="AS65" s="58" t="str" cm="1">
        <f>IFERROR(IF(ISBLANK($A65),"",INDEX(Array_StationaryCharges,MATCH($A65,List_StationaryFuelMeters,0),ROUNDUP((COLUMN()+1)/3-2,0))),"")</f>
        <v/>
      </c>
      <c r="AT65" s="127"/>
      <c r="AU65" s="127"/>
      <c r="AV65" s="58" t="str" cm="1">
        <f>IFERROR(IF(ISBLANK($A65),"",INDEX(Array_StationaryCharges,MATCH($A65,List_StationaryFuelMeters,0),ROUNDUP((COLUMN()+1)/3-2,0))),"")</f>
        <v/>
      </c>
      <c r="AW65" s="127"/>
      <c r="AX65" s="127"/>
    </row>
    <row r="66" spans="1:50" x14ac:dyDescent="0.3">
      <c r="A66" s="126"/>
      <c r="B66" s="133"/>
      <c r="C66" s="127"/>
      <c r="D66" s="138"/>
      <c r="E66" s="138"/>
      <c r="F66" s="58" t="str" cm="1">
        <f>IFERROR(IF(ISBLANK($A66),"",INDEX(Array_StationaryCharges,MATCH($A66,List_StationaryFuelMeters,0),ROUNDUP((COLUMN()+1)/3-2,0))),"")</f>
        <v/>
      </c>
      <c r="G66" s="127"/>
      <c r="H66" s="127"/>
      <c r="I66" s="58" t="str" cm="1">
        <f>IFERROR(IF(ISBLANK($A66),"",INDEX(Array_StationaryCharges,MATCH($A66,List_StationaryFuelMeters,0),ROUNDUP((COLUMN()+1)/3-2,0))),"")</f>
        <v/>
      </c>
      <c r="J66" s="127"/>
      <c r="K66" s="127"/>
      <c r="L66" s="58" t="str" cm="1">
        <f>IFERROR(IF(ISBLANK($A66),"",INDEX(Array_StationaryCharges,MATCH($A66,List_StationaryFuelMeters,0),ROUNDUP((COLUMN()+1)/3-2,0))),"")</f>
        <v/>
      </c>
      <c r="M66" s="127"/>
      <c r="N66" s="127"/>
      <c r="O66" s="58" t="str" cm="1">
        <f>IFERROR(IF(ISBLANK($A66),"",INDEX(Array_StationaryCharges,MATCH($A66,List_StationaryFuelMeters,0),ROUNDUP((COLUMN()+1)/3-2,0))),"")</f>
        <v/>
      </c>
      <c r="P66" s="127"/>
      <c r="Q66" s="127"/>
      <c r="R66" s="58" t="str" cm="1">
        <f>IFERROR(IF(ISBLANK($A66),"",INDEX(Array_StationaryCharges,MATCH($A66,List_StationaryFuelMeters,0),ROUNDUP((COLUMN()+1)/3-2,0))),"")</f>
        <v/>
      </c>
      <c r="S66" s="127"/>
      <c r="T66" s="127"/>
      <c r="U66" s="58" t="str" cm="1">
        <f>IFERROR(IF(ISBLANK($A66),"",INDEX(Array_StationaryCharges,MATCH($A66,List_StationaryFuelMeters,0),ROUNDUP((COLUMN()+1)/3-2,0))),"")</f>
        <v/>
      </c>
      <c r="V66" s="127"/>
      <c r="W66" s="127"/>
      <c r="X66" s="58" t="str" cm="1">
        <f>IFERROR(IF(ISBLANK($A66),"",INDEX(Array_StationaryCharges,MATCH($A66,List_StationaryFuelMeters,0),ROUNDUP((COLUMN()+1)/3-2,0))),"")</f>
        <v/>
      </c>
      <c r="Y66" s="127"/>
      <c r="Z66" s="127"/>
      <c r="AA66" s="58" t="str" cm="1">
        <f>IFERROR(IF(ISBLANK($A66),"",INDEX(Array_StationaryCharges,MATCH($A66,List_StationaryFuelMeters,0),ROUNDUP((COLUMN()+1)/3-2,0))),"")</f>
        <v/>
      </c>
      <c r="AB66" s="127"/>
      <c r="AC66" s="127"/>
      <c r="AD66" s="58" t="str" cm="1">
        <f>IFERROR(IF(ISBLANK($A66),"",INDEX(Array_StationaryCharges,MATCH($A66,List_StationaryFuelMeters,0),ROUNDUP((COLUMN()+1)/3-2,0))),"")</f>
        <v/>
      </c>
      <c r="AE66" s="127"/>
      <c r="AF66" s="127"/>
      <c r="AG66" s="58" t="str" cm="1">
        <f>IFERROR(IF(ISBLANK($A66),"",INDEX(Array_StationaryCharges,MATCH($A66,List_StationaryFuelMeters,0),ROUNDUP((COLUMN()+1)/3-2,0))),"")</f>
        <v/>
      </c>
      <c r="AH66" s="127"/>
      <c r="AI66" s="127"/>
      <c r="AJ66" s="58" t="str" cm="1">
        <f>IFERROR(IF(ISBLANK($A66),"",INDEX(Array_StationaryCharges,MATCH($A66,List_StationaryFuelMeters,0),ROUNDUP((COLUMN()+1)/3-2,0))),"")</f>
        <v/>
      </c>
      <c r="AK66" s="127"/>
      <c r="AL66" s="127"/>
      <c r="AM66" s="58" t="str" cm="1">
        <f>IFERROR(IF(ISBLANK($A66),"",INDEX(Array_StationaryCharges,MATCH($A66,List_StationaryFuelMeters,0),ROUNDUP((COLUMN()+1)/3-2,0))),"")</f>
        <v/>
      </c>
      <c r="AN66" s="127"/>
      <c r="AO66" s="127"/>
      <c r="AP66" s="58" t="str" cm="1">
        <f>IFERROR(IF(ISBLANK($A66),"",INDEX(Array_StationaryCharges,MATCH($A66,List_StationaryFuelMeters,0),ROUNDUP((COLUMN()+1)/3-2,0))),"")</f>
        <v/>
      </c>
      <c r="AQ66" s="127"/>
      <c r="AR66" s="127"/>
      <c r="AS66" s="58" t="str" cm="1">
        <f>IFERROR(IF(ISBLANK($A66),"",INDEX(Array_StationaryCharges,MATCH($A66,List_StationaryFuelMeters,0),ROUNDUP((COLUMN()+1)/3-2,0))),"")</f>
        <v/>
      </c>
      <c r="AT66" s="127"/>
      <c r="AU66" s="127"/>
      <c r="AV66" s="58" t="str" cm="1">
        <f>IFERROR(IF(ISBLANK($A66),"",INDEX(Array_StationaryCharges,MATCH($A66,List_StationaryFuelMeters,0),ROUNDUP((COLUMN()+1)/3-2,0))),"")</f>
        <v/>
      </c>
      <c r="AW66" s="127"/>
      <c r="AX66" s="127"/>
    </row>
    <row r="67" spans="1:50" x14ac:dyDescent="0.3">
      <c r="A67" s="126"/>
      <c r="B67" s="133"/>
      <c r="C67" s="127"/>
      <c r="D67" s="138"/>
      <c r="E67" s="138"/>
      <c r="F67" s="58" t="str" cm="1">
        <f>IFERROR(IF(ISBLANK($A67),"",INDEX(Array_StationaryCharges,MATCH($A67,List_StationaryFuelMeters,0),ROUNDUP((COLUMN()+1)/3-2,0))),"")</f>
        <v/>
      </c>
      <c r="G67" s="127"/>
      <c r="H67" s="127"/>
      <c r="I67" s="58" t="str" cm="1">
        <f>IFERROR(IF(ISBLANK($A67),"",INDEX(Array_StationaryCharges,MATCH($A67,List_StationaryFuelMeters,0),ROUNDUP((COLUMN()+1)/3-2,0))),"")</f>
        <v/>
      </c>
      <c r="J67" s="127"/>
      <c r="K67" s="127"/>
      <c r="L67" s="58" t="str" cm="1">
        <f>IFERROR(IF(ISBLANK($A67),"",INDEX(Array_StationaryCharges,MATCH($A67,List_StationaryFuelMeters,0),ROUNDUP((COLUMN()+1)/3-2,0))),"")</f>
        <v/>
      </c>
      <c r="M67" s="127"/>
      <c r="N67" s="127"/>
      <c r="O67" s="58" t="str" cm="1">
        <f>IFERROR(IF(ISBLANK($A67),"",INDEX(Array_StationaryCharges,MATCH($A67,List_StationaryFuelMeters,0),ROUNDUP((COLUMN()+1)/3-2,0))),"")</f>
        <v/>
      </c>
      <c r="P67" s="127"/>
      <c r="Q67" s="127"/>
      <c r="R67" s="58" t="str" cm="1">
        <f>IFERROR(IF(ISBLANK($A67),"",INDEX(Array_StationaryCharges,MATCH($A67,List_StationaryFuelMeters,0),ROUNDUP((COLUMN()+1)/3-2,0))),"")</f>
        <v/>
      </c>
      <c r="S67" s="127"/>
      <c r="T67" s="127"/>
      <c r="U67" s="58" t="str" cm="1">
        <f>IFERROR(IF(ISBLANK($A67),"",INDEX(Array_StationaryCharges,MATCH($A67,List_StationaryFuelMeters,0),ROUNDUP((COLUMN()+1)/3-2,0))),"")</f>
        <v/>
      </c>
      <c r="V67" s="127"/>
      <c r="W67" s="127"/>
      <c r="X67" s="58" t="str" cm="1">
        <f>IFERROR(IF(ISBLANK($A67),"",INDEX(Array_StationaryCharges,MATCH($A67,List_StationaryFuelMeters,0),ROUNDUP((COLUMN()+1)/3-2,0))),"")</f>
        <v/>
      </c>
      <c r="Y67" s="127"/>
      <c r="Z67" s="127"/>
      <c r="AA67" s="58" t="str" cm="1">
        <f>IFERROR(IF(ISBLANK($A67),"",INDEX(Array_StationaryCharges,MATCH($A67,List_StationaryFuelMeters,0),ROUNDUP((COLUMN()+1)/3-2,0))),"")</f>
        <v/>
      </c>
      <c r="AB67" s="127"/>
      <c r="AC67" s="127"/>
      <c r="AD67" s="58" t="str" cm="1">
        <f>IFERROR(IF(ISBLANK($A67),"",INDEX(Array_StationaryCharges,MATCH($A67,List_StationaryFuelMeters,0),ROUNDUP((COLUMN()+1)/3-2,0))),"")</f>
        <v/>
      </c>
      <c r="AE67" s="127"/>
      <c r="AF67" s="127"/>
      <c r="AG67" s="58" t="str" cm="1">
        <f>IFERROR(IF(ISBLANK($A67),"",INDEX(Array_StationaryCharges,MATCH($A67,List_StationaryFuelMeters,0),ROUNDUP((COLUMN()+1)/3-2,0))),"")</f>
        <v/>
      </c>
      <c r="AH67" s="127"/>
      <c r="AI67" s="127"/>
      <c r="AJ67" s="58" t="str" cm="1">
        <f>IFERROR(IF(ISBLANK($A67),"",INDEX(Array_StationaryCharges,MATCH($A67,List_StationaryFuelMeters,0),ROUNDUP((COLUMN()+1)/3-2,0))),"")</f>
        <v/>
      </c>
      <c r="AK67" s="127"/>
      <c r="AL67" s="127"/>
      <c r="AM67" s="58" t="str" cm="1">
        <f>IFERROR(IF(ISBLANK($A67),"",INDEX(Array_StationaryCharges,MATCH($A67,List_StationaryFuelMeters,0),ROUNDUP((COLUMN()+1)/3-2,0))),"")</f>
        <v/>
      </c>
      <c r="AN67" s="127"/>
      <c r="AO67" s="127"/>
      <c r="AP67" s="58" t="str" cm="1">
        <f>IFERROR(IF(ISBLANK($A67),"",INDEX(Array_StationaryCharges,MATCH($A67,List_StationaryFuelMeters,0),ROUNDUP((COLUMN()+1)/3-2,0))),"")</f>
        <v/>
      </c>
      <c r="AQ67" s="127"/>
      <c r="AR67" s="127"/>
      <c r="AS67" s="58" t="str" cm="1">
        <f>IFERROR(IF(ISBLANK($A67),"",INDEX(Array_StationaryCharges,MATCH($A67,List_StationaryFuelMeters,0),ROUNDUP((COLUMN()+1)/3-2,0))),"")</f>
        <v/>
      </c>
      <c r="AT67" s="127"/>
      <c r="AU67" s="127"/>
      <c r="AV67" s="58" t="str" cm="1">
        <f>IFERROR(IF(ISBLANK($A67),"",INDEX(Array_StationaryCharges,MATCH($A67,List_StationaryFuelMeters,0),ROUNDUP((COLUMN()+1)/3-2,0))),"")</f>
        <v/>
      </c>
      <c r="AW67" s="127"/>
      <c r="AX67" s="127"/>
    </row>
    <row r="68" spans="1:50" x14ac:dyDescent="0.3">
      <c r="A68" s="126"/>
      <c r="B68" s="133"/>
      <c r="C68" s="127"/>
      <c r="D68" s="138"/>
      <c r="E68" s="138"/>
      <c r="F68" s="58" t="str" cm="1">
        <f>IFERROR(IF(ISBLANK($A68),"",INDEX(Array_StationaryCharges,MATCH($A68,List_StationaryFuelMeters,0),ROUNDUP((COLUMN()+1)/3-2,0))),"")</f>
        <v/>
      </c>
      <c r="G68" s="127"/>
      <c r="H68" s="127"/>
      <c r="I68" s="58" t="str" cm="1">
        <f>IFERROR(IF(ISBLANK($A68),"",INDEX(Array_StationaryCharges,MATCH($A68,List_StationaryFuelMeters,0),ROUNDUP((COLUMN()+1)/3-2,0))),"")</f>
        <v/>
      </c>
      <c r="J68" s="127"/>
      <c r="K68" s="127"/>
      <c r="L68" s="58" t="str" cm="1">
        <f>IFERROR(IF(ISBLANK($A68),"",INDEX(Array_StationaryCharges,MATCH($A68,List_StationaryFuelMeters,0),ROUNDUP((COLUMN()+1)/3-2,0))),"")</f>
        <v/>
      </c>
      <c r="M68" s="127"/>
      <c r="N68" s="127"/>
      <c r="O68" s="58" t="str" cm="1">
        <f>IFERROR(IF(ISBLANK($A68),"",INDEX(Array_StationaryCharges,MATCH($A68,List_StationaryFuelMeters,0),ROUNDUP((COLUMN()+1)/3-2,0))),"")</f>
        <v/>
      </c>
      <c r="P68" s="127"/>
      <c r="Q68" s="127"/>
      <c r="R68" s="58" t="str" cm="1">
        <f>IFERROR(IF(ISBLANK($A68),"",INDEX(Array_StationaryCharges,MATCH($A68,List_StationaryFuelMeters,0),ROUNDUP((COLUMN()+1)/3-2,0))),"")</f>
        <v/>
      </c>
      <c r="S68" s="127"/>
      <c r="T68" s="127"/>
      <c r="U68" s="58" t="str" cm="1">
        <f>IFERROR(IF(ISBLANK($A68),"",INDEX(Array_StationaryCharges,MATCH($A68,List_StationaryFuelMeters,0),ROUNDUP((COLUMN()+1)/3-2,0))),"")</f>
        <v/>
      </c>
      <c r="V68" s="127"/>
      <c r="W68" s="127"/>
      <c r="X68" s="58" t="str" cm="1">
        <f>IFERROR(IF(ISBLANK($A68),"",INDEX(Array_StationaryCharges,MATCH($A68,List_StationaryFuelMeters,0),ROUNDUP((COLUMN()+1)/3-2,0))),"")</f>
        <v/>
      </c>
      <c r="Y68" s="127"/>
      <c r="Z68" s="127"/>
      <c r="AA68" s="58" t="str" cm="1">
        <f>IFERROR(IF(ISBLANK($A68),"",INDEX(Array_StationaryCharges,MATCH($A68,List_StationaryFuelMeters,0),ROUNDUP((COLUMN()+1)/3-2,0))),"")</f>
        <v/>
      </c>
      <c r="AB68" s="127"/>
      <c r="AC68" s="127"/>
      <c r="AD68" s="58" t="str" cm="1">
        <f>IFERROR(IF(ISBLANK($A68),"",INDEX(Array_StationaryCharges,MATCH($A68,List_StationaryFuelMeters,0),ROUNDUP((COLUMN()+1)/3-2,0))),"")</f>
        <v/>
      </c>
      <c r="AE68" s="127"/>
      <c r="AF68" s="127"/>
      <c r="AG68" s="58" t="str" cm="1">
        <f>IFERROR(IF(ISBLANK($A68),"",INDEX(Array_StationaryCharges,MATCH($A68,List_StationaryFuelMeters,0),ROUNDUP((COLUMN()+1)/3-2,0))),"")</f>
        <v/>
      </c>
      <c r="AH68" s="127"/>
      <c r="AI68" s="127"/>
      <c r="AJ68" s="58" t="str" cm="1">
        <f>IFERROR(IF(ISBLANK($A68),"",INDEX(Array_StationaryCharges,MATCH($A68,List_StationaryFuelMeters,0),ROUNDUP((COLUMN()+1)/3-2,0))),"")</f>
        <v/>
      </c>
      <c r="AK68" s="127"/>
      <c r="AL68" s="127"/>
      <c r="AM68" s="58" t="str" cm="1">
        <f>IFERROR(IF(ISBLANK($A68),"",INDEX(Array_StationaryCharges,MATCH($A68,List_StationaryFuelMeters,0),ROUNDUP((COLUMN()+1)/3-2,0))),"")</f>
        <v/>
      </c>
      <c r="AN68" s="127"/>
      <c r="AO68" s="127"/>
      <c r="AP68" s="58" t="str" cm="1">
        <f>IFERROR(IF(ISBLANK($A68),"",INDEX(Array_StationaryCharges,MATCH($A68,List_StationaryFuelMeters,0),ROUNDUP((COLUMN()+1)/3-2,0))),"")</f>
        <v/>
      </c>
      <c r="AQ68" s="127"/>
      <c r="AR68" s="127"/>
      <c r="AS68" s="58" t="str" cm="1">
        <f>IFERROR(IF(ISBLANK($A68),"",INDEX(Array_StationaryCharges,MATCH($A68,List_StationaryFuelMeters,0),ROUNDUP((COLUMN()+1)/3-2,0))),"")</f>
        <v/>
      </c>
      <c r="AT68" s="127"/>
      <c r="AU68" s="127"/>
      <c r="AV68" s="58" t="str" cm="1">
        <f>IFERROR(IF(ISBLANK($A68),"",INDEX(Array_StationaryCharges,MATCH($A68,List_StationaryFuelMeters,0),ROUNDUP((COLUMN()+1)/3-2,0))),"")</f>
        <v/>
      </c>
      <c r="AW68" s="127"/>
      <c r="AX68" s="127"/>
    </row>
    <row r="69" spans="1:50" x14ac:dyDescent="0.3">
      <c r="A69" s="126"/>
      <c r="B69" s="133"/>
      <c r="C69" s="127"/>
      <c r="D69" s="138"/>
      <c r="E69" s="138"/>
      <c r="F69" s="58" t="str" cm="1">
        <f>IFERROR(IF(ISBLANK($A69),"",INDEX(Array_StationaryCharges,MATCH($A69,List_StationaryFuelMeters,0),ROUNDUP((COLUMN()+1)/3-2,0))),"")</f>
        <v/>
      </c>
      <c r="G69" s="127"/>
      <c r="H69" s="127"/>
      <c r="I69" s="58" t="str" cm="1">
        <f>IFERROR(IF(ISBLANK($A69),"",INDEX(Array_StationaryCharges,MATCH($A69,List_StationaryFuelMeters,0),ROUNDUP((COLUMN()+1)/3-2,0))),"")</f>
        <v/>
      </c>
      <c r="J69" s="127"/>
      <c r="K69" s="127"/>
      <c r="L69" s="58" t="str" cm="1">
        <f>IFERROR(IF(ISBLANK($A69),"",INDEX(Array_StationaryCharges,MATCH($A69,List_StationaryFuelMeters,0),ROUNDUP((COLUMN()+1)/3-2,0))),"")</f>
        <v/>
      </c>
      <c r="M69" s="127"/>
      <c r="N69" s="127"/>
      <c r="O69" s="58" t="str" cm="1">
        <f>IFERROR(IF(ISBLANK($A69),"",INDEX(Array_StationaryCharges,MATCH($A69,List_StationaryFuelMeters,0),ROUNDUP((COLUMN()+1)/3-2,0))),"")</f>
        <v/>
      </c>
      <c r="P69" s="127"/>
      <c r="Q69" s="127"/>
      <c r="R69" s="58" t="str" cm="1">
        <f>IFERROR(IF(ISBLANK($A69),"",INDEX(Array_StationaryCharges,MATCH($A69,List_StationaryFuelMeters,0),ROUNDUP((COLUMN()+1)/3-2,0))),"")</f>
        <v/>
      </c>
      <c r="S69" s="127"/>
      <c r="T69" s="127"/>
      <c r="U69" s="58" t="str" cm="1">
        <f>IFERROR(IF(ISBLANK($A69),"",INDEX(Array_StationaryCharges,MATCH($A69,List_StationaryFuelMeters,0),ROUNDUP((COLUMN()+1)/3-2,0))),"")</f>
        <v/>
      </c>
      <c r="V69" s="127"/>
      <c r="W69" s="127"/>
      <c r="X69" s="58" t="str" cm="1">
        <f>IFERROR(IF(ISBLANK($A69),"",INDEX(Array_StationaryCharges,MATCH($A69,List_StationaryFuelMeters,0),ROUNDUP((COLUMN()+1)/3-2,0))),"")</f>
        <v/>
      </c>
      <c r="Y69" s="127"/>
      <c r="Z69" s="127"/>
      <c r="AA69" s="58" t="str" cm="1">
        <f>IFERROR(IF(ISBLANK($A69),"",INDEX(Array_StationaryCharges,MATCH($A69,List_StationaryFuelMeters,0),ROUNDUP((COLUMN()+1)/3-2,0))),"")</f>
        <v/>
      </c>
      <c r="AB69" s="127"/>
      <c r="AC69" s="127"/>
      <c r="AD69" s="58" t="str" cm="1">
        <f>IFERROR(IF(ISBLANK($A69),"",INDEX(Array_StationaryCharges,MATCH($A69,List_StationaryFuelMeters,0),ROUNDUP((COLUMN()+1)/3-2,0))),"")</f>
        <v/>
      </c>
      <c r="AE69" s="127"/>
      <c r="AF69" s="127"/>
      <c r="AG69" s="58" t="str" cm="1">
        <f>IFERROR(IF(ISBLANK($A69),"",INDEX(Array_StationaryCharges,MATCH($A69,List_StationaryFuelMeters,0),ROUNDUP((COLUMN()+1)/3-2,0))),"")</f>
        <v/>
      </c>
      <c r="AH69" s="127"/>
      <c r="AI69" s="127"/>
      <c r="AJ69" s="58" t="str" cm="1">
        <f>IFERROR(IF(ISBLANK($A69),"",INDEX(Array_StationaryCharges,MATCH($A69,List_StationaryFuelMeters,0),ROUNDUP((COLUMN()+1)/3-2,0))),"")</f>
        <v/>
      </c>
      <c r="AK69" s="127"/>
      <c r="AL69" s="127"/>
      <c r="AM69" s="58" t="str" cm="1">
        <f>IFERROR(IF(ISBLANK($A69),"",INDEX(Array_StationaryCharges,MATCH($A69,List_StationaryFuelMeters,0),ROUNDUP((COLUMN()+1)/3-2,0))),"")</f>
        <v/>
      </c>
      <c r="AN69" s="127"/>
      <c r="AO69" s="127"/>
      <c r="AP69" s="58" t="str" cm="1">
        <f>IFERROR(IF(ISBLANK($A69),"",INDEX(Array_StationaryCharges,MATCH($A69,List_StationaryFuelMeters,0),ROUNDUP((COLUMN()+1)/3-2,0))),"")</f>
        <v/>
      </c>
      <c r="AQ69" s="127"/>
      <c r="AR69" s="127"/>
      <c r="AS69" s="58" t="str" cm="1">
        <f>IFERROR(IF(ISBLANK($A69),"",INDEX(Array_StationaryCharges,MATCH($A69,List_StationaryFuelMeters,0),ROUNDUP((COLUMN()+1)/3-2,0))),"")</f>
        <v/>
      </c>
      <c r="AT69" s="127"/>
      <c r="AU69" s="127"/>
      <c r="AV69" s="58" t="str" cm="1">
        <f>IFERROR(IF(ISBLANK($A69),"",INDEX(Array_StationaryCharges,MATCH($A69,List_StationaryFuelMeters,0),ROUNDUP((COLUMN()+1)/3-2,0))),"")</f>
        <v/>
      </c>
      <c r="AW69" s="127"/>
      <c r="AX69" s="127"/>
    </row>
    <row r="70" spans="1:50" x14ac:dyDescent="0.3">
      <c r="A70" s="126"/>
      <c r="B70" s="133"/>
      <c r="C70" s="127"/>
      <c r="D70" s="138"/>
      <c r="E70" s="138"/>
      <c r="F70" s="58" t="str" cm="1">
        <f>IFERROR(IF(ISBLANK($A70),"",INDEX(Array_StationaryCharges,MATCH($A70,List_StationaryFuelMeters,0),ROUNDUP((COLUMN()+1)/3-2,0))),"")</f>
        <v/>
      </c>
      <c r="G70" s="127"/>
      <c r="H70" s="127"/>
      <c r="I70" s="58" t="str" cm="1">
        <f>IFERROR(IF(ISBLANK($A70),"",INDEX(Array_StationaryCharges,MATCH($A70,List_StationaryFuelMeters,0),ROUNDUP((COLUMN()+1)/3-2,0))),"")</f>
        <v/>
      </c>
      <c r="J70" s="127"/>
      <c r="K70" s="127"/>
      <c r="L70" s="58" t="str" cm="1">
        <f>IFERROR(IF(ISBLANK($A70),"",INDEX(Array_StationaryCharges,MATCH($A70,List_StationaryFuelMeters,0),ROUNDUP((COLUMN()+1)/3-2,0))),"")</f>
        <v/>
      </c>
      <c r="M70" s="127"/>
      <c r="N70" s="127"/>
      <c r="O70" s="58" t="str" cm="1">
        <f>IFERROR(IF(ISBLANK($A70),"",INDEX(Array_StationaryCharges,MATCH($A70,List_StationaryFuelMeters,0),ROUNDUP((COLUMN()+1)/3-2,0))),"")</f>
        <v/>
      </c>
      <c r="P70" s="127"/>
      <c r="Q70" s="127"/>
      <c r="R70" s="58" t="str" cm="1">
        <f>IFERROR(IF(ISBLANK($A70),"",INDEX(Array_StationaryCharges,MATCH($A70,List_StationaryFuelMeters,0),ROUNDUP((COLUMN()+1)/3-2,0))),"")</f>
        <v/>
      </c>
      <c r="S70" s="127"/>
      <c r="T70" s="127"/>
      <c r="U70" s="58" t="str" cm="1">
        <f>IFERROR(IF(ISBLANK($A70),"",INDEX(Array_StationaryCharges,MATCH($A70,List_StationaryFuelMeters,0),ROUNDUP((COLUMN()+1)/3-2,0))),"")</f>
        <v/>
      </c>
      <c r="V70" s="127"/>
      <c r="W70" s="127"/>
      <c r="X70" s="58" t="str" cm="1">
        <f>IFERROR(IF(ISBLANK($A70),"",INDEX(Array_StationaryCharges,MATCH($A70,List_StationaryFuelMeters,0),ROUNDUP((COLUMN()+1)/3-2,0))),"")</f>
        <v/>
      </c>
      <c r="Y70" s="127"/>
      <c r="Z70" s="127"/>
      <c r="AA70" s="58" t="str" cm="1">
        <f>IFERROR(IF(ISBLANK($A70),"",INDEX(Array_StationaryCharges,MATCH($A70,List_StationaryFuelMeters,0),ROUNDUP((COLUMN()+1)/3-2,0))),"")</f>
        <v/>
      </c>
      <c r="AB70" s="127"/>
      <c r="AC70" s="127"/>
      <c r="AD70" s="58" t="str" cm="1">
        <f>IFERROR(IF(ISBLANK($A70),"",INDEX(Array_StationaryCharges,MATCH($A70,List_StationaryFuelMeters,0),ROUNDUP((COLUMN()+1)/3-2,0))),"")</f>
        <v/>
      </c>
      <c r="AE70" s="127"/>
      <c r="AF70" s="127"/>
      <c r="AG70" s="58" t="str" cm="1">
        <f>IFERROR(IF(ISBLANK($A70),"",INDEX(Array_StationaryCharges,MATCH($A70,List_StationaryFuelMeters,0),ROUNDUP((COLUMN()+1)/3-2,0))),"")</f>
        <v/>
      </c>
      <c r="AH70" s="127"/>
      <c r="AI70" s="127"/>
      <c r="AJ70" s="58" t="str" cm="1">
        <f>IFERROR(IF(ISBLANK($A70),"",INDEX(Array_StationaryCharges,MATCH($A70,List_StationaryFuelMeters,0),ROUNDUP((COLUMN()+1)/3-2,0))),"")</f>
        <v/>
      </c>
      <c r="AK70" s="127"/>
      <c r="AL70" s="127"/>
      <c r="AM70" s="58" t="str" cm="1">
        <f>IFERROR(IF(ISBLANK($A70),"",INDEX(Array_StationaryCharges,MATCH($A70,List_StationaryFuelMeters,0),ROUNDUP((COLUMN()+1)/3-2,0))),"")</f>
        <v/>
      </c>
      <c r="AN70" s="127"/>
      <c r="AO70" s="127"/>
      <c r="AP70" s="58" t="str" cm="1">
        <f>IFERROR(IF(ISBLANK($A70),"",INDEX(Array_StationaryCharges,MATCH($A70,List_StationaryFuelMeters,0),ROUNDUP((COLUMN()+1)/3-2,0))),"")</f>
        <v/>
      </c>
      <c r="AQ70" s="127"/>
      <c r="AR70" s="127"/>
      <c r="AS70" s="58" t="str" cm="1">
        <f>IFERROR(IF(ISBLANK($A70),"",INDEX(Array_StationaryCharges,MATCH($A70,List_StationaryFuelMeters,0),ROUNDUP((COLUMN()+1)/3-2,0))),"")</f>
        <v/>
      </c>
      <c r="AT70" s="127"/>
      <c r="AU70" s="127"/>
      <c r="AV70" s="58" t="str" cm="1">
        <f>IFERROR(IF(ISBLANK($A70),"",INDEX(Array_StationaryCharges,MATCH($A70,List_StationaryFuelMeters,0),ROUNDUP((COLUMN()+1)/3-2,0))),"")</f>
        <v/>
      </c>
      <c r="AW70" s="127"/>
      <c r="AX70" s="127"/>
    </row>
    <row r="71" spans="1:50" x14ac:dyDescent="0.3">
      <c r="A71" s="126"/>
      <c r="B71" s="133"/>
      <c r="C71" s="127"/>
      <c r="D71" s="138"/>
      <c r="E71" s="138"/>
      <c r="F71" s="58" t="str" cm="1">
        <f>IFERROR(IF(ISBLANK($A71),"",INDEX(Array_StationaryCharges,MATCH($A71,List_StationaryFuelMeters,0),ROUNDUP((COLUMN()+1)/3-2,0))),"")</f>
        <v/>
      </c>
      <c r="G71" s="127"/>
      <c r="H71" s="127"/>
      <c r="I71" s="58" t="str" cm="1">
        <f>IFERROR(IF(ISBLANK($A71),"",INDEX(Array_StationaryCharges,MATCH($A71,List_StationaryFuelMeters,0),ROUNDUP((COLUMN()+1)/3-2,0))),"")</f>
        <v/>
      </c>
      <c r="J71" s="127"/>
      <c r="K71" s="127"/>
      <c r="L71" s="58" t="str" cm="1">
        <f>IFERROR(IF(ISBLANK($A71),"",INDEX(Array_StationaryCharges,MATCH($A71,List_StationaryFuelMeters,0),ROUNDUP((COLUMN()+1)/3-2,0))),"")</f>
        <v/>
      </c>
      <c r="M71" s="127"/>
      <c r="N71" s="127"/>
      <c r="O71" s="58" t="str" cm="1">
        <f>IFERROR(IF(ISBLANK($A71),"",INDEX(Array_StationaryCharges,MATCH($A71,List_StationaryFuelMeters,0),ROUNDUP((COLUMN()+1)/3-2,0))),"")</f>
        <v/>
      </c>
      <c r="P71" s="127"/>
      <c r="Q71" s="127"/>
      <c r="R71" s="58" t="str" cm="1">
        <f>IFERROR(IF(ISBLANK($A71),"",INDEX(Array_StationaryCharges,MATCH($A71,List_StationaryFuelMeters,0),ROUNDUP((COLUMN()+1)/3-2,0))),"")</f>
        <v/>
      </c>
      <c r="S71" s="127"/>
      <c r="T71" s="127"/>
      <c r="U71" s="58" t="str" cm="1">
        <f>IFERROR(IF(ISBLANK($A71),"",INDEX(Array_StationaryCharges,MATCH($A71,List_StationaryFuelMeters,0),ROUNDUP((COLUMN()+1)/3-2,0))),"")</f>
        <v/>
      </c>
      <c r="V71" s="127"/>
      <c r="W71" s="127"/>
      <c r="X71" s="58" t="str" cm="1">
        <f>IFERROR(IF(ISBLANK($A71),"",INDEX(Array_StationaryCharges,MATCH($A71,List_StationaryFuelMeters,0),ROUNDUP((COLUMN()+1)/3-2,0))),"")</f>
        <v/>
      </c>
      <c r="Y71" s="127"/>
      <c r="Z71" s="127"/>
      <c r="AA71" s="58" t="str" cm="1">
        <f>IFERROR(IF(ISBLANK($A71),"",INDEX(Array_StationaryCharges,MATCH($A71,List_StationaryFuelMeters,0),ROUNDUP((COLUMN()+1)/3-2,0))),"")</f>
        <v/>
      </c>
      <c r="AB71" s="127"/>
      <c r="AC71" s="127"/>
      <c r="AD71" s="58" t="str" cm="1">
        <f>IFERROR(IF(ISBLANK($A71),"",INDEX(Array_StationaryCharges,MATCH($A71,List_StationaryFuelMeters,0),ROUNDUP((COLUMN()+1)/3-2,0))),"")</f>
        <v/>
      </c>
      <c r="AE71" s="127"/>
      <c r="AF71" s="127"/>
      <c r="AG71" s="58" t="str" cm="1">
        <f>IFERROR(IF(ISBLANK($A71),"",INDEX(Array_StationaryCharges,MATCH($A71,List_StationaryFuelMeters,0),ROUNDUP((COLUMN()+1)/3-2,0))),"")</f>
        <v/>
      </c>
      <c r="AH71" s="127"/>
      <c r="AI71" s="127"/>
      <c r="AJ71" s="58" t="str" cm="1">
        <f>IFERROR(IF(ISBLANK($A71),"",INDEX(Array_StationaryCharges,MATCH($A71,List_StationaryFuelMeters,0),ROUNDUP((COLUMN()+1)/3-2,0))),"")</f>
        <v/>
      </c>
      <c r="AK71" s="127"/>
      <c r="AL71" s="127"/>
      <c r="AM71" s="58" t="str" cm="1">
        <f>IFERROR(IF(ISBLANK($A71),"",INDEX(Array_StationaryCharges,MATCH($A71,List_StationaryFuelMeters,0),ROUNDUP((COLUMN()+1)/3-2,0))),"")</f>
        <v/>
      </c>
      <c r="AN71" s="127"/>
      <c r="AO71" s="127"/>
      <c r="AP71" s="58" t="str" cm="1">
        <f>IFERROR(IF(ISBLANK($A71),"",INDEX(Array_StationaryCharges,MATCH($A71,List_StationaryFuelMeters,0),ROUNDUP((COLUMN()+1)/3-2,0))),"")</f>
        <v/>
      </c>
      <c r="AQ71" s="127"/>
      <c r="AR71" s="127"/>
      <c r="AS71" s="58" t="str" cm="1">
        <f>IFERROR(IF(ISBLANK($A71),"",INDEX(Array_StationaryCharges,MATCH($A71,List_StationaryFuelMeters,0),ROUNDUP((COLUMN()+1)/3-2,0))),"")</f>
        <v/>
      </c>
      <c r="AT71" s="127"/>
      <c r="AU71" s="127"/>
      <c r="AV71" s="58" t="str" cm="1">
        <f>IFERROR(IF(ISBLANK($A71),"",INDEX(Array_StationaryCharges,MATCH($A71,List_StationaryFuelMeters,0),ROUNDUP((COLUMN()+1)/3-2,0))),"")</f>
        <v/>
      </c>
      <c r="AW71" s="127"/>
      <c r="AX71" s="127"/>
    </row>
    <row r="72" spans="1:50" x14ac:dyDescent="0.3">
      <c r="A72" s="126"/>
      <c r="B72" s="133"/>
      <c r="C72" s="127"/>
      <c r="D72" s="138"/>
      <c r="E72" s="138"/>
      <c r="F72" s="58" t="str" cm="1">
        <f>IFERROR(IF(ISBLANK($A72),"",INDEX(Array_StationaryCharges,MATCH($A72,List_StationaryFuelMeters,0),ROUNDUP((COLUMN()+1)/3-2,0))),"")</f>
        <v/>
      </c>
      <c r="G72" s="127"/>
      <c r="H72" s="127"/>
      <c r="I72" s="58" t="str" cm="1">
        <f>IFERROR(IF(ISBLANK($A72),"",INDEX(Array_StationaryCharges,MATCH($A72,List_StationaryFuelMeters,0),ROUNDUP((COLUMN()+1)/3-2,0))),"")</f>
        <v/>
      </c>
      <c r="J72" s="127"/>
      <c r="K72" s="127"/>
      <c r="L72" s="58" t="str" cm="1">
        <f>IFERROR(IF(ISBLANK($A72),"",INDEX(Array_StationaryCharges,MATCH($A72,List_StationaryFuelMeters,0),ROUNDUP((COLUMN()+1)/3-2,0))),"")</f>
        <v/>
      </c>
      <c r="M72" s="127"/>
      <c r="N72" s="127"/>
      <c r="O72" s="58" t="str" cm="1">
        <f>IFERROR(IF(ISBLANK($A72),"",INDEX(Array_StationaryCharges,MATCH($A72,List_StationaryFuelMeters,0),ROUNDUP((COLUMN()+1)/3-2,0))),"")</f>
        <v/>
      </c>
      <c r="P72" s="127"/>
      <c r="Q72" s="127"/>
      <c r="R72" s="58" t="str" cm="1">
        <f>IFERROR(IF(ISBLANK($A72),"",INDEX(Array_StationaryCharges,MATCH($A72,List_StationaryFuelMeters,0),ROUNDUP((COLUMN()+1)/3-2,0))),"")</f>
        <v/>
      </c>
      <c r="S72" s="127"/>
      <c r="T72" s="127"/>
      <c r="U72" s="58" t="str" cm="1">
        <f>IFERROR(IF(ISBLANK($A72),"",INDEX(Array_StationaryCharges,MATCH($A72,List_StationaryFuelMeters,0),ROUNDUP((COLUMN()+1)/3-2,0))),"")</f>
        <v/>
      </c>
      <c r="V72" s="127"/>
      <c r="W72" s="127"/>
      <c r="X72" s="58" t="str" cm="1">
        <f>IFERROR(IF(ISBLANK($A72),"",INDEX(Array_StationaryCharges,MATCH($A72,List_StationaryFuelMeters,0),ROUNDUP((COLUMN()+1)/3-2,0))),"")</f>
        <v/>
      </c>
      <c r="Y72" s="127"/>
      <c r="Z72" s="127"/>
      <c r="AA72" s="58" t="str" cm="1">
        <f>IFERROR(IF(ISBLANK($A72),"",INDEX(Array_StationaryCharges,MATCH($A72,List_StationaryFuelMeters,0),ROUNDUP((COLUMN()+1)/3-2,0))),"")</f>
        <v/>
      </c>
      <c r="AB72" s="127"/>
      <c r="AC72" s="127"/>
      <c r="AD72" s="58" t="str" cm="1">
        <f>IFERROR(IF(ISBLANK($A72),"",INDEX(Array_StationaryCharges,MATCH($A72,List_StationaryFuelMeters,0),ROUNDUP((COLUMN()+1)/3-2,0))),"")</f>
        <v/>
      </c>
      <c r="AE72" s="127"/>
      <c r="AF72" s="127"/>
      <c r="AG72" s="58" t="str" cm="1">
        <f>IFERROR(IF(ISBLANK($A72),"",INDEX(Array_StationaryCharges,MATCH($A72,List_StationaryFuelMeters,0),ROUNDUP((COLUMN()+1)/3-2,0))),"")</f>
        <v/>
      </c>
      <c r="AH72" s="127"/>
      <c r="AI72" s="127"/>
      <c r="AJ72" s="58" t="str" cm="1">
        <f>IFERROR(IF(ISBLANK($A72),"",INDEX(Array_StationaryCharges,MATCH($A72,List_StationaryFuelMeters,0),ROUNDUP((COLUMN()+1)/3-2,0))),"")</f>
        <v/>
      </c>
      <c r="AK72" s="127"/>
      <c r="AL72" s="127"/>
      <c r="AM72" s="58" t="str" cm="1">
        <f>IFERROR(IF(ISBLANK($A72),"",INDEX(Array_StationaryCharges,MATCH($A72,List_StationaryFuelMeters,0),ROUNDUP((COLUMN()+1)/3-2,0))),"")</f>
        <v/>
      </c>
      <c r="AN72" s="127"/>
      <c r="AO72" s="127"/>
      <c r="AP72" s="58" t="str" cm="1">
        <f>IFERROR(IF(ISBLANK($A72),"",INDEX(Array_StationaryCharges,MATCH($A72,List_StationaryFuelMeters,0),ROUNDUP((COLUMN()+1)/3-2,0))),"")</f>
        <v/>
      </c>
      <c r="AQ72" s="127"/>
      <c r="AR72" s="127"/>
      <c r="AS72" s="58" t="str" cm="1">
        <f>IFERROR(IF(ISBLANK($A72),"",INDEX(Array_StationaryCharges,MATCH($A72,List_StationaryFuelMeters,0),ROUNDUP((COLUMN()+1)/3-2,0))),"")</f>
        <v/>
      </c>
      <c r="AT72" s="127"/>
      <c r="AU72" s="127"/>
      <c r="AV72" s="58" t="str" cm="1">
        <f>IFERROR(IF(ISBLANK($A72),"",INDEX(Array_StationaryCharges,MATCH($A72,List_StationaryFuelMeters,0),ROUNDUP((COLUMN()+1)/3-2,0))),"")</f>
        <v/>
      </c>
      <c r="AW72" s="127"/>
      <c r="AX72" s="127"/>
    </row>
    <row r="73" spans="1:50" x14ac:dyDescent="0.3">
      <c r="A73" s="126"/>
      <c r="B73" s="133"/>
      <c r="C73" s="127"/>
      <c r="D73" s="138"/>
      <c r="E73" s="138"/>
      <c r="F73" s="58" t="str" cm="1">
        <f>IFERROR(IF(ISBLANK($A73),"",INDEX(Array_StationaryCharges,MATCH($A73,List_StationaryFuelMeters,0),ROUNDUP((COLUMN()+1)/3-2,0))),"")</f>
        <v/>
      </c>
      <c r="G73" s="127"/>
      <c r="H73" s="127"/>
      <c r="I73" s="58" t="str" cm="1">
        <f>IFERROR(IF(ISBLANK($A73),"",INDEX(Array_StationaryCharges,MATCH($A73,List_StationaryFuelMeters,0),ROUNDUP((COLUMN()+1)/3-2,0))),"")</f>
        <v/>
      </c>
      <c r="J73" s="127"/>
      <c r="K73" s="127"/>
      <c r="L73" s="58" t="str" cm="1">
        <f>IFERROR(IF(ISBLANK($A73),"",INDEX(Array_StationaryCharges,MATCH($A73,List_StationaryFuelMeters,0),ROUNDUP((COLUMN()+1)/3-2,0))),"")</f>
        <v/>
      </c>
      <c r="M73" s="127"/>
      <c r="N73" s="127"/>
      <c r="O73" s="58" t="str" cm="1">
        <f>IFERROR(IF(ISBLANK($A73),"",INDEX(Array_StationaryCharges,MATCH($A73,List_StationaryFuelMeters,0),ROUNDUP((COLUMN()+1)/3-2,0))),"")</f>
        <v/>
      </c>
      <c r="P73" s="127"/>
      <c r="Q73" s="127"/>
      <c r="R73" s="58" t="str" cm="1">
        <f>IFERROR(IF(ISBLANK($A73),"",INDEX(Array_StationaryCharges,MATCH($A73,List_StationaryFuelMeters,0),ROUNDUP((COLUMN()+1)/3-2,0))),"")</f>
        <v/>
      </c>
      <c r="S73" s="127"/>
      <c r="T73" s="127"/>
      <c r="U73" s="58" t="str" cm="1">
        <f>IFERROR(IF(ISBLANK($A73),"",INDEX(Array_StationaryCharges,MATCH($A73,List_StationaryFuelMeters,0),ROUNDUP((COLUMN()+1)/3-2,0))),"")</f>
        <v/>
      </c>
      <c r="V73" s="127"/>
      <c r="W73" s="127"/>
      <c r="X73" s="58" t="str" cm="1">
        <f>IFERROR(IF(ISBLANK($A73),"",INDEX(Array_StationaryCharges,MATCH($A73,List_StationaryFuelMeters,0),ROUNDUP((COLUMN()+1)/3-2,0))),"")</f>
        <v/>
      </c>
      <c r="Y73" s="127"/>
      <c r="Z73" s="127"/>
      <c r="AA73" s="58" t="str" cm="1">
        <f>IFERROR(IF(ISBLANK($A73),"",INDEX(Array_StationaryCharges,MATCH($A73,List_StationaryFuelMeters,0),ROUNDUP((COLUMN()+1)/3-2,0))),"")</f>
        <v/>
      </c>
      <c r="AB73" s="127"/>
      <c r="AC73" s="127"/>
      <c r="AD73" s="58" t="str" cm="1">
        <f>IFERROR(IF(ISBLANK($A73),"",INDEX(Array_StationaryCharges,MATCH($A73,List_StationaryFuelMeters,0),ROUNDUP((COLUMN()+1)/3-2,0))),"")</f>
        <v/>
      </c>
      <c r="AE73" s="127"/>
      <c r="AF73" s="127"/>
      <c r="AG73" s="58" t="str" cm="1">
        <f>IFERROR(IF(ISBLANK($A73),"",INDEX(Array_StationaryCharges,MATCH($A73,List_StationaryFuelMeters,0),ROUNDUP((COLUMN()+1)/3-2,0))),"")</f>
        <v/>
      </c>
      <c r="AH73" s="127"/>
      <c r="AI73" s="127"/>
      <c r="AJ73" s="58" t="str" cm="1">
        <f>IFERROR(IF(ISBLANK($A73),"",INDEX(Array_StationaryCharges,MATCH($A73,List_StationaryFuelMeters,0),ROUNDUP((COLUMN()+1)/3-2,0))),"")</f>
        <v/>
      </c>
      <c r="AK73" s="127"/>
      <c r="AL73" s="127"/>
      <c r="AM73" s="58" t="str" cm="1">
        <f>IFERROR(IF(ISBLANK($A73),"",INDEX(Array_StationaryCharges,MATCH($A73,List_StationaryFuelMeters,0),ROUNDUP((COLUMN()+1)/3-2,0))),"")</f>
        <v/>
      </c>
      <c r="AN73" s="127"/>
      <c r="AO73" s="127"/>
      <c r="AP73" s="58" t="str" cm="1">
        <f>IFERROR(IF(ISBLANK($A73),"",INDEX(Array_StationaryCharges,MATCH($A73,List_StationaryFuelMeters,0),ROUNDUP((COLUMN()+1)/3-2,0))),"")</f>
        <v/>
      </c>
      <c r="AQ73" s="127"/>
      <c r="AR73" s="127"/>
      <c r="AS73" s="58" t="str" cm="1">
        <f>IFERROR(IF(ISBLANK($A73),"",INDEX(Array_StationaryCharges,MATCH($A73,List_StationaryFuelMeters,0),ROUNDUP((COLUMN()+1)/3-2,0))),"")</f>
        <v/>
      </c>
      <c r="AT73" s="127"/>
      <c r="AU73" s="127"/>
      <c r="AV73" s="58" t="str" cm="1">
        <f>IFERROR(IF(ISBLANK($A73),"",INDEX(Array_StationaryCharges,MATCH($A73,List_StationaryFuelMeters,0),ROUNDUP((COLUMN()+1)/3-2,0))),"")</f>
        <v/>
      </c>
      <c r="AW73" s="127"/>
      <c r="AX73" s="127"/>
    </row>
    <row r="74" spans="1:50" x14ac:dyDescent="0.3">
      <c r="A74" s="126"/>
      <c r="B74" s="133"/>
      <c r="C74" s="127"/>
      <c r="D74" s="138"/>
      <c r="E74" s="138"/>
      <c r="F74" s="58" t="str" cm="1">
        <f>IFERROR(IF(ISBLANK($A74),"",INDEX(Array_StationaryCharges,MATCH($A74,List_StationaryFuelMeters,0),ROUNDUP((COLUMN()+1)/3-2,0))),"")</f>
        <v/>
      </c>
      <c r="G74" s="127"/>
      <c r="H74" s="127"/>
      <c r="I74" s="58" t="str" cm="1">
        <f>IFERROR(IF(ISBLANK($A74),"",INDEX(Array_StationaryCharges,MATCH($A74,List_StationaryFuelMeters,0),ROUNDUP((COLUMN()+1)/3-2,0))),"")</f>
        <v/>
      </c>
      <c r="J74" s="127"/>
      <c r="K74" s="127"/>
      <c r="L74" s="58" t="str" cm="1">
        <f>IFERROR(IF(ISBLANK($A74),"",INDEX(Array_StationaryCharges,MATCH($A74,List_StationaryFuelMeters,0),ROUNDUP((COLUMN()+1)/3-2,0))),"")</f>
        <v/>
      </c>
      <c r="M74" s="127"/>
      <c r="N74" s="127"/>
      <c r="O74" s="58" t="str" cm="1">
        <f>IFERROR(IF(ISBLANK($A74),"",INDEX(Array_StationaryCharges,MATCH($A74,List_StationaryFuelMeters,0),ROUNDUP((COLUMN()+1)/3-2,0))),"")</f>
        <v/>
      </c>
      <c r="P74" s="127"/>
      <c r="Q74" s="127"/>
      <c r="R74" s="58" t="str" cm="1">
        <f>IFERROR(IF(ISBLANK($A74),"",INDEX(Array_StationaryCharges,MATCH($A74,List_StationaryFuelMeters,0),ROUNDUP((COLUMN()+1)/3-2,0))),"")</f>
        <v/>
      </c>
      <c r="S74" s="127"/>
      <c r="T74" s="127"/>
      <c r="U74" s="58" t="str" cm="1">
        <f>IFERROR(IF(ISBLANK($A74),"",INDEX(Array_StationaryCharges,MATCH($A74,List_StationaryFuelMeters,0),ROUNDUP((COLUMN()+1)/3-2,0))),"")</f>
        <v/>
      </c>
      <c r="V74" s="127"/>
      <c r="W74" s="127"/>
      <c r="X74" s="58" t="str" cm="1">
        <f>IFERROR(IF(ISBLANK($A74),"",INDEX(Array_StationaryCharges,MATCH($A74,List_StationaryFuelMeters,0),ROUNDUP((COLUMN()+1)/3-2,0))),"")</f>
        <v/>
      </c>
      <c r="Y74" s="127"/>
      <c r="Z74" s="127"/>
      <c r="AA74" s="58" t="str" cm="1">
        <f>IFERROR(IF(ISBLANK($A74),"",INDEX(Array_StationaryCharges,MATCH($A74,List_StationaryFuelMeters,0),ROUNDUP((COLUMN()+1)/3-2,0))),"")</f>
        <v/>
      </c>
      <c r="AB74" s="127"/>
      <c r="AC74" s="127"/>
      <c r="AD74" s="58" t="str" cm="1">
        <f>IFERROR(IF(ISBLANK($A74),"",INDEX(Array_StationaryCharges,MATCH($A74,List_StationaryFuelMeters,0),ROUNDUP((COLUMN()+1)/3-2,0))),"")</f>
        <v/>
      </c>
      <c r="AE74" s="127"/>
      <c r="AF74" s="127"/>
      <c r="AG74" s="58" t="str" cm="1">
        <f>IFERROR(IF(ISBLANK($A74),"",INDEX(Array_StationaryCharges,MATCH($A74,List_StationaryFuelMeters,0),ROUNDUP((COLUMN()+1)/3-2,0))),"")</f>
        <v/>
      </c>
      <c r="AH74" s="127"/>
      <c r="AI74" s="127"/>
      <c r="AJ74" s="58" t="str" cm="1">
        <f>IFERROR(IF(ISBLANK($A74),"",INDEX(Array_StationaryCharges,MATCH($A74,List_StationaryFuelMeters,0),ROUNDUP((COLUMN()+1)/3-2,0))),"")</f>
        <v/>
      </c>
      <c r="AK74" s="127"/>
      <c r="AL74" s="127"/>
      <c r="AM74" s="58" t="str" cm="1">
        <f>IFERROR(IF(ISBLANK($A74),"",INDEX(Array_StationaryCharges,MATCH($A74,List_StationaryFuelMeters,0),ROUNDUP((COLUMN()+1)/3-2,0))),"")</f>
        <v/>
      </c>
      <c r="AN74" s="127"/>
      <c r="AO74" s="127"/>
      <c r="AP74" s="58" t="str" cm="1">
        <f>IFERROR(IF(ISBLANK($A74),"",INDEX(Array_StationaryCharges,MATCH($A74,List_StationaryFuelMeters,0),ROUNDUP((COLUMN()+1)/3-2,0))),"")</f>
        <v/>
      </c>
      <c r="AQ74" s="127"/>
      <c r="AR74" s="127"/>
      <c r="AS74" s="58" t="str" cm="1">
        <f>IFERROR(IF(ISBLANK($A74),"",INDEX(Array_StationaryCharges,MATCH($A74,List_StationaryFuelMeters,0),ROUNDUP((COLUMN()+1)/3-2,0))),"")</f>
        <v/>
      </c>
      <c r="AT74" s="127"/>
      <c r="AU74" s="127"/>
      <c r="AV74" s="58" t="str" cm="1">
        <f>IFERROR(IF(ISBLANK($A74),"",INDEX(Array_StationaryCharges,MATCH($A74,List_StationaryFuelMeters,0),ROUNDUP((COLUMN()+1)/3-2,0))),"")</f>
        <v/>
      </c>
      <c r="AW74" s="127"/>
      <c r="AX74" s="127"/>
    </row>
    <row r="75" spans="1:50" x14ac:dyDescent="0.3">
      <c r="A75" s="126"/>
      <c r="B75" s="133"/>
      <c r="C75" s="127"/>
      <c r="D75" s="138"/>
      <c r="E75" s="138"/>
      <c r="F75" s="58" t="str" cm="1">
        <f>IFERROR(IF(ISBLANK($A75),"",INDEX(Array_StationaryCharges,MATCH($A75,List_StationaryFuelMeters,0),ROUNDUP((COLUMN()+1)/3-2,0))),"")</f>
        <v/>
      </c>
      <c r="G75" s="127"/>
      <c r="H75" s="127"/>
      <c r="I75" s="58" t="str" cm="1">
        <f>IFERROR(IF(ISBLANK($A75),"",INDEX(Array_StationaryCharges,MATCH($A75,List_StationaryFuelMeters,0),ROUNDUP((COLUMN()+1)/3-2,0))),"")</f>
        <v/>
      </c>
      <c r="J75" s="127"/>
      <c r="K75" s="127"/>
      <c r="L75" s="58" t="str" cm="1">
        <f>IFERROR(IF(ISBLANK($A75),"",INDEX(Array_StationaryCharges,MATCH($A75,List_StationaryFuelMeters,0),ROUNDUP((COLUMN()+1)/3-2,0))),"")</f>
        <v/>
      </c>
      <c r="M75" s="127"/>
      <c r="N75" s="127"/>
      <c r="O75" s="58" t="str" cm="1">
        <f>IFERROR(IF(ISBLANK($A75),"",INDEX(Array_StationaryCharges,MATCH($A75,List_StationaryFuelMeters,0),ROUNDUP((COLUMN()+1)/3-2,0))),"")</f>
        <v/>
      </c>
      <c r="P75" s="127"/>
      <c r="Q75" s="127"/>
      <c r="R75" s="58" t="str" cm="1">
        <f>IFERROR(IF(ISBLANK($A75),"",INDEX(Array_StationaryCharges,MATCH($A75,List_StationaryFuelMeters,0),ROUNDUP((COLUMN()+1)/3-2,0))),"")</f>
        <v/>
      </c>
      <c r="S75" s="127"/>
      <c r="T75" s="127"/>
      <c r="U75" s="58" t="str" cm="1">
        <f>IFERROR(IF(ISBLANK($A75),"",INDEX(Array_StationaryCharges,MATCH($A75,List_StationaryFuelMeters,0),ROUNDUP((COLUMN()+1)/3-2,0))),"")</f>
        <v/>
      </c>
      <c r="V75" s="127"/>
      <c r="W75" s="127"/>
      <c r="X75" s="58" t="str" cm="1">
        <f>IFERROR(IF(ISBLANK($A75),"",INDEX(Array_StationaryCharges,MATCH($A75,List_StationaryFuelMeters,0),ROUNDUP((COLUMN()+1)/3-2,0))),"")</f>
        <v/>
      </c>
      <c r="Y75" s="127"/>
      <c r="Z75" s="127"/>
      <c r="AA75" s="58" t="str" cm="1">
        <f>IFERROR(IF(ISBLANK($A75),"",INDEX(Array_StationaryCharges,MATCH($A75,List_StationaryFuelMeters,0),ROUNDUP((COLUMN()+1)/3-2,0))),"")</f>
        <v/>
      </c>
      <c r="AB75" s="127"/>
      <c r="AC75" s="127"/>
      <c r="AD75" s="58" t="str" cm="1">
        <f>IFERROR(IF(ISBLANK($A75),"",INDEX(Array_StationaryCharges,MATCH($A75,List_StationaryFuelMeters,0),ROUNDUP((COLUMN()+1)/3-2,0))),"")</f>
        <v/>
      </c>
      <c r="AE75" s="127"/>
      <c r="AF75" s="127"/>
      <c r="AG75" s="58" t="str" cm="1">
        <f>IFERROR(IF(ISBLANK($A75),"",INDEX(Array_StationaryCharges,MATCH($A75,List_StationaryFuelMeters,0),ROUNDUP((COLUMN()+1)/3-2,0))),"")</f>
        <v/>
      </c>
      <c r="AH75" s="127"/>
      <c r="AI75" s="127"/>
      <c r="AJ75" s="58" t="str" cm="1">
        <f>IFERROR(IF(ISBLANK($A75),"",INDEX(Array_StationaryCharges,MATCH($A75,List_StationaryFuelMeters,0),ROUNDUP((COLUMN()+1)/3-2,0))),"")</f>
        <v/>
      </c>
      <c r="AK75" s="127"/>
      <c r="AL75" s="127"/>
      <c r="AM75" s="58" t="str" cm="1">
        <f>IFERROR(IF(ISBLANK($A75),"",INDEX(Array_StationaryCharges,MATCH($A75,List_StationaryFuelMeters,0),ROUNDUP((COLUMN()+1)/3-2,0))),"")</f>
        <v/>
      </c>
      <c r="AN75" s="127"/>
      <c r="AO75" s="127"/>
      <c r="AP75" s="58" t="str" cm="1">
        <f>IFERROR(IF(ISBLANK($A75),"",INDEX(Array_StationaryCharges,MATCH($A75,List_StationaryFuelMeters,0),ROUNDUP((COLUMN()+1)/3-2,0))),"")</f>
        <v/>
      </c>
      <c r="AQ75" s="127"/>
      <c r="AR75" s="127"/>
      <c r="AS75" s="58" t="str" cm="1">
        <f>IFERROR(IF(ISBLANK($A75),"",INDEX(Array_StationaryCharges,MATCH($A75,List_StationaryFuelMeters,0),ROUNDUP((COLUMN()+1)/3-2,0))),"")</f>
        <v/>
      </c>
      <c r="AT75" s="127"/>
      <c r="AU75" s="127"/>
      <c r="AV75" s="58" t="str" cm="1">
        <f>IFERROR(IF(ISBLANK($A75),"",INDEX(Array_StationaryCharges,MATCH($A75,List_StationaryFuelMeters,0),ROUNDUP((COLUMN()+1)/3-2,0))),"")</f>
        <v/>
      </c>
      <c r="AW75" s="127"/>
      <c r="AX75" s="127"/>
    </row>
    <row r="76" spans="1:50" x14ac:dyDescent="0.3">
      <c r="A76" s="126"/>
      <c r="B76" s="133"/>
      <c r="C76" s="127"/>
      <c r="D76" s="138"/>
      <c r="E76" s="138"/>
      <c r="F76" s="58" t="str" cm="1">
        <f>IFERROR(IF(ISBLANK($A76),"",INDEX(Array_StationaryCharges,MATCH($A76,List_StationaryFuelMeters,0),ROUNDUP((COLUMN()+1)/3-2,0))),"")</f>
        <v/>
      </c>
      <c r="G76" s="127"/>
      <c r="H76" s="127"/>
      <c r="I76" s="58" t="str" cm="1">
        <f>IFERROR(IF(ISBLANK($A76),"",INDEX(Array_StationaryCharges,MATCH($A76,List_StationaryFuelMeters,0),ROUNDUP((COLUMN()+1)/3-2,0))),"")</f>
        <v/>
      </c>
      <c r="J76" s="127"/>
      <c r="K76" s="127"/>
      <c r="L76" s="58" t="str" cm="1">
        <f>IFERROR(IF(ISBLANK($A76),"",INDEX(Array_StationaryCharges,MATCH($A76,List_StationaryFuelMeters,0),ROUNDUP((COLUMN()+1)/3-2,0))),"")</f>
        <v/>
      </c>
      <c r="M76" s="127"/>
      <c r="N76" s="127"/>
      <c r="O76" s="58" t="str" cm="1">
        <f>IFERROR(IF(ISBLANK($A76),"",INDEX(Array_StationaryCharges,MATCH($A76,List_StationaryFuelMeters,0),ROUNDUP((COLUMN()+1)/3-2,0))),"")</f>
        <v/>
      </c>
      <c r="P76" s="127"/>
      <c r="Q76" s="127"/>
      <c r="R76" s="58" t="str" cm="1">
        <f>IFERROR(IF(ISBLANK($A76),"",INDEX(Array_StationaryCharges,MATCH($A76,List_StationaryFuelMeters,0),ROUNDUP((COLUMN()+1)/3-2,0))),"")</f>
        <v/>
      </c>
      <c r="S76" s="127"/>
      <c r="T76" s="127"/>
      <c r="U76" s="58" t="str" cm="1">
        <f>IFERROR(IF(ISBLANK($A76),"",INDEX(Array_StationaryCharges,MATCH($A76,List_StationaryFuelMeters,0),ROUNDUP((COLUMN()+1)/3-2,0))),"")</f>
        <v/>
      </c>
      <c r="V76" s="127"/>
      <c r="W76" s="127"/>
      <c r="X76" s="58" t="str" cm="1">
        <f>IFERROR(IF(ISBLANK($A76),"",INDEX(Array_StationaryCharges,MATCH($A76,List_StationaryFuelMeters,0),ROUNDUP((COLUMN()+1)/3-2,0))),"")</f>
        <v/>
      </c>
      <c r="Y76" s="127"/>
      <c r="Z76" s="127"/>
      <c r="AA76" s="58" t="str" cm="1">
        <f>IFERROR(IF(ISBLANK($A76),"",INDEX(Array_StationaryCharges,MATCH($A76,List_StationaryFuelMeters,0),ROUNDUP((COLUMN()+1)/3-2,0))),"")</f>
        <v/>
      </c>
      <c r="AB76" s="127"/>
      <c r="AC76" s="127"/>
      <c r="AD76" s="58" t="str" cm="1">
        <f>IFERROR(IF(ISBLANK($A76),"",INDEX(Array_StationaryCharges,MATCH($A76,List_StationaryFuelMeters,0),ROUNDUP((COLUMN()+1)/3-2,0))),"")</f>
        <v/>
      </c>
      <c r="AE76" s="127"/>
      <c r="AF76" s="127"/>
      <c r="AG76" s="58" t="str" cm="1">
        <f>IFERROR(IF(ISBLANK($A76),"",INDEX(Array_StationaryCharges,MATCH($A76,List_StationaryFuelMeters,0),ROUNDUP((COLUMN()+1)/3-2,0))),"")</f>
        <v/>
      </c>
      <c r="AH76" s="127"/>
      <c r="AI76" s="127"/>
      <c r="AJ76" s="58" t="str" cm="1">
        <f>IFERROR(IF(ISBLANK($A76),"",INDEX(Array_StationaryCharges,MATCH($A76,List_StationaryFuelMeters,0),ROUNDUP((COLUMN()+1)/3-2,0))),"")</f>
        <v/>
      </c>
      <c r="AK76" s="127"/>
      <c r="AL76" s="127"/>
      <c r="AM76" s="58" t="str" cm="1">
        <f>IFERROR(IF(ISBLANK($A76),"",INDEX(Array_StationaryCharges,MATCH($A76,List_StationaryFuelMeters,0),ROUNDUP((COLUMN()+1)/3-2,0))),"")</f>
        <v/>
      </c>
      <c r="AN76" s="127"/>
      <c r="AO76" s="127"/>
      <c r="AP76" s="58" t="str" cm="1">
        <f>IFERROR(IF(ISBLANK($A76),"",INDEX(Array_StationaryCharges,MATCH($A76,List_StationaryFuelMeters,0),ROUNDUP((COLUMN()+1)/3-2,0))),"")</f>
        <v/>
      </c>
      <c r="AQ76" s="127"/>
      <c r="AR76" s="127"/>
      <c r="AS76" s="58" t="str" cm="1">
        <f>IFERROR(IF(ISBLANK($A76),"",INDEX(Array_StationaryCharges,MATCH($A76,List_StationaryFuelMeters,0),ROUNDUP((COLUMN()+1)/3-2,0))),"")</f>
        <v/>
      </c>
      <c r="AT76" s="127"/>
      <c r="AU76" s="127"/>
      <c r="AV76" s="58" t="str" cm="1">
        <f>IFERROR(IF(ISBLANK($A76),"",INDEX(Array_StationaryCharges,MATCH($A76,List_StationaryFuelMeters,0),ROUNDUP((COLUMN()+1)/3-2,0))),"")</f>
        <v/>
      </c>
      <c r="AW76" s="127"/>
      <c r="AX76" s="127"/>
    </row>
    <row r="77" spans="1:50" x14ac:dyDescent="0.3">
      <c r="A77" s="126"/>
      <c r="B77" s="133"/>
      <c r="C77" s="127"/>
      <c r="D77" s="138"/>
      <c r="E77" s="138"/>
      <c r="F77" s="58" t="str" cm="1">
        <f>IFERROR(IF(ISBLANK($A77),"",INDEX(Array_StationaryCharges,MATCH($A77,List_StationaryFuelMeters,0),ROUNDUP((COLUMN()+1)/3-2,0))),"")</f>
        <v/>
      </c>
      <c r="G77" s="127"/>
      <c r="H77" s="127"/>
      <c r="I77" s="58" t="str" cm="1">
        <f>IFERROR(IF(ISBLANK($A77),"",INDEX(Array_StationaryCharges,MATCH($A77,List_StationaryFuelMeters,0),ROUNDUP((COLUMN()+1)/3-2,0))),"")</f>
        <v/>
      </c>
      <c r="J77" s="127"/>
      <c r="K77" s="127"/>
      <c r="L77" s="58" t="str" cm="1">
        <f>IFERROR(IF(ISBLANK($A77),"",INDEX(Array_StationaryCharges,MATCH($A77,List_StationaryFuelMeters,0),ROUNDUP((COLUMN()+1)/3-2,0))),"")</f>
        <v/>
      </c>
      <c r="M77" s="127"/>
      <c r="N77" s="127"/>
      <c r="O77" s="58" t="str" cm="1">
        <f>IFERROR(IF(ISBLANK($A77),"",INDEX(Array_StationaryCharges,MATCH($A77,List_StationaryFuelMeters,0),ROUNDUP((COLUMN()+1)/3-2,0))),"")</f>
        <v/>
      </c>
      <c r="P77" s="127"/>
      <c r="Q77" s="127"/>
      <c r="R77" s="58" t="str" cm="1">
        <f>IFERROR(IF(ISBLANK($A77),"",INDEX(Array_StationaryCharges,MATCH($A77,List_StationaryFuelMeters,0),ROUNDUP((COLUMN()+1)/3-2,0))),"")</f>
        <v/>
      </c>
      <c r="S77" s="127"/>
      <c r="T77" s="127"/>
      <c r="U77" s="58" t="str" cm="1">
        <f>IFERROR(IF(ISBLANK($A77),"",INDEX(Array_StationaryCharges,MATCH($A77,List_StationaryFuelMeters,0),ROUNDUP((COLUMN()+1)/3-2,0))),"")</f>
        <v/>
      </c>
      <c r="V77" s="127"/>
      <c r="W77" s="127"/>
      <c r="X77" s="58" t="str" cm="1">
        <f>IFERROR(IF(ISBLANK($A77),"",INDEX(Array_StationaryCharges,MATCH($A77,List_StationaryFuelMeters,0),ROUNDUP((COLUMN()+1)/3-2,0))),"")</f>
        <v/>
      </c>
      <c r="Y77" s="127"/>
      <c r="Z77" s="127"/>
      <c r="AA77" s="58" t="str" cm="1">
        <f>IFERROR(IF(ISBLANK($A77),"",INDEX(Array_StationaryCharges,MATCH($A77,List_StationaryFuelMeters,0),ROUNDUP((COLUMN()+1)/3-2,0))),"")</f>
        <v/>
      </c>
      <c r="AB77" s="127"/>
      <c r="AC77" s="127"/>
      <c r="AD77" s="58" t="str" cm="1">
        <f>IFERROR(IF(ISBLANK($A77),"",INDEX(Array_StationaryCharges,MATCH($A77,List_StationaryFuelMeters,0),ROUNDUP((COLUMN()+1)/3-2,0))),"")</f>
        <v/>
      </c>
      <c r="AE77" s="127"/>
      <c r="AF77" s="127"/>
      <c r="AG77" s="58" t="str" cm="1">
        <f>IFERROR(IF(ISBLANK($A77),"",INDEX(Array_StationaryCharges,MATCH($A77,List_StationaryFuelMeters,0),ROUNDUP((COLUMN()+1)/3-2,0))),"")</f>
        <v/>
      </c>
      <c r="AH77" s="127"/>
      <c r="AI77" s="127"/>
      <c r="AJ77" s="58" t="str" cm="1">
        <f>IFERROR(IF(ISBLANK($A77),"",INDEX(Array_StationaryCharges,MATCH($A77,List_StationaryFuelMeters,0),ROUNDUP((COLUMN()+1)/3-2,0))),"")</f>
        <v/>
      </c>
      <c r="AK77" s="127"/>
      <c r="AL77" s="127"/>
      <c r="AM77" s="58" t="str" cm="1">
        <f>IFERROR(IF(ISBLANK($A77),"",INDEX(Array_StationaryCharges,MATCH($A77,List_StationaryFuelMeters,0),ROUNDUP((COLUMN()+1)/3-2,0))),"")</f>
        <v/>
      </c>
      <c r="AN77" s="127"/>
      <c r="AO77" s="127"/>
      <c r="AP77" s="58" t="str" cm="1">
        <f>IFERROR(IF(ISBLANK($A77),"",INDEX(Array_StationaryCharges,MATCH($A77,List_StationaryFuelMeters,0),ROUNDUP((COLUMN()+1)/3-2,0))),"")</f>
        <v/>
      </c>
      <c r="AQ77" s="127"/>
      <c r="AR77" s="127"/>
      <c r="AS77" s="58" t="str" cm="1">
        <f>IFERROR(IF(ISBLANK($A77),"",INDEX(Array_StationaryCharges,MATCH($A77,List_StationaryFuelMeters,0),ROUNDUP((COLUMN()+1)/3-2,0))),"")</f>
        <v/>
      </c>
      <c r="AT77" s="127"/>
      <c r="AU77" s="127"/>
      <c r="AV77" s="58" t="str" cm="1">
        <f>IFERROR(IF(ISBLANK($A77),"",INDEX(Array_StationaryCharges,MATCH($A77,List_StationaryFuelMeters,0),ROUNDUP((COLUMN()+1)/3-2,0))),"")</f>
        <v/>
      </c>
      <c r="AW77" s="127"/>
      <c r="AX77" s="127"/>
    </row>
    <row r="78" spans="1:50" x14ac:dyDescent="0.3">
      <c r="A78" s="126"/>
      <c r="B78" s="133"/>
      <c r="C78" s="127"/>
      <c r="D78" s="138"/>
      <c r="E78" s="138"/>
      <c r="F78" s="58" t="str" cm="1">
        <f>IFERROR(IF(ISBLANK($A78),"",INDEX(Array_StationaryCharges,MATCH($A78,List_StationaryFuelMeters,0),ROUNDUP((COLUMN()+1)/3-2,0))),"")</f>
        <v/>
      </c>
      <c r="G78" s="127"/>
      <c r="H78" s="127"/>
      <c r="I78" s="58" t="str" cm="1">
        <f>IFERROR(IF(ISBLANK($A78),"",INDEX(Array_StationaryCharges,MATCH($A78,List_StationaryFuelMeters,0),ROUNDUP((COLUMN()+1)/3-2,0))),"")</f>
        <v/>
      </c>
      <c r="J78" s="127"/>
      <c r="K78" s="127"/>
      <c r="L78" s="58" t="str" cm="1">
        <f>IFERROR(IF(ISBLANK($A78),"",INDEX(Array_StationaryCharges,MATCH($A78,List_StationaryFuelMeters,0),ROUNDUP((COLUMN()+1)/3-2,0))),"")</f>
        <v/>
      </c>
      <c r="M78" s="127"/>
      <c r="N78" s="127"/>
      <c r="O78" s="58" t="str" cm="1">
        <f>IFERROR(IF(ISBLANK($A78),"",INDEX(Array_StationaryCharges,MATCH($A78,List_StationaryFuelMeters,0),ROUNDUP((COLUMN()+1)/3-2,0))),"")</f>
        <v/>
      </c>
      <c r="P78" s="127"/>
      <c r="Q78" s="127"/>
      <c r="R78" s="58" t="str" cm="1">
        <f>IFERROR(IF(ISBLANK($A78),"",INDEX(Array_StationaryCharges,MATCH($A78,List_StationaryFuelMeters,0),ROUNDUP((COLUMN()+1)/3-2,0))),"")</f>
        <v/>
      </c>
      <c r="S78" s="127"/>
      <c r="T78" s="127"/>
      <c r="U78" s="58" t="str" cm="1">
        <f>IFERROR(IF(ISBLANK($A78),"",INDEX(Array_StationaryCharges,MATCH($A78,List_StationaryFuelMeters,0),ROUNDUP((COLUMN()+1)/3-2,0))),"")</f>
        <v/>
      </c>
      <c r="V78" s="127"/>
      <c r="W78" s="127"/>
      <c r="X78" s="58" t="str" cm="1">
        <f>IFERROR(IF(ISBLANK($A78),"",INDEX(Array_StationaryCharges,MATCH($A78,List_StationaryFuelMeters,0),ROUNDUP((COLUMN()+1)/3-2,0))),"")</f>
        <v/>
      </c>
      <c r="Y78" s="127"/>
      <c r="Z78" s="127"/>
      <c r="AA78" s="58" t="str" cm="1">
        <f>IFERROR(IF(ISBLANK($A78),"",INDEX(Array_StationaryCharges,MATCH($A78,List_StationaryFuelMeters,0),ROUNDUP((COLUMN()+1)/3-2,0))),"")</f>
        <v/>
      </c>
      <c r="AB78" s="127"/>
      <c r="AC78" s="127"/>
      <c r="AD78" s="58" t="str" cm="1">
        <f>IFERROR(IF(ISBLANK($A78),"",INDEX(Array_StationaryCharges,MATCH($A78,List_StationaryFuelMeters,0),ROUNDUP((COLUMN()+1)/3-2,0))),"")</f>
        <v/>
      </c>
      <c r="AE78" s="127"/>
      <c r="AF78" s="127"/>
      <c r="AG78" s="58" t="str" cm="1">
        <f>IFERROR(IF(ISBLANK($A78),"",INDEX(Array_StationaryCharges,MATCH($A78,List_StationaryFuelMeters,0),ROUNDUP((COLUMN()+1)/3-2,0))),"")</f>
        <v/>
      </c>
      <c r="AH78" s="127"/>
      <c r="AI78" s="127"/>
      <c r="AJ78" s="58" t="str" cm="1">
        <f>IFERROR(IF(ISBLANK($A78),"",INDEX(Array_StationaryCharges,MATCH($A78,List_StationaryFuelMeters,0),ROUNDUP((COLUMN()+1)/3-2,0))),"")</f>
        <v/>
      </c>
      <c r="AK78" s="127"/>
      <c r="AL78" s="127"/>
      <c r="AM78" s="58" t="str" cm="1">
        <f>IFERROR(IF(ISBLANK($A78),"",INDEX(Array_StationaryCharges,MATCH($A78,List_StationaryFuelMeters,0),ROUNDUP((COLUMN()+1)/3-2,0))),"")</f>
        <v/>
      </c>
      <c r="AN78" s="127"/>
      <c r="AO78" s="127"/>
      <c r="AP78" s="58" t="str" cm="1">
        <f>IFERROR(IF(ISBLANK($A78),"",INDEX(Array_StationaryCharges,MATCH($A78,List_StationaryFuelMeters,0),ROUNDUP((COLUMN()+1)/3-2,0))),"")</f>
        <v/>
      </c>
      <c r="AQ78" s="127"/>
      <c r="AR78" s="127"/>
      <c r="AS78" s="58" t="str" cm="1">
        <f>IFERROR(IF(ISBLANK($A78),"",INDEX(Array_StationaryCharges,MATCH($A78,List_StationaryFuelMeters,0),ROUNDUP((COLUMN()+1)/3-2,0))),"")</f>
        <v/>
      </c>
      <c r="AT78" s="127"/>
      <c r="AU78" s="127"/>
      <c r="AV78" s="58" t="str" cm="1">
        <f>IFERROR(IF(ISBLANK($A78),"",INDEX(Array_StationaryCharges,MATCH($A78,List_StationaryFuelMeters,0),ROUNDUP((COLUMN()+1)/3-2,0))),"")</f>
        <v/>
      </c>
      <c r="AW78" s="127"/>
      <c r="AX78" s="127"/>
    </row>
    <row r="79" spans="1:50" x14ac:dyDescent="0.3">
      <c r="A79" s="126"/>
      <c r="B79" s="133"/>
      <c r="C79" s="127"/>
      <c r="D79" s="138"/>
      <c r="E79" s="138"/>
      <c r="F79" s="58" t="str" cm="1">
        <f>IFERROR(IF(ISBLANK($A79),"",INDEX(Array_StationaryCharges,MATCH($A79,List_StationaryFuelMeters,0),ROUNDUP((COLUMN()+1)/3-2,0))),"")</f>
        <v/>
      </c>
      <c r="G79" s="127"/>
      <c r="H79" s="127"/>
      <c r="I79" s="58" t="str" cm="1">
        <f>IFERROR(IF(ISBLANK($A79),"",INDEX(Array_StationaryCharges,MATCH($A79,List_StationaryFuelMeters,0),ROUNDUP((COLUMN()+1)/3-2,0))),"")</f>
        <v/>
      </c>
      <c r="J79" s="127"/>
      <c r="K79" s="127"/>
      <c r="L79" s="58" t="str" cm="1">
        <f>IFERROR(IF(ISBLANK($A79),"",INDEX(Array_StationaryCharges,MATCH($A79,List_StationaryFuelMeters,0),ROUNDUP((COLUMN()+1)/3-2,0))),"")</f>
        <v/>
      </c>
      <c r="M79" s="127"/>
      <c r="N79" s="127"/>
      <c r="O79" s="58" t="str" cm="1">
        <f>IFERROR(IF(ISBLANK($A79),"",INDEX(Array_StationaryCharges,MATCH($A79,List_StationaryFuelMeters,0),ROUNDUP((COLUMN()+1)/3-2,0))),"")</f>
        <v/>
      </c>
      <c r="P79" s="127"/>
      <c r="Q79" s="127"/>
      <c r="R79" s="58" t="str" cm="1">
        <f>IFERROR(IF(ISBLANK($A79),"",INDEX(Array_StationaryCharges,MATCH($A79,List_StationaryFuelMeters,0),ROUNDUP((COLUMN()+1)/3-2,0))),"")</f>
        <v/>
      </c>
      <c r="S79" s="127"/>
      <c r="T79" s="127"/>
      <c r="U79" s="58" t="str" cm="1">
        <f>IFERROR(IF(ISBLANK($A79),"",INDEX(Array_StationaryCharges,MATCH($A79,List_StationaryFuelMeters,0),ROUNDUP((COLUMN()+1)/3-2,0))),"")</f>
        <v/>
      </c>
      <c r="V79" s="127"/>
      <c r="W79" s="127"/>
      <c r="X79" s="58" t="str" cm="1">
        <f>IFERROR(IF(ISBLANK($A79),"",INDEX(Array_StationaryCharges,MATCH($A79,List_StationaryFuelMeters,0),ROUNDUP((COLUMN()+1)/3-2,0))),"")</f>
        <v/>
      </c>
      <c r="Y79" s="127"/>
      <c r="Z79" s="127"/>
      <c r="AA79" s="58" t="str" cm="1">
        <f>IFERROR(IF(ISBLANK($A79),"",INDEX(Array_StationaryCharges,MATCH($A79,List_StationaryFuelMeters,0),ROUNDUP((COLUMN()+1)/3-2,0))),"")</f>
        <v/>
      </c>
      <c r="AB79" s="127"/>
      <c r="AC79" s="127"/>
      <c r="AD79" s="58" t="str" cm="1">
        <f>IFERROR(IF(ISBLANK($A79),"",INDEX(Array_StationaryCharges,MATCH($A79,List_StationaryFuelMeters,0),ROUNDUP((COLUMN()+1)/3-2,0))),"")</f>
        <v/>
      </c>
      <c r="AE79" s="127"/>
      <c r="AF79" s="127"/>
      <c r="AG79" s="58" t="str" cm="1">
        <f>IFERROR(IF(ISBLANK($A79),"",INDEX(Array_StationaryCharges,MATCH($A79,List_StationaryFuelMeters,0),ROUNDUP((COLUMN()+1)/3-2,0))),"")</f>
        <v/>
      </c>
      <c r="AH79" s="127"/>
      <c r="AI79" s="127"/>
      <c r="AJ79" s="58" t="str" cm="1">
        <f>IFERROR(IF(ISBLANK($A79),"",INDEX(Array_StationaryCharges,MATCH($A79,List_StationaryFuelMeters,0),ROUNDUP((COLUMN()+1)/3-2,0))),"")</f>
        <v/>
      </c>
      <c r="AK79" s="127"/>
      <c r="AL79" s="127"/>
      <c r="AM79" s="58" t="str" cm="1">
        <f>IFERROR(IF(ISBLANK($A79),"",INDEX(Array_StationaryCharges,MATCH($A79,List_StationaryFuelMeters,0),ROUNDUP((COLUMN()+1)/3-2,0))),"")</f>
        <v/>
      </c>
      <c r="AN79" s="127"/>
      <c r="AO79" s="127"/>
      <c r="AP79" s="58" t="str" cm="1">
        <f>IFERROR(IF(ISBLANK($A79),"",INDEX(Array_StationaryCharges,MATCH($A79,List_StationaryFuelMeters,0),ROUNDUP((COLUMN()+1)/3-2,0))),"")</f>
        <v/>
      </c>
      <c r="AQ79" s="127"/>
      <c r="AR79" s="127"/>
      <c r="AS79" s="58" t="str" cm="1">
        <f>IFERROR(IF(ISBLANK($A79),"",INDEX(Array_StationaryCharges,MATCH($A79,List_StationaryFuelMeters,0),ROUNDUP((COLUMN()+1)/3-2,0))),"")</f>
        <v/>
      </c>
      <c r="AT79" s="127"/>
      <c r="AU79" s="127"/>
      <c r="AV79" s="58" t="str" cm="1">
        <f>IFERROR(IF(ISBLANK($A79),"",INDEX(Array_StationaryCharges,MATCH($A79,List_StationaryFuelMeters,0),ROUNDUP((COLUMN()+1)/3-2,0))),"")</f>
        <v/>
      </c>
      <c r="AW79" s="127"/>
      <c r="AX79" s="127"/>
    </row>
    <row r="80" spans="1:50" x14ac:dyDescent="0.3">
      <c r="A80" s="126"/>
      <c r="B80" s="133"/>
      <c r="C80" s="127"/>
      <c r="D80" s="138"/>
      <c r="E80" s="138"/>
      <c r="F80" s="58" t="str" cm="1">
        <f>IFERROR(IF(ISBLANK($A80),"",INDEX(Array_StationaryCharges,MATCH($A80,List_StationaryFuelMeters,0),ROUNDUP((COLUMN()+1)/3-2,0))),"")</f>
        <v/>
      </c>
      <c r="G80" s="127"/>
      <c r="H80" s="127"/>
      <c r="I80" s="58" t="str" cm="1">
        <f>IFERROR(IF(ISBLANK($A80),"",INDEX(Array_StationaryCharges,MATCH($A80,List_StationaryFuelMeters,0),ROUNDUP((COLUMN()+1)/3-2,0))),"")</f>
        <v/>
      </c>
      <c r="J80" s="127"/>
      <c r="K80" s="127"/>
      <c r="L80" s="58" t="str" cm="1">
        <f>IFERROR(IF(ISBLANK($A80),"",INDEX(Array_StationaryCharges,MATCH($A80,List_StationaryFuelMeters,0),ROUNDUP((COLUMN()+1)/3-2,0))),"")</f>
        <v/>
      </c>
      <c r="M80" s="127"/>
      <c r="N80" s="127"/>
      <c r="O80" s="58" t="str" cm="1">
        <f>IFERROR(IF(ISBLANK($A80),"",INDEX(Array_StationaryCharges,MATCH($A80,List_StationaryFuelMeters,0),ROUNDUP((COLUMN()+1)/3-2,0))),"")</f>
        <v/>
      </c>
      <c r="P80" s="127"/>
      <c r="Q80" s="127"/>
      <c r="R80" s="58" t="str" cm="1">
        <f>IFERROR(IF(ISBLANK($A80),"",INDEX(Array_StationaryCharges,MATCH($A80,List_StationaryFuelMeters,0),ROUNDUP((COLUMN()+1)/3-2,0))),"")</f>
        <v/>
      </c>
      <c r="S80" s="127"/>
      <c r="T80" s="127"/>
      <c r="U80" s="58" t="str" cm="1">
        <f>IFERROR(IF(ISBLANK($A80),"",INDEX(Array_StationaryCharges,MATCH($A80,List_StationaryFuelMeters,0),ROUNDUP((COLUMN()+1)/3-2,0))),"")</f>
        <v/>
      </c>
      <c r="V80" s="127"/>
      <c r="W80" s="127"/>
      <c r="X80" s="58" t="str" cm="1">
        <f>IFERROR(IF(ISBLANK($A80),"",INDEX(Array_StationaryCharges,MATCH($A80,List_StationaryFuelMeters,0),ROUNDUP((COLUMN()+1)/3-2,0))),"")</f>
        <v/>
      </c>
      <c r="Y80" s="127"/>
      <c r="Z80" s="127"/>
      <c r="AA80" s="58" t="str" cm="1">
        <f>IFERROR(IF(ISBLANK($A80),"",INDEX(Array_StationaryCharges,MATCH($A80,List_StationaryFuelMeters,0),ROUNDUP((COLUMN()+1)/3-2,0))),"")</f>
        <v/>
      </c>
      <c r="AB80" s="127"/>
      <c r="AC80" s="127"/>
      <c r="AD80" s="58" t="str" cm="1">
        <f>IFERROR(IF(ISBLANK($A80),"",INDEX(Array_StationaryCharges,MATCH($A80,List_StationaryFuelMeters,0),ROUNDUP((COLUMN()+1)/3-2,0))),"")</f>
        <v/>
      </c>
      <c r="AE80" s="127"/>
      <c r="AF80" s="127"/>
      <c r="AG80" s="58" t="str" cm="1">
        <f>IFERROR(IF(ISBLANK($A80),"",INDEX(Array_StationaryCharges,MATCH($A80,List_StationaryFuelMeters,0),ROUNDUP((COLUMN()+1)/3-2,0))),"")</f>
        <v/>
      </c>
      <c r="AH80" s="127"/>
      <c r="AI80" s="127"/>
      <c r="AJ80" s="58" t="str" cm="1">
        <f>IFERROR(IF(ISBLANK($A80),"",INDEX(Array_StationaryCharges,MATCH($A80,List_StationaryFuelMeters,0),ROUNDUP((COLUMN()+1)/3-2,0))),"")</f>
        <v/>
      </c>
      <c r="AK80" s="127"/>
      <c r="AL80" s="127"/>
      <c r="AM80" s="58" t="str" cm="1">
        <f>IFERROR(IF(ISBLANK($A80),"",INDEX(Array_StationaryCharges,MATCH($A80,List_StationaryFuelMeters,0),ROUNDUP((COLUMN()+1)/3-2,0))),"")</f>
        <v/>
      </c>
      <c r="AN80" s="127"/>
      <c r="AO80" s="127"/>
      <c r="AP80" s="58" t="str" cm="1">
        <f>IFERROR(IF(ISBLANK($A80),"",INDEX(Array_StationaryCharges,MATCH($A80,List_StationaryFuelMeters,0),ROUNDUP((COLUMN()+1)/3-2,0))),"")</f>
        <v/>
      </c>
      <c r="AQ80" s="127"/>
      <c r="AR80" s="127"/>
      <c r="AS80" s="58" t="str" cm="1">
        <f>IFERROR(IF(ISBLANK($A80),"",INDEX(Array_StationaryCharges,MATCH($A80,List_StationaryFuelMeters,0),ROUNDUP((COLUMN()+1)/3-2,0))),"")</f>
        <v/>
      </c>
      <c r="AT80" s="127"/>
      <c r="AU80" s="127"/>
      <c r="AV80" s="58" t="str" cm="1">
        <f>IFERROR(IF(ISBLANK($A80),"",INDEX(Array_StationaryCharges,MATCH($A80,List_StationaryFuelMeters,0),ROUNDUP((COLUMN()+1)/3-2,0))),"")</f>
        <v/>
      </c>
      <c r="AW80" s="127"/>
      <c r="AX80" s="127"/>
    </row>
    <row r="81" spans="1:50" x14ac:dyDescent="0.3">
      <c r="A81" s="126"/>
      <c r="B81" s="133"/>
      <c r="C81" s="127"/>
      <c r="D81" s="138"/>
      <c r="E81" s="138"/>
      <c r="F81" s="58" t="str" cm="1">
        <f>IFERROR(IF(ISBLANK($A81),"",INDEX(Array_StationaryCharges,MATCH($A81,List_StationaryFuelMeters,0),ROUNDUP((COLUMN()+1)/3-2,0))),"")</f>
        <v/>
      </c>
      <c r="G81" s="127"/>
      <c r="H81" s="127"/>
      <c r="I81" s="58" t="str" cm="1">
        <f>IFERROR(IF(ISBLANK($A81),"",INDEX(Array_StationaryCharges,MATCH($A81,List_StationaryFuelMeters,0),ROUNDUP((COLUMN()+1)/3-2,0))),"")</f>
        <v/>
      </c>
      <c r="J81" s="127"/>
      <c r="K81" s="127"/>
      <c r="L81" s="58" t="str" cm="1">
        <f>IFERROR(IF(ISBLANK($A81),"",INDEX(Array_StationaryCharges,MATCH($A81,List_StationaryFuelMeters,0),ROUNDUP((COLUMN()+1)/3-2,0))),"")</f>
        <v/>
      </c>
      <c r="M81" s="127"/>
      <c r="N81" s="127"/>
      <c r="O81" s="58" t="str" cm="1">
        <f>IFERROR(IF(ISBLANK($A81),"",INDEX(Array_StationaryCharges,MATCH($A81,List_StationaryFuelMeters,0),ROUNDUP((COLUMN()+1)/3-2,0))),"")</f>
        <v/>
      </c>
      <c r="P81" s="127"/>
      <c r="Q81" s="127"/>
      <c r="R81" s="58" t="str" cm="1">
        <f>IFERROR(IF(ISBLANK($A81),"",INDEX(Array_StationaryCharges,MATCH($A81,List_StationaryFuelMeters,0),ROUNDUP((COLUMN()+1)/3-2,0))),"")</f>
        <v/>
      </c>
      <c r="S81" s="127"/>
      <c r="T81" s="127"/>
      <c r="U81" s="58" t="str" cm="1">
        <f>IFERROR(IF(ISBLANK($A81),"",INDEX(Array_StationaryCharges,MATCH($A81,List_StationaryFuelMeters,0),ROUNDUP((COLUMN()+1)/3-2,0))),"")</f>
        <v/>
      </c>
      <c r="V81" s="127"/>
      <c r="W81" s="127"/>
      <c r="X81" s="58" t="str" cm="1">
        <f>IFERROR(IF(ISBLANK($A81),"",INDEX(Array_StationaryCharges,MATCH($A81,List_StationaryFuelMeters,0),ROUNDUP((COLUMN()+1)/3-2,0))),"")</f>
        <v/>
      </c>
      <c r="Y81" s="127"/>
      <c r="Z81" s="127"/>
      <c r="AA81" s="58" t="str" cm="1">
        <f>IFERROR(IF(ISBLANK($A81),"",INDEX(Array_StationaryCharges,MATCH($A81,List_StationaryFuelMeters,0),ROUNDUP((COLUMN()+1)/3-2,0))),"")</f>
        <v/>
      </c>
      <c r="AB81" s="127"/>
      <c r="AC81" s="127"/>
      <c r="AD81" s="58" t="str" cm="1">
        <f>IFERROR(IF(ISBLANK($A81),"",INDEX(Array_StationaryCharges,MATCH($A81,List_StationaryFuelMeters,0),ROUNDUP((COLUMN()+1)/3-2,0))),"")</f>
        <v/>
      </c>
      <c r="AE81" s="127"/>
      <c r="AF81" s="127"/>
      <c r="AG81" s="58" t="str" cm="1">
        <f>IFERROR(IF(ISBLANK($A81),"",INDEX(Array_StationaryCharges,MATCH($A81,List_StationaryFuelMeters,0),ROUNDUP((COLUMN()+1)/3-2,0))),"")</f>
        <v/>
      </c>
      <c r="AH81" s="127"/>
      <c r="AI81" s="127"/>
      <c r="AJ81" s="58" t="str" cm="1">
        <f>IFERROR(IF(ISBLANK($A81),"",INDEX(Array_StationaryCharges,MATCH($A81,List_StationaryFuelMeters,0),ROUNDUP((COLUMN()+1)/3-2,0))),"")</f>
        <v/>
      </c>
      <c r="AK81" s="127"/>
      <c r="AL81" s="127"/>
      <c r="AM81" s="58" t="str" cm="1">
        <f>IFERROR(IF(ISBLANK($A81),"",INDEX(Array_StationaryCharges,MATCH($A81,List_StationaryFuelMeters,0),ROUNDUP((COLUMN()+1)/3-2,0))),"")</f>
        <v/>
      </c>
      <c r="AN81" s="127"/>
      <c r="AO81" s="127"/>
      <c r="AP81" s="58" t="str" cm="1">
        <f>IFERROR(IF(ISBLANK($A81),"",INDEX(Array_StationaryCharges,MATCH($A81,List_StationaryFuelMeters,0),ROUNDUP((COLUMN()+1)/3-2,0))),"")</f>
        <v/>
      </c>
      <c r="AQ81" s="127"/>
      <c r="AR81" s="127"/>
      <c r="AS81" s="58" t="str" cm="1">
        <f>IFERROR(IF(ISBLANK($A81),"",INDEX(Array_StationaryCharges,MATCH($A81,List_StationaryFuelMeters,0),ROUNDUP((COLUMN()+1)/3-2,0))),"")</f>
        <v/>
      </c>
      <c r="AT81" s="127"/>
      <c r="AU81" s="127"/>
      <c r="AV81" s="58" t="str" cm="1">
        <f>IFERROR(IF(ISBLANK($A81),"",INDEX(Array_StationaryCharges,MATCH($A81,List_StationaryFuelMeters,0),ROUNDUP((COLUMN()+1)/3-2,0))),"")</f>
        <v/>
      </c>
      <c r="AW81" s="127"/>
      <c r="AX81" s="127"/>
    </row>
    <row r="82" spans="1:50" x14ac:dyDescent="0.3">
      <c r="A82" s="126"/>
      <c r="B82" s="133"/>
      <c r="C82" s="127"/>
      <c r="D82" s="138"/>
      <c r="E82" s="138"/>
      <c r="F82" s="58" t="str" cm="1">
        <f>IFERROR(IF(ISBLANK($A82),"",INDEX(Array_StationaryCharges,MATCH($A82,List_StationaryFuelMeters,0),ROUNDUP((COLUMN()+1)/3-2,0))),"")</f>
        <v/>
      </c>
      <c r="G82" s="127"/>
      <c r="H82" s="127"/>
      <c r="I82" s="58" t="str" cm="1">
        <f>IFERROR(IF(ISBLANK($A82),"",INDEX(Array_StationaryCharges,MATCH($A82,List_StationaryFuelMeters,0),ROUNDUP((COLUMN()+1)/3-2,0))),"")</f>
        <v/>
      </c>
      <c r="J82" s="127"/>
      <c r="K82" s="127"/>
      <c r="L82" s="58" t="str" cm="1">
        <f>IFERROR(IF(ISBLANK($A82),"",INDEX(Array_StationaryCharges,MATCH($A82,List_StationaryFuelMeters,0),ROUNDUP((COLUMN()+1)/3-2,0))),"")</f>
        <v/>
      </c>
      <c r="M82" s="127"/>
      <c r="N82" s="127"/>
      <c r="O82" s="58" t="str" cm="1">
        <f>IFERROR(IF(ISBLANK($A82),"",INDEX(Array_StationaryCharges,MATCH($A82,List_StationaryFuelMeters,0),ROUNDUP((COLUMN()+1)/3-2,0))),"")</f>
        <v/>
      </c>
      <c r="P82" s="127"/>
      <c r="Q82" s="127"/>
      <c r="R82" s="58" t="str" cm="1">
        <f>IFERROR(IF(ISBLANK($A82),"",INDEX(Array_StationaryCharges,MATCH($A82,List_StationaryFuelMeters,0),ROUNDUP((COLUMN()+1)/3-2,0))),"")</f>
        <v/>
      </c>
      <c r="S82" s="127"/>
      <c r="T82" s="127"/>
      <c r="U82" s="58" t="str" cm="1">
        <f>IFERROR(IF(ISBLANK($A82),"",INDEX(Array_StationaryCharges,MATCH($A82,List_StationaryFuelMeters,0),ROUNDUP((COLUMN()+1)/3-2,0))),"")</f>
        <v/>
      </c>
      <c r="V82" s="127"/>
      <c r="W82" s="127"/>
      <c r="X82" s="58" t="str" cm="1">
        <f>IFERROR(IF(ISBLANK($A82),"",INDEX(Array_StationaryCharges,MATCH($A82,List_StationaryFuelMeters,0),ROUNDUP((COLUMN()+1)/3-2,0))),"")</f>
        <v/>
      </c>
      <c r="Y82" s="127"/>
      <c r="Z82" s="127"/>
      <c r="AA82" s="58" t="str" cm="1">
        <f>IFERROR(IF(ISBLANK($A82),"",INDEX(Array_StationaryCharges,MATCH($A82,List_StationaryFuelMeters,0),ROUNDUP((COLUMN()+1)/3-2,0))),"")</f>
        <v/>
      </c>
      <c r="AB82" s="127"/>
      <c r="AC82" s="127"/>
      <c r="AD82" s="58" t="str" cm="1">
        <f>IFERROR(IF(ISBLANK($A82),"",INDEX(Array_StationaryCharges,MATCH($A82,List_StationaryFuelMeters,0),ROUNDUP((COLUMN()+1)/3-2,0))),"")</f>
        <v/>
      </c>
      <c r="AE82" s="127"/>
      <c r="AF82" s="127"/>
      <c r="AG82" s="58" t="str" cm="1">
        <f>IFERROR(IF(ISBLANK($A82),"",INDEX(Array_StationaryCharges,MATCH($A82,List_StationaryFuelMeters,0),ROUNDUP((COLUMN()+1)/3-2,0))),"")</f>
        <v/>
      </c>
      <c r="AH82" s="127"/>
      <c r="AI82" s="127"/>
      <c r="AJ82" s="58" t="str" cm="1">
        <f>IFERROR(IF(ISBLANK($A82),"",INDEX(Array_StationaryCharges,MATCH($A82,List_StationaryFuelMeters,0),ROUNDUP((COLUMN()+1)/3-2,0))),"")</f>
        <v/>
      </c>
      <c r="AK82" s="127"/>
      <c r="AL82" s="127"/>
      <c r="AM82" s="58" t="str" cm="1">
        <f>IFERROR(IF(ISBLANK($A82),"",INDEX(Array_StationaryCharges,MATCH($A82,List_StationaryFuelMeters,0),ROUNDUP((COLUMN()+1)/3-2,0))),"")</f>
        <v/>
      </c>
      <c r="AN82" s="127"/>
      <c r="AO82" s="127"/>
      <c r="AP82" s="58" t="str" cm="1">
        <f>IFERROR(IF(ISBLANK($A82),"",INDEX(Array_StationaryCharges,MATCH($A82,List_StationaryFuelMeters,0),ROUNDUP((COLUMN()+1)/3-2,0))),"")</f>
        <v/>
      </c>
      <c r="AQ82" s="127"/>
      <c r="AR82" s="127"/>
      <c r="AS82" s="58" t="str" cm="1">
        <f>IFERROR(IF(ISBLANK($A82),"",INDEX(Array_StationaryCharges,MATCH($A82,List_StationaryFuelMeters,0),ROUNDUP((COLUMN()+1)/3-2,0))),"")</f>
        <v/>
      </c>
      <c r="AT82" s="127"/>
      <c r="AU82" s="127"/>
      <c r="AV82" s="58" t="str" cm="1">
        <f>IFERROR(IF(ISBLANK($A82),"",INDEX(Array_StationaryCharges,MATCH($A82,List_StationaryFuelMeters,0),ROUNDUP((COLUMN()+1)/3-2,0))),"")</f>
        <v/>
      </c>
      <c r="AW82" s="127"/>
      <c r="AX82" s="127"/>
    </row>
    <row r="83" spans="1:50" x14ac:dyDescent="0.3">
      <c r="A83" s="126"/>
      <c r="B83" s="133"/>
      <c r="C83" s="127"/>
      <c r="D83" s="138"/>
      <c r="E83" s="138"/>
      <c r="F83" s="58" t="str" cm="1">
        <f>IFERROR(IF(ISBLANK($A83),"",INDEX(Array_StationaryCharges,MATCH($A83,List_StationaryFuelMeters,0),ROUNDUP((COLUMN()+1)/3-2,0))),"")</f>
        <v/>
      </c>
      <c r="G83" s="127"/>
      <c r="H83" s="127"/>
      <c r="I83" s="58" t="str" cm="1">
        <f>IFERROR(IF(ISBLANK($A83),"",INDEX(Array_StationaryCharges,MATCH($A83,List_StationaryFuelMeters,0),ROUNDUP((COLUMN()+1)/3-2,0))),"")</f>
        <v/>
      </c>
      <c r="J83" s="127"/>
      <c r="K83" s="127"/>
      <c r="L83" s="58" t="str" cm="1">
        <f>IFERROR(IF(ISBLANK($A83),"",INDEX(Array_StationaryCharges,MATCH($A83,List_StationaryFuelMeters,0),ROUNDUP((COLUMN()+1)/3-2,0))),"")</f>
        <v/>
      </c>
      <c r="M83" s="127"/>
      <c r="N83" s="127"/>
      <c r="O83" s="58" t="str" cm="1">
        <f>IFERROR(IF(ISBLANK($A83),"",INDEX(Array_StationaryCharges,MATCH($A83,List_StationaryFuelMeters,0),ROUNDUP((COLUMN()+1)/3-2,0))),"")</f>
        <v/>
      </c>
      <c r="P83" s="127"/>
      <c r="Q83" s="127"/>
      <c r="R83" s="58" t="str" cm="1">
        <f>IFERROR(IF(ISBLANK($A83),"",INDEX(Array_StationaryCharges,MATCH($A83,List_StationaryFuelMeters,0),ROUNDUP((COLUMN()+1)/3-2,0))),"")</f>
        <v/>
      </c>
      <c r="S83" s="127"/>
      <c r="T83" s="127"/>
      <c r="U83" s="58" t="str" cm="1">
        <f>IFERROR(IF(ISBLANK($A83),"",INDEX(Array_StationaryCharges,MATCH($A83,List_StationaryFuelMeters,0),ROUNDUP((COLUMN()+1)/3-2,0))),"")</f>
        <v/>
      </c>
      <c r="V83" s="127"/>
      <c r="W83" s="127"/>
      <c r="X83" s="58" t="str" cm="1">
        <f>IFERROR(IF(ISBLANK($A83),"",INDEX(Array_StationaryCharges,MATCH($A83,List_StationaryFuelMeters,0),ROUNDUP((COLUMN()+1)/3-2,0))),"")</f>
        <v/>
      </c>
      <c r="Y83" s="127"/>
      <c r="Z83" s="127"/>
      <c r="AA83" s="58" t="str" cm="1">
        <f>IFERROR(IF(ISBLANK($A83),"",INDEX(Array_StationaryCharges,MATCH($A83,List_StationaryFuelMeters,0),ROUNDUP((COLUMN()+1)/3-2,0))),"")</f>
        <v/>
      </c>
      <c r="AB83" s="127"/>
      <c r="AC83" s="127"/>
      <c r="AD83" s="58" t="str" cm="1">
        <f>IFERROR(IF(ISBLANK($A83),"",INDEX(Array_StationaryCharges,MATCH($A83,List_StationaryFuelMeters,0),ROUNDUP((COLUMN()+1)/3-2,0))),"")</f>
        <v/>
      </c>
      <c r="AE83" s="127"/>
      <c r="AF83" s="127"/>
      <c r="AG83" s="58" t="str" cm="1">
        <f>IFERROR(IF(ISBLANK($A83),"",INDEX(Array_StationaryCharges,MATCH($A83,List_StationaryFuelMeters,0),ROUNDUP((COLUMN()+1)/3-2,0))),"")</f>
        <v/>
      </c>
      <c r="AH83" s="127"/>
      <c r="AI83" s="127"/>
      <c r="AJ83" s="58" t="str" cm="1">
        <f>IFERROR(IF(ISBLANK($A83),"",INDEX(Array_StationaryCharges,MATCH($A83,List_StationaryFuelMeters,0),ROUNDUP((COLUMN()+1)/3-2,0))),"")</f>
        <v/>
      </c>
      <c r="AK83" s="127"/>
      <c r="AL83" s="127"/>
      <c r="AM83" s="58" t="str" cm="1">
        <f>IFERROR(IF(ISBLANK($A83),"",INDEX(Array_StationaryCharges,MATCH($A83,List_StationaryFuelMeters,0),ROUNDUP((COLUMN()+1)/3-2,0))),"")</f>
        <v/>
      </c>
      <c r="AN83" s="127"/>
      <c r="AO83" s="127"/>
      <c r="AP83" s="58" t="str" cm="1">
        <f>IFERROR(IF(ISBLANK($A83),"",INDEX(Array_StationaryCharges,MATCH($A83,List_StationaryFuelMeters,0),ROUNDUP((COLUMN()+1)/3-2,0))),"")</f>
        <v/>
      </c>
      <c r="AQ83" s="127"/>
      <c r="AR83" s="127"/>
      <c r="AS83" s="58" t="str" cm="1">
        <f>IFERROR(IF(ISBLANK($A83),"",INDEX(Array_StationaryCharges,MATCH($A83,List_StationaryFuelMeters,0),ROUNDUP((COLUMN()+1)/3-2,0))),"")</f>
        <v/>
      </c>
      <c r="AT83" s="127"/>
      <c r="AU83" s="127"/>
      <c r="AV83" s="58" t="str" cm="1">
        <f>IFERROR(IF(ISBLANK($A83),"",INDEX(Array_StationaryCharges,MATCH($A83,List_StationaryFuelMeters,0),ROUNDUP((COLUMN()+1)/3-2,0))),"")</f>
        <v/>
      </c>
      <c r="AW83" s="127"/>
      <c r="AX83" s="127"/>
    </row>
    <row r="84" spans="1:50" x14ac:dyDescent="0.3">
      <c r="A84" s="126"/>
      <c r="B84" s="133"/>
      <c r="C84" s="127"/>
      <c r="D84" s="138"/>
      <c r="E84" s="138"/>
      <c r="F84" s="58" t="str" cm="1">
        <f>IFERROR(IF(ISBLANK($A84),"",INDEX(Array_StationaryCharges,MATCH($A84,List_StationaryFuelMeters,0),ROUNDUP((COLUMN()+1)/3-2,0))),"")</f>
        <v/>
      </c>
      <c r="G84" s="127"/>
      <c r="H84" s="127"/>
      <c r="I84" s="58" t="str" cm="1">
        <f>IFERROR(IF(ISBLANK($A84),"",INDEX(Array_StationaryCharges,MATCH($A84,List_StationaryFuelMeters,0),ROUNDUP((COLUMN()+1)/3-2,0))),"")</f>
        <v/>
      </c>
      <c r="J84" s="127"/>
      <c r="K84" s="127"/>
      <c r="L84" s="58" t="str" cm="1">
        <f>IFERROR(IF(ISBLANK($A84),"",INDEX(Array_StationaryCharges,MATCH($A84,List_StationaryFuelMeters,0),ROUNDUP((COLUMN()+1)/3-2,0))),"")</f>
        <v/>
      </c>
      <c r="M84" s="127"/>
      <c r="N84" s="127"/>
      <c r="O84" s="58" t="str" cm="1">
        <f>IFERROR(IF(ISBLANK($A84),"",INDEX(Array_StationaryCharges,MATCH($A84,List_StationaryFuelMeters,0),ROUNDUP((COLUMN()+1)/3-2,0))),"")</f>
        <v/>
      </c>
      <c r="P84" s="127"/>
      <c r="Q84" s="127"/>
      <c r="R84" s="58" t="str" cm="1">
        <f>IFERROR(IF(ISBLANK($A84),"",INDEX(Array_StationaryCharges,MATCH($A84,List_StationaryFuelMeters,0),ROUNDUP((COLUMN()+1)/3-2,0))),"")</f>
        <v/>
      </c>
      <c r="S84" s="127"/>
      <c r="T84" s="127"/>
      <c r="U84" s="58" t="str" cm="1">
        <f>IFERROR(IF(ISBLANK($A84),"",INDEX(Array_StationaryCharges,MATCH($A84,List_StationaryFuelMeters,0),ROUNDUP((COLUMN()+1)/3-2,0))),"")</f>
        <v/>
      </c>
      <c r="V84" s="127"/>
      <c r="W84" s="127"/>
      <c r="X84" s="58" t="str" cm="1">
        <f>IFERROR(IF(ISBLANK($A84),"",INDEX(Array_StationaryCharges,MATCH($A84,List_StationaryFuelMeters,0),ROUNDUP((COLUMN()+1)/3-2,0))),"")</f>
        <v/>
      </c>
      <c r="Y84" s="127"/>
      <c r="Z84" s="127"/>
      <c r="AA84" s="58" t="str" cm="1">
        <f>IFERROR(IF(ISBLANK($A84),"",INDEX(Array_StationaryCharges,MATCH($A84,List_StationaryFuelMeters,0),ROUNDUP((COLUMN()+1)/3-2,0))),"")</f>
        <v/>
      </c>
      <c r="AB84" s="127"/>
      <c r="AC84" s="127"/>
      <c r="AD84" s="58" t="str" cm="1">
        <f>IFERROR(IF(ISBLANK($A84),"",INDEX(Array_StationaryCharges,MATCH($A84,List_StationaryFuelMeters,0),ROUNDUP((COLUMN()+1)/3-2,0))),"")</f>
        <v/>
      </c>
      <c r="AE84" s="127"/>
      <c r="AF84" s="127"/>
      <c r="AG84" s="58" t="str" cm="1">
        <f>IFERROR(IF(ISBLANK($A84),"",INDEX(Array_StationaryCharges,MATCH($A84,List_StationaryFuelMeters,0),ROUNDUP((COLUMN()+1)/3-2,0))),"")</f>
        <v/>
      </c>
      <c r="AH84" s="127"/>
      <c r="AI84" s="127"/>
      <c r="AJ84" s="58" t="str" cm="1">
        <f>IFERROR(IF(ISBLANK($A84),"",INDEX(Array_StationaryCharges,MATCH($A84,List_StationaryFuelMeters,0),ROUNDUP((COLUMN()+1)/3-2,0))),"")</f>
        <v/>
      </c>
      <c r="AK84" s="127"/>
      <c r="AL84" s="127"/>
      <c r="AM84" s="58" t="str" cm="1">
        <f>IFERROR(IF(ISBLANK($A84),"",INDEX(Array_StationaryCharges,MATCH($A84,List_StationaryFuelMeters,0),ROUNDUP((COLUMN()+1)/3-2,0))),"")</f>
        <v/>
      </c>
      <c r="AN84" s="127"/>
      <c r="AO84" s="127"/>
      <c r="AP84" s="58" t="str" cm="1">
        <f>IFERROR(IF(ISBLANK($A84),"",INDEX(Array_StationaryCharges,MATCH($A84,List_StationaryFuelMeters,0),ROUNDUP((COLUMN()+1)/3-2,0))),"")</f>
        <v/>
      </c>
      <c r="AQ84" s="127"/>
      <c r="AR84" s="127"/>
      <c r="AS84" s="58" t="str" cm="1">
        <f>IFERROR(IF(ISBLANK($A84),"",INDEX(Array_StationaryCharges,MATCH($A84,List_StationaryFuelMeters,0),ROUNDUP((COLUMN()+1)/3-2,0))),"")</f>
        <v/>
      </c>
      <c r="AT84" s="127"/>
      <c r="AU84" s="127"/>
      <c r="AV84" s="58" t="str" cm="1">
        <f>IFERROR(IF(ISBLANK($A84),"",INDEX(Array_StationaryCharges,MATCH($A84,List_StationaryFuelMeters,0),ROUNDUP((COLUMN()+1)/3-2,0))),"")</f>
        <v/>
      </c>
      <c r="AW84" s="127"/>
      <c r="AX84" s="127"/>
    </row>
    <row r="85" spans="1:50" x14ac:dyDescent="0.3">
      <c r="A85" s="126"/>
      <c r="B85" s="133"/>
      <c r="C85" s="127"/>
      <c r="D85" s="138"/>
      <c r="E85" s="138"/>
      <c r="F85" s="58" t="str" cm="1">
        <f>IFERROR(IF(ISBLANK($A85),"",INDEX(Array_StationaryCharges,MATCH($A85,List_StationaryFuelMeters,0),ROUNDUP((COLUMN()+1)/3-2,0))),"")</f>
        <v/>
      </c>
      <c r="G85" s="127"/>
      <c r="H85" s="127"/>
      <c r="I85" s="58" t="str" cm="1">
        <f>IFERROR(IF(ISBLANK($A85),"",INDEX(Array_StationaryCharges,MATCH($A85,List_StationaryFuelMeters,0),ROUNDUP((COLUMN()+1)/3-2,0))),"")</f>
        <v/>
      </c>
      <c r="J85" s="127"/>
      <c r="K85" s="127"/>
      <c r="L85" s="58" t="str" cm="1">
        <f>IFERROR(IF(ISBLANK($A85),"",INDEX(Array_StationaryCharges,MATCH($A85,List_StationaryFuelMeters,0),ROUNDUP((COLUMN()+1)/3-2,0))),"")</f>
        <v/>
      </c>
      <c r="M85" s="127"/>
      <c r="N85" s="127"/>
      <c r="O85" s="58" t="str" cm="1">
        <f>IFERROR(IF(ISBLANK($A85),"",INDEX(Array_StationaryCharges,MATCH($A85,List_StationaryFuelMeters,0),ROUNDUP((COLUMN()+1)/3-2,0))),"")</f>
        <v/>
      </c>
      <c r="P85" s="127"/>
      <c r="Q85" s="127"/>
      <c r="R85" s="58" t="str" cm="1">
        <f>IFERROR(IF(ISBLANK($A85),"",INDEX(Array_StationaryCharges,MATCH($A85,List_StationaryFuelMeters,0),ROUNDUP((COLUMN()+1)/3-2,0))),"")</f>
        <v/>
      </c>
      <c r="S85" s="127"/>
      <c r="T85" s="127"/>
      <c r="U85" s="58" t="str" cm="1">
        <f>IFERROR(IF(ISBLANK($A85),"",INDEX(Array_StationaryCharges,MATCH($A85,List_StationaryFuelMeters,0),ROUNDUP((COLUMN()+1)/3-2,0))),"")</f>
        <v/>
      </c>
      <c r="V85" s="127"/>
      <c r="W85" s="127"/>
      <c r="X85" s="58" t="str" cm="1">
        <f>IFERROR(IF(ISBLANK($A85),"",INDEX(Array_StationaryCharges,MATCH($A85,List_StationaryFuelMeters,0),ROUNDUP((COLUMN()+1)/3-2,0))),"")</f>
        <v/>
      </c>
      <c r="Y85" s="127"/>
      <c r="Z85" s="127"/>
      <c r="AA85" s="58" t="str" cm="1">
        <f>IFERROR(IF(ISBLANK($A85),"",INDEX(Array_StationaryCharges,MATCH($A85,List_StationaryFuelMeters,0),ROUNDUP((COLUMN()+1)/3-2,0))),"")</f>
        <v/>
      </c>
      <c r="AB85" s="127"/>
      <c r="AC85" s="127"/>
      <c r="AD85" s="58" t="str" cm="1">
        <f>IFERROR(IF(ISBLANK($A85),"",INDEX(Array_StationaryCharges,MATCH($A85,List_StationaryFuelMeters,0),ROUNDUP((COLUMN()+1)/3-2,0))),"")</f>
        <v/>
      </c>
      <c r="AE85" s="127"/>
      <c r="AF85" s="127"/>
      <c r="AG85" s="58" t="str" cm="1">
        <f>IFERROR(IF(ISBLANK($A85),"",INDEX(Array_StationaryCharges,MATCH($A85,List_StationaryFuelMeters,0),ROUNDUP((COLUMN()+1)/3-2,0))),"")</f>
        <v/>
      </c>
      <c r="AH85" s="127"/>
      <c r="AI85" s="127"/>
      <c r="AJ85" s="58" t="str" cm="1">
        <f>IFERROR(IF(ISBLANK($A85),"",INDEX(Array_StationaryCharges,MATCH($A85,List_StationaryFuelMeters,0),ROUNDUP((COLUMN()+1)/3-2,0))),"")</f>
        <v/>
      </c>
      <c r="AK85" s="127"/>
      <c r="AL85" s="127"/>
      <c r="AM85" s="58" t="str" cm="1">
        <f>IFERROR(IF(ISBLANK($A85),"",INDEX(Array_StationaryCharges,MATCH($A85,List_StationaryFuelMeters,0),ROUNDUP((COLUMN()+1)/3-2,0))),"")</f>
        <v/>
      </c>
      <c r="AN85" s="127"/>
      <c r="AO85" s="127"/>
      <c r="AP85" s="58" t="str" cm="1">
        <f>IFERROR(IF(ISBLANK($A85),"",INDEX(Array_StationaryCharges,MATCH($A85,List_StationaryFuelMeters,0),ROUNDUP((COLUMN()+1)/3-2,0))),"")</f>
        <v/>
      </c>
      <c r="AQ85" s="127"/>
      <c r="AR85" s="127"/>
      <c r="AS85" s="58" t="str" cm="1">
        <f>IFERROR(IF(ISBLANK($A85),"",INDEX(Array_StationaryCharges,MATCH($A85,List_StationaryFuelMeters,0),ROUNDUP((COLUMN()+1)/3-2,0))),"")</f>
        <v/>
      </c>
      <c r="AT85" s="127"/>
      <c r="AU85" s="127"/>
      <c r="AV85" s="58" t="str" cm="1">
        <f>IFERROR(IF(ISBLANK($A85),"",INDEX(Array_StationaryCharges,MATCH($A85,List_StationaryFuelMeters,0),ROUNDUP((COLUMN()+1)/3-2,0))),"")</f>
        <v/>
      </c>
      <c r="AW85" s="127"/>
      <c r="AX85" s="127"/>
    </row>
    <row r="86" spans="1:50" x14ac:dyDescent="0.3">
      <c r="A86" s="126"/>
      <c r="B86" s="133"/>
      <c r="C86" s="127"/>
      <c r="D86" s="138"/>
      <c r="E86" s="138"/>
      <c r="F86" s="58" t="str" cm="1">
        <f>IFERROR(IF(ISBLANK($A86),"",INDEX(Array_StationaryCharges,MATCH($A86,List_StationaryFuelMeters,0),ROUNDUP((COLUMN()+1)/3-2,0))),"")</f>
        <v/>
      </c>
      <c r="G86" s="127"/>
      <c r="H86" s="127"/>
      <c r="I86" s="58" t="str" cm="1">
        <f>IFERROR(IF(ISBLANK($A86),"",INDEX(Array_StationaryCharges,MATCH($A86,List_StationaryFuelMeters,0),ROUNDUP((COLUMN()+1)/3-2,0))),"")</f>
        <v/>
      </c>
      <c r="J86" s="127"/>
      <c r="K86" s="127"/>
      <c r="L86" s="58" t="str" cm="1">
        <f>IFERROR(IF(ISBLANK($A86),"",INDEX(Array_StationaryCharges,MATCH($A86,List_StationaryFuelMeters,0),ROUNDUP((COLUMN()+1)/3-2,0))),"")</f>
        <v/>
      </c>
      <c r="M86" s="127"/>
      <c r="N86" s="127"/>
      <c r="O86" s="58" t="str" cm="1">
        <f>IFERROR(IF(ISBLANK($A86),"",INDEX(Array_StationaryCharges,MATCH($A86,List_StationaryFuelMeters,0),ROUNDUP((COLUMN()+1)/3-2,0))),"")</f>
        <v/>
      </c>
      <c r="P86" s="127"/>
      <c r="Q86" s="127"/>
      <c r="R86" s="58" t="str" cm="1">
        <f>IFERROR(IF(ISBLANK($A86),"",INDEX(Array_StationaryCharges,MATCH($A86,List_StationaryFuelMeters,0),ROUNDUP((COLUMN()+1)/3-2,0))),"")</f>
        <v/>
      </c>
      <c r="S86" s="127"/>
      <c r="T86" s="127"/>
      <c r="U86" s="58" t="str" cm="1">
        <f>IFERROR(IF(ISBLANK($A86),"",INDEX(Array_StationaryCharges,MATCH($A86,List_StationaryFuelMeters,0),ROUNDUP((COLUMN()+1)/3-2,0))),"")</f>
        <v/>
      </c>
      <c r="V86" s="127"/>
      <c r="W86" s="127"/>
      <c r="X86" s="58" t="str" cm="1">
        <f>IFERROR(IF(ISBLANK($A86),"",INDEX(Array_StationaryCharges,MATCH($A86,List_StationaryFuelMeters,0),ROUNDUP((COLUMN()+1)/3-2,0))),"")</f>
        <v/>
      </c>
      <c r="Y86" s="127"/>
      <c r="Z86" s="127"/>
      <c r="AA86" s="58" t="str" cm="1">
        <f>IFERROR(IF(ISBLANK($A86),"",INDEX(Array_StationaryCharges,MATCH($A86,List_StationaryFuelMeters,0),ROUNDUP((COLUMN()+1)/3-2,0))),"")</f>
        <v/>
      </c>
      <c r="AB86" s="127"/>
      <c r="AC86" s="127"/>
      <c r="AD86" s="58" t="str" cm="1">
        <f>IFERROR(IF(ISBLANK($A86),"",INDEX(Array_StationaryCharges,MATCH($A86,List_StationaryFuelMeters,0),ROUNDUP((COLUMN()+1)/3-2,0))),"")</f>
        <v/>
      </c>
      <c r="AE86" s="127"/>
      <c r="AF86" s="127"/>
      <c r="AG86" s="58" t="str" cm="1">
        <f>IFERROR(IF(ISBLANK($A86),"",INDEX(Array_StationaryCharges,MATCH($A86,List_StationaryFuelMeters,0),ROUNDUP((COLUMN()+1)/3-2,0))),"")</f>
        <v/>
      </c>
      <c r="AH86" s="127"/>
      <c r="AI86" s="127"/>
      <c r="AJ86" s="58" t="str" cm="1">
        <f>IFERROR(IF(ISBLANK($A86),"",INDEX(Array_StationaryCharges,MATCH($A86,List_StationaryFuelMeters,0),ROUNDUP((COLUMN()+1)/3-2,0))),"")</f>
        <v/>
      </c>
      <c r="AK86" s="127"/>
      <c r="AL86" s="127"/>
      <c r="AM86" s="58" t="str" cm="1">
        <f>IFERROR(IF(ISBLANK($A86),"",INDEX(Array_StationaryCharges,MATCH($A86,List_StationaryFuelMeters,0),ROUNDUP((COLUMN()+1)/3-2,0))),"")</f>
        <v/>
      </c>
      <c r="AN86" s="127"/>
      <c r="AO86" s="127"/>
      <c r="AP86" s="58" t="str" cm="1">
        <f>IFERROR(IF(ISBLANK($A86),"",INDEX(Array_StationaryCharges,MATCH($A86,List_StationaryFuelMeters,0),ROUNDUP((COLUMN()+1)/3-2,0))),"")</f>
        <v/>
      </c>
      <c r="AQ86" s="127"/>
      <c r="AR86" s="127"/>
      <c r="AS86" s="58" t="str" cm="1">
        <f>IFERROR(IF(ISBLANK($A86),"",INDEX(Array_StationaryCharges,MATCH($A86,List_StationaryFuelMeters,0),ROUNDUP((COLUMN()+1)/3-2,0))),"")</f>
        <v/>
      </c>
      <c r="AT86" s="127"/>
      <c r="AU86" s="127"/>
      <c r="AV86" s="58" t="str" cm="1">
        <f>IFERROR(IF(ISBLANK($A86),"",INDEX(Array_StationaryCharges,MATCH($A86,List_StationaryFuelMeters,0),ROUNDUP((COLUMN()+1)/3-2,0))),"")</f>
        <v/>
      </c>
      <c r="AW86" s="127"/>
      <c r="AX86" s="127"/>
    </row>
    <row r="87" spans="1:50" x14ac:dyDescent="0.3">
      <c r="A87" s="126"/>
      <c r="B87" s="133"/>
      <c r="C87" s="127"/>
      <c r="D87" s="138"/>
      <c r="E87" s="138"/>
      <c r="F87" s="58" t="str" cm="1">
        <f>IFERROR(IF(ISBLANK($A87),"",INDEX(Array_StationaryCharges,MATCH($A87,List_StationaryFuelMeters,0),ROUNDUP((COLUMN()+1)/3-2,0))),"")</f>
        <v/>
      </c>
      <c r="G87" s="127"/>
      <c r="H87" s="127"/>
      <c r="I87" s="58" t="str" cm="1">
        <f>IFERROR(IF(ISBLANK($A87),"",INDEX(Array_StationaryCharges,MATCH($A87,List_StationaryFuelMeters,0),ROUNDUP((COLUMN()+1)/3-2,0))),"")</f>
        <v/>
      </c>
      <c r="J87" s="127"/>
      <c r="K87" s="127"/>
      <c r="L87" s="58" t="str" cm="1">
        <f>IFERROR(IF(ISBLANK($A87),"",INDEX(Array_StationaryCharges,MATCH($A87,List_StationaryFuelMeters,0),ROUNDUP((COLUMN()+1)/3-2,0))),"")</f>
        <v/>
      </c>
      <c r="M87" s="127"/>
      <c r="N87" s="127"/>
      <c r="O87" s="58" t="str" cm="1">
        <f>IFERROR(IF(ISBLANK($A87),"",INDEX(Array_StationaryCharges,MATCH($A87,List_StationaryFuelMeters,0),ROUNDUP((COLUMN()+1)/3-2,0))),"")</f>
        <v/>
      </c>
      <c r="P87" s="127"/>
      <c r="Q87" s="127"/>
      <c r="R87" s="58" t="str" cm="1">
        <f>IFERROR(IF(ISBLANK($A87),"",INDEX(Array_StationaryCharges,MATCH($A87,List_StationaryFuelMeters,0),ROUNDUP((COLUMN()+1)/3-2,0))),"")</f>
        <v/>
      </c>
      <c r="S87" s="127"/>
      <c r="T87" s="127"/>
      <c r="U87" s="58" t="str" cm="1">
        <f>IFERROR(IF(ISBLANK($A87),"",INDEX(Array_StationaryCharges,MATCH($A87,List_StationaryFuelMeters,0),ROUNDUP((COLUMN()+1)/3-2,0))),"")</f>
        <v/>
      </c>
      <c r="V87" s="127"/>
      <c r="W87" s="127"/>
      <c r="X87" s="58" t="str" cm="1">
        <f>IFERROR(IF(ISBLANK($A87),"",INDEX(Array_StationaryCharges,MATCH($A87,List_StationaryFuelMeters,0),ROUNDUP((COLUMN()+1)/3-2,0))),"")</f>
        <v/>
      </c>
      <c r="Y87" s="127"/>
      <c r="Z87" s="127"/>
      <c r="AA87" s="58" t="str" cm="1">
        <f>IFERROR(IF(ISBLANK($A87),"",INDEX(Array_StationaryCharges,MATCH($A87,List_StationaryFuelMeters,0),ROUNDUP((COLUMN()+1)/3-2,0))),"")</f>
        <v/>
      </c>
      <c r="AB87" s="127"/>
      <c r="AC87" s="127"/>
      <c r="AD87" s="58" t="str" cm="1">
        <f>IFERROR(IF(ISBLANK($A87),"",INDEX(Array_StationaryCharges,MATCH($A87,List_StationaryFuelMeters,0),ROUNDUP((COLUMN()+1)/3-2,0))),"")</f>
        <v/>
      </c>
      <c r="AE87" s="127"/>
      <c r="AF87" s="127"/>
      <c r="AG87" s="58" t="str" cm="1">
        <f>IFERROR(IF(ISBLANK($A87),"",INDEX(Array_StationaryCharges,MATCH($A87,List_StationaryFuelMeters,0),ROUNDUP((COLUMN()+1)/3-2,0))),"")</f>
        <v/>
      </c>
      <c r="AH87" s="127"/>
      <c r="AI87" s="127"/>
      <c r="AJ87" s="58" t="str" cm="1">
        <f>IFERROR(IF(ISBLANK($A87),"",INDEX(Array_StationaryCharges,MATCH($A87,List_StationaryFuelMeters,0),ROUNDUP((COLUMN()+1)/3-2,0))),"")</f>
        <v/>
      </c>
      <c r="AK87" s="127"/>
      <c r="AL87" s="127"/>
      <c r="AM87" s="58" t="str" cm="1">
        <f>IFERROR(IF(ISBLANK($A87),"",INDEX(Array_StationaryCharges,MATCH($A87,List_StationaryFuelMeters,0),ROUNDUP((COLUMN()+1)/3-2,0))),"")</f>
        <v/>
      </c>
      <c r="AN87" s="127"/>
      <c r="AO87" s="127"/>
      <c r="AP87" s="58" t="str" cm="1">
        <f>IFERROR(IF(ISBLANK($A87),"",INDEX(Array_StationaryCharges,MATCH($A87,List_StationaryFuelMeters,0),ROUNDUP((COLUMN()+1)/3-2,0))),"")</f>
        <v/>
      </c>
      <c r="AQ87" s="127"/>
      <c r="AR87" s="127"/>
      <c r="AS87" s="58" t="str" cm="1">
        <f>IFERROR(IF(ISBLANK($A87),"",INDEX(Array_StationaryCharges,MATCH($A87,List_StationaryFuelMeters,0),ROUNDUP((COLUMN()+1)/3-2,0))),"")</f>
        <v/>
      </c>
      <c r="AT87" s="127"/>
      <c r="AU87" s="127"/>
      <c r="AV87" s="58" t="str" cm="1">
        <f>IFERROR(IF(ISBLANK($A87),"",INDEX(Array_StationaryCharges,MATCH($A87,List_StationaryFuelMeters,0),ROUNDUP((COLUMN()+1)/3-2,0))),"")</f>
        <v/>
      </c>
      <c r="AW87" s="127"/>
      <c r="AX87" s="127"/>
    </row>
    <row r="88" spans="1:50" x14ac:dyDescent="0.3">
      <c r="A88" s="126"/>
      <c r="B88" s="133"/>
      <c r="C88" s="127"/>
      <c r="D88" s="138"/>
      <c r="E88" s="138"/>
      <c r="F88" s="58" t="str" cm="1">
        <f>IFERROR(IF(ISBLANK($A88),"",INDEX(Array_StationaryCharges,MATCH($A88,List_StationaryFuelMeters,0),ROUNDUP((COLUMN()+1)/3-2,0))),"")</f>
        <v/>
      </c>
      <c r="G88" s="127"/>
      <c r="H88" s="127"/>
      <c r="I88" s="58" t="str" cm="1">
        <f>IFERROR(IF(ISBLANK($A88),"",INDEX(Array_StationaryCharges,MATCH($A88,List_StationaryFuelMeters,0),ROUNDUP((COLUMN()+1)/3-2,0))),"")</f>
        <v/>
      </c>
      <c r="J88" s="127"/>
      <c r="K88" s="127"/>
      <c r="L88" s="58" t="str" cm="1">
        <f>IFERROR(IF(ISBLANK($A88),"",INDEX(Array_StationaryCharges,MATCH($A88,List_StationaryFuelMeters,0),ROUNDUP((COLUMN()+1)/3-2,0))),"")</f>
        <v/>
      </c>
      <c r="M88" s="127"/>
      <c r="N88" s="127"/>
      <c r="O88" s="58" t="str" cm="1">
        <f>IFERROR(IF(ISBLANK($A88),"",INDEX(Array_StationaryCharges,MATCH($A88,List_StationaryFuelMeters,0),ROUNDUP((COLUMN()+1)/3-2,0))),"")</f>
        <v/>
      </c>
      <c r="P88" s="127"/>
      <c r="Q88" s="127"/>
      <c r="R88" s="58" t="str" cm="1">
        <f>IFERROR(IF(ISBLANK($A88),"",INDEX(Array_StationaryCharges,MATCH($A88,List_StationaryFuelMeters,0),ROUNDUP((COLUMN()+1)/3-2,0))),"")</f>
        <v/>
      </c>
      <c r="S88" s="127"/>
      <c r="T88" s="127"/>
      <c r="U88" s="58" t="str" cm="1">
        <f>IFERROR(IF(ISBLANK($A88),"",INDEX(Array_StationaryCharges,MATCH($A88,List_StationaryFuelMeters,0),ROUNDUP((COLUMN()+1)/3-2,0))),"")</f>
        <v/>
      </c>
      <c r="V88" s="127"/>
      <c r="W88" s="127"/>
      <c r="X88" s="58" t="str" cm="1">
        <f>IFERROR(IF(ISBLANK($A88),"",INDEX(Array_StationaryCharges,MATCH($A88,List_StationaryFuelMeters,0),ROUNDUP((COLUMN()+1)/3-2,0))),"")</f>
        <v/>
      </c>
      <c r="Y88" s="127"/>
      <c r="Z88" s="127"/>
      <c r="AA88" s="58" t="str" cm="1">
        <f>IFERROR(IF(ISBLANK($A88),"",INDEX(Array_StationaryCharges,MATCH($A88,List_StationaryFuelMeters,0),ROUNDUP((COLUMN()+1)/3-2,0))),"")</f>
        <v/>
      </c>
      <c r="AB88" s="127"/>
      <c r="AC88" s="127"/>
      <c r="AD88" s="58" t="str" cm="1">
        <f>IFERROR(IF(ISBLANK($A88),"",INDEX(Array_StationaryCharges,MATCH($A88,List_StationaryFuelMeters,0),ROUNDUP((COLUMN()+1)/3-2,0))),"")</f>
        <v/>
      </c>
      <c r="AE88" s="127"/>
      <c r="AF88" s="127"/>
      <c r="AG88" s="58" t="str" cm="1">
        <f>IFERROR(IF(ISBLANK($A88),"",INDEX(Array_StationaryCharges,MATCH($A88,List_StationaryFuelMeters,0),ROUNDUP((COLUMN()+1)/3-2,0))),"")</f>
        <v/>
      </c>
      <c r="AH88" s="127"/>
      <c r="AI88" s="127"/>
      <c r="AJ88" s="58" t="str" cm="1">
        <f>IFERROR(IF(ISBLANK($A88),"",INDEX(Array_StationaryCharges,MATCH($A88,List_StationaryFuelMeters,0),ROUNDUP((COLUMN()+1)/3-2,0))),"")</f>
        <v/>
      </c>
      <c r="AK88" s="127"/>
      <c r="AL88" s="127"/>
      <c r="AM88" s="58" t="str" cm="1">
        <f>IFERROR(IF(ISBLANK($A88),"",INDEX(Array_StationaryCharges,MATCH($A88,List_StationaryFuelMeters,0),ROUNDUP((COLUMN()+1)/3-2,0))),"")</f>
        <v/>
      </c>
      <c r="AN88" s="127"/>
      <c r="AO88" s="127"/>
      <c r="AP88" s="58" t="str" cm="1">
        <f>IFERROR(IF(ISBLANK($A88),"",INDEX(Array_StationaryCharges,MATCH($A88,List_StationaryFuelMeters,0),ROUNDUP((COLUMN()+1)/3-2,0))),"")</f>
        <v/>
      </c>
      <c r="AQ88" s="127"/>
      <c r="AR88" s="127"/>
      <c r="AS88" s="58" t="str" cm="1">
        <f>IFERROR(IF(ISBLANK($A88),"",INDEX(Array_StationaryCharges,MATCH($A88,List_StationaryFuelMeters,0),ROUNDUP((COLUMN()+1)/3-2,0))),"")</f>
        <v/>
      </c>
      <c r="AT88" s="127"/>
      <c r="AU88" s="127"/>
      <c r="AV88" s="58" t="str" cm="1">
        <f>IFERROR(IF(ISBLANK($A88),"",INDEX(Array_StationaryCharges,MATCH($A88,List_StationaryFuelMeters,0),ROUNDUP((COLUMN()+1)/3-2,0))),"")</f>
        <v/>
      </c>
      <c r="AW88" s="127"/>
      <c r="AX88" s="127"/>
    </row>
    <row r="89" spans="1:50" x14ac:dyDescent="0.3">
      <c r="A89" s="126"/>
      <c r="B89" s="133"/>
      <c r="C89" s="127"/>
      <c r="D89" s="138"/>
      <c r="E89" s="138"/>
      <c r="F89" s="58" t="str" cm="1">
        <f>IFERROR(IF(ISBLANK($A89),"",INDEX(Array_StationaryCharges,MATCH($A89,List_StationaryFuelMeters,0),ROUNDUP((COLUMN()+1)/3-2,0))),"")</f>
        <v/>
      </c>
      <c r="G89" s="127"/>
      <c r="H89" s="127"/>
      <c r="I89" s="58" t="str" cm="1">
        <f>IFERROR(IF(ISBLANK($A89),"",INDEX(Array_StationaryCharges,MATCH($A89,List_StationaryFuelMeters,0),ROUNDUP((COLUMN()+1)/3-2,0))),"")</f>
        <v/>
      </c>
      <c r="J89" s="127"/>
      <c r="K89" s="127"/>
      <c r="L89" s="58" t="str" cm="1">
        <f>IFERROR(IF(ISBLANK($A89),"",INDEX(Array_StationaryCharges,MATCH($A89,List_StationaryFuelMeters,0),ROUNDUP((COLUMN()+1)/3-2,0))),"")</f>
        <v/>
      </c>
      <c r="M89" s="127"/>
      <c r="N89" s="127"/>
      <c r="O89" s="58" t="str" cm="1">
        <f>IFERROR(IF(ISBLANK($A89),"",INDEX(Array_StationaryCharges,MATCH($A89,List_StationaryFuelMeters,0),ROUNDUP((COLUMN()+1)/3-2,0))),"")</f>
        <v/>
      </c>
      <c r="P89" s="127"/>
      <c r="Q89" s="127"/>
      <c r="R89" s="58" t="str" cm="1">
        <f>IFERROR(IF(ISBLANK($A89),"",INDEX(Array_StationaryCharges,MATCH($A89,List_StationaryFuelMeters,0),ROUNDUP((COLUMN()+1)/3-2,0))),"")</f>
        <v/>
      </c>
      <c r="S89" s="127"/>
      <c r="T89" s="127"/>
      <c r="U89" s="58" t="str" cm="1">
        <f>IFERROR(IF(ISBLANK($A89),"",INDEX(Array_StationaryCharges,MATCH($A89,List_StationaryFuelMeters,0),ROUNDUP((COLUMN()+1)/3-2,0))),"")</f>
        <v/>
      </c>
      <c r="V89" s="127"/>
      <c r="W89" s="127"/>
      <c r="X89" s="58" t="str" cm="1">
        <f>IFERROR(IF(ISBLANK($A89),"",INDEX(Array_StationaryCharges,MATCH($A89,List_StationaryFuelMeters,0),ROUNDUP((COLUMN()+1)/3-2,0))),"")</f>
        <v/>
      </c>
      <c r="Y89" s="127"/>
      <c r="Z89" s="127"/>
      <c r="AA89" s="58" t="str" cm="1">
        <f>IFERROR(IF(ISBLANK($A89),"",INDEX(Array_StationaryCharges,MATCH($A89,List_StationaryFuelMeters,0),ROUNDUP((COLUMN()+1)/3-2,0))),"")</f>
        <v/>
      </c>
      <c r="AB89" s="127"/>
      <c r="AC89" s="127"/>
      <c r="AD89" s="58" t="str" cm="1">
        <f>IFERROR(IF(ISBLANK($A89),"",INDEX(Array_StationaryCharges,MATCH($A89,List_StationaryFuelMeters,0),ROUNDUP((COLUMN()+1)/3-2,0))),"")</f>
        <v/>
      </c>
      <c r="AE89" s="127"/>
      <c r="AF89" s="127"/>
      <c r="AG89" s="58" t="str" cm="1">
        <f>IFERROR(IF(ISBLANK($A89),"",INDEX(Array_StationaryCharges,MATCH($A89,List_StationaryFuelMeters,0),ROUNDUP((COLUMN()+1)/3-2,0))),"")</f>
        <v/>
      </c>
      <c r="AH89" s="127"/>
      <c r="AI89" s="127"/>
      <c r="AJ89" s="58" t="str" cm="1">
        <f>IFERROR(IF(ISBLANK($A89),"",INDEX(Array_StationaryCharges,MATCH($A89,List_StationaryFuelMeters,0),ROUNDUP((COLUMN()+1)/3-2,0))),"")</f>
        <v/>
      </c>
      <c r="AK89" s="127"/>
      <c r="AL89" s="127"/>
      <c r="AM89" s="58" t="str" cm="1">
        <f>IFERROR(IF(ISBLANK($A89),"",INDEX(Array_StationaryCharges,MATCH($A89,List_StationaryFuelMeters,0),ROUNDUP((COLUMN()+1)/3-2,0))),"")</f>
        <v/>
      </c>
      <c r="AN89" s="127"/>
      <c r="AO89" s="127"/>
      <c r="AP89" s="58" t="str" cm="1">
        <f>IFERROR(IF(ISBLANK($A89),"",INDEX(Array_StationaryCharges,MATCH($A89,List_StationaryFuelMeters,0),ROUNDUP((COLUMN()+1)/3-2,0))),"")</f>
        <v/>
      </c>
      <c r="AQ89" s="127"/>
      <c r="AR89" s="127"/>
      <c r="AS89" s="58" t="str" cm="1">
        <f>IFERROR(IF(ISBLANK($A89),"",INDEX(Array_StationaryCharges,MATCH($A89,List_StationaryFuelMeters,0),ROUNDUP((COLUMN()+1)/3-2,0))),"")</f>
        <v/>
      </c>
      <c r="AT89" s="127"/>
      <c r="AU89" s="127"/>
      <c r="AV89" s="58" t="str" cm="1">
        <f>IFERROR(IF(ISBLANK($A89),"",INDEX(Array_StationaryCharges,MATCH($A89,List_StationaryFuelMeters,0),ROUNDUP((COLUMN()+1)/3-2,0))),"")</f>
        <v/>
      </c>
      <c r="AW89" s="127"/>
      <c r="AX89" s="127"/>
    </row>
    <row r="90" spans="1:50" x14ac:dyDescent="0.3">
      <c r="A90" s="126"/>
      <c r="B90" s="133"/>
      <c r="C90" s="127"/>
      <c r="D90" s="138"/>
      <c r="E90" s="138"/>
      <c r="F90" s="58" t="str" cm="1">
        <f>IFERROR(IF(ISBLANK($A90),"",INDEX(Array_StationaryCharges,MATCH($A90,List_StationaryFuelMeters,0),ROUNDUP((COLUMN()+1)/3-2,0))),"")</f>
        <v/>
      </c>
      <c r="G90" s="127"/>
      <c r="H90" s="127"/>
      <c r="I90" s="58" t="str" cm="1">
        <f>IFERROR(IF(ISBLANK($A90),"",INDEX(Array_StationaryCharges,MATCH($A90,List_StationaryFuelMeters,0),ROUNDUP((COLUMN()+1)/3-2,0))),"")</f>
        <v/>
      </c>
      <c r="J90" s="127"/>
      <c r="K90" s="127"/>
      <c r="L90" s="58" t="str" cm="1">
        <f>IFERROR(IF(ISBLANK($A90),"",INDEX(Array_StationaryCharges,MATCH($A90,List_StationaryFuelMeters,0),ROUNDUP((COLUMN()+1)/3-2,0))),"")</f>
        <v/>
      </c>
      <c r="M90" s="127"/>
      <c r="N90" s="127"/>
      <c r="O90" s="58" t="str" cm="1">
        <f>IFERROR(IF(ISBLANK($A90),"",INDEX(Array_StationaryCharges,MATCH($A90,List_StationaryFuelMeters,0),ROUNDUP((COLUMN()+1)/3-2,0))),"")</f>
        <v/>
      </c>
      <c r="P90" s="127"/>
      <c r="Q90" s="127"/>
      <c r="R90" s="58" t="str" cm="1">
        <f>IFERROR(IF(ISBLANK($A90),"",INDEX(Array_StationaryCharges,MATCH($A90,List_StationaryFuelMeters,0),ROUNDUP((COLUMN()+1)/3-2,0))),"")</f>
        <v/>
      </c>
      <c r="S90" s="127"/>
      <c r="T90" s="127"/>
      <c r="U90" s="58" t="str" cm="1">
        <f>IFERROR(IF(ISBLANK($A90),"",INDEX(Array_StationaryCharges,MATCH($A90,List_StationaryFuelMeters,0),ROUNDUP((COLUMN()+1)/3-2,0))),"")</f>
        <v/>
      </c>
      <c r="V90" s="127"/>
      <c r="W90" s="127"/>
      <c r="X90" s="58" t="str" cm="1">
        <f>IFERROR(IF(ISBLANK($A90),"",INDEX(Array_StationaryCharges,MATCH($A90,List_StationaryFuelMeters,0),ROUNDUP((COLUMN()+1)/3-2,0))),"")</f>
        <v/>
      </c>
      <c r="Y90" s="127"/>
      <c r="Z90" s="127"/>
      <c r="AA90" s="58" t="str" cm="1">
        <f>IFERROR(IF(ISBLANK($A90),"",INDEX(Array_StationaryCharges,MATCH($A90,List_StationaryFuelMeters,0),ROUNDUP((COLUMN()+1)/3-2,0))),"")</f>
        <v/>
      </c>
      <c r="AB90" s="127"/>
      <c r="AC90" s="127"/>
      <c r="AD90" s="58" t="str" cm="1">
        <f>IFERROR(IF(ISBLANK($A90),"",INDEX(Array_StationaryCharges,MATCH($A90,List_StationaryFuelMeters,0),ROUNDUP((COLUMN()+1)/3-2,0))),"")</f>
        <v/>
      </c>
      <c r="AE90" s="127"/>
      <c r="AF90" s="127"/>
      <c r="AG90" s="58" t="str" cm="1">
        <f>IFERROR(IF(ISBLANK($A90),"",INDEX(Array_StationaryCharges,MATCH($A90,List_StationaryFuelMeters,0),ROUNDUP((COLUMN()+1)/3-2,0))),"")</f>
        <v/>
      </c>
      <c r="AH90" s="127"/>
      <c r="AI90" s="127"/>
      <c r="AJ90" s="58" t="str" cm="1">
        <f>IFERROR(IF(ISBLANK($A90),"",INDEX(Array_StationaryCharges,MATCH($A90,List_StationaryFuelMeters,0),ROUNDUP((COLUMN()+1)/3-2,0))),"")</f>
        <v/>
      </c>
      <c r="AK90" s="127"/>
      <c r="AL90" s="127"/>
      <c r="AM90" s="58" t="str" cm="1">
        <f>IFERROR(IF(ISBLANK($A90),"",INDEX(Array_StationaryCharges,MATCH($A90,List_StationaryFuelMeters,0),ROUNDUP((COLUMN()+1)/3-2,0))),"")</f>
        <v/>
      </c>
      <c r="AN90" s="127"/>
      <c r="AO90" s="127"/>
      <c r="AP90" s="58" t="str" cm="1">
        <f>IFERROR(IF(ISBLANK($A90),"",INDEX(Array_StationaryCharges,MATCH($A90,List_StationaryFuelMeters,0),ROUNDUP((COLUMN()+1)/3-2,0))),"")</f>
        <v/>
      </c>
      <c r="AQ90" s="127"/>
      <c r="AR90" s="127"/>
      <c r="AS90" s="58" t="str" cm="1">
        <f>IFERROR(IF(ISBLANK($A90),"",INDEX(Array_StationaryCharges,MATCH($A90,List_StationaryFuelMeters,0),ROUNDUP((COLUMN()+1)/3-2,0))),"")</f>
        <v/>
      </c>
      <c r="AT90" s="127"/>
      <c r="AU90" s="127"/>
      <c r="AV90" s="58" t="str" cm="1">
        <f>IFERROR(IF(ISBLANK($A90),"",INDEX(Array_StationaryCharges,MATCH($A90,List_StationaryFuelMeters,0),ROUNDUP((COLUMN()+1)/3-2,0))),"")</f>
        <v/>
      </c>
      <c r="AW90" s="127"/>
      <c r="AX90" s="127"/>
    </row>
    <row r="91" spans="1:50" x14ac:dyDescent="0.3">
      <c r="A91" s="126"/>
      <c r="B91" s="133"/>
      <c r="C91" s="127"/>
      <c r="D91" s="138"/>
      <c r="E91" s="138"/>
      <c r="F91" s="58" t="str" cm="1">
        <f>IFERROR(IF(ISBLANK($A91),"",INDEX(Array_StationaryCharges,MATCH($A91,List_StationaryFuelMeters,0),ROUNDUP((COLUMN()+1)/3-2,0))),"")</f>
        <v/>
      </c>
      <c r="G91" s="127"/>
      <c r="H91" s="127"/>
      <c r="I91" s="58" t="str" cm="1">
        <f>IFERROR(IF(ISBLANK($A91),"",INDEX(Array_StationaryCharges,MATCH($A91,List_StationaryFuelMeters,0),ROUNDUP((COLUMN()+1)/3-2,0))),"")</f>
        <v/>
      </c>
      <c r="J91" s="127"/>
      <c r="K91" s="127"/>
      <c r="L91" s="58" t="str" cm="1">
        <f>IFERROR(IF(ISBLANK($A91),"",INDEX(Array_StationaryCharges,MATCH($A91,List_StationaryFuelMeters,0),ROUNDUP((COLUMN()+1)/3-2,0))),"")</f>
        <v/>
      </c>
      <c r="M91" s="127"/>
      <c r="N91" s="127"/>
      <c r="O91" s="58" t="str" cm="1">
        <f>IFERROR(IF(ISBLANK($A91),"",INDEX(Array_StationaryCharges,MATCH($A91,List_StationaryFuelMeters,0),ROUNDUP((COLUMN()+1)/3-2,0))),"")</f>
        <v/>
      </c>
      <c r="P91" s="127"/>
      <c r="Q91" s="127"/>
      <c r="R91" s="58" t="str" cm="1">
        <f>IFERROR(IF(ISBLANK($A91),"",INDEX(Array_StationaryCharges,MATCH($A91,List_StationaryFuelMeters,0),ROUNDUP((COLUMN()+1)/3-2,0))),"")</f>
        <v/>
      </c>
      <c r="S91" s="127"/>
      <c r="T91" s="127"/>
      <c r="U91" s="58" t="str" cm="1">
        <f>IFERROR(IF(ISBLANK($A91),"",INDEX(Array_StationaryCharges,MATCH($A91,List_StationaryFuelMeters,0),ROUNDUP((COLUMN()+1)/3-2,0))),"")</f>
        <v/>
      </c>
      <c r="V91" s="127"/>
      <c r="W91" s="127"/>
      <c r="X91" s="58" t="str" cm="1">
        <f>IFERROR(IF(ISBLANK($A91),"",INDEX(Array_StationaryCharges,MATCH($A91,List_StationaryFuelMeters,0),ROUNDUP((COLUMN()+1)/3-2,0))),"")</f>
        <v/>
      </c>
      <c r="Y91" s="127"/>
      <c r="Z91" s="127"/>
      <c r="AA91" s="58" t="str" cm="1">
        <f>IFERROR(IF(ISBLANK($A91),"",INDEX(Array_StationaryCharges,MATCH($A91,List_StationaryFuelMeters,0),ROUNDUP((COLUMN()+1)/3-2,0))),"")</f>
        <v/>
      </c>
      <c r="AB91" s="127"/>
      <c r="AC91" s="127"/>
      <c r="AD91" s="58" t="str" cm="1">
        <f>IFERROR(IF(ISBLANK($A91),"",INDEX(Array_StationaryCharges,MATCH($A91,List_StationaryFuelMeters,0),ROUNDUP((COLUMN()+1)/3-2,0))),"")</f>
        <v/>
      </c>
      <c r="AE91" s="127"/>
      <c r="AF91" s="127"/>
      <c r="AG91" s="58" t="str" cm="1">
        <f>IFERROR(IF(ISBLANK($A91),"",INDEX(Array_StationaryCharges,MATCH($A91,List_StationaryFuelMeters,0),ROUNDUP((COLUMN()+1)/3-2,0))),"")</f>
        <v/>
      </c>
      <c r="AH91" s="127"/>
      <c r="AI91" s="127"/>
      <c r="AJ91" s="58" t="str" cm="1">
        <f>IFERROR(IF(ISBLANK($A91),"",INDEX(Array_StationaryCharges,MATCH($A91,List_StationaryFuelMeters,0),ROUNDUP((COLUMN()+1)/3-2,0))),"")</f>
        <v/>
      </c>
      <c r="AK91" s="127"/>
      <c r="AL91" s="127"/>
      <c r="AM91" s="58" t="str" cm="1">
        <f>IFERROR(IF(ISBLANK($A91),"",INDEX(Array_StationaryCharges,MATCH($A91,List_StationaryFuelMeters,0),ROUNDUP((COLUMN()+1)/3-2,0))),"")</f>
        <v/>
      </c>
      <c r="AN91" s="127"/>
      <c r="AO91" s="127"/>
      <c r="AP91" s="58" t="str" cm="1">
        <f>IFERROR(IF(ISBLANK($A91),"",INDEX(Array_StationaryCharges,MATCH($A91,List_StationaryFuelMeters,0),ROUNDUP((COLUMN()+1)/3-2,0))),"")</f>
        <v/>
      </c>
      <c r="AQ91" s="127"/>
      <c r="AR91" s="127"/>
      <c r="AS91" s="58" t="str" cm="1">
        <f>IFERROR(IF(ISBLANK($A91),"",INDEX(Array_StationaryCharges,MATCH($A91,List_StationaryFuelMeters,0),ROUNDUP((COLUMN()+1)/3-2,0))),"")</f>
        <v/>
      </c>
      <c r="AT91" s="127"/>
      <c r="AU91" s="127"/>
      <c r="AV91" s="58" t="str" cm="1">
        <f>IFERROR(IF(ISBLANK($A91),"",INDEX(Array_StationaryCharges,MATCH($A91,List_StationaryFuelMeters,0),ROUNDUP((COLUMN()+1)/3-2,0))),"")</f>
        <v/>
      </c>
      <c r="AW91" s="127"/>
      <c r="AX91" s="127"/>
    </row>
    <row r="92" spans="1:50" x14ac:dyDescent="0.3">
      <c r="A92" s="126"/>
      <c r="B92" s="133"/>
      <c r="C92" s="127"/>
      <c r="D92" s="138"/>
      <c r="E92" s="138"/>
      <c r="F92" s="58" t="str" cm="1">
        <f>IFERROR(IF(ISBLANK($A92),"",INDEX(Array_StationaryCharges,MATCH($A92,List_StationaryFuelMeters,0),ROUNDUP((COLUMN()+1)/3-2,0))),"")</f>
        <v/>
      </c>
      <c r="G92" s="127"/>
      <c r="H92" s="127"/>
      <c r="I92" s="58" t="str" cm="1">
        <f>IFERROR(IF(ISBLANK($A92),"",INDEX(Array_StationaryCharges,MATCH($A92,List_StationaryFuelMeters,0),ROUNDUP((COLUMN()+1)/3-2,0))),"")</f>
        <v/>
      </c>
      <c r="J92" s="127"/>
      <c r="K92" s="127"/>
      <c r="L92" s="58" t="str" cm="1">
        <f>IFERROR(IF(ISBLANK($A92),"",INDEX(Array_StationaryCharges,MATCH($A92,List_StationaryFuelMeters,0),ROUNDUP((COLUMN()+1)/3-2,0))),"")</f>
        <v/>
      </c>
      <c r="M92" s="127"/>
      <c r="N92" s="127"/>
      <c r="O92" s="58" t="str" cm="1">
        <f>IFERROR(IF(ISBLANK($A92),"",INDEX(Array_StationaryCharges,MATCH($A92,List_StationaryFuelMeters,0),ROUNDUP((COLUMN()+1)/3-2,0))),"")</f>
        <v/>
      </c>
      <c r="P92" s="127"/>
      <c r="Q92" s="127"/>
      <c r="R92" s="58" t="str" cm="1">
        <f>IFERROR(IF(ISBLANK($A92),"",INDEX(Array_StationaryCharges,MATCH($A92,List_StationaryFuelMeters,0),ROUNDUP((COLUMN()+1)/3-2,0))),"")</f>
        <v/>
      </c>
      <c r="S92" s="127"/>
      <c r="T92" s="127"/>
      <c r="U92" s="58" t="str" cm="1">
        <f>IFERROR(IF(ISBLANK($A92),"",INDEX(Array_StationaryCharges,MATCH($A92,List_StationaryFuelMeters,0),ROUNDUP((COLUMN()+1)/3-2,0))),"")</f>
        <v/>
      </c>
      <c r="V92" s="127"/>
      <c r="W92" s="127"/>
      <c r="X92" s="58" t="str" cm="1">
        <f>IFERROR(IF(ISBLANK($A92),"",INDEX(Array_StationaryCharges,MATCH($A92,List_StationaryFuelMeters,0),ROUNDUP((COLUMN()+1)/3-2,0))),"")</f>
        <v/>
      </c>
      <c r="Y92" s="127"/>
      <c r="Z92" s="127"/>
      <c r="AA92" s="58" t="str" cm="1">
        <f>IFERROR(IF(ISBLANK($A92),"",INDEX(Array_StationaryCharges,MATCH($A92,List_StationaryFuelMeters,0),ROUNDUP((COLUMN()+1)/3-2,0))),"")</f>
        <v/>
      </c>
      <c r="AB92" s="127"/>
      <c r="AC92" s="127"/>
      <c r="AD92" s="58" t="str" cm="1">
        <f>IFERROR(IF(ISBLANK($A92),"",INDEX(Array_StationaryCharges,MATCH($A92,List_StationaryFuelMeters,0),ROUNDUP((COLUMN()+1)/3-2,0))),"")</f>
        <v/>
      </c>
      <c r="AE92" s="127"/>
      <c r="AF92" s="127"/>
      <c r="AG92" s="58" t="str" cm="1">
        <f>IFERROR(IF(ISBLANK($A92),"",INDEX(Array_StationaryCharges,MATCH($A92,List_StationaryFuelMeters,0),ROUNDUP((COLUMN()+1)/3-2,0))),"")</f>
        <v/>
      </c>
      <c r="AH92" s="127"/>
      <c r="AI92" s="127"/>
      <c r="AJ92" s="58" t="str" cm="1">
        <f>IFERROR(IF(ISBLANK($A92),"",INDEX(Array_StationaryCharges,MATCH($A92,List_StationaryFuelMeters,0),ROUNDUP((COLUMN()+1)/3-2,0))),"")</f>
        <v/>
      </c>
      <c r="AK92" s="127"/>
      <c r="AL92" s="127"/>
      <c r="AM92" s="58" t="str" cm="1">
        <f>IFERROR(IF(ISBLANK($A92),"",INDEX(Array_StationaryCharges,MATCH($A92,List_StationaryFuelMeters,0),ROUNDUP((COLUMN()+1)/3-2,0))),"")</f>
        <v/>
      </c>
      <c r="AN92" s="127"/>
      <c r="AO92" s="127"/>
      <c r="AP92" s="58" t="str" cm="1">
        <f>IFERROR(IF(ISBLANK($A92),"",INDEX(Array_StationaryCharges,MATCH($A92,List_StationaryFuelMeters,0),ROUNDUP((COLUMN()+1)/3-2,0))),"")</f>
        <v/>
      </c>
      <c r="AQ92" s="127"/>
      <c r="AR92" s="127"/>
      <c r="AS92" s="58" t="str" cm="1">
        <f>IFERROR(IF(ISBLANK($A92),"",INDEX(Array_StationaryCharges,MATCH($A92,List_StationaryFuelMeters,0),ROUNDUP((COLUMN()+1)/3-2,0))),"")</f>
        <v/>
      </c>
      <c r="AT92" s="127"/>
      <c r="AU92" s="127"/>
      <c r="AV92" s="58" t="str" cm="1">
        <f>IFERROR(IF(ISBLANK($A92),"",INDEX(Array_StationaryCharges,MATCH($A92,List_StationaryFuelMeters,0),ROUNDUP((COLUMN()+1)/3-2,0))),"")</f>
        <v/>
      </c>
      <c r="AW92" s="127"/>
      <c r="AX92" s="127"/>
    </row>
    <row r="93" spans="1:50" x14ac:dyDescent="0.3">
      <c r="A93" s="126"/>
      <c r="B93" s="133"/>
      <c r="C93" s="127"/>
      <c r="D93" s="138"/>
      <c r="E93" s="138"/>
      <c r="F93" s="58" t="str" cm="1">
        <f>IFERROR(IF(ISBLANK($A93),"",INDEX(Array_StationaryCharges,MATCH($A93,List_StationaryFuelMeters,0),ROUNDUP((COLUMN()+1)/3-2,0))),"")</f>
        <v/>
      </c>
      <c r="G93" s="127"/>
      <c r="H93" s="127"/>
      <c r="I93" s="58" t="str" cm="1">
        <f>IFERROR(IF(ISBLANK($A93),"",INDEX(Array_StationaryCharges,MATCH($A93,List_StationaryFuelMeters,0),ROUNDUP((COLUMN()+1)/3-2,0))),"")</f>
        <v/>
      </c>
      <c r="J93" s="127"/>
      <c r="K93" s="127"/>
      <c r="L93" s="58" t="str" cm="1">
        <f>IFERROR(IF(ISBLANK($A93),"",INDEX(Array_StationaryCharges,MATCH($A93,List_StationaryFuelMeters,0),ROUNDUP((COLUMN()+1)/3-2,0))),"")</f>
        <v/>
      </c>
      <c r="M93" s="127"/>
      <c r="N93" s="127"/>
      <c r="O93" s="58" t="str" cm="1">
        <f>IFERROR(IF(ISBLANK($A93),"",INDEX(Array_StationaryCharges,MATCH($A93,List_StationaryFuelMeters,0),ROUNDUP((COLUMN()+1)/3-2,0))),"")</f>
        <v/>
      </c>
      <c r="P93" s="127"/>
      <c r="Q93" s="127"/>
      <c r="R93" s="58" t="str" cm="1">
        <f>IFERROR(IF(ISBLANK($A93),"",INDEX(Array_StationaryCharges,MATCH($A93,List_StationaryFuelMeters,0),ROUNDUP((COLUMN()+1)/3-2,0))),"")</f>
        <v/>
      </c>
      <c r="S93" s="127"/>
      <c r="T93" s="127"/>
      <c r="U93" s="58" t="str" cm="1">
        <f>IFERROR(IF(ISBLANK($A93),"",INDEX(Array_StationaryCharges,MATCH($A93,List_StationaryFuelMeters,0),ROUNDUP((COLUMN()+1)/3-2,0))),"")</f>
        <v/>
      </c>
      <c r="V93" s="127"/>
      <c r="W93" s="127"/>
      <c r="X93" s="58" t="str" cm="1">
        <f>IFERROR(IF(ISBLANK($A93),"",INDEX(Array_StationaryCharges,MATCH($A93,List_StationaryFuelMeters,0),ROUNDUP((COLUMN()+1)/3-2,0))),"")</f>
        <v/>
      </c>
      <c r="Y93" s="127"/>
      <c r="Z93" s="127"/>
      <c r="AA93" s="58" t="str" cm="1">
        <f>IFERROR(IF(ISBLANK($A93),"",INDEX(Array_StationaryCharges,MATCH($A93,List_StationaryFuelMeters,0),ROUNDUP((COLUMN()+1)/3-2,0))),"")</f>
        <v/>
      </c>
      <c r="AB93" s="127"/>
      <c r="AC93" s="127"/>
      <c r="AD93" s="58" t="str" cm="1">
        <f>IFERROR(IF(ISBLANK($A93),"",INDEX(Array_StationaryCharges,MATCH($A93,List_StationaryFuelMeters,0),ROUNDUP((COLUMN()+1)/3-2,0))),"")</f>
        <v/>
      </c>
      <c r="AE93" s="127"/>
      <c r="AF93" s="127"/>
      <c r="AG93" s="58" t="str" cm="1">
        <f>IFERROR(IF(ISBLANK($A93),"",INDEX(Array_StationaryCharges,MATCH($A93,List_StationaryFuelMeters,0),ROUNDUP((COLUMN()+1)/3-2,0))),"")</f>
        <v/>
      </c>
      <c r="AH93" s="127"/>
      <c r="AI93" s="127"/>
      <c r="AJ93" s="58" t="str" cm="1">
        <f>IFERROR(IF(ISBLANK($A93),"",INDEX(Array_StationaryCharges,MATCH($A93,List_StationaryFuelMeters,0),ROUNDUP((COLUMN()+1)/3-2,0))),"")</f>
        <v/>
      </c>
      <c r="AK93" s="127"/>
      <c r="AL93" s="127"/>
      <c r="AM93" s="58" t="str" cm="1">
        <f>IFERROR(IF(ISBLANK($A93),"",INDEX(Array_StationaryCharges,MATCH($A93,List_StationaryFuelMeters,0),ROUNDUP((COLUMN()+1)/3-2,0))),"")</f>
        <v/>
      </c>
      <c r="AN93" s="127"/>
      <c r="AO93" s="127"/>
      <c r="AP93" s="58" t="str" cm="1">
        <f>IFERROR(IF(ISBLANK($A93),"",INDEX(Array_StationaryCharges,MATCH($A93,List_StationaryFuelMeters,0),ROUNDUP((COLUMN()+1)/3-2,0))),"")</f>
        <v/>
      </c>
      <c r="AQ93" s="127"/>
      <c r="AR93" s="127"/>
      <c r="AS93" s="58" t="str" cm="1">
        <f>IFERROR(IF(ISBLANK($A93),"",INDEX(Array_StationaryCharges,MATCH($A93,List_StationaryFuelMeters,0),ROUNDUP((COLUMN()+1)/3-2,0))),"")</f>
        <v/>
      </c>
      <c r="AT93" s="127"/>
      <c r="AU93" s="127"/>
      <c r="AV93" s="58" t="str" cm="1">
        <f>IFERROR(IF(ISBLANK($A93),"",INDEX(Array_StationaryCharges,MATCH($A93,List_StationaryFuelMeters,0),ROUNDUP((COLUMN()+1)/3-2,0))),"")</f>
        <v/>
      </c>
      <c r="AW93" s="127"/>
      <c r="AX93" s="127"/>
    </row>
    <row r="94" spans="1:50" x14ac:dyDescent="0.3">
      <c r="A94" s="126"/>
      <c r="B94" s="133"/>
      <c r="C94" s="127"/>
      <c r="D94" s="138"/>
      <c r="E94" s="138"/>
      <c r="F94" s="58" t="str" cm="1">
        <f>IFERROR(IF(ISBLANK($A94),"",INDEX(Array_StationaryCharges,MATCH($A94,List_StationaryFuelMeters,0),ROUNDUP((COLUMN()+1)/3-2,0))),"")</f>
        <v/>
      </c>
      <c r="G94" s="127"/>
      <c r="H94" s="127"/>
      <c r="I94" s="58" t="str" cm="1">
        <f>IFERROR(IF(ISBLANK($A94),"",INDEX(Array_StationaryCharges,MATCH($A94,List_StationaryFuelMeters,0),ROUNDUP((COLUMN()+1)/3-2,0))),"")</f>
        <v/>
      </c>
      <c r="J94" s="127"/>
      <c r="K94" s="127"/>
      <c r="L94" s="58" t="str" cm="1">
        <f>IFERROR(IF(ISBLANK($A94),"",INDEX(Array_StationaryCharges,MATCH($A94,List_StationaryFuelMeters,0),ROUNDUP((COLUMN()+1)/3-2,0))),"")</f>
        <v/>
      </c>
      <c r="M94" s="127"/>
      <c r="N94" s="127"/>
      <c r="O94" s="58" t="str" cm="1">
        <f>IFERROR(IF(ISBLANK($A94),"",INDEX(Array_StationaryCharges,MATCH($A94,List_StationaryFuelMeters,0),ROUNDUP((COLUMN()+1)/3-2,0))),"")</f>
        <v/>
      </c>
      <c r="P94" s="127"/>
      <c r="Q94" s="127"/>
      <c r="R94" s="58" t="str" cm="1">
        <f>IFERROR(IF(ISBLANK($A94),"",INDEX(Array_StationaryCharges,MATCH($A94,List_StationaryFuelMeters,0),ROUNDUP((COLUMN()+1)/3-2,0))),"")</f>
        <v/>
      </c>
      <c r="S94" s="127"/>
      <c r="T94" s="127"/>
      <c r="U94" s="58" t="str" cm="1">
        <f>IFERROR(IF(ISBLANK($A94),"",INDEX(Array_StationaryCharges,MATCH($A94,List_StationaryFuelMeters,0),ROUNDUP((COLUMN()+1)/3-2,0))),"")</f>
        <v/>
      </c>
      <c r="V94" s="127"/>
      <c r="W94" s="127"/>
      <c r="X94" s="58" t="str" cm="1">
        <f>IFERROR(IF(ISBLANK($A94),"",INDEX(Array_StationaryCharges,MATCH($A94,List_StationaryFuelMeters,0),ROUNDUP((COLUMN()+1)/3-2,0))),"")</f>
        <v/>
      </c>
      <c r="Y94" s="127"/>
      <c r="Z94" s="127"/>
      <c r="AA94" s="58" t="str" cm="1">
        <f>IFERROR(IF(ISBLANK($A94),"",INDEX(Array_StationaryCharges,MATCH($A94,List_StationaryFuelMeters,0),ROUNDUP((COLUMN()+1)/3-2,0))),"")</f>
        <v/>
      </c>
      <c r="AB94" s="127"/>
      <c r="AC94" s="127"/>
      <c r="AD94" s="58" t="str" cm="1">
        <f>IFERROR(IF(ISBLANK($A94),"",INDEX(Array_StationaryCharges,MATCH($A94,List_StationaryFuelMeters,0),ROUNDUP((COLUMN()+1)/3-2,0))),"")</f>
        <v/>
      </c>
      <c r="AE94" s="127"/>
      <c r="AF94" s="127"/>
      <c r="AG94" s="58" t="str" cm="1">
        <f>IFERROR(IF(ISBLANK($A94),"",INDEX(Array_StationaryCharges,MATCH($A94,List_StationaryFuelMeters,0),ROUNDUP((COLUMN()+1)/3-2,0))),"")</f>
        <v/>
      </c>
      <c r="AH94" s="127"/>
      <c r="AI94" s="127"/>
      <c r="AJ94" s="58" t="str" cm="1">
        <f>IFERROR(IF(ISBLANK($A94),"",INDEX(Array_StationaryCharges,MATCH($A94,List_StationaryFuelMeters,0),ROUNDUP((COLUMN()+1)/3-2,0))),"")</f>
        <v/>
      </c>
      <c r="AK94" s="127"/>
      <c r="AL94" s="127"/>
      <c r="AM94" s="58" t="str" cm="1">
        <f>IFERROR(IF(ISBLANK($A94),"",INDEX(Array_StationaryCharges,MATCH($A94,List_StationaryFuelMeters,0),ROUNDUP((COLUMN()+1)/3-2,0))),"")</f>
        <v/>
      </c>
      <c r="AN94" s="127"/>
      <c r="AO94" s="127"/>
      <c r="AP94" s="58" t="str" cm="1">
        <f>IFERROR(IF(ISBLANK($A94),"",INDEX(Array_StationaryCharges,MATCH($A94,List_StationaryFuelMeters,0),ROUNDUP((COLUMN()+1)/3-2,0))),"")</f>
        <v/>
      </c>
      <c r="AQ94" s="127"/>
      <c r="AR94" s="127"/>
      <c r="AS94" s="58" t="str" cm="1">
        <f>IFERROR(IF(ISBLANK($A94),"",INDEX(Array_StationaryCharges,MATCH($A94,List_StationaryFuelMeters,0),ROUNDUP((COLUMN()+1)/3-2,0))),"")</f>
        <v/>
      </c>
      <c r="AT94" s="127"/>
      <c r="AU94" s="127"/>
      <c r="AV94" s="58" t="str" cm="1">
        <f>IFERROR(IF(ISBLANK($A94),"",INDEX(Array_StationaryCharges,MATCH($A94,List_StationaryFuelMeters,0),ROUNDUP((COLUMN()+1)/3-2,0))),"")</f>
        <v/>
      </c>
      <c r="AW94" s="127"/>
      <c r="AX94" s="127"/>
    </row>
    <row r="95" spans="1:50" x14ac:dyDescent="0.3">
      <c r="A95" s="126"/>
      <c r="B95" s="133"/>
      <c r="C95" s="127"/>
      <c r="D95" s="138"/>
      <c r="E95" s="138"/>
      <c r="F95" s="58" t="str" cm="1">
        <f>IFERROR(IF(ISBLANK($A95),"",INDEX(Array_StationaryCharges,MATCH($A95,List_StationaryFuelMeters,0),ROUNDUP((COLUMN()+1)/3-2,0))),"")</f>
        <v/>
      </c>
      <c r="G95" s="127"/>
      <c r="H95" s="127"/>
      <c r="I95" s="58" t="str" cm="1">
        <f>IFERROR(IF(ISBLANK($A95),"",INDEX(Array_StationaryCharges,MATCH($A95,List_StationaryFuelMeters,0),ROUNDUP((COLUMN()+1)/3-2,0))),"")</f>
        <v/>
      </c>
      <c r="J95" s="127"/>
      <c r="K95" s="127"/>
      <c r="L95" s="58" t="str" cm="1">
        <f>IFERROR(IF(ISBLANK($A95),"",INDEX(Array_StationaryCharges,MATCH($A95,List_StationaryFuelMeters,0),ROUNDUP((COLUMN()+1)/3-2,0))),"")</f>
        <v/>
      </c>
      <c r="M95" s="127"/>
      <c r="N95" s="127"/>
      <c r="O95" s="58" t="str" cm="1">
        <f>IFERROR(IF(ISBLANK($A95),"",INDEX(Array_StationaryCharges,MATCH($A95,List_StationaryFuelMeters,0),ROUNDUP((COLUMN()+1)/3-2,0))),"")</f>
        <v/>
      </c>
      <c r="P95" s="127"/>
      <c r="Q95" s="127"/>
      <c r="R95" s="58" t="str" cm="1">
        <f>IFERROR(IF(ISBLANK($A95),"",INDEX(Array_StationaryCharges,MATCH($A95,List_StationaryFuelMeters,0),ROUNDUP((COLUMN()+1)/3-2,0))),"")</f>
        <v/>
      </c>
      <c r="S95" s="127"/>
      <c r="T95" s="127"/>
      <c r="U95" s="58" t="str" cm="1">
        <f>IFERROR(IF(ISBLANK($A95),"",INDEX(Array_StationaryCharges,MATCH($A95,List_StationaryFuelMeters,0),ROUNDUP((COLUMN()+1)/3-2,0))),"")</f>
        <v/>
      </c>
      <c r="V95" s="127"/>
      <c r="W95" s="127"/>
      <c r="X95" s="58" t="str" cm="1">
        <f>IFERROR(IF(ISBLANK($A95),"",INDEX(Array_StationaryCharges,MATCH($A95,List_StationaryFuelMeters,0),ROUNDUP((COLUMN()+1)/3-2,0))),"")</f>
        <v/>
      </c>
      <c r="Y95" s="127"/>
      <c r="Z95" s="127"/>
      <c r="AA95" s="58" t="str" cm="1">
        <f>IFERROR(IF(ISBLANK($A95),"",INDEX(Array_StationaryCharges,MATCH($A95,List_StationaryFuelMeters,0),ROUNDUP((COLUMN()+1)/3-2,0))),"")</f>
        <v/>
      </c>
      <c r="AB95" s="127"/>
      <c r="AC95" s="127"/>
      <c r="AD95" s="58" t="str" cm="1">
        <f>IFERROR(IF(ISBLANK($A95),"",INDEX(Array_StationaryCharges,MATCH($A95,List_StationaryFuelMeters,0),ROUNDUP((COLUMN()+1)/3-2,0))),"")</f>
        <v/>
      </c>
      <c r="AE95" s="127"/>
      <c r="AF95" s="127"/>
      <c r="AG95" s="58" t="str" cm="1">
        <f>IFERROR(IF(ISBLANK($A95),"",INDEX(Array_StationaryCharges,MATCH($A95,List_StationaryFuelMeters,0),ROUNDUP((COLUMN()+1)/3-2,0))),"")</f>
        <v/>
      </c>
      <c r="AH95" s="127"/>
      <c r="AI95" s="127"/>
      <c r="AJ95" s="58" t="str" cm="1">
        <f>IFERROR(IF(ISBLANK($A95),"",INDEX(Array_StationaryCharges,MATCH($A95,List_StationaryFuelMeters,0),ROUNDUP((COLUMN()+1)/3-2,0))),"")</f>
        <v/>
      </c>
      <c r="AK95" s="127"/>
      <c r="AL95" s="127"/>
      <c r="AM95" s="58" t="str" cm="1">
        <f>IFERROR(IF(ISBLANK($A95),"",INDEX(Array_StationaryCharges,MATCH($A95,List_StationaryFuelMeters,0),ROUNDUP((COLUMN()+1)/3-2,0))),"")</f>
        <v/>
      </c>
      <c r="AN95" s="127"/>
      <c r="AO95" s="127"/>
      <c r="AP95" s="58" t="str" cm="1">
        <f>IFERROR(IF(ISBLANK($A95),"",INDEX(Array_StationaryCharges,MATCH($A95,List_StationaryFuelMeters,0),ROUNDUP((COLUMN()+1)/3-2,0))),"")</f>
        <v/>
      </c>
      <c r="AQ95" s="127"/>
      <c r="AR95" s="127"/>
      <c r="AS95" s="58" t="str" cm="1">
        <f>IFERROR(IF(ISBLANK($A95),"",INDEX(Array_StationaryCharges,MATCH($A95,List_StationaryFuelMeters,0),ROUNDUP((COLUMN()+1)/3-2,0))),"")</f>
        <v/>
      </c>
      <c r="AT95" s="127"/>
      <c r="AU95" s="127"/>
      <c r="AV95" s="58" t="str" cm="1">
        <f>IFERROR(IF(ISBLANK($A95),"",INDEX(Array_StationaryCharges,MATCH($A95,List_StationaryFuelMeters,0),ROUNDUP((COLUMN()+1)/3-2,0))),"")</f>
        <v/>
      </c>
      <c r="AW95" s="127"/>
      <c r="AX95" s="127"/>
    </row>
    <row r="96" spans="1:50" x14ac:dyDescent="0.3">
      <c r="A96" s="126"/>
      <c r="B96" s="133"/>
      <c r="C96" s="127"/>
      <c r="D96" s="138"/>
      <c r="E96" s="138"/>
      <c r="F96" s="58" t="str" cm="1">
        <f>IFERROR(IF(ISBLANK($A96),"",INDEX(Array_StationaryCharges,MATCH($A96,List_StationaryFuelMeters,0),ROUNDUP((COLUMN()+1)/3-2,0))),"")</f>
        <v/>
      </c>
      <c r="G96" s="127"/>
      <c r="H96" s="127"/>
      <c r="I96" s="58" t="str" cm="1">
        <f>IFERROR(IF(ISBLANK($A96),"",INDEX(Array_StationaryCharges,MATCH($A96,List_StationaryFuelMeters,0),ROUNDUP((COLUMN()+1)/3-2,0))),"")</f>
        <v/>
      </c>
      <c r="J96" s="127"/>
      <c r="K96" s="127"/>
      <c r="L96" s="58" t="str" cm="1">
        <f>IFERROR(IF(ISBLANK($A96),"",INDEX(Array_StationaryCharges,MATCH($A96,List_StationaryFuelMeters,0),ROUNDUP((COLUMN()+1)/3-2,0))),"")</f>
        <v/>
      </c>
      <c r="M96" s="127"/>
      <c r="N96" s="127"/>
      <c r="O96" s="58" t="str" cm="1">
        <f>IFERROR(IF(ISBLANK($A96),"",INDEX(Array_StationaryCharges,MATCH($A96,List_StationaryFuelMeters,0),ROUNDUP((COLUMN()+1)/3-2,0))),"")</f>
        <v/>
      </c>
      <c r="P96" s="127"/>
      <c r="Q96" s="127"/>
      <c r="R96" s="58" t="str" cm="1">
        <f>IFERROR(IF(ISBLANK($A96),"",INDEX(Array_StationaryCharges,MATCH($A96,List_StationaryFuelMeters,0),ROUNDUP((COLUMN()+1)/3-2,0))),"")</f>
        <v/>
      </c>
      <c r="S96" s="127"/>
      <c r="T96" s="127"/>
      <c r="U96" s="58" t="str" cm="1">
        <f>IFERROR(IF(ISBLANK($A96),"",INDEX(Array_StationaryCharges,MATCH($A96,List_StationaryFuelMeters,0),ROUNDUP((COLUMN()+1)/3-2,0))),"")</f>
        <v/>
      </c>
      <c r="V96" s="127"/>
      <c r="W96" s="127"/>
      <c r="X96" s="58" t="str" cm="1">
        <f>IFERROR(IF(ISBLANK($A96),"",INDEX(Array_StationaryCharges,MATCH($A96,List_StationaryFuelMeters,0),ROUNDUP((COLUMN()+1)/3-2,0))),"")</f>
        <v/>
      </c>
      <c r="Y96" s="127"/>
      <c r="Z96" s="127"/>
      <c r="AA96" s="58" t="str" cm="1">
        <f>IFERROR(IF(ISBLANK($A96),"",INDEX(Array_StationaryCharges,MATCH($A96,List_StationaryFuelMeters,0),ROUNDUP((COLUMN()+1)/3-2,0))),"")</f>
        <v/>
      </c>
      <c r="AB96" s="127"/>
      <c r="AC96" s="127"/>
      <c r="AD96" s="58" t="str" cm="1">
        <f>IFERROR(IF(ISBLANK($A96),"",INDEX(Array_StationaryCharges,MATCH($A96,List_StationaryFuelMeters,0),ROUNDUP((COLUMN()+1)/3-2,0))),"")</f>
        <v/>
      </c>
      <c r="AE96" s="127"/>
      <c r="AF96" s="127"/>
      <c r="AG96" s="58" t="str" cm="1">
        <f>IFERROR(IF(ISBLANK($A96),"",INDEX(Array_StationaryCharges,MATCH($A96,List_StationaryFuelMeters,0),ROUNDUP((COLUMN()+1)/3-2,0))),"")</f>
        <v/>
      </c>
      <c r="AH96" s="127"/>
      <c r="AI96" s="127"/>
      <c r="AJ96" s="58" t="str" cm="1">
        <f>IFERROR(IF(ISBLANK($A96),"",INDEX(Array_StationaryCharges,MATCH($A96,List_StationaryFuelMeters,0),ROUNDUP((COLUMN()+1)/3-2,0))),"")</f>
        <v/>
      </c>
      <c r="AK96" s="127"/>
      <c r="AL96" s="127"/>
      <c r="AM96" s="58" t="str" cm="1">
        <f>IFERROR(IF(ISBLANK($A96),"",INDEX(Array_StationaryCharges,MATCH($A96,List_StationaryFuelMeters,0),ROUNDUP((COLUMN()+1)/3-2,0))),"")</f>
        <v/>
      </c>
      <c r="AN96" s="127"/>
      <c r="AO96" s="127"/>
      <c r="AP96" s="58" t="str" cm="1">
        <f>IFERROR(IF(ISBLANK($A96),"",INDEX(Array_StationaryCharges,MATCH($A96,List_StationaryFuelMeters,0),ROUNDUP((COLUMN()+1)/3-2,0))),"")</f>
        <v/>
      </c>
      <c r="AQ96" s="127"/>
      <c r="AR96" s="127"/>
      <c r="AS96" s="58" t="str" cm="1">
        <f>IFERROR(IF(ISBLANK($A96),"",INDEX(Array_StationaryCharges,MATCH($A96,List_StationaryFuelMeters,0),ROUNDUP((COLUMN()+1)/3-2,0))),"")</f>
        <v/>
      </c>
      <c r="AT96" s="127"/>
      <c r="AU96" s="127"/>
      <c r="AV96" s="58" t="str" cm="1">
        <f>IFERROR(IF(ISBLANK($A96),"",INDEX(Array_StationaryCharges,MATCH($A96,List_StationaryFuelMeters,0),ROUNDUP((COLUMN()+1)/3-2,0))),"")</f>
        <v/>
      </c>
      <c r="AW96" s="127"/>
      <c r="AX96" s="127"/>
    </row>
    <row r="97" spans="1:50" x14ac:dyDescent="0.3">
      <c r="A97" s="126"/>
      <c r="B97" s="133"/>
      <c r="C97" s="127"/>
      <c r="D97" s="138"/>
      <c r="E97" s="138"/>
      <c r="F97" s="58" t="str" cm="1">
        <f>IFERROR(IF(ISBLANK($A97),"",INDEX(Array_StationaryCharges,MATCH($A97,List_StationaryFuelMeters,0),ROUNDUP((COLUMN()+1)/3-2,0))),"")</f>
        <v/>
      </c>
      <c r="G97" s="127"/>
      <c r="H97" s="127"/>
      <c r="I97" s="58" t="str" cm="1">
        <f>IFERROR(IF(ISBLANK($A97),"",INDEX(Array_StationaryCharges,MATCH($A97,List_StationaryFuelMeters,0),ROUNDUP((COLUMN()+1)/3-2,0))),"")</f>
        <v/>
      </c>
      <c r="J97" s="127"/>
      <c r="K97" s="127"/>
      <c r="L97" s="58" t="str" cm="1">
        <f>IFERROR(IF(ISBLANK($A97),"",INDEX(Array_StationaryCharges,MATCH($A97,List_StationaryFuelMeters,0),ROUNDUP((COLUMN()+1)/3-2,0))),"")</f>
        <v/>
      </c>
      <c r="M97" s="127"/>
      <c r="N97" s="127"/>
      <c r="O97" s="58" t="str" cm="1">
        <f>IFERROR(IF(ISBLANK($A97),"",INDEX(Array_StationaryCharges,MATCH($A97,List_StationaryFuelMeters,0),ROUNDUP((COLUMN()+1)/3-2,0))),"")</f>
        <v/>
      </c>
      <c r="P97" s="127"/>
      <c r="Q97" s="127"/>
      <c r="R97" s="58" t="str" cm="1">
        <f>IFERROR(IF(ISBLANK($A97),"",INDEX(Array_StationaryCharges,MATCH($A97,List_StationaryFuelMeters,0),ROUNDUP((COLUMN()+1)/3-2,0))),"")</f>
        <v/>
      </c>
      <c r="S97" s="127"/>
      <c r="T97" s="127"/>
      <c r="U97" s="58" t="str" cm="1">
        <f>IFERROR(IF(ISBLANK($A97),"",INDEX(Array_StationaryCharges,MATCH($A97,List_StationaryFuelMeters,0),ROUNDUP((COLUMN()+1)/3-2,0))),"")</f>
        <v/>
      </c>
      <c r="V97" s="127"/>
      <c r="W97" s="127"/>
      <c r="X97" s="58" t="str" cm="1">
        <f>IFERROR(IF(ISBLANK($A97),"",INDEX(Array_StationaryCharges,MATCH($A97,List_StationaryFuelMeters,0),ROUNDUP((COLUMN()+1)/3-2,0))),"")</f>
        <v/>
      </c>
      <c r="Y97" s="127"/>
      <c r="Z97" s="127"/>
      <c r="AA97" s="58" t="str" cm="1">
        <f>IFERROR(IF(ISBLANK($A97),"",INDEX(Array_StationaryCharges,MATCH($A97,List_StationaryFuelMeters,0),ROUNDUP((COLUMN()+1)/3-2,0))),"")</f>
        <v/>
      </c>
      <c r="AB97" s="127"/>
      <c r="AC97" s="127"/>
      <c r="AD97" s="58" t="str" cm="1">
        <f>IFERROR(IF(ISBLANK($A97),"",INDEX(Array_StationaryCharges,MATCH($A97,List_StationaryFuelMeters,0),ROUNDUP((COLUMN()+1)/3-2,0))),"")</f>
        <v/>
      </c>
      <c r="AE97" s="127"/>
      <c r="AF97" s="127"/>
      <c r="AG97" s="58" t="str" cm="1">
        <f>IFERROR(IF(ISBLANK($A97),"",INDEX(Array_StationaryCharges,MATCH($A97,List_StationaryFuelMeters,0),ROUNDUP((COLUMN()+1)/3-2,0))),"")</f>
        <v/>
      </c>
      <c r="AH97" s="127"/>
      <c r="AI97" s="127"/>
      <c r="AJ97" s="58" t="str" cm="1">
        <f>IFERROR(IF(ISBLANK($A97),"",INDEX(Array_StationaryCharges,MATCH($A97,List_StationaryFuelMeters,0),ROUNDUP((COLUMN()+1)/3-2,0))),"")</f>
        <v/>
      </c>
      <c r="AK97" s="127"/>
      <c r="AL97" s="127"/>
      <c r="AM97" s="58" t="str" cm="1">
        <f>IFERROR(IF(ISBLANK($A97),"",INDEX(Array_StationaryCharges,MATCH($A97,List_StationaryFuelMeters,0),ROUNDUP((COLUMN()+1)/3-2,0))),"")</f>
        <v/>
      </c>
      <c r="AN97" s="127"/>
      <c r="AO97" s="127"/>
      <c r="AP97" s="58" t="str" cm="1">
        <f>IFERROR(IF(ISBLANK($A97),"",INDEX(Array_StationaryCharges,MATCH($A97,List_StationaryFuelMeters,0),ROUNDUP((COLUMN()+1)/3-2,0))),"")</f>
        <v/>
      </c>
      <c r="AQ97" s="127"/>
      <c r="AR97" s="127"/>
      <c r="AS97" s="58" t="str" cm="1">
        <f>IFERROR(IF(ISBLANK($A97),"",INDEX(Array_StationaryCharges,MATCH($A97,List_StationaryFuelMeters,0),ROUNDUP((COLUMN()+1)/3-2,0))),"")</f>
        <v/>
      </c>
      <c r="AT97" s="127"/>
      <c r="AU97" s="127"/>
      <c r="AV97" s="58" t="str" cm="1">
        <f>IFERROR(IF(ISBLANK($A97),"",INDEX(Array_StationaryCharges,MATCH($A97,List_StationaryFuelMeters,0),ROUNDUP((COLUMN()+1)/3-2,0))),"")</f>
        <v/>
      </c>
      <c r="AW97" s="127"/>
      <c r="AX97" s="127"/>
    </row>
    <row r="98" spans="1:50" x14ac:dyDescent="0.3">
      <c r="A98" s="126"/>
      <c r="B98" s="133"/>
      <c r="C98" s="127"/>
      <c r="D98" s="138"/>
      <c r="E98" s="138"/>
      <c r="F98" s="58" t="str" cm="1">
        <f>IFERROR(IF(ISBLANK($A98),"",INDEX(Array_StationaryCharges,MATCH($A98,List_StationaryFuelMeters,0),ROUNDUP((COLUMN()+1)/3-2,0))),"")</f>
        <v/>
      </c>
      <c r="G98" s="127"/>
      <c r="H98" s="127"/>
      <c r="I98" s="58" t="str" cm="1">
        <f>IFERROR(IF(ISBLANK($A98),"",INDEX(Array_StationaryCharges,MATCH($A98,List_StationaryFuelMeters,0),ROUNDUP((COLUMN()+1)/3-2,0))),"")</f>
        <v/>
      </c>
      <c r="J98" s="127"/>
      <c r="K98" s="127"/>
      <c r="L98" s="58" t="str" cm="1">
        <f>IFERROR(IF(ISBLANK($A98),"",INDEX(Array_StationaryCharges,MATCH($A98,List_StationaryFuelMeters,0),ROUNDUP((COLUMN()+1)/3-2,0))),"")</f>
        <v/>
      </c>
      <c r="M98" s="127"/>
      <c r="N98" s="127"/>
      <c r="O98" s="58" t="str" cm="1">
        <f>IFERROR(IF(ISBLANK($A98),"",INDEX(Array_StationaryCharges,MATCH($A98,List_StationaryFuelMeters,0),ROUNDUP((COLUMN()+1)/3-2,0))),"")</f>
        <v/>
      </c>
      <c r="P98" s="127"/>
      <c r="Q98" s="127"/>
      <c r="R98" s="58" t="str" cm="1">
        <f>IFERROR(IF(ISBLANK($A98),"",INDEX(Array_StationaryCharges,MATCH($A98,List_StationaryFuelMeters,0),ROUNDUP((COLUMN()+1)/3-2,0))),"")</f>
        <v/>
      </c>
      <c r="S98" s="127"/>
      <c r="T98" s="127"/>
      <c r="U98" s="58" t="str" cm="1">
        <f>IFERROR(IF(ISBLANK($A98),"",INDEX(Array_StationaryCharges,MATCH($A98,List_StationaryFuelMeters,0),ROUNDUP((COLUMN()+1)/3-2,0))),"")</f>
        <v/>
      </c>
      <c r="V98" s="127"/>
      <c r="W98" s="127"/>
      <c r="X98" s="58" t="str" cm="1">
        <f>IFERROR(IF(ISBLANK($A98),"",INDEX(Array_StationaryCharges,MATCH($A98,List_StationaryFuelMeters,0),ROUNDUP((COLUMN()+1)/3-2,0))),"")</f>
        <v/>
      </c>
      <c r="Y98" s="127"/>
      <c r="Z98" s="127"/>
      <c r="AA98" s="58" t="str" cm="1">
        <f>IFERROR(IF(ISBLANK($A98),"",INDEX(Array_StationaryCharges,MATCH($A98,List_StationaryFuelMeters,0),ROUNDUP((COLUMN()+1)/3-2,0))),"")</f>
        <v/>
      </c>
      <c r="AB98" s="127"/>
      <c r="AC98" s="127"/>
      <c r="AD98" s="58" t="str" cm="1">
        <f>IFERROR(IF(ISBLANK($A98),"",INDEX(Array_StationaryCharges,MATCH($A98,List_StationaryFuelMeters,0),ROUNDUP((COLUMN()+1)/3-2,0))),"")</f>
        <v/>
      </c>
      <c r="AE98" s="127"/>
      <c r="AF98" s="127"/>
      <c r="AG98" s="58" t="str" cm="1">
        <f>IFERROR(IF(ISBLANK($A98),"",INDEX(Array_StationaryCharges,MATCH($A98,List_StationaryFuelMeters,0),ROUNDUP((COLUMN()+1)/3-2,0))),"")</f>
        <v/>
      </c>
      <c r="AH98" s="127"/>
      <c r="AI98" s="127"/>
      <c r="AJ98" s="58" t="str" cm="1">
        <f>IFERROR(IF(ISBLANK($A98),"",INDEX(Array_StationaryCharges,MATCH($A98,List_StationaryFuelMeters,0),ROUNDUP((COLUMN()+1)/3-2,0))),"")</f>
        <v/>
      </c>
      <c r="AK98" s="127"/>
      <c r="AL98" s="127"/>
      <c r="AM98" s="58" t="str" cm="1">
        <f>IFERROR(IF(ISBLANK($A98),"",INDEX(Array_StationaryCharges,MATCH($A98,List_StationaryFuelMeters,0),ROUNDUP((COLUMN()+1)/3-2,0))),"")</f>
        <v/>
      </c>
      <c r="AN98" s="127"/>
      <c r="AO98" s="127"/>
      <c r="AP98" s="58" t="str" cm="1">
        <f>IFERROR(IF(ISBLANK($A98),"",INDEX(Array_StationaryCharges,MATCH($A98,List_StationaryFuelMeters,0),ROUNDUP((COLUMN()+1)/3-2,0))),"")</f>
        <v/>
      </c>
      <c r="AQ98" s="127"/>
      <c r="AR98" s="127"/>
      <c r="AS98" s="58" t="str" cm="1">
        <f>IFERROR(IF(ISBLANK($A98),"",INDEX(Array_StationaryCharges,MATCH($A98,List_StationaryFuelMeters,0),ROUNDUP((COLUMN()+1)/3-2,0))),"")</f>
        <v/>
      </c>
      <c r="AT98" s="127"/>
      <c r="AU98" s="127"/>
      <c r="AV98" s="58" t="str" cm="1">
        <f>IFERROR(IF(ISBLANK($A98),"",INDEX(Array_StationaryCharges,MATCH($A98,List_StationaryFuelMeters,0),ROUNDUP((COLUMN()+1)/3-2,0))),"")</f>
        <v/>
      </c>
      <c r="AW98" s="127"/>
      <c r="AX98" s="127"/>
    </row>
    <row r="99" spans="1:50" x14ac:dyDescent="0.3">
      <c r="A99" s="126"/>
      <c r="B99" s="133"/>
      <c r="C99" s="127"/>
      <c r="D99" s="138"/>
      <c r="E99" s="138"/>
      <c r="F99" s="58" t="str" cm="1">
        <f>IFERROR(IF(ISBLANK($A99),"",INDEX(Array_StationaryCharges,MATCH($A99,List_StationaryFuelMeters,0),ROUNDUP((COLUMN()+1)/3-2,0))),"")</f>
        <v/>
      </c>
      <c r="G99" s="127"/>
      <c r="H99" s="127"/>
      <c r="I99" s="58" t="str" cm="1">
        <f>IFERROR(IF(ISBLANK($A99),"",INDEX(Array_StationaryCharges,MATCH($A99,List_StationaryFuelMeters,0),ROUNDUP((COLUMN()+1)/3-2,0))),"")</f>
        <v/>
      </c>
      <c r="J99" s="127"/>
      <c r="K99" s="127"/>
      <c r="L99" s="58" t="str" cm="1">
        <f>IFERROR(IF(ISBLANK($A99),"",INDEX(Array_StationaryCharges,MATCH($A99,List_StationaryFuelMeters,0),ROUNDUP((COLUMN()+1)/3-2,0))),"")</f>
        <v/>
      </c>
      <c r="M99" s="127"/>
      <c r="N99" s="127"/>
      <c r="O99" s="58" t="str" cm="1">
        <f>IFERROR(IF(ISBLANK($A99),"",INDEX(Array_StationaryCharges,MATCH($A99,List_StationaryFuelMeters,0),ROUNDUP((COLUMN()+1)/3-2,0))),"")</f>
        <v/>
      </c>
      <c r="P99" s="127"/>
      <c r="Q99" s="127"/>
      <c r="R99" s="58" t="str" cm="1">
        <f>IFERROR(IF(ISBLANK($A99),"",INDEX(Array_StationaryCharges,MATCH($A99,List_StationaryFuelMeters,0),ROUNDUP((COLUMN()+1)/3-2,0))),"")</f>
        <v/>
      </c>
      <c r="S99" s="127"/>
      <c r="T99" s="127"/>
      <c r="U99" s="58" t="str" cm="1">
        <f>IFERROR(IF(ISBLANK($A99),"",INDEX(Array_StationaryCharges,MATCH($A99,List_StationaryFuelMeters,0),ROUNDUP((COLUMN()+1)/3-2,0))),"")</f>
        <v/>
      </c>
      <c r="V99" s="127"/>
      <c r="W99" s="127"/>
      <c r="X99" s="58" t="str" cm="1">
        <f>IFERROR(IF(ISBLANK($A99),"",INDEX(Array_StationaryCharges,MATCH($A99,List_StationaryFuelMeters,0),ROUNDUP((COLUMN()+1)/3-2,0))),"")</f>
        <v/>
      </c>
      <c r="Y99" s="127"/>
      <c r="Z99" s="127"/>
      <c r="AA99" s="58" t="str" cm="1">
        <f>IFERROR(IF(ISBLANK($A99),"",INDEX(Array_StationaryCharges,MATCH($A99,List_StationaryFuelMeters,0),ROUNDUP((COLUMN()+1)/3-2,0))),"")</f>
        <v/>
      </c>
      <c r="AB99" s="127"/>
      <c r="AC99" s="127"/>
      <c r="AD99" s="58" t="str" cm="1">
        <f>IFERROR(IF(ISBLANK($A99),"",INDEX(Array_StationaryCharges,MATCH($A99,List_StationaryFuelMeters,0),ROUNDUP((COLUMN()+1)/3-2,0))),"")</f>
        <v/>
      </c>
      <c r="AE99" s="127"/>
      <c r="AF99" s="127"/>
      <c r="AG99" s="58" t="str" cm="1">
        <f>IFERROR(IF(ISBLANK($A99),"",INDEX(Array_StationaryCharges,MATCH($A99,List_StationaryFuelMeters,0),ROUNDUP((COLUMN()+1)/3-2,0))),"")</f>
        <v/>
      </c>
      <c r="AH99" s="127"/>
      <c r="AI99" s="127"/>
      <c r="AJ99" s="58" t="str" cm="1">
        <f>IFERROR(IF(ISBLANK($A99),"",INDEX(Array_StationaryCharges,MATCH($A99,List_StationaryFuelMeters,0),ROUNDUP((COLUMN()+1)/3-2,0))),"")</f>
        <v/>
      </c>
      <c r="AK99" s="127"/>
      <c r="AL99" s="127"/>
      <c r="AM99" s="58" t="str" cm="1">
        <f>IFERROR(IF(ISBLANK($A99),"",INDEX(Array_StationaryCharges,MATCH($A99,List_StationaryFuelMeters,0),ROUNDUP((COLUMN()+1)/3-2,0))),"")</f>
        <v/>
      </c>
      <c r="AN99" s="127"/>
      <c r="AO99" s="127"/>
      <c r="AP99" s="58" t="str" cm="1">
        <f>IFERROR(IF(ISBLANK($A99),"",INDEX(Array_StationaryCharges,MATCH($A99,List_StationaryFuelMeters,0),ROUNDUP((COLUMN()+1)/3-2,0))),"")</f>
        <v/>
      </c>
      <c r="AQ99" s="127"/>
      <c r="AR99" s="127"/>
      <c r="AS99" s="58" t="str" cm="1">
        <f>IFERROR(IF(ISBLANK($A99),"",INDEX(Array_StationaryCharges,MATCH($A99,List_StationaryFuelMeters,0),ROUNDUP((COLUMN()+1)/3-2,0))),"")</f>
        <v/>
      </c>
      <c r="AT99" s="127"/>
      <c r="AU99" s="127"/>
      <c r="AV99" s="58" t="str" cm="1">
        <f>IFERROR(IF(ISBLANK($A99),"",INDEX(Array_StationaryCharges,MATCH($A99,List_StationaryFuelMeters,0),ROUNDUP((COLUMN()+1)/3-2,0))),"")</f>
        <v/>
      </c>
      <c r="AW99" s="127"/>
      <c r="AX99" s="127"/>
    </row>
    <row r="100" spans="1:50" x14ac:dyDescent="0.3">
      <c r="A100" s="126"/>
      <c r="B100" s="133"/>
      <c r="C100" s="127"/>
      <c r="D100" s="138"/>
      <c r="E100" s="138"/>
      <c r="F100" s="58" t="str" cm="1">
        <f>IFERROR(IF(ISBLANK($A100),"",INDEX(Array_StationaryCharges,MATCH($A100,List_StationaryFuelMeters,0),ROUNDUP((COLUMN()+1)/3-2,0))),"")</f>
        <v/>
      </c>
      <c r="G100" s="127"/>
      <c r="H100" s="127"/>
      <c r="I100" s="58" t="str" cm="1">
        <f>IFERROR(IF(ISBLANK($A100),"",INDEX(Array_StationaryCharges,MATCH($A100,List_StationaryFuelMeters,0),ROUNDUP((COLUMN()+1)/3-2,0))),"")</f>
        <v/>
      </c>
      <c r="J100" s="127"/>
      <c r="K100" s="127"/>
      <c r="L100" s="58" t="str" cm="1">
        <f>IFERROR(IF(ISBLANK($A100),"",INDEX(Array_StationaryCharges,MATCH($A100,List_StationaryFuelMeters,0),ROUNDUP((COLUMN()+1)/3-2,0))),"")</f>
        <v/>
      </c>
      <c r="M100" s="127"/>
      <c r="N100" s="127"/>
      <c r="O100" s="58" t="str" cm="1">
        <f>IFERROR(IF(ISBLANK($A100),"",INDEX(Array_StationaryCharges,MATCH($A100,List_StationaryFuelMeters,0),ROUNDUP((COLUMN()+1)/3-2,0))),"")</f>
        <v/>
      </c>
      <c r="P100" s="127"/>
      <c r="Q100" s="127"/>
      <c r="R100" s="58" t="str" cm="1">
        <f>IFERROR(IF(ISBLANK($A100),"",INDEX(Array_StationaryCharges,MATCH($A100,List_StationaryFuelMeters,0),ROUNDUP((COLUMN()+1)/3-2,0))),"")</f>
        <v/>
      </c>
      <c r="S100" s="127"/>
      <c r="T100" s="127"/>
      <c r="U100" s="58" t="str" cm="1">
        <f>IFERROR(IF(ISBLANK($A100),"",INDEX(Array_StationaryCharges,MATCH($A100,List_StationaryFuelMeters,0),ROUNDUP((COLUMN()+1)/3-2,0))),"")</f>
        <v/>
      </c>
      <c r="V100" s="127"/>
      <c r="W100" s="127"/>
      <c r="X100" s="58" t="str" cm="1">
        <f>IFERROR(IF(ISBLANK($A100),"",INDEX(Array_StationaryCharges,MATCH($A100,List_StationaryFuelMeters,0),ROUNDUP((COLUMN()+1)/3-2,0))),"")</f>
        <v/>
      </c>
      <c r="Y100" s="127"/>
      <c r="Z100" s="127"/>
      <c r="AA100" s="58" t="str" cm="1">
        <f>IFERROR(IF(ISBLANK($A100),"",INDEX(Array_StationaryCharges,MATCH($A100,List_StationaryFuelMeters,0),ROUNDUP((COLUMN()+1)/3-2,0))),"")</f>
        <v/>
      </c>
      <c r="AB100" s="127"/>
      <c r="AC100" s="127"/>
      <c r="AD100" s="58" t="str" cm="1">
        <f>IFERROR(IF(ISBLANK($A100),"",INDEX(Array_StationaryCharges,MATCH($A100,List_StationaryFuelMeters,0),ROUNDUP((COLUMN()+1)/3-2,0))),"")</f>
        <v/>
      </c>
      <c r="AE100" s="127"/>
      <c r="AF100" s="127"/>
      <c r="AG100" s="58" t="str" cm="1">
        <f>IFERROR(IF(ISBLANK($A100),"",INDEX(Array_StationaryCharges,MATCH($A100,List_StationaryFuelMeters,0),ROUNDUP((COLUMN()+1)/3-2,0))),"")</f>
        <v/>
      </c>
      <c r="AH100" s="127"/>
      <c r="AI100" s="127"/>
      <c r="AJ100" s="58" t="str" cm="1">
        <f>IFERROR(IF(ISBLANK($A100),"",INDEX(Array_StationaryCharges,MATCH($A100,List_StationaryFuelMeters,0),ROUNDUP((COLUMN()+1)/3-2,0))),"")</f>
        <v/>
      </c>
      <c r="AK100" s="127"/>
      <c r="AL100" s="127"/>
      <c r="AM100" s="58" t="str" cm="1">
        <f>IFERROR(IF(ISBLANK($A100),"",INDEX(Array_StationaryCharges,MATCH($A100,List_StationaryFuelMeters,0),ROUNDUP((COLUMN()+1)/3-2,0))),"")</f>
        <v/>
      </c>
      <c r="AN100" s="127"/>
      <c r="AO100" s="127"/>
      <c r="AP100" s="58" t="str" cm="1">
        <f>IFERROR(IF(ISBLANK($A100),"",INDEX(Array_StationaryCharges,MATCH($A100,List_StationaryFuelMeters,0),ROUNDUP((COLUMN()+1)/3-2,0))),"")</f>
        <v/>
      </c>
      <c r="AQ100" s="127"/>
      <c r="AR100" s="127"/>
      <c r="AS100" s="58" t="str" cm="1">
        <f>IFERROR(IF(ISBLANK($A100),"",INDEX(Array_StationaryCharges,MATCH($A100,List_StationaryFuelMeters,0),ROUNDUP((COLUMN()+1)/3-2,0))),"")</f>
        <v/>
      </c>
      <c r="AT100" s="127"/>
      <c r="AU100" s="127"/>
      <c r="AV100" s="58" t="str" cm="1">
        <f>IFERROR(IF(ISBLANK($A100),"",INDEX(Array_StationaryCharges,MATCH($A100,List_StationaryFuelMeters,0),ROUNDUP((COLUMN()+1)/3-2,0))),"")</f>
        <v/>
      </c>
      <c r="AW100" s="127"/>
      <c r="AX100" s="127"/>
    </row>
    <row r="101" spans="1:50" x14ac:dyDescent="0.3">
      <c r="A101" s="126"/>
      <c r="B101" s="133"/>
      <c r="C101" s="127"/>
      <c r="D101" s="138"/>
      <c r="E101" s="138"/>
      <c r="F101" s="58" t="str" cm="1">
        <f>IFERROR(IF(ISBLANK($A101),"",INDEX(Array_StationaryCharges,MATCH($A101,List_StationaryFuelMeters,0),ROUNDUP((COLUMN()+1)/3-2,0))),"")</f>
        <v/>
      </c>
      <c r="G101" s="127"/>
      <c r="H101" s="127"/>
      <c r="I101" s="58" t="str" cm="1">
        <f>IFERROR(IF(ISBLANK($A101),"",INDEX(Array_StationaryCharges,MATCH($A101,List_StationaryFuelMeters,0),ROUNDUP((COLUMN()+1)/3-2,0))),"")</f>
        <v/>
      </c>
      <c r="J101" s="127"/>
      <c r="K101" s="127"/>
      <c r="L101" s="58" t="str" cm="1">
        <f>IFERROR(IF(ISBLANK($A101),"",INDEX(Array_StationaryCharges,MATCH($A101,List_StationaryFuelMeters,0),ROUNDUP((COLUMN()+1)/3-2,0))),"")</f>
        <v/>
      </c>
      <c r="M101" s="127"/>
      <c r="N101" s="127"/>
      <c r="O101" s="58" t="str" cm="1">
        <f>IFERROR(IF(ISBLANK($A101),"",INDEX(Array_StationaryCharges,MATCH($A101,List_StationaryFuelMeters,0),ROUNDUP((COLUMN()+1)/3-2,0))),"")</f>
        <v/>
      </c>
      <c r="P101" s="127"/>
      <c r="Q101" s="127"/>
      <c r="R101" s="58" t="str" cm="1">
        <f>IFERROR(IF(ISBLANK($A101),"",INDEX(Array_StationaryCharges,MATCH($A101,List_StationaryFuelMeters,0),ROUNDUP((COLUMN()+1)/3-2,0))),"")</f>
        <v/>
      </c>
      <c r="S101" s="127"/>
      <c r="T101" s="127"/>
      <c r="U101" s="58" t="str" cm="1">
        <f>IFERROR(IF(ISBLANK($A101),"",INDEX(Array_StationaryCharges,MATCH($A101,List_StationaryFuelMeters,0),ROUNDUP((COLUMN()+1)/3-2,0))),"")</f>
        <v/>
      </c>
      <c r="V101" s="127"/>
      <c r="W101" s="127"/>
      <c r="X101" s="58" t="str" cm="1">
        <f>IFERROR(IF(ISBLANK($A101),"",INDEX(Array_StationaryCharges,MATCH($A101,List_StationaryFuelMeters,0),ROUNDUP((COLUMN()+1)/3-2,0))),"")</f>
        <v/>
      </c>
      <c r="Y101" s="127"/>
      <c r="Z101" s="127"/>
      <c r="AA101" s="58" t="str" cm="1">
        <f>IFERROR(IF(ISBLANK($A101),"",INDEX(Array_StationaryCharges,MATCH($A101,List_StationaryFuelMeters,0),ROUNDUP((COLUMN()+1)/3-2,0))),"")</f>
        <v/>
      </c>
      <c r="AB101" s="127"/>
      <c r="AC101" s="127"/>
      <c r="AD101" s="58" t="str" cm="1">
        <f>IFERROR(IF(ISBLANK($A101),"",INDEX(Array_StationaryCharges,MATCH($A101,List_StationaryFuelMeters,0),ROUNDUP((COLUMN()+1)/3-2,0))),"")</f>
        <v/>
      </c>
      <c r="AE101" s="127"/>
      <c r="AF101" s="127"/>
      <c r="AG101" s="58" t="str" cm="1">
        <f>IFERROR(IF(ISBLANK($A101),"",INDEX(Array_StationaryCharges,MATCH($A101,List_StationaryFuelMeters,0),ROUNDUP((COLUMN()+1)/3-2,0))),"")</f>
        <v/>
      </c>
      <c r="AH101" s="127"/>
      <c r="AI101" s="127"/>
      <c r="AJ101" s="58" t="str" cm="1">
        <f>IFERROR(IF(ISBLANK($A101),"",INDEX(Array_StationaryCharges,MATCH($A101,List_StationaryFuelMeters,0),ROUNDUP((COLUMN()+1)/3-2,0))),"")</f>
        <v/>
      </c>
      <c r="AK101" s="127"/>
      <c r="AL101" s="127"/>
      <c r="AM101" s="58" t="str" cm="1">
        <f>IFERROR(IF(ISBLANK($A101),"",INDEX(Array_StationaryCharges,MATCH($A101,List_StationaryFuelMeters,0),ROUNDUP((COLUMN()+1)/3-2,0))),"")</f>
        <v/>
      </c>
      <c r="AN101" s="127"/>
      <c r="AO101" s="127"/>
      <c r="AP101" s="58" t="str" cm="1">
        <f>IFERROR(IF(ISBLANK($A101),"",INDEX(Array_StationaryCharges,MATCH($A101,List_StationaryFuelMeters,0),ROUNDUP((COLUMN()+1)/3-2,0))),"")</f>
        <v/>
      </c>
      <c r="AQ101" s="127"/>
      <c r="AR101" s="127"/>
      <c r="AS101" s="58" t="str" cm="1">
        <f>IFERROR(IF(ISBLANK($A101),"",INDEX(Array_StationaryCharges,MATCH($A101,List_StationaryFuelMeters,0),ROUNDUP((COLUMN()+1)/3-2,0))),"")</f>
        <v/>
      </c>
      <c r="AT101" s="127"/>
      <c r="AU101" s="127"/>
      <c r="AV101" s="58" t="str" cm="1">
        <f>IFERROR(IF(ISBLANK($A101),"",INDEX(Array_StationaryCharges,MATCH($A101,List_StationaryFuelMeters,0),ROUNDUP((COLUMN()+1)/3-2,0))),"")</f>
        <v/>
      </c>
      <c r="AW101" s="127"/>
      <c r="AX101" s="127"/>
    </row>
    <row r="102" spans="1:50" x14ac:dyDescent="0.3">
      <c r="A102" s="126"/>
      <c r="B102" s="133"/>
      <c r="C102" s="127"/>
      <c r="D102" s="138"/>
      <c r="E102" s="138"/>
      <c r="F102" s="58" t="str" cm="1">
        <f>IFERROR(IF(ISBLANK($A102),"",INDEX(Array_StationaryCharges,MATCH($A102,List_StationaryFuelMeters,0),ROUNDUP((COLUMN()+1)/3-2,0))),"")</f>
        <v/>
      </c>
      <c r="G102" s="127"/>
      <c r="H102" s="127"/>
      <c r="I102" s="58" t="str" cm="1">
        <f>IFERROR(IF(ISBLANK($A102),"",INDEX(Array_StationaryCharges,MATCH($A102,List_StationaryFuelMeters,0),ROUNDUP((COLUMN()+1)/3-2,0))),"")</f>
        <v/>
      </c>
      <c r="J102" s="127"/>
      <c r="K102" s="127"/>
      <c r="L102" s="58" t="str" cm="1">
        <f>IFERROR(IF(ISBLANK($A102),"",INDEX(Array_StationaryCharges,MATCH($A102,List_StationaryFuelMeters,0),ROUNDUP((COLUMN()+1)/3-2,0))),"")</f>
        <v/>
      </c>
      <c r="M102" s="127"/>
      <c r="N102" s="127"/>
      <c r="O102" s="58" t="str" cm="1">
        <f>IFERROR(IF(ISBLANK($A102),"",INDEX(Array_StationaryCharges,MATCH($A102,List_StationaryFuelMeters,0),ROUNDUP((COLUMN()+1)/3-2,0))),"")</f>
        <v/>
      </c>
      <c r="P102" s="127"/>
      <c r="Q102" s="127"/>
      <c r="R102" s="58" t="str" cm="1">
        <f>IFERROR(IF(ISBLANK($A102),"",INDEX(Array_StationaryCharges,MATCH($A102,List_StationaryFuelMeters,0),ROUNDUP((COLUMN()+1)/3-2,0))),"")</f>
        <v/>
      </c>
      <c r="S102" s="127"/>
      <c r="T102" s="127"/>
      <c r="U102" s="58" t="str" cm="1">
        <f>IFERROR(IF(ISBLANK($A102),"",INDEX(Array_StationaryCharges,MATCH($A102,List_StationaryFuelMeters,0),ROUNDUP((COLUMN()+1)/3-2,0))),"")</f>
        <v/>
      </c>
      <c r="V102" s="127"/>
      <c r="W102" s="127"/>
      <c r="X102" s="58" t="str" cm="1">
        <f>IFERROR(IF(ISBLANK($A102),"",INDEX(Array_StationaryCharges,MATCH($A102,List_StationaryFuelMeters,0),ROUNDUP((COLUMN()+1)/3-2,0))),"")</f>
        <v/>
      </c>
      <c r="Y102" s="127"/>
      <c r="Z102" s="127"/>
      <c r="AA102" s="58" t="str" cm="1">
        <f>IFERROR(IF(ISBLANK($A102),"",INDEX(Array_StationaryCharges,MATCH($A102,List_StationaryFuelMeters,0),ROUNDUP((COLUMN()+1)/3-2,0))),"")</f>
        <v/>
      </c>
      <c r="AB102" s="127"/>
      <c r="AC102" s="127"/>
      <c r="AD102" s="58" t="str" cm="1">
        <f>IFERROR(IF(ISBLANK($A102),"",INDEX(Array_StationaryCharges,MATCH($A102,List_StationaryFuelMeters,0),ROUNDUP((COLUMN()+1)/3-2,0))),"")</f>
        <v/>
      </c>
      <c r="AE102" s="127"/>
      <c r="AF102" s="127"/>
      <c r="AG102" s="58" t="str" cm="1">
        <f>IFERROR(IF(ISBLANK($A102),"",INDEX(Array_StationaryCharges,MATCH($A102,List_StationaryFuelMeters,0),ROUNDUP((COLUMN()+1)/3-2,0))),"")</f>
        <v/>
      </c>
      <c r="AH102" s="127"/>
      <c r="AI102" s="127"/>
      <c r="AJ102" s="58" t="str" cm="1">
        <f>IFERROR(IF(ISBLANK($A102),"",INDEX(Array_StationaryCharges,MATCH($A102,List_StationaryFuelMeters,0),ROUNDUP((COLUMN()+1)/3-2,0))),"")</f>
        <v/>
      </c>
      <c r="AK102" s="127"/>
      <c r="AL102" s="127"/>
      <c r="AM102" s="58" t="str" cm="1">
        <f>IFERROR(IF(ISBLANK($A102),"",INDEX(Array_StationaryCharges,MATCH($A102,List_StationaryFuelMeters,0),ROUNDUP((COLUMN()+1)/3-2,0))),"")</f>
        <v/>
      </c>
      <c r="AN102" s="127"/>
      <c r="AO102" s="127"/>
      <c r="AP102" s="58" t="str" cm="1">
        <f>IFERROR(IF(ISBLANK($A102),"",INDEX(Array_StationaryCharges,MATCH($A102,List_StationaryFuelMeters,0),ROUNDUP((COLUMN()+1)/3-2,0))),"")</f>
        <v/>
      </c>
      <c r="AQ102" s="127"/>
      <c r="AR102" s="127"/>
      <c r="AS102" s="58" t="str" cm="1">
        <f>IFERROR(IF(ISBLANK($A102),"",INDEX(Array_StationaryCharges,MATCH($A102,List_StationaryFuelMeters,0),ROUNDUP((COLUMN()+1)/3-2,0))),"")</f>
        <v/>
      </c>
      <c r="AT102" s="127"/>
      <c r="AU102" s="127"/>
      <c r="AV102" s="58" t="str" cm="1">
        <f>IFERROR(IF(ISBLANK($A102),"",INDEX(Array_StationaryCharges,MATCH($A102,List_StationaryFuelMeters,0),ROUNDUP((COLUMN()+1)/3-2,0))),"")</f>
        <v/>
      </c>
      <c r="AW102" s="127"/>
      <c r="AX102" s="127"/>
    </row>
    <row r="103" spans="1:50" x14ac:dyDescent="0.3">
      <c r="A103" s="126"/>
      <c r="B103" s="133"/>
      <c r="C103" s="127"/>
      <c r="D103" s="138"/>
      <c r="E103" s="138"/>
      <c r="F103" s="58" t="str" cm="1">
        <f>IFERROR(IF(ISBLANK($A103),"",INDEX(Array_StationaryCharges,MATCH($A103,List_StationaryFuelMeters,0),ROUNDUP((COLUMN()+1)/3-2,0))),"")</f>
        <v/>
      </c>
      <c r="G103" s="127"/>
      <c r="H103" s="127"/>
      <c r="I103" s="58" t="str" cm="1">
        <f>IFERROR(IF(ISBLANK($A103),"",INDEX(Array_StationaryCharges,MATCH($A103,List_StationaryFuelMeters,0),ROUNDUP((COLUMN()+1)/3-2,0))),"")</f>
        <v/>
      </c>
      <c r="J103" s="127"/>
      <c r="K103" s="127"/>
      <c r="L103" s="58" t="str" cm="1">
        <f>IFERROR(IF(ISBLANK($A103),"",INDEX(Array_StationaryCharges,MATCH($A103,List_StationaryFuelMeters,0),ROUNDUP((COLUMN()+1)/3-2,0))),"")</f>
        <v/>
      </c>
      <c r="M103" s="127"/>
      <c r="N103" s="127"/>
      <c r="O103" s="58" t="str" cm="1">
        <f>IFERROR(IF(ISBLANK($A103),"",INDEX(Array_StationaryCharges,MATCH($A103,List_StationaryFuelMeters,0),ROUNDUP((COLUMN()+1)/3-2,0))),"")</f>
        <v/>
      </c>
      <c r="P103" s="127"/>
      <c r="Q103" s="127"/>
      <c r="R103" s="58" t="str" cm="1">
        <f>IFERROR(IF(ISBLANK($A103),"",INDEX(Array_StationaryCharges,MATCH($A103,List_StationaryFuelMeters,0),ROUNDUP((COLUMN()+1)/3-2,0))),"")</f>
        <v/>
      </c>
      <c r="S103" s="127"/>
      <c r="T103" s="127"/>
      <c r="U103" s="58" t="str" cm="1">
        <f>IFERROR(IF(ISBLANK($A103),"",INDEX(Array_StationaryCharges,MATCH($A103,List_StationaryFuelMeters,0),ROUNDUP((COLUMN()+1)/3-2,0))),"")</f>
        <v/>
      </c>
      <c r="V103" s="127"/>
      <c r="W103" s="127"/>
      <c r="X103" s="58" t="str" cm="1">
        <f>IFERROR(IF(ISBLANK($A103),"",INDEX(Array_StationaryCharges,MATCH($A103,List_StationaryFuelMeters,0),ROUNDUP((COLUMN()+1)/3-2,0))),"")</f>
        <v/>
      </c>
      <c r="Y103" s="127"/>
      <c r="Z103" s="127"/>
      <c r="AA103" s="58" t="str" cm="1">
        <f>IFERROR(IF(ISBLANK($A103),"",INDEX(Array_StationaryCharges,MATCH($A103,List_StationaryFuelMeters,0),ROUNDUP((COLUMN()+1)/3-2,0))),"")</f>
        <v/>
      </c>
      <c r="AB103" s="127"/>
      <c r="AC103" s="127"/>
      <c r="AD103" s="58" t="str" cm="1">
        <f>IFERROR(IF(ISBLANK($A103),"",INDEX(Array_StationaryCharges,MATCH($A103,List_StationaryFuelMeters,0),ROUNDUP((COLUMN()+1)/3-2,0))),"")</f>
        <v/>
      </c>
      <c r="AE103" s="127"/>
      <c r="AF103" s="127"/>
      <c r="AG103" s="58" t="str" cm="1">
        <f>IFERROR(IF(ISBLANK($A103),"",INDEX(Array_StationaryCharges,MATCH($A103,List_StationaryFuelMeters,0),ROUNDUP((COLUMN()+1)/3-2,0))),"")</f>
        <v/>
      </c>
      <c r="AH103" s="127"/>
      <c r="AI103" s="127"/>
      <c r="AJ103" s="58" t="str" cm="1">
        <f>IFERROR(IF(ISBLANK($A103),"",INDEX(Array_StationaryCharges,MATCH($A103,List_StationaryFuelMeters,0),ROUNDUP((COLUMN()+1)/3-2,0))),"")</f>
        <v/>
      </c>
      <c r="AK103" s="127"/>
      <c r="AL103" s="127"/>
      <c r="AM103" s="58" t="str" cm="1">
        <f>IFERROR(IF(ISBLANK($A103),"",INDEX(Array_StationaryCharges,MATCH($A103,List_StationaryFuelMeters,0),ROUNDUP((COLUMN()+1)/3-2,0))),"")</f>
        <v/>
      </c>
      <c r="AN103" s="127"/>
      <c r="AO103" s="127"/>
      <c r="AP103" s="58" t="str" cm="1">
        <f>IFERROR(IF(ISBLANK($A103),"",INDEX(Array_StationaryCharges,MATCH($A103,List_StationaryFuelMeters,0),ROUNDUP((COLUMN()+1)/3-2,0))),"")</f>
        <v/>
      </c>
      <c r="AQ103" s="127"/>
      <c r="AR103" s="127"/>
      <c r="AS103" s="58" t="str" cm="1">
        <f>IFERROR(IF(ISBLANK($A103),"",INDEX(Array_StationaryCharges,MATCH($A103,List_StationaryFuelMeters,0),ROUNDUP((COLUMN()+1)/3-2,0))),"")</f>
        <v/>
      </c>
      <c r="AT103" s="127"/>
      <c r="AU103" s="127"/>
      <c r="AV103" s="58" t="str" cm="1">
        <f>IFERROR(IF(ISBLANK($A103),"",INDEX(Array_StationaryCharges,MATCH($A103,List_StationaryFuelMeters,0),ROUNDUP((COLUMN()+1)/3-2,0))),"")</f>
        <v/>
      </c>
      <c r="AW103" s="127"/>
      <c r="AX103" s="127"/>
    </row>
    <row r="104" spans="1:50" x14ac:dyDescent="0.3">
      <c r="A104" s="126"/>
      <c r="B104" s="133"/>
      <c r="C104" s="127"/>
      <c r="D104" s="138"/>
      <c r="E104" s="138"/>
      <c r="F104" s="58" t="str" cm="1">
        <f>IFERROR(IF(ISBLANK($A104),"",INDEX(Array_StationaryCharges,MATCH($A104,List_StationaryFuelMeters,0),ROUNDUP((COLUMN()+1)/3-2,0))),"")</f>
        <v/>
      </c>
      <c r="G104" s="127"/>
      <c r="H104" s="127"/>
      <c r="I104" s="58" t="str" cm="1">
        <f>IFERROR(IF(ISBLANK($A104),"",INDEX(Array_StationaryCharges,MATCH($A104,List_StationaryFuelMeters,0),ROUNDUP((COLUMN()+1)/3-2,0))),"")</f>
        <v/>
      </c>
      <c r="J104" s="127"/>
      <c r="K104" s="127"/>
      <c r="L104" s="58" t="str" cm="1">
        <f>IFERROR(IF(ISBLANK($A104),"",INDEX(Array_StationaryCharges,MATCH($A104,List_StationaryFuelMeters,0),ROUNDUP((COLUMN()+1)/3-2,0))),"")</f>
        <v/>
      </c>
      <c r="M104" s="127"/>
      <c r="N104" s="127"/>
      <c r="O104" s="58" t="str" cm="1">
        <f>IFERROR(IF(ISBLANK($A104),"",INDEX(Array_StationaryCharges,MATCH($A104,List_StationaryFuelMeters,0),ROUNDUP((COLUMN()+1)/3-2,0))),"")</f>
        <v/>
      </c>
      <c r="P104" s="127"/>
      <c r="Q104" s="127"/>
      <c r="R104" s="58" t="str" cm="1">
        <f>IFERROR(IF(ISBLANK($A104),"",INDEX(Array_StationaryCharges,MATCH($A104,List_StationaryFuelMeters,0),ROUNDUP((COLUMN()+1)/3-2,0))),"")</f>
        <v/>
      </c>
      <c r="S104" s="127"/>
      <c r="T104" s="127"/>
      <c r="U104" s="58" t="str" cm="1">
        <f>IFERROR(IF(ISBLANK($A104),"",INDEX(Array_StationaryCharges,MATCH($A104,List_StationaryFuelMeters,0),ROUNDUP((COLUMN()+1)/3-2,0))),"")</f>
        <v/>
      </c>
      <c r="V104" s="127"/>
      <c r="W104" s="127"/>
      <c r="X104" s="58" t="str" cm="1">
        <f>IFERROR(IF(ISBLANK($A104),"",INDEX(Array_StationaryCharges,MATCH($A104,List_StationaryFuelMeters,0),ROUNDUP((COLUMN()+1)/3-2,0))),"")</f>
        <v/>
      </c>
      <c r="Y104" s="127"/>
      <c r="Z104" s="127"/>
      <c r="AA104" s="58" t="str" cm="1">
        <f>IFERROR(IF(ISBLANK($A104),"",INDEX(Array_StationaryCharges,MATCH($A104,List_StationaryFuelMeters,0),ROUNDUP((COLUMN()+1)/3-2,0))),"")</f>
        <v/>
      </c>
      <c r="AB104" s="127"/>
      <c r="AC104" s="127"/>
      <c r="AD104" s="58" t="str" cm="1">
        <f>IFERROR(IF(ISBLANK($A104),"",INDEX(Array_StationaryCharges,MATCH($A104,List_StationaryFuelMeters,0),ROUNDUP((COLUMN()+1)/3-2,0))),"")</f>
        <v/>
      </c>
      <c r="AE104" s="127"/>
      <c r="AF104" s="127"/>
      <c r="AG104" s="58" t="str" cm="1">
        <f>IFERROR(IF(ISBLANK($A104),"",INDEX(Array_StationaryCharges,MATCH($A104,List_StationaryFuelMeters,0),ROUNDUP((COLUMN()+1)/3-2,0))),"")</f>
        <v/>
      </c>
      <c r="AH104" s="127"/>
      <c r="AI104" s="127"/>
      <c r="AJ104" s="58" t="str" cm="1">
        <f>IFERROR(IF(ISBLANK($A104),"",INDEX(Array_StationaryCharges,MATCH($A104,List_StationaryFuelMeters,0),ROUNDUP((COLUMN()+1)/3-2,0))),"")</f>
        <v/>
      </c>
      <c r="AK104" s="127"/>
      <c r="AL104" s="127"/>
      <c r="AM104" s="58" t="str" cm="1">
        <f>IFERROR(IF(ISBLANK($A104),"",INDEX(Array_StationaryCharges,MATCH($A104,List_StationaryFuelMeters,0),ROUNDUP((COLUMN()+1)/3-2,0))),"")</f>
        <v/>
      </c>
      <c r="AN104" s="127"/>
      <c r="AO104" s="127"/>
      <c r="AP104" s="58" t="str" cm="1">
        <f>IFERROR(IF(ISBLANK($A104),"",INDEX(Array_StationaryCharges,MATCH($A104,List_StationaryFuelMeters,0),ROUNDUP((COLUMN()+1)/3-2,0))),"")</f>
        <v/>
      </c>
      <c r="AQ104" s="127"/>
      <c r="AR104" s="127"/>
      <c r="AS104" s="58" t="str" cm="1">
        <f>IFERROR(IF(ISBLANK($A104),"",INDEX(Array_StationaryCharges,MATCH($A104,List_StationaryFuelMeters,0),ROUNDUP((COLUMN()+1)/3-2,0))),"")</f>
        <v/>
      </c>
      <c r="AT104" s="127"/>
      <c r="AU104" s="127"/>
      <c r="AV104" s="58" t="str" cm="1">
        <f>IFERROR(IF(ISBLANK($A104),"",INDEX(Array_StationaryCharges,MATCH($A104,List_StationaryFuelMeters,0),ROUNDUP((COLUMN()+1)/3-2,0))),"")</f>
        <v/>
      </c>
      <c r="AW104" s="127"/>
      <c r="AX104" s="127"/>
    </row>
    <row r="105" spans="1:50" x14ac:dyDescent="0.3">
      <c r="A105" s="126"/>
      <c r="B105" s="133"/>
      <c r="C105" s="127"/>
      <c r="D105" s="138"/>
      <c r="E105" s="138"/>
      <c r="F105" s="58" t="str" cm="1">
        <f>IFERROR(IF(ISBLANK($A105),"",INDEX(Array_StationaryCharges,MATCH($A105,List_StationaryFuelMeters,0),ROUNDUP((COLUMN()+1)/3-2,0))),"")</f>
        <v/>
      </c>
      <c r="G105" s="127"/>
      <c r="H105" s="127"/>
      <c r="I105" s="58" t="str" cm="1">
        <f>IFERROR(IF(ISBLANK($A105),"",INDEX(Array_StationaryCharges,MATCH($A105,List_StationaryFuelMeters,0),ROUNDUP((COLUMN()+1)/3-2,0))),"")</f>
        <v/>
      </c>
      <c r="J105" s="127"/>
      <c r="K105" s="127"/>
      <c r="L105" s="58" t="str" cm="1">
        <f>IFERROR(IF(ISBLANK($A105),"",INDEX(Array_StationaryCharges,MATCH($A105,List_StationaryFuelMeters,0),ROUNDUP((COLUMN()+1)/3-2,0))),"")</f>
        <v/>
      </c>
      <c r="M105" s="127"/>
      <c r="N105" s="127"/>
      <c r="O105" s="58" t="str" cm="1">
        <f>IFERROR(IF(ISBLANK($A105),"",INDEX(Array_StationaryCharges,MATCH($A105,List_StationaryFuelMeters,0),ROUNDUP((COLUMN()+1)/3-2,0))),"")</f>
        <v/>
      </c>
      <c r="P105" s="127"/>
      <c r="Q105" s="127"/>
      <c r="R105" s="58" t="str" cm="1">
        <f>IFERROR(IF(ISBLANK($A105),"",INDEX(Array_StationaryCharges,MATCH($A105,List_StationaryFuelMeters,0),ROUNDUP((COLUMN()+1)/3-2,0))),"")</f>
        <v/>
      </c>
      <c r="S105" s="127"/>
      <c r="T105" s="127"/>
      <c r="U105" s="58" t="str" cm="1">
        <f>IFERROR(IF(ISBLANK($A105),"",INDEX(Array_StationaryCharges,MATCH($A105,List_StationaryFuelMeters,0),ROUNDUP((COLUMN()+1)/3-2,0))),"")</f>
        <v/>
      </c>
      <c r="V105" s="127"/>
      <c r="W105" s="127"/>
      <c r="X105" s="58" t="str" cm="1">
        <f>IFERROR(IF(ISBLANK($A105),"",INDEX(Array_StationaryCharges,MATCH($A105,List_StationaryFuelMeters,0),ROUNDUP((COLUMN()+1)/3-2,0))),"")</f>
        <v/>
      </c>
      <c r="Y105" s="127"/>
      <c r="Z105" s="127"/>
      <c r="AA105" s="58" t="str" cm="1">
        <f>IFERROR(IF(ISBLANK($A105),"",INDEX(Array_StationaryCharges,MATCH($A105,List_StationaryFuelMeters,0),ROUNDUP((COLUMN()+1)/3-2,0))),"")</f>
        <v/>
      </c>
      <c r="AB105" s="127"/>
      <c r="AC105" s="127"/>
      <c r="AD105" s="58" t="str" cm="1">
        <f>IFERROR(IF(ISBLANK($A105),"",INDEX(Array_StationaryCharges,MATCH($A105,List_StationaryFuelMeters,0),ROUNDUP((COLUMN()+1)/3-2,0))),"")</f>
        <v/>
      </c>
      <c r="AE105" s="127"/>
      <c r="AF105" s="127"/>
      <c r="AG105" s="58" t="str" cm="1">
        <f>IFERROR(IF(ISBLANK($A105),"",INDEX(Array_StationaryCharges,MATCH($A105,List_StationaryFuelMeters,0),ROUNDUP((COLUMN()+1)/3-2,0))),"")</f>
        <v/>
      </c>
      <c r="AH105" s="127"/>
      <c r="AI105" s="127"/>
      <c r="AJ105" s="58" t="str" cm="1">
        <f>IFERROR(IF(ISBLANK($A105),"",INDEX(Array_StationaryCharges,MATCH($A105,List_StationaryFuelMeters,0),ROUNDUP((COLUMN()+1)/3-2,0))),"")</f>
        <v/>
      </c>
      <c r="AK105" s="127"/>
      <c r="AL105" s="127"/>
      <c r="AM105" s="58" t="str" cm="1">
        <f>IFERROR(IF(ISBLANK($A105),"",INDEX(Array_StationaryCharges,MATCH($A105,List_StationaryFuelMeters,0),ROUNDUP((COLUMN()+1)/3-2,0))),"")</f>
        <v/>
      </c>
      <c r="AN105" s="127"/>
      <c r="AO105" s="127"/>
      <c r="AP105" s="58" t="str" cm="1">
        <f>IFERROR(IF(ISBLANK($A105),"",INDEX(Array_StationaryCharges,MATCH($A105,List_StationaryFuelMeters,0),ROUNDUP((COLUMN()+1)/3-2,0))),"")</f>
        <v/>
      </c>
      <c r="AQ105" s="127"/>
      <c r="AR105" s="127"/>
      <c r="AS105" s="58" t="str" cm="1">
        <f>IFERROR(IF(ISBLANK($A105),"",INDEX(Array_StationaryCharges,MATCH($A105,List_StationaryFuelMeters,0),ROUNDUP((COLUMN()+1)/3-2,0))),"")</f>
        <v/>
      </c>
      <c r="AT105" s="127"/>
      <c r="AU105" s="127"/>
      <c r="AV105" s="58" t="str" cm="1">
        <f>IFERROR(IF(ISBLANK($A105),"",INDEX(Array_StationaryCharges,MATCH($A105,List_StationaryFuelMeters,0),ROUNDUP((COLUMN()+1)/3-2,0))),"")</f>
        <v/>
      </c>
      <c r="AW105" s="127"/>
      <c r="AX105" s="127"/>
    </row>
    <row r="106" spans="1:50" x14ac:dyDescent="0.3">
      <c r="A106" s="126"/>
      <c r="B106" s="133"/>
      <c r="C106" s="127"/>
      <c r="D106" s="138"/>
      <c r="E106" s="138"/>
      <c r="F106" s="58" t="str" cm="1">
        <f>IFERROR(IF(ISBLANK($A106),"",INDEX(Array_StationaryCharges,MATCH($A106,List_StationaryFuelMeters,0),ROUNDUP((COLUMN()+1)/3-2,0))),"")</f>
        <v/>
      </c>
      <c r="G106" s="127"/>
      <c r="H106" s="127"/>
      <c r="I106" s="58" t="str" cm="1">
        <f>IFERROR(IF(ISBLANK($A106),"",INDEX(Array_StationaryCharges,MATCH($A106,List_StationaryFuelMeters,0),ROUNDUP((COLUMN()+1)/3-2,0))),"")</f>
        <v/>
      </c>
      <c r="J106" s="127"/>
      <c r="K106" s="127"/>
      <c r="L106" s="58" t="str" cm="1">
        <f>IFERROR(IF(ISBLANK($A106),"",INDEX(Array_StationaryCharges,MATCH($A106,List_StationaryFuelMeters,0),ROUNDUP((COLUMN()+1)/3-2,0))),"")</f>
        <v/>
      </c>
      <c r="M106" s="127"/>
      <c r="N106" s="127"/>
      <c r="O106" s="58" t="str" cm="1">
        <f>IFERROR(IF(ISBLANK($A106),"",INDEX(Array_StationaryCharges,MATCH($A106,List_StationaryFuelMeters,0),ROUNDUP((COLUMN()+1)/3-2,0))),"")</f>
        <v/>
      </c>
      <c r="P106" s="127"/>
      <c r="Q106" s="127"/>
      <c r="R106" s="58" t="str" cm="1">
        <f>IFERROR(IF(ISBLANK($A106),"",INDEX(Array_StationaryCharges,MATCH($A106,List_StationaryFuelMeters,0),ROUNDUP((COLUMN()+1)/3-2,0))),"")</f>
        <v/>
      </c>
      <c r="S106" s="127"/>
      <c r="T106" s="127"/>
      <c r="U106" s="58" t="str" cm="1">
        <f>IFERROR(IF(ISBLANK($A106),"",INDEX(Array_StationaryCharges,MATCH($A106,List_StationaryFuelMeters,0),ROUNDUP((COLUMN()+1)/3-2,0))),"")</f>
        <v/>
      </c>
      <c r="V106" s="127"/>
      <c r="W106" s="127"/>
      <c r="X106" s="58" t="str" cm="1">
        <f>IFERROR(IF(ISBLANK($A106),"",INDEX(Array_StationaryCharges,MATCH($A106,List_StationaryFuelMeters,0),ROUNDUP((COLUMN()+1)/3-2,0))),"")</f>
        <v/>
      </c>
      <c r="Y106" s="127"/>
      <c r="Z106" s="127"/>
      <c r="AA106" s="58" t="str" cm="1">
        <f>IFERROR(IF(ISBLANK($A106),"",INDEX(Array_StationaryCharges,MATCH($A106,List_StationaryFuelMeters,0),ROUNDUP((COLUMN()+1)/3-2,0))),"")</f>
        <v/>
      </c>
      <c r="AB106" s="127"/>
      <c r="AC106" s="127"/>
      <c r="AD106" s="58" t="str" cm="1">
        <f>IFERROR(IF(ISBLANK($A106),"",INDEX(Array_StationaryCharges,MATCH($A106,List_StationaryFuelMeters,0),ROUNDUP((COLUMN()+1)/3-2,0))),"")</f>
        <v/>
      </c>
      <c r="AE106" s="127"/>
      <c r="AF106" s="127"/>
      <c r="AG106" s="58" t="str" cm="1">
        <f>IFERROR(IF(ISBLANK($A106),"",INDEX(Array_StationaryCharges,MATCH($A106,List_StationaryFuelMeters,0),ROUNDUP((COLUMN()+1)/3-2,0))),"")</f>
        <v/>
      </c>
      <c r="AH106" s="127"/>
      <c r="AI106" s="127"/>
      <c r="AJ106" s="58" t="str" cm="1">
        <f>IFERROR(IF(ISBLANK($A106),"",INDEX(Array_StationaryCharges,MATCH($A106,List_StationaryFuelMeters,0),ROUNDUP((COLUMN()+1)/3-2,0))),"")</f>
        <v/>
      </c>
      <c r="AK106" s="127"/>
      <c r="AL106" s="127"/>
      <c r="AM106" s="58" t="str" cm="1">
        <f>IFERROR(IF(ISBLANK($A106),"",INDEX(Array_StationaryCharges,MATCH($A106,List_StationaryFuelMeters,0),ROUNDUP((COLUMN()+1)/3-2,0))),"")</f>
        <v/>
      </c>
      <c r="AN106" s="127"/>
      <c r="AO106" s="127"/>
      <c r="AP106" s="58" t="str" cm="1">
        <f>IFERROR(IF(ISBLANK($A106),"",INDEX(Array_StationaryCharges,MATCH($A106,List_StationaryFuelMeters,0),ROUNDUP((COLUMN()+1)/3-2,0))),"")</f>
        <v/>
      </c>
      <c r="AQ106" s="127"/>
      <c r="AR106" s="127"/>
      <c r="AS106" s="58" t="str" cm="1">
        <f>IFERROR(IF(ISBLANK($A106),"",INDEX(Array_StationaryCharges,MATCH($A106,List_StationaryFuelMeters,0),ROUNDUP((COLUMN()+1)/3-2,0))),"")</f>
        <v/>
      </c>
      <c r="AT106" s="127"/>
      <c r="AU106" s="127"/>
      <c r="AV106" s="58" t="str" cm="1">
        <f>IFERROR(IF(ISBLANK($A106),"",INDEX(Array_StationaryCharges,MATCH($A106,List_StationaryFuelMeters,0),ROUNDUP((COLUMN()+1)/3-2,0))),"")</f>
        <v/>
      </c>
      <c r="AW106" s="127"/>
      <c r="AX106" s="127"/>
    </row>
    <row r="107" spans="1:50" x14ac:dyDescent="0.3">
      <c r="A107" s="126"/>
      <c r="B107" s="133"/>
      <c r="C107" s="127"/>
      <c r="D107" s="138"/>
      <c r="E107" s="138"/>
      <c r="F107" s="58" t="str" cm="1">
        <f>IFERROR(IF(ISBLANK($A107),"",INDEX(Array_StationaryCharges,MATCH($A107,List_StationaryFuelMeters,0),ROUNDUP((COLUMN()+1)/3-2,0))),"")</f>
        <v/>
      </c>
      <c r="G107" s="127"/>
      <c r="H107" s="127"/>
      <c r="I107" s="58" t="str" cm="1">
        <f>IFERROR(IF(ISBLANK($A107),"",INDEX(Array_StationaryCharges,MATCH($A107,List_StationaryFuelMeters,0),ROUNDUP((COLUMN()+1)/3-2,0))),"")</f>
        <v/>
      </c>
      <c r="J107" s="127"/>
      <c r="K107" s="127"/>
      <c r="L107" s="58" t="str" cm="1">
        <f>IFERROR(IF(ISBLANK($A107),"",INDEX(Array_StationaryCharges,MATCH($A107,List_StationaryFuelMeters,0),ROUNDUP((COLUMN()+1)/3-2,0))),"")</f>
        <v/>
      </c>
      <c r="M107" s="127"/>
      <c r="N107" s="127"/>
      <c r="O107" s="58" t="str" cm="1">
        <f>IFERROR(IF(ISBLANK($A107),"",INDEX(Array_StationaryCharges,MATCH($A107,List_StationaryFuelMeters,0),ROUNDUP((COLUMN()+1)/3-2,0))),"")</f>
        <v/>
      </c>
      <c r="P107" s="127"/>
      <c r="Q107" s="127"/>
      <c r="R107" s="58" t="str" cm="1">
        <f>IFERROR(IF(ISBLANK($A107),"",INDEX(Array_StationaryCharges,MATCH($A107,List_StationaryFuelMeters,0),ROUNDUP((COLUMN()+1)/3-2,0))),"")</f>
        <v/>
      </c>
      <c r="S107" s="127"/>
      <c r="T107" s="127"/>
      <c r="U107" s="58" t="str" cm="1">
        <f>IFERROR(IF(ISBLANK($A107),"",INDEX(Array_StationaryCharges,MATCH($A107,List_StationaryFuelMeters,0),ROUNDUP((COLUMN()+1)/3-2,0))),"")</f>
        <v/>
      </c>
      <c r="V107" s="127"/>
      <c r="W107" s="127"/>
      <c r="X107" s="58" t="str" cm="1">
        <f>IFERROR(IF(ISBLANK($A107),"",INDEX(Array_StationaryCharges,MATCH($A107,List_StationaryFuelMeters,0),ROUNDUP((COLUMN()+1)/3-2,0))),"")</f>
        <v/>
      </c>
      <c r="Y107" s="127"/>
      <c r="Z107" s="127"/>
      <c r="AA107" s="58" t="str" cm="1">
        <f>IFERROR(IF(ISBLANK($A107),"",INDEX(Array_StationaryCharges,MATCH($A107,List_StationaryFuelMeters,0),ROUNDUP((COLUMN()+1)/3-2,0))),"")</f>
        <v/>
      </c>
      <c r="AB107" s="127"/>
      <c r="AC107" s="127"/>
      <c r="AD107" s="58" t="str" cm="1">
        <f>IFERROR(IF(ISBLANK($A107),"",INDEX(Array_StationaryCharges,MATCH($A107,List_StationaryFuelMeters,0),ROUNDUP((COLUMN()+1)/3-2,0))),"")</f>
        <v/>
      </c>
      <c r="AE107" s="127"/>
      <c r="AF107" s="127"/>
      <c r="AG107" s="58" t="str" cm="1">
        <f>IFERROR(IF(ISBLANK($A107),"",INDEX(Array_StationaryCharges,MATCH($A107,List_StationaryFuelMeters,0),ROUNDUP((COLUMN()+1)/3-2,0))),"")</f>
        <v/>
      </c>
      <c r="AH107" s="127"/>
      <c r="AI107" s="127"/>
      <c r="AJ107" s="58" t="str" cm="1">
        <f>IFERROR(IF(ISBLANK($A107),"",INDEX(Array_StationaryCharges,MATCH($A107,List_StationaryFuelMeters,0),ROUNDUP((COLUMN()+1)/3-2,0))),"")</f>
        <v/>
      </c>
      <c r="AK107" s="127"/>
      <c r="AL107" s="127"/>
      <c r="AM107" s="58" t="str" cm="1">
        <f>IFERROR(IF(ISBLANK($A107),"",INDEX(Array_StationaryCharges,MATCH($A107,List_StationaryFuelMeters,0),ROUNDUP((COLUMN()+1)/3-2,0))),"")</f>
        <v/>
      </c>
      <c r="AN107" s="127"/>
      <c r="AO107" s="127"/>
      <c r="AP107" s="58" t="str" cm="1">
        <f>IFERROR(IF(ISBLANK($A107),"",INDEX(Array_StationaryCharges,MATCH($A107,List_StationaryFuelMeters,0),ROUNDUP((COLUMN()+1)/3-2,0))),"")</f>
        <v/>
      </c>
      <c r="AQ107" s="127"/>
      <c r="AR107" s="127"/>
      <c r="AS107" s="58" t="str" cm="1">
        <f>IFERROR(IF(ISBLANK($A107),"",INDEX(Array_StationaryCharges,MATCH($A107,List_StationaryFuelMeters,0),ROUNDUP((COLUMN()+1)/3-2,0))),"")</f>
        <v/>
      </c>
      <c r="AT107" s="127"/>
      <c r="AU107" s="127"/>
      <c r="AV107" s="58" t="str" cm="1">
        <f>IFERROR(IF(ISBLANK($A107),"",INDEX(Array_StationaryCharges,MATCH($A107,List_StationaryFuelMeters,0),ROUNDUP((COLUMN()+1)/3-2,0))),"")</f>
        <v/>
      </c>
      <c r="AW107" s="127"/>
      <c r="AX107" s="127"/>
    </row>
    <row r="108" spans="1:50" x14ac:dyDescent="0.3">
      <c r="A108" s="126"/>
      <c r="B108" s="133"/>
      <c r="C108" s="127"/>
      <c r="D108" s="138"/>
      <c r="E108" s="138"/>
      <c r="F108" s="58" t="str" cm="1">
        <f>IFERROR(IF(ISBLANK($A108),"",INDEX(Array_StationaryCharges,MATCH($A108,List_StationaryFuelMeters,0),ROUNDUP((COLUMN()+1)/3-2,0))),"")</f>
        <v/>
      </c>
      <c r="G108" s="127"/>
      <c r="H108" s="127"/>
      <c r="I108" s="58" t="str" cm="1">
        <f>IFERROR(IF(ISBLANK($A108),"",INDEX(Array_StationaryCharges,MATCH($A108,List_StationaryFuelMeters,0),ROUNDUP((COLUMN()+1)/3-2,0))),"")</f>
        <v/>
      </c>
      <c r="J108" s="127"/>
      <c r="K108" s="127"/>
      <c r="L108" s="58" t="str" cm="1">
        <f>IFERROR(IF(ISBLANK($A108),"",INDEX(Array_StationaryCharges,MATCH($A108,List_StationaryFuelMeters,0),ROUNDUP((COLUMN()+1)/3-2,0))),"")</f>
        <v/>
      </c>
      <c r="M108" s="127"/>
      <c r="N108" s="127"/>
      <c r="O108" s="58" t="str" cm="1">
        <f>IFERROR(IF(ISBLANK($A108),"",INDEX(Array_StationaryCharges,MATCH($A108,List_StationaryFuelMeters,0),ROUNDUP((COLUMN()+1)/3-2,0))),"")</f>
        <v/>
      </c>
      <c r="P108" s="127"/>
      <c r="Q108" s="127"/>
      <c r="R108" s="58" t="str" cm="1">
        <f>IFERROR(IF(ISBLANK($A108),"",INDEX(Array_StationaryCharges,MATCH($A108,List_StationaryFuelMeters,0),ROUNDUP((COLUMN()+1)/3-2,0))),"")</f>
        <v/>
      </c>
      <c r="S108" s="127"/>
      <c r="T108" s="127"/>
      <c r="U108" s="58" t="str" cm="1">
        <f>IFERROR(IF(ISBLANK($A108),"",INDEX(Array_StationaryCharges,MATCH($A108,List_StationaryFuelMeters,0),ROUNDUP((COLUMN()+1)/3-2,0))),"")</f>
        <v/>
      </c>
      <c r="V108" s="127"/>
      <c r="W108" s="127"/>
      <c r="X108" s="58" t="str" cm="1">
        <f>IFERROR(IF(ISBLANK($A108),"",INDEX(Array_StationaryCharges,MATCH($A108,List_StationaryFuelMeters,0),ROUNDUP((COLUMN()+1)/3-2,0))),"")</f>
        <v/>
      </c>
      <c r="Y108" s="127"/>
      <c r="Z108" s="127"/>
      <c r="AA108" s="58" t="str" cm="1">
        <f>IFERROR(IF(ISBLANK($A108),"",INDEX(Array_StationaryCharges,MATCH($A108,List_StationaryFuelMeters,0),ROUNDUP((COLUMN()+1)/3-2,0))),"")</f>
        <v/>
      </c>
      <c r="AB108" s="127"/>
      <c r="AC108" s="127"/>
      <c r="AD108" s="58" t="str" cm="1">
        <f>IFERROR(IF(ISBLANK($A108),"",INDEX(Array_StationaryCharges,MATCH($A108,List_StationaryFuelMeters,0),ROUNDUP((COLUMN()+1)/3-2,0))),"")</f>
        <v/>
      </c>
      <c r="AE108" s="127"/>
      <c r="AF108" s="127"/>
      <c r="AG108" s="58" t="str" cm="1">
        <f>IFERROR(IF(ISBLANK($A108),"",INDEX(Array_StationaryCharges,MATCH($A108,List_StationaryFuelMeters,0),ROUNDUP((COLUMN()+1)/3-2,0))),"")</f>
        <v/>
      </c>
      <c r="AH108" s="127"/>
      <c r="AI108" s="127"/>
      <c r="AJ108" s="58" t="str" cm="1">
        <f>IFERROR(IF(ISBLANK($A108),"",INDEX(Array_StationaryCharges,MATCH($A108,List_StationaryFuelMeters,0),ROUNDUP((COLUMN()+1)/3-2,0))),"")</f>
        <v/>
      </c>
      <c r="AK108" s="127"/>
      <c r="AL108" s="127"/>
      <c r="AM108" s="58" t="str" cm="1">
        <f>IFERROR(IF(ISBLANK($A108),"",INDEX(Array_StationaryCharges,MATCH($A108,List_StationaryFuelMeters,0),ROUNDUP((COLUMN()+1)/3-2,0))),"")</f>
        <v/>
      </c>
      <c r="AN108" s="127"/>
      <c r="AO108" s="127"/>
      <c r="AP108" s="58" t="str" cm="1">
        <f>IFERROR(IF(ISBLANK($A108),"",INDEX(Array_StationaryCharges,MATCH($A108,List_StationaryFuelMeters,0),ROUNDUP((COLUMN()+1)/3-2,0))),"")</f>
        <v/>
      </c>
      <c r="AQ108" s="127"/>
      <c r="AR108" s="127"/>
      <c r="AS108" s="58" t="str" cm="1">
        <f>IFERROR(IF(ISBLANK($A108),"",INDEX(Array_StationaryCharges,MATCH($A108,List_StationaryFuelMeters,0),ROUNDUP((COLUMN()+1)/3-2,0))),"")</f>
        <v/>
      </c>
      <c r="AT108" s="127"/>
      <c r="AU108" s="127"/>
      <c r="AV108" s="58" t="str" cm="1">
        <f>IFERROR(IF(ISBLANK($A108),"",INDEX(Array_StationaryCharges,MATCH($A108,List_StationaryFuelMeters,0),ROUNDUP((COLUMN()+1)/3-2,0))),"")</f>
        <v/>
      </c>
      <c r="AW108" s="127"/>
      <c r="AX108" s="127"/>
    </row>
    <row r="109" spans="1:50" x14ac:dyDescent="0.3">
      <c r="A109" s="126"/>
      <c r="B109" s="133"/>
      <c r="C109" s="127"/>
      <c r="D109" s="138"/>
      <c r="E109" s="138"/>
      <c r="F109" s="58" t="str" cm="1">
        <f>IFERROR(IF(ISBLANK($A109),"",INDEX(Array_StationaryCharges,MATCH($A109,List_StationaryFuelMeters,0),ROUNDUP((COLUMN()+1)/3-2,0))),"")</f>
        <v/>
      </c>
      <c r="G109" s="127"/>
      <c r="H109" s="127"/>
      <c r="I109" s="58" t="str" cm="1">
        <f>IFERROR(IF(ISBLANK($A109),"",INDEX(Array_StationaryCharges,MATCH($A109,List_StationaryFuelMeters,0),ROUNDUP((COLUMN()+1)/3-2,0))),"")</f>
        <v/>
      </c>
      <c r="J109" s="127"/>
      <c r="K109" s="127"/>
      <c r="L109" s="58" t="str" cm="1">
        <f>IFERROR(IF(ISBLANK($A109),"",INDEX(Array_StationaryCharges,MATCH($A109,List_StationaryFuelMeters,0),ROUNDUP((COLUMN()+1)/3-2,0))),"")</f>
        <v/>
      </c>
      <c r="M109" s="127"/>
      <c r="N109" s="127"/>
      <c r="O109" s="58" t="str" cm="1">
        <f>IFERROR(IF(ISBLANK($A109),"",INDEX(Array_StationaryCharges,MATCH($A109,List_StationaryFuelMeters,0),ROUNDUP((COLUMN()+1)/3-2,0))),"")</f>
        <v/>
      </c>
      <c r="P109" s="127"/>
      <c r="Q109" s="127"/>
      <c r="R109" s="58" t="str" cm="1">
        <f>IFERROR(IF(ISBLANK($A109),"",INDEX(Array_StationaryCharges,MATCH($A109,List_StationaryFuelMeters,0),ROUNDUP((COLUMN()+1)/3-2,0))),"")</f>
        <v/>
      </c>
      <c r="S109" s="127"/>
      <c r="T109" s="127"/>
      <c r="U109" s="58" t="str" cm="1">
        <f>IFERROR(IF(ISBLANK($A109),"",INDEX(Array_StationaryCharges,MATCH($A109,List_StationaryFuelMeters,0),ROUNDUP((COLUMN()+1)/3-2,0))),"")</f>
        <v/>
      </c>
      <c r="V109" s="127"/>
      <c r="W109" s="127"/>
      <c r="X109" s="58" t="str" cm="1">
        <f>IFERROR(IF(ISBLANK($A109),"",INDEX(Array_StationaryCharges,MATCH($A109,List_StationaryFuelMeters,0),ROUNDUP((COLUMN()+1)/3-2,0))),"")</f>
        <v/>
      </c>
      <c r="Y109" s="127"/>
      <c r="Z109" s="127"/>
      <c r="AA109" s="58" t="str" cm="1">
        <f>IFERROR(IF(ISBLANK($A109),"",INDEX(Array_StationaryCharges,MATCH($A109,List_StationaryFuelMeters,0),ROUNDUP((COLUMN()+1)/3-2,0))),"")</f>
        <v/>
      </c>
      <c r="AB109" s="127"/>
      <c r="AC109" s="127"/>
      <c r="AD109" s="58" t="str" cm="1">
        <f>IFERROR(IF(ISBLANK($A109),"",INDEX(Array_StationaryCharges,MATCH($A109,List_StationaryFuelMeters,0),ROUNDUP((COLUMN()+1)/3-2,0))),"")</f>
        <v/>
      </c>
      <c r="AE109" s="127"/>
      <c r="AF109" s="127"/>
      <c r="AG109" s="58" t="str" cm="1">
        <f>IFERROR(IF(ISBLANK($A109),"",INDEX(Array_StationaryCharges,MATCH($A109,List_StationaryFuelMeters,0),ROUNDUP((COLUMN()+1)/3-2,0))),"")</f>
        <v/>
      </c>
      <c r="AH109" s="127"/>
      <c r="AI109" s="127"/>
      <c r="AJ109" s="58" t="str" cm="1">
        <f>IFERROR(IF(ISBLANK($A109),"",INDEX(Array_StationaryCharges,MATCH($A109,List_StationaryFuelMeters,0),ROUNDUP((COLUMN()+1)/3-2,0))),"")</f>
        <v/>
      </c>
      <c r="AK109" s="127"/>
      <c r="AL109" s="127"/>
      <c r="AM109" s="58" t="str" cm="1">
        <f>IFERROR(IF(ISBLANK($A109),"",INDEX(Array_StationaryCharges,MATCH($A109,List_StationaryFuelMeters,0),ROUNDUP((COLUMN()+1)/3-2,0))),"")</f>
        <v/>
      </c>
      <c r="AN109" s="127"/>
      <c r="AO109" s="127"/>
      <c r="AP109" s="58" t="str" cm="1">
        <f>IFERROR(IF(ISBLANK($A109),"",INDEX(Array_StationaryCharges,MATCH($A109,List_StationaryFuelMeters,0),ROUNDUP((COLUMN()+1)/3-2,0))),"")</f>
        <v/>
      </c>
      <c r="AQ109" s="127"/>
      <c r="AR109" s="127"/>
      <c r="AS109" s="58" t="str" cm="1">
        <f>IFERROR(IF(ISBLANK($A109),"",INDEX(Array_StationaryCharges,MATCH($A109,List_StationaryFuelMeters,0),ROUNDUP((COLUMN()+1)/3-2,0))),"")</f>
        <v/>
      </c>
      <c r="AT109" s="127"/>
      <c r="AU109" s="127"/>
      <c r="AV109" s="58" t="str" cm="1">
        <f>IFERROR(IF(ISBLANK($A109),"",INDEX(Array_StationaryCharges,MATCH($A109,List_StationaryFuelMeters,0),ROUNDUP((COLUMN()+1)/3-2,0))),"")</f>
        <v/>
      </c>
      <c r="AW109" s="127"/>
      <c r="AX109" s="127"/>
    </row>
    <row r="110" spans="1:50" x14ac:dyDescent="0.3">
      <c r="A110" s="126"/>
      <c r="B110" s="133"/>
      <c r="C110" s="127"/>
      <c r="D110" s="138"/>
      <c r="E110" s="138"/>
      <c r="F110" s="58" t="str" cm="1">
        <f>IFERROR(IF(ISBLANK($A110),"",INDEX(Array_StationaryCharges,MATCH($A110,List_StationaryFuelMeters,0),ROUNDUP((COLUMN()+1)/3-2,0))),"")</f>
        <v/>
      </c>
      <c r="G110" s="127"/>
      <c r="H110" s="127"/>
      <c r="I110" s="58" t="str" cm="1">
        <f>IFERROR(IF(ISBLANK($A110),"",INDEX(Array_StationaryCharges,MATCH($A110,List_StationaryFuelMeters,0),ROUNDUP((COLUMN()+1)/3-2,0))),"")</f>
        <v/>
      </c>
      <c r="J110" s="127"/>
      <c r="K110" s="127"/>
      <c r="L110" s="58" t="str" cm="1">
        <f>IFERROR(IF(ISBLANK($A110),"",INDEX(Array_StationaryCharges,MATCH($A110,List_StationaryFuelMeters,0),ROUNDUP((COLUMN()+1)/3-2,0))),"")</f>
        <v/>
      </c>
      <c r="M110" s="127"/>
      <c r="N110" s="127"/>
      <c r="O110" s="58" t="str" cm="1">
        <f>IFERROR(IF(ISBLANK($A110),"",INDEX(Array_StationaryCharges,MATCH($A110,List_StationaryFuelMeters,0),ROUNDUP((COLUMN()+1)/3-2,0))),"")</f>
        <v/>
      </c>
      <c r="P110" s="127"/>
      <c r="Q110" s="127"/>
      <c r="R110" s="58" t="str" cm="1">
        <f>IFERROR(IF(ISBLANK($A110),"",INDEX(Array_StationaryCharges,MATCH($A110,List_StationaryFuelMeters,0),ROUNDUP((COLUMN()+1)/3-2,0))),"")</f>
        <v/>
      </c>
      <c r="S110" s="127"/>
      <c r="T110" s="127"/>
      <c r="U110" s="58" t="str" cm="1">
        <f>IFERROR(IF(ISBLANK($A110),"",INDEX(Array_StationaryCharges,MATCH($A110,List_StationaryFuelMeters,0),ROUNDUP((COLUMN()+1)/3-2,0))),"")</f>
        <v/>
      </c>
      <c r="V110" s="127"/>
      <c r="W110" s="127"/>
      <c r="X110" s="58" t="str" cm="1">
        <f>IFERROR(IF(ISBLANK($A110),"",INDEX(Array_StationaryCharges,MATCH($A110,List_StationaryFuelMeters,0),ROUNDUP((COLUMN()+1)/3-2,0))),"")</f>
        <v/>
      </c>
      <c r="Y110" s="127"/>
      <c r="Z110" s="127"/>
      <c r="AA110" s="58" t="str" cm="1">
        <f>IFERROR(IF(ISBLANK($A110),"",INDEX(Array_StationaryCharges,MATCH($A110,List_StationaryFuelMeters,0),ROUNDUP((COLUMN()+1)/3-2,0))),"")</f>
        <v/>
      </c>
      <c r="AB110" s="127"/>
      <c r="AC110" s="127"/>
      <c r="AD110" s="58" t="str" cm="1">
        <f>IFERROR(IF(ISBLANK($A110),"",INDEX(Array_StationaryCharges,MATCH($A110,List_StationaryFuelMeters,0),ROUNDUP((COLUMN()+1)/3-2,0))),"")</f>
        <v/>
      </c>
      <c r="AE110" s="127"/>
      <c r="AF110" s="127"/>
      <c r="AG110" s="58" t="str" cm="1">
        <f>IFERROR(IF(ISBLANK($A110),"",INDEX(Array_StationaryCharges,MATCH($A110,List_StationaryFuelMeters,0),ROUNDUP((COLUMN()+1)/3-2,0))),"")</f>
        <v/>
      </c>
      <c r="AH110" s="127"/>
      <c r="AI110" s="127"/>
      <c r="AJ110" s="58" t="str" cm="1">
        <f>IFERROR(IF(ISBLANK($A110),"",INDEX(Array_StationaryCharges,MATCH($A110,List_StationaryFuelMeters,0),ROUNDUP((COLUMN()+1)/3-2,0))),"")</f>
        <v/>
      </c>
      <c r="AK110" s="127"/>
      <c r="AL110" s="127"/>
      <c r="AM110" s="58" t="str" cm="1">
        <f>IFERROR(IF(ISBLANK($A110),"",INDEX(Array_StationaryCharges,MATCH($A110,List_StationaryFuelMeters,0),ROUNDUP((COLUMN()+1)/3-2,0))),"")</f>
        <v/>
      </c>
      <c r="AN110" s="127"/>
      <c r="AO110" s="127"/>
      <c r="AP110" s="58" t="str" cm="1">
        <f>IFERROR(IF(ISBLANK($A110),"",INDEX(Array_StationaryCharges,MATCH($A110,List_StationaryFuelMeters,0),ROUNDUP((COLUMN()+1)/3-2,0))),"")</f>
        <v/>
      </c>
      <c r="AQ110" s="127"/>
      <c r="AR110" s="127"/>
      <c r="AS110" s="58" t="str" cm="1">
        <f>IFERROR(IF(ISBLANK($A110),"",INDEX(Array_StationaryCharges,MATCH($A110,List_StationaryFuelMeters,0),ROUNDUP((COLUMN()+1)/3-2,0))),"")</f>
        <v/>
      </c>
      <c r="AT110" s="127"/>
      <c r="AU110" s="127"/>
      <c r="AV110" s="58" t="str" cm="1">
        <f>IFERROR(IF(ISBLANK($A110),"",INDEX(Array_StationaryCharges,MATCH($A110,List_StationaryFuelMeters,0),ROUNDUP((COLUMN()+1)/3-2,0))),"")</f>
        <v/>
      </c>
      <c r="AW110" s="127"/>
      <c r="AX110" s="127"/>
    </row>
    <row r="111" spans="1:50" x14ac:dyDescent="0.3">
      <c r="A111" s="126"/>
      <c r="B111" s="133"/>
      <c r="C111" s="127"/>
      <c r="D111" s="138"/>
      <c r="E111" s="138"/>
      <c r="F111" s="58" t="str" cm="1">
        <f>IFERROR(IF(ISBLANK($A111),"",INDEX(Array_StationaryCharges,MATCH($A111,List_StationaryFuelMeters,0),ROUNDUP((COLUMN()+1)/3-2,0))),"")</f>
        <v/>
      </c>
      <c r="G111" s="127"/>
      <c r="H111" s="127"/>
      <c r="I111" s="58" t="str" cm="1">
        <f>IFERROR(IF(ISBLANK($A111),"",INDEX(Array_StationaryCharges,MATCH($A111,List_StationaryFuelMeters,0),ROUNDUP((COLUMN()+1)/3-2,0))),"")</f>
        <v/>
      </c>
      <c r="J111" s="127"/>
      <c r="K111" s="127"/>
      <c r="L111" s="58" t="str" cm="1">
        <f>IFERROR(IF(ISBLANK($A111),"",INDEX(Array_StationaryCharges,MATCH($A111,List_StationaryFuelMeters,0),ROUNDUP((COLUMN()+1)/3-2,0))),"")</f>
        <v/>
      </c>
      <c r="M111" s="127"/>
      <c r="N111" s="127"/>
      <c r="O111" s="58" t="str" cm="1">
        <f>IFERROR(IF(ISBLANK($A111),"",INDEX(Array_StationaryCharges,MATCH($A111,List_StationaryFuelMeters,0),ROUNDUP((COLUMN()+1)/3-2,0))),"")</f>
        <v/>
      </c>
      <c r="P111" s="127"/>
      <c r="Q111" s="127"/>
      <c r="R111" s="58" t="str" cm="1">
        <f>IFERROR(IF(ISBLANK($A111),"",INDEX(Array_StationaryCharges,MATCH($A111,List_StationaryFuelMeters,0),ROUNDUP((COLUMN()+1)/3-2,0))),"")</f>
        <v/>
      </c>
      <c r="S111" s="127"/>
      <c r="T111" s="127"/>
      <c r="U111" s="58" t="str" cm="1">
        <f>IFERROR(IF(ISBLANK($A111),"",INDEX(Array_StationaryCharges,MATCH($A111,List_StationaryFuelMeters,0),ROUNDUP((COLUMN()+1)/3-2,0))),"")</f>
        <v/>
      </c>
      <c r="V111" s="127"/>
      <c r="W111" s="127"/>
      <c r="X111" s="58" t="str" cm="1">
        <f>IFERROR(IF(ISBLANK($A111),"",INDEX(Array_StationaryCharges,MATCH($A111,List_StationaryFuelMeters,0),ROUNDUP((COLUMN()+1)/3-2,0))),"")</f>
        <v/>
      </c>
      <c r="Y111" s="127"/>
      <c r="Z111" s="127"/>
      <c r="AA111" s="58" t="str" cm="1">
        <f>IFERROR(IF(ISBLANK($A111),"",INDEX(Array_StationaryCharges,MATCH($A111,List_StationaryFuelMeters,0),ROUNDUP((COLUMN()+1)/3-2,0))),"")</f>
        <v/>
      </c>
      <c r="AB111" s="127"/>
      <c r="AC111" s="127"/>
      <c r="AD111" s="58" t="str" cm="1">
        <f>IFERROR(IF(ISBLANK($A111),"",INDEX(Array_StationaryCharges,MATCH($A111,List_StationaryFuelMeters,0),ROUNDUP((COLUMN()+1)/3-2,0))),"")</f>
        <v/>
      </c>
      <c r="AE111" s="127"/>
      <c r="AF111" s="127"/>
      <c r="AG111" s="58" t="str" cm="1">
        <f>IFERROR(IF(ISBLANK($A111),"",INDEX(Array_StationaryCharges,MATCH($A111,List_StationaryFuelMeters,0),ROUNDUP((COLUMN()+1)/3-2,0))),"")</f>
        <v/>
      </c>
      <c r="AH111" s="127"/>
      <c r="AI111" s="127"/>
      <c r="AJ111" s="58" t="str" cm="1">
        <f>IFERROR(IF(ISBLANK($A111),"",INDEX(Array_StationaryCharges,MATCH($A111,List_StationaryFuelMeters,0),ROUNDUP((COLUMN()+1)/3-2,0))),"")</f>
        <v/>
      </c>
      <c r="AK111" s="127"/>
      <c r="AL111" s="127"/>
      <c r="AM111" s="58" t="str" cm="1">
        <f>IFERROR(IF(ISBLANK($A111),"",INDEX(Array_StationaryCharges,MATCH($A111,List_StationaryFuelMeters,0),ROUNDUP((COLUMN()+1)/3-2,0))),"")</f>
        <v/>
      </c>
      <c r="AN111" s="127"/>
      <c r="AO111" s="127"/>
      <c r="AP111" s="58" t="str" cm="1">
        <f>IFERROR(IF(ISBLANK($A111),"",INDEX(Array_StationaryCharges,MATCH($A111,List_StationaryFuelMeters,0),ROUNDUP((COLUMN()+1)/3-2,0))),"")</f>
        <v/>
      </c>
      <c r="AQ111" s="127"/>
      <c r="AR111" s="127"/>
      <c r="AS111" s="58" t="str" cm="1">
        <f>IFERROR(IF(ISBLANK($A111),"",INDEX(Array_StationaryCharges,MATCH($A111,List_StationaryFuelMeters,0),ROUNDUP((COLUMN()+1)/3-2,0))),"")</f>
        <v/>
      </c>
      <c r="AT111" s="127"/>
      <c r="AU111" s="127"/>
      <c r="AV111" s="58" t="str" cm="1">
        <f>IFERROR(IF(ISBLANK($A111),"",INDEX(Array_StationaryCharges,MATCH($A111,List_StationaryFuelMeters,0),ROUNDUP((COLUMN()+1)/3-2,0))),"")</f>
        <v/>
      </c>
      <c r="AW111" s="127"/>
      <c r="AX111" s="127"/>
    </row>
    <row r="112" spans="1:50" x14ac:dyDescent="0.3">
      <c r="A112" s="126"/>
      <c r="B112" s="133"/>
      <c r="C112" s="127"/>
      <c r="D112" s="138"/>
      <c r="E112" s="138"/>
      <c r="F112" s="58" t="str" cm="1">
        <f>IFERROR(IF(ISBLANK($A112),"",INDEX(Array_StationaryCharges,MATCH($A112,List_StationaryFuelMeters,0),ROUNDUP((COLUMN()+1)/3-2,0))),"")</f>
        <v/>
      </c>
      <c r="G112" s="127"/>
      <c r="H112" s="127"/>
      <c r="I112" s="58" t="str" cm="1">
        <f>IFERROR(IF(ISBLANK($A112),"",INDEX(Array_StationaryCharges,MATCH($A112,List_StationaryFuelMeters,0),ROUNDUP((COLUMN()+1)/3-2,0))),"")</f>
        <v/>
      </c>
      <c r="J112" s="127"/>
      <c r="K112" s="127"/>
      <c r="L112" s="58" t="str" cm="1">
        <f>IFERROR(IF(ISBLANK($A112),"",INDEX(Array_StationaryCharges,MATCH($A112,List_StationaryFuelMeters,0),ROUNDUP((COLUMN()+1)/3-2,0))),"")</f>
        <v/>
      </c>
      <c r="M112" s="127"/>
      <c r="N112" s="127"/>
      <c r="O112" s="58" t="str" cm="1">
        <f>IFERROR(IF(ISBLANK($A112),"",INDEX(Array_StationaryCharges,MATCH($A112,List_StationaryFuelMeters,0),ROUNDUP((COLUMN()+1)/3-2,0))),"")</f>
        <v/>
      </c>
      <c r="P112" s="127"/>
      <c r="Q112" s="127"/>
      <c r="R112" s="58" t="str" cm="1">
        <f>IFERROR(IF(ISBLANK($A112),"",INDEX(Array_StationaryCharges,MATCH($A112,List_StationaryFuelMeters,0),ROUNDUP((COLUMN()+1)/3-2,0))),"")</f>
        <v/>
      </c>
      <c r="S112" s="127"/>
      <c r="T112" s="127"/>
      <c r="U112" s="58" t="str" cm="1">
        <f>IFERROR(IF(ISBLANK($A112),"",INDEX(Array_StationaryCharges,MATCH($A112,List_StationaryFuelMeters,0),ROUNDUP((COLUMN()+1)/3-2,0))),"")</f>
        <v/>
      </c>
      <c r="V112" s="127"/>
      <c r="W112" s="127"/>
      <c r="X112" s="58" t="str" cm="1">
        <f>IFERROR(IF(ISBLANK($A112),"",INDEX(Array_StationaryCharges,MATCH($A112,List_StationaryFuelMeters,0),ROUNDUP((COLUMN()+1)/3-2,0))),"")</f>
        <v/>
      </c>
      <c r="Y112" s="127"/>
      <c r="Z112" s="127"/>
      <c r="AA112" s="58" t="str" cm="1">
        <f>IFERROR(IF(ISBLANK($A112),"",INDEX(Array_StationaryCharges,MATCH($A112,List_StationaryFuelMeters,0),ROUNDUP((COLUMN()+1)/3-2,0))),"")</f>
        <v/>
      </c>
      <c r="AB112" s="127"/>
      <c r="AC112" s="127"/>
      <c r="AD112" s="58" t="str" cm="1">
        <f>IFERROR(IF(ISBLANK($A112),"",INDEX(Array_StationaryCharges,MATCH($A112,List_StationaryFuelMeters,0),ROUNDUP((COLUMN()+1)/3-2,0))),"")</f>
        <v/>
      </c>
      <c r="AE112" s="127"/>
      <c r="AF112" s="127"/>
      <c r="AG112" s="58" t="str" cm="1">
        <f>IFERROR(IF(ISBLANK($A112),"",INDEX(Array_StationaryCharges,MATCH($A112,List_StationaryFuelMeters,0),ROUNDUP((COLUMN()+1)/3-2,0))),"")</f>
        <v/>
      </c>
      <c r="AH112" s="127"/>
      <c r="AI112" s="127"/>
      <c r="AJ112" s="58" t="str" cm="1">
        <f>IFERROR(IF(ISBLANK($A112),"",INDEX(Array_StationaryCharges,MATCH($A112,List_StationaryFuelMeters,0),ROUNDUP((COLUMN()+1)/3-2,0))),"")</f>
        <v/>
      </c>
      <c r="AK112" s="127"/>
      <c r="AL112" s="127"/>
      <c r="AM112" s="58" t="str" cm="1">
        <f>IFERROR(IF(ISBLANK($A112),"",INDEX(Array_StationaryCharges,MATCH($A112,List_StationaryFuelMeters,0),ROUNDUP((COLUMN()+1)/3-2,0))),"")</f>
        <v/>
      </c>
      <c r="AN112" s="127"/>
      <c r="AO112" s="127"/>
      <c r="AP112" s="58" t="str" cm="1">
        <f>IFERROR(IF(ISBLANK($A112),"",INDEX(Array_StationaryCharges,MATCH($A112,List_StationaryFuelMeters,0),ROUNDUP((COLUMN()+1)/3-2,0))),"")</f>
        <v/>
      </c>
      <c r="AQ112" s="127"/>
      <c r="AR112" s="127"/>
      <c r="AS112" s="58" t="str" cm="1">
        <f>IFERROR(IF(ISBLANK($A112),"",INDEX(Array_StationaryCharges,MATCH($A112,List_StationaryFuelMeters,0),ROUNDUP((COLUMN()+1)/3-2,0))),"")</f>
        <v/>
      </c>
      <c r="AT112" s="127"/>
      <c r="AU112" s="127"/>
      <c r="AV112" s="58" t="str" cm="1">
        <f>IFERROR(IF(ISBLANK($A112),"",INDEX(Array_StationaryCharges,MATCH($A112,List_StationaryFuelMeters,0),ROUNDUP((COLUMN()+1)/3-2,0))),"")</f>
        <v/>
      </c>
      <c r="AW112" s="127"/>
      <c r="AX112" s="127"/>
    </row>
    <row r="113" spans="1:50" x14ac:dyDescent="0.3">
      <c r="A113" s="126"/>
      <c r="B113" s="133"/>
      <c r="C113" s="127"/>
      <c r="D113" s="138"/>
      <c r="E113" s="138"/>
      <c r="F113" s="58" t="str" cm="1">
        <f>IFERROR(IF(ISBLANK($A113),"",INDEX(Array_StationaryCharges,MATCH($A113,List_StationaryFuelMeters,0),ROUNDUP((COLUMN()+1)/3-2,0))),"")</f>
        <v/>
      </c>
      <c r="G113" s="127"/>
      <c r="H113" s="127"/>
      <c r="I113" s="58" t="str" cm="1">
        <f>IFERROR(IF(ISBLANK($A113),"",INDEX(Array_StationaryCharges,MATCH($A113,List_StationaryFuelMeters,0),ROUNDUP((COLUMN()+1)/3-2,0))),"")</f>
        <v/>
      </c>
      <c r="J113" s="127"/>
      <c r="K113" s="127"/>
      <c r="L113" s="58" t="str" cm="1">
        <f>IFERROR(IF(ISBLANK($A113),"",INDEX(Array_StationaryCharges,MATCH($A113,List_StationaryFuelMeters,0),ROUNDUP((COLUMN()+1)/3-2,0))),"")</f>
        <v/>
      </c>
      <c r="M113" s="127"/>
      <c r="N113" s="127"/>
      <c r="O113" s="58" t="str" cm="1">
        <f>IFERROR(IF(ISBLANK($A113),"",INDEX(Array_StationaryCharges,MATCH($A113,List_StationaryFuelMeters,0),ROUNDUP((COLUMN()+1)/3-2,0))),"")</f>
        <v/>
      </c>
      <c r="P113" s="127"/>
      <c r="Q113" s="127"/>
      <c r="R113" s="58" t="str" cm="1">
        <f>IFERROR(IF(ISBLANK($A113),"",INDEX(Array_StationaryCharges,MATCH($A113,List_StationaryFuelMeters,0),ROUNDUP((COLUMN()+1)/3-2,0))),"")</f>
        <v/>
      </c>
      <c r="S113" s="127"/>
      <c r="T113" s="127"/>
      <c r="U113" s="58" t="str" cm="1">
        <f>IFERROR(IF(ISBLANK($A113),"",INDEX(Array_StationaryCharges,MATCH($A113,List_StationaryFuelMeters,0),ROUNDUP((COLUMN()+1)/3-2,0))),"")</f>
        <v/>
      </c>
      <c r="V113" s="127"/>
      <c r="W113" s="127"/>
      <c r="X113" s="58" t="str" cm="1">
        <f>IFERROR(IF(ISBLANK($A113),"",INDEX(Array_StationaryCharges,MATCH($A113,List_StationaryFuelMeters,0),ROUNDUP((COLUMN()+1)/3-2,0))),"")</f>
        <v/>
      </c>
      <c r="Y113" s="127"/>
      <c r="Z113" s="127"/>
      <c r="AA113" s="58" t="str" cm="1">
        <f>IFERROR(IF(ISBLANK($A113),"",INDEX(Array_StationaryCharges,MATCH($A113,List_StationaryFuelMeters,0),ROUNDUP((COLUMN()+1)/3-2,0))),"")</f>
        <v/>
      </c>
      <c r="AB113" s="127"/>
      <c r="AC113" s="127"/>
      <c r="AD113" s="58" t="str" cm="1">
        <f>IFERROR(IF(ISBLANK($A113),"",INDEX(Array_StationaryCharges,MATCH($A113,List_StationaryFuelMeters,0),ROUNDUP((COLUMN()+1)/3-2,0))),"")</f>
        <v/>
      </c>
      <c r="AE113" s="127"/>
      <c r="AF113" s="127"/>
      <c r="AG113" s="58" t="str" cm="1">
        <f>IFERROR(IF(ISBLANK($A113),"",INDEX(Array_StationaryCharges,MATCH($A113,List_StationaryFuelMeters,0),ROUNDUP((COLUMN()+1)/3-2,0))),"")</f>
        <v/>
      </c>
      <c r="AH113" s="127"/>
      <c r="AI113" s="127"/>
      <c r="AJ113" s="58" t="str" cm="1">
        <f>IFERROR(IF(ISBLANK($A113),"",INDEX(Array_StationaryCharges,MATCH($A113,List_StationaryFuelMeters,0),ROUNDUP((COLUMN()+1)/3-2,0))),"")</f>
        <v/>
      </c>
      <c r="AK113" s="127"/>
      <c r="AL113" s="127"/>
      <c r="AM113" s="58" t="str" cm="1">
        <f>IFERROR(IF(ISBLANK($A113),"",INDEX(Array_StationaryCharges,MATCH($A113,List_StationaryFuelMeters,0),ROUNDUP((COLUMN()+1)/3-2,0))),"")</f>
        <v/>
      </c>
      <c r="AN113" s="127"/>
      <c r="AO113" s="127"/>
      <c r="AP113" s="58" t="str" cm="1">
        <f>IFERROR(IF(ISBLANK($A113),"",INDEX(Array_StationaryCharges,MATCH($A113,List_StationaryFuelMeters,0),ROUNDUP((COLUMN()+1)/3-2,0))),"")</f>
        <v/>
      </c>
      <c r="AQ113" s="127"/>
      <c r="AR113" s="127"/>
      <c r="AS113" s="58" t="str" cm="1">
        <f>IFERROR(IF(ISBLANK($A113),"",INDEX(Array_StationaryCharges,MATCH($A113,List_StationaryFuelMeters,0),ROUNDUP((COLUMN()+1)/3-2,0))),"")</f>
        <v/>
      </c>
      <c r="AT113" s="127"/>
      <c r="AU113" s="127"/>
      <c r="AV113" s="58" t="str" cm="1">
        <f>IFERROR(IF(ISBLANK($A113),"",INDEX(Array_StationaryCharges,MATCH($A113,List_StationaryFuelMeters,0),ROUNDUP((COLUMN()+1)/3-2,0))),"")</f>
        <v/>
      </c>
      <c r="AW113" s="127"/>
      <c r="AX113" s="127"/>
    </row>
    <row r="114" spans="1:50" x14ac:dyDescent="0.3">
      <c r="A114" s="126"/>
      <c r="B114" s="133"/>
      <c r="C114" s="127"/>
      <c r="D114" s="138"/>
      <c r="E114" s="138"/>
      <c r="F114" s="58" t="str" cm="1">
        <f>IFERROR(IF(ISBLANK($A114),"",INDEX(Array_StationaryCharges,MATCH($A114,List_StationaryFuelMeters,0),ROUNDUP((COLUMN()+1)/3-2,0))),"")</f>
        <v/>
      </c>
      <c r="G114" s="127"/>
      <c r="H114" s="127"/>
      <c r="I114" s="58" t="str" cm="1">
        <f>IFERROR(IF(ISBLANK($A114),"",INDEX(Array_StationaryCharges,MATCH($A114,List_StationaryFuelMeters,0),ROUNDUP((COLUMN()+1)/3-2,0))),"")</f>
        <v/>
      </c>
      <c r="J114" s="127"/>
      <c r="K114" s="127"/>
      <c r="L114" s="58" t="str" cm="1">
        <f>IFERROR(IF(ISBLANK($A114),"",INDEX(Array_StationaryCharges,MATCH($A114,List_StationaryFuelMeters,0),ROUNDUP((COLUMN()+1)/3-2,0))),"")</f>
        <v/>
      </c>
      <c r="M114" s="127"/>
      <c r="N114" s="127"/>
      <c r="O114" s="58" t="str" cm="1">
        <f>IFERROR(IF(ISBLANK($A114),"",INDEX(Array_StationaryCharges,MATCH($A114,List_StationaryFuelMeters,0),ROUNDUP((COLUMN()+1)/3-2,0))),"")</f>
        <v/>
      </c>
      <c r="P114" s="127"/>
      <c r="Q114" s="127"/>
      <c r="R114" s="58" t="str" cm="1">
        <f>IFERROR(IF(ISBLANK($A114),"",INDEX(Array_StationaryCharges,MATCH($A114,List_StationaryFuelMeters,0),ROUNDUP((COLUMN()+1)/3-2,0))),"")</f>
        <v/>
      </c>
      <c r="S114" s="127"/>
      <c r="T114" s="127"/>
      <c r="U114" s="58" t="str" cm="1">
        <f>IFERROR(IF(ISBLANK($A114),"",INDEX(Array_StationaryCharges,MATCH($A114,List_StationaryFuelMeters,0),ROUNDUP((COLUMN()+1)/3-2,0))),"")</f>
        <v/>
      </c>
      <c r="V114" s="127"/>
      <c r="W114" s="127"/>
      <c r="X114" s="58" t="str" cm="1">
        <f>IFERROR(IF(ISBLANK($A114),"",INDEX(Array_StationaryCharges,MATCH($A114,List_StationaryFuelMeters,0),ROUNDUP((COLUMN()+1)/3-2,0))),"")</f>
        <v/>
      </c>
      <c r="Y114" s="127"/>
      <c r="Z114" s="127"/>
      <c r="AA114" s="58" t="str" cm="1">
        <f>IFERROR(IF(ISBLANK($A114),"",INDEX(Array_StationaryCharges,MATCH($A114,List_StationaryFuelMeters,0),ROUNDUP((COLUMN()+1)/3-2,0))),"")</f>
        <v/>
      </c>
      <c r="AB114" s="127"/>
      <c r="AC114" s="127"/>
      <c r="AD114" s="58" t="str" cm="1">
        <f>IFERROR(IF(ISBLANK($A114),"",INDEX(Array_StationaryCharges,MATCH($A114,List_StationaryFuelMeters,0),ROUNDUP((COLUMN()+1)/3-2,0))),"")</f>
        <v/>
      </c>
      <c r="AE114" s="127"/>
      <c r="AF114" s="127"/>
      <c r="AG114" s="58" t="str" cm="1">
        <f>IFERROR(IF(ISBLANK($A114),"",INDEX(Array_StationaryCharges,MATCH($A114,List_StationaryFuelMeters,0),ROUNDUP((COLUMN()+1)/3-2,0))),"")</f>
        <v/>
      </c>
      <c r="AH114" s="127"/>
      <c r="AI114" s="127"/>
      <c r="AJ114" s="58" t="str" cm="1">
        <f>IFERROR(IF(ISBLANK($A114),"",INDEX(Array_StationaryCharges,MATCH($A114,List_StationaryFuelMeters,0),ROUNDUP((COLUMN()+1)/3-2,0))),"")</f>
        <v/>
      </c>
      <c r="AK114" s="127"/>
      <c r="AL114" s="127"/>
      <c r="AM114" s="58" t="str" cm="1">
        <f>IFERROR(IF(ISBLANK($A114),"",INDEX(Array_StationaryCharges,MATCH($A114,List_StationaryFuelMeters,0),ROUNDUP((COLUMN()+1)/3-2,0))),"")</f>
        <v/>
      </c>
      <c r="AN114" s="127"/>
      <c r="AO114" s="127"/>
      <c r="AP114" s="58" t="str" cm="1">
        <f>IFERROR(IF(ISBLANK($A114),"",INDEX(Array_StationaryCharges,MATCH($A114,List_StationaryFuelMeters,0),ROUNDUP((COLUMN()+1)/3-2,0))),"")</f>
        <v/>
      </c>
      <c r="AQ114" s="127"/>
      <c r="AR114" s="127"/>
      <c r="AS114" s="58" t="str" cm="1">
        <f>IFERROR(IF(ISBLANK($A114),"",INDEX(Array_StationaryCharges,MATCH($A114,List_StationaryFuelMeters,0),ROUNDUP((COLUMN()+1)/3-2,0))),"")</f>
        <v/>
      </c>
      <c r="AT114" s="127"/>
      <c r="AU114" s="127"/>
      <c r="AV114" s="58" t="str" cm="1">
        <f>IFERROR(IF(ISBLANK($A114),"",INDEX(Array_StationaryCharges,MATCH($A114,List_StationaryFuelMeters,0),ROUNDUP((COLUMN()+1)/3-2,0))),"")</f>
        <v/>
      </c>
      <c r="AW114" s="127"/>
      <c r="AX114" s="127"/>
    </row>
    <row r="115" spans="1:50" x14ac:dyDescent="0.3">
      <c r="A115" s="126"/>
      <c r="B115" s="133"/>
      <c r="C115" s="127"/>
      <c r="D115" s="138"/>
      <c r="E115" s="138"/>
      <c r="F115" s="58" t="str" cm="1">
        <f>IFERROR(IF(ISBLANK($A115),"",INDEX(Array_StationaryCharges,MATCH($A115,List_StationaryFuelMeters,0),ROUNDUP((COLUMN()+1)/3-2,0))),"")</f>
        <v/>
      </c>
      <c r="G115" s="127"/>
      <c r="H115" s="127"/>
      <c r="I115" s="58" t="str" cm="1">
        <f>IFERROR(IF(ISBLANK($A115),"",INDEX(Array_StationaryCharges,MATCH($A115,List_StationaryFuelMeters,0),ROUNDUP((COLUMN()+1)/3-2,0))),"")</f>
        <v/>
      </c>
      <c r="J115" s="127"/>
      <c r="K115" s="127"/>
      <c r="L115" s="58" t="str" cm="1">
        <f>IFERROR(IF(ISBLANK($A115),"",INDEX(Array_StationaryCharges,MATCH($A115,List_StationaryFuelMeters,0),ROUNDUP((COLUMN()+1)/3-2,0))),"")</f>
        <v/>
      </c>
      <c r="M115" s="127"/>
      <c r="N115" s="127"/>
      <c r="O115" s="58" t="str" cm="1">
        <f>IFERROR(IF(ISBLANK($A115),"",INDEX(Array_StationaryCharges,MATCH($A115,List_StationaryFuelMeters,0),ROUNDUP((COLUMN()+1)/3-2,0))),"")</f>
        <v/>
      </c>
      <c r="P115" s="127"/>
      <c r="Q115" s="127"/>
      <c r="R115" s="58" t="str" cm="1">
        <f>IFERROR(IF(ISBLANK($A115),"",INDEX(Array_StationaryCharges,MATCH($A115,List_StationaryFuelMeters,0),ROUNDUP((COLUMN()+1)/3-2,0))),"")</f>
        <v/>
      </c>
      <c r="S115" s="127"/>
      <c r="T115" s="127"/>
      <c r="U115" s="58" t="str" cm="1">
        <f>IFERROR(IF(ISBLANK($A115),"",INDEX(Array_StationaryCharges,MATCH($A115,List_StationaryFuelMeters,0),ROUNDUP((COLUMN()+1)/3-2,0))),"")</f>
        <v/>
      </c>
      <c r="V115" s="127"/>
      <c r="W115" s="127"/>
      <c r="X115" s="58" t="str" cm="1">
        <f>IFERROR(IF(ISBLANK($A115),"",INDEX(Array_StationaryCharges,MATCH($A115,List_StationaryFuelMeters,0),ROUNDUP((COLUMN()+1)/3-2,0))),"")</f>
        <v/>
      </c>
      <c r="Y115" s="127"/>
      <c r="Z115" s="127"/>
      <c r="AA115" s="58" t="str" cm="1">
        <f>IFERROR(IF(ISBLANK($A115),"",INDEX(Array_StationaryCharges,MATCH($A115,List_StationaryFuelMeters,0),ROUNDUP((COLUMN()+1)/3-2,0))),"")</f>
        <v/>
      </c>
      <c r="AB115" s="127"/>
      <c r="AC115" s="127"/>
      <c r="AD115" s="58" t="str" cm="1">
        <f>IFERROR(IF(ISBLANK($A115),"",INDEX(Array_StationaryCharges,MATCH($A115,List_StationaryFuelMeters,0),ROUNDUP((COLUMN()+1)/3-2,0))),"")</f>
        <v/>
      </c>
      <c r="AE115" s="127"/>
      <c r="AF115" s="127"/>
      <c r="AG115" s="58" t="str" cm="1">
        <f>IFERROR(IF(ISBLANK($A115),"",INDEX(Array_StationaryCharges,MATCH($A115,List_StationaryFuelMeters,0),ROUNDUP((COLUMN()+1)/3-2,0))),"")</f>
        <v/>
      </c>
      <c r="AH115" s="127"/>
      <c r="AI115" s="127"/>
      <c r="AJ115" s="58" t="str" cm="1">
        <f>IFERROR(IF(ISBLANK($A115),"",INDEX(Array_StationaryCharges,MATCH($A115,List_StationaryFuelMeters,0),ROUNDUP((COLUMN()+1)/3-2,0))),"")</f>
        <v/>
      </c>
      <c r="AK115" s="127"/>
      <c r="AL115" s="127"/>
      <c r="AM115" s="58" t="str" cm="1">
        <f>IFERROR(IF(ISBLANK($A115),"",INDEX(Array_StationaryCharges,MATCH($A115,List_StationaryFuelMeters,0),ROUNDUP((COLUMN()+1)/3-2,0))),"")</f>
        <v/>
      </c>
      <c r="AN115" s="127"/>
      <c r="AO115" s="127"/>
      <c r="AP115" s="58" t="str" cm="1">
        <f>IFERROR(IF(ISBLANK($A115),"",INDEX(Array_StationaryCharges,MATCH($A115,List_StationaryFuelMeters,0),ROUNDUP((COLUMN()+1)/3-2,0))),"")</f>
        <v/>
      </c>
      <c r="AQ115" s="127"/>
      <c r="AR115" s="127"/>
      <c r="AS115" s="58" t="str" cm="1">
        <f>IFERROR(IF(ISBLANK($A115),"",INDEX(Array_StationaryCharges,MATCH($A115,List_StationaryFuelMeters,0),ROUNDUP((COLUMN()+1)/3-2,0))),"")</f>
        <v/>
      </c>
      <c r="AT115" s="127"/>
      <c r="AU115" s="127"/>
      <c r="AV115" s="58" t="str" cm="1">
        <f>IFERROR(IF(ISBLANK($A115),"",INDEX(Array_StationaryCharges,MATCH($A115,List_StationaryFuelMeters,0),ROUNDUP((COLUMN()+1)/3-2,0))),"")</f>
        <v/>
      </c>
      <c r="AW115" s="127"/>
      <c r="AX115" s="127"/>
    </row>
    <row r="116" spans="1:50" x14ac:dyDescent="0.3">
      <c r="A116" s="126"/>
      <c r="B116" s="133"/>
      <c r="C116" s="127"/>
      <c r="D116" s="138"/>
      <c r="E116" s="138"/>
      <c r="F116" s="58" t="str" cm="1">
        <f>IFERROR(IF(ISBLANK($A116),"",INDEX(Array_StationaryCharges,MATCH($A116,List_StationaryFuelMeters,0),ROUNDUP((COLUMN()+1)/3-2,0))),"")</f>
        <v/>
      </c>
      <c r="G116" s="127"/>
      <c r="H116" s="127"/>
      <c r="I116" s="58" t="str" cm="1">
        <f>IFERROR(IF(ISBLANK($A116),"",INDEX(Array_StationaryCharges,MATCH($A116,List_StationaryFuelMeters,0),ROUNDUP((COLUMN()+1)/3-2,0))),"")</f>
        <v/>
      </c>
      <c r="J116" s="127"/>
      <c r="K116" s="127"/>
      <c r="L116" s="58" t="str" cm="1">
        <f>IFERROR(IF(ISBLANK($A116),"",INDEX(Array_StationaryCharges,MATCH($A116,List_StationaryFuelMeters,0),ROUNDUP((COLUMN()+1)/3-2,0))),"")</f>
        <v/>
      </c>
      <c r="M116" s="127"/>
      <c r="N116" s="127"/>
      <c r="O116" s="58" t="str" cm="1">
        <f>IFERROR(IF(ISBLANK($A116),"",INDEX(Array_StationaryCharges,MATCH($A116,List_StationaryFuelMeters,0),ROUNDUP((COLUMN()+1)/3-2,0))),"")</f>
        <v/>
      </c>
      <c r="P116" s="127"/>
      <c r="Q116" s="127"/>
      <c r="R116" s="58" t="str" cm="1">
        <f>IFERROR(IF(ISBLANK($A116),"",INDEX(Array_StationaryCharges,MATCH($A116,List_StationaryFuelMeters,0),ROUNDUP((COLUMN()+1)/3-2,0))),"")</f>
        <v/>
      </c>
      <c r="S116" s="127"/>
      <c r="T116" s="127"/>
      <c r="U116" s="58" t="str" cm="1">
        <f>IFERROR(IF(ISBLANK($A116),"",INDEX(Array_StationaryCharges,MATCH($A116,List_StationaryFuelMeters,0),ROUNDUP((COLUMN()+1)/3-2,0))),"")</f>
        <v/>
      </c>
      <c r="V116" s="127"/>
      <c r="W116" s="127"/>
      <c r="X116" s="58" t="str" cm="1">
        <f>IFERROR(IF(ISBLANK($A116),"",INDEX(Array_StationaryCharges,MATCH($A116,List_StationaryFuelMeters,0),ROUNDUP((COLUMN()+1)/3-2,0))),"")</f>
        <v/>
      </c>
      <c r="Y116" s="127"/>
      <c r="Z116" s="127"/>
      <c r="AA116" s="58" t="str" cm="1">
        <f>IFERROR(IF(ISBLANK($A116),"",INDEX(Array_StationaryCharges,MATCH($A116,List_StationaryFuelMeters,0),ROUNDUP((COLUMN()+1)/3-2,0))),"")</f>
        <v/>
      </c>
      <c r="AB116" s="127"/>
      <c r="AC116" s="127"/>
      <c r="AD116" s="58" t="str" cm="1">
        <f>IFERROR(IF(ISBLANK($A116),"",INDEX(Array_StationaryCharges,MATCH($A116,List_StationaryFuelMeters,0),ROUNDUP((COLUMN()+1)/3-2,0))),"")</f>
        <v/>
      </c>
      <c r="AE116" s="127"/>
      <c r="AF116" s="127"/>
      <c r="AG116" s="58" t="str" cm="1">
        <f>IFERROR(IF(ISBLANK($A116),"",INDEX(Array_StationaryCharges,MATCH($A116,List_StationaryFuelMeters,0),ROUNDUP((COLUMN()+1)/3-2,0))),"")</f>
        <v/>
      </c>
      <c r="AH116" s="127"/>
      <c r="AI116" s="127"/>
      <c r="AJ116" s="58" t="str" cm="1">
        <f>IFERROR(IF(ISBLANK($A116),"",INDEX(Array_StationaryCharges,MATCH($A116,List_StationaryFuelMeters,0),ROUNDUP((COLUMN()+1)/3-2,0))),"")</f>
        <v/>
      </c>
      <c r="AK116" s="127"/>
      <c r="AL116" s="127"/>
      <c r="AM116" s="58" t="str" cm="1">
        <f>IFERROR(IF(ISBLANK($A116),"",INDEX(Array_StationaryCharges,MATCH($A116,List_StationaryFuelMeters,0),ROUNDUP((COLUMN()+1)/3-2,0))),"")</f>
        <v/>
      </c>
      <c r="AN116" s="127"/>
      <c r="AO116" s="127"/>
      <c r="AP116" s="58" t="str" cm="1">
        <f>IFERROR(IF(ISBLANK($A116),"",INDEX(Array_StationaryCharges,MATCH($A116,List_StationaryFuelMeters,0),ROUNDUP((COLUMN()+1)/3-2,0))),"")</f>
        <v/>
      </c>
      <c r="AQ116" s="127"/>
      <c r="AR116" s="127"/>
      <c r="AS116" s="58" t="str" cm="1">
        <f>IFERROR(IF(ISBLANK($A116),"",INDEX(Array_StationaryCharges,MATCH($A116,List_StationaryFuelMeters,0),ROUNDUP((COLUMN()+1)/3-2,0))),"")</f>
        <v/>
      </c>
      <c r="AT116" s="127"/>
      <c r="AU116" s="127"/>
      <c r="AV116" s="58" t="str" cm="1">
        <f>IFERROR(IF(ISBLANK($A116),"",INDEX(Array_StationaryCharges,MATCH($A116,List_StationaryFuelMeters,0),ROUNDUP((COLUMN()+1)/3-2,0))),"")</f>
        <v/>
      </c>
      <c r="AW116" s="127"/>
      <c r="AX116" s="127"/>
    </row>
    <row r="117" spans="1:50" x14ac:dyDescent="0.3">
      <c r="A117" s="126"/>
      <c r="B117" s="133"/>
      <c r="C117" s="127"/>
      <c r="D117" s="138"/>
      <c r="E117" s="138"/>
      <c r="F117" s="58" t="str" cm="1">
        <f>IFERROR(IF(ISBLANK($A117),"",INDEX(Array_StationaryCharges,MATCH($A117,List_StationaryFuelMeters,0),ROUNDUP((COLUMN()+1)/3-2,0))),"")</f>
        <v/>
      </c>
      <c r="G117" s="127"/>
      <c r="H117" s="127"/>
      <c r="I117" s="58" t="str" cm="1">
        <f>IFERROR(IF(ISBLANK($A117),"",INDEX(Array_StationaryCharges,MATCH($A117,List_StationaryFuelMeters,0),ROUNDUP((COLUMN()+1)/3-2,0))),"")</f>
        <v/>
      </c>
      <c r="J117" s="127"/>
      <c r="K117" s="127"/>
      <c r="L117" s="58" t="str" cm="1">
        <f>IFERROR(IF(ISBLANK($A117),"",INDEX(Array_StationaryCharges,MATCH($A117,List_StationaryFuelMeters,0),ROUNDUP((COLUMN()+1)/3-2,0))),"")</f>
        <v/>
      </c>
      <c r="M117" s="127"/>
      <c r="N117" s="127"/>
      <c r="O117" s="58" t="str" cm="1">
        <f>IFERROR(IF(ISBLANK($A117),"",INDEX(Array_StationaryCharges,MATCH($A117,List_StationaryFuelMeters,0),ROUNDUP((COLUMN()+1)/3-2,0))),"")</f>
        <v/>
      </c>
      <c r="P117" s="127"/>
      <c r="Q117" s="127"/>
      <c r="R117" s="58" t="str" cm="1">
        <f>IFERROR(IF(ISBLANK($A117),"",INDEX(Array_StationaryCharges,MATCH($A117,List_StationaryFuelMeters,0),ROUNDUP((COLUMN()+1)/3-2,0))),"")</f>
        <v/>
      </c>
      <c r="S117" s="127"/>
      <c r="T117" s="127"/>
      <c r="U117" s="58" t="str" cm="1">
        <f>IFERROR(IF(ISBLANK($A117),"",INDEX(Array_StationaryCharges,MATCH($A117,List_StationaryFuelMeters,0),ROUNDUP((COLUMN()+1)/3-2,0))),"")</f>
        <v/>
      </c>
      <c r="V117" s="127"/>
      <c r="W117" s="127"/>
      <c r="X117" s="58" t="str" cm="1">
        <f>IFERROR(IF(ISBLANK($A117),"",INDEX(Array_StationaryCharges,MATCH($A117,List_StationaryFuelMeters,0),ROUNDUP((COLUMN()+1)/3-2,0))),"")</f>
        <v/>
      </c>
      <c r="Y117" s="127"/>
      <c r="Z117" s="127"/>
      <c r="AA117" s="58" t="str" cm="1">
        <f>IFERROR(IF(ISBLANK($A117),"",INDEX(Array_StationaryCharges,MATCH($A117,List_StationaryFuelMeters,0),ROUNDUP((COLUMN()+1)/3-2,0))),"")</f>
        <v/>
      </c>
      <c r="AB117" s="127"/>
      <c r="AC117" s="127"/>
      <c r="AD117" s="58" t="str" cm="1">
        <f>IFERROR(IF(ISBLANK($A117),"",INDEX(Array_StationaryCharges,MATCH($A117,List_StationaryFuelMeters,0),ROUNDUP((COLUMN()+1)/3-2,0))),"")</f>
        <v/>
      </c>
      <c r="AE117" s="127"/>
      <c r="AF117" s="127"/>
      <c r="AG117" s="58" t="str" cm="1">
        <f>IFERROR(IF(ISBLANK($A117),"",INDEX(Array_StationaryCharges,MATCH($A117,List_StationaryFuelMeters,0),ROUNDUP((COLUMN()+1)/3-2,0))),"")</f>
        <v/>
      </c>
      <c r="AH117" s="127"/>
      <c r="AI117" s="127"/>
      <c r="AJ117" s="58" t="str" cm="1">
        <f>IFERROR(IF(ISBLANK($A117),"",INDEX(Array_StationaryCharges,MATCH($A117,List_StationaryFuelMeters,0),ROUNDUP((COLUMN()+1)/3-2,0))),"")</f>
        <v/>
      </c>
      <c r="AK117" s="127"/>
      <c r="AL117" s="127"/>
      <c r="AM117" s="58" t="str" cm="1">
        <f>IFERROR(IF(ISBLANK($A117),"",INDEX(Array_StationaryCharges,MATCH($A117,List_StationaryFuelMeters,0),ROUNDUP((COLUMN()+1)/3-2,0))),"")</f>
        <v/>
      </c>
      <c r="AN117" s="127"/>
      <c r="AO117" s="127"/>
      <c r="AP117" s="58" t="str" cm="1">
        <f>IFERROR(IF(ISBLANK($A117),"",INDEX(Array_StationaryCharges,MATCH($A117,List_StationaryFuelMeters,0),ROUNDUP((COLUMN()+1)/3-2,0))),"")</f>
        <v/>
      </c>
      <c r="AQ117" s="127"/>
      <c r="AR117" s="127"/>
      <c r="AS117" s="58" t="str" cm="1">
        <f>IFERROR(IF(ISBLANK($A117),"",INDEX(Array_StationaryCharges,MATCH($A117,List_StationaryFuelMeters,0),ROUNDUP((COLUMN()+1)/3-2,0))),"")</f>
        <v/>
      </c>
      <c r="AT117" s="127"/>
      <c r="AU117" s="127"/>
      <c r="AV117" s="58" t="str" cm="1">
        <f>IFERROR(IF(ISBLANK($A117),"",INDEX(Array_StationaryCharges,MATCH($A117,List_StationaryFuelMeters,0),ROUNDUP((COLUMN()+1)/3-2,0))),"")</f>
        <v/>
      </c>
      <c r="AW117" s="127"/>
      <c r="AX117" s="127"/>
    </row>
    <row r="118" spans="1:50" x14ac:dyDescent="0.3">
      <c r="A118" s="126"/>
      <c r="B118" s="133"/>
      <c r="C118" s="127"/>
      <c r="D118" s="138"/>
      <c r="E118" s="138"/>
      <c r="F118" s="58" t="str" cm="1">
        <f>IFERROR(IF(ISBLANK($A118),"",INDEX(Array_StationaryCharges,MATCH($A118,List_StationaryFuelMeters,0),ROUNDUP((COLUMN()+1)/3-2,0))),"")</f>
        <v/>
      </c>
      <c r="G118" s="127"/>
      <c r="H118" s="127"/>
      <c r="I118" s="58" t="str" cm="1">
        <f>IFERROR(IF(ISBLANK($A118),"",INDEX(Array_StationaryCharges,MATCH($A118,List_StationaryFuelMeters,0),ROUNDUP((COLUMN()+1)/3-2,0))),"")</f>
        <v/>
      </c>
      <c r="J118" s="127"/>
      <c r="K118" s="127"/>
      <c r="L118" s="58" t="str" cm="1">
        <f>IFERROR(IF(ISBLANK($A118),"",INDEX(Array_StationaryCharges,MATCH($A118,List_StationaryFuelMeters,0),ROUNDUP((COLUMN()+1)/3-2,0))),"")</f>
        <v/>
      </c>
      <c r="M118" s="127"/>
      <c r="N118" s="127"/>
      <c r="O118" s="58" t="str" cm="1">
        <f>IFERROR(IF(ISBLANK($A118),"",INDEX(Array_StationaryCharges,MATCH($A118,List_StationaryFuelMeters,0),ROUNDUP((COLUMN()+1)/3-2,0))),"")</f>
        <v/>
      </c>
      <c r="P118" s="127"/>
      <c r="Q118" s="127"/>
      <c r="R118" s="58" t="str" cm="1">
        <f>IFERROR(IF(ISBLANK($A118),"",INDEX(Array_StationaryCharges,MATCH($A118,List_StationaryFuelMeters,0),ROUNDUP((COLUMN()+1)/3-2,0))),"")</f>
        <v/>
      </c>
      <c r="S118" s="127"/>
      <c r="T118" s="127"/>
      <c r="U118" s="58" t="str" cm="1">
        <f>IFERROR(IF(ISBLANK($A118),"",INDEX(Array_StationaryCharges,MATCH($A118,List_StationaryFuelMeters,0),ROUNDUP((COLUMN()+1)/3-2,0))),"")</f>
        <v/>
      </c>
      <c r="V118" s="127"/>
      <c r="W118" s="127"/>
      <c r="X118" s="58" t="str" cm="1">
        <f>IFERROR(IF(ISBLANK($A118),"",INDEX(Array_StationaryCharges,MATCH($A118,List_StationaryFuelMeters,0),ROUNDUP((COLUMN()+1)/3-2,0))),"")</f>
        <v/>
      </c>
      <c r="Y118" s="127"/>
      <c r="Z118" s="127"/>
      <c r="AA118" s="58" t="str" cm="1">
        <f>IFERROR(IF(ISBLANK($A118),"",INDEX(Array_StationaryCharges,MATCH($A118,List_StationaryFuelMeters,0),ROUNDUP((COLUMN()+1)/3-2,0))),"")</f>
        <v/>
      </c>
      <c r="AB118" s="127"/>
      <c r="AC118" s="127"/>
      <c r="AD118" s="58" t="str" cm="1">
        <f>IFERROR(IF(ISBLANK($A118),"",INDEX(Array_StationaryCharges,MATCH($A118,List_StationaryFuelMeters,0),ROUNDUP((COLUMN()+1)/3-2,0))),"")</f>
        <v/>
      </c>
      <c r="AE118" s="127"/>
      <c r="AF118" s="127"/>
      <c r="AG118" s="58" t="str" cm="1">
        <f>IFERROR(IF(ISBLANK($A118),"",INDEX(Array_StationaryCharges,MATCH($A118,List_StationaryFuelMeters,0),ROUNDUP((COLUMN()+1)/3-2,0))),"")</f>
        <v/>
      </c>
      <c r="AH118" s="127"/>
      <c r="AI118" s="127"/>
      <c r="AJ118" s="58" t="str" cm="1">
        <f>IFERROR(IF(ISBLANK($A118),"",INDEX(Array_StationaryCharges,MATCH($A118,List_StationaryFuelMeters,0),ROUNDUP((COLUMN()+1)/3-2,0))),"")</f>
        <v/>
      </c>
      <c r="AK118" s="127"/>
      <c r="AL118" s="127"/>
      <c r="AM118" s="58" t="str" cm="1">
        <f>IFERROR(IF(ISBLANK($A118),"",INDEX(Array_StationaryCharges,MATCH($A118,List_StationaryFuelMeters,0),ROUNDUP((COLUMN()+1)/3-2,0))),"")</f>
        <v/>
      </c>
      <c r="AN118" s="127"/>
      <c r="AO118" s="127"/>
      <c r="AP118" s="58" t="str" cm="1">
        <f>IFERROR(IF(ISBLANK($A118),"",INDEX(Array_StationaryCharges,MATCH($A118,List_StationaryFuelMeters,0),ROUNDUP((COLUMN()+1)/3-2,0))),"")</f>
        <v/>
      </c>
      <c r="AQ118" s="127"/>
      <c r="AR118" s="127"/>
      <c r="AS118" s="58" t="str" cm="1">
        <f>IFERROR(IF(ISBLANK($A118),"",INDEX(Array_StationaryCharges,MATCH($A118,List_StationaryFuelMeters,0),ROUNDUP((COLUMN()+1)/3-2,0))),"")</f>
        <v/>
      </c>
      <c r="AT118" s="127"/>
      <c r="AU118" s="127"/>
      <c r="AV118" s="58" t="str" cm="1">
        <f>IFERROR(IF(ISBLANK($A118),"",INDEX(Array_StationaryCharges,MATCH($A118,List_StationaryFuelMeters,0),ROUNDUP((COLUMN()+1)/3-2,0))),"")</f>
        <v/>
      </c>
      <c r="AW118" s="127"/>
      <c r="AX118" s="127"/>
    </row>
    <row r="119" spans="1:50" x14ac:dyDescent="0.3">
      <c r="A119" s="126"/>
      <c r="B119" s="133"/>
      <c r="C119" s="127"/>
      <c r="D119" s="138"/>
      <c r="E119" s="138"/>
      <c r="F119" s="58" t="str" cm="1">
        <f>IFERROR(IF(ISBLANK($A119),"",INDEX(Array_StationaryCharges,MATCH($A119,List_StationaryFuelMeters,0),ROUNDUP((COLUMN()+1)/3-2,0))),"")</f>
        <v/>
      </c>
      <c r="G119" s="127"/>
      <c r="H119" s="127"/>
      <c r="I119" s="58" t="str" cm="1">
        <f>IFERROR(IF(ISBLANK($A119),"",INDEX(Array_StationaryCharges,MATCH($A119,List_StationaryFuelMeters,0),ROUNDUP((COLUMN()+1)/3-2,0))),"")</f>
        <v/>
      </c>
      <c r="J119" s="127"/>
      <c r="K119" s="127"/>
      <c r="L119" s="58" t="str" cm="1">
        <f>IFERROR(IF(ISBLANK($A119),"",INDEX(Array_StationaryCharges,MATCH($A119,List_StationaryFuelMeters,0),ROUNDUP((COLUMN()+1)/3-2,0))),"")</f>
        <v/>
      </c>
      <c r="M119" s="127"/>
      <c r="N119" s="127"/>
      <c r="O119" s="58" t="str" cm="1">
        <f>IFERROR(IF(ISBLANK($A119),"",INDEX(Array_StationaryCharges,MATCH($A119,List_StationaryFuelMeters,0),ROUNDUP((COLUMN()+1)/3-2,0))),"")</f>
        <v/>
      </c>
      <c r="P119" s="127"/>
      <c r="Q119" s="127"/>
      <c r="R119" s="58" t="str" cm="1">
        <f>IFERROR(IF(ISBLANK($A119),"",INDEX(Array_StationaryCharges,MATCH($A119,List_StationaryFuelMeters,0),ROUNDUP((COLUMN()+1)/3-2,0))),"")</f>
        <v/>
      </c>
      <c r="S119" s="127"/>
      <c r="T119" s="127"/>
      <c r="U119" s="58" t="str" cm="1">
        <f>IFERROR(IF(ISBLANK($A119),"",INDEX(Array_StationaryCharges,MATCH($A119,List_StationaryFuelMeters,0),ROUNDUP((COLUMN()+1)/3-2,0))),"")</f>
        <v/>
      </c>
      <c r="V119" s="127"/>
      <c r="W119" s="127"/>
      <c r="X119" s="58" t="str" cm="1">
        <f>IFERROR(IF(ISBLANK($A119),"",INDEX(Array_StationaryCharges,MATCH($A119,List_StationaryFuelMeters,0),ROUNDUP((COLUMN()+1)/3-2,0))),"")</f>
        <v/>
      </c>
      <c r="Y119" s="127"/>
      <c r="Z119" s="127"/>
      <c r="AA119" s="58" t="str" cm="1">
        <f>IFERROR(IF(ISBLANK($A119),"",INDEX(Array_StationaryCharges,MATCH($A119,List_StationaryFuelMeters,0),ROUNDUP((COLUMN()+1)/3-2,0))),"")</f>
        <v/>
      </c>
      <c r="AB119" s="127"/>
      <c r="AC119" s="127"/>
      <c r="AD119" s="58" t="str" cm="1">
        <f>IFERROR(IF(ISBLANK($A119),"",INDEX(Array_StationaryCharges,MATCH($A119,List_StationaryFuelMeters,0),ROUNDUP((COLUMN()+1)/3-2,0))),"")</f>
        <v/>
      </c>
      <c r="AE119" s="127"/>
      <c r="AF119" s="127"/>
      <c r="AG119" s="58" t="str" cm="1">
        <f>IFERROR(IF(ISBLANK($A119),"",INDEX(Array_StationaryCharges,MATCH($A119,List_StationaryFuelMeters,0),ROUNDUP((COLUMN()+1)/3-2,0))),"")</f>
        <v/>
      </c>
      <c r="AH119" s="127"/>
      <c r="AI119" s="127"/>
      <c r="AJ119" s="58" t="str" cm="1">
        <f>IFERROR(IF(ISBLANK($A119),"",INDEX(Array_StationaryCharges,MATCH($A119,List_StationaryFuelMeters,0),ROUNDUP((COLUMN()+1)/3-2,0))),"")</f>
        <v/>
      </c>
      <c r="AK119" s="127"/>
      <c r="AL119" s="127"/>
      <c r="AM119" s="58" t="str" cm="1">
        <f>IFERROR(IF(ISBLANK($A119),"",INDEX(Array_StationaryCharges,MATCH($A119,List_StationaryFuelMeters,0),ROUNDUP((COLUMN()+1)/3-2,0))),"")</f>
        <v/>
      </c>
      <c r="AN119" s="127"/>
      <c r="AO119" s="127"/>
      <c r="AP119" s="58" t="str" cm="1">
        <f>IFERROR(IF(ISBLANK($A119),"",INDEX(Array_StationaryCharges,MATCH($A119,List_StationaryFuelMeters,0),ROUNDUP((COLUMN()+1)/3-2,0))),"")</f>
        <v/>
      </c>
      <c r="AQ119" s="127"/>
      <c r="AR119" s="127"/>
      <c r="AS119" s="58" t="str" cm="1">
        <f>IFERROR(IF(ISBLANK($A119),"",INDEX(Array_StationaryCharges,MATCH($A119,List_StationaryFuelMeters,0),ROUNDUP((COLUMN()+1)/3-2,0))),"")</f>
        <v/>
      </c>
      <c r="AT119" s="127"/>
      <c r="AU119" s="127"/>
      <c r="AV119" s="58" t="str" cm="1">
        <f>IFERROR(IF(ISBLANK($A119),"",INDEX(Array_StationaryCharges,MATCH($A119,List_StationaryFuelMeters,0),ROUNDUP((COLUMN()+1)/3-2,0))),"")</f>
        <v/>
      </c>
      <c r="AW119" s="127"/>
      <c r="AX119" s="127"/>
    </row>
    <row r="120" spans="1:50" x14ac:dyDescent="0.3">
      <c r="A120" s="126"/>
      <c r="B120" s="133"/>
      <c r="C120" s="127"/>
      <c r="D120" s="138"/>
      <c r="E120" s="138"/>
      <c r="F120" s="58" t="str" cm="1">
        <f>IFERROR(IF(ISBLANK($A120),"",INDEX(Array_StationaryCharges,MATCH($A120,List_StationaryFuelMeters,0),ROUNDUP((COLUMN()+1)/3-2,0))),"")</f>
        <v/>
      </c>
      <c r="G120" s="127"/>
      <c r="H120" s="127"/>
      <c r="I120" s="58" t="str" cm="1">
        <f>IFERROR(IF(ISBLANK($A120),"",INDEX(Array_StationaryCharges,MATCH($A120,List_StationaryFuelMeters,0),ROUNDUP((COLUMN()+1)/3-2,0))),"")</f>
        <v/>
      </c>
      <c r="J120" s="127"/>
      <c r="K120" s="127"/>
      <c r="L120" s="58" t="str" cm="1">
        <f>IFERROR(IF(ISBLANK($A120),"",INDEX(Array_StationaryCharges,MATCH($A120,List_StationaryFuelMeters,0),ROUNDUP((COLUMN()+1)/3-2,0))),"")</f>
        <v/>
      </c>
      <c r="M120" s="127"/>
      <c r="N120" s="127"/>
      <c r="O120" s="58" t="str" cm="1">
        <f>IFERROR(IF(ISBLANK($A120),"",INDEX(Array_StationaryCharges,MATCH($A120,List_StationaryFuelMeters,0),ROUNDUP((COLUMN()+1)/3-2,0))),"")</f>
        <v/>
      </c>
      <c r="P120" s="127"/>
      <c r="Q120" s="127"/>
      <c r="R120" s="58" t="str" cm="1">
        <f>IFERROR(IF(ISBLANK($A120),"",INDEX(Array_StationaryCharges,MATCH($A120,List_StationaryFuelMeters,0),ROUNDUP((COLUMN()+1)/3-2,0))),"")</f>
        <v/>
      </c>
      <c r="S120" s="127"/>
      <c r="T120" s="127"/>
      <c r="U120" s="58" t="str" cm="1">
        <f>IFERROR(IF(ISBLANK($A120),"",INDEX(Array_StationaryCharges,MATCH($A120,List_StationaryFuelMeters,0),ROUNDUP((COLUMN()+1)/3-2,0))),"")</f>
        <v/>
      </c>
      <c r="V120" s="127"/>
      <c r="W120" s="127"/>
      <c r="X120" s="58" t="str" cm="1">
        <f>IFERROR(IF(ISBLANK($A120),"",INDEX(Array_StationaryCharges,MATCH($A120,List_StationaryFuelMeters,0),ROUNDUP((COLUMN()+1)/3-2,0))),"")</f>
        <v/>
      </c>
      <c r="Y120" s="127"/>
      <c r="Z120" s="127"/>
      <c r="AA120" s="58" t="str" cm="1">
        <f>IFERROR(IF(ISBLANK($A120),"",INDEX(Array_StationaryCharges,MATCH($A120,List_StationaryFuelMeters,0),ROUNDUP((COLUMN()+1)/3-2,0))),"")</f>
        <v/>
      </c>
      <c r="AB120" s="127"/>
      <c r="AC120" s="127"/>
      <c r="AD120" s="58" t="str" cm="1">
        <f>IFERROR(IF(ISBLANK($A120),"",INDEX(Array_StationaryCharges,MATCH($A120,List_StationaryFuelMeters,0),ROUNDUP((COLUMN()+1)/3-2,0))),"")</f>
        <v/>
      </c>
      <c r="AE120" s="127"/>
      <c r="AF120" s="127"/>
      <c r="AG120" s="58" t="str" cm="1">
        <f>IFERROR(IF(ISBLANK($A120),"",INDEX(Array_StationaryCharges,MATCH($A120,List_StationaryFuelMeters,0),ROUNDUP((COLUMN()+1)/3-2,0))),"")</f>
        <v/>
      </c>
      <c r="AH120" s="127"/>
      <c r="AI120" s="127"/>
      <c r="AJ120" s="58" t="str" cm="1">
        <f>IFERROR(IF(ISBLANK($A120),"",INDEX(Array_StationaryCharges,MATCH($A120,List_StationaryFuelMeters,0),ROUNDUP((COLUMN()+1)/3-2,0))),"")</f>
        <v/>
      </c>
      <c r="AK120" s="127"/>
      <c r="AL120" s="127"/>
      <c r="AM120" s="58" t="str" cm="1">
        <f>IFERROR(IF(ISBLANK($A120),"",INDEX(Array_StationaryCharges,MATCH($A120,List_StationaryFuelMeters,0),ROUNDUP((COLUMN()+1)/3-2,0))),"")</f>
        <v/>
      </c>
      <c r="AN120" s="127"/>
      <c r="AO120" s="127"/>
      <c r="AP120" s="58" t="str" cm="1">
        <f>IFERROR(IF(ISBLANK($A120),"",INDEX(Array_StationaryCharges,MATCH($A120,List_StationaryFuelMeters,0),ROUNDUP((COLUMN()+1)/3-2,0))),"")</f>
        <v/>
      </c>
      <c r="AQ120" s="127"/>
      <c r="AR120" s="127"/>
      <c r="AS120" s="58" t="str" cm="1">
        <f>IFERROR(IF(ISBLANK($A120),"",INDEX(Array_StationaryCharges,MATCH($A120,List_StationaryFuelMeters,0),ROUNDUP((COLUMN()+1)/3-2,0))),"")</f>
        <v/>
      </c>
      <c r="AT120" s="127"/>
      <c r="AU120" s="127"/>
      <c r="AV120" s="58" t="str" cm="1">
        <f>IFERROR(IF(ISBLANK($A120),"",INDEX(Array_StationaryCharges,MATCH($A120,List_StationaryFuelMeters,0),ROUNDUP((COLUMN()+1)/3-2,0))),"")</f>
        <v/>
      </c>
      <c r="AW120" s="127"/>
      <c r="AX120" s="127"/>
    </row>
    <row r="121" spans="1:50" x14ac:dyDescent="0.3">
      <c r="A121" s="126"/>
      <c r="B121" s="133"/>
      <c r="C121" s="127"/>
      <c r="D121" s="138"/>
      <c r="E121" s="138"/>
      <c r="F121" s="58" t="str" cm="1">
        <f>IFERROR(IF(ISBLANK($A121),"",INDEX(Array_StationaryCharges,MATCH($A121,List_StationaryFuelMeters,0),ROUNDUP((COLUMN()+1)/3-2,0))),"")</f>
        <v/>
      </c>
      <c r="G121" s="127"/>
      <c r="H121" s="127"/>
      <c r="I121" s="58" t="str" cm="1">
        <f>IFERROR(IF(ISBLANK($A121),"",INDEX(Array_StationaryCharges,MATCH($A121,List_StationaryFuelMeters,0),ROUNDUP((COLUMN()+1)/3-2,0))),"")</f>
        <v/>
      </c>
      <c r="J121" s="127"/>
      <c r="K121" s="127"/>
      <c r="L121" s="58" t="str" cm="1">
        <f>IFERROR(IF(ISBLANK($A121),"",INDEX(Array_StationaryCharges,MATCH($A121,List_StationaryFuelMeters,0),ROUNDUP((COLUMN()+1)/3-2,0))),"")</f>
        <v/>
      </c>
      <c r="M121" s="127"/>
      <c r="N121" s="127"/>
      <c r="O121" s="58" t="str" cm="1">
        <f>IFERROR(IF(ISBLANK($A121),"",INDEX(Array_StationaryCharges,MATCH($A121,List_StationaryFuelMeters,0),ROUNDUP((COLUMN()+1)/3-2,0))),"")</f>
        <v/>
      </c>
      <c r="P121" s="127"/>
      <c r="Q121" s="127"/>
      <c r="R121" s="58" t="str" cm="1">
        <f>IFERROR(IF(ISBLANK($A121),"",INDEX(Array_StationaryCharges,MATCH($A121,List_StationaryFuelMeters,0),ROUNDUP((COLUMN()+1)/3-2,0))),"")</f>
        <v/>
      </c>
      <c r="S121" s="127"/>
      <c r="T121" s="127"/>
      <c r="U121" s="58" t="str" cm="1">
        <f>IFERROR(IF(ISBLANK($A121),"",INDEX(Array_StationaryCharges,MATCH($A121,List_StationaryFuelMeters,0),ROUNDUP((COLUMN()+1)/3-2,0))),"")</f>
        <v/>
      </c>
      <c r="V121" s="127"/>
      <c r="W121" s="127"/>
      <c r="X121" s="58" t="str" cm="1">
        <f>IFERROR(IF(ISBLANK($A121),"",INDEX(Array_StationaryCharges,MATCH($A121,List_StationaryFuelMeters,0),ROUNDUP((COLUMN()+1)/3-2,0))),"")</f>
        <v/>
      </c>
      <c r="Y121" s="127"/>
      <c r="Z121" s="127"/>
      <c r="AA121" s="58" t="str" cm="1">
        <f>IFERROR(IF(ISBLANK($A121),"",INDEX(Array_StationaryCharges,MATCH($A121,List_StationaryFuelMeters,0),ROUNDUP((COLUMN()+1)/3-2,0))),"")</f>
        <v/>
      </c>
      <c r="AB121" s="127"/>
      <c r="AC121" s="127"/>
      <c r="AD121" s="58" t="str" cm="1">
        <f>IFERROR(IF(ISBLANK($A121),"",INDEX(Array_StationaryCharges,MATCH($A121,List_StationaryFuelMeters,0),ROUNDUP((COLUMN()+1)/3-2,0))),"")</f>
        <v/>
      </c>
      <c r="AE121" s="127"/>
      <c r="AF121" s="127"/>
      <c r="AG121" s="58" t="str" cm="1">
        <f>IFERROR(IF(ISBLANK($A121),"",INDEX(Array_StationaryCharges,MATCH($A121,List_StationaryFuelMeters,0),ROUNDUP((COLUMN()+1)/3-2,0))),"")</f>
        <v/>
      </c>
      <c r="AH121" s="127"/>
      <c r="AI121" s="127"/>
      <c r="AJ121" s="58" t="str" cm="1">
        <f>IFERROR(IF(ISBLANK($A121),"",INDEX(Array_StationaryCharges,MATCH($A121,List_StationaryFuelMeters,0),ROUNDUP((COLUMN()+1)/3-2,0))),"")</f>
        <v/>
      </c>
      <c r="AK121" s="127"/>
      <c r="AL121" s="127"/>
      <c r="AM121" s="58" t="str" cm="1">
        <f>IFERROR(IF(ISBLANK($A121),"",INDEX(Array_StationaryCharges,MATCH($A121,List_StationaryFuelMeters,0),ROUNDUP((COLUMN()+1)/3-2,0))),"")</f>
        <v/>
      </c>
      <c r="AN121" s="127"/>
      <c r="AO121" s="127"/>
      <c r="AP121" s="58" t="str" cm="1">
        <f>IFERROR(IF(ISBLANK($A121),"",INDEX(Array_StationaryCharges,MATCH($A121,List_StationaryFuelMeters,0),ROUNDUP((COLUMN()+1)/3-2,0))),"")</f>
        <v/>
      </c>
      <c r="AQ121" s="127"/>
      <c r="AR121" s="127"/>
      <c r="AS121" s="58" t="str" cm="1">
        <f>IFERROR(IF(ISBLANK($A121),"",INDEX(Array_StationaryCharges,MATCH($A121,List_StationaryFuelMeters,0),ROUNDUP((COLUMN()+1)/3-2,0))),"")</f>
        <v/>
      </c>
      <c r="AT121" s="127"/>
      <c r="AU121" s="127"/>
      <c r="AV121" s="58" t="str" cm="1">
        <f>IFERROR(IF(ISBLANK($A121),"",INDEX(Array_StationaryCharges,MATCH($A121,List_StationaryFuelMeters,0),ROUNDUP((COLUMN()+1)/3-2,0))),"")</f>
        <v/>
      </c>
      <c r="AW121" s="127"/>
      <c r="AX121" s="127"/>
    </row>
    <row r="122" spans="1:50" x14ac:dyDescent="0.3">
      <c r="A122" s="126"/>
      <c r="B122" s="133"/>
      <c r="C122" s="127"/>
      <c r="D122" s="138"/>
      <c r="E122" s="138"/>
      <c r="F122" s="58" t="str" cm="1">
        <f>IFERROR(IF(ISBLANK($A122),"",INDEX(Array_StationaryCharges,MATCH($A122,List_StationaryFuelMeters,0),ROUNDUP((COLUMN()+1)/3-2,0))),"")</f>
        <v/>
      </c>
      <c r="G122" s="127"/>
      <c r="H122" s="127"/>
      <c r="I122" s="58" t="str" cm="1">
        <f>IFERROR(IF(ISBLANK($A122),"",INDEX(Array_StationaryCharges,MATCH($A122,List_StationaryFuelMeters,0),ROUNDUP((COLUMN()+1)/3-2,0))),"")</f>
        <v/>
      </c>
      <c r="J122" s="127"/>
      <c r="K122" s="127"/>
      <c r="L122" s="58" t="str" cm="1">
        <f>IFERROR(IF(ISBLANK($A122),"",INDEX(Array_StationaryCharges,MATCH($A122,List_StationaryFuelMeters,0),ROUNDUP((COLUMN()+1)/3-2,0))),"")</f>
        <v/>
      </c>
      <c r="M122" s="127"/>
      <c r="N122" s="127"/>
      <c r="O122" s="58" t="str" cm="1">
        <f>IFERROR(IF(ISBLANK($A122),"",INDEX(Array_StationaryCharges,MATCH($A122,List_StationaryFuelMeters,0),ROUNDUP((COLUMN()+1)/3-2,0))),"")</f>
        <v/>
      </c>
      <c r="P122" s="127"/>
      <c r="Q122" s="127"/>
      <c r="R122" s="58" t="str" cm="1">
        <f>IFERROR(IF(ISBLANK($A122),"",INDEX(Array_StationaryCharges,MATCH($A122,List_StationaryFuelMeters,0),ROUNDUP((COLUMN()+1)/3-2,0))),"")</f>
        <v/>
      </c>
      <c r="S122" s="127"/>
      <c r="T122" s="127"/>
      <c r="U122" s="58" t="str" cm="1">
        <f>IFERROR(IF(ISBLANK($A122),"",INDEX(Array_StationaryCharges,MATCH($A122,List_StationaryFuelMeters,0),ROUNDUP((COLUMN()+1)/3-2,0))),"")</f>
        <v/>
      </c>
      <c r="V122" s="127"/>
      <c r="W122" s="127"/>
      <c r="X122" s="58" t="str" cm="1">
        <f>IFERROR(IF(ISBLANK($A122),"",INDEX(Array_StationaryCharges,MATCH($A122,List_StationaryFuelMeters,0),ROUNDUP((COLUMN()+1)/3-2,0))),"")</f>
        <v/>
      </c>
      <c r="Y122" s="127"/>
      <c r="Z122" s="127"/>
      <c r="AA122" s="58" t="str" cm="1">
        <f>IFERROR(IF(ISBLANK($A122),"",INDEX(Array_StationaryCharges,MATCH($A122,List_StationaryFuelMeters,0),ROUNDUP((COLUMN()+1)/3-2,0))),"")</f>
        <v/>
      </c>
      <c r="AB122" s="127"/>
      <c r="AC122" s="127"/>
      <c r="AD122" s="58" t="str" cm="1">
        <f>IFERROR(IF(ISBLANK($A122),"",INDEX(Array_StationaryCharges,MATCH($A122,List_StationaryFuelMeters,0),ROUNDUP((COLUMN()+1)/3-2,0))),"")</f>
        <v/>
      </c>
      <c r="AE122" s="127"/>
      <c r="AF122" s="127"/>
      <c r="AG122" s="58" t="str" cm="1">
        <f>IFERROR(IF(ISBLANK($A122),"",INDEX(Array_StationaryCharges,MATCH($A122,List_StationaryFuelMeters,0),ROUNDUP((COLUMN()+1)/3-2,0))),"")</f>
        <v/>
      </c>
      <c r="AH122" s="127"/>
      <c r="AI122" s="127"/>
      <c r="AJ122" s="58" t="str" cm="1">
        <f>IFERROR(IF(ISBLANK($A122),"",INDEX(Array_StationaryCharges,MATCH($A122,List_StationaryFuelMeters,0),ROUNDUP((COLUMN()+1)/3-2,0))),"")</f>
        <v/>
      </c>
      <c r="AK122" s="127"/>
      <c r="AL122" s="127"/>
      <c r="AM122" s="58" t="str" cm="1">
        <f>IFERROR(IF(ISBLANK($A122),"",INDEX(Array_StationaryCharges,MATCH($A122,List_StationaryFuelMeters,0),ROUNDUP((COLUMN()+1)/3-2,0))),"")</f>
        <v/>
      </c>
      <c r="AN122" s="127"/>
      <c r="AO122" s="127"/>
      <c r="AP122" s="58" t="str" cm="1">
        <f>IFERROR(IF(ISBLANK($A122),"",INDEX(Array_StationaryCharges,MATCH($A122,List_StationaryFuelMeters,0),ROUNDUP((COLUMN()+1)/3-2,0))),"")</f>
        <v/>
      </c>
      <c r="AQ122" s="127"/>
      <c r="AR122" s="127"/>
      <c r="AS122" s="58" t="str" cm="1">
        <f>IFERROR(IF(ISBLANK($A122),"",INDEX(Array_StationaryCharges,MATCH($A122,List_StationaryFuelMeters,0),ROUNDUP((COLUMN()+1)/3-2,0))),"")</f>
        <v/>
      </c>
      <c r="AT122" s="127"/>
      <c r="AU122" s="127"/>
      <c r="AV122" s="58" t="str" cm="1">
        <f>IFERROR(IF(ISBLANK($A122),"",INDEX(Array_StationaryCharges,MATCH($A122,List_StationaryFuelMeters,0),ROUNDUP((COLUMN()+1)/3-2,0))),"")</f>
        <v/>
      </c>
      <c r="AW122" s="127"/>
      <c r="AX122" s="127"/>
    </row>
    <row r="123" spans="1:50" x14ac:dyDescent="0.3">
      <c r="A123" s="126"/>
      <c r="B123" s="133"/>
      <c r="C123" s="127"/>
      <c r="D123" s="138"/>
      <c r="E123" s="138"/>
      <c r="F123" s="58" t="str" cm="1">
        <f>IFERROR(IF(ISBLANK($A123),"",INDEX(Array_StationaryCharges,MATCH($A123,List_StationaryFuelMeters,0),ROUNDUP((COLUMN()+1)/3-2,0))),"")</f>
        <v/>
      </c>
      <c r="G123" s="127"/>
      <c r="H123" s="127"/>
      <c r="I123" s="58" t="str" cm="1">
        <f>IFERROR(IF(ISBLANK($A123),"",INDEX(Array_StationaryCharges,MATCH($A123,List_StationaryFuelMeters,0),ROUNDUP((COLUMN()+1)/3-2,0))),"")</f>
        <v/>
      </c>
      <c r="J123" s="127"/>
      <c r="K123" s="127"/>
      <c r="L123" s="58" t="str" cm="1">
        <f>IFERROR(IF(ISBLANK($A123),"",INDEX(Array_StationaryCharges,MATCH($A123,List_StationaryFuelMeters,0),ROUNDUP((COLUMN()+1)/3-2,0))),"")</f>
        <v/>
      </c>
      <c r="M123" s="127"/>
      <c r="N123" s="127"/>
      <c r="O123" s="58" t="str" cm="1">
        <f>IFERROR(IF(ISBLANK($A123),"",INDEX(Array_StationaryCharges,MATCH($A123,List_StationaryFuelMeters,0),ROUNDUP((COLUMN()+1)/3-2,0))),"")</f>
        <v/>
      </c>
      <c r="P123" s="127"/>
      <c r="Q123" s="127"/>
      <c r="R123" s="58" t="str" cm="1">
        <f>IFERROR(IF(ISBLANK($A123),"",INDEX(Array_StationaryCharges,MATCH($A123,List_StationaryFuelMeters,0),ROUNDUP((COLUMN()+1)/3-2,0))),"")</f>
        <v/>
      </c>
      <c r="S123" s="127"/>
      <c r="T123" s="127"/>
      <c r="U123" s="58" t="str" cm="1">
        <f>IFERROR(IF(ISBLANK($A123),"",INDEX(Array_StationaryCharges,MATCH($A123,List_StationaryFuelMeters,0),ROUNDUP((COLUMN()+1)/3-2,0))),"")</f>
        <v/>
      </c>
      <c r="V123" s="127"/>
      <c r="W123" s="127"/>
      <c r="X123" s="58" t="str" cm="1">
        <f>IFERROR(IF(ISBLANK($A123),"",INDEX(Array_StationaryCharges,MATCH($A123,List_StationaryFuelMeters,0),ROUNDUP((COLUMN()+1)/3-2,0))),"")</f>
        <v/>
      </c>
      <c r="Y123" s="127"/>
      <c r="Z123" s="127"/>
      <c r="AA123" s="58" t="str" cm="1">
        <f>IFERROR(IF(ISBLANK($A123),"",INDEX(Array_StationaryCharges,MATCH($A123,List_StationaryFuelMeters,0),ROUNDUP((COLUMN()+1)/3-2,0))),"")</f>
        <v/>
      </c>
      <c r="AB123" s="127"/>
      <c r="AC123" s="127"/>
      <c r="AD123" s="58" t="str" cm="1">
        <f>IFERROR(IF(ISBLANK($A123),"",INDEX(Array_StationaryCharges,MATCH($A123,List_StationaryFuelMeters,0),ROUNDUP((COLUMN()+1)/3-2,0))),"")</f>
        <v/>
      </c>
      <c r="AE123" s="127"/>
      <c r="AF123" s="127"/>
      <c r="AG123" s="58" t="str" cm="1">
        <f>IFERROR(IF(ISBLANK($A123),"",INDEX(Array_StationaryCharges,MATCH($A123,List_StationaryFuelMeters,0),ROUNDUP((COLUMN()+1)/3-2,0))),"")</f>
        <v/>
      </c>
      <c r="AH123" s="127"/>
      <c r="AI123" s="127"/>
      <c r="AJ123" s="58" t="str" cm="1">
        <f>IFERROR(IF(ISBLANK($A123),"",INDEX(Array_StationaryCharges,MATCH($A123,List_StationaryFuelMeters,0),ROUNDUP((COLUMN()+1)/3-2,0))),"")</f>
        <v/>
      </c>
      <c r="AK123" s="127"/>
      <c r="AL123" s="127"/>
      <c r="AM123" s="58" t="str" cm="1">
        <f>IFERROR(IF(ISBLANK($A123),"",INDEX(Array_StationaryCharges,MATCH($A123,List_StationaryFuelMeters,0),ROUNDUP((COLUMN()+1)/3-2,0))),"")</f>
        <v/>
      </c>
      <c r="AN123" s="127"/>
      <c r="AO123" s="127"/>
      <c r="AP123" s="58" t="str" cm="1">
        <f>IFERROR(IF(ISBLANK($A123),"",INDEX(Array_StationaryCharges,MATCH($A123,List_StationaryFuelMeters,0),ROUNDUP((COLUMN()+1)/3-2,0))),"")</f>
        <v/>
      </c>
      <c r="AQ123" s="127"/>
      <c r="AR123" s="127"/>
      <c r="AS123" s="58" t="str" cm="1">
        <f>IFERROR(IF(ISBLANK($A123),"",INDEX(Array_StationaryCharges,MATCH($A123,List_StationaryFuelMeters,0),ROUNDUP((COLUMN()+1)/3-2,0))),"")</f>
        <v/>
      </c>
      <c r="AT123" s="127"/>
      <c r="AU123" s="127"/>
      <c r="AV123" s="58" t="str" cm="1">
        <f>IFERROR(IF(ISBLANK($A123),"",INDEX(Array_StationaryCharges,MATCH($A123,List_StationaryFuelMeters,0),ROUNDUP((COLUMN()+1)/3-2,0))),"")</f>
        <v/>
      </c>
      <c r="AW123" s="127"/>
      <c r="AX123" s="127"/>
    </row>
    <row r="124" spans="1:50" x14ac:dyDescent="0.3">
      <c r="A124" s="126"/>
      <c r="B124" s="133"/>
      <c r="C124" s="127"/>
      <c r="D124" s="138"/>
      <c r="E124" s="138"/>
      <c r="F124" s="58" t="str" cm="1">
        <f>IFERROR(IF(ISBLANK($A124),"",INDEX(Array_StationaryCharges,MATCH($A124,List_StationaryFuelMeters,0),ROUNDUP((COLUMN()+1)/3-2,0))),"")</f>
        <v/>
      </c>
      <c r="G124" s="127"/>
      <c r="H124" s="127"/>
      <c r="I124" s="58" t="str" cm="1">
        <f>IFERROR(IF(ISBLANK($A124),"",INDEX(Array_StationaryCharges,MATCH($A124,List_StationaryFuelMeters,0),ROUNDUP((COLUMN()+1)/3-2,0))),"")</f>
        <v/>
      </c>
      <c r="J124" s="127"/>
      <c r="K124" s="127"/>
      <c r="L124" s="58" t="str" cm="1">
        <f>IFERROR(IF(ISBLANK($A124),"",INDEX(Array_StationaryCharges,MATCH($A124,List_StationaryFuelMeters,0),ROUNDUP((COLUMN()+1)/3-2,0))),"")</f>
        <v/>
      </c>
      <c r="M124" s="127"/>
      <c r="N124" s="127"/>
      <c r="O124" s="58" t="str" cm="1">
        <f>IFERROR(IF(ISBLANK($A124),"",INDEX(Array_StationaryCharges,MATCH($A124,List_StationaryFuelMeters,0),ROUNDUP((COLUMN()+1)/3-2,0))),"")</f>
        <v/>
      </c>
      <c r="P124" s="127"/>
      <c r="Q124" s="127"/>
      <c r="R124" s="58" t="str" cm="1">
        <f>IFERROR(IF(ISBLANK($A124),"",INDEX(Array_StationaryCharges,MATCH($A124,List_StationaryFuelMeters,0),ROUNDUP((COLUMN()+1)/3-2,0))),"")</f>
        <v/>
      </c>
      <c r="S124" s="127"/>
      <c r="T124" s="127"/>
      <c r="U124" s="58" t="str" cm="1">
        <f>IFERROR(IF(ISBLANK($A124),"",INDEX(Array_StationaryCharges,MATCH($A124,List_StationaryFuelMeters,0),ROUNDUP((COLUMN()+1)/3-2,0))),"")</f>
        <v/>
      </c>
      <c r="V124" s="127"/>
      <c r="W124" s="127"/>
      <c r="X124" s="58" t="str" cm="1">
        <f>IFERROR(IF(ISBLANK($A124),"",INDEX(Array_StationaryCharges,MATCH($A124,List_StationaryFuelMeters,0),ROUNDUP((COLUMN()+1)/3-2,0))),"")</f>
        <v/>
      </c>
      <c r="Y124" s="127"/>
      <c r="Z124" s="127"/>
      <c r="AA124" s="58" t="str" cm="1">
        <f>IFERROR(IF(ISBLANK($A124),"",INDEX(Array_StationaryCharges,MATCH($A124,List_StationaryFuelMeters,0),ROUNDUP((COLUMN()+1)/3-2,0))),"")</f>
        <v/>
      </c>
      <c r="AB124" s="127"/>
      <c r="AC124" s="127"/>
      <c r="AD124" s="58" t="str" cm="1">
        <f>IFERROR(IF(ISBLANK($A124),"",INDEX(Array_StationaryCharges,MATCH($A124,List_StationaryFuelMeters,0),ROUNDUP((COLUMN()+1)/3-2,0))),"")</f>
        <v/>
      </c>
      <c r="AE124" s="127"/>
      <c r="AF124" s="127"/>
      <c r="AG124" s="58" t="str" cm="1">
        <f>IFERROR(IF(ISBLANK($A124),"",INDEX(Array_StationaryCharges,MATCH($A124,List_StationaryFuelMeters,0),ROUNDUP((COLUMN()+1)/3-2,0))),"")</f>
        <v/>
      </c>
      <c r="AH124" s="127"/>
      <c r="AI124" s="127"/>
      <c r="AJ124" s="58" t="str" cm="1">
        <f>IFERROR(IF(ISBLANK($A124),"",INDEX(Array_StationaryCharges,MATCH($A124,List_StationaryFuelMeters,0),ROUNDUP((COLUMN()+1)/3-2,0))),"")</f>
        <v/>
      </c>
      <c r="AK124" s="127"/>
      <c r="AL124" s="127"/>
      <c r="AM124" s="58" t="str" cm="1">
        <f>IFERROR(IF(ISBLANK($A124),"",INDEX(Array_StationaryCharges,MATCH($A124,List_StationaryFuelMeters,0),ROUNDUP((COLUMN()+1)/3-2,0))),"")</f>
        <v/>
      </c>
      <c r="AN124" s="127"/>
      <c r="AO124" s="127"/>
      <c r="AP124" s="58" t="str" cm="1">
        <f>IFERROR(IF(ISBLANK($A124),"",INDEX(Array_StationaryCharges,MATCH($A124,List_StationaryFuelMeters,0),ROUNDUP((COLUMN()+1)/3-2,0))),"")</f>
        <v/>
      </c>
      <c r="AQ124" s="127"/>
      <c r="AR124" s="127"/>
      <c r="AS124" s="58" t="str" cm="1">
        <f>IFERROR(IF(ISBLANK($A124),"",INDEX(Array_StationaryCharges,MATCH($A124,List_StationaryFuelMeters,0),ROUNDUP((COLUMN()+1)/3-2,0))),"")</f>
        <v/>
      </c>
      <c r="AT124" s="127"/>
      <c r="AU124" s="127"/>
      <c r="AV124" s="58" t="str" cm="1">
        <f>IFERROR(IF(ISBLANK($A124),"",INDEX(Array_StationaryCharges,MATCH($A124,List_StationaryFuelMeters,0),ROUNDUP((COLUMN()+1)/3-2,0))),"")</f>
        <v/>
      </c>
      <c r="AW124" s="127"/>
      <c r="AX124" s="127"/>
    </row>
    <row r="125" spans="1:50" x14ac:dyDescent="0.3">
      <c r="A125" s="126"/>
      <c r="B125" s="133"/>
      <c r="C125" s="127"/>
      <c r="D125" s="138"/>
      <c r="E125" s="138"/>
      <c r="F125" s="58" t="str" cm="1">
        <f>IFERROR(IF(ISBLANK($A125),"",INDEX(Array_StationaryCharges,MATCH($A125,List_StationaryFuelMeters,0),ROUNDUP((COLUMN()+1)/3-2,0))),"")</f>
        <v/>
      </c>
      <c r="G125" s="127"/>
      <c r="H125" s="127"/>
      <c r="I125" s="58" t="str" cm="1">
        <f>IFERROR(IF(ISBLANK($A125),"",INDEX(Array_StationaryCharges,MATCH($A125,List_StationaryFuelMeters,0),ROUNDUP((COLUMN()+1)/3-2,0))),"")</f>
        <v/>
      </c>
      <c r="J125" s="127"/>
      <c r="K125" s="127"/>
      <c r="L125" s="58" t="str" cm="1">
        <f>IFERROR(IF(ISBLANK($A125),"",INDEX(Array_StationaryCharges,MATCH($A125,List_StationaryFuelMeters,0),ROUNDUP((COLUMN()+1)/3-2,0))),"")</f>
        <v/>
      </c>
      <c r="M125" s="127"/>
      <c r="N125" s="127"/>
      <c r="O125" s="58" t="str" cm="1">
        <f>IFERROR(IF(ISBLANK($A125),"",INDEX(Array_StationaryCharges,MATCH($A125,List_StationaryFuelMeters,0),ROUNDUP((COLUMN()+1)/3-2,0))),"")</f>
        <v/>
      </c>
      <c r="P125" s="127"/>
      <c r="Q125" s="127"/>
      <c r="R125" s="58" t="str" cm="1">
        <f>IFERROR(IF(ISBLANK($A125),"",INDEX(Array_StationaryCharges,MATCH($A125,List_StationaryFuelMeters,0),ROUNDUP((COLUMN()+1)/3-2,0))),"")</f>
        <v/>
      </c>
      <c r="S125" s="127"/>
      <c r="T125" s="127"/>
      <c r="U125" s="58" t="str" cm="1">
        <f>IFERROR(IF(ISBLANK($A125),"",INDEX(Array_StationaryCharges,MATCH($A125,List_StationaryFuelMeters,0),ROUNDUP((COLUMN()+1)/3-2,0))),"")</f>
        <v/>
      </c>
      <c r="V125" s="127"/>
      <c r="W125" s="127"/>
      <c r="X125" s="58" t="str" cm="1">
        <f>IFERROR(IF(ISBLANK($A125),"",INDEX(Array_StationaryCharges,MATCH($A125,List_StationaryFuelMeters,0),ROUNDUP((COLUMN()+1)/3-2,0))),"")</f>
        <v/>
      </c>
      <c r="Y125" s="127"/>
      <c r="Z125" s="127"/>
      <c r="AA125" s="58" t="str" cm="1">
        <f>IFERROR(IF(ISBLANK($A125),"",INDEX(Array_StationaryCharges,MATCH($A125,List_StationaryFuelMeters,0),ROUNDUP((COLUMN()+1)/3-2,0))),"")</f>
        <v/>
      </c>
      <c r="AB125" s="127"/>
      <c r="AC125" s="127"/>
      <c r="AD125" s="58" t="str" cm="1">
        <f>IFERROR(IF(ISBLANK($A125),"",INDEX(Array_StationaryCharges,MATCH($A125,List_StationaryFuelMeters,0),ROUNDUP((COLUMN()+1)/3-2,0))),"")</f>
        <v/>
      </c>
      <c r="AE125" s="127"/>
      <c r="AF125" s="127"/>
      <c r="AG125" s="58" t="str" cm="1">
        <f>IFERROR(IF(ISBLANK($A125),"",INDEX(Array_StationaryCharges,MATCH($A125,List_StationaryFuelMeters,0),ROUNDUP((COLUMN()+1)/3-2,0))),"")</f>
        <v/>
      </c>
      <c r="AH125" s="127"/>
      <c r="AI125" s="127"/>
      <c r="AJ125" s="58" t="str" cm="1">
        <f>IFERROR(IF(ISBLANK($A125),"",INDEX(Array_StationaryCharges,MATCH($A125,List_StationaryFuelMeters,0),ROUNDUP((COLUMN()+1)/3-2,0))),"")</f>
        <v/>
      </c>
      <c r="AK125" s="127"/>
      <c r="AL125" s="127"/>
      <c r="AM125" s="58" t="str" cm="1">
        <f>IFERROR(IF(ISBLANK($A125),"",INDEX(Array_StationaryCharges,MATCH($A125,List_StationaryFuelMeters,0),ROUNDUP((COLUMN()+1)/3-2,0))),"")</f>
        <v/>
      </c>
      <c r="AN125" s="127"/>
      <c r="AO125" s="127"/>
      <c r="AP125" s="58" t="str" cm="1">
        <f>IFERROR(IF(ISBLANK($A125),"",INDEX(Array_StationaryCharges,MATCH($A125,List_StationaryFuelMeters,0),ROUNDUP((COLUMN()+1)/3-2,0))),"")</f>
        <v/>
      </c>
      <c r="AQ125" s="127"/>
      <c r="AR125" s="127"/>
      <c r="AS125" s="58" t="str" cm="1">
        <f>IFERROR(IF(ISBLANK($A125),"",INDEX(Array_StationaryCharges,MATCH($A125,List_StationaryFuelMeters,0),ROUNDUP((COLUMN()+1)/3-2,0))),"")</f>
        <v/>
      </c>
      <c r="AT125" s="127"/>
      <c r="AU125" s="127"/>
      <c r="AV125" s="58" t="str" cm="1">
        <f>IFERROR(IF(ISBLANK($A125),"",INDEX(Array_StationaryCharges,MATCH($A125,List_StationaryFuelMeters,0),ROUNDUP((COLUMN()+1)/3-2,0))),"")</f>
        <v/>
      </c>
      <c r="AW125" s="127"/>
      <c r="AX125" s="127"/>
    </row>
    <row r="126" spans="1:50" x14ac:dyDescent="0.3">
      <c r="A126" s="126"/>
      <c r="B126" s="133"/>
      <c r="C126" s="127"/>
      <c r="D126" s="138"/>
      <c r="E126" s="138"/>
      <c r="F126" s="58" t="str" cm="1">
        <f>IFERROR(IF(ISBLANK($A126),"",INDEX(Array_StationaryCharges,MATCH($A126,List_StationaryFuelMeters,0),ROUNDUP((COLUMN()+1)/3-2,0))),"")</f>
        <v/>
      </c>
      <c r="G126" s="127"/>
      <c r="H126" s="127"/>
      <c r="I126" s="58" t="str" cm="1">
        <f>IFERROR(IF(ISBLANK($A126),"",INDEX(Array_StationaryCharges,MATCH($A126,List_StationaryFuelMeters,0),ROUNDUP((COLUMN()+1)/3-2,0))),"")</f>
        <v/>
      </c>
      <c r="J126" s="127"/>
      <c r="K126" s="127"/>
      <c r="L126" s="58" t="str" cm="1">
        <f>IFERROR(IF(ISBLANK($A126),"",INDEX(Array_StationaryCharges,MATCH($A126,List_StationaryFuelMeters,0),ROUNDUP((COLUMN()+1)/3-2,0))),"")</f>
        <v/>
      </c>
      <c r="M126" s="127"/>
      <c r="N126" s="127"/>
      <c r="O126" s="58" t="str" cm="1">
        <f>IFERROR(IF(ISBLANK($A126),"",INDEX(Array_StationaryCharges,MATCH($A126,List_StationaryFuelMeters,0),ROUNDUP((COLUMN()+1)/3-2,0))),"")</f>
        <v/>
      </c>
      <c r="P126" s="127"/>
      <c r="Q126" s="127"/>
      <c r="R126" s="58" t="str" cm="1">
        <f>IFERROR(IF(ISBLANK($A126),"",INDEX(Array_StationaryCharges,MATCH($A126,List_StationaryFuelMeters,0),ROUNDUP((COLUMN()+1)/3-2,0))),"")</f>
        <v/>
      </c>
      <c r="S126" s="127"/>
      <c r="T126" s="127"/>
      <c r="U126" s="58" t="str" cm="1">
        <f>IFERROR(IF(ISBLANK($A126),"",INDEX(Array_StationaryCharges,MATCH($A126,List_StationaryFuelMeters,0),ROUNDUP((COLUMN()+1)/3-2,0))),"")</f>
        <v/>
      </c>
      <c r="V126" s="127"/>
      <c r="W126" s="127"/>
      <c r="X126" s="58" t="str" cm="1">
        <f>IFERROR(IF(ISBLANK($A126),"",INDEX(Array_StationaryCharges,MATCH($A126,List_StationaryFuelMeters,0),ROUNDUP((COLUMN()+1)/3-2,0))),"")</f>
        <v/>
      </c>
      <c r="Y126" s="127"/>
      <c r="Z126" s="127"/>
      <c r="AA126" s="58" t="str" cm="1">
        <f>IFERROR(IF(ISBLANK($A126),"",INDEX(Array_StationaryCharges,MATCH($A126,List_StationaryFuelMeters,0),ROUNDUP((COLUMN()+1)/3-2,0))),"")</f>
        <v/>
      </c>
      <c r="AB126" s="127"/>
      <c r="AC126" s="127"/>
      <c r="AD126" s="58" t="str" cm="1">
        <f>IFERROR(IF(ISBLANK($A126),"",INDEX(Array_StationaryCharges,MATCH($A126,List_StationaryFuelMeters,0),ROUNDUP((COLUMN()+1)/3-2,0))),"")</f>
        <v/>
      </c>
      <c r="AE126" s="127"/>
      <c r="AF126" s="127"/>
      <c r="AG126" s="58" t="str" cm="1">
        <f>IFERROR(IF(ISBLANK($A126),"",INDEX(Array_StationaryCharges,MATCH($A126,List_StationaryFuelMeters,0),ROUNDUP((COLUMN()+1)/3-2,0))),"")</f>
        <v/>
      </c>
      <c r="AH126" s="127"/>
      <c r="AI126" s="127"/>
      <c r="AJ126" s="58" t="str" cm="1">
        <f>IFERROR(IF(ISBLANK($A126),"",INDEX(Array_StationaryCharges,MATCH($A126,List_StationaryFuelMeters,0),ROUNDUP((COLUMN()+1)/3-2,0))),"")</f>
        <v/>
      </c>
      <c r="AK126" s="127"/>
      <c r="AL126" s="127"/>
      <c r="AM126" s="58" t="str" cm="1">
        <f>IFERROR(IF(ISBLANK($A126),"",INDEX(Array_StationaryCharges,MATCH($A126,List_StationaryFuelMeters,0),ROUNDUP((COLUMN()+1)/3-2,0))),"")</f>
        <v/>
      </c>
      <c r="AN126" s="127"/>
      <c r="AO126" s="127"/>
      <c r="AP126" s="58" t="str" cm="1">
        <f>IFERROR(IF(ISBLANK($A126),"",INDEX(Array_StationaryCharges,MATCH($A126,List_StationaryFuelMeters,0),ROUNDUP((COLUMN()+1)/3-2,0))),"")</f>
        <v/>
      </c>
      <c r="AQ126" s="127"/>
      <c r="AR126" s="127"/>
      <c r="AS126" s="58" t="str" cm="1">
        <f>IFERROR(IF(ISBLANK($A126),"",INDEX(Array_StationaryCharges,MATCH($A126,List_StationaryFuelMeters,0),ROUNDUP((COLUMN()+1)/3-2,0))),"")</f>
        <v/>
      </c>
      <c r="AT126" s="127"/>
      <c r="AU126" s="127"/>
      <c r="AV126" s="58" t="str" cm="1">
        <f>IFERROR(IF(ISBLANK($A126),"",INDEX(Array_StationaryCharges,MATCH($A126,List_StationaryFuelMeters,0),ROUNDUP((COLUMN()+1)/3-2,0))),"")</f>
        <v/>
      </c>
      <c r="AW126" s="127"/>
      <c r="AX126" s="127"/>
    </row>
    <row r="127" spans="1:50" x14ac:dyDescent="0.3">
      <c r="A127" s="126"/>
      <c r="B127" s="133"/>
      <c r="C127" s="127"/>
      <c r="D127" s="138"/>
      <c r="E127" s="138"/>
      <c r="F127" s="58" t="str" cm="1">
        <f>IFERROR(IF(ISBLANK($A127),"",INDEX(Array_StationaryCharges,MATCH($A127,List_StationaryFuelMeters,0),ROUNDUP((COLUMN()+1)/3-2,0))),"")</f>
        <v/>
      </c>
      <c r="G127" s="127"/>
      <c r="H127" s="127"/>
      <c r="I127" s="58" t="str" cm="1">
        <f>IFERROR(IF(ISBLANK($A127),"",INDEX(Array_StationaryCharges,MATCH($A127,List_StationaryFuelMeters,0),ROUNDUP((COLUMN()+1)/3-2,0))),"")</f>
        <v/>
      </c>
      <c r="J127" s="127"/>
      <c r="K127" s="127"/>
      <c r="L127" s="58" t="str" cm="1">
        <f>IFERROR(IF(ISBLANK($A127),"",INDEX(Array_StationaryCharges,MATCH($A127,List_StationaryFuelMeters,0),ROUNDUP((COLUMN()+1)/3-2,0))),"")</f>
        <v/>
      </c>
      <c r="M127" s="127"/>
      <c r="N127" s="127"/>
      <c r="O127" s="58" t="str" cm="1">
        <f>IFERROR(IF(ISBLANK($A127),"",INDEX(Array_StationaryCharges,MATCH($A127,List_StationaryFuelMeters,0),ROUNDUP((COLUMN()+1)/3-2,0))),"")</f>
        <v/>
      </c>
      <c r="P127" s="127"/>
      <c r="Q127" s="127"/>
      <c r="R127" s="58" t="str" cm="1">
        <f>IFERROR(IF(ISBLANK($A127),"",INDEX(Array_StationaryCharges,MATCH($A127,List_StationaryFuelMeters,0),ROUNDUP((COLUMN()+1)/3-2,0))),"")</f>
        <v/>
      </c>
      <c r="S127" s="127"/>
      <c r="T127" s="127"/>
      <c r="U127" s="58" t="str" cm="1">
        <f>IFERROR(IF(ISBLANK($A127),"",INDEX(Array_StationaryCharges,MATCH($A127,List_StationaryFuelMeters,0),ROUNDUP((COLUMN()+1)/3-2,0))),"")</f>
        <v/>
      </c>
      <c r="V127" s="127"/>
      <c r="W127" s="127"/>
      <c r="X127" s="58" t="str" cm="1">
        <f>IFERROR(IF(ISBLANK($A127),"",INDEX(Array_StationaryCharges,MATCH($A127,List_StationaryFuelMeters,0),ROUNDUP((COLUMN()+1)/3-2,0))),"")</f>
        <v/>
      </c>
      <c r="Y127" s="127"/>
      <c r="Z127" s="127"/>
      <c r="AA127" s="58" t="str" cm="1">
        <f>IFERROR(IF(ISBLANK($A127),"",INDEX(Array_StationaryCharges,MATCH($A127,List_StationaryFuelMeters,0),ROUNDUP((COLUMN()+1)/3-2,0))),"")</f>
        <v/>
      </c>
      <c r="AB127" s="127"/>
      <c r="AC127" s="127"/>
      <c r="AD127" s="58" t="str" cm="1">
        <f>IFERROR(IF(ISBLANK($A127),"",INDEX(Array_StationaryCharges,MATCH($A127,List_StationaryFuelMeters,0),ROUNDUP((COLUMN()+1)/3-2,0))),"")</f>
        <v/>
      </c>
      <c r="AE127" s="127"/>
      <c r="AF127" s="127"/>
      <c r="AG127" s="58" t="str" cm="1">
        <f>IFERROR(IF(ISBLANK($A127),"",INDEX(Array_StationaryCharges,MATCH($A127,List_StationaryFuelMeters,0),ROUNDUP((COLUMN()+1)/3-2,0))),"")</f>
        <v/>
      </c>
      <c r="AH127" s="127"/>
      <c r="AI127" s="127"/>
      <c r="AJ127" s="58" t="str" cm="1">
        <f>IFERROR(IF(ISBLANK($A127),"",INDEX(Array_StationaryCharges,MATCH($A127,List_StationaryFuelMeters,0),ROUNDUP((COLUMN()+1)/3-2,0))),"")</f>
        <v/>
      </c>
      <c r="AK127" s="127"/>
      <c r="AL127" s="127"/>
      <c r="AM127" s="58" t="str" cm="1">
        <f>IFERROR(IF(ISBLANK($A127),"",INDEX(Array_StationaryCharges,MATCH($A127,List_StationaryFuelMeters,0),ROUNDUP((COLUMN()+1)/3-2,0))),"")</f>
        <v/>
      </c>
      <c r="AN127" s="127"/>
      <c r="AO127" s="127"/>
      <c r="AP127" s="58" t="str" cm="1">
        <f>IFERROR(IF(ISBLANK($A127),"",INDEX(Array_StationaryCharges,MATCH($A127,List_StationaryFuelMeters,0),ROUNDUP((COLUMN()+1)/3-2,0))),"")</f>
        <v/>
      </c>
      <c r="AQ127" s="127"/>
      <c r="AR127" s="127"/>
      <c r="AS127" s="58" t="str" cm="1">
        <f>IFERROR(IF(ISBLANK($A127),"",INDEX(Array_StationaryCharges,MATCH($A127,List_StationaryFuelMeters,0),ROUNDUP((COLUMN()+1)/3-2,0))),"")</f>
        <v/>
      </c>
      <c r="AT127" s="127"/>
      <c r="AU127" s="127"/>
      <c r="AV127" s="58" t="str" cm="1">
        <f>IFERROR(IF(ISBLANK($A127),"",INDEX(Array_StationaryCharges,MATCH($A127,List_StationaryFuelMeters,0),ROUNDUP((COLUMN()+1)/3-2,0))),"")</f>
        <v/>
      </c>
      <c r="AW127" s="127"/>
      <c r="AX127" s="127"/>
    </row>
    <row r="128" spans="1:50" x14ac:dyDescent="0.3">
      <c r="A128" s="126"/>
      <c r="B128" s="133"/>
      <c r="C128" s="127"/>
      <c r="D128" s="138"/>
      <c r="E128" s="138"/>
      <c r="F128" s="58" t="str" cm="1">
        <f>IFERROR(IF(ISBLANK($A128),"",INDEX(Array_StationaryCharges,MATCH($A128,List_StationaryFuelMeters,0),ROUNDUP((COLUMN()+1)/3-2,0))),"")</f>
        <v/>
      </c>
      <c r="G128" s="127"/>
      <c r="H128" s="127"/>
      <c r="I128" s="58" t="str" cm="1">
        <f>IFERROR(IF(ISBLANK($A128),"",INDEX(Array_StationaryCharges,MATCH($A128,List_StationaryFuelMeters,0),ROUNDUP((COLUMN()+1)/3-2,0))),"")</f>
        <v/>
      </c>
      <c r="J128" s="127"/>
      <c r="K128" s="127"/>
      <c r="L128" s="58" t="str" cm="1">
        <f>IFERROR(IF(ISBLANK($A128),"",INDEX(Array_StationaryCharges,MATCH($A128,List_StationaryFuelMeters,0),ROUNDUP((COLUMN()+1)/3-2,0))),"")</f>
        <v/>
      </c>
      <c r="M128" s="127"/>
      <c r="N128" s="127"/>
      <c r="O128" s="58" t="str" cm="1">
        <f>IFERROR(IF(ISBLANK($A128),"",INDEX(Array_StationaryCharges,MATCH($A128,List_StationaryFuelMeters,0),ROUNDUP((COLUMN()+1)/3-2,0))),"")</f>
        <v/>
      </c>
      <c r="P128" s="127"/>
      <c r="Q128" s="127"/>
      <c r="R128" s="58" t="str" cm="1">
        <f>IFERROR(IF(ISBLANK($A128),"",INDEX(Array_StationaryCharges,MATCH($A128,List_StationaryFuelMeters,0),ROUNDUP((COLUMN()+1)/3-2,0))),"")</f>
        <v/>
      </c>
      <c r="S128" s="127"/>
      <c r="T128" s="127"/>
      <c r="U128" s="58" t="str" cm="1">
        <f>IFERROR(IF(ISBLANK($A128),"",INDEX(Array_StationaryCharges,MATCH($A128,List_StationaryFuelMeters,0),ROUNDUP((COLUMN()+1)/3-2,0))),"")</f>
        <v/>
      </c>
      <c r="V128" s="127"/>
      <c r="W128" s="127"/>
      <c r="X128" s="58" t="str" cm="1">
        <f>IFERROR(IF(ISBLANK($A128),"",INDEX(Array_StationaryCharges,MATCH($A128,List_StationaryFuelMeters,0),ROUNDUP((COLUMN()+1)/3-2,0))),"")</f>
        <v/>
      </c>
      <c r="Y128" s="127"/>
      <c r="Z128" s="127"/>
      <c r="AA128" s="58" t="str" cm="1">
        <f>IFERROR(IF(ISBLANK($A128),"",INDEX(Array_StationaryCharges,MATCH($A128,List_StationaryFuelMeters,0),ROUNDUP((COLUMN()+1)/3-2,0))),"")</f>
        <v/>
      </c>
      <c r="AB128" s="127"/>
      <c r="AC128" s="127"/>
      <c r="AD128" s="58" t="str" cm="1">
        <f>IFERROR(IF(ISBLANK($A128),"",INDEX(Array_StationaryCharges,MATCH($A128,List_StationaryFuelMeters,0),ROUNDUP((COLUMN()+1)/3-2,0))),"")</f>
        <v/>
      </c>
      <c r="AE128" s="127"/>
      <c r="AF128" s="127"/>
      <c r="AG128" s="58" t="str" cm="1">
        <f>IFERROR(IF(ISBLANK($A128),"",INDEX(Array_StationaryCharges,MATCH($A128,List_StationaryFuelMeters,0),ROUNDUP((COLUMN()+1)/3-2,0))),"")</f>
        <v/>
      </c>
      <c r="AH128" s="127"/>
      <c r="AI128" s="127"/>
      <c r="AJ128" s="58" t="str" cm="1">
        <f>IFERROR(IF(ISBLANK($A128),"",INDEX(Array_StationaryCharges,MATCH($A128,List_StationaryFuelMeters,0),ROUNDUP((COLUMN()+1)/3-2,0))),"")</f>
        <v/>
      </c>
      <c r="AK128" s="127"/>
      <c r="AL128" s="127"/>
      <c r="AM128" s="58" t="str" cm="1">
        <f>IFERROR(IF(ISBLANK($A128),"",INDEX(Array_StationaryCharges,MATCH($A128,List_StationaryFuelMeters,0),ROUNDUP((COLUMN()+1)/3-2,0))),"")</f>
        <v/>
      </c>
      <c r="AN128" s="127"/>
      <c r="AO128" s="127"/>
      <c r="AP128" s="58" t="str" cm="1">
        <f>IFERROR(IF(ISBLANK($A128),"",INDEX(Array_StationaryCharges,MATCH($A128,List_StationaryFuelMeters,0),ROUNDUP((COLUMN()+1)/3-2,0))),"")</f>
        <v/>
      </c>
      <c r="AQ128" s="127"/>
      <c r="AR128" s="127"/>
      <c r="AS128" s="58" t="str" cm="1">
        <f>IFERROR(IF(ISBLANK($A128),"",INDEX(Array_StationaryCharges,MATCH($A128,List_StationaryFuelMeters,0),ROUNDUP((COLUMN()+1)/3-2,0))),"")</f>
        <v/>
      </c>
      <c r="AT128" s="127"/>
      <c r="AU128" s="127"/>
      <c r="AV128" s="58" t="str" cm="1">
        <f>IFERROR(IF(ISBLANK($A128),"",INDEX(Array_StationaryCharges,MATCH($A128,List_StationaryFuelMeters,0),ROUNDUP((COLUMN()+1)/3-2,0))),"")</f>
        <v/>
      </c>
      <c r="AW128" s="127"/>
      <c r="AX128" s="127"/>
    </row>
    <row r="129" spans="1:50" x14ac:dyDescent="0.3">
      <c r="A129" s="126"/>
      <c r="B129" s="133"/>
      <c r="C129" s="127"/>
      <c r="D129" s="138"/>
      <c r="E129" s="138"/>
      <c r="F129" s="58" t="str" cm="1">
        <f>IFERROR(IF(ISBLANK($A129),"",INDEX(Array_StationaryCharges,MATCH($A129,List_StationaryFuelMeters,0),ROUNDUP((COLUMN()+1)/3-2,0))),"")</f>
        <v/>
      </c>
      <c r="G129" s="127"/>
      <c r="H129" s="127"/>
      <c r="I129" s="58" t="str" cm="1">
        <f>IFERROR(IF(ISBLANK($A129),"",INDEX(Array_StationaryCharges,MATCH($A129,List_StationaryFuelMeters,0),ROUNDUP((COLUMN()+1)/3-2,0))),"")</f>
        <v/>
      </c>
      <c r="J129" s="127"/>
      <c r="K129" s="127"/>
      <c r="L129" s="58" t="str" cm="1">
        <f>IFERROR(IF(ISBLANK($A129),"",INDEX(Array_StationaryCharges,MATCH($A129,List_StationaryFuelMeters,0),ROUNDUP((COLUMN()+1)/3-2,0))),"")</f>
        <v/>
      </c>
      <c r="M129" s="127"/>
      <c r="N129" s="127"/>
      <c r="O129" s="58" t="str" cm="1">
        <f>IFERROR(IF(ISBLANK($A129),"",INDEX(Array_StationaryCharges,MATCH($A129,List_StationaryFuelMeters,0),ROUNDUP((COLUMN()+1)/3-2,0))),"")</f>
        <v/>
      </c>
      <c r="P129" s="127"/>
      <c r="Q129" s="127"/>
      <c r="R129" s="58" t="str" cm="1">
        <f>IFERROR(IF(ISBLANK($A129),"",INDEX(Array_StationaryCharges,MATCH($A129,List_StationaryFuelMeters,0),ROUNDUP((COLUMN()+1)/3-2,0))),"")</f>
        <v/>
      </c>
      <c r="S129" s="127"/>
      <c r="T129" s="127"/>
      <c r="U129" s="58" t="str" cm="1">
        <f>IFERROR(IF(ISBLANK($A129),"",INDEX(Array_StationaryCharges,MATCH($A129,List_StationaryFuelMeters,0),ROUNDUP((COLUMN()+1)/3-2,0))),"")</f>
        <v/>
      </c>
      <c r="V129" s="127"/>
      <c r="W129" s="127"/>
      <c r="X129" s="58" t="str" cm="1">
        <f>IFERROR(IF(ISBLANK($A129),"",INDEX(Array_StationaryCharges,MATCH($A129,List_StationaryFuelMeters,0),ROUNDUP((COLUMN()+1)/3-2,0))),"")</f>
        <v/>
      </c>
      <c r="Y129" s="127"/>
      <c r="Z129" s="127"/>
      <c r="AA129" s="58" t="str" cm="1">
        <f>IFERROR(IF(ISBLANK($A129),"",INDEX(Array_StationaryCharges,MATCH($A129,List_StationaryFuelMeters,0),ROUNDUP((COLUMN()+1)/3-2,0))),"")</f>
        <v/>
      </c>
      <c r="AB129" s="127"/>
      <c r="AC129" s="127"/>
      <c r="AD129" s="58" t="str" cm="1">
        <f>IFERROR(IF(ISBLANK($A129),"",INDEX(Array_StationaryCharges,MATCH($A129,List_StationaryFuelMeters,0),ROUNDUP((COLUMN()+1)/3-2,0))),"")</f>
        <v/>
      </c>
      <c r="AE129" s="127"/>
      <c r="AF129" s="127"/>
      <c r="AG129" s="58" t="str" cm="1">
        <f>IFERROR(IF(ISBLANK($A129),"",INDEX(Array_StationaryCharges,MATCH($A129,List_StationaryFuelMeters,0),ROUNDUP((COLUMN()+1)/3-2,0))),"")</f>
        <v/>
      </c>
      <c r="AH129" s="127"/>
      <c r="AI129" s="127"/>
      <c r="AJ129" s="58" t="str" cm="1">
        <f>IFERROR(IF(ISBLANK($A129),"",INDEX(Array_StationaryCharges,MATCH($A129,List_StationaryFuelMeters,0),ROUNDUP((COLUMN()+1)/3-2,0))),"")</f>
        <v/>
      </c>
      <c r="AK129" s="127"/>
      <c r="AL129" s="127"/>
      <c r="AM129" s="58" t="str" cm="1">
        <f>IFERROR(IF(ISBLANK($A129),"",INDEX(Array_StationaryCharges,MATCH($A129,List_StationaryFuelMeters,0),ROUNDUP((COLUMN()+1)/3-2,0))),"")</f>
        <v/>
      </c>
      <c r="AN129" s="127"/>
      <c r="AO129" s="127"/>
      <c r="AP129" s="58" t="str" cm="1">
        <f>IFERROR(IF(ISBLANK($A129),"",INDEX(Array_StationaryCharges,MATCH($A129,List_StationaryFuelMeters,0),ROUNDUP((COLUMN()+1)/3-2,0))),"")</f>
        <v/>
      </c>
      <c r="AQ129" s="127"/>
      <c r="AR129" s="127"/>
      <c r="AS129" s="58" t="str" cm="1">
        <f>IFERROR(IF(ISBLANK($A129),"",INDEX(Array_StationaryCharges,MATCH($A129,List_StationaryFuelMeters,0),ROUNDUP((COLUMN()+1)/3-2,0))),"")</f>
        <v/>
      </c>
      <c r="AT129" s="127"/>
      <c r="AU129" s="127"/>
      <c r="AV129" s="58" t="str" cm="1">
        <f>IFERROR(IF(ISBLANK($A129),"",INDEX(Array_StationaryCharges,MATCH($A129,List_StationaryFuelMeters,0),ROUNDUP((COLUMN()+1)/3-2,0))),"")</f>
        <v/>
      </c>
      <c r="AW129" s="127"/>
      <c r="AX129" s="127"/>
    </row>
    <row r="130" spans="1:50" x14ac:dyDescent="0.3">
      <c r="A130" s="126"/>
      <c r="B130" s="133"/>
      <c r="C130" s="127"/>
      <c r="D130" s="138"/>
      <c r="E130" s="138"/>
      <c r="F130" s="58" t="str" cm="1">
        <f>IFERROR(IF(ISBLANK($A130),"",INDEX(Array_StationaryCharges,MATCH($A130,List_StationaryFuelMeters,0),ROUNDUP((COLUMN()+1)/3-2,0))),"")</f>
        <v/>
      </c>
      <c r="G130" s="127"/>
      <c r="H130" s="127"/>
      <c r="I130" s="58" t="str" cm="1">
        <f>IFERROR(IF(ISBLANK($A130),"",INDEX(Array_StationaryCharges,MATCH($A130,List_StationaryFuelMeters,0),ROUNDUP((COLUMN()+1)/3-2,0))),"")</f>
        <v/>
      </c>
      <c r="J130" s="127"/>
      <c r="K130" s="127"/>
      <c r="L130" s="58" t="str" cm="1">
        <f>IFERROR(IF(ISBLANK($A130),"",INDEX(Array_StationaryCharges,MATCH($A130,List_StationaryFuelMeters,0),ROUNDUP((COLUMN()+1)/3-2,0))),"")</f>
        <v/>
      </c>
      <c r="M130" s="127"/>
      <c r="N130" s="127"/>
      <c r="O130" s="58" t="str" cm="1">
        <f>IFERROR(IF(ISBLANK($A130),"",INDEX(Array_StationaryCharges,MATCH($A130,List_StationaryFuelMeters,0),ROUNDUP((COLUMN()+1)/3-2,0))),"")</f>
        <v/>
      </c>
      <c r="P130" s="127"/>
      <c r="Q130" s="127"/>
      <c r="R130" s="58" t="str" cm="1">
        <f>IFERROR(IF(ISBLANK($A130),"",INDEX(Array_StationaryCharges,MATCH($A130,List_StationaryFuelMeters,0),ROUNDUP((COLUMN()+1)/3-2,0))),"")</f>
        <v/>
      </c>
      <c r="S130" s="127"/>
      <c r="T130" s="127"/>
      <c r="U130" s="58" t="str" cm="1">
        <f>IFERROR(IF(ISBLANK($A130),"",INDEX(Array_StationaryCharges,MATCH($A130,List_StationaryFuelMeters,0),ROUNDUP((COLUMN()+1)/3-2,0))),"")</f>
        <v/>
      </c>
      <c r="V130" s="127"/>
      <c r="W130" s="127"/>
      <c r="X130" s="58" t="str" cm="1">
        <f>IFERROR(IF(ISBLANK($A130),"",INDEX(Array_StationaryCharges,MATCH($A130,List_StationaryFuelMeters,0),ROUNDUP((COLUMN()+1)/3-2,0))),"")</f>
        <v/>
      </c>
      <c r="Y130" s="127"/>
      <c r="Z130" s="127"/>
      <c r="AA130" s="58" t="str" cm="1">
        <f>IFERROR(IF(ISBLANK($A130),"",INDEX(Array_StationaryCharges,MATCH($A130,List_StationaryFuelMeters,0),ROUNDUP((COLUMN()+1)/3-2,0))),"")</f>
        <v/>
      </c>
      <c r="AB130" s="127"/>
      <c r="AC130" s="127"/>
      <c r="AD130" s="58" t="str" cm="1">
        <f>IFERROR(IF(ISBLANK($A130),"",INDEX(Array_StationaryCharges,MATCH($A130,List_StationaryFuelMeters,0),ROUNDUP((COLUMN()+1)/3-2,0))),"")</f>
        <v/>
      </c>
      <c r="AE130" s="127"/>
      <c r="AF130" s="127"/>
      <c r="AG130" s="58" t="str" cm="1">
        <f>IFERROR(IF(ISBLANK($A130),"",INDEX(Array_StationaryCharges,MATCH($A130,List_StationaryFuelMeters,0),ROUNDUP((COLUMN()+1)/3-2,0))),"")</f>
        <v/>
      </c>
      <c r="AH130" s="127"/>
      <c r="AI130" s="127"/>
      <c r="AJ130" s="58" t="str" cm="1">
        <f>IFERROR(IF(ISBLANK($A130),"",INDEX(Array_StationaryCharges,MATCH($A130,List_StationaryFuelMeters,0),ROUNDUP((COLUMN()+1)/3-2,0))),"")</f>
        <v/>
      </c>
      <c r="AK130" s="127"/>
      <c r="AL130" s="127"/>
      <c r="AM130" s="58" t="str" cm="1">
        <f>IFERROR(IF(ISBLANK($A130),"",INDEX(Array_StationaryCharges,MATCH($A130,List_StationaryFuelMeters,0),ROUNDUP((COLUMN()+1)/3-2,0))),"")</f>
        <v/>
      </c>
      <c r="AN130" s="127"/>
      <c r="AO130" s="127"/>
      <c r="AP130" s="58" t="str" cm="1">
        <f>IFERROR(IF(ISBLANK($A130),"",INDEX(Array_StationaryCharges,MATCH($A130,List_StationaryFuelMeters,0),ROUNDUP((COLUMN()+1)/3-2,0))),"")</f>
        <v/>
      </c>
      <c r="AQ130" s="127"/>
      <c r="AR130" s="127"/>
      <c r="AS130" s="58" t="str" cm="1">
        <f>IFERROR(IF(ISBLANK($A130),"",INDEX(Array_StationaryCharges,MATCH($A130,List_StationaryFuelMeters,0),ROUNDUP((COLUMN()+1)/3-2,0))),"")</f>
        <v/>
      </c>
      <c r="AT130" s="127"/>
      <c r="AU130" s="127"/>
      <c r="AV130" s="58" t="str" cm="1">
        <f>IFERROR(IF(ISBLANK($A130),"",INDEX(Array_StationaryCharges,MATCH($A130,List_StationaryFuelMeters,0),ROUNDUP((COLUMN()+1)/3-2,0))),"")</f>
        <v/>
      </c>
      <c r="AW130" s="127"/>
      <c r="AX130" s="127"/>
    </row>
    <row r="131" spans="1:50" x14ac:dyDescent="0.3">
      <c r="A131" s="126"/>
      <c r="B131" s="133"/>
      <c r="C131" s="127"/>
      <c r="D131" s="138"/>
      <c r="E131" s="138"/>
      <c r="F131" s="58" t="str" cm="1">
        <f>IFERROR(IF(ISBLANK($A131),"",INDEX(Array_StationaryCharges,MATCH($A131,List_StationaryFuelMeters,0),ROUNDUP((COLUMN()+1)/3-2,0))),"")</f>
        <v/>
      </c>
      <c r="G131" s="127"/>
      <c r="H131" s="127"/>
      <c r="I131" s="58" t="str" cm="1">
        <f>IFERROR(IF(ISBLANK($A131),"",INDEX(Array_StationaryCharges,MATCH($A131,List_StationaryFuelMeters,0),ROUNDUP((COLUMN()+1)/3-2,0))),"")</f>
        <v/>
      </c>
      <c r="J131" s="127"/>
      <c r="K131" s="127"/>
      <c r="L131" s="58" t="str" cm="1">
        <f>IFERROR(IF(ISBLANK($A131),"",INDEX(Array_StationaryCharges,MATCH($A131,List_StationaryFuelMeters,0),ROUNDUP((COLUMN()+1)/3-2,0))),"")</f>
        <v/>
      </c>
      <c r="M131" s="127"/>
      <c r="N131" s="127"/>
      <c r="O131" s="58" t="str" cm="1">
        <f>IFERROR(IF(ISBLANK($A131),"",INDEX(Array_StationaryCharges,MATCH($A131,List_StationaryFuelMeters,0),ROUNDUP((COLUMN()+1)/3-2,0))),"")</f>
        <v/>
      </c>
      <c r="P131" s="127"/>
      <c r="Q131" s="127"/>
      <c r="R131" s="58" t="str" cm="1">
        <f>IFERROR(IF(ISBLANK($A131),"",INDEX(Array_StationaryCharges,MATCH($A131,List_StationaryFuelMeters,0),ROUNDUP((COLUMN()+1)/3-2,0))),"")</f>
        <v/>
      </c>
      <c r="S131" s="127"/>
      <c r="T131" s="127"/>
      <c r="U131" s="58" t="str" cm="1">
        <f>IFERROR(IF(ISBLANK($A131),"",INDEX(Array_StationaryCharges,MATCH($A131,List_StationaryFuelMeters,0),ROUNDUP((COLUMN()+1)/3-2,0))),"")</f>
        <v/>
      </c>
      <c r="V131" s="127"/>
      <c r="W131" s="127"/>
      <c r="X131" s="58" t="str" cm="1">
        <f>IFERROR(IF(ISBLANK($A131),"",INDEX(Array_StationaryCharges,MATCH($A131,List_StationaryFuelMeters,0),ROUNDUP((COLUMN()+1)/3-2,0))),"")</f>
        <v/>
      </c>
      <c r="Y131" s="127"/>
      <c r="Z131" s="127"/>
      <c r="AA131" s="58" t="str" cm="1">
        <f>IFERROR(IF(ISBLANK($A131),"",INDEX(Array_StationaryCharges,MATCH($A131,List_StationaryFuelMeters,0),ROUNDUP((COLUMN()+1)/3-2,0))),"")</f>
        <v/>
      </c>
      <c r="AB131" s="127"/>
      <c r="AC131" s="127"/>
      <c r="AD131" s="58" t="str" cm="1">
        <f>IFERROR(IF(ISBLANK($A131),"",INDEX(Array_StationaryCharges,MATCH($A131,List_StationaryFuelMeters,0),ROUNDUP((COLUMN()+1)/3-2,0))),"")</f>
        <v/>
      </c>
      <c r="AE131" s="127"/>
      <c r="AF131" s="127"/>
      <c r="AG131" s="58" t="str" cm="1">
        <f>IFERROR(IF(ISBLANK($A131),"",INDEX(Array_StationaryCharges,MATCH($A131,List_StationaryFuelMeters,0),ROUNDUP((COLUMN()+1)/3-2,0))),"")</f>
        <v/>
      </c>
      <c r="AH131" s="127"/>
      <c r="AI131" s="127"/>
      <c r="AJ131" s="58" t="str" cm="1">
        <f>IFERROR(IF(ISBLANK($A131),"",INDEX(Array_StationaryCharges,MATCH($A131,List_StationaryFuelMeters,0),ROUNDUP((COLUMN()+1)/3-2,0))),"")</f>
        <v/>
      </c>
      <c r="AK131" s="127"/>
      <c r="AL131" s="127"/>
      <c r="AM131" s="58" t="str" cm="1">
        <f>IFERROR(IF(ISBLANK($A131),"",INDEX(Array_StationaryCharges,MATCH($A131,List_StationaryFuelMeters,0),ROUNDUP((COLUMN()+1)/3-2,0))),"")</f>
        <v/>
      </c>
      <c r="AN131" s="127"/>
      <c r="AO131" s="127"/>
      <c r="AP131" s="58" t="str" cm="1">
        <f>IFERROR(IF(ISBLANK($A131),"",INDEX(Array_StationaryCharges,MATCH($A131,List_StationaryFuelMeters,0),ROUNDUP((COLUMN()+1)/3-2,0))),"")</f>
        <v/>
      </c>
      <c r="AQ131" s="127"/>
      <c r="AR131" s="127"/>
      <c r="AS131" s="58" t="str" cm="1">
        <f>IFERROR(IF(ISBLANK($A131),"",INDEX(Array_StationaryCharges,MATCH($A131,List_StationaryFuelMeters,0),ROUNDUP((COLUMN()+1)/3-2,0))),"")</f>
        <v/>
      </c>
      <c r="AT131" s="127"/>
      <c r="AU131" s="127"/>
      <c r="AV131" s="58" t="str" cm="1">
        <f>IFERROR(IF(ISBLANK($A131),"",INDEX(Array_StationaryCharges,MATCH($A131,List_StationaryFuelMeters,0),ROUNDUP((COLUMN()+1)/3-2,0))),"")</f>
        <v/>
      </c>
      <c r="AW131" s="127"/>
      <c r="AX131" s="127"/>
    </row>
    <row r="132" spans="1:50" x14ac:dyDescent="0.3">
      <c r="A132" s="126"/>
      <c r="B132" s="133"/>
      <c r="C132" s="127"/>
      <c r="D132" s="138"/>
      <c r="E132" s="138"/>
      <c r="F132" s="58" t="str" cm="1">
        <f>IFERROR(IF(ISBLANK($A132),"",INDEX(Array_StationaryCharges,MATCH($A132,List_StationaryFuelMeters,0),ROUNDUP((COLUMN()+1)/3-2,0))),"")</f>
        <v/>
      </c>
      <c r="G132" s="127"/>
      <c r="H132" s="127"/>
      <c r="I132" s="58" t="str" cm="1">
        <f>IFERROR(IF(ISBLANK($A132),"",INDEX(Array_StationaryCharges,MATCH($A132,List_StationaryFuelMeters,0),ROUNDUP((COLUMN()+1)/3-2,0))),"")</f>
        <v/>
      </c>
      <c r="J132" s="127"/>
      <c r="K132" s="127"/>
      <c r="L132" s="58" t="str" cm="1">
        <f>IFERROR(IF(ISBLANK($A132),"",INDEX(Array_StationaryCharges,MATCH($A132,List_StationaryFuelMeters,0),ROUNDUP((COLUMN()+1)/3-2,0))),"")</f>
        <v/>
      </c>
      <c r="M132" s="127"/>
      <c r="N132" s="127"/>
      <c r="O132" s="58" t="str" cm="1">
        <f>IFERROR(IF(ISBLANK($A132),"",INDEX(Array_StationaryCharges,MATCH($A132,List_StationaryFuelMeters,0),ROUNDUP((COLUMN()+1)/3-2,0))),"")</f>
        <v/>
      </c>
      <c r="P132" s="127"/>
      <c r="Q132" s="127"/>
      <c r="R132" s="58" t="str" cm="1">
        <f>IFERROR(IF(ISBLANK($A132),"",INDEX(Array_StationaryCharges,MATCH($A132,List_StationaryFuelMeters,0),ROUNDUP((COLUMN()+1)/3-2,0))),"")</f>
        <v/>
      </c>
      <c r="S132" s="127"/>
      <c r="T132" s="127"/>
      <c r="U132" s="58" t="str" cm="1">
        <f>IFERROR(IF(ISBLANK($A132),"",INDEX(Array_StationaryCharges,MATCH($A132,List_StationaryFuelMeters,0),ROUNDUP((COLUMN()+1)/3-2,0))),"")</f>
        <v/>
      </c>
      <c r="V132" s="127"/>
      <c r="W132" s="127"/>
      <c r="X132" s="58" t="str" cm="1">
        <f>IFERROR(IF(ISBLANK($A132),"",INDEX(Array_StationaryCharges,MATCH($A132,List_StationaryFuelMeters,0),ROUNDUP((COLUMN()+1)/3-2,0))),"")</f>
        <v/>
      </c>
      <c r="Y132" s="127"/>
      <c r="Z132" s="127"/>
      <c r="AA132" s="58" t="str" cm="1">
        <f>IFERROR(IF(ISBLANK($A132),"",INDEX(Array_StationaryCharges,MATCH($A132,List_StationaryFuelMeters,0),ROUNDUP((COLUMN()+1)/3-2,0))),"")</f>
        <v/>
      </c>
      <c r="AB132" s="127"/>
      <c r="AC132" s="127"/>
      <c r="AD132" s="58" t="str" cm="1">
        <f>IFERROR(IF(ISBLANK($A132),"",INDEX(Array_StationaryCharges,MATCH($A132,List_StationaryFuelMeters,0),ROUNDUP((COLUMN()+1)/3-2,0))),"")</f>
        <v/>
      </c>
      <c r="AE132" s="127"/>
      <c r="AF132" s="127"/>
      <c r="AG132" s="58" t="str" cm="1">
        <f>IFERROR(IF(ISBLANK($A132),"",INDEX(Array_StationaryCharges,MATCH($A132,List_StationaryFuelMeters,0),ROUNDUP((COLUMN()+1)/3-2,0))),"")</f>
        <v/>
      </c>
      <c r="AH132" s="127"/>
      <c r="AI132" s="127"/>
      <c r="AJ132" s="58" t="str" cm="1">
        <f>IFERROR(IF(ISBLANK($A132),"",INDEX(Array_StationaryCharges,MATCH($A132,List_StationaryFuelMeters,0),ROUNDUP((COLUMN()+1)/3-2,0))),"")</f>
        <v/>
      </c>
      <c r="AK132" s="127"/>
      <c r="AL132" s="127"/>
      <c r="AM132" s="58" t="str" cm="1">
        <f>IFERROR(IF(ISBLANK($A132),"",INDEX(Array_StationaryCharges,MATCH($A132,List_StationaryFuelMeters,0),ROUNDUP((COLUMN()+1)/3-2,0))),"")</f>
        <v/>
      </c>
      <c r="AN132" s="127"/>
      <c r="AO132" s="127"/>
      <c r="AP132" s="58" t="str" cm="1">
        <f>IFERROR(IF(ISBLANK($A132),"",INDEX(Array_StationaryCharges,MATCH($A132,List_StationaryFuelMeters,0),ROUNDUP((COLUMN()+1)/3-2,0))),"")</f>
        <v/>
      </c>
      <c r="AQ132" s="127"/>
      <c r="AR132" s="127"/>
      <c r="AS132" s="58" t="str" cm="1">
        <f>IFERROR(IF(ISBLANK($A132),"",INDEX(Array_StationaryCharges,MATCH($A132,List_StationaryFuelMeters,0),ROUNDUP((COLUMN()+1)/3-2,0))),"")</f>
        <v/>
      </c>
      <c r="AT132" s="127"/>
      <c r="AU132" s="127"/>
      <c r="AV132" s="58" t="str" cm="1">
        <f>IFERROR(IF(ISBLANK($A132),"",INDEX(Array_StationaryCharges,MATCH($A132,List_StationaryFuelMeters,0),ROUNDUP((COLUMN()+1)/3-2,0))),"")</f>
        <v/>
      </c>
      <c r="AW132" s="127"/>
      <c r="AX132" s="127"/>
    </row>
    <row r="133" spans="1:50" x14ac:dyDescent="0.3">
      <c r="A133" s="126"/>
      <c r="B133" s="133"/>
      <c r="C133" s="127"/>
      <c r="D133" s="138"/>
      <c r="E133" s="138"/>
      <c r="F133" s="58" t="str" cm="1">
        <f>IFERROR(IF(ISBLANK($A133),"",INDEX(Array_StationaryCharges,MATCH($A133,List_StationaryFuelMeters,0),ROUNDUP((COLUMN()+1)/3-2,0))),"")</f>
        <v/>
      </c>
      <c r="G133" s="127"/>
      <c r="H133" s="127"/>
      <c r="I133" s="58" t="str" cm="1">
        <f>IFERROR(IF(ISBLANK($A133),"",INDEX(Array_StationaryCharges,MATCH($A133,List_StationaryFuelMeters,0),ROUNDUP((COLUMN()+1)/3-2,0))),"")</f>
        <v/>
      </c>
      <c r="J133" s="127"/>
      <c r="K133" s="127"/>
      <c r="L133" s="58" t="str" cm="1">
        <f>IFERROR(IF(ISBLANK($A133),"",INDEX(Array_StationaryCharges,MATCH($A133,List_StationaryFuelMeters,0),ROUNDUP((COLUMN()+1)/3-2,0))),"")</f>
        <v/>
      </c>
      <c r="M133" s="127"/>
      <c r="N133" s="127"/>
      <c r="O133" s="58" t="str" cm="1">
        <f>IFERROR(IF(ISBLANK($A133),"",INDEX(Array_StationaryCharges,MATCH($A133,List_StationaryFuelMeters,0),ROUNDUP((COLUMN()+1)/3-2,0))),"")</f>
        <v/>
      </c>
      <c r="P133" s="127"/>
      <c r="Q133" s="127"/>
      <c r="R133" s="58" t="str" cm="1">
        <f>IFERROR(IF(ISBLANK($A133),"",INDEX(Array_StationaryCharges,MATCH($A133,List_StationaryFuelMeters,0),ROUNDUP((COLUMN()+1)/3-2,0))),"")</f>
        <v/>
      </c>
      <c r="S133" s="127"/>
      <c r="T133" s="127"/>
      <c r="U133" s="58" t="str" cm="1">
        <f>IFERROR(IF(ISBLANK($A133),"",INDEX(Array_StationaryCharges,MATCH($A133,List_StationaryFuelMeters,0),ROUNDUP((COLUMN()+1)/3-2,0))),"")</f>
        <v/>
      </c>
      <c r="V133" s="127"/>
      <c r="W133" s="127"/>
      <c r="X133" s="58" t="str" cm="1">
        <f>IFERROR(IF(ISBLANK($A133),"",INDEX(Array_StationaryCharges,MATCH($A133,List_StationaryFuelMeters,0),ROUNDUP((COLUMN()+1)/3-2,0))),"")</f>
        <v/>
      </c>
      <c r="Y133" s="127"/>
      <c r="Z133" s="127"/>
      <c r="AA133" s="58" t="str" cm="1">
        <f>IFERROR(IF(ISBLANK($A133),"",INDEX(Array_StationaryCharges,MATCH($A133,List_StationaryFuelMeters,0),ROUNDUP((COLUMN()+1)/3-2,0))),"")</f>
        <v/>
      </c>
      <c r="AB133" s="127"/>
      <c r="AC133" s="127"/>
      <c r="AD133" s="58" t="str" cm="1">
        <f>IFERROR(IF(ISBLANK($A133),"",INDEX(Array_StationaryCharges,MATCH($A133,List_StationaryFuelMeters,0),ROUNDUP((COLUMN()+1)/3-2,0))),"")</f>
        <v/>
      </c>
      <c r="AE133" s="127"/>
      <c r="AF133" s="127"/>
      <c r="AG133" s="58" t="str" cm="1">
        <f>IFERROR(IF(ISBLANK($A133),"",INDEX(Array_StationaryCharges,MATCH($A133,List_StationaryFuelMeters,0),ROUNDUP((COLUMN()+1)/3-2,0))),"")</f>
        <v/>
      </c>
      <c r="AH133" s="127"/>
      <c r="AI133" s="127"/>
      <c r="AJ133" s="58" t="str" cm="1">
        <f>IFERROR(IF(ISBLANK($A133),"",INDEX(Array_StationaryCharges,MATCH($A133,List_StationaryFuelMeters,0),ROUNDUP((COLUMN()+1)/3-2,0))),"")</f>
        <v/>
      </c>
      <c r="AK133" s="127"/>
      <c r="AL133" s="127"/>
      <c r="AM133" s="58" t="str" cm="1">
        <f>IFERROR(IF(ISBLANK($A133),"",INDEX(Array_StationaryCharges,MATCH($A133,List_StationaryFuelMeters,0),ROUNDUP((COLUMN()+1)/3-2,0))),"")</f>
        <v/>
      </c>
      <c r="AN133" s="127"/>
      <c r="AO133" s="127"/>
      <c r="AP133" s="58" t="str" cm="1">
        <f>IFERROR(IF(ISBLANK($A133),"",INDEX(Array_StationaryCharges,MATCH($A133,List_StationaryFuelMeters,0),ROUNDUP((COLUMN()+1)/3-2,0))),"")</f>
        <v/>
      </c>
      <c r="AQ133" s="127"/>
      <c r="AR133" s="127"/>
      <c r="AS133" s="58" t="str" cm="1">
        <f>IFERROR(IF(ISBLANK($A133),"",INDEX(Array_StationaryCharges,MATCH($A133,List_StationaryFuelMeters,0),ROUNDUP((COLUMN()+1)/3-2,0))),"")</f>
        <v/>
      </c>
      <c r="AT133" s="127"/>
      <c r="AU133" s="127"/>
      <c r="AV133" s="58" t="str" cm="1">
        <f>IFERROR(IF(ISBLANK($A133),"",INDEX(Array_StationaryCharges,MATCH($A133,List_StationaryFuelMeters,0),ROUNDUP((COLUMN()+1)/3-2,0))),"")</f>
        <v/>
      </c>
      <c r="AW133" s="127"/>
      <c r="AX133" s="127"/>
    </row>
    <row r="134" spans="1:50" x14ac:dyDescent="0.3">
      <c r="A134" s="126"/>
      <c r="B134" s="133"/>
      <c r="C134" s="127"/>
      <c r="D134" s="138"/>
      <c r="E134" s="138"/>
      <c r="F134" s="58" t="str" cm="1">
        <f>IFERROR(IF(ISBLANK($A134),"",INDEX(Array_StationaryCharges,MATCH($A134,List_StationaryFuelMeters,0),ROUNDUP((COLUMN()+1)/3-2,0))),"")</f>
        <v/>
      </c>
      <c r="G134" s="127"/>
      <c r="H134" s="127"/>
      <c r="I134" s="58" t="str" cm="1">
        <f>IFERROR(IF(ISBLANK($A134),"",INDEX(Array_StationaryCharges,MATCH($A134,List_StationaryFuelMeters,0),ROUNDUP((COLUMN()+1)/3-2,0))),"")</f>
        <v/>
      </c>
      <c r="J134" s="127"/>
      <c r="K134" s="127"/>
      <c r="L134" s="58" t="str" cm="1">
        <f>IFERROR(IF(ISBLANK($A134),"",INDEX(Array_StationaryCharges,MATCH($A134,List_StationaryFuelMeters,0),ROUNDUP((COLUMN()+1)/3-2,0))),"")</f>
        <v/>
      </c>
      <c r="M134" s="127"/>
      <c r="N134" s="127"/>
      <c r="O134" s="58" t="str" cm="1">
        <f>IFERROR(IF(ISBLANK($A134),"",INDEX(Array_StationaryCharges,MATCH($A134,List_StationaryFuelMeters,0),ROUNDUP((COLUMN()+1)/3-2,0))),"")</f>
        <v/>
      </c>
      <c r="P134" s="127"/>
      <c r="Q134" s="127"/>
      <c r="R134" s="58" t="str" cm="1">
        <f>IFERROR(IF(ISBLANK($A134),"",INDEX(Array_StationaryCharges,MATCH($A134,List_StationaryFuelMeters,0),ROUNDUP((COLUMN()+1)/3-2,0))),"")</f>
        <v/>
      </c>
      <c r="S134" s="127"/>
      <c r="T134" s="127"/>
      <c r="U134" s="58" t="str" cm="1">
        <f>IFERROR(IF(ISBLANK($A134),"",INDEX(Array_StationaryCharges,MATCH($A134,List_StationaryFuelMeters,0),ROUNDUP((COLUMN()+1)/3-2,0))),"")</f>
        <v/>
      </c>
      <c r="V134" s="127"/>
      <c r="W134" s="127"/>
      <c r="X134" s="58" t="str" cm="1">
        <f>IFERROR(IF(ISBLANK($A134),"",INDEX(Array_StationaryCharges,MATCH($A134,List_StationaryFuelMeters,0),ROUNDUP((COLUMN()+1)/3-2,0))),"")</f>
        <v/>
      </c>
      <c r="Y134" s="127"/>
      <c r="Z134" s="127"/>
      <c r="AA134" s="58" t="str" cm="1">
        <f>IFERROR(IF(ISBLANK($A134),"",INDEX(Array_StationaryCharges,MATCH($A134,List_StationaryFuelMeters,0),ROUNDUP((COLUMN()+1)/3-2,0))),"")</f>
        <v/>
      </c>
      <c r="AB134" s="127"/>
      <c r="AC134" s="127"/>
      <c r="AD134" s="58" t="str" cm="1">
        <f>IFERROR(IF(ISBLANK($A134),"",INDEX(Array_StationaryCharges,MATCH($A134,List_StationaryFuelMeters,0),ROUNDUP((COLUMN()+1)/3-2,0))),"")</f>
        <v/>
      </c>
      <c r="AE134" s="127"/>
      <c r="AF134" s="127"/>
      <c r="AG134" s="58" t="str" cm="1">
        <f>IFERROR(IF(ISBLANK($A134),"",INDEX(Array_StationaryCharges,MATCH($A134,List_StationaryFuelMeters,0),ROUNDUP((COLUMN()+1)/3-2,0))),"")</f>
        <v/>
      </c>
      <c r="AH134" s="127"/>
      <c r="AI134" s="127"/>
      <c r="AJ134" s="58" t="str" cm="1">
        <f>IFERROR(IF(ISBLANK($A134),"",INDEX(Array_StationaryCharges,MATCH($A134,List_StationaryFuelMeters,0),ROUNDUP((COLUMN()+1)/3-2,0))),"")</f>
        <v/>
      </c>
      <c r="AK134" s="127"/>
      <c r="AL134" s="127"/>
      <c r="AM134" s="58" t="str" cm="1">
        <f>IFERROR(IF(ISBLANK($A134),"",INDEX(Array_StationaryCharges,MATCH($A134,List_StationaryFuelMeters,0),ROUNDUP((COLUMN()+1)/3-2,0))),"")</f>
        <v/>
      </c>
      <c r="AN134" s="127"/>
      <c r="AO134" s="127"/>
      <c r="AP134" s="58" t="str" cm="1">
        <f>IFERROR(IF(ISBLANK($A134),"",INDEX(Array_StationaryCharges,MATCH($A134,List_StationaryFuelMeters,0),ROUNDUP((COLUMN()+1)/3-2,0))),"")</f>
        <v/>
      </c>
      <c r="AQ134" s="127"/>
      <c r="AR134" s="127"/>
      <c r="AS134" s="58" t="str" cm="1">
        <f>IFERROR(IF(ISBLANK($A134),"",INDEX(Array_StationaryCharges,MATCH($A134,List_StationaryFuelMeters,0),ROUNDUP((COLUMN()+1)/3-2,0))),"")</f>
        <v/>
      </c>
      <c r="AT134" s="127"/>
      <c r="AU134" s="127"/>
      <c r="AV134" s="58" t="str" cm="1">
        <f>IFERROR(IF(ISBLANK($A134),"",INDEX(Array_StationaryCharges,MATCH($A134,List_StationaryFuelMeters,0),ROUNDUP((COLUMN()+1)/3-2,0))),"")</f>
        <v/>
      </c>
      <c r="AW134" s="127"/>
      <c r="AX134" s="127"/>
    </row>
    <row r="135" spans="1:50" x14ac:dyDescent="0.3">
      <c r="A135" s="126"/>
      <c r="B135" s="133"/>
      <c r="C135" s="127"/>
      <c r="D135" s="138"/>
      <c r="E135" s="138"/>
      <c r="F135" s="58" t="str" cm="1">
        <f>IFERROR(IF(ISBLANK($A135),"",INDEX(Array_StationaryCharges,MATCH($A135,List_StationaryFuelMeters,0),ROUNDUP((COLUMN()+1)/3-2,0))),"")</f>
        <v/>
      </c>
      <c r="G135" s="127"/>
      <c r="H135" s="127"/>
      <c r="I135" s="58" t="str" cm="1">
        <f>IFERROR(IF(ISBLANK($A135),"",INDEX(Array_StationaryCharges,MATCH($A135,List_StationaryFuelMeters,0),ROUNDUP((COLUMN()+1)/3-2,0))),"")</f>
        <v/>
      </c>
      <c r="J135" s="127"/>
      <c r="K135" s="127"/>
      <c r="L135" s="58" t="str" cm="1">
        <f>IFERROR(IF(ISBLANK($A135),"",INDEX(Array_StationaryCharges,MATCH($A135,List_StationaryFuelMeters,0),ROUNDUP((COLUMN()+1)/3-2,0))),"")</f>
        <v/>
      </c>
      <c r="M135" s="127"/>
      <c r="N135" s="127"/>
      <c r="O135" s="58" t="str" cm="1">
        <f>IFERROR(IF(ISBLANK($A135),"",INDEX(Array_StationaryCharges,MATCH($A135,List_StationaryFuelMeters,0),ROUNDUP((COLUMN()+1)/3-2,0))),"")</f>
        <v/>
      </c>
      <c r="P135" s="127"/>
      <c r="Q135" s="127"/>
      <c r="R135" s="58" t="str" cm="1">
        <f>IFERROR(IF(ISBLANK($A135),"",INDEX(Array_StationaryCharges,MATCH($A135,List_StationaryFuelMeters,0),ROUNDUP((COLUMN()+1)/3-2,0))),"")</f>
        <v/>
      </c>
      <c r="S135" s="127"/>
      <c r="T135" s="127"/>
      <c r="U135" s="58" t="str" cm="1">
        <f>IFERROR(IF(ISBLANK($A135),"",INDEX(Array_StationaryCharges,MATCH($A135,List_StationaryFuelMeters,0),ROUNDUP((COLUMN()+1)/3-2,0))),"")</f>
        <v/>
      </c>
      <c r="V135" s="127"/>
      <c r="W135" s="127"/>
      <c r="X135" s="58" t="str" cm="1">
        <f>IFERROR(IF(ISBLANK($A135),"",INDEX(Array_StationaryCharges,MATCH($A135,List_StationaryFuelMeters,0),ROUNDUP((COLUMN()+1)/3-2,0))),"")</f>
        <v/>
      </c>
      <c r="Y135" s="127"/>
      <c r="Z135" s="127"/>
      <c r="AA135" s="58" t="str" cm="1">
        <f>IFERROR(IF(ISBLANK($A135),"",INDEX(Array_StationaryCharges,MATCH($A135,List_StationaryFuelMeters,0),ROUNDUP((COLUMN()+1)/3-2,0))),"")</f>
        <v/>
      </c>
      <c r="AB135" s="127"/>
      <c r="AC135" s="127"/>
      <c r="AD135" s="58" t="str" cm="1">
        <f>IFERROR(IF(ISBLANK($A135),"",INDEX(Array_StationaryCharges,MATCH($A135,List_StationaryFuelMeters,0),ROUNDUP((COLUMN()+1)/3-2,0))),"")</f>
        <v/>
      </c>
      <c r="AE135" s="127"/>
      <c r="AF135" s="127"/>
      <c r="AG135" s="58" t="str" cm="1">
        <f>IFERROR(IF(ISBLANK($A135),"",INDEX(Array_StationaryCharges,MATCH($A135,List_StationaryFuelMeters,0),ROUNDUP((COLUMN()+1)/3-2,0))),"")</f>
        <v/>
      </c>
      <c r="AH135" s="127"/>
      <c r="AI135" s="127"/>
      <c r="AJ135" s="58" t="str" cm="1">
        <f>IFERROR(IF(ISBLANK($A135),"",INDEX(Array_StationaryCharges,MATCH($A135,List_StationaryFuelMeters,0),ROUNDUP((COLUMN()+1)/3-2,0))),"")</f>
        <v/>
      </c>
      <c r="AK135" s="127"/>
      <c r="AL135" s="127"/>
      <c r="AM135" s="58" t="str" cm="1">
        <f>IFERROR(IF(ISBLANK($A135),"",INDEX(Array_StationaryCharges,MATCH($A135,List_StationaryFuelMeters,0),ROUNDUP((COLUMN()+1)/3-2,0))),"")</f>
        <v/>
      </c>
      <c r="AN135" s="127"/>
      <c r="AO135" s="127"/>
      <c r="AP135" s="58" t="str" cm="1">
        <f>IFERROR(IF(ISBLANK($A135),"",INDEX(Array_StationaryCharges,MATCH($A135,List_StationaryFuelMeters,0),ROUNDUP((COLUMN()+1)/3-2,0))),"")</f>
        <v/>
      </c>
      <c r="AQ135" s="127"/>
      <c r="AR135" s="127"/>
      <c r="AS135" s="58" t="str" cm="1">
        <f>IFERROR(IF(ISBLANK($A135),"",INDEX(Array_StationaryCharges,MATCH($A135,List_StationaryFuelMeters,0),ROUNDUP((COLUMN()+1)/3-2,0))),"")</f>
        <v/>
      </c>
      <c r="AT135" s="127"/>
      <c r="AU135" s="127"/>
      <c r="AV135" s="58" t="str" cm="1">
        <f>IFERROR(IF(ISBLANK($A135),"",INDEX(Array_StationaryCharges,MATCH($A135,List_StationaryFuelMeters,0),ROUNDUP((COLUMN()+1)/3-2,0))),"")</f>
        <v/>
      </c>
      <c r="AW135" s="127"/>
      <c r="AX135" s="127"/>
    </row>
    <row r="136" spans="1:50" x14ac:dyDescent="0.3">
      <c r="A136" s="126"/>
      <c r="B136" s="133"/>
      <c r="C136" s="127"/>
      <c r="D136" s="138"/>
      <c r="E136" s="138"/>
      <c r="F136" s="58" t="str" cm="1">
        <f>IFERROR(IF(ISBLANK($A136),"",INDEX(Array_StationaryCharges,MATCH($A136,List_StationaryFuelMeters,0),ROUNDUP((COLUMN()+1)/3-2,0))),"")</f>
        <v/>
      </c>
      <c r="G136" s="127"/>
      <c r="H136" s="127"/>
      <c r="I136" s="58" t="str" cm="1">
        <f>IFERROR(IF(ISBLANK($A136),"",INDEX(Array_StationaryCharges,MATCH($A136,List_StationaryFuelMeters,0),ROUNDUP((COLUMN()+1)/3-2,0))),"")</f>
        <v/>
      </c>
      <c r="J136" s="127"/>
      <c r="K136" s="127"/>
      <c r="L136" s="58" t="str" cm="1">
        <f>IFERROR(IF(ISBLANK($A136),"",INDEX(Array_StationaryCharges,MATCH($A136,List_StationaryFuelMeters,0),ROUNDUP((COLUMN()+1)/3-2,0))),"")</f>
        <v/>
      </c>
      <c r="M136" s="127"/>
      <c r="N136" s="127"/>
      <c r="O136" s="58" t="str" cm="1">
        <f>IFERROR(IF(ISBLANK($A136),"",INDEX(Array_StationaryCharges,MATCH($A136,List_StationaryFuelMeters,0),ROUNDUP((COLUMN()+1)/3-2,0))),"")</f>
        <v/>
      </c>
      <c r="P136" s="127"/>
      <c r="Q136" s="127"/>
      <c r="R136" s="58" t="str" cm="1">
        <f>IFERROR(IF(ISBLANK($A136),"",INDEX(Array_StationaryCharges,MATCH($A136,List_StationaryFuelMeters,0),ROUNDUP((COLUMN()+1)/3-2,0))),"")</f>
        <v/>
      </c>
      <c r="S136" s="127"/>
      <c r="T136" s="127"/>
      <c r="U136" s="58" t="str" cm="1">
        <f>IFERROR(IF(ISBLANK($A136),"",INDEX(Array_StationaryCharges,MATCH($A136,List_StationaryFuelMeters,0),ROUNDUP((COLUMN()+1)/3-2,0))),"")</f>
        <v/>
      </c>
      <c r="V136" s="127"/>
      <c r="W136" s="127"/>
      <c r="X136" s="58" t="str" cm="1">
        <f>IFERROR(IF(ISBLANK($A136),"",INDEX(Array_StationaryCharges,MATCH($A136,List_StationaryFuelMeters,0),ROUNDUP((COLUMN()+1)/3-2,0))),"")</f>
        <v/>
      </c>
      <c r="Y136" s="127"/>
      <c r="Z136" s="127"/>
      <c r="AA136" s="58" t="str" cm="1">
        <f>IFERROR(IF(ISBLANK($A136),"",INDEX(Array_StationaryCharges,MATCH($A136,List_StationaryFuelMeters,0),ROUNDUP((COLUMN()+1)/3-2,0))),"")</f>
        <v/>
      </c>
      <c r="AB136" s="127"/>
      <c r="AC136" s="127"/>
      <c r="AD136" s="58" t="str" cm="1">
        <f>IFERROR(IF(ISBLANK($A136),"",INDEX(Array_StationaryCharges,MATCH($A136,List_StationaryFuelMeters,0),ROUNDUP((COLUMN()+1)/3-2,0))),"")</f>
        <v/>
      </c>
      <c r="AE136" s="127"/>
      <c r="AF136" s="127"/>
      <c r="AG136" s="58" t="str" cm="1">
        <f>IFERROR(IF(ISBLANK($A136),"",INDEX(Array_StationaryCharges,MATCH($A136,List_StationaryFuelMeters,0),ROUNDUP((COLUMN()+1)/3-2,0))),"")</f>
        <v/>
      </c>
      <c r="AH136" s="127"/>
      <c r="AI136" s="127"/>
      <c r="AJ136" s="58" t="str" cm="1">
        <f>IFERROR(IF(ISBLANK($A136),"",INDEX(Array_StationaryCharges,MATCH($A136,List_StationaryFuelMeters,0),ROUNDUP((COLUMN()+1)/3-2,0))),"")</f>
        <v/>
      </c>
      <c r="AK136" s="127"/>
      <c r="AL136" s="127"/>
      <c r="AM136" s="58" t="str" cm="1">
        <f>IFERROR(IF(ISBLANK($A136),"",INDEX(Array_StationaryCharges,MATCH($A136,List_StationaryFuelMeters,0),ROUNDUP((COLUMN()+1)/3-2,0))),"")</f>
        <v/>
      </c>
      <c r="AN136" s="127"/>
      <c r="AO136" s="127"/>
      <c r="AP136" s="58" t="str" cm="1">
        <f>IFERROR(IF(ISBLANK($A136),"",INDEX(Array_StationaryCharges,MATCH($A136,List_StationaryFuelMeters,0),ROUNDUP((COLUMN()+1)/3-2,0))),"")</f>
        <v/>
      </c>
      <c r="AQ136" s="127"/>
      <c r="AR136" s="127"/>
      <c r="AS136" s="58" t="str" cm="1">
        <f>IFERROR(IF(ISBLANK($A136),"",INDEX(Array_StationaryCharges,MATCH($A136,List_StationaryFuelMeters,0),ROUNDUP((COLUMN()+1)/3-2,0))),"")</f>
        <v/>
      </c>
      <c r="AT136" s="127"/>
      <c r="AU136" s="127"/>
      <c r="AV136" s="58" t="str" cm="1">
        <f>IFERROR(IF(ISBLANK($A136),"",INDEX(Array_StationaryCharges,MATCH($A136,List_StationaryFuelMeters,0),ROUNDUP((COLUMN()+1)/3-2,0))),"")</f>
        <v/>
      </c>
      <c r="AW136" s="127"/>
      <c r="AX136" s="127"/>
    </row>
    <row r="137" spans="1:50" x14ac:dyDescent="0.3">
      <c r="A137" s="126"/>
      <c r="B137" s="133"/>
      <c r="C137" s="127"/>
      <c r="D137" s="138"/>
      <c r="E137" s="138"/>
      <c r="F137" s="58" t="str" cm="1">
        <f>IFERROR(IF(ISBLANK($A137),"",INDEX(Array_StationaryCharges,MATCH($A137,List_StationaryFuelMeters,0),ROUNDUP((COLUMN()+1)/3-2,0))),"")</f>
        <v/>
      </c>
      <c r="G137" s="127"/>
      <c r="H137" s="127"/>
      <c r="I137" s="58" t="str" cm="1">
        <f>IFERROR(IF(ISBLANK($A137),"",INDEX(Array_StationaryCharges,MATCH($A137,List_StationaryFuelMeters,0),ROUNDUP((COLUMN()+1)/3-2,0))),"")</f>
        <v/>
      </c>
      <c r="J137" s="127"/>
      <c r="K137" s="127"/>
      <c r="L137" s="58" t="str" cm="1">
        <f>IFERROR(IF(ISBLANK($A137),"",INDEX(Array_StationaryCharges,MATCH($A137,List_StationaryFuelMeters,0),ROUNDUP((COLUMN()+1)/3-2,0))),"")</f>
        <v/>
      </c>
      <c r="M137" s="127"/>
      <c r="N137" s="127"/>
      <c r="O137" s="58" t="str" cm="1">
        <f>IFERROR(IF(ISBLANK($A137),"",INDEX(Array_StationaryCharges,MATCH($A137,List_StationaryFuelMeters,0),ROUNDUP((COLUMN()+1)/3-2,0))),"")</f>
        <v/>
      </c>
      <c r="P137" s="127"/>
      <c r="Q137" s="127"/>
      <c r="R137" s="58" t="str" cm="1">
        <f>IFERROR(IF(ISBLANK($A137),"",INDEX(Array_StationaryCharges,MATCH($A137,List_StationaryFuelMeters,0),ROUNDUP((COLUMN()+1)/3-2,0))),"")</f>
        <v/>
      </c>
      <c r="S137" s="127"/>
      <c r="T137" s="127"/>
      <c r="U137" s="58" t="str" cm="1">
        <f>IFERROR(IF(ISBLANK($A137),"",INDEX(Array_StationaryCharges,MATCH($A137,List_StationaryFuelMeters,0),ROUNDUP((COLUMN()+1)/3-2,0))),"")</f>
        <v/>
      </c>
      <c r="V137" s="127"/>
      <c r="W137" s="127"/>
      <c r="X137" s="58" t="str" cm="1">
        <f>IFERROR(IF(ISBLANK($A137),"",INDEX(Array_StationaryCharges,MATCH($A137,List_StationaryFuelMeters,0),ROUNDUP((COLUMN()+1)/3-2,0))),"")</f>
        <v/>
      </c>
      <c r="Y137" s="127"/>
      <c r="Z137" s="127"/>
      <c r="AA137" s="58" t="str" cm="1">
        <f>IFERROR(IF(ISBLANK($A137),"",INDEX(Array_StationaryCharges,MATCH($A137,List_StationaryFuelMeters,0),ROUNDUP((COLUMN()+1)/3-2,0))),"")</f>
        <v/>
      </c>
      <c r="AB137" s="127"/>
      <c r="AC137" s="127"/>
      <c r="AD137" s="58" t="str" cm="1">
        <f>IFERROR(IF(ISBLANK($A137),"",INDEX(Array_StationaryCharges,MATCH($A137,List_StationaryFuelMeters,0),ROUNDUP((COLUMN()+1)/3-2,0))),"")</f>
        <v/>
      </c>
      <c r="AE137" s="127"/>
      <c r="AF137" s="127"/>
      <c r="AG137" s="58" t="str" cm="1">
        <f>IFERROR(IF(ISBLANK($A137),"",INDEX(Array_StationaryCharges,MATCH($A137,List_StationaryFuelMeters,0),ROUNDUP((COLUMN()+1)/3-2,0))),"")</f>
        <v/>
      </c>
      <c r="AH137" s="127"/>
      <c r="AI137" s="127"/>
      <c r="AJ137" s="58" t="str" cm="1">
        <f>IFERROR(IF(ISBLANK($A137),"",INDEX(Array_StationaryCharges,MATCH($A137,List_StationaryFuelMeters,0),ROUNDUP((COLUMN()+1)/3-2,0))),"")</f>
        <v/>
      </c>
      <c r="AK137" s="127"/>
      <c r="AL137" s="127"/>
      <c r="AM137" s="58" t="str" cm="1">
        <f>IFERROR(IF(ISBLANK($A137),"",INDEX(Array_StationaryCharges,MATCH($A137,List_StationaryFuelMeters,0),ROUNDUP((COLUMN()+1)/3-2,0))),"")</f>
        <v/>
      </c>
      <c r="AN137" s="127"/>
      <c r="AO137" s="127"/>
      <c r="AP137" s="58" t="str" cm="1">
        <f>IFERROR(IF(ISBLANK($A137),"",INDEX(Array_StationaryCharges,MATCH($A137,List_StationaryFuelMeters,0),ROUNDUP((COLUMN()+1)/3-2,0))),"")</f>
        <v/>
      </c>
      <c r="AQ137" s="127"/>
      <c r="AR137" s="127"/>
      <c r="AS137" s="58" t="str" cm="1">
        <f>IFERROR(IF(ISBLANK($A137),"",INDEX(Array_StationaryCharges,MATCH($A137,List_StationaryFuelMeters,0),ROUNDUP((COLUMN()+1)/3-2,0))),"")</f>
        <v/>
      </c>
      <c r="AT137" s="127"/>
      <c r="AU137" s="127"/>
      <c r="AV137" s="58" t="str" cm="1">
        <f>IFERROR(IF(ISBLANK($A137),"",INDEX(Array_StationaryCharges,MATCH($A137,List_StationaryFuelMeters,0),ROUNDUP((COLUMN()+1)/3-2,0))),"")</f>
        <v/>
      </c>
      <c r="AW137" s="127"/>
      <c r="AX137" s="127"/>
    </row>
    <row r="138" spans="1:50" x14ac:dyDescent="0.3">
      <c r="A138" s="126"/>
      <c r="B138" s="133"/>
      <c r="C138" s="127"/>
      <c r="D138" s="138"/>
      <c r="E138" s="138"/>
      <c r="F138" s="58" t="str" cm="1">
        <f>IFERROR(IF(ISBLANK($A138),"",INDEX(Array_StationaryCharges,MATCH($A138,List_StationaryFuelMeters,0),ROUNDUP((COLUMN()+1)/3-2,0))),"")</f>
        <v/>
      </c>
      <c r="G138" s="127"/>
      <c r="H138" s="127"/>
      <c r="I138" s="58" t="str" cm="1">
        <f>IFERROR(IF(ISBLANK($A138),"",INDEX(Array_StationaryCharges,MATCH($A138,List_StationaryFuelMeters,0),ROUNDUP((COLUMN()+1)/3-2,0))),"")</f>
        <v/>
      </c>
      <c r="J138" s="127"/>
      <c r="K138" s="127"/>
      <c r="L138" s="58" t="str" cm="1">
        <f>IFERROR(IF(ISBLANK($A138),"",INDEX(Array_StationaryCharges,MATCH($A138,List_StationaryFuelMeters,0),ROUNDUP((COLUMN()+1)/3-2,0))),"")</f>
        <v/>
      </c>
      <c r="M138" s="127"/>
      <c r="N138" s="127"/>
      <c r="O138" s="58" t="str" cm="1">
        <f>IFERROR(IF(ISBLANK($A138),"",INDEX(Array_StationaryCharges,MATCH($A138,List_StationaryFuelMeters,0),ROUNDUP((COLUMN()+1)/3-2,0))),"")</f>
        <v/>
      </c>
      <c r="P138" s="127"/>
      <c r="Q138" s="127"/>
      <c r="R138" s="58" t="str" cm="1">
        <f>IFERROR(IF(ISBLANK($A138),"",INDEX(Array_StationaryCharges,MATCH($A138,List_StationaryFuelMeters,0),ROUNDUP((COLUMN()+1)/3-2,0))),"")</f>
        <v/>
      </c>
      <c r="S138" s="127"/>
      <c r="T138" s="127"/>
      <c r="U138" s="58" t="str" cm="1">
        <f>IFERROR(IF(ISBLANK($A138),"",INDEX(Array_StationaryCharges,MATCH($A138,List_StationaryFuelMeters,0),ROUNDUP((COLUMN()+1)/3-2,0))),"")</f>
        <v/>
      </c>
      <c r="V138" s="127"/>
      <c r="W138" s="127"/>
      <c r="X138" s="58" t="str" cm="1">
        <f>IFERROR(IF(ISBLANK($A138),"",INDEX(Array_StationaryCharges,MATCH($A138,List_StationaryFuelMeters,0),ROUNDUP((COLUMN()+1)/3-2,0))),"")</f>
        <v/>
      </c>
      <c r="Y138" s="127"/>
      <c r="Z138" s="127"/>
      <c r="AA138" s="58" t="str" cm="1">
        <f>IFERROR(IF(ISBLANK($A138),"",INDEX(Array_StationaryCharges,MATCH($A138,List_StationaryFuelMeters,0),ROUNDUP((COLUMN()+1)/3-2,0))),"")</f>
        <v/>
      </c>
      <c r="AB138" s="127"/>
      <c r="AC138" s="127"/>
      <c r="AD138" s="58" t="str" cm="1">
        <f>IFERROR(IF(ISBLANK($A138),"",INDEX(Array_StationaryCharges,MATCH($A138,List_StationaryFuelMeters,0),ROUNDUP((COLUMN()+1)/3-2,0))),"")</f>
        <v/>
      </c>
      <c r="AE138" s="127"/>
      <c r="AF138" s="127"/>
      <c r="AG138" s="58" t="str" cm="1">
        <f>IFERROR(IF(ISBLANK($A138),"",INDEX(Array_StationaryCharges,MATCH($A138,List_StationaryFuelMeters,0),ROUNDUP((COLUMN()+1)/3-2,0))),"")</f>
        <v/>
      </c>
      <c r="AH138" s="127"/>
      <c r="AI138" s="127"/>
      <c r="AJ138" s="58" t="str" cm="1">
        <f>IFERROR(IF(ISBLANK($A138),"",INDEX(Array_StationaryCharges,MATCH($A138,List_StationaryFuelMeters,0),ROUNDUP((COLUMN()+1)/3-2,0))),"")</f>
        <v/>
      </c>
      <c r="AK138" s="127"/>
      <c r="AL138" s="127"/>
      <c r="AM138" s="58" t="str" cm="1">
        <f>IFERROR(IF(ISBLANK($A138),"",INDEX(Array_StationaryCharges,MATCH($A138,List_StationaryFuelMeters,0),ROUNDUP((COLUMN()+1)/3-2,0))),"")</f>
        <v/>
      </c>
      <c r="AN138" s="127"/>
      <c r="AO138" s="127"/>
      <c r="AP138" s="58" t="str" cm="1">
        <f>IFERROR(IF(ISBLANK($A138),"",INDEX(Array_StationaryCharges,MATCH($A138,List_StationaryFuelMeters,0),ROUNDUP((COLUMN()+1)/3-2,0))),"")</f>
        <v/>
      </c>
      <c r="AQ138" s="127"/>
      <c r="AR138" s="127"/>
      <c r="AS138" s="58" t="str" cm="1">
        <f>IFERROR(IF(ISBLANK($A138),"",INDEX(Array_StationaryCharges,MATCH($A138,List_StationaryFuelMeters,0),ROUNDUP((COLUMN()+1)/3-2,0))),"")</f>
        <v/>
      </c>
      <c r="AT138" s="127"/>
      <c r="AU138" s="127"/>
      <c r="AV138" s="58" t="str" cm="1">
        <f>IFERROR(IF(ISBLANK($A138),"",INDEX(Array_StationaryCharges,MATCH($A138,List_StationaryFuelMeters,0),ROUNDUP((COLUMN()+1)/3-2,0))),"")</f>
        <v/>
      </c>
      <c r="AW138" s="127"/>
      <c r="AX138" s="127"/>
    </row>
    <row r="139" spans="1:50" x14ac:dyDescent="0.3">
      <c r="A139" s="126"/>
      <c r="B139" s="133"/>
      <c r="C139" s="127"/>
      <c r="D139" s="138"/>
      <c r="E139" s="138"/>
      <c r="F139" s="58" t="str" cm="1">
        <f>IFERROR(IF(ISBLANK($A139),"",INDEX(Array_StationaryCharges,MATCH($A139,List_StationaryFuelMeters,0),ROUNDUP((COLUMN()+1)/3-2,0))),"")</f>
        <v/>
      </c>
      <c r="G139" s="127"/>
      <c r="H139" s="127"/>
      <c r="I139" s="58" t="str" cm="1">
        <f>IFERROR(IF(ISBLANK($A139),"",INDEX(Array_StationaryCharges,MATCH($A139,List_StationaryFuelMeters,0),ROUNDUP((COLUMN()+1)/3-2,0))),"")</f>
        <v/>
      </c>
      <c r="J139" s="127"/>
      <c r="K139" s="127"/>
      <c r="L139" s="58" t="str" cm="1">
        <f>IFERROR(IF(ISBLANK($A139),"",INDEX(Array_StationaryCharges,MATCH($A139,List_StationaryFuelMeters,0),ROUNDUP((COLUMN()+1)/3-2,0))),"")</f>
        <v/>
      </c>
      <c r="M139" s="127"/>
      <c r="N139" s="127"/>
      <c r="O139" s="58" t="str" cm="1">
        <f>IFERROR(IF(ISBLANK($A139),"",INDEX(Array_StationaryCharges,MATCH($A139,List_StationaryFuelMeters,0),ROUNDUP((COLUMN()+1)/3-2,0))),"")</f>
        <v/>
      </c>
      <c r="P139" s="127"/>
      <c r="Q139" s="127"/>
      <c r="R139" s="58" t="str" cm="1">
        <f>IFERROR(IF(ISBLANK($A139),"",INDEX(Array_StationaryCharges,MATCH($A139,List_StationaryFuelMeters,0),ROUNDUP((COLUMN()+1)/3-2,0))),"")</f>
        <v/>
      </c>
      <c r="S139" s="127"/>
      <c r="T139" s="127"/>
      <c r="U139" s="58" t="str" cm="1">
        <f>IFERROR(IF(ISBLANK($A139),"",INDEX(Array_StationaryCharges,MATCH($A139,List_StationaryFuelMeters,0),ROUNDUP((COLUMN()+1)/3-2,0))),"")</f>
        <v/>
      </c>
      <c r="V139" s="127"/>
      <c r="W139" s="127"/>
      <c r="X139" s="58" t="str" cm="1">
        <f>IFERROR(IF(ISBLANK($A139),"",INDEX(Array_StationaryCharges,MATCH($A139,List_StationaryFuelMeters,0),ROUNDUP((COLUMN()+1)/3-2,0))),"")</f>
        <v/>
      </c>
      <c r="Y139" s="127"/>
      <c r="Z139" s="127"/>
      <c r="AA139" s="58" t="str" cm="1">
        <f>IFERROR(IF(ISBLANK($A139),"",INDEX(Array_StationaryCharges,MATCH($A139,List_StationaryFuelMeters,0),ROUNDUP((COLUMN()+1)/3-2,0))),"")</f>
        <v/>
      </c>
      <c r="AB139" s="127"/>
      <c r="AC139" s="127"/>
      <c r="AD139" s="58" t="str" cm="1">
        <f>IFERROR(IF(ISBLANK($A139),"",INDEX(Array_StationaryCharges,MATCH($A139,List_StationaryFuelMeters,0),ROUNDUP((COLUMN()+1)/3-2,0))),"")</f>
        <v/>
      </c>
      <c r="AE139" s="127"/>
      <c r="AF139" s="127"/>
      <c r="AG139" s="58" t="str" cm="1">
        <f>IFERROR(IF(ISBLANK($A139),"",INDEX(Array_StationaryCharges,MATCH($A139,List_StationaryFuelMeters,0),ROUNDUP((COLUMN()+1)/3-2,0))),"")</f>
        <v/>
      </c>
      <c r="AH139" s="127"/>
      <c r="AI139" s="127"/>
      <c r="AJ139" s="58" t="str" cm="1">
        <f>IFERROR(IF(ISBLANK($A139),"",INDEX(Array_StationaryCharges,MATCH($A139,List_StationaryFuelMeters,0),ROUNDUP((COLUMN()+1)/3-2,0))),"")</f>
        <v/>
      </c>
      <c r="AK139" s="127"/>
      <c r="AL139" s="127"/>
      <c r="AM139" s="58" t="str" cm="1">
        <f>IFERROR(IF(ISBLANK($A139),"",INDEX(Array_StationaryCharges,MATCH($A139,List_StationaryFuelMeters,0),ROUNDUP((COLUMN()+1)/3-2,0))),"")</f>
        <v/>
      </c>
      <c r="AN139" s="127"/>
      <c r="AO139" s="127"/>
      <c r="AP139" s="58" t="str" cm="1">
        <f>IFERROR(IF(ISBLANK($A139),"",INDEX(Array_StationaryCharges,MATCH($A139,List_StationaryFuelMeters,0),ROUNDUP((COLUMN()+1)/3-2,0))),"")</f>
        <v/>
      </c>
      <c r="AQ139" s="127"/>
      <c r="AR139" s="127"/>
      <c r="AS139" s="58" t="str" cm="1">
        <f>IFERROR(IF(ISBLANK($A139),"",INDEX(Array_StationaryCharges,MATCH($A139,List_StationaryFuelMeters,0),ROUNDUP((COLUMN()+1)/3-2,0))),"")</f>
        <v/>
      </c>
      <c r="AT139" s="127"/>
      <c r="AU139" s="127"/>
      <c r="AV139" s="58" t="str" cm="1">
        <f>IFERROR(IF(ISBLANK($A139),"",INDEX(Array_StationaryCharges,MATCH($A139,List_StationaryFuelMeters,0),ROUNDUP((COLUMN()+1)/3-2,0))),"")</f>
        <v/>
      </c>
      <c r="AW139" s="127"/>
      <c r="AX139" s="127"/>
    </row>
    <row r="140" spans="1:50" x14ac:dyDescent="0.3">
      <c r="A140" s="126"/>
      <c r="B140" s="133"/>
      <c r="C140" s="127"/>
      <c r="D140" s="138"/>
      <c r="E140" s="138"/>
      <c r="F140" s="58" t="str" cm="1">
        <f>IFERROR(IF(ISBLANK($A140),"",INDEX(Array_StationaryCharges,MATCH($A140,List_StationaryFuelMeters,0),ROUNDUP((COLUMN()+1)/3-2,0))),"")</f>
        <v/>
      </c>
      <c r="G140" s="127"/>
      <c r="H140" s="127"/>
      <c r="I140" s="58" t="str" cm="1">
        <f>IFERROR(IF(ISBLANK($A140),"",INDEX(Array_StationaryCharges,MATCH($A140,List_StationaryFuelMeters,0),ROUNDUP((COLUMN()+1)/3-2,0))),"")</f>
        <v/>
      </c>
      <c r="J140" s="127"/>
      <c r="K140" s="127"/>
      <c r="L140" s="58" t="str" cm="1">
        <f>IFERROR(IF(ISBLANK($A140),"",INDEX(Array_StationaryCharges,MATCH($A140,List_StationaryFuelMeters,0),ROUNDUP((COLUMN()+1)/3-2,0))),"")</f>
        <v/>
      </c>
      <c r="M140" s="127"/>
      <c r="N140" s="127"/>
      <c r="O140" s="58" t="str" cm="1">
        <f>IFERROR(IF(ISBLANK($A140),"",INDEX(Array_StationaryCharges,MATCH($A140,List_StationaryFuelMeters,0),ROUNDUP((COLUMN()+1)/3-2,0))),"")</f>
        <v/>
      </c>
      <c r="P140" s="127"/>
      <c r="Q140" s="127"/>
      <c r="R140" s="58" t="str" cm="1">
        <f>IFERROR(IF(ISBLANK($A140),"",INDEX(Array_StationaryCharges,MATCH($A140,List_StationaryFuelMeters,0),ROUNDUP((COLUMN()+1)/3-2,0))),"")</f>
        <v/>
      </c>
      <c r="S140" s="127"/>
      <c r="T140" s="127"/>
      <c r="U140" s="58" t="str" cm="1">
        <f>IFERROR(IF(ISBLANK($A140),"",INDEX(Array_StationaryCharges,MATCH($A140,List_StationaryFuelMeters,0),ROUNDUP((COLUMN()+1)/3-2,0))),"")</f>
        <v/>
      </c>
      <c r="V140" s="127"/>
      <c r="W140" s="127"/>
      <c r="X140" s="58" t="str" cm="1">
        <f>IFERROR(IF(ISBLANK($A140),"",INDEX(Array_StationaryCharges,MATCH($A140,List_StationaryFuelMeters,0),ROUNDUP((COLUMN()+1)/3-2,0))),"")</f>
        <v/>
      </c>
      <c r="Y140" s="127"/>
      <c r="Z140" s="127"/>
      <c r="AA140" s="58" t="str" cm="1">
        <f>IFERROR(IF(ISBLANK($A140),"",INDEX(Array_StationaryCharges,MATCH($A140,List_StationaryFuelMeters,0),ROUNDUP((COLUMN()+1)/3-2,0))),"")</f>
        <v/>
      </c>
      <c r="AB140" s="127"/>
      <c r="AC140" s="127"/>
      <c r="AD140" s="58" t="str" cm="1">
        <f>IFERROR(IF(ISBLANK($A140),"",INDEX(Array_StationaryCharges,MATCH($A140,List_StationaryFuelMeters,0),ROUNDUP((COLUMN()+1)/3-2,0))),"")</f>
        <v/>
      </c>
      <c r="AE140" s="127"/>
      <c r="AF140" s="127"/>
      <c r="AG140" s="58" t="str" cm="1">
        <f>IFERROR(IF(ISBLANK($A140),"",INDEX(Array_StationaryCharges,MATCH($A140,List_StationaryFuelMeters,0),ROUNDUP((COLUMN()+1)/3-2,0))),"")</f>
        <v/>
      </c>
      <c r="AH140" s="127"/>
      <c r="AI140" s="127"/>
      <c r="AJ140" s="58" t="str" cm="1">
        <f>IFERROR(IF(ISBLANK($A140),"",INDEX(Array_StationaryCharges,MATCH($A140,List_StationaryFuelMeters,0),ROUNDUP((COLUMN()+1)/3-2,0))),"")</f>
        <v/>
      </c>
      <c r="AK140" s="127"/>
      <c r="AL140" s="127"/>
      <c r="AM140" s="58" t="str" cm="1">
        <f>IFERROR(IF(ISBLANK($A140),"",INDEX(Array_StationaryCharges,MATCH($A140,List_StationaryFuelMeters,0),ROUNDUP((COLUMN()+1)/3-2,0))),"")</f>
        <v/>
      </c>
      <c r="AN140" s="127"/>
      <c r="AO140" s="127"/>
      <c r="AP140" s="58" t="str" cm="1">
        <f>IFERROR(IF(ISBLANK($A140),"",INDEX(Array_StationaryCharges,MATCH($A140,List_StationaryFuelMeters,0),ROUNDUP((COLUMN()+1)/3-2,0))),"")</f>
        <v/>
      </c>
      <c r="AQ140" s="127"/>
      <c r="AR140" s="127"/>
      <c r="AS140" s="58" t="str" cm="1">
        <f>IFERROR(IF(ISBLANK($A140),"",INDEX(Array_StationaryCharges,MATCH($A140,List_StationaryFuelMeters,0),ROUNDUP((COLUMN()+1)/3-2,0))),"")</f>
        <v/>
      </c>
      <c r="AT140" s="127"/>
      <c r="AU140" s="127"/>
      <c r="AV140" s="58" t="str" cm="1">
        <f>IFERROR(IF(ISBLANK($A140),"",INDEX(Array_StationaryCharges,MATCH($A140,List_StationaryFuelMeters,0),ROUNDUP((COLUMN()+1)/3-2,0))),"")</f>
        <v/>
      </c>
      <c r="AW140" s="127"/>
      <c r="AX140" s="127"/>
    </row>
    <row r="141" spans="1:50" x14ac:dyDescent="0.3">
      <c r="A141" s="126"/>
      <c r="B141" s="133"/>
      <c r="C141" s="127"/>
      <c r="D141" s="138"/>
      <c r="E141" s="138"/>
      <c r="F141" s="58" t="str" cm="1">
        <f>IFERROR(IF(ISBLANK($A141),"",INDEX(Array_StationaryCharges,MATCH($A141,List_StationaryFuelMeters,0),ROUNDUP((COLUMN()+1)/3-2,0))),"")</f>
        <v/>
      </c>
      <c r="G141" s="127"/>
      <c r="H141" s="127"/>
      <c r="I141" s="58" t="str" cm="1">
        <f>IFERROR(IF(ISBLANK($A141),"",INDEX(Array_StationaryCharges,MATCH($A141,List_StationaryFuelMeters,0),ROUNDUP((COLUMN()+1)/3-2,0))),"")</f>
        <v/>
      </c>
      <c r="J141" s="127"/>
      <c r="K141" s="127"/>
      <c r="L141" s="58" t="str" cm="1">
        <f>IFERROR(IF(ISBLANK($A141),"",INDEX(Array_StationaryCharges,MATCH($A141,List_StationaryFuelMeters,0),ROUNDUP((COLUMN()+1)/3-2,0))),"")</f>
        <v/>
      </c>
      <c r="M141" s="127"/>
      <c r="N141" s="127"/>
      <c r="O141" s="58" t="str" cm="1">
        <f>IFERROR(IF(ISBLANK($A141),"",INDEX(Array_StationaryCharges,MATCH($A141,List_StationaryFuelMeters,0),ROUNDUP((COLUMN()+1)/3-2,0))),"")</f>
        <v/>
      </c>
      <c r="P141" s="127"/>
      <c r="Q141" s="127"/>
      <c r="R141" s="58" t="str" cm="1">
        <f>IFERROR(IF(ISBLANK($A141),"",INDEX(Array_StationaryCharges,MATCH($A141,List_StationaryFuelMeters,0),ROUNDUP((COLUMN()+1)/3-2,0))),"")</f>
        <v/>
      </c>
      <c r="S141" s="127"/>
      <c r="T141" s="127"/>
      <c r="U141" s="58" t="str" cm="1">
        <f>IFERROR(IF(ISBLANK($A141),"",INDEX(Array_StationaryCharges,MATCH($A141,List_StationaryFuelMeters,0),ROUNDUP((COLUMN()+1)/3-2,0))),"")</f>
        <v/>
      </c>
      <c r="V141" s="127"/>
      <c r="W141" s="127"/>
      <c r="X141" s="58" t="str" cm="1">
        <f>IFERROR(IF(ISBLANK($A141),"",INDEX(Array_StationaryCharges,MATCH($A141,List_StationaryFuelMeters,0),ROUNDUP((COLUMN()+1)/3-2,0))),"")</f>
        <v/>
      </c>
      <c r="Y141" s="127"/>
      <c r="Z141" s="127"/>
      <c r="AA141" s="58" t="str" cm="1">
        <f>IFERROR(IF(ISBLANK($A141),"",INDEX(Array_StationaryCharges,MATCH($A141,List_StationaryFuelMeters,0),ROUNDUP((COLUMN()+1)/3-2,0))),"")</f>
        <v/>
      </c>
      <c r="AB141" s="127"/>
      <c r="AC141" s="127"/>
      <c r="AD141" s="58" t="str" cm="1">
        <f>IFERROR(IF(ISBLANK($A141),"",INDEX(Array_StationaryCharges,MATCH($A141,List_StationaryFuelMeters,0),ROUNDUP((COLUMN()+1)/3-2,0))),"")</f>
        <v/>
      </c>
      <c r="AE141" s="127"/>
      <c r="AF141" s="127"/>
      <c r="AG141" s="58" t="str" cm="1">
        <f>IFERROR(IF(ISBLANK($A141),"",INDEX(Array_StationaryCharges,MATCH($A141,List_StationaryFuelMeters,0),ROUNDUP((COLUMN()+1)/3-2,0))),"")</f>
        <v/>
      </c>
      <c r="AH141" s="127"/>
      <c r="AI141" s="127"/>
      <c r="AJ141" s="58" t="str" cm="1">
        <f>IFERROR(IF(ISBLANK($A141),"",INDEX(Array_StationaryCharges,MATCH($A141,List_StationaryFuelMeters,0),ROUNDUP((COLUMN()+1)/3-2,0))),"")</f>
        <v/>
      </c>
      <c r="AK141" s="127"/>
      <c r="AL141" s="127"/>
      <c r="AM141" s="58" t="str" cm="1">
        <f>IFERROR(IF(ISBLANK($A141),"",INDEX(Array_StationaryCharges,MATCH($A141,List_StationaryFuelMeters,0),ROUNDUP((COLUMN()+1)/3-2,0))),"")</f>
        <v/>
      </c>
      <c r="AN141" s="127"/>
      <c r="AO141" s="127"/>
      <c r="AP141" s="58" t="str" cm="1">
        <f>IFERROR(IF(ISBLANK($A141),"",INDEX(Array_StationaryCharges,MATCH($A141,List_StationaryFuelMeters,0),ROUNDUP((COLUMN()+1)/3-2,0))),"")</f>
        <v/>
      </c>
      <c r="AQ141" s="127"/>
      <c r="AR141" s="127"/>
      <c r="AS141" s="58" t="str" cm="1">
        <f>IFERROR(IF(ISBLANK($A141),"",INDEX(Array_StationaryCharges,MATCH($A141,List_StationaryFuelMeters,0),ROUNDUP((COLUMN()+1)/3-2,0))),"")</f>
        <v/>
      </c>
      <c r="AT141" s="127"/>
      <c r="AU141" s="127"/>
      <c r="AV141" s="58" t="str" cm="1">
        <f>IFERROR(IF(ISBLANK($A141),"",INDEX(Array_StationaryCharges,MATCH($A141,List_StationaryFuelMeters,0),ROUNDUP((COLUMN()+1)/3-2,0))),"")</f>
        <v/>
      </c>
      <c r="AW141" s="127"/>
      <c r="AX141" s="127"/>
    </row>
    <row r="142" spans="1:50" x14ac:dyDescent="0.3">
      <c r="A142" s="126"/>
      <c r="B142" s="133"/>
      <c r="C142" s="127"/>
      <c r="D142" s="138"/>
      <c r="E142" s="138"/>
      <c r="F142" s="58" t="str" cm="1">
        <f>IFERROR(IF(ISBLANK($A142),"",INDEX(Array_StationaryCharges,MATCH($A142,List_StationaryFuelMeters,0),ROUNDUP((COLUMN()+1)/3-2,0))),"")</f>
        <v/>
      </c>
      <c r="G142" s="127"/>
      <c r="H142" s="127"/>
      <c r="I142" s="58" t="str" cm="1">
        <f>IFERROR(IF(ISBLANK($A142),"",INDEX(Array_StationaryCharges,MATCH($A142,List_StationaryFuelMeters,0),ROUNDUP((COLUMN()+1)/3-2,0))),"")</f>
        <v/>
      </c>
      <c r="J142" s="127"/>
      <c r="K142" s="127"/>
      <c r="L142" s="58" t="str" cm="1">
        <f>IFERROR(IF(ISBLANK($A142),"",INDEX(Array_StationaryCharges,MATCH($A142,List_StationaryFuelMeters,0),ROUNDUP((COLUMN()+1)/3-2,0))),"")</f>
        <v/>
      </c>
      <c r="M142" s="127"/>
      <c r="N142" s="127"/>
      <c r="O142" s="58" t="str" cm="1">
        <f>IFERROR(IF(ISBLANK($A142),"",INDEX(Array_StationaryCharges,MATCH($A142,List_StationaryFuelMeters,0),ROUNDUP((COLUMN()+1)/3-2,0))),"")</f>
        <v/>
      </c>
      <c r="P142" s="127"/>
      <c r="Q142" s="127"/>
      <c r="R142" s="58" t="str" cm="1">
        <f>IFERROR(IF(ISBLANK($A142),"",INDEX(Array_StationaryCharges,MATCH($A142,List_StationaryFuelMeters,0),ROUNDUP((COLUMN()+1)/3-2,0))),"")</f>
        <v/>
      </c>
      <c r="S142" s="127"/>
      <c r="T142" s="127"/>
      <c r="U142" s="58" t="str" cm="1">
        <f>IFERROR(IF(ISBLANK($A142),"",INDEX(Array_StationaryCharges,MATCH($A142,List_StationaryFuelMeters,0),ROUNDUP((COLUMN()+1)/3-2,0))),"")</f>
        <v/>
      </c>
      <c r="V142" s="127"/>
      <c r="W142" s="127"/>
      <c r="X142" s="58" t="str" cm="1">
        <f>IFERROR(IF(ISBLANK($A142),"",INDEX(Array_StationaryCharges,MATCH($A142,List_StationaryFuelMeters,0),ROUNDUP((COLUMN()+1)/3-2,0))),"")</f>
        <v/>
      </c>
      <c r="Y142" s="127"/>
      <c r="Z142" s="127"/>
      <c r="AA142" s="58" t="str" cm="1">
        <f>IFERROR(IF(ISBLANK($A142),"",INDEX(Array_StationaryCharges,MATCH($A142,List_StationaryFuelMeters,0),ROUNDUP((COLUMN()+1)/3-2,0))),"")</f>
        <v/>
      </c>
      <c r="AB142" s="127"/>
      <c r="AC142" s="127"/>
      <c r="AD142" s="58" t="str" cm="1">
        <f>IFERROR(IF(ISBLANK($A142),"",INDEX(Array_StationaryCharges,MATCH($A142,List_StationaryFuelMeters,0),ROUNDUP((COLUMN()+1)/3-2,0))),"")</f>
        <v/>
      </c>
      <c r="AE142" s="127"/>
      <c r="AF142" s="127"/>
      <c r="AG142" s="58" t="str" cm="1">
        <f>IFERROR(IF(ISBLANK($A142),"",INDEX(Array_StationaryCharges,MATCH($A142,List_StationaryFuelMeters,0),ROUNDUP((COLUMN()+1)/3-2,0))),"")</f>
        <v/>
      </c>
      <c r="AH142" s="127"/>
      <c r="AI142" s="127"/>
      <c r="AJ142" s="58" t="str" cm="1">
        <f>IFERROR(IF(ISBLANK($A142),"",INDEX(Array_StationaryCharges,MATCH($A142,List_StationaryFuelMeters,0),ROUNDUP((COLUMN()+1)/3-2,0))),"")</f>
        <v/>
      </c>
      <c r="AK142" s="127"/>
      <c r="AL142" s="127"/>
      <c r="AM142" s="58" t="str" cm="1">
        <f>IFERROR(IF(ISBLANK($A142),"",INDEX(Array_StationaryCharges,MATCH($A142,List_StationaryFuelMeters,0),ROUNDUP((COLUMN()+1)/3-2,0))),"")</f>
        <v/>
      </c>
      <c r="AN142" s="127"/>
      <c r="AO142" s="127"/>
      <c r="AP142" s="58" t="str" cm="1">
        <f>IFERROR(IF(ISBLANK($A142),"",INDEX(Array_StationaryCharges,MATCH($A142,List_StationaryFuelMeters,0),ROUNDUP((COLUMN()+1)/3-2,0))),"")</f>
        <v/>
      </c>
      <c r="AQ142" s="127"/>
      <c r="AR142" s="127"/>
      <c r="AS142" s="58" t="str" cm="1">
        <f>IFERROR(IF(ISBLANK($A142),"",INDEX(Array_StationaryCharges,MATCH($A142,List_StationaryFuelMeters,0),ROUNDUP((COLUMN()+1)/3-2,0))),"")</f>
        <v/>
      </c>
      <c r="AT142" s="127"/>
      <c r="AU142" s="127"/>
      <c r="AV142" s="58" t="str" cm="1">
        <f>IFERROR(IF(ISBLANK($A142),"",INDEX(Array_StationaryCharges,MATCH($A142,List_StationaryFuelMeters,0),ROUNDUP((COLUMN()+1)/3-2,0))),"")</f>
        <v/>
      </c>
      <c r="AW142" s="127"/>
      <c r="AX142" s="127"/>
    </row>
    <row r="143" spans="1:50" x14ac:dyDescent="0.3">
      <c r="A143" s="126"/>
      <c r="B143" s="133"/>
      <c r="C143" s="127"/>
      <c r="D143" s="138"/>
      <c r="E143" s="138"/>
      <c r="F143" s="58" t="str" cm="1">
        <f>IFERROR(IF(ISBLANK($A143),"",INDEX(Array_StationaryCharges,MATCH($A143,List_StationaryFuelMeters,0),ROUNDUP((COLUMN()+1)/3-2,0))),"")</f>
        <v/>
      </c>
      <c r="G143" s="127"/>
      <c r="H143" s="127"/>
      <c r="I143" s="58" t="str" cm="1">
        <f>IFERROR(IF(ISBLANK($A143),"",INDEX(Array_StationaryCharges,MATCH($A143,List_StationaryFuelMeters,0),ROUNDUP((COLUMN()+1)/3-2,0))),"")</f>
        <v/>
      </c>
      <c r="J143" s="127"/>
      <c r="K143" s="127"/>
      <c r="L143" s="58" t="str" cm="1">
        <f>IFERROR(IF(ISBLANK($A143),"",INDEX(Array_StationaryCharges,MATCH($A143,List_StationaryFuelMeters,0),ROUNDUP((COLUMN()+1)/3-2,0))),"")</f>
        <v/>
      </c>
      <c r="M143" s="127"/>
      <c r="N143" s="127"/>
      <c r="O143" s="58" t="str" cm="1">
        <f>IFERROR(IF(ISBLANK($A143),"",INDEX(Array_StationaryCharges,MATCH($A143,List_StationaryFuelMeters,0),ROUNDUP((COLUMN()+1)/3-2,0))),"")</f>
        <v/>
      </c>
      <c r="P143" s="127"/>
      <c r="Q143" s="127"/>
      <c r="R143" s="58" t="str" cm="1">
        <f>IFERROR(IF(ISBLANK($A143),"",INDEX(Array_StationaryCharges,MATCH($A143,List_StationaryFuelMeters,0),ROUNDUP((COLUMN()+1)/3-2,0))),"")</f>
        <v/>
      </c>
      <c r="S143" s="127"/>
      <c r="T143" s="127"/>
      <c r="U143" s="58" t="str" cm="1">
        <f>IFERROR(IF(ISBLANK($A143),"",INDEX(Array_StationaryCharges,MATCH($A143,List_StationaryFuelMeters,0),ROUNDUP((COLUMN()+1)/3-2,0))),"")</f>
        <v/>
      </c>
      <c r="V143" s="127"/>
      <c r="W143" s="127"/>
      <c r="X143" s="58" t="str" cm="1">
        <f>IFERROR(IF(ISBLANK($A143),"",INDEX(Array_StationaryCharges,MATCH($A143,List_StationaryFuelMeters,0),ROUNDUP((COLUMN()+1)/3-2,0))),"")</f>
        <v/>
      </c>
      <c r="Y143" s="127"/>
      <c r="Z143" s="127"/>
      <c r="AA143" s="58" t="str" cm="1">
        <f>IFERROR(IF(ISBLANK($A143),"",INDEX(Array_StationaryCharges,MATCH($A143,List_StationaryFuelMeters,0),ROUNDUP((COLUMN()+1)/3-2,0))),"")</f>
        <v/>
      </c>
      <c r="AB143" s="127"/>
      <c r="AC143" s="127"/>
      <c r="AD143" s="58" t="str" cm="1">
        <f>IFERROR(IF(ISBLANK($A143),"",INDEX(Array_StationaryCharges,MATCH($A143,List_StationaryFuelMeters,0),ROUNDUP((COLUMN()+1)/3-2,0))),"")</f>
        <v/>
      </c>
      <c r="AE143" s="127"/>
      <c r="AF143" s="127"/>
      <c r="AG143" s="58" t="str" cm="1">
        <f>IFERROR(IF(ISBLANK($A143),"",INDEX(Array_StationaryCharges,MATCH($A143,List_StationaryFuelMeters,0),ROUNDUP((COLUMN()+1)/3-2,0))),"")</f>
        <v/>
      </c>
      <c r="AH143" s="127"/>
      <c r="AI143" s="127"/>
      <c r="AJ143" s="58" t="str" cm="1">
        <f>IFERROR(IF(ISBLANK($A143),"",INDEX(Array_StationaryCharges,MATCH($A143,List_StationaryFuelMeters,0),ROUNDUP((COLUMN()+1)/3-2,0))),"")</f>
        <v/>
      </c>
      <c r="AK143" s="127"/>
      <c r="AL143" s="127"/>
      <c r="AM143" s="58" t="str" cm="1">
        <f>IFERROR(IF(ISBLANK($A143),"",INDEX(Array_StationaryCharges,MATCH($A143,List_StationaryFuelMeters,0),ROUNDUP((COLUMN()+1)/3-2,0))),"")</f>
        <v/>
      </c>
      <c r="AN143" s="127"/>
      <c r="AO143" s="127"/>
      <c r="AP143" s="58" t="str" cm="1">
        <f>IFERROR(IF(ISBLANK($A143),"",INDEX(Array_StationaryCharges,MATCH($A143,List_StationaryFuelMeters,0),ROUNDUP((COLUMN()+1)/3-2,0))),"")</f>
        <v/>
      </c>
      <c r="AQ143" s="127"/>
      <c r="AR143" s="127"/>
      <c r="AS143" s="58" t="str" cm="1">
        <f>IFERROR(IF(ISBLANK($A143),"",INDEX(Array_StationaryCharges,MATCH($A143,List_StationaryFuelMeters,0),ROUNDUP((COLUMN()+1)/3-2,0))),"")</f>
        <v/>
      </c>
      <c r="AT143" s="127"/>
      <c r="AU143" s="127"/>
      <c r="AV143" s="58" t="str" cm="1">
        <f>IFERROR(IF(ISBLANK($A143),"",INDEX(Array_StationaryCharges,MATCH($A143,List_StationaryFuelMeters,0),ROUNDUP((COLUMN()+1)/3-2,0))),"")</f>
        <v/>
      </c>
      <c r="AW143" s="127"/>
      <c r="AX143" s="127"/>
    </row>
    <row r="144" spans="1:50" x14ac:dyDescent="0.3">
      <c r="A144" s="126"/>
      <c r="B144" s="133"/>
      <c r="C144" s="127"/>
      <c r="D144" s="138"/>
      <c r="E144" s="138"/>
      <c r="F144" s="58" t="str" cm="1">
        <f>IFERROR(IF(ISBLANK($A144),"",INDEX(Array_StationaryCharges,MATCH($A144,List_StationaryFuelMeters,0),ROUNDUP((COLUMN()+1)/3-2,0))),"")</f>
        <v/>
      </c>
      <c r="G144" s="127"/>
      <c r="H144" s="127"/>
      <c r="I144" s="58" t="str" cm="1">
        <f>IFERROR(IF(ISBLANK($A144),"",INDEX(Array_StationaryCharges,MATCH($A144,List_StationaryFuelMeters,0),ROUNDUP((COLUMN()+1)/3-2,0))),"")</f>
        <v/>
      </c>
      <c r="J144" s="127"/>
      <c r="K144" s="127"/>
      <c r="L144" s="58" t="str" cm="1">
        <f>IFERROR(IF(ISBLANK($A144),"",INDEX(Array_StationaryCharges,MATCH($A144,List_StationaryFuelMeters,0),ROUNDUP((COLUMN()+1)/3-2,0))),"")</f>
        <v/>
      </c>
      <c r="M144" s="127"/>
      <c r="N144" s="127"/>
      <c r="O144" s="58" t="str" cm="1">
        <f>IFERROR(IF(ISBLANK($A144),"",INDEX(Array_StationaryCharges,MATCH($A144,List_StationaryFuelMeters,0),ROUNDUP((COLUMN()+1)/3-2,0))),"")</f>
        <v/>
      </c>
      <c r="P144" s="127"/>
      <c r="Q144" s="127"/>
      <c r="R144" s="58" t="str" cm="1">
        <f>IFERROR(IF(ISBLANK($A144),"",INDEX(Array_StationaryCharges,MATCH($A144,List_StationaryFuelMeters,0),ROUNDUP((COLUMN()+1)/3-2,0))),"")</f>
        <v/>
      </c>
      <c r="S144" s="127"/>
      <c r="T144" s="127"/>
      <c r="U144" s="58" t="str" cm="1">
        <f>IFERROR(IF(ISBLANK($A144),"",INDEX(Array_StationaryCharges,MATCH($A144,List_StationaryFuelMeters,0),ROUNDUP((COLUMN()+1)/3-2,0))),"")</f>
        <v/>
      </c>
      <c r="V144" s="127"/>
      <c r="W144" s="127"/>
      <c r="X144" s="58" t="str" cm="1">
        <f>IFERROR(IF(ISBLANK($A144),"",INDEX(Array_StationaryCharges,MATCH($A144,List_StationaryFuelMeters,0),ROUNDUP((COLUMN()+1)/3-2,0))),"")</f>
        <v/>
      </c>
      <c r="Y144" s="127"/>
      <c r="Z144" s="127"/>
      <c r="AA144" s="58" t="str" cm="1">
        <f>IFERROR(IF(ISBLANK($A144),"",INDEX(Array_StationaryCharges,MATCH($A144,List_StationaryFuelMeters,0),ROUNDUP((COLUMN()+1)/3-2,0))),"")</f>
        <v/>
      </c>
      <c r="AB144" s="127"/>
      <c r="AC144" s="127"/>
      <c r="AD144" s="58" t="str" cm="1">
        <f>IFERROR(IF(ISBLANK($A144),"",INDEX(Array_StationaryCharges,MATCH($A144,List_StationaryFuelMeters,0),ROUNDUP((COLUMN()+1)/3-2,0))),"")</f>
        <v/>
      </c>
      <c r="AE144" s="127"/>
      <c r="AF144" s="127"/>
      <c r="AG144" s="58" t="str" cm="1">
        <f>IFERROR(IF(ISBLANK($A144),"",INDEX(Array_StationaryCharges,MATCH($A144,List_StationaryFuelMeters,0),ROUNDUP((COLUMN()+1)/3-2,0))),"")</f>
        <v/>
      </c>
      <c r="AH144" s="127"/>
      <c r="AI144" s="127"/>
      <c r="AJ144" s="58" t="str" cm="1">
        <f>IFERROR(IF(ISBLANK($A144),"",INDEX(Array_StationaryCharges,MATCH($A144,List_StationaryFuelMeters,0),ROUNDUP((COLUMN()+1)/3-2,0))),"")</f>
        <v/>
      </c>
      <c r="AK144" s="127"/>
      <c r="AL144" s="127"/>
      <c r="AM144" s="58" t="str" cm="1">
        <f>IFERROR(IF(ISBLANK($A144),"",INDEX(Array_StationaryCharges,MATCH($A144,List_StationaryFuelMeters,0),ROUNDUP((COLUMN()+1)/3-2,0))),"")</f>
        <v/>
      </c>
      <c r="AN144" s="127"/>
      <c r="AO144" s="127"/>
      <c r="AP144" s="58" t="str" cm="1">
        <f>IFERROR(IF(ISBLANK($A144),"",INDEX(Array_StationaryCharges,MATCH($A144,List_StationaryFuelMeters,0),ROUNDUP((COLUMN()+1)/3-2,0))),"")</f>
        <v/>
      </c>
      <c r="AQ144" s="127"/>
      <c r="AR144" s="127"/>
      <c r="AS144" s="58" t="str" cm="1">
        <f>IFERROR(IF(ISBLANK($A144),"",INDEX(Array_StationaryCharges,MATCH($A144,List_StationaryFuelMeters,0),ROUNDUP((COLUMN()+1)/3-2,0))),"")</f>
        <v/>
      </c>
      <c r="AT144" s="127"/>
      <c r="AU144" s="127"/>
      <c r="AV144" s="58" t="str" cm="1">
        <f>IFERROR(IF(ISBLANK($A144),"",INDEX(Array_StationaryCharges,MATCH($A144,List_StationaryFuelMeters,0),ROUNDUP((COLUMN()+1)/3-2,0))),"")</f>
        <v/>
      </c>
      <c r="AW144" s="127"/>
      <c r="AX144" s="127"/>
    </row>
    <row r="145" spans="1:50" x14ac:dyDescent="0.3">
      <c r="A145" s="126"/>
      <c r="B145" s="133"/>
      <c r="C145" s="127"/>
      <c r="D145" s="138"/>
      <c r="E145" s="138"/>
      <c r="F145" s="58" t="str" cm="1">
        <f>IFERROR(IF(ISBLANK($A145),"",INDEX(Array_StationaryCharges,MATCH($A145,List_StationaryFuelMeters,0),ROUNDUP((COLUMN()+1)/3-2,0))),"")</f>
        <v/>
      </c>
      <c r="G145" s="127"/>
      <c r="H145" s="127"/>
      <c r="I145" s="58" t="str" cm="1">
        <f>IFERROR(IF(ISBLANK($A145),"",INDEX(Array_StationaryCharges,MATCH($A145,List_StationaryFuelMeters,0),ROUNDUP((COLUMN()+1)/3-2,0))),"")</f>
        <v/>
      </c>
      <c r="J145" s="127"/>
      <c r="K145" s="127"/>
      <c r="L145" s="58" t="str" cm="1">
        <f>IFERROR(IF(ISBLANK($A145),"",INDEX(Array_StationaryCharges,MATCH($A145,List_StationaryFuelMeters,0),ROUNDUP((COLUMN()+1)/3-2,0))),"")</f>
        <v/>
      </c>
      <c r="M145" s="127"/>
      <c r="N145" s="127"/>
      <c r="O145" s="58" t="str" cm="1">
        <f>IFERROR(IF(ISBLANK($A145),"",INDEX(Array_StationaryCharges,MATCH($A145,List_StationaryFuelMeters,0),ROUNDUP((COLUMN()+1)/3-2,0))),"")</f>
        <v/>
      </c>
      <c r="P145" s="127"/>
      <c r="Q145" s="127"/>
      <c r="R145" s="58" t="str" cm="1">
        <f>IFERROR(IF(ISBLANK($A145),"",INDEX(Array_StationaryCharges,MATCH($A145,List_StationaryFuelMeters,0),ROUNDUP((COLUMN()+1)/3-2,0))),"")</f>
        <v/>
      </c>
      <c r="S145" s="127"/>
      <c r="T145" s="127"/>
      <c r="U145" s="58" t="str" cm="1">
        <f>IFERROR(IF(ISBLANK($A145),"",INDEX(Array_StationaryCharges,MATCH($A145,List_StationaryFuelMeters,0),ROUNDUP((COLUMN()+1)/3-2,0))),"")</f>
        <v/>
      </c>
      <c r="V145" s="127"/>
      <c r="W145" s="127"/>
      <c r="X145" s="58" t="str" cm="1">
        <f>IFERROR(IF(ISBLANK($A145),"",INDEX(Array_StationaryCharges,MATCH($A145,List_StationaryFuelMeters,0),ROUNDUP((COLUMN()+1)/3-2,0))),"")</f>
        <v/>
      </c>
      <c r="Y145" s="127"/>
      <c r="Z145" s="127"/>
      <c r="AA145" s="58" t="str" cm="1">
        <f>IFERROR(IF(ISBLANK($A145),"",INDEX(Array_StationaryCharges,MATCH($A145,List_StationaryFuelMeters,0),ROUNDUP((COLUMN()+1)/3-2,0))),"")</f>
        <v/>
      </c>
      <c r="AB145" s="127"/>
      <c r="AC145" s="127"/>
      <c r="AD145" s="58" t="str" cm="1">
        <f>IFERROR(IF(ISBLANK($A145),"",INDEX(Array_StationaryCharges,MATCH($A145,List_StationaryFuelMeters,0),ROUNDUP((COLUMN()+1)/3-2,0))),"")</f>
        <v/>
      </c>
      <c r="AE145" s="127"/>
      <c r="AF145" s="127"/>
      <c r="AG145" s="58" t="str" cm="1">
        <f>IFERROR(IF(ISBLANK($A145),"",INDEX(Array_StationaryCharges,MATCH($A145,List_StationaryFuelMeters,0),ROUNDUP((COLUMN()+1)/3-2,0))),"")</f>
        <v/>
      </c>
      <c r="AH145" s="127"/>
      <c r="AI145" s="127"/>
      <c r="AJ145" s="58" t="str" cm="1">
        <f>IFERROR(IF(ISBLANK($A145),"",INDEX(Array_StationaryCharges,MATCH($A145,List_StationaryFuelMeters,0),ROUNDUP((COLUMN()+1)/3-2,0))),"")</f>
        <v/>
      </c>
      <c r="AK145" s="127"/>
      <c r="AL145" s="127"/>
      <c r="AM145" s="58" t="str" cm="1">
        <f>IFERROR(IF(ISBLANK($A145),"",INDEX(Array_StationaryCharges,MATCH($A145,List_StationaryFuelMeters,0),ROUNDUP((COLUMN()+1)/3-2,0))),"")</f>
        <v/>
      </c>
      <c r="AN145" s="127"/>
      <c r="AO145" s="127"/>
      <c r="AP145" s="58" t="str" cm="1">
        <f>IFERROR(IF(ISBLANK($A145),"",INDEX(Array_StationaryCharges,MATCH($A145,List_StationaryFuelMeters,0),ROUNDUP((COLUMN()+1)/3-2,0))),"")</f>
        <v/>
      </c>
      <c r="AQ145" s="127"/>
      <c r="AR145" s="127"/>
      <c r="AS145" s="58" t="str" cm="1">
        <f>IFERROR(IF(ISBLANK($A145),"",INDEX(Array_StationaryCharges,MATCH($A145,List_StationaryFuelMeters,0),ROUNDUP((COLUMN()+1)/3-2,0))),"")</f>
        <v/>
      </c>
      <c r="AT145" s="127"/>
      <c r="AU145" s="127"/>
      <c r="AV145" s="58" t="str" cm="1">
        <f>IFERROR(IF(ISBLANK($A145),"",INDEX(Array_StationaryCharges,MATCH($A145,List_StationaryFuelMeters,0),ROUNDUP((COLUMN()+1)/3-2,0))),"")</f>
        <v/>
      </c>
      <c r="AW145" s="127"/>
      <c r="AX145" s="127"/>
    </row>
    <row r="146" spans="1:50" x14ac:dyDescent="0.3">
      <c r="A146" s="126"/>
      <c r="B146" s="133"/>
      <c r="C146" s="127"/>
      <c r="D146" s="138"/>
      <c r="E146" s="138"/>
      <c r="F146" s="58" t="str" cm="1">
        <f>IFERROR(IF(ISBLANK($A146),"",INDEX(Array_StationaryCharges,MATCH($A146,List_StationaryFuelMeters,0),ROUNDUP((COLUMN()+1)/3-2,0))),"")</f>
        <v/>
      </c>
      <c r="G146" s="127"/>
      <c r="H146" s="127"/>
      <c r="I146" s="58" t="str" cm="1">
        <f>IFERROR(IF(ISBLANK($A146),"",INDEX(Array_StationaryCharges,MATCH($A146,List_StationaryFuelMeters,0),ROUNDUP((COLUMN()+1)/3-2,0))),"")</f>
        <v/>
      </c>
      <c r="J146" s="127"/>
      <c r="K146" s="127"/>
      <c r="L146" s="58" t="str" cm="1">
        <f>IFERROR(IF(ISBLANK($A146),"",INDEX(Array_StationaryCharges,MATCH($A146,List_StationaryFuelMeters,0),ROUNDUP((COLUMN()+1)/3-2,0))),"")</f>
        <v/>
      </c>
      <c r="M146" s="127"/>
      <c r="N146" s="127"/>
      <c r="O146" s="58" t="str" cm="1">
        <f>IFERROR(IF(ISBLANK($A146),"",INDEX(Array_StationaryCharges,MATCH($A146,List_StationaryFuelMeters,0),ROUNDUP((COLUMN()+1)/3-2,0))),"")</f>
        <v/>
      </c>
      <c r="P146" s="127"/>
      <c r="Q146" s="127"/>
      <c r="R146" s="58" t="str" cm="1">
        <f>IFERROR(IF(ISBLANK($A146),"",INDEX(Array_StationaryCharges,MATCH($A146,List_StationaryFuelMeters,0),ROUNDUP((COLUMN()+1)/3-2,0))),"")</f>
        <v/>
      </c>
      <c r="S146" s="127"/>
      <c r="T146" s="127"/>
      <c r="U146" s="58" t="str" cm="1">
        <f>IFERROR(IF(ISBLANK($A146),"",INDEX(Array_StationaryCharges,MATCH($A146,List_StationaryFuelMeters,0),ROUNDUP((COLUMN()+1)/3-2,0))),"")</f>
        <v/>
      </c>
      <c r="V146" s="127"/>
      <c r="W146" s="127"/>
      <c r="X146" s="58" t="str" cm="1">
        <f>IFERROR(IF(ISBLANK($A146),"",INDEX(Array_StationaryCharges,MATCH($A146,List_StationaryFuelMeters,0),ROUNDUP((COLUMN()+1)/3-2,0))),"")</f>
        <v/>
      </c>
      <c r="Y146" s="127"/>
      <c r="Z146" s="127"/>
      <c r="AA146" s="58" t="str" cm="1">
        <f>IFERROR(IF(ISBLANK($A146),"",INDEX(Array_StationaryCharges,MATCH($A146,List_StationaryFuelMeters,0),ROUNDUP((COLUMN()+1)/3-2,0))),"")</f>
        <v/>
      </c>
      <c r="AB146" s="127"/>
      <c r="AC146" s="127"/>
      <c r="AD146" s="58" t="str" cm="1">
        <f>IFERROR(IF(ISBLANK($A146),"",INDEX(Array_StationaryCharges,MATCH($A146,List_StationaryFuelMeters,0),ROUNDUP((COLUMN()+1)/3-2,0))),"")</f>
        <v/>
      </c>
      <c r="AE146" s="127"/>
      <c r="AF146" s="127"/>
      <c r="AG146" s="58" t="str" cm="1">
        <f>IFERROR(IF(ISBLANK($A146),"",INDEX(Array_StationaryCharges,MATCH($A146,List_StationaryFuelMeters,0),ROUNDUP((COLUMN()+1)/3-2,0))),"")</f>
        <v/>
      </c>
      <c r="AH146" s="127"/>
      <c r="AI146" s="127"/>
      <c r="AJ146" s="58" t="str" cm="1">
        <f>IFERROR(IF(ISBLANK($A146),"",INDEX(Array_StationaryCharges,MATCH($A146,List_StationaryFuelMeters,0),ROUNDUP((COLUMN()+1)/3-2,0))),"")</f>
        <v/>
      </c>
      <c r="AK146" s="127"/>
      <c r="AL146" s="127"/>
      <c r="AM146" s="58" t="str" cm="1">
        <f>IFERROR(IF(ISBLANK($A146),"",INDEX(Array_StationaryCharges,MATCH($A146,List_StationaryFuelMeters,0),ROUNDUP((COLUMN()+1)/3-2,0))),"")</f>
        <v/>
      </c>
      <c r="AN146" s="127"/>
      <c r="AO146" s="127"/>
      <c r="AP146" s="58" t="str" cm="1">
        <f>IFERROR(IF(ISBLANK($A146),"",INDEX(Array_StationaryCharges,MATCH($A146,List_StationaryFuelMeters,0),ROUNDUP((COLUMN()+1)/3-2,0))),"")</f>
        <v/>
      </c>
      <c r="AQ146" s="127"/>
      <c r="AR146" s="127"/>
      <c r="AS146" s="58" t="str" cm="1">
        <f>IFERROR(IF(ISBLANK($A146),"",INDEX(Array_StationaryCharges,MATCH($A146,List_StationaryFuelMeters,0),ROUNDUP((COLUMN()+1)/3-2,0))),"")</f>
        <v/>
      </c>
      <c r="AT146" s="127"/>
      <c r="AU146" s="127"/>
      <c r="AV146" s="58" t="str" cm="1">
        <f>IFERROR(IF(ISBLANK($A146),"",INDEX(Array_StationaryCharges,MATCH($A146,List_StationaryFuelMeters,0),ROUNDUP((COLUMN()+1)/3-2,0))),"")</f>
        <v/>
      </c>
      <c r="AW146" s="127"/>
      <c r="AX146" s="127"/>
    </row>
    <row r="147" spans="1:50" x14ac:dyDescent="0.3">
      <c r="A147" s="126"/>
      <c r="B147" s="133"/>
      <c r="C147" s="127"/>
      <c r="D147" s="138"/>
      <c r="E147" s="138"/>
      <c r="F147" s="58" t="str" cm="1">
        <f>IFERROR(IF(ISBLANK($A147),"",INDEX(Array_StationaryCharges,MATCH($A147,List_StationaryFuelMeters,0),ROUNDUP((COLUMN()+1)/3-2,0))),"")</f>
        <v/>
      </c>
      <c r="G147" s="127"/>
      <c r="H147" s="127"/>
      <c r="I147" s="58" t="str" cm="1">
        <f>IFERROR(IF(ISBLANK($A147),"",INDEX(Array_StationaryCharges,MATCH($A147,List_StationaryFuelMeters,0),ROUNDUP((COLUMN()+1)/3-2,0))),"")</f>
        <v/>
      </c>
      <c r="J147" s="127"/>
      <c r="K147" s="127"/>
      <c r="L147" s="58" t="str" cm="1">
        <f>IFERROR(IF(ISBLANK($A147),"",INDEX(Array_StationaryCharges,MATCH($A147,List_StationaryFuelMeters,0),ROUNDUP((COLUMN()+1)/3-2,0))),"")</f>
        <v/>
      </c>
      <c r="M147" s="127"/>
      <c r="N147" s="127"/>
      <c r="O147" s="58" t="str" cm="1">
        <f>IFERROR(IF(ISBLANK($A147),"",INDEX(Array_StationaryCharges,MATCH($A147,List_StationaryFuelMeters,0),ROUNDUP((COLUMN()+1)/3-2,0))),"")</f>
        <v/>
      </c>
      <c r="P147" s="127"/>
      <c r="Q147" s="127"/>
      <c r="R147" s="58" t="str" cm="1">
        <f>IFERROR(IF(ISBLANK($A147),"",INDEX(Array_StationaryCharges,MATCH($A147,List_StationaryFuelMeters,0),ROUNDUP((COLUMN()+1)/3-2,0))),"")</f>
        <v/>
      </c>
      <c r="S147" s="127"/>
      <c r="T147" s="127"/>
      <c r="U147" s="58" t="str" cm="1">
        <f>IFERROR(IF(ISBLANK($A147),"",INDEX(Array_StationaryCharges,MATCH($A147,List_StationaryFuelMeters,0),ROUNDUP((COLUMN()+1)/3-2,0))),"")</f>
        <v/>
      </c>
      <c r="V147" s="127"/>
      <c r="W147" s="127"/>
      <c r="X147" s="58" t="str" cm="1">
        <f>IFERROR(IF(ISBLANK($A147),"",INDEX(Array_StationaryCharges,MATCH($A147,List_StationaryFuelMeters,0),ROUNDUP((COLUMN()+1)/3-2,0))),"")</f>
        <v/>
      </c>
      <c r="Y147" s="127"/>
      <c r="Z147" s="127"/>
      <c r="AA147" s="58" t="str" cm="1">
        <f>IFERROR(IF(ISBLANK($A147),"",INDEX(Array_StationaryCharges,MATCH($A147,List_StationaryFuelMeters,0),ROUNDUP((COLUMN()+1)/3-2,0))),"")</f>
        <v/>
      </c>
      <c r="AB147" s="127"/>
      <c r="AC147" s="127"/>
      <c r="AD147" s="58" t="str" cm="1">
        <f>IFERROR(IF(ISBLANK($A147),"",INDEX(Array_StationaryCharges,MATCH($A147,List_StationaryFuelMeters,0),ROUNDUP((COLUMN()+1)/3-2,0))),"")</f>
        <v/>
      </c>
      <c r="AE147" s="127"/>
      <c r="AF147" s="127"/>
      <c r="AG147" s="58" t="str" cm="1">
        <f>IFERROR(IF(ISBLANK($A147),"",INDEX(Array_StationaryCharges,MATCH($A147,List_StationaryFuelMeters,0),ROUNDUP((COLUMN()+1)/3-2,0))),"")</f>
        <v/>
      </c>
      <c r="AH147" s="127"/>
      <c r="AI147" s="127"/>
      <c r="AJ147" s="58" t="str" cm="1">
        <f>IFERROR(IF(ISBLANK($A147),"",INDEX(Array_StationaryCharges,MATCH($A147,List_StationaryFuelMeters,0),ROUNDUP((COLUMN()+1)/3-2,0))),"")</f>
        <v/>
      </c>
      <c r="AK147" s="127"/>
      <c r="AL147" s="127"/>
      <c r="AM147" s="58" t="str" cm="1">
        <f>IFERROR(IF(ISBLANK($A147),"",INDEX(Array_StationaryCharges,MATCH($A147,List_StationaryFuelMeters,0),ROUNDUP((COLUMN()+1)/3-2,0))),"")</f>
        <v/>
      </c>
      <c r="AN147" s="127"/>
      <c r="AO147" s="127"/>
      <c r="AP147" s="58" t="str" cm="1">
        <f>IFERROR(IF(ISBLANK($A147),"",INDEX(Array_StationaryCharges,MATCH($A147,List_StationaryFuelMeters,0),ROUNDUP((COLUMN()+1)/3-2,0))),"")</f>
        <v/>
      </c>
      <c r="AQ147" s="127"/>
      <c r="AR147" s="127"/>
      <c r="AS147" s="58" t="str" cm="1">
        <f>IFERROR(IF(ISBLANK($A147),"",INDEX(Array_StationaryCharges,MATCH($A147,List_StationaryFuelMeters,0),ROUNDUP((COLUMN()+1)/3-2,0))),"")</f>
        <v/>
      </c>
      <c r="AT147" s="127"/>
      <c r="AU147" s="127"/>
      <c r="AV147" s="58" t="str" cm="1">
        <f>IFERROR(IF(ISBLANK($A147),"",INDEX(Array_StationaryCharges,MATCH($A147,List_StationaryFuelMeters,0),ROUNDUP((COLUMN()+1)/3-2,0))),"")</f>
        <v/>
      </c>
      <c r="AW147" s="127"/>
      <c r="AX147" s="127"/>
    </row>
    <row r="148" spans="1:50" x14ac:dyDescent="0.3">
      <c r="A148" s="126"/>
      <c r="B148" s="133"/>
      <c r="C148" s="127"/>
      <c r="D148" s="138"/>
      <c r="E148" s="138"/>
      <c r="F148" s="58" t="str" cm="1">
        <f>IFERROR(IF(ISBLANK($A148),"",INDEX(Array_StationaryCharges,MATCH($A148,List_StationaryFuelMeters,0),ROUNDUP((COLUMN()+1)/3-2,0))),"")</f>
        <v/>
      </c>
      <c r="G148" s="127"/>
      <c r="H148" s="127"/>
      <c r="I148" s="58" t="str" cm="1">
        <f>IFERROR(IF(ISBLANK($A148),"",INDEX(Array_StationaryCharges,MATCH($A148,List_StationaryFuelMeters,0),ROUNDUP((COLUMN()+1)/3-2,0))),"")</f>
        <v/>
      </c>
      <c r="J148" s="127"/>
      <c r="K148" s="127"/>
      <c r="L148" s="58" t="str" cm="1">
        <f>IFERROR(IF(ISBLANK($A148),"",INDEX(Array_StationaryCharges,MATCH($A148,List_StationaryFuelMeters,0),ROUNDUP((COLUMN()+1)/3-2,0))),"")</f>
        <v/>
      </c>
      <c r="M148" s="127"/>
      <c r="N148" s="127"/>
      <c r="O148" s="58" t="str" cm="1">
        <f>IFERROR(IF(ISBLANK($A148),"",INDEX(Array_StationaryCharges,MATCH($A148,List_StationaryFuelMeters,0),ROUNDUP((COLUMN()+1)/3-2,0))),"")</f>
        <v/>
      </c>
      <c r="P148" s="127"/>
      <c r="Q148" s="127"/>
      <c r="R148" s="58" t="str" cm="1">
        <f>IFERROR(IF(ISBLANK($A148),"",INDEX(Array_StationaryCharges,MATCH($A148,List_StationaryFuelMeters,0),ROUNDUP((COLUMN()+1)/3-2,0))),"")</f>
        <v/>
      </c>
      <c r="S148" s="127"/>
      <c r="T148" s="127"/>
      <c r="U148" s="58" t="str" cm="1">
        <f>IFERROR(IF(ISBLANK($A148),"",INDEX(Array_StationaryCharges,MATCH($A148,List_StationaryFuelMeters,0),ROUNDUP((COLUMN()+1)/3-2,0))),"")</f>
        <v/>
      </c>
      <c r="V148" s="127"/>
      <c r="W148" s="127"/>
      <c r="X148" s="58" t="str" cm="1">
        <f>IFERROR(IF(ISBLANK($A148),"",INDEX(Array_StationaryCharges,MATCH($A148,List_StationaryFuelMeters,0),ROUNDUP((COLUMN()+1)/3-2,0))),"")</f>
        <v/>
      </c>
      <c r="Y148" s="127"/>
      <c r="Z148" s="127"/>
      <c r="AA148" s="58" t="str" cm="1">
        <f>IFERROR(IF(ISBLANK($A148),"",INDEX(Array_StationaryCharges,MATCH($A148,List_StationaryFuelMeters,0),ROUNDUP((COLUMN()+1)/3-2,0))),"")</f>
        <v/>
      </c>
      <c r="AB148" s="127"/>
      <c r="AC148" s="127"/>
      <c r="AD148" s="58" t="str" cm="1">
        <f>IFERROR(IF(ISBLANK($A148),"",INDEX(Array_StationaryCharges,MATCH($A148,List_StationaryFuelMeters,0),ROUNDUP((COLUMN()+1)/3-2,0))),"")</f>
        <v/>
      </c>
      <c r="AE148" s="127"/>
      <c r="AF148" s="127"/>
      <c r="AG148" s="58" t="str" cm="1">
        <f>IFERROR(IF(ISBLANK($A148),"",INDEX(Array_StationaryCharges,MATCH($A148,List_StationaryFuelMeters,0),ROUNDUP((COLUMN()+1)/3-2,0))),"")</f>
        <v/>
      </c>
      <c r="AH148" s="127"/>
      <c r="AI148" s="127"/>
      <c r="AJ148" s="58" t="str" cm="1">
        <f>IFERROR(IF(ISBLANK($A148),"",INDEX(Array_StationaryCharges,MATCH($A148,List_StationaryFuelMeters,0),ROUNDUP((COLUMN()+1)/3-2,0))),"")</f>
        <v/>
      </c>
      <c r="AK148" s="127"/>
      <c r="AL148" s="127"/>
      <c r="AM148" s="58" t="str" cm="1">
        <f>IFERROR(IF(ISBLANK($A148),"",INDEX(Array_StationaryCharges,MATCH($A148,List_StationaryFuelMeters,0),ROUNDUP((COLUMN()+1)/3-2,0))),"")</f>
        <v/>
      </c>
      <c r="AN148" s="127"/>
      <c r="AO148" s="127"/>
      <c r="AP148" s="58" t="str" cm="1">
        <f>IFERROR(IF(ISBLANK($A148),"",INDEX(Array_StationaryCharges,MATCH($A148,List_StationaryFuelMeters,0),ROUNDUP((COLUMN()+1)/3-2,0))),"")</f>
        <v/>
      </c>
      <c r="AQ148" s="127"/>
      <c r="AR148" s="127"/>
      <c r="AS148" s="58" t="str" cm="1">
        <f>IFERROR(IF(ISBLANK($A148),"",INDEX(Array_StationaryCharges,MATCH($A148,List_StationaryFuelMeters,0),ROUNDUP((COLUMN()+1)/3-2,0))),"")</f>
        <v/>
      </c>
      <c r="AT148" s="127"/>
      <c r="AU148" s="127"/>
      <c r="AV148" s="58" t="str" cm="1">
        <f>IFERROR(IF(ISBLANK($A148),"",INDEX(Array_StationaryCharges,MATCH($A148,List_StationaryFuelMeters,0),ROUNDUP((COLUMN()+1)/3-2,0))),"")</f>
        <v/>
      </c>
      <c r="AW148" s="127"/>
      <c r="AX148" s="127"/>
    </row>
    <row r="149" spans="1:50" x14ac:dyDescent="0.3">
      <c r="A149" s="126"/>
      <c r="B149" s="133"/>
      <c r="C149" s="127"/>
      <c r="D149" s="138"/>
      <c r="E149" s="138"/>
      <c r="F149" s="58" t="str" cm="1">
        <f>IFERROR(IF(ISBLANK($A149),"",INDEX(Array_StationaryCharges,MATCH($A149,List_StationaryFuelMeters,0),ROUNDUP((COLUMN()+1)/3-2,0))),"")</f>
        <v/>
      </c>
      <c r="G149" s="127"/>
      <c r="H149" s="127"/>
      <c r="I149" s="58" t="str" cm="1">
        <f>IFERROR(IF(ISBLANK($A149),"",INDEX(Array_StationaryCharges,MATCH($A149,List_StationaryFuelMeters,0),ROUNDUP((COLUMN()+1)/3-2,0))),"")</f>
        <v/>
      </c>
      <c r="J149" s="127"/>
      <c r="K149" s="127"/>
      <c r="L149" s="58" t="str" cm="1">
        <f>IFERROR(IF(ISBLANK($A149),"",INDEX(Array_StationaryCharges,MATCH($A149,List_StationaryFuelMeters,0),ROUNDUP((COLUMN()+1)/3-2,0))),"")</f>
        <v/>
      </c>
      <c r="M149" s="127"/>
      <c r="N149" s="127"/>
      <c r="O149" s="58" t="str" cm="1">
        <f>IFERROR(IF(ISBLANK($A149),"",INDEX(Array_StationaryCharges,MATCH($A149,List_StationaryFuelMeters,0),ROUNDUP((COLUMN()+1)/3-2,0))),"")</f>
        <v/>
      </c>
      <c r="P149" s="127"/>
      <c r="Q149" s="127"/>
      <c r="R149" s="58" t="str" cm="1">
        <f>IFERROR(IF(ISBLANK($A149),"",INDEX(Array_StationaryCharges,MATCH($A149,List_StationaryFuelMeters,0),ROUNDUP((COLUMN()+1)/3-2,0))),"")</f>
        <v/>
      </c>
      <c r="S149" s="127"/>
      <c r="T149" s="127"/>
      <c r="U149" s="58" t="str" cm="1">
        <f>IFERROR(IF(ISBLANK($A149),"",INDEX(Array_StationaryCharges,MATCH($A149,List_StationaryFuelMeters,0),ROUNDUP((COLUMN()+1)/3-2,0))),"")</f>
        <v/>
      </c>
      <c r="V149" s="127"/>
      <c r="W149" s="127"/>
      <c r="X149" s="58" t="str" cm="1">
        <f>IFERROR(IF(ISBLANK($A149),"",INDEX(Array_StationaryCharges,MATCH($A149,List_StationaryFuelMeters,0),ROUNDUP((COLUMN()+1)/3-2,0))),"")</f>
        <v/>
      </c>
      <c r="Y149" s="127"/>
      <c r="Z149" s="127"/>
      <c r="AA149" s="58" t="str" cm="1">
        <f>IFERROR(IF(ISBLANK($A149),"",INDEX(Array_StationaryCharges,MATCH($A149,List_StationaryFuelMeters,0),ROUNDUP((COLUMN()+1)/3-2,0))),"")</f>
        <v/>
      </c>
      <c r="AB149" s="127"/>
      <c r="AC149" s="127"/>
      <c r="AD149" s="58" t="str" cm="1">
        <f>IFERROR(IF(ISBLANK($A149),"",INDEX(Array_StationaryCharges,MATCH($A149,List_StationaryFuelMeters,0),ROUNDUP((COLUMN()+1)/3-2,0))),"")</f>
        <v/>
      </c>
      <c r="AE149" s="127"/>
      <c r="AF149" s="127"/>
      <c r="AG149" s="58" t="str" cm="1">
        <f>IFERROR(IF(ISBLANK($A149),"",INDEX(Array_StationaryCharges,MATCH($A149,List_StationaryFuelMeters,0),ROUNDUP((COLUMN()+1)/3-2,0))),"")</f>
        <v/>
      </c>
      <c r="AH149" s="127"/>
      <c r="AI149" s="127"/>
      <c r="AJ149" s="58" t="str" cm="1">
        <f>IFERROR(IF(ISBLANK($A149),"",INDEX(Array_StationaryCharges,MATCH($A149,List_StationaryFuelMeters,0),ROUNDUP((COLUMN()+1)/3-2,0))),"")</f>
        <v/>
      </c>
      <c r="AK149" s="127"/>
      <c r="AL149" s="127"/>
      <c r="AM149" s="58" t="str" cm="1">
        <f>IFERROR(IF(ISBLANK($A149),"",INDEX(Array_StationaryCharges,MATCH($A149,List_StationaryFuelMeters,0),ROUNDUP((COLUMN()+1)/3-2,0))),"")</f>
        <v/>
      </c>
      <c r="AN149" s="127"/>
      <c r="AO149" s="127"/>
      <c r="AP149" s="58" t="str" cm="1">
        <f>IFERROR(IF(ISBLANK($A149),"",INDEX(Array_StationaryCharges,MATCH($A149,List_StationaryFuelMeters,0),ROUNDUP((COLUMN()+1)/3-2,0))),"")</f>
        <v/>
      </c>
      <c r="AQ149" s="127"/>
      <c r="AR149" s="127"/>
      <c r="AS149" s="58" t="str" cm="1">
        <f>IFERROR(IF(ISBLANK($A149),"",INDEX(Array_StationaryCharges,MATCH($A149,List_StationaryFuelMeters,0),ROUNDUP((COLUMN()+1)/3-2,0))),"")</f>
        <v/>
      </c>
      <c r="AT149" s="127"/>
      <c r="AU149" s="127"/>
      <c r="AV149" s="58" t="str" cm="1">
        <f>IFERROR(IF(ISBLANK($A149),"",INDEX(Array_StationaryCharges,MATCH($A149,List_StationaryFuelMeters,0),ROUNDUP((COLUMN()+1)/3-2,0))),"")</f>
        <v/>
      </c>
      <c r="AW149" s="127"/>
      <c r="AX149" s="127"/>
    </row>
    <row r="150" spans="1:50" x14ac:dyDescent="0.3">
      <c r="A150" s="126"/>
      <c r="B150" s="133"/>
      <c r="C150" s="127"/>
      <c r="D150" s="138"/>
      <c r="E150" s="138"/>
      <c r="F150" s="58" t="str" cm="1">
        <f>IFERROR(IF(ISBLANK($A150),"",INDEX(Array_StationaryCharges,MATCH($A150,List_StationaryFuelMeters,0),ROUNDUP((COLUMN()+1)/3-2,0))),"")</f>
        <v/>
      </c>
      <c r="G150" s="127"/>
      <c r="H150" s="127"/>
      <c r="I150" s="58" t="str" cm="1">
        <f>IFERROR(IF(ISBLANK($A150),"",INDEX(Array_StationaryCharges,MATCH($A150,List_StationaryFuelMeters,0),ROUNDUP((COLUMN()+1)/3-2,0))),"")</f>
        <v/>
      </c>
      <c r="J150" s="127"/>
      <c r="K150" s="127"/>
      <c r="L150" s="58" t="str" cm="1">
        <f>IFERROR(IF(ISBLANK($A150),"",INDEX(Array_StationaryCharges,MATCH($A150,List_StationaryFuelMeters,0),ROUNDUP((COLUMN()+1)/3-2,0))),"")</f>
        <v/>
      </c>
      <c r="M150" s="127"/>
      <c r="N150" s="127"/>
      <c r="O150" s="58" t="str" cm="1">
        <f>IFERROR(IF(ISBLANK($A150),"",INDEX(Array_StationaryCharges,MATCH($A150,List_StationaryFuelMeters,0),ROUNDUP((COLUMN()+1)/3-2,0))),"")</f>
        <v/>
      </c>
      <c r="P150" s="127"/>
      <c r="Q150" s="127"/>
      <c r="R150" s="58" t="str" cm="1">
        <f>IFERROR(IF(ISBLANK($A150),"",INDEX(Array_StationaryCharges,MATCH($A150,List_StationaryFuelMeters,0),ROUNDUP((COLUMN()+1)/3-2,0))),"")</f>
        <v/>
      </c>
      <c r="S150" s="127"/>
      <c r="T150" s="127"/>
      <c r="U150" s="58" t="str" cm="1">
        <f>IFERROR(IF(ISBLANK($A150),"",INDEX(Array_StationaryCharges,MATCH($A150,List_StationaryFuelMeters,0),ROUNDUP((COLUMN()+1)/3-2,0))),"")</f>
        <v/>
      </c>
      <c r="V150" s="127"/>
      <c r="W150" s="127"/>
      <c r="X150" s="58" t="str" cm="1">
        <f>IFERROR(IF(ISBLANK($A150),"",INDEX(Array_StationaryCharges,MATCH($A150,List_StationaryFuelMeters,0),ROUNDUP((COLUMN()+1)/3-2,0))),"")</f>
        <v/>
      </c>
      <c r="Y150" s="127"/>
      <c r="Z150" s="127"/>
      <c r="AA150" s="58" t="str" cm="1">
        <f>IFERROR(IF(ISBLANK($A150),"",INDEX(Array_StationaryCharges,MATCH($A150,List_StationaryFuelMeters,0),ROUNDUP((COLUMN()+1)/3-2,0))),"")</f>
        <v/>
      </c>
      <c r="AB150" s="127"/>
      <c r="AC150" s="127"/>
      <c r="AD150" s="58" t="str" cm="1">
        <f>IFERROR(IF(ISBLANK($A150),"",INDEX(Array_StationaryCharges,MATCH($A150,List_StationaryFuelMeters,0),ROUNDUP((COLUMN()+1)/3-2,0))),"")</f>
        <v/>
      </c>
      <c r="AE150" s="127"/>
      <c r="AF150" s="127"/>
      <c r="AG150" s="58" t="str" cm="1">
        <f>IFERROR(IF(ISBLANK($A150),"",INDEX(Array_StationaryCharges,MATCH($A150,List_StationaryFuelMeters,0),ROUNDUP((COLUMN()+1)/3-2,0))),"")</f>
        <v/>
      </c>
      <c r="AH150" s="127"/>
      <c r="AI150" s="127"/>
      <c r="AJ150" s="58" t="str" cm="1">
        <f>IFERROR(IF(ISBLANK($A150),"",INDEX(Array_StationaryCharges,MATCH($A150,List_StationaryFuelMeters,0),ROUNDUP((COLUMN()+1)/3-2,0))),"")</f>
        <v/>
      </c>
      <c r="AK150" s="127"/>
      <c r="AL150" s="127"/>
      <c r="AM150" s="58" t="str" cm="1">
        <f>IFERROR(IF(ISBLANK($A150),"",INDEX(Array_StationaryCharges,MATCH($A150,List_StationaryFuelMeters,0),ROUNDUP((COLUMN()+1)/3-2,0))),"")</f>
        <v/>
      </c>
      <c r="AN150" s="127"/>
      <c r="AO150" s="127"/>
      <c r="AP150" s="58" t="str" cm="1">
        <f>IFERROR(IF(ISBLANK($A150),"",INDEX(Array_StationaryCharges,MATCH($A150,List_StationaryFuelMeters,0),ROUNDUP((COLUMN()+1)/3-2,0))),"")</f>
        <v/>
      </c>
      <c r="AQ150" s="127"/>
      <c r="AR150" s="127"/>
      <c r="AS150" s="58" t="str" cm="1">
        <f>IFERROR(IF(ISBLANK($A150),"",INDEX(Array_StationaryCharges,MATCH($A150,List_StationaryFuelMeters,0),ROUNDUP((COLUMN()+1)/3-2,0))),"")</f>
        <v/>
      </c>
      <c r="AT150" s="127"/>
      <c r="AU150" s="127"/>
      <c r="AV150" s="58" t="str" cm="1">
        <f>IFERROR(IF(ISBLANK($A150),"",INDEX(Array_StationaryCharges,MATCH($A150,List_StationaryFuelMeters,0),ROUNDUP((COLUMN()+1)/3-2,0))),"")</f>
        <v/>
      </c>
      <c r="AW150" s="127"/>
      <c r="AX150" s="127"/>
    </row>
    <row r="151" spans="1:50" x14ac:dyDescent="0.3">
      <c r="A151" s="126"/>
      <c r="B151" s="133"/>
      <c r="C151" s="127"/>
      <c r="D151" s="138"/>
      <c r="E151" s="138"/>
      <c r="F151" s="58" t="str" cm="1">
        <f>IFERROR(IF(ISBLANK($A151),"",INDEX(Array_StationaryCharges,MATCH($A151,List_StationaryFuelMeters,0),ROUNDUP((COLUMN()+1)/3-2,0))),"")</f>
        <v/>
      </c>
      <c r="G151" s="127"/>
      <c r="H151" s="127"/>
      <c r="I151" s="58" t="str" cm="1">
        <f>IFERROR(IF(ISBLANK($A151),"",INDEX(Array_StationaryCharges,MATCH($A151,List_StationaryFuelMeters,0),ROUNDUP((COLUMN()+1)/3-2,0))),"")</f>
        <v/>
      </c>
      <c r="J151" s="127"/>
      <c r="K151" s="127"/>
      <c r="L151" s="58" t="str" cm="1">
        <f>IFERROR(IF(ISBLANK($A151),"",INDEX(Array_StationaryCharges,MATCH($A151,List_StationaryFuelMeters,0),ROUNDUP((COLUMN()+1)/3-2,0))),"")</f>
        <v/>
      </c>
      <c r="M151" s="127"/>
      <c r="N151" s="127"/>
      <c r="O151" s="58" t="str" cm="1">
        <f>IFERROR(IF(ISBLANK($A151),"",INDEX(Array_StationaryCharges,MATCH($A151,List_StationaryFuelMeters,0),ROUNDUP((COLUMN()+1)/3-2,0))),"")</f>
        <v/>
      </c>
      <c r="P151" s="127"/>
      <c r="Q151" s="127"/>
      <c r="R151" s="58" t="str" cm="1">
        <f>IFERROR(IF(ISBLANK($A151),"",INDEX(Array_StationaryCharges,MATCH($A151,List_StationaryFuelMeters,0),ROUNDUP((COLUMN()+1)/3-2,0))),"")</f>
        <v/>
      </c>
      <c r="S151" s="127"/>
      <c r="T151" s="127"/>
      <c r="U151" s="58" t="str" cm="1">
        <f>IFERROR(IF(ISBLANK($A151),"",INDEX(Array_StationaryCharges,MATCH($A151,List_StationaryFuelMeters,0),ROUNDUP((COLUMN()+1)/3-2,0))),"")</f>
        <v/>
      </c>
      <c r="V151" s="127"/>
      <c r="W151" s="127"/>
      <c r="X151" s="58" t="str" cm="1">
        <f>IFERROR(IF(ISBLANK($A151),"",INDEX(Array_StationaryCharges,MATCH($A151,List_StationaryFuelMeters,0),ROUNDUP((COLUMN()+1)/3-2,0))),"")</f>
        <v/>
      </c>
      <c r="Y151" s="127"/>
      <c r="Z151" s="127"/>
      <c r="AA151" s="58" t="str" cm="1">
        <f>IFERROR(IF(ISBLANK($A151),"",INDEX(Array_StationaryCharges,MATCH($A151,List_StationaryFuelMeters,0),ROUNDUP((COLUMN()+1)/3-2,0))),"")</f>
        <v/>
      </c>
      <c r="AB151" s="127"/>
      <c r="AC151" s="127"/>
      <c r="AD151" s="58" t="str" cm="1">
        <f>IFERROR(IF(ISBLANK($A151),"",INDEX(Array_StationaryCharges,MATCH($A151,List_StationaryFuelMeters,0),ROUNDUP((COLUMN()+1)/3-2,0))),"")</f>
        <v/>
      </c>
      <c r="AE151" s="127"/>
      <c r="AF151" s="127"/>
      <c r="AG151" s="58" t="str" cm="1">
        <f>IFERROR(IF(ISBLANK($A151),"",INDEX(Array_StationaryCharges,MATCH($A151,List_StationaryFuelMeters,0),ROUNDUP((COLUMN()+1)/3-2,0))),"")</f>
        <v/>
      </c>
      <c r="AH151" s="127"/>
      <c r="AI151" s="127"/>
      <c r="AJ151" s="58" t="str" cm="1">
        <f>IFERROR(IF(ISBLANK($A151),"",INDEX(Array_StationaryCharges,MATCH($A151,List_StationaryFuelMeters,0),ROUNDUP((COLUMN()+1)/3-2,0))),"")</f>
        <v/>
      </c>
      <c r="AK151" s="127"/>
      <c r="AL151" s="127"/>
      <c r="AM151" s="58" t="str" cm="1">
        <f>IFERROR(IF(ISBLANK($A151),"",INDEX(Array_StationaryCharges,MATCH($A151,List_StationaryFuelMeters,0),ROUNDUP((COLUMN()+1)/3-2,0))),"")</f>
        <v/>
      </c>
      <c r="AN151" s="127"/>
      <c r="AO151" s="127"/>
      <c r="AP151" s="58" t="str" cm="1">
        <f>IFERROR(IF(ISBLANK($A151),"",INDEX(Array_StationaryCharges,MATCH($A151,List_StationaryFuelMeters,0),ROUNDUP((COLUMN()+1)/3-2,0))),"")</f>
        <v/>
      </c>
      <c r="AQ151" s="127"/>
      <c r="AR151" s="127"/>
      <c r="AS151" s="58" t="str" cm="1">
        <f>IFERROR(IF(ISBLANK($A151),"",INDEX(Array_StationaryCharges,MATCH($A151,List_StationaryFuelMeters,0),ROUNDUP((COLUMN()+1)/3-2,0))),"")</f>
        <v/>
      </c>
      <c r="AT151" s="127"/>
      <c r="AU151" s="127"/>
      <c r="AV151" s="58" t="str" cm="1">
        <f>IFERROR(IF(ISBLANK($A151),"",INDEX(Array_StationaryCharges,MATCH($A151,List_StationaryFuelMeters,0),ROUNDUP((COLUMN()+1)/3-2,0))),"")</f>
        <v/>
      </c>
      <c r="AW151" s="127"/>
      <c r="AX151" s="127"/>
    </row>
    <row r="152" spans="1:50" x14ac:dyDescent="0.3">
      <c r="A152" s="126"/>
      <c r="B152" s="133"/>
      <c r="C152" s="127"/>
      <c r="D152" s="138"/>
      <c r="E152" s="138"/>
      <c r="F152" s="58" t="str" cm="1">
        <f>IFERROR(IF(ISBLANK($A152),"",INDEX(Array_StationaryCharges,MATCH($A152,List_StationaryFuelMeters,0),ROUNDUP((COLUMN()+1)/3-2,0))),"")</f>
        <v/>
      </c>
      <c r="G152" s="127"/>
      <c r="H152" s="127"/>
      <c r="I152" s="58" t="str" cm="1">
        <f>IFERROR(IF(ISBLANK($A152),"",INDEX(Array_StationaryCharges,MATCH($A152,List_StationaryFuelMeters,0),ROUNDUP((COLUMN()+1)/3-2,0))),"")</f>
        <v/>
      </c>
      <c r="J152" s="127"/>
      <c r="K152" s="127"/>
      <c r="L152" s="58" t="str" cm="1">
        <f>IFERROR(IF(ISBLANK($A152),"",INDEX(Array_StationaryCharges,MATCH($A152,List_StationaryFuelMeters,0),ROUNDUP((COLUMN()+1)/3-2,0))),"")</f>
        <v/>
      </c>
      <c r="M152" s="127"/>
      <c r="N152" s="127"/>
      <c r="O152" s="58" t="str" cm="1">
        <f>IFERROR(IF(ISBLANK($A152),"",INDEX(Array_StationaryCharges,MATCH($A152,List_StationaryFuelMeters,0),ROUNDUP((COLUMN()+1)/3-2,0))),"")</f>
        <v/>
      </c>
      <c r="P152" s="127"/>
      <c r="Q152" s="127"/>
      <c r="R152" s="58" t="str" cm="1">
        <f>IFERROR(IF(ISBLANK($A152),"",INDEX(Array_StationaryCharges,MATCH($A152,List_StationaryFuelMeters,0),ROUNDUP((COLUMN()+1)/3-2,0))),"")</f>
        <v/>
      </c>
      <c r="S152" s="127"/>
      <c r="T152" s="127"/>
      <c r="U152" s="58" t="str" cm="1">
        <f>IFERROR(IF(ISBLANK($A152),"",INDEX(Array_StationaryCharges,MATCH($A152,List_StationaryFuelMeters,0),ROUNDUP((COLUMN()+1)/3-2,0))),"")</f>
        <v/>
      </c>
      <c r="V152" s="127"/>
      <c r="W152" s="127"/>
      <c r="X152" s="58" t="str" cm="1">
        <f>IFERROR(IF(ISBLANK($A152),"",INDEX(Array_StationaryCharges,MATCH($A152,List_StationaryFuelMeters,0),ROUNDUP((COLUMN()+1)/3-2,0))),"")</f>
        <v/>
      </c>
      <c r="Y152" s="127"/>
      <c r="Z152" s="127"/>
      <c r="AA152" s="58" t="str" cm="1">
        <f>IFERROR(IF(ISBLANK($A152),"",INDEX(Array_StationaryCharges,MATCH($A152,List_StationaryFuelMeters,0),ROUNDUP((COLUMN()+1)/3-2,0))),"")</f>
        <v/>
      </c>
      <c r="AB152" s="127"/>
      <c r="AC152" s="127"/>
      <c r="AD152" s="58" t="str" cm="1">
        <f>IFERROR(IF(ISBLANK($A152),"",INDEX(Array_StationaryCharges,MATCH($A152,List_StationaryFuelMeters,0),ROUNDUP((COLUMN()+1)/3-2,0))),"")</f>
        <v/>
      </c>
      <c r="AE152" s="127"/>
      <c r="AF152" s="127"/>
      <c r="AG152" s="58" t="str" cm="1">
        <f>IFERROR(IF(ISBLANK($A152),"",INDEX(Array_StationaryCharges,MATCH($A152,List_StationaryFuelMeters,0),ROUNDUP((COLUMN()+1)/3-2,0))),"")</f>
        <v/>
      </c>
      <c r="AH152" s="127"/>
      <c r="AI152" s="127"/>
      <c r="AJ152" s="58" t="str" cm="1">
        <f>IFERROR(IF(ISBLANK($A152),"",INDEX(Array_StationaryCharges,MATCH($A152,List_StationaryFuelMeters,0),ROUNDUP((COLUMN()+1)/3-2,0))),"")</f>
        <v/>
      </c>
      <c r="AK152" s="127"/>
      <c r="AL152" s="127"/>
      <c r="AM152" s="58" t="str" cm="1">
        <f>IFERROR(IF(ISBLANK($A152),"",INDEX(Array_StationaryCharges,MATCH($A152,List_StationaryFuelMeters,0),ROUNDUP((COLUMN()+1)/3-2,0))),"")</f>
        <v/>
      </c>
      <c r="AN152" s="127"/>
      <c r="AO152" s="127"/>
      <c r="AP152" s="58" t="str" cm="1">
        <f>IFERROR(IF(ISBLANK($A152),"",INDEX(Array_StationaryCharges,MATCH($A152,List_StationaryFuelMeters,0),ROUNDUP((COLUMN()+1)/3-2,0))),"")</f>
        <v/>
      </c>
      <c r="AQ152" s="127"/>
      <c r="AR152" s="127"/>
      <c r="AS152" s="58" t="str" cm="1">
        <f>IFERROR(IF(ISBLANK($A152),"",INDEX(Array_StationaryCharges,MATCH($A152,List_StationaryFuelMeters,0),ROUNDUP((COLUMN()+1)/3-2,0))),"")</f>
        <v/>
      </c>
      <c r="AT152" s="127"/>
      <c r="AU152" s="127"/>
      <c r="AV152" s="58" t="str" cm="1">
        <f>IFERROR(IF(ISBLANK($A152),"",INDEX(Array_StationaryCharges,MATCH($A152,List_StationaryFuelMeters,0),ROUNDUP((COLUMN()+1)/3-2,0))),"")</f>
        <v/>
      </c>
      <c r="AW152" s="127"/>
      <c r="AX152" s="127"/>
    </row>
    <row r="153" spans="1:50" x14ac:dyDescent="0.3">
      <c r="A153" s="126"/>
      <c r="B153" s="133"/>
      <c r="C153" s="127"/>
      <c r="D153" s="138"/>
      <c r="E153" s="138"/>
      <c r="F153" s="58" t="str" cm="1">
        <f>IFERROR(IF(ISBLANK($A153),"",INDEX(Array_StationaryCharges,MATCH($A153,List_StationaryFuelMeters,0),ROUNDUP((COLUMN()+1)/3-2,0))),"")</f>
        <v/>
      </c>
      <c r="G153" s="127"/>
      <c r="H153" s="127"/>
      <c r="I153" s="58" t="str" cm="1">
        <f>IFERROR(IF(ISBLANK($A153),"",INDEX(Array_StationaryCharges,MATCH($A153,List_StationaryFuelMeters,0),ROUNDUP((COLUMN()+1)/3-2,0))),"")</f>
        <v/>
      </c>
      <c r="J153" s="127"/>
      <c r="K153" s="127"/>
      <c r="L153" s="58" t="str" cm="1">
        <f>IFERROR(IF(ISBLANK($A153),"",INDEX(Array_StationaryCharges,MATCH($A153,List_StationaryFuelMeters,0),ROUNDUP((COLUMN()+1)/3-2,0))),"")</f>
        <v/>
      </c>
      <c r="M153" s="127"/>
      <c r="N153" s="127"/>
      <c r="O153" s="58" t="str" cm="1">
        <f>IFERROR(IF(ISBLANK($A153),"",INDEX(Array_StationaryCharges,MATCH($A153,List_StationaryFuelMeters,0),ROUNDUP((COLUMN()+1)/3-2,0))),"")</f>
        <v/>
      </c>
      <c r="P153" s="127"/>
      <c r="Q153" s="127"/>
      <c r="R153" s="58" t="str" cm="1">
        <f>IFERROR(IF(ISBLANK($A153),"",INDEX(Array_StationaryCharges,MATCH($A153,List_StationaryFuelMeters,0),ROUNDUP((COLUMN()+1)/3-2,0))),"")</f>
        <v/>
      </c>
      <c r="S153" s="127"/>
      <c r="T153" s="127"/>
      <c r="U153" s="58" t="str" cm="1">
        <f>IFERROR(IF(ISBLANK($A153),"",INDEX(Array_StationaryCharges,MATCH($A153,List_StationaryFuelMeters,0),ROUNDUP((COLUMN()+1)/3-2,0))),"")</f>
        <v/>
      </c>
      <c r="V153" s="127"/>
      <c r="W153" s="127"/>
      <c r="X153" s="58" t="str" cm="1">
        <f>IFERROR(IF(ISBLANK($A153),"",INDEX(Array_StationaryCharges,MATCH($A153,List_StationaryFuelMeters,0),ROUNDUP((COLUMN()+1)/3-2,0))),"")</f>
        <v/>
      </c>
      <c r="Y153" s="127"/>
      <c r="Z153" s="127"/>
      <c r="AA153" s="58" t="str" cm="1">
        <f>IFERROR(IF(ISBLANK($A153),"",INDEX(Array_StationaryCharges,MATCH($A153,List_StationaryFuelMeters,0),ROUNDUP((COLUMN()+1)/3-2,0))),"")</f>
        <v/>
      </c>
      <c r="AB153" s="127"/>
      <c r="AC153" s="127"/>
      <c r="AD153" s="58" t="str" cm="1">
        <f>IFERROR(IF(ISBLANK($A153),"",INDEX(Array_StationaryCharges,MATCH($A153,List_StationaryFuelMeters,0),ROUNDUP((COLUMN()+1)/3-2,0))),"")</f>
        <v/>
      </c>
      <c r="AE153" s="127"/>
      <c r="AF153" s="127"/>
      <c r="AG153" s="58" t="str" cm="1">
        <f>IFERROR(IF(ISBLANK($A153),"",INDEX(Array_StationaryCharges,MATCH($A153,List_StationaryFuelMeters,0),ROUNDUP((COLUMN()+1)/3-2,0))),"")</f>
        <v/>
      </c>
      <c r="AH153" s="127"/>
      <c r="AI153" s="127"/>
      <c r="AJ153" s="58" t="str" cm="1">
        <f>IFERROR(IF(ISBLANK($A153),"",INDEX(Array_StationaryCharges,MATCH($A153,List_StationaryFuelMeters,0),ROUNDUP((COLUMN()+1)/3-2,0))),"")</f>
        <v/>
      </c>
      <c r="AK153" s="127"/>
      <c r="AL153" s="127"/>
      <c r="AM153" s="58" t="str" cm="1">
        <f>IFERROR(IF(ISBLANK($A153),"",INDEX(Array_StationaryCharges,MATCH($A153,List_StationaryFuelMeters,0),ROUNDUP((COLUMN()+1)/3-2,0))),"")</f>
        <v/>
      </c>
      <c r="AN153" s="127"/>
      <c r="AO153" s="127"/>
      <c r="AP153" s="58" t="str" cm="1">
        <f>IFERROR(IF(ISBLANK($A153),"",INDEX(Array_StationaryCharges,MATCH($A153,List_StationaryFuelMeters,0),ROUNDUP((COLUMN()+1)/3-2,0))),"")</f>
        <v/>
      </c>
      <c r="AQ153" s="127"/>
      <c r="AR153" s="127"/>
      <c r="AS153" s="58" t="str" cm="1">
        <f>IFERROR(IF(ISBLANK($A153),"",INDEX(Array_StationaryCharges,MATCH($A153,List_StationaryFuelMeters,0),ROUNDUP((COLUMN()+1)/3-2,0))),"")</f>
        <v/>
      </c>
      <c r="AT153" s="127"/>
      <c r="AU153" s="127"/>
      <c r="AV153" s="58" t="str" cm="1">
        <f>IFERROR(IF(ISBLANK($A153),"",INDEX(Array_StationaryCharges,MATCH($A153,List_StationaryFuelMeters,0),ROUNDUP((COLUMN()+1)/3-2,0))),"")</f>
        <v/>
      </c>
      <c r="AW153" s="127"/>
      <c r="AX153" s="127"/>
    </row>
    <row r="154" spans="1:50" x14ac:dyDescent="0.3">
      <c r="A154" s="126"/>
      <c r="B154" s="133"/>
      <c r="C154" s="127"/>
      <c r="D154" s="138"/>
      <c r="E154" s="138"/>
      <c r="F154" s="58" t="str" cm="1">
        <f>IFERROR(IF(ISBLANK($A154),"",INDEX(Array_StationaryCharges,MATCH($A154,List_StationaryFuelMeters,0),ROUNDUP((COLUMN()+1)/3-2,0))),"")</f>
        <v/>
      </c>
      <c r="G154" s="127"/>
      <c r="H154" s="127"/>
      <c r="I154" s="58" t="str" cm="1">
        <f>IFERROR(IF(ISBLANK($A154),"",INDEX(Array_StationaryCharges,MATCH($A154,List_StationaryFuelMeters,0),ROUNDUP((COLUMN()+1)/3-2,0))),"")</f>
        <v/>
      </c>
      <c r="J154" s="127"/>
      <c r="K154" s="127"/>
      <c r="L154" s="58" t="str" cm="1">
        <f>IFERROR(IF(ISBLANK($A154),"",INDEX(Array_StationaryCharges,MATCH($A154,List_StationaryFuelMeters,0),ROUNDUP((COLUMN()+1)/3-2,0))),"")</f>
        <v/>
      </c>
      <c r="M154" s="127"/>
      <c r="N154" s="127"/>
      <c r="O154" s="58" t="str" cm="1">
        <f>IFERROR(IF(ISBLANK($A154),"",INDEX(Array_StationaryCharges,MATCH($A154,List_StationaryFuelMeters,0),ROUNDUP((COLUMN()+1)/3-2,0))),"")</f>
        <v/>
      </c>
      <c r="P154" s="127"/>
      <c r="Q154" s="127"/>
      <c r="R154" s="58" t="str" cm="1">
        <f>IFERROR(IF(ISBLANK($A154),"",INDEX(Array_StationaryCharges,MATCH($A154,List_StationaryFuelMeters,0),ROUNDUP((COLUMN()+1)/3-2,0))),"")</f>
        <v/>
      </c>
      <c r="S154" s="127"/>
      <c r="T154" s="127"/>
      <c r="U154" s="58" t="str" cm="1">
        <f>IFERROR(IF(ISBLANK($A154),"",INDEX(Array_StationaryCharges,MATCH($A154,List_StationaryFuelMeters,0),ROUNDUP((COLUMN()+1)/3-2,0))),"")</f>
        <v/>
      </c>
      <c r="V154" s="127"/>
      <c r="W154" s="127"/>
      <c r="X154" s="58" t="str" cm="1">
        <f>IFERROR(IF(ISBLANK($A154),"",INDEX(Array_StationaryCharges,MATCH($A154,List_StationaryFuelMeters,0),ROUNDUP((COLUMN()+1)/3-2,0))),"")</f>
        <v/>
      </c>
      <c r="Y154" s="127"/>
      <c r="Z154" s="127"/>
      <c r="AA154" s="58" t="str" cm="1">
        <f>IFERROR(IF(ISBLANK($A154),"",INDEX(Array_StationaryCharges,MATCH($A154,List_StationaryFuelMeters,0),ROUNDUP((COLUMN()+1)/3-2,0))),"")</f>
        <v/>
      </c>
      <c r="AB154" s="127"/>
      <c r="AC154" s="127"/>
      <c r="AD154" s="58" t="str" cm="1">
        <f>IFERROR(IF(ISBLANK($A154),"",INDEX(Array_StationaryCharges,MATCH($A154,List_StationaryFuelMeters,0),ROUNDUP((COLUMN()+1)/3-2,0))),"")</f>
        <v/>
      </c>
      <c r="AE154" s="127"/>
      <c r="AF154" s="127"/>
      <c r="AG154" s="58" t="str" cm="1">
        <f>IFERROR(IF(ISBLANK($A154),"",INDEX(Array_StationaryCharges,MATCH($A154,List_StationaryFuelMeters,0),ROUNDUP((COLUMN()+1)/3-2,0))),"")</f>
        <v/>
      </c>
      <c r="AH154" s="127"/>
      <c r="AI154" s="127"/>
      <c r="AJ154" s="58" t="str" cm="1">
        <f>IFERROR(IF(ISBLANK($A154),"",INDEX(Array_StationaryCharges,MATCH($A154,List_StationaryFuelMeters,0),ROUNDUP((COLUMN()+1)/3-2,0))),"")</f>
        <v/>
      </c>
      <c r="AK154" s="127"/>
      <c r="AL154" s="127"/>
      <c r="AM154" s="58" t="str" cm="1">
        <f>IFERROR(IF(ISBLANK($A154),"",INDEX(Array_StationaryCharges,MATCH($A154,List_StationaryFuelMeters,0),ROUNDUP((COLUMN()+1)/3-2,0))),"")</f>
        <v/>
      </c>
      <c r="AN154" s="127"/>
      <c r="AO154" s="127"/>
      <c r="AP154" s="58" t="str" cm="1">
        <f>IFERROR(IF(ISBLANK($A154),"",INDEX(Array_StationaryCharges,MATCH($A154,List_StationaryFuelMeters,0),ROUNDUP((COLUMN()+1)/3-2,0))),"")</f>
        <v/>
      </c>
      <c r="AQ154" s="127"/>
      <c r="AR154" s="127"/>
      <c r="AS154" s="58" t="str" cm="1">
        <f>IFERROR(IF(ISBLANK($A154),"",INDEX(Array_StationaryCharges,MATCH($A154,List_StationaryFuelMeters,0),ROUNDUP((COLUMN()+1)/3-2,0))),"")</f>
        <v/>
      </c>
      <c r="AT154" s="127"/>
      <c r="AU154" s="127"/>
      <c r="AV154" s="58" t="str" cm="1">
        <f>IFERROR(IF(ISBLANK($A154),"",INDEX(Array_StationaryCharges,MATCH($A154,List_StationaryFuelMeters,0),ROUNDUP((COLUMN()+1)/3-2,0))),"")</f>
        <v/>
      </c>
      <c r="AW154" s="127"/>
      <c r="AX154" s="127"/>
    </row>
    <row r="155" spans="1:50" x14ac:dyDescent="0.3">
      <c r="A155" s="126"/>
      <c r="B155" s="133"/>
      <c r="C155" s="127"/>
      <c r="D155" s="138"/>
      <c r="E155" s="138"/>
      <c r="F155" s="58" t="str" cm="1">
        <f>IFERROR(IF(ISBLANK($A155),"",INDEX(Array_StationaryCharges,MATCH($A155,List_StationaryFuelMeters,0),ROUNDUP((COLUMN()+1)/3-2,0))),"")</f>
        <v/>
      </c>
      <c r="G155" s="127"/>
      <c r="H155" s="127"/>
      <c r="I155" s="58" t="str" cm="1">
        <f>IFERROR(IF(ISBLANK($A155),"",INDEX(Array_StationaryCharges,MATCH($A155,List_StationaryFuelMeters,0),ROUNDUP((COLUMN()+1)/3-2,0))),"")</f>
        <v/>
      </c>
      <c r="J155" s="127"/>
      <c r="K155" s="127"/>
      <c r="L155" s="58" t="str" cm="1">
        <f>IFERROR(IF(ISBLANK($A155),"",INDEX(Array_StationaryCharges,MATCH($A155,List_StationaryFuelMeters,0),ROUNDUP((COLUMN()+1)/3-2,0))),"")</f>
        <v/>
      </c>
      <c r="M155" s="127"/>
      <c r="N155" s="127"/>
      <c r="O155" s="58" t="str" cm="1">
        <f>IFERROR(IF(ISBLANK($A155),"",INDEX(Array_StationaryCharges,MATCH($A155,List_StationaryFuelMeters,0),ROUNDUP((COLUMN()+1)/3-2,0))),"")</f>
        <v/>
      </c>
      <c r="P155" s="127"/>
      <c r="Q155" s="127"/>
      <c r="R155" s="58" t="str" cm="1">
        <f>IFERROR(IF(ISBLANK($A155),"",INDEX(Array_StationaryCharges,MATCH($A155,List_StationaryFuelMeters,0),ROUNDUP((COLUMN()+1)/3-2,0))),"")</f>
        <v/>
      </c>
      <c r="S155" s="127"/>
      <c r="T155" s="127"/>
      <c r="U155" s="58" t="str" cm="1">
        <f>IFERROR(IF(ISBLANK($A155),"",INDEX(Array_StationaryCharges,MATCH($A155,List_StationaryFuelMeters,0),ROUNDUP((COLUMN()+1)/3-2,0))),"")</f>
        <v/>
      </c>
      <c r="V155" s="127"/>
      <c r="W155" s="127"/>
      <c r="X155" s="58" t="str" cm="1">
        <f>IFERROR(IF(ISBLANK($A155),"",INDEX(Array_StationaryCharges,MATCH($A155,List_StationaryFuelMeters,0),ROUNDUP((COLUMN()+1)/3-2,0))),"")</f>
        <v/>
      </c>
      <c r="Y155" s="127"/>
      <c r="Z155" s="127"/>
      <c r="AA155" s="58" t="str" cm="1">
        <f>IFERROR(IF(ISBLANK($A155),"",INDEX(Array_StationaryCharges,MATCH($A155,List_StationaryFuelMeters,0),ROUNDUP((COLUMN()+1)/3-2,0))),"")</f>
        <v/>
      </c>
      <c r="AB155" s="127"/>
      <c r="AC155" s="127"/>
      <c r="AD155" s="58" t="str" cm="1">
        <f>IFERROR(IF(ISBLANK($A155),"",INDEX(Array_StationaryCharges,MATCH($A155,List_StationaryFuelMeters,0),ROUNDUP((COLUMN()+1)/3-2,0))),"")</f>
        <v/>
      </c>
      <c r="AE155" s="127"/>
      <c r="AF155" s="127"/>
      <c r="AG155" s="58" t="str" cm="1">
        <f>IFERROR(IF(ISBLANK($A155),"",INDEX(Array_StationaryCharges,MATCH($A155,List_StationaryFuelMeters,0),ROUNDUP((COLUMN()+1)/3-2,0))),"")</f>
        <v/>
      </c>
      <c r="AH155" s="127"/>
      <c r="AI155" s="127"/>
      <c r="AJ155" s="58" t="str" cm="1">
        <f>IFERROR(IF(ISBLANK($A155),"",INDEX(Array_StationaryCharges,MATCH($A155,List_StationaryFuelMeters,0),ROUNDUP((COLUMN()+1)/3-2,0))),"")</f>
        <v/>
      </c>
      <c r="AK155" s="127"/>
      <c r="AL155" s="127"/>
      <c r="AM155" s="58" t="str" cm="1">
        <f>IFERROR(IF(ISBLANK($A155),"",INDEX(Array_StationaryCharges,MATCH($A155,List_StationaryFuelMeters,0),ROUNDUP((COLUMN()+1)/3-2,0))),"")</f>
        <v/>
      </c>
      <c r="AN155" s="127"/>
      <c r="AO155" s="127"/>
      <c r="AP155" s="58" t="str" cm="1">
        <f>IFERROR(IF(ISBLANK($A155),"",INDEX(Array_StationaryCharges,MATCH($A155,List_StationaryFuelMeters,0),ROUNDUP((COLUMN()+1)/3-2,0))),"")</f>
        <v/>
      </c>
      <c r="AQ155" s="127"/>
      <c r="AR155" s="127"/>
      <c r="AS155" s="58" t="str" cm="1">
        <f>IFERROR(IF(ISBLANK($A155),"",INDEX(Array_StationaryCharges,MATCH($A155,List_StationaryFuelMeters,0),ROUNDUP((COLUMN()+1)/3-2,0))),"")</f>
        <v/>
      </c>
      <c r="AT155" s="127"/>
      <c r="AU155" s="127"/>
      <c r="AV155" s="58" t="str" cm="1">
        <f>IFERROR(IF(ISBLANK($A155),"",INDEX(Array_StationaryCharges,MATCH($A155,List_StationaryFuelMeters,0),ROUNDUP((COLUMN()+1)/3-2,0))),"")</f>
        <v/>
      </c>
      <c r="AW155" s="127"/>
      <c r="AX155" s="127"/>
    </row>
    <row r="156" spans="1:50" x14ac:dyDescent="0.3">
      <c r="A156" s="126"/>
      <c r="B156" s="133"/>
      <c r="C156" s="127"/>
      <c r="D156" s="138"/>
      <c r="E156" s="138"/>
      <c r="F156" s="58" t="str" cm="1">
        <f>IFERROR(IF(ISBLANK($A156),"",INDEX(Array_StationaryCharges,MATCH($A156,List_StationaryFuelMeters,0),ROUNDUP((COLUMN()+1)/3-2,0))),"")</f>
        <v/>
      </c>
      <c r="G156" s="127"/>
      <c r="H156" s="127"/>
      <c r="I156" s="58" t="str" cm="1">
        <f>IFERROR(IF(ISBLANK($A156),"",INDEX(Array_StationaryCharges,MATCH($A156,List_StationaryFuelMeters,0),ROUNDUP((COLUMN()+1)/3-2,0))),"")</f>
        <v/>
      </c>
      <c r="J156" s="127"/>
      <c r="K156" s="127"/>
      <c r="L156" s="58" t="str" cm="1">
        <f>IFERROR(IF(ISBLANK($A156),"",INDEX(Array_StationaryCharges,MATCH($A156,List_StationaryFuelMeters,0),ROUNDUP((COLUMN()+1)/3-2,0))),"")</f>
        <v/>
      </c>
      <c r="M156" s="127"/>
      <c r="N156" s="127"/>
      <c r="O156" s="58" t="str" cm="1">
        <f>IFERROR(IF(ISBLANK($A156),"",INDEX(Array_StationaryCharges,MATCH($A156,List_StationaryFuelMeters,0),ROUNDUP((COLUMN()+1)/3-2,0))),"")</f>
        <v/>
      </c>
      <c r="P156" s="127"/>
      <c r="Q156" s="127"/>
      <c r="R156" s="58" t="str" cm="1">
        <f>IFERROR(IF(ISBLANK($A156),"",INDEX(Array_StationaryCharges,MATCH($A156,List_StationaryFuelMeters,0),ROUNDUP((COLUMN()+1)/3-2,0))),"")</f>
        <v/>
      </c>
      <c r="S156" s="127"/>
      <c r="T156" s="127"/>
      <c r="U156" s="58" t="str" cm="1">
        <f>IFERROR(IF(ISBLANK($A156),"",INDEX(Array_StationaryCharges,MATCH($A156,List_StationaryFuelMeters,0),ROUNDUP((COLUMN()+1)/3-2,0))),"")</f>
        <v/>
      </c>
      <c r="V156" s="127"/>
      <c r="W156" s="127"/>
      <c r="X156" s="58" t="str" cm="1">
        <f>IFERROR(IF(ISBLANK($A156),"",INDEX(Array_StationaryCharges,MATCH($A156,List_StationaryFuelMeters,0),ROUNDUP((COLUMN()+1)/3-2,0))),"")</f>
        <v/>
      </c>
      <c r="Y156" s="127"/>
      <c r="Z156" s="127"/>
      <c r="AA156" s="58" t="str" cm="1">
        <f>IFERROR(IF(ISBLANK($A156),"",INDEX(Array_StationaryCharges,MATCH($A156,List_StationaryFuelMeters,0),ROUNDUP((COLUMN()+1)/3-2,0))),"")</f>
        <v/>
      </c>
      <c r="AB156" s="127"/>
      <c r="AC156" s="127"/>
      <c r="AD156" s="58" t="str" cm="1">
        <f>IFERROR(IF(ISBLANK($A156),"",INDEX(Array_StationaryCharges,MATCH($A156,List_StationaryFuelMeters,0),ROUNDUP((COLUMN()+1)/3-2,0))),"")</f>
        <v/>
      </c>
      <c r="AE156" s="127"/>
      <c r="AF156" s="127"/>
      <c r="AG156" s="58" t="str" cm="1">
        <f>IFERROR(IF(ISBLANK($A156),"",INDEX(Array_StationaryCharges,MATCH($A156,List_StationaryFuelMeters,0),ROUNDUP((COLUMN()+1)/3-2,0))),"")</f>
        <v/>
      </c>
      <c r="AH156" s="127"/>
      <c r="AI156" s="127"/>
      <c r="AJ156" s="58" t="str" cm="1">
        <f>IFERROR(IF(ISBLANK($A156),"",INDEX(Array_StationaryCharges,MATCH($A156,List_StationaryFuelMeters,0),ROUNDUP((COLUMN()+1)/3-2,0))),"")</f>
        <v/>
      </c>
      <c r="AK156" s="127"/>
      <c r="AL156" s="127"/>
      <c r="AM156" s="58" t="str" cm="1">
        <f>IFERROR(IF(ISBLANK($A156),"",INDEX(Array_StationaryCharges,MATCH($A156,List_StationaryFuelMeters,0),ROUNDUP((COLUMN()+1)/3-2,0))),"")</f>
        <v/>
      </c>
      <c r="AN156" s="127"/>
      <c r="AO156" s="127"/>
      <c r="AP156" s="58" t="str" cm="1">
        <f>IFERROR(IF(ISBLANK($A156),"",INDEX(Array_StationaryCharges,MATCH($A156,List_StationaryFuelMeters,0),ROUNDUP((COLUMN()+1)/3-2,0))),"")</f>
        <v/>
      </c>
      <c r="AQ156" s="127"/>
      <c r="AR156" s="127"/>
      <c r="AS156" s="58" t="str" cm="1">
        <f>IFERROR(IF(ISBLANK($A156),"",INDEX(Array_StationaryCharges,MATCH($A156,List_StationaryFuelMeters,0),ROUNDUP((COLUMN()+1)/3-2,0))),"")</f>
        <v/>
      </c>
      <c r="AT156" s="127"/>
      <c r="AU156" s="127"/>
      <c r="AV156" s="58" t="str" cm="1">
        <f>IFERROR(IF(ISBLANK($A156),"",INDEX(Array_StationaryCharges,MATCH($A156,List_StationaryFuelMeters,0),ROUNDUP((COLUMN()+1)/3-2,0))),"")</f>
        <v/>
      </c>
      <c r="AW156" s="127"/>
      <c r="AX156" s="127"/>
    </row>
    <row r="157" spans="1:50" x14ac:dyDescent="0.3">
      <c r="A157" s="126"/>
      <c r="B157" s="133"/>
      <c r="C157" s="127"/>
      <c r="D157" s="138"/>
      <c r="E157" s="138"/>
      <c r="F157" s="58" t="str" cm="1">
        <f>IFERROR(IF(ISBLANK($A157),"",INDEX(Array_StationaryCharges,MATCH($A157,List_StationaryFuelMeters,0),ROUNDUP((COLUMN()+1)/3-2,0))),"")</f>
        <v/>
      </c>
      <c r="G157" s="127"/>
      <c r="H157" s="127"/>
      <c r="I157" s="58" t="str" cm="1">
        <f>IFERROR(IF(ISBLANK($A157),"",INDEX(Array_StationaryCharges,MATCH($A157,List_StationaryFuelMeters,0),ROUNDUP((COLUMN()+1)/3-2,0))),"")</f>
        <v/>
      </c>
      <c r="J157" s="127"/>
      <c r="K157" s="127"/>
      <c r="L157" s="58" t="str" cm="1">
        <f>IFERROR(IF(ISBLANK($A157),"",INDEX(Array_StationaryCharges,MATCH($A157,List_StationaryFuelMeters,0),ROUNDUP((COLUMN()+1)/3-2,0))),"")</f>
        <v/>
      </c>
      <c r="M157" s="127"/>
      <c r="N157" s="127"/>
      <c r="O157" s="58" t="str" cm="1">
        <f>IFERROR(IF(ISBLANK($A157),"",INDEX(Array_StationaryCharges,MATCH($A157,List_StationaryFuelMeters,0),ROUNDUP((COLUMN()+1)/3-2,0))),"")</f>
        <v/>
      </c>
      <c r="P157" s="127"/>
      <c r="Q157" s="127"/>
      <c r="R157" s="58" t="str" cm="1">
        <f>IFERROR(IF(ISBLANK($A157),"",INDEX(Array_StationaryCharges,MATCH($A157,List_StationaryFuelMeters,0),ROUNDUP((COLUMN()+1)/3-2,0))),"")</f>
        <v/>
      </c>
      <c r="S157" s="127"/>
      <c r="T157" s="127"/>
      <c r="U157" s="58" t="str" cm="1">
        <f>IFERROR(IF(ISBLANK($A157),"",INDEX(Array_StationaryCharges,MATCH($A157,List_StationaryFuelMeters,0),ROUNDUP((COLUMN()+1)/3-2,0))),"")</f>
        <v/>
      </c>
      <c r="V157" s="127"/>
      <c r="W157" s="127"/>
      <c r="X157" s="58" t="str" cm="1">
        <f>IFERROR(IF(ISBLANK($A157),"",INDEX(Array_StationaryCharges,MATCH($A157,List_StationaryFuelMeters,0),ROUNDUP((COLUMN()+1)/3-2,0))),"")</f>
        <v/>
      </c>
      <c r="Y157" s="127"/>
      <c r="Z157" s="127"/>
      <c r="AA157" s="58" t="str" cm="1">
        <f>IFERROR(IF(ISBLANK($A157),"",INDEX(Array_StationaryCharges,MATCH($A157,List_StationaryFuelMeters,0),ROUNDUP((COLUMN()+1)/3-2,0))),"")</f>
        <v/>
      </c>
      <c r="AB157" s="127"/>
      <c r="AC157" s="127"/>
      <c r="AD157" s="58" t="str" cm="1">
        <f>IFERROR(IF(ISBLANK($A157),"",INDEX(Array_StationaryCharges,MATCH($A157,List_StationaryFuelMeters,0),ROUNDUP((COLUMN()+1)/3-2,0))),"")</f>
        <v/>
      </c>
      <c r="AE157" s="127"/>
      <c r="AF157" s="127"/>
      <c r="AG157" s="58" t="str" cm="1">
        <f>IFERROR(IF(ISBLANK($A157),"",INDEX(Array_StationaryCharges,MATCH($A157,List_StationaryFuelMeters,0),ROUNDUP((COLUMN()+1)/3-2,0))),"")</f>
        <v/>
      </c>
      <c r="AH157" s="127"/>
      <c r="AI157" s="127"/>
      <c r="AJ157" s="58" t="str" cm="1">
        <f>IFERROR(IF(ISBLANK($A157),"",INDEX(Array_StationaryCharges,MATCH($A157,List_StationaryFuelMeters,0),ROUNDUP((COLUMN()+1)/3-2,0))),"")</f>
        <v/>
      </c>
      <c r="AK157" s="127"/>
      <c r="AL157" s="127"/>
      <c r="AM157" s="58" t="str" cm="1">
        <f>IFERROR(IF(ISBLANK($A157),"",INDEX(Array_StationaryCharges,MATCH($A157,List_StationaryFuelMeters,0),ROUNDUP((COLUMN()+1)/3-2,0))),"")</f>
        <v/>
      </c>
      <c r="AN157" s="127"/>
      <c r="AO157" s="127"/>
      <c r="AP157" s="58" t="str" cm="1">
        <f>IFERROR(IF(ISBLANK($A157),"",INDEX(Array_StationaryCharges,MATCH($A157,List_StationaryFuelMeters,0),ROUNDUP((COLUMN()+1)/3-2,0))),"")</f>
        <v/>
      </c>
      <c r="AQ157" s="127"/>
      <c r="AR157" s="127"/>
      <c r="AS157" s="58" t="str" cm="1">
        <f>IFERROR(IF(ISBLANK($A157),"",INDEX(Array_StationaryCharges,MATCH($A157,List_StationaryFuelMeters,0),ROUNDUP((COLUMN()+1)/3-2,0))),"")</f>
        <v/>
      </c>
      <c r="AT157" s="127"/>
      <c r="AU157" s="127"/>
      <c r="AV157" s="58" t="str" cm="1">
        <f>IFERROR(IF(ISBLANK($A157),"",INDEX(Array_StationaryCharges,MATCH($A157,List_StationaryFuelMeters,0),ROUNDUP((COLUMN()+1)/3-2,0))),"")</f>
        <v/>
      </c>
      <c r="AW157" s="127"/>
      <c r="AX157" s="127"/>
    </row>
    <row r="158" spans="1:50" x14ac:dyDescent="0.3">
      <c r="A158" s="126"/>
      <c r="B158" s="133"/>
      <c r="C158" s="127"/>
      <c r="D158" s="138"/>
      <c r="E158" s="138"/>
      <c r="F158" s="58" t="str" cm="1">
        <f>IFERROR(IF(ISBLANK($A158),"",INDEX(Array_StationaryCharges,MATCH($A158,List_StationaryFuelMeters,0),ROUNDUP((COLUMN()+1)/3-2,0))),"")</f>
        <v/>
      </c>
      <c r="G158" s="127"/>
      <c r="H158" s="127"/>
      <c r="I158" s="58" t="str" cm="1">
        <f>IFERROR(IF(ISBLANK($A158),"",INDEX(Array_StationaryCharges,MATCH($A158,List_StationaryFuelMeters,0),ROUNDUP((COLUMN()+1)/3-2,0))),"")</f>
        <v/>
      </c>
      <c r="J158" s="127"/>
      <c r="K158" s="127"/>
      <c r="L158" s="58" t="str" cm="1">
        <f>IFERROR(IF(ISBLANK($A158),"",INDEX(Array_StationaryCharges,MATCH($A158,List_StationaryFuelMeters,0),ROUNDUP((COLUMN()+1)/3-2,0))),"")</f>
        <v/>
      </c>
      <c r="M158" s="127"/>
      <c r="N158" s="127"/>
      <c r="O158" s="58" t="str" cm="1">
        <f>IFERROR(IF(ISBLANK($A158),"",INDEX(Array_StationaryCharges,MATCH($A158,List_StationaryFuelMeters,0),ROUNDUP((COLUMN()+1)/3-2,0))),"")</f>
        <v/>
      </c>
      <c r="P158" s="127"/>
      <c r="Q158" s="127"/>
      <c r="R158" s="58" t="str" cm="1">
        <f>IFERROR(IF(ISBLANK($A158),"",INDEX(Array_StationaryCharges,MATCH($A158,List_StationaryFuelMeters,0),ROUNDUP((COLUMN()+1)/3-2,0))),"")</f>
        <v/>
      </c>
      <c r="S158" s="127"/>
      <c r="T158" s="127"/>
      <c r="U158" s="58" t="str" cm="1">
        <f>IFERROR(IF(ISBLANK($A158),"",INDEX(Array_StationaryCharges,MATCH($A158,List_StationaryFuelMeters,0),ROUNDUP((COLUMN()+1)/3-2,0))),"")</f>
        <v/>
      </c>
      <c r="V158" s="127"/>
      <c r="W158" s="127"/>
      <c r="X158" s="58" t="str" cm="1">
        <f>IFERROR(IF(ISBLANK($A158),"",INDEX(Array_StationaryCharges,MATCH($A158,List_StationaryFuelMeters,0),ROUNDUP((COLUMN()+1)/3-2,0))),"")</f>
        <v/>
      </c>
      <c r="Y158" s="127"/>
      <c r="Z158" s="127"/>
      <c r="AA158" s="58" t="str" cm="1">
        <f>IFERROR(IF(ISBLANK($A158),"",INDEX(Array_StationaryCharges,MATCH($A158,List_StationaryFuelMeters,0),ROUNDUP((COLUMN()+1)/3-2,0))),"")</f>
        <v/>
      </c>
      <c r="AB158" s="127"/>
      <c r="AC158" s="127"/>
      <c r="AD158" s="58" t="str" cm="1">
        <f>IFERROR(IF(ISBLANK($A158),"",INDEX(Array_StationaryCharges,MATCH($A158,List_StationaryFuelMeters,0),ROUNDUP((COLUMN()+1)/3-2,0))),"")</f>
        <v/>
      </c>
      <c r="AE158" s="127"/>
      <c r="AF158" s="127"/>
      <c r="AG158" s="58" t="str" cm="1">
        <f>IFERROR(IF(ISBLANK($A158),"",INDEX(Array_StationaryCharges,MATCH($A158,List_StationaryFuelMeters,0),ROUNDUP((COLUMN()+1)/3-2,0))),"")</f>
        <v/>
      </c>
      <c r="AH158" s="127"/>
      <c r="AI158" s="127"/>
      <c r="AJ158" s="58" t="str" cm="1">
        <f>IFERROR(IF(ISBLANK($A158),"",INDEX(Array_StationaryCharges,MATCH($A158,List_StationaryFuelMeters,0),ROUNDUP((COLUMN()+1)/3-2,0))),"")</f>
        <v/>
      </c>
      <c r="AK158" s="127"/>
      <c r="AL158" s="127"/>
      <c r="AM158" s="58" t="str" cm="1">
        <f>IFERROR(IF(ISBLANK($A158),"",INDEX(Array_StationaryCharges,MATCH($A158,List_StationaryFuelMeters,0),ROUNDUP((COLUMN()+1)/3-2,0))),"")</f>
        <v/>
      </c>
      <c r="AN158" s="127"/>
      <c r="AO158" s="127"/>
      <c r="AP158" s="58" t="str" cm="1">
        <f>IFERROR(IF(ISBLANK($A158),"",INDEX(Array_StationaryCharges,MATCH($A158,List_StationaryFuelMeters,0),ROUNDUP((COLUMN()+1)/3-2,0))),"")</f>
        <v/>
      </c>
      <c r="AQ158" s="127"/>
      <c r="AR158" s="127"/>
      <c r="AS158" s="58" t="str" cm="1">
        <f>IFERROR(IF(ISBLANK($A158),"",INDEX(Array_StationaryCharges,MATCH($A158,List_StationaryFuelMeters,0),ROUNDUP((COLUMN()+1)/3-2,0))),"")</f>
        <v/>
      </c>
      <c r="AT158" s="127"/>
      <c r="AU158" s="127"/>
      <c r="AV158" s="58" t="str" cm="1">
        <f>IFERROR(IF(ISBLANK($A158),"",INDEX(Array_StationaryCharges,MATCH($A158,List_StationaryFuelMeters,0),ROUNDUP((COLUMN()+1)/3-2,0))),"")</f>
        <v/>
      </c>
      <c r="AW158" s="127"/>
      <c r="AX158" s="127"/>
    </row>
    <row r="159" spans="1:50" x14ac:dyDescent="0.3">
      <c r="A159" s="126"/>
      <c r="B159" s="133"/>
      <c r="C159" s="127"/>
      <c r="D159" s="138"/>
      <c r="E159" s="138"/>
      <c r="F159" s="58" t="str" cm="1">
        <f>IFERROR(IF(ISBLANK($A159),"",INDEX(Array_StationaryCharges,MATCH($A159,List_StationaryFuelMeters,0),ROUNDUP((COLUMN()+1)/3-2,0))),"")</f>
        <v/>
      </c>
      <c r="G159" s="127"/>
      <c r="H159" s="127"/>
      <c r="I159" s="58" t="str" cm="1">
        <f>IFERROR(IF(ISBLANK($A159),"",INDEX(Array_StationaryCharges,MATCH($A159,List_StationaryFuelMeters,0),ROUNDUP((COLUMN()+1)/3-2,0))),"")</f>
        <v/>
      </c>
      <c r="J159" s="127"/>
      <c r="K159" s="127"/>
      <c r="L159" s="58" t="str" cm="1">
        <f>IFERROR(IF(ISBLANK($A159),"",INDEX(Array_StationaryCharges,MATCH($A159,List_StationaryFuelMeters,0),ROUNDUP((COLUMN()+1)/3-2,0))),"")</f>
        <v/>
      </c>
      <c r="M159" s="127"/>
      <c r="N159" s="127"/>
      <c r="O159" s="58" t="str" cm="1">
        <f>IFERROR(IF(ISBLANK($A159),"",INDEX(Array_StationaryCharges,MATCH($A159,List_StationaryFuelMeters,0),ROUNDUP((COLUMN()+1)/3-2,0))),"")</f>
        <v/>
      </c>
      <c r="P159" s="127"/>
      <c r="Q159" s="127"/>
      <c r="R159" s="58" t="str" cm="1">
        <f>IFERROR(IF(ISBLANK($A159),"",INDEX(Array_StationaryCharges,MATCH($A159,List_StationaryFuelMeters,0),ROUNDUP((COLUMN()+1)/3-2,0))),"")</f>
        <v/>
      </c>
      <c r="S159" s="127"/>
      <c r="T159" s="127"/>
      <c r="U159" s="58" t="str" cm="1">
        <f>IFERROR(IF(ISBLANK($A159),"",INDEX(Array_StationaryCharges,MATCH($A159,List_StationaryFuelMeters,0),ROUNDUP((COLUMN()+1)/3-2,0))),"")</f>
        <v/>
      </c>
      <c r="V159" s="127"/>
      <c r="W159" s="127"/>
      <c r="X159" s="58" t="str" cm="1">
        <f>IFERROR(IF(ISBLANK($A159),"",INDEX(Array_StationaryCharges,MATCH($A159,List_StationaryFuelMeters,0),ROUNDUP((COLUMN()+1)/3-2,0))),"")</f>
        <v/>
      </c>
      <c r="Y159" s="127"/>
      <c r="Z159" s="127"/>
      <c r="AA159" s="58" t="str" cm="1">
        <f>IFERROR(IF(ISBLANK($A159),"",INDEX(Array_StationaryCharges,MATCH($A159,List_StationaryFuelMeters,0),ROUNDUP((COLUMN()+1)/3-2,0))),"")</f>
        <v/>
      </c>
      <c r="AB159" s="127"/>
      <c r="AC159" s="127"/>
      <c r="AD159" s="58" t="str" cm="1">
        <f>IFERROR(IF(ISBLANK($A159),"",INDEX(Array_StationaryCharges,MATCH($A159,List_StationaryFuelMeters,0),ROUNDUP((COLUMN()+1)/3-2,0))),"")</f>
        <v/>
      </c>
      <c r="AE159" s="127"/>
      <c r="AF159" s="127"/>
      <c r="AG159" s="58" t="str" cm="1">
        <f>IFERROR(IF(ISBLANK($A159),"",INDEX(Array_StationaryCharges,MATCH($A159,List_StationaryFuelMeters,0),ROUNDUP((COLUMN()+1)/3-2,0))),"")</f>
        <v/>
      </c>
      <c r="AH159" s="127"/>
      <c r="AI159" s="127"/>
      <c r="AJ159" s="58" t="str" cm="1">
        <f>IFERROR(IF(ISBLANK($A159),"",INDEX(Array_StationaryCharges,MATCH($A159,List_StationaryFuelMeters,0),ROUNDUP((COLUMN()+1)/3-2,0))),"")</f>
        <v/>
      </c>
      <c r="AK159" s="127"/>
      <c r="AL159" s="127"/>
      <c r="AM159" s="58" t="str" cm="1">
        <f>IFERROR(IF(ISBLANK($A159),"",INDEX(Array_StationaryCharges,MATCH($A159,List_StationaryFuelMeters,0),ROUNDUP((COLUMN()+1)/3-2,0))),"")</f>
        <v/>
      </c>
      <c r="AN159" s="127"/>
      <c r="AO159" s="127"/>
      <c r="AP159" s="58" t="str" cm="1">
        <f>IFERROR(IF(ISBLANK($A159),"",INDEX(Array_StationaryCharges,MATCH($A159,List_StationaryFuelMeters,0),ROUNDUP((COLUMN()+1)/3-2,0))),"")</f>
        <v/>
      </c>
      <c r="AQ159" s="127"/>
      <c r="AR159" s="127"/>
      <c r="AS159" s="58" t="str" cm="1">
        <f>IFERROR(IF(ISBLANK($A159),"",INDEX(Array_StationaryCharges,MATCH($A159,List_StationaryFuelMeters,0),ROUNDUP((COLUMN()+1)/3-2,0))),"")</f>
        <v/>
      </c>
      <c r="AT159" s="127"/>
      <c r="AU159" s="127"/>
      <c r="AV159" s="58" t="str" cm="1">
        <f>IFERROR(IF(ISBLANK($A159),"",INDEX(Array_StationaryCharges,MATCH($A159,List_StationaryFuelMeters,0),ROUNDUP((COLUMN()+1)/3-2,0))),"")</f>
        <v/>
      </c>
      <c r="AW159" s="127"/>
      <c r="AX159" s="127"/>
    </row>
    <row r="160" spans="1:50" x14ac:dyDescent="0.3">
      <c r="A160" s="126"/>
      <c r="B160" s="133"/>
      <c r="C160" s="127"/>
      <c r="D160" s="138"/>
      <c r="E160" s="138"/>
      <c r="F160" s="58" t="str" cm="1">
        <f>IFERROR(IF(ISBLANK($A160),"",INDEX(Array_StationaryCharges,MATCH($A160,List_StationaryFuelMeters,0),ROUNDUP((COLUMN()+1)/3-2,0))),"")</f>
        <v/>
      </c>
      <c r="G160" s="127"/>
      <c r="H160" s="127"/>
      <c r="I160" s="58" t="str" cm="1">
        <f>IFERROR(IF(ISBLANK($A160),"",INDEX(Array_StationaryCharges,MATCH($A160,List_StationaryFuelMeters,0),ROUNDUP((COLUMN()+1)/3-2,0))),"")</f>
        <v/>
      </c>
      <c r="J160" s="127"/>
      <c r="K160" s="127"/>
      <c r="L160" s="58" t="str" cm="1">
        <f>IFERROR(IF(ISBLANK($A160),"",INDEX(Array_StationaryCharges,MATCH($A160,List_StationaryFuelMeters,0),ROUNDUP((COLUMN()+1)/3-2,0))),"")</f>
        <v/>
      </c>
      <c r="M160" s="127"/>
      <c r="N160" s="127"/>
      <c r="O160" s="58" t="str" cm="1">
        <f>IFERROR(IF(ISBLANK($A160),"",INDEX(Array_StationaryCharges,MATCH($A160,List_StationaryFuelMeters,0),ROUNDUP((COLUMN()+1)/3-2,0))),"")</f>
        <v/>
      </c>
      <c r="P160" s="127"/>
      <c r="Q160" s="127"/>
      <c r="R160" s="58" t="str" cm="1">
        <f>IFERROR(IF(ISBLANK($A160),"",INDEX(Array_StationaryCharges,MATCH($A160,List_StationaryFuelMeters,0),ROUNDUP((COLUMN()+1)/3-2,0))),"")</f>
        <v/>
      </c>
      <c r="S160" s="127"/>
      <c r="T160" s="127"/>
      <c r="U160" s="58" t="str" cm="1">
        <f>IFERROR(IF(ISBLANK($A160),"",INDEX(Array_StationaryCharges,MATCH($A160,List_StationaryFuelMeters,0),ROUNDUP((COLUMN()+1)/3-2,0))),"")</f>
        <v/>
      </c>
      <c r="V160" s="127"/>
      <c r="W160" s="127"/>
      <c r="X160" s="58" t="str" cm="1">
        <f>IFERROR(IF(ISBLANK($A160),"",INDEX(Array_StationaryCharges,MATCH($A160,List_StationaryFuelMeters,0),ROUNDUP((COLUMN()+1)/3-2,0))),"")</f>
        <v/>
      </c>
      <c r="Y160" s="127"/>
      <c r="Z160" s="127"/>
      <c r="AA160" s="58" t="str" cm="1">
        <f>IFERROR(IF(ISBLANK($A160),"",INDEX(Array_StationaryCharges,MATCH($A160,List_StationaryFuelMeters,0),ROUNDUP((COLUMN()+1)/3-2,0))),"")</f>
        <v/>
      </c>
      <c r="AB160" s="127"/>
      <c r="AC160" s="127"/>
      <c r="AD160" s="58" t="str" cm="1">
        <f>IFERROR(IF(ISBLANK($A160),"",INDEX(Array_StationaryCharges,MATCH($A160,List_StationaryFuelMeters,0),ROUNDUP((COLUMN()+1)/3-2,0))),"")</f>
        <v/>
      </c>
      <c r="AE160" s="127"/>
      <c r="AF160" s="127"/>
      <c r="AG160" s="58" t="str" cm="1">
        <f>IFERROR(IF(ISBLANK($A160),"",INDEX(Array_StationaryCharges,MATCH($A160,List_StationaryFuelMeters,0),ROUNDUP((COLUMN()+1)/3-2,0))),"")</f>
        <v/>
      </c>
      <c r="AH160" s="127"/>
      <c r="AI160" s="127"/>
      <c r="AJ160" s="58" t="str" cm="1">
        <f>IFERROR(IF(ISBLANK($A160),"",INDEX(Array_StationaryCharges,MATCH($A160,List_StationaryFuelMeters,0),ROUNDUP((COLUMN()+1)/3-2,0))),"")</f>
        <v/>
      </c>
      <c r="AK160" s="127"/>
      <c r="AL160" s="127"/>
      <c r="AM160" s="58" t="str" cm="1">
        <f>IFERROR(IF(ISBLANK($A160),"",INDEX(Array_StationaryCharges,MATCH($A160,List_StationaryFuelMeters,0),ROUNDUP((COLUMN()+1)/3-2,0))),"")</f>
        <v/>
      </c>
      <c r="AN160" s="127"/>
      <c r="AO160" s="127"/>
      <c r="AP160" s="58" t="str" cm="1">
        <f>IFERROR(IF(ISBLANK($A160),"",INDEX(Array_StationaryCharges,MATCH($A160,List_StationaryFuelMeters,0),ROUNDUP((COLUMN()+1)/3-2,0))),"")</f>
        <v/>
      </c>
      <c r="AQ160" s="127"/>
      <c r="AR160" s="127"/>
      <c r="AS160" s="58" t="str" cm="1">
        <f>IFERROR(IF(ISBLANK($A160),"",INDEX(Array_StationaryCharges,MATCH($A160,List_StationaryFuelMeters,0),ROUNDUP((COLUMN()+1)/3-2,0))),"")</f>
        <v/>
      </c>
      <c r="AT160" s="127"/>
      <c r="AU160" s="127"/>
      <c r="AV160" s="58" t="str" cm="1">
        <f>IFERROR(IF(ISBLANK($A160),"",INDEX(Array_StationaryCharges,MATCH($A160,List_StationaryFuelMeters,0),ROUNDUP((COLUMN()+1)/3-2,0))),"")</f>
        <v/>
      </c>
      <c r="AW160" s="127"/>
      <c r="AX160" s="127"/>
    </row>
    <row r="161" spans="1:50" x14ac:dyDescent="0.3">
      <c r="A161" s="126"/>
      <c r="B161" s="133"/>
      <c r="C161" s="127"/>
      <c r="D161" s="138"/>
      <c r="E161" s="138"/>
      <c r="F161" s="58" t="str" cm="1">
        <f>IFERROR(IF(ISBLANK($A161),"",INDEX(Array_StationaryCharges,MATCH($A161,List_StationaryFuelMeters,0),ROUNDUP((COLUMN()+1)/3-2,0))),"")</f>
        <v/>
      </c>
      <c r="G161" s="127"/>
      <c r="H161" s="127"/>
      <c r="I161" s="58" t="str" cm="1">
        <f>IFERROR(IF(ISBLANK($A161),"",INDEX(Array_StationaryCharges,MATCH($A161,List_StationaryFuelMeters,0),ROUNDUP((COLUMN()+1)/3-2,0))),"")</f>
        <v/>
      </c>
      <c r="J161" s="127"/>
      <c r="K161" s="127"/>
      <c r="L161" s="58" t="str" cm="1">
        <f>IFERROR(IF(ISBLANK($A161),"",INDEX(Array_StationaryCharges,MATCH($A161,List_StationaryFuelMeters,0),ROUNDUP((COLUMN()+1)/3-2,0))),"")</f>
        <v/>
      </c>
      <c r="M161" s="127"/>
      <c r="N161" s="127"/>
      <c r="O161" s="58" t="str" cm="1">
        <f>IFERROR(IF(ISBLANK($A161),"",INDEX(Array_StationaryCharges,MATCH($A161,List_StationaryFuelMeters,0),ROUNDUP((COLUMN()+1)/3-2,0))),"")</f>
        <v/>
      </c>
      <c r="P161" s="127"/>
      <c r="Q161" s="127"/>
      <c r="R161" s="58" t="str" cm="1">
        <f>IFERROR(IF(ISBLANK($A161),"",INDEX(Array_StationaryCharges,MATCH($A161,List_StationaryFuelMeters,0),ROUNDUP((COLUMN()+1)/3-2,0))),"")</f>
        <v/>
      </c>
      <c r="S161" s="127"/>
      <c r="T161" s="127"/>
      <c r="U161" s="58" t="str" cm="1">
        <f>IFERROR(IF(ISBLANK($A161),"",INDEX(Array_StationaryCharges,MATCH($A161,List_StationaryFuelMeters,0),ROUNDUP((COLUMN()+1)/3-2,0))),"")</f>
        <v/>
      </c>
      <c r="V161" s="127"/>
      <c r="W161" s="127"/>
      <c r="X161" s="58" t="str" cm="1">
        <f>IFERROR(IF(ISBLANK($A161),"",INDEX(Array_StationaryCharges,MATCH($A161,List_StationaryFuelMeters,0),ROUNDUP((COLUMN()+1)/3-2,0))),"")</f>
        <v/>
      </c>
      <c r="Y161" s="127"/>
      <c r="Z161" s="127"/>
      <c r="AA161" s="58" t="str" cm="1">
        <f>IFERROR(IF(ISBLANK($A161),"",INDEX(Array_StationaryCharges,MATCH($A161,List_StationaryFuelMeters,0),ROUNDUP((COLUMN()+1)/3-2,0))),"")</f>
        <v/>
      </c>
      <c r="AB161" s="127"/>
      <c r="AC161" s="127"/>
      <c r="AD161" s="58" t="str" cm="1">
        <f>IFERROR(IF(ISBLANK($A161),"",INDEX(Array_StationaryCharges,MATCH($A161,List_StationaryFuelMeters,0),ROUNDUP((COLUMN()+1)/3-2,0))),"")</f>
        <v/>
      </c>
      <c r="AE161" s="127"/>
      <c r="AF161" s="127"/>
      <c r="AG161" s="58" t="str" cm="1">
        <f>IFERROR(IF(ISBLANK($A161),"",INDEX(Array_StationaryCharges,MATCH($A161,List_StationaryFuelMeters,0),ROUNDUP((COLUMN()+1)/3-2,0))),"")</f>
        <v/>
      </c>
      <c r="AH161" s="127"/>
      <c r="AI161" s="127"/>
      <c r="AJ161" s="58" t="str" cm="1">
        <f>IFERROR(IF(ISBLANK($A161),"",INDEX(Array_StationaryCharges,MATCH($A161,List_StationaryFuelMeters,0),ROUNDUP((COLUMN()+1)/3-2,0))),"")</f>
        <v/>
      </c>
      <c r="AK161" s="127"/>
      <c r="AL161" s="127"/>
      <c r="AM161" s="58" t="str" cm="1">
        <f>IFERROR(IF(ISBLANK($A161),"",INDEX(Array_StationaryCharges,MATCH($A161,List_StationaryFuelMeters,0),ROUNDUP((COLUMN()+1)/3-2,0))),"")</f>
        <v/>
      </c>
      <c r="AN161" s="127"/>
      <c r="AO161" s="127"/>
      <c r="AP161" s="58" t="str" cm="1">
        <f>IFERROR(IF(ISBLANK($A161),"",INDEX(Array_StationaryCharges,MATCH($A161,List_StationaryFuelMeters,0),ROUNDUP((COLUMN()+1)/3-2,0))),"")</f>
        <v/>
      </c>
      <c r="AQ161" s="127"/>
      <c r="AR161" s="127"/>
      <c r="AS161" s="58" t="str" cm="1">
        <f>IFERROR(IF(ISBLANK($A161),"",INDEX(Array_StationaryCharges,MATCH($A161,List_StationaryFuelMeters,0),ROUNDUP((COLUMN()+1)/3-2,0))),"")</f>
        <v/>
      </c>
      <c r="AT161" s="127"/>
      <c r="AU161" s="127"/>
      <c r="AV161" s="58" t="str" cm="1">
        <f>IFERROR(IF(ISBLANK($A161),"",INDEX(Array_StationaryCharges,MATCH($A161,List_StationaryFuelMeters,0),ROUNDUP((COLUMN()+1)/3-2,0))),"")</f>
        <v/>
      </c>
      <c r="AW161" s="127"/>
      <c r="AX161" s="127"/>
    </row>
    <row r="162" spans="1:50" x14ac:dyDescent="0.3">
      <c r="A162" s="126"/>
      <c r="B162" s="133"/>
      <c r="C162" s="127"/>
      <c r="D162" s="138"/>
      <c r="E162" s="138"/>
      <c r="F162" s="58" t="str" cm="1">
        <f>IFERROR(IF(ISBLANK($A162),"",INDEX(Array_StationaryCharges,MATCH($A162,List_StationaryFuelMeters,0),ROUNDUP((COLUMN()+1)/3-2,0))),"")</f>
        <v/>
      </c>
      <c r="G162" s="127"/>
      <c r="H162" s="127"/>
      <c r="I162" s="58" t="str" cm="1">
        <f>IFERROR(IF(ISBLANK($A162),"",INDEX(Array_StationaryCharges,MATCH($A162,List_StationaryFuelMeters,0),ROUNDUP((COLUMN()+1)/3-2,0))),"")</f>
        <v/>
      </c>
      <c r="J162" s="127"/>
      <c r="K162" s="127"/>
      <c r="L162" s="58" t="str" cm="1">
        <f>IFERROR(IF(ISBLANK($A162),"",INDEX(Array_StationaryCharges,MATCH($A162,List_StationaryFuelMeters,0),ROUNDUP((COLUMN()+1)/3-2,0))),"")</f>
        <v/>
      </c>
      <c r="M162" s="127"/>
      <c r="N162" s="127"/>
      <c r="O162" s="58" t="str" cm="1">
        <f>IFERROR(IF(ISBLANK($A162),"",INDEX(Array_StationaryCharges,MATCH($A162,List_StationaryFuelMeters,0),ROUNDUP((COLUMN()+1)/3-2,0))),"")</f>
        <v/>
      </c>
      <c r="P162" s="127"/>
      <c r="Q162" s="127"/>
      <c r="R162" s="58" t="str" cm="1">
        <f>IFERROR(IF(ISBLANK($A162),"",INDEX(Array_StationaryCharges,MATCH($A162,List_StationaryFuelMeters,0),ROUNDUP((COLUMN()+1)/3-2,0))),"")</f>
        <v/>
      </c>
      <c r="S162" s="127"/>
      <c r="T162" s="127"/>
      <c r="U162" s="58" t="str" cm="1">
        <f>IFERROR(IF(ISBLANK($A162),"",INDEX(Array_StationaryCharges,MATCH($A162,List_StationaryFuelMeters,0),ROUNDUP((COLUMN()+1)/3-2,0))),"")</f>
        <v/>
      </c>
      <c r="V162" s="127"/>
      <c r="W162" s="127"/>
      <c r="X162" s="58" t="str" cm="1">
        <f>IFERROR(IF(ISBLANK($A162),"",INDEX(Array_StationaryCharges,MATCH($A162,List_StationaryFuelMeters,0),ROUNDUP((COLUMN()+1)/3-2,0))),"")</f>
        <v/>
      </c>
      <c r="Y162" s="127"/>
      <c r="Z162" s="127"/>
      <c r="AA162" s="58" t="str" cm="1">
        <f>IFERROR(IF(ISBLANK($A162),"",INDEX(Array_StationaryCharges,MATCH($A162,List_StationaryFuelMeters,0),ROUNDUP((COLUMN()+1)/3-2,0))),"")</f>
        <v/>
      </c>
      <c r="AB162" s="127"/>
      <c r="AC162" s="127"/>
      <c r="AD162" s="58" t="str" cm="1">
        <f>IFERROR(IF(ISBLANK($A162),"",INDEX(Array_StationaryCharges,MATCH($A162,List_StationaryFuelMeters,0),ROUNDUP((COLUMN()+1)/3-2,0))),"")</f>
        <v/>
      </c>
      <c r="AE162" s="127"/>
      <c r="AF162" s="127"/>
      <c r="AG162" s="58" t="str" cm="1">
        <f>IFERROR(IF(ISBLANK($A162),"",INDEX(Array_StationaryCharges,MATCH($A162,List_StationaryFuelMeters,0),ROUNDUP((COLUMN()+1)/3-2,0))),"")</f>
        <v/>
      </c>
      <c r="AH162" s="127"/>
      <c r="AI162" s="127"/>
      <c r="AJ162" s="58" t="str" cm="1">
        <f>IFERROR(IF(ISBLANK($A162),"",INDEX(Array_StationaryCharges,MATCH($A162,List_StationaryFuelMeters,0),ROUNDUP((COLUMN()+1)/3-2,0))),"")</f>
        <v/>
      </c>
      <c r="AK162" s="127"/>
      <c r="AL162" s="127"/>
      <c r="AM162" s="58" t="str" cm="1">
        <f>IFERROR(IF(ISBLANK($A162),"",INDEX(Array_StationaryCharges,MATCH($A162,List_StationaryFuelMeters,0),ROUNDUP((COLUMN()+1)/3-2,0))),"")</f>
        <v/>
      </c>
      <c r="AN162" s="127"/>
      <c r="AO162" s="127"/>
      <c r="AP162" s="58" t="str" cm="1">
        <f>IFERROR(IF(ISBLANK($A162),"",INDEX(Array_StationaryCharges,MATCH($A162,List_StationaryFuelMeters,0),ROUNDUP((COLUMN()+1)/3-2,0))),"")</f>
        <v/>
      </c>
      <c r="AQ162" s="127"/>
      <c r="AR162" s="127"/>
      <c r="AS162" s="58" t="str" cm="1">
        <f>IFERROR(IF(ISBLANK($A162),"",INDEX(Array_StationaryCharges,MATCH($A162,List_StationaryFuelMeters,0),ROUNDUP((COLUMN()+1)/3-2,0))),"")</f>
        <v/>
      </c>
      <c r="AT162" s="127"/>
      <c r="AU162" s="127"/>
      <c r="AV162" s="58" t="str" cm="1">
        <f>IFERROR(IF(ISBLANK($A162),"",INDEX(Array_StationaryCharges,MATCH($A162,List_StationaryFuelMeters,0),ROUNDUP((COLUMN()+1)/3-2,0))),"")</f>
        <v/>
      </c>
      <c r="AW162" s="127"/>
      <c r="AX162" s="127"/>
    </row>
    <row r="163" spans="1:50" x14ac:dyDescent="0.3">
      <c r="A163" s="126"/>
      <c r="B163" s="133"/>
      <c r="C163" s="127"/>
      <c r="D163" s="138"/>
      <c r="E163" s="138"/>
      <c r="F163" s="58" t="str" cm="1">
        <f>IFERROR(IF(ISBLANK($A163),"",INDEX(Array_StationaryCharges,MATCH($A163,List_StationaryFuelMeters,0),ROUNDUP((COLUMN()+1)/3-2,0))),"")</f>
        <v/>
      </c>
      <c r="G163" s="127"/>
      <c r="H163" s="127"/>
      <c r="I163" s="58" t="str" cm="1">
        <f>IFERROR(IF(ISBLANK($A163),"",INDEX(Array_StationaryCharges,MATCH($A163,List_StationaryFuelMeters,0),ROUNDUP((COLUMN()+1)/3-2,0))),"")</f>
        <v/>
      </c>
      <c r="J163" s="127"/>
      <c r="K163" s="127"/>
      <c r="L163" s="58" t="str" cm="1">
        <f>IFERROR(IF(ISBLANK($A163),"",INDEX(Array_StationaryCharges,MATCH($A163,List_StationaryFuelMeters,0),ROUNDUP((COLUMN()+1)/3-2,0))),"")</f>
        <v/>
      </c>
      <c r="M163" s="127"/>
      <c r="N163" s="127"/>
      <c r="O163" s="58" t="str" cm="1">
        <f>IFERROR(IF(ISBLANK($A163),"",INDEX(Array_StationaryCharges,MATCH($A163,List_StationaryFuelMeters,0),ROUNDUP((COLUMN()+1)/3-2,0))),"")</f>
        <v/>
      </c>
      <c r="P163" s="127"/>
      <c r="Q163" s="127"/>
      <c r="R163" s="58" t="str" cm="1">
        <f>IFERROR(IF(ISBLANK($A163),"",INDEX(Array_StationaryCharges,MATCH($A163,List_StationaryFuelMeters,0),ROUNDUP((COLUMN()+1)/3-2,0))),"")</f>
        <v/>
      </c>
      <c r="S163" s="127"/>
      <c r="T163" s="127"/>
      <c r="U163" s="58" t="str" cm="1">
        <f>IFERROR(IF(ISBLANK($A163),"",INDEX(Array_StationaryCharges,MATCH($A163,List_StationaryFuelMeters,0),ROUNDUP((COLUMN()+1)/3-2,0))),"")</f>
        <v/>
      </c>
      <c r="V163" s="127"/>
      <c r="W163" s="127"/>
      <c r="X163" s="58" t="str" cm="1">
        <f>IFERROR(IF(ISBLANK($A163),"",INDEX(Array_StationaryCharges,MATCH($A163,List_StationaryFuelMeters,0),ROUNDUP((COLUMN()+1)/3-2,0))),"")</f>
        <v/>
      </c>
      <c r="Y163" s="127"/>
      <c r="Z163" s="127"/>
      <c r="AA163" s="58" t="str" cm="1">
        <f>IFERROR(IF(ISBLANK($A163),"",INDEX(Array_StationaryCharges,MATCH($A163,List_StationaryFuelMeters,0),ROUNDUP((COLUMN()+1)/3-2,0))),"")</f>
        <v/>
      </c>
      <c r="AB163" s="127"/>
      <c r="AC163" s="127"/>
      <c r="AD163" s="58" t="str" cm="1">
        <f>IFERROR(IF(ISBLANK($A163),"",INDEX(Array_StationaryCharges,MATCH($A163,List_StationaryFuelMeters,0),ROUNDUP((COLUMN()+1)/3-2,0))),"")</f>
        <v/>
      </c>
      <c r="AE163" s="127"/>
      <c r="AF163" s="127"/>
      <c r="AG163" s="58" t="str" cm="1">
        <f>IFERROR(IF(ISBLANK($A163),"",INDEX(Array_StationaryCharges,MATCH($A163,List_StationaryFuelMeters,0),ROUNDUP((COLUMN()+1)/3-2,0))),"")</f>
        <v/>
      </c>
      <c r="AH163" s="127"/>
      <c r="AI163" s="127"/>
      <c r="AJ163" s="58" t="str" cm="1">
        <f>IFERROR(IF(ISBLANK($A163),"",INDEX(Array_StationaryCharges,MATCH($A163,List_StationaryFuelMeters,0),ROUNDUP((COLUMN()+1)/3-2,0))),"")</f>
        <v/>
      </c>
      <c r="AK163" s="127"/>
      <c r="AL163" s="127"/>
      <c r="AM163" s="58" t="str" cm="1">
        <f>IFERROR(IF(ISBLANK($A163),"",INDEX(Array_StationaryCharges,MATCH($A163,List_StationaryFuelMeters,0),ROUNDUP((COLUMN()+1)/3-2,0))),"")</f>
        <v/>
      </c>
      <c r="AN163" s="127"/>
      <c r="AO163" s="127"/>
      <c r="AP163" s="58" t="str" cm="1">
        <f>IFERROR(IF(ISBLANK($A163),"",INDEX(Array_StationaryCharges,MATCH($A163,List_StationaryFuelMeters,0),ROUNDUP((COLUMN()+1)/3-2,0))),"")</f>
        <v/>
      </c>
      <c r="AQ163" s="127"/>
      <c r="AR163" s="127"/>
      <c r="AS163" s="58" t="str" cm="1">
        <f>IFERROR(IF(ISBLANK($A163),"",INDEX(Array_StationaryCharges,MATCH($A163,List_StationaryFuelMeters,0),ROUNDUP((COLUMN()+1)/3-2,0))),"")</f>
        <v/>
      </c>
      <c r="AT163" s="127"/>
      <c r="AU163" s="127"/>
      <c r="AV163" s="58" t="str" cm="1">
        <f>IFERROR(IF(ISBLANK($A163),"",INDEX(Array_StationaryCharges,MATCH($A163,List_StationaryFuelMeters,0),ROUNDUP((COLUMN()+1)/3-2,0))),"")</f>
        <v/>
      </c>
      <c r="AW163" s="127"/>
      <c r="AX163" s="127"/>
    </row>
    <row r="164" spans="1:50" x14ac:dyDescent="0.3">
      <c r="A164" s="126"/>
      <c r="B164" s="133"/>
      <c r="C164" s="127"/>
      <c r="D164" s="138"/>
      <c r="E164" s="138"/>
      <c r="F164" s="58" t="str" cm="1">
        <f>IFERROR(IF(ISBLANK($A164),"",INDEX(Array_StationaryCharges,MATCH($A164,List_StationaryFuelMeters,0),ROUNDUP((COLUMN()+1)/3-2,0))),"")</f>
        <v/>
      </c>
      <c r="G164" s="127"/>
      <c r="H164" s="127"/>
      <c r="I164" s="58" t="str" cm="1">
        <f>IFERROR(IF(ISBLANK($A164),"",INDEX(Array_StationaryCharges,MATCH($A164,List_StationaryFuelMeters,0),ROUNDUP((COLUMN()+1)/3-2,0))),"")</f>
        <v/>
      </c>
      <c r="J164" s="127"/>
      <c r="K164" s="127"/>
      <c r="L164" s="58" t="str" cm="1">
        <f>IFERROR(IF(ISBLANK($A164),"",INDEX(Array_StationaryCharges,MATCH($A164,List_StationaryFuelMeters,0),ROUNDUP((COLUMN()+1)/3-2,0))),"")</f>
        <v/>
      </c>
      <c r="M164" s="127"/>
      <c r="N164" s="127"/>
      <c r="O164" s="58" t="str" cm="1">
        <f>IFERROR(IF(ISBLANK($A164),"",INDEX(Array_StationaryCharges,MATCH($A164,List_StationaryFuelMeters,0),ROUNDUP((COLUMN()+1)/3-2,0))),"")</f>
        <v/>
      </c>
      <c r="P164" s="127"/>
      <c r="Q164" s="127"/>
      <c r="R164" s="58" t="str" cm="1">
        <f>IFERROR(IF(ISBLANK($A164),"",INDEX(Array_StationaryCharges,MATCH($A164,List_StationaryFuelMeters,0),ROUNDUP((COLUMN()+1)/3-2,0))),"")</f>
        <v/>
      </c>
      <c r="S164" s="127"/>
      <c r="T164" s="127"/>
      <c r="U164" s="58" t="str" cm="1">
        <f>IFERROR(IF(ISBLANK($A164),"",INDEX(Array_StationaryCharges,MATCH($A164,List_StationaryFuelMeters,0),ROUNDUP((COLUMN()+1)/3-2,0))),"")</f>
        <v/>
      </c>
      <c r="V164" s="127"/>
      <c r="W164" s="127"/>
      <c r="X164" s="58" t="str" cm="1">
        <f>IFERROR(IF(ISBLANK($A164),"",INDEX(Array_StationaryCharges,MATCH($A164,List_StationaryFuelMeters,0),ROUNDUP((COLUMN()+1)/3-2,0))),"")</f>
        <v/>
      </c>
      <c r="Y164" s="127"/>
      <c r="Z164" s="127"/>
      <c r="AA164" s="58" t="str" cm="1">
        <f>IFERROR(IF(ISBLANK($A164),"",INDEX(Array_StationaryCharges,MATCH($A164,List_StationaryFuelMeters,0),ROUNDUP((COLUMN()+1)/3-2,0))),"")</f>
        <v/>
      </c>
      <c r="AB164" s="127"/>
      <c r="AC164" s="127"/>
      <c r="AD164" s="58" t="str" cm="1">
        <f>IFERROR(IF(ISBLANK($A164),"",INDEX(Array_StationaryCharges,MATCH($A164,List_StationaryFuelMeters,0),ROUNDUP((COLUMN()+1)/3-2,0))),"")</f>
        <v/>
      </c>
      <c r="AE164" s="127"/>
      <c r="AF164" s="127"/>
      <c r="AG164" s="58" t="str" cm="1">
        <f>IFERROR(IF(ISBLANK($A164),"",INDEX(Array_StationaryCharges,MATCH($A164,List_StationaryFuelMeters,0),ROUNDUP((COLUMN()+1)/3-2,0))),"")</f>
        <v/>
      </c>
      <c r="AH164" s="127"/>
      <c r="AI164" s="127"/>
      <c r="AJ164" s="58" t="str" cm="1">
        <f>IFERROR(IF(ISBLANK($A164),"",INDEX(Array_StationaryCharges,MATCH($A164,List_StationaryFuelMeters,0),ROUNDUP((COLUMN()+1)/3-2,0))),"")</f>
        <v/>
      </c>
      <c r="AK164" s="127"/>
      <c r="AL164" s="127"/>
      <c r="AM164" s="58" t="str" cm="1">
        <f>IFERROR(IF(ISBLANK($A164),"",INDEX(Array_StationaryCharges,MATCH($A164,List_StationaryFuelMeters,0),ROUNDUP((COLUMN()+1)/3-2,0))),"")</f>
        <v/>
      </c>
      <c r="AN164" s="127"/>
      <c r="AO164" s="127"/>
      <c r="AP164" s="58" t="str" cm="1">
        <f>IFERROR(IF(ISBLANK($A164),"",INDEX(Array_StationaryCharges,MATCH($A164,List_StationaryFuelMeters,0),ROUNDUP((COLUMN()+1)/3-2,0))),"")</f>
        <v/>
      </c>
      <c r="AQ164" s="127"/>
      <c r="AR164" s="127"/>
      <c r="AS164" s="58" t="str" cm="1">
        <f>IFERROR(IF(ISBLANK($A164),"",INDEX(Array_StationaryCharges,MATCH($A164,List_StationaryFuelMeters,0),ROUNDUP((COLUMN()+1)/3-2,0))),"")</f>
        <v/>
      </c>
      <c r="AT164" s="127"/>
      <c r="AU164" s="127"/>
      <c r="AV164" s="58" t="str" cm="1">
        <f>IFERROR(IF(ISBLANK($A164),"",INDEX(Array_StationaryCharges,MATCH($A164,List_StationaryFuelMeters,0),ROUNDUP((COLUMN()+1)/3-2,0))),"")</f>
        <v/>
      </c>
      <c r="AW164" s="127"/>
      <c r="AX164" s="127"/>
    </row>
    <row r="165" spans="1:50" x14ac:dyDescent="0.3">
      <c r="A165" s="126"/>
      <c r="B165" s="133"/>
      <c r="C165" s="127"/>
      <c r="D165" s="138"/>
      <c r="E165" s="138"/>
      <c r="F165" s="58" t="str" cm="1">
        <f>IFERROR(IF(ISBLANK($A165),"",INDEX(Array_StationaryCharges,MATCH($A165,List_StationaryFuelMeters,0),ROUNDUP((COLUMN()+1)/3-2,0))),"")</f>
        <v/>
      </c>
      <c r="G165" s="127"/>
      <c r="H165" s="127"/>
      <c r="I165" s="58" t="str" cm="1">
        <f>IFERROR(IF(ISBLANK($A165),"",INDEX(Array_StationaryCharges,MATCH($A165,List_StationaryFuelMeters,0),ROUNDUP((COLUMN()+1)/3-2,0))),"")</f>
        <v/>
      </c>
      <c r="J165" s="127"/>
      <c r="K165" s="127"/>
      <c r="L165" s="58" t="str" cm="1">
        <f>IFERROR(IF(ISBLANK($A165),"",INDEX(Array_StationaryCharges,MATCH($A165,List_StationaryFuelMeters,0),ROUNDUP((COLUMN()+1)/3-2,0))),"")</f>
        <v/>
      </c>
      <c r="M165" s="127"/>
      <c r="N165" s="127"/>
      <c r="O165" s="58" t="str" cm="1">
        <f>IFERROR(IF(ISBLANK($A165),"",INDEX(Array_StationaryCharges,MATCH($A165,List_StationaryFuelMeters,0),ROUNDUP((COLUMN()+1)/3-2,0))),"")</f>
        <v/>
      </c>
      <c r="P165" s="127"/>
      <c r="Q165" s="127"/>
      <c r="R165" s="58" t="str" cm="1">
        <f>IFERROR(IF(ISBLANK($A165),"",INDEX(Array_StationaryCharges,MATCH($A165,List_StationaryFuelMeters,0),ROUNDUP((COLUMN()+1)/3-2,0))),"")</f>
        <v/>
      </c>
      <c r="S165" s="127"/>
      <c r="T165" s="127"/>
      <c r="U165" s="58" t="str" cm="1">
        <f>IFERROR(IF(ISBLANK($A165),"",INDEX(Array_StationaryCharges,MATCH($A165,List_StationaryFuelMeters,0),ROUNDUP((COLUMN()+1)/3-2,0))),"")</f>
        <v/>
      </c>
      <c r="V165" s="127"/>
      <c r="W165" s="127"/>
      <c r="X165" s="58" t="str" cm="1">
        <f>IFERROR(IF(ISBLANK($A165),"",INDEX(Array_StationaryCharges,MATCH($A165,List_StationaryFuelMeters,0),ROUNDUP((COLUMN()+1)/3-2,0))),"")</f>
        <v/>
      </c>
      <c r="Y165" s="127"/>
      <c r="Z165" s="127"/>
      <c r="AA165" s="58" t="str" cm="1">
        <f>IFERROR(IF(ISBLANK($A165),"",INDEX(Array_StationaryCharges,MATCH($A165,List_StationaryFuelMeters,0),ROUNDUP((COLUMN()+1)/3-2,0))),"")</f>
        <v/>
      </c>
      <c r="AB165" s="127"/>
      <c r="AC165" s="127"/>
      <c r="AD165" s="58" t="str" cm="1">
        <f>IFERROR(IF(ISBLANK($A165),"",INDEX(Array_StationaryCharges,MATCH($A165,List_StationaryFuelMeters,0),ROUNDUP((COLUMN()+1)/3-2,0))),"")</f>
        <v/>
      </c>
      <c r="AE165" s="127"/>
      <c r="AF165" s="127"/>
      <c r="AG165" s="58" t="str" cm="1">
        <f>IFERROR(IF(ISBLANK($A165),"",INDEX(Array_StationaryCharges,MATCH($A165,List_StationaryFuelMeters,0),ROUNDUP((COLUMN()+1)/3-2,0))),"")</f>
        <v/>
      </c>
      <c r="AH165" s="127"/>
      <c r="AI165" s="127"/>
      <c r="AJ165" s="58" t="str" cm="1">
        <f>IFERROR(IF(ISBLANK($A165),"",INDEX(Array_StationaryCharges,MATCH($A165,List_StationaryFuelMeters,0),ROUNDUP((COLUMN()+1)/3-2,0))),"")</f>
        <v/>
      </c>
      <c r="AK165" s="127"/>
      <c r="AL165" s="127"/>
      <c r="AM165" s="58" t="str" cm="1">
        <f>IFERROR(IF(ISBLANK($A165),"",INDEX(Array_StationaryCharges,MATCH($A165,List_StationaryFuelMeters,0),ROUNDUP((COLUMN()+1)/3-2,0))),"")</f>
        <v/>
      </c>
      <c r="AN165" s="127"/>
      <c r="AO165" s="127"/>
      <c r="AP165" s="58" t="str" cm="1">
        <f>IFERROR(IF(ISBLANK($A165),"",INDEX(Array_StationaryCharges,MATCH($A165,List_StationaryFuelMeters,0),ROUNDUP((COLUMN()+1)/3-2,0))),"")</f>
        <v/>
      </c>
      <c r="AQ165" s="127"/>
      <c r="AR165" s="127"/>
      <c r="AS165" s="58" t="str" cm="1">
        <f>IFERROR(IF(ISBLANK($A165),"",INDEX(Array_StationaryCharges,MATCH($A165,List_StationaryFuelMeters,0),ROUNDUP((COLUMN()+1)/3-2,0))),"")</f>
        <v/>
      </c>
      <c r="AT165" s="127"/>
      <c r="AU165" s="127"/>
      <c r="AV165" s="58" t="str" cm="1">
        <f>IFERROR(IF(ISBLANK($A165),"",INDEX(Array_StationaryCharges,MATCH($A165,List_StationaryFuelMeters,0),ROUNDUP((COLUMN()+1)/3-2,0))),"")</f>
        <v/>
      </c>
      <c r="AW165" s="127"/>
      <c r="AX165" s="127"/>
    </row>
    <row r="166" spans="1:50" x14ac:dyDescent="0.3">
      <c r="A166" s="126"/>
      <c r="B166" s="133"/>
      <c r="C166" s="127"/>
      <c r="D166" s="138"/>
      <c r="E166" s="138"/>
      <c r="F166" s="58" t="str" cm="1">
        <f>IFERROR(IF(ISBLANK($A166),"",INDEX(Array_StationaryCharges,MATCH($A166,List_StationaryFuelMeters,0),ROUNDUP((COLUMN()+1)/3-2,0))),"")</f>
        <v/>
      </c>
      <c r="G166" s="127"/>
      <c r="H166" s="127"/>
      <c r="I166" s="58" t="str" cm="1">
        <f>IFERROR(IF(ISBLANK($A166),"",INDEX(Array_StationaryCharges,MATCH($A166,List_StationaryFuelMeters,0),ROUNDUP((COLUMN()+1)/3-2,0))),"")</f>
        <v/>
      </c>
      <c r="J166" s="127"/>
      <c r="K166" s="127"/>
      <c r="L166" s="58" t="str" cm="1">
        <f>IFERROR(IF(ISBLANK($A166),"",INDEX(Array_StationaryCharges,MATCH($A166,List_StationaryFuelMeters,0),ROUNDUP((COLUMN()+1)/3-2,0))),"")</f>
        <v/>
      </c>
      <c r="M166" s="127"/>
      <c r="N166" s="127"/>
      <c r="O166" s="58" t="str" cm="1">
        <f>IFERROR(IF(ISBLANK($A166),"",INDEX(Array_StationaryCharges,MATCH($A166,List_StationaryFuelMeters,0),ROUNDUP((COLUMN()+1)/3-2,0))),"")</f>
        <v/>
      </c>
      <c r="P166" s="127"/>
      <c r="Q166" s="127"/>
      <c r="R166" s="58" t="str" cm="1">
        <f>IFERROR(IF(ISBLANK($A166),"",INDEX(Array_StationaryCharges,MATCH($A166,List_StationaryFuelMeters,0),ROUNDUP((COLUMN()+1)/3-2,0))),"")</f>
        <v/>
      </c>
      <c r="S166" s="127"/>
      <c r="T166" s="127"/>
      <c r="U166" s="58" t="str" cm="1">
        <f>IFERROR(IF(ISBLANK($A166),"",INDEX(Array_StationaryCharges,MATCH($A166,List_StationaryFuelMeters,0),ROUNDUP((COLUMN()+1)/3-2,0))),"")</f>
        <v/>
      </c>
      <c r="V166" s="127"/>
      <c r="W166" s="127"/>
      <c r="X166" s="58" t="str" cm="1">
        <f>IFERROR(IF(ISBLANK($A166),"",INDEX(Array_StationaryCharges,MATCH($A166,List_StationaryFuelMeters,0),ROUNDUP((COLUMN()+1)/3-2,0))),"")</f>
        <v/>
      </c>
      <c r="Y166" s="127"/>
      <c r="Z166" s="127"/>
      <c r="AA166" s="58" t="str" cm="1">
        <f>IFERROR(IF(ISBLANK($A166),"",INDEX(Array_StationaryCharges,MATCH($A166,List_StationaryFuelMeters,0),ROUNDUP((COLUMN()+1)/3-2,0))),"")</f>
        <v/>
      </c>
      <c r="AB166" s="127"/>
      <c r="AC166" s="127"/>
      <c r="AD166" s="58" t="str" cm="1">
        <f>IFERROR(IF(ISBLANK($A166),"",INDEX(Array_StationaryCharges,MATCH($A166,List_StationaryFuelMeters,0),ROUNDUP((COLUMN()+1)/3-2,0))),"")</f>
        <v/>
      </c>
      <c r="AE166" s="127"/>
      <c r="AF166" s="127"/>
      <c r="AG166" s="58" t="str" cm="1">
        <f>IFERROR(IF(ISBLANK($A166),"",INDEX(Array_StationaryCharges,MATCH($A166,List_StationaryFuelMeters,0),ROUNDUP((COLUMN()+1)/3-2,0))),"")</f>
        <v/>
      </c>
      <c r="AH166" s="127"/>
      <c r="AI166" s="127"/>
      <c r="AJ166" s="58" t="str" cm="1">
        <f>IFERROR(IF(ISBLANK($A166),"",INDEX(Array_StationaryCharges,MATCH($A166,List_StationaryFuelMeters,0),ROUNDUP((COLUMN()+1)/3-2,0))),"")</f>
        <v/>
      </c>
      <c r="AK166" s="127"/>
      <c r="AL166" s="127"/>
      <c r="AM166" s="58" t="str" cm="1">
        <f>IFERROR(IF(ISBLANK($A166),"",INDEX(Array_StationaryCharges,MATCH($A166,List_StationaryFuelMeters,0),ROUNDUP((COLUMN()+1)/3-2,0))),"")</f>
        <v/>
      </c>
      <c r="AN166" s="127"/>
      <c r="AO166" s="127"/>
      <c r="AP166" s="58" t="str" cm="1">
        <f>IFERROR(IF(ISBLANK($A166),"",INDEX(Array_StationaryCharges,MATCH($A166,List_StationaryFuelMeters,0),ROUNDUP((COLUMN()+1)/3-2,0))),"")</f>
        <v/>
      </c>
      <c r="AQ166" s="127"/>
      <c r="AR166" s="127"/>
      <c r="AS166" s="58" t="str" cm="1">
        <f>IFERROR(IF(ISBLANK($A166),"",INDEX(Array_StationaryCharges,MATCH($A166,List_StationaryFuelMeters,0),ROUNDUP((COLUMN()+1)/3-2,0))),"")</f>
        <v/>
      </c>
      <c r="AT166" s="127"/>
      <c r="AU166" s="127"/>
      <c r="AV166" s="58" t="str" cm="1">
        <f>IFERROR(IF(ISBLANK($A166),"",INDEX(Array_StationaryCharges,MATCH($A166,List_StationaryFuelMeters,0),ROUNDUP((COLUMN()+1)/3-2,0))),"")</f>
        <v/>
      </c>
      <c r="AW166" s="127"/>
      <c r="AX166" s="127"/>
    </row>
    <row r="167" spans="1:50" x14ac:dyDescent="0.3">
      <c r="A167" s="126"/>
      <c r="B167" s="133"/>
      <c r="C167" s="127"/>
      <c r="D167" s="138"/>
      <c r="E167" s="138"/>
      <c r="F167" s="58" t="str" cm="1">
        <f>IFERROR(IF(ISBLANK($A167),"",INDEX(Array_StationaryCharges,MATCH($A167,List_StationaryFuelMeters,0),ROUNDUP((COLUMN()+1)/3-2,0))),"")</f>
        <v/>
      </c>
      <c r="G167" s="127"/>
      <c r="H167" s="127"/>
      <c r="I167" s="58" t="str" cm="1">
        <f>IFERROR(IF(ISBLANK($A167),"",INDEX(Array_StationaryCharges,MATCH($A167,List_StationaryFuelMeters,0),ROUNDUP((COLUMN()+1)/3-2,0))),"")</f>
        <v/>
      </c>
      <c r="J167" s="127"/>
      <c r="K167" s="127"/>
      <c r="L167" s="58" t="str" cm="1">
        <f>IFERROR(IF(ISBLANK($A167),"",INDEX(Array_StationaryCharges,MATCH($A167,List_StationaryFuelMeters,0),ROUNDUP((COLUMN()+1)/3-2,0))),"")</f>
        <v/>
      </c>
      <c r="M167" s="127"/>
      <c r="N167" s="127"/>
      <c r="O167" s="58" t="str" cm="1">
        <f>IFERROR(IF(ISBLANK($A167),"",INDEX(Array_StationaryCharges,MATCH($A167,List_StationaryFuelMeters,0),ROUNDUP((COLUMN()+1)/3-2,0))),"")</f>
        <v/>
      </c>
      <c r="P167" s="127"/>
      <c r="Q167" s="127"/>
      <c r="R167" s="58" t="str" cm="1">
        <f>IFERROR(IF(ISBLANK($A167),"",INDEX(Array_StationaryCharges,MATCH($A167,List_StationaryFuelMeters,0),ROUNDUP((COLUMN()+1)/3-2,0))),"")</f>
        <v/>
      </c>
      <c r="S167" s="127"/>
      <c r="T167" s="127"/>
      <c r="U167" s="58" t="str" cm="1">
        <f>IFERROR(IF(ISBLANK($A167),"",INDEX(Array_StationaryCharges,MATCH($A167,List_StationaryFuelMeters,0),ROUNDUP((COLUMN()+1)/3-2,0))),"")</f>
        <v/>
      </c>
      <c r="V167" s="127"/>
      <c r="W167" s="127"/>
      <c r="X167" s="58" t="str" cm="1">
        <f>IFERROR(IF(ISBLANK($A167),"",INDEX(Array_StationaryCharges,MATCH($A167,List_StationaryFuelMeters,0),ROUNDUP((COLUMN()+1)/3-2,0))),"")</f>
        <v/>
      </c>
      <c r="Y167" s="127"/>
      <c r="Z167" s="127"/>
      <c r="AA167" s="58" t="str" cm="1">
        <f>IFERROR(IF(ISBLANK($A167),"",INDEX(Array_StationaryCharges,MATCH($A167,List_StationaryFuelMeters,0),ROUNDUP((COLUMN()+1)/3-2,0))),"")</f>
        <v/>
      </c>
      <c r="AB167" s="127"/>
      <c r="AC167" s="127"/>
      <c r="AD167" s="58" t="str" cm="1">
        <f>IFERROR(IF(ISBLANK($A167),"",INDEX(Array_StationaryCharges,MATCH($A167,List_StationaryFuelMeters,0),ROUNDUP((COLUMN()+1)/3-2,0))),"")</f>
        <v/>
      </c>
      <c r="AE167" s="127"/>
      <c r="AF167" s="127"/>
      <c r="AG167" s="58" t="str" cm="1">
        <f>IFERROR(IF(ISBLANK($A167),"",INDEX(Array_StationaryCharges,MATCH($A167,List_StationaryFuelMeters,0),ROUNDUP((COLUMN()+1)/3-2,0))),"")</f>
        <v/>
      </c>
      <c r="AH167" s="127"/>
      <c r="AI167" s="127"/>
      <c r="AJ167" s="58" t="str" cm="1">
        <f>IFERROR(IF(ISBLANK($A167),"",INDEX(Array_StationaryCharges,MATCH($A167,List_StationaryFuelMeters,0),ROUNDUP((COLUMN()+1)/3-2,0))),"")</f>
        <v/>
      </c>
      <c r="AK167" s="127"/>
      <c r="AL167" s="127"/>
      <c r="AM167" s="58" t="str" cm="1">
        <f>IFERROR(IF(ISBLANK($A167),"",INDEX(Array_StationaryCharges,MATCH($A167,List_StationaryFuelMeters,0),ROUNDUP((COLUMN()+1)/3-2,0))),"")</f>
        <v/>
      </c>
      <c r="AN167" s="127"/>
      <c r="AO167" s="127"/>
      <c r="AP167" s="58" t="str" cm="1">
        <f>IFERROR(IF(ISBLANK($A167),"",INDEX(Array_StationaryCharges,MATCH($A167,List_StationaryFuelMeters,0),ROUNDUP((COLUMN()+1)/3-2,0))),"")</f>
        <v/>
      </c>
      <c r="AQ167" s="127"/>
      <c r="AR167" s="127"/>
      <c r="AS167" s="58" t="str" cm="1">
        <f>IFERROR(IF(ISBLANK($A167),"",INDEX(Array_StationaryCharges,MATCH($A167,List_StationaryFuelMeters,0),ROUNDUP((COLUMN()+1)/3-2,0))),"")</f>
        <v/>
      </c>
      <c r="AT167" s="127"/>
      <c r="AU167" s="127"/>
      <c r="AV167" s="58" t="str" cm="1">
        <f>IFERROR(IF(ISBLANK($A167),"",INDEX(Array_StationaryCharges,MATCH($A167,List_StationaryFuelMeters,0),ROUNDUP((COLUMN()+1)/3-2,0))),"")</f>
        <v/>
      </c>
      <c r="AW167" s="127"/>
      <c r="AX167" s="127"/>
    </row>
    <row r="168" spans="1:50" x14ac:dyDescent="0.3">
      <c r="A168" s="126"/>
      <c r="B168" s="133"/>
      <c r="C168" s="127"/>
      <c r="D168" s="138"/>
      <c r="E168" s="138"/>
      <c r="F168" s="58" t="str" cm="1">
        <f>IFERROR(IF(ISBLANK($A168),"",INDEX(Array_StationaryCharges,MATCH($A168,List_StationaryFuelMeters,0),ROUNDUP((COLUMN()+1)/3-2,0))),"")</f>
        <v/>
      </c>
      <c r="G168" s="127"/>
      <c r="H168" s="127"/>
      <c r="I168" s="58" t="str" cm="1">
        <f>IFERROR(IF(ISBLANK($A168),"",INDEX(Array_StationaryCharges,MATCH($A168,List_StationaryFuelMeters,0),ROUNDUP((COLUMN()+1)/3-2,0))),"")</f>
        <v/>
      </c>
      <c r="J168" s="127"/>
      <c r="K168" s="127"/>
      <c r="L168" s="58" t="str" cm="1">
        <f>IFERROR(IF(ISBLANK($A168),"",INDEX(Array_StationaryCharges,MATCH($A168,List_StationaryFuelMeters,0),ROUNDUP((COLUMN()+1)/3-2,0))),"")</f>
        <v/>
      </c>
      <c r="M168" s="127"/>
      <c r="N168" s="127"/>
      <c r="O168" s="58" t="str" cm="1">
        <f>IFERROR(IF(ISBLANK($A168),"",INDEX(Array_StationaryCharges,MATCH($A168,List_StationaryFuelMeters,0),ROUNDUP((COLUMN()+1)/3-2,0))),"")</f>
        <v/>
      </c>
      <c r="P168" s="127"/>
      <c r="Q168" s="127"/>
      <c r="R168" s="58" t="str" cm="1">
        <f>IFERROR(IF(ISBLANK($A168),"",INDEX(Array_StationaryCharges,MATCH($A168,List_StationaryFuelMeters,0),ROUNDUP((COLUMN()+1)/3-2,0))),"")</f>
        <v/>
      </c>
      <c r="S168" s="127"/>
      <c r="T168" s="127"/>
      <c r="U168" s="58" t="str" cm="1">
        <f>IFERROR(IF(ISBLANK($A168),"",INDEX(Array_StationaryCharges,MATCH($A168,List_StationaryFuelMeters,0),ROUNDUP((COLUMN()+1)/3-2,0))),"")</f>
        <v/>
      </c>
      <c r="V168" s="127"/>
      <c r="W168" s="127"/>
      <c r="X168" s="58" t="str" cm="1">
        <f>IFERROR(IF(ISBLANK($A168),"",INDEX(Array_StationaryCharges,MATCH($A168,List_StationaryFuelMeters,0),ROUNDUP((COLUMN()+1)/3-2,0))),"")</f>
        <v/>
      </c>
      <c r="Y168" s="127"/>
      <c r="Z168" s="127"/>
      <c r="AA168" s="58" t="str" cm="1">
        <f>IFERROR(IF(ISBLANK($A168),"",INDEX(Array_StationaryCharges,MATCH($A168,List_StationaryFuelMeters,0),ROUNDUP((COLUMN()+1)/3-2,0))),"")</f>
        <v/>
      </c>
      <c r="AB168" s="127"/>
      <c r="AC168" s="127"/>
      <c r="AD168" s="58" t="str" cm="1">
        <f>IFERROR(IF(ISBLANK($A168),"",INDEX(Array_StationaryCharges,MATCH($A168,List_StationaryFuelMeters,0),ROUNDUP((COLUMN()+1)/3-2,0))),"")</f>
        <v/>
      </c>
      <c r="AE168" s="127"/>
      <c r="AF168" s="127"/>
      <c r="AG168" s="58" t="str" cm="1">
        <f>IFERROR(IF(ISBLANK($A168),"",INDEX(Array_StationaryCharges,MATCH($A168,List_StationaryFuelMeters,0),ROUNDUP((COLUMN()+1)/3-2,0))),"")</f>
        <v/>
      </c>
      <c r="AH168" s="127"/>
      <c r="AI168" s="127"/>
      <c r="AJ168" s="58" t="str" cm="1">
        <f>IFERROR(IF(ISBLANK($A168),"",INDEX(Array_StationaryCharges,MATCH($A168,List_StationaryFuelMeters,0),ROUNDUP((COLUMN()+1)/3-2,0))),"")</f>
        <v/>
      </c>
      <c r="AK168" s="127"/>
      <c r="AL168" s="127"/>
      <c r="AM168" s="58" t="str" cm="1">
        <f>IFERROR(IF(ISBLANK($A168),"",INDEX(Array_StationaryCharges,MATCH($A168,List_StationaryFuelMeters,0),ROUNDUP((COLUMN()+1)/3-2,0))),"")</f>
        <v/>
      </c>
      <c r="AN168" s="127"/>
      <c r="AO168" s="127"/>
      <c r="AP168" s="58" t="str" cm="1">
        <f>IFERROR(IF(ISBLANK($A168),"",INDEX(Array_StationaryCharges,MATCH($A168,List_StationaryFuelMeters,0),ROUNDUP((COLUMN()+1)/3-2,0))),"")</f>
        <v/>
      </c>
      <c r="AQ168" s="127"/>
      <c r="AR168" s="127"/>
      <c r="AS168" s="58" t="str" cm="1">
        <f>IFERROR(IF(ISBLANK($A168),"",INDEX(Array_StationaryCharges,MATCH($A168,List_StationaryFuelMeters,0),ROUNDUP((COLUMN()+1)/3-2,0))),"")</f>
        <v/>
      </c>
      <c r="AT168" s="127"/>
      <c r="AU168" s="127"/>
      <c r="AV168" s="58" t="str" cm="1">
        <f>IFERROR(IF(ISBLANK($A168),"",INDEX(Array_StationaryCharges,MATCH($A168,List_StationaryFuelMeters,0),ROUNDUP((COLUMN()+1)/3-2,0))),"")</f>
        <v/>
      </c>
      <c r="AW168" s="127"/>
      <c r="AX168" s="127"/>
    </row>
    <row r="169" spans="1:50" x14ac:dyDescent="0.3">
      <c r="A169" s="126"/>
      <c r="B169" s="133"/>
      <c r="C169" s="127"/>
      <c r="D169" s="138"/>
      <c r="E169" s="138"/>
      <c r="F169" s="58" t="str" cm="1">
        <f>IFERROR(IF(ISBLANK($A169),"",INDEX(Array_StationaryCharges,MATCH($A169,List_StationaryFuelMeters,0),ROUNDUP((COLUMN()+1)/3-2,0))),"")</f>
        <v/>
      </c>
      <c r="G169" s="127"/>
      <c r="H169" s="127"/>
      <c r="I169" s="58" t="str" cm="1">
        <f>IFERROR(IF(ISBLANK($A169),"",INDEX(Array_StationaryCharges,MATCH($A169,List_StationaryFuelMeters,0),ROUNDUP((COLUMN()+1)/3-2,0))),"")</f>
        <v/>
      </c>
      <c r="J169" s="127"/>
      <c r="K169" s="127"/>
      <c r="L169" s="58" t="str" cm="1">
        <f>IFERROR(IF(ISBLANK($A169),"",INDEX(Array_StationaryCharges,MATCH($A169,List_StationaryFuelMeters,0),ROUNDUP((COLUMN()+1)/3-2,0))),"")</f>
        <v/>
      </c>
      <c r="M169" s="127"/>
      <c r="N169" s="127"/>
      <c r="O169" s="58" t="str" cm="1">
        <f>IFERROR(IF(ISBLANK($A169),"",INDEX(Array_StationaryCharges,MATCH($A169,List_StationaryFuelMeters,0),ROUNDUP((COLUMN()+1)/3-2,0))),"")</f>
        <v/>
      </c>
      <c r="P169" s="127"/>
      <c r="Q169" s="127"/>
      <c r="R169" s="58" t="str" cm="1">
        <f>IFERROR(IF(ISBLANK($A169),"",INDEX(Array_StationaryCharges,MATCH($A169,List_StationaryFuelMeters,0),ROUNDUP((COLUMN()+1)/3-2,0))),"")</f>
        <v/>
      </c>
      <c r="S169" s="127"/>
      <c r="T169" s="127"/>
      <c r="U169" s="58" t="str" cm="1">
        <f>IFERROR(IF(ISBLANK($A169),"",INDEX(Array_StationaryCharges,MATCH($A169,List_StationaryFuelMeters,0),ROUNDUP((COLUMN()+1)/3-2,0))),"")</f>
        <v/>
      </c>
      <c r="V169" s="127"/>
      <c r="W169" s="127"/>
      <c r="X169" s="58" t="str" cm="1">
        <f>IFERROR(IF(ISBLANK($A169),"",INDEX(Array_StationaryCharges,MATCH($A169,List_StationaryFuelMeters,0),ROUNDUP((COLUMN()+1)/3-2,0))),"")</f>
        <v/>
      </c>
      <c r="Y169" s="127"/>
      <c r="Z169" s="127"/>
      <c r="AA169" s="58" t="str" cm="1">
        <f>IFERROR(IF(ISBLANK($A169),"",INDEX(Array_StationaryCharges,MATCH($A169,List_StationaryFuelMeters,0),ROUNDUP((COLUMN()+1)/3-2,0))),"")</f>
        <v/>
      </c>
      <c r="AB169" s="127"/>
      <c r="AC169" s="127"/>
      <c r="AD169" s="58" t="str" cm="1">
        <f>IFERROR(IF(ISBLANK($A169),"",INDEX(Array_StationaryCharges,MATCH($A169,List_StationaryFuelMeters,0),ROUNDUP((COLUMN()+1)/3-2,0))),"")</f>
        <v/>
      </c>
      <c r="AE169" s="127"/>
      <c r="AF169" s="127"/>
      <c r="AG169" s="58" t="str" cm="1">
        <f>IFERROR(IF(ISBLANK($A169),"",INDEX(Array_StationaryCharges,MATCH($A169,List_StationaryFuelMeters,0),ROUNDUP((COLUMN()+1)/3-2,0))),"")</f>
        <v/>
      </c>
      <c r="AH169" s="127"/>
      <c r="AI169" s="127"/>
      <c r="AJ169" s="58" t="str" cm="1">
        <f>IFERROR(IF(ISBLANK($A169),"",INDEX(Array_StationaryCharges,MATCH($A169,List_StationaryFuelMeters,0),ROUNDUP((COLUMN()+1)/3-2,0))),"")</f>
        <v/>
      </c>
      <c r="AK169" s="127"/>
      <c r="AL169" s="127"/>
      <c r="AM169" s="58" t="str" cm="1">
        <f>IFERROR(IF(ISBLANK($A169),"",INDEX(Array_StationaryCharges,MATCH($A169,List_StationaryFuelMeters,0),ROUNDUP((COLUMN()+1)/3-2,0))),"")</f>
        <v/>
      </c>
      <c r="AN169" s="127"/>
      <c r="AO169" s="127"/>
      <c r="AP169" s="58" t="str" cm="1">
        <f>IFERROR(IF(ISBLANK($A169),"",INDEX(Array_StationaryCharges,MATCH($A169,List_StationaryFuelMeters,0),ROUNDUP((COLUMN()+1)/3-2,0))),"")</f>
        <v/>
      </c>
      <c r="AQ169" s="127"/>
      <c r="AR169" s="127"/>
      <c r="AS169" s="58" t="str" cm="1">
        <f>IFERROR(IF(ISBLANK($A169),"",INDEX(Array_StationaryCharges,MATCH($A169,List_StationaryFuelMeters,0),ROUNDUP((COLUMN()+1)/3-2,0))),"")</f>
        <v/>
      </c>
      <c r="AT169" s="127"/>
      <c r="AU169" s="127"/>
      <c r="AV169" s="58" t="str" cm="1">
        <f>IFERROR(IF(ISBLANK($A169),"",INDEX(Array_StationaryCharges,MATCH($A169,List_StationaryFuelMeters,0),ROUNDUP((COLUMN()+1)/3-2,0))),"")</f>
        <v/>
      </c>
      <c r="AW169" s="127"/>
      <c r="AX169" s="127"/>
    </row>
    <row r="170" spans="1:50" x14ac:dyDescent="0.3">
      <c r="A170" s="126"/>
      <c r="B170" s="133"/>
      <c r="C170" s="127"/>
      <c r="D170" s="138"/>
      <c r="E170" s="138"/>
      <c r="F170" s="58" t="str" cm="1">
        <f>IFERROR(IF(ISBLANK($A170),"",INDEX(Array_StationaryCharges,MATCH($A170,List_StationaryFuelMeters,0),ROUNDUP((COLUMN()+1)/3-2,0))),"")</f>
        <v/>
      </c>
      <c r="G170" s="127"/>
      <c r="H170" s="127"/>
      <c r="I170" s="58" t="str" cm="1">
        <f>IFERROR(IF(ISBLANK($A170),"",INDEX(Array_StationaryCharges,MATCH($A170,List_StationaryFuelMeters,0),ROUNDUP((COLUMN()+1)/3-2,0))),"")</f>
        <v/>
      </c>
      <c r="J170" s="127"/>
      <c r="K170" s="127"/>
      <c r="L170" s="58" t="str" cm="1">
        <f>IFERROR(IF(ISBLANK($A170),"",INDEX(Array_StationaryCharges,MATCH($A170,List_StationaryFuelMeters,0),ROUNDUP((COLUMN()+1)/3-2,0))),"")</f>
        <v/>
      </c>
      <c r="M170" s="127"/>
      <c r="N170" s="127"/>
      <c r="O170" s="58" t="str" cm="1">
        <f>IFERROR(IF(ISBLANK($A170),"",INDEX(Array_StationaryCharges,MATCH($A170,List_StationaryFuelMeters,0),ROUNDUP((COLUMN()+1)/3-2,0))),"")</f>
        <v/>
      </c>
      <c r="P170" s="127"/>
      <c r="Q170" s="127"/>
      <c r="R170" s="58" t="str" cm="1">
        <f>IFERROR(IF(ISBLANK($A170),"",INDEX(Array_StationaryCharges,MATCH($A170,List_StationaryFuelMeters,0),ROUNDUP((COLUMN()+1)/3-2,0))),"")</f>
        <v/>
      </c>
      <c r="S170" s="127"/>
      <c r="T170" s="127"/>
      <c r="U170" s="58" t="str" cm="1">
        <f>IFERROR(IF(ISBLANK($A170),"",INDEX(Array_StationaryCharges,MATCH($A170,List_StationaryFuelMeters,0),ROUNDUP((COLUMN()+1)/3-2,0))),"")</f>
        <v/>
      </c>
      <c r="V170" s="127"/>
      <c r="W170" s="127"/>
      <c r="X170" s="58" t="str" cm="1">
        <f>IFERROR(IF(ISBLANK($A170),"",INDEX(Array_StationaryCharges,MATCH($A170,List_StationaryFuelMeters,0),ROUNDUP((COLUMN()+1)/3-2,0))),"")</f>
        <v/>
      </c>
      <c r="Y170" s="127"/>
      <c r="Z170" s="127"/>
      <c r="AA170" s="58" t="str" cm="1">
        <f>IFERROR(IF(ISBLANK($A170),"",INDEX(Array_StationaryCharges,MATCH($A170,List_StationaryFuelMeters,0),ROUNDUP((COLUMN()+1)/3-2,0))),"")</f>
        <v/>
      </c>
      <c r="AB170" s="127"/>
      <c r="AC170" s="127"/>
      <c r="AD170" s="58" t="str" cm="1">
        <f>IFERROR(IF(ISBLANK($A170),"",INDEX(Array_StationaryCharges,MATCH($A170,List_StationaryFuelMeters,0),ROUNDUP((COLUMN()+1)/3-2,0))),"")</f>
        <v/>
      </c>
      <c r="AE170" s="127"/>
      <c r="AF170" s="127"/>
      <c r="AG170" s="58" t="str" cm="1">
        <f>IFERROR(IF(ISBLANK($A170),"",INDEX(Array_StationaryCharges,MATCH($A170,List_StationaryFuelMeters,0),ROUNDUP((COLUMN()+1)/3-2,0))),"")</f>
        <v/>
      </c>
      <c r="AH170" s="127"/>
      <c r="AI170" s="127"/>
      <c r="AJ170" s="58" t="str" cm="1">
        <f>IFERROR(IF(ISBLANK($A170),"",INDEX(Array_StationaryCharges,MATCH($A170,List_StationaryFuelMeters,0),ROUNDUP((COLUMN()+1)/3-2,0))),"")</f>
        <v/>
      </c>
      <c r="AK170" s="127"/>
      <c r="AL170" s="127"/>
      <c r="AM170" s="58" t="str" cm="1">
        <f>IFERROR(IF(ISBLANK($A170),"",INDEX(Array_StationaryCharges,MATCH($A170,List_StationaryFuelMeters,0),ROUNDUP((COLUMN()+1)/3-2,0))),"")</f>
        <v/>
      </c>
      <c r="AN170" s="127"/>
      <c r="AO170" s="127"/>
      <c r="AP170" s="58" t="str" cm="1">
        <f>IFERROR(IF(ISBLANK($A170),"",INDEX(Array_StationaryCharges,MATCH($A170,List_StationaryFuelMeters,0),ROUNDUP((COLUMN()+1)/3-2,0))),"")</f>
        <v/>
      </c>
      <c r="AQ170" s="127"/>
      <c r="AR170" s="127"/>
      <c r="AS170" s="58" t="str" cm="1">
        <f>IFERROR(IF(ISBLANK($A170),"",INDEX(Array_StationaryCharges,MATCH($A170,List_StationaryFuelMeters,0),ROUNDUP((COLUMN()+1)/3-2,0))),"")</f>
        <v/>
      </c>
      <c r="AT170" s="127"/>
      <c r="AU170" s="127"/>
      <c r="AV170" s="58" t="str" cm="1">
        <f>IFERROR(IF(ISBLANK($A170),"",INDEX(Array_StationaryCharges,MATCH($A170,List_StationaryFuelMeters,0),ROUNDUP((COLUMN()+1)/3-2,0))),"")</f>
        <v/>
      </c>
      <c r="AW170" s="127"/>
      <c r="AX170" s="127"/>
    </row>
    <row r="171" spans="1:50" x14ac:dyDescent="0.3">
      <c r="A171" s="126"/>
      <c r="B171" s="133"/>
      <c r="C171" s="127"/>
      <c r="D171" s="138"/>
      <c r="E171" s="138"/>
      <c r="F171" s="58" t="str" cm="1">
        <f>IFERROR(IF(ISBLANK($A171),"",INDEX(Array_StationaryCharges,MATCH($A171,List_StationaryFuelMeters,0),ROUNDUP((COLUMN()+1)/3-2,0))),"")</f>
        <v/>
      </c>
      <c r="G171" s="127"/>
      <c r="H171" s="127"/>
      <c r="I171" s="58" t="str" cm="1">
        <f>IFERROR(IF(ISBLANK($A171),"",INDEX(Array_StationaryCharges,MATCH($A171,List_StationaryFuelMeters,0),ROUNDUP((COLUMN()+1)/3-2,0))),"")</f>
        <v/>
      </c>
      <c r="J171" s="127"/>
      <c r="K171" s="127"/>
      <c r="L171" s="58" t="str" cm="1">
        <f>IFERROR(IF(ISBLANK($A171),"",INDEX(Array_StationaryCharges,MATCH($A171,List_StationaryFuelMeters,0),ROUNDUP((COLUMN()+1)/3-2,0))),"")</f>
        <v/>
      </c>
      <c r="M171" s="127"/>
      <c r="N171" s="127"/>
      <c r="O171" s="58" t="str" cm="1">
        <f>IFERROR(IF(ISBLANK($A171),"",INDEX(Array_StationaryCharges,MATCH($A171,List_StationaryFuelMeters,0),ROUNDUP((COLUMN()+1)/3-2,0))),"")</f>
        <v/>
      </c>
      <c r="P171" s="127"/>
      <c r="Q171" s="127"/>
      <c r="R171" s="58" t="str" cm="1">
        <f>IFERROR(IF(ISBLANK($A171),"",INDEX(Array_StationaryCharges,MATCH($A171,List_StationaryFuelMeters,0),ROUNDUP((COLUMN()+1)/3-2,0))),"")</f>
        <v/>
      </c>
      <c r="S171" s="127"/>
      <c r="T171" s="127"/>
      <c r="U171" s="58" t="str" cm="1">
        <f>IFERROR(IF(ISBLANK($A171),"",INDEX(Array_StationaryCharges,MATCH($A171,List_StationaryFuelMeters,0),ROUNDUP((COLUMN()+1)/3-2,0))),"")</f>
        <v/>
      </c>
      <c r="V171" s="127"/>
      <c r="W171" s="127"/>
      <c r="X171" s="58" t="str" cm="1">
        <f>IFERROR(IF(ISBLANK($A171),"",INDEX(Array_StationaryCharges,MATCH($A171,List_StationaryFuelMeters,0),ROUNDUP((COLUMN()+1)/3-2,0))),"")</f>
        <v/>
      </c>
      <c r="Y171" s="127"/>
      <c r="Z171" s="127"/>
      <c r="AA171" s="58" t="str" cm="1">
        <f>IFERROR(IF(ISBLANK($A171),"",INDEX(Array_StationaryCharges,MATCH($A171,List_StationaryFuelMeters,0),ROUNDUP((COLUMN()+1)/3-2,0))),"")</f>
        <v/>
      </c>
      <c r="AB171" s="127"/>
      <c r="AC171" s="127"/>
      <c r="AD171" s="58" t="str" cm="1">
        <f>IFERROR(IF(ISBLANK($A171),"",INDEX(Array_StationaryCharges,MATCH($A171,List_StationaryFuelMeters,0),ROUNDUP((COLUMN()+1)/3-2,0))),"")</f>
        <v/>
      </c>
      <c r="AE171" s="127"/>
      <c r="AF171" s="127"/>
      <c r="AG171" s="58" t="str" cm="1">
        <f>IFERROR(IF(ISBLANK($A171),"",INDEX(Array_StationaryCharges,MATCH($A171,List_StationaryFuelMeters,0),ROUNDUP((COLUMN()+1)/3-2,0))),"")</f>
        <v/>
      </c>
      <c r="AH171" s="127"/>
      <c r="AI171" s="127"/>
      <c r="AJ171" s="58" t="str" cm="1">
        <f>IFERROR(IF(ISBLANK($A171),"",INDEX(Array_StationaryCharges,MATCH($A171,List_StationaryFuelMeters,0),ROUNDUP((COLUMN()+1)/3-2,0))),"")</f>
        <v/>
      </c>
      <c r="AK171" s="127"/>
      <c r="AL171" s="127"/>
      <c r="AM171" s="58" t="str" cm="1">
        <f>IFERROR(IF(ISBLANK($A171),"",INDEX(Array_StationaryCharges,MATCH($A171,List_StationaryFuelMeters,0),ROUNDUP((COLUMN()+1)/3-2,0))),"")</f>
        <v/>
      </c>
      <c r="AN171" s="127"/>
      <c r="AO171" s="127"/>
      <c r="AP171" s="58" t="str" cm="1">
        <f>IFERROR(IF(ISBLANK($A171),"",INDEX(Array_StationaryCharges,MATCH($A171,List_StationaryFuelMeters,0),ROUNDUP((COLUMN()+1)/3-2,0))),"")</f>
        <v/>
      </c>
      <c r="AQ171" s="127"/>
      <c r="AR171" s="127"/>
      <c r="AS171" s="58" t="str" cm="1">
        <f>IFERROR(IF(ISBLANK($A171),"",INDEX(Array_StationaryCharges,MATCH($A171,List_StationaryFuelMeters,0),ROUNDUP((COLUMN()+1)/3-2,0))),"")</f>
        <v/>
      </c>
      <c r="AT171" s="127"/>
      <c r="AU171" s="127"/>
      <c r="AV171" s="58" t="str" cm="1">
        <f>IFERROR(IF(ISBLANK($A171),"",INDEX(Array_StationaryCharges,MATCH($A171,List_StationaryFuelMeters,0),ROUNDUP((COLUMN()+1)/3-2,0))),"")</f>
        <v/>
      </c>
      <c r="AW171" s="127"/>
      <c r="AX171" s="127"/>
    </row>
    <row r="172" spans="1:50" x14ac:dyDescent="0.3">
      <c r="A172" s="126"/>
      <c r="B172" s="133"/>
      <c r="C172" s="127"/>
      <c r="D172" s="138"/>
      <c r="E172" s="138"/>
      <c r="F172" s="58" t="str" cm="1">
        <f>IFERROR(IF(ISBLANK($A172),"",INDEX(Array_StationaryCharges,MATCH($A172,List_StationaryFuelMeters,0),ROUNDUP((COLUMN()+1)/3-2,0))),"")</f>
        <v/>
      </c>
      <c r="G172" s="127"/>
      <c r="H172" s="127"/>
      <c r="I172" s="58" t="str" cm="1">
        <f>IFERROR(IF(ISBLANK($A172),"",INDEX(Array_StationaryCharges,MATCH($A172,List_StationaryFuelMeters,0),ROUNDUP((COLUMN()+1)/3-2,0))),"")</f>
        <v/>
      </c>
      <c r="J172" s="127"/>
      <c r="K172" s="127"/>
      <c r="L172" s="58" t="str" cm="1">
        <f>IFERROR(IF(ISBLANK($A172),"",INDEX(Array_StationaryCharges,MATCH($A172,List_StationaryFuelMeters,0),ROUNDUP((COLUMN()+1)/3-2,0))),"")</f>
        <v/>
      </c>
      <c r="M172" s="127"/>
      <c r="N172" s="127"/>
      <c r="O172" s="58" t="str" cm="1">
        <f>IFERROR(IF(ISBLANK($A172),"",INDEX(Array_StationaryCharges,MATCH($A172,List_StationaryFuelMeters,0),ROUNDUP((COLUMN()+1)/3-2,0))),"")</f>
        <v/>
      </c>
      <c r="P172" s="127"/>
      <c r="Q172" s="127"/>
      <c r="R172" s="58" t="str" cm="1">
        <f>IFERROR(IF(ISBLANK($A172),"",INDEX(Array_StationaryCharges,MATCH($A172,List_StationaryFuelMeters,0),ROUNDUP((COLUMN()+1)/3-2,0))),"")</f>
        <v/>
      </c>
      <c r="S172" s="127"/>
      <c r="T172" s="127"/>
      <c r="U172" s="58" t="str" cm="1">
        <f>IFERROR(IF(ISBLANK($A172),"",INDEX(Array_StationaryCharges,MATCH($A172,List_StationaryFuelMeters,0),ROUNDUP((COLUMN()+1)/3-2,0))),"")</f>
        <v/>
      </c>
      <c r="V172" s="127"/>
      <c r="W172" s="127"/>
      <c r="X172" s="58" t="str" cm="1">
        <f>IFERROR(IF(ISBLANK($A172),"",INDEX(Array_StationaryCharges,MATCH($A172,List_StationaryFuelMeters,0),ROUNDUP((COLUMN()+1)/3-2,0))),"")</f>
        <v/>
      </c>
      <c r="Y172" s="127"/>
      <c r="Z172" s="127"/>
      <c r="AA172" s="58" t="str" cm="1">
        <f>IFERROR(IF(ISBLANK($A172),"",INDEX(Array_StationaryCharges,MATCH($A172,List_StationaryFuelMeters,0),ROUNDUP((COLUMN()+1)/3-2,0))),"")</f>
        <v/>
      </c>
      <c r="AB172" s="127"/>
      <c r="AC172" s="127"/>
      <c r="AD172" s="58" t="str" cm="1">
        <f>IFERROR(IF(ISBLANK($A172),"",INDEX(Array_StationaryCharges,MATCH($A172,List_StationaryFuelMeters,0),ROUNDUP((COLUMN()+1)/3-2,0))),"")</f>
        <v/>
      </c>
      <c r="AE172" s="127"/>
      <c r="AF172" s="127"/>
      <c r="AG172" s="58" t="str" cm="1">
        <f>IFERROR(IF(ISBLANK($A172),"",INDEX(Array_StationaryCharges,MATCH($A172,List_StationaryFuelMeters,0),ROUNDUP((COLUMN()+1)/3-2,0))),"")</f>
        <v/>
      </c>
      <c r="AH172" s="127"/>
      <c r="AI172" s="127"/>
      <c r="AJ172" s="58" t="str" cm="1">
        <f>IFERROR(IF(ISBLANK($A172),"",INDEX(Array_StationaryCharges,MATCH($A172,List_StationaryFuelMeters,0),ROUNDUP((COLUMN()+1)/3-2,0))),"")</f>
        <v/>
      </c>
      <c r="AK172" s="127"/>
      <c r="AL172" s="127"/>
      <c r="AM172" s="58" t="str" cm="1">
        <f>IFERROR(IF(ISBLANK($A172),"",INDEX(Array_StationaryCharges,MATCH($A172,List_StationaryFuelMeters,0),ROUNDUP((COLUMN()+1)/3-2,0))),"")</f>
        <v/>
      </c>
      <c r="AN172" s="127"/>
      <c r="AO172" s="127"/>
      <c r="AP172" s="58" t="str" cm="1">
        <f>IFERROR(IF(ISBLANK($A172),"",INDEX(Array_StationaryCharges,MATCH($A172,List_StationaryFuelMeters,0),ROUNDUP((COLUMN()+1)/3-2,0))),"")</f>
        <v/>
      </c>
      <c r="AQ172" s="127"/>
      <c r="AR172" s="127"/>
      <c r="AS172" s="58" t="str" cm="1">
        <f>IFERROR(IF(ISBLANK($A172),"",INDEX(Array_StationaryCharges,MATCH($A172,List_StationaryFuelMeters,0),ROUNDUP((COLUMN()+1)/3-2,0))),"")</f>
        <v/>
      </c>
      <c r="AT172" s="127"/>
      <c r="AU172" s="127"/>
      <c r="AV172" s="58" t="str" cm="1">
        <f>IFERROR(IF(ISBLANK($A172),"",INDEX(Array_StationaryCharges,MATCH($A172,List_StationaryFuelMeters,0),ROUNDUP((COLUMN()+1)/3-2,0))),"")</f>
        <v/>
      </c>
      <c r="AW172" s="127"/>
      <c r="AX172" s="127"/>
    </row>
    <row r="173" spans="1:50" x14ac:dyDescent="0.3">
      <c r="A173" s="126"/>
      <c r="B173" s="133"/>
      <c r="C173" s="127"/>
      <c r="D173" s="138"/>
      <c r="E173" s="138"/>
      <c r="F173" s="58" t="str" cm="1">
        <f>IFERROR(IF(ISBLANK($A173),"",INDEX(Array_StationaryCharges,MATCH($A173,List_StationaryFuelMeters,0),ROUNDUP((COLUMN()+1)/3-2,0))),"")</f>
        <v/>
      </c>
      <c r="G173" s="127"/>
      <c r="H173" s="127"/>
      <c r="I173" s="58" t="str" cm="1">
        <f>IFERROR(IF(ISBLANK($A173),"",INDEX(Array_StationaryCharges,MATCH($A173,List_StationaryFuelMeters,0),ROUNDUP((COLUMN()+1)/3-2,0))),"")</f>
        <v/>
      </c>
      <c r="J173" s="127"/>
      <c r="K173" s="127"/>
      <c r="L173" s="58" t="str" cm="1">
        <f>IFERROR(IF(ISBLANK($A173),"",INDEX(Array_StationaryCharges,MATCH($A173,List_StationaryFuelMeters,0),ROUNDUP((COLUMN()+1)/3-2,0))),"")</f>
        <v/>
      </c>
      <c r="M173" s="127"/>
      <c r="N173" s="127"/>
      <c r="O173" s="58" t="str" cm="1">
        <f>IFERROR(IF(ISBLANK($A173),"",INDEX(Array_StationaryCharges,MATCH($A173,List_StationaryFuelMeters,0),ROUNDUP((COLUMN()+1)/3-2,0))),"")</f>
        <v/>
      </c>
      <c r="P173" s="127"/>
      <c r="Q173" s="127"/>
      <c r="R173" s="58" t="str" cm="1">
        <f>IFERROR(IF(ISBLANK($A173),"",INDEX(Array_StationaryCharges,MATCH($A173,List_StationaryFuelMeters,0),ROUNDUP((COLUMN()+1)/3-2,0))),"")</f>
        <v/>
      </c>
      <c r="S173" s="127"/>
      <c r="T173" s="127"/>
      <c r="U173" s="58" t="str" cm="1">
        <f>IFERROR(IF(ISBLANK($A173),"",INDEX(Array_StationaryCharges,MATCH($A173,List_StationaryFuelMeters,0),ROUNDUP((COLUMN()+1)/3-2,0))),"")</f>
        <v/>
      </c>
      <c r="V173" s="127"/>
      <c r="W173" s="127"/>
      <c r="X173" s="58" t="str" cm="1">
        <f>IFERROR(IF(ISBLANK($A173),"",INDEX(Array_StationaryCharges,MATCH($A173,List_StationaryFuelMeters,0),ROUNDUP((COLUMN()+1)/3-2,0))),"")</f>
        <v/>
      </c>
      <c r="Y173" s="127"/>
      <c r="Z173" s="127"/>
      <c r="AA173" s="58" t="str" cm="1">
        <f>IFERROR(IF(ISBLANK($A173),"",INDEX(Array_StationaryCharges,MATCH($A173,List_StationaryFuelMeters,0),ROUNDUP((COLUMN()+1)/3-2,0))),"")</f>
        <v/>
      </c>
      <c r="AB173" s="127"/>
      <c r="AC173" s="127"/>
      <c r="AD173" s="58" t="str" cm="1">
        <f>IFERROR(IF(ISBLANK($A173),"",INDEX(Array_StationaryCharges,MATCH($A173,List_StationaryFuelMeters,0),ROUNDUP((COLUMN()+1)/3-2,0))),"")</f>
        <v/>
      </c>
      <c r="AE173" s="127"/>
      <c r="AF173" s="127"/>
      <c r="AG173" s="58" t="str" cm="1">
        <f>IFERROR(IF(ISBLANK($A173),"",INDEX(Array_StationaryCharges,MATCH($A173,List_StationaryFuelMeters,0),ROUNDUP((COLUMN()+1)/3-2,0))),"")</f>
        <v/>
      </c>
      <c r="AH173" s="127"/>
      <c r="AI173" s="127"/>
      <c r="AJ173" s="58" t="str" cm="1">
        <f>IFERROR(IF(ISBLANK($A173),"",INDEX(Array_StationaryCharges,MATCH($A173,List_StationaryFuelMeters,0),ROUNDUP((COLUMN()+1)/3-2,0))),"")</f>
        <v/>
      </c>
      <c r="AK173" s="127"/>
      <c r="AL173" s="127"/>
      <c r="AM173" s="58" t="str" cm="1">
        <f>IFERROR(IF(ISBLANK($A173),"",INDEX(Array_StationaryCharges,MATCH($A173,List_StationaryFuelMeters,0),ROUNDUP((COLUMN()+1)/3-2,0))),"")</f>
        <v/>
      </c>
      <c r="AN173" s="127"/>
      <c r="AO173" s="127"/>
      <c r="AP173" s="58" t="str" cm="1">
        <f>IFERROR(IF(ISBLANK($A173),"",INDEX(Array_StationaryCharges,MATCH($A173,List_StationaryFuelMeters,0),ROUNDUP((COLUMN()+1)/3-2,0))),"")</f>
        <v/>
      </c>
      <c r="AQ173" s="127"/>
      <c r="AR173" s="127"/>
      <c r="AS173" s="58" t="str" cm="1">
        <f>IFERROR(IF(ISBLANK($A173),"",INDEX(Array_StationaryCharges,MATCH($A173,List_StationaryFuelMeters,0),ROUNDUP((COLUMN()+1)/3-2,0))),"")</f>
        <v/>
      </c>
      <c r="AT173" s="127"/>
      <c r="AU173" s="127"/>
      <c r="AV173" s="58" t="str" cm="1">
        <f>IFERROR(IF(ISBLANK($A173),"",INDEX(Array_StationaryCharges,MATCH($A173,List_StationaryFuelMeters,0),ROUNDUP((COLUMN()+1)/3-2,0))),"")</f>
        <v/>
      </c>
      <c r="AW173" s="127"/>
      <c r="AX173" s="127"/>
    </row>
    <row r="174" spans="1:50" x14ac:dyDescent="0.3">
      <c r="A174" s="126"/>
      <c r="B174" s="133"/>
      <c r="C174" s="127"/>
      <c r="D174" s="138"/>
      <c r="E174" s="138"/>
      <c r="F174" s="58" t="str" cm="1">
        <f>IFERROR(IF(ISBLANK($A174),"",INDEX(Array_StationaryCharges,MATCH($A174,List_StationaryFuelMeters,0),ROUNDUP((COLUMN()+1)/3-2,0))),"")</f>
        <v/>
      </c>
      <c r="G174" s="127"/>
      <c r="H174" s="127"/>
      <c r="I174" s="58" t="str" cm="1">
        <f>IFERROR(IF(ISBLANK($A174),"",INDEX(Array_StationaryCharges,MATCH($A174,List_StationaryFuelMeters,0),ROUNDUP((COLUMN()+1)/3-2,0))),"")</f>
        <v/>
      </c>
      <c r="J174" s="127"/>
      <c r="K174" s="127"/>
      <c r="L174" s="58" t="str" cm="1">
        <f>IFERROR(IF(ISBLANK($A174),"",INDEX(Array_StationaryCharges,MATCH($A174,List_StationaryFuelMeters,0),ROUNDUP((COLUMN()+1)/3-2,0))),"")</f>
        <v/>
      </c>
      <c r="M174" s="127"/>
      <c r="N174" s="127"/>
      <c r="O174" s="58" t="str" cm="1">
        <f>IFERROR(IF(ISBLANK($A174),"",INDEX(Array_StationaryCharges,MATCH($A174,List_StationaryFuelMeters,0),ROUNDUP((COLUMN()+1)/3-2,0))),"")</f>
        <v/>
      </c>
      <c r="P174" s="127"/>
      <c r="Q174" s="127"/>
      <c r="R174" s="58" t="str" cm="1">
        <f>IFERROR(IF(ISBLANK($A174),"",INDEX(Array_StationaryCharges,MATCH($A174,List_StationaryFuelMeters,0),ROUNDUP((COLUMN()+1)/3-2,0))),"")</f>
        <v/>
      </c>
      <c r="S174" s="127"/>
      <c r="T174" s="127"/>
      <c r="U174" s="58" t="str" cm="1">
        <f>IFERROR(IF(ISBLANK($A174),"",INDEX(Array_StationaryCharges,MATCH($A174,List_StationaryFuelMeters,0),ROUNDUP((COLUMN()+1)/3-2,0))),"")</f>
        <v/>
      </c>
      <c r="V174" s="127"/>
      <c r="W174" s="127"/>
      <c r="X174" s="58" t="str" cm="1">
        <f>IFERROR(IF(ISBLANK($A174),"",INDEX(Array_StationaryCharges,MATCH($A174,List_StationaryFuelMeters,0),ROUNDUP((COLUMN()+1)/3-2,0))),"")</f>
        <v/>
      </c>
      <c r="Y174" s="127"/>
      <c r="Z174" s="127"/>
      <c r="AA174" s="58" t="str" cm="1">
        <f>IFERROR(IF(ISBLANK($A174),"",INDEX(Array_StationaryCharges,MATCH($A174,List_StationaryFuelMeters,0),ROUNDUP((COLUMN()+1)/3-2,0))),"")</f>
        <v/>
      </c>
      <c r="AB174" s="127"/>
      <c r="AC174" s="127"/>
      <c r="AD174" s="58" t="str" cm="1">
        <f>IFERROR(IF(ISBLANK($A174),"",INDEX(Array_StationaryCharges,MATCH($A174,List_StationaryFuelMeters,0),ROUNDUP((COLUMN()+1)/3-2,0))),"")</f>
        <v/>
      </c>
      <c r="AE174" s="127"/>
      <c r="AF174" s="127"/>
      <c r="AG174" s="58" t="str" cm="1">
        <f>IFERROR(IF(ISBLANK($A174),"",INDEX(Array_StationaryCharges,MATCH($A174,List_StationaryFuelMeters,0),ROUNDUP((COLUMN()+1)/3-2,0))),"")</f>
        <v/>
      </c>
      <c r="AH174" s="127"/>
      <c r="AI174" s="127"/>
      <c r="AJ174" s="58" t="str" cm="1">
        <f>IFERROR(IF(ISBLANK($A174),"",INDEX(Array_StationaryCharges,MATCH($A174,List_StationaryFuelMeters,0),ROUNDUP((COLUMN()+1)/3-2,0))),"")</f>
        <v/>
      </c>
      <c r="AK174" s="127"/>
      <c r="AL174" s="127"/>
      <c r="AM174" s="58" t="str" cm="1">
        <f>IFERROR(IF(ISBLANK($A174),"",INDEX(Array_StationaryCharges,MATCH($A174,List_StationaryFuelMeters,0),ROUNDUP((COLUMN()+1)/3-2,0))),"")</f>
        <v/>
      </c>
      <c r="AN174" s="127"/>
      <c r="AO174" s="127"/>
      <c r="AP174" s="58" t="str" cm="1">
        <f>IFERROR(IF(ISBLANK($A174),"",INDEX(Array_StationaryCharges,MATCH($A174,List_StationaryFuelMeters,0),ROUNDUP((COLUMN()+1)/3-2,0))),"")</f>
        <v/>
      </c>
      <c r="AQ174" s="127"/>
      <c r="AR174" s="127"/>
      <c r="AS174" s="58" t="str" cm="1">
        <f>IFERROR(IF(ISBLANK($A174),"",INDEX(Array_StationaryCharges,MATCH($A174,List_StationaryFuelMeters,0),ROUNDUP((COLUMN()+1)/3-2,0))),"")</f>
        <v/>
      </c>
      <c r="AT174" s="127"/>
      <c r="AU174" s="127"/>
      <c r="AV174" s="58" t="str" cm="1">
        <f>IFERROR(IF(ISBLANK($A174),"",INDEX(Array_StationaryCharges,MATCH($A174,List_StationaryFuelMeters,0),ROUNDUP((COLUMN()+1)/3-2,0))),"")</f>
        <v/>
      </c>
      <c r="AW174" s="127"/>
      <c r="AX174" s="127"/>
    </row>
    <row r="175" spans="1:50" x14ac:dyDescent="0.3">
      <c r="A175" s="126"/>
      <c r="B175" s="133"/>
      <c r="C175" s="127"/>
      <c r="D175" s="138"/>
      <c r="E175" s="138"/>
      <c r="F175" s="58" t="str" cm="1">
        <f>IFERROR(IF(ISBLANK($A175),"",INDEX(Array_StationaryCharges,MATCH($A175,List_StationaryFuelMeters,0),ROUNDUP((COLUMN()+1)/3-2,0))),"")</f>
        <v/>
      </c>
      <c r="G175" s="127"/>
      <c r="H175" s="127"/>
      <c r="I175" s="58" t="str" cm="1">
        <f>IFERROR(IF(ISBLANK($A175),"",INDEX(Array_StationaryCharges,MATCH($A175,List_StationaryFuelMeters,0),ROUNDUP((COLUMN()+1)/3-2,0))),"")</f>
        <v/>
      </c>
      <c r="J175" s="127"/>
      <c r="K175" s="127"/>
      <c r="L175" s="58" t="str" cm="1">
        <f>IFERROR(IF(ISBLANK($A175),"",INDEX(Array_StationaryCharges,MATCH($A175,List_StationaryFuelMeters,0),ROUNDUP((COLUMN()+1)/3-2,0))),"")</f>
        <v/>
      </c>
      <c r="M175" s="127"/>
      <c r="N175" s="127"/>
      <c r="O175" s="58" t="str" cm="1">
        <f>IFERROR(IF(ISBLANK($A175),"",INDEX(Array_StationaryCharges,MATCH($A175,List_StationaryFuelMeters,0),ROUNDUP((COLUMN()+1)/3-2,0))),"")</f>
        <v/>
      </c>
      <c r="P175" s="127"/>
      <c r="Q175" s="127"/>
      <c r="R175" s="58" t="str" cm="1">
        <f>IFERROR(IF(ISBLANK($A175),"",INDEX(Array_StationaryCharges,MATCH($A175,List_StationaryFuelMeters,0),ROUNDUP((COLUMN()+1)/3-2,0))),"")</f>
        <v/>
      </c>
      <c r="S175" s="127"/>
      <c r="T175" s="127"/>
      <c r="U175" s="58" t="str" cm="1">
        <f>IFERROR(IF(ISBLANK($A175),"",INDEX(Array_StationaryCharges,MATCH($A175,List_StationaryFuelMeters,0),ROUNDUP((COLUMN()+1)/3-2,0))),"")</f>
        <v/>
      </c>
      <c r="V175" s="127"/>
      <c r="W175" s="127"/>
      <c r="X175" s="58" t="str" cm="1">
        <f>IFERROR(IF(ISBLANK($A175),"",INDEX(Array_StationaryCharges,MATCH($A175,List_StationaryFuelMeters,0),ROUNDUP((COLUMN()+1)/3-2,0))),"")</f>
        <v/>
      </c>
      <c r="Y175" s="127"/>
      <c r="Z175" s="127"/>
      <c r="AA175" s="58" t="str" cm="1">
        <f>IFERROR(IF(ISBLANK($A175),"",INDEX(Array_StationaryCharges,MATCH($A175,List_StationaryFuelMeters,0),ROUNDUP((COLUMN()+1)/3-2,0))),"")</f>
        <v/>
      </c>
      <c r="AB175" s="127"/>
      <c r="AC175" s="127"/>
      <c r="AD175" s="58" t="str" cm="1">
        <f>IFERROR(IF(ISBLANK($A175),"",INDEX(Array_StationaryCharges,MATCH($A175,List_StationaryFuelMeters,0),ROUNDUP((COLUMN()+1)/3-2,0))),"")</f>
        <v/>
      </c>
      <c r="AE175" s="127"/>
      <c r="AF175" s="127"/>
      <c r="AG175" s="58" t="str" cm="1">
        <f>IFERROR(IF(ISBLANK($A175),"",INDEX(Array_StationaryCharges,MATCH($A175,List_StationaryFuelMeters,0),ROUNDUP((COLUMN()+1)/3-2,0))),"")</f>
        <v/>
      </c>
      <c r="AH175" s="127"/>
      <c r="AI175" s="127"/>
      <c r="AJ175" s="58" t="str" cm="1">
        <f>IFERROR(IF(ISBLANK($A175),"",INDEX(Array_StationaryCharges,MATCH($A175,List_StationaryFuelMeters,0),ROUNDUP((COLUMN()+1)/3-2,0))),"")</f>
        <v/>
      </c>
      <c r="AK175" s="127"/>
      <c r="AL175" s="127"/>
      <c r="AM175" s="58" t="str" cm="1">
        <f>IFERROR(IF(ISBLANK($A175),"",INDEX(Array_StationaryCharges,MATCH($A175,List_StationaryFuelMeters,0),ROUNDUP((COLUMN()+1)/3-2,0))),"")</f>
        <v/>
      </c>
      <c r="AN175" s="127"/>
      <c r="AO175" s="127"/>
      <c r="AP175" s="58" t="str" cm="1">
        <f>IFERROR(IF(ISBLANK($A175),"",INDEX(Array_StationaryCharges,MATCH($A175,List_StationaryFuelMeters,0),ROUNDUP((COLUMN()+1)/3-2,0))),"")</f>
        <v/>
      </c>
      <c r="AQ175" s="127"/>
      <c r="AR175" s="127"/>
      <c r="AS175" s="58" t="str" cm="1">
        <f>IFERROR(IF(ISBLANK($A175),"",INDEX(Array_StationaryCharges,MATCH($A175,List_StationaryFuelMeters,0),ROUNDUP((COLUMN()+1)/3-2,0))),"")</f>
        <v/>
      </c>
      <c r="AT175" s="127"/>
      <c r="AU175" s="127"/>
      <c r="AV175" s="58" t="str" cm="1">
        <f>IFERROR(IF(ISBLANK($A175),"",INDEX(Array_StationaryCharges,MATCH($A175,List_StationaryFuelMeters,0),ROUNDUP((COLUMN()+1)/3-2,0))),"")</f>
        <v/>
      </c>
      <c r="AW175" s="127"/>
      <c r="AX175" s="127"/>
    </row>
    <row r="176" spans="1:50" x14ac:dyDescent="0.3">
      <c r="A176" s="126"/>
      <c r="B176" s="133"/>
      <c r="C176" s="127"/>
      <c r="D176" s="138"/>
      <c r="E176" s="138"/>
      <c r="F176" s="58" t="str" cm="1">
        <f>IFERROR(IF(ISBLANK($A176),"",INDEX(Array_StationaryCharges,MATCH($A176,List_StationaryFuelMeters,0),ROUNDUP((COLUMN()+1)/3-2,0))),"")</f>
        <v/>
      </c>
      <c r="G176" s="127"/>
      <c r="H176" s="127"/>
      <c r="I176" s="58" t="str" cm="1">
        <f>IFERROR(IF(ISBLANK($A176),"",INDEX(Array_StationaryCharges,MATCH($A176,List_StationaryFuelMeters,0),ROUNDUP((COLUMN()+1)/3-2,0))),"")</f>
        <v/>
      </c>
      <c r="J176" s="127"/>
      <c r="K176" s="127"/>
      <c r="L176" s="58" t="str" cm="1">
        <f>IFERROR(IF(ISBLANK($A176),"",INDEX(Array_StationaryCharges,MATCH($A176,List_StationaryFuelMeters,0),ROUNDUP((COLUMN()+1)/3-2,0))),"")</f>
        <v/>
      </c>
      <c r="M176" s="127"/>
      <c r="N176" s="127"/>
      <c r="O176" s="58" t="str" cm="1">
        <f>IFERROR(IF(ISBLANK($A176),"",INDEX(Array_StationaryCharges,MATCH($A176,List_StationaryFuelMeters,0),ROUNDUP((COLUMN()+1)/3-2,0))),"")</f>
        <v/>
      </c>
      <c r="P176" s="127"/>
      <c r="Q176" s="127"/>
      <c r="R176" s="58" t="str" cm="1">
        <f>IFERROR(IF(ISBLANK($A176),"",INDEX(Array_StationaryCharges,MATCH($A176,List_StationaryFuelMeters,0),ROUNDUP((COLUMN()+1)/3-2,0))),"")</f>
        <v/>
      </c>
      <c r="S176" s="127"/>
      <c r="T176" s="127"/>
      <c r="U176" s="58" t="str" cm="1">
        <f>IFERROR(IF(ISBLANK($A176),"",INDEX(Array_StationaryCharges,MATCH($A176,List_StationaryFuelMeters,0),ROUNDUP((COLUMN()+1)/3-2,0))),"")</f>
        <v/>
      </c>
      <c r="V176" s="127"/>
      <c r="W176" s="127"/>
      <c r="X176" s="58" t="str" cm="1">
        <f>IFERROR(IF(ISBLANK($A176),"",INDEX(Array_StationaryCharges,MATCH($A176,List_StationaryFuelMeters,0),ROUNDUP((COLUMN()+1)/3-2,0))),"")</f>
        <v/>
      </c>
      <c r="Y176" s="127"/>
      <c r="Z176" s="127"/>
      <c r="AA176" s="58" t="str" cm="1">
        <f>IFERROR(IF(ISBLANK($A176),"",INDEX(Array_StationaryCharges,MATCH($A176,List_StationaryFuelMeters,0),ROUNDUP((COLUMN()+1)/3-2,0))),"")</f>
        <v/>
      </c>
      <c r="AB176" s="127"/>
      <c r="AC176" s="127"/>
      <c r="AD176" s="58" t="str" cm="1">
        <f>IFERROR(IF(ISBLANK($A176),"",INDEX(Array_StationaryCharges,MATCH($A176,List_StationaryFuelMeters,0),ROUNDUP((COLUMN()+1)/3-2,0))),"")</f>
        <v/>
      </c>
      <c r="AE176" s="127"/>
      <c r="AF176" s="127"/>
      <c r="AG176" s="58" t="str" cm="1">
        <f>IFERROR(IF(ISBLANK($A176),"",INDEX(Array_StationaryCharges,MATCH($A176,List_StationaryFuelMeters,0),ROUNDUP((COLUMN()+1)/3-2,0))),"")</f>
        <v/>
      </c>
      <c r="AH176" s="127"/>
      <c r="AI176" s="127"/>
      <c r="AJ176" s="58" t="str" cm="1">
        <f>IFERROR(IF(ISBLANK($A176),"",INDEX(Array_StationaryCharges,MATCH($A176,List_StationaryFuelMeters,0),ROUNDUP((COLUMN()+1)/3-2,0))),"")</f>
        <v/>
      </c>
      <c r="AK176" s="127"/>
      <c r="AL176" s="127"/>
      <c r="AM176" s="58" t="str" cm="1">
        <f>IFERROR(IF(ISBLANK($A176),"",INDEX(Array_StationaryCharges,MATCH($A176,List_StationaryFuelMeters,0),ROUNDUP((COLUMN()+1)/3-2,0))),"")</f>
        <v/>
      </c>
      <c r="AN176" s="127"/>
      <c r="AO176" s="127"/>
      <c r="AP176" s="58" t="str" cm="1">
        <f>IFERROR(IF(ISBLANK($A176),"",INDEX(Array_StationaryCharges,MATCH($A176,List_StationaryFuelMeters,0),ROUNDUP((COLUMN()+1)/3-2,0))),"")</f>
        <v/>
      </c>
      <c r="AQ176" s="127"/>
      <c r="AR176" s="127"/>
      <c r="AS176" s="58" t="str" cm="1">
        <f>IFERROR(IF(ISBLANK($A176),"",INDEX(Array_StationaryCharges,MATCH($A176,List_StationaryFuelMeters,0),ROUNDUP((COLUMN()+1)/3-2,0))),"")</f>
        <v/>
      </c>
      <c r="AT176" s="127"/>
      <c r="AU176" s="127"/>
      <c r="AV176" s="58" t="str" cm="1">
        <f>IFERROR(IF(ISBLANK($A176),"",INDEX(Array_StationaryCharges,MATCH($A176,List_StationaryFuelMeters,0),ROUNDUP((COLUMN()+1)/3-2,0))),"")</f>
        <v/>
      </c>
      <c r="AW176" s="127"/>
      <c r="AX176" s="127"/>
    </row>
    <row r="177" spans="1:50" x14ac:dyDescent="0.3">
      <c r="A177" s="126"/>
      <c r="B177" s="133"/>
      <c r="C177" s="127"/>
      <c r="D177" s="138"/>
      <c r="E177" s="138"/>
      <c r="F177" s="58" t="str" cm="1">
        <f>IFERROR(IF(ISBLANK($A177),"",INDEX(Array_StationaryCharges,MATCH($A177,List_StationaryFuelMeters,0),ROUNDUP((COLUMN()+1)/3-2,0))),"")</f>
        <v/>
      </c>
      <c r="G177" s="127"/>
      <c r="H177" s="127"/>
      <c r="I177" s="58" t="str" cm="1">
        <f>IFERROR(IF(ISBLANK($A177),"",INDEX(Array_StationaryCharges,MATCH($A177,List_StationaryFuelMeters,0),ROUNDUP((COLUMN()+1)/3-2,0))),"")</f>
        <v/>
      </c>
      <c r="J177" s="127"/>
      <c r="K177" s="127"/>
      <c r="L177" s="58" t="str" cm="1">
        <f>IFERROR(IF(ISBLANK($A177),"",INDEX(Array_StationaryCharges,MATCH($A177,List_StationaryFuelMeters,0),ROUNDUP((COLUMN()+1)/3-2,0))),"")</f>
        <v/>
      </c>
      <c r="M177" s="127"/>
      <c r="N177" s="127"/>
      <c r="O177" s="58" t="str" cm="1">
        <f>IFERROR(IF(ISBLANK($A177),"",INDEX(Array_StationaryCharges,MATCH($A177,List_StationaryFuelMeters,0),ROUNDUP((COLUMN()+1)/3-2,0))),"")</f>
        <v/>
      </c>
      <c r="P177" s="127"/>
      <c r="Q177" s="127"/>
      <c r="R177" s="58" t="str" cm="1">
        <f>IFERROR(IF(ISBLANK($A177),"",INDEX(Array_StationaryCharges,MATCH($A177,List_StationaryFuelMeters,0),ROUNDUP((COLUMN()+1)/3-2,0))),"")</f>
        <v/>
      </c>
      <c r="S177" s="127"/>
      <c r="T177" s="127"/>
      <c r="U177" s="58" t="str" cm="1">
        <f>IFERROR(IF(ISBLANK($A177),"",INDEX(Array_StationaryCharges,MATCH($A177,List_StationaryFuelMeters,0),ROUNDUP((COLUMN()+1)/3-2,0))),"")</f>
        <v/>
      </c>
      <c r="V177" s="127"/>
      <c r="W177" s="127"/>
      <c r="X177" s="58" t="str" cm="1">
        <f>IFERROR(IF(ISBLANK($A177),"",INDEX(Array_StationaryCharges,MATCH($A177,List_StationaryFuelMeters,0),ROUNDUP((COLUMN()+1)/3-2,0))),"")</f>
        <v/>
      </c>
      <c r="Y177" s="127"/>
      <c r="Z177" s="127"/>
      <c r="AA177" s="58" t="str" cm="1">
        <f>IFERROR(IF(ISBLANK($A177),"",INDEX(Array_StationaryCharges,MATCH($A177,List_StationaryFuelMeters,0),ROUNDUP((COLUMN()+1)/3-2,0))),"")</f>
        <v/>
      </c>
      <c r="AB177" s="127"/>
      <c r="AC177" s="127"/>
      <c r="AD177" s="58" t="str" cm="1">
        <f>IFERROR(IF(ISBLANK($A177),"",INDEX(Array_StationaryCharges,MATCH($A177,List_StationaryFuelMeters,0),ROUNDUP((COLUMN()+1)/3-2,0))),"")</f>
        <v/>
      </c>
      <c r="AE177" s="127"/>
      <c r="AF177" s="127"/>
      <c r="AG177" s="58" t="str" cm="1">
        <f>IFERROR(IF(ISBLANK($A177),"",INDEX(Array_StationaryCharges,MATCH($A177,List_StationaryFuelMeters,0),ROUNDUP((COLUMN()+1)/3-2,0))),"")</f>
        <v/>
      </c>
      <c r="AH177" s="127"/>
      <c r="AI177" s="127"/>
      <c r="AJ177" s="58" t="str" cm="1">
        <f>IFERROR(IF(ISBLANK($A177),"",INDEX(Array_StationaryCharges,MATCH($A177,List_StationaryFuelMeters,0),ROUNDUP((COLUMN()+1)/3-2,0))),"")</f>
        <v/>
      </c>
      <c r="AK177" s="127"/>
      <c r="AL177" s="127"/>
      <c r="AM177" s="58" t="str" cm="1">
        <f>IFERROR(IF(ISBLANK($A177),"",INDEX(Array_StationaryCharges,MATCH($A177,List_StationaryFuelMeters,0),ROUNDUP((COLUMN()+1)/3-2,0))),"")</f>
        <v/>
      </c>
      <c r="AN177" s="127"/>
      <c r="AO177" s="127"/>
      <c r="AP177" s="58" t="str" cm="1">
        <f>IFERROR(IF(ISBLANK($A177),"",INDEX(Array_StationaryCharges,MATCH($A177,List_StationaryFuelMeters,0),ROUNDUP((COLUMN()+1)/3-2,0))),"")</f>
        <v/>
      </c>
      <c r="AQ177" s="127"/>
      <c r="AR177" s="127"/>
      <c r="AS177" s="58" t="str" cm="1">
        <f>IFERROR(IF(ISBLANK($A177),"",INDEX(Array_StationaryCharges,MATCH($A177,List_StationaryFuelMeters,0),ROUNDUP((COLUMN()+1)/3-2,0))),"")</f>
        <v/>
      </c>
      <c r="AT177" s="127"/>
      <c r="AU177" s="127"/>
      <c r="AV177" s="58" t="str" cm="1">
        <f>IFERROR(IF(ISBLANK($A177),"",INDEX(Array_StationaryCharges,MATCH($A177,List_StationaryFuelMeters,0),ROUNDUP((COLUMN()+1)/3-2,0))),"")</f>
        <v/>
      </c>
      <c r="AW177" s="127"/>
      <c r="AX177" s="127"/>
    </row>
    <row r="178" spans="1:50" x14ac:dyDescent="0.3">
      <c r="A178" s="126"/>
      <c r="B178" s="133"/>
      <c r="C178" s="127"/>
      <c r="D178" s="138"/>
      <c r="E178" s="138"/>
      <c r="F178" s="58" t="str" cm="1">
        <f>IFERROR(IF(ISBLANK($A178),"",INDEX(Array_StationaryCharges,MATCH($A178,List_StationaryFuelMeters,0),ROUNDUP((COLUMN()+1)/3-2,0))),"")</f>
        <v/>
      </c>
      <c r="G178" s="127"/>
      <c r="H178" s="127"/>
      <c r="I178" s="58" t="str" cm="1">
        <f>IFERROR(IF(ISBLANK($A178),"",INDEX(Array_StationaryCharges,MATCH($A178,List_StationaryFuelMeters,0),ROUNDUP((COLUMN()+1)/3-2,0))),"")</f>
        <v/>
      </c>
      <c r="J178" s="127"/>
      <c r="K178" s="127"/>
      <c r="L178" s="58" t="str" cm="1">
        <f>IFERROR(IF(ISBLANK($A178),"",INDEX(Array_StationaryCharges,MATCH($A178,List_StationaryFuelMeters,0),ROUNDUP((COLUMN()+1)/3-2,0))),"")</f>
        <v/>
      </c>
      <c r="M178" s="127"/>
      <c r="N178" s="127"/>
      <c r="O178" s="58" t="str" cm="1">
        <f>IFERROR(IF(ISBLANK($A178),"",INDEX(Array_StationaryCharges,MATCH($A178,List_StationaryFuelMeters,0),ROUNDUP((COLUMN()+1)/3-2,0))),"")</f>
        <v/>
      </c>
      <c r="P178" s="127"/>
      <c r="Q178" s="127"/>
      <c r="R178" s="58" t="str" cm="1">
        <f>IFERROR(IF(ISBLANK($A178),"",INDEX(Array_StationaryCharges,MATCH($A178,List_StationaryFuelMeters,0),ROUNDUP((COLUMN()+1)/3-2,0))),"")</f>
        <v/>
      </c>
      <c r="S178" s="127"/>
      <c r="T178" s="127"/>
      <c r="U178" s="58" t="str" cm="1">
        <f>IFERROR(IF(ISBLANK($A178),"",INDEX(Array_StationaryCharges,MATCH($A178,List_StationaryFuelMeters,0),ROUNDUP((COLUMN()+1)/3-2,0))),"")</f>
        <v/>
      </c>
      <c r="V178" s="127"/>
      <c r="W178" s="127"/>
      <c r="X178" s="58" t="str" cm="1">
        <f>IFERROR(IF(ISBLANK($A178),"",INDEX(Array_StationaryCharges,MATCH($A178,List_StationaryFuelMeters,0),ROUNDUP((COLUMN()+1)/3-2,0))),"")</f>
        <v/>
      </c>
      <c r="Y178" s="127"/>
      <c r="Z178" s="127"/>
      <c r="AA178" s="58" t="str" cm="1">
        <f>IFERROR(IF(ISBLANK($A178),"",INDEX(Array_StationaryCharges,MATCH($A178,List_StationaryFuelMeters,0),ROUNDUP((COLUMN()+1)/3-2,0))),"")</f>
        <v/>
      </c>
      <c r="AB178" s="127"/>
      <c r="AC178" s="127"/>
      <c r="AD178" s="58" t="str" cm="1">
        <f>IFERROR(IF(ISBLANK($A178),"",INDEX(Array_StationaryCharges,MATCH($A178,List_StationaryFuelMeters,0),ROUNDUP((COLUMN()+1)/3-2,0))),"")</f>
        <v/>
      </c>
      <c r="AE178" s="127"/>
      <c r="AF178" s="127"/>
      <c r="AG178" s="58" t="str" cm="1">
        <f>IFERROR(IF(ISBLANK($A178),"",INDEX(Array_StationaryCharges,MATCH($A178,List_StationaryFuelMeters,0),ROUNDUP((COLUMN()+1)/3-2,0))),"")</f>
        <v/>
      </c>
      <c r="AH178" s="127"/>
      <c r="AI178" s="127"/>
      <c r="AJ178" s="58" t="str" cm="1">
        <f>IFERROR(IF(ISBLANK($A178),"",INDEX(Array_StationaryCharges,MATCH($A178,List_StationaryFuelMeters,0),ROUNDUP((COLUMN()+1)/3-2,0))),"")</f>
        <v/>
      </c>
      <c r="AK178" s="127"/>
      <c r="AL178" s="127"/>
      <c r="AM178" s="58" t="str" cm="1">
        <f>IFERROR(IF(ISBLANK($A178),"",INDEX(Array_StationaryCharges,MATCH($A178,List_StationaryFuelMeters,0),ROUNDUP((COLUMN()+1)/3-2,0))),"")</f>
        <v/>
      </c>
      <c r="AN178" s="127"/>
      <c r="AO178" s="127"/>
      <c r="AP178" s="58" t="str" cm="1">
        <f>IFERROR(IF(ISBLANK($A178),"",INDEX(Array_StationaryCharges,MATCH($A178,List_StationaryFuelMeters,0),ROUNDUP((COLUMN()+1)/3-2,0))),"")</f>
        <v/>
      </c>
      <c r="AQ178" s="127"/>
      <c r="AR178" s="127"/>
      <c r="AS178" s="58" t="str" cm="1">
        <f>IFERROR(IF(ISBLANK($A178),"",INDEX(Array_StationaryCharges,MATCH($A178,List_StationaryFuelMeters,0),ROUNDUP((COLUMN()+1)/3-2,0))),"")</f>
        <v/>
      </c>
      <c r="AT178" s="127"/>
      <c r="AU178" s="127"/>
      <c r="AV178" s="58" t="str" cm="1">
        <f>IFERROR(IF(ISBLANK($A178),"",INDEX(Array_StationaryCharges,MATCH($A178,List_StationaryFuelMeters,0),ROUNDUP((COLUMN()+1)/3-2,0))),"")</f>
        <v/>
      </c>
      <c r="AW178" s="127"/>
      <c r="AX178" s="127"/>
    </row>
    <row r="179" spans="1:50" x14ac:dyDescent="0.3">
      <c r="A179" s="126"/>
      <c r="B179" s="133"/>
      <c r="C179" s="127"/>
      <c r="D179" s="138"/>
      <c r="E179" s="138"/>
      <c r="F179" s="58" t="str" cm="1">
        <f>IFERROR(IF(ISBLANK($A179),"",INDEX(Array_StationaryCharges,MATCH($A179,List_StationaryFuelMeters,0),ROUNDUP((COLUMN()+1)/3-2,0))),"")</f>
        <v/>
      </c>
      <c r="G179" s="127"/>
      <c r="H179" s="127"/>
      <c r="I179" s="58" t="str" cm="1">
        <f>IFERROR(IF(ISBLANK($A179),"",INDEX(Array_StationaryCharges,MATCH($A179,List_StationaryFuelMeters,0),ROUNDUP((COLUMN()+1)/3-2,0))),"")</f>
        <v/>
      </c>
      <c r="J179" s="127"/>
      <c r="K179" s="127"/>
      <c r="L179" s="58" t="str" cm="1">
        <f>IFERROR(IF(ISBLANK($A179),"",INDEX(Array_StationaryCharges,MATCH($A179,List_StationaryFuelMeters,0),ROUNDUP((COLUMN()+1)/3-2,0))),"")</f>
        <v/>
      </c>
      <c r="M179" s="127"/>
      <c r="N179" s="127"/>
      <c r="O179" s="58" t="str" cm="1">
        <f>IFERROR(IF(ISBLANK($A179),"",INDEX(Array_StationaryCharges,MATCH($A179,List_StationaryFuelMeters,0),ROUNDUP((COLUMN()+1)/3-2,0))),"")</f>
        <v/>
      </c>
      <c r="P179" s="127"/>
      <c r="Q179" s="127"/>
      <c r="R179" s="58" t="str" cm="1">
        <f>IFERROR(IF(ISBLANK($A179),"",INDEX(Array_StationaryCharges,MATCH($A179,List_StationaryFuelMeters,0),ROUNDUP((COLUMN()+1)/3-2,0))),"")</f>
        <v/>
      </c>
      <c r="S179" s="127"/>
      <c r="T179" s="127"/>
      <c r="U179" s="58" t="str" cm="1">
        <f>IFERROR(IF(ISBLANK($A179),"",INDEX(Array_StationaryCharges,MATCH($A179,List_StationaryFuelMeters,0),ROUNDUP((COLUMN()+1)/3-2,0))),"")</f>
        <v/>
      </c>
      <c r="V179" s="127"/>
      <c r="W179" s="127"/>
      <c r="X179" s="58" t="str" cm="1">
        <f>IFERROR(IF(ISBLANK($A179),"",INDEX(Array_StationaryCharges,MATCH($A179,List_StationaryFuelMeters,0),ROUNDUP((COLUMN()+1)/3-2,0))),"")</f>
        <v/>
      </c>
      <c r="Y179" s="127"/>
      <c r="Z179" s="127"/>
      <c r="AA179" s="58" t="str" cm="1">
        <f>IFERROR(IF(ISBLANK($A179),"",INDEX(Array_StationaryCharges,MATCH($A179,List_StationaryFuelMeters,0),ROUNDUP((COLUMN()+1)/3-2,0))),"")</f>
        <v/>
      </c>
      <c r="AB179" s="127"/>
      <c r="AC179" s="127"/>
      <c r="AD179" s="58" t="str" cm="1">
        <f>IFERROR(IF(ISBLANK($A179),"",INDEX(Array_StationaryCharges,MATCH($A179,List_StationaryFuelMeters,0),ROUNDUP((COLUMN()+1)/3-2,0))),"")</f>
        <v/>
      </c>
      <c r="AE179" s="127"/>
      <c r="AF179" s="127"/>
      <c r="AG179" s="58" t="str" cm="1">
        <f>IFERROR(IF(ISBLANK($A179),"",INDEX(Array_StationaryCharges,MATCH($A179,List_StationaryFuelMeters,0),ROUNDUP((COLUMN()+1)/3-2,0))),"")</f>
        <v/>
      </c>
      <c r="AH179" s="127"/>
      <c r="AI179" s="127"/>
      <c r="AJ179" s="58" t="str" cm="1">
        <f>IFERROR(IF(ISBLANK($A179),"",INDEX(Array_StationaryCharges,MATCH($A179,List_StationaryFuelMeters,0),ROUNDUP((COLUMN()+1)/3-2,0))),"")</f>
        <v/>
      </c>
      <c r="AK179" s="127"/>
      <c r="AL179" s="127"/>
      <c r="AM179" s="58" t="str" cm="1">
        <f>IFERROR(IF(ISBLANK($A179),"",INDEX(Array_StationaryCharges,MATCH($A179,List_StationaryFuelMeters,0),ROUNDUP((COLUMN()+1)/3-2,0))),"")</f>
        <v/>
      </c>
      <c r="AN179" s="127"/>
      <c r="AO179" s="127"/>
      <c r="AP179" s="58" t="str" cm="1">
        <f>IFERROR(IF(ISBLANK($A179),"",INDEX(Array_StationaryCharges,MATCH($A179,List_StationaryFuelMeters,0),ROUNDUP((COLUMN()+1)/3-2,0))),"")</f>
        <v/>
      </c>
      <c r="AQ179" s="127"/>
      <c r="AR179" s="127"/>
      <c r="AS179" s="58" t="str" cm="1">
        <f>IFERROR(IF(ISBLANK($A179),"",INDEX(Array_StationaryCharges,MATCH($A179,List_StationaryFuelMeters,0),ROUNDUP((COLUMN()+1)/3-2,0))),"")</f>
        <v/>
      </c>
      <c r="AT179" s="127"/>
      <c r="AU179" s="127"/>
      <c r="AV179" s="58" t="str" cm="1">
        <f>IFERROR(IF(ISBLANK($A179),"",INDEX(Array_StationaryCharges,MATCH($A179,List_StationaryFuelMeters,0),ROUNDUP((COLUMN()+1)/3-2,0))),"")</f>
        <v/>
      </c>
      <c r="AW179" s="127"/>
      <c r="AX179" s="127"/>
    </row>
    <row r="180" spans="1:50" x14ac:dyDescent="0.3">
      <c r="A180" s="126"/>
      <c r="B180" s="133"/>
      <c r="C180" s="127"/>
      <c r="D180" s="138"/>
      <c r="E180" s="138"/>
      <c r="F180" s="58" t="str" cm="1">
        <f>IFERROR(IF(ISBLANK($A180),"",INDEX(Array_StationaryCharges,MATCH($A180,List_StationaryFuelMeters,0),ROUNDUP((COLUMN()+1)/3-2,0))),"")</f>
        <v/>
      </c>
      <c r="G180" s="127"/>
      <c r="H180" s="127"/>
      <c r="I180" s="58" t="str" cm="1">
        <f>IFERROR(IF(ISBLANK($A180),"",INDEX(Array_StationaryCharges,MATCH($A180,List_StationaryFuelMeters,0),ROUNDUP((COLUMN()+1)/3-2,0))),"")</f>
        <v/>
      </c>
      <c r="J180" s="127"/>
      <c r="K180" s="127"/>
      <c r="L180" s="58" t="str" cm="1">
        <f>IFERROR(IF(ISBLANK($A180),"",INDEX(Array_StationaryCharges,MATCH($A180,List_StationaryFuelMeters,0),ROUNDUP((COLUMN()+1)/3-2,0))),"")</f>
        <v/>
      </c>
      <c r="M180" s="127"/>
      <c r="N180" s="127"/>
      <c r="O180" s="58" t="str" cm="1">
        <f>IFERROR(IF(ISBLANK($A180),"",INDEX(Array_StationaryCharges,MATCH($A180,List_StationaryFuelMeters,0),ROUNDUP((COLUMN()+1)/3-2,0))),"")</f>
        <v/>
      </c>
      <c r="P180" s="127"/>
      <c r="Q180" s="127"/>
      <c r="R180" s="58" t="str" cm="1">
        <f>IFERROR(IF(ISBLANK($A180),"",INDEX(Array_StationaryCharges,MATCH($A180,List_StationaryFuelMeters,0),ROUNDUP((COLUMN()+1)/3-2,0))),"")</f>
        <v/>
      </c>
      <c r="S180" s="127"/>
      <c r="T180" s="127"/>
      <c r="U180" s="58" t="str" cm="1">
        <f>IFERROR(IF(ISBLANK($A180),"",INDEX(Array_StationaryCharges,MATCH($A180,List_StationaryFuelMeters,0),ROUNDUP((COLUMN()+1)/3-2,0))),"")</f>
        <v/>
      </c>
      <c r="V180" s="127"/>
      <c r="W180" s="127"/>
      <c r="X180" s="58" t="str" cm="1">
        <f>IFERROR(IF(ISBLANK($A180),"",INDEX(Array_StationaryCharges,MATCH($A180,List_StationaryFuelMeters,0),ROUNDUP((COLUMN()+1)/3-2,0))),"")</f>
        <v/>
      </c>
      <c r="Y180" s="127"/>
      <c r="Z180" s="127"/>
      <c r="AA180" s="58" t="str" cm="1">
        <f>IFERROR(IF(ISBLANK($A180),"",INDEX(Array_StationaryCharges,MATCH($A180,List_StationaryFuelMeters,0),ROUNDUP((COLUMN()+1)/3-2,0))),"")</f>
        <v/>
      </c>
      <c r="AB180" s="127"/>
      <c r="AC180" s="127"/>
      <c r="AD180" s="58" t="str" cm="1">
        <f>IFERROR(IF(ISBLANK($A180),"",INDEX(Array_StationaryCharges,MATCH($A180,List_StationaryFuelMeters,0),ROUNDUP((COLUMN()+1)/3-2,0))),"")</f>
        <v/>
      </c>
      <c r="AE180" s="127"/>
      <c r="AF180" s="127"/>
      <c r="AG180" s="58" t="str" cm="1">
        <f>IFERROR(IF(ISBLANK($A180),"",INDEX(Array_StationaryCharges,MATCH($A180,List_StationaryFuelMeters,0),ROUNDUP((COLUMN()+1)/3-2,0))),"")</f>
        <v/>
      </c>
      <c r="AH180" s="127"/>
      <c r="AI180" s="127"/>
      <c r="AJ180" s="58" t="str" cm="1">
        <f>IFERROR(IF(ISBLANK($A180),"",INDEX(Array_StationaryCharges,MATCH($A180,List_StationaryFuelMeters,0),ROUNDUP((COLUMN()+1)/3-2,0))),"")</f>
        <v/>
      </c>
      <c r="AK180" s="127"/>
      <c r="AL180" s="127"/>
      <c r="AM180" s="58" t="str" cm="1">
        <f>IFERROR(IF(ISBLANK($A180),"",INDEX(Array_StationaryCharges,MATCH($A180,List_StationaryFuelMeters,0),ROUNDUP((COLUMN()+1)/3-2,0))),"")</f>
        <v/>
      </c>
      <c r="AN180" s="127"/>
      <c r="AO180" s="127"/>
      <c r="AP180" s="58" t="str" cm="1">
        <f>IFERROR(IF(ISBLANK($A180),"",INDEX(Array_StationaryCharges,MATCH($A180,List_StationaryFuelMeters,0),ROUNDUP((COLUMN()+1)/3-2,0))),"")</f>
        <v/>
      </c>
      <c r="AQ180" s="127"/>
      <c r="AR180" s="127"/>
      <c r="AS180" s="58" t="str" cm="1">
        <f>IFERROR(IF(ISBLANK($A180),"",INDEX(Array_StationaryCharges,MATCH($A180,List_StationaryFuelMeters,0),ROUNDUP((COLUMN()+1)/3-2,0))),"")</f>
        <v/>
      </c>
      <c r="AT180" s="127"/>
      <c r="AU180" s="127"/>
      <c r="AV180" s="58" t="str" cm="1">
        <f>IFERROR(IF(ISBLANK($A180),"",INDEX(Array_StationaryCharges,MATCH($A180,List_StationaryFuelMeters,0),ROUNDUP((COLUMN()+1)/3-2,0))),"")</f>
        <v/>
      </c>
      <c r="AW180" s="127"/>
      <c r="AX180" s="127"/>
    </row>
    <row r="181" spans="1:50" x14ac:dyDescent="0.3">
      <c r="A181" s="126"/>
      <c r="B181" s="133"/>
      <c r="C181" s="127"/>
      <c r="D181" s="138"/>
      <c r="E181" s="138"/>
      <c r="F181" s="58" t="str" cm="1">
        <f>IFERROR(IF(ISBLANK($A181),"",INDEX(Array_StationaryCharges,MATCH($A181,List_StationaryFuelMeters,0),ROUNDUP((COLUMN()+1)/3-2,0))),"")</f>
        <v/>
      </c>
      <c r="G181" s="127"/>
      <c r="H181" s="127"/>
      <c r="I181" s="58" t="str" cm="1">
        <f>IFERROR(IF(ISBLANK($A181),"",INDEX(Array_StationaryCharges,MATCH($A181,List_StationaryFuelMeters,0),ROUNDUP((COLUMN()+1)/3-2,0))),"")</f>
        <v/>
      </c>
      <c r="J181" s="127"/>
      <c r="K181" s="127"/>
      <c r="L181" s="58" t="str" cm="1">
        <f>IFERROR(IF(ISBLANK($A181),"",INDEX(Array_StationaryCharges,MATCH($A181,List_StationaryFuelMeters,0),ROUNDUP((COLUMN()+1)/3-2,0))),"")</f>
        <v/>
      </c>
      <c r="M181" s="127"/>
      <c r="N181" s="127"/>
      <c r="O181" s="58" t="str" cm="1">
        <f>IFERROR(IF(ISBLANK($A181),"",INDEX(Array_StationaryCharges,MATCH($A181,List_StationaryFuelMeters,0),ROUNDUP((COLUMN()+1)/3-2,0))),"")</f>
        <v/>
      </c>
      <c r="P181" s="127"/>
      <c r="Q181" s="127"/>
      <c r="R181" s="58" t="str" cm="1">
        <f>IFERROR(IF(ISBLANK($A181),"",INDEX(Array_StationaryCharges,MATCH($A181,List_StationaryFuelMeters,0),ROUNDUP((COLUMN()+1)/3-2,0))),"")</f>
        <v/>
      </c>
      <c r="S181" s="127"/>
      <c r="T181" s="127"/>
      <c r="U181" s="58" t="str" cm="1">
        <f>IFERROR(IF(ISBLANK($A181),"",INDEX(Array_StationaryCharges,MATCH($A181,List_StationaryFuelMeters,0),ROUNDUP((COLUMN()+1)/3-2,0))),"")</f>
        <v/>
      </c>
      <c r="V181" s="127"/>
      <c r="W181" s="127"/>
      <c r="X181" s="58" t="str" cm="1">
        <f>IFERROR(IF(ISBLANK($A181),"",INDEX(Array_StationaryCharges,MATCH($A181,List_StationaryFuelMeters,0),ROUNDUP((COLUMN()+1)/3-2,0))),"")</f>
        <v/>
      </c>
      <c r="Y181" s="127"/>
      <c r="Z181" s="127"/>
      <c r="AA181" s="58" t="str" cm="1">
        <f>IFERROR(IF(ISBLANK($A181),"",INDEX(Array_StationaryCharges,MATCH($A181,List_StationaryFuelMeters,0),ROUNDUP((COLUMN()+1)/3-2,0))),"")</f>
        <v/>
      </c>
      <c r="AB181" s="127"/>
      <c r="AC181" s="127"/>
      <c r="AD181" s="58" t="str" cm="1">
        <f>IFERROR(IF(ISBLANK($A181),"",INDEX(Array_StationaryCharges,MATCH($A181,List_StationaryFuelMeters,0),ROUNDUP((COLUMN()+1)/3-2,0))),"")</f>
        <v/>
      </c>
      <c r="AE181" s="127"/>
      <c r="AF181" s="127"/>
      <c r="AG181" s="58" t="str" cm="1">
        <f>IFERROR(IF(ISBLANK($A181),"",INDEX(Array_StationaryCharges,MATCH($A181,List_StationaryFuelMeters,0),ROUNDUP((COLUMN()+1)/3-2,0))),"")</f>
        <v/>
      </c>
      <c r="AH181" s="127"/>
      <c r="AI181" s="127"/>
      <c r="AJ181" s="58" t="str" cm="1">
        <f>IFERROR(IF(ISBLANK($A181),"",INDEX(Array_StationaryCharges,MATCH($A181,List_StationaryFuelMeters,0),ROUNDUP((COLUMN()+1)/3-2,0))),"")</f>
        <v/>
      </c>
      <c r="AK181" s="127"/>
      <c r="AL181" s="127"/>
      <c r="AM181" s="58" t="str" cm="1">
        <f>IFERROR(IF(ISBLANK($A181),"",INDEX(Array_StationaryCharges,MATCH($A181,List_StationaryFuelMeters,0),ROUNDUP((COLUMN()+1)/3-2,0))),"")</f>
        <v/>
      </c>
      <c r="AN181" s="127"/>
      <c r="AO181" s="127"/>
      <c r="AP181" s="58" t="str" cm="1">
        <f>IFERROR(IF(ISBLANK($A181),"",INDEX(Array_StationaryCharges,MATCH($A181,List_StationaryFuelMeters,0),ROUNDUP((COLUMN()+1)/3-2,0))),"")</f>
        <v/>
      </c>
      <c r="AQ181" s="127"/>
      <c r="AR181" s="127"/>
      <c r="AS181" s="58" t="str" cm="1">
        <f>IFERROR(IF(ISBLANK($A181),"",INDEX(Array_StationaryCharges,MATCH($A181,List_StationaryFuelMeters,0),ROUNDUP((COLUMN()+1)/3-2,0))),"")</f>
        <v/>
      </c>
      <c r="AT181" s="127"/>
      <c r="AU181" s="127"/>
      <c r="AV181" s="58" t="str" cm="1">
        <f>IFERROR(IF(ISBLANK($A181),"",INDEX(Array_StationaryCharges,MATCH($A181,List_StationaryFuelMeters,0),ROUNDUP((COLUMN()+1)/3-2,0))),"")</f>
        <v/>
      </c>
      <c r="AW181" s="127"/>
      <c r="AX181" s="127"/>
    </row>
    <row r="182" spans="1:50" x14ac:dyDescent="0.3">
      <c r="A182" s="126"/>
      <c r="B182" s="133"/>
      <c r="C182" s="127"/>
      <c r="D182" s="138"/>
      <c r="E182" s="138"/>
      <c r="F182" s="58" t="str" cm="1">
        <f>IFERROR(IF(ISBLANK($A182),"",INDEX(Array_StationaryCharges,MATCH($A182,List_StationaryFuelMeters,0),ROUNDUP((COLUMN()+1)/3-2,0))),"")</f>
        <v/>
      </c>
      <c r="G182" s="127"/>
      <c r="H182" s="127"/>
      <c r="I182" s="58" t="str" cm="1">
        <f>IFERROR(IF(ISBLANK($A182),"",INDEX(Array_StationaryCharges,MATCH($A182,List_StationaryFuelMeters,0),ROUNDUP((COLUMN()+1)/3-2,0))),"")</f>
        <v/>
      </c>
      <c r="J182" s="127"/>
      <c r="K182" s="127"/>
      <c r="L182" s="58" t="str" cm="1">
        <f>IFERROR(IF(ISBLANK($A182),"",INDEX(Array_StationaryCharges,MATCH($A182,List_StationaryFuelMeters,0),ROUNDUP((COLUMN()+1)/3-2,0))),"")</f>
        <v/>
      </c>
      <c r="M182" s="127"/>
      <c r="N182" s="127"/>
      <c r="O182" s="58" t="str" cm="1">
        <f>IFERROR(IF(ISBLANK($A182),"",INDEX(Array_StationaryCharges,MATCH($A182,List_StationaryFuelMeters,0),ROUNDUP((COLUMN()+1)/3-2,0))),"")</f>
        <v/>
      </c>
      <c r="P182" s="127"/>
      <c r="Q182" s="127"/>
      <c r="R182" s="58" t="str" cm="1">
        <f>IFERROR(IF(ISBLANK($A182),"",INDEX(Array_StationaryCharges,MATCH($A182,List_StationaryFuelMeters,0),ROUNDUP((COLUMN()+1)/3-2,0))),"")</f>
        <v/>
      </c>
      <c r="S182" s="127"/>
      <c r="T182" s="127"/>
      <c r="U182" s="58" t="str" cm="1">
        <f>IFERROR(IF(ISBLANK($A182),"",INDEX(Array_StationaryCharges,MATCH($A182,List_StationaryFuelMeters,0),ROUNDUP((COLUMN()+1)/3-2,0))),"")</f>
        <v/>
      </c>
      <c r="V182" s="127"/>
      <c r="W182" s="127"/>
      <c r="X182" s="58" t="str" cm="1">
        <f>IFERROR(IF(ISBLANK($A182),"",INDEX(Array_StationaryCharges,MATCH($A182,List_StationaryFuelMeters,0),ROUNDUP((COLUMN()+1)/3-2,0))),"")</f>
        <v/>
      </c>
      <c r="Y182" s="127"/>
      <c r="Z182" s="127"/>
      <c r="AA182" s="58" t="str" cm="1">
        <f>IFERROR(IF(ISBLANK($A182),"",INDEX(Array_StationaryCharges,MATCH($A182,List_StationaryFuelMeters,0),ROUNDUP((COLUMN()+1)/3-2,0))),"")</f>
        <v/>
      </c>
      <c r="AB182" s="127"/>
      <c r="AC182" s="127"/>
      <c r="AD182" s="58" t="str" cm="1">
        <f>IFERROR(IF(ISBLANK($A182),"",INDEX(Array_StationaryCharges,MATCH($A182,List_StationaryFuelMeters,0),ROUNDUP((COLUMN()+1)/3-2,0))),"")</f>
        <v/>
      </c>
      <c r="AE182" s="127"/>
      <c r="AF182" s="127"/>
      <c r="AG182" s="58" t="str" cm="1">
        <f>IFERROR(IF(ISBLANK($A182),"",INDEX(Array_StationaryCharges,MATCH($A182,List_StationaryFuelMeters,0),ROUNDUP((COLUMN()+1)/3-2,0))),"")</f>
        <v/>
      </c>
      <c r="AH182" s="127"/>
      <c r="AI182" s="127"/>
      <c r="AJ182" s="58" t="str" cm="1">
        <f>IFERROR(IF(ISBLANK($A182),"",INDEX(Array_StationaryCharges,MATCH($A182,List_StationaryFuelMeters,0),ROUNDUP((COLUMN()+1)/3-2,0))),"")</f>
        <v/>
      </c>
      <c r="AK182" s="127"/>
      <c r="AL182" s="127"/>
      <c r="AM182" s="58" t="str" cm="1">
        <f>IFERROR(IF(ISBLANK($A182),"",INDEX(Array_StationaryCharges,MATCH($A182,List_StationaryFuelMeters,0),ROUNDUP((COLUMN()+1)/3-2,0))),"")</f>
        <v/>
      </c>
      <c r="AN182" s="127"/>
      <c r="AO182" s="127"/>
      <c r="AP182" s="58" t="str" cm="1">
        <f>IFERROR(IF(ISBLANK($A182),"",INDEX(Array_StationaryCharges,MATCH($A182,List_StationaryFuelMeters,0),ROUNDUP((COLUMN()+1)/3-2,0))),"")</f>
        <v/>
      </c>
      <c r="AQ182" s="127"/>
      <c r="AR182" s="127"/>
      <c r="AS182" s="58" t="str" cm="1">
        <f>IFERROR(IF(ISBLANK($A182),"",INDEX(Array_StationaryCharges,MATCH($A182,List_StationaryFuelMeters,0),ROUNDUP((COLUMN()+1)/3-2,0))),"")</f>
        <v/>
      </c>
      <c r="AT182" s="127"/>
      <c r="AU182" s="127"/>
      <c r="AV182" s="58" t="str" cm="1">
        <f>IFERROR(IF(ISBLANK($A182),"",INDEX(Array_StationaryCharges,MATCH($A182,List_StationaryFuelMeters,0),ROUNDUP((COLUMN()+1)/3-2,0))),"")</f>
        <v/>
      </c>
      <c r="AW182" s="127"/>
      <c r="AX182" s="127"/>
    </row>
    <row r="183" spans="1:50" x14ac:dyDescent="0.3">
      <c r="A183" s="126"/>
      <c r="B183" s="133"/>
      <c r="C183" s="127"/>
      <c r="D183" s="138"/>
      <c r="E183" s="138"/>
      <c r="F183" s="58" t="str" cm="1">
        <f>IFERROR(IF(ISBLANK($A183),"",INDEX(Array_StationaryCharges,MATCH($A183,List_StationaryFuelMeters,0),ROUNDUP((COLUMN()+1)/3-2,0))),"")</f>
        <v/>
      </c>
      <c r="G183" s="127"/>
      <c r="H183" s="127"/>
      <c r="I183" s="58" t="str" cm="1">
        <f>IFERROR(IF(ISBLANK($A183),"",INDEX(Array_StationaryCharges,MATCH($A183,List_StationaryFuelMeters,0),ROUNDUP((COLUMN()+1)/3-2,0))),"")</f>
        <v/>
      </c>
      <c r="J183" s="127"/>
      <c r="K183" s="127"/>
      <c r="L183" s="58" t="str" cm="1">
        <f>IFERROR(IF(ISBLANK($A183),"",INDEX(Array_StationaryCharges,MATCH($A183,List_StationaryFuelMeters,0),ROUNDUP((COLUMN()+1)/3-2,0))),"")</f>
        <v/>
      </c>
      <c r="M183" s="127"/>
      <c r="N183" s="127"/>
      <c r="O183" s="58" t="str" cm="1">
        <f>IFERROR(IF(ISBLANK($A183),"",INDEX(Array_StationaryCharges,MATCH($A183,List_StationaryFuelMeters,0),ROUNDUP((COLUMN()+1)/3-2,0))),"")</f>
        <v/>
      </c>
      <c r="P183" s="127"/>
      <c r="Q183" s="127"/>
      <c r="R183" s="58" t="str" cm="1">
        <f>IFERROR(IF(ISBLANK($A183),"",INDEX(Array_StationaryCharges,MATCH($A183,List_StationaryFuelMeters,0),ROUNDUP((COLUMN()+1)/3-2,0))),"")</f>
        <v/>
      </c>
      <c r="S183" s="127"/>
      <c r="T183" s="127"/>
      <c r="U183" s="58" t="str" cm="1">
        <f>IFERROR(IF(ISBLANK($A183),"",INDEX(Array_StationaryCharges,MATCH($A183,List_StationaryFuelMeters,0),ROUNDUP((COLUMN()+1)/3-2,0))),"")</f>
        <v/>
      </c>
      <c r="V183" s="127"/>
      <c r="W183" s="127"/>
      <c r="X183" s="58" t="str" cm="1">
        <f>IFERROR(IF(ISBLANK($A183),"",INDEX(Array_StationaryCharges,MATCH($A183,List_StationaryFuelMeters,0),ROUNDUP((COLUMN()+1)/3-2,0))),"")</f>
        <v/>
      </c>
      <c r="Y183" s="127"/>
      <c r="Z183" s="127"/>
      <c r="AA183" s="58" t="str" cm="1">
        <f>IFERROR(IF(ISBLANK($A183),"",INDEX(Array_StationaryCharges,MATCH($A183,List_StationaryFuelMeters,0),ROUNDUP((COLUMN()+1)/3-2,0))),"")</f>
        <v/>
      </c>
      <c r="AB183" s="127"/>
      <c r="AC183" s="127"/>
      <c r="AD183" s="58" t="str" cm="1">
        <f>IFERROR(IF(ISBLANK($A183),"",INDEX(Array_StationaryCharges,MATCH($A183,List_StationaryFuelMeters,0),ROUNDUP((COLUMN()+1)/3-2,0))),"")</f>
        <v/>
      </c>
      <c r="AE183" s="127"/>
      <c r="AF183" s="127"/>
      <c r="AG183" s="58" t="str" cm="1">
        <f>IFERROR(IF(ISBLANK($A183),"",INDEX(Array_StationaryCharges,MATCH($A183,List_StationaryFuelMeters,0),ROUNDUP((COLUMN()+1)/3-2,0))),"")</f>
        <v/>
      </c>
      <c r="AH183" s="127"/>
      <c r="AI183" s="127"/>
      <c r="AJ183" s="58" t="str" cm="1">
        <f>IFERROR(IF(ISBLANK($A183),"",INDEX(Array_StationaryCharges,MATCH($A183,List_StationaryFuelMeters,0),ROUNDUP((COLUMN()+1)/3-2,0))),"")</f>
        <v/>
      </c>
      <c r="AK183" s="127"/>
      <c r="AL183" s="127"/>
      <c r="AM183" s="58" t="str" cm="1">
        <f>IFERROR(IF(ISBLANK($A183),"",INDEX(Array_StationaryCharges,MATCH($A183,List_StationaryFuelMeters,0),ROUNDUP((COLUMN()+1)/3-2,0))),"")</f>
        <v/>
      </c>
      <c r="AN183" s="127"/>
      <c r="AO183" s="127"/>
      <c r="AP183" s="58" t="str" cm="1">
        <f>IFERROR(IF(ISBLANK($A183),"",INDEX(Array_StationaryCharges,MATCH($A183,List_StationaryFuelMeters,0),ROUNDUP((COLUMN()+1)/3-2,0))),"")</f>
        <v/>
      </c>
      <c r="AQ183" s="127"/>
      <c r="AR183" s="127"/>
      <c r="AS183" s="58" t="str" cm="1">
        <f>IFERROR(IF(ISBLANK($A183),"",INDEX(Array_StationaryCharges,MATCH($A183,List_StationaryFuelMeters,0),ROUNDUP((COLUMN()+1)/3-2,0))),"")</f>
        <v/>
      </c>
      <c r="AT183" s="127"/>
      <c r="AU183" s="127"/>
      <c r="AV183" s="58" t="str" cm="1">
        <f>IFERROR(IF(ISBLANK($A183),"",INDEX(Array_StationaryCharges,MATCH($A183,List_StationaryFuelMeters,0),ROUNDUP((COLUMN()+1)/3-2,0))),"")</f>
        <v/>
      </c>
      <c r="AW183" s="127"/>
      <c r="AX183" s="127"/>
    </row>
    <row r="184" spans="1:50" x14ac:dyDescent="0.3">
      <c r="A184" s="126"/>
      <c r="B184" s="133"/>
      <c r="C184" s="127"/>
      <c r="D184" s="138"/>
      <c r="E184" s="138"/>
      <c r="F184" s="58" t="str" cm="1">
        <f>IFERROR(IF(ISBLANK($A184),"",INDEX(Array_StationaryCharges,MATCH($A184,List_StationaryFuelMeters,0),ROUNDUP((COLUMN()+1)/3-2,0))),"")</f>
        <v/>
      </c>
      <c r="G184" s="127"/>
      <c r="H184" s="127"/>
      <c r="I184" s="58" t="str" cm="1">
        <f>IFERROR(IF(ISBLANK($A184),"",INDEX(Array_StationaryCharges,MATCH($A184,List_StationaryFuelMeters,0),ROUNDUP((COLUMN()+1)/3-2,0))),"")</f>
        <v/>
      </c>
      <c r="J184" s="127"/>
      <c r="K184" s="127"/>
      <c r="L184" s="58" t="str" cm="1">
        <f>IFERROR(IF(ISBLANK($A184),"",INDEX(Array_StationaryCharges,MATCH($A184,List_StationaryFuelMeters,0),ROUNDUP((COLUMN()+1)/3-2,0))),"")</f>
        <v/>
      </c>
      <c r="M184" s="127"/>
      <c r="N184" s="127"/>
      <c r="O184" s="58" t="str" cm="1">
        <f>IFERROR(IF(ISBLANK($A184),"",INDEX(Array_StationaryCharges,MATCH($A184,List_StationaryFuelMeters,0),ROUNDUP((COLUMN()+1)/3-2,0))),"")</f>
        <v/>
      </c>
      <c r="P184" s="127"/>
      <c r="Q184" s="127"/>
      <c r="R184" s="58" t="str" cm="1">
        <f>IFERROR(IF(ISBLANK($A184),"",INDEX(Array_StationaryCharges,MATCH($A184,List_StationaryFuelMeters,0),ROUNDUP((COLUMN()+1)/3-2,0))),"")</f>
        <v/>
      </c>
      <c r="S184" s="127"/>
      <c r="T184" s="127"/>
      <c r="U184" s="58" t="str" cm="1">
        <f>IFERROR(IF(ISBLANK($A184),"",INDEX(Array_StationaryCharges,MATCH($A184,List_StationaryFuelMeters,0),ROUNDUP((COLUMN()+1)/3-2,0))),"")</f>
        <v/>
      </c>
      <c r="V184" s="127"/>
      <c r="W184" s="127"/>
      <c r="X184" s="58" t="str" cm="1">
        <f>IFERROR(IF(ISBLANK($A184),"",INDEX(Array_StationaryCharges,MATCH($A184,List_StationaryFuelMeters,0),ROUNDUP((COLUMN()+1)/3-2,0))),"")</f>
        <v/>
      </c>
      <c r="Y184" s="127"/>
      <c r="Z184" s="127"/>
      <c r="AA184" s="58" t="str" cm="1">
        <f>IFERROR(IF(ISBLANK($A184),"",INDEX(Array_StationaryCharges,MATCH($A184,List_StationaryFuelMeters,0),ROUNDUP((COLUMN()+1)/3-2,0))),"")</f>
        <v/>
      </c>
      <c r="AB184" s="127"/>
      <c r="AC184" s="127"/>
      <c r="AD184" s="58" t="str" cm="1">
        <f>IFERROR(IF(ISBLANK($A184),"",INDEX(Array_StationaryCharges,MATCH($A184,List_StationaryFuelMeters,0),ROUNDUP((COLUMN()+1)/3-2,0))),"")</f>
        <v/>
      </c>
      <c r="AE184" s="127"/>
      <c r="AF184" s="127"/>
      <c r="AG184" s="58" t="str" cm="1">
        <f>IFERROR(IF(ISBLANK($A184),"",INDEX(Array_StationaryCharges,MATCH($A184,List_StationaryFuelMeters,0),ROUNDUP((COLUMN()+1)/3-2,0))),"")</f>
        <v/>
      </c>
      <c r="AH184" s="127"/>
      <c r="AI184" s="127"/>
      <c r="AJ184" s="58" t="str" cm="1">
        <f>IFERROR(IF(ISBLANK($A184),"",INDEX(Array_StationaryCharges,MATCH($A184,List_StationaryFuelMeters,0),ROUNDUP((COLUMN()+1)/3-2,0))),"")</f>
        <v/>
      </c>
      <c r="AK184" s="127"/>
      <c r="AL184" s="127"/>
      <c r="AM184" s="58" t="str" cm="1">
        <f>IFERROR(IF(ISBLANK($A184),"",INDEX(Array_StationaryCharges,MATCH($A184,List_StationaryFuelMeters,0),ROUNDUP((COLUMN()+1)/3-2,0))),"")</f>
        <v/>
      </c>
      <c r="AN184" s="127"/>
      <c r="AO184" s="127"/>
      <c r="AP184" s="58" t="str" cm="1">
        <f>IFERROR(IF(ISBLANK($A184),"",INDEX(Array_StationaryCharges,MATCH($A184,List_StationaryFuelMeters,0),ROUNDUP((COLUMN()+1)/3-2,0))),"")</f>
        <v/>
      </c>
      <c r="AQ184" s="127"/>
      <c r="AR184" s="127"/>
      <c r="AS184" s="58" t="str" cm="1">
        <f>IFERROR(IF(ISBLANK($A184),"",INDEX(Array_StationaryCharges,MATCH($A184,List_StationaryFuelMeters,0),ROUNDUP((COLUMN()+1)/3-2,0))),"")</f>
        <v/>
      </c>
      <c r="AT184" s="127"/>
      <c r="AU184" s="127"/>
      <c r="AV184" s="58" t="str" cm="1">
        <f>IFERROR(IF(ISBLANK($A184),"",INDEX(Array_StationaryCharges,MATCH($A184,List_StationaryFuelMeters,0),ROUNDUP((COLUMN()+1)/3-2,0))),"")</f>
        <v/>
      </c>
      <c r="AW184" s="127"/>
      <c r="AX184" s="127"/>
    </row>
    <row r="185" spans="1:50" x14ac:dyDescent="0.3">
      <c r="A185" s="126"/>
      <c r="B185" s="133"/>
      <c r="C185" s="127"/>
      <c r="D185" s="138"/>
      <c r="E185" s="138"/>
      <c r="F185" s="58" t="str" cm="1">
        <f>IFERROR(IF(ISBLANK($A185),"",INDEX(Array_StationaryCharges,MATCH($A185,List_StationaryFuelMeters,0),ROUNDUP((COLUMN()+1)/3-2,0))),"")</f>
        <v/>
      </c>
      <c r="G185" s="127"/>
      <c r="H185" s="127"/>
      <c r="I185" s="58" t="str" cm="1">
        <f>IFERROR(IF(ISBLANK($A185),"",INDEX(Array_StationaryCharges,MATCH($A185,List_StationaryFuelMeters,0),ROUNDUP((COLUMN()+1)/3-2,0))),"")</f>
        <v/>
      </c>
      <c r="J185" s="127"/>
      <c r="K185" s="127"/>
      <c r="L185" s="58" t="str" cm="1">
        <f>IFERROR(IF(ISBLANK($A185),"",INDEX(Array_StationaryCharges,MATCH($A185,List_StationaryFuelMeters,0),ROUNDUP((COLUMN()+1)/3-2,0))),"")</f>
        <v/>
      </c>
      <c r="M185" s="127"/>
      <c r="N185" s="127"/>
      <c r="O185" s="58" t="str" cm="1">
        <f>IFERROR(IF(ISBLANK($A185),"",INDEX(Array_StationaryCharges,MATCH($A185,List_StationaryFuelMeters,0),ROUNDUP((COLUMN()+1)/3-2,0))),"")</f>
        <v/>
      </c>
      <c r="P185" s="127"/>
      <c r="Q185" s="127"/>
      <c r="R185" s="58" t="str" cm="1">
        <f>IFERROR(IF(ISBLANK($A185),"",INDEX(Array_StationaryCharges,MATCH($A185,List_StationaryFuelMeters,0),ROUNDUP((COLUMN()+1)/3-2,0))),"")</f>
        <v/>
      </c>
      <c r="S185" s="127"/>
      <c r="T185" s="127"/>
      <c r="U185" s="58" t="str" cm="1">
        <f>IFERROR(IF(ISBLANK($A185),"",INDEX(Array_StationaryCharges,MATCH($A185,List_StationaryFuelMeters,0),ROUNDUP((COLUMN()+1)/3-2,0))),"")</f>
        <v/>
      </c>
      <c r="V185" s="127"/>
      <c r="W185" s="127"/>
      <c r="X185" s="58" t="str" cm="1">
        <f>IFERROR(IF(ISBLANK($A185),"",INDEX(Array_StationaryCharges,MATCH($A185,List_StationaryFuelMeters,0),ROUNDUP((COLUMN()+1)/3-2,0))),"")</f>
        <v/>
      </c>
      <c r="Y185" s="127"/>
      <c r="Z185" s="127"/>
      <c r="AA185" s="58" t="str" cm="1">
        <f>IFERROR(IF(ISBLANK($A185),"",INDEX(Array_StationaryCharges,MATCH($A185,List_StationaryFuelMeters,0),ROUNDUP((COLUMN()+1)/3-2,0))),"")</f>
        <v/>
      </c>
      <c r="AB185" s="127"/>
      <c r="AC185" s="127"/>
      <c r="AD185" s="58" t="str" cm="1">
        <f>IFERROR(IF(ISBLANK($A185),"",INDEX(Array_StationaryCharges,MATCH($A185,List_StationaryFuelMeters,0),ROUNDUP((COLUMN()+1)/3-2,0))),"")</f>
        <v/>
      </c>
      <c r="AE185" s="127"/>
      <c r="AF185" s="127"/>
      <c r="AG185" s="58" t="str" cm="1">
        <f>IFERROR(IF(ISBLANK($A185),"",INDEX(Array_StationaryCharges,MATCH($A185,List_StationaryFuelMeters,0),ROUNDUP((COLUMN()+1)/3-2,0))),"")</f>
        <v/>
      </c>
      <c r="AH185" s="127"/>
      <c r="AI185" s="127"/>
      <c r="AJ185" s="58" t="str" cm="1">
        <f>IFERROR(IF(ISBLANK($A185),"",INDEX(Array_StationaryCharges,MATCH($A185,List_StationaryFuelMeters,0),ROUNDUP((COLUMN()+1)/3-2,0))),"")</f>
        <v/>
      </c>
      <c r="AK185" s="127"/>
      <c r="AL185" s="127"/>
      <c r="AM185" s="58" t="str" cm="1">
        <f>IFERROR(IF(ISBLANK($A185),"",INDEX(Array_StationaryCharges,MATCH($A185,List_StationaryFuelMeters,0),ROUNDUP((COLUMN()+1)/3-2,0))),"")</f>
        <v/>
      </c>
      <c r="AN185" s="127"/>
      <c r="AO185" s="127"/>
      <c r="AP185" s="58" t="str" cm="1">
        <f>IFERROR(IF(ISBLANK($A185),"",INDEX(Array_StationaryCharges,MATCH($A185,List_StationaryFuelMeters,0),ROUNDUP((COLUMN()+1)/3-2,0))),"")</f>
        <v/>
      </c>
      <c r="AQ185" s="127"/>
      <c r="AR185" s="127"/>
      <c r="AS185" s="58" t="str" cm="1">
        <f>IFERROR(IF(ISBLANK($A185),"",INDEX(Array_StationaryCharges,MATCH($A185,List_StationaryFuelMeters,0),ROUNDUP((COLUMN()+1)/3-2,0))),"")</f>
        <v/>
      </c>
      <c r="AT185" s="127"/>
      <c r="AU185" s="127"/>
      <c r="AV185" s="58" t="str" cm="1">
        <f>IFERROR(IF(ISBLANK($A185),"",INDEX(Array_StationaryCharges,MATCH($A185,List_StationaryFuelMeters,0),ROUNDUP((COLUMN()+1)/3-2,0))),"")</f>
        <v/>
      </c>
      <c r="AW185" s="127"/>
      <c r="AX185" s="127"/>
    </row>
    <row r="186" spans="1:50" x14ac:dyDescent="0.3">
      <c r="A186" s="126"/>
      <c r="B186" s="133"/>
      <c r="C186" s="127"/>
      <c r="D186" s="138"/>
      <c r="E186" s="138"/>
      <c r="F186" s="58" t="str" cm="1">
        <f>IFERROR(IF(ISBLANK($A186),"",INDEX(Array_StationaryCharges,MATCH($A186,List_StationaryFuelMeters,0),ROUNDUP((COLUMN()+1)/3-2,0))),"")</f>
        <v/>
      </c>
      <c r="G186" s="127"/>
      <c r="H186" s="127"/>
      <c r="I186" s="58" t="str" cm="1">
        <f>IFERROR(IF(ISBLANK($A186),"",INDEX(Array_StationaryCharges,MATCH($A186,List_StationaryFuelMeters,0),ROUNDUP((COLUMN()+1)/3-2,0))),"")</f>
        <v/>
      </c>
      <c r="J186" s="127"/>
      <c r="K186" s="127"/>
      <c r="L186" s="58" t="str" cm="1">
        <f>IFERROR(IF(ISBLANK($A186),"",INDEX(Array_StationaryCharges,MATCH($A186,List_StationaryFuelMeters,0),ROUNDUP((COLUMN()+1)/3-2,0))),"")</f>
        <v/>
      </c>
      <c r="M186" s="127"/>
      <c r="N186" s="127"/>
      <c r="O186" s="58" t="str" cm="1">
        <f>IFERROR(IF(ISBLANK($A186),"",INDEX(Array_StationaryCharges,MATCH($A186,List_StationaryFuelMeters,0),ROUNDUP((COLUMN()+1)/3-2,0))),"")</f>
        <v/>
      </c>
      <c r="P186" s="127"/>
      <c r="Q186" s="127"/>
      <c r="R186" s="58" t="str" cm="1">
        <f>IFERROR(IF(ISBLANK($A186),"",INDEX(Array_StationaryCharges,MATCH($A186,List_StationaryFuelMeters,0),ROUNDUP((COLUMN()+1)/3-2,0))),"")</f>
        <v/>
      </c>
      <c r="S186" s="127"/>
      <c r="T186" s="127"/>
      <c r="U186" s="58" t="str" cm="1">
        <f>IFERROR(IF(ISBLANK($A186),"",INDEX(Array_StationaryCharges,MATCH($A186,List_StationaryFuelMeters,0),ROUNDUP((COLUMN()+1)/3-2,0))),"")</f>
        <v/>
      </c>
      <c r="V186" s="127"/>
      <c r="W186" s="127"/>
      <c r="X186" s="58" t="str" cm="1">
        <f>IFERROR(IF(ISBLANK($A186),"",INDEX(Array_StationaryCharges,MATCH($A186,List_StationaryFuelMeters,0),ROUNDUP((COLUMN()+1)/3-2,0))),"")</f>
        <v/>
      </c>
      <c r="Y186" s="127"/>
      <c r="Z186" s="127"/>
      <c r="AA186" s="58" t="str" cm="1">
        <f>IFERROR(IF(ISBLANK($A186),"",INDEX(Array_StationaryCharges,MATCH($A186,List_StationaryFuelMeters,0),ROUNDUP((COLUMN()+1)/3-2,0))),"")</f>
        <v/>
      </c>
      <c r="AB186" s="127"/>
      <c r="AC186" s="127"/>
      <c r="AD186" s="58" t="str" cm="1">
        <f>IFERROR(IF(ISBLANK($A186),"",INDEX(Array_StationaryCharges,MATCH($A186,List_StationaryFuelMeters,0),ROUNDUP((COLUMN()+1)/3-2,0))),"")</f>
        <v/>
      </c>
      <c r="AE186" s="127"/>
      <c r="AF186" s="127"/>
      <c r="AG186" s="58" t="str" cm="1">
        <f>IFERROR(IF(ISBLANK($A186),"",INDEX(Array_StationaryCharges,MATCH($A186,List_StationaryFuelMeters,0),ROUNDUP((COLUMN()+1)/3-2,0))),"")</f>
        <v/>
      </c>
      <c r="AH186" s="127"/>
      <c r="AI186" s="127"/>
      <c r="AJ186" s="58" t="str" cm="1">
        <f>IFERROR(IF(ISBLANK($A186),"",INDEX(Array_StationaryCharges,MATCH($A186,List_StationaryFuelMeters,0),ROUNDUP((COLUMN()+1)/3-2,0))),"")</f>
        <v/>
      </c>
      <c r="AK186" s="127"/>
      <c r="AL186" s="127"/>
      <c r="AM186" s="58" t="str" cm="1">
        <f>IFERROR(IF(ISBLANK($A186),"",INDEX(Array_StationaryCharges,MATCH($A186,List_StationaryFuelMeters,0),ROUNDUP((COLUMN()+1)/3-2,0))),"")</f>
        <v/>
      </c>
      <c r="AN186" s="127"/>
      <c r="AO186" s="127"/>
      <c r="AP186" s="58" t="str" cm="1">
        <f>IFERROR(IF(ISBLANK($A186),"",INDEX(Array_StationaryCharges,MATCH($A186,List_StationaryFuelMeters,0),ROUNDUP((COLUMN()+1)/3-2,0))),"")</f>
        <v/>
      </c>
      <c r="AQ186" s="127"/>
      <c r="AR186" s="127"/>
      <c r="AS186" s="58" t="str" cm="1">
        <f>IFERROR(IF(ISBLANK($A186),"",INDEX(Array_StationaryCharges,MATCH($A186,List_StationaryFuelMeters,0),ROUNDUP((COLUMN()+1)/3-2,0))),"")</f>
        <v/>
      </c>
      <c r="AT186" s="127"/>
      <c r="AU186" s="127"/>
      <c r="AV186" s="58" t="str" cm="1">
        <f>IFERROR(IF(ISBLANK($A186),"",INDEX(Array_StationaryCharges,MATCH($A186,List_StationaryFuelMeters,0),ROUNDUP((COLUMN()+1)/3-2,0))),"")</f>
        <v/>
      </c>
      <c r="AW186" s="127"/>
      <c r="AX186" s="127"/>
    </row>
    <row r="187" spans="1:50" x14ac:dyDescent="0.3">
      <c r="A187" s="126"/>
      <c r="B187" s="133"/>
      <c r="C187" s="127"/>
      <c r="D187" s="138"/>
      <c r="E187" s="138"/>
      <c r="F187" s="58" t="str" cm="1">
        <f>IFERROR(IF(ISBLANK($A187),"",INDEX(Array_StationaryCharges,MATCH($A187,List_StationaryFuelMeters,0),ROUNDUP((COLUMN()+1)/3-2,0))),"")</f>
        <v/>
      </c>
      <c r="G187" s="127"/>
      <c r="H187" s="127"/>
      <c r="I187" s="58" t="str" cm="1">
        <f>IFERROR(IF(ISBLANK($A187),"",INDEX(Array_StationaryCharges,MATCH($A187,List_StationaryFuelMeters,0),ROUNDUP((COLUMN()+1)/3-2,0))),"")</f>
        <v/>
      </c>
      <c r="J187" s="127"/>
      <c r="K187" s="127"/>
      <c r="L187" s="58" t="str" cm="1">
        <f>IFERROR(IF(ISBLANK($A187),"",INDEX(Array_StationaryCharges,MATCH($A187,List_StationaryFuelMeters,0),ROUNDUP((COLUMN()+1)/3-2,0))),"")</f>
        <v/>
      </c>
      <c r="M187" s="127"/>
      <c r="N187" s="127"/>
      <c r="O187" s="58" t="str" cm="1">
        <f>IFERROR(IF(ISBLANK($A187),"",INDEX(Array_StationaryCharges,MATCH($A187,List_StationaryFuelMeters,0),ROUNDUP((COLUMN()+1)/3-2,0))),"")</f>
        <v/>
      </c>
      <c r="P187" s="127"/>
      <c r="Q187" s="127"/>
      <c r="R187" s="58" t="str" cm="1">
        <f>IFERROR(IF(ISBLANK($A187),"",INDEX(Array_StationaryCharges,MATCH($A187,List_StationaryFuelMeters,0),ROUNDUP((COLUMN()+1)/3-2,0))),"")</f>
        <v/>
      </c>
      <c r="S187" s="127"/>
      <c r="T187" s="127"/>
      <c r="U187" s="58" t="str" cm="1">
        <f>IFERROR(IF(ISBLANK($A187),"",INDEX(Array_StationaryCharges,MATCH($A187,List_StationaryFuelMeters,0),ROUNDUP((COLUMN()+1)/3-2,0))),"")</f>
        <v/>
      </c>
      <c r="V187" s="127"/>
      <c r="W187" s="127"/>
      <c r="X187" s="58" t="str" cm="1">
        <f>IFERROR(IF(ISBLANK($A187),"",INDEX(Array_StationaryCharges,MATCH($A187,List_StationaryFuelMeters,0),ROUNDUP((COLUMN()+1)/3-2,0))),"")</f>
        <v/>
      </c>
      <c r="Y187" s="127"/>
      <c r="Z187" s="127"/>
      <c r="AA187" s="58" t="str" cm="1">
        <f>IFERROR(IF(ISBLANK($A187),"",INDEX(Array_StationaryCharges,MATCH($A187,List_StationaryFuelMeters,0),ROUNDUP((COLUMN()+1)/3-2,0))),"")</f>
        <v/>
      </c>
      <c r="AB187" s="127"/>
      <c r="AC187" s="127"/>
      <c r="AD187" s="58" t="str" cm="1">
        <f>IFERROR(IF(ISBLANK($A187),"",INDEX(Array_StationaryCharges,MATCH($A187,List_StationaryFuelMeters,0),ROUNDUP((COLUMN()+1)/3-2,0))),"")</f>
        <v/>
      </c>
      <c r="AE187" s="127"/>
      <c r="AF187" s="127"/>
      <c r="AG187" s="58" t="str" cm="1">
        <f>IFERROR(IF(ISBLANK($A187),"",INDEX(Array_StationaryCharges,MATCH($A187,List_StationaryFuelMeters,0),ROUNDUP((COLUMN()+1)/3-2,0))),"")</f>
        <v/>
      </c>
      <c r="AH187" s="127"/>
      <c r="AI187" s="127"/>
      <c r="AJ187" s="58" t="str" cm="1">
        <f>IFERROR(IF(ISBLANK($A187),"",INDEX(Array_StationaryCharges,MATCH($A187,List_StationaryFuelMeters,0),ROUNDUP((COLUMN()+1)/3-2,0))),"")</f>
        <v/>
      </c>
      <c r="AK187" s="127"/>
      <c r="AL187" s="127"/>
      <c r="AM187" s="58" t="str" cm="1">
        <f>IFERROR(IF(ISBLANK($A187),"",INDEX(Array_StationaryCharges,MATCH($A187,List_StationaryFuelMeters,0),ROUNDUP((COLUMN()+1)/3-2,0))),"")</f>
        <v/>
      </c>
      <c r="AN187" s="127"/>
      <c r="AO187" s="127"/>
      <c r="AP187" s="58" t="str" cm="1">
        <f>IFERROR(IF(ISBLANK($A187),"",INDEX(Array_StationaryCharges,MATCH($A187,List_StationaryFuelMeters,0),ROUNDUP((COLUMN()+1)/3-2,0))),"")</f>
        <v/>
      </c>
      <c r="AQ187" s="127"/>
      <c r="AR187" s="127"/>
      <c r="AS187" s="58" t="str" cm="1">
        <f>IFERROR(IF(ISBLANK($A187),"",INDEX(Array_StationaryCharges,MATCH($A187,List_StationaryFuelMeters,0),ROUNDUP((COLUMN()+1)/3-2,0))),"")</f>
        <v/>
      </c>
      <c r="AT187" s="127"/>
      <c r="AU187" s="127"/>
      <c r="AV187" s="58" t="str" cm="1">
        <f>IFERROR(IF(ISBLANK($A187),"",INDEX(Array_StationaryCharges,MATCH($A187,List_StationaryFuelMeters,0),ROUNDUP((COLUMN()+1)/3-2,0))),"")</f>
        <v/>
      </c>
      <c r="AW187" s="127"/>
      <c r="AX187" s="127"/>
    </row>
    <row r="188" spans="1:50" x14ac:dyDescent="0.3">
      <c r="A188" s="126"/>
      <c r="B188" s="133"/>
      <c r="C188" s="127"/>
      <c r="D188" s="138"/>
      <c r="E188" s="138"/>
      <c r="F188" s="58" t="str" cm="1">
        <f>IFERROR(IF(ISBLANK($A188),"",INDEX(Array_StationaryCharges,MATCH($A188,List_StationaryFuelMeters,0),ROUNDUP((COLUMN()+1)/3-2,0))),"")</f>
        <v/>
      </c>
      <c r="G188" s="127"/>
      <c r="H188" s="127"/>
      <c r="I188" s="58" t="str" cm="1">
        <f>IFERROR(IF(ISBLANK($A188),"",INDEX(Array_StationaryCharges,MATCH($A188,List_StationaryFuelMeters,0),ROUNDUP((COLUMN()+1)/3-2,0))),"")</f>
        <v/>
      </c>
      <c r="J188" s="127"/>
      <c r="K188" s="127"/>
      <c r="L188" s="58" t="str" cm="1">
        <f>IFERROR(IF(ISBLANK($A188),"",INDEX(Array_StationaryCharges,MATCH($A188,List_StationaryFuelMeters,0),ROUNDUP((COLUMN()+1)/3-2,0))),"")</f>
        <v/>
      </c>
      <c r="M188" s="127"/>
      <c r="N188" s="127"/>
      <c r="O188" s="58" t="str" cm="1">
        <f>IFERROR(IF(ISBLANK($A188),"",INDEX(Array_StationaryCharges,MATCH($A188,List_StationaryFuelMeters,0),ROUNDUP((COLUMN()+1)/3-2,0))),"")</f>
        <v/>
      </c>
      <c r="P188" s="127"/>
      <c r="Q188" s="127"/>
      <c r="R188" s="58" t="str" cm="1">
        <f>IFERROR(IF(ISBLANK($A188),"",INDEX(Array_StationaryCharges,MATCH($A188,List_StationaryFuelMeters,0),ROUNDUP((COLUMN()+1)/3-2,0))),"")</f>
        <v/>
      </c>
      <c r="S188" s="127"/>
      <c r="T188" s="127"/>
      <c r="U188" s="58" t="str" cm="1">
        <f>IFERROR(IF(ISBLANK($A188),"",INDEX(Array_StationaryCharges,MATCH($A188,List_StationaryFuelMeters,0),ROUNDUP((COLUMN()+1)/3-2,0))),"")</f>
        <v/>
      </c>
      <c r="V188" s="127"/>
      <c r="W188" s="127"/>
      <c r="X188" s="58" t="str" cm="1">
        <f>IFERROR(IF(ISBLANK($A188),"",INDEX(Array_StationaryCharges,MATCH($A188,List_StationaryFuelMeters,0),ROUNDUP((COLUMN()+1)/3-2,0))),"")</f>
        <v/>
      </c>
      <c r="Y188" s="127"/>
      <c r="Z188" s="127"/>
      <c r="AA188" s="58" t="str" cm="1">
        <f>IFERROR(IF(ISBLANK($A188),"",INDEX(Array_StationaryCharges,MATCH($A188,List_StationaryFuelMeters,0),ROUNDUP((COLUMN()+1)/3-2,0))),"")</f>
        <v/>
      </c>
      <c r="AB188" s="127"/>
      <c r="AC188" s="127"/>
      <c r="AD188" s="58" t="str" cm="1">
        <f>IFERROR(IF(ISBLANK($A188),"",INDEX(Array_StationaryCharges,MATCH($A188,List_StationaryFuelMeters,0),ROUNDUP((COLUMN()+1)/3-2,0))),"")</f>
        <v/>
      </c>
      <c r="AE188" s="127"/>
      <c r="AF188" s="127"/>
      <c r="AG188" s="58" t="str" cm="1">
        <f>IFERROR(IF(ISBLANK($A188),"",INDEX(Array_StationaryCharges,MATCH($A188,List_StationaryFuelMeters,0),ROUNDUP((COLUMN()+1)/3-2,0))),"")</f>
        <v/>
      </c>
      <c r="AH188" s="127"/>
      <c r="AI188" s="127"/>
      <c r="AJ188" s="58" t="str" cm="1">
        <f>IFERROR(IF(ISBLANK($A188),"",INDEX(Array_StationaryCharges,MATCH($A188,List_StationaryFuelMeters,0),ROUNDUP((COLUMN()+1)/3-2,0))),"")</f>
        <v/>
      </c>
      <c r="AK188" s="127"/>
      <c r="AL188" s="127"/>
      <c r="AM188" s="58" t="str" cm="1">
        <f>IFERROR(IF(ISBLANK($A188),"",INDEX(Array_StationaryCharges,MATCH($A188,List_StationaryFuelMeters,0),ROUNDUP((COLUMN()+1)/3-2,0))),"")</f>
        <v/>
      </c>
      <c r="AN188" s="127"/>
      <c r="AO188" s="127"/>
      <c r="AP188" s="58" t="str" cm="1">
        <f>IFERROR(IF(ISBLANK($A188),"",INDEX(Array_StationaryCharges,MATCH($A188,List_StationaryFuelMeters,0),ROUNDUP((COLUMN()+1)/3-2,0))),"")</f>
        <v/>
      </c>
      <c r="AQ188" s="127"/>
      <c r="AR188" s="127"/>
      <c r="AS188" s="58" t="str" cm="1">
        <f>IFERROR(IF(ISBLANK($A188),"",INDEX(Array_StationaryCharges,MATCH($A188,List_StationaryFuelMeters,0),ROUNDUP((COLUMN()+1)/3-2,0))),"")</f>
        <v/>
      </c>
      <c r="AT188" s="127"/>
      <c r="AU188" s="127"/>
      <c r="AV188" s="58" t="str" cm="1">
        <f>IFERROR(IF(ISBLANK($A188),"",INDEX(Array_StationaryCharges,MATCH($A188,List_StationaryFuelMeters,0),ROUNDUP((COLUMN()+1)/3-2,0))),"")</f>
        <v/>
      </c>
      <c r="AW188" s="127"/>
      <c r="AX188" s="127"/>
    </row>
    <row r="189" spans="1:50" x14ac:dyDescent="0.3">
      <c r="A189" s="126"/>
      <c r="B189" s="133"/>
      <c r="C189" s="127"/>
      <c r="D189" s="138"/>
      <c r="E189" s="138"/>
      <c r="F189" s="58" t="str" cm="1">
        <f>IFERROR(IF(ISBLANK($A189),"",INDEX(Array_StationaryCharges,MATCH($A189,List_StationaryFuelMeters,0),ROUNDUP((COLUMN()+1)/3-2,0))),"")</f>
        <v/>
      </c>
      <c r="G189" s="127"/>
      <c r="H189" s="127"/>
      <c r="I189" s="58" t="str" cm="1">
        <f>IFERROR(IF(ISBLANK($A189),"",INDEX(Array_StationaryCharges,MATCH($A189,List_StationaryFuelMeters,0),ROUNDUP((COLUMN()+1)/3-2,0))),"")</f>
        <v/>
      </c>
      <c r="J189" s="127"/>
      <c r="K189" s="127"/>
      <c r="L189" s="58" t="str" cm="1">
        <f>IFERROR(IF(ISBLANK($A189),"",INDEX(Array_StationaryCharges,MATCH($A189,List_StationaryFuelMeters,0),ROUNDUP((COLUMN()+1)/3-2,0))),"")</f>
        <v/>
      </c>
      <c r="M189" s="127"/>
      <c r="N189" s="127"/>
      <c r="O189" s="58" t="str" cm="1">
        <f>IFERROR(IF(ISBLANK($A189),"",INDEX(Array_StationaryCharges,MATCH($A189,List_StationaryFuelMeters,0),ROUNDUP((COLUMN()+1)/3-2,0))),"")</f>
        <v/>
      </c>
      <c r="P189" s="127"/>
      <c r="Q189" s="127"/>
      <c r="R189" s="58" t="str" cm="1">
        <f>IFERROR(IF(ISBLANK($A189),"",INDEX(Array_StationaryCharges,MATCH($A189,List_StationaryFuelMeters,0),ROUNDUP((COLUMN()+1)/3-2,0))),"")</f>
        <v/>
      </c>
      <c r="S189" s="127"/>
      <c r="T189" s="127"/>
      <c r="U189" s="58" t="str" cm="1">
        <f>IFERROR(IF(ISBLANK($A189),"",INDEX(Array_StationaryCharges,MATCH($A189,List_StationaryFuelMeters,0),ROUNDUP((COLUMN()+1)/3-2,0))),"")</f>
        <v/>
      </c>
      <c r="V189" s="127"/>
      <c r="W189" s="127"/>
      <c r="X189" s="58" t="str" cm="1">
        <f>IFERROR(IF(ISBLANK($A189),"",INDEX(Array_StationaryCharges,MATCH($A189,List_StationaryFuelMeters,0),ROUNDUP((COLUMN()+1)/3-2,0))),"")</f>
        <v/>
      </c>
      <c r="Y189" s="127"/>
      <c r="Z189" s="127"/>
      <c r="AA189" s="58" t="str" cm="1">
        <f>IFERROR(IF(ISBLANK($A189),"",INDEX(Array_StationaryCharges,MATCH($A189,List_StationaryFuelMeters,0),ROUNDUP((COLUMN()+1)/3-2,0))),"")</f>
        <v/>
      </c>
      <c r="AB189" s="127"/>
      <c r="AC189" s="127"/>
      <c r="AD189" s="58" t="str" cm="1">
        <f>IFERROR(IF(ISBLANK($A189),"",INDEX(Array_StationaryCharges,MATCH($A189,List_StationaryFuelMeters,0),ROUNDUP((COLUMN()+1)/3-2,0))),"")</f>
        <v/>
      </c>
      <c r="AE189" s="127"/>
      <c r="AF189" s="127"/>
      <c r="AG189" s="58" t="str" cm="1">
        <f>IFERROR(IF(ISBLANK($A189),"",INDEX(Array_StationaryCharges,MATCH($A189,List_StationaryFuelMeters,0),ROUNDUP((COLUMN()+1)/3-2,0))),"")</f>
        <v/>
      </c>
      <c r="AH189" s="127"/>
      <c r="AI189" s="127"/>
      <c r="AJ189" s="58" t="str" cm="1">
        <f>IFERROR(IF(ISBLANK($A189),"",INDEX(Array_StationaryCharges,MATCH($A189,List_StationaryFuelMeters,0),ROUNDUP((COLUMN()+1)/3-2,0))),"")</f>
        <v/>
      </c>
      <c r="AK189" s="127"/>
      <c r="AL189" s="127"/>
      <c r="AM189" s="58" t="str" cm="1">
        <f>IFERROR(IF(ISBLANK($A189),"",INDEX(Array_StationaryCharges,MATCH($A189,List_StationaryFuelMeters,0),ROUNDUP((COLUMN()+1)/3-2,0))),"")</f>
        <v/>
      </c>
      <c r="AN189" s="127"/>
      <c r="AO189" s="127"/>
      <c r="AP189" s="58" t="str" cm="1">
        <f>IFERROR(IF(ISBLANK($A189),"",INDEX(Array_StationaryCharges,MATCH($A189,List_StationaryFuelMeters,0),ROUNDUP((COLUMN()+1)/3-2,0))),"")</f>
        <v/>
      </c>
      <c r="AQ189" s="127"/>
      <c r="AR189" s="127"/>
      <c r="AS189" s="58" t="str" cm="1">
        <f>IFERROR(IF(ISBLANK($A189),"",INDEX(Array_StationaryCharges,MATCH($A189,List_StationaryFuelMeters,0),ROUNDUP((COLUMN()+1)/3-2,0))),"")</f>
        <v/>
      </c>
      <c r="AT189" s="127"/>
      <c r="AU189" s="127"/>
      <c r="AV189" s="58" t="str" cm="1">
        <f>IFERROR(IF(ISBLANK($A189),"",INDEX(Array_StationaryCharges,MATCH($A189,List_StationaryFuelMeters,0),ROUNDUP((COLUMN()+1)/3-2,0))),"")</f>
        <v/>
      </c>
      <c r="AW189" s="127"/>
      <c r="AX189" s="127"/>
    </row>
    <row r="190" spans="1:50" x14ac:dyDescent="0.3">
      <c r="A190" s="126"/>
      <c r="B190" s="133"/>
      <c r="C190" s="127"/>
      <c r="D190" s="138"/>
      <c r="E190" s="138"/>
      <c r="F190" s="58" t="str" cm="1">
        <f>IFERROR(IF(ISBLANK($A190),"",INDEX(Array_StationaryCharges,MATCH($A190,List_StationaryFuelMeters,0),ROUNDUP((COLUMN()+1)/3-2,0))),"")</f>
        <v/>
      </c>
      <c r="G190" s="127"/>
      <c r="H190" s="127"/>
      <c r="I190" s="58" t="str" cm="1">
        <f>IFERROR(IF(ISBLANK($A190),"",INDEX(Array_StationaryCharges,MATCH($A190,List_StationaryFuelMeters,0),ROUNDUP((COLUMN()+1)/3-2,0))),"")</f>
        <v/>
      </c>
      <c r="J190" s="127"/>
      <c r="K190" s="127"/>
      <c r="L190" s="58" t="str" cm="1">
        <f>IFERROR(IF(ISBLANK($A190),"",INDEX(Array_StationaryCharges,MATCH($A190,List_StationaryFuelMeters,0),ROUNDUP((COLUMN()+1)/3-2,0))),"")</f>
        <v/>
      </c>
      <c r="M190" s="127"/>
      <c r="N190" s="127"/>
      <c r="O190" s="58" t="str" cm="1">
        <f>IFERROR(IF(ISBLANK($A190),"",INDEX(Array_StationaryCharges,MATCH($A190,List_StationaryFuelMeters,0),ROUNDUP((COLUMN()+1)/3-2,0))),"")</f>
        <v/>
      </c>
      <c r="P190" s="127"/>
      <c r="Q190" s="127"/>
      <c r="R190" s="58" t="str" cm="1">
        <f>IFERROR(IF(ISBLANK($A190),"",INDEX(Array_StationaryCharges,MATCH($A190,List_StationaryFuelMeters,0),ROUNDUP((COLUMN()+1)/3-2,0))),"")</f>
        <v/>
      </c>
      <c r="S190" s="127"/>
      <c r="T190" s="127"/>
      <c r="U190" s="58" t="str" cm="1">
        <f>IFERROR(IF(ISBLANK($A190),"",INDEX(Array_StationaryCharges,MATCH($A190,List_StationaryFuelMeters,0),ROUNDUP((COLUMN()+1)/3-2,0))),"")</f>
        <v/>
      </c>
      <c r="V190" s="127"/>
      <c r="W190" s="127"/>
      <c r="X190" s="58" t="str" cm="1">
        <f>IFERROR(IF(ISBLANK($A190),"",INDEX(Array_StationaryCharges,MATCH($A190,List_StationaryFuelMeters,0),ROUNDUP((COLUMN()+1)/3-2,0))),"")</f>
        <v/>
      </c>
      <c r="Y190" s="127"/>
      <c r="Z190" s="127"/>
      <c r="AA190" s="58" t="str" cm="1">
        <f>IFERROR(IF(ISBLANK($A190),"",INDEX(Array_StationaryCharges,MATCH($A190,List_StationaryFuelMeters,0),ROUNDUP((COLUMN()+1)/3-2,0))),"")</f>
        <v/>
      </c>
      <c r="AB190" s="127"/>
      <c r="AC190" s="127"/>
      <c r="AD190" s="58" t="str" cm="1">
        <f>IFERROR(IF(ISBLANK($A190),"",INDEX(Array_StationaryCharges,MATCH($A190,List_StationaryFuelMeters,0),ROUNDUP((COLUMN()+1)/3-2,0))),"")</f>
        <v/>
      </c>
      <c r="AE190" s="127"/>
      <c r="AF190" s="127"/>
      <c r="AG190" s="58" t="str" cm="1">
        <f>IFERROR(IF(ISBLANK($A190),"",INDEX(Array_StationaryCharges,MATCH($A190,List_StationaryFuelMeters,0),ROUNDUP((COLUMN()+1)/3-2,0))),"")</f>
        <v/>
      </c>
      <c r="AH190" s="127"/>
      <c r="AI190" s="127"/>
      <c r="AJ190" s="58" t="str" cm="1">
        <f>IFERROR(IF(ISBLANK($A190),"",INDEX(Array_StationaryCharges,MATCH($A190,List_StationaryFuelMeters,0),ROUNDUP((COLUMN()+1)/3-2,0))),"")</f>
        <v/>
      </c>
      <c r="AK190" s="127"/>
      <c r="AL190" s="127"/>
      <c r="AM190" s="58" t="str" cm="1">
        <f>IFERROR(IF(ISBLANK($A190),"",INDEX(Array_StationaryCharges,MATCH($A190,List_StationaryFuelMeters,0),ROUNDUP((COLUMN()+1)/3-2,0))),"")</f>
        <v/>
      </c>
      <c r="AN190" s="127"/>
      <c r="AO190" s="127"/>
      <c r="AP190" s="58" t="str" cm="1">
        <f>IFERROR(IF(ISBLANK($A190),"",INDEX(Array_StationaryCharges,MATCH($A190,List_StationaryFuelMeters,0),ROUNDUP((COLUMN()+1)/3-2,0))),"")</f>
        <v/>
      </c>
      <c r="AQ190" s="127"/>
      <c r="AR190" s="127"/>
      <c r="AS190" s="58" t="str" cm="1">
        <f>IFERROR(IF(ISBLANK($A190),"",INDEX(Array_StationaryCharges,MATCH($A190,List_StationaryFuelMeters,0),ROUNDUP((COLUMN()+1)/3-2,0))),"")</f>
        <v/>
      </c>
      <c r="AT190" s="127"/>
      <c r="AU190" s="127"/>
      <c r="AV190" s="58" t="str" cm="1">
        <f>IFERROR(IF(ISBLANK($A190),"",INDEX(Array_StationaryCharges,MATCH($A190,List_StationaryFuelMeters,0),ROUNDUP((COLUMN()+1)/3-2,0))),"")</f>
        <v/>
      </c>
      <c r="AW190" s="127"/>
      <c r="AX190" s="127"/>
    </row>
    <row r="191" spans="1:50" x14ac:dyDescent="0.3">
      <c r="A191" s="126"/>
      <c r="B191" s="133"/>
      <c r="C191" s="127"/>
      <c r="D191" s="138"/>
      <c r="E191" s="138"/>
      <c r="F191" s="58" t="str" cm="1">
        <f>IFERROR(IF(ISBLANK($A191),"",INDEX(Array_StationaryCharges,MATCH($A191,List_StationaryFuelMeters,0),ROUNDUP((COLUMN()+1)/3-2,0))),"")</f>
        <v/>
      </c>
      <c r="G191" s="127"/>
      <c r="H191" s="127"/>
      <c r="I191" s="58" t="str" cm="1">
        <f>IFERROR(IF(ISBLANK($A191),"",INDEX(Array_StationaryCharges,MATCH($A191,List_StationaryFuelMeters,0),ROUNDUP((COLUMN()+1)/3-2,0))),"")</f>
        <v/>
      </c>
      <c r="J191" s="127"/>
      <c r="K191" s="127"/>
      <c r="L191" s="58" t="str" cm="1">
        <f>IFERROR(IF(ISBLANK($A191),"",INDEX(Array_StationaryCharges,MATCH($A191,List_StationaryFuelMeters,0),ROUNDUP((COLUMN()+1)/3-2,0))),"")</f>
        <v/>
      </c>
      <c r="M191" s="127"/>
      <c r="N191" s="127"/>
      <c r="O191" s="58" t="str" cm="1">
        <f>IFERROR(IF(ISBLANK($A191),"",INDEX(Array_StationaryCharges,MATCH($A191,List_StationaryFuelMeters,0),ROUNDUP((COLUMN()+1)/3-2,0))),"")</f>
        <v/>
      </c>
      <c r="P191" s="127"/>
      <c r="Q191" s="127"/>
      <c r="R191" s="58" t="str" cm="1">
        <f>IFERROR(IF(ISBLANK($A191),"",INDEX(Array_StationaryCharges,MATCH($A191,List_StationaryFuelMeters,0),ROUNDUP((COLUMN()+1)/3-2,0))),"")</f>
        <v/>
      </c>
      <c r="S191" s="127"/>
      <c r="T191" s="127"/>
      <c r="U191" s="58" t="str" cm="1">
        <f>IFERROR(IF(ISBLANK($A191),"",INDEX(Array_StationaryCharges,MATCH($A191,List_StationaryFuelMeters,0),ROUNDUP((COLUMN()+1)/3-2,0))),"")</f>
        <v/>
      </c>
      <c r="V191" s="127"/>
      <c r="W191" s="127"/>
      <c r="X191" s="58" t="str" cm="1">
        <f>IFERROR(IF(ISBLANK($A191),"",INDEX(Array_StationaryCharges,MATCH($A191,List_StationaryFuelMeters,0),ROUNDUP((COLUMN()+1)/3-2,0))),"")</f>
        <v/>
      </c>
      <c r="Y191" s="127"/>
      <c r="Z191" s="127"/>
      <c r="AA191" s="58" t="str" cm="1">
        <f>IFERROR(IF(ISBLANK($A191),"",INDEX(Array_StationaryCharges,MATCH($A191,List_StationaryFuelMeters,0),ROUNDUP((COLUMN()+1)/3-2,0))),"")</f>
        <v/>
      </c>
      <c r="AB191" s="127"/>
      <c r="AC191" s="127"/>
      <c r="AD191" s="58" t="str" cm="1">
        <f>IFERROR(IF(ISBLANK($A191),"",INDEX(Array_StationaryCharges,MATCH($A191,List_StationaryFuelMeters,0),ROUNDUP((COLUMN()+1)/3-2,0))),"")</f>
        <v/>
      </c>
      <c r="AE191" s="127"/>
      <c r="AF191" s="127"/>
      <c r="AG191" s="58" t="str" cm="1">
        <f>IFERROR(IF(ISBLANK($A191),"",INDEX(Array_StationaryCharges,MATCH($A191,List_StationaryFuelMeters,0),ROUNDUP((COLUMN()+1)/3-2,0))),"")</f>
        <v/>
      </c>
      <c r="AH191" s="127"/>
      <c r="AI191" s="127"/>
      <c r="AJ191" s="58" t="str" cm="1">
        <f>IFERROR(IF(ISBLANK($A191),"",INDEX(Array_StationaryCharges,MATCH($A191,List_StationaryFuelMeters,0),ROUNDUP((COLUMN()+1)/3-2,0))),"")</f>
        <v/>
      </c>
      <c r="AK191" s="127"/>
      <c r="AL191" s="127"/>
      <c r="AM191" s="58" t="str" cm="1">
        <f>IFERROR(IF(ISBLANK($A191),"",INDEX(Array_StationaryCharges,MATCH($A191,List_StationaryFuelMeters,0),ROUNDUP((COLUMN()+1)/3-2,0))),"")</f>
        <v/>
      </c>
      <c r="AN191" s="127"/>
      <c r="AO191" s="127"/>
      <c r="AP191" s="58" t="str" cm="1">
        <f>IFERROR(IF(ISBLANK($A191),"",INDEX(Array_StationaryCharges,MATCH($A191,List_StationaryFuelMeters,0),ROUNDUP((COLUMN()+1)/3-2,0))),"")</f>
        <v/>
      </c>
      <c r="AQ191" s="127"/>
      <c r="AR191" s="127"/>
      <c r="AS191" s="58" t="str" cm="1">
        <f>IFERROR(IF(ISBLANK($A191),"",INDEX(Array_StationaryCharges,MATCH($A191,List_StationaryFuelMeters,0),ROUNDUP((COLUMN()+1)/3-2,0))),"")</f>
        <v/>
      </c>
      <c r="AT191" s="127"/>
      <c r="AU191" s="127"/>
      <c r="AV191" s="58" t="str" cm="1">
        <f>IFERROR(IF(ISBLANK($A191),"",INDEX(Array_StationaryCharges,MATCH($A191,List_StationaryFuelMeters,0),ROUNDUP((COLUMN()+1)/3-2,0))),"")</f>
        <v/>
      </c>
      <c r="AW191" s="127"/>
      <c r="AX191" s="127"/>
    </row>
    <row r="192" spans="1:50" x14ac:dyDescent="0.3">
      <c r="A192" s="126"/>
      <c r="B192" s="133"/>
      <c r="C192" s="127"/>
      <c r="D192" s="138"/>
      <c r="E192" s="138"/>
      <c r="F192" s="58" t="str" cm="1">
        <f>IFERROR(IF(ISBLANK($A192),"",INDEX(Array_StationaryCharges,MATCH($A192,List_StationaryFuelMeters,0),ROUNDUP((COLUMN()+1)/3-2,0))),"")</f>
        <v/>
      </c>
      <c r="G192" s="127"/>
      <c r="H192" s="127"/>
      <c r="I192" s="58" t="str" cm="1">
        <f>IFERROR(IF(ISBLANK($A192),"",INDEX(Array_StationaryCharges,MATCH($A192,List_StationaryFuelMeters,0),ROUNDUP((COLUMN()+1)/3-2,0))),"")</f>
        <v/>
      </c>
      <c r="J192" s="127"/>
      <c r="K192" s="127"/>
      <c r="L192" s="58" t="str" cm="1">
        <f>IFERROR(IF(ISBLANK($A192),"",INDEX(Array_StationaryCharges,MATCH($A192,List_StationaryFuelMeters,0),ROUNDUP((COLUMN()+1)/3-2,0))),"")</f>
        <v/>
      </c>
      <c r="M192" s="127"/>
      <c r="N192" s="127"/>
      <c r="O192" s="58" t="str" cm="1">
        <f>IFERROR(IF(ISBLANK($A192),"",INDEX(Array_StationaryCharges,MATCH($A192,List_StationaryFuelMeters,0),ROUNDUP((COLUMN()+1)/3-2,0))),"")</f>
        <v/>
      </c>
      <c r="P192" s="127"/>
      <c r="Q192" s="127"/>
      <c r="R192" s="58" t="str" cm="1">
        <f>IFERROR(IF(ISBLANK($A192),"",INDEX(Array_StationaryCharges,MATCH($A192,List_StationaryFuelMeters,0),ROUNDUP((COLUMN()+1)/3-2,0))),"")</f>
        <v/>
      </c>
      <c r="S192" s="127"/>
      <c r="T192" s="127"/>
      <c r="U192" s="58" t="str" cm="1">
        <f>IFERROR(IF(ISBLANK($A192),"",INDEX(Array_StationaryCharges,MATCH($A192,List_StationaryFuelMeters,0),ROUNDUP((COLUMN()+1)/3-2,0))),"")</f>
        <v/>
      </c>
      <c r="V192" s="127"/>
      <c r="W192" s="127"/>
      <c r="X192" s="58" t="str" cm="1">
        <f>IFERROR(IF(ISBLANK($A192),"",INDEX(Array_StationaryCharges,MATCH($A192,List_StationaryFuelMeters,0),ROUNDUP((COLUMN()+1)/3-2,0))),"")</f>
        <v/>
      </c>
      <c r="Y192" s="127"/>
      <c r="Z192" s="127"/>
      <c r="AA192" s="58" t="str" cm="1">
        <f>IFERROR(IF(ISBLANK($A192),"",INDEX(Array_StationaryCharges,MATCH($A192,List_StationaryFuelMeters,0),ROUNDUP((COLUMN()+1)/3-2,0))),"")</f>
        <v/>
      </c>
      <c r="AB192" s="127"/>
      <c r="AC192" s="127"/>
      <c r="AD192" s="58" t="str" cm="1">
        <f>IFERROR(IF(ISBLANK($A192),"",INDEX(Array_StationaryCharges,MATCH($A192,List_StationaryFuelMeters,0),ROUNDUP((COLUMN()+1)/3-2,0))),"")</f>
        <v/>
      </c>
      <c r="AE192" s="127"/>
      <c r="AF192" s="127"/>
      <c r="AG192" s="58" t="str" cm="1">
        <f>IFERROR(IF(ISBLANK($A192),"",INDEX(Array_StationaryCharges,MATCH($A192,List_StationaryFuelMeters,0),ROUNDUP((COLUMN()+1)/3-2,0))),"")</f>
        <v/>
      </c>
      <c r="AH192" s="127"/>
      <c r="AI192" s="127"/>
      <c r="AJ192" s="58" t="str" cm="1">
        <f>IFERROR(IF(ISBLANK($A192),"",INDEX(Array_StationaryCharges,MATCH($A192,List_StationaryFuelMeters,0),ROUNDUP((COLUMN()+1)/3-2,0))),"")</f>
        <v/>
      </c>
      <c r="AK192" s="127"/>
      <c r="AL192" s="127"/>
      <c r="AM192" s="58" t="str" cm="1">
        <f>IFERROR(IF(ISBLANK($A192),"",INDEX(Array_StationaryCharges,MATCH($A192,List_StationaryFuelMeters,0),ROUNDUP((COLUMN()+1)/3-2,0))),"")</f>
        <v/>
      </c>
      <c r="AN192" s="127"/>
      <c r="AO192" s="127"/>
      <c r="AP192" s="58" t="str" cm="1">
        <f>IFERROR(IF(ISBLANK($A192),"",INDEX(Array_StationaryCharges,MATCH($A192,List_StationaryFuelMeters,0),ROUNDUP((COLUMN()+1)/3-2,0))),"")</f>
        <v/>
      </c>
      <c r="AQ192" s="127"/>
      <c r="AR192" s="127"/>
      <c r="AS192" s="58" t="str" cm="1">
        <f>IFERROR(IF(ISBLANK($A192),"",INDEX(Array_StationaryCharges,MATCH($A192,List_StationaryFuelMeters,0),ROUNDUP((COLUMN()+1)/3-2,0))),"")</f>
        <v/>
      </c>
      <c r="AT192" s="127"/>
      <c r="AU192" s="127"/>
      <c r="AV192" s="58" t="str" cm="1">
        <f>IFERROR(IF(ISBLANK($A192),"",INDEX(Array_StationaryCharges,MATCH($A192,List_StationaryFuelMeters,0),ROUNDUP((COLUMN()+1)/3-2,0))),"")</f>
        <v/>
      </c>
      <c r="AW192" s="127"/>
      <c r="AX192" s="127"/>
    </row>
    <row r="193" spans="1:50" x14ac:dyDescent="0.3">
      <c r="A193" s="126"/>
      <c r="B193" s="133"/>
      <c r="C193" s="127"/>
      <c r="D193" s="138"/>
      <c r="E193" s="138"/>
      <c r="F193" s="58" t="str" cm="1">
        <f>IFERROR(IF(ISBLANK($A193),"",INDEX(Array_StationaryCharges,MATCH($A193,List_StationaryFuelMeters,0),ROUNDUP((COLUMN()+1)/3-2,0))),"")</f>
        <v/>
      </c>
      <c r="G193" s="127"/>
      <c r="H193" s="127"/>
      <c r="I193" s="58" t="str" cm="1">
        <f>IFERROR(IF(ISBLANK($A193),"",INDEX(Array_StationaryCharges,MATCH($A193,List_StationaryFuelMeters,0),ROUNDUP((COLUMN()+1)/3-2,0))),"")</f>
        <v/>
      </c>
      <c r="J193" s="127"/>
      <c r="K193" s="127"/>
      <c r="L193" s="58" t="str" cm="1">
        <f>IFERROR(IF(ISBLANK($A193),"",INDEX(Array_StationaryCharges,MATCH($A193,List_StationaryFuelMeters,0),ROUNDUP((COLUMN()+1)/3-2,0))),"")</f>
        <v/>
      </c>
      <c r="M193" s="127"/>
      <c r="N193" s="127"/>
      <c r="O193" s="58" t="str" cm="1">
        <f>IFERROR(IF(ISBLANK($A193),"",INDEX(Array_StationaryCharges,MATCH($A193,List_StationaryFuelMeters,0),ROUNDUP((COLUMN()+1)/3-2,0))),"")</f>
        <v/>
      </c>
      <c r="P193" s="127"/>
      <c r="Q193" s="127"/>
      <c r="R193" s="58" t="str" cm="1">
        <f>IFERROR(IF(ISBLANK($A193),"",INDEX(Array_StationaryCharges,MATCH($A193,List_StationaryFuelMeters,0),ROUNDUP((COLUMN()+1)/3-2,0))),"")</f>
        <v/>
      </c>
      <c r="S193" s="127"/>
      <c r="T193" s="127"/>
      <c r="U193" s="58" t="str" cm="1">
        <f>IFERROR(IF(ISBLANK($A193),"",INDEX(Array_StationaryCharges,MATCH($A193,List_StationaryFuelMeters,0),ROUNDUP((COLUMN()+1)/3-2,0))),"")</f>
        <v/>
      </c>
      <c r="V193" s="127"/>
      <c r="W193" s="127"/>
      <c r="X193" s="58" t="str" cm="1">
        <f>IFERROR(IF(ISBLANK($A193),"",INDEX(Array_StationaryCharges,MATCH($A193,List_StationaryFuelMeters,0),ROUNDUP((COLUMN()+1)/3-2,0))),"")</f>
        <v/>
      </c>
      <c r="Y193" s="127"/>
      <c r="Z193" s="127"/>
      <c r="AA193" s="58" t="str" cm="1">
        <f>IFERROR(IF(ISBLANK($A193),"",INDEX(Array_StationaryCharges,MATCH($A193,List_StationaryFuelMeters,0),ROUNDUP((COLUMN()+1)/3-2,0))),"")</f>
        <v/>
      </c>
      <c r="AB193" s="127"/>
      <c r="AC193" s="127"/>
      <c r="AD193" s="58" t="str" cm="1">
        <f>IFERROR(IF(ISBLANK($A193),"",INDEX(Array_StationaryCharges,MATCH($A193,List_StationaryFuelMeters,0),ROUNDUP((COLUMN()+1)/3-2,0))),"")</f>
        <v/>
      </c>
      <c r="AE193" s="127"/>
      <c r="AF193" s="127"/>
      <c r="AG193" s="58" t="str" cm="1">
        <f>IFERROR(IF(ISBLANK($A193),"",INDEX(Array_StationaryCharges,MATCH($A193,List_StationaryFuelMeters,0),ROUNDUP((COLUMN()+1)/3-2,0))),"")</f>
        <v/>
      </c>
      <c r="AH193" s="127"/>
      <c r="AI193" s="127"/>
      <c r="AJ193" s="58" t="str" cm="1">
        <f>IFERROR(IF(ISBLANK($A193),"",INDEX(Array_StationaryCharges,MATCH($A193,List_StationaryFuelMeters,0),ROUNDUP((COLUMN()+1)/3-2,0))),"")</f>
        <v/>
      </c>
      <c r="AK193" s="127"/>
      <c r="AL193" s="127"/>
      <c r="AM193" s="58" t="str" cm="1">
        <f>IFERROR(IF(ISBLANK($A193),"",INDEX(Array_StationaryCharges,MATCH($A193,List_StationaryFuelMeters,0),ROUNDUP((COLUMN()+1)/3-2,0))),"")</f>
        <v/>
      </c>
      <c r="AN193" s="127"/>
      <c r="AO193" s="127"/>
      <c r="AP193" s="58" t="str" cm="1">
        <f>IFERROR(IF(ISBLANK($A193),"",INDEX(Array_StationaryCharges,MATCH($A193,List_StationaryFuelMeters,0),ROUNDUP((COLUMN()+1)/3-2,0))),"")</f>
        <v/>
      </c>
      <c r="AQ193" s="127"/>
      <c r="AR193" s="127"/>
      <c r="AS193" s="58" t="str" cm="1">
        <f>IFERROR(IF(ISBLANK($A193),"",INDEX(Array_StationaryCharges,MATCH($A193,List_StationaryFuelMeters,0),ROUNDUP((COLUMN()+1)/3-2,0))),"")</f>
        <v/>
      </c>
      <c r="AT193" s="127"/>
      <c r="AU193" s="127"/>
      <c r="AV193" s="58" t="str" cm="1">
        <f>IFERROR(IF(ISBLANK($A193),"",INDEX(Array_StationaryCharges,MATCH($A193,List_StationaryFuelMeters,0),ROUNDUP((COLUMN()+1)/3-2,0))),"")</f>
        <v/>
      </c>
      <c r="AW193" s="127"/>
      <c r="AX193" s="127"/>
    </row>
    <row r="194" spans="1:50" x14ac:dyDescent="0.3">
      <c r="A194" s="126"/>
      <c r="B194" s="133"/>
      <c r="C194" s="127"/>
      <c r="D194" s="138"/>
      <c r="E194" s="138"/>
      <c r="F194" s="58" t="str" cm="1">
        <f>IFERROR(IF(ISBLANK($A194),"",INDEX(Array_StationaryCharges,MATCH($A194,List_StationaryFuelMeters,0),ROUNDUP((COLUMN()+1)/3-2,0))),"")</f>
        <v/>
      </c>
      <c r="G194" s="127"/>
      <c r="H194" s="127"/>
      <c r="I194" s="58" t="str" cm="1">
        <f>IFERROR(IF(ISBLANK($A194),"",INDEX(Array_StationaryCharges,MATCH($A194,List_StationaryFuelMeters,0),ROUNDUP((COLUMN()+1)/3-2,0))),"")</f>
        <v/>
      </c>
      <c r="J194" s="127"/>
      <c r="K194" s="127"/>
      <c r="L194" s="58" t="str" cm="1">
        <f>IFERROR(IF(ISBLANK($A194),"",INDEX(Array_StationaryCharges,MATCH($A194,List_StationaryFuelMeters,0),ROUNDUP((COLUMN()+1)/3-2,0))),"")</f>
        <v/>
      </c>
      <c r="M194" s="127"/>
      <c r="N194" s="127"/>
      <c r="O194" s="58" t="str" cm="1">
        <f>IFERROR(IF(ISBLANK($A194),"",INDEX(Array_StationaryCharges,MATCH($A194,List_StationaryFuelMeters,0),ROUNDUP((COLUMN()+1)/3-2,0))),"")</f>
        <v/>
      </c>
      <c r="P194" s="127"/>
      <c r="Q194" s="127"/>
      <c r="R194" s="58" t="str" cm="1">
        <f>IFERROR(IF(ISBLANK($A194),"",INDEX(Array_StationaryCharges,MATCH($A194,List_StationaryFuelMeters,0),ROUNDUP((COLUMN()+1)/3-2,0))),"")</f>
        <v/>
      </c>
      <c r="S194" s="127"/>
      <c r="T194" s="127"/>
      <c r="U194" s="58" t="str" cm="1">
        <f>IFERROR(IF(ISBLANK($A194),"",INDEX(Array_StationaryCharges,MATCH($A194,List_StationaryFuelMeters,0),ROUNDUP((COLUMN()+1)/3-2,0))),"")</f>
        <v/>
      </c>
      <c r="V194" s="127"/>
      <c r="W194" s="127"/>
      <c r="X194" s="58" t="str" cm="1">
        <f>IFERROR(IF(ISBLANK($A194),"",INDEX(Array_StationaryCharges,MATCH($A194,List_StationaryFuelMeters,0),ROUNDUP((COLUMN()+1)/3-2,0))),"")</f>
        <v/>
      </c>
      <c r="Y194" s="127"/>
      <c r="Z194" s="127"/>
      <c r="AA194" s="58" t="str" cm="1">
        <f>IFERROR(IF(ISBLANK($A194),"",INDEX(Array_StationaryCharges,MATCH($A194,List_StationaryFuelMeters,0),ROUNDUP((COLUMN()+1)/3-2,0))),"")</f>
        <v/>
      </c>
      <c r="AB194" s="127"/>
      <c r="AC194" s="127"/>
      <c r="AD194" s="58" t="str" cm="1">
        <f>IFERROR(IF(ISBLANK($A194),"",INDEX(Array_StationaryCharges,MATCH($A194,List_StationaryFuelMeters,0),ROUNDUP((COLUMN()+1)/3-2,0))),"")</f>
        <v/>
      </c>
      <c r="AE194" s="127"/>
      <c r="AF194" s="127"/>
      <c r="AG194" s="58" t="str" cm="1">
        <f>IFERROR(IF(ISBLANK($A194),"",INDEX(Array_StationaryCharges,MATCH($A194,List_StationaryFuelMeters,0),ROUNDUP((COLUMN()+1)/3-2,0))),"")</f>
        <v/>
      </c>
      <c r="AH194" s="127"/>
      <c r="AI194" s="127"/>
      <c r="AJ194" s="58" t="str" cm="1">
        <f>IFERROR(IF(ISBLANK($A194),"",INDEX(Array_StationaryCharges,MATCH($A194,List_StationaryFuelMeters,0),ROUNDUP((COLUMN()+1)/3-2,0))),"")</f>
        <v/>
      </c>
      <c r="AK194" s="127"/>
      <c r="AL194" s="127"/>
      <c r="AM194" s="58" t="str" cm="1">
        <f>IFERROR(IF(ISBLANK($A194),"",INDEX(Array_StationaryCharges,MATCH($A194,List_StationaryFuelMeters,0),ROUNDUP((COLUMN()+1)/3-2,0))),"")</f>
        <v/>
      </c>
      <c r="AN194" s="127"/>
      <c r="AO194" s="127"/>
      <c r="AP194" s="58" t="str" cm="1">
        <f>IFERROR(IF(ISBLANK($A194),"",INDEX(Array_StationaryCharges,MATCH($A194,List_StationaryFuelMeters,0),ROUNDUP((COLUMN()+1)/3-2,0))),"")</f>
        <v/>
      </c>
      <c r="AQ194" s="127"/>
      <c r="AR194" s="127"/>
      <c r="AS194" s="58" t="str" cm="1">
        <f>IFERROR(IF(ISBLANK($A194),"",INDEX(Array_StationaryCharges,MATCH($A194,List_StationaryFuelMeters,0),ROUNDUP((COLUMN()+1)/3-2,0))),"")</f>
        <v/>
      </c>
      <c r="AT194" s="127"/>
      <c r="AU194" s="127"/>
      <c r="AV194" s="58" t="str" cm="1">
        <f>IFERROR(IF(ISBLANK($A194),"",INDEX(Array_StationaryCharges,MATCH($A194,List_StationaryFuelMeters,0),ROUNDUP((COLUMN()+1)/3-2,0))),"")</f>
        <v/>
      </c>
      <c r="AW194" s="127"/>
      <c r="AX194" s="127"/>
    </row>
    <row r="195" spans="1:50" x14ac:dyDescent="0.3">
      <c r="A195" s="126"/>
      <c r="B195" s="133"/>
      <c r="C195" s="127"/>
      <c r="D195" s="138"/>
      <c r="E195" s="138"/>
      <c r="F195" s="58" t="str" cm="1">
        <f>IFERROR(IF(ISBLANK($A195),"",INDEX(Array_StationaryCharges,MATCH($A195,List_StationaryFuelMeters,0),ROUNDUP((COLUMN()+1)/3-2,0))),"")</f>
        <v/>
      </c>
      <c r="G195" s="127"/>
      <c r="H195" s="127"/>
      <c r="I195" s="58" t="str" cm="1">
        <f>IFERROR(IF(ISBLANK($A195),"",INDEX(Array_StationaryCharges,MATCH($A195,List_StationaryFuelMeters,0),ROUNDUP((COLUMN()+1)/3-2,0))),"")</f>
        <v/>
      </c>
      <c r="J195" s="127"/>
      <c r="K195" s="127"/>
      <c r="L195" s="58" t="str" cm="1">
        <f>IFERROR(IF(ISBLANK($A195),"",INDEX(Array_StationaryCharges,MATCH($A195,List_StationaryFuelMeters,0),ROUNDUP((COLUMN()+1)/3-2,0))),"")</f>
        <v/>
      </c>
      <c r="M195" s="127"/>
      <c r="N195" s="127"/>
      <c r="O195" s="58" t="str" cm="1">
        <f>IFERROR(IF(ISBLANK($A195),"",INDEX(Array_StationaryCharges,MATCH($A195,List_StationaryFuelMeters,0),ROUNDUP((COLUMN()+1)/3-2,0))),"")</f>
        <v/>
      </c>
      <c r="P195" s="127"/>
      <c r="Q195" s="127"/>
      <c r="R195" s="58" t="str" cm="1">
        <f>IFERROR(IF(ISBLANK($A195),"",INDEX(Array_StationaryCharges,MATCH($A195,List_StationaryFuelMeters,0),ROUNDUP((COLUMN()+1)/3-2,0))),"")</f>
        <v/>
      </c>
      <c r="S195" s="127"/>
      <c r="T195" s="127"/>
      <c r="U195" s="58" t="str" cm="1">
        <f>IFERROR(IF(ISBLANK($A195),"",INDEX(Array_StationaryCharges,MATCH($A195,List_StationaryFuelMeters,0),ROUNDUP((COLUMN()+1)/3-2,0))),"")</f>
        <v/>
      </c>
      <c r="V195" s="127"/>
      <c r="W195" s="127"/>
      <c r="X195" s="58" t="str" cm="1">
        <f>IFERROR(IF(ISBLANK($A195),"",INDEX(Array_StationaryCharges,MATCH($A195,List_StationaryFuelMeters,0),ROUNDUP((COLUMN()+1)/3-2,0))),"")</f>
        <v/>
      </c>
      <c r="Y195" s="127"/>
      <c r="Z195" s="127"/>
      <c r="AA195" s="58" t="str" cm="1">
        <f>IFERROR(IF(ISBLANK($A195),"",INDEX(Array_StationaryCharges,MATCH($A195,List_StationaryFuelMeters,0),ROUNDUP((COLUMN()+1)/3-2,0))),"")</f>
        <v/>
      </c>
      <c r="AB195" s="127"/>
      <c r="AC195" s="127"/>
      <c r="AD195" s="58" t="str" cm="1">
        <f>IFERROR(IF(ISBLANK($A195),"",INDEX(Array_StationaryCharges,MATCH($A195,List_StationaryFuelMeters,0),ROUNDUP((COLUMN()+1)/3-2,0))),"")</f>
        <v/>
      </c>
      <c r="AE195" s="127"/>
      <c r="AF195" s="127"/>
      <c r="AG195" s="58" t="str" cm="1">
        <f>IFERROR(IF(ISBLANK($A195),"",INDEX(Array_StationaryCharges,MATCH($A195,List_StationaryFuelMeters,0),ROUNDUP((COLUMN()+1)/3-2,0))),"")</f>
        <v/>
      </c>
      <c r="AH195" s="127"/>
      <c r="AI195" s="127"/>
      <c r="AJ195" s="58" t="str" cm="1">
        <f>IFERROR(IF(ISBLANK($A195),"",INDEX(Array_StationaryCharges,MATCH($A195,List_StationaryFuelMeters,0),ROUNDUP((COLUMN()+1)/3-2,0))),"")</f>
        <v/>
      </c>
      <c r="AK195" s="127"/>
      <c r="AL195" s="127"/>
      <c r="AM195" s="58" t="str" cm="1">
        <f>IFERROR(IF(ISBLANK($A195),"",INDEX(Array_StationaryCharges,MATCH($A195,List_StationaryFuelMeters,0),ROUNDUP((COLUMN()+1)/3-2,0))),"")</f>
        <v/>
      </c>
      <c r="AN195" s="127"/>
      <c r="AO195" s="127"/>
      <c r="AP195" s="58" t="str" cm="1">
        <f>IFERROR(IF(ISBLANK($A195),"",INDEX(Array_StationaryCharges,MATCH($A195,List_StationaryFuelMeters,0),ROUNDUP((COLUMN()+1)/3-2,0))),"")</f>
        <v/>
      </c>
      <c r="AQ195" s="127"/>
      <c r="AR195" s="127"/>
      <c r="AS195" s="58" t="str" cm="1">
        <f>IFERROR(IF(ISBLANK($A195),"",INDEX(Array_StationaryCharges,MATCH($A195,List_StationaryFuelMeters,0),ROUNDUP((COLUMN()+1)/3-2,0))),"")</f>
        <v/>
      </c>
      <c r="AT195" s="127"/>
      <c r="AU195" s="127"/>
      <c r="AV195" s="58" t="str" cm="1">
        <f>IFERROR(IF(ISBLANK($A195),"",INDEX(Array_StationaryCharges,MATCH($A195,List_StationaryFuelMeters,0),ROUNDUP((COLUMN()+1)/3-2,0))),"")</f>
        <v/>
      </c>
      <c r="AW195" s="127"/>
      <c r="AX195" s="127"/>
    </row>
    <row r="196" spans="1:50" x14ac:dyDescent="0.3">
      <c r="A196" s="126"/>
      <c r="B196" s="133"/>
      <c r="C196" s="127"/>
      <c r="D196" s="138"/>
      <c r="E196" s="138"/>
      <c r="F196" s="58" t="str" cm="1">
        <f>IFERROR(IF(ISBLANK($A196),"",INDEX(Array_StationaryCharges,MATCH($A196,List_StationaryFuelMeters,0),ROUNDUP((COLUMN()+1)/3-2,0))),"")</f>
        <v/>
      </c>
      <c r="G196" s="127"/>
      <c r="H196" s="127"/>
      <c r="I196" s="58" t="str" cm="1">
        <f>IFERROR(IF(ISBLANK($A196),"",INDEX(Array_StationaryCharges,MATCH($A196,List_StationaryFuelMeters,0),ROUNDUP((COLUMN()+1)/3-2,0))),"")</f>
        <v/>
      </c>
      <c r="J196" s="127"/>
      <c r="K196" s="127"/>
      <c r="L196" s="58" t="str" cm="1">
        <f>IFERROR(IF(ISBLANK($A196),"",INDEX(Array_StationaryCharges,MATCH($A196,List_StationaryFuelMeters,0),ROUNDUP((COLUMN()+1)/3-2,0))),"")</f>
        <v/>
      </c>
      <c r="M196" s="127"/>
      <c r="N196" s="127"/>
      <c r="O196" s="58" t="str" cm="1">
        <f>IFERROR(IF(ISBLANK($A196),"",INDEX(Array_StationaryCharges,MATCH($A196,List_StationaryFuelMeters,0),ROUNDUP((COLUMN()+1)/3-2,0))),"")</f>
        <v/>
      </c>
      <c r="P196" s="127"/>
      <c r="Q196" s="127"/>
      <c r="R196" s="58" t="str" cm="1">
        <f>IFERROR(IF(ISBLANK($A196),"",INDEX(Array_StationaryCharges,MATCH($A196,List_StationaryFuelMeters,0),ROUNDUP((COLUMN()+1)/3-2,0))),"")</f>
        <v/>
      </c>
      <c r="S196" s="127"/>
      <c r="T196" s="127"/>
      <c r="U196" s="58" t="str" cm="1">
        <f>IFERROR(IF(ISBLANK($A196),"",INDEX(Array_StationaryCharges,MATCH($A196,List_StationaryFuelMeters,0),ROUNDUP((COLUMN()+1)/3-2,0))),"")</f>
        <v/>
      </c>
      <c r="V196" s="127"/>
      <c r="W196" s="127"/>
      <c r="X196" s="58" t="str" cm="1">
        <f>IFERROR(IF(ISBLANK($A196),"",INDEX(Array_StationaryCharges,MATCH($A196,List_StationaryFuelMeters,0),ROUNDUP((COLUMN()+1)/3-2,0))),"")</f>
        <v/>
      </c>
      <c r="Y196" s="127"/>
      <c r="Z196" s="127"/>
      <c r="AA196" s="58" t="str" cm="1">
        <f>IFERROR(IF(ISBLANK($A196),"",INDEX(Array_StationaryCharges,MATCH($A196,List_StationaryFuelMeters,0),ROUNDUP((COLUMN()+1)/3-2,0))),"")</f>
        <v/>
      </c>
      <c r="AB196" s="127"/>
      <c r="AC196" s="127"/>
      <c r="AD196" s="58" t="str" cm="1">
        <f>IFERROR(IF(ISBLANK($A196),"",INDEX(Array_StationaryCharges,MATCH($A196,List_StationaryFuelMeters,0),ROUNDUP((COLUMN()+1)/3-2,0))),"")</f>
        <v/>
      </c>
      <c r="AE196" s="127"/>
      <c r="AF196" s="127"/>
      <c r="AG196" s="58" t="str" cm="1">
        <f>IFERROR(IF(ISBLANK($A196),"",INDEX(Array_StationaryCharges,MATCH($A196,List_StationaryFuelMeters,0),ROUNDUP((COLUMN()+1)/3-2,0))),"")</f>
        <v/>
      </c>
      <c r="AH196" s="127"/>
      <c r="AI196" s="127"/>
      <c r="AJ196" s="58" t="str" cm="1">
        <f>IFERROR(IF(ISBLANK($A196),"",INDEX(Array_StationaryCharges,MATCH($A196,List_StationaryFuelMeters,0),ROUNDUP((COLUMN()+1)/3-2,0))),"")</f>
        <v/>
      </c>
      <c r="AK196" s="127"/>
      <c r="AL196" s="127"/>
      <c r="AM196" s="58" t="str" cm="1">
        <f>IFERROR(IF(ISBLANK($A196),"",INDEX(Array_StationaryCharges,MATCH($A196,List_StationaryFuelMeters,0),ROUNDUP((COLUMN()+1)/3-2,0))),"")</f>
        <v/>
      </c>
      <c r="AN196" s="127"/>
      <c r="AO196" s="127"/>
      <c r="AP196" s="58" t="str" cm="1">
        <f>IFERROR(IF(ISBLANK($A196),"",INDEX(Array_StationaryCharges,MATCH($A196,List_StationaryFuelMeters,0),ROUNDUP((COLUMN()+1)/3-2,0))),"")</f>
        <v/>
      </c>
      <c r="AQ196" s="127"/>
      <c r="AR196" s="127"/>
      <c r="AS196" s="58" t="str" cm="1">
        <f>IFERROR(IF(ISBLANK($A196),"",INDEX(Array_StationaryCharges,MATCH($A196,List_StationaryFuelMeters,0),ROUNDUP((COLUMN()+1)/3-2,0))),"")</f>
        <v/>
      </c>
      <c r="AT196" s="127"/>
      <c r="AU196" s="127"/>
      <c r="AV196" s="58" t="str" cm="1">
        <f>IFERROR(IF(ISBLANK($A196),"",INDEX(Array_StationaryCharges,MATCH($A196,List_StationaryFuelMeters,0),ROUNDUP((COLUMN()+1)/3-2,0))),"")</f>
        <v/>
      </c>
      <c r="AW196" s="127"/>
      <c r="AX196" s="127"/>
    </row>
    <row r="197" spans="1:50" x14ac:dyDescent="0.3">
      <c r="A197" s="126"/>
      <c r="B197" s="133"/>
      <c r="C197" s="127"/>
      <c r="D197" s="138"/>
      <c r="E197" s="138"/>
      <c r="F197" s="58" t="str" cm="1">
        <f>IFERROR(IF(ISBLANK($A197),"",INDEX(Array_StationaryCharges,MATCH($A197,List_StationaryFuelMeters,0),ROUNDUP((COLUMN()+1)/3-2,0))),"")</f>
        <v/>
      </c>
      <c r="G197" s="127"/>
      <c r="H197" s="127"/>
      <c r="I197" s="58" t="str" cm="1">
        <f>IFERROR(IF(ISBLANK($A197),"",INDEX(Array_StationaryCharges,MATCH($A197,List_StationaryFuelMeters,0),ROUNDUP((COLUMN()+1)/3-2,0))),"")</f>
        <v/>
      </c>
      <c r="J197" s="127"/>
      <c r="K197" s="127"/>
      <c r="L197" s="58" t="str" cm="1">
        <f>IFERROR(IF(ISBLANK($A197),"",INDEX(Array_StationaryCharges,MATCH($A197,List_StationaryFuelMeters,0),ROUNDUP((COLUMN()+1)/3-2,0))),"")</f>
        <v/>
      </c>
      <c r="M197" s="127"/>
      <c r="N197" s="127"/>
      <c r="O197" s="58" t="str" cm="1">
        <f>IFERROR(IF(ISBLANK($A197),"",INDEX(Array_StationaryCharges,MATCH($A197,List_StationaryFuelMeters,0),ROUNDUP((COLUMN()+1)/3-2,0))),"")</f>
        <v/>
      </c>
      <c r="P197" s="127"/>
      <c r="Q197" s="127"/>
      <c r="R197" s="58" t="str" cm="1">
        <f>IFERROR(IF(ISBLANK($A197),"",INDEX(Array_StationaryCharges,MATCH($A197,List_StationaryFuelMeters,0),ROUNDUP((COLUMN()+1)/3-2,0))),"")</f>
        <v/>
      </c>
      <c r="S197" s="127"/>
      <c r="T197" s="127"/>
      <c r="U197" s="58" t="str" cm="1">
        <f>IFERROR(IF(ISBLANK($A197),"",INDEX(Array_StationaryCharges,MATCH($A197,List_StationaryFuelMeters,0),ROUNDUP((COLUMN()+1)/3-2,0))),"")</f>
        <v/>
      </c>
      <c r="V197" s="127"/>
      <c r="W197" s="127"/>
      <c r="X197" s="58" t="str" cm="1">
        <f>IFERROR(IF(ISBLANK($A197),"",INDEX(Array_StationaryCharges,MATCH($A197,List_StationaryFuelMeters,0),ROUNDUP((COLUMN()+1)/3-2,0))),"")</f>
        <v/>
      </c>
      <c r="Y197" s="127"/>
      <c r="Z197" s="127"/>
      <c r="AA197" s="58" t="str" cm="1">
        <f>IFERROR(IF(ISBLANK($A197),"",INDEX(Array_StationaryCharges,MATCH($A197,List_StationaryFuelMeters,0),ROUNDUP((COLUMN()+1)/3-2,0))),"")</f>
        <v/>
      </c>
      <c r="AB197" s="127"/>
      <c r="AC197" s="127"/>
      <c r="AD197" s="58" t="str" cm="1">
        <f>IFERROR(IF(ISBLANK($A197),"",INDEX(Array_StationaryCharges,MATCH($A197,List_StationaryFuelMeters,0),ROUNDUP((COLUMN()+1)/3-2,0))),"")</f>
        <v/>
      </c>
      <c r="AE197" s="127"/>
      <c r="AF197" s="127"/>
      <c r="AG197" s="58" t="str" cm="1">
        <f>IFERROR(IF(ISBLANK($A197),"",INDEX(Array_StationaryCharges,MATCH($A197,List_StationaryFuelMeters,0),ROUNDUP((COLUMN()+1)/3-2,0))),"")</f>
        <v/>
      </c>
      <c r="AH197" s="127"/>
      <c r="AI197" s="127"/>
      <c r="AJ197" s="58" t="str" cm="1">
        <f>IFERROR(IF(ISBLANK($A197),"",INDEX(Array_StationaryCharges,MATCH($A197,List_StationaryFuelMeters,0),ROUNDUP((COLUMN()+1)/3-2,0))),"")</f>
        <v/>
      </c>
      <c r="AK197" s="127"/>
      <c r="AL197" s="127"/>
      <c r="AM197" s="58" t="str" cm="1">
        <f>IFERROR(IF(ISBLANK($A197),"",INDEX(Array_StationaryCharges,MATCH($A197,List_StationaryFuelMeters,0),ROUNDUP((COLUMN()+1)/3-2,0))),"")</f>
        <v/>
      </c>
      <c r="AN197" s="127"/>
      <c r="AO197" s="127"/>
      <c r="AP197" s="58" t="str" cm="1">
        <f>IFERROR(IF(ISBLANK($A197),"",INDEX(Array_StationaryCharges,MATCH($A197,List_StationaryFuelMeters,0),ROUNDUP((COLUMN()+1)/3-2,0))),"")</f>
        <v/>
      </c>
      <c r="AQ197" s="127"/>
      <c r="AR197" s="127"/>
      <c r="AS197" s="58" t="str" cm="1">
        <f>IFERROR(IF(ISBLANK($A197),"",INDEX(Array_StationaryCharges,MATCH($A197,List_StationaryFuelMeters,0),ROUNDUP((COLUMN()+1)/3-2,0))),"")</f>
        <v/>
      </c>
      <c r="AT197" s="127"/>
      <c r="AU197" s="127"/>
      <c r="AV197" s="58" t="str" cm="1">
        <f>IFERROR(IF(ISBLANK($A197),"",INDEX(Array_StationaryCharges,MATCH($A197,List_StationaryFuelMeters,0),ROUNDUP((COLUMN()+1)/3-2,0))),"")</f>
        <v/>
      </c>
      <c r="AW197" s="127"/>
      <c r="AX197" s="127"/>
    </row>
    <row r="198" spans="1:50" x14ac:dyDescent="0.3">
      <c r="A198" s="126"/>
      <c r="B198" s="133"/>
      <c r="C198" s="127"/>
      <c r="D198" s="138"/>
      <c r="E198" s="138"/>
      <c r="F198" s="58" t="str" cm="1">
        <f>IFERROR(IF(ISBLANK($A198),"",INDEX(Array_StationaryCharges,MATCH($A198,List_StationaryFuelMeters,0),ROUNDUP((COLUMN()+1)/3-2,0))),"")</f>
        <v/>
      </c>
      <c r="G198" s="127"/>
      <c r="H198" s="127"/>
      <c r="I198" s="58" t="str" cm="1">
        <f>IFERROR(IF(ISBLANK($A198),"",INDEX(Array_StationaryCharges,MATCH($A198,List_StationaryFuelMeters,0),ROUNDUP((COLUMN()+1)/3-2,0))),"")</f>
        <v/>
      </c>
      <c r="J198" s="127"/>
      <c r="K198" s="127"/>
      <c r="L198" s="58" t="str" cm="1">
        <f>IFERROR(IF(ISBLANK($A198),"",INDEX(Array_StationaryCharges,MATCH($A198,List_StationaryFuelMeters,0),ROUNDUP((COLUMN()+1)/3-2,0))),"")</f>
        <v/>
      </c>
      <c r="M198" s="127"/>
      <c r="N198" s="127"/>
      <c r="O198" s="58" t="str" cm="1">
        <f>IFERROR(IF(ISBLANK($A198),"",INDEX(Array_StationaryCharges,MATCH($A198,List_StationaryFuelMeters,0),ROUNDUP((COLUMN()+1)/3-2,0))),"")</f>
        <v/>
      </c>
      <c r="P198" s="127"/>
      <c r="Q198" s="127"/>
      <c r="R198" s="58" t="str" cm="1">
        <f>IFERROR(IF(ISBLANK($A198),"",INDEX(Array_StationaryCharges,MATCH($A198,List_StationaryFuelMeters,0),ROUNDUP((COLUMN()+1)/3-2,0))),"")</f>
        <v/>
      </c>
      <c r="S198" s="127"/>
      <c r="T198" s="127"/>
      <c r="U198" s="58" t="str" cm="1">
        <f>IFERROR(IF(ISBLANK($A198),"",INDEX(Array_StationaryCharges,MATCH($A198,List_StationaryFuelMeters,0),ROUNDUP((COLUMN()+1)/3-2,0))),"")</f>
        <v/>
      </c>
      <c r="V198" s="127"/>
      <c r="W198" s="127"/>
      <c r="X198" s="58" t="str" cm="1">
        <f>IFERROR(IF(ISBLANK($A198),"",INDEX(Array_StationaryCharges,MATCH($A198,List_StationaryFuelMeters,0),ROUNDUP((COLUMN()+1)/3-2,0))),"")</f>
        <v/>
      </c>
      <c r="Y198" s="127"/>
      <c r="Z198" s="127"/>
      <c r="AA198" s="58" t="str" cm="1">
        <f>IFERROR(IF(ISBLANK($A198),"",INDEX(Array_StationaryCharges,MATCH($A198,List_StationaryFuelMeters,0),ROUNDUP((COLUMN()+1)/3-2,0))),"")</f>
        <v/>
      </c>
      <c r="AB198" s="127"/>
      <c r="AC198" s="127"/>
      <c r="AD198" s="58" t="str" cm="1">
        <f>IFERROR(IF(ISBLANK($A198),"",INDEX(Array_StationaryCharges,MATCH($A198,List_StationaryFuelMeters,0),ROUNDUP((COLUMN()+1)/3-2,0))),"")</f>
        <v/>
      </c>
      <c r="AE198" s="127"/>
      <c r="AF198" s="127"/>
      <c r="AG198" s="58" t="str" cm="1">
        <f>IFERROR(IF(ISBLANK($A198),"",INDEX(Array_StationaryCharges,MATCH($A198,List_StationaryFuelMeters,0),ROUNDUP((COLUMN()+1)/3-2,0))),"")</f>
        <v/>
      </c>
      <c r="AH198" s="127"/>
      <c r="AI198" s="127"/>
      <c r="AJ198" s="58" t="str" cm="1">
        <f>IFERROR(IF(ISBLANK($A198),"",INDEX(Array_StationaryCharges,MATCH($A198,List_StationaryFuelMeters,0),ROUNDUP((COLUMN()+1)/3-2,0))),"")</f>
        <v/>
      </c>
      <c r="AK198" s="127"/>
      <c r="AL198" s="127"/>
      <c r="AM198" s="58" t="str" cm="1">
        <f>IFERROR(IF(ISBLANK($A198),"",INDEX(Array_StationaryCharges,MATCH($A198,List_StationaryFuelMeters,0),ROUNDUP((COLUMN()+1)/3-2,0))),"")</f>
        <v/>
      </c>
      <c r="AN198" s="127"/>
      <c r="AO198" s="127"/>
      <c r="AP198" s="58" t="str" cm="1">
        <f>IFERROR(IF(ISBLANK($A198),"",INDEX(Array_StationaryCharges,MATCH($A198,List_StationaryFuelMeters,0),ROUNDUP((COLUMN()+1)/3-2,0))),"")</f>
        <v/>
      </c>
      <c r="AQ198" s="127"/>
      <c r="AR198" s="127"/>
      <c r="AS198" s="58" t="str" cm="1">
        <f>IFERROR(IF(ISBLANK($A198),"",INDEX(Array_StationaryCharges,MATCH($A198,List_StationaryFuelMeters,0),ROUNDUP((COLUMN()+1)/3-2,0))),"")</f>
        <v/>
      </c>
      <c r="AT198" s="127"/>
      <c r="AU198" s="127"/>
      <c r="AV198" s="58" t="str" cm="1">
        <f>IFERROR(IF(ISBLANK($A198),"",INDEX(Array_StationaryCharges,MATCH($A198,List_StationaryFuelMeters,0),ROUNDUP((COLUMN()+1)/3-2,0))),"")</f>
        <v/>
      </c>
      <c r="AW198" s="127"/>
      <c r="AX198" s="127"/>
    </row>
    <row r="199" spans="1:50" x14ac:dyDescent="0.3">
      <c r="A199" s="126"/>
      <c r="B199" s="133"/>
      <c r="C199" s="127"/>
      <c r="D199" s="138"/>
      <c r="E199" s="138"/>
      <c r="F199" s="58" t="str" cm="1">
        <f>IFERROR(IF(ISBLANK($A199),"",INDEX(Array_StationaryCharges,MATCH($A199,List_StationaryFuelMeters,0),ROUNDUP((COLUMN()+1)/3-2,0))),"")</f>
        <v/>
      </c>
      <c r="G199" s="127"/>
      <c r="H199" s="127"/>
      <c r="I199" s="58" t="str" cm="1">
        <f>IFERROR(IF(ISBLANK($A199),"",INDEX(Array_StationaryCharges,MATCH($A199,List_StationaryFuelMeters,0),ROUNDUP((COLUMN()+1)/3-2,0))),"")</f>
        <v/>
      </c>
      <c r="J199" s="127"/>
      <c r="K199" s="127"/>
      <c r="L199" s="58" t="str" cm="1">
        <f>IFERROR(IF(ISBLANK($A199),"",INDEX(Array_StationaryCharges,MATCH($A199,List_StationaryFuelMeters,0),ROUNDUP((COLUMN()+1)/3-2,0))),"")</f>
        <v/>
      </c>
      <c r="M199" s="127"/>
      <c r="N199" s="127"/>
      <c r="O199" s="58" t="str" cm="1">
        <f>IFERROR(IF(ISBLANK($A199),"",INDEX(Array_StationaryCharges,MATCH($A199,List_StationaryFuelMeters,0),ROUNDUP((COLUMN()+1)/3-2,0))),"")</f>
        <v/>
      </c>
      <c r="P199" s="127"/>
      <c r="Q199" s="127"/>
      <c r="R199" s="58" t="str" cm="1">
        <f>IFERROR(IF(ISBLANK($A199),"",INDEX(Array_StationaryCharges,MATCH($A199,List_StationaryFuelMeters,0),ROUNDUP((COLUMN()+1)/3-2,0))),"")</f>
        <v/>
      </c>
      <c r="S199" s="127"/>
      <c r="T199" s="127"/>
      <c r="U199" s="58" t="str" cm="1">
        <f>IFERROR(IF(ISBLANK($A199),"",INDEX(Array_StationaryCharges,MATCH($A199,List_StationaryFuelMeters,0),ROUNDUP((COLUMN()+1)/3-2,0))),"")</f>
        <v/>
      </c>
      <c r="V199" s="127"/>
      <c r="W199" s="127"/>
      <c r="X199" s="58" t="str" cm="1">
        <f>IFERROR(IF(ISBLANK($A199),"",INDEX(Array_StationaryCharges,MATCH($A199,List_StationaryFuelMeters,0),ROUNDUP((COLUMN()+1)/3-2,0))),"")</f>
        <v/>
      </c>
      <c r="Y199" s="127"/>
      <c r="Z199" s="127"/>
      <c r="AA199" s="58" t="str" cm="1">
        <f>IFERROR(IF(ISBLANK($A199),"",INDEX(Array_StationaryCharges,MATCH($A199,List_StationaryFuelMeters,0),ROUNDUP((COLUMN()+1)/3-2,0))),"")</f>
        <v/>
      </c>
      <c r="AB199" s="127"/>
      <c r="AC199" s="127"/>
      <c r="AD199" s="58" t="str" cm="1">
        <f>IFERROR(IF(ISBLANK($A199),"",INDEX(Array_StationaryCharges,MATCH($A199,List_StationaryFuelMeters,0),ROUNDUP((COLUMN()+1)/3-2,0))),"")</f>
        <v/>
      </c>
      <c r="AE199" s="127"/>
      <c r="AF199" s="127"/>
      <c r="AG199" s="58" t="str" cm="1">
        <f>IFERROR(IF(ISBLANK($A199),"",INDEX(Array_StationaryCharges,MATCH($A199,List_StationaryFuelMeters,0),ROUNDUP((COLUMN()+1)/3-2,0))),"")</f>
        <v/>
      </c>
      <c r="AH199" s="127"/>
      <c r="AI199" s="127"/>
      <c r="AJ199" s="58" t="str" cm="1">
        <f>IFERROR(IF(ISBLANK($A199),"",INDEX(Array_StationaryCharges,MATCH($A199,List_StationaryFuelMeters,0),ROUNDUP((COLUMN()+1)/3-2,0))),"")</f>
        <v/>
      </c>
      <c r="AK199" s="127"/>
      <c r="AL199" s="127"/>
      <c r="AM199" s="58" t="str" cm="1">
        <f>IFERROR(IF(ISBLANK($A199),"",INDEX(Array_StationaryCharges,MATCH($A199,List_StationaryFuelMeters,0),ROUNDUP((COLUMN()+1)/3-2,0))),"")</f>
        <v/>
      </c>
      <c r="AN199" s="127"/>
      <c r="AO199" s="127"/>
      <c r="AP199" s="58" t="str" cm="1">
        <f>IFERROR(IF(ISBLANK($A199),"",INDEX(Array_StationaryCharges,MATCH($A199,List_StationaryFuelMeters,0),ROUNDUP((COLUMN()+1)/3-2,0))),"")</f>
        <v/>
      </c>
      <c r="AQ199" s="127"/>
      <c r="AR199" s="127"/>
      <c r="AS199" s="58" t="str" cm="1">
        <f>IFERROR(IF(ISBLANK($A199),"",INDEX(Array_StationaryCharges,MATCH($A199,List_StationaryFuelMeters,0),ROUNDUP((COLUMN()+1)/3-2,0))),"")</f>
        <v/>
      </c>
      <c r="AT199" s="127"/>
      <c r="AU199" s="127"/>
      <c r="AV199" s="58" t="str" cm="1">
        <f>IFERROR(IF(ISBLANK($A199),"",INDEX(Array_StationaryCharges,MATCH($A199,List_StationaryFuelMeters,0),ROUNDUP((COLUMN()+1)/3-2,0))),"")</f>
        <v/>
      </c>
      <c r="AW199" s="127"/>
      <c r="AX199" s="127"/>
    </row>
    <row r="200" spans="1:50" x14ac:dyDescent="0.3">
      <c r="A200" s="126"/>
      <c r="B200" s="133"/>
      <c r="C200" s="127"/>
      <c r="D200" s="138"/>
      <c r="E200" s="138"/>
      <c r="F200" s="58" t="str" cm="1">
        <f>IFERROR(IF(ISBLANK($A200),"",INDEX(Array_StationaryCharges,MATCH($A200,List_StationaryFuelMeters,0),ROUNDUP((COLUMN()+1)/3-2,0))),"")</f>
        <v/>
      </c>
      <c r="G200" s="127"/>
      <c r="H200" s="127"/>
      <c r="I200" s="58" t="str" cm="1">
        <f>IFERROR(IF(ISBLANK($A200),"",INDEX(Array_StationaryCharges,MATCH($A200,List_StationaryFuelMeters,0),ROUNDUP((COLUMN()+1)/3-2,0))),"")</f>
        <v/>
      </c>
      <c r="J200" s="127"/>
      <c r="K200" s="127"/>
      <c r="L200" s="58" t="str" cm="1">
        <f>IFERROR(IF(ISBLANK($A200),"",INDEX(Array_StationaryCharges,MATCH($A200,List_StationaryFuelMeters,0),ROUNDUP((COLUMN()+1)/3-2,0))),"")</f>
        <v/>
      </c>
      <c r="M200" s="127"/>
      <c r="N200" s="127"/>
      <c r="O200" s="58" t="str" cm="1">
        <f>IFERROR(IF(ISBLANK($A200),"",INDEX(Array_StationaryCharges,MATCH($A200,List_StationaryFuelMeters,0),ROUNDUP((COLUMN()+1)/3-2,0))),"")</f>
        <v/>
      </c>
      <c r="P200" s="127"/>
      <c r="Q200" s="127"/>
      <c r="R200" s="58" t="str" cm="1">
        <f>IFERROR(IF(ISBLANK($A200),"",INDEX(Array_StationaryCharges,MATCH($A200,List_StationaryFuelMeters,0),ROUNDUP((COLUMN()+1)/3-2,0))),"")</f>
        <v/>
      </c>
      <c r="S200" s="127"/>
      <c r="T200" s="127"/>
      <c r="U200" s="58" t="str" cm="1">
        <f>IFERROR(IF(ISBLANK($A200),"",INDEX(Array_StationaryCharges,MATCH($A200,List_StationaryFuelMeters,0),ROUNDUP((COLUMN()+1)/3-2,0))),"")</f>
        <v/>
      </c>
      <c r="V200" s="127"/>
      <c r="W200" s="127"/>
      <c r="X200" s="58" t="str" cm="1">
        <f>IFERROR(IF(ISBLANK($A200),"",INDEX(Array_StationaryCharges,MATCH($A200,List_StationaryFuelMeters,0),ROUNDUP((COLUMN()+1)/3-2,0))),"")</f>
        <v/>
      </c>
      <c r="Y200" s="127"/>
      <c r="Z200" s="127"/>
      <c r="AA200" s="58" t="str" cm="1">
        <f>IFERROR(IF(ISBLANK($A200),"",INDEX(Array_StationaryCharges,MATCH($A200,List_StationaryFuelMeters,0),ROUNDUP((COLUMN()+1)/3-2,0))),"")</f>
        <v/>
      </c>
      <c r="AB200" s="127"/>
      <c r="AC200" s="127"/>
      <c r="AD200" s="58" t="str" cm="1">
        <f>IFERROR(IF(ISBLANK($A200),"",INDEX(Array_StationaryCharges,MATCH($A200,List_StationaryFuelMeters,0),ROUNDUP((COLUMN()+1)/3-2,0))),"")</f>
        <v/>
      </c>
      <c r="AE200" s="127"/>
      <c r="AF200" s="127"/>
      <c r="AG200" s="58" t="str" cm="1">
        <f>IFERROR(IF(ISBLANK($A200),"",INDEX(Array_StationaryCharges,MATCH($A200,List_StationaryFuelMeters,0),ROUNDUP((COLUMN()+1)/3-2,0))),"")</f>
        <v/>
      </c>
      <c r="AH200" s="127"/>
      <c r="AI200" s="127"/>
      <c r="AJ200" s="58" t="str" cm="1">
        <f>IFERROR(IF(ISBLANK($A200),"",INDEX(Array_StationaryCharges,MATCH($A200,List_StationaryFuelMeters,0),ROUNDUP((COLUMN()+1)/3-2,0))),"")</f>
        <v/>
      </c>
      <c r="AK200" s="127"/>
      <c r="AL200" s="127"/>
      <c r="AM200" s="58" t="str" cm="1">
        <f>IFERROR(IF(ISBLANK($A200),"",INDEX(Array_StationaryCharges,MATCH($A200,List_StationaryFuelMeters,0),ROUNDUP((COLUMN()+1)/3-2,0))),"")</f>
        <v/>
      </c>
      <c r="AN200" s="127"/>
      <c r="AO200" s="127"/>
      <c r="AP200" s="58" t="str" cm="1">
        <f>IFERROR(IF(ISBLANK($A200),"",INDEX(Array_StationaryCharges,MATCH($A200,List_StationaryFuelMeters,0),ROUNDUP((COLUMN()+1)/3-2,0))),"")</f>
        <v/>
      </c>
      <c r="AQ200" s="127"/>
      <c r="AR200" s="127"/>
      <c r="AS200" s="58" t="str" cm="1">
        <f>IFERROR(IF(ISBLANK($A200),"",INDEX(Array_StationaryCharges,MATCH($A200,List_StationaryFuelMeters,0),ROUNDUP((COLUMN()+1)/3-2,0))),"")</f>
        <v/>
      </c>
      <c r="AT200" s="127"/>
      <c r="AU200" s="127"/>
      <c r="AV200" s="58" t="str" cm="1">
        <f>IFERROR(IF(ISBLANK($A200),"",INDEX(Array_StationaryCharges,MATCH($A200,List_StationaryFuelMeters,0),ROUNDUP((COLUMN()+1)/3-2,0))),"")</f>
        <v/>
      </c>
      <c r="AW200" s="127"/>
      <c r="AX200" s="127"/>
    </row>
    <row r="201" spans="1:50" x14ac:dyDescent="0.3">
      <c r="A201" s="126"/>
      <c r="B201" s="133"/>
      <c r="C201" s="127"/>
      <c r="D201" s="138"/>
      <c r="E201" s="138"/>
      <c r="F201" s="58" t="str" cm="1">
        <f>IFERROR(IF(ISBLANK($A201),"",INDEX(Array_StationaryCharges,MATCH($A201,List_StationaryFuelMeters,0),ROUNDUP((COLUMN()+1)/3-2,0))),"")</f>
        <v/>
      </c>
      <c r="G201" s="127"/>
      <c r="H201" s="127"/>
      <c r="I201" s="58" t="str" cm="1">
        <f>IFERROR(IF(ISBLANK($A201),"",INDEX(Array_StationaryCharges,MATCH($A201,List_StationaryFuelMeters,0),ROUNDUP((COLUMN()+1)/3-2,0))),"")</f>
        <v/>
      </c>
      <c r="J201" s="127"/>
      <c r="K201" s="127"/>
      <c r="L201" s="58" t="str" cm="1">
        <f>IFERROR(IF(ISBLANK($A201),"",INDEX(Array_StationaryCharges,MATCH($A201,List_StationaryFuelMeters,0),ROUNDUP((COLUMN()+1)/3-2,0))),"")</f>
        <v/>
      </c>
      <c r="M201" s="127"/>
      <c r="N201" s="127"/>
      <c r="O201" s="58" t="str" cm="1">
        <f>IFERROR(IF(ISBLANK($A201),"",INDEX(Array_StationaryCharges,MATCH($A201,List_StationaryFuelMeters,0),ROUNDUP((COLUMN()+1)/3-2,0))),"")</f>
        <v/>
      </c>
      <c r="P201" s="127"/>
      <c r="Q201" s="127"/>
      <c r="R201" s="58" t="str" cm="1">
        <f>IFERROR(IF(ISBLANK($A201),"",INDEX(Array_StationaryCharges,MATCH($A201,List_StationaryFuelMeters,0),ROUNDUP((COLUMN()+1)/3-2,0))),"")</f>
        <v/>
      </c>
      <c r="S201" s="127"/>
      <c r="T201" s="127"/>
      <c r="U201" s="58" t="str" cm="1">
        <f>IFERROR(IF(ISBLANK($A201),"",INDEX(Array_StationaryCharges,MATCH($A201,List_StationaryFuelMeters,0),ROUNDUP((COLUMN()+1)/3-2,0))),"")</f>
        <v/>
      </c>
      <c r="V201" s="127"/>
      <c r="W201" s="127"/>
      <c r="X201" s="58" t="str" cm="1">
        <f>IFERROR(IF(ISBLANK($A201),"",INDEX(Array_StationaryCharges,MATCH($A201,List_StationaryFuelMeters,0),ROUNDUP((COLUMN()+1)/3-2,0))),"")</f>
        <v/>
      </c>
      <c r="Y201" s="127"/>
      <c r="Z201" s="127"/>
      <c r="AA201" s="58" t="str" cm="1">
        <f>IFERROR(IF(ISBLANK($A201),"",INDEX(Array_StationaryCharges,MATCH($A201,List_StationaryFuelMeters,0),ROUNDUP((COLUMN()+1)/3-2,0))),"")</f>
        <v/>
      </c>
      <c r="AB201" s="127"/>
      <c r="AC201" s="127"/>
      <c r="AD201" s="58" t="str" cm="1">
        <f>IFERROR(IF(ISBLANK($A201),"",INDEX(Array_StationaryCharges,MATCH($A201,List_StationaryFuelMeters,0),ROUNDUP((COLUMN()+1)/3-2,0))),"")</f>
        <v/>
      </c>
      <c r="AE201" s="127"/>
      <c r="AF201" s="127"/>
      <c r="AG201" s="58" t="str" cm="1">
        <f>IFERROR(IF(ISBLANK($A201),"",INDEX(Array_StationaryCharges,MATCH($A201,List_StationaryFuelMeters,0),ROUNDUP((COLUMN()+1)/3-2,0))),"")</f>
        <v/>
      </c>
      <c r="AH201" s="127"/>
      <c r="AI201" s="127"/>
      <c r="AJ201" s="58" t="str" cm="1">
        <f>IFERROR(IF(ISBLANK($A201),"",INDEX(Array_StationaryCharges,MATCH($A201,List_StationaryFuelMeters,0),ROUNDUP((COLUMN()+1)/3-2,0))),"")</f>
        <v/>
      </c>
      <c r="AK201" s="127"/>
      <c r="AL201" s="127"/>
      <c r="AM201" s="58" t="str" cm="1">
        <f>IFERROR(IF(ISBLANK($A201),"",INDEX(Array_StationaryCharges,MATCH($A201,List_StationaryFuelMeters,0),ROUNDUP((COLUMN()+1)/3-2,0))),"")</f>
        <v/>
      </c>
      <c r="AN201" s="127"/>
      <c r="AO201" s="127"/>
      <c r="AP201" s="58" t="str" cm="1">
        <f>IFERROR(IF(ISBLANK($A201),"",INDEX(Array_StationaryCharges,MATCH($A201,List_StationaryFuelMeters,0),ROUNDUP((COLUMN()+1)/3-2,0))),"")</f>
        <v/>
      </c>
      <c r="AQ201" s="127"/>
      <c r="AR201" s="127"/>
      <c r="AS201" s="58" t="str" cm="1">
        <f>IFERROR(IF(ISBLANK($A201),"",INDEX(Array_StationaryCharges,MATCH($A201,List_StationaryFuelMeters,0),ROUNDUP((COLUMN()+1)/3-2,0))),"")</f>
        <v/>
      </c>
      <c r="AT201" s="127"/>
      <c r="AU201" s="127"/>
      <c r="AV201" s="58" t="str" cm="1">
        <f>IFERROR(IF(ISBLANK($A201),"",INDEX(Array_StationaryCharges,MATCH($A201,List_StationaryFuelMeters,0),ROUNDUP((COLUMN()+1)/3-2,0))),"")</f>
        <v/>
      </c>
      <c r="AW201" s="127"/>
      <c r="AX201" s="127"/>
    </row>
    <row r="202" spans="1:50" x14ac:dyDescent="0.3">
      <c r="A202" s="126"/>
      <c r="B202" s="133"/>
      <c r="C202" s="127"/>
      <c r="D202" s="138"/>
      <c r="E202" s="138"/>
      <c r="F202" s="58" t="str" cm="1">
        <f>IFERROR(IF(ISBLANK($A202),"",INDEX(Array_StationaryCharges,MATCH($A202,List_StationaryFuelMeters,0),ROUNDUP((COLUMN()+1)/3-2,0))),"")</f>
        <v/>
      </c>
      <c r="G202" s="127"/>
      <c r="H202" s="127"/>
      <c r="I202" s="58" t="str" cm="1">
        <f>IFERROR(IF(ISBLANK($A202),"",INDEX(Array_StationaryCharges,MATCH($A202,List_StationaryFuelMeters,0),ROUNDUP((COLUMN()+1)/3-2,0))),"")</f>
        <v/>
      </c>
      <c r="J202" s="127"/>
      <c r="K202" s="127"/>
      <c r="L202" s="58" t="str" cm="1">
        <f>IFERROR(IF(ISBLANK($A202),"",INDEX(Array_StationaryCharges,MATCH($A202,List_StationaryFuelMeters,0),ROUNDUP((COLUMN()+1)/3-2,0))),"")</f>
        <v/>
      </c>
      <c r="M202" s="127"/>
      <c r="N202" s="127"/>
      <c r="O202" s="58" t="str" cm="1">
        <f>IFERROR(IF(ISBLANK($A202),"",INDEX(Array_StationaryCharges,MATCH($A202,List_StationaryFuelMeters,0),ROUNDUP((COLUMN()+1)/3-2,0))),"")</f>
        <v/>
      </c>
      <c r="P202" s="127"/>
      <c r="Q202" s="127"/>
      <c r="R202" s="58" t="str" cm="1">
        <f>IFERROR(IF(ISBLANK($A202),"",INDEX(Array_StationaryCharges,MATCH($A202,List_StationaryFuelMeters,0),ROUNDUP((COLUMN()+1)/3-2,0))),"")</f>
        <v/>
      </c>
      <c r="S202" s="127"/>
      <c r="T202" s="127"/>
      <c r="U202" s="58" t="str" cm="1">
        <f>IFERROR(IF(ISBLANK($A202),"",INDEX(Array_StationaryCharges,MATCH($A202,List_StationaryFuelMeters,0),ROUNDUP((COLUMN()+1)/3-2,0))),"")</f>
        <v/>
      </c>
      <c r="V202" s="127"/>
      <c r="W202" s="127"/>
      <c r="X202" s="58" t="str" cm="1">
        <f>IFERROR(IF(ISBLANK($A202),"",INDEX(Array_StationaryCharges,MATCH($A202,List_StationaryFuelMeters,0),ROUNDUP((COLUMN()+1)/3-2,0))),"")</f>
        <v/>
      </c>
      <c r="Y202" s="127"/>
      <c r="Z202" s="127"/>
      <c r="AA202" s="58" t="str" cm="1">
        <f>IFERROR(IF(ISBLANK($A202),"",INDEX(Array_StationaryCharges,MATCH($A202,List_StationaryFuelMeters,0),ROUNDUP((COLUMN()+1)/3-2,0))),"")</f>
        <v/>
      </c>
      <c r="AB202" s="127"/>
      <c r="AC202" s="127"/>
      <c r="AD202" s="58" t="str" cm="1">
        <f>IFERROR(IF(ISBLANK($A202),"",INDEX(Array_StationaryCharges,MATCH($A202,List_StationaryFuelMeters,0),ROUNDUP((COLUMN()+1)/3-2,0))),"")</f>
        <v/>
      </c>
      <c r="AE202" s="127"/>
      <c r="AF202" s="127"/>
      <c r="AG202" s="58" t="str" cm="1">
        <f>IFERROR(IF(ISBLANK($A202),"",INDEX(Array_StationaryCharges,MATCH($A202,List_StationaryFuelMeters,0),ROUNDUP((COLUMN()+1)/3-2,0))),"")</f>
        <v/>
      </c>
      <c r="AH202" s="127"/>
      <c r="AI202" s="127"/>
      <c r="AJ202" s="58" t="str" cm="1">
        <f>IFERROR(IF(ISBLANK($A202),"",INDEX(Array_StationaryCharges,MATCH($A202,List_StationaryFuelMeters,0),ROUNDUP((COLUMN()+1)/3-2,0))),"")</f>
        <v/>
      </c>
      <c r="AK202" s="127"/>
      <c r="AL202" s="127"/>
      <c r="AM202" s="58" t="str" cm="1">
        <f>IFERROR(IF(ISBLANK($A202),"",INDEX(Array_StationaryCharges,MATCH($A202,List_StationaryFuelMeters,0),ROUNDUP((COLUMN()+1)/3-2,0))),"")</f>
        <v/>
      </c>
      <c r="AN202" s="127"/>
      <c r="AO202" s="127"/>
      <c r="AP202" s="58" t="str" cm="1">
        <f>IFERROR(IF(ISBLANK($A202),"",INDEX(Array_StationaryCharges,MATCH($A202,List_StationaryFuelMeters,0),ROUNDUP((COLUMN()+1)/3-2,0))),"")</f>
        <v/>
      </c>
      <c r="AQ202" s="127"/>
      <c r="AR202" s="127"/>
      <c r="AS202" s="58" t="str" cm="1">
        <f>IFERROR(IF(ISBLANK($A202),"",INDEX(Array_StationaryCharges,MATCH($A202,List_StationaryFuelMeters,0),ROUNDUP((COLUMN()+1)/3-2,0))),"")</f>
        <v/>
      </c>
      <c r="AT202" s="127"/>
      <c r="AU202" s="127"/>
      <c r="AV202" s="58" t="str" cm="1">
        <f>IFERROR(IF(ISBLANK($A202),"",INDEX(Array_StationaryCharges,MATCH($A202,List_StationaryFuelMeters,0),ROUNDUP((COLUMN()+1)/3-2,0))),"")</f>
        <v/>
      </c>
      <c r="AW202" s="127"/>
      <c r="AX202" s="127"/>
    </row>
    <row r="203" spans="1:50" x14ac:dyDescent="0.3">
      <c r="A203" s="126"/>
      <c r="B203" s="133"/>
      <c r="C203" s="127"/>
      <c r="D203" s="138"/>
      <c r="E203" s="138"/>
      <c r="F203" s="58" t="str" cm="1">
        <f>IFERROR(IF(ISBLANK($A203),"",INDEX(Array_StationaryCharges,MATCH($A203,List_StationaryFuelMeters,0),ROUNDUP((COLUMN()+1)/3-2,0))),"")</f>
        <v/>
      </c>
      <c r="G203" s="127"/>
      <c r="H203" s="127"/>
      <c r="I203" s="58" t="str" cm="1">
        <f>IFERROR(IF(ISBLANK($A203),"",INDEX(Array_StationaryCharges,MATCH($A203,List_StationaryFuelMeters,0),ROUNDUP((COLUMN()+1)/3-2,0))),"")</f>
        <v/>
      </c>
      <c r="J203" s="127"/>
      <c r="K203" s="127"/>
      <c r="L203" s="58" t="str" cm="1">
        <f>IFERROR(IF(ISBLANK($A203),"",INDEX(Array_StationaryCharges,MATCH($A203,List_StationaryFuelMeters,0),ROUNDUP((COLUMN()+1)/3-2,0))),"")</f>
        <v/>
      </c>
      <c r="M203" s="127"/>
      <c r="N203" s="127"/>
      <c r="O203" s="58" t="str" cm="1">
        <f>IFERROR(IF(ISBLANK($A203),"",INDEX(Array_StationaryCharges,MATCH($A203,List_StationaryFuelMeters,0),ROUNDUP((COLUMN()+1)/3-2,0))),"")</f>
        <v/>
      </c>
      <c r="P203" s="127"/>
      <c r="Q203" s="127"/>
      <c r="R203" s="58" t="str" cm="1">
        <f>IFERROR(IF(ISBLANK($A203),"",INDEX(Array_StationaryCharges,MATCH($A203,List_StationaryFuelMeters,0),ROUNDUP((COLUMN()+1)/3-2,0))),"")</f>
        <v/>
      </c>
      <c r="S203" s="127"/>
      <c r="T203" s="127"/>
      <c r="U203" s="58" t="str" cm="1">
        <f>IFERROR(IF(ISBLANK($A203),"",INDEX(Array_StationaryCharges,MATCH($A203,List_StationaryFuelMeters,0),ROUNDUP((COLUMN()+1)/3-2,0))),"")</f>
        <v/>
      </c>
      <c r="V203" s="127"/>
      <c r="W203" s="127"/>
      <c r="X203" s="58" t="str" cm="1">
        <f>IFERROR(IF(ISBLANK($A203),"",INDEX(Array_StationaryCharges,MATCH($A203,List_StationaryFuelMeters,0),ROUNDUP((COLUMN()+1)/3-2,0))),"")</f>
        <v/>
      </c>
      <c r="Y203" s="127"/>
      <c r="Z203" s="127"/>
      <c r="AA203" s="58" t="str" cm="1">
        <f>IFERROR(IF(ISBLANK($A203),"",INDEX(Array_StationaryCharges,MATCH($A203,List_StationaryFuelMeters,0),ROUNDUP((COLUMN()+1)/3-2,0))),"")</f>
        <v/>
      </c>
      <c r="AB203" s="127"/>
      <c r="AC203" s="127"/>
      <c r="AD203" s="58" t="str" cm="1">
        <f>IFERROR(IF(ISBLANK($A203),"",INDEX(Array_StationaryCharges,MATCH($A203,List_StationaryFuelMeters,0),ROUNDUP((COLUMN()+1)/3-2,0))),"")</f>
        <v/>
      </c>
      <c r="AE203" s="127"/>
      <c r="AF203" s="127"/>
      <c r="AG203" s="58" t="str" cm="1">
        <f>IFERROR(IF(ISBLANK($A203),"",INDEX(Array_StationaryCharges,MATCH($A203,List_StationaryFuelMeters,0),ROUNDUP((COLUMN()+1)/3-2,0))),"")</f>
        <v/>
      </c>
      <c r="AH203" s="127"/>
      <c r="AI203" s="127"/>
      <c r="AJ203" s="58" t="str" cm="1">
        <f>IFERROR(IF(ISBLANK($A203),"",INDEX(Array_StationaryCharges,MATCH($A203,List_StationaryFuelMeters,0),ROUNDUP((COLUMN()+1)/3-2,0))),"")</f>
        <v/>
      </c>
      <c r="AK203" s="127"/>
      <c r="AL203" s="127"/>
      <c r="AM203" s="58" t="str" cm="1">
        <f>IFERROR(IF(ISBLANK($A203),"",INDEX(Array_StationaryCharges,MATCH($A203,List_StationaryFuelMeters,0),ROUNDUP((COLUMN()+1)/3-2,0))),"")</f>
        <v/>
      </c>
      <c r="AN203" s="127"/>
      <c r="AO203" s="127"/>
      <c r="AP203" s="58" t="str" cm="1">
        <f>IFERROR(IF(ISBLANK($A203),"",INDEX(Array_StationaryCharges,MATCH($A203,List_StationaryFuelMeters,0),ROUNDUP((COLUMN()+1)/3-2,0))),"")</f>
        <v/>
      </c>
      <c r="AQ203" s="127"/>
      <c r="AR203" s="127"/>
      <c r="AS203" s="58" t="str" cm="1">
        <f>IFERROR(IF(ISBLANK($A203),"",INDEX(Array_StationaryCharges,MATCH($A203,List_StationaryFuelMeters,0),ROUNDUP((COLUMN()+1)/3-2,0))),"")</f>
        <v/>
      </c>
      <c r="AT203" s="127"/>
      <c r="AU203" s="127"/>
      <c r="AV203" s="58" t="str" cm="1">
        <f>IFERROR(IF(ISBLANK($A203),"",INDEX(Array_StationaryCharges,MATCH($A203,List_StationaryFuelMeters,0),ROUNDUP((COLUMN()+1)/3-2,0))),"")</f>
        <v/>
      </c>
      <c r="AW203" s="127"/>
      <c r="AX203" s="127"/>
    </row>
    <row r="204" spans="1:50" x14ac:dyDescent="0.3">
      <c r="A204" s="126"/>
      <c r="B204" s="133"/>
      <c r="C204" s="127"/>
      <c r="D204" s="138"/>
      <c r="E204" s="138"/>
      <c r="F204" s="58" t="str" cm="1">
        <f>IFERROR(IF(ISBLANK($A204),"",INDEX(Array_StationaryCharges,MATCH($A204,List_StationaryFuelMeters,0),ROUNDUP((COLUMN()+1)/3-2,0))),"")</f>
        <v/>
      </c>
      <c r="G204" s="127"/>
      <c r="H204" s="127"/>
      <c r="I204" s="58" t="str" cm="1">
        <f>IFERROR(IF(ISBLANK($A204),"",INDEX(Array_StationaryCharges,MATCH($A204,List_StationaryFuelMeters,0),ROUNDUP((COLUMN()+1)/3-2,0))),"")</f>
        <v/>
      </c>
      <c r="J204" s="127"/>
      <c r="K204" s="127"/>
      <c r="L204" s="58" t="str" cm="1">
        <f>IFERROR(IF(ISBLANK($A204),"",INDEX(Array_StationaryCharges,MATCH($A204,List_StationaryFuelMeters,0),ROUNDUP((COLUMN()+1)/3-2,0))),"")</f>
        <v/>
      </c>
      <c r="M204" s="127"/>
      <c r="N204" s="127"/>
      <c r="O204" s="58" t="str" cm="1">
        <f>IFERROR(IF(ISBLANK($A204),"",INDEX(Array_StationaryCharges,MATCH($A204,List_StationaryFuelMeters,0),ROUNDUP((COLUMN()+1)/3-2,0))),"")</f>
        <v/>
      </c>
      <c r="P204" s="127"/>
      <c r="Q204" s="127"/>
      <c r="R204" s="58" t="str" cm="1">
        <f>IFERROR(IF(ISBLANK($A204),"",INDEX(Array_StationaryCharges,MATCH($A204,List_StationaryFuelMeters,0),ROUNDUP((COLUMN()+1)/3-2,0))),"")</f>
        <v/>
      </c>
      <c r="S204" s="127"/>
      <c r="T204" s="127"/>
      <c r="U204" s="58" t="str" cm="1">
        <f>IFERROR(IF(ISBLANK($A204),"",INDEX(Array_StationaryCharges,MATCH($A204,List_StationaryFuelMeters,0),ROUNDUP((COLUMN()+1)/3-2,0))),"")</f>
        <v/>
      </c>
      <c r="V204" s="127"/>
      <c r="W204" s="127"/>
      <c r="X204" s="58" t="str" cm="1">
        <f>IFERROR(IF(ISBLANK($A204),"",INDEX(Array_StationaryCharges,MATCH($A204,List_StationaryFuelMeters,0),ROUNDUP((COLUMN()+1)/3-2,0))),"")</f>
        <v/>
      </c>
      <c r="Y204" s="127"/>
      <c r="Z204" s="127"/>
      <c r="AA204" s="58" t="str" cm="1">
        <f>IFERROR(IF(ISBLANK($A204),"",INDEX(Array_StationaryCharges,MATCH($A204,List_StationaryFuelMeters,0),ROUNDUP((COLUMN()+1)/3-2,0))),"")</f>
        <v/>
      </c>
      <c r="AB204" s="127"/>
      <c r="AC204" s="127"/>
      <c r="AD204" s="58" t="str" cm="1">
        <f>IFERROR(IF(ISBLANK($A204),"",INDEX(Array_StationaryCharges,MATCH($A204,List_StationaryFuelMeters,0),ROUNDUP((COLUMN()+1)/3-2,0))),"")</f>
        <v/>
      </c>
      <c r="AE204" s="127"/>
      <c r="AF204" s="127"/>
      <c r="AG204" s="58" t="str" cm="1">
        <f>IFERROR(IF(ISBLANK($A204),"",INDEX(Array_StationaryCharges,MATCH($A204,List_StationaryFuelMeters,0),ROUNDUP((COLUMN()+1)/3-2,0))),"")</f>
        <v/>
      </c>
      <c r="AH204" s="127"/>
      <c r="AI204" s="127"/>
      <c r="AJ204" s="58" t="str" cm="1">
        <f>IFERROR(IF(ISBLANK($A204),"",INDEX(Array_StationaryCharges,MATCH($A204,List_StationaryFuelMeters,0),ROUNDUP((COLUMN()+1)/3-2,0))),"")</f>
        <v/>
      </c>
      <c r="AK204" s="127"/>
      <c r="AL204" s="127"/>
      <c r="AM204" s="58" t="str" cm="1">
        <f>IFERROR(IF(ISBLANK($A204),"",INDEX(Array_StationaryCharges,MATCH($A204,List_StationaryFuelMeters,0),ROUNDUP((COLUMN()+1)/3-2,0))),"")</f>
        <v/>
      </c>
      <c r="AN204" s="127"/>
      <c r="AO204" s="127"/>
      <c r="AP204" s="58" t="str" cm="1">
        <f>IFERROR(IF(ISBLANK($A204),"",INDEX(Array_StationaryCharges,MATCH($A204,List_StationaryFuelMeters,0),ROUNDUP((COLUMN()+1)/3-2,0))),"")</f>
        <v/>
      </c>
      <c r="AQ204" s="127"/>
      <c r="AR204" s="127"/>
      <c r="AS204" s="58" t="str" cm="1">
        <f>IFERROR(IF(ISBLANK($A204),"",INDEX(Array_StationaryCharges,MATCH($A204,List_StationaryFuelMeters,0),ROUNDUP((COLUMN()+1)/3-2,0))),"")</f>
        <v/>
      </c>
      <c r="AT204" s="127"/>
      <c r="AU204" s="127"/>
      <c r="AV204" s="58" t="str" cm="1">
        <f>IFERROR(IF(ISBLANK($A204),"",INDEX(Array_StationaryCharges,MATCH($A204,List_StationaryFuelMeters,0),ROUNDUP((COLUMN()+1)/3-2,0))),"")</f>
        <v/>
      </c>
      <c r="AW204" s="127"/>
      <c r="AX204" s="127"/>
    </row>
    <row r="205" spans="1:50" x14ac:dyDescent="0.3">
      <c r="A205" s="126"/>
      <c r="B205" s="133"/>
      <c r="C205" s="127"/>
      <c r="D205" s="138"/>
      <c r="E205" s="138"/>
      <c r="F205" s="58" t="str" cm="1">
        <f>IFERROR(IF(ISBLANK($A205),"",INDEX(Array_StationaryCharges,MATCH($A205,List_StationaryFuelMeters,0),ROUNDUP((COLUMN()+1)/3-2,0))),"")</f>
        <v/>
      </c>
      <c r="G205" s="127"/>
      <c r="H205" s="127"/>
      <c r="I205" s="58" t="str" cm="1">
        <f>IFERROR(IF(ISBLANK($A205),"",INDEX(Array_StationaryCharges,MATCH($A205,List_StationaryFuelMeters,0),ROUNDUP((COLUMN()+1)/3-2,0))),"")</f>
        <v/>
      </c>
      <c r="J205" s="127"/>
      <c r="K205" s="127"/>
      <c r="L205" s="58" t="str" cm="1">
        <f>IFERROR(IF(ISBLANK($A205),"",INDEX(Array_StationaryCharges,MATCH($A205,List_StationaryFuelMeters,0),ROUNDUP((COLUMN()+1)/3-2,0))),"")</f>
        <v/>
      </c>
      <c r="M205" s="127"/>
      <c r="N205" s="127"/>
      <c r="O205" s="58" t="str" cm="1">
        <f>IFERROR(IF(ISBLANK($A205),"",INDEX(Array_StationaryCharges,MATCH($A205,List_StationaryFuelMeters,0),ROUNDUP((COLUMN()+1)/3-2,0))),"")</f>
        <v/>
      </c>
      <c r="P205" s="127"/>
      <c r="Q205" s="127"/>
      <c r="R205" s="58" t="str" cm="1">
        <f>IFERROR(IF(ISBLANK($A205),"",INDEX(Array_StationaryCharges,MATCH($A205,List_StationaryFuelMeters,0),ROUNDUP((COLUMN()+1)/3-2,0))),"")</f>
        <v/>
      </c>
      <c r="S205" s="127"/>
      <c r="T205" s="127"/>
      <c r="U205" s="58" t="str" cm="1">
        <f>IFERROR(IF(ISBLANK($A205),"",INDEX(Array_StationaryCharges,MATCH($A205,List_StationaryFuelMeters,0),ROUNDUP((COLUMN()+1)/3-2,0))),"")</f>
        <v/>
      </c>
      <c r="V205" s="127"/>
      <c r="W205" s="127"/>
      <c r="X205" s="58" t="str" cm="1">
        <f>IFERROR(IF(ISBLANK($A205),"",INDEX(Array_StationaryCharges,MATCH($A205,List_StationaryFuelMeters,0),ROUNDUP((COLUMN()+1)/3-2,0))),"")</f>
        <v/>
      </c>
      <c r="Y205" s="127"/>
      <c r="Z205" s="127"/>
      <c r="AA205" s="58" t="str" cm="1">
        <f>IFERROR(IF(ISBLANK($A205),"",INDEX(Array_StationaryCharges,MATCH($A205,List_StationaryFuelMeters,0),ROUNDUP((COLUMN()+1)/3-2,0))),"")</f>
        <v/>
      </c>
      <c r="AB205" s="127"/>
      <c r="AC205" s="127"/>
      <c r="AD205" s="58" t="str" cm="1">
        <f>IFERROR(IF(ISBLANK($A205),"",INDEX(Array_StationaryCharges,MATCH($A205,List_StationaryFuelMeters,0),ROUNDUP((COLUMN()+1)/3-2,0))),"")</f>
        <v/>
      </c>
      <c r="AE205" s="127"/>
      <c r="AF205" s="127"/>
      <c r="AG205" s="58" t="str" cm="1">
        <f>IFERROR(IF(ISBLANK($A205),"",INDEX(Array_StationaryCharges,MATCH($A205,List_StationaryFuelMeters,0),ROUNDUP((COLUMN()+1)/3-2,0))),"")</f>
        <v/>
      </c>
      <c r="AH205" s="127"/>
      <c r="AI205" s="127"/>
      <c r="AJ205" s="58" t="str" cm="1">
        <f>IFERROR(IF(ISBLANK($A205),"",INDEX(Array_StationaryCharges,MATCH($A205,List_StationaryFuelMeters,0),ROUNDUP((COLUMN()+1)/3-2,0))),"")</f>
        <v/>
      </c>
      <c r="AK205" s="127"/>
      <c r="AL205" s="127"/>
      <c r="AM205" s="58" t="str" cm="1">
        <f>IFERROR(IF(ISBLANK($A205),"",INDEX(Array_StationaryCharges,MATCH($A205,List_StationaryFuelMeters,0),ROUNDUP((COLUMN()+1)/3-2,0))),"")</f>
        <v/>
      </c>
      <c r="AN205" s="127"/>
      <c r="AO205" s="127"/>
      <c r="AP205" s="58" t="str" cm="1">
        <f>IFERROR(IF(ISBLANK($A205),"",INDEX(Array_StationaryCharges,MATCH($A205,List_StationaryFuelMeters,0),ROUNDUP((COLUMN()+1)/3-2,0))),"")</f>
        <v/>
      </c>
      <c r="AQ205" s="127"/>
      <c r="AR205" s="127"/>
      <c r="AS205" s="58" t="str" cm="1">
        <f>IFERROR(IF(ISBLANK($A205),"",INDEX(Array_StationaryCharges,MATCH($A205,List_StationaryFuelMeters,0),ROUNDUP((COLUMN()+1)/3-2,0))),"")</f>
        <v/>
      </c>
      <c r="AT205" s="127"/>
      <c r="AU205" s="127"/>
      <c r="AV205" s="58" t="str" cm="1">
        <f>IFERROR(IF(ISBLANK($A205),"",INDEX(Array_StationaryCharges,MATCH($A205,List_StationaryFuelMeters,0),ROUNDUP((COLUMN()+1)/3-2,0))),"")</f>
        <v/>
      </c>
      <c r="AW205" s="127"/>
      <c r="AX205" s="127"/>
    </row>
    <row r="206" spans="1:50" x14ac:dyDescent="0.3">
      <c r="A206" s="126"/>
      <c r="B206" s="133"/>
      <c r="C206" s="127"/>
      <c r="D206" s="138"/>
      <c r="E206" s="138"/>
      <c r="F206" s="58" t="str" cm="1">
        <f>IFERROR(IF(ISBLANK($A206),"",INDEX(Array_StationaryCharges,MATCH($A206,List_StationaryFuelMeters,0),ROUNDUP((COLUMN()+1)/3-2,0))),"")</f>
        <v/>
      </c>
      <c r="G206" s="127"/>
      <c r="H206" s="127"/>
      <c r="I206" s="58" t="str" cm="1">
        <f>IFERROR(IF(ISBLANK($A206),"",INDEX(Array_StationaryCharges,MATCH($A206,List_StationaryFuelMeters,0),ROUNDUP((COLUMN()+1)/3-2,0))),"")</f>
        <v/>
      </c>
      <c r="J206" s="127"/>
      <c r="K206" s="127"/>
      <c r="L206" s="58" t="str" cm="1">
        <f>IFERROR(IF(ISBLANK($A206),"",INDEX(Array_StationaryCharges,MATCH($A206,List_StationaryFuelMeters,0),ROUNDUP((COLUMN()+1)/3-2,0))),"")</f>
        <v/>
      </c>
      <c r="M206" s="127"/>
      <c r="N206" s="127"/>
      <c r="O206" s="58" t="str" cm="1">
        <f>IFERROR(IF(ISBLANK($A206),"",INDEX(Array_StationaryCharges,MATCH($A206,List_StationaryFuelMeters,0),ROUNDUP((COLUMN()+1)/3-2,0))),"")</f>
        <v/>
      </c>
      <c r="P206" s="127"/>
      <c r="Q206" s="127"/>
      <c r="R206" s="58" t="str" cm="1">
        <f>IFERROR(IF(ISBLANK($A206),"",INDEX(Array_StationaryCharges,MATCH($A206,List_StationaryFuelMeters,0),ROUNDUP((COLUMN()+1)/3-2,0))),"")</f>
        <v/>
      </c>
      <c r="S206" s="127"/>
      <c r="T206" s="127"/>
      <c r="U206" s="58" t="str" cm="1">
        <f>IFERROR(IF(ISBLANK($A206),"",INDEX(Array_StationaryCharges,MATCH($A206,List_StationaryFuelMeters,0),ROUNDUP((COLUMN()+1)/3-2,0))),"")</f>
        <v/>
      </c>
      <c r="V206" s="127"/>
      <c r="W206" s="127"/>
      <c r="X206" s="58" t="str" cm="1">
        <f>IFERROR(IF(ISBLANK($A206),"",INDEX(Array_StationaryCharges,MATCH($A206,List_StationaryFuelMeters,0),ROUNDUP((COLUMN()+1)/3-2,0))),"")</f>
        <v/>
      </c>
      <c r="Y206" s="127"/>
      <c r="Z206" s="127"/>
      <c r="AA206" s="58" t="str" cm="1">
        <f>IFERROR(IF(ISBLANK($A206),"",INDEX(Array_StationaryCharges,MATCH($A206,List_StationaryFuelMeters,0),ROUNDUP((COLUMN()+1)/3-2,0))),"")</f>
        <v/>
      </c>
      <c r="AB206" s="127"/>
      <c r="AC206" s="127"/>
      <c r="AD206" s="58" t="str" cm="1">
        <f>IFERROR(IF(ISBLANK($A206),"",INDEX(Array_StationaryCharges,MATCH($A206,List_StationaryFuelMeters,0),ROUNDUP((COLUMN()+1)/3-2,0))),"")</f>
        <v/>
      </c>
      <c r="AE206" s="127"/>
      <c r="AF206" s="127"/>
      <c r="AG206" s="58" t="str" cm="1">
        <f>IFERROR(IF(ISBLANK($A206),"",INDEX(Array_StationaryCharges,MATCH($A206,List_StationaryFuelMeters,0),ROUNDUP((COLUMN()+1)/3-2,0))),"")</f>
        <v/>
      </c>
      <c r="AH206" s="127"/>
      <c r="AI206" s="127"/>
      <c r="AJ206" s="58" t="str" cm="1">
        <f>IFERROR(IF(ISBLANK($A206),"",INDEX(Array_StationaryCharges,MATCH($A206,List_StationaryFuelMeters,0),ROUNDUP((COLUMN()+1)/3-2,0))),"")</f>
        <v/>
      </c>
      <c r="AK206" s="127"/>
      <c r="AL206" s="127"/>
      <c r="AM206" s="58" t="str" cm="1">
        <f>IFERROR(IF(ISBLANK($A206),"",INDEX(Array_StationaryCharges,MATCH($A206,List_StationaryFuelMeters,0),ROUNDUP((COLUMN()+1)/3-2,0))),"")</f>
        <v/>
      </c>
      <c r="AN206" s="127"/>
      <c r="AO206" s="127"/>
      <c r="AP206" s="58" t="str" cm="1">
        <f>IFERROR(IF(ISBLANK($A206),"",INDEX(Array_StationaryCharges,MATCH($A206,List_StationaryFuelMeters,0),ROUNDUP((COLUMN()+1)/3-2,0))),"")</f>
        <v/>
      </c>
      <c r="AQ206" s="127"/>
      <c r="AR206" s="127"/>
      <c r="AS206" s="58" t="str" cm="1">
        <f>IFERROR(IF(ISBLANK($A206),"",INDEX(Array_StationaryCharges,MATCH($A206,List_StationaryFuelMeters,0),ROUNDUP((COLUMN()+1)/3-2,0))),"")</f>
        <v/>
      </c>
      <c r="AT206" s="127"/>
      <c r="AU206" s="127"/>
      <c r="AV206" s="58" t="str" cm="1">
        <f>IFERROR(IF(ISBLANK($A206),"",INDEX(Array_StationaryCharges,MATCH($A206,List_StationaryFuelMeters,0),ROUNDUP((COLUMN()+1)/3-2,0))),"")</f>
        <v/>
      </c>
      <c r="AW206" s="127"/>
      <c r="AX206" s="127"/>
    </row>
    <row r="207" spans="1:50" x14ac:dyDescent="0.3">
      <c r="A207" s="126"/>
      <c r="B207" s="133"/>
      <c r="C207" s="127"/>
      <c r="D207" s="138"/>
      <c r="E207" s="138"/>
      <c r="F207" s="58" t="str" cm="1">
        <f>IFERROR(IF(ISBLANK($A207),"",INDEX(Array_StationaryCharges,MATCH($A207,List_StationaryFuelMeters,0),ROUNDUP((COLUMN()+1)/3-2,0))),"")</f>
        <v/>
      </c>
      <c r="G207" s="127"/>
      <c r="H207" s="127"/>
      <c r="I207" s="58" t="str" cm="1">
        <f>IFERROR(IF(ISBLANK($A207),"",INDEX(Array_StationaryCharges,MATCH($A207,List_StationaryFuelMeters,0),ROUNDUP((COLUMN()+1)/3-2,0))),"")</f>
        <v/>
      </c>
      <c r="J207" s="127"/>
      <c r="K207" s="127"/>
      <c r="L207" s="58" t="str" cm="1">
        <f>IFERROR(IF(ISBLANK($A207),"",INDEX(Array_StationaryCharges,MATCH($A207,List_StationaryFuelMeters,0),ROUNDUP((COLUMN()+1)/3-2,0))),"")</f>
        <v/>
      </c>
      <c r="M207" s="127"/>
      <c r="N207" s="127"/>
      <c r="O207" s="58" t="str" cm="1">
        <f>IFERROR(IF(ISBLANK($A207),"",INDEX(Array_StationaryCharges,MATCH($A207,List_StationaryFuelMeters,0),ROUNDUP((COLUMN()+1)/3-2,0))),"")</f>
        <v/>
      </c>
      <c r="P207" s="127"/>
      <c r="Q207" s="127"/>
      <c r="R207" s="58" t="str" cm="1">
        <f>IFERROR(IF(ISBLANK($A207),"",INDEX(Array_StationaryCharges,MATCH($A207,List_StationaryFuelMeters,0),ROUNDUP((COLUMN()+1)/3-2,0))),"")</f>
        <v/>
      </c>
      <c r="S207" s="127"/>
      <c r="T207" s="127"/>
      <c r="U207" s="58" t="str" cm="1">
        <f>IFERROR(IF(ISBLANK($A207),"",INDEX(Array_StationaryCharges,MATCH($A207,List_StationaryFuelMeters,0),ROUNDUP((COLUMN()+1)/3-2,0))),"")</f>
        <v/>
      </c>
      <c r="V207" s="127"/>
      <c r="W207" s="127"/>
      <c r="X207" s="58" t="str" cm="1">
        <f>IFERROR(IF(ISBLANK($A207),"",INDEX(Array_StationaryCharges,MATCH($A207,List_StationaryFuelMeters,0),ROUNDUP((COLUMN()+1)/3-2,0))),"")</f>
        <v/>
      </c>
      <c r="Y207" s="127"/>
      <c r="Z207" s="127"/>
      <c r="AA207" s="58" t="str" cm="1">
        <f>IFERROR(IF(ISBLANK($A207),"",INDEX(Array_StationaryCharges,MATCH($A207,List_StationaryFuelMeters,0),ROUNDUP((COLUMN()+1)/3-2,0))),"")</f>
        <v/>
      </c>
      <c r="AB207" s="127"/>
      <c r="AC207" s="127"/>
      <c r="AD207" s="58" t="str" cm="1">
        <f>IFERROR(IF(ISBLANK($A207),"",INDEX(Array_StationaryCharges,MATCH($A207,List_StationaryFuelMeters,0),ROUNDUP((COLUMN()+1)/3-2,0))),"")</f>
        <v/>
      </c>
      <c r="AE207" s="127"/>
      <c r="AF207" s="127"/>
      <c r="AG207" s="58" t="str" cm="1">
        <f>IFERROR(IF(ISBLANK($A207),"",INDEX(Array_StationaryCharges,MATCH($A207,List_StationaryFuelMeters,0),ROUNDUP((COLUMN()+1)/3-2,0))),"")</f>
        <v/>
      </c>
      <c r="AH207" s="127"/>
      <c r="AI207" s="127"/>
      <c r="AJ207" s="58" t="str" cm="1">
        <f>IFERROR(IF(ISBLANK($A207),"",INDEX(Array_StationaryCharges,MATCH($A207,List_StationaryFuelMeters,0),ROUNDUP((COLUMN()+1)/3-2,0))),"")</f>
        <v/>
      </c>
      <c r="AK207" s="127"/>
      <c r="AL207" s="127"/>
      <c r="AM207" s="58" t="str" cm="1">
        <f>IFERROR(IF(ISBLANK($A207),"",INDEX(Array_StationaryCharges,MATCH($A207,List_StationaryFuelMeters,0),ROUNDUP((COLUMN()+1)/3-2,0))),"")</f>
        <v/>
      </c>
      <c r="AN207" s="127"/>
      <c r="AO207" s="127"/>
      <c r="AP207" s="58" t="str" cm="1">
        <f>IFERROR(IF(ISBLANK($A207),"",INDEX(Array_StationaryCharges,MATCH($A207,List_StationaryFuelMeters,0),ROUNDUP((COLUMN()+1)/3-2,0))),"")</f>
        <v/>
      </c>
      <c r="AQ207" s="127"/>
      <c r="AR207" s="127"/>
      <c r="AS207" s="58" t="str" cm="1">
        <f>IFERROR(IF(ISBLANK($A207),"",INDEX(Array_StationaryCharges,MATCH($A207,List_StationaryFuelMeters,0),ROUNDUP((COLUMN()+1)/3-2,0))),"")</f>
        <v/>
      </c>
      <c r="AT207" s="127"/>
      <c r="AU207" s="127"/>
      <c r="AV207" s="58" t="str" cm="1">
        <f>IFERROR(IF(ISBLANK($A207),"",INDEX(Array_StationaryCharges,MATCH($A207,List_StationaryFuelMeters,0),ROUNDUP((COLUMN()+1)/3-2,0))),"")</f>
        <v/>
      </c>
      <c r="AW207" s="127"/>
      <c r="AX207" s="127"/>
    </row>
    <row r="208" spans="1:50" x14ac:dyDescent="0.3">
      <c r="A208" s="126"/>
      <c r="B208" s="133"/>
      <c r="C208" s="127"/>
      <c r="D208" s="138"/>
      <c r="E208" s="138"/>
      <c r="F208" s="58" t="str" cm="1">
        <f>IFERROR(IF(ISBLANK($A208),"",INDEX(Array_StationaryCharges,MATCH($A208,List_StationaryFuelMeters,0),ROUNDUP((COLUMN()+1)/3-2,0))),"")</f>
        <v/>
      </c>
      <c r="G208" s="127"/>
      <c r="H208" s="127"/>
      <c r="I208" s="58" t="str" cm="1">
        <f>IFERROR(IF(ISBLANK($A208),"",INDEX(Array_StationaryCharges,MATCH($A208,List_StationaryFuelMeters,0),ROUNDUP((COLUMN()+1)/3-2,0))),"")</f>
        <v/>
      </c>
      <c r="J208" s="127"/>
      <c r="K208" s="127"/>
      <c r="L208" s="58" t="str" cm="1">
        <f>IFERROR(IF(ISBLANK($A208),"",INDEX(Array_StationaryCharges,MATCH($A208,List_StationaryFuelMeters,0),ROUNDUP((COLUMN()+1)/3-2,0))),"")</f>
        <v/>
      </c>
      <c r="M208" s="127"/>
      <c r="N208" s="127"/>
      <c r="O208" s="58" t="str" cm="1">
        <f>IFERROR(IF(ISBLANK($A208),"",INDEX(Array_StationaryCharges,MATCH($A208,List_StationaryFuelMeters,0),ROUNDUP((COLUMN()+1)/3-2,0))),"")</f>
        <v/>
      </c>
      <c r="P208" s="127"/>
      <c r="Q208" s="127"/>
      <c r="R208" s="58" t="str" cm="1">
        <f>IFERROR(IF(ISBLANK($A208),"",INDEX(Array_StationaryCharges,MATCH($A208,List_StationaryFuelMeters,0),ROUNDUP((COLUMN()+1)/3-2,0))),"")</f>
        <v/>
      </c>
      <c r="S208" s="127"/>
      <c r="T208" s="127"/>
      <c r="U208" s="58" t="str" cm="1">
        <f>IFERROR(IF(ISBLANK($A208),"",INDEX(Array_StationaryCharges,MATCH($A208,List_StationaryFuelMeters,0),ROUNDUP((COLUMN()+1)/3-2,0))),"")</f>
        <v/>
      </c>
      <c r="V208" s="127"/>
      <c r="W208" s="127"/>
      <c r="X208" s="58" t="str" cm="1">
        <f>IFERROR(IF(ISBLANK($A208),"",INDEX(Array_StationaryCharges,MATCH($A208,List_StationaryFuelMeters,0),ROUNDUP((COLUMN()+1)/3-2,0))),"")</f>
        <v/>
      </c>
      <c r="Y208" s="127"/>
      <c r="Z208" s="127"/>
      <c r="AA208" s="58" t="str" cm="1">
        <f>IFERROR(IF(ISBLANK($A208),"",INDEX(Array_StationaryCharges,MATCH($A208,List_StationaryFuelMeters,0),ROUNDUP((COLUMN()+1)/3-2,0))),"")</f>
        <v/>
      </c>
      <c r="AB208" s="127"/>
      <c r="AC208" s="127"/>
      <c r="AD208" s="58" t="str" cm="1">
        <f>IFERROR(IF(ISBLANK($A208),"",INDEX(Array_StationaryCharges,MATCH($A208,List_StationaryFuelMeters,0),ROUNDUP((COLUMN()+1)/3-2,0))),"")</f>
        <v/>
      </c>
      <c r="AE208" s="127"/>
      <c r="AF208" s="127"/>
      <c r="AG208" s="58" t="str" cm="1">
        <f>IFERROR(IF(ISBLANK($A208),"",INDEX(Array_StationaryCharges,MATCH($A208,List_StationaryFuelMeters,0),ROUNDUP((COLUMN()+1)/3-2,0))),"")</f>
        <v/>
      </c>
      <c r="AH208" s="127"/>
      <c r="AI208" s="127"/>
      <c r="AJ208" s="58" t="str" cm="1">
        <f>IFERROR(IF(ISBLANK($A208),"",INDEX(Array_StationaryCharges,MATCH($A208,List_StationaryFuelMeters,0),ROUNDUP((COLUMN()+1)/3-2,0))),"")</f>
        <v/>
      </c>
      <c r="AK208" s="127"/>
      <c r="AL208" s="127"/>
      <c r="AM208" s="58" t="str" cm="1">
        <f>IFERROR(IF(ISBLANK($A208),"",INDEX(Array_StationaryCharges,MATCH($A208,List_StationaryFuelMeters,0),ROUNDUP((COLUMN()+1)/3-2,0))),"")</f>
        <v/>
      </c>
      <c r="AN208" s="127"/>
      <c r="AO208" s="127"/>
      <c r="AP208" s="58" t="str" cm="1">
        <f>IFERROR(IF(ISBLANK($A208),"",INDEX(Array_StationaryCharges,MATCH($A208,List_StationaryFuelMeters,0),ROUNDUP((COLUMN()+1)/3-2,0))),"")</f>
        <v/>
      </c>
      <c r="AQ208" s="127"/>
      <c r="AR208" s="127"/>
      <c r="AS208" s="58" t="str" cm="1">
        <f>IFERROR(IF(ISBLANK($A208),"",INDEX(Array_StationaryCharges,MATCH($A208,List_StationaryFuelMeters,0),ROUNDUP((COLUMN()+1)/3-2,0))),"")</f>
        <v/>
      </c>
      <c r="AT208" s="127"/>
      <c r="AU208" s="127"/>
      <c r="AV208" s="58" t="str" cm="1">
        <f>IFERROR(IF(ISBLANK($A208),"",INDEX(Array_StationaryCharges,MATCH($A208,List_StationaryFuelMeters,0),ROUNDUP((COLUMN()+1)/3-2,0))),"")</f>
        <v/>
      </c>
      <c r="AW208" s="127"/>
      <c r="AX208" s="127"/>
    </row>
    <row r="209" spans="1:50" x14ac:dyDescent="0.3">
      <c r="A209" s="126"/>
      <c r="B209" s="133"/>
      <c r="C209" s="127"/>
      <c r="D209" s="138"/>
      <c r="E209" s="138"/>
      <c r="F209" s="58" t="str" cm="1">
        <f>IFERROR(IF(ISBLANK($A209),"",INDEX(Array_StationaryCharges,MATCH($A209,List_StationaryFuelMeters,0),ROUNDUP((COLUMN()+1)/3-2,0))),"")</f>
        <v/>
      </c>
      <c r="G209" s="127"/>
      <c r="H209" s="127"/>
      <c r="I209" s="58" t="str" cm="1">
        <f>IFERROR(IF(ISBLANK($A209),"",INDEX(Array_StationaryCharges,MATCH($A209,List_StationaryFuelMeters,0),ROUNDUP((COLUMN()+1)/3-2,0))),"")</f>
        <v/>
      </c>
      <c r="J209" s="127"/>
      <c r="K209" s="127"/>
      <c r="L209" s="58" t="str" cm="1">
        <f>IFERROR(IF(ISBLANK($A209),"",INDEX(Array_StationaryCharges,MATCH($A209,List_StationaryFuelMeters,0),ROUNDUP((COLUMN()+1)/3-2,0))),"")</f>
        <v/>
      </c>
      <c r="M209" s="127"/>
      <c r="N209" s="127"/>
      <c r="O209" s="58" t="str" cm="1">
        <f>IFERROR(IF(ISBLANK($A209),"",INDEX(Array_StationaryCharges,MATCH($A209,List_StationaryFuelMeters,0),ROUNDUP((COLUMN()+1)/3-2,0))),"")</f>
        <v/>
      </c>
      <c r="P209" s="127"/>
      <c r="Q209" s="127"/>
      <c r="R209" s="58" t="str" cm="1">
        <f>IFERROR(IF(ISBLANK($A209),"",INDEX(Array_StationaryCharges,MATCH($A209,List_StationaryFuelMeters,0),ROUNDUP((COLUMN()+1)/3-2,0))),"")</f>
        <v/>
      </c>
      <c r="S209" s="127"/>
      <c r="T209" s="127"/>
      <c r="U209" s="58" t="str" cm="1">
        <f>IFERROR(IF(ISBLANK($A209),"",INDEX(Array_StationaryCharges,MATCH($A209,List_StationaryFuelMeters,0),ROUNDUP((COLUMN()+1)/3-2,0))),"")</f>
        <v/>
      </c>
      <c r="V209" s="127"/>
      <c r="W209" s="127"/>
      <c r="X209" s="58" t="str" cm="1">
        <f>IFERROR(IF(ISBLANK($A209),"",INDEX(Array_StationaryCharges,MATCH($A209,List_StationaryFuelMeters,0),ROUNDUP((COLUMN()+1)/3-2,0))),"")</f>
        <v/>
      </c>
      <c r="Y209" s="127"/>
      <c r="Z209" s="127"/>
      <c r="AA209" s="58" t="str" cm="1">
        <f>IFERROR(IF(ISBLANK($A209),"",INDEX(Array_StationaryCharges,MATCH($A209,List_StationaryFuelMeters,0),ROUNDUP((COLUMN()+1)/3-2,0))),"")</f>
        <v/>
      </c>
      <c r="AB209" s="127"/>
      <c r="AC209" s="127"/>
      <c r="AD209" s="58" t="str" cm="1">
        <f>IFERROR(IF(ISBLANK($A209),"",INDEX(Array_StationaryCharges,MATCH($A209,List_StationaryFuelMeters,0),ROUNDUP((COLUMN()+1)/3-2,0))),"")</f>
        <v/>
      </c>
      <c r="AE209" s="127"/>
      <c r="AF209" s="127"/>
      <c r="AG209" s="58" t="str" cm="1">
        <f>IFERROR(IF(ISBLANK($A209),"",INDEX(Array_StationaryCharges,MATCH($A209,List_StationaryFuelMeters,0),ROUNDUP((COLUMN()+1)/3-2,0))),"")</f>
        <v/>
      </c>
      <c r="AH209" s="127"/>
      <c r="AI209" s="127"/>
      <c r="AJ209" s="58" t="str" cm="1">
        <f>IFERROR(IF(ISBLANK($A209),"",INDEX(Array_StationaryCharges,MATCH($A209,List_StationaryFuelMeters,0),ROUNDUP((COLUMN()+1)/3-2,0))),"")</f>
        <v/>
      </c>
      <c r="AK209" s="127"/>
      <c r="AL209" s="127"/>
      <c r="AM209" s="58" t="str" cm="1">
        <f>IFERROR(IF(ISBLANK($A209),"",INDEX(Array_StationaryCharges,MATCH($A209,List_StationaryFuelMeters,0),ROUNDUP((COLUMN()+1)/3-2,0))),"")</f>
        <v/>
      </c>
      <c r="AN209" s="127"/>
      <c r="AO209" s="127"/>
      <c r="AP209" s="58" t="str" cm="1">
        <f>IFERROR(IF(ISBLANK($A209),"",INDEX(Array_StationaryCharges,MATCH($A209,List_StationaryFuelMeters,0),ROUNDUP((COLUMN()+1)/3-2,0))),"")</f>
        <v/>
      </c>
      <c r="AQ209" s="127"/>
      <c r="AR209" s="127"/>
      <c r="AS209" s="58" t="str" cm="1">
        <f>IFERROR(IF(ISBLANK($A209),"",INDEX(Array_StationaryCharges,MATCH($A209,List_StationaryFuelMeters,0),ROUNDUP((COLUMN()+1)/3-2,0))),"")</f>
        <v/>
      </c>
      <c r="AT209" s="127"/>
      <c r="AU209" s="127"/>
      <c r="AV209" s="58" t="str" cm="1">
        <f>IFERROR(IF(ISBLANK($A209),"",INDEX(Array_StationaryCharges,MATCH($A209,List_StationaryFuelMeters,0),ROUNDUP((COLUMN()+1)/3-2,0))),"")</f>
        <v/>
      </c>
      <c r="AW209" s="127"/>
      <c r="AX209" s="127"/>
    </row>
    <row r="210" spans="1:50" x14ac:dyDescent="0.3">
      <c r="A210" s="126"/>
      <c r="B210" s="133"/>
      <c r="C210" s="127"/>
      <c r="D210" s="138"/>
      <c r="E210" s="138"/>
      <c r="F210" s="58" t="str" cm="1">
        <f>IFERROR(IF(ISBLANK($A210),"",INDEX(Array_StationaryCharges,MATCH($A210,List_StationaryFuelMeters,0),ROUNDUP((COLUMN()+1)/3-2,0))),"")</f>
        <v/>
      </c>
      <c r="G210" s="127"/>
      <c r="H210" s="127"/>
      <c r="I210" s="58" t="str" cm="1">
        <f>IFERROR(IF(ISBLANK($A210),"",INDEX(Array_StationaryCharges,MATCH($A210,List_StationaryFuelMeters,0),ROUNDUP((COLUMN()+1)/3-2,0))),"")</f>
        <v/>
      </c>
      <c r="J210" s="127"/>
      <c r="K210" s="127"/>
      <c r="L210" s="58" t="str" cm="1">
        <f>IFERROR(IF(ISBLANK($A210),"",INDEX(Array_StationaryCharges,MATCH($A210,List_StationaryFuelMeters,0),ROUNDUP((COLUMN()+1)/3-2,0))),"")</f>
        <v/>
      </c>
      <c r="M210" s="127"/>
      <c r="N210" s="127"/>
      <c r="O210" s="58" t="str" cm="1">
        <f>IFERROR(IF(ISBLANK($A210),"",INDEX(Array_StationaryCharges,MATCH($A210,List_StationaryFuelMeters,0),ROUNDUP((COLUMN()+1)/3-2,0))),"")</f>
        <v/>
      </c>
      <c r="P210" s="127"/>
      <c r="Q210" s="127"/>
      <c r="R210" s="58" t="str" cm="1">
        <f>IFERROR(IF(ISBLANK($A210),"",INDEX(Array_StationaryCharges,MATCH($A210,List_StationaryFuelMeters,0),ROUNDUP((COLUMN()+1)/3-2,0))),"")</f>
        <v/>
      </c>
      <c r="S210" s="127"/>
      <c r="T210" s="127"/>
      <c r="U210" s="58" t="str" cm="1">
        <f>IFERROR(IF(ISBLANK($A210),"",INDEX(Array_StationaryCharges,MATCH($A210,List_StationaryFuelMeters,0),ROUNDUP((COLUMN()+1)/3-2,0))),"")</f>
        <v/>
      </c>
      <c r="V210" s="127"/>
      <c r="W210" s="127"/>
      <c r="X210" s="58" t="str" cm="1">
        <f>IFERROR(IF(ISBLANK($A210),"",INDEX(Array_StationaryCharges,MATCH($A210,List_StationaryFuelMeters,0),ROUNDUP((COLUMN()+1)/3-2,0))),"")</f>
        <v/>
      </c>
      <c r="Y210" s="127"/>
      <c r="Z210" s="127"/>
      <c r="AA210" s="58" t="str" cm="1">
        <f>IFERROR(IF(ISBLANK($A210),"",INDEX(Array_StationaryCharges,MATCH($A210,List_StationaryFuelMeters,0),ROUNDUP((COLUMN()+1)/3-2,0))),"")</f>
        <v/>
      </c>
      <c r="AB210" s="127"/>
      <c r="AC210" s="127"/>
      <c r="AD210" s="58" t="str" cm="1">
        <f>IFERROR(IF(ISBLANK($A210),"",INDEX(Array_StationaryCharges,MATCH($A210,List_StationaryFuelMeters,0),ROUNDUP((COLUMN()+1)/3-2,0))),"")</f>
        <v/>
      </c>
      <c r="AE210" s="127"/>
      <c r="AF210" s="127"/>
      <c r="AG210" s="58" t="str" cm="1">
        <f>IFERROR(IF(ISBLANK($A210),"",INDEX(Array_StationaryCharges,MATCH($A210,List_StationaryFuelMeters,0),ROUNDUP((COLUMN()+1)/3-2,0))),"")</f>
        <v/>
      </c>
      <c r="AH210" s="127"/>
      <c r="AI210" s="127"/>
      <c r="AJ210" s="58" t="str" cm="1">
        <f>IFERROR(IF(ISBLANK($A210),"",INDEX(Array_StationaryCharges,MATCH($A210,List_StationaryFuelMeters,0),ROUNDUP((COLUMN()+1)/3-2,0))),"")</f>
        <v/>
      </c>
      <c r="AK210" s="127"/>
      <c r="AL210" s="127"/>
      <c r="AM210" s="58" t="str" cm="1">
        <f>IFERROR(IF(ISBLANK($A210),"",INDEX(Array_StationaryCharges,MATCH($A210,List_StationaryFuelMeters,0),ROUNDUP((COLUMN()+1)/3-2,0))),"")</f>
        <v/>
      </c>
      <c r="AN210" s="127"/>
      <c r="AO210" s="127"/>
      <c r="AP210" s="58" t="str" cm="1">
        <f>IFERROR(IF(ISBLANK($A210),"",INDEX(Array_StationaryCharges,MATCH($A210,List_StationaryFuelMeters,0),ROUNDUP((COLUMN()+1)/3-2,0))),"")</f>
        <v/>
      </c>
      <c r="AQ210" s="127"/>
      <c r="AR210" s="127"/>
      <c r="AS210" s="58" t="str" cm="1">
        <f>IFERROR(IF(ISBLANK($A210),"",INDEX(Array_StationaryCharges,MATCH($A210,List_StationaryFuelMeters,0),ROUNDUP((COLUMN()+1)/3-2,0))),"")</f>
        <v/>
      </c>
      <c r="AT210" s="127"/>
      <c r="AU210" s="127"/>
      <c r="AV210" s="58" t="str" cm="1">
        <f>IFERROR(IF(ISBLANK($A210),"",INDEX(Array_StationaryCharges,MATCH($A210,List_StationaryFuelMeters,0),ROUNDUP((COLUMN()+1)/3-2,0))),"")</f>
        <v/>
      </c>
      <c r="AW210" s="127"/>
      <c r="AX210" s="127"/>
    </row>
    <row r="211" spans="1:50" x14ac:dyDescent="0.3">
      <c r="A211" s="126"/>
      <c r="B211" s="133"/>
      <c r="C211" s="127"/>
      <c r="D211" s="138"/>
      <c r="E211" s="138"/>
      <c r="F211" s="58" t="str" cm="1">
        <f>IFERROR(IF(ISBLANK($A211),"",INDEX(Array_StationaryCharges,MATCH($A211,List_StationaryFuelMeters,0),ROUNDUP((COLUMN()+1)/3-2,0))),"")</f>
        <v/>
      </c>
      <c r="G211" s="127"/>
      <c r="H211" s="127"/>
      <c r="I211" s="58" t="str" cm="1">
        <f>IFERROR(IF(ISBLANK($A211),"",INDEX(Array_StationaryCharges,MATCH($A211,List_StationaryFuelMeters,0),ROUNDUP((COLUMN()+1)/3-2,0))),"")</f>
        <v/>
      </c>
      <c r="J211" s="127"/>
      <c r="K211" s="127"/>
      <c r="L211" s="58" t="str" cm="1">
        <f>IFERROR(IF(ISBLANK($A211),"",INDEX(Array_StationaryCharges,MATCH($A211,List_StationaryFuelMeters,0),ROUNDUP((COLUMN()+1)/3-2,0))),"")</f>
        <v/>
      </c>
      <c r="M211" s="127"/>
      <c r="N211" s="127"/>
      <c r="O211" s="58" t="str" cm="1">
        <f>IFERROR(IF(ISBLANK($A211),"",INDEX(Array_StationaryCharges,MATCH($A211,List_StationaryFuelMeters,0),ROUNDUP((COLUMN()+1)/3-2,0))),"")</f>
        <v/>
      </c>
      <c r="P211" s="127"/>
      <c r="Q211" s="127"/>
      <c r="R211" s="58" t="str" cm="1">
        <f>IFERROR(IF(ISBLANK($A211),"",INDEX(Array_StationaryCharges,MATCH($A211,List_StationaryFuelMeters,0),ROUNDUP((COLUMN()+1)/3-2,0))),"")</f>
        <v/>
      </c>
      <c r="S211" s="127"/>
      <c r="T211" s="127"/>
      <c r="U211" s="58" t="str" cm="1">
        <f>IFERROR(IF(ISBLANK($A211),"",INDEX(Array_StationaryCharges,MATCH($A211,List_StationaryFuelMeters,0),ROUNDUP((COLUMN()+1)/3-2,0))),"")</f>
        <v/>
      </c>
      <c r="V211" s="127"/>
      <c r="W211" s="127"/>
      <c r="X211" s="58" t="str" cm="1">
        <f>IFERROR(IF(ISBLANK($A211),"",INDEX(Array_StationaryCharges,MATCH($A211,List_StationaryFuelMeters,0),ROUNDUP((COLUMN()+1)/3-2,0))),"")</f>
        <v/>
      </c>
      <c r="Y211" s="127"/>
      <c r="Z211" s="127"/>
      <c r="AA211" s="58" t="str" cm="1">
        <f>IFERROR(IF(ISBLANK($A211),"",INDEX(Array_StationaryCharges,MATCH($A211,List_StationaryFuelMeters,0),ROUNDUP((COLUMN()+1)/3-2,0))),"")</f>
        <v/>
      </c>
      <c r="AB211" s="127"/>
      <c r="AC211" s="127"/>
      <c r="AD211" s="58" t="str" cm="1">
        <f>IFERROR(IF(ISBLANK($A211),"",INDEX(Array_StationaryCharges,MATCH($A211,List_StationaryFuelMeters,0),ROUNDUP((COLUMN()+1)/3-2,0))),"")</f>
        <v/>
      </c>
      <c r="AE211" s="127"/>
      <c r="AF211" s="127"/>
      <c r="AG211" s="58" t="str" cm="1">
        <f>IFERROR(IF(ISBLANK($A211),"",INDEX(Array_StationaryCharges,MATCH($A211,List_StationaryFuelMeters,0),ROUNDUP((COLUMN()+1)/3-2,0))),"")</f>
        <v/>
      </c>
      <c r="AH211" s="127"/>
      <c r="AI211" s="127"/>
      <c r="AJ211" s="58" t="str" cm="1">
        <f>IFERROR(IF(ISBLANK($A211),"",INDEX(Array_StationaryCharges,MATCH($A211,List_StationaryFuelMeters,0),ROUNDUP((COLUMN()+1)/3-2,0))),"")</f>
        <v/>
      </c>
      <c r="AK211" s="127"/>
      <c r="AL211" s="127"/>
      <c r="AM211" s="58" t="str" cm="1">
        <f>IFERROR(IF(ISBLANK($A211),"",INDEX(Array_StationaryCharges,MATCH($A211,List_StationaryFuelMeters,0),ROUNDUP((COLUMN()+1)/3-2,0))),"")</f>
        <v/>
      </c>
      <c r="AN211" s="127"/>
      <c r="AO211" s="127"/>
      <c r="AP211" s="58" t="str" cm="1">
        <f>IFERROR(IF(ISBLANK($A211),"",INDEX(Array_StationaryCharges,MATCH($A211,List_StationaryFuelMeters,0),ROUNDUP((COLUMN()+1)/3-2,0))),"")</f>
        <v/>
      </c>
      <c r="AQ211" s="127"/>
      <c r="AR211" s="127"/>
      <c r="AS211" s="58" t="str" cm="1">
        <f>IFERROR(IF(ISBLANK($A211),"",INDEX(Array_StationaryCharges,MATCH($A211,List_StationaryFuelMeters,0),ROUNDUP((COLUMN()+1)/3-2,0))),"")</f>
        <v/>
      </c>
      <c r="AT211" s="127"/>
      <c r="AU211" s="127"/>
      <c r="AV211" s="58" t="str" cm="1">
        <f>IFERROR(IF(ISBLANK($A211),"",INDEX(Array_StationaryCharges,MATCH($A211,List_StationaryFuelMeters,0),ROUNDUP((COLUMN()+1)/3-2,0))),"")</f>
        <v/>
      </c>
      <c r="AW211" s="127"/>
      <c r="AX211" s="127"/>
    </row>
    <row r="212" spans="1:50" x14ac:dyDescent="0.3">
      <c r="A212" s="126"/>
      <c r="B212" s="133"/>
      <c r="C212" s="127"/>
      <c r="D212" s="138"/>
      <c r="E212" s="138"/>
      <c r="F212" s="58" t="str" cm="1">
        <f>IFERROR(IF(ISBLANK($A212),"",INDEX(Array_StationaryCharges,MATCH($A212,List_StationaryFuelMeters,0),ROUNDUP((COLUMN()+1)/3-2,0))),"")</f>
        <v/>
      </c>
      <c r="G212" s="127"/>
      <c r="H212" s="127"/>
      <c r="I212" s="58" t="str" cm="1">
        <f>IFERROR(IF(ISBLANK($A212),"",INDEX(Array_StationaryCharges,MATCH($A212,List_StationaryFuelMeters,0),ROUNDUP((COLUMN()+1)/3-2,0))),"")</f>
        <v/>
      </c>
      <c r="J212" s="127"/>
      <c r="K212" s="127"/>
      <c r="L212" s="58" t="str" cm="1">
        <f>IFERROR(IF(ISBLANK($A212),"",INDEX(Array_StationaryCharges,MATCH($A212,List_StationaryFuelMeters,0),ROUNDUP((COLUMN()+1)/3-2,0))),"")</f>
        <v/>
      </c>
      <c r="M212" s="127"/>
      <c r="N212" s="127"/>
      <c r="O212" s="58" t="str" cm="1">
        <f>IFERROR(IF(ISBLANK($A212),"",INDEX(Array_StationaryCharges,MATCH($A212,List_StationaryFuelMeters,0),ROUNDUP((COLUMN()+1)/3-2,0))),"")</f>
        <v/>
      </c>
      <c r="P212" s="127"/>
      <c r="Q212" s="127"/>
      <c r="R212" s="58" t="str" cm="1">
        <f>IFERROR(IF(ISBLANK($A212),"",INDEX(Array_StationaryCharges,MATCH($A212,List_StationaryFuelMeters,0),ROUNDUP((COLUMN()+1)/3-2,0))),"")</f>
        <v/>
      </c>
      <c r="S212" s="127"/>
      <c r="T212" s="127"/>
      <c r="U212" s="58" t="str" cm="1">
        <f>IFERROR(IF(ISBLANK($A212),"",INDEX(Array_StationaryCharges,MATCH($A212,List_StationaryFuelMeters,0),ROUNDUP((COLUMN()+1)/3-2,0))),"")</f>
        <v/>
      </c>
      <c r="V212" s="127"/>
      <c r="W212" s="127"/>
      <c r="X212" s="58" t="str" cm="1">
        <f>IFERROR(IF(ISBLANK($A212),"",INDEX(Array_StationaryCharges,MATCH($A212,List_StationaryFuelMeters,0),ROUNDUP((COLUMN()+1)/3-2,0))),"")</f>
        <v/>
      </c>
      <c r="Y212" s="127"/>
      <c r="Z212" s="127"/>
      <c r="AA212" s="58" t="str" cm="1">
        <f>IFERROR(IF(ISBLANK($A212),"",INDEX(Array_StationaryCharges,MATCH($A212,List_StationaryFuelMeters,0),ROUNDUP((COLUMN()+1)/3-2,0))),"")</f>
        <v/>
      </c>
      <c r="AB212" s="127"/>
      <c r="AC212" s="127"/>
      <c r="AD212" s="58" t="str" cm="1">
        <f>IFERROR(IF(ISBLANK($A212),"",INDEX(Array_StationaryCharges,MATCH($A212,List_StationaryFuelMeters,0),ROUNDUP((COLUMN()+1)/3-2,0))),"")</f>
        <v/>
      </c>
      <c r="AE212" s="127"/>
      <c r="AF212" s="127"/>
      <c r="AG212" s="58" t="str" cm="1">
        <f>IFERROR(IF(ISBLANK($A212),"",INDEX(Array_StationaryCharges,MATCH($A212,List_StationaryFuelMeters,0),ROUNDUP((COLUMN()+1)/3-2,0))),"")</f>
        <v/>
      </c>
      <c r="AH212" s="127"/>
      <c r="AI212" s="127"/>
      <c r="AJ212" s="58" t="str" cm="1">
        <f>IFERROR(IF(ISBLANK($A212),"",INDEX(Array_StationaryCharges,MATCH($A212,List_StationaryFuelMeters,0),ROUNDUP((COLUMN()+1)/3-2,0))),"")</f>
        <v/>
      </c>
      <c r="AK212" s="127"/>
      <c r="AL212" s="127"/>
      <c r="AM212" s="58" t="str" cm="1">
        <f>IFERROR(IF(ISBLANK($A212),"",INDEX(Array_StationaryCharges,MATCH($A212,List_StationaryFuelMeters,0),ROUNDUP((COLUMN()+1)/3-2,0))),"")</f>
        <v/>
      </c>
      <c r="AN212" s="127"/>
      <c r="AO212" s="127"/>
      <c r="AP212" s="58" t="str" cm="1">
        <f>IFERROR(IF(ISBLANK($A212),"",INDEX(Array_StationaryCharges,MATCH($A212,List_StationaryFuelMeters,0),ROUNDUP((COLUMN()+1)/3-2,0))),"")</f>
        <v/>
      </c>
      <c r="AQ212" s="127"/>
      <c r="AR212" s="127"/>
      <c r="AS212" s="58" t="str" cm="1">
        <f>IFERROR(IF(ISBLANK($A212),"",INDEX(Array_StationaryCharges,MATCH($A212,List_StationaryFuelMeters,0),ROUNDUP((COLUMN()+1)/3-2,0))),"")</f>
        <v/>
      </c>
      <c r="AT212" s="127"/>
      <c r="AU212" s="127"/>
      <c r="AV212" s="58" t="str" cm="1">
        <f>IFERROR(IF(ISBLANK($A212),"",INDEX(Array_StationaryCharges,MATCH($A212,List_StationaryFuelMeters,0),ROUNDUP((COLUMN()+1)/3-2,0))),"")</f>
        <v/>
      </c>
      <c r="AW212" s="127"/>
      <c r="AX212" s="127"/>
    </row>
    <row r="213" spans="1:50" x14ac:dyDescent="0.3">
      <c r="A213" s="126"/>
      <c r="B213" s="133"/>
      <c r="C213" s="127"/>
      <c r="D213" s="138"/>
      <c r="E213" s="138"/>
      <c r="F213" s="58" t="str" cm="1">
        <f>IFERROR(IF(ISBLANK($A213),"",INDEX(Array_StationaryCharges,MATCH($A213,List_StationaryFuelMeters,0),ROUNDUP((COLUMN()+1)/3-2,0))),"")</f>
        <v/>
      </c>
      <c r="G213" s="127"/>
      <c r="H213" s="127"/>
      <c r="I213" s="58" t="str" cm="1">
        <f>IFERROR(IF(ISBLANK($A213),"",INDEX(Array_StationaryCharges,MATCH($A213,List_StationaryFuelMeters,0),ROUNDUP((COLUMN()+1)/3-2,0))),"")</f>
        <v/>
      </c>
      <c r="J213" s="127"/>
      <c r="K213" s="127"/>
      <c r="L213" s="58" t="str" cm="1">
        <f>IFERROR(IF(ISBLANK($A213),"",INDEX(Array_StationaryCharges,MATCH($A213,List_StationaryFuelMeters,0),ROUNDUP((COLUMN()+1)/3-2,0))),"")</f>
        <v/>
      </c>
      <c r="M213" s="127"/>
      <c r="N213" s="127"/>
      <c r="O213" s="58" t="str" cm="1">
        <f>IFERROR(IF(ISBLANK($A213),"",INDEX(Array_StationaryCharges,MATCH($A213,List_StationaryFuelMeters,0),ROUNDUP((COLUMN()+1)/3-2,0))),"")</f>
        <v/>
      </c>
      <c r="P213" s="127"/>
      <c r="Q213" s="127"/>
      <c r="R213" s="58" t="str" cm="1">
        <f>IFERROR(IF(ISBLANK($A213),"",INDEX(Array_StationaryCharges,MATCH($A213,List_StationaryFuelMeters,0),ROUNDUP((COLUMN()+1)/3-2,0))),"")</f>
        <v/>
      </c>
      <c r="S213" s="127"/>
      <c r="T213" s="127"/>
      <c r="U213" s="58" t="str" cm="1">
        <f>IFERROR(IF(ISBLANK($A213),"",INDEX(Array_StationaryCharges,MATCH($A213,List_StationaryFuelMeters,0),ROUNDUP((COLUMN()+1)/3-2,0))),"")</f>
        <v/>
      </c>
      <c r="V213" s="127"/>
      <c r="W213" s="127"/>
      <c r="X213" s="58" t="str" cm="1">
        <f>IFERROR(IF(ISBLANK($A213),"",INDEX(Array_StationaryCharges,MATCH($A213,List_StationaryFuelMeters,0),ROUNDUP((COLUMN()+1)/3-2,0))),"")</f>
        <v/>
      </c>
      <c r="Y213" s="127"/>
      <c r="Z213" s="127"/>
      <c r="AA213" s="58" t="str" cm="1">
        <f>IFERROR(IF(ISBLANK($A213),"",INDEX(Array_StationaryCharges,MATCH($A213,List_StationaryFuelMeters,0),ROUNDUP((COLUMN()+1)/3-2,0))),"")</f>
        <v/>
      </c>
      <c r="AB213" s="127"/>
      <c r="AC213" s="127"/>
      <c r="AD213" s="58" t="str" cm="1">
        <f>IFERROR(IF(ISBLANK($A213),"",INDEX(Array_StationaryCharges,MATCH($A213,List_StationaryFuelMeters,0),ROUNDUP((COLUMN()+1)/3-2,0))),"")</f>
        <v/>
      </c>
      <c r="AE213" s="127"/>
      <c r="AF213" s="127"/>
      <c r="AG213" s="58" t="str" cm="1">
        <f>IFERROR(IF(ISBLANK($A213),"",INDEX(Array_StationaryCharges,MATCH($A213,List_StationaryFuelMeters,0),ROUNDUP((COLUMN()+1)/3-2,0))),"")</f>
        <v/>
      </c>
      <c r="AH213" s="127"/>
      <c r="AI213" s="127"/>
      <c r="AJ213" s="58" t="str" cm="1">
        <f>IFERROR(IF(ISBLANK($A213),"",INDEX(Array_StationaryCharges,MATCH($A213,List_StationaryFuelMeters,0),ROUNDUP((COLUMN()+1)/3-2,0))),"")</f>
        <v/>
      </c>
      <c r="AK213" s="127"/>
      <c r="AL213" s="127"/>
      <c r="AM213" s="58" t="str" cm="1">
        <f>IFERROR(IF(ISBLANK($A213),"",INDEX(Array_StationaryCharges,MATCH($A213,List_StationaryFuelMeters,0),ROUNDUP((COLUMN()+1)/3-2,0))),"")</f>
        <v/>
      </c>
      <c r="AN213" s="127"/>
      <c r="AO213" s="127"/>
      <c r="AP213" s="58" t="str" cm="1">
        <f>IFERROR(IF(ISBLANK($A213),"",INDEX(Array_StationaryCharges,MATCH($A213,List_StationaryFuelMeters,0),ROUNDUP((COLUMN()+1)/3-2,0))),"")</f>
        <v/>
      </c>
      <c r="AQ213" s="127"/>
      <c r="AR213" s="127"/>
      <c r="AS213" s="58" t="str" cm="1">
        <f>IFERROR(IF(ISBLANK($A213),"",INDEX(Array_StationaryCharges,MATCH($A213,List_StationaryFuelMeters,0),ROUNDUP((COLUMN()+1)/3-2,0))),"")</f>
        <v/>
      </c>
      <c r="AT213" s="127"/>
      <c r="AU213" s="127"/>
      <c r="AV213" s="58" t="str" cm="1">
        <f>IFERROR(IF(ISBLANK($A213),"",INDEX(Array_StationaryCharges,MATCH($A213,List_StationaryFuelMeters,0),ROUNDUP((COLUMN()+1)/3-2,0))),"")</f>
        <v/>
      </c>
      <c r="AW213" s="127"/>
      <c r="AX213" s="127"/>
    </row>
    <row r="214" spans="1:50" x14ac:dyDescent="0.3">
      <c r="A214" s="126"/>
      <c r="B214" s="133"/>
      <c r="C214" s="127"/>
      <c r="D214" s="138"/>
      <c r="E214" s="138"/>
      <c r="F214" s="58" t="str" cm="1">
        <f>IFERROR(IF(ISBLANK($A214),"",INDEX(Array_StationaryCharges,MATCH($A214,List_StationaryFuelMeters,0),ROUNDUP((COLUMN()+1)/3-2,0))),"")</f>
        <v/>
      </c>
      <c r="G214" s="127"/>
      <c r="H214" s="127"/>
      <c r="I214" s="58" t="str" cm="1">
        <f>IFERROR(IF(ISBLANK($A214),"",INDEX(Array_StationaryCharges,MATCH($A214,List_StationaryFuelMeters,0),ROUNDUP((COLUMN()+1)/3-2,0))),"")</f>
        <v/>
      </c>
      <c r="J214" s="127"/>
      <c r="K214" s="127"/>
      <c r="L214" s="58" t="str" cm="1">
        <f>IFERROR(IF(ISBLANK($A214),"",INDEX(Array_StationaryCharges,MATCH($A214,List_StationaryFuelMeters,0),ROUNDUP((COLUMN()+1)/3-2,0))),"")</f>
        <v/>
      </c>
      <c r="M214" s="127"/>
      <c r="N214" s="127"/>
      <c r="O214" s="58" t="str" cm="1">
        <f>IFERROR(IF(ISBLANK($A214),"",INDEX(Array_StationaryCharges,MATCH($A214,List_StationaryFuelMeters,0),ROUNDUP((COLUMN()+1)/3-2,0))),"")</f>
        <v/>
      </c>
      <c r="P214" s="127"/>
      <c r="Q214" s="127"/>
      <c r="R214" s="58" t="str" cm="1">
        <f>IFERROR(IF(ISBLANK($A214),"",INDEX(Array_StationaryCharges,MATCH($A214,List_StationaryFuelMeters,0),ROUNDUP((COLUMN()+1)/3-2,0))),"")</f>
        <v/>
      </c>
      <c r="S214" s="127"/>
      <c r="T214" s="127"/>
      <c r="U214" s="58" t="str" cm="1">
        <f>IFERROR(IF(ISBLANK($A214),"",INDEX(Array_StationaryCharges,MATCH($A214,List_StationaryFuelMeters,0),ROUNDUP((COLUMN()+1)/3-2,0))),"")</f>
        <v/>
      </c>
      <c r="V214" s="127"/>
      <c r="W214" s="127"/>
      <c r="X214" s="58" t="str" cm="1">
        <f>IFERROR(IF(ISBLANK($A214),"",INDEX(Array_StationaryCharges,MATCH($A214,List_StationaryFuelMeters,0),ROUNDUP((COLUMN()+1)/3-2,0))),"")</f>
        <v/>
      </c>
      <c r="Y214" s="127"/>
      <c r="Z214" s="127"/>
      <c r="AA214" s="58" t="str" cm="1">
        <f>IFERROR(IF(ISBLANK($A214),"",INDEX(Array_StationaryCharges,MATCH($A214,List_StationaryFuelMeters,0),ROUNDUP((COLUMN()+1)/3-2,0))),"")</f>
        <v/>
      </c>
      <c r="AB214" s="127"/>
      <c r="AC214" s="127"/>
      <c r="AD214" s="58" t="str" cm="1">
        <f>IFERROR(IF(ISBLANK($A214),"",INDEX(Array_StationaryCharges,MATCH($A214,List_StationaryFuelMeters,0),ROUNDUP((COLUMN()+1)/3-2,0))),"")</f>
        <v/>
      </c>
      <c r="AE214" s="127"/>
      <c r="AF214" s="127"/>
      <c r="AG214" s="58" t="str" cm="1">
        <f>IFERROR(IF(ISBLANK($A214),"",INDEX(Array_StationaryCharges,MATCH($A214,List_StationaryFuelMeters,0),ROUNDUP((COLUMN()+1)/3-2,0))),"")</f>
        <v/>
      </c>
      <c r="AH214" s="127"/>
      <c r="AI214" s="127"/>
      <c r="AJ214" s="58" t="str" cm="1">
        <f>IFERROR(IF(ISBLANK($A214),"",INDEX(Array_StationaryCharges,MATCH($A214,List_StationaryFuelMeters,0),ROUNDUP((COLUMN()+1)/3-2,0))),"")</f>
        <v/>
      </c>
      <c r="AK214" s="127"/>
      <c r="AL214" s="127"/>
      <c r="AM214" s="58" t="str" cm="1">
        <f>IFERROR(IF(ISBLANK($A214),"",INDEX(Array_StationaryCharges,MATCH($A214,List_StationaryFuelMeters,0),ROUNDUP((COLUMN()+1)/3-2,0))),"")</f>
        <v/>
      </c>
      <c r="AN214" s="127"/>
      <c r="AO214" s="127"/>
      <c r="AP214" s="58" t="str" cm="1">
        <f>IFERROR(IF(ISBLANK($A214),"",INDEX(Array_StationaryCharges,MATCH($A214,List_StationaryFuelMeters,0),ROUNDUP((COLUMN()+1)/3-2,0))),"")</f>
        <v/>
      </c>
      <c r="AQ214" s="127"/>
      <c r="AR214" s="127"/>
      <c r="AS214" s="58" t="str" cm="1">
        <f>IFERROR(IF(ISBLANK($A214),"",INDEX(Array_StationaryCharges,MATCH($A214,List_StationaryFuelMeters,0),ROUNDUP((COLUMN()+1)/3-2,0))),"")</f>
        <v/>
      </c>
      <c r="AT214" s="127"/>
      <c r="AU214" s="127"/>
      <c r="AV214" s="58" t="str" cm="1">
        <f>IFERROR(IF(ISBLANK($A214),"",INDEX(Array_StationaryCharges,MATCH($A214,List_StationaryFuelMeters,0),ROUNDUP((COLUMN()+1)/3-2,0))),"")</f>
        <v/>
      </c>
      <c r="AW214" s="127"/>
      <c r="AX214" s="127"/>
    </row>
    <row r="215" spans="1:50" x14ac:dyDescent="0.3">
      <c r="A215" s="126"/>
      <c r="B215" s="133"/>
      <c r="C215" s="127"/>
      <c r="D215" s="138"/>
      <c r="E215" s="138"/>
      <c r="F215" s="58" t="str" cm="1">
        <f>IFERROR(IF(ISBLANK($A215),"",INDEX(Array_StationaryCharges,MATCH($A215,List_StationaryFuelMeters,0),ROUNDUP((COLUMN()+1)/3-2,0))),"")</f>
        <v/>
      </c>
      <c r="G215" s="127"/>
      <c r="H215" s="127"/>
      <c r="I215" s="58" t="str" cm="1">
        <f>IFERROR(IF(ISBLANK($A215),"",INDEX(Array_StationaryCharges,MATCH($A215,List_StationaryFuelMeters,0),ROUNDUP((COLUMN()+1)/3-2,0))),"")</f>
        <v/>
      </c>
      <c r="J215" s="127"/>
      <c r="K215" s="127"/>
      <c r="L215" s="58" t="str" cm="1">
        <f>IFERROR(IF(ISBLANK($A215),"",INDEX(Array_StationaryCharges,MATCH($A215,List_StationaryFuelMeters,0),ROUNDUP((COLUMN()+1)/3-2,0))),"")</f>
        <v/>
      </c>
      <c r="M215" s="127"/>
      <c r="N215" s="127"/>
      <c r="O215" s="58" t="str" cm="1">
        <f>IFERROR(IF(ISBLANK($A215),"",INDEX(Array_StationaryCharges,MATCH($A215,List_StationaryFuelMeters,0),ROUNDUP((COLUMN()+1)/3-2,0))),"")</f>
        <v/>
      </c>
      <c r="P215" s="127"/>
      <c r="Q215" s="127"/>
      <c r="R215" s="58" t="str" cm="1">
        <f>IFERROR(IF(ISBLANK($A215),"",INDEX(Array_StationaryCharges,MATCH($A215,List_StationaryFuelMeters,0),ROUNDUP((COLUMN()+1)/3-2,0))),"")</f>
        <v/>
      </c>
      <c r="S215" s="127"/>
      <c r="T215" s="127"/>
      <c r="U215" s="58" t="str" cm="1">
        <f>IFERROR(IF(ISBLANK($A215),"",INDEX(Array_StationaryCharges,MATCH($A215,List_StationaryFuelMeters,0),ROUNDUP((COLUMN()+1)/3-2,0))),"")</f>
        <v/>
      </c>
      <c r="V215" s="127"/>
      <c r="W215" s="127"/>
      <c r="X215" s="58" t="str" cm="1">
        <f>IFERROR(IF(ISBLANK($A215),"",INDEX(Array_StationaryCharges,MATCH($A215,List_StationaryFuelMeters,0),ROUNDUP((COLUMN()+1)/3-2,0))),"")</f>
        <v/>
      </c>
      <c r="Y215" s="127"/>
      <c r="Z215" s="127"/>
      <c r="AA215" s="58" t="str" cm="1">
        <f>IFERROR(IF(ISBLANK($A215),"",INDEX(Array_StationaryCharges,MATCH($A215,List_StationaryFuelMeters,0),ROUNDUP((COLUMN()+1)/3-2,0))),"")</f>
        <v/>
      </c>
      <c r="AB215" s="127"/>
      <c r="AC215" s="127"/>
      <c r="AD215" s="58" t="str" cm="1">
        <f>IFERROR(IF(ISBLANK($A215),"",INDEX(Array_StationaryCharges,MATCH($A215,List_StationaryFuelMeters,0),ROUNDUP((COLUMN()+1)/3-2,0))),"")</f>
        <v/>
      </c>
      <c r="AE215" s="127"/>
      <c r="AF215" s="127"/>
      <c r="AG215" s="58" t="str" cm="1">
        <f>IFERROR(IF(ISBLANK($A215),"",INDEX(Array_StationaryCharges,MATCH($A215,List_StationaryFuelMeters,0),ROUNDUP((COLUMN()+1)/3-2,0))),"")</f>
        <v/>
      </c>
      <c r="AH215" s="127"/>
      <c r="AI215" s="127"/>
      <c r="AJ215" s="58" t="str" cm="1">
        <f>IFERROR(IF(ISBLANK($A215),"",INDEX(Array_StationaryCharges,MATCH($A215,List_StationaryFuelMeters,0),ROUNDUP((COLUMN()+1)/3-2,0))),"")</f>
        <v/>
      </c>
      <c r="AK215" s="127"/>
      <c r="AL215" s="127"/>
      <c r="AM215" s="58" t="str" cm="1">
        <f>IFERROR(IF(ISBLANK($A215),"",INDEX(Array_StationaryCharges,MATCH($A215,List_StationaryFuelMeters,0),ROUNDUP((COLUMN()+1)/3-2,0))),"")</f>
        <v/>
      </c>
      <c r="AN215" s="127"/>
      <c r="AO215" s="127"/>
      <c r="AP215" s="58" t="str" cm="1">
        <f>IFERROR(IF(ISBLANK($A215),"",INDEX(Array_StationaryCharges,MATCH($A215,List_StationaryFuelMeters,0),ROUNDUP((COLUMN()+1)/3-2,0))),"")</f>
        <v/>
      </c>
      <c r="AQ215" s="127"/>
      <c r="AR215" s="127"/>
      <c r="AS215" s="58" t="str" cm="1">
        <f>IFERROR(IF(ISBLANK($A215),"",INDEX(Array_StationaryCharges,MATCH($A215,List_StationaryFuelMeters,0),ROUNDUP((COLUMN()+1)/3-2,0))),"")</f>
        <v/>
      </c>
      <c r="AT215" s="127"/>
      <c r="AU215" s="127"/>
      <c r="AV215" s="58" t="str" cm="1">
        <f>IFERROR(IF(ISBLANK($A215),"",INDEX(Array_StationaryCharges,MATCH($A215,List_StationaryFuelMeters,0),ROUNDUP((COLUMN()+1)/3-2,0))),"")</f>
        <v/>
      </c>
      <c r="AW215" s="127"/>
      <c r="AX215" s="127"/>
    </row>
    <row r="216" spans="1:50" x14ac:dyDescent="0.3">
      <c r="A216" s="126"/>
      <c r="B216" s="133"/>
      <c r="C216" s="127"/>
      <c r="D216" s="138"/>
      <c r="E216" s="138"/>
      <c r="F216" s="58" t="str" cm="1">
        <f>IFERROR(IF(ISBLANK($A216),"",INDEX(Array_StationaryCharges,MATCH($A216,List_StationaryFuelMeters,0),ROUNDUP((COLUMN()+1)/3-2,0))),"")</f>
        <v/>
      </c>
      <c r="G216" s="127"/>
      <c r="H216" s="127"/>
      <c r="I216" s="58" t="str" cm="1">
        <f>IFERROR(IF(ISBLANK($A216),"",INDEX(Array_StationaryCharges,MATCH($A216,List_StationaryFuelMeters,0),ROUNDUP((COLUMN()+1)/3-2,0))),"")</f>
        <v/>
      </c>
      <c r="J216" s="127"/>
      <c r="K216" s="127"/>
      <c r="L216" s="58" t="str" cm="1">
        <f>IFERROR(IF(ISBLANK($A216),"",INDEX(Array_StationaryCharges,MATCH($A216,List_StationaryFuelMeters,0),ROUNDUP((COLUMN()+1)/3-2,0))),"")</f>
        <v/>
      </c>
      <c r="M216" s="127"/>
      <c r="N216" s="127"/>
      <c r="O216" s="58" t="str" cm="1">
        <f>IFERROR(IF(ISBLANK($A216),"",INDEX(Array_StationaryCharges,MATCH($A216,List_StationaryFuelMeters,0),ROUNDUP((COLUMN()+1)/3-2,0))),"")</f>
        <v/>
      </c>
      <c r="P216" s="127"/>
      <c r="Q216" s="127"/>
      <c r="R216" s="58" t="str" cm="1">
        <f>IFERROR(IF(ISBLANK($A216),"",INDEX(Array_StationaryCharges,MATCH($A216,List_StationaryFuelMeters,0),ROUNDUP((COLUMN()+1)/3-2,0))),"")</f>
        <v/>
      </c>
      <c r="S216" s="127"/>
      <c r="T216" s="127"/>
      <c r="U216" s="58" t="str" cm="1">
        <f>IFERROR(IF(ISBLANK($A216),"",INDEX(Array_StationaryCharges,MATCH($A216,List_StationaryFuelMeters,0),ROUNDUP((COLUMN()+1)/3-2,0))),"")</f>
        <v/>
      </c>
      <c r="V216" s="127"/>
      <c r="W216" s="127"/>
      <c r="X216" s="58" t="str" cm="1">
        <f>IFERROR(IF(ISBLANK($A216),"",INDEX(Array_StationaryCharges,MATCH($A216,List_StationaryFuelMeters,0),ROUNDUP((COLUMN()+1)/3-2,0))),"")</f>
        <v/>
      </c>
      <c r="Y216" s="127"/>
      <c r="Z216" s="127"/>
      <c r="AA216" s="58" t="str" cm="1">
        <f>IFERROR(IF(ISBLANK($A216),"",INDEX(Array_StationaryCharges,MATCH($A216,List_StationaryFuelMeters,0),ROUNDUP((COLUMN()+1)/3-2,0))),"")</f>
        <v/>
      </c>
      <c r="AB216" s="127"/>
      <c r="AC216" s="127"/>
      <c r="AD216" s="58" t="str" cm="1">
        <f>IFERROR(IF(ISBLANK($A216),"",INDEX(Array_StationaryCharges,MATCH($A216,List_StationaryFuelMeters,0),ROUNDUP((COLUMN()+1)/3-2,0))),"")</f>
        <v/>
      </c>
      <c r="AE216" s="127"/>
      <c r="AF216" s="127"/>
      <c r="AG216" s="58" t="str" cm="1">
        <f>IFERROR(IF(ISBLANK($A216),"",INDEX(Array_StationaryCharges,MATCH($A216,List_StationaryFuelMeters,0),ROUNDUP((COLUMN()+1)/3-2,0))),"")</f>
        <v/>
      </c>
      <c r="AH216" s="127"/>
      <c r="AI216" s="127"/>
      <c r="AJ216" s="58" t="str" cm="1">
        <f>IFERROR(IF(ISBLANK($A216),"",INDEX(Array_StationaryCharges,MATCH($A216,List_StationaryFuelMeters,0),ROUNDUP((COLUMN()+1)/3-2,0))),"")</f>
        <v/>
      </c>
      <c r="AK216" s="127"/>
      <c r="AL216" s="127"/>
      <c r="AM216" s="58" t="str" cm="1">
        <f>IFERROR(IF(ISBLANK($A216),"",INDEX(Array_StationaryCharges,MATCH($A216,List_StationaryFuelMeters,0),ROUNDUP((COLUMN()+1)/3-2,0))),"")</f>
        <v/>
      </c>
      <c r="AN216" s="127"/>
      <c r="AO216" s="127"/>
      <c r="AP216" s="58" t="str" cm="1">
        <f>IFERROR(IF(ISBLANK($A216),"",INDEX(Array_StationaryCharges,MATCH($A216,List_StationaryFuelMeters,0),ROUNDUP((COLUMN()+1)/3-2,0))),"")</f>
        <v/>
      </c>
      <c r="AQ216" s="127"/>
      <c r="AR216" s="127"/>
      <c r="AS216" s="58" t="str" cm="1">
        <f>IFERROR(IF(ISBLANK($A216),"",INDEX(Array_StationaryCharges,MATCH($A216,List_StationaryFuelMeters,0),ROUNDUP((COLUMN()+1)/3-2,0))),"")</f>
        <v/>
      </c>
      <c r="AT216" s="127"/>
      <c r="AU216" s="127"/>
      <c r="AV216" s="58" t="str" cm="1">
        <f>IFERROR(IF(ISBLANK($A216),"",INDEX(Array_StationaryCharges,MATCH($A216,List_StationaryFuelMeters,0),ROUNDUP((COLUMN()+1)/3-2,0))),"")</f>
        <v/>
      </c>
      <c r="AW216" s="127"/>
      <c r="AX216" s="127"/>
    </row>
    <row r="217" spans="1:50" x14ac:dyDescent="0.3">
      <c r="A217" s="126"/>
      <c r="B217" s="133"/>
      <c r="C217" s="127"/>
      <c r="D217" s="138"/>
      <c r="E217" s="138"/>
      <c r="F217" s="58" t="str" cm="1">
        <f>IFERROR(IF(ISBLANK($A217),"",INDEX(Array_StationaryCharges,MATCH($A217,List_StationaryFuelMeters,0),ROUNDUP((COLUMN()+1)/3-2,0))),"")</f>
        <v/>
      </c>
      <c r="G217" s="127"/>
      <c r="H217" s="127"/>
      <c r="I217" s="58" t="str" cm="1">
        <f>IFERROR(IF(ISBLANK($A217),"",INDEX(Array_StationaryCharges,MATCH($A217,List_StationaryFuelMeters,0),ROUNDUP((COLUMN()+1)/3-2,0))),"")</f>
        <v/>
      </c>
      <c r="J217" s="127"/>
      <c r="K217" s="127"/>
      <c r="L217" s="58" t="str" cm="1">
        <f>IFERROR(IF(ISBLANK($A217),"",INDEX(Array_StationaryCharges,MATCH($A217,List_StationaryFuelMeters,0),ROUNDUP((COLUMN()+1)/3-2,0))),"")</f>
        <v/>
      </c>
      <c r="M217" s="127"/>
      <c r="N217" s="127"/>
      <c r="O217" s="58" t="str" cm="1">
        <f>IFERROR(IF(ISBLANK($A217),"",INDEX(Array_StationaryCharges,MATCH($A217,List_StationaryFuelMeters,0),ROUNDUP((COLUMN()+1)/3-2,0))),"")</f>
        <v/>
      </c>
      <c r="P217" s="127"/>
      <c r="Q217" s="127"/>
      <c r="R217" s="58" t="str" cm="1">
        <f>IFERROR(IF(ISBLANK($A217),"",INDEX(Array_StationaryCharges,MATCH($A217,List_StationaryFuelMeters,0),ROUNDUP((COLUMN()+1)/3-2,0))),"")</f>
        <v/>
      </c>
      <c r="S217" s="127"/>
      <c r="T217" s="127"/>
      <c r="U217" s="58" t="str" cm="1">
        <f>IFERROR(IF(ISBLANK($A217),"",INDEX(Array_StationaryCharges,MATCH($A217,List_StationaryFuelMeters,0),ROUNDUP((COLUMN()+1)/3-2,0))),"")</f>
        <v/>
      </c>
      <c r="V217" s="127"/>
      <c r="W217" s="127"/>
      <c r="X217" s="58" t="str" cm="1">
        <f>IFERROR(IF(ISBLANK($A217),"",INDEX(Array_StationaryCharges,MATCH($A217,List_StationaryFuelMeters,0),ROUNDUP((COLUMN()+1)/3-2,0))),"")</f>
        <v/>
      </c>
      <c r="Y217" s="127"/>
      <c r="Z217" s="127"/>
      <c r="AA217" s="58" t="str" cm="1">
        <f>IFERROR(IF(ISBLANK($A217),"",INDEX(Array_StationaryCharges,MATCH($A217,List_StationaryFuelMeters,0),ROUNDUP((COLUMN()+1)/3-2,0))),"")</f>
        <v/>
      </c>
      <c r="AB217" s="127"/>
      <c r="AC217" s="127"/>
      <c r="AD217" s="58" t="str" cm="1">
        <f>IFERROR(IF(ISBLANK($A217),"",INDEX(Array_StationaryCharges,MATCH($A217,List_StationaryFuelMeters,0),ROUNDUP((COLUMN()+1)/3-2,0))),"")</f>
        <v/>
      </c>
      <c r="AE217" s="127"/>
      <c r="AF217" s="127"/>
      <c r="AG217" s="58" t="str" cm="1">
        <f>IFERROR(IF(ISBLANK($A217),"",INDEX(Array_StationaryCharges,MATCH($A217,List_StationaryFuelMeters,0),ROUNDUP((COLUMN()+1)/3-2,0))),"")</f>
        <v/>
      </c>
      <c r="AH217" s="127"/>
      <c r="AI217" s="127"/>
      <c r="AJ217" s="58" t="str" cm="1">
        <f>IFERROR(IF(ISBLANK($A217),"",INDEX(Array_StationaryCharges,MATCH($A217,List_StationaryFuelMeters,0),ROUNDUP((COLUMN()+1)/3-2,0))),"")</f>
        <v/>
      </c>
      <c r="AK217" s="127"/>
      <c r="AL217" s="127"/>
      <c r="AM217" s="58" t="str" cm="1">
        <f>IFERROR(IF(ISBLANK($A217),"",INDEX(Array_StationaryCharges,MATCH($A217,List_StationaryFuelMeters,0),ROUNDUP((COLUMN()+1)/3-2,0))),"")</f>
        <v/>
      </c>
      <c r="AN217" s="127"/>
      <c r="AO217" s="127"/>
      <c r="AP217" s="58" t="str" cm="1">
        <f>IFERROR(IF(ISBLANK($A217),"",INDEX(Array_StationaryCharges,MATCH($A217,List_StationaryFuelMeters,0),ROUNDUP((COLUMN()+1)/3-2,0))),"")</f>
        <v/>
      </c>
      <c r="AQ217" s="127"/>
      <c r="AR217" s="127"/>
      <c r="AS217" s="58" t="str" cm="1">
        <f>IFERROR(IF(ISBLANK($A217),"",INDEX(Array_StationaryCharges,MATCH($A217,List_StationaryFuelMeters,0),ROUNDUP((COLUMN()+1)/3-2,0))),"")</f>
        <v/>
      </c>
      <c r="AT217" s="127"/>
      <c r="AU217" s="127"/>
      <c r="AV217" s="58" t="str" cm="1">
        <f>IFERROR(IF(ISBLANK($A217),"",INDEX(Array_StationaryCharges,MATCH($A217,List_StationaryFuelMeters,0),ROUNDUP((COLUMN()+1)/3-2,0))),"")</f>
        <v/>
      </c>
      <c r="AW217" s="127"/>
      <c r="AX217" s="127"/>
    </row>
    <row r="218" spans="1:50" x14ac:dyDescent="0.3">
      <c r="A218" s="126"/>
      <c r="B218" s="133"/>
      <c r="C218" s="127"/>
      <c r="D218" s="138"/>
      <c r="E218" s="138"/>
      <c r="F218" s="58" t="str" cm="1">
        <f>IFERROR(IF(ISBLANK($A218),"",INDEX(Array_StationaryCharges,MATCH($A218,List_StationaryFuelMeters,0),ROUNDUP((COLUMN()+1)/3-2,0))),"")</f>
        <v/>
      </c>
      <c r="G218" s="127"/>
      <c r="H218" s="127"/>
      <c r="I218" s="58" t="str" cm="1">
        <f>IFERROR(IF(ISBLANK($A218),"",INDEX(Array_StationaryCharges,MATCH($A218,List_StationaryFuelMeters,0),ROUNDUP((COLUMN()+1)/3-2,0))),"")</f>
        <v/>
      </c>
      <c r="J218" s="127"/>
      <c r="K218" s="127"/>
      <c r="L218" s="58" t="str" cm="1">
        <f>IFERROR(IF(ISBLANK($A218),"",INDEX(Array_StationaryCharges,MATCH($A218,List_StationaryFuelMeters,0),ROUNDUP((COLUMN()+1)/3-2,0))),"")</f>
        <v/>
      </c>
      <c r="M218" s="127"/>
      <c r="N218" s="127"/>
      <c r="O218" s="58" t="str" cm="1">
        <f>IFERROR(IF(ISBLANK($A218),"",INDEX(Array_StationaryCharges,MATCH($A218,List_StationaryFuelMeters,0),ROUNDUP((COLUMN()+1)/3-2,0))),"")</f>
        <v/>
      </c>
      <c r="P218" s="127"/>
      <c r="Q218" s="127"/>
      <c r="R218" s="58" t="str" cm="1">
        <f>IFERROR(IF(ISBLANK($A218),"",INDEX(Array_StationaryCharges,MATCH($A218,List_StationaryFuelMeters,0),ROUNDUP((COLUMN()+1)/3-2,0))),"")</f>
        <v/>
      </c>
      <c r="S218" s="127"/>
      <c r="T218" s="127"/>
      <c r="U218" s="58" t="str" cm="1">
        <f>IFERROR(IF(ISBLANK($A218),"",INDEX(Array_StationaryCharges,MATCH($A218,List_StationaryFuelMeters,0),ROUNDUP((COLUMN()+1)/3-2,0))),"")</f>
        <v/>
      </c>
      <c r="V218" s="127"/>
      <c r="W218" s="127"/>
      <c r="X218" s="58" t="str" cm="1">
        <f>IFERROR(IF(ISBLANK($A218),"",INDEX(Array_StationaryCharges,MATCH($A218,List_StationaryFuelMeters,0),ROUNDUP((COLUMN()+1)/3-2,0))),"")</f>
        <v/>
      </c>
      <c r="Y218" s="127"/>
      <c r="Z218" s="127"/>
      <c r="AA218" s="58" t="str" cm="1">
        <f>IFERROR(IF(ISBLANK($A218),"",INDEX(Array_StationaryCharges,MATCH($A218,List_StationaryFuelMeters,0),ROUNDUP((COLUMN()+1)/3-2,0))),"")</f>
        <v/>
      </c>
      <c r="AB218" s="127"/>
      <c r="AC218" s="127"/>
      <c r="AD218" s="58" t="str" cm="1">
        <f>IFERROR(IF(ISBLANK($A218),"",INDEX(Array_StationaryCharges,MATCH($A218,List_StationaryFuelMeters,0),ROUNDUP((COLUMN()+1)/3-2,0))),"")</f>
        <v/>
      </c>
      <c r="AE218" s="127"/>
      <c r="AF218" s="127"/>
      <c r="AG218" s="58" t="str" cm="1">
        <f>IFERROR(IF(ISBLANK($A218),"",INDEX(Array_StationaryCharges,MATCH($A218,List_StationaryFuelMeters,0),ROUNDUP((COLUMN()+1)/3-2,0))),"")</f>
        <v/>
      </c>
      <c r="AH218" s="127"/>
      <c r="AI218" s="127"/>
      <c r="AJ218" s="58" t="str" cm="1">
        <f>IFERROR(IF(ISBLANK($A218),"",INDEX(Array_StationaryCharges,MATCH($A218,List_StationaryFuelMeters,0),ROUNDUP((COLUMN()+1)/3-2,0))),"")</f>
        <v/>
      </c>
      <c r="AK218" s="127"/>
      <c r="AL218" s="127"/>
      <c r="AM218" s="58" t="str" cm="1">
        <f>IFERROR(IF(ISBLANK($A218),"",INDEX(Array_StationaryCharges,MATCH($A218,List_StationaryFuelMeters,0),ROUNDUP((COLUMN()+1)/3-2,0))),"")</f>
        <v/>
      </c>
      <c r="AN218" s="127"/>
      <c r="AO218" s="127"/>
      <c r="AP218" s="58" t="str" cm="1">
        <f>IFERROR(IF(ISBLANK($A218),"",INDEX(Array_StationaryCharges,MATCH($A218,List_StationaryFuelMeters,0),ROUNDUP((COLUMN()+1)/3-2,0))),"")</f>
        <v/>
      </c>
      <c r="AQ218" s="127"/>
      <c r="AR218" s="127"/>
      <c r="AS218" s="58" t="str" cm="1">
        <f>IFERROR(IF(ISBLANK($A218),"",INDEX(Array_StationaryCharges,MATCH($A218,List_StationaryFuelMeters,0),ROUNDUP((COLUMN()+1)/3-2,0))),"")</f>
        <v/>
      </c>
      <c r="AT218" s="127"/>
      <c r="AU218" s="127"/>
      <c r="AV218" s="58" t="str" cm="1">
        <f>IFERROR(IF(ISBLANK($A218),"",INDEX(Array_StationaryCharges,MATCH($A218,List_StationaryFuelMeters,0),ROUNDUP((COLUMN()+1)/3-2,0))),"")</f>
        <v/>
      </c>
      <c r="AW218" s="127"/>
      <c r="AX218" s="127"/>
    </row>
    <row r="219" spans="1:50" x14ac:dyDescent="0.3">
      <c r="A219" s="126"/>
      <c r="B219" s="133"/>
      <c r="C219" s="127"/>
      <c r="D219" s="138"/>
      <c r="E219" s="138"/>
      <c r="F219" s="58" t="str" cm="1">
        <f>IFERROR(IF(ISBLANK($A219),"",INDEX(Array_StationaryCharges,MATCH($A219,List_StationaryFuelMeters,0),ROUNDUP((COLUMN()+1)/3-2,0))),"")</f>
        <v/>
      </c>
      <c r="G219" s="127"/>
      <c r="H219" s="127"/>
      <c r="I219" s="58" t="str" cm="1">
        <f>IFERROR(IF(ISBLANK($A219),"",INDEX(Array_StationaryCharges,MATCH($A219,List_StationaryFuelMeters,0),ROUNDUP((COLUMN()+1)/3-2,0))),"")</f>
        <v/>
      </c>
      <c r="J219" s="127"/>
      <c r="K219" s="127"/>
      <c r="L219" s="58" t="str" cm="1">
        <f>IFERROR(IF(ISBLANK($A219),"",INDEX(Array_StationaryCharges,MATCH($A219,List_StationaryFuelMeters,0),ROUNDUP((COLUMN()+1)/3-2,0))),"")</f>
        <v/>
      </c>
      <c r="M219" s="127"/>
      <c r="N219" s="127"/>
      <c r="O219" s="58" t="str" cm="1">
        <f>IFERROR(IF(ISBLANK($A219),"",INDEX(Array_StationaryCharges,MATCH($A219,List_StationaryFuelMeters,0),ROUNDUP((COLUMN()+1)/3-2,0))),"")</f>
        <v/>
      </c>
      <c r="P219" s="127"/>
      <c r="Q219" s="127"/>
      <c r="R219" s="58" t="str" cm="1">
        <f>IFERROR(IF(ISBLANK($A219),"",INDEX(Array_StationaryCharges,MATCH($A219,List_StationaryFuelMeters,0),ROUNDUP((COLUMN()+1)/3-2,0))),"")</f>
        <v/>
      </c>
      <c r="S219" s="127"/>
      <c r="T219" s="127"/>
      <c r="U219" s="58" t="str" cm="1">
        <f>IFERROR(IF(ISBLANK($A219),"",INDEX(Array_StationaryCharges,MATCH($A219,List_StationaryFuelMeters,0),ROUNDUP((COLUMN()+1)/3-2,0))),"")</f>
        <v/>
      </c>
      <c r="V219" s="127"/>
      <c r="W219" s="127"/>
      <c r="X219" s="58" t="str" cm="1">
        <f>IFERROR(IF(ISBLANK($A219),"",INDEX(Array_StationaryCharges,MATCH($A219,List_StationaryFuelMeters,0),ROUNDUP((COLUMN()+1)/3-2,0))),"")</f>
        <v/>
      </c>
      <c r="Y219" s="127"/>
      <c r="Z219" s="127"/>
      <c r="AA219" s="58" t="str" cm="1">
        <f>IFERROR(IF(ISBLANK($A219),"",INDEX(Array_StationaryCharges,MATCH($A219,List_StationaryFuelMeters,0),ROUNDUP((COLUMN()+1)/3-2,0))),"")</f>
        <v/>
      </c>
      <c r="AB219" s="127"/>
      <c r="AC219" s="127"/>
      <c r="AD219" s="58" t="str" cm="1">
        <f>IFERROR(IF(ISBLANK($A219),"",INDEX(Array_StationaryCharges,MATCH($A219,List_StationaryFuelMeters,0),ROUNDUP((COLUMN()+1)/3-2,0))),"")</f>
        <v/>
      </c>
      <c r="AE219" s="127"/>
      <c r="AF219" s="127"/>
      <c r="AG219" s="58" t="str" cm="1">
        <f>IFERROR(IF(ISBLANK($A219),"",INDEX(Array_StationaryCharges,MATCH($A219,List_StationaryFuelMeters,0),ROUNDUP((COLUMN()+1)/3-2,0))),"")</f>
        <v/>
      </c>
      <c r="AH219" s="127"/>
      <c r="AI219" s="127"/>
      <c r="AJ219" s="58" t="str" cm="1">
        <f>IFERROR(IF(ISBLANK($A219),"",INDEX(Array_StationaryCharges,MATCH($A219,List_StationaryFuelMeters,0),ROUNDUP((COLUMN()+1)/3-2,0))),"")</f>
        <v/>
      </c>
      <c r="AK219" s="127"/>
      <c r="AL219" s="127"/>
      <c r="AM219" s="58" t="str" cm="1">
        <f>IFERROR(IF(ISBLANK($A219),"",INDEX(Array_StationaryCharges,MATCH($A219,List_StationaryFuelMeters,0),ROUNDUP((COLUMN()+1)/3-2,0))),"")</f>
        <v/>
      </c>
      <c r="AN219" s="127"/>
      <c r="AO219" s="127"/>
      <c r="AP219" s="58" t="str" cm="1">
        <f>IFERROR(IF(ISBLANK($A219),"",INDEX(Array_StationaryCharges,MATCH($A219,List_StationaryFuelMeters,0),ROUNDUP((COLUMN()+1)/3-2,0))),"")</f>
        <v/>
      </c>
      <c r="AQ219" s="127"/>
      <c r="AR219" s="127"/>
      <c r="AS219" s="58" t="str" cm="1">
        <f>IFERROR(IF(ISBLANK($A219),"",INDEX(Array_StationaryCharges,MATCH($A219,List_StationaryFuelMeters,0),ROUNDUP((COLUMN()+1)/3-2,0))),"")</f>
        <v/>
      </c>
      <c r="AT219" s="127"/>
      <c r="AU219" s="127"/>
      <c r="AV219" s="58" t="str" cm="1">
        <f>IFERROR(IF(ISBLANK($A219),"",INDEX(Array_StationaryCharges,MATCH($A219,List_StationaryFuelMeters,0),ROUNDUP((COLUMN()+1)/3-2,0))),"")</f>
        <v/>
      </c>
      <c r="AW219" s="127"/>
      <c r="AX219" s="127"/>
    </row>
    <row r="220" spans="1:50" x14ac:dyDescent="0.3">
      <c r="A220" s="126"/>
      <c r="B220" s="133"/>
      <c r="C220" s="127"/>
      <c r="D220" s="138"/>
      <c r="E220" s="138"/>
      <c r="F220" s="58" t="str" cm="1">
        <f>IFERROR(IF(ISBLANK($A220),"",INDEX(Array_StationaryCharges,MATCH($A220,List_StationaryFuelMeters,0),ROUNDUP((COLUMN()+1)/3-2,0))),"")</f>
        <v/>
      </c>
      <c r="G220" s="127"/>
      <c r="H220" s="127"/>
      <c r="I220" s="58" t="str" cm="1">
        <f>IFERROR(IF(ISBLANK($A220),"",INDEX(Array_StationaryCharges,MATCH($A220,List_StationaryFuelMeters,0),ROUNDUP((COLUMN()+1)/3-2,0))),"")</f>
        <v/>
      </c>
      <c r="J220" s="127"/>
      <c r="K220" s="127"/>
      <c r="L220" s="58" t="str" cm="1">
        <f>IFERROR(IF(ISBLANK($A220),"",INDEX(Array_StationaryCharges,MATCH($A220,List_StationaryFuelMeters,0),ROUNDUP((COLUMN()+1)/3-2,0))),"")</f>
        <v/>
      </c>
      <c r="M220" s="127"/>
      <c r="N220" s="127"/>
      <c r="O220" s="58" t="str" cm="1">
        <f>IFERROR(IF(ISBLANK($A220),"",INDEX(Array_StationaryCharges,MATCH($A220,List_StationaryFuelMeters,0),ROUNDUP((COLUMN()+1)/3-2,0))),"")</f>
        <v/>
      </c>
      <c r="P220" s="127"/>
      <c r="Q220" s="127"/>
      <c r="R220" s="58" t="str" cm="1">
        <f>IFERROR(IF(ISBLANK($A220),"",INDEX(Array_StationaryCharges,MATCH($A220,List_StationaryFuelMeters,0),ROUNDUP((COLUMN()+1)/3-2,0))),"")</f>
        <v/>
      </c>
      <c r="S220" s="127"/>
      <c r="T220" s="127"/>
      <c r="U220" s="58" t="str" cm="1">
        <f>IFERROR(IF(ISBLANK($A220),"",INDEX(Array_StationaryCharges,MATCH($A220,List_StationaryFuelMeters,0),ROUNDUP((COLUMN()+1)/3-2,0))),"")</f>
        <v/>
      </c>
      <c r="V220" s="127"/>
      <c r="W220" s="127"/>
      <c r="X220" s="58" t="str" cm="1">
        <f>IFERROR(IF(ISBLANK($A220),"",INDEX(Array_StationaryCharges,MATCH($A220,List_StationaryFuelMeters,0),ROUNDUP((COLUMN()+1)/3-2,0))),"")</f>
        <v/>
      </c>
      <c r="Y220" s="127"/>
      <c r="Z220" s="127"/>
      <c r="AA220" s="58" t="str" cm="1">
        <f>IFERROR(IF(ISBLANK($A220),"",INDEX(Array_StationaryCharges,MATCH($A220,List_StationaryFuelMeters,0),ROUNDUP((COLUMN()+1)/3-2,0))),"")</f>
        <v/>
      </c>
      <c r="AB220" s="127"/>
      <c r="AC220" s="127"/>
      <c r="AD220" s="58" t="str" cm="1">
        <f>IFERROR(IF(ISBLANK($A220),"",INDEX(Array_StationaryCharges,MATCH($A220,List_StationaryFuelMeters,0),ROUNDUP((COLUMN()+1)/3-2,0))),"")</f>
        <v/>
      </c>
      <c r="AE220" s="127"/>
      <c r="AF220" s="127"/>
      <c r="AG220" s="58" t="str" cm="1">
        <f>IFERROR(IF(ISBLANK($A220),"",INDEX(Array_StationaryCharges,MATCH($A220,List_StationaryFuelMeters,0),ROUNDUP((COLUMN()+1)/3-2,0))),"")</f>
        <v/>
      </c>
      <c r="AH220" s="127"/>
      <c r="AI220" s="127"/>
      <c r="AJ220" s="58" t="str" cm="1">
        <f>IFERROR(IF(ISBLANK($A220),"",INDEX(Array_StationaryCharges,MATCH($A220,List_StationaryFuelMeters,0),ROUNDUP((COLUMN()+1)/3-2,0))),"")</f>
        <v/>
      </c>
      <c r="AK220" s="127"/>
      <c r="AL220" s="127"/>
      <c r="AM220" s="58" t="str" cm="1">
        <f>IFERROR(IF(ISBLANK($A220),"",INDEX(Array_StationaryCharges,MATCH($A220,List_StationaryFuelMeters,0),ROUNDUP((COLUMN()+1)/3-2,0))),"")</f>
        <v/>
      </c>
      <c r="AN220" s="127"/>
      <c r="AO220" s="127"/>
      <c r="AP220" s="58" t="str" cm="1">
        <f>IFERROR(IF(ISBLANK($A220),"",INDEX(Array_StationaryCharges,MATCH($A220,List_StationaryFuelMeters,0),ROUNDUP((COLUMN()+1)/3-2,0))),"")</f>
        <v/>
      </c>
      <c r="AQ220" s="127"/>
      <c r="AR220" s="127"/>
      <c r="AS220" s="58" t="str" cm="1">
        <f>IFERROR(IF(ISBLANK($A220),"",INDEX(Array_StationaryCharges,MATCH($A220,List_StationaryFuelMeters,0),ROUNDUP((COLUMN()+1)/3-2,0))),"")</f>
        <v/>
      </c>
      <c r="AT220" s="127"/>
      <c r="AU220" s="127"/>
      <c r="AV220" s="58" t="str" cm="1">
        <f>IFERROR(IF(ISBLANK($A220),"",INDEX(Array_StationaryCharges,MATCH($A220,List_StationaryFuelMeters,0),ROUNDUP((COLUMN()+1)/3-2,0))),"")</f>
        <v/>
      </c>
      <c r="AW220" s="127"/>
      <c r="AX220" s="127"/>
    </row>
    <row r="221" spans="1:50" x14ac:dyDescent="0.3">
      <c r="A221" s="126"/>
      <c r="B221" s="133"/>
      <c r="C221" s="127"/>
      <c r="D221" s="138"/>
      <c r="E221" s="138"/>
      <c r="F221" s="58" t="str" cm="1">
        <f>IFERROR(IF(ISBLANK($A221),"",INDEX(Array_StationaryCharges,MATCH($A221,List_StationaryFuelMeters,0),ROUNDUP((COLUMN()+1)/3-2,0))),"")</f>
        <v/>
      </c>
      <c r="G221" s="127"/>
      <c r="H221" s="127"/>
      <c r="I221" s="58" t="str" cm="1">
        <f>IFERROR(IF(ISBLANK($A221),"",INDEX(Array_StationaryCharges,MATCH($A221,List_StationaryFuelMeters,0),ROUNDUP((COLUMN()+1)/3-2,0))),"")</f>
        <v/>
      </c>
      <c r="J221" s="127"/>
      <c r="K221" s="127"/>
      <c r="L221" s="58" t="str" cm="1">
        <f>IFERROR(IF(ISBLANK($A221),"",INDEX(Array_StationaryCharges,MATCH($A221,List_StationaryFuelMeters,0),ROUNDUP((COLUMN()+1)/3-2,0))),"")</f>
        <v/>
      </c>
      <c r="M221" s="127"/>
      <c r="N221" s="127"/>
      <c r="O221" s="58" t="str" cm="1">
        <f>IFERROR(IF(ISBLANK($A221),"",INDEX(Array_StationaryCharges,MATCH($A221,List_StationaryFuelMeters,0),ROUNDUP((COLUMN()+1)/3-2,0))),"")</f>
        <v/>
      </c>
      <c r="P221" s="127"/>
      <c r="Q221" s="127"/>
      <c r="R221" s="58" t="str" cm="1">
        <f>IFERROR(IF(ISBLANK($A221),"",INDEX(Array_StationaryCharges,MATCH($A221,List_StationaryFuelMeters,0),ROUNDUP((COLUMN()+1)/3-2,0))),"")</f>
        <v/>
      </c>
      <c r="S221" s="127"/>
      <c r="T221" s="127"/>
      <c r="U221" s="58" t="str" cm="1">
        <f>IFERROR(IF(ISBLANK($A221),"",INDEX(Array_StationaryCharges,MATCH($A221,List_StationaryFuelMeters,0),ROUNDUP((COLUMN()+1)/3-2,0))),"")</f>
        <v/>
      </c>
      <c r="V221" s="127"/>
      <c r="W221" s="127"/>
      <c r="X221" s="58" t="str" cm="1">
        <f>IFERROR(IF(ISBLANK($A221),"",INDEX(Array_StationaryCharges,MATCH($A221,List_StationaryFuelMeters,0),ROUNDUP((COLUMN()+1)/3-2,0))),"")</f>
        <v/>
      </c>
      <c r="Y221" s="127"/>
      <c r="Z221" s="127"/>
      <c r="AA221" s="58" t="str" cm="1">
        <f>IFERROR(IF(ISBLANK($A221),"",INDEX(Array_StationaryCharges,MATCH($A221,List_StationaryFuelMeters,0),ROUNDUP((COLUMN()+1)/3-2,0))),"")</f>
        <v/>
      </c>
      <c r="AB221" s="127"/>
      <c r="AC221" s="127"/>
      <c r="AD221" s="58" t="str" cm="1">
        <f>IFERROR(IF(ISBLANK($A221),"",INDEX(Array_StationaryCharges,MATCH($A221,List_StationaryFuelMeters,0),ROUNDUP((COLUMN()+1)/3-2,0))),"")</f>
        <v/>
      </c>
      <c r="AE221" s="127"/>
      <c r="AF221" s="127"/>
      <c r="AG221" s="58" t="str" cm="1">
        <f>IFERROR(IF(ISBLANK($A221),"",INDEX(Array_StationaryCharges,MATCH($A221,List_StationaryFuelMeters,0),ROUNDUP((COLUMN()+1)/3-2,0))),"")</f>
        <v/>
      </c>
      <c r="AH221" s="127"/>
      <c r="AI221" s="127"/>
      <c r="AJ221" s="58" t="str" cm="1">
        <f>IFERROR(IF(ISBLANK($A221),"",INDEX(Array_StationaryCharges,MATCH($A221,List_StationaryFuelMeters,0),ROUNDUP((COLUMN()+1)/3-2,0))),"")</f>
        <v/>
      </c>
      <c r="AK221" s="127"/>
      <c r="AL221" s="127"/>
      <c r="AM221" s="58" t="str" cm="1">
        <f>IFERROR(IF(ISBLANK($A221),"",INDEX(Array_StationaryCharges,MATCH($A221,List_StationaryFuelMeters,0),ROUNDUP((COLUMN()+1)/3-2,0))),"")</f>
        <v/>
      </c>
      <c r="AN221" s="127"/>
      <c r="AO221" s="127"/>
      <c r="AP221" s="58" t="str" cm="1">
        <f>IFERROR(IF(ISBLANK($A221),"",INDEX(Array_StationaryCharges,MATCH($A221,List_StationaryFuelMeters,0),ROUNDUP((COLUMN()+1)/3-2,0))),"")</f>
        <v/>
      </c>
      <c r="AQ221" s="127"/>
      <c r="AR221" s="127"/>
      <c r="AS221" s="58" t="str" cm="1">
        <f>IFERROR(IF(ISBLANK($A221),"",INDEX(Array_StationaryCharges,MATCH($A221,List_StationaryFuelMeters,0),ROUNDUP((COLUMN()+1)/3-2,0))),"")</f>
        <v/>
      </c>
      <c r="AT221" s="127"/>
      <c r="AU221" s="127"/>
      <c r="AV221" s="58" t="str" cm="1">
        <f>IFERROR(IF(ISBLANK($A221),"",INDEX(Array_StationaryCharges,MATCH($A221,List_StationaryFuelMeters,0),ROUNDUP((COLUMN()+1)/3-2,0))),"")</f>
        <v/>
      </c>
      <c r="AW221" s="127"/>
      <c r="AX221" s="127"/>
    </row>
    <row r="222" spans="1:50" x14ac:dyDescent="0.3">
      <c r="A222" s="126"/>
      <c r="B222" s="133"/>
      <c r="C222" s="127"/>
      <c r="D222" s="138"/>
      <c r="E222" s="138"/>
      <c r="F222" s="58" t="str" cm="1">
        <f>IFERROR(IF(ISBLANK($A222),"",INDEX(Array_StationaryCharges,MATCH($A222,List_StationaryFuelMeters,0),ROUNDUP((COLUMN()+1)/3-2,0))),"")</f>
        <v/>
      </c>
      <c r="G222" s="127"/>
      <c r="H222" s="127"/>
      <c r="I222" s="58" t="str" cm="1">
        <f>IFERROR(IF(ISBLANK($A222),"",INDEX(Array_StationaryCharges,MATCH($A222,List_StationaryFuelMeters,0),ROUNDUP((COLUMN()+1)/3-2,0))),"")</f>
        <v/>
      </c>
      <c r="J222" s="127"/>
      <c r="K222" s="127"/>
      <c r="L222" s="58" t="str" cm="1">
        <f>IFERROR(IF(ISBLANK($A222),"",INDEX(Array_StationaryCharges,MATCH($A222,List_StationaryFuelMeters,0),ROUNDUP((COLUMN()+1)/3-2,0))),"")</f>
        <v/>
      </c>
      <c r="M222" s="127"/>
      <c r="N222" s="127"/>
      <c r="O222" s="58" t="str" cm="1">
        <f>IFERROR(IF(ISBLANK($A222),"",INDEX(Array_StationaryCharges,MATCH($A222,List_StationaryFuelMeters,0),ROUNDUP((COLUMN()+1)/3-2,0))),"")</f>
        <v/>
      </c>
      <c r="P222" s="127"/>
      <c r="Q222" s="127"/>
      <c r="R222" s="58" t="str" cm="1">
        <f>IFERROR(IF(ISBLANK($A222),"",INDEX(Array_StationaryCharges,MATCH($A222,List_StationaryFuelMeters,0),ROUNDUP((COLUMN()+1)/3-2,0))),"")</f>
        <v/>
      </c>
      <c r="S222" s="127"/>
      <c r="T222" s="127"/>
      <c r="U222" s="58" t="str" cm="1">
        <f>IFERROR(IF(ISBLANK($A222),"",INDEX(Array_StationaryCharges,MATCH($A222,List_StationaryFuelMeters,0),ROUNDUP((COLUMN()+1)/3-2,0))),"")</f>
        <v/>
      </c>
      <c r="V222" s="127"/>
      <c r="W222" s="127"/>
      <c r="X222" s="58" t="str" cm="1">
        <f>IFERROR(IF(ISBLANK($A222),"",INDEX(Array_StationaryCharges,MATCH($A222,List_StationaryFuelMeters,0),ROUNDUP((COLUMN()+1)/3-2,0))),"")</f>
        <v/>
      </c>
      <c r="Y222" s="127"/>
      <c r="Z222" s="127"/>
      <c r="AA222" s="58" t="str" cm="1">
        <f>IFERROR(IF(ISBLANK($A222),"",INDEX(Array_StationaryCharges,MATCH($A222,List_StationaryFuelMeters,0),ROUNDUP((COLUMN()+1)/3-2,0))),"")</f>
        <v/>
      </c>
      <c r="AB222" s="127"/>
      <c r="AC222" s="127"/>
      <c r="AD222" s="58" t="str" cm="1">
        <f>IFERROR(IF(ISBLANK($A222),"",INDEX(Array_StationaryCharges,MATCH($A222,List_StationaryFuelMeters,0),ROUNDUP((COLUMN()+1)/3-2,0))),"")</f>
        <v/>
      </c>
      <c r="AE222" s="127"/>
      <c r="AF222" s="127"/>
      <c r="AG222" s="58" t="str" cm="1">
        <f>IFERROR(IF(ISBLANK($A222),"",INDEX(Array_StationaryCharges,MATCH($A222,List_StationaryFuelMeters,0),ROUNDUP((COLUMN()+1)/3-2,0))),"")</f>
        <v/>
      </c>
      <c r="AH222" s="127"/>
      <c r="AI222" s="127"/>
      <c r="AJ222" s="58" t="str" cm="1">
        <f>IFERROR(IF(ISBLANK($A222),"",INDEX(Array_StationaryCharges,MATCH($A222,List_StationaryFuelMeters,0),ROUNDUP((COLUMN()+1)/3-2,0))),"")</f>
        <v/>
      </c>
      <c r="AK222" s="127"/>
      <c r="AL222" s="127"/>
      <c r="AM222" s="58" t="str" cm="1">
        <f>IFERROR(IF(ISBLANK($A222),"",INDEX(Array_StationaryCharges,MATCH($A222,List_StationaryFuelMeters,0),ROUNDUP((COLUMN()+1)/3-2,0))),"")</f>
        <v/>
      </c>
      <c r="AN222" s="127"/>
      <c r="AO222" s="127"/>
      <c r="AP222" s="58" t="str" cm="1">
        <f>IFERROR(IF(ISBLANK($A222),"",INDEX(Array_StationaryCharges,MATCH($A222,List_StationaryFuelMeters,0),ROUNDUP((COLUMN()+1)/3-2,0))),"")</f>
        <v/>
      </c>
      <c r="AQ222" s="127"/>
      <c r="AR222" s="127"/>
      <c r="AS222" s="58" t="str" cm="1">
        <f>IFERROR(IF(ISBLANK($A222),"",INDEX(Array_StationaryCharges,MATCH($A222,List_StationaryFuelMeters,0),ROUNDUP((COLUMN()+1)/3-2,0))),"")</f>
        <v/>
      </c>
      <c r="AT222" s="127"/>
      <c r="AU222" s="127"/>
      <c r="AV222" s="58" t="str" cm="1">
        <f>IFERROR(IF(ISBLANK($A222),"",INDEX(Array_StationaryCharges,MATCH($A222,List_StationaryFuelMeters,0),ROUNDUP((COLUMN()+1)/3-2,0))),"")</f>
        <v/>
      </c>
      <c r="AW222" s="127"/>
      <c r="AX222" s="127"/>
    </row>
    <row r="223" spans="1:50" x14ac:dyDescent="0.3">
      <c r="A223" s="126"/>
      <c r="B223" s="133"/>
      <c r="C223" s="127"/>
      <c r="D223" s="138"/>
      <c r="E223" s="138"/>
      <c r="F223" s="58" t="str" cm="1">
        <f>IFERROR(IF(ISBLANK($A223),"",INDEX(Array_StationaryCharges,MATCH($A223,List_StationaryFuelMeters,0),ROUNDUP((COLUMN()+1)/3-2,0))),"")</f>
        <v/>
      </c>
      <c r="G223" s="127"/>
      <c r="H223" s="127"/>
      <c r="I223" s="58" t="str" cm="1">
        <f>IFERROR(IF(ISBLANK($A223),"",INDEX(Array_StationaryCharges,MATCH($A223,List_StationaryFuelMeters,0),ROUNDUP((COLUMN()+1)/3-2,0))),"")</f>
        <v/>
      </c>
      <c r="J223" s="127"/>
      <c r="K223" s="127"/>
      <c r="L223" s="58" t="str" cm="1">
        <f>IFERROR(IF(ISBLANK($A223),"",INDEX(Array_StationaryCharges,MATCH($A223,List_StationaryFuelMeters,0),ROUNDUP((COLUMN()+1)/3-2,0))),"")</f>
        <v/>
      </c>
      <c r="M223" s="127"/>
      <c r="N223" s="127"/>
      <c r="O223" s="58" t="str" cm="1">
        <f>IFERROR(IF(ISBLANK($A223),"",INDEX(Array_StationaryCharges,MATCH($A223,List_StationaryFuelMeters,0),ROUNDUP((COLUMN()+1)/3-2,0))),"")</f>
        <v/>
      </c>
      <c r="P223" s="127"/>
      <c r="Q223" s="127"/>
      <c r="R223" s="58" t="str" cm="1">
        <f>IFERROR(IF(ISBLANK($A223),"",INDEX(Array_StationaryCharges,MATCH($A223,List_StationaryFuelMeters,0),ROUNDUP((COLUMN()+1)/3-2,0))),"")</f>
        <v/>
      </c>
      <c r="S223" s="127"/>
      <c r="T223" s="127"/>
      <c r="U223" s="58" t="str" cm="1">
        <f>IFERROR(IF(ISBLANK($A223),"",INDEX(Array_StationaryCharges,MATCH($A223,List_StationaryFuelMeters,0),ROUNDUP((COLUMN()+1)/3-2,0))),"")</f>
        <v/>
      </c>
      <c r="V223" s="127"/>
      <c r="W223" s="127"/>
      <c r="X223" s="58" t="str" cm="1">
        <f>IFERROR(IF(ISBLANK($A223),"",INDEX(Array_StationaryCharges,MATCH($A223,List_StationaryFuelMeters,0),ROUNDUP((COLUMN()+1)/3-2,0))),"")</f>
        <v/>
      </c>
      <c r="Y223" s="127"/>
      <c r="Z223" s="127"/>
      <c r="AA223" s="58" t="str" cm="1">
        <f>IFERROR(IF(ISBLANK($A223),"",INDEX(Array_StationaryCharges,MATCH($A223,List_StationaryFuelMeters,0),ROUNDUP((COLUMN()+1)/3-2,0))),"")</f>
        <v/>
      </c>
      <c r="AB223" s="127"/>
      <c r="AC223" s="127"/>
      <c r="AD223" s="58" t="str" cm="1">
        <f>IFERROR(IF(ISBLANK($A223),"",INDEX(Array_StationaryCharges,MATCH($A223,List_StationaryFuelMeters,0),ROUNDUP((COLUMN()+1)/3-2,0))),"")</f>
        <v/>
      </c>
      <c r="AE223" s="127"/>
      <c r="AF223" s="127"/>
      <c r="AG223" s="58" t="str" cm="1">
        <f>IFERROR(IF(ISBLANK($A223),"",INDEX(Array_StationaryCharges,MATCH($A223,List_StationaryFuelMeters,0),ROUNDUP((COLUMN()+1)/3-2,0))),"")</f>
        <v/>
      </c>
      <c r="AH223" s="127"/>
      <c r="AI223" s="127"/>
      <c r="AJ223" s="58" t="str" cm="1">
        <f>IFERROR(IF(ISBLANK($A223),"",INDEX(Array_StationaryCharges,MATCH($A223,List_StationaryFuelMeters,0),ROUNDUP((COLUMN()+1)/3-2,0))),"")</f>
        <v/>
      </c>
      <c r="AK223" s="127"/>
      <c r="AL223" s="127"/>
      <c r="AM223" s="58" t="str" cm="1">
        <f>IFERROR(IF(ISBLANK($A223),"",INDEX(Array_StationaryCharges,MATCH($A223,List_StationaryFuelMeters,0),ROUNDUP((COLUMN()+1)/3-2,0))),"")</f>
        <v/>
      </c>
      <c r="AN223" s="127"/>
      <c r="AO223" s="127"/>
      <c r="AP223" s="58" t="str" cm="1">
        <f>IFERROR(IF(ISBLANK($A223),"",INDEX(Array_StationaryCharges,MATCH($A223,List_StationaryFuelMeters,0),ROUNDUP((COLUMN()+1)/3-2,0))),"")</f>
        <v/>
      </c>
      <c r="AQ223" s="127"/>
      <c r="AR223" s="127"/>
      <c r="AS223" s="58" t="str" cm="1">
        <f>IFERROR(IF(ISBLANK($A223),"",INDEX(Array_StationaryCharges,MATCH($A223,List_StationaryFuelMeters,0),ROUNDUP((COLUMN()+1)/3-2,0))),"")</f>
        <v/>
      </c>
      <c r="AT223" s="127"/>
      <c r="AU223" s="127"/>
      <c r="AV223" s="58" t="str" cm="1">
        <f>IFERROR(IF(ISBLANK($A223),"",INDEX(Array_StationaryCharges,MATCH($A223,List_StationaryFuelMeters,0),ROUNDUP((COLUMN()+1)/3-2,0))),"")</f>
        <v/>
      </c>
      <c r="AW223" s="127"/>
      <c r="AX223" s="127"/>
    </row>
    <row r="224" spans="1:50" x14ac:dyDescent="0.3">
      <c r="A224" s="126"/>
      <c r="B224" s="133"/>
      <c r="C224" s="127"/>
      <c r="D224" s="138"/>
      <c r="E224" s="138"/>
      <c r="F224" s="58" t="str" cm="1">
        <f>IFERROR(IF(ISBLANK($A224),"",INDEX(Array_StationaryCharges,MATCH($A224,List_StationaryFuelMeters,0),ROUNDUP((COLUMN()+1)/3-2,0))),"")</f>
        <v/>
      </c>
      <c r="G224" s="127"/>
      <c r="H224" s="127"/>
      <c r="I224" s="58" t="str" cm="1">
        <f>IFERROR(IF(ISBLANK($A224),"",INDEX(Array_StationaryCharges,MATCH($A224,List_StationaryFuelMeters,0),ROUNDUP((COLUMN()+1)/3-2,0))),"")</f>
        <v/>
      </c>
      <c r="J224" s="127"/>
      <c r="K224" s="127"/>
      <c r="L224" s="58" t="str" cm="1">
        <f>IFERROR(IF(ISBLANK($A224),"",INDEX(Array_StationaryCharges,MATCH($A224,List_StationaryFuelMeters,0),ROUNDUP((COLUMN()+1)/3-2,0))),"")</f>
        <v/>
      </c>
      <c r="M224" s="127"/>
      <c r="N224" s="127"/>
      <c r="O224" s="58" t="str" cm="1">
        <f>IFERROR(IF(ISBLANK($A224),"",INDEX(Array_StationaryCharges,MATCH($A224,List_StationaryFuelMeters,0),ROUNDUP((COLUMN()+1)/3-2,0))),"")</f>
        <v/>
      </c>
      <c r="P224" s="127"/>
      <c r="Q224" s="127"/>
      <c r="R224" s="58" t="str" cm="1">
        <f>IFERROR(IF(ISBLANK($A224),"",INDEX(Array_StationaryCharges,MATCH($A224,List_StationaryFuelMeters,0),ROUNDUP((COLUMN()+1)/3-2,0))),"")</f>
        <v/>
      </c>
      <c r="S224" s="127"/>
      <c r="T224" s="127"/>
      <c r="U224" s="58" t="str" cm="1">
        <f>IFERROR(IF(ISBLANK($A224),"",INDEX(Array_StationaryCharges,MATCH($A224,List_StationaryFuelMeters,0),ROUNDUP((COLUMN()+1)/3-2,0))),"")</f>
        <v/>
      </c>
      <c r="V224" s="127"/>
      <c r="W224" s="127"/>
      <c r="X224" s="58" t="str" cm="1">
        <f>IFERROR(IF(ISBLANK($A224),"",INDEX(Array_StationaryCharges,MATCH($A224,List_StationaryFuelMeters,0),ROUNDUP((COLUMN()+1)/3-2,0))),"")</f>
        <v/>
      </c>
      <c r="Y224" s="127"/>
      <c r="Z224" s="127"/>
      <c r="AA224" s="58" t="str" cm="1">
        <f>IFERROR(IF(ISBLANK($A224),"",INDEX(Array_StationaryCharges,MATCH($A224,List_StationaryFuelMeters,0),ROUNDUP((COLUMN()+1)/3-2,0))),"")</f>
        <v/>
      </c>
      <c r="AB224" s="127"/>
      <c r="AC224" s="127"/>
      <c r="AD224" s="58" t="str" cm="1">
        <f>IFERROR(IF(ISBLANK($A224),"",INDEX(Array_StationaryCharges,MATCH($A224,List_StationaryFuelMeters,0),ROUNDUP((COLUMN()+1)/3-2,0))),"")</f>
        <v/>
      </c>
      <c r="AE224" s="127"/>
      <c r="AF224" s="127"/>
      <c r="AG224" s="58" t="str" cm="1">
        <f>IFERROR(IF(ISBLANK($A224),"",INDEX(Array_StationaryCharges,MATCH($A224,List_StationaryFuelMeters,0),ROUNDUP((COLUMN()+1)/3-2,0))),"")</f>
        <v/>
      </c>
      <c r="AH224" s="127"/>
      <c r="AI224" s="127"/>
      <c r="AJ224" s="58" t="str" cm="1">
        <f>IFERROR(IF(ISBLANK($A224),"",INDEX(Array_StationaryCharges,MATCH($A224,List_StationaryFuelMeters,0),ROUNDUP((COLUMN()+1)/3-2,0))),"")</f>
        <v/>
      </c>
      <c r="AK224" s="127"/>
      <c r="AL224" s="127"/>
      <c r="AM224" s="58" t="str" cm="1">
        <f>IFERROR(IF(ISBLANK($A224),"",INDEX(Array_StationaryCharges,MATCH($A224,List_StationaryFuelMeters,0),ROUNDUP((COLUMN()+1)/3-2,0))),"")</f>
        <v/>
      </c>
      <c r="AN224" s="127"/>
      <c r="AO224" s="127"/>
      <c r="AP224" s="58" t="str" cm="1">
        <f>IFERROR(IF(ISBLANK($A224),"",INDEX(Array_StationaryCharges,MATCH($A224,List_StationaryFuelMeters,0),ROUNDUP((COLUMN()+1)/3-2,0))),"")</f>
        <v/>
      </c>
      <c r="AQ224" s="127"/>
      <c r="AR224" s="127"/>
      <c r="AS224" s="58" t="str" cm="1">
        <f>IFERROR(IF(ISBLANK($A224),"",INDEX(Array_StationaryCharges,MATCH($A224,List_StationaryFuelMeters,0),ROUNDUP((COLUMN()+1)/3-2,0))),"")</f>
        <v/>
      </c>
      <c r="AT224" s="127"/>
      <c r="AU224" s="127"/>
      <c r="AV224" s="58" t="str" cm="1">
        <f>IFERROR(IF(ISBLANK($A224),"",INDEX(Array_StationaryCharges,MATCH($A224,List_StationaryFuelMeters,0),ROUNDUP((COLUMN()+1)/3-2,0))),"")</f>
        <v/>
      </c>
      <c r="AW224" s="127"/>
      <c r="AX224" s="127"/>
    </row>
    <row r="225" spans="1:50" x14ac:dyDescent="0.3">
      <c r="A225" s="126"/>
      <c r="B225" s="133"/>
      <c r="C225" s="127"/>
      <c r="D225" s="138"/>
      <c r="E225" s="138"/>
      <c r="F225" s="58" t="str" cm="1">
        <f>IFERROR(IF(ISBLANK($A225),"",INDEX(Array_StationaryCharges,MATCH($A225,List_StationaryFuelMeters,0),ROUNDUP((COLUMN()+1)/3-2,0))),"")</f>
        <v/>
      </c>
      <c r="G225" s="127"/>
      <c r="H225" s="127"/>
      <c r="I225" s="58" t="str" cm="1">
        <f>IFERROR(IF(ISBLANK($A225),"",INDEX(Array_StationaryCharges,MATCH($A225,List_StationaryFuelMeters,0),ROUNDUP((COLUMN()+1)/3-2,0))),"")</f>
        <v/>
      </c>
      <c r="J225" s="127"/>
      <c r="K225" s="127"/>
      <c r="L225" s="58" t="str" cm="1">
        <f>IFERROR(IF(ISBLANK($A225),"",INDEX(Array_StationaryCharges,MATCH($A225,List_StationaryFuelMeters,0),ROUNDUP((COLUMN()+1)/3-2,0))),"")</f>
        <v/>
      </c>
      <c r="M225" s="127"/>
      <c r="N225" s="127"/>
      <c r="O225" s="58" t="str" cm="1">
        <f>IFERROR(IF(ISBLANK($A225),"",INDEX(Array_StationaryCharges,MATCH($A225,List_StationaryFuelMeters,0),ROUNDUP((COLUMN()+1)/3-2,0))),"")</f>
        <v/>
      </c>
      <c r="P225" s="127"/>
      <c r="Q225" s="127"/>
      <c r="R225" s="58" t="str" cm="1">
        <f>IFERROR(IF(ISBLANK($A225),"",INDEX(Array_StationaryCharges,MATCH($A225,List_StationaryFuelMeters,0),ROUNDUP((COLUMN()+1)/3-2,0))),"")</f>
        <v/>
      </c>
      <c r="S225" s="127"/>
      <c r="T225" s="127"/>
      <c r="U225" s="58" t="str" cm="1">
        <f>IFERROR(IF(ISBLANK($A225),"",INDEX(Array_StationaryCharges,MATCH($A225,List_StationaryFuelMeters,0),ROUNDUP((COLUMN()+1)/3-2,0))),"")</f>
        <v/>
      </c>
      <c r="V225" s="127"/>
      <c r="W225" s="127"/>
      <c r="X225" s="58" t="str" cm="1">
        <f>IFERROR(IF(ISBLANK($A225),"",INDEX(Array_StationaryCharges,MATCH($A225,List_StationaryFuelMeters,0),ROUNDUP((COLUMN()+1)/3-2,0))),"")</f>
        <v/>
      </c>
      <c r="Y225" s="127"/>
      <c r="Z225" s="127"/>
      <c r="AA225" s="58" t="str" cm="1">
        <f>IFERROR(IF(ISBLANK($A225),"",INDEX(Array_StationaryCharges,MATCH($A225,List_StationaryFuelMeters,0),ROUNDUP((COLUMN()+1)/3-2,0))),"")</f>
        <v/>
      </c>
      <c r="AB225" s="127"/>
      <c r="AC225" s="127"/>
      <c r="AD225" s="58" t="str" cm="1">
        <f>IFERROR(IF(ISBLANK($A225),"",INDEX(Array_StationaryCharges,MATCH($A225,List_StationaryFuelMeters,0),ROUNDUP((COLUMN()+1)/3-2,0))),"")</f>
        <v/>
      </c>
      <c r="AE225" s="127"/>
      <c r="AF225" s="127"/>
      <c r="AG225" s="58" t="str" cm="1">
        <f>IFERROR(IF(ISBLANK($A225),"",INDEX(Array_StationaryCharges,MATCH($A225,List_StationaryFuelMeters,0),ROUNDUP((COLUMN()+1)/3-2,0))),"")</f>
        <v/>
      </c>
      <c r="AH225" s="127"/>
      <c r="AI225" s="127"/>
      <c r="AJ225" s="58" t="str" cm="1">
        <f>IFERROR(IF(ISBLANK($A225),"",INDEX(Array_StationaryCharges,MATCH($A225,List_StationaryFuelMeters,0),ROUNDUP((COLUMN()+1)/3-2,0))),"")</f>
        <v/>
      </c>
      <c r="AK225" s="127"/>
      <c r="AL225" s="127"/>
      <c r="AM225" s="58" t="str" cm="1">
        <f>IFERROR(IF(ISBLANK($A225),"",INDEX(Array_StationaryCharges,MATCH($A225,List_StationaryFuelMeters,0),ROUNDUP((COLUMN()+1)/3-2,0))),"")</f>
        <v/>
      </c>
      <c r="AN225" s="127"/>
      <c r="AO225" s="127"/>
      <c r="AP225" s="58" t="str" cm="1">
        <f>IFERROR(IF(ISBLANK($A225),"",INDEX(Array_StationaryCharges,MATCH($A225,List_StationaryFuelMeters,0),ROUNDUP((COLUMN()+1)/3-2,0))),"")</f>
        <v/>
      </c>
      <c r="AQ225" s="127"/>
      <c r="AR225" s="127"/>
      <c r="AS225" s="58" t="str" cm="1">
        <f>IFERROR(IF(ISBLANK($A225),"",INDEX(Array_StationaryCharges,MATCH($A225,List_StationaryFuelMeters,0),ROUNDUP((COLUMN()+1)/3-2,0))),"")</f>
        <v/>
      </c>
      <c r="AT225" s="127"/>
      <c r="AU225" s="127"/>
      <c r="AV225" s="58" t="str" cm="1">
        <f>IFERROR(IF(ISBLANK($A225),"",INDEX(Array_StationaryCharges,MATCH($A225,List_StationaryFuelMeters,0),ROUNDUP((COLUMN()+1)/3-2,0))),"")</f>
        <v/>
      </c>
      <c r="AW225" s="127"/>
      <c r="AX225" s="127"/>
    </row>
    <row r="226" spans="1:50" x14ac:dyDescent="0.3">
      <c r="A226" s="126"/>
      <c r="B226" s="133"/>
      <c r="C226" s="127"/>
      <c r="D226" s="138"/>
      <c r="E226" s="138"/>
      <c r="F226" s="58" t="str" cm="1">
        <f>IFERROR(IF(ISBLANK($A226),"",INDEX(Array_StationaryCharges,MATCH($A226,List_StationaryFuelMeters,0),ROUNDUP((COLUMN()+1)/3-2,0))),"")</f>
        <v/>
      </c>
      <c r="G226" s="127"/>
      <c r="H226" s="127"/>
      <c r="I226" s="58" t="str" cm="1">
        <f>IFERROR(IF(ISBLANK($A226),"",INDEX(Array_StationaryCharges,MATCH($A226,List_StationaryFuelMeters,0),ROUNDUP((COLUMN()+1)/3-2,0))),"")</f>
        <v/>
      </c>
      <c r="J226" s="127"/>
      <c r="K226" s="127"/>
      <c r="L226" s="58" t="str" cm="1">
        <f>IFERROR(IF(ISBLANK($A226),"",INDEX(Array_StationaryCharges,MATCH($A226,List_StationaryFuelMeters,0),ROUNDUP((COLUMN()+1)/3-2,0))),"")</f>
        <v/>
      </c>
      <c r="M226" s="127"/>
      <c r="N226" s="127"/>
      <c r="O226" s="58" t="str" cm="1">
        <f>IFERROR(IF(ISBLANK($A226),"",INDEX(Array_StationaryCharges,MATCH($A226,List_StationaryFuelMeters,0),ROUNDUP((COLUMN()+1)/3-2,0))),"")</f>
        <v/>
      </c>
      <c r="P226" s="127"/>
      <c r="Q226" s="127"/>
      <c r="R226" s="58" t="str" cm="1">
        <f>IFERROR(IF(ISBLANK($A226),"",INDEX(Array_StationaryCharges,MATCH($A226,List_StationaryFuelMeters,0),ROUNDUP((COLUMN()+1)/3-2,0))),"")</f>
        <v/>
      </c>
      <c r="S226" s="127"/>
      <c r="T226" s="127"/>
      <c r="U226" s="58" t="str" cm="1">
        <f>IFERROR(IF(ISBLANK($A226),"",INDEX(Array_StationaryCharges,MATCH($A226,List_StationaryFuelMeters,0),ROUNDUP((COLUMN()+1)/3-2,0))),"")</f>
        <v/>
      </c>
      <c r="V226" s="127"/>
      <c r="W226" s="127"/>
      <c r="X226" s="58" t="str" cm="1">
        <f>IFERROR(IF(ISBLANK($A226),"",INDEX(Array_StationaryCharges,MATCH($A226,List_StationaryFuelMeters,0),ROUNDUP((COLUMN()+1)/3-2,0))),"")</f>
        <v/>
      </c>
      <c r="Y226" s="127"/>
      <c r="Z226" s="127"/>
      <c r="AA226" s="58" t="str" cm="1">
        <f>IFERROR(IF(ISBLANK($A226),"",INDEX(Array_StationaryCharges,MATCH($A226,List_StationaryFuelMeters,0),ROUNDUP((COLUMN()+1)/3-2,0))),"")</f>
        <v/>
      </c>
      <c r="AB226" s="127"/>
      <c r="AC226" s="127"/>
      <c r="AD226" s="58" t="str" cm="1">
        <f>IFERROR(IF(ISBLANK($A226),"",INDEX(Array_StationaryCharges,MATCH($A226,List_StationaryFuelMeters,0),ROUNDUP((COLUMN()+1)/3-2,0))),"")</f>
        <v/>
      </c>
      <c r="AE226" s="127"/>
      <c r="AF226" s="127"/>
      <c r="AG226" s="58" t="str" cm="1">
        <f>IFERROR(IF(ISBLANK($A226),"",INDEX(Array_StationaryCharges,MATCH($A226,List_StationaryFuelMeters,0),ROUNDUP((COLUMN()+1)/3-2,0))),"")</f>
        <v/>
      </c>
      <c r="AH226" s="127"/>
      <c r="AI226" s="127"/>
      <c r="AJ226" s="58" t="str" cm="1">
        <f>IFERROR(IF(ISBLANK($A226),"",INDEX(Array_StationaryCharges,MATCH($A226,List_StationaryFuelMeters,0),ROUNDUP((COLUMN()+1)/3-2,0))),"")</f>
        <v/>
      </c>
      <c r="AK226" s="127"/>
      <c r="AL226" s="127"/>
      <c r="AM226" s="58" t="str" cm="1">
        <f>IFERROR(IF(ISBLANK($A226),"",INDEX(Array_StationaryCharges,MATCH($A226,List_StationaryFuelMeters,0),ROUNDUP((COLUMN()+1)/3-2,0))),"")</f>
        <v/>
      </c>
      <c r="AN226" s="127"/>
      <c r="AO226" s="127"/>
      <c r="AP226" s="58" t="str" cm="1">
        <f>IFERROR(IF(ISBLANK($A226),"",INDEX(Array_StationaryCharges,MATCH($A226,List_StationaryFuelMeters,0),ROUNDUP((COLUMN()+1)/3-2,0))),"")</f>
        <v/>
      </c>
      <c r="AQ226" s="127"/>
      <c r="AR226" s="127"/>
      <c r="AS226" s="58" t="str" cm="1">
        <f>IFERROR(IF(ISBLANK($A226),"",INDEX(Array_StationaryCharges,MATCH($A226,List_StationaryFuelMeters,0),ROUNDUP((COLUMN()+1)/3-2,0))),"")</f>
        <v/>
      </c>
      <c r="AT226" s="127"/>
      <c r="AU226" s="127"/>
      <c r="AV226" s="58" t="str" cm="1">
        <f>IFERROR(IF(ISBLANK($A226),"",INDEX(Array_StationaryCharges,MATCH($A226,List_StationaryFuelMeters,0),ROUNDUP((COLUMN()+1)/3-2,0))),"")</f>
        <v/>
      </c>
      <c r="AW226" s="127"/>
      <c r="AX226" s="127"/>
    </row>
    <row r="227" spans="1:50" x14ac:dyDescent="0.3">
      <c r="A227" s="126"/>
      <c r="B227" s="133"/>
      <c r="C227" s="127"/>
      <c r="D227" s="138"/>
      <c r="E227" s="138"/>
      <c r="F227" s="58" t="str" cm="1">
        <f>IFERROR(IF(ISBLANK($A227),"",INDEX(Array_StationaryCharges,MATCH($A227,List_StationaryFuelMeters,0),ROUNDUP((COLUMN()+1)/3-2,0))),"")</f>
        <v/>
      </c>
      <c r="G227" s="127"/>
      <c r="H227" s="127"/>
      <c r="I227" s="58" t="str" cm="1">
        <f>IFERROR(IF(ISBLANK($A227),"",INDEX(Array_StationaryCharges,MATCH($A227,List_StationaryFuelMeters,0),ROUNDUP((COLUMN()+1)/3-2,0))),"")</f>
        <v/>
      </c>
      <c r="J227" s="127"/>
      <c r="K227" s="127"/>
      <c r="L227" s="58" t="str" cm="1">
        <f>IFERROR(IF(ISBLANK($A227),"",INDEX(Array_StationaryCharges,MATCH($A227,List_StationaryFuelMeters,0),ROUNDUP((COLUMN()+1)/3-2,0))),"")</f>
        <v/>
      </c>
      <c r="M227" s="127"/>
      <c r="N227" s="127"/>
      <c r="O227" s="58" t="str" cm="1">
        <f>IFERROR(IF(ISBLANK($A227),"",INDEX(Array_StationaryCharges,MATCH($A227,List_StationaryFuelMeters,0),ROUNDUP((COLUMN()+1)/3-2,0))),"")</f>
        <v/>
      </c>
      <c r="P227" s="127"/>
      <c r="Q227" s="127"/>
      <c r="R227" s="58" t="str" cm="1">
        <f>IFERROR(IF(ISBLANK($A227),"",INDEX(Array_StationaryCharges,MATCH($A227,List_StationaryFuelMeters,0),ROUNDUP((COLUMN()+1)/3-2,0))),"")</f>
        <v/>
      </c>
      <c r="S227" s="127"/>
      <c r="T227" s="127"/>
      <c r="U227" s="58" t="str" cm="1">
        <f>IFERROR(IF(ISBLANK($A227),"",INDEX(Array_StationaryCharges,MATCH($A227,List_StationaryFuelMeters,0),ROUNDUP((COLUMN()+1)/3-2,0))),"")</f>
        <v/>
      </c>
      <c r="V227" s="127"/>
      <c r="W227" s="127"/>
      <c r="X227" s="58" t="str" cm="1">
        <f>IFERROR(IF(ISBLANK($A227),"",INDEX(Array_StationaryCharges,MATCH($A227,List_StationaryFuelMeters,0),ROUNDUP((COLUMN()+1)/3-2,0))),"")</f>
        <v/>
      </c>
      <c r="Y227" s="127"/>
      <c r="Z227" s="127"/>
      <c r="AA227" s="58" t="str" cm="1">
        <f>IFERROR(IF(ISBLANK($A227),"",INDEX(Array_StationaryCharges,MATCH($A227,List_StationaryFuelMeters,0),ROUNDUP((COLUMN()+1)/3-2,0))),"")</f>
        <v/>
      </c>
      <c r="AB227" s="127"/>
      <c r="AC227" s="127"/>
      <c r="AD227" s="58" t="str" cm="1">
        <f>IFERROR(IF(ISBLANK($A227),"",INDEX(Array_StationaryCharges,MATCH($A227,List_StationaryFuelMeters,0),ROUNDUP((COLUMN()+1)/3-2,0))),"")</f>
        <v/>
      </c>
      <c r="AE227" s="127"/>
      <c r="AF227" s="127"/>
      <c r="AG227" s="58" t="str" cm="1">
        <f>IFERROR(IF(ISBLANK($A227),"",INDEX(Array_StationaryCharges,MATCH($A227,List_StationaryFuelMeters,0),ROUNDUP((COLUMN()+1)/3-2,0))),"")</f>
        <v/>
      </c>
      <c r="AH227" s="127"/>
      <c r="AI227" s="127"/>
      <c r="AJ227" s="58" t="str" cm="1">
        <f>IFERROR(IF(ISBLANK($A227),"",INDEX(Array_StationaryCharges,MATCH($A227,List_StationaryFuelMeters,0),ROUNDUP((COLUMN()+1)/3-2,0))),"")</f>
        <v/>
      </c>
      <c r="AK227" s="127"/>
      <c r="AL227" s="127"/>
      <c r="AM227" s="58" t="str" cm="1">
        <f>IFERROR(IF(ISBLANK($A227),"",INDEX(Array_StationaryCharges,MATCH($A227,List_StationaryFuelMeters,0),ROUNDUP((COLUMN()+1)/3-2,0))),"")</f>
        <v/>
      </c>
      <c r="AN227" s="127"/>
      <c r="AO227" s="127"/>
      <c r="AP227" s="58" t="str" cm="1">
        <f>IFERROR(IF(ISBLANK($A227),"",INDEX(Array_StationaryCharges,MATCH($A227,List_StationaryFuelMeters,0),ROUNDUP((COLUMN()+1)/3-2,0))),"")</f>
        <v/>
      </c>
      <c r="AQ227" s="127"/>
      <c r="AR227" s="127"/>
      <c r="AS227" s="58" t="str" cm="1">
        <f>IFERROR(IF(ISBLANK($A227),"",INDEX(Array_StationaryCharges,MATCH($A227,List_StationaryFuelMeters,0),ROUNDUP((COLUMN()+1)/3-2,0))),"")</f>
        <v/>
      </c>
      <c r="AT227" s="127"/>
      <c r="AU227" s="127"/>
      <c r="AV227" s="58" t="str" cm="1">
        <f>IFERROR(IF(ISBLANK($A227),"",INDEX(Array_StationaryCharges,MATCH($A227,List_StationaryFuelMeters,0),ROUNDUP((COLUMN()+1)/3-2,0))),"")</f>
        <v/>
      </c>
      <c r="AW227" s="127"/>
      <c r="AX227" s="127"/>
    </row>
    <row r="228" spans="1:50" x14ac:dyDescent="0.3">
      <c r="A228" s="126"/>
      <c r="B228" s="133"/>
      <c r="C228" s="127"/>
      <c r="D228" s="138"/>
      <c r="E228" s="138"/>
      <c r="F228" s="58" t="str" cm="1">
        <f>IFERROR(IF(ISBLANK($A228),"",INDEX(Array_StationaryCharges,MATCH($A228,List_StationaryFuelMeters,0),ROUNDUP((COLUMN()+1)/3-2,0))),"")</f>
        <v/>
      </c>
      <c r="G228" s="127"/>
      <c r="H228" s="127"/>
      <c r="I228" s="58" t="str" cm="1">
        <f>IFERROR(IF(ISBLANK($A228),"",INDEX(Array_StationaryCharges,MATCH($A228,List_StationaryFuelMeters,0),ROUNDUP((COLUMN()+1)/3-2,0))),"")</f>
        <v/>
      </c>
      <c r="J228" s="127"/>
      <c r="K228" s="127"/>
      <c r="L228" s="58" t="str" cm="1">
        <f>IFERROR(IF(ISBLANK($A228),"",INDEX(Array_StationaryCharges,MATCH($A228,List_StationaryFuelMeters,0),ROUNDUP((COLUMN()+1)/3-2,0))),"")</f>
        <v/>
      </c>
      <c r="M228" s="127"/>
      <c r="N228" s="127"/>
      <c r="O228" s="58" t="str" cm="1">
        <f>IFERROR(IF(ISBLANK($A228),"",INDEX(Array_StationaryCharges,MATCH($A228,List_StationaryFuelMeters,0),ROUNDUP((COLUMN()+1)/3-2,0))),"")</f>
        <v/>
      </c>
      <c r="P228" s="127"/>
      <c r="Q228" s="127"/>
      <c r="R228" s="58" t="str" cm="1">
        <f>IFERROR(IF(ISBLANK($A228),"",INDEX(Array_StationaryCharges,MATCH($A228,List_StationaryFuelMeters,0),ROUNDUP((COLUMN()+1)/3-2,0))),"")</f>
        <v/>
      </c>
      <c r="S228" s="127"/>
      <c r="T228" s="127"/>
      <c r="U228" s="58" t="str" cm="1">
        <f>IFERROR(IF(ISBLANK($A228),"",INDEX(Array_StationaryCharges,MATCH($A228,List_StationaryFuelMeters,0),ROUNDUP((COLUMN()+1)/3-2,0))),"")</f>
        <v/>
      </c>
      <c r="V228" s="127"/>
      <c r="W228" s="127"/>
      <c r="X228" s="58" t="str" cm="1">
        <f>IFERROR(IF(ISBLANK($A228),"",INDEX(Array_StationaryCharges,MATCH($A228,List_StationaryFuelMeters,0),ROUNDUP((COLUMN()+1)/3-2,0))),"")</f>
        <v/>
      </c>
      <c r="Y228" s="127"/>
      <c r="Z228" s="127"/>
      <c r="AA228" s="58" t="str" cm="1">
        <f>IFERROR(IF(ISBLANK($A228),"",INDEX(Array_StationaryCharges,MATCH($A228,List_StationaryFuelMeters,0),ROUNDUP((COLUMN()+1)/3-2,0))),"")</f>
        <v/>
      </c>
      <c r="AB228" s="127"/>
      <c r="AC228" s="127"/>
      <c r="AD228" s="58" t="str" cm="1">
        <f>IFERROR(IF(ISBLANK($A228),"",INDEX(Array_StationaryCharges,MATCH($A228,List_StationaryFuelMeters,0),ROUNDUP((COLUMN()+1)/3-2,0))),"")</f>
        <v/>
      </c>
      <c r="AE228" s="127"/>
      <c r="AF228" s="127"/>
      <c r="AG228" s="58" t="str" cm="1">
        <f>IFERROR(IF(ISBLANK($A228),"",INDEX(Array_StationaryCharges,MATCH($A228,List_StationaryFuelMeters,0),ROUNDUP((COLUMN()+1)/3-2,0))),"")</f>
        <v/>
      </c>
      <c r="AH228" s="127"/>
      <c r="AI228" s="127"/>
      <c r="AJ228" s="58" t="str" cm="1">
        <f>IFERROR(IF(ISBLANK($A228),"",INDEX(Array_StationaryCharges,MATCH($A228,List_StationaryFuelMeters,0),ROUNDUP((COLUMN()+1)/3-2,0))),"")</f>
        <v/>
      </c>
      <c r="AK228" s="127"/>
      <c r="AL228" s="127"/>
      <c r="AM228" s="58" t="str" cm="1">
        <f>IFERROR(IF(ISBLANK($A228),"",INDEX(Array_StationaryCharges,MATCH($A228,List_StationaryFuelMeters,0),ROUNDUP((COLUMN()+1)/3-2,0))),"")</f>
        <v/>
      </c>
      <c r="AN228" s="127"/>
      <c r="AO228" s="127"/>
      <c r="AP228" s="58" t="str" cm="1">
        <f>IFERROR(IF(ISBLANK($A228),"",INDEX(Array_StationaryCharges,MATCH($A228,List_StationaryFuelMeters,0),ROUNDUP((COLUMN()+1)/3-2,0))),"")</f>
        <v/>
      </c>
      <c r="AQ228" s="127"/>
      <c r="AR228" s="127"/>
      <c r="AS228" s="58" t="str" cm="1">
        <f>IFERROR(IF(ISBLANK($A228),"",INDEX(Array_StationaryCharges,MATCH($A228,List_StationaryFuelMeters,0),ROUNDUP((COLUMN()+1)/3-2,0))),"")</f>
        <v/>
      </c>
      <c r="AT228" s="127"/>
      <c r="AU228" s="127"/>
      <c r="AV228" s="58" t="str" cm="1">
        <f>IFERROR(IF(ISBLANK($A228),"",INDEX(Array_StationaryCharges,MATCH($A228,List_StationaryFuelMeters,0),ROUNDUP((COLUMN()+1)/3-2,0))),"")</f>
        <v/>
      </c>
      <c r="AW228" s="127"/>
      <c r="AX228" s="127"/>
    </row>
    <row r="229" spans="1:50" x14ac:dyDescent="0.3">
      <c r="A229" s="126"/>
      <c r="B229" s="133"/>
      <c r="C229" s="127"/>
      <c r="D229" s="138"/>
      <c r="E229" s="138"/>
      <c r="F229" s="58" t="str" cm="1">
        <f>IFERROR(IF(ISBLANK($A229),"",INDEX(Array_StationaryCharges,MATCH($A229,List_StationaryFuelMeters,0),ROUNDUP((COLUMN()+1)/3-2,0))),"")</f>
        <v/>
      </c>
      <c r="G229" s="127"/>
      <c r="H229" s="127"/>
      <c r="I229" s="58" t="str" cm="1">
        <f>IFERROR(IF(ISBLANK($A229),"",INDEX(Array_StationaryCharges,MATCH($A229,List_StationaryFuelMeters,0),ROUNDUP((COLUMN()+1)/3-2,0))),"")</f>
        <v/>
      </c>
      <c r="J229" s="127"/>
      <c r="K229" s="127"/>
      <c r="L229" s="58" t="str" cm="1">
        <f>IFERROR(IF(ISBLANK($A229),"",INDEX(Array_StationaryCharges,MATCH($A229,List_StationaryFuelMeters,0),ROUNDUP((COLUMN()+1)/3-2,0))),"")</f>
        <v/>
      </c>
      <c r="M229" s="127"/>
      <c r="N229" s="127"/>
      <c r="O229" s="58" t="str" cm="1">
        <f>IFERROR(IF(ISBLANK($A229),"",INDEX(Array_StationaryCharges,MATCH($A229,List_StationaryFuelMeters,0),ROUNDUP((COLUMN()+1)/3-2,0))),"")</f>
        <v/>
      </c>
      <c r="P229" s="127"/>
      <c r="Q229" s="127"/>
      <c r="R229" s="58" t="str" cm="1">
        <f>IFERROR(IF(ISBLANK($A229),"",INDEX(Array_StationaryCharges,MATCH($A229,List_StationaryFuelMeters,0),ROUNDUP((COLUMN()+1)/3-2,0))),"")</f>
        <v/>
      </c>
      <c r="S229" s="127"/>
      <c r="T229" s="127"/>
      <c r="U229" s="58" t="str" cm="1">
        <f>IFERROR(IF(ISBLANK($A229),"",INDEX(Array_StationaryCharges,MATCH($A229,List_StationaryFuelMeters,0),ROUNDUP((COLUMN()+1)/3-2,0))),"")</f>
        <v/>
      </c>
      <c r="V229" s="127"/>
      <c r="W229" s="127"/>
      <c r="X229" s="58" t="str" cm="1">
        <f>IFERROR(IF(ISBLANK($A229),"",INDEX(Array_StationaryCharges,MATCH($A229,List_StationaryFuelMeters,0),ROUNDUP((COLUMN()+1)/3-2,0))),"")</f>
        <v/>
      </c>
      <c r="Y229" s="127"/>
      <c r="Z229" s="127"/>
      <c r="AA229" s="58" t="str" cm="1">
        <f>IFERROR(IF(ISBLANK($A229),"",INDEX(Array_StationaryCharges,MATCH($A229,List_StationaryFuelMeters,0),ROUNDUP((COLUMN()+1)/3-2,0))),"")</f>
        <v/>
      </c>
      <c r="AB229" s="127"/>
      <c r="AC229" s="127"/>
      <c r="AD229" s="58" t="str" cm="1">
        <f>IFERROR(IF(ISBLANK($A229),"",INDEX(Array_StationaryCharges,MATCH($A229,List_StationaryFuelMeters,0),ROUNDUP((COLUMN()+1)/3-2,0))),"")</f>
        <v/>
      </c>
      <c r="AE229" s="127"/>
      <c r="AF229" s="127"/>
      <c r="AG229" s="58" t="str" cm="1">
        <f>IFERROR(IF(ISBLANK($A229),"",INDEX(Array_StationaryCharges,MATCH($A229,List_StationaryFuelMeters,0),ROUNDUP((COLUMN()+1)/3-2,0))),"")</f>
        <v/>
      </c>
      <c r="AH229" s="127"/>
      <c r="AI229" s="127"/>
      <c r="AJ229" s="58" t="str" cm="1">
        <f>IFERROR(IF(ISBLANK($A229),"",INDEX(Array_StationaryCharges,MATCH($A229,List_StationaryFuelMeters,0),ROUNDUP((COLUMN()+1)/3-2,0))),"")</f>
        <v/>
      </c>
      <c r="AK229" s="127"/>
      <c r="AL229" s="127"/>
      <c r="AM229" s="58" t="str" cm="1">
        <f>IFERROR(IF(ISBLANK($A229),"",INDEX(Array_StationaryCharges,MATCH($A229,List_StationaryFuelMeters,0),ROUNDUP((COLUMN()+1)/3-2,0))),"")</f>
        <v/>
      </c>
      <c r="AN229" s="127"/>
      <c r="AO229" s="127"/>
      <c r="AP229" s="58" t="str" cm="1">
        <f>IFERROR(IF(ISBLANK($A229),"",INDEX(Array_StationaryCharges,MATCH($A229,List_StationaryFuelMeters,0),ROUNDUP((COLUMN()+1)/3-2,0))),"")</f>
        <v/>
      </c>
      <c r="AQ229" s="127"/>
      <c r="AR229" s="127"/>
      <c r="AS229" s="58" t="str" cm="1">
        <f>IFERROR(IF(ISBLANK($A229),"",INDEX(Array_StationaryCharges,MATCH($A229,List_StationaryFuelMeters,0),ROUNDUP((COLUMN()+1)/3-2,0))),"")</f>
        <v/>
      </c>
      <c r="AT229" s="127"/>
      <c r="AU229" s="127"/>
      <c r="AV229" s="58" t="str" cm="1">
        <f>IFERROR(IF(ISBLANK($A229),"",INDEX(Array_StationaryCharges,MATCH($A229,List_StationaryFuelMeters,0),ROUNDUP((COLUMN()+1)/3-2,0))),"")</f>
        <v/>
      </c>
      <c r="AW229" s="127"/>
      <c r="AX229" s="127"/>
    </row>
    <row r="230" spans="1:50" x14ac:dyDescent="0.3">
      <c r="A230" s="126"/>
      <c r="B230" s="133"/>
      <c r="C230" s="127"/>
      <c r="D230" s="138"/>
      <c r="E230" s="138"/>
      <c r="F230" s="58" t="str" cm="1">
        <f>IFERROR(IF(ISBLANK($A230),"",INDEX(Array_StationaryCharges,MATCH($A230,List_StationaryFuelMeters,0),ROUNDUP((COLUMN()+1)/3-2,0))),"")</f>
        <v/>
      </c>
      <c r="G230" s="127"/>
      <c r="H230" s="127"/>
      <c r="I230" s="58" t="str" cm="1">
        <f>IFERROR(IF(ISBLANK($A230),"",INDEX(Array_StationaryCharges,MATCH($A230,List_StationaryFuelMeters,0),ROUNDUP((COLUMN()+1)/3-2,0))),"")</f>
        <v/>
      </c>
      <c r="J230" s="127"/>
      <c r="K230" s="127"/>
      <c r="L230" s="58" t="str" cm="1">
        <f>IFERROR(IF(ISBLANK($A230),"",INDEX(Array_StationaryCharges,MATCH($A230,List_StationaryFuelMeters,0),ROUNDUP((COLUMN()+1)/3-2,0))),"")</f>
        <v/>
      </c>
      <c r="M230" s="127"/>
      <c r="N230" s="127"/>
      <c r="O230" s="58" t="str" cm="1">
        <f>IFERROR(IF(ISBLANK($A230),"",INDEX(Array_StationaryCharges,MATCH($A230,List_StationaryFuelMeters,0),ROUNDUP((COLUMN()+1)/3-2,0))),"")</f>
        <v/>
      </c>
      <c r="P230" s="127"/>
      <c r="Q230" s="127"/>
      <c r="R230" s="58" t="str" cm="1">
        <f>IFERROR(IF(ISBLANK($A230),"",INDEX(Array_StationaryCharges,MATCH($A230,List_StationaryFuelMeters,0),ROUNDUP((COLUMN()+1)/3-2,0))),"")</f>
        <v/>
      </c>
      <c r="S230" s="127"/>
      <c r="T230" s="127"/>
      <c r="U230" s="58" t="str" cm="1">
        <f>IFERROR(IF(ISBLANK($A230),"",INDEX(Array_StationaryCharges,MATCH($A230,List_StationaryFuelMeters,0),ROUNDUP((COLUMN()+1)/3-2,0))),"")</f>
        <v/>
      </c>
      <c r="V230" s="127"/>
      <c r="W230" s="127"/>
      <c r="X230" s="58" t="str" cm="1">
        <f>IFERROR(IF(ISBLANK($A230),"",INDEX(Array_StationaryCharges,MATCH($A230,List_StationaryFuelMeters,0),ROUNDUP((COLUMN()+1)/3-2,0))),"")</f>
        <v/>
      </c>
      <c r="Y230" s="127"/>
      <c r="Z230" s="127"/>
      <c r="AA230" s="58" t="str" cm="1">
        <f>IFERROR(IF(ISBLANK($A230),"",INDEX(Array_StationaryCharges,MATCH($A230,List_StationaryFuelMeters,0),ROUNDUP((COLUMN()+1)/3-2,0))),"")</f>
        <v/>
      </c>
      <c r="AB230" s="127"/>
      <c r="AC230" s="127"/>
      <c r="AD230" s="58" t="str" cm="1">
        <f>IFERROR(IF(ISBLANK($A230),"",INDEX(Array_StationaryCharges,MATCH($A230,List_StationaryFuelMeters,0),ROUNDUP((COLUMN()+1)/3-2,0))),"")</f>
        <v/>
      </c>
      <c r="AE230" s="127"/>
      <c r="AF230" s="127"/>
      <c r="AG230" s="58" t="str" cm="1">
        <f>IFERROR(IF(ISBLANK($A230),"",INDEX(Array_StationaryCharges,MATCH($A230,List_StationaryFuelMeters,0),ROUNDUP((COLUMN()+1)/3-2,0))),"")</f>
        <v/>
      </c>
      <c r="AH230" s="127"/>
      <c r="AI230" s="127"/>
      <c r="AJ230" s="58" t="str" cm="1">
        <f>IFERROR(IF(ISBLANK($A230),"",INDEX(Array_StationaryCharges,MATCH($A230,List_StationaryFuelMeters,0),ROUNDUP((COLUMN()+1)/3-2,0))),"")</f>
        <v/>
      </c>
      <c r="AK230" s="127"/>
      <c r="AL230" s="127"/>
      <c r="AM230" s="58" t="str" cm="1">
        <f>IFERROR(IF(ISBLANK($A230),"",INDEX(Array_StationaryCharges,MATCH($A230,List_StationaryFuelMeters,0),ROUNDUP((COLUMN()+1)/3-2,0))),"")</f>
        <v/>
      </c>
      <c r="AN230" s="127"/>
      <c r="AO230" s="127"/>
      <c r="AP230" s="58" t="str" cm="1">
        <f>IFERROR(IF(ISBLANK($A230),"",INDEX(Array_StationaryCharges,MATCH($A230,List_StationaryFuelMeters,0),ROUNDUP((COLUMN()+1)/3-2,0))),"")</f>
        <v/>
      </c>
      <c r="AQ230" s="127"/>
      <c r="AR230" s="127"/>
      <c r="AS230" s="58" t="str" cm="1">
        <f>IFERROR(IF(ISBLANK($A230),"",INDEX(Array_StationaryCharges,MATCH($A230,List_StationaryFuelMeters,0),ROUNDUP((COLUMN()+1)/3-2,0))),"")</f>
        <v/>
      </c>
      <c r="AT230" s="127"/>
      <c r="AU230" s="127"/>
      <c r="AV230" s="58" t="str" cm="1">
        <f>IFERROR(IF(ISBLANK($A230),"",INDEX(Array_StationaryCharges,MATCH($A230,List_StationaryFuelMeters,0),ROUNDUP((COLUMN()+1)/3-2,0))),"")</f>
        <v/>
      </c>
      <c r="AW230" s="127"/>
      <c r="AX230" s="127"/>
    </row>
    <row r="231" spans="1:50" x14ac:dyDescent="0.3">
      <c r="A231" s="126"/>
      <c r="B231" s="133"/>
      <c r="C231" s="127"/>
      <c r="D231" s="138"/>
      <c r="E231" s="138"/>
      <c r="F231" s="58" t="str" cm="1">
        <f>IFERROR(IF(ISBLANK($A231),"",INDEX(Array_StationaryCharges,MATCH($A231,List_StationaryFuelMeters,0),ROUNDUP((COLUMN()+1)/3-2,0))),"")</f>
        <v/>
      </c>
      <c r="G231" s="127"/>
      <c r="H231" s="127"/>
      <c r="I231" s="58" t="str" cm="1">
        <f>IFERROR(IF(ISBLANK($A231),"",INDEX(Array_StationaryCharges,MATCH($A231,List_StationaryFuelMeters,0),ROUNDUP((COLUMN()+1)/3-2,0))),"")</f>
        <v/>
      </c>
      <c r="J231" s="127"/>
      <c r="K231" s="127"/>
      <c r="L231" s="58" t="str" cm="1">
        <f>IFERROR(IF(ISBLANK($A231),"",INDEX(Array_StationaryCharges,MATCH($A231,List_StationaryFuelMeters,0),ROUNDUP((COLUMN()+1)/3-2,0))),"")</f>
        <v/>
      </c>
      <c r="M231" s="127"/>
      <c r="N231" s="127"/>
      <c r="O231" s="58" t="str" cm="1">
        <f>IFERROR(IF(ISBLANK($A231),"",INDEX(Array_StationaryCharges,MATCH($A231,List_StationaryFuelMeters,0),ROUNDUP((COLUMN()+1)/3-2,0))),"")</f>
        <v/>
      </c>
      <c r="P231" s="127"/>
      <c r="Q231" s="127"/>
      <c r="R231" s="58" t="str" cm="1">
        <f>IFERROR(IF(ISBLANK($A231),"",INDEX(Array_StationaryCharges,MATCH($A231,List_StationaryFuelMeters,0),ROUNDUP((COLUMN()+1)/3-2,0))),"")</f>
        <v/>
      </c>
      <c r="S231" s="127"/>
      <c r="T231" s="127"/>
      <c r="U231" s="58" t="str" cm="1">
        <f>IFERROR(IF(ISBLANK($A231),"",INDEX(Array_StationaryCharges,MATCH($A231,List_StationaryFuelMeters,0),ROUNDUP((COLUMN()+1)/3-2,0))),"")</f>
        <v/>
      </c>
      <c r="V231" s="127"/>
      <c r="W231" s="127"/>
      <c r="X231" s="58" t="str" cm="1">
        <f>IFERROR(IF(ISBLANK($A231),"",INDEX(Array_StationaryCharges,MATCH($A231,List_StationaryFuelMeters,0),ROUNDUP((COLUMN()+1)/3-2,0))),"")</f>
        <v/>
      </c>
      <c r="Y231" s="127"/>
      <c r="Z231" s="127"/>
      <c r="AA231" s="58" t="str" cm="1">
        <f>IFERROR(IF(ISBLANK($A231),"",INDEX(Array_StationaryCharges,MATCH($A231,List_StationaryFuelMeters,0),ROUNDUP((COLUMN()+1)/3-2,0))),"")</f>
        <v/>
      </c>
      <c r="AB231" s="127"/>
      <c r="AC231" s="127"/>
      <c r="AD231" s="58" t="str" cm="1">
        <f>IFERROR(IF(ISBLANK($A231),"",INDEX(Array_StationaryCharges,MATCH($A231,List_StationaryFuelMeters,0),ROUNDUP((COLUMN()+1)/3-2,0))),"")</f>
        <v/>
      </c>
      <c r="AE231" s="127"/>
      <c r="AF231" s="127"/>
      <c r="AG231" s="58" t="str" cm="1">
        <f>IFERROR(IF(ISBLANK($A231),"",INDEX(Array_StationaryCharges,MATCH($A231,List_StationaryFuelMeters,0),ROUNDUP((COLUMN()+1)/3-2,0))),"")</f>
        <v/>
      </c>
      <c r="AH231" s="127"/>
      <c r="AI231" s="127"/>
      <c r="AJ231" s="58" t="str" cm="1">
        <f>IFERROR(IF(ISBLANK($A231),"",INDEX(Array_StationaryCharges,MATCH($A231,List_StationaryFuelMeters,0),ROUNDUP((COLUMN()+1)/3-2,0))),"")</f>
        <v/>
      </c>
      <c r="AK231" s="127"/>
      <c r="AL231" s="127"/>
      <c r="AM231" s="58" t="str" cm="1">
        <f>IFERROR(IF(ISBLANK($A231),"",INDEX(Array_StationaryCharges,MATCH($A231,List_StationaryFuelMeters,0),ROUNDUP((COLUMN()+1)/3-2,0))),"")</f>
        <v/>
      </c>
      <c r="AN231" s="127"/>
      <c r="AO231" s="127"/>
      <c r="AP231" s="58" t="str" cm="1">
        <f>IFERROR(IF(ISBLANK($A231),"",INDEX(Array_StationaryCharges,MATCH($A231,List_StationaryFuelMeters,0),ROUNDUP((COLUMN()+1)/3-2,0))),"")</f>
        <v/>
      </c>
      <c r="AQ231" s="127"/>
      <c r="AR231" s="127"/>
      <c r="AS231" s="58" t="str" cm="1">
        <f>IFERROR(IF(ISBLANK($A231),"",INDEX(Array_StationaryCharges,MATCH($A231,List_StationaryFuelMeters,0),ROUNDUP((COLUMN()+1)/3-2,0))),"")</f>
        <v/>
      </c>
      <c r="AT231" s="127"/>
      <c r="AU231" s="127"/>
      <c r="AV231" s="58" t="str" cm="1">
        <f>IFERROR(IF(ISBLANK($A231),"",INDEX(Array_StationaryCharges,MATCH($A231,List_StationaryFuelMeters,0),ROUNDUP((COLUMN()+1)/3-2,0))),"")</f>
        <v/>
      </c>
      <c r="AW231" s="127"/>
      <c r="AX231" s="127"/>
    </row>
    <row r="232" spans="1:50" x14ac:dyDescent="0.3">
      <c r="A232" s="126"/>
      <c r="B232" s="133"/>
      <c r="C232" s="127"/>
      <c r="D232" s="138"/>
      <c r="E232" s="138"/>
      <c r="F232" s="58" t="str" cm="1">
        <f>IFERROR(IF(ISBLANK($A232),"",INDEX(Array_StationaryCharges,MATCH($A232,List_StationaryFuelMeters,0),ROUNDUP((COLUMN()+1)/3-2,0))),"")</f>
        <v/>
      </c>
      <c r="G232" s="127"/>
      <c r="H232" s="127"/>
      <c r="I232" s="58" t="str" cm="1">
        <f>IFERROR(IF(ISBLANK($A232),"",INDEX(Array_StationaryCharges,MATCH($A232,List_StationaryFuelMeters,0),ROUNDUP((COLUMN()+1)/3-2,0))),"")</f>
        <v/>
      </c>
      <c r="J232" s="127"/>
      <c r="K232" s="127"/>
      <c r="L232" s="58" t="str" cm="1">
        <f>IFERROR(IF(ISBLANK($A232),"",INDEX(Array_StationaryCharges,MATCH($A232,List_StationaryFuelMeters,0),ROUNDUP((COLUMN()+1)/3-2,0))),"")</f>
        <v/>
      </c>
      <c r="M232" s="127"/>
      <c r="N232" s="127"/>
      <c r="O232" s="58" t="str" cm="1">
        <f>IFERROR(IF(ISBLANK($A232),"",INDEX(Array_StationaryCharges,MATCH($A232,List_StationaryFuelMeters,0),ROUNDUP((COLUMN()+1)/3-2,0))),"")</f>
        <v/>
      </c>
      <c r="P232" s="127"/>
      <c r="Q232" s="127"/>
      <c r="R232" s="58" t="str" cm="1">
        <f>IFERROR(IF(ISBLANK($A232),"",INDEX(Array_StationaryCharges,MATCH($A232,List_StationaryFuelMeters,0),ROUNDUP((COLUMN()+1)/3-2,0))),"")</f>
        <v/>
      </c>
      <c r="S232" s="127"/>
      <c r="T232" s="127"/>
      <c r="U232" s="58" t="str" cm="1">
        <f>IFERROR(IF(ISBLANK($A232),"",INDEX(Array_StationaryCharges,MATCH($A232,List_StationaryFuelMeters,0),ROUNDUP((COLUMN()+1)/3-2,0))),"")</f>
        <v/>
      </c>
      <c r="V232" s="127"/>
      <c r="W232" s="127"/>
      <c r="X232" s="58" t="str" cm="1">
        <f>IFERROR(IF(ISBLANK($A232),"",INDEX(Array_StationaryCharges,MATCH($A232,List_StationaryFuelMeters,0),ROUNDUP((COLUMN()+1)/3-2,0))),"")</f>
        <v/>
      </c>
      <c r="Y232" s="127"/>
      <c r="Z232" s="127"/>
      <c r="AA232" s="58" t="str" cm="1">
        <f>IFERROR(IF(ISBLANK($A232),"",INDEX(Array_StationaryCharges,MATCH($A232,List_StationaryFuelMeters,0),ROUNDUP((COLUMN()+1)/3-2,0))),"")</f>
        <v/>
      </c>
      <c r="AB232" s="127"/>
      <c r="AC232" s="127"/>
      <c r="AD232" s="58" t="str" cm="1">
        <f>IFERROR(IF(ISBLANK($A232),"",INDEX(Array_StationaryCharges,MATCH($A232,List_StationaryFuelMeters,0),ROUNDUP((COLUMN()+1)/3-2,0))),"")</f>
        <v/>
      </c>
      <c r="AE232" s="127"/>
      <c r="AF232" s="127"/>
      <c r="AG232" s="58" t="str" cm="1">
        <f>IFERROR(IF(ISBLANK($A232),"",INDEX(Array_StationaryCharges,MATCH($A232,List_StationaryFuelMeters,0),ROUNDUP((COLUMN()+1)/3-2,0))),"")</f>
        <v/>
      </c>
      <c r="AH232" s="127"/>
      <c r="AI232" s="127"/>
      <c r="AJ232" s="58" t="str" cm="1">
        <f>IFERROR(IF(ISBLANK($A232),"",INDEX(Array_StationaryCharges,MATCH($A232,List_StationaryFuelMeters,0),ROUNDUP((COLUMN()+1)/3-2,0))),"")</f>
        <v/>
      </c>
      <c r="AK232" s="127"/>
      <c r="AL232" s="127"/>
      <c r="AM232" s="58" t="str" cm="1">
        <f>IFERROR(IF(ISBLANK($A232),"",INDEX(Array_StationaryCharges,MATCH($A232,List_StationaryFuelMeters,0),ROUNDUP((COLUMN()+1)/3-2,0))),"")</f>
        <v/>
      </c>
      <c r="AN232" s="127"/>
      <c r="AO232" s="127"/>
      <c r="AP232" s="58" t="str" cm="1">
        <f>IFERROR(IF(ISBLANK($A232),"",INDEX(Array_StationaryCharges,MATCH($A232,List_StationaryFuelMeters,0),ROUNDUP((COLUMN()+1)/3-2,0))),"")</f>
        <v/>
      </c>
      <c r="AQ232" s="127"/>
      <c r="AR232" s="127"/>
      <c r="AS232" s="58" t="str" cm="1">
        <f>IFERROR(IF(ISBLANK($A232),"",INDEX(Array_StationaryCharges,MATCH($A232,List_StationaryFuelMeters,0),ROUNDUP((COLUMN()+1)/3-2,0))),"")</f>
        <v/>
      </c>
      <c r="AT232" s="127"/>
      <c r="AU232" s="127"/>
      <c r="AV232" s="58" t="str" cm="1">
        <f>IFERROR(IF(ISBLANK($A232),"",INDEX(Array_StationaryCharges,MATCH($A232,List_StationaryFuelMeters,0),ROUNDUP((COLUMN()+1)/3-2,0))),"")</f>
        <v/>
      </c>
      <c r="AW232" s="127"/>
      <c r="AX232" s="127"/>
    </row>
    <row r="233" spans="1:50" x14ac:dyDescent="0.3">
      <c r="A233" s="126"/>
      <c r="B233" s="133"/>
      <c r="C233" s="127"/>
      <c r="D233" s="138"/>
      <c r="E233" s="138"/>
      <c r="F233" s="58" t="str" cm="1">
        <f>IFERROR(IF(ISBLANK($A233),"",INDEX(Array_StationaryCharges,MATCH($A233,List_StationaryFuelMeters,0),ROUNDUP((COLUMN()+1)/3-2,0))),"")</f>
        <v/>
      </c>
      <c r="G233" s="127"/>
      <c r="H233" s="127"/>
      <c r="I233" s="58" t="str" cm="1">
        <f>IFERROR(IF(ISBLANK($A233),"",INDEX(Array_StationaryCharges,MATCH($A233,List_StationaryFuelMeters,0),ROUNDUP((COLUMN()+1)/3-2,0))),"")</f>
        <v/>
      </c>
      <c r="J233" s="127"/>
      <c r="K233" s="127"/>
      <c r="L233" s="58" t="str" cm="1">
        <f>IFERROR(IF(ISBLANK($A233),"",INDEX(Array_StationaryCharges,MATCH($A233,List_StationaryFuelMeters,0),ROUNDUP((COLUMN()+1)/3-2,0))),"")</f>
        <v/>
      </c>
      <c r="M233" s="127"/>
      <c r="N233" s="127"/>
      <c r="O233" s="58" t="str" cm="1">
        <f>IFERROR(IF(ISBLANK($A233),"",INDEX(Array_StationaryCharges,MATCH($A233,List_StationaryFuelMeters,0),ROUNDUP((COLUMN()+1)/3-2,0))),"")</f>
        <v/>
      </c>
      <c r="P233" s="127"/>
      <c r="Q233" s="127"/>
      <c r="R233" s="58" t="str" cm="1">
        <f>IFERROR(IF(ISBLANK($A233),"",INDEX(Array_StationaryCharges,MATCH($A233,List_StationaryFuelMeters,0),ROUNDUP((COLUMN()+1)/3-2,0))),"")</f>
        <v/>
      </c>
      <c r="S233" s="127"/>
      <c r="T233" s="127"/>
      <c r="U233" s="58" t="str" cm="1">
        <f>IFERROR(IF(ISBLANK($A233),"",INDEX(Array_StationaryCharges,MATCH($A233,List_StationaryFuelMeters,0),ROUNDUP((COLUMN()+1)/3-2,0))),"")</f>
        <v/>
      </c>
      <c r="V233" s="127"/>
      <c r="W233" s="127"/>
      <c r="X233" s="58" t="str" cm="1">
        <f>IFERROR(IF(ISBLANK($A233),"",INDEX(Array_StationaryCharges,MATCH($A233,List_StationaryFuelMeters,0),ROUNDUP((COLUMN()+1)/3-2,0))),"")</f>
        <v/>
      </c>
      <c r="Y233" s="127"/>
      <c r="Z233" s="127"/>
      <c r="AA233" s="58" t="str" cm="1">
        <f>IFERROR(IF(ISBLANK($A233),"",INDEX(Array_StationaryCharges,MATCH($A233,List_StationaryFuelMeters,0),ROUNDUP((COLUMN()+1)/3-2,0))),"")</f>
        <v/>
      </c>
      <c r="AB233" s="127"/>
      <c r="AC233" s="127"/>
      <c r="AD233" s="58" t="str" cm="1">
        <f>IFERROR(IF(ISBLANK($A233),"",INDEX(Array_StationaryCharges,MATCH($A233,List_StationaryFuelMeters,0),ROUNDUP((COLUMN()+1)/3-2,0))),"")</f>
        <v/>
      </c>
      <c r="AE233" s="127"/>
      <c r="AF233" s="127"/>
      <c r="AG233" s="58" t="str" cm="1">
        <f>IFERROR(IF(ISBLANK($A233),"",INDEX(Array_StationaryCharges,MATCH($A233,List_StationaryFuelMeters,0),ROUNDUP((COLUMN()+1)/3-2,0))),"")</f>
        <v/>
      </c>
      <c r="AH233" s="127"/>
      <c r="AI233" s="127"/>
      <c r="AJ233" s="58" t="str" cm="1">
        <f>IFERROR(IF(ISBLANK($A233),"",INDEX(Array_StationaryCharges,MATCH($A233,List_StationaryFuelMeters,0),ROUNDUP((COLUMN()+1)/3-2,0))),"")</f>
        <v/>
      </c>
      <c r="AK233" s="127"/>
      <c r="AL233" s="127"/>
      <c r="AM233" s="58" t="str" cm="1">
        <f>IFERROR(IF(ISBLANK($A233),"",INDEX(Array_StationaryCharges,MATCH($A233,List_StationaryFuelMeters,0),ROUNDUP((COLUMN()+1)/3-2,0))),"")</f>
        <v/>
      </c>
      <c r="AN233" s="127"/>
      <c r="AO233" s="127"/>
      <c r="AP233" s="58" t="str" cm="1">
        <f>IFERROR(IF(ISBLANK($A233),"",INDEX(Array_StationaryCharges,MATCH($A233,List_StationaryFuelMeters,0),ROUNDUP((COLUMN()+1)/3-2,0))),"")</f>
        <v/>
      </c>
      <c r="AQ233" s="127"/>
      <c r="AR233" s="127"/>
      <c r="AS233" s="58" t="str" cm="1">
        <f>IFERROR(IF(ISBLANK($A233),"",INDEX(Array_StationaryCharges,MATCH($A233,List_StationaryFuelMeters,0),ROUNDUP((COLUMN()+1)/3-2,0))),"")</f>
        <v/>
      </c>
      <c r="AT233" s="127"/>
      <c r="AU233" s="127"/>
      <c r="AV233" s="58" t="str" cm="1">
        <f>IFERROR(IF(ISBLANK($A233),"",INDEX(Array_StationaryCharges,MATCH($A233,List_StationaryFuelMeters,0),ROUNDUP((COLUMN()+1)/3-2,0))),"")</f>
        <v/>
      </c>
      <c r="AW233" s="127"/>
      <c r="AX233" s="127"/>
    </row>
    <row r="234" spans="1:50" x14ac:dyDescent="0.3">
      <c r="A234" s="126"/>
      <c r="B234" s="133"/>
      <c r="C234" s="127"/>
      <c r="D234" s="138"/>
      <c r="E234" s="138"/>
      <c r="F234" s="58" t="str" cm="1">
        <f>IFERROR(IF(ISBLANK($A234),"",INDEX(Array_StationaryCharges,MATCH($A234,List_StationaryFuelMeters,0),ROUNDUP((COLUMN()+1)/3-2,0))),"")</f>
        <v/>
      </c>
      <c r="G234" s="127"/>
      <c r="H234" s="127"/>
      <c r="I234" s="58" t="str" cm="1">
        <f>IFERROR(IF(ISBLANK($A234),"",INDEX(Array_StationaryCharges,MATCH($A234,List_StationaryFuelMeters,0),ROUNDUP((COLUMN()+1)/3-2,0))),"")</f>
        <v/>
      </c>
      <c r="J234" s="127"/>
      <c r="K234" s="127"/>
      <c r="L234" s="58" t="str" cm="1">
        <f>IFERROR(IF(ISBLANK($A234),"",INDEX(Array_StationaryCharges,MATCH($A234,List_StationaryFuelMeters,0),ROUNDUP((COLUMN()+1)/3-2,0))),"")</f>
        <v/>
      </c>
      <c r="M234" s="127"/>
      <c r="N234" s="127"/>
      <c r="O234" s="58" t="str" cm="1">
        <f>IFERROR(IF(ISBLANK($A234),"",INDEX(Array_StationaryCharges,MATCH($A234,List_StationaryFuelMeters,0),ROUNDUP((COLUMN()+1)/3-2,0))),"")</f>
        <v/>
      </c>
      <c r="P234" s="127"/>
      <c r="Q234" s="127"/>
      <c r="R234" s="58" t="str" cm="1">
        <f>IFERROR(IF(ISBLANK($A234),"",INDEX(Array_StationaryCharges,MATCH($A234,List_StationaryFuelMeters,0),ROUNDUP((COLUMN()+1)/3-2,0))),"")</f>
        <v/>
      </c>
      <c r="S234" s="127"/>
      <c r="T234" s="127"/>
      <c r="U234" s="58" t="str" cm="1">
        <f>IFERROR(IF(ISBLANK($A234),"",INDEX(Array_StationaryCharges,MATCH($A234,List_StationaryFuelMeters,0),ROUNDUP((COLUMN()+1)/3-2,0))),"")</f>
        <v/>
      </c>
      <c r="V234" s="127"/>
      <c r="W234" s="127"/>
      <c r="X234" s="58" t="str" cm="1">
        <f>IFERROR(IF(ISBLANK($A234),"",INDEX(Array_StationaryCharges,MATCH($A234,List_StationaryFuelMeters,0),ROUNDUP((COLUMN()+1)/3-2,0))),"")</f>
        <v/>
      </c>
      <c r="Y234" s="127"/>
      <c r="Z234" s="127"/>
      <c r="AA234" s="58" t="str" cm="1">
        <f>IFERROR(IF(ISBLANK($A234),"",INDEX(Array_StationaryCharges,MATCH($A234,List_StationaryFuelMeters,0),ROUNDUP((COLUMN()+1)/3-2,0))),"")</f>
        <v/>
      </c>
      <c r="AB234" s="127"/>
      <c r="AC234" s="127"/>
      <c r="AD234" s="58" t="str" cm="1">
        <f>IFERROR(IF(ISBLANK($A234),"",INDEX(Array_StationaryCharges,MATCH($A234,List_StationaryFuelMeters,0),ROUNDUP((COLUMN()+1)/3-2,0))),"")</f>
        <v/>
      </c>
      <c r="AE234" s="127"/>
      <c r="AF234" s="127"/>
      <c r="AG234" s="58" t="str" cm="1">
        <f>IFERROR(IF(ISBLANK($A234),"",INDEX(Array_StationaryCharges,MATCH($A234,List_StationaryFuelMeters,0),ROUNDUP((COLUMN()+1)/3-2,0))),"")</f>
        <v/>
      </c>
      <c r="AH234" s="127"/>
      <c r="AI234" s="127"/>
      <c r="AJ234" s="58" t="str" cm="1">
        <f>IFERROR(IF(ISBLANK($A234),"",INDEX(Array_StationaryCharges,MATCH($A234,List_StationaryFuelMeters,0),ROUNDUP((COLUMN()+1)/3-2,0))),"")</f>
        <v/>
      </c>
      <c r="AK234" s="127"/>
      <c r="AL234" s="127"/>
      <c r="AM234" s="58" t="str" cm="1">
        <f>IFERROR(IF(ISBLANK($A234),"",INDEX(Array_StationaryCharges,MATCH($A234,List_StationaryFuelMeters,0),ROUNDUP((COLUMN()+1)/3-2,0))),"")</f>
        <v/>
      </c>
      <c r="AN234" s="127"/>
      <c r="AO234" s="127"/>
      <c r="AP234" s="58" t="str" cm="1">
        <f>IFERROR(IF(ISBLANK($A234),"",INDEX(Array_StationaryCharges,MATCH($A234,List_StationaryFuelMeters,0),ROUNDUP((COLUMN()+1)/3-2,0))),"")</f>
        <v/>
      </c>
      <c r="AQ234" s="127"/>
      <c r="AR234" s="127"/>
      <c r="AS234" s="58" t="str" cm="1">
        <f>IFERROR(IF(ISBLANK($A234),"",INDEX(Array_StationaryCharges,MATCH($A234,List_StationaryFuelMeters,0),ROUNDUP((COLUMN()+1)/3-2,0))),"")</f>
        <v/>
      </c>
      <c r="AT234" s="127"/>
      <c r="AU234" s="127"/>
      <c r="AV234" s="58" t="str" cm="1">
        <f>IFERROR(IF(ISBLANK($A234),"",INDEX(Array_StationaryCharges,MATCH($A234,List_StationaryFuelMeters,0),ROUNDUP((COLUMN()+1)/3-2,0))),"")</f>
        <v/>
      </c>
      <c r="AW234" s="127"/>
      <c r="AX234" s="127"/>
    </row>
    <row r="235" spans="1:50" x14ac:dyDescent="0.3">
      <c r="A235" s="126"/>
      <c r="B235" s="133"/>
      <c r="C235" s="127"/>
      <c r="D235" s="138"/>
      <c r="E235" s="138"/>
      <c r="F235" s="58" t="str" cm="1">
        <f>IFERROR(IF(ISBLANK($A235),"",INDEX(Array_StationaryCharges,MATCH($A235,List_StationaryFuelMeters,0),ROUNDUP((COLUMN()+1)/3-2,0))),"")</f>
        <v/>
      </c>
      <c r="G235" s="127"/>
      <c r="H235" s="127"/>
      <c r="I235" s="58" t="str" cm="1">
        <f>IFERROR(IF(ISBLANK($A235),"",INDEX(Array_StationaryCharges,MATCH($A235,List_StationaryFuelMeters,0),ROUNDUP((COLUMN()+1)/3-2,0))),"")</f>
        <v/>
      </c>
      <c r="J235" s="127"/>
      <c r="K235" s="127"/>
      <c r="L235" s="58" t="str" cm="1">
        <f>IFERROR(IF(ISBLANK($A235),"",INDEX(Array_StationaryCharges,MATCH($A235,List_StationaryFuelMeters,0),ROUNDUP((COLUMN()+1)/3-2,0))),"")</f>
        <v/>
      </c>
      <c r="M235" s="127"/>
      <c r="N235" s="127"/>
      <c r="O235" s="58" t="str" cm="1">
        <f>IFERROR(IF(ISBLANK($A235),"",INDEX(Array_StationaryCharges,MATCH($A235,List_StationaryFuelMeters,0),ROUNDUP((COLUMN()+1)/3-2,0))),"")</f>
        <v/>
      </c>
      <c r="P235" s="127"/>
      <c r="Q235" s="127"/>
      <c r="R235" s="58" t="str" cm="1">
        <f>IFERROR(IF(ISBLANK($A235),"",INDEX(Array_StationaryCharges,MATCH($A235,List_StationaryFuelMeters,0),ROUNDUP((COLUMN()+1)/3-2,0))),"")</f>
        <v/>
      </c>
      <c r="S235" s="127"/>
      <c r="T235" s="127"/>
      <c r="U235" s="58" t="str" cm="1">
        <f>IFERROR(IF(ISBLANK($A235),"",INDEX(Array_StationaryCharges,MATCH($A235,List_StationaryFuelMeters,0),ROUNDUP((COLUMN()+1)/3-2,0))),"")</f>
        <v/>
      </c>
      <c r="V235" s="127"/>
      <c r="W235" s="127"/>
      <c r="X235" s="58" t="str" cm="1">
        <f>IFERROR(IF(ISBLANK($A235),"",INDEX(Array_StationaryCharges,MATCH($A235,List_StationaryFuelMeters,0),ROUNDUP((COLUMN()+1)/3-2,0))),"")</f>
        <v/>
      </c>
      <c r="Y235" s="127"/>
      <c r="Z235" s="127"/>
      <c r="AA235" s="58" t="str" cm="1">
        <f>IFERROR(IF(ISBLANK($A235),"",INDEX(Array_StationaryCharges,MATCH($A235,List_StationaryFuelMeters,0),ROUNDUP((COLUMN()+1)/3-2,0))),"")</f>
        <v/>
      </c>
      <c r="AB235" s="127"/>
      <c r="AC235" s="127"/>
      <c r="AD235" s="58" t="str" cm="1">
        <f>IFERROR(IF(ISBLANK($A235),"",INDEX(Array_StationaryCharges,MATCH($A235,List_StationaryFuelMeters,0),ROUNDUP((COLUMN()+1)/3-2,0))),"")</f>
        <v/>
      </c>
      <c r="AE235" s="127"/>
      <c r="AF235" s="127"/>
      <c r="AG235" s="58" t="str" cm="1">
        <f>IFERROR(IF(ISBLANK($A235),"",INDEX(Array_StationaryCharges,MATCH($A235,List_StationaryFuelMeters,0),ROUNDUP((COLUMN()+1)/3-2,0))),"")</f>
        <v/>
      </c>
      <c r="AH235" s="127"/>
      <c r="AI235" s="127"/>
      <c r="AJ235" s="58" t="str" cm="1">
        <f>IFERROR(IF(ISBLANK($A235),"",INDEX(Array_StationaryCharges,MATCH($A235,List_StationaryFuelMeters,0),ROUNDUP((COLUMN()+1)/3-2,0))),"")</f>
        <v/>
      </c>
      <c r="AK235" s="127"/>
      <c r="AL235" s="127"/>
      <c r="AM235" s="58" t="str" cm="1">
        <f>IFERROR(IF(ISBLANK($A235),"",INDEX(Array_StationaryCharges,MATCH($A235,List_StationaryFuelMeters,0),ROUNDUP((COLUMN()+1)/3-2,0))),"")</f>
        <v/>
      </c>
      <c r="AN235" s="127"/>
      <c r="AO235" s="127"/>
      <c r="AP235" s="58" t="str" cm="1">
        <f>IFERROR(IF(ISBLANK($A235),"",INDEX(Array_StationaryCharges,MATCH($A235,List_StationaryFuelMeters,0),ROUNDUP((COLUMN()+1)/3-2,0))),"")</f>
        <v/>
      </c>
      <c r="AQ235" s="127"/>
      <c r="AR235" s="127"/>
      <c r="AS235" s="58" t="str" cm="1">
        <f>IFERROR(IF(ISBLANK($A235),"",INDEX(Array_StationaryCharges,MATCH($A235,List_StationaryFuelMeters,0),ROUNDUP((COLUMN()+1)/3-2,0))),"")</f>
        <v/>
      </c>
      <c r="AT235" s="127"/>
      <c r="AU235" s="127"/>
      <c r="AV235" s="58" t="str" cm="1">
        <f>IFERROR(IF(ISBLANK($A235),"",INDEX(Array_StationaryCharges,MATCH($A235,List_StationaryFuelMeters,0),ROUNDUP((COLUMN()+1)/3-2,0))),"")</f>
        <v/>
      </c>
      <c r="AW235" s="127"/>
      <c r="AX235" s="127"/>
    </row>
    <row r="236" spans="1:50" x14ac:dyDescent="0.3">
      <c r="A236" s="126"/>
      <c r="B236" s="133"/>
      <c r="C236" s="127"/>
      <c r="D236" s="138"/>
      <c r="E236" s="138"/>
      <c r="F236" s="58" t="str" cm="1">
        <f>IFERROR(IF(ISBLANK($A236),"",INDEX(Array_StationaryCharges,MATCH($A236,List_StationaryFuelMeters,0),ROUNDUP((COLUMN()+1)/3-2,0))),"")</f>
        <v/>
      </c>
      <c r="G236" s="127"/>
      <c r="H236" s="127"/>
      <c r="I236" s="58" t="str" cm="1">
        <f>IFERROR(IF(ISBLANK($A236),"",INDEX(Array_StationaryCharges,MATCH($A236,List_StationaryFuelMeters,0),ROUNDUP((COLUMN()+1)/3-2,0))),"")</f>
        <v/>
      </c>
      <c r="J236" s="127"/>
      <c r="K236" s="127"/>
      <c r="L236" s="58" t="str" cm="1">
        <f>IFERROR(IF(ISBLANK($A236),"",INDEX(Array_StationaryCharges,MATCH($A236,List_StationaryFuelMeters,0),ROUNDUP((COLUMN()+1)/3-2,0))),"")</f>
        <v/>
      </c>
      <c r="M236" s="127"/>
      <c r="N236" s="127"/>
      <c r="O236" s="58" t="str" cm="1">
        <f>IFERROR(IF(ISBLANK($A236),"",INDEX(Array_StationaryCharges,MATCH($A236,List_StationaryFuelMeters,0),ROUNDUP((COLUMN()+1)/3-2,0))),"")</f>
        <v/>
      </c>
      <c r="P236" s="127"/>
      <c r="Q236" s="127"/>
      <c r="R236" s="58" t="str" cm="1">
        <f>IFERROR(IF(ISBLANK($A236),"",INDEX(Array_StationaryCharges,MATCH($A236,List_StationaryFuelMeters,0),ROUNDUP((COLUMN()+1)/3-2,0))),"")</f>
        <v/>
      </c>
      <c r="S236" s="127"/>
      <c r="T236" s="127"/>
      <c r="U236" s="58" t="str" cm="1">
        <f>IFERROR(IF(ISBLANK($A236),"",INDEX(Array_StationaryCharges,MATCH($A236,List_StationaryFuelMeters,0),ROUNDUP((COLUMN()+1)/3-2,0))),"")</f>
        <v/>
      </c>
      <c r="V236" s="127"/>
      <c r="W236" s="127"/>
      <c r="X236" s="58" t="str" cm="1">
        <f>IFERROR(IF(ISBLANK($A236),"",INDEX(Array_StationaryCharges,MATCH($A236,List_StationaryFuelMeters,0),ROUNDUP((COLUMN()+1)/3-2,0))),"")</f>
        <v/>
      </c>
      <c r="Y236" s="127"/>
      <c r="Z236" s="127"/>
      <c r="AA236" s="58" t="str" cm="1">
        <f>IFERROR(IF(ISBLANK($A236),"",INDEX(Array_StationaryCharges,MATCH($A236,List_StationaryFuelMeters,0),ROUNDUP((COLUMN()+1)/3-2,0))),"")</f>
        <v/>
      </c>
      <c r="AB236" s="127"/>
      <c r="AC236" s="127"/>
      <c r="AD236" s="58" t="str" cm="1">
        <f>IFERROR(IF(ISBLANK($A236),"",INDEX(Array_StationaryCharges,MATCH($A236,List_StationaryFuelMeters,0),ROUNDUP((COLUMN()+1)/3-2,0))),"")</f>
        <v/>
      </c>
      <c r="AE236" s="127"/>
      <c r="AF236" s="127"/>
      <c r="AG236" s="58" t="str" cm="1">
        <f>IFERROR(IF(ISBLANK($A236),"",INDEX(Array_StationaryCharges,MATCH($A236,List_StationaryFuelMeters,0),ROUNDUP((COLUMN()+1)/3-2,0))),"")</f>
        <v/>
      </c>
      <c r="AH236" s="127"/>
      <c r="AI236" s="127"/>
      <c r="AJ236" s="58" t="str" cm="1">
        <f>IFERROR(IF(ISBLANK($A236),"",INDEX(Array_StationaryCharges,MATCH($A236,List_StationaryFuelMeters,0),ROUNDUP((COLUMN()+1)/3-2,0))),"")</f>
        <v/>
      </c>
      <c r="AK236" s="127"/>
      <c r="AL236" s="127"/>
      <c r="AM236" s="58" t="str" cm="1">
        <f>IFERROR(IF(ISBLANK($A236),"",INDEX(Array_StationaryCharges,MATCH($A236,List_StationaryFuelMeters,0),ROUNDUP((COLUMN()+1)/3-2,0))),"")</f>
        <v/>
      </c>
      <c r="AN236" s="127"/>
      <c r="AO236" s="127"/>
      <c r="AP236" s="58" t="str" cm="1">
        <f>IFERROR(IF(ISBLANK($A236),"",INDEX(Array_StationaryCharges,MATCH($A236,List_StationaryFuelMeters,0),ROUNDUP((COLUMN()+1)/3-2,0))),"")</f>
        <v/>
      </c>
      <c r="AQ236" s="127"/>
      <c r="AR236" s="127"/>
      <c r="AS236" s="58" t="str" cm="1">
        <f>IFERROR(IF(ISBLANK($A236),"",INDEX(Array_StationaryCharges,MATCH($A236,List_StationaryFuelMeters,0),ROUNDUP((COLUMN()+1)/3-2,0))),"")</f>
        <v/>
      </c>
      <c r="AT236" s="127"/>
      <c r="AU236" s="127"/>
      <c r="AV236" s="58" t="str" cm="1">
        <f>IFERROR(IF(ISBLANK($A236),"",INDEX(Array_StationaryCharges,MATCH($A236,List_StationaryFuelMeters,0),ROUNDUP((COLUMN()+1)/3-2,0))),"")</f>
        <v/>
      </c>
      <c r="AW236" s="127"/>
      <c r="AX236" s="127"/>
    </row>
    <row r="237" spans="1:50" x14ac:dyDescent="0.3">
      <c r="A237" s="126"/>
      <c r="B237" s="133"/>
      <c r="C237" s="127"/>
      <c r="D237" s="138"/>
      <c r="E237" s="138"/>
      <c r="F237" s="58" t="str" cm="1">
        <f>IFERROR(IF(ISBLANK($A237),"",INDEX(Array_StationaryCharges,MATCH($A237,List_StationaryFuelMeters,0),ROUNDUP((COLUMN()+1)/3-2,0))),"")</f>
        <v/>
      </c>
      <c r="G237" s="127"/>
      <c r="H237" s="127"/>
      <c r="I237" s="58" t="str" cm="1">
        <f>IFERROR(IF(ISBLANK($A237),"",INDEX(Array_StationaryCharges,MATCH($A237,List_StationaryFuelMeters,0),ROUNDUP((COLUMN()+1)/3-2,0))),"")</f>
        <v/>
      </c>
      <c r="J237" s="127"/>
      <c r="K237" s="127"/>
      <c r="L237" s="58" t="str" cm="1">
        <f>IFERROR(IF(ISBLANK($A237),"",INDEX(Array_StationaryCharges,MATCH($A237,List_StationaryFuelMeters,0),ROUNDUP((COLUMN()+1)/3-2,0))),"")</f>
        <v/>
      </c>
      <c r="M237" s="127"/>
      <c r="N237" s="127"/>
      <c r="O237" s="58" t="str" cm="1">
        <f>IFERROR(IF(ISBLANK($A237),"",INDEX(Array_StationaryCharges,MATCH($A237,List_StationaryFuelMeters,0),ROUNDUP((COLUMN()+1)/3-2,0))),"")</f>
        <v/>
      </c>
      <c r="P237" s="127"/>
      <c r="Q237" s="127"/>
      <c r="R237" s="58" t="str" cm="1">
        <f>IFERROR(IF(ISBLANK($A237),"",INDEX(Array_StationaryCharges,MATCH($A237,List_StationaryFuelMeters,0),ROUNDUP((COLUMN()+1)/3-2,0))),"")</f>
        <v/>
      </c>
      <c r="S237" s="127"/>
      <c r="T237" s="127"/>
      <c r="U237" s="58" t="str" cm="1">
        <f>IFERROR(IF(ISBLANK($A237),"",INDEX(Array_StationaryCharges,MATCH($A237,List_StationaryFuelMeters,0),ROUNDUP((COLUMN()+1)/3-2,0))),"")</f>
        <v/>
      </c>
      <c r="V237" s="127"/>
      <c r="W237" s="127"/>
      <c r="X237" s="58" t="str" cm="1">
        <f>IFERROR(IF(ISBLANK($A237),"",INDEX(Array_StationaryCharges,MATCH($A237,List_StationaryFuelMeters,0),ROUNDUP((COLUMN()+1)/3-2,0))),"")</f>
        <v/>
      </c>
      <c r="Y237" s="127"/>
      <c r="Z237" s="127"/>
      <c r="AA237" s="58" t="str" cm="1">
        <f>IFERROR(IF(ISBLANK($A237),"",INDEX(Array_StationaryCharges,MATCH($A237,List_StationaryFuelMeters,0),ROUNDUP((COLUMN()+1)/3-2,0))),"")</f>
        <v/>
      </c>
      <c r="AB237" s="127"/>
      <c r="AC237" s="127"/>
      <c r="AD237" s="58" t="str" cm="1">
        <f>IFERROR(IF(ISBLANK($A237),"",INDEX(Array_StationaryCharges,MATCH($A237,List_StationaryFuelMeters,0),ROUNDUP((COLUMN()+1)/3-2,0))),"")</f>
        <v/>
      </c>
      <c r="AE237" s="127"/>
      <c r="AF237" s="127"/>
      <c r="AG237" s="58" t="str" cm="1">
        <f>IFERROR(IF(ISBLANK($A237),"",INDEX(Array_StationaryCharges,MATCH($A237,List_StationaryFuelMeters,0),ROUNDUP((COLUMN()+1)/3-2,0))),"")</f>
        <v/>
      </c>
      <c r="AH237" s="127"/>
      <c r="AI237" s="127"/>
      <c r="AJ237" s="58" t="str" cm="1">
        <f>IFERROR(IF(ISBLANK($A237),"",INDEX(Array_StationaryCharges,MATCH($A237,List_StationaryFuelMeters,0),ROUNDUP((COLUMN()+1)/3-2,0))),"")</f>
        <v/>
      </c>
      <c r="AK237" s="127"/>
      <c r="AL237" s="127"/>
      <c r="AM237" s="58" t="str" cm="1">
        <f>IFERROR(IF(ISBLANK($A237),"",INDEX(Array_StationaryCharges,MATCH($A237,List_StationaryFuelMeters,0),ROUNDUP((COLUMN()+1)/3-2,0))),"")</f>
        <v/>
      </c>
      <c r="AN237" s="127"/>
      <c r="AO237" s="127"/>
      <c r="AP237" s="58" t="str" cm="1">
        <f>IFERROR(IF(ISBLANK($A237),"",INDEX(Array_StationaryCharges,MATCH($A237,List_StationaryFuelMeters,0),ROUNDUP((COLUMN()+1)/3-2,0))),"")</f>
        <v/>
      </c>
      <c r="AQ237" s="127"/>
      <c r="AR237" s="127"/>
      <c r="AS237" s="58" t="str" cm="1">
        <f>IFERROR(IF(ISBLANK($A237),"",INDEX(Array_StationaryCharges,MATCH($A237,List_StationaryFuelMeters,0),ROUNDUP((COLUMN()+1)/3-2,0))),"")</f>
        <v/>
      </c>
      <c r="AT237" s="127"/>
      <c r="AU237" s="127"/>
      <c r="AV237" s="58" t="str" cm="1">
        <f>IFERROR(IF(ISBLANK($A237),"",INDEX(Array_StationaryCharges,MATCH($A237,List_StationaryFuelMeters,0),ROUNDUP((COLUMN()+1)/3-2,0))),"")</f>
        <v/>
      </c>
      <c r="AW237" s="127"/>
      <c r="AX237" s="127"/>
    </row>
    <row r="238" spans="1:50" x14ac:dyDescent="0.3">
      <c r="A238" s="126"/>
      <c r="B238" s="133"/>
      <c r="C238" s="127"/>
      <c r="D238" s="138"/>
      <c r="E238" s="138"/>
      <c r="F238" s="58" t="str" cm="1">
        <f>IFERROR(IF(ISBLANK($A238),"",INDEX(Array_StationaryCharges,MATCH($A238,List_StationaryFuelMeters,0),ROUNDUP((COLUMN()+1)/3-2,0))),"")</f>
        <v/>
      </c>
      <c r="G238" s="127"/>
      <c r="H238" s="127"/>
      <c r="I238" s="58" t="str" cm="1">
        <f>IFERROR(IF(ISBLANK($A238),"",INDEX(Array_StationaryCharges,MATCH($A238,List_StationaryFuelMeters,0),ROUNDUP((COLUMN()+1)/3-2,0))),"")</f>
        <v/>
      </c>
      <c r="J238" s="127"/>
      <c r="K238" s="127"/>
      <c r="L238" s="58" t="str" cm="1">
        <f>IFERROR(IF(ISBLANK($A238),"",INDEX(Array_StationaryCharges,MATCH($A238,List_StationaryFuelMeters,0),ROUNDUP((COLUMN()+1)/3-2,0))),"")</f>
        <v/>
      </c>
      <c r="M238" s="127"/>
      <c r="N238" s="127"/>
      <c r="O238" s="58" t="str" cm="1">
        <f>IFERROR(IF(ISBLANK($A238),"",INDEX(Array_StationaryCharges,MATCH($A238,List_StationaryFuelMeters,0),ROUNDUP((COLUMN()+1)/3-2,0))),"")</f>
        <v/>
      </c>
      <c r="P238" s="127"/>
      <c r="Q238" s="127"/>
      <c r="R238" s="58" t="str" cm="1">
        <f>IFERROR(IF(ISBLANK($A238),"",INDEX(Array_StationaryCharges,MATCH($A238,List_StationaryFuelMeters,0),ROUNDUP((COLUMN()+1)/3-2,0))),"")</f>
        <v/>
      </c>
      <c r="S238" s="127"/>
      <c r="T238" s="127"/>
      <c r="U238" s="58" t="str" cm="1">
        <f>IFERROR(IF(ISBLANK($A238),"",INDEX(Array_StationaryCharges,MATCH($A238,List_StationaryFuelMeters,0),ROUNDUP((COLUMN()+1)/3-2,0))),"")</f>
        <v/>
      </c>
      <c r="V238" s="127"/>
      <c r="W238" s="127"/>
      <c r="X238" s="58" t="str" cm="1">
        <f>IFERROR(IF(ISBLANK($A238),"",INDEX(Array_StationaryCharges,MATCH($A238,List_StationaryFuelMeters,0),ROUNDUP((COLUMN()+1)/3-2,0))),"")</f>
        <v/>
      </c>
      <c r="Y238" s="127"/>
      <c r="Z238" s="127"/>
      <c r="AA238" s="58" t="str" cm="1">
        <f>IFERROR(IF(ISBLANK($A238),"",INDEX(Array_StationaryCharges,MATCH($A238,List_StationaryFuelMeters,0),ROUNDUP((COLUMN()+1)/3-2,0))),"")</f>
        <v/>
      </c>
      <c r="AB238" s="127"/>
      <c r="AC238" s="127"/>
      <c r="AD238" s="58" t="str" cm="1">
        <f>IFERROR(IF(ISBLANK($A238),"",INDEX(Array_StationaryCharges,MATCH($A238,List_StationaryFuelMeters,0),ROUNDUP((COLUMN()+1)/3-2,0))),"")</f>
        <v/>
      </c>
      <c r="AE238" s="127"/>
      <c r="AF238" s="127"/>
      <c r="AG238" s="58" t="str" cm="1">
        <f>IFERROR(IF(ISBLANK($A238),"",INDEX(Array_StationaryCharges,MATCH($A238,List_StationaryFuelMeters,0),ROUNDUP((COLUMN()+1)/3-2,0))),"")</f>
        <v/>
      </c>
      <c r="AH238" s="127"/>
      <c r="AI238" s="127"/>
      <c r="AJ238" s="58" t="str" cm="1">
        <f>IFERROR(IF(ISBLANK($A238),"",INDEX(Array_StationaryCharges,MATCH($A238,List_StationaryFuelMeters,0),ROUNDUP((COLUMN()+1)/3-2,0))),"")</f>
        <v/>
      </c>
      <c r="AK238" s="127"/>
      <c r="AL238" s="127"/>
      <c r="AM238" s="58" t="str" cm="1">
        <f>IFERROR(IF(ISBLANK($A238),"",INDEX(Array_StationaryCharges,MATCH($A238,List_StationaryFuelMeters,0),ROUNDUP((COLUMN()+1)/3-2,0))),"")</f>
        <v/>
      </c>
      <c r="AN238" s="127"/>
      <c r="AO238" s="127"/>
      <c r="AP238" s="58" t="str" cm="1">
        <f>IFERROR(IF(ISBLANK($A238),"",INDEX(Array_StationaryCharges,MATCH($A238,List_StationaryFuelMeters,0),ROUNDUP((COLUMN()+1)/3-2,0))),"")</f>
        <v/>
      </c>
      <c r="AQ238" s="127"/>
      <c r="AR238" s="127"/>
      <c r="AS238" s="58" t="str" cm="1">
        <f>IFERROR(IF(ISBLANK($A238),"",INDEX(Array_StationaryCharges,MATCH($A238,List_StationaryFuelMeters,0),ROUNDUP((COLUMN()+1)/3-2,0))),"")</f>
        <v/>
      </c>
      <c r="AT238" s="127"/>
      <c r="AU238" s="127"/>
      <c r="AV238" s="58" t="str" cm="1">
        <f>IFERROR(IF(ISBLANK($A238),"",INDEX(Array_StationaryCharges,MATCH($A238,List_StationaryFuelMeters,0),ROUNDUP((COLUMN()+1)/3-2,0))),"")</f>
        <v/>
      </c>
      <c r="AW238" s="127"/>
      <c r="AX238" s="127"/>
    </row>
    <row r="239" spans="1:50" x14ac:dyDescent="0.3">
      <c r="A239" s="126"/>
      <c r="B239" s="133"/>
      <c r="C239" s="127"/>
      <c r="D239" s="138"/>
      <c r="E239" s="138"/>
      <c r="F239" s="58" t="str" cm="1">
        <f>IFERROR(IF(ISBLANK($A239),"",INDEX(Array_StationaryCharges,MATCH($A239,List_StationaryFuelMeters,0),ROUNDUP((COLUMN()+1)/3-2,0))),"")</f>
        <v/>
      </c>
      <c r="G239" s="127"/>
      <c r="H239" s="127"/>
      <c r="I239" s="58" t="str" cm="1">
        <f>IFERROR(IF(ISBLANK($A239),"",INDEX(Array_StationaryCharges,MATCH($A239,List_StationaryFuelMeters,0),ROUNDUP((COLUMN()+1)/3-2,0))),"")</f>
        <v/>
      </c>
      <c r="J239" s="127"/>
      <c r="K239" s="127"/>
      <c r="L239" s="58" t="str" cm="1">
        <f>IFERROR(IF(ISBLANK($A239),"",INDEX(Array_StationaryCharges,MATCH($A239,List_StationaryFuelMeters,0),ROUNDUP((COLUMN()+1)/3-2,0))),"")</f>
        <v/>
      </c>
      <c r="M239" s="127"/>
      <c r="N239" s="127"/>
      <c r="O239" s="58" t="str" cm="1">
        <f>IFERROR(IF(ISBLANK($A239),"",INDEX(Array_StationaryCharges,MATCH($A239,List_StationaryFuelMeters,0),ROUNDUP((COLUMN()+1)/3-2,0))),"")</f>
        <v/>
      </c>
      <c r="P239" s="127"/>
      <c r="Q239" s="127"/>
      <c r="R239" s="58" t="str" cm="1">
        <f>IFERROR(IF(ISBLANK($A239),"",INDEX(Array_StationaryCharges,MATCH($A239,List_StationaryFuelMeters,0),ROUNDUP((COLUMN()+1)/3-2,0))),"")</f>
        <v/>
      </c>
      <c r="S239" s="127"/>
      <c r="T239" s="127"/>
      <c r="U239" s="58" t="str" cm="1">
        <f>IFERROR(IF(ISBLANK($A239),"",INDEX(Array_StationaryCharges,MATCH($A239,List_StationaryFuelMeters,0),ROUNDUP((COLUMN()+1)/3-2,0))),"")</f>
        <v/>
      </c>
      <c r="V239" s="127"/>
      <c r="W239" s="127"/>
      <c r="X239" s="58" t="str" cm="1">
        <f>IFERROR(IF(ISBLANK($A239),"",INDEX(Array_StationaryCharges,MATCH($A239,List_StationaryFuelMeters,0),ROUNDUP((COLUMN()+1)/3-2,0))),"")</f>
        <v/>
      </c>
      <c r="Y239" s="127"/>
      <c r="Z239" s="127"/>
      <c r="AA239" s="58" t="str" cm="1">
        <f>IFERROR(IF(ISBLANK($A239),"",INDEX(Array_StationaryCharges,MATCH($A239,List_StationaryFuelMeters,0),ROUNDUP((COLUMN()+1)/3-2,0))),"")</f>
        <v/>
      </c>
      <c r="AB239" s="127"/>
      <c r="AC239" s="127"/>
      <c r="AD239" s="58" t="str" cm="1">
        <f>IFERROR(IF(ISBLANK($A239),"",INDEX(Array_StationaryCharges,MATCH($A239,List_StationaryFuelMeters,0),ROUNDUP((COLUMN()+1)/3-2,0))),"")</f>
        <v/>
      </c>
      <c r="AE239" s="127"/>
      <c r="AF239" s="127"/>
      <c r="AG239" s="58" t="str" cm="1">
        <f>IFERROR(IF(ISBLANK($A239),"",INDEX(Array_StationaryCharges,MATCH($A239,List_StationaryFuelMeters,0),ROUNDUP((COLUMN()+1)/3-2,0))),"")</f>
        <v/>
      </c>
      <c r="AH239" s="127"/>
      <c r="AI239" s="127"/>
      <c r="AJ239" s="58" t="str" cm="1">
        <f>IFERROR(IF(ISBLANK($A239),"",INDEX(Array_StationaryCharges,MATCH($A239,List_StationaryFuelMeters,0),ROUNDUP((COLUMN()+1)/3-2,0))),"")</f>
        <v/>
      </c>
      <c r="AK239" s="127"/>
      <c r="AL239" s="127"/>
      <c r="AM239" s="58" t="str" cm="1">
        <f>IFERROR(IF(ISBLANK($A239),"",INDEX(Array_StationaryCharges,MATCH($A239,List_StationaryFuelMeters,0),ROUNDUP((COLUMN()+1)/3-2,0))),"")</f>
        <v/>
      </c>
      <c r="AN239" s="127"/>
      <c r="AO239" s="127"/>
      <c r="AP239" s="58" t="str" cm="1">
        <f>IFERROR(IF(ISBLANK($A239),"",INDEX(Array_StationaryCharges,MATCH($A239,List_StationaryFuelMeters,0),ROUNDUP((COLUMN()+1)/3-2,0))),"")</f>
        <v/>
      </c>
      <c r="AQ239" s="127"/>
      <c r="AR239" s="127"/>
      <c r="AS239" s="58" t="str" cm="1">
        <f>IFERROR(IF(ISBLANK($A239),"",INDEX(Array_StationaryCharges,MATCH($A239,List_StationaryFuelMeters,0),ROUNDUP((COLUMN()+1)/3-2,0))),"")</f>
        <v/>
      </c>
      <c r="AT239" s="127"/>
      <c r="AU239" s="127"/>
      <c r="AV239" s="58" t="str" cm="1">
        <f>IFERROR(IF(ISBLANK($A239),"",INDEX(Array_StationaryCharges,MATCH($A239,List_StationaryFuelMeters,0),ROUNDUP((COLUMN()+1)/3-2,0))),"")</f>
        <v/>
      </c>
      <c r="AW239" s="127"/>
      <c r="AX239" s="127"/>
    </row>
    <row r="240" spans="1:50" x14ac:dyDescent="0.3">
      <c r="A240" s="126"/>
      <c r="B240" s="133"/>
      <c r="C240" s="127"/>
      <c r="D240" s="138"/>
      <c r="E240" s="138"/>
      <c r="F240" s="58" t="str" cm="1">
        <f>IFERROR(IF(ISBLANK($A240),"",INDEX(Array_StationaryCharges,MATCH($A240,List_StationaryFuelMeters,0),ROUNDUP((COLUMN()+1)/3-2,0))),"")</f>
        <v/>
      </c>
      <c r="G240" s="127"/>
      <c r="H240" s="127"/>
      <c r="I240" s="58" t="str" cm="1">
        <f>IFERROR(IF(ISBLANK($A240),"",INDEX(Array_StationaryCharges,MATCH($A240,List_StationaryFuelMeters,0),ROUNDUP((COLUMN()+1)/3-2,0))),"")</f>
        <v/>
      </c>
      <c r="J240" s="127"/>
      <c r="K240" s="127"/>
      <c r="L240" s="58" t="str" cm="1">
        <f>IFERROR(IF(ISBLANK($A240),"",INDEX(Array_StationaryCharges,MATCH($A240,List_StationaryFuelMeters,0),ROUNDUP((COLUMN()+1)/3-2,0))),"")</f>
        <v/>
      </c>
      <c r="M240" s="127"/>
      <c r="N240" s="127"/>
      <c r="O240" s="58" t="str" cm="1">
        <f>IFERROR(IF(ISBLANK($A240),"",INDEX(Array_StationaryCharges,MATCH($A240,List_StationaryFuelMeters,0),ROUNDUP((COLUMN()+1)/3-2,0))),"")</f>
        <v/>
      </c>
      <c r="P240" s="127"/>
      <c r="Q240" s="127"/>
      <c r="R240" s="58" t="str" cm="1">
        <f>IFERROR(IF(ISBLANK($A240),"",INDEX(Array_StationaryCharges,MATCH($A240,List_StationaryFuelMeters,0),ROUNDUP((COLUMN()+1)/3-2,0))),"")</f>
        <v/>
      </c>
      <c r="S240" s="127"/>
      <c r="T240" s="127"/>
      <c r="U240" s="58" t="str" cm="1">
        <f>IFERROR(IF(ISBLANK($A240),"",INDEX(Array_StationaryCharges,MATCH($A240,List_StationaryFuelMeters,0),ROUNDUP((COLUMN()+1)/3-2,0))),"")</f>
        <v/>
      </c>
      <c r="V240" s="127"/>
      <c r="W240" s="127"/>
      <c r="X240" s="58" t="str" cm="1">
        <f>IFERROR(IF(ISBLANK($A240),"",INDEX(Array_StationaryCharges,MATCH($A240,List_StationaryFuelMeters,0),ROUNDUP((COLUMN()+1)/3-2,0))),"")</f>
        <v/>
      </c>
      <c r="Y240" s="127"/>
      <c r="Z240" s="127"/>
      <c r="AA240" s="58" t="str" cm="1">
        <f>IFERROR(IF(ISBLANK($A240),"",INDEX(Array_StationaryCharges,MATCH($A240,List_StationaryFuelMeters,0),ROUNDUP((COLUMN()+1)/3-2,0))),"")</f>
        <v/>
      </c>
      <c r="AB240" s="127"/>
      <c r="AC240" s="127"/>
      <c r="AD240" s="58" t="str" cm="1">
        <f>IFERROR(IF(ISBLANK($A240),"",INDEX(Array_StationaryCharges,MATCH($A240,List_StationaryFuelMeters,0),ROUNDUP((COLUMN()+1)/3-2,0))),"")</f>
        <v/>
      </c>
      <c r="AE240" s="127"/>
      <c r="AF240" s="127"/>
      <c r="AG240" s="58" t="str" cm="1">
        <f>IFERROR(IF(ISBLANK($A240),"",INDEX(Array_StationaryCharges,MATCH($A240,List_StationaryFuelMeters,0),ROUNDUP((COLUMN()+1)/3-2,0))),"")</f>
        <v/>
      </c>
      <c r="AH240" s="127"/>
      <c r="AI240" s="127"/>
      <c r="AJ240" s="58" t="str" cm="1">
        <f>IFERROR(IF(ISBLANK($A240),"",INDEX(Array_StationaryCharges,MATCH($A240,List_StationaryFuelMeters,0),ROUNDUP((COLUMN()+1)/3-2,0))),"")</f>
        <v/>
      </c>
      <c r="AK240" s="127"/>
      <c r="AL240" s="127"/>
      <c r="AM240" s="58" t="str" cm="1">
        <f>IFERROR(IF(ISBLANK($A240),"",INDEX(Array_StationaryCharges,MATCH($A240,List_StationaryFuelMeters,0),ROUNDUP((COLUMN()+1)/3-2,0))),"")</f>
        <v/>
      </c>
      <c r="AN240" s="127"/>
      <c r="AO240" s="127"/>
      <c r="AP240" s="58" t="str" cm="1">
        <f>IFERROR(IF(ISBLANK($A240),"",INDEX(Array_StationaryCharges,MATCH($A240,List_StationaryFuelMeters,0),ROUNDUP((COLUMN()+1)/3-2,0))),"")</f>
        <v/>
      </c>
      <c r="AQ240" s="127"/>
      <c r="AR240" s="127"/>
      <c r="AS240" s="58" t="str" cm="1">
        <f>IFERROR(IF(ISBLANK($A240),"",INDEX(Array_StationaryCharges,MATCH($A240,List_StationaryFuelMeters,0),ROUNDUP((COLUMN()+1)/3-2,0))),"")</f>
        <v/>
      </c>
      <c r="AT240" s="127"/>
      <c r="AU240" s="127"/>
      <c r="AV240" s="58" t="str" cm="1">
        <f>IFERROR(IF(ISBLANK($A240),"",INDEX(Array_StationaryCharges,MATCH($A240,List_StationaryFuelMeters,0),ROUNDUP((COLUMN()+1)/3-2,0))),"")</f>
        <v/>
      </c>
      <c r="AW240" s="127"/>
      <c r="AX240" s="127"/>
    </row>
    <row r="241" spans="1:50" x14ac:dyDescent="0.3">
      <c r="A241" s="126"/>
      <c r="B241" s="133"/>
      <c r="C241" s="127"/>
      <c r="D241" s="138"/>
      <c r="E241" s="138"/>
      <c r="F241" s="58" t="str" cm="1">
        <f>IFERROR(IF(ISBLANK($A241),"",INDEX(Array_StationaryCharges,MATCH($A241,List_StationaryFuelMeters,0),ROUNDUP((COLUMN()+1)/3-2,0))),"")</f>
        <v/>
      </c>
      <c r="G241" s="127"/>
      <c r="H241" s="127"/>
      <c r="I241" s="58" t="str" cm="1">
        <f>IFERROR(IF(ISBLANK($A241),"",INDEX(Array_StationaryCharges,MATCH($A241,List_StationaryFuelMeters,0),ROUNDUP((COLUMN()+1)/3-2,0))),"")</f>
        <v/>
      </c>
      <c r="J241" s="127"/>
      <c r="K241" s="127"/>
      <c r="L241" s="58" t="str" cm="1">
        <f>IFERROR(IF(ISBLANK($A241),"",INDEX(Array_StationaryCharges,MATCH($A241,List_StationaryFuelMeters,0),ROUNDUP((COLUMN()+1)/3-2,0))),"")</f>
        <v/>
      </c>
      <c r="M241" s="127"/>
      <c r="N241" s="127"/>
      <c r="O241" s="58" t="str" cm="1">
        <f>IFERROR(IF(ISBLANK($A241),"",INDEX(Array_StationaryCharges,MATCH($A241,List_StationaryFuelMeters,0),ROUNDUP((COLUMN()+1)/3-2,0))),"")</f>
        <v/>
      </c>
      <c r="P241" s="127"/>
      <c r="Q241" s="127"/>
      <c r="R241" s="58" t="str" cm="1">
        <f>IFERROR(IF(ISBLANK($A241),"",INDEX(Array_StationaryCharges,MATCH($A241,List_StationaryFuelMeters,0),ROUNDUP((COLUMN()+1)/3-2,0))),"")</f>
        <v/>
      </c>
      <c r="S241" s="127"/>
      <c r="T241" s="127"/>
      <c r="U241" s="58" t="str" cm="1">
        <f>IFERROR(IF(ISBLANK($A241),"",INDEX(Array_StationaryCharges,MATCH($A241,List_StationaryFuelMeters,0),ROUNDUP((COLUMN()+1)/3-2,0))),"")</f>
        <v/>
      </c>
      <c r="V241" s="127"/>
      <c r="W241" s="127"/>
      <c r="X241" s="58" t="str" cm="1">
        <f>IFERROR(IF(ISBLANK($A241),"",INDEX(Array_StationaryCharges,MATCH($A241,List_StationaryFuelMeters,0),ROUNDUP((COLUMN()+1)/3-2,0))),"")</f>
        <v/>
      </c>
      <c r="Y241" s="127"/>
      <c r="Z241" s="127"/>
      <c r="AA241" s="58" t="str" cm="1">
        <f>IFERROR(IF(ISBLANK($A241),"",INDEX(Array_StationaryCharges,MATCH($A241,List_StationaryFuelMeters,0),ROUNDUP((COLUMN()+1)/3-2,0))),"")</f>
        <v/>
      </c>
      <c r="AB241" s="127"/>
      <c r="AC241" s="127"/>
      <c r="AD241" s="58" t="str" cm="1">
        <f>IFERROR(IF(ISBLANK($A241),"",INDEX(Array_StationaryCharges,MATCH($A241,List_StationaryFuelMeters,0),ROUNDUP((COLUMN()+1)/3-2,0))),"")</f>
        <v/>
      </c>
      <c r="AE241" s="127"/>
      <c r="AF241" s="127"/>
      <c r="AG241" s="58" t="str" cm="1">
        <f>IFERROR(IF(ISBLANK($A241),"",INDEX(Array_StationaryCharges,MATCH($A241,List_StationaryFuelMeters,0),ROUNDUP((COLUMN()+1)/3-2,0))),"")</f>
        <v/>
      </c>
      <c r="AH241" s="127"/>
      <c r="AI241" s="127"/>
      <c r="AJ241" s="58" t="str" cm="1">
        <f>IFERROR(IF(ISBLANK($A241),"",INDEX(Array_StationaryCharges,MATCH($A241,List_StationaryFuelMeters,0),ROUNDUP((COLUMN()+1)/3-2,0))),"")</f>
        <v/>
      </c>
      <c r="AK241" s="127"/>
      <c r="AL241" s="127"/>
      <c r="AM241" s="58" t="str" cm="1">
        <f>IFERROR(IF(ISBLANK($A241),"",INDEX(Array_StationaryCharges,MATCH($A241,List_StationaryFuelMeters,0),ROUNDUP((COLUMN()+1)/3-2,0))),"")</f>
        <v/>
      </c>
      <c r="AN241" s="127"/>
      <c r="AO241" s="127"/>
      <c r="AP241" s="58" t="str" cm="1">
        <f>IFERROR(IF(ISBLANK($A241),"",INDEX(Array_StationaryCharges,MATCH($A241,List_StationaryFuelMeters,0),ROUNDUP((COLUMN()+1)/3-2,0))),"")</f>
        <v/>
      </c>
      <c r="AQ241" s="127"/>
      <c r="AR241" s="127"/>
      <c r="AS241" s="58" t="str" cm="1">
        <f>IFERROR(IF(ISBLANK($A241),"",INDEX(Array_StationaryCharges,MATCH($A241,List_StationaryFuelMeters,0),ROUNDUP((COLUMN()+1)/3-2,0))),"")</f>
        <v/>
      </c>
      <c r="AT241" s="127"/>
      <c r="AU241" s="127"/>
      <c r="AV241" s="58" t="str" cm="1">
        <f>IFERROR(IF(ISBLANK($A241),"",INDEX(Array_StationaryCharges,MATCH($A241,List_StationaryFuelMeters,0),ROUNDUP((COLUMN()+1)/3-2,0))),"")</f>
        <v/>
      </c>
      <c r="AW241" s="127"/>
      <c r="AX241" s="127"/>
    </row>
    <row r="242" spans="1:50" x14ac:dyDescent="0.3">
      <c r="A242" s="126"/>
      <c r="B242" s="133"/>
      <c r="C242" s="127"/>
      <c r="D242" s="138"/>
      <c r="E242" s="138"/>
      <c r="F242" s="58" t="str" cm="1">
        <f>IFERROR(IF(ISBLANK($A242),"",INDEX(Array_StationaryCharges,MATCH($A242,List_StationaryFuelMeters,0),ROUNDUP((COLUMN()+1)/3-2,0))),"")</f>
        <v/>
      </c>
      <c r="G242" s="127"/>
      <c r="H242" s="127"/>
      <c r="I242" s="58" t="str" cm="1">
        <f>IFERROR(IF(ISBLANK($A242),"",INDEX(Array_StationaryCharges,MATCH($A242,List_StationaryFuelMeters,0),ROUNDUP((COLUMN()+1)/3-2,0))),"")</f>
        <v/>
      </c>
      <c r="J242" s="127"/>
      <c r="K242" s="127"/>
      <c r="L242" s="58" t="str" cm="1">
        <f>IFERROR(IF(ISBLANK($A242),"",INDEX(Array_StationaryCharges,MATCH($A242,List_StationaryFuelMeters,0),ROUNDUP((COLUMN()+1)/3-2,0))),"")</f>
        <v/>
      </c>
      <c r="M242" s="127"/>
      <c r="N242" s="127"/>
      <c r="O242" s="58" t="str" cm="1">
        <f>IFERROR(IF(ISBLANK($A242),"",INDEX(Array_StationaryCharges,MATCH($A242,List_StationaryFuelMeters,0),ROUNDUP((COLUMN()+1)/3-2,0))),"")</f>
        <v/>
      </c>
      <c r="P242" s="127"/>
      <c r="Q242" s="127"/>
      <c r="R242" s="58" t="str" cm="1">
        <f>IFERROR(IF(ISBLANK($A242),"",INDEX(Array_StationaryCharges,MATCH($A242,List_StationaryFuelMeters,0),ROUNDUP((COLUMN()+1)/3-2,0))),"")</f>
        <v/>
      </c>
      <c r="S242" s="127"/>
      <c r="T242" s="127"/>
      <c r="U242" s="58" t="str" cm="1">
        <f>IFERROR(IF(ISBLANK($A242),"",INDEX(Array_StationaryCharges,MATCH($A242,List_StationaryFuelMeters,0),ROUNDUP((COLUMN()+1)/3-2,0))),"")</f>
        <v/>
      </c>
      <c r="V242" s="127"/>
      <c r="W242" s="127"/>
      <c r="X242" s="58" t="str" cm="1">
        <f>IFERROR(IF(ISBLANK($A242),"",INDEX(Array_StationaryCharges,MATCH($A242,List_StationaryFuelMeters,0),ROUNDUP((COLUMN()+1)/3-2,0))),"")</f>
        <v/>
      </c>
      <c r="Y242" s="127"/>
      <c r="Z242" s="127"/>
      <c r="AA242" s="58" t="str" cm="1">
        <f>IFERROR(IF(ISBLANK($A242),"",INDEX(Array_StationaryCharges,MATCH($A242,List_StationaryFuelMeters,0),ROUNDUP((COLUMN()+1)/3-2,0))),"")</f>
        <v/>
      </c>
      <c r="AB242" s="127"/>
      <c r="AC242" s="127"/>
      <c r="AD242" s="58" t="str" cm="1">
        <f>IFERROR(IF(ISBLANK($A242),"",INDEX(Array_StationaryCharges,MATCH($A242,List_StationaryFuelMeters,0),ROUNDUP((COLUMN()+1)/3-2,0))),"")</f>
        <v/>
      </c>
      <c r="AE242" s="127"/>
      <c r="AF242" s="127"/>
      <c r="AG242" s="58" t="str" cm="1">
        <f>IFERROR(IF(ISBLANK($A242),"",INDEX(Array_StationaryCharges,MATCH($A242,List_StationaryFuelMeters,0),ROUNDUP((COLUMN()+1)/3-2,0))),"")</f>
        <v/>
      </c>
      <c r="AH242" s="127"/>
      <c r="AI242" s="127"/>
      <c r="AJ242" s="58" t="str" cm="1">
        <f>IFERROR(IF(ISBLANK($A242),"",INDEX(Array_StationaryCharges,MATCH($A242,List_StationaryFuelMeters,0),ROUNDUP((COLUMN()+1)/3-2,0))),"")</f>
        <v/>
      </c>
      <c r="AK242" s="127"/>
      <c r="AL242" s="127"/>
      <c r="AM242" s="58" t="str" cm="1">
        <f>IFERROR(IF(ISBLANK($A242),"",INDEX(Array_StationaryCharges,MATCH($A242,List_StationaryFuelMeters,0),ROUNDUP((COLUMN()+1)/3-2,0))),"")</f>
        <v/>
      </c>
      <c r="AN242" s="127"/>
      <c r="AO242" s="127"/>
      <c r="AP242" s="58" t="str" cm="1">
        <f>IFERROR(IF(ISBLANK($A242),"",INDEX(Array_StationaryCharges,MATCH($A242,List_StationaryFuelMeters,0),ROUNDUP((COLUMN()+1)/3-2,0))),"")</f>
        <v/>
      </c>
      <c r="AQ242" s="127"/>
      <c r="AR242" s="127"/>
      <c r="AS242" s="58" t="str" cm="1">
        <f>IFERROR(IF(ISBLANK($A242),"",INDEX(Array_StationaryCharges,MATCH($A242,List_StationaryFuelMeters,0),ROUNDUP((COLUMN()+1)/3-2,0))),"")</f>
        <v/>
      </c>
      <c r="AT242" s="127"/>
      <c r="AU242" s="127"/>
      <c r="AV242" s="58" t="str" cm="1">
        <f>IFERROR(IF(ISBLANK($A242),"",INDEX(Array_StationaryCharges,MATCH($A242,List_StationaryFuelMeters,0),ROUNDUP((COLUMN()+1)/3-2,0))),"")</f>
        <v/>
      </c>
      <c r="AW242" s="127"/>
      <c r="AX242" s="127"/>
    </row>
    <row r="243" spans="1:50" x14ac:dyDescent="0.3">
      <c r="A243" s="126"/>
      <c r="B243" s="133"/>
      <c r="C243" s="127"/>
      <c r="D243" s="138"/>
      <c r="E243" s="138"/>
      <c r="F243" s="58" t="str" cm="1">
        <f>IFERROR(IF(ISBLANK($A243),"",INDEX(Array_StationaryCharges,MATCH($A243,List_StationaryFuelMeters,0),ROUNDUP((COLUMN()+1)/3-2,0))),"")</f>
        <v/>
      </c>
      <c r="G243" s="127"/>
      <c r="H243" s="127"/>
      <c r="I243" s="58" t="str" cm="1">
        <f>IFERROR(IF(ISBLANK($A243),"",INDEX(Array_StationaryCharges,MATCH($A243,List_StationaryFuelMeters,0),ROUNDUP((COLUMN()+1)/3-2,0))),"")</f>
        <v/>
      </c>
      <c r="J243" s="127"/>
      <c r="K243" s="127"/>
      <c r="L243" s="58" t="str" cm="1">
        <f>IFERROR(IF(ISBLANK($A243),"",INDEX(Array_StationaryCharges,MATCH($A243,List_StationaryFuelMeters,0),ROUNDUP((COLUMN()+1)/3-2,0))),"")</f>
        <v/>
      </c>
      <c r="M243" s="127"/>
      <c r="N243" s="127"/>
      <c r="O243" s="58" t="str" cm="1">
        <f>IFERROR(IF(ISBLANK($A243),"",INDEX(Array_StationaryCharges,MATCH($A243,List_StationaryFuelMeters,0),ROUNDUP((COLUMN()+1)/3-2,0))),"")</f>
        <v/>
      </c>
      <c r="P243" s="127"/>
      <c r="Q243" s="127"/>
      <c r="R243" s="58" t="str" cm="1">
        <f>IFERROR(IF(ISBLANK($A243),"",INDEX(Array_StationaryCharges,MATCH($A243,List_StationaryFuelMeters,0),ROUNDUP((COLUMN()+1)/3-2,0))),"")</f>
        <v/>
      </c>
      <c r="S243" s="127"/>
      <c r="T243" s="127"/>
      <c r="U243" s="58" t="str" cm="1">
        <f>IFERROR(IF(ISBLANK($A243),"",INDEX(Array_StationaryCharges,MATCH($A243,List_StationaryFuelMeters,0),ROUNDUP((COLUMN()+1)/3-2,0))),"")</f>
        <v/>
      </c>
      <c r="V243" s="127"/>
      <c r="W243" s="127"/>
      <c r="X243" s="58" t="str" cm="1">
        <f>IFERROR(IF(ISBLANK($A243),"",INDEX(Array_StationaryCharges,MATCH($A243,List_StationaryFuelMeters,0),ROUNDUP((COLUMN()+1)/3-2,0))),"")</f>
        <v/>
      </c>
      <c r="Y243" s="127"/>
      <c r="Z243" s="127"/>
      <c r="AA243" s="58" t="str" cm="1">
        <f>IFERROR(IF(ISBLANK($A243),"",INDEX(Array_StationaryCharges,MATCH($A243,List_StationaryFuelMeters,0),ROUNDUP((COLUMN()+1)/3-2,0))),"")</f>
        <v/>
      </c>
      <c r="AB243" s="127"/>
      <c r="AC243" s="127"/>
      <c r="AD243" s="58" t="str" cm="1">
        <f>IFERROR(IF(ISBLANK($A243),"",INDEX(Array_StationaryCharges,MATCH($A243,List_StationaryFuelMeters,0),ROUNDUP((COLUMN()+1)/3-2,0))),"")</f>
        <v/>
      </c>
      <c r="AE243" s="127"/>
      <c r="AF243" s="127"/>
      <c r="AG243" s="58" t="str" cm="1">
        <f>IFERROR(IF(ISBLANK($A243),"",INDEX(Array_StationaryCharges,MATCH($A243,List_StationaryFuelMeters,0),ROUNDUP((COLUMN()+1)/3-2,0))),"")</f>
        <v/>
      </c>
      <c r="AH243" s="127"/>
      <c r="AI243" s="127"/>
      <c r="AJ243" s="58" t="str" cm="1">
        <f>IFERROR(IF(ISBLANK($A243),"",INDEX(Array_StationaryCharges,MATCH($A243,List_StationaryFuelMeters,0),ROUNDUP((COLUMN()+1)/3-2,0))),"")</f>
        <v/>
      </c>
      <c r="AK243" s="127"/>
      <c r="AL243" s="127"/>
      <c r="AM243" s="58" t="str" cm="1">
        <f>IFERROR(IF(ISBLANK($A243),"",INDEX(Array_StationaryCharges,MATCH($A243,List_StationaryFuelMeters,0),ROUNDUP((COLUMN()+1)/3-2,0))),"")</f>
        <v/>
      </c>
      <c r="AN243" s="127"/>
      <c r="AO243" s="127"/>
      <c r="AP243" s="58" t="str" cm="1">
        <f>IFERROR(IF(ISBLANK($A243),"",INDEX(Array_StationaryCharges,MATCH($A243,List_StationaryFuelMeters,0),ROUNDUP((COLUMN()+1)/3-2,0))),"")</f>
        <v/>
      </c>
      <c r="AQ243" s="127"/>
      <c r="AR243" s="127"/>
      <c r="AS243" s="58" t="str" cm="1">
        <f>IFERROR(IF(ISBLANK($A243),"",INDEX(Array_StationaryCharges,MATCH($A243,List_StationaryFuelMeters,0),ROUNDUP((COLUMN()+1)/3-2,0))),"")</f>
        <v/>
      </c>
      <c r="AT243" s="127"/>
      <c r="AU243" s="127"/>
      <c r="AV243" s="58" t="str" cm="1">
        <f>IFERROR(IF(ISBLANK($A243),"",INDEX(Array_StationaryCharges,MATCH($A243,List_StationaryFuelMeters,0),ROUNDUP((COLUMN()+1)/3-2,0))),"")</f>
        <v/>
      </c>
      <c r="AW243" s="127"/>
      <c r="AX243" s="127"/>
    </row>
    <row r="244" spans="1:50" x14ac:dyDescent="0.3">
      <c r="A244" s="126"/>
      <c r="B244" s="133"/>
      <c r="C244" s="127"/>
      <c r="D244" s="138"/>
      <c r="E244" s="138"/>
      <c r="F244" s="58" t="str" cm="1">
        <f>IFERROR(IF(ISBLANK($A244),"",INDEX(Array_StationaryCharges,MATCH($A244,List_StationaryFuelMeters,0),ROUNDUP((COLUMN()+1)/3-2,0))),"")</f>
        <v/>
      </c>
      <c r="G244" s="127"/>
      <c r="H244" s="127"/>
      <c r="I244" s="58" t="str" cm="1">
        <f>IFERROR(IF(ISBLANK($A244),"",INDEX(Array_StationaryCharges,MATCH($A244,List_StationaryFuelMeters,0),ROUNDUP((COLUMN()+1)/3-2,0))),"")</f>
        <v/>
      </c>
      <c r="J244" s="127"/>
      <c r="K244" s="127"/>
      <c r="L244" s="58" t="str" cm="1">
        <f>IFERROR(IF(ISBLANK($A244),"",INDEX(Array_StationaryCharges,MATCH($A244,List_StationaryFuelMeters,0),ROUNDUP((COLUMN()+1)/3-2,0))),"")</f>
        <v/>
      </c>
      <c r="M244" s="127"/>
      <c r="N244" s="127"/>
      <c r="O244" s="58" t="str" cm="1">
        <f>IFERROR(IF(ISBLANK($A244),"",INDEX(Array_StationaryCharges,MATCH($A244,List_StationaryFuelMeters,0),ROUNDUP((COLUMN()+1)/3-2,0))),"")</f>
        <v/>
      </c>
      <c r="P244" s="127"/>
      <c r="Q244" s="127"/>
      <c r="R244" s="58" t="str" cm="1">
        <f>IFERROR(IF(ISBLANK($A244),"",INDEX(Array_StationaryCharges,MATCH($A244,List_StationaryFuelMeters,0),ROUNDUP((COLUMN()+1)/3-2,0))),"")</f>
        <v/>
      </c>
      <c r="S244" s="127"/>
      <c r="T244" s="127"/>
      <c r="U244" s="58" t="str" cm="1">
        <f>IFERROR(IF(ISBLANK($A244),"",INDEX(Array_StationaryCharges,MATCH($A244,List_StationaryFuelMeters,0),ROUNDUP((COLUMN()+1)/3-2,0))),"")</f>
        <v/>
      </c>
      <c r="V244" s="127"/>
      <c r="W244" s="127"/>
      <c r="X244" s="58" t="str" cm="1">
        <f>IFERROR(IF(ISBLANK($A244),"",INDEX(Array_StationaryCharges,MATCH($A244,List_StationaryFuelMeters,0),ROUNDUP((COLUMN()+1)/3-2,0))),"")</f>
        <v/>
      </c>
      <c r="Y244" s="127"/>
      <c r="Z244" s="127"/>
      <c r="AA244" s="58" t="str" cm="1">
        <f>IFERROR(IF(ISBLANK($A244),"",INDEX(Array_StationaryCharges,MATCH($A244,List_StationaryFuelMeters,0),ROUNDUP((COLUMN()+1)/3-2,0))),"")</f>
        <v/>
      </c>
      <c r="AB244" s="127"/>
      <c r="AC244" s="127"/>
      <c r="AD244" s="58" t="str" cm="1">
        <f>IFERROR(IF(ISBLANK($A244),"",INDEX(Array_StationaryCharges,MATCH($A244,List_StationaryFuelMeters,0),ROUNDUP((COLUMN()+1)/3-2,0))),"")</f>
        <v/>
      </c>
      <c r="AE244" s="127"/>
      <c r="AF244" s="127"/>
      <c r="AG244" s="58" t="str" cm="1">
        <f>IFERROR(IF(ISBLANK($A244),"",INDEX(Array_StationaryCharges,MATCH($A244,List_StationaryFuelMeters,0),ROUNDUP((COLUMN()+1)/3-2,0))),"")</f>
        <v/>
      </c>
      <c r="AH244" s="127"/>
      <c r="AI244" s="127"/>
      <c r="AJ244" s="58" t="str" cm="1">
        <f>IFERROR(IF(ISBLANK($A244),"",INDEX(Array_StationaryCharges,MATCH($A244,List_StationaryFuelMeters,0),ROUNDUP((COLUMN()+1)/3-2,0))),"")</f>
        <v/>
      </c>
      <c r="AK244" s="127"/>
      <c r="AL244" s="127"/>
      <c r="AM244" s="58" t="str" cm="1">
        <f>IFERROR(IF(ISBLANK($A244),"",INDEX(Array_StationaryCharges,MATCH($A244,List_StationaryFuelMeters,0),ROUNDUP((COLUMN()+1)/3-2,0))),"")</f>
        <v/>
      </c>
      <c r="AN244" s="127"/>
      <c r="AO244" s="127"/>
      <c r="AP244" s="58" t="str" cm="1">
        <f>IFERROR(IF(ISBLANK($A244),"",INDEX(Array_StationaryCharges,MATCH($A244,List_StationaryFuelMeters,0),ROUNDUP((COLUMN()+1)/3-2,0))),"")</f>
        <v/>
      </c>
      <c r="AQ244" s="127"/>
      <c r="AR244" s="127"/>
      <c r="AS244" s="58" t="str" cm="1">
        <f>IFERROR(IF(ISBLANK($A244),"",INDEX(Array_StationaryCharges,MATCH($A244,List_StationaryFuelMeters,0),ROUNDUP((COLUMN()+1)/3-2,0))),"")</f>
        <v/>
      </c>
      <c r="AT244" s="127"/>
      <c r="AU244" s="127"/>
      <c r="AV244" s="58" t="str" cm="1">
        <f>IFERROR(IF(ISBLANK($A244),"",INDEX(Array_StationaryCharges,MATCH($A244,List_StationaryFuelMeters,0),ROUNDUP((COLUMN()+1)/3-2,0))),"")</f>
        <v/>
      </c>
      <c r="AW244" s="127"/>
      <c r="AX244" s="127"/>
    </row>
    <row r="245" spans="1:50" x14ac:dyDescent="0.3">
      <c r="A245" s="126"/>
      <c r="B245" s="133"/>
      <c r="C245" s="127"/>
      <c r="D245" s="138"/>
      <c r="E245" s="138"/>
      <c r="F245" s="58" t="str" cm="1">
        <f>IFERROR(IF(ISBLANK($A245),"",INDEX(Array_StationaryCharges,MATCH($A245,List_StationaryFuelMeters,0),ROUNDUP((COLUMN()+1)/3-2,0))),"")</f>
        <v/>
      </c>
      <c r="G245" s="127"/>
      <c r="H245" s="127"/>
      <c r="I245" s="58" t="str" cm="1">
        <f>IFERROR(IF(ISBLANK($A245),"",INDEX(Array_StationaryCharges,MATCH($A245,List_StationaryFuelMeters,0),ROUNDUP((COLUMN()+1)/3-2,0))),"")</f>
        <v/>
      </c>
      <c r="J245" s="127"/>
      <c r="K245" s="127"/>
      <c r="L245" s="58" t="str" cm="1">
        <f>IFERROR(IF(ISBLANK($A245),"",INDEX(Array_StationaryCharges,MATCH($A245,List_StationaryFuelMeters,0),ROUNDUP((COLUMN()+1)/3-2,0))),"")</f>
        <v/>
      </c>
      <c r="M245" s="127"/>
      <c r="N245" s="127"/>
      <c r="O245" s="58" t="str" cm="1">
        <f>IFERROR(IF(ISBLANK($A245),"",INDEX(Array_StationaryCharges,MATCH($A245,List_StationaryFuelMeters,0),ROUNDUP((COLUMN()+1)/3-2,0))),"")</f>
        <v/>
      </c>
      <c r="P245" s="127"/>
      <c r="Q245" s="127"/>
      <c r="R245" s="58" t="str" cm="1">
        <f>IFERROR(IF(ISBLANK($A245),"",INDEX(Array_StationaryCharges,MATCH($A245,List_StationaryFuelMeters,0),ROUNDUP((COLUMN()+1)/3-2,0))),"")</f>
        <v/>
      </c>
      <c r="S245" s="127"/>
      <c r="T245" s="127"/>
      <c r="U245" s="58" t="str" cm="1">
        <f>IFERROR(IF(ISBLANK($A245),"",INDEX(Array_StationaryCharges,MATCH($A245,List_StationaryFuelMeters,0),ROUNDUP((COLUMN()+1)/3-2,0))),"")</f>
        <v/>
      </c>
      <c r="V245" s="127"/>
      <c r="W245" s="127"/>
      <c r="X245" s="58" t="str" cm="1">
        <f>IFERROR(IF(ISBLANK($A245),"",INDEX(Array_StationaryCharges,MATCH($A245,List_StationaryFuelMeters,0),ROUNDUP((COLUMN()+1)/3-2,0))),"")</f>
        <v/>
      </c>
      <c r="Y245" s="127"/>
      <c r="Z245" s="127"/>
      <c r="AA245" s="58" t="str" cm="1">
        <f>IFERROR(IF(ISBLANK($A245),"",INDEX(Array_StationaryCharges,MATCH($A245,List_StationaryFuelMeters,0),ROUNDUP((COLUMN()+1)/3-2,0))),"")</f>
        <v/>
      </c>
      <c r="AB245" s="127"/>
      <c r="AC245" s="127"/>
      <c r="AD245" s="58" t="str" cm="1">
        <f>IFERROR(IF(ISBLANK($A245),"",INDEX(Array_StationaryCharges,MATCH($A245,List_StationaryFuelMeters,0),ROUNDUP((COLUMN()+1)/3-2,0))),"")</f>
        <v/>
      </c>
      <c r="AE245" s="127"/>
      <c r="AF245" s="127"/>
      <c r="AG245" s="58" t="str" cm="1">
        <f>IFERROR(IF(ISBLANK($A245),"",INDEX(Array_StationaryCharges,MATCH($A245,List_StationaryFuelMeters,0),ROUNDUP((COLUMN()+1)/3-2,0))),"")</f>
        <v/>
      </c>
      <c r="AH245" s="127"/>
      <c r="AI245" s="127"/>
      <c r="AJ245" s="58" t="str" cm="1">
        <f>IFERROR(IF(ISBLANK($A245),"",INDEX(Array_StationaryCharges,MATCH($A245,List_StationaryFuelMeters,0),ROUNDUP((COLUMN()+1)/3-2,0))),"")</f>
        <v/>
      </c>
      <c r="AK245" s="127"/>
      <c r="AL245" s="127"/>
      <c r="AM245" s="58" t="str" cm="1">
        <f>IFERROR(IF(ISBLANK($A245),"",INDEX(Array_StationaryCharges,MATCH($A245,List_StationaryFuelMeters,0),ROUNDUP((COLUMN()+1)/3-2,0))),"")</f>
        <v/>
      </c>
      <c r="AN245" s="127"/>
      <c r="AO245" s="127"/>
      <c r="AP245" s="58" t="str" cm="1">
        <f>IFERROR(IF(ISBLANK($A245),"",INDEX(Array_StationaryCharges,MATCH($A245,List_StationaryFuelMeters,0),ROUNDUP((COLUMN()+1)/3-2,0))),"")</f>
        <v/>
      </c>
      <c r="AQ245" s="127"/>
      <c r="AR245" s="127"/>
      <c r="AS245" s="58" t="str" cm="1">
        <f>IFERROR(IF(ISBLANK($A245),"",INDEX(Array_StationaryCharges,MATCH($A245,List_StationaryFuelMeters,0),ROUNDUP((COLUMN()+1)/3-2,0))),"")</f>
        <v/>
      </c>
      <c r="AT245" s="127"/>
      <c r="AU245" s="127"/>
      <c r="AV245" s="58" t="str" cm="1">
        <f>IFERROR(IF(ISBLANK($A245),"",INDEX(Array_StationaryCharges,MATCH($A245,List_StationaryFuelMeters,0),ROUNDUP((COLUMN()+1)/3-2,0))),"")</f>
        <v/>
      </c>
      <c r="AW245" s="127"/>
      <c r="AX245" s="127"/>
    </row>
    <row r="246" spans="1:50" x14ac:dyDescent="0.3">
      <c r="A246" s="126"/>
      <c r="B246" s="133"/>
      <c r="C246" s="127"/>
      <c r="D246" s="138"/>
      <c r="E246" s="138"/>
      <c r="F246" s="58" t="str" cm="1">
        <f>IFERROR(IF(ISBLANK($A246),"",INDEX(Array_StationaryCharges,MATCH($A246,List_StationaryFuelMeters,0),ROUNDUP((COLUMN()+1)/3-2,0))),"")</f>
        <v/>
      </c>
      <c r="G246" s="127"/>
      <c r="H246" s="127"/>
      <c r="I246" s="58" t="str" cm="1">
        <f>IFERROR(IF(ISBLANK($A246),"",INDEX(Array_StationaryCharges,MATCH($A246,List_StationaryFuelMeters,0),ROUNDUP((COLUMN()+1)/3-2,0))),"")</f>
        <v/>
      </c>
      <c r="J246" s="127"/>
      <c r="K246" s="127"/>
      <c r="L246" s="58" t="str" cm="1">
        <f>IFERROR(IF(ISBLANK($A246),"",INDEX(Array_StationaryCharges,MATCH($A246,List_StationaryFuelMeters,0),ROUNDUP((COLUMN()+1)/3-2,0))),"")</f>
        <v/>
      </c>
      <c r="M246" s="127"/>
      <c r="N246" s="127"/>
      <c r="O246" s="58" t="str" cm="1">
        <f>IFERROR(IF(ISBLANK($A246),"",INDEX(Array_StationaryCharges,MATCH($A246,List_StationaryFuelMeters,0),ROUNDUP((COLUMN()+1)/3-2,0))),"")</f>
        <v/>
      </c>
      <c r="P246" s="127"/>
      <c r="Q246" s="127"/>
      <c r="R246" s="58" t="str" cm="1">
        <f>IFERROR(IF(ISBLANK($A246),"",INDEX(Array_StationaryCharges,MATCH($A246,List_StationaryFuelMeters,0),ROUNDUP((COLUMN()+1)/3-2,0))),"")</f>
        <v/>
      </c>
      <c r="S246" s="127"/>
      <c r="T246" s="127"/>
      <c r="U246" s="58" t="str" cm="1">
        <f>IFERROR(IF(ISBLANK($A246),"",INDEX(Array_StationaryCharges,MATCH($A246,List_StationaryFuelMeters,0),ROUNDUP((COLUMN()+1)/3-2,0))),"")</f>
        <v/>
      </c>
      <c r="V246" s="127"/>
      <c r="W246" s="127"/>
      <c r="X246" s="58" t="str" cm="1">
        <f>IFERROR(IF(ISBLANK($A246),"",INDEX(Array_StationaryCharges,MATCH($A246,List_StationaryFuelMeters,0),ROUNDUP((COLUMN()+1)/3-2,0))),"")</f>
        <v/>
      </c>
      <c r="Y246" s="127"/>
      <c r="Z246" s="127"/>
      <c r="AA246" s="58" t="str" cm="1">
        <f>IFERROR(IF(ISBLANK($A246),"",INDEX(Array_StationaryCharges,MATCH($A246,List_StationaryFuelMeters,0),ROUNDUP((COLUMN()+1)/3-2,0))),"")</f>
        <v/>
      </c>
      <c r="AB246" s="127"/>
      <c r="AC246" s="127"/>
      <c r="AD246" s="58" t="str" cm="1">
        <f>IFERROR(IF(ISBLANK($A246),"",INDEX(Array_StationaryCharges,MATCH($A246,List_StationaryFuelMeters,0),ROUNDUP((COLUMN()+1)/3-2,0))),"")</f>
        <v/>
      </c>
      <c r="AE246" s="127"/>
      <c r="AF246" s="127"/>
      <c r="AG246" s="58" t="str" cm="1">
        <f>IFERROR(IF(ISBLANK($A246),"",INDEX(Array_StationaryCharges,MATCH($A246,List_StationaryFuelMeters,0),ROUNDUP((COLUMN()+1)/3-2,0))),"")</f>
        <v/>
      </c>
      <c r="AH246" s="127"/>
      <c r="AI246" s="127"/>
      <c r="AJ246" s="58" t="str" cm="1">
        <f>IFERROR(IF(ISBLANK($A246),"",INDEX(Array_StationaryCharges,MATCH($A246,List_StationaryFuelMeters,0),ROUNDUP((COLUMN()+1)/3-2,0))),"")</f>
        <v/>
      </c>
      <c r="AK246" s="127"/>
      <c r="AL246" s="127"/>
      <c r="AM246" s="58" t="str" cm="1">
        <f>IFERROR(IF(ISBLANK($A246),"",INDEX(Array_StationaryCharges,MATCH($A246,List_StationaryFuelMeters,0),ROUNDUP((COLUMN()+1)/3-2,0))),"")</f>
        <v/>
      </c>
      <c r="AN246" s="127"/>
      <c r="AO246" s="127"/>
      <c r="AP246" s="58" t="str" cm="1">
        <f>IFERROR(IF(ISBLANK($A246),"",INDEX(Array_StationaryCharges,MATCH($A246,List_StationaryFuelMeters,0),ROUNDUP((COLUMN()+1)/3-2,0))),"")</f>
        <v/>
      </c>
      <c r="AQ246" s="127"/>
      <c r="AR246" s="127"/>
      <c r="AS246" s="58" t="str" cm="1">
        <f>IFERROR(IF(ISBLANK($A246),"",INDEX(Array_StationaryCharges,MATCH($A246,List_StationaryFuelMeters,0),ROUNDUP((COLUMN()+1)/3-2,0))),"")</f>
        <v/>
      </c>
      <c r="AT246" s="127"/>
      <c r="AU246" s="127"/>
      <c r="AV246" s="58" t="str" cm="1">
        <f>IFERROR(IF(ISBLANK($A246),"",INDEX(Array_StationaryCharges,MATCH($A246,List_StationaryFuelMeters,0),ROUNDUP((COLUMN()+1)/3-2,0))),"")</f>
        <v/>
      </c>
      <c r="AW246" s="127"/>
      <c r="AX246" s="127"/>
    </row>
    <row r="247" spans="1:50" x14ac:dyDescent="0.3">
      <c r="A247" s="126"/>
      <c r="B247" s="133"/>
      <c r="C247" s="127"/>
      <c r="D247" s="138"/>
      <c r="E247" s="138"/>
      <c r="F247" s="58" t="str" cm="1">
        <f>IFERROR(IF(ISBLANK($A247),"",INDEX(Array_StationaryCharges,MATCH($A247,List_StationaryFuelMeters,0),ROUNDUP((COLUMN()+1)/3-2,0))),"")</f>
        <v/>
      </c>
      <c r="G247" s="127"/>
      <c r="H247" s="127"/>
      <c r="I247" s="58" t="str" cm="1">
        <f>IFERROR(IF(ISBLANK($A247),"",INDEX(Array_StationaryCharges,MATCH($A247,List_StationaryFuelMeters,0),ROUNDUP((COLUMN()+1)/3-2,0))),"")</f>
        <v/>
      </c>
      <c r="J247" s="127"/>
      <c r="K247" s="127"/>
      <c r="L247" s="58" t="str" cm="1">
        <f>IFERROR(IF(ISBLANK($A247),"",INDEX(Array_StationaryCharges,MATCH($A247,List_StationaryFuelMeters,0),ROUNDUP((COLUMN()+1)/3-2,0))),"")</f>
        <v/>
      </c>
      <c r="M247" s="127"/>
      <c r="N247" s="127"/>
      <c r="O247" s="58" t="str" cm="1">
        <f>IFERROR(IF(ISBLANK($A247),"",INDEX(Array_StationaryCharges,MATCH($A247,List_StationaryFuelMeters,0),ROUNDUP((COLUMN()+1)/3-2,0))),"")</f>
        <v/>
      </c>
      <c r="P247" s="127"/>
      <c r="Q247" s="127"/>
      <c r="R247" s="58" t="str" cm="1">
        <f>IFERROR(IF(ISBLANK($A247),"",INDEX(Array_StationaryCharges,MATCH($A247,List_StationaryFuelMeters,0),ROUNDUP((COLUMN()+1)/3-2,0))),"")</f>
        <v/>
      </c>
      <c r="S247" s="127"/>
      <c r="T247" s="127"/>
      <c r="U247" s="58" t="str" cm="1">
        <f>IFERROR(IF(ISBLANK($A247),"",INDEX(Array_StationaryCharges,MATCH($A247,List_StationaryFuelMeters,0),ROUNDUP((COLUMN()+1)/3-2,0))),"")</f>
        <v/>
      </c>
      <c r="V247" s="127"/>
      <c r="W247" s="127"/>
      <c r="X247" s="58" t="str" cm="1">
        <f>IFERROR(IF(ISBLANK($A247),"",INDEX(Array_StationaryCharges,MATCH($A247,List_StationaryFuelMeters,0),ROUNDUP((COLUMN()+1)/3-2,0))),"")</f>
        <v/>
      </c>
      <c r="Y247" s="127"/>
      <c r="Z247" s="127"/>
      <c r="AA247" s="58" t="str" cm="1">
        <f>IFERROR(IF(ISBLANK($A247),"",INDEX(Array_StationaryCharges,MATCH($A247,List_StationaryFuelMeters,0),ROUNDUP((COLUMN()+1)/3-2,0))),"")</f>
        <v/>
      </c>
      <c r="AB247" s="127"/>
      <c r="AC247" s="127"/>
      <c r="AD247" s="58" t="str" cm="1">
        <f>IFERROR(IF(ISBLANK($A247),"",INDEX(Array_StationaryCharges,MATCH($A247,List_StationaryFuelMeters,0),ROUNDUP((COLUMN()+1)/3-2,0))),"")</f>
        <v/>
      </c>
      <c r="AE247" s="127"/>
      <c r="AF247" s="127"/>
      <c r="AG247" s="58" t="str" cm="1">
        <f>IFERROR(IF(ISBLANK($A247),"",INDEX(Array_StationaryCharges,MATCH($A247,List_StationaryFuelMeters,0),ROUNDUP((COLUMN()+1)/3-2,0))),"")</f>
        <v/>
      </c>
      <c r="AH247" s="127"/>
      <c r="AI247" s="127"/>
      <c r="AJ247" s="58" t="str" cm="1">
        <f>IFERROR(IF(ISBLANK($A247),"",INDEX(Array_StationaryCharges,MATCH($A247,List_StationaryFuelMeters,0),ROUNDUP((COLUMN()+1)/3-2,0))),"")</f>
        <v/>
      </c>
      <c r="AK247" s="127"/>
      <c r="AL247" s="127"/>
      <c r="AM247" s="58" t="str" cm="1">
        <f>IFERROR(IF(ISBLANK($A247),"",INDEX(Array_StationaryCharges,MATCH($A247,List_StationaryFuelMeters,0),ROUNDUP((COLUMN()+1)/3-2,0))),"")</f>
        <v/>
      </c>
      <c r="AN247" s="127"/>
      <c r="AO247" s="127"/>
      <c r="AP247" s="58" t="str" cm="1">
        <f>IFERROR(IF(ISBLANK($A247),"",INDEX(Array_StationaryCharges,MATCH($A247,List_StationaryFuelMeters,0),ROUNDUP((COLUMN()+1)/3-2,0))),"")</f>
        <v/>
      </c>
      <c r="AQ247" s="127"/>
      <c r="AR247" s="127"/>
      <c r="AS247" s="58" t="str" cm="1">
        <f>IFERROR(IF(ISBLANK($A247),"",INDEX(Array_StationaryCharges,MATCH($A247,List_StationaryFuelMeters,0),ROUNDUP((COLUMN()+1)/3-2,0))),"")</f>
        <v/>
      </c>
      <c r="AT247" s="127"/>
      <c r="AU247" s="127"/>
      <c r="AV247" s="58" t="str" cm="1">
        <f>IFERROR(IF(ISBLANK($A247),"",INDEX(Array_StationaryCharges,MATCH($A247,List_StationaryFuelMeters,0),ROUNDUP((COLUMN()+1)/3-2,0))),"")</f>
        <v/>
      </c>
      <c r="AW247" s="127"/>
      <c r="AX247" s="127"/>
    </row>
    <row r="248" spans="1:50" x14ac:dyDescent="0.3">
      <c r="A248" s="126"/>
      <c r="B248" s="133"/>
      <c r="C248" s="127"/>
      <c r="D248" s="138"/>
      <c r="E248" s="138"/>
      <c r="F248" s="58" t="str" cm="1">
        <f>IFERROR(IF(ISBLANK($A248),"",INDEX(Array_StationaryCharges,MATCH($A248,List_StationaryFuelMeters,0),ROUNDUP((COLUMN()+1)/3-2,0))),"")</f>
        <v/>
      </c>
      <c r="G248" s="127"/>
      <c r="H248" s="127"/>
      <c r="I248" s="58" t="str" cm="1">
        <f>IFERROR(IF(ISBLANK($A248),"",INDEX(Array_StationaryCharges,MATCH($A248,List_StationaryFuelMeters,0),ROUNDUP((COLUMN()+1)/3-2,0))),"")</f>
        <v/>
      </c>
      <c r="J248" s="127"/>
      <c r="K248" s="127"/>
      <c r="L248" s="58" t="str" cm="1">
        <f>IFERROR(IF(ISBLANK($A248),"",INDEX(Array_StationaryCharges,MATCH($A248,List_StationaryFuelMeters,0),ROUNDUP((COLUMN()+1)/3-2,0))),"")</f>
        <v/>
      </c>
      <c r="M248" s="127"/>
      <c r="N248" s="127"/>
      <c r="O248" s="58" t="str" cm="1">
        <f>IFERROR(IF(ISBLANK($A248),"",INDEX(Array_StationaryCharges,MATCH($A248,List_StationaryFuelMeters,0),ROUNDUP((COLUMN()+1)/3-2,0))),"")</f>
        <v/>
      </c>
      <c r="P248" s="127"/>
      <c r="Q248" s="127"/>
      <c r="R248" s="58" t="str" cm="1">
        <f>IFERROR(IF(ISBLANK($A248),"",INDEX(Array_StationaryCharges,MATCH($A248,List_StationaryFuelMeters,0),ROUNDUP((COLUMN()+1)/3-2,0))),"")</f>
        <v/>
      </c>
      <c r="S248" s="127"/>
      <c r="T248" s="127"/>
      <c r="U248" s="58" t="str" cm="1">
        <f>IFERROR(IF(ISBLANK($A248),"",INDEX(Array_StationaryCharges,MATCH($A248,List_StationaryFuelMeters,0),ROUNDUP((COLUMN()+1)/3-2,0))),"")</f>
        <v/>
      </c>
      <c r="V248" s="127"/>
      <c r="W248" s="127"/>
      <c r="X248" s="58" t="str" cm="1">
        <f>IFERROR(IF(ISBLANK($A248),"",INDEX(Array_StationaryCharges,MATCH($A248,List_StationaryFuelMeters,0),ROUNDUP((COLUMN()+1)/3-2,0))),"")</f>
        <v/>
      </c>
      <c r="Y248" s="127"/>
      <c r="Z248" s="127"/>
      <c r="AA248" s="58" t="str" cm="1">
        <f>IFERROR(IF(ISBLANK($A248),"",INDEX(Array_StationaryCharges,MATCH($A248,List_StationaryFuelMeters,0),ROUNDUP((COLUMN()+1)/3-2,0))),"")</f>
        <v/>
      </c>
      <c r="AB248" s="127"/>
      <c r="AC248" s="127"/>
      <c r="AD248" s="58" t="str" cm="1">
        <f>IFERROR(IF(ISBLANK($A248),"",INDEX(Array_StationaryCharges,MATCH($A248,List_StationaryFuelMeters,0),ROUNDUP((COLUMN()+1)/3-2,0))),"")</f>
        <v/>
      </c>
      <c r="AE248" s="127"/>
      <c r="AF248" s="127"/>
      <c r="AG248" s="58" t="str" cm="1">
        <f>IFERROR(IF(ISBLANK($A248),"",INDEX(Array_StationaryCharges,MATCH($A248,List_StationaryFuelMeters,0),ROUNDUP((COLUMN()+1)/3-2,0))),"")</f>
        <v/>
      </c>
      <c r="AH248" s="127"/>
      <c r="AI248" s="127"/>
      <c r="AJ248" s="58" t="str" cm="1">
        <f>IFERROR(IF(ISBLANK($A248),"",INDEX(Array_StationaryCharges,MATCH($A248,List_StationaryFuelMeters,0),ROUNDUP((COLUMN()+1)/3-2,0))),"")</f>
        <v/>
      </c>
      <c r="AK248" s="127"/>
      <c r="AL248" s="127"/>
      <c r="AM248" s="58" t="str" cm="1">
        <f>IFERROR(IF(ISBLANK($A248),"",INDEX(Array_StationaryCharges,MATCH($A248,List_StationaryFuelMeters,0),ROUNDUP((COLUMN()+1)/3-2,0))),"")</f>
        <v/>
      </c>
      <c r="AN248" s="127"/>
      <c r="AO248" s="127"/>
      <c r="AP248" s="58" t="str" cm="1">
        <f>IFERROR(IF(ISBLANK($A248),"",INDEX(Array_StationaryCharges,MATCH($A248,List_StationaryFuelMeters,0),ROUNDUP((COLUMN()+1)/3-2,0))),"")</f>
        <v/>
      </c>
      <c r="AQ248" s="127"/>
      <c r="AR248" s="127"/>
      <c r="AS248" s="58" t="str" cm="1">
        <f>IFERROR(IF(ISBLANK($A248),"",INDEX(Array_StationaryCharges,MATCH($A248,List_StationaryFuelMeters,0),ROUNDUP((COLUMN()+1)/3-2,0))),"")</f>
        <v/>
      </c>
      <c r="AT248" s="127"/>
      <c r="AU248" s="127"/>
      <c r="AV248" s="58" t="str" cm="1">
        <f>IFERROR(IF(ISBLANK($A248),"",INDEX(Array_StationaryCharges,MATCH($A248,List_StationaryFuelMeters,0),ROUNDUP((COLUMN()+1)/3-2,0))),"")</f>
        <v/>
      </c>
      <c r="AW248" s="127"/>
      <c r="AX248" s="127"/>
    </row>
    <row r="249" spans="1:50" x14ac:dyDescent="0.3">
      <c r="A249" s="126"/>
      <c r="B249" s="133"/>
      <c r="C249" s="127"/>
      <c r="D249" s="138"/>
      <c r="E249" s="138"/>
      <c r="F249" s="58" t="str" cm="1">
        <f>IFERROR(IF(ISBLANK($A249),"",INDEX(Array_StationaryCharges,MATCH($A249,List_StationaryFuelMeters,0),ROUNDUP((COLUMN()+1)/3-2,0))),"")</f>
        <v/>
      </c>
      <c r="G249" s="127"/>
      <c r="H249" s="127"/>
      <c r="I249" s="58" t="str" cm="1">
        <f>IFERROR(IF(ISBLANK($A249),"",INDEX(Array_StationaryCharges,MATCH($A249,List_StationaryFuelMeters,0),ROUNDUP((COLUMN()+1)/3-2,0))),"")</f>
        <v/>
      </c>
      <c r="J249" s="127"/>
      <c r="K249" s="127"/>
      <c r="L249" s="58" t="str" cm="1">
        <f>IFERROR(IF(ISBLANK($A249),"",INDEX(Array_StationaryCharges,MATCH($A249,List_StationaryFuelMeters,0),ROUNDUP((COLUMN()+1)/3-2,0))),"")</f>
        <v/>
      </c>
      <c r="M249" s="127"/>
      <c r="N249" s="127"/>
      <c r="O249" s="58" t="str" cm="1">
        <f>IFERROR(IF(ISBLANK($A249),"",INDEX(Array_StationaryCharges,MATCH($A249,List_StationaryFuelMeters,0),ROUNDUP((COLUMN()+1)/3-2,0))),"")</f>
        <v/>
      </c>
      <c r="P249" s="127"/>
      <c r="Q249" s="127"/>
      <c r="R249" s="58" t="str" cm="1">
        <f>IFERROR(IF(ISBLANK($A249),"",INDEX(Array_StationaryCharges,MATCH($A249,List_StationaryFuelMeters,0),ROUNDUP((COLUMN()+1)/3-2,0))),"")</f>
        <v/>
      </c>
      <c r="S249" s="127"/>
      <c r="T249" s="127"/>
      <c r="U249" s="58" t="str" cm="1">
        <f>IFERROR(IF(ISBLANK($A249),"",INDEX(Array_StationaryCharges,MATCH($A249,List_StationaryFuelMeters,0),ROUNDUP((COLUMN()+1)/3-2,0))),"")</f>
        <v/>
      </c>
      <c r="V249" s="127"/>
      <c r="W249" s="127"/>
      <c r="X249" s="58" t="str" cm="1">
        <f>IFERROR(IF(ISBLANK($A249),"",INDEX(Array_StationaryCharges,MATCH($A249,List_StationaryFuelMeters,0),ROUNDUP((COLUMN()+1)/3-2,0))),"")</f>
        <v/>
      </c>
      <c r="Y249" s="127"/>
      <c r="Z249" s="127"/>
      <c r="AA249" s="58" t="str" cm="1">
        <f>IFERROR(IF(ISBLANK($A249),"",INDEX(Array_StationaryCharges,MATCH($A249,List_StationaryFuelMeters,0),ROUNDUP((COLUMN()+1)/3-2,0))),"")</f>
        <v/>
      </c>
      <c r="AB249" s="127"/>
      <c r="AC249" s="127"/>
      <c r="AD249" s="58" t="str" cm="1">
        <f>IFERROR(IF(ISBLANK($A249),"",INDEX(Array_StationaryCharges,MATCH($A249,List_StationaryFuelMeters,0),ROUNDUP((COLUMN()+1)/3-2,0))),"")</f>
        <v/>
      </c>
      <c r="AE249" s="127"/>
      <c r="AF249" s="127"/>
      <c r="AG249" s="58" t="str" cm="1">
        <f>IFERROR(IF(ISBLANK($A249),"",INDEX(Array_StationaryCharges,MATCH($A249,List_StationaryFuelMeters,0),ROUNDUP((COLUMN()+1)/3-2,0))),"")</f>
        <v/>
      </c>
      <c r="AH249" s="127"/>
      <c r="AI249" s="127"/>
      <c r="AJ249" s="58" t="str" cm="1">
        <f>IFERROR(IF(ISBLANK($A249),"",INDEX(Array_StationaryCharges,MATCH($A249,List_StationaryFuelMeters,0),ROUNDUP((COLUMN()+1)/3-2,0))),"")</f>
        <v/>
      </c>
      <c r="AK249" s="127"/>
      <c r="AL249" s="127"/>
      <c r="AM249" s="58" t="str" cm="1">
        <f>IFERROR(IF(ISBLANK($A249),"",INDEX(Array_StationaryCharges,MATCH($A249,List_StationaryFuelMeters,0),ROUNDUP((COLUMN()+1)/3-2,0))),"")</f>
        <v/>
      </c>
      <c r="AN249" s="127"/>
      <c r="AO249" s="127"/>
      <c r="AP249" s="58" t="str" cm="1">
        <f>IFERROR(IF(ISBLANK($A249),"",INDEX(Array_StationaryCharges,MATCH($A249,List_StationaryFuelMeters,0),ROUNDUP((COLUMN()+1)/3-2,0))),"")</f>
        <v/>
      </c>
      <c r="AQ249" s="127"/>
      <c r="AR249" s="127"/>
      <c r="AS249" s="58" t="str" cm="1">
        <f>IFERROR(IF(ISBLANK($A249),"",INDEX(Array_StationaryCharges,MATCH($A249,List_StationaryFuelMeters,0),ROUNDUP((COLUMN()+1)/3-2,0))),"")</f>
        <v/>
      </c>
      <c r="AT249" s="127"/>
      <c r="AU249" s="127"/>
      <c r="AV249" s="58" t="str" cm="1">
        <f>IFERROR(IF(ISBLANK($A249),"",INDEX(Array_StationaryCharges,MATCH($A249,List_StationaryFuelMeters,0),ROUNDUP((COLUMN()+1)/3-2,0))),"")</f>
        <v/>
      </c>
      <c r="AW249" s="127"/>
      <c r="AX249" s="127"/>
    </row>
    <row r="250" spans="1:50" x14ac:dyDescent="0.3">
      <c r="A250" s="126"/>
      <c r="B250" s="133"/>
      <c r="C250" s="127"/>
      <c r="D250" s="138"/>
      <c r="E250" s="138"/>
      <c r="F250" s="58" t="str" cm="1">
        <f>IFERROR(IF(ISBLANK($A250),"",INDEX(Array_StationaryCharges,MATCH($A250,List_StationaryFuelMeters,0),ROUNDUP((COLUMN()+1)/3-2,0))),"")</f>
        <v/>
      </c>
      <c r="G250" s="127"/>
      <c r="H250" s="127"/>
      <c r="I250" s="58" t="str" cm="1">
        <f>IFERROR(IF(ISBLANK($A250),"",INDEX(Array_StationaryCharges,MATCH($A250,List_StationaryFuelMeters,0),ROUNDUP((COLUMN()+1)/3-2,0))),"")</f>
        <v/>
      </c>
      <c r="J250" s="127"/>
      <c r="K250" s="127"/>
      <c r="L250" s="58" t="str" cm="1">
        <f>IFERROR(IF(ISBLANK($A250),"",INDEX(Array_StationaryCharges,MATCH($A250,List_StationaryFuelMeters,0),ROUNDUP((COLUMN()+1)/3-2,0))),"")</f>
        <v/>
      </c>
      <c r="M250" s="127"/>
      <c r="N250" s="127"/>
      <c r="O250" s="58" t="str" cm="1">
        <f>IFERROR(IF(ISBLANK($A250),"",INDEX(Array_StationaryCharges,MATCH($A250,List_StationaryFuelMeters,0),ROUNDUP((COLUMN()+1)/3-2,0))),"")</f>
        <v/>
      </c>
      <c r="P250" s="127"/>
      <c r="Q250" s="127"/>
      <c r="R250" s="58" t="str" cm="1">
        <f>IFERROR(IF(ISBLANK($A250),"",INDEX(Array_StationaryCharges,MATCH($A250,List_StationaryFuelMeters,0),ROUNDUP((COLUMN()+1)/3-2,0))),"")</f>
        <v/>
      </c>
      <c r="S250" s="127"/>
      <c r="T250" s="127"/>
      <c r="U250" s="58" t="str" cm="1">
        <f>IFERROR(IF(ISBLANK($A250),"",INDEX(Array_StationaryCharges,MATCH($A250,List_StationaryFuelMeters,0),ROUNDUP((COLUMN()+1)/3-2,0))),"")</f>
        <v/>
      </c>
      <c r="V250" s="127"/>
      <c r="W250" s="127"/>
      <c r="X250" s="58" t="str" cm="1">
        <f>IFERROR(IF(ISBLANK($A250),"",INDEX(Array_StationaryCharges,MATCH($A250,List_StationaryFuelMeters,0),ROUNDUP((COLUMN()+1)/3-2,0))),"")</f>
        <v/>
      </c>
      <c r="Y250" s="127"/>
      <c r="Z250" s="127"/>
      <c r="AA250" s="58" t="str" cm="1">
        <f>IFERROR(IF(ISBLANK($A250),"",INDEX(Array_StationaryCharges,MATCH($A250,List_StationaryFuelMeters,0),ROUNDUP((COLUMN()+1)/3-2,0))),"")</f>
        <v/>
      </c>
      <c r="AB250" s="127"/>
      <c r="AC250" s="127"/>
      <c r="AD250" s="58" t="str" cm="1">
        <f>IFERROR(IF(ISBLANK($A250),"",INDEX(Array_StationaryCharges,MATCH($A250,List_StationaryFuelMeters,0),ROUNDUP((COLUMN()+1)/3-2,0))),"")</f>
        <v/>
      </c>
      <c r="AE250" s="127"/>
      <c r="AF250" s="127"/>
      <c r="AG250" s="58" t="str" cm="1">
        <f>IFERROR(IF(ISBLANK($A250),"",INDEX(Array_StationaryCharges,MATCH($A250,List_StationaryFuelMeters,0),ROUNDUP((COLUMN()+1)/3-2,0))),"")</f>
        <v/>
      </c>
      <c r="AH250" s="127"/>
      <c r="AI250" s="127"/>
      <c r="AJ250" s="58" t="str" cm="1">
        <f>IFERROR(IF(ISBLANK($A250),"",INDEX(Array_StationaryCharges,MATCH($A250,List_StationaryFuelMeters,0),ROUNDUP((COLUMN()+1)/3-2,0))),"")</f>
        <v/>
      </c>
      <c r="AK250" s="127"/>
      <c r="AL250" s="127"/>
      <c r="AM250" s="58" t="str" cm="1">
        <f>IFERROR(IF(ISBLANK($A250),"",INDEX(Array_StationaryCharges,MATCH($A250,List_StationaryFuelMeters,0),ROUNDUP((COLUMN()+1)/3-2,0))),"")</f>
        <v/>
      </c>
      <c r="AN250" s="127"/>
      <c r="AO250" s="127"/>
      <c r="AP250" s="58" t="str" cm="1">
        <f>IFERROR(IF(ISBLANK($A250),"",INDEX(Array_StationaryCharges,MATCH($A250,List_StationaryFuelMeters,0),ROUNDUP((COLUMN()+1)/3-2,0))),"")</f>
        <v/>
      </c>
      <c r="AQ250" s="127"/>
      <c r="AR250" s="127"/>
      <c r="AS250" s="58" t="str" cm="1">
        <f>IFERROR(IF(ISBLANK($A250),"",INDEX(Array_StationaryCharges,MATCH($A250,List_StationaryFuelMeters,0),ROUNDUP((COLUMN()+1)/3-2,0))),"")</f>
        <v/>
      </c>
      <c r="AT250" s="127"/>
      <c r="AU250" s="127"/>
      <c r="AV250" s="58" t="str" cm="1">
        <f>IFERROR(IF(ISBLANK($A250),"",INDEX(Array_StationaryCharges,MATCH($A250,List_StationaryFuelMeters,0),ROUNDUP((COLUMN()+1)/3-2,0))),"")</f>
        <v/>
      </c>
      <c r="AW250" s="127"/>
      <c r="AX250" s="127"/>
    </row>
    <row r="251" spans="1:50" x14ac:dyDescent="0.3">
      <c r="A251" s="126"/>
      <c r="B251" s="133"/>
      <c r="C251" s="127"/>
      <c r="D251" s="138"/>
      <c r="E251" s="138"/>
      <c r="F251" s="58" t="str" cm="1">
        <f>IFERROR(IF(ISBLANK($A251),"",INDEX(Array_StationaryCharges,MATCH($A251,List_StationaryFuelMeters,0),ROUNDUP((COLUMN()+1)/3-2,0))),"")</f>
        <v/>
      </c>
      <c r="G251" s="127"/>
      <c r="H251" s="127"/>
      <c r="I251" s="58" t="str" cm="1">
        <f>IFERROR(IF(ISBLANK($A251),"",INDEX(Array_StationaryCharges,MATCH($A251,List_StationaryFuelMeters,0),ROUNDUP((COLUMN()+1)/3-2,0))),"")</f>
        <v/>
      </c>
      <c r="J251" s="127"/>
      <c r="K251" s="127"/>
      <c r="L251" s="58" t="str" cm="1">
        <f>IFERROR(IF(ISBLANK($A251),"",INDEX(Array_StationaryCharges,MATCH($A251,List_StationaryFuelMeters,0),ROUNDUP((COLUMN()+1)/3-2,0))),"")</f>
        <v/>
      </c>
      <c r="M251" s="127"/>
      <c r="N251" s="127"/>
      <c r="O251" s="58" t="str" cm="1">
        <f>IFERROR(IF(ISBLANK($A251),"",INDEX(Array_StationaryCharges,MATCH($A251,List_StationaryFuelMeters,0),ROUNDUP((COLUMN()+1)/3-2,0))),"")</f>
        <v/>
      </c>
      <c r="P251" s="127"/>
      <c r="Q251" s="127"/>
      <c r="R251" s="58" t="str" cm="1">
        <f>IFERROR(IF(ISBLANK($A251),"",INDEX(Array_StationaryCharges,MATCH($A251,List_StationaryFuelMeters,0),ROUNDUP((COLUMN()+1)/3-2,0))),"")</f>
        <v/>
      </c>
      <c r="S251" s="127"/>
      <c r="T251" s="127"/>
      <c r="U251" s="58" t="str" cm="1">
        <f>IFERROR(IF(ISBLANK($A251),"",INDEX(Array_StationaryCharges,MATCH($A251,List_StationaryFuelMeters,0),ROUNDUP((COLUMN()+1)/3-2,0))),"")</f>
        <v/>
      </c>
      <c r="V251" s="127"/>
      <c r="W251" s="127"/>
      <c r="X251" s="58" t="str" cm="1">
        <f>IFERROR(IF(ISBLANK($A251),"",INDEX(Array_StationaryCharges,MATCH($A251,List_StationaryFuelMeters,0),ROUNDUP((COLUMN()+1)/3-2,0))),"")</f>
        <v/>
      </c>
      <c r="Y251" s="127"/>
      <c r="Z251" s="127"/>
      <c r="AA251" s="58" t="str" cm="1">
        <f>IFERROR(IF(ISBLANK($A251),"",INDEX(Array_StationaryCharges,MATCH($A251,List_StationaryFuelMeters,0),ROUNDUP((COLUMN()+1)/3-2,0))),"")</f>
        <v/>
      </c>
      <c r="AB251" s="127"/>
      <c r="AC251" s="127"/>
      <c r="AD251" s="58" t="str" cm="1">
        <f>IFERROR(IF(ISBLANK($A251),"",INDEX(Array_StationaryCharges,MATCH($A251,List_StationaryFuelMeters,0),ROUNDUP((COLUMN()+1)/3-2,0))),"")</f>
        <v/>
      </c>
      <c r="AE251" s="127"/>
      <c r="AF251" s="127"/>
      <c r="AG251" s="58" t="str" cm="1">
        <f>IFERROR(IF(ISBLANK($A251),"",INDEX(Array_StationaryCharges,MATCH($A251,List_StationaryFuelMeters,0),ROUNDUP((COLUMN()+1)/3-2,0))),"")</f>
        <v/>
      </c>
      <c r="AH251" s="127"/>
      <c r="AI251" s="127"/>
      <c r="AJ251" s="58" t="str" cm="1">
        <f>IFERROR(IF(ISBLANK($A251),"",INDEX(Array_StationaryCharges,MATCH($A251,List_StationaryFuelMeters,0),ROUNDUP((COLUMN()+1)/3-2,0))),"")</f>
        <v/>
      </c>
      <c r="AK251" s="127"/>
      <c r="AL251" s="127"/>
      <c r="AM251" s="58" t="str" cm="1">
        <f>IFERROR(IF(ISBLANK($A251),"",INDEX(Array_StationaryCharges,MATCH($A251,List_StationaryFuelMeters,0),ROUNDUP((COLUMN()+1)/3-2,0))),"")</f>
        <v/>
      </c>
      <c r="AN251" s="127"/>
      <c r="AO251" s="127"/>
      <c r="AP251" s="58" t="str" cm="1">
        <f>IFERROR(IF(ISBLANK($A251),"",INDEX(Array_StationaryCharges,MATCH($A251,List_StationaryFuelMeters,0),ROUNDUP((COLUMN()+1)/3-2,0))),"")</f>
        <v/>
      </c>
      <c r="AQ251" s="127"/>
      <c r="AR251" s="127"/>
      <c r="AS251" s="58" t="str" cm="1">
        <f>IFERROR(IF(ISBLANK($A251),"",INDEX(Array_StationaryCharges,MATCH($A251,List_StationaryFuelMeters,0),ROUNDUP((COLUMN()+1)/3-2,0))),"")</f>
        <v/>
      </c>
      <c r="AT251" s="127"/>
      <c r="AU251" s="127"/>
      <c r="AV251" s="58" t="str" cm="1">
        <f>IFERROR(IF(ISBLANK($A251),"",INDEX(Array_StationaryCharges,MATCH($A251,List_StationaryFuelMeters,0),ROUNDUP((COLUMN()+1)/3-2,0))),"")</f>
        <v/>
      </c>
      <c r="AW251" s="127"/>
      <c r="AX251" s="127"/>
    </row>
    <row r="252" spans="1:50" x14ac:dyDescent="0.3">
      <c r="A252" s="126"/>
      <c r="B252" s="133"/>
      <c r="C252" s="127"/>
      <c r="D252" s="138"/>
      <c r="E252" s="138"/>
      <c r="F252" s="58" t="str" cm="1">
        <f>IFERROR(IF(ISBLANK($A252),"",INDEX(Array_StationaryCharges,MATCH($A252,List_StationaryFuelMeters,0),ROUNDUP((COLUMN()+1)/3-2,0))),"")</f>
        <v/>
      </c>
      <c r="G252" s="127"/>
      <c r="H252" s="127"/>
      <c r="I252" s="58" t="str" cm="1">
        <f>IFERROR(IF(ISBLANK($A252),"",INDEX(Array_StationaryCharges,MATCH($A252,List_StationaryFuelMeters,0),ROUNDUP((COLUMN()+1)/3-2,0))),"")</f>
        <v/>
      </c>
      <c r="J252" s="127"/>
      <c r="K252" s="127"/>
      <c r="L252" s="58" t="str" cm="1">
        <f>IFERROR(IF(ISBLANK($A252),"",INDEX(Array_StationaryCharges,MATCH($A252,List_StationaryFuelMeters,0),ROUNDUP((COLUMN()+1)/3-2,0))),"")</f>
        <v/>
      </c>
      <c r="M252" s="127"/>
      <c r="N252" s="127"/>
      <c r="O252" s="58" t="str" cm="1">
        <f>IFERROR(IF(ISBLANK($A252),"",INDEX(Array_StationaryCharges,MATCH($A252,List_StationaryFuelMeters,0),ROUNDUP((COLUMN()+1)/3-2,0))),"")</f>
        <v/>
      </c>
      <c r="P252" s="127"/>
      <c r="Q252" s="127"/>
      <c r="R252" s="58" t="str" cm="1">
        <f>IFERROR(IF(ISBLANK($A252),"",INDEX(Array_StationaryCharges,MATCH($A252,List_StationaryFuelMeters,0),ROUNDUP((COLUMN()+1)/3-2,0))),"")</f>
        <v/>
      </c>
      <c r="S252" s="127"/>
      <c r="T252" s="127"/>
      <c r="U252" s="58" t="str" cm="1">
        <f>IFERROR(IF(ISBLANK($A252),"",INDEX(Array_StationaryCharges,MATCH($A252,List_StationaryFuelMeters,0),ROUNDUP((COLUMN()+1)/3-2,0))),"")</f>
        <v/>
      </c>
      <c r="V252" s="127"/>
      <c r="W252" s="127"/>
      <c r="X252" s="58" t="str" cm="1">
        <f>IFERROR(IF(ISBLANK($A252),"",INDEX(Array_StationaryCharges,MATCH($A252,List_StationaryFuelMeters,0),ROUNDUP((COLUMN()+1)/3-2,0))),"")</f>
        <v/>
      </c>
      <c r="Y252" s="127"/>
      <c r="Z252" s="127"/>
      <c r="AA252" s="58" t="str" cm="1">
        <f>IFERROR(IF(ISBLANK($A252),"",INDEX(Array_StationaryCharges,MATCH($A252,List_StationaryFuelMeters,0),ROUNDUP((COLUMN()+1)/3-2,0))),"")</f>
        <v/>
      </c>
      <c r="AB252" s="127"/>
      <c r="AC252" s="127"/>
      <c r="AD252" s="58" t="str" cm="1">
        <f>IFERROR(IF(ISBLANK($A252),"",INDEX(Array_StationaryCharges,MATCH($A252,List_StationaryFuelMeters,0),ROUNDUP((COLUMN()+1)/3-2,0))),"")</f>
        <v/>
      </c>
      <c r="AE252" s="127"/>
      <c r="AF252" s="127"/>
      <c r="AG252" s="58" t="str" cm="1">
        <f>IFERROR(IF(ISBLANK($A252),"",INDEX(Array_StationaryCharges,MATCH($A252,List_StationaryFuelMeters,0),ROUNDUP((COLUMN()+1)/3-2,0))),"")</f>
        <v/>
      </c>
      <c r="AH252" s="127"/>
      <c r="AI252" s="127"/>
      <c r="AJ252" s="58" t="str" cm="1">
        <f>IFERROR(IF(ISBLANK($A252),"",INDEX(Array_StationaryCharges,MATCH($A252,List_StationaryFuelMeters,0),ROUNDUP((COLUMN()+1)/3-2,0))),"")</f>
        <v/>
      </c>
      <c r="AK252" s="127"/>
      <c r="AL252" s="127"/>
      <c r="AM252" s="58" t="str" cm="1">
        <f>IFERROR(IF(ISBLANK($A252),"",INDEX(Array_StationaryCharges,MATCH($A252,List_StationaryFuelMeters,0),ROUNDUP((COLUMN()+1)/3-2,0))),"")</f>
        <v/>
      </c>
      <c r="AN252" s="127"/>
      <c r="AO252" s="127"/>
      <c r="AP252" s="58" t="str" cm="1">
        <f>IFERROR(IF(ISBLANK($A252),"",INDEX(Array_StationaryCharges,MATCH($A252,List_StationaryFuelMeters,0),ROUNDUP((COLUMN()+1)/3-2,0))),"")</f>
        <v/>
      </c>
      <c r="AQ252" s="127"/>
      <c r="AR252" s="127"/>
      <c r="AS252" s="58" t="str" cm="1">
        <f>IFERROR(IF(ISBLANK($A252),"",INDEX(Array_StationaryCharges,MATCH($A252,List_StationaryFuelMeters,0),ROUNDUP((COLUMN()+1)/3-2,0))),"")</f>
        <v/>
      </c>
      <c r="AT252" s="127"/>
      <c r="AU252" s="127"/>
      <c r="AV252" s="58" t="str" cm="1">
        <f>IFERROR(IF(ISBLANK($A252),"",INDEX(Array_StationaryCharges,MATCH($A252,List_StationaryFuelMeters,0),ROUNDUP((COLUMN()+1)/3-2,0))),"")</f>
        <v/>
      </c>
      <c r="AW252" s="127"/>
      <c r="AX252" s="127"/>
    </row>
    <row r="253" spans="1:50" x14ac:dyDescent="0.3">
      <c r="A253" s="126"/>
      <c r="B253" s="133"/>
      <c r="C253" s="127"/>
      <c r="D253" s="138"/>
      <c r="E253" s="138"/>
      <c r="F253" s="58" t="str" cm="1">
        <f>IFERROR(IF(ISBLANK($A253),"",INDEX(Array_StationaryCharges,MATCH($A253,List_StationaryFuelMeters,0),ROUNDUP((COLUMN()+1)/3-2,0))),"")</f>
        <v/>
      </c>
      <c r="G253" s="127"/>
      <c r="H253" s="127"/>
      <c r="I253" s="58" t="str" cm="1">
        <f>IFERROR(IF(ISBLANK($A253),"",INDEX(Array_StationaryCharges,MATCH($A253,List_StationaryFuelMeters,0),ROUNDUP((COLUMN()+1)/3-2,0))),"")</f>
        <v/>
      </c>
      <c r="J253" s="127"/>
      <c r="K253" s="127"/>
      <c r="L253" s="58" t="str" cm="1">
        <f>IFERROR(IF(ISBLANK($A253),"",INDEX(Array_StationaryCharges,MATCH($A253,List_StationaryFuelMeters,0),ROUNDUP((COLUMN()+1)/3-2,0))),"")</f>
        <v/>
      </c>
      <c r="M253" s="127"/>
      <c r="N253" s="127"/>
      <c r="O253" s="58" t="str" cm="1">
        <f>IFERROR(IF(ISBLANK($A253),"",INDEX(Array_StationaryCharges,MATCH($A253,List_StationaryFuelMeters,0),ROUNDUP((COLUMN()+1)/3-2,0))),"")</f>
        <v/>
      </c>
      <c r="P253" s="127"/>
      <c r="Q253" s="127"/>
      <c r="R253" s="58" t="str" cm="1">
        <f>IFERROR(IF(ISBLANK($A253),"",INDEX(Array_StationaryCharges,MATCH($A253,List_StationaryFuelMeters,0),ROUNDUP((COLUMN()+1)/3-2,0))),"")</f>
        <v/>
      </c>
      <c r="S253" s="127"/>
      <c r="T253" s="127"/>
      <c r="U253" s="58" t="str" cm="1">
        <f>IFERROR(IF(ISBLANK($A253),"",INDEX(Array_StationaryCharges,MATCH($A253,List_StationaryFuelMeters,0),ROUNDUP((COLUMN()+1)/3-2,0))),"")</f>
        <v/>
      </c>
      <c r="V253" s="127"/>
      <c r="W253" s="127"/>
      <c r="X253" s="58" t="str" cm="1">
        <f>IFERROR(IF(ISBLANK($A253),"",INDEX(Array_StationaryCharges,MATCH($A253,List_StationaryFuelMeters,0),ROUNDUP((COLUMN()+1)/3-2,0))),"")</f>
        <v/>
      </c>
      <c r="Y253" s="127"/>
      <c r="Z253" s="127"/>
      <c r="AA253" s="58" t="str" cm="1">
        <f>IFERROR(IF(ISBLANK($A253),"",INDEX(Array_StationaryCharges,MATCH($A253,List_StationaryFuelMeters,0),ROUNDUP((COLUMN()+1)/3-2,0))),"")</f>
        <v/>
      </c>
      <c r="AB253" s="127"/>
      <c r="AC253" s="127"/>
      <c r="AD253" s="58" t="str" cm="1">
        <f>IFERROR(IF(ISBLANK($A253),"",INDEX(Array_StationaryCharges,MATCH($A253,List_StationaryFuelMeters,0),ROUNDUP((COLUMN()+1)/3-2,0))),"")</f>
        <v/>
      </c>
      <c r="AE253" s="127"/>
      <c r="AF253" s="127"/>
      <c r="AG253" s="58" t="str" cm="1">
        <f>IFERROR(IF(ISBLANK($A253),"",INDEX(Array_StationaryCharges,MATCH($A253,List_StationaryFuelMeters,0),ROUNDUP((COLUMN()+1)/3-2,0))),"")</f>
        <v/>
      </c>
      <c r="AH253" s="127"/>
      <c r="AI253" s="127"/>
      <c r="AJ253" s="58" t="str" cm="1">
        <f>IFERROR(IF(ISBLANK($A253),"",INDEX(Array_StationaryCharges,MATCH($A253,List_StationaryFuelMeters,0),ROUNDUP((COLUMN()+1)/3-2,0))),"")</f>
        <v/>
      </c>
      <c r="AK253" s="127"/>
      <c r="AL253" s="127"/>
      <c r="AM253" s="58" t="str" cm="1">
        <f>IFERROR(IF(ISBLANK($A253),"",INDEX(Array_StationaryCharges,MATCH($A253,List_StationaryFuelMeters,0),ROUNDUP((COLUMN()+1)/3-2,0))),"")</f>
        <v/>
      </c>
      <c r="AN253" s="127"/>
      <c r="AO253" s="127"/>
      <c r="AP253" s="58" t="str" cm="1">
        <f>IFERROR(IF(ISBLANK($A253),"",INDEX(Array_StationaryCharges,MATCH($A253,List_StationaryFuelMeters,0),ROUNDUP((COLUMN()+1)/3-2,0))),"")</f>
        <v/>
      </c>
      <c r="AQ253" s="127"/>
      <c r="AR253" s="127"/>
      <c r="AS253" s="58" t="str" cm="1">
        <f>IFERROR(IF(ISBLANK($A253),"",INDEX(Array_StationaryCharges,MATCH($A253,List_StationaryFuelMeters,0),ROUNDUP((COLUMN()+1)/3-2,0))),"")</f>
        <v/>
      </c>
      <c r="AT253" s="127"/>
      <c r="AU253" s="127"/>
      <c r="AV253" s="58" t="str" cm="1">
        <f>IFERROR(IF(ISBLANK($A253),"",INDEX(Array_StationaryCharges,MATCH($A253,List_StationaryFuelMeters,0),ROUNDUP((COLUMN()+1)/3-2,0))),"")</f>
        <v/>
      </c>
      <c r="AW253" s="127"/>
      <c r="AX253" s="127"/>
    </row>
    <row r="254" spans="1:50" x14ac:dyDescent="0.3">
      <c r="A254" s="126"/>
      <c r="B254" s="133"/>
      <c r="C254" s="127"/>
      <c r="D254" s="138"/>
      <c r="E254" s="138"/>
      <c r="F254" s="58" t="str" cm="1">
        <f>IFERROR(IF(ISBLANK($A254),"",INDEX(Array_StationaryCharges,MATCH($A254,List_StationaryFuelMeters,0),ROUNDUP((COLUMN()+1)/3-2,0))),"")</f>
        <v/>
      </c>
      <c r="G254" s="127"/>
      <c r="H254" s="127"/>
      <c r="I254" s="58" t="str" cm="1">
        <f>IFERROR(IF(ISBLANK($A254),"",INDEX(Array_StationaryCharges,MATCH($A254,List_StationaryFuelMeters,0),ROUNDUP((COLUMN()+1)/3-2,0))),"")</f>
        <v/>
      </c>
      <c r="J254" s="127"/>
      <c r="K254" s="127"/>
      <c r="L254" s="58" t="str" cm="1">
        <f>IFERROR(IF(ISBLANK($A254),"",INDEX(Array_StationaryCharges,MATCH($A254,List_StationaryFuelMeters,0),ROUNDUP((COLUMN()+1)/3-2,0))),"")</f>
        <v/>
      </c>
      <c r="M254" s="127"/>
      <c r="N254" s="127"/>
      <c r="O254" s="58" t="str" cm="1">
        <f>IFERROR(IF(ISBLANK($A254),"",INDEX(Array_StationaryCharges,MATCH($A254,List_StationaryFuelMeters,0),ROUNDUP((COLUMN()+1)/3-2,0))),"")</f>
        <v/>
      </c>
      <c r="P254" s="127"/>
      <c r="Q254" s="127"/>
      <c r="R254" s="58" t="str" cm="1">
        <f>IFERROR(IF(ISBLANK($A254),"",INDEX(Array_StationaryCharges,MATCH($A254,List_StationaryFuelMeters,0),ROUNDUP((COLUMN()+1)/3-2,0))),"")</f>
        <v/>
      </c>
      <c r="S254" s="127"/>
      <c r="T254" s="127"/>
      <c r="U254" s="58" t="str" cm="1">
        <f>IFERROR(IF(ISBLANK($A254),"",INDEX(Array_StationaryCharges,MATCH($A254,List_StationaryFuelMeters,0),ROUNDUP((COLUMN()+1)/3-2,0))),"")</f>
        <v/>
      </c>
      <c r="V254" s="127"/>
      <c r="W254" s="127"/>
      <c r="X254" s="58" t="str" cm="1">
        <f>IFERROR(IF(ISBLANK($A254),"",INDEX(Array_StationaryCharges,MATCH($A254,List_StationaryFuelMeters,0),ROUNDUP((COLUMN()+1)/3-2,0))),"")</f>
        <v/>
      </c>
      <c r="Y254" s="127"/>
      <c r="Z254" s="127"/>
      <c r="AA254" s="58" t="str" cm="1">
        <f>IFERROR(IF(ISBLANK($A254),"",INDEX(Array_StationaryCharges,MATCH($A254,List_StationaryFuelMeters,0),ROUNDUP((COLUMN()+1)/3-2,0))),"")</f>
        <v/>
      </c>
      <c r="AB254" s="127"/>
      <c r="AC254" s="127"/>
      <c r="AD254" s="58" t="str" cm="1">
        <f>IFERROR(IF(ISBLANK($A254),"",INDEX(Array_StationaryCharges,MATCH($A254,List_StationaryFuelMeters,0),ROUNDUP((COLUMN()+1)/3-2,0))),"")</f>
        <v/>
      </c>
      <c r="AE254" s="127"/>
      <c r="AF254" s="127"/>
      <c r="AG254" s="58" t="str" cm="1">
        <f>IFERROR(IF(ISBLANK($A254),"",INDEX(Array_StationaryCharges,MATCH($A254,List_StationaryFuelMeters,0),ROUNDUP((COLUMN()+1)/3-2,0))),"")</f>
        <v/>
      </c>
      <c r="AH254" s="127"/>
      <c r="AI254" s="127"/>
      <c r="AJ254" s="58" t="str" cm="1">
        <f>IFERROR(IF(ISBLANK($A254),"",INDEX(Array_StationaryCharges,MATCH($A254,List_StationaryFuelMeters,0),ROUNDUP((COLUMN()+1)/3-2,0))),"")</f>
        <v/>
      </c>
      <c r="AK254" s="127"/>
      <c r="AL254" s="127"/>
      <c r="AM254" s="58" t="str" cm="1">
        <f>IFERROR(IF(ISBLANK($A254),"",INDEX(Array_StationaryCharges,MATCH($A254,List_StationaryFuelMeters,0),ROUNDUP((COLUMN()+1)/3-2,0))),"")</f>
        <v/>
      </c>
      <c r="AN254" s="127"/>
      <c r="AO254" s="127"/>
      <c r="AP254" s="58" t="str" cm="1">
        <f>IFERROR(IF(ISBLANK($A254),"",INDEX(Array_StationaryCharges,MATCH($A254,List_StationaryFuelMeters,0),ROUNDUP((COLUMN()+1)/3-2,0))),"")</f>
        <v/>
      </c>
      <c r="AQ254" s="127"/>
      <c r="AR254" s="127"/>
      <c r="AS254" s="58" t="str" cm="1">
        <f>IFERROR(IF(ISBLANK($A254),"",INDEX(Array_StationaryCharges,MATCH($A254,List_StationaryFuelMeters,0),ROUNDUP((COLUMN()+1)/3-2,0))),"")</f>
        <v/>
      </c>
      <c r="AT254" s="127"/>
      <c r="AU254" s="127"/>
      <c r="AV254" s="58" t="str" cm="1">
        <f>IFERROR(IF(ISBLANK($A254),"",INDEX(Array_StationaryCharges,MATCH($A254,List_StationaryFuelMeters,0),ROUNDUP((COLUMN()+1)/3-2,0))),"")</f>
        <v/>
      </c>
      <c r="AW254" s="127"/>
      <c r="AX254" s="127"/>
    </row>
    <row r="255" spans="1:50" x14ac:dyDescent="0.3">
      <c r="A255" s="126"/>
      <c r="B255" s="133"/>
      <c r="C255" s="127"/>
      <c r="D255" s="138"/>
      <c r="E255" s="138"/>
      <c r="F255" s="58" t="str" cm="1">
        <f>IFERROR(IF(ISBLANK($A255),"",INDEX(Array_StationaryCharges,MATCH($A255,List_StationaryFuelMeters,0),ROUNDUP((COLUMN()+1)/3-2,0))),"")</f>
        <v/>
      </c>
      <c r="G255" s="127"/>
      <c r="H255" s="127"/>
      <c r="I255" s="58" t="str" cm="1">
        <f>IFERROR(IF(ISBLANK($A255),"",INDEX(Array_StationaryCharges,MATCH($A255,List_StationaryFuelMeters,0),ROUNDUP((COLUMN()+1)/3-2,0))),"")</f>
        <v/>
      </c>
      <c r="J255" s="127"/>
      <c r="K255" s="127"/>
      <c r="L255" s="58" t="str" cm="1">
        <f>IFERROR(IF(ISBLANK($A255),"",INDEX(Array_StationaryCharges,MATCH($A255,List_StationaryFuelMeters,0),ROUNDUP((COLUMN()+1)/3-2,0))),"")</f>
        <v/>
      </c>
      <c r="M255" s="127"/>
      <c r="N255" s="127"/>
      <c r="O255" s="58" t="str" cm="1">
        <f>IFERROR(IF(ISBLANK($A255),"",INDEX(Array_StationaryCharges,MATCH($A255,List_StationaryFuelMeters,0),ROUNDUP((COLUMN()+1)/3-2,0))),"")</f>
        <v/>
      </c>
      <c r="P255" s="127"/>
      <c r="Q255" s="127"/>
      <c r="R255" s="58" t="str" cm="1">
        <f>IFERROR(IF(ISBLANK($A255),"",INDEX(Array_StationaryCharges,MATCH($A255,List_StationaryFuelMeters,0),ROUNDUP((COLUMN()+1)/3-2,0))),"")</f>
        <v/>
      </c>
      <c r="S255" s="127"/>
      <c r="T255" s="127"/>
      <c r="U255" s="58" t="str" cm="1">
        <f>IFERROR(IF(ISBLANK($A255),"",INDEX(Array_StationaryCharges,MATCH($A255,List_StationaryFuelMeters,0),ROUNDUP((COLUMN()+1)/3-2,0))),"")</f>
        <v/>
      </c>
      <c r="V255" s="127"/>
      <c r="W255" s="127"/>
      <c r="X255" s="58" t="str" cm="1">
        <f>IFERROR(IF(ISBLANK($A255),"",INDEX(Array_StationaryCharges,MATCH($A255,List_StationaryFuelMeters,0),ROUNDUP((COLUMN()+1)/3-2,0))),"")</f>
        <v/>
      </c>
      <c r="Y255" s="127"/>
      <c r="Z255" s="127"/>
      <c r="AA255" s="58" t="str" cm="1">
        <f>IFERROR(IF(ISBLANK($A255),"",INDEX(Array_StationaryCharges,MATCH($A255,List_StationaryFuelMeters,0),ROUNDUP((COLUMN()+1)/3-2,0))),"")</f>
        <v/>
      </c>
      <c r="AB255" s="127"/>
      <c r="AC255" s="127"/>
      <c r="AD255" s="58" t="str" cm="1">
        <f>IFERROR(IF(ISBLANK($A255),"",INDEX(Array_StationaryCharges,MATCH($A255,List_StationaryFuelMeters,0),ROUNDUP((COLUMN()+1)/3-2,0))),"")</f>
        <v/>
      </c>
      <c r="AE255" s="127"/>
      <c r="AF255" s="127"/>
      <c r="AG255" s="58" t="str" cm="1">
        <f>IFERROR(IF(ISBLANK($A255),"",INDEX(Array_StationaryCharges,MATCH($A255,List_StationaryFuelMeters,0),ROUNDUP((COLUMN()+1)/3-2,0))),"")</f>
        <v/>
      </c>
      <c r="AH255" s="127"/>
      <c r="AI255" s="127"/>
      <c r="AJ255" s="58" t="str" cm="1">
        <f>IFERROR(IF(ISBLANK($A255),"",INDEX(Array_StationaryCharges,MATCH($A255,List_StationaryFuelMeters,0),ROUNDUP((COLUMN()+1)/3-2,0))),"")</f>
        <v/>
      </c>
      <c r="AK255" s="127"/>
      <c r="AL255" s="127"/>
      <c r="AM255" s="58" t="str" cm="1">
        <f>IFERROR(IF(ISBLANK($A255),"",INDEX(Array_StationaryCharges,MATCH($A255,List_StationaryFuelMeters,0),ROUNDUP((COLUMN()+1)/3-2,0))),"")</f>
        <v/>
      </c>
      <c r="AN255" s="127"/>
      <c r="AO255" s="127"/>
      <c r="AP255" s="58" t="str" cm="1">
        <f>IFERROR(IF(ISBLANK($A255),"",INDEX(Array_StationaryCharges,MATCH($A255,List_StationaryFuelMeters,0),ROUNDUP((COLUMN()+1)/3-2,0))),"")</f>
        <v/>
      </c>
      <c r="AQ255" s="127"/>
      <c r="AR255" s="127"/>
      <c r="AS255" s="58" t="str" cm="1">
        <f>IFERROR(IF(ISBLANK($A255),"",INDEX(Array_StationaryCharges,MATCH($A255,List_StationaryFuelMeters,0),ROUNDUP((COLUMN()+1)/3-2,0))),"")</f>
        <v/>
      </c>
      <c r="AT255" s="127"/>
      <c r="AU255" s="127"/>
      <c r="AV255" s="58" t="str" cm="1">
        <f>IFERROR(IF(ISBLANK($A255),"",INDEX(Array_StationaryCharges,MATCH($A255,List_StationaryFuelMeters,0),ROUNDUP((COLUMN()+1)/3-2,0))),"")</f>
        <v/>
      </c>
      <c r="AW255" s="127"/>
      <c r="AX255" s="127"/>
    </row>
    <row r="256" spans="1:50" x14ac:dyDescent="0.3">
      <c r="A256" s="126"/>
      <c r="B256" s="133"/>
      <c r="C256" s="127"/>
      <c r="D256" s="138"/>
      <c r="E256" s="138"/>
      <c r="F256" s="58" t="str" cm="1">
        <f>IFERROR(IF(ISBLANK($A256),"",INDEX(Array_StationaryCharges,MATCH($A256,List_StationaryFuelMeters,0),ROUNDUP((COLUMN()+1)/3-2,0))),"")</f>
        <v/>
      </c>
      <c r="G256" s="127"/>
      <c r="H256" s="127"/>
      <c r="I256" s="58" t="str" cm="1">
        <f>IFERROR(IF(ISBLANK($A256),"",INDEX(Array_StationaryCharges,MATCH($A256,List_StationaryFuelMeters,0),ROUNDUP((COLUMN()+1)/3-2,0))),"")</f>
        <v/>
      </c>
      <c r="J256" s="127"/>
      <c r="K256" s="127"/>
      <c r="L256" s="58" t="str" cm="1">
        <f>IFERROR(IF(ISBLANK($A256),"",INDEX(Array_StationaryCharges,MATCH($A256,List_StationaryFuelMeters,0),ROUNDUP((COLUMN()+1)/3-2,0))),"")</f>
        <v/>
      </c>
      <c r="M256" s="127"/>
      <c r="N256" s="127"/>
      <c r="O256" s="58" t="str" cm="1">
        <f>IFERROR(IF(ISBLANK($A256),"",INDEX(Array_StationaryCharges,MATCH($A256,List_StationaryFuelMeters,0),ROUNDUP((COLUMN()+1)/3-2,0))),"")</f>
        <v/>
      </c>
      <c r="P256" s="127"/>
      <c r="Q256" s="127"/>
      <c r="R256" s="58" t="str" cm="1">
        <f>IFERROR(IF(ISBLANK($A256),"",INDEX(Array_StationaryCharges,MATCH($A256,List_StationaryFuelMeters,0),ROUNDUP((COLUMN()+1)/3-2,0))),"")</f>
        <v/>
      </c>
      <c r="S256" s="127"/>
      <c r="T256" s="127"/>
      <c r="U256" s="58" t="str" cm="1">
        <f>IFERROR(IF(ISBLANK($A256),"",INDEX(Array_StationaryCharges,MATCH($A256,List_StationaryFuelMeters,0),ROUNDUP((COLUMN()+1)/3-2,0))),"")</f>
        <v/>
      </c>
      <c r="V256" s="127"/>
      <c r="W256" s="127"/>
      <c r="X256" s="58" t="str" cm="1">
        <f>IFERROR(IF(ISBLANK($A256),"",INDEX(Array_StationaryCharges,MATCH($A256,List_StationaryFuelMeters,0),ROUNDUP((COLUMN()+1)/3-2,0))),"")</f>
        <v/>
      </c>
      <c r="Y256" s="127"/>
      <c r="Z256" s="127"/>
      <c r="AA256" s="58" t="str" cm="1">
        <f>IFERROR(IF(ISBLANK($A256),"",INDEX(Array_StationaryCharges,MATCH($A256,List_StationaryFuelMeters,0),ROUNDUP((COLUMN()+1)/3-2,0))),"")</f>
        <v/>
      </c>
      <c r="AB256" s="127"/>
      <c r="AC256" s="127"/>
      <c r="AD256" s="58" t="str" cm="1">
        <f>IFERROR(IF(ISBLANK($A256),"",INDEX(Array_StationaryCharges,MATCH($A256,List_StationaryFuelMeters,0),ROUNDUP((COLUMN()+1)/3-2,0))),"")</f>
        <v/>
      </c>
      <c r="AE256" s="127"/>
      <c r="AF256" s="127"/>
      <c r="AG256" s="58" t="str" cm="1">
        <f>IFERROR(IF(ISBLANK($A256),"",INDEX(Array_StationaryCharges,MATCH($A256,List_StationaryFuelMeters,0),ROUNDUP((COLUMN()+1)/3-2,0))),"")</f>
        <v/>
      </c>
      <c r="AH256" s="127"/>
      <c r="AI256" s="127"/>
      <c r="AJ256" s="58" t="str" cm="1">
        <f>IFERROR(IF(ISBLANK($A256),"",INDEX(Array_StationaryCharges,MATCH($A256,List_StationaryFuelMeters,0),ROUNDUP((COLUMN()+1)/3-2,0))),"")</f>
        <v/>
      </c>
      <c r="AK256" s="127"/>
      <c r="AL256" s="127"/>
      <c r="AM256" s="58" t="str" cm="1">
        <f>IFERROR(IF(ISBLANK($A256),"",INDEX(Array_StationaryCharges,MATCH($A256,List_StationaryFuelMeters,0),ROUNDUP((COLUMN()+1)/3-2,0))),"")</f>
        <v/>
      </c>
      <c r="AN256" s="127"/>
      <c r="AO256" s="127"/>
      <c r="AP256" s="58" t="str" cm="1">
        <f>IFERROR(IF(ISBLANK($A256),"",INDEX(Array_StationaryCharges,MATCH($A256,List_StationaryFuelMeters,0),ROUNDUP((COLUMN()+1)/3-2,0))),"")</f>
        <v/>
      </c>
      <c r="AQ256" s="127"/>
      <c r="AR256" s="127"/>
      <c r="AS256" s="58" t="str" cm="1">
        <f>IFERROR(IF(ISBLANK($A256),"",INDEX(Array_StationaryCharges,MATCH($A256,List_StationaryFuelMeters,0),ROUNDUP((COLUMN()+1)/3-2,0))),"")</f>
        <v/>
      </c>
      <c r="AT256" s="127"/>
      <c r="AU256" s="127"/>
      <c r="AV256" s="58" t="str" cm="1">
        <f>IFERROR(IF(ISBLANK($A256),"",INDEX(Array_StationaryCharges,MATCH($A256,List_StationaryFuelMeters,0),ROUNDUP((COLUMN()+1)/3-2,0))),"")</f>
        <v/>
      </c>
      <c r="AW256" s="127"/>
      <c r="AX256" s="127"/>
    </row>
    <row r="257" spans="1:50" x14ac:dyDescent="0.3">
      <c r="A257" s="126"/>
      <c r="B257" s="133"/>
      <c r="C257" s="127"/>
      <c r="D257" s="138"/>
      <c r="E257" s="138"/>
      <c r="F257" s="58" t="str" cm="1">
        <f>IFERROR(IF(ISBLANK($A257),"",INDEX(Array_StationaryCharges,MATCH($A257,List_StationaryFuelMeters,0),ROUNDUP((COLUMN()+1)/3-2,0))),"")</f>
        <v/>
      </c>
      <c r="G257" s="127"/>
      <c r="H257" s="127"/>
      <c r="I257" s="58" t="str" cm="1">
        <f>IFERROR(IF(ISBLANK($A257),"",INDEX(Array_StationaryCharges,MATCH($A257,List_StationaryFuelMeters,0),ROUNDUP((COLUMN()+1)/3-2,0))),"")</f>
        <v/>
      </c>
      <c r="J257" s="127"/>
      <c r="K257" s="127"/>
      <c r="L257" s="58" t="str" cm="1">
        <f>IFERROR(IF(ISBLANK($A257),"",INDEX(Array_StationaryCharges,MATCH($A257,List_StationaryFuelMeters,0),ROUNDUP((COLUMN()+1)/3-2,0))),"")</f>
        <v/>
      </c>
      <c r="M257" s="127"/>
      <c r="N257" s="127"/>
      <c r="O257" s="58" t="str" cm="1">
        <f>IFERROR(IF(ISBLANK($A257),"",INDEX(Array_StationaryCharges,MATCH($A257,List_StationaryFuelMeters,0),ROUNDUP((COLUMN()+1)/3-2,0))),"")</f>
        <v/>
      </c>
      <c r="P257" s="127"/>
      <c r="Q257" s="127"/>
      <c r="R257" s="58" t="str" cm="1">
        <f>IFERROR(IF(ISBLANK($A257),"",INDEX(Array_StationaryCharges,MATCH($A257,List_StationaryFuelMeters,0),ROUNDUP((COLUMN()+1)/3-2,0))),"")</f>
        <v/>
      </c>
      <c r="S257" s="127"/>
      <c r="T257" s="127"/>
      <c r="U257" s="58" t="str" cm="1">
        <f>IFERROR(IF(ISBLANK($A257),"",INDEX(Array_StationaryCharges,MATCH($A257,List_StationaryFuelMeters,0),ROUNDUP((COLUMN()+1)/3-2,0))),"")</f>
        <v/>
      </c>
      <c r="V257" s="127"/>
      <c r="W257" s="127"/>
      <c r="X257" s="58" t="str" cm="1">
        <f>IFERROR(IF(ISBLANK($A257),"",INDEX(Array_StationaryCharges,MATCH($A257,List_StationaryFuelMeters,0),ROUNDUP((COLUMN()+1)/3-2,0))),"")</f>
        <v/>
      </c>
      <c r="Y257" s="127"/>
      <c r="Z257" s="127"/>
      <c r="AA257" s="58" t="str" cm="1">
        <f>IFERROR(IF(ISBLANK($A257),"",INDEX(Array_StationaryCharges,MATCH($A257,List_StationaryFuelMeters,0),ROUNDUP((COLUMN()+1)/3-2,0))),"")</f>
        <v/>
      </c>
      <c r="AB257" s="127"/>
      <c r="AC257" s="127"/>
      <c r="AD257" s="58" t="str" cm="1">
        <f>IFERROR(IF(ISBLANK($A257),"",INDEX(Array_StationaryCharges,MATCH($A257,List_StationaryFuelMeters,0),ROUNDUP((COLUMN()+1)/3-2,0))),"")</f>
        <v/>
      </c>
      <c r="AE257" s="127"/>
      <c r="AF257" s="127"/>
      <c r="AG257" s="58" t="str" cm="1">
        <f>IFERROR(IF(ISBLANK($A257),"",INDEX(Array_StationaryCharges,MATCH($A257,List_StationaryFuelMeters,0),ROUNDUP((COLUMN()+1)/3-2,0))),"")</f>
        <v/>
      </c>
      <c r="AH257" s="127"/>
      <c r="AI257" s="127"/>
      <c r="AJ257" s="58" t="str" cm="1">
        <f>IFERROR(IF(ISBLANK($A257),"",INDEX(Array_StationaryCharges,MATCH($A257,List_StationaryFuelMeters,0),ROUNDUP((COLUMN()+1)/3-2,0))),"")</f>
        <v/>
      </c>
      <c r="AK257" s="127"/>
      <c r="AL257" s="127"/>
      <c r="AM257" s="58" t="str" cm="1">
        <f>IFERROR(IF(ISBLANK($A257),"",INDEX(Array_StationaryCharges,MATCH($A257,List_StationaryFuelMeters,0),ROUNDUP((COLUMN()+1)/3-2,0))),"")</f>
        <v/>
      </c>
      <c r="AN257" s="127"/>
      <c r="AO257" s="127"/>
      <c r="AP257" s="58" t="str" cm="1">
        <f>IFERROR(IF(ISBLANK($A257),"",INDEX(Array_StationaryCharges,MATCH($A257,List_StationaryFuelMeters,0),ROUNDUP((COLUMN()+1)/3-2,0))),"")</f>
        <v/>
      </c>
      <c r="AQ257" s="127"/>
      <c r="AR257" s="127"/>
      <c r="AS257" s="58" t="str" cm="1">
        <f>IFERROR(IF(ISBLANK($A257),"",INDEX(Array_StationaryCharges,MATCH($A257,List_StationaryFuelMeters,0),ROUNDUP((COLUMN()+1)/3-2,0))),"")</f>
        <v/>
      </c>
      <c r="AT257" s="127"/>
      <c r="AU257" s="127"/>
      <c r="AV257" s="58" t="str" cm="1">
        <f>IFERROR(IF(ISBLANK($A257),"",INDEX(Array_StationaryCharges,MATCH($A257,List_StationaryFuelMeters,0),ROUNDUP((COLUMN()+1)/3-2,0))),"")</f>
        <v/>
      </c>
      <c r="AW257" s="127"/>
      <c r="AX257" s="127"/>
    </row>
    <row r="258" spans="1:50" x14ac:dyDescent="0.3">
      <c r="A258" s="126"/>
      <c r="B258" s="133"/>
      <c r="C258" s="127"/>
      <c r="D258" s="138"/>
      <c r="E258" s="138"/>
      <c r="F258" s="58" t="str" cm="1">
        <f>IFERROR(IF(ISBLANK($A258),"",INDEX(Array_StationaryCharges,MATCH($A258,List_StationaryFuelMeters,0),ROUNDUP((COLUMN()+1)/3-2,0))),"")</f>
        <v/>
      </c>
      <c r="G258" s="127"/>
      <c r="H258" s="127"/>
      <c r="I258" s="58" t="str" cm="1">
        <f>IFERROR(IF(ISBLANK($A258),"",INDEX(Array_StationaryCharges,MATCH($A258,List_StationaryFuelMeters,0),ROUNDUP((COLUMN()+1)/3-2,0))),"")</f>
        <v/>
      </c>
      <c r="J258" s="127"/>
      <c r="K258" s="127"/>
      <c r="L258" s="58" t="str" cm="1">
        <f>IFERROR(IF(ISBLANK($A258),"",INDEX(Array_StationaryCharges,MATCH($A258,List_StationaryFuelMeters,0),ROUNDUP((COLUMN()+1)/3-2,0))),"")</f>
        <v/>
      </c>
      <c r="M258" s="127"/>
      <c r="N258" s="127"/>
      <c r="O258" s="58" t="str" cm="1">
        <f>IFERROR(IF(ISBLANK($A258),"",INDEX(Array_StationaryCharges,MATCH($A258,List_StationaryFuelMeters,0),ROUNDUP((COLUMN()+1)/3-2,0))),"")</f>
        <v/>
      </c>
      <c r="P258" s="127"/>
      <c r="Q258" s="127"/>
      <c r="R258" s="58" t="str" cm="1">
        <f>IFERROR(IF(ISBLANK($A258),"",INDEX(Array_StationaryCharges,MATCH($A258,List_StationaryFuelMeters,0),ROUNDUP((COLUMN()+1)/3-2,0))),"")</f>
        <v/>
      </c>
      <c r="S258" s="127"/>
      <c r="T258" s="127"/>
      <c r="U258" s="58" t="str" cm="1">
        <f>IFERROR(IF(ISBLANK($A258),"",INDEX(Array_StationaryCharges,MATCH($A258,List_StationaryFuelMeters,0),ROUNDUP((COLUMN()+1)/3-2,0))),"")</f>
        <v/>
      </c>
      <c r="V258" s="127"/>
      <c r="W258" s="127"/>
      <c r="X258" s="58" t="str" cm="1">
        <f>IFERROR(IF(ISBLANK($A258),"",INDEX(Array_StationaryCharges,MATCH($A258,List_StationaryFuelMeters,0),ROUNDUP((COLUMN()+1)/3-2,0))),"")</f>
        <v/>
      </c>
      <c r="Y258" s="127"/>
      <c r="Z258" s="127"/>
      <c r="AA258" s="58" t="str" cm="1">
        <f>IFERROR(IF(ISBLANK($A258),"",INDEX(Array_StationaryCharges,MATCH($A258,List_StationaryFuelMeters,0),ROUNDUP((COLUMN()+1)/3-2,0))),"")</f>
        <v/>
      </c>
      <c r="AB258" s="127"/>
      <c r="AC258" s="127"/>
      <c r="AD258" s="58" t="str" cm="1">
        <f>IFERROR(IF(ISBLANK($A258),"",INDEX(Array_StationaryCharges,MATCH($A258,List_StationaryFuelMeters,0),ROUNDUP((COLUMN()+1)/3-2,0))),"")</f>
        <v/>
      </c>
      <c r="AE258" s="127"/>
      <c r="AF258" s="127"/>
      <c r="AG258" s="58" t="str" cm="1">
        <f>IFERROR(IF(ISBLANK($A258),"",INDEX(Array_StationaryCharges,MATCH($A258,List_StationaryFuelMeters,0),ROUNDUP((COLUMN()+1)/3-2,0))),"")</f>
        <v/>
      </c>
      <c r="AH258" s="127"/>
      <c r="AI258" s="127"/>
      <c r="AJ258" s="58" t="str" cm="1">
        <f>IFERROR(IF(ISBLANK($A258),"",INDEX(Array_StationaryCharges,MATCH($A258,List_StationaryFuelMeters,0),ROUNDUP((COLUMN()+1)/3-2,0))),"")</f>
        <v/>
      </c>
      <c r="AK258" s="127"/>
      <c r="AL258" s="127"/>
      <c r="AM258" s="58" t="str" cm="1">
        <f>IFERROR(IF(ISBLANK($A258),"",INDEX(Array_StationaryCharges,MATCH($A258,List_StationaryFuelMeters,0),ROUNDUP((COLUMN()+1)/3-2,0))),"")</f>
        <v/>
      </c>
      <c r="AN258" s="127"/>
      <c r="AO258" s="127"/>
      <c r="AP258" s="58" t="str" cm="1">
        <f>IFERROR(IF(ISBLANK($A258),"",INDEX(Array_StationaryCharges,MATCH($A258,List_StationaryFuelMeters,0),ROUNDUP((COLUMN()+1)/3-2,0))),"")</f>
        <v/>
      </c>
      <c r="AQ258" s="127"/>
      <c r="AR258" s="127"/>
      <c r="AS258" s="58" t="str" cm="1">
        <f>IFERROR(IF(ISBLANK($A258),"",INDEX(Array_StationaryCharges,MATCH($A258,List_StationaryFuelMeters,0),ROUNDUP((COLUMN()+1)/3-2,0))),"")</f>
        <v/>
      </c>
      <c r="AT258" s="127"/>
      <c r="AU258" s="127"/>
      <c r="AV258" s="58" t="str" cm="1">
        <f>IFERROR(IF(ISBLANK($A258),"",INDEX(Array_StationaryCharges,MATCH($A258,List_StationaryFuelMeters,0),ROUNDUP((COLUMN()+1)/3-2,0))),"")</f>
        <v/>
      </c>
      <c r="AW258" s="127"/>
      <c r="AX258" s="127"/>
    </row>
    <row r="259" spans="1:50" x14ac:dyDescent="0.3">
      <c r="A259" s="126"/>
      <c r="B259" s="133"/>
      <c r="C259" s="127"/>
      <c r="D259" s="138"/>
      <c r="E259" s="138"/>
      <c r="F259" s="58" t="str" cm="1">
        <f>IFERROR(IF(ISBLANK($A259),"",INDEX(Array_StationaryCharges,MATCH($A259,List_StationaryFuelMeters,0),ROUNDUP((COLUMN()+1)/3-2,0))),"")</f>
        <v/>
      </c>
      <c r="G259" s="127"/>
      <c r="H259" s="127"/>
      <c r="I259" s="58" t="str" cm="1">
        <f>IFERROR(IF(ISBLANK($A259),"",INDEX(Array_StationaryCharges,MATCH($A259,List_StationaryFuelMeters,0),ROUNDUP((COLUMN()+1)/3-2,0))),"")</f>
        <v/>
      </c>
      <c r="J259" s="127"/>
      <c r="K259" s="127"/>
      <c r="L259" s="58" t="str" cm="1">
        <f>IFERROR(IF(ISBLANK($A259),"",INDEX(Array_StationaryCharges,MATCH($A259,List_StationaryFuelMeters,0),ROUNDUP((COLUMN()+1)/3-2,0))),"")</f>
        <v/>
      </c>
      <c r="M259" s="127"/>
      <c r="N259" s="127"/>
      <c r="O259" s="58" t="str" cm="1">
        <f>IFERROR(IF(ISBLANK($A259),"",INDEX(Array_StationaryCharges,MATCH($A259,List_StationaryFuelMeters,0),ROUNDUP((COLUMN()+1)/3-2,0))),"")</f>
        <v/>
      </c>
      <c r="P259" s="127"/>
      <c r="Q259" s="127"/>
      <c r="R259" s="58" t="str" cm="1">
        <f>IFERROR(IF(ISBLANK($A259),"",INDEX(Array_StationaryCharges,MATCH($A259,List_StationaryFuelMeters,0),ROUNDUP((COLUMN()+1)/3-2,0))),"")</f>
        <v/>
      </c>
      <c r="S259" s="127"/>
      <c r="T259" s="127"/>
      <c r="U259" s="58" t="str" cm="1">
        <f>IFERROR(IF(ISBLANK($A259),"",INDEX(Array_StationaryCharges,MATCH($A259,List_StationaryFuelMeters,0),ROUNDUP((COLUMN()+1)/3-2,0))),"")</f>
        <v/>
      </c>
      <c r="V259" s="127"/>
      <c r="W259" s="127"/>
      <c r="X259" s="58" t="str" cm="1">
        <f>IFERROR(IF(ISBLANK($A259),"",INDEX(Array_StationaryCharges,MATCH($A259,List_StationaryFuelMeters,0),ROUNDUP((COLUMN()+1)/3-2,0))),"")</f>
        <v/>
      </c>
      <c r="Y259" s="127"/>
      <c r="Z259" s="127"/>
      <c r="AA259" s="58" t="str" cm="1">
        <f>IFERROR(IF(ISBLANK($A259),"",INDEX(Array_StationaryCharges,MATCH($A259,List_StationaryFuelMeters,0),ROUNDUP((COLUMN()+1)/3-2,0))),"")</f>
        <v/>
      </c>
      <c r="AB259" s="127"/>
      <c r="AC259" s="127"/>
      <c r="AD259" s="58" t="str" cm="1">
        <f>IFERROR(IF(ISBLANK($A259),"",INDEX(Array_StationaryCharges,MATCH($A259,List_StationaryFuelMeters,0),ROUNDUP((COLUMN()+1)/3-2,0))),"")</f>
        <v/>
      </c>
      <c r="AE259" s="127"/>
      <c r="AF259" s="127"/>
      <c r="AG259" s="58" t="str" cm="1">
        <f>IFERROR(IF(ISBLANK($A259),"",INDEX(Array_StationaryCharges,MATCH($A259,List_StationaryFuelMeters,0),ROUNDUP((COLUMN()+1)/3-2,0))),"")</f>
        <v/>
      </c>
      <c r="AH259" s="127"/>
      <c r="AI259" s="127"/>
      <c r="AJ259" s="58" t="str" cm="1">
        <f>IFERROR(IF(ISBLANK($A259),"",INDEX(Array_StationaryCharges,MATCH($A259,List_StationaryFuelMeters,0),ROUNDUP((COLUMN()+1)/3-2,0))),"")</f>
        <v/>
      </c>
      <c r="AK259" s="127"/>
      <c r="AL259" s="127"/>
      <c r="AM259" s="58" t="str" cm="1">
        <f>IFERROR(IF(ISBLANK($A259),"",INDEX(Array_StationaryCharges,MATCH($A259,List_StationaryFuelMeters,0),ROUNDUP((COLUMN()+1)/3-2,0))),"")</f>
        <v/>
      </c>
      <c r="AN259" s="127"/>
      <c r="AO259" s="127"/>
      <c r="AP259" s="58" t="str" cm="1">
        <f>IFERROR(IF(ISBLANK($A259),"",INDEX(Array_StationaryCharges,MATCH($A259,List_StationaryFuelMeters,0),ROUNDUP((COLUMN()+1)/3-2,0))),"")</f>
        <v/>
      </c>
      <c r="AQ259" s="127"/>
      <c r="AR259" s="127"/>
      <c r="AS259" s="58" t="str" cm="1">
        <f>IFERROR(IF(ISBLANK($A259),"",INDEX(Array_StationaryCharges,MATCH($A259,List_StationaryFuelMeters,0),ROUNDUP((COLUMN()+1)/3-2,0))),"")</f>
        <v/>
      </c>
      <c r="AT259" s="127"/>
      <c r="AU259" s="127"/>
      <c r="AV259" s="58" t="str" cm="1">
        <f>IFERROR(IF(ISBLANK($A259),"",INDEX(Array_StationaryCharges,MATCH($A259,List_StationaryFuelMeters,0),ROUNDUP((COLUMN()+1)/3-2,0))),"")</f>
        <v/>
      </c>
      <c r="AW259" s="127"/>
      <c r="AX259" s="127"/>
    </row>
    <row r="260" spans="1:50" x14ac:dyDescent="0.3">
      <c r="A260" s="126"/>
      <c r="B260" s="133"/>
      <c r="C260" s="127"/>
      <c r="D260" s="138"/>
      <c r="E260" s="138"/>
      <c r="F260" s="58" t="str" cm="1">
        <f>IFERROR(IF(ISBLANK($A260),"",INDEX(Array_StationaryCharges,MATCH($A260,List_StationaryFuelMeters,0),ROUNDUP((COLUMN()+1)/3-2,0))),"")</f>
        <v/>
      </c>
      <c r="G260" s="127"/>
      <c r="H260" s="127"/>
      <c r="I260" s="58" t="str" cm="1">
        <f>IFERROR(IF(ISBLANK($A260),"",INDEX(Array_StationaryCharges,MATCH($A260,List_StationaryFuelMeters,0),ROUNDUP((COLUMN()+1)/3-2,0))),"")</f>
        <v/>
      </c>
      <c r="J260" s="127"/>
      <c r="K260" s="127"/>
      <c r="L260" s="58" t="str" cm="1">
        <f>IFERROR(IF(ISBLANK($A260),"",INDEX(Array_StationaryCharges,MATCH($A260,List_StationaryFuelMeters,0),ROUNDUP((COLUMN()+1)/3-2,0))),"")</f>
        <v/>
      </c>
      <c r="M260" s="127"/>
      <c r="N260" s="127"/>
      <c r="O260" s="58" t="str" cm="1">
        <f>IFERROR(IF(ISBLANK($A260),"",INDEX(Array_StationaryCharges,MATCH($A260,List_StationaryFuelMeters,0),ROUNDUP((COLUMN()+1)/3-2,0))),"")</f>
        <v/>
      </c>
      <c r="P260" s="127"/>
      <c r="Q260" s="127"/>
      <c r="R260" s="58" t="str" cm="1">
        <f>IFERROR(IF(ISBLANK($A260),"",INDEX(Array_StationaryCharges,MATCH($A260,List_StationaryFuelMeters,0),ROUNDUP((COLUMN()+1)/3-2,0))),"")</f>
        <v/>
      </c>
      <c r="S260" s="127"/>
      <c r="T260" s="127"/>
      <c r="U260" s="58" t="str" cm="1">
        <f>IFERROR(IF(ISBLANK($A260),"",INDEX(Array_StationaryCharges,MATCH($A260,List_StationaryFuelMeters,0),ROUNDUP((COLUMN()+1)/3-2,0))),"")</f>
        <v/>
      </c>
      <c r="V260" s="127"/>
      <c r="W260" s="127"/>
      <c r="X260" s="58" t="str" cm="1">
        <f>IFERROR(IF(ISBLANK($A260),"",INDEX(Array_StationaryCharges,MATCH($A260,List_StationaryFuelMeters,0),ROUNDUP((COLUMN()+1)/3-2,0))),"")</f>
        <v/>
      </c>
      <c r="Y260" s="127"/>
      <c r="Z260" s="127"/>
      <c r="AA260" s="58" t="str" cm="1">
        <f>IFERROR(IF(ISBLANK($A260),"",INDEX(Array_StationaryCharges,MATCH($A260,List_StationaryFuelMeters,0),ROUNDUP((COLUMN()+1)/3-2,0))),"")</f>
        <v/>
      </c>
      <c r="AB260" s="127"/>
      <c r="AC260" s="127"/>
      <c r="AD260" s="58" t="str" cm="1">
        <f>IFERROR(IF(ISBLANK($A260),"",INDEX(Array_StationaryCharges,MATCH($A260,List_StationaryFuelMeters,0),ROUNDUP((COLUMN()+1)/3-2,0))),"")</f>
        <v/>
      </c>
      <c r="AE260" s="127"/>
      <c r="AF260" s="127"/>
      <c r="AG260" s="58" t="str" cm="1">
        <f>IFERROR(IF(ISBLANK($A260),"",INDEX(Array_StationaryCharges,MATCH($A260,List_StationaryFuelMeters,0),ROUNDUP((COLUMN()+1)/3-2,0))),"")</f>
        <v/>
      </c>
      <c r="AH260" s="127"/>
      <c r="AI260" s="127"/>
      <c r="AJ260" s="58" t="str" cm="1">
        <f>IFERROR(IF(ISBLANK($A260),"",INDEX(Array_StationaryCharges,MATCH($A260,List_StationaryFuelMeters,0),ROUNDUP((COLUMN()+1)/3-2,0))),"")</f>
        <v/>
      </c>
      <c r="AK260" s="127"/>
      <c r="AL260" s="127"/>
      <c r="AM260" s="58" t="str" cm="1">
        <f>IFERROR(IF(ISBLANK($A260),"",INDEX(Array_StationaryCharges,MATCH($A260,List_StationaryFuelMeters,0),ROUNDUP((COLUMN()+1)/3-2,0))),"")</f>
        <v/>
      </c>
      <c r="AN260" s="127"/>
      <c r="AO260" s="127"/>
      <c r="AP260" s="58" t="str" cm="1">
        <f>IFERROR(IF(ISBLANK($A260),"",INDEX(Array_StationaryCharges,MATCH($A260,List_StationaryFuelMeters,0),ROUNDUP((COLUMN()+1)/3-2,0))),"")</f>
        <v/>
      </c>
      <c r="AQ260" s="127"/>
      <c r="AR260" s="127"/>
      <c r="AS260" s="58" t="str" cm="1">
        <f>IFERROR(IF(ISBLANK($A260),"",INDEX(Array_StationaryCharges,MATCH($A260,List_StationaryFuelMeters,0),ROUNDUP((COLUMN()+1)/3-2,0))),"")</f>
        <v/>
      </c>
      <c r="AT260" s="127"/>
      <c r="AU260" s="127"/>
      <c r="AV260" s="58" t="str" cm="1">
        <f>IFERROR(IF(ISBLANK($A260),"",INDEX(Array_StationaryCharges,MATCH($A260,List_StationaryFuelMeters,0),ROUNDUP((COLUMN()+1)/3-2,0))),"")</f>
        <v/>
      </c>
      <c r="AW260" s="127"/>
      <c r="AX260" s="127"/>
    </row>
    <row r="261" spans="1:50" x14ac:dyDescent="0.3">
      <c r="A261" s="126"/>
      <c r="B261" s="133"/>
      <c r="C261" s="127"/>
      <c r="D261" s="138"/>
      <c r="E261" s="138"/>
      <c r="F261" s="58" t="str" cm="1">
        <f>IFERROR(IF(ISBLANK($A261),"",INDEX(Array_StationaryCharges,MATCH($A261,List_StationaryFuelMeters,0),ROUNDUP((COLUMN()+1)/3-2,0))),"")</f>
        <v/>
      </c>
      <c r="G261" s="127"/>
      <c r="H261" s="127"/>
      <c r="I261" s="58" t="str" cm="1">
        <f>IFERROR(IF(ISBLANK($A261),"",INDEX(Array_StationaryCharges,MATCH($A261,List_StationaryFuelMeters,0),ROUNDUP((COLUMN()+1)/3-2,0))),"")</f>
        <v/>
      </c>
      <c r="J261" s="127"/>
      <c r="K261" s="127"/>
      <c r="L261" s="58" t="str" cm="1">
        <f>IFERROR(IF(ISBLANK($A261),"",INDEX(Array_StationaryCharges,MATCH($A261,List_StationaryFuelMeters,0),ROUNDUP((COLUMN()+1)/3-2,0))),"")</f>
        <v/>
      </c>
      <c r="M261" s="127"/>
      <c r="N261" s="127"/>
      <c r="O261" s="58" t="str" cm="1">
        <f>IFERROR(IF(ISBLANK($A261),"",INDEX(Array_StationaryCharges,MATCH($A261,List_StationaryFuelMeters,0),ROUNDUP((COLUMN()+1)/3-2,0))),"")</f>
        <v/>
      </c>
      <c r="P261" s="127"/>
      <c r="Q261" s="127"/>
      <c r="R261" s="58" t="str" cm="1">
        <f>IFERROR(IF(ISBLANK($A261),"",INDEX(Array_StationaryCharges,MATCH($A261,List_StationaryFuelMeters,0),ROUNDUP((COLUMN()+1)/3-2,0))),"")</f>
        <v/>
      </c>
      <c r="S261" s="127"/>
      <c r="T261" s="127"/>
      <c r="U261" s="58" t="str" cm="1">
        <f>IFERROR(IF(ISBLANK($A261),"",INDEX(Array_StationaryCharges,MATCH($A261,List_StationaryFuelMeters,0),ROUNDUP((COLUMN()+1)/3-2,0))),"")</f>
        <v/>
      </c>
      <c r="V261" s="127"/>
      <c r="W261" s="127"/>
      <c r="X261" s="58" t="str" cm="1">
        <f>IFERROR(IF(ISBLANK($A261),"",INDEX(Array_StationaryCharges,MATCH($A261,List_StationaryFuelMeters,0),ROUNDUP((COLUMN()+1)/3-2,0))),"")</f>
        <v/>
      </c>
      <c r="Y261" s="127"/>
      <c r="Z261" s="127"/>
      <c r="AA261" s="58" t="str" cm="1">
        <f>IFERROR(IF(ISBLANK($A261),"",INDEX(Array_StationaryCharges,MATCH($A261,List_StationaryFuelMeters,0),ROUNDUP((COLUMN()+1)/3-2,0))),"")</f>
        <v/>
      </c>
      <c r="AB261" s="127"/>
      <c r="AC261" s="127"/>
      <c r="AD261" s="58" t="str" cm="1">
        <f>IFERROR(IF(ISBLANK($A261),"",INDEX(Array_StationaryCharges,MATCH($A261,List_StationaryFuelMeters,0),ROUNDUP((COLUMN()+1)/3-2,0))),"")</f>
        <v/>
      </c>
      <c r="AE261" s="127"/>
      <c r="AF261" s="127"/>
      <c r="AG261" s="58" t="str" cm="1">
        <f>IFERROR(IF(ISBLANK($A261),"",INDEX(Array_StationaryCharges,MATCH($A261,List_StationaryFuelMeters,0),ROUNDUP((COLUMN()+1)/3-2,0))),"")</f>
        <v/>
      </c>
      <c r="AH261" s="127"/>
      <c r="AI261" s="127"/>
      <c r="AJ261" s="58" t="str" cm="1">
        <f>IFERROR(IF(ISBLANK($A261),"",INDEX(Array_StationaryCharges,MATCH($A261,List_StationaryFuelMeters,0),ROUNDUP((COLUMN()+1)/3-2,0))),"")</f>
        <v/>
      </c>
      <c r="AK261" s="127"/>
      <c r="AL261" s="127"/>
      <c r="AM261" s="58" t="str" cm="1">
        <f>IFERROR(IF(ISBLANK($A261),"",INDEX(Array_StationaryCharges,MATCH($A261,List_StationaryFuelMeters,0),ROUNDUP((COLUMN()+1)/3-2,0))),"")</f>
        <v/>
      </c>
      <c r="AN261" s="127"/>
      <c r="AO261" s="127"/>
      <c r="AP261" s="58" t="str" cm="1">
        <f>IFERROR(IF(ISBLANK($A261),"",INDEX(Array_StationaryCharges,MATCH($A261,List_StationaryFuelMeters,0),ROUNDUP((COLUMN()+1)/3-2,0))),"")</f>
        <v/>
      </c>
      <c r="AQ261" s="127"/>
      <c r="AR261" s="127"/>
      <c r="AS261" s="58" t="str" cm="1">
        <f>IFERROR(IF(ISBLANK($A261),"",INDEX(Array_StationaryCharges,MATCH($A261,List_StationaryFuelMeters,0),ROUNDUP((COLUMN()+1)/3-2,0))),"")</f>
        <v/>
      </c>
      <c r="AT261" s="127"/>
      <c r="AU261" s="127"/>
      <c r="AV261" s="58" t="str" cm="1">
        <f>IFERROR(IF(ISBLANK($A261),"",INDEX(Array_StationaryCharges,MATCH($A261,List_StationaryFuelMeters,0),ROUNDUP((COLUMN()+1)/3-2,0))),"")</f>
        <v/>
      </c>
      <c r="AW261" s="127"/>
      <c r="AX261" s="127"/>
    </row>
    <row r="262" spans="1:50" x14ac:dyDescent="0.3">
      <c r="A262" s="126"/>
      <c r="B262" s="133"/>
      <c r="C262" s="127"/>
      <c r="D262" s="138"/>
      <c r="E262" s="138"/>
      <c r="F262" s="58" t="str" cm="1">
        <f>IFERROR(IF(ISBLANK($A262),"",INDEX(Array_StationaryCharges,MATCH($A262,List_StationaryFuelMeters,0),ROUNDUP((COLUMN()+1)/3-2,0))),"")</f>
        <v/>
      </c>
      <c r="G262" s="127"/>
      <c r="H262" s="127"/>
      <c r="I262" s="58" t="str" cm="1">
        <f>IFERROR(IF(ISBLANK($A262),"",INDEX(Array_StationaryCharges,MATCH($A262,List_StationaryFuelMeters,0),ROUNDUP((COLUMN()+1)/3-2,0))),"")</f>
        <v/>
      </c>
      <c r="J262" s="127"/>
      <c r="K262" s="127"/>
      <c r="L262" s="58" t="str" cm="1">
        <f>IFERROR(IF(ISBLANK($A262),"",INDEX(Array_StationaryCharges,MATCH($A262,List_StationaryFuelMeters,0),ROUNDUP((COLUMN()+1)/3-2,0))),"")</f>
        <v/>
      </c>
      <c r="M262" s="127"/>
      <c r="N262" s="127"/>
      <c r="O262" s="58" t="str" cm="1">
        <f>IFERROR(IF(ISBLANK($A262),"",INDEX(Array_StationaryCharges,MATCH($A262,List_StationaryFuelMeters,0),ROUNDUP((COLUMN()+1)/3-2,0))),"")</f>
        <v/>
      </c>
      <c r="P262" s="127"/>
      <c r="Q262" s="127"/>
      <c r="R262" s="58" t="str" cm="1">
        <f>IFERROR(IF(ISBLANK($A262),"",INDEX(Array_StationaryCharges,MATCH($A262,List_StationaryFuelMeters,0),ROUNDUP((COLUMN()+1)/3-2,0))),"")</f>
        <v/>
      </c>
      <c r="S262" s="127"/>
      <c r="T262" s="127"/>
      <c r="U262" s="58" t="str" cm="1">
        <f>IFERROR(IF(ISBLANK($A262),"",INDEX(Array_StationaryCharges,MATCH($A262,List_StationaryFuelMeters,0),ROUNDUP((COLUMN()+1)/3-2,0))),"")</f>
        <v/>
      </c>
      <c r="V262" s="127"/>
      <c r="W262" s="127"/>
      <c r="X262" s="58" t="str" cm="1">
        <f>IFERROR(IF(ISBLANK($A262),"",INDEX(Array_StationaryCharges,MATCH($A262,List_StationaryFuelMeters,0),ROUNDUP((COLUMN()+1)/3-2,0))),"")</f>
        <v/>
      </c>
      <c r="Y262" s="127"/>
      <c r="Z262" s="127"/>
      <c r="AA262" s="58" t="str" cm="1">
        <f>IFERROR(IF(ISBLANK($A262),"",INDEX(Array_StationaryCharges,MATCH($A262,List_StationaryFuelMeters,0),ROUNDUP((COLUMN()+1)/3-2,0))),"")</f>
        <v/>
      </c>
      <c r="AB262" s="127"/>
      <c r="AC262" s="127"/>
      <c r="AD262" s="58" t="str" cm="1">
        <f>IFERROR(IF(ISBLANK($A262),"",INDEX(Array_StationaryCharges,MATCH($A262,List_StationaryFuelMeters,0),ROUNDUP((COLUMN()+1)/3-2,0))),"")</f>
        <v/>
      </c>
      <c r="AE262" s="127"/>
      <c r="AF262" s="127"/>
      <c r="AG262" s="58" t="str" cm="1">
        <f>IFERROR(IF(ISBLANK($A262),"",INDEX(Array_StationaryCharges,MATCH($A262,List_StationaryFuelMeters,0),ROUNDUP((COLUMN()+1)/3-2,0))),"")</f>
        <v/>
      </c>
      <c r="AH262" s="127"/>
      <c r="AI262" s="127"/>
      <c r="AJ262" s="58" t="str" cm="1">
        <f>IFERROR(IF(ISBLANK($A262),"",INDEX(Array_StationaryCharges,MATCH($A262,List_StationaryFuelMeters,0),ROUNDUP((COLUMN()+1)/3-2,0))),"")</f>
        <v/>
      </c>
      <c r="AK262" s="127"/>
      <c r="AL262" s="127"/>
      <c r="AM262" s="58" t="str" cm="1">
        <f>IFERROR(IF(ISBLANK($A262),"",INDEX(Array_StationaryCharges,MATCH($A262,List_StationaryFuelMeters,0),ROUNDUP((COLUMN()+1)/3-2,0))),"")</f>
        <v/>
      </c>
      <c r="AN262" s="127"/>
      <c r="AO262" s="127"/>
      <c r="AP262" s="58" t="str" cm="1">
        <f>IFERROR(IF(ISBLANK($A262),"",INDEX(Array_StationaryCharges,MATCH($A262,List_StationaryFuelMeters,0),ROUNDUP((COLUMN()+1)/3-2,0))),"")</f>
        <v/>
      </c>
      <c r="AQ262" s="127"/>
      <c r="AR262" s="127"/>
      <c r="AS262" s="58" t="str" cm="1">
        <f>IFERROR(IF(ISBLANK($A262),"",INDEX(Array_StationaryCharges,MATCH($A262,List_StationaryFuelMeters,0),ROUNDUP((COLUMN()+1)/3-2,0))),"")</f>
        <v/>
      </c>
      <c r="AT262" s="127"/>
      <c r="AU262" s="127"/>
      <c r="AV262" s="58" t="str" cm="1">
        <f>IFERROR(IF(ISBLANK($A262),"",INDEX(Array_StationaryCharges,MATCH($A262,List_StationaryFuelMeters,0),ROUNDUP((COLUMN()+1)/3-2,0))),"")</f>
        <v/>
      </c>
      <c r="AW262" s="127"/>
      <c r="AX262" s="127"/>
    </row>
    <row r="263" spans="1:50" x14ac:dyDescent="0.3">
      <c r="A263" s="126"/>
      <c r="B263" s="133"/>
      <c r="C263" s="127"/>
      <c r="D263" s="138"/>
      <c r="E263" s="138"/>
      <c r="F263" s="58" t="str" cm="1">
        <f>IFERROR(IF(ISBLANK($A263),"",INDEX(Array_StationaryCharges,MATCH($A263,List_StationaryFuelMeters,0),ROUNDUP((COLUMN()+1)/3-2,0))),"")</f>
        <v/>
      </c>
      <c r="G263" s="127"/>
      <c r="H263" s="127"/>
      <c r="I263" s="58" t="str" cm="1">
        <f>IFERROR(IF(ISBLANK($A263),"",INDEX(Array_StationaryCharges,MATCH($A263,List_StationaryFuelMeters,0),ROUNDUP((COLUMN()+1)/3-2,0))),"")</f>
        <v/>
      </c>
      <c r="J263" s="127"/>
      <c r="K263" s="127"/>
      <c r="L263" s="58" t="str" cm="1">
        <f>IFERROR(IF(ISBLANK($A263),"",INDEX(Array_StationaryCharges,MATCH($A263,List_StationaryFuelMeters,0),ROUNDUP((COLUMN()+1)/3-2,0))),"")</f>
        <v/>
      </c>
      <c r="M263" s="127"/>
      <c r="N263" s="127"/>
      <c r="O263" s="58" t="str" cm="1">
        <f>IFERROR(IF(ISBLANK($A263),"",INDEX(Array_StationaryCharges,MATCH($A263,List_StationaryFuelMeters,0),ROUNDUP((COLUMN()+1)/3-2,0))),"")</f>
        <v/>
      </c>
      <c r="P263" s="127"/>
      <c r="Q263" s="127"/>
      <c r="R263" s="58" t="str" cm="1">
        <f>IFERROR(IF(ISBLANK($A263),"",INDEX(Array_StationaryCharges,MATCH($A263,List_StationaryFuelMeters,0),ROUNDUP((COLUMN()+1)/3-2,0))),"")</f>
        <v/>
      </c>
      <c r="S263" s="127"/>
      <c r="T263" s="127"/>
      <c r="U263" s="58" t="str" cm="1">
        <f>IFERROR(IF(ISBLANK($A263),"",INDEX(Array_StationaryCharges,MATCH($A263,List_StationaryFuelMeters,0),ROUNDUP((COLUMN()+1)/3-2,0))),"")</f>
        <v/>
      </c>
      <c r="V263" s="127"/>
      <c r="W263" s="127"/>
      <c r="X263" s="58" t="str" cm="1">
        <f>IFERROR(IF(ISBLANK($A263),"",INDEX(Array_StationaryCharges,MATCH($A263,List_StationaryFuelMeters,0),ROUNDUP((COLUMN()+1)/3-2,0))),"")</f>
        <v/>
      </c>
      <c r="Y263" s="127"/>
      <c r="Z263" s="127"/>
      <c r="AA263" s="58" t="str" cm="1">
        <f>IFERROR(IF(ISBLANK($A263),"",INDEX(Array_StationaryCharges,MATCH($A263,List_StationaryFuelMeters,0),ROUNDUP((COLUMN()+1)/3-2,0))),"")</f>
        <v/>
      </c>
      <c r="AB263" s="127"/>
      <c r="AC263" s="127"/>
      <c r="AD263" s="58" t="str" cm="1">
        <f>IFERROR(IF(ISBLANK($A263),"",INDEX(Array_StationaryCharges,MATCH($A263,List_StationaryFuelMeters,0),ROUNDUP((COLUMN()+1)/3-2,0))),"")</f>
        <v/>
      </c>
      <c r="AE263" s="127"/>
      <c r="AF263" s="127"/>
      <c r="AG263" s="58" t="str" cm="1">
        <f>IFERROR(IF(ISBLANK($A263),"",INDEX(Array_StationaryCharges,MATCH($A263,List_StationaryFuelMeters,0),ROUNDUP((COLUMN()+1)/3-2,0))),"")</f>
        <v/>
      </c>
      <c r="AH263" s="127"/>
      <c r="AI263" s="127"/>
      <c r="AJ263" s="58" t="str" cm="1">
        <f>IFERROR(IF(ISBLANK($A263),"",INDEX(Array_StationaryCharges,MATCH($A263,List_StationaryFuelMeters,0),ROUNDUP((COLUMN()+1)/3-2,0))),"")</f>
        <v/>
      </c>
      <c r="AK263" s="127"/>
      <c r="AL263" s="127"/>
      <c r="AM263" s="58" t="str" cm="1">
        <f>IFERROR(IF(ISBLANK($A263),"",INDEX(Array_StationaryCharges,MATCH($A263,List_StationaryFuelMeters,0),ROUNDUP((COLUMN()+1)/3-2,0))),"")</f>
        <v/>
      </c>
      <c r="AN263" s="127"/>
      <c r="AO263" s="127"/>
      <c r="AP263" s="58" t="str" cm="1">
        <f>IFERROR(IF(ISBLANK($A263),"",INDEX(Array_StationaryCharges,MATCH($A263,List_StationaryFuelMeters,0),ROUNDUP((COLUMN()+1)/3-2,0))),"")</f>
        <v/>
      </c>
      <c r="AQ263" s="127"/>
      <c r="AR263" s="127"/>
      <c r="AS263" s="58" t="str" cm="1">
        <f>IFERROR(IF(ISBLANK($A263),"",INDEX(Array_StationaryCharges,MATCH($A263,List_StationaryFuelMeters,0),ROUNDUP((COLUMN()+1)/3-2,0))),"")</f>
        <v/>
      </c>
      <c r="AT263" s="127"/>
      <c r="AU263" s="127"/>
      <c r="AV263" s="58" t="str" cm="1">
        <f>IFERROR(IF(ISBLANK($A263),"",INDEX(Array_StationaryCharges,MATCH($A263,List_StationaryFuelMeters,0),ROUNDUP((COLUMN()+1)/3-2,0))),"")</f>
        <v/>
      </c>
      <c r="AW263" s="127"/>
      <c r="AX263" s="127"/>
    </row>
    <row r="264" spans="1:50" x14ac:dyDescent="0.3">
      <c r="A264" s="126"/>
      <c r="B264" s="133"/>
      <c r="C264" s="127"/>
      <c r="D264" s="138"/>
      <c r="E264" s="138"/>
      <c r="F264" s="58" t="str" cm="1">
        <f>IFERROR(IF(ISBLANK($A264),"",INDEX(Array_StationaryCharges,MATCH($A264,List_StationaryFuelMeters,0),ROUNDUP((COLUMN()+1)/3-2,0))),"")</f>
        <v/>
      </c>
      <c r="G264" s="127"/>
      <c r="H264" s="127"/>
      <c r="I264" s="58" t="str" cm="1">
        <f>IFERROR(IF(ISBLANK($A264),"",INDEX(Array_StationaryCharges,MATCH($A264,List_StationaryFuelMeters,0),ROUNDUP((COLUMN()+1)/3-2,0))),"")</f>
        <v/>
      </c>
      <c r="J264" s="127"/>
      <c r="K264" s="127"/>
      <c r="L264" s="58" t="str" cm="1">
        <f>IFERROR(IF(ISBLANK($A264),"",INDEX(Array_StationaryCharges,MATCH($A264,List_StationaryFuelMeters,0),ROUNDUP((COLUMN()+1)/3-2,0))),"")</f>
        <v/>
      </c>
      <c r="M264" s="127"/>
      <c r="N264" s="127"/>
      <c r="O264" s="58" t="str" cm="1">
        <f>IFERROR(IF(ISBLANK($A264),"",INDEX(Array_StationaryCharges,MATCH($A264,List_StationaryFuelMeters,0),ROUNDUP((COLUMN()+1)/3-2,0))),"")</f>
        <v/>
      </c>
      <c r="P264" s="127"/>
      <c r="Q264" s="127"/>
      <c r="R264" s="58" t="str" cm="1">
        <f>IFERROR(IF(ISBLANK($A264),"",INDEX(Array_StationaryCharges,MATCH($A264,List_StationaryFuelMeters,0),ROUNDUP((COLUMN()+1)/3-2,0))),"")</f>
        <v/>
      </c>
      <c r="S264" s="127"/>
      <c r="T264" s="127"/>
      <c r="U264" s="58" t="str" cm="1">
        <f>IFERROR(IF(ISBLANK($A264),"",INDEX(Array_StationaryCharges,MATCH($A264,List_StationaryFuelMeters,0),ROUNDUP((COLUMN()+1)/3-2,0))),"")</f>
        <v/>
      </c>
      <c r="V264" s="127"/>
      <c r="W264" s="127"/>
      <c r="X264" s="58" t="str" cm="1">
        <f>IFERROR(IF(ISBLANK($A264),"",INDEX(Array_StationaryCharges,MATCH($A264,List_StationaryFuelMeters,0),ROUNDUP((COLUMN()+1)/3-2,0))),"")</f>
        <v/>
      </c>
      <c r="Y264" s="127"/>
      <c r="Z264" s="127"/>
      <c r="AA264" s="58" t="str" cm="1">
        <f>IFERROR(IF(ISBLANK($A264),"",INDEX(Array_StationaryCharges,MATCH($A264,List_StationaryFuelMeters,0),ROUNDUP((COLUMN()+1)/3-2,0))),"")</f>
        <v/>
      </c>
      <c r="AB264" s="127"/>
      <c r="AC264" s="127"/>
      <c r="AD264" s="58" t="str" cm="1">
        <f>IFERROR(IF(ISBLANK($A264),"",INDEX(Array_StationaryCharges,MATCH($A264,List_StationaryFuelMeters,0),ROUNDUP((COLUMN()+1)/3-2,0))),"")</f>
        <v/>
      </c>
      <c r="AE264" s="127"/>
      <c r="AF264" s="127"/>
      <c r="AG264" s="58" t="str" cm="1">
        <f>IFERROR(IF(ISBLANK($A264),"",INDEX(Array_StationaryCharges,MATCH($A264,List_StationaryFuelMeters,0),ROUNDUP((COLUMN()+1)/3-2,0))),"")</f>
        <v/>
      </c>
      <c r="AH264" s="127"/>
      <c r="AI264" s="127"/>
      <c r="AJ264" s="58" t="str" cm="1">
        <f>IFERROR(IF(ISBLANK($A264),"",INDEX(Array_StationaryCharges,MATCH($A264,List_StationaryFuelMeters,0),ROUNDUP((COLUMN()+1)/3-2,0))),"")</f>
        <v/>
      </c>
      <c r="AK264" s="127"/>
      <c r="AL264" s="127"/>
      <c r="AM264" s="58" t="str" cm="1">
        <f>IFERROR(IF(ISBLANK($A264),"",INDEX(Array_StationaryCharges,MATCH($A264,List_StationaryFuelMeters,0),ROUNDUP((COLUMN()+1)/3-2,0))),"")</f>
        <v/>
      </c>
      <c r="AN264" s="127"/>
      <c r="AO264" s="127"/>
      <c r="AP264" s="58" t="str" cm="1">
        <f>IFERROR(IF(ISBLANK($A264),"",INDEX(Array_StationaryCharges,MATCH($A264,List_StationaryFuelMeters,0),ROUNDUP((COLUMN()+1)/3-2,0))),"")</f>
        <v/>
      </c>
      <c r="AQ264" s="127"/>
      <c r="AR264" s="127"/>
      <c r="AS264" s="58" t="str" cm="1">
        <f>IFERROR(IF(ISBLANK($A264),"",INDEX(Array_StationaryCharges,MATCH($A264,List_StationaryFuelMeters,0),ROUNDUP((COLUMN()+1)/3-2,0))),"")</f>
        <v/>
      </c>
      <c r="AT264" s="127"/>
      <c r="AU264" s="127"/>
      <c r="AV264" s="58" t="str" cm="1">
        <f>IFERROR(IF(ISBLANK($A264),"",INDEX(Array_StationaryCharges,MATCH($A264,List_StationaryFuelMeters,0),ROUNDUP((COLUMN()+1)/3-2,0))),"")</f>
        <v/>
      </c>
      <c r="AW264" s="127"/>
      <c r="AX264" s="127"/>
    </row>
    <row r="265" spans="1:50" x14ac:dyDescent="0.3">
      <c r="A265" s="126"/>
      <c r="B265" s="133"/>
      <c r="C265" s="127"/>
      <c r="D265" s="138"/>
      <c r="E265" s="138"/>
      <c r="F265" s="58" t="str" cm="1">
        <f>IFERROR(IF(ISBLANK($A265),"",INDEX(Array_StationaryCharges,MATCH($A265,List_StationaryFuelMeters,0),ROUNDUP((COLUMN()+1)/3-2,0))),"")</f>
        <v/>
      </c>
      <c r="G265" s="127"/>
      <c r="H265" s="127"/>
      <c r="I265" s="58" t="str" cm="1">
        <f>IFERROR(IF(ISBLANK($A265),"",INDEX(Array_StationaryCharges,MATCH($A265,List_StationaryFuelMeters,0),ROUNDUP((COLUMN()+1)/3-2,0))),"")</f>
        <v/>
      </c>
      <c r="J265" s="127"/>
      <c r="K265" s="127"/>
      <c r="L265" s="58" t="str" cm="1">
        <f>IFERROR(IF(ISBLANK($A265),"",INDEX(Array_StationaryCharges,MATCH($A265,List_StationaryFuelMeters,0),ROUNDUP((COLUMN()+1)/3-2,0))),"")</f>
        <v/>
      </c>
      <c r="M265" s="127"/>
      <c r="N265" s="127"/>
      <c r="O265" s="58" t="str" cm="1">
        <f>IFERROR(IF(ISBLANK($A265),"",INDEX(Array_StationaryCharges,MATCH($A265,List_StationaryFuelMeters,0),ROUNDUP((COLUMN()+1)/3-2,0))),"")</f>
        <v/>
      </c>
      <c r="P265" s="127"/>
      <c r="Q265" s="127"/>
      <c r="R265" s="58" t="str" cm="1">
        <f>IFERROR(IF(ISBLANK($A265),"",INDEX(Array_StationaryCharges,MATCH($A265,List_StationaryFuelMeters,0),ROUNDUP((COLUMN()+1)/3-2,0))),"")</f>
        <v/>
      </c>
      <c r="S265" s="127"/>
      <c r="T265" s="127"/>
      <c r="U265" s="58" t="str" cm="1">
        <f>IFERROR(IF(ISBLANK($A265),"",INDEX(Array_StationaryCharges,MATCH($A265,List_StationaryFuelMeters,0),ROUNDUP((COLUMN()+1)/3-2,0))),"")</f>
        <v/>
      </c>
      <c r="V265" s="127"/>
      <c r="W265" s="127"/>
      <c r="X265" s="58" t="str" cm="1">
        <f>IFERROR(IF(ISBLANK($A265),"",INDEX(Array_StationaryCharges,MATCH($A265,List_StationaryFuelMeters,0),ROUNDUP((COLUMN()+1)/3-2,0))),"")</f>
        <v/>
      </c>
      <c r="Y265" s="127"/>
      <c r="Z265" s="127"/>
      <c r="AA265" s="58" t="str" cm="1">
        <f>IFERROR(IF(ISBLANK($A265),"",INDEX(Array_StationaryCharges,MATCH($A265,List_StationaryFuelMeters,0),ROUNDUP((COLUMN()+1)/3-2,0))),"")</f>
        <v/>
      </c>
      <c r="AB265" s="127"/>
      <c r="AC265" s="127"/>
      <c r="AD265" s="58" t="str" cm="1">
        <f>IFERROR(IF(ISBLANK($A265),"",INDEX(Array_StationaryCharges,MATCH($A265,List_StationaryFuelMeters,0),ROUNDUP((COLUMN()+1)/3-2,0))),"")</f>
        <v/>
      </c>
      <c r="AE265" s="127"/>
      <c r="AF265" s="127"/>
      <c r="AG265" s="58" t="str" cm="1">
        <f>IFERROR(IF(ISBLANK($A265),"",INDEX(Array_StationaryCharges,MATCH($A265,List_StationaryFuelMeters,0),ROUNDUP((COLUMN()+1)/3-2,0))),"")</f>
        <v/>
      </c>
      <c r="AH265" s="127"/>
      <c r="AI265" s="127"/>
      <c r="AJ265" s="58" t="str" cm="1">
        <f>IFERROR(IF(ISBLANK($A265),"",INDEX(Array_StationaryCharges,MATCH($A265,List_StationaryFuelMeters,0),ROUNDUP((COLUMN()+1)/3-2,0))),"")</f>
        <v/>
      </c>
      <c r="AK265" s="127"/>
      <c r="AL265" s="127"/>
      <c r="AM265" s="58" t="str" cm="1">
        <f>IFERROR(IF(ISBLANK($A265),"",INDEX(Array_StationaryCharges,MATCH($A265,List_StationaryFuelMeters,0),ROUNDUP((COLUMN()+1)/3-2,0))),"")</f>
        <v/>
      </c>
      <c r="AN265" s="127"/>
      <c r="AO265" s="127"/>
      <c r="AP265" s="58" t="str" cm="1">
        <f>IFERROR(IF(ISBLANK($A265),"",INDEX(Array_StationaryCharges,MATCH($A265,List_StationaryFuelMeters,0),ROUNDUP((COLUMN()+1)/3-2,0))),"")</f>
        <v/>
      </c>
      <c r="AQ265" s="127"/>
      <c r="AR265" s="127"/>
      <c r="AS265" s="58" t="str" cm="1">
        <f>IFERROR(IF(ISBLANK($A265),"",INDEX(Array_StationaryCharges,MATCH($A265,List_StationaryFuelMeters,0),ROUNDUP((COLUMN()+1)/3-2,0))),"")</f>
        <v/>
      </c>
      <c r="AT265" s="127"/>
      <c r="AU265" s="127"/>
      <c r="AV265" s="58" t="str" cm="1">
        <f>IFERROR(IF(ISBLANK($A265),"",INDEX(Array_StationaryCharges,MATCH($A265,List_StationaryFuelMeters,0),ROUNDUP((COLUMN()+1)/3-2,0))),"")</f>
        <v/>
      </c>
      <c r="AW265" s="127"/>
      <c r="AX265" s="127"/>
    </row>
    <row r="266" spans="1:50" x14ac:dyDescent="0.3">
      <c r="A266" s="126"/>
      <c r="B266" s="133"/>
      <c r="C266" s="127"/>
      <c r="D266" s="138"/>
      <c r="E266" s="138"/>
      <c r="F266" s="58" t="str" cm="1">
        <f>IFERROR(IF(ISBLANK($A266),"",INDEX(Array_StationaryCharges,MATCH($A266,List_StationaryFuelMeters,0),ROUNDUP((COLUMN()+1)/3-2,0))),"")</f>
        <v/>
      </c>
      <c r="G266" s="127"/>
      <c r="H266" s="127"/>
      <c r="I266" s="58" t="str" cm="1">
        <f>IFERROR(IF(ISBLANK($A266),"",INDEX(Array_StationaryCharges,MATCH($A266,List_StationaryFuelMeters,0),ROUNDUP((COLUMN()+1)/3-2,0))),"")</f>
        <v/>
      </c>
      <c r="J266" s="127"/>
      <c r="K266" s="127"/>
      <c r="L266" s="58" t="str" cm="1">
        <f>IFERROR(IF(ISBLANK($A266),"",INDEX(Array_StationaryCharges,MATCH($A266,List_StationaryFuelMeters,0),ROUNDUP((COLUMN()+1)/3-2,0))),"")</f>
        <v/>
      </c>
      <c r="M266" s="127"/>
      <c r="N266" s="127"/>
      <c r="O266" s="58" t="str" cm="1">
        <f>IFERROR(IF(ISBLANK($A266),"",INDEX(Array_StationaryCharges,MATCH($A266,List_StationaryFuelMeters,0),ROUNDUP((COLUMN()+1)/3-2,0))),"")</f>
        <v/>
      </c>
      <c r="P266" s="127"/>
      <c r="Q266" s="127"/>
      <c r="R266" s="58" t="str" cm="1">
        <f>IFERROR(IF(ISBLANK($A266),"",INDEX(Array_StationaryCharges,MATCH($A266,List_StationaryFuelMeters,0),ROUNDUP((COLUMN()+1)/3-2,0))),"")</f>
        <v/>
      </c>
      <c r="S266" s="127"/>
      <c r="T266" s="127"/>
      <c r="U266" s="58" t="str" cm="1">
        <f>IFERROR(IF(ISBLANK($A266),"",INDEX(Array_StationaryCharges,MATCH($A266,List_StationaryFuelMeters,0),ROUNDUP((COLUMN()+1)/3-2,0))),"")</f>
        <v/>
      </c>
      <c r="V266" s="127"/>
      <c r="W266" s="127"/>
      <c r="X266" s="58" t="str" cm="1">
        <f>IFERROR(IF(ISBLANK($A266),"",INDEX(Array_StationaryCharges,MATCH($A266,List_StationaryFuelMeters,0),ROUNDUP((COLUMN()+1)/3-2,0))),"")</f>
        <v/>
      </c>
      <c r="Y266" s="127"/>
      <c r="Z266" s="127"/>
      <c r="AA266" s="58" t="str" cm="1">
        <f>IFERROR(IF(ISBLANK($A266),"",INDEX(Array_StationaryCharges,MATCH($A266,List_StationaryFuelMeters,0),ROUNDUP((COLUMN()+1)/3-2,0))),"")</f>
        <v/>
      </c>
      <c r="AB266" s="127"/>
      <c r="AC266" s="127"/>
      <c r="AD266" s="58" t="str" cm="1">
        <f>IFERROR(IF(ISBLANK($A266),"",INDEX(Array_StationaryCharges,MATCH($A266,List_StationaryFuelMeters,0),ROUNDUP((COLUMN()+1)/3-2,0))),"")</f>
        <v/>
      </c>
      <c r="AE266" s="127"/>
      <c r="AF266" s="127"/>
      <c r="AG266" s="58" t="str" cm="1">
        <f>IFERROR(IF(ISBLANK($A266),"",INDEX(Array_StationaryCharges,MATCH($A266,List_StationaryFuelMeters,0),ROUNDUP((COLUMN()+1)/3-2,0))),"")</f>
        <v/>
      </c>
      <c r="AH266" s="127"/>
      <c r="AI266" s="127"/>
      <c r="AJ266" s="58" t="str" cm="1">
        <f>IFERROR(IF(ISBLANK($A266),"",INDEX(Array_StationaryCharges,MATCH($A266,List_StationaryFuelMeters,0),ROUNDUP((COLUMN()+1)/3-2,0))),"")</f>
        <v/>
      </c>
      <c r="AK266" s="127"/>
      <c r="AL266" s="127"/>
      <c r="AM266" s="58" t="str" cm="1">
        <f>IFERROR(IF(ISBLANK($A266),"",INDEX(Array_StationaryCharges,MATCH($A266,List_StationaryFuelMeters,0),ROUNDUP((COLUMN()+1)/3-2,0))),"")</f>
        <v/>
      </c>
      <c r="AN266" s="127"/>
      <c r="AO266" s="127"/>
      <c r="AP266" s="58" t="str" cm="1">
        <f>IFERROR(IF(ISBLANK($A266),"",INDEX(Array_StationaryCharges,MATCH($A266,List_StationaryFuelMeters,0),ROUNDUP((COLUMN()+1)/3-2,0))),"")</f>
        <v/>
      </c>
      <c r="AQ266" s="127"/>
      <c r="AR266" s="127"/>
      <c r="AS266" s="58" t="str" cm="1">
        <f>IFERROR(IF(ISBLANK($A266),"",INDEX(Array_StationaryCharges,MATCH($A266,List_StationaryFuelMeters,0),ROUNDUP((COLUMN()+1)/3-2,0))),"")</f>
        <v/>
      </c>
      <c r="AT266" s="127"/>
      <c r="AU266" s="127"/>
      <c r="AV266" s="58" t="str" cm="1">
        <f>IFERROR(IF(ISBLANK($A266),"",INDEX(Array_StationaryCharges,MATCH($A266,List_StationaryFuelMeters,0),ROUNDUP((COLUMN()+1)/3-2,0))),"")</f>
        <v/>
      </c>
      <c r="AW266" s="127"/>
      <c r="AX266" s="127"/>
    </row>
    <row r="267" spans="1:50" x14ac:dyDescent="0.3">
      <c r="A267" s="126"/>
      <c r="B267" s="133"/>
      <c r="C267" s="127"/>
      <c r="D267" s="138"/>
      <c r="E267" s="138"/>
      <c r="F267" s="58" t="str" cm="1">
        <f>IFERROR(IF(ISBLANK($A267),"",INDEX(Array_StationaryCharges,MATCH($A267,List_StationaryFuelMeters,0),ROUNDUP((COLUMN()+1)/3-2,0))),"")</f>
        <v/>
      </c>
      <c r="G267" s="127"/>
      <c r="H267" s="127"/>
      <c r="I267" s="58" t="str" cm="1">
        <f>IFERROR(IF(ISBLANK($A267),"",INDEX(Array_StationaryCharges,MATCH($A267,List_StationaryFuelMeters,0),ROUNDUP((COLUMN()+1)/3-2,0))),"")</f>
        <v/>
      </c>
      <c r="J267" s="127"/>
      <c r="K267" s="127"/>
      <c r="L267" s="58" t="str" cm="1">
        <f>IFERROR(IF(ISBLANK($A267),"",INDEX(Array_StationaryCharges,MATCH($A267,List_StationaryFuelMeters,0),ROUNDUP((COLUMN()+1)/3-2,0))),"")</f>
        <v/>
      </c>
      <c r="M267" s="127"/>
      <c r="N267" s="127"/>
      <c r="O267" s="58" t="str" cm="1">
        <f>IFERROR(IF(ISBLANK($A267),"",INDEX(Array_StationaryCharges,MATCH($A267,List_StationaryFuelMeters,0),ROUNDUP((COLUMN()+1)/3-2,0))),"")</f>
        <v/>
      </c>
      <c r="P267" s="127"/>
      <c r="Q267" s="127"/>
      <c r="R267" s="58" t="str" cm="1">
        <f>IFERROR(IF(ISBLANK($A267),"",INDEX(Array_StationaryCharges,MATCH($A267,List_StationaryFuelMeters,0),ROUNDUP((COLUMN()+1)/3-2,0))),"")</f>
        <v/>
      </c>
      <c r="S267" s="127"/>
      <c r="T267" s="127"/>
      <c r="U267" s="58" t="str" cm="1">
        <f>IFERROR(IF(ISBLANK($A267),"",INDEX(Array_StationaryCharges,MATCH($A267,List_StationaryFuelMeters,0),ROUNDUP((COLUMN()+1)/3-2,0))),"")</f>
        <v/>
      </c>
      <c r="V267" s="127"/>
      <c r="W267" s="127"/>
      <c r="X267" s="58" t="str" cm="1">
        <f>IFERROR(IF(ISBLANK($A267),"",INDEX(Array_StationaryCharges,MATCH($A267,List_StationaryFuelMeters,0),ROUNDUP((COLUMN()+1)/3-2,0))),"")</f>
        <v/>
      </c>
      <c r="Y267" s="127"/>
      <c r="Z267" s="127"/>
      <c r="AA267" s="58" t="str" cm="1">
        <f>IFERROR(IF(ISBLANK($A267),"",INDEX(Array_StationaryCharges,MATCH($A267,List_StationaryFuelMeters,0),ROUNDUP((COLUMN()+1)/3-2,0))),"")</f>
        <v/>
      </c>
      <c r="AB267" s="127"/>
      <c r="AC267" s="127"/>
      <c r="AD267" s="58" t="str" cm="1">
        <f>IFERROR(IF(ISBLANK($A267),"",INDEX(Array_StationaryCharges,MATCH($A267,List_StationaryFuelMeters,0),ROUNDUP((COLUMN()+1)/3-2,0))),"")</f>
        <v/>
      </c>
      <c r="AE267" s="127"/>
      <c r="AF267" s="127"/>
      <c r="AG267" s="58" t="str" cm="1">
        <f>IFERROR(IF(ISBLANK($A267),"",INDEX(Array_StationaryCharges,MATCH($A267,List_StationaryFuelMeters,0),ROUNDUP((COLUMN()+1)/3-2,0))),"")</f>
        <v/>
      </c>
      <c r="AH267" s="127"/>
      <c r="AI267" s="127"/>
      <c r="AJ267" s="58" t="str" cm="1">
        <f>IFERROR(IF(ISBLANK($A267),"",INDEX(Array_StationaryCharges,MATCH($A267,List_StationaryFuelMeters,0),ROUNDUP((COLUMN()+1)/3-2,0))),"")</f>
        <v/>
      </c>
      <c r="AK267" s="127"/>
      <c r="AL267" s="127"/>
      <c r="AM267" s="58" t="str" cm="1">
        <f>IFERROR(IF(ISBLANK($A267),"",INDEX(Array_StationaryCharges,MATCH($A267,List_StationaryFuelMeters,0),ROUNDUP((COLUMN()+1)/3-2,0))),"")</f>
        <v/>
      </c>
      <c r="AN267" s="127"/>
      <c r="AO267" s="127"/>
      <c r="AP267" s="58" t="str" cm="1">
        <f>IFERROR(IF(ISBLANK($A267),"",INDEX(Array_StationaryCharges,MATCH($A267,List_StationaryFuelMeters,0),ROUNDUP((COLUMN()+1)/3-2,0))),"")</f>
        <v/>
      </c>
      <c r="AQ267" s="127"/>
      <c r="AR267" s="127"/>
      <c r="AS267" s="58" t="str" cm="1">
        <f>IFERROR(IF(ISBLANK($A267),"",INDEX(Array_StationaryCharges,MATCH($A267,List_StationaryFuelMeters,0),ROUNDUP((COLUMN()+1)/3-2,0))),"")</f>
        <v/>
      </c>
      <c r="AT267" s="127"/>
      <c r="AU267" s="127"/>
      <c r="AV267" s="58" t="str" cm="1">
        <f>IFERROR(IF(ISBLANK($A267),"",INDEX(Array_StationaryCharges,MATCH($A267,List_StationaryFuelMeters,0),ROUNDUP((COLUMN()+1)/3-2,0))),"")</f>
        <v/>
      </c>
      <c r="AW267" s="127"/>
      <c r="AX267" s="127"/>
    </row>
    <row r="268" spans="1:50" x14ac:dyDescent="0.3">
      <c r="A268" s="126"/>
      <c r="B268" s="133"/>
      <c r="C268" s="127"/>
      <c r="D268" s="138"/>
      <c r="E268" s="138"/>
      <c r="F268" s="58" t="str" cm="1">
        <f>IFERROR(IF(ISBLANK($A268),"",INDEX(Array_StationaryCharges,MATCH($A268,List_StationaryFuelMeters,0),ROUNDUP((COLUMN()+1)/3-2,0))),"")</f>
        <v/>
      </c>
      <c r="G268" s="127"/>
      <c r="H268" s="127"/>
      <c r="I268" s="58" t="str" cm="1">
        <f>IFERROR(IF(ISBLANK($A268),"",INDEX(Array_StationaryCharges,MATCH($A268,List_StationaryFuelMeters,0),ROUNDUP((COLUMN()+1)/3-2,0))),"")</f>
        <v/>
      </c>
      <c r="J268" s="127"/>
      <c r="K268" s="127"/>
      <c r="L268" s="58" t="str" cm="1">
        <f>IFERROR(IF(ISBLANK($A268),"",INDEX(Array_StationaryCharges,MATCH($A268,List_StationaryFuelMeters,0),ROUNDUP((COLUMN()+1)/3-2,0))),"")</f>
        <v/>
      </c>
      <c r="M268" s="127"/>
      <c r="N268" s="127"/>
      <c r="O268" s="58" t="str" cm="1">
        <f>IFERROR(IF(ISBLANK($A268),"",INDEX(Array_StationaryCharges,MATCH($A268,List_StationaryFuelMeters,0),ROUNDUP((COLUMN()+1)/3-2,0))),"")</f>
        <v/>
      </c>
      <c r="P268" s="127"/>
      <c r="Q268" s="127"/>
      <c r="R268" s="58" t="str" cm="1">
        <f>IFERROR(IF(ISBLANK($A268),"",INDEX(Array_StationaryCharges,MATCH($A268,List_StationaryFuelMeters,0),ROUNDUP((COLUMN()+1)/3-2,0))),"")</f>
        <v/>
      </c>
      <c r="S268" s="127"/>
      <c r="T268" s="127"/>
      <c r="U268" s="58" t="str" cm="1">
        <f>IFERROR(IF(ISBLANK($A268),"",INDEX(Array_StationaryCharges,MATCH($A268,List_StationaryFuelMeters,0),ROUNDUP((COLUMN()+1)/3-2,0))),"")</f>
        <v/>
      </c>
      <c r="V268" s="127"/>
      <c r="W268" s="127"/>
      <c r="X268" s="58" t="str" cm="1">
        <f>IFERROR(IF(ISBLANK($A268),"",INDEX(Array_StationaryCharges,MATCH($A268,List_StationaryFuelMeters,0),ROUNDUP((COLUMN()+1)/3-2,0))),"")</f>
        <v/>
      </c>
      <c r="Y268" s="127"/>
      <c r="Z268" s="127"/>
      <c r="AA268" s="58" t="str" cm="1">
        <f>IFERROR(IF(ISBLANK($A268),"",INDEX(Array_StationaryCharges,MATCH($A268,List_StationaryFuelMeters,0),ROUNDUP((COLUMN()+1)/3-2,0))),"")</f>
        <v/>
      </c>
      <c r="AB268" s="127"/>
      <c r="AC268" s="127"/>
      <c r="AD268" s="58" t="str" cm="1">
        <f>IFERROR(IF(ISBLANK($A268),"",INDEX(Array_StationaryCharges,MATCH($A268,List_StationaryFuelMeters,0),ROUNDUP((COLUMN()+1)/3-2,0))),"")</f>
        <v/>
      </c>
      <c r="AE268" s="127"/>
      <c r="AF268" s="127"/>
      <c r="AG268" s="58" t="str" cm="1">
        <f>IFERROR(IF(ISBLANK($A268),"",INDEX(Array_StationaryCharges,MATCH($A268,List_StationaryFuelMeters,0),ROUNDUP((COLUMN()+1)/3-2,0))),"")</f>
        <v/>
      </c>
      <c r="AH268" s="127"/>
      <c r="AI268" s="127"/>
      <c r="AJ268" s="58" t="str" cm="1">
        <f>IFERROR(IF(ISBLANK($A268),"",INDEX(Array_StationaryCharges,MATCH($A268,List_StationaryFuelMeters,0),ROUNDUP((COLUMN()+1)/3-2,0))),"")</f>
        <v/>
      </c>
      <c r="AK268" s="127"/>
      <c r="AL268" s="127"/>
      <c r="AM268" s="58" t="str" cm="1">
        <f>IFERROR(IF(ISBLANK($A268),"",INDEX(Array_StationaryCharges,MATCH($A268,List_StationaryFuelMeters,0),ROUNDUP((COLUMN()+1)/3-2,0))),"")</f>
        <v/>
      </c>
      <c r="AN268" s="127"/>
      <c r="AO268" s="127"/>
      <c r="AP268" s="58" t="str" cm="1">
        <f>IFERROR(IF(ISBLANK($A268),"",INDEX(Array_StationaryCharges,MATCH($A268,List_StationaryFuelMeters,0),ROUNDUP((COLUMN()+1)/3-2,0))),"")</f>
        <v/>
      </c>
      <c r="AQ268" s="127"/>
      <c r="AR268" s="127"/>
      <c r="AS268" s="58" t="str" cm="1">
        <f>IFERROR(IF(ISBLANK($A268),"",INDEX(Array_StationaryCharges,MATCH($A268,List_StationaryFuelMeters,0),ROUNDUP((COLUMN()+1)/3-2,0))),"")</f>
        <v/>
      </c>
      <c r="AT268" s="127"/>
      <c r="AU268" s="127"/>
      <c r="AV268" s="58" t="str" cm="1">
        <f>IFERROR(IF(ISBLANK($A268),"",INDEX(Array_StationaryCharges,MATCH($A268,List_StationaryFuelMeters,0),ROUNDUP((COLUMN()+1)/3-2,0))),"")</f>
        <v/>
      </c>
      <c r="AW268" s="127"/>
      <c r="AX268" s="127"/>
    </row>
    <row r="269" spans="1:50" x14ac:dyDescent="0.3">
      <c r="A269" s="126"/>
      <c r="B269" s="133"/>
      <c r="C269" s="127"/>
      <c r="D269" s="138"/>
      <c r="E269" s="138"/>
      <c r="F269" s="58" t="str" cm="1">
        <f>IFERROR(IF(ISBLANK($A269),"",INDEX(Array_StationaryCharges,MATCH($A269,List_StationaryFuelMeters,0),ROUNDUP((COLUMN()+1)/3-2,0))),"")</f>
        <v/>
      </c>
      <c r="G269" s="127"/>
      <c r="H269" s="127"/>
      <c r="I269" s="58" t="str" cm="1">
        <f>IFERROR(IF(ISBLANK($A269),"",INDEX(Array_StationaryCharges,MATCH($A269,List_StationaryFuelMeters,0),ROUNDUP((COLUMN()+1)/3-2,0))),"")</f>
        <v/>
      </c>
      <c r="J269" s="127"/>
      <c r="K269" s="127"/>
      <c r="L269" s="58" t="str" cm="1">
        <f>IFERROR(IF(ISBLANK($A269),"",INDEX(Array_StationaryCharges,MATCH($A269,List_StationaryFuelMeters,0),ROUNDUP((COLUMN()+1)/3-2,0))),"")</f>
        <v/>
      </c>
      <c r="M269" s="127"/>
      <c r="N269" s="127"/>
      <c r="O269" s="58" t="str" cm="1">
        <f>IFERROR(IF(ISBLANK($A269),"",INDEX(Array_StationaryCharges,MATCH($A269,List_StationaryFuelMeters,0),ROUNDUP((COLUMN()+1)/3-2,0))),"")</f>
        <v/>
      </c>
      <c r="P269" s="127"/>
      <c r="Q269" s="127"/>
      <c r="R269" s="58" t="str" cm="1">
        <f>IFERROR(IF(ISBLANK($A269),"",INDEX(Array_StationaryCharges,MATCH($A269,List_StationaryFuelMeters,0),ROUNDUP((COLUMN()+1)/3-2,0))),"")</f>
        <v/>
      </c>
      <c r="S269" s="127"/>
      <c r="T269" s="127"/>
      <c r="U269" s="58" t="str" cm="1">
        <f>IFERROR(IF(ISBLANK($A269),"",INDEX(Array_StationaryCharges,MATCH($A269,List_StationaryFuelMeters,0),ROUNDUP((COLUMN()+1)/3-2,0))),"")</f>
        <v/>
      </c>
      <c r="V269" s="127"/>
      <c r="W269" s="127"/>
      <c r="X269" s="58" t="str" cm="1">
        <f>IFERROR(IF(ISBLANK($A269),"",INDEX(Array_StationaryCharges,MATCH($A269,List_StationaryFuelMeters,0),ROUNDUP((COLUMN()+1)/3-2,0))),"")</f>
        <v/>
      </c>
      <c r="Y269" s="127"/>
      <c r="Z269" s="127"/>
      <c r="AA269" s="58" t="str" cm="1">
        <f>IFERROR(IF(ISBLANK($A269),"",INDEX(Array_StationaryCharges,MATCH($A269,List_StationaryFuelMeters,0),ROUNDUP((COLUMN()+1)/3-2,0))),"")</f>
        <v/>
      </c>
      <c r="AB269" s="127"/>
      <c r="AC269" s="127"/>
      <c r="AD269" s="58" t="str" cm="1">
        <f>IFERROR(IF(ISBLANK($A269),"",INDEX(Array_StationaryCharges,MATCH($A269,List_StationaryFuelMeters,0),ROUNDUP((COLUMN()+1)/3-2,0))),"")</f>
        <v/>
      </c>
      <c r="AE269" s="127"/>
      <c r="AF269" s="127"/>
      <c r="AG269" s="58" t="str" cm="1">
        <f>IFERROR(IF(ISBLANK($A269),"",INDEX(Array_StationaryCharges,MATCH($A269,List_StationaryFuelMeters,0),ROUNDUP((COLUMN()+1)/3-2,0))),"")</f>
        <v/>
      </c>
      <c r="AH269" s="127"/>
      <c r="AI269" s="127"/>
      <c r="AJ269" s="58" t="str" cm="1">
        <f>IFERROR(IF(ISBLANK($A269),"",INDEX(Array_StationaryCharges,MATCH($A269,List_StationaryFuelMeters,0),ROUNDUP((COLUMN()+1)/3-2,0))),"")</f>
        <v/>
      </c>
      <c r="AK269" s="127"/>
      <c r="AL269" s="127"/>
      <c r="AM269" s="58" t="str" cm="1">
        <f>IFERROR(IF(ISBLANK($A269),"",INDEX(Array_StationaryCharges,MATCH($A269,List_StationaryFuelMeters,0),ROUNDUP((COLUMN()+1)/3-2,0))),"")</f>
        <v/>
      </c>
      <c r="AN269" s="127"/>
      <c r="AO269" s="127"/>
      <c r="AP269" s="58" t="str" cm="1">
        <f>IFERROR(IF(ISBLANK($A269),"",INDEX(Array_StationaryCharges,MATCH($A269,List_StationaryFuelMeters,0),ROUNDUP((COLUMN()+1)/3-2,0))),"")</f>
        <v/>
      </c>
      <c r="AQ269" s="127"/>
      <c r="AR269" s="127"/>
      <c r="AS269" s="58" t="str" cm="1">
        <f>IFERROR(IF(ISBLANK($A269),"",INDEX(Array_StationaryCharges,MATCH($A269,List_StationaryFuelMeters,0),ROUNDUP((COLUMN()+1)/3-2,0))),"")</f>
        <v/>
      </c>
      <c r="AT269" s="127"/>
      <c r="AU269" s="127"/>
      <c r="AV269" s="58" t="str" cm="1">
        <f>IFERROR(IF(ISBLANK($A269),"",INDEX(Array_StationaryCharges,MATCH($A269,List_StationaryFuelMeters,0),ROUNDUP((COLUMN()+1)/3-2,0))),"")</f>
        <v/>
      </c>
      <c r="AW269" s="127"/>
      <c r="AX269" s="127"/>
    </row>
    <row r="270" spans="1:50" x14ac:dyDescent="0.3">
      <c r="A270" s="126"/>
      <c r="B270" s="133"/>
      <c r="C270" s="127"/>
      <c r="D270" s="138"/>
      <c r="E270" s="138"/>
      <c r="F270" s="58" t="str" cm="1">
        <f>IFERROR(IF(ISBLANK($A270),"",INDEX(Array_StationaryCharges,MATCH($A270,List_StationaryFuelMeters,0),ROUNDUP((COLUMN()+1)/3-2,0))),"")</f>
        <v/>
      </c>
      <c r="G270" s="127"/>
      <c r="H270" s="127"/>
      <c r="I270" s="58" t="str" cm="1">
        <f>IFERROR(IF(ISBLANK($A270),"",INDEX(Array_StationaryCharges,MATCH($A270,List_StationaryFuelMeters,0),ROUNDUP((COLUMN()+1)/3-2,0))),"")</f>
        <v/>
      </c>
      <c r="J270" s="127"/>
      <c r="K270" s="127"/>
      <c r="L270" s="58" t="str" cm="1">
        <f>IFERROR(IF(ISBLANK($A270),"",INDEX(Array_StationaryCharges,MATCH($A270,List_StationaryFuelMeters,0),ROUNDUP((COLUMN()+1)/3-2,0))),"")</f>
        <v/>
      </c>
      <c r="M270" s="127"/>
      <c r="N270" s="127"/>
      <c r="O270" s="58" t="str" cm="1">
        <f>IFERROR(IF(ISBLANK($A270),"",INDEX(Array_StationaryCharges,MATCH($A270,List_StationaryFuelMeters,0),ROUNDUP((COLUMN()+1)/3-2,0))),"")</f>
        <v/>
      </c>
      <c r="P270" s="127"/>
      <c r="Q270" s="127"/>
      <c r="R270" s="58" t="str" cm="1">
        <f>IFERROR(IF(ISBLANK($A270),"",INDEX(Array_StationaryCharges,MATCH($A270,List_StationaryFuelMeters,0),ROUNDUP((COLUMN()+1)/3-2,0))),"")</f>
        <v/>
      </c>
      <c r="S270" s="127"/>
      <c r="T270" s="127"/>
      <c r="U270" s="58" t="str" cm="1">
        <f>IFERROR(IF(ISBLANK($A270),"",INDEX(Array_StationaryCharges,MATCH($A270,List_StationaryFuelMeters,0),ROUNDUP((COLUMN()+1)/3-2,0))),"")</f>
        <v/>
      </c>
      <c r="V270" s="127"/>
      <c r="W270" s="127"/>
      <c r="X270" s="58" t="str" cm="1">
        <f>IFERROR(IF(ISBLANK($A270),"",INDEX(Array_StationaryCharges,MATCH($A270,List_StationaryFuelMeters,0),ROUNDUP((COLUMN()+1)/3-2,0))),"")</f>
        <v/>
      </c>
      <c r="Y270" s="127"/>
      <c r="Z270" s="127"/>
      <c r="AA270" s="58" t="str" cm="1">
        <f>IFERROR(IF(ISBLANK($A270),"",INDEX(Array_StationaryCharges,MATCH($A270,List_StationaryFuelMeters,0),ROUNDUP((COLUMN()+1)/3-2,0))),"")</f>
        <v/>
      </c>
      <c r="AB270" s="127"/>
      <c r="AC270" s="127"/>
      <c r="AD270" s="58" t="str" cm="1">
        <f>IFERROR(IF(ISBLANK($A270),"",INDEX(Array_StationaryCharges,MATCH($A270,List_StationaryFuelMeters,0),ROUNDUP((COLUMN()+1)/3-2,0))),"")</f>
        <v/>
      </c>
      <c r="AE270" s="127"/>
      <c r="AF270" s="127"/>
      <c r="AG270" s="58" t="str" cm="1">
        <f>IFERROR(IF(ISBLANK($A270),"",INDEX(Array_StationaryCharges,MATCH($A270,List_StationaryFuelMeters,0),ROUNDUP((COLUMN()+1)/3-2,0))),"")</f>
        <v/>
      </c>
      <c r="AH270" s="127"/>
      <c r="AI270" s="127"/>
      <c r="AJ270" s="58" t="str" cm="1">
        <f>IFERROR(IF(ISBLANK($A270),"",INDEX(Array_StationaryCharges,MATCH($A270,List_StationaryFuelMeters,0),ROUNDUP((COLUMN()+1)/3-2,0))),"")</f>
        <v/>
      </c>
      <c r="AK270" s="127"/>
      <c r="AL270" s="127"/>
      <c r="AM270" s="58" t="str" cm="1">
        <f>IFERROR(IF(ISBLANK($A270),"",INDEX(Array_StationaryCharges,MATCH($A270,List_StationaryFuelMeters,0),ROUNDUP((COLUMN()+1)/3-2,0))),"")</f>
        <v/>
      </c>
      <c r="AN270" s="127"/>
      <c r="AO270" s="127"/>
      <c r="AP270" s="58" t="str" cm="1">
        <f>IFERROR(IF(ISBLANK($A270),"",INDEX(Array_StationaryCharges,MATCH($A270,List_StationaryFuelMeters,0),ROUNDUP((COLUMN()+1)/3-2,0))),"")</f>
        <v/>
      </c>
      <c r="AQ270" s="127"/>
      <c r="AR270" s="127"/>
      <c r="AS270" s="58" t="str" cm="1">
        <f>IFERROR(IF(ISBLANK($A270),"",INDEX(Array_StationaryCharges,MATCH($A270,List_StationaryFuelMeters,0),ROUNDUP((COLUMN()+1)/3-2,0))),"")</f>
        <v/>
      </c>
      <c r="AT270" s="127"/>
      <c r="AU270" s="127"/>
      <c r="AV270" s="58" t="str" cm="1">
        <f>IFERROR(IF(ISBLANK($A270),"",INDEX(Array_StationaryCharges,MATCH($A270,List_StationaryFuelMeters,0),ROUNDUP((COLUMN()+1)/3-2,0))),"")</f>
        <v/>
      </c>
      <c r="AW270" s="127"/>
      <c r="AX270" s="127"/>
    </row>
    <row r="271" spans="1:50" x14ac:dyDescent="0.3">
      <c r="A271" s="126"/>
      <c r="B271" s="133"/>
      <c r="C271" s="127"/>
      <c r="D271" s="138"/>
      <c r="E271" s="138"/>
      <c r="F271" s="58" t="str" cm="1">
        <f>IFERROR(IF(ISBLANK($A271),"",INDEX(Array_StationaryCharges,MATCH($A271,List_StationaryFuelMeters,0),ROUNDUP((COLUMN()+1)/3-2,0))),"")</f>
        <v/>
      </c>
      <c r="G271" s="127"/>
      <c r="H271" s="127"/>
      <c r="I271" s="58" t="str" cm="1">
        <f>IFERROR(IF(ISBLANK($A271),"",INDEX(Array_StationaryCharges,MATCH($A271,List_StationaryFuelMeters,0),ROUNDUP((COLUMN()+1)/3-2,0))),"")</f>
        <v/>
      </c>
      <c r="J271" s="127"/>
      <c r="K271" s="127"/>
      <c r="L271" s="58" t="str" cm="1">
        <f>IFERROR(IF(ISBLANK($A271),"",INDEX(Array_StationaryCharges,MATCH($A271,List_StationaryFuelMeters,0),ROUNDUP((COLUMN()+1)/3-2,0))),"")</f>
        <v/>
      </c>
      <c r="M271" s="127"/>
      <c r="N271" s="127"/>
      <c r="O271" s="58" t="str" cm="1">
        <f>IFERROR(IF(ISBLANK($A271),"",INDEX(Array_StationaryCharges,MATCH($A271,List_StationaryFuelMeters,0),ROUNDUP((COLUMN()+1)/3-2,0))),"")</f>
        <v/>
      </c>
      <c r="P271" s="127"/>
      <c r="Q271" s="127"/>
      <c r="R271" s="58" t="str" cm="1">
        <f>IFERROR(IF(ISBLANK($A271),"",INDEX(Array_StationaryCharges,MATCH($A271,List_StationaryFuelMeters,0),ROUNDUP((COLUMN()+1)/3-2,0))),"")</f>
        <v/>
      </c>
      <c r="S271" s="127"/>
      <c r="T271" s="127"/>
      <c r="U271" s="58" t="str" cm="1">
        <f>IFERROR(IF(ISBLANK($A271),"",INDEX(Array_StationaryCharges,MATCH($A271,List_StationaryFuelMeters,0),ROUNDUP((COLUMN()+1)/3-2,0))),"")</f>
        <v/>
      </c>
      <c r="V271" s="127"/>
      <c r="W271" s="127"/>
      <c r="X271" s="58" t="str" cm="1">
        <f>IFERROR(IF(ISBLANK($A271),"",INDEX(Array_StationaryCharges,MATCH($A271,List_StationaryFuelMeters,0),ROUNDUP((COLUMN()+1)/3-2,0))),"")</f>
        <v/>
      </c>
      <c r="Y271" s="127"/>
      <c r="Z271" s="127"/>
      <c r="AA271" s="58" t="str" cm="1">
        <f>IFERROR(IF(ISBLANK($A271),"",INDEX(Array_StationaryCharges,MATCH($A271,List_StationaryFuelMeters,0),ROUNDUP((COLUMN()+1)/3-2,0))),"")</f>
        <v/>
      </c>
      <c r="AB271" s="127"/>
      <c r="AC271" s="127"/>
      <c r="AD271" s="58" t="str" cm="1">
        <f>IFERROR(IF(ISBLANK($A271),"",INDEX(Array_StationaryCharges,MATCH($A271,List_StationaryFuelMeters,0),ROUNDUP((COLUMN()+1)/3-2,0))),"")</f>
        <v/>
      </c>
      <c r="AE271" s="127"/>
      <c r="AF271" s="127"/>
      <c r="AG271" s="58" t="str" cm="1">
        <f>IFERROR(IF(ISBLANK($A271),"",INDEX(Array_StationaryCharges,MATCH($A271,List_StationaryFuelMeters,0),ROUNDUP((COLUMN()+1)/3-2,0))),"")</f>
        <v/>
      </c>
      <c r="AH271" s="127"/>
      <c r="AI271" s="127"/>
      <c r="AJ271" s="58" t="str" cm="1">
        <f>IFERROR(IF(ISBLANK($A271),"",INDEX(Array_StationaryCharges,MATCH($A271,List_StationaryFuelMeters,0),ROUNDUP((COLUMN()+1)/3-2,0))),"")</f>
        <v/>
      </c>
      <c r="AK271" s="127"/>
      <c r="AL271" s="127"/>
      <c r="AM271" s="58" t="str" cm="1">
        <f>IFERROR(IF(ISBLANK($A271),"",INDEX(Array_StationaryCharges,MATCH($A271,List_StationaryFuelMeters,0),ROUNDUP((COLUMN()+1)/3-2,0))),"")</f>
        <v/>
      </c>
      <c r="AN271" s="127"/>
      <c r="AO271" s="127"/>
      <c r="AP271" s="58" t="str" cm="1">
        <f>IFERROR(IF(ISBLANK($A271),"",INDEX(Array_StationaryCharges,MATCH($A271,List_StationaryFuelMeters,0),ROUNDUP((COLUMN()+1)/3-2,0))),"")</f>
        <v/>
      </c>
      <c r="AQ271" s="127"/>
      <c r="AR271" s="127"/>
      <c r="AS271" s="58" t="str" cm="1">
        <f>IFERROR(IF(ISBLANK($A271),"",INDEX(Array_StationaryCharges,MATCH($A271,List_StationaryFuelMeters,0),ROUNDUP((COLUMN()+1)/3-2,0))),"")</f>
        <v/>
      </c>
      <c r="AT271" s="127"/>
      <c r="AU271" s="127"/>
      <c r="AV271" s="58" t="str" cm="1">
        <f>IFERROR(IF(ISBLANK($A271),"",INDEX(Array_StationaryCharges,MATCH($A271,List_StationaryFuelMeters,0),ROUNDUP((COLUMN()+1)/3-2,0))),"")</f>
        <v/>
      </c>
      <c r="AW271" s="127"/>
      <c r="AX271" s="127"/>
    </row>
    <row r="272" spans="1:50" x14ac:dyDescent="0.3">
      <c r="A272" s="126"/>
      <c r="B272" s="133"/>
      <c r="C272" s="127"/>
      <c r="D272" s="138"/>
      <c r="E272" s="138"/>
      <c r="F272" s="58" t="str" cm="1">
        <f>IFERROR(IF(ISBLANK($A272),"",INDEX(Array_StationaryCharges,MATCH($A272,List_StationaryFuelMeters,0),ROUNDUP((COLUMN()+1)/3-2,0))),"")</f>
        <v/>
      </c>
      <c r="G272" s="127"/>
      <c r="H272" s="127"/>
      <c r="I272" s="58" t="str" cm="1">
        <f>IFERROR(IF(ISBLANK($A272),"",INDEX(Array_StationaryCharges,MATCH($A272,List_StationaryFuelMeters,0),ROUNDUP((COLUMN()+1)/3-2,0))),"")</f>
        <v/>
      </c>
      <c r="J272" s="127"/>
      <c r="K272" s="127"/>
      <c r="L272" s="58" t="str" cm="1">
        <f>IFERROR(IF(ISBLANK($A272),"",INDEX(Array_StationaryCharges,MATCH($A272,List_StationaryFuelMeters,0),ROUNDUP((COLUMN()+1)/3-2,0))),"")</f>
        <v/>
      </c>
      <c r="M272" s="127"/>
      <c r="N272" s="127"/>
      <c r="O272" s="58" t="str" cm="1">
        <f>IFERROR(IF(ISBLANK($A272),"",INDEX(Array_StationaryCharges,MATCH($A272,List_StationaryFuelMeters,0),ROUNDUP((COLUMN()+1)/3-2,0))),"")</f>
        <v/>
      </c>
      <c r="P272" s="127"/>
      <c r="Q272" s="127"/>
      <c r="R272" s="58" t="str" cm="1">
        <f>IFERROR(IF(ISBLANK($A272),"",INDEX(Array_StationaryCharges,MATCH($A272,List_StationaryFuelMeters,0),ROUNDUP((COLUMN()+1)/3-2,0))),"")</f>
        <v/>
      </c>
      <c r="S272" s="127"/>
      <c r="T272" s="127"/>
      <c r="U272" s="58" t="str" cm="1">
        <f>IFERROR(IF(ISBLANK($A272),"",INDEX(Array_StationaryCharges,MATCH($A272,List_StationaryFuelMeters,0),ROUNDUP((COLUMN()+1)/3-2,0))),"")</f>
        <v/>
      </c>
      <c r="V272" s="127"/>
      <c r="W272" s="127"/>
      <c r="X272" s="58" t="str" cm="1">
        <f>IFERROR(IF(ISBLANK($A272),"",INDEX(Array_StationaryCharges,MATCH($A272,List_StationaryFuelMeters,0),ROUNDUP((COLUMN()+1)/3-2,0))),"")</f>
        <v/>
      </c>
      <c r="Y272" s="127"/>
      <c r="Z272" s="127"/>
      <c r="AA272" s="58" t="str" cm="1">
        <f>IFERROR(IF(ISBLANK($A272),"",INDEX(Array_StationaryCharges,MATCH($A272,List_StationaryFuelMeters,0),ROUNDUP((COLUMN()+1)/3-2,0))),"")</f>
        <v/>
      </c>
      <c r="AB272" s="127"/>
      <c r="AC272" s="127"/>
      <c r="AD272" s="58" t="str" cm="1">
        <f>IFERROR(IF(ISBLANK($A272),"",INDEX(Array_StationaryCharges,MATCH($A272,List_StationaryFuelMeters,0),ROUNDUP((COLUMN()+1)/3-2,0))),"")</f>
        <v/>
      </c>
      <c r="AE272" s="127"/>
      <c r="AF272" s="127"/>
      <c r="AG272" s="58" t="str" cm="1">
        <f>IFERROR(IF(ISBLANK($A272),"",INDEX(Array_StationaryCharges,MATCH($A272,List_StationaryFuelMeters,0),ROUNDUP((COLUMN()+1)/3-2,0))),"")</f>
        <v/>
      </c>
      <c r="AH272" s="127"/>
      <c r="AI272" s="127"/>
      <c r="AJ272" s="58" t="str" cm="1">
        <f>IFERROR(IF(ISBLANK($A272),"",INDEX(Array_StationaryCharges,MATCH($A272,List_StationaryFuelMeters,0),ROUNDUP((COLUMN()+1)/3-2,0))),"")</f>
        <v/>
      </c>
      <c r="AK272" s="127"/>
      <c r="AL272" s="127"/>
      <c r="AM272" s="58" t="str" cm="1">
        <f>IFERROR(IF(ISBLANK($A272),"",INDEX(Array_StationaryCharges,MATCH($A272,List_StationaryFuelMeters,0),ROUNDUP((COLUMN()+1)/3-2,0))),"")</f>
        <v/>
      </c>
      <c r="AN272" s="127"/>
      <c r="AO272" s="127"/>
      <c r="AP272" s="58" t="str" cm="1">
        <f>IFERROR(IF(ISBLANK($A272),"",INDEX(Array_StationaryCharges,MATCH($A272,List_StationaryFuelMeters,0),ROUNDUP((COLUMN()+1)/3-2,0))),"")</f>
        <v/>
      </c>
      <c r="AQ272" s="127"/>
      <c r="AR272" s="127"/>
      <c r="AS272" s="58" t="str" cm="1">
        <f>IFERROR(IF(ISBLANK($A272),"",INDEX(Array_StationaryCharges,MATCH($A272,List_StationaryFuelMeters,0),ROUNDUP((COLUMN()+1)/3-2,0))),"")</f>
        <v/>
      </c>
      <c r="AT272" s="127"/>
      <c r="AU272" s="127"/>
      <c r="AV272" s="58" t="str" cm="1">
        <f>IFERROR(IF(ISBLANK($A272),"",INDEX(Array_StationaryCharges,MATCH($A272,List_StationaryFuelMeters,0),ROUNDUP((COLUMN()+1)/3-2,0))),"")</f>
        <v/>
      </c>
      <c r="AW272" s="127"/>
      <c r="AX272" s="127"/>
    </row>
    <row r="273" spans="1:50" x14ac:dyDescent="0.3">
      <c r="A273" s="126"/>
      <c r="B273" s="133"/>
      <c r="C273" s="127"/>
      <c r="D273" s="138"/>
      <c r="E273" s="138"/>
      <c r="F273" s="58" t="str" cm="1">
        <f>IFERROR(IF(ISBLANK($A273),"",INDEX(Array_StationaryCharges,MATCH($A273,List_StationaryFuelMeters,0),ROUNDUP((COLUMN()+1)/3-2,0))),"")</f>
        <v/>
      </c>
      <c r="G273" s="127"/>
      <c r="H273" s="127"/>
      <c r="I273" s="58" t="str" cm="1">
        <f>IFERROR(IF(ISBLANK($A273),"",INDEX(Array_StationaryCharges,MATCH($A273,List_StationaryFuelMeters,0),ROUNDUP((COLUMN()+1)/3-2,0))),"")</f>
        <v/>
      </c>
      <c r="J273" s="127"/>
      <c r="K273" s="127"/>
      <c r="L273" s="58" t="str" cm="1">
        <f>IFERROR(IF(ISBLANK($A273),"",INDEX(Array_StationaryCharges,MATCH($A273,List_StationaryFuelMeters,0),ROUNDUP((COLUMN()+1)/3-2,0))),"")</f>
        <v/>
      </c>
      <c r="M273" s="127"/>
      <c r="N273" s="127"/>
      <c r="O273" s="58" t="str" cm="1">
        <f>IFERROR(IF(ISBLANK($A273),"",INDEX(Array_StationaryCharges,MATCH($A273,List_StationaryFuelMeters,0),ROUNDUP((COLUMN()+1)/3-2,0))),"")</f>
        <v/>
      </c>
      <c r="P273" s="127"/>
      <c r="Q273" s="127"/>
      <c r="R273" s="58" t="str" cm="1">
        <f>IFERROR(IF(ISBLANK($A273),"",INDEX(Array_StationaryCharges,MATCH($A273,List_StationaryFuelMeters,0),ROUNDUP((COLUMN()+1)/3-2,0))),"")</f>
        <v/>
      </c>
      <c r="S273" s="127"/>
      <c r="T273" s="127"/>
      <c r="U273" s="58" t="str" cm="1">
        <f>IFERROR(IF(ISBLANK($A273),"",INDEX(Array_StationaryCharges,MATCH($A273,List_StationaryFuelMeters,0),ROUNDUP((COLUMN()+1)/3-2,0))),"")</f>
        <v/>
      </c>
      <c r="V273" s="127"/>
      <c r="W273" s="127"/>
      <c r="X273" s="58" t="str" cm="1">
        <f>IFERROR(IF(ISBLANK($A273),"",INDEX(Array_StationaryCharges,MATCH($A273,List_StationaryFuelMeters,0),ROUNDUP((COLUMN()+1)/3-2,0))),"")</f>
        <v/>
      </c>
      <c r="Y273" s="127"/>
      <c r="Z273" s="127"/>
      <c r="AA273" s="58" t="str" cm="1">
        <f>IFERROR(IF(ISBLANK($A273),"",INDEX(Array_StationaryCharges,MATCH($A273,List_StationaryFuelMeters,0),ROUNDUP((COLUMN()+1)/3-2,0))),"")</f>
        <v/>
      </c>
      <c r="AB273" s="127"/>
      <c r="AC273" s="127"/>
      <c r="AD273" s="58" t="str" cm="1">
        <f>IFERROR(IF(ISBLANK($A273),"",INDEX(Array_StationaryCharges,MATCH($A273,List_StationaryFuelMeters,0),ROUNDUP((COLUMN()+1)/3-2,0))),"")</f>
        <v/>
      </c>
      <c r="AE273" s="127"/>
      <c r="AF273" s="127"/>
      <c r="AG273" s="58" t="str" cm="1">
        <f>IFERROR(IF(ISBLANK($A273),"",INDEX(Array_StationaryCharges,MATCH($A273,List_StationaryFuelMeters,0),ROUNDUP((COLUMN()+1)/3-2,0))),"")</f>
        <v/>
      </c>
      <c r="AH273" s="127"/>
      <c r="AI273" s="127"/>
      <c r="AJ273" s="58" t="str" cm="1">
        <f>IFERROR(IF(ISBLANK($A273),"",INDEX(Array_StationaryCharges,MATCH($A273,List_StationaryFuelMeters,0),ROUNDUP((COLUMN()+1)/3-2,0))),"")</f>
        <v/>
      </c>
      <c r="AK273" s="127"/>
      <c r="AL273" s="127"/>
      <c r="AM273" s="58" t="str" cm="1">
        <f>IFERROR(IF(ISBLANK($A273),"",INDEX(Array_StationaryCharges,MATCH($A273,List_StationaryFuelMeters,0),ROUNDUP((COLUMN()+1)/3-2,0))),"")</f>
        <v/>
      </c>
      <c r="AN273" s="127"/>
      <c r="AO273" s="127"/>
      <c r="AP273" s="58" t="str" cm="1">
        <f>IFERROR(IF(ISBLANK($A273),"",INDEX(Array_StationaryCharges,MATCH($A273,List_StationaryFuelMeters,0),ROUNDUP((COLUMN()+1)/3-2,0))),"")</f>
        <v/>
      </c>
      <c r="AQ273" s="127"/>
      <c r="AR273" s="127"/>
      <c r="AS273" s="58" t="str" cm="1">
        <f>IFERROR(IF(ISBLANK($A273),"",INDEX(Array_StationaryCharges,MATCH($A273,List_StationaryFuelMeters,0),ROUNDUP((COLUMN()+1)/3-2,0))),"")</f>
        <v/>
      </c>
      <c r="AT273" s="127"/>
      <c r="AU273" s="127"/>
      <c r="AV273" s="58" t="str" cm="1">
        <f>IFERROR(IF(ISBLANK($A273),"",INDEX(Array_StationaryCharges,MATCH($A273,List_StationaryFuelMeters,0),ROUNDUP((COLUMN()+1)/3-2,0))),"")</f>
        <v/>
      </c>
      <c r="AW273" s="127"/>
      <c r="AX273" s="127"/>
    </row>
    <row r="274" spans="1:50" x14ac:dyDescent="0.3">
      <c r="A274" s="126"/>
      <c r="B274" s="133"/>
      <c r="C274" s="127"/>
      <c r="D274" s="138"/>
      <c r="E274" s="138"/>
      <c r="F274" s="58" t="str" cm="1">
        <f>IFERROR(IF(ISBLANK($A274),"",INDEX(Array_StationaryCharges,MATCH($A274,List_StationaryFuelMeters,0),ROUNDUP((COLUMN()+1)/3-2,0))),"")</f>
        <v/>
      </c>
      <c r="G274" s="127"/>
      <c r="H274" s="127"/>
      <c r="I274" s="58" t="str" cm="1">
        <f>IFERROR(IF(ISBLANK($A274),"",INDEX(Array_StationaryCharges,MATCH($A274,List_StationaryFuelMeters,0),ROUNDUP((COLUMN()+1)/3-2,0))),"")</f>
        <v/>
      </c>
      <c r="J274" s="127"/>
      <c r="K274" s="127"/>
      <c r="L274" s="58" t="str" cm="1">
        <f>IFERROR(IF(ISBLANK($A274),"",INDEX(Array_StationaryCharges,MATCH($A274,List_StationaryFuelMeters,0),ROUNDUP((COLUMN()+1)/3-2,0))),"")</f>
        <v/>
      </c>
      <c r="M274" s="127"/>
      <c r="N274" s="127"/>
      <c r="O274" s="58" t="str" cm="1">
        <f>IFERROR(IF(ISBLANK($A274),"",INDEX(Array_StationaryCharges,MATCH($A274,List_StationaryFuelMeters,0),ROUNDUP((COLUMN()+1)/3-2,0))),"")</f>
        <v/>
      </c>
      <c r="P274" s="127"/>
      <c r="Q274" s="127"/>
      <c r="R274" s="58" t="str" cm="1">
        <f>IFERROR(IF(ISBLANK($A274),"",INDEX(Array_StationaryCharges,MATCH($A274,List_StationaryFuelMeters,0),ROUNDUP((COLUMN()+1)/3-2,0))),"")</f>
        <v/>
      </c>
      <c r="S274" s="127"/>
      <c r="T274" s="127"/>
      <c r="U274" s="58" t="str" cm="1">
        <f>IFERROR(IF(ISBLANK($A274),"",INDEX(Array_StationaryCharges,MATCH($A274,List_StationaryFuelMeters,0),ROUNDUP((COLUMN()+1)/3-2,0))),"")</f>
        <v/>
      </c>
      <c r="V274" s="127"/>
      <c r="W274" s="127"/>
      <c r="X274" s="58" t="str" cm="1">
        <f>IFERROR(IF(ISBLANK($A274),"",INDEX(Array_StationaryCharges,MATCH($A274,List_StationaryFuelMeters,0),ROUNDUP((COLUMN()+1)/3-2,0))),"")</f>
        <v/>
      </c>
      <c r="Y274" s="127"/>
      <c r="Z274" s="127"/>
      <c r="AA274" s="58" t="str" cm="1">
        <f>IFERROR(IF(ISBLANK($A274),"",INDEX(Array_StationaryCharges,MATCH($A274,List_StationaryFuelMeters,0),ROUNDUP((COLUMN()+1)/3-2,0))),"")</f>
        <v/>
      </c>
      <c r="AB274" s="127"/>
      <c r="AC274" s="127"/>
      <c r="AD274" s="58" t="str" cm="1">
        <f>IFERROR(IF(ISBLANK($A274),"",INDEX(Array_StationaryCharges,MATCH($A274,List_StationaryFuelMeters,0),ROUNDUP((COLUMN()+1)/3-2,0))),"")</f>
        <v/>
      </c>
      <c r="AE274" s="127"/>
      <c r="AF274" s="127"/>
      <c r="AG274" s="58" t="str" cm="1">
        <f>IFERROR(IF(ISBLANK($A274),"",INDEX(Array_StationaryCharges,MATCH($A274,List_StationaryFuelMeters,0),ROUNDUP((COLUMN()+1)/3-2,0))),"")</f>
        <v/>
      </c>
      <c r="AH274" s="127"/>
      <c r="AI274" s="127"/>
      <c r="AJ274" s="58" t="str" cm="1">
        <f>IFERROR(IF(ISBLANK($A274),"",INDEX(Array_StationaryCharges,MATCH($A274,List_StationaryFuelMeters,0),ROUNDUP((COLUMN()+1)/3-2,0))),"")</f>
        <v/>
      </c>
      <c r="AK274" s="127"/>
      <c r="AL274" s="127"/>
      <c r="AM274" s="58" t="str" cm="1">
        <f>IFERROR(IF(ISBLANK($A274),"",INDEX(Array_StationaryCharges,MATCH($A274,List_StationaryFuelMeters,0),ROUNDUP((COLUMN()+1)/3-2,0))),"")</f>
        <v/>
      </c>
      <c r="AN274" s="127"/>
      <c r="AO274" s="127"/>
      <c r="AP274" s="58" t="str" cm="1">
        <f>IFERROR(IF(ISBLANK($A274),"",INDEX(Array_StationaryCharges,MATCH($A274,List_StationaryFuelMeters,0),ROUNDUP((COLUMN()+1)/3-2,0))),"")</f>
        <v/>
      </c>
      <c r="AQ274" s="127"/>
      <c r="AR274" s="127"/>
      <c r="AS274" s="58" t="str" cm="1">
        <f>IFERROR(IF(ISBLANK($A274),"",INDEX(Array_StationaryCharges,MATCH($A274,List_StationaryFuelMeters,0),ROUNDUP((COLUMN()+1)/3-2,0))),"")</f>
        <v/>
      </c>
      <c r="AT274" s="127"/>
      <c r="AU274" s="127"/>
      <c r="AV274" s="58" t="str" cm="1">
        <f>IFERROR(IF(ISBLANK($A274),"",INDEX(Array_StationaryCharges,MATCH($A274,List_StationaryFuelMeters,0),ROUNDUP((COLUMN()+1)/3-2,0))),"")</f>
        <v/>
      </c>
      <c r="AW274" s="127"/>
      <c r="AX274" s="127"/>
    </row>
    <row r="275" spans="1:50" x14ac:dyDescent="0.3">
      <c r="A275" s="126"/>
      <c r="B275" s="133"/>
      <c r="C275" s="127"/>
      <c r="D275" s="138"/>
      <c r="E275" s="138"/>
      <c r="F275" s="58" t="str" cm="1">
        <f>IFERROR(IF(ISBLANK($A275),"",INDEX(Array_StationaryCharges,MATCH($A275,List_StationaryFuelMeters,0),ROUNDUP((COLUMN()+1)/3-2,0))),"")</f>
        <v/>
      </c>
      <c r="G275" s="127"/>
      <c r="H275" s="127"/>
      <c r="I275" s="58" t="str" cm="1">
        <f>IFERROR(IF(ISBLANK($A275),"",INDEX(Array_StationaryCharges,MATCH($A275,List_StationaryFuelMeters,0),ROUNDUP((COLUMN()+1)/3-2,0))),"")</f>
        <v/>
      </c>
      <c r="J275" s="127"/>
      <c r="K275" s="127"/>
      <c r="L275" s="58" t="str" cm="1">
        <f>IFERROR(IF(ISBLANK($A275),"",INDEX(Array_StationaryCharges,MATCH($A275,List_StationaryFuelMeters,0),ROUNDUP((COLUMN()+1)/3-2,0))),"")</f>
        <v/>
      </c>
      <c r="M275" s="127"/>
      <c r="N275" s="127"/>
      <c r="O275" s="58" t="str" cm="1">
        <f>IFERROR(IF(ISBLANK($A275),"",INDEX(Array_StationaryCharges,MATCH($A275,List_StationaryFuelMeters,0),ROUNDUP((COLUMN()+1)/3-2,0))),"")</f>
        <v/>
      </c>
      <c r="P275" s="127"/>
      <c r="Q275" s="127"/>
      <c r="R275" s="58" t="str" cm="1">
        <f>IFERROR(IF(ISBLANK($A275),"",INDEX(Array_StationaryCharges,MATCH($A275,List_StationaryFuelMeters,0),ROUNDUP((COLUMN()+1)/3-2,0))),"")</f>
        <v/>
      </c>
      <c r="S275" s="127"/>
      <c r="T275" s="127"/>
      <c r="U275" s="58" t="str" cm="1">
        <f>IFERROR(IF(ISBLANK($A275),"",INDEX(Array_StationaryCharges,MATCH($A275,List_StationaryFuelMeters,0),ROUNDUP((COLUMN()+1)/3-2,0))),"")</f>
        <v/>
      </c>
      <c r="V275" s="127"/>
      <c r="W275" s="127"/>
      <c r="X275" s="58" t="str" cm="1">
        <f>IFERROR(IF(ISBLANK($A275),"",INDEX(Array_StationaryCharges,MATCH($A275,List_StationaryFuelMeters,0),ROUNDUP((COLUMN()+1)/3-2,0))),"")</f>
        <v/>
      </c>
      <c r="Y275" s="127"/>
      <c r="Z275" s="127"/>
      <c r="AA275" s="58" t="str" cm="1">
        <f>IFERROR(IF(ISBLANK($A275),"",INDEX(Array_StationaryCharges,MATCH($A275,List_StationaryFuelMeters,0),ROUNDUP((COLUMN()+1)/3-2,0))),"")</f>
        <v/>
      </c>
      <c r="AB275" s="127"/>
      <c r="AC275" s="127"/>
      <c r="AD275" s="58" t="str" cm="1">
        <f>IFERROR(IF(ISBLANK($A275),"",INDEX(Array_StationaryCharges,MATCH($A275,List_StationaryFuelMeters,0),ROUNDUP((COLUMN()+1)/3-2,0))),"")</f>
        <v/>
      </c>
      <c r="AE275" s="127"/>
      <c r="AF275" s="127"/>
      <c r="AG275" s="58" t="str" cm="1">
        <f>IFERROR(IF(ISBLANK($A275),"",INDEX(Array_StationaryCharges,MATCH($A275,List_StationaryFuelMeters,0),ROUNDUP((COLUMN()+1)/3-2,0))),"")</f>
        <v/>
      </c>
      <c r="AH275" s="127"/>
      <c r="AI275" s="127"/>
      <c r="AJ275" s="58" t="str" cm="1">
        <f>IFERROR(IF(ISBLANK($A275),"",INDEX(Array_StationaryCharges,MATCH($A275,List_StationaryFuelMeters,0),ROUNDUP((COLUMN()+1)/3-2,0))),"")</f>
        <v/>
      </c>
      <c r="AK275" s="127"/>
      <c r="AL275" s="127"/>
      <c r="AM275" s="58" t="str" cm="1">
        <f>IFERROR(IF(ISBLANK($A275),"",INDEX(Array_StationaryCharges,MATCH($A275,List_StationaryFuelMeters,0),ROUNDUP((COLUMN()+1)/3-2,0))),"")</f>
        <v/>
      </c>
      <c r="AN275" s="127"/>
      <c r="AO275" s="127"/>
      <c r="AP275" s="58" t="str" cm="1">
        <f>IFERROR(IF(ISBLANK($A275),"",INDEX(Array_StationaryCharges,MATCH($A275,List_StationaryFuelMeters,0),ROUNDUP((COLUMN()+1)/3-2,0))),"")</f>
        <v/>
      </c>
      <c r="AQ275" s="127"/>
      <c r="AR275" s="127"/>
      <c r="AS275" s="58" t="str" cm="1">
        <f>IFERROR(IF(ISBLANK($A275),"",INDEX(Array_StationaryCharges,MATCH($A275,List_StationaryFuelMeters,0),ROUNDUP((COLUMN()+1)/3-2,0))),"")</f>
        <v/>
      </c>
      <c r="AT275" s="127"/>
      <c r="AU275" s="127"/>
      <c r="AV275" s="58" t="str" cm="1">
        <f>IFERROR(IF(ISBLANK($A275),"",INDEX(Array_StationaryCharges,MATCH($A275,List_StationaryFuelMeters,0),ROUNDUP((COLUMN()+1)/3-2,0))),"")</f>
        <v/>
      </c>
      <c r="AW275" s="127"/>
      <c r="AX275" s="127"/>
    </row>
    <row r="276" spans="1:50" x14ac:dyDescent="0.3">
      <c r="A276" s="126"/>
      <c r="B276" s="133"/>
      <c r="C276" s="127"/>
      <c r="D276" s="138"/>
      <c r="E276" s="138"/>
      <c r="F276" s="58" t="str" cm="1">
        <f>IFERROR(IF(ISBLANK($A276),"",INDEX(Array_StationaryCharges,MATCH($A276,List_StationaryFuelMeters,0),ROUNDUP((COLUMN()+1)/3-2,0))),"")</f>
        <v/>
      </c>
      <c r="G276" s="127"/>
      <c r="H276" s="127"/>
      <c r="I276" s="58" t="str" cm="1">
        <f>IFERROR(IF(ISBLANK($A276),"",INDEX(Array_StationaryCharges,MATCH($A276,List_StationaryFuelMeters,0),ROUNDUP((COLUMN()+1)/3-2,0))),"")</f>
        <v/>
      </c>
      <c r="J276" s="127"/>
      <c r="K276" s="127"/>
      <c r="L276" s="58" t="str" cm="1">
        <f>IFERROR(IF(ISBLANK($A276),"",INDEX(Array_StationaryCharges,MATCH($A276,List_StationaryFuelMeters,0),ROUNDUP((COLUMN()+1)/3-2,0))),"")</f>
        <v/>
      </c>
      <c r="M276" s="127"/>
      <c r="N276" s="127"/>
      <c r="O276" s="58" t="str" cm="1">
        <f>IFERROR(IF(ISBLANK($A276),"",INDEX(Array_StationaryCharges,MATCH($A276,List_StationaryFuelMeters,0),ROUNDUP((COLUMN()+1)/3-2,0))),"")</f>
        <v/>
      </c>
      <c r="P276" s="127"/>
      <c r="Q276" s="127"/>
      <c r="R276" s="58" t="str" cm="1">
        <f>IFERROR(IF(ISBLANK($A276),"",INDEX(Array_StationaryCharges,MATCH($A276,List_StationaryFuelMeters,0),ROUNDUP((COLUMN()+1)/3-2,0))),"")</f>
        <v/>
      </c>
      <c r="S276" s="127"/>
      <c r="T276" s="127"/>
      <c r="U276" s="58" t="str" cm="1">
        <f>IFERROR(IF(ISBLANK($A276),"",INDEX(Array_StationaryCharges,MATCH($A276,List_StationaryFuelMeters,0),ROUNDUP((COLUMN()+1)/3-2,0))),"")</f>
        <v/>
      </c>
      <c r="V276" s="127"/>
      <c r="W276" s="127"/>
      <c r="X276" s="58" t="str" cm="1">
        <f>IFERROR(IF(ISBLANK($A276),"",INDEX(Array_StationaryCharges,MATCH($A276,List_StationaryFuelMeters,0),ROUNDUP((COLUMN()+1)/3-2,0))),"")</f>
        <v/>
      </c>
      <c r="Y276" s="127"/>
      <c r="Z276" s="127"/>
      <c r="AA276" s="58" t="str" cm="1">
        <f>IFERROR(IF(ISBLANK($A276),"",INDEX(Array_StationaryCharges,MATCH($A276,List_StationaryFuelMeters,0),ROUNDUP((COLUMN()+1)/3-2,0))),"")</f>
        <v/>
      </c>
      <c r="AB276" s="127"/>
      <c r="AC276" s="127"/>
      <c r="AD276" s="58" t="str" cm="1">
        <f>IFERROR(IF(ISBLANK($A276),"",INDEX(Array_StationaryCharges,MATCH($A276,List_StationaryFuelMeters,0),ROUNDUP((COLUMN()+1)/3-2,0))),"")</f>
        <v/>
      </c>
      <c r="AE276" s="127"/>
      <c r="AF276" s="127"/>
      <c r="AG276" s="58" t="str" cm="1">
        <f>IFERROR(IF(ISBLANK($A276),"",INDEX(Array_StationaryCharges,MATCH($A276,List_StationaryFuelMeters,0),ROUNDUP((COLUMN()+1)/3-2,0))),"")</f>
        <v/>
      </c>
      <c r="AH276" s="127"/>
      <c r="AI276" s="127"/>
      <c r="AJ276" s="58" t="str" cm="1">
        <f>IFERROR(IF(ISBLANK($A276),"",INDEX(Array_StationaryCharges,MATCH($A276,List_StationaryFuelMeters,0),ROUNDUP((COLUMN()+1)/3-2,0))),"")</f>
        <v/>
      </c>
      <c r="AK276" s="127"/>
      <c r="AL276" s="127"/>
      <c r="AM276" s="58" t="str" cm="1">
        <f>IFERROR(IF(ISBLANK($A276),"",INDEX(Array_StationaryCharges,MATCH($A276,List_StationaryFuelMeters,0),ROUNDUP((COLUMN()+1)/3-2,0))),"")</f>
        <v/>
      </c>
      <c r="AN276" s="127"/>
      <c r="AO276" s="127"/>
      <c r="AP276" s="58" t="str" cm="1">
        <f>IFERROR(IF(ISBLANK($A276),"",INDEX(Array_StationaryCharges,MATCH($A276,List_StationaryFuelMeters,0),ROUNDUP((COLUMN()+1)/3-2,0))),"")</f>
        <v/>
      </c>
      <c r="AQ276" s="127"/>
      <c r="AR276" s="127"/>
      <c r="AS276" s="58" t="str" cm="1">
        <f>IFERROR(IF(ISBLANK($A276),"",INDEX(Array_StationaryCharges,MATCH($A276,List_StationaryFuelMeters,0),ROUNDUP((COLUMN()+1)/3-2,0))),"")</f>
        <v/>
      </c>
      <c r="AT276" s="127"/>
      <c r="AU276" s="127"/>
      <c r="AV276" s="58" t="str" cm="1">
        <f>IFERROR(IF(ISBLANK($A276),"",INDEX(Array_StationaryCharges,MATCH($A276,List_StationaryFuelMeters,0),ROUNDUP((COLUMN()+1)/3-2,0))),"")</f>
        <v/>
      </c>
      <c r="AW276" s="127"/>
      <c r="AX276" s="127"/>
    </row>
    <row r="277" spans="1:50" x14ac:dyDescent="0.3">
      <c r="A277" s="126"/>
      <c r="B277" s="133"/>
      <c r="C277" s="127"/>
      <c r="D277" s="138"/>
      <c r="E277" s="138"/>
      <c r="F277" s="58" t="str" cm="1">
        <f>IFERROR(IF(ISBLANK($A277),"",INDEX(Array_StationaryCharges,MATCH($A277,List_StationaryFuelMeters,0),ROUNDUP((COLUMN()+1)/3-2,0))),"")</f>
        <v/>
      </c>
      <c r="G277" s="127"/>
      <c r="H277" s="127"/>
      <c r="I277" s="58" t="str" cm="1">
        <f>IFERROR(IF(ISBLANK($A277),"",INDEX(Array_StationaryCharges,MATCH($A277,List_StationaryFuelMeters,0),ROUNDUP((COLUMN()+1)/3-2,0))),"")</f>
        <v/>
      </c>
      <c r="J277" s="127"/>
      <c r="K277" s="127"/>
      <c r="L277" s="58" t="str" cm="1">
        <f>IFERROR(IF(ISBLANK($A277),"",INDEX(Array_StationaryCharges,MATCH($A277,List_StationaryFuelMeters,0),ROUNDUP((COLUMN()+1)/3-2,0))),"")</f>
        <v/>
      </c>
      <c r="M277" s="127"/>
      <c r="N277" s="127"/>
      <c r="O277" s="58" t="str" cm="1">
        <f>IFERROR(IF(ISBLANK($A277),"",INDEX(Array_StationaryCharges,MATCH($A277,List_StationaryFuelMeters,0),ROUNDUP((COLUMN()+1)/3-2,0))),"")</f>
        <v/>
      </c>
      <c r="P277" s="127"/>
      <c r="Q277" s="127"/>
      <c r="R277" s="58" t="str" cm="1">
        <f>IFERROR(IF(ISBLANK($A277),"",INDEX(Array_StationaryCharges,MATCH($A277,List_StationaryFuelMeters,0),ROUNDUP((COLUMN()+1)/3-2,0))),"")</f>
        <v/>
      </c>
      <c r="S277" s="127"/>
      <c r="T277" s="127"/>
      <c r="U277" s="58" t="str" cm="1">
        <f>IFERROR(IF(ISBLANK($A277),"",INDEX(Array_StationaryCharges,MATCH($A277,List_StationaryFuelMeters,0),ROUNDUP((COLUMN()+1)/3-2,0))),"")</f>
        <v/>
      </c>
      <c r="V277" s="127"/>
      <c r="W277" s="127"/>
      <c r="X277" s="58" t="str" cm="1">
        <f>IFERROR(IF(ISBLANK($A277),"",INDEX(Array_StationaryCharges,MATCH($A277,List_StationaryFuelMeters,0),ROUNDUP((COLUMN()+1)/3-2,0))),"")</f>
        <v/>
      </c>
      <c r="Y277" s="127"/>
      <c r="Z277" s="127"/>
      <c r="AA277" s="58" t="str" cm="1">
        <f>IFERROR(IF(ISBLANK($A277),"",INDEX(Array_StationaryCharges,MATCH($A277,List_StationaryFuelMeters,0),ROUNDUP((COLUMN()+1)/3-2,0))),"")</f>
        <v/>
      </c>
      <c r="AB277" s="127"/>
      <c r="AC277" s="127"/>
      <c r="AD277" s="58" t="str" cm="1">
        <f>IFERROR(IF(ISBLANK($A277),"",INDEX(Array_StationaryCharges,MATCH($A277,List_StationaryFuelMeters,0),ROUNDUP((COLUMN()+1)/3-2,0))),"")</f>
        <v/>
      </c>
      <c r="AE277" s="127"/>
      <c r="AF277" s="127"/>
      <c r="AG277" s="58" t="str" cm="1">
        <f>IFERROR(IF(ISBLANK($A277),"",INDEX(Array_StationaryCharges,MATCH($A277,List_StationaryFuelMeters,0),ROUNDUP((COLUMN()+1)/3-2,0))),"")</f>
        <v/>
      </c>
      <c r="AH277" s="127"/>
      <c r="AI277" s="127"/>
      <c r="AJ277" s="58" t="str" cm="1">
        <f>IFERROR(IF(ISBLANK($A277),"",INDEX(Array_StationaryCharges,MATCH($A277,List_StationaryFuelMeters,0),ROUNDUP((COLUMN()+1)/3-2,0))),"")</f>
        <v/>
      </c>
      <c r="AK277" s="127"/>
      <c r="AL277" s="127"/>
      <c r="AM277" s="58" t="str" cm="1">
        <f>IFERROR(IF(ISBLANK($A277),"",INDEX(Array_StationaryCharges,MATCH($A277,List_StationaryFuelMeters,0),ROUNDUP((COLUMN()+1)/3-2,0))),"")</f>
        <v/>
      </c>
      <c r="AN277" s="127"/>
      <c r="AO277" s="127"/>
      <c r="AP277" s="58" t="str" cm="1">
        <f>IFERROR(IF(ISBLANK($A277),"",INDEX(Array_StationaryCharges,MATCH($A277,List_StationaryFuelMeters,0),ROUNDUP((COLUMN()+1)/3-2,0))),"")</f>
        <v/>
      </c>
      <c r="AQ277" s="127"/>
      <c r="AR277" s="127"/>
      <c r="AS277" s="58" t="str" cm="1">
        <f>IFERROR(IF(ISBLANK($A277),"",INDEX(Array_StationaryCharges,MATCH($A277,List_StationaryFuelMeters,0),ROUNDUP((COLUMN()+1)/3-2,0))),"")</f>
        <v/>
      </c>
      <c r="AT277" s="127"/>
      <c r="AU277" s="127"/>
      <c r="AV277" s="58" t="str" cm="1">
        <f>IFERROR(IF(ISBLANK($A277),"",INDEX(Array_StationaryCharges,MATCH($A277,List_StationaryFuelMeters,0),ROUNDUP((COLUMN()+1)/3-2,0))),"")</f>
        <v/>
      </c>
      <c r="AW277" s="127"/>
      <c r="AX277" s="127"/>
    </row>
    <row r="278" spans="1:50" x14ac:dyDescent="0.3">
      <c r="A278" s="126"/>
      <c r="B278" s="133"/>
      <c r="C278" s="127"/>
      <c r="D278" s="138"/>
      <c r="E278" s="138"/>
      <c r="F278" s="58" t="str" cm="1">
        <f>IFERROR(IF(ISBLANK($A278),"",INDEX(Array_StationaryCharges,MATCH($A278,List_StationaryFuelMeters,0),ROUNDUP((COLUMN()+1)/3-2,0))),"")</f>
        <v/>
      </c>
      <c r="G278" s="127"/>
      <c r="H278" s="127"/>
      <c r="I278" s="58" t="str" cm="1">
        <f>IFERROR(IF(ISBLANK($A278),"",INDEX(Array_StationaryCharges,MATCH($A278,List_StationaryFuelMeters,0),ROUNDUP((COLUMN()+1)/3-2,0))),"")</f>
        <v/>
      </c>
      <c r="J278" s="127"/>
      <c r="K278" s="127"/>
      <c r="L278" s="58" t="str" cm="1">
        <f>IFERROR(IF(ISBLANK($A278),"",INDEX(Array_StationaryCharges,MATCH($A278,List_StationaryFuelMeters,0),ROUNDUP((COLUMN()+1)/3-2,0))),"")</f>
        <v/>
      </c>
      <c r="M278" s="127"/>
      <c r="N278" s="127"/>
      <c r="O278" s="58" t="str" cm="1">
        <f>IFERROR(IF(ISBLANK($A278),"",INDEX(Array_StationaryCharges,MATCH($A278,List_StationaryFuelMeters,0),ROUNDUP((COLUMN()+1)/3-2,0))),"")</f>
        <v/>
      </c>
      <c r="P278" s="127"/>
      <c r="Q278" s="127"/>
      <c r="R278" s="58" t="str" cm="1">
        <f>IFERROR(IF(ISBLANK($A278),"",INDEX(Array_StationaryCharges,MATCH($A278,List_StationaryFuelMeters,0),ROUNDUP((COLUMN()+1)/3-2,0))),"")</f>
        <v/>
      </c>
      <c r="S278" s="127"/>
      <c r="T278" s="127"/>
      <c r="U278" s="58" t="str" cm="1">
        <f>IFERROR(IF(ISBLANK($A278),"",INDEX(Array_StationaryCharges,MATCH($A278,List_StationaryFuelMeters,0),ROUNDUP((COLUMN()+1)/3-2,0))),"")</f>
        <v/>
      </c>
      <c r="V278" s="127"/>
      <c r="W278" s="127"/>
      <c r="X278" s="58" t="str" cm="1">
        <f>IFERROR(IF(ISBLANK($A278),"",INDEX(Array_StationaryCharges,MATCH($A278,List_StationaryFuelMeters,0),ROUNDUP((COLUMN()+1)/3-2,0))),"")</f>
        <v/>
      </c>
      <c r="Y278" s="127"/>
      <c r="Z278" s="127"/>
      <c r="AA278" s="58" t="str" cm="1">
        <f>IFERROR(IF(ISBLANK($A278),"",INDEX(Array_StationaryCharges,MATCH($A278,List_StationaryFuelMeters,0),ROUNDUP((COLUMN()+1)/3-2,0))),"")</f>
        <v/>
      </c>
      <c r="AB278" s="127"/>
      <c r="AC278" s="127"/>
      <c r="AD278" s="58" t="str" cm="1">
        <f>IFERROR(IF(ISBLANK($A278),"",INDEX(Array_StationaryCharges,MATCH($A278,List_StationaryFuelMeters,0),ROUNDUP((COLUMN()+1)/3-2,0))),"")</f>
        <v/>
      </c>
      <c r="AE278" s="127"/>
      <c r="AF278" s="127"/>
      <c r="AG278" s="58" t="str" cm="1">
        <f>IFERROR(IF(ISBLANK($A278),"",INDEX(Array_StationaryCharges,MATCH($A278,List_StationaryFuelMeters,0),ROUNDUP((COLUMN()+1)/3-2,0))),"")</f>
        <v/>
      </c>
      <c r="AH278" s="127"/>
      <c r="AI278" s="127"/>
      <c r="AJ278" s="58" t="str" cm="1">
        <f>IFERROR(IF(ISBLANK($A278),"",INDEX(Array_StationaryCharges,MATCH($A278,List_StationaryFuelMeters,0),ROUNDUP((COLUMN()+1)/3-2,0))),"")</f>
        <v/>
      </c>
      <c r="AK278" s="127"/>
      <c r="AL278" s="127"/>
      <c r="AM278" s="58" t="str" cm="1">
        <f>IFERROR(IF(ISBLANK($A278),"",INDEX(Array_StationaryCharges,MATCH($A278,List_StationaryFuelMeters,0),ROUNDUP((COLUMN()+1)/3-2,0))),"")</f>
        <v/>
      </c>
      <c r="AN278" s="127"/>
      <c r="AO278" s="127"/>
      <c r="AP278" s="58" t="str" cm="1">
        <f>IFERROR(IF(ISBLANK($A278),"",INDEX(Array_StationaryCharges,MATCH($A278,List_StationaryFuelMeters,0),ROUNDUP((COLUMN()+1)/3-2,0))),"")</f>
        <v/>
      </c>
      <c r="AQ278" s="127"/>
      <c r="AR278" s="127"/>
      <c r="AS278" s="58" t="str" cm="1">
        <f>IFERROR(IF(ISBLANK($A278),"",INDEX(Array_StationaryCharges,MATCH($A278,List_StationaryFuelMeters,0),ROUNDUP((COLUMN()+1)/3-2,0))),"")</f>
        <v/>
      </c>
      <c r="AT278" s="127"/>
      <c r="AU278" s="127"/>
      <c r="AV278" s="58" t="str" cm="1">
        <f>IFERROR(IF(ISBLANK($A278),"",INDEX(Array_StationaryCharges,MATCH($A278,List_StationaryFuelMeters,0),ROUNDUP((COLUMN()+1)/3-2,0))),"")</f>
        <v/>
      </c>
      <c r="AW278" s="127"/>
      <c r="AX278" s="127"/>
    </row>
    <row r="279" spans="1:50" x14ac:dyDescent="0.3">
      <c r="A279" s="126"/>
      <c r="B279" s="133"/>
      <c r="C279" s="127"/>
      <c r="D279" s="138"/>
      <c r="E279" s="138"/>
      <c r="F279" s="58" t="str" cm="1">
        <f>IFERROR(IF(ISBLANK($A279),"",INDEX(Array_StationaryCharges,MATCH($A279,List_StationaryFuelMeters,0),ROUNDUP((COLUMN()+1)/3-2,0))),"")</f>
        <v/>
      </c>
      <c r="G279" s="127"/>
      <c r="H279" s="127"/>
      <c r="I279" s="58" t="str" cm="1">
        <f>IFERROR(IF(ISBLANK($A279),"",INDEX(Array_StationaryCharges,MATCH($A279,List_StationaryFuelMeters,0),ROUNDUP((COLUMN()+1)/3-2,0))),"")</f>
        <v/>
      </c>
      <c r="J279" s="127"/>
      <c r="K279" s="127"/>
      <c r="L279" s="58" t="str" cm="1">
        <f>IFERROR(IF(ISBLANK($A279),"",INDEX(Array_StationaryCharges,MATCH($A279,List_StationaryFuelMeters,0),ROUNDUP((COLUMN()+1)/3-2,0))),"")</f>
        <v/>
      </c>
      <c r="M279" s="127"/>
      <c r="N279" s="127"/>
      <c r="O279" s="58" t="str" cm="1">
        <f>IFERROR(IF(ISBLANK($A279),"",INDEX(Array_StationaryCharges,MATCH($A279,List_StationaryFuelMeters,0),ROUNDUP((COLUMN()+1)/3-2,0))),"")</f>
        <v/>
      </c>
      <c r="P279" s="127"/>
      <c r="Q279" s="127"/>
      <c r="R279" s="58" t="str" cm="1">
        <f>IFERROR(IF(ISBLANK($A279),"",INDEX(Array_StationaryCharges,MATCH($A279,List_StationaryFuelMeters,0),ROUNDUP((COLUMN()+1)/3-2,0))),"")</f>
        <v/>
      </c>
      <c r="S279" s="127"/>
      <c r="T279" s="127"/>
      <c r="U279" s="58" t="str" cm="1">
        <f>IFERROR(IF(ISBLANK($A279),"",INDEX(Array_StationaryCharges,MATCH($A279,List_StationaryFuelMeters,0),ROUNDUP((COLUMN()+1)/3-2,0))),"")</f>
        <v/>
      </c>
      <c r="V279" s="127"/>
      <c r="W279" s="127"/>
      <c r="X279" s="58" t="str" cm="1">
        <f>IFERROR(IF(ISBLANK($A279),"",INDEX(Array_StationaryCharges,MATCH($A279,List_StationaryFuelMeters,0),ROUNDUP((COLUMN()+1)/3-2,0))),"")</f>
        <v/>
      </c>
      <c r="Y279" s="127"/>
      <c r="Z279" s="127"/>
      <c r="AA279" s="58" t="str" cm="1">
        <f>IFERROR(IF(ISBLANK($A279),"",INDEX(Array_StationaryCharges,MATCH($A279,List_StationaryFuelMeters,0),ROUNDUP((COLUMN()+1)/3-2,0))),"")</f>
        <v/>
      </c>
      <c r="AB279" s="127"/>
      <c r="AC279" s="127"/>
      <c r="AD279" s="58" t="str" cm="1">
        <f>IFERROR(IF(ISBLANK($A279),"",INDEX(Array_StationaryCharges,MATCH($A279,List_StationaryFuelMeters,0),ROUNDUP((COLUMN()+1)/3-2,0))),"")</f>
        <v/>
      </c>
      <c r="AE279" s="127"/>
      <c r="AF279" s="127"/>
      <c r="AG279" s="58" t="str" cm="1">
        <f>IFERROR(IF(ISBLANK($A279),"",INDEX(Array_StationaryCharges,MATCH($A279,List_StationaryFuelMeters,0),ROUNDUP((COLUMN()+1)/3-2,0))),"")</f>
        <v/>
      </c>
      <c r="AH279" s="127"/>
      <c r="AI279" s="127"/>
      <c r="AJ279" s="58" t="str" cm="1">
        <f>IFERROR(IF(ISBLANK($A279),"",INDEX(Array_StationaryCharges,MATCH($A279,List_StationaryFuelMeters,0),ROUNDUP((COLUMN()+1)/3-2,0))),"")</f>
        <v/>
      </c>
      <c r="AK279" s="127"/>
      <c r="AL279" s="127"/>
      <c r="AM279" s="58" t="str" cm="1">
        <f>IFERROR(IF(ISBLANK($A279),"",INDEX(Array_StationaryCharges,MATCH($A279,List_StationaryFuelMeters,0),ROUNDUP((COLUMN()+1)/3-2,0))),"")</f>
        <v/>
      </c>
      <c r="AN279" s="127"/>
      <c r="AO279" s="127"/>
      <c r="AP279" s="58" t="str" cm="1">
        <f>IFERROR(IF(ISBLANK($A279),"",INDEX(Array_StationaryCharges,MATCH($A279,List_StationaryFuelMeters,0),ROUNDUP((COLUMN()+1)/3-2,0))),"")</f>
        <v/>
      </c>
      <c r="AQ279" s="127"/>
      <c r="AR279" s="127"/>
      <c r="AS279" s="58" t="str" cm="1">
        <f>IFERROR(IF(ISBLANK($A279),"",INDEX(Array_StationaryCharges,MATCH($A279,List_StationaryFuelMeters,0),ROUNDUP((COLUMN()+1)/3-2,0))),"")</f>
        <v/>
      </c>
      <c r="AT279" s="127"/>
      <c r="AU279" s="127"/>
      <c r="AV279" s="58" t="str" cm="1">
        <f>IFERROR(IF(ISBLANK($A279),"",INDEX(Array_StationaryCharges,MATCH($A279,List_StationaryFuelMeters,0),ROUNDUP((COLUMN()+1)/3-2,0))),"")</f>
        <v/>
      </c>
      <c r="AW279" s="127"/>
      <c r="AX279" s="127"/>
    </row>
    <row r="280" spans="1:50" x14ac:dyDescent="0.3">
      <c r="A280" s="126"/>
      <c r="B280" s="133"/>
      <c r="C280" s="127"/>
      <c r="D280" s="138"/>
      <c r="E280" s="138"/>
      <c r="F280" s="58" t="str" cm="1">
        <f>IFERROR(IF(ISBLANK($A280),"",INDEX(Array_StationaryCharges,MATCH($A280,List_StationaryFuelMeters,0),ROUNDUP((COLUMN()+1)/3-2,0))),"")</f>
        <v/>
      </c>
      <c r="G280" s="127"/>
      <c r="H280" s="127"/>
      <c r="I280" s="58" t="str" cm="1">
        <f>IFERROR(IF(ISBLANK($A280),"",INDEX(Array_StationaryCharges,MATCH($A280,List_StationaryFuelMeters,0),ROUNDUP((COLUMN()+1)/3-2,0))),"")</f>
        <v/>
      </c>
      <c r="J280" s="127"/>
      <c r="K280" s="127"/>
      <c r="L280" s="58" t="str" cm="1">
        <f>IFERROR(IF(ISBLANK($A280),"",INDEX(Array_StationaryCharges,MATCH($A280,List_StationaryFuelMeters,0),ROUNDUP((COLUMN()+1)/3-2,0))),"")</f>
        <v/>
      </c>
      <c r="M280" s="127"/>
      <c r="N280" s="127"/>
      <c r="O280" s="58" t="str" cm="1">
        <f>IFERROR(IF(ISBLANK($A280),"",INDEX(Array_StationaryCharges,MATCH($A280,List_StationaryFuelMeters,0),ROUNDUP((COLUMN()+1)/3-2,0))),"")</f>
        <v/>
      </c>
      <c r="P280" s="127"/>
      <c r="Q280" s="127"/>
      <c r="R280" s="58" t="str" cm="1">
        <f>IFERROR(IF(ISBLANK($A280),"",INDEX(Array_StationaryCharges,MATCH($A280,List_StationaryFuelMeters,0),ROUNDUP((COLUMN()+1)/3-2,0))),"")</f>
        <v/>
      </c>
      <c r="S280" s="127"/>
      <c r="T280" s="127"/>
      <c r="U280" s="58" t="str" cm="1">
        <f>IFERROR(IF(ISBLANK($A280),"",INDEX(Array_StationaryCharges,MATCH($A280,List_StationaryFuelMeters,0),ROUNDUP((COLUMN()+1)/3-2,0))),"")</f>
        <v/>
      </c>
      <c r="V280" s="127"/>
      <c r="W280" s="127"/>
      <c r="X280" s="58" t="str" cm="1">
        <f>IFERROR(IF(ISBLANK($A280),"",INDEX(Array_StationaryCharges,MATCH($A280,List_StationaryFuelMeters,0),ROUNDUP((COLUMN()+1)/3-2,0))),"")</f>
        <v/>
      </c>
      <c r="Y280" s="127"/>
      <c r="Z280" s="127"/>
      <c r="AA280" s="58" t="str" cm="1">
        <f>IFERROR(IF(ISBLANK($A280),"",INDEX(Array_StationaryCharges,MATCH($A280,List_StationaryFuelMeters,0),ROUNDUP((COLUMN()+1)/3-2,0))),"")</f>
        <v/>
      </c>
      <c r="AB280" s="127"/>
      <c r="AC280" s="127"/>
      <c r="AD280" s="58" t="str" cm="1">
        <f>IFERROR(IF(ISBLANK($A280),"",INDEX(Array_StationaryCharges,MATCH($A280,List_StationaryFuelMeters,0),ROUNDUP((COLUMN()+1)/3-2,0))),"")</f>
        <v/>
      </c>
      <c r="AE280" s="127"/>
      <c r="AF280" s="127"/>
      <c r="AG280" s="58" t="str" cm="1">
        <f>IFERROR(IF(ISBLANK($A280),"",INDEX(Array_StationaryCharges,MATCH($A280,List_StationaryFuelMeters,0),ROUNDUP((COLUMN()+1)/3-2,0))),"")</f>
        <v/>
      </c>
      <c r="AH280" s="127"/>
      <c r="AI280" s="127"/>
      <c r="AJ280" s="58" t="str" cm="1">
        <f>IFERROR(IF(ISBLANK($A280),"",INDEX(Array_StationaryCharges,MATCH($A280,List_StationaryFuelMeters,0),ROUNDUP((COLUMN()+1)/3-2,0))),"")</f>
        <v/>
      </c>
      <c r="AK280" s="127"/>
      <c r="AL280" s="127"/>
      <c r="AM280" s="58" t="str" cm="1">
        <f>IFERROR(IF(ISBLANK($A280),"",INDEX(Array_StationaryCharges,MATCH($A280,List_StationaryFuelMeters,0),ROUNDUP((COLUMN()+1)/3-2,0))),"")</f>
        <v/>
      </c>
      <c r="AN280" s="127"/>
      <c r="AO280" s="127"/>
      <c r="AP280" s="58" t="str" cm="1">
        <f>IFERROR(IF(ISBLANK($A280),"",INDEX(Array_StationaryCharges,MATCH($A280,List_StationaryFuelMeters,0),ROUNDUP((COLUMN()+1)/3-2,0))),"")</f>
        <v/>
      </c>
      <c r="AQ280" s="127"/>
      <c r="AR280" s="127"/>
      <c r="AS280" s="58" t="str" cm="1">
        <f>IFERROR(IF(ISBLANK($A280),"",INDEX(Array_StationaryCharges,MATCH($A280,List_StationaryFuelMeters,0),ROUNDUP((COLUMN()+1)/3-2,0))),"")</f>
        <v/>
      </c>
      <c r="AT280" s="127"/>
      <c r="AU280" s="127"/>
      <c r="AV280" s="58" t="str" cm="1">
        <f>IFERROR(IF(ISBLANK($A280),"",INDEX(Array_StationaryCharges,MATCH($A280,List_StationaryFuelMeters,0),ROUNDUP((COLUMN()+1)/3-2,0))),"")</f>
        <v/>
      </c>
      <c r="AW280" s="127"/>
      <c r="AX280" s="127"/>
    </row>
    <row r="281" spans="1:50" x14ac:dyDescent="0.3">
      <c r="A281" s="126"/>
      <c r="B281" s="133"/>
      <c r="C281" s="127"/>
      <c r="D281" s="138"/>
      <c r="E281" s="138"/>
      <c r="F281" s="58" t="str" cm="1">
        <f>IFERROR(IF(ISBLANK($A281),"",INDEX(Array_StationaryCharges,MATCH($A281,List_StationaryFuelMeters,0),ROUNDUP((COLUMN()+1)/3-2,0))),"")</f>
        <v/>
      </c>
      <c r="G281" s="127"/>
      <c r="H281" s="127"/>
      <c r="I281" s="58" t="str" cm="1">
        <f>IFERROR(IF(ISBLANK($A281),"",INDEX(Array_StationaryCharges,MATCH($A281,List_StationaryFuelMeters,0),ROUNDUP((COLUMN()+1)/3-2,0))),"")</f>
        <v/>
      </c>
      <c r="J281" s="127"/>
      <c r="K281" s="127"/>
      <c r="L281" s="58" t="str" cm="1">
        <f>IFERROR(IF(ISBLANK($A281),"",INDEX(Array_StationaryCharges,MATCH($A281,List_StationaryFuelMeters,0),ROUNDUP((COLUMN()+1)/3-2,0))),"")</f>
        <v/>
      </c>
      <c r="M281" s="127"/>
      <c r="N281" s="127"/>
      <c r="O281" s="58" t="str" cm="1">
        <f>IFERROR(IF(ISBLANK($A281),"",INDEX(Array_StationaryCharges,MATCH($A281,List_StationaryFuelMeters,0),ROUNDUP((COLUMN()+1)/3-2,0))),"")</f>
        <v/>
      </c>
      <c r="P281" s="127"/>
      <c r="Q281" s="127"/>
      <c r="R281" s="58" t="str" cm="1">
        <f>IFERROR(IF(ISBLANK($A281),"",INDEX(Array_StationaryCharges,MATCH($A281,List_StationaryFuelMeters,0),ROUNDUP((COLUMN()+1)/3-2,0))),"")</f>
        <v/>
      </c>
      <c r="S281" s="127"/>
      <c r="T281" s="127"/>
      <c r="U281" s="58" t="str" cm="1">
        <f>IFERROR(IF(ISBLANK($A281),"",INDEX(Array_StationaryCharges,MATCH($A281,List_StationaryFuelMeters,0),ROUNDUP((COLUMN()+1)/3-2,0))),"")</f>
        <v/>
      </c>
      <c r="V281" s="127"/>
      <c r="W281" s="127"/>
      <c r="X281" s="58" t="str" cm="1">
        <f>IFERROR(IF(ISBLANK($A281),"",INDEX(Array_StationaryCharges,MATCH($A281,List_StationaryFuelMeters,0),ROUNDUP((COLUMN()+1)/3-2,0))),"")</f>
        <v/>
      </c>
      <c r="Y281" s="127"/>
      <c r="Z281" s="127"/>
      <c r="AA281" s="58" t="str" cm="1">
        <f>IFERROR(IF(ISBLANK($A281),"",INDEX(Array_StationaryCharges,MATCH($A281,List_StationaryFuelMeters,0),ROUNDUP((COLUMN()+1)/3-2,0))),"")</f>
        <v/>
      </c>
      <c r="AB281" s="127"/>
      <c r="AC281" s="127"/>
      <c r="AD281" s="58" t="str" cm="1">
        <f>IFERROR(IF(ISBLANK($A281),"",INDEX(Array_StationaryCharges,MATCH($A281,List_StationaryFuelMeters,0),ROUNDUP((COLUMN()+1)/3-2,0))),"")</f>
        <v/>
      </c>
      <c r="AE281" s="127"/>
      <c r="AF281" s="127"/>
      <c r="AG281" s="58" t="str" cm="1">
        <f>IFERROR(IF(ISBLANK($A281),"",INDEX(Array_StationaryCharges,MATCH($A281,List_StationaryFuelMeters,0),ROUNDUP((COLUMN()+1)/3-2,0))),"")</f>
        <v/>
      </c>
      <c r="AH281" s="127"/>
      <c r="AI281" s="127"/>
      <c r="AJ281" s="58" t="str" cm="1">
        <f>IFERROR(IF(ISBLANK($A281),"",INDEX(Array_StationaryCharges,MATCH($A281,List_StationaryFuelMeters,0),ROUNDUP((COLUMN()+1)/3-2,0))),"")</f>
        <v/>
      </c>
      <c r="AK281" s="127"/>
      <c r="AL281" s="127"/>
      <c r="AM281" s="58" t="str" cm="1">
        <f>IFERROR(IF(ISBLANK($A281),"",INDEX(Array_StationaryCharges,MATCH($A281,List_StationaryFuelMeters,0),ROUNDUP((COLUMN()+1)/3-2,0))),"")</f>
        <v/>
      </c>
      <c r="AN281" s="127"/>
      <c r="AO281" s="127"/>
      <c r="AP281" s="58" t="str" cm="1">
        <f>IFERROR(IF(ISBLANK($A281),"",INDEX(Array_StationaryCharges,MATCH($A281,List_StationaryFuelMeters,0),ROUNDUP((COLUMN()+1)/3-2,0))),"")</f>
        <v/>
      </c>
      <c r="AQ281" s="127"/>
      <c r="AR281" s="127"/>
      <c r="AS281" s="58" t="str" cm="1">
        <f>IFERROR(IF(ISBLANK($A281),"",INDEX(Array_StationaryCharges,MATCH($A281,List_StationaryFuelMeters,0),ROUNDUP((COLUMN()+1)/3-2,0))),"")</f>
        <v/>
      </c>
      <c r="AT281" s="127"/>
      <c r="AU281" s="127"/>
      <c r="AV281" s="58" t="str" cm="1">
        <f>IFERROR(IF(ISBLANK($A281),"",INDEX(Array_StationaryCharges,MATCH($A281,List_StationaryFuelMeters,0),ROUNDUP((COLUMN()+1)/3-2,0))),"")</f>
        <v/>
      </c>
      <c r="AW281" s="127"/>
      <c r="AX281" s="127"/>
    </row>
    <row r="282" spans="1:50" x14ac:dyDescent="0.3">
      <c r="A282" s="126"/>
      <c r="B282" s="133"/>
      <c r="C282" s="127"/>
      <c r="D282" s="138"/>
      <c r="E282" s="138"/>
      <c r="F282" s="58" t="str" cm="1">
        <f>IFERROR(IF(ISBLANK($A282),"",INDEX(Array_StationaryCharges,MATCH($A282,List_StationaryFuelMeters,0),ROUNDUP((COLUMN()+1)/3-2,0))),"")</f>
        <v/>
      </c>
      <c r="G282" s="127"/>
      <c r="H282" s="127"/>
      <c r="I282" s="58" t="str" cm="1">
        <f>IFERROR(IF(ISBLANK($A282),"",INDEX(Array_StationaryCharges,MATCH($A282,List_StationaryFuelMeters,0),ROUNDUP((COLUMN()+1)/3-2,0))),"")</f>
        <v/>
      </c>
      <c r="J282" s="127"/>
      <c r="K282" s="127"/>
      <c r="L282" s="58" t="str" cm="1">
        <f>IFERROR(IF(ISBLANK($A282),"",INDEX(Array_StationaryCharges,MATCH($A282,List_StationaryFuelMeters,0),ROUNDUP((COLUMN()+1)/3-2,0))),"")</f>
        <v/>
      </c>
      <c r="M282" s="127"/>
      <c r="N282" s="127"/>
      <c r="O282" s="58" t="str" cm="1">
        <f>IFERROR(IF(ISBLANK($A282),"",INDEX(Array_StationaryCharges,MATCH($A282,List_StationaryFuelMeters,0),ROUNDUP((COLUMN()+1)/3-2,0))),"")</f>
        <v/>
      </c>
      <c r="P282" s="127"/>
      <c r="Q282" s="127"/>
      <c r="R282" s="58" t="str" cm="1">
        <f>IFERROR(IF(ISBLANK($A282),"",INDEX(Array_StationaryCharges,MATCH($A282,List_StationaryFuelMeters,0),ROUNDUP((COLUMN()+1)/3-2,0))),"")</f>
        <v/>
      </c>
      <c r="S282" s="127"/>
      <c r="T282" s="127"/>
      <c r="U282" s="58" t="str" cm="1">
        <f>IFERROR(IF(ISBLANK($A282),"",INDEX(Array_StationaryCharges,MATCH($A282,List_StationaryFuelMeters,0),ROUNDUP((COLUMN()+1)/3-2,0))),"")</f>
        <v/>
      </c>
      <c r="V282" s="127"/>
      <c r="W282" s="127"/>
      <c r="X282" s="58" t="str" cm="1">
        <f>IFERROR(IF(ISBLANK($A282),"",INDEX(Array_StationaryCharges,MATCH($A282,List_StationaryFuelMeters,0),ROUNDUP((COLUMN()+1)/3-2,0))),"")</f>
        <v/>
      </c>
      <c r="Y282" s="127"/>
      <c r="Z282" s="127"/>
      <c r="AA282" s="58" t="str" cm="1">
        <f>IFERROR(IF(ISBLANK($A282),"",INDEX(Array_StationaryCharges,MATCH($A282,List_StationaryFuelMeters,0),ROUNDUP((COLUMN()+1)/3-2,0))),"")</f>
        <v/>
      </c>
      <c r="AB282" s="127"/>
      <c r="AC282" s="127"/>
      <c r="AD282" s="58" t="str" cm="1">
        <f>IFERROR(IF(ISBLANK($A282),"",INDEX(Array_StationaryCharges,MATCH($A282,List_StationaryFuelMeters,0),ROUNDUP((COLUMN()+1)/3-2,0))),"")</f>
        <v/>
      </c>
      <c r="AE282" s="127"/>
      <c r="AF282" s="127"/>
      <c r="AG282" s="58" t="str" cm="1">
        <f>IFERROR(IF(ISBLANK($A282),"",INDEX(Array_StationaryCharges,MATCH($A282,List_StationaryFuelMeters,0),ROUNDUP((COLUMN()+1)/3-2,0))),"")</f>
        <v/>
      </c>
      <c r="AH282" s="127"/>
      <c r="AI282" s="127"/>
      <c r="AJ282" s="58" t="str" cm="1">
        <f>IFERROR(IF(ISBLANK($A282),"",INDEX(Array_StationaryCharges,MATCH($A282,List_StationaryFuelMeters,0),ROUNDUP((COLUMN()+1)/3-2,0))),"")</f>
        <v/>
      </c>
      <c r="AK282" s="127"/>
      <c r="AL282" s="127"/>
      <c r="AM282" s="58" t="str" cm="1">
        <f>IFERROR(IF(ISBLANK($A282),"",INDEX(Array_StationaryCharges,MATCH($A282,List_StationaryFuelMeters,0),ROUNDUP((COLUMN()+1)/3-2,0))),"")</f>
        <v/>
      </c>
      <c r="AN282" s="127"/>
      <c r="AO282" s="127"/>
      <c r="AP282" s="58" t="str" cm="1">
        <f>IFERROR(IF(ISBLANK($A282),"",INDEX(Array_StationaryCharges,MATCH($A282,List_StationaryFuelMeters,0),ROUNDUP((COLUMN()+1)/3-2,0))),"")</f>
        <v/>
      </c>
      <c r="AQ282" s="127"/>
      <c r="AR282" s="127"/>
      <c r="AS282" s="58" t="str" cm="1">
        <f>IFERROR(IF(ISBLANK($A282),"",INDEX(Array_StationaryCharges,MATCH($A282,List_StationaryFuelMeters,0),ROUNDUP((COLUMN()+1)/3-2,0))),"")</f>
        <v/>
      </c>
      <c r="AT282" s="127"/>
      <c r="AU282" s="127"/>
      <c r="AV282" s="58" t="str" cm="1">
        <f>IFERROR(IF(ISBLANK($A282),"",INDEX(Array_StationaryCharges,MATCH($A282,List_StationaryFuelMeters,0),ROUNDUP((COLUMN()+1)/3-2,0))),"")</f>
        <v/>
      </c>
      <c r="AW282" s="127"/>
      <c r="AX282" s="127"/>
    </row>
    <row r="283" spans="1:50" x14ac:dyDescent="0.3">
      <c r="A283" s="126"/>
      <c r="B283" s="133"/>
      <c r="C283" s="127"/>
      <c r="D283" s="138"/>
      <c r="E283" s="138"/>
      <c r="F283" s="58" t="str" cm="1">
        <f>IFERROR(IF(ISBLANK($A283),"",INDEX(Array_StationaryCharges,MATCH($A283,List_StationaryFuelMeters,0),ROUNDUP((COLUMN()+1)/3-2,0))),"")</f>
        <v/>
      </c>
      <c r="G283" s="127"/>
      <c r="H283" s="127"/>
      <c r="I283" s="58" t="str" cm="1">
        <f>IFERROR(IF(ISBLANK($A283),"",INDEX(Array_StationaryCharges,MATCH($A283,List_StationaryFuelMeters,0),ROUNDUP((COLUMN()+1)/3-2,0))),"")</f>
        <v/>
      </c>
      <c r="J283" s="127"/>
      <c r="K283" s="127"/>
      <c r="L283" s="58" t="str" cm="1">
        <f>IFERROR(IF(ISBLANK($A283),"",INDEX(Array_StationaryCharges,MATCH($A283,List_StationaryFuelMeters,0),ROUNDUP((COLUMN()+1)/3-2,0))),"")</f>
        <v/>
      </c>
      <c r="M283" s="127"/>
      <c r="N283" s="127"/>
      <c r="O283" s="58" t="str" cm="1">
        <f>IFERROR(IF(ISBLANK($A283),"",INDEX(Array_StationaryCharges,MATCH($A283,List_StationaryFuelMeters,0),ROUNDUP((COLUMN()+1)/3-2,0))),"")</f>
        <v/>
      </c>
      <c r="P283" s="127"/>
      <c r="Q283" s="127"/>
      <c r="R283" s="58" t="str" cm="1">
        <f>IFERROR(IF(ISBLANK($A283),"",INDEX(Array_StationaryCharges,MATCH($A283,List_StationaryFuelMeters,0),ROUNDUP((COLUMN()+1)/3-2,0))),"")</f>
        <v/>
      </c>
      <c r="S283" s="127"/>
      <c r="T283" s="127"/>
      <c r="U283" s="58" t="str" cm="1">
        <f>IFERROR(IF(ISBLANK($A283),"",INDEX(Array_StationaryCharges,MATCH($A283,List_StationaryFuelMeters,0),ROUNDUP((COLUMN()+1)/3-2,0))),"")</f>
        <v/>
      </c>
      <c r="V283" s="127"/>
      <c r="W283" s="127"/>
      <c r="X283" s="58" t="str" cm="1">
        <f>IFERROR(IF(ISBLANK($A283),"",INDEX(Array_StationaryCharges,MATCH($A283,List_StationaryFuelMeters,0),ROUNDUP((COLUMN()+1)/3-2,0))),"")</f>
        <v/>
      </c>
      <c r="Y283" s="127"/>
      <c r="Z283" s="127"/>
      <c r="AA283" s="58" t="str" cm="1">
        <f>IFERROR(IF(ISBLANK($A283),"",INDEX(Array_StationaryCharges,MATCH($A283,List_StationaryFuelMeters,0),ROUNDUP((COLUMN()+1)/3-2,0))),"")</f>
        <v/>
      </c>
      <c r="AB283" s="127"/>
      <c r="AC283" s="127"/>
      <c r="AD283" s="58" t="str" cm="1">
        <f>IFERROR(IF(ISBLANK($A283),"",INDEX(Array_StationaryCharges,MATCH($A283,List_StationaryFuelMeters,0),ROUNDUP((COLUMN()+1)/3-2,0))),"")</f>
        <v/>
      </c>
      <c r="AE283" s="127"/>
      <c r="AF283" s="127"/>
      <c r="AG283" s="58" t="str" cm="1">
        <f>IFERROR(IF(ISBLANK($A283),"",INDEX(Array_StationaryCharges,MATCH($A283,List_StationaryFuelMeters,0),ROUNDUP((COLUMN()+1)/3-2,0))),"")</f>
        <v/>
      </c>
      <c r="AH283" s="127"/>
      <c r="AI283" s="127"/>
      <c r="AJ283" s="58" t="str" cm="1">
        <f>IFERROR(IF(ISBLANK($A283),"",INDEX(Array_StationaryCharges,MATCH($A283,List_StationaryFuelMeters,0),ROUNDUP((COLUMN()+1)/3-2,0))),"")</f>
        <v/>
      </c>
      <c r="AK283" s="127"/>
      <c r="AL283" s="127"/>
      <c r="AM283" s="58" t="str" cm="1">
        <f>IFERROR(IF(ISBLANK($A283),"",INDEX(Array_StationaryCharges,MATCH($A283,List_StationaryFuelMeters,0),ROUNDUP((COLUMN()+1)/3-2,0))),"")</f>
        <v/>
      </c>
      <c r="AN283" s="127"/>
      <c r="AO283" s="127"/>
      <c r="AP283" s="58" t="str" cm="1">
        <f>IFERROR(IF(ISBLANK($A283),"",INDEX(Array_StationaryCharges,MATCH($A283,List_StationaryFuelMeters,0),ROUNDUP((COLUMN()+1)/3-2,0))),"")</f>
        <v/>
      </c>
      <c r="AQ283" s="127"/>
      <c r="AR283" s="127"/>
      <c r="AS283" s="58" t="str" cm="1">
        <f>IFERROR(IF(ISBLANK($A283),"",INDEX(Array_StationaryCharges,MATCH($A283,List_StationaryFuelMeters,0),ROUNDUP((COLUMN()+1)/3-2,0))),"")</f>
        <v/>
      </c>
      <c r="AT283" s="127"/>
      <c r="AU283" s="127"/>
      <c r="AV283" s="58" t="str" cm="1">
        <f>IFERROR(IF(ISBLANK($A283),"",INDEX(Array_StationaryCharges,MATCH($A283,List_StationaryFuelMeters,0),ROUNDUP((COLUMN()+1)/3-2,0))),"")</f>
        <v/>
      </c>
      <c r="AW283" s="127"/>
      <c r="AX283" s="127"/>
    </row>
    <row r="284" spans="1:50" x14ac:dyDescent="0.3">
      <c r="A284" s="126"/>
      <c r="B284" s="133"/>
      <c r="C284" s="127"/>
      <c r="D284" s="138"/>
      <c r="E284" s="138"/>
      <c r="F284" s="58" t="str" cm="1">
        <f>IFERROR(IF(ISBLANK($A284),"",INDEX(Array_StationaryCharges,MATCH($A284,List_StationaryFuelMeters,0),ROUNDUP((COLUMN()+1)/3-2,0))),"")</f>
        <v/>
      </c>
      <c r="G284" s="127"/>
      <c r="H284" s="127"/>
      <c r="I284" s="58" t="str" cm="1">
        <f>IFERROR(IF(ISBLANK($A284),"",INDEX(Array_StationaryCharges,MATCH($A284,List_StationaryFuelMeters,0),ROUNDUP((COLUMN()+1)/3-2,0))),"")</f>
        <v/>
      </c>
      <c r="J284" s="127"/>
      <c r="K284" s="127"/>
      <c r="L284" s="58" t="str" cm="1">
        <f>IFERROR(IF(ISBLANK($A284),"",INDEX(Array_StationaryCharges,MATCH($A284,List_StationaryFuelMeters,0),ROUNDUP((COLUMN()+1)/3-2,0))),"")</f>
        <v/>
      </c>
      <c r="M284" s="127"/>
      <c r="N284" s="127"/>
      <c r="O284" s="58" t="str" cm="1">
        <f>IFERROR(IF(ISBLANK($A284),"",INDEX(Array_StationaryCharges,MATCH($A284,List_StationaryFuelMeters,0),ROUNDUP((COLUMN()+1)/3-2,0))),"")</f>
        <v/>
      </c>
      <c r="P284" s="127"/>
      <c r="Q284" s="127"/>
      <c r="R284" s="58" t="str" cm="1">
        <f>IFERROR(IF(ISBLANK($A284),"",INDEX(Array_StationaryCharges,MATCH($A284,List_StationaryFuelMeters,0),ROUNDUP((COLUMN()+1)/3-2,0))),"")</f>
        <v/>
      </c>
      <c r="S284" s="127"/>
      <c r="T284" s="127"/>
      <c r="U284" s="58" t="str" cm="1">
        <f>IFERROR(IF(ISBLANK($A284),"",INDEX(Array_StationaryCharges,MATCH($A284,List_StationaryFuelMeters,0),ROUNDUP((COLUMN()+1)/3-2,0))),"")</f>
        <v/>
      </c>
      <c r="V284" s="127"/>
      <c r="W284" s="127"/>
      <c r="X284" s="58" t="str" cm="1">
        <f>IFERROR(IF(ISBLANK($A284),"",INDEX(Array_StationaryCharges,MATCH($A284,List_StationaryFuelMeters,0),ROUNDUP((COLUMN()+1)/3-2,0))),"")</f>
        <v/>
      </c>
      <c r="Y284" s="127"/>
      <c r="Z284" s="127"/>
      <c r="AA284" s="58" t="str" cm="1">
        <f>IFERROR(IF(ISBLANK($A284),"",INDEX(Array_StationaryCharges,MATCH($A284,List_StationaryFuelMeters,0),ROUNDUP((COLUMN()+1)/3-2,0))),"")</f>
        <v/>
      </c>
      <c r="AB284" s="127"/>
      <c r="AC284" s="127"/>
      <c r="AD284" s="58" t="str" cm="1">
        <f>IFERROR(IF(ISBLANK($A284),"",INDEX(Array_StationaryCharges,MATCH($A284,List_StationaryFuelMeters,0),ROUNDUP((COLUMN()+1)/3-2,0))),"")</f>
        <v/>
      </c>
      <c r="AE284" s="127"/>
      <c r="AF284" s="127"/>
      <c r="AG284" s="58" t="str" cm="1">
        <f>IFERROR(IF(ISBLANK($A284),"",INDEX(Array_StationaryCharges,MATCH($A284,List_StationaryFuelMeters,0),ROUNDUP((COLUMN()+1)/3-2,0))),"")</f>
        <v/>
      </c>
      <c r="AH284" s="127"/>
      <c r="AI284" s="127"/>
      <c r="AJ284" s="58" t="str" cm="1">
        <f>IFERROR(IF(ISBLANK($A284),"",INDEX(Array_StationaryCharges,MATCH($A284,List_StationaryFuelMeters,0),ROUNDUP((COLUMN()+1)/3-2,0))),"")</f>
        <v/>
      </c>
      <c r="AK284" s="127"/>
      <c r="AL284" s="127"/>
      <c r="AM284" s="58" t="str" cm="1">
        <f>IFERROR(IF(ISBLANK($A284),"",INDEX(Array_StationaryCharges,MATCH($A284,List_StationaryFuelMeters,0),ROUNDUP((COLUMN()+1)/3-2,0))),"")</f>
        <v/>
      </c>
      <c r="AN284" s="127"/>
      <c r="AO284" s="127"/>
      <c r="AP284" s="58" t="str" cm="1">
        <f>IFERROR(IF(ISBLANK($A284),"",INDEX(Array_StationaryCharges,MATCH($A284,List_StationaryFuelMeters,0),ROUNDUP((COLUMN()+1)/3-2,0))),"")</f>
        <v/>
      </c>
      <c r="AQ284" s="127"/>
      <c r="AR284" s="127"/>
      <c r="AS284" s="58" t="str" cm="1">
        <f>IFERROR(IF(ISBLANK($A284),"",INDEX(Array_StationaryCharges,MATCH($A284,List_StationaryFuelMeters,0),ROUNDUP((COLUMN()+1)/3-2,0))),"")</f>
        <v/>
      </c>
      <c r="AT284" s="127"/>
      <c r="AU284" s="127"/>
      <c r="AV284" s="58" t="str" cm="1">
        <f>IFERROR(IF(ISBLANK($A284),"",INDEX(Array_StationaryCharges,MATCH($A284,List_StationaryFuelMeters,0),ROUNDUP((COLUMN()+1)/3-2,0))),"")</f>
        <v/>
      </c>
      <c r="AW284" s="127"/>
      <c r="AX284" s="127"/>
    </row>
    <row r="285" spans="1:50" x14ac:dyDescent="0.3">
      <c r="A285" s="126"/>
      <c r="B285" s="133"/>
      <c r="C285" s="127"/>
      <c r="D285" s="138"/>
      <c r="E285" s="138"/>
      <c r="F285" s="58" t="str" cm="1">
        <f>IFERROR(IF(ISBLANK($A285),"",INDEX(Array_StationaryCharges,MATCH($A285,List_StationaryFuelMeters,0),ROUNDUP((COLUMN()+1)/3-2,0))),"")</f>
        <v/>
      </c>
      <c r="G285" s="127"/>
      <c r="H285" s="127"/>
      <c r="I285" s="58" t="str" cm="1">
        <f>IFERROR(IF(ISBLANK($A285),"",INDEX(Array_StationaryCharges,MATCH($A285,List_StationaryFuelMeters,0),ROUNDUP((COLUMN()+1)/3-2,0))),"")</f>
        <v/>
      </c>
      <c r="J285" s="127"/>
      <c r="K285" s="127"/>
      <c r="L285" s="58" t="str" cm="1">
        <f>IFERROR(IF(ISBLANK($A285),"",INDEX(Array_StationaryCharges,MATCH($A285,List_StationaryFuelMeters,0),ROUNDUP((COLUMN()+1)/3-2,0))),"")</f>
        <v/>
      </c>
      <c r="M285" s="127"/>
      <c r="N285" s="127"/>
      <c r="O285" s="58" t="str" cm="1">
        <f>IFERROR(IF(ISBLANK($A285),"",INDEX(Array_StationaryCharges,MATCH($A285,List_StationaryFuelMeters,0),ROUNDUP((COLUMN()+1)/3-2,0))),"")</f>
        <v/>
      </c>
      <c r="P285" s="127"/>
      <c r="Q285" s="127"/>
      <c r="R285" s="58" t="str" cm="1">
        <f>IFERROR(IF(ISBLANK($A285),"",INDEX(Array_StationaryCharges,MATCH($A285,List_StationaryFuelMeters,0),ROUNDUP((COLUMN()+1)/3-2,0))),"")</f>
        <v/>
      </c>
      <c r="S285" s="127"/>
      <c r="T285" s="127"/>
      <c r="U285" s="58" t="str" cm="1">
        <f>IFERROR(IF(ISBLANK($A285),"",INDEX(Array_StationaryCharges,MATCH($A285,List_StationaryFuelMeters,0),ROUNDUP((COLUMN()+1)/3-2,0))),"")</f>
        <v/>
      </c>
      <c r="V285" s="127"/>
      <c r="W285" s="127"/>
      <c r="X285" s="58" t="str" cm="1">
        <f>IFERROR(IF(ISBLANK($A285),"",INDEX(Array_StationaryCharges,MATCH($A285,List_StationaryFuelMeters,0),ROUNDUP((COLUMN()+1)/3-2,0))),"")</f>
        <v/>
      </c>
      <c r="Y285" s="127"/>
      <c r="Z285" s="127"/>
      <c r="AA285" s="58" t="str" cm="1">
        <f>IFERROR(IF(ISBLANK($A285),"",INDEX(Array_StationaryCharges,MATCH($A285,List_StationaryFuelMeters,0),ROUNDUP((COLUMN()+1)/3-2,0))),"")</f>
        <v/>
      </c>
      <c r="AB285" s="127"/>
      <c r="AC285" s="127"/>
      <c r="AD285" s="58" t="str" cm="1">
        <f>IFERROR(IF(ISBLANK($A285),"",INDEX(Array_StationaryCharges,MATCH($A285,List_StationaryFuelMeters,0),ROUNDUP((COLUMN()+1)/3-2,0))),"")</f>
        <v/>
      </c>
      <c r="AE285" s="127"/>
      <c r="AF285" s="127"/>
      <c r="AG285" s="58" t="str" cm="1">
        <f>IFERROR(IF(ISBLANK($A285),"",INDEX(Array_StationaryCharges,MATCH($A285,List_StationaryFuelMeters,0),ROUNDUP((COLUMN()+1)/3-2,0))),"")</f>
        <v/>
      </c>
      <c r="AH285" s="127"/>
      <c r="AI285" s="127"/>
      <c r="AJ285" s="58" t="str" cm="1">
        <f>IFERROR(IF(ISBLANK($A285),"",INDEX(Array_StationaryCharges,MATCH($A285,List_StationaryFuelMeters,0),ROUNDUP((COLUMN()+1)/3-2,0))),"")</f>
        <v/>
      </c>
      <c r="AK285" s="127"/>
      <c r="AL285" s="127"/>
      <c r="AM285" s="58" t="str" cm="1">
        <f>IFERROR(IF(ISBLANK($A285),"",INDEX(Array_StationaryCharges,MATCH($A285,List_StationaryFuelMeters,0),ROUNDUP((COLUMN()+1)/3-2,0))),"")</f>
        <v/>
      </c>
      <c r="AN285" s="127"/>
      <c r="AO285" s="127"/>
      <c r="AP285" s="58" t="str" cm="1">
        <f>IFERROR(IF(ISBLANK($A285),"",INDEX(Array_StationaryCharges,MATCH($A285,List_StationaryFuelMeters,0),ROUNDUP((COLUMN()+1)/3-2,0))),"")</f>
        <v/>
      </c>
      <c r="AQ285" s="127"/>
      <c r="AR285" s="127"/>
      <c r="AS285" s="58" t="str" cm="1">
        <f>IFERROR(IF(ISBLANK($A285),"",INDEX(Array_StationaryCharges,MATCH($A285,List_StationaryFuelMeters,0),ROUNDUP((COLUMN()+1)/3-2,0))),"")</f>
        <v/>
      </c>
      <c r="AT285" s="127"/>
      <c r="AU285" s="127"/>
      <c r="AV285" s="58" t="str" cm="1">
        <f>IFERROR(IF(ISBLANK($A285),"",INDEX(Array_StationaryCharges,MATCH($A285,List_StationaryFuelMeters,0),ROUNDUP((COLUMN()+1)/3-2,0))),"")</f>
        <v/>
      </c>
      <c r="AW285" s="127"/>
      <c r="AX285" s="127"/>
    </row>
    <row r="286" spans="1:50" x14ac:dyDescent="0.3">
      <c r="A286" s="126"/>
      <c r="B286" s="133"/>
      <c r="C286" s="127"/>
      <c r="D286" s="138"/>
      <c r="E286" s="138"/>
      <c r="F286" s="58" t="str" cm="1">
        <f>IFERROR(IF(ISBLANK($A286),"",INDEX(Array_StationaryCharges,MATCH($A286,List_StationaryFuelMeters,0),ROUNDUP((COLUMN()+1)/3-2,0))),"")</f>
        <v/>
      </c>
      <c r="G286" s="127"/>
      <c r="H286" s="127"/>
      <c r="I286" s="58" t="str" cm="1">
        <f>IFERROR(IF(ISBLANK($A286),"",INDEX(Array_StationaryCharges,MATCH($A286,List_StationaryFuelMeters,0),ROUNDUP((COLUMN()+1)/3-2,0))),"")</f>
        <v/>
      </c>
      <c r="J286" s="127"/>
      <c r="K286" s="127"/>
      <c r="L286" s="58" t="str" cm="1">
        <f>IFERROR(IF(ISBLANK($A286),"",INDEX(Array_StationaryCharges,MATCH($A286,List_StationaryFuelMeters,0),ROUNDUP((COLUMN()+1)/3-2,0))),"")</f>
        <v/>
      </c>
      <c r="M286" s="127"/>
      <c r="N286" s="127"/>
      <c r="O286" s="58" t="str" cm="1">
        <f>IFERROR(IF(ISBLANK($A286),"",INDEX(Array_StationaryCharges,MATCH($A286,List_StationaryFuelMeters,0),ROUNDUP((COLUMN()+1)/3-2,0))),"")</f>
        <v/>
      </c>
      <c r="P286" s="127"/>
      <c r="Q286" s="127"/>
      <c r="R286" s="58" t="str" cm="1">
        <f>IFERROR(IF(ISBLANK($A286),"",INDEX(Array_StationaryCharges,MATCH($A286,List_StationaryFuelMeters,0),ROUNDUP((COLUMN()+1)/3-2,0))),"")</f>
        <v/>
      </c>
      <c r="S286" s="127"/>
      <c r="T286" s="127"/>
      <c r="U286" s="58" t="str" cm="1">
        <f>IFERROR(IF(ISBLANK($A286),"",INDEX(Array_StationaryCharges,MATCH($A286,List_StationaryFuelMeters,0),ROUNDUP((COLUMN()+1)/3-2,0))),"")</f>
        <v/>
      </c>
      <c r="V286" s="127"/>
      <c r="W286" s="127"/>
      <c r="X286" s="58" t="str" cm="1">
        <f>IFERROR(IF(ISBLANK($A286),"",INDEX(Array_StationaryCharges,MATCH($A286,List_StationaryFuelMeters,0),ROUNDUP((COLUMN()+1)/3-2,0))),"")</f>
        <v/>
      </c>
      <c r="Y286" s="127"/>
      <c r="Z286" s="127"/>
      <c r="AA286" s="58" t="str" cm="1">
        <f>IFERROR(IF(ISBLANK($A286),"",INDEX(Array_StationaryCharges,MATCH($A286,List_StationaryFuelMeters,0),ROUNDUP((COLUMN()+1)/3-2,0))),"")</f>
        <v/>
      </c>
      <c r="AB286" s="127"/>
      <c r="AC286" s="127"/>
      <c r="AD286" s="58" t="str" cm="1">
        <f>IFERROR(IF(ISBLANK($A286),"",INDEX(Array_StationaryCharges,MATCH($A286,List_StationaryFuelMeters,0),ROUNDUP((COLUMN()+1)/3-2,0))),"")</f>
        <v/>
      </c>
      <c r="AE286" s="127"/>
      <c r="AF286" s="127"/>
      <c r="AG286" s="58" t="str" cm="1">
        <f>IFERROR(IF(ISBLANK($A286),"",INDEX(Array_StationaryCharges,MATCH($A286,List_StationaryFuelMeters,0),ROUNDUP((COLUMN()+1)/3-2,0))),"")</f>
        <v/>
      </c>
      <c r="AH286" s="127"/>
      <c r="AI286" s="127"/>
      <c r="AJ286" s="58" t="str" cm="1">
        <f>IFERROR(IF(ISBLANK($A286),"",INDEX(Array_StationaryCharges,MATCH($A286,List_StationaryFuelMeters,0),ROUNDUP((COLUMN()+1)/3-2,0))),"")</f>
        <v/>
      </c>
      <c r="AK286" s="127"/>
      <c r="AL286" s="127"/>
      <c r="AM286" s="58" t="str" cm="1">
        <f>IFERROR(IF(ISBLANK($A286),"",INDEX(Array_StationaryCharges,MATCH($A286,List_StationaryFuelMeters,0),ROUNDUP((COLUMN()+1)/3-2,0))),"")</f>
        <v/>
      </c>
      <c r="AN286" s="127"/>
      <c r="AO286" s="127"/>
      <c r="AP286" s="58" t="str" cm="1">
        <f>IFERROR(IF(ISBLANK($A286),"",INDEX(Array_StationaryCharges,MATCH($A286,List_StationaryFuelMeters,0),ROUNDUP((COLUMN()+1)/3-2,0))),"")</f>
        <v/>
      </c>
      <c r="AQ286" s="127"/>
      <c r="AR286" s="127"/>
      <c r="AS286" s="58" t="str" cm="1">
        <f>IFERROR(IF(ISBLANK($A286),"",INDEX(Array_StationaryCharges,MATCH($A286,List_StationaryFuelMeters,0),ROUNDUP((COLUMN()+1)/3-2,0))),"")</f>
        <v/>
      </c>
      <c r="AT286" s="127"/>
      <c r="AU286" s="127"/>
      <c r="AV286" s="58" t="str" cm="1">
        <f>IFERROR(IF(ISBLANK($A286),"",INDEX(Array_StationaryCharges,MATCH($A286,List_StationaryFuelMeters,0),ROUNDUP((COLUMN()+1)/3-2,0))),"")</f>
        <v/>
      </c>
      <c r="AW286" s="127"/>
      <c r="AX286" s="127"/>
    </row>
    <row r="287" spans="1:50" x14ac:dyDescent="0.3">
      <c r="A287" s="126"/>
      <c r="B287" s="133"/>
      <c r="C287" s="127"/>
      <c r="D287" s="138"/>
      <c r="E287" s="138"/>
      <c r="F287" s="58" t="str" cm="1">
        <f>IFERROR(IF(ISBLANK($A287),"",INDEX(Array_StationaryCharges,MATCH($A287,List_StationaryFuelMeters,0),ROUNDUP((COLUMN()+1)/3-2,0))),"")</f>
        <v/>
      </c>
      <c r="G287" s="127"/>
      <c r="H287" s="127"/>
      <c r="I287" s="58" t="str" cm="1">
        <f>IFERROR(IF(ISBLANK($A287),"",INDEX(Array_StationaryCharges,MATCH($A287,List_StationaryFuelMeters,0),ROUNDUP((COLUMN()+1)/3-2,0))),"")</f>
        <v/>
      </c>
      <c r="J287" s="127"/>
      <c r="K287" s="127"/>
      <c r="L287" s="58" t="str" cm="1">
        <f>IFERROR(IF(ISBLANK($A287),"",INDEX(Array_StationaryCharges,MATCH($A287,List_StationaryFuelMeters,0),ROUNDUP((COLUMN()+1)/3-2,0))),"")</f>
        <v/>
      </c>
      <c r="M287" s="127"/>
      <c r="N287" s="127"/>
      <c r="O287" s="58" t="str" cm="1">
        <f>IFERROR(IF(ISBLANK($A287),"",INDEX(Array_StationaryCharges,MATCH($A287,List_StationaryFuelMeters,0),ROUNDUP((COLUMN()+1)/3-2,0))),"")</f>
        <v/>
      </c>
      <c r="P287" s="127"/>
      <c r="Q287" s="127"/>
      <c r="R287" s="58" t="str" cm="1">
        <f>IFERROR(IF(ISBLANK($A287),"",INDEX(Array_StationaryCharges,MATCH($A287,List_StationaryFuelMeters,0),ROUNDUP((COLUMN()+1)/3-2,0))),"")</f>
        <v/>
      </c>
      <c r="S287" s="127"/>
      <c r="T287" s="127"/>
      <c r="U287" s="58" t="str" cm="1">
        <f>IFERROR(IF(ISBLANK($A287),"",INDEX(Array_StationaryCharges,MATCH($A287,List_StationaryFuelMeters,0),ROUNDUP((COLUMN()+1)/3-2,0))),"")</f>
        <v/>
      </c>
      <c r="V287" s="127"/>
      <c r="W287" s="127"/>
      <c r="X287" s="58" t="str" cm="1">
        <f>IFERROR(IF(ISBLANK($A287),"",INDEX(Array_StationaryCharges,MATCH($A287,List_StationaryFuelMeters,0),ROUNDUP((COLUMN()+1)/3-2,0))),"")</f>
        <v/>
      </c>
      <c r="Y287" s="127"/>
      <c r="Z287" s="127"/>
      <c r="AA287" s="58" t="str" cm="1">
        <f>IFERROR(IF(ISBLANK($A287),"",INDEX(Array_StationaryCharges,MATCH($A287,List_StationaryFuelMeters,0),ROUNDUP((COLUMN()+1)/3-2,0))),"")</f>
        <v/>
      </c>
      <c r="AB287" s="127"/>
      <c r="AC287" s="127"/>
      <c r="AD287" s="58" t="str" cm="1">
        <f>IFERROR(IF(ISBLANK($A287),"",INDEX(Array_StationaryCharges,MATCH($A287,List_StationaryFuelMeters,0),ROUNDUP((COLUMN()+1)/3-2,0))),"")</f>
        <v/>
      </c>
      <c r="AE287" s="127"/>
      <c r="AF287" s="127"/>
      <c r="AG287" s="58" t="str" cm="1">
        <f>IFERROR(IF(ISBLANK($A287),"",INDEX(Array_StationaryCharges,MATCH($A287,List_StationaryFuelMeters,0),ROUNDUP((COLUMN()+1)/3-2,0))),"")</f>
        <v/>
      </c>
      <c r="AH287" s="127"/>
      <c r="AI287" s="127"/>
      <c r="AJ287" s="58" t="str" cm="1">
        <f>IFERROR(IF(ISBLANK($A287),"",INDEX(Array_StationaryCharges,MATCH($A287,List_StationaryFuelMeters,0),ROUNDUP((COLUMN()+1)/3-2,0))),"")</f>
        <v/>
      </c>
      <c r="AK287" s="127"/>
      <c r="AL287" s="127"/>
      <c r="AM287" s="58" t="str" cm="1">
        <f>IFERROR(IF(ISBLANK($A287),"",INDEX(Array_StationaryCharges,MATCH($A287,List_StationaryFuelMeters,0),ROUNDUP((COLUMN()+1)/3-2,0))),"")</f>
        <v/>
      </c>
      <c r="AN287" s="127"/>
      <c r="AO287" s="127"/>
      <c r="AP287" s="58" t="str" cm="1">
        <f>IFERROR(IF(ISBLANK($A287),"",INDEX(Array_StationaryCharges,MATCH($A287,List_StationaryFuelMeters,0),ROUNDUP((COLUMN()+1)/3-2,0))),"")</f>
        <v/>
      </c>
      <c r="AQ287" s="127"/>
      <c r="AR287" s="127"/>
      <c r="AS287" s="58" t="str" cm="1">
        <f>IFERROR(IF(ISBLANK($A287),"",INDEX(Array_StationaryCharges,MATCH($A287,List_StationaryFuelMeters,0),ROUNDUP((COLUMN()+1)/3-2,0))),"")</f>
        <v/>
      </c>
      <c r="AT287" s="127"/>
      <c r="AU287" s="127"/>
      <c r="AV287" s="58" t="str" cm="1">
        <f>IFERROR(IF(ISBLANK($A287),"",INDEX(Array_StationaryCharges,MATCH($A287,List_StationaryFuelMeters,0),ROUNDUP((COLUMN()+1)/3-2,0))),"")</f>
        <v/>
      </c>
      <c r="AW287" s="127"/>
      <c r="AX287" s="127"/>
    </row>
    <row r="288" spans="1:50" x14ac:dyDescent="0.3">
      <c r="A288" s="126"/>
      <c r="B288" s="133"/>
      <c r="C288" s="127"/>
      <c r="D288" s="138"/>
      <c r="E288" s="138"/>
      <c r="F288" s="58" t="str" cm="1">
        <f>IFERROR(IF(ISBLANK($A288),"",INDEX(Array_StationaryCharges,MATCH($A288,List_StationaryFuelMeters,0),ROUNDUP((COLUMN()+1)/3-2,0))),"")</f>
        <v/>
      </c>
      <c r="G288" s="127"/>
      <c r="H288" s="127"/>
      <c r="I288" s="58" t="str" cm="1">
        <f>IFERROR(IF(ISBLANK($A288),"",INDEX(Array_StationaryCharges,MATCH($A288,List_StationaryFuelMeters,0),ROUNDUP((COLUMN()+1)/3-2,0))),"")</f>
        <v/>
      </c>
      <c r="J288" s="127"/>
      <c r="K288" s="127"/>
      <c r="L288" s="58" t="str" cm="1">
        <f>IFERROR(IF(ISBLANK($A288),"",INDEX(Array_StationaryCharges,MATCH($A288,List_StationaryFuelMeters,0),ROUNDUP((COLUMN()+1)/3-2,0))),"")</f>
        <v/>
      </c>
      <c r="M288" s="127"/>
      <c r="N288" s="127"/>
      <c r="O288" s="58" t="str" cm="1">
        <f>IFERROR(IF(ISBLANK($A288),"",INDEX(Array_StationaryCharges,MATCH($A288,List_StationaryFuelMeters,0),ROUNDUP((COLUMN()+1)/3-2,0))),"")</f>
        <v/>
      </c>
      <c r="P288" s="127"/>
      <c r="Q288" s="127"/>
      <c r="R288" s="58" t="str" cm="1">
        <f>IFERROR(IF(ISBLANK($A288),"",INDEX(Array_StationaryCharges,MATCH($A288,List_StationaryFuelMeters,0),ROUNDUP((COLUMN()+1)/3-2,0))),"")</f>
        <v/>
      </c>
      <c r="S288" s="127"/>
      <c r="T288" s="127"/>
      <c r="U288" s="58" t="str" cm="1">
        <f>IFERROR(IF(ISBLANK($A288),"",INDEX(Array_StationaryCharges,MATCH($A288,List_StationaryFuelMeters,0),ROUNDUP((COLUMN()+1)/3-2,0))),"")</f>
        <v/>
      </c>
      <c r="V288" s="127"/>
      <c r="W288" s="127"/>
      <c r="X288" s="58" t="str" cm="1">
        <f>IFERROR(IF(ISBLANK($A288),"",INDEX(Array_StationaryCharges,MATCH($A288,List_StationaryFuelMeters,0),ROUNDUP((COLUMN()+1)/3-2,0))),"")</f>
        <v/>
      </c>
      <c r="Y288" s="127"/>
      <c r="Z288" s="127"/>
      <c r="AA288" s="58" t="str" cm="1">
        <f>IFERROR(IF(ISBLANK($A288),"",INDEX(Array_StationaryCharges,MATCH($A288,List_StationaryFuelMeters,0),ROUNDUP((COLUMN()+1)/3-2,0))),"")</f>
        <v/>
      </c>
      <c r="AB288" s="127"/>
      <c r="AC288" s="127"/>
      <c r="AD288" s="58" t="str" cm="1">
        <f>IFERROR(IF(ISBLANK($A288),"",INDEX(Array_StationaryCharges,MATCH($A288,List_StationaryFuelMeters,0),ROUNDUP((COLUMN()+1)/3-2,0))),"")</f>
        <v/>
      </c>
      <c r="AE288" s="127"/>
      <c r="AF288" s="127"/>
      <c r="AG288" s="58" t="str" cm="1">
        <f>IFERROR(IF(ISBLANK($A288),"",INDEX(Array_StationaryCharges,MATCH($A288,List_StationaryFuelMeters,0),ROUNDUP((COLUMN()+1)/3-2,0))),"")</f>
        <v/>
      </c>
      <c r="AH288" s="127"/>
      <c r="AI288" s="127"/>
      <c r="AJ288" s="58" t="str" cm="1">
        <f>IFERROR(IF(ISBLANK($A288),"",INDEX(Array_StationaryCharges,MATCH($A288,List_StationaryFuelMeters,0),ROUNDUP((COLUMN()+1)/3-2,0))),"")</f>
        <v/>
      </c>
      <c r="AK288" s="127"/>
      <c r="AL288" s="127"/>
      <c r="AM288" s="58" t="str" cm="1">
        <f>IFERROR(IF(ISBLANK($A288),"",INDEX(Array_StationaryCharges,MATCH($A288,List_StationaryFuelMeters,0),ROUNDUP((COLUMN()+1)/3-2,0))),"")</f>
        <v/>
      </c>
      <c r="AN288" s="127"/>
      <c r="AO288" s="127"/>
      <c r="AP288" s="58" t="str" cm="1">
        <f>IFERROR(IF(ISBLANK($A288),"",INDEX(Array_StationaryCharges,MATCH($A288,List_StationaryFuelMeters,0),ROUNDUP((COLUMN()+1)/3-2,0))),"")</f>
        <v/>
      </c>
      <c r="AQ288" s="127"/>
      <c r="AR288" s="127"/>
      <c r="AS288" s="58" t="str" cm="1">
        <f>IFERROR(IF(ISBLANK($A288),"",INDEX(Array_StationaryCharges,MATCH($A288,List_StationaryFuelMeters,0),ROUNDUP((COLUMN()+1)/3-2,0))),"")</f>
        <v/>
      </c>
      <c r="AT288" s="127"/>
      <c r="AU288" s="127"/>
      <c r="AV288" s="58" t="str" cm="1">
        <f>IFERROR(IF(ISBLANK($A288),"",INDEX(Array_StationaryCharges,MATCH($A288,List_StationaryFuelMeters,0),ROUNDUP((COLUMN()+1)/3-2,0))),"")</f>
        <v/>
      </c>
      <c r="AW288" s="127"/>
      <c r="AX288" s="127"/>
    </row>
    <row r="289" spans="1:50" x14ac:dyDescent="0.3">
      <c r="A289" s="126"/>
      <c r="B289" s="133"/>
      <c r="C289" s="127"/>
      <c r="D289" s="138"/>
      <c r="E289" s="138"/>
      <c r="F289" s="58" t="str" cm="1">
        <f>IFERROR(IF(ISBLANK($A289),"",INDEX(Array_StationaryCharges,MATCH($A289,List_StationaryFuelMeters,0),ROUNDUP((COLUMN()+1)/3-2,0))),"")</f>
        <v/>
      </c>
      <c r="G289" s="127"/>
      <c r="H289" s="127"/>
      <c r="I289" s="58" t="str" cm="1">
        <f>IFERROR(IF(ISBLANK($A289),"",INDEX(Array_StationaryCharges,MATCH($A289,List_StationaryFuelMeters,0),ROUNDUP((COLUMN()+1)/3-2,0))),"")</f>
        <v/>
      </c>
      <c r="J289" s="127"/>
      <c r="K289" s="127"/>
      <c r="L289" s="58" t="str" cm="1">
        <f>IFERROR(IF(ISBLANK($A289),"",INDEX(Array_StationaryCharges,MATCH($A289,List_StationaryFuelMeters,0),ROUNDUP((COLUMN()+1)/3-2,0))),"")</f>
        <v/>
      </c>
      <c r="M289" s="127"/>
      <c r="N289" s="127"/>
      <c r="O289" s="58" t="str" cm="1">
        <f>IFERROR(IF(ISBLANK($A289),"",INDEX(Array_StationaryCharges,MATCH($A289,List_StationaryFuelMeters,0),ROUNDUP((COLUMN()+1)/3-2,0))),"")</f>
        <v/>
      </c>
      <c r="P289" s="127"/>
      <c r="Q289" s="127"/>
      <c r="R289" s="58" t="str" cm="1">
        <f>IFERROR(IF(ISBLANK($A289),"",INDEX(Array_StationaryCharges,MATCH($A289,List_StationaryFuelMeters,0),ROUNDUP((COLUMN()+1)/3-2,0))),"")</f>
        <v/>
      </c>
      <c r="S289" s="127"/>
      <c r="T289" s="127"/>
      <c r="U289" s="58" t="str" cm="1">
        <f>IFERROR(IF(ISBLANK($A289),"",INDEX(Array_StationaryCharges,MATCH($A289,List_StationaryFuelMeters,0),ROUNDUP((COLUMN()+1)/3-2,0))),"")</f>
        <v/>
      </c>
      <c r="V289" s="127"/>
      <c r="W289" s="127"/>
      <c r="X289" s="58" t="str" cm="1">
        <f>IFERROR(IF(ISBLANK($A289),"",INDEX(Array_StationaryCharges,MATCH($A289,List_StationaryFuelMeters,0),ROUNDUP((COLUMN()+1)/3-2,0))),"")</f>
        <v/>
      </c>
      <c r="Y289" s="127"/>
      <c r="Z289" s="127"/>
      <c r="AA289" s="58" t="str" cm="1">
        <f>IFERROR(IF(ISBLANK($A289),"",INDEX(Array_StationaryCharges,MATCH($A289,List_StationaryFuelMeters,0),ROUNDUP((COLUMN()+1)/3-2,0))),"")</f>
        <v/>
      </c>
      <c r="AB289" s="127"/>
      <c r="AC289" s="127"/>
      <c r="AD289" s="58" t="str" cm="1">
        <f>IFERROR(IF(ISBLANK($A289),"",INDEX(Array_StationaryCharges,MATCH($A289,List_StationaryFuelMeters,0),ROUNDUP((COLUMN()+1)/3-2,0))),"")</f>
        <v/>
      </c>
      <c r="AE289" s="127"/>
      <c r="AF289" s="127"/>
      <c r="AG289" s="58" t="str" cm="1">
        <f>IFERROR(IF(ISBLANK($A289),"",INDEX(Array_StationaryCharges,MATCH($A289,List_StationaryFuelMeters,0),ROUNDUP((COLUMN()+1)/3-2,0))),"")</f>
        <v/>
      </c>
      <c r="AH289" s="127"/>
      <c r="AI289" s="127"/>
      <c r="AJ289" s="58" t="str" cm="1">
        <f>IFERROR(IF(ISBLANK($A289),"",INDEX(Array_StationaryCharges,MATCH($A289,List_StationaryFuelMeters,0),ROUNDUP((COLUMN()+1)/3-2,0))),"")</f>
        <v/>
      </c>
      <c r="AK289" s="127"/>
      <c r="AL289" s="127"/>
      <c r="AM289" s="58" t="str" cm="1">
        <f>IFERROR(IF(ISBLANK($A289),"",INDEX(Array_StationaryCharges,MATCH($A289,List_StationaryFuelMeters,0),ROUNDUP((COLUMN()+1)/3-2,0))),"")</f>
        <v/>
      </c>
      <c r="AN289" s="127"/>
      <c r="AO289" s="127"/>
      <c r="AP289" s="58" t="str" cm="1">
        <f>IFERROR(IF(ISBLANK($A289),"",INDEX(Array_StationaryCharges,MATCH($A289,List_StationaryFuelMeters,0),ROUNDUP((COLUMN()+1)/3-2,0))),"")</f>
        <v/>
      </c>
      <c r="AQ289" s="127"/>
      <c r="AR289" s="127"/>
      <c r="AS289" s="58" t="str" cm="1">
        <f>IFERROR(IF(ISBLANK($A289),"",INDEX(Array_StationaryCharges,MATCH($A289,List_StationaryFuelMeters,0),ROUNDUP((COLUMN()+1)/3-2,0))),"")</f>
        <v/>
      </c>
      <c r="AT289" s="127"/>
      <c r="AU289" s="127"/>
      <c r="AV289" s="58" t="str" cm="1">
        <f>IFERROR(IF(ISBLANK($A289),"",INDEX(Array_StationaryCharges,MATCH($A289,List_StationaryFuelMeters,0),ROUNDUP((COLUMN()+1)/3-2,0))),"")</f>
        <v/>
      </c>
      <c r="AW289" s="127"/>
      <c r="AX289" s="127"/>
    </row>
    <row r="290" spans="1:50" x14ac:dyDescent="0.3">
      <c r="A290" s="126"/>
      <c r="B290" s="133"/>
      <c r="C290" s="127"/>
      <c r="D290" s="138"/>
      <c r="E290" s="138"/>
      <c r="F290" s="58" t="str" cm="1">
        <f>IFERROR(IF(ISBLANK($A290),"",INDEX(Array_StationaryCharges,MATCH($A290,List_StationaryFuelMeters,0),ROUNDUP((COLUMN()+1)/3-2,0))),"")</f>
        <v/>
      </c>
      <c r="G290" s="127"/>
      <c r="H290" s="127"/>
      <c r="I290" s="58" t="str" cm="1">
        <f>IFERROR(IF(ISBLANK($A290),"",INDEX(Array_StationaryCharges,MATCH($A290,List_StationaryFuelMeters,0),ROUNDUP((COLUMN()+1)/3-2,0))),"")</f>
        <v/>
      </c>
      <c r="J290" s="127"/>
      <c r="K290" s="127"/>
      <c r="L290" s="58" t="str" cm="1">
        <f>IFERROR(IF(ISBLANK($A290),"",INDEX(Array_StationaryCharges,MATCH($A290,List_StationaryFuelMeters,0),ROUNDUP((COLUMN()+1)/3-2,0))),"")</f>
        <v/>
      </c>
      <c r="M290" s="127"/>
      <c r="N290" s="127"/>
      <c r="O290" s="58" t="str" cm="1">
        <f>IFERROR(IF(ISBLANK($A290),"",INDEX(Array_StationaryCharges,MATCH($A290,List_StationaryFuelMeters,0),ROUNDUP((COLUMN()+1)/3-2,0))),"")</f>
        <v/>
      </c>
      <c r="P290" s="127"/>
      <c r="Q290" s="127"/>
      <c r="R290" s="58" t="str" cm="1">
        <f>IFERROR(IF(ISBLANK($A290),"",INDEX(Array_StationaryCharges,MATCH($A290,List_StationaryFuelMeters,0),ROUNDUP((COLUMN()+1)/3-2,0))),"")</f>
        <v/>
      </c>
      <c r="S290" s="127"/>
      <c r="T290" s="127"/>
      <c r="U290" s="58" t="str" cm="1">
        <f>IFERROR(IF(ISBLANK($A290),"",INDEX(Array_StationaryCharges,MATCH($A290,List_StationaryFuelMeters,0),ROUNDUP((COLUMN()+1)/3-2,0))),"")</f>
        <v/>
      </c>
      <c r="V290" s="127"/>
      <c r="W290" s="127"/>
      <c r="X290" s="58" t="str" cm="1">
        <f>IFERROR(IF(ISBLANK($A290),"",INDEX(Array_StationaryCharges,MATCH($A290,List_StationaryFuelMeters,0),ROUNDUP((COLUMN()+1)/3-2,0))),"")</f>
        <v/>
      </c>
      <c r="Y290" s="127"/>
      <c r="Z290" s="127"/>
      <c r="AA290" s="58" t="str" cm="1">
        <f>IFERROR(IF(ISBLANK($A290),"",INDEX(Array_StationaryCharges,MATCH($A290,List_StationaryFuelMeters,0),ROUNDUP((COLUMN()+1)/3-2,0))),"")</f>
        <v/>
      </c>
      <c r="AB290" s="127"/>
      <c r="AC290" s="127"/>
      <c r="AD290" s="58" t="str" cm="1">
        <f>IFERROR(IF(ISBLANK($A290),"",INDEX(Array_StationaryCharges,MATCH($A290,List_StationaryFuelMeters,0),ROUNDUP((COLUMN()+1)/3-2,0))),"")</f>
        <v/>
      </c>
      <c r="AE290" s="127"/>
      <c r="AF290" s="127"/>
      <c r="AG290" s="58" t="str" cm="1">
        <f>IFERROR(IF(ISBLANK($A290),"",INDEX(Array_StationaryCharges,MATCH($A290,List_StationaryFuelMeters,0),ROUNDUP((COLUMN()+1)/3-2,0))),"")</f>
        <v/>
      </c>
      <c r="AH290" s="127"/>
      <c r="AI290" s="127"/>
      <c r="AJ290" s="58" t="str" cm="1">
        <f>IFERROR(IF(ISBLANK($A290),"",INDEX(Array_StationaryCharges,MATCH($A290,List_StationaryFuelMeters,0),ROUNDUP((COLUMN()+1)/3-2,0))),"")</f>
        <v/>
      </c>
      <c r="AK290" s="127"/>
      <c r="AL290" s="127"/>
      <c r="AM290" s="58" t="str" cm="1">
        <f>IFERROR(IF(ISBLANK($A290),"",INDEX(Array_StationaryCharges,MATCH($A290,List_StationaryFuelMeters,0),ROUNDUP((COLUMN()+1)/3-2,0))),"")</f>
        <v/>
      </c>
      <c r="AN290" s="127"/>
      <c r="AO290" s="127"/>
      <c r="AP290" s="58" t="str" cm="1">
        <f>IFERROR(IF(ISBLANK($A290),"",INDEX(Array_StationaryCharges,MATCH($A290,List_StationaryFuelMeters,0),ROUNDUP((COLUMN()+1)/3-2,0))),"")</f>
        <v/>
      </c>
      <c r="AQ290" s="127"/>
      <c r="AR290" s="127"/>
      <c r="AS290" s="58" t="str" cm="1">
        <f>IFERROR(IF(ISBLANK($A290),"",INDEX(Array_StationaryCharges,MATCH($A290,List_StationaryFuelMeters,0),ROUNDUP((COLUMN()+1)/3-2,0))),"")</f>
        <v/>
      </c>
      <c r="AT290" s="127"/>
      <c r="AU290" s="127"/>
      <c r="AV290" s="58" t="str" cm="1">
        <f>IFERROR(IF(ISBLANK($A290),"",INDEX(Array_StationaryCharges,MATCH($A290,List_StationaryFuelMeters,0),ROUNDUP((COLUMN()+1)/3-2,0))),"")</f>
        <v/>
      </c>
      <c r="AW290" s="127"/>
      <c r="AX290" s="127"/>
    </row>
    <row r="291" spans="1:50" x14ac:dyDescent="0.3">
      <c r="A291" s="126"/>
      <c r="B291" s="133"/>
      <c r="C291" s="127"/>
      <c r="D291" s="138"/>
      <c r="E291" s="138"/>
      <c r="F291" s="58" t="str" cm="1">
        <f>IFERROR(IF(ISBLANK($A291),"",INDEX(Array_StationaryCharges,MATCH($A291,List_StationaryFuelMeters,0),ROUNDUP((COLUMN()+1)/3-2,0))),"")</f>
        <v/>
      </c>
      <c r="G291" s="127"/>
      <c r="H291" s="127"/>
      <c r="I291" s="58" t="str" cm="1">
        <f>IFERROR(IF(ISBLANK($A291),"",INDEX(Array_StationaryCharges,MATCH($A291,List_StationaryFuelMeters,0),ROUNDUP((COLUMN()+1)/3-2,0))),"")</f>
        <v/>
      </c>
      <c r="J291" s="127"/>
      <c r="K291" s="127"/>
      <c r="L291" s="58" t="str" cm="1">
        <f>IFERROR(IF(ISBLANK($A291),"",INDEX(Array_StationaryCharges,MATCH($A291,List_StationaryFuelMeters,0),ROUNDUP((COLUMN()+1)/3-2,0))),"")</f>
        <v/>
      </c>
      <c r="M291" s="127"/>
      <c r="N291" s="127"/>
      <c r="O291" s="58" t="str" cm="1">
        <f>IFERROR(IF(ISBLANK($A291),"",INDEX(Array_StationaryCharges,MATCH($A291,List_StationaryFuelMeters,0),ROUNDUP((COLUMN()+1)/3-2,0))),"")</f>
        <v/>
      </c>
      <c r="P291" s="127"/>
      <c r="Q291" s="127"/>
      <c r="R291" s="58" t="str" cm="1">
        <f>IFERROR(IF(ISBLANK($A291),"",INDEX(Array_StationaryCharges,MATCH($A291,List_StationaryFuelMeters,0),ROUNDUP((COLUMN()+1)/3-2,0))),"")</f>
        <v/>
      </c>
      <c r="S291" s="127"/>
      <c r="T291" s="127"/>
      <c r="U291" s="58" t="str" cm="1">
        <f>IFERROR(IF(ISBLANK($A291),"",INDEX(Array_StationaryCharges,MATCH($A291,List_StationaryFuelMeters,0),ROUNDUP((COLUMN()+1)/3-2,0))),"")</f>
        <v/>
      </c>
      <c r="V291" s="127"/>
      <c r="W291" s="127"/>
      <c r="X291" s="58" t="str" cm="1">
        <f>IFERROR(IF(ISBLANK($A291),"",INDEX(Array_StationaryCharges,MATCH($A291,List_StationaryFuelMeters,0),ROUNDUP((COLUMN()+1)/3-2,0))),"")</f>
        <v/>
      </c>
      <c r="Y291" s="127"/>
      <c r="Z291" s="127"/>
      <c r="AA291" s="58" t="str" cm="1">
        <f>IFERROR(IF(ISBLANK($A291),"",INDEX(Array_StationaryCharges,MATCH($A291,List_StationaryFuelMeters,0),ROUNDUP((COLUMN()+1)/3-2,0))),"")</f>
        <v/>
      </c>
      <c r="AB291" s="127"/>
      <c r="AC291" s="127"/>
      <c r="AD291" s="58" t="str" cm="1">
        <f>IFERROR(IF(ISBLANK($A291),"",INDEX(Array_StationaryCharges,MATCH($A291,List_StationaryFuelMeters,0),ROUNDUP((COLUMN()+1)/3-2,0))),"")</f>
        <v/>
      </c>
      <c r="AE291" s="127"/>
      <c r="AF291" s="127"/>
      <c r="AG291" s="58" t="str" cm="1">
        <f>IFERROR(IF(ISBLANK($A291),"",INDEX(Array_StationaryCharges,MATCH($A291,List_StationaryFuelMeters,0),ROUNDUP((COLUMN()+1)/3-2,0))),"")</f>
        <v/>
      </c>
      <c r="AH291" s="127"/>
      <c r="AI291" s="127"/>
      <c r="AJ291" s="58" t="str" cm="1">
        <f>IFERROR(IF(ISBLANK($A291),"",INDEX(Array_StationaryCharges,MATCH($A291,List_StationaryFuelMeters,0),ROUNDUP((COLUMN()+1)/3-2,0))),"")</f>
        <v/>
      </c>
      <c r="AK291" s="127"/>
      <c r="AL291" s="127"/>
      <c r="AM291" s="58" t="str" cm="1">
        <f>IFERROR(IF(ISBLANK($A291),"",INDEX(Array_StationaryCharges,MATCH($A291,List_StationaryFuelMeters,0),ROUNDUP((COLUMN()+1)/3-2,0))),"")</f>
        <v/>
      </c>
      <c r="AN291" s="127"/>
      <c r="AO291" s="127"/>
      <c r="AP291" s="58" t="str" cm="1">
        <f>IFERROR(IF(ISBLANK($A291),"",INDEX(Array_StationaryCharges,MATCH($A291,List_StationaryFuelMeters,0),ROUNDUP((COLUMN()+1)/3-2,0))),"")</f>
        <v/>
      </c>
      <c r="AQ291" s="127"/>
      <c r="AR291" s="127"/>
      <c r="AS291" s="58" t="str" cm="1">
        <f>IFERROR(IF(ISBLANK($A291),"",INDEX(Array_StationaryCharges,MATCH($A291,List_StationaryFuelMeters,0),ROUNDUP((COLUMN()+1)/3-2,0))),"")</f>
        <v/>
      </c>
      <c r="AT291" s="127"/>
      <c r="AU291" s="127"/>
      <c r="AV291" s="58" t="str" cm="1">
        <f>IFERROR(IF(ISBLANK($A291),"",INDEX(Array_StationaryCharges,MATCH($A291,List_StationaryFuelMeters,0),ROUNDUP((COLUMN()+1)/3-2,0))),"")</f>
        <v/>
      </c>
      <c r="AW291" s="127"/>
      <c r="AX291" s="127"/>
    </row>
    <row r="292" spans="1:50" x14ac:dyDescent="0.3">
      <c r="A292" s="126"/>
      <c r="B292" s="133"/>
      <c r="C292" s="127"/>
      <c r="D292" s="138"/>
      <c r="E292" s="138"/>
      <c r="F292" s="58" t="str" cm="1">
        <f>IFERROR(IF(ISBLANK($A292),"",INDEX(Array_StationaryCharges,MATCH($A292,List_StationaryFuelMeters,0),ROUNDUP((COLUMN()+1)/3-2,0))),"")</f>
        <v/>
      </c>
      <c r="G292" s="127"/>
      <c r="H292" s="127"/>
      <c r="I292" s="58" t="str" cm="1">
        <f>IFERROR(IF(ISBLANK($A292),"",INDEX(Array_StationaryCharges,MATCH($A292,List_StationaryFuelMeters,0),ROUNDUP((COLUMN()+1)/3-2,0))),"")</f>
        <v/>
      </c>
      <c r="J292" s="127"/>
      <c r="K292" s="127"/>
      <c r="L292" s="58" t="str" cm="1">
        <f>IFERROR(IF(ISBLANK($A292),"",INDEX(Array_StationaryCharges,MATCH($A292,List_StationaryFuelMeters,0),ROUNDUP((COLUMN()+1)/3-2,0))),"")</f>
        <v/>
      </c>
      <c r="M292" s="127"/>
      <c r="N292" s="127"/>
      <c r="O292" s="58" t="str" cm="1">
        <f>IFERROR(IF(ISBLANK($A292),"",INDEX(Array_StationaryCharges,MATCH($A292,List_StationaryFuelMeters,0),ROUNDUP((COLUMN()+1)/3-2,0))),"")</f>
        <v/>
      </c>
      <c r="P292" s="127"/>
      <c r="Q292" s="127"/>
      <c r="R292" s="58" t="str" cm="1">
        <f>IFERROR(IF(ISBLANK($A292),"",INDEX(Array_StationaryCharges,MATCH($A292,List_StationaryFuelMeters,0),ROUNDUP((COLUMN()+1)/3-2,0))),"")</f>
        <v/>
      </c>
      <c r="S292" s="127"/>
      <c r="T292" s="127"/>
      <c r="U292" s="58" t="str" cm="1">
        <f>IFERROR(IF(ISBLANK($A292),"",INDEX(Array_StationaryCharges,MATCH($A292,List_StationaryFuelMeters,0),ROUNDUP((COLUMN()+1)/3-2,0))),"")</f>
        <v/>
      </c>
      <c r="V292" s="127"/>
      <c r="W292" s="127"/>
      <c r="X292" s="58" t="str" cm="1">
        <f>IFERROR(IF(ISBLANK($A292),"",INDEX(Array_StationaryCharges,MATCH($A292,List_StationaryFuelMeters,0),ROUNDUP((COLUMN()+1)/3-2,0))),"")</f>
        <v/>
      </c>
      <c r="Y292" s="127"/>
      <c r="Z292" s="127"/>
      <c r="AA292" s="58" t="str" cm="1">
        <f>IFERROR(IF(ISBLANK($A292),"",INDEX(Array_StationaryCharges,MATCH($A292,List_StationaryFuelMeters,0),ROUNDUP((COLUMN()+1)/3-2,0))),"")</f>
        <v/>
      </c>
      <c r="AB292" s="127"/>
      <c r="AC292" s="127"/>
      <c r="AD292" s="58" t="str" cm="1">
        <f>IFERROR(IF(ISBLANK($A292),"",INDEX(Array_StationaryCharges,MATCH($A292,List_StationaryFuelMeters,0),ROUNDUP((COLUMN()+1)/3-2,0))),"")</f>
        <v/>
      </c>
      <c r="AE292" s="127"/>
      <c r="AF292" s="127"/>
      <c r="AG292" s="58" t="str" cm="1">
        <f>IFERROR(IF(ISBLANK($A292),"",INDEX(Array_StationaryCharges,MATCH($A292,List_StationaryFuelMeters,0),ROUNDUP((COLUMN()+1)/3-2,0))),"")</f>
        <v/>
      </c>
      <c r="AH292" s="127"/>
      <c r="AI292" s="127"/>
      <c r="AJ292" s="58" t="str" cm="1">
        <f>IFERROR(IF(ISBLANK($A292),"",INDEX(Array_StationaryCharges,MATCH($A292,List_StationaryFuelMeters,0),ROUNDUP((COLUMN()+1)/3-2,0))),"")</f>
        <v/>
      </c>
      <c r="AK292" s="127"/>
      <c r="AL292" s="127"/>
      <c r="AM292" s="58" t="str" cm="1">
        <f>IFERROR(IF(ISBLANK($A292),"",INDEX(Array_StationaryCharges,MATCH($A292,List_StationaryFuelMeters,0),ROUNDUP((COLUMN()+1)/3-2,0))),"")</f>
        <v/>
      </c>
      <c r="AN292" s="127"/>
      <c r="AO292" s="127"/>
      <c r="AP292" s="58" t="str" cm="1">
        <f>IFERROR(IF(ISBLANK($A292),"",INDEX(Array_StationaryCharges,MATCH($A292,List_StationaryFuelMeters,0),ROUNDUP((COLUMN()+1)/3-2,0))),"")</f>
        <v/>
      </c>
      <c r="AQ292" s="127"/>
      <c r="AR292" s="127"/>
      <c r="AS292" s="58" t="str" cm="1">
        <f>IFERROR(IF(ISBLANK($A292),"",INDEX(Array_StationaryCharges,MATCH($A292,List_StationaryFuelMeters,0),ROUNDUP((COLUMN()+1)/3-2,0))),"")</f>
        <v/>
      </c>
      <c r="AT292" s="127"/>
      <c r="AU292" s="127"/>
      <c r="AV292" s="58" t="str" cm="1">
        <f>IFERROR(IF(ISBLANK($A292),"",INDEX(Array_StationaryCharges,MATCH($A292,List_StationaryFuelMeters,0),ROUNDUP((COLUMN()+1)/3-2,0))),"")</f>
        <v/>
      </c>
      <c r="AW292" s="127"/>
      <c r="AX292" s="127"/>
    </row>
    <row r="293" spans="1:50" x14ac:dyDescent="0.3">
      <c r="A293" s="126"/>
      <c r="B293" s="133"/>
      <c r="C293" s="127"/>
      <c r="D293" s="138"/>
      <c r="E293" s="138"/>
      <c r="F293" s="58" t="str" cm="1">
        <f>IFERROR(IF(ISBLANK($A293),"",INDEX(Array_StationaryCharges,MATCH($A293,List_StationaryFuelMeters,0),ROUNDUP((COLUMN()+1)/3-2,0))),"")</f>
        <v/>
      </c>
      <c r="G293" s="127"/>
      <c r="H293" s="127"/>
      <c r="I293" s="58" t="str" cm="1">
        <f>IFERROR(IF(ISBLANK($A293),"",INDEX(Array_StationaryCharges,MATCH($A293,List_StationaryFuelMeters,0),ROUNDUP((COLUMN()+1)/3-2,0))),"")</f>
        <v/>
      </c>
      <c r="J293" s="127"/>
      <c r="K293" s="127"/>
      <c r="L293" s="58" t="str" cm="1">
        <f>IFERROR(IF(ISBLANK($A293),"",INDEX(Array_StationaryCharges,MATCH($A293,List_StationaryFuelMeters,0),ROUNDUP((COLUMN()+1)/3-2,0))),"")</f>
        <v/>
      </c>
      <c r="M293" s="127"/>
      <c r="N293" s="127"/>
      <c r="O293" s="58" t="str" cm="1">
        <f>IFERROR(IF(ISBLANK($A293),"",INDEX(Array_StationaryCharges,MATCH($A293,List_StationaryFuelMeters,0),ROUNDUP((COLUMN()+1)/3-2,0))),"")</f>
        <v/>
      </c>
      <c r="P293" s="127"/>
      <c r="Q293" s="127"/>
      <c r="R293" s="58" t="str" cm="1">
        <f>IFERROR(IF(ISBLANK($A293),"",INDEX(Array_StationaryCharges,MATCH($A293,List_StationaryFuelMeters,0),ROUNDUP((COLUMN()+1)/3-2,0))),"")</f>
        <v/>
      </c>
      <c r="S293" s="127"/>
      <c r="T293" s="127"/>
      <c r="U293" s="58" t="str" cm="1">
        <f>IFERROR(IF(ISBLANK($A293),"",INDEX(Array_StationaryCharges,MATCH($A293,List_StationaryFuelMeters,0),ROUNDUP((COLUMN()+1)/3-2,0))),"")</f>
        <v/>
      </c>
      <c r="V293" s="127"/>
      <c r="W293" s="127"/>
      <c r="X293" s="58" t="str" cm="1">
        <f>IFERROR(IF(ISBLANK($A293),"",INDEX(Array_StationaryCharges,MATCH($A293,List_StationaryFuelMeters,0),ROUNDUP((COLUMN()+1)/3-2,0))),"")</f>
        <v/>
      </c>
      <c r="Y293" s="127"/>
      <c r="Z293" s="127"/>
      <c r="AA293" s="58" t="str" cm="1">
        <f>IFERROR(IF(ISBLANK($A293),"",INDEX(Array_StationaryCharges,MATCH($A293,List_StationaryFuelMeters,0),ROUNDUP((COLUMN()+1)/3-2,0))),"")</f>
        <v/>
      </c>
      <c r="AB293" s="127"/>
      <c r="AC293" s="127"/>
      <c r="AD293" s="58" t="str" cm="1">
        <f>IFERROR(IF(ISBLANK($A293),"",INDEX(Array_StationaryCharges,MATCH($A293,List_StationaryFuelMeters,0),ROUNDUP((COLUMN()+1)/3-2,0))),"")</f>
        <v/>
      </c>
      <c r="AE293" s="127"/>
      <c r="AF293" s="127"/>
      <c r="AG293" s="58" t="str" cm="1">
        <f>IFERROR(IF(ISBLANK($A293),"",INDEX(Array_StationaryCharges,MATCH($A293,List_StationaryFuelMeters,0),ROUNDUP((COLUMN()+1)/3-2,0))),"")</f>
        <v/>
      </c>
      <c r="AH293" s="127"/>
      <c r="AI293" s="127"/>
      <c r="AJ293" s="58" t="str" cm="1">
        <f>IFERROR(IF(ISBLANK($A293),"",INDEX(Array_StationaryCharges,MATCH($A293,List_StationaryFuelMeters,0),ROUNDUP((COLUMN()+1)/3-2,0))),"")</f>
        <v/>
      </c>
      <c r="AK293" s="127"/>
      <c r="AL293" s="127"/>
      <c r="AM293" s="58" t="str" cm="1">
        <f>IFERROR(IF(ISBLANK($A293),"",INDEX(Array_StationaryCharges,MATCH($A293,List_StationaryFuelMeters,0),ROUNDUP((COLUMN()+1)/3-2,0))),"")</f>
        <v/>
      </c>
      <c r="AN293" s="127"/>
      <c r="AO293" s="127"/>
      <c r="AP293" s="58" t="str" cm="1">
        <f>IFERROR(IF(ISBLANK($A293),"",INDEX(Array_StationaryCharges,MATCH($A293,List_StationaryFuelMeters,0),ROUNDUP((COLUMN()+1)/3-2,0))),"")</f>
        <v/>
      </c>
      <c r="AQ293" s="127"/>
      <c r="AR293" s="127"/>
      <c r="AS293" s="58" t="str" cm="1">
        <f>IFERROR(IF(ISBLANK($A293),"",INDEX(Array_StationaryCharges,MATCH($A293,List_StationaryFuelMeters,0),ROUNDUP((COLUMN()+1)/3-2,0))),"")</f>
        <v/>
      </c>
      <c r="AT293" s="127"/>
      <c r="AU293" s="127"/>
      <c r="AV293" s="58" t="str" cm="1">
        <f>IFERROR(IF(ISBLANK($A293),"",INDEX(Array_StationaryCharges,MATCH($A293,List_StationaryFuelMeters,0),ROUNDUP((COLUMN()+1)/3-2,0))),"")</f>
        <v/>
      </c>
      <c r="AW293" s="127"/>
      <c r="AX293" s="127"/>
    </row>
    <row r="294" spans="1:50" x14ac:dyDescent="0.3">
      <c r="A294" s="126"/>
      <c r="B294" s="133"/>
      <c r="C294" s="127"/>
      <c r="D294" s="138"/>
      <c r="E294" s="138"/>
      <c r="F294" s="58" t="str" cm="1">
        <f>IFERROR(IF(ISBLANK($A294),"",INDEX(Array_StationaryCharges,MATCH($A294,List_StationaryFuelMeters,0),ROUNDUP((COLUMN()+1)/3-2,0))),"")</f>
        <v/>
      </c>
      <c r="G294" s="127"/>
      <c r="H294" s="127"/>
      <c r="I294" s="58" t="str" cm="1">
        <f>IFERROR(IF(ISBLANK($A294),"",INDEX(Array_StationaryCharges,MATCH($A294,List_StationaryFuelMeters,0),ROUNDUP((COLUMN()+1)/3-2,0))),"")</f>
        <v/>
      </c>
      <c r="J294" s="127"/>
      <c r="K294" s="127"/>
      <c r="L294" s="58" t="str" cm="1">
        <f>IFERROR(IF(ISBLANK($A294),"",INDEX(Array_StationaryCharges,MATCH($A294,List_StationaryFuelMeters,0),ROUNDUP((COLUMN()+1)/3-2,0))),"")</f>
        <v/>
      </c>
      <c r="M294" s="127"/>
      <c r="N294" s="127"/>
      <c r="O294" s="58" t="str" cm="1">
        <f>IFERROR(IF(ISBLANK($A294),"",INDEX(Array_StationaryCharges,MATCH($A294,List_StationaryFuelMeters,0),ROUNDUP((COLUMN()+1)/3-2,0))),"")</f>
        <v/>
      </c>
      <c r="P294" s="127"/>
      <c r="Q294" s="127"/>
      <c r="R294" s="58" t="str" cm="1">
        <f>IFERROR(IF(ISBLANK($A294),"",INDEX(Array_StationaryCharges,MATCH($A294,List_StationaryFuelMeters,0),ROUNDUP((COLUMN()+1)/3-2,0))),"")</f>
        <v/>
      </c>
      <c r="S294" s="127"/>
      <c r="T294" s="127"/>
      <c r="U294" s="58" t="str" cm="1">
        <f>IFERROR(IF(ISBLANK($A294),"",INDEX(Array_StationaryCharges,MATCH($A294,List_StationaryFuelMeters,0),ROUNDUP((COLUMN()+1)/3-2,0))),"")</f>
        <v/>
      </c>
      <c r="V294" s="127"/>
      <c r="W294" s="127"/>
      <c r="X294" s="58" t="str" cm="1">
        <f>IFERROR(IF(ISBLANK($A294),"",INDEX(Array_StationaryCharges,MATCH($A294,List_StationaryFuelMeters,0),ROUNDUP((COLUMN()+1)/3-2,0))),"")</f>
        <v/>
      </c>
      <c r="Y294" s="127"/>
      <c r="Z294" s="127"/>
      <c r="AA294" s="58" t="str" cm="1">
        <f>IFERROR(IF(ISBLANK($A294),"",INDEX(Array_StationaryCharges,MATCH($A294,List_StationaryFuelMeters,0),ROUNDUP((COLUMN()+1)/3-2,0))),"")</f>
        <v/>
      </c>
      <c r="AB294" s="127"/>
      <c r="AC294" s="127"/>
      <c r="AD294" s="58" t="str" cm="1">
        <f>IFERROR(IF(ISBLANK($A294),"",INDEX(Array_StationaryCharges,MATCH($A294,List_StationaryFuelMeters,0),ROUNDUP((COLUMN()+1)/3-2,0))),"")</f>
        <v/>
      </c>
      <c r="AE294" s="127"/>
      <c r="AF294" s="127"/>
      <c r="AG294" s="58" t="str" cm="1">
        <f>IFERROR(IF(ISBLANK($A294),"",INDEX(Array_StationaryCharges,MATCH($A294,List_StationaryFuelMeters,0),ROUNDUP((COLUMN()+1)/3-2,0))),"")</f>
        <v/>
      </c>
      <c r="AH294" s="127"/>
      <c r="AI294" s="127"/>
      <c r="AJ294" s="58" t="str" cm="1">
        <f>IFERROR(IF(ISBLANK($A294),"",INDEX(Array_StationaryCharges,MATCH($A294,List_StationaryFuelMeters,0),ROUNDUP((COLUMN()+1)/3-2,0))),"")</f>
        <v/>
      </c>
      <c r="AK294" s="127"/>
      <c r="AL294" s="127"/>
      <c r="AM294" s="58" t="str" cm="1">
        <f>IFERROR(IF(ISBLANK($A294),"",INDEX(Array_StationaryCharges,MATCH($A294,List_StationaryFuelMeters,0),ROUNDUP((COLUMN()+1)/3-2,0))),"")</f>
        <v/>
      </c>
      <c r="AN294" s="127"/>
      <c r="AO294" s="127"/>
      <c r="AP294" s="58" t="str" cm="1">
        <f>IFERROR(IF(ISBLANK($A294),"",INDEX(Array_StationaryCharges,MATCH($A294,List_StationaryFuelMeters,0),ROUNDUP((COLUMN()+1)/3-2,0))),"")</f>
        <v/>
      </c>
      <c r="AQ294" s="127"/>
      <c r="AR294" s="127"/>
      <c r="AS294" s="58" t="str" cm="1">
        <f>IFERROR(IF(ISBLANK($A294),"",INDEX(Array_StationaryCharges,MATCH($A294,List_StationaryFuelMeters,0),ROUNDUP((COLUMN()+1)/3-2,0))),"")</f>
        <v/>
      </c>
      <c r="AT294" s="127"/>
      <c r="AU294" s="127"/>
      <c r="AV294" s="58" t="str" cm="1">
        <f>IFERROR(IF(ISBLANK($A294),"",INDEX(Array_StationaryCharges,MATCH($A294,List_StationaryFuelMeters,0),ROUNDUP((COLUMN()+1)/3-2,0))),"")</f>
        <v/>
      </c>
      <c r="AW294" s="127"/>
      <c r="AX294" s="127"/>
    </row>
    <row r="295" spans="1:50" x14ac:dyDescent="0.3">
      <c r="A295" s="126"/>
      <c r="B295" s="133"/>
      <c r="C295" s="127"/>
      <c r="D295" s="138"/>
      <c r="E295" s="138"/>
      <c r="F295" s="58" t="str" cm="1">
        <f>IFERROR(IF(ISBLANK($A295),"",INDEX(Array_StationaryCharges,MATCH($A295,List_StationaryFuelMeters,0),ROUNDUP((COLUMN()+1)/3-2,0))),"")</f>
        <v/>
      </c>
      <c r="G295" s="127"/>
      <c r="H295" s="127"/>
      <c r="I295" s="58" t="str" cm="1">
        <f>IFERROR(IF(ISBLANK($A295),"",INDEX(Array_StationaryCharges,MATCH($A295,List_StationaryFuelMeters,0),ROUNDUP((COLUMN()+1)/3-2,0))),"")</f>
        <v/>
      </c>
      <c r="J295" s="127"/>
      <c r="K295" s="127"/>
      <c r="L295" s="58" t="str" cm="1">
        <f>IFERROR(IF(ISBLANK($A295),"",INDEX(Array_StationaryCharges,MATCH($A295,List_StationaryFuelMeters,0),ROUNDUP((COLUMN()+1)/3-2,0))),"")</f>
        <v/>
      </c>
      <c r="M295" s="127"/>
      <c r="N295" s="127"/>
      <c r="O295" s="58" t="str" cm="1">
        <f>IFERROR(IF(ISBLANK($A295),"",INDEX(Array_StationaryCharges,MATCH($A295,List_StationaryFuelMeters,0),ROUNDUP((COLUMN()+1)/3-2,0))),"")</f>
        <v/>
      </c>
      <c r="P295" s="127"/>
      <c r="Q295" s="127"/>
      <c r="R295" s="58" t="str" cm="1">
        <f>IFERROR(IF(ISBLANK($A295),"",INDEX(Array_StationaryCharges,MATCH($A295,List_StationaryFuelMeters,0),ROUNDUP((COLUMN()+1)/3-2,0))),"")</f>
        <v/>
      </c>
      <c r="S295" s="127"/>
      <c r="T295" s="127"/>
      <c r="U295" s="58" t="str" cm="1">
        <f>IFERROR(IF(ISBLANK($A295),"",INDEX(Array_StationaryCharges,MATCH($A295,List_StationaryFuelMeters,0),ROUNDUP((COLUMN()+1)/3-2,0))),"")</f>
        <v/>
      </c>
      <c r="V295" s="127"/>
      <c r="W295" s="127"/>
      <c r="X295" s="58" t="str" cm="1">
        <f>IFERROR(IF(ISBLANK($A295),"",INDEX(Array_StationaryCharges,MATCH($A295,List_StationaryFuelMeters,0),ROUNDUP((COLUMN()+1)/3-2,0))),"")</f>
        <v/>
      </c>
      <c r="Y295" s="127"/>
      <c r="Z295" s="127"/>
      <c r="AA295" s="58" t="str" cm="1">
        <f>IFERROR(IF(ISBLANK($A295),"",INDEX(Array_StationaryCharges,MATCH($A295,List_StationaryFuelMeters,0),ROUNDUP((COLUMN()+1)/3-2,0))),"")</f>
        <v/>
      </c>
      <c r="AB295" s="127"/>
      <c r="AC295" s="127"/>
      <c r="AD295" s="58" t="str" cm="1">
        <f>IFERROR(IF(ISBLANK($A295),"",INDEX(Array_StationaryCharges,MATCH($A295,List_StationaryFuelMeters,0),ROUNDUP((COLUMN()+1)/3-2,0))),"")</f>
        <v/>
      </c>
      <c r="AE295" s="127"/>
      <c r="AF295" s="127"/>
      <c r="AG295" s="58" t="str" cm="1">
        <f>IFERROR(IF(ISBLANK($A295),"",INDEX(Array_StationaryCharges,MATCH($A295,List_StationaryFuelMeters,0),ROUNDUP((COLUMN()+1)/3-2,0))),"")</f>
        <v/>
      </c>
      <c r="AH295" s="127"/>
      <c r="AI295" s="127"/>
      <c r="AJ295" s="58" t="str" cm="1">
        <f>IFERROR(IF(ISBLANK($A295),"",INDEX(Array_StationaryCharges,MATCH($A295,List_StationaryFuelMeters,0),ROUNDUP((COLUMN()+1)/3-2,0))),"")</f>
        <v/>
      </c>
      <c r="AK295" s="127"/>
      <c r="AL295" s="127"/>
      <c r="AM295" s="58" t="str" cm="1">
        <f>IFERROR(IF(ISBLANK($A295),"",INDEX(Array_StationaryCharges,MATCH($A295,List_StationaryFuelMeters,0),ROUNDUP((COLUMN()+1)/3-2,0))),"")</f>
        <v/>
      </c>
      <c r="AN295" s="127"/>
      <c r="AO295" s="127"/>
      <c r="AP295" s="58" t="str" cm="1">
        <f>IFERROR(IF(ISBLANK($A295),"",INDEX(Array_StationaryCharges,MATCH($A295,List_StationaryFuelMeters,0),ROUNDUP((COLUMN()+1)/3-2,0))),"")</f>
        <v/>
      </c>
      <c r="AQ295" s="127"/>
      <c r="AR295" s="127"/>
      <c r="AS295" s="58" t="str" cm="1">
        <f>IFERROR(IF(ISBLANK($A295),"",INDEX(Array_StationaryCharges,MATCH($A295,List_StationaryFuelMeters,0),ROUNDUP((COLUMN()+1)/3-2,0))),"")</f>
        <v/>
      </c>
      <c r="AT295" s="127"/>
      <c r="AU295" s="127"/>
      <c r="AV295" s="58" t="str" cm="1">
        <f>IFERROR(IF(ISBLANK($A295),"",INDEX(Array_StationaryCharges,MATCH($A295,List_StationaryFuelMeters,0),ROUNDUP((COLUMN()+1)/3-2,0))),"")</f>
        <v/>
      </c>
      <c r="AW295" s="127"/>
      <c r="AX295" s="127"/>
    </row>
    <row r="296" spans="1:50" x14ac:dyDescent="0.3">
      <c r="A296" s="126"/>
      <c r="B296" s="133"/>
      <c r="C296" s="127"/>
      <c r="D296" s="138"/>
      <c r="E296" s="138"/>
      <c r="F296" s="58" t="str" cm="1">
        <f>IFERROR(IF(ISBLANK($A296),"",INDEX(Array_StationaryCharges,MATCH($A296,List_StationaryFuelMeters,0),ROUNDUP((COLUMN()+1)/3-2,0))),"")</f>
        <v/>
      </c>
      <c r="G296" s="127"/>
      <c r="H296" s="127"/>
      <c r="I296" s="58" t="str" cm="1">
        <f>IFERROR(IF(ISBLANK($A296),"",INDEX(Array_StationaryCharges,MATCH($A296,List_StationaryFuelMeters,0),ROUNDUP((COLUMN()+1)/3-2,0))),"")</f>
        <v/>
      </c>
      <c r="J296" s="127"/>
      <c r="K296" s="127"/>
      <c r="L296" s="58" t="str" cm="1">
        <f>IFERROR(IF(ISBLANK($A296),"",INDEX(Array_StationaryCharges,MATCH($A296,List_StationaryFuelMeters,0),ROUNDUP((COLUMN()+1)/3-2,0))),"")</f>
        <v/>
      </c>
      <c r="M296" s="127"/>
      <c r="N296" s="127"/>
      <c r="O296" s="58" t="str" cm="1">
        <f>IFERROR(IF(ISBLANK($A296),"",INDEX(Array_StationaryCharges,MATCH($A296,List_StationaryFuelMeters,0),ROUNDUP((COLUMN()+1)/3-2,0))),"")</f>
        <v/>
      </c>
      <c r="P296" s="127"/>
      <c r="Q296" s="127"/>
      <c r="R296" s="58" t="str" cm="1">
        <f>IFERROR(IF(ISBLANK($A296),"",INDEX(Array_StationaryCharges,MATCH($A296,List_StationaryFuelMeters,0),ROUNDUP((COLUMN()+1)/3-2,0))),"")</f>
        <v/>
      </c>
      <c r="S296" s="127"/>
      <c r="T296" s="127"/>
      <c r="U296" s="58" t="str" cm="1">
        <f>IFERROR(IF(ISBLANK($A296),"",INDEX(Array_StationaryCharges,MATCH($A296,List_StationaryFuelMeters,0),ROUNDUP((COLUMN()+1)/3-2,0))),"")</f>
        <v/>
      </c>
      <c r="V296" s="127"/>
      <c r="W296" s="127"/>
      <c r="X296" s="58" t="str" cm="1">
        <f>IFERROR(IF(ISBLANK($A296),"",INDEX(Array_StationaryCharges,MATCH($A296,List_StationaryFuelMeters,0),ROUNDUP((COLUMN()+1)/3-2,0))),"")</f>
        <v/>
      </c>
      <c r="Y296" s="127"/>
      <c r="Z296" s="127"/>
      <c r="AA296" s="58" t="str" cm="1">
        <f>IFERROR(IF(ISBLANK($A296),"",INDEX(Array_StationaryCharges,MATCH($A296,List_StationaryFuelMeters,0),ROUNDUP((COLUMN()+1)/3-2,0))),"")</f>
        <v/>
      </c>
      <c r="AB296" s="127"/>
      <c r="AC296" s="127"/>
      <c r="AD296" s="58" t="str" cm="1">
        <f>IFERROR(IF(ISBLANK($A296),"",INDEX(Array_StationaryCharges,MATCH($A296,List_StationaryFuelMeters,0),ROUNDUP((COLUMN()+1)/3-2,0))),"")</f>
        <v/>
      </c>
      <c r="AE296" s="127"/>
      <c r="AF296" s="127"/>
      <c r="AG296" s="58" t="str" cm="1">
        <f>IFERROR(IF(ISBLANK($A296),"",INDEX(Array_StationaryCharges,MATCH($A296,List_StationaryFuelMeters,0),ROUNDUP((COLUMN()+1)/3-2,0))),"")</f>
        <v/>
      </c>
      <c r="AH296" s="127"/>
      <c r="AI296" s="127"/>
      <c r="AJ296" s="58" t="str" cm="1">
        <f>IFERROR(IF(ISBLANK($A296),"",INDEX(Array_StationaryCharges,MATCH($A296,List_StationaryFuelMeters,0),ROUNDUP((COLUMN()+1)/3-2,0))),"")</f>
        <v/>
      </c>
      <c r="AK296" s="127"/>
      <c r="AL296" s="127"/>
      <c r="AM296" s="58" t="str" cm="1">
        <f>IFERROR(IF(ISBLANK($A296),"",INDEX(Array_StationaryCharges,MATCH($A296,List_StationaryFuelMeters,0),ROUNDUP((COLUMN()+1)/3-2,0))),"")</f>
        <v/>
      </c>
      <c r="AN296" s="127"/>
      <c r="AO296" s="127"/>
      <c r="AP296" s="58" t="str" cm="1">
        <f>IFERROR(IF(ISBLANK($A296),"",INDEX(Array_StationaryCharges,MATCH($A296,List_StationaryFuelMeters,0),ROUNDUP((COLUMN()+1)/3-2,0))),"")</f>
        <v/>
      </c>
      <c r="AQ296" s="127"/>
      <c r="AR296" s="127"/>
      <c r="AS296" s="58" t="str" cm="1">
        <f>IFERROR(IF(ISBLANK($A296),"",INDEX(Array_StationaryCharges,MATCH($A296,List_StationaryFuelMeters,0),ROUNDUP((COLUMN()+1)/3-2,0))),"")</f>
        <v/>
      </c>
      <c r="AT296" s="127"/>
      <c r="AU296" s="127"/>
      <c r="AV296" s="58" t="str" cm="1">
        <f>IFERROR(IF(ISBLANK($A296),"",INDEX(Array_StationaryCharges,MATCH($A296,List_StationaryFuelMeters,0),ROUNDUP((COLUMN()+1)/3-2,0))),"")</f>
        <v/>
      </c>
      <c r="AW296" s="127"/>
      <c r="AX296" s="127"/>
    </row>
    <row r="297" spans="1:50" x14ac:dyDescent="0.3">
      <c r="A297" s="126"/>
      <c r="B297" s="133"/>
      <c r="C297" s="127"/>
      <c r="D297" s="138"/>
      <c r="E297" s="138"/>
      <c r="F297" s="58" t="str" cm="1">
        <f>IFERROR(IF(ISBLANK($A297),"",INDEX(Array_StationaryCharges,MATCH($A297,List_StationaryFuelMeters,0),ROUNDUP((COLUMN()+1)/3-2,0))),"")</f>
        <v/>
      </c>
      <c r="G297" s="127"/>
      <c r="H297" s="127"/>
      <c r="I297" s="58" t="str" cm="1">
        <f>IFERROR(IF(ISBLANK($A297),"",INDEX(Array_StationaryCharges,MATCH($A297,List_StationaryFuelMeters,0),ROUNDUP((COLUMN()+1)/3-2,0))),"")</f>
        <v/>
      </c>
      <c r="J297" s="127"/>
      <c r="K297" s="127"/>
      <c r="L297" s="58" t="str" cm="1">
        <f>IFERROR(IF(ISBLANK($A297),"",INDEX(Array_StationaryCharges,MATCH($A297,List_StationaryFuelMeters,0),ROUNDUP((COLUMN()+1)/3-2,0))),"")</f>
        <v/>
      </c>
      <c r="M297" s="127"/>
      <c r="N297" s="127"/>
      <c r="O297" s="58" t="str" cm="1">
        <f>IFERROR(IF(ISBLANK($A297),"",INDEX(Array_StationaryCharges,MATCH($A297,List_StationaryFuelMeters,0),ROUNDUP((COLUMN()+1)/3-2,0))),"")</f>
        <v/>
      </c>
      <c r="P297" s="127"/>
      <c r="Q297" s="127"/>
      <c r="R297" s="58" t="str" cm="1">
        <f>IFERROR(IF(ISBLANK($A297),"",INDEX(Array_StationaryCharges,MATCH($A297,List_StationaryFuelMeters,0),ROUNDUP((COLUMN()+1)/3-2,0))),"")</f>
        <v/>
      </c>
      <c r="S297" s="127"/>
      <c r="T297" s="127"/>
      <c r="U297" s="58" t="str" cm="1">
        <f>IFERROR(IF(ISBLANK($A297),"",INDEX(Array_StationaryCharges,MATCH($A297,List_StationaryFuelMeters,0),ROUNDUP((COLUMN()+1)/3-2,0))),"")</f>
        <v/>
      </c>
      <c r="V297" s="127"/>
      <c r="W297" s="127"/>
      <c r="X297" s="58" t="str" cm="1">
        <f>IFERROR(IF(ISBLANK($A297),"",INDEX(Array_StationaryCharges,MATCH($A297,List_StationaryFuelMeters,0),ROUNDUP((COLUMN()+1)/3-2,0))),"")</f>
        <v/>
      </c>
      <c r="Y297" s="127"/>
      <c r="Z297" s="127"/>
      <c r="AA297" s="58" t="str" cm="1">
        <f>IFERROR(IF(ISBLANK($A297),"",INDEX(Array_StationaryCharges,MATCH($A297,List_StationaryFuelMeters,0),ROUNDUP((COLUMN()+1)/3-2,0))),"")</f>
        <v/>
      </c>
      <c r="AB297" s="127"/>
      <c r="AC297" s="127"/>
      <c r="AD297" s="58" t="str" cm="1">
        <f>IFERROR(IF(ISBLANK($A297),"",INDEX(Array_StationaryCharges,MATCH($A297,List_StationaryFuelMeters,0),ROUNDUP((COLUMN()+1)/3-2,0))),"")</f>
        <v/>
      </c>
      <c r="AE297" s="127"/>
      <c r="AF297" s="127"/>
      <c r="AG297" s="58" t="str" cm="1">
        <f>IFERROR(IF(ISBLANK($A297),"",INDEX(Array_StationaryCharges,MATCH($A297,List_StationaryFuelMeters,0),ROUNDUP((COLUMN()+1)/3-2,0))),"")</f>
        <v/>
      </c>
      <c r="AH297" s="127"/>
      <c r="AI297" s="127"/>
      <c r="AJ297" s="58" t="str" cm="1">
        <f>IFERROR(IF(ISBLANK($A297),"",INDEX(Array_StationaryCharges,MATCH($A297,List_StationaryFuelMeters,0),ROUNDUP((COLUMN()+1)/3-2,0))),"")</f>
        <v/>
      </c>
      <c r="AK297" s="127"/>
      <c r="AL297" s="127"/>
      <c r="AM297" s="58" t="str" cm="1">
        <f>IFERROR(IF(ISBLANK($A297),"",INDEX(Array_StationaryCharges,MATCH($A297,List_StationaryFuelMeters,0),ROUNDUP((COLUMN()+1)/3-2,0))),"")</f>
        <v/>
      </c>
      <c r="AN297" s="127"/>
      <c r="AO297" s="127"/>
      <c r="AP297" s="58" t="str" cm="1">
        <f>IFERROR(IF(ISBLANK($A297),"",INDEX(Array_StationaryCharges,MATCH($A297,List_StationaryFuelMeters,0),ROUNDUP((COLUMN()+1)/3-2,0))),"")</f>
        <v/>
      </c>
      <c r="AQ297" s="127"/>
      <c r="AR297" s="127"/>
      <c r="AS297" s="58" t="str" cm="1">
        <f>IFERROR(IF(ISBLANK($A297),"",INDEX(Array_StationaryCharges,MATCH($A297,List_StationaryFuelMeters,0),ROUNDUP((COLUMN()+1)/3-2,0))),"")</f>
        <v/>
      </c>
      <c r="AT297" s="127"/>
      <c r="AU297" s="127"/>
      <c r="AV297" s="58" t="str" cm="1">
        <f>IFERROR(IF(ISBLANK($A297),"",INDEX(Array_StationaryCharges,MATCH($A297,List_StationaryFuelMeters,0),ROUNDUP((COLUMN()+1)/3-2,0))),"")</f>
        <v/>
      </c>
      <c r="AW297" s="127"/>
      <c r="AX297" s="127"/>
    </row>
    <row r="298" spans="1:50" x14ac:dyDescent="0.3">
      <c r="A298" s="126"/>
      <c r="B298" s="133"/>
      <c r="C298" s="127"/>
      <c r="D298" s="138"/>
      <c r="E298" s="138"/>
      <c r="F298" s="58" t="str" cm="1">
        <f>IFERROR(IF(ISBLANK($A298),"",INDEX(Array_StationaryCharges,MATCH($A298,List_StationaryFuelMeters,0),ROUNDUP((COLUMN()+1)/3-2,0))),"")</f>
        <v/>
      </c>
      <c r="G298" s="127"/>
      <c r="H298" s="127"/>
      <c r="I298" s="58" t="str" cm="1">
        <f>IFERROR(IF(ISBLANK($A298),"",INDEX(Array_StationaryCharges,MATCH($A298,List_StationaryFuelMeters,0),ROUNDUP((COLUMN()+1)/3-2,0))),"")</f>
        <v/>
      </c>
      <c r="J298" s="127"/>
      <c r="K298" s="127"/>
      <c r="L298" s="58" t="str" cm="1">
        <f>IFERROR(IF(ISBLANK($A298),"",INDEX(Array_StationaryCharges,MATCH($A298,List_StationaryFuelMeters,0),ROUNDUP((COLUMN()+1)/3-2,0))),"")</f>
        <v/>
      </c>
      <c r="M298" s="127"/>
      <c r="N298" s="127"/>
      <c r="O298" s="58" t="str" cm="1">
        <f>IFERROR(IF(ISBLANK($A298),"",INDEX(Array_StationaryCharges,MATCH($A298,List_StationaryFuelMeters,0),ROUNDUP((COLUMN()+1)/3-2,0))),"")</f>
        <v/>
      </c>
      <c r="P298" s="127"/>
      <c r="Q298" s="127"/>
      <c r="R298" s="58" t="str" cm="1">
        <f>IFERROR(IF(ISBLANK($A298),"",INDEX(Array_StationaryCharges,MATCH($A298,List_StationaryFuelMeters,0),ROUNDUP((COLUMN()+1)/3-2,0))),"")</f>
        <v/>
      </c>
      <c r="S298" s="127"/>
      <c r="T298" s="127"/>
      <c r="U298" s="58" t="str" cm="1">
        <f>IFERROR(IF(ISBLANK($A298),"",INDEX(Array_StationaryCharges,MATCH($A298,List_StationaryFuelMeters,0),ROUNDUP((COLUMN()+1)/3-2,0))),"")</f>
        <v/>
      </c>
      <c r="V298" s="127"/>
      <c r="W298" s="127"/>
      <c r="X298" s="58" t="str" cm="1">
        <f>IFERROR(IF(ISBLANK($A298),"",INDEX(Array_StationaryCharges,MATCH($A298,List_StationaryFuelMeters,0),ROUNDUP((COLUMN()+1)/3-2,0))),"")</f>
        <v/>
      </c>
      <c r="Y298" s="127"/>
      <c r="Z298" s="127"/>
      <c r="AA298" s="58" t="str" cm="1">
        <f>IFERROR(IF(ISBLANK($A298),"",INDEX(Array_StationaryCharges,MATCH($A298,List_StationaryFuelMeters,0),ROUNDUP((COLUMN()+1)/3-2,0))),"")</f>
        <v/>
      </c>
      <c r="AB298" s="127"/>
      <c r="AC298" s="127"/>
      <c r="AD298" s="58" t="str" cm="1">
        <f>IFERROR(IF(ISBLANK($A298),"",INDEX(Array_StationaryCharges,MATCH($A298,List_StationaryFuelMeters,0),ROUNDUP((COLUMN()+1)/3-2,0))),"")</f>
        <v/>
      </c>
      <c r="AE298" s="127"/>
      <c r="AF298" s="127"/>
      <c r="AG298" s="58" t="str" cm="1">
        <f>IFERROR(IF(ISBLANK($A298),"",INDEX(Array_StationaryCharges,MATCH($A298,List_StationaryFuelMeters,0),ROUNDUP((COLUMN()+1)/3-2,0))),"")</f>
        <v/>
      </c>
      <c r="AH298" s="127"/>
      <c r="AI298" s="127"/>
      <c r="AJ298" s="58" t="str" cm="1">
        <f>IFERROR(IF(ISBLANK($A298),"",INDEX(Array_StationaryCharges,MATCH($A298,List_StationaryFuelMeters,0),ROUNDUP((COLUMN()+1)/3-2,0))),"")</f>
        <v/>
      </c>
      <c r="AK298" s="127"/>
      <c r="AL298" s="127"/>
      <c r="AM298" s="58" t="str" cm="1">
        <f>IFERROR(IF(ISBLANK($A298),"",INDEX(Array_StationaryCharges,MATCH($A298,List_StationaryFuelMeters,0),ROUNDUP((COLUMN()+1)/3-2,0))),"")</f>
        <v/>
      </c>
      <c r="AN298" s="127"/>
      <c r="AO298" s="127"/>
      <c r="AP298" s="58" t="str" cm="1">
        <f>IFERROR(IF(ISBLANK($A298),"",INDEX(Array_StationaryCharges,MATCH($A298,List_StationaryFuelMeters,0),ROUNDUP((COLUMN()+1)/3-2,0))),"")</f>
        <v/>
      </c>
      <c r="AQ298" s="127"/>
      <c r="AR298" s="127"/>
      <c r="AS298" s="58" t="str" cm="1">
        <f>IFERROR(IF(ISBLANK($A298),"",INDEX(Array_StationaryCharges,MATCH($A298,List_StationaryFuelMeters,0),ROUNDUP((COLUMN()+1)/3-2,0))),"")</f>
        <v/>
      </c>
      <c r="AT298" s="127"/>
      <c r="AU298" s="127"/>
      <c r="AV298" s="58" t="str" cm="1">
        <f>IFERROR(IF(ISBLANK($A298),"",INDEX(Array_StationaryCharges,MATCH($A298,List_StationaryFuelMeters,0),ROUNDUP((COLUMN()+1)/3-2,0))),"")</f>
        <v/>
      </c>
      <c r="AW298" s="127"/>
      <c r="AX298" s="127"/>
    </row>
    <row r="299" spans="1:50" x14ac:dyDescent="0.3">
      <c r="A299" s="126"/>
      <c r="B299" s="133"/>
      <c r="C299" s="127"/>
      <c r="D299" s="138"/>
      <c r="E299" s="138"/>
      <c r="F299" s="58" t="str" cm="1">
        <f>IFERROR(IF(ISBLANK($A299),"",INDEX(Array_StationaryCharges,MATCH($A299,List_StationaryFuelMeters,0),ROUNDUP((COLUMN()+1)/3-2,0))),"")</f>
        <v/>
      </c>
      <c r="G299" s="127"/>
      <c r="H299" s="127"/>
      <c r="I299" s="58" t="str" cm="1">
        <f>IFERROR(IF(ISBLANK($A299),"",INDEX(Array_StationaryCharges,MATCH($A299,List_StationaryFuelMeters,0),ROUNDUP((COLUMN()+1)/3-2,0))),"")</f>
        <v/>
      </c>
      <c r="J299" s="127"/>
      <c r="K299" s="127"/>
      <c r="L299" s="58" t="str" cm="1">
        <f>IFERROR(IF(ISBLANK($A299),"",INDEX(Array_StationaryCharges,MATCH($A299,List_StationaryFuelMeters,0),ROUNDUP((COLUMN()+1)/3-2,0))),"")</f>
        <v/>
      </c>
      <c r="M299" s="127"/>
      <c r="N299" s="127"/>
      <c r="O299" s="58" t="str" cm="1">
        <f>IFERROR(IF(ISBLANK($A299),"",INDEX(Array_StationaryCharges,MATCH($A299,List_StationaryFuelMeters,0),ROUNDUP((COLUMN()+1)/3-2,0))),"")</f>
        <v/>
      </c>
      <c r="P299" s="127"/>
      <c r="Q299" s="127"/>
      <c r="R299" s="58" t="str" cm="1">
        <f>IFERROR(IF(ISBLANK($A299),"",INDEX(Array_StationaryCharges,MATCH($A299,List_StationaryFuelMeters,0),ROUNDUP((COLUMN()+1)/3-2,0))),"")</f>
        <v/>
      </c>
      <c r="S299" s="127"/>
      <c r="T299" s="127"/>
      <c r="U299" s="58" t="str" cm="1">
        <f>IFERROR(IF(ISBLANK($A299),"",INDEX(Array_StationaryCharges,MATCH($A299,List_StationaryFuelMeters,0),ROUNDUP((COLUMN()+1)/3-2,0))),"")</f>
        <v/>
      </c>
      <c r="V299" s="127"/>
      <c r="W299" s="127"/>
      <c r="X299" s="58" t="str" cm="1">
        <f>IFERROR(IF(ISBLANK($A299),"",INDEX(Array_StationaryCharges,MATCH($A299,List_StationaryFuelMeters,0),ROUNDUP((COLUMN()+1)/3-2,0))),"")</f>
        <v/>
      </c>
      <c r="Y299" s="127"/>
      <c r="Z299" s="127"/>
      <c r="AA299" s="58" t="str" cm="1">
        <f>IFERROR(IF(ISBLANK($A299),"",INDEX(Array_StationaryCharges,MATCH($A299,List_StationaryFuelMeters,0),ROUNDUP((COLUMN()+1)/3-2,0))),"")</f>
        <v/>
      </c>
      <c r="AB299" s="127"/>
      <c r="AC299" s="127"/>
      <c r="AD299" s="58" t="str" cm="1">
        <f>IFERROR(IF(ISBLANK($A299),"",INDEX(Array_StationaryCharges,MATCH($A299,List_StationaryFuelMeters,0),ROUNDUP((COLUMN()+1)/3-2,0))),"")</f>
        <v/>
      </c>
      <c r="AE299" s="127"/>
      <c r="AF299" s="127"/>
      <c r="AG299" s="58" t="str" cm="1">
        <f>IFERROR(IF(ISBLANK($A299),"",INDEX(Array_StationaryCharges,MATCH($A299,List_StationaryFuelMeters,0),ROUNDUP((COLUMN()+1)/3-2,0))),"")</f>
        <v/>
      </c>
      <c r="AH299" s="127"/>
      <c r="AI299" s="127"/>
      <c r="AJ299" s="58" t="str" cm="1">
        <f>IFERROR(IF(ISBLANK($A299),"",INDEX(Array_StationaryCharges,MATCH($A299,List_StationaryFuelMeters,0),ROUNDUP((COLUMN()+1)/3-2,0))),"")</f>
        <v/>
      </c>
      <c r="AK299" s="127"/>
      <c r="AL299" s="127"/>
      <c r="AM299" s="58" t="str" cm="1">
        <f>IFERROR(IF(ISBLANK($A299),"",INDEX(Array_StationaryCharges,MATCH($A299,List_StationaryFuelMeters,0),ROUNDUP((COLUMN()+1)/3-2,0))),"")</f>
        <v/>
      </c>
      <c r="AN299" s="127"/>
      <c r="AO299" s="127"/>
      <c r="AP299" s="58" t="str" cm="1">
        <f>IFERROR(IF(ISBLANK($A299),"",INDEX(Array_StationaryCharges,MATCH($A299,List_StationaryFuelMeters,0),ROUNDUP((COLUMN()+1)/3-2,0))),"")</f>
        <v/>
      </c>
      <c r="AQ299" s="127"/>
      <c r="AR299" s="127"/>
      <c r="AS299" s="58" t="str" cm="1">
        <f>IFERROR(IF(ISBLANK($A299),"",INDEX(Array_StationaryCharges,MATCH($A299,List_StationaryFuelMeters,0),ROUNDUP((COLUMN()+1)/3-2,0))),"")</f>
        <v/>
      </c>
      <c r="AT299" s="127"/>
      <c r="AU299" s="127"/>
      <c r="AV299" s="58" t="str" cm="1">
        <f>IFERROR(IF(ISBLANK($A299),"",INDEX(Array_StationaryCharges,MATCH($A299,List_StationaryFuelMeters,0),ROUNDUP((COLUMN()+1)/3-2,0))),"")</f>
        <v/>
      </c>
      <c r="AW299" s="127"/>
      <c r="AX299" s="127"/>
    </row>
    <row r="300" spans="1:50" x14ac:dyDescent="0.3">
      <c r="A300" s="126"/>
      <c r="B300" s="133"/>
      <c r="C300" s="127"/>
      <c r="D300" s="138"/>
      <c r="E300" s="138"/>
      <c r="F300" s="58" t="str" cm="1">
        <f>IFERROR(IF(ISBLANK($A300),"",INDEX(Array_StationaryCharges,MATCH($A300,List_StationaryFuelMeters,0),ROUNDUP((COLUMN()+1)/3-2,0))),"")</f>
        <v/>
      </c>
      <c r="G300" s="127"/>
      <c r="H300" s="127"/>
      <c r="I300" s="58" t="str" cm="1">
        <f>IFERROR(IF(ISBLANK($A300),"",INDEX(Array_StationaryCharges,MATCH($A300,List_StationaryFuelMeters,0),ROUNDUP((COLUMN()+1)/3-2,0))),"")</f>
        <v/>
      </c>
      <c r="J300" s="127"/>
      <c r="K300" s="127"/>
      <c r="L300" s="58" t="str" cm="1">
        <f>IFERROR(IF(ISBLANK($A300),"",INDEX(Array_StationaryCharges,MATCH($A300,List_StationaryFuelMeters,0),ROUNDUP((COLUMN()+1)/3-2,0))),"")</f>
        <v/>
      </c>
      <c r="M300" s="127"/>
      <c r="N300" s="127"/>
      <c r="O300" s="58" t="str" cm="1">
        <f>IFERROR(IF(ISBLANK($A300),"",INDEX(Array_StationaryCharges,MATCH($A300,List_StationaryFuelMeters,0),ROUNDUP((COLUMN()+1)/3-2,0))),"")</f>
        <v/>
      </c>
      <c r="P300" s="127"/>
      <c r="Q300" s="127"/>
      <c r="R300" s="58" t="str" cm="1">
        <f>IFERROR(IF(ISBLANK($A300),"",INDEX(Array_StationaryCharges,MATCH($A300,List_StationaryFuelMeters,0),ROUNDUP((COLUMN()+1)/3-2,0))),"")</f>
        <v/>
      </c>
      <c r="S300" s="127"/>
      <c r="T300" s="127"/>
      <c r="U300" s="58" t="str" cm="1">
        <f>IFERROR(IF(ISBLANK($A300),"",INDEX(Array_StationaryCharges,MATCH($A300,List_StationaryFuelMeters,0),ROUNDUP((COLUMN()+1)/3-2,0))),"")</f>
        <v/>
      </c>
      <c r="V300" s="127"/>
      <c r="W300" s="127"/>
      <c r="X300" s="58" t="str" cm="1">
        <f>IFERROR(IF(ISBLANK($A300),"",INDEX(Array_StationaryCharges,MATCH($A300,List_StationaryFuelMeters,0),ROUNDUP((COLUMN()+1)/3-2,0))),"")</f>
        <v/>
      </c>
      <c r="Y300" s="127"/>
      <c r="Z300" s="127"/>
      <c r="AA300" s="58" t="str" cm="1">
        <f>IFERROR(IF(ISBLANK($A300),"",INDEX(Array_StationaryCharges,MATCH($A300,List_StationaryFuelMeters,0),ROUNDUP((COLUMN()+1)/3-2,0))),"")</f>
        <v/>
      </c>
      <c r="AB300" s="127"/>
      <c r="AC300" s="127"/>
      <c r="AD300" s="58" t="str" cm="1">
        <f>IFERROR(IF(ISBLANK($A300),"",INDEX(Array_StationaryCharges,MATCH($A300,List_StationaryFuelMeters,0),ROUNDUP((COLUMN()+1)/3-2,0))),"")</f>
        <v/>
      </c>
      <c r="AE300" s="127"/>
      <c r="AF300" s="127"/>
      <c r="AG300" s="58" t="str" cm="1">
        <f>IFERROR(IF(ISBLANK($A300),"",INDEX(Array_StationaryCharges,MATCH($A300,List_StationaryFuelMeters,0),ROUNDUP((COLUMN()+1)/3-2,0))),"")</f>
        <v/>
      </c>
      <c r="AH300" s="127"/>
      <c r="AI300" s="127"/>
      <c r="AJ300" s="58" t="str" cm="1">
        <f>IFERROR(IF(ISBLANK($A300),"",INDEX(Array_StationaryCharges,MATCH($A300,List_StationaryFuelMeters,0),ROUNDUP((COLUMN()+1)/3-2,0))),"")</f>
        <v/>
      </c>
      <c r="AK300" s="127"/>
      <c r="AL300" s="127"/>
      <c r="AM300" s="58" t="str" cm="1">
        <f>IFERROR(IF(ISBLANK($A300),"",INDEX(Array_StationaryCharges,MATCH($A300,List_StationaryFuelMeters,0),ROUNDUP((COLUMN()+1)/3-2,0))),"")</f>
        <v/>
      </c>
      <c r="AN300" s="127"/>
      <c r="AO300" s="127"/>
      <c r="AP300" s="58" t="str" cm="1">
        <f>IFERROR(IF(ISBLANK($A300),"",INDEX(Array_StationaryCharges,MATCH($A300,List_StationaryFuelMeters,0),ROUNDUP((COLUMN()+1)/3-2,0))),"")</f>
        <v/>
      </c>
      <c r="AQ300" s="127"/>
      <c r="AR300" s="127"/>
      <c r="AS300" s="58" t="str" cm="1">
        <f>IFERROR(IF(ISBLANK($A300),"",INDEX(Array_StationaryCharges,MATCH($A300,List_StationaryFuelMeters,0),ROUNDUP((COLUMN()+1)/3-2,0))),"")</f>
        <v/>
      </c>
      <c r="AT300" s="127"/>
      <c r="AU300" s="127"/>
      <c r="AV300" s="58" t="str" cm="1">
        <f>IFERROR(IF(ISBLANK($A300),"",INDEX(Array_StationaryCharges,MATCH($A300,List_StationaryFuelMeters,0),ROUNDUP((COLUMN()+1)/3-2,0))),"")</f>
        <v/>
      </c>
      <c r="AW300" s="127"/>
      <c r="AX300" s="127"/>
    </row>
    <row r="301" spans="1:50" x14ac:dyDescent="0.3">
      <c r="A301" s="126"/>
      <c r="B301" s="133"/>
      <c r="C301" s="127"/>
      <c r="D301" s="138"/>
      <c r="E301" s="138"/>
      <c r="F301" s="58" t="str" cm="1">
        <f>IFERROR(IF(ISBLANK($A301),"",INDEX(Array_StationaryCharges,MATCH($A301,List_StationaryFuelMeters,0),ROUNDUP((COLUMN()+1)/3-2,0))),"")</f>
        <v/>
      </c>
      <c r="G301" s="127"/>
      <c r="H301" s="127"/>
      <c r="I301" s="58" t="str" cm="1">
        <f>IFERROR(IF(ISBLANK($A301),"",INDEX(Array_StationaryCharges,MATCH($A301,List_StationaryFuelMeters,0),ROUNDUP((COLUMN()+1)/3-2,0))),"")</f>
        <v/>
      </c>
      <c r="J301" s="127"/>
      <c r="K301" s="127"/>
      <c r="L301" s="58" t="str" cm="1">
        <f>IFERROR(IF(ISBLANK($A301),"",INDEX(Array_StationaryCharges,MATCH($A301,List_StationaryFuelMeters,0),ROUNDUP((COLUMN()+1)/3-2,0))),"")</f>
        <v/>
      </c>
      <c r="M301" s="127"/>
      <c r="N301" s="127"/>
      <c r="O301" s="58" t="str" cm="1">
        <f>IFERROR(IF(ISBLANK($A301),"",INDEX(Array_StationaryCharges,MATCH($A301,List_StationaryFuelMeters,0),ROUNDUP((COLUMN()+1)/3-2,0))),"")</f>
        <v/>
      </c>
      <c r="P301" s="127"/>
      <c r="Q301" s="127"/>
      <c r="R301" s="58" t="str" cm="1">
        <f>IFERROR(IF(ISBLANK($A301),"",INDEX(Array_StationaryCharges,MATCH($A301,List_StationaryFuelMeters,0),ROUNDUP((COLUMN()+1)/3-2,0))),"")</f>
        <v/>
      </c>
      <c r="S301" s="127"/>
      <c r="T301" s="127"/>
      <c r="U301" s="58" t="str" cm="1">
        <f>IFERROR(IF(ISBLANK($A301),"",INDEX(Array_StationaryCharges,MATCH($A301,List_StationaryFuelMeters,0),ROUNDUP((COLUMN()+1)/3-2,0))),"")</f>
        <v/>
      </c>
      <c r="V301" s="127"/>
      <c r="W301" s="127"/>
      <c r="X301" s="58" t="str" cm="1">
        <f>IFERROR(IF(ISBLANK($A301),"",INDEX(Array_StationaryCharges,MATCH($A301,List_StationaryFuelMeters,0),ROUNDUP((COLUMN()+1)/3-2,0))),"")</f>
        <v/>
      </c>
      <c r="Y301" s="127"/>
      <c r="Z301" s="127"/>
      <c r="AA301" s="58" t="str" cm="1">
        <f>IFERROR(IF(ISBLANK($A301),"",INDEX(Array_StationaryCharges,MATCH($A301,List_StationaryFuelMeters,0),ROUNDUP((COLUMN()+1)/3-2,0))),"")</f>
        <v/>
      </c>
      <c r="AB301" s="127"/>
      <c r="AC301" s="127"/>
      <c r="AD301" s="58" t="str" cm="1">
        <f>IFERROR(IF(ISBLANK($A301),"",INDEX(Array_StationaryCharges,MATCH($A301,List_StationaryFuelMeters,0),ROUNDUP((COLUMN()+1)/3-2,0))),"")</f>
        <v/>
      </c>
      <c r="AE301" s="127"/>
      <c r="AF301" s="127"/>
      <c r="AG301" s="58" t="str" cm="1">
        <f>IFERROR(IF(ISBLANK($A301),"",INDEX(Array_StationaryCharges,MATCH($A301,List_StationaryFuelMeters,0),ROUNDUP((COLUMN()+1)/3-2,0))),"")</f>
        <v/>
      </c>
      <c r="AH301" s="127"/>
      <c r="AI301" s="127"/>
      <c r="AJ301" s="58" t="str" cm="1">
        <f>IFERROR(IF(ISBLANK($A301),"",INDEX(Array_StationaryCharges,MATCH($A301,List_StationaryFuelMeters,0),ROUNDUP((COLUMN()+1)/3-2,0))),"")</f>
        <v/>
      </c>
      <c r="AK301" s="127"/>
      <c r="AL301" s="127"/>
      <c r="AM301" s="58" t="str" cm="1">
        <f>IFERROR(IF(ISBLANK($A301),"",INDEX(Array_StationaryCharges,MATCH($A301,List_StationaryFuelMeters,0),ROUNDUP((COLUMN()+1)/3-2,0))),"")</f>
        <v/>
      </c>
      <c r="AN301" s="127"/>
      <c r="AO301" s="127"/>
      <c r="AP301" s="58" t="str" cm="1">
        <f>IFERROR(IF(ISBLANK($A301),"",INDEX(Array_StationaryCharges,MATCH($A301,List_StationaryFuelMeters,0),ROUNDUP((COLUMN()+1)/3-2,0))),"")</f>
        <v/>
      </c>
      <c r="AQ301" s="127"/>
      <c r="AR301" s="127"/>
      <c r="AS301" s="58" t="str" cm="1">
        <f>IFERROR(IF(ISBLANK($A301),"",INDEX(Array_StationaryCharges,MATCH($A301,List_StationaryFuelMeters,0),ROUNDUP((COLUMN()+1)/3-2,0))),"")</f>
        <v/>
      </c>
      <c r="AT301" s="127"/>
      <c r="AU301" s="127"/>
      <c r="AV301" s="58" t="str" cm="1">
        <f>IFERROR(IF(ISBLANK($A301),"",INDEX(Array_StationaryCharges,MATCH($A301,List_StationaryFuelMeters,0),ROUNDUP((COLUMN()+1)/3-2,0))),"")</f>
        <v/>
      </c>
      <c r="AW301" s="127"/>
      <c r="AX301" s="127"/>
    </row>
    <row r="302" spans="1:50" x14ac:dyDescent="0.3">
      <c r="A302" s="126"/>
      <c r="B302" s="133"/>
      <c r="C302" s="127"/>
      <c r="D302" s="138"/>
      <c r="E302" s="138"/>
      <c r="F302" s="58" t="str" cm="1">
        <f>IFERROR(IF(ISBLANK($A302),"",INDEX(Array_StationaryCharges,MATCH($A302,List_StationaryFuelMeters,0),ROUNDUP((COLUMN()+1)/3-2,0))),"")</f>
        <v/>
      </c>
      <c r="G302" s="127"/>
      <c r="H302" s="127"/>
      <c r="I302" s="58" t="str" cm="1">
        <f>IFERROR(IF(ISBLANK($A302),"",INDEX(Array_StationaryCharges,MATCH($A302,List_StationaryFuelMeters,0),ROUNDUP((COLUMN()+1)/3-2,0))),"")</f>
        <v/>
      </c>
      <c r="J302" s="127"/>
      <c r="K302" s="127"/>
      <c r="L302" s="58" t="str" cm="1">
        <f>IFERROR(IF(ISBLANK($A302),"",INDEX(Array_StationaryCharges,MATCH($A302,List_StationaryFuelMeters,0),ROUNDUP((COLUMN()+1)/3-2,0))),"")</f>
        <v/>
      </c>
      <c r="M302" s="127"/>
      <c r="N302" s="127"/>
      <c r="O302" s="58" t="str" cm="1">
        <f>IFERROR(IF(ISBLANK($A302),"",INDEX(Array_StationaryCharges,MATCH($A302,List_StationaryFuelMeters,0),ROUNDUP((COLUMN()+1)/3-2,0))),"")</f>
        <v/>
      </c>
      <c r="P302" s="127"/>
      <c r="Q302" s="127"/>
      <c r="R302" s="58" t="str" cm="1">
        <f>IFERROR(IF(ISBLANK($A302),"",INDEX(Array_StationaryCharges,MATCH($A302,List_StationaryFuelMeters,0),ROUNDUP((COLUMN()+1)/3-2,0))),"")</f>
        <v/>
      </c>
      <c r="S302" s="127"/>
      <c r="T302" s="127"/>
      <c r="U302" s="58" t="str" cm="1">
        <f>IFERROR(IF(ISBLANK($A302),"",INDEX(Array_StationaryCharges,MATCH($A302,List_StationaryFuelMeters,0),ROUNDUP((COLUMN()+1)/3-2,0))),"")</f>
        <v/>
      </c>
      <c r="V302" s="127"/>
      <c r="W302" s="127"/>
      <c r="X302" s="58" t="str" cm="1">
        <f>IFERROR(IF(ISBLANK($A302),"",INDEX(Array_StationaryCharges,MATCH($A302,List_StationaryFuelMeters,0),ROUNDUP((COLUMN()+1)/3-2,0))),"")</f>
        <v/>
      </c>
      <c r="Y302" s="127"/>
      <c r="Z302" s="127"/>
      <c r="AA302" s="58" t="str" cm="1">
        <f>IFERROR(IF(ISBLANK($A302),"",INDEX(Array_StationaryCharges,MATCH($A302,List_StationaryFuelMeters,0),ROUNDUP((COLUMN()+1)/3-2,0))),"")</f>
        <v/>
      </c>
      <c r="AB302" s="127"/>
      <c r="AC302" s="127"/>
      <c r="AD302" s="58" t="str" cm="1">
        <f>IFERROR(IF(ISBLANK($A302),"",INDEX(Array_StationaryCharges,MATCH($A302,List_StationaryFuelMeters,0),ROUNDUP((COLUMN()+1)/3-2,0))),"")</f>
        <v/>
      </c>
      <c r="AE302" s="127"/>
      <c r="AF302" s="127"/>
      <c r="AG302" s="58" t="str" cm="1">
        <f>IFERROR(IF(ISBLANK($A302),"",INDEX(Array_StationaryCharges,MATCH($A302,List_StationaryFuelMeters,0),ROUNDUP((COLUMN()+1)/3-2,0))),"")</f>
        <v/>
      </c>
      <c r="AH302" s="127"/>
      <c r="AI302" s="127"/>
      <c r="AJ302" s="58" t="str" cm="1">
        <f>IFERROR(IF(ISBLANK($A302),"",INDEX(Array_StationaryCharges,MATCH($A302,List_StationaryFuelMeters,0),ROUNDUP((COLUMN()+1)/3-2,0))),"")</f>
        <v/>
      </c>
      <c r="AK302" s="127"/>
      <c r="AL302" s="127"/>
      <c r="AM302" s="58" t="str" cm="1">
        <f>IFERROR(IF(ISBLANK($A302),"",INDEX(Array_StationaryCharges,MATCH($A302,List_StationaryFuelMeters,0),ROUNDUP((COLUMN()+1)/3-2,0))),"")</f>
        <v/>
      </c>
      <c r="AN302" s="127"/>
      <c r="AO302" s="127"/>
      <c r="AP302" s="58" t="str" cm="1">
        <f>IFERROR(IF(ISBLANK($A302),"",INDEX(Array_StationaryCharges,MATCH($A302,List_StationaryFuelMeters,0),ROUNDUP((COLUMN()+1)/3-2,0))),"")</f>
        <v/>
      </c>
      <c r="AQ302" s="127"/>
      <c r="AR302" s="127"/>
      <c r="AS302" s="58" t="str" cm="1">
        <f>IFERROR(IF(ISBLANK($A302),"",INDEX(Array_StationaryCharges,MATCH($A302,List_StationaryFuelMeters,0),ROUNDUP((COLUMN()+1)/3-2,0))),"")</f>
        <v/>
      </c>
      <c r="AT302" s="127"/>
      <c r="AU302" s="127"/>
      <c r="AV302" s="58" t="str" cm="1">
        <f>IFERROR(IF(ISBLANK($A302),"",INDEX(Array_StationaryCharges,MATCH($A302,List_StationaryFuelMeters,0),ROUNDUP((COLUMN()+1)/3-2,0))),"")</f>
        <v/>
      </c>
      <c r="AW302" s="127"/>
      <c r="AX302" s="127"/>
    </row>
    <row r="303" spans="1:50" x14ac:dyDescent="0.3">
      <c r="A303" s="126"/>
      <c r="B303" s="133"/>
      <c r="C303" s="127"/>
      <c r="D303" s="138"/>
      <c r="E303" s="138"/>
      <c r="F303" s="58" t="str" cm="1">
        <f>IFERROR(IF(ISBLANK($A303),"",INDEX(Array_StationaryCharges,MATCH($A303,List_StationaryFuelMeters,0),ROUNDUP((COLUMN()+1)/3-2,0))),"")</f>
        <v/>
      </c>
      <c r="G303" s="127"/>
      <c r="H303" s="127"/>
      <c r="I303" s="58" t="str" cm="1">
        <f>IFERROR(IF(ISBLANK($A303),"",INDEX(Array_StationaryCharges,MATCH($A303,List_StationaryFuelMeters,0),ROUNDUP((COLUMN()+1)/3-2,0))),"")</f>
        <v/>
      </c>
      <c r="J303" s="127"/>
      <c r="K303" s="127"/>
      <c r="L303" s="58" t="str" cm="1">
        <f>IFERROR(IF(ISBLANK($A303),"",INDEX(Array_StationaryCharges,MATCH($A303,List_StationaryFuelMeters,0),ROUNDUP((COLUMN()+1)/3-2,0))),"")</f>
        <v/>
      </c>
      <c r="M303" s="127"/>
      <c r="N303" s="127"/>
      <c r="O303" s="58" t="str" cm="1">
        <f>IFERROR(IF(ISBLANK($A303),"",INDEX(Array_StationaryCharges,MATCH($A303,List_StationaryFuelMeters,0),ROUNDUP((COLUMN()+1)/3-2,0))),"")</f>
        <v/>
      </c>
      <c r="P303" s="127"/>
      <c r="Q303" s="127"/>
      <c r="R303" s="58" t="str" cm="1">
        <f>IFERROR(IF(ISBLANK($A303),"",INDEX(Array_StationaryCharges,MATCH($A303,List_StationaryFuelMeters,0),ROUNDUP((COLUMN()+1)/3-2,0))),"")</f>
        <v/>
      </c>
      <c r="S303" s="127"/>
      <c r="T303" s="127"/>
      <c r="U303" s="58" t="str" cm="1">
        <f>IFERROR(IF(ISBLANK($A303),"",INDEX(Array_StationaryCharges,MATCH($A303,List_StationaryFuelMeters,0),ROUNDUP((COLUMN()+1)/3-2,0))),"")</f>
        <v/>
      </c>
      <c r="V303" s="127"/>
      <c r="W303" s="127"/>
      <c r="X303" s="58" t="str" cm="1">
        <f>IFERROR(IF(ISBLANK($A303),"",INDEX(Array_StationaryCharges,MATCH($A303,List_StationaryFuelMeters,0),ROUNDUP((COLUMN()+1)/3-2,0))),"")</f>
        <v/>
      </c>
      <c r="Y303" s="127"/>
      <c r="Z303" s="127"/>
      <c r="AA303" s="58" t="str" cm="1">
        <f>IFERROR(IF(ISBLANK($A303),"",INDEX(Array_StationaryCharges,MATCH($A303,List_StationaryFuelMeters,0),ROUNDUP((COLUMN()+1)/3-2,0))),"")</f>
        <v/>
      </c>
      <c r="AB303" s="127"/>
      <c r="AC303" s="127"/>
      <c r="AD303" s="58" t="str" cm="1">
        <f>IFERROR(IF(ISBLANK($A303),"",INDEX(Array_StationaryCharges,MATCH($A303,List_StationaryFuelMeters,0),ROUNDUP((COLUMN()+1)/3-2,0))),"")</f>
        <v/>
      </c>
      <c r="AE303" s="127"/>
      <c r="AF303" s="127"/>
      <c r="AG303" s="58" t="str" cm="1">
        <f>IFERROR(IF(ISBLANK($A303),"",INDEX(Array_StationaryCharges,MATCH($A303,List_StationaryFuelMeters,0),ROUNDUP((COLUMN()+1)/3-2,0))),"")</f>
        <v/>
      </c>
      <c r="AH303" s="127"/>
      <c r="AI303" s="127"/>
      <c r="AJ303" s="58" t="str" cm="1">
        <f>IFERROR(IF(ISBLANK($A303),"",INDEX(Array_StationaryCharges,MATCH($A303,List_StationaryFuelMeters,0),ROUNDUP((COLUMN()+1)/3-2,0))),"")</f>
        <v/>
      </c>
      <c r="AK303" s="127"/>
      <c r="AL303" s="127"/>
      <c r="AM303" s="58" t="str" cm="1">
        <f>IFERROR(IF(ISBLANK($A303),"",INDEX(Array_StationaryCharges,MATCH($A303,List_StationaryFuelMeters,0),ROUNDUP((COLUMN()+1)/3-2,0))),"")</f>
        <v/>
      </c>
      <c r="AN303" s="127"/>
      <c r="AO303" s="127"/>
      <c r="AP303" s="58" t="str" cm="1">
        <f>IFERROR(IF(ISBLANK($A303),"",INDEX(Array_StationaryCharges,MATCH($A303,List_StationaryFuelMeters,0),ROUNDUP((COLUMN()+1)/3-2,0))),"")</f>
        <v/>
      </c>
      <c r="AQ303" s="127"/>
      <c r="AR303" s="127"/>
      <c r="AS303" s="58" t="str" cm="1">
        <f>IFERROR(IF(ISBLANK($A303),"",INDEX(Array_StationaryCharges,MATCH($A303,List_StationaryFuelMeters,0),ROUNDUP((COLUMN()+1)/3-2,0))),"")</f>
        <v/>
      </c>
      <c r="AT303" s="127"/>
      <c r="AU303" s="127"/>
      <c r="AV303" s="58" t="str" cm="1">
        <f>IFERROR(IF(ISBLANK($A303),"",INDEX(Array_StationaryCharges,MATCH($A303,List_StationaryFuelMeters,0),ROUNDUP((COLUMN()+1)/3-2,0))),"")</f>
        <v/>
      </c>
      <c r="AW303" s="127"/>
      <c r="AX303" s="127"/>
    </row>
    <row r="304" spans="1:50" x14ac:dyDescent="0.3">
      <c r="A304" s="126"/>
      <c r="B304" s="133"/>
      <c r="C304" s="127"/>
      <c r="D304" s="138"/>
      <c r="E304" s="138"/>
      <c r="F304" s="58" t="str" cm="1">
        <f>IFERROR(IF(ISBLANK($A304),"",INDEX(Array_StationaryCharges,MATCH($A304,List_StationaryFuelMeters,0),ROUNDUP((COLUMN()+1)/3-2,0))),"")</f>
        <v/>
      </c>
      <c r="G304" s="127"/>
      <c r="H304" s="127"/>
      <c r="I304" s="58" t="str" cm="1">
        <f>IFERROR(IF(ISBLANK($A304),"",INDEX(Array_StationaryCharges,MATCH($A304,List_StationaryFuelMeters,0),ROUNDUP((COLUMN()+1)/3-2,0))),"")</f>
        <v/>
      </c>
      <c r="J304" s="127"/>
      <c r="K304" s="127"/>
      <c r="L304" s="58" t="str" cm="1">
        <f>IFERROR(IF(ISBLANK($A304),"",INDEX(Array_StationaryCharges,MATCH($A304,List_StationaryFuelMeters,0),ROUNDUP((COLUMN()+1)/3-2,0))),"")</f>
        <v/>
      </c>
      <c r="M304" s="127"/>
      <c r="N304" s="127"/>
      <c r="O304" s="58" t="str" cm="1">
        <f>IFERROR(IF(ISBLANK($A304),"",INDEX(Array_StationaryCharges,MATCH($A304,List_StationaryFuelMeters,0),ROUNDUP((COLUMN()+1)/3-2,0))),"")</f>
        <v/>
      </c>
      <c r="P304" s="127"/>
      <c r="Q304" s="127"/>
      <c r="R304" s="58" t="str" cm="1">
        <f>IFERROR(IF(ISBLANK($A304),"",INDEX(Array_StationaryCharges,MATCH($A304,List_StationaryFuelMeters,0),ROUNDUP((COLUMN()+1)/3-2,0))),"")</f>
        <v/>
      </c>
      <c r="S304" s="127"/>
      <c r="T304" s="127"/>
      <c r="U304" s="58" t="str" cm="1">
        <f>IFERROR(IF(ISBLANK($A304),"",INDEX(Array_StationaryCharges,MATCH($A304,List_StationaryFuelMeters,0),ROUNDUP((COLUMN()+1)/3-2,0))),"")</f>
        <v/>
      </c>
      <c r="V304" s="127"/>
      <c r="W304" s="127"/>
      <c r="X304" s="58" t="str" cm="1">
        <f>IFERROR(IF(ISBLANK($A304),"",INDEX(Array_StationaryCharges,MATCH($A304,List_StationaryFuelMeters,0),ROUNDUP((COLUMN()+1)/3-2,0))),"")</f>
        <v/>
      </c>
      <c r="Y304" s="127"/>
      <c r="Z304" s="127"/>
      <c r="AA304" s="58" t="str" cm="1">
        <f>IFERROR(IF(ISBLANK($A304),"",INDEX(Array_StationaryCharges,MATCH($A304,List_StationaryFuelMeters,0),ROUNDUP((COLUMN()+1)/3-2,0))),"")</f>
        <v/>
      </c>
      <c r="AB304" s="127"/>
      <c r="AC304" s="127"/>
      <c r="AD304" s="58" t="str" cm="1">
        <f>IFERROR(IF(ISBLANK($A304),"",INDEX(Array_StationaryCharges,MATCH($A304,List_StationaryFuelMeters,0),ROUNDUP((COLUMN()+1)/3-2,0))),"")</f>
        <v/>
      </c>
      <c r="AE304" s="127"/>
      <c r="AF304" s="127"/>
      <c r="AG304" s="58" t="str" cm="1">
        <f>IFERROR(IF(ISBLANK($A304),"",INDEX(Array_StationaryCharges,MATCH($A304,List_StationaryFuelMeters,0),ROUNDUP((COLUMN()+1)/3-2,0))),"")</f>
        <v/>
      </c>
      <c r="AH304" s="127"/>
      <c r="AI304" s="127"/>
      <c r="AJ304" s="58" t="str" cm="1">
        <f>IFERROR(IF(ISBLANK($A304),"",INDEX(Array_StationaryCharges,MATCH($A304,List_StationaryFuelMeters,0),ROUNDUP((COLUMN()+1)/3-2,0))),"")</f>
        <v/>
      </c>
      <c r="AK304" s="127"/>
      <c r="AL304" s="127"/>
      <c r="AM304" s="58" t="str" cm="1">
        <f>IFERROR(IF(ISBLANK($A304),"",INDEX(Array_StationaryCharges,MATCH($A304,List_StationaryFuelMeters,0),ROUNDUP((COLUMN()+1)/3-2,0))),"")</f>
        <v/>
      </c>
      <c r="AN304" s="127"/>
      <c r="AO304" s="127"/>
      <c r="AP304" s="58" t="str" cm="1">
        <f>IFERROR(IF(ISBLANK($A304),"",INDEX(Array_StationaryCharges,MATCH($A304,List_StationaryFuelMeters,0),ROUNDUP((COLUMN()+1)/3-2,0))),"")</f>
        <v/>
      </c>
      <c r="AQ304" s="127"/>
      <c r="AR304" s="127"/>
      <c r="AS304" s="58" t="str" cm="1">
        <f>IFERROR(IF(ISBLANK($A304),"",INDEX(Array_StationaryCharges,MATCH($A304,List_StationaryFuelMeters,0),ROUNDUP((COLUMN()+1)/3-2,0))),"")</f>
        <v/>
      </c>
      <c r="AT304" s="127"/>
      <c r="AU304" s="127"/>
      <c r="AV304" s="58" t="str" cm="1">
        <f>IFERROR(IF(ISBLANK($A304),"",INDEX(Array_StationaryCharges,MATCH($A304,List_StationaryFuelMeters,0),ROUNDUP((COLUMN()+1)/3-2,0))),"")</f>
        <v/>
      </c>
      <c r="AW304" s="127"/>
      <c r="AX304" s="127"/>
    </row>
    <row r="305" spans="1:50" x14ac:dyDescent="0.3">
      <c r="A305" s="126"/>
      <c r="B305" s="133"/>
      <c r="C305" s="127"/>
      <c r="D305" s="138"/>
      <c r="E305" s="138"/>
      <c r="F305" s="58" t="str" cm="1">
        <f>IFERROR(IF(ISBLANK($A305),"",INDEX(Array_StationaryCharges,MATCH($A305,List_StationaryFuelMeters,0),ROUNDUP((COLUMN()+1)/3-2,0))),"")</f>
        <v/>
      </c>
      <c r="G305" s="127"/>
      <c r="H305" s="127"/>
      <c r="I305" s="58" t="str" cm="1">
        <f>IFERROR(IF(ISBLANK($A305),"",INDEX(Array_StationaryCharges,MATCH($A305,List_StationaryFuelMeters,0),ROUNDUP((COLUMN()+1)/3-2,0))),"")</f>
        <v/>
      </c>
      <c r="J305" s="127"/>
      <c r="K305" s="127"/>
      <c r="L305" s="58" t="str" cm="1">
        <f>IFERROR(IF(ISBLANK($A305),"",INDEX(Array_StationaryCharges,MATCH($A305,List_StationaryFuelMeters,0),ROUNDUP((COLUMN()+1)/3-2,0))),"")</f>
        <v/>
      </c>
      <c r="M305" s="127"/>
      <c r="N305" s="127"/>
      <c r="O305" s="58" t="str" cm="1">
        <f>IFERROR(IF(ISBLANK($A305),"",INDEX(Array_StationaryCharges,MATCH($A305,List_StationaryFuelMeters,0),ROUNDUP((COLUMN()+1)/3-2,0))),"")</f>
        <v/>
      </c>
      <c r="P305" s="127"/>
      <c r="Q305" s="127"/>
      <c r="R305" s="58" t="str" cm="1">
        <f>IFERROR(IF(ISBLANK($A305),"",INDEX(Array_StationaryCharges,MATCH($A305,List_StationaryFuelMeters,0),ROUNDUP((COLUMN()+1)/3-2,0))),"")</f>
        <v/>
      </c>
      <c r="S305" s="127"/>
      <c r="T305" s="127"/>
      <c r="U305" s="58" t="str" cm="1">
        <f>IFERROR(IF(ISBLANK($A305),"",INDEX(Array_StationaryCharges,MATCH($A305,List_StationaryFuelMeters,0),ROUNDUP((COLUMN()+1)/3-2,0))),"")</f>
        <v/>
      </c>
      <c r="V305" s="127"/>
      <c r="W305" s="127"/>
      <c r="X305" s="58" t="str" cm="1">
        <f>IFERROR(IF(ISBLANK($A305),"",INDEX(Array_StationaryCharges,MATCH($A305,List_StationaryFuelMeters,0),ROUNDUP((COLUMN()+1)/3-2,0))),"")</f>
        <v/>
      </c>
      <c r="Y305" s="127"/>
      <c r="Z305" s="127"/>
      <c r="AA305" s="58" t="str" cm="1">
        <f>IFERROR(IF(ISBLANK($A305),"",INDEX(Array_StationaryCharges,MATCH($A305,List_StationaryFuelMeters,0),ROUNDUP((COLUMN()+1)/3-2,0))),"")</f>
        <v/>
      </c>
      <c r="AB305" s="127"/>
      <c r="AC305" s="127"/>
      <c r="AD305" s="58" t="str" cm="1">
        <f>IFERROR(IF(ISBLANK($A305),"",INDEX(Array_StationaryCharges,MATCH($A305,List_StationaryFuelMeters,0),ROUNDUP((COLUMN()+1)/3-2,0))),"")</f>
        <v/>
      </c>
      <c r="AE305" s="127"/>
      <c r="AF305" s="127"/>
      <c r="AG305" s="58" t="str" cm="1">
        <f>IFERROR(IF(ISBLANK($A305),"",INDEX(Array_StationaryCharges,MATCH($A305,List_StationaryFuelMeters,0),ROUNDUP((COLUMN()+1)/3-2,0))),"")</f>
        <v/>
      </c>
      <c r="AH305" s="127"/>
      <c r="AI305" s="127"/>
      <c r="AJ305" s="58" t="str" cm="1">
        <f>IFERROR(IF(ISBLANK($A305),"",INDEX(Array_StationaryCharges,MATCH($A305,List_StationaryFuelMeters,0),ROUNDUP((COLUMN()+1)/3-2,0))),"")</f>
        <v/>
      </c>
      <c r="AK305" s="127"/>
      <c r="AL305" s="127"/>
      <c r="AM305" s="58" t="str" cm="1">
        <f>IFERROR(IF(ISBLANK($A305),"",INDEX(Array_StationaryCharges,MATCH($A305,List_StationaryFuelMeters,0),ROUNDUP((COLUMN()+1)/3-2,0))),"")</f>
        <v/>
      </c>
      <c r="AN305" s="127"/>
      <c r="AO305" s="127"/>
      <c r="AP305" s="58" t="str" cm="1">
        <f>IFERROR(IF(ISBLANK($A305),"",INDEX(Array_StationaryCharges,MATCH($A305,List_StationaryFuelMeters,0),ROUNDUP((COLUMN()+1)/3-2,0))),"")</f>
        <v/>
      </c>
      <c r="AQ305" s="127"/>
      <c r="AR305" s="127"/>
      <c r="AS305" s="58" t="str" cm="1">
        <f>IFERROR(IF(ISBLANK($A305),"",INDEX(Array_StationaryCharges,MATCH($A305,List_StationaryFuelMeters,0),ROUNDUP((COLUMN()+1)/3-2,0))),"")</f>
        <v/>
      </c>
      <c r="AT305" s="127"/>
      <c r="AU305" s="127"/>
      <c r="AV305" s="58" t="str" cm="1">
        <f>IFERROR(IF(ISBLANK($A305),"",INDEX(Array_StationaryCharges,MATCH($A305,List_StationaryFuelMeters,0),ROUNDUP((COLUMN()+1)/3-2,0))),"")</f>
        <v/>
      </c>
      <c r="AW305" s="127"/>
      <c r="AX305" s="127"/>
    </row>
    <row r="306" spans="1:50" x14ac:dyDescent="0.3">
      <c r="A306" s="126"/>
      <c r="B306" s="133"/>
      <c r="C306" s="127"/>
      <c r="D306" s="138"/>
      <c r="E306" s="138"/>
      <c r="F306" s="58" t="str" cm="1">
        <f>IFERROR(IF(ISBLANK($A306),"",INDEX(Array_StationaryCharges,MATCH($A306,List_StationaryFuelMeters,0),ROUNDUP((COLUMN()+1)/3-2,0))),"")</f>
        <v/>
      </c>
      <c r="G306" s="127"/>
      <c r="H306" s="127"/>
      <c r="I306" s="58" t="str" cm="1">
        <f>IFERROR(IF(ISBLANK($A306),"",INDEX(Array_StationaryCharges,MATCH($A306,List_StationaryFuelMeters,0),ROUNDUP((COLUMN()+1)/3-2,0))),"")</f>
        <v/>
      </c>
      <c r="J306" s="127"/>
      <c r="K306" s="127"/>
      <c r="L306" s="58" t="str" cm="1">
        <f>IFERROR(IF(ISBLANK($A306),"",INDEX(Array_StationaryCharges,MATCH($A306,List_StationaryFuelMeters,0),ROUNDUP((COLUMN()+1)/3-2,0))),"")</f>
        <v/>
      </c>
      <c r="M306" s="127"/>
      <c r="N306" s="127"/>
      <c r="O306" s="58" t="str" cm="1">
        <f>IFERROR(IF(ISBLANK($A306),"",INDEX(Array_StationaryCharges,MATCH($A306,List_StationaryFuelMeters,0),ROUNDUP((COLUMN()+1)/3-2,0))),"")</f>
        <v/>
      </c>
      <c r="P306" s="127"/>
      <c r="Q306" s="127"/>
      <c r="R306" s="58" t="str" cm="1">
        <f>IFERROR(IF(ISBLANK($A306),"",INDEX(Array_StationaryCharges,MATCH($A306,List_StationaryFuelMeters,0),ROUNDUP((COLUMN()+1)/3-2,0))),"")</f>
        <v/>
      </c>
      <c r="S306" s="127"/>
      <c r="T306" s="127"/>
      <c r="U306" s="58" t="str" cm="1">
        <f>IFERROR(IF(ISBLANK($A306),"",INDEX(Array_StationaryCharges,MATCH($A306,List_StationaryFuelMeters,0),ROUNDUP((COLUMN()+1)/3-2,0))),"")</f>
        <v/>
      </c>
      <c r="V306" s="127"/>
      <c r="W306" s="127"/>
      <c r="X306" s="58" t="str" cm="1">
        <f>IFERROR(IF(ISBLANK($A306),"",INDEX(Array_StationaryCharges,MATCH($A306,List_StationaryFuelMeters,0),ROUNDUP((COLUMN()+1)/3-2,0))),"")</f>
        <v/>
      </c>
      <c r="Y306" s="127"/>
      <c r="Z306" s="127"/>
      <c r="AA306" s="58" t="str" cm="1">
        <f>IFERROR(IF(ISBLANK($A306),"",INDEX(Array_StationaryCharges,MATCH($A306,List_StationaryFuelMeters,0),ROUNDUP((COLUMN()+1)/3-2,0))),"")</f>
        <v/>
      </c>
      <c r="AB306" s="127"/>
      <c r="AC306" s="127"/>
      <c r="AD306" s="58" t="str" cm="1">
        <f>IFERROR(IF(ISBLANK($A306),"",INDEX(Array_StationaryCharges,MATCH($A306,List_StationaryFuelMeters,0),ROUNDUP((COLUMN()+1)/3-2,0))),"")</f>
        <v/>
      </c>
      <c r="AE306" s="127"/>
      <c r="AF306" s="127"/>
      <c r="AG306" s="58" t="str" cm="1">
        <f>IFERROR(IF(ISBLANK($A306),"",INDEX(Array_StationaryCharges,MATCH($A306,List_StationaryFuelMeters,0),ROUNDUP((COLUMN()+1)/3-2,0))),"")</f>
        <v/>
      </c>
      <c r="AH306" s="127"/>
      <c r="AI306" s="127"/>
      <c r="AJ306" s="58" t="str" cm="1">
        <f>IFERROR(IF(ISBLANK($A306),"",INDEX(Array_StationaryCharges,MATCH($A306,List_StationaryFuelMeters,0),ROUNDUP((COLUMN()+1)/3-2,0))),"")</f>
        <v/>
      </c>
      <c r="AK306" s="127"/>
      <c r="AL306" s="127"/>
      <c r="AM306" s="58" t="str" cm="1">
        <f>IFERROR(IF(ISBLANK($A306),"",INDEX(Array_StationaryCharges,MATCH($A306,List_StationaryFuelMeters,0),ROUNDUP((COLUMN()+1)/3-2,0))),"")</f>
        <v/>
      </c>
      <c r="AN306" s="127"/>
      <c r="AO306" s="127"/>
      <c r="AP306" s="58" t="str" cm="1">
        <f>IFERROR(IF(ISBLANK($A306),"",INDEX(Array_StationaryCharges,MATCH($A306,List_StationaryFuelMeters,0),ROUNDUP((COLUMN()+1)/3-2,0))),"")</f>
        <v/>
      </c>
      <c r="AQ306" s="127"/>
      <c r="AR306" s="127"/>
      <c r="AS306" s="58" t="str" cm="1">
        <f>IFERROR(IF(ISBLANK($A306),"",INDEX(Array_StationaryCharges,MATCH($A306,List_StationaryFuelMeters,0),ROUNDUP((COLUMN()+1)/3-2,0))),"")</f>
        <v/>
      </c>
      <c r="AT306" s="127"/>
      <c r="AU306" s="127"/>
      <c r="AV306" s="58" t="str" cm="1">
        <f>IFERROR(IF(ISBLANK($A306),"",INDEX(Array_StationaryCharges,MATCH($A306,List_StationaryFuelMeters,0),ROUNDUP((COLUMN()+1)/3-2,0))),"")</f>
        <v/>
      </c>
      <c r="AW306" s="127"/>
      <c r="AX306" s="127"/>
    </row>
    <row r="307" spans="1:50" x14ac:dyDescent="0.3">
      <c r="A307" s="126"/>
      <c r="B307" s="133"/>
      <c r="C307" s="127"/>
      <c r="D307" s="138"/>
      <c r="E307" s="138"/>
      <c r="F307" s="58" t="str" cm="1">
        <f>IFERROR(IF(ISBLANK($A307),"",INDEX(Array_StationaryCharges,MATCH($A307,List_StationaryFuelMeters,0),ROUNDUP((COLUMN()+1)/3-2,0))),"")</f>
        <v/>
      </c>
      <c r="G307" s="127"/>
      <c r="H307" s="127"/>
      <c r="I307" s="58" t="str" cm="1">
        <f>IFERROR(IF(ISBLANK($A307),"",INDEX(Array_StationaryCharges,MATCH($A307,List_StationaryFuelMeters,0),ROUNDUP((COLUMN()+1)/3-2,0))),"")</f>
        <v/>
      </c>
      <c r="J307" s="127"/>
      <c r="K307" s="127"/>
      <c r="L307" s="58" t="str" cm="1">
        <f>IFERROR(IF(ISBLANK($A307),"",INDEX(Array_StationaryCharges,MATCH($A307,List_StationaryFuelMeters,0),ROUNDUP((COLUMN()+1)/3-2,0))),"")</f>
        <v/>
      </c>
      <c r="M307" s="127"/>
      <c r="N307" s="127"/>
      <c r="O307" s="58" t="str" cm="1">
        <f>IFERROR(IF(ISBLANK($A307),"",INDEX(Array_StationaryCharges,MATCH($A307,List_StationaryFuelMeters,0),ROUNDUP((COLUMN()+1)/3-2,0))),"")</f>
        <v/>
      </c>
      <c r="P307" s="127"/>
      <c r="Q307" s="127"/>
      <c r="R307" s="58" t="str" cm="1">
        <f>IFERROR(IF(ISBLANK($A307),"",INDEX(Array_StationaryCharges,MATCH($A307,List_StationaryFuelMeters,0),ROUNDUP((COLUMN()+1)/3-2,0))),"")</f>
        <v/>
      </c>
      <c r="S307" s="127"/>
      <c r="T307" s="127"/>
      <c r="U307" s="58" t="str" cm="1">
        <f>IFERROR(IF(ISBLANK($A307),"",INDEX(Array_StationaryCharges,MATCH($A307,List_StationaryFuelMeters,0),ROUNDUP((COLUMN()+1)/3-2,0))),"")</f>
        <v/>
      </c>
      <c r="V307" s="127"/>
      <c r="W307" s="127"/>
      <c r="X307" s="58" t="str" cm="1">
        <f>IFERROR(IF(ISBLANK($A307),"",INDEX(Array_StationaryCharges,MATCH($A307,List_StationaryFuelMeters,0),ROUNDUP((COLUMN()+1)/3-2,0))),"")</f>
        <v/>
      </c>
      <c r="Y307" s="127"/>
      <c r="Z307" s="127"/>
      <c r="AA307" s="58" t="str" cm="1">
        <f>IFERROR(IF(ISBLANK($A307),"",INDEX(Array_StationaryCharges,MATCH($A307,List_StationaryFuelMeters,0),ROUNDUP((COLUMN()+1)/3-2,0))),"")</f>
        <v/>
      </c>
      <c r="AB307" s="127"/>
      <c r="AC307" s="127"/>
      <c r="AD307" s="58" t="str" cm="1">
        <f>IFERROR(IF(ISBLANK($A307),"",INDEX(Array_StationaryCharges,MATCH($A307,List_StationaryFuelMeters,0),ROUNDUP((COLUMN()+1)/3-2,0))),"")</f>
        <v/>
      </c>
      <c r="AE307" s="127"/>
      <c r="AF307" s="127"/>
      <c r="AG307" s="58" t="str" cm="1">
        <f>IFERROR(IF(ISBLANK($A307),"",INDEX(Array_StationaryCharges,MATCH($A307,List_StationaryFuelMeters,0),ROUNDUP((COLUMN()+1)/3-2,0))),"")</f>
        <v/>
      </c>
      <c r="AH307" s="127"/>
      <c r="AI307" s="127"/>
      <c r="AJ307" s="58" t="str" cm="1">
        <f>IFERROR(IF(ISBLANK($A307),"",INDEX(Array_StationaryCharges,MATCH($A307,List_StationaryFuelMeters,0),ROUNDUP((COLUMN()+1)/3-2,0))),"")</f>
        <v/>
      </c>
      <c r="AK307" s="127"/>
      <c r="AL307" s="127"/>
      <c r="AM307" s="58" t="str" cm="1">
        <f>IFERROR(IF(ISBLANK($A307),"",INDEX(Array_StationaryCharges,MATCH($A307,List_StationaryFuelMeters,0),ROUNDUP((COLUMN()+1)/3-2,0))),"")</f>
        <v/>
      </c>
      <c r="AN307" s="127"/>
      <c r="AO307" s="127"/>
      <c r="AP307" s="58" t="str" cm="1">
        <f>IFERROR(IF(ISBLANK($A307),"",INDEX(Array_StationaryCharges,MATCH($A307,List_StationaryFuelMeters,0),ROUNDUP((COLUMN()+1)/3-2,0))),"")</f>
        <v/>
      </c>
      <c r="AQ307" s="127"/>
      <c r="AR307" s="127"/>
      <c r="AS307" s="58" t="str" cm="1">
        <f>IFERROR(IF(ISBLANK($A307),"",INDEX(Array_StationaryCharges,MATCH($A307,List_StationaryFuelMeters,0),ROUNDUP((COLUMN()+1)/3-2,0))),"")</f>
        <v/>
      </c>
      <c r="AT307" s="127"/>
      <c r="AU307" s="127"/>
      <c r="AV307" s="58" t="str" cm="1">
        <f>IFERROR(IF(ISBLANK($A307),"",INDEX(Array_StationaryCharges,MATCH($A307,List_StationaryFuelMeters,0),ROUNDUP((COLUMN()+1)/3-2,0))),"")</f>
        <v/>
      </c>
      <c r="AW307" s="127"/>
      <c r="AX307" s="127"/>
    </row>
    <row r="308" spans="1:50" x14ac:dyDescent="0.3">
      <c r="A308" s="126"/>
      <c r="B308" s="133"/>
      <c r="C308" s="127"/>
      <c r="D308" s="138"/>
      <c r="E308" s="138"/>
      <c r="F308" s="58" t="str" cm="1">
        <f>IFERROR(IF(ISBLANK($A308),"",INDEX(Array_StationaryCharges,MATCH($A308,List_StationaryFuelMeters,0),ROUNDUP((COLUMN()+1)/3-2,0))),"")</f>
        <v/>
      </c>
      <c r="G308" s="127"/>
      <c r="H308" s="127"/>
      <c r="I308" s="58" t="str" cm="1">
        <f>IFERROR(IF(ISBLANK($A308),"",INDEX(Array_StationaryCharges,MATCH($A308,List_StationaryFuelMeters,0),ROUNDUP((COLUMN()+1)/3-2,0))),"")</f>
        <v/>
      </c>
      <c r="J308" s="127"/>
      <c r="K308" s="127"/>
      <c r="L308" s="58" t="str" cm="1">
        <f>IFERROR(IF(ISBLANK($A308),"",INDEX(Array_StationaryCharges,MATCH($A308,List_StationaryFuelMeters,0),ROUNDUP((COLUMN()+1)/3-2,0))),"")</f>
        <v/>
      </c>
      <c r="M308" s="127"/>
      <c r="N308" s="127"/>
      <c r="O308" s="58" t="str" cm="1">
        <f>IFERROR(IF(ISBLANK($A308),"",INDEX(Array_StationaryCharges,MATCH($A308,List_StationaryFuelMeters,0),ROUNDUP((COLUMN()+1)/3-2,0))),"")</f>
        <v/>
      </c>
      <c r="P308" s="127"/>
      <c r="Q308" s="127"/>
      <c r="R308" s="58" t="str" cm="1">
        <f>IFERROR(IF(ISBLANK($A308),"",INDEX(Array_StationaryCharges,MATCH($A308,List_StationaryFuelMeters,0),ROUNDUP((COLUMN()+1)/3-2,0))),"")</f>
        <v/>
      </c>
      <c r="S308" s="127"/>
      <c r="T308" s="127"/>
      <c r="U308" s="58" t="str" cm="1">
        <f>IFERROR(IF(ISBLANK($A308),"",INDEX(Array_StationaryCharges,MATCH($A308,List_StationaryFuelMeters,0),ROUNDUP((COLUMN()+1)/3-2,0))),"")</f>
        <v/>
      </c>
      <c r="V308" s="127"/>
      <c r="W308" s="127"/>
      <c r="X308" s="58" t="str" cm="1">
        <f>IFERROR(IF(ISBLANK($A308),"",INDEX(Array_StationaryCharges,MATCH($A308,List_StationaryFuelMeters,0),ROUNDUP((COLUMN()+1)/3-2,0))),"")</f>
        <v/>
      </c>
      <c r="Y308" s="127"/>
      <c r="Z308" s="127"/>
      <c r="AA308" s="58" t="str" cm="1">
        <f>IFERROR(IF(ISBLANK($A308),"",INDEX(Array_StationaryCharges,MATCH($A308,List_StationaryFuelMeters,0),ROUNDUP((COLUMN()+1)/3-2,0))),"")</f>
        <v/>
      </c>
      <c r="AB308" s="127"/>
      <c r="AC308" s="127"/>
      <c r="AD308" s="58" t="str" cm="1">
        <f>IFERROR(IF(ISBLANK($A308),"",INDEX(Array_StationaryCharges,MATCH($A308,List_StationaryFuelMeters,0),ROUNDUP((COLUMN()+1)/3-2,0))),"")</f>
        <v/>
      </c>
      <c r="AE308" s="127"/>
      <c r="AF308" s="127"/>
      <c r="AG308" s="58" t="str" cm="1">
        <f>IFERROR(IF(ISBLANK($A308),"",INDEX(Array_StationaryCharges,MATCH($A308,List_StationaryFuelMeters,0),ROUNDUP((COLUMN()+1)/3-2,0))),"")</f>
        <v/>
      </c>
      <c r="AH308" s="127"/>
      <c r="AI308" s="127"/>
      <c r="AJ308" s="58" t="str" cm="1">
        <f>IFERROR(IF(ISBLANK($A308),"",INDEX(Array_StationaryCharges,MATCH($A308,List_StationaryFuelMeters,0),ROUNDUP((COLUMN()+1)/3-2,0))),"")</f>
        <v/>
      </c>
      <c r="AK308" s="127"/>
      <c r="AL308" s="127"/>
      <c r="AM308" s="58" t="str" cm="1">
        <f>IFERROR(IF(ISBLANK($A308),"",INDEX(Array_StationaryCharges,MATCH($A308,List_StationaryFuelMeters,0),ROUNDUP((COLUMN()+1)/3-2,0))),"")</f>
        <v/>
      </c>
      <c r="AN308" s="127"/>
      <c r="AO308" s="127"/>
      <c r="AP308" s="58" t="str" cm="1">
        <f>IFERROR(IF(ISBLANK($A308),"",INDEX(Array_StationaryCharges,MATCH($A308,List_StationaryFuelMeters,0),ROUNDUP((COLUMN()+1)/3-2,0))),"")</f>
        <v/>
      </c>
      <c r="AQ308" s="127"/>
      <c r="AR308" s="127"/>
      <c r="AS308" s="58" t="str" cm="1">
        <f>IFERROR(IF(ISBLANK($A308),"",INDEX(Array_StationaryCharges,MATCH($A308,List_StationaryFuelMeters,0),ROUNDUP((COLUMN()+1)/3-2,0))),"")</f>
        <v/>
      </c>
      <c r="AT308" s="127"/>
      <c r="AU308" s="127"/>
      <c r="AV308" s="58" t="str" cm="1">
        <f>IFERROR(IF(ISBLANK($A308),"",INDEX(Array_StationaryCharges,MATCH($A308,List_StationaryFuelMeters,0),ROUNDUP((COLUMN()+1)/3-2,0))),"")</f>
        <v/>
      </c>
      <c r="AW308" s="127"/>
      <c r="AX308" s="127"/>
    </row>
    <row r="309" spans="1:50" x14ac:dyDescent="0.3">
      <c r="A309" s="126"/>
      <c r="B309" s="133"/>
      <c r="C309" s="127"/>
      <c r="D309" s="138"/>
      <c r="E309" s="138"/>
      <c r="F309" s="58" t="str" cm="1">
        <f>IFERROR(IF(ISBLANK($A309),"",INDEX(Array_StationaryCharges,MATCH($A309,List_StationaryFuelMeters,0),ROUNDUP((COLUMN()+1)/3-2,0))),"")</f>
        <v/>
      </c>
      <c r="G309" s="127"/>
      <c r="H309" s="127"/>
      <c r="I309" s="58" t="str" cm="1">
        <f>IFERROR(IF(ISBLANK($A309),"",INDEX(Array_StationaryCharges,MATCH($A309,List_StationaryFuelMeters,0),ROUNDUP((COLUMN()+1)/3-2,0))),"")</f>
        <v/>
      </c>
      <c r="J309" s="127"/>
      <c r="K309" s="127"/>
      <c r="L309" s="58" t="str" cm="1">
        <f>IFERROR(IF(ISBLANK($A309),"",INDEX(Array_StationaryCharges,MATCH($A309,List_StationaryFuelMeters,0),ROUNDUP((COLUMN()+1)/3-2,0))),"")</f>
        <v/>
      </c>
      <c r="M309" s="127"/>
      <c r="N309" s="127"/>
      <c r="O309" s="58" t="str" cm="1">
        <f>IFERROR(IF(ISBLANK($A309),"",INDEX(Array_StationaryCharges,MATCH($A309,List_StationaryFuelMeters,0),ROUNDUP((COLUMN()+1)/3-2,0))),"")</f>
        <v/>
      </c>
      <c r="P309" s="127"/>
      <c r="Q309" s="127"/>
      <c r="R309" s="58" t="str" cm="1">
        <f>IFERROR(IF(ISBLANK($A309),"",INDEX(Array_StationaryCharges,MATCH($A309,List_StationaryFuelMeters,0),ROUNDUP((COLUMN()+1)/3-2,0))),"")</f>
        <v/>
      </c>
      <c r="S309" s="127"/>
      <c r="T309" s="127"/>
      <c r="U309" s="58" t="str" cm="1">
        <f>IFERROR(IF(ISBLANK($A309),"",INDEX(Array_StationaryCharges,MATCH($A309,List_StationaryFuelMeters,0),ROUNDUP((COLUMN()+1)/3-2,0))),"")</f>
        <v/>
      </c>
      <c r="V309" s="127"/>
      <c r="W309" s="127"/>
      <c r="X309" s="58" t="str" cm="1">
        <f>IFERROR(IF(ISBLANK($A309),"",INDEX(Array_StationaryCharges,MATCH($A309,List_StationaryFuelMeters,0),ROUNDUP((COLUMN()+1)/3-2,0))),"")</f>
        <v/>
      </c>
      <c r="Y309" s="127"/>
      <c r="Z309" s="127"/>
      <c r="AA309" s="58" t="str" cm="1">
        <f>IFERROR(IF(ISBLANK($A309),"",INDEX(Array_StationaryCharges,MATCH($A309,List_StationaryFuelMeters,0),ROUNDUP((COLUMN()+1)/3-2,0))),"")</f>
        <v/>
      </c>
      <c r="AB309" s="127"/>
      <c r="AC309" s="127"/>
      <c r="AD309" s="58" t="str" cm="1">
        <f>IFERROR(IF(ISBLANK($A309),"",INDEX(Array_StationaryCharges,MATCH($A309,List_StationaryFuelMeters,0),ROUNDUP((COLUMN()+1)/3-2,0))),"")</f>
        <v/>
      </c>
      <c r="AE309" s="127"/>
      <c r="AF309" s="127"/>
      <c r="AG309" s="58" t="str" cm="1">
        <f>IFERROR(IF(ISBLANK($A309),"",INDEX(Array_StationaryCharges,MATCH($A309,List_StationaryFuelMeters,0),ROUNDUP((COLUMN()+1)/3-2,0))),"")</f>
        <v/>
      </c>
      <c r="AH309" s="127"/>
      <c r="AI309" s="127"/>
      <c r="AJ309" s="58" t="str" cm="1">
        <f>IFERROR(IF(ISBLANK($A309),"",INDEX(Array_StationaryCharges,MATCH($A309,List_StationaryFuelMeters,0),ROUNDUP((COLUMN()+1)/3-2,0))),"")</f>
        <v/>
      </c>
      <c r="AK309" s="127"/>
      <c r="AL309" s="127"/>
      <c r="AM309" s="58" t="str" cm="1">
        <f>IFERROR(IF(ISBLANK($A309),"",INDEX(Array_StationaryCharges,MATCH($A309,List_StationaryFuelMeters,0),ROUNDUP((COLUMN()+1)/3-2,0))),"")</f>
        <v/>
      </c>
      <c r="AN309" s="127"/>
      <c r="AO309" s="127"/>
      <c r="AP309" s="58" t="str" cm="1">
        <f>IFERROR(IF(ISBLANK($A309),"",INDEX(Array_StationaryCharges,MATCH($A309,List_StationaryFuelMeters,0),ROUNDUP((COLUMN()+1)/3-2,0))),"")</f>
        <v/>
      </c>
      <c r="AQ309" s="127"/>
      <c r="AR309" s="127"/>
      <c r="AS309" s="58" t="str" cm="1">
        <f>IFERROR(IF(ISBLANK($A309),"",INDEX(Array_StationaryCharges,MATCH($A309,List_StationaryFuelMeters,0),ROUNDUP((COLUMN()+1)/3-2,0))),"")</f>
        <v/>
      </c>
      <c r="AT309" s="127"/>
      <c r="AU309" s="127"/>
      <c r="AV309" s="58" t="str" cm="1">
        <f>IFERROR(IF(ISBLANK($A309),"",INDEX(Array_StationaryCharges,MATCH($A309,List_StationaryFuelMeters,0),ROUNDUP((COLUMN()+1)/3-2,0))),"")</f>
        <v/>
      </c>
      <c r="AW309" s="127"/>
      <c r="AX309" s="127"/>
    </row>
    <row r="310" spans="1:50" x14ac:dyDescent="0.3">
      <c r="A310" s="126"/>
      <c r="B310" s="133"/>
      <c r="C310" s="127"/>
      <c r="D310" s="138"/>
      <c r="E310" s="138"/>
      <c r="F310" s="58" t="str" cm="1">
        <f>IFERROR(IF(ISBLANK($A310),"",INDEX(Array_StationaryCharges,MATCH($A310,List_StationaryFuelMeters,0),ROUNDUP((COLUMN()+1)/3-2,0))),"")</f>
        <v/>
      </c>
      <c r="G310" s="127"/>
      <c r="H310" s="127"/>
      <c r="I310" s="58" t="str" cm="1">
        <f>IFERROR(IF(ISBLANK($A310),"",INDEX(Array_StationaryCharges,MATCH($A310,List_StationaryFuelMeters,0),ROUNDUP((COLUMN()+1)/3-2,0))),"")</f>
        <v/>
      </c>
      <c r="J310" s="127"/>
      <c r="K310" s="127"/>
      <c r="L310" s="58" t="str" cm="1">
        <f>IFERROR(IF(ISBLANK($A310),"",INDEX(Array_StationaryCharges,MATCH($A310,List_StationaryFuelMeters,0),ROUNDUP((COLUMN()+1)/3-2,0))),"")</f>
        <v/>
      </c>
      <c r="M310" s="127"/>
      <c r="N310" s="127"/>
      <c r="O310" s="58" t="str" cm="1">
        <f>IFERROR(IF(ISBLANK($A310),"",INDEX(Array_StationaryCharges,MATCH($A310,List_StationaryFuelMeters,0),ROUNDUP((COLUMN()+1)/3-2,0))),"")</f>
        <v/>
      </c>
      <c r="P310" s="127"/>
      <c r="Q310" s="127"/>
      <c r="R310" s="58" t="str" cm="1">
        <f>IFERROR(IF(ISBLANK($A310),"",INDEX(Array_StationaryCharges,MATCH($A310,List_StationaryFuelMeters,0),ROUNDUP((COLUMN()+1)/3-2,0))),"")</f>
        <v/>
      </c>
      <c r="S310" s="127"/>
      <c r="T310" s="127"/>
      <c r="U310" s="58" t="str" cm="1">
        <f>IFERROR(IF(ISBLANK($A310),"",INDEX(Array_StationaryCharges,MATCH($A310,List_StationaryFuelMeters,0),ROUNDUP((COLUMN()+1)/3-2,0))),"")</f>
        <v/>
      </c>
      <c r="V310" s="127"/>
      <c r="W310" s="127"/>
      <c r="X310" s="58" t="str" cm="1">
        <f>IFERROR(IF(ISBLANK($A310),"",INDEX(Array_StationaryCharges,MATCH($A310,List_StationaryFuelMeters,0),ROUNDUP((COLUMN()+1)/3-2,0))),"")</f>
        <v/>
      </c>
      <c r="Y310" s="127"/>
      <c r="Z310" s="127"/>
      <c r="AA310" s="58" t="str" cm="1">
        <f>IFERROR(IF(ISBLANK($A310),"",INDEX(Array_StationaryCharges,MATCH($A310,List_StationaryFuelMeters,0),ROUNDUP((COLUMN()+1)/3-2,0))),"")</f>
        <v/>
      </c>
      <c r="AB310" s="127"/>
      <c r="AC310" s="127"/>
      <c r="AD310" s="58" t="str" cm="1">
        <f>IFERROR(IF(ISBLANK($A310),"",INDEX(Array_StationaryCharges,MATCH($A310,List_StationaryFuelMeters,0),ROUNDUP((COLUMN()+1)/3-2,0))),"")</f>
        <v/>
      </c>
      <c r="AE310" s="127"/>
      <c r="AF310" s="127"/>
      <c r="AG310" s="58" t="str" cm="1">
        <f>IFERROR(IF(ISBLANK($A310),"",INDEX(Array_StationaryCharges,MATCH($A310,List_StationaryFuelMeters,0),ROUNDUP((COLUMN()+1)/3-2,0))),"")</f>
        <v/>
      </c>
      <c r="AH310" s="127"/>
      <c r="AI310" s="127"/>
      <c r="AJ310" s="58" t="str" cm="1">
        <f>IFERROR(IF(ISBLANK($A310),"",INDEX(Array_StationaryCharges,MATCH($A310,List_StationaryFuelMeters,0),ROUNDUP((COLUMN()+1)/3-2,0))),"")</f>
        <v/>
      </c>
      <c r="AK310" s="127"/>
      <c r="AL310" s="127"/>
      <c r="AM310" s="58" t="str" cm="1">
        <f>IFERROR(IF(ISBLANK($A310),"",INDEX(Array_StationaryCharges,MATCH($A310,List_StationaryFuelMeters,0),ROUNDUP((COLUMN()+1)/3-2,0))),"")</f>
        <v/>
      </c>
      <c r="AN310" s="127"/>
      <c r="AO310" s="127"/>
      <c r="AP310" s="58" t="str" cm="1">
        <f>IFERROR(IF(ISBLANK($A310),"",INDEX(Array_StationaryCharges,MATCH($A310,List_StationaryFuelMeters,0),ROUNDUP((COLUMN()+1)/3-2,0))),"")</f>
        <v/>
      </c>
      <c r="AQ310" s="127"/>
      <c r="AR310" s="127"/>
      <c r="AS310" s="58" t="str" cm="1">
        <f>IFERROR(IF(ISBLANK($A310),"",INDEX(Array_StationaryCharges,MATCH($A310,List_StationaryFuelMeters,0),ROUNDUP((COLUMN()+1)/3-2,0))),"")</f>
        <v/>
      </c>
      <c r="AT310" s="127"/>
      <c r="AU310" s="127"/>
      <c r="AV310" s="58" t="str" cm="1">
        <f>IFERROR(IF(ISBLANK($A310),"",INDEX(Array_StationaryCharges,MATCH($A310,List_StationaryFuelMeters,0),ROUNDUP((COLUMN()+1)/3-2,0))),"")</f>
        <v/>
      </c>
      <c r="AW310" s="127"/>
      <c r="AX310" s="127"/>
    </row>
    <row r="311" spans="1:50" x14ac:dyDescent="0.3">
      <c r="A311" s="126"/>
      <c r="B311" s="133"/>
      <c r="C311" s="127"/>
      <c r="D311" s="138"/>
      <c r="E311" s="138"/>
      <c r="F311" s="58" t="str" cm="1">
        <f>IFERROR(IF(ISBLANK($A311),"",INDEX(Array_StationaryCharges,MATCH($A311,List_StationaryFuelMeters,0),ROUNDUP((COLUMN()+1)/3-2,0))),"")</f>
        <v/>
      </c>
      <c r="G311" s="127"/>
      <c r="H311" s="127"/>
      <c r="I311" s="58" t="str" cm="1">
        <f>IFERROR(IF(ISBLANK($A311),"",INDEX(Array_StationaryCharges,MATCH($A311,List_StationaryFuelMeters,0),ROUNDUP((COLUMN()+1)/3-2,0))),"")</f>
        <v/>
      </c>
      <c r="J311" s="127"/>
      <c r="K311" s="127"/>
      <c r="L311" s="58" t="str" cm="1">
        <f>IFERROR(IF(ISBLANK($A311),"",INDEX(Array_StationaryCharges,MATCH($A311,List_StationaryFuelMeters,0),ROUNDUP((COLUMN()+1)/3-2,0))),"")</f>
        <v/>
      </c>
      <c r="M311" s="127"/>
      <c r="N311" s="127"/>
      <c r="O311" s="58" t="str" cm="1">
        <f>IFERROR(IF(ISBLANK($A311),"",INDEX(Array_StationaryCharges,MATCH($A311,List_StationaryFuelMeters,0),ROUNDUP((COLUMN()+1)/3-2,0))),"")</f>
        <v/>
      </c>
      <c r="P311" s="127"/>
      <c r="Q311" s="127"/>
      <c r="R311" s="58" t="str" cm="1">
        <f>IFERROR(IF(ISBLANK($A311),"",INDEX(Array_StationaryCharges,MATCH($A311,List_StationaryFuelMeters,0),ROUNDUP((COLUMN()+1)/3-2,0))),"")</f>
        <v/>
      </c>
      <c r="S311" s="127"/>
      <c r="T311" s="127"/>
      <c r="U311" s="58" t="str" cm="1">
        <f>IFERROR(IF(ISBLANK($A311),"",INDEX(Array_StationaryCharges,MATCH($A311,List_StationaryFuelMeters,0),ROUNDUP((COLUMN()+1)/3-2,0))),"")</f>
        <v/>
      </c>
      <c r="V311" s="127"/>
      <c r="W311" s="127"/>
      <c r="X311" s="58" t="str" cm="1">
        <f>IFERROR(IF(ISBLANK($A311),"",INDEX(Array_StationaryCharges,MATCH($A311,List_StationaryFuelMeters,0),ROUNDUP((COLUMN()+1)/3-2,0))),"")</f>
        <v/>
      </c>
      <c r="Y311" s="127"/>
      <c r="Z311" s="127"/>
      <c r="AA311" s="58" t="str" cm="1">
        <f>IFERROR(IF(ISBLANK($A311),"",INDEX(Array_StationaryCharges,MATCH($A311,List_StationaryFuelMeters,0),ROUNDUP((COLUMN()+1)/3-2,0))),"")</f>
        <v/>
      </c>
      <c r="AB311" s="127"/>
      <c r="AC311" s="127"/>
      <c r="AD311" s="58" t="str" cm="1">
        <f>IFERROR(IF(ISBLANK($A311),"",INDEX(Array_StationaryCharges,MATCH($A311,List_StationaryFuelMeters,0),ROUNDUP((COLUMN()+1)/3-2,0))),"")</f>
        <v/>
      </c>
      <c r="AE311" s="127"/>
      <c r="AF311" s="127"/>
      <c r="AG311" s="58" t="str" cm="1">
        <f>IFERROR(IF(ISBLANK($A311),"",INDEX(Array_StationaryCharges,MATCH($A311,List_StationaryFuelMeters,0),ROUNDUP((COLUMN()+1)/3-2,0))),"")</f>
        <v/>
      </c>
      <c r="AH311" s="127"/>
      <c r="AI311" s="127"/>
      <c r="AJ311" s="58" t="str" cm="1">
        <f>IFERROR(IF(ISBLANK($A311),"",INDEX(Array_StationaryCharges,MATCH($A311,List_StationaryFuelMeters,0),ROUNDUP((COLUMN()+1)/3-2,0))),"")</f>
        <v/>
      </c>
      <c r="AK311" s="127"/>
      <c r="AL311" s="127"/>
      <c r="AM311" s="58" t="str" cm="1">
        <f>IFERROR(IF(ISBLANK($A311),"",INDEX(Array_StationaryCharges,MATCH($A311,List_StationaryFuelMeters,0),ROUNDUP((COLUMN()+1)/3-2,0))),"")</f>
        <v/>
      </c>
      <c r="AN311" s="127"/>
      <c r="AO311" s="127"/>
      <c r="AP311" s="58" t="str" cm="1">
        <f>IFERROR(IF(ISBLANK($A311),"",INDEX(Array_StationaryCharges,MATCH($A311,List_StationaryFuelMeters,0),ROUNDUP((COLUMN()+1)/3-2,0))),"")</f>
        <v/>
      </c>
      <c r="AQ311" s="127"/>
      <c r="AR311" s="127"/>
      <c r="AS311" s="58" t="str" cm="1">
        <f>IFERROR(IF(ISBLANK($A311),"",INDEX(Array_StationaryCharges,MATCH($A311,List_StationaryFuelMeters,0),ROUNDUP((COLUMN()+1)/3-2,0))),"")</f>
        <v/>
      </c>
      <c r="AT311" s="127"/>
      <c r="AU311" s="127"/>
      <c r="AV311" s="58" t="str" cm="1">
        <f>IFERROR(IF(ISBLANK($A311),"",INDEX(Array_StationaryCharges,MATCH($A311,List_StationaryFuelMeters,0),ROUNDUP((COLUMN()+1)/3-2,0))),"")</f>
        <v/>
      </c>
      <c r="AW311" s="127"/>
      <c r="AX311" s="127"/>
    </row>
    <row r="312" spans="1:50" x14ac:dyDescent="0.3">
      <c r="A312" s="126"/>
      <c r="B312" s="133"/>
      <c r="C312" s="127"/>
      <c r="D312" s="138"/>
      <c r="E312" s="138"/>
      <c r="F312" s="58" t="str" cm="1">
        <f>IFERROR(IF(ISBLANK($A312),"",INDEX(Array_StationaryCharges,MATCH($A312,List_StationaryFuelMeters,0),ROUNDUP((COLUMN()+1)/3-2,0))),"")</f>
        <v/>
      </c>
      <c r="G312" s="127"/>
      <c r="H312" s="127"/>
      <c r="I312" s="58" t="str" cm="1">
        <f>IFERROR(IF(ISBLANK($A312),"",INDEX(Array_StationaryCharges,MATCH($A312,List_StationaryFuelMeters,0),ROUNDUP((COLUMN()+1)/3-2,0))),"")</f>
        <v/>
      </c>
      <c r="J312" s="127"/>
      <c r="K312" s="127"/>
      <c r="L312" s="58" t="str" cm="1">
        <f>IFERROR(IF(ISBLANK($A312),"",INDEX(Array_StationaryCharges,MATCH($A312,List_StationaryFuelMeters,0),ROUNDUP((COLUMN()+1)/3-2,0))),"")</f>
        <v/>
      </c>
      <c r="M312" s="127"/>
      <c r="N312" s="127"/>
      <c r="O312" s="58" t="str" cm="1">
        <f>IFERROR(IF(ISBLANK($A312),"",INDEX(Array_StationaryCharges,MATCH($A312,List_StationaryFuelMeters,0),ROUNDUP((COLUMN()+1)/3-2,0))),"")</f>
        <v/>
      </c>
      <c r="P312" s="127"/>
      <c r="Q312" s="127"/>
      <c r="R312" s="58" t="str" cm="1">
        <f>IFERROR(IF(ISBLANK($A312),"",INDEX(Array_StationaryCharges,MATCH($A312,List_StationaryFuelMeters,0),ROUNDUP((COLUMN()+1)/3-2,0))),"")</f>
        <v/>
      </c>
      <c r="S312" s="127"/>
      <c r="T312" s="127"/>
      <c r="U312" s="58" t="str" cm="1">
        <f>IFERROR(IF(ISBLANK($A312),"",INDEX(Array_StationaryCharges,MATCH($A312,List_StationaryFuelMeters,0),ROUNDUP((COLUMN()+1)/3-2,0))),"")</f>
        <v/>
      </c>
      <c r="V312" s="127"/>
      <c r="W312" s="127"/>
      <c r="X312" s="58" t="str" cm="1">
        <f>IFERROR(IF(ISBLANK($A312),"",INDEX(Array_StationaryCharges,MATCH($A312,List_StationaryFuelMeters,0),ROUNDUP((COLUMN()+1)/3-2,0))),"")</f>
        <v/>
      </c>
      <c r="Y312" s="127"/>
      <c r="Z312" s="127"/>
      <c r="AA312" s="58" t="str" cm="1">
        <f>IFERROR(IF(ISBLANK($A312),"",INDEX(Array_StationaryCharges,MATCH($A312,List_StationaryFuelMeters,0),ROUNDUP((COLUMN()+1)/3-2,0))),"")</f>
        <v/>
      </c>
      <c r="AB312" s="127"/>
      <c r="AC312" s="127"/>
      <c r="AD312" s="58" t="str" cm="1">
        <f>IFERROR(IF(ISBLANK($A312),"",INDEX(Array_StationaryCharges,MATCH($A312,List_StationaryFuelMeters,0),ROUNDUP((COLUMN()+1)/3-2,0))),"")</f>
        <v/>
      </c>
      <c r="AE312" s="127"/>
      <c r="AF312" s="127"/>
      <c r="AG312" s="58" t="str" cm="1">
        <f>IFERROR(IF(ISBLANK($A312),"",INDEX(Array_StationaryCharges,MATCH($A312,List_StationaryFuelMeters,0),ROUNDUP((COLUMN()+1)/3-2,0))),"")</f>
        <v/>
      </c>
      <c r="AH312" s="127"/>
      <c r="AI312" s="127"/>
      <c r="AJ312" s="58" t="str" cm="1">
        <f>IFERROR(IF(ISBLANK($A312),"",INDEX(Array_StationaryCharges,MATCH($A312,List_StationaryFuelMeters,0),ROUNDUP((COLUMN()+1)/3-2,0))),"")</f>
        <v/>
      </c>
      <c r="AK312" s="127"/>
      <c r="AL312" s="127"/>
      <c r="AM312" s="58" t="str" cm="1">
        <f>IFERROR(IF(ISBLANK($A312),"",INDEX(Array_StationaryCharges,MATCH($A312,List_StationaryFuelMeters,0),ROUNDUP((COLUMN()+1)/3-2,0))),"")</f>
        <v/>
      </c>
      <c r="AN312" s="127"/>
      <c r="AO312" s="127"/>
      <c r="AP312" s="58" t="str" cm="1">
        <f>IFERROR(IF(ISBLANK($A312),"",INDEX(Array_StationaryCharges,MATCH($A312,List_StationaryFuelMeters,0),ROUNDUP((COLUMN()+1)/3-2,0))),"")</f>
        <v/>
      </c>
      <c r="AQ312" s="127"/>
      <c r="AR312" s="127"/>
      <c r="AS312" s="58" t="str" cm="1">
        <f>IFERROR(IF(ISBLANK($A312),"",INDEX(Array_StationaryCharges,MATCH($A312,List_StationaryFuelMeters,0),ROUNDUP((COLUMN()+1)/3-2,0))),"")</f>
        <v/>
      </c>
      <c r="AT312" s="127"/>
      <c r="AU312" s="127"/>
      <c r="AV312" s="58" t="str" cm="1">
        <f>IFERROR(IF(ISBLANK($A312),"",INDEX(Array_StationaryCharges,MATCH($A312,List_StationaryFuelMeters,0),ROUNDUP((COLUMN()+1)/3-2,0))),"")</f>
        <v/>
      </c>
      <c r="AW312" s="127"/>
      <c r="AX312" s="127"/>
    </row>
    <row r="313" spans="1:50" x14ac:dyDescent="0.3">
      <c r="A313" s="126"/>
      <c r="B313" s="133"/>
      <c r="C313" s="127"/>
      <c r="D313" s="138"/>
      <c r="E313" s="138"/>
      <c r="F313" s="58" t="str" cm="1">
        <f>IFERROR(IF(ISBLANK($A313),"",INDEX(Array_StationaryCharges,MATCH($A313,List_StationaryFuelMeters,0),ROUNDUP((COLUMN()+1)/3-2,0))),"")</f>
        <v/>
      </c>
      <c r="G313" s="127"/>
      <c r="H313" s="127"/>
      <c r="I313" s="58" t="str" cm="1">
        <f>IFERROR(IF(ISBLANK($A313),"",INDEX(Array_StationaryCharges,MATCH($A313,List_StationaryFuelMeters,0),ROUNDUP((COLUMN()+1)/3-2,0))),"")</f>
        <v/>
      </c>
      <c r="J313" s="127"/>
      <c r="K313" s="127"/>
      <c r="L313" s="58" t="str" cm="1">
        <f>IFERROR(IF(ISBLANK($A313),"",INDEX(Array_StationaryCharges,MATCH($A313,List_StationaryFuelMeters,0),ROUNDUP((COLUMN()+1)/3-2,0))),"")</f>
        <v/>
      </c>
      <c r="M313" s="127"/>
      <c r="N313" s="127"/>
      <c r="O313" s="58" t="str" cm="1">
        <f>IFERROR(IF(ISBLANK($A313),"",INDEX(Array_StationaryCharges,MATCH($A313,List_StationaryFuelMeters,0),ROUNDUP((COLUMN()+1)/3-2,0))),"")</f>
        <v/>
      </c>
      <c r="P313" s="127"/>
      <c r="Q313" s="127"/>
      <c r="R313" s="58" t="str" cm="1">
        <f>IFERROR(IF(ISBLANK($A313),"",INDEX(Array_StationaryCharges,MATCH($A313,List_StationaryFuelMeters,0),ROUNDUP((COLUMN()+1)/3-2,0))),"")</f>
        <v/>
      </c>
      <c r="S313" s="127"/>
      <c r="T313" s="127"/>
      <c r="U313" s="58" t="str" cm="1">
        <f>IFERROR(IF(ISBLANK($A313),"",INDEX(Array_StationaryCharges,MATCH($A313,List_StationaryFuelMeters,0),ROUNDUP((COLUMN()+1)/3-2,0))),"")</f>
        <v/>
      </c>
      <c r="V313" s="127"/>
      <c r="W313" s="127"/>
      <c r="X313" s="58" t="str" cm="1">
        <f>IFERROR(IF(ISBLANK($A313),"",INDEX(Array_StationaryCharges,MATCH($A313,List_StationaryFuelMeters,0),ROUNDUP((COLUMN()+1)/3-2,0))),"")</f>
        <v/>
      </c>
      <c r="Y313" s="127"/>
      <c r="Z313" s="127"/>
      <c r="AA313" s="58" t="str" cm="1">
        <f>IFERROR(IF(ISBLANK($A313),"",INDEX(Array_StationaryCharges,MATCH($A313,List_StationaryFuelMeters,0),ROUNDUP((COLUMN()+1)/3-2,0))),"")</f>
        <v/>
      </c>
      <c r="AB313" s="127"/>
      <c r="AC313" s="127"/>
      <c r="AD313" s="58" t="str" cm="1">
        <f>IFERROR(IF(ISBLANK($A313),"",INDEX(Array_StationaryCharges,MATCH($A313,List_StationaryFuelMeters,0),ROUNDUP((COLUMN()+1)/3-2,0))),"")</f>
        <v/>
      </c>
      <c r="AE313" s="127"/>
      <c r="AF313" s="127"/>
      <c r="AG313" s="58" t="str" cm="1">
        <f>IFERROR(IF(ISBLANK($A313),"",INDEX(Array_StationaryCharges,MATCH($A313,List_StationaryFuelMeters,0),ROUNDUP((COLUMN()+1)/3-2,0))),"")</f>
        <v/>
      </c>
      <c r="AH313" s="127"/>
      <c r="AI313" s="127"/>
      <c r="AJ313" s="58" t="str" cm="1">
        <f>IFERROR(IF(ISBLANK($A313),"",INDEX(Array_StationaryCharges,MATCH($A313,List_StationaryFuelMeters,0),ROUNDUP((COLUMN()+1)/3-2,0))),"")</f>
        <v/>
      </c>
      <c r="AK313" s="127"/>
      <c r="AL313" s="127"/>
      <c r="AM313" s="58" t="str" cm="1">
        <f>IFERROR(IF(ISBLANK($A313),"",INDEX(Array_StationaryCharges,MATCH($A313,List_StationaryFuelMeters,0),ROUNDUP((COLUMN()+1)/3-2,0))),"")</f>
        <v/>
      </c>
      <c r="AN313" s="127"/>
      <c r="AO313" s="127"/>
      <c r="AP313" s="58" t="str" cm="1">
        <f>IFERROR(IF(ISBLANK($A313),"",INDEX(Array_StationaryCharges,MATCH($A313,List_StationaryFuelMeters,0),ROUNDUP((COLUMN()+1)/3-2,0))),"")</f>
        <v/>
      </c>
      <c r="AQ313" s="127"/>
      <c r="AR313" s="127"/>
      <c r="AS313" s="58" t="str" cm="1">
        <f>IFERROR(IF(ISBLANK($A313),"",INDEX(Array_StationaryCharges,MATCH($A313,List_StationaryFuelMeters,0),ROUNDUP((COLUMN()+1)/3-2,0))),"")</f>
        <v/>
      </c>
      <c r="AT313" s="127"/>
      <c r="AU313" s="127"/>
      <c r="AV313" s="58" t="str" cm="1">
        <f>IFERROR(IF(ISBLANK($A313),"",INDEX(Array_StationaryCharges,MATCH($A313,List_StationaryFuelMeters,0),ROUNDUP((COLUMN()+1)/3-2,0))),"")</f>
        <v/>
      </c>
      <c r="AW313" s="127"/>
      <c r="AX313" s="127"/>
    </row>
    <row r="314" spans="1:50" x14ac:dyDescent="0.3">
      <c r="A314" s="126"/>
      <c r="B314" s="133"/>
      <c r="C314" s="127"/>
      <c r="D314" s="138"/>
      <c r="E314" s="138"/>
      <c r="F314" s="58" t="str" cm="1">
        <f>IFERROR(IF(ISBLANK($A314),"",INDEX(Array_StationaryCharges,MATCH($A314,List_StationaryFuelMeters,0),ROUNDUP((COLUMN()+1)/3-2,0))),"")</f>
        <v/>
      </c>
      <c r="G314" s="127"/>
      <c r="H314" s="127"/>
      <c r="I314" s="58" t="str" cm="1">
        <f>IFERROR(IF(ISBLANK($A314),"",INDEX(Array_StationaryCharges,MATCH($A314,List_StationaryFuelMeters,0),ROUNDUP((COLUMN()+1)/3-2,0))),"")</f>
        <v/>
      </c>
      <c r="J314" s="127"/>
      <c r="K314" s="127"/>
      <c r="L314" s="58" t="str" cm="1">
        <f>IFERROR(IF(ISBLANK($A314),"",INDEX(Array_StationaryCharges,MATCH($A314,List_StationaryFuelMeters,0),ROUNDUP((COLUMN()+1)/3-2,0))),"")</f>
        <v/>
      </c>
      <c r="M314" s="127"/>
      <c r="N314" s="127"/>
      <c r="O314" s="58" t="str" cm="1">
        <f>IFERROR(IF(ISBLANK($A314),"",INDEX(Array_StationaryCharges,MATCH($A314,List_StationaryFuelMeters,0),ROUNDUP((COLUMN()+1)/3-2,0))),"")</f>
        <v/>
      </c>
      <c r="P314" s="127"/>
      <c r="Q314" s="127"/>
      <c r="R314" s="58" t="str" cm="1">
        <f>IFERROR(IF(ISBLANK($A314),"",INDEX(Array_StationaryCharges,MATCH($A314,List_StationaryFuelMeters,0),ROUNDUP((COLUMN()+1)/3-2,0))),"")</f>
        <v/>
      </c>
      <c r="S314" s="127"/>
      <c r="T314" s="127"/>
      <c r="U314" s="58" t="str" cm="1">
        <f>IFERROR(IF(ISBLANK($A314),"",INDEX(Array_StationaryCharges,MATCH($A314,List_StationaryFuelMeters,0),ROUNDUP((COLUMN()+1)/3-2,0))),"")</f>
        <v/>
      </c>
      <c r="V314" s="127"/>
      <c r="W314" s="127"/>
      <c r="X314" s="58" t="str" cm="1">
        <f>IFERROR(IF(ISBLANK($A314),"",INDEX(Array_StationaryCharges,MATCH($A314,List_StationaryFuelMeters,0),ROUNDUP((COLUMN()+1)/3-2,0))),"")</f>
        <v/>
      </c>
      <c r="Y314" s="127"/>
      <c r="Z314" s="127"/>
      <c r="AA314" s="58" t="str" cm="1">
        <f>IFERROR(IF(ISBLANK($A314),"",INDEX(Array_StationaryCharges,MATCH($A314,List_StationaryFuelMeters,0),ROUNDUP((COLUMN()+1)/3-2,0))),"")</f>
        <v/>
      </c>
      <c r="AB314" s="127"/>
      <c r="AC314" s="127"/>
      <c r="AD314" s="58" t="str" cm="1">
        <f>IFERROR(IF(ISBLANK($A314),"",INDEX(Array_StationaryCharges,MATCH($A314,List_StationaryFuelMeters,0),ROUNDUP((COLUMN()+1)/3-2,0))),"")</f>
        <v/>
      </c>
      <c r="AE314" s="127"/>
      <c r="AF314" s="127"/>
      <c r="AG314" s="58" t="str" cm="1">
        <f>IFERROR(IF(ISBLANK($A314),"",INDEX(Array_StationaryCharges,MATCH($A314,List_StationaryFuelMeters,0),ROUNDUP((COLUMN()+1)/3-2,0))),"")</f>
        <v/>
      </c>
      <c r="AH314" s="127"/>
      <c r="AI314" s="127"/>
      <c r="AJ314" s="58" t="str" cm="1">
        <f>IFERROR(IF(ISBLANK($A314),"",INDEX(Array_StationaryCharges,MATCH($A314,List_StationaryFuelMeters,0),ROUNDUP((COLUMN()+1)/3-2,0))),"")</f>
        <v/>
      </c>
      <c r="AK314" s="127"/>
      <c r="AL314" s="127"/>
      <c r="AM314" s="58" t="str" cm="1">
        <f>IFERROR(IF(ISBLANK($A314),"",INDEX(Array_StationaryCharges,MATCH($A314,List_StationaryFuelMeters,0),ROUNDUP((COLUMN()+1)/3-2,0))),"")</f>
        <v/>
      </c>
      <c r="AN314" s="127"/>
      <c r="AO314" s="127"/>
      <c r="AP314" s="58" t="str" cm="1">
        <f>IFERROR(IF(ISBLANK($A314),"",INDEX(Array_StationaryCharges,MATCH($A314,List_StationaryFuelMeters,0),ROUNDUP((COLUMN()+1)/3-2,0))),"")</f>
        <v/>
      </c>
      <c r="AQ314" s="127"/>
      <c r="AR314" s="127"/>
      <c r="AS314" s="58" t="str" cm="1">
        <f>IFERROR(IF(ISBLANK($A314),"",INDEX(Array_StationaryCharges,MATCH($A314,List_StationaryFuelMeters,0),ROUNDUP((COLUMN()+1)/3-2,0))),"")</f>
        <v/>
      </c>
      <c r="AT314" s="127"/>
      <c r="AU314" s="127"/>
      <c r="AV314" s="58" t="str" cm="1">
        <f>IFERROR(IF(ISBLANK($A314),"",INDEX(Array_StationaryCharges,MATCH($A314,List_StationaryFuelMeters,0),ROUNDUP((COLUMN()+1)/3-2,0))),"")</f>
        <v/>
      </c>
      <c r="AW314" s="127"/>
      <c r="AX314" s="127"/>
    </row>
    <row r="315" spans="1:50" x14ac:dyDescent="0.3">
      <c r="A315" s="126"/>
      <c r="B315" s="133"/>
      <c r="C315" s="127"/>
      <c r="D315" s="138"/>
      <c r="E315" s="138"/>
      <c r="F315" s="58" t="str" cm="1">
        <f>IFERROR(IF(ISBLANK($A315),"",INDEX(Array_StationaryCharges,MATCH($A315,List_StationaryFuelMeters,0),ROUNDUP((COLUMN()+1)/3-2,0))),"")</f>
        <v/>
      </c>
      <c r="G315" s="127"/>
      <c r="H315" s="127"/>
      <c r="I315" s="58" t="str" cm="1">
        <f>IFERROR(IF(ISBLANK($A315),"",INDEX(Array_StationaryCharges,MATCH($A315,List_StationaryFuelMeters,0),ROUNDUP((COLUMN()+1)/3-2,0))),"")</f>
        <v/>
      </c>
      <c r="J315" s="127"/>
      <c r="K315" s="127"/>
      <c r="L315" s="58" t="str" cm="1">
        <f>IFERROR(IF(ISBLANK($A315),"",INDEX(Array_StationaryCharges,MATCH($A315,List_StationaryFuelMeters,0),ROUNDUP((COLUMN()+1)/3-2,0))),"")</f>
        <v/>
      </c>
      <c r="M315" s="127"/>
      <c r="N315" s="127"/>
      <c r="O315" s="58" t="str" cm="1">
        <f>IFERROR(IF(ISBLANK($A315),"",INDEX(Array_StationaryCharges,MATCH($A315,List_StationaryFuelMeters,0),ROUNDUP((COLUMN()+1)/3-2,0))),"")</f>
        <v/>
      </c>
      <c r="P315" s="127"/>
      <c r="Q315" s="127"/>
      <c r="R315" s="58" t="str" cm="1">
        <f>IFERROR(IF(ISBLANK($A315),"",INDEX(Array_StationaryCharges,MATCH($A315,List_StationaryFuelMeters,0),ROUNDUP((COLUMN()+1)/3-2,0))),"")</f>
        <v/>
      </c>
      <c r="S315" s="127"/>
      <c r="T315" s="127"/>
      <c r="U315" s="58" t="str" cm="1">
        <f>IFERROR(IF(ISBLANK($A315),"",INDEX(Array_StationaryCharges,MATCH($A315,List_StationaryFuelMeters,0),ROUNDUP((COLUMN()+1)/3-2,0))),"")</f>
        <v/>
      </c>
      <c r="V315" s="127"/>
      <c r="W315" s="127"/>
      <c r="X315" s="58" t="str" cm="1">
        <f>IFERROR(IF(ISBLANK($A315),"",INDEX(Array_StationaryCharges,MATCH($A315,List_StationaryFuelMeters,0),ROUNDUP((COLUMN()+1)/3-2,0))),"")</f>
        <v/>
      </c>
      <c r="Y315" s="127"/>
      <c r="Z315" s="127"/>
      <c r="AA315" s="58" t="str" cm="1">
        <f>IFERROR(IF(ISBLANK($A315),"",INDEX(Array_StationaryCharges,MATCH($A315,List_StationaryFuelMeters,0),ROUNDUP((COLUMN()+1)/3-2,0))),"")</f>
        <v/>
      </c>
      <c r="AB315" s="127"/>
      <c r="AC315" s="127"/>
      <c r="AD315" s="58" t="str" cm="1">
        <f>IFERROR(IF(ISBLANK($A315),"",INDEX(Array_StationaryCharges,MATCH($A315,List_StationaryFuelMeters,0),ROUNDUP((COLUMN()+1)/3-2,0))),"")</f>
        <v/>
      </c>
      <c r="AE315" s="127"/>
      <c r="AF315" s="127"/>
      <c r="AG315" s="58" t="str" cm="1">
        <f>IFERROR(IF(ISBLANK($A315),"",INDEX(Array_StationaryCharges,MATCH($A315,List_StationaryFuelMeters,0),ROUNDUP((COLUMN()+1)/3-2,0))),"")</f>
        <v/>
      </c>
      <c r="AH315" s="127"/>
      <c r="AI315" s="127"/>
      <c r="AJ315" s="58" t="str" cm="1">
        <f>IFERROR(IF(ISBLANK($A315),"",INDEX(Array_StationaryCharges,MATCH($A315,List_StationaryFuelMeters,0),ROUNDUP((COLUMN()+1)/3-2,0))),"")</f>
        <v/>
      </c>
      <c r="AK315" s="127"/>
      <c r="AL315" s="127"/>
      <c r="AM315" s="58" t="str" cm="1">
        <f>IFERROR(IF(ISBLANK($A315),"",INDEX(Array_StationaryCharges,MATCH($A315,List_StationaryFuelMeters,0),ROUNDUP((COLUMN()+1)/3-2,0))),"")</f>
        <v/>
      </c>
      <c r="AN315" s="127"/>
      <c r="AO315" s="127"/>
      <c r="AP315" s="58" t="str" cm="1">
        <f>IFERROR(IF(ISBLANK($A315),"",INDEX(Array_StationaryCharges,MATCH($A315,List_StationaryFuelMeters,0),ROUNDUP((COLUMN()+1)/3-2,0))),"")</f>
        <v/>
      </c>
      <c r="AQ315" s="127"/>
      <c r="AR315" s="127"/>
      <c r="AS315" s="58" t="str" cm="1">
        <f>IFERROR(IF(ISBLANK($A315),"",INDEX(Array_StationaryCharges,MATCH($A315,List_StationaryFuelMeters,0),ROUNDUP((COLUMN()+1)/3-2,0))),"")</f>
        <v/>
      </c>
      <c r="AT315" s="127"/>
      <c r="AU315" s="127"/>
      <c r="AV315" s="58" t="str" cm="1">
        <f>IFERROR(IF(ISBLANK($A315),"",INDEX(Array_StationaryCharges,MATCH($A315,List_StationaryFuelMeters,0),ROUNDUP((COLUMN()+1)/3-2,0))),"")</f>
        <v/>
      </c>
      <c r="AW315" s="127"/>
      <c r="AX315" s="127"/>
    </row>
    <row r="316" spans="1:50" x14ac:dyDescent="0.3">
      <c r="A316" s="126"/>
      <c r="B316" s="133"/>
      <c r="C316" s="127"/>
      <c r="D316" s="138"/>
      <c r="E316" s="138"/>
      <c r="F316" s="58" t="str" cm="1">
        <f>IFERROR(IF(ISBLANK($A316),"",INDEX(Array_StationaryCharges,MATCH($A316,List_StationaryFuelMeters,0),ROUNDUP((COLUMN()+1)/3-2,0))),"")</f>
        <v/>
      </c>
      <c r="G316" s="127"/>
      <c r="H316" s="127"/>
      <c r="I316" s="58" t="str" cm="1">
        <f>IFERROR(IF(ISBLANK($A316),"",INDEX(Array_StationaryCharges,MATCH($A316,List_StationaryFuelMeters,0),ROUNDUP((COLUMN()+1)/3-2,0))),"")</f>
        <v/>
      </c>
      <c r="J316" s="127"/>
      <c r="K316" s="127"/>
      <c r="L316" s="58" t="str" cm="1">
        <f>IFERROR(IF(ISBLANK($A316),"",INDEX(Array_StationaryCharges,MATCH($A316,List_StationaryFuelMeters,0),ROUNDUP((COLUMN()+1)/3-2,0))),"")</f>
        <v/>
      </c>
      <c r="M316" s="127"/>
      <c r="N316" s="127"/>
      <c r="O316" s="58" t="str" cm="1">
        <f>IFERROR(IF(ISBLANK($A316),"",INDEX(Array_StationaryCharges,MATCH($A316,List_StationaryFuelMeters,0),ROUNDUP((COLUMN()+1)/3-2,0))),"")</f>
        <v/>
      </c>
      <c r="P316" s="127"/>
      <c r="Q316" s="127"/>
      <c r="R316" s="58" t="str" cm="1">
        <f>IFERROR(IF(ISBLANK($A316),"",INDEX(Array_StationaryCharges,MATCH($A316,List_StationaryFuelMeters,0),ROUNDUP((COLUMN()+1)/3-2,0))),"")</f>
        <v/>
      </c>
      <c r="S316" s="127"/>
      <c r="T316" s="127"/>
      <c r="U316" s="58" t="str" cm="1">
        <f>IFERROR(IF(ISBLANK($A316),"",INDEX(Array_StationaryCharges,MATCH($A316,List_StationaryFuelMeters,0),ROUNDUP((COLUMN()+1)/3-2,0))),"")</f>
        <v/>
      </c>
      <c r="V316" s="127"/>
      <c r="W316" s="127"/>
      <c r="X316" s="58" t="str" cm="1">
        <f>IFERROR(IF(ISBLANK($A316),"",INDEX(Array_StationaryCharges,MATCH($A316,List_StationaryFuelMeters,0),ROUNDUP((COLUMN()+1)/3-2,0))),"")</f>
        <v/>
      </c>
      <c r="Y316" s="127"/>
      <c r="Z316" s="127"/>
      <c r="AA316" s="58" t="str" cm="1">
        <f>IFERROR(IF(ISBLANK($A316),"",INDEX(Array_StationaryCharges,MATCH($A316,List_StationaryFuelMeters,0),ROUNDUP((COLUMN()+1)/3-2,0))),"")</f>
        <v/>
      </c>
      <c r="AB316" s="127"/>
      <c r="AC316" s="127"/>
      <c r="AD316" s="58" t="str" cm="1">
        <f>IFERROR(IF(ISBLANK($A316),"",INDEX(Array_StationaryCharges,MATCH($A316,List_StationaryFuelMeters,0),ROUNDUP((COLUMN()+1)/3-2,0))),"")</f>
        <v/>
      </c>
      <c r="AE316" s="127"/>
      <c r="AF316" s="127"/>
      <c r="AG316" s="58" t="str" cm="1">
        <f>IFERROR(IF(ISBLANK($A316),"",INDEX(Array_StationaryCharges,MATCH($A316,List_StationaryFuelMeters,0),ROUNDUP((COLUMN()+1)/3-2,0))),"")</f>
        <v/>
      </c>
      <c r="AH316" s="127"/>
      <c r="AI316" s="127"/>
      <c r="AJ316" s="58" t="str" cm="1">
        <f>IFERROR(IF(ISBLANK($A316),"",INDEX(Array_StationaryCharges,MATCH($A316,List_StationaryFuelMeters,0),ROUNDUP((COLUMN()+1)/3-2,0))),"")</f>
        <v/>
      </c>
      <c r="AK316" s="127"/>
      <c r="AL316" s="127"/>
      <c r="AM316" s="58" t="str" cm="1">
        <f>IFERROR(IF(ISBLANK($A316),"",INDEX(Array_StationaryCharges,MATCH($A316,List_StationaryFuelMeters,0),ROUNDUP((COLUMN()+1)/3-2,0))),"")</f>
        <v/>
      </c>
      <c r="AN316" s="127"/>
      <c r="AO316" s="127"/>
      <c r="AP316" s="58" t="str" cm="1">
        <f>IFERROR(IF(ISBLANK($A316),"",INDEX(Array_StationaryCharges,MATCH($A316,List_StationaryFuelMeters,0),ROUNDUP((COLUMN()+1)/3-2,0))),"")</f>
        <v/>
      </c>
      <c r="AQ316" s="127"/>
      <c r="AR316" s="127"/>
      <c r="AS316" s="58" t="str" cm="1">
        <f>IFERROR(IF(ISBLANK($A316),"",INDEX(Array_StationaryCharges,MATCH($A316,List_StationaryFuelMeters,0),ROUNDUP((COLUMN()+1)/3-2,0))),"")</f>
        <v/>
      </c>
      <c r="AT316" s="127"/>
      <c r="AU316" s="127"/>
      <c r="AV316" s="58" t="str" cm="1">
        <f>IFERROR(IF(ISBLANK($A316),"",INDEX(Array_StationaryCharges,MATCH($A316,List_StationaryFuelMeters,0),ROUNDUP((COLUMN()+1)/3-2,0))),"")</f>
        <v/>
      </c>
      <c r="AW316" s="127"/>
      <c r="AX316" s="127"/>
    </row>
    <row r="317" spans="1:50" x14ac:dyDescent="0.3">
      <c r="A317" s="126"/>
      <c r="B317" s="133"/>
      <c r="C317" s="127"/>
      <c r="D317" s="138"/>
      <c r="E317" s="138"/>
      <c r="F317" s="58" t="str" cm="1">
        <f>IFERROR(IF(ISBLANK($A317),"",INDEX(Array_StationaryCharges,MATCH($A317,List_StationaryFuelMeters,0),ROUNDUP((COLUMN()+1)/3-2,0))),"")</f>
        <v/>
      </c>
      <c r="G317" s="127"/>
      <c r="H317" s="127"/>
      <c r="I317" s="58" t="str" cm="1">
        <f>IFERROR(IF(ISBLANK($A317),"",INDEX(Array_StationaryCharges,MATCH($A317,List_StationaryFuelMeters,0),ROUNDUP((COLUMN()+1)/3-2,0))),"")</f>
        <v/>
      </c>
      <c r="J317" s="127"/>
      <c r="K317" s="127"/>
      <c r="L317" s="58" t="str" cm="1">
        <f>IFERROR(IF(ISBLANK($A317),"",INDEX(Array_StationaryCharges,MATCH($A317,List_StationaryFuelMeters,0),ROUNDUP((COLUMN()+1)/3-2,0))),"")</f>
        <v/>
      </c>
      <c r="M317" s="127"/>
      <c r="N317" s="127"/>
      <c r="O317" s="58" t="str" cm="1">
        <f>IFERROR(IF(ISBLANK($A317),"",INDEX(Array_StationaryCharges,MATCH($A317,List_StationaryFuelMeters,0),ROUNDUP((COLUMN()+1)/3-2,0))),"")</f>
        <v/>
      </c>
      <c r="P317" s="127"/>
      <c r="Q317" s="127"/>
      <c r="R317" s="58" t="str" cm="1">
        <f>IFERROR(IF(ISBLANK($A317),"",INDEX(Array_StationaryCharges,MATCH($A317,List_StationaryFuelMeters,0),ROUNDUP((COLUMN()+1)/3-2,0))),"")</f>
        <v/>
      </c>
      <c r="S317" s="127"/>
      <c r="T317" s="127"/>
      <c r="U317" s="58" t="str" cm="1">
        <f>IFERROR(IF(ISBLANK($A317),"",INDEX(Array_StationaryCharges,MATCH($A317,List_StationaryFuelMeters,0),ROUNDUP((COLUMN()+1)/3-2,0))),"")</f>
        <v/>
      </c>
      <c r="V317" s="127"/>
      <c r="W317" s="127"/>
      <c r="X317" s="58" t="str" cm="1">
        <f>IFERROR(IF(ISBLANK($A317),"",INDEX(Array_StationaryCharges,MATCH($A317,List_StationaryFuelMeters,0),ROUNDUP((COLUMN()+1)/3-2,0))),"")</f>
        <v/>
      </c>
      <c r="Y317" s="127"/>
      <c r="Z317" s="127"/>
      <c r="AA317" s="58" t="str" cm="1">
        <f>IFERROR(IF(ISBLANK($A317),"",INDEX(Array_StationaryCharges,MATCH($A317,List_StationaryFuelMeters,0),ROUNDUP((COLUMN()+1)/3-2,0))),"")</f>
        <v/>
      </c>
      <c r="AB317" s="127"/>
      <c r="AC317" s="127"/>
      <c r="AD317" s="58" t="str" cm="1">
        <f>IFERROR(IF(ISBLANK($A317),"",INDEX(Array_StationaryCharges,MATCH($A317,List_StationaryFuelMeters,0),ROUNDUP((COLUMN()+1)/3-2,0))),"")</f>
        <v/>
      </c>
      <c r="AE317" s="127"/>
      <c r="AF317" s="127"/>
      <c r="AG317" s="58" t="str" cm="1">
        <f>IFERROR(IF(ISBLANK($A317),"",INDEX(Array_StationaryCharges,MATCH($A317,List_StationaryFuelMeters,0),ROUNDUP((COLUMN()+1)/3-2,0))),"")</f>
        <v/>
      </c>
      <c r="AH317" s="127"/>
      <c r="AI317" s="127"/>
      <c r="AJ317" s="58" t="str" cm="1">
        <f>IFERROR(IF(ISBLANK($A317),"",INDEX(Array_StationaryCharges,MATCH($A317,List_StationaryFuelMeters,0),ROUNDUP((COLUMN()+1)/3-2,0))),"")</f>
        <v/>
      </c>
      <c r="AK317" s="127"/>
      <c r="AL317" s="127"/>
      <c r="AM317" s="58" t="str" cm="1">
        <f>IFERROR(IF(ISBLANK($A317),"",INDEX(Array_StationaryCharges,MATCH($A317,List_StationaryFuelMeters,0),ROUNDUP((COLUMN()+1)/3-2,0))),"")</f>
        <v/>
      </c>
      <c r="AN317" s="127"/>
      <c r="AO317" s="127"/>
      <c r="AP317" s="58" t="str" cm="1">
        <f>IFERROR(IF(ISBLANK($A317),"",INDEX(Array_StationaryCharges,MATCH($A317,List_StationaryFuelMeters,0),ROUNDUP((COLUMN()+1)/3-2,0))),"")</f>
        <v/>
      </c>
      <c r="AQ317" s="127"/>
      <c r="AR317" s="127"/>
      <c r="AS317" s="58" t="str" cm="1">
        <f>IFERROR(IF(ISBLANK($A317),"",INDEX(Array_StationaryCharges,MATCH($A317,List_StationaryFuelMeters,0),ROUNDUP((COLUMN()+1)/3-2,0))),"")</f>
        <v/>
      </c>
      <c r="AT317" s="127"/>
      <c r="AU317" s="127"/>
      <c r="AV317" s="58" t="str" cm="1">
        <f>IFERROR(IF(ISBLANK($A317),"",INDEX(Array_StationaryCharges,MATCH($A317,List_StationaryFuelMeters,0),ROUNDUP((COLUMN()+1)/3-2,0))),"")</f>
        <v/>
      </c>
      <c r="AW317" s="127"/>
      <c r="AX317" s="127"/>
    </row>
    <row r="318" spans="1:50" x14ac:dyDescent="0.3">
      <c r="A318" s="126"/>
      <c r="B318" s="133"/>
      <c r="C318" s="127"/>
      <c r="D318" s="138"/>
      <c r="E318" s="138"/>
      <c r="F318" s="58" t="str" cm="1">
        <f>IFERROR(IF(ISBLANK($A318),"",INDEX(Array_StationaryCharges,MATCH($A318,List_StationaryFuelMeters,0),ROUNDUP((COLUMN()+1)/3-2,0))),"")</f>
        <v/>
      </c>
      <c r="G318" s="127"/>
      <c r="H318" s="127"/>
      <c r="I318" s="58" t="str" cm="1">
        <f>IFERROR(IF(ISBLANK($A318),"",INDEX(Array_StationaryCharges,MATCH($A318,List_StationaryFuelMeters,0),ROUNDUP((COLUMN()+1)/3-2,0))),"")</f>
        <v/>
      </c>
      <c r="J318" s="127"/>
      <c r="K318" s="127"/>
      <c r="L318" s="58" t="str" cm="1">
        <f>IFERROR(IF(ISBLANK($A318),"",INDEX(Array_StationaryCharges,MATCH($A318,List_StationaryFuelMeters,0),ROUNDUP((COLUMN()+1)/3-2,0))),"")</f>
        <v/>
      </c>
      <c r="M318" s="127"/>
      <c r="N318" s="127"/>
      <c r="O318" s="58" t="str" cm="1">
        <f>IFERROR(IF(ISBLANK($A318),"",INDEX(Array_StationaryCharges,MATCH($A318,List_StationaryFuelMeters,0),ROUNDUP((COLUMN()+1)/3-2,0))),"")</f>
        <v/>
      </c>
      <c r="P318" s="127"/>
      <c r="Q318" s="127"/>
      <c r="R318" s="58" t="str" cm="1">
        <f>IFERROR(IF(ISBLANK($A318),"",INDEX(Array_StationaryCharges,MATCH($A318,List_StationaryFuelMeters,0),ROUNDUP((COLUMN()+1)/3-2,0))),"")</f>
        <v/>
      </c>
      <c r="S318" s="127"/>
      <c r="T318" s="127"/>
      <c r="U318" s="58" t="str" cm="1">
        <f>IFERROR(IF(ISBLANK($A318),"",INDEX(Array_StationaryCharges,MATCH($A318,List_StationaryFuelMeters,0),ROUNDUP((COLUMN()+1)/3-2,0))),"")</f>
        <v/>
      </c>
      <c r="V318" s="127"/>
      <c r="W318" s="127"/>
      <c r="X318" s="58" t="str" cm="1">
        <f>IFERROR(IF(ISBLANK($A318),"",INDEX(Array_StationaryCharges,MATCH($A318,List_StationaryFuelMeters,0),ROUNDUP((COLUMN()+1)/3-2,0))),"")</f>
        <v/>
      </c>
      <c r="Y318" s="127"/>
      <c r="Z318" s="127"/>
      <c r="AA318" s="58" t="str" cm="1">
        <f>IFERROR(IF(ISBLANK($A318),"",INDEX(Array_StationaryCharges,MATCH($A318,List_StationaryFuelMeters,0),ROUNDUP((COLUMN()+1)/3-2,0))),"")</f>
        <v/>
      </c>
      <c r="AB318" s="127"/>
      <c r="AC318" s="127"/>
      <c r="AD318" s="58" t="str" cm="1">
        <f>IFERROR(IF(ISBLANK($A318),"",INDEX(Array_StationaryCharges,MATCH($A318,List_StationaryFuelMeters,0),ROUNDUP((COLUMN()+1)/3-2,0))),"")</f>
        <v/>
      </c>
      <c r="AE318" s="127"/>
      <c r="AF318" s="127"/>
      <c r="AG318" s="58" t="str" cm="1">
        <f>IFERROR(IF(ISBLANK($A318),"",INDEX(Array_StationaryCharges,MATCH($A318,List_StationaryFuelMeters,0),ROUNDUP((COLUMN()+1)/3-2,0))),"")</f>
        <v/>
      </c>
      <c r="AH318" s="127"/>
      <c r="AI318" s="127"/>
      <c r="AJ318" s="58" t="str" cm="1">
        <f>IFERROR(IF(ISBLANK($A318),"",INDEX(Array_StationaryCharges,MATCH($A318,List_StationaryFuelMeters,0),ROUNDUP((COLUMN()+1)/3-2,0))),"")</f>
        <v/>
      </c>
      <c r="AK318" s="127"/>
      <c r="AL318" s="127"/>
      <c r="AM318" s="58" t="str" cm="1">
        <f>IFERROR(IF(ISBLANK($A318),"",INDEX(Array_StationaryCharges,MATCH($A318,List_StationaryFuelMeters,0),ROUNDUP((COLUMN()+1)/3-2,0))),"")</f>
        <v/>
      </c>
      <c r="AN318" s="127"/>
      <c r="AO318" s="127"/>
      <c r="AP318" s="58" t="str" cm="1">
        <f>IFERROR(IF(ISBLANK($A318),"",INDEX(Array_StationaryCharges,MATCH($A318,List_StationaryFuelMeters,0),ROUNDUP((COLUMN()+1)/3-2,0))),"")</f>
        <v/>
      </c>
      <c r="AQ318" s="127"/>
      <c r="AR318" s="127"/>
      <c r="AS318" s="58" t="str" cm="1">
        <f>IFERROR(IF(ISBLANK($A318),"",INDEX(Array_StationaryCharges,MATCH($A318,List_StationaryFuelMeters,0),ROUNDUP((COLUMN()+1)/3-2,0))),"")</f>
        <v/>
      </c>
      <c r="AT318" s="127"/>
      <c r="AU318" s="127"/>
      <c r="AV318" s="58" t="str" cm="1">
        <f>IFERROR(IF(ISBLANK($A318),"",INDEX(Array_StationaryCharges,MATCH($A318,List_StationaryFuelMeters,0),ROUNDUP((COLUMN()+1)/3-2,0))),"")</f>
        <v/>
      </c>
      <c r="AW318" s="127"/>
      <c r="AX318" s="127"/>
    </row>
    <row r="319" spans="1:50" x14ac:dyDescent="0.3">
      <c r="A319" s="126"/>
      <c r="B319" s="133"/>
      <c r="C319" s="127"/>
      <c r="D319" s="138"/>
      <c r="E319" s="138"/>
      <c r="F319" s="58" t="str" cm="1">
        <f>IFERROR(IF(ISBLANK($A319),"",INDEX(Array_StationaryCharges,MATCH($A319,List_StationaryFuelMeters,0),ROUNDUP((COLUMN()+1)/3-2,0))),"")</f>
        <v/>
      </c>
      <c r="G319" s="127"/>
      <c r="H319" s="127"/>
      <c r="I319" s="58" t="str" cm="1">
        <f>IFERROR(IF(ISBLANK($A319),"",INDEX(Array_StationaryCharges,MATCH($A319,List_StationaryFuelMeters,0),ROUNDUP((COLUMN()+1)/3-2,0))),"")</f>
        <v/>
      </c>
      <c r="J319" s="127"/>
      <c r="K319" s="127"/>
      <c r="L319" s="58" t="str" cm="1">
        <f>IFERROR(IF(ISBLANK($A319),"",INDEX(Array_StationaryCharges,MATCH($A319,List_StationaryFuelMeters,0),ROUNDUP((COLUMN()+1)/3-2,0))),"")</f>
        <v/>
      </c>
      <c r="M319" s="127"/>
      <c r="N319" s="127"/>
      <c r="O319" s="58" t="str" cm="1">
        <f>IFERROR(IF(ISBLANK($A319),"",INDEX(Array_StationaryCharges,MATCH($A319,List_StationaryFuelMeters,0),ROUNDUP((COLUMN()+1)/3-2,0))),"")</f>
        <v/>
      </c>
      <c r="P319" s="127"/>
      <c r="Q319" s="127"/>
      <c r="R319" s="58" t="str" cm="1">
        <f>IFERROR(IF(ISBLANK($A319),"",INDEX(Array_StationaryCharges,MATCH($A319,List_StationaryFuelMeters,0),ROUNDUP((COLUMN()+1)/3-2,0))),"")</f>
        <v/>
      </c>
      <c r="S319" s="127"/>
      <c r="T319" s="127"/>
      <c r="U319" s="58" t="str" cm="1">
        <f>IFERROR(IF(ISBLANK($A319),"",INDEX(Array_StationaryCharges,MATCH($A319,List_StationaryFuelMeters,0),ROUNDUP((COLUMN()+1)/3-2,0))),"")</f>
        <v/>
      </c>
      <c r="V319" s="127"/>
      <c r="W319" s="127"/>
      <c r="X319" s="58" t="str" cm="1">
        <f>IFERROR(IF(ISBLANK($A319),"",INDEX(Array_StationaryCharges,MATCH($A319,List_StationaryFuelMeters,0),ROUNDUP((COLUMN()+1)/3-2,0))),"")</f>
        <v/>
      </c>
      <c r="Y319" s="127"/>
      <c r="Z319" s="127"/>
      <c r="AA319" s="58" t="str" cm="1">
        <f>IFERROR(IF(ISBLANK($A319),"",INDEX(Array_StationaryCharges,MATCH($A319,List_StationaryFuelMeters,0),ROUNDUP((COLUMN()+1)/3-2,0))),"")</f>
        <v/>
      </c>
      <c r="AB319" s="127"/>
      <c r="AC319" s="127"/>
      <c r="AD319" s="58" t="str" cm="1">
        <f>IFERROR(IF(ISBLANK($A319),"",INDEX(Array_StationaryCharges,MATCH($A319,List_StationaryFuelMeters,0),ROUNDUP((COLUMN()+1)/3-2,0))),"")</f>
        <v/>
      </c>
      <c r="AE319" s="127"/>
      <c r="AF319" s="127"/>
      <c r="AG319" s="58" t="str" cm="1">
        <f>IFERROR(IF(ISBLANK($A319),"",INDEX(Array_StationaryCharges,MATCH($A319,List_StationaryFuelMeters,0),ROUNDUP((COLUMN()+1)/3-2,0))),"")</f>
        <v/>
      </c>
      <c r="AH319" s="127"/>
      <c r="AI319" s="127"/>
      <c r="AJ319" s="58" t="str" cm="1">
        <f>IFERROR(IF(ISBLANK($A319),"",INDEX(Array_StationaryCharges,MATCH($A319,List_StationaryFuelMeters,0),ROUNDUP((COLUMN()+1)/3-2,0))),"")</f>
        <v/>
      </c>
      <c r="AK319" s="127"/>
      <c r="AL319" s="127"/>
      <c r="AM319" s="58" t="str" cm="1">
        <f>IFERROR(IF(ISBLANK($A319),"",INDEX(Array_StationaryCharges,MATCH($A319,List_StationaryFuelMeters,0),ROUNDUP((COLUMN()+1)/3-2,0))),"")</f>
        <v/>
      </c>
      <c r="AN319" s="127"/>
      <c r="AO319" s="127"/>
      <c r="AP319" s="58" t="str" cm="1">
        <f>IFERROR(IF(ISBLANK($A319),"",INDEX(Array_StationaryCharges,MATCH($A319,List_StationaryFuelMeters,0),ROUNDUP((COLUMN()+1)/3-2,0))),"")</f>
        <v/>
      </c>
      <c r="AQ319" s="127"/>
      <c r="AR319" s="127"/>
      <c r="AS319" s="58" t="str" cm="1">
        <f>IFERROR(IF(ISBLANK($A319),"",INDEX(Array_StationaryCharges,MATCH($A319,List_StationaryFuelMeters,0),ROUNDUP((COLUMN()+1)/3-2,0))),"")</f>
        <v/>
      </c>
      <c r="AT319" s="127"/>
      <c r="AU319" s="127"/>
      <c r="AV319" s="58" t="str" cm="1">
        <f>IFERROR(IF(ISBLANK($A319),"",INDEX(Array_StationaryCharges,MATCH($A319,List_StationaryFuelMeters,0),ROUNDUP((COLUMN()+1)/3-2,0))),"")</f>
        <v/>
      </c>
      <c r="AW319" s="127"/>
      <c r="AX319" s="127"/>
    </row>
    <row r="320" spans="1:50" x14ac:dyDescent="0.3">
      <c r="A320" s="126"/>
      <c r="B320" s="133"/>
      <c r="C320" s="127"/>
      <c r="D320" s="138"/>
      <c r="E320" s="138"/>
      <c r="F320" s="58" t="str" cm="1">
        <f>IFERROR(IF(ISBLANK($A320),"",INDEX(Array_StationaryCharges,MATCH($A320,List_StationaryFuelMeters,0),ROUNDUP((COLUMN()+1)/3-2,0))),"")</f>
        <v/>
      </c>
      <c r="G320" s="127"/>
      <c r="H320" s="127"/>
      <c r="I320" s="58" t="str" cm="1">
        <f>IFERROR(IF(ISBLANK($A320),"",INDEX(Array_StationaryCharges,MATCH($A320,List_StationaryFuelMeters,0),ROUNDUP((COLUMN()+1)/3-2,0))),"")</f>
        <v/>
      </c>
      <c r="J320" s="127"/>
      <c r="K320" s="127"/>
      <c r="L320" s="58" t="str" cm="1">
        <f>IFERROR(IF(ISBLANK($A320),"",INDEX(Array_StationaryCharges,MATCH($A320,List_StationaryFuelMeters,0),ROUNDUP((COLUMN()+1)/3-2,0))),"")</f>
        <v/>
      </c>
      <c r="M320" s="127"/>
      <c r="N320" s="127"/>
      <c r="O320" s="58" t="str" cm="1">
        <f>IFERROR(IF(ISBLANK($A320),"",INDEX(Array_StationaryCharges,MATCH($A320,List_StationaryFuelMeters,0),ROUNDUP((COLUMN()+1)/3-2,0))),"")</f>
        <v/>
      </c>
      <c r="P320" s="127"/>
      <c r="Q320" s="127"/>
      <c r="R320" s="58" t="str" cm="1">
        <f>IFERROR(IF(ISBLANK($A320),"",INDEX(Array_StationaryCharges,MATCH($A320,List_StationaryFuelMeters,0),ROUNDUP((COLUMN()+1)/3-2,0))),"")</f>
        <v/>
      </c>
      <c r="S320" s="127"/>
      <c r="T320" s="127"/>
      <c r="U320" s="58" t="str" cm="1">
        <f>IFERROR(IF(ISBLANK($A320),"",INDEX(Array_StationaryCharges,MATCH($A320,List_StationaryFuelMeters,0),ROUNDUP((COLUMN()+1)/3-2,0))),"")</f>
        <v/>
      </c>
      <c r="V320" s="127"/>
      <c r="W320" s="127"/>
      <c r="X320" s="58" t="str" cm="1">
        <f>IFERROR(IF(ISBLANK($A320),"",INDEX(Array_StationaryCharges,MATCH($A320,List_StationaryFuelMeters,0),ROUNDUP((COLUMN()+1)/3-2,0))),"")</f>
        <v/>
      </c>
      <c r="Y320" s="127"/>
      <c r="Z320" s="127"/>
      <c r="AA320" s="58" t="str" cm="1">
        <f>IFERROR(IF(ISBLANK($A320),"",INDEX(Array_StationaryCharges,MATCH($A320,List_StationaryFuelMeters,0),ROUNDUP((COLUMN()+1)/3-2,0))),"")</f>
        <v/>
      </c>
      <c r="AB320" s="127"/>
      <c r="AC320" s="127"/>
      <c r="AD320" s="58" t="str" cm="1">
        <f>IFERROR(IF(ISBLANK($A320),"",INDEX(Array_StationaryCharges,MATCH($A320,List_StationaryFuelMeters,0),ROUNDUP((COLUMN()+1)/3-2,0))),"")</f>
        <v/>
      </c>
      <c r="AE320" s="127"/>
      <c r="AF320" s="127"/>
      <c r="AG320" s="58" t="str" cm="1">
        <f>IFERROR(IF(ISBLANK($A320),"",INDEX(Array_StationaryCharges,MATCH($A320,List_StationaryFuelMeters,0),ROUNDUP((COLUMN()+1)/3-2,0))),"")</f>
        <v/>
      </c>
      <c r="AH320" s="127"/>
      <c r="AI320" s="127"/>
      <c r="AJ320" s="58" t="str" cm="1">
        <f>IFERROR(IF(ISBLANK($A320),"",INDEX(Array_StationaryCharges,MATCH($A320,List_StationaryFuelMeters,0),ROUNDUP((COLUMN()+1)/3-2,0))),"")</f>
        <v/>
      </c>
      <c r="AK320" s="127"/>
      <c r="AL320" s="127"/>
      <c r="AM320" s="58" t="str" cm="1">
        <f>IFERROR(IF(ISBLANK($A320),"",INDEX(Array_StationaryCharges,MATCH($A320,List_StationaryFuelMeters,0),ROUNDUP((COLUMN()+1)/3-2,0))),"")</f>
        <v/>
      </c>
      <c r="AN320" s="127"/>
      <c r="AO320" s="127"/>
      <c r="AP320" s="58" t="str" cm="1">
        <f>IFERROR(IF(ISBLANK($A320),"",INDEX(Array_StationaryCharges,MATCH($A320,List_StationaryFuelMeters,0),ROUNDUP((COLUMN()+1)/3-2,0))),"")</f>
        <v/>
      </c>
      <c r="AQ320" s="127"/>
      <c r="AR320" s="127"/>
      <c r="AS320" s="58" t="str" cm="1">
        <f>IFERROR(IF(ISBLANK($A320),"",INDEX(Array_StationaryCharges,MATCH($A320,List_StationaryFuelMeters,0),ROUNDUP((COLUMN()+1)/3-2,0))),"")</f>
        <v/>
      </c>
      <c r="AT320" s="127"/>
      <c r="AU320" s="127"/>
      <c r="AV320" s="58" t="str" cm="1">
        <f>IFERROR(IF(ISBLANK($A320),"",INDEX(Array_StationaryCharges,MATCH($A320,List_StationaryFuelMeters,0),ROUNDUP((COLUMN()+1)/3-2,0))),"")</f>
        <v/>
      </c>
      <c r="AW320" s="127"/>
      <c r="AX320" s="127"/>
    </row>
    <row r="321" spans="1:50" x14ac:dyDescent="0.3">
      <c r="A321" s="126"/>
      <c r="B321" s="133"/>
      <c r="C321" s="127"/>
      <c r="D321" s="138"/>
      <c r="E321" s="138"/>
      <c r="F321" s="58" t="str" cm="1">
        <f>IFERROR(IF(ISBLANK($A321),"",INDEX(Array_StationaryCharges,MATCH($A321,List_StationaryFuelMeters,0),ROUNDUP((COLUMN()+1)/3-2,0))),"")</f>
        <v/>
      </c>
      <c r="G321" s="127"/>
      <c r="H321" s="127"/>
      <c r="I321" s="58" t="str" cm="1">
        <f>IFERROR(IF(ISBLANK($A321),"",INDEX(Array_StationaryCharges,MATCH($A321,List_StationaryFuelMeters,0),ROUNDUP((COLUMN()+1)/3-2,0))),"")</f>
        <v/>
      </c>
      <c r="J321" s="127"/>
      <c r="K321" s="127"/>
      <c r="L321" s="58" t="str" cm="1">
        <f>IFERROR(IF(ISBLANK($A321),"",INDEX(Array_StationaryCharges,MATCH($A321,List_StationaryFuelMeters,0),ROUNDUP((COLUMN()+1)/3-2,0))),"")</f>
        <v/>
      </c>
      <c r="M321" s="127"/>
      <c r="N321" s="127"/>
      <c r="O321" s="58" t="str" cm="1">
        <f>IFERROR(IF(ISBLANK($A321),"",INDEX(Array_StationaryCharges,MATCH($A321,List_StationaryFuelMeters,0),ROUNDUP((COLUMN()+1)/3-2,0))),"")</f>
        <v/>
      </c>
      <c r="P321" s="127"/>
      <c r="Q321" s="127"/>
      <c r="R321" s="58" t="str" cm="1">
        <f>IFERROR(IF(ISBLANK($A321),"",INDEX(Array_StationaryCharges,MATCH($A321,List_StationaryFuelMeters,0),ROUNDUP((COLUMN()+1)/3-2,0))),"")</f>
        <v/>
      </c>
      <c r="S321" s="127"/>
      <c r="T321" s="127"/>
      <c r="U321" s="58" t="str" cm="1">
        <f>IFERROR(IF(ISBLANK($A321),"",INDEX(Array_StationaryCharges,MATCH($A321,List_StationaryFuelMeters,0),ROUNDUP((COLUMN()+1)/3-2,0))),"")</f>
        <v/>
      </c>
      <c r="V321" s="127"/>
      <c r="W321" s="127"/>
      <c r="X321" s="58" t="str" cm="1">
        <f>IFERROR(IF(ISBLANK($A321),"",INDEX(Array_StationaryCharges,MATCH($A321,List_StationaryFuelMeters,0),ROUNDUP((COLUMN()+1)/3-2,0))),"")</f>
        <v/>
      </c>
      <c r="Y321" s="127"/>
      <c r="Z321" s="127"/>
      <c r="AA321" s="58" t="str" cm="1">
        <f>IFERROR(IF(ISBLANK($A321),"",INDEX(Array_StationaryCharges,MATCH($A321,List_StationaryFuelMeters,0),ROUNDUP((COLUMN()+1)/3-2,0))),"")</f>
        <v/>
      </c>
      <c r="AB321" s="127"/>
      <c r="AC321" s="127"/>
      <c r="AD321" s="58" t="str" cm="1">
        <f>IFERROR(IF(ISBLANK($A321),"",INDEX(Array_StationaryCharges,MATCH($A321,List_StationaryFuelMeters,0),ROUNDUP((COLUMN()+1)/3-2,0))),"")</f>
        <v/>
      </c>
      <c r="AE321" s="127"/>
      <c r="AF321" s="127"/>
      <c r="AG321" s="58" t="str" cm="1">
        <f>IFERROR(IF(ISBLANK($A321),"",INDEX(Array_StationaryCharges,MATCH($A321,List_StationaryFuelMeters,0),ROUNDUP((COLUMN()+1)/3-2,0))),"")</f>
        <v/>
      </c>
      <c r="AH321" s="127"/>
      <c r="AI321" s="127"/>
      <c r="AJ321" s="58" t="str" cm="1">
        <f>IFERROR(IF(ISBLANK($A321),"",INDEX(Array_StationaryCharges,MATCH($A321,List_StationaryFuelMeters,0),ROUNDUP((COLUMN()+1)/3-2,0))),"")</f>
        <v/>
      </c>
      <c r="AK321" s="127"/>
      <c r="AL321" s="127"/>
      <c r="AM321" s="58" t="str" cm="1">
        <f>IFERROR(IF(ISBLANK($A321),"",INDEX(Array_StationaryCharges,MATCH($A321,List_StationaryFuelMeters,0),ROUNDUP((COLUMN()+1)/3-2,0))),"")</f>
        <v/>
      </c>
      <c r="AN321" s="127"/>
      <c r="AO321" s="127"/>
      <c r="AP321" s="58" t="str" cm="1">
        <f>IFERROR(IF(ISBLANK($A321),"",INDEX(Array_StationaryCharges,MATCH($A321,List_StationaryFuelMeters,0),ROUNDUP((COLUMN()+1)/3-2,0))),"")</f>
        <v/>
      </c>
      <c r="AQ321" s="127"/>
      <c r="AR321" s="127"/>
      <c r="AS321" s="58" t="str" cm="1">
        <f>IFERROR(IF(ISBLANK($A321),"",INDEX(Array_StationaryCharges,MATCH($A321,List_StationaryFuelMeters,0),ROUNDUP((COLUMN()+1)/3-2,0))),"")</f>
        <v/>
      </c>
      <c r="AT321" s="127"/>
      <c r="AU321" s="127"/>
      <c r="AV321" s="58" t="str" cm="1">
        <f>IFERROR(IF(ISBLANK($A321),"",INDEX(Array_StationaryCharges,MATCH($A321,List_StationaryFuelMeters,0),ROUNDUP((COLUMN()+1)/3-2,0))),"")</f>
        <v/>
      </c>
      <c r="AW321" s="127"/>
      <c r="AX321" s="127"/>
    </row>
    <row r="322" spans="1:50" x14ac:dyDescent="0.3">
      <c r="A322" s="126"/>
      <c r="B322" s="133"/>
      <c r="C322" s="127"/>
      <c r="D322" s="138"/>
      <c r="E322" s="138"/>
      <c r="F322" s="58" t="str" cm="1">
        <f>IFERROR(IF(ISBLANK($A322),"",INDEX(Array_StationaryCharges,MATCH($A322,List_StationaryFuelMeters,0),ROUNDUP((COLUMN()+1)/3-2,0))),"")</f>
        <v/>
      </c>
      <c r="G322" s="127"/>
      <c r="H322" s="127"/>
      <c r="I322" s="58" t="str" cm="1">
        <f>IFERROR(IF(ISBLANK($A322),"",INDEX(Array_StationaryCharges,MATCH($A322,List_StationaryFuelMeters,0),ROUNDUP((COLUMN()+1)/3-2,0))),"")</f>
        <v/>
      </c>
      <c r="J322" s="127"/>
      <c r="K322" s="127"/>
      <c r="L322" s="58" t="str" cm="1">
        <f>IFERROR(IF(ISBLANK($A322),"",INDEX(Array_StationaryCharges,MATCH($A322,List_StationaryFuelMeters,0),ROUNDUP((COLUMN()+1)/3-2,0))),"")</f>
        <v/>
      </c>
      <c r="M322" s="127"/>
      <c r="N322" s="127"/>
      <c r="O322" s="58" t="str" cm="1">
        <f>IFERROR(IF(ISBLANK($A322),"",INDEX(Array_StationaryCharges,MATCH($A322,List_StationaryFuelMeters,0),ROUNDUP((COLUMN()+1)/3-2,0))),"")</f>
        <v/>
      </c>
      <c r="P322" s="127"/>
      <c r="Q322" s="127"/>
      <c r="R322" s="58" t="str" cm="1">
        <f>IFERROR(IF(ISBLANK($A322),"",INDEX(Array_StationaryCharges,MATCH($A322,List_StationaryFuelMeters,0),ROUNDUP((COLUMN()+1)/3-2,0))),"")</f>
        <v/>
      </c>
      <c r="S322" s="127"/>
      <c r="T322" s="127"/>
      <c r="U322" s="58" t="str" cm="1">
        <f>IFERROR(IF(ISBLANK($A322),"",INDEX(Array_StationaryCharges,MATCH($A322,List_StationaryFuelMeters,0),ROUNDUP((COLUMN()+1)/3-2,0))),"")</f>
        <v/>
      </c>
      <c r="V322" s="127"/>
      <c r="W322" s="127"/>
      <c r="X322" s="58" t="str" cm="1">
        <f>IFERROR(IF(ISBLANK($A322),"",INDEX(Array_StationaryCharges,MATCH($A322,List_StationaryFuelMeters,0),ROUNDUP((COLUMN()+1)/3-2,0))),"")</f>
        <v/>
      </c>
      <c r="Y322" s="127"/>
      <c r="Z322" s="127"/>
      <c r="AA322" s="58" t="str" cm="1">
        <f>IFERROR(IF(ISBLANK($A322),"",INDEX(Array_StationaryCharges,MATCH($A322,List_StationaryFuelMeters,0),ROUNDUP((COLUMN()+1)/3-2,0))),"")</f>
        <v/>
      </c>
      <c r="AB322" s="127"/>
      <c r="AC322" s="127"/>
      <c r="AD322" s="58" t="str" cm="1">
        <f>IFERROR(IF(ISBLANK($A322),"",INDEX(Array_StationaryCharges,MATCH($A322,List_StationaryFuelMeters,0),ROUNDUP((COLUMN()+1)/3-2,0))),"")</f>
        <v/>
      </c>
      <c r="AE322" s="127"/>
      <c r="AF322" s="127"/>
      <c r="AG322" s="58" t="str" cm="1">
        <f>IFERROR(IF(ISBLANK($A322),"",INDEX(Array_StationaryCharges,MATCH($A322,List_StationaryFuelMeters,0),ROUNDUP((COLUMN()+1)/3-2,0))),"")</f>
        <v/>
      </c>
      <c r="AH322" s="127"/>
      <c r="AI322" s="127"/>
      <c r="AJ322" s="58" t="str" cm="1">
        <f>IFERROR(IF(ISBLANK($A322),"",INDEX(Array_StationaryCharges,MATCH($A322,List_StationaryFuelMeters,0),ROUNDUP((COLUMN()+1)/3-2,0))),"")</f>
        <v/>
      </c>
      <c r="AK322" s="127"/>
      <c r="AL322" s="127"/>
      <c r="AM322" s="58" t="str" cm="1">
        <f>IFERROR(IF(ISBLANK($A322),"",INDEX(Array_StationaryCharges,MATCH($A322,List_StationaryFuelMeters,0),ROUNDUP((COLUMN()+1)/3-2,0))),"")</f>
        <v/>
      </c>
      <c r="AN322" s="127"/>
      <c r="AO322" s="127"/>
      <c r="AP322" s="58" t="str" cm="1">
        <f>IFERROR(IF(ISBLANK($A322),"",INDEX(Array_StationaryCharges,MATCH($A322,List_StationaryFuelMeters,0),ROUNDUP((COLUMN()+1)/3-2,0))),"")</f>
        <v/>
      </c>
      <c r="AQ322" s="127"/>
      <c r="AR322" s="127"/>
      <c r="AS322" s="58" t="str" cm="1">
        <f>IFERROR(IF(ISBLANK($A322),"",INDEX(Array_StationaryCharges,MATCH($A322,List_StationaryFuelMeters,0),ROUNDUP((COLUMN()+1)/3-2,0))),"")</f>
        <v/>
      </c>
      <c r="AT322" s="127"/>
      <c r="AU322" s="127"/>
      <c r="AV322" s="58" t="str" cm="1">
        <f>IFERROR(IF(ISBLANK($A322),"",INDEX(Array_StationaryCharges,MATCH($A322,List_StationaryFuelMeters,0),ROUNDUP((COLUMN()+1)/3-2,0))),"")</f>
        <v/>
      </c>
      <c r="AW322" s="127"/>
      <c r="AX322" s="127"/>
    </row>
    <row r="323" spans="1:50" x14ac:dyDescent="0.3">
      <c r="A323" s="126"/>
      <c r="B323" s="133"/>
      <c r="C323" s="127"/>
      <c r="D323" s="138"/>
      <c r="E323" s="138"/>
      <c r="F323" s="58" t="str" cm="1">
        <f>IFERROR(IF(ISBLANK($A323),"",INDEX(Array_StationaryCharges,MATCH($A323,List_StationaryFuelMeters,0),ROUNDUP((COLUMN()+1)/3-2,0))),"")</f>
        <v/>
      </c>
      <c r="G323" s="127"/>
      <c r="H323" s="127"/>
      <c r="I323" s="58" t="str" cm="1">
        <f>IFERROR(IF(ISBLANK($A323),"",INDEX(Array_StationaryCharges,MATCH($A323,List_StationaryFuelMeters,0),ROUNDUP((COLUMN()+1)/3-2,0))),"")</f>
        <v/>
      </c>
      <c r="J323" s="127"/>
      <c r="K323" s="127"/>
      <c r="L323" s="58" t="str" cm="1">
        <f>IFERROR(IF(ISBLANK($A323),"",INDEX(Array_StationaryCharges,MATCH($A323,List_StationaryFuelMeters,0),ROUNDUP((COLUMN()+1)/3-2,0))),"")</f>
        <v/>
      </c>
      <c r="M323" s="127"/>
      <c r="N323" s="127"/>
      <c r="O323" s="58" t="str" cm="1">
        <f>IFERROR(IF(ISBLANK($A323),"",INDEX(Array_StationaryCharges,MATCH($A323,List_StationaryFuelMeters,0),ROUNDUP((COLUMN()+1)/3-2,0))),"")</f>
        <v/>
      </c>
      <c r="P323" s="127"/>
      <c r="Q323" s="127"/>
      <c r="R323" s="58" t="str" cm="1">
        <f>IFERROR(IF(ISBLANK($A323),"",INDEX(Array_StationaryCharges,MATCH($A323,List_StationaryFuelMeters,0),ROUNDUP((COLUMN()+1)/3-2,0))),"")</f>
        <v/>
      </c>
      <c r="S323" s="127"/>
      <c r="T323" s="127"/>
      <c r="U323" s="58" t="str" cm="1">
        <f>IFERROR(IF(ISBLANK($A323),"",INDEX(Array_StationaryCharges,MATCH($A323,List_StationaryFuelMeters,0),ROUNDUP((COLUMN()+1)/3-2,0))),"")</f>
        <v/>
      </c>
      <c r="V323" s="127"/>
      <c r="W323" s="127"/>
      <c r="X323" s="58" t="str" cm="1">
        <f>IFERROR(IF(ISBLANK($A323),"",INDEX(Array_StationaryCharges,MATCH($A323,List_StationaryFuelMeters,0),ROUNDUP((COLUMN()+1)/3-2,0))),"")</f>
        <v/>
      </c>
      <c r="Y323" s="127"/>
      <c r="Z323" s="127"/>
      <c r="AA323" s="58" t="str" cm="1">
        <f>IFERROR(IF(ISBLANK($A323),"",INDEX(Array_StationaryCharges,MATCH($A323,List_StationaryFuelMeters,0),ROUNDUP((COLUMN()+1)/3-2,0))),"")</f>
        <v/>
      </c>
      <c r="AB323" s="127"/>
      <c r="AC323" s="127"/>
      <c r="AD323" s="58" t="str" cm="1">
        <f>IFERROR(IF(ISBLANK($A323),"",INDEX(Array_StationaryCharges,MATCH($A323,List_StationaryFuelMeters,0),ROUNDUP((COLUMN()+1)/3-2,0))),"")</f>
        <v/>
      </c>
      <c r="AE323" s="127"/>
      <c r="AF323" s="127"/>
      <c r="AG323" s="58" t="str" cm="1">
        <f>IFERROR(IF(ISBLANK($A323),"",INDEX(Array_StationaryCharges,MATCH($A323,List_StationaryFuelMeters,0),ROUNDUP((COLUMN()+1)/3-2,0))),"")</f>
        <v/>
      </c>
      <c r="AH323" s="127"/>
      <c r="AI323" s="127"/>
      <c r="AJ323" s="58" t="str" cm="1">
        <f>IFERROR(IF(ISBLANK($A323),"",INDEX(Array_StationaryCharges,MATCH($A323,List_StationaryFuelMeters,0),ROUNDUP((COLUMN()+1)/3-2,0))),"")</f>
        <v/>
      </c>
      <c r="AK323" s="127"/>
      <c r="AL323" s="127"/>
      <c r="AM323" s="58" t="str" cm="1">
        <f>IFERROR(IF(ISBLANK($A323),"",INDEX(Array_StationaryCharges,MATCH($A323,List_StationaryFuelMeters,0),ROUNDUP((COLUMN()+1)/3-2,0))),"")</f>
        <v/>
      </c>
      <c r="AN323" s="127"/>
      <c r="AO323" s="127"/>
      <c r="AP323" s="58" t="str" cm="1">
        <f>IFERROR(IF(ISBLANK($A323),"",INDEX(Array_StationaryCharges,MATCH($A323,List_StationaryFuelMeters,0),ROUNDUP((COLUMN()+1)/3-2,0))),"")</f>
        <v/>
      </c>
      <c r="AQ323" s="127"/>
      <c r="AR323" s="127"/>
      <c r="AS323" s="58" t="str" cm="1">
        <f>IFERROR(IF(ISBLANK($A323),"",INDEX(Array_StationaryCharges,MATCH($A323,List_StationaryFuelMeters,0),ROUNDUP((COLUMN()+1)/3-2,0))),"")</f>
        <v/>
      </c>
      <c r="AT323" s="127"/>
      <c r="AU323" s="127"/>
      <c r="AV323" s="58" t="str" cm="1">
        <f>IFERROR(IF(ISBLANK($A323),"",INDEX(Array_StationaryCharges,MATCH($A323,List_StationaryFuelMeters,0),ROUNDUP((COLUMN()+1)/3-2,0))),"")</f>
        <v/>
      </c>
      <c r="AW323" s="127"/>
      <c r="AX323" s="127"/>
    </row>
    <row r="324" spans="1:50" x14ac:dyDescent="0.3">
      <c r="A324" s="126"/>
      <c r="B324" s="133"/>
      <c r="C324" s="127"/>
      <c r="D324" s="138"/>
      <c r="E324" s="138"/>
      <c r="F324" s="58" t="str" cm="1">
        <f>IFERROR(IF(ISBLANK($A324),"",INDEX(Array_StationaryCharges,MATCH($A324,List_StationaryFuelMeters,0),ROUNDUP((COLUMN()+1)/3-2,0))),"")</f>
        <v/>
      </c>
      <c r="G324" s="127"/>
      <c r="H324" s="127"/>
      <c r="I324" s="58" t="str" cm="1">
        <f>IFERROR(IF(ISBLANK($A324),"",INDEX(Array_StationaryCharges,MATCH($A324,List_StationaryFuelMeters,0),ROUNDUP((COLUMN()+1)/3-2,0))),"")</f>
        <v/>
      </c>
      <c r="J324" s="127"/>
      <c r="K324" s="127"/>
      <c r="L324" s="58" t="str" cm="1">
        <f>IFERROR(IF(ISBLANK($A324),"",INDEX(Array_StationaryCharges,MATCH($A324,List_StationaryFuelMeters,0),ROUNDUP((COLUMN()+1)/3-2,0))),"")</f>
        <v/>
      </c>
      <c r="M324" s="127"/>
      <c r="N324" s="127"/>
      <c r="O324" s="58" t="str" cm="1">
        <f>IFERROR(IF(ISBLANK($A324),"",INDEX(Array_StationaryCharges,MATCH($A324,List_StationaryFuelMeters,0),ROUNDUP((COLUMN()+1)/3-2,0))),"")</f>
        <v/>
      </c>
      <c r="P324" s="127"/>
      <c r="Q324" s="127"/>
      <c r="R324" s="58" t="str" cm="1">
        <f>IFERROR(IF(ISBLANK($A324),"",INDEX(Array_StationaryCharges,MATCH($A324,List_StationaryFuelMeters,0),ROUNDUP((COLUMN()+1)/3-2,0))),"")</f>
        <v/>
      </c>
      <c r="S324" s="127"/>
      <c r="T324" s="127"/>
      <c r="U324" s="58" t="str" cm="1">
        <f>IFERROR(IF(ISBLANK($A324),"",INDEX(Array_StationaryCharges,MATCH($A324,List_StationaryFuelMeters,0),ROUNDUP((COLUMN()+1)/3-2,0))),"")</f>
        <v/>
      </c>
      <c r="V324" s="127"/>
      <c r="W324" s="127"/>
      <c r="X324" s="58" t="str" cm="1">
        <f>IFERROR(IF(ISBLANK($A324),"",INDEX(Array_StationaryCharges,MATCH($A324,List_StationaryFuelMeters,0),ROUNDUP((COLUMN()+1)/3-2,0))),"")</f>
        <v/>
      </c>
      <c r="Y324" s="127"/>
      <c r="Z324" s="127"/>
      <c r="AA324" s="58" t="str" cm="1">
        <f>IFERROR(IF(ISBLANK($A324),"",INDEX(Array_StationaryCharges,MATCH($A324,List_StationaryFuelMeters,0),ROUNDUP((COLUMN()+1)/3-2,0))),"")</f>
        <v/>
      </c>
      <c r="AB324" s="127"/>
      <c r="AC324" s="127"/>
      <c r="AD324" s="58" t="str" cm="1">
        <f>IFERROR(IF(ISBLANK($A324),"",INDEX(Array_StationaryCharges,MATCH($A324,List_StationaryFuelMeters,0),ROUNDUP((COLUMN()+1)/3-2,0))),"")</f>
        <v/>
      </c>
      <c r="AE324" s="127"/>
      <c r="AF324" s="127"/>
      <c r="AG324" s="58" t="str" cm="1">
        <f>IFERROR(IF(ISBLANK($A324),"",INDEX(Array_StationaryCharges,MATCH($A324,List_StationaryFuelMeters,0),ROUNDUP((COLUMN()+1)/3-2,0))),"")</f>
        <v/>
      </c>
      <c r="AH324" s="127"/>
      <c r="AI324" s="127"/>
      <c r="AJ324" s="58" t="str" cm="1">
        <f>IFERROR(IF(ISBLANK($A324),"",INDEX(Array_StationaryCharges,MATCH($A324,List_StationaryFuelMeters,0),ROUNDUP((COLUMN()+1)/3-2,0))),"")</f>
        <v/>
      </c>
      <c r="AK324" s="127"/>
      <c r="AL324" s="127"/>
      <c r="AM324" s="58" t="str" cm="1">
        <f>IFERROR(IF(ISBLANK($A324),"",INDEX(Array_StationaryCharges,MATCH($A324,List_StationaryFuelMeters,0),ROUNDUP((COLUMN()+1)/3-2,0))),"")</f>
        <v/>
      </c>
      <c r="AN324" s="127"/>
      <c r="AO324" s="127"/>
      <c r="AP324" s="58" t="str" cm="1">
        <f>IFERROR(IF(ISBLANK($A324),"",INDEX(Array_StationaryCharges,MATCH($A324,List_StationaryFuelMeters,0),ROUNDUP((COLUMN()+1)/3-2,0))),"")</f>
        <v/>
      </c>
      <c r="AQ324" s="127"/>
      <c r="AR324" s="127"/>
      <c r="AS324" s="58" t="str" cm="1">
        <f>IFERROR(IF(ISBLANK($A324),"",INDEX(Array_StationaryCharges,MATCH($A324,List_StationaryFuelMeters,0),ROUNDUP((COLUMN()+1)/3-2,0))),"")</f>
        <v/>
      </c>
      <c r="AT324" s="127"/>
      <c r="AU324" s="127"/>
      <c r="AV324" s="58" t="str" cm="1">
        <f>IFERROR(IF(ISBLANK($A324),"",INDEX(Array_StationaryCharges,MATCH($A324,List_StationaryFuelMeters,0),ROUNDUP((COLUMN()+1)/3-2,0))),"")</f>
        <v/>
      </c>
      <c r="AW324" s="127"/>
      <c r="AX324" s="127"/>
    </row>
    <row r="325" spans="1:50" x14ac:dyDescent="0.3">
      <c r="A325" s="126"/>
      <c r="B325" s="133"/>
      <c r="C325" s="127"/>
      <c r="D325" s="138"/>
      <c r="E325" s="138"/>
      <c r="F325" s="58" t="str" cm="1">
        <f>IFERROR(IF(ISBLANK($A325),"",INDEX(Array_StationaryCharges,MATCH($A325,List_StationaryFuelMeters,0),ROUNDUP((COLUMN()+1)/3-2,0))),"")</f>
        <v/>
      </c>
      <c r="G325" s="127"/>
      <c r="H325" s="127"/>
      <c r="I325" s="58" t="str" cm="1">
        <f>IFERROR(IF(ISBLANK($A325),"",INDEX(Array_StationaryCharges,MATCH($A325,List_StationaryFuelMeters,0),ROUNDUP((COLUMN()+1)/3-2,0))),"")</f>
        <v/>
      </c>
      <c r="J325" s="127"/>
      <c r="K325" s="127"/>
      <c r="L325" s="58" t="str" cm="1">
        <f>IFERROR(IF(ISBLANK($A325),"",INDEX(Array_StationaryCharges,MATCH($A325,List_StationaryFuelMeters,0),ROUNDUP((COLUMN()+1)/3-2,0))),"")</f>
        <v/>
      </c>
      <c r="M325" s="127"/>
      <c r="N325" s="127"/>
      <c r="O325" s="58" t="str" cm="1">
        <f>IFERROR(IF(ISBLANK($A325),"",INDEX(Array_StationaryCharges,MATCH($A325,List_StationaryFuelMeters,0),ROUNDUP((COLUMN()+1)/3-2,0))),"")</f>
        <v/>
      </c>
      <c r="P325" s="127"/>
      <c r="Q325" s="127"/>
      <c r="R325" s="58" t="str" cm="1">
        <f>IFERROR(IF(ISBLANK($A325),"",INDEX(Array_StationaryCharges,MATCH($A325,List_StationaryFuelMeters,0),ROUNDUP((COLUMN()+1)/3-2,0))),"")</f>
        <v/>
      </c>
      <c r="S325" s="127"/>
      <c r="T325" s="127"/>
      <c r="U325" s="58" t="str" cm="1">
        <f>IFERROR(IF(ISBLANK($A325),"",INDEX(Array_StationaryCharges,MATCH($A325,List_StationaryFuelMeters,0),ROUNDUP((COLUMN()+1)/3-2,0))),"")</f>
        <v/>
      </c>
      <c r="V325" s="127"/>
      <c r="W325" s="127"/>
      <c r="X325" s="58" t="str" cm="1">
        <f>IFERROR(IF(ISBLANK($A325),"",INDEX(Array_StationaryCharges,MATCH($A325,List_StationaryFuelMeters,0),ROUNDUP((COLUMN()+1)/3-2,0))),"")</f>
        <v/>
      </c>
      <c r="Y325" s="127"/>
      <c r="Z325" s="127"/>
      <c r="AA325" s="58" t="str" cm="1">
        <f>IFERROR(IF(ISBLANK($A325),"",INDEX(Array_StationaryCharges,MATCH($A325,List_StationaryFuelMeters,0),ROUNDUP((COLUMN()+1)/3-2,0))),"")</f>
        <v/>
      </c>
      <c r="AB325" s="127"/>
      <c r="AC325" s="127"/>
      <c r="AD325" s="58" t="str" cm="1">
        <f>IFERROR(IF(ISBLANK($A325),"",INDEX(Array_StationaryCharges,MATCH($A325,List_StationaryFuelMeters,0),ROUNDUP((COLUMN()+1)/3-2,0))),"")</f>
        <v/>
      </c>
      <c r="AE325" s="127"/>
      <c r="AF325" s="127"/>
      <c r="AG325" s="58" t="str" cm="1">
        <f>IFERROR(IF(ISBLANK($A325),"",INDEX(Array_StationaryCharges,MATCH($A325,List_StationaryFuelMeters,0),ROUNDUP((COLUMN()+1)/3-2,0))),"")</f>
        <v/>
      </c>
      <c r="AH325" s="127"/>
      <c r="AI325" s="127"/>
      <c r="AJ325" s="58" t="str" cm="1">
        <f>IFERROR(IF(ISBLANK($A325),"",INDEX(Array_StationaryCharges,MATCH($A325,List_StationaryFuelMeters,0),ROUNDUP((COLUMN()+1)/3-2,0))),"")</f>
        <v/>
      </c>
      <c r="AK325" s="127"/>
      <c r="AL325" s="127"/>
      <c r="AM325" s="58" t="str" cm="1">
        <f>IFERROR(IF(ISBLANK($A325),"",INDEX(Array_StationaryCharges,MATCH($A325,List_StationaryFuelMeters,0),ROUNDUP((COLUMN()+1)/3-2,0))),"")</f>
        <v/>
      </c>
      <c r="AN325" s="127"/>
      <c r="AO325" s="127"/>
      <c r="AP325" s="58" t="str" cm="1">
        <f>IFERROR(IF(ISBLANK($A325),"",INDEX(Array_StationaryCharges,MATCH($A325,List_StationaryFuelMeters,0),ROUNDUP((COLUMN()+1)/3-2,0))),"")</f>
        <v/>
      </c>
      <c r="AQ325" s="127"/>
      <c r="AR325" s="127"/>
      <c r="AS325" s="58" t="str" cm="1">
        <f>IFERROR(IF(ISBLANK($A325),"",INDEX(Array_StationaryCharges,MATCH($A325,List_StationaryFuelMeters,0),ROUNDUP((COLUMN()+1)/3-2,0))),"")</f>
        <v/>
      </c>
      <c r="AT325" s="127"/>
      <c r="AU325" s="127"/>
      <c r="AV325" s="58" t="str" cm="1">
        <f>IFERROR(IF(ISBLANK($A325),"",INDEX(Array_StationaryCharges,MATCH($A325,List_StationaryFuelMeters,0),ROUNDUP((COLUMN()+1)/3-2,0))),"")</f>
        <v/>
      </c>
      <c r="AW325" s="127"/>
      <c r="AX325" s="127"/>
    </row>
    <row r="326" spans="1:50" x14ac:dyDescent="0.3">
      <c r="A326" s="126"/>
      <c r="B326" s="133"/>
      <c r="C326" s="127"/>
      <c r="D326" s="138"/>
      <c r="E326" s="138"/>
      <c r="F326" s="58" t="str" cm="1">
        <f>IFERROR(IF(ISBLANK($A326),"",INDEX(Array_StationaryCharges,MATCH($A326,List_StationaryFuelMeters,0),ROUNDUP((COLUMN()+1)/3-2,0))),"")</f>
        <v/>
      </c>
      <c r="G326" s="127"/>
      <c r="H326" s="127"/>
      <c r="I326" s="58" t="str" cm="1">
        <f>IFERROR(IF(ISBLANK($A326),"",INDEX(Array_StationaryCharges,MATCH($A326,List_StationaryFuelMeters,0),ROUNDUP((COLUMN()+1)/3-2,0))),"")</f>
        <v/>
      </c>
      <c r="J326" s="127"/>
      <c r="K326" s="127"/>
      <c r="L326" s="58" t="str" cm="1">
        <f>IFERROR(IF(ISBLANK($A326),"",INDEX(Array_StationaryCharges,MATCH($A326,List_StationaryFuelMeters,0),ROUNDUP((COLUMN()+1)/3-2,0))),"")</f>
        <v/>
      </c>
      <c r="M326" s="127"/>
      <c r="N326" s="127"/>
      <c r="O326" s="58" t="str" cm="1">
        <f>IFERROR(IF(ISBLANK($A326),"",INDEX(Array_StationaryCharges,MATCH($A326,List_StationaryFuelMeters,0),ROUNDUP((COLUMN()+1)/3-2,0))),"")</f>
        <v/>
      </c>
      <c r="P326" s="127"/>
      <c r="Q326" s="127"/>
      <c r="R326" s="58" t="str" cm="1">
        <f>IFERROR(IF(ISBLANK($A326),"",INDEX(Array_StationaryCharges,MATCH($A326,List_StationaryFuelMeters,0),ROUNDUP((COLUMN()+1)/3-2,0))),"")</f>
        <v/>
      </c>
      <c r="S326" s="127"/>
      <c r="T326" s="127"/>
      <c r="U326" s="58" t="str" cm="1">
        <f>IFERROR(IF(ISBLANK($A326),"",INDEX(Array_StationaryCharges,MATCH($A326,List_StationaryFuelMeters,0),ROUNDUP((COLUMN()+1)/3-2,0))),"")</f>
        <v/>
      </c>
      <c r="V326" s="127"/>
      <c r="W326" s="127"/>
      <c r="X326" s="58" t="str" cm="1">
        <f>IFERROR(IF(ISBLANK($A326),"",INDEX(Array_StationaryCharges,MATCH($A326,List_StationaryFuelMeters,0),ROUNDUP((COLUMN()+1)/3-2,0))),"")</f>
        <v/>
      </c>
      <c r="Y326" s="127"/>
      <c r="Z326" s="127"/>
      <c r="AA326" s="58" t="str" cm="1">
        <f>IFERROR(IF(ISBLANK($A326),"",INDEX(Array_StationaryCharges,MATCH($A326,List_StationaryFuelMeters,0),ROUNDUP((COLUMN()+1)/3-2,0))),"")</f>
        <v/>
      </c>
      <c r="AB326" s="127"/>
      <c r="AC326" s="127"/>
      <c r="AD326" s="58" t="str" cm="1">
        <f>IFERROR(IF(ISBLANK($A326),"",INDEX(Array_StationaryCharges,MATCH($A326,List_StationaryFuelMeters,0),ROUNDUP((COLUMN()+1)/3-2,0))),"")</f>
        <v/>
      </c>
      <c r="AE326" s="127"/>
      <c r="AF326" s="127"/>
      <c r="AG326" s="58" t="str" cm="1">
        <f>IFERROR(IF(ISBLANK($A326),"",INDEX(Array_StationaryCharges,MATCH($A326,List_StationaryFuelMeters,0),ROUNDUP((COLUMN()+1)/3-2,0))),"")</f>
        <v/>
      </c>
      <c r="AH326" s="127"/>
      <c r="AI326" s="127"/>
      <c r="AJ326" s="58" t="str" cm="1">
        <f>IFERROR(IF(ISBLANK($A326),"",INDEX(Array_StationaryCharges,MATCH($A326,List_StationaryFuelMeters,0),ROUNDUP((COLUMN()+1)/3-2,0))),"")</f>
        <v/>
      </c>
      <c r="AK326" s="127"/>
      <c r="AL326" s="127"/>
      <c r="AM326" s="58" t="str" cm="1">
        <f>IFERROR(IF(ISBLANK($A326),"",INDEX(Array_StationaryCharges,MATCH($A326,List_StationaryFuelMeters,0),ROUNDUP((COLUMN()+1)/3-2,0))),"")</f>
        <v/>
      </c>
      <c r="AN326" s="127"/>
      <c r="AO326" s="127"/>
      <c r="AP326" s="58" t="str" cm="1">
        <f>IFERROR(IF(ISBLANK($A326),"",INDEX(Array_StationaryCharges,MATCH($A326,List_StationaryFuelMeters,0),ROUNDUP((COLUMN()+1)/3-2,0))),"")</f>
        <v/>
      </c>
      <c r="AQ326" s="127"/>
      <c r="AR326" s="127"/>
      <c r="AS326" s="58" t="str" cm="1">
        <f>IFERROR(IF(ISBLANK($A326),"",INDEX(Array_StationaryCharges,MATCH($A326,List_StationaryFuelMeters,0),ROUNDUP((COLUMN()+1)/3-2,0))),"")</f>
        <v/>
      </c>
      <c r="AT326" s="127"/>
      <c r="AU326" s="127"/>
      <c r="AV326" s="58" t="str" cm="1">
        <f>IFERROR(IF(ISBLANK($A326),"",INDEX(Array_StationaryCharges,MATCH($A326,List_StationaryFuelMeters,0),ROUNDUP((COLUMN()+1)/3-2,0))),"")</f>
        <v/>
      </c>
      <c r="AW326" s="127"/>
      <c r="AX326" s="127"/>
    </row>
    <row r="327" spans="1:50" x14ac:dyDescent="0.3">
      <c r="A327" s="126"/>
      <c r="B327" s="133"/>
      <c r="C327" s="127"/>
      <c r="D327" s="138"/>
      <c r="E327" s="138"/>
      <c r="F327" s="58" t="str" cm="1">
        <f>IFERROR(IF(ISBLANK($A327),"",INDEX(Array_StationaryCharges,MATCH($A327,List_StationaryFuelMeters,0),ROUNDUP((COLUMN()+1)/3-2,0))),"")</f>
        <v/>
      </c>
      <c r="G327" s="127"/>
      <c r="H327" s="127"/>
      <c r="I327" s="58" t="str" cm="1">
        <f>IFERROR(IF(ISBLANK($A327),"",INDEX(Array_StationaryCharges,MATCH($A327,List_StationaryFuelMeters,0),ROUNDUP((COLUMN()+1)/3-2,0))),"")</f>
        <v/>
      </c>
      <c r="J327" s="127"/>
      <c r="K327" s="127"/>
      <c r="L327" s="58" t="str" cm="1">
        <f>IFERROR(IF(ISBLANK($A327),"",INDEX(Array_StationaryCharges,MATCH($A327,List_StationaryFuelMeters,0),ROUNDUP((COLUMN()+1)/3-2,0))),"")</f>
        <v/>
      </c>
      <c r="M327" s="127"/>
      <c r="N327" s="127"/>
      <c r="O327" s="58" t="str" cm="1">
        <f>IFERROR(IF(ISBLANK($A327),"",INDEX(Array_StationaryCharges,MATCH($A327,List_StationaryFuelMeters,0),ROUNDUP((COLUMN()+1)/3-2,0))),"")</f>
        <v/>
      </c>
      <c r="P327" s="127"/>
      <c r="Q327" s="127"/>
      <c r="R327" s="58" t="str" cm="1">
        <f>IFERROR(IF(ISBLANK($A327),"",INDEX(Array_StationaryCharges,MATCH($A327,List_StationaryFuelMeters,0),ROUNDUP((COLUMN()+1)/3-2,0))),"")</f>
        <v/>
      </c>
      <c r="S327" s="127"/>
      <c r="T327" s="127"/>
      <c r="U327" s="58" t="str" cm="1">
        <f>IFERROR(IF(ISBLANK($A327),"",INDEX(Array_StationaryCharges,MATCH($A327,List_StationaryFuelMeters,0),ROUNDUP((COLUMN()+1)/3-2,0))),"")</f>
        <v/>
      </c>
      <c r="V327" s="127"/>
      <c r="W327" s="127"/>
      <c r="X327" s="58" t="str" cm="1">
        <f>IFERROR(IF(ISBLANK($A327),"",INDEX(Array_StationaryCharges,MATCH($A327,List_StationaryFuelMeters,0),ROUNDUP((COLUMN()+1)/3-2,0))),"")</f>
        <v/>
      </c>
      <c r="Y327" s="127"/>
      <c r="Z327" s="127"/>
      <c r="AA327" s="58" t="str" cm="1">
        <f>IFERROR(IF(ISBLANK($A327),"",INDEX(Array_StationaryCharges,MATCH($A327,List_StationaryFuelMeters,0),ROUNDUP((COLUMN()+1)/3-2,0))),"")</f>
        <v/>
      </c>
      <c r="AB327" s="127"/>
      <c r="AC327" s="127"/>
      <c r="AD327" s="58" t="str" cm="1">
        <f>IFERROR(IF(ISBLANK($A327),"",INDEX(Array_StationaryCharges,MATCH($A327,List_StationaryFuelMeters,0),ROUNDUP((COLUMN()+1)/3-2,0))),"")</f>
        <v/>
      </c>
      <c r="AE327" s="127"/>
      <c r="AF327" s="127"/>
      <c r="AG327" s="58" t="str" cm="1">
        <f>IFERROR(IF(ISBLANK($A327),"",INDEX(Array_StationaryCharges,MATCH($A327,List_StationaryFuelMeters,0),ROUNDUP((COLUMN()+1)/3-2,0))),"")</f>
        <v/>
      </c>
      <c r="AH327" s="127"/>
      <c r="AI327" s="127"/>
      <c r="AJ327" s="58" t="str" cm="1">
        <f>IFERROR(IF(ISBLANK($A327),"",INDEX(Array_StationaryCharges,MATCH($A327,List_StationaryFuelMeters,0),ROUNDUP((COLUMN()+1)/3-2,0))),"")</f>
        <v/>
      </c>
      <c r="AK327" s="127"/>
      <c r="AL327" s="127"/>
      <c r="AM327" s="58" t="str" cm="1">
        <f>IFERROR(IF(ISBLANK($A327),"",INDEX(Array_StationaryCharges,MATCH($A327,List_StationaryFuelMeters,0),ROUNDUP((COLUMN()+1)/3-2,0))),"")</f>
        <v/>
      </c>
      <c r="AN327" s="127"/>
      <c r="AO327" s="127"/>
      <c r="AP327" s="58" t="str" cm="1">
        <f>IFERROR(IF(ISBLANK($A327),"",INDEX(Array_StationaryCharges,MATCH($A327,List_StationaryFuelMeters,0),ROUNDUP((COLUMN()+1)/3-2,0))),"")</f>
        <v/>
      </c>
      <c r="AQ327" s="127"/>
      <c r="AR327" s="127"/>
      <c r="AS327" s="58" t="str" cm="1">
        <f>IFERROR(IF(ISBLANK($A327),"",INDEX(Array_StationaryCharges,MATCH($A327,List_StationaryFuelMeters,0),ROUNDUP((COLUMN()+1)/3-2,0))),"")</f>
        <v/>
      </c>
      <c r="AT327" s="127"/>
      <c r="AU327" s="127"/>
      <c r="AV327" s="58" t="str" cm="1">
        <f>IFERROR(IF(ISBLANK($A327),"",INDEX(Array_StationaryCharges,MATCH($A327,List_StationaryFuelMeters,0),ROUNDUP((COLUMN()+1)/3-2,0))),"")</f>
        <v/>
      </c>
      <c r="AW327" s="127"/>
      <c r="AX327" s="127"/>
    </row>
    <row r="328" spans="1:50" x14ac:dyDescent="0.3">
      <c r="A328" s="126"/>
      <c r="B328" s="133"/>
      <c r="C328" s="127"/>
      <c r="D328" s="138"/>
      <c r="E328" s="138"/>
      <c r="F328" s="58" t="str" cm="1">
        <f>IFERROR(IF(ISBLANK($A328),"",INDEX(Array_StationaryCharges,MATCH($A328,List_StationaryFuelMeters,0),ROUNDUP((COLUMN()+1)/3-2,0))),"")</f>
        <v/>
      </c>
      <c r="G328" s="127"/>
      <c r="H328" s="127"/>
      <c r="I328" s="58" t="str" cm="1">
        <f>IFERROR(IF(ISBLANK($A328),"",INDEX(Array_StationaryCharges,MATCH($A328,List_StationaryFuelMeters,0),ROUNDUP((COLUMN()+1)/3-2,0))),"")</f>
        <v/>
      </c>
      <c r="J328" s="127"/>
      <c r="K328" s="127"/>
      <c r="L328" s="58" t="str" cm="1">
        <f>IFERROR(IF(ISBLANK($A328),"",INDEX(Array_StationaryCharges,MATCH($A328,List_StationaryFuelMeters,0),ROUNDUP((COLUMN()+1)/3-2,0))),"")</f>
        <v/>
      </c>
      <c r="M328" s="127"/>
      <c r="N328" s="127"/>
      <c r="O328" s="58" t="str" cm="1">
        <f>IFERROR(IF(ISBLANK($A328),"",INDEX(Array_StationaryCharges,MATCH($A328,List_StationaryFuelMeters,0),ROUNDUP((COLUMN()+1)/3-2,0))),"")</f>
        <v/>
      </c>
      <c r="P328" s="127"/>
      <c r="Q328" s="127"/>
      <c r="R328" s="58" t="str" cm="1">
        <f>IFERROR(IF(ISBLANK($A328),"",INDEX(Array_StationaryCharges,MATCH($A328,List_StationaryFuelMeters,0),ROUNDUP((COLUMN()+1)/3-2,0))),"")</f>
        <v/>
      </c>
      <c r="S328" s="127"/>
      <c r="T328" s="127"/>
      <c r="U328" s="58" t="str" cm="1">
        <f>IFERROR(IF(ISBLANK($A328),"",INDEX(Array_StationaryCharges,MATCH($A328,List_StationaryFuelMeters,0),ROUNDUP((COLUMN()+1)/3-2,0))),"")</f>
        <v/>
      </c>
      <c r="V328" s="127"/>
      <c r="W328" s="127"/>
      <c r="X328" s="58" t="str" cm="1">
        <f>IFERROR(IF(ISBLANK($A328),"",INDEX(Array_StationaryCharges,MATCH($A328,List_StationaryFuelMeters,0),ROUNDUP((COLUMN()+1)/3-2,0))),"")</f>
        <v/>
      </c>
      <c r="Y328" s="127"/>
      <c r="Z328" s="127"/>
      <c r="AA328" s="58" t="str" cm="1">
        <f>IFERROR(IF(ISBLANK($A328),"",INDEX(Array_StationaryCharges,MATCH($A328,List_StationaryFuelMeters,0),ROUNDUP((COLUMN()+1)/3-2,0))),"")</f>
        <v/>
      </c>
      <c r="AB328" s="127"/>
      <c r="AC328" s="127"/>
      <c r="AD328" s="58" t="str" cm="1">
        <f>IFERROR(IF(ISBLANK($A328),"",INDEX(Array_StationaryCharges,MATCH($A328,List_StationaryFuelMeters,0),ROUNDUP((COLUMN()+1)/3-2,0))),"")</f>
        <v/>
      </c>
      <c r="AE328" s="127"/>
      <c r="AF328" s="127"/>
      <c r="AG328" s="58" t="str" cm="1">
        <f>IFERROR(IF(ISBLANK($A328),"",INDEX(Array_StationaryCharges,MATCH($A328,List_StationaryFuelMeters,0),ROUNDUP((COLUMN()+1)/3-2,0))),"")</f>
        <v/>
      </c>
      <c r="AH328" s="127"/>
      <c r="AI328" s="127"/>
      <c r="AJ328" s="58" t="str" cm="1">
        <f>IFERROR(IF(ISBLANK($A328),"",INDEX(Array_StationaryCharges,MATCH($A328,List_StationaryFuelMeters,0),ROUNDUP((COLUMN()+1)/3-2,0))),"")</f>
        <v/>
      </c>
      <c r="AK328" s="127"/>
      <c r="AL328" s="127"/>
      <c r="AM328" s="58" t="str" cm="1">
        <f>IFERROR(IF(ISBLANK($A328),"",INDEX(Array_StationaryCharges,MATCH($A328,List_StationaryFuelMeters,0),ROUNDUP((COLUMN()+1)/3-2,0))),"")</f>
        <v/>
      </c>
      <c r="AN328" s="127"/>
      <c r="AO328" s="127"/>
      <c r="AP328" s="58" t="str" cm="1">
        <f>IFERROR(IF(ISBLANK($A328),"",INDEX(Array_StationaryCharges,MATCH($A328,List_StationaryFuelMeters,0),ROUNDUP((COLUMN()+1)/3-2,0))),"")</f>
        <v/>
      </c>
      <c r="AQ328" s="127"/>
      <c r="AR328" s="127"/>
      <c r="AS328" s="58" t="str" cm="1">
        <f>IFERROR(IF(ISBLANK($A328),"",INDEX(Array_StationaryCharges,MATCH($A328,List_StationaryFuelMeters,0),ROUNDUP((COLUMN()+1)/3-2,0))),"")</f>
        <v/>
      </c>
      <c r="AT328" s="127"/>
      <c r="AU328" s="127"/>
      <c r="AV328" s="58" t="str" cm="1">
        <f>IFERROR(IF(ISBLANK($A328),"",INDEX(Array_StationaryCharges,MATCH($A328,List_StationaryFuelMeters,0),ROUNDUP((COLUMN()+1)/3-2,0))),"")</f>
        <v/>
      </c>
      <c r="AW328" s="127"/>
      <c r="AX328" s="127"/>
    </row>
    <row r="329" spans="1:50" x14ac:dyDescent="0.3">
      <c r="A329" s="126"/>
      <c r="B329" s="133"/>
      <c r="C329" s="127"/>
      <c r="D329" s="138"/>
      <c r="E329" s="138"/>
      <c r="F329" s="58" t="str" cm="1">
        <f>IFERROR(IF(ISBLANK($A329),"",INDEX(Array_StationaryCharges,MATCH($A329,List_StationaryFuelMeters,0),ROUNDUP((COLUMN()+1)/3-2,0))),"")</f>
        <v/>
      </c>
      <c r="G329" s="127"/>
      <c r="H329" s="127"/>
      <c r="I329" s="58" t="str" cm="1">
        <f>IFERROR(IF(ISBLANK($A329),"",INDEX(Array_StationaryCharges,MATCH($A329,List_StationaryFuelMeters,0),ROUNDUP((COLUMN()+1)/3-2,0))),"")</f>
        <v/>
      </c>
      <c r="J329" s="127"/>
      <c r="K329" s="127"/>
      <c r="L329" s="58" t="str" cm="1">
        <f>IFERROR(IF(ISBLANK($A329),"",INDEX(Array_StationaryCharges,MATCH($A329,List_StationaryFuelMeters,0),ROUNDUP((COLUMN()+1)/3-2,0))),"")</f>
        <v/>
      </c>
      <c r="M329" s="127"/>
      <c r="N329" s="127"/>
      <c r="O329" s="58" t="str" cm="1">
        <f>IFERROR(IF(ISBLANK($A329),"",INDEX(Array_StationaryCharges,MATCH($A329,List_StationaryFuelMeters,0),ROUNDUP((COLUMN()+1)/3-2,0))),"")</f>
        <v/>
      </c>
      <c r="P329" s="127"/>
      <c r="Q329" s="127"/>
      <c r="R329" s="58" t="str" cm="1">
        <f>IFERROR(IF(ISBLANK($A329),"",INDEX(Array_StationaryCharges,MATCH($A329,List_StationaryFuelMeters,0),ROUNDUP((COLUMN()+1)/3-2,0))),"")</f>
        <v/>
      </c>
      <c r="S329" s="127"/>
      <c r="T329" s="127"/>
      <c r="U329" s="58" t="str" cm="1">
        <f>IFERROR(IF(ISBLANK($A329),"",INDEX(Array_StationaryCharges,MATCH($A329,List_StationaryFuelMeters,0),ROUNDUP((COLUMN()+1)/3-2,0))),"")</f>
        <v/>
      </c>
      <c r="V329" s="127"/>
      <c r="W329" s="127"/>
      <c r="X329" s="58" t="str" cm="1">
        <f>IFERROR(IF(ISBLANK($A329),"",INDEX(Array_StationaryCharges,MATCH($A329,List_StationaryFuelMeters,0),ROUNDUP((COLUMN()+1)/3-2,0))),"")</f>
        <v/>
      </c>
      <c r="Y329" s="127"/>
      <c r="Z329" s="127"/>
      <c r="AA329" s="58" t="str" cm="1">
        <f>IFERROR(IF(ISBLANK($A329),"",INDEX(Array_StationaryCharges,MATCH($A329,List_StationaryFuelMeters,0),ROUNDUP((COLUMN()+1)/3-2,0))),"")</f>
        <v/>
      </c>
      <c r="AB329" s="127"/>
      <c r="AC329" s="127"/>
      <c r="AD329" s="58" t="str" cm="1">
        <f>IFERROR(IF(ISBLANK($A329),"",INDEX(Array_StationaryCharges,MATCH($A329,List_StationaryFuelMeters,0),ROUNDUP((COLUMN()+1)/3-2,0))),"")</f>
        <v/>
      </c>
      <c r="AE329" s="127"/>
      <c r="AF329" s="127"/>
      <c r="AG329" s="58" t="str" cm="1">
        <f>IFERROR(IF(ISBLANK($A329),"",INDEX(Array_StationaryCharges,MATCH($A329,List_StationaryFuelMeters,0),ROUNDUP((COLUMN()+1)/3-2,0))),"")</f>
        <v/>
      </c>
      <c r="AH329" s="127"/>
      <c r="AI329" s="127"/>
      <c r="AJ329" s="58" t="str" cm="1">
        <f>IFERROR(IF(ISBLANK($A329),"",INDEX(Array_StationaryCharges,MATCH($A329,List_StationaryFuelMeters,0),ROUNDUP((COLUMN()+1)/3-2,0))),"")</f>
        <v/>
      </c>
      <c r="AK329" s="127"/>
      <c r="AL329" s="127"/>
      <c r="AM329" s="58" t="str" cm="1">
        <f>IFERROR(IF(ISBLANK($A329),"",INDEX(Array_StationaryCharges,MATCH($A329,List_StationaryFuelMeters,0),ROUNDUP((COLUMN()+1)/3-2,0))),"")</f>
        <v/>
      </c>
      <c r="AN329" s="127"/>
      <c r="AO329" s="127"/>
      <c r="AP329" s="58" t="str" cm="1">
        <f>IFERROR(IF(ISBLANK($A329),"",INDEX(Array_StationaryCharges,MATCH($A329,List_StationaryFuelMeters,0),ROUNDUP((COLUMN()+1)/3-2,0))),"")</f>
        <v/>
      </c>
      <c r="AQ329" s="127"/>
      <c r="AR329" s="127"/>
      <c r="AS329" s="58" t="str" cm="1">
        <f>IFERROR(IF(ISBLANK($A329),"",INDEX(Array_StationaryCharges,MATCH($A329,List_StationaryFuelMeters,0),ROUNDUP((COLUMN()+1)/3-2,0))),"")</f>
        <v/>
      </c>
      <c r="AT329" s="127"/>
      <c r="AU329" s="127"/>
      <c r="AV329" s="58" t="str" cm="1">
        <f>IFERROR(IF(ISBLANK($A329),"",INDEX(Array_StationaryCharges,MATCH($A329,List_StationaryFuelMeters,0),ROUNDUP((COLUMN()+1)/3-2,0))),"")</f>
        <v/>
      </c>
      <c r="AW329" s="127"/>
      <c r="AX329" s="127"/>
    </row>
    <row r="330" spans="1:50" x14ac:dyDescent="0.3">
      <c r="A330" s="126"/>
      <c r="B330" s="133"/>
      <c r="C330" s="127"/>
      <c r="D330" s="138"/>
      <c r="E330" s="138"/>
      <c r="F330" s="58" t="str" cm="1">
        <f>IFERROR(IF(ISBLANK($A330),"",INDEX(Array_StationaryCharges,MATCH($A330,List_StationaryFuelMeters,0),ROUNDUP((COLUMN()+1)/3-2,0))),"")</f>
        <v/>
      </c>
      <c r="G330" s="127"/>
      <c r="H330" s="127"/>
      <c r="I330" s="58" t="str" cm="1">
        <f>IFERROR(IF(ISBLANK($A330),"",INDEX(Array_StationaryCharges,MATCH($A330,List_StationaryFuelMeters,0),ROUNDUP((COLUMN()+1)/3-2,0))),"")</f>
        <v/>
      </c>
      <c r="J330" s="127"/>
      <c r="K330" s="127"/>
      <c r="L330" s="58" t="str" cm="1">
        <f>IFERROR(IF(ISBLANK($A330),"",INDEX(Array_StationaryCharges,MATCH($A330,List_StationaryFuelMeters,0),ROUNDUP((COLUMN()+1)/3-2,0))),"")</f>
        <v/>
      </c>
      <c r="M330" s="127"/>
      <c r="N330" s="127"/>
      <c r="O330" s="58" t="str" cm="1">
        <f>IFERROR(IF(ISBLANK($A330),"",INDEX(Array_StationaryCharges,MATCH($A330,List_StationaryFuelMeters,0),ROUNDUP((COLUMN()+1)/3-2,0))),"")</f>
        <v/>
      </c>
      <c r="P330" s="127"/>
      <c r="Q330" s="127"/>
      <c r="R330" s="58" t="str" cm="1">
        <f>IFERROR(IF(ISBLANK($A330),"",INDEX(Array_StationaryCharges,MATCH($A330,List_StationaryFuelMeters,0),ROUNDUP((COLUMN()+1)/3-2,0))),"")</f>
        <v/>
      </c>
      <c r="S330" s="127"/>
      <c r="T330" s="127"/>
      <c r="U330" s="58" t="str" cm="1">
        <f>IFERROR(IF(ISBLANK($A330),"",INDEX(Array_StationaryCharges,MATCH($A330,List_StationaryFuelMeters,0),ROUNDUP((COLUMN()+1)/3-2,0))),"")</f>
        <v/>
      </c>
      <c r="V330" s="127"/>
      <c r="W330" s="127"/>
      <c r="X330" s="58" t="str" cm="1">
        <f>IFERROR(IF(ISBLANK($A330),"",INDEX(Array_StationaryCharges,MATCH($A330,List_StationaryFuelMeters,0),ROUNDUP((COLUMN()+1)/3-2,0))),"")</f>
        <v/>
      </c>
      <c r="Y330" s="127"/>
      <c r="Z330" s="127"/>
      <c r="AA330" s="58" t="str" cm="1">
        <f>IFERROR(IF(ISBLANK($A330),"",INDEX(Array_StationaryCharges,MATCH($A330,List_StationaryFuelMeters,0),ROUNDUP((COLUMN()+1)/3-2,0))),"")</f>
        <v/>
      </c>
      <c r="AB330" s="127"/>
      <c r="AC330" s="127"/>
      <c r="AD330" s="58" t="str" cm="1">
        <f>IFERROR(IF(ISBLANK($A330),"",INDEX(Array_StationaryCharges,MATCH($A330,List_StationaryFuelMeters,0),ROUNDUP((COLUMN()+1)/3-2,0))),"")</f>
        <v/>
      </c>
      <c r="AE330" s="127"/>
      <c r="AF330" s="127"/>
      <c r="AG330" s="58" t="str" cm="1">
        <f>IFERROR(IF(ISBLANK($A330),"",INDEX(Array_StationaryCharges,MATCH($A330,List_StationaryFuelMeters,0),ROUNDUP((COLUMN()+1)/3-2,0))),"")</f>
        <v/>
      </c>
      <c r="AH330" s="127"/>
      <c r="AI330" s="127"/>
      <c r="AJ330" s="58" t="str" cm="1">
        <f>IFERROR(IF(ISBLANK($A330),"",INDEX(Array_StationaryCharges,MATCH($A330,List_StationaryFuelMeters,0),ROUNDUP((COLUMN()+1)/3-2,0))),"")</f>
        <v/>
      </c>
      <c r="AK330" s="127"/>
      <c r="AL330" s="127"/>
      <c r="AM330" s="58" t="str" cm="1">
        <f>IFERROR(IF(ISBLANK($A330),"",INDEX(Array_StationaryCharges,MATCH($A330,List_StationaryFuelMeters,0),ROUNDUP((COLUMN()+1)/3-2,0))),"")</f>
        <v/>
      </c>
      <c r="AN330" s="127"/>
      <c r="AO330" s="127"/>
      <c r="AP330" s="58" t="str" cm="1">
        <f>IFERROR(IF(ISBLANK($A330),"",INDEX(Array_StationaryCharges,MATCH($A330,List_StationaryFuelMeters,0),ROUNDUP((COLUMN()+1)/3-2,0))),"")</f>
        <v/>
      </c>
      <c r="AQ330" s="127"/>
      <c r="AR330" s="127"/>
      <c r="AS330" s="58" t="str" cm="1">
        <f>IFERROR(IF(ISBLANK($A330),"",INDEX(Array_StationaryCharges,MATCH($A330,List_StationaryFuelMeters,0),ROUNDUP((COLUMN()+1)/3-2,0))),"")</f>
        <v/>
      </c>
      <c r="AT330" s="127"/>
      <c r="AU330" s="127"/>
      <c r="AV330" s="58" t="str" cm="1">
        <f>IFERROR(IF(ISBLANK($A330),"",INDEX(Array_StationaryCharges,MATCH($A330,List_StationaryFuelMeters,0),ROUNDUP((COLUMN()+1)/3-2,0))),"")</f>
        <v/>
      </c>
      <c r="AW330" s="127"/>
      <c r="AX330" s="127"/>
    </row>
    <row r="331" spans="1:50" x14ac:dyDescent="0.3">
      <c r="A331" s="126"/>
      <c r="B331" s="133"/>
      <c r="C331" s="127"/>
      <c r="D331" s="138"/>
      <c r="E331" s="138"/>
      <c r="F331" s="58" t="str" cm="1">
        <f>IFERROR(IF(ISBLANK($A331),"",INDEX(Array_StationaryCharges,MATCH($A331,List_StationaryFuelMeters,0),ROUNDUP((COLUMN()+1)/3-2,0))),"")</f>
        <v/>
      </c>
      <c r="G331" s="127"/>
      <c r="H331" s="127"/>
      <c r="I331" s="58" t="str" cm="1">
        <f>IFERROR(IF(ISBLANK($A331),"",INDEX(Array_StationaryCharges,MATCH($A331,List_StationaryFuelMeters,0),ROUNDUP((COLUMN()+1)/3-2,0))),"")</f>
        <v/>
      </c>
      <c r="J331" s="127"/>
      <c r="K331" s="127"/>
      <c r="L331" s="58" t="str" cm="1">
        <f>IFERROR(IF(ISBLANK($A331),"",INDEX(Array_StationaryCharges,MATCH($A331,List_StationaryFuelMeters,0),ROUNDUP((COLUMN()+1)/3-2,0))),"")</f>
        <v/>
      </c>
      <c r="M331" s="127"/>
      <c r="N331" s="127"/>
      <c r="O331" s="58" t="str" cm="1">
        <f>IFERROR(IF(ISBLANK($A331),"",INDEX(Array_StationaryCharges,MATCH($A331,List_StationaryFuelMeters,0),ROUNDUP((COLUMN()+1)/3-2,0))),"")</f>
        <v/>
      </c>
      <c r="P331" s="127"/>
      <c r="Q331" s="127"/>
      <c r="R331" s="58" t="str" cm="1">
        <f>IFERROR(IF(ISBLANK($A331),"",INDEX(Array_StationaryCharges,MATCH($A331,List_StationaryFuelMeters,0),ROUNDUP((COLUMN()+1)/3-2,0))),"")</f>
        <v/>
      </c>
      <c r="S331" s="127"/>
      <c r="T331" s="127"/>
      <c r="U331" s="58" t="str" cm="1">
        <f>IFERROR(IF(ISBLANK($A331),"",INDEX(Array_StationaryCharges,MATCH($A331,List_StationaryFuelMeters,0),ROUNDUP((COLUMN()+1)/3-2,0))),"")</f>
        <v/>
      </c>
      <c r="V331" s="127"/>
      <c r="W331" s="127"/>
      <c r="X331" s="58" t="str" cm="1">
        <f>IFERROR(IF(ISBLANK($A331),"",INDEX(Array_StationaryCharges,MATCH($A331,List_StationaryFuelMeters,0),ROUNDUP((COLUMN()+1)/3-2,0))),"")</f>
        <v/>
      </c>
      <c r="Y331" s="127"/>
      <c r="Z331" s="127"/>
      <c r="AA331" s="58" t="str" cm="1">
        <f>IFERROR(IF(ISBLANK($A331),"",INDEX(Array_StationaryCharges,MATCH($A331,List_StationaryFuelMeters,0),ROUNDUP((COLUMN()+1)/3-2,0))),"")</f>
        <v/>
      </c>
      <c r="AB331" s="127"/>
      <c r="AC331" s="127"/>
      <c r="AD331" s="58" t="str" cm="1">
        <f>IFERROR(IF(ISBLANK($A331),"",INDEX(Array_StationaryCharges,MATCH($A331,List_StationaryFuelMeters,0),ROUNDUP((COLUMN()+1)/3-2,0))),"")</f>
        <v/>
      </c>
      <c r="AE331" s="127"/>
      <c r="AF331" s="127"/>
      <c r="AG331" s="58" t="str" cm="1">
        <f>IFERROR(IF(ISBLANK($A331),"",INDEX(Array_StationaryCharges,MATCH($A331,List_StationaryFuelMeters,0),ROUNDUP((COLUMN()+1)/3-2,0))),"")</f>
        <v/>
      </c>
      <c r="AH331" s="127"/>
      <c r="AI331" s="127"/>
      <c r="AJ331" s="58" t="str" cm="1">
        <f>IFERROR(IF(ISBLANK($A331),"",INDEX(Array_StationaryCharges,MATCH($A331,List_StationaryFuelMeters,0),ROUNDUP((COLUMN()+1)/3-2,0))),"")</f>
        <v/>
      </c>
      <c r="AK331" s="127"/>
      <c r="AL331" s="127"/>
      <c r="AM331" s="58" t="str" cm="1">
        <f>IFERROR(IF(ISBLANK($A331),"",INDEX(Array_StationaryCharges,MATCH($A331,List_StationaryFuelMeters,0),ROUNDUP((COLUMN()+1)/3-2,0))),"")</f>
        <v/>
      </c>
      <c r="AN331" s="127"/>
      <c r="AO331" s="127"/>
      <c r="AP331" s="58" t="str" cm="1">
        <f>IFERROR(IF(ISBLANK($A331),"",INDEX(Array_StationaryCharges,MATCH($A331,List_StationaryFuelMeters,0),ROUNDUP((COLUMN()+1)/3-2,0))),"")</f>
        <v/>
      </c>
      <c r="AQ331" s="127"/>
      <c r="AR331" s="127"/>
      <c r="AS331" s="58" t="str" cm="1">
        <f>IFERROR(IF(ISBLANK($A331),"",INDEX(Array_StationaryCharges,MATCH($A331,List_StationaryFuelMeters,0),ROUNDUP((COLUMN()+1)/3-2,0))),"")</f>
        <v/>
      </c>
      <c r="AT331" s="127"/>
      <c r="AU331" s="127"/>
      <c r="AV331" s="58" t="str" cm="1">
        <f>IFERROR(IF(ISBLANK($A331),"",INDEX(Array_StationaryCharges,MATCH($A331,List_StationaryFuelMeters,0),ROUNDUP((COLUMN()+1)/3-2,0))),"")</f>
        <v/>
      </c>
      <c r="AW331" s="127"/>
      <c r="AX331" s="127"/>
    </row>
    <row r="332" spans="1:50" x14ac:dyDescent="0.3">
      <c r="A332" s="126"/>
      <c r="B332" s="133"/>
      <c r="C332" s="127"/>
      <c r="D332" s="138"/>
      <c r="E332" s="138"/>
      <c r="F332" s="58" t="str" cm="1">
        <f>IFERROR(IF(ISBLANK($A332),"",INDEX(Array_StationaryCharges,MATCH($A332,List_StationaryFuelMeters,0),ROUNDUP((COLUMN()+1)/3-2,0))),"")</f>
        <v/>
      </c>
      <c r="G332" s="127"/>
      <c r="H332" s="127"/>
      <c r="I332" s="58" t="str" cm="1">
        <f>IFERROR(IF(ISBLANK($A332),"",INDEX(Array_StationaryCharges,MATCH($A332,List_StationaryFuelMeters,0),ROUNDUP((COLUMN()+1)/3-2,0))),"")</f>
        <v/>
      </c>
      <c r="J332" s="127"/>
      <c r="K332" s="127"/>
      <c r="L332" s="58" t="str" cm="1">
        <f>IFERROR(IF(ISBLANK($A332),"",INDEX(Array_StationaryCharges,MATCH($A332,List_StationaryFuelMeters,0),ROUNDUP((COLUMN()+1)/3-2,0))),"")</f>
        <v/>
      </c>
      <c r="M332" s="127"/>
      <c r="N332" s="127"/>
      <c r="O332" s="58" t="str" cm="1">
        <f>IFERROR(IF(ISBLANK($A332),"",INDEX(Array_StationaryCharges,MATCH($A332,List_StationaryFuelMeters,0),ROUNDUP((COLUMN()+1)/3-2,0))),"")</f>
        <v/>
      </c>
      <c r="P332" s="127"/>
      <c r="Q332" s="127"/>
      <c r="R332" s="58" t="str" cm="1">
        <f>IFERROR(IF(ISBLANK($A332),"",INDEX(Array_StationaryCharges,MATCH($A332,List_StationaryFuelMeters,0),ROUNDUP((COLUMN()+1)/3-2,0))),"")</f>
        <v/>
      </c>
      <c r="S332" s="127"/>
      <c r="T332" s="127"/>
      <c r="U332" s="58" t="str" cm="1">
        <f>IFERROR(IF(ISBLANK($A332),"",INDEX(Array_StationaryCharges,MATCH($A332,List_StationaryFuelMeters,0),ROUNDUP((COLUMN()+1)/3-2,0))),"")</f>
        <v/>
      </c>
      <c r="V332" s="127"/>
      <c r="W332" s="127"/>
      <c r="X332" s="58" t="str" cm="1">
        <f>IFERROR(IF(ISBLANK($A332),"",INDEX(Array_StationaryCharges,MATCH($A332,List_StationaryFuelMeters,0),ROUNDUP((COLUMN()+1)/3-2,0))),"")</f>
        <v/>
      </c>
      <c r="Y332" s="127"/>
      <c r="Z332" s="127"/>
      <c r="AA332" s="58" t="str" cm="1">
        <f>IFERROR(IF(ISBLANK($A332),"",INDEX(Array_StationaryCharges,MATCH($A332,List_StationaryFuelMeters,0),ROUNDUP((COLUMN()+1)/3-2,0))),"")</f>
        <v/>
      </c>
      <c r="AB332" s="127"/>
      <c r="AC332" s="127"/>
      <c r="AD332" s="58" t="str" cm="1">
        <f>IFERROR(IF(ISBLANK($A332),"",INDEX(Array_StationaryCharges,MATCH($A332,List_StationaryFuelMeters,0),ROUNDUP((COLUMN()+1)/3-2,0))),"")</f>
        <v/>
      </c>
      <c r="AE332" s="127"/>
      <c r="AF332" s="127"/>
      <c r="AG332" s="58" t="str" cm="1">
        <f>IFERROR(IF(ISBLANK($A332),"",INDEX(Array_StationaryCharges,MATCH($A332,List_StationaryFuelMeters,0),ROUNDUP((COLUMN()+1)/3-2,0))),"")</f>
        <v/>
      </c>
      <c r="AH332" s="127"/>
      <c r="AI332" s="127"/>
      <c r="AJ332" s="58" t="str" cm="1">
        <f>IFERROR(IF(ISBLANK($A332),"",INDEX(Array_StationaryCharges,MATCH($A332,List_StationaryFuelMeters,0),ROUNDUP((COLUMN()+1)/3-2,0))),"")</f>
        <v/>
      </c>
      <c r="AK332" s="127"/>
      <c r="AL332" s="127"/>
      <c r="AM332" s="58" t="str" cm="1">
        <f>IFERROR(IF(ISBLANK($A332),"",INDEX(Array_StationaryCharges,MATCH($A332,List_StationaryFuelMeters,0),ROUNDUP((COLUMN()+1)/3-2,0))),"")</f>
        <v/>
      </c>
      <c r="AN332" s="127"/>
      <c r="AO332" s="127"/>
      <c r="AP332" s="58" t="str" cm="1">
        <f>IFERROR(IF(ISBLANK($A332),"",INDEX(Array_StationaryCharges,MATCH($A332,List_StationaryFuelMeters,0),ROUNDUP((COLUMN()+1)/3-2,0))),"")</f>
        <v/>
      </c>
      <c r="AQ332" s="127"/>
      <c r="AR332" s="127"/>
      <c r="AS332" s="58" t="str" cm="1">
        <f>IFERROR(IF(ISBLANK($A332),"",INDEX(Array_StationaryCharges,MATCH($A332,List_StationaryFuelMeters,0),ROUNDUP((COLUMN()+1)/3-2,0))),"")</f>
        <v/>
      </c>
      <c r="AT332" s="127"/>
      <c r="AU332" s="127"/>
      <c r="AV332" s="58" t="str" cm="1">
        <f>IFERROR(IF(ISBLANK($A332),"",INDEX(Array_StationaryCharges,MATCH($A332,List_StationaryFuelMeters,0),ROUNDUP((COLUMN()+1)/3-2,0))),"")</f>
        <v/>
      </c>
      <c r="AW332" s="127"/>
      <c r="AX332" s="127"/>
    </row>
    <row r="333" spans="1:50" x14ac:dyDescent="0.3">
      <c r="A333" s="126"/>
      <c r="B333" s="133"/>
      <c r="C333" s="127"/>
      <c r="D333" s="138"/>
      <c r="E333" s="138"/>
      <c r="F333" s="58" t="str" cm="1">
        <f>IFERROR(IF(ISBLANK($A333),"",INDEX(Array_StationaryCharges,MATCH($A333,List_StationaryFuelMeters,0),ROUNDUP((COLUMN()+1)/3-2,0))),"")</f>
        <v/>
      </c>
      <c r="G333" s="127"/>
      <c r="H333" s="127"/>
      <c r="I333" s="58" t="str" cm="1">
        <f>IFERROR(IF(ISBLANK($A333),"",INDEX(Array_StationaryCharges,MATCH($A333,List_StationaryFuelMeters,0),ROUNDUP((COLUMN()+1)/3-2,0))),"")</f>
        <v/>
      </c>
      <c r="J333" s="127"/>
      <c r="K333" s="127"/>
      <c r="L333" s="58" t="str" cm="1">
        <f>IFERROR(IF(ISBLANK($A333),"",INDEX(Array_StationaryCharges,MATCH($A333,List_StationaryFuelMeters,0),ROUNDUP((COLUMN()+1)/3-2,0))),"")</f>
        <v/>
      </c>
      <c r="M333" s="127"/>
      <c r="N333" s="127"/>
      <c r="O333" s="58" t="str" cm="1">
        <f>IFERROR(IF(ISBLANK($A333),"",INDEX(Array_StationaryCharges,MATCH($A333,List_StationaryFuelMeters,0),ROUNDUP((COLUMN()+1)/3-2,0))),"")</f>
        <v/>
      </c>
      <c r="P333" s="127"/>
      <c r="Q333" s="127"/>
      <c r="R333" s="58" t="str" cm="1">
        <f>IFERROR(IF(ISBLANK($A333),"",INDEX(Array_StationaryCharges,MATCH($A333,List_StationaryFuelMeters,0),ROUNDUP((COLUMN()+1)/3-2,0))),"")</f>
        <v/>
      </c>
      <c r="S333" s="127"/>
      <c r="T333" s="127"/>
      <c r="U333" s="58" t="str" cm="1">
        <f>IFERROR(IF(ISBLANK($A333),"",INDEX(Array_StationaryCharges,MATCH($A333,List_StationaryFuelMeters,0),ROUNDUP((COLUMN()+1)/3-2,0))),"")</f>
        <v/>
      </c>
      <c r="V333" s="127"/>
      <c r="W333" s="127"/>
      <c r="X333" s="58" t="str" cm="1">
        <f>IFERROR(IF(ISBLANK($A333),"",INDEX(Array_StationaryCharges,MATCH($A333,List_StationaryFuelMeters,0),ROUNDUP((COLUMN()+1)/3-2,0))),"")</f>
        <v/>
      </c>
      <c r="Y333" s="127"/>
      <c r="Z333" s="127"/>
      <c r="AA333" s="58" t="str" cm="1">
        <f>IFERROR(IF(ISBLANK($A333),"",INDEX(Array_StationaryCharges,MATCH($A333,List_StationaryFuelMeters,0),ROUNDUP((COLUMN()+1)/3-2,0))),"")</f>
        <v/>
      </c>
      <c r="AB333" s="127"/>
      <c r="AC333" s="127"/>
      <c r="AD333" s="58" t="str" cm="1">
        <f>IFERROR(IF(ISBLANK($A333),"",INDEX(Array_StationaryCharges,MATCH($A333,List_StationaryFuelMeters,0),ROUNDUP((COLUMN()+1)/3-2,0))),"")</f>
        <v/>
      </c>
      <c r="AE333" s="127"/>
      <c r="AF333" s="127"/>
      <c r="AG333" s="58" t="str" cm="1">
        <f>IFERROR(IF(ISBLANK($A333),"",INDEX(Array_StationaryCharges,MATCH($A333,List_StationaryFuelMeters,0),ROUNDUP((COLUMN()+1)/3-2,0))),"")</f>
        <v/>
      </c>
      <c r="AH333" s="127"/>
      <c r="AI333" s="127"/>
      <c r="AJ333" s="58" t="str" cm="1">
        <f>IFERROR(IF(ISBLANK($A333),"",INDEX(Array_StationaryCharges,MATCH($A333,List_StationaryFuelMeters,0),ROUNDUP((COLUMN()+1)/3-2,0))),"")</f>
        <v/>
      </c>
      <c r="AK333" s="127"/>
      <c r="AL333" s="127"/>
      <c r="AM333" s="58" t="str" cm="1">
        <f>IFERROR(IF(ISBLANK($A333),"",INDEX(Array_StationaryCharges,MATCH($A333,List_StationaryFuelMeters,0),ROUNDUP((COLUMN()+1)/3-2,0))),"")</f>
        <v/>
      </c>
      <c r="AN333" s="127"/>
      <c r="AO333" s="127"/>
      <c r="AP333" s="58" t="str" cm="1">
        <f>IFERROR(IF(ISBLANK($A333),"",INDEX(Array_StationaryCharges,MATCH($A333,List_StationaryFuelMeters,0),ROUNDUP((COLUMN()+1)/3-2,0))),"")</f>
        <v/>
      </c>
      <c r="AQ333" s="127"/>
      <c r="AR333" s="127"/>
      <c r="AS333" s="58" t="str" cm="1">
        <f>IFERROR(IF(ISBLANK($A333),"",INDEX(Array_StationaryCharges,MATCH($A333,List_StationaryFuelMeters,0),ROUNDUP((COLUMN()+1)/3-2,0))),"")</f>
        <v/>
      </c>
      <c r="AT333" s="127"/>
      <c r="AU333" s="127"/>
      <c r="AV333" s="58" t="str" cm="1">
        <f>IFERROR(IF(ISBLANK($A333),"",INDEX(Array_StationaryCharges,MATCH($A333,List_StationaryFuelMeters,0),ROUNDUP((COLUMN()+1)/3-2,0))),"")</f>
        <v/>
      </c>
      <c r="AW333" s="127"/>
      <c r="AX333" s="127"/>
    </row>
    <row r="334" spans="1:50" x14ac:dyDescent="0.3">
      <c r="A334" s="126"/>
      <c r="B334" s="133"/>
      <c r="C334" s="127"/>
      <c r="D334" s="138"/>
      <c r="E334" s="138"/>
      <c r="F334" s="58" t="str" cm="1">
        <f>IFERROR(IF(ISBLANK($A334),"",INDEX(Array_StationaryCharges,MATCH($A334,List_StationaryFuelMeters,0),ROUNDUP((COLUMN()+1)/3-2,0))),"")</f>
        <v/>
      </c>
      <c r="G334" s="127"/>
      <c r="H334" s="127"/>
      <c r="I334" s="58" t="str" cm="1">
        <f>IFERROR(IF(ISBLANK($A334),"",INDEX(Array_StationaryCharges,MATCH($A334,List_StationaryFuelMeters,0),ROUNDUP((COLUMN()+1)/3-2,0))),"")</f>
        <v/>
      </c>
      <c r="J334" s="127"/>
      <c r="K334" s="127"/>
      <c r="L334" s="58" t="str" cm="1">
        <f>IFERROR(IF(ISBLANK($A334),"",INDEX(Array_StationaryCharges,MATCH($A334,List_StationaryFuelMeters,0),ROUNDUP((COLUMN()+1)/3-2,0))),"")</f>
        <v/>
      </c>
      <c r="M334" s="127"/>
      <c r="N334" s="127"/>
      <c r="O334" s="58" t="str" cm="1">
        <f>IFERROR(IF(ISBLANK($A334),"",INDEX(Array_StationaryCharges,MATCH($A334,List_StationaryFuelMeters,0),ROUNDUP((COLUMN()+1)/3-2,0))),"")</f>
        <v/>
      </c>
      <c r="P334" s="127"/>
      <c r="Q334" s="127"/>
      <c r="R334" s="58" t="str" cm="1">
        <f>IFERROR(IF(ISBLANK($A334),"",INDEX(Array_StationaryCharges,MATCH($A334,List_StationaryFuelMeters,0),ROUNDUP((COLUMN()+1)/3-2,0))),"")</f>
        <v/>
      </c>
      <c r="S334" s="127"/>
      <c r="T334" s="127"/>
      <c r="U334" s="58" t="str" cm="1">
        <f>IFERROR(IF(ISBLANK($A334),"",INDEX(Array_StationaryCharges,MATCH($A334,List_StationaryFuelMeters,0),ROUNDUP((COLUMN()+1)/3-2,0))),"")</f>
        <v/>
      </c>
      <c r="V334" s="127"/>
      <c r="W334" s="127"/>
      <c r="X334" s="58" t="str" cm="1">
        <f>IFERROR(IF(ISBLANK($A334),"",INDEX(Array_StationaryCharges,MATCH($A334,List_StationaryFuelMeters,0),ROUNDUP((COLUMN()+1)/3-2,0))),"")</f>
        <v/>
      </c>
      <c r="Y334" s="127"/>
      <c r="Z334" s="127"/>
      <c r="AA334" s="58" t="str" cm="1">
        <f>IFERROR(IF(ISBLANK($A334),"",INDEX(Array_StationaryCharges,MATCH($A334,List_StationaryFuelMeters,0),ROUNDUP((COLUMN()+1)/3-2,0))),"")</f>
        <v/>
      </c>
      <c r="AB334" s="127"/>
      <c r="AC334" s="127"/>
      <c r="AD334" s="58" t="str" cm="1">
        <f>IFERROR(IF(ISBLANK($A334),"",INDEX(Array_StationaryCharges,MATCH($A334,List_StationaryFuelMeters,0),ROUNDUP((COLUMN()+1)/3-2,0))),"")</f>
        <v/>
      </c>
      <c r="AE334" s="127"/>
      <c r="AF334" s="127"/>
      <c r="AG334" s="58" t="str" cm="1">
        <f>IFERROR(IF(ISBLANK($A334),"",INDEX(Array_StationaryCharges,MATCH($A334,List_StationaryFuelMeters,0),ROUNDUP((COLUMN()+1)/3-2,0))),"")</f>
        <v/>
      </c>
      <c r="AH334" s="127"/>
      <c r="AI334" s="127"/>
      <c r="AJ334" s="58" t="str" cm="1">
        <f>IFERROR(IF(ISBLANK($A334),"",INDEX(Array_StationaryCharges,MATCH($A334,List_StationaryFuelMeters,0),ROUNDUP((COLUMN()+1)/3-2,0))),"")</f>
        <v/>
      </c>
      <c r="AK334" s="127"/>
      <c r="AL334" s="127"/>
      <c r="AM334" s="58" t="str" cm="1">
        <f>IFERROR(IF(ISBLANK($A334),"",INDEX(Array_StationaryCharges,MATCH($A334,List_StationaryFuelMeters,0),ROUNDUP((COLUMN()+1)/3-2,0))),"")</f>
        <v/>
      </c>
      <c r="AN334" s="127"/>
      <c r="AO334" s="127"/>
      <c r="AP334" s="58" t="str" cm="1">
        <f>IFERROR(IF(ISBLANK($A334),"",INDEX(Array_StationaryCharges,MATCH($A334,List_StationaryFuelMeters,0),ROUNDUP((COLUMN()+1)/3-2,0))),"")</f>
        <v/>
      </c>
      <c r="AQ334" s="127"/>
      <c r="AR334" s="127"/>
      <c r="AS334" s="58" t="str" cm="1">
        <f>IFERROR(IF(ISBLANK($A334),"",INDEX(Array_StationaryCharges,MATCH($A334,List_StationaryFuelMeters,0),ROUNDUP((COLUMN()+1)/3-2,0))),"")</f>
        <v/>
      </c>
      <c r="AT334" s="127"/>
      <c r="AU334" s="127"/>
      <c r="AV334" s="58" t="str" cm="1">
        <f>IFERROR(IF(ISBLANK($A334),"",INDEX(Array_StationaryCharges,MATCH($A334,List_StationaryFuelMeters,0),ROUNDUP((COLUMN()+1)/3-2,0))),"")</f>
        <v/>
      </c>
      <c r="AW334" s="127"/>
      <c r="AX334" s="127"/>
    </row>
    <row r="335" spans="1:50" x14ac:dyDescent="0.3">
      <c r="A335" s="126"/>
      <c r="B335" s="133"/>
      <c r="C335" s="127"/>
      <c r="D335" s="138"/>
      <c r="E335" s="138"/>
      <c r="F335" s="58" t="str" cm="1">
        <f>IFERROR(IF(ISBLANK($A335),"",INDEX(Array_StationaryCharges,MATCH($A335,List_StationaryFuelMeters,0),ROUNDUP((COLUMN()+1)/3-2,0))),"")</f>
        <v/>
      </c>
      <c r="G335" s="127"/>
      <c r="H335" s="127"/>
      <c r="I335" s="58" t="str" cm="1">
        <f>IFERROR(IF(ISBLANK($A335),"",INDEX(Array_StationaryCharges,MATCH($A335,List_StationaryFuelMeters,0),ROUNDUP((COLUMN()+1)/3-2,0))),"")</f>
        <v/>
      </c>
      <c r="J335" s="127"/>
      <c r="K335" s="127"/>
      <c r="L335" s="58" t="str" cm="1">
        <f>IFERROR(IF(ISBLANK($A335),"",INDEX(Array_StationaryCharges,MATCH($A335,List_StationaryFuelMeters,0),ROUNDUP((COLUMN()+1)/3-2,0))),"")</f>
        <v/>
      </c>
      <c r="M335" s="127"/>
      <c r="N335" s="127"/>
      <c r="O335" s="58" t="str" cm="1">
        <f>IFERROR(IF(ISBLANK($A335),"",INDEX(Array_StationaryCharges,MATCH($A335,List_StationaryFuelMeters,0),ROUNDUP((COLUMN()+1)/3-2,0))),"")</f>
        <v/>
      </c>
      <c r="P335" s="127"/>
      <c r="Q335" s="127"/>
      <c r="R335" s="58" t="str" cm="1">
        <f>IFERROR(IF(ISBLANK($A335),"",INDEX(Array_StationaryCharges,MATCH($A335,List_StationaryFuelMeters,0),ROUNDUP((COLUMN()+1)/3-2,0))),"")</f>
        <v/>
      </c>
      <c r="S335" s="127"/>
      <c r="T335" s="127"/>
      <c r="U335" s="58" t="str" cm="1">
        <f>IFERROR(IF(ISBLANK($A335),"",INDEX(Array_StationaryCharges,MATCH($A335,List_StationaryFuelMeters,0),ROUNDUP((COLUMN()+1)/3-2,0))),"")</f>
        <v/>
      </c>
      <c r="V335" s="127"/>
      <c r="W335" s="127"/>
      <c r="X335" s="58" t="str" cm="1">
        <f>IFERROR(IF(ISBLANK($A335),"",INDEX(Array_StationaryCharges,MATCH($A335,List_StationaryFuelMeters,0),ROUNDUP((COLUMN()+1)/3-2,0))),"")</f>
        <v/>
      </c>
      <c r="Y335" s="127"/>
      <c r="Z335" s="127"/>
      <c r="AA335" s="58" t="str" cm="1">
        <f>IFERROR(IF(ISBLANK($A335),"",INDEX(Array_StationaryCharges,MATCH($A335,List_StationaryFuelMeters,0),ROUNDUP((COLUMN()+1)/3-2,0))),"")</f>
        <v/>
      </c>
      <c r="AB335" s="127"/>
      <c r="AC335" s="127"/>
      <c r="AD335" s="58" t="str" cm="1">
        <f>IFERROR(IF(ISBLANK($A335),"",INDEX(Array_StationaryCharges,MATCH($A335,List_StationaryFuelMeters,0),ROUNDUP((COLUMN()+1)/3-2,0))),"")</f>
        <v/>
      </c>
      <c r="AE335" s="127"/>
      <c r="AF335" s="127"/>
      <c r="AG335" s="58" t="str" cm="1">
        <f>IFERROR(IF(ISBLANK($A335),"",INDEX(Array_StationaryCharges,MATCH($A335,List_StationaryFuelMeters,0),ROUNDUP((COLUMN()+1)/3-2,0))),"")</f>
        <v/>
      </c>
      <c r="AH335" s="127"/>
      <c r="AI335" s="127"/>
      <c r="AJ335" s="58" t="str" cm="1">
        <f>IFERROR(IF(ISBLANK($A335),"",INDEX(Array_StationaryCharges,MATCH($A335,List_StationaryFuelMeters,0),ROUNDUP((COLUMN()+1)/3-2,0))),"")</f>
        <v/>
      </c>
      <c r="AK335" s="127"/>
      <c r="AL335" s="127"/>
      <c r="AM335" s="58" t="str" cm="1">
        <f>IFERROR(IF(ISBLANK($A335),"",INDEX(Array_StationaryCharges,MATCH($A335,List_StationaryFuelMeters,0),ROUNDUP((COLUMN()+1)/3-2,0))),"")</f>
        <v/>
      </c>
      <c r="AN335" s="127"/>
      <c r="AO335" s="127"/>
      <c r="AP335" s="58" t="str" cm="1">
        <f>IFERROR(IF(ISBLANK($A335),"",INDEX(Array_StationaryCharges,MATCH($A335,List_StationaryFuelMeters,0),ROUNDUP((COLUMN()+1)/3-2,0))),"")</f>
        <v/>
      </c>
      <c r="AQ335" s="127"/>
      <c r="AR335" s="127"/>
      <c r="AS335" s="58" t="str" cm="1">
        <f>IFERROR(IF(ISBLANK($A335),"",INDEX(Array_StationaryCharges,MATCH($A335,List_StationaryFuelMeters,0),ROUNDUP((COLUMN()+1)/3-2,0))),"")</f>
        <v/>
      </c>
      <c r="AT335" s="127"/>
      <c r="AU335" s="127"/>
      <c r="AV335" s="58" t="str" cm="1">
        <f>IFERROR(IF(ISBLANK($A335),"",INDEX(Array_StationaryCharges,MATCH($A335,List_StationaryFuelMeters,0),ROUNDUP((COLUMN()+1)/3-2,0))),"")</f>
        <v/>
      </c>
      <c r="AW335" s="127"/>
      <c r="AX335" s="127"/>
    </row>
    <row r="336" spans="1:50" x14ac:dyDescent="0.3">
      <c r="A336" s="126"/>
      <c r="B336" s="133"/>
      <c r="C336" s="127"/>
      <c r="D336" s="138"/>
      <c r="E336" s="138"/>
      <c r="F336" s="58" t="str" cm="1">
        <f>IFERROR(IF(ISBLANK($A336),"",INDEX(Array_StationaryCharges,MATCH($A336,List_StationaryFuelMeters,0),ROUNDUP((COLUMN()+1)/3-2,0))),"")</f>
        <v/>
      </c>
      <c r="G336" s="127"/>
      <c r="H336" s="127"/>
      <c r="I336" s="58" t="str" cm="1">
        <f>IFERROR(IF(ISBLANK($A336),"",INDEX(Array_StationaryCharges,MATCH($A336,List_StationaryFuelMeters,0),ROUNDUP((COLUMN()+1)/3-2,0))),"")</f>
        <v/>
      </c>
      <c r="J336" s="127"/>
      <c r="K336" s="127"/>
      <c r="L336" s="58" t="str" cm="1">
        <f>IFERROR(IF(ISBLANK($A336),"",INDEX(Array_StationaryCharges,MATCH($A336,List_StationaryFuelMeters,0),ROUNDUP((COLUMN()+1)/3-2,0))),"")</f>
        <v/>
      </c>
      <c r="M336" s="127"/>
      <c r="N336" s="127"/>
      <c r="O336" s="58" t="str" cm="1">
        <f>IFERROR(IF(ISBLANK($A336),"",INDEX(Array_StationaryCharges,MATCH($A336,List_StationaryFuelMeters,0),ROUNDUP((COLUMN()+1)/3-2,0))),"")</f>
        <v/>
      </c>
      <c r="P336" s="127"/>
      <c r="Q336" s="127"/>
      <c r="R336" s="58" t="str" cm="1">
        <f>IFERROR(IF(ISBLANK($A336),"",INDEX(Array_StationaryCharges,MATCH($A336,List_StationaryFuelMeters,0),ROUNDUP((COLUMN()+1)/3-2,0))),"")</f>
        <v/>
      </c>
      <c r="S336" s="127"/>
      <c r="T336" s="127"/>
      <c r="U336" s="58" t="str" cm="1">
        <f>IFERROR(IF(ISBLANK($A336),"",INDEX(Array_StationaryCharges,MATCH($A336,List_StationaryFuelMeters,0),ROUNDUP((COLUMN()+1)/3-2,0))),"")</f>
        <v/>
      </c>
      <c r="V336" s="127"/>
      <c r="W336" s="127"/>
      <c r="X336" s="58" t="str" cm="1">
        <f>IFERROR(IF(ISBLANK($A336),"",INDEX(Array_StationaryCharges,MATCH($A336,List_StationaryFuelMeters,0),ROUNDUP((COLUMN()+1)/3-2,0))),"")</f>
        <v/>
      </c>
      <c r="Y336" s="127"/>
      <c r="Z336" s="127"/>
      <c r="AA336" s="58" t="str" cm="1">
        <f>IFERROR(IF(ISBLANK($A336),"",INDEX(Array_StationaryCharges,MATCH($A336,List_StationaryFuelMeters,0),ROUNDUP((COLUMN()+1)/3-2,0))),"")</f>
        <v/>
      </c>
      <c r="AB336" s="127"/>
      <c r="AC336" s="127"/>
      <c r="AD336" s="58" t="str" cm="1">
        <f>IFERROR(IF(ISBLANK($A336),"",INDEX(Array_StationaryCharges,MATCH($A336,List_StationaryFuelMeters,0),ROUNDUP((COLUMN()+1)/3-2,0))),"")</f>
        <v/>
      </c>
      <c r="AE336" s="127"/>
      <c r="AF336" s="127"/>
      <c r="AG336" s="58" t="str" cm="1">
        <f>IFERROR(IF(ISBLANK($A336),"",INDEX(Array_StationaryCharges,MATCH($A336,List_StationaryFuelMeters,0),ROUNDUP((COLUMN()+1)/3-2,0))),"")</f>
        <v/>
      </c>
      <c r="AH336" s="127"/>
      <c r="AI336" s="127"/>
      <c r="AJ336" s="58" t="str" cm="1">
        <f>IFERROR(IF(ISBLANK($A336),"",INDEX(Array_StationaryCharges,MATCH($A336,List_StationaryFuelMeters,0),ROUNDUP((COLUMN()+1)/3-2,0))),"")</f>
        <v/>
      </c>
      <c r="AK336" s="127"/>
      <c r="AL336" s="127"/>
      <c r="AM336" s="58" t="str" cm="1">
        <f>IFERROR(IF(ISBLANK($A336),"",INDEX(Array_StationaryCharges,MATCH($A336,List_StationaryFuelMeters,0),ROUNDUP((COLUMN()+1)/3-2,0))),"")</f>
        <v/>
      </c>
      <c r="AN336" s="127"/>
      <c r="AO336" s="127"/>
      <c r="AP336" s="58" t="str" cm="1">
        <f>IFERROR(IF(ISBLANK($A336),"",INDEX(Array_StationaryCharges,MATCH($A336,List_StationaryFuelMeters,0),ROUNDUP((COLUMN()+1)/3-2,0))),"")</f>
        <v/>
      </c>
      <c r="AQ336" s="127"/>
      <c r="AR336" s="127"/>
      <c r="AS336" s="58" t="str" cm="1">
        <f>IFERROR(IF(ISBLANK($A336),"",INDEX(Array_StationaryCharges,MATCH($A336,List_StationaryFuelMeters,0),ROUNDUP((COLUMN()+1)/3-2,0))),"")</f>
        <v/>
      </c>
      <c r="AT336" s="127"/>
      <c r="AU336" s="127"/>
      <c r="AV336" s="58" t="str" cm="1">
        <f>IFERROR(IF(ISBLANK($A336),"",INDEX(Array_StationaryCharges,MATCH($A336,List_StationaryFuelMeters,0),ROUNDUP((COLUMN()+1)/3-2,0))),"")</f>
        <v/>
      </c>
      <c r="AW336" s="127"/>
      <c r="AX336" s="127"/>
    </row>
    <row r="337" spans="1:50" x14ac:dyDescent="0.3">
      <c r="A337" s="126"/>
      <c r="B337" s="133"/>
      <c r="C337" s="127"/>
      <c r="D337" s="138"/>
      <c r="E337" s="138"/>
      <c r="F337" s="58" t="str" cm="1">
        <f>IFERROR(IF(ISBLANK($A337),"",INDEX(Array_StationaryCharges,MATCH($A337,List_StationaryFuelMeters,0),ROUNDUP((COLUMN()+1)/3-2,0))),"")</f>
        <v/>
      </c>
      <c r="G337" s="127"/>
      <c r="H337" s="127"/>
      <c r="I337" s="58" t="str" cm="1">
        <f>IFERROR(IF(ISBLANK($A337),"",INDEX(Array_StationaryCharges,MATCH($A337,List_StationaryFuelMeters,0),ROUNDUP((COLUMN()+1)/3-2,0))),"")</f>
        <v/>
      </c>
      <c r="J337" s="127"/>
      <c r="K337" s="127"/>
      <c r="L337" s="58" t="str" cm="1">
        <f>IFERROR(IF(ISBLANK($A337),"",INDEX(Array_StationaryCharges,MATCH($A337,List_StationaryFuelMeters,0),ROUNDUP((COLUMN()+1)/3-2,0))),"")</f>
        <v/>
      </c>
      <c r="M337" s="127"/>
      <c r="N337" s="127"/>
      <c r="O337" s="58" t="str" cm="1">
        <f>IFERROR(IF(ISBLANK($A337),"",INDEX(Array_StationaryCharges,MATCH($A337,List_StationaryFuelMeters,0),ROUNDUP((COLUMN()+1)/3-2,0))),"")</f>
        <v/>
      </c>
      <c r="P337" s="127"/>
      <c r="Q337" s="127"/>
      <c r="R337" s="58" t="str" cm="1">
        <f>IFERROR(IF(ISBLANK($A337),"",INDEX(Array_StationaryCharges,MATCH($A337,List_StationaryFuelMeters,0),ROUNDUP((COLUMN()+1)/3-2,0))),"")</f>
        <v/>
      </c>
      <c r="S337" s="127"/>
      <c r="T337" s="127"/>
      <c r="U337" s="58" t="str" cm="1">
        <f>IFERROR(IF(ISBLANK($A337),"",INDEX(Array_StationaryCharges,MATCH($A337,List_StationaryFuelMeters,0),ROUNDUP((COLUMN()+1)/3-2,0))),"")</f>
        <v/>
      </c>
      <c r="V337" s="127"/>
      <c r="W337" s="127"/>
      <c r="X337" s="58" t="str" cm="1">
        <f>IFERROR(IF(ISBLANK($A337),"",INDEX(Array_StationaryCharges,MATCH($A337,List_StationaryFuelMeters,0),ROUNDUP((COLUMN()+1)/3-2,0))),"")</f>
        <v/>
      </c>
      <c r="Y337" s="127"/>
      <c r="Z337" s="127"/>
      <c r="AA337" s="58" t="str" cm="1">
        <f>IFERROR(IF(ISBLANK($A337),"",INDEX(Array_StationaryCharges,MATCH($A337,List_StationaryFuelMeters,0),ROUNDUP((COLUMN()+1)/3-2,0))),"")</f>
        <v/>
      </c>
      <c r="AB337" s="127"/>
      <c r="AC337" s="127"/>
      <c r="AD337" s="58" t="str" cm="1">
        <f>IFERROR(IF(ISBLANK($A337),"",INDEX(Array_StationaryCharges,MATCH($A337,List_StationaryFuelMeters,0),ROUNDUP((COLUMN()+1)/3-2,0))),"")</f>
        <v/>
      </c>
      <c r="AE337" s="127"/>
      <c r="AF337" s="127"/>
      <c r="AG337" s="58" t="str" cm="1">
        <f>IFERROR(IF(ISBLANK($A337),"",INDEX(Array_StationaryCharges,MATCH($A337,List_StationaryFuelMeters,0),ROUNDUP((COLUMN()+1)/3-2,0))),"")</f>
        <v/>
      </c>
      <c r="AH337" s="127"/>
      <c r="AI337" s="127"/>
      <c r="AJ337" s="58" t="str" cm="1">
        <f>IFERROR(IF(ISBLANK($A337),"",INDEX(Array_StationaryCharges,MATCH($A337,List_StationaryFuelMeters,0),ROUNDUP((COLUMN()+1)/3-2,0))),"")</f>
        <v/>
      </c>
      <c r="AK337" s="127"/>
      <c r="AL337" s="127"/>
      <c r="AM337" s="58" t="str" cm="1">
        <f>IFERROR(IF(ISBLANK($A337),"",INDEX(Array_StationaryCharges,MATCH($A337,List_StationaryFuelMeters,0),ROUNDUP((COLUMN()+1)/3-2,0))),"")</f>
        <v/>
      </c>
      <c r="AN337" s="127"/>
      <c r="AO337" s="127"/>
      <c r="AP337" s="58" t="str" cm="1">
        <f>IFERROR(IF(ISBLANK($A337),"",INDEX(Array_StationaryCharges,MATCH($A337,List_StationaryFuelMeters,0),ROUNDUP((COLUMN()+1)/3-2,0))),"")</f>
        <v/>
      </c>
      <c r="AQ337" s="127"/>
      <c r="AR337" s="127"/>
      <c r="AS337" s="58" t="str" cm="1">
        <f>IFERROR(IF(ISBLANK($A337),"",INDEX(Array_StationaryCharges,MATCH($A337,List_StationaryFuelMeters,0),ROUNDUP((COLUMN()+1)/3-2,0))),"")</f>
        <v/>
      </c>
      <c r="AT337" s="127"/>
      <c r="AU337" s="127"/>
      <c r="AV337" s="58" t="str" cm="1">
        <f>IFERROR(IF(ISBLANK($A337),"",INDEX(Array_StationaryCharges,MATCH($A337,List_StationaryFuelMeters,0),ROUNDUP((COLUMN()+1)/3-2,0))),"")</f>
        <v/>
      </c>
      <c r="AW337" s="127"/>
      <c r="AX337" s="127"/>
    </row>
    <row r="338" spans="1:50" x14ac:dyDescent="0.3">
      <c r="A338" s="126"/>
      <c r="B338" s="133"/>
      <c r="C338" s="127"/>
      <c r="D338" s="138"/>
      <c r="E338" s="138"/>
      <c r="F338" s="58" t="str" cm="1">
        <f>IFERROR(IF(ISBLANK($A338),"",INDEX(Array_StationaryCharges,MATCH($A338,List_StationaryFuelMeters,0),ROUNDUP((COLUMN()+1)/3-2,0))),"")</f>
        <v/>
      </c>
      <c r="G338" s="127"/>
      <c r="H338" s="127"/>
      <c r="I338" s="58" t="str" cm="1">
        <f>IFERROR(IF(ISBLANK($A338),"",INDEX(Array_StationaryCharges,MATCH($A338,List_StationaryFuelMeters,0),ROUNDUP((COLUMN()+1)/3-2,0))),"")</f>
        <v/>
      </c>
      <c r="J338" s="127"/>
      <c r="K338" s="127"/>
      <c r="L338" s="58" t="str" cm="1">
        <f>IFERROR(IF(ISBLANK($A338),"",INDEX(Array_StationaryCharges,MATCH($A338,List_StationaryFuelMeters,0),ROUNDUP((COLUMN()+1)/3-2,0))),"")</f>
        <v/>
      </c>
      <c r="M338" s="127"/>
      <c r="N338" s="127"/>
      <c r="O338" s="58" t="str" cm="1">
        <f>IFERROR(IF(ISBLANK($A338),"",INDEX(Array_StationaryCharges,MATCH($A338,List_StationaryFuelMeters,0),ROUNDUP((COLUMN()+1)/3-2,0))),"")</f>
        <v/>
      </c>
      <c r="P338" s="127"/>
      <c r="Q338" s="127"/>
      <c r="R338" s="58" t="str" cm="1">
        <f>IFERROR(IF(ISBLANK($A338),"",INDEX(Array_StationaryCharges,MATCH($A338,List_StationaryFuelMeters,0),ROUNDUP((COLUMN()+1)/3-2,0))),"")</f>
        <v/>
      </c>
      <c r="S338" s="127"/>
      <c r="T338" s="127"/>
      <c r="U338" s="58" t="str" cm="1">
        <f>IFERROR(IF(ISBLANK($A338),"",INDEX(Array_StationaryCharges,MATCH($A338,List_StationaryFuelMeters,0),ROUNDUP((COLUMN()+1)/3-2,0))),"")</f>
        <v/>
      </c>
      <c r="V338" s="127"/>
      <c r="W338" s="127"/>
      <c r="X338" s="58" t="str" cm="1">
        <f>IFERROR(IF(ISBLANK($A338),"",INDEX(Array_StationaryCharges,MATCH($A338,List_StationaryFuelMeters,0),ROUNDUP((COLUMN()+1)/3-2,0))),"")</f>
        <v/>
      </c>
      <c r="Y338" s="127"/>
      <c r="Z338" s="127"/>
      <c r="AA338" s="58" t="str" cm="1">
        <f>IFERROR(IF(ISBLANK($A338),"",INDEX(Array_StationaryCharges,MATCH($A338,List_StationaryFuelMeters,0),ROUNDUP((COLUMN()+1)/3-2,0))),"")</f>
        <v/>
      </c>
      <c r="AB338" s="127"/>
      <c r="AC338" s="127"/>
      <c r="AD338" s="58" t="str" cm="1">
        <f>IFERROR(IF(ISBLANK($A338),"",INDEX(Array_StationaryCharges,MATCH($A338,List_StationaryFuelMeters,0),ROUNDUP((COLUMN()+1)/3-2,0))),"")</f>
        <v/>
      </c>
      <c r="AE338" s="127"/>
      <c r="AF338" s="127"/>
      <c r="AG338" s="58" t="str" cm="1">
        <f>IFERROR(IF(ISBLANK($A338),"",INDEX(Array_StationaryCharges,MATCH($A338,List_StationaryFuelMeters,0),ROUNDUP((COLUMN()+1)/3-2,0))),"")</f>
        <v/>
      </c>
      <c r="AH338" s="127"/>
      <c r="AI338" s="127"/>
      <c r="AJ338" s="58" t="str" cm="1">
        <f>IFERROR(IF(ISBLANK($A338),"",INDEX(Array_StationaryCharges,MATCH($A338,List_StationaryFuelMeters,0),ROUNDUP((COLUMN()+1)/3-2,0))),"")</f>
        <v/>
      </c>
      <c r="AK338" s="127"/>
      <c r="AL338" s="127"/>
      <c r="AM338" s="58" t="str" cm="1">
        <f>IFERROR(IF(ISBLANK($A338),"",INDEX(Array_StationaryCharges,MATCH($A338,List_StationaryFuelMeters,0),ROUNDUP((COLUMN()+1)/3-2,0))),"")</f>
        <v/>
      </c>
      <c r="AN338" s="127"/>
      <c r="AO338" s="127"/>
      <c r="AP338" s="58" t="str" cm="1">
        <f>IFERROR(IF(ISBLANK($A338),"",INDEX(Array_StationaryCharges,MATCH($A338,List_StationaryFuelMeters,0),ROUNDUP((COLUMN()+1)/3-2,0))),"")</f>
        <v/>
      </c>
      <c r="AQ338" s="127"/>
      <c r="AR338" s="127"/>
      <c r="AS338" s="58" t="str" cm="1">
        <f>IFERROR(IF(ISBLANK($A338),"",INDEX(Array_StationaryCharges,MATCH($A338,List_StationaryFuelMeters,0),ROUNDUP((COLUMN()+1)/3-2,0))),"")</f>
        <v/>
      </c>
      <c r="AT338" s="127"/>
      <c r="AU338" s="127"/>
      <c r="AV338" s="58" t="str" cm="1">
        <f>IFERROR(IF(ISBLANK($A338),"",INDEX(Array_StationaryCharges,MATCH($A338,List_StationaryFuelMeters,0),ROUNDUP((COLUMN()+1)/3-2,0))),"")</f>
        <v/>
      </c>
      <c r="AW338" s="127"/>
      <c r="AX338" s="127"/>
    </row>
    <row r="339" spans="1:50" x14ac:dyDescent="0.3">
      <c r="A339" s="126"/>
      <c r="B339" s="133"/>
      <c r="C339" s="127"/>
      <c r="D339" s="138"/>
      <c r="E339" s="138"/>
      <c r="F339" s="58" t="str" cm="1">
        <f>IFERROR(IF(ISBLANK($A339),"",INDEX(Array_StationaryCharges,MATCH($A339,List_StationaryFuelMeters,0),ROUNDUP((COLUMN()+1)/3-2,0))),"")</f>
        <v/>
      </c>
      <c r="G339" s="127"/>
      <c r="H339" s="127"/>
      <c r="I339" s="58" t="str" cm="1">
        <f>IFERROR(IF(ISBLANK($A339),"",INDEX(Array_StationaryCharges,MATCH($A339,List_StationaryFuelMeters,0),ROUNDUP((COLUMN()+1)/3-2,0))),"")</f>
        <v/>
      </c>
      <c r="J339" s="127"/>
      <c r="K339" s="127"/>
      <c r="L339" s="58" t="str" cm="1">
        <f>IFERROR(IF(ISBLANK($A339),"",INDEX(Array_StationaryCharges,MATCH($A339,List_StationaryFuelMeters,0),ROUNDUP((COLUMN()+1)/3-2,0))),"")</f>
        <v/>
      </c>
      <c r="M339" s="127"/>
      <c r="N339" s="127"/>
      <c r="O339" s="58" t="str" cm="1">
        <f>IFERROR(IF(ISBLANK($A339),"",INDEX(Array_StationaryCharges,MATCH($A339,List_StationaryFuelMeters,0),ROUNDUP((COLUMN()+1)/3-2,0))),"")</f>
        <v/>
      </c>
      <c r="P339" s="127"/>
      <c r="Q339" s="127"/>
      <c r="R339" s="58" t="str" cm="1">
        <f>IFERROR(IF(ISBLANK($A339),"",INDEX(Array_StationaryCharges,MATCH($A339,List_StationaryFuelMeters,0),ROUNDUP((COLUMN()+1)/3-2,0))),"")</f>
        <v/>
      </c>
      <c r="S339" s="127"/>
      <c r="T339" s="127"/>
      <c r="U339" s="58" t="str" cm="1">
        <f>IFERROR(IF(ISBLANK($A339),"",INDEX(Array_StationaryCharges,MATCH($A339,List_StationaryFuelMeters,0),ROUNDUP((COLUMN()+1)/3-2,0))),"")</f>
        <v/>
      </c>
      <c r="V339" s="127"/>
      <c r="W339" s="127"/>
      <c r="X339" s="58" t="str" cm="1">
        <f>IFERROR(IF(ISBLANK($A339),"",INDEX(Array_StationaryCharges,MATCH($A339,List_StationaryFuelMeters,0),ROUNDUP((COLUMN()+1)/3-2,0))),"")</f>
        <v/>
      </c>
      <c r="Y339" s="127"/>
      <c r="Z339" s="127"/>
      <c r="AA339" s="58" t="str" cm="1">
        <f>IFERROR(IF(ISBLANK($A339),"",INDEX(Array_StationaryCharges,MATCH($A339,List_StationaryFuelMeters,0),ROUNDUP((COLUMN()+1)/3-2,0))),"")</f>
        <v/>
      </c>
      <c r="AB339" s="127"/>
      <c r="AC339" s="127"/>
      <c r="AD339" s="58" t="str" cm="1">
        <f>IFERROR(IF(ISBLANK($A339),"",INDEX(Array_StationaryCharges,MATCH($A339,List_StationaryFuelMeters,0),ROUNDUP((COLUMN()+1)/3-2,0))),"")</f>
        <v/>
      </c>
      <c r="AE339" s="127"/>
      <c r="AF339" s="127"/>
      <c r="AG339" s="58" t="str" cm="1">
        <f>IFERROR(IF(ISBLANK($A339),"",INDEX(Array_StationaryCharges,MATCH($A339,List_StationaryFuelMeters,0),ROUNDUP((COLUMN()+1)/3-2,0))),"")</f>
        <v/>
      </c>
      <c r="AH339" s="127"/>
      <c r="AI339" s="127"/>
      <c r="AJ339" s="58" t="str" cm="1">
        <f>IFERROR(IF(ISBLANK($A339),"",INDEX(Array_StationaryCharges,MATCH($A339,List_StationaryFuelMeters,0),ROUNDUP((COLUMN()+1)/3-2,0))),"")</f>
        <v/>
      </c>
      <c r="AK339" s="127"/>
      <c r="AL339" s="127"/>
      <c r="AM339" s="58" t="str" cm="1">
        <f>IFERROR(IF(ISBLANK($A339),"",INDEX(Array_StationaryCharges,MATCH($A339,List_StationaryFuelMeters,0),ROUNDUP((COLUMN()+1)/3-2,0))),"")</f>
        <v/>
      </c>
      <c r="AN339" s="127"/>
      <c r="AO339" s="127"/>
      <c r="AP339" s="58" t="str" cm="1">
        <f>IFERROR(IF(ISBLANK($A339),"",INDEX(Array_StationaryCharges,MATCH($A339,List_StationaryFuelMeters,0),ROUNDUP((COLUMN()+1)/3-2,0))),"")</f>
        <v/>
      </c>
      <c r="AQ339" s="127"/>
      <c r="AR339" s="127"/>
      <c r="AS339" s="58" t="str" cm="1">
        <f>IFERROR(IF(ISBLANK($A339),"",INDEX(Array_StationaryCharges,MATCH($A339,List_StationaryFuelMeters,0),ROUNDUP((COLUMN()+1)/3-2,0))),"")</f>
        <v/>
      </c>
      <c r="AT339" s="127"/>
      <c r="AU339" s="127"/>
      <c r="AV339" s="58" t="str" cm="1">
        <f>IFERROR(IF(ISBLANK($A339),"",INDEX(Array_StationaryCharges,MATCH($A339,List_StationaryFuelMeters,0),ROUNDUP((COLUMN()+1)/3-2,0))),"")</f>
        <v/>
      </c>
      <c r="AW339" s="127"/>
      <c r="AX339" s="127"/>
    </row>
    <row r="340" spans="1:50" x14ac:dyDescent="0.3">
      <c r="A340" s="126"/>
      <c r="B340" s="133"/>
      <c r="C340" s="127"/>
      <c r="D340" s="138"/>
      <c r="E340" s="138"/>
      <c r="F340" s="58" t="str" cm="1">
        <f>IFERROR(IF(ISBLANK($A340),"",INDEX(Array_StationaryCharges,MATCH($A340,List_StationaryFuelMeters,0),ROUNDUP((COLUMN()+1)/3-2,0))),"")</f>
        <v/>
      </c>
      <c r="G340" s="127"/>
      <c r="H340" s="127"/>
      <c r="I340" s="58" t="str" cm="1">
        <f>IFERROR(IF(ISBLANK($A340),"",INDEX(Array_StationaryCharges,MATCH($A340,List_StationaryFuelMeters,0),ROUNDUP((COLUMN()+1)/3-2,0))),"")</f>
        <v/>
      </c>
      <c r="J340" s="127"/>
      <c r="K340" s="127"/>
      <c r="L340" s="58" t="str" cm="1">
        <f>IFERROR(IF(ISBLANK($A340),"",INDEX(Array_StationaryCharges,MATCH($A340,List_StationaryFuelMeters,0),ROUNDUP((COLUMN()+1)/3-2,0))),"")</f>
        <v/>
      </c>
      <c r="M340" s="127"/>
      <c r="N340" s="127"/>
      <c r="O340" s="58" t="str" cm="1">
        <f>IFERROR(IF(ISBLANK($A340),"",INDEX(Array_StationaryCharges,MATCH($A340,List_StationaryFuelMeters,0),ROUNDUP((COLUMN()+1)/3-2,0))),"")</f>
        <v/>
      </c>
      <c r="P340" s="127"/>
      <c r="Q340" s="127"/>
      <c r="R340" s="58" t="str" cm="1">
        <f>IFERROR(IF(ISBLANK($A340),"",INDEX(Array_StationaryCharges,MATCH($A340,List_StationaryFuelMeters,0),ROUNDUP((COLUMN()+1)/3-2,0))),"")</f>
        <v/>
      </c>
      <c r="S340" s="127"/>
      <c r="T340" s="127"/>
      <c r="U340" s="58" t="str" cm="1">
        <f>IFERROR(IF(ISBLANK($A340),"",INDEX(Array_StationaryCharges,MATCH($A340,List_StationaryFuelMeters,0),ROUNDUP((COLUMN()+1)/3-2,0))),"")</f>
        <v/>
      </c>
      <c r="V340" s="127"/>
      <c r="W340" s="127"/>
      <c r="X340" s="58" t="str" cm="1">
        <f>IFERROR(IF(ISBLANK($A340),"",INDEX(Array_StationaryCharges,MATCH($A340,List_StationaryFuelMeters,0),ROUNDUP((COLUMN()+1)/3-2,0))),"")</f>
        <v/>
      </c>
      <c r="Y340" s="127"/>
      <c r="Z340" s="127"/>
      <c r="AA340" s="58" t="str" cm="1">
        <f>IFERROR(IF(ISBLANK($A340),"",INDEX(Array_StationaryCharges,MATCH($A340,List_StationaryFuelMeters,0),ROUNDUP((COLUMN()+1)/3-2,0))),"")</f>
        <v/>
      </c>
      <c r="AB340" s="127"/>
      <c r="AC340" s="127"/>
      <c r="AD340" s="58" t="str" cm="1">
        <f>IFERROR(IF(ISBLANK($A340),"",INDEX(Array_StationaryCharges,MATCH($A340,List_StationaryFuelMeters,0),ROUNDUP((COLUMN()+1)/3-2,0))),"")</f>
        <v/>
      </c>
      <c r="AE340" s="127"/>
      <c r="AF340" s="127"/>
      <c r="AG340" s="58" t="str" cm="1">
        <f>IFERROR(IF(ISBLANK($A340),"",INDEX(Array_StationaryCharges,MATCH($A340,List_StationaryFuelMeters,0),ROUNDUP((COLUMN()+1)/3-2,0))),"")</f>
        <v/>
      </c>
      <c r="AH340" s="127"/>
      <c r="AI340" s="127"/>
      <c r="AJ340" s="58" t="str" cm="1">
        <f>IFERROR(IF(ISBLANK($A340),"",INDEX(Array_StationaryCharges,MATCH($A340,List_StationaryFuelMeters,0),ROUNDUP((COLUMN()+1)/3-2,0))),"")</f>
        <v/>
      </c>
      <c r="AK340" s="127"/>
      <c r="AL340" s="127"/>
      <c r="AM340" s="58" t="str" cm="1">
        <f>IFERROR(IF(ISBLANK($A340),"",INDEX(Array_StationaryCharges,MATCH($A340,List_StationaryFuelMeters,0),ROUNDUP((COLUMN()+1)/3-2,0))),"")</f>
        <v/>
      </c>
      <c r="AN340" s="127"/>
      <c r="AO340" s="127"/>
      <c r="AP340" s="58" t="str" cm="1">
        <f>IFERROR(IF(ISBLANK($A340),"",INDEX(Array_StationaryCharges,MATCH($A340,List_StationaryFuelMeters,0),ROUNDUP((COLUMN()+1)/3-2,0))),"")</f>
        <v/>
      </c>
      <c r="AQ340" s="127"/>
      <c r="AR340" s="127"/>
      <c r="AS340" s="58" t="str" cm="1">
        <f>IFERROR(IF(ISBLANK($A340),"",INDEX(Array_StationaryCharges,MATCH($A340,List_StationaryFuelMeters,0),ROUNDUP((COLUMN()+1)/3-2,0))),"")</f>
        <v/>
      </c>
      <c r="AT340" s="127"/>
      <c r="AU340" s="127"/>
      <c r="AV340" s="58" t="str" cm="1">
        <f>IFERROR(IF(ISBLANK($A340),"",INDEX(Array_StationaryCharges,MATCH($A340,List_StationaryFuelMeters,0),ROUNDUP((COLUMN()+1)/3-2,0))),"")</f>
        <v/>
      </c>
      <c r="AW340" s="127"/>
      <c r="AX340" s="127"/>
    </row>
    <row r="341" spans="1:50" x14ac:dyDescent="0.3">
      <c r="A341" s="126"/>
      <c r="B341" s="133"/>
      <c r="C341" s="127"/>
      <c r="D341" s="138"/>
      <c r="E341" s="138"/>
      <c r="F341" s="58" t="str" cm="1">
        <f>IFERROR(IF(ISBLANK($A341),"",INDEX(Array_StationaryCharges,MATCH($A341,List_StationaryFuelMeters,0),ROUNDUP((COLUMN()+1)/3-2,0))),"")</f>
        <v/>
      </c>
      <c r="G341" s="127"/>
      <c r="H341" s="127"/>
      <c r="I341" s="58" t="str" cm="1">
        <f>IFERROR(IF(ISBLANK($A341),"",INDEX(Array_StationaryCharges,MATCH($A341,List_StationaryFuelMeters,0),ROUNDUP((COLUMN()+1)/3-2,0))),"")</f>
        <v/>
      </c>
      <c r="J341" s="127"/>
      <c r="K341" s="127"/>
      <c r="L341" s="58" t="str" cm="1">
        <f>IFERROR(IF(ISBLANK($A341),"",INDEX(Array_StationaryCharges,MATCH($A341,List_StationaryFuelMeters,0),ROUNDUP((COLUMN()+1)/3-2,0))),"")</f>
        <v/>
      </c>
      <c r="M341" s="127"/>
      <c r="N341" s="127"/>
      <c r="O341" s="58" t="str" cm="1">
        <f>IFERROR(IF(ISBLANK($A341),"",INDEX(Array_StationaryCharges,MATCH($A341,List_StationaryFuelMeters,0),ROUNDUP((COLUMN()+1)/3-2,0))),"")</f>
        <v/>
      </c>
      <c r="P341" s="127"/>
      <c r="Q341" s="127"/>
      <c r="R341" s="58" t="str" cm="1">
        <f>IFERROR(IF(ISBLANK($A341),"",INDEX(Array_StationaryCharges,MATCH($A341,List_StationaryFuelMeters,0),ROUNDUP((COLUMN()+1)/3-2,0))),"")</f>
        <v/>
      </c>
      <c r="S341" s="127"/>
      <c r="T341" s="127"/>
      <c r="U341" s="58" t="str" cm="1">
        <f>IFERROR(IF(ISBLANK($A341),"",INDEX(Array_StationaryCharges,MATCH($A341,List_StationaryFuelMeters,0),ROUNDUP((COLUMN()+1)/3-2,0))),"")</f>
        <v/>
      </c>
      <c r="V341" s="127"/>
      <c r="W341" s="127"/>
      <c r="X341" s="58" t="str" cm="1">
        <f>IFERROR(IF(ISBLANK($A341),"",INDEX(Array_StationaryCharges,MATCH($A341,List_StationaryFuelMeters,0),ROUNDUP((COLUMN()+1)/3-2,0))),"")</f>
        <v/>
      </c>
      <c r="Y341" s="127"/>
      <c r="Z341" s="127"/>
      <c r="AA341" s="58" t="str" cm="1">
        <f>IFERROR(IF(ISBLANK($A341),"",INDEX(Array_StationaryCharges,MATCH($A341,List_StationaryFuelMeters,0),ROUNDUP((COLUMN()+1)/3-2,0))),"")</f>
        <v/>
      </c>
      <c r="AB341" s="127"/>
      <c r="AC341" s="127"/>
      <c r="AD341" s="58" t="str" cm="1">
        <f>IFERROR(IF(ISBLANK($A341),"",INDEX(Array_StationaryCharges,MATCH($A341,List_StationaryFuelMeters,0),ROUNDUP((COLUMN()+1)/3-2,0))),"")</f>
        <v/>
      </c>
      <c r="AE341" s="127"/>
      <c r="AF341" s="127"/>
      <c r="AG341" s="58" t="str" cm="1">
        <f>IFERROR(IF(ISBLANK($A341),"",INDEX(Array_StationaryCharges,MATCH($A341,List_StationaryFuelMeters,0),ROUNDUP((COLUMN()+1)/3-2,0))),"")</f>
        <v/>
      </c>
      <c r="AH341" s="127"/>
      <c r="AI341" s="127"/>
      <c r="AJ341" s="58" t="str" cm="1">
        <f>IFERROR(IF(ISBLANK($A341),"",INDEX(Array_StationaryCharges,MATCH($A341,List_StationaryFuelMeters,0),ROUNDUP((COLUMN()+1)/3-2,0))),"")</f>
        <v/>
      </c>
      <c r="AK341" s="127"/>
      <c r="AL341" s="127"/>
      <c r="AM341" s="58" t="str" cm="1">
        <f>IFERROR(IF(ISBLANK($A341),"",INDEX(Array_StationaryCharges,MATCH($A341,List_StationaryFuelMeters,0),ROUNDUP((COLUMN()+1)/3-2,0))),"")</f>
        <v/>
      </c>
      <c r="AN341" s="127"/>
      <c r="AO341" s="127"/>
      <c r="AP341" s="58" t="str" cm="1">
        <f>IFERROR(IF(ISBLANK($A341),"",INDEX(Array_StationaryCharges,MATCH($A341,List_StationaryFuelMeters,0),ROUNDUP((COLUMN()+1)/3-2,0))),"")</f>
        <v/>
      </c>
      <c r="AQ341" s="127"/>
      <c r="AR341" s="127"/>
      <c r="AS341" s="58" t="str" cm="1">
        <f>IFERROR(IF(ISBLANK($A341),"",INDEX(Array_StationaryCharges,MATCH($A341,List_StationaryFuelMeters,0),ROUNDUP((COLUMN()+1)/3-2,0))),"")</f>
        <v/>
      </c>
      <c r="AT341" s="127"/>
      <c r="AU341" s="127"/>
      <c r="AV341" s="58" t="str" cm="1">
        <f>IFERROR(IF(ISBLANK($A341),"",INDEX(Array_StationaryCharges,MATCH($A341,List_StationaryFuelMeters,0),ROUNDUP((COLUMN()+1)/3-2,0))),"")</f>
        <v/>
      </c>
      <c r="AW341" s="127"/>
      <c r="AX341" s="127"/>
    </row>
    <row r="342" spans="1:50" x14ac:dyDescent="0.3">
      <c r="A342" s="126"/>
      <c r="B342" s="133"/>
      <c r="C342" s="127"/>
      <c r="D342" s="138"/>
      <c r="E342" s="138"/>
      <c r="F342" s="58" t="str" cm="1">
        <f>IFERROR(IF(ISBLANK($A342),"",INDEX(Array_StationaryCharges,MATCH($A342,List_StationaryFuelMeters,0),ROUNDUP((COLUMN()+1)/3-2,0))),"")</f>
        <v/>
      </c>
      <c r="G342" s="127"/>
      <c r="H342" s="127"/>
      <c r="I342" s="58" t="str" cm="1">
        <f>IFERROR(IF(ISBLANK($A342),"",INDEX(Array_StationaryCharges,MATCH($A342,List_StationaryFuelMeters,0),ROUNDUP((COLUMN()+1)/3-2,0))),"")</f>
        <v/>
      </c>
      <c r="J342" s="127"/>
      <c r="K342" s="127"/>
      <c r="L342" s="58" t="str" cm="1">
        <f>IFERROR(IF(ISBLANK($A342),"",INDEX(Array_StationaryCharges,MATCH($A342,List_StationaryFuelMeters,0),ROUNDUP((COLUMN()+1)/3-2,0))),"")</f>
        <v/>
      </c>
      <c r="M342" s="127"/>
      <c r="N342" s="127"/>
      <c r="O342" s="58" t="str" cm="1">
        <f>IFERROR(IF(ISBLANK($A342),"",INDEX(Array_StationaryCharges,MATCH($A342,List_StationaryFuelMeters,0),ROUNDUP((COLUMN()+1)/3-2,0))),"")</f>
        <v/>
      </c>
      <c r="P342" s="127"/>
      <c r="Q342" s="127"/>
      <c r="R342" s="58" t="str" cm="1">
        <f>IFERROR(IF(ISBLANK($A342),"",INDEX(Array_StationaryCharges,MATCH($A342,List_StationaryFuelMeters,0),ROUNDUP((COLUMN()+1)/3-2,0))),"")</f>
        <v/>
      </c>
      <c r="S342" s="127"/>
      <c r="T342" s="127"/>
      <c r="U342" s="58" t="str" cm="1">
        <f>IFERROR(IF(ISBLANK($A342),"",INDEX(Array_StationaryCharges,MATCH($A342,List_StationaryFuelMeters,0),ROUNDUP((COLUMN()+1)/3-2,0))),"")</f>
        <v/>
      </c>
      <c r="V342" s="127"/>
      <c r="W342" s="127"/>
      <c r="X342" s="58" t="str" cm="1">
        <f>IFERROR(IF(ISBLANK($A342),"",INDEX(Array_StationaryCharges,MATCH($A342,List_StationaryFuelMeters,0),ROUNDUP((COLUMN()+1)/3-2,0))),"")</f>
        <v/>
      </c>
      <c r="Y342" s="127"/>
      <c r="Z342" s="127"/>
      <c r="AA342" s="58" t="str" cm="1">
        <f>IFERROR(IF(ISBLANK($A342),"",INDEX(Array_StationaryCharges,MATCH($A342,List_StationaryFuelMeters,0),ROUNDUP((COLUMN()+1)/3-2,0))),"")</f>
        <v/>
      </c>
      <c r="AB342" s="127"/>
      <c r="AC342" s="127"/>
      <c r="AD342" s="58" t="str" cm="1">
        <f>IFERROR(IF(ISBLANK($A342),"",INDEX(Array_StationaryCharges,MATCH($A342,List_StationaryFuelMeters,0),ROUNDUP((COLUMN()+1)/3-2,0))),"")</f>
        <v/>
      </c>
      <c r="AE342" s="127"/>
      <c r="AF342" s="127"/>
      <c r="AG342" s="58" t="str" cm="1">
        <f>IFERROR(IF(ISBLANK($A342),"",INDEX(Array_StationaryCharges,MATCH($A342,List_StationaryFuelMeters,0),ROUNDUP((COLUMN()+1)/3-2,0))),"")</f>
        <v/>
      </c>
      <c r="AH342" s="127"/>
      <c r="AI342" s="127"/>
      <c r="AJ342" s="58" t="str" cm="1">
        <f>IFERROR(IF(ISBLANK($A342),"",INDEX(Array_StationaryCharges,MATCH($A342,List_StationaryFuelMeters,0),ROUNDUP((COLUMN()+1)/3-2,0))),"")</f>
        <v/>
      </c>
      <c r="AK342" s="127"/>
      <c r="AL342" s="127"/>
      <c r="AM342" s="58" t="str" cm="1">
        <f>IFERROR(IF(ISBLANK($A342),"",INDEX(Array_StationaryCharges,MATCH($A342,List_StationaryFuelMeters,0),ROUNDUP((COLUMN()+1)/3-2,0))),"")</f>
        <v/>
      </c>
      <c r="AN342" s="127"/>
      <c r="AO342" s="127"/>
      <c r="AP342" s="58" t="str" cm="1">
        <f>IFERROR(IF(ISBLANK($A342),"",INDEX(Array_StationaryCharges,MATCH($A342,List_StationaryFuelMeters,0),ROUNDUP((COLUMN()+1)/3-2,0))),"")</f>
        <v/>
      </c>
      <c r="AQ342" s="127"/>
      <c r="AR342" s="127"/>
      <c r="AS342" s="58" t="str" cm="1">
        <f>IFERROR(IF(ISBLANK($A342),"",INDEX(Array_StationaryCharges,MATCH($A342,List_StationaryFuelMeters,0),ROUNDUP((COLUMN()+1)/3-2,0))),"")</f>
        <v/>
      </c>
      <c r="AT342" s="127"/>
      <c r="AU342" s="127"/>
      <c r="AV342" s="58" t="str" cm="1">
        <f>IFERROR(IF(ISBLANK($A342),"",INDEX(Array_StationaryCharges,MATCH($A342,List_StationaryFuelMeters,0),ROUNDUP((COLUMN()+1)/3-2,0))),"")</f>
        <v/>
      </c>
      <c r="AW342" s="127"/>
      <c r="AX342" s="127"/>
    </row>
    <row r="343" spans="1:50" x14ac:dyDescent="0.3">
      <c r="A343" s="126"/>
      <c r="B343" s="133"/>
      <c r="C343" s="127"/>
      <c r="D343" s="138"/>
      <c r="E343" s="138"/>
      <c r="F343" s="58" t="str" cm="1">
        <f>IFERROR(IF(ISBLANK($A343),"",INDEX(Array_StationaryCharges,MATCH($A343,List_StationaryFuelMeters,0),ROUNDUP((COLUMN()+1)/3-2,0))),"")</f>
        <v/>
      </c>
      <c r="G343" s="127"/>
      <c r="H343" s="127"/>
      <c r="I343" s="58" t="str" cm="1">
        <f>IFERROR(IF(ISBLANK($A343),"",INDEX(Array_StationaryCharges,MATCH($A343,List_StationaryFuelMeters,0),ROUNDUP((COLUMN()+1)/3-2,0))),"")</f>
        <v/>
      </c>
      <c r="J343" s="127"/>
      <c r="K343" s="127"/>
      <c r="L343" s="58" t="str" cm="1">
        <f>IFERROR(IF(ISBLANK($A343),"",INDEX(Array_StationaryCharges,MATCH($A343,List_StationaryFuelMeters,0),ROUNDUP((COLUMN()+1)/3-2,0))),"")</f>
        <v/>
      </c>
      <c r="M343" s="127"/>
      <c r="N343" s="127"/>
      <c r="O343" s="58" t="str" cm="1">
        <f>IFERROR(IF(ISBLANK($A343),"",INDEX(Array_StationaryCharges,MATCH($A343,List_StationaryFuelMeters,0),ROUNDUP((COLUMN()+1)/3-2,0))),"")</f>
        <v/>
      </c>
      <c r="P343" s="127"/>
      <c r="Q343" s="127"/>
      <c r="R343" s="58" t="str" cm="1">
        <f>IFERROR(IF(ISBLANK($A343),"",INDEX(Array_StationaryCharges,MATCH($A343,List_StationaryFuelMeters,0),ROUNDUP((COLUMN()+1)/3-2,0))),"")</f>
        <v/>
      </c>
      <c r="S343" s="127"/>
      <c r="T343" s="127"/>
      <c r="U343" s="58" t="str" cm="1">
        <f>IFERROR(IF(ISBLANK($A343),"",INDEX(Array_StationaryCharges,MATCH($A343,List_StationaryFuelMeters,0),ROUNDUP((COLUMN()+1)/3-2,0))),"")</f>
        <v/>
      </c>
      <c r="V343" s="127"/>
      <c r="W343" s="127"/>
      <c r="X343" s="58" t="str" cm="1">
        <f>IFERROR(IF(ISBLANK($A343),"",INDEX(Array_StationaryCharges,MATCH($A343,List_StationaryFuelMeters,0),ROUNDUP((COLUMN()+1)/3-2,0))),"")</f>
        <v/>
      </c>
      <c r="Y343" s="127"/>
      <c r="Z343" s="127"/>
      <c r="AA343" s="58" t="str" cm="1">
        <f>IFERROR(IF(ISBLANK($A343),"",INDEX(Array_StationaryCharges,MATCH($A343,List_StationaryFuelMeters,0),ROUNDUP((COLUMN()+1)/3-2,0))),"")</f>
        <v/>
      </c>
      <c r="AB343" s="127"/>
      <c r="AC343" s="127"/>
      <c r="AD343" s="58" t="str" cm="1">
        <f>IFERROR(IF(ISBLANK($A343),"",INDEX(Array_StationaryCharges,MATCH($A343,List_StationaryFuelMeters,0),ROUNDUP((COLUMN()+1)/3-2,0))),"")</f>
        <v/>
      </c>
      <c r="AE343" s="127"/>
      <c r="AF343" s="127"/>
      <c r="AG343" s="58" t="str" cm="1">
        <f>IFERROR(IF(ISBLANK($A343),"",INDEX(Array_StationaryCharges,MATCH($A343,List_StationaryFuelMeters,0),ROUNDUP((COLUMN()+1)/3-2,0))),"")</f>
        <v/>
      </c>
      <c r="AH343" s="127"/>
      <c r="AI343" s="127"/>
      <c r="AJ343" s="58" t="str" cm="1">
        <f>IFERROR(IF(ISBLANK($A343),"",INDEX(Array_StationaryCharges,MATCH($A343,List_StationaryFuelMeters,0),ROUNDUP((COLUMN()+1)/3-2,0))),"")</f>
        <v/>
      </c>
      <c r="AK343" s="127"/>
      <c r="AL343" s="127"/>
      <c r="AM343" s="58" t="str" cm="1">
        <f>IFERROR(IF(ISBLANK($A343),"",INDEX(Array_StationaryCharges,MATCH($A343,List_StationaryFuelMeters,0),ROUNDUP((COLUMN()+1)/3-2,0))),"")</f>
        <v/>
      </c>
      <c r="AN343" s="127"/>
      <c r="AO343" s="127"/>
      <c r="AP343" s="58" t="str" cm="1">
        <f>IFERROR(IF(ISBLANK($A343),"",INDEX(Array_StationaryCharges,MATCH($A343,List_StationaryFuelMeters,0),ROUNDUP((COLUMN()+1)/3-2,0))),"")</f>
        <v/>
      </c>
      <c r="AQ343" s="127"/>
      <c r="AR343" s="127"/>
      <c r="AS343" s="58" t="str" cm="1">
        <f>IFERROR(IF(ISBLANK($A343),"",INDEX(Array_StationaryCharges,MATCH($A343,List_StationaryFuelMeters,0),ROUNDUP((COLUMN()+1)/3-2,0))),"")</f>
        <v/>
      </c>
      <c r="AT343" s="127"/>
      <c r="AU343" s="127"/>
      <c r="AV343" s="58" t="str" cm="1">
        <f>IFERROR(IF(ISBLANK($A343),"",INDEX(Array_StationaryCharges,MATCH($A343,List_StationaryFuelMeters,0),ROUNDUP((COLUMN()+1)/3-2,0))),"")</f>
        <v/>
      </c>
      <c r="AW343" s="127"/>
      <c r="AX343" s="127"/>
    </row>
    <row r="344" spans="1:50" x14ac:dyDescent="0.3">
      <c r="A344" s="126"/>
      <c r="B344" s="133"/>
      <c r="C344" s="127"/>
      <c r="D344" s="138"/>
      <c r="E344" s="138"/>
      <c r="F344" s="58" t="str" cm="1">
        <f>IFERROR(IF(ISBLANK($A344),"",INDEX(Array_StationaryCharges,MATCH($A344,List_StationaryFuelMeters,0),ROUNDUP((COLUMN()+1)/3-2,0))),"")</f>
        <v/>
      </c>
      <c r="G344" s="127"/>
      <c r="H344" s="127"/>
      <c r="I344" s="58" t="str" cm="1">
        <f>IFERROR(IF(ISBLANK($A344),"",INDEX(Array_StationaryCharges,MATCH($A344,List_StationaryFuelMeters,0),ROUNDUP((COLUMN()+1)/3-2,0))),"")</f>
        <v/>
      </c>
      <c r="J344" s="127"/>
      <c r="K344" s="127"/>
      <c r="L344" s="58" t="str" cm="1">
        <f>IFERROR(IF(ISBLANK($A344),"",INDEX(Array_StationaryCharges,MATCH($A344,List_StationaryFuelMeters,0),ROUNDUP((COLUMN()+1)/3-2,0))),"")</f>
        <v/>
      </c>
      <c r="M344" s="127"/>
      <c r="N344" s="127"/>
      <c r="O344" s="58" t="str" cm="1">
        <f>IFERROR(IF(ISBLANK($A344),"",INDEX(Array_StationaryCharges,MATCH($A344,List_StationaryFuelMeters,0),ROUNDUP((COLUMN()+1)/3-2,0))),"")</f>
        <v/>
      </c>
      <c r="P344" s="127"/>
      <c r="Q344" s="127"/>
      <c r="R344" s="58" t="str" cm="1">
        <f>IFERROR(IF(ISBLANK($A344),"",INDEX(Array_StationaryCharges,MATCH($A344,List_StationaryFuelMeters,0),ROUNDUP((COLUMN()+1)/3-2,0))),"")</f>
        <v/>
      </c>
      <c r="S344" s="127"/>
      <c r="T344" s="127"/>
      <c r="U344" s="58" t="str" cm="1">
        <f>IFERROR(IF(ISBLANK($A344),"",INDEX(Array_StationaryCharges,MATCH($A344,List_StationaryFuelMeters,0),ROUNDUP((COLUMN()+1)/3-2,0))),"")</f>
        <v/>
      </c>
      <c r="V344" s="127"/>
      <c r="W344" s="127"/>
      <c r="X344" s="58" t="str" cm="1">
        <f>IFERROR(IF(ISBLANK($A344),"",INDEX(Array_StationaryCharges,MATCH($A344,List_StationaryFuelMeters,0),ROUNDUP((COLUMN()+1)/3-2,0))),"")</f>
        <v/>
      </c>
      <c r="Y344" s="127"/>
      <c r="Z344" s="127"/>
      <c r="AA344" s="58" t="str" cm="1">
        <f>IFERROR(IF(ISBLANK($A344),"",INDEX(Array_StationaryCharges,MATCH($A344,List_StationaryFuelMeters,0),ROUNDUP((COLUMN()+1)/3-2,0))),"")</f>
        <v/>
      </c>
      <c r="AB344" s="127"/>
      <c r="AC344" s="127"/>
      <c r="AD344" s="58" t="str" cm="1">
        <f>IFERROR(IF(ISBLANK($A344),"",INDEX(Array_StationaryCharges,MATCH($A344,List_StationaryFuelMeters,0),ROUNDUP((COLUMN()+1)/3-2,0))),"")</f>
        <v/>
      </c>
      <c r="AE344" s="127"/>
      <c r="AF344" s="127"/>
      <c r="AG344" s="58" t="str" cm="1">
        <f>IFERROR(IF(ISBLANK($A344),"",INDEX(Array_StationaryCharges,MATCH($A344,List_StationaryFuelMeters,0),ROUNDUP((COLUMN()+1)/3-2,0))),"")</f>
        <v/>
      </c>
      <c r="AH344" s="127"/>
      <c r="AI344" s="127"/>
      <c r="AJ344" s="58" t="str" cm="1">
        <f>IFERROR(IF(ISBLANK($A344),"",INDEX(Array_StationaryCharges,MATCH($A344,List_StationaryFuelMeters,0),ROUNDUP((COLUMN()+1)/3-2,0))),"")</f>
        <v/>
      </c>
      <c r="AK344" s="127"/>
      <c r="AL344" s="127"/>
      <c r="AM344" s="58" t="str" cm="1">
        <f>IFERROR(IF(ISBLANK($A344),"",INDEX(Array_StationaryCharges,MATCH($A344,List_StationaryFuelMeters,0),ROUNDUP((COLUMN()+1)/3-2,0))),"")</f>
        <v/>
      </c>
      <c r="AN344" s="127"/>
      <c r="AO344" s="127"/>
      <c r="AP344" s="58" t="str" cm="1">
        <f>IFERROR(IF(ISBLANK($A344),"",INDEX(Array_StationaryCharges,MATCH($A344,List_StationaryFuelMeters,0),ROUNDUP((COLUMN()+1)/3-2,0))),"")</f>
        <v/>
      </c>
      <c r="AQ344" s="127"/>
      <c r="AR344" s="127"/>
      <c r="AS344" s="58" t="str" cm="1">
        <f>IFERROR(IF(ISBLANK($A344),"",INDEX(Array_StationaryCharges,MATCH($A344,List_StationaryFuelMeters,0),ROUNDUP((COLUMN()+1)/3-2,0))),"")</f>
        <v/>
      </c>
      <c r="AT344" s="127"/>
      <c r="AU344" s="127"/>
      <c r="AV344" s="58" t="str" cm="1">
        <f>IFERROR(IF(ISBLANK($A344),"",INDEX(Array_StationaryCharges,MATCH($A344,List_StationaryFuelMeters,0),ROUNDUP((COLUMN()+1)/3-2,0))),"")</f>
        <v/>
      </c>
      <c r="AW344" s="127"/>
      <c r="AX344" s="127"/>
    </row>
    <row r="345" spans="1:50" x14ac:dyDescent="0.3">
      <c r="A345" s="126"/>
      <c r="B345" s="133"/>
      <c r="C345" s="127"/>
      <c r="D345" s="138"/>
      <c r="E345" s="138"/>
      <c r="F345" s="58" t="str" cm="1">
        <f>IFERROR(IF(ISBLANK($A345),"",INDEX(Array_StationaryCharges,MATCH($A345,List_StationaryFuelMeters,0),ROUNDUP((COLUMN()+1)/3-2,0))),"")</f>
        <v/>
      </c>
      <c r="G345" s="127"/>
      <c r="H345" s="127"/>
      <c r="I345" s="58" t="str" cm="1">
        <f>IFERROR(IF(ISBLANK($A345),"",INDEX(Array_StationaryCharges,MATCH($A345,List_StationaryFuelMeters,0),ROUNDUP((COLUMN()+1)/3-2,0))),"")</f>
        <v/>
      </c>
      <c r="J345" s="127"/>
      <c r="K345" s="127"/>
      <c r="L345" s="58" t="str" cm="1">
        <f>IFERROR(IF(ISBLANK($A345),"",INDEX(Array_StationaryCharges,MATCH($A345,List_StationaryFuelMeters,0),ROUNDUP((COLUMN()+1)/3-2,0))),"")</f>
        <v/>
      </c>
      <c r="M345" s="127"/>
      <c r="N345" s="127"/>
      <c r="O345" s="58" t="str" cm="1">
        <f>IFERROR(IF(ISBLANK($A345),"",INDEX(Array_StationaryCharges,MATCH($A345,List_StationaryFuelMeters,0),ROUNDUP((COLUMN()+1)/3-2,0))),"")</f>
        <v/>
      </c>
      <c r="P345" s="127"/>
      <c r="Q345" s="127"/>
      <c r="R345" s="58" t="str" cm="1">
        <f>IFERROR(IF(ISBLANK($A345),"",INDEX(Array_StationaryCharges,MATCH($A345,List_StationaryFuelMeters,0),ROUNDUP((COLUMN()+1)/3-2,0))),"")</f>
        <v/>
      </c>
      <c r="S345" s="127"/>
      <c r="T345" s="127"/>
      <c r="U345" s="58" t="str" cm="1">
        <f>IFERROR(IF(ISBLANK($A345),"",INDEX(Array_StationaryCharges,MATCH($A345,List_StationaryFuelMeters,0),ROUNDUP((COLUMN()+1)/3-2,0))),"")</f>
        <v/>
      </c>
      <c r="V345" s="127"/>
      <c r="W345" s="127"/>
      <c r="X345" s="58" t="str" cm="1">
        <f>IFERROR(IF(ISBLANK($A345),"",INDEX(Array_StationaryCharges,MATCH($A345,List_StationaryFuelMeters,0),ROUNDUP((COLUMN()+1)/3-2,0))),"")</f>
        <v/>
      </c>
      <c r="Y345" s="127"/>
      <c r="Z345" s="127"/>
      <c r="AA345" s="58" t="str" cm="1">
        <f>IFERROR(IF(ISBLANK($A345),"",INDEX(Array_StationaryCharges,MATCH($A345,List_StationaryFuelMeters,0),ROUNDUP((COLUMN()+1)/3-2,0))),"")</f>
        <v/>
      </c>
      <c r="AB345" s="127"/>
      <c r="AC345" s="127"/>
      <c r="AD345" s="58" t="str" cm="1">
        <f>IFERROR(IF(ISBLANK($A345),"",INDEX(Array_StationaryCharges,MATCH($A345,List_StationaryFuelMeters,0),ROUNDUP((COLUMN()+1)/3-2,0))),"")</f>
        <v/>
      </c>
      <c r="AE345" s="127"/>
      <c r="AF345" s="127"/>
      <c r="AG345" s="58" t="str" cm="1">
        <f>IFERROR(IF(ISBLANK($A345),"",INDEX(Array_StationaryCharges,MATCH($A345,List_StationaryFuelMeters,0),ROUNDUP((COLUMN()+1)/3-2,0))),"")</f>
        <v/>
      </c>
      <c r="AH345" s="127"/>
      <c r="AI345" s="127"/>
      <c r="AJ345" s="58" t="str" cm="1">
        <f>IFERROR(IF(ISBLANK($A345),"",INDEX(Array_StationaryCharges,MATCH($A345,List_StationaryFuelMeters,0),ROUNDUP((COLUMN()+1)/3-2,0))),"")</f>
        <v/>
      </c>
      <c r="AK345" s="127"/>
      <c r="AL345" s="127"/>
      <c r="AM345" s="58" t="str" cm="1">
        <f>IFERROR(IF(ISBLANK($A345),"",INDEX(Array_StationaryCharges,MATCH($A345,List_StationaryFuelMeters,0),ROUNDUP((COLUMN()+1)/3-2,0))),"")</f>
        <v/>
      </c>
      <c r="AN345" s="127"/>
      <c r="AO345" s="127"/>
      <c r="AP345" s="58" t="str" cm="1">
        <f>IFERROR(IF(ISBLANK($A345),"",INDEX(Array_StationaryCharges,MATCH($A345,List_StationaryFuelMeters,0),ROUNDUP((COLUMN()+1)/3-2,0))),"")</f>
        <v/>
      </c>
      <c r="AQ345" s="127"/>
      <c r="AR345" s="127"/>
      <c r="AS345" s="58" t="str" cm="1">
        <f>IFERROR(IF(ISBLANK($A345),"",INDEX(Array_StationaryCharges,MATCH($A345,List_StationaryFuelMeters,0),ROUNDUP((COLUMN()+1)/3-2,0))),"")</f>
        <v/>
      </c>
      <c r="AT345" s="127"/>
      <c r="AU345" s="127"/>
      <c r="AV345" s="58" t="str" cm="1">
        <f>IFERROR(IF(ISBLANK($A345),"",INDEX(Array_StationaryCharges,MATCH($A345,List_StationaryFuelMeters,0),ROUNDUP((COLUMN()+1)/3-2,0))),"")</f>
        <v/>
      </c>
      <c r="AW345" s="127"/>
      <c r="AX345" s="127"/>
    </row>
    <row r="346" spans="1:50" x14ac:dyDescent="0.3">
      <c r="A346" s="126"/>
      <c r="B346" s="133"/>
      <c r="C346" s="127"/>
      <c r="D346" s="138"/>
      <c r="E346" s="138"/>
      <c r="F346" s="58" t="str" cm="1">
        <f>IFERROR(IF(ISBLANK($A346),"",INDEX(Array_StationaryCharges,MATCH($A346,List_StationaryFuelMeters,0),ROUNDUP((COLUMN()+1)/3-2,0))),"")</f>
        <v/>
      </c>
      <c r="G346" s="127"/>
      <c r="H346" s="127"/>
      <c r="I346" s="58" t="str" cm="1">
        <f>IFERROR(IF(ISBLANK($A346),"",INDEX(Array_StationaryCharges,MATCH($A346,List_StationaryFuelMeters,0),ROUNDUP((COLUMN()+1)/3-2,0))),"")</f>
        <v/>
      </c>
      <c r="J346" s="127"/>
      <c r="K346" s="127"/>
      <c r="L346" s="58" t="str" cm="1">
        <f>IFERROR(IF(ISBLANK($A346),"",INDEX(Array_StationaryCharges,MATCH($A346,List_StationaryFuelMeters,0),ROUNDUP((COLUMN()+1)/3-2,0))),"")</f>
        <v/>
      </c>
      <c r="M346" s="127"/>
      <c r="N346" s="127"/>
      <c r="O346" s="58" t="str" cm="1">
        <f>IFERROR(IF(ISBLANK($A346),"",INDEX(Array_StationaryCharges,MATCH($A346,List_StationaryFuelMeters,0),ROUNDUP((COLUMN()+1)/3-2,0))),"")</f>
        <v/>
      </c>
      <c r="P346" s="127"/>
      <c r="Q346" s="127"/>
      <c r="R346" s="58" t="str" cm="1">
        <f>IFERROR(IF(ISBLANK($A346),"",INDEX(Array_StationaryCharges,MATCH($A346,List_StationaryFuelMeters,0),ROUNDUP((COLUMN()+1)/3-2,0))),"")</f>
        <v/>
      </c>
      <c r="S346" s="127"/>
      <c r="T346" s="127"/>
      <c r="U346" s="58" t="str" cm="1">
        <f>IFERROR(IF(ISBLANK($A346),"",INDEX(Array_StationaryCharges,MATCH($A346,List_StationaryFuelMeters,0),ROUNDUP((COLUMN()+1)/3-2,0))),"")</f>
        <v/>
      </c>
      <c r="V346" s="127"/>
      <c r="W346" s="127"/>
      <c r="X346" s="58" t="str" cm="1">
        <f>IFERROR(IF(ISBLANK($A346),"",INDEX(Array_StationaryCharges,MATCH($A346,List_StationaryFuelMeters,0),ROUNDUP((COLUMN()+1)/3-2,0))),"")</f>
        <v/>
      </c>
      <c r="Y346" s="127"/>
      <c r="Z346" s="127"/>
      <c r="AA346" s="58" t="str" cm="1">
        <f>IFERROR(IF(ISBLANK($A346),"",INDEX(Array_StationaryCharges,MATCH($A346,List_StationaryFuelMeters,0),ROUNDUP((COLUMN()+1)/3-2,0))),"")</f>
        <v/>
      </c>
      <c r="AB346" s="127"/>
      <c r="AC346" s="127"/>
      <c r="AD346" s="58" t="str" cm="1">
        <f>IFERROR(IF(ISBLANK($A346),"",INDEX(Array_StationaryCharges,MATCH($A346,List_StationaryFuelMeters,0),ROUNDUP((COLUMN()+1)/3-2,0))),"")</f>
        <v/>
      </c>
      <c r="AE346" s="127"/>
      <c r="AF346" s="127"/>
      <c r="AG346" s="58" t="str" cm="1">
        <f>IFERROR(IF(ISBLANK($A346),"",INDEX(Array_StationaryCharges,MATCH($A346,List_StationaryFuelMeters,0),ROUNDUP((COLUMN()+1)/3-2,0))),"")</f>
        <v/>
      </c>
      <c r="AH346" s="127"/>
      <c r="AI346" s="127"/>
      <c r="AJ346" s="58" t="str" cm="1">
        <f>IFERROR(IF(ISBLANK($A346),"",INDEX(Array_StationaryCharges,MATCH($A346,List_StationaryFuelMeters,0),ROUNDUP((COLUMN()+1)/3-2,0))),"")</f>
        <v/>
      </c>
      <c r="AK346" s="127"/>
      <c r="AL346" s="127"/>
      <c r="AM346" s="58" t="str" cm="1">
        <f>IFERROR(IF(ISBLANK($A346),"",INDEX(Array_StationaryCharges,MATCH($A346,List_StationaryFuelMeters,0),ROUNDUP((COLUMN()+1)/3-2,0))),"")</f>
        <v/>
      </c>
      <c r="AN346" s="127"/>
      <c r="AO346" s="127"/>
      <c r="AP346" s="58" t="str" cm="1">
        <f>IFERROR(IF(ISBLANK($A346),"",INDEX(Array_StationaryCharges,MATCH($A346,List_StationaryFuelMeters,0),ROUNDUP((COLUMN()+1)/3-2,0))),"")</f>
        <v/>
      </c>
      <c r="AQ346" s="127"/>
      <c r="AR346" s="127"/>
      <c r="AS346" s="58" t="str" cm="1">
        <f>IFERROR(IF(ISBLANK($A346),"",INDEX(Array_StationaryCharges,MATCH($A346,List_StationaryFuelMeters,0),ROUNDUP((COLUMN()+1)/3-2,0))),"")</f>
        <v/>
      </c>
      <c r="AT346" s="127"/>
      <c r="AU346" s="127"/>
      <c r="AV346" s="58" t="str" cm="1">
        <f>IFERROR(IF(ISBLANK($A346),"",INDEX(Array_StationaryCharges,MATCH($A346,List_StationaryFuelMeters,0),ROUNDUP((COLUMN()+1)/3-2,0))),"")</f>
        <v/>
      </c>
      <c r="AW346" s="127"/>
      <c r="AX346" s="127"/>
    </row>
    <row r="347" spans="1:50" x14ac:dyDescent="0.3">
      <c r="A347" s="126"/>
      <c r="B347" s="133"/>
      <c r="C347" s="127"/>
      <c r="D347" s="138"/>
      <c r="E347" s="138"/>
      <c r="F347" s="58" t="str" cm="1">
        <f>IFERROR(IF(ISBLANK($A347),"",INDEX(Array_StationaryCharges,MATCH($A347,List_StationaryFuelMeters,0),ROUNDUP((COLUMN()+1)/3-2,0))),"")</f>
        <v/>
      </c>
      <c r="G347" s="127"/>
      <c r="H347" s="127"/>
      <c r="I347" s="58" t="str" cm="1">
        <f>IFERROR(IF(ISBLANK($A347),"",INDEX(Array_StationaryCharges,MATCH($A347,List_StationaryFuelMeters,0),ROUNDUP((COLUMN()+1)/3-2,0))),"")</f>
        <v/>
      </c>
      <c r="J347" s="127"/>
      <c r="K347" s="127"/>
      <c r="L347" s="58" t="str" cm="1">
        <f>IFERROR(IF(ISBLANK($A347),"",INDEX(Array_StationaryCharges,MATCH($A347,List_StationaryFuelMeters,0),ROUNDUP((COLUMN()+1)/3-2,0))),"")</f>
        <v/>
      </c>
      <c r="M347" s="127"/>
      <c r="N347" s="127"/>
      <c r="O347" s="58" t="str" cm="1">
        <f>IFERROR(IF(ISBLANK($A347),"",INDEX(Array_StationaryCharges,MATCH($A347,List_StationaryFuelMeters,0),ROUNDUP((COLUMN()+1)/3-2,0))),"")</f>
        <v/>
      </c>
      <c r="P347" s="127"/>
      <c r="Q347" s="127"/>
      <c r="R347" s="58" t="str" cm="1">
        <f>IFERROR(IF(ISBLANK($A347),"",INDEX(Array_StationaryCharges,MATCH($A347,List_StationaryFuelMeters,0),ROUNDUP((COLUMN()+1)/3-2,0))),"")</f>
        <v/>
      </c>
      <c r="S347" s="127"/>
      <c r="T347" s="127"/>
      <c r="U347" s="58" t="str" cm="1">
        <f>IFERROR(IF(ISBLANK($A347),"",INDEX(Array_StationaryCharges,MATCH($A347,List_StationaryFuelMeters,0),ROUNDUP((COLUMN()+1)/3-2,0))),"")</f>
        <v/>
      </c>
      <c r="V347" s="127"/>
      <c r="W347" s="127"/>
      <c r="X347" s="58" t="str" cm="1">
        <f>IFERROR(IF(ISBLANK($A347),"",INDEX(Array_StationaryCharges,MATCH($A347,List_StationaryFuelMeters,0),ROUNDUP((COLUMN()+1)/3-2,0))),"")</f>
        <v/>
      </c>
      <c r="Y347" s="127"/>
      <c r="Z347" s="127"/>
      <c r="AA347" s="58" t="str" cm="1">
        <f>IFERROR(IF(ISBLANK($A347),"",INDEX(Array_StationaryCharges,MATCH($A347,List_StationaryFuelMeters,0),ROUNDUP((COLUMN()+1)/3-2,0))),"")</f>
        <v/>
      </c>
      <c r="AB347" s="127"/>
      <c r="AC347" s="127"/>
      <c r="AD347" s="58" t="str" cm="1">
        <f>IFERROR(IF(ISBLANK($A347),"",INDEX(Array_StationaryCharges,MATCH($A347,List_StationaryFuelMeters,0),ROUNDUP((COLUMN()+1)/3-2,0))),"")</f>
        <v/>
      </c>
      <c r="AE347" s="127"/>
      <c r="AF347" s="127"/>
      <c r="AG347" s="58" t="str" cm="1">
        <f>IFERROR(IF(ISBLANK($A347),"",INDEX(Array_StationaryCharges,MATCH($A347,List_StationaryFuelMeters,0),ROUNDUP((COLUMN()+1)/3-2,0))),"")</f>
        <v/>
      </c>
      <c r="AH347" s="127"/>
      <c r="AI347" s="127"/>
      <c r="AJ347" s="58" t="str" cm="1">
        <f>IFERROR(IF(ISBLANK($A347),"",INDEX(Array_StationaryCharges,MATCH($A347,List_StationaryFuelMeters,0),ROUNDUP((COLUMN()+1)/3-2,0))),"")</f>
        <v/>
      </c>
      <c r="AK347" s="127"/>
      <c r="AL347" s="127"/>
      <c r="AM347" s="58" t="str" cm="1">
        <f>IFERROR(IF(ISBLANK($A347),"",INDEX(Array_StationaryCharges,MATCH($A347,List_StationaryFuelMeters,0),ROUNDUP((COLUMN()+1)/3-2,0))),"")</f>
        <v/>
      </c>
      <c r="AN347" s="127"/>
      <c r="AO347" s="127"/>
      <c r="AP347" s="58" t="str" cm="1">
        <f>IFERROR(IF(ISBLANK($A347),"",INDEX(Array_StationaryCharges,MATCH($A347,List_StationaryFuelMeters,0),ROUNDUP((COLUMN()+1)/3-2,0))),"")</f>
        <v/>
      </c>
      <c r="AQ347" s="127"/>
      <c r="AR347" s="127"/>
      <c r="AS347" s="58" t="str" cm="1">
        <f>IFERROR(IF(ISBLANK($A347),"",INDEX(Array_StationaryCharges,MATCH($A347,List_StationaryFuelMeters,0),ROUNDUP((COLUMN()+1)/3-2,0))),"")</f>
        <v/>
      </c>
      <c r="AT347" s="127"/>
      <c r="AU347" s="127"/>
      <c r="AV347" s="58" t="str" cm="1">
        <f>IFERROR(IF(ISBLANK($A347),"",INDEX(Array_StationaryCharges,MATCH($A347,List_StationaryFuelMeters,0),ROUNDUP((COLUMN()+1)/3-2,0))),"")</f>
        <v/>
      </c>
      <c r="AW347" s="127"/>
      <c r="AX347" s="127"/>
    </row>
    <row r="348" spans="1:50" x14ac:dyDescent="0.3">
      <c r="A348" s="126"/>
      <c r="B348" s="133"/>
      <c r="C348" s="127"/>
      <c r="D348" s="138"/>
      <c r="E348" s="138"/>
      <c r="F348" s="58" t="str" cm="1">
        <f>IFERROR(IF(ISBLANK($A348),"",INDEX(Array_StationaryCharges,MATCH($A348,List_StationaryFuelMeters,0),ROUNDUP((COLUMN()+1)/3-2,0))),"")</f>
        <v/>
      </c>
      <c r="G348" s="127"/>
      <c r="H348" s="127"/>
      <c r="I348" s="58" t="str" cm="1">
        <f>IFERROR(IF(ISBLANK($A348),"",INDEX(Array_StationaryCharges,MATCH($A348,List_StationaryFuelMeters,0),ROUNDUP((COLUMN()+1)/3-2,0))),"")</f>
        <v/>
      </c>
      <c r="J348" s="127"/>
      <c r="K348" s="127"/>
      <c r="L348" s="58" t="str" cm="1">
        <f>IFERROR(IF(ISBLANK($A348),"",INDEX(Array_StationaryCharges,MATCH($A348,List_StationaryFuelMeters,0),ROUNDUP((COLUMN()+1)/3-2,0))),"")</f>
        <v/>
      </c>
      <c r="M348" s="127"/>
      <c r="N348" s="127"/>
      <c r="O348" s="58" t="str" cm="1">
        <f>IFERROR(IF(ISBLANK($A348),"",INDEX(Array_StationaryCharges,MATCH($A348,List_StationaryFuelMeters,0),ROUNDUP((COLUMN()+1)/3-2,0))),"")</f>
        <v/>
      </c>
      <c r="P348" s="127"/>
      <c r="Q348" s="127"/>
      <c r="R348" s="58" t="str" cm="1">
        <f>IFERROR(IF(ISBLANK($A348),"",INDEX(Array_StationaryCharges,MATCH($A348,List_StationaryFuelMeters,0),ROUNDUP((COLUMN()+1)/3-2,0))),"")</f>
        <v/>
      </c>
      <c r="S348" s="127"/>
      <c r="T348" s="127"/>
      <c r="U348" s="58" t="str" cm="1">
        <f>IFERROR(IF(ISBLANK($A348),"",INDEX(Array_StationaryCharges,MATCH($A348,List_StationaryFuelMeters,0),ROUNDUP((COLUMN()+1)/3-2,0))),"")</f>
        <v/>
      </c>
      <c r="V348" s="127"/>
      <c r="W348" s="127"/>
      <c r="X348" s="58" t="str" cm="1">
        <f>IFERROR(IF(ISBLANK($A348),"",INDEX(Array_StationaryCharges,MATCH($A348,List_StationaryFuelMeters,0),ROUNDUP((COLUMN()+1)/3-2,0))),"")</f>
        <v/>
      </c>
      <c r="Y348" s="127"/>
      <c r="Z348" s="127"/>
      <c r="AA348" s="58" t="str" cm="1">
        <f>IFERROR(IF(ISBLANK($A348),"",INDEX(Array_StationaryCharges,MATCH($A348,List_StationaryFuelMeters,0),ROUNDUP((COLUMN()+1)/3-2,0))),"")</f>
        <v/>
      </c>
      <c r="AB348" s="127"/>
      <c r="AC348" s="127"/>
      <c r="AD348" s="58" t="str" cm="1">
        <f>IFERROR(IF(ISBLANK($A348),"",INDEX(Array_StationaryCharges,MATCH($A348,List_StationaryFuelMeters,0),ROUNDUP((COLUMN()+1)/3-2,0))),"")</f>
        <v/>
      </c>
      <c r="AE348" s="127"/>
      <c r="AF348" s="127"/>
      <c r="AG348" s="58" t="str" cm="1">
        <f>IFERROR(IF(ISBLANK($A348),"",INDEX(Array_StationaryCharges,MATCH($A348,List_StationaryFuelMeters,0),ROUNDUP((COLUMN()+1)/3-2,0))),"")</f>
        <v/>
      </c>
      <c r="AH348" s="127"/>
      <c r="AI348" s="127"/>
      <c r="AJ348" s="58" t="str" cm="1">
        <f>IFERROR(IF(ISBLANK($A348),"",INDEX(Array_StationaryCharges,MATCH($A348,List_StationaryFuelMeters,0),ROUNDUP((COLUMN()+1)/3-2,0))),"")</f>
        <v/>
      </c>
      <c r="AK348" s="127"/>
      <c r="AL348" s="127"/>
      <c r="AM348" s="58" t="str" cm="1">
        <f>IFERROR(IF(ISBLANK($A348),"",INDEX(Array_StationaryCharges,MATCH($A348,List_StationaryFuelMeters,0),ROUNDUP((COLUMN()+1)/3-2,0))),"")</f>
        <v/>
      </c>
      <c r="AN348" s="127"/>
      <c r="AO348" s="127"/>
      <c r="AP348" s="58" t="str" cm="1">
        <f>IFERROR(IF(ISBLANK($A348),"",INDEX(Array_StationaryCharges,MATCH($A348,List_StationaryFuelMeters,0),ROUNDUP((COLUMN()+1)/3-2,0))),"")</f>
        <v/>
      </c>
      <c r="AQ348" s="127"/>
      <c r="AR348" s="127"/>
      <c r="AS348" s="58" t="str" cm="1">
        <f>IFERROR(IF(ISBLANK($A348),"",INDEX(Array_StationaryCharges,MATCH($A348,List_StationaryFuelMeters,0),ROUNDUP((COLUMN()+1)/3-2,0))),"")</f>
        <v/>
      </c>
      <c r="AT348" s="127"/>
      <c r="AU348" s="127"/>
      <c r="AV348" s="58" t="str" cm="1">
        <f>IFERROR(IF(ISBLANK($A348),"",INDEX(Array_StationaryCharges,MATCH($A348,List_StationaryFuelMeters,0),ROUNDUP((COLUMN()+1)/3-2,0))),"")</f>
        <v/>
      </c>
      <c r="AW348" s="127"/>
      <c r="AX348" s="127"/>
    </row>
    <row r="349" spans="1:50" x14ac:dyDescent="0.3">
      <c r="A349" s="126"/>
      <c r="B349" s="133"/>
      <c r="C349" s="127"/>
      <c r="D349" s="138"/>
      <c r="E349" s="138"/>
      <c r="F349" s="58" t="str" cm="1">
        <f>IFERROR(IF(ISBLANK($A349),"",INDEX(Array_StationaryCharges,MATCH($A349,List_StationaryFuelMeters,0),ROUNDUP((COLUMN()+1)/3-2,0))),"")</f>
        <v/>
      </c>
      <c r="G349" s="127"/>
      <c r="H349" s="127"/>
      <c r="I349" s="58" t="str" cm="1">
        <f>IFERROR(IF(ISBLANK($A349),"",INDEX(Array_StationaryCharges,MATCH($A349,List_StationaryFuelMeters,0),ROUNDUP((COLUMN()+1)/3-2,0))),"")</f>
        <v/>
      </c>
      <c r="J349" s="127"/>
      <c r="K349" s="127"/>
      <c r="L349" s="58" t="str" cm="1">
        <f>IFERROR(IF(ISBLANK($A349),"",INDEX(Array_StationaryCharges,MATCH($A349,List_StationaryFuelMeters,0),ROUNDUP((COLUMN()+1)/3-2,0))),"")</f>
        <v/>
      </c>
      <c r="M349" s="127"/>
      <c r="N349" s="127"/>
      <c r="O349" s="58" t="str" cm="1">
        <f>IFERROR(IF(ISBLANK($A349),"",INDEX(Array_StationaryCharges,MATCH($A349,List_StationaryFuelMeters,0),ROUNDUP((COLUMN()+1)/3-2,0))),"")</f>
        <v/>
      </c>
      <c r="P349" s="127"/>
      <c r="Q349" s="127"/>
      <c r="R349" s="58" t="str" cm="1">
        <f>IFERROR(IF(ISBLANK($A349),"",INDEX(Array_StationaryCharges,MATCH($A349,List_StationaryFuelMeters,0),ROUNDUP((COLUMN()+1)/3-2,0))),"")</f>
        <v/>
      </c>
      <c r="S349" s="127"/>
      <c r="T349" s="127"/>
      <c r="U349" s="58" t="str" cm="1">
        <f>IFERROR(IF(ISBLANK($A349),"",INDEX(Array_StationaryCharges,MATCH($A349,List_StationaryFuelMeters,0),ROUNDUP((COLUMN()+1)/3-2,0))),"")</f>
        <v/>
      </c>
      <c r="V349" s="127"/>
      <c r="W349" s="127"/>
      <c r="X349" s="58" t="str" cm="1">
        <f>IFERROR(IF(ISBLANK($A349),"",INDEX(Array_StationaryCharges,MATCH($A349,List_StationaryFuelMeters,0),ROUNDUP((COLUMN()+1)/3-2,0))),"")</f>
        <v/>
      </c>
      <c r="Y349" s="127"/>
      <c r="Z349" s="127"/>
      <c r="AA349" s="58" t="str" cm="1">
        <f>IFERROR(IF(ISBLANK($A349),"",INDEX(Array_StationaryCharges,MATCH($A349,List_StationaryFuelMeters,0),ROUNDUP((COLUMN()+1)/3-2,0))),"")</f>
        <v/>
      </c>
      <c r="AB349" s="127"/>
      <c r="AC349" s="127"/>
      <c r="AD349" s="58" t="str" cm="1">
        <f>IFERROR(IF(ISBLANK($A349),"",INDEX(Array_StationaryCharges,MATCH($A349,List_StationaryFuelMeters,0),ROUNDUP((COLUMN()+1)/3-2,0))),"")</f>
        <v/>
      </c>
      <c r="AE349" s="127"/>
      <c r="AF349" s="127"/>
      <c r="AG349" s="58" t="str" cm="1">
        <f>IFERROR(IF(ISBLANK($A349),"",INDEX(Array_StationaryCharges,MATCH($A349,List_StationaryFuelMeters,0),ROUNDUP((COLUMN()+1)/3-2,0))),"")</f>
        <v/>
      </c>
      <c r="AH349" s="127"/>
      <c r="AI349" s="127"/>
      <c r="AJ349" s="58" t="str" cm="1">
        <f>IFERROR(IF(ISBLANK($A349),"",INDEX(Array_StationaryCharges,MATCH($A349,List_StationaryFuelMeters,0),ROUNDUP((COLUMN()+1)/3-2,0))),"")</f>
        <v/>
      </c>
      <c r="AK349" s="127"/>
      <c r="AL349" s="127"/>
      <c r="AM349" s="58" t="str" cm="1">
        <f>IFERROR(IF(ISBLANK($A349),"",INDEX(Array_StationaryCharges,MATCH($A349,List_StationaryFuelMeters,0),ROUNDUP((COLUMN()+1)/3-2,0))),"")</f>
        <v/>
      </c>
      <c r="AN349" s="127"/>
      <c r="AO349" s="127"/>
      <c r="AP349" s="58" t="str" cm="1">
        <f>IFERROR(IF(ISBLANK($A349),"",INDEX(Array_StationaryCharges,MATCH($A349,List_StationaryFuelMeters,0),ROUNDUP((COLUMN()+1)/3-2,0))),"")</f>
        <v/>
      </c>
      <c r="AQ349" s="127"/>
      <c r="AR349" s="127"/>
      <c r="AS349" s="58" t="str" cm="1">
        <f>IFERROR(IF(ISBLANK($A349),"",INDEX(Array_StationaryCharges,MATCH($A349,List_StationaryFuelMeters,0),ROUNDUP((COLUMN()+1)/3-2,0))),"")</f>
        <v/>
      </c>
      <c r="AT349" s="127"/>
      <c r="AU349" s="127"/>
      <c r="AV349" s="58" t="str" cm="1">
        <f>IFERROR(IF(ISBLANK($A349),"",INDEX(Array_StationaryCharges,MATCH($A349,List_StationaryFuelMeters,0),ROUNDUP((COLUMN()+1)/3-2,0))),"")</f>
        <v/>
      </c>
      <c r="AW349" s="127"/>
      <c r="AX349" s="127"/>
    </row>
    <row r="350" spans="1:50" x14ac:dyDescent="0.3">
      <c r="A350" s="126"/>
      <c r="B350" s="133"/>
      <c r="C350" s="127"/>
      <c r="D350" s="138"/>
      <c r="E350" s="138"/>
      <c r="F350" s="58" t="str" cm="1">
        <f>IFERROR(IF(ISBLANK($A350),"",INDEX(Array_StationaryCharges,MATCH($A350,List_StationaryFuelMeters,0),ROUNDUP((COLUMN()+1)/3-2,0))),"")</f>
        <v/>
      </c>
      <c r="G350" s="127"/>
      <c r="H350" s="127"/>
      <c r="I350" s="58" t="str" cm="1">
        <f>IFERROR(IF(ISBLANK($A350),"",INDEX(Array_StationaryCharges,MATCH($A350,List_StationaryFuelMeters,0),ROUNDUP((COLUMN()+1)/3-2,0))),"")</f>
        <v/>
      </c>
      <c r="J350" s="127"/>
      <c r="K350" s="127"/>
      <c r="L350" s="58" t="str" cm="1">
        <f>IFERROR(IF(ISBLANK($A350),"",INDEX(Array_StationaryCharges,MATCH($A350,List_StationaryFuelMeters,0),ROUNDUP((COLUMN()+1)/3-2,0))),"")</f>
        <v/>
      </c>
      <c r="M350" s="127"/>
      <c r="N350" s="127"/>
      <c r="O350" s="58" t="str" cm="1">
        <f>IFERROR(IF(ISBLANK($A350),"",INDEX(Array_StationaryCharges,MATCH($A350,List_StationaryFuelMeters,0),ROUNDUP((COLUMN()+1)/3-2,0))),"")</f>
        <v/>
      </c>
      <c r="P350" s="127"/>
      <c r="Q350" s="127"/>
      <c r="R350" s="58" t="str" cm="1">
        <f>IFERROR(IF(ISBLANK($A350),"",INDEX(Array_StationaryCharges,MATCH($A350,List_StationaryFuelMeters,0),ROUNDUP((COLUMN()+1)/3-2,0))),"")</f>
        <v/>
      </c>
      <c r="S350" s="127"/>
      <c r="T350" s="127"/>
      <c r="U350" s="58" t="str" cm="1">
        <f>IFERROR(IF(ISBLANK($A350),"",INDEX(Array_StationaryCharges,MATCH($A350,List_StationaryFuelMeters,0),ROUNDUP((COLUMN()+1)/3-2,0))),"")</f>
        <v/>
      </c>
      <c r="V350" s="127"/>
      <c r="W350" s="127"/>
      <c r="X350" s="58" t="str" cm="1">
        <f>IFERROR(IF(ISBLANK($A350),"",INDEX(Array_StationaryCharges,MATCH($A350,List_StationaryFuelMeters,0),ROUNDUP((COLUMN()+1)/3-2,0))),"")</f>
        <v/>
      </c>
      <c r="Y350" s="127"/>
      <c r="Z350" s="127"/>
      <c r="AA350" s="58" t="str" cm="1">
        <f>IFERROR(IF(ISBLANK($A350),"",INDEX(Array_StationaryCharges,MATCH($A350,List_StationaryFuelMeters,0),ROUNDUP((COLUMN()+1)/3-2,0))),"")</f>
        <v/>
      </c>
      <c r="AB350" s="127"/>
      <c r="AC350" s="127"/>
      <c r="AD350" s="58" t="str" cm="1">
        <f>IFERROR(IF(ISBLANK($A350),"",INDEX(Array_StationaryCharges,MATCH($A350,List_StationaryFuelMeters,0),ROUNDUP((COLUMN()+1)/3-2,0))),"")</f>
        <v/>
      </c>
      <c r="AE350" s="127"/>
      <c r="AF350" s="127"/>
      <c r="AG350" s="58" t="str" cm="1">
        <f>IFERROR(IF(ISBLANK($A350),"",INDEX(Array_StationaryCharges,MATCH($A350,List_StationaryFuelMeters,0),ROUNDUP((COLUMN()+1)/3-2,0))),"")</f>
        <v/>
      </c>
      <c r="AH350" s="127"/>
      <c r="AI350" s="127"/>
      <c r="AJ350" s="58" t="str" cm="1">
        <f>IFERROR(IF(ISBLANK($A350),"",INDEX(Array_StationaryCharges,MATCH($A350,List_StationaryFuelMeters,0),ROUNDUP((COLUMN()+1)/3-2,0))),"")</f>
        <v/>
      </c>
      <c r="AK350" s="127"/>
      <c r="AL350" s="127"/>
      <c r="AM350" s="58" t="str" cm="1">
        <f>IFERROR(IF(ISBLANK($A350),"",INDEX(Array_StationaryCharges,MATCH($A350,List_StationaryFuelMeters,0),ROUNDUP((COLUMN()+1)/3-2,0))),"")</f>
        <v/>
      </c>
      <c r="AN350" s="127"/>
      <c r="AO350" s="127"/>
      <c r="AP350" s="58" t="str" cm="1">
        <f>IFERROR(IF(ISBLANK($A350),"",INDEX(Array_StationaryCharges,MATCH($A350,List_StationaryFuelMeters,0),ROUNDUP((COLUMN()+1)/3-2,0))),"")</f>
        <v/>
      </c>
      <c r="AQ350" s="127"/>
      <c r="AR350" s="127"/>
      <c r="AS350" s="58" t="str" cm="1">
        <f>IFERROR(IF(ISBLANK($A350),"",INDEX(Array_StationaryCharges,MATCH($A350,List_StationaryFuelMeters,0),ROUNDUP((COLUMN()+1)/3-2,0))),"")</f>
        <v/>
      </c>
      <c r="AT350" s="127"/>
      <c r="AU350" s="127"/>
      <c r="AV350" s="58" t="str" cm="1">
        <f>IFERROR(IF(ISBLANK($A350),"",INDEX(Array_StationaryCharges,MATCH($A350,List_StationaryFuelMeters,0),ROUNDUP((COLUMN()+1)/3-2,0))),"")</f>
        <v/>
      </c>
      <c r="AW350" s="127"/>
      <c r="AX350" s="127"/>
    </row>
    <row r="351" spans="1:50" x14ac:dyDescent="0.3">
      <c r="A351" s="126"/>
      <c r="B351" s="133"/>
      <c r="C351" s="127"/>
      <c r="D351" s="138"/>
      <c r="E351" s="138"/>
      <c r="F351" s="58" t="str" cm="1">
        <f>IFERROR(IF(ISBLANK($A351),"",INDEX(Array_StationaryCharges,MATCH($A351,List_StationaryFuelMeters,0),ROUNDUP((COLUMN()+1)/3-2,0))),"")</f>
        <v/>
      </c>
      <c r="G351" s="127"/>
      <c r="H351" s="127"/>
      <c r="I351" s="58" t="str" cm="1">
        <f>IFERROR(IF(ISBLANK($A351),"",INDEX(Array_StationaryCharges,MATCH($A351,List_StationaryFuelMeters,0),ROUNDUP((COLUMN()+1)/3-2,0))),"")</f>
        <v/>
      </c>
      <c r="J351" s="127"/>
      <c r="K351" s="127"/>
      <c r="L351" s="58" t="str" cm="1">
        <f>IFERROR(IF(ISBLANK($A351),"",INDEX(Array_StationaryCharges,MATCH($A351,List_StationaryFuelMeters,0),ROUNDUP((COLUMN()+1)/3-2,0))),"")</f>
        <v/>
      </c>
      <c r="M351" s="127"/>
      <c r="N351" s="127"/>
      <c r="O351" s="58" t="str" cm="1">
        <f>IFERROR(IF(ISBLANK($A351),"",INDEX(Array_StationaryCharges,MATCH($A351,List_StationaryFuelMeters,0),ROUNDUP((COLUMN()+1)/3-2,0))),"")</f>
        <v/>
      </c>
      <c r="P351" s="127"/>
      <c r="Q351" s="127"/>
      <c r="R351" s="58" t="str" cm="1">
        <f>IFERROR(IF(ISBLANK($A351),"",INDEX(Array_StationaryCharges,MATCH($A351,List_StationaryFuelMeters,0),ROUNDUP((COLUMN()+1)/3-2,0))),"")</f>
        <v/>
      </c>
      <c r="S351" s="127"/>
      <c r="T351" s="127"/>
      <c r="U351" s="58" t="str" cm="1">
        <f>IFERROR(IF(ISBLANK($A351),"",INDEX(Array_StationaryCharges,MATCH($A351,List_StationaryFuelMeters,0),ROUNDUP((COLUMN()+1)/3-2,0))),"")</f>
        <v/>
      </c>
      <c r="V351" s="127"/>
      <c r="W351" s="127"/>
      <c r="X351" s="58" t="str" cm="1">
        <f>IFERROR(IF(ISBLANK($A351),"",INDEX(Array_StationaryCharges,MATCH($A351,List_StationaryFuelMeters,0),ROUNDUP((COLUMN()+1)/3-2,0))),"")</f>
        <v/>
      </c>
      <c r="Y351" s="127"/>
      <c r="Z351" s="127"/>
      <c r="AA351" s="58" t="str" cm="1">
        <f>IFERROR(IF(ISBLANK($A351),"",INDEX(Array_StationaryCharges,MATCH($A351,List_StationaryFuelMeters,0),ROUNDUP((COLUMN()+1)/3-2,0))),"")</f>
        <v/>
      </c>
      <c r="AB351" s="127"/>
      <c r="AC351" s="127"/>
      <c r="AD351" s="58" t="str" cm="1">
        <f>IFERROR(IF(ISBLANK($A351),"",INDEX(Array_StationaryCharges,MATCH($A351,List_StationaryFuelMeters,0),ROUNDUP((COLUMN()+1)/3-2,0))),"")</f>
        <v/>
      </c>
      <c r="AE351" s="127"/>
      <c r="AF351" s="127"/>
      <c r="AG351" s="58" t="str" cm="1">
        <f>IFERROR(IF(ISBLANK($A351),"",INDEX(Array_StationaryCharges,MATCH($A351,List_StationaryFuelMeters,0),ROUNDUP((COLUMN()+1)/3-2,0))),"")</f>
        <v/>
      </c>
      <c r="AH351" s="127"/>
      <c r="AI351" s="127"/>
      <c r="AJ351" s="58" t="str" cm="1">
        <f>IFERROR(IF(ISBLANK($A351),"",INDEX(Array_StationaryCharges,MATCH($A351,List_StationaryFuelMeters,0),ROUNDUP((COLUMN()+1)/3-2,0))),"")</f>
        <v/>
      </c>
      <c r="AK351" s="127"/>
      <c r="AL351" s="127"/>
      <c r="AM351" s="58" t="str" cm="1">
        <f>IFERROR(IF(ISBLANK($A351),"",INDEX(Array_StationaryCharges,MATCH($A351,List_StationaryFuelMeters,0),ROUNDUP((COLUMN()+1)/3-2,0))),"")</f>
        <v/>
      </c>
      <c r="AN351" s="127"/>
      <c r="AO351" s="127"/>
      <c r="AP351" s="58" t="str" cm="1">
        <f>IFERROR(IF(ISBLANK($A351),"",INDEX(Array_StationaryCharges,MATCH($A351,List_StationaryFuelMeters,0),ROUNDUP((COLUMN()+1)/3-2,0))),"")</f>
        <v/>
      </c>
      <c r="AQ351" s="127"/>
      <c r="AR351" s="127"/>
      <c r="AS351" s="58" t="str" cm="1">
        <f>IFERROR(IF(ISBLANK($A351),"",INDEX(Array_StationaryCharges,MATCH($A351,List_StationaryFuelMeters,0),ROUNDUP((COLUMN()+1)/3-2,0))),"")</f>
        <v/>
      </c>
      <c r="AT351" s="127"/>
      <c r="AU351" s="127"/>
      <c r="AV351" s="58" t="str" cm="1">
        <f>IFERROR(IF(ISBLANK($A351),"",INDEX(Array_StationaryCharges,MATCH($A351,List_StationaryFuelMeters,0),ROUNDUP((COLUMN()+1)/3-2,0))),"")</f>
        <v/>
      </c>
      <c r="AW351" s="127"/>
      <c r="AX351" s="127"/>
    </row>
    <row r="352" spans="1:50" x14ac:dyDescent="0.3">
      <c r="A352" s="126"/>
      <c r="B352" s="133"/>
      <c r="C352" s="127"/>
      <c r="D352" s="138"/>
      <c r="E352" s="138"/>
      <c r="F352" s="58" t="str" cm="1">
        <f>IFERROR(IF(ISBLANK($A352),"",INDEX(Array_StationaryCharges,MATCH($A352,List_StationaryFuelMeters,0),ROUNDUP((COLUMN()+1)/3-2,0))),"")</f>
        <v/>
      </c>
      <c r="G352" s="127"/>
      <c r="H352" s="127"/>
      <c r="I352" s="58" t="str" cm="1">
        <f>IFERROR(IF(ISBLANK($A352),"",INDEX(Array_StationaryCharges,MATCH($A352,List_StationaryFuelMeters,0),ROUNDUP((COLUMN()+1)/3-2,0))),"")</f>
        <v/>
      </c>
      <c r="J352" s="127"/>
      <c r="K352" s="127"/>
      <c r="L352" s="58" t="str" cm="1">
        <f>IFERROR(IF(ISBLANK($A352),"",INDEX(Array_StationaryCharges,MATCH($A352,List_StationaryFuelMeters,0),ROUNDUP((COLUMN()+1)/3-2,0))),"")</f>
        <v/>
      </c>
      <c r="M352" s="127"/>
      <c r="N352" s="127"/>
      <c r="O352" s="58" t="str" cm="1">
        <f>IFERROR(IF(ISBLANK($A352),"",INDEX(Array_StationaryCharges,MATCH($A352,List_StationaryFuelMeters,0),ROUNDUP((COLUMN()+1)/3-2,0))),"")</f>
        <v/>
      </c>
      <c r="P352" s="127"/>
      <c r="Q352" s="127"/>
      <c r="R352" s="58" t="str" cm="1">
        <f>IFERROR(IF(ISBLANK($A352),"",INDEX(Array_StationaryCharges,MATCH($A352,List_StationaryFuelMeters,0),ROUNDUP((COLUMN()+1)/3-2,0))),"")</f>
        <v/>
      </c>
      <c r="S352" s="127"/>
      <c r="T352" s="127"/>
      <c r="U352" s="58" t="str" cm="1">
        <f>IFERROR(IF(ISBLANK($A352),"",INDEX(Array_StationaryCharges,MATCH($A352,List_StationaryFuelMeters,0),ROUNDUP((COLUMN()+1)/3-2,0))),"")</f>
        <v/>
      </c>
      <c r="V352" s="127"/>
      <c r="W352" s="127"/>
      <c r="X352" s="58" t="str" cm="1">
        <f>IFERROR(IF(ISBLANK($A352),"",INDEX(Array_StationaryCharges,MATCH($A352,List_StationaryFuelMeters,0),ROUNDUP((COLUMN()+1)/3-2,0))),"")</f>
        <v/>
      </c>
      <c r="Y352" s="127"/>
      <c r="Z352" s="127"/>
      <c r="AA352" s="58" t="str" cm="1">
        <f>IFERROR(IF(ISBLANK($A352),"",INDEX(Array_StationaryCharges,MATCH($A352,List_StationaryFuelMeters,0),ROUNDUP((COLUMN()+1)/3-2,0))),"")</f>
        <v/>
      </c>
      <c r="AB352" s="127"/>
      <c r="AC352" s="127"/>
      <c r="AD352" s="58" t="str" cm="1">
        <f>IFERROR(IF(ISBLANK($A352),"",INDEX(Array_StationaryCharges,MATCH($A352,List_StationaryFuelMeters,0),ROUNDUP((COLUMN()+1)/3-2,0))),"")</f>
        <v/>
      </c>
      <c r="AE352" s="127"/>
      <c r="AF352" s="127"/>
      <c r="AG352" s="58" t="str" cm="1">
        <f>IFERROR(IF(ISBLANK($A352),"",INDEX(Array_StationaryCharges,MATCH($A352,List_StationaryFuelMeters,0),ROUNDUP((COLUMN()+1)/3-2,0))),"")</f>
        <v/>
      </c>
      <c r="AH352" s="127"/>
      <c r="AI352" s="127"/>
      <c r="AJ352" s="58" t="str" cm="1">
        <f>IFERROR(IF(ISBLANK($A352),"",INDEX(Array_StationaryCharges,MATCH($A352,List_StationaryFuelMeters,0),ROUNDUP((COLUMN()+1)/3-2,0))),"")</f>
        <v/>
      </c>
      <c r="AK352" s="127"/>
      <c r="AL352" s="127"/>
      <c r="AM352" s="58" t="str" cm="1">
        <f>IFERROR(IF(ISBLANK($A352),"",INDEX(Array_StationaryCharges,MATCH($A352,List_StationaryFuelMeters,0),ROUNDUP((COLUMN()+1)/3-2,0))),"")</f>
        <v/>
      </c>
      <c r="AN352" s="127"/>
      <c r="AO352" s="127"/>
      <c r="AP352" s="58" t="str" cm="1">
        <f>IFERROR(IF(ISBLANK($A352),"",INDEX(Array_StationaryCharges,MATCH($A352,List_StationaryFuelMeters,0),ROUNDUP((COLUMN()+1)/3-2,0))),"")</f>
        <v/>
      </c>
      <c r="AQ352" s="127"/>
      <c r="AR352" s="127"/>
      <c r="AS352" s="58" t="str" cm="1">
        <f>IFERROR(IF(ISBLANK($A352),"",INDEX(Array_StationaryCharges,MATCH($A352,List_StationaryFuelMeters,0),ROUNDUP((COLUMN()+1)/3-2,0))),"")</f>
        <v/>
      </c>
      <c r="AT352" s="127"/>
      <c r="AU352" s="127"/>
      <c r="AV352" s="58" t="str" cm="1">
        <f>IFERROR(IF(ISBLANK($A352),"",INDEX(Array_StationaryCharges,MATCH($A352,List_StationaryFuelMeters,0),ROUNDUP((COLUMN()+1)/3-2,0))),"")</f>
        <v/>
      </c>
      <c r="AW352" s="127"/>
      <c r="AX352" s="127"/>
    </row>
    <row r="353" spans="1:50" x14ac:dyDescent="0.3">
      <c r="A353" s="126"/>
      <c r="B353" s="133"/>
      <c r="C353" s="127"/>
      <c r="D353" s="138"/>
      <c r="E353" s="138"/>
      <c r="F353" s="58" t="str" cm="1">
        <f>IFERROR(IF(ISBLANK($A353),"",INDEX(Array_StationaryCharges,MATCH($A353,List_StationaryFuelMeters,0),ROUNDUP((COLUMN()+1)/3-2,0))),"")</f>
        <v/>
      </c>
      <c r="G353" s="127"/>
      <c r="H353" s="127"/>
      <c r="I353" s="58" t="str" cm="1">
        <f>IFERROR(IF(ISBLANK($A353),"",INDEX(Array_StationaryCharges,MATCH($A353,List_StationaryFuelMeters,0),ROUNDUP((COLUMN()+1)/3-2,0))),"")</f>
        <v/>
      </c>
      <c r="J353" s="127"/>
      <c r="K353" s="127"/>
      <c r="L353" s="58" t="str" cm="1">
        <f>IFERROR(IF(ISBLANK($A353),"",INDEX(Array_StationaryCharges,MATCH($A353,List_StationaryFuelMeters,0),ROUNDUP((COLUMN()+1)/3-2,0))),"")</f>
        <v/>
      </c>
      <c r="M353" s="127"/>
      <c r="N353" s="127"/>
      <c r="O353" s="58" t="str" cm="1">
        <f>IFERROR(IF(ISBLANK($A353),"",INDEX(Array_StationaryCharges,MATCH($A353,List_StationaryFuelMeters,0),ROUNDUP((COLUMN()+1)/3-2,0))),"")</f>
        <v/>
      </c>
      <c r="P353" s="127"/>
      <c r="Q353" s="127"/>
      <c r="R353" s="58" t="str" cm="1">
        <f>IFERROR(IF(ISBLANK($A353),"",INDEX(Array_StationaryCharges,MATCH($A353,List_StationaryFuelMeters,0),ROUNDUP((COLUMN()+1)/3-2,0))),"")</f>
        <v/>
      </c>
      <c r="S353" s="127"/>
      <c r="T353" s="127"/>
      <c r="U353" s="58" t="str" cm="1">
        <f>IFERROR(IF(ISBLANK($A353),"",INDEX(Array_StationaryCharges,MATCH($A353,List_StationaryFuelMeters,0),ROUNDUP((COLUMN()+1)/3-2,0))),"")</f>
        <v/>
      </c>
      <c r="V353" s="127"/>
      <c r="W353" s="127"/>
      <c r="X353" s="58" t="str" cm="1">
        <f>IFERROR(IF(ISBLANK($A353),"",INDEX(Array_StationaryCharges,MATCH($A353,List_StationaryFuelMeters,0),ROUNDUP((COLUMN()+1)/3-2,0))),"")</f>
        <v/>
      </c>
      <c r="Y353" s="127"/>
      <c r="Z353" s="127"/>
      <c r="AA353" s="58" t="str" cm="1">
        <f>IFERROR(IF(ISBLANK($A353),"",INDEX(Array_StationaryCharges,MATCH($A353,List_StationaryFuelMeters,0),ROUNDUP((COLUMN()+1)/3-2,0))),"")</f>
        <v/>
      </c>
      <c r="AB353" s="127"/>
      <c r="AC353" s="127"/>
      <c r="AD353" s="58" t="str" cm="1">
        <f>IFERROR(IF(ISBLANK($A353),"",INDEX(Array_StationaryCharges,MATCH($A353,List_StationaryFuelMeters,0),ROUNDUP((COLUMN()+1)/3-2,0))),"")</f>
        <v/>
      </c>
      <c r="AE353" s="127"/>
      <c r="AF353" s="127"/>
      <c r="AG353" s="58" t="str" cm="1">
        <f>IFERROR(IF(ISBLANK($A353),"",INDEX(Array_StationaryCharges,MATCH($A353,List_StationaryFuelMeters,0),ROUNDUP((COLUMN()+1)/3-2,0))),"")</f>
        <v/>
      </c>
      <c r="AH353" s="127"/>
      <c r="AI353" s="127"/>
      <c r="AJ353" s="58" t="str" cm="1">
        <f>IFERROR(IF(ISBLANK($A353),"",INDEX(Array_StationaryCharges,MATCH($A353,List_StationaryFuelMeters,0),ROUNDUP((COLUMN()+1)/3-2,0))),"")</f>
        <v/>
      </c>
      <c r="AK353" s="127"/>
      <c r="AL353" s="127"/>
      <c r="AM353" s="58" t="str" cm="1">
        <f>IFERROR(IF(ISBLANK($A353),"",INDEX(Array_StationaryCharges,MATCH($A353,List_StationaryFuelMeters,0),ROUNDUP((COLUMN()+1)/3-2,0))),"")</f>
        <v/>
      </c>
      <c r="AN353" s="127"/>
      <c r="AO353" s="127"/>
      <c r="AP353" s="58" t="str" cm="1">
        <f>IFERROR(IF(ISBLANK($A353),"",INDEX(Array_StationaryCharges,MATCH($A353,List_StationaryFuelMeters,0),ROUNDUP((COLUMN()+1)/3-2,0))),"")</f>
        <v/>
      </c>
      <c r="AQ353" s="127"/>
      <c r="AR353" s="127"/>
      <c r="AS353" s="58" t="str" cm="1">
        <f>IFERROR(IF(ISBLANK($A353),"",INDEX(Array_StationaryCharges,MATCH($A353,List_StationaryFuelMeters,0),ROUNDUP((COLUMN()+1)/3-2,0))),"")</f>
        <v/>
      </c>
      <c r="AT353" s="127"/>
      <c r="AU353" s="127"/>
      <c r="AV353" s="58" t="str" cm="1">
        <f>IFERROR(IF(ISBLANK($A353),"",INDEX(Array_StationaryCharges,MATCH($A353,List_StationaryFuelMeters,0),ROUNDUP((COLUMN()+1)/3-2,0))),"")</f>
        <v/>
      </c>
      <c r="AW353" s="127"/>
      <c r="AX353" s="127"/>
    </row>
    <row r="354" spans="1:50" x14ac:dyDescent="0.3">
      <c r="A354" s="126"/>
      <c r="B354" s="133"/>
      <c r="C354" s="127"/>
      <c r="D354" s="138"/>
      <c r="E354" s="138"/>
      <c r="F354" s="58" t="str" cm="1">
        <f>IFERROR(IF(ISBLANK($A354),"",INDEX(Array_StationaryCharges,MATCH($A354,List_StationaryFuelMeters,0),ROUNDUP((COLUMN()+1)/3-2,0))),"")</f>
        <v/>
      </c>
      <c r="G354" s="127"/>
      <c r="H354" s="127"/>
      <c r="I354" s="58" t="str" cm="1">
        <f>IFERROR(IF(ISBLANK($A354),"",INDEX(Array_StationaryCharges,MATCH($A354,List_StationaryFuelMeters,0),ROUNDUP((COLUMN()+1)/3-2,0))),"")</f>
        <v/>
      </c>
      <c r="J354" s="127"/>
      <c r="K354" s="127"/>
      <c r="L354" s="58" t="str" cm="1">
        <f>IFERROR(IF(ISBLANK($A354),"",INDEX(Array_StationaryCharges,MATCH($A354,List_StationaryFuelMeters,0),ROUNDUP((COLUMN()+1)/3-2,0))),"")</f>
        <v/>
      </c>
      <c r="M354" s="127"/>
      <c r="N354" s="127"/>
      <c r="O354" s="58" t="str" cm="1">
        <f>IFERROR(IF(ISBLANK($A354),"",INDEX(Array_StationaryCharges,MATCH($A354,List_StationaryFuelMeters,0),ROUNDUP((COLUMN()+1)/3-2,0))),"")</f>
        <v/>
      </c>
      <c r="P354" s="127"/>
      <c r="Q354" s="127"/>
      <c r="R354" s="58" t="str" cm="1">
        <f>IFERROR(IF(ISBLANK($A354),"",INDEX(Array_StationaryCharges,MATCH($A354,List_StationaryFuelMeters,0),ROUNDUP((COLUMN()+1)/3-2,0))),"")</f>
        <v/>
      </c>
      <c r="S354" s="127"/>
      <c r="T354" s="127"/>
      <c r="U354" s="58" t="str" cm="1">
        <f>IFERROR(IF(ISBLANK($A354),"",INDEX(Array_StationaryCharges,MATCH($A354,List_StationaryFuelMeters,0),ROUNDUP((COLUMN()+1)/3-2,0))),"")</f>
        <v/>
      </c>
      <c r="V354" s="127"/>
      <c r="W354" s="127"/>
      <c r="X354" s="58" t="str" cm="1">
        <f>IFERROR(IF(ISBLANK($A354),"",INDEX(Array_StationaryCharges,MATCH($A354,List_StationaryFuelMeters,0),ROUNDUP((COLUMN()+1)/3-2,0))),"")</f>
        <v/>
      </c>
      <c r="Y354" s="127"/>
      <c r="Z354" s="127"/>
      <c r="AA354" s="58" t="str" cm="1">
        <f>IFERROR(IF(ISBLANK($A354),"",INDEX(Array_StationaryCharges,MATCH($A354,List_StationaryFuelMeters,0),ROUNDUP((COLUMN()+1)/3-2,0))),"")</f>
        <v/>
      </c>
      <c r="AB354" s="127"/>
      <c r="AC354" s="127"/>
      <c r="AD354" s="58" t="str" cm="1">
        <f>IFERROR(IF(ISBLANK($A354),"",INDEX(Array_StationaryCharges,MATCH($A354,List_StationaryFuelMeters,0),ROUNDUP((COLUMN()+1)/3-2,0))),"")</f>
        <v/>
      </c>
      <c r="AE354" s="127"/>
      <c r="AF354" s="127"/>
      <c r="AG354" s="58" t="str" cm="1">
        <f>IFERROR(IF(ISBLANK($A354),"",INDEX(Array_StationaryCharges,MATCH($A354,List_StationaryFuelMeters,0),ROUNDUP((COLUMN()+1)/3-2,0))),"")</f>
        <v/>
      </c>
      <c r="AH354" s="127"/>
      <c r="AI354" s="127"/>
      <c r="AJ354" s="58" t="str" cm="1">
        <f>IFERROR(IF(ISBLANK($A354),"",INDEX(Array_StationaryCharges,MATCH($A354,List_StationaryFuelMeters,0),ROUNDUP((COLUMN()+1)/3-2,0))),"")</f>
        <v/>
      </c>
      <c r="AK354" s="127"/>
      <c r="AL354" s="127"/>
      <c r="AM354" s="58" t="str" cm="1">
        <f>IFERROR(IF(ISBLANK($A354),"",INDEX(Array_StationaryCharges,MATCH($A354,List_StationaryFuelMeters,0),ROUNDUP((COLUMN()+1)/3-2,0))),"")</f>
        <v/>
      </c>
      <c r="AN354" s="127"/>
      <c r="AO354" s="127"/>
      <c r="AP354" s="58" t="str" cm="1">
        <f>IFERROR(IF(ISBLANK($A354),"",INDEX(Array_StationaryCharges,MATCH($A354,List_StationaryFuelMeters,0),ROUNDUP((COLUMN()+1)/3-2,0))),"")</f>
        <v/>
      </c>
      <c r="AQ354" s="127"/>
      <c r="AR354" s="127"/>
      <c r="AS354" s="58" t="str" cm="1">
        <f>IFERROR(IF(ISBLANK($A354),"",INDEX(Array_StationaryCharges,MATCH($A354,List_StationaryFuelMeters,0),ROUNDUP((COLUMN()+1)/3-2,0))),"")</f>
        <v/>
      </c>
      <c r="AT354" s="127"/>
      <c r="AU354" s="127"/>
      <c r="AV354" s="58" t="str" cm="1">
        <f>IFERROR(IF(ISBLANK($A354),"",INDEX(Array_StationaryCharges,MATCH($A354,List_StationaryFuelMeters,0),ROUNDUP((COLUMN()+1)/3-2,0))),"")</f>
        <v/>
      </c>
      <c r="AW354" s="127"/>
      <c r="AX354" s="127"/>
    </row>
    <row r="355" spans="1:50" x14ac:dyDescent="0.3">
      <c r="A355" s="126"/>
      <c r="B355" s="133"/>
      <c r="C355" s="127"/>
      <c r="D355" s="138"/>
      <c r="E355" s="138"/>
      <c r="F355" s="58" t="str" cm="1">
        <f>IFERROR(IF(ISBLANK($A355),"",INDEX(Array_StationaryCharges,MATCH($A355,List_StationaryFuelMeters,0),ROUNDUP((COLUMN()+1)/3-2,0))),"")</f>
        <v/>
      </c>
      <c r="G355" s="127"/>
      <c r="H355" s="127"/>
      <c r="I355" s="58" t="str" cm="1">
        <f>IFERROR(IF(ISBLANK($A355),"",INDEX(Array_StationaryCharges,MATCH($A355,List_StationaryFuelMeters,0),ROUNDUP((COLUMN()+1)/3-2,0))),"")</f>
        <v/>
      </c>
      <c r="J355" s="127"/>
      <c r="K355" s="127"/>
      <c r="L355" s="58" t="str" cm="1">
        <f>IFERROR(IF(ISBLANK($A355),"",INDEX(Array_StationaryCharges,MATCH($A355,List_StationaryFuelMeters,0),ROUNDUP((COLUMN()+1)/3-2,0))),"")</f>
        <v/>
      </c>
      <c r="M355" s="127"/>
      <c r="N355" s="127"/>
      <c r="O355" s="58" t="str" cm="1">
        <f>IFERROR(IF(ISBLANK($A355),"",INDEX(Array_StationaryCharges,MATCH($A355,List_StationaryFuelMeters,0),ROUNDUP((COLUMN()+1)/3-2,0))),"")</f>
        <v/>
      </c>
      <c r="P355" s="127"/>
      <c r="Q355" s="127"/>
      <c r="R355" s="58" t="str" cm="1">
        <f>IFERROR(IF(ISBLANK($A355),"",INDEX(Array_StationaryCharges,MATCH($A355,List_StationaryFuelMeters,0),ROUNDUP((COLUMN()+1)/3-2,0))),"")</f>
        <v/>
      </c>
      <c r="S355" s="127"/>
      <c r="T355" s="127"/>
      <c r="U355" s="58" t="str" cm="1">
        <f>IFERROR(IF(ISBLANK($A355),"",INDEX(Array_StationaryCharges,MATCH($A355,List_StationaryFuelMeters,0),ROUNDUP((COLUMN()+1)/3-2,0))),"")</f>
        <v/>
      </c>
      <c r="V355" s="127"/>
      <c r="W355" s="127"/>
      <c r="X355" s="58" t="str" cm="1">
        <f>IFERROR(IF(ISBLANK($A355),"",INDEX(Array_StationaryCharges,MATCH($A355,List_StationaryFuelMeters,0),ROUNDUP((COLUMN()+1)/3-2,0))),"")</f>
        <v/>
      </c>
      <c r="Y355" s="127"/>
      <c r="Z355" s="127"/>
      <c r="AA355" s="58" t="str" cm="1">
        <f>IFERROR(IF(ISBLANK($A355),"",INDEX(Array_StationaryCharges,MATCH($A355,List_StationaryFuelMeters,0),ROUNDUP((COLUMN()+1)/3-2,0))),"")</f>
        <v/>
      </c>
      <c r="AB355" s="127"/>
      <c r="AC355" s="127"/>
      <c r="AD355" s="58" t="str" cm="1">
        <f>IFERROR(IF(ISBLANK($A355),"",INDEX(Array_StationaryCharges,MATCH($A355,List_StationaryFuelMeters,0),ROUNDUP((COLUMN()+1)/3-2,0))),"")</f>
        <v/>
      </c>
      <c r="AE355" s="127"/>
      <c r="AF355" s="127"/>
      <c r="AG355" s="58" t="str" cm="1">
        <f>IFERROR(IF(ISBLANK($A355),"",INDEX(Array_StationaryCharges,MATCH($A355,List_StationaryFuelMeters,0),ROUNDUP((COLUMN()+1)/3-2,0))),"")</f>
        <v/>
      </c>
      <c r="AH355" s="127"/>
      <c r="AI355" s="127"/>
      <c r="AJ355" s="58" t="str" cm="1">
        <f>IFERROR(IF(ISBLANK($A355),"",INDEX(Array_StationaryCharges,MATCH($A355,List_StationaryFuelMeters,0),ROUNDUP((COLUMN()+1)/3-2,0))),"")</f>
        <v/>
      </c>
      <c r="AK355" s="127"/>
      <c r="AL355" s="127"/>
      <c r="AM355" s="58" t="str" cm="1">
        <f>IFERROR(IF(ISBLANK($A355),"",INDEX(Array_StationaryCharges,MATCH($A355,List_StationaryFuelMeters,0),ROUNDUP((COLUMN()+1)/3-2,0))),"")</f>
        <v/>
      </c>
      <c r="AN355" s="127"/>
      <c r="AO355" s="127"/>
      <c r="AP355" s="58" t="str" cm="1">
        <f>IFERROR(IF(ISBLANK($A355),"",INDEX(Array_StationaryCharges,MATCH($A355,List_StationaryFuelMeters,0),ROUNDUP((COLUMN()+1)/3-2,0))),"")</f>
        <v/>
      </c>
      <c r="AQ355" s="127"/>
      <c r="AR355" s="127"/>
      <c r="AS355" s="58" t="str" cm="1">
        <f>IFERROR(IF(ISBLANK($A355),"",INDEX(Array_StationaryCharges,MATCH($A355,List_StationaryFuelMeters,0),ROUNDUP((COLUMN()+1)/3-2,0))),"")</f>
        <v/>
      </c>
      <c r="AT355" s="127"/>
      <c r="AU355" s="127"/>
      <c r="AV355" s="58" t="str" cm="1">
        <f>IFERROR(IF(ISBLANK($A355),"",INDEX(Array_StationaryCharges,MATCH($A355,List_StationaryFuelMeters,0),ROUNDUP((COLUMN()+1)/3-2,0))),"")</f>
        <v/>
      </c>
      <c r="AW355" s="127"/>
      <c r="AX355" s="127"/>
    </row>
    <row r="356" spans="1:50" x14ac:dyDescent="0.3">
      <c r="A356" s="126"/>
      <c r="B356" s="133"/>
      <c r="C356" s="127"/>
      <c r="D356" s="138"/>
      <c r="E356" s="138"/>
      <c r="F356" s="58" t="str" cm="1">
        <f>IFERROR(IF(ISBLANK($A356),"",INDEX(Array_StationaryCharges,MATCH($A356,List_StationaryFuelMeters,0),ROUNDUP((COLUMN()+1)/3-2,0))),"")</f>
        <v/>
      </c>
      <c r="G356" s="127"/>
      <c r="H356" s="127"/>
      <c r="I356" s="58" t="str" cm="1">
        <f>IFERROR(IF(ISBLANK($A356),"",INDEX(Array_StationaryCharges,MATCH($A356,List_StationaryFuelMeters,0),ROUNDUP((COLUMN()+1)/3-2,0))),"")</f>
        <v/>
      </c>
      <c r="J356" s="127"/>
      <c r="K356" s="127"/>
      <c r="L356" s="58" t="str" cm="1">
        <f>IFERROR(IF(ISBLANK($A356),"",INDEX(Array_StationaryCharges,MATCH($A356,List_StationaryFuelMeters,0),ROUNDUP((COLUMN()+1)/3-2,0))),"")</f>
        <v/>
      </c>
      <c r="M356" s="127"/>
      <c r="N356" s="127"/>
      <c r="O356" s="58" t="str" cm="1">
        <f>IFERROR(IF(ISBLANK($A356),"",INDEX(Array_StationaryCharges,MATCH($A356,List_StationaryFuelMeters,0),ROUNDUP((COLUMN()+1)/3-2,0))),"")</f>
        <v/>
      </c>
      <c r="P356" s="127"/>
      <c r="Q356" s="127"/>
      <c r="R356" s="58" t="str" cm="1">
        <f>IFERROR(IF(ISBLANK($A356),"",INDEX(Array_StationaryCharges,MATCH($A356,List_StationaryFuelMeters,0),ROUNDUP((COLUMN()+1)/3-2,0))),"")</f>
        <v/>
      </c>
      <c r="S356" s="127"/>
      <c r="T356" s="127"/>
      <c r="U356" s="58" t="str" cm="1">
        <f>IFERROR(IF(ISBLANK($A356),"",INDEX(Array_StationaryCharges,MATCH($A356,List_StationaryFuelMeters,0),ROUNDUP((COLUMN()+1)/3-2,0))),"")</f>
        <v/>
      </c>
      <c r="V356" s="127"/>
      <c r="W356" s="127"/>
      <c r="X356" s="58" t="str" cm="1">
        <f>IFERROR(IF(ISBLANK($A356),"",INDEX(Array_StationaryCharges,MATCH($A356,List_StationaryFuelMeters,0),ROUNDUP((COLUMN()+1)/3-2,0))),"")</f>
        <v/>
      </c>
      <c r="Y356" s="127"/>
      <c r="Z356" s="127"/>
      <c r="AA356" s="58" t="str" cm="1">
        <f>IFERROR(IF(ISBLANK($A356),"",INDEX(Array_StationaryCharges,MATCH($A356,List_StationaryFuelMeters,0),ROUNDUP((COLUMN()+1)/3-2,0))),"")</f>
        <v/>
      </c>
      <c r="AB356" s="127"/>
      <c r="AC356" s="127"/>
      <c r="AD356" s="58" t="str" cm="1">
        <f>IFERROR(IF(ISBLANK($A356),"",INDEX(Array_StationaryCharges,MATCH($A356,List_StationaryFuelMeters,0),ROUNDUP((COLUMN()+1)/3-2,0))),"")</f>
        <v/>
      </c>
      <c r="AE356" s="127"/>
      <c r="AF356" s="127"/>
      <c r="AG356" s="58" t="str" cm="1">
        <f>IFERROR(IF(ISBLANK($A356),"",INDEX(Array_StationaryCharges,MATCH($A356,List_StationaryFuelMeters,0),ROUNDUP((COLUMN()+1)/3-2,0))),"")</f>
        <v/>
      </c>
      <c r="AH356" s="127"/>
      <c r="AI356" s="127"/>
      <c r="AJ356" s="58" t="str" cm="1">
        <f>IFERROR(IF(ISBLANK($A356),"",INDEX(Array_StationaryCharges,MATCH($A356,List_StationaryFuelMeters,0),ROUNDUP((COLUMN()+1)/3-2,0))),"")</f>
        <v/>
      </c>
      <c r="AK356" s="127"/>
      <c r="AL356" s="127"/>
      <c r="AM356" s="58" t="str" cm="1">
        <f>IFERROR(IF(ISBLANK($A356),"",INDEX(Array_StationaryCharges,MATCH($A356,List_StationaryFuelMeters,0),ROUNDUP((COLUMN()+1)/3-2,0))),"")</f>
        <v/>
      </c>
      <c r="AN356" s="127"/>
      <c r="AO356" s="127"/>
      <c r="AP356" s="58" t="str" cm="1">
        <f>IFERROR(IF(ISBLANK($A356),"",INDEX(Array_StationaryCharges,MATCH($A356,List_StationaryFuelMeters,0),ROUNDUP((COLUMN()+1)/3-2,0))),"")</f>
        <v/>
      </c>
      <c r="AQ356" s="127"/>
      <c r="AR356" s="127"/>
      <c r="AS356" s="58" t="str" cm="1">
        <f>IFERROR(IF(ISBLANK($A356),"",INDEX(Array_StationaryCharges,MATCH($A356,List_StationaryFuelMeters,0),ROUNDUP((COLUMN()+1)/3-2,0))),"")</f>
        <v/>
      </c>
      <c r="AT356" s="127"/>
      <c r="AU356" s="127"/>
      <c r="AV356" s="58" t="str" cm="1">
        <f>IFERROR(IF(ISBLANK($A356),"",INDEX(Array_StationaryCharges,MATCH($A356,List_StationaryFuelMeters,0),ROUNDUP((COLUMN()+1)/3-2,0))),"")</f>
        <v/>
      </c>
      <c r="AW356" s="127"/>
      <c r="AX356" s="127"/>
    </row>
    <row r="357" spans="1:50" x14ac:dyDescent="0.3">
      <c r="A357" s="126"/>
      <c r="B357" s="133"/>
      <c r="C357" s="127"/>
      <c r="D357" s="138"/>
      <c r="E357" s="138"/>
      <c r="F357" s="58" t="str" cm="1">
        <f>IFERROR(IF(ISBLANK($A357),"",INDEX(Array_StationaryCharges,MATCH($A357,List_StationaryFuelMeters,0),ROUNDUP((COLUMN()+1)/3-2,0))),"")</f>
        <v/>
      </c>
      <c r="G357" s="127"/>
      <c r="H357" s="127"/>
      <c r="I357" s="58" t="str" cm="1">
        <f>IFERROR(IF(ISBLANK($A357),"",INDEX(Array_StationaryCharges,MATCH($A357,List_StationaryFuelMeters,0),ROUNDUP((COLUMN()+1)/3-2,0))),"")</f>
        <v/>
      </c>
      <c r="J357" s="127"/>
      <c r="K357" s="127"/>
      <c r="L357" s="58" t="str" cm="1">
        <f>IFERROR(IF(ISBLANK($A357),"",INDEX(Array_StationaryCharges,MATCH($A357,List_StationaryFuelMeters,0),ROUNDUP((COLUMN()+1)/3-2,0))),"")</f>
        <v/>
      </c>
      <c r="M357" s="127"/>
      <c r="N357" s="127"/>
      <c r="O357" s="58" t="str" cm="1">
        <f>IFERROR(IF(ISBLANK($A357),"",INDEX(Array_StationaryCharges,MATCH($A357,List_StationaryFuelMeters,0),ROUNDUP((COLUMN()+1)/3-2,0))),"")</f>
        <v/>
      </c>
      <c r="P357" s="127"/>
      <c r="Q357" s="127"/>
      <c r="R357" s="58" t="str" cm="1">
        <f>IFERROR(IF(ISBLANK($A357),"",INDEX(Array_StationaryCharges,MATCH($A357,List_StationaryFuelMeters,0),ROUNDUP((COLUMN()+1)/3-2,0))),"")</f>
        <v/>
      </c>
      <c r="S357" s="127"/>
      <c r="T357" s="127"/>
      <c r="U357" s="58" t="str" cm="1">
        <f>IFERROR(IF(ISBLANK($A357),"",INDEX(Array_StationaryCharges,MATCH($A357,List_StationaryFuelMeters,0),ROUNDUP((COLUMN()+1)/3-2,0))),"")</f>
        <v/>
      </c>
      <c r="V357" s="127"/>
      <c r="W357" s="127"/>
      <c r="X357" s="58" t="str" cm="1">
        <f>IFERROR(IF(ISBLANK($A357),"",INDEX(Array_StationaryCharges,MATCH($A357,List_StationaryFuelMeters,0),ROUNDUP((COLUMN()+1)/3-2,0))),"")</f>
        <v/>
      </c>
      <c r="Y357" s="127"/>
      <c r="Z357" s="127"/>
      <c r="AA357" s="58" t="str" cm="1">
        <f>IFERROR(IF(ISBLANK($A357),"",INDEX(Array_StationaryCharges,MATCH($A357,List_StationaryFuelMeters,0),ROUNDUP((COLUMN()+1)/3-2,0))),"")</f>
        <v/>
      </c>
      <c r="AB357" s="127"/>
      <c r="AC357" s="127"/>
      <c r="AD357" s="58" t="str" cm="1">
        <f>IFERROR(IF(ISBLANK($A357),"",INDEX(Array_StationaryCharges,MATCH($A357,List_StationaryFuelMeters,0),ROUNDUP((COLUMN()+1)/3-2,0))),"")</f>
        <v/>
      </c>
      <c r="AE357" s="127"/>
      <c r="AF357" s="127"/>
      <c r="AG357" s="58" t="str" cm="1">
        <f>IFERROR(IF(ISBLANK($A357),"",INDEX(Array_StationaryCharges,MATCH($A357,List_StationaryFuelMeters,0),ROUNDUP((COLUMN()+1)/3-2,0))),"")</f>
        <v/>
      </c>
      <c r="AH357" s="127"/>
      <c r="AI357" s="127"/>
      <c r="AJ357" s="58" t="str" cm="1">
        <f>IFERROR(IF(ISBLANK($A357),"",INDEX(Array_StationaryCharges,MATCH($A357,List_StationaryFuelMeters,0),ROUNDUP((COLUMN()+1)/3-2,0))),"")</f>
        <v/>
      </c>
      <c r="AK357" s="127"/>
      <c r="AL357" s="127"/>
      <c r="AM357" s="58" t="str" cm="1">
        <f>IFERROR(IF(ISBLANK($A357),"",INDEX(Array_StationaryCharges,MATCH($A357,List_StationaryFuelMeters,0),ROUNDUP((COLUMN()+1)/3-2,0))),"")</f>
        <v/>
      </c>
      <c r="AN357" s="127"/>
      <c r="AO357" s="127"/>
      <c r="AP357" s="58" t="str" cm="1">
        <f>IFERROR(IF(ISBLANK($A357),"",INDEX(Array_StationaryCharges,MATCH($A357,List_StationaryFuelMeters,0),ROUNDUP((COLUMN()+1)/3-2,0))),"")</f>
        <v/>
      </c>
      <c r="AQ357" s="127"/>
      <c r="AR357" s="127"/>
      <c r="AS357" s="58" t="str" cm="1">
        <f>IFERROR(IF(ISBLANK($A357),"",INDEX(Array_StationaryCharges,MATCH($A357,List_StationaryFuelMeters,0),ROUNDUP((COLUMN()+1)/3-2,0))),"")</f>
        <v/>
      </c>
      <c r="AT357" s="127"/>
      <c r="AU357" s="127"/>
      <c r="AV357" s="58" t="str" cm="1">
        <f>IFERROR(IF(ISBLANK($A357),"",INDEX(Array_StationaryCharges,MATCH($A357,List_StationaryFuelMeters,0),ROUNDUP((COLUMN()+1)/3-2,0))),"")</f>
        <v/>
      </c>
      <c r="AW357" s="127"/>
      <c r="AX357" s="127"/>
    </row>
    <row r="358" spans="1:50" x14ac:dyDescent="0.3">
      <c r="A358" s="126"/>
      <c r="B358" s="133"/>
      <c r="C358" s="127"/>
      <c r="D358" s="138"/>
      <c r="E358" s="138"/>
      <c r="F358" s="58" t="str" cm="1">
        <f>IFERROR(IF(ISBLANK($A358),"",INDEX(Array_StationaryCharges,MATCH($A358,List_StationaryFuelMeters,0),ROUNDUP((COLUMN()+1)/3-2,0))),"")</f>
        <v/>
      </c>
      <c r="G358" s="127"/>
      <c r="H358" s="127"/>
      <c r="I358" s="58" t="str" cm="1">
        <f>IFERROR(IF(ISBLANK($A358),"",INDEX(Array_StationaryCharges,MATCH($A358,List_StationaryFuelMeters,0),ROUNDUP((COLUMN()+1)/3-2,0))),"")</f>
        <v/>
      </c>
      <c r="J358" s="127"/>
      <c r="K358" s="127"/>
      <c r="L358" s="58" t="str" cm="1">
        <f>IFERROR(IF(ISBLANK($A358),"",INDEX(Array_StationaryCharges,MATCH($A358,List_StationaryFuelMeters,0),ROUNDUP((COLUMN()+1)/3-2,0))),"")</f>
        <v/>
      </c>
      <c r="M358" s="127"/>
      <c r="N358" s="127"/>
      <c r="O358" s="58" t="str" cm="1">
        <f>IFERROR(IF(ISBLANK($A358),"",INDEX(Array_StationaryCharges,MATCH($A358,List_StationaryFuelMeters,0),ROUNDUP((COLUMN()+1)/3-2,0))),"")</f>
        <v/>
      </c>
      <c r="P358" s="127"/>
      <c r="Q358" s="127"/>
      <c r="R358" s="58" t="str" cm="1">
        <f>IFERROR(IF(ISBLANK($A358),"",INDEX(Array_StationaryCharges,MATCH($A358,List_StationaryFuelMeters,0),ROUNDUP((COLUMN()+1)/3-2,0))),"")</f>
        <v/>
      </c>
      <c r="S358" s="127"/>
      <c r="T358" s="127"/>
      <c r="U358" s="58" t="str" cm="1">
        <f>IFERROR(IF(ISBLANK($A358),"",INDEX(Array_StationaryCharges,MATCH($A358,List_StationaryFuelMeters,0),ROUNDUP((COLUMN()+1)/3-2,0))),"")</f>
        <v/>
      </c>
      <c r="V358" s="127"/>
      <c r="W358" s="127"/>
      <c r="X358" s="58" t="str" cm="1">
        <f>IFERROR(IF(ISBLANK($A358),"",INDEX(Array_StationaryCharges,MATCH($A358,List_StationaryFuelMeters,0),ROUNDUP((COLUMN()+1)/3-2,0))),"")</f>
        <v/>
      </c>
      <c r="Y358" s="127"/>
      <c r="Z358" s="127"/>
      <c r="AA358" s="58" t="str" cm="1">
        <f>IFERROR(IF(ISBLANK($A358),"",INDEX(Array_StationaryCharges,MATCH($A358,List_StationaryFuelMeters,0),ROUNDUP((COLUMN()+1)/3-2,0))),"")</f>
        <v/>
      </c>
      <c r="AB358" s="127"/>
      <c r="AC358" s="127"/>
      <c r="AD358" s="58" t="str" cm="1">
        <f>IFERROR(IF(ISBLANK($A358),"",INDEX(Array_StationaryCharges,MATCH($A358,List_StationaryFuelMeters,0),ROUNDUP((COLUMN()+1)/3-2,0))),"")</f>
        <v/>
      </c>
      <c r="AE358" s="127"/>
      <c r="AF358" s="127"/>
      <c r="AG358" s="58" t="str" cm="1">
        <f>IFERROR(IF(ISBLANK($A358),"",INDEX(Array_StationaryCharges,MATCH($A358,List_StationaryFuelMeters,0),ROUNDUP((COLUMN()+1)/3-2,0))),"")</f>
        <v/>
      </c>
      <c r="AH358" s="127"/>
      <c r="AI358" s="127"/>
      <c r="AJ358" s="58" t="str" cm="1">
        <f>IFERROR(IF(ISBLANK($A358),"",INDEX(Array_StationaryCharges,MATCH($A358,List_StationaryFuelMeters,0),ROUNDUP((COLUMN()+1)/3-2,0))),"")</f>
        <v/>
      </c>
      <c r="AK358" s="127"/>
      <c r="AL358" s="127"/>
      <c r="AM358" s="58" t="str" cm="1">
        <f>IFERROR(IF(ISBLANK($A358),"",INDEX(Array_StationaryCharges,MATCH($A358,List_StationaryFuelMeters,0),ROUNDUP((COLUMN()+1)/3-2,0))),"")</f>
        <v/>
      </c>
      <c r="AN358" s="127"/>
      <c r="AO358" s="127"/>
      <c r="AP358" s="58" t="str" cm="1">
        <f>IFERROR(IF(ISBLANK($A358),"",INDEX(Array_StationaryCharges,MATCH($A358,List_StationaryFuelMeters,0),ROUNDUP((COLUMN()+1)/3-2,0))),"")</f>
        <v/>
      </c>
      <c r="AQ358" s="127"/>
      <c r="AR358" s="127"/>
      <c r="AS358" s="58" t="str" cm="1">
        <f>IFERROR(IF(ISBLANK($A358),"",INDEX(Array_StationaryCharges,MATCH($A358,List_StationaryFuelMeters,0),ROUNDUP((COLUMN()+1)/3-2,0))),"")</f>
        <v/>
      </c>
      <c r="AT358" s="127"/>
      <c r="AU358" s="127"/>
      <c r="AV358" s="58" t="str" cm="1">
        <f>IFERROR(IF(ISBLANK($A358),"",INDEX(Array_StationaryCharges,MATCH($A358,List_StationaryFuelMeters,0),ROUNDUP((COLUMN()+1)/3-2,0))),"")</f>
        <v/>
      </c>
      <c r="AW358" s="127"/>
      <c r="AX358" s="127"/>
    </row>
    <row r="359" spans="1:50" x14ac:dyDescent="0.3">
      <c r="A359" s="126"/>
      <c r="B359" s="133"/>
      <c r="C359" s="127"/>
      <c r="D359" s="138"/>
      <c r="E359" s="138"/>
      <c r="F359" s="58" t="str" cm="1">
        <f>IFERROR(IF(ISBLANK($A359),"",INDEX(Array_StationaryCharges,MATCH($A359,List_StationaryFuelMeters,0),ROUNDUP((COLUMN()+1)/3-2,0))),"")</f>
        <v/>
      </c>
      <c r="G359" s="127"/>
      <c r="H359" s="127"/>
      <c r="I359" s="58" t="str" cm="1">
        <f>IFERROR(IF(ISBLANK($A359),"",INDEX(Array_StationaryCharges,MATCH($A359,List_StationaryFuelMeters,0),ROUNDUP((COLUMN()+1)/3-2,0))),"")</f>
        <v/>
      </c>
      <c r="J359" s="127"/>
      <c r="K359" s="127"/>
      <c r="L359" s="58" t="str" cm="1">
        <f>IFERROR(IF(ISBLANK($A359),"",INDEX(Array_StationaryCharges,MATCH($A359,List_StationaryFuelMeters,0),ROUNDUP((COLUMN()+1)/3-2,0))),"")</f>
        <v/>
      </c>
      <c r="M359" s="127"/>
      <c r="N359" s="127"/>
      <c r="O359" s="58" t="str" cm="1">
        <f>IFERROR(IF(ISBLANK($A359),"",INDEX(Array_StationaryCharges,MATCH($A359,List_StationaryFuelMeters,0),ROUNDUP((COLUMN()+1)/3-2,0))),"")</f>
        <v/>
      </c>
      <c r="P359" s="127"/>
      <c r="Q359" s="127"/>
      <c r="R359" s="58" t="str" cm="1">
        <f>IFERROR(IF(ISBLANK($A359),"",INDEX(Array_StationaryCharges,MATCH($A359,List_StationaryFuelMeters,0),ROUNDUP((COLUMN()+1)/3-2,0))),"")</f>
        <v/>
      </c>
      <c r="S359" s="127"/>
      <c r="T359" s="127"/>
      <c r="U359" s="58" t="str" cm="1">
        <f>IFERROR(IF(ISBLANK($A359),"",INDEX(Array_StationaryCharges,MATCH($A359,List_StationaryFuelMeters,0),ROUNDUP((COLUMN()+1)/3-2,0))),"")</f>
        <v/>
      </c>
      <c r="V359" s="127"/>
      <c r="W359" s="127"/>
      <c r="X359" s="58" t="str" cm="1">
        <f>IFERROR(IF(ISBLANK($A359),"",INDEX(Array_StationaryCharges,MATCH($A359,List_StationaryFuelMeters,0),ROUNDUP((COLUMN()+1)/3-2,0))),"")</f>
        <v/>
      </c>
      <c r="Y359" s="127"/>
      <c r="Z359" s="127"/>
      <c r="AA359" s="58" t="str" cm="1">
        <f>IFERROR(IF(ISBLANK($A359),"",INDEX(Array_StationaryCharges,MATCH($A359,List_StationaryFuelMeters,0),ROUNDUP((COLUMN()+1)/3-2,0))),"")</f>
        <v/>
      </c>
      <c r="AB359" s="127"/>
      <c r="AC359" s="127"/>
      <c r="AD359" s="58" t="str" cm="1">
        <f>IFERROR(IF(ISBLANK($A359),"",INDEX(Array_StationaryCharges,MATCH($A359,List_StationaryFuelMeters,0),ROUNDUP((COLUMN()+1)/3-2,0))),"")</f>
        <v/>
      </c>
      <c r="AE359" s="127"/>
      <c r="AF359" s="127"/>
      <c r="AG359" s="58" t="str" cm="1">
        <f>IFERROR(IF(ISBLANK($A359),"",INDEX(Array_StationaryCharges,MATCH($A359,List_StationaryFuelMeters,0),ROUNDUP((COLUMN()+1)/3-2,0))),"")</f>
        <v/>
      </c>
      <c r="AH359" s="127"/>
      <c r="AI359" s="127"/>
      <c r="AJ359" s="58" t="str" cm="1">
        <f>IFERROR(IF(ISBLANK($A359),"",INDEX(Array_StationaryCharges,MATCH($A359,List_StationaryFuelMeters,0),ROUNDUP((COLUMN()+1)/3-2,0))),"")</f>
        <v/>
      </c>
      <c r="AK359" s="127"/>
      <c r="AL359" s="127"/>
      <c r="AM359" s="58" t="str" cm="1">
        <f>IFERROR(IF(ISBLANK($A359),"",INDEX(Array_StationaryCharges,MATCH($A359,List_StationaryFuelMeters,0),ROUNDUP((COLUMN()+1)/3-2,0))),"")</f>
        <v/>
      </c>
      <c r="AN359" s="127"/>
      <c r="AO359" s="127"/>
      <c r="AP359" s="58" t="str" cm="1">
        <f>IFERROR(IF(ISBLANK($A359),"",INDEX(Array_StationaryCharges,MATCH($A359,List_StationaryFuelMeters,0),ROUNDUP((COLUMN()+1)/3-2,0))),"")</f>
        <v/>
      </c>
      <c r="AQ359" s="127"/>
      <c r="AR359" s="127"/>
      <c r="AS359" s="58" t="str" cm="1">
        <f>IFERROR(IF(ISBLANK($A359),"",INDEX(Array_StationaryCharges,MATCH($A359,List_StationaryFuelMeters,0),ROUNDUP((COLUMN()+1)/3-2,0))),"")</f>
        <v/>
      </c>
      <c r="AT359" s="127"/>
      <c r="AU359" s="127"/>
      <c r="AV359" s="58" t="str" cm="1">
        <f>IFERROR(IF(ISBLANK($A359),"",INDEX(Array_StationaryCharges,MATCH($A359,List_StationaryFuelMeters,0),ROUNDUP((COLUMN()+1)/3-2,0))),"")</f>
        <v/>
      </c>
      <c r="AW359" s="127"/>
      <c r="AX359" s="127"/>
    </row>
    <row r="360" spans="1:50" x14ac:dyDescent="0.3">
      <c r="A360" s="126"/>
      <c r="B360" s="133"/>
      <c r="C360" s="127"/>
      <c r="D360" s="138"/>
      <c r="E360" s="138"/>
      <c r="F360" s="58" t="str" cm="1">
        <f>IFERROR(IF(ISBLANK($A360),"",INDEX(Array_StationaryCharges,MATCH($A360,List_StationaryFuelMeters,0),ROUNDUP((COLUMN()+1)/3-2,0))),"")</f>
        <v/>
      </c>
      <c r="G360" s="127"/>
      <c r="H360" s="127"/>
      <c r="I360" s="58" t="str" cm="1">
        <f>IFERROR(IF(ISBLANK($A360),"",INDEX(Array_StationaryCharges,MATCH($A360,List_StationaryFuelMeters,0),ROUNDUP((COLUMN()+1)/3-2,0))),"")</f>
        <v/>
      </c>
      <c r="J360" s="127"/>
      <c r="K360" s="127"/>
      <c r="L360" s="58" t="str" cm="1">
        <f>IFERROR(IF(ISBLANK($A360),"",INDEX(Array_StationaryCharges,MATCH($A360,List_StationaryFuelMeters,0),ROUNDUP((COLUMN()+1)/3-2,0))),"")</f>
        <v/>
      </c>
      <c r="M360" s="127"/>
      <c r="N360" s="127"/>
      <c r="O360" s="58" t="str" cm="1">
        <f>IFERROR(IF(ISBLANK($A360),"",INDEX(Array_StationaryCharges,MATCH($A360,List_StationaryFuelMeters,0),ROUNDUP((COLUMN()+1)/3-2,0))),"")</f>
        <v/>
      </c>
      <c r="P360" s="127"/>
      <c r="Q360" s="127"/>
      <c r="R360" s="58" t="str" cm="1">
        <f>IFERROR(IF(ISBLANK($A360),"",INDEX(Array_StationaryCharges,MATCH($A360,List_StationaryFuelMeters,0),ROUNDUP((COLUMN()+1)/3-2,0))),"")</f>
        <v/>
      </c>
      <c r="S360" s="127"/>
      <c r="T360" s="127"/>
      <c r="U360" s="58" t="str" cm="1">
        <f>IFERROR(IF(ISBLANK($A360),"",INDEX(Array_StationaryCharges,MATCH($A360,List_StationaryFuelMeters,0),ROUNDUP((COLUMN()+1)/3-2,0))),"")</f>
        <v/>
      </c>
      <c r="V360" s="127"/>
      <c r="W360" s="127"/>
      <c r="X360" s="58" t="str" cm="1">
        <f>IFERROR(IF(ISBLANK($A360),"",INDEX(Array_StationaryCharges,MATCH($A360,List_StationaryFuelMeters,0),ROUNDUP((COLUMN()+1)/3-2,0))),"")</f>
        <v/>
      </c>
      <c r="Y360" s="127"/>
      <c r="Z360" s="127"/>
      <c r="AA360" s="58" t="str" cm="1">
        <f>IFERROR(IF(ISBLANK($A360),"",INDEX(Array_StationaryCharges,MATCH($A360,List_StationaryFuelMeters,0),ROUNDUP((COLUMN()+1)/3-2,0))),"")</f>
        <v/>
      </c>
      <c r="AB360" s="127"/>
      <c r="AC360" s="127"/>
      <c r="AD360" s="58" t="str" cm="1">
        <f>IFERROR(IF(ISBLANK($A360),"",INDEX(Array_StationaryCharges,MATCH($A360,List_StationaryFuelMeters,0),ROUNDUP((COLUMN()+1)/3-2,0))),"")</f>
        <v/>
      </c>
      <c r="AE360" s="127"/>
      <c r="AF360" s="127"/>
      <c r="AG360" s="58" t="str" cm="1">
        <f>IFERROR(IF(ISBLANK($A360),"",INDEX(Array_StationaryCharges,MATCH($A360,List_StationaryFuelMeters,0),ROUNDUP((COLUMN()+1)/3-2,0))),"")</f>
        <v/>
      </c>
      <c r="AH360" s="127"/>
      <c r="AI360" s="127"/>
      <c r="AJ360" s="58" t="str" cm="1">
        <f>IFERROR(IF(ISBLANK($A360),"",INDEX(Array_StationaryCharges,MATCH($A360,List_StationaryFuelMeters,0),ROUNDUP((COLUMN()+1)/3-2,0))),"")</f>
        <v/>
      </c>
      <c r="AK360" s="127"/>
      <c r="AL360" s="127"/>
      <c r="AM360" s="58" t="str" cm="1">
        <f>IFERROR(IF(ISBLANK($A360),"",INDEX(Array_StationaryCharges,MATCH($A360,List_StationaryFuelMeters,0),ROUNDUP((COLUMN()+1)/3-2,0))),"")</f>
        <v/>
      </c>
      <c r="AN360" s="127"/>
      <c r="AO360" s="127"/>
      <c r="AP360" s="58" t="str" cm="1">
        <f>IFERROR(IF(ISBLANK($A360),"",INDEX(Array_StationaryCharges,MATCH($A360,List_StationaryFuelMeters,0),ROUNDUP((COLUMN()+1)/3-2,0))),"")</f>
        <v/>
      </c>
      <c r="AQ360" s="127"/>
      <c r="AR360" s="127"/>
      <c r="AS360" s="58" t="str" cm="1">
        <f>IFERROR(IF(ISBLANK($A360),"",INDEX(Array_StationaryCharges,MATCH($A360,List_StationaryFuelMeters,0),ROUNDUP((COLUMN()+1)/3-2,0))),"")</f>
        <v/>
      </c>
      <c r="AT360" s="127"/>
      <c r="AU360" s="127"/>
      <c r="AV360" s="58" t="str" cm="1">
        <f>IFERROR(IF(ISBLANK($A360),"",INDEX(Array_StationaryCharges,MATCH($A360,List_StationaryFuelMeters,0),ROUNDUP((COLUMN()+1)/3-2,0))),"")</f>
        <v/>
      </c>
      <c r="AW360" s="127"/>
      <c r="AX360" s="127"/>
    </row>
    <row r="361" spans="1:50" x14ac:dyDescent="0.3">
      <c r="A361" s="126"/>
      <c r="B361" s="133"/>
      <c r="C361" s="127"/>
      <c r="D361" s="138"/>
      <c r="E361" s="138"/>
      <c r="F361" s="58" t="str" cm="1">
        <f>IFERROR(IF(ISBLANK($A361),"",INDEX(Array_StationaryCharges,MATCH($A361,List_StationaryFuelMeters,0),ROUNDUP((COLUMN()+1)/3-2,0))),"")</f>
        <v/>
      </c>
      <c r="G361" s="127"/>
      <c r="H361" s="127"/>
      <c r="I361" s="58" t="str" cm="1">
        <f>IFERROR(IF(ISBLANK($A361),"",INDEX(Array_StationaryCharges,MATCH($A361,List_StationaryFuelMeters,0),ROUNDUP((COLUMN()+1)/3-2,0))),"")</f>
        <v/>
      </c>
      <c r="J361" s="127"/>
      <c r="K361" s="127"/>
      <c r="L361" s="58" t="str" cm="1">
        <f>IFERROR(IF(ISBLANK($A361),"",INDEX(Array_StationaryCharges,MATCH($A361,List_StationaryFuelMeters,0),ROUNDUP((COLUMN()+1)/3-2,0))),"")</f>
        <v/>
      </c>
      <c r="M361" s="127"/>
      <c r="N361" s="127"/>
      <c r="O361" s="58" t="str" cm="1">
        <f>IFERROR(IF(ISBLANK($A361),"",INDEX(Array_StationaryCharges,MATCH($A361,List_StationaryFuelMeters,0),ROUNDUP((COLUMN()+1)/3-2,0))),"")</f>
        <v/>
      </c>
      <c r="P361" s="127"/>
      <c r="Q361" s="127"/>
      <c r="R361" s="58" t="str" cm="1">
        <f>IFERROR(IF(ISBLANK($A361),"",INDEX(Array_StationaryCharges,MATCH($A361,List_StationaryFuelMeters,0),ROUNDUP((COLUMN()+1)/3-2,0))),"")</f>
        <v/>
      </c>
      <c r="S361" s="127"/>
      <c r="T361" s="127"/>
      <c r="U361" s="58" t="str" cm="1">
        <f>IFERROR(IF(ISBLANK($A361),"",INDEX(Array_StationaryCharges,MATCH($A361,List_StationaryFuelMeters,0),ROUNDUP((COLUMN()+1)/3-2,0))),"")</f>
        <v/>
      </c>
      <c r="V361" s="127"/>
      <c r="W361" s="127"/>
      <c r="X361" s="58" t="str" cm="1">
        <f>IFERROR(IF(ISBLANK($A361),"",INDEX(Array_StationaryCharges,MATCH($A361,List_StationaryFuelMeters,0),ROUNDUP((COLUMN()+1)/3-2,0))),"")</f>
        <v/>
      </c>
      <c r="Y361" s="127"/>
      <c r="Z361" s="127"/>
      <c r="AA361" s="58" t="str" cm="1">
        <f>IFERROR(IF(ISBLANK($A361),"",INDEX(Array_StationaryCharges,MATCH($A361,List_StationaryFuelMeters,0),ROUNDUP((COLUMN()+1)/3-2,0))),"")</f>
        <v/>
      </c>
      <c r="AB361" s="127"/>
      <c r="AC361" s="127"/>
      <c r="AD361" s="58" t="str" cm="1">
        <f>IFERROR(IF(ISBLANK($A361),"",INDEX(Array_StationaryCharges,MATCH($A361,List_StationaryFuelMeters,0),ROUNDUP((COLUMN()+1)/3-2,0))),"")</f>
        <v/>
      </c>
      <c r="AE361" s="127"/>
      <c r="AF361" s="127"/>
      <c r="AG361" s="58" t="str" cm="1">
        <f>IFERROR(IF(ISBLANK($A361),"",INDEX(Array_StationaryCharges,MATCH($A361,List_StationaryFuelMeters,0),ROUNDUP((COLUMN()+1)/3-2,0))),"")</f>
        <v/>
      </c>
      <c r="AH361" s="127"/>
      <c r="AI361" s="127"/>
      <c r="AJ361" s="58" t="str" cm="1">
        <f>IFERROR(IF(ISBLANK($A361),"",INDEX(Array_StationaryCharges,MATCH($A361,List_StationaryFuelMeters,0),ROUNDUP((COLUMN()+1)/3-2,0))),"")</f>
        <v/>
      </c>
      <c r="AK361" s="127"/>
      <c r="AL361" s="127"/>
      <c r="AM361" s="58" t="str" cm="1">
        <f>IFERROR(IF(ISBLANK($A361),"",INDEX(Array_StationaryCharges,MATCH($A361,List_StationaryFuelMeters,0),ROUNDUP((COLUMN()+1)/3-2,0))),"")</f>
        <v/>
      </c>
      <c r="AN361" s="127"/>
      <c r="AO361" s="127"/>
      <c r="AP361" s="58" t="str" cm="1">
        <f>IFERROR(IF(ISBLANK($A361),"",INDEX(Array_StationaryCharges,MATCH($A361,List_StationaryFuelMeters,0),ROUNDUP((COLUMN()+1)/3-2,0))),"")</f>
        <v/>
      </c>
      <c r="AQ361" s="127"/>
      <c r="AR361" s="127"/>
      <c r="AS361" s="58" t="str" cm="1">
        <f>IFERROR(IF(ISBLANK($A361),"",INDEX(Array_StationaryCharges,MATCH($A361,List_StationaryFuelMeters,0),ROUNDUP((COLUMN()+1)/3-2,0))),"")</f>
        <v/>
      </c>
      <c r="AT361" s="127"/>
      <c r="AU361" s="127"/>
      <c r="AV361" s="58" t="str" cm="1">
        <f>IFERROR(IF(ISBLANK($A361),"",INDEX(Array_StationaryCharges,MATCH($A361,List_StationaryFuelMeters,0),ROUNDUP((COLUMN()+1)/3-2,0))),"")</f>
        <v/>
      </c>
      <c r="AW361" s="127"/>
      <c r="AX361" s="127"/>
    </row>
    <row r="362" spans="1:50" x14ac:dyDescent="0.3">
      <c r="A362" s="126"/>
      <c r="B362" s="133"/>
      <c r="C362" s="127"/>
      <c r="D362" s="138"/>
      <c r="E362" s="138"/>
      <c r="F362" s="58" t="str" cm="1">
        <f>IFERROR(IF(ISBLANK($A362),"",INDEX(Array_StationaryCharges,MATCH($A362,List_StationaryFuelMeters,0),ROUNDUP((COLUMN()+1)/3-2,0))),"")</f>
        <v/>
      </c>
      <c r="G362" s="127"/>
      <c r="H362" s="127"/>
      <c r="I362" s="58" t="str" cm="1">
        <f>IFERROR(IF(ISBLANK($A362),"",INDEX(Array_StationaryCharges,MATCH($A362,List_StationaryFuelMeters,0),ROUNDUP((COLUMN()+1)/3-2,0))),"")</f>
        <v/>
      </c>
      <c r="J362" s="127"/>
      <c r="K362" s="127"/>
      <c r="L362" s="58" t="str" cm="1">
        <f>IFERROR(IF(ISBLANK($A362),"",INDEX(Array_StationaryCharges,MATCH($A362,List_StationaryFuelMeters,0),ROUNDUP((COLUMN()+1)/3-2,0))),"")</f>
        <v/>
      </c>
      <c r="M362" s="127"/>
      <c r="N362" s="127"/>
      <c r="O362" s="58" t="str" cm="1">
        <f>IFERROR(IF(ISBLANK($A362),"",INDEX(Array_StationaryCharges,MATCH($A362,List_StationaryFuelMeters,0),ROUNDUP((COLUMN()+1)/3-2,0))),"")</f>
        <v/>
      </c>
      <c r="P362" s="127"/>
      <c r="Q362" s="127"/>
      <c r="R362" s="58" t="str" cm="1">
        <f>IFERROR(IF(ISBLANK($A362),"",INDEX(Array_StationaryCharges,MATCH($A362,List_StationaryFuelMeters,0),ROUNDUP((COLUMN()+1)/3-2,0))),"")</f>
        <v/>
      </c>
      <c r="S362" s="127"/>
      <c r="T362" s="127"/>
      <c r="U362" s="58" t="str" cm="1">
        <f>IFERROR(IF(ISBLANK($A362),"",INDEX(Array_StationaryCharges,MATCH($A362,List_StationaryFuelMeters,0),ROUNDUP((COLUMN()+1)/3-2,0))),"")</f>
        <v/>
      </c>
      <c r="V362" s="127"/>
      <c r="W362" s="127"/>
      <c r="X362" s="58" t="str" cm="1">
        <f>IFERROR(IF(ISBLANK($A362),"",INDEX(Array_StationaryCharges,MATCH($A362,List_StationaryFuelMeters,0),ROUNDUP((COLUMN()+1)/3-2,0))),"")</f>
        <v/>
      </c>
      <c r="Y362" s="127"/>
      <c r="Z362" s="127"/>
      <c r="AA362" s="58" t="str" cm="1">
        <f>IFERROR(IF(ISBLANK($A362),"",INDEX(Array_StationaryCharges,MATCH($A362,List_StationaryFuelMeters,0),ROUNDUP((COLUMN()+1)/3-2,0))),"")</f>
        <v/>
      </c>
      <c r="AB362" s="127"/>
      <c r="AC362" s="127"/>
      <c r="AD362" s="58" t="str" cm="1">
        <f>IFERROR(IF(ISBLANK($A362),"",INDEX(Array_StationaryCharges,MATCH($A362,List_StationaryFuelMeters,0),ROUNDUP((COLUMN()+1)/3-2,0))),"")</f>
        <v/>
      </c>
      <c r="AE362" s="127"/>
      <c r="AF362" s="127"/>
      <c r="AG362" s="58" t="str" cm="1">
        <f>IFERROR(IF(ISBLANK($A362),"",INDEX(Array_StationaryCharges,MATCH($A362,List_StationaryFuelMeters,0),ROUNDUP((COLUMN()+1)/3-2,0))),"")</f>
        <v/>
      </c>
      <c r="AH362" s="127"/>
      <c r="AI362" s="127"/>
      <c r="AJ362" s="58" t="str" cm="1">
        <f>IFERROR(IF(ISBLANK($A362),"",INDEX(Array_StationaryCharges,MATCH($A362,List_StationaryFuelMeters,0),ROUNDUP((COLUMN()+1)/3-2,0))),"")</f>
        <v/>
      </c>
      <c r="AK362" s="127"/>
      <c r="AL362" s="127"/>
      <c r="AM362" s="58" t="str" cm="1">
        <f>IFERROR(IF(ISBLANK($A362),"",INDEX(Array_StationaryCharges,MATCH($A362,List_StationaryFuelMeters,0),ROUNDUP((COLUMN()+1)/3-2,0))),"")</f>
        <v/>
      </c>
      <c r="AN362" s="127"/>
      <c r="AO362" s="127"/>
      <c r="AP362" s="58" t="str" cm="1">
        <f>IFERROR(IF(ISBLANK($A362),"",INDEX(Array_StationaryCharges,MATCH($A362,List_StationaryFuelMeters,0),ROUNDUP((COLUMN()+1)/3-2,0))),"")</f>
        <v/>
      </c>
      <c r="AQ362" s="127"/>
      <c r="AR362" s="127"/>
      <c r="AS362" s="58" t="str" cm="1">
        <f>IFERROR(IF(ISBLANK($A362),"",INDEX(Array_StationaryCharges,MATCH($A362,List_StationaryFuelMeters,0),ROUNDUP((COLUMN()+1)/3-2,0))),"")</f>
        <v/>
      </c>
      <c r="AT362" s="127"/>
      <c r="AU362" s="127"/>
      <c r="AV362" s="58" t="str" cm="1">
        <f>IFERROR(IF(ISBLANK($A362),"",INDEX(Array_StationaryCharges,MATCH($A362,List_StationaryFuelMeters,0),ROUNDUP((COLUMN()+1)/3-2,0))),"")</f>
        <v/>
      </c>
      <c r="AW362" s="127"/>
      <c r="AX362" s="127"/>
    </row>
    <row r="363" spans="1:50" x14ac:dyDescent="0.3">
      <c r="A363" s="126"/>
      <c r="B363" s="133"/>
      <c r="C363" s="127"/>
      <c r="D363" s="138"/>
      <c r="E363" s="138"/>
      <c r="F363" s="58" t="str" cm="1">
        <f>IFERROR(IF(ISBLANK($A363),"",INDEX(Array_StationaryCharges,MATCH($A363,List_StationaryFuelMeters,0),ROUNDUP((COLUMN()+1)/3-2,0))),"")</f>
        <v/>
      </c>
      <c r="G363" s="127"/>
      <c r="H363" s="127"/>
      <c r="I363" s="58" t="str" cm="1">
        <f>IFERROR(IF(ISBLANK($A363),"",INDEX(Array_StationaryCharges,MATCH($A363,List_StationaryFuelMeters,0),ROUNDUP((COLUMN()+1)/3-2,0))),"")</f>
        <v/>
      </c>
      <c r="J363" s="127"/>
      <c r="K363" s="127"/>
      <c r="L363" s="58" t="str" cm="1">
        <f>IFERROR(IF(ISBLANK($A363),"",INDEX(Array_StationaryCharges,MATCH($A363,List_StationaryFuelMeters,0),ROUNDUP((COLUMN()+1)/3-2,0))),"")</f>
        <v/>
      </c>
      <c r="M363" s="127"/>
      <c r="N363" s="127"/>
      <c r="O363" s="58" t="str" cm="1">
        <f>IFERROR(IF(ISBLANK($A363),"",INDEX(Array_StationaryCharges,MATCH($A363,List_StationaryFuelMeters,0),ROUNDUP((COLUMN()+1)/3-2,0))),"")</f>
        <v/>
      </c>
      <c r="P363" s="127"/>
      <c r="Q363" s="127"/>
      <c r="R363" s="58" t="str" cm="1">
        <f>IFERROR(IF(ISBLANK($A363),"",INDEX(Array_StationaryCharges,MATCH($A363,List_StationaryFuelMeters,0),ROUNDUP((COLUMN()+1)/3-2,0))),"")</f>
        <v/>
      </c>
      <c r="S363" s="127"/>
      <c r="T363" s="127"/>
      <c r="U363" s="58" t="str" cm="1">
        <f>IFERROR(IF(ISBLANK($A363),"",INDEX(Array_StationaryCharges,MATCH($A363,List_StationaryFuelMeters,0),ROUNDUP((COLUMN()+1)/3-2,0))),"")</f>
        <v/>
      </c>
      <c r="V363" s="127"/>
      <c r="W363" s="127"/>
      <c r="X363" s="58" t="str" cm="1">
        <f>IFERROR(IF(ISBLANK($A363),"",INDEX(Array_StationaryCharges,MATCH($A363,List_StationaryFuelMeters,0),ROUNDUP((COLUMN()+1)/3-2,0))),"")</f>
        <v/>
      </c>
      <c r="Y363" s="127"/>
      <c r="Z363" s="127"/>
      <c r="AA363" s="58" t="str" cm="1">
        <f>IFERROR(IF(ISBLANK($A363),"",INDEX(Array_StationaryCharges,MATCH($A363,List_StationaryFuelMeters,0),ROUNDUP((COLUMN()+1)/3-2,0))),"")</f>
        <v/>
      </c>
      <c r="AB363" s="127"/>
      <c r="AC363" s="127"/>
      <c r="AD363" s="58" t="str" cm="1">
        <f>IFERROR(IF(ISBLANK($A363),"",INDEX(Array_StationaryCharges,MATCH($A363,List_StationaryFuelMeters,0),ROUNDUP((COLUMN()+1)/3-2,0))),"")</f>
        <v/>
      </c>
      <c r="AE363" s="127"/>
      <c r="AF363" s="127"/>
      <c r="AG363" s="58" t="str" cm="1">
        <f>IFERROR(IF(ISBLANK($A363),"",INDEX(Array_StationaryCharges,MATCH($A363,List_StationaryFuelMeters,0),ROUNDUP((COLUMN()+1)/3-2,0))),"")</f>
        <v/>
      </c>
      <c r="AH363" s="127"/>
      <c r="AI363" s="127"/>
      <c r="AJ363" s="58" t="str" cm="1">
        <f>IFERROR(IF(ISBLANK($A363),"",INDEX(Array_StationaryCharges,MATCH($A363,List_StationaryFuelMeters,0),ROUNDUP((COLUMN()+1)/3-2,0))),"")</f>
        <v/>
      </c>
      <c r="AK363" s="127"/>
      <c r="AL363" s="127"/>
      <c r="AM363" s="58" t="str" cm="1">
        <f>IFERROR(IF(ISBLANK($A363),"",INDEX(Array_StationaryCharges,MATCH($A363,List_StationaryFuelMeters,0),ROUNDUP((COLUMN()+1)/3-2,0))),"")</f>
        <v/>
      </c>
      <c r="AN363" s="127"/>
      <c r="AO363" s="127"/>
      <c r="AP363" s="58" t="str" cm="1">
        <f>IFERROR(IF(ISBLANK($A363),"",INDEX(Array_StationaryCharges,MATCH($A363,List_StationaryFuelMeters,0),ROUNDUP((COLUMN()+1)/3-2,0))),"")</f>
        <v/>
      </c>
      <c r="AQ363" s="127"/>
      <c r="AR363" s="127"/>
      <c r="AS363" s="58" t="str" cm="1">
        <f>IFERROR(IF(ISBLANK($A363),"",INDEX(Array_StationaryCharges,MATCH($A363,List_StationaryFuelMeters,0),ROUNDUP((COLUMN()+1)/3-2,0))),"")</f>
        <v/>
      </c>
      <c r="AT363" s="127"/>
      <c r="AU363" s="127"/>
      <c r="AV363" s="58" t="str" cm="1">
        <f>IFERROR(IF(ISBLANK($A363),"",INDEX(Array_StationaryCharges,MATCH($A363,List_StationaryFuelMeters,0),ROUNDUP((COLUMN()+1)/3-2,0))),"")</f>
        <v/>
      </c>
      <c r="AW363" s="127"/>
      <c r="AX363" s="127"/>
    </row>
    <row r="364" spans="1:50" x14ac:dyDescent="0.3">
      <c r="A364" s="126"/>
      <c r="B364" s="133"/>
      <c r="C364" s="127"/>
      <c r="D364" s="138"/>
      <c r="E364" s="138"/>
      <c r="F364" s="58" t="str" cm="1">
        <f>IFERROR(IF(ISBLANK($A364),"",INDEX(Array_StationaryCharges,MATCH($A364,List_StationaryFuelMeters,0),ROUNDUP((COLUMN()+1)/3-2,0))),"")</f>
        <v/>
      </c>
      <c r="G364" s="127"/>
      <c r="H364" s="127"/>
      <c r="I364" s="58" t="str" cm="1">
        <f>IFERROR(IF(ISBLANK($A364),"",INDEX(Array_StationaryCharges,MATCH($A364,List_StationaryFuelMeters,0),ROUNDUP((COLUMN()+1)/3-2,0))),"")</f>
        <v/>
      </c>
      <c r="J364" s="127"/>
      <c r="K364" s="127"/>
      <c r="L364" s="58" t="str" cm="1">
        <f>IFERROR(IF(ISBLANK($A364),"",INDEX(Array_StationaryCharges,MATCH($A364,List_StationaryFuelMeters,0),ROUNDUP((COLUMN()+1)/3-2,0))),"")</f>
        <v/>
      </c>
      <c r="M364" s="127"/>
      <c r="N364" s="127"/>
      <c r="O364" s="58" t="str" cm="1">
        <f>IFERROR(IF(ISBLANK($A364),"",INDEX(Array_StationaryCharges,MATCH($A364,List_StationaryFuelMeters,0),ROUNDUP((COLUMN()+1)/3-2,0))),"")</f>
        <v/>
      </c>
      <c r="P364" s="127"/>
      <c r="Q364" s="127"/>
      <c r="R364" s="58" t="str" cm="1">
        <f>IFERROR(IF(ISBLANK($A364),"",INDEX(Array_StationaryCharges,MATCH($A364,List_StationaryFuelMeters,0),ROUNDUP((COLUMN()+1)/3-2,0))),"")</f>
        <v/>
      </c>
      <c r="S364" s="127"/>
      <c r="T364" s="127"/>
      <c r="U364" s="58" t="str" cm="1">
        <f>IFERROR(IF(ISBLANK($A364),"",INDEX(Array_StationaryCharges,MATCH($A364,List_StationaryFuelMeters,0),ROUNDUP((COLUMN()+1)/3-2,0))),"")</f>
        <v/>
      </c>
      <c r="V364" s="127"/>
      <c r="W364" s="127"/>
      <c r="X364" s="58" t="str" cm="1">
        <f>IFERROR(IF(ISBLANK($A364),"",INDEX(Array_StationaryCharges,MATCH($A364,List_StationaryFuelMeters,0),ROUNDUP((COLUMN()+1)/3-2,0))),"")</f>
        <v/>
      </c>
      <c r="Y364" s="127"/>
      <c r="Z364" s="127"/>
      <c r="AA364" s="58" t="str" cm="1">
        <f>IFERROR(IF(ISBLANK($A364),"",INDEX(Array_StationaryCharges,MATCH($A364,List_StationaryFuelMeters,0),ROUNDUP((COLUMN()+1)/3-2,0))),"")</f>
        <v/>
      </c>
      <c r="AB364" s="127"/>
      <c r="AC364" s="127"/>
      <c r="AD364" s="58" t="str" cm="1">
        <f>IFERROR(IF(ISBLANK($A364),"",INDEX(Array_StationaryCharges,MATCH($A364,List_StationaryFuelMeters,0),ROUNDUP((COLUMN()+1)/3-2,0))),"")</f>
        <v/>
      </c>
      <c r="AE364" s="127"/>
      <c r="AF364" s="127"/>
      <c r="AG364" s="58" t="str" cm="1">
        <f>IFERROR(IF(ISBLANK($A364),"",INDEX(Array_StationaryCharges,MATCH($A364,List_StationaryFuelMeters,0),ROUNDUP((COLUMN()+1)/3-2,0))),"")</f>
        <v/>
      </c>
      <c r="AH364" s="127"/>
      <c r="AI364" s="127"/>
      <c r="AJ364" s="58" t="str" cm="1">
        <f>IFERROR(IF(ISBLANK($A364),"",INDEX(Array_StationaryCharges,MATCH($A364,List_StationaryFuelMeters,0),ROUNDUP((COLUMN()+1)/3-2,0))),"")</f>
        <v/>
      </c>
      <c r="AK364" s="127"/>
      <c r="AL364" s="127"/>
      <c r="AM364" s="58" t="str" cm="1">
        <f>IFERROR(IF(ISBLANK($A364),"",INDEX(Array_StationaryCharges,MATCH($A364,List_StationaryFuelMeters,0),ROUNDUP((COLUMN()+1)/3-2,0))),"")</f>
        <v/>
      </c>
      <c r="AN364" s="127"/>
      <c r="AO364" s="127"/>
      <c r="AP364" s="58" t="str" cm="1">
        <f>IFERROR(IF(ISBLANK($A364),"",INDEX(Array_StationaryCharges,MATCH($A364,List_StationaryFuelMeters,0),ROUNDUP((COLUMN()+1)/3-2,0))),"")</f>
        <v/>
      </c>
      <c r="AQ364" s="127"/>
      <c r="AR364" s="127"/>
      <c r="AS364" s="58" t="str" cm="1">
        <f>IFERROR(IF(ISBLANK($A364),"",INDEX(Array_StationaryCharges,MATCH($A364,List_StationaryFuelMeters,0),ROUNDUP((COLUMN()+1)/3-2,0))),"")</f>
        <v/>
      </c>
      <c r="AT364" s="127"/>
      <c r="AU364" s="127"/>
      <c r="AV364" s="58" t="str" cm="1">
        <f>IFERROR(IF(ISBLANK($A364),"",INDEX(Array_StationaryCharges,MATCH($A364,List_StationaryFuelMeters,0),ROUNDUP((COLUMN()+1)/3-2,0))),"")</f>
        <v/>
      </c>
      <c r="AW364" s="127"/>
      <c r="AX364" s="127"/>
    </row>
    <row r="365" spans="1:50" x14ac:dyDescent="0.3">
      <c r="A365" s="126"/>
      <c r="B365" s="133"/>
      <c r="C365" s="127"/>
      <c r="D365" s="138"/>
      <c r="E365" s="138"/>
      <c r="F365" s="58" t="str" cm="1">
        <f>IFERROR(IF(ISBLANK($A365),"",INDEX(Array_StationaryCharges,MATCH($A365,List_StationaryFuelMeters,0),ROUNDUP((COLUMN()+1)/3-2,0))),"")</f>
        <v/>
      </c>
      <c r="G365" s="127"/>
      <c r="H365" s="127"/>
      <c r="I365" s="58" t="str" cm="1">
        <f>IFERROR(IF(ISBLANK($A365),"",INDEX(Array_StationaryCharges,MATCH($A365,List_StationaryFuelMeters,0),ROUNDUP((COLUMN()+1)/3-2,0))),"")</f>
        <v/>
      </c>
      <c r="J365" s="127"/>
      <c r="K365" s="127"/>
      <c r="L365" s="58" t="str" cm="1">
        <f>IFERROR(IF(ISBLANK($A365),"",INDEX(Array_StationaryCharges,MATCH($A365,List_StationaryFuelMeters,0),ROUNDUP((COLUMN()+1)/3-2,0))),"")</f>
        <v/>
      </c>
      <c r="M365" s="127"/>
      <c r="N365" s="127"/>
      <c r="O365" s="58" t="str" cm="1">
        <f>IFERROR(IF(ISBLANK($A365),"",INDEX(Array_StationaryCharges,MATCH($A365,List_StationaryFuelMeters,0),ROUNDUP((COLUMN()+1)/3-2,0))),"")</f>
        <v/>
      </c>
      <c r="P365" s="127"/>
      <c r="Q365" s="127"/>
      <c r="R365" s="58" t="str" cm="1">
        <f>IFERROR(IF(ISBLANK($A365),"",INDEX(Array_StationaryCharges,MATCH($A365,List_StationaryFuelMeters,0),ROUNDUP((COLUMN()+1)/3-2,0))),"")</f>
        <v/>
      </c>
      <c r="S365" s="127"/>
      <c r="T365" s="127"/>
      <c r="U365" s="58" t="str" cm="1">
        <f>IFERROR(IF(ISBLANK($A365),"",INDEX(Array_StationaryCharges,MATCH($A365,List_StationaryFuelMeters,0),ROUNDUP((COLUMN()+1)/3-2,0))),"")</f>
        <v/>
      </c>
      <c r="V365" s="127"/>
      <c r="W365" s="127"/>
      <c r="X365" s="58" t="str" cm="1">
        <f>IFERROR(IF(ISBLANK($A365),"",INDEX(Array_StationaryCharges,MATCH($A365,List_StationaryFuelMeters,0),ROUNDUP((COLUMN()+1)/3-2,0))),"")</f>
        <v/>
      </c>
      <c r="Y365" s="127"/>
      <c r="Z365" s="127"/>
      <c r="AA365" s="58" t="str" cm="1">
        <f>IFERROR(IF(ISBLANK($A365),"",INDEX(Array_StationaryCharges,MATCH($A365,List_StationaryFuelMeters,0),ROUNDUP((COLUMN()+1)/3-2,0))),"")</f>
        <v/>
      </c>
      <c r="AB365" s="127"/>
      <c r="AC365" s="127"/>
      <c r="AD365" s="58" t="str" cm="1">
        <f>IFERROR(IF(ISBLANK($A365),"",INDEX(Array_StationaryCharges,MATCH($A365,List_StationaryFuelMeters,0),ROUNDUP((COLUMN()+1)/3-2,0))),"")</f>
        <v/>
      </c>
      <c r="AE365" s="127"/>
      <c r="AF365" s="127"/>
      <c r="AG365" s="58" t="str" cm="1">
        <f>IFERROR(IF(ISBLANK($A365),"",INDEX(Array_StationaryCharges,MATCH($A365,List_StationaryFuelMeters,0),ROUNDUP((COLUMN()+1)/3-2,0))),"")</f>
        <v/>
      </c>
      <c r="AH365" s="127"/>
      <c r="AI365" s="127"/>
      <c r="AJ365" s="58" t="str" cm="1">
        <f>IFERROR(IF(ISBLANK($A365),"",INDEX(Array_StationaryCharges,MATCH($A365,List_StationaryFuelMeters,0),ROUNDUP((COLUMN()+1)/3-2,0))),"")</f>
        <v/>
      </c>
      <c r="AK365" s="127"/>
      <c r="AL365" s="127"/>
      <c r="AM365" s="58" t="str" cm="1">
        <f>IFERROR(IF(ISBLANK($A365),"",INDEX(Array_StationaryCharges,MATCH($A365,List_StationaryFuelMeters,0),ROUNDUP((COLUMN()+1)/3-2,0))),"")</f>
        <v/>
      </c>
      <c r="AN365" s="127"/>
      <c r="AO365" s="127"/>
      <c r="AP365" s="58" t="str" cm="1">
        <f>IFERROR(IF(ISBLANK($A365),"",INDEX(Array_StationaryCharges,MATCH($A365,List_StationaryFuelMeters,0),ROUNDUP((COLUMN()+1)/3-2,0))),"")</f>
        <v/>
      </c>
      <c r="AQ365" s="127"/>
      <c r="AR365" s="127"/>
      <c r="AS365" s="58" t="str" cm="1">
        <f>IFERROR(IF(ISBLANK($A365),"",INDEX(Array_StationaryCharges,MATCH($A365,List_StationaryFuelMeters,0),ROUNDUP((COLUMN()+1)/3-2,0))),"")</f>
        <v/>
      </c>
      <c r="AT365" s="127"/>
      <c r="AU365" s="127"/>
      <c r="AV365" s="58" t="str" cm="1">
        <f>IFERROR(IF(ISBLANK($A365),"",INDEX(Array_StationaryCharges,MATCH($A365,List_StationaryFuelMeters,0),ROUNDUP((COLUMN()+1)/3-2,0))),"")</f>
        <v/>
      </c>
      <c r="AW365" s="127"/>
      <c r="AX365" s="127"/>
    </row>
    <row r="366" spans="1:50" x14ac:dyDescent="0.3">
      <c r="A366" s="126"/>
      <c r="B366" s="133"/>
      <c r="C366" s="127"/>
      <c r="D366" s="138"/>
      <c r="E366" s="138"/>
      <c r="F366" s="58" t="str" cm="1">
        <f>IFERROR(IF(ISBLANK($A366),"",INDEX(Array_StationaryCharges,MATCH($A366,List_StationaryFuelMeters,0),ROUNDUP((COLUMN()+1)/3-2,0))),"")</f>
        <v/>
      </c>
      <c r="G366" s="127"/>
      <c r="H366" s="127"/>
      <c r="I366" s="58" t="str" cm="1">
        <f>IFERROR(IF(ISBLANK($A366),"",INDEX(Array_StationaryCharges,MATCH($A366,List_StationaryFuelMeters,0),ROUNDUP((COLUMN()+1)/3-2,0))),"")</f>
        <v/>
      </c>
      <c r="J366" s="127"/>
      <c r="K366" s="127"/>
      <c r="L366" s="58" t="str" cm="1">
        <f>IFERROR(IF(ISBLANK($A366),"",INDEX(Array_StationaryCharges,MATCH($A366,List_StationaryFuelMeters,0),ROUNDUP((COLUMN()+1)/3-2,0))),"")</f>
        <v/>
      </c>
      <c r="M366" s="127"/>
      <c r="N366" s="127"/>
      <c r="O366" s="58" t="str" cm="1">
        <f>IFERROR(IF(ISBLANK($A366),"",INDEX(Array_StationaryCharges,MATCH($A366,List_StationaryFuelMeters,0),ROUNDUP((COLUMN()+1)/3-2,0))),"")</f>
        <v/>
      </c>
      <c r="P366" s="127"/>
      <c r="Q366" s="127"/>
      <c r="R366" s="58" t="str" cm="1">
        <f>IFERROR(IF(ISBLANK($A366),"",INDEX(Array_StationaryCharges,MATCH($A366,List_StationaryFuelMeters,0),ROUNDUP((COLUMN()+1)/3-2,0))),"")</f>
        <v/>
      </c>
      <c r="S366" s="127"/>
      <c r="T366" s="127"/>
      <c r="U366" s="58" t="str" cm="1">
        <f>IFERROR(IF(ISBLANK($A366),"",INDEX(Array_StationaryCharges,MATCH($A366,List_StationaryFuelMeters,0),ROUNDUP((COLUMN()+1)/3-2,0))),"")</f>
        <v/>
      </c>
      <c r="V366" s="127"/>
      <c r="W366" s="127"/>
      <c r="X366" s="58" t="str" cm="1">
        <f>IFERROR(IF(ISBLANK($A366),"",INDEX(Array_StationaryCharges,MATCH($A366,List_StationaryFuelMeters,0),ROUNDUP((COLUMN()+1)/3-2,0))),"")</f>
        <v/>
      </c>
      <c r="Y366" s="127"/>
      <c r="Z366" s="127"/>
      <c r="AA366" s="58" t="str" cm="1">
        <f>IFERROR(IF(ISBLANK($A366),"",INDEX(Array_StationaryCharges,MATCH($A366,List_StationaryFuelMeters,0),ROUNDUP((COLUMN()+1)/3-2,0))),"")</f>
        <v/>
      </c>
      <c r="AB366" s="127"/>
      <c r="AC366" s="127"/>
      <c r="AD366" s="58" t="str" cm="1">
        <f>IFERROR(IF(ISBLANK($A366),"",INDEX(Array_StationaryCharges,MATCH($A366,List_StationaryFuelMeters,0),ROUNDUP((COLUMN()+1)/3-2,0))),"")</f>
        <v/>
      </c>
      <c r="AE366" s="127"/>
      <c r="AF366" s="127"/>
      <c r="AG366" s="58" t="str" cm="1">
        <f>IFERROR(IF(ISBLANK($A366),"",INDEX(Array_StationaryCharges,MATCH($A366,List_StationaryFuelMeters,0),ROUNDUP((COLUMN()+1)/3-2,0))),"")</f>
        <v/>
      </c>
      <c r="AH366" s="127"/>
      <c r="AI366" s="127"/>
      <c r="AJ366" s="58" t="str" cm="1">
        <f>IFERROR(IF(ISBLANK($A366),"",INDEX(Array_StationaryCharges,MATCH($A366,List_StationaryFuelMeters,0),ROUNDUP((COLUMN()+1)/3-2,0))),"")</f>
        <v/>
      </c>
      <c r="AK366" s="127"/>
      <c r="AL366" s="127"/>
      <c r="AM366" s="58" t="str" cm="1">
        <f>IFERROR(IF(ISBLANK($A366),"",INDEX(Array_StationaryCharges,MATCH($A366,List_StationaryFuelMeters,0),ROUNDUP((COLUMN()+1)/3-2,0))),"")</f>
        <v/>
      </c>
      <c r="AN366" s="127"/>
      <c r="AO366" s="127"/>
      <c r="AP366" s="58" t="str" cm="1">
        <f>IFERROR(IF(ISBLANK($A366),"",INDEX(Array_StationaryCharges,MATCH($A366,List_StationaryFuelMeters,0),ROUNDUP((COLUMN()+1)/3-2,0))),"")</f>
        <v/>
      </c>
      <c r="AQ366" s="127"/>
      <c r="AR366" s="127"/>
      <c r="AS366" s="58" t="str" cm="1">
        <f>IFERROR(IF(ISBLANK($A366),"",INDEX(Array_StationaryCharges,MATCH($A366,List_StationaryFuelMeters,0),ROUNDUP((COLUMN()+1)/3-2,0))),"")</f>
        <v/>
      </c>
      <c r="AT366" s="127"/>
      <c r="AU366" s="127"/>
      <c r="AV366" s="58" t="str" cm="1">
        <f>IFERROR(IF(ISBLANK($A366),"",INDEX(Array_StationaryCharges,MATCH($A366,List_StationaryFuelMeters,0),ROUNDUP((COLUMN()+1)/3-2,0))),"")</f>
        <v/>
      </c>
      <c r="AW366" s="127"/>
      <c r="AX366" s="127"/>
    </row>
    <row r="367" spans="1:50" x14ac:dyDescent="0.3">
      <c r="A367" s="126"/>
      <c r="B367" s="133"/>
      <c r="C367" s="127"/>
      <c r="D367" s="138"/>
      <c r="E367" s="138"/>
      <c r="F367" s="58" t="str" cm="1">
        <f>IFERROR(IF(ISBLANK($A367),"",INDEX(Array_StationaryCharges,MATCH($A367,List_StationaryFuelMeters,0),ROUNDUP((COLUMN()+1)/3-2,0))),"")</f>
        <v/>
      </c>
      <c r="G367" s="127"/>
      <c r="H367" s="127"/>
      <c r="I367" s="58" t="str" cm="1">
        <f>IFERROR(IF(ISBLANK($A367),"",INDEX(Array_StationaryCharges,MATCH($A367,List_StationaryFuelMeters,0),ROUNDUP((COLUMN()+1)/3-2,0))),"")</f>
        <v/>
      </c>
      <c r="J367" s="127"/>
      <c r="K367" s="127"/>
      <c r="L367" s="58" t="str" cm="1">
        <f>IFERROR(IF(ISBLANK($A367),"",INDEX(Array_StationaryCharges,MATCH($A367,List_StationaryFuelMeters,0),ROUNDUP((COLUMN()+1)/3-2,0))),"")</f>
        <v/>
      </c>
      <c r="M367" s="127"/>
      <c r="N367" s="127"/>
      <c r="O367" s="58" t="str" cm="1">
        <f>IFERROR(IF(ISBLANK($A367),"",INDEX(Array_StationaryCharges,MATCH($A367,List_StationaryFuelMeters,0),ROUNDUP((COLUMN()+1)/3-2,0))),"")</f>
        <v/>
      </c>
      <c r="P367" s="127"/>
      <c r="Q367" s="127"/>
      <c r="R367" s="58" t="str" cm="1">
        <f>IFERROR(IF(ISBLANK($A367),"",INDEX(Array_StationaryCharges,MATCH($A367,List_StationaryFuelMeters,0),ROUNDUP((COLUMN()+1)/3-2,0))),"")</f>
        <v/>
      </c>
      <c r="S367" s="127"/>
      <c r="T367" s="127"/>
      <c r="U367" s="58" t="str" cm="1">
        <f>IFERROR(IF(ISBLANK($A367),"",INDEX(Array_StationaryCharges,MATCH($A367,List_StationaryFuelMeters,0),ROUNDUP((COLUMN()+1)/3-2,0))),"")</f>
        <v/>
      </c>
      <c r="V367" s="127"/>
      <c r="W367" s="127"/>
      <c r="X367" s="58" t="str" cm="1">
        <f>IFERROR(IF(ISBLANK($A367),"",INDEX(Array_StationaryCharges,MATCH($A367,List_StationaryFuelMeters,0),ROUNDUP((COLUMN()+1)/3-2,0))),"")</f>
        <v/>
      </c>
      <c r="Y367" s="127"/>
      <c r="Z367" s="127"/>
      <c r="AA367" s="58" t="str" cm="1">
        <f>IFERROR(IF(ISBLANK($A367),"",INDEX(Array_StationaryCharges,MATCH($A367,List_StationaryFuelMeters,0),ROUNDUP((COLUMN()+1)/3-2,0))),"")</f>
        <v/>
      </c>
      <c r="AB367" s="127"/>
      <c r="AC367" s="127"/>
      <c r="AD367" s="58" t="str" cm="1">
        <f>IFERROR(IF(ISBLANK($A367),"",INDEX(Array_StationaryCharges,MATCH($A367,List_StationaryFuelMeters,0),ROUNDUP((COLUMN()+1)/3-2,0))),"")</f>
        <v/>
      </c>
      <c r="AE367" s="127"/>
      <c r="AF367" s="127"/>
      <c r="AG367" s="58" t="str" cm="1">
        <f>IFERROR(IF(ISBLANK($A367),"",INDEX(Array_StationaryCharges,MATCH($A367,List_StationaryFuelMeters,0),ROUNDUP((COLUMN()+1)/3-2,0))),"")</f>
        <v/>
      </c>
      <c r="AH367" s="127"/>
      <c r="AI367" s="127"/>
      <c r="AJ367" s="58" t="str" cm="1">
        <f>IFERROR(IF(ISBLANK($A367),"",INDEX(Array_StationaryCharges,MATCH($A367,List_StationaryFuelMeters,0),ROUNDUP((COLUMN()+1)/3-2,0))),"")</f>
        <v/>
      </c>
      <c r="AK367" s="127"/>
      <c r="AL367" s="127"/>
      <c r="AM367" s="58" t="str" cm="1">
        <f>IFERROR(IF(ISBLANK($A367),"",INDEX(Array_StationaryCharges,MATCH($A367,List_StationaryFuelMeters,0),ROUNDUP((COLUMN()+1)/3-2,0))),"")</f>
        <v/>
      </c>
      <c r="AN367" s="127"/>
      <c r="AO367" s="127"/>
      <c r="AP367" s="58" t="str" cm="1">
        <f>IFERROR(IF(ISBLANK($A367),"",INDEX(Array_StationaryCharges,MATCH($A367,List_StationaryFuelMeters,0),ROUNDUP((COLUMN()+1)/3-2,0))),"")</f>
        <v/>
      </c>
      <c r="AQ367" s="127"/>
      <c r="AR367" s="127"/>
      <c r="AS367" s="58" t="str" cm="1">
        <f>IFERROR(IF(ISBLANK($A367),"",INDEX(Array_StationaryCharges,MATCH($A367,List_StationaryFuelMeters,0),ROUNDUP((COLUMN()+1)/3-2,0))),"")</f>
        <v/>
      </c>
      <c r="AT367" s="127"/>
      <c r="AU367" s="127"/>
      <c r="AV367" s="58" t="str" cm="1">
        <f>IFERROR(IF(ISBLANK($A367),"",INDEX(Array_StationaryCharges,MATCH($A367,List_StationaryFuelMeters,0),ROUNDUP((COLUMN()+1)/3-2,0))),"")</f>
        <v/>
      </c>
      <c r="AW367" s="127"/>
      <c r="AX367" s="127"/>
    </row>
    <row r="368" spans="1:50" x14ac:dyDescent="0.3">
      <c r="A368" s="126"/>
      <c r="B368" s="133"/>
      <c r="C368" s="127"/>
      <c r="D368" s="138"/>
      <c r="E368" s="138"/>
      <c r="F368" s="58" t="str" cm="1">
        <f>IFERROR(IF(ISBLANK($A368),"",INDEX(Array_StationaryCharges,MATCH($A368,List_StationaryFuelMeters,0),ROUNDUP((COLUMN()+1)/3-2,0))),"")</f>
        <v/>
      </c>
      <c r="G368" s="127"/>
      <c r="H368" s="127"/>
      <c r="I368" s="58" t="str" cm="1">
        <f>IFERROR(IF(ISBLANK($A368),"",INDEX(Array_StationaryCharges,MATCH($A368,List_StationaryFuelMeters,0),ROUNDUP((COLUMN()+1)/3-2,0))),"")</f>
        <v/>
      </c>
      <c r="J368" s="127"/>
      <c r="K368" s="127"/>
      <c r="L368" s="58" t="str" cm="1">
        <f>IFERROR(IF(ISBLANK($A368),"",INDEX(Array_StationaryCharges,MATCH($A368,List_StationaryFuelMeters,0),ROUNDUP((COLUMN()+1)/3-2,0))),"")</f>
        <v/>
      </c>
      <c r="M368" s="127"/>
      <c r="N368" s="127"/>
      <c r="O368" s="58" t="str" cm="1">
        <f>IFERROR(IF(ISBLANK($A368),"",INDEX(Array_StationaryCharges,MATCH($A368,List_StationaryFuelMeters,0),ROUNDUP((COLUMN()+1)/3-2,0))),"")</f>
        <v/>
      </c>
      <c r="P368" s="127"/>
      <c r="Q368" s="127"/>
      <c r="R368" s="58" t="str" cm="1">
        <f>IFERROR(IF(ISBLANK($A368),"",INDEX(Array_StationaryCharges,MATCH($A368,List_StationaryFuelMeters,0),ROUNDUP((COLUMN()+1)/3-2,0))),"")</f>
        <v/>
      </c>
      <c r="S368" s="127"/>
      <c r="T368" s="127"/>
      <c r="U368" s="58" t="str" cm="1">
        <f>IFERROR(IF(ISBLANK($A368),"",INDEX(Array_StationaryCharges,MATCH($A368,List_StationaryFuelMeters,0),ROUNDUP((COLUMN()+1)/3-2,0))),"")</f>
        <v/>
      </c>
      <c r="V368" s="127"/>
      <c r="W368" s="127"/>
      <c r="X368" s="58" t="str" cm="1">
        <f>IFERROR(IF(ISBLANK($A368),"",INDEX(Array_StationaryCharges,MATCH($A368,List_StationaryFuelMeters,0),ROUNDUP((COLUMN()+1)/3-2,0))),"")</f>
        <v/>
      </c>
      <c r="Y368" s="127"/>
      <c r="Z368" s="127"/>
      <c r="AA368" s="58" t="str" cm="1">
        <f>IFERROR(IF(ISBLANK($A368),"",INDEX(Array_StationaryCharges,MATCH($A368,List_StationaryFuelMeters,0),ROUNDUP((COLUMN()+1)/3-2,0))),"")</f>
        <v/>
      </c>
      <c r="AB368" s="127"/>
      <c r="AC368" s="127"/>
      <c r="AD368" s="58" t="str" cm="1">
        <f>IFERROR(IF(ISBLANK($A368),"",INDEX(Array_StationaryCharges,MATCH($A368,List_StationaryFuelMeters,0),ROUNDUP((COLUMN()+1)/3-2,0))),"")</f>
        <v/>
      </c>
      <c r="AE368" s="127"/>
      <c r="AF368" s="127"/>
      <c r="AG368" s="58" t="str" cm="1">
        <f>IFERROR(IF(ISBLANK($A368),"",INDEX(Array_StationaryCharges,MATCH($A368,List_StationaryFuelMeters,0),ROUNDUP((COLUMN()+1)/3-2,0))),"")</f>
        <v/>
      </c>
      <c r="AH368" s="127"/>
      <c r="AI368" s="127"/>
      <c r="AJ368" s="58" t="str" cm="1">
        <f>IFERROR(IF(ISBLANK($A368),"",INDEX(Array_StationaryCharges,MATCH($A368,List_StationaryFuelMeters,0),ROUNDUP((COLUMN()+1)/3-2,0))),"")</f>
        <v/>
      </c>
      <c r="AK368" s="127"/>
      <c r="AL368" s="127"/>
      <c r="AM368" s="58" t="str" cm="1">
        <f>IFERROR(IF(ISBLANK($A368),"",INDEX(Array_StationaryCharges,MATCH($A368,List_StationaryFuelMeters,0),ROUNDUP((COLUMN()+1)/3-2,0))),"")</f>
        <v/>
      </c>
      <c r="AN368" s="127"/>
      <c r="AO368" s="127"/>
      <c r="AP368" s="58" t="str" cm="1">
        <f>IFERROR(IF(ISBLANK($A368),"",INDEX(Array_StationaryCharges,MATCH($A368,List_StationaryFuelMeters,0),ROUNDUP((COLUMN()+1)/3-2,0))),"")</f>
        <v/>
      </c>
      <c r="AQ368" s="127"/>
      <c r="AR368" s="127"/>
      <c r="AS368" s="58" t="str" cm="1">
        <f>IFERROR(IF(ISBLANK($A368),"",INDEX(Array_StationaryCharges,MATCH($A368,List_StationaryFuelMeters,0),ROUNDUP((COLUMN()+1)/3-2,0))),"")</f>
        <v/>
      </c>
      <c r="AT368" s="127"/>
      <c r="AU368" s="127"/>
      <c r="AV368" s="58" t="str" cm="1">
        <f>IFERROR(IF(ISBLANK($A368),"",INDEX(Array_StationaryCharges,MATCH($A368,List_StationaryFuelMeters,0),ROUNDUP((COLUMN()+1)/3-2,0))),"")</f>
        <v/>
      </c>
      <c r="AW368" s="127"/>
      <c r="AX368" s="127"/>
    </row>
    <row r="369" spans="1:50" x14ac:dyDescent="0.3">
      <c r="A369" s="126"/>
      <c r="B369" s="133"/>
      <c r="C369" s="127"/>
      <c r="D369" s="138"/>
      <c r="E369" s="138"/>
      <c r="F369" s="58" t="str" cm="1">
        <f>IFERROR(IF(ISBLANK($A369),"",INDEX(Array_StationaryCharges,MATCH($A369,List_StationaryFuelMeters,0),ROUNDUP((COLUMN()+1)/3-2,0))),"")</f>
        <v/>
      </c>
      <c r="G369" s="127"/>
      <c r="H369" s="127"/>
      <c r="I369" s="58" t="str" cm="1">
        <f>IFERROR(IF(ISBLANK($A369),"",INDEX(Array_StationaryCharges,MATCH($A369,List_StationaryFuelMeters,0),ROUNDUP((COLUMN()+1)/3-2,0))),"")</f>
        <v/>
      </c>
      <c r="J369" s="127"/>
      <c r="K369" s="127"/>
      <c r="L369" s="58" t="str" cm="1">
        <f>IFERROR(IF(ISBLANK($A369),"",INDEX(Array_StationaryCharges,MATCH($A369,List_StationaryFuelMeters,0),ROUNDUP((COLUMN()+1)/3-2,0))),"")</f>
        <v/>
      </c>
      <c r="M369" s="127"/>
      <c r="N369" s="127"/>
      <c r="O369" s="58" t="str" cm="1">
        <f>IFERROR(IF(ISBLANK($A369),"",INDEX(Array_StationaryCharges,MATCH($A369,List_StationaryFuelMeters,0),ROUNDUP((COLUMN()+1)/3-2,0))),"")</f>
        <v/>
      </c>
      <c r="P369" s="127"/>
      <c r="Q369" s="127"/>
      <c r="R369" s="58" t="str" cm="1">
        <f>IFERROR(IF(ISBLANK($A369),"",INDEX(Array_StationaryCharges,MATCH($A369,List_StationaryFuelMeters,0),ROUNDUP((COLUMN()+1)/3-2,0))),"")</f>
        <v/>
      </c>
      <c r="S369" s="127"/>
      <c r="T369" s="127"/>
      <c r="U369" s="58" t="str" cm="1">
        <f>IFERROR(IF(ISBLANK($A369),"",INDEX(Array_StationaryCharges,MATCH($A369,List_StationaryFuelMeters,0),ROUNDUP((COLUMN()+1)/3-2,0))),"")</f>
        <v/>
      </c>
      <c r="V369" s="127"/>
      <c r="W369" s="127"/>
      <c r="X369" s="58" t="str" cm="1">
        <f>IFERROR(IF(ISBLANK($A369),"",INDEX(Array_StationaryCharges,MATCH($A369,List_StationaryFuelMeters,0),ROUNDUP((COLUMN()+1)/3-2,0))),"")</f>
        <v/>
      </c>
      <c r="Y369" s="127"/>
      <c r="Z369" s="127"/>
      <c r="AA369" s="58" t="str" cm="1">
        <f>IFERROR(IF(ISBLANK($A369),"",INDEX(Array_StationaryCharges,MATCH($A369,List_StationaryFuelMeters,0),ROUNDUP((COLUMN()+1)/3-2,0))),"")</f>
        <v/>
      </c>
      <c r="AB369" s="127"/>
      <c r="AC369" s="127"/>
      <c r="AD369" s="58" t="str" cm="1">
        <f>IFERROR(IF(ISBLANK($A369),"",INDEX(Array_StationaryCharges,MATCH($A369,List_StationaryFuelMeters,0),ROUNDUP((COLUMN()+1)/3-2,0))),"")</f>
        <v/>
      </c>
      <c r="AE369" s="127"/>
      <c r="AF369" s="127"/>
      <c r="AG369" s="58" t="str" cm="1">
        <f>IFERROR(IF(ISBLANK($A369),"",INDEX(Array_StationaryCharges,MATCH($A369,List_StationaryFuelMeters,0),ROUNDUP((COLUMN()+1)/3-2,0))),"")</f>
        <v/>
      </c>
      <c r="AH369" s="127"/>
      <c r="AI369" s="127"/>
      <c r="AJ369" s="58" t="str" cm="1">
        <f>IFERROR(IF(ISBLANK($A369),"",INDEX(Array_StationaryCharges,MATCH($A369,List_StationaryFuelMeters,0),ROUNDUP((COLUMN()+1)/3-2,0))),"")</f>
        <v/>
      </c>
      <c r="AK369" s="127"/>
      <c r="AL369" s="127"/>
      <c r="AM369" s="58" t="str" cm="1">
        <f>IFERROR(IF(ISBLANK($A369),"",INDEX(Array_StationaryCharges,MATCH($A369,List_StationaryFuelMeters,0),ROUNDUP((COLUMN()+1)/3-2,0))),"")</f>
        <v/>
      </c>
      <c r="AN369" s="127"/>
      <c r="AO369" s="127"/>
      <c r="AP369" s="58" t="str" cm="1">
        <f>IFERROR(IF(ISBLANK($A369),"",INDEX(Array_StationaryCharges,MATCH($A369,List_StationaryFuelMeters,0),ROUNDUP((COLUMN()+1)/3-2,0))),"")</f>
        <v/>
      </c>
      <c r="AQ369" s="127"/>
      <c r="AR369" s="127"/>
      <c r="AS369" s="58" t="str" cm="1">
        <f>IFERROR(IF(ISBLANK($A369),"",INDEX(Array_StationaryCharges,MATCH($A369,List_StationaryFuelMeters,0),ROUNDUP((COLUMN()+1)/3-2,0))),"")</f>
        <v/>
      </c>
      <c r="AT369" s="127"/>
      <c r="AU369" s="127"/>
      <c r="AV369" s="58" t="str" cm="1">
        <f>IFERROR(IF(ISBLANK($A369),"",INDEX(Array_StationaryCharges,MATCH($A369,List_StationaryFuelMeters,0),ROUNDUP((COLUMN()+1)/3-2,0))),"")</f>
        <v/>
      </c>
      <c r="AW369" s="127"/>
      <c r="AX369" s="127"/>
    </row>
    <row r="370" spans="1:50" x14ac:dyDescent="0.3">
      <c r="A370" s="126"/>
      <c r="B370" s="133"/>
      <c r="C370" s="127"/>
      <c r="D370" s="138"/>
      <c r="E370" s="138"/>
      <c r="F370" s="58" t="str" cm="1">
        <f>IFERROR(IF(ISBLANK($A370),"",INDEX(Array_StationaryCharges,MATCH($A370,List_StationaryFuelMeters,0),ROUNDUP((COLUMN()+1)/3-2,0))),"")</f>
        <v/>
      </c>
      <c r="G370" s="127"/>
      <c r="H370" s="127"/>
      <c r="I370" s="58" t="str" cm="1">
        <f>IFERROR(IF(ISBLANK($A370),"",INDEX(Array_StationaryCharges,MATCH($A370,List_StationaryFuelMeters,0),ROUNDUP((COLUMN()+1)/3-2,0))),"")</f>
        <v/>
      </c>
      <c r="J370" s="127"/>
      <c r="K370" s="127"/>
      <c r="L370" s="58" t="str" cm="1">
        <f>IFERROR(IF(ISBLANK($A370),"",INDEX(Array_StationaryCharges,MATCH($A370,List_StationaryFuelMeters,0),ROUNDUP((COLUMN()+1)/3-2,0))),"")</f>
        <v/>
      </c>
      <c r="M370" s="127"/>
      <c r="N370" s="127"/>
      <c r="O370" s="58" t="str" cm="1">
        <f>IFERROR(IF(ISBLANK($A370),"",INDEX(Array_StationaryCharges,MATCH($A370,List_StationaryFuelMeters,0),ROUNDUP((COLUMN()+1)/3-2,0))),"")</f>
        <v/>
      </c>
      <c r="P370" s="127"/>
      <c r="Q370" s="127"/>
      <c r="R370" s="58" t="str" cm="1">
        <f>IFERROR(IF(ISBLANK($A370),"",INDEX(Array_StationaryCharges,MATCH($A370,List_StationaryFuelMeters,0),ROUNDUP((COLUMN()+1)/3-2,0))),"")</f>
        <v/>
      </c>
      <c r="S370" s="127"/>
      <c r="T370" s="127"/>
      <c r="U370" s="58" t="str" cm="1">
        <f>IFERROR(IF(ISBLANK($A370),"",INDEX(Array_StationaryCharges,MATCH($A370,List_StationaryFuelMeters,0),ROUNDUP((COLUMN()+1)/3-2,0))),"")</f>
        <v/>
      </c>
      <c r="V370" s="127"/>
      <c r="W370" s="127"/>
      <c r="X370" s="58" t="str" cm="1">
        <f>IFERROR(IF(ISBLANK($A370),"",INDEX(Array_StationaryCharges,MATCH($A370,List_StationaryFuelMeters,0),ROUNDUP((COLUMN()+1)/3-2,0))),"")</f>
        <v/>
      </c>
      <c r="Y370" s="127"/>
      <c r="Z370" s="127"/>
      <c r="AA370" s="58" t="str" cm="1">
        <f>IFERROR(IF(ISBLANK($A370),"",INDEX(Array_StationaryCharges,MATCH($A370,List_StationaryFuelMeters,0),ROUNDUP((COLUMN()+1)/3-2,0))),"")</f>
        <v/>
      </c>
      <c r="AB370" s="127"/>
      <c r="AC370" s="127"/>
      <c r="AD370" s="58" t="str" cm="1">
        <f>IFERROR(IF(ISBLANK($A370),"",INDEX(Array_StationaryCharges,MATCH($A370,List_StationaryFuelMeters,0),ROUNDUP((COLUMN()+1)/3-2,0))),"")</f>
        <v/>
      </c>
      <c r="AE370" s="127"/>
      <c r="AF370" s="127"/>
      <c r="AG370" s="58" t="str" cm="1">
        <f>IFERROR(IF(ISBLANK($A370),"",INDEX(Array_StationaryCharges,MATCH($A370,List_StationaryFuelMeters,0),ROUNDUP((COLUMN()+1)/3-2,0))),"")</f>
        <v/>
      </c>
      <c r="AH370" s="127"/>
      <c r="AI370" s="127"/>
      <c r="AJ370" s="58" t="str" cm="1">
        <f>IFERROR(IF(ISBLANK($A370),"",INDEX(Array_StationaryCharges,MATCH($A370,List_StationaryFuelMeters,0),ROUNDUP((COLUMN()+1)/3-2,0))),"")</f>
        <v/>
      </c>
      <c r="AK370" s="127"/>
      <c r="AL370" s="127"/>
      <c r="AM370" s="58" t="str" cm="1">
        <f>IFERROR(IF(ISBLANK($A370),"",INDEX(Array_StationaryCharges,MATCH($A370,List_StationaryFuelMeters,0),ROUNDUP((COLUMN()+1)/3-2,0))),"")</f>
        <v/>
      </c>
      <c r="AN370" s="127"/>
      <c r="AO370" s="127"/>
      <c r="AP370" s="58" t="str" cm="1">
        <f>IFERROR(IF(ISBLANK($A370),"",INDEX(Array_StationaryCharges,MATCH($A370,List_StationaryFuelMeters,0),ROUNDUP((COLUMN()+1)/3-2,0))),"")</f>
        <v/>
      </c>
      <c r="AQ370" s="127"/>
      <c r="AR370" s="127"/>
      <c r="AS370" s="58" t="str" cm="1">
        <f>IFERROR(IF(ISBLANK($A370),"",INDEX(Array_StationaryCharges,MATCH($A370,List_StationaryFuelMeters,0),ROUNDUP((COLUMN()+1)/3-2,0))),"")</f>
        <v/>
      </c>
      <c r="AT370" s="127"/>
      <c r="AU370" s="127"/>
      <c r="AV370" s="58" t="str" cm="1">
        <f>IFERROR(IF(ISBLANK($A370),"",INDEX(Array_StationaryCharges,MATCH($A370,List_StationaryFuelMeters,0),ROUNDUP((COLUMN()+1)/3-2,0))),"")</f>
        <v/>
      </c>
      <c r="AW370" s="127"/>
      <c r="AX370" s="127"/>
    </row>
    <row r="371" spans="1:50" x14ac:dyDescent="0.3">
      <c r="A371" s="126"/>
      <c r="B371" s="133"/>
      <c r="C371" s="127"/>
      <c r="D371" s="138"/>
      <c r="E371" s="138"/>
      <c r="F371" s="58" t="str" cm="1">
        <f>IFERROR(IF(ISBLANK($A371),"",INDEX(Array_StationaryCharges,MATCH($A371,List_StationaryFuelMeters,0),ROUNDUP((COLUMN()+1)/3-2,0))),"")</f>
        <v/>
      </c>
      <c r="G371" s="127"/>
      <c r="H371" s="127"/>
      <c r="I371" s="58" t="str" cm="1">
        <f>IFERROR(IF(ISBLANK($A371),"",INDEX(Array_StationaryCharges,MATCH($A371,List_StationaryFuelMeters,0),ROUNDUP((COLUMN()+1)/3-2,0))),"")</f>
        <v/>
      </c>
      <c r="J371" s="127"/>
      <c r="K371" s="127"/>
      <c r="L371" s="58" t="str" cm="1">
        <f>IFERROR(IF(ISBLANK($A371),"",INDEX(Array_StationaryCharges,MATCH($A371,List_StationaryFuelMeters,0),ROUNDUP((COLUMN()+1)/3-2,0))),"")</f>
        <v/>
      </c>
      <c r="M371" s="127"/>
      <c r="N371" s="127"/>
      <c r="O371" s="58" t="str" cm="1">
        <f>IFERROR(IF(ISBLANK($A371),"",INDEX(Array_StationaryCharges,MATCH($A371,List_StationaryFuelMeters,0),ROUNDUP((COLUMN()+1)/3-2,0))),"")</f>
        <v/>
      </c>
      <c r="P371" s="127"/>
      <c r="Q371" s="127"/>
      <c r="R371" s="58" t="str" cm="1">
        <f>IFERROR(IF(ISBLANK($A371),"",INDEX(Array_StationaryCharges,MATCH($A371,List_StationaryFuelMeters,0),ROUNDUP((COLUMN()+1)/3-2,0))),"")</f>
        <v/>
      </c>
      <c r="S371" s="127"/>
      <c r="T371" s="127"/>
      <c r="U371" s="58" t="str" cm="1">
        <f>IFERROR(IF(ISBLANK($A371),"",INDEX(Array_StationaryCharges,MATCH($A371,List_StationaryFuelMeters,0),ROUNDUP((COLUMN()+1)/3-2,0))),"")</f>
        <v/>
      </c>
      <c r="V371" s="127"/>
      <c r="W371" s="127"/>
      <c r="X371" s="58" t="str" cm="1">
        <f>IFERROR(IF(ISBLANK($A371),"",INDEX(Array_StationaryCharges,MATCH($A371,List_StationaryFuelMeters,0),ROUNDUP((COLUMN()+1)/3-2,0))),"")</f>
        <v/>
      </c>
      <c r="Y371" s="127"/>
      <c r="Z371" s="127"/>
      <c r="AA371" s="58" t="str" cm="1">
        <f>IFERROR(IF(ISBLANK($A371),"",INDEX(Array_StationaryCharges,MATCH($A371,List_StationaryFuelMeters,0),ROUNDUP((COLUMN()+1)/3-2,0))),"")</f>
        <v/>
      </c>
      <c r="AB371" s="127"/>
      <c r="AC371" s="127"/>
      <c r="AD371" s="58" t="str" cm="1">
        <f>IFERROR(IF(ISBLANK($A371),"",INDEX(Array_StationaryCharges,MATCH($A371,List_StationaryFuelMeters,0),ROUNDUP((COLUMN()+1)/3-2,0))),"")</f>
        <v/>
      </c>
      <c r="AE371" s="127"/>
      <c r="AF371" s="127"/>
      <c r="AG371" s="58" t="str" cm="1">
        <f>IFERROR(IF(ISBLANK($A371),"",INDEX(Array_StationaryCharges,MATCH($A371,List_StationaryFuelMeters,0),ROUNDUP((COLUMN()+1)/3-2,0))),"")</f>
        <v/>
      </c>
      <c r="AH371" s="127"/>
      <c r="AI371" s="127"/>
      <c r="AJ371" s="58" t="str" cm="1">
        <f>IFERROR(IF(ISBLANK($A371),"",INDEX(Array_StationaryCharges,MATCH($A371,List_StationaryFuelMeters,0),ROUNDUP((COLUMN()+1)/3-2,0))),"")</f>
        <v/>
      </c>
      <c r="AK371" s="127"/>
      <c r="AL371" s="127"/>
      <c r="AM371" s="58" t="str" cm="1">
        <f>IFERROR(IF(ISBLANK($A371),"",INDEX(Array_StationaryCharges,MATCH($A371,List_StationaryFuelMeters,0),ROUNDUP((COLUMN()+1)/3-2,0))),"")</f>
        <v/>
      </c>
      <c r="AN371" s="127"/>
      <c r="AO371" s="127"/>
      <c r="AP371" s="58" t="str" cm="1">
        <f>IFERROR(IF(ISBLANK($A371),"",INDEX(Array_StationaryCharges,MATCH($A371,List_StationaryFuelMeters,0),ROUNDUP((COLUMN()+1)/3-2,0))),"")</f>
        <v/>
      </c>
      <c r="AQ371" s="127"/>
      <c r="AR371" s="127"/>
      <c r="AS371" s="58" t="str" cm="1">
        <f>IFERROR(IF(ISBLANK($A371),"",INDEX(Array_StationaryCharges,MATCH($A371,List_StationaryFuelMeters,0),ROUNDUP((COLUMN()+1)/3-2,0))),"")</f>
        <v/>
      </c>
      <c r="AT371" s="127"/>
      <c r="AU371" s="127"/>
      <c r="AV371" s="58" t="str" cm="1">
        <f>IFERROR(IF(ISBLANK($A371),"",INDEX(Array_StationaryCharges,MATCH($A371,List_StationaryFuelMeters,0),ROUNDUP((COLUMN()+1)/3-2,0))),"")</f>
        <v/>
      </c>
      <c r="AW371" s="127"/>
      <c r="AX371" s="127"/>
    </row>
    <row r="372" spans="1:50" x14ac:dyDescent="0.3">
      <c r="A372" s="126"/>
      <c r="B372" s="133"/>
      <c r="C372" s="127"/>
      <c r="D372" s="138"/>
      <c r="E372" s="138"/>
      <c r="F372" s="58" t="str" cm="1">
        <f>IFERROR(IF(ISBLANK($A372),"",INDEX(Array_StationaryCharges,MATCH($A372,List_StationaryFuelMeters,0),ROUNDUP((COLUMN()+1)/3-2,0))),"")</f>
        <v/>
      </c>
      <c r="G372" s="127"/>
      <c r="H372" s="127"/>
      <c r="I372" s="58" t="str" cm="1">
        <f>IFERROR(IF(ISBLANK($A372),"",INDEX(Array_StationaryCharges,MATCH($A372,List_StationaryFuelMeters,0),ROUNDUP((COLUMN()+1)/3-2,0))),"")</f>
        <v/>
      </c>
      <c r="J372" s="127"/>
      <c r="K372" s="127"/>
      <c r="L372" s="58" t="str" cm="1">
        <f>IFERROR(IF(ISBLANK($A372),"",INDEX(Array_StationaryCharges,MATCH($A372,List_StationaryFuelMeters,0),ROUNDUP((COLUMN()+1)/3-2,0))),"")</f>
        <v/>
      </c>
      <c r="M372" s="127"/>
      <c r="N372" s="127"/>
      <c r="O372" s="58" t="str" cm="1">
        <f>IFERROR(IF(ISBLANK($A372),"",INDEX(Array_StationaryCharges,MATCH($A372,List_StationaryFuelMeters,0),ROUNDUP((COLUMN()+1)/3-2,0))),"")</f>
        <v/>
      </c>
      <c r="P372" s="127"/>
      <c r="Q372" s="127"/>
      <c r="R372" s="58" t="str" cm="1">
        <f>IFERROR(IF(ISBLANK($A372),"",INDEX(Array_StationaryCharges,MATCH($A372,List_StationaryFuelMeters,0),ROUNDUP((COLUMN()+1)/3-2,0))),"")</f>
        <v/>
      </c>
      <c r="S372" s="127"/>
      <c r="T372" s="127"/>
      <c r="U372" s="58" t="str" cm="1">
        <f>IFERROR(IF(ISBLANK($A372),"",INDEX(Array_StationaryCharges,MATCH($A372,List_StationaryFuelMeters,0),ROUNDUP((COLUMN()+1)/3-2,0))),"")</f>
        <v/>
      </c>
      <c r="V372" s="127"/>
      <c r="W372" s="127"/>
      <c r="X372" s="58" t="str" cm="1">
        <f>IFERROR(IF(ISBLANK($A372),"",INDEX(Array_StationaryCharges,MATCH($A372,List_StationaryFuelMeters,0),ROUNDUP((COLUMN()+1)/3-2,0))),"")</f>
        <v/>
      </c>
      <c r="Y372" s="127"/>
      <c r="Z372" s="127"/>
      <c r="AA372" s="58" t="str" cm="1">
        <f>IFERROR(IF(ISBLANK($A372),"",INDEX(Array_StationaryCharges,MATCH($A372,List_StationaryFuelMeters,0),ROUNDUP((COLUMN()+1)/3-2,0))),"")</f>
        <v/>
      </c>
      <c r="AB372" s="127"/>
      <c r="AC372" s="127"/>
      <c r="AD372" s="58" t="str" cm="1">
        <f>IFERROR(IF(ISBLANK($A372),"",INDEX(Array_StationaryCharges,MATCH($A372,List_StationaryFuelMeters,0),ROUNDUP((COLUMN()+1)/3-2,0))),"")</f>
        <v/>
      </c>
      <c r="AE372" s="127"/>
      <c r="AF372" s="127"/>
      <c r="AG372" s="58" t="str" cm="1">
        <f>IFERROR(IF(ISBLANK($A372),"",INDEX(Array_StationaryCharges,MATCH($A372,List_StationaryFuelMeters,0),ROUNDUP((COLUMN()+1)/3-2,0))),"")</f>
        <v/>
      </c>
      <c r="AH372" s="127"/>
      <c r="AI372" s="127"/>
      <c r="AJ372" s="58" t="str" cm="1">
        <f>IFERROR(IF(ISBLANK($A372),"",INDEX(Array_StationaryCharges,MATCH($A372,List_StationaryFuelMeters,0),ROUNDUP((COLUMN()+1)/3-2,0))),"")</f>
        <v/>
      </c>
      <c r="AK372" s="127"/>
      <c r="AL372" s="127"/>
      <c r="AM372" s="58" t="str" cm="1">
        <f>IFERROR(IF(ISBLANK($A372),"",INDEX(Array_StationaryCharges,MATCH($A372,List_StationaryFuelMeters,0),ROUNDUP((COLUMN()+1)/3-2,0))),"")</f>
        <v/>
      </c>
      <c r="AN372" s="127"/>
      <c r="AO372" s="127"/>
      <c r="AP372" s="58" t="str" cm="1">
        <f>IFERROR(IF(ISBLANK($A372),"",INDEX(Array_StationaryCharges,MATCH($A372,List_StationaryFuelMeters,0),ROUNDUP((COLUMN()+1)/3-2,0))),"")</f>
        <v/>
      </c>
      <c r="AQ372" s="127"/>
      <c r="AR372" s="127"/>
      <c r="AS372" s="58" t="str" cm="1">
        <f>IFERROR(IF(ISBLANK($A372),"",INDEX(Array_StationaryCharges,MATCH($A372,List_StationaryFuelMeters,0),ROUNDUP((COLUMN()+1)/3-2,0))),"")</f>
        <v/>
      </c>
      <c r="AT372" s="127"/>
      <c r="AU372" s="127"/>
      <c r="AV372" s="58" t="str" cm="1">
        <f>IFERROR(IF(ISBLANK($A372),"",INDEX(Array_StationaryCharges,MATCH($A372,List_StationaryFuelMeters,0),ROUNDUP((COLUMN()+1)/3-2,0))),"")</f>
        <v/>
      </c>
      <c r="AW372" s="127"/>
      <c r="AX372" s="127"/>
    </row>
    <row r="373" spans="1:50" x14ac:dyDescent="0.3">
      <c r="A373" s="126"/>
      <c r="B373" s="133"/>
      <c r="C373" s="127"/>
      <c r="D373" s="138"/>
      <c r="E373" s="138"/>
      <c r="F373" s="58" t="str" cm="1">
        <f>IFERROR(IF(ISBLANK($A373),"",INDEX(Array_StationaryCharges,MATCH($A373,List_StationaryFuelMeters,0),ROUNDUP((COLUMN()+1)/3-2,0))),"")</f>
        <v/>
      </c>
      <c r="G373" s="127"/>
      <c r="H373" s="127"/>
      <c r="I373" s="58" t="str" cm="1">
        <f>IFERROR(IF(ISBLANK($A373),"",INDEX(Array_StationaryCharges,MATCH($A373,List_StationaryFuelMeters,0),ROUNDUP((COLUMN()+1)/3-2,0))),"")</f>
        <v/>
      </c>
      <c r="J373" s="127"/>
      <c r="K373" s="127"/>
      <c r="L373" s="58" t="str" cm="1">
        <f>IFERROR(IF(ISBLANK($A373),"",INDEX(Array_StationaryCharges,MATCH($A373,List_StationaryFuelMeters,0),ROUNDUP((COLUMN()+1)/3-2,0))),"")</f>
        <v/>
      </c>
      <c r="M373" s="127"/>
      <c r="N373" s="127"/>
      <c r="O373" s="58" t="str" cm="1">
        <f>IFERROR(IF(ISBLANK($A373),"",INDEX(Array_StationaryCharges,MATCH($A373,List_StationaryFuelMeters,0),ROUNDUP((COLUMN()+1)/3-2,0))),"")</f>
        <v/>
      </c>
      <c r="P373" s="127"/>
      <c r="Q373" s="127"/>
      <c r="R373" s="58" t="str" cm="1">
        <f>IFERROR(IF(ISBLANK($A373),"",INDEX(Array_StationaryCharges,MATCH($A373,List_StationaryFuelMeters,0),ROUNDUP((COLUMN()+1)/3-2,0))),"")</f>
        <v/>
      </c>
      <c r="S373" s="127"/>
      <c r="T373" s="127"/>
      <c r="U373" s="58" t="str" cm="1">
        <f>IFERROR(IF(ISBLANK($A373),"",INDEX(Array_StationaryCharges,MATCH($A373,List_StationaryFuelMeters,0),ROUNDUP((COLUMN()+1)/3-2,0))),"")</f>
        <v/>
      </c>
      <c r="V373" s="127"/>
      <c r="W373" s="127"/>
      <c r="X373" s="58" t="str" cm="1">
        <f>IFERROR(IF(ISBLANK($A373),"",INDEX(Array_StationaryCharges,MATCH($A373,List_StationaryFuelMeters,0),ROUNDUP((COLUMN()+1)/3-2,0))),"")</f>
        <v/>
      </c>
      <c r="Y373" s="127"/>
      <c r="Z373" s="127"/>
      <c r="AA373" s="58" t="str" cm="1">
        <f>IFERROR(IF(ISBLANK($A373),"",INDEX(Array_StationaryCharges,MATCH($A373,List_StationaryFuelMeters,0),ROUNDUP((COLUMN()+1)/3-2,0))),"")</f>
        <v/>
      </c>
      <c r="AB373" s="127"/>
      <c r="AC373" s="127"/>
      <c r="AD373" s="58" t="str" cm="1">
        <f>IFERROR(IF(ISBLANK($A373),"",INDEX(Array_StationaryCharges,MATCH($A373,List_StationaryFuelMeters,0),ROUNDUP((COLUMN()+1)/3-2,0))),"")</f>
        <v/>
      </c>
      <c r="AE373" s="127"/>
      <c r="AF373" s="127"/>
      <c r="AG373" s="58" t="str" cm="1">
        <f>IFERROR(IF(ISBLANK($A373),"",INDEX(Array_StationaryCharges,MATCH($A373,List_StationaryFuelMeters,0),ROUNDUP((COLUMN()+1)/3-2,0))),"")</f>
        <v/>
      </c>
      <c r="AH373" s="127"/>
      <c r="AI373" s="127"/>
      <c r="AJ373" s="58" t="str" cm="1">
        <f>IFERROR(IF(ISBLANK($A373),"",INDEX(Array_StationaryCharges,MATCH($A373,List_StationaryFuelMeters,0),ROUNDUP((COLUMN()+1)/3-2,0))),"")</f>
        <v/>
      </c>
      <c r="AK373" s="127"/>
      <c r="AL373" s="127"/>
      <c r="AM373" s="58" t="str" cm="1">
        <f>IFERROR(IF(ISBLANK($A373),"",INDEX(Array_StationaryCharges,MATCH($A373,List_StationaryFuelMeters,0),ROUNDUP((COLUMN()+1)/3-2,0))),"")</f>
        <v/>
      </c>
      <c r="AN373" s="127"/>
      <c r="AO373" s="127"/>
      <c r="AP373" s="58" t="str" cm="1">
        <f>IFERROR(IF(ISBLANK($A373),"",INDEX(Array_StationaryCharges,MATCH($A373,List_StationaryFuelMeters,0),ROUNDUP((COLUMN()+1)/3-2,0))),"")</f>
        <v/>
      </c>
      <c r="AQ373" s="127"/>
      <c r="AR373" s="127"/>
      <c r="AS373" s="58" t="str" cm="1">
        <f>IFERROR(IF(ISBLANK($A373),"",INDEX(Array_StationaryCharges,MATCH($A373,List_StationaryFuelMeters,0),ROUNDUP((COLUMN()+1)/3-2,0))),"")</f>
        <v/>
      </c>
      <c r="AT373" s="127"/>
      <c r="AU373" s="127"/>
      <c r="AV373" s="58" t="str" cm="1">
        <f>IFERROR(IF(ISBLANK($A373),"",INDEX(Array_StationaryCharges,MATCH($A373,List_StationaryFuelMeters,0),ROUNDUP((COLUMN()+1)/3-2,0))),"")</f>
        <v/>
      </c>
      <c r="AW373" s="127"/>
      <c r="AX373" s="127"/>
    </row>
    <row r="374" spans="1:50" x14ac:dyDescent="0.3">
      <c r="A374" s="126"/>
      <c r="B374" s="133"/>
      <c r="C374" s="127"/>
      <c r="D374" s="138"/>
      <c r="E374" s="138"/>
      <c r="F374" s="58" t="str" cm="1">
        <f>IFERROR(IF(ISBLANK($A374),"",INDEX(Array_StationaryCharges,MATCH($A374,List_StationaryFuelMeters,0),ROUNDUP((COLUMN()+1)/3-2,0))),"")</f>
        <v/>
      </c>
      <c r="G374" s="127"/>
      <c r="H374" s="127"/>
      <c r="I374" s="58" t="str" cm="1">
        <f>IFERROR(IF(ISBLANK($A374),"",INDEX(Array_StationaryCharges,MATCH($A374,List_StationaryFuelMeters,0),ROUNDUP((COLUMN()+1)/3-2,0))),"")</f>
        <v/>
      </c>
      <c r="J374" s="127"/>
      <c r="K374" s="127"/>
      <c r="L374" s="58" t="str" cm="1">
        <f>IFERROR(IF(ISBLANK($A374),"",INDEX(Array_StationaryCharges,MATCH($A374,List_StationaryFuelMeters,0),ROUNDUP((COLUMN()+1)/3-2,0))),"")</f>
        <v/>
      </c>
      <c r="M374" s="127"/>
      <c r="N374" s="127"/>
      <c r="O374" s="58" t="str" cm="1">
        <f>IFERROR(IF(ISBLANK($A374),"",INDEX(Array_StationaryCharges,MATCH($A374,List_StationaryFuelMeters,0),ROUNDUP((COLUMN()+1)/3-2,0))),"")</f>
        <v/>
      </c>
      <c r="P374" s="127"/>
      <c r="Q374" s="127"/>
      <c r="R374" s="58" t="str" cm="1">
        <f>IFERROR(IF(ISBLANK($A374),"",INDEX(Array_StationaryCharges,MATCH($A374,List_StationaryFuelMeters,0),ROUNDUP((COLUMN()+1)/3-2,0))),"")</f>
        <v/>
      </c>
      <c r="S374" s="127"/>
      <c r="T374" s="127"/>
      <c r="U374" s="58" t="str" cm="1">
        <f>IFERROR(IF(ISBLANK($A374),"",INDEX(Array_StationaryCharges,MATCH($A374,List_StationaryFuelMeters,0),ROUNDUP((COLUMN()+1)/3-2,0))),"")</f>
        <v/>
      </c>
      <c r="V374" s="127"/>
      <c r="W374" s="127"/>
      <c r="X374" s="58" t="str" cm="1">
        <f>IFERROR(IF(ISBLANK($A374),"",INDEX(Array_StationaryCharges,MATCH($A374,List_StationaryFuelMeters,0),ROUNDUP((COLUMN()+1)/3-2,0))),"")</f>
        <v/>
      </c>
      <c r="Y374" s="127"/>
      <c r="Z374" s="127"/>
      <c r="AA374" s="58" t="str" cm="1">
        <f>IFERROR(IF(ISBLANK($A374),"",INDEX(Array_StationaryCharges,MATCH($A374,List_StationaryFuelMeters,0),ROUNDUP((COLUMN()+1)/3-2,0))),"")</f>
        <v/>
      </c>
      <c r="AB374" s="127"/>
      <c r="AC374" s="127"/>
      <c r="AD374" s="58" t="str" cm="1">
        <f>IFERROR(IF(ISBLANK($A374),"",INDEX(Array_StationaryCharges,MATCH($A374,List_StationaryFuelMeters,0),ROUNDUP((COLUMN()+1)/3-2,0))),"")</f>
        <v/>
      </c>
      <c r="AE374" s="127"/>
      <c r="AF374" s="127"/>
      <c r="AG374" s="58" t="str" cm="1">
        <f>IFERROR(IF(ISBLANK($A374),"",INDEX(Array_StationaryCharges,MATCH($A374,List_StationaryFuelMeters,0),ROUNDUP((COLUMN()+1)/3-2,0))),"")</f>
        <v/>
      </c>
      <c r="AH374" s="127"/>
      <c r="AI374" s="127"/>
      <c r="AJ374" s="58" t="str" cm="1">
        <f>IFERROR(IF(ISBLANK($A374),"",INDEX(Array_StationaryCharges,MATCH($A374,List_StationaryFuelMeters,0),ROUNDUP((COLUMN()+1)/3-2,0))),"")</f>
        <v/>
      </c>
      <c r="AK374" s="127"/>
      <c r="AL374" s="127"/>
      <c r="AM374" s="58" t="str" cm="1">
        <f>IFERROR(IF(ISBLANK($A374),"",INDEX(Array_StationaryCharges,MATCH($A374,List_StationaryFuelMeters,0),ROUNDUP((COLUMN()+1)/3-2,0))),"")</f>
        <v/>
      </c>
      <c r="AN374" s="127"/>
      <c r="AO374" s="127"/>
      <c r="AP374" s="58" t="str" cm="1">
        <f>IFERROR(IF(ISBLANK($A374),"",INDEX(Array_StationaryCharges,MATCH($A374,List_StationaryFuelMeters,0),ROUNDUP((COLUMN()+1)/3-2,0))),"")</f>
        <v/>
      </c>
      <c r="AQ374" s="127"/>
      <c r="AR374" s="127"/>
      <c r="AS374" s="58" t="str" cm="1">
        <f>IFERROR(IF(ISBLANK($A374),"",INDEX(Array_StationaryCharges,MATCH($A374,List_StationaryFuelMeters,0),ROUNDUP((COLUMN()+1)/3-2,0))),"")</f>
        <v/>
      </c>
      <c r="AT374" s="127"/>
      <c r="AU374" s="127"/>
      <c r="AV374" s="58" t="str" cm="1">
        <f>IFERROR(IF(ISBLANK($A374),"",INDEX(Array_StationaryCharges,MATCH($A374,List_StationaryFuelMeters,0),ROUNDUP((COLUMN()+1)/3-2,0))),"")</f>
        <v/>
      </c>
      <c r="AW374" s="127"/>
      <c r="AX374" s="127"/>
    </row>
    <row r="375" spans="1:50" x14ac:dyDescent="0.3">
      <c r="A375" s="126"/>
      <c r="B375" s="133"/>
      <c r="C375" s="127"/>
      <c r="D375" s="138"/>
      <c r="E375" s="138"/>
      <c r="F375" s="58" t="str" cm="1">
        <f>IFERROR(IF(ISBLANK($A375),"",INDEX(Array_StationaryCharges,MATCH($A375,List_StationaryFuelMeters,0),ROUNDUP((COLUMN()+1)/3-2,0))),"")</f>
        <v/>
      </c>
      <c r="G375" s="127"/>
      <c r="H375" s="127"/>
      <c r="I375" s="58" t="str" cm="1">
        <f>IFERROR(IF(ISBLANK($A375),"",INDEX(Array_StationaryCharges,MATCH($A375,List_StationaryFuelMeters,0),ROUNDUP((COLUMN()+1)/3-2,0))),"")</f>
        <v/>
      </c>
      <c r="J375" s="127"/>
      <c r="K375" s="127"/>
      <c r="L375" s="58" t="str" cm="1">
        <f>IFERROR(IF(ISBLANK($A375),"",INDEX(Array_StationaryCharges,MATCH($A375,List_StationaryFuelMeters,0),ROUNDUP((COLUMN()+1)/3-2,0))),"")</f>
        <v/>
      </c>
      <c r="M375" s="127"/>
      <c r="N375" s="127"/>
      <c r="O375" s="58" t="str" cm="1">
        <f>IFERROR(IF(ISBLANK($A375),"",INDEX(Array_StationaryCharges,MATCH($A375,List_StationaryFuelMeters,0),ROUNDUP((COLUMN()+1)/3-2,0))),"")</f>
        <v/>
      </c>
      <c r="P375" s="127"/>
      <c r="Q375" s="127"/>
      <c r="R375" s="58" t="str" cm="1">
        <f>IFERROR(IF(ISBLANK($A375),"",INDEX(Array_StationaryCharges,MATCH($A375,List_StationaryFuelMeters,0),ROUNDUP((COLUMN()+1)/3-2,0))),"")</f>
        <v/>
      </c>
      <c r="S375" s="127"/>
      <c r="T375" s="127"/>
      <c r="U375" s="58" t="str" cm="1">
        <f>IFERROR(IF(ISBLANK($A375),"",INDEX(Array_StationaryCharges,MATCH($A375,List_StationaryFuelMeters,0),ROUNDUP((COLUMN()+1)/3-2,0))),"")</f>
        <v/>
      </c>
      <c r="V375" s="127"/>
      <c r="W375" s="127"/>
      <c r="X375" s="58" t="str" cm="1">
        <f>IFERROR(IF(ISBLANK($A375),"",INDEX(Array_StationaryCharges,MATCH($A375,List_StationaryFuelMeters,0),ROUNDUP((COLUMN()+1)/3-2,0))),"")</f>
        <v/>
      </c>
      <c r="Y375" s="127"/>
      <c r="Z375" s="127"/>
      <c r="AA375" s="58" t="str" cm="1">
        <f>IFERROR(IF(ISBLANK($A375),"",INDEX(Array_StationaryCharges,MATCH($A375,List_StationaryFuelMeters,0),ROUNDUP((COLUMN()+1)/3-2,0))),"")</f>
        <v/>
      </c>
      <c r="AB375" s="127"/>
      <c r="AC375" s="127"/>
      <c r="AD375" s="58" t="str" cm="1">
        <f>IFERROR(IF(ISBLANK($A375),"",INDEX(Array_StationaryCharges,MATCH($A375,List_StationaryFuelMeters,0),ROUNDUP((COLUMN()+1)/3-2,0))),"")</f>
        <v/>
      </c>
      <c r="AE375" s="127"/>
      <c r="AF375" s="127"/>
      <c r="AG375" s="58" t="str" cm="1">
        <f>IFERROR(IF(ISBLANK($A375),"",INDEX(Array_StationaryCharges,MATCH($A375,List_StationaryFuelMeters,0),ROUNDUP((COLUMN()+1)/3-2,0))),"")</f>
        <v/>
      </c>
      <c r="AH375" s="127"/>
      <c r="AI375" s="127"/>
      <c r="AJ375" s="58" t="str" cm="1">
        <f>IFERROR(IF(ISBLANK($A375),"",INDEX(Array_StationaryCharges,MATCH($A375,List_StationaryFuelMeters,0),ROUNDUP((COLUMN()+1)/3-2,0))),"")</f>
        <v/>
      </c>
      <c r="AK375" s="127"/>
      <c r="AL375" s="127"/>
      <c r="AM375" s="58" t="str" cm="1">
        <f>IFERROR(IF(ISBLANK($A375),"",INDEX(Array_StationaryCharges,MATCH($A375,List_StationaryFuelMeters,0),ROUNDUP((COLUMN()+1)/3-2,0))),"")</f>
        <v/>
      </c>
      <c r="AN375" s="127"/>
      <c r="AO375" s="127"/>
      <c r="AP375" s="58" t="str" cm="1">
        <f>IFERROR(IF(ISBLANK($A375),"",INDEX(Array_StationaryCharges,MATCH($A375,List_StationaryFuelMeters,0),ROUNDUP((COLUMN()+1)/3-2,0))),"")</f>
        <v/>
      </c>
      <c r="AQ375" s="127"/>
      <c r="AR375" s="127"/>
      <c r="AS375" s="58" t="str" cm="1">
        <f>IFERROR(IF(ISBLANK($A375),"",INDEX(Array_StationaryCharges,MATCH($A375,List_StationaryFuelMeters,0),ROUNDUP((COLUMN()+1)/3-2,0))),"")</f>
        <v/>
      </c>
      <c r="AT375" s="127"/>
      <c r="AU375" s="127"/>
      <c r="AV375" s="58" t="str" cm="1">
        <f>IFERROR(IF(ISBLANK($A375),"",INDEX(Array_StationaryCharges,MATCH($A375,List_StationaryFuelMeters,0),ROUNDUP((COLUMN()+1)/3-2,0))),"")</f>
        <v/>
      </c>
      <c r="AW375" s="127"/>
      <c r="AX375" s="127"/>
    </row>
    <row r="376" spans="1:50" x14ac:dyDescent="0.3">
      <c r="A376" s="126"/>
      <c r="B376" s="133"/>
      <c r="C376" s="127"/>
      <c r="D376" s="138"/>
      <c r="E376" s="138"/>
      <c r="F376" s="58" t="str" cm="1">
        <f>IFERROR(IF(ISBLANK($A376),"",INDEX(Array_StationaryCharges,MATCH($A376,List_StationaryFuelMeters,0),ROUNDUP((COLUMN()+1)/3-2,0))),"")</f>
        <v/>
      </c>
      <c r="G376" s="127"/>
      <c r="H376" s="127"/>
      <c r="I376" s="58" t="str" cm="1">
        <f>IFERROR(IF(ISBLANK($A376),"",INDEX(Array_StationaryCharges,MATCH($A376,List_StationaryFuelMeters,0),ROUNDUP((COLUMN()+1)/3-2,0))),"")</f>
        <v/>
      </c>
      <c r="J376" s="127"/>
      <c r="K376" s="127"/>
      <c r="L376" s="58" t="str" cm="1">
        <f>IFERROR(IF(ISBLANK($A376),"",INDEX(Array_StationaryCharges,MATCH($A376,List_StationaryFuelMeters,0),ROUNDUP((COLUMN()+1)/3-2,0))),"")</f>
        <v/>
      </c>
      <c r="M376" s="127"/>
      <c r="N376" s="127"/>
      <c r="O376" s="58" t="str" cm="1">
        <f>IFERROR(IF(ISBLANK($A376),"",INDEX(Array_StationaryCharges,MATCH($A376,List_StationaryFuelMeters,0),ROUNDUP((COLUMN()+1)/3-2,0))),"")</f>
        <v/>
      </c>
      <c r="P376" s="127"/>
      <c r="Q376" s="127"/>
      <c r="R376" s="58" t="str" cm="1">
        <f>IFERROR(IF(ISBLANK($A376),"",INDEX(Array_StationaryCharges,MATCH($A376,List_StationaryFuelMeters,0),ROUNDUP((COLUMN()+1)/3-2,0))),"")</f>
        <v/>
      </c>
      <c r="S376" s="127"/>
      <c r="T376" s="127"/>
      <c r="U376" s="58" t="str" cm="1">
        <f>IFERROR(IF(ISBLANK($A376),"",INDEX(Array_StationaryCharges,MATCH($A376,List_StationaryFuelMeters,0),ROUNDUP((COLUMN()+1)/3-2,0))),"")</f>
        <v/>
      </c>
      <c r="V376" s="127"/>
      <c r="W376" s="127"/>
      <c r="X376" s="58" t="str" cm="1">
        <f>IFERROR(IF(ISBLANK($A376),"",INDEX(Array_StationaryCharges,MATCH($A376,List_StationaryFuelMeters,0),ROUNDUP((COLUMN()+1)/3-2,0))),"")</f>
        <v/>
      </c>
      <c r="Y376" s="127"/>
      <c r="Z376" s="127"/>
      <c r="AA376" s="58" t="str" cm="1">
        <f>IFERROR(IF(ISBLANK($A376),"",INDEX(Array_StationaryCharges,MATCH($A376,List_StationaryFuelMeters,0),ROUNDUP((COLUMN()+1)/3-2,0))),"")</f>
        <v/>
      </c>
      <c r="AB376" s="127"/>
      <c r="AC376" s="127"/>
      <c r="AD376" s="58" t="str" cm="1">
        <f>IFERROR(IF(ISBLANK($A376),"",INDEX(Array_StationaryCharges,MATCH($A376,List_StationaryFuelMeters,0),ROUNDUP((COLUMN()+1)/3-2,0))),"")</f>
        <v/>
      </c>
      <c r="AE376" s="127"/>
      <c r="AF376" s="127"/>
      <c r="AG376" s="58" t="str" cm="1">
        <f>IFERROR(IF(ISBLANK($A376),"",INDEX(Array_StationaryCharges,MATCH($A376,List_StationaryFuelMeters,0),ROUNDUP((COLUMN()+1)/3-2,0))),"")</f>
        <v/>
      </c>
      <c r="AH376" s="127"/>
      <c r="AI376" s="127"/>
      <c r="AJ376" s="58" t="str" cm="1">
        <f>IFERROR(IF(ISBLANK($A376),"",INDEX(Array_StationaryCharges,MATCH($A376,List_StationaryFuelMeters,0),ROUNDUP((COLUMN()+1)/3-2,0))),"")</f>
        <v/>
      </c>
      <c r="AK376" s="127"/>
      <c r="AL376" s="127"/>
      <c r="AM376" s="58" t="str" cm="1">
        <f>IFERROR(IF(ISBLANK($A376),"",INDEX(Array_StationaryCharges,MATCH($A376,List_StationaryFuelMeters,0),ROUNDUP((COLUMN()+1)/3-2,0))),"")</f>
        <v/>
      </c>
      <c r="AN376" s="127"/>
      <c r="AO376" s="127"/>
      <c r="AP376" s="58" t="str" cm="1">
        <f>IFERROR(IF(ISBLANK($A376),"",INDEX(Array_StationaryCharges,MATCH($A376,List_StationaryFuelMeters,0),ROUNDUP((COLUMN()+1)/3-2,0))),"")</f>
        <v/>
      </c>
      <c r="AQ376" s="127"/>
      <c r="AR376" s="127"/>
      <c r="AS376" s="58" t="str" cm="1">
        <f>IFERROR(IF(ISBLANK($A376),"",INDEX(Array_StationaryCharges,MATCH($A376,List_StationaryFuelMeters,0),ROUNDUP((COLUMN()+1)/3-2,0))),"")</f>
        <v/>
      </c>
      <c r="AT376" s="127"/>
      <c r="AU376" s="127"/>
      <c r="AV376" s="58" t="str" cm="1">
        <f>IFERROR(IF(ISBLANK($A376),"",INDEX(Array_StationaryCharges,MATCH($A376,List_StationaryFuelMeters,0),ROUNDUP((COLUMN()+1)/3-2,0))),"")</f>
        <v/>
      </c>
      <c r="AW376" s="127"/>
      <c r="AX376" s="127"/>
    </row>
    <row r="377" spans="1:50" x14ac:dyDescent="0.3">
      <c r="A377" s="126"/>
      <c r="B377" s="133"/>
      <c r="C377" s="127"/>
      <c r="D377" s="138"/>
      <c r="E377" s="138"/>
      <c r="F377" s="58" t="str" cm="1">
        <f>IFERROR(IF(ISBLANK($A377),"",INDEX(Array_StationaryCharges,MATCH($A377,List_StationaryFuelMeters,0),ROUNDUP((COLUMN()+1)/3-2,0))),"")</f>
        <v/>
      </c>
      <c r="G377" s="127"/>
      <c r="H377" s="127"/>
      <c r="I377" s="58" t="str" cm="1">
        <f>IFERROR(IF(ISBLANK($A377),"",INDEX(Array_StationaryCharges,MATCH($A377,List_StationaryFuelMeters,0),ROUNDUP((COLUMN()+1)/3-2,0))),"")</f>
        <v/>
      </c>
      <c r="J377" s="127"/>
      <c r="K377" s="127"/>
      <c r="L377" s="58" t="str" cm="1">
        <f>IFERROR(IF(ISBLANK($A377),"",INDEX(Array_StationaryCharges,MATCH($A377,List_StationaryFuelMeters,0),ROUNDUP((COLUMN()+1)/3-2,0))),"")</f>
        <v/>
      </c>
      <c r="M377" s="127"/>
      <c r="N377" s="127"/>
      <c r="O377" s="58" t="str" cm="1">
        <f>IFERROR(IF(ISBLANK($A377),"",INDEX(Array_StationaryCharges,MATCH($A377,List_StationaryFuelMeters,0),ROUNDUP((COLUMN()+1)/3-2,0))),"")</f>
        <v/>
      </c>
      <c r="P377" s="127"/>
      <c r="Q377" s="127"/>
      <c r="R377" s="58" t="str" cm="1">
        <f>IFERROR(IF(ISBLANK($A377),"",INDEX(Array_StationaryCharges,MATCH($A377,List_StationaryFuelMeters,0),ROUNDUP((COLUMN()+1)/3-2,0))),"")</f>
        <v/>
      </c>
      <c r="S377" s="127"/>
      <c r="T377" s="127"/>
      <c r="U377" s="58" t="str" cm="1">
        <f>IFERROR(IF(ISBLANK($A377),"",INDEX(Array_StationaryCharges,MATCH($A377,List_StationaryFuelMeters,0),ROUNDUP((COLUMN()+1)/3-2,0))),"")</f>
        <v/>
      </c>
      <c r="V377" s="127"/>
      <c r="W377" s="127"/>
      <c r="X377" s="58" t="str" cm="1">
        <f>IFERROR(IF(ISBLANK($A377),"",INDEX(Array_StationaryCharges,MATCH($A377,List_StationaryFuelMeters,0),ROUNDUP((COLUMN()+1)/3-2,0))),"")</f>
        <v/>
      </c>
      <c r="Y377" s="127"/>
      <c r="Z377" s="127"/>
      <c r="AA377" s="58" t="str" cm="1">
        <f>IFERROR(IF(ISBLANK($A377),"",INDEX(Array_StationaryCharges,MATCH($A377,List_StationaryFuelMeters,0),ROUNDUP((COLUMN()+1)/3-2,0))),"")</f>
        <v/>
      </c>
      <c r="AB377" s="127"/>
      <c r="AC377" s="127"/>
      <c r="AD377" s="58" t="str" cm="1">
        <f>IFERROR(IF(ISBLANK($A377),"",INDEX(Array_StationaryCharges,MATCH($A377,List_StationaryFuelMeters,0),ROUNDUP((COLUMN()+1)/3-2,0))),"")</f>
        <v/>
      </c>
      <c r="AE377" s="127"/>
      <c r="AF377" s="127"/>
      <c r="AG377" s="58" t="str" cm="1">
        <f>IFERROR(IF(ISBLANK($A377),"",INDEX(Array_StationaryCharges,MATCH($A377,List_StationaryFuelMeters,0),ROUNDUP((COLUMN()+1)/3-2,0))),"")</f>
        <v/>
      </c>
      <c r="AH377" s="127"/>
      <c r="AI377" s="127"/>
      <c r="AJ377" s="58" t="str" cm="1">
        <f>IFERROR(IF(ISBLANK($A377),"",INDEX(Array_StationaryCharges,MATCH($A377,List_StationaryFuelMeters,0),ROUNDUP((COLUMN()+1)/3-2,0))),"")</f>
        <v/>
      </c>
      <c r="AK377" s="127"/>
      <c r="AL377" s="127"/>
      <c r="AM377" s="58" t="str" cm="1">
        <f>IFERROR(IF(ISBLANK($A377),"",INDEX(Array_StationaryCharges,MATCH($A377,List_StationaryFuelMeters,0),ROUNDUP((COLUMN()+1)/3-2,0))),"")</f>
        <v/>
      </c>
      <c r="AN377" s="127"/>
      <c r="AO377" s="127"/>
      <c r="AP377" s="58" t="str" cm="1">
        <f>IFERROR(IF(ISBLANK($A377),"",INDEX(Array_StationaryCharges,MATCH($A377,List_StationaryFuelMeters,0),ROUNDUP((COLUMN()+1)/3-2,0))),"")</f>
        <v/>
      </c>
      <c r="AQ377" s="127"/>
      <c r="AR377" s="127"/>
      <c r="AS377" s="58" t="str" cm="1">
        <f>IFERROR(IF(ISBLANK($A377),"",INDEX(Array_StationaryCharges,MATCH($A377,List_StationaryFuelMeters,0),ROUNDUP((COLUMN()+1)/3-2,0))),"")</f>
        <v/>
      </c>
      <c r="AT377" s="127"/>
      <c r="AU377" s="127"/>
      <c r="AV377" s="58" t="str" cm="1">
        <f>IFERROR(IF(ISBLANK($A377),"",INDEX(Array_StationaryCharges,MATCH($A377,List_StationaryFuelMeters,0),ROUNDUP((COLUMN()+1)/3-2,0))),"")</f>
        <v/>
      </c>
      <c r="AW377" s="127"/>
      <c r="AX377" s="127"/>
    </row>
    <row r="378" spans="1:50" x14ac:dyDescent="0.3">
      <c r="A378" s="126"/>
      <c r="B378" s="133"/>
      <c r="C378" s="127"/>
      <c r="D378" s="138"/>
      <c r="E378" s="138"/>
      <c r="F378" s="58" t="str" cm="1">
        <f>IFERROR(IF(ISBLANK($A378),"",INDEX(Array_StationaryCharges,MATCH($A378,List_StationaryFuelMeters,0),ROUNDUP((COLUMN()+1)/3-2,0))),"")</f>
        <v/>
      </c>
      <c r="G378" s="127"/>
      <c r="H378" s="127"/>
      <c r="I378" s="58" t="str" cm="1">
        <f>IFERROR(IF(ISBLANK($A378),"",INDEX(Array_StationaryCharges,MATCH($A378,List_StationaryFuelMeters,0),ROUNDUP((COLUMN()+1)/3-2,0))),"")</f>
        <v/>
      </c>
      <c r="J378" s="127"/>
      <c r="K378" s="127"/>
      <c r="L378" s="58" t="str" cm="1">
        <f>IFERROR(IF(ISBLANK($A378),"",INDEX(Array_StationaryCharges,MATCH($A378,List_StationaryFuelMeters,0),ROUNDUP((COLUMN()+1)/3-2,0))),"")</f>
        <v/>
      </c>
      <c r="M378" s="127"/>
      <c r="N378" s="127"/>
      <c r="O378" s="58" t="str" cm="1">
        <f>IFERROR(IF(ISBLANK($A378),"",INDEX(Array_StationaryCharges,MATCH($A378,List_StationaryFuelMeters,0),ROUNDUP((COLUMN()+1)/3-2,0))),"")</f>
        <v/>
      </c>
      <c r="P378" s="127"/>
      <c r="Q378" s="127"/>
      <c r="R378" s="58" t="str" cm="1">
        <f>IFERROR(IF(ISBLANK($A378),"",INDEX(Array_StationaryCharges,MATCH($A378,List_StationaryFuelMeters,0),ROUNDUP((COLUMN()+1)/3-2,0))),"")</f>
        <v/>
      </c>
      <c r="S378" s="127"/>
      <c r="T378" s="127"/>
      <c r="U378" s="58" t="str" cm="1">
        <f>IFERROR(IF(ISBLANK($A378),"",INDEX(Array_StationaryCharges,MATCH($A378,List_StationaryFuelMeters,0),ROUNDUP((COLUMN()+1)/3-2,0))),"")</f>
        <v/>
      </c>
      <c r="V378" s="127"/>
      <c r="W378" s="127"/>
      <c r="X378" s="58" t="str" cm="1">
        <f>IFERROR(IF(ISBLANK($A378),"",INDEX(Array_StationaryCharges,MATCH($A378,List_StationaryFuelMeters,0),ROUNDUP((COLUMN()+1)/3-2,0))),"")</f>
        <v/>
      </c>
      <c r="Y378" s="127"/>
      <c r="Z378" s="127"/>
      <c r="AA378" s="58" t="str" cm="1">
        <f>IFERROR(IF(ISBLANK($A378),"",INDEX(Array_StationaryCharges,MATCH($A378,List_StationaryFuelMeters,0),ROUNDUP((COLUMN()+1)/3-2,0))),"")</f>
        <v/>
      </c>
      <c r="AB378" s="127"/>
      <c r="AC378" s="127"/>
      <c r="AD378" s="58" t="str" cm="1">
        <f>IFERROR(IF(ISBLANK($A378),"",INDEX(Array_StationaryCharges,MATCH($A378,List_StationaryFuelMeters,0),ROUNDUP((COLUMN()+1)/3-2,0))),"")</f>
        <v/>
      </c>
      <c r="AE378" s="127"/>
      <c r="AF378" s="127"/>
      <c r="AG378" s="58" t="str" cm="1">
        <f>IFERROR(IF(ISBLANK($A378),"",INDEX(Array_StationaryCharges,MATCH($A378,List_StationaryFuelMeters,0),ROUNDUP((COLUMN()+1)/3-2,0))),"")</f>
        <v/>
      </c>
      <c r="AH378" s="127"/>
      <c r="AI378" s="127"/>
      <c r="AJ378" s="58" t="str" cm="1">
        <f>IFERROR(IF(ISBLANK($A378),"",INDEX(Array_StationaryCharges,MATCH($A378,List_StationaryFuelMeters,0),ROUNDUP((COLUMN()+1)/3-2,0))),"")</f>
        <v/>
      </c>
      <c r="AK378" s="127"/>
      <c r="AL378" s="127"/>
      <c r="AM378" s="58" t="str" cm="1">
        <f>IFERROR(IF(ISBLANK($A378),"",INDEX(Array_StationaryCharges,MATCH($A378,List_StationaryFuelMeters,0),ROUNDUP((COLUMN()+1)/3-2,0))),"")</f>
        <v/>
      </c>
      <c r="AN378" s="127"/>
      <c r="AO378" s="127"/>
      <c r="AP378" s="58" t="str" cm="1">
        <f>IFERROR(IF(ISBLANK($A378),"",INDEX(Array_StationaryCharges,MATCH($A378,List_StationaryFuelMeters,0),ROUNDUP((COLUMN()+1)/3-2,0))),"")</f>
        <v/>
      </c>
      <c r="AQ378" s="127"/>
      <c r="AR378" s="127"/>
      <c r="AS378" s="58" t="str" cm="1">
        <f>IFERROR(IF(ISBLANK($A378),"",INDEX(Array_StationaryCharges,MATCH($A378,List_StationaryFuelMeters,0),ROUNDUP((COLUMN()+1)/3-2,0))),"")</f>
        <v/>
      </c>
      <c r="AT378" s="127"/>
      <c r="AU378" s="127"/>
      <c r="AV378" s="58" t="str" cm="1">
        <f>IFERROR(IF(ISBLANK($A378),"",INDEX(Array_StationaryCharges,MATCH($A378,List_StationaryFuelMeters,0),ROUNDUP((COLUMN()+1)/3-2,0))),"")</f>
        <v/>
      </c>
      <c r="AW378" s="127"/>
      <c r="AX378" s="127"/>
    </row>
    <row r="379" spans="1:50" x14ac:dyDescent="0.3">
      <c r="A379" s="126"/>
      <c r="B379" s="133"/>
      <c r="C379" s="127"/>
      <c r="D379" s="138"/>
      <c r="E379" s="138"/>
      <c r="F379" s="58" t="str" cm="1">
        <f>IFERROR(IF(ISBLANK($A379),"",INDEX(Array_StationaryCharges,MATCH($A379,List_StationaryFuelMeters,0),ROUNDUP((COLUMN()+1)/3-2,0))),"")</f>
        <v/>
      </c>
      <c r="G379" s="127"/>
      <c r="H379" s="127"/>
      <c r="I379" s="58" t="str" cm="1">
        <f>IFERROR(IF(ISBLANK($A379),"",INDEX(Array_StationaryCharges,MATCH($A379,List_StationaryFuelMeters,0),ROUNDUP((COLUMN()+1)/3-2,0))),"")</f>
        <v/>
      </c>
      <c r="J379" s="127"/>
      <c r="K379" s="127"/>
      <c r="L379" s="58" t="str" cm="1">
        <f>IFERROR(IF(ISBLANK($A379),"",INDEX(Array_StationaryCharges,MATCH($A379,List_StationaryFuelMeters,0),ROUNDUP((COLUMN()+1)/3-2,0))),"")</f>
        <v/>
      </c>
      <c r="M379" s="127"/>
      <c r="N379" s="127"/>
      <c r="O379" s="58" t="str" cm="1">
        <f>IFERROR(IF(ISBLANK($A379),"",INDEX(Array_StationaryCharges,MATCH($A379,List_StationaryFuelMeters,0),ROUNDUP((COLUMN()+1)/3-2,0))),"")</f>
        <v/>
      </c>
      <c r="P379" s="127"/>
      <c r="Q379" s="127"/>
      <c r="R379" s="58" t="str" cm="1">
        <f>IFERROR(IF(ISBLANK($A379),"",INDEX(Array_StationaryCharges,MATCH($A379,List_StationaryFuelMeters,0),ROUNDUP((COLUMN()+1)/3-2,0))),"")</f>
        <v/>
      </c>
      <c r="S379" s="127"/>
      <c r="T379" s="127"/>
      <c r="U379" s="58" t="str" cm="1">
        <f>IFERROR(IF(ISBLANK($A379),"",INDEX(Array_StationaryCharges,MATCH($A379,List_StationaryFuelMeters,0),ROUNDUP((COLUMN()+1)/3-2,0))),"")</f>
        <v/>
      </c>
      <c r="V379" s="127"/>
      <c r="W379" s="127"/>
      <c r="X379" s="58" t="str" cm="1">
        <f>IFERROR(IF(ISBLANK($A379),"",INDEX(Array_StationaryCharges,MATCH($A379,List_StationaryFuelMeters,0),ROUNDUP((COLUMN()+1)/3-2,0))),"")</f>
        <v/>
      </c>
      <c r="Y379" s="127"/>
      <c r="Z379" s="127"/>
      <c r="AA379" s="58" t="str" cm="1">
        <f>IFERROR(IF(ISBLANK($A379),"",INDEX(Array_StationaryCharges,MATCH($A379,List_StationaryFuelMeters,0),ROUNDUP((COLUMN()+1)/3-2,0))),"")</f>
        <v/>
      </c>
      <c r="AB379" s="127"/>
      <c r="AC379" s="127"/>
      <c r="AD379" s="58" t="str" cm="1">
        <f>IFERROR(IF(ISBLANK($A379),"",INDEX(Array_StationaryCharges,MATCH($A379,List_StationaryFuelMeters,0),ROUNDUP((COLUMN()+1)/3-2,0))),"")</f>
        <v/>
      </c>
      <c r="AE379" s="127"/>
      <c r="AF379" s="127"/>
      <c r="AG379" s="58" t="str" cm="1">
        <f>IFERROR(IF(ISBLANK($A379),"",INDEX(Array_StationaryCharges,MATCH($A379,List_StationaryFuelMeters,0),ROUNDUP((COLUMN()+1)/3-2,0))),"")</f>
        <v/>
      </c>
      <c r="AH379" s="127"/>
      <c r="AI379" s="127"/>
      <c r="AJ379" s="58" t="str" cm="1">
        <f>IFERROR(IF(ISBLANK($A379),"",INDEX(Array_StationaryCharges,MATCH($A379,List_StationaryFuelMeters,0),ROUNDUP((COLUMN()+1)/3-2,0))),"")</f>
        <v/>
      </c>
      <c r="AK379" s="127"/>
      <c r="AL379" s="127"/>
      <c r="AM379" s="58" t="str" cm="1">
        <f>IFERROR(IF(ISBLANK($A379),"",INDEX(Array_StationaryCharges,MATCH($A379,List_StationaryFuelMeters,0),ROUNDUP((COLUMN()+1)/3-2,0))),"")</f>
        <v/>
      </c>
      <c r="AN379" s="127"/>
      <c r="AO379" s="127"/>
      <c r="AP379" s="58" t="str" cm="1">
        <f>IFERROR(IF(ISBLANK($A379),"",INDEX(Array_StationaryCharges,MATCH($A379,List_StationaryFuelMeters,0),ROUNDUP((COLUMN()+1)/3-2,0))),"")</f>
        <v/>
      </c>
      <c r="AQ379" s="127"/>
      <c r="AR379" s="127"/>
      <c r="AS379" s="58" t="str" cm="1">
        <f>IFERROR(IF(ISBLANK($A379),"",INDEX(Array_StationaryCharges,MATCH($A379,List_StationaryFuelMeters,0),ROUNDUP((COLUMN()+1)/3-2,0))),"")</f>
        <v/>
      </c>
      <c r="AT379" s="127"/>
      <c r="AU379" s="127"/>
      <c r="AV379" s="58" t="str" cm="1">
        <f>IFERROR(IF(ISBLANK($A379),"",INDEX(Array_StationaryCharges,MATCH($A379,List_StationaryFuelMeters,0),ROUNDUP((COLUMN()+1)/3-2,0))),"")</f>
        <v/>
      </c>
      <c r="AW379" s="127"/>
      <c r="AX379" s="127"/>
    </row>
    <row r="380" spans="1:50" x14ac:dyDescent="0.3">
      <c r="A380" s="126"/>
      <c r="B380" s="133"/>
      <c r="C380" s="127"/>
      <c r="D380" s="138"/>
      <c r="E380" s="138"/>
      <c r="F380" s="58" t="str" cm="1">
        <f>IFERROR(IF(ISBLANK($A380),"",INDEX(Array_StationaryCharges,MATCH($A380,List_StationaryFuelMeters,0),ROUNDUP((COLUMN()+1)/3-2,0))),"")</f>
        <v/>
      </c>
      <c r="G380" s="127"/>
      <c r="H380" s="127"/>
      <c r="I380" s="58" t="str" cm="1">
        <f>IFERROR(IF(ISBLANK($A380),"",INDEX(Array_StationaryCharges,MATCH($A380,List_StationaryFuelMeters,0),ROUNDUP((COLUMN()+1)/3-2,0))),"")</f>
        <v/>
      </c>
      <c r="J380" s="127"/>
      <c r="K380" s="127"/>
      <c r="L380" s="58" t="str" cm="1">
        <f>IFERROR(IF(ISBLANK($A380),"",INDEX(Array_StationaryCharges,MATCH($A380,List_StationaryFuelMeters,0),ROUNDUP((COLUMN()+1)/3-2,0))),"")</f>
        <v/>
      </c>
      <c r="M380" s="127"/>
      <c r="N380" s="127"/>
      <c r="O380" s="58" t="str" cm="1">
        <f>IFERROR(IF(ISBLANK($A380),"",INDEX(Array_StationaryCharges,MATCH($A380,List_StationaryFuelMeters,0),ROUNDUP((COLUMN()+1)/3-2,0))),"")</f>
        <v/>
      </c>
      <c r="P380" s="127"/>
      <c r="Q380" s="127"/>
      <c r="R380" s="58" t="str" cm="1">
        <f>IFERROR(IF(ISBLANK($A380),"",INDEX(Array_StationaryCharges,MATCH($A380,List_StationaryFuelMeters,0),ROUNDUP((COLUMN()+1)/3-2,0))),"")</f>
        <v/>
      </c>
      <c r="S380" s="127"/>
      <c r="T380" s="127"/>
      <c r="U380" s="58" t="str" cm="1">
        <f>IFERROR(IF(ISBLANK($A380),"",INDEX(Array_StationaryCharges,MATCH($A380,List_StationaryFuelMeters,0),ROUNDUP((COLUMN()+1)/3-2,0))),"")</f>
        <v/>
      </c>
      <c r="V380" s="127"/>
      <c r="W380" s="127"/>
      <c r="X380" s="58" t="str" cm="1">
        <f>IFERROR(IF(ISBLANK($A380),"",INDEX(Array_StationaryCharges,MATCH($A380,List_StationaryFuelMeters,0),ROUNDUP((COLUMN()+1)/3-2,0))),"")</f>
        <v/>
      </c>
      <c r="Y380" s="127"/>
      <c r="Z380" s="127"/>
      <c r="AA380" s="58" t="str" cm="1">
        <f>IFERROR(IF(ISBLANK($A380),"",INDEX(Array_StationaryCharges,MATCH($A380,List_StationaryFuelMeters,0),ROUNDUP((COLUMN()+1)/3-2,0))),"")</f>
        <v/>
      </c>
      <c r="AB380" s="127"/>
      <c r="AC380" s="127"/>
      <c r="AD380" s="58" t="str" cm="1">
        <f>IFERROR(IF(ISBLANK($A380),"",INDEX(Array_StationaryCharges,MATCH($A380,List_StationaryFuelMeters,0),ROUNDUP((COLUMN()+1)/3-2,0))),"")</f>
        <v/>
      </c>
      <c r="AE380" s="127"/>
      <c r="AF380" s="127"/>
      <c r="AG380" s="58" t="str" cm="1">
        <f>IFERROR(IF(ISBLANK($A380),"",INDEX(Array_StationaryCharges,MATCH($A380,List_StationaryFuelMeters,0),ROUNDUP((COLUMN()+1)/3-2,0))),"")</f>
        <v/>
      </c>
      <c r="AH380" s="127"/>
      <c r="AI380" s="127"/>
      <c r="AJ380" s="58" t="str" cm="1">
        <f>IFERROR(IF(ISBLANK($A380),"",INDEX(Array_StationaryCharges,MATCH($A380,List_StationaryFuelMeters,0),ROUNDUP((COLUMN()+1)/3-2,0))),"")</f>
        <v/>
      </c>
      <c r="AK380" s="127"/>
      <c r="AL380" s="127"/>
      <c r="AM380" s="58" t="str" cm="1">
        <f>IFERROR(IF(ISBLANK($A380),"",INDEX(Array_StationaryCharges,MATCH($A380,List_StationaryFuelMeters,0),ROUNDUP((COLUMN()+1)/3-2,0))),"")</f>
        <v/>
      </c>
      <c r="AN380" s="127"/>
      <c r="AO380" s="127"/>
      <c r="AP380" s="58" t="str" cm="1">
        <f>IFERROR(IF(ISBLANK($A380),"",INDEX(Array_StationaryCharges,MATCH($A380,List_StationaryFuelMeters,0),ROUNDUP((COLUMN()+1)/3-2,0))),"")</f>
        <v/>
      </c>
      <c r="AQ380" s="127"/>
      <c r="AR380" s="127"/>
      <c r="AS380" s="58" t="str" cm="1">
        <f>IFERROR(IF(ISBLANK($A380),"",INDEX(Array_StationaryCharges,MATCH($A380,List_StationaryFuelMeters,0),ROUNDUP((COLUMN()+1)/3-2,0))),"")</f>
        <v/>
      </c>
      <c r="AT380" s="127"/>
      <c r="AU380" s="127"/>
      <c r="AV380" s="58" t="str" cm="1">
        <f>IFERROR(IF(ISBLANK($A380),"",INDEX(Array_StationaryCharges,MATCH($A380,List_StationaryFuelMeters,0),ROUNDUP((COLUMN()+1)/3-2,0))),"")</f>
        <v/>
      </c>
      <c r="AW380" s="127"/>
      <c r="AX380" s="127"/>
    </row>
    <row r="381" spans="1:50" x14ac:dyDescent="0.3">
      <c r="A381" s="126"/>
      <c r="B381" s="133"/>
      <c r="C381" s="127"/>
      <c r="D381" s="138"/>
      <c r="E381" s="138"/>
      <c r="F381" s="58" t="str" cm="1">
        <f>IFERROR(IF(ISBLANK($A381),"",INDEX(Array_StationaryCharges,MATCH($A381,List_StationaryFuelMeters,0),ROUNDUP((COLUMN()+1)/3-2,0))),"")</f>
        <v/>
      </c>
      <c r="G381" s="127"/>
      <c r="H381" s="127"/>
      <c r="I381" s="58" t="str" cm="1">
        <f>IFERROR(IF(ISBLANK($A381),"",INDEX(Array_StationaryCharges,MATCH($A381,List_StationaryFuelMeters,0),ROUNDUP((COLUMN()+1)/3-2,0))),"")</f>
        <v/>
      </c>
      <c r="J381" s="127"/>
      <c r="K381" s="127"/>
      <c r="L381" s="58" t="str" cm="1">
        <f>IFERROR(IF(ISBLANK($A381),"",INDEX(Array_StationaryCharges,MATCH($A381,List_StationaryFuelMeters,0),ROUNDUP((COLUMN()+1)/3-2,0))),"")</f>
        <v/>
      </c>
      <c r="M381" s="127"/>
      <c r="N381" s="127"/>
      <c r="O381" s="58" t="str" cm="1">
        <f>IFERROR(IF(ISBLANK($A381),"",INDEX(Array_StationaryCharges,MATCH($A381,List_StationaryFuelMeters,0),ROUNDUP((COLUMN()+1)/3-2,0))),"")</f>
        <v/>
      </c>
      <c r="P381" s="127"/>
      <c r="Q381" s="127"/>
      <c r="R381" s="58" t="str" cm="1">
        <f>IFERROR(IF(ISBLANK($A381),"",INDEX(Array_StationaryCharges,MATCH($A381,List_StationaryFuelMeters,0),ROUNDUP((COLUMN()+1)/3-2,0))),"")</f>
        <v/>
      </c>
      <c r="S381" s="127"/>
      <c r="T381" s="127"/>
      <c r="U381" s="58" t="str" cm="1">
        <f>IFERROR(IF(ISBLANK($A381),"",INDEX(Array_StationaryCharges,MATCH($A381,List_StationaryFuelMeters,0),ROUNDUP((COLUMN()+1)/3-2,0))),"")</f>
        <v/>
      </c>
      <c r="V381" s="127"/>
      <c r="W381" s="127"/>
      <c r="X381" s="58" t="str" cm="1">
        <f>IFERROR(IF(ISBLANK($A381),"",INDEX(Array_StationaryCharges,MATCH($A381,List_StationaryFuelMeters,0),ROUNDUP((COLUMN()+1)/3-2,0))),"")</f>
        <v/>
      </c>
      <c r="Y381" s="127"/>
      <c r="Z381" s="127"/>
      <c r="AA381" s="58" t="str" cm="1">
        <f>IFERROR(IF(ISBLANK($A381),"",INDEX(Array_StationaryCharges,MATCH($A381,List_StationaryFuelMeters,0),ROUNDUP((COLUMN()+1)/3-2,0))),"")</f>
        <v/>
      </c>
      <c r="AB381" s="127"/>
      <c r="AC381" s="127"/>
      <c r="AD381" s="58" t="str" cm="1">
        <f>IFERROR(IF(ISBLANK($A381),"",INDEX(Array_StationaryCharges,MATCH($A381,List_StationaryFuelMeters,0),ROUNDUP((COLUMN()+1)/3-2,0))),"")</f>
        <v/>
      </c>
      <c r="AE381" s="127"/>
      <c r="AF381" s="127"/>
      <c r="AG381" s="58" t="str" cm="1">
        <f>IFERROR(IF(ISBLANK($A381),"",INDEX(Array_StationaryCharges,MATCH($A381,List_StationaryFuelMeters,0),ROUNDUP((COLUMN()+1)/3-2,0))),"")</f>
        <v/>
      </c>
      <c r="AH381" s="127"/>
      <c r="AI381" s="127"/>
      <c r="AJ381" s="58" t="str" cm="1">
        <f>IFERROR(IF(ISBLANK($A381),"",INDEX(Array_StationaryCharges,MATCH($A381,List_StationaryFuelMeters,0),ROUNDUP((COLUMN()+1)/3-2,0))),"")</f>
        <v/>
      </c>
      <c r="AK381" s="127"/>
      <c r="AL381" s="127"/>
      <c r="AM381" s="58" t="str" cm="1">
        <f>IFERROR(IF(ISBLANK($A381),"",INDEX(Array_StationaryCharges,MATCH($A381,List_StationaryFuelMeters,0),ROUNDUP((COLUMN()+1)/3-2,0))),"")</f>
        <v/>
      </c>
      <c r="AN381" s="127"/>
      <c r="AO381" s="127"/>
      <c r="AP381" s="58" t="str" cm="1">
        <f>IFERROR(IF(ISBLANK($A381),"",INDEX(Array_StationaryCharges,MATCH($A381,List_StationaryFuelMeters,0),ROUNDUP((COLUMN()+1)/3-2,0))),"")</f>
        <v/>
      </c>
      <c r="AQ381" s="127"/>
      <c r="AR381" s="127"/>
      <c r="AS381" s="58" t="str" cm="1">
        <f>IFERROR(IF(ISBLANK($A381),"",INDEX(Array_StationaryCharges,MATCH($A381,List_StationaryFuelMeters,0),ROUNDUP((COLUMN()+1)/3-2,0))),"")</f>
        <v/>
      </c>
      <c r="AT381" s="127"/>
      <c r="AU381" s="127"/>
      <c r="AV381" s="58" t="str" cm="1">
        <f>IFERROR(IF(ISBLANK($A381),"",INDEX(Array_StationaryCharges,MATCH($A381,List_StationaryFuelMeters,0),ROUNDUP((COLUMN()+1)/3-2,0))),"")</f>
        <v/>
      </c>
      <c r="AW381" s="127"/>
      <c r="AX381" s="127"/>
    </row>
    <row r="382" spans="1:50" x14ac:dyDescent="0.3">
      <c r="A382" s="126"/>
      <c r="B382" s="133"/>
      <c r="C382" s="127"/>
      <c r="D382" s="138"/>
      <c r="E382" s="138"/>
      <c r="F382" s="58" t="str" cm="1">
        <f>IFERROR(IF(ISBLANK($A382),"",INDEX(Array_StationaryCharges,MATCH($A382,List_StationaryFuelMeters,0),ROUNDUP((COLUMN()+1)/3-2,0))),"")</f>
        <v/>
      </c>
      <c r="G382" s="127"/>
      <c r="H382" s="127"/>
      <c r="I382" s="58" t="str" cm="1">
        <f>IFERROR(IF(ISBLANK($A382),"",INDEX(Array_StationaryCharges,MATCH($A382,List_StationaryFuelMeters,0),ROUNDUP((COLUMN()+1)/3-2,0))),"")</f>
        <v/>
      </c>
      <c r="J382" s="127"/>
      <c r="K382" s="127"/>
      <c r="L382" s="58" t="str" cm="1">
        <f>IFERROR(IF(ISBLANK($A382),"",INDEX(Array_StationaryCharges,MATCH($A382,List_StationaryFuelMeters,0),ROUNDUP((COLUMN()+1)/3-2,0))),"")</f>
        <v/>
      </c>
      <c r="M382" s="127"/>
      <c r="N382" s="127"/>
      <c r="O382" s="58" t="str" cm="1">
        <f>IFERROR(IF(ISBLANK($A382),"",INDEX(Array_StationaryCharges,MATCH($A382,List_StationaryFuelMeters,0),ROUNDUP((COLUMN()+1)/3-2,0))),"")</f>
        <v/>
      </c>
      <c r="P382" s="127"/>
      <c r="Q382" s="127"/>
      <c r="R382" s="58" t="str" cm="1">
        <f>IFERROR(IF(ISBLANK($A382),"",INDEX(Array_StationaryCharges,MATCH($A382,List_StationaryFuelMeters,0),ROUNDUP((COLUMN()+1)/3-2,0))),"")</f>
        <v/>
      </c>
      <c r="S382" s="127"/>
      <c r="T382" s="127"/>
      <c r="U382" s="58" t="str" cm="1">
        <f>IFERROR(IF(ISBLANK($A382),"",INDEX(Array_StationaryCharges,MATCH($A382,List_StationaryFuelMeters,0),ROUNDUP((COLUMN()+1)/3-2,0))),"")</f>
        <v/>
      </c>
      <c r="V382" s="127"/>
      <c r="W382" s="127"/>
      <c r="X382" s="58" t="str" cm="1">
        <f>IFERROR(IF(ISBLANK($A382),"",INDEX(Array_StationaryCharges,MATCH($A382,List_StationaryFuelMeters,0),ROUNDUP((COLUMN()+1)/3-2,0))),"")</f>
        <v/>
      </c>
      <c r="Y382" s="127"/>
      <c r="Z382" s="127"/>
      <c r="AA382" s="58" t="str" cm="1">
        <f>IFERROR(IF(ISBLANK($A382),"",INDEX(Array_StationaryCharges,MATCH($A382,List_StationaryFuelMeters,0),ROUNDUP((COLUMN()+1)/3-2,0))),"")</f>
        <v/>
      </c>
      <c r="AB382" s="127"/>
      <c r="AC382" s="127"/>
      <c r="AD382" s="58" t="str" cm="1">
        <f>IFERROR(IF(ISBLANK($A382),"",INDEX(Array_StationaryCharges,MATCH($A382,List_StationaryFuelMeters,0),ROUNDUP((COLUMN()+1)/3-2,0))),"")</f>
        <v/>
      </c>
      <c r="AE382" s="127"/>
      <c r="AF382" s="127"/>
      <c r="AG382" s="58" t="str" cm="1">
        <f>IFERROR(IF(ISBLANK($A382),"",INDEX(Array_StationaryCharges,MATCH($A382,List_StationaryFuelMeters,0),ROUNDUP((COLUMN()+1)/3-2,0))),"")</f>
        <v/>
      </c>
      <c r="AH382" s="127"/>
      <c r="AI382" s="127"/>
      <c r="AJ382" s="58" t="str" cm="1">
        <f>IFERROR(IF(ISBLANK($A382),"",INDEX(Array_StationaryCharges,MATCH($A382,List_StationaryFuelMeters,0),ROUNDUP((COLUMN()+1)/3-2,0))),"")</f>
        <v/>
      </c>
      <c r="AK382" s="127"/>
      <c r="AL382" s="127"/>
      <c r="AM382" s="58" t="str" cm="1">
        <f>IFERROR(IF(ISBLANK($A382),"",INDEX(Array_StationaryCharges,MATCH($A382,List_StationaryFuelMeters,0),ROUNDUP((COLUMN()+1)/3-2,0))),"")</f>
        <v/>
      </c>
      <c r="AN382" s="127"/>
      <c r="AO382" s="127"/>
      <c r="AP382" s="58" t="str" cm="1">
        <f>IFERROR(IF(ISBLANK($A382),"",INDEX(Array_StationaryCharges,MATCH($A382,List_StationaryFuelMeters,0),ROUNDUP((COLUMN()+1)/3-2,0))),"")</f>
        <v/>
      </c>
      <c r="AQ382" s="127"/>
      <c r="AR382" s="127"/>
      <c r="AS382" s="58" t="str" cm="1">
        <f>IFERROR(IF(ISBLANK($A382),"",INDEX(Array_StationaryCharges,MATCH($A382,List_StationaryFuelMeters,0),ROUNDUP((COLUMN()+1)/3-2,0))),"")</f>
        <v/>
      </c>
      <c r="AT382" s="127"/>
      <c r="AU382" s="127"/>
      <c r="AV382" s="58" t="str" cm="1">
        <f>IFERROR(IF(ISBLANK($A382),"",INDEX(Array_StationaryCharges,MATCH($A382,List_StationaryFuelMeters,0),ROUNDUP((COLUMN()+1)/3-2,0))),"")</f>
        <v/>
      </c>
      <c r="AW382" s="127"/>
      <c r="AX382" s="127"/>
    </row>
    <row r="383" spans="1:50" x14ac:dyDescent="0.3">
      <c r="A383" s="126"/>
      <c r="B383" s="133"/>
      <c r="C383" s="127"/>
      <c r="D383" s="138"/>
      <c r="E383" s="138"/>
      <c r="F383" s="58" t="str" cm="1">
        <f>IFERROR(IF(ISBLANK($A383),"",INDEX(Array_StationaryCharges,MATCH($A383,List_StationaryFuelMeters,0),ROUNDUP((COLUMN()+1)/3-2,0))),"")</f>
        <v/>
      </c>
      <c r="G383" s="127"/>
      <c r="H383" s="127"/>
      <c r="I383" s="58" t="str" cm="1">
        <f>IFERROR(IF(ISBLANK($A383),"",INDEX(Array_StationaryCharges,MATCH($A383,List_StationaryFuelMeters,0),ROUNDUP((COLUMN()+1)/3-2,0))),"")</f>
        <v/>
      </c>
      <c r="J383" s="127"/>
      <c r="K383" s="127"/>
      <c r="L383" s="58" t="str" cm="1">
        <f>IFERROR(IF(ISBLANK($A383),"",INDEX(Array_StationaryCharges,MATCH($A383,List_StationaryFuelMeters,0),ROUNDUP((COLUMN()+1)/3-2,0))),"")</f>
        <v/>
      </c>
      <c r="M383" s="127"/>
      <c r="N383" s="127"/>
      <c r="O383" s="58" t="str" cm="1">
        <f>IFERROR(IF(ISBLANK($A383),"",INDEX(Array_StationaryCharges,MATCH($A383,List_StationaryFuelMeters,0),ROUNDUP((COLUMN()+1)/3-2,0))),"")</f>
        <v/>
      </c>
      <c r="P383" s="127"/>
      <c r="Q383" s="127"/>
      <c r="R383" s="58" t="str" cm="1">
        <f>IFERROR(IF(ISBLANK($A383),"",INDEX(Array_StationaryCharges,MATCH($A383,List_StationaryFuelMeters,0),ROUNDUP((COLUMN()+1)/3-2,0))),"")</f>
        <v/>
      </c>
      <c r="S383" s="127"/>
      <c r="T383" s="127"/>
      <c r="U383" s="58" t="str" cm="1">
        <f>IFERROR(IF(ISBLANK($A383),"",INDEX(Array_StationaryCharges,MATCH($A383,List_StationaryFuelMeters,0),ROUNDUP((COLUMN()+1)/3-2,0))),"")</f>
        <v/>
      </c>
      <c r="V383" s="127"/>
      <c r="W383" s="127"/>
      <c r="X383" s="58" t="str" cm="1">
        <f>IFERROR(IF(ISBLANK($A383),"",INDEX(Array_StationaryCharges,MATCH($A383,List_StationaryFuelMeters,0),ROUNDUP((COLUMN()+1)/3-2,0))),"")</f>
        <v/>
      </c>
      <c r="Y383" s="127"/>
      <c r="Z383" s="127"/>
      <c r="AA383" s="58" t="str" cm="1">
        <f>IFERROR(IF(ISBLANK($A383),"",INDEX(Array_StationaryCharges,MATCH($A383,List_StationaryFuelMeters,0),ROUNDUP((COLUMN()+1)/3-2,0))),"")</f>
        <v/>
      </c>
      <c r="AB383" s="127"/>
      <c r="AC383" s="127"/>
      <c r="AD383" s="58" t="str" cm="1">
        <f>IFERROR(IF(ISBLANK($A383),"",INDEX(Array_StationaryCharges,MATCH($A383,List_StationaryFuelMeters,0),ROUNDUP((COLUMN()+1)/3-2,0))),"")</f>
        <v/>
      </c>
      <c r="AE383" s="127"/>
      <c r="AF383" s="127"/>
      <c r="AG383" s="58" t="str" cm="1">
        <f>IFERROR(IF(ISBLANK($A383),"",INDEX(Array_StationaryCharges,MATCH($A383,List_StationaryFuelMeters,0),ROUNDUP((COLUMN()+1)/3-2,0))),"")</f>
        <v/>
      </c>
      <c r="AH383" s="127"/>
      <c r="AI383" s="127"/>
      <c r="AJ383" s="58" t="str" cm="1">
        <f>IFERROR(IF(ISBLANK($A383),"",INDEX(Array_StationaryCharges,MATCH($A383,List_StationaryFuelMeters,0),ROUNDUP((COLUMN()+1)/3-2,0))),"")</f>
        <v/>
      </c>
      <c r="AK383" s="127"/>
      <c r="AL383" s="127"/>
      <c r="AM383" s="58" t="str" cm="1">
        <f>IFERROR(IF(ISBLANK($A383),"",INDEX(Array_StationaryCharges,MATCH($A383,List_StationaryFuelMeters,0),ROUNDUP((COLUMN()+1)/3-2,0))),"")</f>
        <v/>
      </c>
      <c r="AN383" s="127"/>
      <c r="AO383" s="127"/>
      <c r="AP383" s="58" t="str" cm="1">
        <f>IFERROR(IF(ISBLANK($A383),"",INDEX(Array_StationaryCharges,MATCH($A383,List_StationaryFuelMeters,0),ROUNDUP((COLUMN()+1)/3-2,0))),"")</f>
        <v/>
      </c>
      <c r="AQ383" s="127"/>
      <c r="AR383" s="127"/>
      <c r="AS383" s="58" t="str" cm="1">
        <f>IFERROR(IF(ISBLANK($A383),"",INDEX(Array_StationaryCharges,MATCH($A383,List_StationaryFuelMeters,0),ROUNDUP((COLUMN()+1)/3-2,0))),"")</f>
        <v/>
      </c>
      <c r="AT383" s="127"/>
      <c r="AU383" s="127"/>
      <c r="AV383" s="58" t="str" cm="1">
        <f>IFERROR(IF(ISBLANK($A383),"",INDEX(Array_StationaryCharges,MATCH($A383,List_StationaryFuelMeters,0),ROUNDUP((COLUMN()+1)/3-2,0))),"")</f>
        <v/>
      </c>
      <c r="AW383" s="127"/>
      <c r="AX383" s="127"/>
    </row>
    <row r="384" spans="1:50" x14ac:dyDescent="0.3">
      <c r="A384" s="126"/>
      <c r="B384" s="133"/>
      <c r="C384" s="127"/>
      <c r="D384" s="138"/>
      <c r="E384" s="138"/>
      <c r="F384" s="58" t="str" cm="1">
        <f>IFERROR(IF(ISBLANK($A384),"",INDEX(Array_StationaryCharges,MATCH($A384,List_StationaryFuelMeters,0),ROUNDUP((COLUMN()+1)/3-2,0))),"")</f>
        <v/>
      </c>
      <c r="G384" s="127"/>
      <c r="H384" s="127"/>
      <c r="I384" s="58" t="str" cm="1">
        <f>IFERROR(IF(ISBLANK($A384),"",INDEX(Array_StationaryCharges,MATCH($A384,List_StationaryFuelMeters,0),ROUNDUP((COLUMN()+1)/3-2,0))),"")</f>
        <v/>
      </c>
      <c r="J384" s="127"/>
      <c r="K384" s="127"/>
      <c r="L384" s="58" t="str" cm="1">
        <f>IFERROR(IF(ISBLANK($A384),"",INDEX(Array_StationaryCharges,MATCH($A384,List_StationaryFuelMeters,0),ROUNDUP((COLUMN()+1)/3-2,0))),"")</f>
        <v/>
      </c>
      <c r="M384" s="127"/>
      <c r="N384" s="127"/>
      <c r="O384" s="58" t="str" cm="1">
        <f>IFERROR(IF(ISBLANK($A384),"",INDEX(Array_StationaryCharges,MATCH($A384,List_StationaryFuelMeters,0),ROUNDUP((COLUMN()+1)/3-2,0))),"")</f>
        <v/>
      </c>
      <c r="P384" s="127"/>
      <c r="Q384" s="127"/>
      <c r="R384" s="58" t="str" cm="1">
        <f>IFERROR(IF(ISBLANK($A384),"",INDEX(Array_StationaryCharges,MATCH($A384,List_StationaryFuelMeters,0),ROUNDUP((COLUMN()+1)/3-2,0))),"")</f>
        <v/>
      </c>
      <c r="S384" s="127"/>
      <c r="T384" s="127"/>
      <c r="U384" s="58" t="str" cm="1">
        <f>IFERROR(IF(ISBLANK($A384),"",INDEX(Array_StationaryCharges,MATCH($A384,List_StationaryFuelMeters,0),ROUNDUP((COLUMN()+1)/3-2,0))),"")</f>
        <v/>
      </c>
      <c r="V384" s="127"/>
      <c r="W384" s="127"/>
      <c r="X384" s="58" t="str" cm="1">
        <f>IFERROR(IF(ISBLANK($A384),"",INDEX(Array_StationaryCharges,MATCH($A384,List_StationaryFuelMeters,0),ROUNDUP((COLUMN()+1)/3-2,0))),"")</f>
        <v/>
      </c>
      <c r="Y384" s="127"/>
      <c r="Z384" s="127"/>
      <c r="AA384" s="58" t="str" cm="1">
        <f>IFERROR(IF(ISBLANK($A384),"",INDEX(Array_StationaryCharges,MATCH($A384,List_StationaryFuelMeters,0),ROUNDUP((COLUMN()+1)/3-2,0))),"")</f>
        <v/>
      </c>
      <c r="AB384" s="127"/>
      <c r="AC384" s="127"/>
      <c r="AD384" s="58" t="str" cm="1">
        <f>IFERROR(IF(ISBLANK($A384),"",INDEX(Array_StationaryCharges,MATCH($A384,List_StationaryFuelMeters,0),ROUNDUP((COLUMN()+1)/3-2,0))),"")</f>
        <v/>
      </c>
      <c r="AE384" s="127"/>
      <c r="AF384" s="127"/>
      <c r="AG384" s="58" t="str" cm="1">
        <f>IFERROR(IF(ISBLANK($A384),"",INDEX(Array_StationaryCharges,MATCH($A384,List_StationaryFuelMeters,0),ROUNDUP((COLUMN()+1)/3-2,0))),"")</f>
        <v/>
      </c>
      <c r="AH384" s="127"/>
      <c r="AI384" s="127"/>
      <c r="AJ384" s="58" t="str" cm="1">
        <f>IFERROR(IF(ISBLANK($A384),"",INDEX(Array_StationaryCharges,MATCH($A384,List_StationaryFuelMeters,0),ROUNDUP((COLUMN()+1)/3-2,0))),"")</f>
        <v/>
      </c>
      <c r="AK384" s="127"/>
      <c r="AL384" s="127"/>
      <c r="AM384" s="58" t="str" cm="1">
        <f>IFERROR(IF(ISBLANK($A384),"",INDEX(Array_StationaryCharges,MATCH($A384,List_StationaryFuelMeters,0),ROUNDUP((COLUMN()+1)/3-2,0))),"")</f>
        <v/>
      </c>
      <c r="AN384" s="127"/>
      <c r="AO384" s="127"/>
      <c r="AP384" s="58" t="str" cm="1">
        <f>IFERROR(IF(ISBLANK($A384),"",INDEX(Array_StationaryCharges,MATCH($A384,List_StationaryFuelMeters,0),ROUNDUP((COLUMN()+1)/3-2,0))),"")</f>
        <v/>
      </c>
      <c r="AQ384" s="127"/>
      <c r="AR384" s="127"/>
      <c r="AS384" s="58" t="str" cm="1">
        <f>IFERROR(IF(ISBLANK($A384),"",INDEX(Array_StationaryCharges,MATCH($A384,List_StationaryFuelMeters,0),ROUNDUP((COLUMN()+1)/3-2,0))),"")</f>
        <v/>
      </c>
      <c r="AT384" s="127"/>
      <c r="AU384" s="127"/>
      <c r="AV384" s="58" t="str" cm="1">
        <f>IFERROR(IF(ISBLANK($A384),"",INDEX(Array_StationaryCharges,MATCH($A384,List_StationaryFuelMeters,0),ROUNDUP((COLUMN()+1)/3-2,0))),"")</f>
        <v/>
      </c>
      <c r="AW384" s="127"/>
      <c r="AX384" s="127"/>
    </row>
    <row r="385" spans="1:50" x14ac:dyDescent="0.3">
      <c r="A385" s="126"/>
      <c r="B385" s="133"/>
      <c r="C385" s="127"/>
      <c r="D385" s="138"/>
      <c r="E385" s="138"/>
      <c r="F385" s="58" t="str" cm="1">
        <f>IFERROR(IF(ISBLANK($A385),"",INDEX(Array_StationaryCharges,MATCH($A385,List_StationaryFuelMeters,0),ROUNDUP((COLUMN()+1)/3-2,0))),"")</f>
        <v/>
      </c>
      <c r="G385" s="127"/>
      <c r="H385" s="127"/>
      <c r="I385" s="58" t="str" cm="1">
        <f>IFERROR(IF(ISBLANK($A385),"",INDEX(Array_StationaryCharges,MATCH($A385,List_StationaryFuelMeters,0),ROUNDUP((COLUMN()+1)/3-2,0))),"")</f>
        <v/>
      </c>
      <c r="J385" s="127"/>
      <c r="K385" s="127"/>
      <c r="L385" s="58" t="str" cm="1">
        <f>IFERROR(IF(ISBLANK($A385),"",INDEX(Array_StationaryCharges,MATCH($A385,List_StationaryFuelMeters,0),ROUNDUP((COLUMN()+1)/3-2,0))),"")</f>
        <v/>
      </c>
      <c r="M385" s="127"/>
      <c r="N385" s="127"/>
      <c r="O385" s="58" t="str" cm="1">
        <f>IFERROR(IF(ISBLANK($A385),"",INDEX(Array_StationaryCharges,MATCH($A385,List_StationaryFuelMeters,0),ROUNDUP((COLUMN()+1)/3-2,0))),"")</f>
        <v/>
      </c>
      <c r="P385" s="127"/>
      <c r="Q385" s="127"/>
      <c r="R385" s="58" t="str" cm="1">
        <f>IFERROR(IF(ISBLANK($A385),"",INDEX(Array_StationaryCharges,MATCH($A385,List_StationaryFuelMeters,0),ROUNDUP((COLUMN()+1)/3-2,0))),"")</f>
        <v/>
      </c>
      <c r="S385" s="127"/>
      <c r="T385" s="127"/>
      <c r="U385" s="58" t="str" cm="1">
        <f>IFERROR(IF(ISBLANK($A385),"",INDEX(Array_StationaryCharges,MATCH($A385,List_StationaryFuelMeters,0),ROUNDUP((COLUMN()+1)/3-2,0))),"")</f>
        <v/>
      </c>
      <c r="V385" s="127"/>
      <c r="W385" s="127"/>
      <c r="X385" s="58" t="str" cm="1">
        <f>IFERROR(IF(ISBLANK($A385),"",INDEX(Array_StationaryCharges,MATCH($A385,List_StationaryFuelMeters,0),ROUNDUP((COLUMN()+1)/3-2,0))),"")</f>
        <v/>
      </c>
      <c r="Y385" s="127"/>
      <c r="Z385" s="127"/>
      <c r="AA385" s="58" t="str" cm="1">
        <f>IFERROR(IF(ISBLANK($A385),"",INDEX(Array_StationaryCharges,MATCH($A385,List_StationaryFuelMeters,0),ROUNDUP((COLUMN()+1)/3-2,0))),"")</f>
        <v/>
      </c>
      <c r="AB385" s="127"/>
      <c r="AC385" s="127"/>
      <c r="AD385" s="58" t="str" cm="1">
        <f>IFERROR(IF(ISBLANK($A385),"",INDEX(Array_StationaryCharges,MATCH($A385,List_StationaryFuelMeters,0),ROUNDUP((COLUMN()+1)/3-2,0))),"")</f>
        <v/>
      </c>
      <c r="AE385" s="127"/>
      <c r="AF385" s="127"/>
      <c r="AG385" s="58" t="str" cm="1">
        <f>IFERROR(IF(ISBLANK($A385),"",INDEX(Array_StationaryCharges,MATCH($A385,List_StationaryFuelMeters,0),ROUNDUP((COLUMN()+1)/3-2,0))),"")</f>
        <v/>
      </c>
      <c r="AH385" s="127"/>
      <c r="AI385" s="127"/>
      <c r="AJ385" s="58" t="str" cm="1">
        <f>IFERROR(IF(ISBLANK($A385),"",INDEX(Array_StationaryCharges,MATCH($A385,List_StationaryFuelMeters,0),ROUNDUP((COLUMN()+1)/3-2,0))),"")</f>
        <v/>
      </c>
      <c r="AK385" s="127"/>
      <c r="AL385" s="127"/>
      <c r="AM385" s="58" t="str" cm="1">
        <f>IFERROR(IF(ISBLANK($A385),"",INDEX(Array_StationaryCharges,MATCH($A385,List_StationaryFuelMeters,0),ROUNDUP((COLUMN()+1)/3-2,0))),"")</f>
        <v/>
      </c>
      <c r="AN385" s="127"/>
      <c r="AO385" s="127"/>
      <c r="AP385" s="58" t="str" cm="1">
        <f>IFERROR(IF(ISBLANK($A385),"",INDEX(Array_StationaryCharges,MATCH($A385,List_StationaryFuelMeters,0),ROUNDUP((COLUMN()+1)/3-2,0))),"")</f>
        <v/>
      </c>
      <c r="AQ385" s="127"/>
      <c r="AR385" s="127"/>
      <c r="AS385" s="58" t="str" cm="1">
        <f>IFERROR(IF(ISBLANK($A385),"",INDEX(Array_StationaryCharges,MATCH($A385,List_StationaryFuelMeters,0),ROUNDUP((COLUMN()+1)/3-2,0))),"")</f>
        <v/>
      </c>
      <c r="AT385" s="127"/>
      <c r="AU385" s="127"/>
      <c r="AV385" s="58" t="str" cm="1">
        <f>IFERROR(IF(ISBLANK($A385),"",INDEX(Array_StationaryCharges,MATCH($A385,List_StationaryFuelMeters,0),ROUNDUP((COLUMN()+1)/3-2,0))),"")</f>
        <v/>
      </c>
      <c r="AW385" s="127"/>
      <c r="AX385" s="127"/>
    </row>
    <row r="386" spans="1:50" x14ac:dyDescent="0.3">
      <c r="A386" s="126"/>
      <c r="B386" s="133"/>
      <c r="C386" s="127"/>
      <c r="D386" s="138"/>
      <c r="E386" s="138"/>
      <c r="F386" s="58" t="str" cm="1">
        <f>IFERROR(IF(ISBLANK($A386),"",INDEX(Array_StationaryCharges,MATCH($A386,List_StationaryFuelMeters,0),ROUNDUP((COLUMN()+1)/3-2,0))),"")</f>
        <v/>
      </c>
      <c r="G386" s="127"/>
      <c r="H386" s="127"/>
      <c r="I386" s="58" t="str" cm="1">
        <f>IFERROR(IF(ISBLANK($A386),"",INDEX(Array_StationaryCharges,MATCH($A386,List_StationaryFuelMeters,0),ROUNDUP((COLUMN()+1)/3-2,0))),"")</f>
        <v/>
      </c>
      <c r="J386" s="127"/>
      <c r="K386" s="127"/>
      <c r="L386" s="58" t="str" cm="1">
        <f>IFERROR(IF(ISBLANK($A386),"",INDEX(Array_StationaryCharges,MATCH($A386,List_StationaryFuelMeters,0),ROUNDUP((COLUMN()+1)/3-2,0))),"")</f>
        <v/>
      </c>
      <c r="M386" s="127"/>
      <c r="N386" s="127"/>
      <c r="O386" s="58" t="str" cm="1">
        <f>IFERROR(IF(ISBLANK($A386),"",INDEX(Array_StationaryCharges,MATCH($A386,List_StationaryFuelMeters,0),ROUNDUP((COLUMN()+1)/3-2,0))),"")</f>
        <v/>
      </c>
      <c r="P386" s="127"/>
      <c r="Q386" s="127"/>
      <c r="R386" s="58" t="str" cm="1">
        <f>IFERROR(IF(ISBLANK($A386),"",INDEX(Array_StationaryCharges,MATCH($A386,List_StationaryFuelMeters,0),ROUNDUP((COLUMN()+1)/3-2,0))),"")</f>
        <v/>
      </c>
      <c r="S386" s="127"/>
      <c r="T386" s="127"/>
      <c r="U386" s="58" t="str" cm="1">
        <f>IFERROR(IF(ISBLANK($A386),"",INDEX(Array_StationaryCharges,MATCH($A386,List_StationaryFuelMeters,0),ROUNDUP((COLUMN()+1)/3-2,0))),"")</f>
        <v/>
      </c>
      <c r="V386" s="127"/>
      <c r="W386" s="127"/>
      <c r="X386" s="58" t="str" cm="1">
        <f>IFERROR(IF(ISBLANK($A386),"",INDEX(Array_StationaryCharges,MATCH($A386,List_StationaryFuelMeters,0),ROUNDUP((COLUMN()+1)/3-2,0))),"")</f>
        <v/>
      </c>
      <c r="Y386" s="127"/>
      <c r="Z386" s="127"/>
      <c r="AA386" s="58" t="str" cm="1">
        <f>IFERROR(IF(ISBLANK($A386),"",INDEX(Array_StationaryCharges,MATCH($A386,List_StationaryFuelMeters,0),ROUNDUP((COLUMN()+1)/3-2,0))),"")</f>
        <v/>
      </c>
      <c r="AB386" s="127"/>
      <c r="AC386" s="127"/>
      <c r="AD386" s="58" t="str" cm="1">
        <f>IFERROR(IF(ISBLANK($A386),"",INDEX(Array_StationaryCharges,MATCH($A386,List_StationaryFuelMeters,0),ROUNDUP((COLUMN()+1)/3-2,0))),"")</f>
        <v/>
      </c>
      <c r="AE386" s="127"/>
      <c r="AF386" s="127"/>
      <c r="AG386" s="58" t="str" cm="1">
        <f>IFERROR(IF(ISBLANK($A386),"",INDEX(Array_StationaryCharges,MATCH($A386,List_StationaryFuelMeters,0),ROUNDUP((COLUMN()+1)/3-2,0))),"")</f>
        <v/>
      </c>
      <c r="AH386" s="127"/>
      <c r="AI386" s="127"/>
      <c r="AJ386" s="58" t="str" cm="1">
        <f>IFERROR(IF(ISBLANK($A386),"",INDEX(Array_StationaryCharges,MATCH($A386,List_StationaryFuelMeters,0),ROUNDUP((COLUMN()+1)/3-2,0))),"")</f>
        <v/>
      </c>
      <c r="AK386" s="127"/>
      <c r="AL386" s="127"/>
      <c r="AM386" s="58" t="str" cm="1">
        <f>IFERROR(IF(ISBLANK($A386),"",INDEX(Array_StationaryCharges,MATCH($A386,List_StationaryFuelMeters,0),ROUNDUP((COLUMN()+1)/3-2,0))),"")</f>
        <v/>
      </c>
      <c r="AN386" s="127"/>
      <c r="AO386" s="127"/>
      <c r="AP386" s="58" t="str" cm="1">
        <f>IFERROR(IF(ISBLANK($A386),"",INDEX(Array_StationaryCharges,MATCH($A386,List_StationaryFuelMeters,0),ROUNDUP((COLUMN()+1)/3-2,0))),"")</f>
        <v/>
      </c>
      <c r="AQ386" s="127"/>
      <c r="AR386" s="127"/>
      <c r="AS386" s="58" t="str" cm="1">
        <f>IFERROR(IF(ISBLANK($A386),"",INDEX(Array_StationaryCharges,MATCH($A386,List_StationaryFuelMeters,0),ROUNDUP((COLUMN()+1)/3-2,0))),"")</f>
        <v/>
      </c>
      <c r="AT386" s="127"/>
      <c r="AU386" s="127"/>
      <c r="AV386" s="58" t="str" cm="1">
        <f>IFERROR(IF(ISBLANK($A386),"",INDEX(Array_StationaryCharges,MATCH($A386,List_StationaryFuelMeters,0),ROUNDUP((COLUMN()+1)/3-2,0))),"")</f>
        <v/>
      </c>
      <c r="AW386" s="127"/>
      <c r="AX386" s="127"/>
    </row>
    <row r="387" spans="1:50" x14ac:dyDescent="0.3">
      <c r="A387" s="126"/>
      <c r="B387" s="133"/>
      <c r="C387" s="127"/>
      <c r="D387" s="138"/>
      <c r="E387" s="138"/>
      <c r="F387" s="58" t="str" cm="1">
        <f>IFERROR(IF(ISBLANK($A387),"",INDEX(Array_StationaryCharges,MATCH($A387,List_StationaryFuelMeters,0),ROUNDUP((COLUMN()+1)/3-2,0))),"")</f>
        <v/>
      </c>
      <c r="G387" s="127"/>
      <c r="H387" s="127"/>
      <c r="I387" s="58" t="str" cm="1">
        <f>IFERROR(IF(ISBLANK($A387),"",INDEX(Array_StationaryCharges,MATCH($A387,List_StationaryFuelMeters,0),ROUNDUP((COLUMN()+1)/3-2,0))),"")</f>
        <v/>
      </c>
      <c r="J387" s="127"/>
      <c r="K387" s="127"/>
      <c r="L387" s="58" t="str" cm="1">
        <f>IFERROR(IF(ISBLANK($A387),"",INDEX(Array_StationaryCharges,MATCH($A387,List_StationaryFuelMeters,0),ROUNDUP((COLUMN()+1)/3-2,0))),"")</f>
        <v/>
      </c>
      <c r="M387" s="127"/>
      <c r="N387" s="127"/>
      <c r="O387" s="58" t="str" cm="1">
        <f>IFERROR(IF(ISBLANK($A387),"",INDEX(Array_StationaryCharges,MATCH($A387,List_StationaryFuelMeters,0),ROUNDUP((COLUMN()+1)/3-2,0))),"")</f>
        <v/>
      </c>
      <c r="P387" s="127"/>
      <c r="Q387" s="127"/>
      <c r="R387" s="58" t="str" cm="1">
        <f>IFERROR(IF(ISBLANK($A387),"",INDEX(Array_StationaryCharges,MATCH($A387,List_StationaryFuelMeters,0),ROUNDUP((COLUMN()+1)/3-2,0))),"")</f>
        <v/>
      </c>
      <c r="S387" s="127"/>
      <c r="T387" s="127"/>
      <c r="U387" s="58" t="str" cm="1">
        <f>IFERROR(IF(ISBLANK($A387),"",INDEX(Array_StationaryCharges,MATCH($A387,List_StationaryFuelMeters,0),ROUNDUP((COLUMN()+1)/3-2,0))),"")</f>
        <v/>
      </c>
      <c r="V387" s="127"/>
      <c r="W387" s="127"/>
      <c r="X387" s="58" t="str" cm="1">
        <f>IFERROR(IF(ISBLANK($A387),"",INDEX(Array_StationaryCharges,MATCH($A387,List_StationaryFuelMeters,0),ROUNDUP((COLUMN()+1)/3-2,0))),"")</f>
        <v/>
      </c>
      <c r="Y387" s="127"/>
      <c r="Z387" s="127"/>
      <c r="AA387" s="58" t="str" cm="1">
        <f>IFERROR(IF(ISBLANK($A387),"",INDEX(Array_StationaryCharges,MATCH($A387,List_StationaryFuelMeters,0),ROUNDUP((COLUMN()+1)/3-2,0))),"")</f>
        <v/>
      </c>
      <c r="AB387" s="127"/>
      <c r="AC387" s="127"/>
      <c r="AD387" s="58" t="str" cm="1">
        <f>IFERROR(IF(ISBLANK($A387),"",INDEX(Array_StationaryCharges,MATCH($A387,List_StationaryFuelMeters,0),ROUNDUP((COLUMN()+1)/3-2,0))),"")</f>
        <v/>
      </c>
      <c r="AE387" s="127"/>
      <c r="AF387" s="127"/>
      <c r="AG387" s="58" t="str" cm="1">
        <f>IFERROR(IF(ISBLANK($A387),"",INDEX(Array_StationaryCharges,MATCH($A387,List_StationaryFuelMeters,0),ROUNDUP((COLUMN()+1)/3-2,0))),"")</f>
        <v/>
      </c>
      <c r="AH387" s="127"/>
      <c r="AI387" s="127"/>
      <c r="AJ387" s="58" t="str" cm="1">
        <f>IFERROR(IF(ISBLANK($A387),"",INDEX(Array_StationaryCharges,MATCH($A387,List_StationaryFuelMeters,0),ROUNDUP((COLUMN()+1)/3-2,0))),"")</f>
        <v/>
      </c>
      <c r="AK387" s="127"/>
      <c r="AL387" s="127"/>
      <c r="AM387" s="58" t="str" cm="1">
        <f>IFERROR(IF(ISBLANK($A387),"",INDEX(Array_StationaryCharges,MATCH($A387,List_StationaryFuelMeters,0),ROUNDUP((COLUMN()+1)/3-2,0))),"")</f>
        <v/>
      </c>
      <c r="AN387" s="127"/>
      <c r="AO387" s="127"/>
      <c r="AP387" s="58" t="str" cm="1">
        <f>IFERROR(IF(ISBLANK($A387),"",INDEX(Array_StationaryCharges,MATCH($A387,List_StationaryFuelMeters,0),ROUNDUP((COLUMN()+1)/3-2,0))),"")</f>
        <v/>
      </c>
      <c r="AQ387" s="127"/>
      <c r="AR387" s="127"/>
      <c r="AS387" s="58" t="str" cm="1">
        <f>IFERROR(IF(ISBLANK($A387),"",INDEX(Array_StationaryCharges,MATCH($A387,List_StationaryFuelMeters,0),ROUNDUP((COLUMN()+1)/3-2,0))),"")</f>
        <v/>
      </c>
      <c r="AT387" s="127"/>
      <c r="AU387" s="127"/>
      <c r="AV387" s="58" t="str" cm="1">
        <f>IFERROR(IF(ISBLANK($A387),"",INDEX(Array_StationaryCharges,MATCH($A387,List_StationaryFuelMeters,0),ROUNDUP((COLUMN()+1)/3-2,0))),"")</f>
        <v/>
      </c>
      <c r="AW387" s="127"/>
      <c r="AX387" s="127"/>
    </row>
    <row r="388" spans="1:50" x14ac:dyDescent="0.3">
      <c r="A388" s="126"/>
      <c r="B388" s="133"/>
      <c r="C388" s="127"/>
      <c r="D388" s="138"/>
      <c r="E388" s="138"/>
      <c r="F388" s="58" t="str" cm="1">
        <f>IFERROR(IF(ISBLANK($A388),"",INDEX(Array_StationaryCharges,MATCH($A388,List_StationaryFuelMeters,0),ROUNDUP((COLUMN()+1)/3-2,0))),"")</f>
        <v/>
      </c>
      <c r="G388" s="127"/>
      <c r="H388" s="127"/>
      <c r="I388" s="58" t="str" cm="1">
        <f>IFERROR(IF(ISBLANK($A388),"",INDEX(Array_StationaryCharges,MATCH($A388,List_StationaryFuelMeters,0),ROUNDUP((COLUMN()+1)/3-2,0))),"")</f>
        <v/>
      </c>
      <c r="J388" s="127"/>
      <c r="K388" s="127"/>
      <c r="L388" s="58" t="str" cm="1">
        <f>IFERROR(IF(ISBLANK($A388),"",INDEX(Array_StationaryCharges,MATCH($A388,List_StationaryFuelMeters,0),ROUNDUP((COLUMN()+1)/3-2,0))),"")</f>
        <v/>
      </c>
      <c r="M388" s="127"/>
      <c r="N388" s="127"/>
      <c r="O388" s="58" t="str" cm="1">
        <f>IFERROR(IF(ISBLANK($A388),"",INDEX(Array_StationaryCharges,MATCH($A388,List_StationaryFuelMeters,0),ROUNDUP((COLUMN()+1)/3-2,0))),"")</f>
        <v/>
      </c>
      <c r="P388" s="127"/>
      <c r="Q388" s="127"/>
      <c r="R388" s="58" t="str" cm="1">
        <f>IFERROR(IF(ISBLANK($A388),"",INDEX(Array_StationaryCharges,MATCH($A388,List_StationaryFuelMeters,0),ROUNDUP((COLUMN()+1)/3-2,0))),"")</f>
        <v/>
      </c>
      <c r="S388" s="127"/>
      <c r="T388" s="127"/>
      <c r="U388" s="58" t="str" cm="1">
        <f>IFERROR(IF(ISBLANK($A388),"",INDEX(Array_StationaryCharges,MATCH($A388,List_StationaryFuelMeters,0),ROUNDUP((COLUMN()+1)/3-2,0))),"")</f>
        <v/>
      </c>
      <c r="V388" s="127"/>
      <c r="W388" s="127"/>
      <c r="X388" s="58" t="str" cm="1">
        <f>IFERROR(IF(ISBLANK($A388),"",INDEX(Array_StationaryCharges,MATCH($A388,List_StationaryFuelMeters,0),ROUNDUP((COLUMN()+1)/3-2,0))),"")</f>
        <v/>
      </c>
      <c r="Y388" s="127"/>
      <c r="Z388" s="127"/>
      <c r="AA388" s="58" t="str" cm="1">
        <f>IFERROR(IF(ISBLANK($A388),"",INDEX(Array_StationaryCharges,MATCH($A388,List_StationaryFuelMeters,0),ROUNDUP((COLUMN()+1)/3-2,0))),"")</f>
        <v/>
      </c>
      <c r="AB388" s="127"/>
      <c r="AC388" s="127"/>
      <c r="AD388" s="58" t="str" cm="1">
        <f>IFERROR(IF(ISBLANK($A388),"",INDEX(Array_StationaryCharges,MATCH($A388,List_StationaryFuelMeters,0),ROUNDUP((COLUMN()+1)/3-2,0))),"")</f>
        <v/>
      </c>
      <c r="AE388" s="127"/>
      <c r="AF388" s="127"/>
      <c r="AG388" s="58" t="str" cm="1">
        <f>IFERROR(IF(ISBLANK($A388),"",INDEX(Array_StationaryCharges,MATCH($A388,List_StationaryFuelMeters,0),ROUNDUP((COLUMN()+1)/3-2,0))),"")</f>
        <v/>
      </c>
      <c r="AH388" s="127"/>
      <c r="AI388" s="127"/>
      <c r="AJ388" s="58" t="str" cm="1">
        <f>IFERROR(IF(ISBLANK($A388),"",INDEX(Array_StationaryCharges,MATCH($A388,List_StationaryFuelMeters,0),ROUNDUP((COLUMN()+1)/3-2,0))),"")</f>
        <v/>
      </c>
      <c r="AK388" s="127"/>
      <c r="AL388" s="127"/>
      <c r="AM388" s="58" t="str" cm="1">
        <f>IFERROR(IF(ISBLANK($A388),"",INDEX(Array_StationaryCharges,MATCH($A388,List_StationaryFuelMeters,0),ROUNDUP((COLUMN()+1)/3-2,0))),"")</f>
        <v/>
      </c>
      <c r="AN388" s="127"/>
      <c r="AO388" s="127"/>
      <c r="AP388" s="58" t="str" cm="1">
        <f>IFERROR(IF(ISBLANK($A388),"",INDEX(Array_StationaryCharges,MATCH($A388,List_StationaryFuelMeters,0),ROUNDUP((COLUMN()+1)/3-2,0))),"")</f>
        <v/>
      </c>
      <c r="AQ388" s="127"/>
      <c r="AR388" s="127"/>
      <c r="AS388" s="58" t="str" cm="1">
        <f>IFERROR(IF(ISBLANK($A388),"",INDEX(Array_StationaryCharges,MATCH($A388,List_StationaryFuelMeters,0),ROUNDUP((COLUMN()+1)/3-2,0))),"")</f>
        <v/>
      </c>
      <c r="AT388" s="127"/>
      <c r="AU388" s="127"/>
      <c r="AV388" s="58" t="str" cm="1">
        <f>IFERROR(IF(ISBLANK($A388),"",INDEX(Array_StationaryCharges,MATCH($A388,List_StationaryFuelMeters,0),ROUNDUP((COLUMN()+1)/3-2,0))),"")</f>
        <v/>
      </c>
      <c r="AW388" s="127"/>
      <c r="AX388" s="127"/>
    </row>
    <row r="389" spans="1:50" x14ac:dyDescent="0.3">
      <c r="A389" s="126"/>
      <c r="B389" s="133"/>
      <c r="C389" s="127"/>
      <c r="D389" s="138"/>
      <c r="E389" s="138"/>
      <c r="F389" s="58" t="str" cm="1">
        <f>IFERROR(IF(ISBLANK($A389),"",INDEX(Array_StationaryCharges,MATCH($A389,List_StationaryFuelMeters,0),ROUNDUP((COLUMN()+1)/3-2,0))),"")</f>
        <v/>
      </c>
      <c r="G389" s="127"/>
      <c r="H389" s="127"/>
      <c r="I389" s="58" t="str" cm="1">
        <f>IFERROR(IF(ISBLANK($A389),"",INDEX(Array_StationaryCharges,MATCH($A389,List_StationaryFuelMeters,0),ROUNDUP((COLUMN()+1)/3-2,0))),"")</f>
        <v/>
      </c>
      <c r="J389" s="127"/>
      <c r="K389" s="127"/>
      <c r="L389" s="58" t="str" cm="1">
        <f>IFERROR(IF(ISBLANK($A389),"",INDEX(Array_StationaryCharges,MATCH($A389,List_StationaryFuelMeters,0),ROUNDUP((COLUMN()+1)/3-2,0))),"")</f>
        <v/>
      </c>
      <c r="M389" s="127"/>
      <c r="N389" s="127"/>
      <c r="O389" s="58" t="str" cm="1">
        <f>IFERROR(IF(ISBLANK($A389),"",INDEX(Array_StationaryCharges,MATCH($A389,List_StationaryFuelMeters,0),ROUNDUP((COLUMN()+1)/3-2,0))),"")</f>
        <v/>
      </c>
      <c r="P389" s="127"/>
      <c r="Q389" s="127"/>
      <c r="R389" s="58" t="str" cm="1">
        <f>IFERROR(IF(ISBLANK($A389),"",INDEX(Array_StationaryCharges,MATCH($A389,List_StationaryFuelMeters,0),ROUNDUP((COLUMN()+1)/3-2,0))),"")</f>
        <v/>
      </c>
      <c r="S389" s="127"/>
      <c r="T389" s="127"/>
      <c r="U389" s="58" t="str" cm="1">
        <f>IFERROR(IF(ISBLANK($A389),"",INDEX(Array_StationaryCharges,MATCH($A389,List_StationaryFuelMeters,0),ROUNDUP((COLUMN()+1)/3-2,0))),"")</f>
        <v/>
      </c>
      <c r="V389" s="127"/>
      <c r="W389" s="127"/>
      <c r="X389" s="58" t="str" cm="1">
        <f>IFERROR(IF(ISBLANK($A389),"",INDEX(Array_StationaryCharges,MATCH($A389,List_StationaryFuelMeters,0),ROUNDUP((COLUMN()+1)/3-2,0))),"")</f>
        <v/>
      </c>
      <c r="Y389" s="127"/>
      <c r="Z389" s="127"/>
      <c r="AA389" s="58" t="str" cm="1">
        <f>IFERROR(IF(ISBLANK($A389),"",INDEX(Array_StationaryCharges,MATCH($A389,List_StationaryFuelMeters,0),ROUNDUP((COLUMN()+1)/3-2,0))),"")</f>
        <v/>
      </c>
      <c r="AB389" s="127"/>
      <c r="AC389" s="127"/>
      <c r="AD389" s="58" t="str" cm="1">
        <f>IFERROR(IF(ISBLANK($A389),"",INDEX(Array_StationaryCharges,MATCH($A389,List_StationaryFuelMeters,0),ROUNDUP((COLUMN()+1)/3-2,0))),"")</f>
        <v/>
      </c>
      <c r="AE389" s="127"/>
      <c r="AF389" s="127"/>
      <c r="AG389" s="58" t="str" cm="1">
        <f>IFERROR(IF(ISBLANK($A389),"",INDEX(Array_StationaryCharges,MATCH($A389,List_StationaryFuelMeters,0),ROUNDUP((COLUMN()+1)/3-2,0))),"")</f>
        <v/>
      </c>
      <c r="AH389" s="127"/>
      <c r="AI389" s="127"/>
      <c r="AJ389" s="58" t="str" cm="1">
        <f>IFERROR(IF(ISBLANK($A389),"",INDEX(Array_StationaryCharges,MATCH($A389,List_StationaryFuelMeters,0),ROUNDUP((COLUMN()+1)/3-2,0))),"")</f>
        <v/>
      </c>
      <c r="AK389" s="127"/>
      <c r="AL389" s="127"/>
      <c r="AM389" s="58" t="str" cm="1">
        <f>IFERROR(IF(ISBLANK($A389),"",INDEX(Array_StationaryCharges,MATCH($A389,List_StationaryFuelMeters,0),ROUNDUP((COLUMN()+1)/3-2,0))),"")</f>
        <v/>
      </c>
      <c r="AN389" s="127"/>
      <c r="AO389" s="127"/>
      <c r="AP389" s="58" t="str" cm="1">
        <f>IFERROR(IF(ISBLANK($A389),"",INDEX(Array_StationaryCharges,MATCH($A389,List_StationaryFuelMeters,0),ROUNDUP((COLUMN()+1)/3-2,0))),"")</f>
        <v/>
      </c>
      <c r="AQ389" s="127"/>
      <c r="AR389" s="127"/>
      <c r="AS389" s="58" t="str" cm="1">
        <f>IFERROR(IF(ISBLANK($A389),"",INDEX(Array_StationaryCharges,MATCH($A389,List_StationaryFuelMeters,0),ROUNDUP((COLUMN()+1)/3-2,0))),"")</f>
        <v/>
      </c>
      <c r="AT389" s="127"/>
      <c r="AU389" s="127"/>
      <c r="AV389" s="58" t="str" cm="1">
        <f>IFERROR(IF(ISBLANK($A389),"",INDEX(Array_StationaryCharges,MATCH($A389,List_StationaryFuelMeters,0),ROUNDUP((COLUMN()+1)/3-2,0))),"")</f>
        <v/>
      </c>
      <c r="AW389" s="127"/>
      <c r="AX389" s="127"/>
    </row>
    <row r="390" spans="1:50" x14ac:dyDescent="0.3">
      <c r="A390" s="126"/>
      <c r="B390" s="133"/>
      <c r="C390" s="127"/>
      <c r="D390" s="138"/>
      <c r="E390" s="138"/>
      <c r="F390" s="58" t="str" cm="1">
        <f>IFERROR(IF(ISBLANK($A390),"",INDEX(Array_StationaryCharges,MATCH($A390,List_StationaryFuelMeters,0),ROUNDUP((COLUMN()+1)/3-2,0))),"")</f>
        <v/>
      </c>
      <c r="G390" s="127"/>
      <c r="H390" s="127"/>
      <c r="I390" s="58" t="str" cm="1">
        <f>IFERROR(IF(ISBLANK($A390),"",INDEX(Array_StationaryCharges,MATCH($A390,List_StationaryFuelMeters,0),ROUNDUP((COLUMN()+1)/3-2,0))),"")</f>
        <v/>
      </c>
      <c r="J390" s="127"/>
      <c r="K390" s="127"/>
      <c r="L390" s="58" t="str" cm="1">
        <f>IFERROR(IF(ISBLANK($A390),"",INDEX(Array_StationaryCharges,MATCH($A390,List_StationaryFuelMeters,0),ROUNDUP((COLUMN()+1)/3-2,0))),"")</f>
        <v/>
      </c>
      <c r="M390" s="127"/>
      <c r="N390" s="127"/>
      <c r="O390" s="58" t="str" cm="1">
        <f>IFERROR(IF(ISBLANK($A390),"",INDEX(Array_StationaryCharges,MATCH($A390,List_StationaryFuelMeters,0),ROUNDUP((COLUMN()+1)/3-2,0))),"")</f>
        <v/>
      </c>
      <c r="P390" s="127"/>
      <c r="Q390" s="127"/>
      <c r="R390" s="58" t="str" cm="1">
        <f>IFERROR(IF(ISBLANK($A390),"",INDEX(Array_StationaryCharges,MATCH($A390,List_StationaryFuelMeters,0),ROUNDUP((COLUMN()+1)/3-2,0))),"")</f>
        <v/>
      </c>
      <c r="S390" s="127"/>
      <c r="T390" s="127"/>
      <c r="U390" s="58" t="str" cm="1">
        <f>IFERROR(IF(ISBLANK($A390),"",INDEX(Array_StationaryCharges,MATCH($A390,List_StationaryFuelMeters,0),ROUNDUP((COLUMN()+1)/3-2,0))),"")</f>
        <v/>
      </c>
      <c r="V390" s="127"/>
      <c r="W390" s="127"/>
      <c r="X390" s="58" t="str" cm="1">
        <f>IFERROR(IF(ISBLANK($A390),"",INDEX(Array_StationaryCharges,MATCH($A390,List_StationaryFuelMeters,0),ROUNDUP((COLUMN()+1)/3-2,0))),"")</f>
        <v/>
      </c>
      <c r="Y390" s="127"/>
      <c r="Z390" s="127"/>
      <c r="AA390" s="58" t="str" cm="1">
        <f>IFERROR(IF(ISBLANK($A390),"",INDEX(Array_StationaryCharges,MATCH($A390,List_StationaryFuelMeters,0),ROUNDUP((COLUMN()+1)/3-2,0))),"")</f>
        <v/>
      </c>
      <c r="AB390" s="127"/>
      <c r="AC390" s="127"/>
      <c r="AD390" s="58" t="str" cm="1">
        <f>IFERROR(IF(ISBLANK($A390),"",INDEX(Array_StationaryCharges,MATCH($A390,List_StationaryFuelMeters,0),ROUNDUP((COLUMN()+1)/3-2,0))),"")</f>
        <v/>
      </c>
      <c r="AE390" s="127"/>
      <c r="AF390" s="127"/>
      <c r="AG390" s="58" t="str" cm="1">
        <f>IFERROR(IF(ISBLANK($A390),"",INDEX(Array_StationaryCharges,MATCH($A390,List_StationaryFuelMeters,0),ROUNDUP((COLUMN()+1)/3-2,0))),"")</f>
        <v/>
      </c>
      <c r="AH390" s="127"/>
      <c r="AI390" s="127"/>
      <c r="AJ390" s="58" t="str" cm="1">
        <f>IFERROR(IF(ISBLANK($A390),"",INDEX(Array_StationaryCharges,MATCH($A390,List_StationaryFuelMeters,0),ROUNDUP((COLUMN()+1)/3-2,0))),"")</f>
        <v/>
      </c>
      <c r="AK390" s="127"/>
      <c r="AL390" s="127"/>
      <c r="AM390" s="58" t="str" cm="1">
        <f>IFERROR(IF(ISBLANK($A390),"",INDEX(Array_StationaryCharges,MATCH($A390,List_StationaryFuelMeters,0),ROUNDUP((COLUMN()+1)/3-2,0))),"")</f>
        <v/>
      </c>
      <c r="AN390" s="127"/>
      <c r="AO390" s="127"/>
      <c r="AP390" s="58" t="str" cm="1">
        <f>IFERROR(IF(ISBLANK($A390),"",INDEX(Array_StationaryCharges,MATCH($A390,List_StationaryFuelMeters,0),ROUNDUP((COLUMN()+1)/3-2,0))),"")</f>
        <v/>
      </c>
      <c r="AQ390" s="127"/>
      <c r="AR390" s="127"/>
      <c r="AS390" s="58" t="str" cm="1">
        <f>IFERROR(IF(ISBLANK($A390),"",INDEX(Array_StationaryCharges,MATCH($A390,List_StationaryFuelMeters,0),ROUNDUP((COLUMN()+1)/3-2,0))),"")</f>
        <v/>
      </c>
      <c r="AT390" s="127"/>
      <c r="AU390" s="127"/>
      <c r="AV390" s="58" t="str" cm="1">
        <f>IFERROR(IF(ISBLANK($A390),"",INDEX(Array_StationaryCharges,MATCH($A390,List_StationaryFuelMeters,0),ROUNDUP((COLUMN()+1)/3-2,0))),"")</f>
        <v/>
      </c>
      <c r="AW390" s="127"/>
      <c r="AX390" s="127"/>
    </row>
    <row r="391" spans="1:50" x14ac:dyDescent="0.3">
      <c r="A391" s="126"/>
      <c r="B391" s="133"/>
      <c r="C391" s="127"/>
      <c r="D391" s="138"/>
      <c r="E391" s="138"/>
      <c r="F391" s="58" t="str" cm="1">
        <f>IFERROR(IF(ISBLANK($A391),"",INDEX(Array_StationaryCharges,MATCH($A391,List_StationaryFuelMeters,0),ROUNDUP((COLUMN()+1)/3-2,0))),"")</f>
        <v/>
      </c>
      <c r="G391" s="127"/>
      <c r="H391" s="127"/>
      <c r="I391" s="58" t="str" cm="1">
        <f>IFERROR(IF(ISBLANK($A391),"",INDEX(Array_StationaryCharges,MATCH($A391,List_StationaryFuelMeters,0),ROUNDUP((COLUMN()+1)/3-2,0))),"")</f>
        <v/>
      </c>
      <c r="J391" s="127"/>
      <c r="K391" s="127"/>
      <c r="L391" s="58" t="str" cm="1">
        <f>IFERROR(IF(ISBLANK($A391),"",INDEX(Array_StationaryCharges,MATCH($A391,List_StationaryFuelMeters,0),ROUNDUP((COLUMN()+1)/3-2,0))),"")</f>
        <v/>
      </c>
      <c r="M391" s="127"/>
      <c r="N391" s="127"/>
      <c r="O391" s="58" t="str" cm="1">
        <f>IFERROR(IF(ISBLANK($A391),"",INDEX(Array_StationaryCharges,MATCH($A391,List_StationaryFuelMeters,0),ROUNDUP((COLUMN()+1)/3-2,0))),"")</f>
        <v/>
      </c>
      <c r="P391" s="127"/>
      <c r="Q391" s="127"/>
      <c r="R391" s="58" t="str" cm="1">
        <f>IFERROR(IF(ISBLANK($A391),"",INDEX(Array_StationaryCharges,MATCH($A391,List_StationaryFuelMeters,0),ROUNDUP((COLUMN()+1)/3-2,0))),"")</f>
        <v/>
      </c>
      <c r="S391" s="127"/>
      <c r="T391" s="127"/>
      <c r="U391" s="58" t="str" cm="1">
        <f>IFERROR(IF(ISBLANK($A391),"",INDEX(Array_StationaryCharges,MATCH($A391,List_StationaryFuelMeters,0),ROUNDUP((COLUMN()+1)/3-2,0))),"")</f>
        <v/>
      </c>
      <c r="V391" s="127"/>
      <c r="W391" s="127"/>
      <c r="X391" s="58" t="str" cm="1">
        <f>IFERROR(IF(ISBLANK($A391),"",INDEX(Array_StationaryCharges,MATCH($A391,List_StationaryFuelMeters,0),ROUNDUP((COLUMN()+1)/3-2,0))),"")</f>
        <v/>
      </c>
      <c r="Y391" s="127"/>
      <c r="Z391" s="127"/>
      <c r="AA391" s="58" t="str" cm="1">
        <f>IFERROR(IF(ISBLANK($A391),"",INDEX(Array_StationaryCharges,MATCH($A391,List_StationaryFuelMeters,0),ROUNDUP((COLUMN()+1)/3-2,0))),"")</f>
        <v/>
      </c>
      <c r="AB391" s="127"/>
      <c r="AC391" s="127"/>
      <c r="AD391" s="58" t="str" cm="1">
        <f>IFERROR(IF(ISBLANK($A391),"",INDEX(Array_StationaryCharges,MATCH($A391,List_StationaryFuelMeters,0),ROUNDUP((COLUMN()+1)/3-2,0))),"")</f>
        <v/>
      </c>
      <c r="AE391" s="127"/>
      <c r="AF391" s="127"/>
      <c r="AG391" s="58" t="str" cm="1">
        <f>IFERROR(IF(ISBLANK($A391),"",INDEX(Array_StationaryCharges,MATCH($A391,List_StationaryFuelMeters,0),ROUNDUP((COLUMN()+1)/3-2,0))),"")</f>
        <v/>
      </c>
      <c r="AH391" s="127"/>
      <c r="AI391" s="127"/>
      <c r="AJ391" s="58" t="str" cm="1">
        <f>IFERROR(IF(ISBLANK($A391),"",INDEX(Array_StationaryCharges,MATCH($A391,List_StationaryFuelMeters,0),ROUNDUP((COLUMN()+1)/3-2,0))),"")</f>
        <v/>
      </c>
      <c r="AK391" s="127"/>
      <c r="AL391" s="127"/>
      <c r="AM391" s="58" t="str" cm="1">
        <f>IFERROR(IF(ISBLANK($A391),"",INDEX(Array_StationaryCharges,MATCH($A391,List_StationaryFuelMeters,0),ROUNDUP((COLUMN()+1)/3-2,0))),"")</f>
        <v/>
      </c>
      <c r="AN391" s="127"/>
      <c r="AO391" s="127"/>
      <c r="AP391" s="58" t="str" cm="1">
        <f>IFERROR(IF(ISBLANK($A391),"",INDEX(Array_StationaryCharges,MATCH($A391,List_StationaryFuelMeters,0),ROUNDUP((COLUMN()+1)/3-2,0))),"")</f>
        <v/>
      </c>
      <c r="AQ391" s="127"/>
      <c r="AR391" s="127"/>
      <c r="AS391" s="58" t="str" cm="1">
        <f>IFERROR(IF(ISBLANK($A391),"",INDEX(Array_StationaryCharges,MATCH($A391,List_StationaryFuelMeters,0),ROUNDUP((COLUMN()+1)/3-2,0))),"")</f>
        <v/>
      </c>
      <c r="AT391" s="127"/>
      <c r="AU391" s="127"/>
      <c r="AV391" s="58" t="str" cm="1">
        <f>IFERROR(IF(ISBLANK($A391),"",INDEX(Array_StationaryCharges,MATCH($A391,List_StationaryFuelMeters,0),ROUNDUP((COLUMN()+1)/3-2,0))),"")</f>
        <v/>
      </c>
      <c r="AW391" s="127"/>
      <c r="AX391" s="127"/>
    </row>
    <row r="392" spans="1:50" x14ac:dyDescent="0.3">
      <c r="A392" s="126"/>
      <c r="B392" s="133"/>
      <c r="C392" s="127"/>
      <c r="D392" s="138"/>
      <c r="E392" s="138"/>
      <c r="F392" s="58" t="str" cm="1">
        <f>IFERROR(IF(ISBLANK($A392),"",INDEX(Array_StationaryCharges,MATCH($A392,List_StationaryFuelMeters,0),ROUNDUP((COLUMN()+1)/3-2,0))),"")</f>
        <v/>
      </c>
      <c r="G392" s="127"/>
      <c r="H392" s="127"/>
      <c r="I392" s="58" t="str" cm="1">
        <f>IFERROR(IF(ISBLANK($A392),"",INDEX(Array_StationaryCharges,MATCH($A392,List_StationaryFuelMeters,0),ROUNDUP((COLUMN()+1)/3-2,0))),"")</f>
        <v/>
      </c>
      <c r="J392" s="127"/>
      <c r="K392" s="127"/>
      <c r="L392" s="58" t="str" cm="1">
        <f>IFERROR(IF(ISBLANK($A392),"",INDEX(Array_StationaryCharges,MATCH($A392,List_StationaryFuelMeters,0),ROUNDUP((COLUMN()+1)/3-2,0))),"")</f>
        <v/>
      </c>
      <c r="M392" s="127"/>
      <c r="N392" s="127"/>
      <c r="O392" s="58" t="str" cm="1">
        <f>IFERROR(IF(ISBLANK($A392),"",INDEX(Array_StationaryCharges,MATCH($A392,List_StationaryFuelMeters,0),ROUNDUP((COLUMN()+1)/3-2,0))),"")</f>
        <v/>
      </c>
      <c r="P392" s="127"/>
      <c r="Q392" s="127"/>
      <c r="R392" s="58" t="str" cm="1">
        <f>IFERROR(IF(ISBLANK($A392),"",INDEX(Array_StationaryCharges,MATCH($A392,List_StationaryFuelMeters,0),ROUNDUP((COLUMN()+1)/3-2,0))),"")</f>
        <v/>
      </c>
      <c r="S392" s="127"/>
      <c r="T392" s="127"/>
      <c r="U392" s="58" t="str" cm="1">
        <f>IFERROR(IF(ISBLANK($A392),"",INDEX(Array_StationaryCharges,MATCH($A392,List_StationaryFuelMeters,0),ROUNDUP((COLUMN()+1)/3-2,0))),"")</f>
        <v/>
      </c>
      <c r="V392" s="127"/>
      <c r="W392" s="127"/>
      <c r="X392" s="58" t="str" cm="1">
        <f>IFERROR(IF(ISBLANK($A392),"",INDEX(Array_StationaryCharges,MATCH($A392,List_StationaryFuelMeters,0),ROUNDUP((COLUMN()+1)/3-2,0))),"")</f>
        <v/>
      </c>
      <c r="Y392" s="127"/>
      <c r="Z392" s="127"/>
      <c r="AA392" s="58" t="str" cm="1">
        <f>IFERROR(IF(ISBLANK($A392),"",INDEX(Array_StationaryCharges,MATCH($A392,List_StationaryFuelMeters,0),ROUNDUP((COLUMN()+1)/3-2,0))),"")</f>
        <v/>
      </c>
      <c r="AB392" s="127"/>
      <c r="AC392" s="127"/>
      <c r="AD392" s="58" t="str" cm="1">
        <f>IFERROR(IF(ISBLANK($A392),"",INDEX(Array_StationaryCharges,MATCH($A392,List_StationaryFuelMeters,0),ROUNDUP((COLUMN()+1)/3-2,0))),"")</f>
        <v/>
      </c>
      <c r="AE392" s="127"/>
      <c r="AF392" s="127"/>
      <c r="AG392" s="58" t="str" cm="1">
        <f>IFERROR(IF(ISBLANK($A392),"",INDEX(Array_StationaryCharges,MATCH($A392,List_StationaryFuelMeters,0),ROUNDUP((COLUMN()+1)/3-2,0))),"")</f>
        <v/>
      </c>
      <c r="AH392" s="127"/>
      <c r="AI392" s="127"/>
      <c r="AJ392" s="58" t="str" cm="1">
        <f>IFERROR(IF(ISBLANK($A392),"",INDEX(Array_StationaryCharges,MATCH($A392,List_StationaryFuelMeters,0),ROUNDUP((COLUMN()+1)/3-2,0))),"")</f>
        <v/>
      </c>
      <c r="AK392" s="127"/>
      <c r="AL392" s="127"/>
      <c r="AM392" s="58" t="str" cm="1">
        <f>IFERROR(IF(ISBLANK($A392),"",INDEX(Array_StationaryCharges,MATCH($A392,List_StationaryFuelMeters,0),ROUNDUP((COLUMN()+1)/3-2,0))),"")</f>
        <v/>
      </c>
      <c r="AN392" s="127"/>
      <c r="AO392" s="127"/>
      <c r="AP392" s="58" t="str" cm="1">
        <f>IFERROR(IF(ISBLANK($A392),"",INDEX(Array_StationaryCharges,MATCH($A392,List_StationaryFuelMeters,0),ROUNDUP((COLUMN()+1)/3-2,0))),"")</f>
        <v/>
      </c>
      <c r="AQ392" s="127"/>
      <c r="AR392" s="127"/>
      <c r="AS392" s="58" t="str" cm="1">
        <f>IFERROR(IF(ISBLANK($A392),"",INDEX(Array_StationaryCharges,MATCH($A392,List_StationaryFuelMeters,0),ROUNDUP((COLUMN()+1)/3-2,0))),"")</f>
        <v/>
      </c>
      <c r="AT392" s="127"/>
      <c r="AU392" s="127"/>
      <c r="AV392" s="58" t="str" cm="1">
        <f>IFERROR(IF(ISBLANK($A392),"",INDEX(Array_StationaryCharges,MATCH($A392,List_StationaryFuelMeters,0),ROUNDUP((COLUMN()+1)/3-2,0))),"")</f>
        <v/>
      </c>
      <c r="AW392" s="127"/>
      <c r="AX392" s="127"/>
    </row>
    <row r="393" spans="1:50" x14ac:dyDescent="0.3">
      <c r="A393" s="126"/>
      <c r="B393" s="133"/>
      <c r="C393" s="127"/>
      <c r="D393" s="138"/>
      <c r="E393" s="138"/>
      <c r="F393" s="58" t="str" cm="1">
        <f>IFERROR(IF(ISBLANK($A393),"",INDEX(Array_StationaryCharges,MATCH($A393,List_StationaryFuelMeters,0),ROUNDUP((COLUMN()+1)/3-2,0))),"")</f>
        <v/>
      </c>
      <c r="G393" s="127"/>
      <c r="H393" s="127"/>
      <c r="I393" s="58" t="str" cm="1">
        <f>IFERROR(IF(ISBLANK($A393),"",INDEX(Array_StationaryCharges,MATCH($A393,List_StationaryFuelMeters,0),ROUNDUP((COLUMN()+1)/3-2,0))),"")</f>
        <v/>
      </c>
      <c r="J393" s="127"/>
      <c r="K393" s="127"/>
      <c r="L393" s="58" t="str" cm="1">
        <f>IFERROR(IF(ISBLANK($A393),"",INDEX(Array_StationaryCharges,MATCH($A393,List_StationaryFuelMeters,0),ROUNDUP((COLUMN()+1)/3-2,0))),"")</f>
        <v/>
      </c>
      <c r="M393" s="127"/>
      <c r="N393" s="127"/>
      <c r="O393" s="58" t="str" cm="1">
        <f>IFERROR(IF(ISBLANK($A393),"",INDEX(Array_StationaryCharges,MATCH($A393,List_StationaryFuelMeters,0),ROUNDUP((COLUMN()+1)/3-2,0))),"")</f>
        <v/>
      </c>
      <c r="P393" s="127"/>
      <c r="Q393" s="127"/>
      <c r="R393" s="58" t="str" cm="1">
        <f>IFERROR(IF(ISBLANK($A393),"",INDEX(Array_StationaryCharges,MATCH($A393,List_StationaryFuelMeters,0),ROUNDUP((COLUMN()+1)/3-2,0))),"")</f>
        <v/>
      </c>
      <c r="S393" s="127"/>
      <c r="T393" s="127"/>
      <c r="U393" s="58" t="str" cm="1">
        <f>IFERROR(IF(ISBLANK($A393),"",INDEX(Array_StationaryCharges,MATCH($A393,List_StationaryFuelMeters,0),ROUNDUP((COLUMN()+1)/3-2,0))),"")</f>
        <v/>
      </c>
      <c r="V393" s="127"/>
      <c r="W393" s="127"/>
      <c r="X393" s="58" t="str" cm="1">
        <f>IFERROR(IF(ISBLANK($A393),"",INDEX(Array_StationaryCharges,MATCH($A393,List_StationaryFuelMeters,0),ROUNDUP((COLUMN()+1)/3-2,0))),"")</f>
        <v/>
      </c>
      <c r="Y393" s="127"/>
      <c r="Z393" s="127"/>
      <c r="AA393" s="58" t="str" cm="1">
        <f>IFERROR(IF(ISBLANK($A393),"",INDEX(Array_StationaryCharges,MATCH($A393,List_StationaryFuelMeters,0),ROUNDUP((COLUMN()+1)/3-2,0))),"")</f>
        <v/>
      </c>
      <c r="AB393" s="127"/>
      <c r="AC393" s="127"/>
      <c r="AD393" s="58" t="str" cm="1">
        <f>IFERROR(IF(ISBLANK($A393),"",INDEX(Array_StationaryCharges,MATCH($A393,List_StationaryFuelMeters,0),ROUNDUP((COLUMN()+1)/3-2,0))),"")</f>
        <v/>
      </c>
      <c r="AE393" s="127"/>
      <c r="AF393" s="127"/>
      <c r="AG393" s="58" t="str" cm="1">
        <f>IFERROR(IF(ISBLANK($A393),"",INDEX(Array_StationaryCharges,MATCH($A393,List_StationaryFuelMeters,0),ROUNDUP((COLUMN()+1)/3-2,0))),"")</f>
        <v/>
      </c>
      <c r="AH393" s="127"/>
      <c r="AI393" s="127"/>
      <c r="AJ393" s="58" t="str" cm="1">
        <f>IFERROR(IF(ISBLANK($A393),"",INDEX(Array_StationaryCharges,MATCH($A393,List_StationaryFuelMeters,0),ROUNDUP((COLUMN()+1)/3-2,0))),"")</f>
        <v/>
      </c>
      <c r="AK393" s="127"/>
      <c r="AL393" s="127"/>
      <c r="AM393" s="58" t="str" cm="1">
        <f>IFERROR(IF(ISBLANK($A393),"",INDEX(Array_StationaryCharges,MATCH($A393,List_StationaryFuelMeters,0),ROUNDUP((COLUMN()+1)/3-2,0))),"")</f>
        <v/>
      </c>
      <c r="AN393" s="127"/>
      <c r="AO393" s="127"/>
      <c r="AP393" s="58" t="str" cm="1">
        <f>IFERROR(IF(ISBLANK($A393),"",INDEX(Array_StationaryCharges,MATCH($A393,List_StationaryFuelMeters,0),ROUNDUP((COLUMN()+1)/3-2,0))),"")</f>
        <v/>
      </c>
      <c r="AQ393" s="127"/>
      <c r="AR393" s="127"/>
      <c r="AS393" s="58" t="str" cm="1">
        <f>IFERROR(IF(ISBLANK($A393),"",INDEX(Array_StationaryCharges,MATCH($A393,List_StationaryFuelMeters,0),ROUNDUP((COLUMN()+1)/3-2,0))),"")</f>
        <v/>
      </c>
      <c r="AT393" s="127"/>
      <c r="AU393" s="127"/>
      <c r="AV393" s="58" t="str" cm="1">
        <f>IFERROR(IF(ISBLANK($A393),"",INDEX(Array_StationaryCharges,MATCH($A393,List_StationaryFuelMeters,0),ROUNDUP((COLUMN()+1)/3-2,0))),"")</f>
        <v/>
      </c>
      <c r="AW393" s="127"/>
      <c r="AX393" s="127"/>
    </row>
    <row r="394" spans="1:50" x14ac:dyDescent="0.3">
      <c r="A394" s="126"/>
      <c r="B394" s="133"/>
      <c r="C394" s="127"/>
      <c r="D394" s="138"/>
      <c r="E394" s="138"/>
      <c r="F394" s="58" t="str" cm="1">
        <f>IFERROR(IF(ISBLANK($A394),"",INDEX(Array_StationaryCharges,MATCH($A394,List_StationaryFuelMeters,0),ROUNDUP((COLUMN()+1)/3-2,0))),"")</f>
        <v/>
      </c>
      <c r="G394" s="127"/>
      <c r="H394" s="127"/>
      <c r="I394" s="58" t="str" cm="1">
        <f>IFERROR(IF(ISBLANK($A394),"",INDEX(Array_StationaryCharges,MATCH($A394,List_StationaryFuelMeters,0),ROUNDUP((COLUMN()+1)/3-2,0))),"")</f>
        <v/>
      </c>
      <c r="J394" s="127"/>
      <c r="K394" s="127"/>
      <c r="L394" s="58" t="str" cm="1">
        <f>IFERROR(IF(ISBLANK($A394),"",INDEX(Array_StationaryCharges,MATCH($A394,List_StationaryFuelMeters,0),ROUNDUP((COLUMN()+1)/3-2,0))),"")</f>
        <v/>
      </c>
      <c r="M394" s="127"/>
      <c r="N394" s="127"/>
      <c r="O394" s="58" t="str" cm="1">
        <f>IFERROR(IF(ISBLANK($A394),"",INDEX(Array_StationaryCharges,MATCH($A394,List_StationaryFuelMeters,0),ROUNDUP((COLUMN()+1)/3-2,0))),"")</f>
        <v/>
      </c>
      <c r="P394" s="127"/>
      <c r="Q394" s="127"/>
      <c r="R394" s="58" t="str" cm="1">
        <f>IFERROR(IF(ISBLANK($A394),"",INDEX(Array_StationaryCharges,MATCH($A394,List_StationaryFuelMeters,0),ROUNDUP((COLUMN()+1)/3-2,0))),"")</f>
        <v/>
      </c>
      <c r="S394" s="127"/>
      <c r="T394" s="127"/>
      <c r="U394" s="58" t="str" cm="1">
        <f>IFERROR(IF(ISBLANK($A394),"",INDEX(Array_StationaryCharges,MATCH($A394,List_StationaryFuelMeters,0),ROUNDUP((COLUMN()+1)/3-2,0))),"")</f>
        <v/>
      </c>
      <c r="V394" s="127"/>
      <c r="W394" s="127"/>
      <c r="X394" s="58" t="str" cm="1">
        <f>IFERROR(IF(ISBLANK($A394),"",INDEX(Array_StationaryCharges,MATCH($A394,List_StationaryFuelMeters,0),ROUNDUP((COLUMN()+1)/3-2,0))),"")</f>
        <v/>
      </c>
      <c r="Y394" s="127"/>
      <c r="Z394" s="127"/>
      <c r="AA394" s="58" t="str" cm="1">
        <f>IFERROR(IF(ISBLANK($A394),"",INDEX(Array_StationaryCharges,MATCH($A394,List_StationaryFuelMeters,0),ROUNDUP((COLUMN()+1)/3-2,0))),"")</f>
        <v/>
      </c>
      <c r="AB394" s="127"/>
      <c r="AC394" s="127"/>
      <c r="AD394" s="58" t="str" cm="1">
        <f>IFERROR(IF(ISBLANK($A394),"",INDEX(Array_StationaryCharges,MATCH($A394,List_StationaryFuelMeters,0),ROUNDUP((COLUMN()+1)/3-2,0))),"")</f>
        <v/>
      </c>
      <c r="AE394" s="127"/>
      <c r="AF394" s="127"/>
      <c r="AG394" s="58" t="str" cm="1">
        <f>IFERROR(IF(ISBLANK($A394),"",INDEX(Array_StationaryCharges,MATCH($A394,List_StationaryFuelMeters,0),ROUNDUP((COLUMN()+1)/3-2,0))),"")</f>
        <v/>
      </c>
      <c r="AH394" s="127"/>
      <c r="AI394" s="127"/>
      <c r="AJ394" s="58" t="str" cm="1">
        <f>IFERROR(IF(ISBLANK($A394),"",INDEX(Array_StationaryCharges,MATCH($A394,List_StationaryFuelMeters,0),ROUNDUP((COLUMN()+1)/3-2,0))),"")</f>
        <v/>
      </c>
      <c r="AK394" s="127"/>
      <c r="AL394" s="127"/>
      <c r="AM394" s="58" t="str" cm="1">
        <f>IFERROR(IF(ISBLANK($A394),"",INDEX(Array_StationaryCharges,MATCH($A394,List_StationaryFuelMeters,0),ROUNDUP((COLUMN()+1)/3-2,0))),"")</f>
        <v/>
      </c>
      <c r="AN394" s="127"/>
      <c r="AO394" s="127"/>
      <c r="AP394" s="58" t="str" cm="1">
        <f>IFERROR(IF(ISBLANK($A394),"",INDEX(Array_StationaryCharges,MATCH($A394,List_StationaryFuelMeters,0),ROUNDUP((COLUMN()+1)/3-2,0))),"")</f>
        <v/>
      </c>
      <c r="AQ394" s="127"/>
      <c r="AR394" s="127"/>
      <c r="AS394" s="58" t="str" cm="1">
        <f>IFERROR(IF(ISBLANK($A394),"",INDEX(Array_StationaryCharges,MATCH($A394,List_StationaryFuelMeters,0),ROUNDUP((COLUMN()+1)/3-2,0))),"")</f>
        <v/>
      </c>
      <c r="AT394" s="127"/>
      <c r="AU394" s="127"/>
      <c r="AV394" s="58" t="str" cm="1">
        <f>IFERROR(IF(ISBLANK($A394),"",INDEX(Array_StationaryCharges,MATCH($A394,List_StationaryFuelMeters,0),ROUNDUP((COLUMN()+1)/3-2,0))),"")</f>
        <v/>
      </c>
      <c r="AW394" s="127"/>
      <c r="AX394" s="127"/>
    </row>
    <row r="395" spans="1:50" x14ac:dyDescent="0.3">
      <c r="A395" s="126"/>
      <c r="B395" s="133"/>
      <c r="C395" s="127"/>
      <c r="D395" s="138"/>
      <c r="E395" s="138"/>
      <c r="F395" s="58" t="str" cm="1">
        <f>IFERROR(IF(ISBLANK($A395),"",INDEX(Array_StationaryCharges,MATCH($A395,List_StationaryFuelMeters,0),ROUNDUP((COLUMN()+1)/3-2,0))),"")</f>
        <v/>
      </c>
      <c r="G395" s="127"/>
      <c r="H395" s="127"/>
      <c r="I395" s="58" t="str" cm="1">
        <f>IFERROR(IF(ISBLANK($A395),"",INDEX(Array_StationaryCharges,MATCH($A395,List_StationaryFuelMeters,0),ROUNDUP((COLUMN()+1)/3-2,0))),"")</f>
        <v/>
      </c>
      <c r="J395" s="127"/>
      <c r="K395" s="127"/>
      <c r="L395" s="58" t="str" cm="1">
        <f>IFERROR(IF(ISBLANK($A395),"",INDEX(Array_StationaryCharges,MATCH($A395,List_StationaryFuelMeters,0),ROUNDUP((COLUMN()+1)/3-2,0))),"")</f>
        <v/>
      </c>
      <c r="M395" s="127"/>
      <c r="N395" s="127"/>
      <c r="O395" s="58" t="str" cm="1">
        <f>IFERROR(IF(ISBLANK($A395),"",INDEX(Array_StationaryCharges,MATCH($A395,List_StationaryFuelMeters,0),ROUNDUP((COLUMN()+1)/3-2,0))),"")</f>
        <v/>
      </c>
      <c r="P395" s="127"/>
      <c r="Q395" s="127"/>
      <c r="R395" s="58" t="str" cm="1">
        <f>IFERROR(IF(ISBLANK($A395),"",INDEX(Array_StationaryCharges,MATCH($A395,List_StationaryFuelMeters,0),ROUNDUP((COLUMN()+1)/3-2,0))),"")</f>
        <v/>
      </c>
      <c r="S395" s="127"/>
      <c r="T395" s="127"/>
      <c r="U395" s="58" t="str" cm="1">
        <f>IFERROR(IF(ISBLANK($A395),"",INDEX(Array_StationaryCharges,MATCH($A395,List_StationaryFuelMeters,0),ROUNDUP((COLUMN()+1)/3-2,0))),"")</f>
        <v/>
      </c>
      <c r="V395" s="127"/>
      <c r="W395" s="127"/>
      <c r="X395" s="58" t="str" cm="1">
        <f>IFERROR(IF(ISBLANK($A395),"",INDEX(Array_StationaryCharges,MATCH($A395,List_StationaryFuelMeters,0),ROUNDUP((COLUMN()+1)/3-2,0))),"")</f>
        <v/>
      </c>
      <c r="Y395" s="127"/>
      <c r="Z395" s="127"/>
      <c r="AA395" s="58" t="str" cm="1">
        <f>IFERROR(IF(ISBLANK($A395),"",INDEX(Array_StationaryCharges,MATCH($A395,List_StationaryFuelMeters,0),ROUNDUP((COLUMN()+1)/3-2,0))),"")</f>
        <v/>
      </c>
      <c r="AB395" s="127"/>
      <c r="AC395" s="127"/>
      <c r="AD395" s="58" t="str" cm="1">
        <f>IFERROR(IF(ISBLANK($A395),"",INDEX(Array_StationaryCharges,MATCH($A395,List_StationaryFuelMeters,0),ROUNDUP((COLUMN()+1)/3-2,0))),"")</f>
        <v/>
      </c>
      <c r="AE395" s="127"/>
      <c r="AF395" s="127"/>
      <c r="AG395" s="58" t="str" cm="1">
        <f>IFERROR(IF(ISBLANK($A395),"",INDEX(Array_StationaryCharges,MATCH($A395,List_StationaryFuelMeters,0),ROUNDUP((COLUMN()+1)/3-2,0))),"")</f>
        <v/>
      </c>
      <c r="AH395" s="127"/>
      <c r="AI395" s="127"/>
      <c r="AJ395" s="58" t="str" cm="1">
        <f>IFERROR(IF(ISBLANK($A395),"",INDEX(Array_StationaryCharges,MATCH($A395,List_StationaryFuelMeters,0),ROUNDUP((COLUMN()+1)/3-2,0))),"")</f>
        <v/>
      </c>
      <c r="AK395" s="127"/>
      <c r="AL395" s="127"/>
      <c r="AM395" s="58" t="str" cm="1">
        <f>IFERROR(IF(ISBLANK($A395),"",INDEX(Array_StationaryCharges,MATCH($A395,List_StationaryFuelMeters,0),ROUNDUP((COLUMN()+1)/3-2,0))),"")</f>
        <v/>
      </c>
      <c r="AN395" s="127"/>
      <c r="AO395" s="127"/>
      <c r="AP395" s="58" t="str" cm="1">
        <f>IFERROR(IF(ISBLANK($A395),"",INDEX(Array_StationaryCharges,MATCH($A395,List_StationaryFuelMeters,0),ROUNDUP((COLUMN()+1)/3-2,0))),"")</f>
        <v/>
      </c>
      <c r="AQ395" s="127"/>
      <c r="AR395" s="127"/>
      <c r="AS395" s="58" t="str" cm="1">
        <f>IFERROR(IF(ISBLANK($A395),"",INDEX(Array_StationaryCharges,MATCH($A395,List_StationaryFuelMeters,0),ROUNDUP((COLUMN()+1)/3-2,0))),"")</f>
        <v/>
      </c>
      <c r="AT395" s="127"/>
      <c r="AU395" s="127"/>
      <c r="AV395" s="58" t="str" cm="1">
        <f>IFERROR(IF(ISBLANK($A395),"",INDEX(Array_StationaryCharges,MATCH($A395,List_StationaryFuelMeters,0),ROUNDUP((COLUMN()+1)/3-2,0))),"")</f>
        <v/>
      </c>
      <c r="AW395" s="127"/>
      <c r="AX395" s="127"/>
    </row>
    <row r="396" spans="1:50" x14ac:dyDescent="0.3">
      <c r="A396" s="126"/>
      <c r="B396" s="133"/>
      <c r="C396" s="127"/>
      <c r="D396" s="138"/>
      <c r="E396" s="138"/>
      <c r="F396" s="58" t="str" cm="1">
        <f>IFERROR(IF(ISBLANK($A396),"",INDEX(Array_StationaryCharges,MATCH($A396,List_StationaryFuelMeters,0),ROUNDUP((COLUMN()+1)/3-2,0))),"")</f>
        <v/>
      </c>
      <c r="G396" s="127"/>
      <c r="H396" s="127"/>
      <c r="I396" s="58" t="str" cm="1">
        <f>IFERROR(IF(ISBLANK($A396),"",INDEX(Array_StationaryCharges,MATCH($A396,List_StationaryFuelMeters,0),ROUNDUP((COLUMN()+1)/3-2,0))),"")</f>
        <v/>
      </c>
      <c r="J396" s="127"/>
      <c r="K396" s="127"/>
      <c r="L396" s="58" t="str" cm="1">
        <f>IFERROR(IF(ISBLANK($A396),"",INDEX(Array_StationaryCharges,MATCH($A396,List_StationaryFuelMeters,0),ROUNDUP((COLUMN()+1)/3-2,0))),"")</f>
        <v/>
      </c>
      <c r="M396" s="127"/>
      <c r="N396" s="127"/>
      <c r="O396" s="58" t="str" cm="1">
        <f>IFERROR(IF(ISBLANK($A396),"",INDEX(Array_StationaryCharges,MATCH($A396,List_StationaryFuelMeters,0),ROUNDUP((COLUMN()+1)/3-2,0))),"")</f>
        <v/>
      </c>
      <c r="P396" s="127"/>
      <c r="Q396" s="127"/>
      <c r="R396" s="58" t="str" cm="1">
        <f>IFERROR(IF(ISBLANK($A396),"",INDEX(Array_StationaryCharges,MATCH($A396,List_StationaryFuelMeters,0),ROUNDUP((COLUMN()+1)/3-2,0))),"")</f>
        <v/>
      </c>
      <c r="S396" s="127"/>
      <c r="T396" s="127"/>
      <c r="U396" s="58" t="str" cm="1">
        <f>IFERROR(IF(ISBLANK($A396),"",INDEX(Array_StationaryCharges,MATCH($A396,List_StationaryFuelMeters,0),ROUNDUP((COLUMN()+1)/3-2,0))),"")</f>
        <v/>
      </c>
      <c r="V396" s="127"/>
      <c r="W396" s="127"/>
      <c r="X396" s="58" t="str" cm="1">
        <f>IFERROR(IF(ISBLANK($A396),"",INDEX(Array_StationaryCharges,MATCH($A396,List_StationaryFuelMeters,0),ROUNDUP((COLUMN()+1)/3-2,0))),"")</f>
        <v/>
      </c>
      <c r="Y396" s="127"/>
      <c r="Z396" s="127"/>
      <c r="AA396" s="58" t="str" cm="1">
        <f>IFERROR(IF(ISBLANK($A396),"",INDEX(Array_StationaryCharges,MATCH($A396,List_StationaryFuelMeters,0),ROUNDUP((COLUMN()+1)/3-2,0))),"")</f>
        <v/>
      </c>
      <c r="AB396" s="127"/>
      <c r="AC396" s="127"/>
      <c r="AD396" s="58" t="str" cm="1">
        <f>IFERROR(IF(ISBLANK($A396),"",INDEX(Array_StationaryCharges,MATCH($A396,List_StationaryFuelMeters,0),ROUNDUP((COLUMN()+1)/3-2,0))),"")</f>
        <v/>
      </c>
      <c r="AE396" s="127"/>
      <c r="AF396" s="127"/>
      <c r="AG396" s="58" t="str" cm="1">
        <f>IFERROR(IF(ISBLANK($A396),"",INDEX(Array_StationaryCharges,MATCH($A396,List_StationaryFuelMeters,0),ROUNDUP((COLUMN()+1)/3-2,0))),"")</f>
        <v/>
      </c>
      <c r="AH396" s="127"/>
      <c r="AI396" s="127"/>
      <c r="AJ396" s="58" t="str" cm="1">
        <f>IFERROR(IF(ISBLANK($A396),"",INDEX(Array_StationaryCharges,MATCH($A396,List_StationaryFuelMeters,0),ROUNDUP((COLUMN()+1)/3-2,0))),"")</f>
        <v/>
      </c>
      <c r="AK396" s="127"/>
      <c r="AL396" s="127"/>
      <c r="AM396" s="58" t="str" cm="1">
        <f>IFERROR(IF(ISBLANK($A396),"",INDEX(Array_StationaryCharges,MATCH($A396,List_StationaryFuelMeters,0),ROUNDUP((COLUMN()+1)/3-2,0))),"")</f>
        <v/>
      </c>
      <c r="AN396" s="127"/>
      <c r="AO396" s="127"/>
      <c r="AP396" s="58" t="str" cm="1">
        <f>IFERROR(IF(ISBLANK($A396),"",INDEX(Array_StationaryCharges,MATCH($A396,List_StationaryFuelMeters,0),ROUNDUP((COLUMN()+1)/3-2,0))),"")</f>
        <v/>
      </c>
      <c r="AQ396" s="127"/>
      <c r="AR396" s="127"/>
      <c r="AS396" s="58" t="str" cm="1">
        <f>IFERROR(IF(ISBLANK($A396),"",INDEX(Array_StationaryCharges,MATCH($A396,List_StationaryFuelMeters,0),ROUNDUP((COLUMN()+1)/3-2,0))),"")</f>
        <v/>
      </c>
      <c r="AT396" s="127"/>
      <c r="AU396" s="127"/>
      <c r="AV396" s="58" t="str" cm="1">
        <f>IFERROR(IF(ISBLANK($A396),"",INDEX(Array_StationaryCharges,MATCH($A396,List_StationaryFuelMeters,0),ROUNDUP((COLUMN()+1)/3-2,0))),"")</f>
        <v/>
      </c>
      <c r="AW396" s="127"/>
      <c r="AX396" s="127"/>
    </row>
    <row r="397" spans="1:50" x14ac:dyDescent="0.3">
      <c r="A397" s="126"/>
      <c r="B397" s="133"/>
      <c r="C397" s="127"/>
      <c r="D397" s="138"/>
      <c r="E397" s="138"/>
      <c r="F397" s="58" t="str" cm="1">
        <f>IFERROR(IF(ISBLANK($A397),"",INDEX(Array_StationaryCharges,MATCH($A397,List_StationaryFuelMeters,0),ROUNDUP((COLUMN()+1)/3-2,0))),"")</f>
        <v/>
      </c>
      <c r="G397" s="127"/>
      <c r="H397" s="127"/>
      <c r="I397" s="58" t="str" cm="1">
        <f>IFERROR(IF(ISBLANK($A397),"",INDEX(Array_StationaryCharges,MATCH($A397,List_StationaryFuelMeters,0),ROUNDUP((COLUMN()+1)/3-2,0))),"")</f>
        <v/>
      </c>
      <c r="J397" s="127"/>
      <c r="K397" s="127"/>
      <c r="L397" s="58" t="str" cm="1">
        <f>IFERROR(IF(ISBLANK($A397),"",INDEX(Array_StationaryCharges,MATCH($A397,List_StationaryFuelMeters,0),ROUNDUP((COLUMN()+1)/3-2,0))),"")</f>
        <v/>
      </c>
      <c r="M397" s="127"/>
      <c r="N397" s="127"/>
      <c r="O397" s="58" t="str" cm="1">
        <f>IFERROR(IF(ISBLANK($A397),"",INDEX(Array_StationaryCharges,MATCH($A397,List_StationaryFuelMeters,0),ROUNDUP((COLUMN()+1)/3-2,0))),"")</f>
        <v/>
      </c>
      <c r="P397" s="127"/>
      <c r="Q397" s="127"/>
      <c r="R397" s="58" t="str" cm="1">
        <f>IFERROR(IF(ISBLANK($A397),"",INDEX(Array_StationaryCharges,MATCH($A397,List_StationaryFuelMeters,0),ROUNDUP((COLUMN()+1)/3-2,0))),"")</f>
        <v/>
      </c>
      <c r="S397" s="127"/>
      <c r="T397" s="127"/>
      <c r="U397" s="58" t="str" cm="1">
        <f>IFERROR(IF(ISBLANK($A397),"",INDEX(Array_StationaryCharges,MATCH($A397,List_StationaryFuelMeters,0),ROUNDUP((COLUMN()+1)/3-2,0))),"")</f>
        <v/>
      </c>
      <c r="V397" s="127"/>
      <c r="W397" s="127"/>
      <c r="X397" s="58" t="str" cm="1">
        <f>IFERROR(IF(ISBLANK($A397),"",INDEX(Array_StationaryCharges,MATCH($A397,List_StationaryFuelMeters,0),ROUNDUP((COLUMN()+1)/3-2,0))),"")</f>
        <v/>
      </c>
      <c r="Y397" s="127"/>
      <c r="Z397" s="127"/>
      <c r="AA397" s="58" t="str" cm="1">
        <f>IFERROR(IF(ISBLANK($A397),"",INDEX(Array_StationaryCharges,MATCH($A397,List_StationaryFuelMeters,0),ROUNDUP((COLUMN()+1)/3-2,0))),"")</f>
        <v/>
      </c>
      <c r="AB397" s="127"/>
      <c r="AC397" s="127"/>
      <c r="AD397" s="58" t="str" cm="1">
        <f>IFERROR(IF(ISBLANK($A397),"",INDEX(Array_StationaryCharges,MATCH($A397,List_StationaryFuelMeters,0),ROUNDUP((COLUMN()+1)/3-2,0))),"")</f>
        <v/>
      </c>
      <c r="AE397" s="127"/>
      <c r="AF397" s="127"/>
      <c r="AG397" s="58" t="str" cm="1">
        <f>IFERROR(IF(ISBLANK($A397),"",INDEX(Array_StationaryCharges,MATCH($A397,List_StationaryFuelMeters,0),ROUNDUP((COLUMN()+1)/3-2,0))),"")</f>
        <v/>
      </c>
      <c r="AH397" s="127"/>
      <c r="AI397" s="127"/>
      <c r="AJ397" s="58" t="str" cm="1">
        <f>IFERROR(IF(ISBLANK($A397),"",INDEX(Array_StationaryCharges,MATCH($A397,List_StationaryFuelMeters,0),ROUNDUP((COLUMN()+1)/3-2,0))),"")</f>
        <v/>
      </c>
      <c r="AK397" s="127"/>
      <c r="AL397" s="127"/>
      <c r="AM397" s="58" t="str" cm="1">
        <f>IFERROR(IF(ISBLANK($A397),"",INDEX(Array_StationaryCharges,MATCH($A397,List_StationaryFuelMeters,0),ROUNDUP((COLUMN()+1)/3-2,0))),"")</f>
        <v/>
      </c>
      <c r="AN397" s="127"/>
      <c r="AO397" s="127"/>
      <c r="AP397" s="58" t="str" cm="1">
        <f>IFERROR(IF(ISBLANK($A397),"",INDEX(Array_StationaryCharges,MATCH($A397,List_StationaryFuelMeters,0),ROUNDUP((COLUMN()+1)/3-2,0))),"")</f>
        <v/>
      </c>
      <c r="AQ397" s="127"/>
      <c r="AR397" s="127"/>
      <c r="AS397" s="58" t="str" cm="1">
        <f>IFERROR(IF(ISBLANK($A397),"",INDEX(Array_StationaryCharges,MATCH($A397,List_StationaryFuelMeters,0),ROUNDUP((COLUMN()+1)/3-2,0))),"")</f>
        <v/>
      </c>
      <c r="AT397" s="127"/>
      <c r="AU397" s="127"/>
      <c r="AV397" s="58" t="str" cm="1">
        <f>IFERROR(IF(ISBLANK($A397),"",INDEX(Array_StationaryCharges,MATCH($A397,List_StationaryFuelMeters,0),ROUNDUP((COLUMN()+1)/3-2,0))),"")</f>
        <v/>
      </c>
      <c r="AW397" s="127"/>
      <c r="AX397" s="127"/>
    </row>
    <row r="398" spans="1:50" x14ac:dyDescent="0.3">
      <c r="A398" s="126"/>
      <c r="B398" s="133"/>
      <c r="C398" s="127"/>
      <c r="D398" s="138"/>
      <c r="E398" s="138"/>
      <c r="F398" s="58" t="str" cm="1">
        <f>IFERROR(IF(ISBLANK($A398),"",INDEX(Array_StationaryCharges,MATCH($A398,List_StationaryFuelMeters,0),ROUNDUP((COLUMN()+1)/3-2,0))),"")</f>
        <v/>
      </c>
      <c r="G398" s="127"/>
      <c r="H398" s="127"/>
      <c r="I398" s="58" t="str" cm="1">
        <f>IFERROR(IF(ISBLANK($A398),"",INDEX(Array_StationaryCharges,MATCH($A398,List_StationaryFuelMeters,0),ROUNDUP((COLUMN()+1)/3-2,0))),"")</f>
        <v/>
      </c>
      <c r="J398" s="127"/>
      <c r="K398" s="127"/>
      <c r="L398" s="58" t="str" cm="1">
        <f>IFERROR(IF(ISBLANK($A398),"",INDEX(Array_StationaryCharges,MATCH($A398,List_StationaryFuelMeters,0),ROUNDUP((COLUMN()+1)/3-2,0))),"")</f>
        <v/>
      </c>
      <c r="M398" s="127"/>
      <c r="N398" s="127"/>
      <c r="O398" s="58" t="str" cm="1">
        <f>IFERROR(IF(ISBLANK($A398),"",INDEX(Array_StationaryCharges,MATCH($A398,List_StationaryFuelMeters,0),ROUNDUP((COLUMN()+1)/3-2,0))),"")</f>
        <v/>
      </c>
      <c r="P398" s="127"/>
      <c r="Q398" s="127"/>
      <c r="R398" s="58" t="str" cm="1">
        <f>IFERROR(IF(ISBLANK($A398),"",INDEX(Array_StationaryCharges,MATCH($A398,List_StationaryFuelMeters,0),ROUNDUP((COLUMN()+1)/3-2,0))),"")</f>
        <v/>
      </c>
      <c r="S398" s="127"/>
      <c r="T398" s="127"/>
      <c r="U398" s="58" t="str" cm="1">
        <f>IFERROR(IF(ISBLANK($A398),"",INDEX(Array_StationaryCharges,MATCH($A398,List_StationaryFuelMeters,0),ROUNDUP((COLUMN()+1)/3-2,0))),"")</f>
        <v/>
      </c>
      <c r="V398" s="127"/>
      <c r="W398" s="127"/>
      <c r="X398" s="58" t="str" cm="1">
        <f>IFERROR(IF(ISBLANK($A398),"",INDEX(Array_StationaryCharges,MATCH($A398,List_StationaryFuelMeters,0),ROUNDUP((COLUMN()+1)/3-2,0))),"")</f>
        <v/>
      </c>
      <c r="Y398" s="127"/>
      <c r="Z398" s="127"/>
      <c r="AA398" s="58" t="str" cm="1">
        <f>IFERROR(IF(ISBLANK($A398),"",INDEX(Array_StationaryCharges,MATCH($A398,List_StationaryFuelMeters,0),ROUNDUP((COLUMN()+1)/3-2,0))),"")</f>
        <v/>
      </c>
      <c r="AB398" s="127"/>
      <c r="AC398" s="127"/>
      <c r="AD398" s="58" t="str" cm="1">
        <f>IFERROR(IF(ISBLANK($A398),"",INDEX(Array_StationaryCharges,MATCH($A398,List_StationaryFuelMeters,0),ROUNDUP((COLUMN()+1)/3-2,0))),"")</f>
        <v/>
      </c>
      <c r="AE398" s="127"/>
      <c r="AF398" s="127"/>
      <c r="AG398" s="58" t="str" cm="1">
        <f>IFERROR(IF(ISBLANK($A398),"",INDEX(Array_StationaryCharges,MATCH($A398,List_StationaryFuelMeters,0),ROUNDUP((COLUMN()+1)/3-2,0))),"")</f>
        <v/>
      </c>
      <c r="AH398" s="127"/>
      <c r="AI398" s="127"/>
      <c r="AJ398" s="58" t="str" cm="1">
        <f>IFERROR(IF(ISBLANK($A398),"",INDEX(Array_StationaryCharges,MATCH($A398,List_StationaryFuelMeters,0),ROUNDUP((COLUMN()+1)/3-2,0))),"")</f>
        <v/>
      </c>
      <c r="AK398" s="127"/>
      <c r="AL398" s="127"/>
      <c r="AM398" s="58" t="str" cm="1">
        <f>IFERROR(IF(ISBLANK($A398),"",INDEX(Array_StationaryCharges,MATCH($A398,List_StationaryFuelMeters,0),ROUNDUP((COLUMN()+1)/3-2,0))),"")</f>
        <v/>
      </c>
      <c r="AN398" s="127"/>
      <c r="AO398" s="127"/>
      <c r="AP398" s="58" t="str" cm="1">
        <f>IFERROR(IF(ISBLANK($A398),"",INDEX(Array_StationaryCharges,MATCH($A398,List_StationaryFuelMeters,0),ROUNDUP((COLUMN()+1)/3-2,0))),"")</f>
        <v/>
      </c>
      <c r="AQ398" s="127"/>
      <c r="AR398" s="127"/>
      <c r="AS398" s="58" t="str" cm="1">
        <f>IFERROR(IF(ISBLANK($A398),"",INDEX(Array_StationaryCharges,MATCH($A398,List_StationaryFuelMeters,0),ROUNDUP((COLUMN()+1)/3-2,0))),"")</f>
        <v/>
      </c>
      <c r="AT398" s="127"/>
      <c r="AU398" s="127"/>
      <c r="AV398" s="58" t="str" cm="1">
        <f>IFERROR(IF(ISBLANK($A398),"",INDEX(Array_StationaryCharges,MATCH($A398,List_StationaryFuelMeters,0),ROUNDUP((COLUMN()+1)/3-2,0))),"")</f>
        <v/>
      </c>
      <c r="AW398" s="127"/>
      <c r="AX398" s="127"/>
    </row>
    <row r="399" spans="1:50" x14ac:dyDescent="0.3">
      <c r="A399" s="126"/>
      <c r="B399" s="133"/>
      <c r="C399" s="127"/>
      <c r="D399" s="138"/>
      <c r="E399" s="138"/>
      <c r="F399" s="58" t="str" cm="1">
        <f>IFERROR(IF(ISBLANK($A399),"",INDEX(Array_StationaryCharges,MATCH($A399,List_StationaryFuelMeters,0),ROUNDUP((COLUMN()+1)/3-2,0))),"")</f>
        <v/>
      </c>
      <c r="G399" s="127"/>
      <c r="H399" s="127"/>
      <c r="I399" s="58" t="str" cm="1">
        <f>IFERROR(IF(ISBLANK($A399),"",INDEX(Array_StationaryCharges,MATCH($A399,List_StationaryFuelMeters,0),ROUNDUP((COLUMN()+1)/3-2,0))),"")</f>
        <v/>
      </c>
      <c r="J399" s="127"/>
      <c r="K399" s="127"/>
      <c r="L399" s="58" t="str" cm="1">
        <f>IFERROR(IF(ISBLANK($A399),"",INDEX(Array_StationaryCharges,MATCH($A399,List_StationaryFuelMeters,0),ROUNDUP((COLUMN()+1)/3-2,0))),"")</f>
        <v/>
      </c>
      <c r="M399" s="127"/>
      <c r="N399" s="127"/>
      <c r="O399" s="58" t="str" cm="1">
        <f>IFERROR(IF(ISBLANK($A399),"",INDEX(Array_StationaryCharges,MATCH($A399,List_StationaryFuelMeters,0),ROUNDUP((COLUMN()+1)/3-2,0))),"")</f>
        <v/>
      </c>
      <c r="P399" s="127"/>
      <c r="Q399" s="127"/>
      <c r="R399" s="58" t="str" cm="1">
        <f>IFERROR(IF(ISBLANK($A399),"",INDEX(Array_StationaryCharges,MATCH($A399,List_StationaryFuelMeters,0),ROUNDUP((COLUMN()+1)/3-2,0))),"")</f>
        <v/>
      </c>
      <c r="S399" s="127"/>
      <c r="T399" s="127"/>
      <c r="U399" s="58" t="str" cm="1">
        <f>IFERROR(IF(ISBLANK($A399),"",INDEX(Array_StationaryCharges,MATCH($A399,List_StationaryFuelMeters,0),ROUNDUP((COLUMN()+1)/3-2,0))),"")</f>
        <v/>
      </c>
      <c r="V399" s="127"/>
      <c r="W399" s="127"/>
      <c r="X399" s="58" t="str" cm="1">
        <f>IFERROR(IF(ISBLANK($A399),"",INDEX(Array_StationaryCharges,MATCH($A399,List_StationaryFuelMeters,0),ROUNDUP((COLUMN()+1)/3-2,0))),"")</f>
        <v/>
      </c>
      <c r="Y399" s="127"/>
      <c r="Z399" s="127"/>
      <c r="AA399" s="58" t="str" cm="1">
        <f>IFERROR(IF(ISBLANK($A399),"",INDEX(Array_StationaryCharges,MATCH($A399,List_StationaryFuelMeters,0),ROUNDUP((COLUMN()+1)/3-2,0))),"")</f>
        <v/>
      </c>
      <c r="AB399" s="127"/>
      <c r="AC399" s="127"/>
      <c r="AD399" s="58" t="str" cm="1">
        <f>IFERROR(IF(ISBLANK($A399),"",INDEX(Array_StationaryCharges,MATCH($A399,List_StationaryFuelMeters,0),ROUNDUP((COLUMN()+1)/3-2,0))),"")</f>
        <v/>
      </c>
      <c r="AE399" s="127"/>
      <c r="AF399" s="127"/>
      <c r="AG399" s="58" t="str" cm="1">
        <f>IFERROR(IF(ISBLANK($A399),"",INDEX(Array_StationaryCharges,MATCH($A399,List_StationaryFuelMeters,0),ROUNDUP((COLUMN()+1)/3-2,0))),"")</f>
        <v/>
      </c>
      <c r="AH399" s="127"/>
      <c r="AI399" s="127"/>
      <c r="AJ399" s="58" t="str" cm="1">
        <f>IFERROR(IF(ISBLANK($A399),"",INDEX(Array_StationaryCharges,MATCH($A399,List_StationaryFuelMeters,0),ROUNDUP((COLUMN()+1)/3-2,0))),"")</f>
        <v/>
      </c>
      <c r="AK399" s="127"/>
      <c r="AL399" s="127"/>
      <c r="AM399" s="58" t="str" cm="1">
        <f>IFERROR(IF(ISBLANK($A399),"",INDEX(Array_StationaryCharges,MATCH($A399,List_StationaryFuelMeters,0),ROUNDUP((COLUMN()+1)/3-2,0))),"")</f>
        <v/>
      </c>
      <c r="AN399" s="127"/>
      <c r="AO399" s="127"/>
      <c r="AP399" s="58" t="str" cm="1">
        <f>IFERROR(IF(ISBLANK($A399),"",INDEX(Array_StationaryCharges,MATCH($A399,List_StationaryFuelMeters,0),ROUNDUP((COLUMN()+1)/3-2,0))),"")</f>
        <v/>
      </c>
      <c r="AQ399" s="127"/>
      <c r="AR399" s="127"/>
      <c r="AS399" s="58" t="str" cm="1">
        <f>IFERROR(IF(ISBLANK($A399),"",INDEX(Array_StationaryCharges,MATCH($A399,List_StationaryFuelMeters,0),ROUNDUP((COLUMN()+1)/3-2,0))),"")</f>
        <v/>
      </c>
      <c r="AT399" s="127"/>
      <c r="AU399" s="127"/>
      <c r="AV399" s="58" t="str" cm="1">
        <f>IFERROR(IF(ISBLANK($A399),"",INDEX(Array_StationaryCharges,MATCH($A399,List_StationaryFuelMeters,0),ROUNDUP((COLUMN()+1)/3-2,0))),"")</f>
        <v/>
      </c>
      <c r="AW399" s="127"/>
      <c r="AX399" s="127"/>
    </row>
    <row r="400" spans="1:50" x14ac:dyDescent="0.3">
      <c r="A400" s="126"/>
      <c r="B400" s="133"/>
      <c r="C400" s="127"/>
      <c r="D400" s="138"/>
      <c r="E400" s="138"/>
      <c r="F400" s="58" t="str" cm="1">
        <f>IFERROR(IF(ISBLANK($A400),"",INDEX(Array_StationaryCharges,MATCH($A400,List_StationaryFuelMeters,0),ROUNDUP((COLUMN()+1)/3-2,0))),"")</f>
        <v/>
      </c>
      <c r="G400" s="127"/>
      <c r="H400" s="127"/>
      <c r="I400" s="58" t="str" cm="1">
        <f>IFERROR(IF(ISBLANK($A400),"",INDEX(Array_StationaryCharges,MATCH($A400,List_StationaryFuelMeters,0),ROUNDUP((COLUMN()+1)/3-2,0))),"")</f>
        <v/>
      </c>
      <c r="J400" s="127"/>
      <c r="K400" s="127"/>
      <c r="L400" s="58" t="str" cm="1">
        <f>IFERROR(IF(ISBLANK($A400),"",INDEX(Array_StationaryCharges,MATCH($A400,List_StationaryFuelMeters,0),ROUNDUP((COLUMN()+1)/3-2,0))),"")</f>
        <v/>
      </c>
      <c r="M400" s="127"/>
      <c r="N400" s="127"/>
      <c r="O400" s="58" t="str" cm="1">
        <f>IFERROR(IF(ISBLANK($A400),"",INDEX(Array_StationaryCharges,MATCH($A400,List_StationaryFuelMeters,0),ROUNDUP((COLUMN()+1)/3-2,0))),"")</f>
        <v/>
      </c>
      <c r="P400" s="127"/>
      <c r="Q400" s="127"/>
      <c r="R400" s="58" t="str" cm="1">
        <f>IFERROR(IF(ISBLANK($A400),"",INDEX(Array_StationaryCharges,MATCH($A400,List_StationaryFuelMeters,0),ROUNDUP((COLUMN()+1)/3-2,0))),"")</f>
        <v/>
      </c>
      <c r="S400" s="127"/>
      <c r="T400" s="127"/>
      <c r="U400" s="58" t="str" cm="1">
        <f>IFERROR(IF(ISBLANK($A400),"",INDEX(Array_StationaryCharges,MATCH($A400,List_StationaryFuelMeters,0),ROUNDUP((COLUMN()+1)/3-2,0))),"")</f>
        <v/>
      </c>
      <c r="V400" s="127"/>
      <c r="W400" s="127"/>
      <c r="X400" s="58" t="str" cm="1">
        <f>IFERROR(IF(ISBLANK($A400),"",INDEX(Array_StationaryCharges,MATCH($A400,List_StationaryFuelMeters,0),ROUNDUP((COLUMN()+1)/3-2,0))),"")</f>
        <v/>
      </c>
      <c r="Y400" s="127"/>
      <c r="Z400" s="127"/>
      <c r="AA400" s="58" t="str" cm="1">
        <f>IFERROR(IF(ISBLANK($A400),"",INDEX(Array_StationaryCharges,MATCH($A400,List_StationaryFuelMeters,0),ROUNDUP((COLUMN()+1)/3-2,0))),"")</f>
        <v/>
      </c>
      <c r="AB400" s="127"/>
      <c r="AC400" s="127"/>
      <c r="AD400" s="58" t="str" cm="1">
        <f>IFERROR(IF(ISBLANK($A400),"",INDEX(Array_StationaryCharges,MATCH($A400,List_StationaryFuelMeters,0),ROUNDUP((COLUMN()+1)/3-2,0))),"")</f>
        <v/>
      </c>
      <c r="AE400" s="127"/>
      <c r="AF400" s="127"/>
      <c r="AG400" s="58" t="str" cm="1">
        <f>IFERROR(IF(ISBLANK($A400),"",INDEX(Array_StationaryCharges,MATCH($A400,List_StationaryFuelMeters,0),ROUNDUP((COLUMN()+1)/3-2,0))),"")</f>
        <v/>
      </c>
      <c r="AH400" s="127"/>
      <c r="AI400" s="127"/>
      <c r="AJ400" s="58" t="str" cm="1">
        <f>IFERROR(IF(ISBLANK($A400),"",INDEX(Array_StationaryCharges,MATCH($A400,List_StationaryFuelMeters,0),ROUNDUP((COLUMN()+1)/3-2,0))),"")</f>
        <v/>
      </c>
      <c r="AK400" s="127"/>
      <c r="AL400" s="127"/>
      <c r="AM400" s="58" t="str" cm="1">
        <f>IFERROR(IF(ISBLANK($A400),"",INDEX(Array_StationaryCharges,MATCH($A400,List_StationaryFuelMeters,0),ROUNDUP((COLUMN()+1)/3-2,0))),"")</f>
        <v/>
      </c>
      <c r="AN400" s="127"/>
      <c r="AO400" s="127"/>
      <c r="AP400" s="58" t="str" cm="1">
        <f>IFERROR(IF(ISBLANK($A400),"",INDEX(Array_StationaryCharges,MATCH($A400,List_StationaryFuelMeters,0),ROUNDUP((COLUMN()+1)/3-2,0))),"")</f>
        <v/>
      </c>
      <c r="AQ400" s="127"/>
      <c r="AR400" s="127"/>
      <c r="AS400" s="58" t="str" cm="1">
        <f>IFERROR(IF(ISBLANK($A400),"",INDEX(Array_StationaryCharges,MATCH($A400,List_StationaryFuelMeters,0),ROUNDUP((COLUMN()+1)/3-2,0))),"")</f>
        <v/>
      </c>
      <c r="AT400" s="127"/>
      <c r="AU400" s="127"/>
      <c r="AV400" s="58" t="str" cm="1">
        <f>IFERROR(IF(ISBLANK($A400),"",INDEX(Array_StationaryCharges,MATCH($A400,List_StationaryFuelMeters,0),ROUNDUP((COLUMN()+1)/3-2,0))),"")</f>
        <v/>
      </c>
      <c r="AW400" s="127"/>
      <c r="AX400" s="127"/>
    </row>
    <row r="401" spans="1:50" x14ac:dyDescent="0.3">
      <c r="A401" s="126"/>
      <c r="B401" s="133"/>
      <c r="C401" s="127"/>
      <c r="D401" s="138"/>
      <c r="E401" s="138"/>
      <c r="F401" s="58" t="str" cm="1">
        <f>IFERROR(IF(ISBLANK($A401),"",INDEX(Array_StationaryCharges,MATCH($A401,List_StationaryFuelMeters,0),ROUNDUP((COLUMN()+1)/3-2,0))),"")</f>
        <v/>
      </c>
      <c r="G401" s="127"/>
      <c r="H401" s="127"/>
      <c r="I401" s="58" t="str" cm="1">
        <f>IFERROR(IF(ISBLANK($A401),"",INDEX(Array_StationaryCharges,MATCH($A401,List_StationaryFuelMeters,0),ROUNDUP((COLUMN()+1)/3-2,0))),"")</f>
        <v/>
      </c>
      <c r="J401" s="127"/>
      <c r="K401" s="127"/>
      <c r="L401" s="58" t="str" cm="1">
        <f>IFERROR(IF(ISBLANK($A401),"",INDEX(Array_StationaryCharges,MATCH($A401,List_StationaryFuelMeters,0),ROUNDUP((COLUMN()+1)/3-2,0))),"")</f>
        <v/>
      </c>
      <c r="M401" s="127"/>
      <c r="N401" s="127"/>
      <c r="O401" s="58" t="str" cm="1">
        <f>IFERROR(IF(ISBLANK($A401),"",INDEX(Array_StationaryCharges,MATCH($A401,List_StationaryFuelMeters,0),ROUNDUP((COLUMN()+1)/3-2,0))),"")</f>
        <v/>
      </c>
      <c r="P401" s="127"/>
      <c r="Q401" s="127"/>
      <c r="R401" s="58" t="str" cm="1">
        <f>IFERROR(IF(ISBLANK($A401),"",INDEX(Array_StationaryCharges,MATCH($A401,List_StationaryFuelMeters,0),ROUNDUP((COLUMN()+1)/3-2,0))),"")</f>
        <v/>
      </c>
      <c r="S401" s="127"/>
      <c r="T401" s="127"/>
      <c r="U401" s="58" t="str" cm="1">
        <f>IFERROR(IF(ISBLANK($A401),"",INDEX(Array_StationaryCharges,MATCH($A401,List_StationaryFuelMeters,0),ROUNDUP((COLUMN()+1)/3-2,0))),"")</f>
        <v/>
      </c>
      <c r="V401" s="127"/>
      <c r="W401" s="127"/>
      <c r="X401" s="58" t="str" cm="1">
        <f>IFERROR(IF(ISBLANK($A401),"",INDEX(Array_StationaryCharges,MATCH($A401,List_StationaryFuelMeters,0),ROUNDUP((COLUMN()+1)/3-2,0))),"")</f>
        <v/>
      </c>
      <c r="Y401" s="127"/>
      <c r="Z401" s="127"/>
      <c r="AA401" s="58" t="str" cm="1">
        <f>IFERROR(IF(ISBLANK($A401),"",INDEX(Array_StationaryCharges,MATCH($A401,List_StationaryFuelMeters,0),ROUNDUP((COLUMN()+1)/3-2,0))),"")</f>
        <v/>
      </c>
      <c r="AB401" s="127"/>
      <c r="AC401" s="127"/>
      <c r="AD401" s="58" t="str" cm="1">
        <f>IFERROR(IF(ISBLANK($A401),"",INDEX(Array_StationaryCharges,MATCH($A401,List_StationaryFuelMeters,0),ROUNDUP((COLUMN()+1)/3-2,0))),"")</f>
        <v/>
      </c>
      <c r="AE401" s="127"/>
      <c r="AF401" s="127"/>
      <c r="AG401" s="58" t="str" cm="1">
        <f>IFERROR(IF(ISBLANK($A401),"",INDEX(Array_StationaryCharges,MATCH($A401,List_StationaryFuelMeters,0),ROUNDUP((COLUMN()+1)/3-2,0))),"")</f>
        <v/>
      </c>
      <c r="AH401" s="127"/>
      <c r="AI401" s="127"/>
      <c r="AJ401" s="58" t="str" cm="1">
        <f>IFERROR(IF(ISBLANK($A401),"",INDEX(Array_StationaryCharges,MATCH($A401,List_StationaryFuelMeters,0),ROUNDUP((COLUMN()+1)/3-2,0))),"")</f>
        <v/>
      </c>
      <c r="AK401" s="127"/>
      <c r="AL401" s="127"/>
      <c r="AM401" s="58" t="str" cm="1">
        <f>IFERROR(IF(ISBLANK($A401),"",INDEX(Array_StationaryCharges,MATCH($A401,List_StationaryFuelMeters,0),ROUNDUP((COLUMN()+1)/3-2,0))),"")</f>
        <v/>
      </c>
      <c r="AN401" s="127"/>
      <c r="AO401" s="127"/>
      <c r="AP401" s="58" t="str" cm="1">
        <f>IFERROR(IF(ISBLANK($A401),"",INDEX(Array_StationaryCharges,MATCH($A401,List_StationaryFuelMeters,0),ROUNDUP((COLUMN()+1)/3-2,0))),"")</f>
        <v/>
      </c>
      <c r="AQ401" s="127"/>
      <c r="AR401" s="127"/>
      <c r="AS401" s="58" t="str" cm="1">
        <f>IFERROR(IF(ISBLANK($A401),"",INDEX(Array_StationaryCharges,MATCH($A401,List_StationaryFuelMeters,0),ROUNDUP((COLUMN()+1)/3-2,0))),"")</f>
        <v/>
      </c>
      <c r="AT401" s="127"/>
      <c r="AU401" s="127"/>
      <c r="AV401" s="58" t="str" cm="1">
        <f>IFERROR(IF(ISBLANK($A401),"",INDEX(Array_StationaryCharges,MATCH($A401,List_StationaryFuelMeters,0),ROUNDUP((COLUMN()+1)/3-2,0))),"")</f>
        <v/>
      </c>
      <c r="AW401" s="127"/>
      <c r="AX401" s="127"/>
    </row>
    <row r="402" spans="1:50" x14ac:dyDescent="0.3">
      <c r="A402" s="126"/>
      <c r="B402" s="133"/>
      <c r="C402" s="127"/>
      <c r="D402" s="138"/>
      <c r="E402" s="138"/>
      <c r="F402" s="58" t="str" cm="1">
        <f>IFERROR(IF(ISBLANK($A402),"",INDEX(Array_StationaryCharges,MATCH($A402,List_StationaryFuelMeters,0),ROUNDUP((COLUMN()+1)/3-2,0))),"")</f>
        <v/>
      </c>
      <c r="G402" s="127"/>
      <c r="H402" s="127"/>
      <c r="I402" s="58" t="str" cm="1">
        <f>IFERROR(IF(ISBLANK($A402),"",INDEX(Array_StationaryCharges,MATCH($A402,List_StationaryFuelMeters,0),ROUNDUP((COLUMN()+1)/3-2,0))),"")</f>
        <v/>
      </c>
      <c r="J402" s="127"/>
      <c r="K402" s="127"/>
      <c r="L402" s="58" t="str" cm="1">
        <f>IFERROR(IF(ISBLANK($A402),"",INDEX(Array_StationaryCharges,MATCH($A402,List_StationaryFuelMeters,0),ROUNDUP((COLUMN()+1)/3-2,0))),"")</f>
        <v/>
      </c>
      <c r="M402" s="127"/>
      <c r="N402" s="127"/>
      <c r="O402" s="58" t="str" cm="1">
        <f>IFERROR(IF(ISBLANK($A402),"",INDEX(Array_StationaryCharges,MATCH($A402,List_StationaryFuelMeters,0),ROUNDUP((COLUMN()+1)/3-2,0))),"")</f>
        <v/>
      </c>
      <c r="P402" s="127"/>
      <c r="Q402" s="127"/>
      <c r="R402" s="58" t="str" cm="1">
        <f>IFERROR(IF(ISBLANK($A402),"",INDEX(Array_StationaryCharges,MATCH($A402,List_StationaryFuelMeters,0),ROUNDUP((COLUMN()+1)/3-2,0))),"")</f>
        <v/>
      </c>
      <c r="S402" s="127"/>
      <c r="T402" s="127"/>
      <c r="U402" s="58" t="str" cm="1">
        <f>IFERROR(IF(ISBLANK($A402),"",INDEX(Array_StationaryCharges,MATCH($A402,List_StationaryFuelMeters,0),ROUNDUP((COLUMN()+1)/3-2,0))),"")</f>
        <v/>
      </c>
      <c r="V402" s="127"/>
      <c r="W402" s="127"/>
      <c r="X402" s="58" t="str" cm="1">
        <f>IFERROR(IF(ISBLANK($A402),"",INDEX(Array_StationaryCharges,MATCH($A402,List_StationaryFuelMeters,0),ROUNDUP((COLUMN()+1)/3-2,0))),"")</f>
        <v/>
      </c>
      <c r="Y402" s="127"/>
      <c r="Z402" s="127"/>
      <c r="AA402" s="58" t="str" cm="1">
        <f>IFERROR(IF(ISBLANK($A402),"",INDEX(Array_StationaryCharges,MATCH($A402,List_StationaryFuelMeters,0),ROUNDUP((COLUMN()+1)/3-2,0))),"")</f>
        <v/>
      </c>
      <c r="AB402" s="127"/>
      <c r="AC402" s="127"/>
      <c r="AD402" s="58" t="str" cm="1">
        <f>IFERROR(IF(ISBLANK($A402),"",INDEX(Array_StationaryCharges,MATCH($A402,List_StationaryFuelMeters,0),ROUNDUP((COLUMN()+1)/3-2,0))),"")</f>
        <v/>
      </c>
      <c r="AE402" s="127"/>
      <c r="AF402" s="127"/>
      <c r="AG402" s="58" t="str" cm="1">
        <f>IFERROR(IF(ISBLANK($A402),"",INDEX(Array_StationaryCharges,MATCH($A402,List_StationaryFuelMeters,0),ROUNDUP((COLUMN()+1)/3-2,0))),"")</f>
        <v/>
      </c>
      <c r="AH402" s="127"/>
      <c r="AI402" s="127"/>
      <c r="AJ402" s="58" t="str" cm="1">
        <f>IFERROR(IF(ISBLANK($A402),"",INDEX(Array_StationaryCharges,MATCH($A402,List_StationaryFuelMeters,0),ROUNDUP((COLUMN()+1)/3-2,0))),"")</f>
        <v/>
      </c>
      <c r="AK402" s="127"/>
      <c r="AL402" s="127"/>
      <c r="AM402" s="58" t="str" cm="1">
        <f>IFERROR(IF(ISBLANK($A402),"",INDEX(Array_StationaryCharges,MATCH($A402,List_StationaryFuelMeters,0),ROUNDUP((COLUMN()+1)/3-2,0))),"")</f>
        <v/>
      </c>
      <c r="AN402" s="127"/>
      <c r="AO402" s="127"/>
      <c r="AP402" s="58" t="str" cm="1">
        <f>IFERROR(IF(ISBLANK($A402),"",INDEX(Array_StationaryCharges,MATCH($A402,List_StationaryFuelMeters,0),ROUNDUP((COLUMN()+1)/3-2,0))),"")</f>
        <v/>
      </c>
      <c r="AQ402" s="127"/>
      <c r="AR402" s="127"/>
      <c r="AS402" s="58" t="str" cm="1">
        <f>IFERROR(IF(ISBLANK($A402),"",INDEX(Array_StationaryCharges,MATCH($A402,List_StationaryFuelMeters,0),ROUNDUP((COLUMN()+1)/3-2,0))),"")</f>
        <v/>
      </c>
      <c r="AT402" s="127"/>
      <c r="AU402" s="127"/>
      <c r="AV402" s="58" t="str" cm="1">
        <f>IFERROR(IF(ISBLANK($A402),"",INDEX(Array_StationaryCharges,MATCH($A402,List_StationaryFuelMeters,0),ROUNDUP((COLUMN()+1)/3-2,0))),"")</f>
        <v/>
      </c>
      <c r="AW402" s="127"/>
      <c r="AX402" s="127"/>
    </row>
    <row r="403" spans="1:50" x14ac:dyDescent="0.3">
      <c r="A403" s="126"/>
      <c r="B403" s="133"/>
      <c r="C403" s="127"/>
      <c r="D403" s="138"/>
      <c r="E403" s="138"/>
      <c r="F403" s="58" t="str" cm="1">
        <f>IFERROR(IF(ISBLANK($A403),"",INDEX(Array_StationaryCharges,MATCH($A403,List_StationaryFuelMeters,0),ROUNDUP((COLUMN()+1)/3-2,0))),"")</f>
        <v/>
      </c>
      <c r="G403" s="127"/>
      <c r="H403" s="127"/>
      <c r="I403" s="58" t="str" cm="1">
        <f>IFERROR(IF(ISBLANK($A403),"",INDEX(Array_StationaryCharges,MATCH($A403,List_StationaryFuelMeters,0),ROUNDUP((COLUMN()+1)/3-2,0))),"")</f>
        <v/>
      </c>
      <c r="J403" s="127"/>
      <c r="K403" s="127"/>
      <c r="L403" s="58" t="str" cm="1">
        <f>IFERROR(IF(ISBLANK($A403),"",INDEX(Array_StationaryCharges,MATCH($A403,List_StationaryFuelMeters,0),ROUNDUP((COLUMN()+1)/3-2,0))),"")</f>
        <v/>
      </c>
      <c r="M403" s="127"/>
      <c r="N403" s="127"/>
      <c r="O403" s="58" t="str" cm="1">
        <f>IFERROR(IF(ISBLANK($A403),"",INDEX(Array_StationaryCharges,MATCH($A403,List_StationaryFuelMeters,0),ROUNDUP((COLUMN()+1)/3-2,0))),"")</f>
        <v/>
      </c>
      <c r="P403" s="127"/>
      <c r="Q403" s="127"/>
      <c r="R403" s="58" t="str" cm="1">
        <f>IFERROR(IF(ISBLANK($A403),"",INDEX(Array_StationaryCharges,MATCH($A403,List_StationaryFuelMeters,0),ROUNDUP((COLUMN()+1)/3-2,0))),"")</f>
        <v/>
      </c>
      <c r="S403" s="127"/>
      <c r="T403" s="127"/>
      <c r="U403" s="58" t="str" cm="1">
        <f>IFERROR(IF(ISBLANK($A403),"",INDEX(Array_StationaryCharges,MATCH($A403,List_StationaryFuelMeters,0),ROUNDUP((COLUMN()+1)/3-2,0))),"")</f>
        <v/>
      </c>
      <c r="V403" s="127"/>
      <c r="W403" s="127"/>
      <c r="X403" s="58" t="str" cm="1">
        <f>IFERROR(IF(ISBLANK($A403),"",INDEX(Array_StationaryCharges,MATCH($A403,List_StationaryFuelMeters,0),ROUNDUP((COLUMN()+1)/3-2,0))),"")</f>
        <v/>
      </c>
      <c r="Y403" s="127"/>
      <c r="Z403" s="127"/>
      <c r="AA403" s="58" t="str" cm="1">
        <f>IFERROR(IF(ISBLANK($A403),"",INDEX(Array_StationaryCharges,MATCH($A403,List_StationaryFuelMeters,0),ROUNDUP((COLUMN()+1)/3-2,0))),"")</f>
        <v/>
      </c>
      <c r="AB403" s="127"/>
      <c r="AC403" s="127"/>
      <c r="AD403" s="58" t="str" cm="1">
        <f>IFERROR(IF(ISBLANK($A403),"",INDEX(Array_StationaryCharges,MATCH($A403,List_StationaryFuelMeters,0),ROUNDUP((COLUMN()+1)/3-2,0))),"")</f>
        <v/>
      </c>
      <c r="AE403" s="127"/>
      <c r="AF403" s="127"/>
      <c r="AG403" s="58" t="str" cm="1">
        <f>IFERROR(IF(ISBLANK($A403),"",INDEX(Array_StationaryCharges,MATCH($A403,List_StationaryFuelMeters,0),ROUNDUP((COLUMN()+1)/3-2,0))),"")</f>
        <v/>
      </c>
      <c r="AH403" s="127"/>
      <c r="AI403" s="127"/>
      <c r="AJ403" s="58" t="str" cm="1">
        <f>IFERROR(IF(ISBLANK($A403),"",INDEX(Array_StationaryCharges,MATCH($A403,List_StationaryFuelMeters,0),ROUNDUP((COLUMN()+1)/3-2,0))),"")</f>
        <v/>
      </c>
      <c r="AK403" s="127"/>
      <c r="AL403" s="127"/>
      <c r="AM403" s="58" t="str" cm="1">
        <f>IFERROR(IF(ISBLANK($A403),"",INDEX(Array_StationaryCharges,MATCH($A403,List_StationaryFuelMeters,0),ROUNDUP((COLUMN()+1)/3-2,0))),"")</f>
        <v/>
      </c>
      <c r="AN403" s="127"/>
      <c r="AO403" s="127"/>
      <c r="AP403" s="58" t="str" cm="1">
        <f>IFERROR(IF(ISBLANK($A403),"",INDEX(Array_StationaryCharges,MATCH($A403,List_StationaryFuelMeters,0),ROUNDUP((COLUMN()+1)/3-2,0))),"")</f>
        <v/>
      </c>
      <c r="AQ403" s="127"/>
      <c r="AR403" s="127"/>
      <c r="AS403" s="58" t="str" cm="1">
        <f>IFERROR(IF(ISBLANK($A403),"",INDEX(Array_StationaryCharges,MATCH($A403,List_StationaryFuelMeters,0),ROUNDUP((COLUMN()+1)/3-2,0))),"")</f>
        <v/>
      </c>
      <c r="AT403" s="127"/>
      <c r="AU403" s="127"/>
      <c r="AV403" s="58" t="str" cm="1">
        <f>IFERROR(IF(ISBLANK($A403),"",INDEX(Array_StationaryCharges,MATCH($A403,List_StationaryFuelMeters,0),ROUNDUP((COLUMN()+1)/3-2,0))),"")</f>
        <v/>
      </c>
      <c r="AW403" s="127"/>
      <c r="AX403" s="127"/>
    </row>
    <row r="404" spans="1:50" x14ac:dyDescent="0.3">
      <c r="A404" s="126"/>
      <c r="B404" s="133"/>
      <c r="C404" s="127"/>
      <c r="D404" s="138"/>
      <c r="E404" s="138"/>
      <c r="F404" s="58" t="str" cm="1">
        <f>IFERROR(IF(ISBLANK($A404),"",INDEX(Array_StationaryCharges,MATCH($A404,List_StationaryFuelMeters,0),ROUNDUP((COLUMN()+1)/3-2,0))),"")</f>
        <v/>
      </c>
      <c r="G404" s="127"/>
      <c r="H404" s="127"/>
      <c r="I404" s="58" t="str" cm="1">
        <f>IFERROR(IF(ISBLANK($A404),"",INDEX(Array_StationaryCharges,MATCH($A404,List_StationaryFuelMeters,0),ROUNDUP((COLUMN()+1)/3-2,0))),"")</f>
        <v/>
      </c>
      <c r="J404" s="127"/>
      <c r="K404" s="127"/>
      <c r="L404" s="58" t="str" cm="1">
        <f>IFERROR(IF(ISBLANK($A404),"",INDEX(Array_StationaryCharges,MATCH($A404,List_StationaryFuelMeters,0),ROUNDUP((COLUMN()+1)/3-2,0))),"")</f>
        <v/>
      </c>
      <c r="M404" s="127"/>
      <c r="N404" s="127"/>
      <c r="O404" s="58" t="str" cm="1">
        <f>IFERROR(IF(ISBLANK($A404),"",INDEX(Array_StationaryCharges,MATCH($A404,List_StationaryFuelMeters,0),ROUNDUP((COLUMN()+1)/3-2,0))),"")</f>
        <v/>
      </c>
      <c r="P404" s="127"/>
      <c r="Q404" s="127"/>
      <c r="R404" s="58" t="str" cm="1">
        <f>IFERROR(IF(ISBLANK($A404),"",INDEX(Array_StationaryCharges,MATCH($A404,List_StationaryFuelMeters,0),ROUNDUP((COLUMN()+1)/3-2,0))),"")</f>
        <v/>
      </c>
      <c r="S404" s="127"/>
      <c r="T404" s="127"/>
      <c r="U404" s="58" t="str" cm="1">
        <f>IFERROR(IF(ISBLANK($A404),"",INDEX(Array_StationaryCharges,MATCH($A404,List_StationaryFuelMeters,0),ROUNDUP((COLUMN()+1)/3-2,0))),"")</f>
        <v/>
      </c>
      <c r="V404" s="127"/>
      <c r="W404" s="127"/>
      <c r="X404" s="58" t="str" cm="1">
        <f>IFERROR(IF(ISBLANK($A404),"",INDEX(Array_StationaryCharges,MATCH($A404,List_StationaryFuelMeters,0),ROUNDUP((COLUMN()+1)/3-2,0))),"")</f>
        <v/>
      </c>
      <c r="Y404" s="127"/>
      <c r="Z404" s="127"/>
      <c r="AA404" s="58" t="str" cm="1">
        <f>IFERROR(IF(ISBLANK($A404),"",INDEX(Array_StationaryCharges,MATCH($A404,List_StationaryFuelMeters,0),ROUNDUP((COLUMN()+1)/3-2,0))),"")</f>
        <v/>
      </c>
      <c r="AB404" s="127"/>
      <c r="AC404" s="127"/>
      <c r="AD404" s="58" t="str" cm="1">
        <f>IFERROR(IF(ISBLANK($A404),"",INDEX(Array_StationaryCharges,MATCH($A404,List_StationaryFuelMeters,0),ROUNDUP((COLUMN()+1)/3-2,0))),"")</f>
        <v/>
      </c>
      <c r="AE404" s="127"/>
      <c r="AF404" s="127"/>
      <c r="AG404" s="58" t="str" cm="1">
        <f>IFERROR(IF(ISBLANK($A404),"",INDEX(Array_StationaryCharges,MATCH($A404,List_StationaryFuelMeters,0),ROUNDUP((COLUMN()+1)/3-2,0))),"")</f>
        <v/>
      </c>
      <c r="AH404" s="127"/>
      <c r="AI404" s="127"/>
      <c r="AJ404" s="58" t="str" cm="1">
        <f>IFERROR(IF(ISBLANK($A404),"",INDEX(Array_StationaryCharges,MATCH($A404,List_StationaryFuelMeters,0),ROUNDUP((COLUMN()+1)/3-2,0))),"")</f>
        <v/>
      </c>
      <c r="AK404" s="127"/>
      <c r="AL404" s="127"/>
      <c r="AM404" s="58" t="str" cm="1">
        <f>IFERROR(IF(ISBLANK($A404),"",INDEX(Array_StationaryCharges,MATCH($A404,List_StationaryFuelMeters,0),ROUNDUP((COLUMN()+1)/3-2,0))),"")</f>
        <v/>
      </c>
      <c r="AN404" s="127"/>
      <c r="AO404" s="127"/>
      <c r="AP404" s="58" t="str" cm="1">
        <f>IFERROR(IF(ISBLANK($A404),"",INDEX(Array_StationaryCharges,MATCH($A404,List_StationaryFuelMeters,0),ROUNDUP((COLUMN()+1)/3-2,0))),"")</f>
        <v/>
      </c>
      <c r="AQ404" s="127"/>
      <c r="AR404" s="127"/>
      <c r="AS404" s="58" t="str" cm="1">
        <f>IFERROR(IF(ISBLANK($A404),"",INDEX(Array_StationaryCharges,MATCH($A404,List_StationaryFuelMeters,0),ROUNDUP((COLUMN()+1)/3-2,0))),"")</f>
        <v/>
      </c>
      <c r="AT404" s="127"/>
      <c r="AU404" s="127"/>
      <c r="AV404" s="58" t="str" cm="1">
        <f>IFERROR(IF(ISBLANK($A404),"",INDEX(Array_StationaryCharges,MATCH($A404,List_StationaryFuelMeters,0),ROUNDUP((COLUMN()+1)/3-2,0))),"")</f>
        <v/>
      </c>
      <c r="AW404" s="127"/>
      <c r="AX404" s="127"/>
    </row>
    <row r="405" spans="1:50" x14ac:dyDescent="0.3">
      <c r="A405" s="126"/>
      <c r="B405" s="133"/>
      <c r="C405" s="127"/>
      <c r="D405" s="138"/>
      <c r="E405" s="138"/>
      <c r="F405" s="58" t="str" cm="1">
        <f>IFERROR(IF(ISBLANK($A405),"",INDEX(Array_StationaryCharges,MATCH($A405,List_StationaryFuelMeters,0),ROUNDUP((COLUMN()+1)/3-2,0))),"")</f>
        <v/>
      </c>
      <c r="G405" s="127"/>
      <c r="H405" s="127"/>
      <c r="I405" s="58" t="str" cm="1">
        <f>IFERROR(IF(ISBLANK($A405),"",INDEX(Array_StationaryCharges,MATCH($A405,List_StationaryFuelMeters,0),ROUNDUP((COLUMN()+1)/3-2,0))),"")</f>
        <v/>
      </c>
      <c r="J405" s="127"/>
      <c r="K405" s="127"/>
      <c r="L405" s="58" t="str" cm="1">
        <f>IFERROR(IF(ISBLANK($A405),"",INDEX(Array_StationaryCharges,MATCH($A405,List_StationaryFuelMeters,0),ROUNDUP((COLUMN()+1)/3-2,0))),"")</f>
        <v/>
      </c>
      <c r="M405" s="127"/>
      <c r="N405" s="127"/>
      <c r="O405" s="58" t="str" cm="1">
        <f>IFERROR(IF(ISBLANK($A405),"",INDEX(Array_StationaryCharges,MATCH($A405,List_StationaryFuelMeters,0),ROUNDUP((COLUMN()+1)/3-2,0))),"")</f>
        <v/>
      </c>
      <c r="P405" s="127"/>
      <c r="Q405" s="127"/>
      <c r="R405" s="58" t="str" cm="1">
        <f>IFERROR(IF(ISBLANK($A405),"",INDEX(Array_StationaryCharges,MATCH($A405,List_StationaryFuelMeters,0),ROUNDUP((COLUMN()+1)/3-2,0))),"")</f>
        <v/>
      </c>
      <c r="S405" s="127"/>
      <c r="T405" s="127"/>
      <c r="U405" s="58" t="str" cm="1">
        <f>IFERROR(IF(ISBLANK($A405),"",INDEX(Array_StationaryCharges,MATCH($A405,List_StationaryFuelMeters,0),ROUNDUP((COLUMN()+1)/3-2,0))),"")</f>
        <v/>
      </c>
      <c r="V405" s="127"/>
      <c r="W405" s="127"/>
      <c r="X405" s="58" t="str" cm="1">
        <f>IFERROR(IF(ISBLANK($A405),"",INDEX(Array_StationaryCharges,MATCH($A405,List_StationaryFuelMeters,0),ROUNDUP((COLUMN()+1)/3-2,0))),"")</f>
        <v/>
      </c>
      <c r="Y405" s="127"/>
      <c r="Z405" s="127"/>
      <c r="AA405" s="58" t="str" cm="1">
        <f>IFERROR(IF(ISBLANK($A405),"",INDEX(Array_StationaryCharges,MATCH($A405,List_StationaryFuelMeters,0),ROUNDUP((COLUMN()+1)/3-2,0))),"")</f>
        <v/>
      </c>
      <c r="AB405" s="127"/>
      <c r="AC405" s="127"/>
      <c r="AD405" s="58" t="str" cm="1">
        <f>IFERROR(IF(ISBLANK($A405),"",INDEX(Array_StationaryCharges,MATCH($A405,List_StationaryFuelMeters,0),ROUNDUP((COLUMN()+1)/3-2,0))),"")</f>
        <v/>
      </c>
      <c r="AE405" s="127"/>
      <c r="AF405" s="127"/>
      <c r="AG405" s="58" t="str" cm="1">
        <f>IFERROR(IF(ISBLANK($A405),"",INDEX(Array_StationaryCharges,MATCH($A405,List_StationaryFuelMeters,0),ROUNDUP((COLUMN()+1)/3-2,0))),"")</f>
        <v/>
      </c>
      <c r="AH405" s="127"/>
      <c r="AI405" s="127"/>
      <c r="AJ405" s="58" t="str" cm="1">
        <f>IFERROR(IF(ISBLANK($A405),"",INDEX(Array_StationaryCharges,MATCH($A405,List_StationaryFuelMeters,0),ROUNDUP((COLUMN()+1)/3-2,0))),"")</f>
        <v/>
      </c>
      <c r="AK405" s="127"/>
      <c r="AL405" s="127"/>
      <c r="AM405" s="58" t="str" cm="1">
        <f>IFERROR(IF(ISBLANK($A405),"",INDEX(Array_StationaryCharges,MATCH($A405,List_StationaryFuelMeters,0),ROUNDUP((COLUMN()+1)/3-2,0))),"")</f>
        <v/>
      </c>
      <c r="AN405" s="127"/>
      <c r="AO405" s="127"/>
      <c r="AP405" s="58" t="str" cm="1">
        <f>IFERROR(IF(ISBLANK($A405),"",INDEX(Array_StationaryCharges,MATCH($A405,List_StationaryFuelMeters,0),ROUNDUP((COLUMN()+1)/3-2,0))),"")</f>
        <v/>
      </c>
      <c r="AQ405" s="127"/>
      <c r="AR405" s="127"/>
      <c r="AS405" s="58" t="str" cm="1">
        <f>IFERROR(IF(ISBLANK($A405),"",INDEX(Array_StationaryCharges,MATCH($A405,List_StationaryFuelMeters,0),ROUNDUP((COLUMN()+1)/3-2,0))),"")</f>
        <v/>
      </c>
      <c r="AT405" s="127"/>
      <c r="AU405" s="127"/>
      <c r="AV405" s="58" t="str" cm="1">
        <f>IFERROR(IF(ISBLANK($A405),"",INDEX(Array_StationaryCharges,MATCH($A405,List_StationaryFuelMeters,0),ROUNDUP((COLUMN()+1)/3-2,0))),"")</f>
        <v/>
      </c>
      <c r="AW405" s="127"/>
      <c r="AX405" s="127"/>
    </row>
    <row r="406" spans="1:50" x14ac:dyDescent="0.3">
      <c r="A406" s="126"/>
      <c r="B406" s="133"/>
      <c r="C406" s="127"/>
      <c r="D406" s="138"/>
      <c r="E406" s="138"/>
      <c r="F406" s="58" t="str" cm="1">
        <f>IFERROR(IF(ISBLANK($A406),"",INDEX(Array_StationaryCharges,MATCH($A406,List_StationaryFuelMeters,0),ROUNDUP((COLUMN()+1)/3-2,0))),"")</f>
        <v/>
      </c>
      <c r="G406" s="127"/>
      <c r="H406" s="127"/>
      <c r="I406" s="58" t="str" cm="1">
        <f>IFERROR(IF(ISBLANK($A406),"",INDEX(Array_StationaryCharges,MATCH($A406,List_StationaryFuelMeters,0),ROUNDUP((COLUMN()+1)/3-2,0))),"")</f>
        <v/>
      </c>
      <c r="J406" s="127"/>
      <c r="K406" s="127"/>
      <c r="L406" s="58" t="str" cm="1">
        <f>IFERROR(IF(ISBLANK($A406),"",INDEX(Array_StationaryCharges,MATCH($A406,List_StationaryFuelMeters,0),ROUNDUP((COLUMN()+1)/3-2,0))),"")</f>
        <v/>
      </c>
      <c r="M406" s="127"/>
      <c r="N406" s="127"/>
      <c r="O406" s="58" t="str" cm="1">
        <f>IFERROR(IF(ISBLANK($A406),"",INDEX(Array_StationaryCharges,MATCH($A406,List_StationaryFuelMeters,0),ROUNDUP((COLUMN()+1)/3-2,0))),"")</f>
        <v/>
      </c>
      <c r="P406" s="127"/>
      <c r="Q406" s="127"/>
      <c r="R406" s="58" t="str" cm="1">
        <f>IFERROR(IF(ISBLANK($A406),"",INDEX(Array_StationaryCharges,MATCH($A406,List_StationaryFuelMeters,0),ROUNDUP((COLUMN()+1)/3-2,0))),"")</f>
        <v/>
      </c>
      <c r="S406" s="127"/>
      <c r="T406" s="127"/>
      <c r="U406" s="58" t="str" cm="1">
        <f>IFERROR(IF(ISBLANK($A406),"",INDEX(Array_StationaryCharges,MATCH($A406,List_StationaryFuelMeters,0),ROUNDUP((COLUMN()+1)/3-2,0))),"")</f>
        <v/>
      </c>
      <c r="V406" s="127"/>
      <c r="W406" s="127"/>
      <c r="X406" s="58" t="str" cm="1">
        <f>IFERROR(IF(ISBLANK($A406),"",INDEX(Array_StationaryCharges,MATCH($A406,List_StationaryFuelMeters,0),ROUNDUP((COLUMN()+1)/3-2,0))),"")</f>
        <v/>
      </c>
      <c r="Y406" s="127"/>
      <c r="Z406" s="127"/>
      <c r="AA406" s="58" t="str" cm="1">
        <f>IFERROR(IF(ISBLANK($A406),"",INDEX(Array_StationaryCharges,MATCH($A406,List_StationaryFuelMeters,0),ROUNDUP((COLUMN()+1)/3-2,0))),"")</f>
        <v/>
      </c>
      <c r="AB406" s="127"/>
      <c r="AC406" s="127"/>
      <c r="AD406" s="58" t="str" cm="1">
        <f>IFERROR(IF(ISBLANK($A406),"",INDEX(Array_StationaryCharges,MATCH($A406,List_StationaryFuelMeters,0),ROUNDUP((COLUMN()+1)/3-2,0))),"")</f>
        <v/>
      </c>
      <c r="AE406" s="127"/>
      <c r="AF406" s="127"/>
      <c r="AG406" s="58" t="str" cm="1">
        <f>IFERROR(IF(ISBLANK($A406),"",INDEX(Array_StationaryCharges,MATCH($A406,List_StationaryFuelMeters,0),ROUNDUP((COLUMN()+1)/3-2,0))),"")</f>
        <v/>
      </c>
      <c r="AH406" s="127"/>
      <c r="AI406" s="127"/>
      <c r="AJ406" s="58" t="str" cm="1">
        <f>IFERROR(IF(ISBLANK($A406),"",INDEX(Array_StationaryCharges,MATCH($A406,List_StationaryFuelMeters,0),ROUNDUP((COLUMN()+1)/3-2,0))),"")</f>
        <v/>
      </c>
      <c r="AK406" s="127"/>
      <c r="AL406" s="127"/>
      <c r="AM406" s="58" t="str" cm="1">
        <f>IFERROR(IF(ISBLANK($A406),"",INDEX(Array_StationaryCharges,MATCH($A406,List_StationaryFuelMeters,0),ROUNDUP((COLUMN()+1)/3-2,0))),"")</f>
        <v/>
      </c>
      <c r="AN406" s="127"/>
      <c r="AO406" s="127"/>
      <c r="AP406" s="58" t="str" cm="1">
        <f>IFERROR(IF(ISBLANK($A406),"",INDEX(Array_StationaryCharges,MATCH($A406,List_StationaryFuelMeters,0),ROUNDUP((COLUMN()+1)/3-2,0))),"")</f>
        <v/>
      </c>
      <c r="AQ406" s="127"/>
      <c r="AR406" s="127"/>
      <c r="AS406" s="58" t="str" cm="1">
        <f>IFERROR(IF(ISBLANK($A406),"",INDEX(Array_StationaryCharges,MATCH($A406,List_StationaryFuelMeters,0),ROUNDUP((COLUMN()+1)/3-2,0))),"")</f>
        <v/>
      </c>
      <c r="AT406" s="127"/>
      <c r="AU406" s="127"/>
      <c r="AV406" s="58" t="str" cm="1">
        <f>IFERROR(IF(ISBLANK($A406),"",INDEX(Array_StationaryCharges,MATCH($A406,List_StationaryFuelMeters,0),ROUNDUP((COLUMN()+1)/3-2,0))),"")</f>
        <v/>
      </c>
      <c r="AW406" s="127"/>
      <c r="AX406" s="127"/>
    </row>
    <row r="407" spans="1:50" x14ac:dyDescent="0.3">
      <c r="A407" s="126"/>
      <c r="B407" s="133"/>
      <c r="C407" s="127"/>
      <c r="D407" s="138"/>
      <c r="E407" s="138"/>
      <c r="F407" s="58" t="str" cm="1">
        <f>IFERROR(IF(ISBLANK($A407),"",INDEX(Array_StationaryCharges,MATCH($A407,List_StationaryFuelMeters,0),ROUNDUP((COLUMN()+1)/3-2,0))),"")</f>
        <v/>
      </c>
      <c r="G407" s="127"/>
      <c r="H407" s="127"/>
      <c r="I407" s="58" t="str" cm="1">
        <f>IFERROR(IF(ISBLANK($A407),"",INDEX(Array_StationaryCharges,MATCH($A407,List_StationaryFuelMeters,0),ROUNDUP((COLUMN()+1)/3-2,0))),"")</f>
        <v/>
      </c>
      <c r="J407" s="127"/>
      <c r="K407" s="127"/>
      <c r="L407" s="58" t="str" cm="1">
        <f>IFERROR(IF(ISBLANK($A407),"",INDEX(Array_StationaryCharges,MATCH($A407,List_StationaryFuelMeters,0),ROUNDUP((COLUMN()+1)/3-2,0))),"")</f>
        <v/>
      </c>
      <c r="M407" s="127"/>
      <c r="N407" s="127"/>
      <c r="O407" s="58" t="str" cm="1">
        <f>IFERROR(IF(ISBLANK($A407),"",INDEX(Array_StationaryCharges,MATCH($A407,List_StationaryFuelMeters,0),ROUNDUP((COLUMN()+1)/3-2,0))),"")</f>
        <v/>
      </c>
      <c r="P407" s="127"/>
      <c r="Q407" s="127"/>
      <c r="R407" s="58" t="str" cm="1">
        <f>IFERROR(IF(ISBLANK($A407),"",INDEX(Array_StationaryCharges,MATCH($A407,List_StationaryFuelMeters,0),ROUNDUP((COLUMN()+1)/3-2,0))),"")</f>
        <v/>
      </c>
      <c r="S407" s="127"/>
      <c r="T407" s="127"/>
      <c r="U407" s="58" t="str" cm="1">
        <f>IFERROR(IF(ISBLANK($A407),"",INDEX(Array_StationaryCharges,MATCH($A407,List_StationaryFuelMeters,0),ROUNDUP((COLUMN()+1)/3-2,0))),"")</f>
        <v/>
      </c>
      <c r="V407" s="127"/>
      <c r="W407" s="127"/>
      <c r="X407" s="58" t="str" cm="1">
        <f>IFERROR(IF(ISBLANK($A407),"",INDEX(Array_StationaryCharges,MATCH($A407,List_StationaryFuelMeters,0),ROUNDUP((COLUMN()+1)/3-2,0))),"")</f>
        <v/>
      </c>
      <c r="Y407" s="127"/>
      <c r="Z407" s="127"/>
      <c r="AA407" s="58" t="str" cm="1">
        <f>IFERROR(IF(ISBLANK($A407),"",INDEX(Array_StationaryCharges,MATCH($A407,List_StationaryFuelMeters,0),ROUNDUP((COLUMN()+1)/3-2,0))),"")</f>
        <v/>
      </c>
      <c r="AB407" s="127"/>
      <c r="AC407" s="127"/>
      <c r="AD407" s="58" t="str" cm="1">
        <f>IFERROR(IF(ISBLANK($A407),"",INDEX(Array_StationaryCharges,MATCH($A407,List_StationaryFuelMeters,0),ROUNDUP((COLUMN()+1)/3-2,0))),"")</f>
        <v/>
      </c>
      <c r="AE407" s="127"/>
      <c r="AF407" s="127"/>
      <c r="AG407" s="58" t="str" cm="1">
        <f>IFERROR(IF(ISBLANK($A407),"",INDEX(Array_StationaryCharges,MATCH($A407,List_StationaryFuelMeters,0),ROUNDUP((COLUMN()+1)/3-2,0))),"")</f>
        <v/>
      </c>
      <c r="AH407" s="127"/>
      <c r="AI407" s="127"/>
      <c r="AJ407" s="58" t="str" cm="1">
        <f>IFERROR(IF(ISBLANK($A407),"",INDEX(Array_StationaryCharges,MATCH($A407,List_StationaryFuelMeters,0),ROUNDUP((COLUMN()+1)/3-2,0))),"")</f>
        <v/>
      </c>
      <c r="AK407" s="127"/>
      <c r="AL407" s="127"/>
      <c r="AM407" s="58" t="str" cm="1">
        <f>IFERROR(IF(ISBLANK($A407),"",INDEX(Array_StationaryCharges,MATCH($A407,List_StationaryFuelMeters,0),ROUNDUP((COLUMN()+1)/3-2,0))),"")</f>
        <v/>
      </c>
      <c r="AN407" s="127"/>
      <c r="AO407" s="127"/>
      <c r="AP407" s="58" t="str" cm="1">
        <f>IFERROR(IF(ISBLANK($A407),"",INDEX(Array_StationaryCharges,MATCH($A407,List_StationaryFuelMeters,0),ROUNDUP((COLUMN()+1)/3-2,0))),"")</f>
        <v/>
      </c>
      <c r="AQ407" s="127"/>
      <c r="AR407" s="127"/>
      <c r="AS407" s="58" t="str" cm="1">
        <f>IFERROR(IF(ISBLANK($A407),"",INDEX(Array_StationaryCharges,MATCH($A407,List_StationaryFuelMeters,0),ROUNDUP((COLUMN()+1)/3-2,0))),"")</f>
        <v/>
      </c>
      <c r="AT407" s="127"/>
      <c r="AU407" s="127"/>
      <c r="AV407" s="58" t="str" cm="1">
        <f>IFERROR(IF(ISBLANK($A407),"",INDEX(Array_StationaryCharges,MATCH($A407,List_StationaryFuelMeters,0),ROUNDUP((COLUMN()+1)/3-2,0))),"")</f>
        <v/>
      </c>
      <c r="AW407" s="127"/>
      <c r="AX407" s="127"/>
    </row>
    <row r="408" spans="1:50" x14ac:dyDescent="0.3">
      <c r="A408" s="126"/>
      <c r="B408" s="133"/>
      <c r="C408" s="127"/>
      <c r="D408" s="138"/>
      <c r="E408" s="138"/>
      <c r="F408" s="58" t="str" cm="1">
        <f>IFERROR(IF(ISBLANK($A408),"",INDEX(Array_StationaryCharges,MATCH($A408,List_StationaryFuelMeters,0),ROUNDUP((COLUMN()+1)/3-2,0))),"")</f>
        <v/>
      </c>
      <c r="G408" s="127"/>
      <c r="H408" s="127"/>
      <c r="I408" s="58" t="str" cm="1">
        <f>IFERROR(IF(ISBLANK($A408),"",INDEX(Array_StationaryCharges,MATCH($A408,List_StationaryFuelMeters,0),ROUNDUP((COLUMN()+1)/3-2,0))),"")</f>
        <v/>
      </c>
      <c r="J408" s="127"/>
      <c r="K408" s="127"/>
      <c r="L408" s="58" t="str" cm="1">
        <f>IFERROR(IF(ISBLANK($A408),"",INDEX(Array_StationaryCharges,MATCH($A408,List_StationaryFuelMeters,0),ROUNDUP((COLUMN()+1)/3-2,0))),"")</f>
        <v/>
      </c>
      <c r="M408" s="127"/>
      <c r="N408" s="127"/>
      <c r="O408" s="58" t="str" cm="1">
        <f>IFERROR(IF(ISBLANK($A408),"",INDEX(Array_StationaryCharges,MATCH($A408,List_StationaryFuelMeters,0),ROUNDUP((COLUMN()+1)/3-2,0))),"")</f>
        <v/>
      </c>
      <c r="P408" s="127"/>
      <c r="Q408" s="127"/>
      <c r="R408" s="58" t="str" cm="1">
        <f>IFERROR(IF(ISBLANK($A408),"",INDEX(Array_StationaryCharges,MATCH($A408,List_StationaryFuelMeters,0),ROUNDUP((COLUMN()+1)/3-2,0))),"")</f>
        <v/>
      </c>
      <c r="S408" s="127"/>
      <c r="T408" s="127"/>
      <c r="U408" s="58" t="str" cm="1">
        <f>IFERROR(IF(ISBLANK($A408),"",INDEX(Array_StationaryCharges,MATCH($A408,List_StationaryFuelMeters,0),ROUNDUP((COLUMN()+1)/3-2,0))),"")</f>
        <v/>
      </c>
      <c r="V408" s="127"/>
      <c r="W408" s="127"/>
      <c r="X408" s="58" t="str" cm="1">
        <f>IFERROR(IF(ISBLANK($A408),"",INDEX(Array_StationaryCharges,MATCH($A408,List_StationaryFuelMeters,0),ROUNDUP((COLUMN()+1)/3-2,0))),"")</f>
        <v/>
      </c>
      <c r="Y408" s="127"/>
      <c r="Z408" s="127"/>
      <c r="AA408" s="58" t="str" cm="1">
        <f>IFERROR(IF(ISBLANK($A408),"",INDEX(Array_StationaryCharges,MATCH($A408,List_StationaryFuelMeters,0),ROUNDUP((COLUMN()+1)/3-2,0))),"")</f>
        <v/>
      </c>
      <c r="AB408" s="127"/>
      <c r="AC408" s="127"/>
      <c r="AD408" s="58" t="str" cm="1">
        <f>IFERROR(IF(ISBLANK($A408),"",INDEX(Array_StationaryCharges,MATCH($A408,List_StationaryFuelMeters,0),ROUNDUP((COLUMN()+1)/3-2,0))),"")</f>
        <v/>
      </c>
      <c r="AE408" s="127"/>
      <c r="AF408" s="127"/>
      <c r="AG408" s="58" t="str" cm="1">
        <f>IFERROR(IF(ISBLANK($A408),"",INDEX(Array_StationaryCharges,MATCH($A408,List_StationaryFuelMeters,0),ROUNDUP((COLUMN()+1)/3-2,0))),"")</f>
        <v/>
      </c>
      <c r="AH408" s="127"/>
      <c r="AI408" s="127"/>
      <c r="AJ408" s="58" t="str" cm="1">
        <f>IFERROR(IF(ISBLANK($A408),"",INDEX(Array_StationaryCharges,MATCH($A408,List_StationaryFuelMeters,0),ROUNDUP((COLUMN()+1)/3-2,0))),"")</f>
        <v/>
      </c>
      <c r="AK408" s="127"/>
      <c r="AL408" s="127"/>
      <c r="AM408" s="58" t="str" cm="1">
        <f>IFERROR(IF(ISBLANK($A408),"",INDEX(Array_StationaryCharges,MATCH($A408,List_StationaryFuelMeters,0),ROUNDUP((COLUMN()+1)/3-2,0))),"")</f>
        <v/>
      </c>
      <c r="AN408" s="127"/>
      <c r="AO408" s="127"/>
      <c r="AP408" s="58" t="str" cm="1">
        <f>IFERROR(IF(ISBLANK($A408),"",INDEX(Array_StationaryCharges,MATCH($A408,List_StationaryFuelMeters,0),ROUNDUP((COLUMN()+1)/3-2,0))),"")</f>
        <v/>
      </c>
      <c r="AQ408" s="127"/>
      <c r="AR408" s="127"/>
      <c r="AS408" s="58" t="str" cm="1">
        <f>IFERROR(IF(ISBLANK($A408),"",INDEX(Array_StationaryCharges,MATCH($A408,List_StationaryFuelMeters,0),ROUNDUP((COLUMN()+1)/3-2,0))),"")</f>
        <v/>
      </c>
      <c r="AT408" s="127"/>
      <c r="AU408" s="127"/>
      <c r="AV408" s="58" t="str" cm="1">
        <f>IFERROR(IF(ISBLANK($A408),"",INDEX(Array_StationaryCharges,MATCH($A408,List_StationaryFuelMeters,0),ROUNDUP((COLUMN()+1)/3-2,0))),"")</f>
        <v/>
      </c>
      <c r="AW408" s="127"/>
      <c r="AX408" s="127"/>
    </row>
    <row r="409" spans="1:50" x14ac:dyDescent="0.3">
      <c r="A409" s="126"/>
      <c r="B409" s="133"/>
      <c r="C409" s="127"/>
      <c r="D409" s="138"/>
      <c r="E409" s="138"/>
      <c r="F409" s="58" t="str" cm="1">
        <f>IFERROR(IF(ISBLANK($A409),"",INDEX(Array_StationaryCharges,MATCH($A409,List_StationaryFuelMeters,0),ROUNDUP((COLUMN()+1)/3-2,0))),"")</f>
        <v/>
      </c>
      <c r="G409" s="127"/>
      <c r="H409" s="127"/>
      <c r="I409" s="58" t="str" cm="1">
        <f>IFERROR(IF(ISBLANK($A409),"",INDEX(Array_StationaryCharges,MATCH($A409,List_StationaryFuelMeters,0),ROUNDUP((COLUMN()+1)/3-2,0))),"")</f>
        <v/>
      </c>
      <c r="J409" s="127"/>
      <c r="K409" s="127"/>
      <c r="L409" s="58" t="str" cm="1">
        <f>IFERROR(IF(ISBLANK($A409),"",INDEX(Array_StationaryCharges,MATCH($A409,List_StationaryFuelMeters,0),ROUNDUP((COLUMN()+1)/3-2,0))),"")</f>
        <v/>
      </c>
      <c r="M409" s="127"/>
      <c r="N409" s="127"/>
      <c r="O409" s="58" t="str" cm="1">
        <f>IFERROR(IF(ISBLANK($A409),"",INDEX(Array_StationaryCharges,MATCH($A409,List_StationaryFuelMeters,0),ROUNDUP((COLUMN()+1)/3-2,0))),"")</f>
        <v/>
      </c>
      <c r="P409" s="127"/>
      <c r="Q409" s="127"/>
      <c r="R409" s="58" t="str" cm="1">
        <f>IFERROR(IF(ISBLANK($A409),"",INDEX(Array_StationaryCharges,MATCH($A409,List_StationaryFuelMeters,0),ROUNDUP((COLUMN()+1)/3-2,0))),"")</f>
        <v/>
      </c>
      <c r="S409" s="127"/>
      <c r="T409" s="127"/>
      <c r="U409" s="58" t="str" cm="1">
        <f>IFERROR(IF(ISBLANK($A409),"",INDEX(Array_StationaryCharges,MATCH($A409,List_StationaryFuelMeters,0),ROUNDUP((COLUMN()+1)/3-2,0))),"")</f>
        <v/>
      </c>
      <c r="V409" s="127"/>
      <c r="W409" s="127"/>
      <c r="X409" s="58" t="str" cm="1">
        <f>IFERROR(IF(ISBLANK($A409),"",INDEX(Array_StationaryCharges,MATCH($A409,List_StationaryFuelMeters,0),ROUNDUP((COLUMN()+1)/3-2,0))),"")</f>
        <v/>
      </c>
      <c r="Y409" s="127"/>
      <c r="Z409" s="127"/>
      <c r="AA409" s="58" t="str" cm="1">
        <f>IFERROR(IF(ISBLANK($A409),"",INDEX(Array_StationaryCharges,MATCH($A409,List_StationaryFuelMeters,0),ROUNDUP((COLUMN()+1)/3-2,0))),"")</f>
        <v/>
      </c>
      <c r="AB409" s="127"/>
      <c r="AC409" s="127"/>
      <c r="AD409" s="58" t="str" cm="1">
        <f>IFERROR(IF(ISBLANK($A409),"",INDEX(Array_StationaryCharges,MATCH($A409,List_StationaryFuelMeters,0),ROUNDUP((COLUMN()+1)/3-2,0))),"")</f>
        <v/>
      </c>
      <c r="AE409" s="127"/>
      <c r="AF409" s="127"/>
      <c r="AG409" s="58" t="str" cm="1">
        <f>IFERROR(IF(ISBLANK($A409),"",INDEX(Array_StationaryCharges,MATCH($A409,List_StationaryFuelMeters,0),ROUNDUP((COLUMN()+1)/3-2,0))),"")</f>
        <v/>
      </c>
      <c r="AH409" s="127"/>
      <c r="AI409" s="127"/>
      <c r="AJ409" s="58" t="str" cm="1">
        <f>IFERROR(IF(ISBLANK($A409),"",INDEX(Array_StationaryCharges,MATCH($A409,List_StationaryFuelMeters,0),ROUNDUP((COLUMN()+1)/3-2,0))),"")</f>
        <v/>
      </c>
      <c r="AK409" s="127"/>
      <c r="AL409" s="127"/>
      <c r="AM409" s="58" t="str" cm="1">
        <f>IFERROR(IF(ISBLANK($A409),"",INDEX(Array_StationaryCharges,MATCH($A409,List_StationaryFuelMeters,0),ROUNDUP((COLUMN()+1)/3-2,0))),"")</f>
        <v/>
      </c>
      <c r="AN409" s="127"/>
      <c r="AO409" s="127"/>
      <c r="AP409" s="58" t="str" cm="1">
        <f>IFERROR(IF(ISBLANK($A409),"",INDEX(Array_StationaryCharges,MATCH($A409,List_StationaryFuelMeters,0),ROUNDUP((COLUMN()+1)/3-2,0))),"")</f>
        <v/>
      </c>
      <c r="AQ409" s="127"/>
      <c r="AR409" s="127"/>
      <c r="AS409" s="58" t="str" cm="1">
        <f>IFERROR(IF(ISBLANK($A409),"",INDEX(Array_StationaryCharges,MATCH($A409,List_StationaryFuelMeters,0),ROUNDUP((COLUMN()+1)/3-2,0))),"")</f>
        <v/>
      </c>
      <c r="AT409" s="127"/>
      <c r="AU409" s="127"/>
      <c r="AV409" s="58" t="str" cm="1">
        <f>IFERROR(IF(ISBLANK($A409),"",INDEX(Array_StationaryCharges,MATCH($A409,List_StationaryFuelMeters,0),ROUNDUP((COLUMN()+1)/3-2,0))),"")</f>
        <v/>
      </c>
      <c r="AW409" s="127"/>
      <c r="AX409" s="127"/>
    </row>
    <row r="410" spans="1:50" x14ac:dyDescent="0.3">
      <c r="A410" s="126"/>
      <c r="B410" s="133"/>
      <c r="C410" s="127"/>
      <c r="D410" s="138"/>
      <c r="E410" s="138"/>
      <c r="F410" s="58" t="str" cm="1">
        <f>IFERROR(IF(ISBLANK($A410),"",INDEX(Array_StationaryCharges,MATCH($A410,List_StationaryFuelMeters,0),ROUNDUP((COLUMN()+1)/3-2,0))),"")</f>
        <v/>
      </c>
      <c r="G410" s="127"/>
      <c r="H410" s="127"/>
      <c r="I410" s="58" t="str" cm="1">
        <f>IFERROR(IF(ISBLANK($A410),"",INDEX(Array_StationaryCharges,MATCH($A410,List_StationaryFuelMeters,0),ROUNDUP((COLUMN()+1)/3-2,0))),"")</f>
        <v/>
      </c>
      <c r="J410" s="127"/>
      <c r="K410" s="127"/>
      <c r="L410" s="58" t="str" cm="1">
        <f>IFERROR(IF(ISBLANK($A410),"",INDEX(Array_StationaryCharges,MATCH($A410,List_StationaryFuelMeters,0),ROUNDUP((COLUMN()+1)/3-2,0))),"")</f>
        <v/>
      </c>
      <c r="M410" s="127"/>
      <c r="N410" s="127"/>
      <c r="O410" s="58" t="str" cm="1">
        <f>IFERROR(IF(ISBLANK($A410),"",INDEX(Array_StationaryCharges,MATCH($A410,List_StationaryFuelMeters,0),ROUNDUP((COLUMN()+1)/3-2,0))),"")</f>
        <v/>
      </c>
      <c r="P410" s="127"/>
      <c r="Q410" s="127"/>
      <c r="R410" s="58" t="str" cm="1">
        <f>IFERROR(IF(ISBLANK($A410),"",INDEX(Array_StationaryCharges,MATCH($A410,List_StationaryFuelMeters,0),ROUNDUP((COLUMN()+1)/3-2,0))),"")</f>
        <v/>
      </c>
      <c r="S410" s="127"/>
      <c r="T410" s="127"/>
      <c r="U410" s="58" t="str" cm="1">
        <f>IFERROR(IF(ISBLANK($A410),"",INDEX(Array_StationaryCharges,MATCH($A410,List_StationaryFuelMeters,0),ROUNDUP((COLUMN()+1)/3-2,0))),"")</f>
        <v/>
      </c>
      <c r="V410" s="127"/>
      <c r="W410" s="127"/>
      <c r="X410" s="58" t="str" cm="1">
        <f>IFERROR(IF(ISBLANK($A410),"",INDEX(Array_StationaryCharges,MATCH($A410,List_StationaryFuelMeters,0),ROUNDUP((COLUMN()+1)/3-2,0))),"")</f>
        <v/>
      </c>
      <c r="Y410" s="127"/>
      <c r="Z410" s="127"/>
      <c r="AA410" s="58" t="str" cm="1">
        <f>IFERROR(IF(ISBLANK($A410),"",INDEX(Array_StationaryCharges,MATCH($A410,List_StationaryFuelMeters,0),ROUNDUP((COLUMN()+1)/3-2,0))),"")</f>
        <v/>
      </c>
      <c r="AB410" s="127"/>
      <c r="AC410" s="127"/>
      <c r="AD410" s="58" t="str" cm="1">
        <f>IFERROR(IF(ISBLANK($A410),"",INDEX(Array_StationaryCharges,MATCH($A410,List_StationaryFuelMeters,0),ROUNDUP((COLUMN()+1)/3-2,0))),"")</f>
        <v/>
      </c>
      <c r="AE410" s="127"/>
      <c r="AF410" s="127"/>
      <c r="AG410" s="58" t="str" cm="1">
        <f>IFERROR(IF(ISBLANK($A410),"",INDEX(Array_StationaryCharges,MATCH($A410,List_StationaryFuelMeters,0),ROUNDUP((COLUMN()+1)/3-2,0))),"")</f>
        <v/>
      </c>
      <c r="AH410" s="127"/>
      <c r="AI410" s="127"/>
      <c r="AJ410" s="58" t="str" cm="1">
        <f>IFERROR(IF(ISBLANK($A410),"",INDEX(Array_StationaryCharges,MATCH($A410,List_StationaryFuelMeters,0),ROUNDUP((COLUMN()+1)/3-2,0))),"")</f>
        <v/>
      </c>
      <c r="AK410" s="127"/>
      <c r="AL410" s="127"/>
      <c r="AM410" s="58" t="str" cm="1">
        <f>IFERROR(IF(ISBLANK($A410),"",INDEX(Array_StationaryCharges,MATCH($A410,List_StationaryFuelMeters,0),ROUNDUP((COLUMN()+1)/3-2,0))),"")</f>
        <v/>
      </c>
      <c r="AN410" s="127"/>
      <c r="AO410" s="127"/>
      <c r="AP410" s="58" t="str" cm="1">
        <f>IFERROR(IF(ISBLANK($A410),"",INDEX(Array_StationaryCharges,MATCH($A410,List_StationaryFuelMeters,0),ROUNDUP((COLUMN()+1)/3-2,0))),"")</f>
        <v/>
      </c>
      <c r="AQ410" s="127"/>
      <c r="AR410" s="127"/>
      <c r="AS410" s="58" t="str" cm="1">
        <f>IFERROR(IF(ISBLANK($A410),"",INDEX(Array_StationaryCharges,MATCH($A410,List_StationaryFuelMeters,0),ROUNDUP((COLUMN()+1)/3-2,0))),"")</f>
        <v/>
      </c>
      <c r="AT410" s="127"/>
      <c r="AU410" s="127"/>
      <c r="AV410" s="58" t="str" cm="1">
        <f>IFERROR(IF(ISBLANK($A410),"",INDEX(Array_StationaryCharges,MATCH($A410,List_StationaryFuelMeters,0),ROUNDUP((COLUMN()+1)/3-2,0))),"")</f>
        <v/>
      </c>
      <c r="AW410" s="127"/>
      <c r="AX410" s="127"/>
    </row>
    <row r="411" spans="1:50" x14ac:dyDescent="0.3">
      <c r="A411" s="126"/>
      <c r="B411" s="133"/>
      <c r="C411" s="127"/>
      <c r="D411" s="138"/>
      <c r="E411" s="138"/>
      <c r="F411" s="58" t="str" cm="1">
        <f>IFERROR(IF(ISBLANK($A411),"",INDEX(Array_StationaryCharges,MATCH($A411,List_StationaryFuelMeters,0),ROUNDUP((COLUMN()+1)/3-2,0))),"")</f>
        <v/>
      </c>
      <c r="G411" s="127"/>
      <c r="H411" s="127"/>
      <c r="I411" s="58" t="str" cm="1">
        <f>IFERROR(IF(ISBLANK($A411),"",INDEX(Array_StationaryCharges,MATCH($A411,List_StationaryFuelMeters,0),ROUNDUP((COLUMN()+1)/3-2,0))),"")</f>
        <v/>
      </c>
      <c r="J411" s="127"/>
      <c r="K411" s="127"/>
      <c r="L411" s="58" t="str" cm="1">
        <f>IFERROR(IF(ISBLANK($A411),"",INDEX(Array_StationaryCharges,MATCH($A411,List_StationaryFuelMeters,0),ROUNDUP((COLUMN()+1)/3-2,0))),"")</f>
        <v/>
      </c>
      <c r="M411" s="127"/>
      <c r="N411" s="127"/>
      <c r="O411" s="58" t="str" cm="1">
        <f>IFERROR(IF(ISBLANK($A411),"",INDEX(Array_StationaryCharges,MATCH($A411,List_StationaryFuelMeters,0),ROUNDUP((COLUMN()+1)/3-2,0))),"")</f>
        <v/>
      </c>
      <c r="P411" s="127"/>
      <c r="Q411" s="127"/>
      <c r="R411" s="58" t="str" cm="1">
        <f>IFERROR(IF(ISBLANK($A411),"",INDEX(Array_StationaryCharges,MATCH($A411,List_StationaryFuelMeters,0),ROUNDUP((COLUMN()+1)/3-2,0))),"")</f>
        <v/>
      </c>
      <c r="S411" s="127"/>
      <c r="T411" s="127"/>
      <c r="U411" s="58" t="str" cm="1">
        <f>IFERROR(IF(ISBLANK($A411),"",INDEX(Array_StationaryCharges,MATCH($A411,List_StationaryFuelMeters,0),ROUNDUP((COLUMN()+1)/3-2,0))),"")</f>
        <v/>
      </c>
      <c r="V411" s="127"/>
      <c r="W411" s="127"/>
      <c r="X411" s="58" t="str" cm="1">
        <f>IFERROR(IF(ISBLANK($A411),"",INDEX(Array_StationaryCharges,MATCH($A411,List_StationaryFuelMeters,0),ROUNDUP((COLUMN()+1)/3-2,0))),"")</f>
        <v/>
      </c>
      <c r="Y411" s="127"/>
      <c r="Z411" s="127"/>
      <c r="AA411" s="58" t="str" cm="1">
        <f>IFERROR(IF(ISBLANK($A411),"",INDEX(Array_StationaryCharges,MATCH($A411,List_StationaryFuelMeters,0),ROUNDUP((COLUMN()+1)/3-2,0))),"")</f>
        <v/>
      </c>
      <c r="AB411" s="127"/>
      <c r="AC411" s="127"/>
      <c r="AD411" s="58" t="str" cm="1">
        <f>IFERROR(IF(ISBLANK($A411),"",INDEX(Array_StationaryCharges,MATCH($A411,List_StationaryFuelMeters,0),ROUNDUP((COLUMN()+1)/3-2,0))),"")</f>
        <v/>
      </c>
      <c r="AE411" s="127"/>
      <c r="AF411" s="127"/>
      <c r="AG411" s="58" t="str" cm="1">
        <f>IFERROR(IF(ISBLANK($A411),"",INDEX(Array_StationaryCharges,MATCH($A411,List_StationaryFuelMeters,0),ROUNDUP((COLUMN()+1)/3-2,0))),"")</f>
        <v/>
      </c>
      <c r="AH411" s="127"/>
      <c r="AI411" s="127"/>
      <c r="AJ411" s="58" t="str" cm="1">
        <f>IFERROR(IF(ISBLANK($A411),"",INDEX(Array_StationaryCharges,MATCH($A411,List_StationaryFuelMeters,0),ROUNDUP((COLUMN()+1)/3-2,0))),"")</f>
        <v/>
      </c>
      <c r="AK411" s="127"/>
      <c r="AL411" s="127"/>
      <c r="AM411" s="58" t="str" cm="1">
        <f>IFERROR(IF(ISBLANK($A411),"",INDEX(Array_StationaryCharges,MATCH($A411,List_StationaryFuelMeters,0),ROUNDUP((COLUMN()+1)/3-2,0))),"")</f>
        <v/>
      </c>
      <c r="AN411" s="127"/>
      <c r="AO411" s="127"/>
      <c r="AP411" s="58" t="str" cm="1">
        <f>IFERROR(IF(ISBLANK($A411),"",INDEX(Array_StationaryCharges,MATCH($A411,List_StationaryFuelMeters,0),ROUNDUP((COLUMN()+1)/3-2,0))),"")</f>
        <v/>
      </c>
      <c r="AQ411" s="127"/>
      <c r="AR411" s="127"/>
      <c r="AS411" s="58" t="str" cm="1">
        <f>IFERROR(IF(ISBLANK($A411),"",INDEX(Array_StationaryCharges,MATCH($A411,List_StationaryFuelMeters,0),ROUNDUP((COLUMN()+1)/3-2,0))),"")</f>
        <v/>
      </c>
      <c r="AT411" s="127"/>
      <c r="AU411" s="127"/>
      <c r="AV411" s="58" t="str" cm="1">
        <f>IFERROR(IF(ISBLANK($A411),"",INDEX(Array_StationaryCharges,MATCH($A411,List_StationaryFuelMeters,0),ROUNDUP((COLUMN()+1)/3-2,0))),"")</f>
        <v/>
      </c>
      <c r="AW411" s="127"/>
      <c r="AX411" s="127"/>
    </row>
    <row r="412" spans="1:50" x14ac:dyDescent="0.3">
      <c r="A412" s="126"/>
      <c r="B412" s="133"/>
      <c r="C412" s="127"/>
      <c r="D412" s="138"/>
      <c r="E412" s="138"/>
      <c r="F412" s="58" t="str" cm="1">
        <f>IFERROR(IF(ISBLANK($A412),"",INDEX(Array_StationaryCharges,MATCH($A412,List_StationaryFuelMeters,0),ROUNDUP((COLUMN()+1)/3-2,0))),"")</f>
        <v/>
      </c>
      <c r="G412" s="127"/>
      <c r="H412" s="127"/>
      <c r="I412" s="58" t="str" cm="1">
        <f>IFERROR(IF(ISBLANK($A412),"",INDEX(Array_StationaryCharges,MATCH($A412,List_StationaryFuelMeters,0),ROUNDUP((COLUMN()+1)/3-2,0))),"")</f>
        <v/>
      </c>
      <c r="J412" s="127"/>
      <c r="K412" s="127"/>
      <c r="L412" s="58" t="str" cm="1">
        <f>IFERROR(IF(ISBLANK($A412),"",INDEX(Array_StationaryCharges,MATCH($A412,List_StationaryFuelMeters,0),ROUNDUP((COLUMN()+1)/3-2,0))),"")</f>
        <v/>
      </c>
      <c r="M412" s="127"/>
      <c r="N412" s="127"/>
      <c r="O412" s="58" t="str" cm="1">
        <f>IFERROR(IF(ISBLANK($A412),"",INDEX(Array_StationaryCharges,MATCH($A412,List_StationaryFuelMeters,0),ROUNDUP((COLUMN()+1)/3-2,0))),"")</f>
        <v/>
      </c>
      <c r="P412" s="127"/>
      <c r="Q412" s="127"/>
      <c r="R412" s="58" t="str" cm="1">
        <f>IFERROR(IF(ISBLANK($A412),"",INDEX(Array_StationaryCharges,MATCH($A412,List_StationaryFuelMeters,0),ROUNDUP((COLUMN()+1)/3-2,0))),"")</f>
        <v/>
      </c>
      <c r="S412" s="127"/>
      <c r="T412" s="127"/>
      <c r="U412" s="58" t="str" cm="1">
        <f>IFERROR(IF(ISBLANK($A412),"",INDEX(Array_StationaryCharges,MATCH($A412,List_StationaryFuelMeters,0),ROUNDUP((COLUMN()+1)/3-2,0))),"")</f>
        <v/>
      </c>
      <c r="V412" s="127"/>
      <c r="W412" s="127"/>
      <c r="X412" s="58" t="str" cm="1">
        <f>IFERROR(IF(ISBLANK($A412),"",INDEX(Array_StationaryCharges,MATCH($A412,List_StationaryFuelMeters,0),ROUNDUP((COLUMN()+1)/3-2,0))),"")</f>
        <v/>
      </c>
      <c r="Y412" s="127"/>
      <c r="Z412" s="127"/>
      <c r="AA412" s="58" t="str" cm="1">
        <f>IFERROR(IF(ISBLANK($A412),"",INDEX(Array_StationaryCharges,MATCH($A412,List_StationaryFuelMeters,0),ROUNDUP((COLUMN()+1)/3-2,0))),"")</f>
        <v/>
      </c>
      <c r="AB412" s="127"/>
      <c r="AC412" s="127"/>
      <c r="AD412" s="58" t="str" cm="1">
        <f>IFERROR(IF(ISBLANK($A412),"",INDEX(Array_StationaryCharges,MATCH($A412,List_StationaryFuelMeters,0),ROUNDUP((COLUMN()+1)/3-2,0))),"")</f>
        <v/>
      </c>
      <c r="AE412" s="127"/>
      <c r="AF412" s="127"/>
      <c r="AG412" s="58" t="str" cm="1">
        <f>IFERROR(IF(ISBLANK($A412),"",INDEX(Array_StationaryCharges,MATCH($A412,List_StationaryFuelMeters,0),ROUNDUP((COLUMN()+1)/3-2,0))),"")</f>
        <v/>
      </c>
      <c r="AH412" s="127"/>
      <c r="AI412" s="127"/>
      <c r="AJ412" s="58" t="str" cm="1">
        <f>IFERROR(IF(ISBLANK($A412),"",INDEX(Array_StationaryCharges,MATCH($A412,List_StationaryFuelMeters,0),ROUNDUP((COLUMN()+1)/3-2,0))),"")</f>
        <v/>
      </c>
      <c r="AK412" s="127"/>
      <c r="AL412" s="127"/>
      <c r="AM412" s="58" t="str" cm="1">
        <f>IFERROR(IF(ISBLANK($A412),"",INDEX(Array_StationaryCharges,MATCH($A412,List_StationaryFuelMeters,0),ROUNDUP((COLUMN()+1)/3-2,0))),"")</f>
        <v/>
      </c>
      <c r="AN412" s="127"/>
      <c r="AO412" s="127"/>
      <c r="AP412" s="58" t="str" cm="1">
        <f>IFERROR(IF(ISBLANK($A412),"",INDEX(Array_StationaryCharges,MATCH($A412,List_StationaryFuelMeters,0),ROUNDUP((COLUMN()+1)/3-2,0))),"")</f>
        <v/>
      </c>
      <c r="AQ412" s="127"/>
      <c r="AR412" s="127"/>
      <c r="AS412" s="58" t="str" cm="1">
        <f>IFERROR(IF(ISBLANK($A412),"",INDEX(Array_StationaryCharges,MATCH($A412,List_StationaryFuelMeters,0),ROUNDUP((COLUMN()+1)/3-2,0))),"")</f>
        <v/>
      </c>
      <c r="AT412" s="127"/>
      <c r="AU412" s="127"/>
      <c r="AV412" s="58" t="str" cm="1">
        <f>IFERROR(IF(ISBLANK($A412),"",INDEX(Array_StationaryCharges,MATCH($A412,List_StationaryFuelMeters,0),ROUNDUP((COLUMN()+1)/3-2,0))),"")</f>
        <v/>
      </c>
      <c r="AW412" s="127"/>
      <c r="AX412" s="127"/>
    </row>
    <row r="413" spans="1:50" x14ac:dyDescent="0.3">
      <c r="A413" s="126"/>
      <c r="B413" s="133"/>
      <c r="C413" s="127"/>
      <c r="D413" s="138"/>
      <c r="E413" s="138"/>
      <c r="F413" s="58" t="str" cm="1">
        <f>IFERROR(IF(ISBLANK($A413),"",INDEX(Array_StationaryCharges,MATCH($A413,List_StationaryFuelMeters,0),ROUNDUP((COLUMN()+1)/3-2,0))),"")</f>
        <v/>
      </c>
      <c r="G413" s="127"/>
      <c r="H413" s="127"/>
      <c r="I413" s="58" t="str" cm="1">
        <f>IFERROR(IF(ISBLANK($A413),"",INDEX(Array_StationaryCharges,MATCH($A413,List_StationaryFuelMeters,0),ROUNDUP((COLUMN()+1)/3-2,0))),"")</f>
        <v/>
      </c>
      <c r="J413" s="127"/>
      <c r="K413" s="127"/>
      <c r="L413" s="58" t="str" cm="1">
        <f>IFERROR(IF(ISBLANK($A413),"",INDEX(Array_StationaryCharges,MATCH($A413,List_StationaryFuelMeters,0),ROUNDUP((COLUMN()+1)/3-2,0))),"")</f>
        <v/>
      </c>
      <c r="M413" s="127"/>
      <c r="N413" s="127"/>
      <c r="O413" s="58" t="str" cm="1">
        <f>IFERROR(IF(ISBLANK($A413),"",INDEX(Array_StationaryCharges,MATCH($A413,List_StationaryFuelMeters,0),ROUNDUP((COLUMN()+1)/3-2,0))),"")</f>
        <v/>
      </c>
      <c r="P413" s="127"/>
      <c r="Q413" s="127"/>
      <c r="R413" s="58" t="str" cm="1">
        <f>IFERROR(IF(ISBLANK($A413),"",INDEX(Array_StationaryCharges,MATCH($A413,List_StationaryFuelMeters,0),ROUNDUP((COLUMN()+1)/3-2,0))),"")</f>
        <v/>
      </c>
      <c r="S413" s="127"/>
      <c r="T413" s="127"/>
      <c r="U413" s="58" t="str" cm="1">
        <f>IFERROR(IF(ISBLANK($A413),"",INDEX(Array_StationaryCharges,MATCH($A413,List_StationaryFuelMeters,0),ROUNDUP((COLUMN()+1)/3-2,0))),"")</f>
        <v/>
      </c>
      <c r="V413" s="127"/>
      <c r="W413" s="127"/>
      <c r="X413" s="58" t="str" cm="1">
        <f>IFERROR(IF(ISBLANK($A413),"",INDEX(Array_StationaryCharges,MATCH($A413,List_StationaryFuelMeters,0),ROUNDUP((COLUMN()+1)/3-2,0))),"")</f>
        <v/>
      </c>
      <c r="Y413" s="127"/>
      <c r="Z413" s="127"/>
      <c r="AA413" s="58" t="str" cm="1">
        <f>IFERROR(IF(ISBLANK($A413),"",INDEX(Array_StationaryCharges,MATCH($A413,List_StationaryFuelMeters,0),ROUNDUP((COLUMN()+1)/3-2,0))),"")</f>
        <v/>
      </c>
      <c r="AB413" s="127"/>
      <c r="AC413" s="127"/>
      <c r="AD413" s="58" t="str" cm="1">
        <f>IFERROR(IF(ISBLANK($A413),"",INDEX(Array_StationaryCharges,MATCH($A413,List_StationaryFuelMeters,0),ROUNDUP((COLUMN()+1)/3-2,0))),"")</f>
        <v/>
      </c>
      <c r="AE413" s="127"/>
      <c r="AF413" s="127"/>
      <c r="AG413" s="58" t="str" cm="1">
        <f>IFERROR(IF(ISBLANK($A413),"",INDEX(Array_StationaryCharges,MATCH($A413,List_StationaryFuelMeters,0),ROUNDUP((COLUMN()+1)/3-2,0))),"")</f>
        <v/>
      </c>
      <c r="AH413" s="127"/>
      <c r="AI413" s="127"/>
      <c r="AJ413" s="58" t="str" cm="1">
        <f>IFERROR(IF(ISBLANK($A413),"",INDEX(Array_StationaryCharges,MATCH($A413,List_StationaryFuelMeters,0),ROUNDUP((COLUMN()+1)/3-2,0))),"")</f>
        <v/>
      </c>
      <c r="AK413" s="127"/>
      <c r="AL413" s="127"/>
      <c r="AM413" s="58" t="str" cm="1">
        <f>IFERROR(IF(ISBLANK($A413),"",INDEX(Array_StationaryCharges,MATCH($A413,List_StationaryFuelMeters,0),ROUNDUP((COLUMN()+1)/3-2,0))),"")</f>
        <v/>
      </c>
      <c r="AN413" s="127"/>
      <c r="AO413" s="127"/>
      <c r="AP413" s="58" t="str" cm="1">
        <f>IFERROR(IF(ISBLANK($A413),"",INDEX(Array_StationaryCharges,MATCH($A413,List_StationaryFuelMeters,0),ROUNDUP((COLUMN()+1)/3-2,0))),"")</f>
        <v/>
      </c>
      <c r="AQ413" s="127"/>
      <c r="AR413" s="127"/>
      <c r="AS413" s="58" t="str" cm="1">
        <f>IFERROR(IF(ISBLANK($A413),"",INDEX(Array_StationaryCharges,MATCH($A413,List_StationaryFuelMeters,0),ROUNDUP((COLUMN()+1)/3-2,0))),"")</f>
        <v/>
      </c>
      <c r="AT413" s="127"/>
      <c r="AU413" s="127"/>
      <c r="AV413" s="58" t="str" cm="1">
        <f>IFERROR(IF(ISBLANK($A413),"",INDEX(Array_StationaryCharges,MATCH($A413,List_StationaryFuelMeters,0),ROUNDUP((COLUMN()+1)/3-2,0))),"")</f>
        <v/>
      </c>
      <c r="AW413" s="127"/>
      <c r="AX413" s="127"/>
    </row>
    <row r="414" spans="1:50" x14ac:dyDescent="0.3">
      <c r="A414" s="126"/>
      <c r="B414" s="133"/>
      <c r="C414" s="127"/>
      <c r="D414" s="138"/>
      <c r="E414" s="138"/>
      <c r="F414" s="58" t="str" cm="1">
        <f>IFERROR(IF(ISBLANK($A414),"",INDEX(Array_StationaryCharges,MATCH($A414,List_StationaryFuelMeters,0),ROUNDUP((COLUMN()+1)/3-2,0))),"")</f>
        <v/>
      </c>
      <c r="G414" s="127"/>
      <c r="H414" s="127"/>
      <c r="I414" s="58" t="str" cm="1">
        <f>IFERROR(IF(ISBLANK($A414),"",INDEX(Array_StationaryCharges,MATCH($A414,List_StationaryFuelMeters,0),ROUNDUP((COLUMN()+1)/3-2,0))),"")</f>
        <v/>
      </c>
      <c r="J414" s="127"/>
      <c r="K414" s="127"/>
      <c r="L414" s="58" t="str" cm="1">
        <f>IFERROR(IF(ISBLANK($A414),"",INDEX(Array_StationaryCharges,MATCH($A414,List_StationaryFuelMeters,0),ROUNDUP((COLUMN()+1)/3-2,0))),"")</f>
        <v/>
      </c>
      <c r="M414" s="127"/>
      <c r="N414" s="127"/>
      <c r="O414" s="58" t="str" cm="1">
        <f>IFERROR(IF(ISBLANK($A414),"",INDEX(Array_StationaryCharges,MATCH($A414,List_StationaryFuelMeters,0),ROUNDUP((COLUMN()+1)/3-2,0))),"")</f>
        <v/>
      </c>
      <c r="P414" s="127"/>
      <c r="Q414" s="127"/>
      <c r="R414" s="58" t="str" cm="1">
        <f>IFERROR(IF(ISBLANK($A414),"",INDEX(Array_StationaryCharges,MATCH($A414,List_StationaryFuelMeters,0),ROUNDUP((COLUMN()+1)/3-2,0))),"")</f>
        <v/>
      </c>
      <c r="S414" s="127"/>
      <c r="T414" s="127"/>
      <c r="U414" s="58" t="str" cm="1">
        <f>IFERROR(IF(ISBLANK($A414),"",INDEX(Array_StationaryCharges,MATCH($A414,List_StationaryFuelMeters,0),ROUNDUP((COLUMN()+1)/3-2,0))),"")</f>
        <v/>
      </c>
      <c r="V414" s="127"/>
      <c r="W414" s="127"/>
      <c r="X414" s="58" t="str" cm="1">
        <f>IFERROR(IF(ISBLANK($A414),"",INDEX(Array_StationaryCharges,MATCH($A414,List_StationaryFuelMeters,0),ROUNDUP((COLUMN()+1)/3-2,0))),"")</f>
        <v/>
      </c>
      <c r="Y414" s="127"/>
      <c r="Z414" s="127"/>
      <c r="AA414" s="58" t="str" cm="1">
        <f>IFERROR(IF(ISBLANK($A414),"",INDEX(Array_StationaryCharges,MATCH($A414,List_StationaryFuelMeters,0),ROUNDUP((COLUMN()+1)/3-2,0))),"")</f>
        <v/>
      </c>
      <c r="AB414" s="127"/>
      <c r="AC414" s="127"/>
      <c r="AD414" s="58" t="str" cm="1">
        <f>IFERROR(IF(ISBLANK($A414),"",INDEX(Array_StationaryCharges,MATCH($A414,List_StationaryFuelMeters,0),ROUNDUP((COLUMN()+1)/3-2,0))),"")</f>
        <v/>
      </c>
      <c r="AE414" s="127"/>
      <c r="AF414" s="127"/>
      <c r="AG414" s="58" t="str" cm="1">
        <f>IFERROR(IF(ISBLANK($A414),"",INDEX(Array_StationaryCharges,MATCH($A414,List_StationaryFuelMeters,0),ROUNDUP((COLUMN()+1)/3-2,0))),"")</f>
        <v/>
      </c>
      <c r="AH414" s="127"/>
      <c r="AI414" s="127"/>
      <c r="AJ414" s="58" t="str" cm="1">
        <f>IFERROR(IF(ISBLANK($A414),"",INDEX(Array_StationaryCharges,MATCH($A414,List_StationaryFuelMeters,0),ROUNDUP((COLUMN()+1)/3-2,0))),"")</f>
        <v/>
      </c>
      <c r="AK414" s="127"/>
      <c r="AL414" s="127"/>
      <c r="AM414" s="58" t="str" cm="1">
        <f>IFERROR(IF(ISBLANK($A414),"",INDEX(Array_StationaryCharges,MATCH($A414,List_StationaryFuelMeters,0),ROUNDUP((COLUMN()+1)/3-2,0))),"")</f>
        <v/>
      </c>
      <c r="AN414" s="127"/>
      <c r="AO414" s="127"/>
      <c r="AP414" s="58" t="str" cm="1">
        <f>IFERROR(IF(ISBLANK($A414),"",INDEX(Array_StationaryCharges,MATCH($A414,List_StationaryFuelMeters,0),ROUNDUP((COLUMN()+1)/3-2,0))),"")</f>
        <v/>
      </c>
      <c r="AQ414" s="127"/>
      <c r="AR414" s="127"/>
      <c r="AS414" s="58" t="str" cm="1">
        <f>IFERROR(IF(ISBLANK($A414),"",INDEX(Array_StationaryCharges,MATCH($A414,List_StationaryFuelMeters,0),ROUNDUP((COLUMN()+1)/3-2,0))),"")</f>
        <v/>
      </c>
      <c r="AT414" s="127"/>
      <c r="AU414" s="127"/>
      <c r="AV414" s="58" t="str" cm="1">
        <f>IFERROR(IF(ISBLANK($A414),"",INDEX(Array_StationaryCharges,MATCH($A414,List_StationaryFuelMeters,0),ROUNDUP((COLUMN()+1)/3-2,0))),"")</f>
        <v/>
      </c>
      <c r="AW414" s="127"/>
      <c r="AX414" s="127"/>
    </row>
    <row r="415" spans="1:50" x14ac:dyDescent="0.3">
      <c r="A415" s="126"/>
      <c r="B415" s="133"/>
      <c r="C415" s="127"/>
      <c r="D415" s="138"/>
      <c r="E415" s="138"/>
      <c r="F415" s="58" t="str" cm="1">
        <f>IFERROR(IF(ISBLANK($A415),"",INDEX(Array_StationaryCharges,MATCH($A415,List_StationaryFuelMeters,0),ROUNDUP((COLUMN()+1)/3-2,0))),"")</f>
        <v/>
      </c>
      <c r="G415" s="127"/>
      <c r="H415" s="127"/>
      <c r="I415" s="58" t="str" cm="1">
        <f>IFERROR(IF(ISBLANK($A415),"",INDEX(Array_StationaryCharges,MATCH($A415,List_StationaryFuelMeters,0),ROUNDUP((COLUMN()+1)/3-2,0))),"")</f>
        <v/>
      </c>
      <c r="J415" s="127"/>
      <c r="K415" s="127"/>
      <c r="L415" s="58" t="str" cm="1">
        <f>IFERROR(IF(ISBLANK($A415),"",INDEX(Array_StationaryCharges,MATCH($A415,List_StationaryFuelMeters,0),ROUNDUP((COLUMN()+1)/3-2,0))),"")</f>
        <v/>
      </c>
      <c r="M415" s="127"/>
      <c r="N415" s="127"/>
      <c r="O415" s="58" t="str" cm="1">
        <f>IFERROR(IF(ISBLANK($A415),"",INDEX(Array_StationaryCharges,MATCH($A415,List_StationaryFuelMeters,0),ROUNDUP((COLUMN()+1)/3-2,0))),"")</f>
        <v/>
      </c>
      <c r="P415" s="127"/>
      <c r="Q415" s="127"/>
      <c r="R415" s="58" t="str" cm="1">
        <f>IFERROR(IF(ISBLANK($A415),"",INDEX(Array_StationaryCharges,MATCH($A415,List_StationaryFuelMeters,0),ROUNDUP((COLUMN()+1)/3-2,0))),"")</f>
        <v/>
      </c>
      <c r="S415" s="127"/>
      <c r="T415" s="127"/>
      <c r="U415" s="58" t="str" cm="1">
        <f>IFERROR(IF(ISBLANK($A415),"",INDEX(Array_StationaryCharges,MATCH($A415,List_StationaryFuelMeters,0),ROUNDUP((COLUMN()+1)/3-2,0))),"")</f>
        <v/>
      </c>
      <c r="V415" s="127"/>
      <c r="W415" s="127"/>
      <c r="X415" s="58" t="str" cm="1">
        <f>IFERROR(IF(ISBLANK($A415),"",INDEX(Array_StationaryCharges,MATCH($A415,List_StationaryFuelMeters,0),ROUNDUP((COLUMN()+1)/3-2,0))),"")</f>
        <v/>
      </c>
      <c r="Y415" s="127"/>
      <c r="Z415" s="127"/>
      <c r="AA415" s="58" t="str" cm="1">
        <f>IFERROR(IF(ISBLANK($A415),"",INDEX(Array_StationaryCharges,MATCH($A415,List_StationaryFuelMeters,0),ROUNDUP((COLUMN()+1)/3-2,0))),"")</f>
        <v/>
      </c>
      <c r="AB415" s="127"/>
      <c r="AC415" s="127"/>
      <c r="AD415" s="58" t="str" cm="1">
        <f>IFERROR(IF(ISBLANK($A415),"",INDEX(Array_StationaryCharges,MATCH($A415,List_StationaryFuelMeters,0),ROUNDUP((COLUMN()+1)/3-2,0))),"")</f>
        <v/>
      </c>
      <c r="AE415" s="127"/>
      <c r="AF415" s="127"/>
      <c r="AG415" s="58" t="str" cm="1">
        <f>IFERROR(IF(ISBLANK($A415),"",INDEX(Array_StationaryCharges,MATCH($A415,List_StationaryFuelMeters,0),ROUNDUP((COLUMN()+1)/3-2,0))),"")</f>
        <v/>
      </c>
      <c r="AH415" s="127"/>
      <c r="AI415" s="127"/>
      <c r="AJ415" s="58" t="str" cm="1">
        <f>IFERROR(IF(ISBLANK($A415),"",INDEX(Array_StationaryCharges,MATCH($A415,List_StationaryFuelMeters,0),ROUNDUP((COLUMN()+1)/3-2,0))),"")</f>
        <v/>
      </c>
      <c r="AK415" s="127"/>
      <c r="AL415" s="127"/>
      <c r="AM415" s="58" t="str" cm="1">
        <f>IFERROR(IF(ISBLANK($A415),"",INDEX(Array_StationaryCharges,MATCH($A415,List_StationaryFuelMeters,0),ROUNDUP((COLUMN()+1)/3-2,0))),"")</f>
        <v/>
      </c>
      <c r="AN415" s="127"/>
      <c r="AO415" s="127"/>
      <c r="AP415" s="58" t="str" cm="1">
        <f>IFERROR(IF(ISBLANK($A415),"",INDEX(Array_StationaryCharges,MATCH($A415,List_StationaryFuelMeters,0),ROUNDUP((COLUMN()+1)/3-2,0))),"")</f>
        <v/>
      </c>
      <c r="AQ415" s="127"/>
      <c r="AR415" s="127"/>
      <c r="AS415" s="58" t="str" cm="1">
        <f>IFERROR(IF(ISBLANK($A415),"",INDEX(Array_StationaryCharges,MATCH($A415,List_StationaryFuelMeters,0),ROUNDUP((COLUMN()+1)/3-2,0))),"")</f>
        <v/>
      </c>
      <c r="AT415" s="127"/>
      <c r="AU415" s="127"/>
      <c r="AV415" s="58" t="str" cm="1">
        <f>IFERROR(IF(ISBLANK($A415),"",INDEX(Array_StationaryCharges,MATCH($A415,List_StationaryFuelMeters,0),ROUNDUP((COLUMN()+1)/3-2,0))),"")</f>
        <v/>
      </c>
      <c r="AW415" s="127"/>
      <c r="AX415" s="127"/>
    </row>
    <row r="416" spans="1:50" x14ac:dyDescent="0.3">
      <c r="A416" s="126"/>
      <c r="B416" s="133"/>
      <c r="C416" s="127"/>
      <c r="D416" s="138"/>
      <c r="E416" s="138"/>
      <c r="F416" s="58" t="str" cm="1">
        <f>IFERROR(IF(ISBLANK($A416),"",INDEX(Array_StationaryCharges,MATCH($A416,List_StationaryFuelMeters,0),ROUNDUP((COLUMN()+1)/3-2,0))),"")</f>
        <v/>
      </c>
      <c r="G416" s="127"/>
      <c r="H416" s="127"/>
      <c r="I416" s="58" t="str" cm="1">
        <f>IFERROR(IF(ISBLANK($A416),"",INDEX(Array_StationaryCharges,MATCH($A416,List_StationaryFuelMeters,0),ROUNDUP((COLUMN()+1)/3-2,0))),"")</f>
        <v/>
      </c>
      <c r="J416" s="127"/>
      <c r="K416" s="127"/>
      <c r="L416" s="58" t="str" cm="1">
        <f>IFERROR(IF(ISBLANK($A416),"",INDEX(Array_StationaryCharges,MATCH($A416,List_StationaryFuelMeters,0),ROUNDUP((COLUMN()+1)/3-2,0))),"")</f>
        <v/>
      </c>
      <c r="M416" s="127"/>
      <c r="N416" s="127"/>
      <c r="O416" s="58" t="str" cm="1">
        <f>IFERROR(IF(ISBLANK($A416),"",INDEX(Array_StationaryCharges,MATCH($A416,List_StationaryFuelMeters,0),ROUNDUP((COLUMN()+1)/3-2,0))),"")</f>
        <v/>
      </c>
      <c r="P416" s="127"/>
      <c r="Q416" s="127"/>
      <c r="R416" s="58" t="str" cm="1">
        <f>IFERROR(IF(ISBLANK($A416),"",INDEX(Array_StationaryCharges,MATCH($A416,List_StationaryFuelMeters,0),ROUNDUP((COLUMN()+1)/3-2,0))),"")</f>
        <v/>
      </c>
      <c r="S416" s="127"/>
      <c r="T416" s="127"/>
      <c r="U416" s="58" t="str" cm="1">
        <f>IFERROR(IF(ISBLANK($A416),"",INDEX(Array_StationaryCharges,MATCH($A416,List_StationaryFuelMeters,0),ROUNDUP((COLUMN()+1)/3-2,0))),"")</f>
        <v/>
      </c>
      <c r="V416" s="127"/>
      <c r="W416" s="127"/>
      <c r="X416" s="58" t="str" cm="1">
        <f>IFERROR(IF(ISBLANK($A416),"",INDEX(Array_StationaryCharges,MATCH($A416,List_StationaryFuelMeters,0),ROUNDUP((COLUMN()+1)/3-2,0))),"")</f>
        <v/>
      </c>
      <c r="Y416" s="127"/>
      <c r="Z416" s="127"/>
      <c r="AA416" s="58" t="str" cm="1">
        <f>IFERROR(IF(ISBLANK($A416),"",INDEX(Array_StationaryCharges,MATCH($A416,List_StationaryFuelMeters,0),ROUNDUP((COLUMN()+1)/3-2,0))),"")</f>
        <v/>
      </c>
      <c r="AB416" s="127"/>
      <c r="AC416" s="127"/>
      <c r="AD416" s="58" t="str" cm="1">
        <f>IFERROR(IF(ISBLANK($A416),"",INDEX(Array_StationaryCharges,MATCH($A416,List_StationaryFuelMeters,0),ROUNDUP((COLUMN()+1)/3-2,0))),"")</f>
        <v/>
      </c>
      <c r="AE416" s="127"/>
      <c r="AF416" s="127"/>
      <c r="AG416" s="58" t="str" cm="1">
        <f>IFERROR(IF(ISBLANK($A416),"",INDEX(Array_StationaryCharges,MATCH($A416,List_StationaryFuelMeters,0),ROUNDUP((COLUMN()+1)/3-2,0))),"")</f>
        <v/>
      </c>
      <c r="AH416" s="127"/>
      <c r="AI416" s="127"/>
      <c r="AJ416" s="58" t="str" cm="1">
        <f>IFERROR(IF(ISBLANK($A416),"",INDEX(Array_StationaryCharges,MATCH($A416,List_StationaryFuelMeters,0),ROUNDUP((COLUMN()+1)/3-2,0))),"")</f>
        <v/>
      </c>
      <c r="AK416" s="127"/>
      <c r="AL416" s="127"/>
      <c r="AM416" s="58" t="str" cm="1">
        <f>IFERROR(IF(ISBLANK($A416),"",INDEX(Array_StationaryCharges,MATCH($A416,List_StationaryFuelMeters,0),ROUNDUP((COLUMN()+1)/3-2,0))),"")</f>
        <v/>
      </c>
      <c r="AN416" s="127"/>
      <c r="AO416" s="127"/>
      <c r="AP416" s="58" t="str" cm="1">
        <f>IFERROR(IF(ISBLANK($A416),"",INDEX(Array_StationaryCharges,MATCH($A416,List_StationaryFuelMeters,0),ROUNDUP((COLUMN()+1)/3-2,0))),"")</f>
        <v/>
      </c>
      <c r="AQ416" s="127"/>
      <c r="AR416" s="127"/>
      <c r="AS416" s="58" t="str" cm="1">
        <f>IFERROR(IF(ISBLANK($A416),"",INDEX(Array_StationaryCharges,MATCH($A416,List_StationaryFuelMeters,0),ROUNDUP((COLUMN()+1)/3-2,0))),"")</f>
        <v/>
      </c>
      <c r="AT416" s="127"/>
      <c r="AU416" s="127"/>
      <c r="AV416" s="58" t="str" cm="1">
        <f>IFERROR(IF(ISBLANK($A416),"",INDEX(Array_StationaryCharges,MATCH($A416,List_StationaryFuelMeters,0),ROUNDUP((COLUMN()+1)/3-2,0))),"")</f>
        <v/>
      </c>
      <c r="AW416" s="127"/>
      <c r="AX416" s="127"/>
    </row>
    <row r="417" spans="1:50" x14ac:dyDescent="0.3">
      <c r="A417" s="126"/>
      <c r="B417" s="133"/>
      <c r="C417" s="127"/>
      <c r="D417" s="138"/>
      <c r="E417" s="138"/>
      <c r="F417" s="58" t="str" cm="1">
        <f>IFERROR(IF(ISBLANK($A417),"",INDEX(Array_StationaryCharges,MATCH($A417,List_StationaryFuelMeters,0),ROUNDUP((COLUMN()+1)/3-2,0))),"")</f>
        <v/>
      </c>
      <c r="G417" s="127"/>
      <c r="H417" s="127"/>
      <c r="I417" s="58" t="str" cm="1">
        <f>IFERROR(IF(ISBLANK($A417),"",INDEX(Array_StationaryCharges,MATCH($A417,List_StationaryFuelMeters,0),ROUNDUP((COLUMN()+1)/3-2,0))),"")</f>
        <v/>
      </c>
      <c r="J417" s="127"/>
      <c r="K417" s="127"/>
      <c r="L417" s="58" t="str" cm="1">
        <f>IFERROR(IF(ISBLANK($A417),"",INDEX(Array_StationaryCharges,MATCH($A417,List_StationaryFuelMeters,0),ROUNDUP((COLUMN()+1)/3-2,0))),"")</f>
        <v/>
      </c>
      <c r="M417" s="127"/>
      <c r="N417" s="127"/>
      <c r="O417" s="58" t="str" cm="1">
        <f>IFERROR(IF(ISBLANK($A417),"",INDEX(Array_StationaryCharges,MATCH($A417,List_StationaryFuelMeters,0),ROUNDUP((COLUMN()+1)/3-2,0))),"")</f>
        <v/>
      </c>
      <c r="P417" s="127"/>
      <c r="Q417" s="127"/>
      <c r="R417" s="58" t="str" cm="1">
        <f>IFERROR(IF(ISBLANK($A417),"",INDEX(Array_StationaryCharges,MATCH($A417,List_StationaryFuelMeters,0),ROUNDUP((COLUMN()+1)/3-2,0))),"")</f>
        <v/>
      </c>
      <c r="S417" s="127"/>
      <c r="T417" s="127"/>
      <c r="U417" s="58" t="str" cm="1">
        <f>IFERROR(IF(ISBLANK($A417),"",INDEX(Array_StationaryCharges,MATCH($A417,List_StationaryFuelMeters,0),ROUNDUP((COLUMN()+1)/3-2,0))),"")</f>
        <v/>
      </c>
      <c r="V417" s="127"/>
      <c r="W417" s="127"/>
      <c r="X417" s="58" t="str" cm="1">
        <f>IFERROR(IF(ISBLANK($A417),"",INDEX(Array_StationaryCharges,MATCH($A417,List_StationaryFuelMeters,0),ROUNDUP((COLUMN()+1)/3-2,0))),"")</f>
        <v/>
      </c>
      <c r="Y417" s="127"/>
      <c r="Z417" s="127"/>
      <c r="AA417" s="58" t="str" cm="1">
        <f>IFERROR(IF(ISBLANK($A417),"",INDEX(Array_StationaryCharges,MATCH($A417,List_StationaryFuelMeters,0),ROUNDUP((COLUMN()+1)/3-2,0))),"")</f>
        <v/>
      </c>
      <c r="AB417" s="127"/>
      <c r="AC417" s="127"/>
      <c r="AD417" s="58" t="str" cm="1">
        <f>IFERROR(IF(ISBLANK($A417),"",INDEX(Array_StationaryCharges,MATCH($A417,List_StationaryFuelMeters,0),ROUNDUP((COLUMN()+1)/3-2,0))),"")</f>
        <v/>
      </c>
      <c r="AE417" s="127"/>
      <c r="AF417" s="127"/>
      <c r="AG417" s="58" t="str" cm="1">
        <f>IFERROR(IF(ISBLANK($A417),"",INDEX(Array_StationaryCharges,MATCH($A417,List_StationaryFuelMeters,0),ROUNDUP((COLUMN()+1)/3-2,0))),"")</f>
        <v/>
      </c>
      <c r="AH417" s="127"/>
      <c r="AI417" s="127"/>
      <c r="AJ417" s="58" t="str" cm="1">
        <f>IFERROR(IF(ISBLANK($A417),"",INDEX(Array_StationaryCharges,MATCH($A417,List_StationaryFuelMeters,0),ROUNDUP((COLUMN()+1)/3-2,0))),"")</f>
        <v/>
      </c>
      <c r="AK417" s="127"/>
      <c r="AL417" s="127"/>
      <c r="AM417" s="58" t="str" cm="1">
        <f>IFERROR(IF(ISBLANK($A417),"",INDEX(Array_StationaryCharges,MATCH($A417,List_StationaryFuelMeters,0),ROUNDUP((COLUMN()+1)/3-2,0))),"")</f>
        <v/>
      </c>
      <c r="AN417" s="127"/>
      <c r="AO417" s="127"/>
      <c r="AP417" s="58" t="str" cm="1">
        <f>IFERROR(IF(ISBLANK($A417),"",INDEX(Array_StationaryCharges,MATCH($A417,List_StationaryFuelMeters,0),ROUNDUP((COLUMN()+1)/3-2,0))),"")</f>
        <v/>
      </c>
      <c r="AQ417" s="127"/>
      <c r="AR417" s="127"/>
      <c r="AS417" s="58" t="str" cm="1">
        <f>IFERROR(IF(ISBLANK($A417),"",INDEX(Array_StationaryCharges,MATCH($A417,List_StationaryFuelMeters,0),ROUNDUP((COLUMN()+1)/3-2,0))),"")</f>
        <v/>
      </c>
      <c r="AT417" s="127"/>
      <c r="AU417" s="127"/>
      <c r="AV417" s="58" t="str" cm="1">
        <f>IFERROR(IF(ISBLANK($A417),"",INDEX(Array_StationaryCharges,MATCH($A417,List_StationaryFuelMeters,0),ROUNDUP((COLUMN()+1)/3-2,0))),"")</f>
        <v/>
      </c>
      <c r="AW417" s="127"/>
      <c r="AX417" s="127"/>
    </row>
    <row r="418" spans="1:50" x14ac:dyDescent="0.3">
      <c r="A418" s="126"/>
      <c r="B418" s="133"/>
      <c r="C418" s="127"/>
      <c r="D418" s="138"/>
      <c r="E418" s="138"/>
      <c r="F418" s="58" t="str" cm="1">
        <f>IFERROR(IF(ISBLANK($A418),"",INDEX(Array_StationaryCharges,MATCH($A418,List_StationaryFuelMeters,0),ROUNDUP((COLUMN()+1)/3-2,0))),"")</f>
        <v/>
      </c>
      <c r="G418" s="127"/>
      <c r="H418" s="127"/>
      <c r="I418" s="58" t="str" cm="1">
        <f>IFERROR(IF(ISBLANK($A418),"",INDEX(Array_StationaryCharges,MATCH($A418,List_StationaryFuelMeters,0),ROUNDUP((COLUMN()+1)/3-2,0))),"")</f>
        <v/>
      </c>
      <c r="J418" s="127"/>
      <c r="K418" s="127"/>
      <c r="L418" s="58" t="str" cm="1">
        <f>IFERROR(IF(ISBLANK($A418),"",INDEX(Array_StationaryCharges,MATCH($A418,List_StationaryFuelMeters,0),ROUNDUP((COLUMN()+1)/3-2,0))),"")</f>
        <v/>
      </c>
      <c r="M418" s="127"/>
      <c r="N418" s="127"/>
      <c r="O418" s="58" t="str" cm="1">
        <f>IFERROR(IF(ISBLANK($A418),"",INDEX(Array_StationaryCharges,MATCH($A418,List_StationaryFuelMeters,0),ROUNDUP((COLUMN()+1)/3-2,0))),"")</f>
        <v/>
      </c>
      <c r="P418" s="127"/>
      <c r="Q418" s="127"/>
      <c r="R418" s="58" t="str" cm="1">
        <f>IFERROR(IF(ISBLANK($A418),"",INDEX(Array_StationaryCharges,MATCH($A418,List_StationaryFuelMeters,0),ROUNDUP((COLUMN()+1)/3-2,0))),"")</f>
        <v/>
      </c>
      <c r="S418" s="127"/>
      <c r="T418" s="127"/>
      <c r="U418" s="58" t="str" cm="1">
        <f>IFERROR(IF(ISBLANK($A418),"",INDEX(Array_StationaryCharges,MATCH($A418,List_StationaryFuelMeters,0),ROUNDUP((COLUMN()+1)/3-2,0))),"")</f>
        <v/>
      </c>
      <c r="V418" s="127"/>
      <c r="W418" s="127"/>
      <c r="X418" s="58" t="str" cm="1">
        <f>IFERROR(IF(ISBLANK($A418),"",INDEX(Array_StationaryCharges,MATCH($A418,List_StationaryFuelMeters,0),ROUNDUP((COLUMN()+1)/3-2,0))),"")</f>
        <v/>
      </c>
      <c r="Y418" s="127"/>
      <c r="Z418" s="127"/>
      <c r="AA418" s="58" t="str" cm="1">
        <f>IFERROR(IF(ISBLANK($A418),"",INDEX(Array_StationaryCharges,MATCH($A418,List_StationaryFuelMeters,0),ROUNDUP((COLUMN()+1)/3-2,0))),"")</f>
        <v/>
      </c>
      <c r="AB418" s="127"/>
      <c r="AC418" s="127"/>
      <c r="AD418" s="58" t="str" cm="1">
        <f>IFERROR(IF(ISBLANK($A418),"",INDEX(Array_StationaryCharges,MATCH($A418,List_StationaryFuelMeters,0),ROUNDUP((COLUMN()+1)/3-2,0))),"")</f>
        <v/>
      </c>
      <c r="AE418" s="127"/>
      <c r="AF418" s="127"/>
      <c r="AG418" s="58" t="str" cm="1">
        <f>IFERROR(IF(ISBLANK($A418),"",INDEX(Array_StationaryCharges,MATCH($A418,List_StationaryFuelMeters,0),ROUNDUP((COLUMN()+1)/3-2,0))),"")</f>
        <v/>
      </c>
      <c r="AH418" s="127"/>
      <c r="AI418" s="127"/>
      <c r="AJ418" s="58" t="str" cm="1">
        <f>IFERROR(IF(ISBLANK($A418),"",INDEX(Array_StationaryCharges,MATCH($A418,List_StationaryFuelMeters,0),ROUNDUP((COLUMN()+1)/3-2,0))),"")</f>
        <v/>
      </c>
      <c r="AK418" s="127"/>
      <c r="AL418" s="127"/>
      <c r="AM418" s="58" t="str" cm="1">
        <f>IFERROR(IF(ISBLANK($A418),"",INDEX(Array_StationaryCharges,MATCH($A418,List_StationaryFuelMeters,0),ROUNDUP((COLUMN()+1)/3-2,0))),"")</f>
        <v/>
      </c>
      <c r="AN418" s="127"/>
      <c r="AO418" s="127"/>
      <c r="AP418" s="58" t="str" cm="1">
        <f>IFERROR(IF(ISBLANK($A418),"",INDEX(Array_StationaryCharges,MATCH($A418,List_StationaryFuelMeters,0),ROUNDUP((COLUMN()+1)/3-2,0))),"")</f>
        <v/>
      </c>
      <c r="AQ418" s="127"/>
      <c r="AR418" s="127"/>
      <c r="AS418" s="58" t="str" cm="1">
        <f>IFERROR(IF(ISBLANK($A418),"",INDEX(Array_StationaryCharges,MATCH($A418,List_StationaryFuelMeters,0),ROUNDUP((COLUMN()+1)/3-2,0))),"")</f>
        <v/>
      </c>
      <c r="AT418" s="127"/>
      <c r="AU418" s="127"/>
      <c r="AV418" s="58" t="str" cm="1">
        <f>IFERROR(IF(ISBLANK($A418),"",INDEX(Array_StationaryCharges,MATCH($A418,List_StationaryFuelMeters,0),ROUNDUP((COLUMN()+1)/3-2,0))),"")</f>
        <v/>
      </c>
      <c r="AW418" s="127"/>
      <c r="AX418" s="127"/>
    </row>
    <row r="419" spans="1:50" x14ac:dyDescent="0.3">
      <c r="A419" s="126"/>
      <c r="B419" s="133"/>
      <c r="C419" s="127"/>
      <c r="D419" s="138"/>
      <c r="E419" s="138"/>
      <c r="F419" s="58" t="str" cm="1">
        <f>IFERROR(IF(ISBLANK($A419),"",INDEX(Array_StationaryCharges,MATCH($A419,List_StationaryFuelMeters,0),ROUNDUP((COLUMN()+1)/3-2,0))),"")</f>
        <v/>
      </c>
      <c r="G419" s="127"/>
      <c r="H419" s="127"/>
      <c r="I419" s="58" t="str" cm="1">
        <f>IFERROR(IF(ISBLANK($A419),"",INDEX(Array_StationaryCharges,MATCH($A419,List_StationaryFuelMeters,0),ROUNDUP((COLUMN()+1)/3-2,0))),"")</f>
        <v/>
      </c>
      <c r="J419" s="127"/>
      <c r="K419" s="127"/>
      <c r="L419" s="58" t="str" cm="1">
        <f>IFERROR(IF(ISBLANK($A419),"",INDEX(Array_StationaryCharges,MATCH($A419,List_StationaryFuelMeters,0),ROUNDUP((COLUMN()+1)/3-2,0))),"")</f>
        <v/>
      </c>
      <c r="M419" s="127"/>
      <c r="N419" s="127"/>
      <c r="O419" s="58" t="str" cm="1">
        <f>IFERROR(IF(ISBLANK($A419),"",INDEX(Array_StationaryCharges,MATCH($A419,List_StationaryFuelMeters,0),ROUNDUP((COLUMN()+1)/3-2,0))),"")</f>
        <v/>
      </c>
      <c r="P419" s="127"/>
      <c r="Q419" s="127"/>
      <c r="R419" s="58" t="str" cm="1">
        <f>IFERROR(IF(ISBLANK($A419),"",INDEX(Array_StationaryCharges,MATCH($A419,List_StationaryFuelMeters,0),ROUNDUP((COLUMN()+1)/3-2,0))),"")</f>
        <v/>
      </c>
      <c r="S419" s="127"/>
      <c r="T419" s="127"/>
      <c r="U419" s="58" t="str" cm="1">
        <f>IFERROR(IF(ISBLANK($A419),"",INDEX(Array_StationaryCharges,MATCH($A419,List_StationaryFuelMeters,0),ROUNDUP((COLUMN()+1)/3-2,0))),"")</f>
        <v/>
      </c>
      <c r="V419" s="127"/>
      <c r="W419" s="127"/>
      <c r="X419" s="58" t="str" cm="1">
        <f>IFERROR(IF(ISBLANK($A419),"",INDEX(Array_StationaryCharges,MATCH($A419,List_StationaryFuelMeters,0),ROUNDUP((COLUMN()+1)/3-2,0))),"")</f>
        <v/>
      </c>
      <c r="Y419" s="127"/>
      <c r="Z419" s="127"/>
      <c r="AA419" s="58" t="str" cm="1">
        <f>IFERROR(IF(ISBLANK($A419),"",INDEX(Array_StationaryCharges,MATCH($A419,List_StationaryFuelMeters,0),ROUNDUP((COLUMN()+1)/3-2,0))),"")</f>
        <v/>
      </c>
      <c r="AB419" s="127"/>
      <c r="AC419" s="127"/>
      <c r="AD419" s="58" t="str" cm="1">
        <f>IFERROR(IF(ISBLANK($A419),"",INDEX(Array_StationaryCharges,MATCH($A419,List_StationaryFuelMeters,0),ROUNDUP((COLUMN()+1)/3-2,0))),"")</f>
        <v/>
      </c>
      <c r="AE419" s="127"/>
      <c r="AF419" s="127"/>
      <c r="AG419" s="58" t="str" cm="1">
        <f>IFERROR(IF(ISBLANK($A419),"",INDEX(Array_StationaryCharges,MATCH($A419,List_StationaryFuelMeters,0),ROUNDUP((COLUMN()+1)/3-2,0))),"")</f>
        <v/>
      </c>
      <c r="AH419" s="127"/>
      <c r="AI419" s="127"/>
      <c r="AJ419" s="58" t="str" cm="1">
        <f>IFERROR(IF(ISBLANK($A419),"",INDEX(Array_StationaryCharges,MATCH($A419,List_StationaryFuelMeters,0),ROUNDUP((COLUMN()+1)/3-2,0))),"")</f>
        <v/>
      </c>
      <c r="AK419" s="127"/>
      <c r="AL419" s="127"/>
      <c r="AM419" s="58" t="str" cm="1">
        <f>IFERROR(IF(ISBLANK($A419),"",INDEX(Array_StationaryCharges,MATCH($A419,List_StationaryFuelMeters,0),ROUNDUP((COLUMN()+1)/3-2,0))),"")</f>
        <v/>
      </c>
      <c r="AN419" s="127"/>
      <c r="AO419" s="127"/>
      <c r="AP419" s="58" t="str" cm="1">
        <f>IFERROR(IF(ISBLANK($A419),"",INDEX(Array_StationaryCharges,MATCH($A419,List_StationaryFuelMeters,0),ROUNDUP((COLUMN()+1)/3-2,0))),"")</f>
        <v/>
      </c>
      <c r="AQ419" s="127"/>
      <c r="AR419" s="127"/>
      <c r="AS419" s="58" t="str" cm="1">
        <f>IFERROR(IF(ISBLANK($A419),"",INDEX(Array_StationaryCharges,MATCH($A419,List_StationaryFuelMeters,0),ROUNDUP((COLUMN()+1)/3-2,0))),"")</f>
        <v/>
      </c>
      <c r="AT419" s="127"/>
      <c r="AU419" s="127"/>
      <c r="AV419" s="58" t="str" cm="1">
        <f>IFERROR(IF(ISBLANK($A419),"",INDEX(Array_StationaryCharges,MATCH($A419,List_StationaryFuelMeters,0),ROUNDUP((COLUMN()+1)/3-2,0))),"")</f>
        <v/>
      </c>
      <c r="AW419" s="127"/>
      <c r="AX419" s="127"/>
    </row>
    <row r="420" spans="1:50" x14ac:dyDescent="0.3">
      <c r="A420" s="126"/>
      <c r="B420" s="133"/>
      <c r="C420" s="127"/>
      <c r="D420" s="138"/>
      <c r="E420" s="138"/>
      <c r="F420" s="58" t="str" cm="1">
        <f>IFERROR(IF(ISBLANK($A420),"",INDEX(Array_StationaryCharges,MATCH($A420,List_StationaryFuelMeters,0),ROUNDUP((COLUMN()+1)/3-2,0))),"")</f>
        <v/>
      </c>
      <c r="G420" s="127"/>
      <c r="H420" s="127"/>
      <c r="I420" s="58" t="str" cm="1">
        <f>IFERROR(IF(ISBLANK($A420),"",INDEX(Array_StationaryCharges,MATCH($A420,List_StationaryFuelMeters,0),ROUNDUP((COLUMN()+1)/3-2,0))),"")</f>
        <v/>
      </c>
      <c r="J420" s="127"/>
      <c r="K420" s="127"/>
      <c r="L420" s="58" t="str" cm="1">
        <f>IFERROR(IF(ISBLANK($A420),"",INDEX(Array_StationaryCharges,MATCH($A420,List_StationaryFuelMeters,0),ROUNDUP((COLUMN()+1)/3-2,0))),"")</f>
        <v/>
      </c>
      <c r="M420" s="127"/>
      <c r="N420" s="127"/>
      <c r="O420" s="58" t="str" cm="1">
        <f>IFERROR(IF(ISBLANK($A420),"",INDEX(Array_StationaryCharges,MATCH($A420,List_StationaryFuelMeters,0),ROUNDUP((COLUMN()+1)/3-2,0))),"")</f>
        <v/>
      </c>
      <c r="P420" s="127"/>
      <c r="Q420" s="127"/>
      <c r="R420" s="58" t="str" cm="1">
        <f>IFERROR(IF(ISBLANK($A420),"",INDEX(Array_StationaryCharges,MATCH($A420,List_StationaryFuelMeters,0),ROUNDUP((COLUMN()+1)/3-2,0))),"")</f>
        <v/>
      </c>
      <c r="S420" s="127"/>
      <c r="T420" s="127"/>
      <c r="U420" s="58" t="str" cm="1">
        <f>IFERROR(IF(ISBLANK($A420),"",INDEX(Array_StationaryCharges,MATCH($A420,List_StationaryFuelMeters,0),ROUNDUP((COLUMN()+1)/3-2,0))),"")</f>
        <v/>
      </c>
      <c r="V420" s="127"/>
      <c r="W420" s="127"/>
      <c r="X420" s="58" t="str" cm="1">
        <f>IFERROR(IF(ISBLANK($A420),"",INDEX(Array_StationaryCharges,MATCH($A420,List_StationaryFuelMeters,0),ROUNDUP((COLUMN()+1)/3-2,0))),"")</f>
        <v/>
      </c>
      <c r="Y420" s="127"/>
      <c r="Z420" s="127"/>
      <c r="AA420" s="58" t="str" cm="1">
        <f>IFERROR(IF(ISBLANK($A420),"",INDEX(Array_StationaryCharges,MATCH($A420,List_StationaryFuelMeters,0),ROUNDUP((COLUMN()+1)/3-2,0))),"")</f>
        <v/>
      </c>
      <c r="AB420" s="127"/>
      <c r="AC420" s="127"/>
      <c r="AD420" s="58" t="str" cm="1">
        <f>IFERROR(IF(ISBLANK($A420),"",INDEX(Array_StationaryCharges,MATCH($A420,List_StationaryFuelMeters,0),ROUNDUP((COLUMN()+1)/3-2,0))),"")</f>
        <v/>
      </c>
      <c r="AE420" s="127"/>
      <c r="AF420" s="127"/>
      <c r="AG420" s="58" t="str" cm="1">
        <f>IFERROR(IF(ISBLANK($A420),"",INDEX(Array_StationaryCharges,MATCH($A420,List_StationaryFuelMeters,0),ROUNDUP((COLUMN()+1)/3-2,0))),"")</f>
        <v/>
      </c>
      <c r="AH420" s="127"/>
      <c r="AI420" s="127"/>
      <c r="AJ420" s="58" t="str" cm="1">
        <f>IFERROR(IF(ISBLANK($A420),"",INDEX(Array_StationaryCharges,MATCH($A420,List_StationaryFuelMeters,0),ROUNDUP((COLUMN()+1)/3-2,0))),"")</f>
        <v/>
      </c>
      <c r="AK420" s="127"/>
      <c r="AL420" s="127"/>
      <c r="AM420" s="58" t="str" cm="1">
        <f>IFERROR(IF(ISBLANK($A420),"",INDEX(Array_StationaryCharges,MATCH($A420,List_StationaryFuelMeters,0),ROUNDUP((COLUMN()+1)/3-2,0))),"")</f>
        <v/>
      </c>
      <c r="AN420" s="127"/>
      <c r="AO420" s="127"/>
      <c r="AP420" s="58" t="str" cm="1">
        <f>IFERROR(IF(ISBLANK($A420),"",INDEX(Array_StationaryCharges,MATCH($A420,List_StationaryFuelMeters,0),ROUNDUP((COLUMN()+1)/3-2,0))),"")</f>
        <v/>
      </c>
      <c r="AQ420" s="127"/>
      <c r="AR420" s="127"/>
      <c r="AS420" s="58" t="str" cm="1">
        <f>IFERROR(IF(ISBLANK($A420),"",INDEX(Array_StationaryCharges,MATCH($A420,List_StationaryFuelMeters,0),ROUNDUP((COLUMN()+1)/3-2,0))),"")</f>
        <v/>
      </c>
      <c r="AT420" s="127"/>
      <c r="AU420" s="127"/>
      <c r="AV420" s="58" t="str" cm="1">
        <f>IFERROR(IF(ISBLANK($A420),"",INDEX(Array_StationaryCharges,MATCH($A420,List_StationaryFuelMeters,0),ROUNDUP((COLUMN()+1)/3-2,0))),"")</f>
        <v/>
      </c>
      <c r="AW420" s="127"/>
      <c r="AX420" s="127"/>
    </row>
    <row r="421" spans="1:50" x14ac:dyDescent="0.3">
      <c r="A421" s="126"/>
      <c r="B421" s="133"/>
      <c r="C421" s="127"/>
      <c r="D421" s="138"/>
      <c r="E421" s="138"/>
      <c r="F421" s="58" t="str" cm="1">
        <f>IFERROR(IF(ISBLANK($A421),"",INDEX(Array_StationaryCharges,MATCH($A421,List_StationaryFuelMeters,0),ROUNDUP((COLUMN()+1)/3-2,0))),"")</f>
        <v/>
      </c>
      <c r="G421" s="127"/>
      <c r="H421" s="127"/>
      <c r="I421" s="58" t="str" cm="1">
        <f>IFERROR(IF(ISBLANK($A421),"",INDEX(Array_StationaryCharges,MATCH($A421,List_StationaryFuelMeters,0),ROUNDUP((COLUMN()+1)/3-2,0))),"")</f>
        <v/>
      </c>
      <c r="J421" s="127"/>
      <c r="K421" s="127"/>
      <c r="L421" s="58" t="str" cm="1">
        <f>IFERROR(IF(ISBLANK($A421),"",INDEX(Array_StationaryCharges,MATCH($A421,List_StationaryFuelMeters,0),ROUNDUP((COLUMN()+1)/3-2,0))),"")</f>
        <v/>
      </c>
      <c r="M421" s="127"/>
      <c r="N421" s="127"/>
      <c r="O421" s="58" t="str" cm="1">
        <f>IFERROR(IF(ISBLANK($A421),"",INDEX(Array_StationaryCharges,MATCH($A421,List_StationaryFuelMeters,0),ROUNDUP((COLUMN()+1)/3-2,0))),"")</f>
        <v/>
      </c>
      <c r="P421" s="127"/>
      <c r="Q421" s="127"/>
      <c r="R421" s="58" t="str" cm="1">
        <f>IFERROR(IF(ISBLANK($A421),"",INDEX(Array_StationaryCharges,MATCH($A421,List_StationaryFuelMeters,0),ROUNDUP((COLUMN()+1)/3-2,0))),"")</f>
        <v/>
      </c>
      <c r="S421" s="127"/>
      <c r="T421" s="127"/>
      <c r="U421" s="58" t="str" cm="1">
        <f>IFERROR(IF(ISBLANK($A421),"",INDEX(Array_StationaryCharges,MATCH($A421,List_StationaryFuelMeters,0),ROUNDUP((COLUMN()+1)/3-2,0))),"")</f>
        <v/>
      </c>
      <c r="V421" s="127"/>
      <c r="W421" s="127"/>
      <c r="X421" s="58" t="str" cm="1">
        <f>IFERROR(IF(ISBLANK($A421),"",INDEX(Array_StationaryCharges,MATCH($A421,List_StationaryFuelMeters,0),ROUNDUP((COLUMN()+1)/3-2,0))),"")</f>
        <v/>
      </c>
      <c r="Y421" s="127"/>
      <c r="Z421" s="127"/>
      <c r="AA421" s="58" t="str" cm="1">
        <f>IFERROR(IF(ISBLANK($A421),"",INDEX(Array_StationaryCharges,MATCH($A421,List_StationaryFuelMeters,0),ROUNDUP((COLUMN()+1)/3-2,0))),"")</f>
        <v/>
      </c>
      <c r="AB421" s="127"/>
      <c r="AC421" s="127"/>
      <c r="AD421" s="58" t="str" cm="1">
        <f>IFERROR(IF(ISBLANK($A421),"",INDEX(Array_StationaryCharges,MATCH($A421,List_StationaryFuelMeters,0),ROUNDUP((COLUMN()+1)/3-2,0))),"")</f>
        <v/>
      </c>
      <c r="AE421" s="127"/>
      <c r="AF421" s="127"/>
      <c r="AG421" s="58" t="str" cm="1">
        <f>IFERROR(IF(ISBLANK($A421),"",INDEX(Array_StationaryCharges,MATCH($A421,List_StationaryFuelMeters,0),ROUNDUP((COLUMN()+1)/3-2,0))),"")</f>
        <v/>
      </c>
      <c r="AH421" s="127"/>
      <c r="AI421" s="127"/>
      <c r="AJ421" s="58" t="str" cm="1">
        <f>IFERROR(IF(ISBLANK($A421),"",INDEX(Array_StationaryCharges,MATCH($A421,List_StationaryFuelMeters,0),ROUNDUP((COLUMN()+1)/3-2,0))),"")</f>
        <v/>
      </c>
      <c r="AK421" s="127"/>
      <c r="AL421" s="127"/>
      <c r="AM421" s="58" t="str" cm="1">
        <f>IFERROR(IF(ISBLANK($A421),"",INDEX(Array_StationaryCharges,MATCH($A421,List_StationaryFuelMeters,0),ROUNDUP((COLUMN()+1)/3-2,0))),"")</f>
        <v/>
      </c>
      <c r="AN421" s="127"/>
      <c r="AO421" s="127"/>
      <c r="AP421" s="58" t="str" cm="1">
        <f>IFERROR(IF(ISBLANK($A421),"",INDEX(Array_StationaryCharges,MATCH($A421,List_StationaryFuelMeters,0),ROUNDUP((COLUMN()+1)/3-2,0))),"")</f>
        <v/>
      </c>
      <c r="AQ421" s="127"/>
      <c r="AR421" s="127"/>
      <c r="AS421" s="58" t="str" cm="1">
        <f>IFERROR(IF(ISBLANK($A421),"",INDEX(Array_StationaryCharges,MATCH($A421,List_StationaryFuelMeters,0),ROUNDUP((COLUMN()+1)/3-2,0))),"")</f>
        <v/>
      </c>
      <c r="AT421" s="127"/>
      <c r="AU421" s="127"/>
      <c r="AV421" s="58" t="str" cm="1">
        <f>IFERROR(IF(ISBLANK($A421),"",INDEX(Array_StationaryCharges,MATCH($A421,List_StationaryFuelMeters,0),ROUNDUP((COLUMN()+1)/3-2,0))),"")</f>
        <v/>
      </c>
      <c r="AW421" s="127"/>
      <c r="AX421" s="127"/>
    </row>
    <row r="422" spans="1:50" x14ac:dyDescent="0.3">
      <c r="A422" s="126"/>
      <c r="B422" s="133"/>
      <c r="C422" s="127"/>
      <c r="D422" s="138"/>
      <c r="E422" s="138"/>
      <c r="F422" s="58" t="str" cm="1">
        <f>IFERROR(IF(ISBLANK($A422),"",INDEX(Array_StationaryCharges,MATCH($A422,List_StationaryFuelMeters,0),ROUNDUP((COLUMN()+1)/3-2,0))),"")</f>
        <v/>
      </c>
      <c r="G422" s="127"/>
      <c r="H422" s="127"/>
      <c r="I422" s="58" t="str" cm="1">
        <f>IFERROR(IF(ISBLANK($A422),"",INDEX(Array_StationaryCharges,MATCH($A422,List_StationaryFuelMeters,0),ROUNDUP((COLUMN()+1)/3-2,0))),"")</f>
        <v/>
      </c>
      <c r="J422" s="127"/>
      <c r="K422" s="127"/>
      <c r="L422" s="58" t="str" cm="1">
        <f>IFERROR(IF(ISBLANK($A422),"",INDEX(Array_StationaryCharges,MATCH($A422,List_StationaryFuelMeters,0),ROUNDUP((COLUMN()+1)/3-2,0))),"")</f>
        <v/>
      </c>
      <c r="M422" s="127"/>
      <c r="N422" s="127"/>
      <c r="O422" s="58" t="str" cm="1">
        <f>IFERROR(IF(ISBLANK($A422),"",INDEX(Array_StationaryCharges,MATCH($A422,List_StationaryFuelMeters,0),ROUNDUP((COLUMN()+1)/3-2,0))),"")</f>
        <v/>
      </c>
      <c r="P422" s="127"/>
      <c r="Q422" s="127"/>
      <c r="R422" s="58" t="str" cm="1">
        <f>IFERROR(IF(ISBLANK($A422),"",INDEX(Array_StationaryCharges,MATCH($A422,List_StationaryFuelMeters,0),ROUNDUP((COLUMN()+1)/3-2,0))),"")</f>
        <v/>
      </c>
      <c r="S422" s="127"/>
      <c r="T422" s="127"/>
      <c r="U422" s="58" t="str" cm="1">
        <f>IFERROR(IF(ISBLANK($A422),"",INDEX(Array_StationaryCharges,MATCH($A422,List_StationaryFuelMeters,0),ROUNDUP((COLUMN()+1)/3-2,0))),"")</f>
        <v/>
      </c>
      <c r="V422" s="127"/>
      <c r="W422" s="127"/>
      <c r="X422" s="58" t="str" cm="1">
        <f>IFERROR(IF(ISBLANK($A422),"",INDEX(Array_StationaryCharges,MATCH($A422,List_StationaryFuelMeters,0),ROUNDUP((COLUMN()+1)/3-2,0))),"")</f>
        <v/>
      </c>
      <c r="Y422" s="127"/>
      <c r="Z422" s="127"/>
      <c r="AA422" s="58" t="str" cm="1">
        <f>IFERROR(IF(ISBLANK($A422),"",INDEX(Array_StationaryCharges,MATCH($A422,List_StationaryFuelMeters,0),ROUNDUP((COLUMN()+1)/3-2,0))),"")</f>
        <v/>
      </c>
      <c r="AB422" s="127"/>
      <c r="AC422" s="127"/>
      <c r="AD422" s="58" t="str" cm="1">
        <f>IFERROR(IF(ISBLANK($A422),"",INDEX(Array_StationaryCharges,MATCH($A422,List_StationaryFuelMeters,0),ROUNDUP((COLUMN()+1)/3-2,0))),"")</f>
        <v/>
      </c>
      <c r="AE422" s="127"/>
      <c r="AF422" s="127"/>
      <c r="AG422" s="58" t="str" cm="1">
        <f>IFERROR(IF(ISBLANK($A422),"",INDEX(Array_StationaryCharges,MATCH($A422,List_StationaryFuelMeters,0),ROUNDUP((COLUMN()+1)/3-2,0))),"")</f>
        <v/>
      </c>
      <c r="AH422" s="127"/>
      <c r="AI422" s="127"/>
      <c r="AJ422" s="58" t="str" cm="1">
        <f>IFERROR(IF(ISBLANK($A422),"",INDEX(Array_StationaryCharges,MATCH($A422,List_StationaryFuelMeters,0),ROUNDUP((COLUMN()+1)/3-2,0))),"")</f>
        <v/>
      </c>
      <c r="AK422" s="127"/>
      <c r="AL422" s="127"/>
      <c r="AM422" s="58" t="str" cm="1">
        <f>IFERROR(IF(ISBLANK($A422),"",INDEX(Array_StationaryCharges,MATCH($A422,List_StationaryFuelMeters,0),ROUNDUP((COLUMN()+1)/3-2,0))),"")</f>
        <v/>
      </c>
      <c r="AN422" s="127"/>
      <c r="AO422" s="127"/>
      <c r="AP422" s="58" t="str" cm="1">
        <f>IFERROR(IF(ISBLANK($A422),"",INDEX(Array_StationaryCharges,MATCH($A422,List_StationaryFuelMeters,0),ROUNDUP((COLUMN()+1)/3-2,0))),"")</f>
        <v/>
      </c>
      <c r="AQ422" s="127"/>
      <c r="AR422" s="127"/>
      <c r="AS422" s="58" t="str" cm="1">
        <f>IFERROR(IF(ISBLANK($A422),"",INDEX(Array_StationaryCharges,MATCH($A422,List_StationaryFuelMeters,0),ROUNDUP((COLUMN()+1)/3-2,0))),"")</f>
        <v/>
      </c>
      <c r="AT422" s="127"/>
      <c r="AU422" s="127"/>
      <c r="AV422" s="58" t="str" cm="1">
        <f>IFERROR(IF(ISBLANK($A422),"",INDEX(Array_StationaryCharges,MATCH($A422,List_StationaryFuelMeters,0),ROUNDUP((COLUMN()+1)/3-2,0))),"")</f>
        <v/>
      </c>
      <c r="AW422" s="127"/>
      <c r="AX422" s="127"/>
    </row>
    <row r="423" spans="1:50" x14ac:dyDescent="0.3">
      <c r="A423" s="126"/>
      <c r="B423" s="133"/>
      <c r="C423" s="127"/>
      <c r="D423" s="138"/>
      <c r="E423" s="138"/>
      <c r="F423" s="58" t="str" cm="1">
        <f>IFERROR(IF(ISBLANK($A423),"",INDEX(Array_StationaryCharges,MATCH($A423,List_StationaryFuelMeters,0),ROUNDUP((COLUMN()+1)/3-2,0))),"")</f>
        <v/>
      </c>
      <c r="G423" s="127"/>
      <c r="H423" s="127"/>
      <c r="I423" s="58" t="str" cm="1">
        <f>IFERROR(IF(ISBLANK($A423),"",INDEX(Array_StationaryCharges,MATCH($A423,List_StationaryFuelMeters,0),ROUNDUP((COLUMN()+1)/3-2,0))),"")</f>
        <v/>
      </c>
      <c r="J423" s="127"/>
      <c r="K423" s="127"/>
      <c r="L423" s="58" t="str" cm="1">
        <f>IFERROR(IF(ISBLANK($A423),"",INDEX(Array_StationaryCharges,MATCH($A423,List_StationaryFuelMeters,0),ROUNDUP((COLUMN()+1)/3-2,0))),"")</f>
        <v/>
      </c>
      <c r="M423" s="127"/>
      <c r="N423" s="127"/>
      <c r="O423" s="58" t="str" cm="1">
        <f>IFERROR(IF(ISBLANK($A423),"",INDEX(Array_StationaryCharges,MATCH($A423,List_StationaryFuelMeters,0),ROUNDUP((COLUMN()+1)/3-2,0))),"")</f>
        <v/>
      </c>
      <c r="P423" s="127"/>
      <c r="Q423" s="127"/>
      <c r="R423" s="58" t="str" cm="1">
        <f>IFERROR(IF(ISBLANK($A423),"",INDEX(Array_StationaryCharges,MATCH($A423,List_StationaryFuelMeters,0),ROUNDUP((COLUMN()+1)/3-2,0))),"")</f>
        <v/>
      </c>
      <c r="S423" s="127"/>
      <c r="T423" s="127"/>
      <c r="U423" s="58" t="str" cm="1">
        <f>IFERROR(IF(ISBLANK($A423),"",INDEX(Array_StationaryCharges,MATCH($A423,List_StationaryFuelMeters,0),ROUNDUP((COLUMN()+1)/3-2,0))),"")</f>
        <v/>
      </c>
      <c r="V423" s="127"/>
      <c r="W423" s="127"/>
      <c r="X423" s="58" t="str" cm="1">
        <f>IFERROR(IF(ISBLANK($A423),"",INDEX(Array_StationaryCharges,MATCH($A423,List_StationaryFuelMeters,0),ROUNDUP((COLUMN()+1)/3-2,0))),"")</f>
        <v/>
      </c>
      <c r="Y423" s="127"/>
      <c r="Z423" s="127"/>
      <c r="AA423" s="58" t="str" cm="1">
        <f>IFERROR(IF(ISBLANK($A423),"",INDEX(Array_StationaryCharges,MATCH($A423,List_StationaryFuelMeters,0),ROUNDUP((COLUMN()+1)/3-2,0))),"")</f>
        <v/>
      </c>
      <c r="AB423" s="127"/>
      <c r="AC423" s="127"/>
      <c r="AD423" s="58" t="str" cm="1">
        <f>IFERROR(IF(ISBLANK($A423),"",INDEX(Array_StationaryCharges,MATCH($A423,List_StationaryFuelMeters,0),ROUNDUP((COLUMN()+1)/3-2,0))),"")</f>
        <v/>
      </c>
      <c r="AE423" s="127"/>
      <c r="AF423" s="127"/>
      <c r="AG423" s="58" t="str" cm="1">
        <f>IFERROR(IF(ISBLANK($A423),"",INDEX(Array_StationaryCharges,MATCH($A423,List_StationaryFuelMeters,0),ROUNDUP((COLUMN()+1)/3-2,0))),"")</f>
        <v/>
      </c>
      <c r="AH423" s="127"/>
      <c r="AI423" s="127"/>
      <c r="AJ423" s="58" t="str" cm="1">
        <f>IFERROR(IF(ISBLANK($A423),"",INDEX(Array_StationaryCharges,MATCH($A423,List_StationaryFuelMeters,0),ROUNDUP((COLUMN()+1)/3-2,0))),"")</f>
        <v/>
      </c>
      <c r="AK423" s="127"/>
      <c r="AL423" s="127"/>
      <c r="AM423" s="58" t="str" cm="1">
        <f>IFERROR(IF(ISBLANK($A423),"",INDEX(Array_StationaryCharges,MATCH($A423,List_StationaryFuelMeters,0),ROUNDUP((COLUMN()+1)/3-2,0))),"")</f>
        <v/>
      </c>
      <c r="AN423" s="127"/>
      <c r="AO423" s="127"/>
      <c r="AP423" s="58" t="str" cm="1">
        <f>IFERROR(IF(ISBLANK($A423),"",INDEX(Array_StationaryCharges,MATCH($A423,List_StationaryFuelMeters,0),ROUNDUP((COLUMN()+1)/3-2,0))),"")</f>
        <v/>
      </c>
      <c r="AQ423" s="127"/>
      <c r="AR423" s="127"/>
      <c r="AS423" s="58" t="str" cm="1">
        <f>IFERROR(IF(ISBLANK($A423),"",INDEX(Array_StationaryCharges,MATCH($A423,List_StationaryFuelMeters,0),ROUNDUP((COLUMN()+1)/3-2,0))),"")</f>
        <v/>
      </c>
      <c r="AT423" s="127"/>
      <c r="AU423" s="127"/>
      <c r="AV423" s="58" t="str" cm="1">
        <f>IFERROR(IF(ISBLANK($A423),"",INDEX(Array_StationaryCharges,MATCH($A423,List_StationaryFuelMeters,0),ROUNDUP((COLUMN()+1)/3-2,0))),"")</f>
        <v/>
      </c>
      <c r="AW423" s="127"/>
      <c r="AX423" s="127"/>
    </row>
    <row r="424" spans="1:50" x14ac:dyDescent="0.3">
      <c r="A424" s="126"/>
      <c r="B424" s="133"/>
      <c r="C424" s="127"/>
      <c r="D424" s="138"/>
      <c r="E424" s="138"/>
      <c r="F424" s="58" t="str" cm="1">
        <f>IFERROR(IF(ISBLANK($A424),"",INDEX(Array_StationaryCharges,MATCH($A424,List_StationaryFuelMeters,0),ROUNDUP((COLUMN()+1)/3-2,0))),"")</f>
        <v/>
      </c>
      <c r="G424" s="127"/>
      <c r="H424" s="127"/>
      <c r="I424" s="58" t="str" cm="1">
        <f>IFERROR(IF(ISBLANK($A424),"",INDEX(Array_StationaryCharges,MATCH($A424,List_StationaryFuelMeters,0),ROUNDUP((COLUMN()+1)/3-2,0))),"")</f>
        <v/>
      </c>
      <c r="J424" s="127"/>
      <c r="K424" s="127"/>
      <c r="L424" s="58" t="str" cm="1">
        <f>IFERROR(IF(ISBLANK($A424),"",INDEX(Array_StationaryCharges,MATCH($A424,List_StationaryFuelMeters,0),ROUNDUP((COLUMN()+1)/3-2,0))),"")</f>
        <v/>
      </c>
      <c r="M424" s="127"/>
      <c r="N424" s="127"/>
      <c r="O424" s="58" t="str" cm="1">
        <f>IFERROR(IF(ISBLANK($A424),"",INDEX(Array_StationaryCharges,MATCH($A424,List_StationaryFuelMeters,0),ROUNDUP((COLUMN()+1)/3-2,0))),"")</f>
        <v/>
      </c>
      <c r="P424" s="127"/>
      <c r="Q424" s="127"/>
      <c r="R424" s="58" t="str" cm="1">
        <f>IFERROR(IF(ISBLANK($A424),"",INDEX(Array_StationaryCharges,MATCH($A424,List_StationaryFuelMeters,0),ROUNDUP((COLUMN()+1)/3-2,0))),"")</f>
        <v/>
      </c>
      <c r="S424" s="127"/>
      <c r="T424" s="127"/>
      <c r="U424" s="58" t="str" cm="1">
        <f>IFERROR(IF(ISBLANK($A424),"",INDEX(Array_StationaryCharges,MATCH($A424,List_StationaryFuelMeters,0),ROUNDUP((COLUMN()+1)/3-2,0))),"")</f>
        <v/>
      </c>
      <c r="V424" s="127"/>
      <c r="W424" s="127"/>
      <c r="X424" s="58" t="str" cm="1">
        <f>IFERROR(IF(ISBLANK($A424),"",INDEX(Array_StationaryCharges,MATCH($A424,List_StationaryFuelMeters,0),ROUNDUP((COLUMN()+1)/3-2,0))),"")</f>
        <v/>
      </c>
      <c r="Y424" s="127"/>
      <c r="Z424" s="127"/>
      <c r="AA424" s="58" t="str" cm="1">
        <f>IFERROR(IF(ISBLANK($A424),"",INDEX(Array_StationaryCharges,MATCH($A424,List_StationaryFuelMeters,0),ROUNDUP((COLUMN()+1)/3-2,0))),"")</f>
        <v/>
      </c>
      <c r="AB424" s="127"/>
      <c r="AC424" s="127"/>
      <c r="AD424" s="58" t="str" cm="1">
        <f>IFERROR(IF(ISBLANK($A424),"",INDEX(Array_StationaryCharges,MATCH($A424,List_StationaryFuelMeters,0),ROUNDUP((COLUMN()+1)/3-2,0))),"")</f>
        <v/>
      </c>
      <c r="AE424" s="127"/>
      <c r="AF424" s="127"/>
      <c r="AG424" s="58" t="str" cm="1">
        <f>IFERROR(IF(ISBLANK($A424),"",INDEX(Array_StationaryCharges,MATCH($A424,List_StationaryFuelMeters,0),ROUNDUP((COLUMN()+1)/3-2,0))),"")</f>
        <v/>
      </c>
      <c r="AH424" s="127"/>
      <c r="AI424" s="127"/>
      <c r="AJ424" s="58" t="str" cm="1">
        <f>IFERROR(IF(ISBLANK($A424),"",INDEX(Array_StationaryCharges,MATCH($A424,List_StationaryFuelMeters,0),ROUNDUP((COLUMN()+1)/3-2,0))),"")</f>
        <v/>
      </c>
      <c r="AK424" s="127"/>
      <c r="AL424" s="127"/>
      <c r="AM424" s="58" t="str" cm="1">
        <f>IFERROR(IF(ISBLANK($A424),"",INDEX(Array_StationaryCharges,MATCH($A424,List_StationaryFuelMeters,0),ROUNDUP((COLUMN()+1)/3-2,0))),"")</f>
        <v/>
      </c>
      <c r="AN424" s="127"/>
      <c r="AO424" s="127"/>
      <c r="AP424" s="58" t="str" cm="1">
        <f>IFERROR(IF(ISBLANK($A424),"",INDEX(Array_StationaryCharges,MATCH($A424,List_StationaryFuelMeters,0),ROUNDUP((COLUMN()+1)/3-2,0))),"")</f>
        <v/>
      </c>
      <c r="AQ424" s="127"/>
      <c r="AR424" s="127"/>
      <c r="AS424" s="58" t="str" cm="1">
        <f>IFERROR(IF(ISBLANK($A424),"",INDEX(Array_StationaryCharges,MATCH($A424,List_StationaryFuelMeters,0),ROUNDUP((COLUMN()+1)/3-2,0))),"")</f>
        <v/>
      </c>
      <c r="AT424" s="127"/>
      <c r="AU424" s="127"/>
      <c r="AV424" s="58" t="str" cm="1">
        <f>IFERROR(IF(ISBLANK($A424),"",INDEX(Array_StationaryCharges,MATCH($A424,List_StationaryFuelMeters,0),ROUNDUP((COLUMN()+1)/3-2,0))),"")</f>
        <v/>
      </c>
      <c r="AW424" s="127"/>
      <c r="AX424" s="127"/>
    </row>
    <row r="425" spans="1:50" x14ac:dyDescent="0.3">
      <c r="A425" s="126"/>
      <c r="B425" s="133"/>
      <c r="C425" s="127"/>
      <c r="D425" s="138"/>
      <c r="E425" s="138"/>
      <c r="F425" s="58" t="str" cm="1">
        <f>IFERROR(IF(ISBLANK($A425),"",INDEX(Array_StationaryCharges,MATCH($A425,List_StationaryFuelMeters,0),ROUNDUP((COLUMN()+1)/3-2,0))),"")</f>
        <v/>
      </c>
      <c r="G425" s="127"/>
      <c r="H425" s="127"/>
      <c r="I425" s="58" t="str" cm="1">
        <f>IFERROR(IF(ISBLANK($A425),"",INDEX(Array_StationaryCharges,MATCH($A425,List_StationaryFuelMeters,0),ROUNDUP((COLUMN()+1)/3-2,0))),"")</f>
        <v/>
      </c>
      <c r="J425" s="127"/>
      <c r="K425" s="127"/>
      <c r="L425" s="58" t="str" cm="1">
        <f>IFERROR(IF(ISBLANK($A425),"",INDEX(Array_StationaryCharges,MATCH($A425,List_StationaryFuelMeters,0),ROUNDUP((COLUMN()+1)/3-2,0))),"")</f>
        <v/>
      </c>
      <c r="M425" s="127"/>
      <c r="N425" s="127"/>
      <c r="O425" s="58" t="str" cm="1">
        <f>IFERROR(IF(ISBLANK($A425),"",INDEX(Array_StationaryCharges,MATCH($A425,List_StationaryFuelMeters,0),ROUNDUP((COLUMN()+1)/3-2,0))),"")</f>
        <v/>
      </c>
      <c r="P425" s="127"/>
      <c r="Q425" s="127"/>
      <c r="R425" s="58" t="str" cm="1">
        <f>IFERROR(IF(ISBLANK($A425),"",INDEX(Array_StationaryCharges,MATCH($A425,List_StationaryFuelMeters,0),ROUNDUP((COLUMN()+1)/3-2,0))),"")</f>
        <v/>
      </c>
      <c r="S425" s="127"/>
      <c r="T425" s="127"/>
      <c r="U425" s="58" t="str" cm="1">
        <f>IFERROR(IF(ISBLANK($A425),"",INDEX(Array_StationaryCharges,MATCH($A425,List_StationaryFuelMeters,0),ROUNDUP((COLUMN()+1)/3-2,0))),"")</f>
        <v/>
      </c>
      <c r="V425" s="127"/>
      <c r="W425" s="127"/>
      <c r="X425" s="58" t="str" cm="1">
        <f>IFERROR(IF(ISBLANK($A425),"",INDEX(Array_StationaryCharges,MATCH($A425,List_StationaryFuelMeters,0),ROUNDUP((COLUMN()+1)/3-2,0))),"")</f>
        <v/>
      </c>
      <c r="Y425" s="127"/>
      <c r="Z425" s="127"/>
      <c r="AA425" s="58" t="str" cm="1">
        <f>IFERROR(IF(ISBLANK($A425),"",INDEX(Array_StationaryCharges,MATCH($A425,List_StationaryFuelMeters,0),ROUNDUP((COLUMN()+1)/3-2,0))),"")</f>
        <v/>
      </c>
      <c r="AB425" s="127"/>
      <c r="AC425" s="127"/>
      <c r="AD425" s="58" t="str" cm="1">
        <f>IFERROR(IF(ISBLANK($A425),"",INDEX(Array_StationaryCharges,MATCH($A425,List_StationaryFuelMeters,0),ROUNDUP((COLUMN()+1)/3-2,0))),"")</f>
        <v/>
      </c>
      <c r="AE425" s="127"/>
      <c r="AF425" s="127"/>
      <c r="AG425" s="58" t="str" cm="1">
        <f>IFERROR(IF(ISBLANK($A425),"",INDEX(Array_StationaryCharges,MATCH($A425,List_StationaryFuelMeters,0),ROUNDUP((COLUMN()+1)/3-2,0))),"")</f>
        <v/>
      </c>
      <c r="AH425" s="127"/>
      <c r="AI425" s="127"/>
      <c r="AJ425" s="58" t="str" cm="1">
        <f>IFERROR(IF(ISBLANK($A425),"",INDEX(Array_StationaryCharges,MATCH($A425,List_StationaryFuelMeters,0),ROUNDUP((COLUMN()+1)/3-2,0))),"")</f>
        <v/>
      </c>
      <c r="AK425" s="127"/>
      <c r="AL425" s="127"/>
      <c r="AM425" s="58" t="str" cm="1">
        <f>IFERROR(IF(ISBLANK($A425),"",INDEX(Array_StationaryCharges,MATCH($A425,List_StationaryFuelMeters,0),ROUNDUP((COLUMN()+1)/3-2,0))),"")</f>
        <v/>
      </c>
      <c r="AN425" s="127"/>
      <c r="AO425" s="127"/>
      <c r="AP425" s="58" t="str" cm="1">
        <f>IFERROR(IF(ISBLANK($A425),"",INDEX(Array_StationaryCharges,MATCH($A425,List_StationaryFuelMeters,0),ROUNDUP((COLUMN()+1)/3-2,0))),"")</f>
        <v/>
      </c>
      <c r="AQ425" s="127"/>
      <c r="AR425" s="127"/>
      <c r="AS425" s="58" t="str" cm="1">
        <f>IFERROR(IF(ISBLANK($A425),"",INDEX(Array_StationaryCharges,MATCH($A425,List_StationaryFuelMeters,0),ROUNDUP((COLUMN()+1)/3-2,0))),"")</f>
        <v/>
      </c>
      <c r="AT425" s="127"/>
      <c r="AU425" s="127"/>
      <c r="AV425" s="58" t="str" cm="1">
        <f>IFERROR(IF(ISBLANK($A425),"",INDEX(Array_StationaryCharges,MATCH($A425,List_StationaryFuelMeters,0),ROUNDUP((COLUMN()+1)/3-2,0))),"")</f>
        <v/>
      </c>
      <c r="AW425" s="127"/>
      <c r="AX425" s="127"/>
    </row>
    <row r="426" spans="1:50" x14ac:dyDescent="0.3">
      <c r="A426" s="126"/>
      <c r="B426" s="133"/>
      <c r="C426" s="127"/>
      <c r="D426" s="138"/>
      <c r="E426" s="138"/>
      <c r="F426" s="58" t="str" cm="1">
        <f>IFERROR(IF(ISBLANK($A426),"",INDEX(Array_StationaryCharges,MATCH($A426,List_StationaryFuelMeters,0),ROUNDUP((COLUMN()+1)/3-2,0))),"")</f>
        <v/>
      </c>
      <c r="G426" s="127"/>
      <c r="H426" s="127"/>
      <c r="I426" s="58" t="str" cm="1">
        <f>IFERROR(IF(ISBLANK($A426),"",INDEX(Array_StationaryCharges,MATCH($A426,List_StationaryFuelMeters,0),ROUNDUP((COLUMN()+1)/3-2,0))),"")</f>
        <v/>
      </c>
      <c r="J426" s="127"/>
      <c r="K426" s="127"/>
      <c r="L426" s="58" t="str" cm="1">
        <f>IFERROR(IF(ISBLANK($A426),"",INDEX(Array_StationaryCharges,MATCH($A426,List_StationaryFuelMeters,0),ROUNDUP((COLUMN()+1)/3-2,0))),"")</f>
        <v/>
      </c>
      <c r="M426" s="127"/>
      <c r="N426" s="127"/>
      <c r="O426" s="58" t="str" cm="1">
        <f>IFERROR(IF(ISBLANK($A426),"",INDEX(Array_StationaryCharges,MATCH($A426,List_StationaryFuelMeters,0),ROUNDUP((COLUMN()+1)/3-2,0))),"")</f>
        <v/>
      </c>
      <c r="P426" s="127"/>
      <c r="Q426" s="127"/>
      <c r="R426" s="58" t="str" cm="1">
        <f>IFERROR(IF(ISBLANK($A426),"",INDEX(Array_StationaryCharges,MATCH($A426,List_StationaryFuelMeters,0),ROUNDUP((COLUMN()+1)/3-2,0))),"")</f>
        <v/>
      </c>
      <c r="S426" s="127"/>
      <c r="T426" s="127"/>
      <c r="U426" s="58" t="str" cm="1">
        <f>IFERROR(IF(ISBLANK($A426),"",INDEX(Array_StationaryCharges,MATCH($A426,List_StationaryFuelMeters,0),ROUNDUP((COLUMN()+1)/3-2,0))),"")</f>
        <v/>
      </c>
      <c r="V426" s="127"/>
      <c r="W426" s="127"/>
      <c r="X426" s="58" t="str" cm="1">
        <f>IFERROR(IF(ISBLANK($A426),"",INDEX(Array_StationaryCharges,MATCH($A426,List_StationaryFuelMeters,0),ROUNDUP((COLUMN()+1)/3-2,0))),"")</f>
        <v/>
      </c>
      <c r="Y426" s="127"/>
      <c r="Z426" s="127"/>
      <c r="AA426" s="58" t="str" cm="1">
        <f>IFERROR(IF(ISBLANK($A426),"",INDEX(Array_StationaryCharges,MATCH($A426,List_StationaryFuelMeters,0),ROUNDUP((COLUMN()+1)/3-2,0))),"")</f>
        <v/>
      </c>
      <c r="AB426" s="127"/>
      <c r="AC426" s="127"/>
      <c r="AD426" s="58" t="str" cm="1">
        <f>IFERROR(IF(ISBLANK($A426),"",INDEX(Array_StationaryCharges,MATCH($A426,List_StationaryFuelMeters,0),ROUNDUP((COLUMN()+1)/3-2,0))),"")</f>
        <v/>
      </c>
      <c r="AE426" s="127"/>
      <c r="AF426" s="127"/>
      <c r="AG426" s="58" t="str" cm="1">
        <f>IFERROR(IF(ISBLANK($A426),"",INDEX(Array_StationaryCharges,MATCH($A426,List_StationaryFuelMeters,0),ROUNDUP((COLUMN()+1)/3-2,0))),"")</f>
        <v/>
      </c>
      <c r="AH426" s="127"/>
      <c r="AI426" s="127"/>
      <c r="AJ426" s="58" t="str" cm="1">
        <f>IFERROR(IF(ISBLANK($A426),"",INDEX(Array_StationaryCharges,MATCH($A426,List_StationaryFuelMeters,0),ROUNDUP((COLUMN()+1)/3-2,0))),"")</f>
        <v/>
      </c>
      <c r="AK426" s="127"/>
      <c r="AL426" s="127"/>
      <c r="AM426" s="58" t="str" cm="1">
        <f>IFERROR(IF(ISBLANK($A426),"",INDEX(Array_StationaryCharges,MATCH($A426,List_StationaryFuelMeters,0),ROUNDUP((COLUMN()+1)/3-2,0))),"")</f>
        <v/>
      </c>
      <c r="AN426" s="127"/>
      <c r="AO426" s="127"/>
      <c r="AP426" s="58" t="str" cm="1">
        <f>IFERROR(IF(ISBLANK($A426),"",INDEX(Array_StationaryCharges,MATCH($A426,List_StationaryFuelMeters,0),ROUNDUP((COLUMN()+1)/3-2,0))),"")</f>
        <v/>
      </c>
      <c r="AQ426" s="127"/>
      <c r="AR426" s="127"/>
      <c r="AS426" s="58" t="str" cm="1">
        <f>IFERROR(IF(ISBLANK($A426),"",INDEX(Array_StationaryCharges,MATCH($A426,List_StationaryFuelMeters,0),ROUNDUP((COLUMN()+1)/3-2,0))),"")</f>
        <v/>
      </c>
      <c r="AT426" s="127"/>
      <c r="AU426" s="127"/>
      <c r="AV426" s="58" t="str" cm="1">
        <f>IFERROR(IF(ISBLANK($A426),"",INDEX(Array_StationaryCharges,MATCH($A426,List_StationaryFuelMeters,0),ROUNDUP((COLUMN()+1)/3-2,0))),"")</f>
        <v/>
      </c>
      <c r="AW426" s="127"/>
      <c r="AX426" s="127"/>
    </row>
    <row r="427" spans="1:50" x14ac:dyDescent="0.3">
      <c r="A427" s="126"/>
      <c r="B427" s="133"/>
      <c r="C427" s="127"/>
      <c r="D427" s="138"/>
      <c r="E427" s="138"/>
      <c r="F427" s="58" t="str" cm="1">
        <f>IFERROR(IF(ISBLANK($A427),"",INDEX(Array_StationaryCharges,MATCH($A427,List_StationaryFuelMeters,0),ROUNDUP((COLUMN()+1)/3-2,0))),"")</f>
        <v/>
      </c>
      <c r="G427" s="127"/>
      <c r="H427" s="127"/>
      <c r="I427" s="58" t="str" cm="1">
        <f>IFERROR(IF(ISBLANK($A427),"",INDEX(Array_StationaryCharges,MATCH($A427,List_StationaryFuelMeters,0),ROUNDUP((COLUMN()+1)/3-2,0))),"")</f>
        <v/>
      </c>
      <c r="J427" s="127"/>
      <c r="K427" s="127"/>
      <c r="L427" s="58" t="str" cm="1">
        <f>IFERROR(IF(ISBLANK($A427),"",INDEX(Array_StationaryCharges,MATCH($A427,List_StationaryFuelMeters,0),ROUNDUP((COLUMN()+1)/3-2,0))),"")</f>
        <v/>
      </c>
      <c r="M427" s="127"/>
      <c r="N427" s="127"/>
      <c r="O427" s="58" t="str" cm="1">
        <f>IFERROR(IF(ISBLANK($A427),"",INDEX(Array_StationaryCharges,MATCH($A427,List_StationaryFuelMeters,0),ROUNDUP((COLUMN()+1)/3-2,0))),"")</f>
        <v/>
      </c>
      <c r="P427" s="127"/>
      <c r="Q427" s="127"/>
      <c r="R427" s="58" t="str" cm="1">
        <f>IFERROR(IF(ISBLANK($A427),"",INDEX(Array_StationaryCharges,MATCH($A427,List_StationaryFuelMeters,0),ROUNDUP((COLUMN()+1)/3-2,0))),"")</f>
        <v/>
      </c>
      <c r="S427" s="127"/>
      <c r="T427" s="127"/>
      <c r="U427" s="58" t="str" cm="1">
        <f>IFERROR(IF(ISBLANK($A427),"",INDEX(Array_StationaryCharges,MATCH($A427,List_StationaryFuelMeters,0),ROUNDUP((COLUMN()+1)/3-2,0))),"")</f>
        <v/>
      </c>
      <c r="V427" s="127"/>
      <c r="W427" s="127"/>
      <c r="X427" s="58" t="str" cm="1">
        <f>IFERROR(IF(ISBLANK($A427),"",INDEX(Array_StationaryCharges,MATCH($A427,List_StationaryFuelMeters,0),ROUNDUP((COLUMN()+1)/3-2,0))),"")</f>
        <v/>
      </c>
      <c r="Y427" s="127"/>
      <c r="Z427" s="127"/>
      <c r="AA427" s="58" t="str" cm="1">
        <f>IFERROR(IF(ISBLANK($A427),"",INDEX(Array_StationaryCharges,MATCH($A427,List_StationaryFuelMeters,0),ROUNDUP((COLUMN()+1)/3-2,0))),"")</f>
        <v/>
      </c>
      <c r="AB427" s="127"/>
      <c r="AC427" s="127"/>
      <c r="AD427" s="58" t="str" cm="1">
        <f>IFERROR(IF(ISBLANK($A427),"",INDEX(Array_StationaryCharges,MATCH($A427,List_StationaryFuelMeters,0),ROUNDUP((COLUMN()+1)/3-2,0))),"")</f>
        <v/>
      </c>
      <c r="AE427" s="127"/>
      <c r="AF427" s="127"/>
      <c r="AG427" s="58" t="str" cm="1">
        <f>IFERROR(IF(ISBLANK($A427),"",INDEX(Array_StationaryCharges,MATCH($A427,List_StationaryFuelMeters,0),ROUNDUP((COLUMN()+1)/3-2,0))),"")</f>
        <v/>
      </c>
      <c r="AH427" s="127"/>
      <c r="AI427" s="127"/>
      <c r="AJ427" s="58" t="str" cm="1">
        <f>IFERROR(IF(ISBLANK($A427),"",INDEX(Array_StationaryCharges,MATCH($A427,List_StationaryFuelMeters,0),ROUNDUP((COLUMN()+1)/3-2,0))),"")</f>
        <v/>
      </c>
      <c r="AK427" s="127"/>
      <c r="AL427" s="127"/>
      <c r="AM427" s="58" t="str" cm="1">
        <f>IFERROR(IF(ISBLANK($A427),"",INDEX(Array_StationaryCharges,MATCH($A427,List_StationaryFuelMeters,0),ROUNDUP((COLUMN()+1)/3-2,0))),"")</f>
        <v/>
      </c>
      <c r="AN427" s="127"/>
      <c r="AO427" s="127"/>
      <c r="AP427" s="58" t="str" cm="1">
        <f>IFERROR(IF(ISBLANK($A427),"",INDEX(Array_StationaryCharges,MATCH($A427,List_StationaryFuelMeters,0),ROUNDUP((COLUMN()+1)/3-2,0))),"")</f>
        <v/>
      </c>
      <c r="AQ427" s="127"/>
      <c r="AR427" s="127"/>
      <c r="AS427" s="58" t="str" cm="1">
        <f>IFERROR(IF(ISBLANK($A427),"",INDEX(Array_StationaryCharges,MATCH($A427,List_StationaryFuelMeters,0),ROUNDUP((COLUMN()+1)/3-2,0))),"")</f>
        <v/>
      </c>
      <c r="AT427" s="127"/>
      <c r="AU427" s="127"/>
      <c r="AV427" s="58" t="str" cm="1">
        <f>IFERROR(IF(ISBLANK($A427),"",INDEX(Array_StationaryCharges,MATCH($A427,List_StationaryFuelMeters,0),ROUNDUP((COLUMN()+1)/3-2,0))),"")</f>
        <v/>
      </c>
      <c r="AW427" s="127"/>
      <c r="AX427" s="127"/>
    </row>
    <row r="428" spans="1:50" x14ac:dyDescent="0.3">
      <c r="A428" s="126"/>
      <c r="B428" s="133"/>
      <c r="C428" s="127"/>
      <c r="D428" s="138"/>
      <c r="E428" s="138"/>
      <c r="F428" s="58" t="str" cm="1">
        <f>IFERROR(IF(ISBLANK($A428),"",INDEX(Array_StationaryCharges,MATCH($A428,List_StationaryFuelMeters,0),ROUNDUP((COLUMN()+1)/3-2,0))),"")</f>
        <v/>
      </c>
      <c r="G428" s="127"/>
      <c r="H428" s="127"/>
      <c r="I428" s="58" t="str" cm="1">
        <f>IFERROR(IF(ISBLANK($A428),"",INDEX(Array_StationaryCharges,MATCH($A428,List_StationaryFuelMeters,0),ROUNDUP((COLUMN()+1)/3-2,0))),"")</f>
        <v/>
      </c>
      <c r="J428" s="127"/>
      <c r="K428" s="127"/>
      <c r="L428" s="58" t="str" cm="1">
        <f>IFERROR(IF(ISBLANK($A428),"",INDEX(Array_StationaryCharges,MATCH($A428,List_StationaryFuelMeters,0),ROUNDUP((COLUMN()+1)/3-2,0))),"")</f>
        <v/>
      </c>
      <c r="M428" s="127"/>
      <c r="N428" s="127"/>
      <c r="O428" s="58" t="str" cm="1">
        <f>IFERROR(IF(ISBLANK($A428),"",INDEX(Array_StationaryCharges,MATCH($A428,List_StationaryFuelMeters,0),ROUNDUP((COLUMN()+1)/3-2,0))),"")</f>
        <v/>
      </c>
      <c r="P428" s="127"/>
      <c r="Q428" s="127"/>
      <c r="R428" s="58" t="str" cm="1">
        <f>IFERROR(IF(ISBLANK($A428),"",INDEX(Array_StationaryCharges,MATCH($A428,List_StationaryFuelMeters,0),ROUNDUP((COLUMN()+1)/3-2,0))),"")</f>
        <v/>
      </c>
      <c r="S428" s="127"/>
      <c r="T428" s="127"/>
      <c r="U428" s="58" t="str" cm="1">
        <f>IFERROR(IF(ISBLANK($A428),"",INDEX(Array_StationaryCharges,MATCH($A428,List_StationaryFuelMeters,0),ROUNDUP((COLUMN()+1)/3-2,0))),"")</f>
        <v/>
      </c>
      <c r="V428" s="127"/>
      <c r="W428" s="127"/>
      <c r="X428" s="58" t="str" cm="1">
        <f>IFERROR(IF(ISBLANK($A428),"",INDEX(Array_StationaryCharges,MATCH($A428,List_StationaryFuelMeters,0),ROUNDUP((COLUMN()+1)/3-2,0))),"")</f>
        <v/>
      </c>
      <c r="Y428" s="127"/>
      <c r="Z428" s="127"/>
      <c r="AA428" s="58" t="str" cm="1">
        <f>IFERROR(IF(ISBLANK($A428),"",INDEX(Array_StationaryCharges,MATCH($A428,List_StationaryFuelMeters,0),ROUNDUP((COLUMN()+1)/3-2,0))),"")</f>
        <v/>
      </c>
      <c r="AB428" s="127"/>
      <c r="AC428" s="127"/>
      <c r="AD428" s="58" t="str" cm="1">
        <f>IFERROR(IF(ISBLANK($A428),"",INDEX(Array_StationaryCharges,MATCH($A428,List_StationaryFuelMeters,0),ROUNDUP((COLUMN()+1)/3-2,0))),"")</f>
        <v/>
      </c>
      <c r="AE428" s="127"/>
      <c r="AF428" s="127"/>
      <c r="AG428" s="58" t="str" cm="1">
        <f>IFERROR(IF(ISBLANK($A428),"",INDEX(Array_StationaryCharges,MATCH($A428,List_StationaryFuelMeters,0),ROUNDUP((COLUMN()+1)/3-2,0))),"")</f>
        <v/>
      </c>
      <c r="AH428" s="127"/>
      <c r="AI428" s="127"/>
      <c r="AJ428" s="58" t="str" cm="1">
        <f>IFERROR(IF(ISBLANK($A428),"",INDEX(Array_StationaryCharges,MATCH($A428,List_StationaryFuelMeters,0),ROUNDUP((COLUMN()+1)/3-2,0))),"")</f>
        <v/>
      </c>
      <c r="AK428" s="127"/>
      <c r="AL428" s="127"/>
      <c r="AM428" s="58" t="str" cm="1">
        <f>IFERROR(IF(ISBLANK($A428),"",INDEX(Array_StationaryCharges,MATCH($A428,List_StationaryFuelMeters,0),ROUNDUP((COLUMN()+1)/3-2,0))),"")</f>
        <v/>
      </c>
      <c r="AN428" s="127"/>
      <c r="AO428" s="127"/>
      <c r="AP428" s="58" t="str" cm="1">
        <f>IFERROR(IF(ISBLANK($A428),"",INDEX(Array_StationaryCharges,MATCH($A428,List_StationaryFuelMeters,0),ROUNDUP((COLUMN()+1)/3-2,0))),"")</f>
        <v/>
      </c>
      <c r="AQ428" s="127"/>
      <c r="AR428" s="127"/>
      <c r="AS428" s="58" t="str" cm="1">
        <f>IFERROR(IF(ISBLANK($A428),"",INDEX(Array_StationaryCharges,MATCH($A428,List_StationaryFuelMeters,0),ROUNDUP((COLUMN()+1)/3-2,0))),"")</f>
        <v/>
      </c>
      <c r="AT428" s="127"/>
      <c r="AU428" s="127"/>
      <c r="AV428" s="58" t="str" cm="1">
        <f>IFERROR(IF(ISBLANK($A428),"",INDEX(Array_StationaryCharges,MATCH($A428,List_StationaryFuelMeters,0),ROUNDUP((COLUMN()+1)/3-2,0))),"")</f>
        <v/>
      </c>
      <c r="AW428" s="127"/>
      <c r="AX428" s="127"/>
    </row>
    <row r="429" spans="1:50" x14ac:dyDescent="0.3">
      <c r="A429" s="126"/>
      <c r="B429" s="133"/>
      <c r="C429" s="127"/>
      <c r="D429" s="138"/>
      <c r="E429" s="138"/>
      <c r="F429" s="58" t="str" cm="1">
        <f>IFERROR(IF(ISBLANK($A429),"",INDEX(Array_StationaryCharges,MATCH($A429,List_StationaryFuelMeters,0),ROUNDUP((COLUMN()+1)/3-2,0))),"")</f>
        <v/>
      </c>
      <c r="G429" s="127"/>
      <c r="H429" s="127"/>
      <c r="I429" s="58" t="str" cm="1">
        <f>IFERROR(IF(ISBLANK($A429),"",INDEX(Array_StationaryCharges,MATCH($A429,List_StationaryFuelMeters,0),ROUNDUP((COLUMN()+1)/3-2,0))),"")</f>
        <v/>
      </c>
      <c r="J429" s="127"/>
      <c r="K429" s="127"/>
      <c r="L429" s="58" t="str" cm="1">
        <f>IFERROR(IF(ISBLANK($A429),"",INDEX(Array_StationaryCharges,MATCH($A429,List_StationaryFuelMeters,0),ROUNDUP((COLUMN()+1)/3-2,0))),"")</f>
        <v/>
      </c>
      <c r="M429" s="127"/>
      <c r="N429" s="127"/>
      <c r="O429" s="58" t="str" cm="1">
        <f>IFERROR(IF(ISBLANK($A429),"",INDEX(Array_StationaryCharges,MATCH($A429,List_StationaryFuelMeters,0),ROUNDUP((COLUMN()+1)/3-2,0))),"")</f>
        <v/>
      </c>
      <c r="P429" s="127"/>
      <c r="Q429" s="127"/>
      <c r="R429" s="58" t="str" cm="1">
        <f>IFERROR(IF(ISBLANK($A429),"",INDEX(Array_StationaryCharges,MATCH($A429,List_StationaryFuelMeters,0),ROUNDUP((COLUMN()+1)/3-2,0))),"")</f>
        <v/>
      </c>
      <c r="S429" s="127"/>
      <c r="T429" s="127"/>
      <c r="U429" s="58" t="str" cm="1">
        <f>IFERROR(IF(ISBLANK($A429),"",INDEX(Array_StationaryCharges,MATCH($A429,List_StationaryFuelMeters,0),ROUNDUP((COLUMN()+1)/3-2,0))),"")</f>
        <v/>
      </c>
      <c r="V429" s="127"/>
      <c r="W429" s="127"/>
      <c r="X429" s="58" t="str" cm="1">
        <f>IFERROR(IF(ISBLANK($A429),"",INDEX(Array_StationaryCharges,MATCH($A429,List_StationaryFuelMeters,0),ROUNDUP((COLUMN()+1)/3-2,0))),"")</f>
        <v/>
      </c>
      <c r="Y429" s="127"/>
      <c r="Z429" s="127"/>
      <c r="AA429" s="58" t="str" cm="1">
        <f>IFERROR(IF(ISBLANK($A429),"",INDEX(Array_StationaryCharges,MATCH($A429,List_StationaryFuelMeters,0),ROUNDUP((COLUMN()+1)/3-2,0))),"")</f>
        <v/>
      </c>
      <c r="AB429" s="127"/>
      <c r="AC429" s="127"/>
      <c r="AD429" s="58" t="str" cm="1">
        <f>IFERROR(IF(ISBLANK($A429),"",INDEX(Array_StationaryCharges,MATCH($A429,List_StationaryFuelMeters,0),ROUNDUP((COLUMN()+1)/3-2,0))),"")</f>
        <v/>
      </c>
      <c r="AE429" s="127"/>
      <c r="AF429" s="127"/>
      <c r="AG429" s="58" t="str" cm="1">
        <f>IFERROR(IF(ISBLANK($A429),"",INDEX(Array_StationaryCharges,MATCH($A429,List_StationaryFuelMeters,0),ROUNDUP((COLUMN()+1)/3-2,0))),"")</f>
        <v/>
      </c>
      <c r="AH429" s="127"/>
      <c r="AI429" s="127"/>
      <c r="AJ429" s="58" t="str" cm="1">
        <f>IFERROR(IF(ISBLANK($A429),"",INDEX(Array_StationaryCharges,MATCH($A429,List_StationaryFuelMeters,0),ROUNDUP((COLUMN()+1)/3-2,0))),"")</f>
        <v/>
      </c>
      <c r="AK429" s="127"/>
      <c r="AL429" s="127"/>
      <c r="AM429" s="58" t="str" cm="1">
        <f>IFERROR(IF(ISBLANK($A429),"",INDEX(Array_StationaryCharges,MATCH($A429,List_StationaryFuelMeters,0),ROUNDUP((COLUMN()+1)/3-2,0))),"")</f>
        <v/>
      </c>
      <c r="AN429" s="127"/>
      <c r="AO429" s="127"/>
      <c r="AP429" s="58" t="str" cm="1">
        <f>IFERROR(IF(ISBLANK($A429),"",INDEX(Array_StationaryCharges,MATCH($A429,List_StationaryFuelMeters,0),ROUNDUP((COLUMN()+1)/3-2,0))),"")</f>
        <v/>
      </c>
      <c r="AQ429" s="127"/>
      <c r="AR429" s="127"/>
      <c r="AS429" s="58" t="str" cm="1">
        <f>IFERROR(IF(ISBLANK($A429),"",INDEX(Array_StationaryCharges,MATCH($A429,List_StationaryFuelMeters,0),ROUNDUP((COLUMN()+1)/3-2,0))),"")</f>
        <v/>
      </c>
      <c r="AT429" s="127"/>
      <c r="AU429" s="127"/>
      <c r="AV429" s="58" t="str" cm="1">
        <f>IFERROR(IF(ISBLANK($A429),"",INDEX(Array_StationaryCharges,MATCH($A429,List_StationaryFuelMeters,0),ROUNDUP((COLUMN()+1)/3-2,0))),"")</f>
        <v/>
      </c>
      <c r="AW429" s="127"/>
      <c r="AX429" s="127"/>
    </row>
    <row r="430" spans="1:50" x14ac:dyDescent="0.3">
      <c r="A430" s="126"/>
      <c r="B430" s="133"/>
      <c r="C430" s="127"/>
      <c r="D430" s="138"/>
      <c r="E430" s="138"/>
      <c r="F430" s="58" t="str" cm="1">
        <f>IFERROR(IF(ISBLANK($A430),"",INDEX(Array_StationaryCharges,MATCH($A430,List_StationaryFuelMeters,0),ROUNDUP((COLUMN()+1)/3-2,0))),"")</f>
        <v/>
      </c>
      <c r="G430" s="127"/>
      <c r="H430" s="127"/>
      <c r="I430" s="58" t="str" cm="1">
        <f>IFERROR(IF(ISBLANK($A430),"",INDEX(Array_StationaryCharges,MATCH($A430,List_StationaryFuelMeters,0),ROUNDUP((COLUMN()+1)/3-2,0))),"")</f>
        <v/>
      </c>
      <c r="J430" s="127"/>
      <c r="K430" s="127"/>
      <c r="L430" s="58" t="str" cm="1">
        <f>IFERROR(IF(ISBLANK($A430),"",INDEX(Array_StationaryCharges,MATCH($A430,List_StationaryFuelMeters,0),ROUNDUP((COLUMN()+1)/3-2,0))),"")</f>
        <v/>
      </c>
      <c r="M430" s="127"/>
      <c r="N430" s="127"/>
      <c r="O430" s="58" t="str" cm="1">
        <f>IFERROR(IF(ISBLANK($A430),"",INDEX(Array_StationaryCharges,MATCH($A430,List_StationaryFuelMeters,0),ROUNDUP((COLUMN()+1)/3-2,0))),"")</f>
        <v/>
      </c>
      <c r="P430" s="127"/>
      <c r="Q430" s="127"/>
      <c r="R430" s="58" t="str" cm="1">
        <f>IFERROR(IF(ISBLANK($A430),"",INDEX(Array_StationaryCharges,MATCH($A430,List_StationaryFuelMeters,0),ROUNDUP((COLUMN()+1)/3-2,0))),"")</f>
        <v/>
      </c>
      <c r="S430" s="127"/>
      <c r="T430" s="127"/>
      <c r="U430" s="58" t="str" cm="1">
        <f>IFERROR(IF(ISBLANK($A430),"",INDEX(Array_StationaryCharges,MATCH($A430,List_StationaryFuelMeters,0),ROUNDUP((COLUMN()+1)/3-2,0))),"")</f>
        <v/>
      </c>
      <c r="V430" s="127"/>
      <c r="W430" s="127"/>
      <c r="X430" s="58" t="str" cm="1">
        <f>IFERROR(IF(ISBLANK($A430),"",INDEX(Array_StationaryCharges,MATCH($A430,List_StationaryFuelMeters,0),ROUNDUP((COLUMN()+1)/3-2,0))),"")</f>
        <v/>
      </c>
      <c r="Y430" s="127"/>
      <c r="Z430" s="127"/>
      <c r="AA430" s="58" t="str" cm="1">
        <f>IFERROR(IF(ISBLANK($A430),"",INDEX(Array_StationaryCharges,MATCH($A430,List_StationaryFuelMeters,0),ROUNDUP((COLUMN()+1)/3-2,0))),"")</f>
        <v/>
      </c>
      <c r="AB430" s="127"/>
      <c r="AC430" s="127"/>
      <c r="AD430" s="58" t="str" cm="1">
        <f>IFERROR(IF(ISBLANK($A430),"",INDEX(Array_StationaryCharges,MATCH($A430,List_StationaryFuelMeters,0),ROUNDUP((COLUMN()+1)/3-2,0))),"")</f>
        <v/>
      </c>
      <c r="AE430" s="127"/>
      <c r="AF430" s="127"/>
      <c r="AG430" s="58" t="str" cm="1">
        <f>IFERROR(IF(ISBLANK($A430),"",INDEX(Array_StationaryCharges,MATCH($A430,List_StationaryFuelMeters,0),ROUNDUP((COLUMN()+1)/3-2,0))),"")</f>
        <v/>
      </c>
      <c r="AH430" s="127"/>
      <c r="AI430" s="127"/>
      <c r="AJ430" s="58" t="str" cm="1">
        <f>IFERROR(IF(ISBLANK($A430),"",INDEX(Array_StationaryCharges,MATCH($A430,List_StationaryFuelMeters,0),ROUNDUP((COLUMN()+1)/3-2,0))),"")</f>
        <v/>
      </c>
      <c r="AK430" s="127"/>
      <c r="AL430" s="127"/>
      <c r="AM430" s="58" t="str" cm="1">
        <f>IFERROR(IF(ISBLANK($A430),"",INDEX(Array_StationaryCharges,MATCH($A430,List_StationaryFuelMeters,0),ROUNDUP((COLUMN()+1)/3-2,0))),"")</f>
        <v/>
      </c>
      <c r="AN430" s="127"/>
      <c r="AO430" s="127"/>
      <c r="AP430" s="58" t="str" cm="1">
        <f>IFERROR(IF(ISBLANK($A430),"",INDEX(Array_StationaryCharges,MATCH($A430,List_StationaryFuelMeters,0),ROUNDUP((COLUMN()+1)/3-2,0))),"")</f>
        <v/>
      </c>
      <c r="AQ430" s="127"/>
      <c r="AR430" s="127"/>
      <c r="AS430" s="58" t="str" cm="1">
        <f>IFERROR(IF(ISBLANK($A430),"",INDEX(Array_StationaryCharges,MATCH($A430,List_StationaryFuelMeters,0),ROUNDUP((COLUMN()+1)/3-2,0))),"")</f>
        <v/>
      </c>
      <c r="AT430" s="127"/>
      <c r="AU430" s="127"/>
      <c r="AV430" s="58" t="str" cm="1">
        <f>IFERROR(IF(ISBLANK($A430),"",INDEX(Array_StationaryCharges,MATCH($A430,List_StationaryFuelMeters,0),ROUNDUP((COLUMN()+1)/3-2,0))),"")</f>
        <v/>
      </c>
      <c r="AW430" s="127"/>
      <c r="AX430" s="127"/>
    </row>
    <row r="431" spans="1:50" x14ac:dyDescent="0.3">
      <c r="A431" s="126"/>
      <c r="B431" s="133"/>
      <c r="C431" s="127"/>
      <c r="D431" s="138"/>
      <c r="E431" s="138"/>
      <c r="F431" s="58" t="str" cm="1">
        <f>IFERROR(IF(ISBLANK($A431),"",INDEX(Array_StationaryCharges,MATCH($A431,List_StationaryFuelMeters,0),ROUNDUP((COLUMN()+1)/3-2,0))),"")</f>
        <v/>
      </c>
      <c r="G431" s="127"/>
      <c r="H431" s="127"/>
      <c r="I431" s="58" t="str" cm="1">
        <f>IFERROR(IF(ISBLANK($A431),"",INDEX(Array_StationaryCharges,MATCH($A431,List_StationaryFuelMeters,0),ROUNDUP((COLUMN()+1)/3-2,0))),"")</f>
        <v/>
      </c>
      <c r="J431" s="127"/>
      <c r="K431" s="127"/>
      <c r="L431" s="58" t="str" cm="1">
        <f>IFERROR(IF(ISBLANK($A431),"",INDEX(Array_StationaryCharges,MATCH($A431,List_StationaryFuelMeters,0),ROUNDUP((COLUMN()+1)/3-2,0))),"")</f>
        <v/>
      </c>
      <c r="M431" s="127"/>
      <c r="N431" s="127"/>
      <c r="O431" s="58" t="str" cm="1">
        <f>IFERROR(IF(ISBLANK($A431),"",INDEX(Array_StationaryCharges,MATCH($A431,List_StationaryFuelMeters,0),ROUNDUP((COLUMN()+1)/3-2,0))),"")</f>
        <v/>
      </c>
      <c r="P431" s="127"/>
      <c r="Q431" s="127"/>
      <c r="R431" s="58" t="str" cm="1">
        <f>IFERROR(IF(ISBLANK($A431),"",INDEX(Array_StationaryCharges,MATCH($A431,List_StationaryFuelMeters,0),ROUNDUP((COLUMN()+1)/3-2,0))),"")</f>
        <v/>
      </c>
      <c r="S431" s="127"/>
      <c r="T431" s="127"/>
      <c r="U431" s="58" t="str" cm="1">
        <f>IFERROR(IF(ISBLANK($A431),"",INDEX(Array_StationaryCharges,MATCH($A431,List_StationaryFuelMeters,0),ROUNDUP((COLUMN()+1)/3-2,0))),"")</f>
        <v/>
      </c>
      <c r="V431" s="127"/>
      <c r="W431" s="127"/>
      <c r="X431" s="58" t="str" cm="1">
        <f>IFERROR(IF(ISBLANK($A431),"",INDEX(Array_StationaryCharges,MATCH($A431,List_StationaryFuelMeters,0),ROUNDUP((COLUMN()+1)/3-2,0))),"")</f>
        <v/>
      </c>
      <c r="Y431" s="127"/>
      <c r="Z431" s="127"/>
      <c r="AA431" s="58" t="str" cm="1">
        <f>IFERROR(IF(ISBLANK($A431),"",INDEX(Array_StationaryCharges,MATCH($A431,List_StationaryFuelMeters,0),ROUNDUP((COLUMN()+1)/3-2,0))),"")</f>
        <v/>
      </c>
      <c r="AB431" s="127"/>
      <c r="AC431" s="127"/>
      <c r="AD431" s="58" t="str" cm="1">
        <f>IFERROR(IF(ISBLANK($A431),"",INDEX(Array_StationaryCharges,MATCH($A431,List_StationaryFuelMeters,0),ROUNDUP((COLUMN()+1)/3-2,0))),"")</f>
        <v/>
      </c>
      <c r="AE431" s="127"/>
      <c r="AF431" s="127"/>
      <c r="AG431" s="58" t="str" cm="1">
        <f>IFERROR(IF(ISBLANK($A431),"",INDEX(Array_StationaryCharges,MATCH($A431,List_StationaryFuelMeters,0),ROUNDUP((COLUMN()+1)/3-2,0))),"")</f>
        <v/>
      </c>
      <c r="AH431" s="127"/>
      <c r="AI431" s="127"/>
      <c r="AJ431" s="58" t="str" cm="1">
        <f>IFERROR(IF(ISBLANK($A431),"",INDEX(Array_StationaryCharges,MATCH($A431,List_StationaryFuelMeters,0),ROUNDUP((COLUMN()+1)/3-2,0))),"")</f>
        <v/>
      </c>
      <c r="AK431" s="127"/>
      <c r="AL431" s="127"/>
      <c r="AM431" s="58" t="str" cm="1">
        <f>IFERROR(IF(ISBLANK($A431),"",INDEX(Array_StationaryCharges,MATCH($A431,List_StationaryFuelMeters,0),ROUNDUP((COLUMN()+1)/3-2,0))),"")</f>
        <v/>
      </c>
      <c r="AN431" s="127"/>
      <c r="AO431" s="127"/>
      <c r="AP431" s="58" t="str" cm="1">
        <f>IFERROR(IF(ISBLANK($A431),"",INDEX(Array_StationaryCharges,MATCH($A431,List_StationaryFuelMeters,0),ROUNDUP((COLUMN()+1)/3-2,0))),"")</f>
        <v/>
      </c>
      <c r="AQ431" s="127"/>
      <c r="AR431" s="127"/>
      <c r="AS431" s="58" t="str" cm="1">
        <f>IFERROR(IF(ISBLANK($A431),"",INDEX(Array_StationaryCharges,MATCH($A431,List_StationaryFuelMeters,0),ROUNDUP((COLUMN()+1)/3-2,0))),"")</f>
        <v/>
      </c>
      <c r="AT431" s="127"/>
      <c r="AU431" s="127"/>
      <c r="AV431" s="58" t="str" cm="1">
        <f>IFERROR(IF(ISBLANK($A431),"",INDEX(Array_StationaryCharges,MATCH($A431,List_StationaryFuelMeters,0),ROUNDUP((COLUMN()+1)/3-2,0))),"")</f>
        <v/>
      </c>
      <c r="AW431" s="127"/>
      <c r="AX431" s="127"/>
    </row>
    <row r="432" spans="1:50" x14ac:dyDescent="0.3">
      <c r="A432" s="126"/>
      <c r="B432" s="133"/>
      <c r="C432" s="127"/>
      <c r="D432" s="138"/>
      <c r="E432" s="138"/>
      <c r="F432" s="58" t="str" cm="1">
        <f>IFERROR(IF(ISBLANK($A432),"",INDEX(Array_StationaryCharges,MATCH($A432,List_StationaryFuelMeters,0),ROUNDUP((COLUMN()+1)/3-2,0))),"")</f>
        <v/>
      </c>
      <c r="G432" s="127"/>
      <c r="H432" s="127"/>
      <c r="I432" s="58" t="str" cm="1">
        <f>IFERROR(IF(ISBLANK($A432),"",INDEX(Array_StationaryCharges,MATCH($A432,List_StationaryFuelMeters,0),ROUNDUP((COLUMN()+1)/3-2,0))),"")</f>
        <v/>
      </c>
      <c r="J432" s="127"/>
      <c r="K432" s="127"/>
      <c r="L432" s="58" t="str" cm="1">
        <f>IFERROR(IF(ISBLANK($A432),"",INDEX(Array_StationaryCharges,MATCH($A432,List_StationaryFuelMeters,0),ROUNDUP((COLUMN()+1)/3-2,0))),"")</f>
        <v/>
      </c>
      <c r="M432" s="127"/>
      <c r="N432" s="127"/>
      <c r="O432" s="58" t="str" cm="1">
        <f>IFERROR(IF(ISBLANK($A432),"",INDEX(Array_StationaryCharges,MATCH($A432,List_StationaryFuelMeters,0),ROUNDUP((COLUMN()+1)/3-2,0))),"")</f>
        <v/>
      </c>
      <c r="P432" s="127"/>
      <c r="Q432" s="127"/>
      <c r="R432" s="58" t="str" cm="1">
        <f>IFERROR(IF(ISBLANK($A432),"",INDEX(Array_StationaryCharges,MATCH($A432,List_StationaryFuelMeters,0),ROUNDUP((COLUMN()+1)/3-2,0))),"")</f>
        <v/>
      </c>
      <c r="S432" s="127"/>
      <c r="T432" s="127"/>
      <c r="U432" s="58" t="str" cm="1">
        <f>IFERROR(IF(ISBLANK($A432),"",INDEX(Array_StationaryCharges,MATCH($A432,List_StationaryFuelMeters,0),ROUNDUP((COLUMN()+1)/3-2,0))),"")</f>
        <v/>
      </c>
      <c r="V432" s="127"/>
      <c r="W432" s="127"/>
      <c r="X432" s="58" t="str" cm="1">
        <f>IFERROR(IF(ISBLANK($A432),"",INDEX(Array_StationaryCharges,MATCH($A432,List_StationaryFuelMeters,0),ROUNDUP((COLUMN()+1)/3-2,0))),"")</f>
        <v/>
      </c>
      <c r="Y432" s="127"/>
      <c r="Z432" s="127"/>
      <c r="AA432" s="58" t="str" cm="1">
        <f>IFERROR(IF(ISBLANK($A432),"",INDEX(Array_StationaryCharges,MATCH($A432,List_StationaryFuelMeters,0),ROUNDUP((COLUMN()+1)/3-2,0))),"")</f>
        <v/>
      </c>
      <c r="AB432" s="127"/>
      <c r="AC432" s="127"/>
      <c r="AD432" s="58" t="str" cm="1">
        <f>IFERROR(IF(ISBLANK($A432),"",INDEX(Array_StationaryCharges,MATCH($A432,List_StationaryFuelMeters,0),ROUNDUP((COLUMN()+1)/3-2,0))),"")</f>
        <v/>
      </c>
      <c r="AE432" s="127"/>
      <c r="AF432" s="127"/>
      <c r="AG432" s="58" t="str" cm="1">
        <f>IFERROR(IF(ISBLANK($A432),"",INDEX(Array_StationaryCharges,MATCH($A432,List_StationaryFuelMeters,0),ROUNDUP((COLUMN()+1)/3-2,0))),"")</f>
        <v/>
      </c>
      <c r="AH432" s="127"/>
      <c r="AI432" s="127"/>
      <c r="AJ432" s="58" t="str" cm="1">
        <f>IFERROR(IF(ISBLANK($A432),"",INDEX(Array_StationaryCharges,MATCH($A432,List_StationaryFuelMeters,0),ROUNDUP((COLUMN()+1)/3-2,0))),"")</f>
        <v/>
      </c>
      <c r="AK432" s="127"/>
      <c r="AL432" s="127"/>
      <c r="AM432" s="58" t="str" cm="1">
        <f>IFERROR(IF(ISBLANK($A432),"",INDEX(Array_StationaryCharges,MATCH($A432,List_StationaryFuelMeters,0),ROUNDUP((COLUMN()+1)/3-2,0))),"")</f>
        <v/>
      </c>
      <c r="AN432" s="127"/>
      <c r="AO432" s="127"/>
      <c r="AP432" s="58" t="str" cm="1">
        <f>IFERROR(IF(ISBLANK($A432),"",INDEX(Array_StationaryCharges,MATCH($A432,List_StationaryFuelMeters,0),ROUNDUP((COLUMN()+1)/3-2,0))),"")</f>
        <v/>
      </c>
      <c r="AQ432" s="127"/>
      <c r="AR432" s="127"/>
      <c r="AS432" s="58" t="str" cm="1">
        <f>IFERROR(IF(ISBLANK($A432),"",INDEX(Array_StationaryCharges,MATCH($A432,List_StationaryFuelMeters,0),ROUNDUP((COLUMN()+1)/3-2,0))),"")</f>
        <v/>
      </c>
      <c r="AT432" s="127"/>
      <c r="AU432" s="127"/>
      <c r="AV432" s="58" t="str" cm="1">
        <f>IFERROR(IF(ISBLANK($A432),"",INDEX(Array_StationaryCharges,MATCH($A432,List_StationaryFuelMeters,0),ROUNDUP((COLUMN()+1)/3-2,0))),"")</f>
        <v/>
      </c>
      <c r="AW432" s="127"/>
      <c r="AX432" s="127"/>
    </row>
    <row r="433" spans="1:50" x14ac:dyDescent="0.3">
      <c r="A433" s="126"/>
      <c r="B433" s="133"/>
      <c r="C433" s="127"/>
      <c r="D433" s="138"/>
      <c r="E433" s="138"/>
      <c r="F433" s="58" t="str" cm="1">
        <f>IFERROR(IF(ISBLANK($A433),"",INDEX(Array_StationaryCharges,MATCH($A433,List_StationaryFuelMeters,0),ROUNDUP((COLUMN()+1)/3-2,0))),"")</f>
        <v/>
      </c>
      <c r="G433" s="127"/>
      <c r="H433" s="127"/>
      <c r="I433" s="58" t="str" cm="1">
        <f>IFERROR(IF(ISBLANK($A433),"",INDEX(Array_StationaryCharges,MATCH($A433,List_StationaryFuelMeters,0),ROUNDUP((COLUMN()+1)/3-2,0))),"")</f>
        <v/>
      </c>
      <c r="J433" s="127"/>
      <c r="K433" s="127"/>
      <c r="L433" s="58" t="str" cm="1">
        <f>IFERROR(IF(ISBLANK($A433),"",INDEX(Array_StationaryCharges,MATCH($A433,List_StationaryFuelMeters,0),ROUNDUP((COLUMN()+1)/3-2,0))),"")</f>
        <v/>
      </c>
      <c r="M433" s="127"/>
      <c r="N433" s="127"/>
      <c r="O433" s="58" t="str" cm="1">
        <f>IFERROR(IF(ISBLANK($A433),"",INDEX(Array_StationaryCharges,MATCH($A433,List_StationaryFuelMeters,0),ROUNDUP((COLUMN()+1)/3-2,0))),"")</f>
        <v/>
      </c>
      <c r="P433" s="127"/>
      <c r="Q433" s="127"/>
      <c r="R433" s="58" t="str" cm="1">
        <f>IFERROR(IF(ISBLANK($A433),"",INDEX(Array_StationaryCharges,MATCH($A433,List_StationaryFuelMeters,0),ROUNDUP((COLUMN()+1)/3-2,0))),"")</f>
        <v/>
      </c>
      <c r="S433" s="127"/>
      <c r="T433" s="127"/>
      <c r="U433" s="58" t="str" cm="1">
        <f>IFERROR(IF(ISBLANK($A433),"",INDEX(Array_StationaryCharges,MATCH($A433,List_StationaryFuelMeters,0),ROUNDUP((COLUMN()+1)/3-2,0))),"")</f>
        <v/>
      </c>
      <c r="V433" s="127"/>
      <c r="W433" s="127"/>
      <c r="X433" s="58" t="str" cm="1">
        <f>IFERROR(IF(ISBLANK($A433),"",INDEX(Array_StationaryCharges,MATCH($A433,List_StationaryFuelMeters,0),ROUNDUP((COLUMN()+1)/3-2,0))),"")</f>
        <v/>
      </c>
      <c r="Y433" s="127"/>
      <c r="Z433" s="127"/>
      <c r="AA433" s="58" t="str" cm="1">
        <f>IFERROR(IF(ISBLANK($A433),"",INDEX(Array_StationaryCharges,MATCH($A433,List_StationaryFuelMeters,0),ROUNDUP((COLUMN()+1)/3-2,0))),"")</f>
        <v/>
      </c>
      <c r="AB433" s="127"/>
      <c r="AC433" s="127"/>
      <c r="AD433" s="58" t="str" cm="1">
        <f>IFERROR(IF(ISBLANK($A433),"",INDEX(Array_StationaryCharges,MATCH($A433,List_StationaryFuelMeters,0),ROUNDUP((COLUMN()+1)/3-2,0))),"")</f>
        <v/>
      </c>
      <c r="AE433" s="127"/>
      <c r="AF433" s="127"/>
      <c r="AG433" s="58" t="str" cm="1">
        <f>IFERROR(IF(ISBLANK($A433),"",INDEX(Array_StationaryCharges,MATCH($A433,List_StationaryFuelMeters,0),ROUNDUP((COLUMN()+1)/3-2,0))),"")</f>
        <v/>
      </c>
      <c r="AH433" s="127"/>
      <c r="AI433" s="127"/>
      <c r="AJ433" s="58" t="str" cm="1">
        <f>IFERROR(IF(ISBLANK($A433),"",INDEX(Array_StationaryCharges,MATCH($A433,List_StationaryFuelMeters,0),ROUNDUP((COLUMN()+1)/3-2,0))),"")</f>
        <v/>
      </c>
      <c r="AK433" s="127"/>
      <c r="AL433" s="127"/>
      <c r="AM433" s="58" t="str" cm="1">
        <f>IFERROR(IF(ISBLANK($A433),"",INDEX(Array_StationaryCharges,MATCH($A433,List_StationaryFuelMeters,0),ROUNDUP((COLUMN()+1)/3-2,0))),"")</f>
        <v/>
      </c>
      <c r="AN433" s="127"/>
      <c r="AO433" s="127"/>
      <c r="AP433" s="58" t="str" cm="1">
        <f>IFERROR(IF(ISBLANK($A433),"",INDEX(Array_StationaryCharges,MATCH($A433,List_StationaryFuelMeters,0),ROUNDUP((COLUMN()+1)/3-2,0))),"")</f>
        <v/>
      </c>
      <c r="AQ433" s="127"/>
      <c r="AR433" s="127"/>
      <c r="AS433" s="58" t="str" cm="1">
        <f>IFERROR(IF(ISBLANK($A433),"",INDEX(Array_StationaryCharges,MATCH($A433,List_StationaryFuelMeters,0),ROUNDUP((COLUMN()+1)/3-2,0))),"")</f>
        <v/>
      </c>
      <c r="AT433" s="127"/>
      <c r="AU433" s="127"/>
      <c r="AV433" s="58" t="str" cm="1">
        <f>IFERROR(IF(ISBLANK($A433),"",INDEX(Array_StationaryCharges,MATCH($A433,List_StationaryFuelMeters,0),ROUNDUP((COLUMN()+1)/3-2,0))),"")</f>
        <v/>
      </c>
      <c r="AW433" s="127"/>
      <c r="AX433" s="127"/>
    </row>
    <row r="434" spans="1:50" x14ac:dyDescent="0.3">
      <c r="A434" s="126"/>
      <c r="B434" s="133"/>
      <c r="C434" s="127"/>
      <c r="D434" s="138"/>
      <c r="E434" s="138"/>
      <c r="F434" s="58" t="str" cm="1">
        <f>IFERROR(IF(ISBLANK($A434),"",INDEX(Array_StationaryCharges,MATCH($A434,List_StationaryFuelMeters,0),ROUNDUP((COLUMN()+1)/3-2,0))),"")</f>
        <v/>
      </c>
      <c r="G434" s="127"/>
      <c r="H434" s="127"/>
      <c r="I434" s="58" t="str" cm="1">
        <f>IFERROR(IF(ISBLANK($A434),"",INDEX(Array_StationaryCharges,MATCH($A434,List_StationaryFuelMeters,0),ROUNDUP((COLUMN()+1)/3-2,0))),"")</f>
        <v/>
      </c>
      <c r="J434" s="127"/>
      <c r="K434" s="127"/>
      <c r="L434" s="58" t="str" cm="1">
        <f>IFERROR(IF(ISBLANK($A434),"",INDEX(Array_StationaryCharges,MATCH($A434,List_StationaryFuelMeters,0),ROUNDUP((COLUMN()+1)/3-2,0))),"")</f>
        <v/>
      </c>
      <c r="M434" s="127"/>
      <c r="N434" s="127"/>
      <c r="O434" s="58" t="str" cm="1">
        <f>IFERROR(IF(ISBLANK($A434),"",INDEX(Array_StationaryCharges,MATCH($A434,List_StationaryFuelMeters,0),ROUNDUP((COLUMN()+1)/3-2,0))),"")</f>
        <v/>
      </c>
      <c r="P434" s="127"/>
      <c r="Q434" s="127"/>
      <c r="R434" s="58" t="str" cm="1">
        <f>IFERROR(IF(ISBLANK($A434),"",INDEX(Array_StationaryCharges,MATCH($A434,List_StationaryFuelMeters,0),ROUNDUP((COLUMN()+1)/3-2,0))),"")</f>
        <v/>
      </c>
      <c r="S434" s="127"/>
      <c r="T434" s="127"/>
      <c r="U434" s="58" t="str" cm="1">
        <f>IFERROR(IF(ISBLANK($A434),"",INDEX(Array_StationaryCharges,MATCH($A434,List_StationaryFuelMeters,0),ROUNDUP((COLUMN()+1)/3-2,0))),"")</f>
        <v/>
      </c>
      <c r="V434" s="127"/>
      <c r="W434" s="127"/>
      <c r="X434" s="58" t="str" cm="1">
        <f>IFERROR(IF(ISBLANK($A434),"",INDEX(Array_StationaryCharges,MATCH($A434,List_StationaryFuelMeters,0),ROUNDUP((COLUMN()+1)/3-2,0))),"")</f>
        <v/>
      </c>
      <c r="Y434" s="127"/>
      <c r="Z434" s="127"/>
      <c r="AA434" s="58" t="str" cm="1">
        <f>IFERROR(IF(ISBLANK($A434),"",INDEX(Array_StationaryCharges,MATCH($A434,List_StationaryFuelMeters,0),ROUNDUP((COLUMN()+1)/3-2,0))),"")</f>
        <v/>
      </c>
      <c r="AB434" s="127"/>
      <c r="AC434" s="127"/>
      <c r="AD434" s="58" t="str" cm="1">
        <f>IFERROR(IF(ISBLANK($A434),"",INDEX(Array_StationaryCharges,MATCH($A434,List_StationaryFuelMeters,0),ROUNDUP((COLUMN()+1)/3-2,0))),"")</f>
        <v/>
      </c>
      <c r="AE434" s="127"/>
      <c r="AF434" s="127"/>
      <c r="AG434" s="58" t="str" cm="1">
        <f>IFERROR(IF(ISBLANK($A434),"",INDEX(Array_StationaryCharges,MATCH($A434,List_StationaryFuelMeters,0),ROUNDUP((COLUMN()+1)/3-2,0))),"")</f>
        <v/>
      </c>
      <c r="AH434" s="127"/>
      <c r="AI434" s="127"/>
      <c r="AJ434" s="58" t="str" cm="1">
        <f>IFERROR(IF(ISBLANK($A434),"",INDEX(Array_StationaryCharges,MATCH($A434,List_StationaryFuelMeters,0),ROUNDUP((COLUMN()+1)/3-2,0))),"")</f>
        <v/>
      </c>
      <c r="AK434" s="127"/>
      <c r="AL434" s="127"/>
      <c r="AM434" s="58" t="str" cm="1">
        <f>IFERROR(IF(ISBLANK($A434),"",INDEX(Array_StationaryCharges,MATCH($A434,List_StationaryFuelMeters,0),ROUNDUP((COLUMN()+1)/3-2,0))),"")</f>
        <v/>
      </c>
      <c r="AN434" s="127"/>
      <c r="AO434" s="127"/>
      <c r="AP434" s="58" t="str" cm="1">
        <f>IFERROR(IF(ISBLANK($A434),"",INDEX(Array_StationaryCharges,MATCH($A434,List_StationaryFuelMeters,0),ROUNDUP((COLUMN()+1)/3-2,0))),"")</f>
        <v/>
      </c>
      <c r="AQ434" s="127"/>
      <c r="AR434" s="127"/>
      <c r="AS434" s="58" t="str" cm="1">
        <f>IFERROR(IF(ISBLANK($A434),"",INDEX(Array_StationaryCharges,MATCH($A434,List_StationaryFuelMeters,0),ROUNDUP((COLUMN()+1)/3-2,0))),"")</f>
        <v/>
      </c>
      <c r="AT434" s="127"/>
      <c r="AU434" s="127"/>
      <c r="AV434" s="58" t="str" cm="1">
        <f>IFERROR(IF(ISBLANK($A434),"",INDEX(Array_StationaryCharges,MATCH($A434,List_StationaryFuelMeters,0),ROUNDUP((COLUMN()+1)/3-2,0))),"")</f>
        <v/>
      </c>
      <c r="AW434" s="127"/>
      <c r="AX434" s="127"/>
    </row>
    <row r="435" spans="1:50" x14ac:dyDescent="0.3">
      <c r="A435" s="126"/>
      <c r="B435" s="133"/>
      <c r="C435" s="127"/>
      <c r="D435" s="138"/>
      <c r="E435" s="138"/>
      <c r="F435" s="58" t="str" cm="1">
        <f>IFERROR(IF(ISBLANK($A435),"",INDEX(Array_StationaryCharges,MATCH($A435,List_StationaryFuelMeters,0),ROUNDUP((COLUMN()+1)/3-2,0))),"")</f>
        <v/>
      </c>
      <c r="G435" s="127"/>
      <c r="H435" s="127"/>
      <c r="I435" s="58" t="str" cm="1">
        <f>IFERROR(IF(ISBLANK($A435),"",INDEX(Array_StationaryCharges,MATCH($A435,List_StationaryFuelMeters,0),ROUNDUP((COLUMN()+1)/3-2,0))),"")</f>
        <v/>
      </c>
      <c r="J435" s="127"/>
      <c r="K435" s="127"/>
      <c r="L435" s="58" t="str" cm="1">
        <f>IFERROR(IF(ISBLANK($A435),"",INDEX(Array_StationaryCharges,MATCH($A435,List_StationaryFuelMeters,0),ROUNDUP((COLUMN()+1)/3-2,0))),"")</f>
        <v/>
      </c>
      <c r="M435" s="127"/>
      <c r="N435" s="127"/>
      <c r="O435" s="58" t="str" cm="1">
        <f>IFERROR(IF(ISBLANK($A435),"",INDEX(Array_StationaryCharges,MATCH($A435,List_StationaryFuelMeters,0),ROUNDUP((COLUMN()+1)/3-2,0))),"")</f>
        <v/>
      </c>
      <c r="P435" s="127"/>
      <c r="Q435" s="127"/>
      <c r="R435" s="58" t="str" cm="1">
        <f>IFERROR(IF(ISBLANK($A435),"",INDEX(Array_StationaryCharges,MATCH($A435,List_StationaryFuelMeters,0),ROUNDUP((COLUMN()+1)/3-2,0))),"")</f>
        <v/>
      </c>
      <c r="S435" s="127"/>
      <c r="T435" s="127"/>
      <c r="U435" s="58" t="str" cm="1">
        <f>IFERROR(IF(ISBLANK($A435),"",INDEX(Array_StationaryCharges,MATCH($A435,List_StationaryFuelMeters,0),ROUNDUP((COLUMN()+1)/3-2,0))),"")</f>
        <v/>
      </c>
      <c r="V435" s="127"/>
      <c r="W435" s="127"/>
      <c r="X435" s="58" t="str" cm="1">
        <f>IFERROR(IF(ISBLANK($A435),"",INDEX(Array_StationaryCharges,MATCH($A435,List_StationaryFuelMeters,0),ROUNDUP((COLUMN()+1)/3-2,0))),"")</f>
        <v/>
      </c>
      <c r="Y435" s="127"/>
      <c r="Z435" s="127"/>
      <c r="AA435" s="58" t="str" cm="1">
        <f>IFERROR(IF(ISBLANK($A435),"",INDEX(Array_StationaryCharges,MATCH($A435,List_StationaryFuelMeters,0),ROUNDUP((COLUMN()+1)/3-2,0))),"")</f>
        <v/>
      </c>
      <c r="AB435" s="127"/>
      <c r="AC435" s="127"/>
      <c r="AD435" s="58" t="str" cm="1">
        <f>IFERROR(IF(ISBLANK($A435),"",INDEX(Array_StationaryCharges,MATCH($A435,List_StationaryFuelMeters,0),ROUNDUP((COLUMN()+1)/3-2,0))),"")</f>
        <v/>
      </c>
      <c r="AE435" s="127"/>
      <c r="AF435" s="127"/>
      <c r="AG435" s="58" t="str" cm="1">
        <f>IFERROR(IF(ISBLANK($A435),"",INDEX(Array_StationaryCharges,MATCH($A435,List_StationaryFuelMeters,0),ROUNDUP((COLUMN()+1)/3-2,0))),"")</f>
        <v/>
      </c>
      <c r="AH435" s="127"/>
      <c r="AI435" s="127"/>
      <c r="AJ435" s="58" t="str" cm="1">
        <f>IFERROR(IF(ISBLANK($A435),"",INDEX(Array_StationaryCharges,MATCH($A435,List_StationaryFuelMeters,0),ROUNDUP((COLUMN()+1)/3-2,0))),"")</f>
        <v/>
      </c>
      <c r="AK435" s="127"/>
      <c r="AL435" s="127"/>
      <c r="AM435" s="58" t="str" cm="1">
        <f>IFERROR(IF(ISBLANK($A435),"",INDEX(Array_StationaryCharges,MATCH($A435,List_StationaryFuelMeters,0),ROUNDUP((COLUMN()+1)/3-2,0))),"")</f>
        <v/>
      </c>
      <c r="AN435" s="127"/>
      <c r="AO435" s="127"/>
      <c r="AP435" s="58" t="str" cm="1">
        <f>IFERROR(IF(ISBLANK($A435),"",INDEX(Array_StationaryCharges,MATCH($A435,List_StationaryFuelMeters,0),ROUNDUP((COLUMN()+1)/3-2,0))),"")</f>
        <v/>
      </c>
      <c r="AQ435" s="127"/>
      <c r="AR435" s="127"/>
      <c r="AS435" s="58" t="str" cm="1">
        <f>IFERROR(IF(ISBLANK($A435),"",INDEX(Array_StationaryCharges,MATCH($A435,List_StationaryFuelMeters,0),ROUNDUP((COLUMN()+1)/3-2,0))),"")</f>
        <v/>
      </c>
      <c r="AT435" s="127"/>
      <c r="AU435" s="127"/>
      <c r="AV435" s="58" t="str" cm="1">
        <f>IFERROR(IF(ISBLANK($A435),"",INDEX(Array_StationaryCharges,MATCH($A435,List_StationaryFuelMeters,0),ROUNDUP((COLUMN()+1)/3-2,0))),"")</f>
        <v/>
      </c>
      <c r="AW435" s="127"/>
      <c r="AX435" s="127"/>
    </row>
    <row r="436" spans="1:50" x14ac:dyDescent="0.3">
      <c r="A436" s="126"/>
      <c r="B436" s="133"/>
      <c r="C436" s="127"/>
      <c r="D436" s="138"/>
      <c r="E436" s="138"/>
      <c r="F436" s="58" t="str" cm="1">
        <f>IFERROR(IF(ISBLANK($A436),"",INDEX(Array_StationaryCharges,MATCH($A436,List_StationaryFuelMeters,0),ROUNDUP((COLUMN()+1)/3-2,0))),"")</f>
        <v/>
      </c>
      <c r="G436" s="127"/>
      <c r="H436" s="127"/>
      <c r="I436" s="58" t="str" cm="1">
        <f>IFERROR(IF(ISBLANK($A436),"",INDEX(Array_StationaryCharges,MATCH($A436,List_StationaryFuelMeters,0),ROUNDUP((COLUMN()+1)/3-2,0))),"")</f>
        <v/>
      </c>
      <c r="J436" s="127"/>
      <c r="K436" s="127"/>
      <c r="L436" s="58" t="str" cm="1">
        <f>IFERROR(IF(ISBLANK($A436),"",INDEX(Array_StationaryCharges,MATCH($A436,List_StationaryFuelMeters,0),ROUNDUP((COLUMN()+1)/3-2,0))),"")</f>
        <v/>
      </c>
      <c r="M436" s="127"/>
      <c r="N436" s="127"/>
      <c r="O436" s="58" t="str" cm="1">
        <f>IFERROR(IF(ISBLANK($A436),"",INDEX(Array_StationaryCharges,MATCH($A436,List_StationaryFuelMeters,0),ROUNDUP((COLUMN()+1)/3-2,0))),"")</f>
        <v/>
      </c>
      <c r="P436" s="127"/>
      <c r="Q436" s="127"/>
      <c r="R436" s="58" t="str" cm="1">
        <f>IFERROR(IF(ISBLANK($A436),"",INDEX(Array_StationaryCharges,MATCH($A436,List_StationaryFuelMeters,0),ROUNDUP((COLUMN()+1)/3-2,0))),"")</f>
        <v/>
      </c>
      <c r="S436" s="127"/>
      <c r="T436" s="127"/>
      <c r="U436" s="58" t="str" cm="1">
        <f>IFERROR(IF(ISBLANK($A436),"",INDEX(Array_StationaryCharges,MATCH($A436,List_StationaryFuelMeters,0),ROUNDUP((COLUMN()+1)/3-2,0))),"")</f>
        <v/>
      </c>
      <c r="V436" s="127"/>
      <c r="W436" s="127"/>
      <c r="X436" s="58" t="str" cm="1">
        <f>IFERROR(IF(ISBLANK($A436),"",INDEX(Array_StationaryCharges,MATCH($A436,List_StationaryFuelMeters,0),ROUNDUP((COLUMN()+1)/3-2,0))),"")</f>
        <v/>
      </c>
      <c r="Y436" s="127"/>
      <c r="Z436" s="127"/>
      <c r="AA436" s="58" t="str" cm="1">
        <f>IFERROR(IF(ISBLANK($A436),"",INDEX(Array_StationaryCharges,MATCH($A436,List_StationaryFuelMeters,0),ROUNDUP((COLUMN()+1)/3-2,0))),"")</f>
        <v/>
      </c>
      <c r="AB436" s="127"/>
      <c r="AC436" s="127"/>
      <c r="AD436" s="58" t="str" cm="1">
        <f>IFERROR(IF(ISBLANK($A436),"",INDEX(Array_StationaryCharges,MATCH($A436,List_StationaryFuelMeters,0),ROUNDUP((COLUMN()+1)/3-2,0))),"")</f>
        <v/>
      </c>
      <c r="AE436" s="127"/>
      <c r="AF436" s="127"/>
      <c r="AG436" s="58" t="str" cm="1">
        <f>IFERROR(IF(ISBLANK($A436),"",INDEX(Array_StationaryCharges,MATCH($A436,List_StationaryFuelMeters,0),ROUNDUP((COLUMN()+1)/3-2,0))),"")</f>
        <v/>
      </c>
      <c r="AH436" s="127"/>
      <c r="AI436" s="127"/>
      <c r="AJ436" s="58" t="str" cm="1">
        <f>IFERROR(IF(ISBLANK($A436),"",INDEX(Array_StationaryCharges,MATCH($A436,List_StationaryFuelMeters,0),ROUNDUP((COLUMN()+1)/3-2,0))),"")</f>
        <v/>
      </c>
      <c r="AK436" s="127"/>
      <c r="AL436" s="127"/>
      <c r="AM436" s="58" t="str" cm="1">
        <f>IFERROR(IF(ISBLANK($A436),"",INDEX(Array_StationaryCharges,MATCH($A436,List_StationaryFuelMeters,0),ROUNDUP((COLUMN()+1)/3-2,0))),"")</f>
        <v/>
      </c>
      <c r="AN436" s="127"/>
      <c r="AO436" s="127"/>
      <c r="AP436" s="58" t="str" cm="1">
        <f>IFERROR(IF(ISBLANK($A436),"",INDEX(Array_StationaryCharges,MATCH($A436,List_StationaryFuelMeters,0),ROUNDUP((COLUMN()+1)/3-2,0))),"")</f>
        <v/>
      </c>
      <c r="AQ436" s="127"/>
      <c r="AR436" s="127"/>
      <c r="AS436" s="58" t="str" cm="1">
        <f>IFERROR(IF(ISBLANK($A436),"",INDEX(Array_StationaryCharges,MATCH($A436,List_StationaryFuelMeters,0),ROUNDUP((COLUMN()+1)/3-2,0))),"")</f>
        <v/>
      </c>
      <c r="AT436" s="127"/>
      <c r="AU436" s="127"/>
      <c r="AV436" s="58" t="str" cm="1">
        <f>IFERROR(IF(ISBLANK($A436),"",INDEX(Array_StationaryCharges,MATCH($A436,List_StationaryFuelMeters,0),ROUNDUP((COLUMN()+1)/3-2,0))),"")</f>
        <v/>
      </c>
      <c r="AW436" s="127"/>
      <c r="AX436" s="127"/>
    </row>
    <row r="437" spans="1:50" x14ac:dyDescent="0.3">
      <c r="A437" s="126"/>
      <c r="B437" s="133"/>
      <c r="C437" s="127"/>
      <c r="D437" s="138"/>
      <c r="E437" s="138"/>
      <c r="F437" s="58" t="str" cm="1">
        <f>IFERROR(IF(ISBLANK($A437),"",INDEX(Array_StationaryCharges,MATCH($A437,List_StationaryFuelMeters,0),ROUNDUP((COLUMN()+1)/3-2,0))),"")</f>
        <v/>
      </c>
      <c r="G437" s="127"/>
      <c r="H437" s="127"/>
      <c r="I437" s="58" t="str" cm="1">
        <f>IFERROR(IF(ISBLANK($A437),"",INDEX(Array_StationaryCharges,MATCH($A437,List_StationaryFuelMeters,0),ROUNDUP((COLUMN()+1)/3-2,0))),"")</f>
        <v/>
      </c>
      <c r="J437" s="127"/>
      <c r="K437" s="127"/>
      <c r="L437" s="58" t="str" cm="1">
        <f>IFERROR(IF(ISBLANK($A437),"",INDEX(Array_StationaryCharges,MATCH($A437,List_StationaryFuelMeters,0),ROUNDUP((COLUMN()+1)/3-2,0))),"")</f>
        <v/>
      </c>
      <c r="M437" s="127"/>
      <c r="N437" s="127"/>
      <c r="O437" s="58" t="str" cm="1">
        <f>IFERROR(IF(ISBLANK($A437),"",INDEX(Array_StationaryCharges,MATCH($A437,List_StationaryFuelMeters,0),ROUNDUP((COLUMN()+1)/3-2,0))),"")</f>
        <v/>
      </c>
      <c r="P437" s="127"/>
      <c r="Q437" s="127"/>
      <c r="R437" s="58" t="str" cm="1">
        <f>IFERROR(IF(ISBLANK($A437),"",INDEX(Array_StationaryCharges,MATCH($A437,List_StationaryFuelMeters,0),ROUNDUP((COLUMN()+1)/3-2,0))),"")</f>
        <v/>
      </c>
      <c r="S437" s="127"/>
      <c r="T437" s="127"/>
      <c r="U437" s="58" t="str" cm="1">
        <f>IFERROR(IF(ISBLANK($A437),"",INDEX(Array_StationaryCharges,MATCH($A437,List_StationaryFuelMeters,0),ROUNDUP((COLUMN()+1)/3-2,0))),"")</f>
        <v/>
      </c>
      <c r="V437" s="127"/>
      <c r="W437" s="127"/>
      <c r="X437" s="58" t="str" cm="1">
        <f>IFERROR(IF(ISBLANK($A437),"",INDEX(Array_StationaryCharges,MATCH($A437,List_StationaryFuelMeters,0),ROUNDUP((COLUMN()+1)/3-2,0))),"")</f>
        <v/>
      </c>
      <c r="Y437" s="127"/>
      <c r="Z437" s="127"/>
      <c r="AA437" s="58" t="str" cm="1">
        <f>IFERROR(IF(ISBLANK($A437),"",INDEX(Array_StationaryCharges,MATCH($A437,List_StationaryFuelMeters,0),ROUNDUP((COLUMN()+1)/3-2,0))),"")</f>
        <v/>
      </c>
      <c r="AB437" s="127"/>
      <c r="AC437" s="127"/>
      <c r="AD437" s="58" t="str" cm="1">
        <f>IFERROR(IF(ISBLANK($A437),"",INDEX(Array_StationaryCharges,MATCH($A437,List_StationaryFuelMeters,0),ROUNDUP((COLUMN()+1)/3-2,0))),"")</f>
        <v/>
      </c>
      <c r="AE437" s="127"/>
      <c r="AF437" s="127"/>
      <c r="AG437" s="58" t="str" cm="1">
        <f>IFERROR(IF(ISBLANK($A437),"",INDEX(Array_StationaryCharges,MATCH($A437,List_StationaryFuelMeters,0),ROUNDUP((COLUMN()+1)/3-2,0))),"")</f>
        <v/>
      </c>
      <c r="AH437" s="127"/>
      <c r="AI437" s="127"/>
      <c r="AJ437" s="58" t="str" cm="1">
        <f>IFERROR(IF(ISBLANK($A437),"",INDEX(Array_StationaryCharges,MATCH($A437,List_StationaryFuelMeters,0),ROUNDUP((COLUMN()+1)/3-2,0))),"")</f>
        <v/>
      </c>
      <c r="AK437" s="127"/>
      <c r="AL437" s="127"/>
      <c r="AM437" s="58" t="str" cm="1">
        <f>IFERROR(IF(ISBLANK($A437),"",INDEX(Array_StationaryCharges,MATCH($A437,List_StationaryFuelMeters,0),ROUNDUP((COLUMN()+1)/3-2,0))),"")</f>
        <v/>
      </c>
      <c r="AN437" s="127"/>
      <c r="AO437" s="127"/>
      <c r="AP437" s="58" t="str" cm="1">
        <f>IFERROR(IF(ISBLANK($A437),"",INDEX(Array_StationaryCharges,MATCH($A437,List_StationaryFuelMeters,0),ROUNDUP((COLUMN()+1)/3-2,0))),"")</f>
        <v/>
      </c>
      <c r="AQ437" s="127"/>
      <c r="AR437" s="127"/>
      <c r="AS437" s="58" t="str" cm="1">
        <f>IFERROR(IF(ISBLANK($A437),"",INDEX(Array_StationaryCharges,MATCH($A437,List_StationaryFuelMeters,0),ROUNDUP((COLUMN()+1)/3-2,0))),"")</f>
        <v/>
      </c>
      <c r="AT437" s="127"/>
      <c r="AU437" s="127"/>
      <c r="AV437" s="58" t="str" cm="1">
        <f>IFERROR(IF(ISBLANK($A437),"",INDEX(Array_StationaryCharges,MATCH($A437,List_StationaryFuelMeters,0),ROUNDUP((COLUMN()+1)/3-2,0))),"")</f>
        <v/>
      </c>
      <c r="AW437" s="127"/>
      <c r="AX437" s="127"/>
    </row>
    <row r="438" spans="1:50" x14ac:dyDescent="0.3">
      <c r="A438" s="126"/>
      <c r="B438" s="133"/>
      <c r="C438" s="127"/>
      <c r="D438" s="138"/>
      <c r="E438" s="138"/>
      <c r="F438" s="58" t="str" cm="1">
        <f>IFERROR(IF(ISBLANK($A438),"",INDEX(Array_StationaryCharges,MATCH($A438,List_StationaryFuelMeters,0),ROUNDUP((COLUMN()+1)/3-2,0))),"")</f>
        <v/>
      </c>
      <c r="G438" s="127"/>
      <c r="H438" s="127"/>
      <c r="I438" s="58" t="str" cm="1">
        <f>IFERROR(IF(ISBLANK($A438),"",INDEX(Array_StationaryCharges,MATCH($A438,List_StationaryFuelMeters,0),ROUNDUP((COLUMN()+1)/3-2,0))),"")</f>
        <v/>
      </c>
      <c r="J438" s="127"/>
      <c r="K438" s="127"/>
      <c r="L438" s="58" t="str" cm="1">
        <f>IFERROR(IF(ISBLANK($A438),"",INDEX(Array_StationaryCharges,MATCH($A438,List_StationaryFuelMeters,0),ROUNDUP((COLUMN()+1)/3-2,0))),"")</f>
        <v/>
      </c>
      <c r="M438" s="127"/>
      <c r="N438" s="127"/>
      <c r="O438" s="58" t="str" cm="1">
        <f>IFERROR(IF(ISBLANK($A438),"",INDEX(Array_StationaryCharges,MATCH($A438,List_StationaryFuelMeters,0),ROUNDUP((COLUMN()+1)/3-2,0))),"")</f>
        <v/>
      </c>
      <c r="P438" s="127"/>
      <c r="Q438" s="127"/>
      <c r="R438" s="58" t="str" cm="1">
        <f>IFERROR(IF(ISBLANK($A438),"",INDEX(Array_StationaryCharges,MATCH($A438,List_StationaryFuelMeters,0),ROUNDUP((COLUMN()+1)/3-2,0))),"")</f>
        <v/>
      </c>
      <c r="S438" s="127"/>
      <c r="T438" s="127"/>
      <c r="U438" s="58" t="str" cm="1">
        <f>IFERROR(IF(ISBLANK($A438),"",INDEX(Array_StationaryCharges,MATCH($A438,List_StationaryFuelMeters,0),ROUNDUP((COLUMN()+1)/3-2,0))),"")</f>
        <v/>
      </c>
      <c r="V438" s="127"/>
      <c r="W438" s="127"/>
      <c r="X438" s="58" t="str" cm="1">
        <f>IFERROR(IF(ISBLANK($A438),"",INDEX(Array_StationaryCharges,MATCH($A438,List_StationaryFuelMeters,0),ROUNDUP((COLUMN()+1)/3-2,0))),"")</f>
        <v/>
      </c>
      <c r="Y438" s="127"/>
      <c r="Z438" s="127"/>
      <c r="AA438" s="58" t="str" cm="1">
        <f>IFERROR(IF(ISBLANK($A438),"",INDEX(Array_StationaryCharges,MATCH($A438,List_StationaryFuelMeters,0),ROUNDUP((COLUMN()+1)/3-2,0))),"")</f>
        <v/>
      </c>
      <c r="AB438" s="127"/>
      <c r="AC438" s="127"/>
      <c r="AD438" s="58" t="str" cm="1">
        <f>IFERROR(IF(ISBLANK($A438),"",INDEX(Array_StationaryCharges,MATCH($A438,List_StationaryFuelMeters,0),ROUNDUP((COLUMN()+1)/3-2,0))),"")</f>
        <v/>
      </c>
      <c r="AE438" s="127"/>
      <c r="AF438" s="127"/>
      <c r="AG438" s="58" t="str" cm="1">
        <f>IFERROR(IF(ISBLANK($A438),"",INDEX(Array_StationaryCharges,MATCH($A438,List_StationaryFuelMeters,0),ROUNDUP((COLUMN()+1)/3-2,0))),"")</f>
        <v/>
      </c>
      <c r="AH438" s="127"/>
      <c r="AI438" s="127"/>
      <c r="AJ438" s="58" t="str" cm="1">
        <f>IFERROR(IF(ISBLANK($A438),"",INDEX(Array_StationaryCharges,MATCH($A438,List_StationaryFuelMeters,0),ROUNDUP((COLUMN()+1)/3-2,0))),"")</f>
        <v/>
      </c>
      <c r="AK438" s="127"/>
      <c r="AL438" s="127"/>
      <c r="AM438" s="58" t="str" cm="1">
        <f>IFERROR(IF(ISBLANK($A438),"",INDEX(Array_StationaryCharges,MATCH($A438,List_StationaryFuelMeters,0),ROUNDUP((COLUMN()+1)/3-2,0))),"")</f>
        <v/>
      </c>
      <c r="AN438" s="127"/>
      <c r="AO438" s="127"/>
      <c r="AP438" s="58" t="str" cm="1">
        <f>IFERROR(IF(ISBLANK($A438),"",INDEX(Array_StationaryCharges,MATCH($A438,List_StationaryFuelMeters,0),ROUNDUP((COLUMN()+1)/3-2,0))),"")</f>
        <v/>
      </c>
      <c r="AQ438" s="127"/>
      <c r="AR438" s="127"/>
      <c r="AS438" s="58" t="str" cm="1">
        <f>IFERROR(IF(ISBLANK($A438),"",INDEX(Array_StationaryCharges,MATCH($A438,List_StationaryFuelMeters,0),ROUNDUP((COLUMN()+1)/3-2,0))),"")</f>
        <v/>
      </c>
      <c r="AT438" s="127"/>
      <c r="AU438" s="127"/>
      <c r="AV438" s="58" t="str" cm="1">
        <f>IFERROR(IF(ISBLANK($A438),"",INDEX(Array_StationaryCharges,MATCH($A438,List_StationaryFuelMeters,0),ROUNDUP((COLUMN()+1)/3-2,0))),"")</f>
        <v/>
      </c>
      <c r="AW438" s="127"/>
      <c r="AX438" s="127"/>
    </row>
    <row r="439" spans="1:50" x14ac:dyDescent="0.3">
      <c r="A439" s="126"/>
      <c r="B439" s="133"/>
      <c r="C439" s="127"/>
      <c r="D439" s="138"/>
      <c r="E439" s="138"/>
      <c r="F439" s="58" t="str" cm="1">
        <f>IFERROR(IF(ISBLANK($A439),"",INDEX(Array_StationaryCharges,MATCH($A439,List_StationaryFuelMeters,0),ROUNDUP((COLUMN()+1)/3-2,0))),"")</f>
        <v/>
      </c>
      <c r="G439" s="127"/>
      <c r="H439" s="127"/>
      <c r="I439" s="58" t="str" cm="1">
        <f>IFERROR(IF(ISBLANK($A439),"",INDEX(Array_StationaryCharges,MATCH($A439,List_StationaryFuelMeters,0),ROUNDUP((COLUMN()+1)/3-2,0))),"")</f>
        <v/>
      </c>
      <c r="J439" s="127"/>
      <c r="K439" s="127"/>
      <c r="L439" s="58" t="str" cm="1">
        <f>IFERROR(IF(ISBLANK($A439),"",INDEX(Array_StationaryCharges,MATCH($A439,List_StationaryFuelMeters,0),ROUNDUP((COLUMN()+1)/3-2,0))),"")</f>
        <v/>
      </c>
      <c r="M439" s="127"/>
      <c r="N439" s="127"/>
      <c r="O439" s="58" t="str" cm="1">
        <f>IFERROR(IF(ISBLANK($A439),"",INDEX(Array_StationaryCharges,MATCH($A439,List_StationaryFuelMeters,0),ROUNDUP((COLUMN()+1)/3-2,0))),"")</f>
        <v/>
      </c>
      <c r="P439" s="127"/>
      <c r="Q439" s="127"/>
      <c r="R439" s="58" t="str" cm="1">
        <f>IFERROR(IF(ISBLANK($A439),"",INDEX(Array_StationaryCharges,MATCH($A439,List_StationaryFuelMeters,0),ROUNDUP((COLUMN()+1)/3-2,0))),"")</f>
        <v/>
      </c>
      <c r="S439" s="127"/>
      <c r="T439" s="127"/>
      <c r="U439" s="58" t="str" cm="1">
        <f>IFERROR(IF(ISBLANK($A439),"",INDEX(Array_StationaryCharges,MATCH($A439,List_StationaryFuelMeters,0),ROUNDUP((COLUMN()+1)/3-2,0))),"")</f>
        <v/>
      </c>
      <c r="V439" s="127"/>
      <c r="W439" s="127"/>
      <c r="X439" s="58" t="str" cm="1">
        <f>IFERROR(IF(ISBLANK($A439),"",INDEX(Array_StationaryCharges,MATCH($A439,List_StationaryFuelMeters,0),ROUNDUP((COLUMN()+1)/3-2,0))),"")</f>
        <v/>
      </c>
      <c r="Y439" s="127"/>
      <c r="Z439" s="127"/>
      <c r="AA439" s="58" t="str" cm="1">
        <f>IFERROR(IF(ISBLANK($A439),"",INDEX(Array_StationaryCharges,MATCH($A439,List_StationaryFuelMeters,0),ROUNDUP((COLUMN()+1)/3-2,0))),"")</f>
        <v/>
      </c>
      <c r="AB439" s="127"/>
      <c r="AC439" s="127"/>
      <c r="AD439" s="58" t="str" cm="1">
        <f>IFERROR(IF(ISBLANK($A439),"",INDEX(Array_StationaryCharges,MATCH($A439,List_StationaryFuelMeters,0),ROUNDUP((COLUMN()+1)/3-2,0))),"")</f>
        <v/>
      </c>
      <c r="AE439" s="127"/>
      <c r="AF439" s="127"/>
      <c r="AG439" s="58" t="str" cm="1">
        <f>IFERROR(IF(ISBLANK($A439),"",INDEX(Array_StationaryCharges,MATCH($A439,List_StationaryFuelMeters,0),ROUNDUP((COLUMN()+1)/3-2,0))),"")</f>
        <v/>
      </c>
      <c r="AH439" s="127"/>
      <c r="AI439" s="127"/>
      <c r="AJ439" s="58" t="str" cm="1">
        <f>IFERROR(IF(ISBLANK($A439),"",INDEX(Array_StationaryCharges,MATCH($A439,List_StationaryFuelMeters,0),ROUNDUP((COLUMN()+1)/3-2,0))),"")</f>
        <v/>
      </c>
      <c r="AK439" s="127"/>
      <c r="AL439" s="127"/>
      <c r="AM439" s="58" t="str" cm="1">
        <f>IFERROR(IF(ISBLANK($A439),"",INDEX(Array_StationaryCharges,MATCH($A439,List_StationaryFuelMeters,0),ROUNDUP((COLUMN()+1)/3-2,0))),"")</f>
        <v/>
      </c>
      <c r="AN439" s="127"/>
      <c r="AO439" s="127"/>
      <c r="AP439" s="58" t="str" cm="1">
        <f>IFERROR(IF(ISBLANK($A439),"",INDEX(Array_StationaryCharges,MATCH($A439,List_StationaryFuelMeters,0),ROUNDUP((COLUMN()+1)/3-2,0))),"")</f>
        <v/>
      </c>
      <c r="AQ439" s="127"/>
      <c r="AR439" s="127"/>
      <c r="AS439" s="58" t="str" cm="1">
        <f>IFERROR(IF(ISBLANK($A439),"",INDEX(Array_StationaryCharges,MATCH($A439,List_StationaryFuelMeters,0),ROUNDUP((COLUMN()+1)/3-2,0))),"")</f>
        <v/>
      </c>
      <c r="AT439" s="127"/>
      <c r="AU439" s="127"/>
      <c r="AV439" s="58" t="str" cm="1">
        <f>IFERROR(IF(ISBLANK($A439),"",INDEX(Array_StationaryCharges,MATCH($A439,List_StationaryFuelMeters,0),ROUNDUP((COLUMN()+1)/3-2,0))),"")</f>
        <v/>
      </c>
      <c r="AW439" s="127"/>
      <c r="AX439" s="127"/>
    </row>
    <row r="440" spans="1:50" x14ac:dyDescent="0.3">
      <c r="A440" s="126"/>
      <c r="B440" s="133"/>
      <c r="C440" s="127"/>
      <c r="D440" s="138"/>
      <c r="E440" s="138"/>
      <c r="F440" s="58" t="str" cm="1">
        <f>IFERROR(IF(ISBLANK($A440),"",INDEX(Array_StationaryCharges,MATCH($A440,List_StationaryFuelMeters,0),ROUNDUP((COLUMN()+1)/3-2,0))),"")</f>
        <v/>
      </c>
      <c r="G440" s="127"/>
      <c r="H440" s="127"/>
      <c r="I440" s="58" t="str" cm="1">
        <f>IFERROR(IF(ISBLANK($A440),"",INDEX(Array_StationaryCharges,MATCH($A440,List_StationaryFuelMeters,0),ROUNDUP((COLUMN()+1)/3-2,0))),"")</f>
        <v/>
      </c>
      <c r="J440" s="127"/>
      <c r="K440" s="127"/>
      <c r="L440" s="58" t="str" cm="1">
        <f>IFERROR(IF(ISBLANK($A440),"",INDEX(Array_StationaryCharges,MATCH($A440,List_StationaryFuelMeters,0),ROUNDUP((COLUMN()+1)/3-2,0))),"")</f>
        <v/>
      </c>
      <c r="M440" s="127"/>
      <c r="N440" s="127"/>
      <c r="O440" s="58" t="str" cm="1">
        <f>IFERROR(IF(ISBLANK($A440),"",INDEX(Array_StationaryCharges,MATCH($A440,List_StationaryFuelMeters,0),ROUNDUP((COLUMN()+1)/3-2,0))),"")</f>
        <v/>
      </c>
      <c r="P440" s="127"/>
      <c r="Q440" s="127"/>
      <c r="R440" s="58" t="str" cm="1">
        <f>IFERROR(IF(ISBLANK($A440),"",INDEX(Array_StationaryCharges,MATCH($A440,List_StationaryFuelMeters,0),ROUNDUP((COLUMN()+1)/3-2,0))),"")</f>
        <v/>
      </c>
      <c r="S440" s="127"/>
      <c r="T440" s="127"/>
      <c r="U440" s="58" t="str" cm="1">
        <f>IFERROR(IF(ISBLANK($A440),"",INDEX(Array_StationaryCharges,MATCH($A440,List_StationaryFuelMeters,0),ROUNDUP((COLUMN()+1)/3-2,0))),"")</f>
        <v/>
      </c>
      <c r="V440" s="127"/>
      <c r="W440" s="127"/>
      <c r="X440" s="58" t="str" cm="1">
        <f>IFERROR(IF(ISBLANK($A440),"",INDEX(Array_StationaryCharges,MATCH($A440,List_StationaryFuelMeters,0),ROUNDUP((COLUMN()+1)/3-2,0))),"")</f>
        <v/>
      </c>
      <c r="Y440" s="127"/>
      <c r="Z440" s="127"/>
      <c r="AA440" s="58" t="str" cm="1">
        <f>IFERROR(IF(ISBLANK($A440),"",INDEX(Array_StationaryCharges,MATCH($A440,List_StationaryFuelMeters,0),ROUNDUP((COLUMN()+1)/3-2,0))),"")</f>
        <v/>
      </c>
      <c r="AB440" s="127"/>
      <c r="AC440" s="127"/>
      <c r="AD440" s="58" t="str" cm="1">
        <f>IFERROR(IF(ISBLANK($A440),"",INDEX(Array_StationaryCharges,MATCH($A440,List_StationaryFuelMeters,0),ROUNDUP((COLUMN()+1)/3-2,0))),"")</f>
        <v/>
      </c>
      <c r="AE440" s="127"/>
      <c r="AF440" s="127"/>
      <c r="AG440" s="58" t="str" cm="1">
        <f>IFERROR(IF(ISBLANK($A440),"",INDEX(Array_StationaryCharges,MATCH($A440,List_StationaryFuelMeters,0),ROUNDUP((COLUMN()+1)/3-2,0))),"")</f>
        <v/>
      </c>
      <c r="AH440" s="127"/>
      <c r="AI440" s="127"/>
      <c r="AJ440" s="58" t="str" cm="1">
        <f>IFERROR(IF(ISBLANK($A440),"",INDEX(Array_StationaryCharges,MATCH($A440,List_StationaryFuelMeters,0),ROUNDUP((COLUMN()+1)/3-2,0))),"")</f>
        <v/>
      </c>
      <c r="AK440" s="127"/>
      <c r="AL440" s="127"/>
      <c r="AM440" s="58" t="str" cm="1">
        <f>IFERROR(IF(ISBLANK($A440),"",INDEX(Array_StationaryCharges,MATCH($A440,List_StationaryFuelMeters,0),ROUNDUP((COLUMN()+1)/3-2,0))),"")</f>
        <v/>
      </c>
      <c r="AN440" s="127"/>
      <c r="AO440" s="127"/>
      <c r="AP440" s="58" t="str" cm="1">
        <f>IFERROR(IF(ISBLANK($A440),"",INDEX(Array_StationaryCharges,MATCH($A440,List_StationaryFuelMeters,0),ROUNDUP((COLUMN()+1)/3-2,0))),"")</f>
        <v/>
      </c>
      <c r="AQ440" s="127"/>
      <c r="AR440" s="127"/>
      <c r="AS440" s="58" t="str" cm="1">
        <f>IFERROR(IF(ISBLANK($A440),"",INDEX(Array_StationaryCharges,MATCH($A440,List_StationaryFuelMeters,0),ROUNDUP((COLUMN()+1)/3-2,0))),"")</f>
        <v/>
      </c>
      <c r="AT440" s="127"/>
      <c r="AU440" s="127"/>
      <c r="AV440" s="58" t="str" cm="1">
        <f>IFERROR(IF(ISBLANK($A440),"",INDEX(Array_StationaryCharges,MATCH($A440,List_StationaryFuelMeters,0),ROUNDUP((COLUMN()+1)/3-2,0))),"")</f>
        <v/>
      </c>
      <c r="AW440" s="127"/>
      <c r="AX440" s="127"/>
    </row>
    <row r="441" spans="1:50" x14ac:dyDescent="0.3">
      <c r="A441" s="126"/>
      <c r="B441" s="133"/>
      <c r="C441" s="127"/>
      <c r="D441" s="138"/>
      <c r="E441" s="138"/>
      <c r="F441" s="58" t="str" cm="1">
        <f>IFERROR(IF(ISBLANK($A441),"",INDEX(Array_StationaryCharges,MATCH($A441,List_StationaryFuelMeters,0),ROUNDUP((COLUMN()+1)/3-2,0))),"")</f>
        <v/>
      </c>
      <c r="G441" s="127"/>
      <c r="H441" s="127"/>
      <c r="I441" s="58" t="str" cm="1">
        <f>IFERROR(IF(ISBLANK($A441),"",INDEX(Array_StationaryCharges,MATCH($A441,List_StationaryFuelMeters,0),ROUNDUP((COLUMN()+1)/3-2,0))),"")</f>
        <v/>
      </c>
      <c r="J441" s="127"/>
      <c r="K441" s="127"/>
      <c r="L441" s="58" t="str" cm="1">
        <f>IFERROR(IF(ISBLANK($A441),"",INDEX(Array_StationaryCharges,MATCH($A441,List_StationaryFuelMeters,0),ROUNDUP((COLUMN()+1)/3-2,0))),"")</f>
        <v/>
      </c>
      <c r="M441" s="127"/>
      <c r="N441" s="127"/>
      <c r="O441" s="58" t="str" cm="1">
        <f>IFERROR(IF(ISBLANK($A441),"",INDEX(Array_StationaryCharges,MATCH($A441,List_StationaryFuelMeters,0),ROUNDUP((COLUMN()+1)/3-2,0))),"")</f>
        <v/>
      </c>
      <c r="P441" s="127"/>
      <c r="Q441" s="127"/>
      <c r="R441" s="58" t="str" cm="1">
        <f>IFERROR(IF(ISBLANK($A441),"",INDEX(Array_StationaryCharges,MATCH($A441,List_StationaryFuelMeters,0),ROUNDUP((COLUMN()+1)/3-2,0))),"")</f>
        <v/>
      </c>
      <c r="S441" s="127"/>
      <c r="T441" s="127"/>
      <c r="U441" s="58" t="str" cm="1">
        <f>IFERROR(IF(ISBLANK($A441),"",INDEX(Array_StationaryCharges,MATCH($A441,List_StationaryFuelMeters,0),ROUNDUP((COLUMN()+1)/3-2,0))),"")</f>
        <v/>
      </c>
      <c r="V441" s="127"/>
      <c r="W441" s="127"/>
      <c r="X441" s="58" t="str" cm="1">
        <f>IFERROR(IF(ISBLANK($A441),"",INDEX(Array_StationaryCharges,MATCH($A441,List_StationaryFuelMeters,0),ROUNDUP((COLUMN()+1)/3-2,0))),"")</f>
        <v/>
      </c>
      <c r="Y441" s="127"/>
      <c r="Z441" s="127"/>
      <c r="AA441" s="58" t="str" cm="1">
        <f>IFERROR(IF(ISBLANK($A441),"",INDEX(Array_StationaryCharges,MATCH($A441,List_StationaryFuelMeters,0),ROUNDUP((COLUMN()+1)/3-2,0))),"")</f>
        <v/>
      </c>
      <c r="AB441" s="127"/>
      <c r="AC441" s="127"/>
      <c r="AD441" s="58" t="str" cm="1">
        <f>IFERROR(IF(ISBLANK($A441),"",INDEX(Array_StationaryCharges,MATCH($A441,List_StationaryFuelMeters,0),ROUNDUP((COLUMN()+1)/3-2,0))),"")</f>
        <v/>
      </c>
      <c r="AE441" s="127"/>
      <c r="AF441" s="127"/>
      <c r="AG441" s="58" t="str" cm="1">
        <f>IFERROR(IF(ISBLANK($A441),"",INDEX(Array_StationaryCharges,MATCH($A441,List_StationaryFuelMeters,0),ROUNDUP((COLUMN()+1)/3-2,0))),"")</f>
        <v/>
      </c>
      <c r="AH441" s="127"/>
      <c r="AI441" s="127"/>
      <c r="AJ441" s="58" t="str" cm="1">
        <f>IFERROR(IF(ISBLANK($A441),"",INDEX(Array_StationaryCharges,MATCH($A441,List_StationaryFuelMeters,0),ROUNDUP((COLUMN()+1)/3-2,0))),"")</f>
        <v/>
      </c>
      <c r="AK441" s="127"/>
      <c r="AL441" s="127"/>
      <c r="AM441" s="58" t="str" cm="1">
        <f>IFERROR(IF(ISBLANK($A441),"",INDEX(Array_StationaryCharges,MATCH($A441,List_StationaryFuelMeters,0),ROUNDUP((COLUMN()+1)/3-2,0))),"")</f>
        <v/>
      </c>
      <c r="AN441" s="127"/>
      <c r="AO441" s="127"/>
      <c r="AP441" s="58" t="str" cm="1">
        <f>IFERROR(IF(ISBLANK($A441),"",INDEX(Array_StationaryCharges,MATCH($A441,List_StationaryFuelMeters,0),ROUNDUP((COLUMN()+1)/3-2,0))),"")</f>
        <v/>
      </c>
      <c r="AQ441" s="127"/>
      <c r="AR441" s="127"/>
      <c r="AS441" s="58" t="str" cm="1">
        <f>IFERROR(IF(ISBLANK($A441),"",INDEX(Array_StationaryCharges,MATCH($A441,List_StationaryFuelMeters,0),ROUNDUP((COLUMN()+1)/3-2,0))),"")</f>
        <v/>
      </c>
      <c r="AT441" s="127"/>
      <c r="AU441" s="127"/>
      <c r="AV441" s="58" t="str" cm="1">
        <f>IFERROR(IF(ISBLANK($A441),"",INDEX(Array_StationaryCharges,MATCH($A441,List_StationaryFuelMeters,0),ROUNDUP((COLUMN()+1)/3-2,0))),"")</f>
        <v/>
      </c>
      <c r="AW441" s="127"/>
      <c r="AX441" s="127"/>
    </row>
    <row r="442" spans="1:50" x14ac:dyDescent="0.3">
      <c r="A442" s="126"/>
      <c r="B442" s="133"/>
      <c r="C442" s="127"/>
      <c r="D442" s="138"/>
      <c r="E442" s="138"/>
      <c r="F442" s="58" t="str" cm="1">
        <f>IFERROR(IF(ISBLANK($A442),"",INDEX(Array_StationaryCharges,MATCH($A442,List_StationaryFuelMeters,0),ROUNDUP((COLUMN()+1)/3-2,0))),"")</f>
        <v/>
      </c>
      <c r="G442" s="127"/>
      <c r="H442" s="127"/>
      <c r="I442" s="58" t="str" cm="1">
        <f>IFERROR(IF(ISBLANK($A442),"",INDEX(Array_StationaryCharges,MATCH($A442,List_StationaryFuelMeters,0),ROUNDUP((COLUMN()+1)/3-2,0))),"")</f>
        <v/>
      </c>
      <c r="J442" s="127"/>
      <c r="K442" s="127"/>
      <c r="L442" s="58" t="str" cm="1">
        <f>IFERROR(IF(ISBLANK($A442),"",INDEX(Array_StationaryCharges,MATCH($A442,List_StationaryFuelMeters,0),ROUNDUP((COLUMN()+1)/3-2,0))),"")</f>
        <v/>
      </c>
      <c r="M442" s="127"/>
      <c r="N442" s="127"/>
      <c r="O442" s="58" t="str" cm="1">
        <f>IFERROR(IF(ISBLANK($A442),"",INDEX(Array_StationaryCharges,MATCH($A442,List_StationaryFuelMeters,0),ROUNDUP((COLUMN()+1)/3-2,0))),"")</f>
        <v/>
      </c>
      <c r="P442" s="127"/>
      <c r="Q442" s="127"/>
      <c r="R442" s="58" t="str" cm="1">
        <f>IFERROR(IF(ISBLANK($A442),"",INDEX(Array_StationaryCharges,MATCH($A442,List_StationaryFuelMeters,0),ROUNDUP((COLUMN()+1)/3-2,0))),"")</f>
        <v/>
      </c>
      <c r="S442" s="127"/>
      <c r="T442" s="127"/>
      <c r="U442" s="58" t="str" cm="1">
        <f>IFERROR(IF(ISBLANK($A442),"",INDEX(Array_StationaryCharges,MATCH($A442,List_StationaryFuelMeters,0),ROUNDUP((COLUMN()+1)/3-2,0))),"")</f>
        <v/>
      </c>
      <c r="V442" s="127"/>
      <c r="W442" s="127"/>
      <c r="X442" s="58" t="str" cm="1">
        <f>IFERROR(IF(ISBLANK($A442),"",INDEX(Array_StationaryCharges,MATCH($A442,List_StationaryFuelMeters,0),ROUNDUP((COLUMN()+1)/3-2,0))),"")</f>
        <v/>
      </c>
      <c r="Y442" s="127"/>
      <c r="Z442" s="127"/>
      <c r="AA442" s="58" t="str" cm="1">
        <f>IFERROR(IF(ISBLANK($A442),"",INDEX(Array_StationaryCharges,MATCH($A442,List_StationaryFuelMeters,0),ROUNDUP((COLUMN()+1)/3-2,0))),"")</f>
        <v/>
      </c>
      <c r="AB442" s="127"/>
      <c r="AC442" s="127"/>
      <c r="AD442" s="58" t="str" cm="1">
        <f>IFERROR(IF(ISBLANK($A442),"",INDEX(Array_StationaryCharges,MATCH($A442,List_StationaryFuelMeters,0),ROUNDUP((COLUMN()+1)/3-2,0))),"")</f>
        <v/>
      </c>
      <c r="AE442" s="127"/>
      <c r="AF442" s="127"/>
      <c r="AG442" s="58" t="str" cm="1">
        <f>IFERROR(IF(ISBLANK($A442),"",INDEX(Array_StationaryCharges,MATCH($A442,List_StationaryFuelMeters,0),ROUNDUP((COLUMN()+1)/3-2,0))),"")</f>
        <v/>
      </c>
      <c r="AH442" s="127"/>
      <c r="AI442" s="127"/>
      <c r="AJ442" s="58" t="str" cm="1">
        <f>IFERROR(IF(ISBLANK($A442),"",INDEX(Array_StationaryCharges,MATCH($A442,List_StationaryFuelMeters,0),ROUNDUP((COLUMN()+1)/3-2,0))),"")</f>
        <v/>
      </c>
      <c r="AK442" s="127"/>
      <c r="AL442" s="127"/>
      <c r="AM442" s="58" t="str" cm="1">
        <f>IFERROR(IF(ISBLANK($A442),"",INDEX(Array_StationaryCharges,MATCH($A442,List_StationaryFuelMeters,0),ROUNDUP((COLUMN()+1)/3-2,0))),"")</f>
        <v/>
      </c>
      <c r="AN442" s="127"/>
      <c r="AO442" s="127"/>
      <c r="AP442" s="58" t="str" cm="1">
        <f>IFERROR(IF(ISBLANK($A442),"",INDEX(Array_StationaryCharges,MATCH($A442,List_StationaryFuelMeters,0),ROUNDUP((COLUMN()+1)/3-2,0))),"")</f>
        <v/>
      </c>
      <c r="AQ442" s="127"/>
      <c r="AR442" s="127"/>
      <c r="AS442" s="58" t="str" cm="1">
        <f>IFERROR(IF(ISBLANK($A442),"",INDEX(Array_StationaryCharges,MATCH($A442,List_StationaryFuelMeters,0),ROUNDUP((COLUMN()+1)/3-2,0))),"")</f>
        <v/>
      </c>
      <c r="AT442" s="127"/>
      <c r="AU442" s="127"/>
      <c r="AV442" s="58" t="str" cm="1">
        <f>IFERROR(IF(ISBLANK($A442),"",INDEX(Array_StationaryCharges,MATCH($A442,List_StationaryFuelMeters,0),ROUNDUP((COLUMN()+1)/3-2,0))),"")</f>
        <v/>
      </c>
      <c r="AW442" s="127"/>
      <c r="AX442" s="127"/>
    </row>
    <row r="443" spans="1:50" x14ac:dyDescent="0.3">
      <c r="A443" s="126"/>
      <c r="B443" s="133"/>
      <c r="C443" s="127"/>
      <c r="D443" s="138"/>
      <c r="E443" s="138"/>
      <c r="F443" s="58" t="str" cm="1">
        <f>IFERROR(IF(ISBLANK($A443),"",INDEX(Array_StationaryCharges,MATCH($A443,List_StationaryFuelMeters,0),ROUNDUP((COLUMN()+1)/3-2,0))),"")</f>
        <v/>
      </c>
      <c r="G443" s="127"/>
      <c r="H443" s="127"/>
      <c r="I443" s="58" t="str" cm="1">
        <f>IFERROR(IF(ISBLANK($A443),"",INDEX(Array_StationaryCharges,MATCH($A443,List_StationaryFuelMeters,0),ROUNDUP((COLUMN()+1)/3-2,0))),"")</f>
        <v/>
      </c>
      <c r="J443" s="127"/>
      <c r="K443" s="127"/>
      <c r="L443" s="58" t="str" cm="1">
        <f>IFERROR(IF(ISBLANK($A443),"",INDEX(Array_StationaryCharges,MATCH($A443,List_StationaryFuelMeters,0),ROUNDUP((COLUMN()+1)/3-2,0))),"")</f>
        <v/>
      </c>
      <c r="M443" s="127"/>
      <c r="N443" s="127"/>
      <c r="O443" s="58" t="str" cm="1">
        <f>IFERROR(IF(ISBLANK($A443),"",INDEX(Array_StationaryCharges,MATCH($A443,List_StationaryFuelMeters,0),ROUNDUP((COLUMN()+1)/3-2,0))),"")</f>
        <v/>
      </c>
      <c r="P443" s="127"/>
      <c r="Q443" s="127"/>
      <c r="R443" s="58" t="str" cm="1">
        <f>IFERROR(IF(ISBLANK($A443),"",INDEX(Array_StationaryCharges,MATCH($A443,List_StationaryFuelMeters,0),ROUNDUP((COLUMN()+1)/3-2,0))),"")</f>
        <v/>
      </c>
      <c r="S443" s="127"/>
      <c r="T443" s="127"/>
      <c r="U443" s="58" t="str" cm="1">
        <f>IFERROR(IF(ISBLANK($A443),"",INDEX(Array_StationaryCharges,MATCH($A443,List_StationaryFuelMeters,0),ROUNDUP((COLUMN()+1)/3-2,0))),"")</f>
        <v/>
      </c>
      <c r="V443" s="127"/>
      <c r="W443" s="127"/>
      <c r="X443" s="58" t="str" cm="1">
        <f>IFERROR(IF(ISBLANK($A443),"",INDEX(Array_StationaryCharges,MATCH($A443,List_StationaryFuelMeters,0),ROUNDUP((COLUMN()+1)/3-2,0))),"")</f>
        <v/>
      </c>
      <c r="Y443" s="127"/>
      <c r="Z443" s="127"/>
      <c r="AA443" s="58" t="str" cm="1">
        <f>IFERROR(IF(ISBLANK($A443),"",INDEX(Array_StationaryCharges,MATCH($A443,List_StationaryFuelMeters,0),ROUNDUP((COLUMN()+1)/3-2,0))),"")</f>
        <v/>
      </c>
      <c r="AB443" s="127"/>
      <c r="AC443" s="127"/>
      <c r="AD443" s="58" t="str" cm="1">
        <f>IFERROR(IF(ISBLANK($A443),"",INDEX(Array_StationaryCharges,MATCH($A443,List_StationaryFuelMeters,0),ROUNDUP((COLUMN()+1)/3-2,0))),"")</f>
        <v/>
      </c>
      <c r="AE443" s="127"/>
      <c r="AF443" s="127"/>
      <c r="AG443" s="58" t="str" cm="1">
        <f>IFERROR(IF(ISBLANK($A443),"",INDEX(Array_StationaryCharges,MATCH($A443,List_StationaryFuelMeters,0),ROUNDUP((COLUMN()+1)/3-2,0))),"")</f>
        <v/>
      </c>
      <c r="AH443" s="127"/>
      <c r="AI443" s="127"/>
      <c r="AJ443" s="58" t="str" cm="1">
        <f>IFERROR(IF(ISBLANK($A443),"",INDEX(Array_StationaryCharges,MATCH($A443,List_StationaryFuelMeters,0),ROUNDUP((COLUMN()+1)/3-2,0))),"")</f>
        <v/>
      </c>
      <c r="AK443" s="127"/>
      <c r="AL443" s="127"/>
      <c r="AM443" s="58" t="str" cm="1">
        <f>IFERROR(IF(ISBLANK($A443),"",INDEX(Array_StationaryCharges,MATCH($A443,List_StationaryFuelMeters,0),ROUNDUP((COLUMN()+1)/3-2,0))),"")</f>
        <v/>
      </c>
      <c r="AN443" s="127"/>
      <c r="AO443" s="127"/>
      <c r="AP443" s="58" t="str" cm="1">
        <f>IFERROR(IF(ISBLANK($A443),"",INDEX(Array_StationaryCharges,MATCH($A443,List_StationaryFuelMeters,0),ROUNDUP((COLUMN()+1)/3-2,0))),"")</f>
        <v/>
      </c>
      <c r="AQ443" s="127"/>
      <c r="AR443" s="127"/>
      <c r="AS443" s="58" t="str" cm="1">
        <f>IFERROR(IF(ISBLANK($A443),"",INDEX(Array_StationaryCharges,MATCH($A443,List_StationaryFuelMeters,0),ROUNDUP((COLUMN()+1)/3-2,0))),"")</f>
        <v/>
      </c>
      <c r="AT443" s="127"/>
      <c r="AU443" s="127"/>
      <c r="AV443" s="58" t="str" cm="1">
        <f>IFERROR(IF(ISBLANK($A443),"",INDEX(Array_StationaryCharges,MATCH($A443,List_StationaryFuelMeters,0),ROUNDUP((COLUMN()+1)/3-2,0))),"")</f>
        <v/>
      </c>
      <c r="AW443" s="127"/>
      <c r="AX443" s="127"/>
    </row>
    <row r="444" spans="1:50" x14ac:dyDescent="0.3">
      <c r="A444" s="126"/>
      <c r="B444" s="133"/>
      <c r="C444" s="127"/>
      <c r="D444" s="138"/>
      <c r="E444" s="138"/>
      <c r="F444" s="58" t="str" cm="1">
        <f>IFERROR(IF(ISBLANK($A444),"",INDEX(Array_StationaryCharges,MATCH($A444,List_StationaryFuelMeters,0),ROUNDUP((COLUMN()+1)/3-2,0))),"")</f>
        <v/>
      </c>
      <c r="G444" s="127"/>
      <c r="H444" s="127"/>
      <c r="I444" s="58" t="str" cm="1">
        <f>IFERROR(IF(ISBLANK($A444),"",INDEX(Array_StationaryCharges,MATCH($A444,List_StationaryFuelMeters,0),ROUNDUP((COLUMN()+1)/3-2,0))),"")</f>
        <v/>
      </c>
      <c r="J444" s="127"/>
      <c r="K444" s="127"/>
      <c r="L444" s="58" t="str" cm="1">
        <f>IFERROR(IF(ISBLANK($A444),"",INDEX(Array_StationaryCharges,MATCH($A444,List_StationaryFuelMeters,0),ROUNDUP((COLUMN()+1)/3-2,0))),"")</f>
        <v/>
      </c>
      <c r="M444" s="127"/>
      <c r="N444" s="127"/>
      <c r="O444" s="58" t="str" cm="1">
        <f>IFERROR(IF(ISBLANK($A444),"",INDEX(Array_StationaryCharges,MATCH($A444,List_StationaryFuelMeters,0),ROUNDUP((COLUMN()+1)/3-2,0))),"")</f>
        <v/>
      </c>
      <c r="P444" s="127"/>
      <c r="Q444" s="127"/>
      <c r="R444" s="58" t="str" cm="1">
        <f>IFERROR(IF(ISBLANK($A444),"",INDEX(Array_StationaryCharges,MATCH($A444,List_StationaryFuelMeters,0),ROUNDUP((COLUMN()+1)/3-2,0))),"")</f>
        <v/>
      </c>
      <c r="S444" s="127"/>
      <c r="T444" s="127"/>
      <c r="U444" s="58" t="str" cm="1">
        <f>IFERROR(IF(ISBLANK($A444),"",INDEX(Array_StationaryCharges,MATCH($A444,List_StationaryFuelMeters,0),ROUNDUP((COLUMN()+1)/3-2,0))),"")</f>
        <v/>
      </c>
      <c r="V444" s="127"/>
      <c r="W444" s="127"/>
      <c r="X444" s="58" t="str" cm="1">
        <f>IFERROR(IF(ISBLANK($A444),"",INDEX(Array_StationaryCharges,MATCH($A444,List_StationaryFuelMeters,0),ROUNDUP((COLUMN()+1)/3-2,0))),"")</f>
        <v/>
      </c>
      <c r="Y444" s="127"/>
      <c r="Z444" s="127"/>
      <c r="AA444" s="58" t="str" cm="1">
        <f>IFERROR(IF(ISBLANK($A444),"",INDEX(Array_StationaryCharges,MATCH($A444,List_StationaryFuelMeters,0),ROUNDUP((COLUMN()+1)/3-2,0))),"")</f>
        <v/>
      </c>
      <c r="AB444" s="127"/>
      <c r="AC444" s="127"/>
      <c r="AD444" s="58" t="str" cm="1">
        <f>IFERROR(IF(ISBLANK($A444),"",INDEX(Array_StationaryCharges,MATCH($A444,List_StationaryFuelMeters,0),ROUNDUP((COLUMN()+1)/3-2,0))),"")</f>
        <v/>
      </c>
      <c r="AE444" s="127"/>
      <c r="AF444" s="127"/>
      <c r="AG444" s="58" t="str" cm="1">
        <f>IFERROR(IF(ISBLANK($A444),"",INDEX(Array_StationaryCharges,MATCH($A444,List_StationaryFuelMeters,0),ROUNDUP((COLUMN()+1)/3-2,0))),"")</f>
        <v/>
      </c>
      <c r="AH444" s="127"/>
      <c r="AI444" s="127"/>
      <c r="AJ444" s="58" t="str" cm="1">
        <f>IFERROR(IF(ISBLANK($A444),"",INDEX(Array_StationaryCharges,MATCH($A444,List_StationaryFuelMeters,0),ROUNDUP((COLUMN()+1)/3-2,0))),"")</f>
        <v/>
      </c>
      <c r="AK444" s="127"/>
      <c r="AL444" s="127"/>
      <c r="AM444" s="58" t="str" cm="1">
        <f>IFERROR(IF(ISBLANK($A444),"",INDEX(Array_StationaryCharges,MATCH($A444,List_StationaryFuelMeters,0),ROUNDUP((COLUMN()+1)/3-2,0))),"")</f>
        <v/>
      </c>
      <c r="AN444" s="127"/>
      <c r="AO444" s="127"/>
      <c r="AP444" s="58" t="str" cm="1">
        <f>IFERROR(IF(ISBLANK($A444),"",INDEX(Array_StationaryCharges,MATCH($A444,List_StationaryFuelMeters,0),ROUNDUP((COLUMN()+1)/3-2,0))),"")</f>
        <v/>
      </c>
      <c r="AQ444" s="127"/>
      <c r="AR444" s="127"/>
      <c r="AS444" s="58" t="str" cm="1">
        <f>IFERROR(IF(ISBLANK($A444),"",INDEX(Array_StationaryCharges,MATCH($A444,List_StationaryFuelMeters,0),ROUNDUP((COLUMN()+1)/3-2,0))),"")</f>
        <v/>
      </c>
      <c r="AT444" s="127"/>
      <c r="AU444" s="127"/>
      <c r="AV444" s="58" t="str" cm="1">
        <f>IFERROR(IF(ISBLANK($A444),"",INDEX(Array_StationaryCharges,MATCH($A444,List_StationaryFuelMeters,0),ROUNDUP((COLUMN()+1)/3-2,0))),"")</f>
        <v/>
      </c>
      <c r="AW444" s="127"/>
      <c r="AX444" s="127"/>
    </row>
    <row r="445" spans="1:50" x14ac:dyDescent="0.3">
      <c r="A445" s="126"/>
      <c r="B445" s="133"/>
      <c r="C445" s="127"/>
      <c r="D445" s="138"/>
      <c r="E445" s="138"/>
      <c r="F445" s="58" t="str" cm="1">
        <f>IFERROR(IF(ISBLANK($A445),"",INDEX(Array_StationaryCharges,MATCH($A445,List_StationaryFuelMeters,0),ROUNDUP((COLUMN()+1)/3-2,0))),"")</f>
        <v/>
      </c>
      <c r="G445" s="127"/>
      <c r="H445" s="127"/>
      <c r="I445" s="58" t="str" cm="1">
        <f>IFERROR(IF(ISBLANK($A445),"",INDEX(Array_StationaryCharges,MATCH($A445,List_StationaryFuelMeters,0),ROUNDUP((COLUMN()+1)/3-2,0))),"")</f>
        <v/>
      </c>
      <c r="J445" s="127"/>
      <c r="K445" s="127"/>
      <c r="L445" s="58" t="str" cm="1">
        <f>IFERROR(IF(ISBLANK($A445),"",INDEX(Array_StationaryCharges,MATCH($A445,List_StationaryFuelMeters,0),ROUNDUP((COLUMN()+1)/3-2,0))),"")</f>
        <v/>
      </c>
      <c r="M445" s="127"/>
      <c r="N445" s="127"/>
      <c r="O445" s="58" t="str" cm="1">
        <f>IFERROR(IF(ISBLANK($A445),"",INDEX(Array_StationaryCharges,MATCH($A445,List_StationaryFuelMeters,0),ROUNDUP((COLUMN()+1)/3-2,0))),"")</f>
        <v/>
      </c>
      <c r="P445" s="127"/>
      <c r="Q445" s="127"/>
      <c r="R445" s="58" t="str" cm="1">
        <f>IFERROR(IF(ISBLANK($A445),"",INDEX(Array_StationaryCharges,MATCH($A445,List_StationaryFuelMeters,0),ROUNDUP((COLUMN()+1)/3-2,0))),"")</f>
        <v/>
      </c>
      <c r="S445" s="127"/>
      <c r="T445" s="127"/>
      <c r="U445" s="58" t="str" cm="1">
        <f>IFERROR(IF(ISBLANK($A445),"",INDEX(Array_StationaryCharges,MATCH($A445,List_StationaryFuelMeters,0),ROUNDUP((COLUMN()+1)/3-2,0))),"")</f>
        <v/>
      </c>
      <c r="V445" s="127"/>
      <c r="W445" s="127"/>
      <c r="X445" s="58" t="str" cm="1">
        <f>IFERROR(IF(ISBLANK($A445),"",INDEX(Array_StationaryCharges,MATCH($A445,List_StationaryFuelMeters,0),ROUNDUP((COLUMN()+1)/3-2,0))),"")</f>
        <v/>
      </c>
      <c r="Y445" s="127"/>
      <c r="Z445" s="127"/>
      <c r="AA445" s="58" t="str" cm="1">
        <f>IFERROR(IF(ISBLANK($A445),"",INDEX(Array_StationaryCharges,MATCH($A445,List_StationaryFuelMeters,0),ROUNDUP((COLUMN()+1)/3-2,0))),"")</f>
        <v/>
      </c>
      <c r="AB445" s="127"/>
      <c r="AC445" s="127"/>
      <c r="AD445" s="58" t="str" cm="1">
        <f>IFERROR(IF(ISBLANK($A445),"",INDEX(Array_StationaryCharges,MATCH($A445,List_StationaryFuelMeters,0),ROUNDUP((COLUMN()+1)/3-2,0))),"")</f>
        <v/>
      </c>
      <c r="AE445" s="127"/>
      <c r="AF445" s="127"/>
      <c r="AG445" s="58" t="str" cm="1">
        <f>IFERROR(IF(ISBLANK($A445),"",INDEX(Array_StationaryCharges,MATCH($A445,List_StationaryFuelMeters,0),ROUNDUP((COLUMN()+1)/3-2,0))),"")</f>
        <v/>
      </c>
      <c r="AH445" s="127"/>
      <c r="AI445" s="127"/>
      <c r="AJ445" s="58" t="str" cm="1">
        <f>IFERROR(IF(ISBLANK($A445),"",INDEX(Array_StationaryCharges,MATCH($A445,List_StationaryFuelMeters,0),ROUNDUP((COLUMN()+1)/3-2,0))),"")</f>
        <v/>
      </c>
      <c r="AK445" s="127"/>
      <c r="AL445" s="127"/>
      <c r="AM445" s="58" t="str" cm="1">
        <f>IFERROR(IF(ISBLANK($A445),"",INDEX(Array_StationaryCharges,MATCH($A445,List_StationaryFuelMeters,0),ROUNDUP((COLUMN()+1)/3-2,0))),"")</f>
        <v/>
      </c>
      <c r="AN445" s="127"/>
      <c r="AO445" s="127"/>
      <c r="AP445" s="58" t="str" cm="1">
        <f>IFERROR(IF(ISBLANK($A445),"",INDEX(Array_StationaryCharges,MATCH($A445,List_StationaryFuelMeters,0),ROUNDUP((COLUMN()+1)/3-2,0))),"")</f>
        <v/>
      </c>
      <c r="AQ445" s="127"/>
      <c r="AR445" s="127"/>
      <c r="AS445" s="58" t="str" cm="1">
        <f>IFERROR(IF(ISBLANK($A445),"",INDEX(Array_StationaryCharges,MATCH($A445,List_StationaryFuelMeters,0),ROUNDUP((COLUMN()+1)/3-2,0))),"")</f>
        <v/>
      </c>
      <c r="AT445" s="127"/>
      <c r="AU445" s="127"/>
      <c r="AV445" s="58" t="str" cm="1">
        <f>IFERROR(IF(ISBLANK($A445),"",INDEX(Array_StationaryCharges,MATCH($A445,List_StationaryFuelMeters,0),ROUNDUP((COLUMN()+1)/3-2,0))),"")</f>
        <v/>
      </c>
      <c r="AW445" s="127"/>
      <c r="AX445" s="127"/>
    </row>
    <row r="446" spans="1:50" x14ac:dyDescent="0.3">
      <c r="A446" s="126"/>
      <c r="B446" s="133"/>
      <c r="C446" s="127"/>
      <c r="D446" s="138"/>
      <c r="E446" s="138"/>
      <c r="F446" s="58" t="str" cm="1">
        <f>IFERROR(IF(ISBLANK($A446),"",INDEX(Array_StationaryCharges,MATCH($A446,List_StationaryFuelMeters,0),ROUNDUP((COLUMN()+1)/3-2,0))),"")</f>
        <v/>
      </c>
      <c r="G446" s="127"/>
      <c r="H446" s="127"/>
      <c r="I446" s="58" t="str" cm="1">
        <f>IFERROR(IF(ISBLANK($A446),"",INDEX(Array_StationaryCharges,MATCH($A446,List_StationaryFuelMeters,0),ROUNDUP((COLUMN()+1)/3-2,0))),"")</f>
        <v/>
      </c>
      <c r="J446" s="127"/>
      <c r="K446" s="127"/>
      <c r="L446" s="58" t="str" cm="1">
        <f>IFERROR(IF(ISBLANK($A446),"",INDEX(Array_StationaryCharges,MATCH($A446,List_StationaryFuelMeters,0),ROUNDUP((COLUMN()+1)/3-2,0))),"")</f>
        <v/>
      </c>
      <c r="M446" s="127"/>
      <c r="N446" s="127"/>
      <c r="O446" s="58" t="str" cm="1">
        <f>IFERROR(IF(ISBLANK($A446),"",INDEX(Array_StationaryCharges,MATCH($A446,List_StationaryFuelMeters,0),ROUNDUP((COLUMN()+1)/3-2,0))),"")</f>
        <v/>
      </c>
      <c r="P446" s="127"/>
      <c r="Q446" s="127"/>
      <c r="R446" s="58" t="str" cm="1">
        <f>IFERROR(IF(ISBLANK($A446),"",INDEX(Array_StationaryCharges,MATCH($A446,List_StationaryFuelMeters,0),ROUNDUP((COLUMN()+1)/3-2,0))),"")</f>
        <v/>
      </c>
      <c r="S446" s="127"/>
      <c r="T446" s="127"/>
      <c r="U446" s="58" t="str" cm="1">
        <f>IFERROR(IF(ISBLANK($A446),"",INDEX(Array_StationaryCharges,MATCH($A446,List_StationaryFuelMeters,0),ROUNDUP((COLUMN()+1)/3-2,0))),"")</f>
        <v/>
      </c>
      <c r="V446" s="127"/>
      <c r="W446" s="127"/>
      <c r="X446" s="58" t="str" cm="1">
        <f>IFERROR(IF(ISBLANK($A446),"",INDEX(Array_StationaryCharges,MATCH($A446,List_StationaryFuelMeters,0),ROUNDUP((COLUMN()+1)/3-2,0))),"")</f>
        <v/>
      </c>
      <c r="Y446" s="127"/>
      <c r="Z446" s="127"/>
      <c r="AA446" s="58" t="str" cm="1">
        <f>IFERROR(IF(ISBLANK($A446),"",INDEX(Array_StationaryCharges,MATCH($A446,List_StationaryFuelMeters,0),ROUNDUP((COLUMN()+1)/3-2,0))),"")</f>
        <v/>
      </c>
      <c r="AB446" s="127"/>
      <c r="AC446" s="127"/>
      <c r="AD446" s="58" t="str" cm="1">
        <f>IFERROR(IF(ISBLANK($A446),"",INDEX(Array_StationaryCharges,MATCH($A446,List_StationaryFuelMeters,0),ROUNDUP((COLUMN()+1)/3-2,0))),"")</f>
        <v/>
      </c>
      <c r="AE446" s="127"/>
      <c r="AF446" s="127"/>
      <c r="AG446" s="58" t="str" cm="1">
        <f>IFERROR(IF(ISBLANK($A446),"",INDEX(Array_StationaryCharges,MATCH($A446,List_StationaryFuelMeters,0),ROUNDUP((COLUMN()+1)/3-2,0))),"")</f>
        <v/>
      </c>
      <c r="AH446" s="127"/>
      <c r="AI446" s="127"/>
      <c r="AJ446" s="58" t="str" cm="1">
        <f>IFERROR(IF(ISBLANK($A446),"",INDEX(Array_StationaryCharges,MATCH($A446,List_StationaryFuelMeters,0),ROUNDUP((COLUMN()+1)/3-2,0))),"")</f>
        <v/>
      </c>
      <c r="AK446" s="127"/>
      <c r="AL446" s="127"/>
      <c r="AM446" s="58" t="str" cm="1">
        <f>IFERROR(IF(ISBLANK($A446),"",INDEX(Array_StationaryCharges,MATCH($A446,List_StationaryFuelMeters,0),ROUNDUP((COLUMN()+1)/3-2,0))),"")</f>
        <v/>
      </c>
      <c r="AN446" s="127"/>
      <c r="AO446" s="127"/>
      <c r="AP446" s="58" t="str" cm="1">
        <f>IFERROR(IF(ISBLANK($A446),"",INDEX(Array_StationaryCharges,MATCH($A446,List_StationaryFuelMeters,0),ROUNDUP((COLUMN()+1)/3-2,0))),"")</f>
        <v/>
      </c>
      <c r="AQ446" s="127"/>
      <c r="AR446" s="127"/>
      <c r="AS446" s="58" t="str" cm="1">
        <f>IFERROR(IF(ISBLANK($A446),"",INDEX(Array_StationaryCharges,MATCH($A446,List_StationaryFuelMeters,0),ROUNDUP((COLUMN()+1)/3-2,0))),"")</f>
        <v/>
      </c>
      <c r="AT446" s="127"/>
      <c r="AU446" s="127"/>
      <c r="AV446" s="58" t="str" cm="1">
        <f>IFERROR(IF(ISBLANK($A446),"",INDEX(Array_StationaryCharges,MATCH($A446,List_StationaryFuelMeters,0),ROUNDUP((COLUMN()+1)/3-2,0))),"")</f>
        <v/>
      </c>
      <c r="AW446" s="127"/>
      <c r="AX446" s="127"/>
    </row>
    <row r="447" spans="1:50" x14ac:dyDescent="0.3">
      <c r="A447" s="126"/>
      <c r="B447" s="133"/>
      <c r="C447" s="127"/>
      <c r="D447" s="138"/>
      <c r="E447" s="138"/>
      <c r="F447" s="58" t="str" cm="1">
        <f>IFERROR(IF(ISBLANK($A447),"",INDEX(Array_StationaryCharges,MATCH($A447,List_StationaryFuelMeters,0),ROUNDUP((COLUMN()+1)/3-2,0))),"")</f>
        <v/>
      </c>
      <c r="G447" s="127"/>
      <c r="H447" s="127"/>
      <c r="I447" s="58" t="str" cm="1">
        <f>IFERROR(IF(ISBLANK($A447),"",INDEX(Array_StationaryCharges,MATCH($A447,List_StationaryFuelMeters,0),ROUNDUP((COLUMN()+1)/3-2,0))),"")</f>
        <v/>
      </c>
      <c r="J447" s="127"/>
      <c r="K447" s="127"/>
      <c r="L447" s="58" t="str" cm="1">
        <f>IFERROR(IF(ISBLANK($A447),"",INDEX(Array_StationaryCharges,MATCH($A447,List_StationaryFuelMeters,0),ROUNDUP((COLUMN()+1)/3-2,0))),"")</f>
        <v/>
      </c>
      <c r="M447" s="127"/>
      <c r="N447" s="127"/>
      <c r="O447" s="58" t="str" cm="1">
        <f>IFERROR(IF(ISBLANK($A447),"",INDEX(Array_StationaryCharges,MATCH($A447,List_StationaryFuelMeters,0),ROUNDUP((COLUMN()+1)/3-2,0))),"")</f>
        <v/>
      </c>
      <c r="P447" s="127"/>
      <c r="Q447" s="127"/>
      <c r="R447" s="58" t="str" cm="1">
        <f>IFERROR(IF(ISBLANK($A447),"",INDEX(Array_StationaryCharges,MATCH($A447,List_StationaryFuelMeters,0),ROUNDUP((COLUMN()+1)/3-2,0))),"")</f>
        <v/>
      </c>
      <c r="S447" s="127"/>
      <c r="T447" s="127"/>
      <c r="U447" s="58" t="str" cm="1">
        <f>IFERROR(IF(ISBLANK($A447),"",INDEX(Array_StationaryCharges,MATCH($A447,List_StationaryFuelMeters,0),ROUNDUP((COLUMN()+1)/3-2,0))),"")</f>
        <v/>
      </c>
      <c r="V447" s="127"/>
      <c r="W447" s="127"/>
      <c r="X447" s="58" t="str" cm="1">
        <f>IFERROR(IF(ISBLANK($A447),"",INDEX(Array_StationaryCharges,MATCH($A447,List_StationaryFuelMeters,0),ROUNDUP((COLUMN()+1)/3-2,0))),"")</f>
        <v/>
      </c>
      <c r="Y447" s="127"/>
      <c r="Z447" s="127"/>
      <c r="AA447" s="58" t="str" cm="1">
        <f>IFERROR(IF(ISBLANK($A447),"",INDEX(Array_StationaryCharges,MATCH($A447,List_StationaryFuelMeters,0),ROUNDUP((COLUMN()+1)/3-2,0))),"")</f>
        <v/>
      </c>
      <c r="AB447" s="127"/>
      <c r="AC447" s="127"/>
      <c r="AD447" s="58" t="str" cm="1">
        <f>IFERROR(IF(ISBLANK($A447),"",INDEX(Array_StationaryCharges,MATCH($A447,List_StationaryFuelMeters,0),ROUNDUP((COLUMN()+1)/3-2,0))),"")</f>
        <v/>
      </c>
      <c r="AE447" s="127"/>
      <c r="AF447" s="127"/>
      <c r="AG447" s="58" t="str" cm="1">
        <f>IFERROR(IF(ISBLANK($A447),"",INDEX(Array_StationaryCharges,MATCH($A447,List_StationaryFuelMeters,0),ROUNDUP((COLUMN()+1)/3-2,0))),"")</f>
        <v/>
      </c>
      <c r="AH447" s="127"/>
      <c r="AI447" s="127"/>
      <c r="AJ447" s="58" t="str" cm="1">
        <f>IFERROR(IF(ISBLANK($A447),"",INDEX(Array_StationaryCharges,MATCH($A447,List_StationaryFuelMeters,0),ROUNDUP((COLUMN()+1)/3-2,0))),"")</f>
        <v/>
      </c>
      <c r="AK447" s="127"/>
      <c r="AL447" s="127"/>
      <c r="AM447" s="58" t="str" cm="1">
        <f>IFERROR(IF(ISBLANK($A447),"",INDEX(Array_StationaryCharges,MATCH($A447,List_StationaryFuelMeters,0),ROUNDUP((COLUMN()+1)/3-2,0))),"")</f>
        <v/>
      </c>
      <c r="AN447" s="127"/>
      <c r="AO447" s="127"/>
      <c r="AP447" s="58" t="str" cm="1">
        <f>IFERROR(IF(ISBLANK($A447),"",INDEX(Array_StationaryCharges,MATCH($A447,List_StationaryFuelMeters,0),ROUNDUP((COLUMN()+1)/3-2,0))),"")</f>
        <v/>
      </c>
      <c r="AQ447" s="127"/>
      <c r="AR447" s="127"/>
      <c r="AS447" s="58" t="str" cm="1">
        <f>IFERROR(IF(ISBLANK($A447),"",INDEX(Array_StationaryCharges,MATCH($A447,List_StationaryFuelMeters,0),ROUNDUP((COLUMN()+1)/3-2,0))),"")</f>
        <v/>
      </c>
      <c r="AT447" s="127"/>
      <c r="AU447" s="127"/>
      <c r="AV447" s="58" t="str" cm="1">
        <f>IFERROR(IF(ISBLANK($A447),"",INDEX(Array_StationaryCharges,MATCH($A447,List_StationaryFuelMeters,0),ROUNDUP((COLUMN()+1)/3-2,0))),"")</f>
        <v/>
      </c>
      <c r="AW447" s="127"/>
      <c r="AX447" s="127"/>
    </row>
    <row r="448" spans="1:50" x14ac:dyDescent="0.3">
      <c r="A448" s="126"/>
      <c r="B448" s="133"/>
      <c r="C448" s="127"/>
      <c r="D448" s="138"/>
      <c r="E448" s="138"/>
      <c r="F448" s="58" t="str" cm="1">
        <f>IFERROR(IF(ISBLANK($A448),"",INDEX(Array_StationaryCharges,MATCH($A448,List_StationaryFuelMeters,0),ROUNDUP((COLUMN()+1)/3-2,0))),"")</f>
        <v/>
      </c>
      <c r="G448" s="127"/>
      <c r="H448" s="127"/>
      <c r="I448" s="58" t="str" cm="1">
        <f>IFERROR(IF(ISBLANK($A448),"",INDEX(Array_StationaryCharges,MATCH($A448,List_StationaryFuelMeters,0),ROUNDUP((COLUMN()+1)/3-2,0))),"")</f>
        <v/>
      </c>
      <c r="J448" s="127"/>
      <c r="K448" s="127"/>
      <c r="L448" s="58" t="str" cm="1">
        <f>IFERROR(IF(ISBLANK($A448),"",INDEX(Array_StationaryCharges,MATCH($A448,List_StationaryFuelMeters,0),ROUNDUP((COLUMN()+1)/3-2,0))),"")</f>
        <v/>
      </c>
      <c r="M448" s="127"/>
      <c r="N448" s="127"/>
      <c r="O448" s="58" t="str" cm="1">
        <f>IFERROR(IF(ISBLANK($A448),"",INDEX(Array_StationaryCharges,MATCH($A448,List_StationaryFuelMeters,0),ROUNDUP((COLUMN()+1)/3-2,0))),"")</f>
        <v/>
      </c>
      <c r="P448" s="127"/>
      <c r="Q448" s="127"/>
      <c r="R448" s="58" t="str" cm="1">
        <f>IFERROR(IF(ISBLANK($A448),"",INDEX(Array_StationaryCharges,MATCH($A448,List_StationaryFuelMeters,0),ROUNDUP((COLUMN()+1)/3-2,0))),"")</f>
        <v/>
      </c>
      <c r="S448" s="127"/>
      <c r="T448" s="127"/>
      <c r="U448" s="58" t="str" cm="1">
        <f>IFERROR(IF(ISBLANK($A448),"",INDEX(Array_StationaryCharges,MATCH($A448,List_StationaryFuelMeters,0),ROUNDUP((COLUMN()+1)/3-2,0))),"")</f>
        <v/>
      </c>
      <c r="V448" s="127"/>
      <c r="W448" s="127"/>
      <c r="X448" s="58" t="str" cm="1">
        <f>IFERROR(IF(ISBLANK($A448),"",INDEX(Array_StationaryCharges,MATCH($A448,List_StationaryFuelMeters,0),ROUNDUP((COLUMN()+1)/3-2,0))),"")</f>
        <v/>
      </c>
      <c r="Y448" s="127"/>
      <c r="Z448" s="127"/>
      <c r="AA448" s="58" t="str" cm="1">
        <f>IFERROR(IF(ISBLANK($A448),"",INDEX(Array_StationaryCharges,MATCH($A448,List_StationaryFuelMeters,0),ROUNDUP((COLUMN()+1)/3-2,0))),"")</f>
        <v/>
      </c>
      <c r="AB448" s="127"/>
      <c r="AC448" s="127"/>
      <c r="AD448" s="58" t="str" cm="1">
        <f>IFERROR(IF(ISBLANK($A448),"",INDEX(Array_StationaryCharges,MATCH($A448,List_StationaryFuelMeters,0),ROUNDUP((COLUMN()+1)/3-2,0))),"")</f>
        <v/>
      </c>
      <c r="AE448" s="127"/>
      <c r="AF448" s="127"/>
      <c r="AG448" s="58" t="str" cm="1">
        <f>IFERROR(IF(ISBLANK($A448),"",INDEX(Array_StationaryCharges,MATCH($A448,List_StationaryFuelMeters,0),ROUNDUP((COLUMN()+1)/3-2,0))),"")</f>
        <v/>
      </c>
      <c r="AH448" s="127"/>
      <c r="AI448" s="127"/>
      <c r="AJ448" s="58" t="str" cm="1">
        <f>IFERROR(IF(ISBLANK($A448),"",INDEX(Array_StationaryCharges,MATCH($A448,List_StationaryFuelMeters,0),ROUNDUP((COLUMN()+1)/3-2,0))),"")</f>
        <v/>
      </c>
      <c r="AK448" s="127"/>
      <c r="AL448" s="127"/>
      <c r="AM448" s="58" t="str" cm="1">
        <f>IFERROR(IF(ISBLANK($A448),"",INDEX(Array_StationaryCharges,MATCH($A448,List_StationaryFuelMeters,0),ROUNDUP((COLUMN()+1)/3-2,0))),"")</f>
        <v/>
      </c>
      <c r="AN448" s="127"/>
      <c r="AO448" s="127"/>
      <c r="AP448" s="58" t="str" cm="1">
        <f>IFERROR(IF(ISBLANK($A448),"",INDEX(Array_StationaryCharges,MATCH($A448,List_StationaryFuelMeters,0),ROUNDUP((COLUMN()+1)/3-2,0))),"")</f>
        <v/>
      </c>
      <c r="AQ448" s="127"/>
      <c r="AR448" s="127"/>
      <c r="AS448" s="58" t="str" cm="1">
        <f>IFERROR(IF(ISBLANK($A448),"",INDEX(Array_StationaryCharges,MATCH($A448,List_StationaryFuelMeters,0),ROUNDUP((COLUMN()+1)/3-2,0))),"")</f>
        <v/>
      </c>
      <c r="AT448" s="127"/>
      <c r="AU448" s="127"/>
      <c r="AV448" s="58" t="str" cm="1">
        <f>IFERROR(IF(ISBLANK($A448),"",INDEX(Array_StationaryCharges,MATCH($A448,List_StationaryFuelMeters,0),ROUNDUP((COLUMN()+1)/3-2,0))),"")</f>
        <v/>
      </c>
      <c r="AW448" s="127"/>
      <c r="AX448" s="127"/>
    </row>
    <row r="449" spans="1:50" x14ac:dyDescent="0.3">
      <c r="A449" s="126"/>
      <c r="B449" s="133"/>
      <c r="C449" s="127"/>
      <c r="D449" s="138"/>
      <c r="E449" s="138"/>
      <c r="F449" s="58" t="str" cm="1">
        <f>IFERROR(IF(ISBLANK($A449),"",INDEX(Array_StationaryCharges,MATCH($A449,List_StationaryFuelMeters,0),ROUNDUP((COLUMN()+1)/3-2,0))),"")</f>
        <v/>
      </c>
      <c r="G449" s="127"/>
      <c r="H449" s="127"/>
      <c r="I449" s="58" t="str" cm="1">
        <f>IFERROR(IF(ISBLANK($A449),"",INDEX(Array_StationaryCharges,MATCH($A449,List_StationaryFuelMeters,0),ROUNDUP((COLUMN()+1)/3-2,0))),"")</f>
        <v/>
      </c>
      <c r="J449" s="127"/>
      <c r="K449" s="127"/>
      <c r="L449" s="58" t="str" cm="1">
        <f>IFERROR(IF(ISBLANK($A449),"",INDEX(Array_StationaryCharges,MATCH($A449,List_StationaryFuelMeters,0),ROUNDUP((COLUMN()+1)/3-2,0))),"")</f>
        <v/>
      </c>
      <c r="M449" s="127"/>
      <c r="N449" s="127"/>
      <c r="O449" s="58" t="str" cm="1">
        <f>IFERROR(IF(ISBLANK($A449),"",INDEX(Array_StationaryCharges,MATCH($A449,List_StationaryFuelMeters,0),ROUNDUP((COLUMN()+1)/3-2,0))),"")</f>
        <v/>
      </c>
      <c r="P449" s="127"/>
      <c r="Q449" s="127"/>
      <c r="R449" s="58" t="str" cm="1">
        <f>IFERROR(IF(ISBLANK($A449),"",INDEX(Array_StationaryCharges,MATCH($A449,List_StationaryFuelMeters,0),ROUNDUP((COLUMN()+1)/3-2,0))),"")</f>
        <v/>
      </c>
      <c r="S449" s="127"/>
      <c r="T449" s="127"/>
      <c r="U449" s="58" t="str" cm="1">
        <f>IFERROR(IF(ISBLANK($A449),"",INDEX(Array_StationaryCharges,MATCH($A449,List_StationaryFuelMeters,0),ROUNDUP((COLUMN()+1)/3-2,0))),"")</f>
        <v/>
      </c>
      <c r="V449" s="127"/>
      <c r="W449" s="127"/>
      <c r="X449" s="58" t="str" cm="1">
        <f>IFERROR(IF(ISBLANK($A449),"",INDEX(Array_StationaryCharges,MATCH($A449,List_StationaryFuelMeters,0),ROUNDUP((COLUMN()+1)/3-2,0))),"")</f>
        <v/>
      </c>
      <c r="Y449" s="127"/>
      <c r="Z449" s="127"/>
      <c r="AA449" s="58" t="str" cm="1">
        <f>IFERROR(IF(ISBLANK($A449),"",INDEX(Array_StationaryCharges,MATCH($A449,List_StationaryFuelMeters,0),ROUNDUP((COLUMN()+1)/3-2,0))),"")</f>
        <v/>
      </c>
      <c r="AB449" s="127"/>
      <c r="AC449" s="127"/>
      <c r="AD449" s="58" t="str" cm="1">
        <f>IFERROR(IF(ISBLANK($A449),"",INDEX(Array_StationaryCharges,MATCH($A449,List_StationaryFuelMeters,0),ROUNDUP((COLUMN()+1)/3-2,0))),"")</f>
        <v/>
      </c>
      <c r="AE449" s="127"/>
      <c r="AF449" s="127"/>
      <c r="AG449" s="58" t="str" cm="1">
        <f>IFERROR(IF(ISBLANK($A449),"",INDEX(Array_StationaryCharges,MATCH($A449,List_StationaryFuelMeters,0),ROUNDUP((COLUMN()+1)/3-2,0))),"")</f>
        <v/>
      </c>
      <c r="AH449" s="127"/>
      <c r="AI449" s="127"/>
      <c r="AJ449" s="58" t="str" cm="1">
        <f>IFERROR(IF(ISBLANK($A449),"",INDEX(Array_StationaryCharges,MATCH($A449,List_StationaryFuelMeters,0),ROUNDUP((COLUMN()+1)/3-2,0))),"")</f>
        <v/>
      </c>
      <c r="AK449" s="127"/>
      <c r="AL449" s="127"/>
      <c r="AM449" s="58" t="str" cm="1">
        <f>IFERROR(IF(ISBLANK($A449),"",INDEX(Array_StationaryCharges,MATCH($A449,List_StationaryFuelMeters,0),ROUNDUP((COLUMN()+1)/3-2,0))),"")</f>
        <v/>
      </c>
      <c r="AN449" s="127"/>
      <c r="AO449" s="127"/>
      <c r="AP449" s="58" t="str" cm="1">
        <f>IFERROR(IF(ISBLANK($A449),"",INDEX(Array_StationaryCharges,MATCH($A449,List_StationaryFuelMeters,0),ROUNDUP((COLUMN()+1)/3-2,0))),"")</f>
        <v/>
      </c>
      <c r="AQ449" s="127"/>
      <c r="AR449" s="127"/>
      <c r="AS449" s="58" t="str" cm="1">
        <f>IFERROR(IF(ISBLANK($A449),"",INDEX(Array_StationaryCharges,MATCH($A449,List_StationaryFuelMeters,0),ROUNDUP((COLUMN()+1)/3-2,0))),"")</f>
        <v/>
      </c>
      <c r="AT449" s="127"/>
      <c r="AU449" s="127"/>
      <c r="AV449" s="58" t="str" cm="1">
        <f>IFERROR(IF(ISBLANK($A449),"",INDEX(Array_StationaryCharges,MATCH($A449,List_StationaryFuelMeters,0),ROUNDUP((COLUMN()+1)/3-2,0))),"")</f>
        <v/>
      </c>
      <c r="AW449" s="127"/>
      <c r="AX449" s="127"/>
    </row>
    <row r="450" spans="1:50" x14ac:dyDescent="0.3">
      <c r="A450" s="126"/>
      <c r="B450" s="133"/>
      <c r="C450" s="127"/>
      <c r="D450" s="138"/>
      <c r="E450" s="138"/>
      <c r="F450" s="58" t="str" cm="1">
        <f>IFERROR(IF(ISBLANK($A450),"",INDEX(Array_StationaryCharges,MATCH($A450,List_StationaryFuelMeters,0),ROUNDUP((COLUMN()+1)/3-2,0))),"")</f>
        <v/>
      </c>
      <c r="G450" s="127"/>
      <c r="H450" s="127"/>
      <c r="I450" s="58" t="str" cm="1">
        <f>IFERROR(IF(ISBLANK($A450),"",INDEX(Array_StationaryCharges,MATCH($A450,List_StationaryFuelMeters,0),ROUNDUP((COLUMN()+1)/3-2,0))),"")</f>
        <v/>
      </c>
      <c r="J450" s="127"/>
      <c r="K450" s="127"/>
      <c r="L450" s="58" t="str" cm="1">
        <f>IFERROR(IF(ISBLANK($A450),"",INDEX(Array_StationaryCharges,MATCH($A450,List_StationaryFuelMeters,0),ROUNDUP((COLUMN()+1)/3-2,0))),"")</f>
        <v/>
      </c>
      <c r="M450" s="127"/>
      <c r="N450" s="127"/>
      <c r="O450" s="58" t="str" cm="1">
        <f>IFERROR(IF(ISBLANK($A450),"",INDEX(Array_StationaryCharges,MATCH($A450,List_StationaryFuelMeters,0),ROUNDUP((COLUMN()+1)/3-2,0))),"")</f>
        <v/>
      </c>
      <c r="P450" s="127"/>
      <c r="Q450" s="127"/>
      <c r="R450" s="58" t="str" cm="1">
        <f>IFERROR(IF(ISBLANK($A450),"",INDEX(Array_StationaryCharges,MATCH($A450,List_StationaryFuelMeters,0),ROUNDUP((COLUMN()+1)/3-2,0))),"")</f>
        <v/>
      </c>
      <c r="S450" s="127"/>
      <c r="T450" s="127"/>
      <c r="U450" s="58" t="str" cm="1">
        <f>IFERROR(IF(ISBLANK($A450),"",INDEX(Array_StationaryCharges,MATCH($A450,List_StationaryFuelMeters,0),ROUNDUP((COLUMN()+1)/3-2,0))),"")</f>
        <v/>
      </c>
      <c r="V450" s="127"/>
      <c r="W450" s="127"/>
      <c r="X450" s="58" t="str" cm="1">
        <f>IFERROR(IF(ISBLANK($A450),"",INDEX(Array_StationaryCharges,MATCH($A450,List_StationaryFuelMeters,0),ROUNDUP((COLUMN()+1)/3-2,0))),"")</f>
        <v/>
      </c>
      <c r="Y450" s="127"/>
      <c r="Z450" s="127"/>
      <c r="AA450" s="58" t="str" cm="1">
        <f>IFERROR(IF(ISBLANK($A450),"",INDEX(Array_StationaryCharges,MATCH($A450,List_StationaryFuelMeters,0),ROUNDUP((COLUMN()+1)/3-2,0))),"")</f>
        <v/>
      </c>
      <c r="AB450" s="127"/>
      <c r="AC450" s="127"/>
      <c r="AD450" s="58" t="str" cm="1">
        <f>IFERROR(IF(ISBLANK($A450),"",INDEX(Array_StationaryCharges,MATCH($A450,List_StationaryFuelMeters,0),ROUNDUP((COLUMN()+1)/3-2,0))),"")</f>
        <v/>
      </c>
      <c r="AE450" s="127"/>
      <c r="AF450" s="127"/>
      <c r="AG450" s="58" t="str" cm="1">
        <f>IFERROR(IF(ISBLANK($A450),"",INDEX(Array_StationaryCharges,MATCH($A450,List_StationaryFuelMeters,0),ROUNDUP((COLUMN()+1)/3-2,0))),"")</f>
        <v/>
      </c>
      <c r="AH450" s="127"/>
      <c r="AI450" s="127"/>
      <c r="AJ450" s="58" t="str" cm="1">
        <f>IFERROR(IF(ISBLANK($A450),"",INDEX(Array_StationaryCharges,MATCH($A450,List_StationaryFuelMeters,0),ROUNDUP((COLUMN()+1)/3-2,0))),"")</f>
        <v/>
      </c>
      <c r="AK450" s="127"/>
      <c r="AL450" s="127"/>
      <c r="AM450" s="58" t="str" cm="1">
        <f>IFERROR(IF(ISBLANK($A450),"",INDEX(Array_StationaryCharges,MATCH($A450,List_StationaryFuelMeters,0),ROUNDUP((COLUMN()+1)/3-2,0))),"")</f>
        <v/>
      </c>
      <c r="AN450" s="127"/>
      <c r="AO450" s="127"/>
      <c r="AP450" s="58" t="str" cm="1">
        <f>IFERROR(IF(ISBLANK($A450),"",INDEX(Array_StationaryCharges,MATCH($A450,List_StationaryFuelMeters,0),ROUNDUP((COLUMN()+1)/3-2,0))),"")</f>
        <v/>
      </c>
      <c r="AQ450" s="127"/>
      <c r="AR450" s="127"/>
      <c r="AS450" s="58" t="str" cm="1">
        <f>IFERROR(IF(ISBLANK($A450),"",INDEX(Array_StationaryCharges,MATCH($A450,List_StationaryFuelMeters,0),ROUNDUP((COLUMN()+1)/3-2,0))),"")</f>
        <v/>
      </c>
      <c r="AT450" s="127"/>
      <c r="AU450" s="127"/>
      <c r="AV450" s="58" t="str" cm="1">
        <f>IFERROR(IF(ISBLANK($A450),"",INDEX(Array_StationaryCharges,MATCH($A450,List_StationaryFuelMeters,0),ROUNDUP((COLUMN()+1)/3-2,0))),"")</f>
        <v/>
      </c>
      <c r="AW450" s="127"/>
      <c r="AX450" s="127"/>
    </row>
    <row r="451" spans="1:50" x14ac:dyDescent="0.3">
      <c r="A451" s="126"/>
      <c r="B451" s="133"/>
      <c r="C451" s="127"/>
      <c r="D451" s="138"/>
      <c r="E451" s="138"/>
      <c r="F451" s="58" t="str" cm="1">
        <f>IFERROR(IF(ISBLANK($A451),"",INDEX(Array_StationaryCharges,MATCH($A451,List_StationaryFuelMeters,0),ROUNDUP((COLUMN()+1)/3-2,0))),"")</f>
        <v/>
      </c>
      <c r="G451" s="127"/>
      <c r="H451" s="127"/>
      <c r="I451" s="58" t="str" cm="1">
        <f>IFERROR(IF(ISBLANK($A451),"",INDEX(Array_StationaryCharges,MATCH($A451,List_StationaryFuelMeters,0),ROUNDUP((COLUMN()+1)/3-2,0))),"")</f>
        <v/>
      </c>
      <c r="J451" s="127"/>
      <c r="K451" s="127"/>
      <c r="L451" s="58" t="str" cm="1">
        <f>IFERROR(IF(ISBLANK($A451),"",INDEX(Array_StationaryCharges,MATCH($A451,List_StationaryFuelMeters,0),ROUNDUP((COLUMN()+1)/3-2,0))),"")</f>
        <v/>
      </c>
      <c r="M451" s="127"/>
      <c r="N451" s="127"/>
      <c r="O451" s="58" t="str" cm="1">
        <f>IFERROR(IF(ISBLANK($A451),"",INDEX(Array_StationaryCharges,MATCH($A451,List_StationaryFuelMeters,0),ROUNDUP((COLUMN()+1)/3-2,0))),"")</f>
        <v/>
      </c>
      <c r="P451" s="127"/>
      <c r="Q451" s="127"/>
      <c r="R451" s="58" t="str" cm="1">
        <f>IFERROR(IF(ISBLANK($A451),"",INDEX(Array_StationaryCharges,MATCH($A451,List_StationaryFuelMeters,0),ROUNDUP((COLUMN()+1)/3-2,0))),"")</f>
        <v/>
      </c>
      <c r="S451" s="127"/>
      <c r="T451" s="127"/>
      <c r="U451" s="58" t="str" cm="1">
        <f>IFERROR(IF(ISBLANK($A451),"",INDEX(Array_StationaryCharges,MATCH($A451,List_StationaryFuelMeters,0),ROUNDUP((COLUMN()+1)/3-2,0))),"")</f>
        <v/>
      </c>
      <c r="V451" s="127"/>
      <c r="W451" s="127"/>
      <c r="X451" s="58" t="str" cm="1">
        <f>IFERROR(IF(ISBLANK($A451),"",INDEX(Array_StationaryCharges,MATCH($A451,List_StationaryFuelMeters,0),ROUNDUP((COLUMN()+1)/3-2,0))),"")</f>
        <v/>
      </c>
      <c r="Y451" s="127"/>
      <c r="Z451" s="127"/>
      <c r="AA451" s="58" t="str" cm="1">
        <f>IFERROR(IF(ISBLANK($A451),"",INDEX(Array_StationaryCharges,MATCH($A451,List_StationaryFuelMeters,0),ROUNDUP((COLUMN()+1)/3-2,0))),"")</f>
        <v/>
      </c>
      <c r="AB451" s="127"/>
      <c r="AC451" s="127"/>
      <c r="AD451" s="58" t="str" cm="1">
        <f>IFERROR(IF(ISBLANK($A451),"",INDEX(Array_StationaryCharges,MATCH($A451,List_StationaryFuelMeters,0),ROUNDUP((COLUMN()+1)/3-2,0))),"")</f>
        <v/>
      </c>
      <c r="AE451" s="127"/>
      <c r="AF451" s="127"/>
      <c r="AG451" s="58" t="str" cm="1">
        <f>IFERROR(IF(ISBLANK($A451),"",INDEX(Array_StationaryCharges,MATCH($A451,List_StationaryFuelMeters,0),ROUNDUP((COLUMN()+1)/3-2,0))),"")</f>
        <v/>
      </c>
      <c r="AH451" s="127"/>
      <c r="AI451" s="127"/>
      <c r="AJ451" s="58" t="str" cm="1">
        <f>IFERROR(IF(ISBLANK($A451),"",INDEX(Array_StationaryCharges,MATCH($A451,List_StationaryFuelMeters,0),ROUNDUP((COLUMN()+1)/3-2,0))),"")</f>
        <v/>
      </c>
      <c r="AK451" s="127"/>
      <c r="AL451" s="127"/>
      <c r="AM451" s="58" t="str" cm="1">
        <f>IFERROR(IF(ISBLANK($A451),"",INDEX(Array_StationaryCharges,MATCH($A451,List_StationaryFuelMeters,0),ROUNDUP((COLUMN()+1)/3-2,0))),"")</f>
        <v/>
      </c>
      <c r="AN451" s="127"/>
      <c r="AO451" s="127"/>
      <c r="AP451" s="58" t="str" cm="1">
        <f>IFERROR(IF(ISBLANK($A451),"",INDEX(Array_StationaryCharges,MATCH($A451,List_StationaryFuelMeters,0),ROUNDUP((COLUMN()+1)/3-2,0))),"")</f>
        <v/>
      </c>
      <c r="AQ451" s="127"/>
      <c r="AR451" s="127"/>
      <c r="AS451" s="58" t="str" cm="1">
        <f>IFERROR(IF(ISBLANK($A451),"",INDEX(Array_StationaryCharges,MATCH($A451,List_StationaryFuelMeters,0),ROUNDUP((COLUMN()+1)/3-2,0))),"")</f>
        <v/>
      </c>
      <c r="AT451" s="127"/>
      <c r="AU451" s="127"/>
      <c r="AV451" s="58" t="str" cm="1">
        <f>IFERROR(IF(ISBLANK($A451),"",INDEX(Array_StationaryCharges,MATCH($A451,List_StationaryFuelMeters,0),ROUNDUP((COLUMN()+1)/3-2,0))),"")</f>
        <v/>
      </c>
      <c r="AW451" s="127"/>
      <c r="AX451" s="127"/>
    </row>
    <row r="452" spans="1:50" x14ac:dyDescent="0.3">
      <c r="A452" s="126"/>
      <c r="B452" s="133"/>
      <c r="C452" s="127"/>
      <c r="D452" s="138"/>
      <c r="E452" s="138"/>
      <c r="F452" s="58" t="str" cm="1">
        <f>IFERROR(IF(ISBLANK($A452),"",INDEX(Array_StationaryCharges,MATCH($A452,List_StationaryFuelMeters,0),ROUNDUP((COLUMN()+1)/3-2,0))),"")</f>
        <v/>
      </c>
      <c r="G452" s="127"/>
      <c r="H452" s="127"/>
      <c r="I452" s="58" t="str" cm="1">
        <f>IFERROR(IF(ISBLANK($A452),"",INDEX(Array_StationaryCharges,MATCH($A452,List_StationaryFuelMeters,0),ROUNDUP((COLUMN()+1)/3-2,0))),"")</f>
        <v/>
      </c>
      <c r="J452" s="127"/>
      <c r="K452" s="127"/>
      <c r="L452" s="58" t="str" cm="1">
        <f>IFERROR(IF(ISBLANK($A452),"",INDEX(Array_StationaryCharges,MATCH($A452,List_StationaryFuelMeters,0),ROUNDUP((COLUMN()+1)/3-2,0))),"")</f>
        <v/>
      </c>
      <c r="M452" s="127"/>
      <c r="N452" s="127"/>
      <c r="O452" s="58" t="str" cm="1">
        <f>IFERROR(IF(ISBLANK($A452),"",INDEX(Array_StationaryCharges,MATCH($A452,List_StationaryFuelMeters,0),ROUNDUP((COLUMN()+1)/3-2,0))),"")</f>
        <v/>
      </c>
      <c r="P452" s="127"/>
      <c r="Q452" s="127"/>
      <c r="R452" s="58" t="str" cm="1">
        <f>IFERROR(IF(ISBLANK($A452),"",INDEX(Array_StationaryCharges,MATCH($A452,List_StationaryFuelMeters,0),ROUNDUP((COLUMN()+1)/3-2,0))),"")</f>
        <v/>
      </c>
      <c r="S452" s="127"/>
      <c r="T452" s="127"/>
      <c r="U452" s="58" t="str" cm="1">
        <f>IFERROR(IF(ISBLANK($A452),"",INDEX(Array_StationaryCharges,MATCH($A452,List_StationaryFuelMeters,0),ROUNDUP((COLUMN()+1)/3-2,0))),"")</f>
        <v/>
      </c>
      <c r="V452" s="127"/>
      <c r="W452" s="127"/>
      <c r="X452" s="58" t="str" cm="1">
        <f>IFERROR(IF(ISBLANK($A452),"",INDEX(Array_StationaryCharges,MATCH($A452,List_StationaryFuelMeters,0),ROUNDUP((COLUMN()+1)/3-2,0))),"")</f>
        <v/>
      </c>
      <c r="Y452" s="127"/>
      <c r="Z452" s="127"/>
      <c r="AA452" s="58" t="str" cm="1">
        <f>IFERROR(IF(ISBLANK($A452),"",INDEX(Array_StationaryCharges,MATCH($A452,List_StationaryFuelMeters,0),ROUNDUP((COLUMN()+1)/3-2,0))),"")</f>
        <v/>
      </c>
      <c r="AB452" s="127"/>
      <c r="AC452" s="127"/>
      <c r="AD452" s="58" t="str" cm="1">
        <f>IFERROR(IF(ISBLANK($A452),"",INDEX(Array_StationaryCharges,MATCH($A452,List_StationaryFuelMeters,0),ROUNDUP((COLUMN()+1)/3-2,0))),"")</f>
        <v/>
      </c>
      <c r="AE452" s="127"/>
      <c r="AF452" s="127"/>
      <c r="AG452" s="58" t="str" cm="1">
        <f>IFERROR(IF(ISBLANK($A452),"",INDEX(Array_StationaryCharges,MATCH($A452,List_StationaryFuelMeters,0),ROUNDUP((COLUMN()+1)/3-2,0))),"")</f>
        <v/>
      </c>
      <c r="AH452" s="127"/>
      <c r="AI452" s="127"/>
      <c r="AJ452" s="58" t="str" cm="1">
        <f>IFERROR(IF(ISBLANK($A452),"",INDEX(Array_StationaryCharges,MATCH($A452,List_StationaryFuelMeters,0),ROUNDUP((COLUMN()+1)/3-2,0))),"")</f>
        <v/>
      </c>
      <c r="AK452" s="127"/>
      <c r="AL452" s="127"/>
      <c r="AM452" s="58" t="str" cm="1">
        <f>IFERROR(IF(ISBLANK($A452),"",INDEX(Array_StationaryCharges,MATCH($A452,List_StationaryFuelMeters,0),ROUNDUP((COLUMN()+1)/3-2,0))),"")</f>
        <v/>
      </c>
      <c r="AN452" s="127"/>
      <c r="AO452" s="127"/>
      <c r="AP452" s="58" t="str" cm="1">
        <f>IFERROR(IF(ISBLANK($A452),"",INDEX(Array_StationaryCharges,MATCH($A452,List_StationaryFuelMeters,0),ROUNDUP((COLUMN()+1)/3-2,0))),"")</f>
        <v/>
      </c>
      <c r="AQ452" s="127"/>
      <c r="AR452" s="127"/>
      <c r="AS452" s="58" t="str" cm="1">
        <f>IFERROR(IF(ISBLANK($A452),"",INDEX(Array_StationaryCharges,MATCH($A452,List_StationaryFuelMeters,0),ROUNDUP((COLUMN()+1)/3-2,0))),"")</f>
        <v/>
      </c>
      <c r="AT452" s="127"/>
      <c r="AU452" s="127"/>
      <c r="AV452" s="58" t="str" cm="1">
        <f>IFERROR(IF(ISBLANK($A452),"",INDEX(Array_StationaryCharges,MATCH($A452,List_StationaryFuelMeters,0),ROUNDUP((COLUMN()+1)/3-2,0))),"")</f>
        <v/>
      </c>
      <c r="AW452" s="127"/>
      <c r="AX452" s="127"/>
    </row>
    <row r="453" spans="1:50" x14ac:dyDescent="0.3">
      <c r="A453" s="126"/>
      <c r="B453" s="133"/>
      <c r="C453" s="127"/>
      <c r="D453" s="138"/>
      <c r="E453" s="138"/>
      <c r="F453" s="58" t="str" cm="1">
        <f>IFERROR(IF(ISBLANK($A453),"",INDEX(Array_StationaryCharges,MATCH($A453,List_StationaryFuelMeters,0),ROUNDUP((COLUMN()+1)/3-2,0))),"")</f>
        <v/>
      </c>
      <c r="G453" s="127"/>
      <c r="H453" s="127"/>
      <c r="I453" s="58" t="str" cm="1">
        <f>IFERROR(IF(ISBLANK($A453),"",INDEX(Array_StationaryCharges,MATCH($A453,List_StationaryFuelMeters,0),ROUNDUP((COLUMN()+1)/3-2,0))),"")</f>
        <v/>
      </c>
      <c r="J453" s="127"/>
      <c r="K453" s="127"/>
      <c r="L453" s="58" t="str" cm="1">
        <f>IFERROR(IF(ISBLANK($A453),"",INDEX(Array_StationaryCharges,MATCH($A453,List_StationaryFuelMeters,0),ROUNDUP((COLUMN()+1)/3-2,0))),"")</f>
        <v/>
      </c>
      <c r="M453" s="127"/>
      <c r="N453" s="127"/>
      <c r="O453" s="58" t="str" cm="1">
        <f>IFERROR(IF(ISBLANK($A453),"",INDEX(Array_StationaryCharges,MATCH($A453,List_StationaryFuelMeters,0),ROUNDUP((COLUMN()+1)/3-2,0))),"")</f>
        <v/>
      </c>
      <c r="P453" s="127"/>
      <c r="Q453" s="127"/>
      <c r="R453" s="58" t="str" cm="1">
        <f>IFERROR(IF(ISBLANK($A453),"",INDEX(Array_StationaryCharges,MATCH($A453,List_StationaryFuelMeters,0),ROUNDUP((COLUMN()+1)/3-2,0))),"")</f>
        <v/>
      </c>
      <c r="S453" s="127"/>
      <c r="T453" s="127"/>
      <c r="U453" s="58" t="str" cm="1">
        <f>IFERROR(IF(ISBLANK($A453),"",INDEX(Array_StationaryCharges,MATCH($A453,List_StationaryFuelMeters,0),ROUNDUP((COLUMN()+1)/3-2,0))),"")</f>
        <v/>
      </c>
      <c r="V453" s="127"/>
      <c r="W453" s="127"/>
      <c r="X453" s="58" t="str" cm="1">
        <f>IFERROR(IF(ISBLANK($A453),"",INDEX(Array_StationaryCharges,MATCH($A453,List_StationaryFuelMeters,0),ROUNDUP((COLUMN()+1)/3-2,0))),"")</f>
        <v/>
      </c>
      <c r="Y453" s="127"/>
      <c r="Z453" s="127"/>
      <c r="AA453" s="58" t="str" cm="1">
        <f>IFERROR(IF(ISBLANK($A453),"",INDEX(Array_StationaryCharges,MATCH($A453,List_StationaryFuelMeters,0),ROUNDUP((COLUMN()+1)/3-2,0))),"")</f>
        <v/>
      </c>
      <c r="AB453" s="127"/>
      <c r="AC453" s="127"/>
      <c r="AD453" s="58" t="str" cm="1">
        <f>IFERROR(IF(ISBLANK($A453),"",INDEX(Array_StationaryCharges,MATCH($A453,List_StationaryFuelMeters,0),ROUNDUP((COLUMN()+1)/3-2,0))),"")</f>
        <v/>
      </c>
      <c r="AE453" s="127"/>
      <c r="AF453" s="127"/>
      <c r="AG453" s="58" t="str" cm="1">
        <f>IFERROR(IF(ISBLANK($A453),"",INDEX(Array_StationaryCharges,MATCH($A453,List_StationaryFuelMeters,0),ROUNDUP((COLUMN()+1)/3-2,0))),"")</f>
        <v/>
      </c>
      <c r="AH453" s="127"/>
      <c r="AI453" s="127"/>
      <c r="AJ453" s="58" t="str" cm="1">
        <f>IFERROR(IF(ISBLANK($A453),"",INDEX(Array_StationaryCharges,MATCH($A453,List_StationaryFuelMeters,0),ROUNDUP((COLUMN()+1)/3-2,0))),"")</f>
        <v/>
      </c>
      <c r="AK453" s="127"/>
      <c r="AL453" s="127"/>
      <c r="AM453" s="58" t="str" cm="1">
        <f>IFERROR(IF(ISBLANK($A453),"",INDEX(Array_StationaryCharges,MATCH($A453,List_StationaryFuelMeters,0),ROUNDUP((COLUMN()+1)/3-2,0))),"")</f>
        <v/>
      </c>
      <c r="AN453" s="127"/>
      <c r="AO453" s="127"/>
      <c r="AP453" s="58" t="str" cm="1">
        <f>IFERROR(IF(ISBLANK($A453),"",INDEX(Array_StationaryCharges,MATCH($A453,List_StationaryFuelMeters,0),ROUNDUP((COLUMN()+1)/3-2,0))),"")</f>
        <v/>
      </c>
      <c r="AQ453" s="127"/>
      <c r="AR453" s="127"/>
      <c r="AS453" s="58" t="str" cm="1">
        <f>IFERROR(IF(ISBLANK($A453),"",INDEX(Array_StationaryCharges,MATCH($A453,List_StationaryFuelMeters,0),ROUNDUP((COLUMN()+1)/3-2,0))),"")</f>
        <v/>
      </c>
      <c r="AT453" s="127"/>
      <c r="AU453" s="127"/>
      <c r="AV453" s="58" t="str" cm="1">
        <f>IFERROR(IF(ISBLANK($A453),"",INDEX(Array_StationaryCharges,MATCH($A453,List_StationaryFuelMeters,0),ROUNDUP((COLUMN()+1)/3-2,0))),"")</f>
        <v/>
      </c>
      <c r="AW453" s="127"/>
      <c r="AX453" s="127"/>
    </row>
    <row r="454" spans="1:50" x14ac:dyDescent="0.3">
      <c r="A454" s="126"/>
      <c r="B454" s="133"/>
      <c r="C454" s="127"/>
      <c r="D454" s="138"/>
      <c r="E454" s="138"/>
      <c r="F454" s="58" t="str" cm="1">
        <f>IFERROR(IF(ISBLANK($A454),"",INDEX(Array_StationaryCharges,MATCH($A454,List_StationaryFuelMeters,0),ROUNDUP((COLUMN()+1)/3-2,0))),"")</f>
        <v/>
      </c>
      <c r="G454" s="127"/>
      <c r="H454" s="127"/>
      <c r="I454" s="58" t="str" cm="1">
        <f>IFERROR(IF(ISBLANK($A454),"",INDEX(Array_StationaryCharges,MATCH($A454,List_StationaryFuelMeters,0),ROUNDUP((COLUMN()+1)/3-2,0))),"")</f>
        <v/>
      </c>
      <c r="J454" s="127"/>
      <c r="K454" s="127"/>
      <c r="L454" s="58" t="str" cm="1">
        <f>IFERROR(IF(ISBLANK($A454),"",INDEX(Array_StationaryCharges,MATCH($A454,List_StationaryFuelMeters,0),ROUNDUP((COLUMN()+1)/3-2,0))),"")</f>
        <v/>
      </c>
      <c r="M454" s="127"/>
      <c r="N454" s="127"/>
      <c r="O454" s="58" t="str" cm="1">
        <f>IFERROR(IF(ISBLANK($A454),"",INDEX(Array_StationaryCharges,MATCH($A454,List_StationaryFuelMeters,0),ROUNDUP((COLUMN()+1)/3-2,0))),"")</f>
        <v/>
      </c>
      <c r="P454" s="127"/>
      <c r="Q454" s="127"/>
      <c r="R454" s="58" t="str" cm="1">
        <f>IFERROR(IF(ISBLANK($A454),"",INDEX(Array_StationaryCharges,MATCH($A454,List_StationaryFuelMeters,0),ROUNDUP((COLUMN()+1)/3-2,0))),"")</f>
        <v/>
      </c>
      <c r="S454" s="127"/>
      <c r="T454" s="127"/>
      <c r="U454" s="58" t="str" cm="1">
        <f>IFERROR(IF(ISBLANK($A454),"",INDEX(Array_StationaryCharges,MATCH($A454,List_StationaryFuelMeters,0),ROUNDUP((COLUMN()+1)/3-2,0))),"")</f>
        <v/>
      </c>
      <c r="V454" s="127"/>
      <c r="W454" s="127"/>
      <c r="X454" s="58" t="str" cm="1">
        <f>IFERROR(IF(ISBLANK($A454),"",INDEX(Array_StationaryCharges,MATCH($A454,List_StationaryFuelMeters,0),ROUNDUP((COLUMN()+1)/3-2,0))),"")</f>
        <v/>
      </c>
      <c r="Y454" s="127"/>
      <c r="Z454" s="127"/>
      <c r="AA454" s="58" t="str" cm="1">
        <f>IFERROR(IF(ISBLANK($A454),"",INDEX(Array_StationaryCharges,MATCH($A454,List_StationaryFuelMeters,0),ROUNDUP((COLUMN()+1)/3-2,0))),"")</f>
        <v/>
      </c>
      <c r="AB454" s="127"/>
      <c r="AC454" s="127"/>
      <c r="AD454" s="58" t="str" cm="1">
        <f>IFERROR(IF(ISBLANK($A454),"",INDEX(Array_StationaryCharges,MATCH($A454,List_StationaryFuelMeters,0),ROUNDUP((COLUMN()+1)/3-2,0))),"")</f>
        <v/>
      </c>
      <c r="AE454" s="127"/>
      <c r="AF454" s="127"/>
      <c r="AG454" s="58" t="str" cm="1">
        <f>IFERROR(IF(ISBLANK($A454),"",INDEX(Array_StationaryCharges,MATCH($A454,List_StationaryFuelMeters,0),ROUNDUP((COLUMN()+1)/3-2,0))),"")</f>
        <v/>
      </c>
      <c r="AH454" s="127"/>
      <c r="AI454" s="127"/>
      <c r="AJ454" s="58" t="str" cm="1">
        <f>IFERROR(IF(ISBLANK($A454),"",INDEX(Array_StationaryCharges,MATCH($A454,List_StationaryFuelMeters,0),ROUNDUP((COLUMN()+1)/3-2,0))),"")</f>
        <v/>
      </c>
      <c r="AK454" s="127"/>
      <c r="AL454" s="127"/>
      <c r="AM454" s="58" t="str" cm="1">
        <f>IFERROR(IF(ISBLANK($A454),"",INDEX(Array_StationaryCharges,MATCH($A454,List_StationaryFuelMeters,0),ROUNDUP((COLUMN()+1)/3-2,0))),"")</f>
        <v/>
      </c>
      <c r="AN454" s="127"/>
      <c r="AO454" s="127"/>
      <c r="AP454" s="58" t="str" cm="1">
        <f>IFERROR(IF(ISBLANK($A454),"",INDEX(Array_StationaryCharges,MATCH($A454,List_StationaryFuelMeters,0),ROUNDUP((COLUMN()+1)/3-2,0))),"")</f>
        <v/>
      </c>
      <c r="AQ454" s="127"/>
      <c r="AR454" s="127"/>
      <c r="AS454" s="58" t="str" cm="1">
        <f>IFERROR(IF(ISBLANK($A454),"",INDEX(Array_StationaryCharges,MATCH($A454,List_StationaryFuelMeters,0),ROUNDUP((COLUMN()+1)/3-2,0))),"")</f>
        <v/>
      </c>
      <c r="AT454" s="127"/>
      <c r="AU454" s="127"/>
      <c r="AV454" s="58" t="str" cm="1">
        <f>IFERROR(IF(ISBLANK($A454),"",INDEX(Array_StationaryCharges,MATCH($A454,List_StationaryFuelMeters,0),ROUNDUP((COLUMN()+1)/3-2,0))),"")</f>
        <v/>
      </c>
      <c r="AW454" s="127"/>
      <c r="AX454" s="127"/>
    </row>
    <row r="455" spans="1:50" x14ac:dyDescent="0.3">
      <c r="A455" s="126"/>
      <c r="B455" s="133"/>
      <c r="C455" s="127"/>
      <c r="D455" s="138"/>
      <c r="E455" s="138"/>
      <c r="F455" s="58" t="str" cm="1">
        <f>IFERROR(IF(ISBLANK($A455),"",INDEX(Array_StationaryCharges,MATCH($A455,List_StationaryFuelMeters,0),ROUNDUP((COLUMN()+1)/3-2,0))),"")</f>
        <v/>
      </c>
      <c r="G455" s="127"/>
      <c r="H455" s="127"/>
      <c r="I455" s="58" t="str" cm="1">
        <f>IFERROR(IF(ISBLANK($A455),"",INDEX(Array_StationaryCharges,MATCH($A455,List_StationaryFuelMeters,0),ROUNDUP((COLUMN()+1)/3-2,0))),"")</f>
        <v/>
      </c>
      <c r="J455" s="127"/>
      <c r="K455" s="127"/>
      <c r="L455" s="58" t="str" cm="1">
        <f>IFERROR(IF(ISBLANK($A455),"",INDEX(Array_StationaryCharges,MATCH($A455,List_StationaryFuelMeters,0),ROUNDUP((COLUMN()+1)/3-2,0))),"")</f>
        <v/>
      </c>
      <c r="M455" s="127"/>
      <c r="N455" s="127"/>
      <c r="O455" s="58" t="str" cm="1">
        <f>IFERROR(IF(ISBLANK($A455),"",INDEX(Array_StationaryCharges,MATCH($A455,List_StationaryFuelMeters,0),ROUNDUP((COLUMN()+1)/3-2,0))),"")</f>
        <v/>
      </c>
      <c r="P455" s="127"/>
      <c r="Q455" s="127"/>
      <c r="R455" s="58" t="str" cm="1">
        <f>IFERROR(IF(ISBLANK($A455),"",INDEX(Array_StationaryCharges,MATCH($A455,List_StationaryFuelMeters,0),ROUNDUP((COLUMN()+1)/3-2,0))),"")</f>
        <v/>
      </c>
      <c r="S455" s="127"/>
      <c r="T455" s="127"/>
      <c r="U455" s="58" t="str" cm="1">
        <f>IFERROR(IF(ISBLANK($A455),"",INDEX(Array_StationaryCharges,MATCH($A455,List_StationaryFuelMeters,0),ROUNDUP((COLUMN()+1)/3-2,0))),"")</f>
        <v/>
      </c>
      <c r="V455" s="127"/>
      <c r="W455" s="127"/>
      <c r="X455" s="58" t="str" cm="1">
        <f>IFERROR(IF(ISBLANK($A455),"",INDEX(Array_StationaryCharges,MATCH($A455,List_StationaryFuelMeters,0),ROUNDUP((COLUMN()+1)/3-2,0))),"")</f>
        <v/>
      </c>
      <c r="Y455" s="127"/>
      <c r="Z455" s="127"/>
      <c r="AA455" s="58" t="str" cm="1">
        <f>IFERROR(IF(ISBLANK($A455),"",INDEX(Array_StationaryCharges,MATCH($A455,List_StationaryFuelMeters,0),ROUNDUP((COLUMN()+1)/3-2,0))),"")</f>
        <v/>
      </c>
      <c r="AB455" s="127"/>
      <c r="AC455" s="127"/>
      <c r="AD455" s="58" t="str" cm="1">
        <f>IFERROR(IF(ISBLANK($A455),"",INDEX(Array_StationaryCharges,MATCH($A455,List_StationaryFuelMeters,0),ROUNDUP((COLUMN()+1)/3-2,0))),"")</f>
        <v/>
      </c>
      <c r="AE455" s="127"/>
      <c r="AF455" s="127"/>
      <c r="AG455" s="58" t="str" cm="1">
        <f>IFERROR(IF(ISBLANK($A455),"",INDEX(Array_StationaryCharges,MATCH($A455,List_StationaryFuelMeters,0),ROUNDUP((COLUMN()+1)/3-2,0))),"")</f>
        <v/>
      </c>
      <c r="AH455" s="127"/>
      <c r="AI455" s="127"/>
      <c r="AJ455" s="58" t="str" cm="1">
        <f>IFERROR(IF(ISBLANK($A455),"",INDEX(Array_StationaryCharges,MATCH($A455,List_StationaryFuelMeters,0),ROUNDUP((COLUMN()+1)/3-2,0))),"")</f>
        <v/>
      </c>
      <c r="AK455" s="127"/>
      <c r="AL455" s="127"/>
      <c r="AM455" s="58" t="str" cm="1">
        <f>IFERROR(IF(ISBLANK($A455),"",INDEX(Array_StationaryCharges,MATCH($A455,List_StationaryFuelMeters,0),ROUNDUP((COLUMN()+1)/3-2,0))),"")</f>
        <v/>
      </c>
      <c r="AN455" s="127"/>
      <c r="AO455" s="127"/>
      <c r="AP455" s="58" t="str" cm="1">
        <f>IFERROR(IF(ISBLANK($A455),"",INDEX(Array_StationaryCharges,MATCH($A455,List_StationaryFuelMeters,0),ROUNDUP((COLUMN()+1)/3-2,0))),"")</f>
        <v/>
      </c>
      <c r="AQ455" s="127"/>
      <c r="AR455" s="127"/>
      <c r="AS455" s="58" t="str" cm="1">
        <f>IFERROR(IF(ISBLANK($A455),"",INDEX(Array_StationaryCharges,MATCH($A455,List_StationaryFuelMeters,0),ROUNDUP((COLUMN()+1)/3-2,0))),"")</f>
        <v/>
      </c>
      <c r="AT455" s="127"/>
      <c r="AU455" s="127"/>
      <c r="AV455" s="58" t="str" cm="1">
        <f>IFERROR(IF(ISBLANK($A455),"",INDEX(Array_StationaryCharges,MATCH($A455,List_StationaryFuelMeters,0),ROUNDUP((COLUMN()+1)/3-2,0))),"")</f>
        <v/>
      </c>
      <c r="AW455" s="127"/>
      <c r="AX455" s="127"/>
    </row>
    <row r="456" spans="1:50" x14ac:dyDescent="0.3">
      <c r="A456" s="126"/>
      <c r="B456" s="133"/>
      <c r="C456" s="127"/>
      <c r="D456" s="138"/>
      <c r="E456" s="138"/>
      <c r="F456" s="58" t="str" cm="1">
        <f>IFERROR(IF(ISBLANK($A456),"",INDEX(Array_StationaryCharges,MATCH($A456,List_StationaryFuelMeters,0),ROUNDUP((COLUMN()+1)/3-2,0))),"")</f>
        <v/>
      </c>
      <c r="G456" s="127"/>
      <c r="H456" s="127"/>
      <c r="I456" s="58" t="str" cm="1">
        <f>IFERROR(IF(ISBLANK($A456),"",INDEX(Array_StationaryCharges,MATCH($A456,List_StationaryFuelMeters,0),ROUNDUP((COLUMN()+1)/3-2,0))),"")</f>
        <v/>
      </c>
      <c r="J456" s="127"/>
      <c r="K456" s="127"/>
      <c r="L456" s="58" t="str" cm="1">
        <f>IFERROR(IF(ISBLANK($A456),"",INDEX(Array_StationaryCharges,MATCH($A456,List_StationaryFuelMeters,0),ROUNDUP((COLUMN()+1)/3-2,0))),"")</f>
        <v/>
      </c>
      <c r="M456" s="127"/>
      <c r="N456" s="127"/>
      <c r="O456" s="58" t="str" cm="1">
        <f>IFERROR(IF(ISBLANK($A456),"",INDEX(Array_StationaryCharges,MATCH($A456,List_StationaryFuelMeters,0),ROUNDUP((COLUMN()+1)/3-2,0))),"")</f>
        <v/>
      </c>
      <c r="P456" s="127"/>
      <c r="Q456" s="127"/>
      <c r="R456" s="58" t="str" cm="1">
        <f>IFERROR(IF(ISBLANK($A456),"",INDEX(Array_StationaryCharges,MATCH($A456,List_StationaryFuelMeters,0),ROUNDUP((COLUMN()+1)/3-2,0))),"")</f>
        <v/>
      </c>
      <c r="S456" s="127"/>
      <c r="T456" s="127"/>
      <c r="U456" s="58" t="str" cm="1">
        <f>IFERROR(IF(ISBLANK($A456),"",INDEX(Array_StationaryCharges,MATCH($A456,List_StationaryFuelMeters,0),ROUNDUP((COLUMN()+1)/3-2,0))),"")</f>
        <v/>
      </c>
      <c r="V456" s="127"/>
      <c r="W456" s="127"/>
      <c r="X456" s="58" t="str" cm="1">
        <f>IFERROR(IF(ISBLANK($A456),"",INDEX(Array_StationaryCharges,MATCH($A456,List_StationaryFuelMeters,0),ROUNDUP((COLUMN()+1)/3-2,0))),"")</f>
        <v/>
      </c>
      <c r="Y456" s="127"/>
      <c r="Z456" s="127"/>
      <c r="AA456" s="58" t="str" cm="1">
        <f>IFERROR(IF(ISBLANK($A456),"",INDEX(Array_StationaryCharges,MATCH($A456,List_StationaryFuelMeters,0),ROUNDUP((COLUMN()+1)/3-2,0))),"")</f>
        <v/>
      </c>
      <c r="AB456" s="127"/>
      <c r="AC456" s="127"/>
      <c r="AD456" s="58" t="str" cm="1">
        <f>IFERROR(IF(ISBLANK($A456),"",INDEX(Array_StationaryCharges,MATCH($A456,List_StationaryFuelMeters,0),ROUNDUP((COLUMN()+1)/3-2,0))),"")</f>
        <v/>
      </c>
      <c r="AE456" s="127"/>
      <c r="AF456" s="127"/>
      <c r="AG456" s="58" t="str" cm="1">
        <f>IFERROR(IF(ISBLANK($A456),"",INDEX(Array_StationaryCharges,MATCH($A456,List_StationaryFuelMeters,0),ROUNDUP((COLUMN()+1)/3-2,0))),"")</f>
        <v/>
      </c>
      <c r="AH456" s="127"/>
      <c r="AI456" s="127"/>
      <c r="AJ456" s="58" t="str" cm="1">
        <f>IFERROR(IF(ISBLANK($A456),"",INDEX(Array_StationaryCharges,MATCH($A456,List_StationaryFuelMeters,0),ROUNDUP((COLUMN()+1)/3-2,0))),"")</f>
        <v/>
      </c>
      <c r="AK456" s="127"/>
      <c r="AL456" s="127"/>
      <c r="AM456" s="58" t="str" cm="1">
        <f>IFERROR(IF(ISBLANK($A456),"",INDEX(Array_StationaryCharges,MATCH($A456,List_StationaryFuelMeters,0),ROUNDUP((COLUMN()+1)/3-2,0))),"")</f>
        <v/>
      </c>
      <c r="AN456" s="127"/>
      <c r="AO456" s="127"/>
      <c r="AP456" s="58" t="str" cm="1">
        <f>IFERROR(IF(ISBLANK($A456),"",INDEX(Array_StationaryCharges,MATCH($A456,List_StationaryFuelMeters,0),ROUNDUP((COLUMN()+1)/3-2,0))),"")</f>
        <v/>
      </c>
      <c r="AQ456" s="127"/>
      <c r="AR456" s="127"/>
      <c r="AS456" s="58" t="str" cm="1">
        <f>IFERROR(IF(ISBLANK($A456),"",INDEX(Array_StationaryCharges,MATCH($A456,List_StationaryFuelMeters,0),ROUNDUP((COLUMN()+1)/3-2,0))),"")</f>
        <v/>
      </c>
      <c r="AT456" s="127"/>
      <c r="AU456" s="127"/>
      <c r="AV456" s="58" t="str" cm="1">
        <f>IFERROR(IF(ISBLANK($A456),"",INDEX(Array_StationaryCharges,MATCH($A456,List_StationaryFuelMeters,0),ROUNDUP((COLUMN()+1)/3-2,0))),"")</f>
        <v/>
      </c>
      <c r="AW456" s="127"/>
      <c r="AX456" s="127"/>
    </row>
    <row r="457" spans="1:50" x14ac:dyDescent="0.3">
      <c r="A457" s="126"/>
      <c r="B457" s="133"/>
      <c r="C457" s="127"/>
      <c r="D457" s="138"/>
      <c r="E457" s="138"/>
      <c r="F457" s="58" t="str" cm="1">
        <f>IFERROR(IF(ISBLANK($A457),"",INDEX(Array_StationaryCharges,MATCH($A457,List_StationaryFuelMeters,0),ROUNDUP((COLUMN()+1)/3-2,0))),"")</f>
        <v/>
      </c>
      <c r="G457" s="127"/>
      <c r="H457" s="127"/>
      <c r="I457" s="58" t="str" cm="1">
        <f>IFERROR(IF(ISBLANK($A457),"",INDEX(Array_StationaryCharges,MATCH($A457,List_StationaryFuelMeters,0),ROUNDUP((COLUMN()+1)/3-2,0))),"")</f>
        <v/>
      </c>
      <c r="J457" s="127"/>
      <c r="K457" s="127"/>
      <c r="L457" s="58" t="str" cm="1">
        <f>IFERROR(IF(ISBLANK($A457),"",INDEX(Array_StationaryCharges,MATCH($A457,List_StationaryFuelMeters,0),ROUNDUP((COLUMN()+1)/3-2,0))),"")</f>
        <v/>
      </c>
      <c r="M457" s="127"/>
      <c r="N457" s="127"/>
      <c r="O457" s="58" t="str" cm="1">
        <f>IFERROR(IF(ISBLANK($A457),"",INDEX(Array_StationaryCharges,MATCH($A457,List_StationaryFuelMeters,0),ROUNDUP((COLUMN()+1)/3-2,0))),"")</f>
        <v/>
      </c>
      <c r="P457" s="127"/>
      <c r="Q457" s="127"/>
      <c r="R457" s="58" t="str" cm="1">
        <f>IFERROR(IF(ISBLANK($A457),"",INDEX(Array_StationaryCharges,MATCH($A457,List_StationaryFuelMeters,0),ROUNDUP((COLUMN()+1)/3-2,0))),"")</f>
        <v/>
      </c>
      <c r="S457" s="127"/>
      <c r="T457" s="127"/>
      <c r="U457" s="58" t="str" cm="1">
        <f>IFERROR(IF(ISBLANK($A457),"",INDEX(Array_StationaryCharges,MATCH($A457,List_StationaryFuelMeters,0),ROUNDUP((COLUMN()+1)/3-2,0))),"")</f>
        <v/>
      </c>
      <c r="V457" s="127"/>
      <c r="W457" s="127"/>
      <c r="X457" s="58" t="str" cm="1">
        <f>IFERROR(IF(ISBLANK($A457),"",INDEX(Array_StationaryCharges,MATCH($A457,List_StationaryFuelMeters,0),ROUNDUP((COLUMN()+1)/3-2,0))),"")</f>
        <v/>
      </c>
      <c r="Y457" s="127"/>
      <c r="Z457" s="127"/>
      <c r="AA457" s="58" t="str" cm="1">
        <f>IFERROR(IF(ISBLANK($A457),"",INDEX(Array_StationaryCharges,MATCH($A457,List_StationaryFuelMeters,0),ROUNDUP((COLUMN()+1)/3-2,0))),"")</f>
        <v/>
      </c>
      <c r="AB457" s="127"/>
      <c r="AC457" s="127"/>
      <c r="AD457" s="58" t="str" cm="1">
        <f>IFERROR(IF(ISBLANK($A457),"",INDEX(Array_StationaryCharges,MATCH($A457,List_StationaryFuelMeters,0),ROUNDUP((COLUMN()+1)/3-2,0))),"")</f>
        <v/>
      </c>
      <c r="AE457" s="127"/>
      <c r="AF457" s="127"/>
      <c r="AG457" s="58" t="str" cm="1">
        <f>IFERROR(IF(ISBLANK($A457),"",INDEX(Array_StationaryCharges,MATCH($A457,List_StationaryFuelMeters,0),ROUNDUP((COLUMN()+1)/3-2,0))),"")</f>
        <v/>
      </c>
      <c r="AH457" s="127"/>
      <c r="AI457" s="127"/>
      <c r="AJ457" s="58" t="str" cm="1">
        <f>IFERROR(IF(ISBLANK($A457),"",INDEX(Array_StationaryCharges,MATCH($A457,List_StationaryFuelMeters,0),ROUNDUP((COLUMN()+1)/3-2,0))),"")</f>
        <v/>
      </c>
      <c r="AK457" s="127"/>
      <c r="AL457" s="127"/>
      <c r="AM457" s="58" t="str" cm="1">
        <f>IFERROR(IF(ISBLANK($A457),"",INDEX(Array_StationaryCharges,MATCH($A457,List_StationaryFuelMeters,0),ROUNDUP((COLUMN()+1)/3-2,0))),"")</f>
        <v/>
      </c>
      <c r="AN457" s="127"/>
      <c r="AO457" s="127"/>
      <c r="AP457" s="58" t="str" cm="1">
        <f>IFERROR(IF(ISBLANK($A457),"",INDEX(Array_StationaryCharges,MATCH($A457,List_StationaryFuelMeters,0),ROUNDUP((COLUMN()+1)/3-2,0))),"")</f>
        <v/>
      </c>
      <c r="AQ457" s="127"/>
      <c r="AR457" s="127"/>
      <c r="AS457" s="58" t="str" cm="1">
        <f>IFERROR(IF(ISBLANK($A457),"",INDEX(Array_StationaryCharges,MATCH($A457,List_StationaryFuelMeters,0),ROUNDUP((COLUMN()+1)/3-2,0))),"")</f>
        <v/>
      </c>
      <c r="AT457" s="127"/>
      <c r="AU457" s="127"/>
      <c r="AV457" s="58" t="str" cm="1">
        <f>IFERROR(IF(ISBLANK($A457),"",INDEX(Array_StationaryCharges,MATCH($A457,List_StationaryFuelMeters,0),ROUNDUP((COLUMN()+1)/3-2,0))),"")</f>
        <v/>
      </c>
      <c r="AW457" s="127"/>
      <c r="AX457" s="127"/>
    </row>
    <row r="458" spans="1:50" x14ac:dyDescent="0.3">
      <c r="A458" s="126"/>
      <c r="B458" s="133"/>
      <c r="C458" s="127"/>
      <c r="D458" s="138"/>
      <c r="E458" s="138"/>
      <c r="F458" s="58" t="str" cm="1">
        <f>IFERROR(IF(ISBLANK($A458),"",INDEX(Array_StationaryCharges,MATCH($A458,List_StationaryFuelMeters,0),ROUNDUP((COLUMN()+1)/3-2,0))),"")</f>
        <v/>
      </c>
      <c r="G458" s="127"/>
      <c r="H458" s="127"/>
      <c r="I458" s="58" t="str" cm="1">
        <f>IFERROR(IF(ISBLANK($A458),"",INDEX(Array_StationaryCharges,MATCH($A458,List_StationaryFuelMeters,0),ROUNDUP((COLUMN()+1)/3-2,0))),"")</f>
        <v/>
      </c>
      <c r="J458" s="127"/>
      <c r="K458" s="127"/>
      <c r="L458" s="58" t="str" cm="1">
        <f>IFERROR(IF(ISBLANK($A458),"",INDEX(Array_StationaryCharges,MATCH($A458,List_StationaryFuelMeters,0),ROUNDUP((COLUMN()+1)/3-2,0))),"")</f>
        <v/>
      </c>
      <c r="M458" s="127"/>
      <c r="N458" s="127"/>
      <c r="O458" s="58" t="str" cm="1">
        <f>IFERROR(IF(ISBLANK($A458),"",INDEX(Array_StationaryCharges,MATCH($A458,List_StationaryFuelMeters,0),ROUNDUP((COLUMN()+1)/3-2,0))),"")</f>
        <v/>
      </c>
      <c r="P458" s="127"/>
      <c r="Q458" s="127"/>
      <c r="R458" s="58" t="str" cm="1">
        <f>IFERROR(IF(ISBLANK($A458),"",INDEX(Array_StationaryCharges,MATCH($A458,List_StationaryFuelMeters,0),ROUNDUP((COLUMN()+1)/3-2,0))),"")</f>
        <v/>
      </c>
      <c r="S458" s="127"/>
      <c r="T458" s="127"/>
      <c r="U458" s="58" t="str" cm="1">
        <f>IFERROR(IF(ISBLANK($A458),"",INDEX(Array_StationaryCharges,MATCH($A458,List_StationaryFuelMeters,0),ROUNDUP((COLUMN()+1)/3-2,0))),"")</f>
        <v/>
      </c>
      <c r="V458" s="127"/>
      <c r="W458" s="127"/>
      <c r="X458" s="58" t="str" cm="1">
        <f>IFERROR(IF(ISBLANK($A458),"",INDEX(Array_StationaryCharges,MATCH($A458,List_StationaryFuelMeters,0),ROUNDUP((COLUMN()+1)/3-2,0))),"")</f>
        <v/>
      </c>
      <c r="Y458" s="127"/>
      <c r="Z458" s="127"/>
      <c r="AA458" s="58" t="str" cm="1">
        <f>IFERROR(IF(ISBLANK($A458),"",INDEX(Array_StationaryCharges,MATCH($A458,List_StationaryFuelMeters,0),ROUNDUP((COLUMN()+1)/3-2,0))),"")</f>
        <v/>
      </c>
      <c r="AB458" s="127"/>
      <c r="AC458" s="127"/>
      <c r="AD458" s="58" t="str" cm="1">
        <f>IFERROR(IF(ISBLANK($A458),"",INDEX(Array_StationaryCharges,MATCH($A458,List_StationaryFuelMeters,0),ROUNDUP((COLUMN()+1)/3-2,0))),"")</f>
        <v/>
      </c>
      <c r="AE458" s="127"/>
      <c r="AF458" s="127"/>
      <c r="AG458" s="58" t="str" cm="1">
        <f>IFERROR(IF(ISBLANK($A458),"",INDEX(Array_StationaryCharges,MATCH($A458,List_StationaryFuelMeters,0),ROUNDUP((COLUMN()+1)/3-2,0))),"")</f>
        <v/>
      </c>
      <c r="AH458" s="127"/>
      <c r="AI458" s="127"/>
      <c r="AJ458" s="58" t="str" cm="1">
        <f>IFERROR(IF(ISBLANK($A458),"",INDEX(Array_StationaryCharges,MATCH($A458,List_StationaryFuelMeters,0),ROUNDUP((COLUMN()+1)/3-2,0))),"")</f>
        <v/>
      </c>
      <c r="AK458" s="127"/>
      <c r="AL458" s="127"/>
      <c r="AM458" s="58" t="str" cm="1">
        <f>IFERROR(IF(ISBLANK($A458),"",INDEX(Array_StationaryCharges,MATCH($A458,List_StationaryFuelMeters,0),ROUNDUP((COLUMN()+1)/3-2,0))),"")</f>
        <v/>
      </c>
      <c r="AN458" s="127"/>
      <c r="AO458" s="127"/>
      <c r="AP458" s="58" t="str" cm="1">
        <f>IFERROR(IF(ISBLANK($A458),"",INDEX(Array_StationaryCharges,MATCH($A458,List_StationaryFuelMeters,0),ROUNDUP((COLUMN()+1)/3-2,0))),"")</f>
        <v/>
      </c>
      <c r="AQ458" s="127"/>
      <c r="AR458" s="127"/>
      <c r="AS458" s="58" t="str" cm="1">
        <f>IFERROR(IF(ISBLANK($A458),"",INDEX(Array_StationaryCharges,MATCH($A458,List_StationaryFuelMeters,0),ROUNDUP((COLUMN()+1)/3-2,0))),"")</f>
        <v/>
      </c>
      <c r="AT458" s="127"/>
      <c r="AU458" s="127"/>
      <c r="AV458" s="58" t="str" cm="1">
        <f>IFERROR(IF(ISBLANK($A458),"",INDEX(Array_StationaryCharges,MATCH($A458,List_StationaryFuelMeters,0),ROUNDUP((COLUMN()+1)/3-2,0))),"")</f>
        <v/>
      </c>
      <c r="AW458" s="127"/>
      <c r="AX458" s="127"/>
    </row>
    <row r="459" spans="1:50" x14ac:dyDescent="0.3">
      <c r="A459" s="126"/>
      <c r="B459" s="133"/>
      <c r="C459" s="127"/>
      <c r="D459" s="138"/>
      <c r="E459" s="138"/>
      <c r="F459" s="58" t="str" cm="1">
        <f>IFERROR(IF(ISBLANK($A459),"",INDEX(Array_StationaryCharges,MATCH($A459,List_StationaryFuelMeters,0),ROUNDUP((COLUMN()+1)/3-2,0))),"")</f>
        <v/>
      </c>
      <c r="G459" s="127"/>
      <c r="H459" s="127"/>
      <c r="I459" s="58" t="str" cm="1">
        <f>IFERROR(IF(ISBLANK($A459),"",INDEX(Array_StationaryCharges,MATCH($A459,List_StationaryFuelMeters,0),ROUNDUP((COLUMN()+1)/3-2,0))),"")</f>
        <v/>
      </c>
      <c r="J459" s="127"/>
      <c r="K459" s="127"/>
      <c r="L459" s="58" t="str" cm="1">
        <f>IFERROR(IF(ISBLANK($A459),"",INDEX(Array_StationaryCharges,MATCH($A459,List_StationaryFuelMeters,0),ROUNDUP((COLUMN()+1)/3-2,0))),"")</f>
        <v/>
      </c>
      <c r="M459" s="127"/>
      <c r="N459" s="127"/>
      <c r="O459" s="58" t="str" cm="1">
        <f>IFERROR(IF(ISBLANK($A459),"",INDEX(Array_StationaryCharges,MATCH($A459,List_StationaryFuelMeters,0),ROUNDUP((COLUMN()+1)/3-2,0))),"")</f>
        <v/>
      </c>
      <c r="P459" s="127"/>
      <c r="Q459" s="127"/>
      <c r="R459" s="58" t="str" cm="1">
        <f>IFERROR(IF(ISBLANK($A459),"",INDEX(Array_StationaryCharges,MATCH($A459,List_StationaryFuelMeters,0),ROUNDUP((COLUMN()+1)/3-2,0))),"")</f>
        <v/>
      </c>
      <c r="S459" s="127"/>
      <c r="T459" s="127"/>
      <c r="U459" s="58" t="str" cm="1">
        <f>IFERROR(IF(ISBLANK($A459),"",INDEX(Array_StationaryCharges,MATCH($A459,List_StationaryFuelMeters,0),ROUNDUP((COLUMN()+1)/3-2,0))),"")</f>
        <v/>
      </c>
      <c r="V459" s="127"/>
      <c r="W459" s="127"/>
      <c r="X459" s="58" t="str" cm="1">
        <f>IFERROR(IF(ISBLANK($A459),"",INDEX(Array_StationaryCharges,MATCH($A459,List_StationaryFuelMeters,0),ROUNDUP((COLUMN()+1)/3-2,0))),"")</f>
        <v/>
      </c>
      <c r="Y459" s="127"/>
      <c r="Z459" s="127"/>
      <c r="AA459" s="58" t="str" cm="1">
        <f>IFERROR(IF(ISBLANK($A459),"",INDEX(Array_StationaryCharges,MATCH($A459,List_StationaryFuelMeters,0),ROUNDUP((COLUMN()+1)/3-2,0))),"")</f>
        <v/>
      </c>
      <c r="AB459" s="127"/>
      <c r="AC459" s="127"/>
      <c r="AD459" s="58" t="str" cm="1">
        <f>IFERROR(IF(ISBLANK($A459),"",INDEX(Array_StationaryCharges,MATCH($A459,List_StationaryFuelMeters,0),ROUNDUP((COLUMN()+1)/3-2,0))),"")</f>
        <v/>
      </c>
      <c r="AE459" s="127"/>
      <c r="AF459" s="127"/>
      <c r="AG459" s="58" t="str" cm="1">
        <f>IFERROR(IF(ISBLANK($A459),"",INDEX(Array_StationaryCharges,MATCH($A459,List_StationaryFuelMeters,0),ROUNDUP((COLUMN()+1)/3-2,0))),"")</f>
        <v/>
      </c>
      <c r="AH459" s="127"/>
      <c r="AI459" s="127"/>
      <c r="AJ459" s="58" t="str" cm="1">
        <f>IFERROR(IF(ISBLANK($A459),"",INDEX(Array_StationaryCharges,MATCH($A459,List_StationaryFuelMeters,0),ROUNDUP((COLUMN()+1)/3-2,0))),"")</f>
        <v/>
      </c>
      <c r="AK459" s="127"/>
      <c r="AL459" s="127"/>
      <c r="AM459" s="58" t="str" cm="1">
        <f>IFERROR(IF(ISBLANK($A459),"",INDEX(Array_StationaryCharges,MATCH($A459,List_StationaryFuelMeters,0),ROUNDUP((COLUMN()+1)/3-2,0))),"")</f>
        <v/>
      </c>
      <c r="AN459" s="127"/>
      <c r="AO459" s="127"/>
      <c r="AP459" s="58" t="str" cm="1">
        <f>IFERROR(IF(ISBLANK($A459),"",INDEX(Array_StationaryCharges,MATCH($A459,List_StationaryFuelMeters,0),ROUNDUP((COLUMN()+1)/3-2,0))),"")</f>
        <v/>
      </c>
      <c r="AQ459" s="127"/>
      <c r="AR459" s="127"/>
      <c r="AS459" s="58" t="str" cm="1">
        <f>IFERROR(IF(ISBLANK($A459),"",INDEX(Array_StationaryCharges,MATCH($A459,List_StationaryFuelMeters,0),ROUNDUP((COLUMN()+1)/3-2,0))),"")</f>
        <v/>
      </c>
      <c r="AT459" s="127"/>
      <c r="AU459" s="127"/>
      <c r="AV459" s="58" t="str" cm="1">
        <f>IFERROR(IF(ISBLANK($A459),"",INDEX(Array_StationaryCharges,MATCH($A459,List_StationaryFuelMeters,0),ROUNDUP((COLUMN()+1)/3-2,0))),"")</f>
        <v/>
      </c>
      <c r="AW459" s="127"/>
      <c r="AX459" s="127"/>
    </row>
    <row r="460" spans="1:50" x14ac:dyDescent="0.3">
      <c r="A460" s="126"/>
      <c r="B460" s="133"/>
      <c r="C460" s="127"/>
      <c r="D460" s="138"/>
      <c r="E460" s="138"/>
      <c r="F460" s="58" t="str" cm="1">
        <f>IFERROR(IF(ISBLANK($A460),"",INDEX(Array_StationaryCharges,MATCH($A460,List_StationaryFuelMeters,0),ROUNDUP((COLUMN()+1)/3-2,0))),"")</f>
        <v/>
      </c>
      <c r="G460" s="127"/>
      <c r="H460" s="127"/>
      <c r="I460" s="58" t="str" cm="1">
        <f>IFERROR(IF(ISBLANK($A460),"",INDEX(Array_StationaryCharges,MATCH($A460,List_StationaryFuelMeters,0),ROUNDUP((COLUMN()+1)/3-2,0))),"")</f>
        <v/>
      </c>
      <c r="J460" s="127"/>
      <c r="K460" s="127"/>
      <c r="L460" s="58" t="str" cm="1">
        <f>IFERROR(IF(ISBLANK($A460),"",INDEX(Array_StationaryCharges,MATCH($A460,List_StationaryFuelMeters,0),ROUNDUP((COLUMN()+1)/3-2,0))),"")</f>
        <v/>
      </c>
      <c r="M460" s="127"/>
      <c r="N460" s="127"/>
      <c r="O460" s="58" t="str" cm="1">
        <f>IFERROR(IF(ISBLANK($A460),"",INDEX(Array_StationaryCharges,MATCH($A460,List_StationaryFuelMeters,0),ROUNDUP((COLUMN()+1)/3-2,0))),"")</f>
        <v/>
      </c>
      <c r="P460" s="127"/>
      <c r="Q460" s="127"/>
      <c r="R460" s="58" t="str" cm="1">
        <f>IFERROR(IF(ISBLANK($A460),"",INDEX(Array_StationaryCharges,MATCH($A460,List_StationaryFuelMeters,0),ROUNDUP((COLUMN()+1)/3-2,0))),"")</f>
        <v/>
      </c>
      <c r="S460" s="127"/>
      <c r="T460" s="127"/>
      <c r="U460" s="58" t="str" cm="1">
        <f>IFERROR(IF(ISBLANK($A460),"",INDEX(Array_StationaryCharges,MATCH($A460,List_StationaryFuelMeters,0),ROUNDUP((COLUMN()+1)/3-2,0))),"")</f>
        <v/>
      </c>
      <c r="V460" s="127"/>
      <c r="W460" s="127"/>
      <c r="X460" s="58" t="str" cm="1">
        <f>IFERROR(IF(ISBLANK($A460),"",INDEX(Array_StationaryCharges,MATCH($A460,List_StationaryFuelMeters,0),ROUNDUP((COLUMN()+1)/3-2,0))),"")</f>
        <v/>
      </c>
      <c r="Y460" s="127"/>
      <c r="Z460" s="127"/>
      <c r="AA460" s="58" t="str" cm="1">
        <f>IFERROR(IF(ISBLANK($A460),"",INDEX(Array_StationaryCharges,MATCH($A460,List_StationaryFuelMeters,0),ROUNDUP((COLUMN()+1)/3-2,0))),"")</f>
        <v/>
      </c>
      <c r="AB460" s="127"/>
      <c r="AC460" s="127"/>
      <c r="AD460" s="58" t="str" cm="1">
        <f>IFERROR(IF(ISBLANK($A460),"",INDEX(Array_StationaryCharges,MATCH($A460,List_StationaryFuelMeters,0),ROUNDUP((COLUMN()+1)/3-2,0))),"")</f>
        <v/>
      </c>
      <c r="AE460" s="127"/>
      <c r="AF460" s="127"/>
      <c r="AG460" s="58" t="str" cm="1">
        <f>IFERROR(IF(ISBLANK($A460),"",INDEX(Array_StationaryCharges,MATCH($A460,List_StationaryFuelMeters,0),ROUNDUP((COLUMN()+1)/3-2,0))),"")</f>
        <v/>
      </c>
      <c r="AH460" s="127"/>
      <c r="AI460" s="127"/>
      <c r="AJ460" s="58" t="str" cm="1">
        <f>IFERROR(IF(ISBLANK($A460),"",INDEX(Array_StationaryCharges,MATCH($A460,List_StationaryFuelMeters,0),ROUNDUP((COLUMN()+1)/3-2,0))),"")</f>
        <v/>
      </c>
      <c r="AK460" s="127"/>
      <c r="AL460" s="127"/>
      <c r="AM460" s="58" t="str" cm="1">
        <f>IFERROR(IF(ISBLANK($A460),"",INDEX(Array_StationaryCharges,MATCH($A460,List_StationaryFuelMeters,0),ROUNDUP((COLUMN()+1)/3-2,0))),"")</f>
        <v/>
      </c>
      <c r="AN460" s="127"/>
      <c r="AO460" s="127"/>
      <c r="AP460" s="58" t="str" cm="1">
        <f>IFERROR(IF(ISBLANK($A460),"",INDEX(Array_StationaryCharges,MATCH($A460,List_StationaryFuelMeters,0),ROUNDUP((COLUMN()+1)/3-2,0))),"")</f>
        <v/>
      </c>
      <c r="AQ460" s="127"/>
      <c r="AR460" s="127"/>
      <c r="AS460" s="58" t="str" cm="1">
        <f>IFERROR(IF(ISBLANK($A460),"",INDEX(Array_StationaryCharges,MATCH($A460,List_StationaryFuelMeters,0),ROUNDUP((COLUMN()+1)/3-2,0))),"")</f>
        <v/>
      </c>
      <c r="AT460" s="127"/>
      <c r="AU460" s="127"/>
      <c r="AV460" s="58" t="str" cm="1">
        <f>IFERROR(IF(ISBLANK($A460),"",INDEX(Array_StationaryCharges,MATCH($A460,List_StationaryFuelMeters,0),ROUNDUP((COLUMN()+1)/3-2,0))),"")</f>
        <v/>
      </c>
      <c r="AW460" s="127"/>
      <c r="AX460" s="127"/>
    </row>
    <row r="461" spans="1:50" x14ac:dyDescent="0.3">
      <c r="A461" s="126"/>
      <c r="B461" s="133"/>
      <c r="C461" s="127"/>
      <c r="D461" s="138"/>
      <c r="E461" s="138"/>
      <c r="F461" s="58" t="str" cm="1">
        <f>IFERROR(IF(ISBLANK($A461),"",INDEX(Array_StationaryCharges,MATCH($A461,List_StationaryFuelMeters,0),ROUNDUP((COLUMN()+1)/3-2,0))),"")</f>
        <v/>
      </c>
      <c r="G461" s="127"/>
      <c r="H461" s="127"/>
      <c r="I461" s="58" t="str" cm="1">
        <f>IFERROR(IF(ISBLANK($A461),"",INDEX(Array_StationaryCharges,MATCH($A461,List_StationaryFuelMeters,0),ROUNDUP((COLUMN()+1)/3-2,0))),"")</f>
        <v/>
      </c>
      <c r="J461" s="127"/>
      <c r="K461" s="127"/>
      <c r="L461" s="58" t="str" cm="1">
        <f>IFERROR(IF(ISBLANK($A461),"",INDEX(Array_StationaryCharges,MATCH($A461,List_StationaryFuelMeters,0),ROUNDUP((COLUMN()+1)/3-2,0))),"")</f>
        <v/>
      </c>
      <c r="M461" s="127"/>
      <c r="N461" s="127"/>
      <c r="O461" s="58" t="str" cm="1">
        <f>IFERROR(IF(ISBLANK($A461),"",INDEX(Array_StationaryCharges,MATCH($A461,List_StationaryFuelMeters,0),ROUNDUP((COLUMN()+1)/3-2,0))),"")</f>
        <v/>
      </c>
      <c r="P461" s="127"/>
      <c r="Q461" s="127"/>
      <c r="R461" s="58" t="str" cm="1">
        <f>IFERROR(IF(ISBLANK($A461),"",INDEX(Array_StationaryCharges,MATCH($A461,List_StationaryFuelMeters,0),ROUNDUP((COLUMN()+1)/3-2,0))),"")</f>
        <v/>
      </c>
      <c r="S461" s="127"/>
      <c r="T461" s="127"/>
      <c r="U461" s="58" t="str" cm="1">
        <f>IFERROR(IF(ISBLANK($A461),"",INDEX(Array_StationaryCharges,MATCH($A461,List_StationaryFuelMeters,0),ROUNDUP((COLUMN()+1)/3-2,0))),"")</f>
        <v/>
      </c>
      <c r="V461" s="127"/>
      <c r="W461" s="127"/>
      <c r="X461" s="58" t="str" cm="1">
        <f>IFERROR(IF(ISBLANK($A461),"",INDEX(Array_StationaryCharges,MATCH($A461,List_StationaryFuelMeters,0),ROUNDUP((COLUMN()+1)/3-2,0))),"")</f>
        <v/>
      </c>
      <c r="Y461" s="127"/>
      <c r="Z461" s="127"/>
      <c r="AA461" s="58" t="str" cm="1">
        <f>IFERROR(IF(ISBLANK($A461),"",INDEX(Array_StationaryCharges,MATCH($A461,List_StationaryFuelMeters,0),ROUNDUP((COLUMN()+1)/3-2,0))),"")</f>
        <v/>
      </c>
      <c r="AB461" s="127"/>
      <c r="AC461" s="127"/>
      <c r="AD461" s="58" t="str" cm="1">
        <f>IFERROR(IF(ISBLANK($A461),"",INDEX(Array_StationaryCharges,MATCH($A461,List_StationaryFuelMeters,0),ROUNDUP((COLUMN()+1)/3-2,0))),"")</f>
        <v/>
      </c>
      <c r="AE461" s="127"/>
      <c r="AF461" s="127"/>
      <c r="AG461" s="58" t="str" cm="1">
        <f>IFERROR(IF(ISBLANK($A461),"",INDEX(Array_StationaryCharges,MATCH($A461,List_StationaryFuelMeters,0),ROUNDUP((COLUMN()+1)/3-2,0))),"")</f>
        <v/>
      </c>
      <c r="AH461" s="127"/>
      <c r="AI461" s="127"/>
      <c r="AJ461" s="58" t="str" cm="1">
        <f>IFERROR(IF(ISBLANK($A461),"",INDEX(Array_StationaryCharges,MATCH($A461,List_StationaryFuelMeters,0),ROUNDUP((COLUMN()+1)/3-2,0))),"")</f>
        <v/>
      </c>
      <c r="AK461" s="127"/>
      <c r="AL461" s="127"/>
      <c r="AM461" s="58" t="str" cm="1">
        <f>IFERROR(IF(ISBLANK($A461),"",INDEX(Array_StationaryCharges,MATCH($A461,List_StationaryFuelMeters,0),ROUNDUP((COLUMN()+1)/3-2,0))),"")</f>
        <v/>
      </c>
      <c r="AN461" s="127"/>
      <c r="AO461" s="127"/>
      <c r="AP461" s="58" t="str" cm="1">
        <f>IFERROR(IF(ISBLANK($A461),"",INDEX(Array_StationaryCharges,MATCH($A461,List_StationaryFuelMeters,0),ROUNDUP((COLUMN()+1)/3-2,0))),"")</f>
        <v/>
      </c>
      <c r="AQ461" s="127"/>
      <c r="AR461" s="127"/>
      <c r="AS461" s="58" t="str" cm="1">
        <f>IFERROR(IF(ISBLANK($A461),"",INDEX(Array_StationaryCharges,MATCH($A461,List_StationaryFuelMeters,0),ROUNDUP((COLUMN()+1)/3-2,0))),"")</f>
        <v/>
      </c>
      <c r="AT461" s="127"/>
      <c r="AU461" s="127"/>
      <c r="AV461" s="58" t="str" cm="1">
        <f>IFERROR(IF(ISBLANK($A461),"",INDEX(Array_StationaryCharges,MATCH($A461,List_StationaryFuelMeters,0),ROUNDUP((COLUMN()+1)/3-2,0))),"")</f>
        <v/>
      </c>
      <c r="AW461" s="127"/>
      <c r="AX461" s="127"/>
    </row>
    <row r="462" spans="1:50" x14ac:dyDescent="0.3">
      <c r="A462" s="126"/>
      <c r="B462" s="133"/>
      <c r="C462" s="127"/>
      <c r="D462" s="138"/>
      <c r="E462" s="138"/>
      <c r="F462" s="58" t="str" cm="1">
        <f>IFERROR(IF(ISBLANK($A462),"",INDEX(Array_StationaryCharges,MATCH($A462,List_StationaryFuelMeters,0),ROUNDUP((COLUMN()+1)/3-2,0))),"")</f>
        <v/>
      </c>
      <c r="G462" s="127"/>
      <c r="H462" s="127"/>
      <c r="I462" s="58" t="str" cm="1">
        <f>IFERROR(IF(ISBLANK($A462),"",INDEX(Array_StationaryCharges,MATCH($A462,List_StationaryFuelMeters,0),ROUNDUP((COLUMN()+1)/3-2,0))),"")</f>
        <v/>
      </c>
      <c r="J462" s="127"/>
      <c r="K462" s="127"/>
      <c r="L462" s="58" t="str" cm="1">
        <f>IFERROR(IF(ISBLANK($A462),"",INDEX(Array_StationaryCharges,MATCH($A462,List_StationaryFuelMeters,0),ROUNDUP((COLUMN()+1)/3-2,0))),"")</f>
        <v/>
      </c>
      <c r="M462" s="127"/>
      <c r="N462" s="127"/>
      <c r="O462" s="58" t="str" cm="1">
        <f>IFERROR(IF(ISBLANK($A462),"",INDEX(Array_StationaryCharges,MATCH($A462,List_StationaryFuelMeters,0),ROUNDUP((COLUMN()+1)/3-2,0))),"")</f>
        <v/>
      </c>
      <c r="P462" s="127"/>
      <c r="Q462" s="127"/>
      <c r="R462" s="58" t="str" cm="1">
        <f>IFERROR(IF(ISBLANK($A462),"",INDEX(Array_StationaryCharges,MATCH($A462,List_StationaryFuelMeters,0),ROUNDUP((COLUMN()+1)/3-2,0))),"")</f>
        <v/>
      </c>
      <c r="S462" s="127"/>
      <c r="T462" s="127"/>
      <c r="U462" s="58" t="str" cm="1">
        <f>IFERROR(IF(ISBLANK($A462),"",INDEX(Array_StationaryCharges,MATCH($A462,List_StationaryFuelMeters,0),ROUNDUP((COLUMN()+1)/3-2,0))),"")</f>
        <v/>
      </c>
      <c r="V462" s="127"/>
      <c r="W462" s="127"/>
      <c r="X462" s="58" t="str" cm="1">
        <f>IFERROR(IF(ISBLANK($A462),"",INDEX(Array_StationaryCharges,MATCH($A462,List_StationaryFuelMeters,0),ROUNDUP((COLUMN()+1)/3-2,0))),"")</f>
        <v/>
      </c>
      <c r="Y462" s="127"/>
      <c r="Z462" s="127"/>
      <c r="AA462" s="58" t="str" cm="1">
        <f>IFERROR(IF(ISBLANK($A462),"",INDEX(Array_StationaryCharges,MATCH($A462,List_StationaryFuelMeters,0),ROUNDUP((COLUMN()+1)/3-2,0))),"")</f>
        <v/>
      </c>
      <c r="AB462" s="127"/>
      <c r="AC462" s="127"/>
      <c r="AD462" s="58" t="str" cm="1">
        <f>IFERROR(IF(ISBLANK($A462),"",INDEX(Array_StationaryCharges,MATCH($A462,List_StationaryFuelMeters,0),ROUNDUP((COLUMN()+1)/3-2,0))),"")</f>
        <v/>
      </c>
      <c r="AE462" s="127"/>
      <c r="AF462" s="127"/>
      <c r="AG462" s="58" t="str" cm="1">
        <f>IFERROR(IF(ISBLANK($A462),"",INDEX(Array_StationaryCharges,MATCH($A462,List_StationaryFuelMeters,0),ROUNDUP((COLUMN()+1)/3-2,0))),"")</f>
        <v/>
      </c>
      <c r="AH462" s="127"/>
      <c r="AI462" s="127"/>
      <c r="AJ462" s="58" t="str" cm="1">
        <f>IFERROR(IF(ISBLANK($A462),"",INDEX(Array_StationaryCharges,MATCH($A462,List_StationaryFuelMeters,0),ROUNDUP((COLUMN()+1)/3-2,0))),"")</f>
        <v/>
      </c>
      <c r="AK462" s="127"/>
      <c r="AL462" s="127"/>
      <c r="AM462" s="58" t="str" cm="1">
        <f>IFERROR(IF(ISBLANK($A462),"",INDEX(Array_StationaryCharges,MATCH($A462,List_StationaryFuelMeters,0),ROUNDUP((COLUMN()+1)/3-2,0))),"")</f>
        <v/>
      </c>
      <c r="AN462" s="127"/>
      <c r="AO462" s="127"/>
      <c r="AP462" s="58" t="str" cm="1">
        <f>IFERROR(IF(ISBLANK($A462),"",INDEX(Array_StationaryCharges,MATCH($A462,List_StationaryFuelMeters,0),ROUNDUP((COLUMN()+1)/3-2,0))),"")</f>
        <v/>
      </c>
      <c r="AQ462" s="127"/>
      <c r="AR462" s="127"/>
      <c r="AS462" s="58" t="str" cm="1">
        <f>IFERROR(IF(ISBLANK($A462),"",INDEX(Array_StationaryCharges,MATCH($A462,List_StationaryFuelMeters,0),ROUNDUP((COLUMN()+1)/3-2,0))),"")</f>
        <v/>
      </c>
      <c r="AT462" s="127"/>
      <c r="AU462" s="127"/>
      <c r="AV462" s="58" t="str" cm="1">
        <f>IFERROR(IF(ISBLANK($A462),"",INDEX(Array_StationaryCharges,MATCH($A462,List_StationaryFuelMeters,0),ROUNDUP((COLUMN()+1)/3-2,0))),"")</f>
        <v/>
      </c>
      <c r="AW462" s="127"/>
      <c r="AX462" s="127"/>
    </row>
    <row r="463" spans="1:50" x14ac:dyDescent="0.3">
      <c r="A463" s="126"/>
      <c r="B463" s="133"/>
      <c r="C463" s="127"/>
      <c r="D463" s="138"/>
      <c r="E463" s="138"/>
      <c r="F463" s="58" t="str" cm="1">
        <f>IFERROR(IF(ISBLANK($A463),"",INDEX(Array_StationaryCharges,MATCH($A463,List_StationaryFuelMeters,0),ROUNDUP((COLUMN()+1)/3-2,0))),"")</f>
        <v/>
      </c>
      <c r="G463" s="127"/>
      <c r="H463" s="127"/>
      <c r="I463" s="58" t="str" cm="1">
        <f>IFERROR(IF(ISBLANK($A463),"",INDEX(Array_StationaryCharges,MATCH($A463,List_StationaryFuelMeters,0),ROUNDUP((COLUMN()+1)/3-2,0))),"")</f>
        <v/>
      </c>
      <c r="J463" s="127"/>
      <c r="K463" s="127"/>
      <c r="L463" s="58" t="str" cm="1">
        <f>IFERROR(IF(ISBLANK($A463),"",INDEX(Array_StationaryCharges,MATCH($A463,List_StationaryFuelMeters,0),ROUNDUP((COLUMN()+1)/3-2,0))),"")</f>
        <v/>
      </c>
      <c r="M463" s="127"/>
      <c r="N463" s="127"/>
      <c r="O463" s="58" t="str" cm="1">
        <f>IFERROR(IF(ISBLANK($A463),"",INDEX(Array_StationaryCharges,MATCH($A463,List_StationaryFuelMeters,0),ROUNDUP((COLUMN()+1)/3-2,0))),"")</f>
        <v/>
      </c>
      <c r="P463" s="127"/>
      <c r="Q463" s="127"/>
      <c r="R463" s="58" t="str" cm="1">
        <f>IFERROR(IF(ISBLANK($A463),"",INDEX(Array_StationaryCharges,MATCH($A463,List_StationaryFuelMeters,0),ROUNDUP((COLUMN()+1)/3-2,0))),"")</f>
        <v/>
      </c>
      <c r="S463" s="127"/>
      <c r="T463" s="127"/>
      <c r="U463" s="58" t="str" cm="1">
        <f>IFERROR(IF(ISBLANK($A463),"",INDEX(Array_StationaryCharges,MATCH($A463,List_StationaryFuelMeters,0),ROUNDUP((COLUMN()+1)/3-2,0))),"")</f>
        <v/>
      </c>
      <c r="V463" s="127"/>
      <c r="W463" s="127"/>
      <c r="X463" s="58" t="str" cm="1">
        <f>IFERROR(IF(ISBLANK($A463),"",INDEX(Array_StationaryCharges,MATCH($A463,List_StationaryFuelMeters,0),ROUNDUP((COLUMN()+1)/3-2,0))),"")</f>
        <v/>
      </c>
      <c r="Y463" s="127"/>
      <c r="Z463" s="127"/>
      <c r="AA463" s="58" t="str" cm="1">
        <f>IFERROR(IF(ISBLANK($A463),"",INDEX(Array_StationaryCharges,MATCH($A463,List_StationaryFuelMeters,0),ROUNDUP((COLUMN()+1)/3-2,0))),"")</f>
        <v/>
      </c>
      <c r="AB463" s="127"/>
      <c r="AC463" s="127"/>
      <c r="AD463" s="58" t="str" cm="1">
        <f>IFERROR(IF(ISBLANK($A463),"",INDEX(Array_StationaryCharges,MATCH($A463,List_StationaryFuelMeters,0),ROUNDUP((COLUMN()+1)/3-2,0))),"")</f>
        <v/>
      </c>
      <c r="AE463" s="127"/>
      <c r="AF463" s="127"/>
      <c r="AG463" s="58" t="str" cm="1">
        <f>IFERROR(IF(ISBLANK($A463),"",INDEX(Array_StationaryCharges,MATCH($A463,List_StationaryFuelMeters,0),ROUNDUP((COLUMN()+1)/3-2,0))),"")</f>
        <v/>
      </c>
      <c r="AH463" s="127"/>
      <c r="AI463" s="127"/>
      <c r="AJ463" s="58" t="str" cm="1">
        <f>IFERROR(IF(ISBLANK($A463),"",INDEX(Array_StationaryCharges,MATCH($A463,List_StationaryFuelMeters,0),ROUNDUP((COLUMN()+1)/3-2,0))),"")</f>
        <v/>
      </c>
      <c r="AK463" s="127"/>
      <c r="AL463" s="127"/>
      <c r="AM463" s="58" t="str" cm="1">
        <f>IFERROR(IF(ISBLANK($A463),"",INDEX(Array_StationaryCharges,MATCH($A463,List_StationaryFuelMeters,0),ROUNDUP((COLUMN()+1)/3-2,0))),"")</f>
        <v/>
      </c>
      <c r="AN463" s="127"/>
      <c r="AO463" s="127"/>
      <c r="AP463" s="58" t="str" cm="1">
        <f>IFERROR(IF(ISBLANK($A463),"",INDEX(Array_StationaryCharges,MATCH($A463,List_StationaryFuelMeters,0),ROUNDUP((COLUMN()+1)/3-2,0))),"")</f>
        <v/>
      </c>
      <c r="AQ463" s="127"/>
      <c r="AR463" s="127"/>
      <c r="AS463" s="58" t="str" cm="1">
        <f>IFERROR(IF(ISBLANK($A463),"",INDEX(Array_StationaryCharges,MATCH($A463,List_StationaryFuelMeters,0),ROUNDUP((COLUMN()+1)/3-2,0))),"")</f>
        <v/>
      </c>
      <c r="AT463" s="127"/>
      <c r="AU463" s="127"/>
      <c r="AV463" s="58" t="str" cm="1">
        <f>IFERROR(IF(ISBLANK($A463),"",INDEX(Array_StationaryCharges,MATCH($A463,List_StationaryFuelMeters,0),ROUNDUP((COLUMN()+1)/3-2,0))),"")</f>
        <v/>
      </c>
      <c r="AW463" s="127"/>
      <c r="AX463" s="127"/>
    </row>
    <row r="464" spans="1:50" x14ac:dyDescent="0.3">
      <c r="A464" s="126"/>
      <c r="B464" s="133"/>
      <c r="C464" s="127"/>
      <c r="D464" s="138"/>
      <c r="E464" s="138"/>
      <c r="F464" s="58" t="str" cm="1">
        <f>IFERROR(IF(ISBLANK($A464),"",INDEX(Array_StationaryCharges,MATCH($A464,List_StationaryFuelMeters,0),ROUNDUP((COLUMN()+1)/3-2,0))),"")</f>
        <v/>
      </c>
      <c r="G464" s="127"/>
      <c r="H464" s="127"/>
      <c r="I464" s="58" t="str" cm="1">
        <f>IFERROR(IF(ISBLANK($A464),"",INDEX(Array_StationaryCharges,MATCH($A464,List_StationaryFuelMeters,0),ROUNDUP((COLUMN()+1)/3-2,0))),"")</f>
        <v/>
      </c>
      <c r="J464" s="127"/>
      <c r="K464" s="127"/>
      <c r="L464" s="58" t="str" cm="1">
        <f>IFERROR(IF(ISBLANK($A464),"",INDEX(Array_StationaryCharges,MATCH($A464,List_StationaryFuelMeters,0),ROUNDUP((COLUMN()+1)/3-2,0))),"")</f>
        <v/>
      </c>
      <c r="M464" s="127"/>
      <c r="N464" s="127"/>
      <c r="O464" s="58" t="str" cm="1">
        <f>IFERROR(IF(ISBLANK($A464),"",INDEX(Array_StationaryCharges,MATCH($A464,List_StationaryFuelMeters,0),ROUNDUP((COLUMN()+1)/3-2,0))),"")</f>
        <v/>
      </c>
      <c r="P464" s="127"/>
      <c r="Q464" s="127"/>
      <c r="R464" s="58" t="str" cm="1">
        <f>IFERROR(IF(ISBLANK($A464),"",INDEX(Array_StationaryCharges,MATCH($A464,List_StationaryFuelMeters,0),ROUNDUP((COLUMN()+1)/3-2,0))),"")</f>
        <v/>
      </c>
      <c r="S464" s="127"/>
      <c r="T464" s="127"/>
      <c r="U464" s="58" t="str" cm="1">
        <f>IFERROR(IF(ISBLANK($A464),"",INDEX(Array_StationaryCharges,MATCH($A464,List_StationaryFuelMeters,0),ROUNDUP((COLUMN()+1)/3-2,0))),"")</f>
        <v/>
      </c>
      <c r="V464" s="127"/>
      <c r="W464" s="127"/>
      <c r="X464" s="58" t="str" cm="1">
        <f>IFERROR(IF(ISBLANK($A464),"",INDEX(Array_StationaryCharges,MATCH($A464,List_StationaryFuelMeters,0),ROUNDUP((COLUMN()+1)/3-2,0))),"")</f>
        <v/>
      </c>
      <c r="Y464" s="127"/>
      <c r="Z464" s="127"/>
      <c r="AA464" s="58" t="str" cm="1">
        <f>IFERROR(IF(ISBLANK($A464),"",INDEX(Array_StationaryCharges,MATCH($A464,List_StationaryFuelMeters,0),ROUNDUP((COLUMN()+1)/3-2,0))),"")</f>
        <v/>
      </c>
      <c r="AB464" s="127"/>
      <c r="AC464" s="127"/>
      <c r="AD464" s="58" t="str" cm="1">
        <f>IFERROR(IF(ISBLANK($A464),"",INDEX(Array_StationaryCharges,MATCH($A464,List_StationaryFuelMeters,0),ROUNDUP((COLUMN()+1)/3-2,0))),"")</f>
        <v/>
      </c>
      <c r="AE464" s="127"/>
      <c r="AF464" s="127"/>
      <c r="AG464" s="58" t="str" cm="1">
        <f>IFERROR(IF(ISBLANK($A464),"",INDEX(Array_StationaryCharges,MATCH($A464,List_StationaryFuelMeters,0),ROUNDUP((COLUMN()+1)/3-2,0))),"")</f>
        <v/>
      </c>
      <c r="AH464" s="127"/>
      <c r="AI464" s="127"/>
      <c r="AJ464" s="58" t="str" cm="1">
        <f>IFERROR(IF(ISBLANK($A464),"",INDEX(Array_StationaryCharges,MATCH($A464,List_StationaryFuelMeters,0),ROUNDUP((COLUMN()+1)/3-2,0))),"")</f>
        <v/>
      </c>
      <c r="AK464" s="127"/>
      <c r="AL464" s="127"/>
      <c r="AM464" s="58" t="str" cm="1">
        <f>IFERROR(IF(ISBLANK($A464),"",INDEX(Array_StationaryCharges,MATCH($A464,List_StationaryFuelMeters,0),ROUNDUP((COLUMN()+1)/3-2,0))),"")</f>
        <v/>
      </c>
      <c r="AN464" s="127"/>
      <c r="AO464" s="127"/>
      <c r="AP464" s="58" t="str" cm="1">
        <f>IFERROR(IF(ISBLANK($A464),"",INDEX(Array_StationaryCharges,MATCH($A464,List_StationaryFuelMeters,0),ROUNDUP((COLUMN()+1)/3-2,0))),"")</f>
        <v/>
      </c>
      <c r="AQ464" s="127"/>
      <c r="AR464" s="127"/>
      <c r="AS464" s="58" t="str" cm="1">
        <f>IFERROR(IF(ISBLANK($A464),"",INDEX(Array_StationaryCharges,MATCH($A464,List_StationaryFuelMeters,0),ROUNDUP((COLUMN()+1)/3-2,0))),"")</f>
        <v/>
      </c>
      <c r="AT464" s="127"/>
      <c r="AU464" s="127"/>
      <c r="AV464" s="58" t="str" cm="1">
        <f>IFERROR(IF(ISBLANK($A464),"",INDEX(Array_StationaryCharges,MATCH($A464,List_StationaryFuelMeters,0),ROUNDUP((COLUMN()+1)/3-2,0))),"")</f>
        <v/>
      </c>
      <c r="AW464" s="127"/>
      <c r="AX464" s="127"/>
    </row>
    <row r="465" spans="1:50" x14ac:dyDescent="0.3">
      <c r="A465" s="126"/>
      <c r="B465" s="133"/>
      <c r="C465" s="127"/>
      <c r="D465" s="138"/>
      <c r="E465" s="138"/>
      <c r="F465" s="58" t="str" cm="1">
        <f>IFERROR(IF(ISBLANK($A465),"",INDEX(Array_StationaryCharges,MATCH($A465,List_StationaryFuelMeters,0),ROUNDUP((COLUMN()+1)/3-2,0))),"")</f>
        <v/>
      </c>
      <c r="G465" s="127"/>
      <c r="H465" s="127"/>
      <c r="I465" s="58" t="str" cm="1">
        <f>IFERROR(IF(ISBLANK($A465),"",INDEX(Array_StationaryCharges,MATCH($A465,List_StationaryFuelMeters,0),ROUNDUP((COLUMN()+1)/3-2,0))),"")</f>
        <v/>
      </c>
      <c r="J465" s="127"/>
      <c r="K465" s="127"/>
      <c r="L465" s="58" t="str" cm="1">
        <f>IFERROR(IF(ISBLANK($A465),"",INDEX(Array_StationaryCharges,MATCH($A465,List_StationaryFuelMeters,0),ROUNDUP((COLUMN()+1)/3-2,0))),"")</f>
        <v/>
      </c>
      <c r="M465" s="127"/>
      <c r="N465" s="127"/>
      <c r="O465" s="58" t="str" cm="1">
        <f>IFERROR(IF(ISBLANK($A465),"",INDEX(Array_StationaryCharges,MATCH($A465,List_StationaryFuelMeters,0),ROUNDUP((COLUMN()+1)/3-2,0))),"")</f>
        <v/>
      </c>
      <c r="P465" s="127"/>
      <c r="Q465" s="127"/>
      <c r="R465" s="58" t="str" cm="1">
        <f>IFERROR(IF(ISBLANK($A465),"",INDEX(Array_StationaryCharges,MATCH($A465,List_StationaryFuelMeters,0),ROUNDUP((COLUMN()+1)/3-2,0))),"")</f>
        <v/>
      </c>
      <c r="S465" s="127"/>
      <c r="T465" s="127"/>
      <c r="U465" s="58" t="str" cm="1">
        <f>IFERROR(IF(ISBLANK($A465),"",INDEX(Array_StationaryCharges,MATCH($A465,List_StationaryFuelMeters,0),ROUNDUP((COLUMN()+1)/3-2,0))),"")</f>
        <v/>
      </c>
      <c r="V465" s="127"/>
      <c r="W465" s="127"/>
      <c r="X465" s="58" t="str" cm="1">
        <f>IFERROR(IF(ISBLANK($A465),"",INDEX(Array_StationaryCharges,MATCH($A465,List_StationaryFuelMeters,0),ROUNDUP((COLUMN()+1)/3-2,0))),"")</f>
        <v/>
      </c>
      <c r="Y465" s="127"/>
      <c r="Z465" s="127"/>
      <c r="AA465" s="58" t="str" cm="1">
        <f>IFERROR(IF(ISBLANK($A465),"",INDEX(Array_StationaryCharges,MATCH($A465,List_StationaryFuelMeters,0),ROUNDUP((COLUMN()+1)/3-2,0))),"")</f>
        <v/>
      </c>
      <c r="AB465" s="127"/>
      <c r="AC465" s="127"/>
      <c r="AD465" s="58" t="str" cm="1">
        <f>IFERROR(IF(ISBLANK($A465),"",INDEX(Array_StationaryCharges,MATCH($A465,List_StationaryFuelMeters,0),ROUNDUP((COLUMN()+1)/3-2,0))),"")</f>
        <v/>
      </c>
      <c r="AE465" s="127"/>
      <c r="AF465" s="127"/>
      <c r="AG465" s="58" t="str" cm="1">
        <f>IFERROR(IF(ISBLANK($A465),"",INDEX(Array_StationaryCharges,MATCH($A465,List_StationaryFuelMeters,0),ROUNDUP((COLUMN()+1)/3-2,0))),"")</f>
        <v/>
      </c>
      <c r="AH465" s="127"/>
      <c r="AI465" s="127"/>
      <c r="AJ465" s="58" t="str" cm="1">
        <f>IFERROR(IF(ISBLANK($A465),"",INDEX(Array_StationaryCharges,MATCH($A465,List_StationaryFuelMeters,0),ROUNDUP((COLUMN()+1)/3-2,0))),"")</f>
        <v/>
      </c>
      <c r="AK465" s="127"/>
      <c r="AL465" s="127"/>
      <c r="AM465" s="58" t="str" cm="1">
        <f>IFERROR(IF(ISBLANK($A465),"",INDEX(Array_StationaryCharges,MATCH($A465,List_StationaryFuelMeters,0),ROUNDUP((COLUMN()+1)/3-2,0))),"")</f>
        <v/>
      </c>
      <c r="AN465" s="127"/>
      <c r="AO465" s="127"/>
      <c r="AP465" s="58" t="str" cm="1">
        <f>IFERROR(IF(ISBLANK($A465),"",INDEX(Array_StationaryCharges,MATCH($A465,List_StationaryFuelMeters,0),ROUNDUP((COLUMN()+1)/3-2,0))),"")</f>
        <v/>
      </c>
      <c r="AQ465" s="127"/>
      <c r="AR465" s="127"/>
      <c r="AS465" s="58" t="str" cm="1">
        <f>IFERROR(IF(ISBLANK($A465),"",INDEX(Array_StationaryCharges,MATCH($A465,List_StationaryFuelMeters,0),ROUNDUP((COLUMN()+1)/3-2,0))),"")</f>
        <v/>
      </c>
      <c r="AT465" s="127"/>
      <c r="AU465" s="127"/>
      <c r="AV465" s="58" t="str" cm="1">
        <f>IFERROR(IF(ISBLANK($A465),"",INDEX(Array_StationaryCharges,MATCH($A465,List_StationaryFuelMeters,0),ROUNDUP((COLUMN()+1)/3-2,0))),"")</f>
        <v/>
      </c>
      <c r="AW465" s="127"/>
      <c r="AX465" s="127"/>
    </row>
    <row r="466" spans="1:50" x14ac:dyDescent="0.3">
      <c r="A466" s="126"/>
      <c r="B466" s="133"/>
      <c r="C466" s="127"/>
      <c r="D466" s="138"/>
      <c r="E466" s="138"/>
      <c r="F466" s="58" t="str" cm="1">
        <f>IFERROR(IF(ISBLANK($A466),"",INDEX(Array_StationaryCharges,MATCH($A466,List_StationaryFuelMeters,0),ROUNDUP((COLUMN()+1)/3-2,0))),"")</f>
        <v/>
      </c>
      <c r="G466" s="127"/>
      <c r="H466" s="127"/>
      <c r="I466" s="58" t="str" cm="1">
        <f>IFERROR(IF(ISBLANK($A466),"",INDEX(Array_StationaryCharges,MATCH($A466,List_StationaryFuelMeters,0),ROUNDUP((COLUMN()+1)/3-2,0))),"")</f>
        <v/>
      </c>
      <c r="J466" s="127"/>
      <c r="K466" s="127"/>
      <c r="L466" s="58" t="str" cm="1">
        <f>IFERROR(IF(ISBLANK($A466),"",INDEX(Array_StationaryCharges,MATCH($A466,List_StationaryFuelMeters,0),ROUNDUP((COLUMN()+1)/3-2,0))),"")</f>
        <v/>
      </c>
      <c r="M466" s="127"/>
      <c r="N466" s="127"/>
      <c r="O466" s="58" t="str" cm="1">
        <f>IFERROR(IF(ISBLANK($A466),"",INDEX(Array_StationaryCharges,MATCH($A466,List_StationaryFuelMeters,0),ROUNDUP((COLUMN()+1)/3-2,0))),"")</f>
        <v/>
      </c>
      <c r="P466" s="127"/>
      <c r="Q466" s="127"/>
      <c r="R466" s="58" t="str" cm="1">
        <f>IFERROR(IF(ISBLANK($A466),"",INDEX(Array_StationaryCharges,MATCH($A466,List_StationaryFuelMeters,0),ROUNDUP((COLUMN()+1)/3-2,0))),"")</f>
        <v/>
      </c>
      <c r="S466" s="127"/>
      <c r="T466" s="127"/>
      <c r="U466" s="58" t="str" cm="1">
        <f>IFERROR(IF(ISBLANK($A466),"",INDEX(Array_StationaryCharges,MATCH($A466,List_StationaryFuelMeters,0),ROUNDUP((COLUMN()+1)/3-2,0))),"")</f>
        <v/>
      </c>
      <c r="V466" s="127"/>
      <c r="W466" s="127"/>
      <c r="X466" s="58" t="str" cm="1">
        <f>IFERROR(IF(ISBLANK($A466),"",INDEX(Array_StationaryCharges,MATCH($A466,List_StationaryFuelMeters,0),ROUNDUP((COLUMN()+1)/3-2,0))),"")</f>
        <v/>
      </c>
      <c r="Y466" s="127"/>
      <c r="Z466" s="127"/>
      <c r="AA466" s="58" t="str" cm="1">
        <f>IFERROR(IF(ISBLANK($A466),"",INDEX(Array_StationaryCharges,MATCH($A466,List_StationaryFuelMeters,0),ROUNDUP((COLUMN()+1)/3-2,0))),"")</f>
        <v/>
      </c>
      <c r="AB466" s="127"/>
      <c r="AC466" s="127"/>
      <c r="AD466" s="58" t="str" cm="1">
        <f>IFERROR(IF(ISBLANK($A466),"",INDEX(Array_StationaryCharges,MATCH($A466,List_StationaryFuelMeters,0),ROUNDUP((COLUMN()+1)/3-2,0))),"")</f>
        <v/>
      </c>
      <c r="AE466" s="127"/>
      <c r="AF466" s="127"/>
      <c r="AG466" s="58" t="str" cm="1">
        <f>IFERROR(IF(ISBLANK($A466),"",INDEX(Array_StationaryCharges,MATCH($A466,List_StationaryFuelMeters,0),ROUNDUP((COLUMN()+1)/3-2,0))),"")</f>
        <v/>
      </c>
      <c r="AH466" s="127"/>
      <c r="AI466" s="127"/>
      <c r="AJ466" s="58" t="str" cm="1">
        <f>IFERROR(IF(ISBLANK($A466),"",INDEX(Array_StationaryCharges,MATCH($A466,List_StationaryFuelMeters,0),ROUNDUP((COLUMN()+1)/3-2,0))),"")</f>
        <v/>
      </c>
      <c r="AK466" s="127"/>
      <c r="AL466" s="127"/>
      <c r="AM466" s="58" t="str" cm="1">
        <f>IFERROR(IF(ISBLANK($A466),"",INDEX(Array_StationaryCharges,MATCH($A466,List_StationaryFuelMeters,0),ROUNDUP((COLUMN()+1)/3-2,0))),"")</f>
        <v/>
      </c>
      <c r="AN466" s="127"/>
      <c r="AO466" s="127"/>
      <c r="AP466" s="58" t="str" cm="1">
        <f>IFERROR(IF(ISBLANK($A466),"",INDEX(Array_StationaryCharges,MATCH($A466,List_StationaryFuelMeters,0),ROUNDUP((COLUMN()+1)/3-2,0))),"")</f>
        <v/>
      </c>
      <c r="AQ466" s="127"/>
      <c r="AR466" s="127"/>
      <c r="AS466" s="58" t="str" cm="1">
        <f>IFERROR(IF(ISBLANK($A466),"",INDEX(Array_StationaryCharges,MATCH($A466,List_StationaryFuelMeters,0),ROUNDUP((COLUMN()+1)/3-2,0))),"")</f>
        <v/>
      </c>
      <c r="AT466" s="127"/>
      <c r="AU466" s="127"/>
      <c r="AV466" s="58" t="str" cm="1">
        <f>IFERROR(IF(ISBLANK($A466),"",INDEX(Array_StationaryCharges,MATCH($A466,List_StationaryFuelMeters,0),ROUNDUP((COLUMN()+1)/3-2,0))),"")</f>
        <v/>
      </c>
      <c r="AW466" s="127"/>
      <c r="AX466" s="127"/>
    </row>
    <row r="467" spans="1:50" x14ac:dyDescent="0.3">
      <c r="A467" s="126"/>
      <c r="B467" s="133"/>
      <c r="C467" s="127"/>
      <c r="D467" s="138"/>
      <c r="E467" s="138"/>
      <c r="F467" s="58" t="str" cm="1">
        <f>IFERROR(IF(ISBLANK($A467),"",INDEX(Array_StationaryCharges,MATCH($A467,List_StationaryFuelMeters,0),ROUNDUP((COLUMN()+1)/3-2,0))),"")</f>
        <v/>
      </c>
      <c r="G467" s="127"/>
      <c r="H467" s="127"/>
      <c r="I467" s="58" t="str" cm="1">
        <f>IFERROR(IF(ISBLANK($A467),"",INDEX(Array_StationaryCharges,MATCH($A467,List_StationaryFuelMeters,0),ROUNDUP((COLUMN()+1)/3-2,0))),"")</f>
        <v/>
      </c>
      <c r="J467" s="127"/>
      <c r="K467" s="127"/>
      <c r="L467" s="58" t="str" cm="1">
        <f>IFERROR(IF(ISBLANK($A467),"",INDEX(Array_StationaryCharges,MATCH($A467,List_StationaryFuelMeters,0),ROUNDUP((COLUMN()+1)/3-2,0))),"")</f>
        <v/>
      </c>
      <c r="M467" s="127"/>
      <c r="N467" s="127"/>
      <c r="O467" s="58" t="str" cm="1">
        <f>IFERROR(IF(ISBLANK($A467),"",INDEX(Array_StationaryCharges,MATCH($A467,List_StationaryFuelMeters,0),ROUNDUP((COLUMN()+1)/3-2,0))),"")</f>
        <v/>
      </c>
      <c r="P467" s="127"/>
      <c r="Q467" s="127"/>
      <c r="R467" s="58" t="str" cm="1">
        <f>IFERROR(IF(ISBLANK($A467),"",INDEX(Array_StationaryCharges,MATCH($A467,List_StationaryFuelMeters,0),ROUNDUP((COLUMN()+1)/3-2,0))),"")</f>
        <v/>
      </c>
      <c r="S467" s="127"/>
      <c r="T467" s="127"/>
      <c r="U467" s="58" t="str" cm="1">
        <f>IFERROR(IF(ISBLANK($A467),"",INDEX(Array_StationaryCharges,MATCH($A467,List_StationaryFuelMeters,0),ROUNDUP((COLUMN()+1)/3-2,0))),"")</f>
        <v/>
      </c>
      <c r="V467" s="127"/>
      <c r="W467" s="127"/>
      <c r="X467" s="58" t="str" cm="1">
        <f>IFERROR(IF(ISBLANK($A467),"",INDEX(Array_StationaryCharges,MATCH($A467,List_StationaryFuelMeters,0),ROUNDUP((COLUMN()+1)/3-2,0))),"")</f>
        <v/>
      </c>
      <c r="Y467" s="127"/>
      <c r="Z467" s="127"/>
      <c r="AA467" s="58" t="str" cm="1">
        <f>IFERROR(IF(ISBLANK($A467),"",INDEX(Array_StationaryCharges,MATCH($A467,List_StationaryFuelMeters,0),ROUNDUP((COLUMN()+1)/3-2,0))),"")</f>
        <v/>
      </c>
      <c r="AB467" s="127"/>
      <c r="AC467" s="127"/>
      <c r="AD467" s="58" t="str" cm="1">
        <f>IFERROR(IF(ISBLANK($A467),"",INDEX(Array_StationaryCharges,MATCH($A467,List_StationaryFuelMeters,0),ROUNDUP((COLUMN()+1)/3-2,0))),"")</f>
        <v/>
      </c>
      <c r="AE467" s="127"/>
      <c r="AF467" s="127"/>
      <c r="AG467" s="58" t="str" cm="1">
        <f>IFERROR(IF(ISBLANK($A467),"",INDEX(Array_StationaryCharges,MATCH($A467,List_StationaryFuelMeters,0),ROUNDUP((COLUMN()+1)/3-2,0))),"")</f>
        <v/>
      </c>
      <c r="AH467" s="127"/>
      <c r="AI467" s="127"/>
      <c r="AJ467" s="58" t="str" cm="1">
        <f>IFERROR(IF(ISBLANK($A467),"",INDEX(Array_StationaryCharges,MATCH($A467,List_StationaryFuelMeters,0),ROUNDUP((COLUMN()+1)/3-2,0))),"")</f>
        <v/>
      </c>
      <c r="AK467" s="127"/>
      <c r="AL467" s="127"/>
      <c r="AM467" s="58" t="str" cm="1">
        <f>IFERROR(IF(ISBLANK($A467),"",INDEX(Array_StationaryCharges,MATCH($A467,List_StationaryFuelMeters,0),ROUNDUP((COLUMN()+1)/3-2,0))),"")</f>
        <v/>
      </c>
      <c r="AN467" s="127"/>
      <c r="AO467" s="127"/>
      <c r="AP467" s="58" t="str" cm="1">
        <f>IFERROR(IF(ISBLANK($A467),"",INDEX(Array_StationaryCharges,MATCH($A467,List_StationaryFuelMeters,0),ROUNDUP((COLUMN()+1)/3-2,0))),"")</f>
        <v/>
      </c>
      <c r="AQ467" s="127"/>
      <c r="AR467" s="127"/>
      <c r="AS467" s="58" t="str" cm="1">
        <f>IFERROR(IF(ISBLANK($A467),"",INDEX(Array_StationaryCharges,MATCH($A467,List_StationaryFuelMeters,0),ROUNDUP((COLUMN()+1)/3-2,0))),"")</f>
        <v/>
      </c>
      <c r="AT467" s="127"/>
      <c r="AU467" s="127"/>
      <c r="AV467" s="58" t="str" cm="1">
        <f>IFERROR(IF(ISBLANK($A467),"",INDEX(Array_StationaryCharges,MATCH($A467,List_StationaryFuelMeters,0),ROUNDUP((COLUMN()+1)/3-2,0))),"")</f>
        <v/>
      </c>
      <c r="AW467" s="127"/>
      <c r="AX467" s="127"/>
    </row>
    <row r="468" spans="1:50" x14ac:dyDescent="0.3">
      <c r="A468" s="126"/>
      <c r="B468" s="133"/>
      <c r="C468" s="127"/>
      <c r="D468" s="138"/>
      <c r="E468" s="138"/>
      <c r="F468" s="58" t="str" cm="1">
        <f>IFERROR(IF(ISBLANK($A468),"",INDEX(Array_StationaryCharges,MATCH($A468,List_StationaryFuelMeters,0),ROUNDUP((COLUMN()+1)/3-2,0))),"")</f>
        <v/>
      </c>
      <c r="G468" s="127"/>
      <c r="H468" s="127"/>
      <c r="I468" s="58" t="str" cm="1">
        <f>IFERROR(IF(ISBLANK($A468),"",INDEX(Array_StationaryCharges,MATCH($A468,List_StationaryFuelMeters,0),ROUNDUP((COLUMN()+1)/3-2,0))),"")</f>
        <v/>
      </c>
      <c r="J468" s="127"/>
      <c r="K468" s="127"/>
      <c r="L468" s="58" t="str" cm="1">
        <f>IFERROR(IF(ISBLANK($A468),"",INDEX(Array_StationaryCharges,MATCH($A468,List_StationaryFuelMeters,0),ROUNDUP((COLUMN()+1)/3-2,0))),"")</f>
        <v/>
      </c>
      <c r="M468" s="127"/>
      <c r="N468" s="127"/>
      <c r="O468" s="58" t="str" cm="1">
        <f>IFERROR(IF(ISBLANK($A468),"",INDEX(Array_StationaryCharges,MATCH($A468,List_StationaryFuelMeters,0),ROUNDUP((COLUMN()+1)/3-2,0))),"")</f>
        <v/>
      </c>
      <c r="P468" s="127"/>
      <c r="Q468" s="127"/>
      <c r="R468" s="58" t="str" cm="1">
        <f>IFERROR(IF(ISBLANK($A468),"",INDEX(Array_StationaryCharges,MATCH($A468,List_StationaryFuelMeters,0),ROUNDUP((COLUMN()+1)/3-2,0))),"")</f>
        <v/>
      </c>
      <c r="S468" s="127"/>
      <c r="T468" s="127"/>
      <c r="U468" s="58" t="str" cm="1">
        <f>IFERROR(IF(ISBLANK($A468),"",INDEX(Array_StationaryCharges,MATCH($A468,List_StationaryFuelMeters,0),ROUNDUP((COLUMN()+1)/3-2,0))),"")</f>
        <v/>
      </c>
      <c r="V468" s="127"/>
      <c r="W468" s="127"/>
      <c r="X468" s="58" t="str" cm="1">
        <f>IFERROR(IF(ISBLANK($A468),"",INDEX(Array_StationaryCharges,MATCH($A468,List_StationaryFuelMeters,0),ROUNDUP((COLUMN()+1)/3-2,0))),"")</f>
        <v/>
      </c>
      <c r="Y468" s="127"/>
      <c r="Z468" s="127"/>
      <c r="AA468" s="58" t="str" cm="1">
        <f>IFERROR(IF(ISBLANK($A468),"",INDEX(Array_StationaryCharges,MATCH($A468,List_StationaryFuelMeters,0),ROUNDUP((COLUMN()+1)/3-2,0))),"")</f>
        <v/>
      </c>
      <c r="AB468" s="127"/>
      <c r="AC468" s="127"/>
      <c r="AD468" s="58" t="str" cm="1">
        <f>IFERROR(IF(ISBLANK($A468),"",INDEX(Array_StationaryCharges,MATCH($A468,List_StationaryFuelMeters,0),ROUNDUP((COLUMN()+1)/3-2,0))),"")</f>
        <v/>
      </c>
      <c r="AE468" s="127"/>
      <c r="AF468" s="127"/>
      <c r="AG468" s="58" t="str" cm="1">
        <f>IFERROR(IF(ISBLANK($A468),"",INDEX(Array_StationaryCharges,MATCH($A468,List_StationaryFuelMeters,0),ROUNDUP((COLUMN()+1)/3-2,0))),"")</f>
        <v/>
      </c>
      <c r="AH468" s="127"/>
      <c r="AI468" s="127"/>
      <c r="AJ468" s="58" t="str" cm="1">
        <f>IFERROR(IF(ISBLANK($A468),"",INDEX(Array_StationaryCharges,MATCH($A468,List_StationaryFuelMeters,0),ROUNDUP((COLUMN()+1)/3-2,0))),"")</f>
        <v/>
      </c>
      <c r="AK468" s="127"/>
      <c r="AL468" s="127"/>
      <c r="AM468" s="58" t="str" cm="1">
        <f>IFERROR(IF(ISBLANK($A468),"",INDEX(Array_StationaryCharges,MATCH($A468,List_StationaryFuelMeters,0),ROUNDUP((COLUMN()+1)/3-2,0))),"")</f>
        <v/>
      </c>
      <c r="AN468" s="127"/>
      <c r="AO468" s="127"/>
      <c r="AP468" s="58" t="str" cm="1">
        <f>IFERROR(IF(ISBLANK($A468),"",INDEX(Array_StationaryCharges,MATCH($A468,List_StationaryFuelMeters,0),ROUNDUP((COLUMN()+1)/3-2,0))),"")</f>
        <v/>
      </c>
      <c r="AQ468" s="127"/>
      <c r="AR468" s="127"/>
      <c r="AS468" s="58" t="str" cm="1">
        <f>IFERROR(IF(ISBLANK($A468),"",INDEX(Array_StationaryCharges,MATCH($A468,List_StationaryFuelMeters,0),ROUNDUP((COLUMN()+1)/3-2,0))),"")</f>
        <v/>
      </c>
      <c r="AT468" s="127"/>
      <c r="AU468" s="127"/>
      <c r="AV468" s="58" t="str" cm="1">
        <f>IFERROR(IF(ISBLANK($A468),"",INDEX(Array_StationaryCharges,MATCH($A468,List_StationaryFuelMeters,0),ROUNDUP((COLUMN()+1)/3-2,0))),"")</f>
        <v/>
      </c>
      <c r="AW468" s="127"/>
      <c r="AX468" s="127"/>
    </row>
    <row r="469" spans="1:50" x14ac:dyDescent="0.3">
      <c r="A469" s="126"/>
      <c r="B469" s="133"/>
      <c r="C469" s="127"/>
      <c r="D469" s="138"/>
      <c r="E469" s="138"/>
      <c r="F469" s="58" t="str" cm="1">
        <f>IFERROR(IF(ISBLANK($A469),"",INDEX(Array_StationaryCharges,MATCH($A469,List_StationaryFuelMeters,0),ROUNDUP((COLUMN()+1)/3-2,0))),"")</f>
        <v/>
      </c>
      <c r="G469" s="127"/>
      <c r="H469" s="127"/>
      <c r="I469" s="58" t="str" cm="1">
        <f>IFERROR(IF(ISBLANK($A469),"",INDEX(Array_StationaryCharges,MATCH($A469,List_StationaryFuelMeters,0),ROUNDUP((COLUMN()+1)/3-2,0))),"")</f>
        <v/>
      </c>
      <c r="J469" s="127"/>
      <c r="K469" s="127"/>
      <c r="L469" s="58" t="str" cm="1">
        <f>IFERROR(IF(ISBLANK($A469),"",INDEX(Array_StationaryCharges,MATCH($A469,List_StationaryFuelMeters,0),ROUNDUP((COLUMN()+1)/3-2,0))),"")</f>
        <v/>
      </c>
      <c r="M469" s="127"/>
      <c r="N469" s="127"/>
      <c r="O469" s="58" t="str" cm="1">
        <f>IFERROR(IF(ISBLANK($A469),"",INDEX(Array_StationaryCharges,MATCH($A469,List_StationaryFuelMeters,0),ROUNDUP((COLUMN()+1)/3-2,0))),"")</f>
        <v/>
      </c>
      <c r="P469" s="127"/>
      <c r="Q469" s="127"/>
      <c r="R469" s="58" t="str" cm="1">
        <f>IFERROR(IF(ISBLANK($A469),"",INDEX(Array_StationaryCharges,MATCH($A469,List_StationaryFuelMeters,0),ROUNDUP((COLUMN()+1)/3-2,0))),"")</f>
        <v/>
      </c>
      <c r="S469" s="127"/>
      <c r="T469" s="127"/>
      <c r="U469" s="58" t="str" cm="1">
        <f>IFERROR(IF(ISBLANK($A469),"",INDEX(Array_StationaryCharges,MATCH($A469,List_StationaryFuelMeters,0),ROUNDUP((COLUMN()+1)/3-2,0))),"")</f>
        <v/>
      </c>
      <c r="V469" s="127"/>
      <c r="W469" s="127"/>
      <c r="X469" s="58" t="str" cm="1">
        <f>IFERROR(IF(ISBLANK($A469),"",INDEX(Array_StationaryCharges,MATCH($A469,List_StationaryFuelMeters,0),ROUNDUP((COLUMN()+1)/3-2,0))),"")</f>
        <v/>
      </c>
      <c r="Y469" s="127"/>
      <c r="Z469" s="127"/>
      <c r="AA469" s="58" t="str" cm="1">
        <f>IFERROR(IF(ISBLANK($A469),"",INDEX(Array_StationaryCharges,MATCH($A469,List_StationaryFuelMeters,0),ROUNDUP((COLUMN()+1)/3-2,0))),"")</f>
        <v/>
      </c>
      <c r="AB469" s="127"/>
      <c r="AC469" s="127"/>
      <c r="AD469" s="58" t="str" cm="1">
        <f>IFERROR(IF(ISBLANK($A469),"",INDEX(Array_StationaryCharges,MATCH($A469,List_StationaryFuelMeters,0),ROUNDUP((COLUMN()+1)/3-2,0))),"")</f>
        <v/>
      </c>
      <c r="AE469" s="127"/>
      <c r="AF469" s="127"/>
      <c r="AG469" s="58" t="str" cm="1">
        <f>IFERROR(IF(ISBLANK($A469),"",INDEX(Array_StationaryCharges,MATCH($A469,List_StationaryFuelMeters,0),ROUNDUP((COLUMN()+1)/3-2,0))),"")</f>
        <v/>
      </c>
      <c r="AH469" s="127"/>
      <c r="AI469" s="127"/>
      <c r="AJ469" s="58" t="str" cm="1">
        <f>IFERROR(IF(ISBLANK($A469),"",INDEX(Array_StationaryCharges,MATCH($A469,List_StationaryFuelMeters,0),ROUNDUP((COLUMN()+1)/3-2,0))),"")</f>
        <v/>
      </c>
      <c r="AK469" s="127"/>
      <c r="AL469" s="127"/>
      <c r="AM469" s="58" t="str" cm="1">
        <f>IFERROR(IF(ISBLANK($A469),"",INDEX(Array_StationaryCharges,MATCH($A469,List_StationaryFuelMeters,0),ROUNDUP((COLUMN()+1)/3-2,0))),"")</f>
        <v/>
      </c>
      <c r="AN469" s="127"/>
      <c r="AO469" s="127"/>
      <c r="AP469" s="58" t="str" cm="1">
        <f>IFERROR(IF(ISBLANK($A469),"",INDEX(Array_StationaryCharges,MATCH($A469,List_StationaryFuelMeters,0),ROUNDUP((COLUMN()+1)/3-2,0))),"")</f>
        <v/>
      </c>
      <c r="AQ469" s="127"/>
      <c r="AR469" s="127"/>
      <c r="AS469" s="58" t="str" cm="1">
        <f>IFERROR(IF(ISBLANK($A469),"",INDEX(Array_StationaryCharges,MATCH($A469,List_StationaryFuelMeters,0),ROUNDUP((COLUMN()+1)/3-2,0))),"")</f>
        <v/>
      </c>
      <c r="AT469" s="127"/>
      <c r="AU469" s="127"/>
      <c r="AV469" s="58" t="str" cm="1">
        <f>IFERROR(IF(ISBLANK($A469),"",INDEX(Array_StationaryCharges,MATCH($A469,List_StationaryFuelMeters,0),ROUNDUP((COLUMN()+1)/3-2,0))),"")</f>
        <v/>
      </c>
      <c r="AW469" s="127"/>
      <c r="AX469" s="127"/>
    </row>
    <row r="470" spans="1:50" x14ac:dyDescent="0.3">
      <c r="A470" s="126"/>
      <c r="B470" s="133"/>
      <c r="C470" s="127"/>
      <c r="D470" s="138"/>
      <c r="E470" s="138"/>
      <c r="F470" s="58" t="str" cm="1">
        <f>IFERROR(IF(ISBLANK($A470),"",INDEX(Array_StationaryCharges,MATCH($A470,List_StationaryFuelMeters,0),ROUNDUP((COLUMN()+1)/3-2,0))),"")</f>
        <v/>
      </c>
      <c r="G470" s="127"/>
      <c r="H470" s="127"/>
      <c r="I470" s="58" t="str" cm="1">
        <f>IFERROR(IF(ISBLANK($A470),"",INDEX(Array_StationaryCharges,MATCH($A470,List_StationaryFuelMeters,0),ROUNDUP((COLUMN()+1)/3-2,0))),"")</f>
        <v/>
      </c>
      <c r="J470" s="127"/>
      <c r="K470" s="127"/>
      <c r="L470" s="58" t="str" cm="1">
        <f>IFERROR(IF(ISBLANK($A470),"",INDEX(Array_StationaryCharges,MATCH($A470,List_StationaryFuelMeters,0),ROUNDUP((COLUMN()+1)/3-2,0))),"")</f>
        <v/>
      </c>
      <c r="M470" s="127"/>
      <c r="N470" s="127"/>
      <c r="O470" s="58" t="str" cm="1">
        <f>IFERROR(IF(ISBLANK($A470),"",INDEX(Array_StationaryCharges,MATCH($A470,List_StationaryFuelMeters,0),ROUNDUP((COLUMN()+1)/3-2,0))),"")</f>
        <v/>
      </c>
      <c r="P470" s="127"/>
      <c r="Q470" s="127"/>
      <c r="R470" s="58" t="str" cm="1">
        <f>IFERROR(IF(ISBLANK($A470),"",INDEX(Array_StationaryCharges,MATCH($A470,List_StationaryFuelMeters,0),ROUNDUP((COLUMN()+1)/3-2,0))),"")</f>
        <v/>
      </c>
      <c r="S470" s="127"/>
      <c r="T470" s="127"/>
      <c r="U470" s="58" t="str" cm="1">
        <f>IFERROR(IF(ISBLANK($A470),"",INDEX(Array_StationaryCharges,MATCH($A470,List_StationaryFuelMeters,0),ROUNDUP((COLUMN()+1)/3-2,0))),"")</f>
        <v/>
      </c>
      <c r="V470" s="127"/>
      <c r="W470" s="127"/>
      <c r="X470" s="58" t="str" cm="1">
        <f>IFERROR(IF(ISBLANK($A470),"",INDEX(Array_StationaryCharges,MATCH($A470,List_StationaryFuelMeters,0),ROUNDUP((COLUMN()+1)/3-2,0))),"")</f>
        <v/>
      </c>
      <c r="Y470" s="127"/>
      <c r="Z470" s="127"/>
      <c r="AA470" s="58" t="str" cm="1">
        <f>IFERROR(IF(ISBLANK($A470),"",INDEX(Array_StationaryCharges,MATCH($A470,List_StationaryFuelMeters,0),ROUNDUP((COLUMN()+1)/3-2,0))),"")</f>
        <v/>
      </c>
      <c r="AB470" s="127"/>
      <c r="AC470" s="127"/>
      <c r="AD470" s="58" t="str" cm="1">
        <f>IFERROR(IF(ISBLANK($A470),"",INDEX(Array_StationaryCharges,MATCH($A470,List_StationaryFuelMeters,0),ROUNDUP((COLUMN()+1)/3-2,0))),"")</f>
        <v/>
      </c>
      <c r="AE470" s="127"/>
      <c r="AF470" s="127"/>
      <c r="AG470" s="58" t="str" cm="1">
        <f>IFERROR(IF(ISBLANK($A470),"",INDEX(Array_StationaryCharges,MATCH($A470,List_StationaryFuelMeters,0),ROUNDUP((COLUMN()+1)/3-2,0))),"")</f>
        <v/>
      </c>
      <c r="AH470" s="127"/>
      <c r="AI470" s="127"/>
      <c r="AJ470" s="58" t="str" cm="1">
        <f>IFERROR(IF(ISBLANK($A470),"",INDEX(Array_StationaryCharges,MATCH($A470,List_StationaryFuelMeters,0),ROUNDUP((COLUMN()+1)/3-2,0))),"")</f>
        <v/>
      </c>
      <c r="AK470" s="127"/>
      <c r="AL470" s="127"/>
      <c r="AM470" s="58" t="str" cm="1">
        <f>IFERROR(IF(ISBLANK($A470),"",INDEX(Array_StationaryCharges,MATCH($A470,List_StationaryFuelMeters,0),ROUNDUP((COLUMN()+1)/3-2,0))),"")</f>
        <v/>
      </c>
      <c r="AN470" s="127"/>
      <c r="AO470" s="127"/>
      <c r="AP470" s="58" t="str" cm="1">
        <f>IFERROR(IF(ISBLANK($A470),"",INDEX(Array_StationaryCharges,MATCH($A470,List_StationaryFuelMeters,0),ROUNDUP((COLUMN()+1)/3-2,0))),"")</f>
        <v/>
      </c>
      <c r="AQ470" s="127"/>
      <c r="AR470" s="127"/>
      <c r="AS470" s="58" t="str" cm="1">
        <f>IFERROR(IF(ISBLANK($A470),"",INDEX(Array_StationaryCharges,MATCH($A470,List_StationaryFuelMeters,0),ROUNDUP((COLUMN()+1)/3-2,0))),"")</f>
        <v/>
      </c>
      <c r="AT470" s="127"/>
      <c r="AU470" s="127"/>
      <c r="AV470" s="58" t="str" cm="1">
        <f>IFERROR(IF(ISBLANK($A470),"",INDEX(Array_StationaryCharges,MATCH($A470,List_StationaryFuelMeters,0),ROUNDUP((COLUMN()+1)/3-2,0))),"")</f>
        <v/>
      </c>
      <c r="AW470" s="127"/>
      <c r="AX470" s="127"/>
    </row>
    <row r="471" spans="1:50" x14ac:dyDescent="0.3">
      <c r="A471" s="126"/>
      <c r="B471" s="133"/>
      <c r="C471" s="127"/>
      <c r="D471" s="138"/>
      <c r="E471" s="138"/>
      <c r="F471" s="58" t="str" cm="1">
        <f>IFERROR(IF(ISBLANK($A471),"",INDEX(Array_StationaryCharges,MATCH($A471,List_StationaryFuelMeters,0),ROUNDUP((COLUMN()+1)/3-2,0))),"")</f>
        <v/>
      </c>
      <c r="G471" s="127"/>
      <c r="H471" s="127"/>
      <c r="I471" s="58" t="str" cm="1">
        <f>IFERROR(IF(ISBLANK($A471),"",INDEX(Array_StationaryCharges,MATCH($A471,List_StationaryFuelMeters,0),ROUNDUP((COLUMN()+1)/3-2,0))),"")</f>
        <v/>
      </c>
      <c r="J471" s="127"/>
      <c r="K471" s="127"/>
      <c r="L471" s="58" t="str" cm="1">
        <f>IFERROR(IF(ISBLANK($A471),"",INDEX(Array_StationaryCharges,MATCH($A471,List_StationaryFuelMeters,0),ROUNDUP((COLUMN()+1)/3-2,0))),"")</f>
        <v/>
      </c>
      <c r="M471" s="127"/>
      <c r="N471" s="127"/>
      <c r="O471" s="58" t="str" cm="1">
        <f>IFERROR(IF(ISBLANK($A471),"",INDEX(Array_StationaryCharges,MATCH($A471,List_StationaryFuelMeters,0),ROUNDUP((COLUMN()+1)/3-2,0))),"")</f>
        <v/>
      </c>
      <c r="P471" s="127"/>
      <c r="Q471" s="127"/>
      <c r="R471" s="58" t="str" cm="1">
        <f>IFERROR(IF(ISBLANK($A471),"",INDEX(Array_StationaryCharges,MATCH($A471,List_StationaryFuelMeters,0),ROUNDUP((COLUMN()+1)/3-2,0))),"")</f>
        <v/>
      </c>
      <c r="S471" s="127"/>
      <c r="T471" s="127"/>
      <c r="U471" s="58" t="str" cm="1">
        <f>IFERROR(IF(ISBLANK($A471),"",INDEX(Array_StationaryCharges,MATCH($A471,List_StationaryFuelMeters,0),ROUNDUP((COLUMN()+1)/3-2,0))),"")</f>
        <v/>
      </c>
      <c r="V471" s="127"/>
      <c r="W471" s="127"/>
      <c r="X471" s="58" t="str" cm="1">
        <f>IFERROR(IF(ISBLANK($A471),"",INDEX(Array_StationaryCharges,MATCH($A471,List_StationaryFuelMeters,0),ROUNDUP((COLUMN()+1)/3-2,0))),"")</f>
        <v/>
      </c>
      <c r="Y471" s="127"/>
      <c r="Z471" s="127"/>
      <c r="AA471" s="58" t="str" cm="1">
        <f>IFERROR(IF(ISBLANK($A471),"",INDEX(Array_StationaryCharges,MATCH($A471,List_StationaryFuelMeters,0),ROUNDUP((COLUMN()+1)/3-2,0))),"")</f>
        <v/>
      </c>
      <c r="AB471" s="127"/>
      <c r="AC471" s="127"/>
      <c r="AD471" s="58" t="str" cm="1">
        <f>IFERROR(IF(ISBLANK($A471),"",INDEX(Array_StationaryCharges,MATCH($A471,List_StationaryFuelMeters,0),ROUNDUP((COLUMN()+1)/3-2,0))),"")</f>
        <v/>
      </c>
      <c r="AE471" s="127"/>
      <c r="AF471" s="127"/>
      <c r="AG471" s="58" t="str" cm="1">
        <f>IFERROR(IF(ISBLANK($A471),"",INDEX(Array_StationaryCharges,MATCH($A471,List_StationaryFuelMeters,0),ROUNDUP((COLUMN()+1)/3-2,0))),"")</f>
        <v/>
      </c>
      <c r="AH471" s="127"/>
      <c r="AI471" s="127"/>
      <c r="AJ471" s="58" t="str" cm="1">
        <f>IFERROR(IF(ISBLANK($A471),"",INDEX(Array_StationaryCharges,MATCH($A471,List_StationaryFuelMeters,0),ROUNDUP((COLUMN()+1)/3-2,0))),"")</f>
        <v/>
      </c>
      <c r="AK471" s="127"/>
      <c r="AL471" s="127"/>
      <c r="AM471" s="58" t="str" cm="1">
        <f>IFERROR(IF(ISBLANK($A471),"",INDEX(Array_StationaryCharges,MATCH($A471,List_StationaryFuelMeters,0),ROUNDUP((COLUMN()+1)/3-2,0))),"")</f>
        <v/>
      </c>
      <c r="AN471" s="127"/>
      <c r="AO471" s="127"/>
      <c r="AP471" s="58" t="str" cm="1">
        <f>IFERROR(IF(ISBLANK($A471),"",INDEX(Array_StationaryCharges,MATCH($A471,List_StationaryFuelMeters,0),ROUNDUP((COLUMN()+1)/3-2,0))),"")</f>
        <v/>
      </c>
      <c r="AQ471" s="127"/>
      <c r="AR471" s="127"/>
      <c r="AS471" s="58" t="str" cm="1">
        <f>IFERROR(IF(ISBLANK($A471),"",INDEX(Array_StationaryCharges,MATCH($A471,List_StationaryFuelMeters,0),ROUNDUP((COLUMN()+1)/3-2,0))),"")</f>
        <v/>
      </c>
      <c r="AT471" s="127"/>
      <c r="AU471" s="127"/>
      <c r="AV471" s="58" t="str" cm="1">
        <f>IFERROR(IF(ISBLANK($A471),"",INDEX(Array_StationaryCharges,MATCH($A471,List_StationaryFuelMeters,0),ROUNDUP((COLUMN()+1)/3-2,0))),"")</f>
        <v/>
      </c>
      <c r="AW471" s="127"/>
      <c r="AX471" s="127"/>
    </row>
    <row r="472" spans="1:50" x14ac:dyDescent="0.3">
      <c r="A472" s="126"/>
      <c r="B472" s="133"/>
      <c r="C472" s="127"/>
      <c r="D472" s="138"/>
      <c r="E472" s="138"/>
      <c r="F472" s="58" t="str" cm="1">
        <f>IFERROR(IF(ISBLANK($A472),"",INDEX(Array_StationaryCharges,MATCH($A472,List_StationaryFuelMeters,0),ROUNDUP((COLUMN()+1)/3-2,0))),"")</f>
        <v/>
      </c>
      <c r="G472" s="127"/>
      <c r="H472" s="127"/>
      <c r="I472" s="58" t="str" cm="1">
        <f>IFERROR(IF(ISBLANK($A472),"",INDEX(Array_StationaryCharges,MATCH($A472,List_StationaryFuelMeters,0),ROUNDUP((COLUMN()+1)/3-2,0))),"")</f>
        <v/>
      </c>
      <c r="J472" s="127"/>
      <c r="K472" s="127"/>
      <c r="L472" s="58" t="str" cm="1">
        <f>IFERROR(IF(ISBLANK($A472),"",INDEX(Array_StationaryCharges,MATCH($A472,List_StationaryFuelMeters,0),ROUNDUP((COLUMN()+1)/3-2,0))),"")</f>
        <v/>
      </c>
      <c r="M472" s="127"/>
      <c r="N472" s="127"/>
      <c r="O472" s="58" t="str" cm="1">
        <f>IFERROR(IF(ISBLANK($A472),"",INDEX(Array_StationaryCharges,MATCH($A472,List_StationaryFuelMeters,0),ROUNDUP((COLUMN()+1)/3-2,0))),"")</f>
        <v/>
      </c>
      <c r="P472" s="127"/>
      <c r="Q472" s="127"/>
      <c r="R472" s="58" t="str" cm="1">
        <f>IFERROR(IF(ISBLANK($A472),"",INDEX(Array_StationaryCharges,MATCH($A472,List_StationaryFuelMeters,0),ROUNDUP((COLUMN()+1)/3-2,0))),"")</f>
        <v/>
      </c>
      <c r="S472" s="127"/>
      <c r="T472" s="127"/>
      <c r="U472" s="58" t="str" cm="1">
        <f>IFERROR(IF(ISBLANK($A472),"",INDEX(Array_StationaryCharges,MATCH($A472,List_StationaryFuelMeters,0),ROUNDUP((COLUMN()+1)/3-2,0))),"")</f>
        <v/>
      </c>
      <c r="V472" s="127"/>
      <c r="W472" s="127"/>
      <c r="X472" s="58" t="str" cm="1">
        <f>IFERROR(IF(ISBLANK($A472),"",INDEX(Array_StationaryCharges,MATCH($A472,List_StationaryFuelMeters,0),ROUNDUP((COLUMN()+1)/3-2,0))),"")</f>
        <v/>
      </c>
      <c r="Y472" s="127"/>
      <c r="Z472" s="127"/>
      <c r="AA472" s="58" t="str" cm="1">
        <f>IFERROR(IF(ISBLANK($A472),"",INDEX(Array_StationaryCharges,MATCH($A472,List_StationaryFuelMeters,0),ROUNDUP((COLUMN()+1)/3-2,0))),"")</f>
        <v/>
      </c>
      <c r="AB472" s="127"/>
      <c r="AC472" s="127"/>
      <c r="AD472" s="58" t="str" cm="1">
        <f>IFERROR(IF(ISBLANK($A472),"",INDEX(Array_StationaryCharges,MATCH($A472,List_StationaryFuelMeters,0),ROUNDUP((COLUMN()+1)/3-2,0))),"")</f>
        <v/>
      </c>
      <c r="AE472" s="127"/>
      <c r="AF472" s="127"/>
      <c r="AG472" s="58" t="str" cm="1">
        <f>IFERROR(IF(ISBLANK($A472),"",INDEX(Array_StationaryCharges,MATCH($A472,List_StationaryFuelMeters,0),ROUNDUP((COLUMN()+1)/3-2,0))),"")</f>
        <v/>
      </c>
      <c r="AH472" s="127"/>
      <c r="AI472" s="127"/>
      <c r="AJ472" s="58" t="str" cm="1">
        <f>IFERROR(IF(ISBLANK($A472),"",INDEX(Array_StationaryCharges,MATCH($A472,List_StationaryFuelMeters,0),ROUNDUP((COLUMN()+1)/3-2,0))),"")</f>
        <v/>
      </c>
      <c r="AK472" s="127"/>
      <c r="AL472" s="127"/>
      <c r="AM472" s="58" t="str" cm="1">
        <f>IFERROR(IF(ISBLANK($A472),"",INDEX(Array_StationaryCharges,MATCH($A472,List_StationaryFuelMeters,0),ROUNDUP((COLUMN()+1)/3-2,0))),"")</f>
        <v/>
      </c>
      <c r="AN472" s="127"/>
      <c r="AO472" s="127"/>
      <c r="AP472" s="58" t="str" cm="1">
        <f>IFERROR(IF(ISBLANK($A472),"",INDEX(Array_StationaryCharges,MATCH($A472,List_StationaryFuelMeters,0),ROUNDUP((COLUMN()+1)/3-2,0))),"")</f>
        <v/>
      </c>
      <c r="AQ472" s="127"/>
      <c r="AR472" s="127"/>
      <c r="AS472" s="58" t="str" cm="1">
        <f>IFERROR(IF(ISBLANK($A472),"",INDEX(Array_StationaryCharges,MATCH($A472,List_StationaryFuelMeters,0),ROUNDUP((COLUMN()+1)/3-2,0))),"")</f>
        <v/>
      </c>
      <c r="AT472" s="127"/>
      <c r="AU472" s="127"/>
      <c r="AV472" s="58" t="str" cm="1">
        <f>IFERROR(IF(ISBLANK($A472),"",INDEX(Array_StationaryCharges,MATCH($A472,List_StationaryFuelMeters,0),ROUNDUP((COLUMN()+1)/3-2,0))),"")</f>
        <v/>
      </c>
      <c r="AW472" s="127"/>
      <c r="AX472" s="127"/>
    </row>
    <row r="473" spans="1:50" x14ac:dyDescent="0.3">
      <c r="A473" s="126"/>
      <c r="B473" s="133"/>
      <c r="C473" s="127"/>
      <c r="D473" s="138"/>
      <c r="E473" s="138"/>
      <c r="F473" s="58" t="str" cm="1">
        <f>IFERROR(IF(ISBLANK($A473),"",INDEX(Array_StationaryCharges,MATCH($A473,List_StationaryFuelMeters,0),ROUNDUP((COLUMN()+1)/3-2,0))),"")</f>
        <v/>
      </c>
      <c r="G473" s="127"/>
      <c r="H473" s="127"/>
      <c r="I473" s="58" t="str" cm="1">
        <f>IFERROR(IF(ISBLANK($A473),"",INDEX(Array_StationaryCharges,MATCH($A473,List_StationaryFuelMeters,0),ROUNDUP((COLUMN()+1)/3-2,0))),"")</f>
        <v/>
      </c>
      <c r="J473" s="127"/>
      <c r="K473" s="127"/>
      <c r="L473" s="58" t="str" cm="1">
        <f>IFERROR(IF(ISBLANK($A473),"",INDEX(Array_StationaryCharges,MATCH($A473,List_StationaryFuelMeters,0),ROUNDUP((COLUMN()+1)/3-2,0))),"")</f>
        <v/>
      </c>
      <c r="M473" s="127"/>
      <c r="N473" s="127"/>
      <c r="O473" s="58" t="str" cm="1">
        <f>IFERROR(IF(ISBLANK($A473),"",INDEX(Array_StationaryCharges,MATCH($A473,List_StationaryFuelMeters,0),ROUNDUP((COLUMN()+1)/3-2,0))),"")</f>
        <v/>
      </c>
      <c r="P473" s="127"/>
      <c r="Q473" s="127"/>
      <c r="R473" s="58" t="str" cm="1">
        <f>IFERROR(IF(ISBLANK($A473),"",INDEX(Array_StationaryCharges,MATCH($A473,List_StationaryFuelMeters,0),ROUNDUP((COLUMN()+1)/3-2,0))),"")</f>
        <v/>
      </c>
      <c r="S473" s="127"/>
      <c r="T473" s="127"/>
      <c r="U473" s="58" t="str" cm="1">
        <f>IFERROR(IF(ISBLANK($A473),"",INDEX(Array_StationaryCharges,MATCH($A473,List_StationaryFuelMeters,0),ROUNDUP((COLUMN()+1)/3-2,0))),"")</f>
        <v/>
      </c>
      <c r="V473" s="127"/>
      <c r="W473" s="127"/>
      <c r="X473" s="58" t="str" cm="1">
        <f>IFERROR(IF(ISBLANK($A473),"",INDEX(Array_StationaryCharges,MATCH($A473,List_StationaryFuelMeters,0),ROUNDUP((COLUMN()+1)/3-2,0))),"")</f>
        <v/>
      </c>
      <c r="Y473" s="127"/>
      <c r="Z473" s="127"/>
      <c r="AA473" s="58" t="str" cm="1">
        <f>IFERROR(IF(ISBLANK($A473),"",INDEX(Array_StationaryCharges,MATCH($A473,List_StationaryFuelMeters,0),ROUNDUP((COLUMN()+1)/3-2,0))),"")</f>
        <v/>
      </c>
      <c r="AB473" s="127"/>
      <c r="AC473" s="127"/>
      <c r="AD473" s="58" t="str" cm="1">
        <f>IFERROR(IF(ISBLANK($A473),"",INDEX(Array_StationaryCharges,MATCH($A473,List_StationaryFuelMeters,0),ROUNDUP((COLUMN()+1)/3-2,0))),"")</f>
        <v/>
      </c>
      <c r="AE473" s="127"/>
      <c r="AF473" s="127"/>
      <c r="AG473" s="58" t="str" cm="1">
        <f>IFERROR(IF(ISBLANK($A473),"",INDEX(Array_StationaryCharges,MATCH($A473,List_StationaryFuelMeters,0),ROUNDUP((COLUMN()+1)/3-2,0))),"")</f>
        <v/>
      </c>
      <c r="AH473" s="127"/>
      <c r="AI473" s="127"/>
      <c r="AJ473" s="58" t="str" cm="1">
        <f>IFERROR(IF(ISBLANK($A473),"",INDEX(Array_StationaryCharges,MATCH($A473,List_StationaryFuelMeters,0),ROUNDUP((COLUMN()+1)/3-2,0))),"")</f>
        <v/>
      </c>
      <c r="AK473" s="127"/>
      <c r="AL473" s="127"/>
      <c r="AM473" s="58" t="str" cm="1">
        <f>IFERROR(IF(ISBLANK($A473),"",INDEX(Array_StationaryCharges,MATCH($A473,List_StationaryFuelMeters,0),ROUNDUP((COLUMN()+1)/3-2,0))),"")</f>
        <v/>
      </c>
      <c r="AN473" s="127"/>
      <c r="AO473" s="127"/>
      <c r="AP473" s="58" t="str" cm="1">
        <f>IFERROR(IF(ISBLANK($A473),"",INDEX(Array_StationaryCharges,MATCH($A473,List_StationaryFuelMeters,0),ROUNDUP((COLUMN()+1)/3-2,0))),"")</f>
        <v/>
      </c>
      <c r="AQ473" s="127"/>
      <c r="AR473" s="127"/>
      <c r="AS473" s="58" t="str" cm="1">
        <f>IFERROR(IF(ISBLANK($A473),"",INDEX(Array_StationaryCharges,MATCH($A473,List_StationaryFuelMeters,0),ROUNDUP((COLUMN()+1)/3-2,0))),"")</f>
        <v/>
      </c>
      <c r="AT473" s="127"/>
      <c r="AU473" s="127"/>
      <c r="AV473" s="58" t="str" cm="1">
        <f>IFERROR(IF(ISBLANK($A473),"",INDEX(Array_StationaryCharges,MATCH($A473,List_StationaryFuelMeters,0),ROUNDUP((COLUMN()+1)/3-2,0))),"")</f>
        <v/>
      </c>
      <c r="AW473" s="127"/>
      <c r="AX473" s="127"/>
    </row>
    <row r="474" spans="1:50" x14ac:dyDescent="0.3">
      <c r="A474" s="126"/>
      <c r="B474" s="133"/>
      <c r="C474" s="127"/>
      <c r="D474" s="138"/>
      <c r="E474" s="138"/>
      <c r="F474" s="58" t="str" cm="1">
        <f>IFERROR(IF(ISBLANK($A474),"",INDEX(Array_StationaryCharges,MATCH($A474,List_StationaryFuelMeters,0),ROUNDUP((COLUMN()+1)/3-2,0))),"")</f>
        <v/>
      </c>
      <c r="G474" s="127"/>
      <c r="H474" s="127"/>
      <c r="I474" s="58" t="str" cm="1">
        <f>IFERROR(IF(ISBLANK($A474),"",INDEX(Array_StationaryCharges,MATCH($A474,List_StationaryFuelMeters,0),ROUNDUP((COLUMN()+1)/3-2,0))),"")</f>
        <v/>
      </c>
      <c r="J474" s="127"/>
      <c r="K474" s="127"/>
      <c r="L474" s="58" t="str" cm="1">
        <f>IFERROR(IF(ISBLANK($A474),"",INDEX(Array_StationaryCharges,MATCH($A474,List_StationaryFuelMeters,0),ROUNDUP((COLUMN()+1)/3-2,0))),"")</f>
        <v/>
      </c>
      <c r="M474" s="127"/>
      <c r="N474" s="127"/>
      <c r="O474" s="58" t="str" cm="1">
        <f>IFERROR(IF(ISBLANK($A474),"",INDEX(Array_StationaryCharges,MATCH($A474,List_StationaryFuelMeters,0),ROUNDUP((COLUMN()+1)/3-2,0))),"")</f>
        <v/>
      </c>
      <c r="P474" s="127"/>
      <c r="Q474" s="127"/>
      <c r="R474" s="58" t="str" cm="1">
        <f>IFERROR(IF(ISBLANK($A474),"",INDEX(Array_StationaryCharges,MATCH($A474,List_StationaryFuelMeters,0),ROUNDUP((COLUMN()+1)/3-2,0))),"")</f>
        <v/>
      </c>
      <c r="S474" s="127"/>
      <c r="T474" s="127"/>
      <c r="U474" s="58" t="str" cm="1">
        <f>IFERROR(IF(ISBLANK($A474),"",INDEX(Array_StationaryCharges,MATCH($A474,List_StationaryFuelMeters,0),ROUNDUP((COLUMN()+1)/3-2,0))),"")</f>
        <v/>
      </c>
      <c r="V474" s="127"/>
      <c r="W474" s="127"/>
      <c r="X474" s="58" t="str" cm="1">
        <f>IFERROR(IF(ISBLANK($A474),"",INDEX(Array_StationaryCharges,MATCH($A474,List_StationaryFuelMeters,0),ROUNDUP((COLUMN()+1)/3-2,0))),"")</f>
        <v/>
      </c>
      <c r="Y474" s="127"/>
      <c r="Z474" s="127"/>
      <c r="AA474" s="58" t="str" cm="1">
        <f>IFERROR(IF(ISBLANK($A474),"",INDEX(Array_StationaryCharges,MATCH($A474,List_StationaryFuelMeters,0),ROUNDUP((COLUMN()+1)/3-2,0))),"")</f>
        <v/>
      </c>
      <c r="AB474" s="127"/>
      <c r="AC474" s="127"/>
      <c r="AD474" s="58" t="str" cm="1">
        <f>IFERROR(IF(ISBLANK($A474),"",INDEX(Array_StationaryCharges,MATCH($A474,List_StationaryFuelMeters,0),ROUNDUP((COLUMN()+1)/3-2,0))),"")</f>
        <v/>
      </c>
      <c r="AE474" s="127"/>
      <c r="AF474" s="127"/>
      <c r="AG474" s="58" t="str" cm="1">
        <f>IFERROR(IF(ISBLANK($A474),"",INDEX(Array_StationaryCharges,MATCH($A474,List_StationaryFuelMeters,0),ROUNDUP((COLUMN()+1)/3-2,0))),"")</f>
        <v/>
      </c>
      <c r="AH474" s="127"/>
      <c r="AI474" s="127"/>
      <c r="AJ474" s="58" t="str" cm="1">
        <f>IFERROR(IF(ISBLANK($A474),"",INDEX(Array_StationaryCharges,MATCH($A474,List_StationaryFuelMeters,0),ROUNDUP((COLUMN()+1)/3-2,0))),"")</f>
        <v/>
      </c>
      <c r="AK474" s="127"/>
      <c r="AL474" s="127"/>
      <c r="AM474" s="58" t="str" cm="1">
        <f>IFERROR(IF(ISBLANK($A474),"",INDEX(Array_StationaryCharges,MATCH($A474,List_StationaryFuelMeters,0),ROUNDUP((COLUMN()+1)/3-2,0))),"")</f>
        <v/>
      </c>
      <c r="AN474" s="127"/>
      <c r="AO474" s="127"/>
      <c r="AP474" s="58" t="str" cm="1">
        <f>IFERROR(IF(ISBLANK($A474),"",INDEX(Array_StationaryCharges,MATCH($A474,List_StationaryFuelMeters,0),ROUNDUP((COLUMN()+1)/3-2,0))),"")</f>
        <v/>
      </c>
      <c r="AQ474" s="127"/>
      <c r="AR474" s="127"/>
      <c r="AS474" s="58" t="str" cm="1">
        <f>IFERROR(IF(ISBLANK($A474),"",INDEX(Array_StationaryCharges,MATCH($A474,List_StationaryFuelMeters,0),ROUNDUP((COLUMN()+1)/3-2,0))),"")</f>
        <v/>
      </c>
      <c r="AT474" s="127"/>
      <c r="AU474" s="127"/>
      <c r="AV474" s="58" t="str" cm="1">
        <f>IFERROR(IF(ISBLANK($A474),"",INDEX(Array_StationaryCharges,MATCH($A474,List_StationaryFuelMeters,0),ROUNDUP((COLUMN()+1)/3-2,0))),"")</f>
        <v/>
      </c>
      <c r="AW474" s="127"/>
      <c r="AX474" s="127"/>
    </row>
    <row r="475" spans="1:50" x14ac:dyDescent="0.3">
      <c r="A475" s="126"/>
      <c r="B475" s="133"/>
      <c r="C475" s="127"/>
      <c r="D475" s="138"/>
      <c r="E475" s="138"/>
      <c r="F475" s="58" t="str" cm="1">
        <f>IFERROR(IF(ISBLANK($A475),"",INDEX(Array_StationaryCharges,MATCH($A475,List_StationaryFuelMeters,0),ROUNDUP((COLUMN()+1)/3-2,0))),"")</f>
        <v/>
      </c>
      <c r="G475" s="127"/>
      <c r="H475" s="127"/>
      <c r="I475" s="58" t="str" cm="1">
        <f>IFERROR(IF(ISBLANK($A475),"",INDEX(Array_StationaryCharges,MATCH($A475,List_StationaryFuelMeters,0),ROUNDUP((COLUMN()+1)/3-2,0))),"")</f>
        <v/>
      </c>
      <c r="J475" s="127"/>
      <c r="K475" s="127"/>
      <c r="L475" s="58" t="str" cm="1">
        <f>IFERROR(IF(ISBLANK($A475),"",INDEX(Array_StationaryCharges,MATCH($A475,List_StationaryFuelMeters,0),ROUNDUP((COLUMN()+1)/3-2,0))),"")</f>
        <v/>
      </c>
      <c r="M475" s="127"/>
      <c r="N475" s="127"/>
      <c r="O475" s="58" t="str" cm="1">
        <f>IFERROR(IF(ISBLANK($A475),"",INDEX(Array_StationaryCharges,MATCH($A475,List_StationaryFuelMeters,0),ROUNDUP((COLUMN()+1)/3-2,0))),"")</f>
        <v/>
      </c>
      <c r="P475" s="127"/>
      <c r="Q475" s="127"/>
      <c r="R475" s="58" t="str" cm="1">
        <f>IFERROR(IF(ISBLANK($A475),"",INDEX(Array_StationaryCharges,MATCH($A475,List_StationaryFuelMeters,0),ROUNDUP((COLUMN()+1)/3-2,0))),"")</f>
        <v/>
      </c>
      <c r="S475" s="127"/>
      <c r="T475" s="127"/>
      <c r="U475" s="58" t="str" cm="1">
        <f>IFERROR(IF(ISBLANK($A475),"",INDEX(Array_StationaryCharges,MATCH($A475,List_StationaryFuelMeters,0),ROUNDUP((COLUMN()+1)/3-2,0))),"")</f>
        <v/>
      </c>
      <c r="V475" s="127"/>
      <c r="W475" s="127"/>
      <c r="X475" s="58" t="str" cm="1">
        <f>IFERROR(IF(ISBLANK($A475),"",INDEX(Array_StationaryCharges,MATCH($A475,List_StationaryFuelMeters,0),ROUNDUP((COLUMN()+1)/3-2,0))),"")</f>
        <v/>
      </c>
      <c r="Y475" s="127"/>
      <c r="Z475" s="127"/>
      <c r="AA475" s="58" t="str" cm="1">
        <f>IFERROR(IF(ISBLANK($A475),"",INDEX(Array_StationaryCharges,MATCH($A475,List_StationaryFuelMeters,0),ROUNDUP((COLUMN()+1)/3-2,0))),"")</f>
        <v/>
      </c>
      <c r="AB475" s="127"/>
      <c r="AC475" s="127"/>
      <c r="AD475" s="58" t="str" cm="1">
        <f>IFERROR(IF(ISBLANK($A475),"",INDEX(Array_StationaryCharges,MATCH($A475,List_StationaryFuelMeters,0),ROUNDUP((COLUMN()+1)/3-2,0))),"")</f>
        <v/>
      </c>
      <c r="AE475" s="127"/>
      <c r="AF475" s="127"/>
      <c r="AG475" s="58" t="str" cm="1">
        <f>IFERROR(IF(ISBLANK($A475),"",INDEX(Array_StationaryCharges,MATCH($A475,List_StationaryFuelMeters,0),ROUNDUP((COLUMN()+1)/3-2,0))),"")</f>
        <v/>
      </c>
      <c r="AH475" s="127"/>
      <c r="AI475" s="127"/>
      <c r="AJ475" s="58" t="str" cm="1">
        <f>IFERROR(IF(ISBLANK($A475),"",INDEX(Array_StationaryCharges,MATCH($A475,List_StationaryFuelMeters,0),ROUNDUP((COLUMN()+1)/3-2,0))),"")</f>
        <v/>
      </c>
      <c r="AK475" s="127"/>
      <c r="AL475" s="127"/>
      <c r="AM475" s="58" t="str" cm="1">
        <f>IFERROR(IF(ISBLANK($A475),"",INDEX(Array_StationaryCharges,MATCH($A475,List_StationaryFuelMeters,0),ROUNDUP((COLUMN()+1)/3-2,0))),"")</f>
        <v/>
      </c>
      <c r="AN475" s="127"/>
      <c r="AO475" s="127"/>
      <c r="AP475" s="58" t="str" cm="1">
        <f>IFERROR(IF(ISBLANK($A475),"",INDEX(Array_StationaryCharges,MATCH($A475,List_StationaryFuelMeters,0),ROUNDUP((COLUMN()+1)/3-2,0))),"")</f>
        <v/>
      </c>
      <c r="AQ475" s="127"/>
      <c r="AR475" s="127"/>
      <c r="AS475" s="58" t="str" cm="1">
        <f>IFERROR(IF(ISBLANK($A475),"",INDEX(Array_StationaryCharges,MATCH($A475,List_StationaryFuelMeters,0),ROUNDUP((COLUMN()+1)/3-2,0))),"")</f>
        <v/>
      </c>
      <c r="AT475" s="127"/>
      <c r="AU475" s="127"/>
      <c r="AV475" s="58" t="str" cm="1">
        <f>IFERROR(IF(ISBLANK($A475),"",INDEX(Array_StationaryCharges,MATCH($A475,List_StationaryFuelMeters,0),ROUNDUP((COLUMN()+1)/3-2,0))),"")</f>
        <v/>
      </c>
      <c r="AW475" s="127"/>
      <c r="AX475" s="127"/>
    </row>
    <row r="476" spans="1:50" x14ac:dyDescent="0.3">
      <c r="A476" s="126"/>
      <c r="B476" s="133"/>
      <c r="C476" s="127"/>
      <c r="D476" s="138"/>
      <c r="E476" s="138"/>
      <c r="F476" s="58" t="str" cm="1">
        <f>IFERROR(IF(ISBLANK($A476),"",INDEX(Array_StationaryCharges,MATCH($A476,List_StationaryFuelMeters,0),ROUNDUP((COLUMN()+1)/3-2,0))),"")</f>
        <v/>
      </c>
      <c r="G476" s="127"/>
      <c r="H476" s="127"/>
      <c r="I476" s="58" t="str" cm="1">
        <f>IFERROR(IF(ISBLANK($A476),"",INDEX(Array_StationaryCharges,MATCH($A476,List_StationaryFuelMeters,0),ROUNDUP((COLUMN()+1)/3-2,0))),"")</f>
        <v/>
      </c>
      <c r="J476" s="127"/>
      <c r="K476" s="127"/>
      <c r="L476" s="58" t="str" cm="1">
        <f>IFERROR(IF(ISBLANK($A476),"",INDEX(Array_StationaryCharges,MATCH($A476,List_StationaryFuelMeters,0),ROUNDUP((COLUMN()+1)/3-2,0))),"")</f>
        <v/>
      </c>
      <c r="M476" s="127"/>
      <c r="N476" s="127"/>
      <c r="O476" s="58" t="str" cm="1">
        <f>IFERROR(IF(ISBLANK($A476),"",INDEX(Array_StationaryCharges,MATCH($A476,List_StationaryFuelMeters,0),ROUNDUP((COLUMN()+1)/3-2,0))),"")</f>
        <v/>
      </c>
      <c r="P476" s="127"/>
      <c r="Q476" s="127"/>
      <c r="R476" s="58" t="str" cm="1">
        <f>IFERROR(IF(ISBLANK($A476),"",INDEX(Array_StationaryCharges,MATCH($A476,List_StationaryFuelMeters,0),ROUNDUP((COLUMN()+1)/3-2,0))),"")</f>
        <v/>
      </c>
      <c r="S476" s="127"/>
      <c r="T476" s="127"/>
      <c r="U476" s="58" t="str" cm="1">
        <f>IFERROR(IF(ISBLANK($A476),"",INDEX(Array_StationaryCharges,MATCH($A476,List_StationaryFuelMeters,0),ROUNDUP((COLUMN()+1)/3-2,0))),"")</f>
        <v/>
      </c>
      <c r="V476" s="127"/>
      <c r="W476" s="127"/>
      <c r="X476" s="58" t="str" cm="1">
        <f>IFERROR(IF(ISBLANK($A476),"",INDEX(Array_StationaryCharges,MATCH($A476,List_StationaryFuelMeters,0),ROUNDUP((COLUMN()+1)/3-2,0))),"")</f>
        <v/>
      </c>
      <c r="Y476" s="127"/>
      <c r="Z476" s="127"/>
      <c r="AA476" s="58" t="str" cm="1">
        <f>IFERROR(IF(ISBLANK($A476),"",INDEX(Array_StationaryCharges,MATCH($A476,List_StationaryFuelMeters,0),ROUNDUP((COLUMN()+1)/3-2,0))),"")</f>
        <v/>
      </c>
      <c r="AB476" s="127"/>
      <c r="AC476" s="127"/>
      <c r="AD476" s="58" t="str" cm="1">
        <f>IFERROR(IF(ISBLANK($A476),"",INDEX(Array_StationaryCharges,MATCH($A476,List_StationaryFuelMeters,0),ROUNDUP((COLUMN()+1)/3-2,0))),"")</f>
        <v/>
      </c>
      <c r="AE476" s="127"/>
      <c r="AF476" s="127"/>
      <c r="AG476" s="58" t="str" cm="1">
        <f>IFERROR(IF(ISBLANK($A476),"",INDEX(Array_StationaryCharges,MATCH($A476,List_StationaryFuelMeters,0),ROUNDUP((COLUMN()+1)/3-2,0))),"")</f>
        <v/>
      </c>
      <c r="AH476" s="127"/>
      <c r="AI476" s="127"/>
      <c r="AJ476" s="58" t="str" cm="1">
        <f>IFERROR(IF(ISBLANK($A476),"",INDEX(Array_StationaryCharges,MATCH($A476,List_StationaryFuelMeters,0),ROUNDUP((COLUMN()+1)/3-2,0))),"")</f>
        <v/>
      </c>
      <c r="AK476" s="127"/>
      <c r="AL476" s="127"/>
      <c r="AM476" s="58" t="str" cm="1">
        <f>IFERROR(IF(ISBLANK($A476),"",INDEX(Array_StationaryCharges,MATCH($A476,List_StationaryFuelMeters,0),ROUNDUP((COLUMN()+1)/3-2,0))),"")</f>
        <v/>
      </c>
      <c r="AN476" s="127"/>
      <c r="AO476" s="127"/>
      <c r="AP476" s="58" t="str" cm="1">
        <f>IFERROR(IF(ISBLANK($A476),"",INDEX(Array_StationaryCharges,MATCH($A476,List_StationaryFuelMeters,0),ROUNDUP((COLUMN()+1)/3-2,0))),"")</f>
        <v/>
      </c>
      <c r="AQ476" s="127"/>
      <c r="AR476" s="127"/>
      <c r="AS476" s="58" t="str" cm="1">
        <f>IFERROR(IF(ISBLANK($A476),"",INDEX(Array_StationaryCharges,MATCH($A476,List_StationaryFuelMeters,0),ROUNDUP((COLUMN()+1)/3-2,0))),"")</f>
        <v/>
      </c>
      <c r="AT476" s="127"/>
      <c r="AU476" s="127"/>
      <c r="AV476" s="58" t="str" cm="1">
        <f>IFERROR(IF(ISBLANK($A476),"",INDEX(Array_StationaryCharges,MATCH($A476,List_StationaryFuelMeters,0),ROUNDUP((COLUMN()+1)/3-2,0))),"")</f>
        <v/>
      </c>
      <c r="AW476" s="127"/>
      <c r="AX476" s="127"/>
    </row>
    <row r="477" spans="1:50" x14ac:dyDescent="0.3">
      <c r="A477" s="126"/>
      <c r="B477" s="133"/>
      <c r="C477" s="127"/>
      <c r="D477" s="138"/>
      <c r="E477" s="138"/>
      <c r="F477" s="58" t="str" cm="1">
        <f>IFERROR(IF(ISBLANK($A477),"",INDEX(Array_StationaryCharges,MATCH($A477,List_StationaryFuelMeters,0),ROUNDUP((COLUMN()+1)/3-2,0))),"")</f>
        <v/>
      </c>
      <c r="G477" s="127"/>
      <c r="H477" s="127"/>
      <c r="I477" s="58" t="str" cm="1">
        <f>IFERROR(IF(ISBLANK($A477),"",INDEX(Array_StationaryCharges,MATCH($A477,List_StationaryFuelMeters,0),ROUNDUP((COLUMN()+1)/3-2,0))),"")</f>
        <v/>
      </c>
      <c r="J477" s="127"/>
      <c r="K477" s="127"/>
      <c r="L477" s="58" t="str" cm="1">
        <f>IFERROR(IF(ISBLANK($A477),"",INDEX(Array_StationaryCharges,MATCH($A477,List_StationaryFuelMeters,0),ROUNDUP((COLUMN()+1)/3-2,0))),"")</f>
        <v/>
      </c>
      <c r="M477" s="127"/>
      <c r="N477" s="127"/>
      <c r="O477" s="58" t="str" cm="1">
        <f>IFERROR(IF(ISBLANK($A477),"",INDEX(Array_StationaryCharges,MATCH($A477,List_StationaryFuelMeters,0),ROUNDUP((COLUMN()+1)/3-2,0))),"")</f>
        <v/>
      </c>
      <c r="P477" s="127"/>
      <c r="Q477" s="127"/>
      <c r="R477" s="58" t="str" cm="1">
        <f>IFERROR(IF(ISBLANK($A477),"",INDEX(Array_StationaryCharges,MATCH($A477,List_StationaryFuelMeters,0),ROUNDUP((COLUMN()+1)/3-2,0))),"")</f>
        <v/>
      </c>
      <c r="S477" s="127"/>
      <c r="T477" s="127"/>
      <c r="U477" s="58" t="str" cm="1">
        <f>IFERROR(IF(ISBLANK($A477),"",INDEX(Array_StationaryCharges,MATCH($A477,List_StationaryFuelMeters,0),ROUNDUP((COLUMN()+1)/3-2,0))),"")</f>
        <v/>
      </c>
      <c r="V477" s="127"/>
      <c r="W477" s="127"/>
      <c r="X477" s="58" t="str" cm="1">
        <f>IFERROR(IF(ISBLANK($A477),"",INDEX(Array_StationaryCharges,MATCH($A477,List_StationaryFuelMeters,0),ROUNDUP((COLUMN()+1)/3-2,0))),"")</f>
        <v/>
      </c>
      <c r="Y477" s="127"/>
      <c r="Z477" s="127"/>
      <c r="AA477" s="58" t="str" cm="1">
        <f>IFERROR(IF(ISBLANK($A477),"",INDEX(Array_StationaryCharges,MATCH($A477,List_StationaryFuelMeters,0),ROUNDUP((COLUMN()+1)/3-2,0))),"")</f>
        <v/>
      </c>
      <c r="AB477" s="127"/>
      <c r="AC477" s="127"/>
      <c r="AD477" s="58" t="str" cm="1">
        <f>IFERROR(IF(ISBLANK($A477),"",INDEX(Array_StationaryCharges,MATCH($A477,List_StationaryFuelMeters,0),ROUNDUP((COLUMN()+1)/3-2,0))),"")</f>
        <v/>
      </c>
      <c r="AE477" s="127"/>
      <c r="AF477" s="127"/>
      <c r="AG477" s="58" t="str" cm="1">
        <f>IFERROR(IF(ISBLANK($A477),"",INDEX(Array_StationaryCharges,MATCH($A477,List_StationaryFuelMeters,0),ROUNDUP((COLUMN()+1)/3-2,0))),"")</f>
        <v/>
      </c>
      <c r="AH477" s="127"/>
      <c r="AI477" s="127"/>
      <c r="AJ477" s="58" t="str" cm="1">
        <f>IFERROR(IF(ISBLANK($A477),"",INDEX(Array_StationaryCharges,MATCH($A477,List_StationaryFuelMeters,0),ROUNDUP((COLUMN()+1)/3-2,0))),"")</f>
        <v/>
      </c>
      <c r="AK477" s="127"/>
      <c r="AL477" s="127"/>
      <c r="AM477" s="58" t="str" cm="1">
        <f>IFERROR(IF(ISBLANK($A477),"",INDEX(Array_StationaryCharges,MATCH($A477,List_StationaryFuelMeters,0),ROUNDUP((COLUMN()+1)/3-2,0))),"")</f>
        <v/>
      </c>
      <c r="AN477" s="127"/>
      <c r="AO477" s="127"/>
      <c r="AP477" s="58" t="str" cm="1">
        <f>IFERROR(IF(ISBLANK($A477),"",INDEX(Array_StationaryCharges,MATCH($A477,List_StationaryFuelMeters,0),ROUNDUP((COLUMN()+1)/3-2,0))),"")</f>
        <v/>
      </c>
      <c r="AQ477" s="127"/>
      <c r="AR477" s="127"/>
      <c r="AS477" s="58" t="str" cm="1">
        <f>IFERROR(IF(ISBLANK($A477),"",INDEX(Array_StationaryCharges,MATCH($A477,List_StationaryFuelMeters,0),ROUNDUP((COLUMN()+1)/3-2,0))),"")</f>
        <v/>
      </c>
      <c r="AT477" s="127"/>
      <c r="AU477" s="127"/>
      <c r="AV477" s="58" t="str" cm="1">
        <f>IFERROR(IF(ISBLANK($A477),"",INDEX(Array_StationaryCharges,MATCH($A477,List_StationaryFuelMeters,0),ROUNDUP((COLUMN()+1)/3-2,0))),"")</f>
        <v/>
      </c>
      <c r="AW477" s="127"/>
      <c r="AX477" s="127"/>
    </row>
    <row r="478" spans="1:50" x14ac:dyDescent="0.3">
      <c r="A478" s="126"/>
      <c r="B478" s="133"/>
      <c r="C478" s="127"/>
      <c r="D478" s="138"/>
      <c r="E478" s="138"/>
      <c r="F478" s="58" t="str" cm="1">
        <f>IFERROR(IF(ISBLANK($A478),"",INDEX(Array_StationaryCharges,MATCH($A478,List_StationaryFuelMeters,0),ROUNDUP((COLUMN()+1)/3-2,0))),"")</f>
        <v/>
      </c>
      <c r="G478" s="127"/>
      <c r="H478" s="127"/>
      <c r="I478" s="58" t="str" cm="1">
        <f>IFERROR(IF(ISBLANK($A478),"",INDEX(Array_StationaryCharges,MATCH($A478,List_StationaryFuelMeters,0),ROUNDUP((COLUMN()+1)/3-2,0))),"")</f>
        <v/>
      </c>
      <c r="J478" s="127"/>
      <c r="K478" s="127"/>
      <c r="L478" s="58" t="str" cm="1">
        <f>IFERROR(IF(ISBLANK($A478),"",INDEX(Array_StationaryCharges,MATCH($A478,List_StationaryFuelMeters,0),ROUNDUP((COLUMN()+1)/3-2,0))),"")</f>
        <v/>
      </c>
      <c r="M478" s="127"/>
      <c r="N478" s="127"/>
      <c r="O478" s="58" t="str" cm="1">
        <f>IFERROR(IF(ISBLANK($A478),"",INDEX(Array_StationaryCharges,MATCH($A478,List_StationaryFuelMeters,0),ROUNDUP((COLUMN()+1)/3-2,0))),"")</f>
        <v/>
      </c>
      <c r="P478" s="127"/>
      <c r="Q478" s="127"/>
      <c r="R478" s="58" t="str" cm="1">
        <f>IFERROR(IF(ISBLANK($A478),"",INDEX(Array_StationaryCharges,MATCH($A478,List_StationaryFuelMeters,0),ROUNDUP((COLUMN()+1)/3-2,0))),"")</f>
        <v/>
      </c>
      <c r="S478" s="127"/>
      <c r="T478" s="127"/>
      <c r="U478" s="58" t="str" cm="1">
        <f>IFERROR(IF(ISBLANK($A478),"",INDEX(Array_StationaryCharges,MATCH($A478,List_StationaryFuelMeters,0),ROUNDUP((COLUMN()+1)/3-2,0))),"")</f>
        <v/>
      </c>
      <c r="V478" s="127"/>
      <c r="W478" s="127"/>
      <c r="X478" s="58" t="str" cm="1">
        <f>IFERROR(IF(ISBLANK($A478),"",INDEX(Array_StationaryCharges,MATCH($A478,List_StationaryFuelMeters,0),ROUNDUP((COLUMN()+1)/3-2,0))),"")</f>
        <v/>
      </c>
      <c r="Y478" s="127"/>
      <c r="Z478" s="127"/>
      <c r="AA478" s="58" t="str" cm="1">
        <f>IFERROR(IF(ISBLANK($A478),"",INDEX(Array_StationaryCharges,MATCH($A478,List_StationaryFuelMeters,0),ROUNDUP((COLUMN()+1)/3-2,0))),"")</f>
        <v/>
      </c>
      <c r="AB478" s="127"/>
      <c r="AC478" s="127"/>
      <c r="AD478" s="58" t="str" cm="1">
        <f>IFERROR(IF(ISBLANK($A478),"",INDEX(Array_StationaryCharges,MATCH($A478,List_StationaryFuelMeters,0),ROUNDUP((COLUMN()+1)/3-2,0))),"")</f>
        <v/>
      </c>
      <c r="AE478" s="127"/>
      <c r="AF478" s="127"/>
      <c r="AG478" s="58" t="str" cm="1">
        <f>IFERROR(IF(ISBLANK($A478),"",INDEX(Array_StationaryCharges,MATCH($A478,List_StationaryFuelMeters,0),ROUNDUP((COLUMN()+1)/3-2,0))),"")</f>
        <v/>
      </c>
      <c r="AH478" s="127"/>
      <c r="AI478" s="127"/>
      <c r="AJ478" s="58" t="str" cm="1">
        <f>IFERROR(IF(ISBLANK($A478),"",INDEX(Array_StationaryCharges,MATCH($A478,List_StationaryFuelMeters,0),ROUNDUP((COLUMN()+1)/3-2,0))),"")</f>
        <v/>
      </c>
      <c r="AK478" s="127"/>
      <c r="AL478" s="127"/>
      <c r="AM478" s="58" t="str" cm="1">
        <f>IFERROR(IF(ISBLANK($A478),"",INDEX(Array_StationaryCharges,MATCH($A478,List_StationaryFuelMeters,0),ROUNDUP((COLUMN()+1)/3-2,0))),"")</f>
        <v/>
      </c>
      <c r="AN478" s="127"/>
      <c r="AO478" s="127"/>
      <c r="AP478" s="58" t="str" cm="1">
        <f>IFERROR(IF(ISBLANK($A478),"",INDEX(Array_StationaryCharges,MATCH($A478,List_StationaryFuelMeters,0),ROUNDUP((COLUMN()+1)/3-2,0))),"")</f>
        <v/>
      </c>
      <c r="AQ478" s="127"/>
      <c r="AR478" s="127"/>
      <c r="AS478" s="58" t="str" cm="1">
        <f>IFERROR(IF(ISBLANK($A478),"",INDEX(Array_StationaryCharges,MATCH($A478,List_StationaryFuelMeters,0),ROUNDUP((COLUMN()+1)/3-2,0))),"")</f>
        <v/>
      </c>
      <c r="AT478" s="127"/>
      <c r="AU478" s="127"/>
      <c r="AV478" s="58" t="str" cm="1">
        <f>IFERROR(IF(ISBLANK($A478),"",INDEX(Array_StationaryCharges,MATCH($A478,List_StationaryFuelMeters,0),ROUNDUP((COLUMN()+1)/3-2,0))),"")</f>
        <v/>
      </c>
      <c r="AW478" s="127"/>
      <c r="AX478" s="127"/>
    </row>
    <row r="479" spans="1:50" x14ac:dyDescent="0.3">
      <c r="A479" s="126"/>
      <c r="B479" s="133"/>
      <c r="C479" s="127"/>
      <c r="D479" s="138"/>
      <c r="E479" s="138"/>
      <c r="F479" s="58" t="str" cm="1">
        <f>IFERROR(IF(ISBLANK($A479),"",INDEX(Array_StationaryCharges,MATCH($A479,List_StationaryFuelMeters,0),ROUNDUP((COLUMN()+1)/3-2,0))),"")</f>
        <v/>
      </c>
      <c r="G479" s="127"/>
      <c r="H479" s="127"/>
      <c r="I479" s="58" t="str" cm="1">
        <f>IFERROR(IF(ISBLANK($A479),"",INDEX(Array_StationaryCharges,MATCH($A479,List_StationaryFuelMeters,0),ROUNDUP((COLUMN()+1)/3-2,0))),"")</f>
        <v/>
      </c>
      <c r="J479" s="127"/>
      <c r="K479" s="127"/>
      <c r="L479" s="58" t="str" cm="1">
        <f>IFERROR(IF(ISBLANK($A479),"",INDEX(Array_StationaryCharges,MATCH($A479,List_StationaryFuelMeters,0),ROUNDUP((COLUMN()+1)/3-2,0))),"")</f>
        <v/>
      </c>
      <c r="M479" s="127"/>
      <c r="N479" s="127"/>
      <c r="O479" s="58" t="str" cm="1">
        <f>IFERROR(IF(ISBLANK($A479),"",INDEX(Array_StationaryCharges,MATCH($A479,List_StationaryFuelMeters,0),ROUNDUP((COLUMN()+1)/3-2,0))),"")</f>
        <v/>
      </c>
      <c r="P479" s="127"/>
      <c r="Q479" s="127"/>
      <c r="R479" s="58" t="str" cm="1">
        <f>IFERROR(IF(ISBLANK($A479),"",INDEX(Array_StationaryCharges,MATCH($A479,List_StationaryFuelMeters,0),ROUNDUP((COLUMN()+1)/3-2,0))),"")</f>
        <v/>
      </c>
      <c r="S479" s="127"/>
      <c r="T479" s="127"/>
      <c r="U479" s="58" t="str" cm="1">
        <f>IFERROR(IF(ISBLANK($A479),"",INDEX(Array_StationaryCharges,MATCH($A479,List_StationaryFuelMeters,0),ROUNDUP((COLUMN()+1)/3-2,0))),"")</f>
        <v/>
      </c>
      <c r="V479" s="127"/>
      <c r="W479" s="127"/>
      <c r="X479" s="58" t="str" cm="1">
        <f>IFERROR(IF(ISBLANK($A479),"",INDEX(Array_StationaryCharges,MATCH($A479,List_StationaryFuelMeters,0),ROUNDUP((COLUMN()+1)/3-2,0))),"")</f>
        <v/>
      </c>
      <c r="Y479" s="127"/>
      <c r="Z479" s="127"/>
      <c r="AA479" s="58" t="str" cm="1">
        <f>IFERROR(IF(ISBLANK($A479),"",INDEX(Array_StationaryCharges,MATCH($A479,List_StationaryFuelMeters,0),ROUNDUP((COLUMN()+1)/3-2,0))),"")</f>
        <v/>
      </c>
      <c r="AB479" s="127"/>
      <c r="AC479" s="127"/>
      <c r="AD479" s="58" t="str" cm="1">
        <f>IFERROR(IF(ISBLANK($A479),"",INDEX(Array_StationaryCharges,MATCH($A479,List_StationaryFuelMeters,0),ROUNDUP((COLUMN()+1)/3-2,0))),"")</f>
        <v/>
      </c>
      <c r="AE479" s="127"/>
      <c r="AF479" s="127"/>
      <c r="AG479" s="58" t="str" cm="1">
        <f>IFERROR(IF(ISBLANK($A479),"",INDEX(Array_StationaryCharges,MATCH($A479,List_StationaryFuelMeters,0),ROUNDUP((COLUMN()+1)/3-2,0))),"")</f>
        <v/>
      </c>
      <c r="AH479" s="127"/>
      <c r="AI479" s="127"/>
      <c r="AJ479" s="58" t="str" cm="1">
        <f>IFERROR(IF(ISBLANK($A479),"",INDEX(Array_StationaryCharges,MATCH($A479,List_StationaryFuelMeters,0),ROUNDUP((COLUMN()+1)/3-2,0))),"")</f>
        <v/>
      </c>
      <c r="AK479" s="127"/>
      <c r="AL479" s="127"/>
      <c r="AM479" s="58" t="str" cm="1">
        <f>IFERROR(IF(ISBLANK($A479),"",INDEX(Array_StationaryCharges,MATCH($A479,List_StationaryFuelMeters,0),ROUNDUP((COLUMN()+1)/3-2,0))),"")</f>
        <v/>
      </c>
      <c r="AN479" s="127"/>
      <c r="AO479" s="127"/>
      <c r="AP479" s="58" t="str" cm="1">
        <f>IFERROR(IF(ISBLANK($A479),"",INDEX(Array_StationaryCharges,MATCH($A479,List_StationaryFuelMeters,0),ROUNDUP((COLUMN()+1)/3-2,0))),"")</f>
        <v/>
      </c>
      <c r="AQ479" s="127"/>
      <c r="AR479" s="127"/>
      <c r="AS479" s="58" t="str" cm="1">
        <f>IFERROR(IF(ISBLANK($A479),"",INDEX(Array_StationaryCharges,MATCH($A479,List_StationaryFuelMeters,0),ROUNDUP((COLUMN()+1)/3-2,0))),"")</f>
        <v/>
      </c>
      <c r="AT479" s="127"/>
      <c r="AU479" s="127"/>
      <c r="AV479" s="58" t="str" cm="1">
        <f>IFERROR(IF(ISBLANK($A479),"",INDEX(Array_StationaryCharges,MATCH($A479,List_StationaryFuelMeters,0),ROUNDUP((COLUMN()+1)/3-2,0))),"")</f>
        <v/>
      </c>
      <c r="AW479" s="127"/>
      <c r="AX479" s="127"/>
    </row>
    <row r="480" spans="1:50" x14ac:dyDescent="0.3">
      <c r="A480" s="126"/>
      <c r="B480" s="133"/>
      <c r="C480" s="127"/>
      <c r="D480" s="138"/>
      <c r="E480" s="138"/>
      <c r="F480" s="58" t="str" cm="1">
        <f>IFERROR(IF(ISBLANK($A480),"",INDEX(Array_StationaryCharges,MATCH($A480,List_StationaryFuelMeters,0),ROUNDUP((COLUMN()+1)/3-2,0))),"")</f>
        <v/>
      </c>
      <c r="G480" s="127"/>
      <c r="H480" s="127"/>
      <c r="I480" s="58" t="str" cm="1">
        <f>IFERROR(IF(ISBLANK($A480),"",INDEX(Array_StationaryCharges,MATCH($A480,List_StationaryFuelMeters,0),ROUNDUP((COLUMN()+1)/3-2,0))),"")</f>
        <v/>
      </c>
      <c r="J480" s="127"/>
      <c r="K480" s="127"/>
      <c r="L480" s="58" t="str" cm="1">
        <f>IFERROR(IF(ISBLANK($A480),"",INDEX(Array_StationaryCharges,MATCH($A480,List_StationaryFuelMeters,0),ROUNDUP((COLUMN()+1)/3-2,0))),"")</f>
        <v/>
      </c>
      <c r="M480" s="127"/>
      <c r="N480" s="127"/>
      <c r="O480" s="58" t="str" cm="1">
        <f>IFERROR(IF(ISBLANK($A480),"",INDEX(Array_StationaryCharges,MATCH($A480,List_StationaryFuelMeters,0),ROUNDUP((COLUMN()+1)/3-2,0))),"")</f>
        <v/>
      </c>
      <c r="P480" s="127"/>
      <c r="Q480" s="127"/>
      <c r="R480" s="58" t="str" cm="1">
        <f>IFERROR(IF(ISBLANK($A480),"",INDEX(Array_StationaryCharges,MATCH($A480,List_StationaryFuelMeters,0),ROUNDUP((COLUMN()+1)/3-2,0))),"")</f>
        <v/>
      </c>
      <c r="S480" s="127"/>
      <c r="T480" s="127"/>
      <c r="U480" s="58" t="str" cm="1">
        <f>IFERROR(IF(ISBLANK($A480),"",INDEX(Array_StationaryCharges,MATCH($A480,List_StationaryFuelMeters,0),ROUNDUP((COLUMN()+1)/3-2,0))),"")</f>
        <v/>
      </c>
      <c r="V480" s="127"/>
      <c r="W480" s="127"/>
      <c r="X480" s="58" t="str" cm="1">
        <f>IFERROR(IF(ISBLANK($A480),"",INDEX(Array_StationaryCharges,MATCH($A480,List_StationaryFuelMeters,0),ROUNDUP((COLUMN()+1)/3-2,0))),"")</f>
        <v/>
      </c>
      <c r="Y480" s="127"/>
      <c r="Z480" s="127"/>
      <c r="AA480" s="58" t="str" cm="1">
        <f>IFERROR(IF(ISBLANK($A480),"",INDEX(Array_StationaryCharges,MATCH($A480,List_StationaryFuelMeters,0),ROUNDUP((COLUMN()+1)/3-2,0))),"")</f>
        <v/>
      </c>
      <c r="AB480" s="127"/>
      <c r="AC480" s="127"/>
      <c r="AD480" s="58" t="str" cm="1">
        <f>IFERROR(IF(ISBLANK($A480),"",INDEX(Array_StationaryCharges,MATCH($A480,List_StationaryFuelMeters,0),ROUNDUP((COLUMN()+1)/3-2,0))),"")</f>
        <v/>
      </c>
      <c r="AE480" s="127"/>
      <c r="AF480" s="127"/>
      <c r="AG480" s="58" t="str" cm="1">
        <f>IFERROR(IF(ISBLANK($A480),"",INDEX(Array_StationaryCharges,MATCH($A480,List_StationaryFuelMeters,0),ROUNDUP((COLUMN()+1)/3-2,0))),"")</f>
        <v/>
      </c>
      <c r="AH480" s="127"/>
      <c r="AI480" s="127"/>
      <c r="AJ480" s="58" t="str" cm="1">
        <f>IFERROR(IF(ISBLANK($A480),"",INDEX(Array_StationaryCharges,MATCH($A480,List_StationaryFuelMeters,0),ROUNDUP((COLUMN()+1)/3-2,0))),"")</f>
        <v/>
      </c>
      <c r="AK480" s="127"/>
      <c r="AL480" s="127"/>
      <c r="AM480" s="58" t="str" cm="1">
        <f>IFERROR(IF(ISBLANK($A480),"",INDEX(Array_StationaryCharges,MATCH($A480,List_StationaryFuelMeters,0),ROUNDUP((COLUMN()+1)/3-2,0))),"")</f>
        <v/>
      </c>
      <c r="AN480" s="127"/>
      <c r="AO480" s="127"/>
      <c r="AP480" s="58" t="str" cm="1">
        <f>IFERROR(IF(ISBLANK($A480),"",INDEX(Array_StationaryCharges,MATCH($A480,List_StationaryFuelMeters,0),ROUNDUP((COLUMN()+1)/3-2,0))),"")</f>
        <v/>
      </c>
      <c r="AQ480" s="127"/>
      <c r="AR480" s="127"/>
      <c r="AS480" s="58" t="str" cm="1">
        <f>IFERROR(IF(ISBLANK($A480),"",INDEX(Array_StationaryCharges,MATCH($A480,List_StationaryFuelMeters,0),ROUNDUP((COLUMN()+1)/3-2,0))),"")</f>
        <v/>
      </c>
      <c r="AT480" s="127"/>
      <c r="AU480" s="127"/>
      <c r="AV480" s="58" t="str" cm="1">
        <f>IFERROR(IF(ISBLANK($A480),"",INDEX(Array_StationaryCharges,MATCH($A480,List_StationaryFuelMeters,0),ROUNDUP((COLUMN()+1)/3-2,0))),"")</f>
        <v/>
      </c>
      <c r="AW480" s="127"/>
      <c r="AX480" s="127"/>
    </row>
    <row r="481" spans="1:50" x14ac:dyDescent="0.3">
      <c r="A481" s="126"/>
      <c r="B481" s="133"/>
      <c r="C481" s="127"/>
      <c r="D481" s="138"/>
      <c r="E481" s="138"/>
      <c r="F481" s="58" t="str" cm="1">
        <f>IFERROR(IF(ISBLANK($A481),"",INDEX(Array_StationaryCharges,MATCH($A481,List_StationaryFuelMeters,0),ROUNDUP((COLUMN()+1)/3-2,0))),"")</f>
        <v/>
      </c>
      <c r="G481" s="127"/>
      <c r="H481" s="127"/>
      <c r="I481" s="58" t="str" cm="1">
        <f>IFERROR(IF(ISBLANK($A481),"",INDEX(Array_StationaryCharges,MATCH($A481,List_StationaryFuelMeters,0),ROUNDUP((COLUMN()+1)/3-2,0))),"")</f>
        <v/>
      </c>
      <c r="J481" s="127"/>
      <c r="K481" s="127"/>
      <c r="L481" s="58" t="str" cm="1">
        <f>IFERROR(IF(ISBLANK($A481),"",INDEX(Array_StationaryCharges,MATCH($A481,List_StationaryFuelMeters,0),ROUNDUP((COLUMN()+1)/3-2,0))),"")</f>
        <v/>
      </c>
      <c r="M481" s="127"/>
      <c r="N481" s="127"/>
      <c r="O481" s="58" t="str" cm="1">
        <f>IFERROR(IF(ISBLANK($A481),"",INDEX(Array_StationaryCharges,MATCH($A481,List_StationaryFuelMeters,0),ROUNDUP((COLUMN()+1)/3-2,0))),"")</f>
        <v/>
      </c>
      <c r="P481" s="127"/>
      <c r="Q481" s="127"/>
      <c r="R481" s="58" t="str" cm="1">
        <f>IFERROR(IF(ISBLANK($A481),"",INDEX(Array_StationaryCharges,MATCH($A481,List_StationaryFuelMeters,0),ROUNDUP((COLUMN()+1)/3-2,0))),"")</f>
        <v/>
      </c>
      <c r="S481" s="127"/>
      <c r="T481" s="127"/>
      <c r="U481" s="58" t="str" cm="1">
        <f>IFERROR(IF(ISBLANK($A481),"",INDEX(Array_StationaryCharges,MATCH($A481,List_StationaryFuelMeters,0),ROUNDUP((COLUMN()+1)/3-2,0))),"")</f>
        <v/>
      </c>
      <c r="V481" s="127"/>
      <c r="W481" s="127"/>
      <c r="X481" s="58" t="str" cm="1">
        <f>IFERROR(IF(ISBLANK($A481),"",INDEX(Array_StationaryCharges,MATCH($A481,List_StationaryFuelMeters,0),ROUNDUP((COLUMN()+1)/3-2,0))),"")</f>
        <v/>
      </c>
      <c r="Y481" s="127"/>
      <c r="Z481" s="127"/>
      <c r="AA481" s="58" t="str" cm="1">
        <f>IFERROR(IF(ISBLANK($A481),"",INDEX(Array_StationaryCharges,MATCH($A481,List_StationaryFuelMeters,0),ROUNDUP((COLUMN()+1)/3-2,0))),"")</f>
        <v/>
      </c>
      <c r="AB481" s="127"/>
      <c r="AC481" s="127"/>
      <c r="AD481" s="58" t="str" cm="1">
        <f>IFERROR(IF(ISBLANK($A481),"",INDEX(Array_StationaryCharges,MATCH($A481,List_StationaryFuelMeters,0),ROUNDUP((COLUMN()+1)/3-2,0))),"")</f>
        <v/>
      </c>
      <c r="AE481" s="127"/>
      <c r="AF481" s="127"/>
      <c r="AG481" s="58" t="str" cm="1">
        <f>IFERROR(IF(ISBLANK($A481),"",INDEX(Array_StationaryCharges,MATCH($A481,List_StationaryFuelMeters,0),ROUNDUP((COLUMN()+1)/3-2,0))),"")</f>
        <v/>
      </c>
      <c r="AH481" s="127"/>
      <c r="AI481" s="127"/>
      <c r="AJ481" s="58" t="str" cm="1">
        <f>IFERROR(IF(ISBLANK($A481),"",INDEX(Array_StationaryCharges,MATCH($A481,List_StationaryFuelMeters,0),ROUNDUP((COLUMN()+1)/3-2,0))),"")</f>
        <v/>
      </c>
      <c r="AK481" s="127"/>
      <c r="AL481" s="127"/>
      <c r="AM481" s="58" t="str" cm="1">
        <f>IFERROR(IF(ISBLANK($A481),"",INDEX(Array_StationaryCharges,MATCH($A481,List_StationaryFuelMeters,0),ROUNDUP((COLUMN()+1)/3-2,0))),"")</f>
        <v/>
      </c>
      <c r="AN481" s="127"/>
      <c r="AO481" s="127"/>
      <c r="AP481" s="58" t="str" cm="1">
        <f>IFERROR(IF(ISBLANK($A481),"",INDEX(Array_StationaryCharges,MATCH($A481,List_StationaryFuelMeters,0),ROUNDUP((COLUMN()+1)/3-2,0))),"")</f>
        <v/>
      </c>
      <c r="AQ481" s="127"/>
      <c r="AR481" s="127"/>
      <c r="AS481" s="58" t="str" cm="1">
        <f>IFERROR(IF(ISBLANK($A481),"",INDEX(Array_StationaryCharges,MATCH($A481,List_StationaryFuelMeters,0),ROUNDUP((COLUMN()+1)/3-2,0))),"")</f>
        <v/>
      </c>
      <c r="AT481" s="127"/>
      <c r="AU481" s="127"/>
      <c r="AV481" s="58" t="str" cm="1">
        <f>IFERROR(IF(ISBLANK($A481),"",INDEX(Array_StationaryCharges,MATCH($A481,List_StationaryFuelMeters,0),ROUNDUP((COLUMN()+1)/3-2,0))),"")</f>
        <v/>
      </c>
      <c r="AW481" s="127"/>
      <c r="AX481" s="127"/>
    </row>
    <row r="482" spans="1:50" x14ac:dyDescent="0.3">
      <c r="A482" s="126"/>
      <c r="B482" s="133"/>
      <c r="C482" s="127"/>
      <c r="D482" s="138"/>
      <c r="E482" s="138"/>
      <c r="F482" s="58" t="str" cm="1">
        <f>IFERROR(IF(ISBLANK($A482),"",INDEX(Array_StationaryCharges,MATCH($A482,List_StationaryFuelMeters,0),ROUNDUP((COLUMN()+1)/3-2,0))),"")</f>
        <v/>
      </c>
      <c r="G482" s="127"/>
      <c r="H482" s="127"/>
      <c r="I482" s="58" t="str" cm="1">
        <f>IFERROR(IF(ISBLANK($A482),"",INDEX(Array_StationaryCharges,MATCH($A482,List_StationaryFuelMeters,0),ROUNDUP((COLUMN()+1)/3-2,0))),"")</f>
        <v/>
      </c>
      <c r="J482" s="127"/>
      <c r="K482" s="127"/>
      <c r="L482" s="58" t="str" cm="1">
        <f>IFERROR(IF(ISBLANK($A482),"",INDEX(Array_StationaryCharges,MATCH($A482,List_StationaryFuelMeters,0),ROUNDUP((COLUMN()+1)/3-2,0))),"")</f>
        <v/>
      </c>
      <c r="M482" s="127"/>
      <c r="N482" s="127"/>
      <c r="O482" s="58" t="str" cm="1">
        <f>IFERROR(IF(ISBLANK($A482),"",INDEX(Array_StationaryCharges,MATCH($A482,List_StationaryFuelMeters,0),ROUNDUP((COLUMN()+1)/3-2,0))),"")</f>
        <v/>
      </c>
      <c r="P482" s="127"/>
      <c r="Q482" s="127"/>
      <c r="R482" s="58" t="str" cm="1">
        <f>IFERROR(IF(ISBLANK($A482),"",INDEX(Array_StationaryCharges,MATCH($A482,List_StationaryFuelMeters,0),ROUNDUP((COLUMN()+1)/3-2,0))),"")</f>
        <v/>
      </c>
      <c r="S482" s="127"/>
      <c r="T482" s="127"/>
      <c r="U482" s="58" t="str" cm="1">
        <f>IFERROR(IF(ISBLANK($A482),"",INDEX(Array_StationaryCharges,MATCH($A482,List_StationaryFuelMeters,0),ROUNDUP((COLUMN()+1)/3-2,0))),"")</f>
        <v/>
      </c>
      <c r="V482" s="127"/>
      <c r="W482" s="127"/>
      <c r="X482" s="58" t="str" cm="1">
        <f>IFERROR(IF(ISBLANK($A482),"",INDEX(Array_StationaryCharges,MATCH($A482,List_StationaryFuelMeters,0),ROUNDUP((COLUMN()+1)/3-2,0))),"")</f>
        <v/>
      </c>
      <c r="Y482" s="127"/>
      <c r="Z482" s="127"/>
      <c r="AA482" s="58" t="str" cm="1">
        <f>IFERROR(IF(ISBLANK($A482),"",INDEX(Array_StationaryCharges,MATCH($A482,List_StationaryFuelMeters,0),ROUNDUP((COLUMN()+1)/3-2,0))),"")</f>
        <v/>
      </c>
      <c r="AB482" s="127"/>
      <c r="AC482" s="127"/>
      <c r="AD482" s="58" t="str" cm="1">
        <f>IFERROR(IF(ISBLANK($A482),"",INDEX(Array_StationaryCharges,MATCH($A482,List_StationaryFuelMeters,0),ROUNDUP((COLUMN()+1)/3-2,0))),"")</f>
        <v/>
      </c>
      <c r="AE482" s="127"/>
      <c r="AF482" s="127"/>
      <c r="AG482" s="58" t="str" cm="1">
        <f>IFERROR(IF(ISBLANK($A482),"",INDEX(Array_StationaryCharges,MATCH($A482,List_StationaryFuelMeters,0),ROUNDUP((COLUMN()+1)/3-2,0))),"")</f>
        <v/>
      </c>
      <c r="AH482" s="127"/>
      <c r="AI482" s="127"/>
      <c r="AJ482" s="58" t="str" cm="1">
        <f>IFERROR(IF(ISBLANK($A482),"",INDEX(Array_StationaryCharges,MATCH($A482,List_StationaryFuelMeters,0),ROUNDUP((COLUMN()+1)/3-2,0))),"")</f>
        <v/>
      </c>
      <c r="AK482" s="127"/>
      <c r="AL482" s="127"/>
      <c r="AM482" s="58" t="str" cm="1">
        <f>IFERROR(IF(ISBLANK($A482),"",INDEX(Array_StationaryCharges,MATCH($A482,List_StationaryFuelMeters,0),ROUNDUP((COLUMN()+1)/3-2,0))),"")</f>
        <v/>
      </c>
      <c r="AN482" s="127"/>
      <c r="AO482" s="127"/>
      <c r="AP482" s="58" t="str" cm="1">
        <f>IFERROR(IF(ISBLANK($A482),"",INDEX(Array_StationaryCharges,MATCH($A482,List_StationaryFuelMeters,0),ROUNDUP((COLUMN()+1)/3-2,0))),"")</f>
        <v/>
      </c>
      <c r="AQ482" s="127"/>
      <c r="AR482" s="127"/>
      <c r="AS482" s="58" t="str" cm="1">
        <f>IFERROR(IF(ISBLANK($A482),"",INDEX(Array_StationaryCharges,MATCH($A482,List_StationaryFuelMeters,0),ROUNDUP((COLUMN()+1)/3-2,0))),"")</f>
        <v/>
      </c>
      <c r="AT482" s="127"/>
      <c r="AU482" s="127"/>
      <c r="AV482" s="58" t="str" cm="1">
        <f>IFERROR(IF(ISBLANK($A482),"",INDEX(Array_StationaryCharges,MATCH($A482,List_StationaryFuelMeters,0),ROUNDUP((COLUMN()+1)/3-2,0))),"")</f>
        <v/>
      </c>
      <c r="AW482" s="127"/>
      <c r="AX482" s="127"/>
    </row>
    <row r="483" spans="1:50" x14ac:dyDescent="0.3">
      <c r="A483" s="126"/>
      <c r="B483" s="133"/>
      <c r="C483" s="127"/>
      <c r="D483" s="138"/>
      <c r="E483" s="138"/>
      <c r="F483" s="58" t="str" cm="1">
        <f>IFERROR(IF(ISBLANK($A483),"",INDEX(Array_StationaryCharges,MATCH($A483,List_StationaryFuelMeters,0),ROUNDUP((COLUMN()+1)/3-2,0))),"")</f>
        <v/>
      </c>
      <c r="G483" s="127"/>
      <c r="H483" s="127"/>
      <c r="I483" s="58" t="str" cm="1">
        <f>IFERROR(IF(ISBLANK($A483),"",INDEX(Array_StationaryCharges,MATCH($A483,List_StationaryFuelMeters,0),ROUNDUP((COLUMN()+1)/3-2,0))),"")</f>
        <v/>
      </c>
      <c r="J483" s="127"/>
      <c r="K483" s="127"/>
      <c r="L483" s="58" t="str" cm="1">
        <f>IFERROR(IF(ISBLANK($A483),"",INDEX(Array_StationaryCharges,MATCH($A483,List_StationaryFuelMeters,0),ROUNDUP((COLUMN()+1)/3-2,0))),"")</f>
        <v/>
      </c>
      <c r="M483" s="127"/>
      <c r="N483" s="127"/>
      <c r="O483" s="58" t="str" cm="1">
        <f>IFERROR(IF(ISBLANK($A483),"",INDEX(Array_StationaryCharges,MATCH($A483,List_StationaryFuelMeters,0),ROUNDUP((COLUMN()+1)/3-2,0))),"")</f>
        <v/>
      </c>
      <c r="P483" s="127"/>
      <c r="Q483" s="127"/>
      <c r="R483" s="58" t="str" cm="1">
        <f>IFERROR(IF(ISBLANK($A483),"",INDEX(Array_StationaryCharges,MATCH($A483,List_StationaryFuelMeters,0),ROUNDUP((COLUMN()+1)/3-2,0))),"")</f>
        <v/>
      </c>
      <c r="S483" s="127"/>
      <c r="T483" s="127"/>
      <c r="U483" s="58" t="str" cm="1">
        <f>IFERROR(IF(ISBLANK($A483),"",INDEX(Array_StationaryCharges,MATCH($A483,List_StationaryFuelMeters,0),ROUNDUP((COLUMN()+1)/3-2,0))),"")</f>
        <v/>
      </c>
      <c r="V483" s="127"/>
      <c r="W483" s="127"/>
      <c r="X483" s="58" t="str" cm="1">
        <f>IFERROR(IF(ISBLANK($A483),"",INDEX(Array_StationaryCharges,MATCH($A483,List_StationaryFuelMeters,0),ROUNDUP((COLUMN()+1)/3-2,0))),"")</f>
        <v/>
      </c>
      <c r="Y483" s="127"/>
      <c r="Z483" s="127"/>
      <c r="AA483" s="58" t="str" cm="1">
        <f>IFERROR(IF(ISBLANK($A483),"",INDEX(Array_StationaryCharges,MATCH($A483,List_StationaryFuelMeters,0),ROUNDUP((COLUMN()+1)/3-2,0))),"")</f>
        <v/>
      </c>
      <c r="AB483" s="127"/>
      <c r="AC483" s="127"/>
      <c r="AD483" s="58" t="str" cm="1">
        <f>IFERROR(IF(ISBLANK($A483),"",INDEX(Array_StationaryCharges,MATCH($A483,List_StationaryFuelMeters,0),ROUNDUP((COLUMN()+1)/3-2,0))),"")</f>
        <v/>
      </c>
      <c r="AE483" s="127"/>
      <c r="AF483" s="127"/>
      <c r="AG483" s="58" t="str" cm="1">
        <f>IFERROR(IF(ISBLANK($A483),"",INDEX(Array_StationaryCharges,MATCH($A483,List_StationaryFuelMeters,0),ROUNDUP((COLUMN()+1)/3-2,0))),"")</f>
        <v/>
      </c>
      <c r="AH483" s="127"/>
      <c r="AI483" s="127"/>
      <c r="AJ483" s="58" t="str" cm="1">
        <f>IFERROR(IF(ISBLANK($A483),"",INDEX(Array_StationaryCharges,MATCH($A483,List_StationaryFuelMeters,0),ROUNDUP((COLUMN()+1)/3-2,0))),"")</f>
        <v/>
      </c>
      <c r="AK483" s="127"/>
      <c r="AL483" s="127"/>
      <c r="AM483" s="58" t="str" cm="1">
        <f>IFERROR(IF(ISBLANK($A483),"",INDEX(Array_StationaryCharges,MATCH($A483,List_StationaryFuelMeters,0),ROUNDUP((COLUMN()+1)/3-2,0))),"")</f>
        <v/>
      </c>
      <c r="AN483" s="127"/>
      <c r="AO483" s="127"/>
      <c r="AP483" s="58" t="str" cm="1">
        <f>IFERROR(IF(ISBLANK($A483),"",INDEX(Array_StationaryCharges,MATCH($A483,List_StationaryFuelMeters,0),ROUNDUP((COLUMN()+1)/3-2,0))),"")</f>
        <v/>
      </c>
      <c r="AQ483" s="127"/>
      <c r="AR483" s="127"/>
      <c r="AS483" s="58" t="str" cm="1">
        <f>IFERROR(IF(ISBLANK($A483),"",INDEX(Array_StationaryCharges,MATCH($A483,List_StationaryFuelMeters,0),ROUNDUP((COLUMN()+1)/3-2,0))),"")</f>
        <v/>
      </c>
      <c r="AT483" s="127"/>
      <c r="AU483" s="127"/>
      <c r="AV483" s="58" t="str" cm="1">
        <f>IFERROR(IF(ISBLANK($A483),"",INDEX(Array_StationaryCharges,MATCH($A483,List_StationaryFuelMeters,0),ROUNDUP((COLUMN()+1)/3-2,0))),"")</f>
        <v/>
      </c>
      <c r="AW483" s="127"/>
      <c r="AX483" s="127"/>
    </row>
    <row r="484" spans="1:50" x14ac:dyDescent="0.3">
      <c r="A484" s="126"/>
      <c r="B484" s="133"/>
      <c r="C484" s="127"/>
      <c r="D484" s="138"/>
      <c r="E484" s="138"/>
      <c r="F484" s="58" t="str" cm="1">
        <f>IFERROR(IF(ISBLANK($A484),"",INDEX(Array_StationaryCharges,MATCH($A484,List_StationaryFuelMeters,0),ROUNDUP((COLUMN()+1)/3-2,0))),"")</f>
        <v/>
      </c>
      <c r="G484" s="127"/>
      <c r="H484" s="127"/>
      <c r="I484" s="58" t="str" cm="1">
        <f>IFERROR(IF(ISBLANK($A484),"",INDEX(Array_StationaryCharges,MATCH($A484,List_StationaryFuelMeters,0),ROUNDUP((COLUMN()+1)/3-2,0))),"")</f>
        <v/>
      </c>
      <c r="J484" s="127"/>
      <c r="K484" s="127"/>
      <c r="L484" s="58" t="str" cm="1">
        <f>IFERROR(IF(ISBLANK($A484),"",INDEX(Array_StationaryCharges,MATCH($A484,List_StationaryFuelMeters,0),ROUNDUP((COLUMN()+1)/3-2,0))),"")</f>
        <v/>
      </c>
      <c r="M484" s="127"/>
      <c r="N484" s="127"/>
      <c r="O484" s="58" t="str" cm="1">
        <f>IFERROR(IF(ISBLANK($A484),"",INDEX(Array_StationaryCharges,MATCH($A484,List_StationaryFuelMeters,0),ROUNDUP((COLUMN()+1)/3-2,0))),"")</f>
        <v/>
      </c>
      <c r="P484" s="127"/>
      <c r="Q484" s="127"/>
      <c r="R484" s="58" t="str" cm="1">
        <f>IFERROR(IF(ISBLANK($A484),"",INDEX(Array_StationaryCharges,MATCH($A484,List_StationaryFuelMeters,0),ROUNDUP((COLUMN()+1)/3-2,0))),"")</f>
        <v/>
      </c>
      <c r="S484" s="127"/>
      <c r="T484" s="127"/>
      <c r="U484" s="58" t="str" cm="1">
        <f>IFERROR(IF(ISBLANK($A484),"",INDEX(Array_StationaryCharges,MATCH($A484,List_StationaryFuelMeters,0),ROUNDUP((COLUMN()+1)/3-2,0))),"")</f>
        <v/>
      </c>
      <c r="V484" s="127"/>
      <c r="W484" s="127"/>
      <c r="X484" s="58" t="str" cm="1">
        <f>IFERROR(IF(ISBLANK($A484),"",INDEX(Array_StationaryCharges,MATCH($A484,List_StationaryFuelMeters,0),ROUNDUP((COLUMN()+1)/3-2,0))),"")</f>
        <v/>
      </c>
      <c r="Y484" s="127"/>
      <c r="Z484" s="127"/>
      <c r="AA484" s="58" t="str" cm="1">
        <f>IFERROR(IF(ISBLANK($A484),"",INDEX(Array_StationaryCharges,MATCH($A484,List_StationaryFuelMeters,0),ROUNDUP((COLUMN()+1)/3-2,0))),"")</f>
        <v/>
      </c>
      <c r="AB484" s="127"/>
      <c r="AC484" s="127"/>
      <c r="AD484" s="58" t="str" cm="1">
        <f>IFERROR(IF(ISBLANK($A484),"",INDEX(Array_StationaryCharges,MATCH($A484,List_StationaryFuelMeters,0),ROUNDUP((COLUMN()+1)/3-2,0))),"")</f>
        <v/>
      </c>
      <c r="AE484" s="127"/>
      <c r="AF484" s="127"/>
      <c r="AG484" s="58" t="str" cm="1">
        <f>IFERROR(IF(ISBLANK($A484),"",INDEX(Array_StationaryCharges,MATCH($A484,List_StationaryFuelMeters,0),ROUNDUP((COLUMN()+1)/3-2,0))),"")</f>
        <v/>
      </c>
      <c r="AH484" s="127"/>
      <c r="AI484" s="127"/>
      <c r="AJ484" s="58" t="str" cm="1">
        <f>IFERROR(IF(ISBLANK($A484),"",INDEX(Array_StationaryCharges,MATCH($A484,List_StationaryFuelMeters,0),ROUNDUP((COLUMN()+1)/3-2,0))),"")</f>
        <v/>
      </c>
      <c r="AK484" s="127"/>
      <c r="AL484" s="127"/>
      <c r="AM484" s="58" t="str" cm="1">
        <f>IFERROR(IF(ISBLANK($A484),"",INDEX(Array_StationaryCharges,MATCH($A484,List_StationaryFuelMeters,0),ROUNDUP((COLUMN()+1)/3-2,0))),"")</f>
        <v/>
      </c>
      <c r="AN484" s="127"/>
      <c r="AO484" s="127"/>
      <c r="AP484" s="58" t="str" cm="1">
        <f>IFERROR(IF(ISBLANK($A484),"",INDEX(Array_StationaryCharges,MATCH($A484,List_StationaryFuelMeters,0),ROUNDUP((COLUMN()+1)/3-2,0))),"")</f>
        <v/>
      </c>
      <c r="AQ484" s="127"/>
      <c r="AR484" s="127"/>
      <c r="AS484" s="58" t="str" cm="1">
        <f>IFERROR(IF(ISBLANK($A484),"",INDEX(Array_StationaryCharges,MATCH($A484,List_StationaryFuelMeters,0),ROUNDUP((COLUMN()+1)/3-2,0))),"")</f>
        <v/>
      </c>
      <c r="AT484" s="127"/>
      <c r="AU484" s="127"/>
      <c r="AV484" s="58" t="str" cm="1">
        <f>IFERROR(IF(ISBLANK($A484),"",INDEX(Array_StationaryCharges,MATCH($A484,List_StationaryFuelMeters,0),ROUNDUP((COLUMN()+1)/3-2,0))),"")</f>
        <v/>
      </c>
      <c r="AW484" s="127"/>
      <c r="AX484" s="127"/>
    </row>
    <row r="485" spans="1:50" x14ac:dyDescent="0.3">
      <c r="A485" s="126"/>
      <c r="B485" s="133"/>
      <c r="C485" s="127"/>
      <c r="D485" s="138"/>
      <c r="E485" s="138"/>
      <c r="F485" s="58" t="str" cm="1">
        <f>IFERROR(IF(ISBLANK($A485),"",INDEX(Array_StationaryCharges,MATCH($A485,List_StationaryFuelMeters,0),ROUNDUP((COLUMN()+1)/3-2,0))),"")</f>
        <v/>
      </c>
      <c r="G485" s="127"/>
      <c r="H485" s="127"/>
      <c r="I485" s="58" t="str" cm="1">
        <f>IFERROR(IF(ISBLANK($A485),"",INDEX(Array_StationaryCharges,MATCH($A485,List_StationaryFuelMeters,0),ROUNDUP((COLUMN()+1)/3-2,0))),"")</f>
        <v/>
      </c>
      <c r="J485" s="127"/>
      <c r="K485" s="127"/>
      <c r="L485" s="58" t="str" cm="1">
        <f>IFERROR(IF(ISBLANK($A485),"",INDEX(Array_StationaryCharges,MATCH($A485,List_StationaryFuelMeters,0),ROUNDUP((COLUMN()+1)/3-2,0))),"")</f>
        <v/>
      </c>
      <c r="M485" s="127"/>
      <c r="N485" s="127"/>
      <c r="O485" s="58" t="str" cm="1">
        <f>IFERROR(IF(ISBLANK($A485),"",INDEX(Array_StationaryCharges,MATCH($A485,List_StationaryFuelMeters,0),ROUNDUP((COLUMN()+1)/3-2,0))),"")</f>
        <v/>
      </c>
      <c r="P485" s="127"/>
      <c r="Q485" s="127"/>
      <c r="R485" s="58" t="str" cm="1">
        <f>IFERROR(IF(ISBLANK($A485),"",INDEX(Array_StationaryCharges,MATCH($A485,List_StationaryFuelMeters,0),ROUNDUP((COLUMN()+1)/3-2,0))),"")</f>
        <v/>
      </c>
      <c r="S485" s="127"/>
      <c r="T485" s="127"/>
      <c r="U485" s="58" t="str" cm="1">
        <f>IFERROR(IF(ISBLANK($A485),"",INDEX(Array_StationaryCharges,MATCH($A485,List_StationaryFuelMeters,0),ROUNDUP((COLUMN()+1)/3-2,0))),"")</f>
        <v/>
      </c>
      <c r="V485" s="127"/>
      <c r="W485" s="127"/>
      <c r="X485" s="58" t="str" cm="1">
        <f>IFERROR(IF(ISBLANK($A485),"",INDEX(Array_StationaryCharges,MATCH($A485,List_StationaryFuelMeters,0),ROUNDUP((COLUMN()+1)/3-2,0))),"")</f>
        <v/>
      </c>
      <c r="Y485" s="127"/>
      <c r="Z485" s="127"/>
      <c r="AA485" s="58" t="str" cm="1">
        <f>IFERROR(IF(ISBLANK($A485),"",INDEX(Array_StationaryCharges,MATCH($A485,List_StationaryFuelMeters,0),ROUNDUP((COLUMN()+1)/3-2,0))),"")</f>
        <v/>
      </c>
      <c r="AB485" s="127"/>
      <c r="AC485" s="127"/>
      <c r="AD485" s="58" t="str" cm="1">
        <f>IFERROR(IF(ISBLANK($A485),"",INDEX(Array_StationaryCharges,MATCH($A485,List_StationaryFuelMeters,0),ROUNDUP((COLUMN()+1)/3-2,0))),"")</f>
        <v/>
      </c>
      <c r="AE485" s="127"/>
      <c r="AF485" s="127"/>
      <c r="AG485" s="58" t="str" cm="1">
        <f>IFERROR(IF(ISBLANK($A485),"",INDEX(Array_StationaryCharges,MATCH($A485,List_StationaryFuelMeters,0),ROUNDUP((COLUMN()+1)/3-2,0))),"")</f>
        <v/>
      </c>
      <c r="AH485" s="127"/>
      <c r="AI485" s="127"/>
      <c r="AJ485" s="58" t="str" cm="1">
        <f>IFERROR(IF(ISBLANK($A485),"",INDEX(Array_StationaryCharges,MATCH($A485,List_StationaryFuelMeters,0),ROUNDUP((COLUMN()+1)/3-2,0))),"")</f>
        <v/>
      </c>
      <c r="AK485" s="127"/>
      <c r="AL485" s="127"/>
      <c r="AM485" s="58" t="str" cm="1">
        <f>IFERROR(IF(ISBLANK($A485),"",INDEX(Array_StationaryCharges,MATCH($A485,List_StationaryFuelMeters,0),ROUNDUP((COLUMN()+1)/3-2,0))),"")</f>
        <v/>
      </c>
      <c r="AN485" s="127"/>
      <c r="AO485" s="127"/>
      <c r="AP485" s="58" t="str" cm="1">
        <f>IFERROR(IF(ISBLANK($A485),"",INDEX(Array_StationaryCharges,MATCH($A485,List_StationaryFuelMeters,0),ROUNDUP((COLUMN()+1)/3-2,0))),"")</f>
        <v/>
      </c>
      <c r="AQ485" s="127"/>
      <c r="AR485" s="127"/>
      <c r="AS485" s="58" t="str" cm="1">
        <f>IFERROR(IF(ISBLANK($A485),"",INDEX(Array_StationaryCharges,MATCH($A485,List_StationaryFuelMeters,0),ROUNDUP((COLUMN()+1)/3-2,0))),"")</f>
        <v/>
      </c>
      <c r="AT485" s="127"/>
      <c r="AU485" s="127"/>
      <c r="AV485" s="58" t="str" cm="1">
        <f>IFERROR(IF(ISBLANK($A485),"",INDEX(Array_StationaryCharges,MATCH($A485,List_StationaryFuelMeters,0),ROUNDUP((COLUMN()+1)/3-2,0))),"")</f>
        <v/>
      </c>
      <c r="AW485" s="127"/>
      <c r="AX485" s="127"/>
    </row>
    <row r="486" spans="1:50" x14ac:dyDescent="0.3">
      <c r="A486" s="126"/>
      <c r="B486" s="133"/>
      <c r="C486" s="127"/>
      <c r="D486" s="138"/>
      <c r="E486" s="138"/>
      <c r="F486" s="58" t="str" cm="1">
        <f>IFERROR(IF(ISBLANK($A486),"",INDEX(Array_StationaryCharges,MATCH($A486,List_StationaryFuelMeters,0),ROUNDUP((COLUMN()+1)/3-2,0))),"")</f>
        <v/>
      </c>
      <c r="G486" s="127"/>
      <c r="H486" s="127"/>
      <c r="I486" s="58" t="str" cm="1">
        <f>IFERROR(IF(ISBLANK($A486),"",INDEX(Array_StationaryCharges,MATCH($A486,List_StationaryFuelMeters,0),ROUNDUP((COLUMN()+1)/3-2,0))),"")</f>
        <v/>
      </c>
      <c r="J486" s="127"/>
      <c r="K486" s="127"/>
      <c r="L486" s="58" t="str" cm="1">
        <f>IFERROR(IF(ISBLANK($A486),"",INDEX(Array_StationaryCharges,MATCH($A486,List_StationaryFuelMeters,0),ROUNDUP((COLUMN()+1)/3-2,0))),"")</f>
        <v/>
      </c>
      <c r="M486" s="127"/>
      <c r="N486" s="127"/>
      <c r="O486" s="58" t="str" cm="1">
        <f>IFERROR(IF(ISBLANK($A486),"",INDEX(Array_StationaryCharges,MATCH($A486,List_StationaryFuelMeters,0),ROUNDUP((COLUMN()+1)/3-2,0))),"")</f>
        <v/>
      </c>
      <c r="P486" s="127"/>
      <c r="Q486" s="127"/>
      <c r="R486" s="58" t="str" cm="1">
        <f>IFERROR(IF(ISBLANK($A486),"",INDEX(Array_StationaryCharges,MATCH($A486,List_StationaryFuelMeters,0),ROUNDUP((COLUMN()+1)/3-2,0))),"")</f>
        <v/>
      </c>
      <c r="S486" s="127"/>
      <c r="T486" s="127"/>
      <c r="U486" s="58" t="str" cm="1">
        <f>IFERROR(IF(ISBLANK($A486),"",INDEX(Array_StationaryCharges,MATCH($A486,List_StationaryFuelMeters,0),ROUNDUP((COLUMN()+1)/3-2,0))),"")</f>
        <v/>
      </c>
      <c r="V486" s="127"/>
      <c r="W486" s="127"/>
      <c r="X486" s="58" t="str" cm="1">
        <f>IFERROR(IF(ISBLANK($A486),"",INDEX(Array_StationaryCharges,MATCH($A486,List_StationaryFuelMeters,0),ROUNDUP((COLUMN()+1)/3-2,0))),"")</f>
        <v/>
      </c>
      <c r="Y486" s="127"/>
      <c r="Z486" s="127"/>
      <c r="AA486" s="58" t="str" cm="1">
        <f>IFERROR(IF(ISBLANK($A486),"",INDEX(Array_StationaryCharges,MATCH($A486,List_StationaryFuelMeters,0),ROUNDUP((COLUMN()+1)/3-2,0))),"")</f>
        <v/>
      </c>
      <c r="AB486" s="127"/>
      <c r="AC486" s="127"/>
      <c r="AD486" s="58" t="str" cm="1">
        <f>IFERROR(IF(ISBLANK($A486),"",INDEX(Array_StationaryCharges,MATCH($A486,List_StationaryFuelMeters,0),ROUNDUP((COLUMN()+1)/3-2,0))),"")</f>
        <v/>
      </c>
      <c r="AE486" s="127"/>
      <c r="AF486" s="127"/>
      <c r="AG486" s="58" t="str" cm="1">
        <f>IFERROR(IF(ISBLANK($A486),"",INDEX(Array_StationaryCharges,MATCH($A486,List_StationaryFuelMeters,0),ROUNDUP((COLUMN()+1)/3-2,0))),"")</f>
        <v/>
      </c>
      <c r="AH486" s="127"/>
      <c r="AI486" s="127"/>
      <c r="AJ486" s="58" t="str" cm="1">
        <f>IFERROR(IF(ISBLANK($A486),"",INDEX(Array_StationaryCharges,MATCH($A486,List_StationaryFuelMeters,0),ROUNDUP((COLUMN()+1)/3-2,0))),"")</f>
        <v/>
      </c>
      <c r="AK486" s="127"/>
      <c r="AL486" s="127"/>
      <c r="AM486" s="58" t="str" cm="1">
        <f>IFERROR(IF(ISBLANK($A486),"",INDEX(Array_StationaryCharges,MATCH($A486,List_StationaryFuelMeters,0),ROUNDUP((COLUMN()+1)/3-2,0))),"")</f>
        <v/>
      </c>
      <c r="AN486" s="127"/>
      <c r="AO486" s="127"/>
      <c r="AP486" s="58" t="str" cm="1">
        <f>IFERROR(IF(ISBLANK($A486),"",INDEX(Array_StationaryCharges,MATCH($A486,List_StationaryFuelMeters,0),ROUNDUP((COLUMN()+1)/3-2,0))),"")</f>
        <v/>
      </c>
      <c r="AQ486" s="127"/>
      <c r="AR486" s="127"/>
      <c r="AS486" s="58" t="str" cm="1">
        <f>IFERROR(IF(ISBLANK($A486),"",INDEX(Array_StationaryCharges,MATCH($A486,List_StationaryFuelMeters,0),ROUNDUP((COLUMN()+1)/3-2,0))),"")</f>
        <v/>
      </c>
      <c r="AT486" s="127"/>
      <c r="AU486" s="127"/>
      <c r="AV486" s="58" t="str" cm="1">
        <f>IFERROR(IF(ISBLANK($A486),"",INDEX(Array_StationaryCharges,MATCH($A486,List_StationaryFuelMeters,0),ROUNDUP((COLUMN()+1)/3-2,0))),"")</f>
        <v/>
      </c>
      <c r="AW486" s="127"/>
      <c r="AX486" s="127"/>
    </row>
    <row r="487" spans="1:50" x14ac:dyDescent="0.3">
      <c r="A487" s="126"/>
      <c r="B487" s="133"/>
      <c r="C487" s="127"/>
      <c r="D487" s="138"/>
      <c r="E487" s="138"/>
      <c r="F487" s="58" t="str" cm="1">
        <f>IFERROR(IF(ISBLANK($A487),"",INDEX(Array_StationaryCharges,MATCH($A487,List_StationaryFuelMeters,0),ROUNDUP((COLUMN()+1)/3-2,0))),"")</f>
        <v/>
      </c>
      <c r="G487" s="127"/>
      <c r="H487" s="127"/>
      <c r="I487" s="58" t="str" cm="1">
        <f>IFERROR(IF(ISBLANK($A487),"",INDEX(Array_StationaryCharges,MATCH($A487,List_StationaryFuelMeters,0),ROUNDUP((COLUMN()+1)/3-2,0))),"")</f>
        <v/>
      </c>
      <c r="J487" s="127"/>
      <c r="K487" s="127"/>
      <c r="L487" s="58" t="str" cm="1">
        <f>IFERROR(IF(ISBLANK($A487),"",INDEX(Array_StationaryCharges,MATCH($A487,List_StationaryFuelMeters,0),ROUNDUP((COLUMN()+1)/3-2,0))),"")</f>
        <v/>
      </c>
      <c r="M487" s="127"/>
      <c r="N487" s="127"/>
      <c r="O487" s="58" t="str" cm="1">
        <f>IFERROR(IF(ISBLANK($A487),"",INDEX(Array_StationaryCharges,MATCH($A487,List_StationaryFuelMeters,0),ROUNDUP((COLUMN()+1)/3-2,0))),"")</f>
        <v/>
      </c>
      <c r="P487" s="127"/>
      <c r="Q487" s="127"/>
      <c r="R487" s="58" t="str" cm="1">
        <f>IFERROR(IF(ISBLANK($A487),"",INDEX(Array_StationaryCharges,MATCH($A487,List_StationaryFuelMeters,0),ROUNDUP((COLUMN()+1)/3-2,0))),"")</f>
        <v/>
      </c>
      <c r="S487" s="127"/>
      <c r="T487" s="127"/>
      <c r="U487" s="58" t="str" cm="1">
        <f>IFERROR(IF(ISBLANK($A487),"",INDEX(Array_StationaryCharges,MATCH($A487,List_StationaryFuelMeters,0),ROUNDUP((COLUMN()+1)/3-2,0))),"")</f>
        <v/>
      </c>
      <c r="V487" s="127"/>
      <c r="W487" s="127"/>
      <c r="X487" s="58" t="str" cm="1">
        <f>IFERROR(IF(ISBLANK($A487),"",INDEX(Array_StationaryCharges,MATCH($A487,List_StationaryFuelMeters,0),ROUNDUP((COLUMN()+1)/3-2,0))),"")</f>
        <v/>
      </c>
      <c r="Y487" s="127"/>
      <c r="Z487" s="127"/>
      <c r="AA487" s="58" t="str" cm="1">
        <f>IFERROR(IF(ISBLANK($A487),"",INDEX(Array_StationaryCharges,MATCH($A487,List_StationaryFuelMeters,0),ROUNDUP((COLUMN()+1)/3-2,0))),"")</f>
        <v/>
      </c>
      <c r="AB487" s="127"/>
      <c r="AC487" s="127"/>
      <c r="AD487" s="58" t="str" cm="1">
        <f>IFERROR(IF(ISBLANK($A487),"",INDEX(Array_StationaryCharges,MATCH($A487,List_StationaryFuelMeters,0),ROUNDUP((COLUMN()+1)/3-2,0))),"")</f>
        <v/>
      </c>
      <c r="AE487" s="127"/>
      <c r="AF487" s="127"/>
      <c r="AG487" s="58" t="str" cm="1">
        <f>IFERROR(IF(ISBLANK($A487),"",INDEX(Array_StationaryCharges,MATCH($A487,List_StationaryFuelMeters,0),ROUNDUP((COLUMN()+1)/3-2,0))),"")</f>
        <v/>
      </c>
      <c r="AH487" s="127"/>
      <c r="AI487" s="127"/>
      <c r="AJ487" s="58" t="str" cm="1">
        <f>IFERROR(IF(ISBLANK($A487),"",INDEX(Array_StationaryCharges,MATCH($A487,List_StationaryFuelMeters,0),ROUNDUP((COLUMN()+1)/3-2,0))),"")</f>
        <v/>
      </c>
      <c r="AK487" s="127"/>
      <c r="AL487" s="127"/>
      <c r="AM487" s="58" t="str" cm="1">
        <f>IFERROR(IF(ISBLANK($A487),"",INDEX(Array_StationaryCharges,MATCH($A487,List_StationaryFuelMeters,0),ROUNDUP((COLUMN()+1)/3-2,0))),"")</f>
        <v/>
      </c>
      <c r="AN487" s="127"/>
      <c r="AO487" s="127"/>
      <c r="AP487" s="58" t="str" cm="1">
        <f>IFERROR(IF(ISBLANK($A487),"",INDEX(Array_StationaryCharges,MATCH($A487,List_StationaryFuelMeters,0),ROUNDUP((COLUMN()+1)/3-2,0))),"")</f>
        <v/>
      </c>
      <c r="AQ487" s="127"/>
      <c r="AR487" s="127"/>
      <c r="AS487" s="58" t="str" cm="1">
        <f>IFERROR(IF(ISBLANK($A487),"",INDEX(Array_StationaryCharges,MATCH($A487,List_StationaryFuelMeters,0),ROUNDUP((COLUMN()+1)/3-2,0))),"")</f>
        <v/>
      </c>
      <c r="AT487" s="127"/>
      <c r="AU487" s="127"/>
      <c r="AV487" s="58" t="str" cm="1">
        <f>IFERROR(IF(ISBLANK($A487),"",INDEX(Array_StationaryCharges,MATCH($A487,List_StationaryFuelMeters,0),ROUNDUP((COLUMN()+1)/3-2,0))),"")</f>
        <v/>
      </c>
      <c r="AW487" s="127"/>
      <c r="AX487" s="127"/>
    </row>
    <row r="488" spans="1:50" x14ac:dyDescent="0.3">
      <c r="A488" s="126"/>
      <c r="B488" s="133"/>
      <c r="C488" s="127"/>
      <c r="D488" s="138"/>
      <c r="E488" s="138"/>
      <c r="F488" s="58" t="str" cm="1">
        <f>IFERROR(IF(ISBLANK($A488),"",INDEX(Array_StationaryCharges,MATCH($A488,List_StationaryFuelMeters,0),ROUNDUP((COLUMN()+1)/3-2,0))),"")</f>
        <v/>
      </c>
      <c r="G488" s="127"/>
      <c r="H488" s="127"/>
      <c r="I488" s="58" t="str" cm="1">
        <f>IFERROR(IF(ISBLANK($A488),"",INDEX(Array_StationaryCharges,MATCH($A488,List_StationaryFuelMeters,0),ROUNDUP((COLUMN()+1)/3-2,0))),"")</f>
        <v/>
      </c>
      <c r="J488" s="127"/>
      <c r="K488" s="127"/>
      <c r="L488" s="58" t="str" cm="1">
        <f>IFERROR(IF(ISBLANK($A488),"",INDEX(Array_StationaryCharges,MATCH($A488,List_StationaryFuelMeters,0),ROUNDUP((COLUMN()+1)/3-2,0))),"")</f>
        <v/>
      </c>
      <c r="M488" s="127"/>
      <c r="N488" s="127"/>
      <c r="O488" s="58" t="str" cm="1">
        <f>IFERROR(IF(ISBLANK($A488),"",INDEX(Array_StationaryCharges,MATCH($A488,List_StationaryFuelMeters,0),ROUNDUP((COLUMN()+1)/3-2,0))),"")</f>
        <v/>
      </c>
      <c r="P488" s="127"/>
      <c r="Q488" s="127"/>
      <c r="R488" s="58" t="str" cm="1">
        <f>IFERROR(IF(ISBLANK($A488),"",INDEX(Array_StationaryCharges,MATCH($A488,List_StationaryFuelMeters,0),ROUNDUP((COLUMN()+1)/3-2,0))),"")</f>
        <v/>
      </c>
      <c r="S488" s="127"/>
      <c r="T488" s="127"/>
      <c r="U488" s="58" t="str" cm="1">
        <f>IFERROR(IF(ISBLANK($A488),"",INDEX(Array_StationaryCharges,MATCH($A488,List_StationaryFuelMeters,0),ROUNDUP((COLUMN()+1)/3-2,0))),"")</f>
        <v/>
      </c>
      <c r="V488" s="127"/>
      <c r="W488" s="127"/>
      <c r="X488" s="58" t="str" cm="1">
        <f>IFERROR(IF(ISBLANK($A488),"",INDEX(Array_StationaryCharges,MATCH($A488,List_StationaryFuelMeters,0),ROUNDUP((COLUMN()+1)/3-2,0))),"")</f>
        <v/>
      </c>
      <c r="Y488" s="127"/>
      <c r="Z488" s="127"/>
      <c r="AA488" s="58" t="str" cm="1">
        <f>IFERROR(IF(ISBLANK($A488),"",INDEX(Array_StationaryCharges,MATCH($A488,List_StationaryFuelMeters,0),ROUNDUP((COLUMN()+1)/3-2,0))),"")</f>
        <v/>
      </c>
      <c r="AB488" s="127"/>
      <c r="AC488" s="127"/>
      <c r="AD488" s="58" t="str" cm="1">
        <f>IFERROR(IF(ISBLANK($A488),"",INDEX(Array_StationaryCharges,MATCH($A488,List_StationaryFuelMeters,0),ROUNDUP((COLUMN()+1)/3-2,0))),"")</f>
        <v/>
      </c>
      <c r="AE488" s="127"/>
      <c r="AF488" s="127"/>
      <c r="AG488" s="58" t="str" cm="1">
        <f>IFERROR(IF(ISBLANK($A488),"",INDEX(Array_StationaryCharges,MATCH($A488,List_StationaryFuelMeters,0),ROUNDUP((COLUMN()+1)/3-2,0))),"")</f>
        <v/>
      </c>
      <c r="AH488" s="127"/>
      <c r="AI488" s="127"/>
      <c r="AJ488" s="58" t="str" cm="1">
        <f>IFERROR(IF(ISBLANK($A488),"",INDEX(Array_StationaryCharges,MATCH($A488,List_StationaryFuelMeters,0),ROUNDUP((COLUMN()+1)/3-2,0))),"")</f>
        <v/>
      </c>
      <c r="AK488" s="127"/>
      <c r="AL488" s="127"/>
      <c r="AM488" s="58" t="str" cm="1">
        <f>IFERROR(IF(ISBLANK($A488),"",INDEX(Array_StationaryCharges,MATCH($A488,List_StationaryFuelMeters,0),ROUNDUP((COLUMN()+1)/3-2,0))),"")</f>
        <v/>
      </c>
      <c r="AN488" s="127"/>
      <c r="AO488" s="127"/>
      <c r="AP488" s="58" t="str" cm="1">
        <f>IFERROR(IF(ISBLANK($A488),"",INDEX(Array_StationaryCharges,MATCH($A488,List_StationaryFuelMeters,0),ROUNDUP((COLUMN()+1)/3-2,0))),"")</f>
        <v/>
      </c>
      <c r="AQ488" s="127"/>
      <c r="AR488" s="127"/>
      <c r="AS488" s="58" t="str" cm="1">
        <f>IFERROR(IF(ISBLANK($A488),"",INDEX(Array_StationaryCharges,MATCH($A488,List_StationaryFuelMeters,0),ROUNDUP((COLUMN()+1)/3-2,0))),"")</f>
        <v/>
      </c>
      <c r="AT488" s="127"/>
      <c r="AU488" s="127"/>
      <c r="AV488" s="58" t="str" cm="1">
        <f>IFERROR(IF(ISBLANK($A488),"",INDEX(Array_StationaryCharges,MATCH($A488,List_StationaryFuelMeters,0),ROUNDUP((COLUMN()+1)/3-2,0))),"")</f>
        <v/>
      </c>
      <c r="AW488" s="127"/>
      <c r="AX488" s="127"/>
    </row>
    <row r="489" spans="1:50" x14ac:dyDescent="0.3">
      <c r="A489" s="126"/>
      <c r="B489" s="133"/>
      <c r="C489" s="127"/>
      <c r="D489" s="138"/>
      <c r="E489" s="138"/>
      <c r="F489" s="58" t="str" cm="1">
        <f>IFERROR(IF(ISBLANK($A489),"",INDEX(Array_StationaryCharges,MATCH($A489,List_StationaryFuelMeters,0),ROUNDUP((COLUMN()+1)/3-2,0))),"")</f>
        <v/>
      </c>
      <c r="G489" s="127"/>
      <c r="H489" s="127"/>
      <c r="I489" s="58" t="str" cm="1">
        <f>IFERROR(IF(ISBLANK($A489),"",INDEX(Array_StationaryCharges,MATCH($A489,List_StationaryFuelMeters,0),ROUNDUP((COLUMN()+1)/3-2,0))),"")</f>
        <v/>
      </c>
      <c r="J489" s="127"/>
      <c r="K489" s="127"/>
      <c r="L489" s="58" t="str" cm="1">
        <f>IFERROR(IF(ISBLANK($A489),"",INDEX(Array_StationaryCharges,MATCH($A489,List_StationaryFuelMeters,0),ROUNDUP((COLUMN()+1)/3-2,0))),"")</f>
        <v/>
      </c>
      <c r="M489" s="127"/>
      <c r="N489" s="127"/>
      <c r="O489" s="58" t="str" cm="1">
        <f>IFERROR(IF(ISBLANK($A489),"",INDEX(Array_StationaryCharges,MATCH($A489,List_StationaryFuelMeters,0),ROUNDUP((COLUMN()+1)/3-2,0))),"")</f>
        <v/>
      </c>
      <c r="P489" s="127"/>
      <c r="Q489" s="127"/>
      <c r="R489" s="58" t="str" cm="1">
        <f>IFERROR(IF(ISBLANK($A489),"",INDEX(Array_StationaryCharges,MATCH($A489,List_StationaryFuelMeters,0),ROUNDUP((COLUMN()+1)/3-2,0))),"")</f>
        <v/>
      </c>
      <c r="S489" s="127"/>
      <c r="T489" s="127"/>
      <c r="U489" s="58" t="str" cm="1">
        <f>IFERROR(IF(ISBLANK($A489),"",INDEX(Array_StationaryCharges,MATCH($A489,List_StationaryFuelMeters,0),ROUNDUP((COLUMN()+1)/3-2,0))),"")</f>
        <v/>
      </c>
      <c r="V489" s="127"/>
      <c r="W489" s="127"/>
      <c r="X489" s="58" t="str" cm="1">
        <f>IFERROR(IF(ISBLANK($A489),"",INDEX(Array_StationaryCharges,MATCH($A489,List_StationaryFuelMeters,0),ROUNDUP((COLUMN()+1)/3-2,0))),"")</f>
        <v/>
      </c>
      <c r="Y489" s="127"/>
      <c r="Z489" s="127"/>
      <c r="AA489" s="58" t="str" cm="1">
        <f>IFERROR(IF(ISBLANK($A489),"",INDEX(Array_StationaryCharges,MATCH($A489,List_StationaryFuelMeters,0),ROUNDUP((COLUMN()+1)/3-2,0))),"")</f>
        <v/>
      </c>
      <c r="AB489" s="127"/>
      <c r="AC489" s="127"/>
      <c r="AD489" s="58" t="str" cm="1">
        <f>IFERROR(IF(ISBLANK($A489),"",INDEX(Array_StationaryCharges,MATCH($A489,List_StationaryFuelMeters,0),ROUNDUP((COLUMN()+1)/3-2,0))),"")</f>
        <v/>
      </c>
      <c r="AE489" s="127"/>
      <c r="AF489" s="127"/>
      <c r="AG489" s="58" t="str" cm="1">
        <f>IFERROR(IF(ISBLANK($A489),"",INDEX(Array_StationaryCharges,MATCH($A489,List_StationaryFuelMeters,0),ROUNDUP((COLUMN()+1)/3-2,0))),"")</f>
        <v/>
      </c>
      <c r="AH489" s="127"/>
      <c r="AI489" s="127"/>
      <c r="AJ489" s="58" t="str" cm="1">
        <f>IFERROR(IF(ISBLANK($A489),"",INDEX(Array_StationaryCharges,MATCH($A489,List_StationaryFuelMeters,0),ROUNDUP((COLUMN()+1)/3-2,0))),"")</f>
        <v/>
      </c>
      <c r="AK489" s="127"/>
      <c r="AL489" s="127"/>
      <c r="AM489" s="58" t="str" cm="1">
        <f>IFERROR(IF(ISBLANK($A489),"",INDEX(Array_StationaryCharges,MATCH($A489,List_StationaryFuelMeters,0),ROUNDUP((COLUMN()+1)/3-2,0))),"")</f>
        <v/>
      </c>
      <c r="AN489" s="127"/>
      <c r="AO489" s="127"/>
      <c r="AP489" s="58" t="str" cm="1">
        <f>IFERROR(IF(ISBLANK($A489),"",INDEX(Array_StationaryCharges,MATCH($A489,List_StationaryFuelMeters,0),ROUNDUP((COLUMN()+1)/3-2,0))),"")</f>
        <v/>
      </c>
      <c r="AQ489" s="127"/>
      <c r="AR489" s="127"/>
      <c r="AS489" s="58" t="str" cm="1">
        <f>IFERROR(IF(ISBLANK($A489),"",INDEX(Array_StationaryCharges,MATCH($A489,List_StationaryFuelMeters,0),ROUNDUP((COLUMN()+1)/3-2,0))),"")</f>
        <v/>
      </c>
      <c r="AT489" s="127"/>
      <c r="AU489" s="127"/>
      <c r="AV489" s="58" t="str" cm="1">
        <f>IFERROR(IF(ISBLANK($A489),"",INDEX(Array_StationaryCharges,MATCH($A489,List_StationaryFuelMeters,0),ROUNDUP((COLUMN()+1)/3-2,0))),"")</f>
        <v/>
      </c>
      <c r="AW489" s="127"/>
      <c r="AX489" s="127"/>
    </row>
    <row r="490" spans="1:50" x14ac:dyDescent="0.3">
      <c r="A490" s="126"/>
      <c r="B490" s="133"/>
      <c r="C490" s="127"/>
      <c r="D490" s="138"/>
      <c r="E490" s="138"/>
      <c r="F490" s="58" t="str" cm="1">
        <f>IFERROR(IF(ISBLANK($A490),"",INDEX(Array_StationaryCharges,MATCH($A490,List_StationaryFuelMeters,0),ROUNDUP((COLUMN()+1)/3-2,0))),"")</f>
        <v/>
      </c>
      <c r="G490" s="127"/>
      <c r="H490" s="127"/>
      <c r="I490" s="58" t="str" cm="1">
        <f>IFERROR(IF(ISBLANK($A490),"",INDEX(Array_StationaryCharges,MATCH($A490,List_StationaryFuelMeters,0),ROUNDUP((COLUMN()+1)/3-2,0))),"")</f>
        <v/>
      </c>
      <c r="J490" s="127"/>
      <c r="K490" s="127"/>
      <c r="L490" s="58" t="str" cm="1">
        <f>IFERROR(IF(ISBLANK($A490),"",INDEX(Array_StationaryCharges,MATCH($A490,List_StationaryFuelMeters,0),ROUNDUP((COLUMN()+1)/3-2,0))),"")</f>
        <v/>
      </c>
      <c r="M490" s="127"/>
      <c r="N490" s="127"/>
      <c r="O490" s="58" t="str" cm="1">
        <f>IFERROR(IF(ISBLANK($A490),"",INDEX(Array_StationaryCharges,MATCH($A490,List_StationaryFuelMeters,0),ROUNDUP((COLUMN()+1)/3-2,0))),"")</f>
        <v/>
      </c>
      <c r="P490" s="127"/>
      <c r="Q490" s="127"/>
      <c r="R490" s="58" t="str" cm="1">
        <f>IFERROR(IF(ISBLANK($A490),"",INDEX(Array_StationaryCharges,MATCH($A490,List_StationaryFuelMeters,0),ROUNDUP((COLUMN()+1)/3-2,0))),"")</f>
        <v/>
      </c>
      <c r="S490" s="127"/>
      <c r="T490" s="127"/>
      <c r="U490" s="58" t="str" cm="1">
        <f>IFERROR(IF(ISBLANK($A490),"",INDEX(Array_StationaryCharges,MATCH($A490,List_StationaryFuelMeters,0),ROUNDUP((COLUMN()+1)/3-2,0))),"")</f>
        <v/>
      </c>
      <c r="V490" s="127"/>
      <c r="W490" s="127"/>
      <c r="X490" s="58" t="str" cm="1">
        <f>IFERROR(IF(ISBLANK($A490),"",INDEX(Array_StationaryCharges,MATCH($A490,List_StationaryFuelMeters,0),ROUNDUP((COLUMN()+1)/3-2,0))),"")</f>
        <v/>
      </c>
      <c r="Y490" s="127"/>
      <c r="Z490" s="127"/>
      <c r="AA490" s="58" t="str" cm="1">
        <f>IFERROR(IF(ISBLANK($A490),"",INDEX(Array_StationaryCharges,MATCH($A490,List_StationaryFuelMeters,0),ROUNDUP((COLUMN()+1)/3-2,0))),"")</f>
        <v/>
      </c>
      <c r="AB490" s="127"/>
      <c r="AC490" s="127"/>
      <c r="AD490" s="58" t="str" cm="1">
        <f>IFERROR(IF(ISBLANK($A490),"",INDEX(Array_StationaryCharges,MATCH($A490,List_StationaryFuelMeters,0),ROUNDUP((COLUMN()+1)/3-2,0))),"")</f>
        <v/>
      </c>
      <c r="AE490" s="127"/>
      <c r="AF490" s="127"/>
      <c r="AG490" s="58" t="str" cm="1">
        <f>IFERROR(IF(ISBLANK($A490),"",INDEX(Array_StationaryCharges,MATCH($A490,List_StationaryFuelMeters,0),ROUNDUP((COLUMN()+1)/3-2,0))),"")</f>
        <v/>
      </c>
      <c r="AH490" s="127"/>
      <c r="AI490" s="127"/>
      <c r="AJ490" s="58" t="str" cm="1">
        <f>IFERROR(IF(ISBLANK($A490),"",INDEX(Array_StationaryCharges,MATCH($A490,List_StationaryFuelMeters,0),ROUNDUP((COLUMN()+1)/3-2,0))),"")</f>
        <v/>
      </c>
      <c r="AK490" s="127"/>
      <c r="AL490" s="127"/>
      <c r="AM490" s="58" t="str" cm="1">
        <f>IFERROR(IF(ISBLANK($A490),"",INDEX(Array_StationaryCharges,MATCH($A490,List_StationaryFuelMeters,0),ROUNDUP((COLUMN()+1)/3-2,0))),"")</f>
        <v/>
      </c>
      <c r="AN490" s="127"/>
      <c r="AO490" s="127"/>
      <c r="AP490" s="58" t="str" cm="1">
        <f>IFERROR(IF(ISBLANK($A490),"",INDEX(Array_StationaryCharges,MATCH($A490,List_StationaryFuelMeters,0),ROUNDUP((COLUMN()+1)/3-2,0))),"")</f>
        <v/>
      </c>
      <c r="AQ490" s="127"/>
      <c r="AR490" s="127"/>
      <c r="AS490" s="58" t="str" cm="1">
        <f>IFERROR(IF(ISBLANK($A490),"",INDEX(Array_StationaryCharges,MATCH($A490,List_StationaryFuelMeters,0),ROUNDUP((COLUMN()+1)/3-2,0))),"")</f>
        <v/>
      </c>
      <c r="AT490" s="127"/>
      <c r="AU490" s="127"/>
      <c r="AV490" s="58" t="str" cm="1">
        <f>IFERROR(IF(ISBLANK($A490),"",INDEX(Array_StationaryCharges,MATCH($A490,List_StationaryFuelMeters,0),ROUNDUP((COLUMN()+1)/3-2,0))),"")</f>
        <v/>
      </c>
      <c r="AW490" s="127"/>
      <c r="AX490" s="127"/>
    </row>
    <row r="491" spans="1:50" x14ac:dyDescent="0.3">
      <c r="A491" s="126"/>
      <c r="B491" s="133"/>
      <c r="C491" s="127"/>
      <c r="D491" s="138"/>
      <c r="E491" s="138"/>
      <c r="F491" s="58" t="str" cm="1">
        <f>IFERROR(IF(ISBLANK($A491),"",INDEX(Array_StationaryCharges,MATCH($A491,List_StationaryFuelMeters,0),ROUNDUP((COLUMN()+1)/3-2,0))),"")</f>
        <v/>
      </c>
      <c r="G491" s="127"/>
      <c r="H491" s="127"/>
      <c r="I491" s="58" t="str" cm="1">
        <f>IFERROR(IF(ISBLANK($A491),"",INDEX(Array_StationaryCharges,MATCH($A491,List_StationaryFuelMeters,0),ROUNDUP((COLUMN()+1)/3-2,0))),"")</f>
        <v/>
      </c>
      <c r="J491" s="127"/>
      <c r="K491" s="127"/>
      <c r="L491" s="58" t="str" cm="1">
        <f>IFERROR(IF(ISBLANK($A491),"",INDEX(Array_StationaryCharges,MATCH($A491,List_StationaryFuelMeters,0),ROUNDUP((COLUMN()+1)/3-2,0))),"")</f>
        <v/>
      </c>
      <c r="M491" s="127"/>
      <c r="N491" s="127"/>
      <c r="O491" s="58" t="str" cm="1">
        <f>IFERROR(IF(ISBLANK($A491),"",INDEX(Array_StationaryCharges,MATCH($A491,List_StationaryFuelMeters,0),ROUNDUP((COLUMN()+1)/3-2,0))),"")</f>
        <v/>
      </c>
      <c r="P491" s="127"/>
      <c r="Q491" s="127"/>
      <c r="R491" s="58" t="str" cm="1">
        <f>IFERROR(IF(ISBLANK($A491),"",INDEX(Array_StationaryCharges,MATCH($A491,List_StationaryFuelMeters,0),ROUNDUP((COLUMN()+1)/3-2,0))),"")</f>
        <v/>
      </c>
      <c r="S491" s="127"/>
      <c r="T491" s="127"/>
      <c r="U491" s="58" t="str" cm="1">
        <f>IFERROR(IF(ISBLANK($A491),"",INDEX(Array_StationaryCharges,MATCH($A491,List_StationaryFuelMeters,0),ROUNDUP((COLUMN()+1)/3-2,0))),"")</f>
        <v/>
      </c>
      <c r="V491" s="127"/>
      <c r="W491" s="127"/>
      <c r="X491" s="58" t="str" cm="1">
        <f>IFERROR(IF(ISBLANK($A491),"",INDEX(Array_StationaryCharges,MATCH($A491,List_StationaryFuelMeters,0),ROUNDUP((COLUMN()+1)/3-2,0))),"")</f>
        <v/>
      </c>
      <c r="Y491" s="127"/>
      <c r="Z491" s="127"/>
      <c r="AA491" s="58" t="str" cm="1">
        <f>IFERROR(IF(ISBLANK($A491),"",INDEX(Array_StationaryCharges,MATCH($A491,List_StationaryFuelMeters,0),ROUNDUP((COLUMN()+1)/3-2,0))),"")</f>
        <v/>
      </c>
      <c r="AB491" s="127"/>
      <c r="AC491" s="127"/>
      <c r="AD491" s="58" t="str" cm="1">
        <f>IFERROR(IF(ISBLANK($A491),"",INDEX(Array_StationaryCharges,MATCH($A491,List_StationaryFuelMeters,0),ROUNDUP((COLUMN()+1)/3-2,0))),"")</f>
        <v/>
      </c>
      <c r="AE491" s="127"/>
      <c r="AF491" s="127"/>
      <c r="AG491" s="58" t="str" cm="1">
        <f>IFERROR(IF(ISBLANK($A491),"",INDEX(Array_StationaryCharges,MATCH($A491,List_StationaryFuelMeters,0),ROUNDUP((COLUMN()+1)/3-2,0))),"")</f>
        <v/>
      </c>
      <c r="AH491" s="127"/>
      <c r="AI491" s="127"/>
      <c r="AJ491" s="58" t="str" cm="1">
        <f>IFERROR(IF(ISBLANK($A491),"",INDEX(Array_StationaryCharges,MATCH($A491,List_StationaryFuelMeters,0),ROUNDUP((COLUMN()+1)/3-2,0))),"")</f>
        <v/>
      </c>
      <c r="AK491" s="127"/>
      <c r="AL491" s="127"/>
      <c r="AM491" s="58" t="str" cm="1">
        <f>IFERROR(IF(ISBLANK($A491),"",INDEX(Array_StationaryCharges,MATCH($A491,List_StationaryFuelMeters,0),ROUNDUP((COLUMN()+1)/3-2,0))),"")</f>
        <v/>
      </c>
      <c r="AN491" s="127"/>
      <c r="AO491" s="127"/>
      <c r="AP491" s="58" t="str" cm="1">
        <f>IFERROR(IF(ISBLANK($A491),"",INDEX(Array_StationaryCharges,MATCH($A491,List_StationaryFuelMeters,0),ROUNDUP((COLUMN()+1)/3-2,0))),"")</f>
        <v/>
      </c>
      <c r="AQ491" s="127"/>
      <c r="AR491" s="127"/>
      <c r="AS491" s="58" t="str" cm="1">
        <f>IFERROR(IF(ISBLANK($A491),"",INDEX(Array_StationaryCharges,MATCH($A491,List_StationaryFuelMeters,0),ROUNDUP((COLUMN()+1)/3-2,0))),"")</f>
        <v/>
      </c>
      <c r="AT491" s="127"/>
      <c r="AU491" s="127"/>
      <c r="AV491" s="58" t="str" cm="1">
        <f>IFERROR(IF(ISBLANK($A491),"",INDEX(Array_StationaryCharges,MATCH($A491,List_StationaryFuelMeters,0),ROUNDUP((COLUMN()+1)/3-2,0))),"")</f>
        <v/>
      </c>
      <c r="AW491" s="127"/>
      <c r="AX491" s="127"/>
    </row>
    <row r="492" spans="1:50" x14ac:dyDescent="0.3">
      <c r="A492" s="126"/>
      <c r="B492" s="133"/>
      <c r="C492" s="127"/>
      <c r="D492" s="138"/>
      <c r="E492" s="138"/>
      <c r="F492" s="58" t="str" cm="1">
        <f>IFERROR(IF(ISBLANK($A492),"",INDEX(Array_StationaryCharges,MATCH($A492,List_StationaryFuelMeters,0),ROUNDUP((COLUMN()+1)/3-2,0))),"")</f>
        <v/>
      </c>
      <c r="G492" s="127"/>
      <c r="H492" s="127"/>
      <c r="I492" s="58" t="str" cm="1">
        <f>IFERROR(IF(ISBLANK($A492),"",INDEX(Array_StationaryCharges,MATCH($A492,List_StationaryFuelMeters,0),ROUNDUP((COLUMN()+1)/3-2,0))),"")</f>
        <v/>
      </c>
      <c r="J492" s="127"/>
      <c r="K492" s="127"/>
      <c r="L492" s="58" t="str" cm="1">
        <f>IFERROR(IF(ISBLANK($A492),"",INDEX(Array_StationaryCharges,MATCH($A492,List_StationaryFuelMeters,0),ROUNDUP((COLUMN()+1)/3-2,0))),"")</f>
        <v/>
      </c>
      <c r="M492" s="127"/>
      <c r="N492" s="127"/>
      <c r="O492" s="58" t="str" cm="1">
        <f>IFERROR(IF(ISBLANK($A492),"",INDEX(Array_StationaryCharges,MATCH($A492,List_StationaryFuelMeters,0),ROUNDUP((COLUMN()+1)/3-2,0))),"")</f>
        <v/>
      </c>
      <c r="P492" s="127"/>
      <c r="Q492" s="127"/>
      <c r="R492" s="58" t="str" cm="1">
        <f>IFERROR(IF(ISBLANK($A492),"",INDEX(Array_StationaryCharges,MATCH($A492,List_StationaryFuelMeters,0),ROUNDUP((COLUMN()+1)/3-2,0))),"")</f>
        <v/>
      </c>
      <c r="S492" s="127"/>
      <c r="T492" s="127"/>
      <c r="U492" s="58" t="str" cm="1">
        <f>IFERROR(IF(ISBLANK($A492),"",INDEX(Array_StationaryCharges,MATCH($A492,List_StationaryFuelMeters,0),ROUNDUP((COLUMN()+1)/3-2,0))),"")</f>
        <v/>
      </c>
      <c r="V492" s="127"/>
      <c r="W492" s="127"/>
      <c r="X492" s="58" t="str" cm="1">
        <f>IFERROR(IF(ISBLANK($A492),"",INDEX(Array_StationaryCharges,MATCH($A492,List_StationaryFuelMeters,0),ROUNDUP((COLUMN()+1)/3-2,0))),"")</f>
        <v/>
      </c>
      <c r="Y492" s="127"/>
      <c r="Z492" s="127"/>
      <c r="AA492" s="58" t="str" cm="1">
        <f>IFERROR(IF(ISBLANK($A492),"",INDEX(Array_StationaryCharges,MATCH($A492,List_StationaryFuelMeters,0),ROUNDUP((COLUMN()+1)/3-2,0))),"")</f>
        <v/>
      </c>
      <c r="AB492" s="127"/>
      <c r="AC492" s="127"/>
      <c r="AD492" s="58" t="str" cm="1">
        <f>IFERROR(IF(ISBLANK($A492),"",INDEX(Array_StationaryCharges,MATCH($A492,List_StationaryFuelMeters,0),ROUNDUP((COLUMN()+1)/3-2,0))),"")</f>
        <v/>
      </c>
      <c r="AE492" s="127"/>
      <c r="AF492" s="127"/>
      <c r="AG492" s="58" t="str" cm="1">
        <f>IFERROR(IF(ISBLANK($A492),"",INDEX(Array_StationaryCharges,MATCH($A492,List_StationaryFuelMeters,0),ROUNDUP((COLUMN()+1)/3-2,0))),"")</f>
        <v/>
      </c>
      <c r="AH492" s="127"/>
      <c r="AI492" s="127"/>
      <c r="AJ492" s="58" t="str" cm="1">
        <f>IFERROR(IF(ISBLANK($A492),"",INDEX(Array_StationaryCharges,MATCH($A492,List_StationaryFuelMeters,0),ROUNDUP((COLUMN()+1)/3-2,0))),"")</f>
        <v/>
      </c>
      <c r="AK492" s="127"/>
      <c r="AL492" s="127"/>
      <c r="AM492" s="58" t="str" cm="1">
        <f>IFERROR(IF(ISBLANK($A492),"",INDEX(Array_StationaryCharges,MATCH($A492,List_StationaryFuelMeters,0),ROUNDUP((COLUMN()+1)/3-2,0))),"")</f>
        <v/>
      </c>
      <c r="AN492" s="127"/>
      <c r="AO492" s="127"/>
      <c r="AP492" s="58" t="str" cm="1">
        <f>IFERROR(IF(ISBLANK($A492),"",INDEX(Array_StationaryCharges,MATCH($A492,List_StationaryFuelMeters,0),ROUNDUP((COLUMN()+1)/3-2,0))),"")</f>
        <v/>
      </c>
      <c r="AQ492" s="127"/>
      <c r="AR492" s="127"/>
      <c r="AS492" s="58" t="str" cm="1">
        <f>IFERROR(IF(ISBLANK($A492),"",INDEX(Array_StationaryCharges,MATCH($A492,List_StationaryFuelMeters,0),ROUNDUP((COLUMN()+1)/3-2,0))),"")</f>
        <v/>
      </c>
      <c r="AT492" s="127"/>
      <c r="AU492" s="127"/>
      <c r="AV492" s="58" t="str" cm="1">
        <f>IFERROR(IF(ISBLANK($A492),"",INDEX(Array_StationaryCharges,MATCH($A492,List_StationaryFuelMeters,0),ROUNDUP((COLUMN()+1)/3-2,0))),"")</f>
        <v/>
      </c>
      <c r="AW492" s="127"/>
      <c r="AX492" s="127"/>
    </row>
    <row r="493" spans="1:50" x14ac:dyDescent="0.3">
      <c r="A493" s="126"/>
      <c r="B493" s="133"/>
      <c r="C493" s="127"/>
      <c r="D493" s="138"/>
      <c r="E493" s="138"/>
      <c r="F493" s="58" t="str" cm="1">
        <f>IFERROR(IF(ISBLANK($A493),"",INDEX(Array_StationaryCharges,MATCH($A493,List_StationaryFuelMeters,0),ROUNDUP((COLUMN()+1)/3-2,0))),"")</f>
        <v/>
      </c>
      <c r="G493" s="127"/>
      <c r="H493" s="127"/>
      <c r="I493" s="58" t="str" cm="1">
        <f>IFERROR(IF(ISBLANK($A493),"",INDEX(Array_StationaryCharges,MATCH($A493,List_StationaryFuelMeters,0),ROUNDUP((COLUMN()+1)/3-2,0))),"")</f>
        <v/>
      </c>
      <c r="J493" s="127"/>
      <c r="K493" s="127"/>
      <c r="L493" s="58" t="str" cm="1">
        <f>IFERROR(IF(ISBLANK($A493),"",INDEX(Array_StationaryCharges,MATCH($A493,List_StationaryFuelMeters,0),ROUNDUP((COLUMN()+1)/3-2,0))),"")</f>
        <v/>
      </c>
      <c r="M493" s="127"/>
      <c r="N493" s="127"/>
      <c r="O493" s="58" t="str" cm="1">
        <f>IFERROR(IF(ISBLANK($A493),"",INDEX(Array_StationaryCharges,MATCH($A493,List_StationaryFuelMeters,0),ROUNDUP((COLUMN()+1)/3-2,0))),"")</f>
        <v/>
      </c>
      <c r="P493" s="127"/>
      <c r="Q493" s="127"/>
      <c r="R493" s="58" t="str" cm="1">
        <f>IFERROR(IF(ISBLANK($A493),"",INDEX(Array_StationaryCharges,MATCH($A493,List_StationaryFuelMeters,0),ROUNDUP((COLUMN()+1)/3-2,0))),"")</f>
        <v/>
      </c>
      <c r="S493" s="127"/>
      <c r="T493" s="127"/>
      <c r="U493" s="58" t="str" cm="1">
        <f>IFERROR(IF(ISBLANK($A493),"",INDEX(Array_StationaryCharges,MATCH($A493,List_StationaryFuelMeters,0),ROUNDUP((COLUMN()+1)/3-2,0))),"")</f>
        <v/>
      </c>
      <c r="V493" s="127"/>
      <c r="W493" s="127"/>
      <c r="X493" s="58" t="str" cm="1">
        <f>IFERROR(IF(ISBLANK($A493),"",INDEX(Array_StationaryCharges,MATCH($A493,List_StationaryFuelMeters,0),ROUNDUP((COLUMN()+1)/3-2,0))),"")</f>
        <v/>
      </c>
      <c r="Y493" s="127"/>
      <c r="Z493" s="127"/>
      <c r="AA493" s="58" t="str" cm="1">
        <f>IFERROR(IF(ISBLANK($A493),"",INDEX(Array_StationaryCharges,MATCH($A493,List_StationaryFuelMeters,0),ROUNDUP((COLUMN()+1)/3-2,0))),"")</f>
        <v/>
      </c>
      <c r="AB493" s="127"/>
      <c r="AC493" s="127"/>
      <c r="AD493" s="58" t="str" cm="1">
        <f>IFERROR(IF(ISBLANK($A493),"",INDEX(Array_StationaryCharges,MATCH($A493,List_StationaryFuelMeters,0),ROUNDUP((COLUMN()+1)/3-2,0))),"")</f>
        <v/>
      </c>
      <c r="AE493" s="127"/>
      <c r="AF493" s="127"/>
      <c r="AG493" s="58" t="str" cm="1">
        <f>IFERROR(IF(ISBLANK($A493),"",INDEX(Array_StationaryCharges,MATCH($A493,List_StationaryFuelMeters,0),ROUNDUP((COLUMN()+1)/3-2,0))),"")</f>
        <v/>
      </c>
      <c r="AH493" s="127"/>
      <c r="AI493" s="127"/>
      <c r="AJ493" s="58" t="str" cm="1">
        <f>IFERROR(IF(ISBLANK($A493),"",INDEX(Array_StationaryCharges,MATCH($A493,List_StationaryFuelMeters,0),ROUNDUP((COLUMN()+1)/3-2,0))),"")</f>
        <v/>
      </c>
      <c r="AK493" s="127"/>
      <c r="AL493" s="127"/>
      <c r="AM493" s="58" t="str" cm="1">
        <f>IFERROR(IF(ISBLANK($A493),"",INDEX(Array_StationaryCharges,MATCH($A493,List_StationaryFuelMeters,0),ROUNDUP((COLUMN()+1)/3-2,0))),"")</f>
        <v/>
      </c>
      <c r="AN493" s="127"/>
      <c r="AO493" s="127"/>
      <c r="AP493" s="58" t="str" cm="1">
        <f>IFERROR(IF(ISBLANK($A493),"",INDEX(Array_StationaryCharges,MATCH($A493,List_StationaryFuelMeters,0),ROUNDUP((COLUMN()+1)/3-2,0))),"")</f>
        <v/>
      </c>
      <c r="AQ493" s="127"/>
      <c r="AR493" s="127"/>
      <c r="AS493" s="58" t="str" cm="1">
        <f>IFERROR(IF(ISBLANK($A493),"",INDEX(Array_StationaryCharges,MATCH($A493,List_StationaryFuelMeters,0),ROUNDUP((COLUMN()+1)/3-2,0))),"")</f>
        <v/>
      </c>
      <c r="AT493" s="127"/>
      <c r="AU493" s="127"/>
      <c r="AV493" s="58" t="str" cm="1">
        <f>IFERROR(IF(ISBLANK($A493),"",INDEX(Array_StationaryCharges,MATCH($A493,List_StationaryFuelMeters,0),ROUNDUP((COLUMN()+1)/3-2,0))),"")</f>
        <v/>
      </c>
      <c r="AW493" s="127"/>
      <c r="AX493" s="127"/>
    </row>
    <row r="494" spans="1:50" x14ac:dyDescent="0.3">
      <c r="A494" s="126"/>
      <c r="B494" s="133"/>
      <c r="C494" s="127"/>
      <c r="D494" s="138"/>
      <c r="E494" s="138"/>
      <c r="F494" s="58" t="str" cm="1">
        <f>IFERROR(IF(ISBLANK($A494),"",INDEX(Array_StationaryCharges,MATCH($A494,List_StationaryFuelMeters,0),ROUNDUP((COLUMN()+1)/3-2,0))),"")</f>
        <v/>
      </c>
      <c r="G494" s="127"/>
      <c r="H494" s="127"/>
      <c r="I494" s="58" t="str" cm="1">
        <f>IFERROR(IF(ISBLANK($A494),"",INDEX(Array_StationaryCharges,MATCH($A494,List_StationaryFuelMeters,0),ROUNDUP((COLUMN()+1)/3-2,0))),"")</f>
        <v/>
      </c>
      <c r="J494" s="127"/>
      <c r="K494" s="127"/>
      <c r="L494" s="58" t="str" cm="1">
        <f>IFERROR(IF(ISBLANK($A494),"",INDEX(Array_StationaryCharges,MATCH($A494,List_StationaryFuelMeters,0),ROUNDUP((COLUMN()+1)/3-2,0))),"")</f>
        <v/>
      </c>
      <c r="M494" s="127"/>
      <c r="N494" s="127"/>
      <c r="O494" s="58" t="str" cm="1">
        <f>IFERROR(IF(ISBLANK($A494),"",INDEX(Array_StationaryCharges,MATCH($A494,List_StationaryFuelMeters,0),ROUNDUP((COLUMN()+1)/3-2,0))),"")</f>
        <v/>
      </c>
      <c r="P494" s="127"/>
      <c r="Q494" s="127"/>
      <c r="R494" s="58" t="str" cm="1">
        <f>IFERROR(IF(ISBLANK($A494),"",INDEX(Array_StationaryCharges,MATCH($A494,List_StationaryFuelMeters,0),ROUNDUP((COLUMN()+1)/3-2,0))),"")</f>
        <v/>
      </c>
      <c r="S494" s="127"/>
      <c r="T494" s="127"/>
      <c r="U494" s="58" t="str" cm="1">
        <f>IFERROR(IF(ISBLANK($A494),"",INDEX(Array_StationaryCharges,MATCH($A494,List_StationaryFuelMeters,0),ROUNDUP((COLUMN()+1)/3-2,0))),"")</f>
        <v/>
      </c>
      <c r="V494" s="127"/>
      <c r="W494" s="127"/>
      <c r="X494" s="58" t="str" cm="1">
        <f>IFERROR(IF(ISBLANK($A494),"",INDEX(Array_StationaryCharges,MATCH($A494,List_StationaryFuelMeters,0),ROUNDUP((COLUMN()+1)/3-2,0))),"")</f>
        <v/>
      </c>
      <c r="Y494" s="127"/>
      <c r="Z494" s="127"/>
      <c r="AA494" s="58" t="str" cm="1">
        <f>IFERROR(IF(ISBLANK($A494),"",INDEX(Array_StationaryCharges,MATCH($A494,List_StationaryFuelMeters,0),ROUNDUP((COLUMN()+1)/3-2,0))),"")</f>
        <v/>
      </c>
      <c r="AB494" s="127"/>
      <c r="AC494" s="127"/>
      <c r="AD494" s="58" t="str" cm="1">
        <f>IFERROR(IF(ISBLANK($A494),"",INDEX(Array_StationaryCharges,MATCH($A494,List_StationaryFuelMeters,0),ROUNDUP((COLUMN()+1)/3-2,0))),"")</f>
        <v/>
      </c>
      <c r="AE494" s="127"/>
      <c r="AF494" s="127"/>
      <c r="AG494" s="58" t="str" cm="1">
        <f>IFERROR(IF(ISBLANK($A494),"",INDEX(Array_StationaryCharges,MATCH($A494,List_StationaryFuelMeters,0),ROUNDUP((COLUMN()+1)/3-2,0))),"")</f>
        <v/>
      </c>
      <c r="AH494" s="127"/>
      <c r="AI494" s="127"/>
      <c r="AJ494" s="58" t="str" cm="1">
        <f>IFERROR(IF(ISBLANK($A494),"",INDEX(Array_StationaryCharges,MATCH($A494,List_StationaryFuelMeters,0),ROUNDUP((COLUMN()+1)/3-2,0))),"")</f>
        <v/>
      </c>
      <c r="AK494" s="127"/>
      <c r="AL494" s="127"/>
      <c r="AM494" s="58" t="str" cm="1">
        <f>IFERROR(IF(ISBLANK($A494),"",INDEX(Array_StationaryCharges,MATCH($A494,List_StationaryFuelMeters,0),ROUNDUP((COLUMN()+1)/3-2,0))),"")</f>
        <v/>
      </c>
      <c r="AN494" s="127"/>
      <c r="AO494" s="127"/>
      <c r="AP494" s="58" t="str" cm="1">
        <f>IFERROR(IF(ISBLANK($A494),"",INDEX(Array_StationaryCharges,MATCH($A494,List_StationaryFuelMeters,0),ROUNDUP((COLUMN()+1)/3-2,0))),"")</f>
        <v/>
      </c>
      <c r="AQ494" s="127"/>
      <c r="AR494" s="127"/>
      <c r="AS494" s="58" t="str" cm="1">
        <f>IFERROR(IF(ISBLANK($A494),"",INDEX(Array_StationaryCharges,MATCH($A494,List_StationaryFuelMeters,0),ROUNDUP((COLUMN()+1)/3-2,0))),"")</f>
        <v/>
      </c>
      <c r="AT494" s="127"/>
      <c r="AU494" s="127"/>
      <c r="AV494" s="58" t="str" cm="1">
        <f>IFERROR(IF(ISBLANK($A494),"",INDEX(Array_StationaryCharges,MATCH($A494,List_StationaryFuelMeters,0),ROUNDUP((COLUMN()+1)/3-2,0))),"")</f>
        <v/>
      </c>
      <c r="AW494" s="127"/>
      <c r="AX494" s="127"/>
    </row>
    <row r="495" spans="1:50" x14ac:dyDescent="0.3">
      <c r="A495" s="126"/>
      <c r="B495" s="133"/>
      <c r="C495" s="127"/>
      <c r="D495" s="138"/>
      <c r="E495" s="138"/>
      <c r="F495" s="58" t="str" cm="1">
        <f>IFERROR(IF(ISBLANK($A495),"",INDEX(Array_StationaryCharges,MATCH($A495,List_StationaryFuelMeters,0),ROUNDUP((COLUMN()+1)/3-2,0))),"")</f>
        <v/>
      </c>
      <c r="G495" s="127"/>
      <c r="H495" s="127"/>
      <c r="I495" s="58" t="str" cm="1">
        <f>IFERROR(IF(ISBLANK($A495),"",INDEX(Array_StationaryCharges,MATCH($A495,List_StationaryFuelMeters,0),ROUNDUP((COLUMN()+1)/3-2,0))),"")</f>
        <v/>
      </c>
      <c r="J495" s="127"/>
      <c r="K495" s="127"/>
      <c r="L495" s="58" t="str" cm="1">
        <f>IFERROR(IF(ISBLANK($A495),"",INDEX(Array_StationaryCharges,MATCH($A495,List_StationaryFuelMeters,0),ROUNDUP((COLUMN()+1)/3-2,0))),"")</f>
        <v/>
      </c>
      <c r="M495" s="127"/>
      <c r="N495" s="127"/>
      <c r="O495" s="58" t="str" cm="1">
        <f>IFERROR(IF(ISBLANK($A495),"",INDEX(Array_StationaryCharges,MATCH($A495,List_StationaryFuelMeters,0),ROUNDUP((COLUMN()+1)/3-2,0))),"")</f>
        <v/>
      </c>
      <c r="P495" s="127"/>
      <c r="Q495" s="127"/>
      <c r="R495" s="58" t="str" cm="1">
        <f>IFERROR(IF(ISBLANK($A495),"",INDEX(Array_StationaryCharges,MATCH($A495,List_StationaryFuelMeters,0),ROUNDUP((COLUMN()+1)/3-2,0))),"")</f>
        <v/>
      </c>
      <c r="S495" s="127"/>
      <c r="T495" s="127"/>
      <c r="U495" s="58" t="str" cm="1">
        <f>IFERROR(IF(ISBLANK($A495),"",INDEX(Array_StationaryCharges,MATCH($A495,List_StationaryFuelMeters,0),ROUNDUP((COLUMN()+1)/3-2,0))),"")</f>
        <v/>
      </c>
      <c r="V495" s="127"/>
      <c r="W495" s="127"/>
      <c r="X495" s="58" t="str" cm="1">
        <f>IFERROR(IF(ISBLANK($A495),"",INDEX(Array_StationaryCharges,MATCH($A495,List_StationaryFuelMeters,0),ROUNDUP((COLUMN()+1)/3-2,0))),"")</f>
        <v/>
      </c>
      <c r="Y495" s="127"/>
      <c r="Z495" s="127"/>
      <c r="AA495" s="58" t="str" cm="1">
        <f>IFERROR(IF(ISBLANK($A495),"",INDEX(Array_StationaryCharges,MATCH($A495,List_StationaryFuelMeters,0),ROUNDUP((COLUMN()+1)/3-2,0))),"")</f>
        <v/>
      </c>
      <c r="AB495" s="127"/>
      <c r="AC495" s="127"/>
      <c r="AD495" s="58" t="str" cm="1">
        <f>IFERROR(IF(ISBLANK($A495),"",INDEX(Array_StationaryCharges,MATCH($A495,List_StationaryFuelMeters,0),ROUNDUP((COLUMN()+1)/3-2,0))),"")</f>
        <v/>
      </c>
      <c r="AE495" s="127"/>
      <c r="AF495" s="127"/>
      <c r="AG495" s="58" t="str" cm="1">
        <f>IFERROR(IF(ISBLANK($A495),"",INDEX(Array_StationaryCharges,MATCH($A495,List_StationaryFuelMeters,0),ROUNDUP((COLUMN()+1)/3-2,0))),"")</f>
        <v/>
      </c>
      <c r="AH495" s="127"/>
      <c r="AI495" s="127"/>
      <c r="AJ495" s="58" t="str" cm="1">
        <f>IFERROR(IF(ISBLANK($A495),"",INDEX(Array_StationaryCharges,MATCH($A495,List_StationaryFuelMeters,0),ROUNDUP((COLUMN()+1)/3-2,0))),"")</f>
        <v/>
      </c>
      <c r="AK495" s="127"/>
      <c r="AL495" s="127"/>
      <c r="AM495" s="58" t="str" cm="1">
        <f>IFERROR(IF(ISBLANK($A495),"",INDEX(Array_StationaryCharges,MATCH($A495,List_StationaryFuelMeters,0),ROUNDUP((COLUMN()+1)/3-2,0))),"")</f>
        <v/>
      </c>
      <c r="AN495" s="127"/>
      <c r="AO495" s="127"/>
      <c r="AP495" s="58" t="str" cm="1">
        <f>IFERROR(IF(ISBLANK($A495),"",INDEX(Array_StationaryCharges,MATCH($A495,List_StationaryFuelMeters,0),ROUNDUP((COLUMN()+1)/3-2,0))),"")</f>
        <v/>
      </c>
      <c r="AQ495" s="127"/>
      <c r="AR495" s="127"/>
      <c r="AS495" s="58" t="str" cm="1">
        <f>IFERROR(IF(ISBLANK($A495),"",INDEX(Array_StationaryCharges,MATCH($A495,List_StationaryFuelMeters,0),ROUNDUP((COLUMN()+1)/3-2,0))),"")</f>
        <v/>
      </c>
      <c r="AT495" s="127"/>
      <c r="AU495" s="127"/>
      <c r="AV495" s="58" t="str" cm="1">
        <f>IFERROR(IF(ISBLANK($A495),"",INDEX(Array_StationaryCharges,MATCH($A495,List_StationaryFuelMeters,0),ROUNDUP((COLUMN()+1)/3-2,0))),"")</f>
        <v/>
      </c>
      <c r="AW495" s="127"/>
      <c r="AX495" s="127"/>
    </row>
    <row r="496" spans="1:50" x14ac:dyDescent="0.3">
      <c r="A496" s="126"/>
      <c r="B496" s="133"/>
      <c r="C496" s="127"/>
      <c r="D496" s="138"/>
      <c r="E496" s="138"/>
      <c r="F496" s="58" t="str" cm="1">
        <f>IFERROR(IF(ISBLANK($A496),"",INDEX(Array_StationaryCharges,MATCH($A496,List_StationaryFuelMeters,0),ROUNDUP((COLUMN()+1)/3-2,0))),"")</f>
        <v/>
      </c>
      <c r="G496" s="127"/>
      <c r="H496" s="127"/>
      <c r="I496" s="58" t="str" cm="1">
        <f>IFERROR(IF(ISBLANK($A496),"",INDEX(Array_StationaryCharges,MATCH($A496,List_StationaryFuelMeters,0),ROUNDUP((COLUMN()+1)/3-2,0))),"")</f>
        <v/>
      </c>
      <c r="J496" s="127"/>
      <c r="K496" s="127"/>
      <c r="L496" s="58" t="str" cm="1">
        <f>IFERROR(IF(ISBLANK($A496),"",INDEX(Array_StationaryCharges,MATCH($A496,List_StationaryFuelMeters,0),ROUNDUP((COLUMN()+1)/3-2,0))),"")</f>
        <v/>
      </c>
      <c r="M496" s="127"/>
      <c r="N496" s="127"/>
      <c r="O496" s="58" t="str" cm="1">
        <f>IFERROR(IF(ISBLANK($A496),"",INDEX(Array_StationaryCharges,MATCH($A496,List_StationaryFuelMeters,0),ROUNDUP((COLUMN()+1)/3-2,0))),"")</f>
        <v/>
      </c>
      <c r="P496" s="127"/>
      <c r="Q496" s="127"/>
      <c r="R496" s="58" t="str" cm="1">
        <f>IFERROR(IF(ISBLANK($A496),"",INDEX(Array_StationaryCharges,MATCH($A496,List_StationaryFuelMeters,0),ROUNDUP((COLUMN()+1)/3-2,0))),"")</f>
        <v/>
      </c>
      <c r="S496" s="127"/>
      <c r="T496" s="127"/>
      <c r="U496" s="58" t="str" cm="1">
        <f>IFERROR(IF(ISBLANK($A496),"",INDEX(Array_StationaryCharges,MATCH($A496,List_StationaryFuelMeters,0),ROUNDUP((COLUMN()+1)/3-2,0))),"")</f>
        <v/>
      </c>
      <c r="V496" s="127"/>
      <c r="W496" s="127"/>
      <c r="X496" s="58" t="str" cm="1">
        <f>IFERROR(IF(ISBLANK($A496),"",INDEX(Array_StationaryCharges,MATCH($A496,List_StationaryFuelMeters,0),ROUNDUP((COLUMN()+1)/3-2,0))),"")</f>
        <v/>
      </c>
      <c r="Y496" s="127"/>
      <c r="Z496" s="127"/>
      <c r="AA496" s="58" t="str" cm="1">
        <f>IFERROR(IF(ISBLANK($A496),"",INDEX(Array_StationaryCharges,MATCH($A496,List_StationaryFuelMeters,0),ROUNDUP((COLUMN()+1)/3-2,0))),"")</f>
        <v/>
      </c>
      <c r="AB496" s="127"/>
      <c r="AC496" s="127"/>
      <c r="AD496" s="58" t="str" cm="1">
        <f>IFERROR(IF(ISBLANK($A496),"",INDEX(Array_StationaryCharges,MATCH($A496,List_StationaryFuelMeters,0),ROUNDUP((COLUMN()+1)/3-2,0))),"")</f>
        <v/>
      </c>
      <c r="AE496" s="127"/>
      <c r="AF496" s="127"/>
      <c r="AG496" s="58" t="str" cm="1">
        <f>IFERROR(IF(ISBLANK($A496),"",INDEX(Array_StationaryCharges,MATCH($A496,List_StationaryFuelMeters,0),ROUNDUP((COLUMN()+1)/3-2,0))),"")</f>
        <v/>
      </c>
      <c r="AH496" s="127"/>
      <c r="AI496" s="127"/>
      <c r="AJ496" s="58" t="str" cm="1">
        <f>IFERROR(IF(ISBLANK($A496),"",INDEX(Array_StationaryCharges,MATCH($A496,List_StationaryFuelMeters,0),ROUNDUP((COLUMN()+1)/3-2,0))),"")</f>
        <v/>
      </c>
      <c r="AK496" s="127"/>
      <c r="AL496" s="127"/>
      <c r="AM496" s="58" t="str" cm="1">
        <f>IFERROR(IF(ISBLANK($A496),"",INDEX(Array_StationaryCharges,MATCH($A496,List_StationaryFuelMeters,0),ROUNDUP((COLUMN()+1)/3-2,0))),"")</f>
        <v/>
      </c>
      <c r="AN496" s="127"/>
      <c r="AO496" s="127"/>
      <c r="AP496" s="58" t="str" cm="1">
        <f>IFERROR(IF(ISBLANK($A496),"",INDEX(Array_StationaryCharges,MATCH($A496,List_StationaryFuelMeters,0),ROUNDUP((COLUMN()+1)/3-2,0))),"")</f>
        <v/>
      </c>
      <c r="AQ496" s="127"/>
      <c r="AR496" s="127"/>
      <c r="AS496" s="58" t="str" cm="1">
        <f>IFERROR(IF(ISBLANK($A496),"",INDEX(Array_StationaryCharges,MATCH($A496,List_StationaryFuelMeters,0),ROUNDUP((COLUMN()+1)/3-2,0))),"")</f>
        <v/>
      </c>
      <c r="AT496" s="127"/>
      <c r="AU496" s="127"/>
      <c r="AV496" s="58" t="str" cm="1">
        <f>IFERROR(IF(ISBLANK($A496),"",INDEX(Array_StationaryCharges,MATCH($A496,List_StationaryFuelMeters,0),ROUNDUP((COLUMN()+1)/3-2,0))),"")</f>
        <v/>
      </c>
      <c r="AW496" s="127"/>
      <c r="AX496" s="127"/>
    </row>
    <row r="497" spans="1:50" x14ac:dyDescent="0.3">
      <c r="A497" s="126"/>
      <c r="B497" s="133"/>
      <c r="C497" s="127"/>
      <c r="D497" s="138"/>
      <c r="E497" s="138"/>
      <c r="F497" s="58" t="str" cm="1">
        <f>IFERROR(IF(ISBLANK($A497),"",INDEX(Array_StationaryCharges,MATCH($A497,List_StationaryFuelMeters,0),ROUNDUP((COLUMN()+1)/3-2,0))),"")</f>
        <v/>
      </c>
      <c r="G497" s="127"/>
      <c r="H497" s="127"/>
      <c r="I497" s="58" t="str" cm="1">
        <f>IFERROR(IF(ISBLANK($A497),"",INDEX(Array_StationaryCharges,MATCH($A497,List_StationaryFuelMeters,0),ROUNDUP((COLUMN()+1)/3-2,0))),"")</f>
        <v/>
      </c>
      <c r="J497" s="127"/>
      <c r="K497" s="127"/>
      <c r="L497" s="58" t="str" cm="1">
        <f>IFERROR(IF(ISBLANK($A497),"",INDEX(Array_StationaryCharges,MATCH($A497,List_StationaryFuelMeters,0),ROUNDUP((COLUMN()+1)/3-2,0))),"")</f>
        <v/>
      </c>
      <c r="M497" s="127"/>
      <c r="N497" s="127"/>
      <c r="O497" s="58" t="str" cm="1">
        <f>IFERROR(IF(ISBLANK($A497),"",INDEX(Array_StationaryCharges,MATCH($A497,List_StationaryFuelMeters,0),ROUNDUP((COLUMN()+1)/3-2,0))),"")</f>
        <v/>
      </c>
      <c r="P497" s="127"/>
      <c r="Q497" s="127"/>
      <c r="R497" s="58" t="str" cm="1">
        <f>IFERROR(IF(ISBLANK($A497),"",INDEX(Array_StationaryCharges,MATCH($A497,List_StationaryFuelMeters,0),ROUNDUP((COLUMN()+1)/3-2,0))),"")</f>
        <v/>
      </c>
      <c r="S497" s="127"/>
      <c r="T497" s="127"/>
      <c r="U497" s="58" t="str" cm="1">
        <f>IFERROR(IF(ISBLANK($A497),"",INDEX(Array_StationaryCharges,MATCH($A497,List_StationaryFuelMeters,0),ROUNDUP((COLUMN()+1)/3-2,0))),"")</f>
        <v/>
      </c>
      <c r="V497" s="127"/>
      <c r="W497" s="127"/>
      <c r="X497" s="58" t="str" cm="1">
        <f>IFERROR(IF(ISBLANK($A497),"",INDEX(Array_StationaryCharges,MATCH($A497,List_StationaryFuelMeters,0),ROUNDUP((COLUMN()+1)/3-2,0))),"")</f>
        <v/>
      </c>
      <c r="Y497" s="127"/>
      <c r="Z497" s="127"/>
      <c r="AA497" s="58" t="str" cm="1">
        <f>IFERROR(IF(ISBLANK($A497),"",INDEX(Array_StationaryCharges,MATCH($A497,List_StationaryFuelMeters,0),ROUNDUP((COLUMN()+1)/3-2,0))),"")</f>
        <v/>
      </c>
      <c r="AB497" s="127"/>
      <c r="AC497" s="127"/>
      <c r="AD497" s="58" t="str" cm="1">
        <f>IFERROR(IF(ISBLANK($A497),"",INDEX(Array_StationaryCharges,MATCH($A497,List_StationaryFuelMeters,0),ROUNDUP((COLUMN()+1)/3-2,0))),"")</f>
        <v/>
      </c>
      <c r="AE497" s="127"/>
      <c r="AF497" s="127"/>
      <c r="AG497" s="58" t="str" cm="1">
        <f>IFERROR(IF(ISBLANK($A497),"",INDEX(Array_StationaryCharges,MATCH($A497,List_StationaryFuelMeters,0),ROUNDUP((COLUMN()+1)/3-2,0))),"")</f>
        <v/>
      </c>
      <c r="AH497" s="127"/>
      <c r="AI497" s="127"/>
      <c r="AJ497" s="58" t="str" cm="1">
        <f>IFERROR(IF(ISBLANK($A497),"",INDEX(Array_StationaryCharges,MATCH($A497,List_StationaryFuelMeters,0),ROUNDUP((COLUMN()+1)/3-2,0))),"")</f>
        <v/>
      </c>
      <c r="AK497" s="127"/>
      <c r="AL497" s="127"/>
      <c r="AM497" s="58" t="str" cm="1">
        <f>IFERROR(IF(ISBLANK($A497),"",INDEX(Array_StationaryCharges,MATCH($A497,List_StationaryFuelMeters,0),ROUNDUP((COLUMN()+1)/3-2,0))),"")</f>
        <v/>
      </c>
      <c r="AN497" s="127"/>
      <c r="AO497" s="127"/>
      <c r="AP497" s="58" t="str" cm="1">
        <f>IFERROR(IF(ISBLANK($A497),"",INDEX(Array_StationaryCharges,MATCH($A497,List_StationaryFuelMeters,0),ROUNDUP((COLUMN()+1)/3-2,0))),"")</f>
        <v/>
      </c>
      <c r="AQ497" s="127"/>
      <c r="AR497" s="127"/>
      <c r="AS497" s="58" t="str" cm="1">
        <f>IFERROR(IF(ISBLANK($A497),"",INDEX(Array_StationaryCharges,MATCH($A497,List_StationaryFuelMeters,0),ROUNDUP((COLUMN()+1)/3-2,0))),"")</f>
        <v/>
      </c>
      <c r="AT497" s="127"/>
      <c r="AU497" s="127"/>
      <c r="AV497" s="58" t="str" cm="1">
        <f>IFERROR(IF(ISBLANK($A497),"",INDEX(Array_StationaryCharges,MATCH($A497,List_StationaryFuelMeters,0),ROUNDUP((COLUMN()+1)/3-2,0))),"")</f>
        <v/>
      </c>
      <c r="AW497" s="127"/>
      <c r="AX497" s="127"/>
    </row>
    <row r="498" spans="1:50" x14ac:dyDescent="0.3">
      <c r="A498" s="126"/>
      <c r="B498" s="133"/>
      <c r="C498" s="127"/>
      <c r="D498" s="138"/>
      <c r="E498" s="138"/>
      <c r="F498" s="58" t="str" cm="1">
        <f>IFERROR(IF(ISBLANK($A498),"",INDEX(Array_StationaryCharges,MATCH($A498,List_StationaryFuelMeters,0),ROUNDUP((COLUMN()+1)/3-2,0))),"")</f>
        <v/>
      </c>
      <c r="G498" s="127"/>
      <c r="H498" s="127"/>
      <c r="I498" s="58" t="str" cm="1">
        <f>IFERROR(IF(ISBLANK($A498),"",INDEX(Array_StationaryCharges,MATCH($A498,List_StationaryFuelMeters,0),ROUNDUP((COLUMN()+1)/3-2,0))),"")</f>
        <v/>
      </c>
      <c r="J498" s="127"/>
      <c r="K498" s="127"/>
      <c r="L498" s="58" t="str" cm="1">
        <f>IFERROR(IF(ISBLANK($A498),"",INDEX(Array_StationaryCharges,MATCH($A498,List_StationaryFuelMeters,0),ROUNDUP((COLUMN()+1)/3-2,0))),"")</f>
        <v/>
      </c>
      <c r="M498" s="127"/>
      <c r="N498" s="127"/>
      <c r="O498" s="58" t="str" cm="1">
        <f>IFERROR(IF(ISBLANK($A498),"",INDEX(Array_StationaryCharges,MATCH($A498,List_StationaryFuelMeters,0),ROUNDUP((COLUMN()+1)/3-2,0))),"")</f>
        <v/>
      </c>
      <c r="P498" s="127"/>
      <c r="Q498" s="127"/>
      <c r="R498" s="58" t="str" cm="1">
        <f>IFERROR(IF(ISBLANK($A498),"",INDEX(Array_StationaryCharges,MATCH($A498,List_StationaryFuelMeters,0),ROUNDUP((COLUMN()+1)/3-2,0))),"")</f>
        <v/>
      </c>
      <c r="S498" s="127"/>
      <c r="T498" s="127"/>
      <c r="U498" s="58" t="str" cm="1">
        <f>IFERROR(IF(ISBLANK($A498),"",INDEX(Array_StationaryCharges,MATCH($A498,List_StationaryFuelMeters,0),ROUNDUP((COLUMN()+1)/3-2,0))),"")</f>
        <v/>
      </c>
      <c r="V498" s="127"/>
      <c r="W498" s="127"/>
      <c r="X498" s="58" t="str" cm="1">
        <f>IFERROR(IF(ISBLANK($A498),"",INDEX(Array_StationaryCharges,MATCH($A498,List_StationaryFuelMeters,0),ROUNDUP((COLUMN()+1)/3-2,0))),"")</f>
        <v/>
      </c>
      <c r="Y498" s="127"/>
      <c r="Z498" s="127"/>
      <c r="AA498" s="58" t="str" cm="1">
        <f>IFERROR(IF(ISBLANK($A498),"",INDEX(Array_StationaryCharges,MATCH($A498,List_StationaryFuelMeters,0),ROUNDUP((COLUMN()+1)/3-2,0))),"")</f>
        <v/>
      </c>
      <c r="AB498" s="127"/>
      <c r="AC498" s="127"/>
      <c r="AD498" s="58" t="str" cm="1">
        <f>IFERROR(IF(ISBLANK($A498),"",INDEX(Array_StationaryCharges,MATCH($A498,List_StationaryFuelMeters,0),ROUNDUP((COLUMN()+1)/3-2,0))),"")</f>
        <v/>
      </c>
      <c r="AE498" s="127"/>
      <c r="AF498" s="127"/>
      <c r="AG498" s="58" t="str" cm="1">
        <f>IFERROR(IF(ISBLANK($A498),"",INDEX(Array_StationaryCharges,MATCH($A498,List_StationaryFuelMeters,0),ROUNDUP((COLUMN()+1)/3-2,0))),"")</f>
        <v/>
      </c>
      <c r="AH498" s="127"/>
      <c r="AI498" s="127"/>
      <c r="AJ498" s="58" t="str" cm="1">
        <f>IFERROR(IF(ISBLANK($A498),"",INDEX(Array_StationaryCharges,MATCH($A498,List_StationaryFuelMeters,0),ROUNDUP((COLUMN()+1)/3-2,0))),"")</f>
        <v/>
      </c>
      <c r="AK498" s="127"/>
      <c r="AL498" s="127"/>
      <c r="AM498" s="58" t="str" cm="1">
        <f>IFERROR(IF(ISBLANK($A498),"",INDEX(Array_StationaryCharges,MATCH($A498,List_StationaryFuelMeters,0),ROUNDUP((COLUMN()+1)/3-2,0))),"")</f>
        <v/>
      </c>
      <c r="AN498" s="127"/>
      <c r="AO498" s="127"/>
      <c r="AP498" s="58" t="str" cm="1">
        <f>IFERROR(IF(ISBLANK($A498),"",INDEX(Array_StationaryCharges,MATCH($A498,List_StationaryFuelMeters,0),ROUNDUP((COLUMN()+1)/3-2,0))),"")</f>
        <v/>
      </c>
      <c r="AQ498" s="127"/>
      <c r="AR498" s="127"/>
      <c r="AS498" s="58" t="str" cm="1">
        <f>IFERROR(IF(ISBLANK($A498),"",INDEX(Array_StationaryCharges,MATCH($A498,List_StationaryFuelMeters,0),ROUNDUP((COLUMN()+1)/3-2,0))),"")</f>
        <v/>
      </c>
      <c r="AT498" s="127"/>
      <c r="AU498" s="127"/>
      <c r="AV498" s="58" t="str" cm="1">
        <f>IFERROR(IF(ISBLANK($A498),"",INDEX(Array_StationaryCharges,MATCH($A498,List_StationaryFuelMeters,0),ROUNDUP((COLUMN()+1)/3-2,0))),"")</f>
        <v/>
      </c>
      <c r="AW498" s="127"/>
      <c r="AX498" s="127"/>
    </row>
    <row r="499" spans="1:50" x14ac:dyDescent="0.3">
      <c r="A499" s="126"/>
      <c r="B499" s="133"/>
      <c r="C499" s="127"/>
      <c r="D499" s="138"/>
      <c r="E499" s="138"/>
      <c r="F499" s="58" t="str" cm="1">
        <f>IFERROR(IF(ISBLANK($A499),"",INDEX(Array_StationaryCharges,MATCH($A499,List_StationaryFuelMeters,0),ROUNDUP((COLUMN()+1)/3-2,0))),"")</f>
        <v/>
      </c>
      <c r="G499" s="127"/>
      <c r="H499" s="127"/>
      <c r="I499" s="58" t="str" cm="1">
        <f>IFERROR(IF(ISBLANK($A499),"",INDEX(Array_StationaryCharges,MATCH($A499,List_StationaryFuelMeters,0),ROUNDUP((COLUMN()+1)/3-2,0))),"")</f>
        <v/>
      </c>
      <c r="J499" s="127"/>
      <c r="K499" s="127"/>
      <c r="L499" s="58" t="str" cm="1">
        <f>IFERROR(IF(ISBLANK($A499),"",INDEX(Array_StationaryCharges,MATCH($A499,List_StationaryFuelMeters,0),ROUNDUP((COLUMN()+1)/3-2,0))),"")</f>
        <v/>
      </c>
      <c r="M499" s="127"/>
      <c r="N499" s="127"/>
      <c r="O499" s="58" t="str" cm="1">
        <f>IFERROR(IF(ISBLANK($A499),"",INDEX(Array_StationaryCharges,MATCH($A499,List_StationaryFuelMeters,0),ROUNDUP((COLUMN()+1)/3-2,0))),"")</f>
        <v/>
      </c>
      <c r="P499" s="127"/>
      <c r="Q499" s="127"/>
      <c r="R499" s="58" t="str" cm="1">
        <f>IFERROR(IF(ISBLANK($A499),"",INDEX(Array_StationaryCharges,MATCH($A499,List_StationaryFuelMeters,0),ROUNDUP((COLUMN()+1)/3-2,0))),"")</f>
        <v/>
      </c>
      <c r="S499" s="127"/>
      <c r="T499" s="127"/>
      <c r="U499" s="58" t="str" cm="1">
        <f>IFERROR(IF(ISBLANK($A499),"",INDEX(Array_StationaryCharges,MATCH($A499,List_StationaryFuelMeters,0),ROUNDUP((COLUMN()+1)/3-2,0))),"")</f>
        <v/>
      </c>
      <c r="V499" s="127"/>
      <c r="W499" s="127"/>
      <c r="X499" s="58" t="str" cm="1">
        <f>IFERROR(IF(ISBLANK($A499),"",INDEX(Array_StationaryCharges,MATCH($A499,List_StationaryFuelMeters,0),ROUNDUP((COLUMN()+1)/3-2,0))),"")</f>
        <v/>
      </c>
      <c r="Y499" s="127"/>
      <c r="Z499" s="127"/>
      <c r="AA499" s="58" t="str" cm="1">
        <f>IFERROR(IF(ISBLANK($A499),"",INDEX(Array_StationaryCharges,MATCH($A499,List_StationaryFuelMeters,0),ROUNDUP((COLUMN()+1)/3-2,0))),"")</f>
        <v/>
      </c>
      <c r="AB499" s="127"/>
      <c r="AC499" s="127"/>
      <c r="AD499" s="58" t="str" cm="1">
        <f>IFERROR(IF(ISBLANK($A499),"",INDEX(Array_StationaryCharges,MATCH($A499,List_StationaryFuelMeters,0),ROUNDUP((COLUMN()+1)/3-2,0))),"")</f>
        <v/>
      </c>
      <c r="AE499" s="127"/>
      <c r="AF499" s="127"/>
      <c r="AG499" s="58" t="str" cm="1">
        <f>IFERROR(IF(ISBLANK($A499),"",INDEX(Array_StationaryCharges,MATCH($A499,List_StationaryFuelMeters,0),ROUNDUP((COLUMN()+1)/3-2,0))),"")</f>
        <v/>
      </c>
      <c r="AH499" s="127"/>
      <c r="AI499" s="127"/>
      <c r="AJ499" s="58" t="str" cm="1">
        <f>IFERROR(IF(ISBLANK($A499),"",INDEX(Array_StationaryCharges,MATCH($A499,List_StationaryFuelMeters,0),ROUNDUP((COLUMN()+1)/3-2,0))),"")</f>
        <v/>
      </c>
      <c r="AK499" s="127"/>
      <c r="AL499" s="127"/>
      <c r="AM499" s="58" t="str" cm="1">
        <f>IFERROR(IF(ISBLANK($A499),"",INDEX(Array_StationaryCharges,MATCH($A499,List_StationaryFuelMeters,0),ROUNDUP((COLUMN()+1)/3-2,0))),"")</f>
        <v/>
      </c>
      <c r="AN499" s="127"/>
      <c r="AO499" s="127"/>
      <c r="AP499" s="58" t="str" cm="1">
        <f>IFERROR(IF(ISBLANK($A499),"",INDEX(Array_StationaryCharges,MATCH($A499,List_StationaryFuelMeters,0),ROUNDUP((COLUMN()+1)/3-2,0))),"")</f>
        <v/>
      </c>
      <c r="AQ499" s="127"/>
      <c r="AR499" s="127"/>
      <c r="AS499" s="58" t="str" cm="1">
        <f>IFERROR(IF(ISBLANK($A499),"",INDEX(Array_StationaryCharges,MATCH($A499,List_StationaryFuelMeters,0),ROUNDUP((COLUMN()+1)/3-2,0))),"")</f>
        <v/>
      </c>
      <c r="AT499" s="127"/>
      <c r="AU499" s="127"/>
      <c r="AV499" s="58" t="str" cm="1">
        <f>IFERROR(IF(ISBLANK($A499),"",INDEX(Array_StationaryCharges,MATCH($A499,List_StationaryFuelMeters,0),ROUNDUP((COLUMN()+1)/3-2,0))),"")</f>
        <v/>
      </c>
      <c r="AW499" s="127"/>
      <c r="AX499" s="127"/>
    </row>
    <row r="500" spans="1:50" x14ac:dyDescent="0.3">
      <c r="A500" s="126"/>
      <c r="B500" s="133"/>
      <c r="C500" s="127"/>
      <c r="D500" s="138"/>
      <c r="E500" s="138"/>
      <c r="F500" s="58" t="str" cm="1">
        <f>IFERROR(IF(ISBLANK($A500),"",INDEX(Array_StationaryCharges,MATCH($A500,List_StationaryFuelMeters,0),ROUNDUP((COLUMN()+1)/3-2,0))),"")</f>
        <v/>
      </c>
      <c r="G500" s="127"/>
      <c r="H500" s="127"/>
      <c r="I500" s="58" t="str" cm="1">
        <f>IFERROR(IF(ISBLANK($A500),"",INDEX(Array_StationaryCharges,MATCH($A500,List_StationaryFuelMeters,0),ROUNDUP((COLUMN()+1)/3-2,0))),"")</f>
        <v/>
      </c>
      <c r="J500" s="127"/>
      <c r="K500" s="127"/>
      <c r="L500" s="58" t="str" cm="1">
        <f>IFERROR(IF(ISBLANK($A500),"",INDEX(Array_StationaryCharges,MATCH($A500,List_StationaryFuelMeters,0),ROUNDUP((COLUMN()+1)/3-2,0))),"")</f>
        <v/>
      </c>
      <c r="M500" s="127"/>
      <c r="N500" s="127"/>
      <c r="O500" s="58" t="str" cm="1">
        <f>IFERROR(IF(ISBLANK($A500),"",INDEX(Array_StationaryCharges,MATCH($A500,List_StationaryFuelMeters,0),ROUNDUP((COLUMN()+1)/3-2,0))),"")</f>
        <v/>
      </c>
      <c r="P500" s="127"/>
      <c r="Q500" s="127"/>
      <c r="R500" s="58" t="str" cm="1">
        <f>IFERROR(IF(ISBLANK($A500),"",INDEX(Array_StationaryCharges,MATCH($A500,List_StationaryFuelMeters,0),ROUNDUP((COLUMN()+1)/3-2,0))),"")</f>
        <v/>
      </c>
      <c r="S500" s="127"/>
      <c r="T500" s="127"/>
      <c r="U500" s="58" t="str" cm="1">
        <f>IFERROR(IF(ISBLANK($A500),"",INDEX(Array_StationaryCharges,MATCH($A500,List_StationaryFuelMeters,0),ROUNDUP((COLUMN()+1)/3-2,0))),"")</f>
        <v/>
      </c>
      <c r="V500" s="127"/>
      <c r="W500" s="127"/>
      <c r="X500" s="58" t="str" cm="1">
        <f>IFERROR(IF(ISBLANK($A500),"",INDEX(Array_StationaryCharges,MATCH($A500,List_StationaryFuelMeters,0),ROUNDUP((COLUMN()+1)/3-2,0))),"")</f>
        <v/>
      </c>
      <c r="Y500" s="127"/>
      <c r="Z500" s="127"/>
      <c r="AA500" s="58" t="str" cm="1">
        <f>IFERROR(IF(ISBLANK($A500),"",INDEX(Array_StationaryCharges,MATCH($A500,List_StationaryFuelMeters,0),ROUNDUP((COLUMN()+1)/3-2,0))),"")</f>
        <v/>
      </c>
      <c r="AB500" s="127"/>
      <c r="AC500" s="127"/>
      <c r="AD500" s="58" t="str" cm="1">
        <f>IFERROR(IF(ISBLANK($A500),"",INDEX(Array_StationaryCharges,MATCH($A500,List_StationaryFuelMeters,0),ROUNDUP((COLUMN()+1)/3-2,0))),"")</f>
        <v/>
      </c>
      <c r="AE500" s="127"/>
      <c r="AF500" s="127"/>
      <c r="AG500" s="58" t="str" cm="1">
        <f>IFERROR(IF(ISBLANK($A500),"",INDEX(Array_StationaryCharges,MATCH($A500,List_StationaryFuelMeters,0),ROUNDUP((COLUMN()+1)/3-2,0))),"")</f>
        <v/>
      </c>
      <c r="AH500" s="127"/>
      <c r="AI500" s="127"/>
      <c r="AJ500" s="58" t="str" cm="1">
        <f>IFERROR(IF(ISBLANK($A500),"",INDEX(Array_StationaryCharges,MATCH($A500,List_StationaryFuelMeters,0),ROUNDUP((COLUMN()+1)/3-2,0))),"")</f>
        <v/>
      </c>
      <c r="AK500" s="127"/>
      <c r="AL500" s="127"/>
      <c r="AM500" s="58" t="str" cm="1">
        <f>IFERROR(IF(ISBLANK($A500),"",INDEX(Array_StationaryCharges,MATCH($A500,List_StationaryFuelMeters,0),ROUNDUP((COLUMN()+1)/3-2,0))),"")</f>
        <v/>
      </c>
      <c r="AN500" s="127"/>
      <c r="AO500" s="127"/>
      <c r="AP500" s="58" t="str" cm="1">
        <f>IFERROR(IF(ISBLANK($A500),"",INDEX(Array_StationaryCharges,MATCH($A500,List_StationaryFuelMeters,0),ROUNDUP((COLUMN()+1)/3-2,0))),"")</f>
        <v/>
      </c>
      <c r="AQ500" s="127"/>
      <c r="AR500" s="127"/>
      <c r="AS500" s="58" t="str" cm="1">
        <f>IFERROR(IF(ISBLANK($A500),"",INDEX(Array_StationaryCharges,MATCH($A500,List_StationaryFuelMeters,0),ROUNDUP((COLUMN()+1)/3-2,0))),"")</f>
        <v/>
      </c>
      <c r="AT500" s="127"/>
      <c r="AU500" s="127"/>
      <c r="AV500" s="58" t="str" cm="1">
        <f>IFERROR(IF(ISBLANK($A500),"",INDEX(Array_StationaryCharges,MATCH($A500,List_StationaryFuelMeters,0),ROUNDUP((COLUMN()+1)/3-2,0))),"")</f>
        <v/>
      </c>
      <c r="AW500" s="127"/>
      <c r="AX500" s="127"/>
    </row>
    <row r="501" spans="1:50" x14ac:dyDescent="0.3">
      <c r="A501" s="126"/>
      <c r="B501" s="133"/>
      <c r="C501" s="127"/>
      <c r="D501" s="138"/>
      <c r="E501" s="138"/>
      <c r="F501" s="58" t="str" cm="1">
        <f>IFERROR(IF(ISBLANK($A501),"",INDEX(Array_StationaryCharges,MATCH($A501,List_StationaryFuelMeters,0),ROUNDUP((COLUMN()+1)/3-2,0))),"")</f>
        <v/>
      </c>
      <c r="G501" s="127"/>
      <c r="H501" s="127"/>
      <c r="I501" s="58" t="str" cm="1">
        <f>IFERROR(IF(ISBLANK($A501),"",INDEX(Array_StationaryCharges,MATCH($A501,List_StationaryFuelMeters,0),ROUNDUP((COLUMN()+1)/3-2,0))),"")</f>
        <v/>
      </c>
      <c r="J501" s="127"/>
      <c r="K501" s="127"/>
      <c r="L501" s="58" t="str" cm="1">
        <f>IFERROR(IF(ISBLANK($A501),"",INDEX(Array_StationaryCharges,MATCH($A501,List_StationaryFuelMeters,0),ROUNDUP((COLUMN()+1)/3-2,0))),"")</f>
        <v/>
      </c>
      <c r="M501" s="127"/>
      <c r="N501" s="127"/>
      <c r="O501" s="58" t="str" cm="1">
        <f>IFERROR(IF(ISBLANK($A501),"",INDEX(Array_StationaryCharges,MATCH($A501,List_StationaryFuelMeters,0),ROUNDUP((COLUMN()+1)/3-2,0))),"")</f>
        <v/>
      </c>
      <c r="P501" s="127"/>
      <c r="Q501" s="127"/>
      <c r="R501" s="58" t="str" cm="1">
        <f>IFERROR(IF(ISBLANK($A501),"",INDEX(Array_StationaryCharges,MATCH($A501,List_StationaryFuelMeters,0),ROUNDUP((COLUMN()+1)/3-2,0))),"")</f>
        <v/>
      </c>
      <c r="S501" s="127"/>
      <c r="T501" s="127"/>
      <c r="U501" s="58" t="str" cm="1">
        <f>IFERROR(IF(ISBLANK($A501),"",INDEX(Array_StationaryCharges,MATCH($A501,List_StationaryFuelMeters,0),ROUNDUP((COLUMN()+1)/3-2,0))),"")</f>
        <v/>
      </c>
      <c r="V501" s="127"/>
      <c r="W501" s="127"/>
      <c r="X501" s="58" t="str" cm="1">
        <f>IFERROR(IF(ISBLANK($A501),"",INDEX(Array_StationaryCharges,MATCH($A501,List_StationaryFuelMeters,0),ROUNDUP((COLUMN()+1)/3-2,0))),"")</f>
        <v/>
      </c>
      <c r="Y501" s="127"/>
      <c r="Z501" s="127"/>
      <c r="AA501" s="58" t="str" cm="1">
        <f>IFERROR(IF(ISBLANK($A501),"",INDEX(Array_StationaryCharges,MATCH($A501,List_StationaryFuelMeters,0),ROUNDUP((COLUMN()+1)/3-2,0))),"")</f>
        <v/>
      </c>
      <c r="AB501" s="127"/>
      <c r="AC501" s="127"/>
      <c r="AD501" s="58" t="str" cm="1">
        <f>IFERROR(IF(ISBLANK($A501),"",INDEX(Array_StationaryCharges,MATCH($A501,List_StationaryFuelMeters,0),ROUNDUP((COLUMN()+1)/3-2,0))),"")</f>
        <v/>
      </c>
      <c r="AE501" s="127"/>
      <c r="AF501" s="127"/>
      <c r="AG501" s="58" t="str" cm="1">
        <f>IFERROR(IF(ISBLANK($A501),"",INDEX(Array_StationaryCharges,MATCH($A501,List_StationaryFuelMeters,0),ROUNDUP((COLUMN()+1)/3-2,0))),"")</f>
        <v/>
      </c>
      <c r="AH501" s="127"/>
      <c r="AI501" s="127"/>
      <c r="AJ501" s="58" t="str" cm="1">
        <f>IFERROR(IF(ISBLANK($A501),"",INDEX(Array_StationaryCharges,MATCH($A501,List_StationaryFuelMeters,0),ROUNDUP((COLUMN()+1)/3-2,0))),"")</f>
        <v/>
      </c>
      <c r="AK501" s="127"/>
      <c r="AL501" s="127"/>
      <c r="AM501" s="58" t="str" cm="1">
        <f>IFERROR(IF(ISBLANK($A501),"",INDEX(Array_StationaryCharges,MATCH($A501,List_StationaryFuelMeters,0),ROUNDUP((COLUMN()+1)/3-2,0))),"")</f>
        <v/>
      </c>
      <c r="AN501" s="127"/>
      <c r="AO501" s="127"/>
      <c r="AP501" s="58" t="str" cm="1">
        <f>IFERROR(IF(ISBLANK($A501),"",INDEX(Array_StationaryCharges,MATCH($A501,List_StationaryFuelMeters,0),ROUNDUP((COLUMN()+1)/3-2,0))),"")</f>
        <v/>
      </c>
      <c r="AQ501" s="127"/>
      <c r="AR501" s="127"/>
      <c r="AS501" s="58" t="str" cm="1">
        <f>IFERROR(IF(ISBLANK($A501),"",INDEX(Array_StationaryCharges,MATCH($A501,List_StationaryFuelMeters,0),ROUNDUP((COLUMN()+1)/3-2,0))),"")</f>
        <v/>
      </c>
      <c r="AT501" s="127"/>
      <c r="AU501" s="127"/>
      <c r="AV501" s="58" t="str" cm="1">
        <f>IFERROR(IF(ISBLANK($A501),"",INDEX(Array_StationaryCharges,MATCH($A501,List_StationaryFuelMeters,0),ROUNDUP((COLUMN()+1)/3-2,0))),"")</f>
        <v/>
      </c>
      <c r="AW501" s="127"/>
      <c r="AX501" s="127"/>
    </row>
    <row r="502" spans="1:50" x14ac:dyDescent="0.3">
      <c r="A502" s="126"/>
      <c r="B502" s="133"/>
      <c r="C502" s="127"/>
      <c r="D502" s="138"/>
      <c r="E502" s="138"/>
      <c r="F502" s="58" t="str" cm="1">
        <f>IFERROR(IF(ISBLANK($A502),"",INDEX(Array_StationaryCharges,MATCH($A502,List_StationaryFuelMeters,0),ROUNDUP((COLUMN()+1)/3-2,0))),"")</f>
        <v/>
      </c>
      <c r="G502" s="127"/>
      <c r="H502" s="127"/>
      <c r="I502" s="58" t="str" cm="1">
        <f>IFERROR(IF(ISBLANK($A502),"",INDEX(Array_StationaryCharges,MATCH($A502,List_StationaryFuelMeters,0),ROUNDUP((COLUMN()+1)/3-2,0))),"")</f>
        <v/>
      </c>
      <c r="J502" s="127"/>
      <c r="K502" s="127"/>
      <c r="L502" s="58" t="str" cm="1">
        <f>IFERROR(IF(ISBLANK($A502),"",INDEX(Array_StationaryCharges,MATCH($A502,List_StationaryFuelMeters,0),ROUNDUP((COLUMN()+1)/3-2,0))),"")</f>
        <v/>
      </c>
      <c r="M502" s="127"/>
      <c r="N502" s="127"/>
      <c r="O502" s="58" t="str" cm="1">
        <f>IFERROR(IF(ISBLANK($A502),"",INDEX(Array_StationaryCharges,MATCH($A502,List_StationaryFuelMeters,0),ROUNDUP((COLUMN()+1)/3-2,0))),"")</f>
        <v/>
      </c>
      <c r="P502" s="127"/>
      <c r="Q502" s="127"/>
      <c r="R502" s="58" t="str" cm="1">
        <f>IFERROR(IF(ISBLANK($A502),"",INDEX(Array_StationaryCharges,MATCH($A502,List_StationaryFuelMeters,0),ROUNDUP((COLUMN()+1)/3-2,0))),"")</f>
        <v/>
      </c>
      <c r="S502" s="127"/>
      <c r="T502" s="127"/>
      <c r="U502" s="58" t="str" cm="1">
        <f>IFERROR(IF(ISBLANK($A502),"",INDEX(Array_StationaryCharges,MATCH($A502,List_StationaryFuelMeters,0),ROUNDUP((COLUMN()+1)/3-2,0))),"")</f>
        <v/>
      </c>
      <c r="V502" s="127"/>
      <c r="W502" s="127"/>
      <c r="X502" s="58" t="str" cm="1">
        <f>IFERROR(IF(ISBLANK($A502),"",INDEX(Array_StationaryCharges,MATCH($A502,List_StationaryFuelMeters,0),ROUNDUP((COLUMN()+1)/3-2,0))),"")</f>
        <v/>
      </c>
      <c r="Y502" s="127"/>
      <c r="Z502" s="127"/>
      <c r="AA502" s="58" t="str" cm="1">
        <f>IFERROR(IF(ISBLANK($A502),"",INDEX(Array_StationaryCharges,MATCH($A502,List_StationaryFuelMeters,0),ROUNDUP((COLUMN()+1)/3-2,0))),"")</f>
        <v/>
      </c>
      <c r="AB502" s="127"/>
      <c r="AC502" s="127"/>
      <c r="AD502" s="58" t="str" cm="1">
        <f>IFERROR(IF(ISBLANK($A502),"",INDEX(Array_StationaryCharges,MATCH($A502,List_StationaryFuelMeters,0),ROUNDUP((COLUMN()+1)/3-2,0))),"")</f>
        <v/>
      </c>
      <c r="AE502" s="127"/>
      <c r="AF502" s="127"/>
      <c r="AG502" s="58" t="str" cm="1">
        <f>IFERROR(IF(ISBLANK($A502),"",INDEX(Array_StationaryCharges,MATCH($A502,List_StationaryFuelMeters,0),ROUNDUP((COLUMN()+1)/3-2,0))),"")</f>
        <v/>
      </c>
      <c r="AH502" s="127"/>
      <c r="AI502" s="127"/>
      <c r="AJ502" s="58" t="str" cm="1">
        <f>IFERROR(IF(ISBLANK($A502),"",INDEX(Array_StationaryCharges,MATCH($A502,List_StationaryFuelMeters,0),ROUNDUP((COLUMN()+1)/3-2,0))),"")</f>
        <v/>
      </c>
      <c r="AK502" s="127"/>
      <c r="AL502" s="127"/>
      <c r="AM502" s="58" t="str" cm="1">
        <f>IFERROR(IF(ISBLANK($A502),"",INDEX(Array_StationaryCharges,MATCH($A502,List_StationaryFuelMeters,0),ROUNDUP((COLUMN()+1)/3-2,0))),"")</f>
        <v/>
      </c>
      <c r="AN502" s="127"/>
      <c r="AO502" s="127"/>
      <c r="AP502" s="58" t="str" cm="1">
        <f>IFERROR(IF(ISBLANK($A502),"",INDEX(Array_StationaryCharges,MATCH($A502,List_StationaryFuelMeters,0),ROUNDUP((COLUMN()+1)/3-2,0))),"")</f>
        <v/>
      </c>
      <c r="AQ502" s="127"/>
      <c r="AR502" s="127"/>
      <c r="AS502" s="58" t="str" cm="1">
        <f>IFERROR(IF(ISBLANK($A502),"",INDEX(Array_StationaryCharges,MATCH($A502,List_StationaryFuelMeters,0),ROUNDUP((COLUMN()+1)/3-2,0))),"")</f>
        <v/>
      </c>
      <c r="AT502" s="127"/>
      <c r="AU502" s="127"/>
      <c r="AV502" s="58" t="str" cm="1">
        <f>IFERROR(IF(ISBLANK($A502),"",INDEX(Array_StationaryCharges,MATCH($A502,List_StationaryFuelMeters,0),ROUNDUP((COLUMN()+1)/3-2,0))),"")</f>
        <v/>
      </c>
      <c r="AW502" s="127"/>
      <c r="AX502" s="127"/>
    </row>
    <row r="502" spans="1:50" x14ac:dyDescent="0.3">
      <c r="A502" s="126"/>
      <c r="B502" s="133"/>
      <c r="C502" s="127"/>
      <c r="D502" s="138"/>
      <c r="E502" s="138"/>
      <c r="F502" s="58" t="str" cm="1">
        <f>IFERROR(IF(ISBLANK($A502),"",INDEX(Array_StationaryCharges,MATCH($A502,List_StationaryFuelMeters,0),ROUNDUP((COLUMN()+1)/3-2,0))),"")</f>
        <v/>
      </c>
      <c r="G502" s="127"/>
      <c r="H502" s="127"/>
      <c r="I502" s="58" t="str" cm="1">
        <f>IFERROR(IF(ISBLANK($A502),"",INDEX(Array_StationaryCharges,MATCH($A502,List_StationaryFuelMeters,0),ROUNDUP((COLUMN()+1)/3-2,0))),"")</f>
        <v/>
      </c>
      <c r="J502" s="127"/>
      <c r="K502" s="127"/>
      <c r="L502" s="58" t="str" cm="1">
        <f>IFERROR(IF(ISBLANK($A502),"",INDEX(Array_StationaryCharges,MATCH($A502,List_StationaryFuelMeters,0),ROUNDUP((COLUMN()+1)/3-2,0))),"")</f>
        <v/>
      </c>
      <c r="M502" s="127"/>
      <c r="N502" s="127"/>
      <c r="O502" s="58" t="str" cm="1">
        <f>IFERROR(IF(ISBLANK($A502),"",INDEX(Array_StationaryCharges,MATCH($A502,List_StationaryFuelMeters,0),ROUNDUP((COLUMN()+1)/3-2,0))),"")</f>
        <v/>
      </c>
      <c r="P502" s="127"/>
      <c r="Q502" s="127"/>
      <c r="R502" s="58" t="str" cm="1">
        <f>IFERROR(IF(ISBLANK($A502),"",INDEX(Array_StationaryCharges,MATCH($A502,List_StationaryFuelMeters,0),ROUNDUP((COLUMN()+1)/3-2,0))),"")</f>
        <v/>
      </c>
      <c r="S502" s="127"/>
      <c r="T502" s="127"/>
      <c r="U502" s="58" t="str" cm="1">
        <f>IFERROR(IF(ISBLANK($A502),"",INDEX(Array_StationaryCharges,MATCH($A502,List_StationaryFuelMeters,0),ROUNDUP((COLUMN()+1)/3-2,0))),"")</f>
        <v/>
      </c>
      <c r="V502" s="127"/>
      <c r="W502" s="127"/>
      <c r="X502" s="58" t="str" cm="1">
        <f>IFERROR(IF(ISBLANK($A502),"",INDEX(Array_StationaryCharges,MATCH($A502,List_StationaryFuelMeters,0),ROUNDUP((COLUMN()+1)/3-2,0))),"")</f>
        <v/>
      </c>
      <c r="Y502" s="127"/>
      <c r="Z502" s="127"/>
      <c r="AA502" s="58" t="str" cm="1">
        <f>IFERROR(IF(ISBLANK($A502),"",INDEX(Array_StationaryCharges,MATCH($A502,List_StationaryFuelMeters,0),ROUNDUP((COLUMN()+1)/3-2,0))),"")</f>
        <v/>
      </c>
      <c r="AB502" s="127"/>
      <c r="AC502" s="127"/>
      <c r="AD502" s="58" t="str" cm="1">
        <f>IFERROR(IF(ISBLANK($A502),"",INDEX(Array_StationaryCharges,MATCH($A502,List_StationaryFuelMeters,0),ROUNDUP((COLUMN()+1)/3-2,0))),"")</f>
        <v/>
      </c>
      <c r="AE502" s="127"/>
      <c r="AF502" s="127"/>
      <c r="AG502" s="58" t="str" cm="1">
        <f>IFERROR(IF(ISBLANK($A502),"",INDEX(Array_StationaryCharges,MATCH($A502,List_StationaryFuelMeters,0),ROUNDUP((COLUMN()+1)/3-2,0))),"")</f>
        <v/>
      </c>
      <c r="AH502" s="127"/>
      <c r="AI502" s="127"/>
      <c r="AJ502" s="58" t="str" cm="1">
        <f>IFERROR(IF(ISBLANK($A502),"",INDEX(Array_StationaryCharges,MATCH($A502,List_StationaryFuelMeters,0),ROUNDUP((COLUMN()+1)/3-2,0))),"")</f>
        <v/>
      </c>
      <c r="AK502" s="127"/>
      <c r="AL502" s="127"/>
      <c r="AM502" s="58" t="str" cm="1">
        <f>IFERROR(IF(ISBLANK($A502),"",INDEX(Array_StationaryCharges,MATCH($A502,List_StationaryFuelMeters,0),ROUNDUP((COLUMN()+1)/3-2,0))),"")</f>
        <v/>
      </c>
      <c r="AN502" s="127"/>
      <c r="AO502" s="127"/>
      <c r="AP502" s="58" t="str" cm="1">
        <f>IFERROR(IF(ISBLANK($A502),"",INDEX(Array_StationaryCharges,MATCH($A502,List_StationaryFuelMeters,0),ROUNDUP((COLUMN()+1)/3-2,0))),"")</f>
        <v/>
      </c>
      <c r="AQ502" s="127"/>
      <c r="AR502" s="127"/>
      <c r="AS502" s="58" t="str" cm="1">
        <f>IFERROR(IF(ISBLANK($A502),"",INDEX(Array_StationaryCharges,MATCH($A502,List_StationaryFuelMeters,0),ROUNDUP((COLUMN()+1)/3-2,0))),"")</f>
        <v/>
      </c>
      <c r="AT502" s="127"/>
      <c r="AU502" s="127"/>
      <c r="AV502" s="58" t="str" cm="1">
        <f>IFERROR(IF(ISBLANK($A502),"",INDEX(Array_StationaryCharges,MATCH($A502,List_StationaryFuelMeters,0),ROUNDUP((COLUMN()+1)/3-2,0))),"")</f>
        <v/>
      </c>
      <c r="AW502" s="127"/>
      <c r="AX502" s="127"/>
    </row>
    <row r="502" spans="1:50" x14ac:dyDescent="0.3">
      <c r="A502" s="126"/>
      <c r="B502" s="133"/>
      <c r="C502" s="127"/>
      <c r="D502" s="138"/>
      <c r="E502" s="139"/>
      <c r="F502" s="58" t="str" cm="1">
        <f>IFERROR(IF(ISBLANK($A502),"",INDEX(Array_StationaryCharges,MATCH($A502,List_StationaryFuelMeters,0),ROUNDUP((COLUMN()+1)/3-2,0))),"")</f>
        <v/>
      </c>
      <c r="G502" s="127"/>
      <c r="H502" s="127"/>
      <c r="I502" s="58" t="str" cm="1">
        <f>IFERROR(IF(ISBLANK($A502),"",INDEX(Array_StationaryCharges,MATCH($A502,List_StationaryFuelMeters,0),ROUNDUP((COLUMN()+1)/3-2,0))),"")</f>
        <v/>
      </c>
      <c r="J502" s="127"/>
      <c r="K502" s="127"/>
      <c r="L502" s="58" t="str" cm="1">
        <f>IFERROR(IF(ISBLANK($A502),"",INDEX(Array_StationaryCharges,MATCH($A502,List_StationaryFuelMeters,0),ROUNDUP((COLUMN()+1)/3-2,0))),"")</f>
        <v/>
      </c>
      <c r="M502" s="127"/>
      <c r="N502" s="127"/>
      <c r="O502" s="58" t="str" cm="1">
        <f>IFERROR(IF(ISBLANK($A502),"",INDEX(Array_StationaryCharges,MATCH($A502,List_StationaryFuelMeters,0),ROUNDUP((COLUMN()+1)/3-2,0))),"")</f>
        <v/>
      </c>
      <c r="P502" s="127"/>
      <c r="Q502" s="127"/>
      <c r="R502" s="58" t="str" cm="1">
        <f>IFERROR(IF(ISBLANK($A502),"",INDEX(Array_StationaryCharges,MATCH($A502,List_StationaryFuelMeters,0),ROUNDUP((COLUMN()+1)/3-2,0))),"")</f>
        <v/>
      </c>
      <c r="S502" s="127"/>
      <c r="T502" s="127"/>
      <c r="U502" s="58" t="str" cm="1">
        <f>IFERROR(IF(ISBLANK($A502),"",INDEX(Array_StationaryCharges,MATCH($A502,List_StationaryFuelMeters,0),ROUNDUP((COLUMN()+1)/3-2,0))),"")</f>
        <v/>
      </c>
      <c r="V502" s="127"/>
      <c r="W502" s="127"/>
      <c r="X502" s="58" t="str" cm="1">
        <f>IFERROR(IF(ISBLANK($A502),"",INDEX(Array_StationaryCharges,MATCH($A502,List_StationaryFuelMeters,0),ROUNDUP((COLUMN()+1)/3-2,0))),"")</f>
        <v/>
      </c>
      <c r="Y502" s="127"/>
      <c r="Z502" s="127"/>
      <c r="AA502" s="58" t="str" cm="1">
        <f>IFERROR(IF(ISBLANK($A502),"",INDEX(Array_StationaryCharges,MATCH($A502,List_StationaryFuelMeters,0),ROUNDUP((COLUMN()+1)/3-2,0))),"")</f>
        <v/>
      </c>
      <c r="AB502" s="127"/>
      <c r="AC502" s="127"/>
      <c r="AD502" s="58" t="str" cm="1">
        <f>IFERROR(IF(ISBLANK($A502),"",INDEX(Array_StationaryCharges,MATCH($A502,List_StationaryFuelMeters,0),ROUNDUP((COLUMN()+1)/3-2,0))),"")</f>
        <v/>
      </c>
      <c r="AE502" s="127"/>
      <c r="AF502" s="127"/>
      <c r="AG502" s="58" t="str" cm="1">
        <f>IFERROR(IF(ISBLANK($A502),"",INDEX(Array_StationaryCharges,MATCH($A502,List_StationaryFuelMeters,0),ROUNDUP((COLUMN()+1)/3-2,0))),"")</f>
        <v/>
      </c>
      <c r="AH502" s="127"/>
      <c r="AI502" s="127"/>
      <c r="AJ502" s="58" t="str" cm="1">
        <f>IFERROR(IF(ISBLANK($A502),"",INDEX(Array_StationaryCharges,MATCH($A502,List_StationaryFuelMeters,0),ROUNDUP((COLUMN()+1)/3-2,0))),"")</f>
        <v/>
      </c>
      <c r="AK502" s="127"/>
      <c r="AL502" s="127"/>
      <c r="AM502" s="58" t="str" cm="1">
        <f>IFERROR(IF(ISBLANK($A502),"",INDEX(Array_StationaryCharges,MATCH($A502,List_StationaryFuelMeters,0),ROUNDUP((COLUMN()+1)/3-2,0))),"")</f>
        <v/>
      </c>
      <c r="AN502" s="127"/>
      <c r="AO502" s="127"/>
      <c r="AP502" s="58" t="str" cm="1">
        <f>IFERROR(IF(ISBLANK($A502),"",INDEX(Array_StationaryCharges,MATCH($A502,List_StationaryFuelMeters,0),ROUNDUP((COLUMN()+1)/3-2,0))),"")</f>
        <v/>
      </c>
      <c r="AQ502" s="127"/>
      <c r="AR502" s="127"/>
      <c r="AS502" s="58" t="str" cm="1">
        <f>IFERROR(IF(ISBLANK($A502),"",INDEX(Array_StationaryCharges,MATCH($A502,List_StationaryFuelMeters,0),ROUNDUP((COLUMN()+1)/3-2,0))),"")</f>
        <v/>
      </c>
      <c r="AT502" s="127"/>
      <c r="AU502" s="127"/>
      <c r="AV502" s="58" t="str" cm="1">
        <f>IFERROR(IF(ISBLANK($A502),"",INDEX(Array_StationaryCharges,MATCH($A502,List_StationaryFuelMeters,0),ROUNDUP((COLUMN()+1)/3-2,0))),"")</f>
        <v/>
      </c>
      <c r="AW502" s="127"/>
      <c r="AX502" s="127"/>
    </row>
  </sheetData>
  <sheetProtection algorithmName="SHA-512" hashValue="ivwP5Ie3i4scaJ3Tr5oGxFZztJ47k7fDzg3oTkoWNH85ZIY+zQgK63KYFcRNOVb3Q0yfBqlQoS6Zcsf4sI8HPQ==" saltValue="j+pTym+eBwiQDZ7b4aQi3Q==" spinCount="100000" sheet="1" objects="1" scenarios="1"/>
  <conditionalFormatting sqref="A3:C502">
    <cfRule type="expression" dxfId="110" priority="113">
      <formula>AND(COUNTA($A3:$D3)&gt;0,A3="")</formula>
    </cfRule>
  </conditionalFormatting>
  <conditionalFormatting sqref="A3:E502">
    <cfRule type="expression" dxfId="109" priority="114">
      <formula>AND(COUNTA($A3:$D3)=0,ROW()&lt;&gt;3)</formula>
    </cfRule>
  </conditionalFormatting>
  <conditionalFormatting sqref="F3:H502">
    <cfRule type="expression" dxfId="108" priority="91">
      <formula>$F3=""</formula>
    </cfRule>
  </conditionalFormatting>
  <conditionalFormatting sqref="I3:K502">
    <cfRule type="expression" dxfId="107" priority="24">
      <formula>$I3=""</formula>
    </cfRule>
  </conditionalFormatting>
  <conditionalFormatting sqref="L3:N502">
    <cfRule type="expression" dxfId="106" priority="23">
      <formula>$L3=""</formula>
    </cfRule>
  </conditionalFormatting>
  <conditionalFormatting sqref="O3:Q502">
    <cfRule type="expression" dxfId="105" priority="22">
      <formula>$O3=""</formula>
    </cfRule>
  </conditionalFormatting>
  <conditionalFormatting sqref="R3:T502">
    <cfRule type="expression" dxfId="104" priority="21">
      <formula>$R3=""</formula>
    </cfRule>
  </conditionalFormatting>
  <conditionalFormatting sqref="U3:W502">
    <cfRule type="expression" dxfId="103" priority="20">
      <formula>$U3=""</formula>
    </cfRule>
  </conditionalFormatting>
  <conditionalFormatting sqref="X3:Z502">
    <cfRule type="expression" dxfId="102" priority="19">
      <formula>$X3=""</formula>
    </cfRule>
  </conditionalFormatting>
  <conditionalFormatting sqref="AA3:AX502">
    <cfRule type="expression" dxfId="101" priority="1">
      <formula>$AA3=""</formula>
    </cfRule>
  </conditionalFormatting>
  <dataValidations count="1">
    <dataValidation type="list" allowBlank="1" showInputMessage="1" showErrorMessage="1" sqref="A3:A502" xr:uid="{7FE1522B-0C8D-4A11-8BAF-EFE7F07B822F}">
      <formula1>List_StationaryFuelMeters</formula1>
    </dataValidation>
  </dataValidations>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FB61C-8E4C-45A7-82E1-45E5BA3BEA3E}">
  <sheetPr codeName="Sheet9">
    <tabColor rgb="FFD62728"/>
  </sheetPr>
  <dimension ref="A1:P236"/>
  <sheetViews>
    <sheetView workbookViewId="0">
      <selection activeCell="A2" sqref="A2:A4"/>
    </sheetView>
  </sheetViews>
  <sheetFormatPr defaultColWidth="20.7265625" defaultRowHeight="14.5" x14ac:dyDescent="0.35"/>
  <sheetData>
    <row r="1" spans="1:9" ht="15" thickBot="1" x14ac:dyDescent="0.4">
      <c r="A1" s="11" t="s">
        <v>539</v>
      </c>
      <c r="B1" s="11" t="s">
        <v>541</v>
      </c>
      <c r="C1" s="11" t="s">
        <v>542</v>
      </c>
      <c r="D1" s="11" t="s">
        <v>543</v>
      </c>
      <c r="E1" s="14" t="s">
        <v>600</v>
      </c>
      <c r="F1" s="14" t="s">
        <v>601</v>
      </c>
      <c r="G1" s="14" t="s">
        <v>602</v>
      </c>
      <c r="H1" s="14" t="s">
        <v>603</v>
      </c>
      <c r="I1" s="14" t="s">
        <v>502</v>
      </c>
    </row>
    <row r="2" spans="1:9" x14ac:dyDescent="0.35">
      <c r="A2" s="4" t="s">
        <v>20</v>
      </c>
      <c r="B2" s="4" t="s">
        <v>11</v>
      </c>
      <c r="C2" s="4" t="s">
        <v>552</v>
      </c>
      <c r="D2" s="4" t="s">
        <v>580</v>
      </c>
      <c r="E2" s="4" t="s">
        <v>487</v>
      </c>
      <c r="F2" s="4" t="s">
        <v>487</v>
      </c>
      <c r="G2" s="4" t="s">
        <v>487</v>
      </c>
      <c r="H2" s="4" t="s">
        <v>487</v>
      </c>
      <c r="I2" s="4" t="s">
        <v>535</v>
      </c>
    </row>
    <row r="3" spans="1:9" x14ac:dyDescent="0.35">
      <c r="A3" t="s">
        <v>21</v>
      </c>
      <c r="B3" t="s">
        <v>551</v>
      </c>
      <c r="C3" t="s">
        <v>553</v>
      </c>
      <c r="D3" t="s">
        <v>581</v>
      </c>
      <c r="E3" t="s">
        <v>491</v>
      </c>
      <c r="F3" t="s">
        <v>491</v>
      </c>
      <c r="G3" t="s">
        <v>491</v>
      </c>
      <c r="H3" t="s">
        <v>14</v>
      </c>
      <c r="I3" t="s">
        <v>604</v>
      </c>
    </row>
    <row r="4" spans="1:9" ht="15" thickBot="1" x14ac:dyDescent="0.4">
      <c r="A4" s="8" t="s">
        <v>540</v>
      </c>
      <c r="B4" s="4" t="s">
        <v>545</v>
      </c>
      <c r="C4" s="4" t="s">
        <v>545</v>
      </c>
      <c r="D4" s="4" t="s">
        <v>582</v>
      </c>
      <c r="E4" s="4" t="s">
        <v>492</v>
      </c>
      <c r="F4" s="4" t="s">
        <v>492</v>
      </c>
      <c r="G4" s="4" t="s">
        <v>492</v>
      </c>
      <c r="H4" s="4" t="s">
        <v>16</v>
      </c>
      <c r="I4" s="4" t="s">
        <v>27</v>
      </c>
    </row>
    <row r="5" spans="1:9" x14ac:dyDescent="0.35">
      <c r="B5" t="s">
        <v>547</v>
      </c>
      <c r="C5" t="s">
        <v>554</v>
      </c>
      <c r="D5" t="s">
        <v>583</v>
      </c>
      <c r="E5" t="s">
        <v>14</v>
      </c>
      <c r="F5" t="s">
        <v>14</v>
      </c>
      <c r="G5" t="s">
        <v>14</v>
      </c>
      <c r="H5" t="s">
        <v>488</v>
      </c>
      <c r="I5" t="s">
        <v>28</v>
      </c>
    </row>
    <row r="6" spans="1:9" x14ac:dyDescent="0.35">
      <c r="B6" s="4" t="s">
        <v>544</v>
      </c>
      <c r="C6" s="4" t="s">
        <v>555</v>
      </c>
      <c r="D6" s="4" t="s">
        <v>584</v>
      </c>
      <c r="E6" s="4" t="s">
        <v>16</v>
      </c>
      <c r="F6" s="4" t="s">
        <v>16</v>
      </c>
      <c r="G6" s="4" t="s">
        <v>16</v>
      </c>
      <c r="H6" s="4" t="s">
        <v>489</v>
      </c>
      <c r="I6" s="4" t="s">
        <v>29</v>
      </c>
    </row>
    <row r="7" spans="1:9" ht="15" thickBot="1" x14ac:dyDescent="0.4">
      <c r="B7" t="s">
        <v>546</v>
      </c>
      <c r="C7" t="s">
        <v>556</v>
      </c>
      <c r="D7" t="s">
        <v>585</v>
      </c>
      <c r="E7" t="s">
        <v>488</v>
      </c>
      <c r="F7" t="s">
        <v>488</v>
      </c>
      <c r="G7" t="s">
        <v>488</v>
      </c>
      <c r="H7" t="s">
        <v>490</v>
      </c>
      <c r="I7" s="9" t="s">
        <v>13</v>
      </c>
    </row>
    <row r="8" spans="1:9" x14ac:dyDescent="0.35">
      <c r="B8" s="4" t="s">
        <v>549</v>
      </c>
      <c r="C8" s="4" t="s">
        <v>557</v>
      </c>
      <c r="D8" s="4" t="s">
        <v>586</v>
      </c>
      <c r="E8" s="4" t="s">
        <v>489</v>
      </c>
      <c r="F8" s="4" t="s">
        <v>489</v>
      </c>
      <c r="G8" s="4" t="s">
        <v>489</v>
      </c>
      <c r="H8" s="4" t="s">
        <v>491</v>
      </c>
    </row>
    <row r="9" spans="1:9" x14ac:dyDescent="0.35">
      <c r="B9" t="s">
        <v>548</v>
      </c>
      <c r="C9" t="s">
        <v>558</v>
      </c>
      <c r="D9" t="s">
        <v>587</v>
      </c>
      <c r="E9" t="s">
        <v>490</v>
      </c>
      <c r="F9" t="s">
        <v>490</v>
      </c>
      <c r="G9" t="s">
        <v>490</v>
      </c>
      <c r="H9" t="s">
        <v>492</v>
      </c>
    </row>
    <row r="10" spans="1:9" ht="15" thickBot="1" x14ac:dyDescent="0.4">
      <c r="B10" s="8" t="s">
        <v>550</v>
      </c>
      <c r="C10" s="4" t="s">
        <v>559</v>
      </c>
      <c r="D10" s="4" t="s">
        <v>588</v>
      </c>
      <c r="E10" s="4" t="s">
        <v>493</v>
      </c>
      <c r="F10" s="4" t="s">
        <v>493</v>
      </c>
      <c r="G10" s="4" t="s">
        <v>493</v>
      </c>
      <c r="H10" s="8" t="s">
        <v>493</v>
      </c>
    </row>
    <row r="11" spans="1:9" ht="15" thickBot="1" x14ac:dyDescent="0.4">
      <c r="C11" t="s">
        <v>560</v>
      </c>
      <c r="D11" s="9" t="s">
        <v>589</v>
      </c>
      <c r="E11" t="s">
        <v>590</v>
      </c>
      <c r="F11" t="s">
        <v>528</v>
      </c>
      <c r="G11" t="s">
        <v>591</v>
      </c>
    </row>
    <row r="12" spans="1:9" x14ac:dyDescent="0.35">
      <c r="C12" s="4" t="s">
        <v>561</v>
      </c>
      <c r="E12" s="4" t="s">
        <v>17</v>
      </c>
      <c r="F12" s="4" t="s">
        <v>529</v>
      </c>
      <c r="G12" s="4" t="s">
        <v>592</v>
      </c>
    </row>
    <row r="13" spans="1:9" x14ac:dyDescent="0.35">
      <c r="C13" t="s">
        <v>562</v>
      </c>
      <c r="E13" t="s">
        <v>593</v>
      </c>
      <c r="F13" t="s">
        <v>530</v>
      </c>
      <c r="G13" t="s">
        <v>594</v>
      </c>
    </row>
    <row r="14" spans="1:9" x14ac:dyDescent="0.35">
      <c r="C14" s="4" t="s">
        <v>563</v>
      </c>
      <c r="E14" s="4" t="s">
        <v>595</v>
      </c>
      <c r="F14" s="4" t="s">
        <v>531</v>
      </c>
      <c r="G14" s="4" t="s">
        <v>596</v>
      </c>
    </row>
    <row r="15" spans="1:9" ht="15" thickBot="1" x14ac:dyDescent="0.4">
      <c r="C15" t="s">
        <v>564</v>
      </c>
      <c r="E15" t="s">
        <v>532</v>
      </c>
      <c r="F15" t="s">
        <v>532</v>
      </c>
      <c r="G15" s="9" t="s">
        <v>597</v>
      </c>
    </row>
    <row r="16" spans="1:9" ht="15" thickBot="1" x14ac:dyDescent="0.4">
      <c r="C16" s="4" t="s">
        <v>565</v>
      </c>
      <c r="E16" s="4" t="s">
        <v>598</v>
      </c>
      <c r="F16" s="8" t="s">
        <v>533</v>
      </c>
    </row>
    <row r="17" spans="3:5" ht="15" thickBot="1" x14ac:dyDescent="0.4">
      <c r="C17" t="s">
        <v>566</v>
      </c>
      <c r="E17" s="9" t="s">
        <v>599</v>
      </c>
    </row>
    <row r="18" spans="3:5" x14ac:dyDescent="0.35">
      <c r="C18" s="4" t="s">
        <v>567</v>
      </c>
    </row>
    <row r="19" spans="3:5" x14ac:dyDescent="0.35">
      <c r="C19" t="s">
        <v>568</v>
      </c>
    </row>
    <row r="20" spans="3:5" x14ac:dyDescent="0.35">
      <c r="C20" s="4" t="s">
        <v>569</v>
      </c>
    </row>
    <row r="21" spans="3:5" x14ac:dyDescent="0.35">
      <c r="C21" t="s">
        <v>547</v>
      </c>
    </row>
    <row r="22" spans="3:5" x14ac:dyDescent="0.35">
      <c r="C22" s="4" t="s">
        <v>570</v>
      </c>
    </row>
    <row r="23" spans="3:5" x14ac:dyDescent="0.35">
      <c r="C23" t="s">
        <v>571</v>
      </c>
    </row>
    <row r="24" spans="3:5" x14ac:dyDescent="0.35">
      <c r="C24" s="4" t="s">
        <v>572</v>
      </c>
    </row>
    <row r="25" spans="3:5" x14ac:dyDescent="0.35">
      <c r="C25" t="s">
        <v>573</v>
      </c>
    </row>
    <row r="26" spans="3:5" x14ac:dyDescent="0.35">
      <c r="C26" s="4" t="s">
        <v>574</v>
      </c>
    </row>
    <row r="27" spans="3:5" x14ac:dyDescent="0.35">
      <c r="C27" t="s">
        <v>575</v>
      </c>
    </row>
    <row r="28" spans="3:5" x14ac:dyDescent="0.35">
      <c r="C28" s="4" t="s">
        <v>551</v>
      </c>
    </row>
    <row r="29" spans="3:5" x14ac:dyDescent="0.35">
      <c r="C29" t="s">
        <v>576</v>
      </c>
    </row>
    <row r="30" spans="3:5" x14ac:dyDescent="0.35">
      <c r="C30" s="4" t="s">
        <v>577</v>
      </c>
    </row>
    <row r="31" spans="3:5" x14ac:dyDescent="0.35">
      <c r="C31" t="s">
        <v>578</v>
      </c>
    </row>
    <row r="32" spans="3:5" ht="15" thickBot="1" x14ac:dyDescent="0.4">
      <c r="C32" s="8" t="s">
        <v>579</v>
      </c>
    </row>
    <row r="35" spans="1:16" x14ac:dyDescent="0.35">
      <c r="A35" t="s">
        <v>775</v>
      </c>
      <c r="B35">
        <f>COUNTIF(B37:B136,"?*")</f>
        <v>0</v>
      </c>
      <c r="C35">
        <f t="shared" ref="C35:P35" si="0">COUNTIF(C37:C136,"?*")</f>
        <v>0</v>
      </c>
      <c r="D35">
        <f t="shared" si="0"/>
        <v>0</v>
      </c>
      <c r="E35">
        <f t="shared" si="0"/>
        <v>0</v>
      </c>
      <c r="F35">
        <f t="shared" si="0"/>
        <v>0</v>
      </c>
      <c r="G35">
        <f t="shared" si="0"/>
        <v>0</v>
      </c>
      <c r="H35">
        <f t="shared" si="0"/>
        <v>0</v>
      </c>
      <c r="I35">
        <f t="shared" si="0"/>
        <v>0</v>
      </c>
      <c r="J35">
        <f t="shared" si="0"/>
        <v>0</v>
      </c>
      <c r="K35">
        <f t="shared" si="0"/>
        <v>0</v>
      </c>
      <c r="L35">
        <f t="shared" si="0"/>
        <v>0</v>
      </c>
      <c r="M35">
        <f t="shared" si="0"/>
        <v>0</v>
      </c>
      <c r="N35">
        <f t="shared" si="0"/>
        <v>0</v>
      </c>
      <c r="O35">
        <f t="shared" si="0"/>
        <v>0</v>
      </c>
      <c r="P35">
        <f t="shared" si="0"/>
        <v>0</v>
      </c>
    </row>
    <row r="36" spans="1:16" ht="15" thickBot="1" x14ac:dyDescent="0.4">
      <c r="A36" s="12" t="s">
        <v>23</v>
      </c>
      <c r="B36" s="12" t="s">
        <v>760</v>
      </c>
      <c r="C36" s="12" t="s">
        <v>761</v>
      </c>
      <c r="D36" s="12" t="s">
        <v>762</v>
      </c>
      <c r="E36" s="12" t="s">
        <v>763</v>
      </c>
      <c r="F36" s="12" t="s">
        <v>764</v>
      </c>
      <c r="G36" s="12" t="s">
        <v>765</v>
      </c>
      <c r="H36" s="12" t="s">
        <v>766</v>
      </c>
      <c r="I36" s="12" t="s">
        <v>767</v>
      </c>
      <c r="J36" s="12" t="s">
        <v>768</v>
      </c>
      <c r="K36" s="12" t="s">
        <v>769</v>
      </c>
      <c r="L36" s="12" t="s">
        <v>770</v>
      </c>
      <c r="M36" s="12" t="s">
        <v>771</v>
      </c>
      <c r="N36" s="12" t="s">
        <v>772</v>
      </c>
      <c r="O36" s="12" t="s">
        <v>773</v>
      </c>
      <c r="P36" s="12" t="s">
        <v>774</v>
      </c>
    </row>
    <row r="37" spans="1:16" x14ac:dyDescent="0.35">
      <c r="A37" t="str">
        <f>IF('Stationary Fuel Meters'!B3="",A36,'Stationary Fuel Meters'!B3)</f>
        <v>Meter Numbers</v>
      </c>
      <c r="B37" t="str" cm="1">
        <f>IF(ISBLANK(INDEX(Array_StationaryChargeData,ROW()-36,COLUMN()*2-3)),"",INDEX(Array_StationaryChargeData,ROW()-36,COLUMN()*2-3))</f>
        <v/>
      </c>
      <c r="C37" t="str" cm="1">
        <f>IF(ISBLANK(INDEX(Array_StationaryChargeData,ROW()-36,COLUMN()*2-3)),"",INDEX(Array_StationaryChargeData,ROW()-36,COLUMN()*2-3))</f>
        <v/>
      </c>
      <c r="D37" t="str" cm="1">
        <f>IF(ISBLANK(INDEX(Array_StationaryChargeData,ROW()-36,COLUMN()*2-3)),"",INDEX(Array_StationaryChargeData,ROW()-36,COLUMN()*2-3))</f>
        <v/>
      </c>
      <c r="E37" t="str" cm="1">
        <f>IF(ISBLANK(INDEX(Array_StationaryChargeData,ROW()-36,COLUMN()*2-3)),"",INDEX(Array_StationaryChargeData,ROW()-36,COLUMN()*2-3))</f>
        <v/>
      </c>
      <c r="F37" t="str" cm="1">
        <f>IF(ISBLANK(INDEX(Array_StationaryChargeData,ROW()-36,COLUMN()*2-3)),"",INDEX(Array_StationaryChargeData,ROW()-36,COLUMN()*2-3))</f>
        <v/>
      </c>
      <c r="G37" t="str" cm="1">
        <f>IF(ISBLANK(INDEX(Array_StationaryChargeData,ROW()-36,COLUMN()*2-3)),"",INDEX(Array_StationaryChargeData,ROW()-36,COLUMN()*2-3))</f>
        <v/>
      </c>
      <c r="H37" t="str" cm="1">
        <f>IF(ISBLANK(INDEX(Array_StationaryChargeData,ROW()-36,COLUMN()*2-3)),"",INDEX(Array_StationaryChargeData,ROW()-36,COLUMN()*2-3))</f>
        <v/>
      </c>
      <c r="I37" t="str" cm="1">
        <f>IF(ISBLANK(INDEX(Array_StationaryChargeData,ROW()-36,COLUMN()*2-3)),"",INDEX(Array_StationaryChargeData,ROW()-36,COLUMN()*2-3))</f>
        <v/>
      </c>
      <c r="J37" t="str" cm="1">
        <f>IF(ISBLANK(INDEX(Array_StationaryChargeData,ROW()-36,COLUMN()*2-3)),"",INDEX(Array_StationaryChargeData,ROW()-36,COLUMN()*2-3))</f>
        <v/>
      </c>
      <c r="K37" t="str" cm="1">
        <f>IF(ISBLANK(INDEX(Array_StationaryChargeData,ROW()-36,COLUMN()*2-3)),"",INDEX(Array_StationaryChargeData,ROW()-36,COLUMN()*2-3))</f>
        <v/>
      </c>
      <c r="L37" t="str" cm="1">
        <f>IF(ISBLANK(INDEX(Array_StationaryChargeData,ROW()-36,COLUMN()*2-3)),"",INDEX(Array_StationaryChargeData,ROW()-36,COLUMN()*2-3))</f>
        <v/>
      </c>
      <c r="M37" t="str" cm="1">
        <f>IF(ISBLANK(INDEX(Array_StationaryChargeData,ROW()-36,COLUMN()*2-3)),"",INDEX(Array_StationaryChargeData,ROW()-36,COLUMN()*2-3))</f>
        <v/>
      </c>
      <c r="N37" t="str" cm="1">
        <f>IF(ISBLANK(INDEX(Array_StationaryChargeData,ROW()-36,COLUMN()*2-3)),"",INDEX(Array_StationaryChargeData,ROW()-36,COLUMN()*2-3))</f>
        <v/>
      </c>
      <c r="O37" t="str" cm="1">
        <f>IF(ISBLANK(INDEX(Array_StationaryChargeData,ROW()-36,COLUMN()*2-3)),"",INDEX(Array_StationaryChargeData,ROW()-36,COLUMN()*2-3))</f>
        <v/>
      </c>
      <c r="P37" t="str" cm="1">
        <f>IF(ISBLANK(INDEX(Array_StationaryChargeData,ROW()-36,COLUMN()*2-3)),"",INDEX(Array_StationaryChargeData,ROW()-36,COLUMN()*2-3))</f>
        <v/>
      </c>
    </row>
    <row r="38" spans="1:16" x14ac:dyDescent="0.35">
      <c r="A38" t="str">
        <f>IF('Stationary Fuel Meters'!B4="",A37,'Stationary Fuel Meters'!B4)</f>
        <v>Meter Numbers</v>
      </c>
      <c r="B38" t="str" cm="1">
        <f>IF(ISBLANK(INDEX(Array_StationaryChargeData,ROW()-36,COLUMN()*2-3)),"",INDEX(Array_StationaryChargeData,ROW()-36,COLUMN()*2-3))</f>
        <v/>
      </c>
      <c r="C38" t="str" cm="1">
        <f>IF(ISBLANK(INDEX(Array_StationaryChargeData,ROW()-36,COLUMN()*2-3)),"",INDEX(Array_StationaryChargeData,ROW()-36,COLUMN()*2-3))</f>
        <v/>
      </c>
      <c r="D38" t="str" cm="1">
        <f>IF(ISBLANK(INDEX(Array_StationaryChargeData,ROW()-36,COLUMN()*2-3)),"",INDEX(Array_StationaryChargeData,ROW()-36,COLUMN()*2-3))</f>
        <v/>
      </c>
      <c r="E38" t="str" cm="1">
        <f>IF(ISBLANK(INDEX(Array_StationaryChargeData,ROW()-36,COLUMN()*2-3)),"",INDEX(Array_StationaryChargeData,ROW()-36,COLUMN()*2-3))</f>
        <v/>
      </c>
      <c r="F38" t="str" cm="1">
        <f>IF(ISBLANK(INDEX(Array_StationaryChargeData,ROW()-36,COLUMN()*2-3)),"",INDEX(Array_StationaryChargeData,ROW()-36,COLUMN()*2-3))</f>
        <v/>
      </c>
      <c r="G38" t="str" cm="1">
        <f>IF(ISBLANK(INDEX(Array_StationaryChargeData,ROW()-36,COLUMN()*2-3)),"",INDEX(Array_StationaryChargeData,ROW()-36,COLUMN()*2-3))</f>
        <v/>
      </c>
      <c r="H38" t="str" cm="1">
        <f>IF(ISBLANK(INDEX(Array_StationaryChargeData,ROW()-36,COLUMN()*2-3)),"",INDEX(Array_StationaryChargeData,ROW()-36,COLUMN()*2-3))</f>
        <v/>
      </c>
      <c r="I38" t="str" cm="1">
        <f>IF(ISBLANK(INDEX(Array_StationaryChargeData,ROW()-36,COLUMN()*2-3)),"",INDEX(Array_StationaryChargeData,ROW()-36,COLUMN()*2-3))</f>
        <v/>
      </c>
      <c r="J38" t="str" cm="1">
        <f>IF(ISBLANK(INDEX(Array_StationaryChargeData,ROW()-36,COLUMN()*2-3)),"",INDEX(Array_StationaryChargeData,ROW()-36,COLUMN()*2-3))</f>
        <v/>
      </c>
      <c r="K38" t="str" cm="1">
        <f>IF(ISBLANK(INDEX(Array_StationaryChargeData,ROW()-36,COLUMN()*2-3)),"",INDEX(Array_StationaryChargeData,ROW()-36,COLUMN()*2-3))</f>
        <v/>
      </c>
      <c r="L38" t="str" cm="1">
        <f>IF(ISBLANK(INDEX(Array_StationaryChargeData,ROW()-36,COLUMN()*2-3)),"",INDEX(Array_StationaryChargeData,ROW()-36,COLUMN()*2-3))</f>
        <v/>
      </c>
      <c r="M38" t="str" cm="1">
        <f>IF(ISBLANK(INDEX(Array_StationaryChargeData,ROW()-36,COLUMN()*2-3)),"",INDEX(Array_StationaryChargeData,ROW()-36,COLUMN()*2-3))</f>
        <v/>
      </c>
      <c r="N38" t="str" cm="1">
        <f>IF(ISBLANK(INDEX(Array_StationaryChargeData,ROW()-36,COLUMN()*2-3)),"",INDEX(Array_StationaryChargeData,ROW()-36,COLUMN()*2-3))</f>
        <v/>
      </c>
      <c r="O38" t="str" cm="1">
        <f>IF(ISBLANK(INDEX(Array_StationaryChargeData,ROW()-36,COLUMN()*2-3)),"",INDEX(Array_StationaryChargeData,ROW()-36,COLUMN()*2-3))</f>
        <v/>
      </c>
      <c r="P38" t="str" cm="1">
        <f>IF(ISBLANK(INDEX(Array_StationaryChargeData,ROW()-36,COLUMN()*2-3)),"",INDEX(Array_StationaryChargeData,ROW()-36,COLUMN()*2-3))</f>
        <v/>
      </c>
    </row>
    <row r="39" spans="1:16" x14ac:dyDescent="0.35">
      <c r="A39" t="str">
        <f>IF('Stationary Fuel Meters'!B5="",A38,'Stationary Fuel Meters'!B5)</f>
        <v>Meter Numbers</v>
      </c>
      <c r="B39" t="str" cm="1">
        <f>IF(ISBLANK(INDEX(Array_StationaryChargeData,ROW()-36,COLUMN()*2-3)),"",INDEX(Array_StationaryChargeData,ROW()-36,COLUMN()*2-3))</f>
        <v/>
      </c>
      <c r="C39" t="str" cm="1">
        <f>IF(ISBLANK(INDEX(Array_StationaryChargeData,ROW()-36,COLUMN()*2-3)),"",INDEX(Array_StationaryChargeData,ROW()-36,COLUMN()*2-3))</f>
        <v/>
      </c>
      <c r="D39" t="str" cm="1">
        <f>IF(ISBLANK(INDEX(Array_StationaryChargeData,ROW()-36,COLUMN()*2-3)),"",INDEX(Array_StationaryChargeData,ROW()-36,COLUMN()*2-3))</f>
        <v/>
      </c>
      <c r="E39" t="str" cm="1">
        <f>IF(ISBLANK(INDEX(Array_StationaryChargeData,ROW()-36,COLUMN()*2-3)),"",INDEX(Array_StationaryChargeData,ROW()-36,COLUMN()*2-3))</f>
        <v/>
      </c>
      <c r="F39" t="str" cm="1">
        <f>IF(ISBLANK(INDEX(Array_StationaryChargeData,ROW()-36,COLUMN()*2-3)),"",INDEX(Array_StationaryChargeData,ROW()-36,COLUMN()*2-3))</f>
        <v/>
      </c>
      <c r="G39" t="str" cm="1">
        <f>IF(ISBLANK(INDEX(Array_StationaryChargeData,ROW()-36,COLUMN()*2-3)),"",INDEX(Array_StationaryChargeData,ROW()-36,COLUMN()*2-3))</f>
        <v/>
      </c>
      <c r="H39" t="str" cm="1">
        <f>IF(ISBLANK(INDEX(Array_StationaryChargeData,ROW()-36,COLUMN()*2-3)),"",INDEX(Array_StationaryChargeData,ROW()-36,COLUMN()*2-3))</f>
        <v/>
      </c>
      <c r="I39" t="str" cm="1">
        <f>IF(ISBLANK(INDEX(Array_StationaryChargeData,ROW()-36,COLUMN()*2-3)),"",INDEX(Array_StationaryChargeData,ROW()-36,COLUMN()*2-3))</f>
        <v/>
      </c>
      <c r="J39" t="str" cm="1">
        <f>IF(ISBLANK(INDEX(Array_StationaryChargeData,ROW()-36,COLUMN()*2-3)),"",INDEX(Array_StationaryChargeData,ROW()-36,COLUMN()*2-3))</f>
        <v/>
      </c>
      <c r="K39" t="str" cm="1">
        <f>IF(ISBLANK(INDEX(Array_StationaryChargeData,ROW()-36,COLUMN()*2-3)),"",INDEX(Array_StationaryChargeData,ROW()-36,COLUMN()*2-3))</f>
        <v/>
      </c>
      <c r="L39" t="str" cm="1">
        <f>IF(ISBLANK(INDEX(Array_StationaryChargeData,ROW()-36,COLUMN()*2-3)),"",INDEX(Array_StationaryChargeData,ROW()-36,COLUMN()*2-3))</f>
        <v/>
      </c>
      <c r="M39" t="str" cm="1">
        <f>IF(ISBLANK(INDEX(Array_StationaryChargeData,ROW()-36,COLUMN()*2-3)),"",INDEX(Array_StationaryChargeData,ROW()-36,COLUMN()*2-3))</f>
        <v/>
      </c>
      <c r="N39" t="str" cm="1">
        <f>IF(ISBLANK(INDEX(Array_StationaryChargeData,ROW()-36,COLUMN()*2-3)),"",INDEX(Array_StationaryChargeData,ROW()-36,COLUMN()*2-3))</f>
        <v/>
      </c>
      <c r="O39" t="str" cm="1">
        <f>IF(ISBLANK(INDEX(Array_StationaryChargeData,ROW()-36,COLUMN()*2-3)),"",INDEX(Array_StationaryChargeData,ROW()-36,COLUMN()*2-3))</f>
        <v/>
      </c>
      <c r="P39" t="str" cm="1">
        <f>IF(ISBLANK(INDEX(Array_StationaryChargeData,ROW()-36,COLUMN()*2-3)),"",INDEX(Array_StationaryChargeData,ROW()-36,COLUMN()*2-3))</f>
        <v/>
      </c>
    </row>
    <row r="40" spans="1:16" x14ac:dyDescent="0.35">
      <c r="A40" t="str">
        <f>IF('Stationary Fuel Meters'!B6="",A39,'Stationary Fuel Meters'!B6)</f>
        <v>Meter Numbers</v>
      </c>
      <c r="B40" t="str" cm="1">
        <f>IF(ISBLANK(INDEX(Array_StationaryChargeData,ROW()-36,COLUMN()*2-3)),"",INDEX(Array_StationaryChargeData,ROW()-36,COLUMN()*2-3))</f>
        <v/>
      </c>
      <c r="C40" t="str" cm="1">
        <f>IF(ISBLANK(INDEX(Array_StationaryChargeData,ROW()-36,COLUMN()*2-3)),"",INDEX(Array_StationaryChargeData,ROW()-36,COLUMN()*2-3))</f>
        <v/>
      </c>
      <c r="D40" t="str" cm="1">
        <f>IF(ISBLANK(INDEX(Array_StationaryChargeData,ROW()-36,COLUMN()*2-3)),"",INDEX(Array_StationaryChargeData,ROW()-36,COLUMN()*2-3))</f>
        <v/>
      </c>
      <c r="E40" t="str" cm="1">
        <f>IF(ISBLANK(INDEX(Array_StationaryChargeData,ROW()-36,COLUMN()*2-3)),"",INDEX(Array_StationaryChargeData,ROW()-36,COLUMN()*2-3))</f>
        <v/>
      </c>
      <c r="F40" t="str" cm="1">
        <f>IF(ISBLANK(INDEX(Array_StationaryChargeData,ROW()-36,COLUMN()*2-3)),"",INDEX(Array_StationaryChargeData,ROW()-36,COLUMN()*2-3))</f>
        <v/>
      </c>
      <c r="G40" t="str" cm="1">
        <f>IF(ISBLANK(INDEX(Array_StationaryChargeData,ROW()-36,COLUMN()*2-3)),"",INDEX(Array_StationaryChargeData,ROW()-36,COLUMN()*2-3))</f>
        <v/>
      </c>
      <c r="H40" t="str" cm="1">
        <f>IF(ISBLANK(INDEX(Array_StationaryChargeData,ROW()-36,COLUMN()*2-3)),"",INDEX(Array_StationaryChargeData,ROW()-36,COLUMN()*2-3))</f>
        <v/>
      </c>
      <c r="I40" t="str" cm="1">
        <f>IF(ISBLANK(INDEX(Array_StationaryChargeData,ROW()-36,COLUMN()*2-3)),"",INDEX(Array_StationaryChargeData,ROW()-36,COLUMN()*2-3))</f>
        <v/>
      </c>
      <c r="J40" t="str" cm="1">
        <f>IF(ISBLANK(INDEX(Array_StationaryChargeData,ROW()-36,COLUMN()*2-3)),"",INDEX(Array_StationaryChargeData,ROW()-36,COLUMN()*2-3))</f>
        <v/>
      </c>
      <c r="K40" t="str" cm="1">
        <f>IF(ISBLANK(INDEX(Array_StationaryChargeData,ROW()-36,COLUMN()*2-3)),"",INDEX(Array_StationaryChargeData,ROW()-36,COLUMN()*2-3))</f>
        <v/>
      </c>
      <c r="L40" t="str" cm="1">
        <f>IF(ISBLANK(INDEX(Array_StationaryChargeData,ROW()-36,COLUMN()*2-3)),"",INDEX(Array_StationaryChargeData,ROW()-36,COLUMN()*2-3))</f>
        <v/>
      </c>
      <c r="M40" t="str" cm="1">
        <f>IF(ISBLANK(INDEX(Array_StationaryChargeData,ROW()-36,COLUMN()*2-3)),"",INDEX(Array_StationaryChargeData,ROW()-36,COLUMN()*2-3))</f>
        <v/>
      </c>
      <c r="N40" t="str" cm="1">
        <f>IF(ISBLANK(INDEX(Array_StationaryChargeData,ROW()-36,COLUMN()*2-3)),"",INDEX(Array_StationaryChargeData,ROW()-36,COLUMN()*2-3))</f>
        <v/>
      </c>
      <c r="O40" t="str" cm="1">
        <f>IF(ISBLANK(INDEX(Array_StationaryChargeData,ROW()-36,COLUMN()*2-3)),"",INDEX(Array_StationaryChargeData,ROW()-36,COLUMN()*2-3))</f>
        <v/>
      </c>
      <c r="P40" t="str" cm="1">
        <f>IF(ISBLANK(INDEX(Array_StationaryChargeData,ROW()-36,COLUMN()*2-3)),"",INDEX(Array_StationaryChargeData,ROW()-36,COLUMN()*2-3))</f>
        <v/>
      </c>
    </row>
    <row r="41" spans="1:16" x14ac:dyDescent="0.35">
      <c r="A41" t="str">
        <f>IF('Stationary Fuel Meters'!B7="",A40,'Stationary Fuel Meters'!B7)</f>
        <v>Meter Numbers</v>
      </c>
      <c r="B41" t="str" cm="1">
        <f>IF(ISBLANK(INDEX(Array_StationaryChargeData,ROW()-36,COLUMN()*2-3)),"",INDEX(Array_StationaryChargeData,ROW()-36,COLUMN()*2-3))</f>
        <v/>
      </c>
      <c r="C41" t="str" cm="1">
        <f>IF(ISBLANK(INDEX(Array_StationaryChargeData,ROW()-36,COLUMN()*2-3)),"",INDEX(Array_StationaryChargeData,ROW()-36,COLUMN()*2-3))</f>
        <v/>
      </c>
      <c r="D41" t="str" cm="1">
        <f>IF(ISBLANK(INDEX(Array_StationaryChargeData,ROW()-36,COLUMN()*2-3)),"",INDEX(Array_StationaryChargeData,ROW()-36,COLUMN()*2-3))</f>
        <v/>
      </c>
      <c r="E41" t="str" cm="1">
        <f>IF(ISBLANK(INDEX(Array_StationaryChargeData,ROW()-36,COLUMN()*2-3)),"",INDEX(Array_StationaryChargeData,ROW()-36,COLUMN()*2-3))</f>
        <v/>
      </c>
      <c r="F41" t="str" cm="1">
        <f>IF(ISBLANK(INDEX(Array_StationaryChargeData,ROW()-36,COLUMN()*2-3)),"",INDEX(Array_StationaryChargeData,ROW()-36,COLUMN()*2-3))</f>
        <v/>
      </c>
      <c r="G41" t="str" cm="1">
        <f>IF(ISBLANK(INDEX(Array_StationaryChargeData,ROW()-36,COLUMN()*2-3)),"",INDEX(Array_StationaryChargeData,ROW()-36,COLUMN()*2-3))</f>
        <v/>
      </c>
      <c r="H41" t="str" cm="1">
        <f>IF(ISBLANK(INDEX(Array_StationaryChargeData,ROW()-36,COLUMN()*2-3)),"",INDEX(Array_StationaryChargeData,ROW()-36,COLUMN()*2-3))</f>
        <v/>
      </c>
      <c r="I41" t="str" cm="1">
        <f>IF(ISBLANK(INDEX(Array_StationaryChargeData,ROW()-36,COLUMN()*2-3)),"",INDEX(Array_StationaryChargeData,ROW()-36,COLUMN()*2-3))</f>
        <v/>
      </c>
      <c r="J41" t="str" cm="1">
        <f>IF(ISBLANK(INDEX(Array_StationaryChargeData,ROW()-36,COLUMN()*2-3)),"",INDEX(Array_StationaryChargeData,ROW()-36,COLUMN()*2-3))</f>
        <v/>
      </c>
      <c r="K41" t="str" cm="1">
        <f>IF(ISBLANK(INDEX(Array_StationaryChargeData,ROW()-36,COLUMN()*2-3)),"",INDEX(Array_StationaryChargeData,ROW()-36,COLUMN()*2-3))</f>
        <v/>
      </c>
      <c r="L41" t="str" cm="1">
        <f>IF(ISBLANK(INDEX(Array_StationaryChargeData,ROW()-36,COLUMN()*2-3)),"",INDEX(Array_StationaryChargeData,ROW()-36,COLUMN()*2-3))</f>
        <v/>
      </c>
      <c r="M41" t="str" cm="1">
        <f>IF(ISBLANK(INDEX(Array_StationaryChargeData,ROW()-36,COLUMN()*2-3)),"",INDEX(Array_StationaryChargeData,ROW()-36,COLUMN()*2-3))</f>
        <v/>
      </c>
      <c r="N41" t="str" cm="1">
        <f>IF(ISBLANK(INDEX(Array_StationaryChargeData,ROW()-36,COLUMN()*2-3)),"",INDEX(Array_StationaryChargeData,ROW()-36,COLUMN()*2-3))</f>
        <v/>
      </c>
      <c r="O41" t="str" cm="1">
        <f>IF(ISBLANK(INDEX(Array_StationaryChargeData,ROW()-36,COLUMN()*2-3)),"",INDEX(Array_StationaryChargeData,ROW()-36,COLUMN()*2-3))</f>
        <v/>
      </c>
      <c r="P41" t="str" cm="1">
        <f>IF(ISBLANK(INDEX(Array_StationaryChargeData,ROW()-36,COLUMN()*2-3)),"",INDEX(Array_StationaryChargeData,ROW()-36,COLUMN()*2-3))</f>
        <v/>
      </c>
    </row>
    <row r="42" spans="1:16" x14ac:dyDescent="0.35">
      <c r="A42" t="str">
        <f>IF('Stationary Fuel Meters'!B8="",A41,'Stationary Fuel Meters'!B8)</f>
        <v>Meter Numbers</v>
      </c>
      <c r="B42" t="str" cm="1">
        <f>IF(ISBLANK(INDEX(Array_StationaryChargeData,ROW()-36,COLUMN()*2-3)),"",INDEX(Array_StationaryChargeData,ROW()-36,COLUMN()*2-3))</f>
        <v/>
      </c>
      <c r="C42" t="str" cm="1">
        <f>IF(ISBLANK(INDEX(Array_StationaryChargeData,ROW()-36,COLUMN()*2-3)),"",INDEX(Array_StationaryChargeData,ROW()-36,COLUMN()*2-3))</f>
        <v/>
      </c>
      <c r="D42" t="str" cm="1">
        <f>IF(ISBLANK(INDEX(Array_StationaryChargeData,ROW()-36,COLUMN()*2-3)),"",INDEX(Array_StationaryChargeData,ROW()-36,COLUMN()*2-3))</f>
        <v/>
      </c>
      <c r="E42" t="str" cm="1">
        <f>IF(ISBLANK(INDEX(Array_StationaryChargeData,ROW()-36,COLUMN()*2-3)),"",INDEX(Array_StationaryChargeData,ROW()-36,COLUMN()*2-3))</f>
        <v/>
      </c>
      <c r="F42" t="str" cm="1">
        <f>IF(ISBLANK(INDEX(Array_StationaryChargeData,ROW()-36,COLUMN()*2-3)),"",INDEX(Array_StationaryChargeData,ROW()-36,COLUMN()*2-3))</f>
        <v/>
      </c>
      <c r="G42" t="str" cm="1">
        <f>IF(ISBLANK(INDEX(Array_StationaryChargeData,ROW()-36,COLUMN()*2-3)),"",INDEX(Array_StationaryChargeData,ROW()-36,COLUMN()*2-3))</f>
        <v/>
      </c>
      <c r="H42" t="str" cm="1">
        <f>IF(ISBLANK(INDEX(Array_StationaryChargeData,ROW()-36,COLUMN()*2-3)),"",INDEX(Array_StationaryChargeData,ROW()-36,COLUMN()*2-3))</f>
        <v/>
      </c>
      <c r="I42" t="str" cm="1">
        <f>IF(ISBLANK(INDEX(Array_StationaryChargeData,ROW()-36,COLUMN()*2-3)),"",INDEX(Array_StationaryChargeData,ROW()-36,COLUMN()*2-3))</f>
        <v/>
      </c>
      <c r="J42" t="str" cm="1">
        <f>IF(ISBLANK(INDEX(Array_StationaryChargeData,ROW()-36,COLUMN()*2-3)),"",INDEX(Array_StationaryChargeData,ROW()-36,COLUMN()*2-3))</f>
        <v/>
      </c>
      <c r="K42" t="str" cm="1">
        <f>IF(ISBLANK(INDEX(Array_StationaryChargeData,ROW()-36,COLUMN()*2-3)),"",INDEX(Array_StationaryChargeData,ROW()-36,COLUMN()*2-3))</f>
        <v/>
      </c>
      <c r="L42" t="str" cm="1">
        <f>IF(ISBLANK(INDEX(Array_StationaryChargeData,ROW()-36,COLUMN()*2-3)),"",INDEX(Array_StationaryChargeData,ROW()-36,COLUMN()*2-3))</f>
        <v/>
      </c>
      <c r="M42" t="str" cm="1">
        <f>IF(ISBLANK(INDEX(Array_StationaryChargeData,ROW()-36,COLUMN()*2-3)),"",INDEX(Array_StationaryChargeData,ROW()-36,COLUMN()*2-3))</f>
        <v/>
      </c>
      <c r="N42" t="str" cm="1">
        <f>IF(ISBLANK(INDEX(Array_StationaryChargeData,ROW()-36,COLUMN()*2-3)),"",INDEX(Array_StationaryChargeData,ROW()-36,COLUMN()*2-3))</f>
        <v/>
      </c>
      <c r="O42" t="str" cm="1">
        <f>IF(ISBLANK(INDEX(Array_StationaryChargeData,ROW()-36,COLUMN()*2-3)),"",INDEX(Array_StationaryChargeData,ROW()-36,COLUMN()*2-3))</f>
        <v/>
      </c>
      <c r="P42" t="str" cm="1">
        <f>IF(ISBLANK(INDEX(Array_StationaryChargeData,ROW()-36,COLUMN()*2-3)),"",INDEX(Array_StationaryChargeData,ROW()-36,COLUMN()*2-3))</f>
        <v/>
      </c>
    </row>
    <row r="43" spans="1:16" x14ac:dyDescent="0.35">
      <c r="A43" t="str">
        <f>IF('Stationary Fuel Meters'!B9="",A42,'Stationary Fuel Meters'!B9)</f>
        <v>Meter Numbers</v>
      </c>
      <c r="B43" t="str" cm="1">
        <f>IF(ISBLANK(INDEX(Array_StationaryChargeData,ROW()-36,COLUMN()*2-3)),"",INDEX(Array_StationaryChargeData,ROW()-36,COLUMN()*2-3))</f>
        <v/>
      </c>
      <c r="C43" t="str" cm="1">
        <f>IF(ISBLANK(INDEX(Array_StationaryChargeData,ROW()-36,COLUMN()*2-3)),"",INDEX(Array_StationaryChargeData,ROW()-36,COLUMN()*2-3))</f>
        <v/>
      </c>
      <c r="D43" t="str" cm="1">
        <f>IF(ISBLANK(INDEX(Array_StationaryChargeData,ROW()-36,COLUMN()*2-3)),"",INDEX(Array_StationaryChargeData,ROW()-36,COLUMN()*2-3))</f>
        <v/>
      </c>
      <c r="E43" t="str" cm="1">
        <f>IF(ISBLANK(INDEX(Array_StationaryChargeData,ROW()-36,COLUMN()*2-3)),"",INDEX(Array_StationaryChargeData,ROW()-36,COLUMN()*2-3))</f>
        <v/>
      </c>
      <c r="F43" t="str" cm="1">
        <f>IF(ISBLANK(INDEX(Array_StationaryChargeData,ROW()-36,COLUMN()*2-3)),"",INDEX(Array_StationaryChargeData,ROW()-36,COLUMN()*2-3))</f>
        <v/>
      </c>
      <c r="G43" t="str" cm="1">
        <f>IF(ISBLANK(INDEX(Array_StationaryChargeData,ROW()-36,COLUMN()*2-3)),"",INDEX(Array_StationaryChargeData,ROW()-36,COLUMN()*2-3))</f>
        <v/>
      </c>
      <c r="H43" t="str" cm="1">
        <f>IF(ISBLANK(INDEX(Array_StationaryChargeData,ROW()-36,COLUMN()*2-3)),"",INDEX(Array_StationaryChargeData,ROW()-36,COLUMN()*2-3))</f>
        <v/>
      </c>
      <c r="I43" t="str" cm="1">
        <f>IF(ISBLANK(INDEX(Array_StationaryChargeData,ROW()-36,COLUMN()*2-3)),"",INDEX(Array_StationaryChargeData,ROW()-36,COLUMN()*2-3))</f>
        <v/>
      </c>
      <c r="J43" t="str" cm="1">
        <f>IF(ISBLANK(INDEX(Array_StationaryChargeData,ROW()-36,COLUMN()*2-3)),"",INDEX(Array_StationaryChargeData,ROW()-36,COLUMN()*2-3))</f>
        <v/>
      </c>
      <c r="K43" t="str" cm="1">
        <f>IF(ISBLANK(INDEX(Array_StationaryChargeData,ROW()-36,COLUMN()*2-3)),"",INDEX(Array_StationaryChargeData,ROW()-36,COLUMN()*2-3))</f>
        <v/>
      </c>
      <c r="L43" t="str" cm="1">
        <f>IF(ISBLANK(INDEX(Array_StationaryChargeData,ROW()-36,COLUMN()*2-3)),"",INDEX(Array_StationaryChargeData,ROW()-36,COLUMN()*2-3))</f>
        <v/>
      </c>
      <c r="M43" t="str" cm="1">
        <f>IF(ISBLANK(INDEX(Array_StationaryChargeData,ROW()-36,COLUMN()*2-3)),"",INDEX(Array_StationaryChargeData,ROW()-36,COLUMN()*2-3))</f>
        <v/>
      </c>
      <c r="N43" t="str" cm="1">
        <f>IF(ISBLANK(INDEX(Array_StationaryChargeData,ROW()-36,COLUMN()*2-3)),"",INDEX(Array_StationaryChargeData,ROW()-36,COLUMN()*2-3))</f>
        <v/>
      </c>
      <c r="O43" t="str" cm="1">
        <f>IF(ISBLANK(INDEX(Array_StationaryChargeData,ROW()-36,COLUMN()*2-3)),"",INDEX(Array_StationaryChargeData,ROW()-36,COLUMN()*2-3))</f>
        <v/>
      </c>
      <c r="P43" t="str" cm="1">
        <f>IF(ISBLANK(INDEX(Array_StationaryChargeData,ROW()-36,COLUMN()*2-3)),"",INDEX(Array_StationaryChargeData,ROW()-36,COLUMN()*2-3))</f>
        <v/>
      </c>
    </row>
    <row r="44" spans="1:16" x14ac:dyDescent="0.35">
      <c r="A44" t="str">
        <f>IF('Stationary Fuel Meters'!B10="",A43,'Stationary Fuel Meters'!B10)</f>
        <v>Meter Numbers</v>
      </c>
      <c r="B44" t="str" cm="1">
        <f>IF(ISBLANK(INDEX(Array_StationaryChargeData,ROW()-36,COLUMN()*2-3)),"",INDEX(Array_StationaryChargeData,ROW()-36,COLUMN()*2-3))</f>
        <v/>
      </c>
      <c r="C44" t="str" cm="1">
        <f>IF(ISBLANK(INDEX(Array_StationaryChargeData,ROW()-36,COLUMN()*2-3)),"",INDEX(Array_StationaryChargeData,ROW()-36,COLUMN()*2-3))</f>
        <v/>
      </c>
      <c r="D44" t="str" cm="1">
        <f>IF(ISBLANK(INDEX(Array_StationaryChargeData,ROW()-36,COLUMN()*2-3)),"",INDEX(Array_StationaryChargeData,ROW()-36,COLUMN()*2-3))</f>
        <v/>
      </c>
      <c r="E44" t="str" cm="1">
        <f>IF(ISBLANK(INDEX(Array_StationaryChargeData,ROW()-36,COLUMN()*2-3)),"",INDEX(Array_StationaryChargeData,ROW()-36,COLUMN()*2-3))</f>
        <v/>
      </c>
      <c r="F44" t="str" cm="1">
        <f>IF(ISBLANK(INDEX(Array_StationaryChargeData,ROW()-36,COLUMN()*2-3)),"",INDEX(Array_StationaryChargeData,ROW()-36,COLUMN()*2-3))</f>
        <v/>
      </c>
      <c r="G44" t="str" cm="1">
        <f>IF(ISBLANK(INDEX(Array_StationaryChargeData,ROW()-36,COLUMN()*2-3)),"",INDEX(Array_StationaryChargeData,ROW()-36,COLUMN()*2-3))</f>
        <v/>
      </c>
      <c r="H44" t="str" cm="1">
        <f>IF(ISBLANK(INDEX(Array_StationaryChargeData,ROW()-36,COLUMN()*2-3)),"",INDEX(Array_StationaryChargeData,ROW()-36,COLUMN()*2-3))</f>
        <v/>
      </c>
      <c r="I44" t="str" cm="1">
        <f>IF(ISBLANK(INDEX(Array_StationaryChargeData,ROW()-36,COLUMN()*2-3)),"",INDEX(Array_StationaryChargeData,ROW()-36,COLUMN()*2-3))</f>
        <v/>
      </c>
      <c r="J44" t="str" cm="1">
        <f>IF(ISBLANK(INDEX(Array_StationaryChargeData,ROW()-36,COLUMN()*2-3)),"",INDEX(Array_StationaryChargeData,ROW()-36,COLUMN()*2-3))</f>
        <v/>
      </c>
      <c r="K44" t="str" cm="1">
        <f>IF(ISBLANK(INDEX(Array_StationaryChargeData,ROW()-36,COLUMN()*2-3)),"",INDEX(Array_StationaryChargeData,ROW()-36,COLUMN()*2-3))</f>
        <v/>
      </c>
      <c r="L44" t="str" cm="1">
        <f>IF(ISBLANK(INDEX(Array_StationaryChargeData,ROW()-36,COLUMN()*2-3)),"",INDEX(Array_StationaryChargeData,ROW()-36,COLUMN()*2-3))</f>
        <v/>
      </c>
      <c r="M44" t="str" cm="1">
        <f>IF(ISBLANK(INDEX(Array_StationaryChargeData,ROW()-36,COLUMN()*2-3)),"",INDEX(Array_StationaryChargeData,ROW()-36,COLUMN()*2-3))</f>
        <v/>
      </c>
      <c r="N44" t="str" cm="1">
        <f>IF(ISBLANK(INDEX(Array_StationaryChargeData,ROW()-36,COLUMN()*2-3)),"",INDEX(Array_StationaryChargeData,ROW()-36,COLUMN()*2-3))</f>
        <v/>
      </c>
      <c r="O44" t="str" cm="1">
        <f>IF(ISBLANK(INDEX(Array_StationaryChargeData,ROW()-36,COLUMN()*2-3)),"",INDEX(Array_StationaryChargeData,ROW()-36,COLUMN()*2-3))</f>
        <v/>
      </c>
      <c r="P44" t="str" cm="1">
        <f>IF(ISBLANK(INDEX(Array_StationaryChargeData,ROW()-36,COLUMN()*2-3)),"",INDEX(Array_StationaryChargeData,ROW()-36,COLUMN()*2-3))</f>
        <v/>
      </c>
    </row>
    <row r="45" spans="1:16" x14ac:dyDescent="0.35">
      <c r="A45" t="str">
        <f>IF('Stationary Fuel Meters'!B11="",A44,'Stationary Fuel Meters'!B11)</f>
        <v>Meter Numbers</v>
      </c>
      <c r="B45" t="str" cm="1">
        <f>IF(ISBLANK(INDEX(Array_StationaryChargeData,ROW()-36,COLUMN()*2-3)),"",INDEX(Array_StationaryChargeData,ROW()-36,COLUMN()*2-3))</f>
        <v/>
      </c>
      <c r="C45" t="str" cm="1">
        <f>IF(ISBLANK(INDEX(Array_StationaryChargeData,ROW()-36,COLUMN()*2-3)),"",INDEX(Array_StationaryChargeData,ROW()-36,COLUMN()*2-3))</f>
        <v/>
      </c>
      <c r="D45" t="str" cm="1">
        <f>IF(ISBLANK(INDEX(Array_StationaryChargeData,ROW()-36,COLUMN()*2-3)),"",INDEX(Array_StationaryChargeData,ROW()-36,COLUMN()*2-3))</f>
        <v/>
      </c>
      <c r="E45" t="str" cm="1">
        <f>IF(ISBLANK(INDEX(Array_StationaryChargeData,ROW()-36,COLUMN()*2-3)),"",INDEX(Array_StationaryChargeData,ROW()-36,COLUMN()*2-3))</f>
        <v/>
      </c>
      <c r="F45" t="str" cm="1">
        <f>IF(ISBLANK(INDEX(Array_StationaryChargeData,ROW()-36,COLUMN()*2-3)),"",INDEX(Array_StationaryChargeData,ROW()-36,COLUMN()*2-3))</f>
        <v/>
      </c>
      <c r="G45" t="str" cm="1">
        <f>IF(ISBLANK(INDEX(Array_StationaryChargeData,ROW()-36,COLUMN()*2-3)),"",INDEX(Array_StationaryChargeData,ROW()-36,COLUMN()*2-3))</f>
        <v/>
      </c>
      <c r="H45" t="str" cm="1">
        <f>IF(ISBLANK(INDEX(Array_StationaryChargeData,ROW()-36,COLUMN()*2-3)),"",INDEX(Array_StationaryChargeData,ROW()-36,COLUMN()*2-3))</f>
        <v/>
      </c>
      <c r="I45" t="str" cm="1">
        <f>IF(ISBLANK(INDEX(Array_StationaryChargeData,ROW()-36,COLUMN()*2-3)),"",INDEX(Array_StationaryChargeData,ROW()-36,COLUMN()*2-3))</f>
        <v/>
      </c>
      <c r="J45" t="str" cm="1">
        <f>IF(ISBLANK(INDEX(Array_StationaryChargeData,ROW()-36,COLUMN()*2-3)),"",INDEX(Array_StationaryChargeData,ROW()-36,COLUMN()*2-3))</f>
        <v/>
      </c>
      <c r="K45" t="str" cm="1">
        <f>IF(ISBLANK(INDEX(Array_StationaryChargeData,ROW()-36,COLUMN()*2-3)),"",INDEX(Array_StationaryChargeData,ROW()-36,COLUMN()*2-3))</f>
        <v/>
      </c>
      <c r="L45" t="str" cm="1">
        <f>IF(ISBLANK(INDEX(Array_StationaryChargeData,ROW()-36,COLUMN()*2-3)),"",INDEX(Array_StationaryChargeData,ROW()-36,COLUMN()*2-3))</f>
        <v/>
      </c>
      <c r="M45" t="str" cm="1">
        <f>IF(ISBLANK(INDEX(Array_StationaryChargeData,ROW()-36,COLUMN()*2-3)),"",INDEX(Array_StationaryChargeData,ROW()-36,COLUMN()*2-3))</f>
        <v/>
      </c>
      <c r="N45" t="str" cm="1">
        <f>IF(ISBLANK(INDEX(Array_StationaryChargeData,ROW()-36,COLUMN()*2-3)),"",INDEX(Array_StationaryChargeData,ROW()-36,COLUMN()*2-3))</f>
        <v/>
      </c>
      <c r="O45" t="str" cm="1">
        <f>IF(ISBLANK(INDEX(Array_StationaryChargeData,ROW()-36,COLUMN()*2-3)),"",INDEX(Array_StationaryChargeData,ROW()-36,COLUMN()*2-3))</f>
        <v/>
      </c>
      <c r="P45" t="str" cm="1">
        <f>IF(ISBLANK(INDEX(Array_StationaryChargeData,ROW()-36,COLUMN()*2-3)),"",INDEX(Array_StationaryChargeData,ROW()-36,COLUMN()*2-3))</f>
        <v/>
      </c>
    </row>
    <row r="46" spans="1:16" x14ac:dyDescent="0.35">
      <c r="A46" t="str">
        <f>IF('Stationary Fuel Meters'!B12="",A45,'Stationary Fuel Meters'!B12)</f>
        <v>Meter Numbers</v>
      </c>
      <c r="B46" t="str" cm="1">
        <f>IF(ISBLANK(INDEX(Array_StationaryChargeData,ROW()-36,COLUMN()*2-3)),"",INDEX(Array_StationaryChargeData,ROW()-36,COLUMN()*2-3))</f>
        <v/>
      </c>
      <c r="C46" t="str" cm="1">
        <f>IF(ISBLANK(INDEX(Array_StationaryChargeData,ROW()-36,COLUMN()*2-3)),"",INDEX(Array_StationaryChargeData,ROW()-36,COLUMN()*2-3))</f>
        <v/>
      </c>
      <c r="D46" t="str" cm="1">
        <f>IF(ISBLANK(INDEX(Array_StationaryChargeData,ROW()-36,COLUMN()*2-3)),"",INDEX(Array_StationaryChargeData,ROW()-36,COLUMN()*2-3))</f>
        <v/>
      </c>
      <c r="E46" t="str" cm="1">
        <f>IF(ISBLANK(INDEX(Array_StationaryChargeData,ROW()-36,COLUMN()*2-3)),"",INDEX(Array_StationaryChargeData,ROW()-36,COLUMN()*2-3))</f>
        <v/>
      </c>
      <c r="F46" t="str" cm="1">
        <f>IF(ISBLANK(INDEX(Array_StationaryChargeData,ROW()-36,COLUMN()*2-3)),"",INDEX(Array_StationaryChargeData,ROW()-36,COLUMN()*2-3))</f>
        <v/>
      </c>
      <c r="G46" t="str" cm="1">
        <f>IF(ISBLANK(INDEX(Array_StationaryChargeData,ROW()-36,COLUMN()*2-3)),"",INDEX(Array_StationaryChargeData,ROW()-36,COLUMN()*2-3))</f>
        <v/>
      </c>
      <c r="H46" t="str" cm="1">
        <f>IF(ISBLANK(INDEX(Array_StationaryChargeData,ROW()-36,COLUMN()*2-3)),"",INDEX(Array_StationaryChargeData,ROW()-36,COLUMN()*2-3))</f>
        <v/>
      </c>
      <c r="I46" t="str" cm="1">
        <f>IF(ISBLANK(INDEX(Array_StationaryChargeData,ROW()-36,COLUMN()*2-3)),"",INDEX(Array_StationaryChargeData,ROW()-36,COLUMN()*2-3))</f>
        <v/>
      </c>
      <c r="J46" t="str" cm="1">
        <f>IF(ISBLANK(INDEX(Array_StationaryChargeData,ROW()-36,COLUMN()*2-3)),"",INDEX(Array_StationaryChargeData,ROW()-36,COLUMN()*2-3))</f>
        <v/>
      </c>
      <c r="K46" t="str" cm="1">
        <f>IF(ISBLANK(INDEX(Array_StationaryChargeData,ROW()-36,COLUMN()*2-3)),"",INDEX(Array_StationaryChargeData,ROW()-36,COLUMN()*2-3))</f>
        <v/>
      </c>
      <c r="L46" t="str" cm="1">
        <f>IF(ISBLANK(INDEX(Array_StationaryChargeData,ROW()-36,COLUMN()*2-3)),"",INDEX(Array_StationaryChargeData,ROW()-36,COLUMN()*2-3))</f>
        <v/>
      </c>
      <c r="M46" t="str" cm="1">
        <f>IF(ISBLANK(INDEX(Array_StationaryChargeData,ROW()-36,COLUMN()*2-3)),"",INDEX(Array_StationaryChargeData,ROW()-36,COLUMN()*2-3))</f>
        <v/>
      </c>
      <c r="N46" t="str" cm="1">
        <f>IF(ISBLANK(INDEX(Array_StationaryChargeData,ROW()-36,COLUMN()*2-3)),"",INDEX(Array_StationaryChargeData,ROW()-36,COLUMN()*2-3))</f>
        <v/>
      </c>
      <c r="O46" t="str" cm="1">
        <f>IF(ISBLANK(INDEX(Array_StationaryChargeData,ROW()-36,COLUMN()*2-3)),"",INDEX(Array_StationaryChargeData,ROW()-36,COLUMN()*2-3))</f>
        <v/>
      </c>
      <c r="P46" t="str" cm="1">
        <f>IF(ISBLANK(INDEX(Array_StationaryChargeData,ROW()-36,COLUMN()*2-3)),"",INDEX(Array_StationaryChargeData,ROW()-36,COLUMN()*2-3))</f>
        <v/>
      </c>
    </row>
    <row r="47" spans="1:16" x14ac:dyDescent="0.35">
      <c r="A47" t="str">
        <f>IF('Stationary Fuel Meters'!B13="",A46,'Stationary Fuel Meters'!B13)</f>
        <v>Meter Numbers</v>
      </c>
      <c r="B47" t="str" cm="1">
        <f>IF(ISBLANK(INDEX(Array_StationaryChargeData,ROW()-36,COLUMN()*2-3)),"",INDEX(Array_StationaryChargeData,ROW()-36,COLUMN()*2-3))</f>
        <v/>
      </c>
      <c r="C47" t="str" cm="1">
        <f>IF(ISBLANK(INDEX(Array_StationaryChargeData,ROW()-36,COLUMN()*2-3)),"",INDEX(Array_StationaryChargeData,ROW()-36,COLUMN()*2-3))</f>
        <v/>
      </c>
      <c r="D47" t="str" cm="1">
        <f>IF(ISBLANK(INDEX(Array_StationaryChargeData,ROW()-36,COLUMN()*2-3)),"",INDEX(Array_StationaryChargeData,ROW()-36,COLUMN()*2-3))</f>
        <v/>
      </c>
      <c r="E47" t="str" cm="1">
        <f>IF(ISBLANK(INDEX(Array_StationaryChargeData,ROW()-36,COLUMN()*2-3)),"",INDEX(Array_StationaryChargeData,ROW()-36,COLUMN()*2-3))</f>
        <v/>
      </c>
      <c r="F47" t="str" cm="1">
        <f>IF(ISBLANK(INDEX(Array_StationaryChargeData,ROW()-36,COLUMN()*2-3)),"",INDEX(Array_StationaryChargeData,ROW()-36,COLUMN()*2-3))</f>
        <v/>
      </c>
      <c r="G47" t="str" cm="1">
        <f>IF(ISBLANK(INDEX(Array_StationaryChargeData,ROW()-36,COLUMN()*2-3)),"",INDEX(Array_StationaryChargeData,ROW()-36,COLUMN()*2-3))</f>
        <v/>
      </c>
      <c r="H47" t="str" cm="1">
        <f>IF(ISBLANK(INDEX(Array_StationaryChargeData,ROW()-36,COLUMN()*2-3)),"",INDEX(Array_StationaryChargeData,ROW()-36,COLUMN()*2-3))</f>
        <v/>
      </c>
      <c r="I47" t="str" cm="1">
        <f>IF(ISBLANK(INDEX(Array_StationaryChargeData,ROW()-36,COLUMN()*2-3)),"",INDEX(Array_StationaryChargeData,ROW()-36,COLUMN()*2-3))</f>
        <v/>
      </c>
      <c r="J47" t="str" cm="1">
        <f>IF(ISBLANK(INDEX(Array_StationaryChargeData,ROW()-36,COLUMN()*2-3)),"",INDEX(Array_StationaryChargeData,ROW()-36,COLUMN()*2-3))</f>
        <v/>
      </c>
      <c r="K47" t="str" cm="1">
        <f>IF(ISBLANK(INDEX(Array_StationaryChargeData,ROW()-36,COLUMN()*2-3)),"",INDEX(Array_StationaryChargeData,ROW()-36,COLUMN()*2-3))</f>
        <v/>
      </c>
      <c r="L47" t="str" cm="1">
        <f>IF(ISBLANK(INDEX(Array_StationaryChargeData,ROW()-36,COLUMN()*2-3)),"",INDEX(Array_StationaryChargeData,ROW()-36,COLUMN()*2-3))</f>
        <v/>
      </c>
      <c r="M47" t="str" cm="1">
        <f>IF(ISBLANK(INDEX(Array_StationaryChargeData,ROW()-36,COLUMN()*2-3)),"",INDEX(Array_StationaryChargeData,ROW()-36,COLUMN()*2-3))</f>
        <v/>
      </c>
      <c r="N47" t="str" cm="1">
        <f>IF(ISBLANK(INDEX(Array_StationaryChargeData,ROW()-36,COLUMN()*2-3)),"",INDEX(Array_StationaryChargeData,ROW()-36,COLUMN()*2-3))</f>
        <v/>
      </c>
      <c r="O47" t="str" cm="1">
        <f>IF(ISBLANK(INDEX(Array_StationaryChargeData,ROW()-36,COLUMN()*2-3)),"",INDEX(Array_StationaryChargeData,ROW()-36,COLUMN()*2-3))</f>
        <v/>
      </c>
      <c r="P47" t="str" cm="1">
        <f>IF(ISBLANK(INDEX(Array_StationaryChargeData,ROW()-36,COLUMN()*2-3)),"",INDEX(Array_StationaryChargeData,ROW()-36,COLUMN()*2-3))</f>
        <v/>
      </c>
    </row>
    <row r="48" spans="1:16" x14ac:dyDescent="0.35">
      <c r="A48" t="str">
        <f>IF('Stationary Fuel Meters'!B14="",A47,'Stationary Fuel Meters'!B14)</f>
        <v>Meter Numbers</v>
      </c>
      <c r="B48" t="str" cm="1">
        <f>IF(ISBLANK(INDEX(Array_StationaryChargeData,ROW()-36,COLUMN()*2-3)),"",INDEX(Array_StationaryChargeData,ROW()-36,COLUMN()*2-3))</f>
        <v/>
      </c>
      <c r="C48" t="str" cm="1">
        <f>IF(ISBLANK(INDEX(Array_StationaryChargeData,ROW()-36,COLUMN()*2-3)),"",INDEX(Array_StationaryChargeData,ROW()-36,COLUMN()*2-3))</f>
        <v/>
      </c>
      <c r="D48" t="str" cm="1">
        <f>IF(ISBLANK(INDEX(Array_StationaryChargeData,ROW()-36,COLUMN()*2-3)),"",INDEX(Array_StationaryChargeData,ROW()-36,COLUMN()*2-3))</f>
        <v/>
      </c>
      <c r="E48" t="str" cm="1">
        <f>IF(ISBLANK(INDEX(Array_StationaryChargeData,ROW()-36,COLUMN()*2-3)),"",INDEX(Array_StationaryChargeData,ROW()-36,COLUMN()*2-3))</f>
        <v/>
      </c>
      <c r="F48" t="str" cm="1">
        <f>IF(ISBLANK(INDEX(Array_StationaryChargeData,ROW()-36,COLUMN()*2-3)),"",INDEX(Array_StationaryChargeData,ROW()-36,COLUMN()*2-3))</f>
        <v/>
      </c>
      <c r="G48" t="str" cm="1">
        <f>IF(ISBLANK(INDEX(Array_StationaryChargeData,ROW()-36,COLUMN()*2-3)),"",INDEX(Array_StationaryChargeData,ROW()-36,COLUMN()*2-3))</f>
        <v/>
      </c>
      <c r="H48" t="str" cm="1">
        <f>IF(ISBLANK(INDEX(Array_StationaryChargeData,ROW()-36,COLUMN()*2-3)),"",INDEX(Array_StationaryChargeData,ROW()-36,COLUMN()*2-3))</f>
        <v/>
      </c>
      <c r="I48" t="str" cm="1">
        <f>IF(ISBLANK(INDEX(Array_StationaryChargeData,ROW()-36,COLUMN()*2-3)),"",INDEX(Array_StationaryChargeData,ROW()-36,COLUMN()*2-3))</f>
        <v/>
      </c>
      <c r="J48" t="str" cm="1">
        <f>IF(ISBLANK(INDEX(Array_StationaryChargeData,ROW()-36,COLUMN()*2-3)),"",INDEX(Array_StationaryChargeData,ROW()-36,COLUMN()*2-3))</f>
        <v/>
      </c>
      <c r="K48" t="str" cm="1">
        <f>IF(ISBLANK(INDEX(Array_StationaryChargeData,ROW()-36,COLUMN()*2-3)),"",INDEX(Array_StationaryChargeData,ROW()-36,COLUMN()*2-3))</f>
        <v/>
      </c>
      <c r="L48" t="str" cm="1">
        <f>IF(ISBLANK(INDEX(Array_StationaryChargeData,ROW()-36,COLUMN()*2-3)),"",INDEX(Array_StationaryChargeData,ROW()-36,COLUMN()*2-3))</f>
        <v/>
      </c>
      <c r="M48" t="str" cm="1">
        <f>IF(ISBLANK(INDEX(Array_StationaryChargeData,ROW()-36,COLUMN()*2-3)),"",INDEX(Array_StationaryChargeData,ROW()-36,COLUMN()*2-3))</f>
        <v/>
      </c>
      <c r="N48" t="str" cm="1">
        <f>IF(ISBLANK(INDEX(Array_StationaryChargeData,ROW()-36,COLUMN()*2-3)),"",INDEX(Array_StationaryChargeData,ROW()-36,COLUMN()*2-3))</f>
        <v/>
      </c>
      <c r="O48" t="str" cm="1">
        <f>IF(ISBLANK(INDEX(Array_StationaryChargeData,ROW()-36,COLUMN()*2-3)),"",INDEX(Array_StationaryChargeData,ROW()-36,COLUMN()*2-3))</f>
        <v/>
      </c>
      <c r="P48" t="str" cm="1">
        <f>IF(ISBLANK(INDEX(Array_StationaryChargeData,ROW()-36,COLUMN()*2-3)),"",INDEX(Array_StationaryChargeData,ROW()-36,COLUMN()*2-3))</f>
        <v/>
      </c>
    </row>
    <row r="49" spans="1:16" x14ac:dyDescent="0.35">
      <c r="A49" t="str">
        <f>IF('Stationary Fuel Meters'!B15="",A48,'Stationary Fuel Meters'!B15)</f>
        <v>Meter Numbers</v>
      </c>
      <c r="B49" t="str" cm="1">
        <f>IF(ISBLANK(INDEX(Array_StationaryChargeData,ROW()-36,COLUMN()*2-3)),"",INDEX(Array_StationaryChargeData,ROW()-36,COLUMN()*2-3))</f>
        <v/>
      </c>
      <c r="C49" t="str" cm="1">
        <f>IF(ISBLANK(INDEX(Array_StationaryChargeData,ROW()-36,COLUMN()*2-3)),"",INDEX(Array_StationaryChargeData,ROW()-36,COLUMN()*2-3))</f>
        <v/>
      </c>
      <c r="D49" t="str" cm="1">
        <f>IF(ISBLANK(INDEX(Array_StationaryChargeData,ROW()-36,COLUMN()*2-3)),"",INDEX(Array_StationaryChargeData,ROW()-36,COLUMN()*2-3))</f>
        <v/>
      </c>
      <c r="E49" t="str" cm="1">
        <f>IF(ISBLANK(INDEX(Array_StationaryChargeData,ROW()-36,COLUMN()*2-3)),"",INDEX(Array_StationaryChargeData,ROW()-36,COLUMN()*2-3))</f>
        <v/>
      </c>
      <c r="F49" t="str" cm="1">
        <f>IF(ISBLANK(INDEX(Array_StationaryChargeData,ROW()-36,COLUMN()*2-3)),"",INDEX(Array_StationaryChargeData,ROW()-36,COLUMN()*2-3))</f>
        <v/>
      </c>
      <c r="G49" t="str" cm="1">
        <f>IF(ISBLANK(INDEX(Array_StationaryChargeData,ROW()-36,COLUMN()*2-3)),"",INDEX(Array_StationaryChargeData,ROW()-36,COLUMN()*2-3))</f>
        <v/>
      </c>
      <c r="H49" t="str" cm="1">
        <f>IF(ISBLANK(INDEX(Array_StationaryChargeData,ROW()-36,COLUMN()*2-3)),"",INDEX(Array_StationaryChargeData,ROW()-36,COLUMN()*2-3))</f>
        <v/>
      </c>
      <c r="I49" t="str" cm="1">
        <f>IF(ISBLANK(INDEX(Array_StationaryChargeData,ROW()-36,COLUMN()*2-3)),"",INDEX(Array_StationaryChargeData,ROW()-36,COLUMN()*2-3))</f>
        <v/>
      </c>
      <c r="J49" t="str" cm="1">
        <f>IF(ISBLANK(INDEX(Array_StationaryChargeData,ROW()-36,COLUMN()*2-3)),"",INDEX(Array_StationaryChargeData,ROW()-36,COLUMN()*2-3))</f>
        <v/>
      </c>
      <c r="K49" t="str" cm="1">
        <f>IF(ISBLANK(INDEX(Array_StationaryChargeData,ROW()-36,COLUMN()*2-3)),"",INDEX(Array_StationaryChargeData,ROW()-36,COLUMN()*2-3))</f>
        <v/>
      </c>
      <c r="L49" t="str" cm="1">
        <f>IF(ISBLANK(INDEX(Array_StationaryChargeData,ROW()-36,COLUMN()*2-3)),"",INDEX(Array_StationaryChargeData,ROW()-36,COLUMN()*2-3))</f>
        <v/>
      </c>
      <c r="M49" t="str" cm="1">
        <f>IF(ISBLANK(INDEX(Array_StationaryChargeData,ROW()-36,COLUMN()*2-3)),"",INDEX(Array_StationaryChargeData,ROW()-36,COLUMN()*2-3))</f>
        <v/>
      </c>
      <c r="N49" t="str" cm="1">
        <f>IF(ISBLANK(INDEX(Array_StationaryChargeData,ROW()-36,COLUMN()*2-3)),"",INDEX(Array_StationaryChargeData,ROW()-36,COLUMN()*2-3))</f>
        <v/>
      </c>
      <c r="O49" t="str" cm="1">
        <f>IF(ISBLANK(INDEX(Array_StationaryChargeData,ROW()-36,COLUMN()*2-3)),"",INDEX(Array_StationaryChargeData,ROW()-36,COLUMN()*2-3))</f>
        <v/>
      </c>
      <c r="P49" t="str" cm="1">
        <f>IF(ISBLANK(INDEX(Array_StationaryChargeData,ROW()-36,COLUMN()*2-3)),"",INDEX(Array_StationaryChargeData,ROW()-36,COLUMN()*2-3))</f>
        <v/>
      </c>
    </row>
    <row r="50" spans="1:16" x14ac:dyDescent="0.35">
      <c r="A50" t="str">
        <f>IF('Stationary Fuel Meters'!B16="",A49,'Stationary Fuel Meters'!B16)</f>
        <v>Meter Numbers</v>
      </c>
      <c r="B50" t="str" cm="1">
        <f>IF(ISBLANK(INDEX(Array_StationaryChargeData,ROW()-36,COLUMN()*2-3)),"",INDEX(Array_StationaryChargeData,ROW()-36,COLUMN()*2-3))</f>
        <v/>
      </c>
      <c r="C50" t="str" cm="1">
        <f>IF(ISBLANK(INDEX(Array_StationaryChargeData,ROW()-36,COLUMN()*2-3)),"",INDEX(Array_StationaryChargeData,ROW()-36,COLUMN()*2-3))</f>
        <v/>
      </c>
      <c r="D50" t="str" cm="1">
        <f>IF(ISBLANK(INDEX(Array_StationaryChargeData,ROW()-36,COLUMN()*2-3)),"",INDEX(Array_StationaryChargeData,ROW()-36,COLUMN()*2-3))</f>
        <v/>
      </c>
      <c r="E50" t="str" cm="1">
        <f>IF(ISBLANK(INDEX(Array_StationaryChargeData,ROW()-36,COLUMN()*2-3)),"",INDEX(Array_StationaryChargeData,ROW()-36,COLUMN()*2-3))</f>
        <v/>
      </c>
      <c r="F50" t="str" cm="1">
        <f>IF(ISBLANK(INDEX(Array_StationaryChargeData,ROW()-36,COLUMN()*2-3)),"",INDEX(Array_StationaryChargeData,ROW()-36,COLUMN()*2-3))</f>
        <v/>
      </c>
      <c r="G50" t="str" cm="1">
        <f>IF(ISBLANK(INDEX(Array_StationaryChargeData,ROW()-36,COLUMN()*2-3)),"",INDEX(Array_StationaryChargeData,ROW()-36,COLUMN()*2-3))</f>
        <v/>
      </c>
      <c r="H50" t="str" cm="1">
        <f>IF(ISBLANK(INDEX(Array_StationaryChargeData,ROW()-36,COLUMN()*2-3)),"",INDEX(Array_StationaryChargeData,ROW()-36,COLUMN()*2-3))</f>
        <v/>
      </c>
      <c r="I50" t="str" cm="1">
        <f>IF(ISBLANK(INDEX(Array_StationaryChargeData,ROW()-36,COLUMN()*2-3)),"",INDEX(Array_StationaryChargeData,ROW()-36,COLUMN()*2-3))</f>
        <v/>
      </c>
      <c r="J50" t="str" cm="1">
        <f>IF(ISBLANK(INDEX(Array_StationaryChargeData,ROW()-36,COLUMN()*2-3)),"",INDEX(Array_StationaryChargeData,ROW()-36,COLUMN()*2-3))</f>
        <v/>
      </c>
      <c r="K50" t="str" cm="1">
        <f>IF(ISBLANK(INDEX(Array_StationaryChargeData,ROW()-36,COLUMN()*2-3)),"",INDEX(Array_StationaryChargeData,ROW()-36,COLUMN()*2-3))</f>
        <v/>
      </c>
      <c r="L50" t="str" cm="1">
        <f>IF(ISBLANK(INDEX(Array_StationaryChargeData,ROW()-36,COLUMN()*2-3)),"",INDEX(Array_StationaryChargeData,ROW()-36,COLUMN()*2-3))</f>
        <v/>
      </c>
      <c r="M50" t="str" cm="1">
        <f>IF(ISBLANK(INDEX(Array_StationaryChargeData,ROW()-36,COLUMN()*2-3)),"",INDEX(Array_StationaryChargeData,ROW()-36,COLUMN()*2-3))</f>
        <v/>
      </c>
      <c r="N50" t="str" cm="1">
        <f>IF(ISBLANK(INDEX(Array_StationaryChargeData,ROW()-36,COLUMN()*2-3)),"",INDEX(Array_StationaryChargeData,ROW()-36,COLUMN()*2-3))</f>
        <v/>
      </c>
      <c r="O50" t="str" cm="1">
        <f>IF(ISBLANK(INDEX(Array_StationaryChargeData,ROW()-36,COLUMN()*2-3)),"",INDEX(Array_StationaryChargeData,ROW()-36,COLUMN()*2-3))</f>
        <v/>
      </c>
      <c r="P50" t="str" cm="1">
        <f>IF(ISBLANK(INDEX(Array_StationaryChargeData,ROW()-36,COLUMN()*2-3)),"",INDEX(Array_StationaryChargeData,ROW()-36,COLUMN()*2-3))</f>
        <v/>
      </c>
    </row>
    <row r="51" spans="1:16" x14ac:dyDescent="0.35">
      <c r="A51" t="str">
        <f>IF('Stationary Fuel Meters'!B17="",A50,'Stationary Fuel Meters'!B17)</f>
        <v>Meter Numbers</v>
      </c>
      <c r="B51" t="str" cm="1">
        <f>IF(ISBLANK(INDEX(Array_StationaryChargeData,ROW()-36,COLUMN()*2-3)),"",INDEX(Array_StationaryChargeData,ROW()-36,COLUMN()*2-3))</f>
        <v/>
      </c>
      <c r="C51" t="str" cm="1">
        <f>IF(ISBLANK(INDEX(Array_StationaryChargeData,ROW()-36,COLUMN()*2-3)),"",INDEX(Array_StationaryChargeData,ROW()-36,COLUMN()*2-3))</f>
        <v/>
      </c>
      <c r="D51" t="str" cm="1">
        <f>IF(ISBLANK(INDEX(Array_StationaryChargeData,ROW()-36,COLUMN()*2-3)),"",INDEX(Array_StationaryChargeData,ROW()-36,COLUMN()*2-3))</f>
        <v/>
      </c>
      <c r="E51" t="str" cm="1">
        <f>IF(ISBLANK(INDEX(Array_StationaryChargeData,ROW()-36,COLUMN()*2-3)),"",INDEX(Array_StationaryChargeData,ROW()-36,COLUMN()*2-3))</f>
        <v/>
      </c>
      <c r="F51" t="str" cm="1">
        <f>IF(ISBLANK(INDEX(Array_StationaryChargeData,ROW()-36,COLUMN()*2-3)),"",INDEX(Array_StationaryChargeData,ROW()-36,COLUMN()*2-3))</f>
        <v/>
      </c>
      <c r="G51" t="str" cm="1">
        <f>IF(ISBLANK(INDEX(Array_StationaryChargeData,ROW()-36,COLUMN()*2-3)),"",INDEX(Array_StationaryChargeData,ROW()-36,COLUMN()*2-3))</f>
        <v/>
      </c>
      <c r="H51" t="str" cm="1">
        <f>IF(ISBLANK(INDEX(Array_StationaryChargeData,ROW()-36,COLUMN()*2-3)),"",INDEX(Array_StationaryChargeData,ROW()-36,COLUMN()*2-3))</f>
        <v/>
      </c>
      <c r="I51" t="str" cm="1">
        <f>IF(ISBLANK(INDEX(Array_StationaryChargeData,ROW()-36,COLUMN()*2-3)),"",INDEX(Array_StationaryChargeData,ROW()-36,COLUMN()*2-3))</f>
        <v/>
      </c>
      <c r="J51" t="str" cm="1">
        <f>IF(ISBLANK(INDEX(Array_StationaryChargeData,ROW()-36,COLUMN()*2-3)),"",INDEX(Array_StationaryChargeData,ROW()-36,COLUMN()*2-3))</f>
        <v/>
      </c>
      <c r="K51" t="str" cm="1">
        <f>IF(ISBLANK(INDEX(Array_StationaryChargeData,ROW()-36,COLUMN()*2-3)),"",INDEX(Array_StationaryChargeData,ROW()-36,COLUMN()*2-3))</f>
        <v/>
      </c>
      <c r="L51" t="str" cm="1">
        <f>IF(ISBLANK(INDEX(Array_StationaryChargeData,ROW()-36,COLUMN()*2-3)),"",INDEX(Array_StationaryChargeData,ROW()-36,COLUMN()*2-3))</f>
        <v/>
      </c>
      <c r="M51" t="str" cm="1">
        <f>IF(ISBLANK(INDEX(Array_StationaryChargeData,ROW()-36,COLUMN()*2-3)),"",INDEX(Array_StationaryChargeData,ROW()-36,COLUMN()*2-3))</f>
        <v/>
      </c>
      <c r="N51" t="str" cm="1">
        <f>IF(ISBLANK(INDEX(Array_StationaryChargeData,ROW()-36,COLUMN()*2-3)),"",INDEX(Array_StationaryChargeData,ROW()-36,COLUMN()*2-3))</f>
        <v/>
      </c>
      <c r="O51" t="str" cm="1">
        <f>IF(ISBLANK(INDEX(Array_StationaryChargeData,ROW()-36,COLUMN()*2-3)),"",INDEX(Array_StationaryChargeData,ROW()-36,COLUMN()*2-3))</f>
        <v/>
      </c>
      <c r="P51" t="str" cm="1">
        <f>IF(ISBLANK(INDEX(Array_StationaryChargeData,ROW()-36,COLUMN()*2-3)),"",INDEX(Array_StationaryChargeData,ROW()-36,COLUMN()*2-3))</f>
        <v/>
      </c>
    </row>
    <row r="52" spans="1:16" x14ac:dyDescent="0.35">
      <c r="A52" t="str">
        <f>IF('Stationary Fuel Meters'!B18="",A51,'Stationary Fuel Meters'!B18)</f>
        <v>Meter Numbers</v>
      </c>
      <c r="B52" t="str" cm="1">
        <f>IF(ISBLANK(INDEX(Array_StationaryChargeData,ROW()-36,COLUMN()*2-3)),"",INDEX(Array_StationaryChargeData,ROW()-36,COLUMN()*2-3))</f>
        <v/>
      </c>
      <c r="C52" t="str" cm="1">
        <f>IF(ISBLANK(INDEX(Array_StationaryChargeData,ROW()-36,COLUMN()*2-3)),"",INDEX(Array_StationaryChargeData,ROW()-36,COLUMN()*2-3))</f>
        <v/>
      </c>
      <c r="D52" t="str" cm="1">
        <f>IF(ISBLANK(INDEX(Array_StationaryChargeData,ROW()-36,COLUMN()*2-3)),"",INDEX(Array_StationaryChargeData,ROW()-36,COLUMN()*2-3))</f>
        <v/>
      </c>
      <c r="E52" t="str" cm="1">
        <f>IF(ISBLANK(INDEX(Array_StationaryChargeData,ROW()-36,COLUMN()*2-3)),"",INDEX(Array_StationaryChargeData,ROW()-36,COLUMN()*2-3))</f>
        <v/>
      </c>
      <c r="F52" t="str" cm="1">
        <f>IF(ISBLANK(INDEX(Array_StationaryChargeData,ROW()-36,COLUMN()*2-3)),"",INDEX(Array_StationaryChargeData,ROW()-36,COLUMN()*2-3))</f>
        <v/>
      </c>
      <c r="G52" t="str" cm="1">
        <f>IF(ISBLANK(INDEX(Array_StationaryChargeData,ROW()-36,COLUMN()*2-3)),"",INDEX(Array_StationaryChargeData,ROW()-36,COLUMN()*2-3))</f>
        <v/>
      </c>
      <c r="H52" t="str" cm="1">
        <f>IF(ISBLANK(INDEX(Array_StationaryChargeData,ROW()-36,COLUMN()*2-3)),"",INDEX(Array_StationaryChargeData,ROW()-36,COLUMN()*2-3))</f>
        <v/>
      </c>
      <c r="I52" t="str" cm="1">
        <f>IF(ISBLANK(INDEX(Array_StationaryChargeData,ROW()-36,COLUMN()*2-3)),"",INDEX(Array_StationaryChargeData,ROW()-36,COLUMN()*2-3))</f>
        <v/>
      </c>
      <c r="J52" t="str" cm="1">
        <f>IF(ISBLANK(INDEX(Array_StationaryChargeData,ROW()-36,COLUMN()*2-3)),"",INDEX(Array_StationaryChargeData,ROW()-36,COLUMN()*2-3))</f>
        <v/>
      </c>
      <c r="K52" t="str" cm="1">
        <f>IF(ISBLANK(INDEX(Array_StationaryChargeData,ROW()-36,COLUMN()*2-3)),"",INDEX(Array_StationaryChargeData,ROW()-36,COLUMN()*2-3))</f>
        <v/>
      </c>
      <c r="L52" t="str" cm="1">
        <f>IF(ISBLANK(INDEX(Array_StationaryChargeData,ROW()-36,COLUMN()*2-3)),"",INDEX(Array_StationaryChargeData,ROW()-36,COLUMN()*2-3))</f>
        <v/>
      </c>
      <c r="M52" t="str" cm="1">
        <f>IF(ISBLANK(INDEX(Array_StationaryChargeData,ROW()-36,COLUMN()*2-3)),"",INDEX(Array_StationaryChargeData,ROW()-36,COLUMN()*2-3))</f>
        <v/>
      </c>
      <c r="N52" t="str" cm="1">
        <f>IF(ISBLANK(INDEX(Array_StationaryChargeData,ROW()-36,COLUMN()*2-3)),"",INDEX(Array_StationaryChargeData,ROW()-36,COLUMN()*2-3))</f>
        <v/>
      </c>
      <c r="O52" t="str" cm="1">
        <f>IF(ISBLANK(INDEX(Array_StationaryChargeData,ROW()-36,COLUMN()*2-3)),"",INDEX(Array_StationaryChargeData,ROW()-36,COLUMN()*2-3))</f>
        <v/>
      </c>
      <c r="P52" t="str" cm="1">
        <f>IF(ISBLANK(INDEX(Array_StationaryChargeData,ROW()-36,COLUMN()*2-3)),"",INDEX(Array_StationaryChargeData,ROW()-36,COLUMN()*2-3))</f>
        <v/>
      </c>
    </row>
    <row r="53" spans="1:16" x14ac:dyDescent="0.35">
      <c r="A53" t="str">
        <f>IF('Stationary Fuel Meters'!B19="",A52,'Stationary Fuel Meters'!B19)</f>
        <v>Meter Numbers</v>
      </c>
      <c r="B53" t="str" cm="1">
        <f>IF(ISBLANK(INDEX(Array_StationaryChargeData,ROW()-36,COLUMN()*2-3)),"",INDEX(Array_StationaryChargeData,ROW()-36,COLUMN()*2-3))</f>
        <v/>
      </c>
      <c r="C53" t="str" cm="1">
        <f>IF(ISBLANK(INDEX(Array_StationaryChargeData,ROW()-36,COLUMN()*2-3)),"",INDEX(Array_StationaryChargeData,ROW()-36,COLUMN()*2-3))</f>
        <v/>
      </c>
      <c r="D53" t="str" cm="1">
        <f>IF(ISBLANK(INDEX(Array_StationaryChargeData,ROW()-36,COLUMN()*2-3)),"",INDEX(Array_StationaryChargeData,ROW()-36,COLUMN()*2-3))</f>
        <v/>
      </c>
      <c r="E53" t="str" cm="1">
        <f>IF(ISBLANK(INDEX(Array_StationaryChargeData,ROW()-36,COLUMN()*2-3)),"",INDEX(Array_StationaryChargeData,ROW()-36,COLUMN()*2-3))</f>
        <v/>
      </c>
      <c r="F53" t="str" cm="1">
        <f>IF(ISBLANK(INDEX(Array_StationaryChargeData,ROW()-36,COLUMN()*2-3)),"",INDEX(Array_StationaryChargeData,ROW()-36,COLUMN()*2-3))</f>
        <v/>
      </c>
      <c r="G53" t="str" cm="1">
        <f>IF(ISBLANK(INDEX(Array_StationaryChargeData,ROW()-36,COLUMN()*2-3)),"",INDEX(Array_StationaryChargeData,ROW()-36,COLUMN()*2-3))</f>
        <v/>
      </c>
      <c r="H53" t="str" cm="1">
        <f>IF(ISBLANK(INDEX(Array_StationaryChargeData,ROW()-36,COLUMN()*2-3)),"",INDEX(Array_StationaryChargeData,ROW()-36,COLUMN()*2-3))</f>
        <v/>
      </c>
      <c r="I53" t="str" cm="1">
        <f>IF(ISBLANK(INDEX(Array_StationaryChargeData,ROW()-36,COLUMN()*2-3)),"",INDEX(Array_StationaryChargeData,ROW()-36,COLUMN()*2-3))</f>
        <v/>
      </c>
      <c r="J53" t="str" cm="1">
        <f>IF(ISBLANK(INDEX(Array_StationaryChargeData,ROW()-36,COLUMN()*2-3)),"",INDEX(Array_StationaryChargeData,ROW()-36,COLUMN()*2-3))</f>
        <v/>
      </c>
      <c r="K53" t="str" cm="1">
        <f>IF(ISBLANK(INDEX(Array_StationaryChargeData,ROW()-36,COLUMN()*2-3)),"",INDEX(Array_StationaryChargeData,ROW()-36,COLUMN()*2-3))</f>
        <v/>
      </c>
      <c r="L53" t="str" cm="1">
        <f>IF(ISBLANK(INDEX(Array_StationaryChargeData,ROW()-36,COLUMN()*2-3)),"",INDEX(Array_StationaryChargeData,ROW()-36,COLUMN()*2-3))</f>
        <v/>
      </c>
      <c r="M53" t="str" cm="1">
        <f>IF(ISBLANK(INDEX(Array_StationaryChargeData,ROW()-36,COLUMN()*2-3)),"",INDEX(Array_StationaryChargeData,ROW()-36,COLUMN()*2-3))</f>
        <v/>
      </c>
      <c r="N53" t="str" cm="1">
        <f>IF(ISBLANK(INDEX(Array_StationaryChargeData,ROW()-36,COLUMN()*2-3)),"",INDEX(Array_StationaryChargeData,ROW()-36,COLUMN()*2-3))</f>
        <v/>
      </c>
      <c r="O53" t="str" cm="1">
        <f>IF(ISBLANK(INDEX(Array_StationaryChargeData,ROW()-36,COLUMN()*2-3)),"",INDEX(Array_StationaryChargeData,ROW()-36,COLUMN()*2-3))</f>
        <v/>
      </c>
      <c r="P53" t="str" cm="1">
        <f>IF(ISBLANK(INDEX(Array_StationaryChargeData,ROW()-36,COLUMN()*2-3)),"",INDEX(Array_StationaryChargeData,ROW()-36,COLUMN()*2-3))</f>
        <v/>
      </c>
    </row>
    <row r="54" spans="1:16" x14ac:dyDescent="0.35">
      <c r="A54" t="str">
        <f>IF('Stationary Fuel Meters'!B20="",A53,'Stationary Fuel Meters'!B20)</f>
        <v>Meter Numbers</v>
      </c>
      <c r="B54" t="str" cm="1">
        <f>IF(ISBLANK(INDEX(Array_StationaryChargeData,ROW()-36,COLUMN()*2-3)),"",INDEX(Array_StationaryChargeData,ROW()-36,COLUMN()*2-3))</f>
        <v/>
      </c>
      <c r="C54" t="str" cm="1">
        <f>IF(ISBLANK(INDEX(Array_StationaryChargeData,ROW()-36,COLUMN()*2-3)),"",INDEX(Array_StationaryChargeData,ROW()-36,COLUMN()*2-3))</f>
        <v/>
      </c>
      <c r="D54" t="str" cm="1">
        <f>IF(ISBLANK(INDEX(Array_StationaryChargeData,ROW()-36,COLUMN()*2-3)),"",INDEX(Array_StationaryChargeData,ROW()-36,COLUMN()*2-3))</f>
        <v/>
      </c>
      <c r="E54" t="str" cm="1">
        <f>IF(ISBLANK(INDEX(Array_StationaryChargeData,ROW()-36,COLUMN()*2-3)),"",INDEX(Array_StationaryChargeData,ROW()-36,COLUMN()*2-3))</f>
        <v/>
      </c>
      <c r="F54" t="str" cm="1">
        <f>IF(ISBLANK(INDEX(Array_StationaryChargeData,ROW()-36,COLUMN()*2-3)),"",INDEX(Array_StationaryChargeData,ROW()-36,COLUMN()*2-3))</f>
        <v/>
      </c>
      <c r="G54" t="str" cm="1">
        <f>IF(ISBLANK(INDEX(Array_StationaryChargeData,ROW()-36,COLUMN()*2-3)),"",INDEX(Array_StationaryChargeData,ROW()-36,COLUMN()*2-3))</f>
        <v/>
      </c>
      <c r="H54" t="str" cm="1">
        <f>IF(ISBLANK(INDEX(Array_StationaryChargeData,ROW()-36,COLUMN()*2-3)),"",INDEX(Array_StationaryChargeData,ROW()-36,COLUMN()*2-3))</f>
        <v/>
      </c>
      <c r="I54" t="str" cm="1">
        <f>IF(ISBLANK(INDEX(Array_StationaryChargeData,ROW()-36,COLUMN()*2-3)),"",INDEX(Array_StationaryChargeData,ROW()-36,COLUMN()*2-3))</f>
        <v/>
      </c>
      <c r="J54" t="str" cm="1">
        <f>IF(ISBLANK(INDEX(Array_StationaryChargeData,ROW()-36,COLUMN()*2-3)),"",INDEX(Array_StationaryChargeData,ROW()-36,COLUMN()*2-3))</f>
        <v/>
      </c>
      <c r="K54" t="str" cm="1">
        <f>IF(ISBLANK(INDEX(Array_StationaryChargeData,ROW()-36,COLUMN()*2-3)),"",INDEX(Array_StationaryChargeData,ROW()-36,COLUMN()*2-3))</f>
        <v/>
      </c>
      <c r="L54" t="str" cm="1">
        <f>IF(ISBLANK(INDEX(Array_StationaryChargeData,ROW()-36,COLUMN()*2-3)),"",INDEX(Array_StationaryChargeData,ROW()-36,COLUMN()*2-3))</f>
        <v/>
      </c>
      <c r="M54" t="str" cm="1">
        <f>IF(ISBLANK(INDEX(Array_StationaryChargeData,ROW()-36,COLUMN()*2-3)),"",INDEX(Array_StationaryChargeData,ROW()-36,COLUMN()*2-3))</f>
        <v/>
      </c>
      <c r="N54" t="str" cm="1">
        <f>IF(ISBLANK(INDEX(Array_StationaryChargeData,ROW()-36,COLUMN()*2-3)),"",INDEX(Array_StationaryChargeData,ROW()-36,COLUMN()*2-3))</f>
        <v/>
      </c>
      <c r="O54" t="str" cm="1">
        <f>IF(ISBLANK(INDEX(Array_StationaryChargeData,ROW()-36,COLUMN()*2-3)),"",INDEX(Array_StationaryChargeData,ROW()-36,COLUMN()*2-3))</f>
        <v/>
      </c>
      <c r="P54" t="str" cm="1">
        <f>IF(ISBLANK(INDEX(Array_StationaryChargeData,ROW()-36,COLUMN()*2-3)),"",INDEX(Array_StationaryChargeData,ROW()-36,COLUMN()*2-3))</f>
        <v/>
      </c>
    </row>
    <row r="55" spans="1:16" x14ac:dyDescent="0.35">
      <c r="A55" t="str">
        <f>IF('Stationary Fuel Meters'!B21="",A54,'Stationary Fuel Meters'!B21)</f>
        <v>Meter Numbers</v>
      </c>
      <c r="B55" t="str" cm="1">
        <f>IF(ISBLANK(INDEX(Array_StationaryChargeData,ROW()-36,COLUMN()*2-3)),"",INDEX(Array_StationaryChargeData,ROW()-36,COLUMN()*2-3))</f>
        <v/>
      </c>
      <c r="C55" t="str" cm="1">
        <f>IF(ISBLANK(INDEX(Array_StationaryChargeData,ROW()-36,COLUMN()*2-3)),"",INDEX(Array_StationaryChargeData,ROW()-36,COLUMN()*2-3))</f>
        <v/>
      </c>
      <c r="D55" t="str" cm="1">
        <f>IF(ISBLANK(INDEX(Array_StationaryChargeData,ROW()-36,COLUMN()*2-3)),"",INDEX(Array_StationaryChargeData,ROW()-36,COLUMN()*2-3))</f>
        <v/>
      </c>
      <c r="E55" t="str" cm="1">
        <f>IF(ISBLANK(INDEX(Array_StationaryChargeData,ROW()-36,COLUMN()*2-3)),"",INDEX(Array_StationaryChargeData,ROW()-36,COLUMN()*2-3))</f>
        <v/>
      </c>
      <c r="F55" t="str" cm="1">
        <f>IF(ISBLANK(INDEX(Array_StationaryChargeData,ROW()-36,COLUMN()*2-3)),"",INDEX(Array_StationaryChargeData,ROW()-36,COLUMN()*2-3))</f>
        <v/>
      </c>
      <c r="G55" t="str" cm="1">
        <f>IF(ISBLANK(INDEX(Array_StationaryChargeData,ROW()-36,COLUMN()*2-3)),"",INDEX(Array_StationaryChargeData,ROW()-36,COLUMN()*2-3))</f>
        <v/>
      </c>
      <c r="H55" t="str" cm="1">
        <f>IF(ISBLANK(INDEX(Array_StationaryChargeData,ROW()-36,COLUMN()*2-3)),"",INDEX(Array_StationaryChargeData,ROW()-36,COLUMN()*2-3))</f>
        <v/>
      </c>
      <c r="I55" t="str" cm="1">
        <f>IF(ISBLANK(INDEX(Array_StationaryChargeData,ROW()-36,COLUMN()*2-3)),"",INDEX(Array_StationaryChargeData,ROW()-36,COLUMN()*2-3))</f>
        <v/>
      </c>
      <c r="J55" t="str" cm="1">
        <f>IF(ISBLANK(INDEX(Array_StationaryChargeData,ROW()-36,COLUMN()*2-3)),"",INDEX(Array_StationaryChargeData,ROW()-36,COLUMN()*2-3))</f>
        <v/>
      </c>
      <c r="K55" t="str" cm="1">
        <f>IF(ISBLANK(INDEX(Array_StationaryChargeData,ROW()-36,COLUMN()*2-3)),"",INDEX(Array_StationaryChargeData,ROW()-36,COLUMN()*2-3))</f>
        <v/>
      </c>
      <c r="L55" t="str" cm="1">
        <f>IF(ISBLANK(INDEX(Array_StationaryChargeData,ROW()-36,COLUMN()*2-3)),"",INDEX(Array_StationaryChargeData,ROW()-36,COLUMN()*2-3))</f>
        <v/>
      </c>
      <c r="M55" t="str" cm="1">
        <f>IF(ISBLANK(INDEX(Array_StationaryChargeData,ROW()-36,COLUMN()*2-3)),"",INDEX(Array_StationaryChargeData,ROW()-36,COLUMN()*2-3))</f>
        <v/>
      </c>
      <c r="N55" t="str" cm="1">
        <f>IF(ISBLANK(INDEX(Array_StationaryChargeData,ROW()-36,COLUMN()*2-3)),"",INDEX(Array_StationaryChargeData,ROW()-36,COLUMN()*2-3))</f>
        <v/>
      </c>
      <c r="O55" t="str" cm="1">
        <f>IF(ISBLANK(INDEX(Array_StationaryChargeData,ROW()-36,COLUMN()*2-3)),"",INDEX(Array_StationaryChargeData,ROW()-36,COLUMN()*2-3))</f>
        <v/>
      </c>
      <c r="P55" t="str" cm="1">
        <f>IF(ISBLANK(INDEX(Array_StationaryChargeData,ROW()-36,COLUMN()*2-3)),"",INDEX(Array_StationaryChargeData,ROW()-36,COLUMN()*2-3))</f>
        <v/>
      </c>
    </row>
    <row r="56" spans="1:16" x14ac:dyDescent="0.35">
      <c r="A56" t="str">
        <f>IF('Stationary Fuel Meters'!B22="",A55,'Stationary Fuel Meters'!B22)</f>
        <v>Meter Numbers</v>
      </c>
      <c r="B56" t="str" cm="1">
        <f>IF(ISBLANK(INDEX(Array_StationaryChargeData,ROW()-36,COLUMN()*2-3)),"",INDEX(Array_StationaryChargeData,ROW()-36,COLUMN()*2-3))</f>
        <v/>
      </c>
      <c r="C56" t="str" cm="1">
        <f>IF(ISBLANK(INDEX(Array_StationaryChargeData,ROW()-36,COLUMN()*2-3)),"",INDEX(Array_StationaryChargeData,ROW()-36,COLUMN()*2-3))</f>
        <v/>
      </c>
      <c r="D56" t="str" cm="1">
        <f>IF(ISBLANK(INDEX(Array_StationaryChargeData,ROW()-36,COLUMN()*2-3)),"",INDEX(Array_StationaryChargeData,ROW()-36,COLUMN()*2-3))</f>
        <v/>
      </c>
      <c r="E56" t="str" cm="1">
        <f>IF(ISBLANK(INDEX(Array_StationaryChargeData,ROW()-36,COLUMN()*2-3)),"",INDEX(Array_StationaryChargeData,ROW()-36,COLUMN()*2-3))</f>
        <v/>
      </c>
      <c r="F56" t="str" cm="1">
        <f>IF(ISBLANK(INDEX(Array_StationaryChargeData,ROW()-36,COLUMN()*2-3)),"",INDEX(Array_StationaryChargeData,ROW()-36,COLUMN()*2-3))</f>
        <v/>
      </c>
      <c r="G56" t="str" cm="1">
        <f>IF(ISBLANK(INDEX(Array_StationaryChargeData,ROW()-36,COLUMN()*2-3)),"",INDEX(Array_StationaryChargeData,ROW()-36,COLUMN()*2-3))</f>
        <v/>
      </c>
      <c r="H56" t="str" cm="1">
        <f>IF(ISBLANK(INDEX(Array_StationaryChargeData,ROW()-36,COLUMN()*2-3)),"",INDEX(Array_StationaryChargeData,ROW()-36,COLUMN()*2-3))</f>
        <v/>
      </c>
      <c r="I56" t="str" cm="1">
        <f>IF(ISBLANK(INDEX(Array_StationaryChargeData,ROW()-36,COLUMN()*2-3)),"",INDEX(Array_StationaryChargeData,ROW()-36,COLUMN()*2-3))</f>
        <v/>
      </c>
      <c r="J56" t="str" cm="1">
        <f>IF(ISBLANK(INDEX(Array_StationaryChargeData,ROW()-36,COLUMN()*2-3)),"",INDEX(Array_StationaryChargeData,ROW()-36,COLUMN()*2-3))</f>
        <v/>
      </c>
      <c r="K56" t="str" cm="1">
        <f>IF(ISBLANK(INDEX(Array_StationaryChargeData,ROW()-36,COLUMN()*2-3)),"",INDEX(Array_StationaryChargeData,ROW()-36,COLUMN()*2-3))</f>
        <v/>
      </c>
      <c r="L56" t="str" cm="1">
        <f>IF(ISBLANK(INDEX(Array_StationaryChargeData,ROW()-36,COLUMN()*2-3)),"",INDEX(Array_StationaryChargeData,ROW()-36,COLUMN()*2-3))</f>
        <v/>
      </c>
      <c r="M56" t="str" cm="1">
        <f>IF(ISBLANK(INDEX(Array_StationaryChargeData,ROW()-36,COLUMN()*2-3)),"",INDEX(Array_StationaryChargeData,ROW()-36,COLUMN()*2-3))</f>
        <v/>
      </c>
      <c r="N56" t="str" cm="1">
        <f>IF(ISBLANK(INDEX(Array_StationaryChargeData,ROW()-36,COLUMN()*2-3)),"",INDEX(Array_StationaryChargeData,ROW()-36,COLUMN()*2-3))</f>
        <v/>
      </c>
      <c r="O56" t="str" cm="1">
        <f>IF(ISBLANK(INDEX(Array_StationaryChargeData,ROW()-36,COLUMN()*2-3)),"",INDEX(Array_StationaryChargeData,ROW()-36,COLUMN()*2-3))</f>
        <v/>
      </c>
      <c r="P56" t="str" cm="1">
        <f>IF(ISBLANK(INDEX(Array_StationaryChargeData,ROW()-36,COLUMN()*2-3)),"",INDEX(Array_StationaryChargeData,ROW()-36,COLUMN()*2-3))</f>
        <v/>
      </c>
    </row>
    <row r="57" spans="1:16" x14ac:dyDescent="0.35">
      <c r="A57" t="str">
        <f>IF('Stationary Fuel Meters'!B23="",A56,'Stationary Fuel Meters'!B23)</f>
        <v>Meter Numbers</v>
      </c>
      <c r="B57" t="str" cm="1">
        <f>IF(ISBLANK(INDEX(Array_StationaryChargeData,ROW()-36,COLUMN()*2-3)),"",INDEX(Array_StationaryChargeData,ROW()-36,COLUMN()*2-3))</f>
        <v/>
      </c>
      <c r="C57" t="str" cm="1">
        <f>IF(ISBLANK(INDEX(Array_StationaryChargeData,ROW()-36,COLUMN()*2-3)),"",INDEX(Array_StationaryChargeData,ROW()-36,COLUMN()*2-3))</f>
        <v/>
      </c>
      <c r="D57" t="str" cm="1">
        <f>IF(ISBLANK(INDEX(Array_StationaryChargeData,ROW()-36,COLUMN()*2-3)),"",INDEX(Array_StationaryChargeData,ROW()-36,COLUMN()*2-3))</f>
        <v/>
      </c>
      <c r="E57" t="str" cm="1">
        <f>IF(ISBLANK(INDEX(Array_StationaryChargeData,ROW()-36,COLUMN()*2-3)),"",INDEX(Array_StationaryChargeData,ROW()-36,COLUMN()*2-3))</f>
        <v/>
      </c>
      <c r="F57" t="str" cm="1">
        <f>IF(ISBLANK(INDEX(Array_StationaryChargeData,ROW()-36,COLUMN()*2-3)),"",INDEX(Array_StationaryChargeData,ROW()-36,COLUMN()*2-3))</f>
        <v/>
      </c>
      <c r="G57" t="str" cm="1">
        <f>IF(ISBLANK(INDEX(Array_StationaryChargeData,ROW()-36,COLUMN()*2-3)),"",INDEX(Array_StationaryChargeData,ROW()-36,COLUMN()*2-3))</f>
        <v/>
      </c>
      <c r="H57" t="str" cm="1">
        <f>IF(ISBLANK(INDEX(Array_StationaryChargeData,ROW()-36,COLUMN()*2-3)),"",INDEX(Array_StationaryChargeData,ROW()-36,COLUMN()*2-3))</f>
        <v/>
      </c>
      <c r="I57" t="str" cm="1">
        <f>IF(ISBLANK(INDEX(Array_StationaryChargeData,ROW()-36,COLUMN()*2-3)),"",INDEX(Array_StationaryChargeData,ROW()-36,COLUMN()*2-3))</f>
        <v/>
      </c>
      <c r="J57" t="str" cm="1">
        <f>IF(ISBLANK(INDEX(Array_StationaryChargeData,ROW()-36,COLUMN()*2-3)),"",INDEX(Array_StationaryChargeData,ROW()-36,COLUMN()*2-3))</f>
        <v/>
      </c>
      <c r="K57" t="str" cm="1">
        <f>IF(ISBLANK(INDEX(Array_StationaryChargeData,ROW()-36,COLUMN()*2-3)),"",INDEX(Array_StationaryChargeData,ROW()-36,COLUMN()*2-3))</f>
        <v/>
      </c>
      <c r="L57" t="str" cm="1">
        <f>IF(ISBLANK(INDEX(Array_StationaryChargeData,ROW()-36,COLUMN()*2-3)),"",INDEX(Array_StationaryChargeData,ROW()-36,COLUMN()*2-3))</f>
        <v/>
      </c>
      <c r="M57" t="str" cm="1">
        <f>IF(ISBLANK(INDEX(Array_StationaryChargeData,ROW()-36,COLUMN()*2-3)),"",INDEX(Array_StationaryChargeData,ROW()-36,COLUMN()*2-3))</f>
        <v/>
      </c>
      <c r="N57" t="str" cm="1">
        <f>IF(ISBLANK(INDEX(Array_StationaryChargeData,ROW()-36,COLUMN()*2-3)),"",INDEX(Array_StationaryChargeData,ROW()-36,COLUMN()*2-3))</f>
        <v/>
      </c>
      <c r="O57" t="str" cm="1">
        <f>IF(ISBLANK(INDEX(Array_StationaryChargeData,ROW()-36,COLUMN()*2-3)),"",INDEX(Array_StationaryChargeData,ROW()-36,COLUMN()*2-3))</f>
        <v/>
      </c>
      <c r="P57" t="str" cm="1">
        <f>IF(ISBLANK(INDEX(Array_StationaryChargeData,ROW()-36,COLUMN()*2-3)),"",INDEX(Array_StationaryChargeData,ROW()-36,COLUMN()*2-3))</f>
        <v/>
      </c>
    </row>
    <row r="58" spans="1:16" x14ac:dyDescent="0.35">
      <c r="A58" t="str">
        <f>IF('Stationary Fuel Meters'!B24="",A57,'Stationary Fuel Meters'!B24)</f>
        <v>Meter Numbers</v>
      </c>
      <c r="B58" t="str" cm="1">
        <f>IF(ISBLANK(INDEX(Array_StationaryChargeData,ROW()-36,COLUMN()*2-3)),"",INDEX(Array_StationaryChargeData,ROW()-36,COLUMN()*2-3))</f>
        <v/>
      </c>
      <c r="C58" t="str" cm="1">
        <f>IF(ISBLANK(INDEX(Array_StationaryChargeData,ROW()-36,COLUMN()*2-3)),"",INDEX(Array_StationaryChargeData,ROW()-36,COLUMN()*2-3))</f>
        <v/>
      </c>
      <c r="D58" t="str" cm="1">
        <f>IF(ISBLANK(INDEX(Array_StationaryChargeData,ROW()-36,COLUMN()*2-3)),"",INDEX(Array_StationaryChargeData,ROW()-36,COLUMN()*2-3))</f>
        <v/>
      </c>
      <c r="E58" t="str" cm="1">
        <f>IF(ISBLANK(INDEX(Array_StationaryChargeData,ROW()-36,COLUMN()*2-3)),"",INDEX(Array_StationaryChargeData,ROW()-36,COLUMN()*2-3))</f>
        <v/>
      </c>
      <c r="F58" t="str" cm="1">
        <f>IF(ISBLANK(INDEX(Array_StationaryChargeData,ROW()-36,COLUMN()*2-3)),"",INDEX(Array_StationaryChargeData,ROW()-36,COLUMN()*2-3))</f>
        <v/>
      </c>
      <c r="G58" t="str" cm="1">
        <f>IF(ISBLANK(INDEX(Array_StationaryChargeData,ROW()-36,COLUMN()*2-3)),"",INDEX(Array_StationaryChargeData,ROW()-36,COLUMN()*2-3))</f>
        <v/>
      </c>
      <c r="H58" t="str" cm="1">
        <f>IF(ISBLANK(INDEX(Array_StationaryChargeData,ROW()-36,COLUMN()*2-3)),"",INDEX(Array_StationaryChargeData,ROW()-36,COLUMN()*2-3))</f>
        <v/>
      </c>
      <c r="I58" t="str" cm="1">
        <f>IF(ISBLANK(INDEX(Array_StationaryChargeData,ROW()-36,COLUMN()*2-3)),"",INDEX(Array_StationaryChargeData,ROW()-36,COLUMN()*2-3))</f>
        <v/>
      </c>
      <c r="J58" t="str" cm="1">
        <f>IF(ISBLANK(INDEX(Array_StationaryChargeData,ROW()-36,COLUMN()*2-3)),"",INDEX(Array_StationaryChargeData,ROW()-36,COLUMN()*2-3))</f>
        <v/>
      </c>
      <c r="K58" t="str" cm="1">
        <f>IF(ISBLANK(INDEX(Array_StationaryChargeData,ROW()-36,COLUMN()*2-3)),"",INDEX(Array_StationaryChargeData,ROW()-36,COLUMN()*2-3))</f>
        <v/>
      </c>
      <c r="L58" t="str" cm="1">
        <f>IF(ISBLANK(INDEX(Array_StationaryChargeData,ROW()-36,COLUMN()*2-3)),"",INDEX(Array_StationaryChargeData,ROW()-36,COLUMN()*2-3))</f>
        <v/>
      </c>
      <c r="M58" t="str" cm="1">
        <f>IF(ISBLANK(INDEX(Array_StationaryChargeData,ROW()-36,COLUMN()*2-3)),"",INDEX(Array_StationaryChargeData,ROW()-36,COLUMN()*2-3))</f>
        <v/>
      </c>
      <c r="N58" t="str" cm="1">
        <f>IF(ISBLANK(INDEX(Array_StationaryChargeData,ROW()-36,COLUMN()*2-3)),"",INDEX(Array_StationaryChargeData,ROW()-36,COLUMN()*2-3))</f>
        <v/>
      </c>
      <c r="O58" t="str" cm="1">
        <f>IF(ISBLANK(INDEX(Array_StationaryChargeData,ROW()-36,COLUMN()*2-3)),"",INDEX(Array_StationaryChargeData,ROW()-36,COLUMN()*2-3))</f>
        <v/>
      </c>
      <c r="P58" t="str" cm="1">
        <f>IF(ISBLANK(INDEX(Array_StationaryChargeData,ROW()-36,COLUMN()*2-3)),"",INDEX(Array_StationaryChargeData,ROW()-36,COLUMN()*2-3))</f>
        <v/>
      </c>
    </row>
    <row r="59" spans="1:16" x14ac:dyDescent="0.35">
      <c r="A59" t="str">
        <f>IF('Stationary Fuel Meters'!B25="",A58,'Stationary Fuel Meters'!B25)</f>
        <v>Meter Numbers</v>
      </c>
      <c r="B59" t="str" cm="1">
        <f>IF(ISBLANK(INDEX(Array_StationaryChargeData,ROW()-36,COLUMN()*2-3)),"",INDEX(Array_StationaryChargeData,ROW()-36,COLUMN()*2-3))</f>
        <v/>
      </c>
      <c r="C59" t="str" cm="1">
        <f>IF(ISBLANK(INDEX(Array_StationaryChargeData,ROW()-36,COLUMN()*2-3)),"",INDEX(Array_StationaryChargeData,ROW()-36,COLUMN()*2-3))</f>
        <v/>
      </c>
      <c r="D59" t="str" cm="1">
        <f>IF(ISBLANK(INDEX(Array_StationaryChargeData,ROW()-36,COLUMN()*2-3)),"",INDEX(Array_StationaryChargeData,ROW()-36,COLUMN()*2-3))</f>
        <v/>
      </c>
      <c r="E59" t="str" cm="1">
        <f>IF(ISBLANK(INDEX(Array_StationaryChargeData,ROW()-36,COLUMN()*2-3)),"",INDEX(Array_StationaryChargeData,ROW()-36,COLUMN()*2-3))</f>
        <v/>
      </c>
      <c r="F59" t="str" cm="1">
        <f>IF(ISBLANK(INDEX(Array_StationaryChargeData,ROW()-36,COLUMN()*2-3)),"",INDEX(Array_StationaryChargeData,ROW()-36,COLUMN()*2-3))</f>
        <v/>
      </c>
      <c r="G59" t="str" cm="1">
        <f>IF(ISBLANK(INDEX(Array_StationaryChargeData,ROW()-36,COLUMN()*2-3)),"",INDEX(Array_StationaryChargeData,ROW()-36,COLUMN()*2-3))</f>
        <v/>
      </c>
      <c r="H59" t="str" cm="1">
        <f>IF(ISBLANK(INDEX(Array_StationaryChargeData,ROW()-36,COLUMN()*2-3)),"",INDEX(Array_StationaryChargeData,ROW()-36,COLUMN()*2-3))</f>
        <v/>
      </c>
      <c r="I59" t="str" cm="1">
        <f>IF(ISBLANK(INDEX(Array_StationaryChargeData,ROW()-36,COLUMN()*2-3)),"",INDEX(Array_StationaryChargeData,ROW()-36,COLUMN()*2-3))</f>
        <v/>
      </c>
      <c r="J59" t="str" cm="1">
        <f>IF(ISBLANK(INDEX(Array_StationaryChargeData,ROW()-36,COLUMN()*2-3)),"",INDEX(Array_StationaryChargeData,ROW()-36,COLUMN()*2-3))</f>
        <v/>
      </c>
      <c r="K59" t="str" cm="1">
        <f>IF(ISBLANK(INDEX(Array_StationaryChargeData,ROW()-36,COLUMN()*2-3)),"",INDEX(Array_StationaryChargeData,ROW()-36,COLUMN()*2-3))</f>
        <v/>
      </c>
      <c r="L59" t="str" cm="1">
        <f>IF(ISBLANK(INDEX(Array_StationaryChargeData,ROW()-36,COLUMN()*2-3)),"",INDEX(Array_StationaryChargeData,ROW()-36,COLUMN()*2-3))</f>
        <v/>
      </c>
      <c r="M59" t="str" cm="1">
        <f>IF(ISBLANK(INDEX(Array_StationaryChargeData,ROW()-36,COLUMN()*2-3)),"",INDEX(Array_StationaryChargeData,ROW()-36,COLUMN()*2-3))</f>
        <v/>
      </c>
      <c r="N59" t="str" cm="1">
        <f>IF(ISBLANK(INDEX(Array_StationaryChargeData,ROW()-36,COLUMN()*2-3)),"",INDEX(Array_StationaryChargeData,ROW()-36,COLUMN()*2-3))</f>
        <v/>
      </c>
      <c r="O59" t="str" cm="1">
        <f>IF(ISBLANK(INDEX(Array_StationaryChargeData,ROW()-36,COLUMN()*2-3)),"",INDEX(Array_StationaryChargeData,ROW()-36,COLUMN()*2-3))</f>
        <v/>
      </c>
      <c r="P59" t="str" cm="1">
        <f>IF(ISBLANK(INDEX(Array_StationaryChargeData,ROW()-36,COLUMN()*2-3)),"",INDEX(Array_StationaryChargeData,ROW()-36,COLUMN()*2-3))</f>
        <v/>
      </c>
    </row>
    <row r="60" spans="1:16" x14ac:dyDescent="0.35">
      <c r="A60" t="str">
        <f>IF('Stationary Fuel Meters'!B26="",A59,'Stationary Fuel Meters'!B26)</f>
        <v>Meter Numbers</v>
      </c>
      <c r="B60" t="str" cm="1">
        <f>IF(ISBLANK(INDEX(Array_StationaryChargeData,ROW()-36,COLUMN()*2-3)),"",INDEX(Array_StationaryChargeData,ROW()-36,COLUMN()*2-3))</f>
        <v/>
      </c>
      <c r="C60" t="str" cm="1">
        <f>IF(ISBLANK(INDEX(Array_StationaryChargeData,ROW()-36,COLUMN()*2-3)),"",INDEX(Array_StationaryChargeData,ROW()-36,COLUMN()*2-3))</f>
        <v/>
      </c>
      <c r="D60" t="str" cm="1">
        <f>IF(ISBLANK(INDEX(Array_StationaryChargeData,ROW()-36,COLUMN()*2-3)),"",INDEX(Array_StationaryChargeData,ROW()-36,COLUMN()*2-3))</f>
        <v/>
      </c>
      <c r="E60" t="str" cm="1">
        <f>IF(ISBLANK(INDEX(Array_StationaryChargeData,ROW()-36,COLUMN()*2-3)),"",INDEX(Array_StationaryChargeData,ROW()-36,COLUMN()*2-3))</f>
        <v/>
      </c>
      <c r="F60" t="str" cm="1">
        <f>IF(ISBLANK(INDEX(Array_StationaryChargeData,ROW()-36,COLUMN()*2-3)),"",INDEX(Array_StationaryChargeData,ROW()-36,COLUMN()*2-3))</f>
        <v/>
      </c>
      <c r="G60" t="str" cm="1">
        <f>IF(ISBLANK(INDEX(Array_StationaryChargeData,ROW()-36,COLUMN()*2-3)),"",INDEX(Array_StationaryChargeData,ROW()-36,COLUMN()*2-3))</f>
        <v/>
      </c>
      <c r="H60" t="str" cm="1">
        <f>IF(ISBLANK(INDEX(Array_StationaryChargeData,ROW()-36,COLUMN()*2-3)),"",INDEX(Array_StationaryChargeData,ROW()-36,COLUMN()*2-3))</f>
        <v/>
      </c>
      <c r="I60" t="str" cm="1">
        <f>IF(ISBLANK(INDEX(Array_StationaryChargeData,ROW()-36,COLUMN()*2-3)),"",INDEX(Array_StationaryChargeData,ROW()-36,COLUMN()*2-3))</f>
        <v/>
      </c>
      <c r="J60" t="str" cm="1">
        <f>IF(ISBLANK(INDEX(Array_StationaryChargeData,ROW()-36,COLUMN()*2-3)),"",INDEX(Array_StationaryChargeData,ROW()-36,COLUMN()*2-3))</f>
        <v/>
      </c>
      <c r="K60" t="str" cm="1">
        <f>IF(ISBLANK(INDEX(Array_StationaryChargeData,ROW()-36,COLUMN()*2-3)),"",INDEX(Array_StationaryChargeData,ROW()-36,COLUMN()*2-3))</f>
        <v/>
      </c>
      <c r="L60" t="str" cm="1">
        <f>IF(ISBLANK(INDEX(Array_StationaryChargeData,ROW()-36,COLUMN()*2-3)),"",INDEX(Array_StationaryChargeData,ROW()-36,COLUMN()*2-3))</f>
        <v/>
      </c>
      <c r="M60" t="str" cm="1">
        <f>IF(ISBLANK(INDEX(Array_StationaryChargeData,ROW()-36,COLUMN()*2-3)),"",INDEX(Array_StationaryChargeData,ROW()-36,COLUMN()*2-3))</f>
        <v/>
      </c>
      <c r="N60" t="str" cm="1">
        <f>IF(ISBLANK(INDEX(Array_StationaryChargeData,ROW()-36,COLUMN()*2-3)),"",INDEX(Array_StationaryChargeData,ROW()-36,COLUMN()*2-3))</f>
        <v/>
      </c>
      <c r="O60" t="str" cm="1">
        <f>IF(ISBLANK(INDEX(Array_StationaryChargeData,ROW()-36,COLUMN()*2-3)),"",INDEX(Array_StationaryChargeData,ROW()-36,COLUMN()*2-3))</f>
        <v/>
      </c>
      <c r="P60" t="str" cm="1">
        <f>IF(ISBLANK(INDEX(Array_StationaryChargeData,ROW()-36,COLUMN()*2-3)),"",INDEX(Array_StationaryChargeData,ROW()-36,COLUMN()*2-3))</f>
        <v/>
      </c>
    </row>
    <row r="61" spans="1:16" x14ac:dyDescent="0.35">
      <c r="A61" t="str">
        <f>IF('Stationary Fuel Meters'!B27="",A60,'Stationary Fuel Meters'!B27)</f>
        <v>Meter Numbers</v>
      </c>
      <c r="B61" t="str" cm="1">
        <f>IF(ISBLANK(INDEX(Array_StationaryChargeData,ROW()-36,COLUMN()*2-3)),"",INDEX(Array_StationaryChargeData,ROW()-36,COLUMN()*2-3))</f>
        <v/>
      </c>
      <c r="C61" t="str" cm="1">
        <f>IF(ISBLANK(INDEX(Array_StationaryChargeData,ROW()-36,COLUMN()*2-3)),"",INDEX(Array_StationaryChargeData,ROW()-36,COLUMN()*2-3))</f>
        <v/>
      </c>
      <c r="D61" t="str" cm="1">
        <f>IF(ISBLANK(INDEX(Array_StationaryChargeData,ROW()-36,COLUMN()*2-3)),"",INDEX(Array_StationaryChargeData,ROW()-36,COLUMN()*2-3))</f>
        <v/>
      </c>
      <c r="E61" t="str" cm="1">
        <f>IF(ISBLANK(INDEX(Array_StationaryChargeData,ROW()-36,COLUMN()*2-3)),"",INDEX(Array_StationaryChargeData,ROW()-36,COLUMN()*2-3))</f>
        <v/>
      </c>
      <c r="F61" t="str" cm="1">
        <f>IF(ISBLANK(INDEX(Array_StationaryChargeData,ROW()-36,COLUMN()*2-3)),"",INDEX(Array_StationaryChargeData,ROW()-36,COLUMN()*2-3))</f>
        <v/>
      </c>
      <c r="G61" t="str" cm="1">
        <f>IF(ISBLANK(INDEX(Array_StationaryChargeData,ROW()-36,COLUMN()*2-3)),"",INDEX(Array_StationaryChargeData,ROW()-36,COLUMN()*2-3))</f>
        <v/>
      </c>
      <c r="H61" t="str" cm="1">
        <f>IF(ISBLANK(INDEX(Array_StationaryChargeData,ROW()-36,COLUMN()*2-3)),"",INDEX(Array_StationaryChargeData,ROW()-36,COLUMN()*2-3))</f>
        <v/>
      </c>
      <c r="I61" t="str" cm="1">
        <f>IF(ISBLANK(INDEX(Array_StationaryChargeData,ROW()-36,COLUMN()*2-3)),"",INDEX(Array_StationaryChargeData,ROW()-36,COLUMN()*2-3))</f>
        <v/>
      </c>
      <c r="J61" t="str" cm="1">
        <f>IF(ISBLANK(INDEX(Array_StationaryChargeData,ROW()-36,COLUMN()*2-3)),"",INDEX(Array_StationaryChargeData,ROW()-36,COLUMN()*2-3))</f>
        <v/>
      </c>
      <c r="K61" t="str" cm="1">
        <f>IF(ISBLANK(INDEX(Array_StationaryChargeData,ROW()-36,COLUMN()*2-3)),"",INDEX(Array_StationaryChargeData,ROW()-36,COLUMN()*2-3))</f>
        <v/>
      </c>
      <c r="L61" t="str" cm="1">
        <f>IF(ISBLANK(INDEX(Array_StationaryChargeData,ROW()-36,COLUMN()*2-3)),"",INDEX(Array_StationaryChargeData,ROW()-36,COLUMN()*2-3))</f>
        <v/>
      </c>
      <c r="M61" t="str" cm="1">
        <f>IF(ISBLANK(INDEX(Array_StationaryChargeData,ROW()-36,COLUMN()*2-3)),"",INDEX(Array_StationaryChargeData,ROW()-36,COLUMN()*2-3))</f>
        <v/>
      </c>
      <c r="N61" t="str" cm="1">
        <f>IF(ISBLANK(INDEX(Array_StationaryChargeData,ROW()-36,COLUMN()*2-3)),"",INDEX(Array_StationaryChargeData,ROW()-36,COLUMN()*2-3))</f>
        <v/>
      </c>
      <c r="O61" t="str" cm="1">
        <f>IF(ISBLANK(INDEX(Array_StationaryChargeData,ROW()-36,COLUMN()*2-3)),"",INDEX(Array_StationaryChargeData,ROW()-36,COLUMN()*2-3))</f>
        <v/>
      </c>
      <c r="P61" t="str" cm="1">
        <f>IF(ISBLANK(INDEX(Array_StationaryChargeData,ROW()-36,COLUMN()*2-3)),"",INDEX(Array_StationaryChargeData,ROW()-36,COLUMN()*2-3))</f>
        <v/>
      </c>
    </row>
    <row r="62" spans="1:16" x14ac:dyDescent="0.35">
      <c r="A62" t="str">
        <f>IF('Stationary Fuel Meters'!B28="",A61,'Stationary Fuel Meters'!B28)</f>
        <v>Meter Numbers</v>
      </c>
      <c r="B62" t="str" cm="1">
        <f>IF(ISBLANK(INDEX(Array_StationaryChargeData,ROW()-36,COLUMN()*2-3)),"",INDEX(Array_StationaryChargeData,ROW()-36,COLUMN()*2-3))</f>
        <v/>
      </c>
      <c r="C62" t="str" cm="1">
        <f>IF(ISBLANK(INDEX(Array_StationaryChargeData,ROW()-36,COLUMN()*2-3)),"",INDEX(Array_StationaryChargeData,ROW()-36,COLUMN()*2-3))</f>
        <v/>
      </c>
      <c r="D62" t="str" cm="1">
        <f>IF(ISBLANK(INDEX(Array_StationaryChargeData,ROW()-36,COLUMN()*2-3)),"",INDEX(Array_StationaryChargeData,ROW()-36,COLUMN()*2-3))</f>
        <v/>
      </c>
      <c r="E62" t="str" cm="1">
        <f>IF(ISBLANK(INDEX(Array_StationaryChargeData,ROW()-36,COLUMN()*2-3)),"",INDEX(Array_StationaryChargeData,ROW()-36,COLUMN()*2-3))</f>
        <v/>
      </c>
      <c r="F62" t="str" cm="1">
        <f>IF(ISBLANK(INDEX(Array_StationaryChargeData,ROW()-36,COLUMN()*2-3)),"",INDEX(Array_StationaryChargeData,ROW()-36,COLUMN()*2-3))</f>
        <v/>
      </c>
      <c r="G62" t="str" cm="1">
        <f>IF(ISBLANK(INDEX(Array_StationaryChargeData,ROW()-36,COLUMN()*2-3)),"",INDEX(Array_StationaryChargeData,ROW()-36,COLUMN()*2-3))</f>
        <v/>
      </c>
      <c r="H62" t="str" cm="1">
        <f>IF(ISBLANK(INDEX(Array_StationaryChargeData,ROW()-36,COLUMN()*2-3)),"",INDEX(Array_StationaryChargeData,ROW()-36,COLUMN()*2-3))</f>
        <v/>
      </c>
      <c r="I62" t="str" cm="1">
        <f>IF(ISBLANK(INDEX(Array_StationaryChargeData,ROW()-36,COLUMN()*2-3)),"",INDEX(Array_StationaryChargeData,ROW()-36,COLUMN()*2-3))</f>
        <v/>
      </c>
      <c r="J62" t="str" cm="1">
        <f>IF(ISBLANK(INDEX(Array_StationaryChargeData,ROW()-36,COLUMN()*2-3)),"",INDEX(Array_StationaryChargeData,ROW()-36,COLUMN()*2-3))</f>
        <v/>
      </c>
      <c r="K62" t="str" cm="1">
        <f>IF(ISBLANK(INDEX(Array_StationaryChargeData,ROW()-36,COLUMN()*2-3)),"",INDEX(Array_StationaryChargeData,ROW()-36,COLUMN()*2-3))</f>
        <v/>
      </c>
      <c r="L62" t="str" cm="1">
        <f>IF(ISBLANK(INDEX(Array_StationaryChargeData,ROW()-36,COLUMN()*2-3)),"",INDEX(Array_StationaryChargeData,ROW()-36,COLUMN()*2-3))</f>
        <v/>
      </c>
      <c r="M62" t="str" cm="1">
        <f>IF(ISBLANK(INDEX(Array_StationaryChargeData,ROW()-36,COLUMN()*2-3)),"",INDEX(Array_StationaryChargeData,ROW()-36,COLUMN()*2-3))</f>
        <v/>
      </c>
      <c r="N62" t="str" cm="1">
        <f>IF(ISBLANK(INDEX(Array_StationaryChargeData,ROW()-36,COLUMN()*2-3)),"",INDEX(Array_StationaryChargeData,ROW()-36,COLUMN()*2-3))</f>
        <v/>
      </c>
      <c r="O62" t="str" cm="1">
        <f>IF(ISBLANK(INDEX(Array_StationaryChargeData,ROW()-36,COLUMN()*2-3)),"",INDEX(Array_StationaryChargeData,ROW()-36,COLUMN()*2-3))</f>
        <v/>
      </c>
      <c r="P62" t="str" cm="1">
        <f>IF(ISBLANK(INDEX(Array_StationaryChargeData,ROW()-36,COLUMN()*2-3)),"",INDEX(Array_StationaryChargeData,ROW()-36,COLUMN()*2-3))</f>
        <v/>
      </c>
    </row>
    <row r="63" spans="1:16" x14ac:dyDescent="0.35">
      <c r="A63" t="str">
        <f>IF('Stationary Fuel Meters'!B29="",A62,'Stationary Fuel Meters'!B29)</f>
        <v>Meter Numbers</v>
      </c>
      <c r="B63" t="str" cm="1">
        <f>IF(ISBLANK(INDEX(Array_StationaryChargeData,ROW()-36,COLUMN()*2-3)),"",INDEX(Array_StationaryChargeData,ROW()-36,COLUMN()*2-3))</f>
        <v/>
      </c>
      <c r="C63" t="str" cm="1">
        <f>IF(ISBLANK(INDEX(Array_StationaryChargeData,ROW()-36,COLUMN()*2-3)),"",INDEX(Array_StationaryChargeData,ROW()-36,COLUMN()*2-3))</f>
        <v/>
      </c>
      <c r="D63" t="str" cm="1">
        <f>IF(ISBLANK(INDEX(Array_StationaryChargeData,ROW()-36,COLUMN()*2-3)),"",INDEX(Array_StationaryChargeData,ROW()-36,COLUMN()*2-3))</f>
        <v/>
      </c>
      <c r="E63" t="str" cm="1">
        <f>IF(ISBLANK(INDEX(Array_StationaryChargeData,ROW()-36,COLUMN()*2-3)),"",INDEX(Array_StationaryChargeData,ROW()-36,COLUMN()*2-3))</f>
        <v/>
      </c>
      <c r="F63" t="str" cm="1">
        <f>IF(ISBLANK(INDEX(Array_StationaryChargeData,ROW()-36,COLUMN()*2-3)),"",INDEX(Array_StationaryChargeData,ROW()-36,COLUMN()*2-3))</f>
        <v/>
      </c>
      <c r="G63" t="str" cm="1">
        <f>IF(ISBLANK(INDEX(Array_StationaryChargeData,ROW()-36,COLUMN()*2-3)),"",INDEX(Array_StationaryChargeData,ROW()-36,COLUMN()*2-3))</f>
        <v/>
      </c>
      <c r="H63" t="str" cm="1">
        <f>IF(ISBLANK(INDEX(Array_StationaryChargeData,ROW()-36,COLUMN()*2-3)),"",INDEX(Array_StationaryChargeData,ROW()-36,COLUMN()*2-3))</f>
        <v/>
      </c>
      <c r="I63" t="str" cm="1">
        <f>IF(ISBLANK(INDEX(Array_StationaryChargeData,ROW()-36,COLUMN()*2-3)),"",INDEX(Array_StationaryChargeData,ROW()-36,COLUMN()*2-3))</f>
        <v/>
      </c>
      <c r="J63" t="str" cm="1">
        <f>IF(ISBLANK(INDEX(Array_StationaryChargeData,ROW()-36,COLUMN()*2-3)),"",INDEX(Array_StationaryChargeData,ROW()-36,COLUMN()*2-3))</f>
        <v/>
      </c>
      <c r="K63" t="str" cm="1">
        <f>IF(ISBLANK(INDEX(Array_StationaryChargeData,ROW()-36,COLUMN()*2-3)),"",INDEX(Array_StationaryChargeData,ROW()-36,COLUMN()*2-3))</f>
        <v/>
      </c>
      <c r="L63" t="str" cm="1">
        <f>IF(ISBLANK(INDEX(Array_StationaryChargeData,ROW()-36,COLUMN()*2-3)),"",INDEX(Array_StationaryChargeData,ROW()-36,COLUMN()*2-3))</f>
        <v/>
      </c>
      <c r="M63" t="str" cm="1">
        <f>IF(ISBLANK(INDEX(Array_StationaryChargeData,ROW()-36,COLUMN()*2-3)),"",INDEX(Array_StationaryChargeData,ROW()-36,COLUMN()*2-3))</f>
        <v/>
      </c>
      <c r="N63" t="str" cm="1">
        <f>IF(ISBLANK(INDEX(Array_StationaryChargeData,ROW()-36,COLUMN()*2-3)),"",INDEX(Array_StationaryChargeData,ROW()-36,COLUMN()*2-3))</f>
        <v/>
      </c>
      <c r="O63" t="str" cm="1">
        <f>IF(ISBLANK(INDEX(Array_StationaryChargeData,ROW()-36,COLUMN()*2-3)),"",INDEX(Array_StationaryChargeData,ROW()-36,COLUMN()*2-3))</f>
        <v/>
      </c>
      <c r="P63" t="str" cm="1">
        <f>IF(ISBLANK(INDEX(Array_StationaryChargeData,ROW()-36,COLUMN()*2-3)),"",INDEX(Array_StationaryChargeData,ROW()-36,COLUMN()*2-3))</f>
        <v/>
      </c>
    </row>
    <row r="64" spans="1:16" x14ac:dyDescent="0.35">
      <c r="A64" t="str">
        <f>IF('Stationary Fuel Meters'!B30="",A63,'Stationary Fuel Meters'!B30)</f>
        <v>Meter Numbers</v>
      </c>
      <c r="B64" t="str" cm="1">
        <f>IF(ISBLANK(INDEX(Array_StationaryChargeData,ROW()-36,COLUMN()*2-3)),"",INDEX(Array_StationaryChargeData,ROW()-36,COLUMN()*2-3))</f>
        <v/>
      </c>
      <c r="C64" t="str" cm="1">
        <f>IF(ISBLANK(INDEX(Array_StationaryChargeData,ROW()-36,COLUMN()*2-3)),"",INDEX(Array_StationaryChargeData,ROW()-36,COLUMN()*2-3))</f>
        <v/>
      </c>
      <c r="D64" t="str" cm="1">
        <f>IF(ISBLANK(INDEX(Array_StationaryChargeData,ROW()-36,COLUMN()*2-3)),"",INDEX(Array_StationaryChargeData,ROW()-36,COLUMN()*2-3))</f>
        <v/>
      </c>
      <c r="E64" t="str" cm="1">
        <f>IF(ISBLANK(INDEX(Array_StationaryChargeData,ROW()-36,COLUMN()*2-3)),"",INDEX(Array_StationaryChargeData,ROW()-36,COLUMN()*2-3))</f>
        <v/>
      </c>
      <c r="F64" t="str" cm="1">
        <f>IF(ISBLANK(INDEX(Array_StationaryChargeData,ROW()-36,COLUMN()*2-3)),"",INDEX(Array_StationaryChargeData,ROW()-36,COLUMN()*2-3))</f>
        <v/>
      </c>
      <c r="G64" t="str" cm="1">
        <f>IF(ISBLANK(INDEX(Array_StationaryChargeData,ROW()-36,COLUMN()*2-3)),"",INDEX(Array_StationaryChargeData,ROW()-36,COLUMN()*2-3))</f>
        <v/>
      </c>
      <c r="H64" t="str" cm="1">
        <f>IF(ISBLANK(INDEX(Array_StationaryChargeData,ROW()-36,COLUMN()*2-3)),"",INDEX(Array_StationaryChargeData,ROW()-36,COLUMN()*2-3))</f>
        <v/>
      </c>
      <c r="I64" t="str" cm="1">
        <f>IF(ISBLANK(INDEX(Array_StationaryChargeData,ROW()-36,COLUMN()*2-3)),"",INDEX(Array_StationaryChargeData,ROW()-36,COLUMN()*2-3))</f>
        <v/>
      </c>
      <c r="J64" t="str" cm="1">
        <f>IF(ISBLANK(INDEX(Array_StationaryChargeData,ROW()-36,COLUMN()*2-3)),"",INDEX(Array_StationaryChargeData,ROW()-36,COLUMN()*2-3))</f>
        <v/>
      </c>
      <c r="K64" t="str" cm="1">
        <f>IF(ISBLANK(INDEX(Array_StationaryChargeData,ROW()-36,COLUMN()*2-3)),"",INDEX(Array_StationaryChargeData,ROW()-36,COLUMN()*2-3))</f>
        <v/>
      </c>
      <c r="L64" t="str" cm="1">
        <f>IF(ISBLANK(INDEX(Array_StationaryChargeData,ROW()-36,COLUMN()*2-3)),"",INDEX(Array_StationaryChargeData,ROW()-36,COLUMN()*2-3))</f>
        <v/>
      </c>
      <c r="M64" t="str" cm="1">
        <f>IF(ISBLANK(INDEX(Array_StationaryChargeData,ROW()-36,COLUMN()*2-3)),"",INDEX(Array_StationaryChargeData,ROW()-36,COLUMN()*2-3))</f>
        <v/>
      </c>
      <c r="N64" t="str" cm="1">
        <f>IF(ISBLANK(INDEX(Array_StationaryChargeData,ROW()-36,COLUMN()*2-3)),"",INDEX(Array_StationaryChargeData,ROW()-36,COLUMN()*2-3))</f>
        <v/>
      </c>
      <c r="O64" t="str" cm="1">
        <f>IF(ISBLANK(INDEX(Array_StationaryChargeData,ROW()-36,COLUMN()*2-3)),"",INDEX(Array_StationaryChargeData,ROW()-36,COLUMN()*2-3))</f>
        <v/>
      </c>
      <c r="P64" t="str" cm="1">
        <f>IF(ISBLANK(INDEX(Array_StationaryChargeData,ROW()-36,COLUMN()*2-3)),"",INDEX(Array_StationaryChargeData,ROW()-36,COLUMN()*2-3))</f>
        <v/>
      </c>
    </row>
    <row r="65" spans="1:16" x14ac:dyDescent="0.35">
      <c r="A65" t="str">
        <f>IF('Stationary Fuel Meters'!B31="",A64,'Stationary Fuel Meters'!B31)</f>
        <v>Meter Numbers</v>
      </c>
      <c r="B65" t="str" cm="1">
        <f>IF(ISBLANK(INDEX(Array_StationaryChargeData,ROW()-36,COLUMN()*2-3)),"",INDEX(Array_StationaryChargeData,ROW()-36,COLUMN()*2-3))</f>
        <v/>
      </c>
      <c r="C65" t="str" cm="1">
        <f>IF(ISBLANK(INDEX(Array_StationaryChargeData,ROW()-36,COLUMN()*2-3)),"",INDEX(Array_StationaryChargeData,ROW()-36,COLUMN()*2-3))</f>
        <v/>
      </c>
      <c r="D65" t="str" cm="1">
        <f>IF(ISBLANK(INDEX(Array_StationaryChargeData,ROW()-36,COLUMN()*2-3)),"",INDEX(Array_StationaryChargeData,ROW()-36,COLUMN()*2-3))</f>
        <v/>
      </c>
      <c r="E65" t="str" cm="1">
        <f>IF(ISBLANK(INDEX(Array_StationaryChargeData,ROW()-36,COLUMN()*2-3)),"",INDEX(Array_StationaryChargeData,ROW()-36,COLUMN()*2-3))</f>
        <v/>
      </c>
      <c r="F65" t="str" cm="1">
        <f>IF(ISBLANK(INDEX(Array_StationaryChargeData,ROW()-36,COLUMN()*2-3)),"",INDEX(Array_StationaryChargeData,ROW()-36,COLUMN()*2-3))</f>
        <v/>
      </c>
      <c r="G65" t="str" cm="1">
        <f>IF(ISBLANK(INDEX(Array_StationaryChargeData,ROW()-36,COLUMN()*2-3)),"",INDEX(Array_StationaryChargeData,ROW()-36,COLUMN()*2-3))</f>
        <v/>
      </c>
      <c r="H65" t="str" cm="1">
        <f>IF(ISBLANK(INDEX(Array_StationaryChargeData,ROW()-36,COLUMN()*2-3)),"",INDEX(Array_StationaryChargeData,ROW()-36,COLUMN()*2-3))</f>
        <v/>
      </c>
      <c r="I65" t="str" cm="1">
        <f>IF(ISBLANK(INDEX(Array_StationaryChargeData,ROW()-36,COLUMN()*2-3)),"",INDEX(Array_StationaryChargeData,ROW()-36,COLUMN()*2-3))</f>
        <v/>
      </c>
      <c r="J65" t="str" cm="1">
        <f>IF(ISBLANK(INDEX(Array_StationaryChargeData,ROW()-36,COLUMN()*2-3)),"",INDEX(Array_StationaryChargeData,ROW()-36,COLUMN()*2-3))</f>
        <v/>
      </c>
      <c r="K65" t="str" cm="1">
        <f>IF(ISBLANK(INDEX(Array_StationaryChargeData,ROW()-36,COLUMN()*2-3)),"",INDEX(Array_StationaryChargeData,ROW()-36,COLUMN()*2-3))</f>
        <v/>
      </c>
      <c r="L65" t="str" cm="1">
        <f>IF(ISBLANK(INDEX(Array_StationaryChargeData,ROW()-36,COLUMN()*2-3)),"",INDEX(Array_StationaryChargeData,ROW()-36,COLUMN()*2-3))</f>
        <v/>
      </c>
      <c r="M65" t="str" cm="1">
        <f>IF(ISBLANK(INDEX(Array_StationaryChargeData,ROW()-36,COLUMN()*2-3)),"",INDEX(Array_StationaryChargeData,ROW()-36,COLUMN()*2-3))</f>
        <v/>
      </c>
      <c r="N65" t="str" cm="1">
        <f>IF(ISBLANK(INDEX(Array_StationaryChargeData,ROW()-36,COLUMN()*2-3)),"",INDEX(Array_StationaryChargeData,ROW()-36,COLUMN()*2-3))</f>
        <v/>
      </c>
      <c r="O65" t="str" cm="1">
        <f>IF(ISBLANK(INDEX(Array_StationaryChargeData,ROW()-36,COLUMN()*2-3)),"",INDEX(Array_StationaryChargeData,ROW()-36,COLUMN()*2-3))</f>
        <v/>
      </c>
      <c r="P65" t="str" cm="1">
        <f>IF(ISBLANK(INDEX(Array_StationaryChargeData,ROW()-36,COLUMN()*2-3)),"",INDEX(Array_StationaryChargeData,ROW()-36,COLUMN()*2-3))</f>
        <v/>
      </c>
    </row>
    <row r="66" spans="1:16" x14ac:dyDescent="0.35">
      <c r="A66" t="str">
        <f>IF('Stationary Fuel Meters'!B32="",A65,'Stationary Fuel Meters'!B32)</f>
        <v>Meter Numbers</v>
      </c>
      <c r="B66" t="str" cm="1">
        <f>IF(ISBLANK(INDEX(Array_StationaryChargeData,ROW()-36,COLUMN()*2-3)),"",INDEX(Array_StationaryChargeData,ROW()-36,COLUMN()*2-3))</f>
        <v/>
      </c>
      <c r="C66" t="str" cm="1">
        <f>IF(ISBLANK(INDEX(Array_StationaryChargeData,ROW()-36,COLUMN()*2-3)),"",INDEX(Array_StationaryChargeData,ROW()-36,COLUMN()*2-3))</f>
        <v/>
      </c>
      <c r="D66" t="str" cm="1">
        <f>IF(ISBLANK(INDEX(Array_StationaryChargeData,ROW()-36,COLUMN()*2-3)),"",INDEX(Array_StationaryChargeData,ROW()-36,COLUMN()*2-3))</f>
        <v/>
      </c>
      <c r="E66" t="str" cm="1">
        <f>IF(ISBLANK(INDEX(Array_StationaryChargeData,ROW()-36,COLUMN()*2-3)),"",INDEX(Array_StationaryChargeData,ROW()-36,COLUMN()*2-3))</f>
        <v/>
      </c>
      <c r="F66" t="str" cm="1">
        <f>IF(ISBLANK(INDEX(Array_StationaryChargeData,ROW()-36,COLUMN()*2-3)),"",INDEX(Array_StationaryChargeData,ROW()-36,COLUMN()*2-3))</f>
        <v/>
      </c>
      <c r="G66" t="str" cm="1">
        <f>IF(ISBLANK(INDEX(Array_StationaryChargeData,ROW()-36,COLUMN()*2-3)),"",INDEX(Array_StationaryChargeData,ROW()-36,COLUMN()*2-3))</f>
        <v/>
      </c>
      <c r="H66" t="str" cm="1">
        <f>IF(ISBLANK(INDEX(Array_StationaryChargeData,ROW()-36,COLUMN()*2-3)),"",INDEX(Array_StationaryChargeData,ROW()-36,COLUMN()*2-3))</f>
        <v/>
      </c>
      <c r="I66" t="str" cm="1">
        <f>IF(ISBLANK(INDEX(Array_StationaryChargeData,ROW()-36,COLUMN()*2-3)),"",INDEX(Array_StationaryChargeData,ROW()-36,COLUMN()*2-3))</f>
        <v/>
      </c>
      <c r="J66" t="str" cm="1">
        <f>IF(ISBLANK(INDEX(Array_StationaryChargeData,ROW()-36,COLUMN()*2-3)),"",INDEX(Array_StationaryChargeData,ROW()-36,COLUMN()*2-3))</f>
        <v/>
      </c>
      <c r="K66" t="str" cm="1">
        <f>IF(ISBLANK(INDEX(Array_StationaryChargeData,ROW()-36,COLUMN()*2-3)),"",INDEX(Array_StationaryChargeData,ROW()-36,COLUMN()*2-3))</f>
        <v/>
      </c>
      <c r="L66" t="str" cm="1">
        <f>IF(ISBLANK(INDEX(Array_StationaryChargeData,ROW()-36,COLUMN()*2-3)),"",INDEX(Array_StationaryChargeData,ROW()-36,COLUMN()*2-3))</f>
        <v/>
      </c>
      <c r="M66" t="str" cm="1">
        <f>IF(ISBLANK(INDEX(Array_StationaryChargeData,ROW()-36,COLUMN()*2-3)),"",INDEX(Array_StationaryChargeData,ROW()-36,COLUMN()*2-3))</f>
        <v/>
      </c>
      <c r="N66" t="str" cm="1">
        <f>IF(ISBLANK(INDEX(Array_StationaryChargeData,ROW()-36,COLUMN()*2-3)),"",INDEX(Array_StationaryChargeData,ROW()-36,COLUMN()*2-3))</f>
        <v/>
      </c>
      <c r="O66" t="str" cm="1">
        <f>IF(ISBLANK(INDEX(Array_StationaryChargeData,ROW()-36,COLUMN()*2-3)),"",INDEX(Array_StationaryChargeData,ROW()-36,COLUMN()*2-3))</f>
        <v/>
      </c>
      <c r="P66" t="str" cm="1">
        <f>IF(ISBLANK(INDEX(Array_StationaryChargeData,ROW()-36,COLUMN()*2-3)),"",INDEX(Array_StationaryChargeData,ROW()-36,COLUMN()*2-3))</f>
        <v/>
      </c>
    </row>
    <row r="67" spans="1:16" x14ac:dyDescent="0.35">
      <c r="A67" t="str">
        <f>IF('Stationary Fuel Meters'!B33="",A66,'Stationary Fuel Meters'!B33)</f>
        <v>Meter Numbers</v>
      </c>
      <c r="B67" t="str" cm="1">
        <f>IF(ISBLANK(INDEX(Array_StationaryChargeData,ROW()-36,COLUMN()*2-3)),"",INDEX(Array_StationaryChargeData,ROW()-36,COLUMN()*2-3))</f>
        <v/>
      </c>
      <c r="C67" t="str" cm="1">
        <f>IF(ISBLANK(INDEX(Array_StationaryChargeData,ROW()-36,COLUMN()*2-3)),"",INDEX(Array_StationaryChargeData,ROW()-36,COLUMN()*2-3))</f>
        <v/>
      </c>
      <c r="D67" t="str" cm="1">
        <f>IF(ISBLANK(INDEX(Array_StationaryChargeData,ROW()-36,COLUMN()*2-3)),"",INDEX(Array_StationaryChargeData,ROW()-36,COLUMN()*2-3))</f>
        <v/>
      </c>
      <c r="E67" t="str" cm="1">
        <f>IF(ISBLANK(INDEX(Array_StationaryChargeData,ROW()-36,COLUMN()*2-3)),"",INDEX(Array_StationaryChargeData,ROW()-36,COLUMN()*2-3))</f>
        <v/>
      </c>
      <c r="F67" t="str" cm="1">
        <f>IF(ISBLANK(INDEX(Array_StationaryChargeData,ROW()-36,COLUMN()*2-3)),"",INDEX(Array_StationaryChargeData,ROW()-36,COLUMN()*2-3))</f>
        <v/>
      </c>
      <c r="G67" t="str" cm="1">
        <f>IF(ISBLANK(INDEX(Array_StationaryChargeData,ROW()-36,COLUMN()*2-3)),"",INDEX(Array_StationaryChargeData,ROW()-36,COLUMN()*2-3))</f>
        <v/>
      </c>
      <c r="H67" t="str" cm="1">
        <f>IF(ISBLANK(INDEX(Array_StationaryChargeData,ROW()-36,COLUMN()*2-3)),"",INDEX(Array_StationaryChargeData,ROW()-36,COLUMN()*2-3))</f>
        <v/>
      </c>
      <c r="I67" t="str" cm="1">
        <f>IF(ISBLANK(INDEX(Array_StationaryChargeData,ROW()-36,COLUMN()*2-3)),"",INDEX(Array_StationaryChargeData,ROW()-36,COLUMN()*2-3))</f>
        <v/>
      </c>
      <c r="J67" t="str" cm="1">
        <f>IF(ISBLANK(INDEX(Array_StationaryChargeData,ROW()-36,COLUMN()*2-3)),"",INDEX(Array_StationaryChargeData,ROW()-36,COLUMN()*2-3))</f>
        <v/>
      </c>
      <c r="K67" t="str" cm="1">
        <f>IF(ISBLANK(INDEX(Array_StationaryChargeData,ROW()-36,COLUMN()*2-3)),"",INDEX(Array_StationaryChargeData,ROW()-36,COLUMN()*2-3))</f>
        <v/>
      </c>
      <c r="L67" t="str" cm="1">
        <f>IF(ISBLANK(INDEX(Array_StationaryChargeData,ROW()-36,COLUMN()*2-3)),"",INDEX(Array_StationaryChargeData,ROW()-36,COLUMN()*2-3))</f>
        <v/>
      </c>
      <c r="M67" t="str" cm="1">
        <f>IF(ISBLANK(INDEX(Array_StationaryChargeData,ROW()-36,COLUMN()*2-3)),"",INDEX(Array_StationaryChargeData,ROW()-36,COLUMN()*2-3))</f>
        <v/>
      </c>
      <c r="N67" t="str" cm="1">
        <f>IF(ISBLANK(INDEX(Array_StationaryChargeData,ROW()-36,COLUMN()*2-3)),"",INDEX(Array_StationaryChargeData,ROW()-36,COLUMN()*2-3))</f>
        <v/>
      </c>
      <c r="O67" t="str" cm="1">
        <f>IF(ISBLANK(INDEX(Array_StationaryChargeData,ROW()-36,COLUMN()*2-3)),"",INDEX(Array_StationaryChargeData,ROW()-36,COLUMN()*2-3))</f>
        <v/>
      </c>
      <c r="P67" t="str" cm="1">
        <f>IF(ISBLANK(INDEX(Array_StationaryChargeData,ROW()-36,COLUMN()*2-3)),"",INDEX(Array_StationaryChargeData,ROW()-36,COLUMN()*2-3))</f>
        <v/>
      </c>
    </row>
    <row r="68" spans="1:16" x14ac:dyDescent="0.35">
      <c r="A68" t="str">
        <f>IF('Stationary Fuel Meters'!B34="",A67,'Stationary Fuel Meters'!B34)</f>
        <v>Meter Numbers</v>
      </c>
      <c r="B68" t="str" cm="1">
        <f>IF(ISBLANK(INDEX(Array_StationaryChargeData,ROW()-36,COLUMN()*2-3)),"",INDEX(Array_StationaryChargeData,ROW()-36,COLUMN()*2-3))</f>
        <v/>
      </c>
      <c r="C68" t="str" cm="1">
        <f>IF(ISBLANK(INDEX(Array_StationaryChargeData,ROW()-36,COLUMN()*2-3)),"",INDEX(Array_StationaryChargeData,ROW()-36,COLUMN()*2-3))</f>
        <v/>
      </c>
      <c r="D68" t="str" cm="1">
        <f>IF(ISBLANK(INDEX(Array_StationaryChargeData,ROW()-36,COLUMN()*2-3)),"",INDEX(Array_StationaryChargeData,ROW()-36,COLUMN()*2-3))</f>
        <v/>
      </c>
      <c r="E68" t="str" cm="1">
        <f>IF(ISBLANK(INDEX(Array_StationaryChargeData,ROW()-36,COLUMN()*2-3)),"",INDEX(Array_StationaryChargeData,ROW()-36,COLUMN()*2-3))</f>
        <v/>
      </c>
      <c r="F68" t="str" cm="1">
        <f>IF(ISBLANK(INDEX(Array_StationaryChargeData,ROW()-36,COLUMN()*2-3)),"",INDEX(Array_StationaryChargeData,ROW()-36,COLUMN()*2-3))</f>
        <v/>
      </c>
      <c r="G68" t="str" cm="1">
        <f>IF(ISBLANK(INDEX(Array_StationaryChargeData,ROW()-36,COLUMN()*2-3)),"",INDEX(Array_StationaryChargeData,ROW()-36,COLUMN()*2-3))</f>
        <v/>
      </c>
      <c r="H68" t="str" cm="1">
        <f>IF(ISBLANK(INDEX(Array_StationaryChargeData,ROW()-36,COLUMN()*2-3)),"",INDEX(Array_StationaryChargeData,ROW()-36,COLUMN()*2-3))</f>
        <v/>
      </c>
      <c r="I68" t="str" cm="1">
        <f>IF(ISBLANK(INDEX(Array_StationaryChargeData,ROW()-36,COLUMN()*2-3)),"",INDEX(Array_StationaryChargeData,ROW()-36,COLUMN()*2-3))</f>
        <v/>
      </c>
      <c r="J68" t="str" cm="1">
        <f>IF(ISBLANK(INDEX(Array_StationaryChargeData,ROW()-36,COLUMN()*2-3)),"",INDEX(Array_StationaryChargeData,ROW()-36,COLUMN()*2-3))</f>
        <v/>
      </c>
      <c r="K68" t="str" cm="1">
        <f>IF(ISBLANK(INDEX(Array_StationaryChargeData,ROW()-36,COLUMN()*2-3)),"",INDEX(Array_StationaryChargeData,ROW()-36,COLUMN()*2-3))</f>
        <v/>
      </c>
      <c r="L68" t="str" cm="1">
        <f>IF(ISBLANK(INDEX(Array_StationaryChargeData,ROW()-36,COLUMN()*2-3)),"",INDEX(Array_StationaryChargeData,ROW()-36,COLUMN()*2-3))</f>
        <v/>
      </c>
      <c r="M68" t="str" cm="1">
        <f>IF(ISBLANK(INDEX(Array_StationaryChargeData,ROW()-36,COLUMN()*2-3)),"",INDEX(Array_StationaryChargeData,ROW()-36,COLUMN()*2-3))</f>
        <v/>
      </c>
      <c r="N68" t="str" cm="1">
        <f>IF(ISBLANK(INDEX(Array_StationaryChargeData,ROW()-36,COLUMN()*2-3)),"",INDEX(Array_StationaryChargeData,ROW()-36,COLUMN()*2-3))</f>
        <v/>
      </c>
      <c r="O68" t="str" cm="1">
        <f>IF(ISBLANK(INDEX(Array_StationaryChargeData,ROW()-36,COLUMN()*2-3)),"",INDEX(Array_StationaryChargeData,ROW()-36,COLUMN()*2-3))</f>
        <v/>
      </c>
      <c r="P68" t="str" cm="1">
        <f>IF(ISBLANK(INDEX(Array_StationaryChargeData,ROW()-36,COLUMN()*2-3)),"",INDEX(Array_StationaryChargeData,ROW()-36,COLUMN()*2-3))</f>
        <v/>
      </c>
    </row>
    <row r="69" spans="1:16" x14ac:dyDescent="0.35">
      <c r="A69" t="str">
        <f>IF('Stationary Fuel Meters'!B35="",A68,'Stationary Fuel Meters'!B35)</f>
        <v>Meter Numbers</v>
      </c>
      <c r="B69" t="str" cm="1">
        <f>IF(ISBLANK(INDEX(Array_StationaryChargeData,ROW()-36,COLUMN()*2-3)),"",INDEX(Array_StationaryChargeData,ROW()-36,COLUMN()*2-3))</f>
        <v/>
      </c>
      <c r="C69" t="str" cm="1">
        <f>IF(ISBLANK(INDEX(Array_StationaryChargeData,ROW()-36,COLUMN()*2-3)),"",INDEX(Array_StationaryChargeData,ROW()-36,COLUMN()*2-3))</f>
        <v/>
      </c>
      <c r="D69" t="str" cm="1">
        <f>IF(ISBLANK(INDEX(Array_StationaryChargeData,ROW()-36,COLUMN()*2-3)),"",INDEX(Array_StationaryChargeData,ROW()-36,COLUMN()*2-3))</f>
        <v/>
      </c>
      <c r="E69" t="str" cm="1">
        <f>IF(ISBLANK(INDEX(Array_StationaryChargeData,ROW()-36,COLUMN()*2-3)),"",INDEX(Array_StationaryChargeData,ROW()-36,COLUMN()*2-3))</f>
        <v/>
      </c>
      <c r="F69" t="str" cm="1">
        <f>IF(ISBLANK(INDEX(Array_StationaryChargeData,ROW()-36,COLUMN()*2-3)),"",INDEX(Array_StationaryChargeData,ROW()-36,COLUMN()*2-3))</f>
        <v/>
      </c>
      <c r="G69" t="str" cm="1">
        <f>IF(ISBLANK(INDEX(Array_StationaryChargeData,ROW()-36,COLUMN()*2-3)),"",INDEX(Array_StationaryChargeData,ROW()-36,COLUMN()*2-3))</f>
        <v/>
      </c>
      <c r="H69" t="str" cm="1">
        <f>IF(ISBLANK(INDEX(Array_StationaryChargeData,ROW()-36,COLUMN()*2-3)),"",INDEX(Array_StationaryChargeData,ROW()-36,COLUMN()*2-3))</f>
        <v/>
      </c>
      <c r="I69" t="str" cm="1">
        <f>IF(ISBLANK(INDEX(Array_StationaryChargeData,ROW()-36,COLUMN()*2-3)),"",INDEX(Array_StationaryChargeData,ROW()-36,COLUMN()*2-3))</f>
        <v/>
      </c>
      <c r="J69" t="str" cm="1">
        <f>IF(ISBLANK(INDEX(Array_StationaryChargeData,ROW()-36,COLUMN()*2-3)),"",INDEX(Array_StationaryChargeData,ROW()-36,COLUMN()*2-3))</f>
        <v/>
      </c>
      <c r="K69" t="str" cm="1">
        <f>IF(ISBLANK(INDEX(Array_StationaryChargeData,ROW()-36,COLUMN()*2-3)),"",INDEX(Array_StationaryChargeData,ROW()-36,COLUMN()*2-3))</f>
        <v/>
      </c>
      <c r="L69" t="str" cm="1">
        <f>IF(ISBLANK(INDEX(Array_StationaryChargeData,ROW()-36,COLUMN()*2-3)),"",INDEX(Array_StationaryChargeData,ROW()-36,COLUMN()*2-3))</f>
        <v/>
      </c>
      <c r="M69" t="str" cm="1">
        <f>IF(ISBLANK(INDEX(Array_StationaryChargeData,ROW()-36,COLUMN()*2-3)),"",INDEX(Array_StationaryChargeData,ROW()-36,COLUMN()*2-3))</f>
        <v/>
      </c>
      <c r="N69" t="str" cm="1">
        <f>IF(ISBLANK(INDEX(Array_StationaryChargeData,ROW()-36,COLUMN()*2-3)),"",INDEX(Array_StationaryChargeData,ROW()-36,COLUMN()*2-3))</f>
        <v/>
      </c>
      <c r="O69" t="str" cm="1">
        <f>IF(ISBLANK(INDEX(Array_StationaryChargeData,ROW()-36,COLUMN()*2-3)),"",INDEX(Array_StationaryChargeData,ROW()-36,COLUMN()*2-3))</f>
        <v/>
      </c>
      <c r="P69" t="str" cm="1">
        <f>IF(ISBLANK(INDEX(Array_StationaryChargeData,ROW()-36,COLUMN()*2-3)),"",INDEX(Array_StationaryChargeData,ROW()-36,COLUMN()*2-3))</f>
        <v/>
      </c>
    </row>
    <row r="70" spans="1:16" x14ac:dyDescent="0.35">
      <c r="A70" t="str">
        <f>IF('Stationary Fuel Meters'!B36="",A69,'Stationary Fuel Meters'!B36)</f>
        <v>Meter Numbers</v>
      </c>
      <c r="B70" t="str" cm="1">
        <f>IF(ISBLANK(INDEX(Array_StationaryChargeData,ROW()-36,COLUMN()*2-3)),"",INDEX(Array_StationaryChargeData,ROW()-36,COLUMN()*2-3))</f>
        <v/>
      </c>
      <c r="C70" t="str" cm="1">
        <f>IF(ISBLANK(INDEX(Array_StationaryChargeData,ROW()-36,COLUMN()*2-3)),"",INDEX(Array_StationaryChargeData,ROW()-36,COLUMN()*2-3))</f>
        <v/>
      </c>
      <c r="D70" t="str" cm="1">
        <f>IF(ISBLANK(INDEX(Array_StationaryChargeData,ROW()-36,COLUMN()*2-3)),"",INDEX(Array_StationaryChargeData,ROW()-36,COLUMN()*2-3))</f>
        <v/>
      </c>
      <c r="E70" t="str" cm="1">
        <f>IF(ISBLANK(INDEX(Array_StationaryChargeData,ROW()-36,COLUMN()*2-3)),"",INDEX(Array_StationaryChargeData,ROW()-36,COLUMN()*2-3))</f>
        <v/>
      </c>
      <c r="F70" t="str" cm="1">
        <f>IF(ISBLANK(INDEX(Array_StationaryChargeData,ROW()-36,COLUMN()*2-3)),"",INDEX(Array_StationaryChargeData,ROW()-36,COLUMN()*2-3))</f>
        <v/>
      </c>
      <c r="G70" t="str" cm="1">
        <f>IF(ISBLANK(INDEX(Array_StationaryChargeData,ROW()-36,COLUMN()*2-3)),"",INDEX(Array_StationaryChargeData,ROW()-36,COLUMN()*2-3))</f>
        <v/>
      </c>
      <c r="H70" t="str" cm="1">
        <f>IF(ISBLANK(INDEX(Array_StationaryChargeData,ROW()-36,COLUMN()*2-3)),"",INDEX(Array_StationaryChargeData,ROW()-36,COLUMN()*2-3))</f>
        <v/>
      </c>
      <c r="I70" t="str" cm="1">
        <f>IF(ISBLANK(INDEX(Array_StationaryChargeData,ROW()-36,COLUMN()*2-3)),"",INDEX(Array_StationaryChargeData,ROW()-36,COLUMN()*2-3))</f>
        <v/>
      </c>
      <c r="J70" t="str" cm="1">
        <f>IF(ISBLANK(INDEX(Array_StationaryChargeData,ROW()-36,COLUMN()*2-3)),"",INDEX(Array_StationaryChargeData,ROW()-36,COLUMN()*2-3))</f>
        <v/>
      </c>
      <c r="K70" t="str" cm="1">
        <f>IF(ISBLANK(INDEX(Array_StationaryChargeData,ROW()-36,COLUMN()*2-3)),"",INDEX(Array_StationaryChargeData,ROW()-36,COLUMN()*2-3))</f>
        <v/>
      </c>
      <c r="L70" t="str" cm="1">
        <f>IF(ISBLANK(INDEX(Array_StationaryChargeData,ROW()-36,COLUMN()*2-3)),"",INDEX(Array_StationaryChargeData,ROW()-36,COLUMN()*2-3))</f>
        <v/>
      </c>
      <c r="M70" t="str" cm="1">
        <f>IF(ISBLANK(INDEX(Array_StationaryChargeData,ROW()-36,COLUMN()*2-3)),"",INDEX(Array_StationaryChargeData,ROW()-36,COLUMN()*2-3))</f>
        <v/>
      </c>
      <c r="N70" t="str" cm="1">
        <f>IF(ISBLANK(INDEX(Array_StationaryChargeData,ROW()-36,COLUMN()*2-3)),"",INDEX(Array_StationaryChargeData,ROW()-36,COLUMN()*2-3))</f>
        <v/>
      </c>
      <c r="O70" t="str" cm="1">
        <f>IF(ISBLANK(INDEX(Array_StationaryChargeData,ROW()-36,COLUMN()*2-3)),"",INDEX(Array_StationaryChargeData,ROW()-36,COLUMN()*2-3))</f>
        <v/>
      </c>
      <c r="P70" t="str" cm="1">
        <f>IF(ISBLANK(INDEX(Array_StationaryChargeData,ROW()-36,COLUMN()*2-3)),"",INDEX(Array_StationaryChargeData,ROW()-36,COLUMN()*2-3))</f>
        <v/>
      </c>
    </row>
    <row r="71" spans="1:16" x14ac:dyDescent="0.35">
      <c r="A71" t="str">
        <f>IF('Stationary Fuel Meters'!B37="",A70,'Stationary Fuel Meters'!B37)</f>
        <v>Meter Numbers</v>
      </c>
      <c r="B71" t="str" cm="1">
        <f>IF(ISBLANK(INDEX(Array_StationaryChargeData,ROW()-36,COLUMN()*2-3)),"",INDEX(Array_StationaryChargeData,ROW()-36,COLUMN()*2-3))</f>
        <v/>
      </c>
      <c r="C71" t="str" cm="1">
        <f>IF(ISBLANK(INDEX(Array_StationaryChargeData,ROW()-36,COLUMN()*2-3)),"",INDEX(Array_StationaryChargeData,ROW()-36,COLUMN()*2-3))</f>
        <v/>
      </c>
      <c r="D71" t="str" cm="1">
        <f>IF(ISBLANK(INDEX(Array_StationaryChargeData,ROW()-36,COLUMN()*2-3)),"",INDEX(Array_StationaryChargeData,ROW()-36,COLUMN()*2-3))</f>
        <v/>
      </c>
      <c r="E71" t="str" cm="1">
        <f>IF(ISBLANK(INDEX(Array_StationaryChargeData,ROW()-36,COLUMN()*2-3)),"",INDEX(Array_StationaryChargeData,ROW()-36,COLUMN()*2-3))</f>
        <v/>
      </c>
      <c r="F71" t="str" cm="1">
        <f>IF(ISBLANK(INDEX(Array_StationaryChargeData,ROW()-36,COLUMN()*2-3)),"",INDEX(Array_StationaryChargeData,ROW()-36,COLUMN()*2-3))</f>
        <v/>
      </c>
      <c r="G71" t="str" cm="1">
        <f>IF(ISBLANK(INDEX(Array_StationaryChargeData,ROW()-36,COLUMN()*2-3)),"",INDEX(Array_StationaryChargeData,ROW()-36,COLUMN()*2-3))</f>
        <v/>
      </c>
      <c r="H71" t="str" cm="1">
        <f>IF(ISBLANK(INDEX(Array_StationaryChargeData,ROW()-36,COLUMN()*2-3)),"",INDEX(Array_StationaryChargeData,ROW()-36,COLUMN()*2-3))</f>
        <v/>
      </c>
      <c r="I71" t="str" cm="1">
        <f>IF(ISBLANK(INDEX(Array_StationaryChargeData,ROW()-36,COLUMN()*2-3)),"",INDEX(Array_StationaryChargeData,ROW()-36,COLUMN()*2-3))</f>
        <v/>
      </c>
      <c r="J71" t="str" cm="1">
        <f>IF(ISBLANK(INDEX(Array_StationaryChargeData,ROW()-36,COLUMN()*2-3)),"",INDEX(Array_StationaryChargeData,ROW()-36,COLUMN()*2-3))</f>
        <v/>
      </c>
      <c r="K71" t="str" cm="1">
        <f>IF(ISBLANK(INDEX(Array_StationaryChargeData,ROW()-36,COLUMN()*2-3)),"",INDEX(Array_StationaryChargeData,ROW()-36,COLUMN()*2-3))</f>
        <v/>
      </c>
      <c r="L71" t="str" cm="1">
        <f>IF(ISBLANK(INDEX(Array_StationaryChargeData,ROW()-36,COLUMN()*2-3)),"",INDEX(Array_StationaryChargeData,ROW()-36,COLUMN()*2-3))</f>
        <v/>
      </c>
      <c r="M71" t="str" cm="1">
        <f>IF(ISBLANK(INDEX(Array_StationaryChargeData,ROW()-36,COLUMN()*2-3)),"",INDEX(Array_StationaryChargeData,ROW()-36,COLUMN()*2-3))</f>
        <v/>
      </c>
      <c r="N71" t="str" cm="1">
        <f>IF(ISBLANK(INDEX(Array_StationaryChargeData,ROW()-36,COLUMN()*2-3)),"",INDEX(Array_StationaryChargeData,ROW()-36,COLUMN()*2-3))</f>
        <v/>
      </c>
      <c r="O71" t="str" cm="1">
        <f>IF(ISBLANK(INDEX(Array_StationaryChargeData,ROW()-36,COLUMN()*2-3)),"",INDEX(Array_StationaryChargeData,ROW()-36,COLUMN()*2-3))</f>
        <v/>
      </c>
      <c r="P71" t="str" cm="1">
        <f>IF(ISBLANK(INDEX(Array_StationaryChargeData,ROW()-36,COLUMN()*2-3)),"",INDEX(Array_StationaryChargeData,ROW()-36,COLUMN()*2-3))</f>
        <v/>
      </c>
    </row>
    <row r="72" spans="1:16" x14ac:dyDescent="0.35">
      <c r="A72" t="str">
        <f>IF('Stationary Fuel Meters'!B38="",A71,'Stationary Fuel Meters'!B38)</f>
        <v>Meter Numbers</v>
      </c>
      <c r="B72" t="str" cm="1">
        <f>IF(ISBLANK(INDEX(Array_StationaryChargeData,ROW()-36,COLUMN()*2-3)),"",INDEX(Array_StationaryChargeData,ROW()-36,COLUMN()*2-3))</f>
        <v/>
      </c>
      <c r="C72" t="str" cm="1">
        <f>IF(ISBLANK(INDEX(Array_StationaryChargeData,ROW()-36,COLUMN()*2-3)),"",INDEX(Array_StationaryChargeData,ROW()-36,COLUMN()*2-3))</f>
        <v/>
      </c>
      <c r="D72" t="str" cm="1">
        <f>IF(ISBLANK(INDEX(Array_StationaryChargeData,ROW()-36,COLUMN()*2-3)),"",INDEX(Array_StationaryChargeData,ROW()-36,COLUMN()*2-3))</f>
        <v/>
      </c>
      <c r="E72" t="str" cm="1">
        <f>IF(ISBLANK(INDEX(Array_StationaryChargeData,ROW()-36,COLUMN()*2-3)),"",INDEX(Array_StationaryChargeData,ROW()-36,COLUMN()*2-3))</f>
        <v/>
      </c>
      <c r="F72" t="str" cm="1">
        <f>IF(ISBLANK(INDEX(Array_StationaryChargeData,ROW()-36,COLUMN()*2-3)),"",INDEX(Array_StationaryChargeData,ROW()-36,COLUMN()*2-3))</f>
        <v/>
      </c>
      <c r="G72" t="str" cm="1">
        <f>IF(ISBLANK(INDEX(Array_StationaryChargeData,ROW()-36,COLUMN()*2-3)),"",INDEX(Array_StationaryChargeData,ROW()-36,COLUMN()*2-3))</f>
        <v/>
      </c>
      <c r="H72" t="str" cm="1">
        <f>IF(ISBLANK(INDEX(Array_StationaryChargeData,ROW()-36,COLUMN()*2-3)),"",INDEX(Array_StationaryChargeData,ROW()-36,COLUMN()*2-3))</f>
        <v/>
      </c>
      <c r="I72" t="str" cm="1">
        <f>IF(ISBLANK(INDEX(Array_StationaryChargeData,ROW()-36,COLUMN()*2-3)),"",INDEX(Array_StationaryChargeData,ROW()-36,COLUMN()*2-3))</f>
        <v/>
      </c>
      <c r="J72" t="str" cm="1">
        <f>IF(ISBLANK(INDEX(Array_StationaryChargeData,ROW()-36,COLUMN()*2-3)),"",INDEX(Array_StationaryChargeData,ROW()-36,COLUMN()*2-3))</f>
        <v/>
      </c>
      <c r="K72" t="str" cm="1">
        <f>IF(ISBLANK(INDEX(Array_StationaryChargeData,ROW()-36,COLUMN()*2-3)),"",INDEX(Array_StationaryChargeData,ROW()-36,COLUMN()*2-3))</f>
        <v/>
      </c>
      <c r="L72" t="str" cm="1">
        <f>IF(ISBLANK(INDEX(Array_StationaryChargeData,ROW()-36,COLUMN()*2-3)),"",INDEX(Array_StationaryChargeData,ROW()-36,COLUMN()*2-3))</f>
        <v/>
      </c>
      <c r="M72" t="str" cm="1">
        <f>IF(ISBLANK(INDEX(Array_StationaryChargeData,ROW()-36,COLUMN()*2-3)),"",INDEX(Array_StationaryChargeData,ROW()-36,COLUMN()*2-3))</f>
        <v/>
      </c>
      <c r="N72" t="str" cm="1">
        <f>IF(ISBLANK(INDEX(Array_StationaryChargeData,ROW()-36,COLUMN()*2-3)),"",INDEX(Array_StationaryChargeData,ROW()-36,COLUMN()*2-3))</f>
        <v/>
      </c>
      <c r="O72" t="str" cm="1">
        <f>IF(ISBLANK(INDEX(Array_StationaryChargeData,ROW()-36,COLUMN()*2-3)),"",INDEX(Array_StationaryChargeData,ROW()-36,COLUMN()*2-3))</f>
        <v/>
      </c>
      <c r="P72" t="str" cm="1">
        <f>IF(ISBLANK(INDEX(Array_StationaryChargeData,ROW()-36,COLUMN()*2-3)),"",INDEX(Array_StationaryChargeData,ROW()-36,COLUMN()*2-3))</f>
        <v/>
      </c>
    </row>
    <row r="73" spans="1:16" x14ac:dyDescent="0.35">
      <c r="A73" t="str">
        <f>IF('Stationary Fuel Meters'!B39="",A72,'Stationary Fuel Meters'!B39)</f>
        <v>Meter Numbers</v>
      </c>
      <c r="B73" t="str" cm="1">
        <f>IF(ISBLANK(INDEX(Array_StationaryChargeData,ROW()-36,COLUMN()*2-3)),"",INDEX(Array_StationaryChargeData,ROW()-36,COLUMN()*2-3))</f>
        <v/>
      </c>
      <c r="C73" t="str" cm="1">
        <f>IF(ISBLANK(INDEX(Array_StationaryChargeData,ROW()-36,COLUMN()*2-3)),"",INDEX(Array_StationaryChargeData,ROW()-36,COLUMN()*2-3))</f>
        <v/>
      </c>
      <c r="D73" t="str" cm="1">
        <f>IF(ISBLANK(INDEX(Array_StationaryChargeData,ROW()-36,COLUMN()*2-3)),"",INDEX(Array_StationaryChargeData,ROW()-36,COLUMN()*2-3))</f>
        <v/>
      </c>
      <c r="E73" t="str" cm="1">
        <f>IF(ISBLANK(INDEX(Array_StationaryChargeData,ROW()-36,COLUMN()*2-3)),"",INDEX(Array_StationaryChargeData,ROW()-36,COLUMN()*2-3))</f>
        <v/>
      </c>
      <c r="F73" t="str" cm="1">
        <f>IF(ISBLANK(INDEX(Array_StationaryChargeData,ROW()-36,COLUMN()*2-3)),"",INDEX(Array_StationaryChargeData,ROW()-36,COLUMN()*2-3))</f>
        <v/>
      </c>
      <c r="G73" t="str" cm="1">
        <f>IF(ISBLANK(INDEX(Array_StationaryChargeData,ROW()-36,COLUMN()*2-3)),"",INDEX(Array_StationaryChargeData,ROW()-36,COLUMN()*2-3))</f>
        <v/>
      </c>
      <c r="H73" t="str" cm="1">
        <f>IF(ISBLANK(INDEX(Array_StationaryChargeData,ROW()-36,COLUMN()*2-3)),"",INDEX(Array_StationaryChargeData,ROW()-36,COLUMN()*2-3))</f>
        <v/>
      </c>
      <c r="I73" t="str" cm="1">
        <f>IF(ISBLANK(INDEX(Array_StationaryChargeData,ROW()-36,COLUMN()*2-3)),"",INDEX(Array_StationaryChargeData,ROW()-36,COLUMN()*2-3))</f>
        <v/>
      </c>
      <c r="J73" t="str" cm="1">
        <f>IF(ISBLANK(INDEX(Array_StationaryChargeData,ROW()-36,COLUMN()*2-3)),"",INDEX(Array_StationaryChargeData,ROW()-36,COLUMN()*2-3))</f>
        <v/>
      </c>
      <c r="K73" t="str" cm="1">
        <f>IF(ISBLANK(INDEX(Array_StationaryChargeData,ROW()-36,COLUMN()*2-3)),"",INDEX(Array_StationaryChargeData,ROW()-36,COLUMN()*2-3))</f>
        <v/>
      </c>
      <c r="L73" t="str" cm="1">
        <f>IF(ISBLANK(INDEX(Array_StationaryChargeData,ROW()-36,COLUMN()*2-3)),"",INDEX(Array_StationaryChargeData,ROW()-36,COLUMN()*2-3))</f>
        <v/>
      </c>
      <c r="M73" t="str" cm="1">
        <f>IF(ISBLANK(INDEX(Array_StationaryChargeData,ROW()-36,COLUMN()*2-3)),"",INDEX(Array_StationaryChargeData,ROW()-36,COLUMN()*2-3))</f>
        <v/>
      </c>
      <c r="N73" t="str" cm="1">
        <f>IF(ISBLANK(INDEX(Array_StationaryChargeData,ROW()-36,COLUMN()*2-3)),"",INDEX(Array_StationaryChargeData,ROW()-36,COLUMN()*2-3))</f>
        <v/>
      </c>
      <c r="O73" t="str" cm="1">
        <f>IF(ISBLANK(INDEX(Array_StationaryChargeData,ROW()-36,COLUMN()*2-3)),"",INDEX(Array_StationaryChargeData,ROW()-36,COLUMN()*2-3))</f>
        <v/>
      </c>
      <c r="P73" t="str" cm="1">
        <f>IF(ISBLANK(INDEX(Array_StationaryChargeData,ROW()-36,COLUMN()*2-3)),"",INDEX(Array_StationaryChargeData,ROW()-36,COLUMN()*2-3))</f>
        <v/>
      </c>
    </row>
    <row r="74" spans="1:16" x14ac:dyDescent="0.35">
      <c r="A74" t="str">
        <f>IF('Stationary Fuel Meters'!B40="",A73,'Stationary Fuel Meters'!B40)</f>
        <v>Meter Numbers</v>
      </c>
      <c r="B74" t="str" cm="1">
        <f>IF(ISBLANK(INDEX(Array_StationaryChargeData,ROW()-36,COLUMN()*2-3)),"",INDEX(Array_StationaryChargeData,ROW()-36,COLUMN()*2-3))</f>
        <v/>
      </c>
      <c r="C74" t="str" cm="1">
        <f>IF(ISBLANK(INDEX(Array_StationaryChargeData,ROW()-36,COLUMN()*2-3)),"",INDEX(Array_StationaryChargeData,ROW()-36,COLUMN()*2-3))</f>
        <v/>
      </c>
      <c r="D74" t="str" cm="1">
        <f>IF(ISBLANK(INDEX(Array_StationaryChargeData,ROW()-36,COLUMN()*2-3)),"",INDEX(Array_StationaryChargeData,ROW()-36,COLUMN()*2-3))</f>
        <v/>
      </c>
      <c r="E74" t="str" cm="1">
        <f>IF(ISBLANK(INDEX(Array_StationaryChargeData,ROW()-36,COLUMN()*2-3)),"",INDEX(Array_StationaryChargeData,ROW()-36,COLUMN()*2-3))</f>
        <v/>
      </c>
      <c r="F74" t="str" cm="1">
        <f>IF(ISBLANK(INDEX(Array_StationaryChargeData,ROW()-36,COLUMN()*2-3)),"",INDEX(Array_StationaryChargeData,ROW()-36,COLUMN()*2-3))</f>
        <v/>
      </c>
      <c r="G74" t="str" cm="1">
        <f>IF(ISBLANK(INDEX(Array_StationaryChargeData,ROW()-36,COLUMN()*2-3)),"",INDEX(Array_StationaryChargeData,ROW()-36,COLUMN()*2-3))</f>
        <v/>
      </c>
      <c r="H74" t="str" cm="1">
        <f>IF(ISBLANK(INDEX(Array_StationaryChargeData,ROW()-36,COLUMN()*2-3)),"",INDEX(Array_StationaryChargeData,ROW()-36,COLUMN()*2-3))</f>
        <v/>
      </c>
      <c r="I74" t="str" cm="1">
        <f>IF(ISBLANK(INDEX(Array_StationaryChargeData,ROW()-36,COLUMN()*2-3)),"",INDEX(Array_StationaryChargeData,ROW()-36,COLUMN()*2-3))</f>
        <v/>
      </c>
      <c r="J74" t="str" cm="1">
        <f>IF(ISBLANK(INDEX(Array_StationaryChargeData,ROW()-36,COLUMN()*2-3)),"",INDEX(Array_StationaryChargeData,ROW()-36,COLUMN()*2-3))</f>
        <v/>
      </c>
      <c r="K74" t="str" cm="1">
        <f>IF(ISBLANK(INDEX(Array_StationaryChargeData,ROW()-36,COLUMN()*2-3)),"",INDEX(Array_StationaryChargeData,ROW()-36,COLUMN()*2-3))</f>
        <v/>
      </c>
      <c r="L74" t="str" cm="1">
        <f>IF(ISBLANK(INDEX(Array_StationaryChargeData,ROW()-36,COLUMN()*2-3)),"",INDEX(Array_StationaryChargeData,ROW()-36,COLUMN()*2-3))</f>
        <v/>
      </c>
      <c r="M74" t="str" cm="1">
        <f>IF(ISBLANK(INDEX(Array_StationaryChargeData,ROW()-36,COLUMN()*2-3)),"",INDEX(Array_StationaryChargeData,ROW()-36,COLUMN()*2-3))</f>
        <v/>
      </c>
      <c r="N74" t="str" cm="1">
        <f>IF(ISBLANK(INDEX(Array_StationaryChargeData,ROW()-36,COLUMN()*2-3)),"",INDEX(Array_StationaryChargeData,ROW()-36,COLUMN()*2-3))</f>
        <v/>
      </c>
      <c r="O74" t="str" cm="1">
        <f>IF(ISBLANK(INDEX(Array_StationaryChargeData,ROW()-36,COLUMN()*2-3)),"",INDEX(Array_StationaryChargeData,ROW()-36,COLUMN()*2-3))</f>
        <v/>
      </c>
      <c r="P74" t="str" cm="1">
        <f>IF(ISBLANK(INDEX(Array_StationaryChargeData,ROW()-36,COLUMN()*2-3)),"",INDEX(Array_StationaryChargeData,ROW()-36,COLUMN()*2-3))</f>
        <v/>
      </c>
    </row>
    <row r="75" spans="1:16" x14ac:dyDescent="0.35">
      <c r="A75" t="str">
        <f>IF('Stationary Fuel Meters'!B41="",A74,'Stationary Fuel Meters'!B41)</f>
        <v>Meter Numbers</v>
      </c>
      <c r="B75" t="str" cm="1">
        <f>IF(ISBLANK(INDEX(Array_StationaryChargeData,ROW()-36,COLUMN()*2-3)),"",INDEX(Array_StationaryChargeData,ROW()-36,COLUMN()*2-3))</f>
        <v/>
      </c>
      <c r="C75" t="str" cm="1">
        <f>IF(ISBLANK(INDEX(Array_StationaryChargeData,ROW()-36,COLUMN()*2-3)),"",INDEX(Array_StationaryChargeData,ROW()-36,COLUMN()*2-3))</f>
        <v/>
      </c>
      <c r="D75" t="str" cm="1">
        <f>IF(ISBLANK(INDEX(Array_StationaryChargeData,ROW()-36,COLUMN()*2-3)),"",INDEX(Array_StationaryChargeData,ROW()-36,COLUMN()*2-3))</f>
        <v/>
      </c>
      <c r="E75" t="str" cm="1">
        <f>IF(ISBLANK(INDEX(Array_StationaryChargeData,ROW()-36,COLUMN()*2-3)),"",INDEX(Array_StationaryChargeData,ROW()-36,COLUMN()*2-3))</f>
        <v/>
      </c>
      <c r="F75" t="str" cm="1">
        <f>IF(ISBLANK(INDEX(Array_StationaryChargeData,ROW()-36,COLUMN()*2-3)),"",INDEX(Array_StationaryChargeData,ROW()-36,COLUMN()*2-3))</f>
        <v/>
      </c>
      <c r="G75" t="str" cm="1">
        <f>IF(ISBLANK(INDEX(Array_StationaryChargeData,ROW()-36,COLUMN()*2-3)),"",INDEX(Array_StationaryChargeData,ROW()-36,COLUMN()*2-3))</f>
        <v/>
      </c>
      <c r="H75" t="str" cm="1">
        <f>IF(ISBLANK(INDEX(Array_StationaryChargeData,ROW()-36,COLUMN()*2-3)),"",INDEX(Array_StationaryChargeData,ROW()-36,COLUMN()*2-3))</f>
        <v/>
      </c>
      <c r="I75" t="str" cm="1">
        <f>IF(ISBLANK(INDEX(Array_StationaryChargeData,ROW()-36,COLUMN()*2-3)),"",INDEX(Array_StationaryChargeData,ROW()-36,COLUMN()*2-3))</f>
        <v/>
      </c>
      <c r="J75" t="str" cm="1">
        <f>IF(ISBLANK(INDEX(Array_StationaryChargeData,ROW()-36,COLUMN()*2-3)),"",INDEX(Array_StationaryChargeData,ROW()-36,COLUMN()*2-3))</f>
        <v/>
      </c>
      <c r="K75" t="str" cm="1">
        <f>IF(ISBLANK(INDEX(Array_StationaryChargeData,ROW()-36,COLUMN()*2-3)),"",INDEX(Array_StationaryChargeData,ROW()-36,COLUMN()*2-3))</f>
        <v/>
      </c>
      <c r="L75" t="str" cm="1">
        <f>IF(ISBLANK(INDEX(Array_StationaryChargeData,ROW()-36,COLUMN()*2-3)),"",INDEX(Array_StationaryChargeData,ROW()-36,COLUMN()*2-3))</f>
        <v/>
      </c>
      <c r="M75" t="str" cm="1">
        <f>IF(ISBLANK(INDEX(Array_StationaryChargeData,ROW()-36,COLUMN()*2-3)),"",INDEX(Array_StationaryChargeData,ROW()-36,COLUMN()*2-3))</f>
        <v/>
      </c>
      <c r="N75" t="str" cm="1">
        <f>IF(ISBLANK(INDEX(Array_StationaryChargeData,ROW()-36,COLUMN()*2-3)),"",INDEX(Array_StationaryChargeData,ROW()-36,COLUMN()*2-3))</f>
        <v/>
      </c>
      <c r="O75" t="str" cm="1">
        <f>IF(ISBLANK(INDEX(Array_StationaryChargeData,ROW()-36,COLUMN()*2-3)),"",INDEX(Array_StationaryChargeData,ROW()-36,COLUMN()*2-3))</f>
        <v/>
      </c>
      <c r="P75" t="str" cm="1">
        <f>IF(ISBLANK(INDEX(Array_StationaryChargeData,ROW()-36,COLUMN()*2-3)),"",INDEX(Array_StationaryChargeData,ROW()-36,COLUMN()*2-3))</f>
        <v/>
      </c>
    </row>
    <row r="76" spans="1:16" x14ac:dyDescent="0.35">
      <c r="A76" t="str">
        <f>IF('Stationary Fuel Meters'!B42="",A75,'Stationary Fuel Meters'!B42)</f>
        <v>Meter Numbers</v>
      </c>
      <c r="B76" t="str" cm="1">
        <f>IF(ISBLANK(INDEX(Array_StationaryChargeData,ROW()-36,COLUMN()*2-3)),"",INDEX(Array_StationaryChargeData,ROW()-36,COLUMN()*2-3))</f>
        <v/>
      </c>
      <c r="C76" t="str" cm="1">
        <f>IF(ISBLANK(INDEX(Array_StationaryChargeData,ROW()-36,COLUMN()*2-3)),"",INDEX(Array_StationaryChargeData,ROW()-36,COLUMN()*2-3))</f>
        <v/>
      </c>
      <c r="D76" t="str" cm="1">
        <f>IF(ISBLANK(INDEX(Array_StationaryChargeData,ROW()-36,COLUMN()*2-3)),"",INDEX(Array_StationaryChargeData,ROW()-36,COLUMN()*2-3))</f>
        <v/>
      </c>
      <c r="E76" t="str" cm="1">
        <f>IF(ISBLANK(INDEX(Array_StationaryChargeData,ROW()-36,COLUMN()*2-3)),"",INDEX(Array_StationaryChargeData,ROW()-36,COLUMN()*2-3))</f>
        <v/>
      </c>
      <c r="F76" t="str" cm="1">
        <f>IF(ISBLANK(INDEX(Array_StationaryChargeData,ROW()-36,COLUMN()*2-3)),"",INDEX(Array_StationaryChargeData,ROW()-36,COLUMN()*2-3))</f>
        <v/>
      </c>
      <c r="G76" t="str" cm="1">
        <f>IF(ISBLANK(INDEX(Array_StationaryChargeData,ROW()-36,COLUMN()*2-3)),"",INDEX(Array_StationaryChargeData,ROW()-36,COLUMN()*2-3))</f>
        <v/>
      </c>
      <c r="H76" t="str" cm="1">
        <f>IF(ISBLANK(INDEX(Array_StationaryChargeData,ROW()-36,COLUMN()*2-3)),"",INDEX(Array_StationaryChargeData,ROW()-36,COLUMN()*2-3))</f>
        <v/>
      </c>
      <c r="I76" t="str" cm="1">
        <f>IF(ISBLANK(INDEX(Array_StationaryChargeData,ROW()-36,COLUMN()*2-3)),"",INDEX(Array_StationaryChargeData,ROW()-36,COLUMN()*2-3))</f>
        <v/>
      </c>
      <c r="J76" t="str" cm="1">
        <f>IF(ISBLANK(INDEX(Array_StationaryChargeData,ROW()-36,COLUMN()*2-3)),"",INDEX(Array_StationaryChargeData,ROW()-36,COLUMN()*2-3))</f>
        <v/>
      </c>
      <c r="K76" t="str" cm="1">
        <f>IF(ISBLANK(INDEX(Array_StationaryChargeData,ROW()-36,COLUMN()*2-3)),"",INDEX(Array_StationaryChargeData,ROW()-36,COLUMN()*2-3))</f>
        <v/>
      </c>
      <c r="L76" t="str" cm="1">
        <f>IF(ISBLANK(INDEX(Array_StationaryChargeData,ROW()-36,COLUMN()*2-3)),"",INDEX(Array_StationaryChargeData,ROW()-36,COLUMN()*2-3))</f>
        <v/>
      </c>
      <c r="M76" t="str" cm="1">
        <f>IF(ISBLANK(INDEX(Array_StationaryChargeData,ROW()-36,COLUMN()*2-3)),"",INDEX(Array_StationaryChargeData,ROW()-36,COLUMN()*2-3))</f>
        <v/>
      </c>
      <c r="N76" t="str" cm="1">
        <f>IF(ISBLANK(INDEX(Array_StationaryChargeData,ROW()-36,COLUMN()*2-3)),"",INDEX(Array_StationaryChargeData,ROW()-36,COLUMN()*2-3))</f>
        <v/>
      </c>
      <c r="O76" t="str" cm="1">
        <f>IF(ISBLANK(INDEX(Array_StationaryChargeData,ROW()-36,COLUMN()*2-3)),"",INDEX(Array_StationaryChargeData,ROW()-36,COLUMN()*2-3))</f>
        <v/>
      </c>
      <c r="P76" t="str" cm="1">
        <f>IF(ISBLANK(INDEX(Array_StationaryChargeData,ROW()-36,COLUMN()*2-3)),"",INDEX(Array_StationaryChargeData,ROW()-36,COLUMN()*2-3))</f>
        <v/>
      </c>
    </row>
    <row r="77" spans="1:16" x14ac:dyDescent="0.35">
      <c r="A77" t="str">
        <f>IF('Stationary Fuel Meters'!B43="",A76,'Stationary Fuel Meters'!B43)</f>
        <v>Meter Numbers</v>
      </c>
      <c r="B77" t="str" cm="1">
        <f>IF(ISBLANK(INDEX(Array_StationaryChargeData,ROW()-36,COLUMN()*2-3)),"",INDEX(Array_StationaryChargeData,ROW()-36,COLUMN()*2-3))</f>
        <v/>
      </c>
      <c r="C77" t="str" cm="1">
        <f>IF(ISBLANK(INDEX(Array_StationaryChargeData,ROW()-36,COLUMN()*2-3)),"",INDEX(Array_StationaryChargeData,ROW()-36,COLUMN()*2-3))</f>
        <v/>
      </c>
      <c r="D77" t="str" cm="1">
        <f>IF(ISBLANK(INDEX(Array_StationaryChargeData,ROW()-36,COLUMN()*2-3)),"",INDEX(Array_StationaryChargeData,ROW()-36,COLUMN()*2-3))</f>
        <v/>
      </c>
      <c r="E77" t="str" cm="1">
        <f>IF(ISBLANK(INDEX(Array_StationaryChargeData,ROW()-36,COLUMN()*2-3)),"",INDEX(Array_StationaryChargeData,ROW()-36,COLUMN()*2-3))</f>
        <v/>
      </c>
      <c r="F77" t="str" cm="1">
        <f>IF(ISBLANK(INDEX(Array_StationaryChargeData,ROW()-36,COLUMN()*2-3)),"",INDEX(Array_StationaryChargeData,ROW()-36,COLUMN()*2-3))</f>
        <v/>
      </c>
      <c r="G77" t="str" cm="1">
        <f>IF(ISBLANK(INDEX(Array_StationaryChargeData,ROW()-36,COLUMN()*2-3)),"",INDEX(Array_StationaryChargeData,ROW()-36,COLUMN()*2-3))</f>
        <v/>
      </c>
      <c r="H77" t="str" cm="1">
        <f>IF(ISBLANK(INDEX(Array_StationaryChargeData,ROW()-36,COLUMN()*2-3)),"",INDEX(Array_StationaryChargeData,ROW()-36,COLUMN()*2-3))</f>
        <v/>
      </c>
      <c r="I77" t="str" cm="1">
        <f>IF(ISBLANK(INDEX(Array_StationaryChargeData,ROW()-36,COLUMN()*2-3)),"",INDEX(Array_StationaryChargeData,ROW()-36,COLUMN()*2-3))</f>
        <v/>
      </c>
      <c r="J77" t="str" cm="1">
        <f>IF(ISBLANK(INDEX(Array_StationaryChargeData,ROW()-36,COLUMN()*2-3)),"",INDEX(Array_StationaryChargeData,ROW()-36,COLUMN()*2-3))</f>
        <v/>
      </c>
      <c r="K77" t="str" cm="1">
        <f>IF(ISBLANK(INDEX(Array_StationaryChargeData,ROW()-36,COLUMN()*2-3)),"",INDEX(Array_StationaryChargeData,ROW()-36,COLUMN()*2-3))</f>
        <v/>
      </c>
      <c r="L77" t="str" cm="1">
        <f>IF(ISBLANK(INDEX(Array_StationaryChargeData,ROW()-36,COLUMN()*2-3)),"",INDEX(Array_StationaryChargeData,ROW()-36,COLUMN()*2-3))</f>
        <v/>
      </c>
      <c r="M77" t="str" cm="1">
        <f>IF(ISBLANK(INDEX(Array_StationaryChargeData,ROW()-36,COLUMN()*2-3)),"",INDEX(Array_StationaryChargeData,ROW()-36,COLUMN()*2-3))</f>
        <v/>
      </c>
      <c r="N77" t="str" cm="1">
        <f>IF(ISBLANK(INDEX(Array_StationaryChargeData,ROW()-36,COLUMN()*2-3)),"",INDEX(Array_StationaryChargeData,ROW()-36,COLUMN()*2-3))</f>
        <v/>
      </c>
      <c r="O77" t="str" cm="1">
        <f>IF(ISBLANK(INDEX(Array_StationaryChargeData,ROW()-36,COLUMN()*2-3)),"",INDEX(Array_StationaryChargeData,ROW()-36,COLUMN()*2-3))</f>
        <v/>
      </c>
      <c r="P77" t="str" cm="1">
        <f>IF(ISBLANK(INDEX(Array_StationaryChargeData,ROW()-36,COLUMN()*2-3)),"",INDEX(Array_StationaryChargeData,ROW()-36,COLUMN()*2-3))</f>
        <v/>
      </c>
    </row>
    <row r="78" spans="1:16" x14ac:dyDescent="0.35">
      <c r="A78" t="str">
        <f>IF('Stationary Fuel Meters'!B44="",A77,'Stationary Fuel Meters'!B44)</f>
        <v>Meter Numbers</v>
      </c>
      <c r="B78" t="str" cm="1">
        <f>IF(ISBLANK(INDEX(Array_StationaryChargeData,ROW()-36,COLUMN()*2-3)),"",INDEX(Array_StationaryChargeData,ROW()-36,COLUMN()*2-3))</f>
        <v/>
      </c>
      <c r="C78" t="str" cm="1">
        <f>IF(ISBLANK(INDEX(Array_StationaryChargeData,ROW()-36,COLUMN()*2-3)),"",INDEX(Array_StationaryChargeData,ROW()-36,COLUMN()*2-3))</f>
        <v/>
      </c>
      <c r="D78" t="str" cm="1">
        <f>IF(ISBLANK(INDEX(Array_StationaryChargeData,ROW()-36,COLUMN()*2-3)),"",INDEX(Array_StationaryChargeData,ROW()-36,COLUMN()*2-3))</f>
        <v/>
      </c>
      <c r="E78" t="str" cm="1">
        <f>IF(ISBLANK(INDEX(Array_StationaryChargeData,ROW()-36,COLUMN()*2-3)),"",INDEX(Array_StationaryChargeData,ROW()-36,COLUMN()*2-3))</f>
        <v/>
      </c>
      <c r="F78" t="str" cm="1">
        <f>IF(ISBLANK(INDEX(Array_StationaryChargeData,ROW()-36,COLUMN()*2-3)),"",INDEX(Array_StationaryChargeData,ROW()-36,COLUMN()*2-3))</f>
        <v/>
      </c>
      <c r="G78" t="str" cm="1">
        <f>IF(ISBLANK(INDEX(Array_StationaryChargeData,ROW()-36,COLUMN()*2-3)),"",INDEX(Array_StationaryChargeData,ROW()-36,COLUMN()*2-3))</f>
        <v/>
      </c>
      <c r="H78" t="str" cm="1">
        <f>IF(ISBLANK(INDEX(Array_StationaryChargeData,ROW()-36,COLUMN()*2-3)),"",INDEX(Array_StationaryChargeData,ROW()-36,COLUMN()*2-3))</f>
        <v/>
      </c>
      <c r="I78" t="str" cm="1">
        <f>IF(ISBLANK(INDEX(Array_StationaryChargeData,ROW()-36,COLUMN()*2-3)),"",INDEX(Array_StationaryChargeData,ROW()-36,COLUMN()*2-3))</f>
        <v/>
      </c>
      <c r="J78" t="str" cm="1">
        <f>IF(ISBLANK(INDEX(Array_StationaryChargeData,ROW()-36,COLUMN()*2-3)),"",INDEX(Array_StationaryChargeData,ROW()-36,COLUMN()*2-3))</f>
        <v/>
      </c>
      <c r="K78" t="str" cm="1">
        <f>IF(ISBLANK(INDEX(Array_StationaryChargeData,ROW()-36,COLUMN()*2-3)),"",INDEX(Array_StationaryChargeData,ROW()-36,COLUMN()*2-3))</f>
        <v/>
      </c>
      <c r="L78" t="str" cm="1">
        <f>IF(ISBLANK(INDEX(Array_StationaryChargeData,ROW()-36,COLUMN()*2-3)),"",INDEX(Array_StationaryChargeData,ROW()-36,COLUMN()*2-3))</f>
        <v/>
      </c>
      <c r="M78" t="str" cm="1">
        <f>IF(ISBLANK(INDEX(Array_StationaryChargeData,ROW()-36,COLUMN()*2-3)),"",INDEX(Array_StationaryChargeData,ROW()-36,COLUMN()*2-3))</f>
        <v/>
      </c>
      <c r="N78" t="str" cm="1">
        <f>IF(ISBLANK(INDEX(Array_StationaryChargeData,ROW()-36,COLUMN()*2-3)),"",INDEX(Array_StationaryChargeData,ROW()-36,COLUMN()*2-3))</f>
        <v/>
      </c>
      <c r="O78" t="str" cm="1">
        <f>IF(ISBLANK(INDEX(Array_StationaryChargeData,ROW()-36,COLUMN()*2-3)),"",INDEX(Array_StationaryChargeData,ROW()-36,COLUMN()*2-3))</f>
        <v/>
      </c>
      <c r="P78" t="str" cm="1">
        <f>IF(ISBLANK(INDEX(Array_StationaryChargeData,ROW()-36,COLUMN()*2-3)),"",INDEX(Array_StationaryChargeData,ROW()-36,COLUMN()*2-3))</f>
        <v/>
      </c>
    </row>
    <row r="79" spans="1:16" x14ac:dyDescent="0.35">
      <c r="A79" t="str">
        <f>IF('Stationary Fuel Meters'!B45="",A78,'Stationary Fuel Meters'!B45)</f>
        <v>Meter Numbers</v>
      </c>
      <c r="B79" t="str" cm="1">
        <f>IF(ISBLANK(INDEX(Array_StationaryChargeData,ROW()-36,COLUMN()*2-3)),"",INDEX(Array_StationaryChargeData,ROW()-36,COLUMN()*2-3))</f>
        <v/>
      </c>
      <c r="C79" t="str" cm="1">
        <f>IF(ISBLANK(INDEX(Array_StationaryChargeData,ROW()-36,COLUMN()*2-3)),"",INDEX(Array_StationaryChargeData,ROW()-36,COLUMN()*2-3))</f>
        <v/>
      </c>
      <c r="D79" t="str" cm="1">
        <f>IF(ISBLANK(INDEX(Array_StationaryChargeData,ROW()-36,COLUMN()*2-3)),"",INDEX(Array_StationaryChargeData,ROW()-36,COLUMN()*2-3))</f>
        <v/>
      </c>
      <c r="E79" t="str" cm="1">
        <f>IF(ISBLANK(INDEX(Array_StationaryChargeData,ROW()-36,COLUMN()*2-3)),"",INDEX(Array_StationaryChargeData,ROW()-36,COLUMN()*2-3))</f>
        <v/>
      </c>
      <c r="F79" t="str" cm="1">
        <f>IF(ISBLANK(INDEX(Array_StationaryChargeData,ROW()-36,COLUMN()*2-3)),"",INDEX(Array_StationaryChargeData,ROW()-36,COLUMN()*2-3))</f>
        <v/>
      </c>
      <c r="G79" t="str" cm="1">
        <f>IF(ISBLANK(INDEX(Array_StationaryChargeData,ROW()-36,COLUMN()*2-3)),"",INDEX(Array_StationaryChargeData,ROW()-36,COLUMN()*2-3))</f>
        <v/>
      </c>
      <c r="H79" t="str" cm="1">
        <f>IF(ISBLANK(INDEX(Array_StationaryChargeData,ROW()-36,COLUMN()*2-3)),"",INDEX(Array_StationaryChargeData,ROW()-36,COLUMN()*2-3))</f>
        <v/>
      </c>
      <c r="I79" t="str" cm="1">
        <f>IF(ISBLANK(INDEX(Array_StationaryChargeData,ROW()-36,COLUMN()*2-3)),"",INDEX(Array_StationaryChargeData,ROW()-36,COLUMN()*2-3))</f>
        <v/>
      </c>
      <c r="J79" t="str" cm="1">
        <f>IF(ISBLANK(INDEX(Array_StationaryChargeData,ROW()-36,COLUMN()*2-3)),"",INDEX(Array_StationaryChargeData,ROW()-36,COLUMN()*2-3))</f>
        <v/>
      </c>
      <c r="K79" t="str" cm="1">
        <f>IF(ISBLANK(INDEX(Array_StationaryChargeData,ROW()-36,COLUMN()*2-3)),"",INDEX(Array_StationaryChargeData,ROW()-36,COLUMN()*2-3))</f>
        <v/>
      </c>
      <c r="L79" t="str" cm="1">
        <f>IF(ISBLANK(INDEX(Array_StationaryChargeData,ROW()-36,COLUMN()*2-3)),"",INDEX(Array_StationaryChargeData,ROW()-36,COLUMN()*2-3))</f>
        <v/>
      </c>
      <c r="M79" t="str" cm="1">
        <f>IF(ISBLANK(INDEX(Array_StationaryChargeData,ROW()-36,COLUMN()*2-3)),"",INDEX(Array_StationaryChargeData,ROW()-36,COLUMN()*2-3))</f>
        <v/>
      </c>
      <c r="N79" t="str" cm="1">
        <f>IF(ISBLANK(INDEX(Array_StationaryChargeData,ROW()-36,COLUMN()*2-3)),"",INDEX(Array_StationaryChargeData,ROW()-36,COLUMN()*2-3))</f>
        <v/>
      </c>
      <c r="O79" t="str" cm="1">
        <f>IF(ISBLANK(INDEX(Array_StationaryChargeData,ROW()-36,COLUMN()*2-3)),"",INDEX(Array_StationaryChargeData,ROW()-36,COLUMN()*2-3))</f>
        <v/>
      </c>
      <c r="P79" t="str" cm="1">
        <f>IF(ISBLANK(INDEX(Array_StationaryChargeData,ROW()-36,COLUMN()*2-3)),"",INDEX(Array_StationaryChargeData,ROW()-36,COLUMN()*2-3))</f>
        <v/>
      </c>
    </row>
    <row r="80" spans="1:16" x14ac:dyDescent="0.35">
      <c r="A80" t="str">
        <f>IF('Stationary Fuel Meters'!B46="",A79,'Stationary Fuel Meters'!B46)</f>
        <v>Meter Numbers</v>
      </c>
      <c r="B80" t="str" cm="1">
        <f>IF(ISBLANK(INDEX(Array_StationaryChargeData,ROW()-36,COLUMN()*2-3)),"",INDEX(Array_StationaryChargeData,ROW()-36,COLUMN()*2-3))</f>
        <v/>
      </c>
      <c r="C80" t="str" cm="1">
        <f>IF(ISBLANK(INDEX(Array_StationaryChargeData,ROW()-36,COLUMN()*2-3)),"",INDEX(Array_StationaryChargeData,ROW()-36,COLUMN()*2-3))</f>
        <v/>
      </c>
      <c r="D80" t="str" cm="1">
        <f>IF(ISBLANK(INDEX(Array_StationaryChargeData,ROW()-36,COLUMN()*2-3)),"",INDEX(Array_StationaryChargeData,ROW()-36,COLUMN()*2-3))</f>
        <v/>
      </c>
      <c r="E80" t="str" cm="1">
        <f>IF(ISBLANK(INDEX(Array_StationaryChargeData,ROW()-36,COLUMN()*2-3)),"",INDEX(Array_StationaryChargeData,ROW()-36,COLUMN()*2-3))</f>
        <v/>
      </c>
      <c r="F80" t="str" cm="1">
        <f>IF(ISBLANK(INDEX(Array_StationaryChargeData,ROW()-36,COLUMN()*2-3)),"",INDEX(Array_StationaryChargeData,ROW()-36,COLUMN()*2-3))</f>
        <v/>
      </c>
      <c r="G80" t="str" cm="1">
        <f>IF(ISBLANK(INDEX(Array_StationaryChargeData,ROW()-36,COLUMN()*2-3)),"",INDEX(Array_StationaryChargeData,ROW()-36,COLUMN()*2-3))</f>
        <v/>
      </c>
      <c r="H80" t="str" cm="1">
        <f>IF(ISBLANK(INDEX(Array_StationaryChargeData,ROW()-36,COLUMN()*2-3)),"",INDEX(Array_StationaryChargeData,ROW()-36,COLUMN()*2-3))</f>
        <v/>
      </c>
      <c r="I80" t="str" cm="1">
        <f>IF(ISBLANK(INDEX(Array_StationaryChargeData,ROW()-36,COLUMN()*2-3)),"",INDEX(Array_StationaryChargeData,ROW()-36,COLUMN()*2-3))</f>
        <v/>
      </c>
      <c r="J80" t="str" cm="1">
        <f>IF(ISBLANK(INDEX(Array_StationaryChargeData,ROW()-36,COLUMN()*2-3)),"",INDEX(Array_StationaryChargeData,ROW()-36,COLUMN()*2-3))</f>
        <v/>
      </c>
      <c r="K80" t="str" cm="1">
        <f>IF(ISBLANK(INDEX(Array_StationaryChargeData,ROW()-36,COLUMN()*2-3)),"",INDEX(Array_StationaryChargeData,ROW()-36,COLUMN()*2-3))</f>
        <v/>
      </c>
      <c r="L80" t="str" cm="1">
        <f>IF(ISBLANK(INDEX(Array_StationaryChargeData,ROW()-36,COLUMN()*2-3)),"",INDEX(Array_StationaryChargeData,ROW()-36,COLUMN()*2-3))</f>
        <v/>
      </c>
      <c r="M80" t="str" cm="1">
        <f>IF(ISBLANK(INDEX(Array_StationaryChargeData,ROW()-36,COLUMN()*2-3)),"",INDEX(Array_StationaryChargeData,ROW()-36,COLUMN()*2-3))</f>
        <v/>
      </c>
      <c r="N80" t="str" cm="1">
        <f>IF(ISBLANK(INDEX(Array_StationaryChargeData,ROW()-36,COLUMN()*2-3)),"",INDEX(Array_StationaryChargeData,ROW()-36,COLUMN()*2-3))</f>
        <v/>
      </c>
      <c r="O80" t="str" cm="1">
        <f>IF(ISBLANK(INDEX(Array_StationaryChargeData,ROW()-36,COLUMN()*2-3)),"",INDEX(Array_StationaryChargeData,ROW()-36,COLUMN()*2-3))</f>
        <v/>
      </c>
      <c r="P80" t="str" cm="1">
        <f>IF(ISBLANK(INDEX(Array_StationaryChargeData,ROW()-36,COLUMN()*2-3)),"",INDEX(Array_StationaryChargeData,ROW()-36,COLUMN()*2-3))</f>
        <v/>
      </c>
    </row>
    <row r="81" spans="1:16" x14ac:dyDescent="0.35">
      <c r="A81" t="str">
        <f>IF('Stationary Fuel Meters'!B47="",A80,'Stationary Fuel Meters'!B47)</f>
        <v>Meter Numbers</v>
      </c>
      <c r="B81" t="str" cm="1">
        <f>IF(ISBLANK(INDEX(Array_StationaryChargeData,ROW()-36,COLUMN()*2-3)),"",INDEX(Array_StationaryChargeData,ROW()-36,COLUMN()*2-3))</f>
        <v/>
      </c>
      <c r="C81" t="str" cm="1">
        <f>IF(ISBLANK(INDEX(Array_StationaryChargeData,ROW()-36,COLUMN()*2-3)),"",INDEX(Array_StationaryChargeData,ROW()-36,COLUMN()*2-3))</f>
        <v/>
      </c>
      <c r="D81" t="str" cm="1">
        <f>IF(ISBLANK(INDEX(Array_StationaryChargeData,ROW()-36,COLUMN()*2-3)),"",INDEX(Array_StationaryChargeData,ROW()-36,COLUMN()*2-3))</f>
        <v/>
      </c>
      <c r="E81" t="str" cm="1">
        <f>IF(ISBLANK(INDEX(Array_StationaryChargeData,ROW()-36,COLUMN()*2-3)),"",INDEX(Array_StationaryChargeData,ROW()-36,COLUMN()*2-3))</f>
        <v/>
      </c>
      <c r="F81" t="str" cm="1">
        <f>IF(ISBLANK(INDEX(Array_StationaryChargeData,ROW()-36,COLUMN()*2-3)),"",INDEX(Array_StationaryChargeData,ROW()-36,COLUMN()*2-3))</f>
        <v/>
      </c>
      <c r="G81" t="str" cm="1">
        <f>IF(ISBLANK(INDEX(Array_StationaryChargeData,ROW()-36,COLUMN()*2-3)),"",INDEX(Array_StationaryChargeData,ROW()-36,COLUMN()*2-3))</f>
        <v/>
      </c>
      <c r="H81" t="str" cm="1">
        <f>IF(ISBLANK(INDEX(Array_StationaryChargeData,ROW()-36,COLUMN()*2-3)),"",INDEX(Array_StationaryChargeData,ROW()-36,COLUMN()*2-3))</f>
        <v/>
      </c>
      <c r="I81" t="str" cm="1">
        <f>IF(ISBLANK(INDEX(Array_StationaryChargeData,ROW()-36,COLUMN()*2-3)),"",INDEX(Array_StationaryChargeData,ROW()-36,COLUMN()*2-3))</f>
        <v/>
      </c>
      <c r="J81" t="str" cm="1">
        <f>IF(ISBLANK(INDEX(Array_StationaryChargeData,ROW()-36,COLUMN()*2-3)),"",INDEX(Array_StationaryChargeData,ROW()-36,COLUMN()*2-3))</f>
        <v/>
      </c>
      <c r="K81" t="str" cm="1">
        <f>IF(ISBLANK(INDEX(Array_StationaryChargeData,ROW()-36,COLUMN()*2-3)),"",INDEX(Array_StationaryChargeData,ROW()-36,COLUMN()*2-3))</f>
        <v/>
      </c>
      <c r="L81" t="str" cm="1">
        <f>IF(ISBLANK(INDEX(Array_StationaryChargeData,ROW()-36,COLUMN()*2-3)),"",INDEX(Array_StationaryChargeData,ROW()-36,COLUMN()*2-3))</f>
        <v/>
      </c>
      <c r="M81" t="str" cm="1">
        <f>IF(ISBLANK(INDEX(Array_StationaryChargeData,ROW()-36,COLUMN()*2-3)),"",INDEX(Array_StationaryChargeData,ROW()-36,COLUMN()*2-3))</f>
        <v/>
      </c>
      <c r="N81" t="str" cm="1">
        <f>IF(ISBLANK(INDEX(Array_StationaryChargeData,ROW()-36,COLUMN()*2-3)),"",INDEX(Array_StationaryChargeData,ROW()-36,COLUMN()*2-3))</f>
        <v/>
      </c>
      <c r="O81" t="str" cm="1">
        <f>IF(ISBLANK(INDEX(Array_StationaryChargeData,ROW()-36,COLUMN()*2-3)),"",INDEX(Array_StationaryChargeData,ROW()-36,COLUMN()*2-3))</f>
        <v/>
      </c>
      <c r="P81" t="str" cm="1">
        <f>IF(ISBLANK(INDEX(Array_StationaryChargeData,ROW()-36,COLUMN()*2-3)),"",INDEX(Array_StationaryChargeData,ROW()-36,COLUMN()*2-3))</f>
        <v/>
      </c>
    </row>
    <row r="82" spans="1:16" x14ac:dyDescent="0.35">
      <c r="A82" t="str">
        <f>IF('Stationary Fuel Meters'!B48="",A81,'Stationary Fuel Meters'!B48)</f>
        <v>Meter Numbers</v>
      </c>
      <c r="B82" t="str" cm="1">
        <f>IF(ISBLANK(INDEX(Array_StationaryChargeData,ROW()-36,COLUMN()*2-3)),"",INDEX(Array_StationaryChargeData,ROW()-36,COLUMN()*2-3))</f>
        <v/>
      </c>
      <c r="C82" t="str" cm="1">
        <f>IF(ISBLANK(INDEX(Array_StationaryChargeData,ROW()-36,COLUMN()*2-3)),"",INDEX(Array_StationaryChargeData,ROW()-36,COLUMN()*2-3))</f>
        <v/>
      </c>
      <c r="D82" t="str" cm="1">
        <f>IF(ISBLANK(INDEX(Array_StationaryChargeData,ROW()-36,COLUMN()*2-3)),"",INDEX(Array_StationaryChargeData,ROW()-36,COLUMN()*2-3))</f>
        <v/>
      </c>
      <c r="E82" t="str" cm="1">
        <f>IF(ISBLANK(INDEX(Array_StationaryChargeData,ROW()-36,COLUMN()*2-3)),"",INDEX(Array_StationaryChargeData,ROW()-36,COLUMN()*2-3))</f>
        <v/>
      </c>
      <c r="F82" t="str" cm="1">
        <f>IF(ISBLANK(INDEX(Array_StationaryChargeData,ROW()-36,COLUMN()*2-3)),"",INDEX(Array_StationaryChargeData,ROW()-36,COLUMN()*2-3))</f>
        <v/>
      </c>
      <c r="G82" t="str" cm="1">
        <f>IF(ISBLANK(INDEX(Array_StationaryChargeData,ROW()-36,COLUMN()*2-3)),"",INDEX(Array_StationaryChargeData,ROW()-36,COLUMN()*2-3))</f>
        <v/>
      </c>
      <c r="H82" t="str" cm="1">
        <f>IF(ISBLANK(INDEX(Array_StationaryChargeData,ROW()-36,COLUMN()*2-3)),"",INDEX(Array_StationaryChargeData,ROW()-36,COLUMN()*2-3))</f>
        <v/>
      </c>
      <c r="I82" t="str" cm="1">
        <f>IF(ISBLANK(INDEX(Array_StationaryChargeData,ROW()-36,COLUMN()*2-3)),"",INDEX(Array_StationaryChargeData,ROW()-36,COLUMN()*2-3))</f>
        <v/>
      </c>
      <c r="J82" t="str" cm="1">
        <f>IF(ISBLANK(INDEX(Array_StationaryChargeData,ROW()-36,COLUMN()*2-3)),"",INDEX(Array_StationaryChargeData,ROW()-36,COLUMN()*2-3))</f>
        <v/>
      </c>
      <c r="K82" t="str" cm="1">
        <f>IF(ISBLANK(INDEX(Array_StationaryChargeData,ROW()-36,COLUMN()*2-3)),"",INDEX(Array_StationaryChargeData,ROW()-36,COLUMN()*2-3))</f>
        <v/>
      </c>
      <c r="L82" t="str" cm="1">
        <f>IF(ISBLANK(INDEX(Array_StationaryChargeData,ROW()-36,COLUMN()*2-3)),"",INDEX(Array_StationaryChargeData,ROW()-36,COLUMN()*2-3))</f>
        <v/>
      </c>
      <c r="M82" t="str" cm="1">
        <f>IF(ISBLANK(INDEX(Array_StationaryChargeData,ROW()-36,COLUMN()*2-3)),"",INDEX(Array_StationaryChargeData,ROW()-36,COLUMN()*2-3))</f>
        <v/>
      </c>
      <c r="N82" t="str" cm="1">
        <f>IF(ISBLANK(INDEX(Array_StationaryChargeData,ROW()-36,COLUMN()*2-3)),"",INDEX(Array_StationaryChargeData,ROW()-36,COLUMN()*2-3))</f>
        <v/>
      </c>
      <c r="O82" t="str" cm="1">
        <f>IF(ISBLANK(INDEX(Array_StationaryChargeData,ROW()-36,COLUMN()*2-3)),"",INDEX(Array_StationaryChargeData,ROW()-36,COLUMN()*2-3))</f>
        <v/>
      </c>
      <c r="P82" t="str" cm="1">
        <f>IF(ISBLANK(INDEX(Array_StationaryChargeData,ROW()-36,COLUMN()*2-3)),"",INDEX(Array_StationaryChargeData,ROW()-36,COLUMN()*2-3))</f>
        <v/>
      </c>
    </row>
    <row r="83" spans="1:16" x14ac:dyDescent="0.35">
      <c r="A83" t="str">
        <f>IF('Stationary Fuel Meters'!B49="",A82,'Stationary Fuel Meters'!B49)</f>
        <v>Meter Numbers</v>
      </c>
      <c r="B83" t="str" cm="1">
        <f>IF(ISBLANK(INDEX(Array_StationaryChargeData,ROW()-36,COLUMN()*2-3)),"",INDEX(Array_StationaryChargeData,ROW()-36,COLUMN()*2-3))</f>
        <v/>
      </c>
      <c r="C83" t="str" cm="1">
        <f>IF(ISBLANK(INDEX(Array_StationaryChargeData,ROW()-36,COLUMN()*2-3)),"",INDEX(Array_StationaryChargeData,ROW()-36,COLUMN()*2-3))</f>
        <v/>
      </c>
      <c r="D83" t="str" cm="1">
        <f>IF(ISBLANK(INDEX(Array_StationaryChargeData,ROW()-36,COLUMN()*2-3)),"",INDEX(Array_StationaryChargeData,ROW()-36,COLUMN()*2-3))</f>
        <v/>
      </c>
      <c r="E83" t="str" cm="1">
        <f>IF(ISBLANK(INDEX(Array_StationaryChargeData,ROW()-36,COLUMN()*2-3)),"",INDEX(Array_StationaryChargeData,ROW()-36,COLUMN()*2-3))</f>
        <v/>
      </c>
      <c r="F83" t="str" cm="1">
        <f>IF(ISBLANK(INDEX(Array_StationaryChargeData,ROW()-36,COLUMN()*2-3)),"",INDEX(Array_StationaryChargeData,ROW()-36,COLUMN()*2-3))</f>
        <v/>
      </c>
      <c r="G83" t="str" cm="1">
        <f>IF(ISBLANK(INDEX(Array_StationaryChargeData,ROW()-36,COLUMN()*2-3)),"",INDEX(Array_StationaryChargeData,ROW()-36,COLUMN()*2-3))</f>
        <v/>
      </c>
      <c r="H83" t="str" cm="1">
        <f>IF(ISBLANK(INDEX(Array_StationaryChargeData,ROW()-36,COLUMN()*2-3)),"",INDEX(Array_StationaryChargeData,ROW()-36,COLUMN()*2-3))</f>
        <v/>
      </c>
      <c r="I83" t="str" cm="1">
        <f>IF(ISBLANK(INDEX(Array_StationaryChargeData,ROW()-36,COLUMN()*2-3)),"",INDEX(Array_StationaryChargeData,ROW()-36,COLUMN()*2-3))</f>
        <v/>
      </c>
      <c r="J83" t="str" cm="1">
        <f>IF(ISBLANK(INDEX(Array_StationaryChargeData,ROW()-36,COLUMN()*2-3)),"",INDEX(Array_StationaryChargeData,ROW()-36,COLUMN()*2-3))</f>
        <v/>
      </c>
      <c r="K83" t="str" cm="1">
        <f>IF(ISBLANK(INDEX(Array_StationaryChargeData,ROW()-36,COLUMN()*2-3)),"",INDEX(Array_StationaryChargeData,ROW()-36,COLUMN()*2-3))</f>
        <v/>
      </c>
      <c r="L83" t="str" cm="1">
        <f>IF(ISBLANK(INDEX(Array_StationaryChargeData,ROW()-36,COLUMN()*2-3)),"",INDEX(Array_StationaryChargeData,ROW()-36,COLUMN()*2-3))</f>
        <v/>
      </c>
      <c r="M83" t="str" cm="1">
        <f>IF(ISBLANK(INDEX(Array_StationaryChargeData,ROW()-36,COLUMN()*2-3)),"",INDEX(Array_StationaryChargeData,ROW()-36,COLUMN()*2-3))</f>
        <v/>
      </c>
      <c r="N83" t="str" cm="1">
        <f>IF(ISBLANK(INDEX(Array_StationaryChargeData,ROW()-36,COLUMN()*2-3)),"",INDEX(Array_StationaryChargeData,ROW()-36,COLUMN()*2-3))</f>
        <v/>
      </c>
      <c r="O83" t="str" cm="1">
        <f>IF(ISBLANK(INDEX(Array_StationaryChargeData,ROW()-36,COLUMN()*2-3)),"",INDEX(Array_StationaryChargeData,ROW()-36,COLUMN()*2-3))</f>
        <v/>
      </c>
      <c r="P83" t="str" cm="1">
        <f>IF(ISBLANK(INDEX(Array_StationaryChargeData,ROW()-36,COLUMN()*2-3)),"",INDEX(Array_StationaryChargeData,ROW()-36,COLUMN()*2-3))</f>
        <v/>
      </c>
    </row>
    <row r="84" spans="1:16" x14ac:dyDescent="0.35">
      <c r="A84" t="str">
        <f>IF('Stationary Fuel Meters'!B50="",A83,'Stationary Fuel Meters'!B50)</f>
        <v>Meter Numbers</v>
      </c>
      <c r="B84" t="str" cm="1">
        <f>IF(ISBLANK(INDEX(Array_StationaryChargeData,ROW()-36,COLUMN()*2-3)),"",INDEX(Array_StationaryChargeData,ROW()-36,COLUMN()*2-3))</f>
        <v/>
      </c>
      <c r="C84" t="str" cm="1">
        <f>IF(ISBLANK(INDEX(Array_StationaryChargeData,ROW()-36,COLUMN()*2-3)),"",INDEX(Array_StationaryChargeData,ROW()-36,COLUMN()*2-3))</f>
        <v/>
      </c>
      <c r="D84" t="str" cm="1">
        <f>IF(ISBLANK(INDEX(Array_StationaryChargeData,ROW()-36,COLUMN()*2-3)),"",INDEX(Array_StationaryChargeData,ROW()-36,COLUMN()*2-3))</f>
        <v/>
      </c>
      <c r="E84" t="str" cm="1">
        <f>IF(ISBLANK(INDEX(Array_StationaryChargeData,ROW()-36,COLUMN()*2-3)),"",INDEX(Array_StationaryChargeData,ROW()-36,COLUMN()*2-3))</f>
        <v/>
      </c>
      <c r="F84" t="str" cm="1">
        <f>IF(ISBLANK(INDEX(Array_StationaryChargeData,ROW()-36,COLUMN()*2-3)),"",INDEX(Array_StationaryChargeData,ROW()-36,COLUMN()*2-3))</f>
        <v/>
      </c>
      <c r="G84" t="str" cm="1">
        <f>IF(ISBLANK(INDEX(Array_StationaryChargeData,ROW()-36,COLUMN()*2-3)),"",INDEX(Array_StationaryChargeData,ROW()-36,COLUMN()*2-3))</f>
        <v/>
      </c>
      <c r="H84" t="str" cm="1">
        <f>IF(ISBLANK(INDEX(Array_StationaryChargeData,ROW()-36,COLUMN()*2-3)),"",INDEX(Array_StationaryChargeData,ROW()-36,COLUMN()*2-3))</f>
        <v/>
      </c>
      <c r="I84" t="str" cm="1">
        <f>IF(ISBLANK(INDEX(Array_StationaryChargeData,ROW()-36,COLUMN()*2-3)),"",INDEX(Array_StationaryChargeData,ROW()-36,COLUMN()*2-3))</f>
        <v/>
      </c>
      <c r="J84" t="str" cm="1">
        <f>IF(ISBLANK(INDEX(Array_StationaryChargeData,ROW()-36,COLUMN()*2-3)),"",INDEX(Array_StationaryChargeData,ROW()-36,COLUMN()*2-3))</f>
        <v/>
      </c>
      <c r="K84" t="str" cm="1">
        <f>IF(ISBLANK(INDEX(Array_StationaryChargeData,ROW()-36,COLUMN()*2-3)),"",INDEX(Array_StationaryChargeData,ROW()-36,COLUMN()*2-3))</f>
        <v/>
      </c>
      <c r="L84" t="str" cm="1">
        <f>IF(ISBLANK(INDEX(Array_StationaryChargeData,ROW()-36,COLUMN()*2-3)),"",INDEX(Array_StationaryChargeData,ROW()-36,COLUMN()*2-3))</f>
        <v/>
      </c>
      <c r="M84" t="str" cm="1">
        <f>IF(ISBLANK(INDEX(Array_StationaryChargeData,ROW()-36,COLUMN()*2-3)),"",INDEX(Array_StationaryChargeData,ROW()-36,COLUMN()*2-3))</f>
        <v/>
      </c>
      <c r="N84" t="str" cm="1">
        <f>IF(ISBLANK(INDEX(Array_StationaryChargeData,ROW()-36,COLUMN()*2-3)),"",INDEX(Array_StationaryChargeData,ROW()-36,COLUMN()*2-3))</f>
        <v/>
      </c>
      <c r="O84" t="str" cm="1">
        <f>IF(ISBLANK(INDEX(Array_StationaryChargeData,ROW()-36,COLUMN()*2-3)),"",INDEX(Array_StationaryChargeData,ROW()-36,COLUMN()*2-3))</f>
        <v/>
      </c>
      <c r="P84" t="str" cm="1">
        <f>IF(ISBLANK(INDEX(Array_StationaryChargeData,ROW()-36,COLUMN()*2-3)),"",INDEX(Array_StationaryChargeData,ROW()-36,COLUMN()*2-3))</f>
        <v/>
      </c>
    </row>
    <row r="85" spans="1:16" x14ac:dyDescent="0.35">
      <c r="A85" t="str">
        <f>IF('Stationary Fuel Meters'!B51="",A84,'Stationary Fuel Meters'!B51)</f>
        <v>Meter Numbers</v>
      </c>
      <c r="B85" t="str" cm="1">
        <f>IF(ISBLANK(INDEX(Array_StationaryChargeData,ROW()-36,COLUMN()*2-3)),"",INDEX(Array_StationaryChargeData,ROW()-36,COLUMN()*2-3))</f>
        <v/>
      </c>
      <c r="C85" t="str" cm="1">
        <f>IF(ISBLANK(INDEX(Array_StationaryChargeData,ROW()-36,COLUMN()*2-3)),"",INDEX(Array_StationaryChargeData,ROW()-36,COLUMN()*2-3))</f>
        <v/>
      </c>
      <c r="D85" t="str" cm="1">
        <f>IF(ISBLANK(INDEX(Array_StationaryChargeData,ROW()-36,COLUMN()*2-3)),"",INDEX(Array_StationaryChargeData,ROW()-36,COLUMN()*2-3))</f>
        <v/>
      </c>
      <c r="E85" t="str" cm="1">
        <f>IF(ISBLANK(INDEX(Array_StationaryChargeData,ROW()-36,COLUMN()*2-3)),"",INDEX(Array_StationaryChargeData,ROW()-36,COLUMN()*2-3))</f>
        <v/>
      </c>
      <c r="F85" t="str" cm="1">
        <f>IF(ISBLANK(INDEX(Array_StationaryChargeData,ROW()-36,COLUMN()*2-3)),"",INDEX(Array_StationaryChargeData,ROW()-36,COLUMN()*2-3))</f>
        <v/>
      </c>
      <c r="G85" t="str" cm="1">
        <f>IF(ISBLANK(INDEX(Array_StationaryChargeData,ROW()-36,COLUMN()*2-3)),"",INDEX(Array_StationaryChargeData,ROW()-36,COLUMN()*2-3))</f>
        <v/>
      </c>
      <c r="H85" t="str" cm="1">
        <f>IF(ISBLANK(INDEX(Array_StationaryChargeData,ROW()-36,COLUMN()*2-3)),"",INDEX(Array_StationaryChargeData,ROW()-36,COLUMN()*2-3))</f>
        <v/>
      </c>
      <c r="I85" t="str" cm="1">
        <f>IF(ISBLANK(INDEX(Array_StationaryChargeData,ROW()-36,COLUMN()*2-3)),"",INDEX(Array_StationaryChargeData,ROW()-36,COLUMN()*2-3))</f>
        <v/>
      </c>
      <c r="J85" t="str" cm="1">
        <f>IF(ISBLANK(INDEX(Array_StationaryChargeData,ROW()-36,COLUMN()*2-3)),"",INDEX(Array_StationaryChargeData,ROW()-36,COLUMN()*2-3))</f>
        <v/>
      </c>
      <c r="K85" t="str" cm="1">
        <f>IF(ISBLANK(INDEX(Array_StationaryChargeData,ROW()-36,COLUMN()*2-3)),"",INDEX(Array_StationaryChargeData,ROW()-36,COLUMN()*2-3))</f>
        <v/>
      </c>
      <c r="L85" t="str" cm="1">
        <f>IF(ISBLANK(INDEX(Array_StationaryChargeData,ROW()-36,COLUMN()*2-3)),"",INDEX(Array_StationaryChargeData,ROW()-36,COLUMN()*2-3))</f>
        <v/>
      </c>
      <c r="M85" t="str" cm="1">
        <f>IF(ISBLANK(INDEX(Array_StationaryChargeData,ROW()-36,COLUMN()*2-3)),"",INDEX(Array_StationaryChargeData,ROW()-36,COLUMN()*2-3))</f>
        <v/>
      </c>
      <c r="N85" t="str" cm="1">
        <f>IF(ISBLANK(INDEX(Array_StationaryChargeData,ROW()-36,COLUMN()*2-3)),"",INDEX(Array_StationaryChargeData,ROW()-36,COLUMN()*2-3))</f>
        <v/>
      </c>
      <c r="O85" t="str" cm="1">
        <f>IF(ISBLANK(INDEX(Array_StationaryChargeData,ROW()-36,COLUMN()*2-3)),"",INDEX(Array_StationaryChargeData,ROW()-36,COLUMN()*2-3))</f>
        <v/>
      </c>
      <c r="P85" t="str" cm="1">
        <f>IF(ISBLANK(INDEX(Array_StationaryChargeData,ROW()-36,COLUMN()*2-3)),"",INDEX(Array_StationaryChargeData,ROW()-36,COLUMN()*2-3))</f>
        <v/>
      </c>
    </row>
    <row r="86" spans="1:16" x14ac:dyDescent="0.35">
      <c r="A86" t="str">
        <f>IF('Stationary Fuel Meters'!B52="",A85,'Stationary Fuel Meters'!B52)</f>
        <v>Meter Numbers</v>
      </c>
      <c r="B86" t="str" cm="1">
        <f>IF(ISBLANK(INDEX(Array_StationaryChargeData,ROW()-36,COLUMN()*2-3)),"",INDEX(Array_StationaryChargeData,ROW()-36,COLUMN()*2-3))</f>
        <v/>
      </c>
      <c r="C86" t="str" cm="1">
        <f>IF(ISBLANK(INDEX(Array_StationaryChargeData,ROW()-36,COLUMN()*2-3)),"",INDEX(Array_StationaryChargeData,ROW()-36,COLUMN()*2-3))</f>
        <v/>
      </c>
      <c r="D86" t="str" cm="1">
        <f>IF(ISBLANK(INDEX(Array_StationaryChargeData,ROW()-36,COLUMN()*2-3)),"",INDEX(Array_StationaryChargeData,ROW()-36,COLUMN()*2-3))</f>
        <v/>
      </c>
      <c r="E86" t="str" cm="1">
        <f>IF(ISBLANK(INDEX(Array_StationaryChargeData,ROW()-36,COLUMN()*2-3)),"",INDEX(Array_StationaryChargeData,ROW()-36,COLUMN()*2-3))</f>
        <v/>
      </c>
      <c r="F86" t="str" cm="1">
        <f>IF(ISBLANK(INDEX(Array_StationaryChargeData,ROW()-36,COLUMN()*2-3)),"",INDEX(Array_StationaryChargeData,ROW()-36,COLUMN()*2-3))</f>
        <v/>
      </c>
      <c r="G86" t="str" cm="1">
        <f>IF(ISBLANK(INDEX(Array_StationaryChargeData,ROW()-36,COLUMN()*2-3)),"",INDEX(Array_StationaryChargeData,ROW()-36,COLUMN()*2-3))</f>
        <v/>
      </c>
      <c r="H86" t="str" cm="1">
        <f>IF(ISBLANK(INDEX(Array_StationaryChargeData,ROW()-36,COLUMN()*2-3)),"",INDEX(Array_StationaryChargeData,ROW()-36,COLUMN()*2-3))</f>
        <v/>
      </c>
      <c r="I86" t="str" cm="1">
        <f>IF(ISBLANK(INDEX(Array_StationaryChargeData,ROW()-36,COLUMN()*2-3)),"",INDEX(Array_StationaryChargeData,ROW()-36,COLUMN()*2-3))</f>
        <v/>
      </c>
      <c r="J86" t="str" cm="1">
        <f>IF(ISBLANK(INDEX(Array_StationaryChargeData,ROW()-36,COLUMN()*2-3)),"",INDEX(Array_StationaryChargeData,ROW()-36,COLUMN()*2-3))</f>
        <v/>
      </c>
      <c r="K86" t="str" cm="1">
        <f>IF(ISBLANK(INDEX(Array_StationaryChargeData,ROW()-36,COLUMN()*2-3)),"",INDEX(Array_StationaryChargeData,ROW()-36,COLUMN()*2-3))</f>
        <v/>
      </c>
      <c r="L86" t="str" cm="1">
        <f>IF(ISBLANK(INDEX(Array_StationaryChargeData,ROW()-36,COLUMN()*2-3)),"",INDEX(Array_StationaryChargeData,ROW()-36,COLUMN()*2-3))</f>
        <v/>
      </c>
      <c r="M86" t="str" cm="1">
        <f>IF(ISBLANK(INDEX(Array_StationaryChargeData,ROW()-36,COLUMN()*2-3)),"",INDEX(Array_StationaryChargeData,ROW()-36,COLUMN()*2-3))</f>
        <v/>
      </c>
      <c r="N86" t="str" cm="1">
        <f>IF(ISBLANK(INDEX(Array_StationaryChargeData,ROW()-36,COLUMN()*2-3)),"",INDEX(Array_StationaryChargeData,ROW()-36,COLUMN()*2-3))</f>
        <v/>
      </c>
      <c r="O86" t="str" cm="1">
        <f>IF(ISBLANK(INDEX(Array_StationaryChargeData,ROW()-36,COLUMN()*2-3)),"",INDEX(Array_StationaryChargeData,ROW()-36,COLUMN()*2-3))</f>
        <v/>
      </c>
      <c r="P86" t="str" cm="1">
        <f>IF(ISBLANK(INDEX(Array_StationaryChargeData,ROW()-36,COLUMN()*2-3)),"",INDEX(Array_StationaryChargeData,ROW()-36,COLUMN()*2-3))</f>
        <v/>
      </c>
    </row>
    <row r="87" spans="1:16" x14ac:dyDescent="0.35">
      <c r="A87" t="str">
        <f>IF('Stationary Fuel Meters'!B53="",A86,'Stationary Fuel Meters'!B53)</f>
        <v>Meter Numbers</v>
      </c>
      <c r="B87" t="str" cm="1">
        <f>IF(ISBLANK(INDEX(Array_StationaryChargeData,ROW()-36,COLUMN()*2-3)),"",INDEX(Array_StationaryChargeData,ROW()-36,COLUMN()*2-3))</f>
        <v/>
      </c>
      <c r="C87" t="str" cm="1">
        <f>IF(ISBLANK(INDEX(Array_StationaryChargeData,ROW()-36,COLUMN()*2-3)),"",INDEX(Array_StationaryChargeData,ROW()-36,COLUMN()*2-3))</f>
        <v/>
      </c>
      <c r="D87" t="str" cm="1">
        <f>IF(ISBLANK(INDEX(Array_StationaryChargeData,ROW()-36,COLUMN()*2-3)),"",INDEX(Array_StationaryChargeData,ROW()-36,COLUMN()*2-3))</f>
        <v/>
      </c>
      <c r="E87" t="str" cm="1">
        <f>IF(ISBLANK(INDEX(Array_StationaryChargeData,ROW()-36,COLUMN()*2-3)),"",INDEX(Array_StationaryChargeData,ROW()-36,COLUMN()*2-3))</f>
        <v/>
      </c>
      <c r="F87" t="str" cm="1">
        <f>IF(ISBLANK(INDEX(Array_StationaryChargeData,ROW()-36,COLUMN()*2-3)),"",INDEX(Array_StationaryChargeData,ROW()-36,COLUMN()*2-3))</f>
        <v/>
      </c>
      <c r="G87" t="str" cm="1">
        <f>IF(ISBLANK(INDEX(Array_StationaryChargeData,ROW()-36,COLUMN()*2-3)),"",INDEX(Array_StationaryChargeData,ROW()-36,COLUMN()*2-3))</f>
        <v/>
      </c>
      <c r="H87" t="str" cm="1">
        <f>IF(ISBLANK(INDEX(Array_StationaryChargeData,ROW()-36,COLUMN()*2-3)),"",INDEX(Array_StationaryChargeData,ROW()-36,COLUMN()*2-3))</f>
        <v/>
      </c>
      <c r="I87" t="str" cm="1">
        <f>IF(ISBLANK(INDEX(Array_StationaryChargeData,ROW()-36,COLUMN()*2-3)),"",INDEX(Array_StationaryChargeData,ROW()-36,COLUMN()*2-3))</f>
        <v/>
      </c>
      <c r="J87" t="str" cm="1">
        <f>IF(ISBLANK(INDEX(Array_StationaryChargeData,ROW()-36,COLUMN()*2-3)),"",INDEX(Array_StationaryChargeData,ROW()-36,COLUMN()*2-3))</f>
        <v/>
      </c>
      <c r="K87" t="str" cm="1">
        <f>IF(ISBLANK(INDEX(Array_StationaryChargeData,ROW()-36,COLUMN()*2-3)),"",INDEX(Array_StationaryChargeData,ROW()-36,COLUMN()*2-3))</f>
        <v/>
      </c>
      <c r="L87" t="str" cm="1">
        <f>IF(ISBLANK(INDEX(Array_StationaryChargeData,ROW()-36,COLUMN()*2-3)),"",INDEX(Array_StationaryChargeData,ROW()-36,COLUMN()*2-3))</f>
        <v/>
      </c>
      <c r="M87" t="str" cm="1">
        <f>IF(ISBLANK(INDEX(Array_StationaryChargeData,ROW()-36,COLUMN()*2-3)),"",INDEX(Array_StationaryChargeData,ROW()-36,COLUMN()*2-3))</f>
        <v/>
      </c>
      <c r="N87" t="str" cm="1">
        <f>IF(ISBLANK(INDEX(Array_StationaryChargeData,ROW()-36,COLUMN()*2-3)),"",INDEX(Array_StationaryChargeData,ROW()-36,COLUMN()*2-3))</f>
        <v/>
      </c>
      <c r="O87" t="str" cm="1">
        <f>IF(ISBLANK(INDEX(Array_StationaryChargeData,ROW()-36,COLUMN()*2-3)),"",INDEX(Array_StationaryChargeData,ROW()-36,COLUMN()*2-3))</f>
        <v/>
      </c>
      <c r="P87" t="str" cm="1">
        <f>IF(ISBLANK(INDEX(Array_StationaryChargeData,ROW()-36,COLUMN()*2-3)),"",INDEX(Array_StationaryChargeData,ROW()-36,COLUMN()*2-3))</f>
        <v/>
      </c>
    </row>
    <row r="88" spans="1:16" x14ac:dyDescent="0.35">
      <c r="A88" t="str">
        <f>IF('Stationary Fuel Meters'!B54="",A87,'Stationary Fuel Meters'!B54)</f>
        <v>Meter Numbers</v>
      </c>
      <c r="B88" t="str" cm="1">
        <f>IF(ISBLANK(INDEX(Array_StationaryChargeData,ROW()-36,COLUMN()*2-3)),"",INDEX(Array_StationaryChargeData,ROW()-36,COLUMN()*2-3))</f>
        <v/>
      </c>
      <c r="C88" t="str" cm="1">
        <f>IF(ISBLANK(INDEX(Array_StationaryChargeData,ROW()-36,COLUMN()*2-3)),"",INDEX(Array_StationaryChargeData,ROW()-36,COLUMN()*2-3))</f>
        <v/>
      </c>
      <c r="D88" t="str" cm="1">
        <f>IF(ISBLANK(INDEX(Array_StationaryChargeData,ROW()-36,COLUMN()*2-3)),"",INDEX(Array_StationaryChargeData,ROW()-36,COLUMN()*2-3))</f>
        <v/>
      </c>
      <c r="E88" t="str" cm="1">
        <f>IF(ISBLANK(INDEX(Array_StationaryChargeData,ROW()-36,COLUMN()*2-3)),"",INDEX(Array_StationaryChargeData,ROW()-36,COLUMN()*2-3))</f>
        <v/>
      </c>
      <c r="F88" t="str" cm="1">
        <f>IF(ISBLANK(INDEX(Array_StationaryChargeData,ROW()-36,COLUMN()*2-3)),"",INDEX(Array_StationaryChargeData,ROW()-36,COLUMN()*2-3))</f>
        <v/>
      </c>
      <c r="G88" t="str" cm="1">
        <f>IF(ISBLANK(INDEX(Array_StationaryChargeData,ROW()-36,COLUMN()*2-3)),"",INDEX(Array_StationaryChargeData,ROW()-36,COLUMN()*2-3))</f>
        <v/>
      </c>
      <c r="H88" t="str" cm="1">
        <f>IF(ISBLANK(INDEX(Array_StationaryChargeData,ROW()-36,COLUMN()*2-3)),"",INDEX(Array_StationaryChargeData,ROW()-36,COLUMN()*2-3))</f>
        <v/>
      </c>
      <c r="I88" t="str" cm="1">
        <f>IF(ISBLANK(INDEX(Array_StationaryChargeData,ROW()-36,COLUMN()*2-3)),"",INDEX(Array_StationaryChargeData,ROW()-36,COLUMN()*2-3))</f>
        <v/>
      </c>
      <c r="J88" t="str" cm="1">
        <f>IF(ISBLANK(INDEX(Array_StationaryChargeData,ROW()-36,COLUMN()*2-3)),"",INDEX(Array_StationaryChargeData,ROW()-36,COLUMN()*2-3))</f>
        <v/>
      </c>
      <c r="K88" t="str" cm="1">
        <f>IF(ISBLANK(INDEX(Array_StationaryChargeData,ROW()-36,COLUMN()*2-3)),"",INDEX(Array_StationaryChargeData,ROW()-36,COLUMN()*2-3))</f>
        <v/>
      </c>
      <c r="L88" t="str" cm="1">
        <f>IF(ISBLANK(INDEX(Array_StationaryChargeData,ROW()-36,COLUMN()*2-3)),"",INDEX(Array_StationaryChargeData,ROW()-36,COLUMN()*2-3))</f>
        <v/>
      </c>
      <c r="M88" t="str" cm="1">
        <f>IF(ISBLANK(INDEX(Array_StationaryChargeData,ROW()-36,COLUMN()*2-3)),"",INDEX(Array_StationaryChargeData,ROW()-36,COLUMN()*2-3))</f>
        <v/>
      </c>
      <c r="N88" t="str" cm="1">
        <f>IF(ISBLANK(INDEX(Array_StationaryChargeData,ROW()-36,COLUMN()*2-3)),"",INDEX(Array_StationaryChargeData,ROW()-36,COLUMN()*2-3))</f>
        <v/>
      </c>
      <c r="O88" t="str" cm="1">
        <f>IF(ISBLANK(INDEX(Array_StationaryChargeData,ROW()-36,COLUMN()*2-3)),"",INDEX(Array_StationaryChargeData,ROW()-36,COLUMN()*2-3))</f>
        <v/>
      </c>
      <c r="P88" t="str" cm="1">
        <f>IF(ISBLANK(INDEX(Array_StationaryChargeData,ROW()-36,COLUMN()*2-3)),"",INDEX(Array_StationaryChargeData,ROW()-36,COLUMN()*2-3))</f>
        <v/>
      </c>
    </row>
    <row r="89" spans="1:16" x14ac:dyDescent="0.35">
      <c r="A89" t="str">
        <f>IF('Stationary Fuel Meters'!B55="",A88,'Stationary Fuel Meters'!B55)</f>
        <v>Meter Numbers</v>
      </c>
      <c r="B89" t="str" cm="1">
        <f>IF(ISBLANK(INDEX(Array_StationaryChargeData,ROW()-36,COLUMN()*2-3)),"",INDEX(Array_StationaryChargeData,ROW()-36,COLUMN()*2-3))</f>
        <v/>
      </c>
      <c r="C89" t="str" cm="1">
        <f>IF(ISBLANK(INDEX(Array_StationaryChargeData,ROW()-36,COLUMN()*2-3)),"",INDEX(Array_StationaryChargeData,ROW()-36,COLUMN()*2-3))</f>
        <v/>
      </c>
      <c r="D89" t="str" cm="1">
        <f>IF(ISBLANK(INDEX(Array_StationaryChargeData,ROW()-36,COLUMN()*2-3)),"",INDEX(Array_StationaryChargeData,ROW()-36,COLUMN()*2-3))</f>
        <v/>
      </c>
      <c r="E89" t="str" cm="1">
        <f>IF(ISBLANK(INDEX(Array_StationaryChargeData,ROW()-36,COLUMN()*2-3)),"",INDEX(Array_StationaryChargeData,ROW()-36,COLUMN()*2-3))</f>
        <v/>
      </c>
      <c r="F89" t="str" cm="1">
        <f>IF(ISBLANK(INDEX(Array_StationaryChargeData,ROW()-36,COLUMN()*2-3)),"",INDEX(Array_StationaryChargeData,ROW()-36,COLUMN()*2-3))</f>
        <v/>
      </c>
      <c r="G89" t="str" cm="1">
        <f>IF(ISBLANK(INDEX(Array_StationaryChargeData,ROW()-36,COLUMN()*2-3)),"",INDEX(Array_StationaryChargeData,ROW()-36,COLUMN()*2-3))</f>
        <v/>
      </c>
      <c r="H89" t="str" cm="1">
        <f>IF(ISBLANK(INDEX(Array_StationaryChargeData,ROW()-36,COLUMN()*2-3)),"",INDEX(Array_StationaryChargeData,ROW()-36,COLUMN()*2-3))</f>
        <v/>
      </c>
      <c r="I89" t="str" cm="1">
        <f>IF(ISBLANK(INDEX(Array_StationaryChargeData,ROW()-36,COLUMN()*2-3)),"",INDEX(Array_StationaryChargeData,ROW()-36,COLUMN()*2-3))</f>
        <v/>
      </c>
      <c r="J89" t="str" cm="1">
        <f>IF(ISBLANK(INDEX(Array_StationaryChargeData,ROW()-36,COLUMN()*2-3)),"",INDEX(Array_StationaryChargeData,ROW()-36,COLUMN()*2-3))</f>
        <v/>
      </c>
      <c r="K89" t="str" cm="1">
        <f>IF(ISBLANK(INDEX(Array_StationaryChargeData,ROW()-36,COLUMN()*2-3)),"",INDEX(Array_StationaryChargeData,ROW()-36,COLUMN()*2-3))</f>
        <v/>
      </c>
      <c r="L89" t="str" cm="1">
        <f>IF(ISBLANK(INDEX(Array_StationaryChargeData,ROW()-36,COLUMN()*2-3)),"",INDEX(Array_StationaryChargeData,ROW()-36,COLUMN()*2-3))</f>
        <v/>
      </c>
      <c r="M89" t="str" cm="1">
        <f>IF(ISBLANK(INDEX(Array_StationaryChargeData,ROW()-36,COLUMN()*2-3)),"",INDEX(Array_StationaryChargeData,ROW()-36,COLUMN()*2-3))</f>
        <v/>
      </c>
      <c r="N89" t="str" cm="1">
        <f>IF(ISBLANK(INDEX(Array_StationaryChargeData,ROW()-36,COLUMN()*2-3)),"",INDEX(Array_StationaryChargeData,ROW()-36,COLUMN()*2-3))</f>
        <v/>
      </c>
      <c r="O89" t="str" cm="1">
        <f>IF(ISBLANK(INDEX(Array_StationaryChargeData,ROW()-36,COLUMN()*2-3)),"",INDEX(Array_StationaryChargeData,ROW()-36,COLUMN()*2-3))</f>
        <v/>
      </c>
      <c r="P89" t="str" cm="1">
        <f>IF(ISBLANK(INDEX(Array_StationaryChargeData,ROW()-36,COLUMN()*2-3)),"",INDEX(Array_StationaryChargeData,ROW()-36,COLUMN()*2-3))</f>
        <v/>
      </c>
    </row>
    <row r="90" spans="1:16" x14ac:dyDescent="0.35">
      <c r="A90" t="str">
        <f>IF('Stationary Fuel Meters'!B56="",A89,'Stationary Fuel Meters'!B56)</f>
        <v>Meter Numbers</v>
      </c>
      <c r="B90" t="str" cm="1">
        <f>IF(ISBLANK(INDEX(Array_StationaryChargeData,ROW()-36,COLUMN()*2-3)),"",INDEX(Array_StationaryChargeData,ROW()-36,COLUMN()*2-3))</f>
        <v/>
      </c>
      <c r="C90" t="str" cm="1">
        <f>IF(ISBLANK(INDEX(Array_StationaryChargeData,ROW()-36,COLUMN()*2-3)),"",INDEX(Array_StationaryChargeData,ROW()-36,COLUMN()*2-3))</f>
        <v/>
      </c>
      <c r="D90" t="str" cm="1">
        <f>IF(ISBLANK(INDEX(Array_StationaryChargeData,ROW()-36,COLUMN()*2-3)),"",INDEX(Array_StationaryChargeData,ROW()-36,COLUMN()*2-3))</f>
        <v/>
      </c>
      <c r="E90" t="str" cm="1">
        <f>IF(ISBLANK(INDEX(Array_StationaryChargeData,ROW()-36,COLUMN()*2-3)),"",INDEX(Array_StationaryChargeData,ROW()-36,COLUMN()*2-3))</f>
        <v/>
      </c>
      <c r="F90" t="str" cm="1">
        <f>IF(ISBLANK(INDEX(Array_StationaryChargeData,ROW()-36,COLUMN()*2-3)),"",INDEX(Array_StationaryChargeData,ROW()-36,COLUMN()*2-3))</f>
        <v/>
      </c>
      <c r="G90" t="str" cm="1">
        <f>IF(ISBLANK(INDEX(Array_StationaryChargeData,ROW()-36,COLUMN()*2-3)),"",INDEX(Array_StationaryChargeData,ROW()-36,COLUMN()*2-3))</f>
        <v/>
      </c>
      <c r="H90" t="str" cm="1">
        <f>IF(ISBLANK(INDEX(Array_StationaryChargeData,ROW()-36,COLUMN()*2-3)),"",INDEX(Array_StationaryChargeData,ROW()-36,COLUMN()*2-3))</f>
        <v/>
      </c>
      <c r="I90" t="str" cm="1">
        <f>IF(ISBLANK(INDEX(Array_StationaryChargeData,ROW()-36,COLUMN()*2-3)),"",INDEX(Array_StationaryChargeData,ROW()-36,COLUMN()*2-3))</f>
        <v/>
      </c>
      <c r="J90" t="str" cm="1">
        <f>IF(ISBLANK(INDEX(Array_StationaryChargeData,ROW()-36,COLUMN()*2-3)),"",INDEX(Array_StationaryChargeData,ROW()-36,COLUMN()*2-3))</f>
        <v/>
      </c>
      <c r="K90" t="str" cm="1">
        <f>IF(ISBLANK(INDEX(Array_StationaryChargeData,ROW()-36,COLUMN()*2-3)),"",INDEX(Array_StationaryChargeData,ROW()-36,COLUMN()*2-3))</f>
        <v/>
      </c>
      <c r="L90" t="str" cm="1">
        <f>IF(ISBLANK(INDEX(Array_StationaryChargeData,ROW()-36,COLUMN()*2-3)),"",INDEX(Array_StationaryChargeData,ROW()-36,COLUMN()*2-3))</f>
        <v/>
      </c>
      <c r="M90" t="str" cm="1">
        <f>IF(ISBLANK(INDEX(Array_StationaryChargeData,ROW()-36,COLUMN()*2-3)),"",INDEX(Array_StationaryChargeData,ROW()-36,COLUMN()*2-3))</f>
        <v/>
      </c>
      <c r="N90" t="str" cm="1">
        <f>IF(ISBLANK(INDEX(Array_StationaryChargeData,ROW()-36,COLUMN()*2-3)),"",INDEX(Array_StationaryChargeData,ROW()-36,COLUMN()*2-3))</f>
        <v/>
      </c>
      <c r="O90" t="str" cm="1">
        <f>IF(ISBLANK(INDEX(Array_StationaryChargeData,ROW()-36,COLUMN()*2-3)),"",INDEX(Array_StationaryChargeData,ROW()-36,COLUMN()*2-3))</f>
        <v/>
      </c>
      <c r="P90" t="str" cm="1">
        <f>IF(ISBLANK(INDEX(Array_StationaryChargeData,ROW()-36,COLUMN()*2-3)),"",INDEX(Array_StationaryChargeData,ROW()-36,COLUMN()*2-3))</f>
        <v/>
      </c>
    </row>
    <row r="91" spans="1:16" x14ac:dyDescent="0.35">
      <c r="A91" t="str">
        <f>IF('Stationary Fuel Meters'!B57="",A90,'Stationary Fuel Meters'!B57)</f>
        <v>Meter Numbers</v>
      </c>
      <c r="B91" t="str" cm="1">
        <f>IF(ISBLANK(INDEX(Array_StationaryChargeData,ROW()-36,COLUMN()*2-3)),"",INDEX(Array_StationaryChargeData,ROW()-36,COLUMN()*2-3))</f>
        <v/>
      </c>
      <c r="C91" t="str" cm="1">
        <f>IF(ISBLANK(INDEX(Array_StationaryChargeData,ROW()-36,COLUMN()*2-3)),"",INDEX(Array_StationaryChargeData,ROW()-36,COLUMN()*2-3))</f>
        <v/>
      </c>
      <c r="D91" t="str" cm="1">
        <f>IF(ISBLANK(INDEX(Array_StationaryChargeData,ROW()-36,COLUMN()*2-3)),"",INDEX(Array_StationaryChargeData,ROW()-36,COLUMN()*2-3))</f>
        <v/>
      </c>
      <c r="E91" t="str" cm="1">
        <f>IF(ISBLANK(INDEX(Array_StationaryChargeData,ROW()-36,COLUMN()*2-3)),"",INDEX(Array_StationaryChargeData,ROW()-36,COLUMN()*2-3))</f>
        <v/>
      </c>
      <c r="F91" t="str" cm="1">
        <f>IF(ISBLANK(INDEX(Array_StationaryChargeData,ROW()-36,COLUMN()*2-3)),"",INDEX(Array_StationaryChargeData,ROW()-36,COLUMN()*2-3))</f>
        <v/>
      </c>
      <c r="G91" t="str" cm="1">
        <f>IF(ISBLANK(INDEX(Array_StationaryChargeData,ROW()-36,COLUMN()*2-3)),"",INDEX(Array_StationaryChargeData,ROW()-36,COLUMN()*2-3))</f>
        <v/>
      </c>
      <c r="H91" t="str" cm="1">
        <f>IF(ISBLANK(INDEX(Array_StationaryChargeData,ROW()-36,COLUMN()*2-3)),"",INDEX(Array_StationaryChargeData,ROW()-36,COLUMN()*2-3))</f>
        <v/>
      </c>
      <c r="I91" t="str" cm="1">
        <f>IF(ISBLANK(INDEX(Array_StationaryChargeData,ROW()-36,COLUMN()*2-3)),"",INDEX(Array_StationaryChargeData,ROW()-36,COLUMN()*2-3))</f>
        <v/>
      </c>
      <c r="J91" t="str" cm="1">
        <f>IF(ISBLANK(INDEX(Array_StationaryChargeData,ROW()-36,COLUMN()*2-3)),"",INDEX(Array_StationaryChargeData,ROW()-36,COLUMN()*2-3))</f>
        <v/>
      </c>
      <c r="K91" t="str" cm="1">
        <f>IF(ISBLANK(INDEX(Array_StationaryChargeData,ROW()-36,COLUMN()*2-3)),"",INDEX(Array_StationaryChargeData,ROW()-36,COLUMN()*2-3))</f>
        <v/>
      </c>
      <c r="L91" t="str" cm="1">
        <f>IF(ISBLANK(INDEX(Array_StationaryChargeData,ROW()-36,COLUMN()*2-3)),"",INDEX(Array_StationaryChargeData,ROW()-36,COLUMN()*2-3))</f>
        <v/>
      </c>
      <c r="M91" t="str" cm="1">
        <f>IF(ISBLANK(INDEX(Array_StationaryChargeData,ROW()-36,COLUMN()*2-3)),"",INDEX(Array_StationaryChargeData,ROW()-36,COLUMN()*2-3))</f>
        <v/>
      </c>
      <c r="N91" t="str" cm="1">
        <f>IF(ISBLANK(INDEX(Array_StationaryChargeData,ROW()-36,COLUMN()*2-3)),"",INDEX(Array_StationaryChargeData,ROW()-36,COLUMN()*2-3))</f>
        <v/>
      </c>
      <c r="O91" t="str" cm="1">
        <f>IF(ISBLANK(INDEX(Array_StationaryChargeData,ROW()-36,COLUMN()*2-3)),"",INDEX(Array_StationaryChargeData,ROW()-36,COLUMN()*2-3))</f>
        <v/>
      </c>
      <c r="P91" t="str" cm="1">
        <f>IF(ISBLANK(INDEX(Array_StationaryChargeData,ROW()-36,COLUMN()*2-3)),"",INDEX(Array_StationaryChargeData,ROW()-36,COLUMN()*2-3))</f>
        <v/>
      </c>
    </row>
    <row r="92" spans="1:16" x14ac:dyDescent="0.35">
      <c r="A92" t="str">
        <f>IF('Stationary Fuel Meters'!B58="",A91,'Stationary Fuel Meters'!B58)</f>
        <v>Meter Numbers</v>
      </c>
      <c r="B92" t="str" cm="1">
        <f>IF(ISBLANK(INDEX(Array_StationaryChargeData,ROW()-36,COLUMN()*2-3)),"",INDEX(Array_StationaryChargeData,ROW()-36,COLUMN()*2-3))</f>
        <v/>
      </c>
      <c r="C92" t="str" cm="1">
        <f>IF(ISBLANK(INDEX(Array_StationaryChargeData,ROW()-36,COLUMN()*2-3)),"",INDEX(Array_StationaryChargeData,ROW()-36,COLUMN()*2-3))</f>
        <v/>
      </c>
      <c r="D92" t="str" cm="1">
        <f>IF(ISBLANK(INDEX(Array_StationaryChargeData,ROW()-36,COLUMN()*2-3)),"",INDEX(Array_StationaryChargeData,ROW()-36,COLUMN()*2-3))</f>
        <v/>
      </c>
      <c r="E92" t="str" cm="1">
        <f>IF(ISBLANK(INDEX(Array_StationaryChargeData,ROW()-36,COLUMN()*2-3)),"",INDEX(Array_StationaryChargeData,ROW()-36,COLUMN()*2-3))</f>
        <v/>
      </c>
      <c r="F92" t="str" cm="1">
        <f>IF(ISBLANK(INDEX(Array_StationaryChargeData,ROW()-36,COLUMN()*2-3)),"",INDEX(Array_StationaryChargeData,ROW()-36,COLUMN()*2-3))</f>
        <v/>
      </c>
      <c r="G92" t="str" cm="1">
        <f>IF(ISBLANK(INDEX(Array_StationaryChargeData,ROW()-36,COLUMN()*2-3)),"",INDEX(Array_StationaryChargeData,ROW()-36,COLUMN()*2-3))</f>
        <v/>
      </c>
      <c r="H92" t="str" cm="1">
        <f>IF(ISBLANK(INDEX(Array_StationaryChargeData,ROW()-36,COLUMN()*2-3)),"",INDEX(Array_StationaryChargeData,ROW()-36,COLUMN()*2-3))</f>
        <v/>
      </c>
      <c r="I92" t="str" cm="1">
        <f>IF(ISBLANK(INDEX(Array_StationaryChargeData,ROW()-36,COLUMN()*2-3)),"",INDEX(Array_StationaryChargeData,ROW()-36,COLUMN()*2-3))</f>
        <v/>
      </c>
      <c r="J92" t="str" cm="1">
        <f>IF(ISBLANK(INDEX(Array_StationaryChargeData,ROW()-36,COLUMN()*2-3)),"",INDEX(Array_StationaryChargeData,ROW()-36,COLUMN()*2-3))</f>
        <v/>
      </c>
      <c r="K92" t="str" cm="1">
        <f>IF(ISBLANK(INDEX(Array_StationaryChargeData,ROW()-36,COLUMN()*2-3)),"",INDEX(Array_StationaryChargeData,ROW()-36,COLUMN()*2-3))</f>
        <v/>
      </c>
      <c r="L92" t="str" cm="1">
        <f>IF(ISBLANK(INDEX(Array_StationaryChargeData,ROW()-36,COLUMN()*2-3)),"",INDEX(Array_StationaryChargeData,ROW()-36,COLUMN()*2-3))</f>
        <v/>
      </c>
      <c r="M92" t="str" cm="1">
        <f>IF(ISBLANK(INDEX(Array_StationaryChargeData,ROW()-36,COLUMN()*2-3)),"",INDEX(Array_StationaryChargeData,ROW()-36,COLUMN()*2-3))</f>
        <v/>
      </c>
      <c r="N92" t="str" cm="1">
        <f>IF(ISBLANK(INDEX(Array_StationaryChargeData,ROW()-36,COLUMN()*2-3)),"",INDEX(Array_StationaryChargeData,ROW()-36,COLUMN()*2-3))</f>
        <v/>
      </c>
      <c r="O92" t="str" cm="1">
        <f>IF(ISBLANK(INDEX(Array_StationaryChargeData,ROW()-36,COLUMN()*2-3)),"",INDEX(Array_StationaryChargeData,ROW()-36,COLUMN()*2-3))</f>
        <v/>
      </c>
      <c r="P92" t="str" cm="1">
        <f>IF(ISBLANK(INDEX(Array_StationaryChargeData,ROW()-36,COLUMN()*2-3)),"",INDEX(Array_StationaryChargeData,ROW()-36,COLUMN()*2-3))</f>
        <v/>
      </c>
    </row>
    <row r="93" spans="1:16" x14ac:dyDescent="0.35">
      <c r="A93" t="str">
        <f>IF('Stationary Fuel Meters'!B59="",A92,'Stationary Fuel Meters'!B59)</f>
        <v>Meter Numbers</v>
      </c>
      <c r="B93" t="str" cm="1">
        <f>IF(ISBLANK(INDEX(Array_StationaryChargeData,ROW()-36,COLUMN()*2-3)),"",INDEX(Array_StationaryChargeData,ROW()-36,COLUMN()*2-3))</f>
        <v/>
      </c>
      <c r="C93" t="str" cm="1">
        <f>IF(ISBLANK(INDEX(Array_StationaryChargeData,ROW()-36,COLUMN()*2-3)),"",INDEX(Array_StationaryChargeData,ROW()-36,COLUMN()*2-3))</f>
        <v/>
      </c>
      <c r="D93" t="str" cm="1">
        <f>IF(ISBLANK(INDEX(Array_StationaryChargeData,ROW()-36,COLUMN()*2-3)),"",INDEX(Array_StationaryChargeData,ROW()-36,COLUMN()*2-3))</f>
        <v/>
      </c>
      <c r="E93" t="str" cm="1">
        <f>IF(ISBLANK(INDEX(Array_StationaryChargeData,ROW()-36,COLUMN()*2-3)),"",INDEX(Array_StationaryChargeData,ROW()-36,COLUMN()*2-3))</f>
        <v/>
      </c>
      <c r="F93" t="str" cm="1">
        <f>IF(ISBLANK(INDEX(Array_StationaryChargeData,ROW()-36,COLUMN()*2-3)),"",INDEX(Array_StationaryChargeData,ROW()-36,COLUMN()*2-3))</f>
        <v/>
      </c>
      <c r="G93" t="str" cm="1">
        <f>IF(ISBLANK(INDEX(Array_StationaryChargeData,ROW()-36,COLUMN()*2-3)),"",INDEX(Array_StationaryChargeData,ROW()-36,COLUMN()*2-3))</f>
        <v/>
      </c>
      <c r="H93" t="str" cm="1">
        <f>IF(ISBLANK(INDEX(Array_StationaryChargeData,ROW()-36,COLUMN()*2-3)),"",INDEX(Array_StationaryChargeData,ROW()-36,COLUMN()*2-3))</f>
        <v/>
      </c>
      <c r="I93" t="str" cm="1">
        <f>IF(ISBLANK(INDEX(Array_StationaryChargeData,ROW()-36,COLUMN()*2-3)),"",INDEX(Array_StationaryChargeData,ROW()-36,COLUMN()*2-3))</f>
        <v/>
      </c>
      <c r="J93" t="str" cm="1">
        <f>IF(ISBLANK(INDEX(Array_StationaryChargeData,ROW()-36,COLUMN()*2-3)),"",INDEX(Array_StationaryChargeData,ROW()-36,COLUMN()*2-3))</f>
        <v/>
      </c>
      <c r="K93" t="str" cm="1">
        <f>IF(ISBLANK(INDEX(Array_StationaryChargeData,ROW()-36,COLUMN()*2-3)),"",INDEX(Array_StationaryChargeData,ROW()-36,COLUMN()*2-3))</f>
        <v/>
      </c>
      <c r="L93" t="str" cm="1">
        <f>IF(ISBLANK(INDEX(Array_StationaryChargeData,ROW()-36,COLUMN()*2-3)),"",INDEX(Array_StationaryChargeData,ROW()-36,COLUMN()*2-3))</f>
        <v/>
      </c>
      <c r="M93" t="str" cm="1">
        <f>IF(ISBLANK(INDEX(Array_StationaryChargeData,ROW()-36,COLUMN()*2-3)),"",INDEX(Array_StationaryChargeData,ROW()-36,COLUMN()*2-3))</f>
        <v/>
      </c>
      <c r="N93" t="str" cm="1">
        <f>IF(ISBLANK(INDEX(Array_StationaryChargeData,ROW()-36,COLUMN()*2-3)),"",INDEX(Array_StationaryChargeData,ROW()-36,COLUMN()*2-3))</f>
        <v/>
      </c>
      <c r="O93" t="str" cm="1">
        <f>IF(ISBLANK(INDEX(Array_StationaryChargeData,ROW()-36,COLUMN()*2-3)),"",INDEX(Array_StationaryChargeData,ROW()-36,COLUMN()*2-3))</f>
        <v/>
      </c>
      <c r="P93" t="str" cm="1">
        <f>IF(ISBLANK(INDEX(Array_StationaryChargeData,ROW()-36,COLUMN()*2-3)),"",INDEX(Array_StationaryChargeData,ROW()-36,COLUMN()*2-3))</f>
        <v/>
      </c>
    </row>
    <row r="94" spans="1:16" x14ac:dyDescent="0.35">
      <c r="A94" t="str">
        <f>IF('Stationary Fuel Meters'!B60="",A93,'Stationary Fuel Meters'!B60)</f>
        <v>Meter Numbers</v>
      </c>
      <c r="B94" t="str" cm="1">
        <f>IF(ISBLANK(INDEX(Array_StationaryChargeData,ROW()-36,COLUMN()*2-3)),"",INDEX(Array_StationaryChargeData,ROW()-36,COLUMN()*2-3))</f>
        <v/>
      </c>
      <c r="C94" t="str" cm="1">
        <f>IF(ISBLANK(INDEX(Array_StationaryChargeData,ROW()-36,COLUMN()*2-3)),"",INDEX(Array_StationaryChargeData,ROW()-36,COLUMN()*2-3))</f>
        <v/>
      </c>
      <c r="D94" t="str" cm="1">
        <f>IF(ISBLANK(INDEX(Array_StationaryChargeData,ROW()-36,COLUMN()*2-3)),"",INDEX(Array_StationaryChargeData,ROW()-36,COLUMN()*2-3))</f>
        <v/>
      </c>
      <c r="E94" t="str" cm="1">
        <f>IF(ISBLANK(INDEX(Array_StationaryChargeData,ROW()-36,COLUMN()*2-3)),"",INDEX(Array_StationaryChargeData,ROW()-36,COLUMN()*2-3))</f>
        <v/>
      </c>
      <c r="F94" t="str" cm="1">
        <f>IF(ISBLANK(INDEX(Array_StationaryChargeData,ROW()-36,COLUMN()*2-3)),"",INDEX(Array_StationaryChargeData,ROW()-36,COLUMN()*2-3))</f>
        <v/>
      </c>
      <c r="G94" t="str" cm="1">
        <f>IF(ISBLANK(INDEX(Array_StationaryChargeData,ROW()-36,COLUMN()*2-3)),"",INDEX(Array_StationaryChargeData,ROW()-36,COLUMN()*2-3))</f>
        <v/>
      </c>
      <c r="H94" t="str" cm="1">
        <f>IF(ISBLANK(INDEX(Array_StationaryChargeData,ROW()-36,COLUMN()*2-3)),"",INDEX(Array_StationaryChargeData,ROW()-36,COLUMN()*2-3))</f>
        <v/>
      </c>
      <c r="I94" t="str" cm="1">
        <f>IF(ISBLANK(INDEX(Array_StationaryChargeData,ROW()-36,COLUMN()*2-3)),"",INDEX(Array_StationaryChargeData,ROW()-36,COLUMN()*2-3))</f>
        <v/>
      </c>
      <c r="J94" t="str" cm="1">
        <f>IF(ISBLANK(INDEX(Array_StationaryChargeData,ROW()-36,COLUMN()*2-3)),"",INDEX(Array_StationaryChargeData,ROW()-36,COLUMN()*2-3))</f>
        <v/>
      </c>
      <c r="K94" t="str" cm="1">
        <f>IF(ISBLANK(INDEX(Array_StationaryChargeData,ROW()-36,COLUMN()*2-3)),"",INDEX(Array_StationaryChargeData,ROW()-36,COLUMN()*2-3))</f>
        <v/>
      </c>
      <c r="L94" t="str" cm="1">
        <f>IF(ISBLANK(INDEX(Array_StationaryChargeData,ROW()-36,COLUMN()*2-3)),"",INDEX(Array_StationaryChargeData,ROW()-36,COLUMN()*2-3))</f>
        <v/>
      </c>
      <c r="M94" t="str" cm="1">
        <f>IF(ISBLANK(INDEX(Array_StationaryChargeData,ROW()-36,COLUMN()*2-3)),"",INDEX(Array_StationaryChargeData,ROW()-36,COLUMN()*2-3))</f>
        <v/>
      </c>
      <c r="N94" t="str" cm="1">
        <f>IF(ISBLANK(INDEX(Array_StationaryChargeData,ROW()-36,COLUMN()*2-3)),"",INDEX(Array_StationaryChargeData,ROW()-36,COLUMN()*2-3))</f>
        <v/>
      </c>
      <c r="O94" t="str" cm="1">
        <f>IF(ISBLANK(INDEX(Array_StationaryChargeData,ROW()-36,COLUMN()*2-3)),"",INDEX(Array_StationaryChargeData,ROW()-36,COLUMN()*2-3))</f>
        <v/>
      </c>
      <c r="P94" t="str" cm="1">
        <f>IF(ISBLANK(INDEX(Array_StationaryChargeData,ROW()-36,COLUMN()*2-3)),"",INDEX(Array_StationaryChargeData,ROW()-36,COLUMN()*2-3))</f>
        <v/>
      </c>
    </row>
    <row r="95" spans="1:16" x14ac:dyDescent="0.35">
      <c r="A95" t="str">
        <f>IF('Stationary Fuel Meters'!B61="",A94,'Stationary Fuel Meters'!B61)</f>
        <v>Meter Numbers</v>
      </c>
      <c r="B95" t="str" cm="1">
        <f>IF(ISBLANK(INDEX(Array_StationaryChargeData,ROW()-36,COLUMN()*2-3)),"",INDEX(Array_StationaryChargeData,ROW()-36,COLUMN()*2-3))</f>
        <v/>
      </c>
      <c r="C95" t="str" cm="1">
        <f>IF(ISBLANK(INDEX(Array_StationaryChargeData,ROW()-36,COLUMN()*2-3)),"",INDEX(Array_StationaryChargeData,ROW()-36,COLUMN()*2-3))</f>
        <v/>
      </c>
      <c r="D95" t="str" cm="1">
        <f>IF(ISBLANK(INDEX(Array_StationaryChargeData,ROW()-36,COLUMN()*2-3)),"",INDEX(Array_StationaryChargeData,ROW()-36,COLUMN()*2-3))</f>
        <v/>
      </c>
      <c r="E95" t="str" cm="1">
        <f>IF(ISBLANK(INDEX(Array_StationaryChargeData,ROW()-36,COLUMN()*2-3)),"",INDEX(Array_StationaryChargeData,ROW()-36,COLUMN()*2-3))</f>
        <v/>
      </c>
      <c r="F95" t="str" cm="1">
        <f>IF(ISBLANK(INDEX(Array_StationaryChargeData,ROW()-36,COLUMN()*2-3)),"",INDEX(Array_StationaryChargeData,ROW()-36,COLUMN()*2-3))</f>
        <v/>
      </c>
      <c r="G95" t="str" cm="1">
        <f>IF(ISBLANK(INDEX(Array_StationaryChargeData,ROW()-36,COLUMN()*2-3)),"",INDEX(Array_StationaryChargeData,ROW()-36,COLUMN()*2-3))</f>
        <v/>
      </c>
      <c r="H95" t="str" cm="1">
        <f>IF(ISBLANK(INDEX(Array_StationaryChargeData,ROW()-36,COLUMN()*2-3)),"",INDEX(Array_StationaryChargeData,ROW()-36,COLUMN()*2-3))</f>
        <v/>
      </c>
      <c r="I95" t="str" cm="1">
        <f>IF(ISBLANK(INDEX(Array_StationaryChargeData,ROW()-36,COLUMN()*2-3)),"",INDEX(Array_StationaryChargeData,ROW()-36,COLUMN()*2-3))</f>
        <v/>
      </c>
      <c r="J95" t="str" cm="1">
        <f>IF(ISBLANK(INDEX(Array_StationaryChargeData,ROW()-36,COLUMN()*2-3)),"",INDEX(Array_StationaryChargeData,ROW()-36,COLUMN()*2-3))</f>
        <v/>
      </c>
      <c r="K95" t="str" cm="1">
        <f>IF(ISBLANK(INDEX(Array_StationaryChargeData,ROW()-36,COLUMN()*2-3)),"",INDEX(Array_StationaryChargeData,ROW()-36,COLUMN()*2-3))</f>
        <v/>
      </c>
      <c r="L95" t="str" cm="1">
        <f>IF(ISBLANK(INDEX(Array_StationaryChargeData,ROW()-36,COLUMN()*2-3)),"",INDEX(Array_StationaryChargeData,ROW()-36,COLUMN()*2-3))</f>
        <v/>
      </c>
      <c r="M95" t="str" cm="1">
        <f>IF(ISBLANK(INDEX(Array_StationaryChargeData,ROW()-36,COLUMN()*2-3)),"",INDEX(Array_StationaryChargeData,ROW()-36,COLUMN()*2-3))</f>
        <v/>
      </c>
      <c r="N95" t="str" cm="1">
        <f>IF(ISBLANK(INDEX(Array_StationaryChargeData,ROW()-36,COLUMN()*2-3)),"",INDEX(Array_StationaryChargeData,ROW()-36,COLUMN()*2-3))</f>
        <v/>
      </c>
      <c r="O95" t="str" cm="1">
        <f>IF(ISBLANK(INDEX(Array_StationaryChargeData,ROW()-36,COLUMN()*2-3)),"",INDEX(Array_StationaryChargeData,ROW()-36,COLUMN()*2-3))</f>
        <v/>
      </c>
      <c r="P95" t="str" cm="1">
        <f>IF(ISBLANK(INDEX(Array_StationaryChargeData,ROW()-36,COLUMN()*2-3)),"",INDEX(Array_StationaryChargeData,ROW()-36,COLUMN()*2-3))</f>
        <v/>
      </c>
    </row>
    <row r="96" spans="1:16" x14ac:dyDescent="0.35">
      <c r="A96" t="str">
        <f>IF('Stationary Fuel Meters'!B62="",A95,'Stationary Fuel Meters'!B62)</f>
        <v>Meter Numbers</v>
      </c>
      <c r="B96" t="str" cm="1">
        <f>IF(ISBLANK(INDEX(Array_StationaryChargeData,ROW()-36,COLUMN()*2-3)),"",INDEX(Array_StationaryChargeData,ROW()-36,COLUMN()*2-3))</f>
        <v/>
      </c>
      <c r="C96" t="str" cm="1">
        <f>IF(ISBLANK(INDEX(Array_StationaryChargeData,ROW()-36,COLUMN()*2-3)),"",INDEX(Array_StationaryChargeData,ROW()-36,COLUMN()*2-3))</f>
        <v/>
      </c>
      <c r="D96" t="str" cm="1">
        <f>IF(ISBLANK(INDEX(Array_StationaryChargeData,ROW()-36,COLUMN()*2-3)),"",INDEX(Array_StationaryChargeData,ROW()-36,COLUMN()*2-3))</f>
        <v/>
      </c>
      <c r="E96" t="str" cm="1">
        <f>IF(ISBLANK(INDEX(Array_StationaryChargeData,ROW()-36,COLUMN()*2-3)),"",INDEX(Array_StationaryChargeData,ROW()-36,COLUMN()*2-3))</f>
        <v/>
      </c>
      <c r="F96" t="str" cm="1">
        <f>IF(ISBLANK(INDEX(Array_StationaryChargeData,ROW()-36,COLUMN()*2-3)),"",INDEX(Array_StationaryChargeData,ROW()-36,COLUMN()*2-3))</f>
        <v/>
      </c>
      <c r="G96" t="str" cm="1">
        <f>IF(ISBLANK(INDEX(Array_StationaryChargeData,ROW()-36,COLUMN()*2-3)),"",INDEX(Array_StationaryChargeData,ROW()-36,COLUMN()*2-3))</f>
        <v/>
      </c>
      <c r="H96" t="str" cm="1">
        <f>IF(ISBLANK(INDEX(Array_StationaryChargeData,ROW()-36,COLUMN()*2-3)),"",INDEX(Array_StationaryChargeData,ROW()-36,COLUMN()*2-3))</f>
        <v/>
      </c>
      <c r="I96" t="str" cm="1">
        <f>IF(ISBLANK(INDEX(Array_StationaryChargeData,ROW()-36,COLUMN()*2-3)),"",INDEX(Array_StationaryChargeData,ROW()-36,COLUMN()*2-3))</f>
        <v/>
      </c>
      <c r="J96" t="str" cm="1">
        <f>IF(ISBLANK(INDEX(Array_StationaryChargeData,ROW()-36,COLUMN()*2-3)),"",INDEX(Array_StationaryChargeData,ROW()-36,COLUMN()*2-3))</f>
        <v/>
      </c>
      <c r="K96" t="str" cm="1">
        <f>IF(ISBLANK(INDEX(Array_StationaryChargeData,ROW()-36,COLUMN()*2-3)),"",INDEX(Array_StationaryChargeData,ROW()-36,COLUMN()*2-3))</f>
        <v/>
      </c>
      <c r="L96" t="str" cm="1">
        <f>IF(ISBLANK(INDEX(Array_StationaryChargeData,ROW()-36,COLUMN()*2-3)),"",INDEX(Array_StationaryChargeData,ROW()-36,COLUMN()*2-3))</f>
        <v/>
      </c>
      <c r="M96" t="str" cm="1">
        <f>IF(ISBLANK(INDEX(Array_StationaryChargeData,ROW()-36,COLUMN()*2-3)),"",INDEX(Array_StationaryChargeData,ROW()-36,COLUMN()*2-3))</f>
        <v/>
      </c>
      <c r="N96" t="str" cm="1">
        <f>IF(ISBLANK(INDEX(Array_StationaryChargeData,ROW()-36,COLUMN()*2-3)),"",INDEX(Array_StationaryChargeData,ROW()-36,COLUMN()*2-3))</f>
        <v/>
      </c>
      <c r="O96" t="str" cm="1">
        <f>IF(ISBLANK(INDEX(Array_StationaryChargeData,ROW()-36,COLUMN()*2-3)),"",INDEX(Array_StationaryChargeData,ROW()-36,COLUMN()*2-3))</f>
        <v/>
      </c>
      <c r="P96" t="str" cm="1">
        <f>IF(ISBLANK(INDEX(Array_StationaryChargeData,ROW()-36,COLUMN()*2-3)),"",INDEX(Array_StationaryChargeData,ROW()-36,COLUMN()*2-3))</f>
        <v/>
      </c>
    </row>
    <row r="97" spans="1:16" x14ac:dyDescent="0.35">
      <c r="A97" t="str">
        <f>IF('Stationary Fuel Meters'!B63="",A96,'Stationary Fuel Meters'!B63)</f>
        <v>Meter Numbers</v>
      </c>
      <c r="B97" t="str" cm="1">
        <f>IF(ISBLANK(INDEX(Array_StationaryChargeData,ROW()-36,COLUMN()*2-3)),"",INDEX(Array_StationaryChargeData,ROW()-36,COLUMN()*2-3))</f>
        <v/>
      </c>
      <c r="C97" t="str" cm="1">
        <f>IF(ISBLANK(INDEX(Array_StationaryChargeData,ROW()-36,COLUMN()*2-3)),"",INDEX(Array_StationaryChargeData,ROW()-36,COLUMN()*2-3))</f>
        <v/>
      </c>
      <c r="D97" t="str" cm="1">
        <f>IF(ISBLANK(INDEX(Array_StationaryChargeData,ROW()-36,COLUMN()*2-3)),"",INDEX(Array_StationaryChargeData,ROW()-36,COLUMN()*2-3))</f>
        <v/>
      </c>
      <c r="E97" t="str" cm="1">
        <f>IF(ISBLANK(INDEX(Array_StationaryChargeData,ROW()-36,COLUMN()*2-3)),"",INDEX(Array_StationaryChargeData,ROW()-36,COLUMN()*2-3))</f>
        <v/>
      </c>
      <c r="F97" t="str" cm="1">
        <f>IF(ISBLANK(INDEX(Array_StationaryChargeData,ROW()-36,COLUMN()*2-3)),"",INDEX(Array_StationaryChargeData,ROW()-36,COLUMN()*2-3))</f>
        <v/>
      </c>
      <c r="G97" t="str" cm="1">
        <f>IF(ISBLANK(INDEX(Array_StationaryChargeData,ROW()-36,COLUMN()*2-3)),"",INDEX(Array_StationaryChargeData,ROW()-36,COLUMN()*2-3))</f>
        <v/>
      </c>
      <c r="H97" t="str" cm="1">
        <f>IF(ISBLANK(INDEX(Array_StationaryChargeData,ROW()-36,COLUMN()*2-3)),"",INDEX(Array_StationaryChargeData,ROW()-36,COLUMN()*2-3))</f>
        <v/>
      </c>
      <c r="I97" t="str" cm="1">
        <f>IF(ISBLANK(INDEX(Array_StationaryChargeData,ROW()-36,COLUMN()*2-3)),"",INDEX(Array_StationaryChargeData,ROW()-36,COLUMN()*2-3))</f>
        <v/>
      </c>
      <c r="J97" t="str" cm="1">
        <f>IF(ISBLANK(INDEX(Array_StationaryChargeData,ROW()-36,COLUMN()*2-3)),"",INDEX(Array_StationaryChargeData,ROW()-36,COLUMN()*2-3))</f>
        <v/>
      </c>
      <c r="K97" t="str" cm="1">
        <f>IF(ISBLANK(INDEX(Array_StationaryChargeData,ROW()-36,COLUMN()*2-3)),"",INDEX(Array_StationaryChargeData,ROW()-36,COLUMN()*2-3))</f>
        <v/>
      </c>
      <c r="L97" t="str" cm="1">
        <f>IF(ISBLANK(INDEX(Array_StationaryChargeData,ROW()-36,COLUMN()*2-3)),"",INDEX(Array_StationaryChargeData,ROW()-36,COLUMN()*2-3))</f>
        <v/>
      </c>
      <c r="M97" t="str" cm="1">
        <f>IF(ISBLANK(INDEX(Array_StationaryChargeData,ROW()-36,COLUMN()*2-3)),"",INDEX(Array_StationaryChargeData,ROW()-36,COLUMN()*2-3))</f>
        <v/>
      </c>
      <c r="N97" t="str" cm="1">
        <f>IF(ISBLANK(INDEX(Array_StationaryChargeData,ROW()-36,COLUMN()*2-3)),"",INDEX(Array_StationaryChargeData,ROW()-36,COLUMN()*2-3))</f>
        <v/>
      </c>
      <c r="O97" t="str" cm="1">
        <f>IF(ISBLANK(INDEX(Array_StationaryChargeData,ROW()-36,COLUMN()*2-3)),"",INDEX(Array_StationaryChargeData,ROW()-36,COLUMN()*2-3))</f>
        <v/>
      </c>
      <c r="P97" t="str" cm="1">
        <f>IF(ISBLANK(INDEX(Array_StationaryChargeData,ROW()-36,COLUMN()*2-3)),"",INDEX(Array_StationaryChargeData,ROW()-36,COLUMN()*2-3))</f>
        <v/>
      </c>
    </row>
    <row r="98" spans="1:16" x14ac:dyDescent="0.35">
      <c r="A98" t="str">
        <f>IF('Stationary Fuel Meters'!B64="",A97,'Stationary Fuel Meters'!B64)</f>
        <v>Meter Numbers</v>
      </c>
      <c r="B98" t="str" cm="1">
        <f>IF(ISBLANK(INDEX(Array_StationaryChargeData,ROW()-36,COLUMN()*2-3)),"",INDEX(Array_StationaryChargeData,ROW()-36,COLUMN()*2-3))</f>
        <v/>
      </c>
      <c r="C98" t="str" cm="1">
        <f>IF(ISBLANK(INDEX(Array_StationaryChargeData,ROW()-36,COLUMN()*2-3)),"",INDEX(Array_StationaryChargeData,ROW()-36,COLUMN()*2-3))</f>
        <v/>
      </c>
      <c r="D98" t="str" cm="1">
        <f>IF(ISBLANK(INDEX(Array_StationaryChargeData,ROW()-36,COLUMN()*2-3)),"",INDEX(Array_StationaryChargeData,ROW()-36,COLUMN()*2-3))</f>
        <v/>
      </c>
      <c r="E98" t="str" cm="1">
        <f>IF(ISBLANK(INDEX(Array_StationaryChargeData,ROW()-36,COLUMN()*2-3)),"",INDEX(Array_StationaryChargeData,ROW()-36,COLUMN()*2-3))</f>
        <v/>
      </c>
      <c r="F98" t="str" cm="1">
        <f>IF(ISBLANK(INDEX(Array_StationaryChargeData,ROW()-36,COLUMN()*2-3)),"",INDEX(Array_StationaryChargeData,ROW()-36,COLUMN()*2-3))</f>
        <v/>
      </c>
      <c r="G98" t="str" cm="1">
        <f>IF(ISBLANK(INDEX(Array_StationaryChargeData,ROW()-36,COLUMN()*2-3)),"",INDEX(Array_StationaryChargeData,ROW()-36,COLUMN()*2-3))</f>
        <v/>
      </c>
      <c r="H98" t="str" cm="1">
        <f>IF(ISBLANK(INDEX(Array_StationaryChargeData,ROW()-36,COLUMN()*2-3)),"",INDEX(Array_StationaryChargeData,ROW()-36,COLUMN()*2-3))</f>
        <v/>
      </c>
      <c r="I98" t="str" cm="1">
        <f>IF(ISBLANK(INDEX(Array_StationaryChargeData,ROW()-36,COLUMN()*2-3)),"",INDEX(Array_StationaryChargeData,ROW()-36,COLUMN()*2-3))</f>
        <v/>
      </c>
      <c r="J98" t="str" cm="1">
        <f>IF(ISBLANK(INDEX(Array_StationaryChargeData,ROW()-36,COLUMN()*2-3)),"",INDEX(Array_StationaryChargeData,ROW()-36,COLUMN()*2-3))</f>
        <v/>
      </c>
      <c r="K98" t="str" cm="1">
        <f>IF(ISBLANK(INDEX(Array_StationaryChargeData,ROW()-36,COLUMN()*2-3)),"",INDEX(Array_StationaryChargeData,ROW()-36,COLUMN()*2-3))</f>
        <v/>
      </c>
      <c r="L98" t="str" cm="1">
        <f>IF(ISBLANK(INDEX(Array_StationaryChargeData,ROW()-36,COLUMN()*2-3)),"",INDEX(Array_StationaryChargeData,ROW()-36,COLUMN()*2-3))</f>
        <v/>
      </c>
      <c r="M98" t="str" cm="1">
        <f>IF(ISBLANK(INDEX(Array_StationaryChargeData,ROW()-36,COLUMN()*2-3)),"",INDEX(Array_StationaryChargeData,ROW()-36,COLUMN()*2-3))</f>
        <v/>
      </c>
      <c r="N98" t="str" cm="1">
        <f>IF(ISBLANK(INDEX(Array_StationaryChargeData,ROW()-36,COLUMN()*2-3)),"",INDEX(Array_StationaryChargeData,ROW()-36,COLUMN()*2-3))</f>
        <v/>
      </c>
      <c r="O98" t="str" cm="1">
        <f>IF(ISBLANK(INDEX(Array_StationaryChargeData,ROW()-36,COLUMN()*2-3)),"",INDEX(Array_StationaryChargeData,ROW()-36,COLUMN()*2-3))</f>
        <v/>
      </c>
      <c r="P98" t="str" cm="1">
        <f>IF(ISBLANK(INDEX(Array_StationaryChargeData,ROW()-36,COLUMN()*2-3)),"",INDEX(Array_StationaryChargeData,ROW()-36,COLUMN()*2-3))</f>
        <v/>
      </c>
    </row>
    <row r="99" spans="1:16" x14ac:dyDescent="0.35">
      <c r="A99" t="str">
        <f>IF('Stationary Fuel Meters'!B65="",A98,'Stationary Fuel Meters'!B65)</f>
        <v>Meter Numbers</v>
      </c>
      <c r="B99" t="str" cm="1">
        <f>IF(ISBLANK(INDEX(Array_StationaryChargeData,ROW()-36,COLUMN()*2-3)),"",INDEX(Array_StationaryChargeData,ROW()-36,COLUMN()*2-3))</f>
        <v/>
      </c>
      <c r="C99" t="str" cm="1">
        <f>IF(ISBLANK(INDEX(Array_StationaryChargeData,ROW()-36,COLUMN()*2-3)),"",INDEX(Array_StationaryChargeData,ROW()-36,COLUMN()*2-3))</f>
        <v/>
      </c>
      <c r="D99" t="str" cm="1">
        <f>IF(ISBLANK(INDEX(Array_StationaryChargeData,ROW()-36,COLUMN()*2-3)),"",INDEX(Array_StationaryChargeData,ROW()-36,COLUMN()*2-3))</f>
        <v/>
      </c>
      <c r="E99" t="str" cm="1">
        <f>IF(ISBLANK(INDEX(Array_StationaryChargeData,ROW()-36,COLUMN()*2-3)),"",INDEX(Array_StationaryChargeData,ROW()-36,COLUMN()*2-3))</f>
        <v/>
      </c>
      <c r="F99" t="str" cm="1">
        <f>IF(ISBLANK(INDEX(Array_StationaryChargeData,ROW()-36,COLUMN()*2-3)),"",INDEX(Array_StationaryChargeData,ROW()-36,COLUMN()*2-3))</f>
        <v/>
      </c>
      <c r="G99" t="str" cm="1">
        <f>IF(ISBLANK(INDEX(Array_StationaryChargeData,ROW()-36,COLUMN()*2-3)),"",INDEX(Array_StationaryChargeData,ROW()-36,COLUMN()*2-3))</f>
        <v/>
      </c>
      <c r="H99" t="str" cm="1">
        <f>IF(ISBLANK(INDEX(Array_StationaryChargeData,ROW()-36,COLUMN()*2-3)),"",INDEX(Array_StationaryChargeData,ROW()-36,COLUMN()*2-3))</f>
        <v/>
      </c>
      <c r="I99" t="str" cm="1">
        <f>IF(ISBLANK(INDEX(Array_StationaryChargeData,ROW()-36,COLUMN()*2-3)),"",INDEX(Array_StationaryChargeData,ROW()-36,COLUMN()*2-3))</f>
        <v/>
      </c>
      <c r="J99" t="str" cm="1">
        <f>IF(ISBLANK(INDEX(Array_StationaryChargeData,ROW()-36,COLUMN()*2-3)),"",INDEX(Array_StationaryChargeData,ROW()-36,COLUMN()*2-3))</f>
        <v/>
      </c>
      <c r="K99" t="str" cm="1">
        <f>IF(ISBLANK(INDEX(Array_StationaryChargeData,ROW()-36,COLUMN()*2-3)),"",INDEX(Array_StationaryChargeData,ROW()-36,COLUMN()*2-3))</f>
        <v/>
      </c>
      <c r="L99" t="str" cm="1">
        <f>IF(ISBLANK(INDEX(Array_StationaryChargeData,ROW()-36,COLUMN()*2-3)),"",INDEX(Array_StationaryChargeData,ROW()-36,COLUMN()*2-3))</f>
        <v/>
      </c>
      <c r="M99" t="str" cm="1">
        <f>IF(ISBLANK(INDEX(Array_StationaryChargeData,ROW()-36,COLUMN()*2-3)),"",INDEX(Array_StationaryChargeData,ROW()-36,COLUMN()*2-3))</f>
        <v/>
      </c>
      <c r="N99" t="str" cm="1">
        <f>IF(ISBLANK(INDEX(Array_StationaryChargeData,ROW()-36,COLUMN()*2-3)),"",INDEX(Array_StationaryChargeData,ROW()-36,COLUMN()*2-3))</f>
        <v/>
      </c>
      <c r="O99" t="str" cm="1">
        <f>IF(ISBLANK(INDEX(Array_StationaryChargeData,ROW()-36,COLUMN()*2-3)),"",INDEX(Array_StationaryChargeData,ROW()-36,COLUMN()*2-3))</f>
        <v/>
      </c>
      <c r="P99" t="str" cm="1">
        <f>IF(ISBLANK(INDEX(Array_StationaryChargeData,ROW()-36,COLUMN()*2-3)),"",INDEX(Array_StationaryChargeData,ROW()-36,COLUMN()*2-3))</f>
        <v/>
      </c>
    </row>
    <row r="100" spans="1:16" x14ac:dyDescent="0.35">
      <c r="A100" t="str">
        <f>IF('Stationary Fuel Meters'!B66="",A99,'Stationary Fuel Meters'!B66)</f>
        <v>Meter Numbers</v>
      </c>
      <c r="B100" t="str" cm="1">
        <f>IF(ISBLANK(INDEX(Array_StationaryChargeData,ROW()-36,COLUMN()*2-3)),"",INDEX(Array_StationaryChargeData,ROW()-36,COLUMN()*2-3))</f>
        <v/>
      </c>
      <c r="C100" t="str" cm="1">
        <f>IF(ISBLANK(INDEX(Array_StationaryChargeData,ROW()-36,COLUMN()*2-3)),"",INDEX(Array_StationaryChargeData,ROW()-36,COLUMN()*2-3))</f>
        <v/>
      </c>
      <c r="D100" t="str" cm="1">
        <f>IF(ISBLANK(INDEX(Array_StationaryChargeData,ROW()-36,COLUMN()*2-3)),"",INDEX(Array_StationaryChargeData,ROW()-36,COLUMN()*2-3))</f>
        <v/>
      </c>
      <c r="E100" t="str" cm="1">
        <f>IF(ISBLANK(INDEX(Array_StationaryChargeData,ROW()-36,COLUMN()*2-3)),"",INDEX(Array_StationaryChargeData,ROW()-36,COLUMN()*2-3))</f>
        <v/>
      </c>
      <c r="F100" t="str" cm="1">
        <f>IF(ISBLANK(INDEX(Array_StationaryChargeData,ROW()-36,COLUMN()*2-3)),"",INDEX(Array_StationaryChargeData,ROW()-36,COLUMN()*2-3))</f>
        <v/>
      </c>
      <c r="G100" t="str" cm="1">
        <f>IF(ISBLANK(INDEX(Array_StationaryChargeData,ROW()-36,COLUMN()*2-3)),"",INDEX(Array_StationaryChargeData,ROW()-36,COLUMN()*2-3))</f>
        <v/>
      </c>
      <c r="H100" t="str" cm="1">
        <f>IF(ISBLANK(INDEX(Array_StationaryChargeData,ROW()-36,COLUMN()*2-3)),"",INDEX(Array_StationaryChargeData,ROW()-36,COLUMN()*2-3))</f>
        <v/>
      </c>
      <c r="I100" t="str" cm="1">
        <f>IF(ISBLANK(INDEX(Array_StationaryChargeData,ROW()-36,COLUMN()*2-3)),"",INDEX(Array_StationaryChargeData,ROW()-36,COLUMN()*2-3))</f>
        <v/>
      </c>
      <c r="J100" t="str" cm="1">
        <f>IF(ISBLANK(INDEX(Array_StationaryChargeData,ROW()-36,COLUMN()*2-3)),"",INDEX(Array_StationaryChargeData,ROW()-36,COLUMN()*2-3))</f>
        <v/>
      </c>
      <c r="K100" t="str" cm="1">
        <f>IF(ISBLANK(INDEX(Array_StationaryChargeData,ROW()-36,COLUMN()*2-3)),"",INDEX(Array_StationaryChargeData,ROW()-36,COLUMN()*2-3))</f>
        <v/>
      </c>
      <c r="L100" t="str" cm="1">
        <f>IF(ISBLANK(INDEX(Array_StationaryChargeData,ROW()-36,COLUMN()*2-3)),"",INDEX(Array_StationaryChargeData,ROW()-36,COLUMN()*2-3))</f>
        <v/>
      </c>
      <c r="M100" t="str" cm="1">
        <f>IF(ISBLANK(INDEX(Array_StationaryChargeData,ROW()-36,COLUMN()*2-3)),"",INDEX(Array_StationaryChargeData,ROW()-36,COLUMN()*2-3))</f>
        <v/>
      </c>
      <c r="N100" t="str" cm="1">
        <f>IF(ISBLANK(INDEX(Array_StationaryChargeData,ROW()-36,COLUMN()*2-3)),"",INDEX(Array_StationaryChargeData,ROW()-36,COLUMN()*2-3))</f>
        <v/>
      </c>
      <c r="O100" t="str" cm="1">
        <f>IF(ISBLANK(INDEX(Array_StationaryChargeData,ROW()-36,COLUMN()*2-3)),"",INDEX(Array_StationaryChargeData,ROW()-36,COLUMN()*2-3))</f>
        <v/>
      </c>
      <c r="P100" t="str" cm="1">
        <f>IF(ISBLANK(INDEX(Array_StationaryChargeData,ROW()-36,COLUMN()*2-3)),"",INDEX(Array_StationaryChargeData,ROW()-36,COLUMN()*2-3))</f>
        <v/>
      </c>
    </row>
    <row r="101" spans="1:16" x14ac:dyDescent="0.35">
      <c r="A101" t="str">
        <f>IF('Stationary Fuel Meters'!B67="",A100,'Stationary Fuel Meters'!B67)</f>
        <v>Meter Numbers</v>
      </c>
      <c r="B101" t="str" cm="1">
        <f>IF(ISBLANK(INDEX(Array_StationaryChargeData,ROW()-36,COLUMN()*2-3)),"",INDEX(Array_StationaryChargeData,ROW()-36,COLUMN()*2-3))</f>
        <v/>
      </c>
      <c r="C101" t="str" cm="1">
        <f>IF(ISBLANK(INDEX(Array_StationaryChargeData,ROW()-36,COLUMN()*2-3)),"",INDEX(Array_StationaryChargeData,ROW()-36,COLUMN()*2-3))</f>
        <v/>
      </c>
      <c r="D101" t="str" cm="1">
        <f>IF(ISBLANK(INDEX(Array_StationaryChargeData,ROW()-36,COLUMN()*2-3)),"",INDEX(Array_StationaryChargeData,ROW()-36,COLUMN()*2-3))</f>
        <v/>
      </c>
      <c r="E101" t="str" cm="1">
        <f>IF(ISBLANK(INDEX(Array_StationaryChargeData,ROW()-36,COLUMN()*2-3)),"",INDEX(Array_StationaryChargeData,ROW()-36,COLUMN()*2-3))</f>
        <v/>
      </c>
      <c r="F101" t="str" cm="1">
        <f>IF(ISBLANK(INDEX(Array_StationaryChargeData,ROW()-36,COLUMN()*2-3)),"",INDEX(Array_StationaryChargeData,ROW()-36,COLUMN()*2-3))</f>
        <v/>
      </c>
      <c r="G101" t="str" cm="1">
        <f>IF(ISBLANK(INDEX(Array_StationaryChargeData,ROW()-36,COLUMN()*2-3)),"",INDEX(Array_StationaryChargeData,ROW()-36,COLUMN()*2-3))</f>
        <v/>
      </c>
      <c r="H101" t="str" cm="1">
        <f>IF(ISBLANK(INDEX(Array_StationaryChargeData,ROW()-36,COLUMN()*2-3)),"",INDEX(Array_StationaryChargeData,ROW()-36,COLUMN()*2-3))</f>
        <v/>
      </c>
      <c r="I101" t="str" cm="1">
        <f>IF(ISBLANK(INDEX(Array_StationaryChargeData,ROW()-36,COLUMN()*2-3)),"",INDEX(Array_StationaryChargeData,ROW()-36,COLUMN()*2-3))</f>
        <v/>
      </c>
      <c r="J101" t="str" cm="1">
        <f>IF(ISBLANK(INDEX(Array_StationaryChargeData,ROW()-36,COLUMN()*2-3)),"",INDEX(Array_StationaryChargeData,ROW()-36,COLUMN()*2-3))</f>
        <v/>
      </c>
      <c r="K101" t="str" cm="1">
        <f>IF(ISBLANK(INDEX(Array_StationaryChargeData,ROW()-36,COLUMN()*2-3)),"",INDEX(Array_StationaryChargeData,ROW()-36,COLUMN()*2-3))</f>
        <v/>
      </c>
      <c r="L101" t="str" cm="1">
        <f>IF(ISBLANK(INDEX(Array_StationaryChargeData,ROW()-36,COLUMN()*2-3)),"",INDEX(Array_StationaryChargeData,ROW()-36,COLUMN()*2-3))</f>
        <v/>
      </c>
      <c r="M101" t="str" cm="1">
        <f>IF(ISBLANK(INDEX(Array_StationaryChargeData,ROW()-36,COLUMN()*2-3)),"",INDEX(Array_StationaryChargeData,ROW()-36,COLUMN()*2-3))</f>
        <v/>
      </c>
      <c r="N101" t="str" cm="1">
        <f>IF(ISBLANK(INDEX(Array_StationaryChargeData,ROW()-36,COLUMN()*2-3)),"",INDEX(Array_StationaryChargeData,ROW()-36,COLUMN()*2-3))</f>
        <v/>
      </c>
      <c r="O101" t="str" cm="1">
        <f>IF(ISBLANK(INDEX(Array_StationaryChargeData,ROW()-36,COLUMN()*2-3)),"",INDEX(Array_StationaryChargeData,ROW()-36,COLUMN()*2-3))</f>
        <v/>
      </c>
      <c r="P101" t="str" cm="1">
        <f>IF(ISBLANK(INDEX(Array_StationaryChargeData,ROW()-36,COLUMN()*2-3)),"",INDEX(Array_StationaryChargeData,ROW()-36,COLUMN()*2-3))</f>
        <v/>
      </c>
    </row>
    <row r="102" spans="1:16" x14ac:dyDescent="0.35">
      <c r="A102" t="str">
        <f>IF('Stationary Fuel Meters'!B68="",A101,'Stationary Fuel Meters'!B68)</f>
        <v>Meter Numbers</v>
      </c>
      <c r="B102" t="str" cm="1">
        <f>IF(ISBLANK(INDEX(Array_StationaryChargeData,ROW()-36,COLUMN()*2-3)),"",INDEX(Array_StationaryChargeData,ROW()-36,COLUMN()*2-3))</f>
        <v/>
      </c>
      <c r="C102" t="str" cm="1">
        <f>IF(ISBLANK(INDEX(Array_StationaryChargeData,ROW()-36,COLUMN()*2-3)),"",INDEX(Array_StationaryChargeData,ROW()-36,COLUMN()*2-3))</f>
        <v/>
      </c>
      <c r="D102" t="str" cm="1">
        <f>IF(ISBLANK(INDEX(Array_StationaryChargeData,ROW()-36,COLUMN()*2-3)),"",INDEX(Array_StationaryChargeData,ROW()-36,COLUMN()*2-3))</f>
        <v/>
      </c>
      <c r="E102" t="str" cm="1">
        <f>IF(ISBLANK(INDEX(Array_StationaryChargeData,ROW()-36,COLUMN()*2-3)),"",INDEX(Array_StationaryChargeData,ROW()-36,COLUMN()*2-3))</f>
        <v/>
      </c>
      <c r="F102" t="str" cm="1">
        <f>IF(ISBLANK(INDEX(Array_StationaryChargeData,ROW()-36,COLUMN()*2-3)),"",INDEX(Array_StationaryChargeData,ROW()-36,COLUMN()*2-3))</f>
        <v/>
      </c>
      <c r="G102" t="str" cm="1">
        <f>IF(ISBLANK(INDEX(Array_StationaryChargeData,ROW()-36,COLUMN()*2-3)),"",INDEX(Array_StationaryChargeData,ROW()-36,COLUMN()*2-3))</f>
        <v/>
      </c>
      <c r="H102" t="str" cm="1">
        <f>IF(ISBLANK(INDEX(Array_StationaryChargeData,ROW()-36,COLUMN()*2-3)),"",INDEX(Array_StationaryChargeData,ROW()-36,COLUMN()*2-3))</f>
        <v/>
      </c>
      <c r="I102" t="str" cm="1">
        <f>IF(ISBLANK(INDEX(Array_StationaryChargeData,ROW()-36,COLUMN()*2-3)),"",INDEX(Array_StationaryChargeData,ROW()-36,COLUMN()*2-3))</f>
        <v/>
      </c>
      <c r="J102" t="str" cm="1">
        <f>IF(ISBLANK(INDEX(Array_StationaryChargeData,ROW()-36,COLUMN()*2-3)),"",INDEX(Array_StationaryChargeData,ROW()-36,COLUMN()*2-3))</f>
        <v/>
      </c>
      <c r="K102" t="str" cm="1">
        <f>IF(ISBLANK(INDEX(Array_StationaryChargeData,ROW()-36,COLUMN()*2-3)),"",INDEX(Array_StationaryChargeData,ROW()-36,COLUMN()*2-3))</f>
        <v/>
      </c>
      <c r="L102" t="str" cm="1">
        <f>IF(ISBLANK(INDEX(Array_StationaryChargeData,ROW()-36,COLUMN()*2-3)),"",INDEX(Array_StationaryChargeData,ROW()-36,COLUMN()*2-3))</f>
        <v/>
      </c>
      <c r="M102" t="str" cm="1">
        <f>IF(ISBLANK(INDEX(Array_StationaryChargeData,ROW()-36,COLUMN()*2-3)),"",INDEX(Array_StationaryChargeData,ROW()-36,COLUMN()*2-3))</f>
        <v/>
      </c>
      <c r="N102" t="str" cm="1">
        <f>IF(ISBLANK(INDEX(Array_StationaryChargeData,ROW()-36,COLUMN()*2-3)),"",INDEX(Array_StationaryChargeData,ROW()-36,COLUMN()*2-3))</f>
        <v/>
      </c>
      <c r="O102" t="str" cm="1">
        <f>IF(ISBLANK(INDEX(Array_StationaryChargeData,ROW()-36,COLUMN()*2-3)),"",INDEX(Array_StationaryChargeData,ROW()-36,COLUMN()*2-3))</f>
        <v/>
      </c>
      <c r="P102" t="str" cm="1">
        <f>IF(ISBLANK(INDEX(Array_StationaryChargeData,ROW()-36,COLUMN()*2-3)),"",INDEX(Array_StationaryChargeData,ROW()-36,COLUMN()*2-3))</f>
        <v/>
      </c>
    </row>
    <row r="103" spans="1:16" x14ac:dyDescent="0.35">
      <c r="A103" t="str">
        <f>IF('Stationary Fuel Meters'!B69="",A102,'Stationary Fuel Meters'!B69)</f>
        <v>Meter Numbers</v>
      </c>
      <c r="B103" t="str" cm="1">
        <f>IF(ISBLANK(INDEX(Array_StationaryChargeData,ROW()-36,COLUMN()*2-3)),"",INDEX(Array_StationaryChargeData,ROW()-36,COLUMN()*2-3))</f>
        <v/>
      </c>
      <c r="C103" t="str" cm="1">
        <f>IF(ISBLANK(INDEX(Array_StationaryChargeData,ROW()-36,COLUMN()*2-3)),"",INDEX(Array_StationaryChargeData,ROW()-36,COLUMN()*2-3))</f>
        <v/>
      </c>
      <c r="D103" t="str" cm="1">
        <f>IF(ISBLANK(INDEX(Array_StationaryChargeData,ROW()-36,COLUMN()*2-3)),"",INDEX(Array_StationaryChargeData,ROW()-36,COLUMN()*2-3))</f>
        <v/>
      </c>
      <c r="E103" t="str" cm="1">
        <f>IF(ISBLANK(INDEX(Array_StationaryChargeData,ROW()-36,COLUMN()*2-3)),"",INDEX(Array_StationaryChargeData,ROW()-36,COLUMN()*2-3))</f>
        <v/>
      </c>
      <c r="F103" t="str" cm="1">
        <f>IF(ISBLANK(INDEX(Array_StationaryChargeData,ROW()-36,COLUMN()*2-3)),"",INDEX(Array_StationaryChargeData,ROW()-36,COLUMN()*2-3))</f>
        <v/>
      </c>
      <c r="G103" t="str" cm="1">
        <f>IF(ISBLANK(INDEX(Array_StationaryChargeData,ROW()-36,COLUMN()*2-3)),"",INDEX(Array_StationaryChargeData,ROW()-36,COLUMN()*2-3))</f>
        <v/>
      </c>
      <c r="H103" t="str" cm="1">
        <f>IF(ISBLANK(INDEX(Array_StationaryChargeData,ROW()-36,COLUMN()*2-3)),"",INDEX(Array_StationaryChargeData,ROW()-36,COLUMN()*2-3))</f>
        <v/>
      </c>
      <c r="I103" t="str" cm="1">
        <f>IF(ISBLANK(INDEX(Array_StationaryChargeData,ROW()-36,COLUMN()*2-3)),"",INDEX(Array_StationaryChargeData,ROW()-36,COLUMN()*2-3))</f>
        <v/>
      </c>
      <c r="J103" t="str" cm="1">
        <f>IF(ISBLANK(INDEX(Array_StationaryChargeData,ROW()-36,COLUMN()*2-3)),"",INDEX(Array_StationaryChargeData,ROW()-36,COLUMN()*2-3))</f>
        <v/>
      </c>
      <c r="K103" t="str" cm="1">
        <f>IF(ISBLANK(INDEX(Array_StationaryChargeData,ROW()-36,COLUMN()*2-3)),"",INDEX(Array_StationaryChargeData,ROW()-36,COLUMN()*2-3))</f>
        <v/>
      </c>
      <c r="L103" t="str" cm="1">
        <f>IF(ISBLANK(INDEX(Array_StationaryChargeData,ROW()-36,COLUMN()*2-3)),"",INDEX(Array_StationaryChargeData,ROW()-36,COLUMN()*2-3))</f>
        <v/>
      </c>
      <c r="M103" t="str" cm="1">
        <f>IF(ISBLANK(INDEX(Array_StationaryChargeData,ROW()-36,COLUMN()*2-3)),"",INDEX(Array_StationaryChargeData,ROW()-36,COLUMN()*2-3))</f>
        <v/>
      </c>
      <c r="N103" t="str" cm="1">
        <f>IF(ISBLANK(INDEX(Array_StationaryChargeData,ROW()-36,COLUMN()*2-3)),"",INDEX(Array_StationaryChargeData,ROW()-36,COLUMN()*2-3))</f>
        <v/>
      </c>
      <c r="O103" t="str" cm="1">
        <f>IF(ISBLANK(INDEX(Array_StationaryChargeData,ROW()-36,COLUMN()*2-3)),"",INDEX(Array_StationaryChargeData,ROW()-36,COLUMN()*2-3))</f>
        <v/>
      </c>
      <c r="P103" t="str" cm="1">
        <f>IF(ISBLANK(INDEX(Array_StationaryChargeData,ROW()-36,COLUMN()*2-3)),"",INDEX(Array_StationaryChargeData,ROW()-36,COLUMN()*2-3))</f>
        <v/>
      </c>
    </row>
    <row r="104" spans="1:16" x14ac:dyDescent="0.35">
      <c r="A104" t="str">
        <f>IF('Stationary Fuel Meters'!B70="",A103,'Stationary Fuel Meters'!B70)</f>
        <v>Meter Numbers</v>
      </c>
      <c r="B104" t="str" cm="1">
        <f>IF(ISBLANK(INDEX(Array_StationaryChargeData,ROW()-36,COLUMN()*2-3)),"",INDEX(Array_StationaryChargeData,ROW()-36,COLUMN()*2-3))</f>
        <v/>
      </c>
      <c r="C104" t="str" cm="1">
        <f>IF(ISBLANK(INDEX(Array_StationaryChargeData,ROW()-36,COLUMN()*2-3)),"",INDEX(Array_StationaryChargeData,ROW()-36,COLUMN()*2-3))</f>
        <v/>
      </c>
      <c r="D104" t="str" cm="1">
        <f>IF(ISBLANK(INDEX(Array_StationaryChargeData,ROW()-36,COLUMN()*2-3)),"",INDEX(Array_StationaryChargeData,ROW()-36,COLUMN()*2-3))</f>
        <v/>
      </c>
      <c r="E104" t="str" cm="1">
        <f>IF(ISBLANK(INDEX(Array_StationaryChargeData,ROW()-36,COLUMN()*2-3)),"",INDEX(Array_StationaryChargeData,ROW()-36,COLUMN()*2-3))</f>
        <v/>
      </c>
      <c r="F104" t="str" cm="1">
        <f>IF(ISBLANK(INDEX(Array_StationaryChargeData,ROW()-36,COLUMN()*2-3)),"",INDEX(Array_StationaryChargeData,ROW()-36,COLUMN()*2-3))</f>
        <v/>
      </c>
      <c r="G104" t="str" cm="1">
        <f>IF(ISBLANK(INDEX(Array_StationaryChargeData,ROW()-36,COLUMN()*2-3)),"",INDEX(Array_StationaryChargeData,ROW()-36,COLUMN()*2-3))</f>
        <v/>
      </c>
      <c r="H104" t="str" cm="1">
        <f>IF(ISBLANK(INDEX(Array_StationaryChargeData,ROW()-36,COLUMN()*2-3)),"",INDEX(Array_StationaryChargeData,ROW()-36,COLUMN()*2-3))</f>
        <v/>
      </c>
      <c r="I104" t="str" cm="1">
        <f>IF(ISBLANK(INDEX(Array_StationaryChargeData,ROW()-36,COLUMN()*2-3)),"",INDEX(Array_StationaryChargeData,ROW()-36,COLUMN()*2-3))</f>
        <v/>
      </c>
      <c r="J104" t="str" cm="1">
        <f>IF(ISBLANK(INDEX(Array_StationaryChargeData,ROW()-36,COLUMN()*2-3)),"",INDEX(Array_StationaryChargeData,ROW()-36,COLUMN()*2-3))</f>
        <v/>
      </c>
      <c r="K104" t="str" cm="1">
        <f>IF(ISBLANK(INDEX(Array_StationaryChargeData,ROW()-36,COLUMN()*2-3)),"",INDEX(Array_StationaryChargeData,ROW()-36,COLUMN()*2-3))</f>
        <v/>
      </c>
      <c r="L104" t="str" cm="1">
        <f>IF(ISBLANK(INDEX(Array_StationaryChargeData,ROW()-36,COLUMN()*2-3)),"",INDEX(Array_StationaryChargeData,ROW()-36,COLUMN()*2-3))</f>
        <v/>
      </c>
      <c r="M104" t="str" cm="1">
        <f>IF(ISBLANK(INDEX(Array_StationaryChargeData,ROW()-36,COLUMN()*2-3)),"",INDEX(Array_StationaryChargeData,ROW()-36,COLUMN()*2-3))</f>
        <v/>
      </c>
      <c r="N104" t="str" cm="1">
        <f>IF(ISBLANK(INDEX(Array_StationaryChargeData,ROW()-36,COLUMN()*2-3)),"",INDEX(Array_StationaryChargeData,ROW()-36,COLUMN()*2-3))</f>
        <v/>
      </c>
      <c r="O104" t="str" cm="1">
        <f>IF(ISBLANK(INDEX(Array_StationaryChargeData,ROW()-36,COLUMN()*2-3)),"",INDEX(Array_StationaryChargeData,ROW()-36,COLUMN()*2-3))</f>
        <v/>
      </c>
      <c r="P104" t="str" cm="1">
        <f>IF(ISBLANK(INDEX(Array_StationaryChargeData,ROW()-36,COLUMN()*2-3)),"",INDEX(Array_StationaryChargeData,ROW()-36,COLUMN()*2-3))</f>
        <v/>
      </c>
    </row>
    <row r="105" spans="1:16" x14ac:dyDescent="0.35">
      <c r="A105" t="str">
        <f>IF('Stationary Fuel Meters'!B71="",A104,'Stationary Fuel Meters'!B71)</f>
        <v>Meter Numbers</v>
      </c>
      <c r="B105" t="str" cm="1">
        <f>IF(ISBLANK(INDEX(Array_StationaryChargeData,ROW()-36,COLUMN()*2-3)),"",INDEX(Array_StationaryChargeData,ROW()-36,COLUMN()*2-3))</f>
        <v/>
      </c>
      <c r="C105" t="str" cm="1">
        <f>IF(ISBLANK(INDEX(Array_StationaryChargeData,ROW()-36,COLUMN()*2-3)),"",INDEX(Array_StationaryChargeData,ROW()-36,COLUMN()*2-3))</f>
        <v/>
      </c>
      <c r="D105" t="str" cm="1">
        <f>IF(ISBLANK(INDEX(Array_StationaryChargeData,ROW()-36,COLUMN()*2-3)),"",INDEX(Array_StationaryChargeData,ROW()-36,COLUMN()*2-3))</f>
        <v/>
      </c>
      <c r="E105" t="str" cm="1">
        <f>IF(ISBLANK(INDEX(Array_StationaryChargeData,ROW()-36,COLUMN()*2-3)),"",INDEX(Array_StationaryChargeData,ROW()-36,COLUMN()*2-3))</f>
        <v/>
      </c>
      <c r="F105" t="str" cm="1">
        <f>IF(ISBLANK(INDEX(Array_StationaryChargeData,ROW()-36,COLUMN()*2-3)),"",INDEX(Array_StationaryChargeData,ROW()-36,COLUMN()*2-3))</f>
        <v/>
      </c>
      <c r="G105" t="str" cm="1">
        <f>IF(ISBLANK(INDEX(Array_StationaryChargeData,ROW()-36,COLUMN()*2-3)),"",INDEX(Array_StationaryChargeData,ROW()-36,COLUMN()*2-3))</f>
        <v/>
      </c>
      <c r="H105" t="str" cm="1">
        <f>IF(ISBLANK(INDEX(Array_StationaryChargeData,ROW()-36,COLUMN()*2-3)),"",INDEX(Array_StationaryChargeData,ROW()-36,COLUMN()*2-3))</f>
        <v/>
      </c>
      <c r="I105" t="str" cm="1">
        <f>IF(ISBLANK(INDEX(Array_StationaryChargeData,ROW()-36,COLUMN()*2-3)),"",INDEX(Array_StationaryChargeData,ROW()-36,COLUMN()*2-3))</f>
        <v/>
      </c>
      <c r="J105" t="str" cm="1">
        <f>IF(ISBLANK(INDEX(Array_StationaryChargeData,ROW()-36,COLUMN()*2-3)),"",INDEX(Array_StationaryChargeData,ROW()-36,COLUMN()*2-3))</f>
        <v/>
      </c>
      <c r="K105" t="str" cm="1">
        <f>IF(ISBLANK(INDEX(Array_StationaryChargeData,ROW()-36,COLUMN()*2-3)),"",INDEX(Array_StationaryChargeData,ROW()-36,COLUMN()*2-3))</f>
        <v/>
      </c>
      <c r="L105" t="str" cm="1">
        <f>IF(ISBLANK(INDEX(Array_StationaryChargeData,ROW()-36,COLUMN()*2-3)),"",INDEX(Array_StationaryChargeData,ROW()-36,COLUMN()*2-3))</f>
        <v/>
      </c>
      <c r="M105" t="str" cm="1">
        <f>IF(ISBLANK(INDEX(Array_StationaryChargeData,ROW()-36,COLUMN()*2-3)),"",INDEX(Array_StationaryChargeData,ROW()-36,COLUMN()*2-3))</f>
        <v/>
      </c>
      <c r="N105" t="str" cm="1">
        <f>IF(ISBLANK(INDEX(Array_StationaryChargeData,ROW()-36,COLUMN()*2-3)),"",INDEX(Array_StationaryChargeData,ROW()-36,COLUMN()*2-3))</f>
        <v/>
      </c>
      <c r="O105" t="str" cm="1">
        <f>IF(ISBLANK(INDEX(Array_StationaryChargeData,ROW()-36,COLUMN()*2-3)),"",INDEX(Array_StationaryChargeData,ROW()-36,COLUMN()*2-3))</f>
        <v/>
      </c>
      <c r="P105" t="str" cm="1">
        <f>IF(ISBLANK(INDEX(Array_StationaryChargeData,ROW()-36,COLUMN()*2-3)),"",INDEX(Array_StationaryChargeData,ROW()-36,COLUMN()*2-3))</f>
        <v/>
      </c>
    </row>
    <row r="106" spans="1:16" x14ac:dyDescent="0.35">
      <c r="A106" t="str">
        <f>IF('Stationary Fuel Meters'!B72="",A105,'Stationary Fuel Meters'!B72)</f>
        <v>Meter Numbers</v>
      </c>
      <c r="B106" t="str" cm="1">
        <f>IF(ISBLANK(INDEX(Array_StationaryChargeData,ROW()-36,COLUMN()*2-3)),"",INDEX(Array_StationaryChargeData,ROW()-36,COLUMN()*2-3))</f>
        <v/>
      </c>
      <c r="C106" t="str" cm="1">
        <f>IF(ISBLANK(INDEX(Array_StationaryChargeData,ROW()-36,COLUMN()*2-3)),"",INDEX(Array_StationaryChargeData,ROW()-36,COLUMN()*2-3))</f>
        <v/>
      </c>
      <c r="D106" t="str" cm="1">
        <f>IF(ISBLANK(INDEX(Array_StationaryChargeData,ROW()-36,COLUMN()*2-3)),"",INDEX(Array_StationaryChargeData,ROW()-36,COLUMN()*2-3))</f>
        <v/>
      </c>
      <c r="E106" t="str" cm="1">
        <f>IF(ISBLANK(INDEX(Array_StationaryChargeData,ROW()-36,COLUMN()*2-3)),"",INDEX(Array_StationaryChargeData,ROW()-36,COLUMN()*2-3))</f>
        <v/>
      </c>
      <c r="F106" t="str" cm="1">
        <f>IF(ISBLANK(INDEX(Array_StationaryChargeData,ROW()-36,COLUMN()*2-3)),"",INDEX(Array_StationaryChargeData,ROW()-36,COLUMN()*2-3))</f>
        <v/>
      </c>
      <c r="G106" t="str" cm="1">
        <f>IF(ISBLANK(INDEX(Array_StationaryChargeData,ROW()-36,COLUMN()*2-3)),"",INDEX(Array_StationaryChargeData,ROW()-36,COLUMN()*2-3))</f>
        <v/>
      </c>
      <c r="H106" t="str" cm="1">
        <f>IF(ISBLANK(INDEX(Array_StationaryChargeData,ROW()-36,COLUMN()*2-3)),"",INDEX(Array_StationaryChargeData,ROW()-36,COLUMN()*2-3))</f>
        <v/>
      </c>
      <c r="I106" t="str" cm="1">
        <f>IF(ISBLANK(INDEX(Array_StationaryChargeData,ROW()-36,COLUMN()*2-3)),"",INDEX(Array_StationaryChargeData,ROW()-36,COLUMN()*2-3))</f>
        <v/>
      </c>
      <c r="J106" t="str" cm="1">
        <f>IF(ISBLANK(INDEX(Array_StationaryChargeData,ROW()-36,COLUMN()*2-3)),"",INDEX(Array_StationaryChargeData,ROW()-36,COLUMN()*2-3))</f>
        <v/>
      </c>
      <c r="K106" t="str" cm="1">
        <f>IF(ISBLANK(INDEX(Array_StationaryChargeData,ROW()-36,COLUMN()*2-3)),"",INDEX(Array_StationaryChargeData,ROW()-36,COLUMN()*2-3))</f>
        <v/>
      </c>
      <c r="L106" t="str" cm="1">
        <f>IF(ISBLANK(INDEX(Array_StationaryChargeData,ROW()-36,COLUMN()*2-3)),"",INDEX(Array_StationaryChargeData,ROW()-36,COLUMN()*2-3))</f>
        <v/>
      </c>
      <c r="M106" t="str" cm="1">
        <f>IF(ISBLANK(INDEX(Array_StationaryChargeData,ROW()-36,COLUMN()*2-3)),"",INDEX(Array_StationaryChargeData,ROW()-36,COLUMN()*2-3))</f>
        <v/>
      </c>
      <c r="N106" t="str" cm="1">
        <f>IF(ISBLANK(INDEX(Array_StationaryChargeData,ROW()-36,COLUMN()*2-3)),"",INDEX(Array_StationaryChargeData,ROW()-36,COLUMN()*2-3))</f>
        <v/>
      </c>
      <c r="O106" t="str" cm="1">
        <f>IF(ISBLANK(INDEX(Array_StationaryChargeData,ROW()-36,COLUMN()*2-3)),"",INDEX(Array_StationaryChargeData,ROW()-36,COLUMN()*2-3))</f>
        <v/>
      </c>
      <c r="P106" t="str" cm="1">
        <f>IF(ISBLANK(INDEX(Array_StationaryChargeData,ROW()-36,COLUMN()*2-3)),"",INDEX(Array_StationaryChargeData,ROW()-36,COLUMN()*2-3))</f>
        <v/>
      </c>
    </row>
    <row r="107" spans="1:16" x14ac:dyDescent="0.35">
      <c r="A107" t="str">
        <f>IF('Stationary Fuel Meters'!B73="",A106,'Stationary Fuel Meters'!B73)</f>
        <v>Meter Numbers</v>
      </c>
      <c r="B107" t="str" cm="1">
        <f>IF(ISBLANK(INDEX(Array_StationaryChargeData,ROW()-36,COLUMN()*2-3)),"",INDEX(Array_StationaryChargeData,ROW()-36,COLUMN()*2-3))</f>
        <v/>
      </c>
      <c r="C107" t="str" cm="1">
        <f>IF(ISBLANK(INDEX(Array_StationaryChargeData,ROW()-36,COLUMN()*2-3)),"",INDEX(Array_StationaryChargeData,ROW()-36,COLUMN()*2-3))</f>
        <v/>
      </c>
      <c r="D107" t="str" cm="1">
        <f>IF(ISBLANK(INDEX(Array_StationaryChargeData,ROW()-36,COLUMN()*2-3)),"",INDEX(Array_StationaryChargeData,ROW()-36,COLUMN()*2-3))</f>
        <v/>
      </c>
      <c r="E107" t="str" cm="1">
        <f>IF(ISBLANK(INDEX(Array_StationaryChargeData,ROW()-36,COLUMN()*2-3)),"",INDEX(Array_StationaryChargeData,ROW()-36,COLUMN()*2-3))</f>
        <v/>
      </c>
      <c r="F107" t="str" cm="1">
        <f>IF(ISBLANK(INDEX(Array_StationaryChargeData,ROW()-36,COLUMN()*2-3)),"",INDEX(Array_StationaryChargeData,ROW()-36,COLUMN()*2-3))</f>
        <v/>
      </c>
      <c r="G107" t="str" cm="1">
        <f>IF(ISBLANK(INDEX(Array_StationaryChargeData,ROW()-36,COLUMN()*2-3)),"",INDEX(Array_StationaryChargeData,ROW()-36,COLUMN()*2-3))</f>
        <v/>
      </c>
      <c r="H107" t="str" cm="1">
        <f>IF(ISBLANK(INDEX(Array_StationaryChargeData,ROW()-36,COLUMN()*2-3)),"",INDEX(Array_StationaryChargeData,ROW()-36,COLUMN()*2-3))</f>
        <v/>
      </c>
      <c r="I107" t="str" cm="1">
        <f>IF(ISBLANK(INDEX(Array_StationaryChargeData,ROW()-36,COLUMN()*2-3)),"",INDEX(Array_StationaryChargeData,ROW()-36,COLUMN()*2-3))</f>
        <v/>
      </c>
      <c r="J107" t="str" cm="1">
        <f>IF(ISBLANK(INDEX(Array_StationaryChargeData,ROW()-36,COLUMN()*2-3)),"",INDEX(Array_StationaryChargeData,ROW()-36,COLUMN()*2-3))</f>
        <v/>
      </c>
      <c r="K107" t="str" cm="1">
        <f>IF(ISBLANK(INDEX(Array_StationaryChargeData,ROW()-36,COLUMN()*2-3)),"",INDEX(Array_StationaryChargeData,ROW()-36,COLUMN()*2-3))</f>
        <v/>
      </c>
      <c r="L107" t="str" cm="1">
        <f>IF(ISBLANK(INDEX(Array_StationaryChargeData,ROW()-36,COLUMN()*2-3)),"",INDEX(Array_StationaryChargeData,ROW()-36,COLUMN()*2-3))</f>
        <v/>
      </c>
      <c r="M107" t="str" cm="1">
        <f>IF(ISBLANK(INDEX(Array_StationaryChargeData,ROW()-36,COLUMN()*2-3)),"",INDEX(Array_StationaryChargeData,ROW()-36,COLUMN()*2-3))</f>
        <v/>
      </c>
      <c r="N107" t="str" cm="1">
        <f>IF(ISBLANK(INDEX(Array_StationaryChargeData,ROW()-36,COLUMN()*2-3)),"",INDEX(Array_StationaryChargeData,ROW()-36,COLUMN()*2-3))</f>
        <v/>
      </c>
      <c r="O107" t="str" cm="1">
        <f>IF(ISBLANK(INDEX(Array_StationaryChargeData,ROW()-36,COLUMN()*2-3)),"",INDEX(Array_StationaryChargeData,ROW()-36,COLUMN()*2-3))</f>
        <v/>
      </c>
      <c r="P107" t="str" cm="1">
        <f>IF(ISBLANK(INDEX(Array_StationaryChargeData,ROW()-36,COLUMN()*2-3)),"",INDEX(Array_StationaryChargeData,ROW()-36,COLUMN()*2-3))</f>
        <v/>
      </c>
    </row>
    <row r="108" spans="1:16" x14ac:dyDescent="0.35">
      <c r="A108" t="str">
        <f>IF('Stationary Fuel Meters'!B74="",A107,'Stationary Fuel Meters'!B74)</f>
        <v>Meter Numbers</v>
      </c>
      <c r="B108" t="str" cm="1">
        <f>IF(ISBLANK(INDEX(Array_StationaryChargeData,ROW()-36,COLUMN()*2-3)),"",INDEX(Array_StationaryChargeData,ROW()-36,COLUMN()*2-3))</f>
        <v/>
      </c>
      <c r="C108" t="str" cm="1">
        <f>IF(ISBLANK(INDEX(Array_StationaryChargeData,ROW()-36,COLUMN()*2-3)),"",INDEX(Array_StationaryChargeData,ROW()-36,COLUMN()*2-3))</f>
        <v/>
      </c>
      <c r="D108" t="str" cm="1">
        <f>IF(ISBLANK(INDEX(Array_StationaryChargeData,ROW()-36,COLUMN()*2-3)),"",INDEX(Array_StationaryChargeData,ROW()-36,COLUMN()*2-3))</f>
        <v/>
      </c>
      <c r="E108" t="str" cm="1">
        <f>IF(ISBLANK(INDEX(Array_StationaryChargeData,ROW()-36,COLUMN()*2-3)),"",INDEX(Array_StationaryChargeData,ROW()-36,COLUMN()*2-3))</f>
        <v/>
      </c>
      <c r="F108" t="str" cm="1">
        <f>IF(ISBLANK(INDEX(Array_StationaryChargeData,ROW()-36,COLUMN()*2-3)),"",INDEX(Array_StationaryChargeData,ROW()-36,COLUMN()*2-3))</f>
        <v/>
      </c>
      <c r="G108" t="str" cm="1">
        <f>IF(ISBLANK(INDEX(Array_StationaryChargeData,ROW()-36,COLUMN()*2-3)),"",INDEX(Array_StationaryChargeData,ROW()-36,COLUMN()*2-3))</f>
        <v/>
      </c>
      <c r="H108" t="str" cm="1">
        <f>IF(ISBLANK(INDEX(Array_StationaryChargeData,ROW()-36,COLUMN()*2-3)),"",INDEX(Array_StationaryChargeData,ROW()-36,COLUMN()*2-3))</f>
        <v/>
      </c>
      <c r="I108" t="str" cm="1">
        <f>IF(ISBLANK(INDEX(Array_StationaryChargeData,ROW()-36,COLUMN()*2-3)),"",INDEX(Array_StationaryChargeData,ROW()-36,COLUMN()*2-3))</f>
        <v/>
      </c>
      <c r="J108" t="str" cm="1">
        <f>IF(ISBLANK(INDEX(Array_StationaryChargeData,ROW()-36,COLUMN()*2-3)),"",INDEX(Array_StationaryChargeData,ROW()-36,COLUMN()*2-3))</f>
        <v/>
      </c>
      <c r="K108" t="str" cm="1">
        <f>IF(ISBLANK(INDEX(Array_StationaryChargeData,ROW()-36,COLUMN()*2-3)),"",INDEX(Array_StationaryChargeData,ROW()-36,COLUMN()*2-3))</f>
        <v/>
      </c>
      <c r="L108" t="str" cm="1">
        <f>IF(ISBLANK(INDEX(Array_StationaryChargeData,ROW()-36,COLUMN()*2-3)),"",INDEX(Array_StationaryChargeData,ROW()-36,COLUMN()*2-3))</f>
        <v/>
      </c>
      <c r="M108" t="str" cm="1">
        <f>IF(ISBLANK(INDEX(Array_StationaryChargeData,ROW()-36,COLUMN()*2-3)),"",INDEX(Array_StationaryChargeData,ROW()-36,COLUMN()*2-3))</f>
        <v/>
      </c>
      <c r="N108" t="str" cm="1">
        <f>IF(ISBLANK(INDEX(Array_StationaryChargeData,ROW()-36,COLUMN()*2-3)),"",INDEX(Array_StationaryChargeData,ROW()-36,COLUMN()*2-3))</f>
        <v/>
      </c>
      <c r="O108" t="str" cm="1">
        <f>IF(ISBLANK(INDEX(Array_StationaryChargeData,ROW()-36,COLUMN()*2-3)),"",INDEX(Array_StationaryChargeData,ROW()-36,COLUMN()*2-3))</f>
        <v/>
      </c>
      <c r="P108" t="str" cm="1">
        <f>IF(ISBLANK(INDEX(Array_StationaryChargeData,ROW()-36,COLUMN()*2-3)),"",INDEX(Array_StationaryChargeData,ROW()-36,COLUMN()*2-3))</f>
        <v/>
      </c>
    </row>
    <row r="109" spans="1:16" x14ac:dyDescent="0.35">
      <c r="A109" t="str">
        <f>IF('Stationary Fuel Meters'!B75="",A108,'Stationary Fuel Meters'!B75)</f>
        <v>Meter Numbers</v>
      </c>
      <c r="B109" t="str" cm="1">
        <f>IF(ISBLANK(INDEX(Array_StationaryChargeData,ROW()-36,COLUMN()*2-3)),"",INDEX(Array_StationaryChargeData,ROW()-36,COLUMN()*2-3))</f>
        <v/>
      </c>
      <c r="C109" t="str" cm="1">
        <f>IF(ISBLANK(INDEX(Array_StationaryChargeData,ROW()-36,COLUMN()*2-3)),"",INDEX(Array_StationaryChargeData,ROW()-36,COLUMN()*2-3))</f>
        <v/>
      </c>
      <c r="D109" t="str" cm="1">
        <f>IF(ISBLANK(INDEX(Array_StationaryChargeData,ROW()-36,COLUMN()*2-3)),"",INDEX(Array_StationaryChargeData,ROW()-36,COLUMN()*2-3))</f>
        <v/>
      </c>
      <c r="E109" t="str" cm="1">
        <f>IF(ISBLANK(INDEX(Array_StationaryChargeData,ROW()-36,COLUMN()*2-3)),"",INDEX(Array_StationaryChargeData,ROW()-36,COLUMN()*2-3))</f>
        <v/>
      </c>
      <c r="F109" t="str" cm="1">
        <f>IF(ISBLANK(INDEX(Array_StationaryChargeData,ROW()-36,COLUMN()*2-3)),"",INDEX(Array_StationaryChargeData,ROW()-36,COLUMN()*2-3))</f>
        <v/>
      </c>
      <c r="G109" t="str" cm="1">
        <f>IF(ISBLANK(INDEX(Array_StationaryChargeData,ROW()-36,COLUMN()*2-3)),"",INDEX(Array_StationaryChargeData,ROW()-36,COLUMN()*2-3))</f>
        <v/>
      </c>
      <c r="H109" t="str" cm="1">
        <f>IF(ISBLANK(INDEX(Array_StationaryChargeData,ROW()-36,COLUMN()*2-3)),"",INDEX(Array_StationaryChargeData,ROW()-36,COLUMN()*2-3))</f>
        <v/>
      </c>
      <c r="I109" t="str" cm="1">
        <f>IF(ISBLANK(INDEX(Array_StationaryChargeData,ROW()-36,COLUMN()*2-3)),"",INDEX(Array_StationaryChargeData,ROW()-36,COLUMN()*2-3))</f>
        <v/>
      </c>
      <c r="J109" t="str" cm="1">
        <f>IF(ISBLANK(INDEX(Array_StationaryChargeData,ROW()-36,COLUMN()*2-3)),"",INDEX(Array_StationaryChargeData,ROW()-36,COLUMN()*2-3))</f>
        <v/>
      </c>
      <c r="K109" t="str" cm="1">
        <f>IF(ISBLANK(INDEX(Array_StationaryChargeData,ROW()-36,COLUMN()*2-3)),"",INDEX(Array_StationaryChargeData,ROW()-36,COLUMN()*2-3))</f>
        <v/>
      </c>
      <c r="L109" t="str" cm="1">
        <f>IF(ISBLANK(INDEX(Array_StationaryChargeData,ROW()-36,COLUMN()*2-3)),"",INDEX(Array_StationaryChargeData,ROW()-36,COLUMN()*2-3))</f>
        <v/>
      </c>
      <c r="M109" t="str" cm="1">
        <f>IF(ISBLANK(INDEX(Array_StationaryChargeData,ROW()-36,COLUMN()*2-3)),"",INDEX(Array_StationaryChargeData,ROW()-36,COLUMN()*2-3))</f>
        <v/>
      </c>
      <c r="N109" t="str" cm="1">
        <f>IF(ISBLANK(INDEX(Array_StationaryChargeData,ROW()-36,COLUMN()*2-3)),"",INDEX(Array_StationaryChargeData,ROW()-36,COLUMN()*2-3))</f>
        <v/>
      </c>
      <c r="O109" t="str" cm="1">
        <f>IF(ISBLANK(INDEX(Array_StationaryChargeData,ROW()-36,COLUMN()*2-3)),"",INDEX(Array_StationaryChargeData,ROW()-36,COLUMN()*2-3))</f>
        <v/>
      </c>
      <c r="P109" t="str" cm="1">
        <f>IF(ISBLANK(INDEX(Array_StationaryChargeData,ROW()-36,COLUMN()*2-3)),"",INDEX(Array_StationaryChargeData,ROW()-36,COLUMN()*2-3))</f>
        <v/>
      </c>
    </row>
    <row r="110" spans="1:16" x14ac:dyDescent="0.35">
      <c r="A110" t="str">
        <f>IF('Stationary Fuel Meters'!B76="",A109,'Stationary Fuel Meters'!B76)</f>
        <v>Meter Numbers</v>
      </c>
      <c r="B110" t="str" cm="1">
        <f>IF(ISBLANK(INDEX(Array_StationaryChargeData,ROW()-36,COLUMN()*2-3)),"",INDEX(Array_StationaryChargeData,ROW()-36,COLUMN()*2-3))</f>
        <v/>
      </c>
      <c r="C110" t="str" cm="1">
        <f>IF(ISBLANK(INDEX(Array_StationaryChargeData,ROW()-36,COLUMN()*2-3)),"",INDEX(Array_StationaryChargeData,ROW()-36,COLUMN()*2-3))</f>
        <v/>
      </c>
      <c r="D110" t="str" cm="1">
        <f>IF(ISBLANK(INDEX(Array_StationaryChargeData,ROW()-36,COLUMN()*2-3)),"",INDEX(Array_StationaryChargeData,ROW()-36,COLUMN()*2-3))</f>
        <v/>
      </c>
      <c r="E110" t="str" cm="1">
        <f>IF(ISBLANK(INDEX(Array_StationaryChargeData,ROW()-36,COLUMN()*2-3)),"",INDEX(Array_StationaryChargeData,ROW()-36,COLUMN()*2-3))</f>
        <v/>
      </c>
      <c r="F110" t="str" cm="1">
        <f>IF(ISBLANK(INDEX(Array_StationaryChargeData,ROW()-36,COLUMN()*2-3)),"",INDEX(Array_StationaryChargeData,ROW()-36,COLUMN()*2-3))</f>
        <v/>
      </c>
      <c r="G110" t="str" cm="1">
        <f>IF(ISBLANK(INDEX(Array_StationaryChargeData,ROW()-36,COLUMN()*2-3)),"",INDEX(Array_StationaryChargeData,ROW()-36,COLUMN()*2-3))</f>
        <v/>
      </c>
      <c r="H110" t="str" cm="1">
        <f>IF(ISBLANK(INDEX(Array_StationaryChargeData,ROW()-36,COLUMN()*2-3)),"",INDEX(Array_StationaryChargeData,ROW()-36,COLUMN()*2-3))</f>
        <v/>
      </c>
      <c r="I110" t="str" cm="1">
        <f>IF(ISBLANK(INDEX(Array_StationaryChargeData,ROW()-36,COLUMN()*2-3)),"",INDEX(Array_StationaryChargeData,ROW()-36,COLUMN()*2-3))</f>
        <v/>
      </c>
      <c r="J110" t="str" cm="1">
        <f>IF(ISBLANK(INDEX(Array_StationaryChargeData,ROW()-36,COLUMN()*2-3)),"",INDEX(Array_StationaryChargeData,ROW()-36,COLUMN()*2-3))</f>
        <v/>
      </c>
      <c r="K110" t="str" cm="1">
        <f>IF(ISBLANK(INDEX(Array_StationaryChargeData,ROW()-36,COLUMN()*2-3)),"",INDEX(Array_StationaryChargeData,ROW()-36,COLUMN()*2-3))</f>
        <v/>
      </c>
      <c r="L110" t="str" cm="1">
        <f>IF(ISBLANK(INDEX(Array_StationaryChargeData,ROW()-36,COLUMN()*2-3)),"",INDEX(Array_StationaryChargeData,ROW()-36,COLUMN()*2-3))</f>
        <v/>
      </c>
      <c r="M110" t="str" cm="1">
        <f>IF(ISBLANK(INDEX(Array_StationaryChargeData,ROW()-36,COLUMN()*2-3)),"",INDEX(Array_StationaryChargeData,ROW()-36,COLUMN()*2-3))</f>
        <v/>
      </c>
      <c r="N110" t="str" cm="1">
        <f>IF(ISBLANK(INDEX(Array_StationaryChargeData,ROW()-36,COLUMN()*2-3)),"",INDEX(Array_StationaryChargeData,ROW()-36,COLUMN()*2-3))</f>
        <v/>
      </c>
      <c r="O110" t="str" cm="1">
        <f>IF(ISBLANK(INDEX(Array_StationaryChargeData,ROW()-36,COLUMN()*2-3)),"",INDEX(Array_StationaryChargeData,ROW()-36,COLUMN()*2-3))</f>
        <v/>
      </c>
      <c r="P110" t="str" cm="1">
        <f>IF(ISBLANK(INDEX(Array_StationaryChargeData,ROW()-36,COLUMN()*2-3)),"",INDEX(Array_StationaryChargeData,ROW()-36,COLUMN()*2-3))</f>
        <v/>
      </c>
    </row>
    <row r="111" spans="1:16" x14ac:dyDescent="0.35">
      <c r="A111" t="str">
        <f>IF('Stationary Fuel Meters'!B77="",A110,'Stationary Fuel Meters'!B77)</f>
        <v>Meter Numbers</v>
      </c>
      <c r="B111" t="str" cm="1">
        <f>IF(ISBLANK(INDEX(Array_StationaryChargeData,ROW()-36,COLUMN()*2-3)),"",INDEX(Array_StationaryChargeData,ROW()-36,COLUMN()*2-3))</f>
        <v/>
      </c>
      <c r="C111" t="str" cm="1">
        <f>IF(ISBLANK(INDEX(Array_StationaryChargeData,ROW()-36,COLUMN()*2-3)),"",INDEX(Array_StationaryChargeData,ROW()-36,COLUMN()*2-3))</f>
        <v/>
      </c>
      <c r="D111" t="str" cm="1">
        <f>IF(ISBLANK(INDEX(Array_StationaryChargeData,ROW()-36,COLUMN()*2-3)),"",INDEX(Array_StationaryChargeData,ROW()-36,COLUMN()*2-3))</f>
        <v/>
      </c>
      <c r="E111" t="str" cm="1">
        <f>IF(ISBLANK(INDEX(Array_StationaryChargeData,ROW()-36,COLUMN()*2-3)),"",INDEX(Array_StationaryChargeData,ROW()-36,COLUMN()*2-3))</f>
        <v/>
      </c>
      <c r="F111" t="str" cm="1">
        <f>IF(ISBLANK(INDEX(Array_StationaryChargeData,ROW()-36,COLUMN()*2-3)),"",INDEX(Array_StationaryChargeData,ROW()-36,COLUMN()*2-3))</f>
        <v/>
      </c>
      <c r="G111" t="str" cm="1">
        <f>IF(ISBLANK(INDEX(Array_StationaryChargeData,ROW()-36,COLUMN()*2-3)),"",INDEX(Array_StationaryChargeData,ROW()-36,COLUMN()*2-3))</f>
        <v/>
      </c>
      <c r="H111" t="str" cm="1">
        <f>IF(ISBLANK(INDEX(Array_StationaryChargeData,ROW()-36,COLUMN()*2-3)),"",INDEX(Array_StationaryChargeData,ROW()-36,COLUMN()*2-3))</f>
        <v/>
      </c>
      <c r="I111" t="str" cm="1">
        <f>IF(ISBLANK(INDEX(Array_StationaryChargeData,ROW()-36,COLUMN()*2-3)),"",INDEX(Array_StationaryChargeData,ROW()-36,COLUMN()*2-3))</f>
        <v/>
      </c>
      <c r="J111" t="str" cm="1">
        <f>IF(ISBLANK(INDEX(Array_StationaryChargeData,ROW()-36,COLUMN()*2-3)),"",INDEX(Array_StationaryChargeData,ROW()-36,COLUMN()*2-3))</f>
        <v/>
      </c>
      <c r="K111" t="str" cm="1">
        <f>IF(ISBLANK(INDEX(Array_StationaryChargeData,ROW()-36,COLUMN()*2-3)),"",INDEX(Array_StationaryChargeData,ROW()-36,COLUMN()*2-3))</f>
        <v/>
      </c>
      <c r="L111" t="str" cm="1">
        <f>IF(ISBLANK(INDEX(Array_StationaryChargeData,ROW()-36,COLUMN()*2-3)),"",INDEX(Array_StationaryChargeData,ROW()-36,COLUMN()*2-3))</f>
        <v/>
      </c>
      <c r="M111" t="str" cm="1">
        <f>IF(ISBLANK(INDEX(Array_StationaryChargeData,ROW()-36,COLUMN()*2-3)),"",INDEX(Array_StationaryChargeData,ROW()-36,COLUMN()*2-3))</f>
        <v/>
      </c>
      <c r="N111" t="str" cm="1">
        <f>IF(ISBLANK(INDEX(Array_StationaryChargeData,ROW()-36,COLUMN()*2-3)),"",INDEX(Array_StationaryChargeData,ROW()-36,COLUMN()*2-3))</f>
        <v/>
      </c>
      <c r="O111" t="str" cm="1">
        <f>IF(ISBLANK(INDEX(Array_StationaryChargeData,ROW()-36,COLUMN()*2-3)),"",INDEX(Array_StationaryChargeData,ROW()-36,COLUMN()*2-3))</f>
        <v/>
      </c>
      <c r="P111" t="str" cm="1">
        <f>IF(ISBLANK(INDEX(Array_StationaryChargeData,ROW()-36,COLUMN()*2-3)),"",INDEX(Array_StationaryChargeData,ROW()-36,COLUMN()*2-3))</f>
        <v/>
      </c>
    </row>
    <row r="112" spans="1:16" x14ac:dyDescent="0.35">
      <c r="A112" t="str">
        <f>IF('Stationary Fuel Meters'!B78="",A111,'Stationary Fuel Meters'!B78)</f>
        <v>Meter Numbers</v>
      </c>
      <c r="B112" t="str" cm="1">
        <f>IF(ISBLANK(INDEX(Array_StationaryChargeData,ROW()-36,COLUMN()*2-3)),"",INDEX(Array_StationaryChargeData,ROW()-36,COLUMN()*2-3))</f>
        <v/>
      </c>
      <c r="C112" t="str" cm="1">
        <f>IF(ISBLANK(INDEX(Array_StationaryChargeData,ROW()-36,COLUMN()*2-3)),"",INDEX(Array_StationaryChargeData,ROW()-36,COLUMN()*2-3))</f>
        <v/>
      </c>
      <c r="D112" t="str" cm="1">
        <f>IF(ISBLANK(INDEX(Array_StationaryChargeData,ROW()-36,COLUMN()*2-3)),"",INDEX(Array_StationaryChargeData,ROW()-36,COLUMN()*2-3))</f>
        <v/>
      </c>
      <c r="E112" t="str" cm="1">
        <f>IF(ISBLANK(INDEX(Array_StationaryChargeData,ROW()-36,COLUMN()*2-3)),"",INDEX(Array_StationaryChargeData,ROW()-36,COLUMN()*2-3))</f>
        <v/>
      </c>
      <c r="F112" t="str" cm="1">
        <f>IF(ISBLANK(INDEX(Array_StationaryChargeData,ROW()-36,COLUMN()*2-3)),"",INDEX(Array_StationaryChargeData,ROW()-36,COLUMN()*2-3))</f>
        <v/>
      </c>
      <c r="G112" t="str" cm="1">
        <f>IF(ISBLANK(INDEX(Array_StationaryChargeData,ROW()-36,COLUMN()*2-3)),"",INDEX(Array_StationaryChargeData,ROW()-36,COLUMN()*2-3))</f>
        <v/>
      </c>
      <c r="H112" t="str" cm="1">
        <f>IF(ISBLANK(INDEX(Array_StationaryChargeData,ROW()-36,COLUMN()*2-3)),"",INDEX(Array_StationaryChargeData,ROW()-36,COLUMN()*2-3))</f>
        <v/>
      </c>
      <c r="I112" t="str" cm="1">
        <f>IF(ISBLANK(INDEX(Array_StationaryChargeData,ROW()-36,COLUMN()*2-3)),"",INDEX(Array_StationaryChargeData,ROW()-36,COLUMN()*2-3))</f>
        <v/>
      </c>
      <c r="J112" t="str" cm="1">
        <f>IF(ISBLANK(INDEX(Array_StationaryChargeData,ROW()-36,COLUMN()*2-3)),"",INDEX(Array_StationaryChargeData,ROW()-36,COLUMN()*2-3))</f>
        <v/>
      </c>
      <c r="K112" t="str" cm="1">
        <f>IF(ISBLANK(INDEX(Array_StationaryChargeData,ROW()-36,COLUMN()*2-3)),"",INDEX(Array_StationaryChargeData,ROW()-36,COLUMN()*2-3))</f>
        <v/>
      </c>
      <c r="L112" t="str" cm="1">
        <f>IF(ISBLANK(INDEX(Array_StationaryChargeData,ROW()-36,COLUMN()*2-3)),"",INDEX(Array_StationaryChargeData,ROW()-36,COLUMN()*2-3))</f>
        <v/>
      </c>
      <c r="M112" t="str" cm="1">
        <f>IF(ISBLANK(INDEX(Array_StationaryChargeData,ROW()-36,COLUMN()*2-3)),"",INDEX(Array_StationaryChargeData,ROW()-36,COLUMN()*2-3))</f>
        <v/>
      </c>
      <c r="N112" t="str" cm="1">
        <f>IF(ISBLANK(INDEX(Array_StationaryChargeData,ROW()-36,COLUMN()*2-3)),"",INDEX(Array_StationaryChargeData,ROW()-36,COLUMN()*2-3))</f>
        <v/>
      </c>
      <c r="O112" t="str" cm="1">
        <f>IF(ISBLANK(INDEX(Array_StationaryChargeData,ROW()-36,COLUMN()*2-3)),"",INDEX(Array_StationaryChargeData,ROW()-36,COLUMN()*2-3))</f>
        <v/>
      </c>
      <c r="P112" t="str" cm="1">
        <f>IF(ISBLANK(INDEX(Array_StationaryChargeData,ROW()-36,COLUMN()*2-3)),"",INDEX(Array_StationaryChargeData,ROW()-36,COLUMN()*2-3))</f>
        <v/>
      </c>
    </row>
    <row r="113" spans="1:16" x14ac:dyDescent="0.35">
      <c r="A113" t="str">
        <f>IF('Stationary Fuel Meters'!B79="",A112,'Stationary Fuel Meters'!B79)</f>
        <v>Meter Numbers</v>
      </c>
      <c r="B113" t="str" cm="1">
        <f>IF(ISBLANK(INDEX(Array_StationaryChargeData,ROW()-36,COLUMN()*2-3)),"",INDEX(Array_StationaryChargeData,ROW()-36,COLUMN()*2-3))</f>
        <v/>
      </c>
      <c r="C113" t="str" cm="1">
        <f>IF(ISBLANK(INDEX(Array_StationaryChargeData,ROW()-36,COLUMN()*2-3)),"",INDEX(Array_StationaryChargeData,ROW()-36,COLUMN()*2-3))</f>
        <v/>
      </c>
      <c r="D113" t="str" cm="1">
        <f>IF(ISBLANK(INDEX(Array_StationaryChargeData,ROW()-36,COLUMN()*2-3)),"",INDEX(Array_StationaryChargeData,ROW()-36,COLUMN()*2-3))</f>
        <v/>
      </c>
      <c r="E113" t="str" cm="1">
        <f>IF(ISBLANK(INDEX(Array_StationaryChargeData,ROW()-36,COLUMN()*2-3)),"",INDEX(Array_StationaryChargeData,ROW()-36,COLUMN()*2-3))</f>
        <v/>
      </c>
      <c r="F113" t="str" cm="1">
        <f>IF(ISBLANK(INDEX(Array_StationaryChargeData,ROW()-36,COLUMN()*2-3)),"",INDEX(Array_StationaryChargeData,ROW()-36,COLUMN()*2-3))</f>
        <v/>
      </c>
      <c r="G113" t="str" cm="1">
        <f>IF(ISBLANK(INDEX(Array_StationaryChargeData,ROW()-36,COLUMN()*2-3)),"",INDEX(Array_StationaryChargeData,ROW()-36,COLUMN()*2-3))</f>
        <v/>
      </c>
      <c r="H113" t="str" cm="1">
        <f>IF(ISBLANK(INDEX(Array_StationaryChargeData,ROW()-36,COLUMN()*2-3)),"",INDEX(Array_StationaryChargeData,ROW()-36,COLUMN()*2-3))</f>
        <v/>
      </c>
      <c r="I113" t="str" cm="1">
        <f>IF(ISBLANK(INDEX(Array_StationaryChargeData,ROW()-36,COLUMN()*2-3)),"",INDEX(Array_StationaryChargeData,ROW()-36,COLUMN()*2-3))</f>
        <v/>
      </c>
      <c r="J113" t="str" cm="1">
        <f>IF(ISBLANK(INDEX(Array_StationaryChargeData,ROW()-36,COLUMN()*2-3)),"",INDEX(Array_StationaryChargeData,ROW()-36,COLUMN()*2-3))</f>
        <v/>
      </c>
      <c r="K113" t="str" cm="1">
        <f>IF(ISBLANK(INDEX(Array_StationaryChargeData,ROW()-36,COLUMN()*2-3)),"",INDEX(Array_StationaryChargeData,ROW()-36,COLUMN()*2-3))</f>
        <v/>
      </c>
      <c r="L113" t="str" cm="1">
        <f>IF(ISBLANK(INDEX(Array_StationaryChargeData,ROW()-36,COLUMN()*2-3)),"",INDEX(Array_StationaryChargeData,ROW()-36,COLUMN()*2-3))</f>
        <v/>
      </c>
      <c r="M113" t="str" cm="1">
        <f>IF(ISBLANK(INDEX(Array_StationaryChargeData,ROW()-36,COLUMN()*2-3)),"",INDEX(Array_StationaryChargeData,ROW()-36,COLUMN()*2-3))</f>
        <v/>
      </c>
      <c r="N113" t="str" cm="1">
        <f>IF(ISBLANK(INDEX(Array_StationaryChargeData,ROW()-36,COLUMN()*2-3)),"",INDEX(Array_StationaryChargeData,ROW()-36,COLUMN()*2-3))</f>
        <v/>
      </c>
      <c r="O113" t="str" cm="1">
        <f>IF(ISBLANK(INDEX(Array_StationaryChargeData,ROW()-36,COLUMN()*2-3)),"",INDEX(Array_StationaryChargeData,ROW()-36,COLUMN()*2-3))</f>
        <v/>
      </c>
      <c r="P113" t="str" cm="1">
        <f>IF(ISBLANK(INDEX(Array_StationaryChargeData,ROW()-36,COLUMN()*2-3)),"",INDEX(Array_StationaryChargeData,ROW()-36,COLUMN()*2-3))</f>
        <v/>
      </c>
    </row>
    <row r="114" spans="1:16" x14ac:dyDescent="0.35">
      <c r="A114" t="str">
        <f>IF('Stationary Fuel Meters'!B80="",A113,'Stationary Fuel Meters'!B80)</f>
        <v>Meter Numbers</v>
      </c>
      <c r="B114" t="str" cm="1">
        <f>IF(ISBLANK(INDEX(Array_StationaryChargeData,ROW()-36,COLUMN()*2-3)),"",INDEX(Array_StationaryChargeData,ROW()-36,COLUMN()*2-3))</f>
        <v/>
      </c>
      <c r="C114" t="str" cm="1">
        <f>IF(ISBLANK(INDEX(Array_StationaryChargeData,ROW()-36,COLUMN()*2-3)),"",INDEX(Array_StationaryChargeData,ROW()-36,COLUMN()*2-3))</f>
        <v/>
      </c>
      <c r="D114" t="str" cm="1">
        <f>IF(ISBLANK(INDEX(Array_StationaryChargeData,ROW()-36,COLUMN()*2-3)),"",INDEX(Array_StationaryChargeData,ROW()-36,COLUMN()*2-3))</f>
        <v/>
      </c>
      <c r="E114" t="str" cm="1">
        <f>IF(ISBLANK(INDEX(Array_StationaryChargeData,ROW()-36,COLUMN()*2-3)),"",INDEX(Array_StationaryChargeData,ROW()-36,COLUMN()*2-3))</f>
        <v/>
      </c>
      <c r="F114" t="str" cm="1">
        <f>IF(ISBLANK(INDEX(Array_StationaryChargeData,ROW()-36,COLUMN()*2-3)),"",INDEX(Array_StationaryChargeData,ROW()-36,COLUMN()*2-3))</f>
        <v/>
      </c>
      <c r="G114" t="str" cm="1">
        <f>IF(ISBLANK(INDEX(Array_StationaryChargeData,ROW()-36,COLUMN()*2-3)),"",INDEX(Array_StationaryChargeData,ROW()-36,COLUMN()*2-3))</f>
        <v/>
      </c>
      <c r="H114" t="str" cm="1">
        <f>IF(ISBLANK(INDEX(Array_StationaryChargeData,ROW()-36,COLUMN()*2-3)),"",INDEX(Array_StationaryChargeData,ROW()-36,COLUMN()*2-3))</f>
        <v/>
      </c>
      <c r="I114" t="str" cm="1">
        <f>IF(ISBLANK(INDEX(Array_StationaryChargeData,ROW()-36,COLUMN()*2-3)),"",INDEX(Array_StationaryChargeData,ROW()-36,COLUMN()*2-3))</f>
        <v/>
      </c>
      <c r="J114" t="str" cm="1">
        <f>IF(ISBLANK(INDEX(Array_StationaryChargeData,ROW()-36,COLUMN()*2-3)),"",INDEX(Array_StationaryChargeData,ROW()-36,COLUMN()*2-3))</f>
        <v/>
      </c>
      <c r="K114" t="str" cm="1">
        <f>IF(ISBLANK(INDEX(Array_StationaryChargeData,ROW()-36,COLUMN()*2-3)),"",INDEX(Array_StationaryChargeData,ROW()-36,COLUMN()*2-3))</f>
        <v/>
      </c>
      <c r="L114" t="str" cm="1">
        <f>IF(ISBLANK(INDEX(Array_StationaryChargeData,ROW()-36,COLUMN()*2-3)),"",INDEX(Array_StationaryChargeData,ROW()-36,COLUMN()*2-3))</f>
        <v/>
      </c>
      <c r="M114" t="str" cm="1">
        <f>IF(ISBLANK(INDEX(Array_StationaryChargeData,ROW()-36,COLUMN()*2-3)),"",INDEX(Array_StationaryChargeData,ROW()-36,COLUMN()*2-3))</f>
        <v/>
      </c>
      <c r="N114" t="str" cm="1">
        <f>IF(ISBLANK(INDEX(Array_StationaryChargeData,ROW()-36,COLUMN()*2-3)),"",INDEX(Array_StationaryChargeData,ROW()-36,COLUMN()*2-3))</f>
        <v/>
      </c>
      <c r="O114" t="str" cm="1">
        <f>IF(ISBLANK(INDEX(Array_StationaryChargeData,ROW()-36,COLUMN()*2-3)),"",INDEX(Array_StationaryChargeData,ROW()-36,COLUMN()*2-3))</f>
        <v/>
      </c>
      <c r="P114" t="str" cm="1">
        <f>IF(ISBLANK(INDEX(Array_StationaryChargeData,ROW()-36,COLUMN()*2-3)),"",INDEX(Array_StationaryChargeData,ROW()-36,COLUMN()*2-3))</f>
        <v/>
      </c>
    </row>
    <row r="115" spans="1:16" x14ac:dyDescent="0.35">
      <c r="A115" t="str">
        <f>IF('Stationary Fuel Meters'!B81="",A114,'Stationary Fuel Meters'!B81)</f>
        <v>Meter Numbers</v>
      </c>
      <c r="B115" t="str" cm="1">
        <f>IF(ISBLANK(INDEX(Array_StationaryChargeData,ROW()-36,COLUMN()*2-3)),"",INDEX(Array_StationaryChargeData,ROW()-36,COLUMN()*2-3))</f>
        <v/>
      </c>
      <c r="C115" t="str" cm="1">
        <f>IF(ISBLANK(INDEX(Array_StationaryChargeData,ROW()-36,COLUMN()*2-3)),"",INDEX(Array_StationaryChargeData,ROW()-36,COLUMN()*2-3))</f>
        <v/>
      </c>
      <c r="D115" t="str" cm="1">
        <f>IF(ISBLANK(INDEX(Array_StationaryChargeData,ROW()-36,COLUMN()*2-3)),"",INDEX(Array_StationaryChargeData,ROW()-36,COLUMN()*2-3))</f>
        <v/>
      </c>
      <c r="E115" t="str" cm="1">
        <f>IF(ISBLANK(INDEX(Array_StationaryChargeData,ROW()-36,COLUMN()*2-3)),"",INDEX(Array_StationaryChargeData,ROW()-36,COLUMN()*2-3))</f>
        <v/>
      </c>
      <c r="F115" t="str" cm="1">
        <f>IF(ISBLANK(INDEX(Array_StationaryChargeData,ROW()-36,COLUMN()*2-3)),"",INDEX(Array_StationaryChargeData,ROW()-36,COLUMN()*2-3))</f>
        <v/>
      </c>
      <c r="G115" t="str" cm="1">
        <f>IF(ISBLANK(INDEX(Array_StationaryChargeData,ROW()-36,COLUMN()*2-3)),"",INDEX(Array_StationaryChargeData,ROW()-36,COLUMN()*2-3))</f>
        <v/>
      </c>
      <c r="H115" t="str" cm="1">
        <f>IF(ISBLANK(INDEX(Array_StationaryChargeData,ROW()-36,COLUMN()*2-3)),"",INDEX(Array_StationaryChargeData,ROW()-36,COLUMN()*2-3))</f>
        <v/>
      </c>
      <c r="I115" t="str" cm="1">
        <f>IF(ISBLANK(INDEX(Array_StationaryChargeData,ROW()-36,COLUMN()*2-3)),"",INDEX(Array_StationaryChargeData,ROW()-36,COLUMN()*2-3))</f>
        <v/>
      </c>
      <c r="J115" t="str" cm="1">
        <f>IF(ISBLANK(INDEX(Array_StationaryChargeData,ROW()-36,COLUMN()*2-3)),"",INDEX(Array_StationaryChargeData,ROW()-36,COLUMN()*2-3))</f>
        <v/>
      </c>
      <c r="K115" t="str" cm="1">
        <f>IF(ISBLANK(INDEX(Array_StationaryChargeData,ROW()-36,COLUMN()*2-3)),"",INDEX(Array_StationaryChargeData,ROW()-36,COLUMN()*2-3))</f>
        <v/>
      </c>
      <c r="L115" t="str" cm="1">
        <f>IF(ISBLANK(INDEX(Array_StationaryChargeData,ROW()-36,COLUMN()*2-3)),"",INDEX(Array_StationaryChargeData,ROW()-36,COLUMN()*2-3))</f>
        <v/>
      </c>
      <c r="M115" t="str" cm="1">
        <f>IF(ISBLANK(INDEX(Array_StationaryChargeData,ROW()-36,COLUMN()*2-3)),"",INDEX(Array_StationaryChargeData,ROW()-36,COLUMN()*2-3))</f>
        <v/>
      </c>
      <c r="N115" t="str" cm="1">
        <f>IF(ISBLANK(INDEX(Array_StationaryChargeData,ROW()-36,COLUMN()*2-3)),"",INDEX(Array_StationaryChargeData,ROW()-36,COLUMN()*2-3))</f>
        <v/>
      </c>
      <c r="O115" t="str" cm="1">
        <f>IF(ISBLANK(INDEX(Array_StationaryChargeData,ROW()-36,COLUMN()*2-3)),"",INDEX(Array_StationaryChargeData,ROW()-36,COLUMN()*2-3))</f>
        <v/>
      </c>
      <c r="P115" t="str" cm="1">
        <f>IF(ISBLANK(INDEX(Array_StationaryChargeData,ROW()-36,COLUMN()*2-3)),"",INDEX(Array_StationaryChargeData,ROW()-36,COLUMN()*2-3))</f>
        <v/>
      </c>
    </row>
    <row r="116" spans="1:16" x14ac:dyDescent="0.35">
      <c r="A116" t="str">
        <f>IF('Stationary Fuel Meters'!B82="",A115,'Stationary Fuel Meters'!B82)</f>
        <v>Meter Numbers</v>
      </c>
      <c r="B116" t="str" cm="1">
        <f>IF(ISBLANK(INDEX(Array_StationaryChargeData,ROW()-36,COLUMN()*2-3)),"",INDEX(Array_StationaryChargeData,ROW()-36,COLUMN()*2-3))</f>
        <v/>
      </c>
      <c r="C116" t="str" cm="1">
        <f>IF(ISBLANK(INDEX(Array_StationaryChargeData,ROW()-36,COLUMN()*2-3)),"",INDEX(Array_StationaryChargeData,ROW()-36,COLUMN()*2-3))</f>
        <v/>
      </c>
      <c r="D116" t="str" cm="1">
        <f>IF(ISBLANK(INDEX(Array_StationaryChargeData,ROW()-36,COLUMN()*2-3)),"",INDEX(Array_StationaryChargeData,ROW()-36,COLUMN()*2-3))</f>
        <v/>
      </c>
      <c r="E116" t="str" cm="1">
        <f>IF(ISBLANK(INDEX(Array_StationaryChargeData,ROW()-36,COLUMN()*2-3)),"",INDEX(Array_StationaryChargeData,ROW()-36,COLUMN()*2-3))</f>
        <v/>
      </c>
      <c r="F116" t="str" cm="1">
        <f>IF(ISBLANK(INDEX(Array_StationaryChargeData,ROW()-36,COLUMN()*2-3)),"",INDEX(Array_StationaryChargeData,ROW()-36,COLUMN()*2-3))</f>
        <v/>
      </c>
      <c r="G116" t="str" cm="1">
        <f>IF(ISBLANK(INDEX(Array_StationaryChargeData,ROW()-36,COLUMN()*2-3)),"",INDEX(Array_StationaryChargeData,ROW()-36,COLUMN()*2-3))</f>
        <v/>
      </c>
      <c r="H116" t="str" cm="1">
        <f>IF(ISBLANK(INDEX(Array_StationaryChargeData,ROW()-36,COLUMN()*2-3)),"",INDEX(Array_StationaryChargeData,ROW()-36,COLUMN()*2-3))</f>
        <v/>
      </c>
      <c r="I116" t="str" cm="1">
        <f>IF(ISBLANK(INDEX(Array_StationaryChargeData,ROW()-36,COLUMN()*2-3)),"",INDEX(Array_StationaryChargeData,ROW()-36,COLUMN()*2-3))</f>
        <v/>
      </c>
      <c r="J116" t="str" cm="1">
        <f>IF(ISBLANK(INDEX(Array_StationaryChargeData,ROW()-36,COLUMN()*2-3)),"",INDEX(Array_StationaryChargeData,ROW()-36,COLUMN()*2-3))</f>
        <v/>
      </c>
      <c r="K116" t="str" cm="1">
        <f>IF(ISBLANK(INDEX(Array_StationaryChargeData,ROW()-36,COLUMN()*2-3)),"",INDEX(Array_StationaryChargeData,ROW()-36,COLUMN()*2-3))</f>
        <v/>
      </c>
      <c r="L116" t="str" cm="1">
        <f>IF(ISBLANK(INDEX(Array_StationaryChargeData,ROW()-36,COLUMN()*2-3)),"",INDEX(Array_StationaryChargeData,ROW()-36,COLUMN()*2-3))</f>
        <v/>
      </c>
      <c r="M116" t="str" cm="1">
        <f>IF(ISBLANK(INDEX(Array_StationaryChargeData,ROW()-36,COLUMN()*2-3)),"",INDEX(Array_StationaryChargeData,ROW()-36,COLUMN()*2-3))</f>
        <v/>
      </c>
      <c r="N116" t="str" cm="1">
        <f>IF(ISBLANK(INDEX(Array_StationaryChargeData,ROW()-36,COLUMN()*2-3)),"",INDEX(Array_StationaryChargeData,ROW()-36,COLUMN()*2-3))</f>
        <v/>
      </c>
      <c r="O116" t="str" cm="1">
        <f>IF(ISBLANK(INDEX(Array_StationaryChargeData,ROW()-36,COLUMN()*2-3)),"",INDEX(Array_StationaryChargeData,ROW()-36,COLUMN()*2-3))</f>
        <v/>
      </c>
      <c r="P116" t="str" cm="1">
        <f>IF(ISBLANK(INDEX(Array_StationaryChargeData,ROW()-36,COLUMN()*2-3)),"",INDEX(Array_StationaryChargeData,ROW()-36,COLUMN()*2-3))</f>
        <v/>
      </c>
    </row>
    <row r="117" spans="1:16" x14ac:dyDescent="0.35">
      <c r="A117" t="str">
        <f>IF('Stationary Fuel Meters'!B83="",A116,'Stationary Fuel Meters'!B83)</f>
        <v>Meter Numbers</v>
      </c>
      <c r="B117" t="str" cm="1">
        <f>IF(ISBLANK(INDEX(Array_StationaryChargeData,ROW()-36,COLUMN()*2-3)),"",INDEX(Array_StationaryChargeData,ROW()-36,COLUMN()*2-3))</f>
        <v/>
      </c>
      <c r="C117" t="str" cm="1">
        <f>IF(ISBLANK(INDEX(Array_StationaryChargeData,ROW()-36,COLUMN()*2-3)),"",INDEX(Array_StationaryChargeData,ROW()-36,COLUMN()*2-3))</f>
        <v/>
      </c>
      <c r="D117" t="str" cm="1">
        <f>IF(ISBLANK(INDEX(Array_StationaryChargeData,ROW()-36,COLUMN()*2-3)),"",INDEX(Array_StationaryChargeData,ROW()-36,COLUMN()*2-3))</f>
        <v/>
      </c>
      <c r="E117" t="str" cm="1">
        <f>IF(ISBLANK(INDEX(Array_StationaryChargeData,ROW()-36,COLUMN()*2-3)),"",INDEX(Array_StationaryChargeData,ROW()-36,COLUMN()*2-3))</f>
        <v/>
      </c>
      <c r="F117" t="str" cm="1">
        <f>IF(ISBLANK(INDEX(Array_StationaryChargeData,ROW()-36,COLUMN()*2-3)),"",INDEX(Array_StationaryChargeData,ROW()-36,COLUMN()*2-3))</f>
        <v/>
      </c>
      <c r="G117" t="str" cm="1">
        <f>IF(ISBLANK(INDEX(Array_StationaryChargeData,ROW()-36,COLUMN()*2-3)),"",INDEX(Array_StationaryChargeData,ROW()-36,COLUMN()*2-3))</f>
        <v/>
      </c>
      <c r="H117" t="str" cm="1">
        <f>IF(ISBLANK(INDEX(Array_StationaryChargeData,ROW()-36,COLUMN()*2-3)),"",INDEX(Array_StationaryChargeData,ROW()-36,COLUMN()*2-3))</f>
        <v/>
      </c>
      <c r="I117" t="str" cm="1">
        <f>IF(ISBLANK(INDEX(Array_StationaryChargeData,ROW()-36,COLUMN()*2-3)),"",INDEX(Array_StationaryChargeData,ROW()-36,COLUMN()*2-3))</f>
        <v/>
      </c>
      <c r="J117" t="str" cm="1">
        <f>IF(ISBLANK(INDEX(Array_StationaryChargeData,ROW()-36,COLUMN()*2-3)),"",INDEX(Array_StationaryChargeData,ROW()-36,COLUMN()*2-3))</f>
        <v/>
      </c>
      <c r="K117" t="str" cm="1">
        <f>IF(ISBLANK(INDEX(Array_StationaryChargeData,ROW()-36,COLUMN()*2-3)),"",INDEX(Array_StationaryChargeData,ROW()-36,COLUMN()*2-3))</f>
        <v/>
      </c>
      <c r="L117" t="str" cm="1">
        <f>IF(ISBLANK(INDEX(Array_StationaryChargeData,ROW()-36,COLUMN()*2-3)),"",INDEX(Array_StationaryChargeData,ROW()-36,COLUMN()*2-3))</f>
        <v/>
      </c>
      <c r="M117" t="str" cm="1">
        <f>IF(ISBLANK(INDEX(Array_StationaryChargeData,ROW()-36,COLUMN()*2-3)),"",INDEX(Array_StationaryChargeData,ROW()-36,COLUMN()*2-3))</f>
        <v/>
      </c>
      <c r="N117" t="str" cm="1">
        <f>IF(ISBLANK(INDEX(Array_StationaryChargeData,ROW()-36,COLUMN()*2-3)),"",INDEX(Array_StationaryChargeData,ROW()-36,COLUMN()*2-3))</f>
        <v/>
      </c>
      <c r="O117" t="str" cm="1">
        <f>IF(ISBLANK(INDEX(Array_StationaryChargeData,ROW()-36,COLUMN()*2-3)),"",INDEX(Array_StationaryChargeData,ROW()-36,COLUMN()*2-3))</f>
        <v/>
      </c>
      <c r="P117" t="str" cm="1">
        <f>IF(ISBLANK(INDEX(Array_StationaryChargeData,ROW()-36,COLUMN()*2-3)),"",INDEX(Array_StationaryChargeData,ROW()-36,COLUMN()*2-3))</f>
        <v/>
      </c>
    </row>
    <row r="118" spans="1:16" x14ac:dyDescent="0.35">
      <c r="A118" t="str">
        <f>IF('Stationary Fuel Meters'!B84="",A117,'Stationary Fuel Meters'!B84)</f>
        <v>Meter Numbers</v>
      </c>
      <c r="B118" t="str" cm="1">
        <f>IF(ISBLANK(INDEX(Array_StationaryChargeData,ROW()-36,COLUMN()*2-3)),"",INDEX(Array_StationaryChargeData,ROW()-36,COLUMN()*2-3))</f>
        <v/>
      </c>
      <c r="C118" t="str" cm="1">
        <f>IF(ISBLANK(INDEX(Array_StationaryChargeData,ROW()-36,COLUMN()*2-3)),"",INDEX(Array_StationaryChargeData,ROW()-36,COLUMN()*2-3))</f>
        <v/>
      </c>
      <c r="D118" t="str" cm="1">
        <f>IF(ISBLANK(INDEX(Array_StationaryChargeData,ROW()-36,COLUMN()*2-3)),"",INDEX(Array_StationaryChargeData,ROW()-36,COLUMN()*2-3))</f>
        <v/>
      </c>
      <c r="E118" t="str" cm="1">
        <f>IF(ISBLANK(INDEX(Array_StationaryChargeData,ROW()-36,COLUMN()*2-3)),"",INDEX(Array_StationaryChargeData,ROW()-36,COLUMN()*2-3))</f>
        <v/>
      </c>
      <c r="F118" t="str" cm="1">
        <f>IF(ISBLANK(INDEX(Array_StationaryChargeData,ROW()-36,COLUMN()*2-3)),"",INDEX(Array_StationaryChargeData,ROW()-36,COLUMN()*2-3))</f>
        <v/>
      </c>
      <c r="G118" t="str" cm="1">
        <f>IF(ISBLANK(INDEX(Array_StationaryChargeData,ROW()-36,COLUMN()*2-3)),"",INDEX(Array_StationaryChargeData,ROW()-36,COLUMN()*2-3))</f>
        <v/>
      </c>
      <c r="H118" t="str" cm="1">
        <f>IF(ISBLANK(INDEX(Array_StationaryChargeData,ROW()-36,COLUMN()*2-3)),"",INDEX(Array_StationaryChargeData,ROW()-36,COLUMN()*2-3))</f>
        <v/>
      </c>
      <c r="I118" t="str" cm="1">
        <f>IF(ISBLANK(INDEX(Array_StationaryChargeData,ROW()-36,COLUMN()*2-3)),"",INDEX(Array_StationaryChargeData,ROW()-36,COLUMN()*2-3))</f>
        <v/>
      </c>
      <c r="J118" t="str" cm="1">
        <f>IF(ISBLANK(INDEX(Array_StationaryChargeData,ROW()-36,COLUMN()*2-3)),"",INDEX(Array_StationaryChargeData,ROW()-36,COLUMN()*2-3))</f>
        <v/>
      </c>
      <c r="K118" t="str" cm="1">
        <f>IF(ISBLANK(INDEX(Array_StationaryChargeData,ROW()-36,COLUMN()*2-3)),"",INDEX(Array_StationaryChargeData,ROW()-36,COLUMN()*2-3))</f>
        <v/>
      </c>
      <c r="L118" t="str" cm="1">
        <f>IF(ISBLANK(INDEX(Array_StationaryChargeData,ROW()-36,COLUMN()*2-3)),"",INDEX(Array_StationaryChargeData,ROW()-36,COLUMN()*2-3))</f>
        <v/>
      </c>
      <c r="M118" t="str" cm="1">
        <f>IF(ISBLANK(INDEX(Array_StationaryChargeData,ROW()-36,COLUMN()*2-3)),"",INDEX(Array_StationaryChargeData,ROW()-36,COLUMN()*2-3))</f>
        <v/>
      </c>
      <c r="N118" t="str" cm="1">
        <f>IF(ISBLANK(INDEX(Array_StationaryChargeData,ROW()-36,COLUMN()*2-3)),"",INDEX(Array_StationaryChargeData,ROW()-36,COLUMN()*2-3))</f>
        <v/>
      </c>
      <c r="O118" t="str" cm="1">
        <f>IF(ISBLANK(INDEX(Array_StationaryChargeData,ROW()-36,COLUMN()*2-3)),"",INDEX(Array_StationaryChargeData,ROW()-36,COLUMN()*2-3))</f>
        <v/>
      </c>
      <c r="P118" t="str" cm="1">
        <f>IF(ISBLANK(INDEX(Array_StationaryChargeData,ROW()-36,COLUMN()*2-3)),"",INDEX(Array_StationaryChargeData,ROW()-36,COLUMN()*2-3))</f>
        <v/>
      </c>
    </row>
    <row r="119" spans="1:16" x14ac:dyDescent="0.35">
      <c r="A119" t="str">
        <f>IF('Stationary Fuel Meters'!B85="",A118,'Stationary Fuel Meters'!B85)</f>
        <v>Meter Numbers</v>
      </c>
      <c r="B119" t="str" cm="1">
        <f>IF(ISBLANK(INDEX(Array_StationaryChargeData,ROW()-36,COLUMN()*2-3)),"",INDEX(Array_StationaryChargeData,ROW()-36,COLUMN()*2-3))</f>
        <v/>
      </c>
      <c r="C119" t="str" cm="1">
        <f>IF(ISBLANK(INDEX(Array_StationaryChargeData,ROW()-36,COLUMN()*2-3)),"",INDEX(Array_StationaryChargeData,ROW()-36,COLUMN()*2-3))</f>
        <v/>
      </c>
      <c r="D119" t="str" cm="1">
        <f>IF(ISBLANK(INDEX(Array_StationaryChargeData,ROW()-36,COLUMN()*2-3)),"",INDEX(Array_StationaryChargeData,ROW()-36,COLUMN()*2-3))</f>
        <v/>
      </c>
      <c r="E119" t="str" cm="1">
        <f>IF(ISBLANK(INDEX(Array_StationaryChargeData,ROW()-36,COLUMN()*2-3)),"",INDEX(Array_StationaryChargeData,ROW()-36,COLUMN()*2-3))</f>
        <v/>
      </c>
      <c r="F119" t="str" cm="1">
        <f>IF(ISBLANK(INDEX(Array_StationaryChargeData,ROW()-36,COLUMN()*2-3)),"",INDEX(Array_StationaryChargeData,ROW()-36,COLUMN()*2-3))</f>
        <v/>
      </c>
      <c r="G119" t="str" cm="1">
        <f>IF(ISBLANK(INDEX(Array_StationaryChargeData,ROW()-36,COLUMN()*2-3)),"",INDEX(Array_StationaryChargeData,ROW()-36,COLUMN()*2-3))</f>
        <v/>
      </c>
      <c r="H119" t="str" cm="1">
        <f>IF(ISBLANK(INDEX(Array_StationaryChargeData,ROW()-36,COLUMN()*2-3)),"",INDEX(Array_StationaryChargeData,ROW()-36,COLUMN()*2-3))</f>
        <v/>
      </c>
      <c r="I119" t="str" cm="1">
        <f>IF(ISBLANK(INDEX(Array_StationaryChargeData,ROW()-36,COLUMN()*2-3)),"",INDEX(Array_StationaryChargeData,ROW()-36,COLUMN()*2-3))</f>
        <v/>
      </c>
      <c r="J119" t="str" cm="1">
        <f>IF(ISBLANK(INDEX(Array_StationaryChargeData,ROW()-36,COLUMN()*2-3)),"",INDEX(Array_StationaryChargeData,ROW()-36,COLUMN()*2-3))</f>
        <v/>
      </c>
      <c r="K119" t="str" cm="1">
        <f>IF(ISBLANK(INDEX(Array_StationaryChargeData,ROW()-36,COLUMN()*2-3)),"",INDEX(Array_StationaryChargeData,ROW()-36,COLUMN()*2-3))</f>
        <v/>
      </c>
      <c r="L119" t="str" cm="1">
        <f>IF(ISBLANK(INDEX(Array_StationaryChargeData,ROW()-36,COLUMN()*2-3)),"",INDEX(Array_StationaryChargeData,ROW()-36,COLUMN()*2-3))</f>
        <v/>
      </c>
      <c r="M119" t="str" cm="1">
        <f>IF(ISBLANK(INDEX(Array_StationaryChargeData,ROW()-36,COLUMN()*2-3)),"",INDEX(Array_StationaryChargeData,ROW()-36,COLUMN()*2-3))</f>
        <v/>
      </c>
      <c r="N119" t="str" cm="1">
        <f>IF(ISBLANK(INDEX(Array_StationaryChargeData,ROW()-36,COLUMN()*2-3)),"",INDEX(Array_StationaryChargeData,ROW()-36,COLUMN()*2-3))</f>
        <v/>
      </c>
      <c r="O119" t="str" cm="1">
        <f>IF(ISBLANK(INDEX(Array_StationaryChargeData,ROW()-36,COLUMN()*2-3)),"",INDEX(Array_StationaryChargeData,ROW()-36,COLUMN()*2-3))</f>
        <v/>
      </c>
      <c r="P119" t="str" cm="1">
        <f>IF(ISBLANK(INDEX(Array_StationaryChargeData,ROW()-36,COLUMN()*2-3)),"",INDEX(Array_StationaryChargeData,ROW()-36,COLUMN()*2-3))</f>
        <v/>
      </c>
    </row>
    <row r="120" spans="1:16" x14ac:dyDescent="0.35">
      <c r="A120" t="str">
        <f>IF('Stationary Fuel Meters'!B86="",A119,'Stationary Fuel Meters'!B86)</f>
        <v>Meter Numbers</v>
      </c>
      <c r="B120" t="str" cm="1">
        <f>IF(ISBLANK(INDEX(Array_StationaryChargeData,ROW()-36,COLUMN()*2-3)),"",INDEX(Array_StationaryChargeData,ROW()-36,COLUMN()*2-3))</f>
        <v/>
      </c>
      <c r="C120" t="str" cm="1">
        <f>IF(ISBLANK(INDEX(Array_StationaryChargeData,ROW()-36,COLUMN()*2-3)),"",INDEX(Array_StationaryChargeData,ROW()-36,COLUMN()*2-3))</f>
        <v/>
      </c>
      <c r="D120" t="str" cm="1">
        <f>IF(ISBLANK(INDEX(Array_StationaryChargeData,ROW()-36,COLUMN()*2-3)),"",INDEX(Array_StationaryChargeData,ROW()-36,COLUMN()*2-3))</f>
        <v/>
      </c>
      <c r="E120" t="str" cm="1">
        <f>IF(ISBLANK(INDEX(Array_StationaryChargeData,ROW()-36,COLUMN()*2-3)),"",INDEX(Array_StationaryChargeData,ROW()-36,COLUMN()*2-3))</f>
        <v/>
      </c>
      <c r="F120" t="str" cm="1">
        <f>IF(ISBLANK(INDEX(Array_StationaryChargeData,ROW()-36,COLUMN()*2-3)),"",INDEX(Array_StationaryChargeData,ROW()-36,COLUMN()*2-3))</f>
        <v/>
      </c>
      <c r="G120" t="str" cm="1">
        <f>IF(ISBLANK(INDEX(Array_StationaryChargeData,ROW()-36,COLUMN()*2-3)),"",INDEX(Array_StationaryChargeData,ROW()-36,COLUMN()*2-3))</f>
        <v/>
      </c>
      <c r="H120" t="str" cm="1">
        <f>IF(ISBLANK(INDEX(Array_StationaryChargeData,ROW()-36,COLUMN()*2-3)),"",INDEX(Array_StationaryChargeData,ROW()-36,COLUMN()*2-3))</f>
        <v/>
      </c>
      <c r="I120" t="str" cm="1">
        <f>IF(ISBLANK(INDEX(Array_StationaryChargeData,ROW()-36,COLUMN()*2-3)),"",INDEX(Array_StationaryChargeData,ROW()-36,COLUMN()*2-3))</f>
        <v/>
      </c>
      <c r="J120" t="str" cm="1">
        <f>IF(ISBLANK(INDEX(Array_StationaryChargeData,ROW()-36,COLUMN()*2-3)),"",INDEX(Array_StationaryChargeData,ROW()-36,COLUMN()*2-3))</f>
        <v/>
      </c>
      <c r="K120" t="str" cm="1">
        <f>IF(ISBLANK(INDEX(Array_StationaryChargeData,ROW()-36,COLUMN()*2-3)),"",INDEX(Array_StationaryChargeData,ROW()-36,COLUMN()*2-3))</f>
        <v/>
      </c>
      <c r="L120" t="str" cm="1">
        <f>IF(ISBLANK(INDEX(Array_StationaryChargeData,ROW()-36,COLUMN()*2-3)),"",INDEX(Array_StationaryChargeData,ROW()-36,COLUMN()*2-3))</f>
        <v/>
      </c>
      <c r="M120" t="str" cm="1">
        <f>IF(ISBLANK(INDEX(Array_StationaryChargeData,ROW()-36,COLUMN()*2-3)),"",INDEX(Array_StationaryChargeData,ROW()-36,COLUMN()*2-3))</f>
        <v/>
      </c>
      <c r="N120" t="str" cm="1">
        <f>IF(ISBLANK(INDEX(Array_StationaryChargeData,ROW()-36,COLUMN()*2-3)),"",INDEX(Array_StationaryChargeData,ROW()-36,COLUMN()*2-3))</f>
        <v/>
      </c>
      <c r="O120" t="str" cm="1">
        <f>IF(ISBLANK(INDEX(Array_StationaryChargeData,ROW()-36,COLUMN()*2-3)),"",INDEX(Array_StationaryChargeData,ROW()-36,COLUMN()*2-3))</f>
        <v/>
      </c>
      <c r="P120" t="str" cm="1">
        <f>IF(ISBLANK(INDEX(Array_StationaryChargeData,ROW()-36,COLUMN()*2-3)),"",INDEX(Array_StationaryChargeData,ROW()-36,COLUMN()*2-3))</f>
        <v/>
      </c>
    </row>
    <row r="121" spans="1:16" x14ac:dyDescent="0.35">
      <c r="A121" t="str">
        <f>IF('Stationary Fuel Meters'!B87="",A120,'Stationary Fuel Meters'!B87)</f>
        <v>Meter Numbers</v>
      </c>
      <c r="B121" t="str" cm="1">
        <f>IF(ISBLANK(INDEX(Array_StationaryChargeData,ROW()-36,COLUMN()*2-3)),"",INDEX(Array_StationaryChargeData,ROW()-36,COLUMN()*2-3))</f>
        <v/>
      </c>
      <c r="C121" t="str" cm="1">
        <f>IF(ISBLANK(INDEX(Array_StationaryChargeData,ROW()-36,COLUMN()*2-3)),"",INDEX(Array_StationaryChargeData,ROW()-36,COLUMN()*2-3))</f>
        <v/>
      </c>
      <c r="D121" t="str" cm="1">
        <f>IF(ISBLANK(INDEX(Array_StationaryChargeData,ROW()-36,COLUMN()*2-3)),"",INDEX(Array_StationaryChargeData,ROW()-36,COLUMN()*2-3))</f>
        <v/>
      </c>
      <c r="E121" t="str" cm="1">
        <f>IF(ISBLANK(INDEX(Array_StationaryChargeData,ROW()-36,COLUMN()*2-3)),"",INDEX(Array_StationaryChargeData,ROW()-36,COLUMN()*2-3))</f>
        <v/>
      </c>
      <c r="F121" t="str" cm="1">
        <f>IF(ISBLANK(INDEX(Array_StationaryChargeData,ROW()-36,COLUMN()*2-3)),"",INDEX(Array_StationaryChargeData,ROW()-36,COLUMN()*2-3))</f>
        <v/>
      </c>
      <c r="G121" t="str" cm="1">
        <f>IF(ISBLANK(INDEX(Array_StationaryChargeData,ROW()-36,COLUMN()*2-3)),"",INDEX(Array_StationaryChargeData,ROW()-36,COLUMN()*2-3))</f>
        <v/>
      </c>
      <c r="H121" t="str" cm="1">
        <f>IF(ISBLANK(INDEX(Array_StationaryChargeData,ROW()-36,COLUMN()*2-3)),"",INDEX(Array_StationaryChargeData,ROW()-36,COLUMN()*2-3))</f>
        <v/>
      </c>
      <c r="I121" t="str" cm="1">
        <f>IF(ISBLANK(INDEX(Array_StationaryChargeData,ROW()-36,COLUMN()*2-3)),"",INDEX(Array_StationaryChargeData,ROW()-36,COLUMN()*2-3))</f>
        <v/>
      </c>
      <c r="J121" t="str" cm="1">
        <f>IF(ISBLANK(INDEX(Array_StationaryChargeData,ROW()-36,COLUMN()*2-3)),"",INDEX(Array_StationaryChargeData,ROW()-36,COLUMN()*2-3))</f>
        <v/>
      </c>
      <c r="K121" t="str" cm="1">
        <f>IF(ISBLANK(INDEX(Array_StationaryChargeData,ROW()-36,COLUMN()*2-3)),"",INDEX(Array_StationaryChargeData,ROW()-36,COLUMN()*2-3))</f>
        <v/>
      </c>
      <c r="L121" t="str" cm="1">
        <f>IF(ISBLANK(INDEX(Array_StationaryChargeData,ROW()-36,COLUMN()*2-3)),"",INDEX(Array_StationaryChargeData,ROW()-36,COLUMN()*2-3))</f>
        <v/>
      </c>
      <c r="M121" t="str" cm="1">
        <f>IF(ISBLANK(INDEX(Array_StationaryChargeData,ROW()-36,COLUMN()*2-3)),"",INDEX(Array_StationaryChargeData,ROW()-36,COLUMN()*2-3))</f>
        <v/>
      </c>
      <c r="N121" t="str" cm="1">
        <f>IF(ISBLANK(INDEX(Array_StationaryChargeData,ROW()-36,COLUMN()*2-3)),"",INDEX(Array_StationaryChargeData,ROW()-36,COLUMN()*2-3))</f>
        <v/>
      </c>
      <c r="O121" t="str" cm="1">
        <f>IF(ISBLANK(INDEX(Array_StationaryChargeData,ROW()-36,COLUMN()*2-3)),"",INDEX(Array_StationaryChargeData,ROW()-36,COLUMN()*2-3))</f>
        <v/>
      </c>
      <c r="P121" t="str" cm="1">
        <f>IF(ISBLANK(INDEX(Array_StationaryChargeData,ROW()-36,COLUMN()*2-3)),"",INDEX(Array_StationaryChargeData,ROW()-36,COLUMN()*2-3))</f>
        <v/>
      </c>
    </row>
    <row r="122" spans="1:16" x14ac:dyDescent="0.35">
      <c r="A122" t="str">
        <f>IF('Stationary Fuel Meters'!B88="",A121,'Stationary Fuel Meters'!B88)</f>
        <v>Meter Numbers</v>
      </c>
      <c r="B122" t="str" cm="1">
        <f>IF(ISBLANK(INDEX(Array_StationaryChargeData,ROW()-36,COLUMN()*2-3)),"",INDEX(Array_StationaryChargeData,ROW()-36,COLUMN()*2-3))</f>
        <v/>
      </c>
      <c r="C122" t="str" cm="1">
        <f>IF(ISBLANK(INDEX(Array_StationaryChargeData,ROW()-36,COLUMN()*2-3)),"",INDEX(Array_StationaryChargeData,ROW()-36,COLUMN()*2-3))</f>
        <v/>
      </c>
      <c r="D122" t="str" cm="1">
        <f>IF(ISBLANK(INDEX(Array_StationaryChargeData,ROW()-36,COLUMN()*2-3)),"",INDEX(Array_StationaryChargeData,ROW()-36,COLUMN()*2-3))</f>
        <v/>
      </c>
      <c r="E122" t="str" cm="1">
        <f>IF(ISBLANK(INDEX(Array_StationaryChargeData,ROW()-36,COLUMN()*2-3)),"",INDEX(Array_StationaryChargeData,ROW()-36,COLUMN()*2-3))</f>
        <v/>
      </c>
      <c r="F122" t="str" cm="1">
        <f>IF(ISBLANK(INDEX(Array_StationaryChargeData,ROW()-36,COLUMN()*2-3)),"",INDEX(Array_StationaryChargeData,ROW()-36,COLUMN()*2-3))</f>
        <v/>
      </c>
      <c r="G122" t="str" cm="1">
        <f>IF(ISBLANK(INDEX(Array_StationaryChargeData,ROW()-36,COLUMN()*2-3)),"",INDEX(Array_StationaryChargeData,ROW()-36,COLUMN()*2-3))</f>
        <v/>
      </c>
      <c r="H122" t="str" cm="1">
        <f>IF(ISBLANK(INDEX(Array_StationaryChargeData,ROW()-36,COLUMN()*2-3)),"",INDEX(Array_StationaryChargeData,ROW()-36,COLUMN()*2-3))</f>
        <v/>
      </c>
      <c r="I122" t="str" cm="1">
        <f>IF(ISBLANK(INDEX(Array_StationaryChargeData,ROW()-36,COLUMN()*2-3)),"",INDEX(Array_StationaryChargeData,ROW()-36,COLUMN()*2-3))</f>
        <v/>
      </c>
      <c r="J122" t="str" cm="1">
        <f>IF(ISBLANK(INDEX(Array_StationaryChargeData,ROW()-36,COLUMN()*2-3)),"",INDEX(Array_StationaryChargeData,ROW()-36,COLUMN()*2-3))</f>
        <v/>
      </c>
      <c r="K122" t="str" cm="1">
        <f>IF(ISBLANK(INDEX(Array_StationaryChargeData,ROW()-36,COLUMN()*2-3)),"",INDEX(Array_StationaryChargeData,ROW()-36,COLUMN()*2-3))</f>
        <v/>
      </c>
      <c r="L122" t="str" cm="1">
        <f>IF(ISBLANK(INDEX(Array_StationaryChargeData,ROW()-36,COLUMN()*2-3)),"",INDEX(Array_StationaryChargeData,ROW()-36,COLUMN()*2-3))</f>
        <v/>
      </c>
      <c r="M122" t="str" cm="1">
        <f>IF(ISBLANK(INDEX(Array_StationaryChargeData,ROW()-36,COLUMN()*2-3)),"",INDEX(Array_StationaryChargeData,ROW()-36,COLUMN()*2-3))</f>
        <v/>
      </c>
      <c r="N122" t="str" cm="1">
        <f>IF(ISBLANK(INDEX(Array_StationaryChargeData,ROW()-36,COLUMN()*2-3)),"",INDEX(Array_StationaryChargeData,ROW()-36,COLUMN()*2-3))</f>
        <v/>
      </c>
      <c r="O122" t="str" cm="1">
        <f>IF(ISBLANK(INDEX(Array_StationaryChargeData,ROW()-36,COLUMN()*2-3)),"",INDEX(Array_StationaryChargeData,ROW()-36,COLUMN()*2-3))</f>
        <v/>
      </c>
      <c r="P122" t="str" cm="1">
        <f>IF(ISBLANK(INDEX(Array_StationaryChargeData,ROW()-36,COLUMN()*2-3)),"",INDEX(Array_StationaryChargeData,ROW()-36,COLUMN()*2-3))</f>
        <v/>
      </c>
    </row>
    <row r="123" spans="1:16" x14ac:dyDescent="0.35">
      <c r="A123" t="str">
        <f>IF('Stationary Fuel Meters'!B89="",A122,'Stationary Fuel Meters'!B89)</f>
        <v>Meter Numbers</v>
      </c>
      <c r="B123" t="str" cm="1">
        <f>IF(ISBLANK(INDEX(Array_StationaryChargeData,ROW()-36,COLUMN()*2-3)),"",INDEX(Array_StationaryChargeData,ROW()-36,COLUMN()*2-3))</f>
        <v/>
      </c>
      <c r="C123" t="str" cm="1">
        <f>IF(ISBLANK(INDEX(Array_StationaryChargeData,ROW()-36,COLUMN()*2-3)),"",INDEX(Array_StationaryChargeData,ROW()-36,COLUMN()*2-3))</f>
        <v/>
      </c>
      <c r="D123" t="str" cm="1">
        <f>IF(ISBLANK(INDEX(Array_StationaryChargeData,ROW()-36,COLUMN()*2-3)),"",INDEX(Array_StationaryChargeData,ROW()-36,COLUMN()*2-3))</f>
        <v/>
      </c>
      <c r="E123" t="str" cm="1">
        <f>IF(ISBLANK(INDEX(Array_StationaryChargeData,ROW()-36,COLUMN()*2-3)),"",INDEX(Array_StationaryChargeData,ROW()-36,COLUMN()*2-3))</f>
        <v/>
      </c>
      <c r="F123" t="str" cm="1">
        <f>IF(ISBLANK(INDEX(Array_StationaryChargeData,ROW()-36,COLUMN()*2-3)),"",INDEX(Array_StationaryChargeData,ROW()-36,COLUMN()*2-3))</f>
        <v/>
      </c>
      <c r="G123" t="str" cm="1">
        <f>IF(ISBLANK(INDEX(Array_StationaryChargeData,ROW()-36,COLUMN()*2-3)),"",INDEX(Array_StationaryChargeData,ROW()-36,COLUMN()*2-3))</f>
        <v/>
      </c>
      <c r="H123" t="str" cm="1">
        <f>IF(ISBLANK(INDEX(Array_StationaryChargeData,ROW()-36,COLUMN()*2-3)),"",INDEX(Array_StationaryChargeData,ROW()-36,COLUMN()*2-3))</f>
        <v/>
      </c>
      <c r="I123" t="str" cm="1">
        <f>IF(ISBLANK(INDEX(Array_StationaryChargeData,ROW()-36,COLUMN()*2-3)),"",INDEX(Array_StationaryChargeData,ROW()-36,COLUMN()*2-3))</f>
        <v/>
      </c>
      <c r="J123" t="str" cm="1">
        <f>IF(ISBLANK(INDEX(Array_StationaryChargeData,ROW()-36,COLUMN()*2-3)),"",INDEX(Array_StationaryChargeData,ROW()-36,COLUMN()*2-3))</f>
        <v/>
      </c>
      <c r="K123" t="str" cm="1">
        <f>IF(ISBLANK(INDEX(Array_StationaryChargeData,ROW()-36,COLUMN()*2-3)),"",INDEX(Array_StationaryChargeData,ROW()-36,COLUMN()*2-3))</f>
        <v/>
      </c>
      <c r="L123" t="str" cm="1">
        <f>IF(ISBLANK(INDEX(Array_StationaryChargeData,ROW()-36,COLUMN()*2-3)),"",INDEX(Array_StationaryChargeData,ROW()-36,COLUMN()*2-3))</f>
        <v/>
      </c>
      <c r="M123" t="str" cm="1">
        <f>IF(ISBLANK(INDEX(Array_StationaryChargeData,ROW()-36,COLUMN()*2-3)),"",INDEX(Array_StationaryChargeData,ROW()-36,COLUMN()*2-3))</f>
        <v/>
      </c>
      <c r="N123" t="str" cm="1">
        <f>IF(ISBLANK(INDEX(Array_StationaryChargeData,ROW()-36,COLUMN()*2-3)),"",INDEX(Array_StationaryChargeData,ROW()-36,COLUMN()*2-3))</f>
        <v/>
      </c>
      <c r="O123" t="str" cm="1">
        <f>IF(ISBLANK(INDEX(Array_StationaryChargeData,ROW()-36,COLUMN()*2-3)),"",INDEX(Array_StationaryChargeData,ROW()-36,COLUMN()*2-3))</f>
        <v/>
      </c>
      <c r="P123" t="str" cm="1">
        <f>IF(ISBLANK(INDEX(Array_StationaryChargeData,ROW()-36,COLUMN()*2-3)),"",INDEX(Array_StationaryChargeData,ROW()-36,COLUMN()*2-3))</f>
        <v/>
      </c>
    </row>
    <row r="124" spans="1:16" x14ac:dyDescent="0.35">
      <c r="A124" t="str">
        <f>IF('Stationary Fuel Meters'!B90="",A123,'Stationary Fuel Meters'!B90)</f>
        <v>Meter Numbers</v>
      </c>
      <c r="B124" t="str" cm="1">
        <f>IF(ISBLANK(INDEX(Array_StationaryChargeData,ROW()-36,COLUMN()*2-3)),"",INDEX(Array_StationaryChargeData,ROW()-36,COLUMN()*2-3))</f>
        <v/>
      </c>
      <c r="C124" t="str" cm="1">
        <f>IF(ISBLANK(INDEX(Array_StationaryChargeData,ROW()-36,COLUMN()*2-3)),"",INDEX(Array_StationaryChargeData,ROW()-36,COLUMN()*2-3))</f>
        <v/>
      </c>
      <c r="D124" t="str" cm="1">
        <f>IF(ISBLANK(INDEX(Array_StationaryChargeData,ROW()-36,COLUMN()*2-3)),"",INDEX(Array_StationaryChargeData,ROW()-36,COLUMN()*2-3))</f>
        <v/>
      </c>
      <c r="E124" t="str" cm="1">
        <f>IF(ISBLANK(INDEX(Array_StationaryChargeData,ROW()-36,COLUMN()*2-3)),"",INDEX(Array_StationaryChargeData,ROW()-36,COLUMN()*2-3))</f>
        <v/>
      </c>
      <c r="F124" t="str" cm="1">
        <f>IF(ISBLANK(INDEX(Array_StationaryChargeData,ROW()-36,COLUMN()*2-3)),"",INDEX(Array_StationaryChargeData,ROW()-36,COLUMN()*2-3))</f>
        <v/>
      </c>
      <c r="G124" t="str" cm="1">
        <f>IF(ISBLANK(INDEX(Array_StationaryChargeData,ROW()-36,COLUMN()*2-3)),"",INDEX(Array_StationaryChargeData,ROW()-36,COLUMN()*2-3))</f>
        <v/>
      </c>
      <c r="H124" t="str" cm="1">
        <f>IF(ISBLANK(INDEX(Array_StationaryChargeData,ROW()-36,COLUMN()*2-3)),"",INDEX(Array_StationaryChargeData,ROW()-36,COLUMN()*2-3))</f>
        <v/>
      </c>
      <c r="I124" t="str" cm="1">
        <f>IF(ISBLANK(INDEX(Array_StationaryChargeData,ROW()-36,COLUMN()*2-3)),"",INDEX(Array_StationaryChargeData,ROW()-36,COLUMN()*2-3))</f>
        <v/>
      </c>
      <c r="J124" t="str" cm="1">
        <f>IF(ISBLANK(INDEX(Array_StationaryChargeData,ROW()-36,COLUMN()*2-3)),"",INDEX(Array_StationaryChargeData,ROW()-36,COLUMN()*2-3))</f>
        <v/>
      </c>
      <c r="K124" t="str" cm="1">
        <f>IF(ISBLANK(INDEX(Array_StationaryChargeData,ROW()-36,COLUMN()*2-3)),"",INDEX(Array_StationaryChargeData,ROW()-36,COLUMN()*2-3))</f>
        <v/>
      </c>
      <c r="L124" t="str" cm="1">
        <f>IF(ISBLANK(INDEX(Array_StationaryChargeData,ROW()-36,COLUMN()*2-3)),"",INDEX(Array_StationaryChargeData,ROW()-36,COLUMN()*2-3))</f>
        <v/>
      </c>
      <c r="M124" t="str" cm="1">
        <f>IF(ISBLANK(INDEX(Array_StationaryChargeData,ROW()-36,COLUMN()*2-3)),"",INDEX(Array_StationaryChargeData,ROW()-36,COLUMN()*2-3))</f>
        <v/>
      </c>
      <c r="N124" t="str" cm="1">
        <f>IF(ISBLANK(INDEX(Array_StationaryChargeData,ROW()-36,COLUMN()*2-3)),"",INDEX(Array_StationaryChargeData,ROW()-36,COLUMN()*2-3))</f>
        <v/>
      </c>
      <c r="O124" t="str" cm="1">
        <f>IF(ISBLANK(INDEX(Array_StationaryChargeData,ROW()-36,COLUMN()*2-3)),"",INDEX(Array_StationaryChargeData,ROW()-36,COLUMN()*2-3))</f>
        <v/>
      </c>
      <c r="P124" t="str" cm="1">
        <f>IF(ISBLANK(INDEX(Array_StationaryChargeData,ROW()-36,COLUMN()*2-3)),"",INDEX(Array_StationaryChargeData,ROW()-36,COLUMN()*2-3))</f>
        <v/>
      </c>
    </row>
    <row r="125" spans="1:16" x14ac:dyDescent="0.35">
      <c r="A125" t="str">
        <f>IF('Stationary Fuel Meters'!B91="",A124,'Stationary Fuel Meters'!B91)</f>
        <v>Meter Numbers</v>
      </c>
      <c r="B125" t="str" cm="1">
        <f>IF(ISBLANK(INDEX(Array_StationaryChargeData,ROW()-36,COLUMN()*2-3)),"",INDEX(Array_StationaryChargeData,ROW()-36,COLUMN()*2-3))</f>
        <v/>
      </c>
      <c r="C125" t="str" cm="1">
        <f>IF(ISBLANK(INDEX(Array_StationaryChargeData,ROW()-36,COLUMN()*2-3)),"",INDEX(Array_StationaryChargeData,ROW()-36,COLUMN()*2-3))</f>
        <v/>
      </c>
      <c r="D125" t="str" cm="1">
        <f>IF(ISBLANK(INDEX(Array_StationaryChargeData,ROW()-36,COLUMN()*2-3)),"",INDEX(Array_StationaryChargeData,ROW()-36,COLUMN()*2-3))</f>
        <v/>
      </c>
      <c r="E125" t="str" cm="1">
        <f>IF(ISBLANK(INDEX(Array_StationaryChargeData,ROW()-36,COLUMN()*2-3)),"",INDEX(Array_StationaryChargeData,ROW()-36,COLUMN()*2-3))</f>
        <v/>
      </c>
      <c r="F125" t="str" cm="1">
        <f>IF(ISBLANK(INDEX(Array_StationaryChargeData,ROW()-36,COLUMN()*2-3)),"",INDEX(Array_StationaryChargeData,ROW()-36,COLUMN()*2-3))</f>
        <v/>
      </c>
      <c r="G125" t="str" cm="1">
        <f>IF(ISBLANK(INDEX(Array_StationaryChargeData,ROW()-36,COLUMN()*2-3)),"",INDEX(Array_StationaryChargeData,ROW()-36,COLUMN()*2-3))</f>
        <v/>
      </c>
      <c r="H125" t="str" cm="1">
        <f>IF(ISBLANK(INDEX(Array_StationaryChargeData,ROW()-36,COLUMN()*2-3)),"",INDEX(Array_StationaryChargeData,ROW()-36,COLUMN()*2-3))</f>
        <v/>
      </c>
      <c r="I125" t="str" cm="1">
        <f>IF(ISBLANK(INDEX(Array_StationaryChargeData,ROW()-36,COLUMN()*2-3)),"",INDEX(Array_StationaryChargeData,ROW()-36,COLUMN()*2-3))</f>
        <v/>
      </c>
      <c r="J125" t="str" cm="1">
        <f>IF(ISBLANK(INDEX(Array_StationaryChargeData,ROW()-36,COLUMN()*2-3)),"",INDEX(Array_StationaryChargeData,ROW()-36,COLUMN()*2-3))</f>
        <v/>
      </c>
      <c r="K125" t="str" cm="1">
        <f>IF(ISBLANK(INDEX(Array_StationaryChargeData,ROW()-36,COLUMN()*2-3)),"",INDEX(Array_StationaryChargeData,ROW()-36,COLUMN()*2-3))</f>
        <v/>
      </c>
      <c r="L125" t="str" cm="1">
        <f>IF(ISBLANK(INDEX(Array_StationaryChargeData,ROW()-36,COLUMN()*2-3)),"",INDEX(Array_StationaryChargeData,ROW()-36,COLUMN()*2-3))</f>
        <v/>
      </c>
      <c r="M125" t="str" cm="1">
        <f>IF(ISBLANK(INDEX(Array_StationaryChargeData,ROW()-36,COLUMN()*2-3)),"",INDEX(Array_StationaryChargeData,ROW()-36,COLUMN()*2-3))</f>
        <v/>
      </c>
      <c r="N125" t="str" cm="1">
        <f>IF(ISBLANK(INDEX(Array_StationaryChargeData,ROW()-36,COLUMN()*2-3)),"",INDEX(Array_StationaryChargeData,ROW()-36,COLUMN()*2-3))</f>
        <v/>
      </c>
      <c r="O125" t="str" cm="1">
        <f>IF(ISBLANK(INDEX(Array_StationaryChargeData,ROW()-36,COLUMN()*2-3)),"",INDEX(Array_StationaryChargeData,ROW()-36,COLUMN()*2-3))</f>
        <v/>
      </c>
      <c r="P125" t="str" cm="1">
        <f>IF(ISBLANK(INDEX(Array_StationaryChargeData,ROW()-36,COLUMN()*2-3)),"",INDEX(Array_StationaryChargeData,ROW()-36,COLUMN()*2-3))</f>
        <v/>
      </c>
    </row>
    <row r="126" spans="1:16" x14ac:dyDescent="0.35">
      <c r="A126" t="str">
        <f>IF('Stationary Fuel Meters'!B92="",A125,'Stationary Fuel Meters'!B92)</f>
        <v>Meter Numbers</v>
      </c>
      <c r="B126" t="str" cm="1">
        <f>IF(ISBLANK(INDEX(Array_StationaryChargeData,ROW()-36,COLUMN()*2-3)),"",INDEX(Array_StationaryChargeData,ROW()-36,COLUMN()*2-3))</f>
        <v/>
      </c>
      <c r="C126" t="str" cm="1">
        <f>IF(ISBLANK(INDEX(Array_StationaryChargeData,ROW()-36,COLUMN()*2-3)),"",INDEX(Array_StationaryChargeData,ROW()-36,COLUMN()*2-3))</f>
        <v/>
      </c>
      <c r="D126" t="str" cm="1">
        <f>IF(ISBLANK(INDEX(Array_StationaryChargeData,ROW()-36,COLUMN()*2-3)),"",INDEX(Array_StationaryChargeData,ROW()-36,COLUMN()*2-3))</f>
        <v/>
      </c>
      <c r="E126" t="str" cm="1">
        <f>IF(ISBLANK(INDEX(Array_StationaryChargeData,ROW()-36,COLUMN()*2-3)),"",INDEX(Array_StationaryChargeData,ROW()-36,COLUMN()*2-3))</f>
        <v/>
      </c>
      <c r="F126" t="str" cm="1">
        <f>IF(ISBLANK(INDEX(Array_StationaryChargeData,ROW()-36,COLUMN()*2-3)),"",INDEX(Array_StationaryChargeData,ROW()-36,COLUMN()*2-3))</f>
        <v/>
      </c>
      <c r="G126" t="str" cm="1">
        <f>IF(ISBLANK(INDEX(Array_StationaryChargeData,ROW()-36,COLUMN()*2-3)),"",INDEX(Array_StationaryChargeData,ROW()-36,COLUMN()*2-3))</f>
        <v/>
      </c>
      <c r="H126" t="str" cm="1">
        <f>IF(ISBLANK(INDEX(Array_StationaryChargeData,ROW()-36,COLUMN()*2-3)),"",INDEX(Array_StationaryChargeData,ROW()-36,COLUMN()*2-3))</f>
        <v/>
      </c>
      <c r="I126" t="str" cm="1">
        <f>IF(ISBLANK(INDEX(Array_StationaryChargeData,ROW()-36,COLUMN()*2-3)),"",INDEX(Array_StationaryChargeData,ROW()-36,COLUMN()*2-3))</f>
        <v/>
      </c>
      <c r="J126" t="str" cm="1">
        <f>IF(ISBLANK(INDEX(Array_StationaryChargeData,ROW()-36,COLUMN()*2-3)),"",INDEX(Array_StationaryChargeData,ROW()-36,COLUMN()*2-3))</f>
        <v/>
      </c>
      <c r="K126" t="str" cm="1">
        <f>IF(ISBLANK(INDEX(Array_StationaryChargeData,ROW()-36,COLUMN()*2-3)),"",INDEX(Array_StationaryChargeData,ROW()-36,COLUMN()*2-3))</f>
        <v/>
      </c>
      <c r="L126" t="str" cm="1">
        <f>IF(ISBLANK(INDEX(Array_StationaryChargeData,ROW()-36,COLUMN()*2-3)),"",INDEX(Array_StationaryChargeData,ROW()-36,COLUMN()*2-3))</f>
        <v/>
      </c>
      <c r="M126" t="str" cm="1">
        <f>IF(ISBLANK(INDEX(Array_StationaryChargeData,ROW()-36,COLUMN()*2-3)),"",INDEX(Array_StationaryChargeData,ROW()-36,COLUMN()*2-3))</f>
        <v/>
      </c>
      <c r="N126" t="str" cm="1">
        <f>IF(ISBLANK(INDEX(Array_StationaryChargeData,ROW()-36,COLUMN()*2-3)),"",INDEX(Array_StationaryChargeData,ROW()-36,COLUMN()*2-3))</f>
        <v/>
      </c>
      <c r="O126" t="str" cm="1">
        <f>IF(ISBLANK(INDEX(Array_StationaryChargeData,ROW()-36,COLUMN()*2-3)),"",INDEX(Array_StationaryChargeData,ROW()-36,COLUMN()*2-3))</f>
        <v/>
      </c>
      <c r="P126" t="str" cm="1">
        <f>IF(ISBLANK(INDEX(Array_StationaryChargeData,ROW()-36,COLUMN()*2-3)),"",INDEX(Array_StationaryChargeData,ROW()-36,COLUMN()*2-3))</f>
        <v/>
      </c>
    </row>
    <row r="127" spans="1:16" x14ac:dyDescent="0.35">
      <c r="A127" t="str">
        <f>IF('Stationary Fuel Meters'!B93="",A126,'Stationary Fuel Meters'!B93)</f>
        <v>Meter Numbers</v>
      </c>
      <c r="B127" t="str" cm="1">
        <f>IF(ISBLANK(INDEX(Array_StationaryChargeData,ROW()-36,COLUMN()*2-3)),"",INDEX(Array_StationaryChargeData,ROW()-36,COLUMN()*2-3))</f>
        <v/>
      </c>
      <c r="C127" t="str" cm="1">
        <f>IF(ISBLANK(INDEX(Array_StationaryChargeData,ROW()-36,COLUMN()*2-3)),"",INDEX(Array_StationaryChargeData,ROW()-36,COLUMN()*2-3))</f>
        <v/>
      </c>
      <c r="D127" t="str" cm="1">
        <f>IF(ISBLANK(INDEX(Array_StationaryChargeData,ROW()-36,COLUMN()*2-3)),"",INDEX(Array_StationaryChargeData,ROW()-36,COLUMN()*2-3))</f>
        <v/>
      </c>
      <c r="E127" t="str" cm="1">
        <f>IF(ISBLANK(INDEX(Array_StationaryChargeData,ROW()-36,COLUMN()*2-3)),"",INDEX(Array_StationaryChargeData,ROW()-36,COLUMN()*2-3))</f>
        <v/>
      </c>
      <c r="F127" t="str" cm="1">
        <f>IF(ISBLANK(INDEX(Array_StationaryChargeData,ROW()-36,COLUMN()*2-3)),"",INDEX(Array_StationaryChargeData,ROW()-36,COLUMN()*2-3))</f>
        <v/>
      </c>
      <c r="G127" t="str" cm="1">
        <f>IF(ISBLANK(INDEX(Array_StationaryChargeData,ROW()-36,COLUMN()*2-3)),"",INDEX(Array_StationaryChargeData,ROW()-36,COLUMN()*2-3))</f>
        <v/>
      </c>
      <c r="H127" t="str" cm="1">
        <f>IF(ISBLANK(INDEX(Array_StationaryChargeData,ROW()-36,COLUMN()*2-3)),"",INDEX(Array_StationaryChargeData,ROW()-36,COLUMN()*2-3))</f>
        <v/>
      </c>
      <c r="I127" t="str" cm="1">
        <f>IF(ISBLANK(INDEX(Array_StationaryChargeData,ROW()-36,COLUMN()*2-3)),"",INDEX(Array_StationaryChargeData,ROW()-36,COLUMN()*2-3))</f>
        <v/>
      </c>
      <c r="J127" t="str" cm="1">
        <f>IF(ISBLANK(INDEX(Array_StationaryChargeData,ROW()-36,COLUMN()*2-3)),"",INDEX(Array_StationaryChargeData,ROW()-36,COLUMN()*2-3))</f>
        <v/>
      </c>
      <c r="K127" t="str" cm="1">
        <f>IF(ISBLANK(INDEX(Array_StationaryChargeData,ROW()-36,COLUMN()*2-3)),"",INDEX(Array_StationaryChargeData,ROW()-36,COLUMN()*2-3))</f>
        <v/>
      </c>
      <c r="L127" t="str" cm="1">
        <f>IF(ISBLANK(INDEX(Array_StationaryChargeData,ROW()-36,COLUMN()*2-3)),"",INDEX(Array_StationaryChargeData,ROW()-36,COLUMN()*2-3))</f>
        <v/>
      </c>
      <c r="M127" t="str" cm="1">
        <f>IF(ISBLANK(INDEX(Array_StationaryChargeData,ROW()-36,COLUMN()*2-3)),"",INDEX(Array_StationaryChargeData,ROW()-36,COLUMN()*2-3))</f>
        <v/>
      </c>
      <c r="N127" t="str" cm="1">
        <f>IF(ISBLANK(INDEX(Array_StationaryChargeData,ROW()-36,COLUMN()*2-3)),"",INDEX(Array_StationaryChargeData,ROW()-36,COLUMN()*2-3))</f>
        <v/>
      </c>
      <c r="O127" t="str" cm="1">
        <f>IF(ISBLANK(INDEX(Array_StationaryChargeData,ROW()-36,COLUMN()*2-3)),"",INDEX(Array_StationaryChargeData,ROW()-36,COLUMN()*2-3))</f>
        <v/>
      </c>
      <c r="P127" t="str" cm="1">
        <f>IF(ISBLANK(INDEX(Array_StationaryChargeData,ROW()-36,COLUMN()*2-3)),"",INDEX(Array_StationaryChargeData,ROW()-36,COLUMN()*2-3))</f>
        <v/>
      </c>
    </row>
    <row r="128" spans="1:16" x14ac:dyDescent="0.35">
      <c r="A128" t="str">
        <f>IF('Stationary Fuel Meters'!B94="",A127,'Stationary Fuel Meters'!B94)</f>
        <v>Meter Numbers</v>
      </c>
      <c r="B128" t="str" cm="1">
        <f>IF(ISBLANK(INDEX(Array_StationaryChargeData,ROW()-36,COLUMN()*2-3)),"",INDEX(Array_StationaryChargeData,ROW()-36,COLUMN()*2-3))</f>
        <v/>
      </c>
      <c r="C128" t="str" cm="1">
        <f>IF(ISBLANK(INDEX(Array_StationaryChargeData,ROW()-36,COLUMN()*2-3)),"",INDEX(Array_StationaryChargeData,ROW()-36,COLUMN()*2-3))</f>
        <v/>
      </c>
      <c r="D128" t="str" cm="1">
        <f>IF(ISBLANK(INDEX(Array_StationaryChargeData,ROW()-36,COLUMN()*2-3)),"",INDEX(Array_StationaryChargeData,ROW()-36,COLUMN()*2-3))</f>
        <v/>
      </c>
      <c r="E128" t="str" cm="1">
        <f>IF(ISBLANK(INDEX(Array_StationaryChargeData,ROW()-36,COLUMN()*2-3)),"",INDEX(Array_StationaryChargeData,ROW()-36,COLUMN()*2-3))</f>
        <v/>
      </c>
      <c r="F128" t="str" cm="1">
        <f>IF(ISBLANK(INDEX(Array_StationaryChargeData,ROW()-36,COLUMN()*2-3)),"",INDEX(Array_StationaryChargeData,ROW()-36,COLUMN()*2-3))</f>
        <v/>
      </c>
      <c r="G128" t="str" cm="1">
        <f>IF(ISBLANK(INDEX(Array_StationaryChargeData,ROW()-36,COLUMN()*2-3)),"",INDEX(Array_StationaryChargeData,ROW()-36,COLUMN()*2-3))</f>
        <v/>
      </c>
      <c r="H128" t="str" cm="1">
        <f>IF(ISBLANK(INDEX(Array_StationaryChargeData,ROW()-36,COLUMN()*2-3)),"",INDEX(Array_StationaryChargeData,ROW()-36,COLUMN()*2-3))</f>
        <v/>
      </c>
      <c r="I128" t="str" cm="1">
        <f>IF(ISBLANK(INDEX(Array_StationaryChargeData,ROW()-36,COLUMN()*2-3)),"",INDEX(Array_StationaryChargeData,ROW()-36,COLUMN()*2-3))</f>
        <v/>
      </c>
      <c r="J128" t="str" cm="1">
        <f>IF(ISBLANK(INDEX(Array_StationaryChargeData,ROW()-36,COLUMN()*2-3)),"",INDEX(Array_StationaryChargeData,ROW()-36,COLUMN()*2-3))</f>
        <v/>
      </c>
      <c r="K128" t="str" cm="1">
        <f>IF(ISBLANK(INDEX(Array_StationaryChargeData,ROW()-36,COLUMN()*2-3)),"",INDEX(Array_StationaryChargeData,ROW()-36,COLUMN()*2-3))</f>
        <v/>
      </c>
      <c r="L128" t="str" cm="1">
        <f>IF(ISBLANK(INDEX(Array_StationaryChargeData,ROW()-36,COLUMN()*2-3)),"",INDEX(Array_StationaryChargeData,ROW()-36,COLUMN()*2-3))</f>
        <v/>
      </c>
      <c r="M128" t="str" cm="1">
        <f>IF(ISBLANK(INDEX(Array_StationaryChargeData,ROW()-36,COLUMN()*2-3)),"",INDEX(Array_StationaryChargeData,ROW()-36,COLUMN()*2-3))</f>
        <v/>
      </c>
      <c r="N128" t="str" cm="1">
        <f>IF(ISBLANK(INDEX(Array_StationaryChargeData,ROW()-36,COLUMN()*2-3)),"",INDEX(Array_StationaryChargeData,ROW()-36,COLUMN()*2-3))</f>
        <v/>
      </c>
      <c r="O128" t="str" cm="1">
        <f>IF(ISBLANK(INDEX(Array_StationaryChargeData,ROW()-36,COLUMN()*2-3)),"",INDEX(Array_StationaryChargeData,ROW()-36,COLUMN()*2-3))</f>
        <v/>
      </c>
      <c r="P128" t="str" cm="1">
        <f>IF(ISBLANK(INDEX(Array_StationaryChargeData,ROW()-36,COLUMN()*2-3)),"",INDEX(Array_StationaryChargeData,ROW()-36,COLUMN()*2-3))</f>
        <v/>
      </c>
    </row>
    <row r="129" spans="1:16" x14ac:dyDescent="0.35">
      <c r="A129" t="str">
        <f>IF('Stationary Fuel Meters'!B95="",A128,'Stationary Fuel Meters'!B95)</f>
        <v>Meter Numbers</v>
      </c>
      <c r="B129" t="str" cm="1">
        <f>IF(ISBLANK(INDEX(Array_StationaryChargeData,ROW()-36,COLUMN()*2-3)),"",INDEX(Array_StationaryChargeData,ROW()-36,COLUMN()*2-3))</f>
        <v/>
      </c>
      <c r="C129" t="str" cm="1">
        <f>IF(ISBLANK(INDEX(Array_StationaryChargeData,ROW()-36,COLUMN()*2-3)),"",INDEX(Array_StationaryChargeData,ROW()-36,COLUMN()*2-3))</f>
        <v/>
      </c>
      <c r="D129" t="str" cm="1">
        <f>IF(ISBLANK(INDEX(Array_StationaryChargeData,ROW()-36,COLUMN()*2-3)),"",INDEX(Array_StationaryChargeData,ROW()-36,COLUMN()*2-3))</f>
        <v/>
      </c>
      <c r="E129" t="str" cm="1">
        <f>IF(ISBLANK(INDEX(Array_StationaryChargeData,ROW()-36,COLUMN()*2-3)),"",INDEX(Array_StationaryChargeData,ROW()-36,COLUMN()*2-3))</f>
        <v/>
      </c>
      <c r="F129" t="str" cm="1">
        <f>IF(ISBLANK(INDEX(Array_StationaryChargeData,ROW()-36,COLUMN()*2-3)),"",INDEX(Array_StationaryChargeData,ROW()-36,COLUMN()*2-3))</f>
        <v/>
      </c>
      <c r="G129" t="str" cm="1">
        <f>IF(ISBLANK(INDEX(Array_StationaryChargeData,ROW()-36,COLUMN()*2-3)),"",INDEX(Array_StationaryChargeData,ROW()-36,COLUMN()*2-3))</f>
        <v/>
      </c>
      <c r="H129" t="str" cm="1">
        <f>IF(ISBLANK(INDEX(Array_StationaryChargeData,ROW()-36,COLUMN()*2-3)),"",INDEX(Array_StationaryChargeData,ROW()-36,COLUMN()*2-3))</f>
        <v/>
      </c>
      <c r="I129" t="str" cm="1">
        <f>IF(ISBLANK(INDEX(Array_StationaryChargeData,ROW()-36,COLUMN()*2-3)),"",INDEX(Array_StationaryChargeData,ROW()-36,COLUMN()*2-3))</f>
        <v/>
      </c>
      <c r="J129" t="str" cm="1">
        <f>IF(ISBLANK(INDEX(Array_StationaryChargeData,ROW()-36,COLUMN()*2-3)),"",INDEX(Array_StationaryChargeData,ROW()-36,COLUMN()*2-3))</f>
        <v/>
      </c>
      <c r="K129" t="str" cm="1">
        <f>IF(ISBLANK(INDEX(Array_StationaryChargeData,ROW()-36,COLUMN()*2-3)),"",INDEX(Array_StationaryChargeData,ROW()-36,COLUMN()*2-3))</f>
        <v/>
      </c>
      <c r="L129" t="str" cm="1">
        <f>IF(ISBLANK(INDEX(Array_StationaryChargeData,ROW()-36,COLUMN()*2-3)),"",INDEX(Array_StationaryChargeData,ROW()-36,COLUMN()*2-3))</f>
        <v/>
      </c>
      <c r="M129" t="str" cm="1">
        <f>IF(ISBLANK(INDEX(Array_StationaryChargeData,ROW()-36,COLUMN()*2-3)),"",INDEX(Array_StationaryChargeData,ROW()-36,COLUMN()*2-3))</f>
        <v/>
      </c>
      <c r="N129" t="str" cm="1">
        <f>IF(ISBLANK(INDEX(Array_StationaryChargeData,ROW()-36,COLUMN()*2-3)),"",INDEX(Array_StationaryChargeData,ROW()-36,COLUMN()*2-3))</f>
        <v/>
      </c>
      <c r="O129" t="str" cm="1">
        <f>IF(ISBLANK(INDEX(Array_StationaryChargeData,ROW()-36,COLUMN()*2-3)),"",INDEX(Array_StationaryChargeData,ROW()-36,COLUMN()*2-3))</f>
        <v/>
      </c>
      <c r="P129" t="str" cm="1">
        <f>IF(ISBLANK(INDEX(Array_StationaryChargeData,ROW()-36,COLUMN()*2-3)),"",INDEX(Array_StationaryChargeData,ROW()-36,COLUMN()*2-3))</f>
        <v/>
      </c>
    </row>
    <row r="130" spans="1:16" x14ac:dyDescent="0.35">
      <c r="A130" t="str">
        <f>IF('Stationary Fuel Meters'!B96="",A129,'Stationary Fuel Meters'!B96)</f>
        <v>Meter Numbers</v>
      </c>
      <c r="B130" t="str" cm="1">
        <f>IF(ISBLANK(INDEX(Array_StationaryChargeData,ROW()-36,COLUMN()*2-3)),"",INDEX(Array_StationaryChargeData,ROW()-36,COLUMN()*2-3))</f>
        <v/>
      </c>
      <c r="C130" t="str" cm="1">
        <f>IF(ISBLANK(INDEX(Array_StationaryChargeData,ROW()-36,COLUMN()*2-3)),"",INDEX(Array_StationaryChargeData,ROW()-36,COLUMN()*2-3))</f>
        <v/>
      </c>
      <c r="D130" t="str" cm="1">
        <f>IF(ISBLANK(INDEX(Array_StationaryChargeData,ROW()-36,COLUMN()*2-3)),"",INDEX(Array_StationaryChargeData,ROW()-36,COLUMN()*2-3))</f>
        <v/>
      </c>
      <c r="E130" t="str" cm="1">
        <f>IF(ISBLANK(INDEX(Array_StationaryChargeData,ROW()-36,COLUMN()*2-3)),"",INDEX(Array_StationaryChargeData,ROW()-36,COLUMN()*2-3))</f>
        <v/>
      </c>
      <c r="F130" t="str" cm="1">
        <f>IF(ISBLANK(INDEX(Array_StationaryChargeData,ROW()-36,COLUMN()*2-3)),"",INDEX(Array_StationaryChargeData,ROW()-36,COLUMN()*2-3))</f>
        <v/>
      </c>
      <c r="G130" t="str" cm="1">
        <f>IF(ISBLANK(INDEX(Array_StationaryChargeData,ROW()-36,COLUMN()*2-3)),"",INDEX(Array_StationaryChargeData,ROW()-36,COLUMN()*2-3))</f>
        <v/>
      </c>
      <c r="H130" t="str" cm="1">
        <f>IF(ISBLANK(INDEX(Array_StationaryChargeData,ROW()-36,COLUMN()*2-3)),"",INDEX(Array_StationaryChargeData,ROW()-36,COLUMN()*2-3))</f>
        <v/>
      </c>
      <c r="I130" t="str" cm="1">
        <f>IF(ISBLANK(INDEX(Array_StationaryChargeData,ROW()-36,COLUMN()*2-3)),"",INDEX(Array_StationaryChargeData,ROW()-36,COLUMN()*2-3))</f>
        <v/>
      </c>
      <c r="J130" t="str" cm="1">
        <f>IF(ISBLANK(INDEX(Array_StationaryChargeData,ROW()-36,COLUMN()*2-3)),"",INDEX(Array_StationaryChargeData,ROW()-36,COLUMN()*2-3))</f>
        <v/>
      </c>
      <c r="K130" t="str" cm="1">
        <f>IF(ISBLANK(INDEX(Array_StationaryChargeData,ROW()-36,COLUMN()*2-3)),"",INDEX(Array_StationaryChargeData,ROW()-36,COLUMN()*2-3))</f>
        <v/>
      </c>
      <c r="L130" t="str" cm="1">
        <f>IF(ISBLANK(INDEX(Array_StationaryChargeData,ROW()-36,COLUMN()*2-3)),"",INDEX(Array_StationaryChargeData,ROW()-36,COLUMN()*2-3))</f>
        <v/>
      </c>
      <c r="M130" t="str" cm="1">
        <f>IF(ISBLANK(INDEX(Array_StationaryChargeData,ROW()-36,COLUMN()*2-3)),"",INDEX(Array_StationaryChargeData,ROW()-36,COLUMN()*2-3))</f>
        <v/>
      </c>
      <c r="N130" t="str" cm="1">
        <f>IF(ISBLANK(INDEX(Array_StationaryChargeData,ROW()-36,COLUMN()*2-3)),"",INDEX(Array_StationaryChargeData,ROW()-36,COLUMN()*2-3))</f>
        <v/>
      </c>
      <c r="O130" t="str" cm="1">
        <f>IF(ISBLANK(INDEX(Array_StationaryChargeData,ROW()-36,COLUMN()*2-3)),"",INDEX(Array_StationaryChargeData,ROW()-36,COLUMN()*2-3))</f>
        <v/>
      </c>
      <c r="P130" t="str" cm="1">
        <f>IF(ISBLANK(INDEX(Array_StationaryChargeData,ROW()-36,COLUMN()*2-3)),"",INDEX(Array_StationaryChargeData,ROW()-36,COLUMN()*2-3))</f>
        <v/>
      </c>
    </row>
    <row r="131" spans="1:16" x14ac:dyDescent="0.35">
      <c r="A131" t="str">
        <f>IF('Stationary Fuel Meters'!B97="",A130,'Stationary Fuel Meters'!B97)</f>
        <v>Meter Numbers</v>
      </c>
      <c r="B131" t="str" cm="1">
        <f>IF(ISBLANK(INDEX(Array_StationaryChargeData,ROW()-36,COLUMN()*2-3)),"",INDEX(Array_StationaryChargeData,ROW()-36,COLUMN()*2-3))</f>
        <v/>
      </c>
      <c r="C131" t="str" cm="1">
        <f>IF(ISBLANK(INDEX(Array_StationaryChargeData,ROW()-36,COLUMN()*2-3)),"",INDEX(Array_StationaryChargeData,ROW()-36,COLUMN()*2-3))</f>
        <v/>
      </c>
      <c r="D131" t="str" cm="1">
        <f>IF(ISBLANK(INDEX(Array_StationaryChargeData,ROW()-36,COLUMN()*2-3)),"",INDEX(Array_StationaryChargeData,ROW()-36,COLUMN()*2-3))</f>
        <v/>
      </c>
      <c r="E131" t="str" cm="1">
        <f>IF(ISBLANK(INDEX(Array_StationaryChargeData,ROW()-36,COLUMN()*2-3)),"",INDEX(Array_StationaryChargeData,ROW()-36,COLUMN()*2-3))</f>
        <v/>
      </c>
      <c r="F131" t="str" cm="1">
        <f>IF(ISBLANK(INDEX(Array_StationaryChargeData,ROW()-36,COLUMN()*2-3)),"",INDEX(Array_StationaryChargeData,ROW()-36,COLUMN()*2-3))</f>
        <v/>
      </c>
      <c r="G131" t="str" cm="1">
        <f>IF(ISBLANK(INDEX(Array_StationaryChargeData,ROW()-36,COLUMN()*2-3)),"",INDEX(Array_StationaryChargeData,ROW()-36,COLUMN()*2-3))</f>
        <v/>
      </c>
      <c r="H131" t="str" cm="1">
        <f>IF(ISBLANK(INDEX(Array_StationaryChargeData,ROW()-36,COLUMN()*2-3)),"",INDEX(Array_StationaryChargeData,ROW()-36,COLUMN()*2-3))</f>
        <v/>
      </c>
      <c r="I131" t="str" cm="1">
        <f>IF(ISBLANK(INDEX(Array_StationaryChargeData,ROW()-36,COLUMN()*2-3)),"",INDEX(Array_StationaryChargeData,ROW()-36,COLUMN()*2-3))</f>
        <v/>
      </c>
      <c r="J131" t="str" cm="1">
        <f>IF(ISBLANK(INDEX(Array_StationaryChargeData,ROW()-36,COLUMN()*2-3)),"",INDEX(Array_StationaryChargeData,ROW()-36,COLUMN()*2-3))</f>
        <v/>
      </c>
      <c r="K131" t="str" cm="1">
        <f>IF(ISBLANK(INDEX(Array_StationaryChargeData,ROW()-36,COLUMN()*2-3)),"",INDEX(Array_StationaryChargeData,ROW()-36,COLUMN()*2-3))</f>
        <v/>
      </c>
      <c r="L131" t="str" cm="1">
        <f>IF(ISBLANK(INDEX(Array_StationaryChargeData,ROW()-36,COLUMN()*2-3)),"",INDEX(Array_StationaryChargeData,ROW()-36,COLUMN()*2-3))</f>
        <v/>
      </c>
      <c r="M131" t="str" cm="1">
        <f>IF(ISBLANK(INDEX(Array_StationaryChargeData,ROW()-36,COLUMN()*2-3)),"",INDEX(Array_StationaryChargeData,ROW()-36,COLUMN()*2-3))</f>
        <v/>
      </c>
      <c r="N131" t="str" cm="1">
        <f>IF(ISBLANK(INDEX(Array_StationaryChargeData,ROW()-36,COLUMN()*2-3)),"",INDEX(Array_StationaryChargeData,ROW()-36,COLUMN()*2-3))</f>
        <v/>
      </c>
      <c r="O131" t="str" cm="1">
        <f>IF(ISBLANK(INDEX(Array_StationaryChargeData,ROW()-36,COLUMN()*2-3)),"",INDEX(Array_StationaryChargeData,ROW()-36,COLUMN()*2-3))</f>
        <v/>
      </c>
      <c r="P131" t="str" cm="1">
        <f>IF(ISBLANK(INDEX(Array_StationaryChargeData,ROW()-36,COLUMN()*2-3)),"",INDEX(Array_StationaryChargeData,ROW()-36,COLUMN()*2-3))</f>
        <v/>
      </c>
    </row>
    <row r="132" spans="1:16" x14ac:dyDescent="0.35">
      <c r="A132" t="str">
        <f>IF('Stationary Fuel Meters'!B98="",A131,'Stationary Fuel Meters'!B98)</f>
        <v>Meter Numbers</v>
      </c>
      <c r="B132" t="str" cm="1">
        <f>IF(ISBLANK(INDEX(Array_StationaryChargeData,ROW()-36,COLUMN()*2-3)),"",INDEX(Array_StationaryChargeData,ROW()-36,COLUMN()*2-3))</f>
        <v/>
      </c>
      <c r="C132" t="str" cm="1">
        <f>IF(ISBLANK(INDEX(Array_StationaryChargeData,ROW()-36,COLUMN()*2-3)),"",INDEX(Array_StationaryChargeData,ROW()-36,COLUMN()*2-3))</f>
        <v/>
      </c>
      <c r="D132" t="str" cm="1">
        <f>IF(ISBLANK(INDEX(Array_StationaryChargeData,ROW()-36,COLUMN()*2-3)),"",INDEX(Array_StationaryChargeData,ROW()-36,COLUMN()*2-3))</f>
        <v/>
      </c>
      <c r="E132" t="str" cm="1">
        <f>IF(ISBLANK(INDEX(Array_StationaryChargeData,ROW()-36,COLUMN()*2-3)),"",INDEX(Array_StationaryChargeData,ROW()-36,COLUMN()*2-3))</f>
        <v/>
      </c>
      <c r="F132" t="str" cm="1">
        <f>IF(ISBLANK(INDEX(Array_StationaryChargeData,ROW()-36,COLUMN()*2-3)),"",INDEX(Array_StationaryChargeData,ROW()-36,COLUMN()*2-3))</f>
        <v/>
      </c>
      <c r="G132" t="str" cm="1">
        <f>IF(ISBLANK(INDEX(Array_StationaryChargeData,ROW()-36,COLUMN()*2-3)),"",INDEX(Array_StationaryChargeData,ROW()-36,COLUMN()*2-3))</f>
        <v/>
      </c>
      <c r="H132" t="str" cm="1">
        <f>IF(ISBLANK(INDEX(Array_StationaryChargeData,ROW()-36,COLUMN()*2-3)),"",INDEX(Array_StationaryChargeData,ROW()-36,COLUMN()*2-3))</f>
        <v/>
      </c>
      <c r="I132" t="str" cm="1">
        <f>IF(ISBLANK(INDEX(Array_StationaryChargeData,ROW()-36,COLUMN()*2-3)),"",INDEX(Array_StationaryChargeData,ROW()-36,COLUMN()*2-3))</f>
        <v/>
      </c>
      <c r="J132" t="str" cm="1">
        <f>IF(ISBLANK(INDEX(Array_StationaryChargeData,ROW()-36,COLUMN()*2-3)),"",INDEX(Array_StationaryChargeData,ROW()-36,COLUMN()*2-3))</f>
        <v/>
      </c>
      <c r="K132" t="str" cm="1">
        <f>IF(ISBLANK(INDEX(Array_StationaryChargeData,ROW()-36,COLUMN()*2-3)),"",INDEX(Array_StationaryChargeData,ROW()-36,COLUMN()*2-3))</f>
        <v/>
      </c>
      <c r="L132" t="str" cm="1">
        <f>IF(ISBLANK(INDEX(Array_StationaryChargeData,ROW()-36,COLUMN()*2-3)),"",INDEX(Array_StationaryChargeData,ROW()-36,COLUMN()*2-3))</f>
        <v/>
      </c>
      <c r="M132" t="str" cm="1">
        <f>IF(ISBLANK(INDEX(Array_StationaryChargeData,ROW()-36,COLUMN()*2-3)),"",INDEX(Array_StationaryChargeData,ROW()-36,COLUMN()*2-3))</f>
        <v/>
      </c>
      <c r="N132" t="str" cm="1">
        <f>IF(ISBLANK(INDEX(Array_StationaryChargeData,ROW()-36,COLUMN()*2-3)),"",INDEX(Array_StationaryChargeData,ROW()-36,COLUMN()*2-3))</f>
        <v/>
      </c>
      <c r="O132" t="str" cm="1">
        <f>IF(ISBLANK(INDEX(Array_StationaryChargeData,ROW()-36,COLUMN()*2-3)),"",INDEX(Array_StationaryChargeData,ROW()-36,COLUMN()*2-3))</f>
        <v/>
      </c>
      <c r="P132" t="str" cm="1">
        <f>IF(ISBLANK(INDEX(Array_StationaryChargeData,ROW()-36,COLUMN()*2-3)),"",INDEX(Array_StationaryChargeData,ROW()-36,COLUMN()*2-3))</f>
        <v/>
      </c>
    </row>
    <row r="133" spans="1:16" x14ac:dyDescent="0.35">
      <c r="A133" t="str">
        <f>IF('Stationary Fuel Meters'!B99="",A132,'Stationary Fuel Meters'!B99)</f>
        <v>Meter Numbers</v>
      </c>
      <c r="B133" t="str" cm="1">
        <f>IF(ISBLANK(INDEX(Array_StationaryChargeData,ROW()-36,COLUMN()*2-3)),"",INDEX(Array_StationaryChargeData,ROW()-36,COLUMN()*2-3))</f>
        <v/>
      </c>
      <c r="C133" t="str" cm="1">
        <f>IF(ISBLANK(INDEX(Array_StationaryChargeData,ROW()-36,COLUMN()*2-3)),"",INDEX(Array_StationaryChargeData,ROW()-36,COLUMN()*2-3))</f>
        <v/>
      </c>
      <c r="D133" t="str" cm="1">
        <f>IF(ISBLANK(INDEX(Array_StationaryChargeData,ROW()-36,COLUMN()*2-3)),"",INDEX(Array_StationaryChargeData,ROW()-36,COLUMN()*2-3))</f>
        <v/>
      </c>
      <c r="E133" t="str" cm="1">
        <f>IF(ISBLANK(INDEX(Array_StationaryChargeData,ROW()-36,COLUMN()*2-3)),"",INDEX(Array_StationaryChargeData,ROW()-36,COLUMN()*2-3))</f>
        <v/>
      </c>
      <c r="F133" t="str" cm="1">
        <f>IF(ISBLANK(INDEX(Array_StationaryChargeData,ROW()-36,COLUMN()*2-3)),"",INDEX(Array_StationaryChargeData,ROW()-36,COLUMN()*2-3))</f>
        <v/>
      </c>
      <c r="G133" t="str" cm="1">
        <f>IF(ISBLANK(INDEX(Array_StationaryChargeData,ROW()-36,COLUMN()*2-3)),"",INDEX(Array_StationaryChargeData,ROW()-36,COLUMN()*2-3))</f>
        <v/>
      </c>
      <c r="H133" t="str" cm="1">
        <f>IF(ISBLANK(INDEX(Array_StationaryChargeData,ROW()-36,COLUMN()*2-3)),"",INDEX(Array_StationaryChargeData,ROW()-36,COLUMN()*2-3))</f>
        <v/>
      </c>
      <c r="I133" t="str" cm="1">
        <f>IF(ISBLANK(INDEX(Array_StationaryChargeData,ROW()-36,COLUMN()*2-3)),"",INDEX(Array_StationaryChargeData,ROW()-36,COLUMN()*2-3))</f>
        <v/>
      </c>
      <c r="J133" t="str" cm="1">
        <f>IF(ISBLANK(INDEX(Array_StationaryChargeData,ROW()-36,COLUMN()*2-3)),"",INDEX(Array_StationaryChargeData,ROW()-36,COLUMN()*2-3))</f>
        <v/>
      </c>
      <c r="K133" t="str" cm="1">
        <f>IF(ISBLANK(INDEX(Array_StationaryChargeData,ROW()-36,COLUMN()*2-3)),"",INDEX(Array_StationaryChargeData,ROW()-36,COLUMN()*2-3))</f>
        <v/>
      </c>
      <c r="L133" t="str" cm="1">
        <f>IF(ISBLANK(INDEX(Array_StationaryChargeData,ROW()-36,COLUMN()*2-3)),"",INDEX(Array_StationaryChargeData,ROW()-36,COLUMN()*2-3))</f>
        <v/>
      </c>
      <c r="M133" t="str" cm="1">
        <f>IF(ISBLANK(INDEX(Array_StationaryChargeData,ROW()-36,COLUMN()*2-3)),"",INDEX(Array_StationaryChargeData,ROW()-36,COLUMN()*2-3))</f>
        <v/>
      </c>
      <c r="N133" t="str" cm="1">
        <f>IF(ISBLANK(INDEX(Array_StationaryChargeData,ROW()-36,COLUMN()*2-3)),"",INDEX(Array_StationaryChargeData,ROW()-36,COLUMN()*2-3))</f>
        <v/>
      </c>
      <c r="O133" t="str" cm="1">
        <f>IF(ISBLANK(INDEX(Array_StationaryChargeData,ROW()-36,COLUMN()*2-3)),"",INDEX(Array_StationaryChargeData,ROW()-36,COLUMN()*2-3))</f>
        <v/>
      </c>
      <c r="P133" t="str" cm="1">
        <f>IF(ISBLANK(INDEX(Array_StationaryChargeData,ROW()-36,COLUMN()*2-3)),"",INDEX(Array_StationaryChargeData,ROW()-36,COLUMN()*2-3))</f>
        <v/>
      </c>
    </row>
    <row r="134" spans="1:16" x14ac:dyDescent="0.35">
      <c r="A134" t="str">
        <f>IF('Stationary Fuel Meters'!B100="",A133,'Stationary Fuel Meters'!B100)</f>
        <v>Meter Numbers</v>
      </c>
      <c r="B134" t="str" cm="1">
        <f>IF(ISBLANK(INDEX(Array_StationaryChargeData,ROW()-36,COLUMN()*2-3)),"",INDEX(Array_StationaryChargeData,ROW()-36,COLUMN()*2-3))</f>
        <v/>
      </c>
      <c r="C134" t="str" cm="1">
        <f>IF(ISBLANK(INDEX(Array_StationaryChargeData,ROW()-36,COLUMN()*2-3)),"",INDEX(Array_StationaryChargeData,ROW()-36,COLUMN()*2-3))</f>
        <v/>
      </c>
      <c r="D134" t="str" cm="1">
        <f>IF(ISBLANK(INDEX(Array_StationaryChargeData,ROW()-36,COLUMN()*2-3)),"",INDEX(Array_StationaryChargeData,ROW()-36,COLUMN()*2-3))</f>
        <v/>
      </c>
      <c r="E134" t="str" cm="1">
        <f>IF(ISBLANK(INDEX(Array_StationaryChargeData,ROW()-36,COLUMN()*2-3)),"",INDEX(Array_StationaryChargeData,ROW()-36,COLUMN()*2-3))</f>
        <v/>
      </c>
      <c r="F134" t="str" cm="1">
        <f>IF(ISBLANK(INDEX(Array_StationaryChargeData,ROW()-36,COLUMN()*2-3)),"",INDEX(Array_StationaryChargeData,ROW()-36,COLUMN()*2-3))</f>
        <v/>
      </c>
      <c r="G134" t="str" cm="1">
        <f>IF(ISBLANK(INDEX(Array_StationaryChargeData,ROW()-36,COLUMN()*2-3)),"",INDEX(Array_StationaryChargeData,ROW()-36,COLUMN()*2-3))</f>
        <v/>
      </c>
      <c r="H134" t="str" cm="1">
        <f>IF(ISBLANK(INDEX(Array_StationaryChargeData,ROW()-36,COLUMN()*2-3)),"",INDEX(Array_StationaryChargeData,ROW()-36,COLUMN()*2-3))</f>
        <v/>
      </c>
      <c r="I134" t="str" cm="1">
        <f>IF(ISBLANK(INDEX(Array_StationaryChargeData,ROW()-36,COLUMN()*2-3)),"",INDEX(Array_StationaryChargeData,ROW()-36,COLUMN()*2-3))</f>
        <v/>
      </c>
      <c r="J134" t="str" cm="1">
        <f>IF(ISBLANK(INDEX(Array_StationaryChargeData,ROW()-36,COLUMN()*2-3)),"",INDEX(Array_StationaryChargeData,ROW()-36,COLUMN()*2-3))</f>
        <v/>
      </c>
      <c r="K134" t="str" cm="1">
        <f>IF(ISBLANK(INDEX(Array_StationaryChargeData,ROW()-36,COLUMN()*2-3)),"",INDEX(Array_StationaryChargeData,ROW()-36,COLUMN()*2-3))</f>
        <v/>
      </c>
      <c r="L134" t="str" cm="1">
        <f>IF(ISBLANK(INDEX(Array_StationaryChargeData,ROW()-36,COLUMN()*2-3)),"",INDEX(Array_StationaryChargeData,ROW()-36,COLUMN()*2-3))</f>
        <v/>
      </c>
      <c r="M134" t="str" cm="1">
        <f>IF(ISBLANK(INDEX(Array_StationaryChargeData,ROW()-36,COLUMN()*2-3)),"",INDEX(Array_StationaryChargeData,ROW()-36,COLUMN()*2-3))</f>
        <v/>
      </c>
      <c r="N134" t="str" cm="1">
        <f>IF(ISBLANK(INDEX(Array_StationaryChargeData,ROW()-36,COLUMN()*2-3)),"",INDEX(Array_StationaryChargeData,ROW()-36,COLUMN()*2-3))</f>
        <v/>
      </c>
      <c r="O134" t="str" cm="1">
        <f>IF(ISBLANK(INDEX(Array_StationaryChargeData,ROW()-36,COLUMN()*2-3)),"",INDEX(Array_StationaryChargeData,ROW()-36,COLUMN()*2-3))</f>
        <v/>
      </c>
      <c r="P134" t="str" cm="1">
        <f>IF(ISBLANK(INDEX(Array_StationaryChargeData,ROW()-36,COLUMN()*2-3)),"",INDEX(Array_StationaryChargeData,ROW()-36,COLUMN()*2-3))</f>
        <v/>
      </c>
    </row>
    <row r="135" spans="1:16" x14ac:dyDescent="0.35">
      <c r="A135" t="str">
        <f>IF('Stationary Fuel Meters'!B101="",A134,'Stationary Fuel Meters'!B101)</f>
        <v>Meter Numbers</v>
      </c>
      <c r="B135" t="str" cm="1">
        <f>IF(ISBLANK(INDEX(Array_StationaryChargeData,ROW()-36,COLUMN()*2-3)),"",INDEX(Array_StationaryChargeData,ROW()-36,COLUMN()*2-3))</f>
        <v/>
      </c>
      <c r="C135" t="str" cm="1">
        <f>IF(ISBLANK(INDEX(Array_StationaryChargeData,ROW()-36,COLUMN()*2-3)),"",INDEX(Array_StationaryChargeData,ROW()-36,COLUMN()*2-3))</f>
        <v/>
      </c>
      <c r="D135" t="str" cm="1">
        <f>IF(ISBLANK(INDEX(Array_StationaryChargeData,ROW()-36,COLUMN()*2-3)),"",INDEX(Array_StationaryChargeData,ROW()-36,COLUMN()*2-3))</f>
        <v/>
      </c>
      <c r="E135" t="str" cm="1">
        <f>IF(ISBLANK(INDEX(Array_StationaryChargeData,ROW()-36,COLUMN()*2-3)),"",INDEX(Array_StationaryChargeData,ROW()-36,COLUMN()*2-3))</f>
        <v/>
      </c>
      <c r="F135" t="str" cm="1">
        <f>IF(ISBLANK(INDEX(Array_StationaryChargeData,ROW()-36,COLUMN()*2-3)),"",INDEX(Array_StationaryChargeData,ROW()-36,COLUMN()*2-3))</f>
        <v/>
      </c>
      <c r="G135" t="str" cm="1">
        <f>IF(ISBLANK(INDEX(Array_StationaryChargeData,ROW()-36,COLUMN()*2-3)),"",INDEX(Array_StationaryChargeData,ROW()-36,COLUMN()*2-3))</f>
        <v/>
      </c>
      <c r="H135" t="str" cm="1">
        <f>IF(ISBLANK(INDEX(Array_StationaryChargeData,ROW()-36,COLUMN()*2-3)),"",INDEX(Array_StationaryChargeData,ROW()-36,COLUMN()*2-3))</f>
        <v/>
      </c>
      <c r="I135" t="str" cm="1">
        <f>IF(ISBLANK(INDEX(Array_StationaryChargeData,ROW()-36,COLUMN()*2-3)),"",INDEX(Array_StationaryChargeData,ROW()-36,COLUMN()*2-3))</f>
        <v/>
      </c>
      <c r="J135" t="str" cm="1">
        <f>IF(ISBLANK(INDEX(Array_StationaryChargeData,ROW()-36,COLUMN()*2-3)),"",INDEX(Array_StationaryChargeData,ROW()-36,COLUMN()*2-3))</f>
        <v/>
      </c>
      <c r="K135" t="str" cm="1">
        <f>IF(ISBLANK(INDEX(Array_StationaryChargeData,ROW()-36,COLUMN()*2-3)),"",INDEX(Array_StationaryChargeData,ROW()-36,COLUMN()*2-3))</f>
        <v/>
      </c>
      <c r="L135" t="str" cm="1">
        <f>IF(ISBLANK(INDEX(Array_StationaryChargeData,ROW()-36,COLUMN()*2-3)),"",INDEX(Array_StationaryChargeData,ROW()-36,COLUMN()*2-3))</f>
        <v/>
      </c>
      <c r="M135" t="str" cm="1">
        <f>IF(ISBLANK(INDEX(Array_StationaryChargeData,ROW()-36,COLUMN()*2-3)),"",INDEX(Array_StationaryChargeData,ROW()-36,COLUMN()*2-3))</f>
        <v/>
      </c>
      <c r="N135" t="str" cm="1">
        <f>IF(ISBLANK(INDEX(Array_StationaryChargeData,ROW()-36,COLUMN()*2-3)),"",INDEX(Array_StationaryChargeData,ROW()-36,COLUMN()*2-3))</f>
        <v/>
      </c>
      <c r="O135" t="str" cm="1">
        <f>IF(ISBLANK(INDEX(Array_StationaryChargeData,ROW()-36,COLUMN()*2-3)),"",INDEX(Array_StationaryChargeData,ROW()-36,COLUMN()*2-3))</f>
        <v/>
      </c>
      <c r="P135" t="str" cm="1">
        <f>IF(ISBLANK(INDEX(Array_StationaryChargeData,ROW()-36,COLUMN()*2-3)),"",INDEX(Array_StationaryChargeData,ROW()-36,COLUMN()*2-3))</f>
        <v/>
      </c>
    </row>
    <row r="136" spans="1:16" x14ac:dyDescent="0.35">
      <c r="A136" t="str">
        <f>IF('Stationary Fuel Meters'!B102="",A135,'Stationary Fuel Meters'!B102)</f>
        <v>Meter Numbers</v>
      </c>
      <c r="B136" t="str" cm="1">
        <f>IF(ISBLANK(INDEX(Array_StationaryChargeData,ROW()-36,COLUMN()*2-3)),"",INDEX(Array_StationaryChargeData,ROW()-36,COLUMN()*2-3))</f>
        <v/>
      </c>
      <c r="C136" t="str" cm="1">
        <f>IF(ISBLANK(INDEX(Array_StationaryChargeData,ROW()-36,COLUMN()*2-3)),"",INDEX(Array_StationaryChargeData,ROW()-36,COLUMN()*2-3))</f>
        <v/>
      </c>
      <c r="D136" t="str" cm="1">
        <f>IF(ISBLANK(INDEX(Array_StationaryChargeData,ROW()-36,COLUMN()*2-3)),"",INDEX(Array_StationaryChargeData,ROW()-36,COLUMN()*2-3))</f>
        <v/>
      </c>
      <c r="E136" t="str" cm="1">
        <f>IF(ISBLANK(INDEX(Array_StationaryChargeData,ROW()-36,COLUMN()*2-3)),"",INDEX(Array_StationaryChargeData,ROW()-36,COLUMN()*2-3))</f>
        <v/>
      </c>
      <c r="F136" t="str" cm="1">
        <f>IF(ISBLANK(INDEX(Array_StationaryChargeData,ROW()-36,COLUMN()*2-3)),"",INDEX(Array_StationaryChargeData,ROW()-36,COLUMN()*2-3))</f>
        <v/>
      </c>
      <c r="G136" t="str" cm="1">
        <f>IF(ISBLANK(INDEX(Array_StationaryChargeData,ROW()-36,COLUMN()*2-3)),"",INDEX(Array_StationaryChargeData,ROW()-36,COLUMN()*2-3))</f>
        <v/>
      </c>
      <c r="H136" t="str" cm="1">
        <f>IF(ISBLANK(INDEX(Array_StationaryChargeData,ROW()-36,COLUMN()*2-3)),"",INDEX(Array_StationaryChargeData,ROW()-36,COLUMN()*2-3))</f>
        <v/>
      </c>
      <c r="I136" t="str" cm="1">
        <f>IF(ISBLANK(INDEX(Array_StationaryChargeData,ROW()-36,COLUMN()*2-3)),"",INDEX(Array_StationaryChargeData,ROW()-36,COLUMN()*2-3))</f>
        <v/>
      </c>
      <c r="J136" t="str" cm="1">
        <f>IF(ISBLANK(INDEX(Array_StationaryChargeData,ROW()-36,COLUMN()*2-3)),"",INDEX(Array_StationaryChargeData,ROW()-36,COLUMN()*2-3))</f>
        <v/>
      </c>
      <c r="K136" t="str" cm="1">
        <f>IF(ISBLANK(INDEX(Array_StationaryChargeData,ROW()-36,COLUMN()*2-3)),"",INDEX(Array_StationaryChargeData,ROW()-36,COLUMN()*2-3))</f>
        <v/>
      </c>
      <c r="L136" t="str" cm="1">
        <f>IF(ISBLANK(INDEX(Array_StationaryChargeData,ROW()-36,COLUMN()*2-3)),"",INDEX(Array_StationaryChargeData,ROW()-36,COLUMN()*2-3))</f>
        <v/>
      </c>
      <c r="M136" t="str" cm="1">
        <f>IF(ISBLANK(INDEX(Array_StationaryChargeData,ROW()-36,COLUMN()*2-3)),"",INDEX(Array_StationaryChargeData,ROW()-36,COLUMN()*2-3))</f>
        <v/>
      </c>
      <c r="N136" t="str" cm="1">
        <f>IF(ISBLANK(INDEX(Array_StationaryChargeData,ROW()-36,COLUMN()*2-3)),"",INDEX(Array_StationaryChargeData,ROW()-36,COLUMN()*2-3))</f>
        <v/>
      </c>
      <c r="O136" t="str" cm="1">
        <f>IF(ISBLANK(INDEX(Array_StationaryChargeData,ROW()-36,COLUMN()*2-3)),"",INDEX(Array_StationaryChargeData,ROW()-36,COLUMN()*2-3))</f>
        <v/>
      </c>
      <c r="P136" t="str" cm="1">
        <f>IF(ISBLANK(INDEX(Array_StationaryChargeData,ROW()-36,COLUMN()*2-3)),"",INDEX(Array_StationaryChargeData,ROW()-36,COLUMN()*2-3))</f>
        <v/>
      </c>
    </row>
    <row r="137" spans="1:16" x14ac:dyDescent="0.35">
      <c r="A137" t="str">
        <f>IF('Stationary Fuel Meters'!B103="",A136,'Stationary Fuel Meters'!B103)</f>
        <v>Meter Numbers</v>
      </c>
      <c r="B137" t="str" cm="1">
        <f>IF(ISBLANK(INDEX(Array_StationaryChargeData,ROW()-36,COLUMN()*2-3)),"",INDEX(Array_StationaryChargeData,ROW()-36,COLUMN()*2-3))</f>
        <v/>
      </c>
      <c r="C137" t="str" cm="1">
        <f>IF(ISBLANK(INDEX(Array_StationaryChargeData,ROW()-36,COLUMN()*2-3)),"",INDEX(Array_StationaryChargeData,ROW()-36,COLUMN()*2-3))</f>
        <v/>
      </c>
      <c r="D137" t="str" cm="1">
        <f>IF(ISBLANK(INDEX(Array_StationaryChargeData,ROW()-36,COLUMN()*2-3)),"",INDEX(Array_StationaryChargeData,ROW()-36,COLUMN()*2-3))</f>
        <v/>
      </c>
      <c r="E137" t="str" cm="1">
        <f>IF(ISBLANK(INDEX(Array_StationaryChargeData,ROW()-36,COLUMN()*2-3)),"",INDEX(Array_StationaryChargeData,ROW()-36,COLUMN()*2-3))</f>
        <v/>
      </c>
      <c r="F137" t="str" cm="1">
        <f>IF(ISBLANK(INDEX(Array_StationaryChargeData,ROW()-36,COLUMN()*2-3)),"",INDEX(Array_StationaryChargeData,ROW()-36,COLUMN()*2-3))</f>
        <v/>
      </c>
      <c r="G137" t="str" cm="1">
        <f>IF(ISBLANK(INDEX(Array_StationaryChargeData,ROW()-36,COLUMN()*2-3)),"",INDEX(Array_StationaryChargeData,ROW()-36,COLUMN()*2-3))</f>
        <v/>
      </c>
      <c r="H137" t="str" cm="1">
        <f>IF(ISBLANK(INDEX(Array_StationaryChargeData,ROW()-36,COLUMN()*2-3)),"",INDEX(Array_StationaryChargeData,ROW()-36,COLUMN()*2-3))</f>
        <v/>
      </c>
      <c r="I137" t="str" cm="1">
        <f>IF(ISBLANK(INDEX(Array_StationaryChargeData,ROW()-36,COLUMN()*2-3)),"",INDEX(Array_StationaryChargeData,ROW()-36,COLUMN()*2-3))</f>
        <v/>
      </c>
      <c r="J137" t="str" cm="1">
        <f>IF(ISBLANK(INDEX(Array_StationaryChargeData,ROW()-36,COLUMN()*2-3)),"",INDEX(Array_StationaryChargeData,ROW()-36,COLUMN()*2-3))</f>
        <v/>
      </c>
      <c r="K137" t="str" cm="1">
        <f>IF(ISBLANK(INDEX(Array_StationaryChargeData,ROW()-36,COLUMN()*2-3)),"",INDEX(Array_StationaryChargeData,ROW()-36,COLUMN()*2-3))</f>
        <v/>
      </c>
      <c r="L137" t="str" cm="1">
        <f>IF(ISBLANK(INDEX(Array_StationaryChargeData,ROW()-36,COLUMN()*2-3)),"",INDEX(Array_StationaryChargeData,ROW()-36,COLUMN()*2-3))</f>
        <v/>
      </c>
      <c r="M137" t="str" cm="1">
        <f>IF(ISBLANK(INDEX(Array_StationaryChargeData,ROW()-36,COLUMN()*2-3)),"",INDEX(Array_StationaryChargeData,ROW()-36,COLUMN()*2-3))</f>
        <v/>
      </c>
      <c r="N137" t="str" cm="1">
        <f>IF(ISBLANK(INDEX(Array_StationaryChargeData,ROW()-36,COLUMN()*2-3)),"",INDEX(Array_StationaryChargeData,ROW()-36,COLUMN()*2-3))</f>
        <v/>
      </c>
      <c r="O137" t="str" cm="1">
        <f>IF(ISBLANK(INDEX(Array_StationaryChargeData,ROW()-36,COLUMN()*2-3)),"",INDEX(Array_StationaryChargeData,ROW()-36,COLUMN()*2-3))</f>
        <v/>
      </c>
      <c r="P137" t="str" cm="1">
        <f>IF(ISBLANK(INDEX(Array_StationaryChargeData,ROW()-36,COLUMN()*2-3)),"",INDEX(Array_StationaryChargeData,ROW()-36,COLUMN()*2-3))</f>
        <v/>
      </c>
    </row>
    <row r="138" spans="1:16" x14ac:dyDescent="0.35">
      <c r="A138" t="str">
        <f>IF('Stationary Fuel Meters'!B104="",A137,'Stationary Fuel Meters'!B104)</f>
        <v>Meter Numbers</v>
      </c>
      <c r="B138" t="str" cm="1">
        <f>IF(ISBLANK(INDEX(Array_StationaryChargeData,ROW()-36,COLUMN()*2-3)),"",INDEX(Array_StationaryChargeData,ROW()-36,COLUMN()*2-3))</f>
        <v/>
      </c>
      <c r="C138" t="str" cm="1">
        <f>IF(ISBLANK(INDEX(Array_StationaryChargeData,ROW()-36,COLUMN()*2-3)),"",INDEX(Array_StationaryChargeData,ROW()-36,COLUMN()*2-3))</f>
        <v/>
      </c>
      <c r="D138" t="str" cm="1">
        <f>IF(ISBLANK(INDEX(Array_StationaryChargeData,ROW()-36,COLUMN()*2-3)),"",INDEX(Array_StationaryChargeData,ROW()-36,COLUMN()*2-3))</f>
        <v/>
      </c>
      <c r="E138" t="str" cm="1">
        <f>IF(ISBLANK(INDEX(Array_StationaryChargeData,ROW()-36,COLUMN()*2-3)),"",INDEX(Array_StationaryChargeData,ROW()-36,COLUMN()*2-3))</f>
        <v/>
      </c>
      <c r="F138" t="str" cm="1">
        <f>IF(ISBLANK(INDEX(Array_StationaryChargeData,ROW()-36,COLUMN()*2-3)),"",INDEX(Array_StationaryChargeData,ROW()-36,COLUMN()*2-3))</f>
        <v/>
      </c>
      <c r="G138" t="str" cm="1">
        <f>IF(ISBLANK(INDEX(Array_StationaryChargeData,ROW()-36,COLUMN()*2-3)),"",INDEX(Array_StationaryChargeData,ROW()-36,COLUMN()*2-3))</f>
        <v/>
      </c>
      <c r="H138" t="str" cm="1">
        <f>IF(ISBLANK(INDEX(Array_StationaryChargeData,ROW()-36,COLUMN()*2-3)),"",INDEX(Array_StationaryChargeData,ROW()-36,COLUMN()*2-3))</f>
        <v/>
      </c>
      <c r="I138" t="str" cm="1">
        <f>IF(ISBLANK(INDEX(Array_StationaryChargeData,ROW()-36,COLUMN()*2-3)),"",INDEX(Array_StationaryChargeData,ROW()-36,COLUMN()*2-3))</f>
        <v/>
      </c>
      <c r="J138" t="str" cm="1">
        <f>IF(ISBLANK(INDEX(Array_StationaryChargeData,ROW()-36,COLUMN()*2-3)),"",INDEX(Array_StationaryChargeData,ROW()-36,COLUMN()*2-3))</f>
        <v/>
      </c>
      <c r="K138" t="str" cm="1">
        <f>IF(ISBLANK(INDEX(Array_StationaryChargeData,ROW()-36,COLUMN()*2-3)),"",INDEX(Array_StationaryChargeData,ROW()-36,COLUMN()*2-3))</f>
        <v/>
      </c>
      <c r="L138" t="str" cm="1">
        <f>IF(ISBLANK(INDEX(Array_StationaryChargeData,ROW()-36,COLUMN()*2-3)),"",INDEX(Array_StationaryChargeData,ROW()-36,COLUMN()*2-3))</f>
        <v/>
      </c>
      <c r="M138" t="str" cm="1">
        <f>IF(ISBLANK(INDEX(Array_StationaryChargeData,ROW()-36,COLUMN()*2-3)),"",INDEX(Array_StationaryChargeData,ROW()-36,COLUMN()*2-3))</f>
        <v/>
      </c>
      <c r="N138" t="str" cm="1">
        <f>IF(ISBLANK(INDEX(Array_StationaryChargeData,ROW()-36,COLUMN()*2-3)),"",INDEX(Array_StationaryChargeData,ROW()-36,COLUMN()*2-3))</f>
        <v/>
      </c>
      <c r="O138" t="str" cm="1">
        <f>IF(ISBLANK(INDEX(Array_StationaryChargeData,ROW()-36,COLUMN()*2-3)),"",INDEX(Array_StationaryChargeData,ROW()-36,COLUMN()*2-3))</f>
        <v/>
      </c>
      <c r="P138" t="str" cm="1">
        <f>IF(ISBLANK(INDEX(Array_StationaryChargeData,ROW()-36,COLUMN()*2-3)),"",INDEX(Array_StationaryChargeData,ROW()-36,COLUMN()*2-3))</f>
        <v/>
      </c>
    </row>
    <row r="139" spans="1:16" x14ac:dyDescent="0.35">
      <c r="A139" t="str">
        <f>IF('Stationary Fuel Meters'!B105="",A138,'Stationary Fuel Meters'!B105)</f>
        <v>Meter Numbers</v>
      </c>
      <c r="B139" t="str" cm="1">
        <f>IF(ISBLANK(INDEX(Array_StationaryChargeData,ROW()-36,COLUMN()*2-3)),"",INDEX(Array_StationaryChargeData,ROW()-36,COLUMN()*2-3))</f>
        <v/>
      </c>
      <c r="C139" t="str" cm="1">
        <f>IF(ISBLANK(INDEX(Array_StationaryChargeData,ROW()-36,COLUMN()*2-3)),"",INDEX(Array_StationaryChargeData,ROW()-36,COLUMN()*2-3))</f>
        <v/>
      </c>
      <c r="D139" t="str" cm="1">
        <f>IF(ISBLANK(INDEX(Array_StationaryChargeData,ROW()-36,COLUMN()*2-3)),"",INDEX(Array_StationaryChargeData,ROW()-36,COLUMN()*2-3))</f>
        <v/>
      </c>
      <c r="E139" t="str" cm="1">
        <f>IF(ISBLANK(INDEX(Array_StationaryChargeData,ROW()-36,COLUMN()*2-3)),"",INDEX(Array_StationaryChargeData,ROW()-36,COLUMN()*2-3))</f>
        <v/>
      </c>
      <c r="F139" t="str" cm="1">
        <f>IF(ISBLANK(INDEX(Array_StationaryChargeData,ROW()-36,COLUMN()*2-3)),"",INDEX(Array_StationaryChargeData,ROW()-36,COLUMN()*2-3))</f>
        <v/>
      </c>
      <c r="G139" t="str" cm="1">
        <f>IF(ISBLANK(INDEX(Array_StationaryChargeData,ROW()-36,COLUMN()*2-3)),"",INDEX(Array_StationaryChargeData,ROW()-36,COLUMN()*2-3))</f>
        <v/>
      </c>
      <c r="H139" t="str" cm="1">
        <f>IF(ISBLANK(INDEX(Array_StationaryChargeData,ROW()-36,COLUMN()*2-3)),"",INDEX(Array_StationaryChargeData,ROW()-36,COLUMN()*2-3))</f>
        <v/>
      </c>
      <c r="I139" t="str" cm="1">
        <f>IF(ISBLANK(INDEX(Array_StationaryChargeData,ROW()-36,COLUMN()*2-3)),"",INDEX(Array_StationaryChargeData,ROW()-36,COLUMN()*2-3))</f>
        <v/>
      </c>
      <c r="J139" t="str" cm="1">
        <f>IF(ISBLANK(INDEX(Array_StationaryChargeData,ROW()-36,COLUMN()*2-3)),"",INDEX(Array_StationaryChargeData,ROW()-36,COLUMN()*2-3))</f>
        <v/>
      </c>
      <c r="K139" t="str" cm="1">
        <f>IF(ISBLANK(INDEX(Array_StationaryChargeData,ROW()-36,COLUMN()*2-3)),"",INDEX(Array_StationaryChargeData,ROW()-36,COLUMN()*2-3))</f>
        <v/>
      </c>
      <c r="L139" t="str" cm="1">
        <f>IF(ISBLANK(INDEX(Array_StationaryChargeData,ROW()-36,COLUMN()*2-3)),"",INDEX(Array_StationaryChargeData,ROW()-36,COLUMN()*2-3))</f>
        <v/>
      </c>
      <c r="M139" t="str" cm="1">
        <f>IF(ISBLANK(INDEX(Array_StationaryChargeData,ROW()-36,COLUMN()*2-3)),"",INDEX(Array_StationaryChargeData,ROW()-36,COLUMN()*2-3))</f>
        <v/>
      </c>
      <c r="N139" t="str" cm="1">
        <f>IF(ISBLANK(INDEX(Array_StationaryChargeData,ROW()-36,COLUMN()*2-3)),"",INDEX(Array_StationaryChargeData,ROW()-36,COLUMN()*2-3))</f>
        <v/>
      </c>
      <c r="O139" t="str" cm="1">
        <f>IF(ISBLANK(INDEX(Array_StationaryChargeData,ROW()-36,COLUMN()*2-3)),"",INDEX(Array_StationaryChargeData,ROW()-36,COLUMN()*2-3))</f>
        <v/>
      </c>
      <c r="P139" t="str" cm="1">
        <f>IF(ISBLANK(INDEX(Array_StationaryChargeData,ROW()-36,COLUMN()*2-3)),"",INDEX(Array_StationaryChargeData,ROW()-36,COLUMN()*2-3))</f>
        <v/>
      </c>
    </row>
    <row r="140" spans="1:16" x14ac:dyDescent="0.35">
      <c r="A140" t="str">
        <f>IF('Stationary Fuel Meters'!B106="",A139,'Stationary Fuel Meters'!B106)</f>
        <v>Meter Numbers</v>
      </c>
      <c r="B140" t="str" cm="1">
        <f>IF(ISBLANK(INDEX(Array_StationaryChargeData,ROW()-36,COLUMN()*2-3)),"",INDEX(Array_StationaryChargeData,ROW()-36,COLUMN()*2-3))</f>
        <v/>
      </c>
      <c r="C140" t="str" cm="1">
        <f>IF(ISBLANK(INDEX(Array_StationaryChargeData,ROW()-36,COLUMN()*2-3)),"",INDEX(Array_StationaryChargeData,ROW()-36,COLUMN()*2-3))</f>
        <v/>
      </c>
      <c r="D140" t="str" cm="1">
        <f>IF(ISBLANK(INDEX(Array_StationaryChargeData,ROW()-36,COLUMN()*2-3)),"",INDEX(Array_StationaryChargeData,ROW()-36,COLUMN()*2-3))</f>
        <v/>
      </c>
      <c r="E140" t="str" cm="1">
        <f>IF(ISBLANK(INDEX(Array_StationaryChargeData,ROW()-36,COLUMN()*2-3)),"",INDEX(Array_StationaryChargeData,ROW()-36,COLUMN()*2-3))</f>
        <v/>
      </c>
      <c r="F140" t="str" cm="1">
        <f>IF(ISBLANK(INDEX(Array_StationaryChargeData,ROW()-36,COLUMN()*2-3)),"",INDEX(Array_StationaryChargeData,ROW()-36,COLUMN()*2-3))</f>
        <v/>
      </c>
      <c r="G140" t="str" cm="1">
        <f>IF(ISBLANK(INDEX(Array_StationaryChargeData,ROW()-36,COLUMN()*2-3)),"",INDEX(Array_StationaryChargeData,ROW()-36,COLUMN()*2-3))</f>
        <v/>
      </c>
      <c r="H140" t="str" cm="1">
        <f>IF(ISBLANK(INDEX(Array_StationaryChargeData,ROW()-36,COLUMN()*2-3)),"",INDEX(Array_StationaryChargeData,ROW()-36,COLUMN()*2-3))</f>
        <v/>
      </c>
      <c r="I140" t="str" cm="1">
        <f>IF(ISBLANK(INDEX(Array_StationaryChargeData,ROW()-36,COLUMN()*2-3)),"",INDEX(Array_StationaryChargeData,ROW()-36,COLUMN()*2-3))</f>
        <v/>
      </c>
      <c r="J140" t="str" cm="1">
        <f>IF(ISBLANK(INDEX(Array_StationaryChargeData,ROW()-36,COLUMN()*2-3)),"",INDEX(Array_StationaryChargeData,ROW()-36,COLUMN()*2-3))</f>
        <v/>
      </c>
      <c r="K140" t="str" cm="1">
        <f>IF(ISBLANK(INDEX(Array_StationaryChargeData,ROW()-36,COLUMN()*2-3)),"",INDEX(Array_StationaryChargeData,ROW()-36,COLUMN()*2-3))</f>
        <v/>
      </c>
      <c r="L140" t="str" cm="1">
        <f>IF(ISBLANK(INDEX(Array_StationaryChargeData,ROW()-36,COLUMN()*2-3)),"",INDEX(Array_StationaryChargeData,ROW()-36,COLUMN()*2-3))</f>
        <v/>
      </c>
      <c r="M140" t="str" cm="1">
        <f>IF(ISBLANK(INDEX(Array_StationaryChargeData,ROW()-36,COLUMN()*2-3)),"",INDEX(Array_StationaryChargeData,ROW()-36,COLUMN()*2-3))</f>
        <v/>
      </c>
      <c r="N140" t="str" cm="1">
        <f>IF(ISBLANK(INDEX(Array_StationaryChargeData,ROW()-36,COLUMN()*2-3)),"",INDEX(Array_StationaryChargeData,ROW()-36,COLUMN()*2-3))</f>
        <v/>
      </c>
      <c r="O140" t="str" cm="1">
        <f>IF(ISBLANK(INDEX(Array_StationaryChargeData,ROW()-36,COLUMN()*2-3)),"",INDEX(Array_StationaryChargeData,ROW()-36,COLUMN()*2-3))</f>
        <v/>
      </c>
      <c r="P140" t="str" cm="1">
        <f>IF(ISBLANK(INDEX(Array_StationaryChargeData,ROW()-36,COLUMN()*2-3)),"",INDEX(Array_StationaryChargeData,ROW()-36,COLUMN()*2-3))</f>
        <v/>
      </c>
    </row>
    <row r="141" spans="1:16" x14ac:dyDescent="0.35">
      <c r="A141" t="str">
        <f>IF('Stationary Fuel Meters'!B107="",A140,'Stationary Fuel Meters'!B107)</f>
        <v>Meter Numbers</v>
      </c>
      <c r="B141" t="str" cm="1">
        <f>IF(ISBLANK(INDEX(Array_StationaryChargeData,ROW()-36,COLUMN()*2-3)),"",INDEX(Array_StationaryChargeData,ROW()-36,COLUMN()*2-3))</f>
        <v/>
      </c>
      <c r="C141" t="str" cm="1">
        <f>IF(ISBLANK(INDEX(Array_StationaryChargeData,ROW()-36,COLUMN()*2-3)),"",INDEX(Array_StationaryChargeData,ROW()-36,COLUMN()*2-3))</f>
        <v/>
      </c>
      <c r="D141" t="str" cm="1">
        <f>IF(ISBLANK(INDEX(Array_StationaryChargeData,ROW()-36,COLUMN()*2-3)),"",INDEX(Array_StationaryChargeData,ROW()-36,COLUMN()*2-3))</f>
        <v/>
      </c>
      <c r="E141" t="str" cm="1">
        <f>IF(ISBLANK(INDEX(Array_StationaryChargeData,ROW()-36,COLUMN()*2-3)),"",INDEX(Array_StationaryChargeData,ROW()-36,COLUMN()*2-3))</f>
        <v/>
      </c>
      <c r="F141" t="str" cm="1">
        <f>IF(ISBLANK(INDEX(Array_StationaryChargeData,ROW()-36,COLUMN()*2-3)),"",INDEX(Array_StationaryChargeData,ROW()-36,COLUMN()*2-3))</f>
        <v/>
      </c>
      <c r="G141" t="str" cm="1">
        <f>IF(ISBLANK(INDEX(Array_StationaryChargeData,ROW()-36,COLUMN()*2-3)),"",INDEX(Array_StationaryChargeData,ROW()-36,COLUMN()*2-3))</f>
        <v/>
      </c>
      <c r="H141" t="str" cm="1">
        <f>IF(ISBLANK(INDEX(Array_StationaryChargeData,ROW()-36,COLUMN()*2-3)),"",INDEX(Array_StationaryChargeData,ROW()-36,COLUMN()*2-3))</f>
        <v/>
      </c>
      <c r="I141" t="str" cm="1">
        <f>IF(ISBLANK(INDEX(Array_StationaryChargeData,ROW()-36,COLUMN()*2-3)),"",INDEX(Array_StationaryChargeData,ROW()-36,COLUMN()*2-3))</f>
        <v/>
      </c>
      <c r="J141" t="str" cm="1">
        <f>IF(ISBLANK(INDEX(Array_StationaryChargeData,ROW()-36,COLUMN()*2-3)),"",INDEX(Array_StationaryChargeData,ROW()-36,COLUMN()*2-3))</f>
        <v/>
      </c>
      <c r="K141" t="str" cm="1">
        <f>IF(ISBLANK(INDEX(Array_StationaryChargeData,ROW()-36,COLUMN()*2-3)),"",INDEX(Array_StationaryChargeData,ROW()-36,COLUMN()*2-3))</f>
        <v/>
      </c>
      <c r="L141" t="str" cm="1">
        <f>IF(ISBLANK(INDEX(Array_StationaryChargeData,ROW()-36,COLUMN()*2-3)),"",INDEX(Array_StationaryChargeData,ROW()-36,COLUMN()*2-3))</f>
        <v/>
      </c>
      <c r="M141" t="str" cm="1">
        <f>IF(ISBLANK(INDEX(Array_StationaryChargeData,ROW()-36,COLUMN()*2-3)),"",INDEX(Array_StationaryChargeData,ROW()-36,COLUMN()*2-3))</f>
        <v/>
      </c>
      <c r="N141" t="str" cm="1">
        <f>IF(ISBLANK(INDEX(Array_StationaryChargeData,ROW()-36,COLUMN()*2-3)),"",INDEX(Array_StationaryChargeData,ROW()-36,COLUMN()*2-3))</f>
        <v/>
      </c>
      <c r="O141" t="str" cm="1">
        <f>IF(ISBLANK(INDEX(Array_StationaryChargeData,ROW()-36,COLUMN()*2-3)),"",INDEX(Array_StationaryChargeData,ROW()-36,COLUMN()*2-3))</f>
        <v/>
      </c>
      <c r="P141" t="str" cm="1">
        <f>IF(ISBLANK(INDEX(Array_StationaryChargeData,ROW()-36,COLUMN()*2-3)),"",INDEX(Array_StationaryChargeData,ROW()-36,COLUMN()*2-3))</f>
        <v/>
      </c>
    </row>
    <row r="142" spans="1:16" x14ac:dyDescent="0.35">
      <c r="A142" t="str">
        <f>IF('Stationary Fuel Meters'!B108="",A141,'Stationary Fuel Meters'!B108)</f>
        <v>Meter Numbers</v>
      </c>
      <c r="B142" t="str" cm="1">
        <f>IF(ISBLANK(INDEX(Array_StationaryChargeData,ROW()-36,COLUMN()*2-3)),"",INDEX(Array_StationaryChargeData,ROW()-36,COLUMN()*2-3))</f>
        <v/>
      </c>
      <c r="C142" t="str" cm="1">
        <f>IF(ISBLANK(INDEX(Array_StationaryChargeData,ROW()-36,COLUMN()*2-3)),"",INDEX(Array_StationaryChargeData,ROW()-36,COLUMN()*2-3))</f>
        <v/>
      </c>
      <c r="D142" t="str" cm="1">
        <f>IF(ISBLANK(INDEX(Array_StationaryChargeData,ROW()-36,COLUMN()*2-3)),"",INDEX(Array_StationaryChargeData,ROW()-36,COLUMN()*2-3))</f>
        <v/>
      </c>
      <c r="E142" t="str" cm="1">
        <f>IF(ISBLANK(INDEX(Array_StationaryChargeData,ROW()-36,COLUMN()*2-3)),"",INDEX(Array_StationaryChargeData,ROW()-36,COLUMN()*2-3))</f>
        <v/>
      </c>
      <c r="F142" t="str" cm="1">
        <f>IF(ISBLANK(INDEX(Array_StationaryChargeData,ROW()-36,COLUMN()*2-3)),"",INDEX(Array_StationaryChargeData,ROW()-36,COLUMN()*2-3))</f>
        <v/>
      </c>
      <c r="G142" t="str" cm="1">
        <f>IF(ISBLANK(INDEX(Array_StationaryChargeData,ROW()-36,COLUMN()*2-3)),"",INDEX(Array_StationaryChargeData,ROW()-36,COLUMN()*2-3))</f>
        <v/>
      </c>
      <c r="H142" t="str" cm="1">
        <f>IF(ISBLANK(INDEX(Array_StationaryChargeData,ROW()-36,COLUMN()*2-3)),"",INDEX(Array_StationaryChargeData,ROW()-36,COLUMN()*2-3))</f>
        <v/>
      </c>
      <c r="I142" t="str" cm="1">
        <f>IF(ISBLANK(INDEX(Array_StationaryChargeData,ROW()-36,COLUMN()*2-3)),"",INDEX(Array_StationaryChargeData,ROW()-36,COLUMN()*2-3))</f>
        <v/>
      </c>
      <c r="J142" t="str" cm="1">
        <f>IF(ISBLANK(INDEX(Array_StationaryChargeData,ROW()-36,COLUMN()*2-3)),"",INDEX(Array_StationaryChargeData,ROW()-36,COLUMN()*2-3))</f>
        <v/>
      </c>
      <c r="K142" t="str" cm="1">
        <f>IF(ISBLANK(INDEX(Array_StationaryChargeData,ROW()-36,COLUMN()*2-3)),"",INDEX(Array_StationaryChargeData,ROW()-36,COLUMN()*2-3))</f>
        <v/>
      </c>
      <c r="L142" t="str" cm="1">
        <f>IF(ISBLANK(INDEX(Array_StationaryChargeData,ROW()-36,COLUMN()*2-3)),"",INDEX(Array_StationaryChargeData,ROW()-36,COLUMN()*2-3))</f>
        <v/>
      </c>
      <c r="M142" t="str" cm="1">
        <f>IF(ISBLANK(INDEX(Array_StationaryChargeData,ROW()-36,COLUMN()*2-3)),"",INDEX(Array_StationaryChargeData,ROW()-36,COLUMN()*2-3))</f>
        <v/>
      </c>
      <c r="N142" t="str" cm="1">
        <f>IF(ISBLANK(INDEX(Array_StationaryChargeData,ROW()-36,COLUMN()*2-3)),"",INDEX(Array_StationaryChargeData,ROW()-36,COLUMN()*2-3))</f>
        <v/>
      </c>
      <c r="O142" t="str" cm="1">
        <f>IF(ISBLANK(INDEX(Array_StationaryChargeData,ROW()-36,COLUMN()*2-3)),"",INDEX(Array_StationaryChargeData,ROW()-36,COLUMN()*2-3))</f>
        <v/>
      </c>
      <c r="P142" t="str" cm="1">
        <f>IF(ISBLANK(INDEX(Array_StationaryChargeData,ROW()-36,COLUMN()*2-3)),"",INDEX(Array_StationaryChargeData,ROW()-36,COLUMN()*2-3))</f>
        <v/>
      </c>
    </row>
    <row r="143" spans="1:16" x14ac:dyDescent="0.35">
      <c r="A143" t="str">
        <f>IF('Stationary Fuel Meters'!B109="",A142,'Stationary Fuel Meters'!B109)</f>
        <v>Meter Numbers</v>
      </c>
      <c r="B143" t="str" cm="1">
        <f>IF(ISBLANK(INDEX(Array_StationaryChargeData,ROW()-36,COLUMN()*2-3)),"",INDEX(Array_StationaryChargeData,ROW()-36,COLUMN()*2-3))</f>
        <v/>
      </c>
      <c r="C143" t="str" cm="1">
        <f>IF(ISBLANK(INDEX(Array_StationaryChargeData,ROW()-36,COLUMN()*2-3)),"",INDEX(Array_StationaryChargeData,ROW()-36,COLUMN()*2-3))</f>
        <v/>
      </c>
      <c r="D143" t="str" cm="1">
        <f>IF(ISBLANK(INDEX(Array_StationaryChargeData,ROW()-36,COLUMN()*2-3)),"",INDEX(Array_StationaryChargeData,ROW()-36,COLUMN()*2-3))</f>
        <v/>
      </c>
      <c r="E143" t="str" cm="1">
        <f>IF(ISBLANK(INDEX(Array_StationaryChargeData,ROW()-36,COLUMN()*2-3)),"",INDEX(Array_StationaryChargeData,ROW()-36,COLUMN()*2-3))</f>
        <v/>
      </c>
      <c r="F143" t="str" cm="1">
        <f>IF(ISBLANK(INDEX(Array_StationaryChargeData,ROW()-36,COLUMN()*2-3)),"",INDEX(Array_StationaryChargeData,ROW()-36,COLUMN()*2-3))</f>
        <v/>
      </c>
      <c r="G143" t="str" cm="1">
        <f>IF(ISBLANK(INDEX(Array_StationaryChargeData,ROW()-36,COLUMN()*2-3)),"",INDEX(Array_StationaryChargeData,ROW()-36,COLUMN()*2-3))</f>
        <v/>
      </c>
      <c r="H143" t="str" cm="1">
        <f>IF(ISBLANK(INDEX(Array_StationaryChargeData,ROW()-36,COLUMN()*2-3)),"",INDEX(Array_StationaryChargeData,ROW()-36,COLUMN()*2-3))</f>
        <v/>
      </c>
      <c r="I143" t="str" cm="1">
        <f>IF(ISBLANK(INDEX(Array_StationaryChargeData,ROW()-36,COLUMN()*2-3)),"",INDEX(Array_StationaryChargeData,ROW()-36,COLUMN()*2-3))</f>
        <v/>
      </c>
      <c r="J143" t="str" cm="1">
        <f>IF(ISBLANK(INDEX(Array_StationaryChargeData,ROW()-36,COLUMN()*2-3)),"",INDEX(Array_StationaryChargeData,ROW()-36,COLUMN()*2-3))</f>
        <v/>
      </c>
      <c r="K143" t="str" cm="1">
        <f>IF(ISBLANK(INDEX(Array_StationaryChargeData,ROW()-36,COLUMN()*2-3)),"",INDEX(Array_StationaryChargeData,ROW()-36,COLUMN()*2-3))</f>
        <v/>
      </c>
      <c r="L143" t="str" cm="1">
        <f>IF(ISBLANK(INDEX(Array_StationaryChargeData,ROW()-36,COLUMN()*2-3)),"",INDEX(Array_StationaryChargeData,ROW()-36,COLUMN()*2-3))</f>
        <v/>
      </c>
      <c r="M143" t="str" cm="1">
        <f>IF(ISBLANK(INDEX(Array_StationaryChargeData,ROW()-36,COLUMN()*2-3)),"",INDEX(Array_StationaryChargeData,ROW()-36,COLUMN()*2-3))</f>
        <v/>
      </c>
      <c r="N143" t="str" cm="1">
        <f>IF(ISBLANK(INDEX(Array_StationaryChargeData,ROW()-36,COLUMN()*2-3)),"",INDEX(Array_StationaryChargeData,ROW()-36,COLUMN()*2-3))</f>
        <v/>
      </c>
      <c r="O143" t="str" cm="1">
        <f>IF(ISBLANK(INDEX(Array_StationaryChargeData,ROW()-36,COLUMN()*2-3)),"",INDEX(Array_StationaryChargeData,ROW()-36,COLUMN()*2-3))</f>
        <v/>
      </c>
      <c r="P143" t="str" cm="1">
        <f>IF(ISBLANK(INDEX(Array_StationaryChargeData,ROW()-36,COLUMN()*2-3)),"",INDEX(Array_StationaryChargeData,ROW()-36,COLUMN()*2-3))</f>
        <v/>
      </c>
    </row>
    <row r="144" spans="1:16" x14ac:dyDescent="0.35">
      <c r="A144" t="str">
        <f>IF('Stationary Fuel Meters'!B110="",A143,'Stationary Fuel Meters'!B110)</f>
        <v>Meter Numbers</v>
      </c>
      <c r="B144" t="str" cm="1">
        <f>IF(ISBLANK(INDEX(Array_StationaryChargeData,ROW()-36,COLUMN()*2-3)),"",INDEX(Array_StationaryChargeData,ROW()-36,COLUMN()*2-3))</f>
        <v/>
      </c>
      <c r="C144" t="str" cm="1">
        <f>IF(ISBLANK(INDEX(Array_StationaryChargeData,ROW()-36,COLUMN()*2-3)),"",INDEX(Array_StationaryChargeData,ROW()-36,COLUMN()*2-3))</f>
        <v/>
      </c>
      <c r="D144" t="str" cm="1">
        <f>IF(ISBLANK(INDEX(Array_StationaryChargeData,ROW()-36,COLUMN()*2-3)),"",INDEX(Array_StationaryChargeData,ROW()-36,COLUMN()*2-3))</f>
        <v/>
      </c>
      <c r="E144" t="str" cm="1">
        <f>IF(ISBLANK(INDEX(Array_StationaryChargeData,ROW()-36,COLUMN()*2-3)),"",INDEX(Array_StationaryChargeData,ROW()-36,COLUMN()*2-3))</f>
        <v/>
      </c>
      <c r="F144" t="str" cm="1">
        <f>IF(ISBLANK(INDEX(Array_StationaryChargeData,ROW()-36,COLUMN()*2-3)),"",INDEX(Array_StationaryChargeData,ROW()-36,COLUMN()*2-3))</f>
        <v/>
      </c>
      <c r="G144" t="str" cm="1">
        <f>IF(ISBLANK(INDEX(Array_StationaryChargeData,ROW()-36,COLUMN()*2-3)),"",INDEX(Array_StationaryChargeData,ROW()-36,COLUMN()*2-3))</f>
        <v/>
      </c>
      <c r="H144" t="str" cm="1">
        <f>IF(ISBLANK(INDEX(Array_StationaryChargeData,ROW()-36,COLUMN()*2-3)),"",INDEX(Array_StationaryChargeData,ROW()-36,COLUMN()*2-3))</f>
        <v/>
      </c>
      <c r="I144" t="str" cm="1">
        <f>IF(ISBLANK(INDEX(Array_StationaryChargeData,ROW()-36,COLUMN()*2-3)),"",INDEX(Array_StationaryChargeData,ROW()-36,COLUMN()*2-3))</f>
        <v/>
      </c>
      <c r="J144" t="str" cm="1">
        <f>IF(ISBLANK(INDEX(Array_StationaryChargeData,ROW()-36,COLUMN()*2-3)),"",INDEX(Array_StationaryChargeData,ROW()-36,COLUMN()*2-3))</f>
        <v/>
      </c>
      <c r="K144" t="str" cm="1">
        <f>IF(ISBLANK(INDEX(Array_StationaryChargeData,ROW()-36,COLUMN()*2-3)),"",INDEX(Array_StationaryChargeData,ROW()-36,COLUMN()*2-3))</f>
        <v/>
      </c>
      <c r="L144" t="str" cm="1">
        <f>IF(ISBLANK(INDEX(Array_StationaryChargeData,ROW()-36,COLUMN()*2-3)),"",INDEX(Array_StationaryChargeData,ROW()-36,COLUMN()*2-3))</f>
        <v/>
      </c>
      <c r="M144" t="str" cm="1">
        <f>IF(ISBLANK(INDEX(Array_StationaryChargeData,ROW()-36,COLUMN()*2-3)),"",INDEX(Array_StationaryChargeData,ROW()-36,COLUMN()*2-3))</f>
        <v/>
      </c>
      <c r="N144" t="str" cm="1">
        <f>IF(ISBLANK(INDEX(Array_StationaryChargeData,ROW()-36,COLUMN()*2-3)),"",INDEX(Array_StationaryChargeData,ROW()-36,COLUMN()*2-3))</f>
        <v/>
      </c>
      <c r="O144" t="str" cm="1">
        <f>IF(ISBLANK(INDEX(Array_StationaryChargeData,ROW()-36,COLUMN()*2-3)),"",INDEX(Array_StationaryChargeData,ROW()-36,COLUMN()*2-3))</f>
        <v/>
      </c>
      <c r="P144" t="str" cm="1">
        <f>IF(ISBLANK(INDEX(Array_StationaryChargeData,ROW()-36,COLUMN()*2-3)),"",INDEX(Array_StationaryChargeData,ROW()-36,COLUMN()*2-3))</f>
        <v/>
      </c>
    </row>
    <row r="145" spans="1:16" x14ac:dyDescent="0.35">
      <c r="A145" t="str">
        <f>IF('Stationary Fuel Meters'!B111="",A144,'Stationary Fuel Meters'!B111)</f>
        <v>Meter Numbers</v>
      </c>
      <c r="B145" t="str" cm="1">
        <f>IF(ISBLANK(INDEX(Array_StationaryChargeData,ROW()-36,COLUMN()*2-3)),"",INDEX(Array_StationaryChargeData,ROW()-36,COLUMN()*2-3))</f>
        <v/>
      </c>
      <c r="C145" t="str" cm="1">
        <f>IF(ISBLANK(INDEX(Array_StationaryChargeData,ROW()-36,COLUMN()*2-3)),"",INDEX(Array_StationaryChargeData,ROW()-36,COLUMN()*2-3))</f>
        <v/>
      </c>
      <c r="D145" t="str" cm="1">
        <f>IF(ISBLANK(INDEX(Array_StationaryChargeData,ROW()-36,COLUMN()*2-3)),"",INDEX(Array_StationaryChargeData,ROW()-36,COLUMN()*2-3))</f>
        <v/>
      </c>
      <c r="E145" t="str" cm="1">
        <f>IF(ISBLANK(INDEX(Array_StationaryChargeData,ROW()-36,COLUMN()*2-3)),"",INDEX(Array_StationaryChargeData,ROW()-36,COLUMN()*2-3))</f>
        <v/>
      </c>
      <c r="F145" t="str" cm="1">
        <f>IF(ISBLANK(INDEX(Array_StationaryChargeData,ROW()-36,COLUMN()*2-3)),"",INDEX(Array_StationaryChargeData,ROW()-36,COLUMN()*2-3))</f>
        <v/>
      </c>
      <c r="G145" t="str" cm="1">
        <f>IF(ISBLANK(INDEX(Array_StationaryChargeData,ROW()-36,COLUMN()*2-3)),"",INDEX(Array_StationaryChargeData,ROW()-36,COLUMN()*2-3))</f>
        <v/>
      </c>
      <c r="H145" t="str" cm="1">
        <f>IF(ISBLANK(INDEX(Array_StationaryChargeData,ROW()-36,COLUMN()*2-3)),"",INDEX(Array_StationaryChargeData,ROW()-36,COLUMN()*2-3))</f>
        <v/>
      </c>
      <c r="I145" t="str" cm="1">
        <f>IF(ISBLANK(INDEX(Array_StationaryChargeData,ROW()-36,COLUMN()*2-3)),"",INDEX(Array_StationaryChargeData,ROW()-36,COLUMN()*2-3))</f>
        <v/>
      </c>
      <c r="J145" t="str" cm="1">
        <f>IF(ISBLANK(INDEX(Array_StationaryChargeData,ROW()-36,COLUMN()*2-3)),"",INDEX(Array_StationaryChargeData,ROW()-36,COLUMN()*2-3))</f>
        <v/>
      </c>
      <c r="K145" t="str" cm="1">
        <f>IF(ISBLANK(INDEX(Array_StationaryChargeData,ROW()-36,COLUMN()*2-3)),"",INDEX(Array_StationaryChargeData,ROW()-36,COLUMN()*2-3))</f>
        <v/>
      </c>
      <c r="L145" t="str" cm="1">
        <f>IF(ISBLANK(INDEX(Array_StationaryChargeData,ROW()-36,COLUMN()*2-3)),"",INDEX(Array_StationaryChargeData,ROW()-36,COLUMN()*2-3))</f>
        <v/>
      </c>
      <c r="M145" t="str" cm="1">
        <f>IF(ISBLANK(INDEX(Array_StationaryChargeData,ROW()-36,COLUMN()*2-3)),"",INDEX(Array_StationaryChargeData,ROW()-36,COLUMN()*2-3))</f>
        <v/>
      </c>
      <c r="N145" t="str" cm="1">
        <f>IF(ISBLANK(INDEX(Array_StationaryChargeData,ROW()-36,COLUMN()*2-3)),"",INDEX(Array_StationaryChargeData,ROW()-36,COLUMN()*2-3))</f>
        <v/>
      </c>
      <c r="O145" t="str" cm="1">
        <f>IF(ISBLANK(INDEX(Array_StationaryChargeData,ROW()-36,COLUMN()*2-3)),"",INDEX(Array_StationaryChargeData,ROW()-36,COLUMN()*2-3))</f>
        <v/>
      </c>
      <c r="P145" t="str" cm="1">
        <f>IF(ISBLANK(INDEX(Array_StationaryChargeData,ROW()-36,COLUMN()*2-3)),"",INDEX(Array_StationaryChargeData,ROW()-36,COLUMN()*2-3))</f>
        <v/>
      </c>
    </row>
    <row r="146" spans="1:16" x14ac:dyDescent="0.35">
      <c r="A146" t="str">
        <f>IF('Stationary Fuel Meters'!B112="",A145,'Stationary Fuel Meters'!B112)</f>
        <v>Meter Numbers</v>
      </c>
      <c r="B146" t="str" cm="1">
        <f>IF(ISBLANK(INDEX(Array_StationaryChargeData,ROW()-36,COLUMN()*2-3)),"",INDEX(Array_StationaryChargeData,ROW()-36,COLUMN()*2-3))</f>
        <v/>
      </c>
      <c r="C146" t="str" cm="1">
        <f>IF(ISBLANK(INDEX(Array_StationaryChargeData,ROW()-36,COLUMN()*2-3)),"",INDEX(Array_StationaryChargeData,ROW()-36,COLUMN()*2-3))</f>
        <v/>
      </c>
      <c r="D146" t="str" cm="1">
        <f>IF(ISBLANK(INDEX(Array_StationaryChargeData,ROW()-36,COLUMN()*2-3)),"",INDEX(Array_StationaryChargeData,ROW()-36,COLUMN()*2-3))</f>
        <v/>
      </c>
      <c r="E146" t="str" cm="1">
        <f>IF(ISBLANK(INDEX(Array_StationaryChargeData,ROW()-36,COLUMN()*2-3)),"",INDEX(Array_StationaryChargeData,ROW()-36,COLUMN()*2-3))</f>
        <v/>
      </c>
      <c r="F146" t="str" cm="1">
        <f>IF(ISBLANK(INDEX(Array_StationaryChargeData,ROW()-36,COLUMN()*2-3)),"",INDEX(Array_StationaryChargeData,ROW()-36,COLUMN()*2-3))</f>
        <v/>
      </c>
      <c r="G146" t="str" cm="1">
        <f>IF(ISBLANK(INDEX(Array_StationaryChargeData,ROW()-36,COLUMN()*2-3)),"",INDEX(Array_StationaryChargeData,ROW()-36,COLUMN()*2-3))</f>
        <v/>
      </c>
      <c r="H146" t="str" cm="1">
        <f>IF(ISBLANK(INDEX(Array_StationaryChargeData,ROW()-36,COLUMN()*2-3)),"",INDEX(Array_StationaryChargeData,ROW()-36,COLUMN()*2-3))</f>
        <v/>
      </c>
      <c r="I146" t="str" cm="1">
        <f>IF(ISBLANK(INDEX(Array_StationaryChargeData,ROW()-36,COLUMN()*2-3)),"",INDEX(Array_StationaryChargeData,ROW()-36,COLUMN()*2-3))</f>
        <v/>
      </c>
      <c r="J146" t="str" cm="1">
        <f>IF(ISBLANK(INDEX(Array_StationaryChargeData,ROW()-36,COLUMN()*2-3)),"",INDEX(Array_StationaryChargeData,ROW()-36,COLUMN()*2-3))</f>
        <v/>
      </c>
      <c r="K146" t="str" cm="1">
        <f>IF(ISBLANK(INDEX(Array_StationaryChargeData,ROW()-36,COLUMN()*2-3)),"",INDEX(Array_StationaryChargeData,ROW()-36,COLUMN()*2-3))</f>
        <v/>
      </c>
      <c r="L146" t="str" cm="1">
        <f>IF(ISBLANK(INDEX(Array_StationaryChargeData,ROW()-36,COLUMN()*2-3)),"",INDEX(Array_StationaryChargeData,ROW()-36,COLUMN()*2-3))</f>
        <v/>
      </c>
      <c r="M146" t="str" cm="1">
        <f>IF(ISBLANK(INDEX(Array_StationaryChargeData,ROW()-36,COLUMN()*2-3)),"",INDEX(Array_StationaryChargeData,ROW()-36,COLUMN()*2-3))</f>
        <v/>
      </c>
      <c r="N146" t="str" cm="1">
        <f>IF(ISBLANK(INDEX(Array_StationaryChargeData,ROW()-36,COLUMN()*2-3)),"",INDEX(Array_StationaryChargeData,ROW()-36,COLUMN()*2-3))</f>
        <v/>
      </c>
      <c r="O146" t="str" cm="1">
        <f>IF(ISBLANK(INDEX(Array_StationaryChargeData,ROW()-36,COLUMN()*2-3)),"",INDEX(Array_StationaryChargeData,ROW()-36,COLUMN()*2-3))</f>
        <v/>
      </c>
      <c r="P146" t="str" cm="1">
        <f>IF(ISBLANK(INDEX(Array_StationaryChargeData,ROW()-36,COLUMN()*2-3)),"",INDEX(Array_StationaryChargeData,ROW()-36,COLUMN()*2-3))</f>
        <v/>
      </c>
    </row>
    <row r="147" spans="1:16" x14ac:dyDescent="0.35">
      <c r="A147" t="str">
        <f>IF('Stationary Fuel Meters'!B113="",A146,'Stationary Fuel Meters'!B113)</f>
        <v>Meter Numbers</v>
      </c>
      <c r="B147" t="str" cm="1">
        <f>IF(ISBLANK(INDEX(Array_StationaryChargeData,ROW()-36,COLUMN()*2-3)),"",INDEX(Array_StationaryChargeData,ROW()-36,COLUMN()*2-3))</f>
        <v/>
      </c>
      <c r="C147" t="str" cm="1">
        <f>IF(ISBLANK(INDEX(Array_StationaryChargeData,ROW()-36,COLUMN()*2-3)),"",INDEX(Array_StationaryChargeData,ROW()-36,COLUMN()*2-3))</f>
        <v/>
      </c>
      <c r="D147" t="str" cm="1">
        <f>IF(ISBLANK(INDEX(Array_StationaryChargeData,ROW()-36,COLUMN()*2-3)),"",INDEX(Array_StationaryChargeData,ROW()-36,COLUMN()*2-3))</f>
        <v/>
      </c>
      <c r="E147" t="str" cm="1">
        <f>IF(ISBLANK(INDEX(Array_StationaryChargeData,ROW()-36,COLUMN()*2-3)),"",INDEX(Array_StationaryChargeData,ROW()-36,COLUMN()*2-3))</f>
        <v/>
      </c>
      <c r="F147" t="str" cm="1">
        <f>IF(ISBLANK(INDEX(Array_StationaryChargeData,ROW()-36,COLUMN()*2-3)),"",INDEX(Array_StationaryChargeData,ROW()-36,COLUMN()*2-3))</f>
        <v/>
      </c>
      <c r="G147" t="str" cm="1">
        <f>IF(ISBLANK(INDEX(Array_StationaryChargeData,ROW()-36,COLUMN()*2-3)),"",INDEX(Array_StationaryChargeData,ROW()-36,COLUMN()*2-3))</f>
        <v/>
      </c>
      <c r="H147" t="str" cm="1">
        <f>IF(ISBLANK(INDEX(Array_StationaryChargeData,ROW()-36,COLUMN()*2-3)),"",INDEX(Array_StationaryChargeData,ROW()-36,COLUMN()*2-3))</f>
        <v/>
      </c>
      <c r="I147" t="str" cm="1">
        <f>IF(ISBLANK(INDEX(Array_StationaryChargeData,ROW()-36,COLUMN()*2-3)),"",INDEX(Array_StationaryChargeData,ROW()-36,COLUMN()*2-3))</f>
        <v/>
      </c>
      <c r="J147" t="str" cm="1">
        <f>IF(ISBLANK(INDEX(Array_StationaryChargeData,ROW()-36,COLUMN()*2-3)),"",INDEX(Array_StationaryChargeData,ROW()-36,COLUMN()*2-3))</f>
        <v/>
      </c>
      <c r="K147" t="str" cm="1">
        <f>IF(ISBLANK(INDEX(Array_StationaryChargeData,ROW()-36,COLUMN()*2-3)),"",INDEX(Array_StationaryChargeData,ROW()-36,COLUMN()*2-3))</f>
        <v/>
      </c>
      <c r="L147" t="str" cm="1">
        <f>IF(ISBLANK(INDEX(Array_StationaryChargeData,ROW()-36,COLUMN()*2-3)),"",INDEX(Array_StationaryChargeData,ROW()-36,COLUMN()*2-3))</f>
        <v/>
      </c>
      <c r="M147" t="str" cm="1">
        <f>IF(ISBLANK(INDEX(Array_StationaryChargeData,ROW()-36,COLUMN()*2-3)),"",INDEX(Array_StationaryChargeData,ROW()-36,COLUMN()*2-3))</f>
        <v/>
      </c>
      <c r="N147" t="str" cm="1">
        <f>IF(ISBLANK(INDEX(Array_StationaryChargeData,ROW()-36,COLUMN()*2-3)),"",INDEX(Array_StationaryChargeData,ROW()-36,COLUMN()*2-3))</f>
        <v/>
      </c>
      <c r="O147" t="str" cm="1">
        <f>IF(ISBLANK(INDEX(Array_StationaryChargeData,ROW()-36,COLUMN()*2-3)),"",INDEX(Array_StationaryChargeData,ROW()-36,COLUMN()*2-3))</f>
        <v/>
      </c>
      <c r="P147" t="str" cm="1">
        <f>IF(ISBLANK(INDEX(Array_StationaryChargeData,ROW()-36,COLUMN()*2-3)),"",INDEX(Array_StationaryChargeData,ROW()-36,COLUMN()*2-3))</f>
        <v/>
      </c>
    </row>
    <row r="148" spans="1:16" x14ac:dyDescent="0.35">
      <c r="A148" t="str">
        <f>IF('Stationary Fuel Meters'!B114="",A147,'Stationary Fuel Meters'!B114)</f>
        <v>Meter Numbers</v>
      </c>
      <c r="B148" t="str" cm="1">
        <f>IF(ISBLANK(INDEX(Array_StationaryChargeData,ROW()-36,COLUMN()*2-3)),"",INDEX(Array_StationaryChargeData,ROW()-36,COLUMN()*2-3))</f>
        <v/>
      </c>
      <c r="C148" t="str" cm="1">
        <f>IF(ISBLANK(INDEX(Array_StationaryChargeData,ROW()-36,COLUMN()*2-3)),"",INDEX(Array_StationaryChargeData,ROW()-36,COLUMN()*2-3))</f>
        <v/>
      </c>
      <c r="D148" t="str" cm="1">
        <f>IF(ISBLANK(INDEX(Array_StationaryChargeData,ROW()-36,COLUMN()*2-3)),"",INDEX(Array_StationaryChargeData,ROW()-36,COLUMN()*2-3))</f>
        <v/>
      </c>
      <c r="E148" t="str" cm="1">
        <f>IF(ISBLANK(INDEX(Array_StationaryChargeData,ROW()-36,COLUMN()*2-3)),"",INDEX(Array_StationaryChargeData,ROW()-36,COLUMN()*2-3))</f>
        <v/>
      </c>
      <c r="F148" t="str" cm="1">
        <f>IF(ISBLANK(INDEX(Array_StationaryChargeData,ROW()-36,COLUMN()*2-3)),"",INDEX(Array_StationaryChargeData,ROW()-36,COLUMN()*2-3))</f>
        <v/>
      </c>
      <c r="G148" t="str" cm="1">
        <f>IF(ISBLANK(INDEX(Array_StationaryChargeData,ROW()-36,COLUMN()*2-3)),"",INDEX(Array_StationaryChargeData,ROW()-36,COLUMN()*2-3))</f>
        <v/>
      </c>
      <c r="H148" t="str" cm="1">
        <f>IF(ISBLANK(INDEX(Array_StationaryChargeData,ROW()-36,COLUMN()*2-3)),"",INDEX(Array_StationaryChargeData,ROW()-36,COLUMN()*2-3))</f>
        <v/>
      </c>
      <c r="I148" t="str" cm="1">
        <f>IF(ISBLANK(INDEX(Array_StationaryChargeData,ROW()-36,COLUMN()*2-3)),"",INDEX(Array_StationaryChargeData,ROW()-36,COLUMN()*2-3))</f>
        <v/>
      </c>
      <c r="J148" t="str" cm="1">
        <f>IF(ISBLANK(INDEX(Array_StationaryChargeData,ROW()-36,COLUMN()*2-3)),"",INDEX(Array_StationaryChargeData,ROW()-36,COLUMN()*2-3))</f>
        <v/>
      </c>
      <c r="K148" t="str" cm="1">
        <f>IF(ISBLANK(INDEX(Array_StationaryChargeData,ROW()-36,COLUMN()*2-3)),"",INDEX(Array_StationaryChargeData,ROW()-36,COLUMN()*2-3))</f>
        <v/>
      </c>
      <c r="L148" t="str" cm="1">
        <f>IF(ISBLANK(INDEX(Array_StationaryChargeData,ROW()-36,COLUMN()*2-3)),"",INDEX(Array_StationaryChargeData,ROW()-36,COLUMN()*2-3))</f>
        <v/>
      </c>
      <c r="M148" t="str" cm="1">
        <f>IF(ISBLANK(INDEX(Array_StationaryChargeData,ROW()-36,COLUMN()*2-3)),"",INDEX(Array_StationaryChargeData,ROW()-36,COLUMN()*2-3))</f>
        <v/>
      </c>
      <c r="N148" t="str" cm="1">
        <f>IF(ISBLANK(INDEX(Array_StationaryChargeData,ROW()-36,COLUMN()*2-3)),"",INDEX(Array_StationaryChargeData,ROW()-36,COLUMN()*2-3))</f>
        <v/>
      </c>
      <c r="O148" t="str" cm="1">
        <f>IF(ISBLANK(INDEX(Array_StationaryChargeData,ROW()-36,COLUMN()*2-3)),"",INDEX(Array_StationaryChargeData,ROW()-36,COLUMN()*2-3))</f>
        <v/>
      </c>
      <c r="P148" t="str" cm="1">
        <f>IF(ISBLANK(INDEX(Array_StationaryChargeData,ROW()-36,COLUMN()*2-3)),"",INDEX(Array_StationaryChargeData,ROW()-36,COLUMN()*2-3))</f>
        <v/>
      </c>
    </row>
    <row r="149" spans="1:16" x14ac:dyDescent="0.35">
      <c r="A149" t="str">
        <f>IF('Stationary Fuel Meters'!B115="",A148,'Stationary Fuel Meters'!B115)</f>
        <v>Meter Numbers</v>
      </c>
      <c r="B149" t="str" cm="1">
        <f>IF(ISBLANK(INDEX(Array_StationaryChargeData,ROW()-36,COLUMN()*2-3)),"",INDEX(Array_StationaryChargeData,ROW()-36,COLUMN()*2-3))</f>
        <v/>
      </c>
      <c r="C149" t="str" cm="1">
        <f>IF(ISBLANK(INDEX(Array_StationaryChargeData,ROW()-36,COLUMN()*2-3)),"",INDEX(Array_StationaryChargeData,ROW()-36,COLUMN()*2-3))</f>
        <v/>
      </c>
      <c r="D149" t="str" cm="1">
        <f>IF(ISBLANK(INDEX(Array_StationaryChargeData,ROW()-36,COLUMN()*2-3)),"",INDEX(Array_StationaryChargeData,ROW()-36,COLUMN()*2-3))</f>
        <v/>
      </c>
      <c r="E149" t="str" cm="1">
        <f>IF(ISBLANK(INDEX(Array_StationaryChargeData,ROW()-36,COLUMN()*2-3)),"",INDEX(Array_StationaryChargeData,ROW()-36,COLUMN()*2-3))</f>
        <v/>
      </c>
      <c r="F149" t="str" cm="1">
        <f>IF(ISBLANK(INDEX(Array_StationaryChargeData,ROW()-36,COLUMN()*2-3)),"",INDEX(Array_StationaryChargeData,ROW()-36,COLUMN()*2-3))</f>
        <v/>
      </c>
      <c r="G149" t="str" cm="1">
        <f>IF(ISBLANK(INDEX(Array_StationaryChargeData,ROW()-36,COLUMN()*2-3)),"",INDEX(Array_StationaryChargeData,ROW()-36,COLUMN()*2-3))</f>
        <v/>
      </c>
      <c r="H149" t="str" cm="1">
        <f>IF(ISBLANK(INDEX(Array_StationaryChargeData,ROW()-36,COLUMN()*2-3)),"",INDEX(Array_StationaryChargeData,ROW()-36,COLUMN()*2-3))</f>
        <v/>
      </c>
      <c r="I149" t="str" cm="1">
        <f>IF(ISBLANK(INDEX(Array_StationaryChargeData,ROW()-36,COLUMN()*2-3)),"",INDEX(Array_StationaryChargeData,ROW()-36,COLUMN()*2-3))</f>
        <v/>
      </c>
      <c r="J149" t="str" cm="1">
        <f>IF(ISBLANK(INDEX(Array_StationaryChargeData,ROW()-36,COLUMN()*2-3)),"",INDEX(Array_StationaryChargeData,ROW()-36,COLUMN()*2-3))</f>
        <v/>
      </c>
      <c r="K149" t="str" cm="1">
        <f>IF(ISBLANK(INDEX(Array_StationaryChargeData,ROW()-36,COLUMN()*2-3)),"",INDEX(Array_StationaryChargeData,ROW()-36,COLUMN()*2-3))</f>
        <v/>
      </c>
      <c r="L149" t="str" cm="1">
        <f>IF(ISBLANK(INDEX(Array_StationaryChargeData,ROW()-36,COLUMN()*2-3)),"",INDEX(Array_StationaryChargeData,ROW()-36,COLUMN()*2-3))</f>
        <v/>
      </c>
      <c r="M149" t="str" cm="1">
        <f>IF(ISBLANK(INDEX(Array_StationaryChargeData,ROW()-36,COLUMN()*2-3)),"",INDEX(Array_StationaryChargeData,ROW()-36,COLUMN()*2-3))</f>
        <v/>
      </c>
      <c r="N149" t="str" cm="1">
        <f>IF(ISBLANK(INDEX(Array_StationaryChargeData,ROW()-36,COLUMN()*2-3)),"",INDEX(Array_StationaryChargeData,ROW()-36,COLUMN()*2-3))</f>
        <v/>
      </c>
      <c r="O149" t="str" cm="1">
        <f>IF(ISBLANK(INDEX(Array_StationaryChargeData,ROW()-36,COLUMN()*2-3)),"",INDEX(Array_StationaryChargeData,ROW()-36,COLUMN()*2-3))</f>
        <v/>
      </c>
      <c r="P149" t="str" cm="1">
        <f>IF(ISBLANK(INDEX(Array_StationaryChargeData,ROW()-36,COLUMN()*2-3)),"",INDEX(Array_StationaryChargeData,ROW()-36,COLUMN()*2-3))</f>
        <v/>
      </c>
    </row>
    <row r="150" spans="1:16" x14ac:dyDescent="0.35">
      <c r="A150" t="str">
        <f>IF('Stationary Fuel Meters'!B116="",A149,'Stationary Fuel Meters'!B116)</f>
        <v>Meter Numbers</v>
      </c>
      <c r="B150" t="str" cm="1">
        <f>IF(ISBLANK(INDEX(Array_StationaryChargeData,ROW()-36,COLUMN()*2-3)),"",INDEX(Array_StationaryChargeData,ROW()-36,COLUMN()*2-3))</f>
        <v/>
      </c>
      <c r="C150" t="str" cm="1">
        <f>IF(ISBLANK(INDEX(Array_StationaryChargeData,ROW()-36,COLUMN()*2-3)),"",INDEX(Array_StationaryChargeData,ROW()-36,COLUMN()*2-3))</f>
        <v/>
      </c>
      <c r="D150" t="str" cm="1">
        <f>IF(ISBLANK(INDEX(Array_StationaryChargeData,ROW()-36,COLUMN()*2-3)),"",INDEX(Array_StationaryChargeData,ROW()-36,COLUMN()*2-3))</f>
        <v/>
      </c>
      <c r="E150" t="str" cm="1">
        <f>IF(ISBLANK(INDEX(Array_StationaryChargeData,ROW()-36,COLUMN()*2-3)),"",INDEX(Array_StationaryChargeData,ROW()-36,COLUMN()*2-3))</f>
        <v/>
      </c>
      <c r="F150" t="str" cm="1">
        <f>IF(ISBLANK(INDEX(Array_StationaryChargeData,ROW()-36,COLUMN()*2-3)),"",INDEX(Array_StationaryChargeData,ROW()-36,COLUMN()*2-3))</f>
        <v/>
      </c>
      <c r="G150" t="str" cm="1">
        <f>IF(ISBLANK(INDEX(Array_StationaryChargeData,ROW()-36,COLUMN()*2-3)),"",INDEX(Array_StationaryChargeData,ROW()-36,COLUMN()*2-3))</f>
        <v/>
      </c>
      <c r="H150" t="str" cm="1">
        <f>IF(ISBLANK(INDEX(Array_StationaryChargeData,ROW()-36,COLUMN()*2-3)),"",INDEX(Array_StationaryChargeData,ROW()-36,COLUMN()*2-3))</f>
        <v/>
      </c>
      <c r="I150" t="str" cm="1">
        <f>IF(ISBLANK(INDEX(Array_StationaryChargeData,ROW()-36,COLUMN()*2-3)),"",INDEX(Array_StationaryChargeData,ROW()-36,COLUMN()*2-3))</f>
        <v/>
      </c>
      <c r="J150" t="str" cm="1">
        <f>IF(ISBLANK(INDEX(Array_StationaryChargeData,ROW()-36,COLUMN()*2-3)),"",INDEX(Array_StationaryChargeData,ROW()-36,COLUMN()*2-3))</f>
        <v/>
      </c>
      <c r="K150" t="str" cm="1">
        <f>IF(ISBLANK(INDEX(Array_StationaryChargeData,ROW()-36,COLUMN()*2-3)),"",INDEX(Array_StationaryChargeData,ROW()-36,COLUMN()*2-3))</f>
        <v/>
      </c>
      <c r="L150" t="str" cm="1">
        <f>IF(ISBLANK(INDEX(Array_StationaryChargeData,ROW()-36,COLUMN()*2-3)),"",INDEX(Array_StationaryChargeData,ROW()-36,COLUMN()*2-3))</f>
        <v/>
      </c>
      <c r="M150" t="str" cm="1">
        <f>IF(ISBLANK(INDEX(Array_StationaryChargeData,ROW()-36,COLUMN()*2-3)),"",INDEX(Array_StationaryChargeData,ROW()-36,COLUMN()*2-3))</f>
        <v/>
      </c>
      <c r="N150" t="str" cm="1">
        <f>IF(ISBLANK(INDEX(Array_StationaryChargeData,ROW()-36,COLUMN()*2-3)),"",INDEX(Array_StationaryChargeData,ROW()-36,COLUMN()*2-3))</f>
        <v/>
      </c>
      <c r="O150" t="str" cm="1">
        <f>IF(ISBLANK(INDEX(Array_StationaryChargeData,ROW()-36,COLUMN()*2-3)),"",INDEX(Array_StationaryChargeData,ROW()-36,COLUMN()*2-3))</f>
        <v/>
      </c>
      <c r="P150" t="str" cm="1">
        <f>IF(ISBLANK(INDEX(Array_StationaryChargeData,ROW()-36,COLUMN()*2-3)),"",INDEX(Array_StationaryChargeData,ROW()-36,COLUMN()*2-3))</f>
        <v/>
      </c>
    </row>
    <row r="151" spans="1:16" x14ac:dyDescent="0.35">
      <c r="A151" t="str">
        <f>IF('Stationary Fuel Meters'!B117="",A150,'Stationary Fuel Meters'!B117)</f>
        <v>Meter Numbers</v>
      </c>
      <c r="B151" t="str" cm="1">
        <f>IF(ISBLANK(INDEX(Array_StationaryChargeData,ROW()-36,COLUMN()*2-3)),"",INDEX(Array_StationaryChargeData,ROW()-36,COLUMN()*2-3))</f>
        <v/>
      </c>
      <c r="C151" t="str" cm="1">
        <f>IF(ISBLANK(INDEX(Array_StationaryChargeData,ROW()-36,COLUMN()*2-3)),"",INDEX(Array_StationaryChargeData,ROW()-36,COLUMN()*2-3))</f>
        <v/>
      </c>
      <c r="D151" t="str" cm="1">
        <f>IF(ISBLANK(INDEX(Array_StationaryChargeData,ROW()-36,COLUMN()*2-3)),"",INDEX(Array_StationaryChargeData,ROW()-36,COLUMN()*2-3))</f>
        <v/>
      </c>
      <c r="E151" t="str" cm="1">
        <f>IF(ISBLANK(INDEX(Array_StationaryChargeData,ROW()-36,COLUMN()*2-3)),"",INDEX(Array_StationaryChargeData,ROW()-36,COLUMN()*2-3))</f>
        <v/>
      </c>
      <c r="F151" t="str" cm="1">
        <f>IF(ISBLANK(INDEX(Array_StationaryChargeData,ROW()-36,COLUMN()*2-3)),"",INDEX(Array_StationaryChargeData,ROW()-36,COLUMN()*2-3))</f>
        <v/>
      </c>
      <c r="G151" t="str" cm="1">
        <f>IF(ISBLANK(INDEX(Array_StationaryChargeData,ROW()-36,COLUMN()*2-3)),"",INDEX(Array_StationaryChargeData,ROW()-36,COLUMN()*2-3))</f>
        <v/>
      </c>
      <c r="H151" t="str" cm="1">
        <f>IF(ISBLANK(INDEX(Array_StationaryChargeData,ROW()-36,COLUMN()*2-3)),"",INDEX(Array_StationaryChargeData,ROW()-36,COLUMN()*2-3))</f>
        <v/>
      </c>
      <c r="I151" t="str" cm="1">
        <f>IF(ISBLANK(INDEX(Array_StationaryChargeData,ROW()-36,COLUMN()*2-3)),"",INDEX(Array_StationaryChargeData,ROW()-36,COLUMN()*2-3))</f>
        <v/>
      </c>
      <c r="J151" t="str" cm="1">
        <f>IF(ISBLANK(INDEX(Array_StationaryChargeData,ROW()-36,COLUMN()*2-3)),"",INDEX(Array_StationaryChargeData,ROW()-36,COLUMN()*2-3))</f>
        <v/>
      </c>
      <c r="K151" t="str" cm="1">
        <f>IF(ISBLANK(INDEX(Array_StationaryChargeData,ROW()-36,COLUMN()*2-3)),"",INDEX(Array_StationaryChargeData,ROW()-36,COLUMN()*2-3))</f>
        <v/>
      </c>
      <c r="L151" t="str" cm="1">
        <f>IF(ISBLANK(INDEX(Array_StationaryChargeData,ROW()-36,COLUMN()*2-3)),"",INDEX(Array_StationaryChargeData,ROW()-36,COLUMN()*2-3))</f>
        <v/>
      </c>
      <c r="M151" t="str" cm="1">
        <f>IF(ISBLANK(INDEX(Array_StationaryChargeData,ROW()-36,COLUMN()*2-3)),"",INDEX(Array_StationaryChargeData,ROW()-36,COLUMN()*2-3))</f>
        <v/>
      </c>
      <c r="N151" t="str" cm="1">
        <f>IF(ISBLANK(INDEX(Array_StationaryChargeData,ROW()-36,COLUMN()*2-3)),"",INDEX(Array_StationaryChargeData,ROW()-36,COLUMN()*2-3))</f>
        <v/>
      </c>
      <c r="O151" t="str" cm="1">
        <f>IF(ISBLANK(INDEX(Array_StationaryChargeData,ROW()-36,COLUMN()*2-3)),"",INDEX(Array_StationaryChargeData,ROW()-36,COLUMN()*2-3))</f>
        <v/>
      </c>
      <c r="P151" t="str" cm="1">
        <f>IF(ISBLANK(INDEX(Array_StationaryChargeData,ROW()-36,COLUMN()*2-3)),"",INDEX(Array_StationaryChargeData,ROW()-36,COLUMN()*2-3))</f>
        <v/>
      </c>
    </row>
    <row r="152" spans="1:16" x14ac:dyDescent="0.35">
      <c r="A152" t="str">
        <f>IF('Stationary Fuel Meters'!B118="",A151,'Stationary Fuel Meters'!B118)</f>
        <v>Meter Numbers</v>
      </c>
      <c r="B152" t="str" cm="1">
        <f>IF(ISBLANK(INDEX(Array_StationaryChargeData,ROW()-36,COLUMN()*2-3)),"",INDEX(Array_StationaryChargeData,ROW()-36,COLUMN()*2-3))</f>
        <v/>
      </c>
      <c r="C152" t="str" cm="1">
        <f>IF(ISBLANK(INDEX(Array_StationaryChargeData,ROW()-36,COLUMN()*2-3)),"",INDEX(Array_StationaryChargeData,ROW()-36,COLUMN()*2-3))</f>
        <v/>
      </c>
      <c r="D152" t="str" cm="1">
        <f>IF(ISBLANK(INDEX(Array_StationaryChargeData,ROW()-36,COLUMN()*2-3)),"",INDEX(Array_StationaryChargeData,ROW()-36,COLUMN()*2-3))</f>
        <v/>
      </c>
      <c r="E152" t="str" cm="1">
        <f>IF(ISBLANK(INDEX(Array_StationaryChargeData,ROW()-36,COLUMN()*2-3)),"",INDEX(Array_StationaryChargeData,ROW()-36,COLUMN()*2-3))</f>
        <v/>
      </c>
      <c r="F152" t="str" cm="1">
        <f>IF(ISBLANK(INDEX(Array_StationaryChargeData,ROW()-36,COLUMN()*2-3)),"",INDEX(Array_StationaryChargeData,ROW()-36,COLUMN()*2-3))</f>
        <v/>
      </c>
      <c r="G152" t="str" cm="1">
        <f>IF(ISBLANK(INDEX(Array_StationaryChargeData,ROW()-36,COLUMN()*2-3)),"",INDEX(Array_StationaryChargeData,ROW()-36,COLUMN()*2-3))</f>
        <v/>
      </c>
      <c r="H152" t="str" cm="1">
        <f>IF(ISBLANK(INDEX(Array_StationaryChargeData,ROW()-36,COLUMN()*2-3)),"",INDEX(Array_StationaryChargeData,ROW()-36,COLUMN()*2-3))</f>
        <v/>
      </c>
      <c r="I152" t="str" cm="1">
        <f>IF(ISBLANK(INDEX(Array_StationaryChargeData,ROW()-36,COLUMN()*2-3)),"",INDEX(Array_StationaryChargeData,ROW()-36,COLUMN()*2-3))</f>
        <v/>
      </c>
      <c r="J152" t="str" cm="1">
        <f>IF(ISBLANK(INDEX(Array_StationaryChargeData,ROW()-36,COLUMN()*2-3)),"",INDEX(Array_StationaryChargeData,ROW()-36,COLUMN()*2-3))</f>
        <v/>
      </c>
      <c r="K152" t="str" cm="1">
        <f>IF(ISBLANK(INDEX(Array_StationaryChargeData,ROW()-36,COLUMN()*2-3)),"",INDEX(Array_StationaryChargeData,ROW()-36,COLUMN()*2-3))</f>
        <v/>
      </c>
      <c r="L152" t="str" cm="1">
        <f>IF(ISBLANK(INDEX(Array_StationaryChargeData,ROW()-36,COLUMN()*2-3)),"",INDEX(Array_StationaryChargeData,ROW()-36,COLUMN()*2-3))</f>
        <v/>
      </c>
      <c r="M152" t="str" cm="1">
        <f>IF(ISBLANK(INDEX(Array_StationaryChargeData,ROW()-36,COLUMN()*2-3)),"",INDEX(Array_StationaryChargeData,ROW()-36,COLUMN()*2-3))</f>
        <v/>
      </c>
      <c r="N152" t="str" cm="1">
        <f>IF(ISBLANK(INDEX(Array_StationaryChargeData,ROW()-36,COLUMN()*2-3)),"",INDEX(Array_StationaryChargeData,ROW()-36,COLUMN()*2-3))</f>
        <v/>
      </c>
      <c r="O152" t="str" cm="1">
        <f>IF(ISBLANK(INDEX(Array_StationaryChargeData,ROW()-36,COLUMN()*2-3)),"",INDEX(Array_StationaryChargeData,ROW()-36,COLUMN()*2-3))</f>
        <v/>
      </c>
      <c r="P152" t="str" cm="1">
        <f>IF(ISBLANK(INDEX(Array_StationaryChargeData,ROW()-36,COLUMN()*2-3)),"",INDEX(Array_StationaryChargeData,ROW()-36,COLUMN()*2-3))</f>
        <v/>
      </c>
    </row>
    <row r="153" spans="1:16" x14ac:dyDescent="0.35">
      <c r="A153" t="str">
        <f>IF('Stationary Fuel Meters'!B119="",A152,'Stationary Fuel Meters'!B119)</f>
        <v>Meter Numbers</v>
      </c>
      <c r="B153" t="str" cm="1">
        <f>IF(ISBLANK(INDEX(Array_StationaryChargeData,ROW()-36,COLUMN()*2-3)),"",INDEX(Array_StationaryChargeData,ROW()-36,COLUMN()*2-3))</f>
        <v/>
      </c>
      <c r="C153" t="str" cm="1">
        <f>IF(ISBLANK(INDEX(Array_StationaryChargeData,ROW()-36,COLUMN()*2-3)),"",INDEX(Array_StationaryChargeData,ROW()-36,COLUMN()*2-3))</f>
        <v/>
      </c>
      <c r="D153" t="str" cm="1">
        <f>IF(ISBLANK(INDEX(Array_StationaryChargeData,ROW()-36,COLUMN()*2-3)),"",INDEX(Array_StationaryChargeData,ROW()-36,COLUMN()*2-3))</f>
        <v/>
      </c>
      <c r="E153" t="str" cm="1">
        <f>IF(ISBLANK(INDEX(Array_StationaryChargeData,ROW()-36,COLUMN()*2-3)),"",INDEX(Array_StationaryChargeData,ROW()-36,COLUMN()*2-3))</f>
        <v/>
      </c>
      <c r="F153" t="str" cm="1">
        <f>IF(ISBLANK(INDEX(Array_StationaryChargeData,ROW()-36,COLUMN()*2-3)),"",INDEX(Array_StationaryChargeData,ROW()-36,COLUMN()*2-3))</f>
        <v/>
      </c>
      <c r="G153" t="str" cm="1">
        <f>IF(ISBLANK(INDEX(Array_StationaryChargeData,ROW()-36,COLUMN()*2-3)),"",INDEX(Array_StationaryChargeData,ROW()-36,COLUMN()*2-3))</f>
        <v/>
      </c>
      <c r="H153" t="str" cm="1">
        <f>IF(ISBLANK(INDEX(Array_StationaryChargeData,ROW()-36,COLUMN()*2-3)),"",INDEX(Array_StationaryChargeData,ROW()-36,COLUMN()*2-3))</f>
        <v/>
      </c>
      <c r="I153" t="str" cm="1">
        <f>IF(ISBLANK(INDEX(Array_StationaryChargeData,ROW()-36,COLUMN()*2-3)),"",INDEX(Array_StationaryChargeData,ROW()-36,COLUMN()*2-3))</f>
        <v/>
      </c>
      <c r="J153" t="str" cm="1">
        <f>IF(ISBLANK(INDEX(Array_StationaryChargeData,ROW()-36,COLUMN()*2-3)),"",INDEX(Array_StationaryChargeData,ROW()-36,COLUMN()*2-3))</f>
        <v/>
      </c>
      <c r="K153" t="str" cm="1">
        <f>IF(ISBLANK(INDEX(Array_StationaryChargeData,ROW()-36,COLUMN()*2-3)),"",INDEX(Array_StationaryChargeData,ROW()-36,COLUMN()*2-3))</f>
        <v/>
      </c>
      <c r="L153" t="str" cm="1">
        <f>IF(ISBLANK(INDEX(Array_StationaryChargeData,ROW()-36,COLUMN()*2-3)),"",INDEX(Array_StationaryChargeData,ROW()-36,COLUMN()*2-3))</f>
        <v/>
      </c>
      <c r="M153" t="str" cm="1">
        <f>IF(ISBLANK(INDEX(Array_StationaryChargeData,ROW()-36,COLUMN()*2-3)),"",INDEX(Array_StationaryChargeData,ROW()-36,COLUMN()*2-3))</f>
        <v/>
      </c>
      <c r="N153" t="str" cm="1">
        <f>IF(ISBLANK(INDEX(Array_StationaryChargeData,ROW()-36,COLUMN()*2-3)),"",INDEX(Array_StationaryChargeData,ROW()-36,COLUMN()*2-3))</f>
        <v/>
      </c>
      <c r="O153" t="str" cm="1">
        <f>IF(ISBLANK(INDEX(Array_StationaryChargeData,ROW()-36,COLUMN()*2-3)),"",INDEX(Array_StationaryChargeData,ROW()-36,COLUMN()*2-3))</f>
        <v/>
      </c>
      <c r="P153" t="str" cm="1">
        <f>IF(ISBLANK(INDEX(Array_StationaryChargeData,ROW()-36,COLUMN()*2-3)),"",INDEX(Array_StationaryChargeData,ROW()-36,COLUMN()*2-3))</f>
        <v/>
      </c>
    </row>
    <row r="154" spans="1:16" x14ac:dyDescent="0.35">
      <c r="A154" t="str">
        <f>IF('Stationary Fuel Meters'!B120="",A153,'Stationary Fuel Meters'!B120)</f>
        <v>Meter Numbers</v>
      </c>
      <c r="B154" t="str" cm="1">
        <f>IF(ISBLANK(INDEX(Array_StationaryChargeData,ROW()-36,COLUMN()*2-3)),"",INDEX(Array_StationaryChargeData,ROW()-36,COLUMN()*2-3))</f>
        <v/>
      </c>
      <c r="C154" t="str" cm="1">
        <f>IF(ISBLANK(INDEX(Array_StationaryChargeData,ROW()-36,COLUMN()*2-3)),"",INDEX(Array_StationaryChargeData,ROW()-36,COLUMN()*2-3))</f>
        <v/>
      </c>
      <c r="D154" t="str" cm="1">
        <f>IF(ISBLANK(INDEX(Array_StationaryChargeData,ROW()-36,COLUMN()*2-3)),"",INDEX(Array_StationaryChargeData,ROW()-36,COLUMN()*2-3))</f>
        <v/>
      </c>
      <c r="E154" t="str" cm="1">
        <f>IF(ISBLANK(INDEX(Array_StationaryChargeData,ROW()-36,COLUMN()*2-3)),"",INDEX(Array_StationaryChargeData,ROW()-36,COLUMN()*2-3))</f>
        <v/>
      </c>
      <c r="F154" t="str" cm="1">
        <f>IF(ISBLANK(INDEX(Array_StationaryChargeData,ROW()-36,COLUMN()*2-3)),"",INDEX(Array_StationaryChargeData,ROW()-36,COLUMN()*2-3))</f>
        <v/>
      </c>
      <c r="G154" t="str" cm="1">
        <f>IF(ISBLANK(INDEX(Array_StationaryChargeData,ROW()-36,COLUMN()*2-3)),"",INDEX(Array_StationaryChargeData,ROW()-36,COLUMN()*2-3))</f>
        <v/>
      </c>
      <c r="H154" t="str" cm="1">
        <f>IF(ISBLANK(INDEX(Array_StationaryChargeData,ROW()-36,COLUMN()*2-3)),"",INDEX(Array_StationaryChargeData,ROW()-36,COLUMN()*2-3))</f>
        <v/>
      </c>
      <c r="I154" t="str" cm="1">
        <f>IF(ISBLANK(INDEX(Array_StationaryChargeData,ROW()-36,COLUMN()*2-3)),"",INDEX(Array_StationaryChargeData,ROW()-36,COLUMN()*2-3))</f>
        <v/>
      </c>
      <c r="J154" t="str" cm="1">
        <f>IF(ISBLANK(INDEX(Array_StationaryChargeData,ROW()-36,COLUMN()*2-3)),"",INDEX(Array_StationaryChargeData,ROW()-36,COLUMN()*2-3))</f>
        <v/>
      </c>
      <c r="K154" t="str" cm="1">
        <f>IF(ISBLANK(INDEX(Array_StationaryChargeData,ROW()-36,COLUMN()*2-3)),"",INDEX(Array_StationaryChargeData,ROW()-36,COLUMN()*2-3))</f>
        <v/>
      </c>
      <c r="L154" t="str" cm="1">
        <f>IF(ISBLANK(INDEX(Array_StationaryChargeData,ROW()-36,COLUMN()*2-3)),"",INDEX(Array_StationaryChargeData,ROW()-36,COLUMN()*2-3))</f>
        <v/>
      </c>
      <c r="M154" t="str" cm="1">
        <f>IF(ISBLANK(INDEX(Array_StationaryChargeData,ROW()-36,COLUMN()*2-3)),"",INDEX(Array_StationaryChargeData,ROW()-36,COLUMN()*2-3))</f>
        <v/>
      </c>
      <c r="N154" t="str" cm="1">
        <f>IF(ISBLANK(INDEX(Array_StationaryChargeData,ROW()-36,COLUMN()*2-3)),"",INDEX(Array_StationaryChargeData,ROW()-36,COLUMN()*2-3))</f>
        <v/>
      </c>
      <c r="O154" t="str" cm="1">
        <f>IF(ISBLANK(INDEX(Array_StationaryChargeData,ROW()-36,COLUMN()*2-3)),"",INDEX(Array_StationaryChargeData,ROW()-36,COLUMN()*2-3))</f>
        <v/>
      </c>
      <c r="P154" t="str" cm="1">
        <f>IF(ISBLANK(INDEX(Array_StationaryChargeData,ROW()-36,COLUMN()*2-3)),"",INDEX(Array_StationaryChargeData,ROW()-36,COLUMN()*2-3))</f>
        <v/>
      </c>
    </row>
    <row r="155" spans="1:16" x14ac:dyDescent="0.35">
      <c r="A155" t="str">
        <f>IF('Stationary Fuel Meters'!B121="",A154,'Stationary Fuel Meters'!B121)</f>
        <v>Meter Numbers</v>
      </c>
      <c r="B155" t="str" cm="1">
        <f>IF(ISBLANK(INDEX(Array_StationaryChargeData,ROW()-36,COLUMN()*2-3)),"",INDEX(Array_StationaryChargeData,ROW()-36,COLUMN()*2-3))</f>
        <v/>
      </c>
      <c r="C155" t="str" cm="1">
        <f>IF(ISBLANK(INDEX(Array_StationaryChargeData,ROW()-36,COLUMN()*2-3)),"",INDEX(Array_StationaryChargeData,ROW()-36,COLUMN()*2-3))</f>
        <v/>
      </c>
      <c r="D155" t="str" cm="1">
        <f>IF(ISBLANK(INDEX(Array_StationaryChargeData,ROW()-36,COLUMN()*2-3)),"",INDEX(Array_StationaryChargeData,ROW()-36,COLUMN()*2-3))</f>
        <v/>
      </c>
      <c r="E155" t="str" cm="1">
        <f>IF(ISBLANK(INDEX(Array_StationaryChargeData,ROW()-36,COLUMN()*2-3)),"",INDEX(Array_StationaryChargeData,ROW()-36,COLUMN()*2-3))</f>
        <v/>
      </c>
      <c r="F155" t="str" cm="1">
        <f>IF(ISBLANK(INDEX(Array_StationaryChargeData,ROW()-36,COLUMN()*2-3)),"",INDEX(Array_StationaryChargeData,ROW()-36,COLUMN()*2-3))</f>
        <v/>
      </c>
      <c r="G155" t="str" cm="1">
        <f>IF(ISBLANK(INDEX(Array_StationaryChargeData,ROW()-36,COLUMN()*2-3)),"",INDEX(Array_StationaryChargeData,ROW()-36,COLUMN()*2-3))</f>
        <v/>
      </c>
      <c r="H155" t="str" cm="1">
        <f>IF(ISBLANK(INDEX(Array_StationaryChargeData,ROW()-36,COLUMN()*2-3)),"",INDEX(Array_StationaryChargeData,ROW()-36,COLUMN()*2-3))</f>
        <v/>
      </c>
      <c r="I155" t="str" cm="1">
        <f>IF(ISBLANK(INDEX(Array_StationaryChargeData,ROW()-36,COLUMN()*2-3)),"",INDEX(Array_StationaryChargeData,ROW()-36,COLUMN()*2-3))</f>
        <v/>
      </c>
      <c r="J155" t="str" cm="1">
        <f>IF(ISBLANK(INDEX(Array_StationaryChargeData,ROW()-36,COLUMN()*2-3)),"",INDEX(Array_StationaryChargeData,ROW()-36,COLUMN()*2-3))</f>
        <v/>
      </c>
      <c r="K155" t="str" cm="1">
        <f>IF(ISBLANK(INDEX(Array_StationaryChargeData,ROW()-36,COLUMN()*2-3)),"",INDEX(Array_StationaryChargeData,ROW()-36,COLUMN()*2-3))</f>
        <v/>
      </c>
      <c r="L155" t="str" cm="1">
        <f>IF(ISBLANK(INDEX(Array_StationaryChargeData,ROW()-36,COLUMN()*2-3)),"",INDEX(Array_StationaryChargeData,ROW()-36,COLUMN()*2-3))</f>
        <v/>
      </c>
      <c r="M155" t="str" cm="1">
        <f>IF(ISBLANK(INDEX(Array_StationaryChargeData,ROW()-36,COLUMN()*2-3)),"",INDEX(Array_StationaryChargeData,ROW()-36,COLUMN()*2-3))</f>
        <v/>
      </c>
      <c r="N155" t="str" cm="1">
        <f>IF(ISBLANK(INDEX(Array_StationaryChargeData,ROW()-36,COLUMN()*2-3)),"",INDEX(Array_StationaryChargeData,ROW()-36,COLUMN()*2-3))</f>
        <v/>
      </c>
      <c r="O155" t="str" cm="1">
        <f>IF(ISBLANK(INDEX(Array_StationaryChargeData,ROW()-36,COLUMN()*2-3)),"",INDEX(Array_StationaryChargeData,ROW()-36,COLUMN()*2-3))</f>
        <v/>
      </c>
      <c r="P155" t="str" cm="1">
        <f>IF(ISBLANK(INDEX(Array_StationaryChargeData,ROW()-36,COLUMN()*2-3)),"",INDEX(Array_StationaryChargeData,ROW()-36,COLUMN()*2-3))</f>
        <v/>
      </c>
    </row>
    <row r="156" spans="1:16" x14ac:dyDescent="0.35">
      <c r="A156" t="str">
        <f>IF('Stationary Fuel Meters'!B122="",A155,'Stationary Fuel Meters'!B122)</f>
        <v>Meter Numbers</v>
      </c>
      <c r="B156" t="str" cm="1">
        <f>IF(ISBLANK(INDEX(Array_StationaryChargeData,ROW()-36,COLUMN()*2-3)),"",INDEX(Array_StationaryChargeData,ROW()-36,COLUMN()*2-3))</f>
        <v/>
      </c>
      <c r="C156" t="str" cm="1">
        <f>IF(ISBLANK(INDEX(Array_StationaryChargeData,ROW()-36,COLUMN()*2-3)),"",INDEX(Array_StationaryChargeData,ROW()-36,COLUMN()*2-3))</f>
        <v/>
      </c>
      <c r="D156" t="str" cm="1">
        <f>IF(ISBLANK(INDEX(Array_StationaryChargeData,ROW()-36,COLUMN()*2-3)),"",INDEX(Array_StationaryChargeData,ROW()-36,COLUMN()*2-3))</f>
        <v/>
      </c>
      <c r="E156" t="str" cm="1">
        <f>IF(ISBLANK(INDEX(Array_StationaryChargeData,ROW()-36,COLUMN()*2-3)),"",INDEX(Array_StationaryChargeData,ROW()-36,COLUMN()*2-3))</f>
        <v/>
      </c>
      <c r="F156" t="str" cm="1">
        <f>IF(ISBLANK(INDEX(Array_StationaryChargeData,ROW()-36,COLUMN()*2-3)),"",INDEX(Array_StationaryChargeData,ROW()-36,COLUMN()*2-3))</f>
        <v/>
      </c>
      <c r="G156" t="str" cm="1">
        <f>IF(ISBLANK(INDEX(Array_StationaryChargeData,ROW()-36,COLUMN()*2-3)),"",INDEX(Array_StationaryChargeData,ROW()-36,COLUMN()*2-3))</f>
        <v/>
      </c>
      <c r="H156" t="str" cm="1">
        <f>IF(ISBLANK(INDEX(Array_StationaryChargeData,ROW()-36,COLUMN()*2-3)),"",INDEX(Array_StationaryChargeData,ROW()-36,COLUMN()*2-3))</f>
        <v/>
      </c>
      <c r="I156" t="str" cm="1">
        <f>IF(ISBLANK(INDEX(Array_StationaryChargeData,ROW()-36,COLUMN()*2-3)),"",INDEX(Array_StationaryChargeData,ROW()-36,COLUMN()*2-3))</f>
        <v/>
      </c>
      <c r="J156" t="str" cm="1">
        <f>IF(ISBLANK(INDEX(Array_StationaryChargeData,ROW()-36,COLUMN()*2-3)),"",INDEX(Array_StationaryChargeData,ROW()-36,COLUMN()*2-3))</f>
        <v/>
      </c>
      <c r="K156" t="str" cm="1">
        <f>IF(ISBLANK(INDEX(Array_StationaryChargeData,ROW()-36,COLUMN()*2-3)),"",INDEX(Array_StationaryChargeData,ROW()-36,COLUMN()*2-3))</f>
        <v/>
      </c>
      <c r="L156" t="str" cm="1">
        <f>IF(ISBLANK(INDEX(Array_StationaryChargeData,ROW()-36,COLUMN()*2-3)),"",INDEX(Array_StationaryChargeData,ROW()-36,COLUMN()*2-3))</f>
        <v/>
      </c>
      <c r="M156" t="str" cm="1">
        <f>IF(ISBLANK(INDEX(Array_StationaryChargeData,ROW()-36,COLUMN()*2-3)),"",INDEX(Array_StationaryChargeData,ROW()-36,COLUMN()*2-3))</f>
        <v/>
      </c>
      <c r="N156" t="str" cm="1">
        <f>IF(ISBLANK(INDEX(Array_StationaryChargeData,ROW()-36,COLUMN()*2-3)),"",INDEX(Array_StationaryChargeData,ROW()-36,COLUMN()*2-3))</f>
        <v/>
      </c>
      <c r="O156" t="str" cm="1">
        <f>IF(ISBLANK(INDEX(Array_StationaryChargeData,ROW()-36,COLUMN()*2-3)),"",INDEX(Array_StationaryChargeData,ROW()-36,COLUMN()*2-3))</f>
        <v/>
      </c>
      <c r="P156" t="str" cm="1">
        <f>IF(ISBLANK(INDEX(Array_StationaryChargeData,ROW()-36,COLUMN()*2-3)),"",INDEX(Array_StationaryChargeData,ROW()-36,COLUMN()*2-3))</f>
        <v/>
      </c>
    </row>
    <row r="157" spans="1:16" x14ac:dyDescent="0.35">
      <c r="A157" t="str">
        <f>IF('Stationary Fuel Meters'!B123="",A156,'Stationary Fuel Meters'!B123)</f>
        <v>Meter Numbers</v>
      </c>
      <c r="B157" t="str" cm="1">
        <f>IF(ISBLANK(INDEX(Array_StationaryChargeData,ROW()-36,COLUMN()*2-3)),"",INDEX(Array_StationaryChargeData,ROW()-36,COLUMN()*2-3))</f>
        <v/>
      </c>
      <c r="C157" t="str" cm="1">
        <f>IF(ISBLANK(INDEX(Array_StationaryChargeData,ROW()-36,COLUMN()*2-3)),"",INDEX(Array_StationaryChargeData,ROW()-36,COLUMN()*2-3))</f>
        <v/>
      </c>
      <c r="D157" t="str" cm="1">
        <f>IF(ISBLANK(INDEX(Array_StationaryChargeData,ROW()-36,COLUMN()*2-3)),"",INDEX(Array_StationaryChargeData,ROW()-36,COLUMN()*2-3))</f>
        <v/>
      </c>
      <c r="E157" t="str" cm="1">
        <f>IF(ISBLANK(INDEX(Array_StationaryChargeData,ROW()-36,COLUMN()*2-3)),"",INDEX(Array_StationaryChargeData,ROW()-36,COLUMN()*2-3))</f>
        <v/>
      </c>
      <c r="F157" t="str" cm="1">
        <f>IF(ISBLANK(INDEX(Array_StationaryChargeData,ROW()-36,COLUMN()*2-3)),"",INDEX(Array_StationaryChargeData,ROW()-36,COLUMN()*2-3))</f>
        <v/>
      </c>
      <c r="G157" t="str" cm="1">
        <f>IF(ISBLANK(INDEX(Array_StationaryChargeData,ROW()-36,COLUMN()*2-3)),"",INDEX(Array_StationaryChargeData,ROW()-36,COLUMN()*2-3))</f>
        <v/>
      </c>
      <c r="H157" t="str" cm="1">
        <f>IF(ISBLANK(INDEX(Array_StationaryChargeData,ROW()-36,COLUMN()*2-3)),"",INDEX(Array_StationaryChargeData,ROW()-36,COLUMN()*2-3))</f>
        <v/>
      </c>
      <c r="I157" t="str" cm="1">
        <f>IF(ISBLANK(INDEX(Array_StationaryChargeData,ROW()-36,COLUMN()*2-3)),"",INDEX(Array_StationaryChargeData,ROW()-36,COLUMN()*2-3))</f>
        <v/>
      </c>
      <c r="J157" t="str" cm="1">
        <f>IF(ISBLANK(INDEX(Array_StationaryChargeData,ROW()-36,COLUMN()*2-3)),"",INDEX(Array_StationaryChargeData,ROW()-36,COLUMN()*2-3))</f>
        <v/>
      </c>
      <c r="K157" t="str" cm="1">
        <f>IF(ISBLANK(INDEX(Array_StationaryChargeData,ROW()-36,COLUMN()*2-3)),"",INDEX(Array_StationaryChargeData,ROW()-36,COLUMN()*2-3))</f>
        <v/>
      </c>
      <c r="L157" t="str" cm="1">
        <f>IF(ISBLANK(INDEX(Array_StationaryChargeData,ROW()-36,COLUMN()*2-3)),"",INDEX(Array_StationaryChargeData,ROW()-36,COLUMN()*2-3))</f>
        <v/>
      </c>
      <c r="M157" t="str" cm="1">
        <f>IF(ISBLANK(INDEX(Array_StationaryChargeData,ROW()-36,COLUMN()*2-3)),"",INDEX(Array_StationaryChargeData,ROW()-36,COLUMN()*2-3))</f>
        <v/>
      </c>
      <c r="N157" t="str" cm="1">
        <f>IF(ISBLANK(INDEX(Array_StationaryChargeData,ROW()-36,COLUMN()*2-3)),"",INDEX(Array_StationaryChargeData,ROW()-36,COLUMN()*2-3))</f>
        <v/>
      </c>
      <c r="O157" t="str" cm="1">
        <f>IF(ISBLANK(INDEX(Array_StationaryChargeData,ROW()-36,COLUMN()*2-3)),"",INDEX(Array_StationaryChargeData,ROW()-36,COLUMN()*2-3))</f>
        <v/>
      </c>
      <c r="P157" t="str" cm="1">
        <f>IF(ISBLANK(INDEX(Array_StationaryChargeData,ROW()-36,COLUMN()*2-3)),"",INDEX(Array_StationaryChargeData,ROW()-36,COLUMN()*2-3))</f>
        <v/>
      </c>
    </row>
    <row r="158" spans="1:16" x14ac:dyDescent="0.35">
      <c r="A158" t="str">
        <f>IF('Stationary Fuel Meters'!B124="",A157,'Stationary Fuel Meters'!B124)</f>
        <v>Meter Numbers</v>
      </c>
      <c r="B158" t="str" cm="1">
        <f>IF(ISBLANK(INDEX(Array_StationaryChargeData,ROW()-36,COLUMN()*2-3)),"",INDEX(Array_StationaryChargeData,ROW()-36,COLUMN()*2-3))</f>
        <v/>
      </c>
      <c r="C158" t="str" cm="1">
        <f>IF(ISBLANK(INDEX(Array_StationaryChargeData,ROW()-36,COLUMN()*2-3)),"",INDEX(Array_StationaryChargeData,ROW()-36,COLUMN()*2-3))</f>
        <v/>
      </c>
      <c r="D158" t="str" cm="1">
        <f>IF(ISBLANK(INDEX(Array_StationaryChargeData,ROW()-36,COLUMN()*2-3)),"",INDEX(Array_StationaryChargeData,ROW()-36,COLUMN()*2-3))</f>
        <v/>
      </c>
      <c r="E158" t="str" cm="1">
        <f>IF(ISBLANK(INDEX(Array_StationaryChargeData,ROW()-36,COLUMN()*2-3)),"",INDEX(Array_StationaryChargeData,ROW()-36,COLUMN()*2-3))</f>
        <v/>
      </c>
      <c r="F158" t="str" cm="1">
        <f>IF(ISBLANK(INDEX(Array_StationaryChargeData,ROW()-36,COLUMN()*2-3)),"",INDEX(Array_StationaryChargeData,ROW()-36,COLUMN()*2-3))</f>
        <v/>
      </c>
      <c r="G158" t="str" cm="1">
        <f>IF(ISBLANK(INDEX(Array_StationaryChargeData,ROW()-36,COLUMN()*2-3)),"",INDEX(Array_StationaryChargeData,ROW()-36,COLUMN()*2-3))</f>
        <v/>
      </c>
      <c r="H158" t="str" cm="1">
        <f>IF(ISBLANK(INDEX(Array_StationaryChargeData,ROW()-36,COLUMN()*2-3)),"",INDEX(Array_StationaryChargeData,ROW()-36,COLUMN()*2-3))</f>
        <v/>
      </c>
      <c r="I158" t="str" cm="1">
        <f>IF(ISBLANK(INDEX(Array_StationaryChargeData,ROW()-36,COLUMN()*2-3)),"",INDEX(Array_StationaryChargeData,ROW()-36,COLUMN()*2-3))</f>
        <v/>
      </c>
      <c r="J158" t="str" cm="1">
        <f>IF(ISBLANK(INDEX(Array_StationaryChargeData,ROW()-36,COLUMN()*2-3)),"",INDEX(Array_StationaryChargeData,ROW()-36,COLUMN()*2-3))</f>
        <v/>
      </c>
      <c r="K158" t="str" cm="1">
        <f>IF(ISBLANK(INDEX(Array_StationaryChargeData,ROW()-36,COLUMN()*2-3)),"",INDEX(Array_StationaryChargeData,ROW()-36,COLUMN()*2-3))</f>
        <v/>
      </c>
      <c r="L158" t="str" cm="1">
        <f>IF(ISBLANK(INDEX(Array_StationaryChargeData,ROW()-36,COLUMN()*2-3)),"",INDEX(Array_StationaryChargeData,ROW()-36,COLUMN()*2-3))</f>
        <v/>
      </c>
      <c r="M158" t="str" cm="1">
        <f>IF(ISBLANK(INDEX(Array_StationaryChargeData,ROW()-36,COLUMN()*2-3)),"",INDEX(Array_StationaryChargeData,ROW()-36,COLUMN()*2-3))</f>
        <v/>
      </c>
      <c r="N158" t="str" cm="1">
        <f>IF(ISBLANK(INDEX(Array_StationaryChargeData,ROW()-36,COLUMN()*2-3)),"",INDEX(Array_StationaryChargeData,ROW()-36,COLUMN()*2-3))</f>
        <v/>
      </c>
      <c r="O158" t="str" cm="1">
        <f>IF(ISBLANK(INDEX(Array_StationaryChargeData,ROW()-36,COLUMN()*2-3)),"",INDEX(Array_StationaryChargeData,ROW()-36,COLUMN()*2-3))</f>
        <v/>
      </c>
      <c r="P158" t="str" cm="1">
        <f>IF(ISBLANK(INDEX(Array_StationaryChargeData,ROW()-36,COLUMN()*2-3)),"",INDEX(Array_StationaryChargeData,ROW()-36,COLUMN()*2-3))</f>
        <v/>
      </c>
    </row>
    <row r="159" spans="1:16" x14ac:dyDescent="0.35">
      <c r="A159" t="str">
        <f>IF('Stationary Fuel Meters'!B125="",A158,'Stationary Fuel Meters'!B125)</f>
        <v>Meter Numbers</v>
      </c>
      <c r="B159" t="str" cm="1">
        <f>IF(ISBLANK(INDEX(Array_StationaryChargeData,ROW()-36,COLUMN()*2-3)),"",INDEX(Array_StationaryChargeData,ROW()-36,COLUMN()*2-3))</f>
        <v/>
      </c>
      <c r="C159" t="str" cm="1">
        <f>IF(ISBLANK(INDEX(Array_StationaryChargeData,ROW()-36,COLUMN()*2-3)),"",INDEX(Array_StationaryChargeData,ROW()-36,COLUMN()*2-3))</f>
        <v/>
      </c>
      <c r="D159" t="str" cm="1">
        <f>IF(ISBLANK(INDEX(Array_StationaryChargeData,ROW()-36,COLUMN()*2-3)),"",INDEX(Array_StationaryChargeData,ROW()-36,COLUMN()*2-3))</f>
        <v/>
      </c>
      <c r="E159" t="str" cm="1">
        <f>IF(ISBLANK(INDEX(Array_StationaryChargeData,ROW()-36,COLUMN()*2-3)),"",INDEX(Array_StationaryChargeData,ROW()-36,COLUMN()*2-3))</f>
        <v/>
      </c>
      <c r="F159" t="str" cm="1">
        <f>IF(ISBLANK(INDEX(Array_StationaryChargeData,ROW()-36,COLUMN()*2-3)),"",INDEX(Array_StationaryChargeData,ROW()-36,COLUMN()*2-3))</f>
        <v/>
      </c>
      <c r="G159" t="str" cm="1">
        <f>IF(ISBLANK(INDEX(Array_StationaryChargeData,ROW()-36,COLUMN()*2-3)),"",INDEX(Array_StationaryChargeData,ROW()-36,COLUMN()*2-3))</f>
        <v/>
      </c>
      <c r="H159" t="str" cm="1">
        <f>IF(ISBLANK(INDEX(Array_StationaryChargeData,ROW()-36,COLUMN()*2-3)),"",INDEX(Array_StationaryChargeData,ROW()-36,COLUMN()*2-3))</f>
        <v/>
      </c>
      <c r="I159" t="str" cm="1">
        <f>IF(ISBLANK(INDEX(Array_StationaryChargeData,ROW()-36,COLUMN()*2-3)),"",INDEX(Array_StationaryChargeData,ROW()-36,COLUMN()*2-3))</f>
        <v/>
      </c>
      <c r="J159" t="str" cm="1">
        <f>IF(ISBLANK(INDEX(Array_StationaryChargeData,ROW()-36,COLUMN()*2-3)),"",INDEX(Array_StationaryChargeData,ROW()-36,COLUMN()*2-3))</f>
        <v/>
      </c>
      <c r="K159" t="str" cm="1">
        <f>IF(ISBLANK(INDEX(Array_StationaryChargeData,ROW()-36,COLUMN()*2-3)),"",INDEX(Array_StationaryChargeData,ROW()-36,COLUMN()*2-3))</f>
        <v/>
      </c>
      <c r="L159" t="str" cm="1">
        <f>IF(ISBLANK(INDEX(Array_StationaryChargeData,ROW()-36,COLUMN()*2-3)),"",INDEX(Array_StationaryChargeData,ROW()-36,COLUMN()*2-3))</f>
        <v/>
      </c>
      <c r="M159" t="str" cm="1">
        <f>IF(ISBLANK(INDEX(Array_StationaryChargeData,ROW()-36,COLUMN()*2-3)),"",INDEX(Array_StationaryChargeData,ROW()-36,COLUMN()*2-3))</f>
        <v/>
      </c>
      <c r="N159" t="str" cm="1">
        <f>IF(ISBLANK(INDEX(Array_StationaryChargeData,ROW()-36,COLUMN()*2-3)),"",INDEX(Array_StationaryChargeData,ROW()-36,COLUMN()*2-3))</f>
        <v/>
      </c>
      <c r="O159" t="str" cm="1">
        <f>IF(ISBLANK(INDEX(Array_StationaryChargeData,ROW()-36,COLUMN()*2-3)),"",INDEX(Array_StationaryChargeData,ROW()-36,COLUMN()*2-3))</f>
        <v/>
      </c>
      <c r="P159" t="str" cm="1">
        <f>IF(ISBLANK(INDEX(Array_StationaryChargeData,ROW()-36,COLUMN()*2-3)),"",INDEX(Array_StationaryChargeData,ROW()-36,COLUMN()*2-3))</f>
        <v/>
      </c>
    </row>
    <row r="160" spans="1:16" x14ac:dyDescent="0.35">
      <c r="A160" t="str">
        <f>IF('Stationary Fuel Meters'!B126="",A159,'Stationary Fuel Meters'!B126)</f>
        <v>Meter Numbers</v>
      </c>
      <c r="B160" t="str" cm="1">
        <f>IF(ISBLANK(INDEX(Array_StationaryChargeData,ROW()-36,COLUMN()*2-3)),"",INDEX(Array_StationaryChargeData,ROW()-36,COLUMN()*2-3))</f>
        <v/>
      </c>
      <c r="C160" t="str" cm="1">
        <f>IF(ISBLANK(INDEX(Array_StationaryChargeData,ROW()-36,COLUMN()*2-3)),"",INDEX(Array_StationaryChargeData,ROW()-36,COLUMN()*2-3))</f>
        <v/>
      </c>
      <c r="D160" t="str" cm="1">
        <f>IF(ISBLANK(INDEX(Array_StationaryChargeData,ROW()-36,COLUMN()*2-3)),"",INDEX(Array_StationaryChargeData,ROW()-36,COLUMN()*2-3))</f>
        <v/>
      </c>
      <c r="E160" t="str" cm="1">
        <f>IF(ISBLANK(INDEX(Array_StationaryChargeData,ROW()-36,COLUMN()*2-3)),"",INDEX(Array_StationaryChargeData,ROW()-36,COLUMN()*2-3))</f>
        <v/>
      </c>
      <c r="F160" t="str" cm="1">
        <f>IF(ISBLANK(INDEX(Array_StationaryChargeData,ROW()-36,COLUMN()*2-3)),"",INDEX(Array_StationaryChargeData,ROW()-36,COLUMN()*2-3))</f>
        <v/>
      </c>
      <c r="G160" t="str" cm="1">
        <f>IF(ISBLANK(INDEX(Array_StationaryChargeData,ROW()-36,COLUMN()*2-3)),"",INDEX(Array_StationaryChargeData,ROW()-36,COLUMN()*2-3))</f>
        <v/>
      </c>
      <c r="H160" t="str" cm="1">
        <f>IF(ISBLANK(INDEX(Array_StationaryChargeData,ROW()-36,COLUMN()*2-3)),"",INDEX(Array_StationaryChargeData,ROW()-36,COLUMN()*2-3))</f>
        <v/>
      </c>
      <c r="I160" t="str" cm="1">
        <f>IF(ISBLANK(INDEX(Array_StationaryChargeData,ROW()-36,COLUMN()*2-3)),"",INDEX(Array_StationaryChargeData,ROW()-36,COLUMN()*2-3))</f>
        <v/>
      </c>
      <c r="J160" t="str" cm="1">
        <f>IF(ISBLANK(INDEX(Array_StationaryChargeData,ROW()-36,COLUMN()*2-3)),"",INDEX(Array_StationaryChargeData,ROW()-36,COLUMN()*2-3))</f>
        <v/>
      </c>
      <c r="K160" t="str" cm="1">
        <f>IF(ISBLANK(INDEX(Array_StationaryChargeData,ROW()-36,COLUMN()*2-3)),"",INDEX(Array_StationaryChargeData,ROW()-36,COLUMN()*2-3))</f>
        <v/>
      </c>
      <c r="L160" t="str" cm="1">
        <f>IF(ISBLANK(INDEX(Array_StationaryChargeData,ROW()-36,COLUMN()*2-3)),"",INDEX(Array_StationaryChargeData,ROW()-36,COLUMN()*2-3))</f>
        <v/>
      </c>
      <c r="M160" t="str" cm="1">
        <f>IF(ISBLANK(INDEX(Array_StationaryChargeData,ROW()-36,COLUMN()*2-3)),"",INDEX(Array_StationaryChargeData,ROW()-36,COLUMN()*2-3))</f>
        <v/>
      </c>
      <c r="N160" t="str" cm="1">
        <f>IF(ISBLANK(INDEX(Array_StationaryChargeData,ROW()-36,COLUMN()*2-3)),"",INDEX(Array_StationaryChargeData,ROW()-36,COLUMN()*2-3))</f>
        <v/>
      </c>
      <c r="O160" t="str" cm="1">
        <f>IF(ISBLANK(INDEX(Array_StationaryChargeData,ROW()-36,COLUMN()*2-3)),"",INDEX(Array_StationaryChargeData,ROW()-36,COLUMN()*2-3))</f>
        <v/>
      </c>
      <c r="P160" t="str" cm="1">
        <f>IF(ISBLANK(INDEX(Array_StationaryChargeData,ROW()-36,COLUMN()*2-3)),"",INDEX(Array_StationaryChargeData,ROW()-36,COLUMN()*2-3))</f>
        <v/>
      </c>
    </row>
    <row r="161" spans="1:16" x14ac:dyDescent="0.35">
      <c r="A161" t="str">
        <f>IF('Stationary Fuel Meters'!B127="",A160,'Stationary Fuel Meters'!B127)</f>
        <v>Meter Numbers</v>
      </c>
      <c r="B161" t="str" cm="1">
        <f>IF(ISBLANK(INDEX(Array_StationaryChargeData,ROW()-36,COLUMN()*2-3)),"",INDEX(Array_StationaryChargeData,ROW()-36,COLUMN()*2-3))</f>
        <v/>
      </c>
      <c r="C161" t="str" cm="1">
        <f>IF(ISBLANK(INDEX(Array_StationaryChargeData,ROW()-36,COLUMN()*2-3)),"",INDEX(Array_StationaryChargeData,ROW()-36,COLUMN()*2-3))</f>
        <v/>
      </c>
      <c r="D161" t="str" cm="1">
        <f>IF(ISBLANK(INDEX(Array_StationaryChargeData,ROW()-36,COLUMN()*2-3)),"",INDEX(Array_StationaryChargeData,ROW()-36,COLUMN()*2-3))</f>
        <v/>
      </c>
      <c r="E161" t="str" cm="1">
        <f>IF(ISBLANK(INDEX(Array_StationaryChargeData,ROW()-36,COLUMN()*2-3)),"",INDEX(Array_StationaryChargeData,ROW()-36,COLUMN()*2-3))</f>
        <v/>
      </c>
      <c r="F161" t="str" cm="1">
        <f>IF(ISBLANK(INDEX(Array_StationaryChargeData,ROW()-36,COLUMN()*2-3)),"",INDEX(Array_StationaryChargeData,ROW()-36,COLUMN()*2-3))</f>
        <v/>
      </c>
      <c r="G161" t="str" cm="1">
        <f>IF(ISBLANK(INDEX(Array_StationaryChargeData,ROW()-36,COLUMN()*2-3)),"",INDEX(Array_StationaryChargeData,ROW()-36,COLUMN()*2-3))</f>
        <v/>
      </c>
      <c r="H161" t="str" cm="1">
        <f>IF(ISBLANK(INDEX(Array_StationaryChargeData,ROW()-36,COLUMN()*2-3)),"",INDEX(Array_StationaryChargeData,ROW()-36,COLUMN()*2-3))</f>
        <v/>
      </c>
      <c r="I161" t="str" cm="1">
        <f>IF(ISBLANK(INDEX(Array_StationaryChargeData,ROW()-36,COLUMN()*2-3)),"",INDEX(Array_StationaryChargeData,ROW()-36,COLUMN()*2-3))</f>
        <v/>
      </c>
      <c r="J161" t="str" cm="1">
        <f>IF(ISBLANK(INDEX(Array_StationaryChargeData,ROW()-36,COLUMN()*2-3)),"",INDEX(Array_StationaryChargeData,ROW()-36,COLUMN()*2-3))</f>
        <v/>
      </c>
      <c r="K161" t="str" cm="1">
        <f>IF(ISBLANK(INDEX(Array_StationaryChargeData,ROW()-36,COLUMN()*2-3)),"",INDEX(Array_StationaryChargeData,ROW()-36,COLUMN()*2-3))</f>
        <v/>
      </c>
      <c r="L161" t="str" cm="1">
        <f>IF(ISBLANK(INDEX(Array_StationaryChargeData,ROW()-36,COLUMN()*2-3)),"",INDEX(Array_StationaryChargeData,ROW()-36,COLUMN()*2-3))</f>
        <v/>
      </c>
      <c r="M161" t="str" cm="1">
        <f>IF(ISBLANK(INDEX(Array_StationaryChargeData,ROW()-36,COLUMN()*2-3)),"",INDEX(Array_StationaryChargeData,ROW()-36,COLUMN()*2-3))</f>
        <v/>
      </c>
      <c r="N161" t="str" cm="1">
        <f>IF(ISBLANK(INDEX(Array_StationaryChargeData,ROW()-36,COLUMN()*2-3)),"",INDEX(Array_StationaryChargeData,ROW()-36,COLUMN()*2-3))</f>
        <v/>
      </c>
      <c r="O161" t="str" cm="1">
        <f>IF(ISBLANK(INDEX(Array_StationaryChargeData,ROW()-36,COLUMN()*2-3)),"",INDEX(Array_StationaryChargeData,ROW()-36,COLUMN()*2-3))</f>
        <v/>
      </c>
      <c r="P161" t="str" cm="1">
        <f>IF(ISBLANK(INDEX(Array_StationaryChargeData,ROW()-36,COLUMN()*2-3)),"",INDEX(Array_StationaryChargeData,ROW()-36,COLUMN()*2-3))</f>
        <v/>
      </c>
    </row>
    <row r="162" spans="1:16" x14ac:dyDescent="0.35">
      <c r="A162" t="str">
        <f>IF('Stationary Fuel Meters'!B128="",A161,'Stationary Fuel Meters'!B128)</f>
        <v>Meter Numbers</v>
      </c>
      <c r="B162" t="str" cm="1">
        <f>IF(ISBLANK(INDEX(Array_StationaryChargeData,ROW()-36,COLUMN()*2-3)),"",INDEX(Array_StationaryChargeData,ROW()-36,COLUMN()*2-3))</f>
        <v/>
      </c>
      <c r="C162" t="str" cm="1">
        <f>IF(ISBLANK(INDEX(Array_StationaryChargeData,ROW()-36,COLUMN()*2-3)),"",INDEX(Array_StationaryChargeData,ROW()-36,COLUMN()*2-3))</f>
        <v/>
      </c>
      <c r="D162" t="str" cm="1">
        <f>IF(ISBLANK(INDEX(Array_StationaryChargeData,ROW()-36,COLUMN()*2-3)),"",INDEX(Array_StationaryChargeData,ROW()-36,COLUMN()*2-3))</f>
        <v/>
      </c>
      <c r="E162" t="str" cm="1">
        <f>IF(ISBLANK(INDEX(Array_StationaryChargeData,ROW()-36,COLUMN()*2-3)),"",INDEX(Array_StationaryChargeData,ROW()-36,COLUMN()*2-3))</f>
        <v/>
      </c>
      <c r="F162" t="str" cm="1">
        <f>IF(ISBLANK(INDEX(Array_StationaryChargeData,ROW()-36,COLUMN()*2-3)),"",INDEX(Array_StationaryChargeData,ROW()-36,COLUMN()*2-3))</f>
        <v/>
      </c>
      <c r="G162" t="str" cm="1">
        <f>IF(ISBLANK(INDEX(Array_StationaryChargeData,ROW()-36,COLUMN()*2-3)),"",INDEX(Array_StationaryChargeData,ROW()-36,COLUMN()*2-3))</f>
        <v/>
      </c>
      <c r="H162" t="str" cm="1">
        <f>IF(ISBLANK(INDEX(Array_StationaryChargeData,ROW()-36,COLUMN()*2-3)),"",INDEX(Array_StationaryChargeData,ROW()-36,COLUMN()*2-3))</f>
        <v/>
      </c>
      <c r="I162" t="str" cm="1">
        <f>IF(ISBLANK(INDEX(Array_StationaryChargeData,ROW()-36,COLUMN()*2-3)),"",INDEX(Array_StationaryChargeData,ROW()-36,COLUMN()*2-3))</f>
        <v/>
      </c>
      <c r="J162" t="str" cm="1">
        <f>IF(ISBLANK(INDEX(Array_StationaryChargeData,ROW()-36,COLUMN()*2-3)),"",INDEX(Array_StationaryChargeData,ROW()-36,COLUMN()*2-3))</f>
        <v/>
      </c>
      <c r="K162" t="str" cm="1">
        <f>IF(ISBLANK(INDEX(Array_StationaryChargeData,ROW()-36,COLUMN()*2-3)),"",INDEX(Array_StationaryChargeData,ROW()-36,COLUMN()*2-3))</f>
        <v/>
      </c>
      <c r="L162" t="str" cm="1">
        <f>IF(ISBLANK(INDEX(Array_StationaryChargeData,ROW()-36,COLUMN()*2-3)),"",INDEX(Array_StationaryChargeData,ROW()-36,COLUMN()*2-3))</f>
        <v/>
      </c>
      <c r="M162" t="str" cm="1">
        <f>IF(ISBLANK(INDEX(Array_StationaryChargeData,ROW()-36,COLUMN()*2-3)),"",INDEX(Array_StationaryChargeData,ROW()-36,COLUMN()*2-3))</f>
        <v/>
      </c>
      <c r="N162" t="str" cm="1">
        <f>IF(ISBLANK(INDEX(Array_StationaryChargeData,ROW()-36,COLUMN()*2-3)),"",INDEX(Array_StationaryChargeData,ROW()-36,COLUMN()*2-3))</f>
        <v/>
      </c>
      <c r="O162" t="str" cm="1">
        <f>IF(ISBLANK(INDEX(Array_StationaryChargeData,ROW()-36,COLUMN()*2-3)),"",INDEX(Array_StationaryChargeData,ROW()-36,COLUMN()*2-3))</f>
        <v/>
      </c>
      <c r="P162" t="str" cm="1">
        <f>IF(ISBLANK(INDEX(Array_StationaryChargeData,ROW()-36,COLUMN()*2-3)),"",INDEX(Array_StationaryChargeData,ROW()-36,COLUMN()*2-3))</f>
        <v/>
      </c>
    </row>
    <row r="163" spans="1:16" x14ac:dyDescent="0.35">
      <c r="A163" t="str">
        <f>IF('Stationary Fuel Meters'!B129="",A162,'Stationary Fuel Meters'!B129)</f>
        <v>Meter Numbers</v>
      </c>
      <c r="B163" t="str" cm="1">
        <f>IF(ISBLANK(INDEX(Array_StationaryChargeData,ROW()-36,COLUMN()*2-3)),"",INDEX(Array_StationaryChargeData,ROW()-36,COLUMN()*2-3))</f>
        <v/>
      </c>
      <c r="C163" t="str" cm="1">
        <f>IF(ISBLANK(INDEX(Array_StationaryChargeData,ROW()-36,COLUMN()*2-3)),"",INDEX(Array_StationaryChargeData,ROW()-36,COLUMN()*2-3))</f>
        <v/>
      </c>
      <c r="D163" t="str" cm="1">
        <f>IF(ISBLANK(INDEX(Array_StationaryChargeData,ROW()-36,COLUMN()*2-3)),"",INDEX(Array_StationaryChargeData,ROW()-36,COLUMN()*2-3))</f>
        <v/>
      </c>
      <c r="E163" t="str" cm="1">
        <f>IF(ISBLANK(INDEX(Array_StationaryChargeData,ROW()-36,COLUMN()*2-3)),"",INDEX(Array_StationaryChargeData,ROW()-36,COLUMN()*2-3))</f>
        <v/>
      </c>
      <c r="F163" t="str" cm="1">
        <f>IF(ISBLANK(INDEX(Array_StationaryChargeData,ROW()-36,COLUMN()*2-3)),"",INDEX(Array_StationaryChargeData,ROW()-36,COLUMN()*2-3))</f>
        <v/>
      </c>
      <c r="G163" t="str" cm="1">
        <f>IF(ISBLANK(INDEX(Array_StationaryChargeData,ROW()-36,COLUMN()*2-3)),"",INDEX(Array_StationaryChargeData,ROW()-36,COLUMN()*2-3))</f>
        <v/>
      </c>
      <c r="H163" t="str" cm="1">
        <f>IF(ISBLANK(INDEX(Array_StationaryChargeData,ROW()-36,COLUMN()*2-3)),"",INDEX(Array_StationaryChargeData,ROW()-36,COLUMN()*2-3))</f>
        <v/>
      </c>
      <c r="I163" t="str" cm="1">
        <f>IF(ISBLANK(INDEX(Array_StationaryChargeData,ROW()-36,COLUMN()*2-3)),"",INDEX(Array_StationaryChargeData,ROW()-36,COLUMN()*2-3))</f>
        <v/>
      </c>
      <c r="J163" t="str" cm="1">
        <f>IF(ISBLANK(INDEX(Array_StationaryChargeData,ROW()-36,COLUMN()*2-3)),"",INDEX(Array_StationaryChargeData,ROW()-36,COLUMN()*2-3))</f>
        <v/>
      </c>
      <c r="K163" t="str" cm="1">
        <f>IF(ISBLANK(INDEX(Array_StationaryChargeData,ROW()-36,COLUMN()*2-3)),"",INDEX(Array_StationaryChargeData,ROW()-36,COLUMN()*2-3))</f>
        <v/>
      </c>
      <c r="L163" t="str" cm="1">
        <f>IF(ISBLANK(INDEX(Array_StationaryChargeData,ROW()-36,COLUMN()*2-3)),"",INDEX(Array_StationaryChargeData,ROW()-36,COLUMN()*2-3))</f>
        <v/>
      </c>
      <c r="M163" t="str" cm="1">
        <f>IF(ISBLANK(INDEX(Array_StationaryChargeData,ROW()-36,COLUMN()*2-3)),"",INDEX(Array_StationaryChargeData,ROW()-36,COLUMN()*2-3))</f>
        <v/>
      </c>
      <c r="N163" t="str" cm="1">
        <f>IF(ISBLANK(INDEX(Array_StationaryChargeData,ROW()-36,COLUMN()*2-3)),"",INDEX(Array_StationaryChargeData,ROW()-36,COLUMN()*2-3))</f>
        <v/>
      </c>
      <c r="O163" t="str" cm="1">
        <f>IF(ISBLANK(INDEX(Array_StationaryChargeData,ROW()-36,COLUMN()*2-3)),"",INDEX(Array_StationaryChargeData,ROW()-36,COLUMN()*2-3))</f>
        <v/>
      </c>
      <c r="P163" t="str" cm="1">
        <f>IF(ISBLANK(INDEX(Array_StationaryChargeData,ROW()-36,COLUMN()*2-3)),"",INDEX(Array_StationaryChargeData,ROW()-36,COLUMN()*2-3))</f>
        <v/>
      </c>
    </row>
    <row r="164" spans="1:16" x14ac:dyDescent="0.35">
      <c r="A164" t="str">
        <f>IF('Stationary Fuel Meters'!B130="",A163,'Stationary Fuel Meters'!B130)</f>
        <v>Meter Numbers</v>
      </c>
      <c r="B164" t="str" cm="1">
        <f>IF(ISBLANK(INDEX(Array_StationaryChargeData,ROW()-36,COLUMN()*2-3)),"",INDEX(Array_StationaryChargeData,ROW()-36,COLUMN()*2-3))</f>
        <v/>
      </c>
      <c r="C164" t="str" cm="1">
        <f>IF(ISBLANK(INDEX(Array_StationaryChargeData,ROW()-36,COLUMN()*2-3)),"",INDEX(Array_StationaryChargeData,ROW()-36,COLUMN()*2-3))</f>
        <v/>
      </c>
      <c r="D164" t="str" cm="1">
        <f>IF(ISBLANK(INDEX(Array_StationaryChargeData,ROW()-36,COLUMN()*2-3)),"",INDEX(Array_StationaryChargeData,ROW()-36,COLUMN()*2-3))</f>
        <v/>
      </c>
      <c r="E164" t="str" cm="1">
        <f>IF(ISBLANK(INDEX(Array_StationaryChargeData,ROW()-36,COLUMN()*2-3)),"",INDEX(Array_StationaryChargeData,ROW()-36,COLUMN()*2-3))</f>
        <v/>
      </c>
      <c r="F164" t="str" cm="1">
        <f>IF(ISBLANK(INDEX(Array_StationaryChargeData,ROW()-36,COLUMN()*2-3)),"",INDEX(Array_StationaryChargeData,ROW()-36,COLUMN()*2-3))</f>
        <v/>
      </c>
      <c r="G164" t="str" cm="1">
        <f>IF(ISBLANK(INDEX(Array_StationaryChargeData,ROW()-36,COLUMN()*2-3)),"",INDEX(Array_StationaryChargeData,ROW()-36,COLUMN()*2-3))</f>
        <v/>
      </c>
      <c r="H164" t="str" cm="1">
        <f>IF(ISBLANK(INDEX(Array_StationaryChargeData,ROW()-36,COLUMN()*2-3)),"",INDEX(Array_StationaryChargeData,ROW()-36,COLUMN()*2-3))</f>
        <v/>
      </c>
      <c r="I164" t="str" cm="1">
        <f>IF(ISBLANK(INDEX(Array_StationaryChargeData,ROW()-36,COLUMN()*2-3)),"",INDEX(Array_StationaryChargeData,ROW()-36,COLUMN()*2-3))</f>
        <v/>
      </c>
      <c r="J164" t="str" cm="1">
        <f>IF(ISBLANK(INDEX(Array_StationaryChargeData,ROW()-36,COLUMN()*2-3)),"",INDEX(Array_StationaryChargeData,ROW()-36,COLUMN()*2-3))</f>
        <v/>
      </c>
      <c r="K164" t="str" cm="1">
        <f>IF(ISBLANK(INDEX(Array_StationaryChargeData,ROW()-36,COLUMN()*2-3)),"",INDEX(Array_StationaryChargeData,ROW()-36,COLUMN()*2-3))</f>
        <v/>
      </c>
      <c r="L164" t="str" cm="1">
        <f>IF(ISBLANK(INDEX(Array_StationaryChargeData,ROW()-36,COLUMN()*2-3)),"",INDEX(Array_StationaryChargeData,ROW()-36,COLUMN()*2-3))</f>
        <v/>
      </c>
      <c r="M164" t="str" cm="1">
        <f>IF(ISBLANK(INDEX(Array_StationaryChargeData,ROW()-36,COLUMN()*2-3)),"",INDEX(Array_StationaryChargeData,ROW()-36,COLUMN()*2-3))</f>
        <v/>
      </c>
      <c r="N164" t="str" cm="1">
        <f>IF(ISBLANK(INDEX(Array_StationaryChargeData,ROW()-36,COLUMN()*2-3)),"",INDEX(Array_StationaryChargeData,ROW()-36,COLUMN()*2-3))</f>
        <v/>
      </c>
      <c r="O164" t="str" cm="1">
        <f>IF(ISBLANK(INDEX(Array_StationaryChargeData,ROW()-36,COLUMN()*2-3)),"",INDEX(Array_StationaryChargeData,ROW()-36,COLUMN()*2-3))</f>
        <v/>
      </c>
      <c r="P164" t="str" cm="1">
        <f>IF(ISBLANK(INDEX(Array_StationaryChargeData,ROW()-36,COLUMN()*2-3)),"",INDEX(Array_StationaryChargeData,ROW()-36,COLUMN()*2-3))</f>
        <v/>
      </c>
    </row>
    <row r="165" spans="1:16" x14ac:dyDescent="0.35">
      <c r="A165" t="str">
        <f>IF('Stationary Fuel Meters'!B131="",A164,'Stationary Fuel Meters'!B131)</f>
        <v>Meter Numbers</v>
      </c>
      <c r="B165" t="str" cm="1">
        <f>IF(ISBLANK(INDEX(Array_StationaryChargeData,ROW()-36,COLUMN()*2-3)),"",INDEX(Array_StationaryChargeData,ROW()-36,COLUMN()*2-3))</f>
        <v/>
      </c>
      <c r="C165" t="str" cm="1">
        <f>IF(ISBLANK(INDEX(Array_StationaryChargeData,ROW()-36,COLUMN()*2-3)),"",INDEX(Array_StationaryChargeData,ROW()-36,COLUMN()*2-3))</f>
        <v/>
      </c>
      <c r="D165" t="str" cm="1">
        <f>IF(ISBLANK(INDEX(Array_StationaryChargeData,ROW()-36,COLUMN()*2-3)),"",INDEX(Array_StationaryChargeData,ROW()-36,COLUMN()*2-3))</f>
        <v/>
      </c>
      <c r="E165" t="str" cm="1">
        <f>IF(ISBLANK(INDEX(Array_StationaryChargeData,ROW()-36,COLUMN()*2-3)),"",INDEX(Array_StationaryChargeData,ROW()-36,COLUMN()*2-3))</f>
        <v/>
      </c>
      <c r="F165" t="str" cm="1">
        <f>IF(ISBLANK(INDEX(Array_StationaryChargeData,ROW()-36,COLUMN()*2-3)),"",INDEX(Array_StationaryChargeData,ROW()-36,COLUMN()*2-3))</f>
        <v/>
      </c>
      <c r="G165" t="str" cm="1">
        <f>IF(ISBLANK(INDEX(Array_StationaryChargeData,ROW()-36,COLUMN()*2-3)),"",INDEX(Array_StationaryChargeData,ROW()-36,COLUMN()*2-3))</f>
        <v/>
      </c>
      <c r="H165" t="str" cm="1">
        <f>IF(ISBLANK(INDEX(Array_StationaryChargeData,ROW()-36,COLUMN()*2-3)),"",INDEX(Array_StationaryChargeData,ROW()-36,COLUMN()*2-3))</f>
        <v/>
      </c>
      <c r="I165" t="str" cm="1">
        <f>IF(ISBLANK(INDEX(Array_StationaryChargeData,ROW()-36,COLUMN()*2-3)),"",INDEX(Array_StationaryChargeData,ROW()-36,COLUMN()*2-3))</f>
        <v/>
      </c>
      <c r="J165" t="str" cm="1">
        <f>IF(ISBLANK(INDEX(Array_StationaryChargeData,ROW()-36,COLUMN()*2-3)),"",INDEX(Array_StationaryChargeData,ROW()-36,COLUMN()*2-3))</f>
        <v/>
      </c>
      <c r="K165" t="str" cm="1">
        <f>IF(ISBLANK(INDEX(Array_StationaryChargeData,ROW()-36,COLUMN()*2-3)),"",INDEX(Array_StationaryChargeData,ROW()-36,COLUMN()*2-3))</f>
        <v/>
      </c>
      <c r="L165" t="str" cm="1">
        <f>IF(ISBLANK(INDEX(Array_StationaryChargeData,ROW()-36,COLUMN()*2-3)),"",INDEX(Array_StationaryChargeData,ROW()-36,COLUMN()*2-3))</f>
        <v/>
      </c>
      <c r="M165" t="str" cm="1">
        <f>IF(ISBLANK(INDEX(Array_StationaryChargeData,ROW()-36,COLUMN()*2-3)),"",INDEX(Array_StationaryChargeData,ROW()-36,COLUMN()*2-3))</f>
        <v/>
      </c>
      <c r="N165" t="str" cm="1">
        <f>IF(ISBLANK(INDEX(Array_StationaryChargeData,ROW()-36,COLUMN()*2-3)),"",INDEX(Array_StationaryChargeData,ROW()-36,COLUMN()*2-3))</f>
        <v/>
      </c>
      <c r="O165" t="str" cm="1">
        <f>IF(ISBLANK(INDEX(Array_StationaryChargeData,ROW()-36,COLUMN()*2-3)),"",INDEX(Array_StationaryChargeData,ROW()-36,COLUMN()*2-3))</f>
        <v/>
      </c>
      <c r="P165" t="str" cm="1">
        <f>IF(ISBLANK(INDEX(Array_StationaryChargeData,ROW()-36,COLUMN()*2-3)),"",INDEX(Array_StationaryChargeData,ROW()-36,COLUMN()*2-3))</f>
        <v/>
      </c>
    </row>
    <row r="166" spans="1:16" x14ac:dyDescent="0.35">
      <c r="A166" t="str">
        <f>IF('Stationary Fuel Meters'!B132="",A165,'Stationary Fuel Meters'!B132)</f>
        <v>Meter Numbers</v>
      </c>
      <c r="B166" t="str" cm="1">
        <f>IF(ISBLANK(INDEX(Array_StationaryChargeData,ROW()-36,COLUMN()*2-3)),"",INDEX(Array_StationaryChargeData,ROW()-36,COLUMN()*2-3))</f>
        <v/>
      </c>
      <c r="C166" t="str" cm="1">
        <f>IF(ISBLANK(INDEX(Array_StationaryChargeData,ROW()-36,COLUMN()*2-3)),"",INDEX(Array_StationaryChargeData,ROW()-36,COLUMN()*2-3))</f>
        <v/>
      </c>
      <c r="D166" t="str" cm="1">
        <f>IF(ISBLANK(INDEX(Array_StationaryChargeData,ROW()-36,COLUMN()*2-3)),"",INDEX(Array_StationaryChargeData,ROW()-36,COLUMN()*2-3))</f>
        <v/>
      </c>
      <c r="E166" t="str" cm="1">
        <f>IF(ISBLANK(INDEX(Array_StationaryChargeData,ROW()-36,COLUMN()*2-3)),"",INDEX(Array_StationaryChargeData,ROW()-36,COLUMN()*2-3))</f>
        <v/>
      </c>
      <c r="F166" t="str" cm="1">
        <f>IF(ISBLANK(INDEX(Array_StationaryChargeData,ROW()-36,COLUMN()*2-3)),"",INDEX(Array_StationaryChargeData,ROW()-36,COLUMN()*2-3))</f>
        <v/>
      </c>
      <c r="G166" t="str" cm="1">
        <f>IF(ISBLANK(INDEX(Array_StationaryChargeData,ROW()-36,COLUMN()*2-3)),"",INDEX(Array_StationaryChargeData,ROW()-36,COLUMN()*2-3))</f>
        <v/>
      </c>
      <c r="H166" t="str" cm="1">
        <f>IF(ISBLANK(INDEX(Array_StationaryChargeData,ROW()-36,COLUMN()*2-3)),"",INDEX(Array_StationaryChargeData,ROW()-36,COLUMN()*2-3))</f>
        <v/>
      </c>
      <c r="I166" t="str" cm="1">
        <f>IF(ISBLANK(INDEX(Array_StationaryChargeData,ROW()-36,COLUMN()*2-3)),"",INDEX(Array_StationaryChargeData,ROW()-36,COLUMN()*2-3))</f>
        <v/>
      </c>
      <c r="J166" t="str" cm="1">
        <f>IF(ISBLANK(INDEX(Array_StationaryChargeData,ROW()-36,COLUMN()*2-3)),"",INDEX(Array_StationaryChargeData,ROW()-36,COLUMN()*2-3))</f>
        <v/>
      </c>
      <c r="K166" t="str" cm="1">
        <f>IF(ISBLANK(INDEX(Array_StationaryChargeData,ROW()-36,COLUMN()*2-3)),"",INDEX(Array_StationaryChargeData,ROW()-36,COLUMN()*2-3))</f>
        <v/>
      </c>
      <c r="L166" t="str" cm="1">
        <f>IF(ISBLANK(INDEX(Array_StationaryChargeData,ROW()-36,COLUMN()*2-3)),"",INDEX(Array_StationaryChargeData,ROW()-36,COLUMN()*2-3))</f>
        <v/>
      </c>
      <c r="M166" t="str" cm="1">
        <f>IF(ISBLANK(INDEX(Array_StationaryChargeData,ROW()-36,COLUMN()*2-3)),"",INDEX(Array_StationaryChargeData,ROW()-36,COLUMN()*2-3))</f>
        <v/>
      </c>
      <c r="N166" t="str" cm="1">
        <f>IF(ISBLANK(INDEX(Array_StationaryChargeData,ROW()-36,COLUMN()*2-3)),"",INDEX(Array_StationaryChargeData,ROW()-36,COLUMN()*2-3))</f>
        <v/>
      </c>
      <c r="O166" t="str" cm="1">
        <f>IF(ISBLANK(INDEX(Array_StationaryChargeData,ROW()-36,COLUMN()*2-3)),"",INDEX(Array_StationaryChargeData,ROW()-36,COLUMN()*2-3))</f>
        <v/>
      </c>
      <c r="P166" t="str" cm="1">
        <f>IF(ISBLANK(INDEX(Array_StationaryChargeData,ROW()-36,COLUMN()*2-3)),"",INDEX(Array_StationaryChargeData,ROW()-36,COLUMN()*2-3))</f>
        <v/>
      </c>
    </row>
    <row r="167" spans="1:16" x14ac:dyDescent="0.35">
      <c r="A167" t="str">
        <f>IF('Stationary Fuel Meters'!B133="",A166,'Stationary Fuel Meters'!B133)</f>
        <v>Meter Numbers</v>
      </c>
      <c r="B167" t="str" cm="1">
        <f>IF(ISBLANK(INDEX(Array_StationaryChargeData,ROW()-36,COLUMN()*2-3)),"",INDEX(Array_StationaryChargeData,ROW()-36,COLUMN()*2-3))</f>
        <v/>
      </c>
      <c r="C167" t="str" cm="1">
        <f>IF(ISBLANK(INDEX(Array_StationaryChargeData,ROW()-36,COLUMN()*2-3)),"",INDEX(Array_StationaryChargeData,ROW()-36,COLUMN()*2-3))</f>
        <v/>
      </c>
      <c r="D167" t="str" cm="1">
        <f>IF(ISBLANK(INDEX(Array_StationaryChargeData,ROW()-36,COLUMN()*2-3)),"",INDEX(Array_StationaryChargeData,ROW()-36,COLUMN()*2-3))</f>
        <v/>
      </c>
      <c r="E167" t="str" cm="1">
        <f>IF(ISBLANK(INDEX(Array_StationaryChargeData,ROW()-36,COLUMN()*2-3)),"",INDEX(Array_StationaryChargeData,ROW()-36,COLUMN()*2-3))</f>
        <v/>
      </c>
      <c r="F167" t="str" cm="1">
        <f>IF(ISBLANK(INDEX(Array_StationaryChargeData,ROW()-36,COLUMN()*2-3)),"",INDEX(Array_StationaryChargeData,ROW()-36,COLUMN()*2-3))</f>
        <v/>
      </c>
      <c r="G167" t="str" cm="1">
        <f>IF(ISBLANK(INDEX(Array_StationaryChargeData,ROW()-36,COLUMN()*2-3)),"",INDEX(Array_StationaryChargeData,ROW()-36,COLUMN()*2-3))</f>
        <v/>
      </c>
      <c r="H167" t="str" cm="1">
        <f>IF(ISBLANK(INDEX(Array_StationaryChargeData,ROW()-36,COLUMN()*2-3)),"",INDEX(Array_StationaryChargeData,ROW()-36,COLUMN()*2-3))</f>
        <v/>
      </c>
      <c r="I167" t="str" cm="1">
        <f>IF(ISBLANK(INDEX(Array_StationaryChargeData,ROW()-36,COLUMN()*2-3)),"",INDEX(Array_StationaryChargeData,ROW()-36,COLUMN()*2-3))</f>
        <v/>
      </c>
      <c r="J167" t="str" cm="1">
        <f>IF(ISBLANK(INDEX(Array_StationaryChargeData,ROW()-36,COLUMN()*2-3)),"",INDEX(Array_StationaryChargeData,ROW()-36,COLUMN()*2-3))</f>
        <v/>
      </c>
      <c r="K167" t="str" cm="1">
        <f>IF(ISBLANK(INDEX(Array_StationaryChargeData,ROW()-36,COLUMN()*2-3)),"",INDEX(Array_StationaryChargeData,ROW()-36,COLUMN()*2-3))</f>
        <v/>
      </c>
      <c r="L167" t="str" cm="1">
        <f>IF(ISBLANK(INDEX(Array_StationaryChargeData,ROW()-36,COLUMN()*2-3)),"",INDEX(Array_StationaryChargeData,ROW()-36,COLUMN()*2-3))</f>
        <v/>
      </c>
      <c r="M167" t="str" cm="1">
        <f>IF(ISBLANK(INDEX(Array_StationaryChargeData,ROW()-36,COLUMN()*2-3)),"",INDEX(Array_StationaryChargeData,ROW()-36,COLUMN()*2-3))</f>
        <v/>
      </c>
      <c r="N167" t="str" cm="1">
        <f>IF(ISBLANK(INDEX(Array_StationaryChargeData,ROW()-36,COLUMN()*2-3)),"",INDEX(Array_StationaryChargeData,ROW()-36,COLUMN()*2-3))</f>
        <v/>
      </c>
      <c r="O167" t="str" cm="1">
        <f>IF(ISBLANK(INDEX(Array_StationaryChargeData,ROW()-36,COLUMN()*2-3)),"",INDEX(Array_StationaryChargeData,ROW()-36,COLUMN()*2-3))</f>
        <v/>
      </c>
      <c r="P167" t="str" cm="1">
        <f>IF(ISBLANK(INDEX(Array_StationaryChargeData,ROW()-36,COLUMN()*2-3)),"",INDEX(Array_StationaryChargeData,ROW()-36,COLUMN()*2-3))</f>
        <v/>
      </c>
    </row>
    <row r="168" spans="1:16" x14ac:dyDescent="0.35">
      <c r="A168" t="str">
        <f>IF('Stationary Fuel Meters'!B134="",A167,'Stationary Fuel Meters'!B134)</f>
        <v>Meter Numbers</v>
      </c>
      <c r="B168" t="str" cm="1">
        <f>IF(ISBLANK(INDEX(Array_StationaryChargeData,ROW()-36,COLUMN()*2-3)),"",INDEX(Array_StationaryChargeData,ROW()-36,COLUMN()*2-3))</f>
        <v/>
      </c>
      <c r="C168" t="str" cm="1">
        <f>IF(ISBLANK(INDEX(Array_StationaryChargeData,ROW()-36,COLUMN()*2-3)),"",INDEX(Array_StationaryChargeData,ROW()-36,COLUMN()*2-3))</f>
        <v/>
      </c>
      <c r="D168" t="str" cm="1">
        <f>IF(ISBLANK(INDEX(Array_StationaryChargeData,ROW()-36,COLUMN()*2-3)),"",INDEX(Array_StationaryChargeData,ROW()-36,COLUMN()*2-3))</f>
        <v/>
      </c>
      <c r="E168" t="str" cm="1">
        <f>IF(ISBLANK(INDEX(Array_StationaryChargeData,ROW()-36,COLUMN()*2-3)),"",INDEX(Array_StationaryChargeData,ROW()-36,COLUMN()*2-3))</f>
        <v/>
      </c>
      <c r="F168" t="str" cm="1">
        <f>IF(ISBLANK(INDEX(Array_StationaryChargeData,ROW()-36,COLUMN()*2-3)),"",INDEX(Array_StationaryChargeData,ROW()-36,COLUMN()*2-3))</f>
        <v/>
      </c>
      <c r="G168" t="str" cm="1">
        <f>IF(ISBLANK(INDEX(Array_StationaryChargeData,ROW()-36,COLUMN()*2-3)),"",INDEX(Array_StationaryChargeData,ROW()-36,COLUMN()*2-3))</f>
        <v/>
      </c>
      <c r="H168" t="str" cm="1">
        <f>IF(ISBLANK(INDEX(Array_StationaryChargeData,ROW()-36,COLUMN()*2-3)),"",INDEX(Array_StationaryChargeData,ROW()-36,COLUMN()*2-3))</f>
        <v/>
      </c>
      <c r="I168" t="str" cm="1">
        <f>IF(ISBLANK(INDEX(Array_StationaryChargeData,ROW()-36,COLUMN()*2-3)),"",INDEX(Array_StationaryChargeData,ROW()-36,COLUMN()*2-3))</f>
        <v/>
      </c>
      <c r="J168" t="str" cm="1">
        <f>IF(ISBLANK(INDEX(Array_StationaryChargeData,ROW()-36,COLUMN()*2-3)),"",INDEX(Array_StationaryChargeData,ROW()-36,COLUMN()*2-3))</f>
        <v/>
      </c>
      <c r="K168" t="str" cm="1">
        <f>IF(ISBLANK(INDEX(Array_StationaryChargeData,ROW()-36,COLUMN()*2-3)),"",INDEX(Array_StationaryChargeData,ROW()-36,COLUMN()*2-3))</f>
        <v/>
      </c>
      <c r="L168" t="str" cm="1">
        <f>IF(ISBLANK(INDEX(Array_StationaryChargeData,ROW()-36,COLUMN()*2-3)),"",INDEX(Array_StationaryChargeData,ROW()-36,COLUMN()*2-3))</f>
        <v/>
      </c>
      <c r="M168" t="str" cm="1">
        <f>IF(ISBLANK(INDEX(Array_StationaryChargeData,ROW()-36,COLUMN()*2-3)),"",INDEX(Array_StationaryChargeData,ROW()-36,COLUMN()*2-3))</f>
        <v/>
      </c>
      <c r="N168" t="str" cm="1">
        <f>IF(ISBLANK(INDEX(Array_StationaryChargeData,ROW()-36,COLUMN()*2-3)),"",INDEX(Array_StationaryChargeData,ROW()-36,COLUMN()*2-3))</f>
        <v/>
      </c>
      <c r="O168" t="str" cm="1">
        <f>IF(ISBLANK(INDEX(Array_StationaryChargeData,ROW()-36,COLUMN()*2-3)),"",INDEX(Array_StationaryChargeData,ROW()-36,COLUMN()*2-3))</f>
        <v/>
      </c>
      <c r="P168" t="str" cm="1">
        <f>IF(ISBLANK(INDEX(Array_StationaryChargeData,ROW()-36,COLUMN()*2-3)),"",INDEX(Array_StationaryChargeData,ROW()-36,COLUMN()*2-3))</f>
        <v/>
      </c>
    </row>
    <row r="169" spans="1:16" x14ac:dyDescent="0.35">
      <c r="A169" t="str">
        <f>IF('Stationary Fuel Meters'!B135="",A168,'Stationary Fuel Meters'!B135)</f>
        <v>Meter Numbers</v>
      </c>
      <c r="B169" t="str" cm="1">
        <f>IF(ISBLANK(INDEX(Array_StationaryChargeData,ROW()-36,COLUMN()*2-3)),"",INDEX(Array_StationaryChargeData,ROW()-36,COLUMN()*2-3))</f>
        <v/>
      </c>
      <c r="C169" t="str" cm="1">
        <f>IF(ISBLANK(INDEX(Array_StationaryChargeData,ROW()-36,COLUMN()*2-3)),"",INDEX(Array_StationaryChargeData,ROW()-36,COLUMN()*2-3))</f>
        <v/>
      </c>
      <c r="D169" t="str" cm="1">
        <f>IF(ISBLANK(INDEX(Array_StationaryChargeData,ROW()-36,COLUMN()*2-3)),"",INDEX(Array_StationaryChargeData,ROW()-36,COLUMN()*2-3))</f>
        <v/>
      </c>
      <c r="E169" t="str" cm="1">
        <f>IF(ISBLANK(INDEX(Array_StationaryChargeData,ROW()-36,COLUMN()*2-3)),"",INDEX(Array_StationaryChargeData,ROW()-36,COLUMN()*2-3))</f>
        <v/>
      </c>
      <c r="F169" t="str" cm="1">
        <f>IF(ISBLANK(INDEX(Array_StationaryChargeData,ROW()-36,COLUMN()*2-3)),"",INDEX(Array_StationaryChargeData,ROW()-36,COLUMN()*2-3))</f>
        <v/>
      </c>
      <c r="G169" t="str" cm="1">
        <f>IF(ISBLANK(INDEX(Array_StationaryChargeData,ROW()-36,COLUMN()*2-3)),"",INDEX(Array_StationaryChargeData,ROW()-36,COLUMN()*2-3))</f>
        <v/>
      </c>
      <c r="H169" t="str" cm="1">
        <f>IF(ISBLANK(INDEX(Array_StationaryChargeData,ROW()-36,COLUMN()*2-3)),"",INDEX(Array_StationaryChargeData,ROW()-36,COLUMN()*2-3))</f>
        <v/>
      </c>
      <c r="I169" t="str" cm="1">
        <f>IF(ISBLANK(INDEX(Array_StationaryChargeData,ROW()-36,COLUMN()*2-3)),"",INDEX(Array_StationaryChargeData,ROW()-36,COLUMN()*2-3))</f>
        <v/>
      </c>
      <c r="J169" t="str" cm="1">
        <f>IF(ISBLANK(INDEX(Array_StationaryChargeData,ROW()-36,COLUMN()*2-3)),"",INDEX(Array_StationaryChargeData,ROW()-36,COLUMN()*2-3))</f>
        <v/>
      </c>
      <c r="K169" t="str" cm="1">
        <f>IF(ISBLANK(INDEX(Array_StationaryChargeData,ROW()-36,COLUMN()*2-3)),"",INDEX(Array_StationaryChargeData,ROW()-36,COLUMN()*2-3))</f>
        <v/>
      </c>
      <c r="L169" t="str" cm="1">
        <f>IF(ISBLANK(INDEX(Array_StationaryChargeData,ROW()-36,COLUMN()*2-3)),"",INDEX(Array_StationaryChargeData,ROW()-36,COLUMN()*2-3))</f>
        <v/>
      </c>
      <c r="M169" t="str" cm="1">
        <f>IF(ISBLANK(INDEX(Array_StationaryChargeData,ROW()-36,COLUMN()*2-3)),"",INDEX(Array_StationaryChargeData,ROW()-36,COLUMN()*2-3))</f>
        <v/>
      </c>
      <c r="N169" t="str" cm="1">
        <f>IF(ISBLANK(INDEX(Array_StationaryChargeData,ROW()-36,COLUMN()*2-3)),"",INDEX(Array_StationaryChargeData,ROW()-36,COLUMN()*2-3))</f>
        <v/>
      </c>
      <c r="O169" t="str" cm="1">
        <f>IF(ISBLANK(INDEX(Array_StationaryChargeData,ROW()-36,COLUMN()*2-3)),"",INDEX(Array_StationaryChargeData,ROW()-36,COLUMN()*2-3))</f>
        <v/>
      </c>
      <c r="P169" t="str" cm="1">
        <f>IF(ISBLANK(INDEX(Array_StationaryChargeData,ROW()-36,COLUMN()*2-3)),"",INDEX(Array_StationaryChargeData,ROW()-36,COLUMN()*2-3))</f>
        <v/>
      </c>
    </row>
    <row r="170" spans="1:16" x14ac:dyDescent="0.35">
      <c r="A170" t="str">
        <f>IF('Stationary Fuel Meters'!B136="",A169,'Stationary Fuel Meters'!B136)</f>
        <v>Meter Numbers</v>
      </c>
      <c r="B170" t="str" cm="1">
        <f>IF(ISBLANK(INDEX(Array_StationaryChargeData,ROW()-36,COLUMN()*2-3)),"",INDEX(Array_StationaryChargeData,ROW()-36,COLUMN()*2-3))</f>
        <v/>
      </c>
      <c r="C170" t="str" cm="1">
        <f>IF(ISBLANK(INDEX(Array_StationaryChargeData,ROW()-36,COLUMN()*2-3)),"",INDEX(Array_StationaryChargeData,ROW()-36,COLUMN()*2-3))</f>
        <v/>
      </c>
      <c r="D170" t="str" cm="1">
        <f>IF(ISBLANK(INDEX(Array_StationaryChargeData,ROW()-36,COLUMN()*2-3)),"",INDEX(Array_StationaryChargeData,ROW()-36,COLUMN()*2-3))</f>
        <v/>
      </c>
      <c r="E170" t="str" cm="1">
        <f>IF(ISBLANK(INDEX(Array_StationaryChargeData,ROW()-36,COLUMN()*2-3)),"",INDEX(Array_StationaryChargeData,ROW()-36,COLUMN()*2-3))</f>
        <v/>
      </c>
      <c r="F170" t="str" cm="1">
        <f>IF(ISBLANK(INDEX(Array_StationaryChargeData,ROW()-36,COLUMN()*2-3)),"",INDEX(Array_StationaryChargeData,ROW()-36,COLUMN()*2-3))</f>
        <v/>
      </c>
      <c r="G170" t="str" cm="1">
        <f>IF(ISBLANK(INDEX(Array_StationaryChargeData,ROW()-36,COLUMN()*2-3)),"",INDEX(Array_StationaryChargeData,ROW()-36,COLUMN()*2-3))</f>
        <v/>
      </c>
      <c r="H170" t="str" cm="1">
        <f>IF(ISBLANK(INDEX(Array_StationaryChargeData,ROW()-36,COLUMN()*2-3)),"",INDEX(Array_StationaryChargeData,ROW()-36,COLUMN()*2-3))</f>
        <v/>
      </c>
      <c r="I170" t="str" cm="1">
        <f>IF(ISBLANK(INDEX(Array_StationaryChargeData,ROW()-36,COLUMN()*2-3)),"",INDEX(Array_StationaryChargeData,ROW()-36,COLUMN()*2-3))</f>
        <v/>
      </c>
      <c r="J170" t="str" cm="1">
        <f>IF(ISBLANK(INDEX(Array_StationaryChargeData,ROW()-36,COLUMN()*2-3)),"",INDEX(Array_StationaryChargeData,ROW()-36,COLUMN()*2-3))</f>
        <v/>
      </c>
      <c r="K170" t="str" cm="1">
        <f>IF(ISBLANK(INDEX(Array_StationaryChargeData,ROW()-36,COLUMN()*2-3)),"",INDEX(Array_StationaryChargeData,ROW()-36,COLUMN()*2-3))</f>
        <v/>
      </c>
      <c r="L170" t="str" cm="1">
        <f>IF(ISBLANK(INDEX(Array_StationaryChargeData,ROW()-36,COLUMN()*2-3)),"",INDEX(Array_StationaryChargeData,ROW()-36,COLUMN()*2-3))</f>
        <v/>
      </c>
      <c r="M170" t="str" cm="1">
        <f>IF(ISBLANK(INDEX(Array_StationaryChargeData,ROW()-36,COLUMN()*2-3)),"",INDEX(Array_StationaryChargeData,ROW()-36,COLUMN()*2-3))</f>
        <v/>
      </c>
      <c r="N170" t="str" cm="1">
        <f>IF(ISBLANK(INDEX(Array_StationaryChargeData,ROW()-36,COLUMN()*2-3)),"",INDEX(Array_StationaryChargeData,ROW()-36,COLUMN()*2-3))</f>
        <v/>
      </c>
      <c r="O170" t="str" cm="1">
        <f>IF(ISBLANK(INDEX(Array_StationaryChargeData,ROW()-36,COLUMN()*2-3)),"",INDEX(Array_StationaryChargeData,ROW()-36,COLUMN()*2-3))</f>
        <v/>
      </c>
      <c r="P170" t="str" cm="1">
        <f>IF(ISBLANK(INDEX(Array_StationaryChargeData,ROW()-36,COLUMN()*2-3)),"",INDEX(Array_StationaryChargeData,ROW()-36,COLUMN()*2-3))</f>
        <v/>
      </c>
    </row>
    <row r="171" spans="1:16" x14ac:dyDescent="0.35">
      <c r="A171" t="str">
        <f>IF('Stationary Fuel Meters'!B137="",A170,'Stationary Fuel Meters'!B137)</f>
        <v>Meter Numbers</v>
      </c>
      <c r="B171" t="str" cm="1">
        <f>IF(ISBLANK(INDEX(Array_StationaryChargeData,ROW()-36,COLUMN()*2-3)),"",INDEX(Array_StationaryChargeData,ROW()-36,COLUMN()*2-3))</f>
        <v/>
      </c>
      <c r="C171" t="str" cm="1">
        <f>IF(ISBLANK(INDEX(Array_StationaryChargeData,ROW()-36,COLUMN()*2-3)),"",INDEX(Array_StationaryChargeData,ROW()-36,COLUMN()*2-3))</f>
        <v/>
      </c>
      <c r="D171" t="str" cm="1">
        <f>IF(ISBLANK(INDEX(Array_StationaryChargeData,ROW()-36,COLUMN()*2-3)),"",INDEX(Array_StationaryChargeData,ROW()-36,COLUMN()*2-3))</f>
        <v/>
      </c>
      <c r="E171" t="str" cm="1">
        <f>IF(ISBLANK(INDEX(Array_StationaryChargeData,ROW()-36,COLUMN()*2-3)),"",INDEX(Array_StationaryChargeData,ROW()-36,COLUMN()*2-3))</f>
        <v/>
      </c>
      <c r="F171" t="str" cm="1">
        <f>IF(ISBLANK(INDEX(Array_StationaryChargeData,ROW()-36,COLUMN()*2-3)),"",INDEX(Array_StationaryChargeData,ROW()-36,COLUMN()*2-3))</f>
        <v/>
      </c>
      <c r="G171" t="str" cm="1">
        <f>IF(ISBLANK(INDEX(Array_StationaryChargeData,ROW()-36,COLUMN()*2-3)),"",INDEX(Array_StationaryChargeData,ROW()-36,COLUMN()*2-3))</f>
        <v/>
      </c>
      <c r="H171" t="str" cm="1">
        <f>IF(ISBLANK(INDEX(Array_StationaryChargeData,ROW()-36,COLUMN()*2-3)),"",INDEX(Array_StationaryChargeData,ROW()-36,COLUMN()*2-3))</f>
        <v/>
      </c>
      <c r="I171" t="str" cm="1">
        <f>IF(ISBLANK(INDEX(Array_StationaryChargeData,ROW()-36,COLUMN()*2-3)),"",INDEX(Array_StationaryChargeData,ROW()-36,COLUMN()*2-3))</f>
        <v/>
      </c>
      <c r="J171" t="str" cm="1">
        <f>IF(ISBLANK(INDEX(Array_StationaryChargeData,ROW()-36,COLUMN()*2-3)),"",INDEX(Array_StationaryChargeData,ROW()-36,COLUMN()*2-3))</f>
        <v/>
      </c>
      <c r="K171" t="str" cm="1">
        <f>IF(ISBLANK(INDEX(Array_StationaryChargeData,ROW()-36,COLUMN()*2-3)),"",INDEX(Array_StationaryChargeData,ROW()-36,COLUMN()*2-3))</f>
        <v/>
      </c>
      <c r="L171" t="str" cm="1">
        <f>IF(ISBLANK(INDEX(Array_StationaryChargeData,ROW()-36,COLUMN()*2-3)),"",INDEX(Array_StationaryChargeData,ROW()-36,COLUMN()*2-3))</f>
        <v/>
      </c>
      <c r="M171" t="str" cm="1">
        <f>IF(ISBLANK(INDEX(Array_StationaryChargeData,ROW()-36,COLUMN()*2-3)),"",INDEX(Array_StationaryChargeData,ROW()-36,COLUMN()*2-3))</f>
        <v/>
      </c>
      <c r="N171" t="str" cm="1">
        <f>IF(ISBLANK(INDEX(Array_StationaryChargeData,ROW()-36,COLUMN()*2-3)),"",INDEX(Array_StationaryChargeData,ROW()-36,COLUMN()*2-3))</f>
        <v/>
      </c>
      <c r="O171" t="str" cm="1">
        <f>IF(ISBLANK(INDEX(Array_StationaryChargeData,ROW()-36,COLUMN()*2-3)),"",INDEX(Array_StationaryChargeData,ROW()-36,COLUMN()*2-3))</f>
        <v/>
      </c>
      <c r="P171" t="str" cm="1">
        <f>IF(ISBLANK(INDEX(Array_StationaryChargeData,ROW()-36,COLUMN()*2-3)),"",INDEX(Array_StationaryChargeData,ROW()-36,COLUMN()*2-3))</f>
        <v/>
      </c>
    </row>
    <row r="172" spans="1:16" x14ac:dyDescent="0.35">
      <c r="A172" t="str">
        <f>IF('Stationary Fuel Meters'!B138="",A171,'Stationary Fuel Meters'!B138)</f>
        <v>Meter Numbers</v>
      </c>
      <c r="B172" t="str" cm="1">
        <f>IF(ISBLANK(INDEX(Array_StationaryChargeData,ROW()-36,COLUMN()*2-3)),"",INDEX(Array_StationaryChargeData,ROW()-36,COLUMN()*2-3))</f>
        <v/>
      </c>
      <c r="C172" t="str" cm="1">
        <f>IF(ISBLANK(INDEX(Array_StationaryChargeData,ROW()-36,COLUMN()*2-3)),"",INDEX(Array_StationaryChargeData,ROW()-36,COLUMN()*2-3))</f>
        <v/>
      </c>
      <c r="D172" t="str" cm="1">
        <f>IF(ISBLANK(INDEX(Array_StationaryChargeData,ROW()-36,COLUMN()*2-3)),"",INDEX(Array_StationaryChargeData,ROW()-36,COLUMN()*2-3))</f>
        <v/>
      </c>
      <c r="E172" t="str" cm="1">
        <f>IF(ISBLANK(INDEX(Array_StationaryChargeData,ROW()-36,COLUMN()*2-3)),"",INDEX(Array_StationaryChargeData,ROW()-36,COLUMN()*2-3))</f>
        <v/>
      </c>
      <c r="F172" t="str" cm="1">
        <f>IF(ISBLANK(INDEX(Array_StationaryChargeData,ROW()-36,COLUMN()*2-3)),"",INDEX(Array_StationaryChargeData,ROW()-36,COLUMN()*2-3))</f>
        <v/>
      </c>
      <c r="G172" t="str" cm="1">
        <f>IF(ISBLANK(INDEX(Array_StationaryChargeData,ROW()-36,COLUMN()*2-3)),"",INDEX(Array_StationaryChargeData,ROW()-36,COLUMN()*2-3))</f>
        <v/>
      </c>
      <c r="H172" t="str" cm="1">
        <f>IF(ISBLANK(INDEX(Array_StationaryChargeData,ROW()-36,COLUMN()*2-3)),"",INDEX(Array_StationaryChargeData,ROW()-36,COLUMN()*2-3))</f>
        <v/>
      </c>
      <c r="I172" t="str" cm="1">
        <f>IF(ISBLANK(INDEX(Array_StationaryChargeData,ROW()-36,COLUMN()*2-3)),"",INDEX(Array_StationaryChargeData,ROW()-36,COLUMN()*2-3))</f>
        <v/>
      </c>
      <c r="J172" t="str" cm="1">
        <f>IF(ISBLANK(INDEX(Array_StationaryChargeData,ROW()-36,COLUMN()*2-3)),"",INDEX(Array_StationaryChargeData,ROW()-36,COLUMN()*2-3))</f>
        <v/>
      </c>
      <c r="K172" t="str" cm="1">
        <f>IF(ISBLANK(INDEX(Array_StationaryChargeData,ROW()-36,COLUMN()*2-3)),"",INDEX(Array_StationaryChargeData,ROW()-36,COLUMN()*2-3))</f>
        <v/>
      </c>
      <c r="L172" t="str" cm="1">
        <f>IF(ISBLANK(INDEX(Array_StationaryChargeData,ROW()-36,COLUMN()*2-3)),"",INDEX(Array_StationaryChargeData,ROW()-36,COLUMN()*2-3))</f>
        <v/>
      </c>
      <c r="M172" t="str" cm="1">
        <f>IF(ISBLANK(INDEX(Array_StationaryChargeData,ROW()-36,COLUMN()*2-3)),"",INDEX(Array_StationaryChargeData,ROW()-36,COLUMN()*2-3))</f>
        <v/>
      </c>
      <c r="N172" t="str" cm="1">
        <f>IF(ISBLANK(INDEX(Array_StationaryChargeData,ROW()-36,COLUMN()*2-3)),"",INDEX(Array_StationaryChargeData,ROW()-36,COLUMN()*2-3))</f>
        <v/>
      </c>
      <c r="O172" t="str" cm="1">
        <f>IF(ISBLANK(INDEX(Array_StationaryChargeData,ROW()-36,COLUMN()*2-3)),"",INDEX(Array_StationaryChargeData,ROW()-36,COLUMN()*2-3))</f>
        <v/>
      </c>
      <c r="P172" t="str" cm="1">
        <f>IF(ISBLANK(INDEX(Array_StationaryChargeData,ROW()-36,COLUMN()*2-3)),"",INDEX(Array_StationaryChargeData,ROW()-36,COLUMN()*2-3))</f>
        <v/>
      </c>
    </row>
    <row r="173" spans="1:16" x14ac:dyDescent="0.35">
      <c r="A173" t="str">
        <f>IF('Stationary Fuel Meters'!B139="",A172,'Stationary Fuel Meters'!B139)</f>
        <v>Meter Numbers</v>
      </c>
      <c r="B173" t="str" cm="1">
        <f>IF(ISBLANK(INDEX(Array_StationaryChargeData,ROW()-36,COLUMN()*2-3)),"",INDEX(Array_StationaryChargeData,ROW()-36,COLUMN()*2-3))</f>
        <v/>
      </c>
      <c r="C173" t="str" cm="1">
        <f>IF(ISBLANK(INDEX(Array_StationaryChargeData,ROW()-36,COLUMN()*2-3)),"",INDEX(Array_StationaryChargeData,ROW()-36,COLUMN()*2-3))</f>
        <v/>
      </c>
      <c r="D173" t="str" cm="1">
        <f>IF(ISBLANK(INDEX(Array_StationaryChargeData,ROW()-36,COLUMN()*2-3)),"",INDEX(Array_StationaryChargeData,ROW()-36,COLUMN()*2-3))</f>
        <v/>
      </c>
      <c r="E173" t="str" cm="1">
        <f>IF(ISBLANK(INDEX(Array_StationaryChargeData,ROW()-36,COLUMN()*2-3)),"",INDEX(Array_StationaryChargeData,ROW()-36,COLUMN()*2-3))</f>
        <v/>
      </c>
      <c r="F173" t="str" cm="1">
        <f>IF(ISBLANK(INDEX(Array_StationaryChargeData,ROW()-36,COLUMN()*2-3)),"",INDEX(Array_StationaryChargeData,ROW()-36,COLUMN()*2-3))</f>
        <v/>
      </c>
      <c r="G173" t="str" cm="1">
        <f>IF(ISBLANK(INDEX(Array_StationaryChargeData,ROW()-36,COLUMN()*2-3)),"",INDEX(Array_StationaryChargeData,ROW()-36,COLUMN()*2-3))</f>
        <v/>
      </c>
      <c r="H173" t="str" cm="1">
        <f>IF(ISBLANK(INDEX(Array_StationaryChargeData,ROW()-36,COLUMN()*2-3)),"",INDEX(Array_StationaryChargeData,ROW()-36,COLUMN()*2-3))</f>
        <v/>
      </c>
      <c r="I173" t="str" cm="1">
        <f>IF(ISBLANK(INDEX(Array_StationaryChargeData,ROW()-36,COLUMN()*2-3)),"",INDEX(Array_StationaryChargeData,ROW()-36,COLUMN()*2-3))</f>
        <v/>
      </c>
      <c r="J173" t="str" cm="1">
        <f>IF(ISBLANK(INDEX(Array_StationaryChargeData,ROW()-36,COLUMN()*2-3)),"",INDEX(Array_StationaryChargeData,ROW()-36,COLUMN()*2-3))</f>
        <v/>
      </c>
      <c r="K173" t="str" cm="1">
        <f>IF(ISBLANK(INDEX(Array_StationaryChargeData,ROW()-36,COLUMN()*2-3)),"",INDEX(Array_StationaryChargeData,ROW()-36,COLUMN()*2-3))</f>
        <v/>
      </c>
      <c r="L173" t="str" cm="1">
        <f>IF(ISBLANK(INDEX(Array_StationaryChargeData,ROW()-36,COLUMN()*2-3)),"",INDEX(Array_StationaryChargeData,ROW()-36,COLUMN()*2-3))</f>
        <v/>
      </c>
      <c r="M173" t="str" cm="1">
        <f>IF(ISBLANK(INDEX(Array_StationaryChargeData,ROW()-36,COLUMN()*2-3)),"",INDEX(Array_StationaryChargeData,ROW()-36,COLUMN()*2-3))</f>
        <v/>
      </c>
      <c r="N173" t="str" cm="1">
        <f>IF(ISBLANK(INDEX(Array_StationaryChargeData,ROW()-36,COLUMN()*2-3)),"",INDEX(Array_StationaryChargeData,ROW()-36,COLUMN()*2-3))</f>
        <v/>
      </c>
      <c r="O173" t="str" cm="1">
        <f>IF(ISBLANK(INDEX(Array_StationaryChargeData,ROW()-36,COLUMN()*2-3)),"",INDEX(Array_StationaryChargeData,ROW()-36,COLUMN()*2-3))</f>
        <v/>
      </c>
      <c r="P173" t="str" cm="1">
        <f>IF(ISBLANK(INDEX(Array_StationaryChargeData,ROW()-36,COLUMN()*2-3)),"",INDEX(Array_StationaryChargeData,ROW()-36,COLUMN()*2-3))</f>
        <v/>
      </c>
    </row>
    <row r="174" spans="1:16" x14ac:dyDescent="0.35">
      <c r="A174" t="str">
        <f>IF('Stationary Fuel Meters'!B140="",A173,'Stationary Fuel Meters'!B140)</f>
        <v>Meter Numbers</v>
      </c>
      <c r="B174" t="str" cm="1">
        <f>IF(ISBLANK(INDEX(Array_StationaryChargeData,ROW()-36,COLUMN()*2-3)),"",INDEX(Array_StationaryChargeData,ROW()-36,COLUMN()*2-3))</f>
        <v/>
      </c>
      <c r="C174" t="str" cm="1">
        <f>IF(ISBLANK(INDEX(Array_StationaryChargeData,ROW()-36,COLUMN()*2-3)),"",INDEX(Array_StationaryChargeData,ROW()-36,COLUMN()*2-3))</f>
        <v/>
      </c>
      <c r="D174" t="str" cm="1">
        <f>IF(ISBLANK(INDEX(Array_StationaryChargeData,ROW()-36,COLUMN()*2-3)),"",INDEX(Array_StationaryChargeData,ROW()-36,COLUMN()*2-3))</f>
        <v/>
      </c>
      <c r="E174" t="str" cm="1">
        <f>IF(ISBLANK(INDEX(Array_StationaryChargeData,ROW()-36,COLUMN()*2-3)),"",INDEX(Array_StationaryChargeData,ROW()-36,COLUMN()*2-3))</f>
        <v/>
      </c>
      <c r="F174" t="str" cm="1">
        <f>IF(ISBLANK(INDEX(Array_StationaryChargeData,ROW()-36,COLUMN()*2-3)),"",INDEX(Array_StationaryChargeData,ROW()-36,COLUMN()*2-3))</f>
        <v/>
      </c>
      <c r="G174" t="str" cm="1">
        <f>IF(ISBLANK(INDEX(Array_StationaryChargeData,ROW()-36,COLUMN()*2-3)),"",INDEX(Array_StationaryChargeData,ROW()-36,COLUMN()*2-3))</f>
        <v/>
      </c>
      <c r="H174" t="str" cm="1">
        <f>IF(ISBLANK(INDEX(Array_StationaryChargeData,ROW()-36,COLUMN()*2-3)),"",INDEX(Array_StationaryChargeData,ROW()-36,COLUMN()*2-3))</f>
        <v/>
      </c>
      <c r="I174" t="str" cm="1">
        <f>IF(ISBLANK(INDEX(Array_StationaryChargeData,ROW()-36,COLUMN()*2-3)),"",INDEX(Array_StationaryChargeData,ROW()-36,COLUMN()*2-3))</f>
        <v/>
      </c>
      <c r="J174" t="str" cm="1">
        <f>IF(ISBLANK(INDEX(Array_StationaryChargeData,ROW()-36,COLUMN()*2-3)),"",INDEX(Array_StationaryChargeData,ROW()-36,COLUMN()*2-3))</f>
        <v/>
      </c>
      <c r="K174" t="str" cm="1">
        <f>IF(ISBLANK(INDEX(Array_StationaryChargeData,ROW()-36,COLUMN()*2-3)),"",INDEX(Array_StationaryChargeData,ROW()-36,COLUMN()*2-3))</f>
        <v/>
      </c>
      <c r="L174" t="str" cm="1">
        <f>IF(ISBLANK(INDEX(Array_StationaryChargeData,ROW()-36,COLUMN()*2-3)),"",INDEX(Array_StationaryChargeData,ROW()-36,COLUMN()*2-3))</f>
        <v/>
      </c>
      <c r="M174" t="str" cm="1">
        <f>IF(ISBLANK(INDEX(Array_StationaryChargeData,ROW()-36,COLUMN()*2-3)),"",INDEX(Array_StationaryChargeData,ROW()-36,COLUMN()*2-3))</f>
        <v/>
      </c>
      <c r="N174" t="str" cm="1">
        <f>IF(ISBLANK(INDEX(Array_StationaryChargeData,ROW()-36,COLUMN()*2-3)),"",INDEX(Array_StationaryChargeData,ROW()-36,COLUMN()*2-3))</f>
        <v/>
      </c>
      <c r="O174" t="str" cm="1">
        <f>IF(ISBLANK(INDEX(Array_StationaryChargeData,ROW()-36,COLUMN()*2-3)),"",INDEX(Array_StationaryChargeData,ROW()-36,COLUMN()*2-3))</f>
        <v/>
      </c>
      <c r="P174" t="str" cm="1">
        <f>IF(ISBLANK(INDEX(Array_StationaryChargeData,ROW()-36,COLUMN()*2-3)),"",INDEX(Array_StationaryChargeData,ROW()-36,COLUMN()*2-3))</f>
        <v/>
      </c>
    </row>
    <row r="175" spans="1:16" x14ac:dyDescent="0.35">
      <c r="A175" t="str">
        <f>IF('Stationary Fuel Meters'!B141="",A174,'Stationary Fuel Meters'!B141)</f>
        <v>Meter Numbers</v>
      </c>
      <c r="B175" t="str" cm="1">
        <f>IF(ISBLANK(INDEX(Array_StationaryChargeData,ROW()-36,COLUMN()*2-3)),"",INDEX(Array_StationaryChargeData,ROW()-36,COLUMN()*2-3))</f>
        <v/>
      </c>
      <c r="C175" t="str" cm="1">
        <f>IF(ISBLANK(INDEX(Array_StationaryChargeData,ROW()-36,COLUMN()*2-3)),"",INDEX(Array_StationaryChargeData,ROW()-36,COLUMN()*2-3))</f>
        <v/>
      </c>
      <c r="D175" t="str" cm="1">
        <f>IF(ISBLANK(INDEX(Array_StationaryChargeData,ROW()-36,COLUMN()*2-3)),"",INDEX(Array_StationaryChargeData,ROW()-36,COLUMN()*2-3))</f>
        <v/>
      </c>
      <c r="E175" t="str" cm="1">
        <f>IF(ISBLANK(INDEX(Array_StationaryChargeData,ROW()-36,COLUMN()*2-3)),"",INDEX(Array_StationaryChargeData,ROW()-36,COLUMN()*2-3))</f>
        <v/>
      </c>
      <c r="F175" t="str" cm="1">
        <f>IF(ISBLANK(INDEX(Array_StationaryChargeData,ROW()-36,COLUMN()*2-3)),"",INDEX(Array_StationaryChargeData,ROW()-36,COLUMN()*2-3))</f>
        <v/>
      </c>
      <c r="G175" t="str" cm="1">
        <f>IF(ISBLANK(INDEX(Array_StationaryChargeData,ROW()-36,COLUMN()*2-3)),"",INDEX(Array_StationaryChargeData,ROW()-36,COLUMN()*2-3))</f>
        <v/>
      </c>
      <c r="H175" t="str" cm="1">
        <f>IF(ISBLANK(INDEX(Array_StationaryChargeData,ROW()-36,COLUMN()*2-3)),"",INDEX(Array_StationaryChargeData,ROW()-36,COLUMN()*2-3))</f>
        <v/>
      </c>
      <c r="I175" t="str" cm="1">
        <f>IF(ISBLANK(INDEX(Array_StationaryChargeData,ROW()-36,COLUMN()*2-3)),"",INDEX(Array_StationaryChargeData,ROW()-36,COLUMN()*2-3))</f>
        <v/>
      </c>
      <c r="J175" t="str" cm="1">
        <f>IF(ISBLANK(INDEX(Array_StationaryChargeData,ROW()-36,COLUMN()*2-3)),"",INDEX(Array_StationaryChargeData,ROW()-36,COLUMN()*2-3))</f>
        <v/>
      </c>
      <c r="K175" t="str" cm="1">
        <f>IF(ISBLANK(INDEX(Array_StationaryChargeData,ROW()-36,COLUMN()*2-3)),"",INDEX(Array_StationaryChargeData,ROW()-36,COLUMN()*2-3))</f>
        <v/>
      </c>
      <c r="L175" t="str" cm="1">
        <f>IF(ISBLANK(INDEX(Array_StationaryChargeData,ROW()-36,COLUMN()*2-3)),"",INDEX(Array_StationaryChargeData,ROW()-36,COLUMN()*2-3))</f>
        <v/>
      </c>
      <c r="M175" t="str" cm="1">
        <f>IF(ISBLANK(INDEX(Array_StationaryChargeData,ROW()-36,COLUMN()*2-3)),"",INDEX(Array_StationaryChargeData,ROW()-36,COLUMN()*2-3))</f>
        <v/>
      </c>
      <c r="N175" t="str" cm="1">
        <f>IF(ISBLANK(INDEX(Array_StationaryChargeData,ROW()-36,COLUMN()*2-3)),"",INDEX(Array_StationaryChargeData,ROW()-36,COLUMN()*2-3))</f>
        <v/>
      </c>
      <c r="O175" t="str" cm="1">
        <f>IF(ISBLANK(INDEX(Array_StationaryChargeData,ROW()-36,COLUMN()*2-3)),"",INDEX(Array_StationaryChargeData,ROW()-36,COLUMN()*2-3))</f>
        <v/>
      </c>
      <c r="P175" t="str" cm="1">
        <f>IF(ISBLANK(INDEX(Array_StationaryChargeData,ROW()-36,COLUMN()*2-3)),"",INDEX(Array_StationaryChargeData,ROW()-36,COLUMN()*2-3))</f>
        <v/>
      </c>
    </row>
    <row r="176" spans="1:16" x14ac:dyDescent="0.35">
      <c r="A176" t="str">
        <f>IF('Stationary Fuel Meters'!B142="",A175,'Stationary Fuel Meters'!B142)</f>
        <v>Meter Numbers</v>
      </c>
      <c r="B176" t="str" cm="1">
        <f>IF(ISBLANK(INDEX(Array_StationaryChargeData,ROW()-36,COLUMN()*2-3)),"",INDEX(Array_StationaryChargeData,ROW()-36,COLUMN()*2-3))</f>
        <v/>
      </c>
      <c r="C176" t="str" cm="1">
        <f>IF(ISBLANK(INDEX(Array_StationaryChargeData,ROW()-36,COLUMN()*2-3)),"",INDEX(Array_StationaryChargeData,ROW()-36,COLUMN()*2-3))</f>
        <v/>
      </c>
      <c r="D176" t="str" cm="1">
        <f>IF(ISBLANK(INDEX(Array_StationaryChargeData,ROW()-36,COLUMN()*2-3)),"",INDEX(Array_StationaryChargeData,ROW()-36,COLUMN()*2-3))</f>
        <v/>
      </c>
      <c r="E176" t="str" cm="1">
        <f>IF(ISBLANK(INDEX(Array_StationaryChargeData,ROW()-36,COLUMN()*2-3)),"",INDEX(Array_StationaryChargeData,ROW()-36,COLUMN()*2-3))</f>
        <v/>
      </c>
      <c r="F176" t="str" cm="1">
        <f>IF(ISBLANK(INDEX(Array_StationaryChargeData,ROW()-36,COLUMN()*2-3)),"",INDEX(Array_StationaryChargeData,ROW()-36,COLUMN()*2-3))</f>
        <v/>
      </c>
      <c r="G176" t="str" cm="1">
        <f>IF(ISBLANK(INDEX(Array_StationaryChargeData,ROW()-36,COLUMN()*2-3)),"",INDEX(Array_StationaryChargeData,ROW()-36,COLUMN()*2-3))</f>
        <v/>
      </c>
      <c r="H176" t="str" cm="1">
        <f>IF(ISBLANK(INDEX(Array_StationaryChargeData,ROW()-36,COLUMN()*2-3)),"",INDEX(Array_StationaryChargeData,ROW()-36,COLUMN()*2-3))</f>
        <v/>
      </c>
      <c r="I176" t="str" cm="1">
        <f>IF(ISBLANK(INDEX(Array_StationaryChargeData,ROW()-36,COLUMN()*2-3)),"",INDEX(Array_StationaryChargeData,ROW()-36,COLUMN()*2-3))</f>
        <v/>
      </c>
      <c r="J176" t="str" cm="1">
        <f>IF(ISBLANK(INDEX(Array_StationaryChargeData,ROW()-36,COLUMN()*2-3)),"",INDEX(Array_StationaryChargeData,ROW()-36,COLUMN()*2-3))</f>
        <v/>
      </c>
      <c r="K176" t="str" cm="1">
        <f>IF(ISBLANK(INDEX(Array_StationaryChargeData,ROW()-36,COLUMN()*2-3)),"",INDEX(Array_StationaryChargeData,ROW()-36,COLUMN()*2-3))</f>
        <v/>
      </c>
      <c r="L176" t="str" cm="1">
        <f>IF(ISBLANK(INDEX(Array_StationaryChargeData,ROW()-36,COLUMN()*2-3)),"",INDEX(Array_StationaryChargeData,ROW()-36,COLUMN()*2-3))</f>
        <v/>
      </c>
      <c r="M176" t="str" cm="1">
        <f>IF(ISBLANK(INDEX(Array_StationaryChargeData,ROW()-36,COLUMN()*2-3)),"",INDEX(Array_StationaryChargeData,ROW()-36,COLUMN()*2-3))</f>
        <v/>
      </c>
      <c r="N176" t="str" cm="1">
        <f>IF(ISBLANK(INDEX(Array_StationaryChargeData,ROW()-36,COLUMN()*2-3)),"",INDEX(Array_StationaryChargeData,ROW()-36,COLUMN()*2-3))</f>
        <v/>
      </c>
      <c r="O176" t="str" cm="1">
        <f>IF(ISBLANK(INDEX(Array_StationaryChargeData,ROW()-36,COLUMN()*2-3)),"",INDEX(Array_StationaryChargeData,ROW()-36,COLUMN()*2-3))</f>
        <v/>
      </c>
      <c r="P176" t="str" cm="1">
        <f>IF(ISBLANK(INDEX(Array_StationaryChargeData,ROW()-36,COLUMN()*2-3)),"",INDEX(Array_StationaryChargeData,ROW()-36,COLUMN()*2-3))</f>
        <v/>
      </c>
    </row>
    <row r="177" spans="1:16" x14ac:dyDescent="0.35">
      <c r="A177" t="str">
        <f>IF('Stationary Fuel Meters'!B143="",A176,'Stationary Fuel Meters'!B143)</f>
        <v>Meter Numbers</v>
      </c>
      <c r="B177" t="str" cm="1">
        <f>IF(ISBLANK(INDEX(Array_StationaryChargeData,ROW()-36,COLUMN()*2-3)),"",INDEX(Array_StationaryChargeData,ROW()-36,COLUMN()*2-3))</f>
        <v/>
      </c>
      <c r="C177" t="str" cm="1">
        <f>IF(ISBLANK(INDEX(Array_StationaryChargeData,ROW()-36,COLUMN()*2-3)),"",INDEX(Array_StationaryChargeData,ROW()-36,COLUMN()*2-3))</f>
        <v/>
      </c>
      <c r="D177" t="str" cm="1">
        <f>IF(ISBLANK(INDEX(Array_StationaryChargeData,ROW()-36,COLUMN()*2-3)),"",INDEX(Array_StationaryChargeData,ROW()-36,COLUMN()*2-3))</f>
        <v/>
      </c>
      <c r="E177" t="str" cm="1">
        <f>IF(ISBLANK(INDEX(Array_StationaryChargeData,ROW()-36,COLUMN()*2-3)),"",INDEX(Array_StationaryChargeData,ROW()-36,COLUMN()*2-3))</f>
        <v/>
      </c>
      <c r="F177" t="str" cm="1">
        <f>IF(ISBLANK(INDEX(Array_StationaryChargeData,ROW()-36,COLUMN()*2-3)),"",INDEX(Array_StationaryChargeData,ROW()-36,COLUMN()*2-3))</f>
        <v/>
      </c>
      <c r="G177" t="str" cm="1">
        <f>IF(ISBLANK(INDEX(Array_StationaryChargeData,ROW()-36,COLUMN()*2-3)),"",INDEX(Array_StationaryChargeData,ROW()-36,COLUMN()*2-3))</f>
        <v/>
      </c>
      <c r="H177" t="str" cm="1">
        <f>IF(ISBLANK(INDEX(Array_StationaryChargeData,ROW()-36,COLUMN()*2-3)),"",INDEX(Array_StationaryChargeData,ROW()-36,COLUMN()*2-3))</f>
        <v/>
      </c>
      <c r="I177" t="str" cm="1">
        <f>IF(ISBLANK(INDEX(Array_StationaryChargeData,ROW()-36,COLUMN()*2-3)),"",INDEX(Array_StationaryChargeData,ROW()-36,COLUMN()*2-3))</f>
        <v/>
      </c>
      <c r="J177" t="str" cm="1">
        <f>IF(ISBLANK(INDEX(Array_StationaryChargeData,ROW()-36,COLUMN()*2-3)),"",INDEX(Array_StationaryChargeData,ROW()-36,COLUMN()*2-3))</f>
        <v/>
      </c>
      <c r="K177" t="str" cm="1">
        <f>IF(ISBLANK(INDEX(Array_StationaryChargeData,ROW()-36,COLUMN()*2-3)),"",INDEX(Array_StationaryChargeData,ROW()-36,COLUMN()*2-3))</f>
        <v/>
      </c>
      <c r="L177" t="str" cm="1">
        <f>IF(ISBLANK(INDEX(Array_StationaryChargeData,ROW()-36,COLUMN()*2-3)),"",INDEX(Array_StationaryChargeData,ROW()-36,COLUMN()*2-3))</f>
        <v/>
      </c>
      <c r="M177" t="str" cm="1">
        <f>IF(ISBLANK(INDEX(Array_StationaryChargeData,ROW()-36,COLUMN()*2-3)),"",INDEX(Array_StationaryChargeData,ROW()-36,COLUMN()*2-3))</f>
        <v/>
      </c>
      <c r="N177" t="str" cm="1">
        <f>IF(ISBLANK(INDEX(Array_StationaryChargeData,ROW()-36,COLUMN()*2-3)),"",INDEX(Array_StationaryChargeData,ROW()-36,COLUMN()*2-3))</f>
        <v/>
      </c>
      <c r="O177" t="str" cm="1">
        <f>IF(ISBLANK(INDEX(Array_StationaryChargeData,ROW()-36,COLUMN()*2-3)),"",INDEX(Array_StationaryChargeData,ROW()-36,COLUMN()*2-3))</f>
        <v/>
      </c>
      <c r="P177" t="str" cm="1">
        <f>IF(ISBLANK(INDEX(Array_StationaryChargeData,ROW()-36,COLUMN()*2-3)),"",INDEX(Array_StationaryChargeData,ROW()-36,COLUMN()*2-3))</f>
        <v/>
      </c>
    </row>
    <row r="178" spans="1:16" x14ac:dyDescent="0.35">
      <c r="A178" t="str">
        <f>IF('Stationary Fuel Meters'!B144="",A177,'Stationary Fuel Meters'!B144)</f>
        <v>Meter Numbers</v>
      </c>
      <c r="B178" t="str" cm="1">
        <f>IF(ISBLANK(INDEX(Array_StationaryChargeData,ROW()-36,COLUMN()*2-3)),"",INDEX(Array_StationaryChargeData,ROW()-36,COLUMN()*2-3))</f>
        <v/>
      </c>
      <c r="C178" t="str" cm="1">
        <f>IF(ISBLANK(INDEX(Array_StationaryChargeData,ROW()-36,COLUMN()*2-3)),"",INDEX(Array_StationaryChargeData,ROW()-36,COLUMN()*2-3))</f>
        <v/>
      </c>
      <c r="D178" t="str" cm="1">
        <f>IF(ISBLANK(INDEX(Array_StationaryChargeData,ROW()-36,COLUMN()*2-3)),"",INDEX(Array_StationaryChargeData,ROW()-36,COLUMN()*2-3))</f>
        <v/>
      </c>
      <c r="E178" t="str" cm="1">
        <f>IF(ISBLANK(INDEX(Array_StationaryChargeData,ROW()-36,COLUMN()*2-3)),"",INDEX(Array_StationaryChargeData,ROW()-36,COLUMN()*2-3))</f>
        <v/>
      </c>
      <c r="F178" t="str" cm="1">
        <f>IF(ISBLANK(INDEX(Array_StationaryChargeData,ROW()-36,COLUMN()*2-3)),"",INDEX(Array_StationaryChargeData,ROW()-36,COLUMN()*2-3))</f>
        <v/>
      </c>
      <c r="G178" t="str" cm="1">
        <f>IF(ISBLANK(INDEX(Array_StationaryChargeData,ROW()-36,COLUMN()*2-3)),"",INDEX(Array_StationaryChargeData,ROW()-36,COLUMN()*2-3))</f>
        <v/>
      </c>
      <c r="H178" t="str" cm="1">
        <f>IF(ISBLANK(INDEX(Array_StationaryChargeData,ROW()-36,COLUMN()*2-3)),"",INDEX(Array_StationaryChargeData,ROW()-36,COLUMN()*2-3))</f>
        <v/>
      </c>
      <c r="I178" t="str" cm="1">
        <f>IF(ISBLANK(INDEX(Array_StationaryChargeData,ROW()-36,COLUMN()*2-3)),"",INDEX(Array_StationaryChargeData,ROW()-36,COLUMN()*2-3))</f>
        <v/>
      </c>
      <c r="J178" t="str" cm="1">
        <f>IF(ISBLANK(INDEX(Array_StationaryChargeData,ROW()-36,COLUMN()*2-3)),"",INDEX(Array_StationaryChargeData,ROW()-36,COLUMN()*2-3))</f>
        <v/>
      </c>
      <c r="K178" t="str" cm="1">
        <f>IF(ISBLANK(INDEX(Array_StationaryChargeData,ROW()-36,COLUMN()*2-3)),"",INDEX(Array_StationaryChargeData,ROW()-36,COLUMN()*2-3))</f>
        <v/>
      </c>
      <c r="L178" t="str" cm="1">
        <f>IF(ISBLANK(INDEX(Array_StationaryChargeData,ROW()-36,COLUMN()*2-3)),"",INDEX(Array_StationaryChargeData,ROW()-36,COLUMN()*2-3))</f>
        <v/>
      </c>
      <c r="M178" t="str" cm="1">
        <f>IF(ISBLANK(INDEX(Array_StationaryChargeData,ROW()-36,COLUMN()*2-3)),"",INDEX(Array_StationaryChargeData,ROW()-36,COLUMN()*2-3))</f>
        <v/>
      </c>
      <c r="N178" t="str" cm="1">
        <f>IF(ISBLANK(INDEX(Array_StationaryChargeData,ROW()-36,COLUMN()*2-3)),"",INDEX(Array_StationaryChargeData,ROW()-36,COLUMN()*2-3))</f>
        <v/>
      </c>
      <c r="O178" t="str" cm="1">
        <f>IF(ISBLANK(INDEX(Array_StationaryChargeData,ROW()-36,COLUMN()*2-3)),"",INDEX(Array_StationaryChargeData,ROW()-36,COLUMN()*2-3))</f>
        <v/>
      </c>
      <c r="P178" t="str" cm="1">
        <f>IF(ISBLANK(INDEX(Array_StationaryChargeData,ROW()-36,COLUMN()*2-3)),"",INDEX(Array_StationaryChargeData,ROW()-36,COLUMN()*2-3))</f>
        <v/>
      </c>
    </row>
    <row r="179" spans="1:16" x14ac:dyDescent="0.35">
      <c r="A179" t="str">
        <f>IF('Stationary Fuel Meters'!B145="",A178,'Stationary Fuel Meters'!B145)</f>
        <v>Meter Numbers</v>
      </c>
      <c r="B179" t="str" cm="1">
        <f>IF(ISBLANK(INDEX(Array_StationaryChargeData,ROW()-36,COLUMN()*2-3)),"",INDEX(Array_StationaryChargeData,ROW()-36,COLUMN()*2-3))</f>
        <v/>
      </c>
      <c r="C179" t="str" cm="1">
        <f>IF(ISBLANK(INDEX(Array_StationaryChargeData,ROW()-36,COLUMN()*2-3)),"",INDEX(Array_StationaryChargeData,ROW()-36,COLUMN()*2-3))</f>
        <v/>
      </c>
      <c r="D179" t="str" cm="1">
        <f>IF(ISBLANK(INDEX(Array_StationaryChargeData,ROW()-36,COLUMN()*2-3)),"",INDEX(Array_StationaryChargeData,ROW()-36,COLUMN()*2-3))</f>
        <v/>
      </c>
      <c r="E179" t="str" cm="1">
        <f>IF(ISBLANK(INDEX(Array_StationaryChargeData,ROW()-36,COLUMN()*2-3)),"",INDEX(Array_StationaryChargeData,ROW()-36,COLUMN()*2-3))</f>
        <v/>
      </c>
      <c r="F179" t="str" cm="1">
        <f>IF(ISBLANK(INDEX(Array_StationaryChargeData,ROW()-36,COLUMN()*2-3)),"",INDEX(Array_StationaryChargeData,ROW()-36,COLUMN()*2-3))</f>
        <v/>
      </c>
      <c r="G179" t="str" cm="1">
        <f>IF(ISBLANK(INDEX(Array_StationaryChargeData,ROW()-36,COLUMN()*2-3)),"",INDEX(Array_StationaryChargeData,ROW()-36,COLUMN()*2-3))</f>
        <v/>
      </c>
      <c r="H179" t="str" cm="1">
        <f>IF(ISBLANK(INDEX(Array_StationaryChargeData,ROW()-36,COLUMN()*2-3)),"",INDEX(Array_StationaryChargeData,ROW()-36,COLUMN()*2-3))</f>
        <v/>
      </c>
      <c r="I179" t="str" cm="1">
        <f>IF(ISBLANK(INDEX(Array_StationaryChargeData,ROW()-36,COLUMN()*2-3)),"",INDEX(Array_StationaryChargeData,ROW()-36,COLUMN()*2-3))</f>
        <v/>
      </c>
      <c r="J179" t="str" cm="1">
        <f>IF(ISBLANK(INDEX(Array_StationaryChargeData,ROW()-36,COLUMN()*2-3)),"",INDEX(Array_StationaryChargeData,ROW()-36,COLUMN()*2-3))</f>
        <v/>
      </c>
      <c r="K179" t="str" cm="1">
        <f>IF(ISBLANK(INDEX(Array_StationaryChargeData,ROW()-36,COLUMN()*2-3)),"",INDEX(Array_StationaryChargeData,ROW()-36,COLUMN()*2-3))</f>
        <v/>
      </c>
      <c r="L179" t="str" cm="1">
        <f>IF(ISBLANK(INDEX(Array_StationaryChargeData,ROW()-36,COLUMN()*2-3)),"",INDEX(Array_StationaryChargeData,ROW()-36,COLUMN()*2-3))</f>
        <v/>
      </c>
      <c r="M179" t="str" cm="1">
        <f>IF(ISBLANK(INDEX(Array_StationaryChargeData,ROW()-36,COLUMN()*2-3)),"",INDEX(Array_StationaryChargeData,ROW()-36,COLUMN()*2-3))</f>
        <v/>
      </c>
      <c r="N179" t="str" cm="1">
        <f>IF(ISBLANK(INDEX(Array_StationaryChargeData,ROW()-36,COLUMN()*2-3)),"",INDEX(Array_StationaryChargeData,ROW()-36,COLUMN()*2-3))</f>
        <v/>
      </c>
      <c r="O179" t="str" cm="1">
        <f>IF(ISBLANK(INDEX(Array_StationaryChargeData,ROW()-36,COLUMN()*2-3)),"",INDEX(Array_StationaryChargeData,ROW()-36,COLUMN()*2-3))</f>
        <v/>
      </c>
      <c r="P179" t="str" cm="1">
        <f>IF(ISBLANK(INDEX(Array_StationaryChargeData,ROW()-36,COLUMN()*2-3)),"",INDEX(Array_StationaryChargeData,ROW()-36,COLUMN()*2-3))</f>
        <v/>
      </c>
    </row>
    <row r="180" spans="1:16" x14ac:dyDescent="0.35">
      <c r="A180" t="str">
        <f>IF('Stationary Fuel Meters'!B146="",A179,'Stationary Fuel Meters'!B146)</f>
        <v>Meter Numbers</v>
      </c>
      <c r="B180" t="str" cm="1">
        <f>IF(ISBLANK(INDEX(Array_StationaryChargeData,ROW()-36,COLUMN()*2-3)),"",INDEX(Array_StationaryChargeData,ROW()-36,COLUMN()*2-3))</f>
        <v/>
      </c>
      <c r="C180" t="str" cm="1">
        <f>IF(ISBLANK(INDEX(Array_StationaryChargeData,ROW()-36,COLUMN()*2-3)),"",INDEX(Array_StationaryChargeData,ROW()-36,COLUMN()*2-3))</f>
        <v/>
      </c>
      <c r="D180" t="str" cm="1">
        <f>IF(ISBLANK(INDEX(Array_StationaryChargeData,ROW()-36,COLUMN()*2-3)),"",INDEX(Array_StationaryChargeData,ROW()-36,COLUMN()*2-3))</f>
        <v/>
      </c>
      <c r="E180" t="str" cm="1">
        <f>IF(ISBLANK(INDEX(Array_StationaryChargeData,ROW()-36,COLUMN()*2-3)),"",INDEX(Array_StationaryChargeData,ROW()-36,COLUMN()*2-3))</f>
        <v/>
      </c>
      <c r="F180" t="str" cm="1">
        <f>IF(ISBLANK(INDEX(Array_StationaryChargeData,ROW()-36,COLUMN()*2-3)),"",INDEX(Array_StationaryChargeData,ROW()-36,COLUMN()*2-3))</f>
        <v/>
      </c>
      <c r="G180" t="str" cm="1">
        <f>IF(ISBLANK(INDEX(Array_StationaryChargeData,ROW()-36,COLUMN()*2-3)),"",INDEX(Array_StationaryChargeData,ROW()-36,COLUMN()*2-3))</f>
        <v/>
      </c>
      <c r="H180" t="str" cm="1">
        <f>IF(ISBLANK(INDEX(Array_StationaryChargeData,ROW()-36,COLUMN()*2-3)),"",INDEX(Array_StationaryChargeData,ROW()-36,COLUMN()*2-3))</f>
        <v/>
      </c>
      <c r="I180" t="str" cm="1">
        <f>IF(ISBLANK(INDEX(Array_StationaryChargeData,ROW()-36,COLUMN()*2-3)),"",INDEX(Array_StationaryChargeData,ROW()-36,COLUMN()*2-3))</f>
        <v/>
      </c>
      <c r="J180" t="str" cm="1">
        <f>IF(ISBLANK(INDEX(Array_StationaryChargeData,ROW()-36,COLUMN()*2-3)),"",INDEX(Array_StationaryChargeData,ROW()-36,COLUMN()*2-3))</f>
        <v/>
      </c>
      <c r="K180" t="str" cm="1">
        <f>IF(ISBLANK(INDEX(Array_StationaryChargeData,ROW()-36,COLUMN()*2-3)),"",INDEX(Array_StationaryChargeData,ROW()-36,COLUMN()*2-3))</f>
        <v/>
      </c>
      <c r="L180" t="str" cm="1">
        <f>IF(ISBLANK(INDEX(Array_StationaryChargeData,ROW()-36,COLUMN()*2-3)),"",INDEX(Array_StationaryChargeData,ROW()-36,COLUMN()*2-3))</f>
        <v/>
      </c>
      <c r="M180" t="str" cm="1">
        <f>IF(ISBLANK(INDEX(Array_StationaryChargeData,ROW()-36,COLUMN()*2-3)),"",INDEX(Array_StationaryChargeData,ROW()-36,COLUMN()*2-3))</f>
        <v/>
      </c>
      <c r="N180" t="str" cm="1">
        <f>IF(ISBLANK(INDEX(Array_StationaryChargeData,ROW()-36,COLUMN()*2-3)),"",INDEX(Array_StationaryChargeData,ROW()-36,COLUMN()*2-3))</f>
        <v/>
      </c>
      <c r="O180" t="str" cm="1">
        <f>IF(ISBLANK(INDEX(Array_StationaryChargeData,ROW()-36,COLUMN()*2-3)),"",INDEX(Array_StationaryChargeData,ROW()-36,COLUMN()*2-3))</f>
        <v/>
      </c>
      <c r="P180" t="str" cm="1">
        <f>IF(ISBLANK(INDEX(Array_StationaryChargeData,ROW()-36,COLUMN()*2-3)),"",INDEX(Array_StationaryChargeData,ROW()-36,COLUMN()*2-3))</f>
        <v/>
      </c>
    </row>
    <row r="181" spans="1:16" x14ac:dyDescent="0.35">
      <c r="A181" t="str">
        <f>IF('Stationary Fuel Meters'!B147="",A180,'Stationary Fuel Meters'!B147)</f>
        <v>Meter Numbers</v>
      </c>
      <c r="B181" t="str" cm="1">
        <f>IF(ISBLANK(INDEX(Array_StationaryChargeData,ROW()-36,COLUMN()*2-3)),"",INDEX(Array_StationaryChargeData,ROW()-36,COLUMN()*2-3))</f>
        <v/>
      </c>
      <c r="C181" t="str" cm="1">
        <f>IF(ISBLANK(INDEX(Array_StationaryChargeData,ROW()-36,COLUMN()*2-3)),"",INDEX(Array_StationaryChargeData,ROW()-36,COLUMN()*2-3))</f>
        <v/>
      </c>
      <c r="D181" t="str" cm="1">
        <f>IF(ISBLANK(INDEX(Array_StationaryChargeData,ROW()-36,COLUMN()*2-3)),"",INDEX(Array_StationaryChargeData,ROW()-36,COLUMN()*2-3))</f>
        <v/>
      </c>
      <c r="E181" t="str" cm="1">
        <f>IF(ISBLANK(INDEX(Array_StationaryChargeData,ROW()-36,COLUMN()*2-3)),"",INDEX(Array_StationaryChargeData,ROW()-36,COLUMN()*2-3))</f>
        <v/>
      </c>
      <c r="F181" t="str" cm="1">
        <f>IF(ISBLANK(INDEX(Array_StationaryChargeData,ROW()-36,COLUMN()*2-3)),"",INDEX(Array_StationaryChargeData,ROW()-36,COLUMN()*2-3))</f>
        <v/>
      </c>
      <c r="G181" t="str" cm="1">
        <f>IF(ISBLANK(INDEX(Array_StationaryChargeData,ROW()-36,COLUMN()*2-3)),"",INDEX(Array_StationaryChargeData,ROW()-36,COLUMN()*2-3))</f>
        <v/>
      </c>
      <c r="H181" t="str" cm="1">
        <f>IF(ISBLANK(INDEX(Array_StationaryChargeData,ROW()-36,COLUMN()*2-3)),"",INDEX(Array_StationaryChargeData,ROW()-36,COLUMN()*2-3))</f>
        <v/>
      </c>
      <c r="I181" t="str" cm="1">
        <f>IF(ISBLANK(INDEX(Array_StationaryChargeData,ROW()-36,COLUMN()*2-3)),"",INDEX(Array_StationaryChargeData,ROW()-36,COLUMN()*2-3))</f>
        <v/>
      </c>
      <c r="J181" t="str" cm="1">
        <f>IF(ISBLANK(INDEX(Array_StationaryChargeData,ROW()-36,COLUMN()*2-3)),"",INDEX(Array_StationaryChargeData,ROW()-36,COLUMN()*2-3))</f>
        <v/>
      </c>
      <c r="K181" t="str" cm="1">
        <f>IF(ISBLANK(INDEX(Array_StationaryChargeData,ROW()-36,COLUMN()*2-3)),"",INDEX(Array_StationaryChargeData,ROW()-36,COLUMN()*2-3))</f>
        <v/>
      </c>
      <c r="L181" t="str" cm="1">
        <f>IF(ISBLANK(INDEX(Array_StationaryChargeData,ROW()-36,COLUMN()*2-3)),"",INDEX(Array_StationaryChargeData,ROW()-36,COLUMN()*2-3))</f>
        <v/>
      </c>
      <c r="M181" t="str" cm="1">
        <f>IF(ISBLANK(INDEX(Array_StationaryChargeData,ROW()-36,COLUMN()*2-3)),"",INDEX(Array_StationaryChargeData,ROW()-36,COLUMN()*2-3))</f>
        <v/>
      </c>
      <c r="N181" t="str" cm="1">
        <f>IF(ISBLANK(INDEX(Array_StationaryChargeData,ROW()-36,COLUMN()*2-3)),"",INDEX(Array_StationaryChargeData,ROW()-36,COLUMN()*2-3))</f>
        <v/>
      </c>
      <c r="O181" t="str" cm="1">
        <f>IF(ISBLANK(INDEX(Array_StationaryChargeData,ROW()-36,COLUMN()*2-3)),"",INDEX(Array_StationaryChargeData,ROW()-36,COLUMN()*2-3))</f>
        <v/>
      </c>
      <c r="P181" t="str" cm="1">
        <f>IF(ISBLANK(INDEX(Array_StationaryChargeData,ROW()-36,COLUMN()*2-3)),"",INDEX(Array_StationaryChargeData,ROW()-36,COLUMN()*2-3))</f>
        <v/>
      </c>
    </row>
    <row r="182" spans="1:16" x14ac:dyDescent="0.35">
      <c r="A182" t="str">
        <f>IF('Stationary Fuel Meters'!B148="",A181,'Stationary Fuel Meters'!B148)</f>
        <v>Meter Numbers</v>
      </c>
      <c r="B182" t="str" cm="1">
        <f>IF(ISBLANK(INDEX(Array_StationaryChargeData,ROW()-36,COLUMN()*2-3)),"",INDEX(Array_StationaryChargeData,ROW()-36,COLUMN()*2-3))</f>
        <v/>
      </c>
      <c r="C182" t="str" cm="1">
        <f>IF(ISBLANK(INDEX(Array_StationaryChargeData,ROW()-36,COLUMN()*2-3)),"",INDEX(Array_StationaryChargeData,ROW()-36,COLUMN()*2-3))</f>
        <v/>
      </c>
      <c r="D182" t="str" cm="1">
        <f>IF(ISBLANK(INDEX(Array_StationaryChargeData,ROW()-36,COLUMN()*2-3)),"",INDEX(Array_StationaryChargeData,ROW()-36,COLUMN()*2-3))</f>
        <v/>
      </c>
      <c r="E182" t="str" cm="1">
        <f>IF(ISBLANK(INDEX(Array_StationaryChargeData,ROW()-36,COLUMN()*2-3)),"",INDEX(Array_StationaryChargeData,ROW()-36,COLUMN()*2-3))</f>
        <v/>
      </c>
      <c r="F182" t="str" cm="1">
        <f>IF(ISBLANK(INDEX(Array_StationaryChargeData,ROW()-36,COLUMN()*2-3)),"",INDEX(Array_StationaryChargeData,ROW()-36,COLUMN()*2-3))</f>
        <v/>
      </c>
      <c r="G182" t="str" cm="1">
        <f>IF(ISBLANK(INDEX(Array_StationaryChargeData,ROW()-36,COLUMN()*2-3)),"",INDEX(Array_StationaryChargeData,ROW()-36,COLUMN()*2-3))</f>
        <v/>
      </c>
      <c r="H182" t="str" cm="1">
        <f>IF(ISBLANK(INDEX(Array_StationaryChargeData,ROW()-36,COLUMN()*2-3)),"",INDEX(Array_StationaryChargeData,ROW()-36,COLUMN()*2-3))</f>
        <v/>
      </c>
      <c r="I182" t="str" cm="1">
        <f>IF(ISBLANK(INDEX(Array_StationaryChargeData,ROW()-36,COLUMN()*2-3)),"",INDEX(Array_StationaryChargeData,ROW()-36,COLUMN()*2-3))</f>
        <v/>
      </c>
      <c r="J182" t="str" cm="1">
        <f>IF(ISBLANK(INDEX(Array_StationaryChargeData,ROW()-36,COLUMN()*2-3)),"",INDEX(Array_StationaryChargeData,ROW()-36,COLUMN()*2-3))</f>
        <v/>
      </c>
      <c r="K182" t="str" cm="1">
        <f>IF(ISBLANK(INDEX(Array_StationaryChargeData,ROW()-36,COLUMN()*2-3)),"",INDEX(Array_StationaryChargeData,ROW()-36,COLUMN()*2-3))</f>
        <v/>
      </c>
      <c r="L182" t="str" cm="1">
        <f>IF(ISBLANK(INDEX(Array_StationaryChargeData,ROW()-36,COLUMN()*2-3)),"",INDEX(Array_StationaryChargeData,ROW()-36,COLUMN()*2-3))</f>
        <v/>
      </c>
      <c r="M182" t="str" cm="1">
        <f>IF(ISBLANK(INDEX(Array_StationaryChargeData,ROW()-36,COLUMN()*2-3)),"",INDEX(Array_StationaryChargeData,ROW()-36,COLUMN()*2-3))</f>
        <v/>
      </c>
      <c r="N182" t="str" cm="1">
        <f>IF(ISBLANK(INDEX(Array_StationaryChargeData,ROW()-36,COLUMN()*2-3)),"",INDEX(Array_StationaryChargeData,ROW()-36,COLUMN()*2-3))</f>
        <v/>
      </c>
      <c r="O182" t="str" cm="1">
        <f>IF(ISBLANK(INDEX(Array_StationaryChargeData,ROW()-36,COLUMN()*2-3)),"",INDEX(Array_StationaryChargeData,ROW()-36,COLUMN()*2-3))</f>
        <v/>
      </c>
      <c r="P182" t="str" cm="1">
        <f>IF(ISBLANK(INDEX(Array_StationaryChargeData,ROW()-36,COLUMN()*2-3)),"",INDEX(Array_StationaryChargeData,ROW()-36,COLUMN()*2-3))</f>
        <v/>
      </c>
    </row>
    <row r="183" spans="1:16" x14ac:dyDescent="0.35">
      <c r="A183" t="str">
        <f>IF('Stationary Fuel Meters'!B149="",A182,'Stationary Fuel Meters'!B149)</f>
        <v>Meter Numbers</v>
      </c>
      <c r="B183" t="str" cm="1">
        <f>IF(ISBLANK(INDEX(Array_StationaryChargeData,ROW()-36,COLUMN()*2-3)),"",INDEX(Array_StationaryChargeData,ROW()-36,COLUMN()*2-3))</f>
        <v/>
      </c>
      <c r="C183" t="str" cm="1">
        <f>IF(ISBLANK(INDEX(Array_StationaryChargeData,ROW()-36,COLUMN()*2-3)),"",INDEX(Array_StationaryChargeData,ROW()-36,COLUMN()*2-3))</f>
        <v/>
      </c>
      <c r="D183" t="str" cm="1">
        <f>IF(ISBLANK(INDEX(Array_StationaryChargeData,ROW()-36,COLUMN()*2-3)),"",INDEX(Array_StationaryChargeData,ROW()-36,COLUMN()*2-3))</f>
        <v/>
      </c>
      <c r="E183" t="str" cm="1">
        <f>IF(ISBLANK(INDEX(Array_StationaryChargeData,ROW()-36,COLUMN()*2-3)),"",INDEX(Array_StationaryChargeData,ROW()-36,COLUMN()*2-3))</f>
        <v/>
      </c>
      <c r="F183" t="str" cm="1">
        <f>IF(ISBLANK(INDEX(Array_StationaryChargeData,ROW()-36,COLUMN()*2-3)),"",INDEX(Array_StationaryChargeData,ROW()-36,COLUMN()*2-3))</f>
        <v/>
      </c>
      <c r="G183" t="str" cm="1">
        <f>IF(ISBLANK(INDEX(Array_StationaryChargeData,ROW()-36,COLUMN()*2-3)),"",INDEX(Array_StationaryChargeData,ROW()-36,COLUMN()*2-3))</f>
        <v/>
      </c>
      <c r="H183" t="str" cm="1">
        <f>IF(ISBLANK(INDEX(Array_StationaryChargeData,ROW()-36,COLUMN()*2-3)),"",INDEX(Array_StationaryChargeData,ROW()-36,COLUMN()*2-3))</f>
        <v/>
      </c>
      <c r="I183" t="str" cm="1">
        <f>IF(ISBLANK(INDEX(Array_StationaryChargeData,ROW()-36,COLUMN()*2-3)),"",INDEX(Array_StationaryChargeData,ROW()-36,COLUMN()*2-3))</f>
        <v/>
      </c>
      <c r="J183" t="str" cm="1">
        <f>IF(ISBLANK(INDEX(Array_StationaryChargeData,ROW()-36,COLUMN()*2-3)),"",INDEX(Array_StationaryChargeData,ROW()-36,COLUMN()*2-3))</f>
        <v/>
      </c>
      <c r="K183" t="str" cm="1">
        <f>IF(ISBLANK(INDEX(Array_StationaryChargeData,ROW()-36,COLUMN()*2-3)),"",INDEX(Array_StationaryChargeData,ROW()-36,COLUMN()*2-3))</f>
        <v/>
      </c>
      <c r="L183" t="str" cm="1">
        <f>IF(ISBLANK(INDEX(Array_StationaryChargeData,ROW()-36,COLUMN()*2-3)),"",INDEX(Array_StationaryChargeData,ROW()-36,COLUMN()*2-3))</f>
        <v/>
      </c>
      <c r="M183" t="str" cm="1">
        <f>IF(ISBLANK(INDEX(Array_StationaryChargeData,ROW()-36,COLUMN()*2-3)),"",INDEX(Array_StationaryChargeData,ROW()-36,COLUMN()*2-3))</f>
        <v/>
      </c>
      <c r="N183" t="str" cm="1">
        <f>IF(ISBLANK(INDEX(Array_StationaryChargeData,ROW()-36,COLUMN()*2-3)),"",INDEX(Array_StationaryChargeData,ROW()-36,COLUMN()*2-3))</f>
        <v/>
      </c>
      <c r="O183" t="str" cm="1">
        <f>IF(ISBLANK(INDEX(Array_StationaryChargeData,ROW()-36,COLUMN()*2-3)),"",INDEX(Array_StationaryChargeData,ROW()-36,COLUMN()*2-3))</f>
        <v/>
      </c>
      <c r="P183" t="str" cm="1">
        <f>IF(ISBLANK(INDEX(Array_StationaryChargeData,ROW()-36,COLUMN()*2-3)),"",INDEX(Array_StationaryChargeData,ROW()-36,COLUMN()*2-3))</f>
        <v/>
      </c>
    </row>
    <row r="184" spans="1:16" x14ac:dyDescent="0.35">
      <c r="A184" t="str">
        <f>IF('Stationary Fuel Meters'!B150="",A183,'Stationary Fuel Meters'!B150)</f>
        <v>Meter Numbers</v>
      </c>
      <c r="B184" t="str" cm="1">
        <f>IF(ISBLANK(INDEX(Array_StationaryChargeData,ROW()-36,COLUMN()*2-3)),"",INDEX(Array_StationaryChargeData,ROW()-36,COLUMN()*2-3))</f>
        <v/>
      </c>
      <c r="C184" t="str" cm="1">
        <f>IF(ISBLANK(INDEX(Array_StationaryChargeData,ROW()-36,COLUMN()*2-3)),"",INDEX(Array_StationaryChargeData,ROW()-36,COLUMN()*2-3))</f>
        <v/>
      </c>
      <c r="D184" t="str" cm="1">
        <f>IF(ISBLANK(INDEX(Array_StationaryChargeData,ROW()-36,COLUMN()*2-3)),"",INDEX(Array_StationaryChargeData,ROW()-36,COLUMN()*2-3))</f>
        <v/>
      </c>
      <c r="E184" t="str" cm="1">
        <f>IF(ISBLANK(INDEX(Array_StationaryChargeData,ROW()-36,COLUMN()*2-3)),"",INDEX(Array_StationaryChargeData,ROW()-36,COLUMN()*2-3))</f>
        <v/>
      </c>
      <c r="F184" t="str" cm="1">
        <f>IF(ISBLANK(INDEX(Array_StationaryChargeData,ROW()-36,COLUMN()*2-3)),"",INDEX(Array_StationaryChargeData,ROW()-36,COLUMN()*2-3))</f>
        <v/>
      </c>
      <c r="G184" t="str" cm="1">
        <f>IF(ISBLANK(INDEX(Array_StationaryChargeData,ROW()-36,COLUMN()*2-3)),"",INDEX(Array_StationaryChargeData,ROW()-36,COLUMN()*2-3))</f>
        <v/>
      </c>
      <c r="H184" t="str" cm="1">
        <f>IF(ISBLANK(INDEX(Array_StationaryChargeData,ROW()-36,COLUMN()*2-3)),"",INDEX(Array_StationaryChargeData,ROW()-36,COLUMN()*2-3))</f>
        <v/>
      </c>
      <c r="I184" t="str" cm="1">
        <f>IF(ISBLANK(INDEX(Array_StationaryChargeData,ROW()-36,COLUMN()*2-3)),"",INDEX(Array_StationaryChargeData,ROW()-36,COLUMN()*2-3))</f>
        <v/>
      </c>
      <c r="J184" t="str" cm="1">
        <f>IF(ISBLANK(INDEX(Array_StationaryChargeData,ROW()-36,COLUMN()*2-3)),"",INDEX(Array_StationaryChargeData,ROW()-36,COLUMN()*2-3))</f>
        <v/>
      </c>
      <c r="K184" t="str" cm="1">
        <f>IF(ISBLANK(INDEX(Array_StationaryChargeData,ROW()-36,COLUMN()*2-3)),"",INDEX(Array_StationaryChargeData,ROW()-36,COLUMN()*2-3))</f>
        <v/>
      </c>
      <c r="L184" t="str" cm="1">
        <f>IF(ISBLANK(INDEX(Array_StationaryChargeData,ROW()-36,COLUMN()*2-3)),"",INDEX(Array_StationaryChargeData,ROW()-36,COLUMN()*2-3))</f>
        <v/>
      </c>
      <c r="M184" t="str" cm="1">
        <f>IF(ISBLANK(INDEX(Array_StationaryChargeData,ROW()-36,COLUMN()*2-3)),"",INDEX(Array_StationaryChargeData,ROW()-36,COLUMN()*2-3))</f>
        <v/>
      </c>
      <c r="N184" t="str" cm="1">
        <f>IF(ISBLANK(INDEX(Array_StationaryChargeData,ROW()-36,COLUMN()*2-3)),"",INDEX(Array_StationaryChargeData,ROW()-36,COLUMN()*2-3))</f>
        <v/>
      </c>
      <c r="O184" t="str" cm="1">
        <f>IF(ISBLANK(INDEX(Array_StationaryChargeData,ROW()-36,COLUMN()*2-3)),"",INDEX(Array_StationaryChargeData,ROW()-36,COLUMN()*2-3))</f>
        <v/>
      </c>
      <c r="P184" t="str" cm="1">
        <f>IF(ISBLANK(INDEX(Array_StationaryChargeData,ROW()-36,COLUMN()*2-3)),"",INDEX(Array_StationaryChargeData,ROW()-36,COLUMN()*2-3))</f>
        <v/>
      </c>
    </row>
    <row r="185" spans="1:16" x14ac:dyDescent="0.35">
      <c r="A185" t="str">
        <f>IF('Stationary Fuel Meters'!B151="",A184,'Stationary Fuel Meters'!B151)</f>
        <v>Meter Numbers</v>
      </c>
      <c r="B185" t="str" cm="1">
        <f>IF(ISBLANK(INDEX(Array_StationaryChargeData,ROW()-36,COLUMN()*2-3)),"",INDEX(Array_StationaryChargeData,ROW()-36,COLUMN()*2-3))</f>
        <v/>
      </c>
      <c r="C185" t="str" cm="1">
        <f>IF(ISBLANK(INDEX(Array_StationaryChargeData,ROW()-36,COLUMN()*2-3)),"",INDEX(Array_StationaryChargeData,ROW()-36,COLUMN()*2-3))</f>
        <v/>
      </c>
      <c r="D185" t="str" cm="1">
        <f>IF(ISBLANK(INDEX(Array_StationaryChargeData,ROW()-36,COLUMN()*2-3)),"",INDEX(Array_StationaryChargeData,ROW()-36,COLUMN()*2-3))</f>
        <v/>
      </c>
      <c r="E185" t="str" cm="1">
        <f>IF(ISBLANK(INDEX(Array_StationaryChargeData,ROW()-36,COLUMN()*2-3)),"",INDEX(Array_StationaryChargeData,ROW()-36,COLUMN()*2-3))</f>
        <v/>
      </c>
      <c r="F185" t="str" cm="1">
        <f>IF(ISBLANK(INDEX(Array_StationaryChargeData,ROW()-36,COLUMN()*2-3)),"",INDEX(Array_StationaryChargeData,ROW()-36,COLUMN()*2-3))</f>
        <v/>
      </c>
      <c r="G185" t="str" cm="1">
        <f>IF(ISBLANK(INDEX(Array_StationaryChargeData,ROW()-36,COLUMN()*2-3)),"",INDEX(Array_StationaryChargeData,ROW()-36,COLUMN()*2-3))</f>
        <v/>
      </c>
      <c r="H185" t="str" cm="1">
        <f>IF(ISBLANK(INDEX(Array_StationaryChargeData,ROW()-36,COLUMN()*2-3)),"",INDEX(Array_StationaryChargeData,ROW()-36,COLUMN()*2-3))</f>
        <v/>
      </c>
      <c r="I185" t="str" cm="1">
        <f>IF(ISBLANK(INDEX(Array_StationaryChargeData,ROW()-36,COLUMN()*2-3)),"",INDEX(Array_StationaryChargeData,ROW()-36,COLUMN()*2-3))</f>
        <v/>
      </c>
      <c r="J185" t="str" cm="1">
        <f>IF(ISBLANK(INDEX(Array_StationaryChargeData,ROW()-36,COLUMN()*2-3)),"",INDEX(Array_StationaryChargeData,ROW()-36,COLUMN()*2-3))</f>
        <v/>
      </c>
      <c r="K185" t="str" cm="1">
        <f>IF(ISBLANK(INDEX(Array_StationaryChargeData,ROW()-36,COLUMN()*2-3)),"",INDEX(Array_StationaryChargeData,ROW()-36,COLUMN()*2-3))</f>
        <v/>
      </c>
      <c r="L185" t="str" cm="1">
        <f>IF(ISBLANK(INDEX(Array_StationaryChargeData,ROW()-36,COLUMN()*2-3)),"",INDEX(Array_StationaryChargeData,ROW()-36,COLUMN()*2-3))</f>
        <v/>
      </c>
      <c r="M185" t="str" cm="1">
        <f>IF(ISBLANK(INDEX(Array_StationaryChargeData,ROW()-36,COLUMN()*2-3)),"",INDEX(Array_StationaryChargeData,ROW()-36,COLUMN()*2-3))</f>
        <v/>
      </c>
      <c r="N185" t="str" cm="1">
        <f>IF(ISBLANK(INDEX(Array_StationaryChargeData,ROW()-36,COLUMN()*2-3)),"",INDEX(Array_StationaryChargeData,ROW()-36,COLUMN()*2-3))</f>
        <v/>
      </c>
      <c r="O185" t="str" cm="1">
        <f>IF(ISBLANK(INDEX(Array_StationaryChargeData,ROW()-36,COLUMN()*2-3)),"",INDEX(Array_StationaryChargeData,ROW()-36,COLUMN()*2-3))</f>
        <v/>
      </c>
      <c r="P185" t="str" cm="1">
        <f>IF(ISBLANK(INDEX(Array_StationaryChargeData,ROW()-36,COLUMN()*2-3)),"",INDEX(Array_StationaryChargeData,ROW()-36,COLUMN()*2-3))</f>
        <v/>
      </c>
    </row>
    <row r="186" spans="1:16" x14ac:dyDescent="0.35">
      <c r="A186" t="str">
        <f>IF('Stationary Fuel Meters'!B152="",A185,'Stationary Fuel Meters'!B152)</f>
        <v>Meter Numbers</v>
      </c>
      <c r="B186" t="str" cm="1">
        <f>IF(ISBLANK(INDEX(Array_StationaryChargeData,ROW()-36,COLUMN()*2-3)),"",INDEX(Array_StationaryChargeData,ROW()-36,COLUMN()*2-3))</f>
        <v/>
      </c>
      <c r="C186" t="str" cm="1">
        <f>IF(ISBLANK(INDEX(Array_StationaryChargeData,ROW()-36,COLUMN()*2-3)),"",INDEX(Array_StationaryChargeData,ROW()-36,COLUMN()*2-3))</f>
        <v/>
      </c>
      <c r="D186" t="str" cm="1">
        <f>IF(ISBLANK(INDEX(Array_StationaryChargeData,ROW()-36,COLUMN()*2-3)),"",INDEX(Array_StationaryChargeData,ROW()-36,COLUMN()*2-3))</f>
        <v/>
      </c>
      <c r="E186" t="str" cm="1">
        <f>IF(ISBLANK(INDEX(Array_StationaryChargeData,ROW()-36,COLUMN()*2-3)),"",INDEX(Array_StationaryChargeData,ROW()-36,COLUMN()*2-3))</f>
        <v/>
      </c>
      <c r="F186" t="str" cm="1">
        <f>IF(ISBLANK(INDEX(Array_StationaryChargeData,ROW()-36,COLUMN()*2-3)),"",INDEX(Array_StationaryChargeData,ROW()-36,COLUMN()*2-3))</f>
        <v/>
      </c>
      <c r="G186" t="str" cm="1">
        <f>IF(ISBLANK(INDEX(Array_StationaryChargeData,ROW()-36,COLUMN()*2-3)),"",INDEX(Array_StationaryChargeData,ROW()-36,COLUMN()*2-3))</f>
        <v/>
      </c>
      <c r="H186" t="str" cm="1">
        <f>IF(ISBLANK(INDEX(Array_StationaryChargeData,ROW()-36,COLUMN()*2-3)),"",INDEX(Array_StationaryChargeData,ROW()-36,COLUMN()*2-3))</f>
        <v/>
      </c>
      <c r="I186" t="str" cm="1">
        <f>IF(ISBLANK(INDEX(Array_StationaryChargeData,ROW()-36,COLUMN()*2-3)),"",INDEX(Array_StationaryChargeData,ROW()-36,COLUMN()*2-3))</f>
        <v/>
      </c>
      <c r="J186" t="str" cm="1">
        <f>IF(ISBLANK(INDEX(Array_StationaryChargeData,ROW()-36,COLUMN()*2-3)),"",INDEX(Array_StationaryChargeData,ROW()-36,COLUMN()*2-3))</f>
        <v/>
      </c>
      <c r="K186" t="str" cm="1">
        <f>IF(ISBLANK(INDEX(Array_StationaryChargeData,ROW()-36,COLUMN()*2-3)),"",INDEX(Array_StationaryChargeData,ROW()-36,COLUMN()*2-3))</f>
        <v/>
      </c>
      <c r="L186" t="str" cm="1">
        <f>IF(ISBLANK(INDEX(Array_StationaryChargeData,ROW()-36,COLUMN()*2-3)),"",INDEX(Array_StationaryChargeData,ROW()-36,COLUMN()*2-3))</f>
        <v/>
      </c>
      <c r="M186" t="str" cm="1">
        <f>IF(ISBLANK(INDEX(Array_StationaryChargeData,ROW()-36,COLUMN()*2-3)),"",INDEX(Array_StationaryChargeData,ROW()-36,COLUMN()*2-3))</f>
        <v/>
      </c>
      <c r="N186" t="str" cm="1">
        <f>IF(ISBLANK(INDEX(Array_StationaryChargeData,ROW()-36,COLUMN()*2-3)),"",INDEX(Array_StationaryChargeData,ROW()-36,COLUMN()*2-3))</f>
        <v/>
      </c>
      <c r="O186" t="str" cm="1">
        <f>IF(ISBLANK(INDEX(Array_StationaryChargeData,ROW()-36,COLUMN()*2-3)),"",INDEX(Array_StationaryChargeData,ROW()-36,COLUMN()*2-3))</f>
        <v/>
      </c>
      <c r="P186" t="str" cm="1">
        <f>IF(ISBLANK(INDEX(Array_StationaryChargeData,ROW()-36,COLUMN()*2-3)),"",INDEX(Array_StationaryChargeData,ROW()-36,COLUMN()*2-3))</f>
        <v/>
      </c>
    </row>
    <row r="187" spans="1:16" x14ac:dyDescent="0.35">
      <c r="A187" t="str">
        <f>IF('Stationary Fuel Meters'!B153="",A186,'Stationary Fuel Meters'!B153)</f>
        <v>Meter Numbers</v>
      </c>
      <c r="B187" t="str" cm="1">
        <f>IF(ISBLANK(INDEX(Array_StationaryChargeData,ROW()-36,COLUMN()*2-3)),"",INDEX(Array_StationaryChargeData,ROW()-36,COLUMN()*2-3))</f>
        <v/>
      </c>
      <c r="C187" t="str" cm="1">
        <f>IF(ISBLANK(INDEX(Array_StationaryChargeData,ROW()-36,COLUMN()*2-3)),"",INDEX(Array_StationaryChargeData,ROW()-36,COLUMN()*2-3))</f>
        <v/>
      </c>
      <c r="D187" t="str" cm="1">
        <f>IF(ISBLANK(INDEX(Array_StationaryChargeData,ROW()-36,COLUMN()*2-3)),"",INDEX(Array_StationaryChargeData,ROW()-36,COLUMN()*2-3))</f>
        <v/>
      </c>
      <c r="E187" t="str" cm="1">
        <f>IF(ISBLANK(INDEX(Array_StationaryChargeData,ROW()-36,COLUMN()*2-3)),"",INDEX(Array_StationaryChargeData,ROW()-36,COLUMN()*2-3))</f>
        <v/>
      </c>
      <c r="F187" t="str" cm="1">
        <f>IF(ISBLANK(INDEX(Array_StationaryChargeData,ROW()-36,COLUMN()*2-3)),"",INDEX(Array_StationaryChargeData,ROW()-36,COLUMN()*2-3))</f>
        <v/>
      </c>
      <c r="G187" t="str" cm="1">
        <f>IF(ISBLANK(INDEX(Array_StationaryChargeData,ROW()-36,COLUMN()*2-3)),"",INDEX(Array_StationaryChargeData,ROW()-36,COLUMN()*2-3))</f>
        <v/>
      </c>
      <c r="H187" t="str" cm="1">
        <f>IF(ISBLANK(INDEX(Array_StationaryChargeData,ROW()-36,COLUMN()*2-3)),"",INDEX(Array_StationaryChargeData,ROW()-36,COLUMN()*2-3))</f>
        <v/>
      </c>
      <c r="I187" t="str" cm="1">
        <f>IF(ISBLANK(INDEX(Array_StationaryChargeData,ROW()-36,COLUMN()*2-3)),"",INDEX(Array_StationaryChargeData,ROW()-36,COLUMN()*2-3))</f>
        <v/>
      </c>
      <c r="J187" t="str" cm="1">
        <f>IF(ISBLANK(INDEX(Array_StationaryChargeData,ROW()-36,COLUMN()*2-3)),"",INDEX(Array_StationaryChargeData,ROW()-36,COLUMN()*2-3))</f>
        <v/>
      </c>
      <c r="K187" t="str" cm="1">
        <f>IF(ISBLANK(INDEX(Array_StationaryChargeData,ROW()-36,COLUMN()*2-3)),"",INDEX(Array_StationaryChargeData,ROW()-36,COLUMN()*2-3))</f>
        <v/>
      </c>
      <c r="L187" t="str" cm="1">
        <f>IF(ISBLANK(INDEX(Array_StationaryChargeData,ROW()-36,COLUMN()*2-3)),"",INDEX(Array_StationaryChargeData,ROW()-36,COLUMN()*2-3))</f>
        <v/>
      </c>
      <c r="M187" t="str" cm="1">
        <f>IF(ISBLANK(INDEX(Array_StationaryChargeData,ROW()-36,COLUMN()*2-3)),"",INDEX(Array_StationaryChargeData,ROW()-36,COLUMN()*2-3))</f>
        <v/>
      </c>
      <c r="N187" t="str" cm="1">
        <f>IF(ISBLANK(INDEX(Array_StationaryChargeData,ROW()-36,COLUMN()*2-3)),"",INDEX(Array_StationaryChargeData,ROW()-36,COLUMN()*2-3))</f>
        <v/>
      </c>
      <c r="O187" t="str" cm="1">
        <f>IF(ISBLANK(INDEX(Array_StationaryChargeData,ROW()-36,COLUMN()*2-3)),"",INDEX(Array_StationaryChargeData,ROW()-36,COLUMN()*2-3))</f>
        <v/>
      </c>
      <c r="P187" t="str" cm="1">
        <f>IF(ISBLANK(INDEX(Array_StationaryChargeData,ROW()-36,COLUMN()*2-3)),"",INDEX(Array_StationaryChargeData,ROW()-36,COLUMN()*2-3))</f>
        <v/>
      </c>
    </row>
    <row r="188" spans="1:16" x14ac:dyDescent="0.35">
      <c r="A188" t="str">
        <f>IF('Stationary Fuel Meters'!B154="",A187,'Stationary Fuel Meters'!B154)</f>
        <v>Meter Numbers</v>
      </c>
      <c r="B188" t="str" cm="1">
        <f>IF(ISBLANK(INDEX(Array_StationaryChargeData,ROW()-36,COLUMN()*2-3)),"",INDEX(Array_StationaryChargeData,ROW()-36,COLUMN()*2-3))</f>
        <v/>
      </c>
      <c r="C188" t="str" cm="1">
        <f>IF(ISBLANK(INDEX(Array_StationaryChargeData,ROW()-36,COLUMN()*2-3)),"",INDEX(Array_StationaryChargeData,ROW()-36,COLUMN()*2-3))</f>
        <v/>
      </c>
      <c r="D188" t="str" cm="1">
        <f>IF(ISBLANK(INDEX(Array_StationaryChargeData,ROW()-36,COLUMN()*2-3)),"",INDEX(Array_StationaryChargeData,ROW()-36,COLUMN()*2-3))</f>
        <v/>
      </c>
      <c r="E188" t="str" cm="1">
        <f>IF(ISBLANK(INDEX(Array_StationaryChargeData,ROW()-36,COLUMN()*2-3)),"",INDEX(Array_StationaryChargeData,ROW()-36,COLUMN()*2-3))</f>
        <v/>
      </c>
      <c r="F188" t="str" cm="1">
        <f>IF(ISBLANK(INDEX(Array_StationaryChargeData,ROW()-36,COLUMN()*2-3)),"",INDEX(Array_StationaryChargeData,ROW()-36,COLUMN()*2-3))</f>
        <v/>
      </c>
      <c r="G188" t="str" cm="1">
        <f>IF(ISBLANK(INDEX(Array_StationaryChargeData,ROW()-36,COLUMN()*2-3)),"",INDEX(Array_StationaryChargeData,ROW()-36,COLUMN()*2-3))</f>
        <v/>
      </c>
      <c r="H188" t="str" cm="1">
        <f>IF(ISBLANK(INDEX(Array_StationaryChargeData,ROW()-36,COLUMN()*2-3)),"",INDEX(Array_StationaryChargeData,ROW()-36,COLUMN()*2-3))</f>
        <v/>
      </c>
      <c r="I188" t="str" cm="1">
        <f>IF(ISBLANK(INDEX(Array_StationaryChargeData,ROW()-36,COLUMN()*2-3)),"",INDEX(Array_StationaryChargeData,ROW()-36,COLUMN()*2-3))</f>
        <v/>
      </c>
      <c r="J188" t="str" cm="1">
        <f>IF(ISBLANK(INDEX(Array_StationaryChargeData,ROW()-36,COLUMN()*2-3)),"",INDEX(Array_StationaryChargeData,ROW()-36,COLUMN()*2-3))</f>
        <v/>
      </c>
      <c r="K188" t="str" cm="1">
        <f>IF(ISBLANK(INDEX(Array_StationaryChargeData,ROW()-36,COLUMN()*2-3)),"",INDEX(Array_StationaryChargeData,ROW()-36,COLUMN()*2-3))</f>
        <v/>
      </c>
      <c r="L188" t="str" cm="1">
        <f>IF(ISBLANK(INDEX(Array_StationaryChargeData,ROW()-36,COLUMN()*2-3)),"",INDEX(Array_StationaryChargeData,ROW()-36,COLUMN()*2-3))</f>
        <v/>
      </c>
      <c r="M188" t="str" cm="1">
        <f>IF(ISBLANK(INDEX(Array_StationaryChargeData,ROW()-36,COLUMN()*2-3)),"",INDEX(Array_StationaryChargeData,ROW()-36,COLUMN()*2-3))</f>
        <v/>
      </c>
      <c r="N188" t="str" cm="1">
        <f>IF(ISBLANK(INDEX(Array_StationaryChargeData,ROW()-36,COLUMN()*2-3)),"",INDEX(Array_StationaryChargeData,ROW()-36,COLUMN()*2-3))</f>
        <v/>
      </c>
      <c r="O188" t="str" cm="1">
        <f>IF(ISBLANK(INDEX(Array_StationaryChargeData,ROW()-36,COLUMN()*2-3)),"",INDEX(Array_StationaryChargeData,ROW()-36,COLUMN()*2-3))</f>
        <v/>
      </c>
      <c r="P188" t="str" cm="1">
        <f>IF(ISBLANK(INDEX(Array_StationaryChargeData,ROW()-36,COLUMN()*2-3)),"",INDEX(Array_StationaryChargeData,ROW()-36,COLUMN()*2-3))</f>
        <v/>
      </c>
    </row>
    <row r="189" spans="1:16" x14ac:dyDescent="0.35">
      <c r="A189" t="str">
        <f>IF('Stationary Fuel Meters'!B155="",A188,'Stationary Fuel Meters'!B155)</f>
        <v>Meter Numbers</v>
      </c>
      <c r="B189" t="str" cm="1">
        <f>IF(ISBLANK(INDEX(Array_StationaryChargeData,ROW()-36,COLUMN()*2-3)),"",INDEX(Array_StationaryChargeData,ROW()-36,COLUMN()*2-3))</f>
        <v/>
      </c>
      <c r="C189" t="str" cm="1">
        <f>IF(ISBLANK(INDEX(Array_StationaryChargeData,ROW()-36,COLUMN()*2-3)),"",INDEX(Array_StationaryChargeData,ROW()-36,COLUMN()*2-3))</f>
        <v/>
      </c>
      <c r="D189" t="str" cm="1">
        <f>IF(ISBLANK(INDEX(Array_StationaryChargeData,ROW()-36,COLUMN()*2-3)),"",INDEX(Array_StationaryChargeData,ROW()-36,COLUMN()*2-3))</f>
        <v/>
      </c>
      <c r="E189" t="str" cm="1">
        <f>IF(ISBLANK(INDEX(Array_StationaryChargeData,ROW()-36,COLUMN()*2-3)),"",INDEX(Array_StationaryChargeData,ROW()-36,COLUMN()*2-3))</f>
        <v/>
      </c>
      <c r="F189" t="str" cm="1">
        <f>IF(ISBLANK(INDEX(Array_StationaryChargeData,ROW()-36,COLUMN()*2-3)),"",INDEX(Array_StationaryChargeData,ROW()-36,COLUMN()*2-3))</f>
        <v/>
      </c>
      <c r="G189" t="str" cm="1">
        <f>IF(ISBLANK(INDEX(Array_StationaryChargeData,ROW()-36,COLUMN()*2-3)),"",INDEX(Array_StationaryChargeData,ROW()-36,COLUMN()*2-3))</f>
        <v/>
      </c>
      <c r="H189" t="str" cm="1">
        <f>IF(ISBLANK(INDEX(Array_StationaryChargeData,ROW()-36,COLUMN()*2-3)),"",INDEX(Array_StationaryChargeData,ROW()-36,COLUMN()*2-3))</f>
        <v/>
      </c>
      <c r="I189" t="str" cm="1">
        <f>IF(ISBLANK(INDEX(Array_StationaryChargeData,ROW()-36,COLUMN()*2-3)),"",INDEX(Array_StationaryChargeData,ROW()-36,COLUMN()*2-3))</f>
        <v/>
      </c>
      <c r="J189" t="str" cm="1">
        <f>IF(ISBLANK(INDEX(Array_StationaryChargeData,ROW()-36,COLUMN()*2-3)),"",INDEX(Array_StationaryChargeData,ROW()-36,COLUMN()*2-3))</f>
        <v/>
      </c>
      <c r="K189" t="str" cm="1">
        <f>IF(ISBLANK(INDEX(Array_StationaryChargeData,ROW()-36,COLUMN()*2-3)),"",INDEX(Array_StationaryChargeData,ROW()-36,COLUMN()*2-3))</f>
        <v/>
      </c>
      <c r="L189" t="str" cm="1">
        <f>IF(ISBLANK(INDEX(Array_StationaryChargeData,ROW()-36,COLUMN()*2-3)),"",INDEX(Array_StationaryChargeData,ROW()-36,COLUMN()*2-3))</f>
        <v/>
      </c>
      <c r="M189" t="str" cm="1">
        <f>IF(ISBLANK(INDEX(Array_StationaryChargeData,ROW()-36,COLUMN()*2-3)),"",INDEX(Array_StationaryChargeData,ROW()-36,COLUMN()*2-3))</f>
        <v/>
      </c>
      <c r="N189" t="str" cm="1">
        <f>IF(ISBLANK(INDEX(Array_StationaryChargeData,ROW()-36,COLUMN()*2-3)),"",INDEX(Array_StationaryChargeData,ROW()-36,COLUMN()*2-3))</f>
        <v/>
      </c>
      <c r="O189" t="str" cm="1">
        <f>IF(ISBLANK(INDEX(Array_StationaryChargeData,ROW()-36,COLUMN()*2-3)),"",INDEX(Array_StationaryChargeData,ROW()-36,COLUMN()*2-3))</f>
        <v/>
      </c>
      <c r="P189" t="str" cm="1">
        <f>IF(ISBLANK(INDEX(Array_StationaryChargeData,ROW()-36,COLUMN()*2-3)),"",INDEX(Array_StationaryChargeData,ROW()-36,COLUMN()*2-3))</f>
        <v/>
      </c>
    </row>
    <row r="190" spans="1:16" x14ac:dyDescent="0.35">
      <c r="A190" t="str">
        <f>IF('Stationary Fuel Meters'!B156="",A189,'Stationary Fuel Meters'!B156)</f>
        <v>Meter Numbers</v>
      </c>
      <c r="B190" t="str" cm="1">
        <f>IF(ISBLANK(INDEX(Array_StationaryChargeData,ROW()-36,COLUMN()*2-3)),"",INDEX(Array_StationaryChargeData,ROW()-36,COLUMN()*2-3))</f>
        <v/>
      </c>
      <c r="C190" t="str" cm="1">
        <f>IF(ISBLANK(INDEX(Array_StationaryChargeData,ROW()-36,COLUMN()*2-3)),"",INDEX(Array_StationaryChargeData,ROW()-36,COLUMN()*2-3))</f>
        <v/>
      </c>
      <c r="D190" t="str" cm="1">
        <f>IF(ISBLANK(INDEX(Array_StationaryChargeData,ROW()-36,COLUMN()*2-3)),"",INDEX(Array_StationaryChargeData,ROW()-36,COLUMN()*2-3))</f>
        <v/>
      </c>
      <c r="E190" t="str" cm="1">
        <f>IF(ISBLANK(INDEX(Array_StationaryChargeData,ROW()-36,COLUMN()*2-3)),"",INDEX(Array_StationaryChargeData,ROW()-36,COLUMN()*2-3))</f>
        <v/>
      </c>
      <c r="F190" t="str" cm="1">
        <f>IF(ISBLANK(INDEX(Array_StationaryChargeData,ROW()-36,COLUMN()*2-3)),"",INDEX(Array_StationaryChargeData,ROW()-36,COLUMN()*2-3))</f>
        <v/>
      </c>
      <c r="G190" t="str" cm="1">
        <f>IF(ISBLANK(INDEX(Array_StationaryChargeData,ROW()-36,COLUMN()*2-3)),"",INDEX(Array_StationaryChargeData,ROW()-36,COLUMN()*2-3))</f>
        <v/>
      </c>
      <c r="H190" t="str" cm="1">
        <f>IF(ISBLANK(INDEX(Array_StationaryChargeData,ROW()-36,COLUMN()*2-3)),"",INDEX(Array_StationaryChargeData,ROW()-36,COLUMN()*2-3))</f>
        <v/>
      </c>
      <c r="I190" t="str" cm="1">
        <f>IF(ISBLANK(INDEX(Array_StationaryChargeData,ROW()-36,COLUMN()*2-3)),"",INDEX(Array_StationaryChargeData,ROW()-36,COLUMN()*2-3))</f>
        <v/>
      </c>
      <c r="J190" t="str" cm="1">
        <f>IF(ISBLANK(INDEX(Array_StationaryChargeData,ROW()-36,COLUMN()*2-3)),"",INDEX(Array_StationaryChargeData,ROW()-36,COLUMN()*2-3))</f>
        <v/>
      </c>
      <c r="K190" t="str" cm="1">
        <f>IF(ISBLANK(INDEX(Array_StationaryChargeData,ROW()-36,COLUMN()*2-3)),"",INDEX(Array_StationaryChargeData,ROW()-36,COLUMN()*2-3))</f>
        <v/>
      </c>
      <c r="L190" t="str" cm="1">
        <f>IF(ISBLANK(INDEX(Array_StationaryChargeData,ROW()-36,COLUMN()*2-3)),"",INDEX(Array_StationaryChargeData,ROW()-36,COLUMN()*2-3))</f>
        <v/>
      </c>
      <c r="M190" t="str" cm="1">
        <f>IF(ISBLANK(INDEX(Array_StationaryChargeData,ROW()-36,COLUMN()*2-3)),"",INDEX(Array_StationaryChargeData,ROW()-36,COLUMN()*2-3))</f>
        <v/>
      </c>
      <c r="N190" t="str" cm="1">
        <f>IF(ISBLANK(INDEX(Array_StationaryChargeData,ROW()-36,COLUMN()*2-3)),"",INDEX(Array_StationaryChargeData,ROW()-36,COLUMN()*2-3))</f>
        <v/>
      </c>
      <c r="O190" t="str" cm="1">
        <f>IF(ISBLANK(INDEX(Array_StationaryChargeData,ROW()-36,COLUMN()*2-3)),"",INDEX(Array_StationaryChargeData,ROW()-36,COLUMN()*2-3))</f>
        <v/>
      </c>
      <c r="P190" t="str" cm="1">
        <f>IF(ISBLANK(INDEX(Array_StationaryChargeData,ROW()-36,COLUMN()*2-3)),"",INDEX(Array_StationaryChargeData,ROW()-36,COLUMN()*2-3))</f>
        <v/>
      </c>
    </row>
    <row r="191" spans="1:16" x14ac:dyDescent="0.35">
      <c r="A191" t="str">
        <f>IF('Stationary Fuel Meters'!B157="",A190,'Stationary Fuel Meters'!B157)</f>
        <v>Meter Numbers</v>
      </c>
      <c r="B191" t="str" cm="1">
        <f>IF(ISBLANK(INDEX(Array_StationaryChargeData,ROW()-36,COLUMN()*2-3)),"",INDEX(Array_StationaryChargeData,ROW()-36,COLUMN()*2-3))</f>
        <v/>
      </c>
      <c r="C191" t="str" cm="1">
        <f>IF(ISBLANK(INDEX(Array_StationaryChargeData,ROW()-36,COLUMN()*2-3)),"",INDEX(Array_StationaryChargeData,ROW()-36,COLUMN()*2-3))</f>
        <v/>
      </c>
      <c r="D191" t="str" cm="1">
        <f>IF(ISBLANK(INDEX(Array_StationaryChargeData,ROW()-36,COLUMN()*2-3)),"",INDEX(Array_StationaryChargeData,ROW()-36,COLUMN()*2-3))</f>
        <v/>
      </c>
      <c r="E191" t="str" cm="1">
        <f>IF(ISBLANK(INDEX(Array_StationaryChargeData,ROW()-36,COLUMN()*2-3)),"",INDEX(Array_StationaryChargeData,ROW()-36,COLUMN()*2-3))</f>
        <v/>
      </c>
      <c r="F191" t="str" cm="1">
        <f>IF(ISBLANK(INDEX(Array_StationaryChargeData,ROW()-36,COLUMN()*2-3)),"",INDEX(Array_StationaryChargeData,ROW()-36,COLUMN()*2-3))</f>
        <v/>
      </c>
      <c r="G191" t="str" cm="1">
        <f>IF(ISBLANK(INDEX(Array_StationaryChargeData,ROW()-36,COLUMN()*2-3)),"",INDEX(Array_StationaryChargeData,ROW()-36,COLUMN()*2-3))</f>
        <v/>
      </c>
      <c r="H191" t="str" cm="1">
        <f>IF(ISBLANK(INDEX(Array_StationaryChargeData,ROW()-36,COLUMN()*2-3)),"",INDEX(Array_StationaryChargeData,ROW()-36,COLUMN()*2-3))</f>
        <v/>
      </c>
      <c r="I191" t="str" cm="1">
        <f>IF(ISBLANK(INDEX(Array_StationaryChargeData,ROW()-36,COLUMN()*2-3)),"",INDEX(Array_StationaryChargeData,ROW()-36,COLUMN()*2-3))</f>
        <v/>
      </c>
      <c r="J191" t="str" cm="1">
        <f>IF(ISBLANK(INDEX(Array_StationaryChargeData,ROW()-36,COLUMN()*2-3)),"",INDEX(Array_StationaryChargeData,ROW()-36,COLUMN()*2-3))</f>
        <v/>
      </c>
      <c r="K191" t="str" cm="1">
        <f>IF(ISBLANK(INDEX(Array_StationaryChargeData,ROW()-36,COLUMN()*2-3)),"",INDEX(Array_StationaryChargeData,ROW()-36,COLUMN()*2-3))</f>
        <v/>
      </c>
      <c r="L191" t="str" cm="1">
        <f>IF(ISBLANK(INDEX(Array_StationaryChargeData,ROW()-36,COLUMN()*2-3)),"",INDEX(Array_StationaryChargeData,ROW()-36,COLUMN()*2-3))</f>
        <v/>
      </c>
      <c r="M191" t="str" cm="1">
        <f>IF(ISBLANK(INDEX(Array_StationaryChargeData,ROW()-36,COLUMN()*2-3)),"",INDEX(Array_StationaryChargeData,ROW()-36,COLUMN()*2-3))</f>
        <v/>
      </c>
      <c r="N191" t="str" cm="1">
        <f>IF(ISBLANK(INDEX(Array_StationaryChargeData,ROW()-36,COLUMN()*2-3)),"",INDEX(Array_StationaryChargeData,ROW()-36,COLUMN()*2-3))</f>
        <v/>
      </c>
      <c r="O191" t="str" cm="1">
        <f>IF(ISBLANK(INDEX(Array_StationaryChargeData,ROW()-36,COLUMN()*2-3)),"",INDEX(Array_StationaryChargeData,ROW()-36,COLUMN()*2-3))</f>
        <v/>
      </c>
      <c r="P191" t="str" cm="1">
        <f>IF(ISBLANK(INDEX(Array_StationaryChargeData,ROW()-36,COLUMN()*2-3)),"",INDEX(Array_StationaryChargeData,ROW()-36,COLUMN()*2-3))</f>
        <v/>
      </c>
    </row>
    <row r="192" spans="1:16" x14ac:dyDescent="0.35">
      <c r="A192" t="str">
        <f>IF('Stationary Fuel Meters'!B158="",A191,'Stationary Fuel Meters'!B158)</f>
        <v>Meter Numbers</v>
      </c>
      <c r="B192" t="str" cm="1">
        <f>IF(ISBLANK(INDEX(Array_StationaryChargeData,ROW()-36,COLUMN()*2-3)),"",INDEX(Array_StationaryChargeData,ROW()-36,COLUMN()*2-3))</f>
        <v/>
      </c>
      <c r="C192" t="str" cm="1">
        <f>IF(ISBLANK(INDEX(Array_StationaryChargeData,ROW()-36,COLUMN()*2-3)),"",INDEX(Array_StationaryChargeData,ROW()-36,COLUMN()*2-3))</f>
        <v/>
      </c>
      <c r="D192" t="str" cm="1">
        <f>IF(ISBLANK(INDEX(Array_StationaryChargeData,ROW()-36,COLUMN()*2-3)),"",INDEX(Array_StationaryChargeData,ROW()-36,COLUMN()*2-3))</f>
        <v/>
      </c>
      <c r="E192" t="str" cm="1">
        <f>IF(ISBLANK(INDEX(Array_StationaryChargeData,ROW()-36,COLUMN()*2-3)),"",INDEX(Array_StationaryChargeData,ROW()-36,COLUMN()*2-3))</f>
        <v/>
      </c>
      <c r="F192" t="str" cm="1">
        <f>IF(ISBLANK(INDEX(Array_StationaryChargeData,ROW()-36,COLUMN()*2-3)),"",INDEX(Array_StationaryChargeData,ROW()-36,COLUMN()*2-3))</f>
        <v/>
      </c>
      <c r="G192" t="str" cm="1">
        <f>IF(ISBLANK(INDEX(Array_StationaryChargeData,ROW()-36,COLUMN()*2-3)),"",INDEX(Array_StationaryChargeData,ROW()-36,COLUMN()*2-3))</f>
        <v/>
      </c>
      <c r="H192" t="str" cm="1">
        <f>IF(ISBLANK(INDEX(Array_StationaryChargeData,ROW()-36,COLUMN()*2-3)),"",INDEX(Array_StationaryChargeData,ROW()-36,COLUMN()*2-3))</f>
        <v/>
      </c>
      <c r="I192" t="str" cm="1">
        <f>IF(ISBLANK(INDEX(Array_StationaryChargeData,ROW()-36,COLUMN()*2-3)),"",INDEX(Array_StationaryChargeData,ROW()-36,COLUMN()*2-3))</f>
        <v/>
      </c>
      <c r="J192" t="str" cm="1">
        <f>IF(ISBLANK(INDEX(Array_StationaryChargeData,ROW()-36,COLUMN()*2-3)),"",INDEX(Array_StationaryChargeData,ROW()-36,COLUMN()*2-3))</f>
        <v/>
      </c>
      <c r="K192" t="str" cm="1">
        <f>IF(ISBLANK(INDEX(Array_StationaryChargeData,ROW()-36,COLUMN()*2-3)),"",INDEX(Array_StationaryChargeData,ROW()-36,COLUMN()*2-3))</f>
        <v/>
      </c>
      <c r="L192" t="str" cm="1">
        <f>IF(ISBLANK(INDEX(Array_StationaryChargeData,ROW()-36,COLUMN()*2-3)),"",INDEX(Array_StationaryChargeData,ROW()-36,COLUMN()*2-3))</f>
        <v/>
      </c>
      <c r="M192" t="str" cm="1">
        <f>IF(ISBLANK(INDEX(Array_StationaryChargeData,ROW()-36,COLUMN()*2-3)),"",INDEX(Array_StationaryChargeData,ROW()-36,COLUMN()*2-3))</f>
        <v/>
      </c>
      <c r="N192" t="str" cm="1">
        <f>IF(ISBLANK(INDEX(Array_StationaryChargeData,ROW()-36,COLUMN()*2-3)),"",INDEX(Array_StationaryChargeData,ROW()-36,COLUMN()*2-3))</f>
        <v/>
      </c>
      <c r="O192" t="str" cm="1">
        <f>IF(ISBLANK(INDEX(Array_StationaryChargeData,ROW()-36,COLUMN()*2-3)),"",INDEX(Array_StationaryChargeData,ROW()-36,COLUMN()*2-3))</f>
        <v/>
      </c>
      <c r="P192" t="str" cm="1">
        <f>IF(ISBLANK(INDEX(Array_StationaryChargeData,ROW()-36,COLUMN()*2-3)),"",INDEX(Array_StationaryChargeData,ROW()-36,COLUMN()*2-3))</f>
        <v/>
      </c>
    </row>
    <row r="193" spans="1:16" x14ac:dyDescent="0.35">
      <c r="A193" t="str">
        <f>IF('Stationary Fuel Meters'!B159="",A192,'Stationary Fuel Meters'!B159)</f>
        <v>Meter Numbers</v>
      </c>
      <c r="B193" t="str" cm="1">
        <f>IF(ISBLANK(INDEX(Array_StationaryChargeData,ROW()-36,COLUMN()*2-3)),"",INDEX(Array_StationaryChargeData,ROW()-36,COLUMN()*2-3))</f>
        <v/>
      </c>
      <c r="C193" t="str" cm="1">
        <f>IF(ISBLANK(INDEX(Array_StationaryChargeData,ROW()-36,COLUMN()*2-3)),"",INDEX(Array_StationaryChargeData,ROW()-36,COLUMN()*2-3))</f>
        <v/>
      </c>
      <c r="D193" t="str" cm="1">
        <f>IF(ISBLANK(INDEX(Array_StationaryChargeData,ROW()-36,COLUMN()*2-3)),"",INDEX(Array_StationaryChargeData,ROW()-36,COLUMN()*2-3))</f>
        <v/>
      </c>
      <c r="E193" t="str" cm="1">
        <f>IF(ISBLANK(INDEX(Array_StationaryChargeData,ROW()-36,COLUMN()*2-3)),"",INDEX(Array_StationaryChargeData,ROW()-36,COLUMN()*2-3))</f>
        <v/>
      </c>
      <c r="F193" t="str" cm="1">
        <f>IF(ISBLANK(INDEX(Array_StationaryChargeData,ROW()-36,COLUMN()*2-3)),"",INDEX(Array_StationaryChargeData,ROW()-36,COLUMN()*2-3))</f>
        <v/>
      </c>
      <c r="G193" t="str" cm="1">
        <f>IF(ISBLANK(INDEX(Array_StationaryChargeData,ROW()-36,COLUMN()*2-3)),"",INDEX(Array_StationaryChargeData,ROW()-36,COLUMN()*2-3))</f>
        <v/>
      </c>
      <c r="H193" t="str" cm="1">
        <f>IF(ISBLANK(INDEX(Array_StationaryChargeData,ROW()-36,COLUMN()*2-3)),"",INDEX(Array_StationaryChargeData,ROW()-36,COLUMN()*2-3))</f>
        <v/>
      </c>
      <c r="I193" t="str" cm="1">
        <f>IF(ISBLANK(INDEX(Array_StationaryChargeData,ROW()-36,COLUMN()*2-3)),"",INDEX(Array_StationaryChargeData,ROW()-36,COLUMN()*2-3))</f>
        <v/>
      </c>
      <c r="J193" t="str" cm="1">
        <f>IF(ISBLANK(INDEX(Array_StationaryChargeData,ROW()-36,COLUMN()*2-3)),"",INDEX(Array_StationaryChargeData,ROW()-36,COLUMN()*2-3))</f>
        <v/>
      </c>
      <c r="K193" t="str" cm="1">
        <f>IF(ISBLANK(INDEX(Array_StationaryChargeData,ROW()-36,COLUMN()*2-3)),"",INDEX(Array_StationaryChargeData,ROW()-36,COLUMN()*2-3))</f>
        <v/>
      </c>
      <c r="L193" t="str" cm="1">
        <f>IF(ISBLANK(INDEX(Array_StationaryChargeData,ROW()-36,COLUMN()*2-3)),"",INDEX(Array_StationaryChargeData,ROW()-36,COLUMN()*2-3))</f>
        <v/>
      </c>
      <c r="M193" t="str" cm="1">
        <f>IF(ISBLANK(INDEX(Array_StationaryChargeData,ROW()-36,COLUMN()*2-3)),"",INDEX(Array_StationaryChargeData,ROW()-36,COLUMN()*2-3))</f>
        <v/>
      </c>
      <c r="N193" t="str" cm="1">
        <f>IF(ISBLANK(INDEX(Array_StationaryChargeData,ROW()-36,COLUMN()*2-3)),"",INDEX(Array_StationaryChargeData,ROW()-36,COLUMN()*2-3))</f>
        <v/>
      </c>
      <c r="O193" t="str" cm="1">
        <f>IF(ISBLANK(INDEX(Array_StationaryChargeData,ROW()-36,COLUMN()*2-3)),"",INDEX(Array_StationaryChargeData,ROW()-36,COLUMN()*2-3))</f>
        <v/>
      </c>
      <c r="P193" t="str" cm="1">
        <f>IF(ISBLANK(INDEX(Array_StationaryChargeData,ROW()-36,COLUMN()*2-3)),"",INDEX(Array_StationaryChargeData,ROW()-36,COLUMN()*2-3))</f>
        <v/>
      </c>
    </row>
    <row r="194" spans="1:16" x14ac:dyDescent="0.35">
      <c r="A194" t="str">
        <f>IF('Stationary Fuel Meters'!B160="",A193,'Stationary Fuel Meters'!B160)</f>
        <v>Meter Numbers</v>
      </c>
      <c r="B194" t="str" cm="1">
        <f>IF(ISBLANK(INDEX(Array_StationaryChargeData,ROW()-36,COLUMN()*2-3)),"",INDEX(Array_StationaryChargeData,ROW()-36,COLUMN()*2-3))</f>
        <v/>
      </c>
      <c r="C194" t="str" cm="1">
        <f>IF(ISBLANK(INDEX(Array_StationaryChargeData,ROW()-36,COLUMN()*2-3)),"",INDEX(Array_StationaryChargeData,ROW()-36,COLUMN()*2-3))</f>
        <v/>
      </c>
      <c r="D194" t="str" cm="1">
        <f>IF(ISBLANK(INDEX(Array_StationaryChargeData,ROW()-36,COLUMN()*2-3)),"",INDEX(Array_StationaryChargeData,ROW()-36,COLUMN()*2-3))</f>
        <v/>
      </c>
      <c r="E194" t="str" cm="1">
        <f>IF(ISBLANK(INDEX(Array_StationaryChargeData,ROW()-36,COLUMN()*2-3)),"",INDEX(Array_StationaryChargeData,ROW()-36,COLUMN()*2-3))</f>
        <v/>
      </c>
      <c r="F194" t="str" cm="1">
        <f>IF(ISBLANK(INDEX(Array_StationaryChargeData,ROW()-36,COLUMN()*2-3)),"",INDEX(Array_StationaryChargeData,ROW()-36,COLUMN()*2-3))</f>
        <v/>
      </c>
      <c r="G194" t="str" cm="1">
        <f>IF(ISBLANK(INDEX(Array_StationaryChargeData,ROW()-36,COLUMN()*2-3)),"",INDEX(Array_StationaryChargeData,ROW()-36,COLUMN()*2-3))</f>
        <v/>
      </c>
      <c r="H194" t="str" cm="1">
        <f>IF(ISBLANK(INDEX(Array_StationaryChargeData,ROW()-36,COLUMN()*2-3)),"",INDEX(Array_StationaryChargeData,ROW()-36,COLUMN()*2-3))</f>
        <v/>
      </c>
      <c r="I194" t="str" cm="1">
        <f>IF(ISBLANK(INDEX(Array_StationaryChargeData,ROW()-36,COLUMN()*2-3)),"",INDEX(Array_StationaryChargeData,ROW()-36,COLUMN()*2-3))</f>
        <v/>
      </c>
      <c r="J194" t="str" cm="1">
        <f>IF(ISBLANK(INDEX(Array_StationaryChargeData,ROW()-36,COLUMN()*2-3)),"",INDEX(Array_StationaryChargeData,ROW()-36,COLUMN()*2-3))</f>
        <v/>
      </c>
      <c r="K194" t="str" cm="1">
        <f>IF(ISBLANK(INDEX(Array_StationaryChargeData,ROW()-36,COLUMN()*2-3)),"",INDEX(Array_StationaryChargeData,ROW()-36,COLUMN()*2-3))</f>
        <v/>
      </c>
      <c r="L194" t="str" cm="1">
        <f>IF(ISBLANK(INDEX(Array_StationaryChargeData,ROW()-36,COLUMN()*2-3)),"",INDEX(Array_StationaryChargeData,ROW()-36,COLUMN()*2-3))</f>
        <v/>
      </c>
      <c r="M194" t="str" cm="1">
        <f>IF(ISBLANK(INDEX(Array_StationaryChargeData,ROW()-36,COLUMN()*2-3)),"",INDEX(Array_StationaryChargeData,ROW()-36,COLUMN()*2-3))</f>
        <v/>
      </c>
      <c r="N194" t="str" cm="1">
        <f>IF(ISBLANK(INDEX(Array_StationaryChargeData,ROW()-36,COLUMN()*2-3)),"",INDEX(Array_StationaryChargeData,ROW()-36,COLUMN()*2-3))</f>
        <v/>
      </c>
      <c r="O194" t="str" cm="1">
        <f>IF(ISBLANK(INDEX(Array_StationaryChargeData,ROW()-36,COLUMN()*2-3)),"",INDEX(Array_StationaryChargeData,ROW()-36,COLUMN()*2-3))</f>
        <v/>
      </c>
      <c r="P194" t="str" cm="1">
        <f>IF(ISBLANK(INDEX(Array_StationaryChargeData,ROW()-36,COLUMN()*2-3)),"",INDEX(Array_StationaryChargeData,ROW()-36,COLUMN()*2-3))</f>
        <v/>
      </c>
    </row>
    <row r="195" spans="1:16" x14ac:dyDescent="0.35">
      <c r="A195" t="str">
        <f>IF('Stationary Fuel Meters'!B161="",A194,'Stationary Fuel Meters'!B161)</f>
        <v>Meter Numbers</v>
      </c>
      <c r="B195" t="str" cm="1">
        <f>IF(ISBLANK(INDEX(Array_StationaryChargeData,ROW()-36,COLUMN()*2-3)),"",INDEX(Array_StationaryChargeData,ROW()-36,COLUMN()*2-3))</f>
        <v/>
      </c>
      <c r="C195" t="str" cm="1">
        <f>IF(ISBLANK(INDEX(Array_StationaryChargeData,ROW()-36,COLUMN()*2-3)),"",INDEX(Array_StationaryChargeData,ROW()-36,COLUMN()*2-3))</f>
        <v/>
      </c>
      <c r="D195" t="str" cm="1">
        <f>IF(ISBLANK(INDEX(Array_StationaryChargeData,ROW()-36,COLUMN()*2-3)),"",INDEX(Array_StationaryChargeData,ROW()-36,COLUMN()*2-3))</f>
        <v/>
      </c>
      <c r="E195" t="str" cm="1">
        <f>IF(ISBLANK(INDEX(Array_StationaryChargeData,ROW()-36,COLUMN()*2-3)),"",INDEX(Array_StationaryChargeData,ROW()-36,COLUMN()*2-3))</f>
        <v/>
      </c>
      <c r="F195" t="str" cm="1">
        <f>IF(ISBLANK(INDEX(Array_StationaryChargeData,ROW()-36,COLUMN()*2-3)),"",INDEX(Array_StationaryChargeData,ROW()-36,COLUMN()*2-3))</f>
        <v/>
      </c>
      <c r="G195" t="str" cm="1">
        <f>IF(ISBLANK(INDEX(Array_StationaryChargeData,ROW()-36,COLUMN()*2-3)),"",INDEX(Array_StationaryChargeData,ROW()-36,COLUMN()*2-3))</f>
        <v/>
      </c>
      <c r="H195" t="str" cm="1">
        <f>IF(ISBLANK(INDEX(Array_StationaryChargeData,ROW()-36,COLUMN()*2-3)),"",INDEX(Array_StationaryChargeData,ROW()-36,COLUMN()*2-3))</f>
        <v/>
      </c>
      <c r="I195" t="str" cm="1">
        <f>IF(ISBLANK(INDEX(Array_StationaryChargeData,ROW()-36,COLUMN()*2-3)),"",INDEX(Array_StationaryChargeData,ROW()-36,COLUMN()*2-3))</f>
        <v/>
      </c>
      <c r="J195" t="str" cm="1">
        <f>IF(ISBLANK(INDEX(Array_StationaryChargeData,ROW()-36,COLUMN()*2-3)),"",INDEX(Array_StationaryChargeData,ROW()-36,COLUMN()*2-3))</f>
        <v/>
      </c>
      <c r="K195" t="str" cm="1">
        <f>IF(ISBLANK(INDEX(Array_StationaryChargeData,ROW()-36,COLUMN()*2-3)),"",INDEX(Array_StationaryChargeData,ROW()-36,COLUMN()*2-3))</f>
        <v/>
      </c>
      <c r="L195" t="str" cm="1">
        <f>IF(ISBLANK(INDEX(Array_StationaryChargeData,ROW()-36,COLUMN()*2-3)),"",INDEX(Array_StationaryChargeData,ROW()-36,COLUMN()*2-3))</f>
        <v/>
      </c>
      <c r="M195" t="str" cm="1">
        <f>IF(ISBLANK(INDEX(Array_StationaryChargeData,ROW()-36,COLUMN()*2-3)),"",INDEX(Array_StationaryChargeData,ROW()-36,COLUMN()*2-3))</f>
        <v/>
      </c>
      <c r="N195" t="str" cm="1">
        <f>IF(ISBLANK(INDEX(Array_StationaryChargeData,ROW()-36,COLUMN()*2-3)),"",INDEX(Array_StationaryChargeData,ROW()-36,COLUMN()*2-3))</f>
        <v/>
      </c>
      <c r="O195" t="str" cm="1">
        <f>IF(ISBLANK(INDEX(Array_StationaryChargeData,ROW()-36,COLUMN()*2-3)),"",INDEX(Array_StationaryChargeData,ROW()-36,COLUMN()*2-3))</f>
        <v/>
      </c>
      <c r="P195" t="str" cm="1">
        <f>IF(ISBLANK(INDEX(Array_StationaryChargeData,ROW()-36,COLUMN()*2-3)),"",INDEX(Array_StationaryChargeData,ROW()-36,COLUMN()*2-3))</f>
        <v/>
      </c>
    </row>
    <row r="196" spans="1:16" x14ac:dyDescent="0.35">
      <c r="A196" t="str">
        <f>IF('Stationary Fuel Meters'!B162="",A195,'Stationary Fuel Meters'!B162)</f>
        <v>Meter Numbers</v>
      </c>
      <c r="B196" t="str" cm="1">
        <f>IF(ISBLANK(INDEX(Array_StationaryChargeData,ROW()-36,COLUMN()*2-3)),"",INDEX(Array_StationaryChargeData,ROW()-36,COLUMN()*2-3))</f>
        <v/>
      </c>
      <c r="C196" t="str" cm="1">
        <f>IF(ISBLANK(INDEX(Array_StationaryChargeData,ROW()-36,COLUMN()*2-3)),"",INDEX(Array_StationaryChargeData,ROW()-36,COLUMN()*2-3))</f>
        <v/>
      </c>
      <c r="D196" t="str" cm="1">
        <f>IF(ISBLANK(INDEX(Array_StationaryChargeData,ROW()-36,COLUMN()*2-3)),"",INDEX(Array_StationaryChargeData,ROW()-36,COLUMN()*2-3))</f>
        <v/>
      </c>
      <c r="E196" t="str" cm="1">
        <f>IF(ISBLANK(INDEX(Array_StationaryChargeData,ROW()-36,COLUMN()*2-3)),"",INDEX(Array_StationaryChargeData,ROW()-36,COLUMN()*2-3))</f>
        <v/>
      </c>
      <c r="F196" t="str" cm="1">
        <f>IF(ISBLANK(INDEX(Array_StationaryChargeData,ROW()-36,COLUMN()*2-3)),"",INDEX(Array_StationaryChargeData,ROW()-36,COLUMN()*2-3))</f>
        <v/>
      </c>
      <c r="G196" t="str" cm="1">
        <f>IF(ISBLANK(INDEX(Array_StationaryChargeData,ROW()-36,COLUMN()*2-3)),"",INDEX(Array_StationaryChargeData,ROW()-36,COLUMN()*2-3))</f>
        <v/>
      </c>
      <c r="H196" t="str" cm="1">
        <f>IF(ISBLANK(INDEX(Array_StationaryChargeData,ROW()-36,COLUMN()*2-3)),"",INDEX(Array_StationaryChargeData,ROW()-36,COLUMN()*2-3))</f>
        <v/>
      </c>
      <c r="I196" t="str" cm="1">
        <f>IF(ISBLANK(INDEX(Array_StationaryChargeData,ROW()-36,COLUMN()*2-3)),"",INDEX(Array_StationaryChargeData,ROW()-36,COLUMN()*2-3))</f>
        <v/>
      </c>
      <c r="J196" t="str" cm="1">
        <f>IF(ISBLANK(INDEX(Array_StationaryChargeData,ROW()-36,COLUMN()*2-3)),"",INDEX(Array_StationaryChargeData,ROW()-36,COLUMN()*2-3))</f>
        <v/>
      </c>
      <c r="K196" t="str" cm="1">
        <f>IF(ISBLANK(INDEX(Array_StationaryChargeData,ROW()-36,COLUMN()*2-3)),"",INDEX(Array_StationaryChargeData,ROW()-36,COLUMN()*2-3))</f>
        <v/>
      </c>
      <c r="L196" t="str" cm="1">
        <f>IF(ISBLANK(INDEX(Array_StationaryChargeData,ROW()-36,COLUMN()*2-3)),"",INDEX(Array_StationaryChargeData,ROW()-36,COLUMN()*2-3))</f>
        <v/>
      </c>
      <c r="M196" t="str" cm="1">
        <f>IF(ISBLANK(INDEX(Array_StationaryChargeData,ROW()-36,COLUMN()*2-3)),"",INDEX(Array_StationaryChargeData,ROW()-36,COLUMN()*2-3))</f>
        <v/>
      </c>
      <c r="N196" t="str" cm="1">
        <f>IF(ISBLANK(INDEX(Array_StationaryChargeData,ROW()-36,COLUMN()*2-3)),"",INDEX(Array_StationaryChargeData,ROW()-36,COLUMN()*2-3))</f>
        <v/>
      </c>
      <c r="O196" t="str" cm="1">
        <f>IF(ISBLANK(INDEX(Array_StationaryChargeData,ROW()-36,COLUMN()*2-3)),"",INDEX(Array_StationaryChargeData,ROW()-36,COLUMN()*2-3))</f>
        <v/>
      </c>
      <c r="P196" t="str" cm="1">
        <f>IF(ISBLANK(INDEX(Array_StationaryChargeData,ROW()-36,COLUMN()*2-3)),"",INDEX(Array_StationaryChargeData,ROW()-36,COLUMN()*2-3))</f>
        <v/>
      </c>
    </row>
    <row r="197" spans="1:16" x14ac:dyDescent="0.35">
      <c r="A197" t="str">
        <f>IF('Stationary Fuel Meters'!B163="",A196,'Stationary Fuel Meters'!B163)</f>
        <v>Meter Numbers</v>
      </c>
      <c r="B197" t="str" cm="1">
        <f>IF(ISBLANK(INDEX(Array_StationaryChargeData,ROW()-36,COLUMN()*2-3)),"",INDEX(Array_StationaryChargeData,ROW()-36,COLUMN()*2-3))</f>
        <v/>
      </c>
      <c r="C197" t="str" cm="1">
        <f>IF(ISBLANK(INDEX(Array_StationaryChargeData,ROW()-36,COLUMN()*2-3)),"",INDEX(Array_StationaryChargeData,ROW()-36,COLUMN()*2-3))</f>
        <v/>
      </c>
      <c r="D197" t="str" cm="1">
        <f>IF(ISBLANK(INDEX(Array_StationaryChargeData,ROW()-36,COLUMN()*2-3)),"",INDEX(Array_StationaryChargeData,ROW()-36,COLUMN()*2-3))</f>
        <v/>
      </c>
      <c r="E197" t="str" cm="1">
        <f>IF(ISBLANK(INDEX(Array_StationaryChargeData,ROW()-36,COLUMN()*2-3)),"",INDEX(Array_StationaryChargeData,ROW()-36,COLUMN()*2-3))</f>
        <v/>
      </c>
      <c r="F197" t="str" cm="1">
        <f>IF(ISBLANK(INDEX(Array_StationaryChargeData,ROW()-36,COLUMN()*2-3)),"",INDEX(Array_StationaryChargeData,ROW()-36,COLUMN()*2-3))</f>
        <v/>
      </c>
      <c r="G197" t="str" cm="1">
        <f>IF(ISBLANK(INDEX(Array_StationaryChargeData,ROW()-36,COLUMN()*2-3)),"",INDEX(Array_StationaryChargeData,ROW()-36,COLUMN()*2-3))</f>
        <v/>
      </c>
      <c r="H197" t="str" cm="1">
        <f>IF(ISBLANK(INDEX(Array_StationaryChargeData,ROW()-36,COLUMN()*2-3)),"",INDEX(Array_StationaryChargeData,ROW()-36,COLUMN()*2-3))</f>
        <v/>
      </c>
      <c r="I197" t="str" cm="1">
        <f>IF(ISBLANK(INDEX(Array_StationaryChargeData,ROW()-36,COLUMN()*2-3)),"",INDEX(Array_StationaryChargeData,ROW()-36,COLUMN()*2-3))</f>
        <v/>
      </c>
      <c r="J197" t="str" cm="1">
        <f>IF(ISBLANK(INDEX(Array_StationaryChargeData,ROW()-36,COLUMN()*2-3)),"",INDEX(Array_StationaryChargeData,ROW()-36,COLUMN()*2-3))</f>
        <v/>
      </c>
      <c r="K197" t="str" cm="1">
        <f>IF(ISBLANK(INDEX(Array_StationaryChargeData,ROW()-36,COLUMN()*2-3)),"",INDEX(Array_StationaryChargeData,ROW()-36,COLUMN()*2-3))</f>
        <v/>
      </c>
      <c r="L197" t="str" cm="1">
        <f>IF(ISBLANK(INDEX(Array_StationaryChargeData,ROW()-36,COLUMN()*2-3)),"",INDEX(Array_StationaryChargeData,ROW()-36,COLUMN()*2-3))</f>
        <v/>
      </c>
      <c r="M197" t="str" cm="1">
        <f>IF(ISBLANK(INDEX(Array_StationaryChargeData,ROW()-36,COLUMN()*2-3)),"",INDEX(Array_StationaryChargeData,ROW()-36,COLUMN()*2-3))</f>
        <v/>
      </c>
      <c r="N197" t="str" cm="1">
        <f>IF(ISBLANK(INDEX(Array_StationaryChargeData,ROW()-36,COLUMN()*2-3)),"",INDEX(Array_StationaryChargeData,ROW()-36,COLUMN()*2-3))</f>
        <v/>
      </c>
      <c r="O197" t="str" cm="1">
        <f>IF(ISBLANK(INDEX(Array_StationaryChargeData,ROW()-36,COLUMN()*2-3)),"",INDEX(Array_StationaryChargeData,ROW()-36,COLUMN()*2-3))</f>
        <v/>
      </c>
      <c r="P197" t="str" cm="1">
        <f>IF(ISBLANK(INDEX(Array_StationaryChargeData,ROW()-36,COLUMN()*2-3)),"",INDEX(Array_StationaryChargeData,ROW()-36,COLUMN()*2-3))</f>
        <v/>
      </c>
    </row>
    <row r="198" spans="1:16" x14ac:dyDescent="0.35">
      <c r="A198" t="str">
        <f>IF('Stationary Fuel Meters'!B164="",A197,'Stationary Fuel Meters'!B164)</f>
        <v>Meter Numbers</v>
      </c>
      <c r="B198" t="str" cm="1">
        <f>IF(ISBLANK(INDEX(Array_StationaryChargeData,ROW()-36,COLUMN()*2-3)),"",INDEX(Array_StationaryChargeData,ROW()-36,COLUMN()*2-3))</f>
        <v/>
      </c>
      <c r="C198" t="str" cm="1">
        <f>IF(ISBLANK(INDEX(Array_StationaryChargeData,ROW()-36,COLUMN()*2-3)),"",INDEX(Array_StationaryChargeData,ROW()-36,COLUMN()*2-3))</f>
        <v/>
      </c>
      <c r="D198" t="str" cm="1">
        <f>IF(ISBLANK(INDEX(Array_StationaryChargeData,ROW()-36,COLUMN()*2-3)),"",INDEX(Array_StationaryChargeData,ROW()-36,COLUMN()*2-3))</f>
        <v/>
      </c>
      <c r="E198" t="str" cm="1">
        <f>IF(ISBLANK(INDEX(Array_StationaryChargeData,ROW()-36,COLUMN()*2-3)),"",INDEX(Array_StationaryChargeData,ROW()-36,COLUMN()*2-3))</f>
        <v/>
      </c>
      <c r="F198" t="str" cm="1">
        <f>IF(ISBLANK(INDEX(Array_StationaryChargeData,ROW()-36,COLUMN()*2-3)),"",INDEX(Array_StationaryChargeData,ROW()-36,COLUMN()*2-3))</f>
        <v/>
      </c>
      <c r="G198" t="str" cm="1">
        <f>IF(ISBLANK(INDEX(Array_StationaryChargeData,ROW()-36,COLUMN()*2-3)),"",INDEX(Array_StationaryChargeData,ROW()-36,COLUMN()*2-3))</f>
        <v/>
      </c>
      <c r="H198" t="str" cm="1">
        <f>IF(ISBLANK(INDEX(Array_StationaryChargeData,ROW()-36,COLUMN()*2-3)),"",INDEX(Array_StationaryChargeData,ROW()-36,COLUMN()*2-3))</f>
        <v/>
      </c>
      <c r="I198" t="str" cm="1">
        <f>IF(ISBLANK(INDEX(Array_StationaryChargeData,ROW()-36,COLUMN()*2-3)),"",INDEX(Array_StationaryChargeData,ROW()-36,COLUMN()*2-3))</f>
        <v/>
      </c>
      <c r="J198" t="str" cm="1">
        <f>IF(ISBLANK(INDEX(Array_StationaryChargeData,ROW()-36,COLUMN()*2-3)),"",INDEX(Array_StationaryChargeData,ROW()-36,COLUMN()*2-3))</f>
        <v/>
      </c>
      <c r="K198" t="str" cm="1">
        <f>IF(ISBLANK(INDEX(Array_StationaryChargeData,ROW()-36,COLUMN()*2-3)),"",INDEX(Array_StationaryChargeData,ROW()-36,COLUMN()*2-3))</f>
        <v/>
      </c>
      <c r="L198" t="str" cm="1">
        <f>IF(ISBLANK(INDEX(Array_StationaryChargeData,ROW()-36,COLUMN()*2-3)),"",INDEX(Array_StationaryChargeData,ROW()-36,COLUMN()*2-3))</f>
        <v/>
      </c>
      <c r="M198" t="str" cm="1">
        <f>IF(ISBLANK(INDEX(Array_StationaryChargeData,ROW()-36,COLUMN()*2-3)),"",INDEX(Array_StationaryChargeData,ROW()-36,COLUMN()*2-3))</f>
        <v/>
      </c>
      <c r="N198" t="str" cm="1">
        <f>IF(ISBLANK(INDEX(Array_StationaryChargeData,ROW()-36,COLUMN()*2-3)),"",INDEX(Array_StationaryChargeData,ROW()-36,COLUMN()*2-3))</f>
        <v/>
      </c>
      <c r="O198" t="str" cm="1">
        <f>IF(ISBLANK(INDEX(Array_StationaryChargeData,ROW()-36,COLUMN()*2-3)),"",INDEX(Array_StationaryChargeData,ROW()-36,COLUMN()*2-3))</f>
        <v/>
      </c>
      <c r="P198" t="str" cm="1">
        <f>IF(ISBLANK(INDEX(Array_StationaryChargeData,ROW()-36,COLUMN()*2-3)),"",INDEX(Array_StationaryChargeData,ROW()-36,COLUMN()*2-3))</f>
        <v/>
      </c>
    </row>
    <row r="199" spans="1:16" x14ac:dyDescent="0.35">
      <c r="A199" t="str">
        <f>IF('Stationary Fuel Meters'!B165="",A198,'Stationary Fuel Meters'!B165)</f>
        <v>Meter Numbers</v>
      </c>
      <c r="B199" t="str" cm="1">
        <f>IF(ISBLANK(INDEX(Array_StationaryChargeData,ROW()-36,COLUMN()*2-3)),"",INDEX(Array_StationaryChargeData,ROW()-36,COLUMN()*2-3))</f>
        <v/>
      </c>
      <c r="C199" t="str" cm="1">
        <f>IF(ISBLANK(INDEX(Array_StationaryChargeData,ROW()-36,COLUMN()*2-3)),"",INDEX(Array_StationaryChargeData,ROW()-36,COLUMN()*2-3))</f>
        <v/>
      </c>
      <c r="D199" t="str" cm="1">
        <f>IF(ISBLANK(INDEX(Array_StationaryChargeData,ROW()-36,COLUMN()*2-3)),"",INDEX(Array_StationaryChargeData,ROW()-36,COLUMN()*2-3))</f>
        <v/>
      </c>
      <c r="E199" t="str" cm="1">
        <f>IF(ISBLANK(INDEX(Array_StationaryChargeData,ROW()-36,COLUMN()*2-3)),"",INDEX(Array_StationaryChargeData,ROW()-36,COLUMN()*2-3))</f>
        <v/>
      </c>
      <c r="F199" t="str" cm="1">
        <f>IF(ISBLANK(INDEX(Array_StationaryChargeData,ROW()-36,COLUMN()*2-3)),"",INDEX(Array_StationaryChargeData,ROW()-36,COLUMN()*2-3))</f>
        <v/>
      </c>
      <c r="G199" t="str" cm="1">
        <f>IF(ISBLANK(INDEX(Array_StationaryChargeData,ROW()-36,COLUMN()*2-3)),"",INDEX(Array_StationaryChargeData,ROW()-36,COLUMN()*2-3))</f>
        <v/>
      </c>
      <c r="H199" t="str" cm="1">
        <f>IF(ISBLANK(INDEX(Array_StationaryChargeData,ROW()-36,COLUMN()*2-3)),"",INDEX(Array_StationaryChargeData,ROW()-36,COLUMN()*2-3))</f>
        <v/>
      </c>
      <c r="I199" t="str" cm="1">
        <f>IF(ISBLANK(INDEX(Array_StationaryChargeData,ROW()-36,COLUMN()*2-3)),"",INDEX(Array_StationaryChargeData,ROW()-36,COLUMN()*2-3))</f>
        <v/>
      </c>
      <c r="J199" t="str" cm="1">
        <f>IF(ISBLANK(INDEX(Array_StationaryChargeData,ROW()-36,COLUMN()*2-3)),"",INDEX(Array_StationaryChargeData,ROW()-36,COLUMN()*2-3))</f>
        <v/>
      </c>
      <c r="K199" t="str" cm="1">
        <f>IF(ISBLANK(INDEX(Array_StationaryChargeData,ROW()-36,COLUMN()*2-3)),"",INDEX(Array_StationaryChargeData,ROW()-36,COLUMN()*2-3))</f>
        <v/>
      </c>
      <c r="L199" t="str" cm="1">
        <f>IF(ISBLANK(INDEX(Array_StationaryChargeData,ROW()-36,COLUMN()*2-3)),"",INDEX(Array_StationaryChargeData,ROW()-36,COLUMN()*2-3))</f>
        <v/>
      </c>
      <c r="M199" t="str" cm="1">
        <f>IF(ISBLANK(INDEX(Array_StationaryChargeData,ROW()-36,COLUMN()*2-3)),"",INDEX(Array_StationaryChargeData,ROW()-36,COLUMN()*2-3))</f>
        <v/>
      </c>
      <c r="N199" t="str" cm="1">
        <f>IF(ISBLANK(INDEX(Array_StationaryChargeData,ROW()-36,COLUMN()*2-3)),"",INDEX(Array_StationaryChargeData,ROW()-36,COLUMN()*2-3))</f>
        <v/>
      </c>
      <c r="O199" t="str" cm="1">
        <f>IF(ISBLANK(INDEX(Array_StationaryChargeData,ROW()-36,COLUMN()*2-3)),"",INDEX(Array_StationaryChargeData,ROW()-36,COLUMN()*2-3))</f>
        <v/>
      </c>
      <c r="P199" t="str" cm="1">
        <f>IF(ISBLANK(INDEX(Array_StationaryChargeData,ROW()-36,COLUMN()*2-3)),"",INDEX(Array_StationaryChargeData,ROW()-36,COLUMN()*2-3))</f>
        <v/>
      </c>
    </row>
    <row r="200" spans="1:16" x14ac:dyDescent="0.35">
      <c r="A200" t="str">
        <f>IF('Stationary Fuel Meters'!B166="",A199,'Stationary Fuel Meters'!B166)</f>
        <v>Meter Numbers</v>
      </c>
      <c r="B200" t="str" cm="1">
        <f>IF(ISBLANK(INDEX(Array_StationaryChargeData,ROW()-36,COLUMN()*2-3)),"",INDEX(Array_StationaryChargeData,ROW()-36,COLUMN()*2-3))</f>
        <v/>
      </c>
      <c r="C200" t="str" cm="1">
        <f>IF(ISBLANK(INDEX(Array_StationaryChargeData,ROW()-36,COLUMN()*2-3)),"",INDEX(Array_StationaryChargeData,ROW()-36,COLUMN()*2-3))</f>
        <v/>
      </c>
      <c r="D200" t="str" cm="1">
        <f>IF(ISBLANK(INDEX(Array_StationaryChargeData,ROW()-36,COLUMN()*2-3)),"",INDEX(Array_StationaryChargeData,ROW()-36,COLUMN()*2-3))</f>
        <v/>
      </c>
      <c r="E200" t="str" cm="1">
        <f>IF(ISBLANK(INDEX(Array_StationaryChargeData,ROW()-36,COLUMN()*2-3)),"",INDEX(Array_StationaryChargeData,ROW()-36,COLUMN()*2-3))</f>
        <v/>
      </c>
      <c r="F200" t="str" cm="1">
        <f>IF(ISBLANK(INDEX(Array_StationaryChargeData,ROW()-36,COLUMN()*2-3)),"",INDEX(Array_StationaryChargeData,ROW()-36,COLUMN()*2-3))</f>
        <v/>
      </c>
      <c r="G200" t="str" cm="1">
        <f>IF(ISBLANK(INDEX(Array_StationaryChargeData,ROW()-36,COLUMN()*2-3)),"",INDEX(Array_StationaryChargeData,ROW()-36,COLUMN()*2-3))</f>
        <v/>
      </c>
      <c r="H200" t="str" cm="1">
        <f>IF(ISBLANK(INDEX(Array_StationaryChargeData,ROW()-36,COLUMN()*2-3)),"",INDEX(Array_StationaryChargeData,ROW()-36,COLUMN()*2-3))</f>
        <v/>
      </c>
      <c r="I200" t="str" cm="1">
        <f>IF(ISBLANK(INDEX(Array_StationaryChargeData,ROW()-36,COLUMN()*2-3)),"",INDEX(Array_StationaryChargeData,ROW()-36,COLUMN()*2-3))</f>
        <v/>
      </c>
      <c r="J200" t="str" cm="1">
        <f>IF(ISBLANK(INDEX(Array_StationaryChargeData,ROW()-36,COLUMN()*2-3)),"",INDEX(Array_StationaryChargeData,ROW()-36,COLUMN()*2-3))</f>
        <v/>
      </c>
      <c r="K200" t="str" cm="1">
        <f>IF(ISBLANK(INDEX(Array_StationaryChargeData,ROW()-36,COLUMN()*2-3)),"",INDEX(Array_StationaryChargeData,ROW()-36,COLUMN()*2-3))</f>
        <v/>
      </c>
      <c r="L200" t="str" cm="1">
        <f>IF(ISBLANK(INDEX(Array_StationaryChargeData,ROW()-36,COLUMN()*2-3)),"",INDEX(Array_StationaryChargeData,ROW()-36,COLUMN()*2-3))</f>
        <v/>
      </c>
      <c r="M200" t="str" cm="1">
        <f>IF(ISBLANK(INDEX(Array_StationaryChargeData,ROW()-36,COLUMN()*2-3)),"",INDEX(Array_StationaryChargeData,ROW()-36,COLUMN()*2-3))</f>
        <v/>
      </c>
      <c r="N200" t="str" cm="1">
        <f>IF(ISBLANK(INDEX(Array_StationaryChargeData,ROW()-36,COLUMN()*2-3)),"",INDEX(Array_StationaryChargeData,ROW()-36,COLUMN()*2-3))</f>
        <v/>
      </c>
      <c r="O200" t="str" cm="1">
        <f>IF(ISBLANK(INDEX(Array_StationaryChargeData,ROW()-36,COLUMN()*2-3)),"",INDEX(Array_StationaryChargeData,ROW()-36,COLUMN()*2-3))</f>
        <v/>
      </c>
      <c r="P200" t="str" cm="1">
        <f>IF(ISBLANK(INDEX(Array_StationaryChargeData,ROW()-36,COLUMN()*2-3)),"",INDEX(Array_StationaryChargeData,ROW()-36,COLUMN()*2-3))</f>
        <v/>
      </c>
    </row>
    <row r="201" spans="1:16" x14ac:dyDescent="0.35">
      <c r="A201" t="str">
        <f>IF('Stationary Fuel Meters'!B167="",A200,'Stationary Fuel Meters'!B167)</f>
        <v>Meter Numbers</v>
      </c>
      <c r="B201" t="str" cm="1">
        <f>IF(ISBLANK(INDEX(Array_StationaryChargeData,ROW()-36,COLUMN()*2-3)),"",INDEX(Array_StationaryChargeData,ROW()-36,COLUMN()*2-3))</f>
        <v/>
      </c>
      <c r="C201" t="str" cm="1">
        <f>IF(ISBLANK(INDEX(Array_StationaryChargeData,ROW()-36,COLUMN()*2-3)),"",INDEX(Array_StationaryChargeData,ROW()-36,COLUMN()*2-3))</f>
        <v/>
      </c>
      <c r="D201" t="str" cm="1">
        <f>IF(ISBLANK(INDEX(Array_StationaryChargeData,ROW()-36,COLUMN()*2-3)),"",INDEX(Array_StationaryChargeData,ROW()-36,COLUMN()*2-3))</f>
        <v/>
      </c>
      <c r="E201" t="str" cm="1">
        <f>IF(ISBLANK(INDEX(Array_StationaryChargeData,ROW()-36,COLUMN()*2-3)),"",INDEX(Array_StationaryChargeData,ROW()-36,COLUMN()*2-3))</f>
        <v/>
      </c>
      <c r="F201" t="str" cm="1">
        <f>IF(ISBLANK(INDEX(Array_StationaryChargeData,ROW()-36,COLUMN()*2-3)),"",INDEX(Array_StationaryChargeData,ROW()-36,COLUMN()*2-3))</f>
        <v/>
      </c>
      <c r="G201" t="str" cm="1">
        <f>IF(ISBLANK(INDEX(Array_StationaryChargeData,ROW()-36,COLUMN()*2-3)),"",INDEX(Array_StationaryChargeData,ROW()-36,COLUMN()*2-3))</f>
        <v/>
      </c>
      <c r="H201" t="str" cm="1">
        <f>IF(ISBLANK(INDEX(Array_StationaryChargeData,ROW()-36,COLUMN()*2-3)),"",INDEX(Array_StationaryChargeData,ROW()-36,COLUMN()*2-3))</f>
        <v/>
      </c>
      <c r="I201" t="str" cm="1">
        <f>IF(ISBLANK(INDEX(Array_StationaryChargeData,ROW()-36,COLUMN()*2-3)),"",INDEX(Array_StationaryChargeData,ROW()-36,COLUMN()*2-3))</f>
        <v/>
      </c>
      <c r="J201" t="str" cm="1">
        <f>IF(ISBLANK(INDEX(Array_StationaryChargeData,ROW()-36,COLUMN()*2-3)),"",INDEX(Array_StationaryChargeData,ROW()-36,COLUMN()*2-3))</f>
        <v/>
      </c>
      <c r="K201" t="str" cm="1">
        <f>IF(ISBLANK(INDEX(Array_StationaryChargeData,ROW()-36,COLUMN()*2-3)),"",INDEX(Array_StationaryChargeData,ROW()-36,COLUMN()*2-3))</f>
        <v/>
      </c>
      <c r="L201" t="str" cm="1">
        <f>IF(ISBLANK(INDEX(Array_StationaryChargeData,ROW()-36,COLUMN()*2-3)),"",INDEX(Array_StationaryChargeData,ROW()-36,COLUMN()*2-3))</f>
        <v/>
      </c>
      <c r="M201" t="str" cm="1">
        <f>IF(ISBLANK(INDEX(Array_StationaryChargeData,ROW()-36,COLUMN()*2-3)),"",INDEX(Array_StationaryChargeData,ROW()-36,COLUMN()*2-3))</f>
        <v/>
      </c>
      <c r="N201" t="str" cm="1">
        <f>IF(ISBLANK(INDEX(Array_StationaryChargeData,ROW()-36,COLUMN()*2-3)),"",INDEX(Array_StationaryChargeData,ROW()-36,COLUMN()*2-3))</f>
        <v/>
      </c>
      <c r="O201" t="str" cm="1">
        <f>IF(ISBLANK(INDEX(Array_StationaryChargeData,ROW()-36,COLUMN()*2-3)),"",INDEX(Array_StationaryChargeData,ROW()-36,COLUMN()*2-3))</f>
        <v/>
      </c>
      <c r="P201" t="str" cm="1">
        <f>IF(ISBLANK(INDEX(Array_StationaryChargeData,ROW()-36,COLUMN()*2-3)),"",INDEX(Array_StationaryChargeData,ROW()-36,COLUMN()*2-3))</f>
        <v/>
      </c>
    </row>
    <row r="202" spans="1:16" x14ac:dyDescent="0.35">
      <c r="A202" t="str">
        <f>IF('Stationary Fuel Meters'!B168="",A201,'Stationary Fuel Meters'!B168)</f>
        <v>Meter Numbers</v>
      </c>
      <c r="B202" t="str" cm="1">
        <f>IF(ISBLANK(INDEX(Array_StationaryChargeData,ROW()-36,COLUMN()*2-3)),"",INDEX(Array_StationaryChargeData,ROW()-36,COLUMN()*2-3))</f>
        <v/>
      </c>
      <c r="C202" t="str" cm="1">
        <f>IF(ISBLANK(INDEX(Array_StationaryChargeData,ROW()-36,COLUMN()*2-3)),"",INDEX(Array_StationaryChargeData,ROW()-36,COLUMN()*2-3))</f>
        <v/>
      </c>
      <c r="D202" t="str" cm="1">
        <f>IF(ISBLANK(INDEX(Array_StationaryChargeData,ROW()-36,COLUMN()*2-3)),"",INDEX(Array_StationaryChargeData,ROW()-36,COLUMN()*2-3))</f>
        <v/>
      </c>
      <c r="E202" t="str" cm="1">
        <f>IF(ISBLANK(INDEX(Array_StationaryChargeData,ROW()-36,COLUMN()*2-3)),"",INDEX(Array_StationaryChargeData,ROW()-36,COLUMN()*2-3))</f>
        <v/>
      </c>
      <c r="F202" t="str" cm="1">
        <f>IF(ISBLANK(INDEX(Array_StationaryChargeData,ROW()-36,COLUMN()*2-3)),"",INDEX(Array_StationaryChargeData,ROW()-36,COLUMN()*2-3))</f>
        <v/>
      </c>
      <c r="G202" t="str" cm="1">
        <f>IF(ISBLANK(INDEX(Array_StationaryChargeData,ROW()-36,COLUMN()*2-3)),"",INDEX(Array_StationaryChargeData,ROW()-36,COLUMN()*2-3))</f>
        <v/>
      </c>
      <c r="H202" t="str" cm="1">
        <f>IF(ISBLANK(INDEX(Array_StationaryChargeData,ROW()-36,COLUMN()*2-3)),"",INDEX(Array_StationaryChargeData,ROW()-36,COLUMN()*2-3))</f>
        <v/>
      </c>
      <c r="I202" t="str" cm="1">
        <f>IF(ISBLANK(INDEX(Array_StationaryChargeData,ROW()-36,COLUMN()*2-3)),"",INDEX(Array_StationaryChargeData,ROW()-36,COLUMN()*2-3))</f>
        <v/>
      </c>
      <c r="J202" t="str" cm="1">
        <f>IF(ISBLANK(INDEX(Array_StationaryChargeData,ROW()-36,COLUMN()*2-3)),"",INDEX(Array_StationaryChargeData,ROW()-36,COLUMN()*2-3))</f>
        <v/>
      </c>
      <c r="K202" t="str" cm="1">
        <f>IF(ISBLANK(INDEX(Array_StationaryChargeData,ROW()-36,COLUMN()*2-3)),"",INDEX(Array_StationaryChargeData,ROW()-36,COLUMN()*2-3))</f>
        <v/>
      </c>
      <c r="L202" t="str" cm="1">
        <f>IF(ISBLANK(INDEX(Array_StationaryChargeData,ROW()-36,COLUMN()*2-3)),"",INDEX(Array_StationaryChargeData,ROW()-36,COLUMN()*2-3))</f>
        <v/>
      </c>
      <c r="M202" t="str" cm="1">
        <f>IF(ISBLANK(INDEX(Array_StationaryChargeData,ROW()-36,COLUMN()*2-3)),"",INDEX(Array_StationaryChargeData,ROW()-36,COLUMN()*2-3))</f>
        <v/>
      </c>
      <c r="N202" t="str" cm="1">
        <f>IF(ISBLANK(INDEX(Array_StationaryChargeData,ROW()-36,COLUMN()*2-3)),"",INDEX(Array_StationaryChargeData,ROW()-36,COLUMN()*2-3))</f>
        <v/>
      </c>
      <c r="O202" t="str" cm="1">
        <f>IF(ISBLANK(INDEX(Array_StationaryChargeData,ROW()-36,COLUMN()*2-3)),"",INDEX(Array_StationaryChargeData,ROW()-36,COLUMN()*2-3))</f>
        <v/>
      </c>
      <c r="P202" t="str" cm="1">
        <f>IF(ISBLANK(INDEX(Array_StationaryChargeData,ROW()-36,COLUMN()*2-3)),"",INDEX(Array_StationaryChargeData,ROW()-36,COLUMN()*2-3))</f>
        <v/>
      </c>
    </row>
    <row r="203" spans="1:16" x14ac:dyDescent="0.35">
      <c r="A203" t="str">
        <f>IF('Stationary Fuel Meters'!B169="",A202,'Stationary Fuel Meters'!B169)</f>
        <v>Meter Numbers</v>
      </c>
      <c r="B203" t="str" cm="1">
        <f>IF(ISBLANK(INDEX(Array_StationaryChargeData,ROW()-36,COLUMN()*2-3)),"",INDEX(Array_StationaryChargeData,ROW()-36,COLUMN()*2-3))</f>
        <v/>
      </c>
      <c r="C203" t="str" cm="1">
        <f>IF(ISBLANK(INDEX(Array_StationaryChargeData,ROW()-36,COLUMN()*2-3)),"",INDEX(Array_StationaryChargeData,ROW()-36,COLUMN()*2-3))</f>
        <v/>
      </c>
      <c r="D203" t="str" cm="1">
        <f>IF(ISBLANK(INDEX(Array_StationaryChargeData,ROW()-36,COLUMN()*2-3)),"",INDEX(Array_StationaryChargeData,ROW()-36,COLUMN()*2-3))</f>
        <v/>
      </c>
      <c r="E203" t="str" cm="1">
        <f>IF(ISBLANK(INDEX(Array_StationaryChargeData,ROW()-36,COLUMN()*2-3)),"",INDEX(Array_StationaryChargeData,ROW()-36,COLUMN()*2-3))</f>
        <v/>
      </c>
      <c r="F203" t="str" cm="1">
        <f>IF(ISBLANK(INDEX(Array_StationaryChargeData,ROW()-36,COLUMN()*2-3)),"",INDEX(Array_StationaryChargeData,ROW()-36,COLUMN()*2-3))</f>
        <v/>
      </c>
      <c r="G203" t="str" cm="1">
        <f>IF(ISBLANK(INDEX(Array_StationaryChargeData,ROW()-36,COLUMN()*2-3)),"",INDEX(Array_StationaryChargeData,ROW()-36,COLUMN()*2-3))</f>
        <v/>
      </c>
      <c r="H203" t="str" cm="1">
        <f>IF(ISBLANK(INDEX(Array_StationaryChargeData,ROW()-36,COLUMN()*2-3)),"",INDEX(Array_StationaryChargeData,ROW()-36,COLUMN()*2-3))</f>
        <v/>
      </c>
      <c r="I203" t="str" cm="1">
        <f>IF(ISBLANK(INDEX(Array_StationaryChargeData,ROW()-36,COLUMN()*2-3)),"",INDEX(Array_StationaryChargeData,ROW()-36,COLUMN()*2-3))</f>
        <v/>
      </c>
      <c r="J203" t="str" cm="1">
        <f>IF(ISBLANK(INDEX(Array_StationaryChargeData,ROW()-36,COLUMN()*2-3)),"",INDEX(Array_StationaryChargeData,ROW()-36,COLUMN()*2-3))</f>
        <v/>
      </c>
      <c r="K203" t="str" cm="1">
        <f>IF(ISBLANK(INDEX(Array_StationaryChargeData,ROW()-36,COLUMN()*2-3)),"",INDEX(Array_StationaryChargeData,ROW()-36,COLUMN()*2-3))</f>
        <v/>
      </c>
      <c r="L203" t="str" cm="1">
        <f>IF(ISBLANK(INDEX(Array_StationaryChargeData,ROW()-36,COLUMN()*2-3)),"",INDEX(Array_StationaryChargeData,ROW()-36,COLUMN()*2-3))</f>
        <v/>
      </c>
      <c r="M203" t="str" cm="1">
        <f>IF(ISBLANK(INDEX(Array_StationaryChargeData,ROW()-36,COLUMN()*2-3)),"",INDEX(Array_StationaryChargeData,ROW()-36,COLUMN()*2-3))</f>
        <v/>
      </c>
      <c r="N203" t="str" cm="1">
        <f>IF(ISBLANK(INDEX(Array_StationaryChargeData,ROW()-36,COLUMN()*2-3)),"",INDEX(Array_StationaryChargeData,ROW()-36,COLUMN()*2-3))</f>
        <v/>
      </c>
      <c r="O203" t="str" cm="1">
        <f>IF(ISBLANK(INDEX(Array_StationaryChargeData,ROW()-36,COLUMN()*2-3)),"",INDEX(Array_StationaryChargeData,ROW()-36,COLUMN()*2-3))</f>
        <v/>
      </c>
      <c r="P203" t="str" cm="1">
        <f>IF(ISBLANK(INDEX(Array_StationaryChargeData,ROW()-36,COLUMN()*2-3)),"",INDEX(Array_StationaryChargeData,ROW()-36,COLUMN()*2-3))</f>
        <v/>
      </c>
    </row>
    <row r="204" spans="1:16" x14ac:dyDescent="0.35">
      <c r="A204" t="str">
        <f>IF('Stationary Fuel Meters'!B170="",A203,'Stationary Fuel Meters'!B170)</f>
        <v>Meter Numbers</v>
      </c>
      <c r="B204" t="str" cm="1">
        <f>IF(ISBLANK(INDEX(Array_StationaryChargeData,ROW()-36,COLUMN()*2-3)),"",INDEX(Array_StationaryChargeData,ROW()-36,COLUMN()*2-3))</f>
        <v/>
      </c>
      <c r="C204" t="str" cm="1">
        <f>IF(ISBLANK(INDEX(Array_StationaryChargeData,ROW()-36,COLUMN()*2-3)),"",INDEX(Array_StationaryChargeData,ROW()-36,COLUMN()*2-3))</f>
        <v/>
      </c>
      <c r="D204" t="str" cm="1">
        <f>IF(ISBLANK(INDEX(Array_StationaryChargeData,ROW()-36,COLUMN()*2-3)),"",INDEX(Array_StationaryChargeData,ROW()-36,COLUMN()*2-3))</f>
        <v/>
      </c>
      <c r="E204" t="str" cm="1">
        <f>IF(ISBLANK(INDEX(Array_StationaryChargeData,ROW()-36,COLUMN()*2-3)),"",INDEX(Array_StationaryChargeData,ROW()-36,COLUMN()*2-3))</f>
        <v/>
      </c>
      <c r="F204" t="str" cm="1">
        <f>IF(ISBLANK(INDEX(Array_StationaryChargeData,ROW()-36,COLUMN()*2-3)),"",INDEX(Array_StationaryChargeData,ROW()-36,COLUMN()*2-3))</f>
        <v/>
      </c>
      <c r="G204" t="str" cm="1">
        <f>IF(ISBLANK(INDEX(Array_StationaryChargeData,ROW()-36,COLUMN()*2-3)),"",INDEX(Array_StationaryChargeData,ROW()-36,COLUMN()*2-3))</f>
        <v/>
      </c>
      <c r="H204" t="str" cm="1">
        <f>IF(ISBLANK(INDEX(Array_StationaryChargeData,ROW()-36,COLUMN()*2-3)),"",INDEX(Array_StationaryChargeData,ROW()-36,COLUMN()*2-3))</f>
        <v/>
      </c>
      <c r="I204" t="str" cm="1">
        <f>IF(ISBLANK(INDEX(Array_StationaryChargeData,ROW()-36,COLUMN()*2-3)),"",INDEX(Array_StationaryChargeData,ROW()-36,COLUMN()*2-3))</f>
        <v/>
      </c>
      <c r="J204" t="str" cm="1">
        <f>IF(ISBLANK(INDEX(Array_StationaryChargeData,ROW()-36,COLUMN()*2-3)),"",INDEX(Array_StationaryChargeData,ROW()-36,COLUMN()*2-3))</f>
        <v/>
      </c>
      <c r="K204" t="str" cm="1">
        <f>IF(ISBLANK(INDEX(Array_StationaryChargeData,ROW()-36,COLUMN()*2-3)),"",INDEX(Array_StationaryChargeData,ROW()-36,COLUMN()*2-3))</f>
        <v/>
      </c>
      <c r="L204" t="str" cm="1">
        <f>IF(ISBLANK(INDEX(Array_StationaryChargeData,ROW()-36,COLUMN()*2-3)),"",INDEX(Array_StationaryChargeData,ROW()-36,COLUMN()*2-3))</f>
        <v/>
      </c>
      <c r="M204" t="str" cm="1">
        <f>IF(ISBLANK(INDEX(Array_StationaryChargeData,ROW()-36,COLUMN()*2-3)),"",INDEX(Array_StationaryChargeData,ROW()-36,COLUMN()*2-3))</f>
        <v/>
      </c>
      <c r="N204" t="str" cm="1">
        <f>IF(ISBLANK(INDEX(Array_StationaryChargeData,ROW()-36,COLUMN()*2-3)),"",INDEX(Array_StationaryChargeData,ROW()-36,COLUMN()*2-3))</f>
        <v/>
      </c>
      <c r="O204" t="str" cm="1">
        <f>IF(ISBLANK(INDEX(Array_StationaryChargeData,ROW()-36,COLUMN()*2-3)),"",INDEX(Array_StationaryChargeData,ROW()-36,COLUMN()*2-3))</f>
        <v/>
      </c>
      <c r="P204" t="str" cm="1">
        <f>IF(ISBLANK(INDEX(Array_StationaryChargeData,ROW()-36,COLUMN()*2-3)),"",INDEX(Array_StationaryChargeData,ROW()-36,COLUMN()*2-3))</f>
        <v/>
      </c>
    </row>
    <row r="205" spans="1:16" x14ac:dyDescent="0.35">
      <c r="A205" t="str">
        <f>IF('Stationary Fuel Meters'!B171="",A204,'Stationary Fuel Meters'!B171)</f>
        <v>Meter Numbers</v>
      </c>
      <c r="B205" t="str" cm="1">
        <f>IF(ISBLANK(INDEX(Array_StationaryChargeData,ROW()-36,COLUMN()*2-3)),"",INDEX(Array_StationaryChargeData,ROW()-36,COLUMN()*2-3))</f>
        <v/>
      </c>
      <c r="C205" t="str" cm="1">
        <f>IF(ISBLANK(INDEX(Array_StationaryChargeData,ROW()-36,COLUMN()*2-3)),"",INDEX(Array_StationaryChargeData,ROW()-36,COLUMN()*2-3))</f>
        <v/>
      </c>
      <c r="D205" t="str" cm="1">
        <f>IF(ISBLANK(INDEX(Array_StationaryChargeData,ROW()-36,COLUMN()*2-3)),"",INDEX(Array_StationaryChargeData,ROW()-36,COLUMN()*2-3))</f>
        <v/>
      </c>
      <c r="E205" t="str" cm="1">
        <f>IF(ISBLANK(INDEX(Array_StationaryChargeData,ROW()-36,COLUMN()*2-3)),"",INDEX(Array_StationaryChargeData,ROW()-36,COLUMN()*2-3))</f>
        <v/>
      </c>
      <c r="F205" t="str" cm="1">
        <f>IF(ISBLANK(INDEX(Array_StationaryChargeData,ROW()-36,COLUMN()*2-3)),"",INDEX(Array_StationaryChargeData,ROW()-36,COLUMN()*2-3))</f>
        <v/>
      </c>
      <c r="G205" t="str" cm="1">
        <f>IF(ISBLANK(INDEX(Array_StationaryChargeData,ROW()-36,COLUMN()*2-3)),"",INDEX(Array_StationaryChargeData,ROW()-36,COLUMN()*2-3))</f>
        <v/>
      </c>
      <c r="H205" t="str" cm="1">
        <f>IF(ISBLANK(INDEX(Array_StationaryChargeData,ROW()-36,COLUMN()*2-3)),"",INDEX(Array_StationaryChargeData,ROW()-36,COLUMN()*2-3))</f>
        <v/>
      </c>
      <c r="I205" t="str" cm="1">
        <f>IF(ISBLANK(INDEX(Array_StationaryChargeData,ROW()-36,COLUMN()*2-3)),"",INDEX(Array_StationaryChargeData,ROW()-36,COLUMN()*2-3))</f>
        <v/>
      </c>
      <c r="J205" t="str" cm="1">
        <f>IF(ISBLANK(INDEX(Array_StationaryChargeData,ROW()-36,COLUMN()*2-3)),"",INDEX(Array_StationaryChargeData,ROW()-36,COLUMN()*2-3))</f>
        <v/>
      </c>
      <c r="K205" t="str" cm="1">
        <f>IF(ISBLANK(INDEX(Array_StationaryChargeData,ROW()-36,COLUMN()*2-3)),"",INDEX(Array_StationaryChargeData,ROW()-36,COLUMN()*2-3))</f>
        <v/>
      </c>
      <c r="L205" t="str" cm="1">
        <f>IF(ISBLANK(INDEX(Array_StationaryChargeData,ROW()-36,COLUMN()*2-3)),"",INDEX(Array_StationaryChargeData,ROW()-36,COLUMN()*2-3))</f>
        <v/>
      </c>
      <c r="M205" t="str" cm="1">
        <f>IF(ISBLANK(INDEX(Array_StationaryChargeData,ROW()-36,COLUMN()*2-3)),"",INDEX(Array_StationaryChargeData,ROW()-36,COLUMN()*2-3))</f>
        <v/>
      </c>
      <c r="N205" t="str" cm="1">
        <f>IF(ISBLANK(INDEX(Array_StationaryChargeData,ROW()-36,COLUMN()*2-3)),"",INDEX(Array_StationaryChargeData,ROW()-36,COLUMN()*2-3))</f>
        <v/>
      </c>
      <c r="O205" t="str" cm="1">
        <f>IF(ISBLANK(INDEX(Array_StationaryChargeData,ROW()-36,COLUMN()*2-3)),"",INDEX(Array_StationaryChargeData,ROW()-36,COLUMN()*2-3))</f>
        <v/>
      </c>
      <c r="P205" t="str" cm="1">
        <f>IF(ISBLANK(INDEX(Array_StationaryChargeData,ROW()-36,COLUMN()*2-3)),"",INDEX(Array_StationaryChargeData,ROW()-36,COLUMN()*2-3))</f>
        <v/>
      </c>
    </row>
    <row r="206" spans="1:16" x14ac:dyDescent="0.35">
      <c r="A206" t="str">
        <f>IF('Stationary Fuel Meters'!B172="",A205,'Stationary Fuel Meters'!B172)</f>
        <v>Meter Numbers</v>
      </c>
      <c r="B206" t="str" cm="1">
        <f>IF(ISBLANK(INDEX(Array_StationaryChargeData,ROW()-36,COLUMN()*2-3)),"",INDEX(Array_StationaryChargeData,ROW()-36,COLUMN()*2-3))</f>
        <v/>
      </c>
      <c r="C206" t="str" cm="1">
        <f>IF(ISBLANK(INDEX(Array_StationaryChargeData,ROW()-36,COLUMN()*2-3)),"",INDEX(Array_StationaryChargeData,ROW()-36,COLUMN()*2-3))</f>
        <v/>
      </c>
      <c r="D206" t="str" cm="1">
        <f>IF(ISBLANK(INDEX(Array_StationaryChargeData,ROW()-36,COLUMN()*2-3)),"",INDEX(Array_StationaryChargeData,ROW()-36,COLUMN()*2-3))</f>
        <v/>
      </c>
      <c r="E206" t="str" cm="1">
        <f>IF(ISBLANK(INDEX(Array_StationaryChargeData,ROW()-36,COLUMN()*2-3)),"",INDEX(Array_StationaryChargeData,ROW()-36,COLUMN()*2-3))</f>
        <v/>
      </c>
      <c r="F206" t="str" cm="1">
        <f>IF(ISBLANK(INDEX(Array_StationaryChargeData,ROW()-36,COLUMN()*2-3)),"",INDEX(Array_StationaryChargeData,ROW()-36,COLUMN()*2-3))</f>
        <v/>
      </c>
      <c r="G206" t="str" cm="1">
        <f>IF(ISBLANK(INDEX(Array_StationaryChargeData,ROW()-36,COLUMN()*2-3)),"",INDEX(Array_StationaryChargeData,ROW()-36,COLUMN()*2-3))</f>
        <v/>
      </c>
      <c r="H206" t="str" cm="1">
        <f>IF(ISBLANK(INDEX(Array_StationaryChargeData,ROW()-36,COLUMN()*2-3)),"",INDEX(Array_StationaryChargeData,ROW()-36,COLUMN()*2-3))</f>
        <v/>
      </c>
      <c r="I206" t="str" cm="1">
        <f>IF(ISBLANK(INDEX(Array_StationaryChargeData,ROW()-36,COLUMN()*2-3)),"",INDEX(Array_StationaryChargeData,ROW()-36,COLUMN()*2-3))</f>
        <v/>
      </c>
      <c r="J206" t="str" cm="1">
        <f>IF(ISBLANK(INDEX(Array_StationaryChargeData,ROW()-36,COLUMN()*2-3)),"",INDEX(Array_StationaryChargeData,ROW()-36,COLUMN()*2-3))</f>
        <v/>
      </c>
      <c r="K206" t="str" cm="1">
        <f>IF(ISBLANK(INDEX(Array_StationaryChargeData,ROW()-36,COLUMN()*2-3)),"",INDEX(Array_StationaryChargeData,ROW()-36,COLUMN()*2-3))</f>
        <v/>
      </c>
      <c r="L206" t="str" cm="1">
        <f>IF(ISBLANK(INDEX(Array_StationaryChargeData,ROW()-36,COLUMN()*2-3)),"",INDEX(Array_StationaryChargeData,ROW()-36,COLUMN()*2-3))</f>
        <v/>
      </c>
      <c r="M206" t="str" cm="1">
        <f>IF(ISBLANK(INDEX(Array_StationaryChargeData,ROW()-36,COLUMN()*2-3)),"",INDEX(Array_StationaryChargeData,ROW()-36,COLUMN()*2-3))</f>
        <v/>
      </c>
      <c r="N206" t="str" cm="1">
        <f>IF(ISBLANK(INDEX(Array_StationaryChargeData,ROW()-36,COLUMN()*2-3)),"",INDEX(Array_StationaryChargeData,ROW()-36,COLUMN()*2-3))</f>
        <v/>
      </c>
      <c r="O206" t="str" cm="1">
        <f>IF(ISBLANK(INDEX(Array_StationaryChargeData,ROW()-36,COLUMN()*2-3)),"",INDEX(Array_StationaryChargeData,ROW()-36,COLUMN()*2-3))</f>
        <v/>
      </c>
      <c r="P206" t="str" cm="1">
        <f>IF(ISBLANK(INDEX(Array_StationaryChargeData,ROW()-36,COLUMN()*2-3)),"",INDEX(Array_StationaryChargeData,ROW()-36,COLUMN()*2-3))</f>
        <v/>
      </c>
    </row>
    <row r="207" spans="1:16" x14ac:dyDescent="0.35">
      <c r="A207" t="str">
        <f>IF('Stationary Fuel Meters'!B173="",A206,'Stationary Fuel Meters'!B173)</f>
        <v>Meter Numbers</v>
      </c>
      <c r="B207" t="str" cm="1">
        <f>IF(ISBLANK(INDEX(Array_StationaryChargeData,ROW()-36,COLUMN()*2-3)),"",INDEX(Array_StationaryChargeData,ROW()-36,COLUMN()*2-3))</f>
        <v/>
      </c>
      <c r="C207" t="str" cm="1">
        <f>IF(ISBLANK(INDEX(Array_StationaryChargeData,ROW()-36,COLUMN()*2-3)),"",INDEX(Array_StationaryChargeData,ROW()-36,COLUMN()*2-3))</f>
        <v/>
      </c>
      <c r="D207" t="str" cm="1">
        <f>IF(ISBLANK(INDEX(Array_StationaryChargeData,ROW()-36,COLUMN()*2-3)),"",INDEX(Array_StationaryChargeData,ROW()-36,COLUMN()*2-3))</f>
        <v/>
      </c>
      <c r="E207" t="str" cm="1">
        <f>IF(ISBLANK(INDEX(Array_StationaryChargeData,ROW()-36,COLUMN()*2-3)),"",INDEX(Array_StationaryChargeData,ROW()-36,COLUMN()*2-3))</f>
        <v/>
      </c>
      <c r="F207" t="str" cm="1">
        <f>IF(ISBLANK(INDEX(Array_StationaryChargeData,ROW()-36,COLUMN()*2-3)),"",INDEX(Array_StationaryChargeData,ROW()-36,COLUMN()*2-3))</f>
        <v/>
      </c>
      <c r="G207" t="str" cm="1">
        <f>IF(ISBLANK(INDEX(Array_StationaryChargeData,ROW()-36,COLUMN()*2-3)),"",INDEX(Array_StationaryChargeData,ROW()-36,COLUMN()*2-3))</f>
        <v/>
      </c>
      <c r="H207" t="str" cm="1">
        <f>IF(ISBLANK(INDEX(Array_StationaryChargeData,ROW()-36,COLUMN()*2-3)),"",INDEX(Array_StationaryChargeData,ROW()-36,COLUMN()*2-3))</f>
        <v/>
      </c>
      <c r="I207" t="str" cm="1">
        <f>IF(ISBLANK(INDEX(Array_StationaryChargeData,ROW()-36,COLUMN()*2-3)),"",INDEX(Array_StationaryChargeData,ROW()-36,COLUMN()*2-3))</f>
        <v/>
      </c>
      <c r="J207" t="str" cm="1">
        <f>IF(ISBLANK(INDEX(Array_StationaryChargeData,ROW()-36,COLUMN()*2-3)),"",INDEX(Array_StationaryChargeData,ROW()-36,COLUMN()*2-3))</f>
        <v/>
      </c>
      <c r="K207" t="str" cm="1">
        <f>IF(ISBLANK(INDEX(Array_StationaryChargeData,ROW()-36,COLUMN()*2-3)),"",INDEX(Array_StationaryChargeData,ROW()-36,COLUMN()*2-3))</f>
        <v/>
      </c>
      <c r="L207" t="str" cm="1">
        <f>IF(ISBLANK(INDEX(Array_StationaryChargeData,ROW()-36,COLUMN()*2-3)),"",INDEX(Array_StationaryChargeData,ROW()-36,COLUMN()*2-3))</f>
        <v/>
      </c>
      <c r="M207" t="str" cm="1">
        <f>IF(ISBLANK(INDEX(Array_StationaryChargeData,ROW()-36,COLUMN()*2-3)),"",INDEX(Array_StationaryChargeData,ROW()-36,COLUMN()*2-3))</f>
        <v/>
      </c>
      <c r="N207" t="str" cm="1">
        <f>IF(ISBLANK(INDEX(Array_StationaryChargeData,ROW()-36,COLUMN()*2-3)),"",INDEX(Array_StationaryChargeData,ROW()-36,COLUMN()*2-3))</f>
        <v/>
      </c>
      <c r="O207" t="str" cm="1">
        <f>IF(ISBLANK(INDEX(Array_StationaryChargeData,ROW()-36,COLUMN()*2-3)),"",INDEX(Array_StationaryChargeData,ROW()-36,COLUMN()*2-3))</f>
        <v/>
      </c>
      <c r="P207" t="str" cm="1">
        <f>IF(ISBLANK(INDEX(Array_StationaryChargeData,ROW()-36,COLUMN()*2-3)),"",INDEX(Array_StationaryChargeData,ROW()-36,COLUMN()*2-3))</f>
        <v/>
      </c>
    </row>
    <row r="208" spans="1:16" x14ac:dyDescent="0.35">
      <c r="A208" t="str">
        <f>IF('Stationary Fuel Meters'!B174="",A207,'Stationary Fuel Meters'!B174)</f>
        <v>Meter Numbers</v>
      </c>
      <c r="B208" t="str" cm="1">
        <f>IF(ISBLANK(INDEX(Array_StationaryChargeData,ROW()-36,COLUMN()*2-3)),"",INDEX(Array_StationaryChargeData,ROW()-36,COLUMN()*2-3))</f>
        <v/>
      </c>
      <c r="C208" t="str" cm="1">
        <f>IF(ISBLANK(INDEX(Array_StationaryChargeData,ROW()-36,COLUMN()*2-3)),"",INDEX(Array_StationaryChargeData,ROW()-36,COLUMN()*2-3))</f>
        <v/>
      </c>
      <c r="D208" t="str" cm="1">
        <f>IF(ISBLANK(INDEX(Array_StationaryChargeData,ROW()-36,COLUMN()*2-3)),"",INDEX(Array_StationaryChargeData,ROW()-36,COLUMN()*2-3))</f>
        <v/>
      </c>
      <c r="E208" t="str" cm="1">
        <f>IF(ISBLANK(INDEX(Array_StationaryChargeData,ROW()-36,COLUMN()*2-3)),"",INDEX(Array_StationaryChargeData,ROW()-36,COLUMN()*2-3))</f>
        <v/>
      </c>
      <c r="F208" t="str" cm="1">
        <f>IF(ISBLANK(INDEX(Array_StationaryChargeData,ROW()-36,COLUMN()*2-3)),"",INDEX(Array_StationaryChargeData,ROW()-36,COLUMN()*2-3))</f>
        <v/>
      </c>
      <c r="G208" t="str" cm="1">
        <f>IF(ISBLANK(INDEX(Array_StationaryChargeData,ROW()-36,COLUMN()*2-3)),"",INDEX(Array_StationaryChargeData,ROW()-36,COLUMN()*2-3))</f>
        <v/>
      </c>
      <c r="H208" t="str" cm="1">
        <f>IF(ISBLANK(INDEX(Array_StationaryChargeData,ROW()-36,COLUMN()*2-3)),"",INDEX(Array_StationaryChargeData,ROW()-36,COLUMN()*2-3))</f>
        <v/>
      </c>
      <c r="I208" t="str" cm="1">
        <f>IF(ISBLANK(INDEX(Array_StationaryChargeData,ROW()-36,COLUMN()*2-3)),"",INDEX(Array_StationaryChargeData,ROW()-36,COLUMN()*2-3))</f>
        <v/>
      </c>
      <c r="J208" t="str" cm="1">
        <f>IF(ISBLANK(INDEX(Array_StationaryChargeData,ROW()-36,COLUMN()*2-3)),"",INDEX(Array_StationaryChargeData,ROW()-36,COLUMN()*2-3))</f>
        <v/>
      </c>
      <c r="K208" t="str" cm="1">
        <f>IF(ISBLANK(INDEX(Array_StationaryChargeData,ROW()-36,COLUMN()*2-3)),"",INDEX(Array_StationaryChargeData,ROW()-36,COLUMN()*2-3))</f>
        <v/>
      </c>
      <c r="L208" t="str" cm="1">
        <f>IF(ISBLANK(INDEX(Array_StationaryChargeData,ROW()-36,COLUMN()*2-3)),"",INDEX(Array_StationaryChargeData,ROW()-36,COLUMN()*2-3))</f>
        <v/>
      </c>
      <c r="M208" t="str" cm="1">
        <f>IF(ISBLANK(INDEX(Array_StationaryChargeData,ROW()-36,COLUMN()*2-3)),"",INDEX(Array_StationaryChargeData,ROW()-36,COLUMN()*2-3))</f>
        <v/>
      </c>
      <c r="N208" t="str" cm="1">
        <f>IF(ISBLANK(INDEX(Array_StationaryChargeData,ROW()-36,COLUMN()*2-3)),"",INDEX(Array_StationaryChargeData,ROW()-36,COLUMN()*2-3))</f>
        <v/>
      </c>
      <c r="O208" t="str" cm="1">
        <f>IF(ISBLANK(INDEX(Array_StationaryChargeData,ROW()-36,COLUMN()*2-3)),"",INDEX(Array_StationaryChargeData,ROW()-36,COLUMN()*2-3))</f>
        <v/>
      </c>
      <c r="P208" t="str" cm="1">
        <f>IF(ISBLANK(INDEX(Array_StationaryChargeData,ROW()-36,COLUMN()*2-3)),"",INDEX(Array_StationaryChargeData,ROW()-36,COLUMN()*2-3))</f>
        <v/>
      </c>
    </row>
    <row r="209" spans="1:16" x14ac:dyDescent="0.35">
      <c r="A209" t="str">
        <f>IF('Stationary Fuel Meters'!B175="",A208,'Stationary Fuel Meters'!B175)</f>
        <v>Meter Numbers</v>
      </c>
      <c r="B209" t="str" cm="1">
        <f>IF(ISBLANK(INDEX(Array_StationaryChargeData,ROW()-36,COLUMN()*2-3)),"",INDEX(Array_StationaryChargeData,ROW()-36,COLUMN()*2-3))</f>
        <v/>
      </c>
      <c r="C209" t="str" cm="1">
        <f>IF(ISBLANK(INDEX(Array_StationaryChargeData,ROW()-36,COLUMN()*2-3)),"",INDEX(Array_StationaryChargeData,ROW()-36,COLUMN()*2-3))</f>
        <v/>
      </c>
      <c r="D209" t="str" cm="1">
        <f>IF(ISBLANK(INDEX(Array_StationaryChargeData,ROW()-36,COLUMN()*2-3)),"",INDEX(Array_StationaryChargeData,ROW()-36,COLUMN()*2-3))</f>
        <v/>
      </c>
      <c r="E209" t="str" cm="1">
        <f>IF(ISBLANK(INDEX(Array_StationaryChargeData,ROW()-36,COLUMN()*2-3)),"",INDEX(Array_StationaryChargeData,ROW()-36,COLUMN()*2-3))</f>
        <v/>
      </c>
      <c r="F209" t="str" cm="1">
        <f>IF(ISBLANK(INDEX(Array_StationaryChargeData,ROW()-36,COLUMN()*2-3)),"",INDEX(Array_StationaryChargeData,ROW()-36,COLUMN()*2-3))</f>
        <v/>
      </c>
      <c r="G209" t="str" cm="1">
        <f>IF(ISBLANK(INDEX(Array_StationaryChargeData,ROW()-36,COLUMN()*2-3)),"",INDEX(Array_StationaryChargeData,ROW()-36,COLUMN()*2-3))</f>
        <v/>
      </c>
      <c r="H209" t="str" cm="1">
        <f>IF(ISBLANK(INDEX(Array_StationaryChargeData,ROW()-36,COLUMN()*2-3)),"",INDEX(Array_StationaryChargeData,ROW()-36,COLUMN()*2-3))</f>
        <v/>
      </c>
      <c r="I209" t="str" cm="1">
        <f>IF(ISBLANK(INDEX(Array_StationaryChargeData,ROW()-36,COLUMN()*2-3)),"",INDEX(Array_StationaryChargeData,ROW()-36,COLUMN()*2-3))</f>
        <v/>
      </c>
      <c r="J209" t="str" cm="1">
        <f>IF(ISBLANK(INDEX(Array_StationaryChargeData,ROW()-36,COLUMN()*2-3)),"",INDEX(Array_StationaryChargeData,ROW()-36,COLUMN()*2-3))</f>
        <v/>
      </c>
      <c r="K209" t="str" cm="1">
        <f>IF(ISBLANK(INDEX(Array_StationaryChargeData,ROW()-36,COLUMN()*2-3)),"",INDEX(Array_StationaryChargeData,ROW()-36,COLUMN()*2-3))</f>
        <v/>
      </c>
      <c r="L209" t="str" cm="1">
        <f>IF(ISBLANK(INDEX(Array_StationaryChargeData,ROW()-36,COLUMN()*2-3)),"",INDEX(Array_StationaryChargeData,ROW()-36,COLUMN()*2-3))</f>
        <v/>
      </c>
      <c r="M209" t="str" cm="1">
        <f>IF(ISBLANK(INDEX(Array_StationaryChargeData,ROW()-36,COLUMN()*2-3)),"",INDEX(Array_StationaryChargeData,ROW()-36,COLUMN()*2-3))</f>
        <v/>
      </c>
      <c r="N209" t="str" cm="1">
        <f>IF(ISBLANK(INDEX(Array_StationaryChargeData,ROW()-36,COLUMN()*2-3)),"",INDEX(Array_StationaryChargeData,ROW()-36,COLUMN()*2-3))</f>
        <v/>
      </c>
      <c r="O209" t="str" cm="1">
        <f>IF(ISBLANK(INDEX(Array_StationaryChargeData,ROW()-36,COLUMN()*2-3)),"",INDEX(Array_StationaryChargeData,ROW()-36,COLUMN()*2-3))</f>
        <v/>
      </c>
      <c r="P209" t="str" cm="1">
        <f>IF(ISBLANK(INDEX(Array_StationaryChargeData,ROW()-36,COLUMN()*2-3)),"",INDEX(Array_StationaryChargeData,ROW()-36,COLUMN()*2-3))</f>
        <v/>
      </c>
    </row>
    <row r="210" spans="1:16" x14ac:dyDescent="0.35">
      <c r="A210" t="str">
        <f>IF('Stationary Fuel Meters'!B176="",A209,'Stationary Fuel Meters'!B176)</f>
        <v>Meter Numbers</v>
      </c>
      <c r="B210" t="str" cm="1">
        <f>IF(ISBLANK(INDEX(Array_StationaryChargeData,ROW()-36,COLUMN()*2-3)),"",INDEX(Array_StationaryChargeData,ROW()-36,COLUMN()*2-3))</f>
        <v/>
      </c>
      <c r="C210" t="str" cm="1">
        <f>IF(ISBLANK(INDEX(Array_StationaryChargeData,ROW()-36,COLUMN()*2-3)),"",INDEX(Array_StationaryChargeData,ROW()-36,COLUMN()*2-3))</f>
        <v/>
      </c>
      <c r="D210" t="str" cm="1">
        <f>IF(ISBLANK(INDEX(Array_StationaryChargeData,ROW()-36,COLUMN()*2-3)),"",INDEX(Array_StationaryChargeData,ROW()-36,COLUMN()*2-3))</f>
        <v/>
      </c>
      <c r="E210" t="str" cm="1">
        <f>IF(ISBLANK(INDEX(Array_StationaryChargeData,ROW()-36,COLUMN()*2-3)),"",INDEX(Array_StationaryChargeData,ROW()-36,COLUMN()*2-3))</f>
        <v/>
      </c>
      <c r="F210" t="str" cm="1">
        <f>IF(ISBLANK(INDEX(Array_StationaryChargeData,ROW()-36,COLUMN()*2-3)),"",INDEX(Array_StationaryChargeData,ROW()-36,COLUMN()*2-3))</f>
        <v/>
      </c>
      <c r="G210" t="str" cm="1">
        <f>IF(ISBLANK(INDEX(Array_StationaryChargeData,ROW()-36,COLUMN()*2-3)),"",INDEX(Array_StationaryChargeData,ROW()-36,COLUMN()*2-3))</f>
        <v/>
      </c>
      <c r="H210" t="str" cm="1">
        <f>IF(ISBLANK(INDEX(Array_StationaryChargeData,ROW()-36,COLUMN()*2-3)),"",INDEX(Array_StationaryChargeData,ROW()-36,COLUMN()*2-3))</f>
        <v/>
      </c>
      <c r="I210" t="str" cm="1">
        <f>IF(ISBLANK(INDEX(Array_StationaryChargeData,ROW()-36,COLUMN()*2-3)),"",INDEX(Array_StationaryChargeData,ROW()-36,COLUMN()*2-3))</f>
        <v/>
      </c>
      <c r="J210" t="str" cm="1">
        <f>IF(ISBLANK(INDEX(Array_StationaryChargeData,ROW()-36,COLUMN()*2-3)),"",INDEX(Array_StationaryChargeData,ROW()-36,COLUMN()*2-3))</f>
        <v/>
      </c>
      <c r="K210" t="str" cm="1">
        <f>IF(ISBLANK(INDEX(Array_StationaryChargeData,ROW()-36,COLUMN()*2-3)),"",INDEX(Array_StationaryChargeData,ROW()-36,COLUMN()*2-3))</f>
        <v/>
      </c>
      <c r="L210" t="str" cm="1">
        <f>IF(ISBLANK(INDEX(Array_StationaryChargeData,ROW()-36,COLUMN()*2-3)),"",INDEX(Array_StationaryChargeData,ROW()-36,COLUMN()*2-3))</f>
        <v/>
      </c>
      <c r="M210" t="str" cm="1">
        <f>IF(ISBLANK(INDEX(Array_StationaryChargeData,ROW()-36,COLUMN()*2-3)),"",INDEX(Array_StationaryChargeData,ROW()-36,COLUMN()*2-3))</f>
        <v/>
      </c>
      <c r="N210" t="str" cm="1">
        <f>IF(ISBLANK(INDEX(Array_StationaryChargeData,ROW()-36,COLUMN()*2-3)),"",INDEX(Array_StationaryChargeData,ROW()-36,COLUMN()*2-3))</f>
        <v/>
      </c>
      <c r="O210" t="str" cm="1">
        <f>IF(ISBLANK(INDEX(Array_StationaryChargeData,ROW()-36,COLUMN()*2-3)),"",INDEX(Array_StationaryChargeData,ROW()-36,COLUMN()*2-3))</f>
        <v/>
      </c>
      <c r="P210" t="str" cm="1">
        <f>IF(ISBLANK(INDEX(Array_StationaryChargeData,ROW()-36,COLUMN()*2-3)),"",INDEX(Array_StationaryChargeData,ROW()-36,COLUMN()*2-3))</f>
        <v/>
      </c>
    </row>
    <row r="211" spans="1:16" x14ac:dyDescent="0.35">
      <c r="A211" t="str">
        <f>IF('Stationary Fuel Meters'!B177="",A210,'Stationary Fuel Meters'!B177)</f>
        <v>Meter Numbers</v>
      </c>
      <c r="B211" t="str" cm="1">
        <f>IF(ISBLANK(INDEX(Array_StationaryChargeData,ROW()-36,COLUMN()*2-3)),"",INDEX(Array_StationaryChargeData,ROW()-36,COLUMN()*2-3))</f>
        <v/>
      </c>
      <c r="C211" t="str" cm="1">
        <f>IF(ISBLANK(INDEX(Array_StationaryChargeData,ROW()-36,COLUMN()*2-3)),"",INDEX(Array_StationaryChargeData,ROW()-36,COLUMN()*2-3))</f>
        <v/>
      </c>
      <c r="D211" t="str" cm="1">
        <f>IF(ISBLANK(INDEX(Array_StationaryChargeData,ROW()-36,COLUMN()*2-3)),"",INDEX(Array_StationaryChargeData,ROW()-36,COLUMN()*2-3))</f>
        <v/>
      </c>
      <c r="E211" t="str" cm="1">
        <f>IF(ISBLANK(INDEX(Array_StationaryChargeData,ROW()-36,COLUMN()*2-3)),"",INDEX(Array_StationaryChargeData,ROW()-36,COLUMN()*2-3))</f>
        <v/>
      </c>
      <c r="F211" t="str" cm="1">
        <f>IF(ISBLANK(INDEX(Array_StationaryChargeData,ROW()-36,COLUMN()*2-3)),"",INDEX(Array_StationaryChargeData,ROW()-36,COLUMN()*2-3))</f>
        <v/>
      </c>
      <c r="G211" t="str" cm="1">
        <f>IF(ISBLANK(INDEX(Array_StationaryChargeData,ROW()-36,COLUMN()*2-3)),"",INDEX(Array_StationaryChargeData,ROW()-36,COLUMN()*2-3))</f>
        <v/>
      </c>
      <c r="H211" t="str" cm="1">
        <f>IF(ISBLANK(INDEX(Array_StationaryChargeData,ROW()-36,COLUMN()*2-3)),"",INDEX(Array_StationaryChargeData,ROW()-36,COLUMN()*2-3))</f>
        <v/>
      </c>
      <c r="I211" t="str" cm="1">
        <f>IF(ISBLANK(INDEX(Array_StationaryChargeData,ROW()-36,COLUMN()*2-3)),"",INDEX(Array_StationaryChargeData,ROW()-36,COLUMN()*2-3))</f>
        <v/>
      </c>
      <c r="J211" t="str" cm="1">
        <f>IF(ISBLANK(INDEX(Array_StationaryChargeData,ROW()-36,COLUMN()*2-3)),"",INDEX(Array_StationaryChargeData,ROW()-36,COLUMN()*2-3))</f>
        <v/>
      </c>
      <c r="K211" t="str" cm="1">
        <f>IF(ISBLANK(INDEX(Array_StationaryChargeData,ROW()-36,COLUMN()*2-3)),"",INDEX(Array_StationaryChargeData,ROW()-36,COLUMN()*2-3))</f>
        <v/>
      </c>
      <c r="L211" t="str" cm="1">
        <f>IF(ISBLANK(INDEX(Array_StationaryChargeData,ROW()-36,COLUMN()*2-3)),"",INDEX(Array_StationaryChargeData,ROW()-36,COLUMN()*2-3))</f>
        <v/>
      </c>
      <c r="M211" t="str" cm="1">
        <f>IF(ISBLANK(INDEX(Array_StationaryChargeData,ROW()-36,COLUMN()*2-3)),"",INDEX(Array_StationaryChargeData,ROW()-36,COLUMN()*2-3))</f>
        <v/>
      </c>
      <c r="N211" t="str" cm="1">
        <f>IF(ISBLANK(INDEX(Array_StationaryChargeData,ROW()-36,COLUMN()*2-3)),"",INDEX(Array_StationaryChargeData,ROW()-36,COLUMN()*2-3))</f>
        <v/>
      </c>
      <c r="O211" t="str" cm="1">
        <f>IF(ISBLANK(INDEX(Array_StationaryChargeData,ROW()-36,COLUMN()*2-3)),"",INDEX(Array_StationaryChargeData,ROW()-36,COLUMN()*2-3))</f>
        <v/>
      </c>
      <c r="P211" t="str" cm="1">
        <f>IF(ISBLANK(INDEX(Array_StationaryChargeData,ROW()-36,COLUMN()*2-3)),"",INDEX(Array_StationaryChargeData,ROW()-36,COLUMN()*2-3))</f>
        <v/>
      </c>
    </row>
    <row r="212" spans="1:16" x14ac:dyDescent="0.35">
      <c r="A212" t="str">
        <f>IF('Stationary Fuel Meters'!B178="",A211,'Stationary Fuel Meters'!B178)</f>
        <v>Meter Numbers</v>
      </c>
      <c r="B212" t="str" cm="1">
        <f>IF(ISBLANK(INDEX(Array_StationaryChargeData,ROW()-36,COLUMN()*2-3)),"",INDEX(Array_StationaryChargeData,ROW()-36,COLUMN()*2-3))</f>
        <v/>
      </c>
      <c r="C212" t="str" cm="1">
        <f>IF(ISBLANK(INDEX(Array_StationaryChargeData,ROW()-36,COLUMN()*2-3)),"",INDEX(Array_StationaryChargeData,ROW()-36,COLUMN()*2-3))</f>
        <v/>
      </c>
      <c r="D212" t="str" cm="1">
        <f>IF(ISBLANK(INDEX(Array_StationaryChargeData,ROW()-36,COLUMN()*2-3)),"",INDEX(Array_StationaryChargeData,ROW()-36,COLUMN()*2-3))</f>
        <v/>
      </c>
      <c r="E212" t="str" cm="1">
        <f>IF(ISBLANK(INDEX(Array_StationaryChargeData,ROW()-36,COLUMN()*2-3)),"",INDEX(Array_StationaryChargeData,ROW()-36,COLUMN()*2-3))</f>
        <v/>
      </c>
      <c r="F212" t="str" cm="1">
        <f>IF(ISBLANK(INDEX(Array_StationaryChargeData,ROW()-36,COLUMN()*2-3)),"",INDEX(Array_StationaryChargeData,ROW()-36,COLUMN()*2-3))</f>
        <v/>
      </c>
      <c r="G212" t="str" cm="1">
        <f>IF(ISBLANK(INDEX(Array_StationaryChargeData,ROW()-36,COLUMN()*2-3)),"",INDEX(Array_StationaryChargeData,ROW()-36,COLUMN()*2-3))</f>
        <v/>
      </c>
      <c r="H212" t="str" cm="1">
        <f>IF(ISBLANK(INDEX(Array_StationaryChargeData,ROW()-36,COLUMN()*2-3)),"",INDEX(Array_StationaryChargeData,ROW()-36,COLUMN()*2-3))</f>
        <v/>
      </c>
      <c r="I212" t="str" cm="1">
        <f>IF(ISBLANK(INDEX(Array_StationaryChargeData,ROW()-36,COLUMN()*2-3)),"",INDEX(Array_StationaryChargeData,ROW()-36,COLUMN()*2-3))</f>
        <v/>
      </c>
      <c r="J212" t="str" cm="1">
        <f>IF(ISBLANK(INDEX(Array_StationaryChargeData,ROW()-36,COLUMN()*2-3)),"",INDEX(Array_StationaryChargeData,ROW()-36,COLUMN()*2-3))</f>
        <v/>
      </c>
      <c r="K212" t="str" cm="1">
        <f>IF(ISBLANK(INDEX(Array_StationaryChargeData,ROW()-36,COLUMN()*2-3)),"",INDEX(Array_StationaryChargeData,ROW()-36,COLUMN()*2-3))</f>
        <v/>
      </c>
      <c r="L212" t="str" cm="1">
        <f>IF(ISBLANK(INDEX(Array_StationaryChargeData,ROW()-36,COLUMN()*2-3)),"",INDEX(Array_StationaryChargeData,ROW()-36,COLUMN()*2-3))</f>
        <v/>
      </c>
      <c r="M212" t="str" cm="1">
        <f>IF(ISBLANK(INDEX(Array_StationaryChargeData,ROW()-36,COLUMN()*2-3)),"",INDEX(Array_StationaryChargeData,ROW()-36,COLUMN()*2-3))</f>
        <v/>
      </c>
      <c r="N212" t="str" cm="1">
        <f>IF(ISBLANK(INDEX(Array_StationaryChargeData,ROW()-36,COLUMN()*2-3)),"",INDEX(Array_StationaryChargeData,ROW()-36,COLUMN()*2-3))</f>
        <v/>
      </c>
      <c r="O212" t="str" cm="1">
        <f>IF(ISBLANK(INDEX(Array_StationaryChargeData,ROW()-36,COLUMN()*2-3)),"",INDEX(Array_StationaryChargeData,ROW()-36,COLUMN()*2-3))</f>
        <v/>
      </c>
      <c r="P212" t="str" cm="1">
        <f>IF(ISBLANK(INDEX(Array_StationaryChargeData,ROW()-36,COLUMN()*2-3)),"",INDEX(Array_StationaryChargeData,ROW()-36,COLUMN()*2-3))</f>
        <v/>
      </c>
    </row>
    <row r="213" spans="1:16" x14ac:dyDescent="0.35">
      <c r="A213" t="str">
        <f>IF('Stationary Fuel Meters'!B179="",A212,'Stationary Fuel Meters'!B179)</f>
        <v>Meter Numbers</v>
      </c>
      <c r="B213" t="str" cm="1">
        <f>IF(ISBLANK(INDEX(Array_StationaryChargeData,ROW()-36,COLUMN()*2-3)),"",INDEX(Array_StationaryChargeData,ROW()-36,COLUMN()*2-3))</f>
        <v/>
      </c>
      <c r="C213" t="str" cm="1">
        <f>IF(ISBLANK(INDEX(Array_StationaryChargeData,ROW()-36,COLUMN()*2-3)),"",INDEX(Array_StationaryChargeData,ROW()-36,COLUMN()*2-3))</f>
        <v/>
      </c>
      <c r="D213" t="str" cm="1">
        <f>IF(ISBLANK(INDEX(Array_StationaryChargeData,ROW()-36,COLUMN()*2-3)),"",INDEX(Array_StationaryChargeData,ROW()-36,COLUMN()*2-3))</f>
        <v/>
      </c>
      <c r="E213" t="str" cm="1">
        <f>IF(ISBLANK(INDEX(Array_StationaryChargeData,ROW()-36,COLUMN()*2-3)),"",INDEX(Array_StationaryChargeData,ROW()-36,COLUMN()*2-3))</f>
        <v/>
      </c>
      <c r="F213" t="str" cm="1">
        <f>IF(ISBLANK(INDEX(Array_StationaryChargeData,ROW()-36,COLUMN()*2-3)),"",INDEX(Array_StationaryChargeData,ROW()-36,COLUMN()*2-3))</f>
        <v/>
      </c>
      <c r="G213" t="str" cm="1">
        <f>IF(ISBLANK(INDEX(Array_StationaryChargeData,ROW()-36,COLUMN()*2-3)),"",INDEX(Array_StationaryChargeData,ROW()-36,COLUMN()*2-3))</f>
        <v/>
      </c>
      <c r="H213" t="str" cm="1">
        <f>IF(ISBLANK(INDEX(Array_StationaryChargeData,ROW()-36,COLUMN()*2-3)),"",INDEX(Array_StationaryChargeData,ROW()-36,COLUMN()*2-3))</f>
        <v/>
      </c>
      <c r="I213" t="str" cm="1">
        <f>IF(ISBLANK(INDEX(Array_StationaryChargeData,ROW()-36,COLUMN()*2-3)),"",INDEX(Array_StationaryChargeData,ROW()-36,COLUMN()*2-3))</f>
        <v/>
      </c>
      <c r="J213" t="str" cm="1">
        <f>IF(ISBLANK(INDEX(Array_StationaryChargeData,ROW()-36,COLUMN()*2-3)),"",INDEX(Array_StationaryChargeData,ROW()-36,COLUMN()*2-3))</f>
        <v/>
      </c>
      <c r="K213" t="str" cm="1">
        <f>IF(ISBLANK(INDEX(Array_StationaryChargeData,ROW()-36,COLUMN()*2-3)),"",INDEX(Array_StationaryChargeData,ROW()-36,COLUMN()*2-3))</f>
        <v/>
      </c>
      <c r="L213" t="str" cm="1">
        <f>IF(ISBLANK(INDEX(Array_StationaryChargeData,ROW()-36,COLUMN()*2-3)),"",INDEX(Array_StationaryChargeData,ROW()-36,COLUMN()*2-3))</f>
        <v/>
      </c>
      <c r="M213" t="str" cm="1">
        <f>IF(ISBLANK(INDEX(Array_StationaryChargeData,ROW()-36,COLUMN()*2-3)),"",INDEX(Array_StationaryChargeData,ROW()-36,COLUMN()*2-3))</f>
        <v/>
      </c>
      <c r="N213" t="str" cm="1">
        <f>IF(ISBLANK(INDEX(Array_StationaryChargeData,ROW()-36,COLUMN()*2-3)),"",INDEX(Array_StationaryChargeData,ROW()-36,COLUMN()*2-3))</f>
        <v/>
      </c>
      <c r="O213" t="str" cm="1">
        <f>IF(ISBLANK(INDEX(Array_StationaryChargeData,ROW()-36,COLUMN()*2-3)),"",INDEX(Array_StationaryChargeData,ROW()-36,COLUMN()*2-3))</f>
        <v/>
      </c>
      <c r="P213" t="str" cm="1">
        <f>IF(ISBLANK(INDEX(Array_StationaryChargeData,ROW()-36,COLUMN()*2-3)),"",INDEX(Array_StationaryChargeData,ROW()-36,COLUMN()*2-3))</f>
        <v/>
      </c>
    </row>
    <row r="214" spans="1:16" x14ac:dyDescent="0.35">
      <c r="A214" t="str">
        <f>IF('Stationary Fuel Meters'!B180="",A213,'Stationary Fuel Meters'!B180)</f>
        <v>Meter Numbers</v>
      </c>
      <c r="B214" t="str" cm="1">
        <f>IF(ISBLANK(INDEX(Array_StationaryChargeData,ROW()-36,COLUMN()*2-3)),"",INDEX(Array_StationaryChargeData,ROW()-36,COLUMN()*2-3))</f>
        <v/>
      </c>
      <c r="C214" t="str" cm="1">
        <f>IF(ISBLANK(INDEX(Array_StationaryChargeData,ROW()-36,COLUMN()*2-3)),"",INDEX(Array_StationaryChargeData,ROW()-36,COLUMN()*2-3))</f>
        <v/>
      </c>
      <c r="D214" t="str" cm="1">
        <f>IF(ISBLANK(INDEX(Array_StationaryChargeData,ROW()-36,COLUMN()*2-3)),"",INDEX(Array_StationaryChargeData,ROW()-36,COLUMN()*2-3))</f>
        <v/>
      </c>
      <c r="E214" t="str" cm="1">
        <f>IF(ISBLANK(INDEX(Array_StationaryChargeData,ROW()-36,COLUMN()*2-3)),"",INDEX(Array_StationaryChargeData,ROW()-36,COLUMN()*2-3))</f>
        <v/>
      </c>
      <c r="F214" t="str" cm="1">
        <f>IF(ISBLANK(INDEX(Array_StationaryChargeData,ROW()-36,COLUMN()*2-3)),"",INDEX(Array_StationaryChargeData,ROW()-36,COLUMN()*2-3))</f>
        <v/>
      </c>
      <c r="G214" t="str" cm="1">
        <f>IF(ISBLANK(INDEX(Array_StationaryChargeData,ROW()-36,COLUMN()*2-3)),"",INDEX(Array_StationaryChargeData,ROW()-36,COLUMN()*2-3))</f>
        <v/>
      </c>
      <c r="H214" t="str" cm="1">
        <f>IF(ISBLANK(INDEX(Array_StationaryChargeData,ROW()-36,COLUMN()*2-3)),"",INDEX(Array_StationaryChargeData,ROW()-36,COLUMN()*2-3))</f>
        <v/>
      </c>
      <c r="I214" t="str" cm="1">
        <f>IF(ISBLANK(INDEX(Array_StationaryChargeData,ROW()-36,COLUMN()*2-3)),"",INDEX(Array_StationaryChargeData,ROW()-36,COLUMN()*2-3))</f>
        <v/>
      </c>
      <c r="J214" t="str" cm="1">
        <f>IF(ISBLANK(INDEX(Array_StationaryChargeData,ROW()-36,COLUMN()*2-3)),"",INDEX(Array_StationaryChargeData,ROW()-36,COLUMN()*2-3))</f>
        <v/>
      </c>
      <c r="K214" t="str" cm="1">
        <f>IF(ISBLANK(INDEX(Array_StationaryChargeData,ROW()-36,COLUMN()*2-3)),"",INDEX(Array_StationaryChargeData,ROW()-36,COLUMN()*2-3))</f>
        <v/>
      </c>
      <c r="L214" t="str" cm="1">
        <f>IF(ISBLANK(INDEX(Array_StationaryChargeData,ROW()-36,COLUMN()*2-3)),"",INDEX(Array_StationaryChargeData,ROW()-36,COLUMN()*2-3))</f>
        <v/>
      </c>
      <c r="M214" t="str" cm="1">
        <f>IF(ISBLANK(INDEX(Array_StationaryChargeData,ROW()-36,COLUMN()*2-3)),"",INDEX(Array_StationaryChargeData,ROW()-36,COLUMN()*2-3))</f>
        <v/>
      </c>
      <c r="N214" t="str" cm="1">
        <f>IF(ISBLANK(INDEX(Array_StationaryChargeData,ROW()-36,COLUMN()*2-3)),"",INDEX(Array_StationaryChargeData,ROW()-36,COLUMN()*2-3))</f>
        <v/>
      </c>
      <c r="O214" t="str" cm="1">
        <f>IF(ISBLANK(INDEX(Array_StationaryChargeData,ROW()-36,COLUMN()*2-3)),"",INDEX(Array_StationaryChargeData,ROW()-36,COLUMN()*2-3))</f>
        <v/>
      </c>
      <c r="P214" t="str" cm="1">
        <f>IF(ISBLANK(INDEX(Array_StationaryChargeData,ROW()-36,COLUMN()*2-3)),"",INDEX(Array_StationaryChargeData,ROW()-36,COLUMN()*2-3))</f>
        <v/>
      </c>
    </row>
    <row r="215" spans="1:16" x14ac:dyDescent="0.35">
      <c r="A215" t="str">
        <f>IF('Stationary Fuel Meters'!B181="",A214,'Stationary Fuel Meters'!B181)</f>
        <v>Meter Numbers</v>
      </c>
      <c r="B215" t="str" cm="1">
        <f>IF(ISBLANK(INDEX(Array_StationaryChargeData,ROW()-36,COLUMN()*2-3)),"",INDEX(Array_StationaryChargeData,ROW()-36,COLUMN()*2-3))</f>
        <v/>
      </c>
      <c r="C215" t="str" cm="1">
        <f>IF(ISBLANK(INDEX(Array_StationaryChargeData,ROW()-36,COLUMN()*2-3)),"",INDEX(Array_StationaryChargeData,ROW()-36,COLUMN()*2-3))</f>
        <v/>
      </c>
      <c r="D215" t="str" cm="1">
        <f>IF(ISBLANK(INDEX(Array_StationaryChargeData,ROW()-36,COLUMN()*2-3)),"",INDEX(Array_StationaryChargeData,ROW()-36,COLUMN()*2-3))</f>
        <v/>
      </c>
      <c r="E215" t="str" cm="1">
        <f>IF(ISBLANK(INDEX(Array_StationaryChargeData,ROW()-36,COLUMN()*2-3)),"",INDEX(Array_StationaryChargeData,ROW()-36,COLUMN()*2-3))</f>
        <v/>
      </c>
      <c r="F215" t="str" cm="1">
        <f>IF(ISBLANK(INDEX(Array_StationaryChargeData,ROW()-36,COLUMN()*2-3)),"",INDEX(Array_StationaryChargeData,ROW()-36,COLUMN()*2-3))</f>
        <v/>
      </c>
      <c r="G215" t="str" cm="1">
        <f>IF(ISBLANK(INDEX(Array_StationaryChargeData,ROW()-36,COLUMN()*2-3)),"",INDEX(Array_StationaryChargeData,ROW()-36,COLUMN()*2-3))</f>
        <v/>
      </c>
      <c r="H215" t="str" cm="1">
        <f>IF(ISBLANK(INDEX(Array_StationaryChargeData,ROW()-36,COLUMN()*2-3)),"",INDEX(Array_StationaryChargeData,ROW()-36,COLUMN()*2-3))</f>
        <v/>
      </c>
      <c r="I215" t="str" cm="1">
        <f>IF(ISBLANK(INDEX(Array_StationaryChargeData,ROW()-36,COLUMN()*2-3)),"",INDEX(Array_StationaryChargeData,ROW()-36,COLUMN()*2-3))</f>
        <v/>
      </c>
      <c r="J215" t="str" cm="1">
        <f>IF(ISBLANK(INDEX(Array_StationaryChargeData,ROW()-36,COLUMN()*2-3)),"",INDEX(Array_StationaryChargeData,ROW()-36,COLUMN()*2-3))</f>
        <v/>
      </c>
      <c r="K215" t="str" cm="1">
        <f>IF(ISBLANK(INDEX(Array_StationaryChargeData,ROW()-36,COLUMN()*2-3)),"",INDEX(Array_StationaryChargeData,ROW()-36,COLUMN()*2-3))</f>
        <v/>
      </c>
      <c r="L215" t="str" cm="1">
        <f>IF(ISBLANK(INDEX(Array_StationaryChargeData,ROW()-36,COLUMN()*2-3)),"",INDEX(Array_StationaryChargeData,ROW()-36,COLUMN()*2-3))</f>
        <v/>
      </c>
      <c r="M215" t="str" cm="1">
        <f>IF(ISBLANK(INDEX(Array_StationaryChargeData,ROW()-36,COLUMN()*2-3)),"",INDEX(Array_StationaryChargeData,ROW()-36,COLUMN()*2-3))</f>
        <v/>
      </c>
      <c r="N215" t="str" cm="1">
        <f>IF(ISBLANK(INDEX(Array_StationaryChargeData,ROW()-36,COLUMN()*2-3)),"",INDEX(Array_StationaryChargeData,ROW()-36,COLUMN()*2-3))</f>
        <v/>
      </c>
      <c r="O215" t="str" cm="1">
        <f>IF(ISBLANK(INDEX(Array_StationaryChargeData,ROW()-36,COLUMN()*2-3)),"",INDEX(Array_StationaryChargeData,ROW()-36,COLUMN()*2-3))</f>
        <v/>
      </c>
      <c r="P215" t="str" cm="1">
        <f>IF(ISBLANK(INDEX(Array_StationaryChargeData,ROW()-36,COLUMN()*2-3)),"",INDEX(Array_StationaryChargeData,ROW()-36,COLUMN()*2-3))</f>
        <v/>
      </c>
    </row>
    <row r="216" spans="1:16" x14ac:dyDescent="0.35">
      <c r="A216" t="str">
        <f>IF('Stationary Fuel Meters'!B182="",A215,'Stationary Fuel Meters'!B182)</f>
        <v>Meter Numbers</v>
      </c>
      <c r="B216" t="str" cm="1">
        <f>IF(ISBLANK(INDEX(Array_StationaryChargeData,ROW()-36,COLUMN()*2-3)),"",INDEX(Array_StationaryChargeData,ROW()-36,COLUMN()*2-3))</f>
        <v/>
      </c>
      <c r="C216" t="str" cm="1">
        <f>IF(ISBLANK(INDEX(Array_StationaryChargeData,ROW()-36,COLUMN()*2-3)),"",INDEX(Array_StationaryChargeData,ROW()-36,COLUMN()*2-3))</f>
        <v/>
      </c>
      <c r="D216" t="str" cm="1">
        <f>IF(ISBLANK(INDEX(Array_StationaryChargeData,ROW()-36,COLUMN()*2-3)),"",INDEX(Array_StationaryChargeData,ROW()-36,COLUMN()*2-3))</f>
        <v/>
      </c>
      <c r="E216" t="str" cm="1">
        <f>IF(ISBLANK(INDEX(Array_StationaryChargeData,ROW()-36,COLUMN()*2-3)),"",INDEX(Array_StationaryChargeData,ROW()-36,COLUMN()*2-3))</f>
        <v/>
      </c>
      <c r="F216" t="str" cm="1">
        <f>IF(ISBLANK(INDEX(Array_StationaryChargeData,ROW()-36,COLUMN()*2-3)),"",INDEX(Array_StationaryChargeData,ROW()-36,COLUMN()*2-3))</f>
        <v/>
      </c>
      <c r="G216" t="str" cm="1">
        <f>IF(ISBLANK(INDEX(Array_StationaryChargeData,ROW()-36,COLUMN()*2-3)),"",INDEX(Array_StationaryChargeData,ROW()-36,COLUMN()*2-3))</f>
        <v/>
      </c>
      <c r="H216" t="str" cm="1">
        <f>IF(ISBLANK(INDEX(Array_StationaryChargeData,ROW()-36,COLUMN()*2-3)),"",INDEX(Array_StationaryChargeData,ROW()-36,COLUMN()*2-3))</f>
        <v/>
      </c>
      <c r="I216" t="str" cm="1">
        <f>IF(ISBLANK(INDEX(Array_StationaryChargeData,ROW()-36,COLUMN()*2-3)),"",INDEX(Array_StationaryChargeData,ROW()-36,COLUMN()*2-3))</f>
        <v/>
      </c>
      <c r="J216" t="str" cm="1">
        <f>IF(ISBLANK(INDEX(Array_StationaryChargeData,ROW()-36,COLUMN()*2-3)),"",INDEX(Array_StationaryChargeData,ROW()-36,COLUMN()*2-3))</f>
        <v/>
      </c>
      <c r="K216" t="str" cm="1">
        <f>IF(ISBLANK(INDEX(Array_StationaryChargeData,ROW()-36,COLUMN()*2-3)),"",INDEX(Array_StationaryChargeData,ROW()-36,COLUMN()*2-3))</f>
        <v/>
      </c>
      <c r="L216" t="str" cm="1">
        <f>IF(ISBLANK(INDEX(Array_StationaryChargeData,ROW()-36,COLUMN()*2-3)),"",INDEX(Array_StationaryChargeData,ROW()-36,COLUMN()*2-3))</f>
        <v/>
      </c>
      <c r="M216" t="str" cm="1">
        <f>IF(ISBLANK(INDEX(Array_StationaryChargeData,ROW()-36,COLUMN()*2-3)),"",INDEX(Array_StationaryChargeData,ROW()-36,COLUMN()*2-3))</f>
        <v/>
      </c>
      <c r="N216" t="str" cm="1">
        <f>IF(ISBLANK(INDEX(Array_StationaryChargeData,ROW()-36,COLUMN()*2-3)),"",INDEX(Array_StationaryChargeData,ROW()-36,COLUMN()*2-3))</f>
        <v/>
      </c>
      <c r="O216" t="str" cm="1">
        <f>IF(ISBLANK(INDEX(Array_StationaryChargeData,ROW()-36,COLUMN()*2-3)),"",INDEX(Array_StationaryChargeData,ROW()-36,COLUMN()*2-3))</f>
        <v/>
      </c>
      <c r="P216" t="str" cm="1">
        <f>IF(ISBLANK(INDEX(Array_StationaryChargeData,ROW()-36,COLUMN()*2-3)),"",INDEX(Array_StationaryChargeData,ROW()-36,COLUMN()*2-3))</f>
        <v/>
      </c>
    </row>
    <row r="217" spans="1:16" x14ac:dyDescent="0.35">
      <c r="A217" t="str">
        <f>IF('Stationary Fuel Meters'!B183="",A216,'Stationary Fuel Meters'!B183)</f>
        <v>Meter Numbers</v>
      </c>
      <c r="B217" t="str" cm="1">
        <f>IF(ISBLANK(INDEX(Array_StationaryChargeData,ROW()-36,COLUMN()*2-3)),"",INDEX(Array_StationaryChargeData,ROW()-36,COLUMN()*2-3))</f>
        <v/>
      </c>
      <c r="C217" t="str" cm="1">
        <f>IF(ISBLANK(INDEX(Array_StationaryChargeData,ROW()-36,COLUMN()*2-3)),"",INDEX(Array_StationaryChargeData,ROW()-36,COLUMN()*2-3))</f>
        <v/>
      </c>
      <c r="D217" t="str" cm="1">
        <f>IF(ISBLANK(INDEX(Array_StationaryChargeData,ROW()-36,COLUMN()*2-3)),"",INDEX(Array_StationaryChargeData,ROW()-36,COLUMN()*2-3))</f>
        <v/>
      </c>
      <c r="E217" t="str" cm="1">
        <f>IF(ISBLANK(INDEX(Array_StationaryChargeData,ROW()-36,COLUMN()*2-3)),"",INDEX(Array_StationaryChargeData,ROW()-36,COLUMN()*2-3))</f>
        <v/>
      </c>
      <c r="F217" t="str" cm="1">
        <f>IF(ISBLANK(INDEX(Array_StationaryChargeData,ROW()-36,COLUMN()*2-3)),"",INDEX(Array_StationaryChargeData,ROW()-36,COLUMN()*2-3))</f>
        <v/>
      </c>
      <c r="G217" t="str" cm="1">
        <f>IF(ISBLANK(INDEX(Array_StationaryChargeData,ROW()-36,COLUMN()*2-3)),"",INDEX(Array_StationaryChargeData,ROW()-36,COLUMN()*2-3))</f>
        <v/>
      </c>
      <c r="H217" t="str" cm="1">
        <f>IF(ISBLANK(INDEX(Array_StationaryChargeData,ROW()-36,COLUMN()*2-3)),"",INDEX(Array_StationaryChargeData,ROW()-36,COLUMN()*2-3))</f>
        <v/>
      </c>
      <c r="I217" t="str" cm="1">
        <f>IF(ISBLANK(INDEX(Array_StationaryChargeData,ROW()-36,COLUMN()*2-3)),"",INDEX(Array_StationaryChargeData,ROW()-36,COLUMN()*2-3))</f>
        <v/>
      </c>
      <c r="J217" t="str" cm="1">
        <f>IF(ISBLANK(INDEX(Array_StationaryChargeData,ROW()-36,COLUMN()*2-3)),"",INDEX(Array_StationaryChargeData,ROW()-36,COLUMN()*2-3))</f>
        <v/>
      </c>
      <c r="K217" t="str" cm="1">
        <f>IF(ISBLANK(INDEX(Array_StationaryChargeData,ROW()-36,COLUMN()*2-3)),"",INDEX(Array_StationaryChargeData,ROW()-36,COLUMN()*2-3))</f>
        <v/>
      </c>
      <c r="L217" t="str" cm="1">
        <f>IF(ISBLANK(INDEX(Array_StationaryChargeData,ROW()-36,COLUMN()*2-3)),"",INDEX(Array_StationaryChargeData,ROW()-36,COLUMN()*2-3))</f>
        <v/>
      </c>
      <c r="M217" t="str" cm="1">
        <f>IF(ISBLANK(INDEX(Array_StationaryChargeData,ROW()-36,COLUMN()*2-3)),"",INDEX(Array_StationaryChargeData,ROW()-36,COLUMN()*2-3))</f>
        <v/>
      </c>
      <c r="N217" t="str" cm="1">
        <f>IF(ISBLANK(INDEX(Array_StationaryChargeData,ROW()-36,COLUMN()*2-3)),"",INDEX(Array_StationaryChargeData,ROW()-36,COLUMN()*2-3))</f>
        <v/>
      </c>
      <c r="O217" t="str" cm="1">
        <f>IF(ISBLANK(INDEX(Array_StationaryChargeData,ROW()-36,COLUMN()*2-3)),"",INDEX(Array_StationaryChargeData,ROW()-36,COLUMN()*2-3))</f>
        <v/>
      </c>
      <c r="P217" t="str" cm="1">
        <f>IF(ISBLANK(INDEX(Array_StationaryChargeData,ROW()-36,COLUMN()*2-3)),"",INDEX(Array_StationaryChargeData,ROW()-36,COLUMN()*2-3))</f>
        <v/>
      </c>
    </row>
    <row r="218" spans="1:16" x14ac:dyDescent="0.35">
      <c r="A218" t="str">
        <f>IF('Stationary Fuel Meters'!B184="",A217,'Stationary Fuel Meters'!B184)</f>
        <v>Meter Numbers</v>
      </c>
      <c r="B218" t="str" cm="1">
        <f>IF(ISBLANK(INDEX(Array_StationaryChargeData,ROW()-36,COLUMN()*2-3)),"",INDEX(Array_StationaryChargeData,ROW()-36,COLUMN()*2-3))</f>
        <v/>
      </c>
      <c r="C218" t="str" cm="1">
        <f>IF(ISBLANK(INDEX(Array_StationaryChargeData,ROW()-36,COLUMN()*2-3)),"",INDEX(Array_StationaryChargeData,ROW()-36,COLUMN()*2-3))</f>
        <v/>
      </c>
      <c r="D218" t="str" cm="1">
        <f>IF(ISBLANK(INDEX(Array_StationaryChargeData,ROW()-36,COLUMN()*2-3)),"",INDEX(Array_StationaryChargeData,ROW()-36,COLUMN()*2-3))</f>
        <v/>
      </c>
      <c r="E218" t="str" cm="1">
        <f>IF(ISBLANK(INDEX(Array_StationaryChargeData,ROW()-36,COLUMN()*2-3)),"",INDEX(Array_StationaryChargeData,ROW()-36,COLUMN()*2-3))</f>
        <v/>
      </c>
      <c r="F218" t="str" cm="1">
        <f>IF(ISBLANK(INDEX(Array_StationaryChargeData,ROW()-36,COLUMN()*2-3)),"",INDEX(Array_StationaryChargeData,ROW()-36,COLUMN()*2-3))</f>
        <v/>
      </c>
      <c r="G218" t="str" cm="1">
        <f>IF(ISBLANK(INDEX(Array_StationaryChargeData,ROW()-36,COLUMN()*2-3)),"",INDEX(Array_StationaryChargeData,ROW()-36,COLUMN()*2-3))</f>
        <v/>
      </c>
      <c r="H218" t="str" cm="1">
        <f>IF(ISBLANK(INDEX(Array_StationaryChargeData,ROW()-36,COLUMN()*2-3)),"",INDEX(Array_StationaryChargeData,ROW()-36,COLUMN()*2-3))</f>
        <v/>
      </c>
      <c r="I218" t="str" cm="1">
        <f>IF(ISBLANK(INDEX(Array_StationaryChargeData,ROW()-36,COLUMN()*2-3)),"",INDEX(Array_StationaryChargeData,ROW()-36,COLUMN()*2-3))</f>
        <v/>
      </c>
      <c r="J218" t="str" cm="1">
        <f>IF(ISBLANK(INDEX(Array_StationaryChargeData,ROW()-36,COLUMN()*2-3)),"",INDEX(Array_StationaryChargeData,ROW()-36,COLUMN()*2-3))</f>
        <v/>
      </c>
      <c r="K218" t="str" cm="1">
        <f>IF(ISBLANK(INDEX(Array_StationaryChargeData,ROW()-36,COLUMN()*2-3)),"",INDEX(Array_StationaryChargeData,ROW()-36,COLUMN()*2-3))</f>
        <v/>
      </c>
      <c r="L218" t="str" cm="1">
        <f>IF(ISBLANK(INDEX(Array_StationaryChargeData,ROW()-36,COLUMN()*2-3)),"",INDEX(Array_StationaryChargeData,ROW()-36,COLUMN()*2-3))</f>
        <v/>
      </c>
      <c r="M218" t="str" cm="1">
        <f>IF(ISBLANK(INDEX(Array_StationaryChargeData,ROW()-36,COLUMN()*2-3)),"",INDEX(Array_StationaryChargeData,ROW()-36,COLUMN()*2-3))</f>
        <v/>
      </c>
      <c r="N218" t="str" cm="1">
        <f>IF(ISBLANK(INDEX(Array_StationaryChargeData,ROW()-36,COLUMN()*2-3)),"",INDEX(Array_StationaryChargeData,ROW()-36,COLUMN()*2-3))</f>
        <v/>
      </c>
      <c r="O218" t="str" cm="1">
        <f>IF(ISBLANK(INDEX(Array_StationaryChargeData,ROW()-36,COLUMN()*2-3)),"",INDEX(Array_StationaryChargeData,ROW()-36,COLUMN()*2-3))</f>
        <v/>
      </c>
      <c r="P218" t="str" cm="1">
        <f>IF(ISBLANK(INDEX(Array_StationaryChargeData,ROW()-36,COLUMN()*2-3)),"",INDEX(Array_StationaryChargeData,ROW()-36,COLUMN()*2-3))</f>
        <v/>
      </c>
    </row>
    <row r="219" spans="1:16" x14ac:dyDescent="0.35">
      <c r="A219" t="str">
        <f>IF('Stationary Fuel Meters'!B185="",A218,'Stationary Fuel Meters'!B185)</f>
        <v>Meter Numbers</v>
      </c>
      <c r="B219" t="str" cm="1">
        <f>IF(ISBLANK(INDEX(Array_StationaryChargeData,ROW()-36,COLUMN()*2-3)),"",INDEX(Array_StationaryChargeData,ROW()-36,COLUMN()*2-3))</f>
        <v/>
      </c>
      <c r="C219" t="str" cm="1">
        <f>IF(ISBLANK(INDEX(Array_StationaryChargeData,ROW()-36,COLUMN()*2-3)),"",INDEX(Array_StationaryChargeData,ROW()-36,COLUMN()*2-3))</f>
        <v/>
      </c>
      <c r="D219" t="str" cm="1">
        <f>IF(ISBLANK(INDEX(Array_StationaryChargeData,ROW()-36,COLUMN()*2-3)),"",INDEX(Array_StationaryChargeData,ROW()-36,COLUMN()*2-3))</f>
        <v/>
      </c>
      <c r="E219" t="str" cm="1">
        <f>IF(ISBLANK(INDEX(Array_StationaryChargeData,ROW()-36,COLUMN()*2-3)),"",INDEX(Array_StationaryChargeData,ROW()-36,COLUMN()*2-3))</f>
        <v/>
      </c>
      <c r="F219" t="str" cm="1">
        <f>IF(ISBLANK(INDEX(Array_StationaryChargeData,ROW()-36,COLUMN()*2-3)),"",INDEX(Array_StationaryChargeData,ROW()-36,COLUMN()*2-3))</f>
        <v/>
      </c>
      <c r="G219" t="str" cm="1">
        <f>IF(ISBLANK(INDEX(Array_StationaryChargeData,ROW()-36,COLUMN()*2-3)),"",INDEX(Array_StationaryChargeData,ROW()-36,COLUMN()*2-3))</f>
        <v/>
      </c>
      <c r="H219" t="str" cm="1">
        <f>IF(ISBLANK(INDEX(Array_StationaryChargeData,ROW()-36,COLUMN()*2-3)),"",INDEX(Array_StationaryChargeData,ROW()-36,COLUMN()*2-3))</f>
        <v/>
      </c>
      <c r="I219" t="str" cm="1">
        <f>IF(ISBLANK(INDEX(Array_StationaryChargeData,ROW()-36,COLUMN()*2-3)),"",INDEX(Array_StationaryChargeData,ROW()-36,COLUMN()*2-3))</f>
        <v/>
      </c>
      <c r="J219" t="str" cm="1">
        <f>IF(ISBLANK(INDEX(Array_StationaryChargeData,ROW()-36,COLUMN()*2-3)),"",INDEX(Array_StationaryChargeData,ROW()-36,COLUMN()*2-3))</f>
        <v/>
      </c>
      <c r="K219" t="str" cm="1">
        <f>IF(ISBLANK(INDEX(Array_StationaryChargeData,ROW()-36,COLUMN()*2-3)),"",INDEX(Array_StationaryChargeData,ROW()-36,COLUMN()*2-3))</f>
        <v/>
      </c>
      <c r="L219" t="str" cm="1">
        <f>IF(ISBLANK(INDEX(Array_StationaryChargeData,ROW()-36,COLUMN()*2-3)),"",INDEX(Array_StationaryChargeData,ROW()-36,COLUMN()*2-3))</f>
        <v/>
      </c>
      <c r="M219" t="str" cm="1">
        <f>IF(ISBLANK(INDEX(Array_StationaryChargeData,ROW()-36,COLUMN()*2-3)),"",INDEX(Array_StationaryChargeData,ROW()-36,COLUMN()*2-3))</f>
        <v/>
      </c>
      <c r="N219" t="str" cm="1">
        <f>IF(ISBLANK(INDEX(Array_StationaryChargeData,ROW()-36,COLUMN()*2-3)),"",INDEX(Array_StationaryChargeData,ROW()-36,COLUMN()*2-3))</f>
        <v/>
      </c>
      <c r="O219" t="str" cm="1">
        <f>IF(ISBLANK(INDEX(Array_StationaryChargeData,ROW()-36,COLUMN()*2-3)),"",INDEX(Array_StationaryChargeData,ROW()-36,COLUMN()*2-3))</f>
        <v/>
      </c>
      <c r="P219" t="str" cm="1">
        <f>IF(ISBLANK(INDEX(Array_StationaryChargeData,ROW()-36,COLUMN()*2-3)),"",INDEX(Array_StationaryChargeData,ROW()-36,COLUMN()*2-3))</f>
        <v/>
      </c>
    </row>
    <row r="220" spans="1:16" x14ac:dyDescent="0.35">
      <c r="A220" t="str">
        <f>IF('Stationary Fuel Meters'!B186="",A219,'Stationary Fuel Meters'!B186)</f>
        <v>Meter Numbers</v>
      </c>
      <c r="B220" t="str" cm="1">
        <f>IF(ISBLANK(INDEX(Array_StationaryChargeData,ROW()-36,COLUMN()*2-3)),"",INDEX(Array_StationaryChargeData,ROW()-36,COLUMN()*2-3))</f>
        <v/>
      </c>
      <c r="C220" t="str" cm="1">
        <f>IF(ISBLANK(INDEX(Array_StationaryChargeData,ROW()-36,COLUMN()*2-3)),"",INDEX(Array_StationaryChargeData,ROW()-36,COLUMN()*2-3))</f>
        <v/>
      </c>
      <c r="D220" t="str" cm="1">
        <f>IF(ISBLANK(INDEX(Array_StationaryChargeData,ROW()-36,COLUMN()*2-3)),"",INDEX(Array_StationaryChargeData,ROW()-36,COLUMN()*2-3))</f>
        <v/>
      </c>
      <c r="E220" t="str" cm="1">
        <f>IF(ISBLANK(INDEX(Array_StationaryChargeData,ROW()-36,COLUMN()*2-3)),"",INDEX(Array_StationaryChargeData,ROW()-36,COLUMN()*2-3))</f>
        <v/>
      </c>
      <c r="F220" t="str" cm="1">
        <f>IF(ISBLANK(INDEX(Array_StationaryChargeData,ROW()-36,COLUMN()*2-3)),"",INDEX(Array_StationaryChargeData,ROW()-36,COLUMN()*2-3))</f>
        <v/>
      </c>
      <c r="G220" t="str" cm="1">
        <f>IF(ISBLANK(INDEX(Array_StationaryChargeData,ROW()-36,COLUMN()*2-3)),"",INDEX(Array_StationaryChargeData,ROW()-36,COLUMN()*2-3))</f>
        <v/>
      </c>
      <c r="H220" t="str" cm="1">
        <f>IF(ISBLANK(INDEX(Array_StationaryChargeData,ROW()-36,COLUMN()*2-3)),"",INDEX(Array_StationaryChargeData,ROW()-36,COLUMN()*2-3))</f>
        <v/>
      </c>
      <c r="I220" t="str" cm="1">
        <f>IF(ISBLANK(INDEX(Array_StationaryChargeData,ROW()-36,COLUMN()*2-3)),"",INDEX(Array_StationaryChargeData,ROW()-36,COLUMN()*2-3))</f>
        <v/>
      </c>
      <c r="J220" t="str" cm="1">
        <f>IF(ISBLANK(INDEX(Array_StationaryChargeData,ROW()-36,COLUMN()*2-3)),"",INDEX(Array_StationaryChargeData,ROW()-36,COLUMN()*2-3))</f>
        <v/>
      </c>
      <c r="K220" t="str" cm="1">
        <f>IF(ISBLANK(INDEX(Array_StationaryChargeData,ROW()-36,COLUMN()*2-3)),"",INDEX(Array_StationaryChargeData,ROW()-36,COLUMN()*2-3))</f>
        <v/>
      </c>
      <c r="L220" t="str" cm="1">
        <f>IF(ISBLANK(INDEX(Array_StationaryChargeData,ROW()-36,COLUMN()*2-3)),"",INDEX(Array_StationaryChargeData,ROW()-36,COLUMN()*2-3))</f>
        <v/>
      </c>
      <c r="M220" t="str" cm="1">
        <f>IF(ISBLANK(INDEX(Array_StationaryChargeData,ROW()-36,COLUMN()*2-3)),"",INDEX(Array_StationaryChargeData,ROW()-36,COLUMN()*2-3))</f>
        <v/>
      </c>
      <c r="N220" t="str" cm="1">
        <f>IF(ISBLANK(INDEX(Array_StationaryChargeData,ROW()-36,COLUMN()*2-3)),"",INDEX(Array_StationaryChargeData,ROW()-36,COLUMN()*2-3))</f>
        <v/>
      </c>
      <c r="O220" t="str" cm="1">
        <f>IF(ISBLANK(INDEX(Array_StationaryChargeData,ROW()-36,COLUMN()*2-3)),"",INDEX(Array_StationaryChargeData,ROW()-36,COLUMN()*2-3))</f>
        <v/>
      </c>
      <c r="P220" t="str" cm="1">
        <f>IF(ISBLANK(INDEX(Array_StationaryChargeData,ROW()-36,COLUMN()*2-3)),"",INDEX(Array_StationaryChargeData,ROW()-36,COLUMN()*2-3))</f>
        <v/>
      </c>
    </row>
    <row r="221" spans="1:16" x14ac:dyDescent="0.35">
      <c r="A221" t="str">
        <f>IF('Stationary Fuel Meters'!B187="",A220,'Stationary Fuel Meters'!B187)</f>
        <v>Meter Numbers</v>
      </c>
      <c r="B221" t="str" cm="1">
        <f>IF(ISBLANK(INDEX(Array_StationaryChargeData,ROW()-36,COLUMN()*2-3)),"",INDEX(Array_StationaryChargeData,ROW()-36,COLUMN()*2-3))</f>
        <v/>
      </c>
      <c r="C221" t="str" cm="1">
        <f>IF(ISBLANK(INDEX(Array_StationaryChargeData,ROW()-36,COLUMN()*2-3)),"",INDEX(Array_StationaryChargeData,ROW()-36,COLUMN()*2-3))</f>
        <v/>
      </c>
      <c r="D221" t="str" cm="1">
        <f>IF(ISBLANK(INDEX(Array_StationaryChargeData,ROW()-36,COLUMN()*2-3)),"",INDEX(Array_StationaryChargeData,ROW()-36,COLUMN()*2-3))</f>
        <v/>
      </c>
      <c r="E221" t="str" cm="1">
        <f>IF(ISBLANK(INDEX(Array_StationaryChargeData,ROW()-36,COLUMN()*2-3)),"",INDEX(Array_StationaryChargeData,ROW()-36,COLUMN()*2-3))</f>
        <v/>
      </c>
      <c r="F221" t="str" cm="1">
        <f>IF(ISBLANK(INDEX(Array_StationaryChargeData,ROW()-36,COLUMN()*2-3)),"",INDEX(Array_StationaryChargeData,ROW()-36,COLUMN()*2-3))</f>
        <v/>
      </c>
      <c r="G221" t="str" cm="1">
        <f>IF(ISBLANK(INDEX(Array_StationaryChargeData,ROW()-36,COLUMN()*2-3)),"",INDEX(Array_StationaryChargeData,ROW()-36,COLUMN()*2-3))</f>
        <v/>
      </c>
      <c r="H221" t="str" cm="1">
        <f>IF(ISBLANK(INDEX(Array_StationaryChargeData,ROW()-36,COLUMN()*2-3)),"",INDEX(Array_StationaryChargeData,ROW()-36,COLUMN()*2-3))</f>
        <v/>
      </c>
      <c r="I221" t="str" cm="1">
        <f>IF(ISBLANK(INDEX(Array_StationaryChargeData,ROW()-36,COLUMN()*2-3)),"",INDEX(Array_StationaryChargeData,ROW()-36,COLUMN()*2-3))</f>
        <v/>
      </c>
      <c r="J221" t="str" cm="1">
        <f>IF(ISBLANK(INDEX(Array_StationaryChargeData,ROW()-36,COLUMN()*2-3)),"",INDEX(Array_StationaryChargeData,ROW()-36,COLUMN()*2-3))</f>
        <v/>
      </c>
      <c r="K221" t="str" cm="1">
        <f>IF(ISBLANK(INDEX(Array_StationaryChargeData,ROW()-36,COLUMN()*2-3)),"",INDEX(Array_StationaryChargeData,ROW()-36,COLUMN()*2-3))</f>
        <v/>
      </c>
      <c r="L221" t="str" cm="1">
        <f>IF(ISBLANK(INDEX(Array_StationaryChargeData,ROW()-36,COLUMN()*2-3)),"",INDEX(Array_StationaryChargeData,ROW()-36,COLUMN()*2-3))</f>
        <v/>
      </c>
      <c r="M221" t="str" cm="1">
        <f>IF(ISBLANK(INDEX(Array_StationaryChargeData,ROW()-36,COLUMN()*2-3)),"",INDEX(Array_StationaryChargeData,ROW()-36,COLUMN()*2-3))</f>
        <v/>
      </c>
      <c r="N221" t="str" cm="1">
        <f>IF(ISBLANK(INDEX(Array_StationaryChargeData,ROW()-36,COLUMN()*2-3)),"",INDEX(Array_StationaryChargeData,ROW()-36,COLUMN()*2-3))</f>
        <v/>
      </c>
      <c r="O221" t="str" cm="1">
        <f>IF(ISBLANK(INDEX(Array_StationaryChargeData,ROW()-36,COLUMN()*2-3)),"",INDEX(Array_StationaryChargeData,ROW()-36,COLUMN()*2-3))</f>
        <v/>
      </c>
      <c r="P221" t="str" cm="1">
        <f>IF(ISBLANK(INDEX(Array_StationaryChargeData,ROW()-36,COLUMN()*2-3)),"",INDEX(Array_StationaryChargeData,ROW()-36,COLUMN()*2-3))</f>
        <v/>
      </c>
    </row>
    <row r="222" spans="1:16" x14ac:dyDescent="0.35">
      <c r="A222" t="str">
        <f>IF('Stationary Fuel Meters'!B188="",A221,'Stationary Fuel Meters'!B188)</f>
        <v>Meter Numbers</v>
      </c>
      <c r="B222" t="str" cm="1">
        <f>IF(ISBLANK(INDEX(Array_StationaryChargeData,ROW()-36,COLUMN()*2-3)),"",INDEX(Array_StationaryChargeData,ROW()-36,COLUMN()*2-3))</f>
        <v/>
      </c>
      <c r="C222" t="str" cm="1">
        <f>IF(ISBLANK(INDEX(Array_StationaryChargeData,ROW()-36,COLUMN()*2-3)),"",INDEX(Array_StationaryChargeData,ROW()-36,COLUMN()*2-3))</f>
        <v/>
      </c>
      <c r="D222" t="str" cm="1">
        <f>IF(ISBLANK(INDEX(Array_StationaryChargeData,ROW()-36,COLUMN()*2-3)),"",INDEX(Array_StationaryChargeData,ROW()-36,COLUMN()*2-3))</f>
        <v/>
      </c>
      <c r="E222" t="str" cm="1">
        <f>IF(ISBLANK(INDEX(Array_StationaryChargeData,ROW()-36,COLUMN()*2-3)),"",INDEX(Array_StationaryChargeData,ROW()-36,COLUMN()*2-3))</f>
        <v/>
      </c>
      <c r="F222" t="str" cm="1">
        <f>IF(ISBLANK(INDEX(Array_StationaryChargeData,ROW()-36,COLUMN()*2-3)),"",INDEX(Array_StationaryChargeData,ROW()-36,COLUMN()*2-3))</f>
        <v/>
      </c>
      <c r="G222" t="str" cm="1">
        <f>IF(ISBLANK(INDEX(Array_StationaryChargeData,ROW()-36,COLUMN()*2-3)),"",INDEX(Array_StationaryChargeData,ROW()-36,COLUMN()*2-3))</f>
        <v/>
      </c>
      <c r="H222" t="str" cm="1">
        <f>IF(ISBLANK(INDEX(Array_StationaryChargeData,ROW()-36,COLUMN()*2-3)),"",INDEX(Array_StationaryChargeData,ROW()-36,COLUMN()*2-3))</f>
        <v/>
      </c>
      <c r="I222" t="str" cm="1">
        <f>IF(ISBLANK(INDEX(Array_StationaryChargeData,ROW()-36,COLUMN()*2-3)),"",INDEX(Array_StationaryChargeData,ROW()-36,COLUMN()*2-3))</f>
        <v/>
      </c>
      <c r="J222" t="str" cm="1">
        <f>IF(ISBLANK(INDEX(Array_StationaryChargeData,ROW()-36,COLUMN()*2-3)),"",INDEX(Array_StationaryChargeData,ROW()-36,COLUMN()*2-3))</f>
        <v/>
      </c>
      <c r="K222" t="str" cm="1">
        <f>IF(ISBLANK(INDEX(Array_StationaryChargeData,ROW()-36,COLUMN()*2-3)),"",INDEX(Array_StationaryChargeData,ROW()-36,COLUMN()*2-3))</f>
        <v/>
      </c>
      <c r="L222" t="str" cm="1">
        <f>IF(ISBLANK(INDEX(Array_StationaryChargeData,ROW()-36,COLUMN()*2-3)),"",INDEX(Array_StationaryChargeData,ROW()-36,COLUMN()*2-3))</f>
        <v/>
      </c>
      <c r="M222" t="str" cm="1">
        <f>IF(ISBLANK(INDEX(Array_StationaryChargeData,ROW()-36,COLUMN()*2-3)),"",INDEX(Array_StationaryChargeData,ROW()-36,COLUMN()*2-3))</f>
        <v/>
      </c>
      <c r="N222" t="str" cm="1">
        <f>IF(ISBLANK(INDEX(Array_StationaryChargeData,ROW()-36,COLUMN()*2-3)),"",INDEX(Array_StationaryChargeData,ROW()-36,COLUMN()*2-3))</f>
        <v/>
      </c>
      <c r="O222" t="str" cm="1">
        <f>IF(ISBLANK(INDEX(Array_StationaryChargeData,ROW()-36,COLUMN()*2-3)),"",INDEX(Array_StationaryChargeData,ROW()-36,COLUMN()*2-3))</f>
        <v/>
      </c>
      <c r="P222" t="str" cm="1">
        <f>IF(ISBLANK(INDEX(Array_StationaryChargeData,ROW()-36,COLUMN()*2-3)),"",INDEX(Array_StationaryChargeData,ROW()-36,COLUMN()*2-3))</f>
        <v/>
      </c>
    </row>
    <row r="223" spans="1:16" x14ac:dyDescent="0.35">
      <c r="A223" t="str">
        <f>IF('Stationary Fuel Meters'!B189="",A222,'Stationary Fuel Meters'!B189)</f>
        <v>Meter Numbers</v>
      </c>
      <c r="B223" t="str" cm="1">
        <f>IF(ISBLANK(INDEX(Array_StationaryChargeData,ROW()-36,COLUMN()*2-3)),"",INDEX(Array_StationaryChargeData,ROW()-36,COLUMN()*2-3))</f>
        <v/>
      </c>
      <c r="C223" t="str" cm="1">
        <f>IF(ISBLANK(INDEX(Array_StationaryChargeData,ROW()-36,COLUMN()*2-3)),"",INDEX(Array_StationaryChargeData,ROW()-36,COLUMN()*2-3))</f>
        <v/>
      </c>
      <c r="D223" t="str" cm="1">
        <f>IF(ISBLANK(INDEX(Array_StationaryChargeData,ROW()-36,COLUMN()*2-3)),"",INDEX(Array_StationaryChargeData,ROW()-36,COLUMN()*2-3))</f>
        <v/>
      </c>
      <c r="E223" t="str" cm="1">
        <f>IF(ISBLANK(INDEX(Array_StationaryChargeData,ROW()-36,COLUMN()*2-3)),"",INDEX(Array_StationaryChargeData,ROW()-36,COLUMN()*2-3))</f>
        <v/>
      </c>
      <c r="F223" t="str" cm="1">
        <f>IF(ISBLANK(INDEX(Array_StationaryChargeData,ROW()-36,COLUMN()*2-3)),"",INDEX(Array_StationaryChargeData,ROW()-36,COLUMN()*2-3))</f>
        <v/>
      </c>
      <c r="G223" t="str" cm="1">
        <f>IF(ISBLANK(INDEX(Array_StationaryChargeData,ROW()-36,COLUMN()*2-3)),"",INDEX(Array_StationaryChargeData,ROW()-36,COLUMN()*2-3))</f>
        <v/>
      </c>
      <c r="H223" t="str" cm="1">
        <f>IF(ISBLANK(INDEX(Array_StationaryChargeData,ROW()-36,COLUMN()*2-3)),"",INDEX(Array_StationaryChargeData,ROW()-36,COLUMN()*2-3))</f>
        <v/>
      </c>
      <c r="I223" t="str" cm="1">
        <f>IF(ISBLANK(INDEX(Array_StationaryChargeData,ROW()-36,COLUMN()*2-3)),"",INDEX(Array_StationaryChargeData,ROW()-36,COLUMN()*2-3))</f>
        <v/>
      </c>
      <c r="J223" t="str" cm="1">
        <f>IF(ISBLANK(INDEX(Array_StationaryChargeData,ROW()-36,COLUMN()*2-3)),"",INDEX(Array_StationaryChargeData,ROW()-36,COLUMN()*2-3))</f>
        <v/>
      </c>
      <c r="K223" t="str" cm="1">
        <f>IF(ISBLANK(INDEX(Array_StationaryChargeData,ROW()-36,COLUMN()*2-3)),"",INDEX(Array_StationaryChargeData,ROW()-36,COLUMN()*2-3))</f>
        <v/>
      </c>
      <c r="L223" t="str" cm="1">
        <f>IF(ISBLANK(INDEX(Array_StationaryChargeData,ROW()-36,COLUMN()*2-3)),"",INDEX(Array_StationaryChargeData,ROW()-36,COLUMN()*2-3))</f>
        <v/>
      </c>
      <c r="M223" t="str" cm="1">
        <f>IF(ISBLANK(INDEX(Array_StationaryChargeData,ROW()-36,COLUMN()*2-3)),"",INDEX(Array_StationaryChargeData,ROW()-36,COLUMN()*2-3))</f>
        <v/>
      </c>
      <c r="N223" t="str" cm="1">
        <f>IF(ISBLANK(INDEX(Array_StationaryChargeData,ROW()-36,COLUMN()*2-3)),"",INDEX(Array_StationaryChargeData,ROW()-36,COLUMN()*2-3))</f>
        <v/>
      </c>
      <c r="O223" t="str" cm="1">
        <f>IF(ISBLANK(INDEX(Array_StationaryChargeData,ROW()-36,COLUMN()*2-3)),"",INDEX(Array_StationaryChargeData,ROW()-36,COLUMN()*2-3))</f>
        <v/>
      </c>
      <c r="P223" t="str" cm="1">
        <f>IF(ISBLANK(INDEX(Array_StationaryChargeData,ROW()-36,COLUMN()*2-3)),"",INDEX(Array_StationaryChargeData,ROW()-36,COLUMN()*2-3))</f>
        <v/>
      </c>
    </row>
    <row r="224" spans="1:16" x14ac:dyDescent="0.35">
      <c r="A224" t="str">
        <f>IF('Stationary Fuel Meters'!B190="",A223,'Stationary Fuel Meters'!B190)</f>
        <v>Meter Numbers</v>
      </c>
      <c r="B224" t="str" cm="1">
        <f>IF(ISBLANK(INDEX(Array_StationaryChargeData,ROW()-36,COLUMN()*2-3)),"",INDEX(Array_StationaryChargeData,ROW()-36,COLUMN()*2-3))</f>
        <v/>
      </c>
      <c r="C224" t="str" cm="1">
        <f>IF(ISBLANK(INDEX(Array_StationaryChargeData,ROW()-36,COLUMN()*2-3)),"",INDEX(Array_StationaryChargeData,ROW()-36,COLUMN()*2-3))</f>
        <v/>
      </c>
      <c r="D224" t="str" cm="1">
        <f>IF(ISBLANK(INDEX(Array_StationaryChargeData,ROW()-36,COLUMN()*2-3)),"",INDEX(Array_StationaryChargeData,ROW()-36,COLUMN()*2-3))</f>
        <v/>
      </c>
      <c r="E224" t="str" cm="1">
        <f>IF(ISBLANK(INDEX(Array_StationaryChargeData,ROW()-36,COLUMN()*2-3)),"",INDEX(Array_StationaryChargeData,ROW()-36,COLUMN()*2-3))</f>
        <v/>
      </c>
      <c r="F224" t="str" cm="1">
        <f>IF(ISBLANK(INDEX(Array_StationaryChargeData,ROW()-36,COLUMN()*2-3)),"",INDEX(Array_StationaryChargeData,ROW()-36,COLUMN()*2-3))</f>
        <v/>
      </c>
      <c r="G224" t="str" cm="1">
        <f>IF(ISBLANK(INDEX(Array_StationaryChargeData,ROW()-36,COLUMN()*2-3)),"",INDEX(Array_StationaryChargeData,ROW()-36,COLUMN()*2-3))</f>
        <v/>
      </c>
      <c r="H224" t="str" cm="1">
        <f>IF(ISBLANK(INDEX(Array_StationaryChargeData,ROW()-36,COLUMN()*2-3)),"",INDEX(Array_StationaryChargeData,ROW()-36,COLUMN()*2-3))</f>
        <v/>
      </c>
      <c r="I224" t="str" cm="1">
        <f>IF(ISBLANK(INDEX(Array_StationaryChargeData,ROW()-36,COLUMN()*2-3)),"",INDEX(Array_StationaryChargeData,ROW()-36,COLUMN()*2-3))</f>
        <v/>
      </c>
      <c r="J224" t="str" cm="1">
        <f>IF(ISBLANK(INDEX(Array_StationaryChargeData,ROW()-36,COLUMN()*2-3)),"",INDEX(Array_StationaryChargeData,ROW()-36,COLUMN()*2-3))</f>
        <v/>
      </c>
      <c r="K224" t="str" cm="1">
        <f>IF(ISBLANK(INDEX(Array_StationaryChargeData,ROW()-36,COLUMN()*2-3)),"",INDEX(Array_StationaryChargeData,ROW()-36,COLUMN()*2-3))</f>
        <v/>
      </c>
      <c r="L224" t="str" cm="1">
        <f>IF(ISBLANK(INDEX(Array_StationaryChargeData,ROW()-36,COLUMN()*2-3)),"",INDEX(Array_StationaryChargeData,ROW()-36,COLUMN()*2-3))</f>
        <v/>
      </c>
      <c r="M224" t="str" cm="1">
        <f>IF(ISBLANK(INDEX(Array_StationaryChargeData,ROW()-36,COLUMN()*2-3)),"",INDEX(Array_StationaryChargeData,ROW()-36,COLUMN()*2-3))</f>
        <v/>
      </c>
      <c r="N224" t="str" cm="1">
        <f>IF(ISBLANK(INDEX(Array_StationaryChargeData,ROW()-36,COLUMN()*2-3)),"",INDEX(Array_StationaryChargeData,ROW()-36,COLUMN()*2-3))</f>
        <v/>
      </c>
      <c r="O224" t="str" cm="1">
        <f>IF(ISBLANK(INDEX(Array_StationaryChargeData,ROW()-36,COLUMN()*2-3)),"",INDEX(Array_StationaryChargeData,ROW()-36,COLUMN()*2-3))</f>
        <v/>
      </c>
      <c r="P224" t="str" cm="1">
        <f>IF(ISBLANK(INDEX(Array_StationaryChargeData,ROW()-36,COLUMN()*2-3)),"",INDEX(Array_StationaryChargeData,ROW()-36,COLUMN()*2-3))</f>
        <v/>
      </c>
    </row>
    <row r="225" spans="1:16" x14ac:dyDescent="0.35">
      <c r="A225" t="str">
        <f>IF('Stationary Fuel Meters'!B191="",A224,'Stationary Fuel Meters'!B191)</f>
        <v>Meter Numbers</v>
      </c>
      <c r="B225" t="str" cm="1">
        <f>IF(ISBLANK(INDEX(Array_StationaryChargeData,ROW()-36,COLUMN()*2-3)),"",INDEX(Array_StationaryChargeData,ROW()-36,COLUMN()*2-3))</f>
        <v/>
      </c>
      <c r="C225" t="str" cm="1">
        <f>IF(ISBLANK(INDEX(Array_StationaryChargeData,ROW()-36,COLUMN()*2-3)),"",INDEX(Array_StationaryChargeData,ROW()-36,COLUMN()*2-3))</f>
        <v/>
      </c>
      <c r="D225" t="str" cm="1">
        <f>IF(ISBLANK(INDEX(Array_StationaryChargeData,ROW()-36,COLUMN()*2-3)),"",INDEX(Array_StationaryChargeData,ROW()-36,COLUMN()*2-3))</f>
        <v/>
      </c>
      <c r="E225" t="str" cm="1">
        <f>IF(ISBLANK(INDEX(Array_StationaryChargeData,ROW()-36,COLUMN()*2-3)),"",INDEX(Array_StationaryChargeData,ROW()-36,COLUMN()*2-3))</f>
        <v/>
      </c>
      <c r="F225" t="str" cm="1">
        <f>IF(ISBLANK(INDEX(Array_StationaryChargeData,ROW()-36,COLUMN()*2-3)),"",INDEX(Array_StationaryChargeData,ROW()-36,COLUMN()*2-3))</f>
        <v/>
      </c>
      <c r="G225" t="str" cm="1">
        <f>IF(ISBLANK(INDEX(Array_StationaryChargeData,ROW()-36,COLUMN()*2-3)),"",INDEX(Array_StationaryChargeData,ROW()-36,COLUMN()*2-3))</f>
        <v/>
      </c>
      <c r="H225" t="str" cm="1">
        <f>IF(ISBLANK(INDEX(Array_StationaryChargeData,ROW()-36,COLUMN()*2-3)),"",INDEX(Array_StationaryChargeData,ROW()-36,COLUMN()*2-3))</f>
        <v/>
      </c>
      <c r="I225" t="str" cm="1">
        <f>IF(ISBLANK(INDEX(Array_StationaryChargeData,ROW()-36,COLUMN()*2-3)),"",INDEX(Array_StationaryChargeData,ROW()-36,COLUMN()*2-3))</f>
        <v/>
      </c>
      <c r="J225" t="str" cm="1">
        <f>IF(ISBLANK(INDEX(Array_StationaryChargeData,ROW()-36,COLUMN()*2-3)),"",INDEX(Array_StationaryChargeData,ROW()-36,COLUMN()*2-3))</f>
        <v/>
      </c>
      <c r="K225" t="str" cm="1">
        <f>IF(ISBLANK(INDEX(Array_StationaryChargeData,ROW()-36,COLUMN()*2-3)),"",INDEX(Array_StationaryChargeData,ROW()-36,COLUMN()*2-3))</f>
        <v/>
      </c>
      <c r="L225" t="str" cm="1">
        <f>IF(ISBLANK(INDEX(Array_StationaryChargeData,ROW()-36,COLUMN()*2-3)),"",INDEX(Array_StationaryChargeData,ROW()-36,COLUMN()*2-3))</f>
        <v/>
      </c>
      <c r="M225" t="str" cm="1">
        <f>IF(ISBLANK(INDEX(Array_StationaryChargeData,ROW()-36,COLUMN()*2-3)),"",INDEX(Array_StationaryChargeData,ROW()-36,COLUMN()*2-3))</f>
        <v/>
      </c>
      <c r="N225" t="str" cm="1">
        <f>IF(ISBLANK(INDEX(Array_StationaryChargeData,ROW()-36,COLUMN()*2-3)),"",INDEX(Array_StationaryChargeData,ROW()-36,COLUMN()*2-3))</f>
        <v/>
      </c>
      <c r="O225" t="str" cm="1">
        <f>IF(ISBLANK(INDEX(Array_StationaryChargeData,ROW()-36,COLUMN()*2-3)),"",INDEX(Array_StationaryChargeData,ROW()-36,COLUMN()*2-3))</f>
        <v/>
      </c>
      <c r="P225" t="str" cm="1">
        <f>IF(ISBLANK(INDEX(Array_StationaryChargeData,ROW()-36,COLUMN()*2-3)),"",INDEX(Array_StationaryChargeData,ROW()-36,COLUMN()*2-3))</f>
        <v/>
      </c>
    </row>
    <row r="226" spans="1:16" x14ac:dyDescent="0.35">
      <c r="A226" t="str">
        <f>IF('Stationary Fuel Meters'!B192="",A225,'Stationary Fuel Meters'!B192)</f>
        <v>Meter Numbers</v>
      </c>
      <c r="B226" t="str" cm="1">
        <f>IF(ISBLANK(INDEX(Array_StationaryChargeData,ROW()-36,COLUMN()*2-3)),"",INDEX(Array_StationaryChargeData,ROW()-36,COLUMN()*2-3))</f>
        <v/>
      </c>
      <c r="C226" t="str" cm="1">
        <f>IF(ISBLANK(INDEX(Array_StationaryChargeData,ROW()-36,COLUMN()*2-3)),"",INDEX(Array_StationaryChargeData,ROW()-36,COLUMN()*2-3))</f>
        <v/>
      </c>
      <c r="D226" t="str" cm="1">
        <f>IF(ISBLANK(INDEX(Array_StationaryChargeData,ROW()-36,COLUMN()*2-3)),"",INDEX(Array_StationaryChargeData,ROW()-36,COLUMN()*2-3))</f>
        <v/>
      </c>
      <c r="E226" t="str" cm="1">
        <f>IF(ISBLANK(INDEX(Array_StationaryChargeData,ROW()-36,COLUMN()*2-3)),"",INDEX(Array_StationaryChargeData,ROW()-36,COLUMN()*2-3))</f>
        <v/>
      </c>
      <c r="F226" t="str" cm="1">
        <f>IF(ISBLANK(INDEX(Array_StationaryChargeData,ROW()-36,COLUMN()*2-3)),"",INDEX(Array_StationaryChargeData,ROW()-36,COLUMN()*2-3))</f>
        <v/>
      </c>
      <c r="G226" t="str" cm="1">
        <f>IF(ISBLANK(INDEX(Array_StationaryChargeData,ROW()-36,COLUMN()*2-3)),"",INDEX(Array_StationaryChargeData,ROW()-36,COLUMN()*2-3))</f>
        <v/>
      </c>
      <c r="H226" t="str" cm="1">
        <f>IF(ISBLANK(INDEX(Array_StationaryChargeData,ROW()-36,COLUMN()*2-3)),"",INDEX(Array_StationaryChargeData,ROW()-36,COLUMN()*2-3))</f>
        <v/>
      </c>
      <c r="I226" t="str" cm="1">
        <f>IF(ISBLANK(INDEX(Array_StationaryChargeData,ROW()-36,COLUMN()*2-3)),"",INDEX(Array_StationaryChargeData,ROW()-36,COLUMN()*2-3))</f>
        <v/>
      </c>
      <c r="J226" t="str" cm="1">
        <f>IF(ISBLANK(INDEX(Array_StationaryChargeData,ROW()-36,COLUMN()*2-3)),"",INDEX(Array_StationaryChargeData,ROW()-36,COLUMN()*2-3))</f>
        <v/>
      </c>
      <c r="K226" t="str" cm="1">
        <f>IF(ISBLANK(INDEX(Array_StationaryChargeData,ROW()-36,COLUMN()*2-3)),"",INDEX(Array_StationaryChargeData,ROW()-36,COLUMN()*2-3))</f>
        <v/>
      </c>
      <c r="L226" t="str" cm="1">
        <f>IF(ISBLANK(INDEX(Array_StationaryChargeData,ROW()-36,COLUMN()*2-3)),"",INDEX(Array_StationaryChargeData,ROW()-36,COLUMN()*2-3))</f>
        <v/>
      </c>
      <c r="M226" t="str" cm="1">
        <f>IF(ISBLANK(INDEX(Array_StationaryChargeData,ROW()-36,COLUMN()*2-3)),"",INDEX(Array_StationaryChargeData,ROW()-36,COLUMN()*2-3))</f>
        <v/>
      </c>
      <c r="N226" t="str" cm="1">
        <f>IF(ISBLANK(INDEX(Array_StationaryChargeData,ROW()-36,COLUMN()*2-3)),"",INDEX(Array_StationaryChargeData,ROW()-36,COLUMN()*2-3))</f>
        <v/>
      </c>
      <c r="O226" t="str" cm="1">
        <f>IF(ISBLANK(INDEX(Array_StationaryChargeData,ROW()-36,COLUMN()*2-3)),"",INDEX(Array_StationaryChargeData,ROW()-36,COLUMN()*2-3))</f>
        <v/>
      </c>
      <c r="P226" t="str" cm="1">
        <f>IF(ISBLANK(INDEX(Array_StationaryChargeData,ROW()-36,COLUMN()*2-3)),"",INDEX(Array_StationaryChargeData,ROW()-36,COLUMN()*2-3))</f>
        <v/>
      </c>
    </row>
    <row r="227" spans="1:16" x14ac:dyDescent="0.35">
      <c r="A227" t="str">
        <f>IF('Stationary Fuel Meters'!B193="",A226,'Stationary Fuel Meters'!B193)</f>
        <v>Meter Numbers</v>
      </c>
      <c r="B227" t="str" cm="1">
        <f>IF(ISBLANK(INDEX(Array_StationaryChargeData,ROW()-36,COLUMN()*2-3)),"",INDEX(Array_StationaryChargeData,ROW()-36,COLUMN()*2-3))</f>
        <v/>
      </c>
      <c r="C227" t="str" cm="1">
        <f>IF(ISBLANK(INDEX(Array_StationaryChargeData,ROW()-36,COLUMN()*2-3)),"",INDEX(Array_StationaryChargeData,ROW()-36,COLUMN()*2-3))</f>
        <v/>
      </c>
      <c r="D227" t="str" cm="1">
        <f>IF(ISBLANK(INDEX(Array_StationaryChargeData,ROW()-36,COLUMN()*2-3)),"",INDEX(Array_StationaryChargeData,ROW()-36,COLUMN()*2-3))</f>
        <v/>
      </c>
      <c r="E227" t="str" cm="1">
        <f>IF(ISBLANK(INDEX(Array_StationaryChargeData,ROW()-36,COLUMN()*2-3)),"",INDEX(Array_StationaryChargeData,ROW()-36,COLUMN()*2-3))</f>
        <v/>
      </c>
      <c r="F227" t="str" cm="1">
        <f>IF(ISBLANK(INDEX(Array_StationaryChargeData,ROW()-36,COLUMN()*2-3)),"",INDEX(Array_StationaryChargeData,ROW()-36,COLUMN()*2-3))</f>
        <v/>
      </c>
      <c r="G227" t="str" cm="1">
        <f>IF(ISBLANK(INDEX(Array_StationaryChargeData,ROW()-36,COLUMN()*2-3)),"",INDEX(Array_StationaryChargeData,ROW()-36,COLUMN()*2-3))</f>
        <v/>
      </c>
      <c r="H227" t="str" cm="1">
        <f>IF(ISBLANK(INDEX(Array_StationaryChargeData,ROW()-36,COLUMN()*2-3)),"",INDEX(Array_StationaryChargeData,ROW()-36,COLUMN()*2-3))</f>
        <v/>
      </c>
      <c r="I227" t="str" cm="1">
        <f>IF(ISBLANK(INDEX(Array_StationaryChargeData,ROW()-36,COLUMN()*2-3)),"",INDEX(Array_StationaryChargeData,ROW()-36,COLUMN()*2-3))</f>
        <v/>
      </c>
      <c r="J227" t="str" cm="1">
        <f>IF(ISBLANK(INDEX(Array_StationaryChargeData,ROW()-36,COLUMN()*2-3)),"",INDEX(Array_StationaryChargeData,ROW()-36,COLUMN()*2-3))</f>
        <v/>
      </c>
      <c r="K227" t="str" cm="1">
        <f>IF(ISBLANK(INDEX(Array_StationaryChargeData,ROW()-36,COLUMN()*2-3)),"",INDEX(Array_StationaryChargeData,ROW()-36,COLUMN()*2-3))</f>
        <v/>
      </c>
      <c r="L227" t="str" cm="1">
        <f>IF(ISBLANK(INDEX(Array_StationaryChargeData,ROW()-36,COLUMN()*2-3)),"",INDEX(Array_StationaryChargeData,ROW()-36,COLUMN()*2-3))</f>
        <v/>
      </c>
      <c r="M227" t="str" cm="1">
        <f>IF(ISBLANK(INDEX(Array_StationaryChargeData,ROW()-36,COLUMN()*2-3)),"",INDEX(Array_StationaryChargeData,ROW()-36,COLUMN()*2-3))</f>
        <v/>
      </c>
      <c r="N227" t="str" cm="1">
        <f>IF(ISBLANK(INDEX(Array_StationaryChargeData,ROW()-36,COLUMN()*2-3)),"",INDEX(Array_StationaryChargeData,ROW()-36,COLUMN()*2-3))</f>
        <v/>
      </c>
      <c r="O227" t="str" cm="1">
        <f>IF(ISBLANK(INDEX(Array_StationaryChargeData,ROW()-36,COLUMN()*2-3)),"",INDEX(Array_StationaryChargeData,ROW()-36,COLUMN()*2-3))</f>
        <v/>
      </c>
      <c r="P227" t="str" cm="1">
        <f>IF(ISBLANK(INDEX(Array_StationaryChargeData,ROW()-36,COLUMN()*2-3)),"",INDEX(Array_StationaryChargeData,ROW()-36,COLUMN()*2-3))</f>
        <v/>
      </c>
    </row>
    <row r="228" spans="1:16" x14ac:dyDescent="0.35">
      <c r="A228" t="str">
        <f>IF('Stationary Fuel Meters'!B194="",A227,'Stationary Fuel Meters'!B194)</f>
        <v>Meter Numbers</v>
      </c>
      <c r="B228" t="str" cm="1">
        <f>IF(ISBLANK(INDEX(Array_StationaryChargeData,ROW()-36,COLUMN()*2-3)),"",INDEX(Array_StationaryChargeData,ROW()-36,COLUMN()*2-3))</f>
        <v/>
      </c>
      <c r="C228" t="str" cm="1">
        <f>IF(ISBLANK(INDEX(Array_StationaryChargeData,ROW()-36,COLUMN()*2-3)),"",INDEX(Array_StationaryChargeData,ROW()-36,COLUMN()*2-3))</f>
        <v/>
      </c>
      <c r="D228" t="str" cm="1">
        <f>IF(ISBLANK(INDEX(Array_StationaryChargeData,ROW()-36,COLUMN()*2-3)),"",INDEX(Array_StationaryChargeData,ROW()-36,COLUMN()*2-3))</f>
        <v/>
      </c>
      <c r="E228" t="str" cm="1">
        <f>IF(ISBLANK(INDEX(Array_StationaryChargeData,ROW()-36,COLUMN()*2-3)),"",INDEX(Array_StationaryChargeData,ROW()-36,COLUMN()*2-3))</f>
        <v/>
      </c>
      <c r="F228" t="str" cm="1">
        <f>IF(ISBLANK(INDEX(Array_StationaryChargeData,ROW()-36,COLUMN()*2-3)),"",INDEX(Array_StationaryChargeData,ROW()-36,COLUMN()*2-3))</f>
        <v/>
      </c>
      <c r="G228" t="str" cm="1">
        <f>IF(ISBLANK(INDEX(Array_StationaryChargeData,ROW()-36,COLUMN()*2-3)),"",INDEX(Array_StationaryChargeData,ROW()-36,COLUMN()*2-3))</f>
        <v/>
      </c>
      <c r="H228" t="str" cm="1">
        <f>IF(ISBLANK(INDEX(Array_StationaryChargeData,ROW()-36,COLUMN()*2-3)),"",INDEX(Array_StationaryChargeData,ROW()-36,COLUMN()*2-3))</f>
        <v/>
      </c>
      <c r="I228" t="str" cm="1">
        <f>IF(ISBLANK(INDEX(Array_StationaryChargeData,ROW()-36,COLUMN()*2-3)),"",INDEX(Array_StationaryChargeData,ROW()-36,COLUMN()*2-3))</f>
        <v/>
      </c>
      <c r="J228" t="str" cm="1">
        <f>IF(ISBLANK(INDEX(Array_StationaryChargeData,ROW()-36,COLUMN()*2-3)),"",INDEX(Array_StationaryChargeData,ROW()-36,COLUMN()*2-3))</f>
        <v/>
      </c>
      <c r="K228" t="str" cm="1">
        <f>IF(ISBLANK(INDEX(Array_StationaryChargeData,ROW()-36,COLUMN()*2-3)),"",INDEX(Array_StationaryChargeData,ROW()-36,COLUMN()*2-3))</f>
        <v/>
      </c>
      <c r="L228" t="str" cm="1">
        <f>IF(ISBLANK(INDEX(Array_StationaryChargeData,ROW()-36,COLUMN()*2-3)),"",INDEX(Array_StationaryChargeData,ROW()-36,COLUMN()*2-3))</f>
        <v/>
      </c>
      <c r="M228" t="str" cm="1">
        <f>IF(ISBLANK(INDEX(Array_StationaryChargeData,ROW()-36,COLUMN()*2-3)),"",INDEX(Array_StationaryChargeData,ROW()-36,COLUMN()*2-3))</f>
        <v/>
      </c>
      <c r="N228" t="str" cm="1">
        <f>IF(ISBLANK(INDEX(Array_StationaryChargeData,ROW()-36,COLUMN()*2-3)),"",INDEX(Array_StationaryChargeData,ROW()-36,COLUMN()*2-3))</f>
        <v/>
      </c>
      <c r="O228" t="str" cm="1">
        <f>IF(ISBLANK(INDEX(Array_StationaryChargeData,ROW()-36,COLUMN()*2-3)),"",INDEX(Array_StationaryChargeData,ROW()-36,COLUMN()*2-3))</f>
        <v/>
      </c>
      <c r="P228" t="str" cm="1">
        <f>IF(ISBLANK(INDEX(Array_StationaryChargeData,ROW()-36,COLUMN()*2-3)),"",INDEX(Array_StationaryChargeData,ROW()-36,COLUMN()*2-3))</f>
        <v/>
      </c>
    </row>
    <row r="229" spans="1:16" x14ac:dyDescent="0.35">
      <c r="A229" t="str">
        <f>IF('Stationary Fuel Meters'!B195="",A228,'Stationary Fuel Meters'!B195)</f>
        <v>Meter Numbers</v>
      </c>
      <c r="B229" t="str" cm="1">
        <f>IF(ISBLANK(INDEX(Array_StationaryChargeData,ROW()-36,COLUMN()*2-3)),"",INDEX(Array_StationaryChargeData,ROW()-36,COLUMN()*2-3))</f>
        <v/>
      </c>
      <c r="C229" t="str" cm="1">
        <f>IF(ISBLANK(INDEX(Array_StationaryChargeData,ROW()-36,COLUMN()*2-3)),"",INDEX(Array_StationaryChargeData,ROW()-36,COLUMN()*2-3))</f>
        <v/>
      </c>
      <c r="D229" t="str" cm="1">
        <f>IF(ISBLANK(INDEX(Array_StationaryChargeData,ROW()-36,COLUMN()*2-3)),"",INDEX(Array_StationaryChargeData,ROW()-36,COLUMN()*2-3))</f>
        <v/>
      </c>
      <c r="E229" t="str" cm="1">
        <f>IF(ISBLANK(INDEX(Array_StationaryChargeData,ROW()-36,COLUMN()*2-3)),"",INDEX(Array_StationaryChargeData,ROW()-36,COLUMN()*2-3))</f>
        <v/>
      </c>
      <c r="F229" t="str" cm="1">
        <f>IF(ISBLANK(INDEX(Array_StationaryChargeData,ROW()-36,COLUMN()*2-3)),"",INDEX(Array_StationaryChargeData,ROW()-36,COLUMN()*2-3))</f>
        <v/>
      </c>
      <c r="G229" t="str" cm="1">
        <f>IF(ISBLANK(INDEX(Array_StationaryChargeData,ROW()-36,COLUMN()*2-3)),"",INDEX(Array_StationaryChargeData,ROW()-36,COLUMN()*2-3))</f>
        <v/>
      </c>
      <c r="H229" t="str" cm="1">
        <f>IF(ISBLANK(INDEX(Array_StationaryChargeData,ROW()-36,COLUMN()*2-3)),"",INDEX(Array_StationaryChargeData,ROW()-36,COLUMN()*2-3))</f>
        <v/>
      </c>
      <c r="I229" t="str" cm="1">
        <f>IF(ISBLANK(INDEX(Array_StationaryChargeData,ROW()-36,COLUMN()*2-3)),"",INDEX(Array_StationaryChargeData,ROW()-36,COLUMN()*2-3))</f>
        <v/>
      </c>
      <c r="J229" t="str" cm="1">
        <f>IF(ISBLANK(INDEX(Array_StationaryChargeData,ROW()-36,COLUMN()*2-3)),"",INDEX(Array_StationaryChargeData,ROW()-36,COLUMN()*2-3))</f>
        <v/>
      </c>
      <c r="K229" t="str" cm="1">
        <f>IF(ISBLANK(INDEX(Array_StationaryChargeData,ROW()-36,COLUMN()*2-3)),"",INDEX(Array_StationaryChargeData,ROW()-36,COLUMN()*2-3))</f>
        <v/>
      </c>
      <c r="L229" t="str" cm="1">
        <f>IF(ISBLANK(INDEX(Array_StationaryChargeData,ROW()-36,COLUMN()*2-3)),"",INDEX(Array_StationaryChargeData,ROW()-36,COLUMN()*2-3))</f>
        <v/>
      </c>
      <c r="M229" t="str" cm="1">
        <f>IF(ISBLANK(INDEX(Array_StationaryChargeData,ROW()-36,COLUMN()*2-3)),"",INDEX(Array_StationaryChargeData,ROW()-36,COLUMN()*2-3))</f>
        <v/>
      </c>
      <c r="N229" t="str" cm="1">
        <f>IF(ISBLANK(INDEX(Array_StationaryChargeData,ROW()-36,COLUMN()*2-3)),"",INDEX(Array_StationaryChargeData,ROW()-36,COLUMN()*2-3))</f>
        <v/>
      </c>
      <c r="O229" t="str" cm="1">
        <f>IF(ISBLANK(INDEX(Array_StationaryChargeData,ROW()-36,COLUMN()*2-3)),"",INDEX(Array_StationaryChargeData,ROW()-36,COLUMN()*2-3))</f>
        <v/>
      </c>
      <c r="P229" t="str" cm="1">
        <f>IF(ISBLANK(INDEX(Array_StationaryChargeData,ROW()-36,COLUMN()*2-3)),"",INDEX(Array_StationaryChargeData,ROW()-36,COLUMN()*2-3))</f>
        <v/>
      </c>
    </row>
    <row r="230" spans="1:16" x14ac:dyDescent="0.35">
      <c r="A230" t="str">
        <f>IF('Stationary Fuel Meters'!B196="",A229,'Stationary Fuel Meters'!B196)</f>
        <v>Meter Numbers</v>
      </c>
      <c r="B230" t="str" cm="1">
        <f>IF(ISBLANK(INDEX(Array_StationaryChargeData,ROW()-36,COLUMN()*2-3)),"",INDEX(Array_StationaryChargeData,ROW()-36,COLUMN()*2-3))</f>
        <v/>
      </c>
      <c r="C230" t="str" cm="1">
        <f>IF(ISBLANK(INDEX(Array_StationaryChargeData,ROW()-36,COLUMN()*2-3)),"",INDEX(Array_StationaryChargeData,ROW()-36,COLUMN()*2-3))</f>
        <v/>
      </c>
      <c r="D230" t="str" cm="1">
        <f>IF(ISBLANK(INDEX(Array_StationaryChargeData,ROW()-36,COLUMN()*2-3)),"",INDEX(Array_StationaryChargeData,ROW()-36,COLUMN()*2-3))</f>
        <v/>
      </c>
      <c r="E230" t="str" cm="1">
        <f>IF(ISBLANK(INDEX(Array_StationaryChargeData,ROW()-36,COLUMN()*2-3)),"",INDEX(Array_StationaryChargeData,ROW()-36,COLUMN()*2-3))</f>
        <v/>
      </c>
      <c r="F230" t="str" cm="1">
        <f>IF(ISBLANK(INDEX(Array_StationaryChargeData,ROW()-36,COLUMN()*2-3)),"",INDEX(Array_StationaryChargeData,ROW()-36,COLUMN()*2-3))</f>
        <v/>
      </c>
      <c r="G230" t="str" cm="1">
        <f>IF(ISBLANK(INDEX(Array_StationaryChargeData,ROW()-36,COLUMN()*2-3)),"",INDEX(Array_StationaryChargeData,ROW()-36,COLUMN()*2-3))</f>
        <v/>
      </c>
      <c r="H230" t="str" cm="1">
        <f>IF(ISBLANK(INDEX(Array_StationaryChargeData,ROW()-36,COLUMN()*2-3)),"",INDEX(Array_StationaryChargeData,ROW()-36,COLUMN()*2-3))</f>
        <v/>
      </c>
      <c r="I230" t="str" cm="1">
        <f>IF(ISBLANK(INDEX(Array_StationaryChargeData,ROW()-36,COLUMN()*2-3)),"",INDEX(Array_StationaryChargeData,ROW()-36,COLUMN()*2-3))</f>
        <v/>
      </c>
      <c r="J230" t="str" cm="1">
        <f>IF(ISBLANK(INDEX(Array_StationaryChargeData,ROW()-36,COLUMN()*2-3)),"",INDEX(Array_StationaryChargeData,ROW()-36,COLUMN()*2-3))</f>
        <v/>
      </c>
      <c r="K230" t="str" cm="1">
        <f>IF(ISBLANK(INDEX(Array_StationaryChargeData,ROW()-36,COLUMN()*2-3)),"",INDEX(Array_StationaryChargeData,ROW()-36,COLUMN()*2-3))</f>
        <v/>
      </c>
      <c r="L230" t="str" cm="1">
        <f>IF(ISBLANK(INDEX(Array_StationaryChargeData,ROW()-36,COLUMN()*2-3)),"",INDEX(Array_StationaryChargeData,ROW()-36,COLUMN()*2-3))</f>
        <v/>
      </c>
      <c r="M230" t="str" cm="1">
        <f>IF(ISBLANK(INDEX(Array_StationaryChargeData,ROW()-36,COLUMN()*2-3)),"",INDEX(Array_StationaryChargeData,ROW()-36,COLUMN()*2-3))</f>
        <v/>
      </c>
      <c r="N230" t="str" cm="1">
        <f>IF(ISBLANK(INDEX(Array_StationaryChargeData,ROW()-36,COLUMN()*2-3)),"",INDEX(Array_StationaryChargeData,ROW()-36,COLUMN()*2-3))</f>
        <v/>
      </c>
      <c r="O230" t="str" cm="1">
        <f>IF(ISBLANK(INDEX(Array_StationaryChargeData,ROW()-36,COLUMN()*2-3)),"",INDEX(Array_StationaryChargeData,ROW()-36,COLUMN()*2-3))</f>
        <v/>
      </c>
      <c r="P230" t="str" cm="1">
        <f>IF(ISBLANK(INDEX(Array_StationaryChargeData,ROW()-36,COLUMN()*2-3)),"",INDEX(Array_StationaryChargeData,ROW()-36,COLUMN()*2-3))</f>
        <v/>
      </c>
    </row>
    <row r="231" spans="1:16" x14ac:dyDescent="0.35">
      <c r="A231" t="str">
        <f>IF('Stationary Fuel Meters'!B197="",A230,'Stationary Fuel Meters'!B197)</f>
        <v>Meter Numbers</v>
      </c>
      <c r="B231" t="str" cm="1">
        <f>IF(ISBLANK(INDEX(Array_StationaryChargeData,ROW()-36,COLUMN()*2-3)),"",INDEX(Array_StationaryChargeData,ROW()-36,COLUMN()*2-3))</f>
        <v/>
      </c>
      <c r="C231" t="str" cm="1">
        <f>IF(ISBLANK(INDEX(Array_StationaryChargeData,ROW()-36,COLUMN()*2-3)),"",INDEX(Array_StationaryChargeData,ROW()-36,COLUMN()*2-3))</f>
        <v/>
      </c>
      <c r="D231" t="str" cm="1">
        <f>IF(ISBLANK(INDEX(Array_StationaryChargeData,ROW()-36,COLUMN()*2-3)),"",INDEX(Array_StationaryChargeData,ROW()-36,COLUMN()*2-3))</f>
        <v/>
      </c>
      <c r="E231" t="str" cm="1">
        <f>IF(ISBLANK(INDEX(Array_StationaryChargeData,ROW()-36,COLUMN()*2-3)),"",INDEX(Array_StationaryChargeData,ROW()-36,COLUMN()*2-3))</f>
        <v/>
      </c>
      <c r="F231" t="str" cm="1">
        <f>IF(ISBLANK(INDEX(Array_StationaryChargeData,ROW()-36,COLUMN()*2-3)),"",INDEX(Array_StationaryChargeData,ROW()-36,COLUMN()*2-3))</f>
        <v/>
      </c>
      <c r="G231" t="str" cm="1">
        <f>IF(ISBLANK(INDEX(Array_StationaryChargeData,ROW()-36,COLUMN()*2-3)),"",INDEX(Array_StationaryChargeData,ROW()-36,COLUMN()*2-3))</f>
        <v/>
      </c>
      <c r="H231" t="str" cm="1">
        <f>IF(ISBLANK(INDEX(Array_StationaryChargeData,ROW()-36,COLUMN()*2-3)),"",INDEX(Array_StationaryChargeData,ROW()-36,COLUMN()*2-3))</f>
        <v/>
      </c>
      <c r="I231" t="str" cm="1">
        <f>IF(ISBLANK(INDEX(Array_StationaryChargeData,ROW()-36,COLUMN()*2-3)),"",INDEX(Array_StationaryChargeData,ROW()-36,COLUMN()*2-3))</f>
        <v/>
      </c>
      <c r="J231" t="str" cm="1">
        <f>IF(ISBLANK(INDEX(Array_StationaryChargeData,ROW()-36,COLUMN()*2-3)),"",INDEX(Array_StationaryChargeData,ROW()-36,COLUMN()*2-3))</f>
        <v/>
      </c>
      <c r="K231" t="str" cm="1">
        <f>IF(ISBLANK(INDEX(Array_StationaryChargeData,ROW()-36,COLUMN()*2-3)),"",INDEX(Array_StationaryChargeData,ROW()-36,COLUMN()*2-3))</f>
        <v/>
      </c>
      <c r="L231" t="str" cm="1">
        <f>IF(ISBLANK(INDEX(Array_StationaryChargeData,ROW()-36,COLUMN()*2-3)),"",INDEX(Array_StationaryChargeData,ROW()-36,COLUMN()*2-3))</f>
        <v/>
      </c>
      <c r="M231" t="str" cm="1">
        <f>IF(ISBLANK(INDEX(Array_StationaryChargeData,ROW()-36,COLUMN()*2-3)),"",INDEX(Array_StationaryChargeData,ROW()-36,COLUMN()*2-3))</f>
        <v/>
      </c>
      <c r="N231" t="str" cm="1">
        <f>IF(ISBLANK(INDEX(Array_StationaryChargeData,ROW()-36,COLUMN()*2-3)),"",INDEX(Array_StationaryChargeData,ROW()-36,COLUMN()*2-3))</f>
        <v/>
      </c>
      <c r="O231" t="str" cm="1">
        <f>IF(ISBLANK(INDEX(Array_StationaryChargeData,ROW()-36,COLUMN()*2-3)),"",INDEX(Array_StationaryChargeData,ROW()-36,COLUMN()*2-3))</f>
        <v/>
      </c>
      <c r="P231" t="str" cm="1">
        <f>IF(ISBLANK(INDEX(Array_StationaryChargeData,ROW()-36,COLUMN()*2-3)),"",INDEX(Array_StationaryChargeData,ROW()-36,COLUMN()*2-3))</f>
        <v/>
      </c>
    </row>
    <row r="232" spans="1:16" x14ac:dyDescent="0.35">
      <c r="A232" t="str">
        <f>IF('Stationary Fuel Meters'!B198="",A231,'Stationary Fuel Meters'!B198)</f>
        <v>Meter Numbers</v>
      </c>
      <c r="B232" t="str" cm="1">
        <f>IF(ISBLANK(INDEX(Array_StationaryChargeData,ROW()-36,COLUMN()*2-3)),"",INDEX(Array_StationaryChargeData,ROW()-36,COLUMN()*2-3))</f>
        <v/>
      </c>
      <c r="C232" t="str" cm="1">
        <f>IF(ISBLANK(INDEX(Array_StationaryChargeData,ROW()-36,COLUMN()*2-3)),"",INDEX(Array_StationaryChargeData,ROW()-36,COLUMN()*2-3))</f>
        <v/>
      </c>
      <c r="D232" t="str" cm="1">
        <f>IF(ISBLANK(INDEX(Array_StationaryChargeData,ROW()-36,COLUMN()*2-3)),"",INDEX(Array_StationaryChargeData,ROW()-36,COLUMN()*2-3))</f>
        <v/>
      </c>
      <c r="E232" t="str" cm="1">
        <f>IF(ISBLANK(INDEX(Array_StationaryChargeData,ROW()-36,COLUMN()*2-3)),"",INDEX(Array_StationaryChargeData,ROW()-36,COLUMN()*2-3))</f>
        <v/>
      </c>
      <c r="F232" t="str" cm="1">
        <f>IF(ISBLANK(INDEX(Array_StationaryChargeData,ROW()-36,COLUMN()*2-3)),"",INDEX(Array_StationaryChargeData,ROW()-36,COLUMN()*2-3))</f>
        <v/>
      </c>
      <c r="G232" t="str" cm="1">
        <f>IF(ISBLANK(INDEX(Array_StationaryChargeData,ROW()-36,COLUMN()*2-3)),"",INDEX(Array_StationaryChargeData,ROW()-36,COLUMN()*2-3))</f>
        <v/>
      </c>
      <c r="H232" t="str" cm="1">
        <f>IF(ISBLANK(INDEX(Array_StationaryChargeData,ROW()-36,COLUMN()*2-3)),"",INDEX(Array_StationaryChargeData,ROW()-36,COLUMN()*2-3))</f>
        <v/>
      </c>
      <c r="I232" t="str" cm="1">
        <f>IF(ISBLANK(INDEX(Array_StationaryChargeData,ROW()-36,COLUMN()*2-3)),"",INDEX(Array_StationaryChargeData,ROW()-36,COLUMN()*2-3))</f>
        <v/>
      </c>
      <c r="J232" t="str" cm="1">
        <f>IF(ISBLANK(INDEX(Array_StationaryChargeData,ROW()-36,COLUMN()*2-3)),"",INDEX(Array_StationaryChargeData,ROW()-36,COLUMN()*2-3))</f>
        <v/>
      </c>
      <c r="K232" t="str" cm="1">
        <f>IF(ISBLANK(INDEX(Array_StationaryChargeData,ROW()-36,COLUMN()*2-3)),"",INDEX(Array_StationaryChargeData,ROW()-36,COLUMN()*2-3))</f>
        <v/>
      </c>
      <c r="L232" t="str" cm="1">
        <f>IF(ISBLANK(INDEX(Array_StationaryChargeData,ROW()-36,COLUMN()*2-3)),"",INDEX(Array_StationaryChargeData,ROW()-36,COLUMN()*2-3))</f>
        <v/>
      </c>
      <c r="M232" t="str" cm="1">
        <f>IF(ISBLANK(INDEX(Array_StationaryChargeData,ROW()-36,COLUMN()*2-3)),"",INDEX(Array_StationaryChargeData,ROW()-36,COLUMN()*2-3))</f>
        <v/>
      </c>
      <c r="N232" t="str" cm="1">
        <f>IF(ISBLANK(INDEX(Array_StationaryChargeData,ROW()-36,COLUMN()*2-3)),"",INDEX(Array_StationaryChargeData,ROW()-36,COLUMN()*2-3))</f>
        <v/>
      </c>
      <c r="O232" t="str" cm="1">
        <f>IF(ISBLANK(INDEX(Array_StationaryChargeData,ROW()-36,COLUMN()*2-3)),"",INDEX(Array_StationaryChargeData,ROW()-36,COLUMN()*2-3))</f>
        <v/>
      </c>
      <c r="P232" t="str" cm="1">
        <f>IF(ISBLANK(INDEX(Array_StationaryChargeData,ROW()-36,COLUMN()*2-3)),"",INDEX(Array_StationaryChargeData,ROW()-36,COLUMN()*2-3))</f>
        <v/>
      </c>
    </row>
    <row r="233" spans="1:16" x14ac:dyDescent="0.35">
      <c r="A233" t="str">
        <f>IF('Stationary Fuel Meters'!B199="",A232,'Stationary Fuel Meters'!B199)</f>
        <v>Meter Numbers</v>
      </c>
      <c r="B233" t="str" cm="1">
        <f>IF(ISBLANK(INDEX(Array_StationaryChargeData,ROW()-36,COLUMN()*2-3)),"",INDEX(Array_StationaryChargeData,ROW()-36,COLUMN()*2-3))</f>
        <v/>
      </c>
      <c r="C233" t="str" cm="1">
        <f>IF(ISBLANK(INDEX(Array_StationaryChargeData,ROW()-36,COLUMN()*2-3)),"",INDEX(Array_StationaryChargeData,ROW()-36,COLUMN()*2-3))</f>
        <v/>
      </c>
      <c r="D233" t="str" cm="1">
        <f>IF(ISBLANK(INDEX(Array_StationaryChargeData,ROW()-36,COLUMN()*2-3)),"",INDEX(Array_StationaryChargeData,ROW()-36,COLUMN()*2-3))</f>
        <v/>
      </c>
      <c r="E233" t="str" cm="1">
        <f>IF(ISBLANK(INDEX(Array_StationaryChargeData,ROW()-36,COLUMN()*2-3)),"",INDEX(Array_StationaryChargeData,ROW()-36,COLUMN()*2-3))</f>
        <v/>
      </c>
      <c r="F233" t="str" cm="1">
        <f>IF(ISBLANK(INDEX(Array_StationaryChargeData,ROW()-36,COLUMN()*2-3)),"",INDEX(Array_StationaryChargeData,ROW()-36,COLUMN()*2-3))</f>
        <v/>
      </c>
      <c r="G233" t="str" cm="1">
        <f>IF(ISBLANK(INDEX(Array_StationaryChargeData,ROW()-36,COLUMN()*2-3)),"",INDEX(Array_StationaryChargeData,ROW()-36,COLUMN()*2-3))</f>
        <v/>
      </c>
      <c r="H233" t="str" cm="1">
        <f>IF(ISBLANK(INDEX(Array_StationaryChargeData,ROW()-36,COLUMN()*2-3)),"",INDEX(Array_StationaryChargeData,ROW()-36,COLUMN()*2-3))</f>
        <v/>
      </c>
      <c r="I233" t="str" cm="1">
        <f>IF(ISBLANK(INDEX(Array_StationaryChargeData,ROW()-36,COLUMN()*2-3)),"",INDEX(Array_StationaryChargeData,ROW()-36,COLUMN()*2-3))</f>
        <v/>
      </c>
      <c r="J233" t="str" cm="1">
        <f>IF(ISBLANK(INDEX(Array_StationaryChargeData,ROW()-36,COLUMN()*2-3)),"",INDEX(Array_StationaryChargeData,ROW()-36,COLUMN()*2-3))</f>
        <v/>
      </c>
      <c r="K233" t="str" cm="1">
        <f>IF(ISBLANK(INDEX(Array_StationaryChargeData,ROW()-36,COLUMN()*2-3)),"",INDEX(Array_StationaryChargeData,ROW()-36,COLUMN()*2-3))</f>
        <v/>
      </c>
      <c r="L233" t="str" cm="1">
        <f>IF(ISBLANK(INDEX(Array_StationaryChargeData,ROW()-36,COLUMN()*2-3)),"",INDEX(Array_StationaryChargeData,ROW()-36,COLUMN()*2-3))</f>
        <v/>
      </c>
      <c r="M233" t="str" cm="1">
        <f>IF(ISBLANK(INDEX(Array_StationaryChargeData,ROW()-36,COLUMN()*2-3)),"",INDEX(Array_StationaryChargeData,ROW()-36,COLUMN()*2-3))</f>
        <v/>
      </c>
      <c r="N233" t="str" cm="1">
        <f>IF(ISBLANK(INDEX(Array_StationaryChargeData,ROW()-36,COLUMN()*2-3)),"",INDEX(Array_StationaryChargeData,ROW()-36,COLUMN()*2-3))</f>
        <v/>
      </c>
      <c r="O233" t="str" cm="1">
        <f>IF(ISBLANK(INDEX(Array_StationaryChargeData,ROW()-36,COLUMN()*2-3)),"",INDEX(Array_StationaryChargeData,ROW()-36,COLUMN()*2-3))</f>
        <v/>
      </c>
      <c r="P233" t="str" cm="1">
        <f>IF(ISBLANK(INDEX(Array_StationaryChargeData,ROW()-36,COLUMN()*2-3)),"",INDEX(Array_StationaryChargeData,ROW()-36,COLUMN()*2-3))</f>
        <v/>
      </c>
    </row>
    <row r="234" spans="1:16" x14ac:dyDescent="0.35">
      <c r="A234" t="str">
        <f>IF('Stationary Fuel Meters'!B200="",A233,'Stationary Fuel Meters'!B200)</f>
        <v>Meter Numbers</v>
      </c>
      <c r="B234" t="str" cm="1">
        <f>IF(ISBLANK(INDEX(Array_StationaryChargeData,ROW()-36,COLUMN()*2-3)),"",INDEX(Array_StationaryChargeData,ROW()-36,COLUMN()*2-3))</f>
        <v/>
      </c>
      <c r="C234" t="str" cm="1">
        <f>IF(ISBLANK(INDEX(Array_StationaryChargeData,ROW()-36,COLUMN()*2-3)),"",INDEX(Array_StationaryChargeData,ROW()-36,COLUMN()*2-3))</f>
        <v/>
      </c>
      <c r="D234" t="str" cm="1">
        <f>IF(ISBLANK(INDEX(Array_StationaryChargeData,ROW()-36,COLUMN()*2-3)),"",INDEX(Array_StationaryChargeData,ROW()-36,COLUMN()*2-3))</f>
        <v/>
      </c>
      <c r="E234" t="str" cm="1">
        <f>IF(ISBLANK(INDEX(Array_StationaryChargeData,ROW()-36,COLUMN()*2-3)),"",INDEX(Array_StationaryChargeData,ROW()-36,COLUMN()*2-3))</f>
        <v/>
      </c>
      <c r="F234" t="str" cm="1">
        <f>IF(ISBLANK(INDEX(Array_StationaryChargeData,ROW()-36,COLUMN()*2-3)),"",INDEX(Array_StationaryChargeData,ROW()-36,COLUMN()*2-3))</f>
        <v/>
      </c>
      <c r="G234" t="str" cm="1">
        <f>IF(ISBLANK(INDEX(Array_StationaryChargeData,ROW()-36,COLUMN()*2-3)),"",INDEX(Array_StationaryChargeData,ROW()-36,COLUMN()*2-3))</f>
        <v/>
      </c>
      <c r="H234" t="str" cm="1">
        <f>IF(ISBLANK(INDEX(Array_StationaryChargeData,ROW()-36,COLUMN()*2-3)),"",INDEX(Array_StationaryChargeData,ROW()-36,COLUMN()*2-3))</f>
        <v/>
      </c>
      <c r="I234" t="str" cm="1">
        <f>IF(ISBLANK(INDEX(Array_StationaryChargeData,ROW()-36,COLUMN()*2-3)),"",INDEX(Array_StationaryChargeData,ROW()-36,COLUMN()*2-3))</f>
        <v/>
      </c>
      <c r="J234" t="str" cm="1">
        <f>IF(ISBLANK(INDEX(Array_StationaryChargeData,ROW()-36,COLUMN()*2-3)),"",INDEX(Array_StationaryChargeData,ROW()-36,COLUMN()*2-3))</f>
        <v/>
      </c>
      <c r="K234" t="str" cm="1">
        <f>IF(ISBLANK(INDEX(Array_StationaryChargeData,ROW()-36,COLUMN()*2-3)),"",INDEX(Array_StationaryChargeData,ROW()-36,COLUMN()*2-3))</f>
        <v/>
      </c>
      <c r="L234" t="str" cm="1">
        <f>IF(ISBLANK(INDEX(Array_StationaryChargeData,ROW()-36,COLUMN()*2-3)),"",INDEX(Array_StationaryChargeData,ROW()-36,COLUMN()*2-3))</f>
        <v/>
      </c>
      <c r="M234" t="str" cm="1">
        <f>IF(ISBLANK(INDEX(Array_StationaryChargeData,ROW()-36,COLUMN()*2-3)),"",INDEX(Array_StationaryChargeData,ROW()-36,COLUMN()*2-3))</f>
        <v/>
      </c>
      <c r="N234" t="str" cm="1">
        <f>IF(ISBLANK(INDEX(Array_StationaryChargeData,ROW()-36,COLUMN()*2-3)),"",INDEX(Array_StationaryChargeData,ROW()-36,COLUMN()*2-3))</f>
        <v/>
      </c>
      <c r="O234" t="str" cm="1">
        <f>IF(ISBLANK(INDEX(Array_StationaryChargeData,ROW()-36,COLUMN()*2-3)),"",INDEX(Array_StationaryChargeData,ROW()-36,COLUMN()*2-3))</f>
        <v/>
      </c>
      <c r="P234" t="str" cm="1">
        <f>IF(ISBLANK(INDEX(Array_StationaryChargeData,ROW()-36,COLUMN()*2-3)),"",INDEX(Array_StationaryChargeData,ROW()-36,COLUMN()*2-3))</f>
        <v/>
      </c>
    </row>
    <row r="235" spans="1:16" x14ac:dyDescent="0.35">
      <c r="A235" t="str">
        <f>IF('Stationary Fuel Meters'!B201="",A234,'Stationary Fuel Meters'!B201)</f>
        <v>Meter Numbers</v>
      </c>
      <c r="B235" t="str" cm="1">
        <f>IF(ISBLANK(INDEX(Array_StationaryChargeData,ROW()-36,COLUMN()*2-3)),"",INDEX(Array_StationaryChargeData,ROW()-36,COLUMN()*2-3))</f>
        <v/>
      </c>
      <c r="C235" t="str" cm="1">
        <f>IF(ISBLANK(INDEX(Array_StationaryChargeData,ROW()-36,COLUMN()*2-3)),"",INDEX(Array_StationaryChargeData,ROW()-36,COLUMN()*2-3))</f>
        <v/>
      </c>
      <c r="D235" t="str" cm="1">
        <f>IF(ISBLANK(INDEX(Array_StationaryChargeData,ROW()-36,COLUMN()*2-3)),"",INDEX(Array_StationaryChargeData,ROW()-36,COLUMN()*2-3))</f>
        <v/>
      </c>
      <c r="E235" t="str" cm="1">
        <f>IF(ISBLANK(INDEX(Array_StationaryChargeData,ROW()-36,COLUMN()*2-3)),"",INDEX(Array_StationaryChargeData,ROW()-36,COLUMN()*2-3))</f>
        <v/>
      </c>
      <c r="F235" t="str" cm="1">
        <f>IF(ISBLANK(INDEX(Array_StationaryChargeData,ROW()-36,COLUMN()*2-3)),"",INDEX(Array_StationaryChargeData,ROW()-36,COLUMN()*2-3))</f>
        <v/>
      </c>
      <c r="G235" t="str" cm="1">
        <f>IF(ISBLANK(INDEX(Array_StationaryChargeData,ROW()-36,COLUMN()*2-3)),"",INDEX(Array_StationaryChargeData,ROW()-36,COLUMN()*2-3))</f>
        <v/>
      </c>
      <c r="H235" t="str" cm="1">
        <f>IF(ISBLANK(INDEX(Array_StationaryChargeData,ROW()-36,COLUMN()*2-3)),"",INDEX(Array_StationaryChargeData,ROW()-36,COLUMN()*2-3))</f>
        <v/>
      </c>
      <c r="I235" t="str" cm="1">
        <f>IF(ISBLANK(INDEX(Array_StationaryChargeData,ROW()-36,COLUMN()*2-3)),"",INDEX(Array_StationaryChargeData,ROW()-36,COLUMN()*2-3))</f>
        <v/>
      </c>
      <c r="J235" t="str" cm="1">
        <f>IF(ISBLANK(INDEX(Array_StationaryChargeData,ROW()-36,COLUMN()*2-3)),"",INDEX(Array_StationaryChargeData,ROW()-36,COLUMN()*2-3))</f>
        <v/>
      </c>
      <c r="K235" t="str" cm="1">
        <f>IF(ISBLANK(INDEX(Array_StationaryChargeData,ROW()-36,COLUMN()*2-3)),"",INDEX(Array_StationaryChargeData,ROW()-36,COLUMN()*2-3))</f>
        <v/>
      </c>
      <c r="L235" t="str" cm="1">
        <f>IF(ISBLANK(INDEX(Array_StationaryChargeData,ROW()-36,COLUMN()*2-3)),"",INDEX(Array_StationaryChargeData,ROW()-36,COLUMN()*2-3))</f>
        <v/>
      </c>
      <c r="M235" t="str" cm="1">
        <f>IF(ISBLANK(INDEX(Array_StationaryChargeData,ROW()-36,COLUMN()*2-3)),"",INDEX(Array_StationaryChargeData,ROW()-36,COLUMN()*2-3))</f>
        <v/>
      </c>
      <c r="N235" t="str" cm="1">
        <f>IF(ISBLANK(INDEX(Array_StationaryChargeData,ROW()-36,COLUMN()*2-3)),"",INDEX(Array_StationaryChargeData,ROW()-36,COLUMN()*2-3))</f>
        <v/>
      </c>
      <c r="O235" t="str" cm="1">
        <f>IF(ISBLANK(INDEX(Array_StationaryChargeData,ROW()-36,COLUMN()*2-3)),"",INDEX(Array_StationaryChargeData,ROW()-36,COLUMN()*2-3))</f>
        <v/>
      </c>
      <c r="P235" t="str" cm="1">
        <f>IF(ISBLANK(INDEX(Array_StationaryChargeData,ROW()-36,COLUMN()*2-3)),"",INDEX(Array_StationaryChargeData,ROW()-36,COLUMN()*2-3))</f>
        <v/>
      </c>
    </row>
    <row r="236" spans="1:16" x14ac:dyDescent="0.35">
      <c r="A236" t="str">
        <f>IF('Stationary Fuel Meters'!B202="",A235,'Stationary Fuel Meters'!B202)</f>
        <v>Meter Numbers</v>
      </c>
      <c r="B236" t="str" cm="1">
        <f>IF(ISBLANK(INDEX(Array_StationaryChargeData,ROW()-36,COLUMN()*2-3)),"",INDEX(Array_StationaryChargeData,ROW()-36,COLUMN()*2-3))</f>
        <v/>
      </c>
      <c r="C236" t="str" cm="1">
        <f>IF(ISBLANK(INDEX(Array_StationaryChargeData,ROW()-36,COLUMN()*2-3)),"",INDEX(Array_StationaryChargeData,ROW()-36,COLUMN()*2-3))</f>
        <v/>
      </c>
      <c r="D236" t="str" cm="1">
        <f>IF(ISBLANK(INDEX(Array_StationaryChargeData,ROW()-36,COLUMN()*2-3)),"",INDEX(Array_StationaryChargeData,ROW()-36,COLUMN()*2-3))</f>
        <v/>
      </c>
      <c r="E236" t="str" cm="1">
        <f>IF(ISBLANK(INDEX(Array_StationaryChargeData,ROW()-36,COLUMN()*2-3)),"",INDEX(Array_StationaryChargeData,ROW()-36,COLUMN()*2-3))</f>
        <v/>
      </c>
      <c r="F236" t="str" cm="1">
        <f>IF(ISBLANK(INDEX(Array_StationaryChargeData,ROW()-36,COLUMN()*2-3)),"",INDEX(Array_StationaryChargeData,ROW()-36,COLUMN()*2-3))</f>
        <v/>
      </c>
      <c r="G236" t="str" cm="1">
        <f>IF(ISBLANK(INDEX(Array_StationaryChargeData,ROW()-36,COLUMN()*2-3)),"",INDEX(Array_StationaryChargeData,ROW()-36,COLUMN()*2-3))</f>
        <v/>
      </c>
      <c r="H236" t="str" cm="1">
        <f>IF(ISBLANK(INDEX(Array_StationaryChargeData,ROW()-36,COLUMN()*2-3)),"",INDEX(Array_StationaryChargeData,ROW()-36,COLUMN()*2-3))</f>
        <v/>
      </c>
      <c r="I236" t="str" cm="1">
        <f>IF(ISBLANK(INDEX(Array_StationaryChargeData,ROW()-36,COLUMN()*2-3)),"",INDEX(Array_StationaryChargeData,ROW()-36,COLUMN()*2-3))</f>
        <v/>
      </c>
      <c r="J236" t="str" cm="1">
        <f>IF(ISBLANK(INDEX(Array_StationaryChargeData,ROW()-36,COLUMN()*2-3)),"",INDEX(Array_StationaryChargeData,ROW()-36,COLUMN()*2-3))</f>
        <v/>
      </c>
      <c r="K236" t="str" cm="1">
        <f>IF(ISBLANK(INDEX(Array_StationaryChargeData,ROW()-36,COLUMN()*2-3)),"",INDEX(Array_StationaryChargeData,ROW()-36,COLUMN()*2-3))</f>
        <v/>
      </c>
      <c r="L236" t="str" cm="1">
        <f>IF(ISBLANK(INDEX(Array_StationaryChargeData,ROW()-36,COLUMN()*2-3)),"",INDEX(Array_StationaryChargeData,ROW()-36,COLUMN()*2-3))</f>
        <v/>
      </c>
      <c r="M236" t="str" cm="1">
        <f>IF(ISBLANK(INDEX(Array_StationaryChargeData,ROW()-36,COLUMN()*2-3)),"",INDEX(Array_StationaryChargeData,ROW()-36,COLUMN()*2-3))</f>
        <v/>
      </c>
      <c r="N236" t="str" cm="1">
        <f>IF(ISBLANK(INDEX(Array_StationaryChargeData,ROW()-36,COLUMN()*2-3)),"",INDEX(Array_StationaryChargeData,ROW()-36,COLUMN()*2-3))</f>
        <v/>
      </c>
      <c r="O236" t="str" cm="1">
        <f>IF(ISBLANK(INDEX(Array_StationaryChargeData,ROW()-36,COLUMN()*2-3)),"",INDEX(Array_StationaryChargeData,ROW()-36,COLUMN()*2-3))</f>
        <v/>
      </c>
      <c r="P236" t="str" cm="1">
        <f>IF(ISBLANK(INDEX(Array_StationaryChargeData,ROW()-36,COLUMN()*2-3)),"",INDEX(Array_StationaryChargeData,ROW()-36,COLUMN()*2-3))</f>
        <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0F2D6-C0CF-4E11-9C52-2F9CFD36DACD}">
  <sheetPr codeName="Sheet10">
    <tabColor rgb="FF8C564B"/>
  </sheetPr>
  <dimension ref="A1:AA202"/>
  <sheetViews>
    <sheetView workbookViewId="0">
      <selection activeCell="H19" sqref="H19"/>
    </sheetView>
  </sheetViews>
  <sheetFormatPr defaultColWidth="0" defaultRowHeight="14" zeroHeight="1" x14ac:dyDescent="0.3"/>
  <cols>
    <col min="1" max="5" width="16.7265625" style="45" customWidth="1"/>
    <col min="6" max="6" width="16.7265625" style="126" customWidth="1"/>
    <col min="7" max="27" width="16.7265625" style="45" customWidth="1"/>
    <col min="28" max="16384" width="9.1796875" style="45" hidden="1"/>
  </cols>
  <sheetData>
    <row r="1" spans="1:27" ht="30" customHeight="1" x14ac:dyDescent="0.3">
      <c r="A1" s="69" t="s">
        <v>824</v>
      </c>
      <c r="B1" s="70"/>
      <c r="C1" s="70"/>
      <c r="D1" s="70"/>
      <c r="E1" s="70"/>
      <c r="F1" s="70"/>
      <c r="G1" s="70"/>
      <c r="H1" s="70"/>
      <c r="I1" s="70"/>
      <c r="J1" s="70"/>
      <c r="K1" s="70"/>
      <c r="L1" s="70"/>
      <c r="M1" s="70"/>
      <c r="N1" s="70"/>
      <c r="O1" s="70"/>
      <c r="P1" s="70"/>
      <c r="Q1" s="71"/>
      <c r="R1" s="43" t="s">
        <v>786</v>
      </c>
      <c r="S1" s="44"/>
      <c r="T1" s="44"/>
      <c r="U1" s="44"/>
      <c r="V1" s="44"/>
      <c r="W1" s="44"/>
      <c r="X1" s="44"/>
      <c r="Y1" s="44"/>
      <c r="Z1" s="44"/>
      <c r="AA1" s="44"/>
    </row>
    <row r="2" spans="1:27" ht="30" customHeight="1" x14ac:dyDescent="0.3">
      <c r="A2" s="99" t="s">
        <v>0</v>
      </c>
      <c r="B2" s="100" t="s">
        <v>1</v>
      </c>
      <c r="C2" s="100" t="s">
        <v>24</v>
      </c>
      <c r="D2" s="100" t="s">
        <v>798</v>
      </c>
      <c r="E2" s="99" t="s">
        <v>479</v>
      </c>
      <c r="F2" s="99" t="s">
        <v>605</v>
      </c>
      <c r="G2" s="99" t="s">
        <v>606</v>
      </c>
      <c r="H2" s="99" t="s">
        <v>796</v>
      </c>
      <c r="I2" s="99" t="s">
        <v>800</v>
      </c>
      <c r="J2" s="100" t="s">
        <v>608</v>
      </c>
      <c r="K2" s="99" t="s">
        <v>4</v>
      </c>
      <c r="L2" s="100" t="s">
        <v>5</v>
      </c>
      <c r="M2" s="99" t="s">
        <v>607</v>
      </c>
      <c r="N2" s="100" t="s">
        <v>480</v>
      </c>
      <c r="O2" s="100" t="s">
        <v>481</v>
      </c>
      <c r="P2" s="100" t="s">
        <v>482</v>
      </c>
      <c r="Q2" s="101" t="s">
        <v>8</v>
      </c>
      <c r="R2" s="102" t="str">
        <f>"Charge "&amp;QUOTIENT(COLUMN()-16,2)&amp;" Name"</f>
        <v>Charge 1 Name</v>
      </c>
      <c r="S2" s="103" t="str">
        <f>"Charge "&amp;QUOTIENT(COLUMN()-16,2)&amp;" Type"</f>
        <v>Charge 1 Type</v>
      </c>
      <c r="T2" s="102" t="str">
        <f>"Charge "&amp;QUOTIENT(COLUMN()-16,2)&amp;" Name"</f>
        <v>Charge 2 Name</v>
      </c>
      <c r="U2" s="103" t="str">
        <f>"Charge "&amp;QUOTIENT(COLUMN()-16,2)&amp;" Type"</f>
        <v>Charge 2 Type</v>
      </c>
      <c r="V2" s="102" t="str">
        <f>"Charge "&amp;QUOTIENT(COLUMN()-16,2)&amp;" Name"</f>
        <v>Charge 3 Name</v>
      </c>
      <c r="W2" s="103" t="str">
        <f>"Charge "&amp;QUOTIENT(COLUMN()-16,2)&amp;" Type"</f>
        <v>Charge 3 Type</v>
      </c>
      <c r="X2" s="102" t="str">
        <f>"Charge "&amp;QUOTIENT(COLUMN()-16,2)&amp;" Name"</f>
        <v>Charge 4 Name</v>
      </c>
      <c r="Y2" s="103" t="str">
        <f>"Charge "&amp;QUOTIENT(COLUMN()-16,2)&amp;" Type"</f>
        <v>Charge 4 Type</v>
      </c>
      <c r="Z2" s="102" t="str">
        <f>"Charge "&amp;QUOTIENT(COLUMN()-16,2)&amp;" Name"</f>
        <v>Charge 5 Name</v>
      </c>
      <c r="AA2" s="103" t="str">
        <f>"Charge "&amp;QUOTIENT(COLUMN()-16,2)&amp;" Type"</f>
        <v>Charge 5 Type</v>
      </c>
    </row>
    <row r="3" spans="1:27" x14ac:dyDescent="0.3">
      <c r="A3" s="126"/>
      <c r="B3" s="127"/>
      <c r="C3" s="127"/>
      <c r="D3" s="127"/>
      <c r="E3" s="126"/>
      <c r="G3" s="126"/>
      <c r="H3" s="126"/>
      <c r="I3" s="126"/>
      <c r="J3" s="127"/>
      <c r="K3" s="126"/>
      <c r="L3" s="135"/>
      <c r="M3" s="126"/>
      <c r="N3" s="127"/>
      <c r="O3" s="127"/>
      <c r="P3" s="127"/>
      <c r="Q3" s="137"/>
      <c r="R3" s="130"/>
      <c r="S3" s="131"/>
      <c r="T3" s="130"/>
      <c r="U3" s="131"/>
      <c r="V3" s="130"/>
      <c r="W3" s="131"/>
      <c r="X3" s="130"/>
      <c r="Y3" s="131"/>
      <c r="Z3" s="130"/>
      <c r="AA3" s="131"/>
    </row>
    <row r="4" spans="1:27" x14ac:dyDescent="0.3">
      <c r="A4" s="126"/>
      <c r="B4" s="127"/>
      <c r="C4" s="127"/>
      <c r="D4" s="127"/>
      <c r="E4" s="126"/>
      <c r="G4" s="126"/>
      <c r="H4" s="126"/>
      <c r="I4" s="126"/>
      <c r="J4" s="127"/>
      <c r="K4" s="126"/>
      <c r="L4" s="135"/>
      <c r="M4" s="126"/>
      <c r="N4" s="127"/>
      <c r="O4" s="127"/>
      <c r="P4" s="127"/>
      <c r="Q4" s="137"/>
      <c r="R4" s="130"/>
      <c r="S4" s="131"/>
      <c r="T4" s="130"/>
      <c r="U4" s="131"/>
      <c r="V4" s="130"/>
      <c r="W4" s="131"/>
      <c r="X4" s="130"/>
      <c r="Y4" s="131"/>
      <c r="Z4" s="130"/>
      <c r="AA4" s="131"/>
    </row>
    <row r="5" spans="1:27" x14ac:dyDescent="0.3">
      <c r="A5" s="126"/>
      <c r="B5" s="127"/>
      <c r="C5" s="127"/>
      <c r="D5" s="127"/>
      <c r="E5" s="126"/>
      <c r="G5" s="126"/>
      <c r="H5" s="126"/>
      <c r="I5" s="126"/>
      <c r="J5" s="127"/>
      <c r="K5" s="126"/>
      <c r="L5" s="135"/>
      <c r="M5" s="126"/>
      <c r="N5" s="127"/>
      <c r="O5" s="127"/>
      <c r="P5" s="127"/>
      <c r="Q5" s="137"/>
      <c r="R5" s="130"/>
      <c r="S5" s="131"/>
      <c r="T5" s="130"/>
      <c r="U5" s="131"/>
      <c r="V5" s="130"/>
      <c r="W5" s="131"/>
      <c r="X5" s="130"/>
      <c r="Y5" s="131"/>
      <c r="Z5" s="130"/>
      <c r="AA5" s="131"/>
    </row>
    <row r="6" spans="1:27" x14ac:dyDescent="0.3">
      <c r="A6" s="126"/>
      <c r="B6" s="127"/>
      <c r="C6" s="127"/>
      <c r="D6" s="127"/>
      <c r="E6" s="126"/>
      <c r="G6" s="126"/>
      <c r="H6" s="126"/>
      <c r="I6" s="126"/>
      <c r="J6" s="127"/>
      <c r="K6" s="126"/>
      <c r="L6" s="135"/>
      <c r="M6" s="126"/>
      <c r="N6" s="127"/>
      <c r="O6" s="127"/>
      <c r="P6" s="127"/>
      <c r="Q6" s="137"/>
      <c r="R6" s="130"/>
      <c r="S6" s="131"/>
      <c r="T6" s="130"/>
      <c r="U6" s="131"/>
      <c r="V6" s="130"/>
      <c r="W6" s="131"/>
      <c r="X6" s="130"/>
      <c r="Y6" s="131"/>
      <c r="Z6" s="130"/>
      <c r="AA6" s="131"/>
    </row>
    <row r="7" spans="1:27" x14ac:dyDescent="0.3">
      <c r="A7" s="126"/>
      <c r="B7" s="127"/>
      <c r="C7" s="127"/>
      <c r="D7" s="127"/>
      <c r="E7" s="126"/>
      <c r="G7" s="126"/>
      <c r="H7" s="126"/>
      <c r="I7" s="126"/>
      <c r="J7" s="127"/>
      <c r="K7" s="126"/>
      <c r="L7" s="135"/>
      <c r="M7" s="126"/>
      <c r="N7" s="127"/>
      <c r="O7" s="127"/>
      <c r="P7" s="127"/>
      <c r="Q7" s="137"/>
      <c r="R7" s="130"/>
      <c r="S7" s="131"/>
      <c r="T7" s="130"/>
      <c r="U7" s="131"/>
      <c r="V7" s="130"/>
      <c r="W7" s="131"/>
      <c r="X7" s="130"/>
      <c r="Y7" s="131"/>
      <c r="Z7" s="130"/>
      <c r="AA7" s="131"/>
    </row>
    <row r="8" spans="1:27" x14ac:dyDescent="0.3">
      <c r="A8" s="126"/>
      <c r="B8" s="127"/>
      <c r="C8" s="127"/>
      <c r="D8" s="127"/>
      <c r="E8" s="126"/>
      <c r="G8" s="126"/>
      <c r="H8" s="126"/>
      <c r="I8" s="126"/>
      <c r="J8" s="127"/>
      <c r="K8" s="126"/>
      <c r="L8" s="135"/>
      <c r="M8" s="126"/>
      <c r="N8" s="127"/>
      <c r="O8" s="127"/>
      <c r="P8" s="127"/>
      <c r="Q8" s="137"/>
      <c r="R8" s="130"/>
      <c r="S8" s="131"/>
      <c r="T8" s="130"/>
      <c r="U8" s="131"/>
      <c r="V8" s="130"/>
      <c r="W8" s="131"/>
      <c r="X8" s="130"/>
      <c r="Y8" s="131"/>
      <c r="Z8" s="130"/>
      <c r="AA8" s="131"/>
    </row>
    <row r="9" spans="1:27" x14ac:dyDescent="0.3">
      <c r="A9" s="126"/>
      <c r="B9" s="127"/>
      <c r="C9" s="127"/>
      <c r="D9" s="127"/>
      <c r="E9" s="126"/>
      <c r="G9" s="126"/>
      <c r="H9" s="126"/>
      <c r="I9" s="126"/>
      <c r="J9" s="127"/>
      <c r="K9" s="126"/>
      <c r="L9" s="135"/>
      <c r="M9" s="126"/>
      <c r="N9" s="127"/>
      <c r="O9" s="127"/>
      <c r="P9" s="127"/>
      <c r="Q9" s="137"/>
      <c r="R9" s="130"/>
      <c r="S9" s="131"/>
      <c r="T9" s="130"/>
      <c r="U9" s="131"/>
      <c r="V9" s="130"/>
      <c r="W9" s="131"/>
      <c r="X9" s="130"/>
      <c r="Y9" s="131"/>
      <c r="Z9" s="130"/>
      <c r="AA9" s="131"/>
    </row>
    <row r="10" spans="1:27" x14ac:dyDescent="0.3">
      <c r="A10" s="126"/>
      <c r="B10" s="127"/>
      <c r="C10" s="127"/>
      <c r="D10" s="127"/>
      <c r="E10" s="126"/>
      <c r="G10" s="126"/>
      <c r="H10" s="126"/>
      <c r="I10" s="126"/>
      <c r="J10" s="127"/>
      <c r="K10" s="126"/>
      <c r="L10" s="135"/>
      <c r="M10" s="126"/>
      <c r="N10" s="127"/>
      <c r="O10" s="127"/>
      <c r="P10" s="127"/>
      <c r="Q10" s="137"/>
      <c r="R10" s="130"/>
      <c r="S10" s="131"/>
      <c r="T10" s="130"/>
      <c r="U10" s="131"/>
      <c r="V10" s="130"/>
      <c r="W10" s="131"/>
      <c r="X10" s="130"/>
      <c r="Y10" s="131"/>
      <c r="Z10" s="130"/>
      <c r="AA10" s="131"/>
    </row>
    <row r="11" spans="1:27" x14ac:dyDescent="0.3">
      <c r="A11" s="126"/>
      <c r="B11" s="127"/>
      <c r="C11" s="127"/>
      <c r="D11" s="127"/>
      <c r="E11" s="126"/>
      <c r="G11" s="126"/>
      <c r="H11" s="126"/>
      <c r="I11" s="126"/>
      <c r="J11" s="127"/>
      <c r="K11" s="126"/>
      <c r="L11" s="135"/>
      <c r="M11" s="126"/>
      <c r="N11" s="127"/>
      <c r="O11" s="127"/>
      <c r="P11" s="127"/>
      <c r="Q11" s="137"/>
      <c r="R11" s="130"/>
      <c r="S11" s="131"/>
      <c r="T11" s="130"/>
      <c r="U11" s="131"/>
      <c r="V11" s="130"/>
      <c r="W11" s="131"/>
      <c r="X11" s="130"/>
      <c r="Y11" s="131"/>
      <c r="Z11" s="130"/>
      <c r="AA11" s="131"/>
    </row>
    <row r="12" spans="1:27" x14ac:dyDescent="0.3">
      <c r="A12" s="126"/>
      <c r="B12" s="127"/>
      <c r="C12" s="127"/>
      <c r="D12" s="127"/>
      <c r="E12" s="126"/>
      <c r="G12" s="126"/>
      <c r="H12" s="126"/>
      <c r="I12" s="126"/>
      <c r="J12" s="127"/>
      <c r="K12" s="126"/>
      <c r="L12" s="135"/>
      <c r="M12" s="126"/>
      <c r="N12" s="127"/>
      <c r="O12" s="127"/>
      <c r="P12" s="127"/>
      <c r="Q12" s="137"/>
      <c r="R12" s="130"/>
      <c r="S12" s="131"/>
      <c r="T12" s="130"/>
      <c r="U12" s="131"/>
      <c r="V12" s="130"/>
      <c r="W12" s="131"/>
      <c r="X12" s="130"/>
      <c r="Y12" s="131"/>
      <c r="Z12" s="130"/>
      <c r="AA12" s="131"/>
    </row>
    <row r="13" spans="1:27" x14ac:dyDescent="0.3">
      <c r="A13" s="126"/>
      <c r="B13" s="127"/>
      <c r="C13" s="127"/>
      <c r="D13" s="127"/>
      <c r="E13" s="126"/>
      <c r="G13" s="126"/>
      <c r="H13" s="126"/>
      <c r="I13" s="126"/>
      <c r="J13" s="127"/>
      <c r="K13" s="126"/>
      <c r="L13" s="135"/>
      <c r="M13" s="126"/>
      <c r="N13" s="127"/>
      <c r="O13" s="127"/>
      <c r="P13" s="127"/>
      <c r="Q13" s="137"/>
      <c r="R13" s="130"/>
      <c r="S13" s="131"/>
      <c r="T13" s="130"/>
      <c r="U13" s="131"/>
      <c r="V13" s="130"/>
      <c r="W13" s="131"/>
      <c r="X13" s="130"/>
      <c r="Y13" s="131"/>
      <c r="Z13" s="130"/>
      <c r="AA13" s="131"/>
    </row>
    <row r="14" spans="1:27" x14ac:dyDescent="0.3">
      <c r="A14" s="126"/>
      <c r="B14" s="127"/>
      <c r="C14" s="127"/>
      <c r="D14" s="127"/>
      <c r="E14" s="126"/>
      <c r="G14" s="126"/>
      <c r="H14" s="126"/>
      <c r="I14" s="126"/>
      <c r="J14" s="127"/>
      <c r="K14" s="126"/>
      <c r="L14" s="135"/>
      <c r="M14" s="126"/>
      <c r="N14" s="127"/>
      <c r="O14" s="127"/>
      <c r="P14" s="127"/>
      <c r="Q14" s="137"/>
      <c r="R14" s="130"/>
      <c r="S14" s="131"/>
      <c r="T14" s="130"/>
      <c r="U14" s="131"/>
      <c r="V14" s="130"/>
      <c r="W14" s="131"/>
      <c r="X14" s="130"/>
      <c r="Y14" s="131"/>
      <c r="Z14" s="130"/>
      <c r="AA14" s="131"/>
    </row>
    <row r="15" spans="1:27" x14ac:dyDescent="0.3">
      <c r="A15" s="126"/>
      <c r="B15" s="127"/>
      <c r="C15" s="127"/>
      <c r="D15" s="127"/>
      <c r="E15" s="126"/>
      <c r="G15" s="126"/>
      <c r="H15" s="126"/>
      <c r="I15" s="126"/>
      <c r="J15" s="127"/>
      <c r="K15" s="126"/>
      <c r="L15" s="135"/>
      <c r="M15" s="126"/>
      <c r="N15" s="127"/>
      <c r="O15" s="127"/>
      <c r="P15" s="127"/>
      <c r="Q15" s="137"/>
      <c r="R15" s="130"/>
      <c r="S15" s="131"/>
      <c r="T15" s="130"/>
      <c r="U15" s="131"/>
      <c r="V15" s="130"/>
      <c r="W15" s="131"/>
      <c r="X15" s="130"/>
      <c r="Y15" s="131"/>
      <c r="Z15" s="130"/>
      <c r="AA15" s="131"/>
    </row>
    <row r="16" spans="1:27" x14ac:dyDescent="0.3">
      <c r="A16" s="126"/>
      <c r="B16" s="127"/>
      <c r="C16" s="127"/>
      <c r="D16" s="127"/>
      <c r="E16" s="126"/>
      <c r="G16" s="126"/>
      <c r="H16" s="126"/>
      <c r="I16" s="126"/>
      <c r="J16" s="127"/>
      <c r="K16" s="126"/>
      <c r="L16" s="135"/>
      <c r="M16" s="126"/>
      <c r="N16" s="127"/>
      <c r="O16" s="127"/>
      <c r="P16" s="127"/>
      <c r="Q16" s="137"/>
      <c r="R16" s="130"/>
      <c r="S16" s="131"/>
      <c r="T16" s="130"/>
      <c r="U16" s="131"/>
      <c r="V16" s="130"/>
      <c r="W16" s="131"/>
      <c r="X16" s="130"/>
      <c r="Y16" s="131"/>
      <c r="Z16" s="130"/>
      <c r="AA16" s="131"/>
    </row>
    <row r="17" spans="1:27" x14ac:dyDescent="0.3">
      <c r="A17" s="126"/>
      <c r="B17" s="127"/>
      <c r="C17" s="127"/>
      <c r="D17" s="127"/>
      <c r="E17" s="126"/>
      <c r="G17" s="126"/>
      <c r="H17" s="126"/>
      <c r="I17" s="126"/>
      <c r="J17" s="127"/>
      <c r="K17" s="126"/>
      <c r="L17" s="135"/>
      <c r="M17" s="126"/>
      <c r="N17" s="127"/>
      <c r="O17" s="127"/>
      <c r="P17" s="127"/>
      <c r="Q17" s="137"/>
      <c r="R17" s="130"/>
      <c r="S17" s="131"/>
      <c r="T17" s="130"/>
      <c r="U17" s="131"/>
      <c r="V17" s="130"/>
      <c r="W17" s="131"/>
      <c r="X17" s="130"/>
      <c r="Y17" s="131"/>
      <c r="Z17" s="130"/>
      <c r="AA17" s="131"/>
    </row>
    <row r="18" spans="1:27" x14ac:dyDescent="0.3">
      <c r="A18" s="126"/>
      <c r="B18" s="127"/>
      <c r="C18" s="127"/>
      <c r="D18" s="127"/>
      <c r="E18" s="126"/>
      <c r="G18" s="126"/>
      <c r="H18" s="126"/>
      <c r="I18" s="126"/>
      <c r="J18" s="127"/>
      <c r="K18" s="126"/>
      <c r="L18" s="135"/>
      <c r="M18" s="126"/>
      <c r="N18" s="127"/>
      <c r="O18" s="127"/>
      <c r="P18" s="127"/>
      <c r="Q18" s="137"/>
      <c r="R18" s="130"/>
      <c r="S18" s="131"/>
      <c r="T18" s="130"/>
      <c r="U18" s="131"/>
      <c r="V18" s="130"/>
      <c r="W18" s="131"/>
      <c r="X18" s="130"/>
      <c r="Y18" s="131"/>
      <c r="Z18" s="130"/>
      <c r="AA18" s="131"/>
    </row>
    <row r="19" spans="1:27" x14ac:dyDescent="0.3">
      <c r="A19" s="126"/>
      <c r="B19" s="127"/>
      <c r="C19" s="127"/>
      <c r="D19" s="127"/>
      <c r="E19" s="126"/>
      <c r="G19" s="126"/>
      <c r="H19" s="126"/>
      <c r="I19" s="126"/>
      <c r="J19" s="127"/>
      <c r="K19" s="126"/>
      <c r="L19" s="135"/>
      <c r="M19" s="126"/>
      <c r="N19" s="127"/>
      <c r="O19" s="127"/>
      <c r="P19" s="127"/>
      <c r="Q19" s="137"/>
      <c r="R19" s="130"/>
      <c r="S19" s="131"/>
      <c r="T19" s="130"/>
      <c r="U19" s="131"/>
      <c r="V19" s="130"/>
      <c r="W19" s="131"/>
      <c r="X19" s="130"/>
      <c r="Y19" s="131"/>
      <c r="Z19" s="130"/>
      <c r="AA19" s="131"/>
    </row>
    <row r="20" spans="1:27" x14ac:dyDescent="0.3">
      <c r="A20" s="126"/>
      <c r="B20" s="127"/>
      <c r="C20" s="127"/>
      <c r="D20" s="127"/>
      <c r="E20" s="126"/>
      <c r="G20" s="126"/>
      <c r="H20" s="126"/>
      <c r="I20" s="126"/>
      <c r="J20" s="127"/>
      <c r="K20" s="126"/>
      <c r="L20" s="135"/>
      <c r="M20" s="126"/>
      <c r="N20" s="127"/>
      <c r="O20" s="127"/>
      <c r="P20" s="127"/>
      <c r="Q20" s="137"/>
      <c r="R20" s="130"/>
      <c r="S20" s="131"/>
      <c r="T20" s="130"/>
      <c r="U20" s="131"/>
      <c r="V20" s="130"/>
      <c r="W20" s="131"/>
      <c r="X20" s="130"/>
      <c r="Y20" s="131"/>
      <c r="Z20" s="130"/>
      <c r="AA20" s="131"/>
    </row>
    <row r="21" spans="1:27" x14ac:dyDescent="0.3">
      <c r="A21" s="126"/>
      <c r="B21" s="127"/>
      <c r="C21" s="127"/>
      <c r="D21" s="127"/>
      <c r="E21" s="126"/>
      <c r="G21" s="126"/>
      <c r="H21" s="126"/>
      <c r="I21" s="126"/>
      <c r="J21" s="127"/>
      <c r="K21" s="126"/>
      <c r="L21" s="135"/>
      <c r="M21" s="126"/>
      <c r="N21" s="127"/>
      <c r="O21" s="127"/>
      <c r="P21" s="127"/>
      <c r="Q21" s="137"/>
      <c r="R21" s="130"/>
      <c r="S21" s="131"/>
      <c r="T21" s="130"/>
      <c r="U21" s="131"/>
      <c r="V21" s="130"/>
      <c r="W21" s="131"/>
      <c r="X21" s="130"/>
      <c r="Y21" s="131"/>
      <c r="Z21" s="130"/>
      <c r="AA21" s="131"/>
    </row>
    <row r="22" spans="1:27" x14ac:dyDescent="0.3">
      <c r="A22" s="126"/>
      <c r="B22" s="127"/>
      <c r="C22" s="127"/>
      <c r="D22" s="127"/>
      <c r="E22" s="126"/>
      <c r="G22" s="126"/>
      <c r="H22" s="126"/>
      <c r="I22" s="126"/>
      <c r="J22" s="127"/>
      <c r="K22" s="126"/>
      <c r="L22" s="135"/>
      <c r="M22" s="126"/>
      <c r="N22" s="127"/>
      <c r="O22" s="127"/>
      <c r="P22" s="127"/>
      <c r="Q22" s="137"/>
      <c r="R22" s="130"/>
      <c r="S22" s="131"/>
      <c r="T22" s="130"/>
      <c r="U22" s="131"/>
      <c r="V22" s="130"/>
      <c r="W22" s="131"/>
      <c r="X22" s="130"/>
      <c r="Y22" s="131"/>
      <c r="Z22" s="130"/>
      <c r="AA22" s="131"/>
    </row>
    <row r="23" spans="1:27" x14ac:dyDescent="0.3">
      <c r="A23" s="126"/>
      <c r="B23" s="127"/>
      <c r="C23" s="127"/>
      <c r="D23" s="127"/>
      <c r="E23" s="126"/>
      <c r="G23" s="126"/>
      <c r="H23" s="126"/>
      <c r="I23" s="126"/>
      <c r="J23" s="127"/>
      <c r="K23" s="126"/>
      <c r="L23" s="135"/>
      <c r="M23" s="126"/>
      <c r="N23" s="127"/>
      <c r="O23" s="127"/>
      <c r="P23" s="127"/>
      <c r="Q23" s="137"/>
      <c r="R23" s="130"/>
      <c r="S23" s="131"/>
      <c r="T23" s="130"/>
      <c r="U23" s="131"/>
      <c r="V23" s="130"/>
      <c r="W23" s="131"/>
      <c r="X23" s="130"/>
      <c r="Y23" s="131"/>
      <c r="Z23" s="130"/>
      <c r="AA23" s="131"/>
    </row>
    <row r="24" spans="1:27" x14ac:dyDescent="0.3">
      <c r="A24" s="126"/>
      <c r="B24" s="127"/>
      <c r="C24" s="127"/>
      <c r="D24" s="127"/>
      <c r="E24" s="126"/>
      <c r="G24" s="126"/>
      <c r="H24" s="126"/>
      <c r="I24" s="126"/>
      <c r="J24" s="127"/>
      <c r="K24" s="126"/>
      <c r="L24" s="135"/>
      <c r="M24" s="126"/>
      <c r="N24" s="127"/>
      <c r="O24" s="127"/>
      <c r="P24" s="127"/>
      <c r="Q24" s="137"/>
      <c r="R24" s="130"/>
      <c r="S24" s="131"/>
      <c r="T24" s="130"/>
      <c r="U24" s="131"/>
      <c r="V24" s="130"/>
      <c r="W24" s="131"/>
      <c r="X24" s="130"/>
      <c r="Y24" s="131"/>
      <c r="Z24" s="130"/>
      <c r="AA24" s="131"/>
    </row>
    <row r="25" spans="1:27" x14ac:dyDescent="0.3">
      <c r="A25" s="126"/>
      <c r="B25" s="127"/>
      <c r="C25" s="127"/>
      <c r="D25" s="127"/>
      <c r="E25" s="126"/>
      <c r="G25" s="126"/>
      <c r="H25" s="126"/>
      <c r="I25" s="126"/>
      <c r="J25" s="127"/>
      <c r="K25" s="126"/>
      <c r="L25" s="135"/>
      <c r="M25" s="126"/>
      <c r="N25" s="127"/>
      <c r="O25" s="127"/>
      <c r="P25" s="127"/>
      <c r="Q25" s="137"/>
      <c r="R25" s="130"/>
      <c r="S25" s="131"/>
      <c r="T25" s="130"/>
      <c r="U25" s="131"/>
      <c r="V25" s="130"/>
      <c r="W25" s="131"/>
      <c r="X25" s="130"/>
      <c r="Y25" s="131"/>
      <c r="Z25" s="130"/>
      <c r="AA25" s="131"/>
    </row>
    <row r="26" spans="1:27" x14ac:dyDescent="0.3">
      <c r="A26" s="126"/>
      <c r="B26" s="127"/>
      <c r="C26" s="127"/>
      <c r="D26" s="127"/>
      <c r="E26" s="126"/>
      <c r="G26" s="126"/>
      <c r="H26" s="126"/>
      <c r="I26" s="126"/>
      <c r="J26" s="127"/>
      <c r="K26" s="126"/>
      <c r="L26" s="135"/>
      <c r="M26" s="126"/>
      <c r="N26" s="127"/>
      <c r="O26" s="127"/>
      <c r="P26" s="127"/>
      <c r="Q26" s="137"/>
      <c r="R26" s="130"/>
      <c r="S26" s="131"/>
      <c r="T26" s="130"/>
      <c r="U26" s="131"/>
      <c r="V26" s="130"/>
      <c r="W26" s="131"/>
      <c r="X26" s="130"/>
      <c r="Y26" s="131"/>
      <c r="Z26" s="130"/>
      <c r="AA26" s="131"/>
    </row>
    <row r="27" spans="1:27" x14ac:dyDescent="0.3">
      <c r="A27" s="126"/>
      <c r="B27" s="127"/>
      <c r="C27" s="127"/>
      <c r="D27" s="127"/>
      <c r="E27" s="126"/>
      <c r="G27" s="126"/>
      <c r="H27" s="126"/>
      <c r="I27" s="126"/>
      <c r="J27" s="127"/>
      <c r="K27" s="126"/>
      <c r="L27" s="135"/>
      <c r="M27" s="126"/>
      <c r="N27" s="127"/>
      <c r="O27" s="127"/>
      <c r="P27" s="127"/>
      <c r="Q27" s="137"/>
      <c r="R27" s="130"/>
      <c r="S27" s="131"/>
      <c r="T27" s="130"/>
      <c r="U27" s="131"/>
      <c r="V27" s="130"/>
      <c r="W27" s="131"/>
      <c r="X27" s="130"/>
      <c r="Y27" s="131"/>
      <c r="Z27" s="130"/>
      <c r="AA27" s="131"/>
    </row>
    <row r="28" spans="1:27" x14ac:dyDescent="0.3">
      <c r="A28" s="126"/>
      <c r="B28" s="127"/>
      <c r="C28" s="127"/>
      <c r="D28" s="127"/>
      <c r="E28" s="126"/>
      <c r="G28" s="126"/>
      <c r="H28" s="126"/>
      <c r="I28" s="126"/>
      <c r="J28" s="127"/>
      <c r="K28" s="126"/>
      <c r="L28" s="135"/>
      <c r="M28" s="126"/>
      <c r="N28" s="127"/>
      <c r="O28" s="127"/>
      <c r="P28" s="127"/>
      <c r="Q28" s="137"/>
      <c r="R28" s="130"/>
      <c r="S28" s="131"/>
      <c r="T28" s="130"/>
      <c r="U28" s="131"/>
      <c r="V28" s="130"/>
      <c r="W28" s="131"/>
      <c r="X28" s="130"/>
      <c r="Y28" s="131"/>
      <c r="Z28" s="130"/>
      <c r="AA28" s="131"/>
    </row>
    <row r="29" spans="1:27" x14ac:dyDescent="0.3">
      <c r="A29" s="126"/>
      <c r="B29" s="127"/>
      <c r="C29" s="127"/>
      <c r="D29" s="127"/>
      <c r="E29" s="126"/>
      <c r="G29" s="126"/>
      <c r="H29" s="126"/>
      <c r="I29" s="126"/>
      <c r="J29" s="127"/>
      <c r="K29" s="126"/>
      <c r="L29" s="135"/>
      <c r="M29" s="126"/>
      <c r="N29" s="127"/>
      <c r="O29" s="127"/>
      <c r="P29" s="127"/>
      <c r="Q29" s="137"/>
      <c r="R29" s="130"/>
      <c r="S29" s="131"/>
      <c r="T29" s="130"/>
      <c r="U29" s="131"/>
      <c r="V29" s="130"/>
      <c r="W29" s="131"/>
      <c r="X29" s="130"/>
      <c r="Y29" s="131"/>
      <c r="Z29" s="130"/>
      <c r="AA29" s="131"/>
    </row>
    <row r="30" spans="1:27" x14ac:dyDescent="0.3">
      <c r="A30" s="126"/>
      <c r="B30" s="127"/>
      <c r="C30" s="127"/>
      <c r="D30" s="127"/>
      <c r="E30" s="126"/>
      <c r="G30" s="126"/>
      <c r="H30" s="126"/>
      <c r="I30" s="126"/>
      <c r="J30" s="127"/>
      <c r="K30" s="126"/>
      <c r="L30" s="135"/>
      <c r="M30" s="126"/>
      <c r="N30" s="127"/>
      <c r="O30" s="127"/>
      <c r="P30" s="127"/>
      <c r="Q30" s="137"/>
      <c r="R30" s="130"/>
      <c r="S30" s="131"/>
      <c r="T30" s="130"/>
      <c r="U30" s="131"/>
      <c r="V30" s="130"/>
      <c r="W30" s="131"/>
      <c r="X30" s="130"/>
      <c r="Y30" s="131"/>
      <c r="Z30" s="130"/>
      <c r="AA30" s="131"/>
    </row>
    <row r="31" spans="1:27" x14ac:dyDescent="0.3">
      <c r="A31" s="126"/>
      <c r="B31" s="127"/>
      <c r="C31" s="127"/>
      <c r="D31" s="127"/>
      <c r="E31" s="126"/>
      <c r="G31" s="126"/>
      <c r="H31" s="126"/>
      <c r="I31" s="126"/>
      <c r="J31" s="127"/>
      <c r="K31" s="126"/>
      <c r="L31" s="135"/>
      <c r="M31" s="126"/>
      <c r="N31" s="127"/>
      <c r="O31" s="127"/>
      <c r="P31" s="127"/>
      <c r="Q31" s="137"/>
      <c r="R31" s="130"/>
      <c r="S31" s="131"/>
      <c r="T31" s="130"/>
      <c r="U31" s="131"/>
      <c r="V31" s="130"/>
      <c r="W31" s="131"/>
      <c r="X31" s="130"/>
      <c r="Y31" s="131"/>
      <c r="Z31" s="130"/>
      <c r="AA31" s="131"/>
    </row>
    <row r="32" spans="1:27" x14ac:dyDescent="0.3">
      <c r="A32" s="126"/>
      <c r="B32" s="127"/>
      <c r="C32" s="127"/>
      <c r="D32" s="127"/>
      <c r="E32" s="126"/>
      <c r="G32" s="126"/>
      <c r="H32" s="126"/>
      <c r="I32" s="126"/>
      <c r="J32" s="127"/>
      <c r="K32" s="126"/>
      <c r="L32" s="135"/>
      <c r="M32" s="126"/>
      <c r="N32" s="127"/>
      <c r="O32" s="127"/>
      <c r="P32" s="127"/>
      <c r="Q32" s="137"/>
      <c r="R32" s="130"/>
      <c r="S32" s="131"/>
      <c r="T32" s="130"/>
      <c r="U32" s="131"/>
      <c r="V32" s="130"/>
      <c r="W32" s="131"/>
      <c r="X32" s="130"/>
      <c r="Y32" s="131"/>
      <c r="Z32" s="130"/>
      <c r="AA32" s="131"/>
    </row>
    <row r="33" spans="1:27" x14ac:dyDescent="0.3">
      <c r="A33" s="126"/>
      <c r="B33" s="127"/>
      <c r="C33" s="127"/>
      <c r="D33" s="127"/>
      <c r="E33" s="126"/>
      <c r="G33" s="126"/>
      <c r="H33" s="126"/>
      <c r="I33" s="126"/>
      <c r="J33" s="127"/>
      <c r="K33" s="126"/>
      <c r="L33" s="135"/>
      <c r="M33" s="126"/>
      <c r="N33" s="127"/>
      <c r="O33" s="127"/>
      <c r="P33" s="127"/>
      <c r="Q33" s="137"/>
      <c r="R33" s="130"/>
      <c r="S33" s="131"/>
      <c r="T33" s="130"/>
      <c r="U33" s="131"/>
      <c r="V33" s="130"/>
      <c r="W33" s="131"/>
      <c r="X33" s="130"/>
      <c r="Y33" s="131"/>
      <c r="Z33" s="130"/>
      <c r="AA33" s="131"/>
    </row>
    <row r="34" spans="1:27" x14ac:dyDescent="0.3">
      <c r="A34" s="126"/>
      <c r="B34" s="127"/>
      <c r="C34" s="127"/>
      <c r="D34" s="127"/>
      <c r="E34" s="126"/>
      <c r="G34" s="126"/>
      <c r="H34" s="126"/>
      <c r="I34" s="126"/>
      <c r="J34" s="127"/>
      <c r="K34" s="126"/>
      <c r="L34" s="135"/>
      <c r="M34" s="126"/>
      <c r="N34" s="127"/>
      <c r="O34" s="127"/>
      <c r="P34" s="127"/>
      <c r="Q34" s="137"/>
      <c r="R34" s="130"/>
      <c r="S34" s="131"/>
      <c r="T34" s="130"/>
      <c r="U34" s="131"/>
      <c r="V34" s="130"/>
      <c r="W34" s="131"/>
      <c r="X34" s="130"/>
      <c r="Y34" s="131"/>
      <c r="Z34" s="130"/>
      <c r="AA34" s="131"/>
    </row>
    <row r="35" spans="1:27" x14ac:dyDescent="0.3">
      <c r="A35" s="126"/>
      <c r="B35" s="127"/>
      <c r="C35" s="127"/>
      <c r="D35" s="127"/>
      <c r="E35" s="126"/>
      <c r="G35" s="126"/>
      <c r="H35" s="126"/>
      <c r="I35" s="126"/>
      <c r="J35" s="127"/>
      <c r="K35" s="126"/>
      <c r="L35" s="135"/>
      <c r="M35" s="126"/>
      <c r="N35" s="127"/>
      <c r="O35" s="127"/>
      <c r="P35" s="127"/>
      <c r="Q35" s="137"/>
      <c r="R35" s="130"/>
      <c r="S35" s="131"/>
      <c r="T35" s="130"/>
      <c r="U35" s="131"/>
      <c r="V35" s="130"/>
      <c r="W35" s="131"/>
      <c r="X35" s="130"/>
      <c r="Y35" s="131"/>
      <c r="Z35" s="130"/>
      <c r="AA35" s="131"/>
    </row>
    <row r="36" spans="1:27" x14ac:dyDescent="0.3">
      <c r="A36" s="126"/>
      <c r="B36" s="127"/>
      <c r="C36" s="127"/>
      <c r="D36" s="127"/>
      <c r="E36" s="126"/>
      <c r="G36" s="126"/>
      <c r="H36" s="126"/>
      <c r="I36" s="126"/>
      <c r="J36" s="127"/>
      <c r="K36" s="126"/>
      <c r="L36" s="135"/>
      <c r="M36" s="126"/>
      <c r="N36" s="127"/>
      <c r="O36" s="127"/>
      <c r="P36" s="127"/>
      <c r="Q36" s="137"/>
      <c r="R36" s="130"/>
      <c r="S36" s="131"/>
      <c r="T36" s="130"/>
      <c r="U36" s="131"/>
      <c r="V36" s="130"/>
      <c r="W36" s="131"/>
      <c r="X36" s="130"/>
      <c r="Y36" s="131"/>
      <c r="Z36" s="130"/>
      <c r="AA36" s="131"/>
    </row>
    <row r="37" spans="1:27" x14ac:dyDescent="0.3">
      <c r="A37" s="126"/>
      <c r="B37" s="127"/>
      <c r="C37" s="127"/>
      <c r="D37" s="127"/>
      <c r="E37" s="126"/>
      <c r="G37" s="126"/>
      <c r="H37" s="126"/>
      <c r="I37" s="126"/>
      <c r="J37" s="127"/>
      <c r="K37" s="126"/>
      <c r="L37" s="135"/>
      <c r="M37" s="126"/>
      <c r="N37" s="127"/>
      <c r="O37" s="127"/>
      <c r="P37" s="127"/>
      <c r="Q37" s="137"/>
      <c r="R37" s="130"/>
      <c r="S37" s="131"/>
      <c r="T37" s="130"/>
      <c r="U37" s="131"/>
      <c r="V37" s="130"/>
      <c r="W37" s="131"/>
      <c r="X37" s="130"/>
      <c r="Y37" s="131"/>
      <c r="Z37" s="130"/>
      <c r="AA37" s="131"/>
    </row>
    <row r="38" spans="1:27" x14ac:dyDescent="0.3">
      <c r="A38" s="126"/>
      <c r="B38" s="127"/>
      <c r="C38" s="127"/>
      <c r="D38" s="127"/>
      <c r="E38" s="126"/>
      <c r="G38" s="126"/>
      <c r="H38" s="126"/>
      <c r="I38" s="126"/>
      <c r="J38" s="127"/>
      <c r="K38" s="126"/>
      <c r="L38" s="135"/>
      <c r="M38" s="126"/>
      <c r="N38" s="127"/>
      <c r="O38" s="127"/>
      <c r="P38" s="127"/>
      <c r="Q38" s="137"/>
      <c r="R38" s="130"/>
      <c r="S38" s="131"/>
      <c r="T38" s="130"/>
      <c r="U38" s="131"/>
      <c r="V38" s="130"/>
      <c r="W38" s="131"/>
      <c r="X38" s="130"/>
      <c r="Y38" s="131"/>
      <c r="Z38" s="130"/>
      <c r="AA38" s="131"/>
    </row>
    <row r="39" spans="1:27" x14ac:dyDescent="0.3">
      <c r="A39" s="126"/>
      <c r="B39" s="127"/>
      <c r="C39" s="127"/>
      <c r="D39" s="127"/>
      <c r="E39" s="126"/>
      <c r="G39" s="126"/>
      <c r="H39" s="126"/>
      <c r="I39" s="126"/>
      <c r="J39" s="127"/>
      <c r="K39" s="126"/>
      <c r="L39" s="135"/>
      <c r="M39" s="126"/>
      <c r="N39" s="127"/>
      <c r="O39" s="127"/>
      <c r="P39" s="127"/>
      <c r="Q39" s="137"/>
      <c r="R39" s="130"/>
      <c r="S39" s="131"/>
      <c r="T39" s="130"/>
      <c r="U39" s="131"/>
      <c r="V39" s="130"/>
      <c r="W39" s="131"/>
      <c r="X39" s="130"/>
      <c r="Y39" s="131"/>
      <c r="Z39" s="130"/>
      <c r="AA39" s="131"/>
    </row>
    <row r="40" spans="1:27" x14ac:dyDescent="0.3">
      <c r="A40" s="126"/>
      <c r="B40" s="127"/>
      <c r="C40" s="127"/>
      <c r="D40" s="127"/>
      <c r="E40" s="126"/>
      <c r="G40" s="126"/>
      <c r="H40" s="126"/>
      <c r="I40" s="126"/>
      <c r="J40" s="127"/>
      <c r="K40" s="126"/>
      <c r="L40" s="135"/>
      <c r="M40" s="126"/>
      <c r="N40" s="127"/>
      <c r="O40" s="127"/>
      <c r="P40" s="127"/>
      <c r="Q40" s="137"/>
      <c r="R40" s="130"/>
      <c r="S40" s="131"/>
      <c r="T40" s="130"/>
      <c r="U40" s="131"/>
      <c r="V40" s="130"/>
      <c r="W40" s="131"/>
      <c r="X40" s="130"/>
      <c r="Y40" s="131"/>
      <c r="Z40" s="130"/>
      <c r="AA40" s="131"/>
    </row>
    <row r="41" spans="1:27" x14ac:dyDescent="0.3">
      <c r="A41" s="126"/>
      <c r="B41" s="127"/>
      <c r="C41" s="127"/>
      <c r="D41" s="127"/>
      <c r="E41" s="126"/>
      <c r="G41" s="126"/>
      <c r="H41" s="126"/>
      <c r="I41" s="126"/>
      <c r="J41" s="127"/>
      <c r="K41" s="126"/>
      <c r="L41" s="135"/>
      <c r="M41" s="126"/>
      <c r="N41" s="127"/>
      <c r="O41" s="127"/>
      <c r="P41" s="127"/>
      <c r="Q41" s="137"/>
      <c r="R41" s="130"/>
      <c r="S41" s="131"/>
      <c r="T41" s="130"/>
      <c r="U41" s="131"/>
      <c r="V41" s="130"/>
      <c r="W41" s="131"/>
      <c r="X41" s="130"/>
      <c r="Y41" s="131"/>
      <c r="Z41" s="130"/>
      <c r="AA41" s="131"/>
    </row>
    <row r="42" spans="1:27" x14ac:dyDescent="0.3">
      <c r="A42" s="126"/>
      <c r="B42" s="127"/>
      <c r="C42" s="127"/>
      <c r="D42" s="127"/>
      <c r="E42" s="126"/>
      <c r="G42" s="126"/>
      <c r="H42" s="126"/>
      <c r="I42" s="126"/>
      <c r="J42" s="127"/>
      <c r="K42" s="126"/>
      <c r="L42" s="135"/>
      <c r="M42" s="126"/>
      <c r="N42" s="127"/>
      <c r="O42" s="127"/>
      <c r="P42" s="127"/>
      <c r="Q42" s="137"/>
      <c r="R42" s="130"/>
      <c r="S42" s="131"/>
      <c r="T42" s="130"/>
      <c r="U42" s="131"/>
      <c r="V42" s="130"/>
      <c r="W42" s="131"/>
      <c r="X42" s="130"/>
      <c r="Y42" s="131"/>
      <c r="Z42" s="130"/>
      <c r="AA42" s="131"/>
    </row>
    <row r="43" spans="1:27" x14ac:dyDescent="0.3">
      <c r="A43" s="126"/>
      <c r="B43" s="127"/>
      <c r="C43" s="127"/>
      <c r="D43" s="127"/>
      <c r="E43" s="126"/>
      <c r="G43" s="126"/>
      <c r="H43" s="126"/>
      <c r="I43" s="126"/>
      <c r="J43" s="127"/>
      <c r="K43" s="126"/>
      <c r="L43" s="135"/>
      <c r="M43" s="126"/>
      <c r="N43" s="127"/>
      <c r="O43" s="127"/>
      <c r="P43" s="127"/>
      <c r="Q43" s="137"/>
      <c r="R43" s="130"/>
      <c r="S43" s="131"/>
      <c r="T43" s="130"/>
      <c r="U43" s="131"/>
      <c r="V43" s="130"/>
      <c r="W43" s="131"/>
      <c r="X43" s="130"/>
      <c r="Y43" s="131"/>
      <c r="Z43" s="130"/>
      <c r="AA43" s="131"/>
    </row>
    <row r="44" spans="1:27" x14ac:dyDescent="0.3">
      <c r="A44" s="126"/>
      <c r="B44" s="127"/>
      <c r="C44" s="127"/>
      <c r="D44" s="127"/>
      <c r="E44" s="126"/>
      <c r="G44" s="126"/>
      <c r="H44" s="126"/>
      <c r="I44" s="126"/>
      <c r="J44" s="127"/>
      <c r="K44" s="126"/>
      <c r="L44" s="135"/>
      <c r="M44" s="126"/>
      <c r="N44" s="127"/>
      <c r="O44" s="127"/>
      <c r="P44" s="127"/>
      <c r="Q44" s="137"/>
      <c r="R44" s="130"/>
      <c r="S44" s="131"/>
      <c r="T44" s="130"/>
      <c r="U44" s="131"/>
      <c r="V44" s="130"/>
      <c r="W44" s="131"/>
      <c r="X44" s="130"/>
      <c r="Y44" s="131"/>
      <c r="Z44" s="130"/>
      <c r="AA44" s="131"/>
    </row>
    <row r="45" spans="1:27" x14ac:dyDescent="0.3">
      <c r="A45" s="126"/>
      <c r="B45" s="127"/>
      <c r="C45" s="127"/>
      <c r="D45" s="127"/>
      <c r="E45" s="126"/>
      <c r="G45" s="126"/>
      <c r="H45" s="126"/>
      <c r="I45" s="126"/>
      <c r="J45" s="127"/>
      <c r="K45" s="126"/>
      <c r="L45" s="135"/>
      <c r="M45" s="126"/>
      <c r="N45" s="127"/>
      <c r="O45" s="127"/>
      <c r="P45" s="127"/>
      <c r="Q45" s="137"/>
      <c r="R45" s="130"/>
      <c r="S45" s="131"/>
      <c r="T45" s="130"/>
      <c r="U45" s="131"/>
      <c r="V45" s="130"/>
      <c r="W45" s="131"/>
      <c r="X45" s="130"/>
      <c r="Y45" s="131"/>
      <c r="Z45" s="130"/>
      <c r="AA45" s="131"/>
    </row>
    <row r="46" spans="1:27" x14ac:dyDescent="0.3">
      <c r="A46" s="126"/>
      <c r="B46" s="127"/>
      <c r="C46" s="127"/>
      <c r="D46" s="127"/>
      <c r="E46" s="126"/>
      <c r="G46" s="126"/>
      <c r="H46" s="126"/>
      <c r="I46" s="126"/>
      <c r="J46" s="127"/>
      <c r="K46" s="126"/>
      <c r="L46" s="135"/>
      <c r="M46" s="126"/>
      <c r="N46" s="127"/>
      <c r="O46" s="127"/>
      <c r="P46" s="127"/>
      <c r="Q46" s="137"/>
      <c r="R46" s="130"/>
      <c r="S46" s="131"/>
      <c r="T46" s="130"/>
      <c r="U46" s="131"/>
      <c r="V46" s="130"/>
      <c r="W46" s="131"/>
      <c r="X46" s="130"/>
      <c r="Y46" s="131"/>
      <c r="Z46" s="130"/>
      <c r="AA46" s="131"/>
    </row>
    <row r="47" spans="1:27" x14ac:dyDescent="0.3">
      <c r="A47" s="126"/>
      <c r="B47" s="127"/>
      <c r="C47" s="127"/>
      <c r="D47" s="127"/>
      <c r="E47" s="126"/>
      <c r="G47" s="126"/>
      <c r="H47" s="126"/>
      <c r="I47" s="126"/>
      <c r="J47" s="127"/>
      <c r="K47" s="126"/>
      <c r="L47" s="135"/>
      <c r="M47" s="126"/>
      <c r="N47" s="127"/>
      <c r="O47" s="127"/>
      <c r="P47" s="127"/>
      <c r="Q47" s="137"/>
      <c r="R47" s="130"/>
      <c r="S47" s="131"/>
      <c r="T47" s="130"/>
      <c r="U47" s="131"/>
      <c r="V47" s="130"/>
      <c r="W47" s="131"/>
      <c r="X47" s="130"/>
      <c r="Y47" s="131"/>
      <c r="Z47" s="130"/>
      <c r="AA47" s="131"/>
    </row>
    <row r="48" spans="1:27" x14ac:dyDescent="0.3">
      <c r="A48" s="126"/>
      <c r="B48" s="127"/>
      <c r="C48" s="127"/>
      <c r="D48" s="127"/>
      <c r="E48" s="126"/>
      <c r="G48" s="126"/>
      <c r="H48" s="126"/>
      <c r="I48" s="126"/>
      <c r="J48" s="127"/>
      <c r="K48" s="126"/>
      <c r="L48" s="135"/>
      <c r="M48" s="126"/>
      <c r="N48" s="127"/>
      <c r="O48" s="127"/>
      <c r="P48" s="127"/>
      <c r="Q48" s="137"/>
      <c r="R48" s="130"/>
      <c r="S48" s="131"/>
      <c r="T48" s="130"/>
      <c r="U48" s="131"/>
      <c r="V48" s="130"/>
      <c r="W48" s="131"/>
      <c r="X48" s="130"/>
      <c r="Y48" s="131"/>
      <c r="Z48" s="130"/>
      <c r="AA48" s="131"/>
    </row>
    <row r="49" spans="1:27" x14ac:dyDescent="0.3">
      <c r="A49" s="126"/>
      <c r="B49" s="127"/>
      <c r="C49" s="127"/>
      <c r="D49" s="127"/>
      <c r="E49" s="126"/>
      <c r="G49" s="126"/>
      <c r="H49" s="126"/>
      <c r="I49" s="126"/>
      <c r="J49" s="127"/>
      <c r="K49" s="126"/>
      <c r="L49" s="135"/>
      <c r="M49" s="126"/>
      <c r="N49" s="127"/>
      <c r="O49" s="127"/>
      <c r="P49" s="127"/>
      <c r="Q49" s="137"/>
      <c r="R49" s="130"/>
      <c r="S49" s="131"/>
      <c r="T49" s="130"/>
      <c r="U49" s="131"/>
      <c r="V49" s="130"/>
      <c r="W49" s="131"/>
      <c r="X49" s="130"/>
      <c r="Y49" s="131"/>
      <c r="Z49" s="130"/>
      <c r="AA49" s="131"/>
    </row>
    <row r="50" spans="1:27" x14ac:dyDescent="0.3">
      <c r="A50" s="126"/>
      <c r="B50" s="127"/>
      <c r="C50" s="127"/>
      <c r="D50" s="127"/>
      <c r="E50" s="126"/>
      <c r="G50" s="126"/>
      <c r="H50" s="126"/>
      <c r="I50" s="126"/>
      <c r="J50" s="127"/>
      <c r="K50" s="126"/>
      <c r="L50" s="135"/>
      <c r="M50" s="126"/>
      <c r="N50" s="127"/>
      <c r="O50" s="127"/>
      <c r="P50" s="127"/>
      <c r="Q50" s="137"/>
      <c r="R50" s="130"/>
      <c r="S50" s="131"/>
      <c r="T50" s="130"/>
      <c r="U50" s="131"/>
      <c r="V50" s="130"/>
      <c r="W50" s="131"/>
      <c r="X50" s="130"/>
      <c r="Y50" s="131"/>
      <c r="Z50" s="130"/>
      <c r="AA50" s="131"/>
    </row>
    <row r="51" spans="1:27" x14ac:dyDescent="0.3">
      <c r="A51" s="126"/>
      <c r="B51" s="127"/>
      <c r="C51" s="127"/>
      <c r="D51" s="127"/>
      <c r="E51" s="126"/>
      <c r="G51" s="126"/>
      <c r="H51" s="126"/>
      <c r="I51" s="126"/>
      <c r="J51" s="127"/>
      <c r="K51" s="126"/>
      <c r="L51" s="135"/>
      <c r="M51" s="126"/>
      <c r="N51" s="127"/>
      <c r="O51" s="127"/>
      <c r="P51" s="127"/>
      <c r="Q51" s="137"/>
      <c r="R51" s="130"/>
      <c r="S51" s="131"/>
      <c r="T51" s="130"/>
      <c r="U51" s="131"/>
      <c r="V51" s="130"/>
      <c r="W51" s="131"/>
      <c r="X51" s="130"/>
      <c r="Y51" s="131"/>
      <c r="Z51" s="130"/>
      <c r="AA51" s="131"/>
    </row>
    <row r="52" spans="1:27" x14ac:dyDescent="0.3">
      <c r="A52" s="126"/>
      <c r="B52" s="127"/>
      <c r="C52" s="127"/>
      <c r="D52" s="127"/>
      <c r="E52" s="126"/>
      <c r="G52" s="126"/>
      <c r="H52" s="126"/>
      <c r="I52" s="126"/>
      <c r="J52" s="127"/>
      <c r="K52" s="126"/>
      <c r="L52" s="135"/>
      <c r="M52" s="126"/>
      <c r="N52" s="127"/>
      <c r="O52" s="127"/>
      <c r="P52" s="127"/>
      <c r="Q52" s="137"/>
      <c r="R52" s="130"/>
      <c r="S52" s="131"/>
      <c r="T52" s="130"/>
      <c r="U52" s="131"/>
      <c r="V52" s="130"/>
      <c r="W52" s="131"/>
      <c r="X52" s="130"/>
      <c r="Y52" s="131"/>
      <c r="Z52" s="130"/>
      <c r="AA52" s="131"/>
    </row>
    <row r="53" spans="1:27" x14ac:dyDescent="0.3">
      <c r="A53" s="126"/>
      <c r="B53" s="127"/>
      <c r="C53" s="127"/>
      <c r="D53" s="127"/>
      <c r="E53" s="126"/>
      <c r="G53" s="126"/>
      <c r="H53" s="126"/>
      <c r="I53" s="126"/>
      <c r="J53" s="127"/>
      <c r="K53" s="126"/>
      <c r="L53" s="135"/>
      <c r="M53" s="126"/>
      <c r="N53" s="127"/>
      <c r="O53" s="127"/>
      <c r="P53" s="127"/>
      <c r="Q53" s="137"/>
      <c r="R53" s="130"/>
      <c r="S53" s="131"/>
      <c r="T53" s="130"/>
      <c r="U53" s="131"/>
      <c r="V53" s="130"/>
      <c r="W53" s="131"/>
      <c r="X53" s="130"/>
      <c r="Y53" s="131"/>
      <c r="Z53" s="130"/>
      <c r="AA53" s="131"/>
    </row>
    <row r="54" spans="1:27" x14ac:dyDescent="0.3">
      <c r="A54" s="126"/>
      <c r="B54" s="127"/>
      <c r="C54" s="127"/>
      <c r="D54" s="127"/>
      <c r="E54" s="126"/>
      <c r="G54" s="126"/>
      <c r="H54" s="126"/>
      <c r="I54" s="126"/>
      <c r="J54" s="127"/>
      <c r="K54" s="126"/>
      <c r="L54" s="135"/>
      <c r="M54" s="126"/>
      <c r="N54" s="127"/>
      <c r="O54" s="127"/>
      <c r="P54" s="127"/>
      <c r="Q54" s="137"/>
      <c r="R54" s="130"/>
      <c r="S54" s="131"/>
      <c r="T54" s="130"/>
      <c r="U54" s="131"/>
      <c r="V54" s="130"/>
      <c r="W54" s="131"/>
      <c r="X54" s="130"/>
      <c r="Y54" s="131"/>
      <c r="Z54" s="130"/>
      <c r="AA54" s="131"/>
    </row>
    <row r="55" spans="1:27" x14ac:dyDescent="0.3">
      <c r="A55" s="126"/>
      <c r="B55" s="127"/>
      <c r="C55" s="127"/>
      <c r="D55" s="127"/>
      <c r="E55" s="126"/>
      <c r="G55" s="126"/>
      <c r="H55" s="126"/>
      <c r="I55" s="126"/>
      <c r="J55" s="127"/>
      <c r="K55" s="126"/>
      <c r="L55" s="135"/>
      <c r="M55" s="126"/>
      <c r="N55" s="127"/>
      <c r="O55" s="127"/>
      <c r="P55" s="127"/>
      <c r="Q55" s="137"/>
      <c r="R55" s="130"/>
      <c r="S55" s="131"/>
      <c r="T55" s="130"/>
      <c r="U55" s="131"/>
      <c r="V55" s="130"/>
      <c r="W55" s="131"/>
      <c r="X55" s="130"/>
      <c r="Y55" s="131"/>
      <c r="Z55" s="130"/>
      <c r="AA55" s="131"/>
    </row>
    <row r="56" spans="1:27" x14ac:dyDescent="0.3">
      <c r="A56" s="126"/>
      <c r="B56" s="127"/>
      <c r="C56" s="127"/>
      <c r="D56" s="127"/>
      <c r="E56" s="126"/>
      <c r="G56" s="126"/>
      <c r="H56" s="126"/>
      <c r="I56" s="126"/>
      <c r="J56" s="127"/>
      <c r="K56" s="126"/>
      <c r="L56" s="135"/>
      <c r="M56" s="126"/>
      <c r="N56" s="127"/>
      <c r="O56" s="127"/>
      <c r="P56" s="127"/>
      <c r="Q56" s="137"/>
      <c r="R56" s="130"/>
      <c r="S56" s="131"/>
      <c r="T56" s="130"/>
      <c r="U56" s="131"/>
      <c r="V56" s="130"/>
      <c r="W56" s="131"/>
      <c r="X56" s="130"/>
      <c r="Y56" s="131"/>
      <c r="Z56" s="130"/>
      <c r="AA56" s="131"/>
    </row>
    <row r="57" spans="1:27" x14ac:dyDescent="0.3">
      <c r="A57" s="126"/>
      <c r="B57" s="127"/>
      <c r="C57" s="127"/>
      <c r="D57" s="127"/>
      <c r="E57" s="126"/>
      <c r="G57" s="126"/>
      <c r="H57" s="126"/>
      <c r="I57" s="126"/>
      <c r="J57" s="127"/>
      <c r="K57" s="126"/>
      <c r="L57" s="135"/>
      <c r="M57" s="126"/>
      <c r="N57" s="127"/>
      <c r="O57" s="127"/>
      <c r="P57" s="127"/>
      <c r="Q57" s="137"/>
      <c r="R57" s="130"/>
      <c r="S57" s="131"/>
      <c r="T57" s="130"/>
      <c r="U57" s="131"/>
      <c r="V57" s="130"/>
      <c r="W57" s="131"/>
      <c r="X57" s="130"/>
      <c r="Y57" s="131"/>
      <c r="Z57" s="130"/>
      <c r="AA57" s="131"/>
    </row>
    <row r="58" spans="1:27" x14ac:dyDescent="0.3">
      <c r="A58" s="126"/>
      <c r="B58" s="127"/>
      <c r="C58" s="127"/>
      <c r="D58" s="127"/>
      <c r="E58" s="126"/>
      <c r="G58" s="126"/>
      <c r="H58" s="126"/>
      <c r="I58" s="126"/>
      <c r="J58" s="127"/>
      <c r="K58" s="126"/>
      <c r="L58" s="135"/>
      <c r="M58" s="126"/>
      <c r="N58" s="127"/>
      <c r="O58" s="127"/>
      <c r="P58" s="127"/>
      <c r="Q58" s="137"/>
      <c r="R58" s="130"/>
      <c r="S58" s="131"/>
      <c r="T58" s="130"/>
      <c r="U58" s="131"/>
      <c r="V58" s="130"/>
      <c r="W58" s="131"/>
      <c r="X58" s="130"/>
      <c r="Y58" s="131"/>
      <c r="Z58" s="130"/>
      <c r="AA58" s="131"/>
    </row>
    <row r="59" spans="1:27" x14ac:dyDescent="0.3">
      <c r="A59" s="126"/>
      <c r="B59" s="127"/>
      <c r="C59" s="127"/>
      <c r="D59" s="127"/>
      <c r="E59" s="126"/>
      <c r="G59" s="126"/>
      <c r="H59" s="126"/>
      <c r="I59" s="126"/>
      <c r="J59" s="127"/>
      <c r="K59" s="126"/>
      <c r="L59" s="135"/>
      <c r="M59" s="126"/>
      <c r="N59" s="127"/>
      <c r="O59" s="127"/>
      <c r="P59" s="127"/>
      <c r="Q59" s="137"/>
      <c r="R59" s="130"/>
      <c r="S59" s="131"/>
      <c r="T59" s="130"/>
      <c r="U59" s="131"/>
      <c r="V59" s="130"/>
      <c r="W59" s="131"/>
      <c r="X59" s="130"/>
      <c r="Y59" s="131"/>
      <c r="Z59" s="130"/>
      <c r="AA59" s="131"/>
    </row>
    <row r="60" spans="1:27" x14ac:dyDescent="0.3">
      <c r="A60" s="126"/>
      <c r="B60" s="127"/>
      <c r="C60" s="127"/>
      <c r="D60" s="127"/>
      <c r="E60" s="126"/>
      <c r="G60" s="126"/>
      <c r="H60" s="126"/>
      <c r="I60" s="126"/>
      <c r="J60" s="127"/>
      <c r="K60" s="126"/>
      <c r="L60" s="135"/>
      <c r="M60" s="126"/>
      <c r="N60" s="127"/>
      <c r="O60" s="127"/>
      <c r="P60" s="127"/>
      <c r="Q60" s="137"/>
      <c r="R60" s="130"/>
      <c r="S60" s="131"/>
      <c r="T60" s="130"/>
      <c r="U60" s="131"/>
      <c r="V60" s="130"/>
      <c r="W60" s="131"/>
      <c r="X60" s="130"/>
      <c r="Y60" s="131"/>
      <c r="Z60" s="130"/>
      <c r="AA60" s="131"/>
    </row>
    <row r="61" spans="1:27" x14ac:dyDescent="0.3">
      <c r="A61" s="126"/>
      <c r="B61" s="127"/>
      <c r="C61" s="127"/>
      <c r="D61" s="127"/>
      <c r="E61" s="126"/>
      <c r="G61" s="126"/>
      <c r="H61" s="126"/>
      <c r="I61" s="126"/>
      <c r="J61" s="127"/>
      <c r="K61" s="126"/>
      <c r="L61" s="135"/>
      <c r="M61" s="126"/>
      <c r="N61" s="127"/>
      <c r="O61" s="127"/>
      <c r="P61" s="127"/>
      <c r="Q61" s="137"/>
      <c r="R61" s="130"/>
      <c r="S61" s="131"/>
      <c r="T61" s="130"/>
      <c r="U61" s="131"/>
      <c r="V61" s="130"/>
      <c r="W61" s="131"/>
      <c r="X61" s="130"/>
      <c r="Y61" s="131"/>
      <c r="Z61" s="130"/>
      <c r="AA61" s="131"/>
    </row>
    <row r="62" spans="1:27" x14ac:dyDescent="0.3">
      <c r="A62" s="126"/>
      <c r="B62" s="127"/>
      <c r="C62" s="127"/>
      <c r="D62" s="127"/>
      <c r="E62" s="126"/>
      <c r="G62" s="126"/>
      <c r="H62" s="126"/>
      <c r="I62" s="126"/>
      <c r="J62" s="127"/>
      <c r="K62" s="126"/>
      <c r="L62" s="135"/>
      <c r="M62" s="126"/>
      <c r="N62" s="127"/>
      <c r="O62" s="127"/>
      <c r="P62" s="127"/>
      <c r="Q62" s="137"/>
      <c r="R62" s="130"/>
      <c r="S62" s="131"/>
      <c r="T62" s="130"/>
      <c r="U62" s="131"/>
      <c r="V62" s="130"/>
      <c r="W62" s="131"/>
      <c r="X62" s="130"/>
      <c r="Y62" s="131"/>
      <c r="Z62" s="130"/>
      <c r="AA62" s="131"/>
    </row>
    <row r="63" spans="1:27" x14ac:dyDescent="0.3">
      <c r="A63" s="126"/>
      <c r="B63" s="127"/>
      <c r="C63" s="127"/>
      <c r="D63" s="127"/>
      <c r="E63" s="126"/>
      <c r="G63" s="126"/>
      <c r="H63" s="126"/>
      <c r="I63" s="126"/>
      <c r="J63" s="127"/>
      <c r="K63" s="126"/>
      <c r="L63" s="135"/>
      <c r="M63" s="126"/>
      <c r="N63" s="127"/>
      <c r="O63" s="127"/>
      <c r="P63" s="127"/>
      <c r="Q63" s="137"/>
      <c r="R63" s="130"/>
      <c r="S63" s="131"/>
      <c r="T63" s="130"/>
      <c r="U63" s="131"/>
      <c r="V63" s="130"/>
      <c r="W63" s="131"/>
      <c r="X63" s="130"/>
      <c r="Y63" s="131"/>
      <c r="Z63" s="130"/>
      <c r="AA63" s="131"/>
    </row>
    <row r="64" spans="1:27" x14ac:dyDescent="0.3">
      <c r="A64" s="126"/>
      <c r="B64" s="127"/>
      <c r="C64" s="127"/>
      <c r="D64" s="127"/>
      <c r="E64" s="126"/>
      <c r="G64" s="126"/>
      <c r="H64" s="126"/>
      <c r="I64" s="126"/>
      <c r="J64" s="127"/>
      <c r="K64" s="126"/>
      <c r="L64" s="135"/>
      <c r="M64" s="126"/>
      <c r="N64" s="127"/>
      <c r="O64" s="127"/>
      <c r="P64" s="127"/>
      <c r="Q64" s="137"/>
      <c r="R64" s="130"/>
      <c r="S64" s="131"/>
      <c r="T64" s="130"/>
      <c r="U64" s="131"/>
      <c r="V64" s="130"/>
      <c r="W64" s="131"/>
      <c r="X64" s="130"/>
      <c r="Y64" s="131"/>
      <c r="Z64" s="130"/>
      <c r="AA64" s="131"/>
    </row>
    <row r="65" spans="1:27" x14ac:dyDescent="0.3">
      <c r="A65" s="126"/>
      <c r="B65" s="127"/>
      <c r="C65" s="127"/>
      <c r="D65" s="127"/>
      <c r="E65" s="126"/>
      <c r="G65" s="126"/>
      <c r="H65" s="126"/>
      <c r="I65" s="126"/>
      <c r="J65" s="127"/>
      <c r="K65" s="126"/>
      <c r="L65" s="135"/>
      <c r="M65" s="126"/>
      <c r="N65" s="127"/>
      <c r="O65" s="127"/>
      <c r="P65" s="127"/>
      <c r="Q65" s="137"/>
      <c r="R65" s="130"/>
      <c r="S65" s="131"/>
      <c r="T65" s="130"/>
      <c r="U65" s="131"/>
      <c r="V65" s="130"/>
      <c r="W65" s="131"/>
      <c r="X65" s="130"/>
      <c r="Y65" s="131"/>
      <c r="Z65" s="130"/>
      <c r="AA65" s="131"/>
    </row>
    <row r="66" spans="1:27" x14ac:dyDescent="0.3">
      <c r="A66" s="126"/>
      <c r="B66" s="127"/>
      <c r="C66" s="127"/>
      <c r="D66" s="127"/>
      <c r="E66" s="126"/>
      <c r="G66" s="126"/>
      <c r="H66" s="126"/>
      <c r="I66" s="126"/>
      <c r="J66" s="127"/>
      <c r="K66" s="126"/>
      <c r="L66" s="135"/>
      <c r="M66" s="126"/>
      <c r="N66" s="127"/>
      <c r="O66" s="127"/>
      <c r="P66" s="127"/>
      <c r="Q66" s="137"/>
      <c r="R66" s="130"/>
      <c r="S66" s="131"/>
      <c r="T66" s="130"/>
      <c r="U66" s="131"/>
      <c r="V66" s="130"/>
      <c r="W66" s="131"/>
      <c r="X66" s="130"/>
      <c r="Y66" s="131"/>
      <c r="Z66" s="130"/>
      <c r="AA66" s="131"/>
    </row>
    <row r="67" spans="1:27" x14ac:dyDescent="0.3">
      <c r="A67" s="126"/>
      <c r="B67" s="127"/>
      <c r="C67" s="127"/>
      <c r="D67" s="127"/>
      <c r="E67" s="126"/>
      <c r="G67" s="126"/>
      <c r="H67" s="126"/>
      <c r="I67" s="126"/>
      <c r="J67" s="127"/>
      <c r="K67" s="126"/>
      <c r="L67" s="135"/>
      <c r="M67" s="126"/>
      <c r="N67" s="127"/>
      <c r="O67" s="127"/>
      <c r="P67" s="127"/>
      <c r="Q67" s="137"/>
      <c r="R67" s="130"/>
      <c r="S67" s="131"/>
      <c r="T67" s="130"/>
      <c r="U67" s="131"/>
      <c r="V67" s="130"/>
      <c r="W67" s="131"/>
      <c r="X67" s="130"/>
      <c r="Y67" s="131"/>
      <c r="Z67" s="130"/>
      <c r="AA67" s="131"/>
    </row>
    <row r="68" spans="1:27" x14ac:dyDescent="0.3">
      <c r="A68" s="126"/>
      <c r="B68" s="127"/>
      <c r="C68" s="127"/>
      <c r="D68" s="127"/>
      <c r="E68" s="126"/>
      <c r="G68" s="126"/>
      <c r="H68" s="126"/>
      <c r="I68" s="126"/>
      <c r="J68" s="127"/>
      <c r="K68" s="126"/>
      <c r="L68" s="135"/>
      <c r="M68" s="126"/>
      <c r="N68" s="127"/>
      <c r="O68" s="127"/>
      <c r="P68" s="127"/>
      <c r="Q68" s="137"/>
      <c r="R68" s="130"/>
      <c r="S68" s="131"/>
      <c r="T68" s="130"/>
      <c r="U68" s="131"/>
      <c r="V68" s="130"/>
      <c r="W68" s="131"/>
      <c r="X68" s="130"/>
      <c r="Y68" s="131"/>
      <c r="Z68" s="130"/>
      <c r="AA68" s="131"/>
    </row>
    <row r="69" spans="1:27" x14ac:dyDescent="0.3">
      <c r="A69" s="126"/>
      <c r="B69" s="127"/>
      <c r="C69" s="127"/>
      <c r="D69" s="127"/>
      <c r="E69" s="126"/>
      <c r="G69" s="126"/>
      <c r="H69" s="126"/>
      <c r="I69" s="126"/>
      <c r="J69" s="127"/>
      <c r="K69" s="126"/>
      <c r="L69" s="135"/>
      <c r="M69" s="126"/>
      <c r="N69" s="127"/>
      <c r="O69" s="127"/>
      <c r="P69" s="127"/>
      <c r="Q69" s="137"/>
      <c r="R69" s="130"/>
      <c r="S69" s="131"/>
      <c r="T69" s="130"/>
      <c r="U69" s="131"/>
      <c r="V69" s="130"/>
      <c r="W69" s="131"/>
      <c r="X69" s="130"/>
      <c r="Y69" s="131"/>
      <c r="Z69" s="130"/>
      <c r="AA69" s="131"/>
    </row>
    <row r="70" spans="1:27" x14ac:dyDescent="0.3">
      <c r="A70" s="126"/>
      <c r="B70" s="127"/>
      <c r="C70" s="127"/>
      <c r="D70" s="127"/>
      <c r="E70" s="126"/>
      <c r="G70" s="126"/>
      <c r="H70" s="126"/>
      <c r="I70" s="126"/>
      <c r="J70" s="127"/>
      <c r="K70" s="126"/>
      <c r="L70" s="135"/>
      <c r="M70" s="126"/>
      <c r="N70" s="127"/>
      <c r="O70" s="127"/>
      <c r="P70" s="127"/>
      <c r="Q70" s="137"/>
      <c r="R70" s="130"/>
      <c r="S70" s="131"/>
      <c r="T70" s="130"/>
      <c r="U70" s="131"/>
      <c r="V70" s="130"/>
      <c r="W70" s="131"/>
      <c r="X70" s="130"/>
      <c r="Y70" s="131"/>
      <c r="Z70" s="130"/>
      <c r="AA70" s="131"/>
    </row>
    <row r="71" spans="1:27" x14ac:dyDescent="0.3">
      <c r="A71" s="126"/>
      <c r="B71" s="127"/>
      <c r="C71" s="127"/>
      <c r="D71" s="127"/>
      <c r="E71" s="126"/>
      <c r="G71" s="126"/>
      <c r="H71" s="126"/>
      <c r="I71" s="126"/>
      <c r="J71" s="127"/>
      <c r="K71" s="126"/>
      <c r="L71" s="135"/>
      <c r="M71" s="126"/>
      <c r="N71" s="127"/>
      <c r="O71" s="127"/>
      <c r="P71" s="127"/>
      <c r="Q71" s="137"/>
      <c r="R71" s="130"/>
      <c r="S71" s="131"/>
      <c r="T71" s="130"/>
      <c r="U71" s="131"/>
      <c r="V71" s="130"/>
      <c r="W71" s="131"/>
      <c r="X71" s="130"/>
      <c r="Y71" s="131"/>
      <c r="Z71" s="130"/>
      <c r="AA71" s="131"/>
    </row>
    <row r="72" spans="1:27" x14ac:dyDescent="0.3">
      <c r="A72" s="126"/>
      <c r="B72" s="127"/>
      <c r="C72" s="127"/>
      <c r="D72" s="127"/>
      <c r="E72" s="126"/>
      <c r="G72" s="126"/>
      <c r="H72" s="126"/>
      <c r="I72" s="126"/>
      <c r="J72" s="127"/>
      <c r="K72" s="126"/>
      <c r="L72" s="135"/>
      <c r="M72" s="126"/>
      <c r="N72" s="127"/>
      <c r="O72" s="127"/>
      <c r="P72" s="127"/>
      <c r="Q72" s="137"/>
      <c r="R72" s="130"/>
      <c r="S72" s="131"/>
      <c r="T72" s="130"/>
      <c r="U72" s="131"/>
      <c r="V72" s="130"/>
      <c r="W72" s="131"/>
      <c r="X72" s="130"/>
      <c r="Y72" s="131"/>
      <c r="Z72" s="130"/>
      <c r="AA72" s="131"/>
    </row>
    <row r="73" spans="1:27" x14ac:dyDescent="0.3">
      <c r="A73" s="126"/>
      <c r="B73" s="127"/>
      <c r="C73" s="127"/>
      <c r="D73" s="127"/>
      <c r="E73" s="126"/>
      <c r="G73" s="126"/>
      <c r="H73" s="126"/>
      <c r="I73" s="126"/>
      <c r="J73" s="127"/>
      <c r="K73" s="126"/>
      <c r="L73" s="135"/>
      <c r="M73" s="126"/>
      <c r="N73" s="127"/>
      <c r="O73" s="127"/>
      <c r="P73" s="127"/>
      <c r="Q73" s="137"/>
      <c r="R73" s="130"/>
      <c r="S73" s="131"/>
      <c r="T73" s="130"/>
      <c r="U73" s="131"/>
      <c r="V73" s="130"/>
      <c r="W73" s="131"/>
      <c r="X73" s="130"/>
      <c r="Y73" s="131"/>
      <c r="Z73" s="130"/>
      <c r="AA73" s="131"/>
    </row>
    <row r="74" spans="1:27" x14ac:dyDescent="0.3">
      <c r="A74" s="126"/>
      <c r="B74" s="127"/>
      <c r="C74" s="127"/>
      <c r="D74" s="127"/>
      <c r="E74" s="126"/>
      <c r="G74" s="126"/>
      <c r="H74" s="126"/>
      <c r="I74" s="126"/>
      <c r="J74" s="127"/>
      <c r="K74" s="126"/>
      <c r="L74" s="135"/>
      <c r="M74" s="126"/>
      <c r="N74" s="127"/>
      <c r="O74" s="127"/>
      <c r="P74" s="127"/>
      <c r="Q74" s="137"/>
      <c r="R74" s="130"/>
      <c r="S74" s="131"/>
      <c r="T74" s="130"/>
      <c r="U74" s="131"/>
      <c r="V74" s="130"/>
      <c r="W74" s="131"/>
      <c r="X74" s="130"/>
      <c r="Y74" s="131"/>
      <c r="Z74" s="130"/>
      <c r="AA74" s="131"/>
    </row>
    <row r="75" spans="1:27" x14ac:dyDescent="0.3">
      <c r="A75" s="126"/>
      <c r="B75" s="127"/>
      <c r="C75" s="127"/>
      <c r="D75" s="127"/>
      <c r="E75" s="126"/>
      <c r="G75" s="126"/>
      <c r="H75" s="126"/>
      <c r="I75" s="126"/>
      <c r="J75" s="127"/>
      <c r="K75" s="126"/>
      <c r="L75" s="135"/>
      <c r="M75" s="126"/>
      <c r="N75" s="127"/>
      <c r="O75" s="127"/>
      <c r="P75" s="127"/>
      <c r="Q75" s="137"/>
      <c r="R75" s="130"/>
      <c r="S75" s="131"/>
      <c r="T75" s="130"/>
      <c r="U75" s="131"/>
      <c r="V75" s="130"/>
      <c r="W75" s="131"/>
      <c r="X75" s="130"/>
      <c r="Y75" s="131"/>
      <c r="Z75" s="130"/>
      <c r="AA75" s="131"/>
    </row>
    <row r="76" spans="1:27" x14ac:dyDescent="0.3">
      <c r="A76" s="126"/>
      <c r="B76" s="127"/>
      <c r="C76" s="127"/>
      <c r="D76" s="127"/>
      <c r="E76" s="126"/>
      <c r="G76" s="126"/>
      <c r="H76" s="126"/>
      <c r="I76" s="126"/>
      <c r="J76" s="127"/>
      <c r="K76" s="126"/>
      <c r="L76" s="135"/>
      <c r="M76" s="126"/>
      <c r="N76" s="127"/>
      <c r="O76" s="127"/>
      <c r="P76" s="127"/>
      <c r="Q76" s="137"/>
      <c r="R76" s="130"/>
      <c r="S76" s="131"/>
      <c r="T76" s="130"/>
      <c r="U76" s="131"/>
      <c r="V76" s="130"/>
      <c r="W76" s="131"/>
      <c r="X76" s="130"/>
      <c r="Y76" s="131"/>
      <c r="Z76" s="130"/>
      <c r="AA76" s="131"/>
    </row>
    <row r="77" spans="1:27" x14ac:dyDescent="0.3">
      <c r="A77" s="126"/>
      <c r="B77" s="127"/>
      <c r="C77" s="127"/>
      <c r="D77" s="127"/>
      <c r="E77" s="126"/>
      <c r="G77" s="126"/>
      <c r="H77" s="126"/>
      <c r="I77" s="126"/>
      <c r="J77" s="127"/>
      <c r="K77" s="126"/>
      <c r="L77" s="135"/>
      <c r="M77" s="126"/>
      <c r="N77" s="127"/>
      <c r="O77" s="127"/>
      <c r="P77" s="127"/>
      <c r="Q77" s="137"/>
      <c r="R77" s="130"/>
      <c r="S77" s="131"/>
      <c r="T77" s="130"/>
      <c r="U77" s="131"/>
      <c r="V77" s="130"/>
      <c r="W77" s="131"/>
      <c r="X77" s="130"/>
      <c r="Y77" s="131"/>
      <c r="Z77" s="130"/>
      <c r="AA77" s="131"/>
    </row>
    <row r="78" spans="1:27" x14ac:dyDescent="0.3">
      <c r="A78" s="126"/>
      <c r="B78" s="127"/>
      <c r="C78" s="127"/>
      <c r="D78" s="127"/>
      <c r="E78" s="126"/>
      <c r="G78" s="126"/>
      <c r="H78" s="126"/>
      <c r="I78" s="126"/>
      <c r="J78" s="127"/>
      <c r="K78" s="126"/>
      <c r="L78" s="135"/>
      <c r="M78" s="126"/>
      <c r="N78" s="127"/>
      <c r="O78" s="127"/>
      <c r="P78" s="127"/>
      <c r="Q78" s="137"/>
      <c r="R78" s="130"/>
      <c r="S78" s="131"/>
      <c r="T78" s="130"/>
      <c r="U78" s="131"/>
      <c r="V78" s="130"/>
      <c r="W78" s="131"/>
      <c r="X78" s="130"/>
      <c r="Y78" s="131"/>
      <c r="Z78" s="130"/>
      <c r="AA78" s="131"/>
    </row>
    <row r="79" spans="1:27" x14ac:dyDescent="0.3">
      <c r="A79" s="126"/>
      <c r="B79" s="127"/>
      <c r="C79" s="127"/>
      <c r="D79" s="127"/>
      <c r="E79" s="126"/>
      <c r="G79" s="126"/>
      <c r="H79" s="126"/>
      <c r="I79" s="126"/>
      <c r="J79" s="127"/>
      <c r="K79" s="126"/>
      <c r="L79" s="135"/>
      <c r="M79" s="126"/>
      <c r="N79" s="127"/>
      <c r="O79" s="127"/>
      <c r="P79" s="127"/>
      <c r="Q79" s="137"/>
      <c r="R79" s="130"/>
      <c r="S79" s="131"/>
      <c r="T79" s="130"/>
      <c r="U79" s="131"/>
      <c r="V79" s="130"/>
      <c r="W79" s="131"/>
      <c r="X79" s="130"/>
      <c r="Y79" s="131"/>
      <c r="Z79" s="130"/>
      <c r="AA79" s="131"/>
    </row>
    <row r="80" spans="1:27" x14ac:dyDescent="0.3">
      <c r="A80" s="126"/>
      <c r="B80" s="127"/>
      <c r="C80" s="127"/>
      <c r="D80" s="127"/>
      <c r="E80" s="126"/>
      <c r="G80" s="126"/>
      <c r="H80" s="126"/>
      <c r="I80" s="126"/>
      <c r="J80" s="127"/>
      <c r="K80" s="126"/>
      <c r="L80" s="135"/>
      <c r="M80" s="126"/>
      <c r="N80" s="127"/>
      <c r="O80" s="127"/>
      <c r="P80" s="127"/>
      <c r="Q80" s="137"/>
      <c r="R80" s="130"/>
      <c r="S80" s="131"/>
      <c r="T80" s="130"/>
      <c r="U80" s="131"/>
      <c r="V80" s="130"/>
      <c r="W80" s="131"/>
      <c r="X80" s="130"/>
      <c r="Y80" s="131"/>
      <c r="Z80" s="130"/>
      <c r="AA80" s="131"/>
    </row>
    <row r="81" spans="1:27" x14ac:dyDescent="0.3">
      <c r="A81" s="126"/>
      <c r="B81" s="127"/>
      <c r="C81" s="127"/>
      <c r="D81" s="127"/>
      <c r="E81" s="126"/>
      <c r="G81" s="126"/>
      <c r="H81" s="126"/>
      <c r="I81" s="126"/>
      <c r="J81" s="127"/>
      <c r="K81" s="126"/>
      <c r="L81" s="135"/>
      <c r="M81" s="126"/>
      <c r="N81" s="127"/>
      <c r="O81" s="127"/>
      <c r="P81" s="127"/>
      <c r="Q81" s="137"/>
      <c r="R81" s="130"/>
      <c r="S81" s="131"/>
      <c r="T81" s="130"/>
      <c r="U81" s="131"/>
      <c r="V81" s="130"/>
      <c r="W81" s="131"/>
      <c r="X81" s="130"/>
      <c r="Y81" s="131"/>
      <c r="Z81" s="130"/>
      <c r="AA81" s="131"/>
    </row>
    <row r="82" spans="1:27" x14ac:dyDescent="0.3">
      <c r="A82" s="126"/>
      <c r="B82" s="127"/>
      <c r="C82" s="127"/>
      <c r="D82" s="127"/>
      <c r="E82" s="126"/>
      <c r="G82" s="126"/>
      <c r="H82" s="126"/>
      <c r="I82" s="126"/>
      <c r="J82" s="127"/>
      <c r="K82" s="126"/>
      <c r="L82" s="135"/>
      <c r="M82" s="126"/>
      <c r="N82" s="127"/>
      <c r="O82" s="127"/>
      <c r="P82" s="127"/>
      <c r="Q82" s="137"/>
      <c r="R82" s="130"/>
      <c r="S82" s="131"/>
      <c r="T82" s="130"/>
      <c r="U82" s="131"/>
      <c r="V82" s="130"/>
      <c r="W82" s="131"/>
      <c r="X82" s="130"/>
      <c r="Y82" s="131"/>
      <c r="Z82" s="130"/>
      <c r="AA82" s="131"/>
    </row>
    <row r="83" spans="1:27" x14ac:dyDescent="0.3">
      <c r="A83" s="126"/>
      <c r="B83" s="127"/>
      <c r="C83" s="127"/>
      <c r="D83" s="127"/>
      <c r="E83" s="126"/>
      <c r="G83" s="126"/>
      <c r="H83" s="126"/>
      <c r="I83" s="126"/>
      <c r="J83" s="127"/>
      <c r="K83" s="126"/>
      <c r="L83" s="135"/>
      <c r="M83" s="126"/>
      <c r="N83" s="127"/>
      <c r="O83" s="127"/>
      <c r="P83" s="127"/>
      <c r="Q83" s="137"/>
      <c r="R83" s="130"/>
      <c r="S83" s="131"/>
      <c r="T83" s="130"/>
      <c r="U83" s="131"/>
      <c r="V83" s="130"/>
      <c r="W83" s="131"/>
      <c r="X83" s="130"/>
      <c r="Y83" s="131"/>
      <c r="Z83" s="130"/>
      <c r="AA83" s="131"/>
    </row>
    <row r="84" spans="1:27" x14ac:dyDescent="0.3">
      <c r="A84" s="126"/>
      <c r="B84" s="127"/>
      <c r="C84" s="127"/>
      <c r="D84" s="127"/>
      <c r="E84" s="126"/>
      <c r="G84" s="126"/>
      <c r="H84" s="126"/>
      <c r="I84" s="126"/>
      <c r="J84" s="127"/>
      <c r="K84" s="126"/>
      <c r="L84" s="135"/>
      <c r="M84" s="126"/>
      <c r="N84" s="127"/>
      <c r="O84" s="127"/>
      <c r="P84" s="127"/>
      <c r="Q84" s="137"/>
      <c r="R84" s="130"/>
      <c r="S84" s="131"/>
      <c r="T84" s="130"/>
      <c r="U84" s="131"/>
      <c r="V84" s="130"/>
      <c r="W84" s="131"/>
      <c r="X84" s="130"/>
      <c r="Y84" s="131"/>
      <c r="Z84" s="130"/>
      <c r="AA84" s="131"/>
    </row>
    <row r="85" spans="1:27" x14ac:dyDescent="0.3">
      <c r="A85" s="126"/>
      <c r="B85" s="127"/>
      <c r="C85" s="127"/>
      <c r="D85" s="127"/>
      <c r="E85" s="126"/>
      <c r="G85" s="126"/>
      <c r="H85" s="126"/>
      <c r="I85" s="126"/>
      <c r="J85" s="127"/>
      <c r="K85" s="126"/>
      <c r="L85" s="135"/>
      <c r="M85" s="126"/>
      <c r="N85" s="127"/>
      <c r="O85" s="127"/>
      <c r="P85" s="127"/>
      <c r="Q85" s="137"/>
      <c r="R85" s="130"/>
      <c r="S85" s="131"/>
      <c r="T85" s="130"/>
      <c r="U85" s="131"/>
      <c r="V85" s="130"/>
      <c r="W85" s="131"/>
      <c r="X85" s="130"/>
      <c r="Y85" s="131"/>
      <c r="Z85" s="130"/>
      <c r="AA85" s="131"/>
    </row>
    <row r="86" spans="1:27" x14ac:dyDescent="0.3">
      <c r="A86" s="126"/>
      <c r="B86" s="127"/>
      <c r="C86" s="127"/>
      <c r="D86" s="127"/>
      <c r="E86" s="126"/>
      <c r="G86" s="126"/>
      <c r="H86" s="126"/>
      <c r="I86" s="126"/>
      <c r="J86" s="127"/>
      <c r="K86" s="126"/>
      <c r="L86" s="135"/>
      <c r="M86" s="126"/>
      <c r="N86" s="127"/>
      <c r="O86" s="127"/>
      <c r="P86" s="127"/>
      <c r="Q86" s="137"/>
      <c r="R86" s="130"/>
      <c r="S86" s="131"/>
      <c r="T86" s="130"/>
      <c r="U86" s="131"/>
      <c r="V86" s="130"/>
      <c r="W86" s="131"/>
      <c r="X86" s="130"/>
      <c r="Y86" s="131"/>
      <c r="Z86" s="130"/>
      <c r="AA86" s="131"/>
    </row>
    <row r="87" spans="1:27" x14ac:dyDescent="0.3">
      <c r="A87" s="126"/>
      <c r="B87" s="127"/>
      <c r="C87" s="127"/>
      <c r="D87" s="127"/>
      <c r="E87" s="126"/>
      <c r="G87" s="126"/>
      <c r="H87" s="126"/>
      <c r="I87" s="126"/>
      <c r="J87" s="127"/>
      <c r="K87" s="126"/>
      <c r="L87" s="135"/>
      <c r="M87" s="126"/>
      <c r="N87" s="127"/>
      <c r="O87" s="127"/>
      <c r="P87" s="127"/>
      <c r="Q87" s="137"/>
      <c r="R87" s="130"/>
      <c r="S87" s="131"/>
      <c r="T87" s="130"/>
      <c r="U87" s="131"/>
      <c r="V87" s="130"/>
      <c r="W87" s="131"/>
      <c r="X87" s="130"/>
      <c r="Y87" s="131"/>
      <c r="Z87" s="130"/>
      <c r="AA87" s="131"/>
    </row>
    <row r="88" spans="1:27" x14ac:dyDescent="0.3">
      <c r="A88" s="126"/>
      <c r="B88" s="127"/>
      <c r="C88" s="127"/>
      <c r="D88" s="127"/>
      <c r="E88" s="126"/>
      <c r="G88" s="126"/>
      <c r="H88" s="126"/>
      <c r="I88" s="126"/>
      <c r="J88" s="127"/>
      <c r="K88" s="126"/>
      <c r="L88" s="135"/>
      <c r="M88" s="126"/>
      <c r="N88" s="127"/>
      <c r="O88" s="127"/>
      <c r="P88" s="127"/>
      <c r="Q88" s="137"/>
      <c r="R88" s="130"/>
      <c r="S88" s="131"/>
      <c r="T88" s="130"/>
      <c r="U88" s="131"/>
      <c r="V88" s="130"/>
      <c r="W88" s="131"/>
      <c r="X88" s="130"/>
      <c r="Y88" s="131"/>
      <c r="Z88" s="130"/>
      <c r="AA88" s="131"/>
    </row>
    <row r="89" spans="1:27" x14ac:dyDescent="0.3">
      <c r="A89" s="126"/>
      <c r="B89" s="127"/>
      <c r="C89" s="127"/>
      <c r="D89" s="127"/>
      <c r="E89" s="126"/>
      <c r="G89" s="126"/>
      <c r="H89" s="126"/>
      <c r="I89" s="126"/>
      <c r="J89" s="127"/>
      <c r="K89" s="126"/>
      <c r="L89" s="135"/>
      <c r="M89" s="126"/>
      <c r="N89" s="127"/>
      <c r="O89" s="127"/>
      <c r="P89" s="127"/>
      <c r="Q89" s="137"/>
      <c r="R89" s="130"/>
      <c r="S89" s="131"/>
      <c r="T89" s="130"/>
      <c r="U89" s="131"/>
      <c r="V89" s="130"/>
      <c r="W89" s="131"/>
      <c r="X89" s="130"/>
      <c r="Y89" s="131"/>
      <c r="Z89" s="130"/>
      <c r="AA89" s="131"/>
    </row>
    <row r="90" spans="1:27" x14ac:dyDescent="0.3">
      <c r="A90" s="126"/>
      <c r="B90" s="127"/>
      <c r="C90" s="127"/>
      <c r="D90" s="127"/>
      <c r="E90" s="126"/>
      <c r="G90" s="126"/>
      <c r="H90" s="126"/>
      <c r="I90" s="126"/>
      <c r="J90" s="127"/>
      <c r="K90" s="126"/>
      <c r="L90" s="135"/>
      <c r="M90" s="126"/>
      <c r="N90" s="127"/>
      <c r="O90" s="127"/>
      <c r="P90" s="127"/>
      <c r="Q90" s="137"/>
      <c r="R90" s="130"/>
      <c r="S90" s="131"/>
      <c r="T90" s="130"/>
      <c r="U90" s="131"/>
      <c r="V90" s="130"/>
      <c r="W90" s="131"/>
      <c r="X90" s="130"/>
      <c r="Y90" s="131"/>
      <c r="Z90" s="130"/>
      <c r="AA90" s="131"/>
    </row>
    <row r="91" spans="1:27" x14ac:dyDescent="0.3">
      <c r="A91" s="126"/>
      <c r="B91" s="127"/>
      <c r="C91" s="127"/>
      <c r="D91" s="127"/>
      <c r="E91" s="126"/>
      <c r="G91" s="126"/>
      <c r="H91" s="126"/>
      <c r="I91" s="126"/>
      <c r="J91" s="127"/>
      <c r="K91" s="126"/>
      <c r="L91" s="135"/>
      <c r="M91" s="126"/>
      <c r="N91" s="127"/>
      <c r="O91" s="127"/>
      <c r="P91" s="127"/>
      <c r="Q91" s="137"/>
      <c r="R91" s="130"/>
      <c r="S91" s="131"/>
      <c r="T91" s="130"/>
      <c r="U91" s="131"/>
      <c r="V91" s="130"/>
      <c r="W91" s="131"/>
      <c r="X91" s="130"/>
      <c r="Y91" s="131"/>
      <c r="Z91" s="130"/>
      <c r="AA91" s="131"/>
    </row>
    <row r="92" spans="1:27" x14ac:dyDescent="0.3">
      <c r="A92" s="126"/>
      <c r="B92" s="127"/>
      <c r="C92" s="127"/>
      <c r="D92" s="127"/>
      <c r="E92" s="126"/>
      <c r="G92" s="126"/>
      <c r="H92" s="126"/>
      <c r="I92" s="126"/>
      <c r="J92" s="127"/>
      <c r="K92" s="126"/>
      <c r="L92" s="135"/>
      <c r="M92" s="126"/>
      <c r="N92" s="127"/>
      <c r="O92" s="127"/>
      <c r="P92" s="127"/>
      <c r="Q92" s="137"/>
      <c r="R92" s="130"/>
      <c r="S92" s="131"/>
      <c r="T92" s="130"/>
      <c r="U92" s="131"/>
      <c r="V92" s="130"/>
      <c r="W92" s="131"/>
      <c r="X92" s="130"/>
      <c r="Y92" s="131"/>
      <c r="Z92" s="130"/>
      <c r="AA92" s="131"/>
    </row>
    <row r="93" spans="1:27" x14ac:dyDescent="0.3">
      <c r="A93" s="126"/>
      <c r="B93" s="127"/>
      <c r="C93" s="127"/>
      <c r="D93" s="127"/>
      <c r="E93" s="126"/>
      <c r="G93" s="126"/>
      <c r="H93" s="126"/>
      <c r="I93" s="126"/>
      <c r="J93" s="127"/>
      <c r="K93" s="126"/>
      <c r="L93" s="135"/>
      <c r="M93" s="126"/>
      <c r="N93" s="127"/>
      <c r="O93" s="127"/>
      <c r="P93" s="127"/>
      <c r="Q93" s="137"/>
      <c r="R93" s="130"/>
      <c r="S93" s="131"/>
      <c r="T93" s="130"/>
      <c r="U93" s="131"/>
      <c r="V93" s="130"/>
      <c r="W93" s="131"/>
      <c r="X93" s="130"/>
      <c r="Y93" s="131"/>
      <c r="Z93" s="130"/>
      <c r="AA93" s="131"/>
    </row>
    <row r="94" spans="1:27" x14ac:dyDescent="0.3">
      <c r="A94" s="126"/>
      <c r="B94" s="127"/>
      <c r="C94" s="127"/>
      <c r="D94" s="127"/>
      <c r="E94" s="126"/>
      <c r="G94" s="126"/>
      <c r="H94" s="126"/>
      <c r="I94" s="126"/>
      <c r="J94" s="127"/>
      <c r="K94" s="126"/>
      <c r="L94" s="135"/>
      <c r="M94" s="126"/>
      <c r="N94" s="127"/>
      <c r="O94" s="127"/>
      <c r="P94" s="127"/>
      <c r="Q94" s="137"/>
      <c r="R94" s="130"/>
      <c r="S94" s="131"/>
      <c r="T94" s="130"/>
      <c r="U94" s="131"/>
      <c r="V94" s="130"/>
      <c r="W94" s="131"/>
      <c r="X94" s="130"/>
      <c r="Y94" s="131"/>
      <c r="Z94" s="130"/>
      <c r="AA94" s="131"/>
    </row>
    <row r="95" spans="1:27" x14ac:dyDescent="0.3">
      <c r="A95" s="126"/>
      <c r="B95" s="127"/>
      <c r="C95" s="127"/>
      <c r="D95" s="127"/>
      <c r="E95" s="126"/>
      <c r="G95" s="126"/>
      <c r="H95" s="126"/>
      <c r="I95" s="126"/>
      <c r="J95" s="127"/>
      <c r="K95" s="126"/>
      <c r="L95" s="135"/>
      <c r="M95" s="126"/>
      <c r="N95" s="127"/>
      <c r="O95" s="127"/>
      <c r="P95" s="127"/>
      <c r="Q95" s="137"/>
      <c r="R95" s="130"/>
      <c r="S95" s="131"/>
      <c r="T95" s="130"/>
      <c r="U95" s="131"/>
      <c r="V95" s="130"/>
      <c r="W95" s="131"/>
      <c r="X95" s="130"/>
      <c r="Y95" s="131"/>
      <c r="Z95" s="130"/>
      <c r="AA95" s="131"/>
    </row>
    <row r="96" spans="1:27" x14ac:dyDescent="0.3">
      <c r="A96" s="126"/>
      <c r="B96" s="127"/>
      <c r="C96" s="127"/>
      <c r="D96" s="127"/>
      <c r="E96" s="126"/>
      <c r="G96" s="126"/>
      <c r="H96" s="126"/>
      <c r="I96" s="126"/>
      <c r="J96" s="127"/>
      <c r="K96" s="126"/>
      <c r="L96" s="135"/>
      <c r="M96" s="126"/>
      <c r="N96" s="127"/>
      <c r="O96" s="127"/>
      <c r="P96" s="127"/>
      <c r="Q96" s="137"/>
      <c r="R96" s="130"/>
      <c r="S96" s="131"/>
      <c r="T96" s="130"/>
      <c r="U96" s="131"/>
      <c r="V96" s="130"/>
      <c r="W96" s="131"/>
      <c r="X96" s="130"/>
      <c r="Y96" s="131"/>
      <c r="Z96" s="130"/>
      <c r="AA96" s="131"/>
    </row>
    <row r="97" spans="1:27" x14ac:dyDescent="0.3">
      <c r="A97" s="126"/>
      <c r="B97" s="127"/>
      <c r="C97" s="127"/>
      <c r="D97" s="127"/>
      <c r="E97" s="126"/>
      <c r="G97" s="126"/>
      <c r="H97" s="126"/>
      <c r="I97" s="126"/>
      <c r="J97" s="127"/>
      <c r="K97" s="126"/>
      <c r="L97" s="135"/>
      <c r="M97" s="126"/>
      <c r="N97" s="127"/>
      <c r="O97" s="127"/>
      <c r="P97" s="127"/>
      <c r="Q97" s="137"/>
      <c r="R97" s="130"/>
      <c r="S97" s="131"/>
      <c r="T97" s="130"/>
      <c r="U97" s="131"/>
      <c r="V97" s="130"/>
      <c r="W97" s="131"/>
      <c r="X97" s="130"/>
      <c r="Y97" s="131"/>
      <c r="Z97" s="130"/>
      <c r="AA97" s="131"/>
    </row>
    <row r="98" spans="1:27" x14ac:dyDescent="0.3">
      <c r="A98" s="126"/>
      <c r="B98" s="127"/>
      <c r="C98" s="127"/>
      <c r="D98" s="127"/>
      <c r="E98" s="126"/>
      <c r="G98" s="126"/>
      <c r="H98" s="126"/>
      <c r="I98" s="126"/>
      <c r="J98" s="127"/>
      <c r="K98" s="126"/>
      <c r="L98" s="135"/>
      <c r="M98" s="126"/>
      <c r="N98" s="127"/>
      <c r="O98" s="127"/>
      <c r="P98" s="127"/>
      <c r="Q98" s="137"/>
      <c r="R98" s="130"/>
      <c r="S98" s="131"/>
      <c r="T98" s="130"/>
      <c r="U98" s="131"/>
      <c r="V98" s="130"/>
      <c r="W98" s="131"/>
      <c r="X98" s="130"/>
      <c r="Y98" s="131"/>
      <c r="Z98" s="130"/>
      <c r="AA98" s="131"/>
    </row>
    <row r="99" spans="1:27" x14ac:dyDescent="0.3">
      <c r="A99" s="126"/>
      <c r="B99" s="127"/>
      <c r="C99" s="127"/>
      <c r="D99" s="127"/>
      <c r="E99" s="126"/>
      <c r="G99" s="126"/>
      <c r="H99" s="126"/>
      <c r="I99" s="126"/>
      <c r="J99" s="127"/>
      <c r="K99" s="126"/>
      <c r="L99" s="135"/>
      <c r="M99" s="126"/>
      <c r="N99" s="127"/>
      <c r="O99" s="127"/>
      <c r="P99" s="127"/>
      <c r="Q99" s="137"/>
      <c r="R99" s="130"/>
      <c r="S99" s="131"/>
      <c r="T99" s="130"/>
      <c r="U99" s="131"/>
      <c r="V99" s="130"/>
      <c r="W99" s="131"/>
      <c r="X99" s="130"/>
      <c r="Y99" s="131"/>
      <c r="Z99" s="130"/>
      <c r="AA99" s="131"/>
    </row>
    <row r="100" spans="1:27" x14ac:dyDescent="0.3">
      <c r="A100" s="126"/>
      <c r="B100" s="127"/>
      <c r="C100" s="127"/>
      <c r="D100" s="127"/>
      <c r="E100" s="126"/>
      <c r="G100" s="126"/>
      <c r="H100" s="126"/>
      <c r="I100" s="126"/>
      <c r="J100" s="127"/>
      <c r="K100" s="126"/>
      <c r="L100" s="135"/>
      <c r="M100" s="126"/>
      <c r="N100" s="127"/>
      <c r="O100" s="127"/>
      <c r="P100" s="127"/>
      <c r="Q100" s="137"/>
      <c r="R100" s="130"/>
      <c r="S100" s="131"/>
      <c r="T100" s="130"/>
      <c r="U100" s="131"/>
      <c r="V100" s="130"/>
      <c r="W100" s="131"/>
      <c r="X100" s="130"/>
      <c r="Y100" s="131"/>
      <c r="Z100" s="130"/>
      <c r="AA100" s="131"/>
    </row>
    <row r="101" spans="1:27" x14ac:dyDescent="0.3">
      <c r="A101" s="126"/>
      <c r="B101" s="127"/>
      <c r="C101" s="127"/>
      <c r="D101" s="127"/>
      <c r="E101" s="126"/>
      <c r="G101" s="126"/>
      <c r="H101" s="126"/>
      <c r="I101" s="126"/>
      <c r="J101" s="127"/>
      <c r="K101" s="126"/>
      <c r="L101" s="135"/>
      <c r="M101" s="126"/>
      <c r="N101" s="127"/>
      <c r="O101" s="127"/>
      <c r="P101" s="127"/>
      <c r="Q101" s="137"/>
      <c r="R101" s="130"/>
      <c r="S101" s="131"/>
      <c r="T101" s="130"/>
      <c r="U101" s="131"/>
      <c r="V101" s="130"/>
      <c r="W101" s="131"/>
      <c r="X101" s="130"/>
      <c r="Y101" s="131"/>
      <c r="Z101" s="130"/>
      <c r="AA101" s="131"/>
    </row>
    <row r="102" spans="1:27" x14ac:dyDescent="0.3">
      <c r="A102" s="126"/>
      <c r="B102" s="127"/>
      <c r="C102" s="127"/>
      <c r="D102" s="127"/>
      <c r="E102" s="126"/>
      <c r="G102" s="126"/>
      <c r="H102" s="126"/>
      <c r="I102" s="126"/>
      <c r="J102" s="127"/>
      <c r="K102" s="126"/>
      <c r="L102" s="135"/>
      <c r="M102" s="126"/>
      <c r="N102" s="127"/>
      <c r="O102" s="127"/>
      <c r="P102" s="127"/>
      <c r="Q102" s="137"/>
      <c r="R102" s="130"/>
      <c r="S102" s="131"/>
      <c r="T102" s="130"/>
      <c r="U102" s="131"/>
      <c r="V102" s="130"/>
      <c r="W102" s="131"/>
      <c r="X102" s="130"/>
      <c r="Y102" s="131"/>
      <c r="Z102" s="130"/>
      <c r="AA102" s="131"/>
    </row>
    <row r="103" spans="1:27" x14ac:dyDescent="0.3">
      <c r="A103" s="126"/>
      <c r="B103" s="127"/>
      <c r="C103" s="127"/>
      <c r="D103" s="127"/>
      <c r="E103" s="126"/>
      <c r="G103" s="126"/>
      <c r="H103" s="126"/>
      <c r="I103" s="126"/>
      <c r="J103" s="127"/>
      <c r="K103" s="126"/>
      <c r="L103" s="135"/>
      <c r="M103" s="126"/>
      <c r="N103" s="127"/>
      <c r="O103" s="127"/>
      <c r="P103" s="127"/>
      <c r="Q103" s="137"/>
      <c r="R103" s="130"/>
      <c r="S103" s="131"/>
      <c r="T103" s="130"/>
      <c r="U103" s="131"/>
      <c r="V103" s="130"/>
      <c r="W103" s="131"/>
      <c r="X103" s="130"/>
      <c r="Y103" s="131"/>
      <c r="Z103" s="130"/>
      <c r="AA103" s="131"/>
    </row>
    <row r="104" spans="1:27" x14ac:dyDescent="0.3">
      <c r="A104" s="126"/>
      <c r="B104" s="127"/>
      <c r="C104" s="127"/>
      <c r="D104" s="127"/>
      <c r="E104" s="126"/>
      <c r="G104" s="126"/>
      <c r="H104" s="126"/>
      <c r="I104" s="126"/>
      <c r="J104" s="127"/>
      <c r="K104" s="126"/>
      <c r="L104" s="135"/>
      <c r="M104" s="126"/>
      <c r="N104" s="127"/>
      <c r="O104" s="127"/>
      <c r="P104" s="127"/>
      <c r="Q104" s="137"/>
      <c r="R104" s="130"/>
      <c r="S104" s="131"/>
      <c r="T104" s="130"/>
      <c r="U104" s="131"/>
      <c r="V104" s="130"/>
      <c r="W104" s="131"/>
      <c r="X104" s="130"/>
      <c r="Y104" s="131"/>
      <c r="Z104" s="130"/>
      <c r="AA104" s="131"/>
    </row>
    <row r="105" spans="1:27" x14ac:dyDescent="0.3">
      <c r="A105" s="126"/>
      <c r="B105" s="127"/>
      <c r="C105" s="127"/>
      <c r="D105" s="127"/>
      <c r="E105" s="126"/>
      <c r="G105" s="126"/>
      <c r="H105" s="126"/>
      <c r="I105" s="126"/>
      <c r="J105" s="127"/>
      <c r="K105" s="126"/>
      <c r="L105" s="135"/>
      <c r="M105" s="126"/>
      <c r="N105" s="127"/>
      <c r="O105" s="127"/>
      <c r="P105" s="127"/>
      <c r="Q105" s="137"/>
      <c r="R105" s="130"/>
      <c r="S105" s="131"/>
      <c r="T105" s="130"/>
      <c r="U105" s="131"/>
      <c r="V105" s="130"/>
      <c r="W105" s="131"/>
      <c r="X105" s="130"/>
      <c r="Y105" s="131"/>
      <c r="Z105" s="130"/>
      <c r="AA105" s="131"/>
    </row>
    <row r="106" spans="1:27" x14ac:dyDescent="0.3">
      <c r="A106" s="126"/>
      <c r="B106" s="127"/>
      <c r="C106" s="127"/>
      <c r="D106" s="127"/>
      <c r="E106" s="126"/>
      <c r="G106" s="126"/>
      <c r="H106" s="126"/>
      <c r="I106" s="126"/>
      <c r="J106" s="127"/>
      <c r="K106" s="126"/>
      <c r="L106" s="135"/>
      <c r="M106" s="126"/>
      <c r="N106" s="127"/>
      <c r="O106" s="127"/>
      <c r="P106" s="127"/>
      <c r="Q106" s="137"/>
      <c r="R106" s="130"/>
      <c r="S106" s="131"/>
      <c r="T106" s="130"/>
      <c r="U106" s="131"/>
      <c r="V106" s="130"/>
      <c r="W106" s="131"/>
      <c r="X106" s="130"/>
      <c r="Y106" s="131"/>
      <c r="Z106" s="130"/>
      <c r="AA106" s="131"/>
    </row>
    <row r="107" spans="1:27" x14ac:dyDescent="0.3">
      <c r="A107" s="126"/>
      <c r="B107" s="127"/>
      <c r="C107" s="127"/>
      <c r="D107" s="127"/>
      <c r="E107" s="126"/>
      <c r="G107" s="126"/>
      <c r="H107" s="126"/>
      <c r="I107" s="126"/>
      <c r="J107" s="127"/>
      <c r="K107" s="126"/>
      <c r="L107" s="135"/>
      <c r="M107" s="126"/>
      <c r="N107" s="127"/>
      <c r="O107" s="127"/>
      <c r="P107" s="127"/>
      <c r="Q107" s="137"/>
      <c r="R107" s="130"/>
      <c r="S107" s="131"/>
      <c r="T107" s="130"/>
      <c r="U107" s="131"/>
      <c r="V107" s="130"/>
      <c r="W107" s="131"/>
      <c r="X107" s="130"/>
      <c r="Y107" s="131"/>
      <c r="Z107" s="130"/>
      <c r="AA107" s="131"/>
    </row>
    <row r="108" spans="1:27" x14ac:dyDescent="0.3">
      <c r="A108" s="126"/>
      <c r="B108" s="127"/>
      <c r="C108" s="127"/>
      <c r="D108" s="127"/>
      <c r="E108" s="126"/>
      <c r="G108" s="126"/>
      <c r="H108" s="126"/>
      <c r="I108" s="126"/>
      <c r="J108" s="127"/>
      <c r="K108" s="126"/>
      <c r="L108" s="135"/>
      <c r="M108" s="126"/>
      <c r="N108" s="127"/>
      <c r="O108" s="127"/>
      <c r="P108" s="127"/>
      <c r="Q108" s="137"/>
      <c r="R108" s="130"/>
      <c r="S108" s="131"/>
      <c r="T108" s="130"/>
      <c r="U108" s="131"/>
      <c r="V108" s="130"/>
      <c r="W108" s="131"/>
      <c r="X108" s="130"/>
      <c r="Y108" s="131"/>
      <c r="Z108" s="130"/>
      <c r="AA108" s="131"/>
    </row>
    <row r="109" spans="1:27" x14ac:dyDescent="0.3">
      <c r="A109" s="126"/>
      <c r="B109" s="127"/>
      <c r="C109" s="127"/>
      <c r="D109" s="127"/>
      <c r="E109" s="126"/>
      <c r="G109" s="126"/>
      <c r="H109" s="126"/>
      <c r="I109" s="126"/>
      <c r="J109" s="127"/>
      <c r="K109" s="126"/>
      <c r="L109" s="135"/>
      <c r="M109" s="126"/>
      <c r="N109" s="127"/>
      <c r="O109" s="127"/>
      <c r="P109" s="127"/>
      <c r="Q109" s="137"/>
      <c r="R109" s="130"/>
      <c r="S109" s="131"/>
      <c r="T109" s="130"/>
      <c r="U109" s="131"/>
      <c r="V109" s="130"/>
      <c r="W109" s="131"/>
      <c r="X109" s="130"/>
      <c r="Y109" s="131"/>
      <c r="Z109" s="130"/>
      <c r="AA109" s="131"/>
    </row>
    <row r="110" spans="1:27" x14ac:dyDescent="0.3">
      <c r="A110" s="126"/>
      <c r="B110" s="127"/>
      <c r="C110" s="127"/>
      <c r="D110" s="127"/>
      <c r="E110" s="126"/>
      <c r="G110" s="126"/>
      <c r="H110" s="126"/>
      <c r="I110" s="126"/>
      <c r="J110" s="127"/>
      <c r="K110" s="126"/>
      <c r="L110" s="135"/>
      <c r="M110" s="126"/>
      <c r="N110" s="127"/>
      <c r="O110" s="127"/>
      <c r="P110" s="127"/>
      <c r="Q110" s="137"/>
      <c r="R110" s="130"/>
      <c r="S110" s="131"/>
      <c r="T110" s="130"/>
      <c r="U110" s="131"/>
      <c r="V110" s="130"/>
      <c r="W110" s="131"/>
      <c r="X110" s="130"/>
      <c r="Y110" s="131"/>
      <c r="Z110" s="130"/>
      <c r="AA110" s="131"/>
    </row>
    <row r="111" spans="1:27" x14ac:dyDescent="0.3">
      <c r="A111" s="126"/>
      <c r="B111" s="127"/>
      <c r="C111" s="127"/>
      <c r="D111" s="127"/>
      <c r="E111" s="126"/>
      <c r="G111" s="126"/>
      <c r="H111" s="126"/>
      <c r="I111" s="126"/>
      <c r="J111" s="127"/>
      <c r="K111" s="126"/>
      <c r="L111" s="135"/>
      <c r="M111" s="126"/>
      <c r="N111" s="127"/>
      <c r="O111" s="127"/>
      <c r="P111" s="127"/>
      <c r="Q111" s="137"/>
      <c r="R111" s="130"/>
      <c r="S111" s="131"/>
      <c r="T111" s="130"/>
      <c r="U111" s="131"/>
      <c r="V111" s="130"/>
      <c r="W111" s="131"/>
      <c r="X111" s="130"/>
      <c r="Y111" s="131"/>
      <c r="Z111" s="130"/>
      <c r="AA111" s="131"/>
    </row>
    <row r="112" spans="1:27" x14ac:dyDescent="0.3">
      <c r="A112" s="126"/>
      <c r="B112" s="127"/>
      <c r="C112" s="127"/>
      <c r="D112" s="127"/>
      <c r="E112" s="126"/>
      <c r="G112" s="126"/>
      <c r="H112" s="126"/>
      <c r="I112" s="126"/>
      <c r="J112" s="127"/>
      <c r="K112" s="126"/>
      <c r="L112" s="135"/>
      <c r="M112" s="126"/>
      <c r="N112" s="127"/>
      <c r="O112" s="127"/>
      <c r="P112" s="127"/>
      <c r="Q112" s="137"/>
      <c r="R112" s="130"/>
      <c r="S112" s="131"/>
      <c r="T112" s="130"/>
      <c r="U112" s="131"/>
      <c r="V112" s="130"/>
      <c r="W112" s="131"/>
      <c r="X112" s="130"/>
      <c r="Y112" s="131"/>
      <c r="Z112" s="130"/>
      <c r="AA112" s="131"/>
    </row>
    <row r="113" spans="1:27" x14ac:dyDescent="0.3">
      <c r="A113" s="126"/>
      <c r="B113" s="127"/>
      <c r="C113" s="127"/>
      <c r="D113" s="127"/>
      <c r="E113" s="126"/>
      <c r="G113" s="126"/>
      <c r="H113" s="126"/>
      <c r="I113" s="126"/>
      <c r="J113" s="127"/>
      <c r="K113" s="126"/>
      <c r="L113" s="135"/>
      <c r="M113" s="126"/>
      <c r="N113" s="127"/>
      <c r="O113" s="127"/>
      <c r="P113" s="127"/>
      <c r="Q113" s="137"/>
      <c r="R113" s="130"/>
      <c r="S113" s="131"/>
      <c r="T113" s="130"/>
      <c r="U113" s="131"/>
      <c r="V113" s="130"/>
      <c r="W113" s="131"/>
      <c r="X113" s="130"/>
      <c r="Y113" s="131"/>
      <c r="Z113" s="130"/>
      <c r="AA113" s="131"/>
    </row>
    <row r="114" spans="1:27" x14ac:dyDescent="0.3">
      <c r="A114" s="126"/>
      <c r="B114" s="127"/>
      <c r="C114" s="127"/>
      <c r="D114" s="127"/>
      <c r="E114" s="126"/>
      <c r="G114" s="126"/>
      <c r="H114" s="126"/>
      <c r="I114" s="126"/>
      <c r="J114" s="127"/>
      <c r="K114" s="126"/>
      <c r="L114" s="135"/>
      <c r="M114" s="126"/>
      <c r="N114" s="127"/>
      <c r="O114" s="127"/>
      <c r="P114" s="127"/>
      <c r="Q114" s="137"/>
      <c r="R114" s="130"/>
      <c r="S114" s="131"/>
      <c r="T114" s="130"/>
      <c r="U114" s="131"/>
      <c r="V114" s="130"/>
      <c r="W114" s="131"/>
      <c r="X114" s="130"/>
      <c r="Y114" s="131"/>
      <c r="Z114" s="130"/>
      <c r="AA114" s="131"/>
    </row>
    <row r="115" spans="1:27" x14ac:dyDescent="0.3">
      <c r="A115" s="126"/>
      <c r="B115" s="127"/>
      <c r="C115" s="127"/>
      <c r="D115" s="127"/>
      <c r="E115" s="126"/>
      <c r="G115" s="126"/>
      <c r="H115" s="126"/>
      <c r="I115" s="126"/>
      <c r="J115" s="127"/>
      <c r="K115" s="126"/>
      <c r="L115" s="135"/>
      <c r="M115" s="126"/>
      <c r="N115" s="127"/>
      <c r="O115" s="127"/>
      <c r="P115" s="127"/>
      <c r="Q115" s="137"/>
      <c r="R115" s="130"/>
      <c r="S115" s="131"/>
      <c r="T115" s="130"/>
      <c r="U115" s="131"/>
      <c r="V115" s="130"/>
      <c r="W115" s="131"/>
      <c r="X115" s="130"/>
      <c r="Y115" s="131"/>
      <c r="Z115" s="130"/>
      <c r="AA115" s="131"/>
    </row>
    <row r="116" spans="1:27" x14ac:dyDescent="0.3">
      <c r="A116" s="126"/>
      <c r="B116" s="127"/>
      <c r="C116" s="127"/>
      <c r="D116" s="127"/>
      <c r="E116" s="126"/>
      <c r="G116" s="126"/>
      <c r="H116" s="126"/>
      <c r="I116" s="126"/>
      <c r="J116" s="127"/>
      <c r="K116" s="126"/>
      <c r="L116" s="135"/>
      <c r="M116" s="126"/>
      <c r="N116" s="127"/>
      <c r="O116" s="127"/>
      <c r="P116" s="127"/>
      <c r="Q116" s="137"/>
      <c r="R116" s="130"/>
      <c r="S116" s="131"/>
      <c r="T116" s="130"/>
      <c r="U116" s="131"/>
      <c r="V116" s="130"/>
      <c r="W116" s="131"/>
      <c r="X116" s="130"/>
      <c r="Y116" s="131"/>
      <c r="Z116" s="130"/>
      <c r="AA116" s="131"/>
    </row>
    <row r="117" spans="1:27" x14ac:dyDescent="0.3">
      <c r="A117" s="126"/>
      <c r="B117" s="127"/>
      <c r="C117" s="127"/>
      <c r="D117" s="127"/>
      <c r="E117" s="126"/>
      <c r="G117" s="126"/>
      <c r="H117" s="126"/>
      <c r="I117" s="126"/>
      <c r="J117" s="127"/>
      <c r="K117" s="126"/>
      <c r="L117" s="135"/>
      <c r="M117" s="126"/>
      <c r="N117" s="127"/>
      <c r="O117" s="127"/>
      <c r="P117" s="127"/>
      <c r="Q117" s="137"/>
      <c r="R117" s="130"/>
      <c r="S117" s="131"/>
      <c r="T117" s="130"/>
      <c r="U117" s="131"/>
      <c r="V117" s="130"/>
      <c r="W117" s="131"/>
      <c r="X117" s="130"/>
      <c r="Y117" s="131"/>
      <c r="Z117" s="130"/>
      <c r="AA117" s="131"/>
    </row>
    <row r="118" spans="1:27" x14ac:dyDescent="0.3">
      <c r="A118" s="126"/>
      <c r="B118" s="127"/>
      <c r="C118" s="127"/>
      <c r="D118" s="127"/>
      <c r="E118" s="126"/>
      <c r="G118" s="126"/>
      <c r="H118" s="126"/>
      <c r="I118" s="126"/>
      <c r="J118" s="127"/>
      <c r="K118" s="126"/>
      <c r="L118" s="135"/>
      <c r="M118" s="126"/>
      <c r="N118" s="127"/>
      <c r="O118" s="127"/>
      <c r="P118" s="127"/>
      <c r="Q118" s="137"/>
      <c r="R118" s="130"/>
      <c r="S118" s="131"/>
      <c r="T118" s="130"/>
      <c r="U118" s="131"/>
      <c r="V118" s="130"/>
      <c r="W118" s="131"/>
      <c r="X118" s="130"/>
      <c r="Y118" s="131"/>
      <c r="Z118" s="130"/>
      <c r="AA118" s="131"/>
    </row>
    <row r="119" spans="1:27" x14ac:dyDescent="0.3">
      <c r="A119" s="126"/>
      <c r="B119" s="127"/>
      <c r="C119" s="127"/>
      <c r="D119" s="127"/>
      <c r="E119" s="126"/>
      <c r="G119" s="126"/>
      <c r="H119" s="126"/>
      <c r="I119" s="126"/>
      <c r="J119" s="127"/>
      <c r="K119" s="126"/>
      <c r="L119" s="135"/>
      <c r="M119" s="126"/>
      <c r="N119" s="127"/>
      <c r="O119" s="127"/>
      <c r="P119" s="127"/>
      <c r="Q119" s="137"/>
      <c r="R119" s="130"/>
      <c r="S119" s="131"/>
      <c r="T119" s="130"/>
      <c r="U119" s="131"/>
      <c r="V119" s="130"/>
      <c r="W119" s="131"/>
      <c r="X119" s="130"/>
      <c r="Y119" s="131"/>
      <c r="Z119" s="130"/>
      <c r="AA119" s="131"/>
    </row>
    <row r="120" spans="1:27" x14ac:dyDescent="0.3">
      <c r="A120" s="126"/>
      <c r="B120" s="127"/>
      <c r="C120" s="127"/>
      <c r="D120" s="127"/>
      <c r="E120" s="126"/>
      <c r="G120" s="126"/>
      <c r="H120" s="126"/>
      <c r="I120" s="126"/>
      <c r="J120" s="127"/>
      <c r="K120" s="126"/>
      <c r="L120" s="135"/>
      <c r="M120" s="126"/>
      <c r="N120" s="127"/>
      <c r="O120" s="127"/>
      <c r="P120" s="127"/>
      <c r="Q120" s="137"/>
      <c r="R120" s="130"/>
      <c r="S120" s="131"/>
      <c r="T120" s="130"/>
      <c r="U120" s="131"/>
      <c r="V120" s="130"/>
      <c r="W120" s="131"/>
      <c r="X120" s="130"/>
      <c r="Y120" s="131"/>
      <c r="Z120" s="130"/>
      <c r="AA120" s="131"/>
    </row>
    <row r="121" spans="1:27" x14ac:dyDescent="0.3">
      <c r="A121" s="126"/>
      <c r="B121" s="127"/>
      <c r="C121" s="127"/>
      <c r="D121" s="127"/>
      <c r="E121" s="126"/>
      <c r="G121" s="126"/>
      <c r="H121" s="126"/>
      <c r="I121" s="126"/>
      <c r="J121" s="127"/>
      <c r="K121" s="126"/>
      <c r="L121" s="135"/>
      <c r="M121" s="126"/>
      <c r="N121" s="127"/>
      <c r="O121" s="127"/>
      <c r="P121" s="127"/>
      <c r="Q121" s="137"/>
      <c r="R121" s="130"/>
      <c r="S121" s="131"/>
      <c r="T121" s="130"/>
      <c r="U121" s="131"/>
      <c r="V121" s="130"/>
      <c r="W121" s="131"/>
      <c r="X121" s="130"/>
      <c r="Y121" s="131"/>
      <c r="Z121" s="130"/>
      <c r="AA121" s="131"/>
    </row>
    <row r="122" spans="1:27" x14ac:dyDescent="0.3">
      <c r="A122" s="126"/>
      <c r="B122" s="127"/>
      <c r="C122" s="127"/>
      <c r="D122" s="127"/>
      <c r="E122" s="126"/>
      <c r="G122" s="126"/>
      <c r="H122" s="126"/>
      <c r="I122" s="126"/>
      <c r="J122" s="127"/>
      <c r="K122" s="126"/>
      <c r="L122" s="135"/>
      <c r="M122" s="126"/>
      <c r="N122" s="127"/>
      <c r="O122" s="127"/>
      <c r="P122" s="127"/>
      <c r="Q122" s="137"/>
      <c r="R122" s="130"/>
      <c r="S122" s="131"/>
      <c r="T122" s="130"/>
      <c r="U122" s="131"/>
      <c r="V122" s="130"/>
      <c r="W122" s="131"/>
      <c r="X122" s="130"/>
      <c r="Y122" s="131"/>
      <c r="Z122" s="130"/>
      <c r="AA122" s="131"/>
    </row>
    <row r="123" spans="1:27" x14ac:dyDescent="0.3">
      <c r="A123" s="126"/>
      <c r="B123" s="127"/>
      <c r="C123" s="127"/>
      <c r="D123" s="127"/>
      <c r="E123" s="126"/>
      <c r="G123" s="126"/>
      <c r="H123" s="126"/>
      <c r="I123" s="126"/>
      <c r="J123" s="127"/>
      <c r="K123" s="126"/>
      <c r="L123" s="135"/>
      <c r="M123" s="126"/>
      <c r="N123" s="127"/>
      <c r="O123" s="127"/>
      <c r="P123" s="127"/>
      <c r="Q123" s="137"/>
      <c r="R123" s="130"/>
      <c r="S123" s="131"/>
      <c r="T123" s="130"/>
      <c r="U123" s="131"/>
      <c r="V123" s="130"/>
      <c r="W123" s="131"/>
      <c r="X123" s="130"/>
      <c r="Y123" s="131"/>
      <c r="Z123" s="130"/>
      <c r="AA123" s="131"/>
    </row>
    <row r="124" spans="1:27" x14ac:dyDescent="0.3">
      <c r="A124" s="126"/>
      <c r="B124" s="127"/>
      <c r="C124" s="127"/>
      <c r="D124" s="127"/>
      <c r="E124" s="126"/>
      <c r="G124" s="126"/>
      <c r="H124" s="126"/>
      <c r="I124" s="126"/>
      <c r="J124" s="127"/>
      <c r="K124" s="126"/>
      <c r="L124" s="135"/>
      <c r="M124" s="126"/>
      <c r="N124" s="127"/>
      <c r="O124" s="127"/>
      <c r="P124" s="127"/>
      <c r="Q124" s="137"/>
      <c r="R124" s="130"/>
      <c r="S124" s="131"/>
      <c r="T124" s="130"/>
      <c r="U124" s="131"/>
      <c r="V124" s="130"/>
      <c r="W124" s="131"/>
      <c r="X124" s="130"/>
      <c r="Y124" s="131"/>
      <c r="Z124" s="130"/>
      <c r="AA124" s="131"/>
    </row>
    <row r="125" spans="1:27" x14ac:dyDescent="0.3">
      <c r="A125" s="126"/>
      <c r="B125" s="127"/>
      <c r="C125" s="127"/>
      <c r="D125" s="127"/>
      <c r="E125" s="126"/>
      <c r="G125" s="126"/>
      <c r="H125" s="126"/>
      <c r="I125" s="126"/>
      <c r="J125" s="127"/>
      <c r="K125" s="126"/>
      <c r="L125" s="135"/>
      <c r="M125" s="126"/>
      <c r="N125" s="127"/>
      <c r="O125" s="127"/>
      <c r="P125" s="127"/>
      <c r="Q125" s="137"/>
      <c r="R125" s="130"/>
      <c r="S125" s="131"/>
      <c r="T125" s="130"/>
      <c r="U125" s="131"/>
      <c r="V125" s="130"/>
      <c r="W125" s="131"/>
      <c r="X125" s="130"/>
      <c r="Y125" s="131"/>
      <c r="Z125" s="130"/>
      <c r="AA125" s="131"/>
    </row>
    <row r="126" spans="1:27" x14ac:dyDescent="0.3">
      <c r="A126" s="126"/>
      <c r="B126" s="127"/>
      <c r="C126" s="127"/>
      <c r="D126" s="127"/>
      <c r="E126" s="126"/>
      <c r="G126" s="126"/>
      <c r="H126" s="126"/>
      <c r="I126" s="126"/>
      <c r="J126" s="127"/>
      <c r="K126" s="126"/>
      <c r="L126" s="135"/>
      <c r="M126" s="126"/>
      <c r="N126" s="127"/>
      <c r="O126" s="127"/>
      <c r="P126" s="127"/>
      <c r="Q126" s="137"/>
      <c r="R126" s="130"/>
      <c r="S126" s="131"/>
      <c r="T126" s="130"/>
      <c r="U126" s="131"/>
      <c r="V126" s="130"/>
      <c r="W126" s="131"/>
      <c r="X126" s="130"/>
      <c r="Y126" s="131"/>
      <c r="Z126" s="130"/>
      <c r="AA126" s="131"/>
    </row>
    <row r="127" spans="1:27" x14ac:dyDescent="0.3">
      <c r="A127" s="126"/>
      <c r="B127" s="127"/>
      <c r="C127" s="127"/>
      <c r="D127" s="127"/>
      <c r="E127" s="126"/>
      <c r="G127" s="126"/>
      <c r="H127" s="126"/>
      <c r="I127" s="126"/>
      <c r="J127" s="127"/>
      <c r="K127" s="126"/>
      <c r="L127" s="135"/>
      <c r="M127" s="126"/>
      <c r="N127" s="127"/>
      <c r="O127" s="127"/>
      <c r="P127" s="127"/>
      <c r="Q127" s="137"/>
      <c r="R127" s="130"/>
      <c r="S127" s="131"/>
      <c r="T127" s="130"/>
      <c r="U127" s="131"/>
      <c r="V127" s="130"/>
      <c r="W127" s="131"/>
      <c r="X127" s="130"/>
      <c r="Y127" s="131"/>
      <c r="Z127" s="130"/>
      <c r="AA127" s="131"/>
    </row>
    <row r="128" spans="1:27" x14ac:dyDescent="0.3">
      <c r="A128" s="126"/>
      <c r="B128" s="127"/>
      <c r="C128" s="127"/>
      <c r="D128" s="127"/>
      <c r="E128" s="126"/>
      <c r="G128" s="126"/>
      <c r="H128" s="126"/>
      <c r="I128" s="126"/>
      <c r="J128" s="127"/>
      <c r="K128" s="126"/>
      <c r="L128" s="135"/>
      <c r="M128" s="126"/>
      <c r="N128" s="127"/>
      <c r="O128" s="127"/>
      <c r="P128" s="127"/>
      <c r="Q128" s="137"/>
      <c r="R128" s="130"/>
      <c r="S128" s="131"/>
      <c r="T128" s="130"/>
      <c r="U128" s="131"/>
      <c r="V128" s="130"/>
      <c r="W128" s="131"/>
      <c r="X128" s="130"/>
      <c r="Y128" s="131"/>
      <c r="Z128" s="130"/>
      <c r="AA128" s="131"/>
    </row>
    <row r="129" spans="1:27" x14ac:dyDescent="0.3">
      <c r="A129" s="126"/>
      <c r="B129" s="127"/>
      <c r="C129" s="127"/>
      <c r="D129" s="127"/>
      <c r="E129" s="126"/>
      <c r="G129" s="126"/>
      <c r="H129" s="126"/>
      <c r="I129" s="126"/>
      <c r="J129" s="127"/>
      <c r="K129" s="126"/>
      <c r="L129" s="135"/>
      <c r="M129" s="126"/>
      <c r="N129" s="127"/>
      <c r="O129" s="127"/>
      <c r="P129" s="127"/>
      <c r="Q129" s="137"/>
      <c r="R129" s="130"/>
      <c r="S129" s="131"/>
      <c r="T129" s="130"/>
      <c r="U129" s="131"/>
      <c r="V129" s="130"/>
      <c r="W129" s="131"/>
      <c r="X129" s="130"/>
      <c r="Y129" s="131"/>
      <c r="Z129" s="130"/>
      <c r="AA129" s="131"/>
    </row>
    <row r="130" spans="1:27" x14ac:dyDescent="0.3">
      <c r="A130" s="126"/>
      <c r="B130" s="127"/>
      <c r="C130" s="127"/>
      <c r="D130" s="127"/>
      <c r="E130" s="126"/>
      <c r="G130" s="126"/>
      <c r="H130" s="126"/>
      <c r="I130" s="126"/>
      <c r="J130" s="127"/>
      <c r="K130" s="126"/>
      <c r="L130" s="135"/>
      <c r="M130" s="126"/>
      <c r="N130" s="127"/>
      <c r="O130" s="127"/>
      <c r="P130" s="127"/>
      <c r="Q130" s="137"/>
      <c r="R130" s="130"/>
      <c r="S130" s="131"/>
      <c r="T130" s="130"/>
      <c r="U130" s="131"/>
      <c r="V130" s="130"/>
      <c r="W130" s="131"/>
      <c r="X130" s="130"/>
      <c r="Y130" s="131"/>
      <c r="Z130" s="130"/>
      <c r="AA130" s="131"/>
    </row>
    <row r="131" spans="1:27" x14ac:dyDescent="0.3">
      <c r="A131" s="126"/>
      <c r="B131" s="127"/>
      <c r="C131" s="127"/>
      <c r="D131" s="127"/>
      <c r="E131" s="126"/>
      <c r="G131" s="126"/>
      <c r="H131" s="126"/>
      <c r="I131" s="126"/>
      <c r="J131" s="127"/>
      <c r="K131" s="126"/>
      <c r="L131" s="135"/>
      <c r="M131" s="126"/>
      <c r="N131" s="127"/>
      <c r="O131" s="127"/>
      <c r="P131" s="127"/>
      <c r="Q131" s="137"/>
      <c r="R131" s="130"/>
      <c r="S131" s="131"/>
      <c r="T131" s="130"/>
      <c r="U131" s="131"/>
      <c r="V131" s="130"/>
      <c r="W131" s="131"/>
      <c r="X131" s="130"/>
      <c r="Y131" s="131"/>
      <c r="Z131" s="130"/>
      <c r="AA131" s="131"/>
    </row>
    <row r="132" spans="1:27" x14ac:dyDescent="0.3">
      <c r="A132" s="126"/>
      <c r="B132" s="127"/>
      <c r="C132" s="127"/>
      <c r="D132" s="127"/>
      <c r="E132" s="126"/>
      <c r="G132" s="126"/>
      <c r="H132" s="126"/>
      <c r="I132" s="126"/>
      <c r="J132" s="127"/>
      <c r="K132" s="126"/>
      <c r="L132" s="135"/>
      <c r="M132" s="126"/>
      <c r="N132" s="127"/>
      <c r="O132" s="127"/>
      <c r="P132" s="127"/>
      <c r="Q132" s="137"/>
      <c r="R132" s="130"/>
      <c r="S132" s="131"/>
      <c r="T132" s="130"/>
      <c r="U132" s="131"/>
      <c r="V132" s="130"/>
      <c r="W132" s="131"/>
      <c r="X132" s="130"/>
      <c r="Y132" s="131"/>
      <c r="Z132" s="130"/>
      <c r="AA132" s="131"/>
    </row>
    <row r="133" spans="1:27" x14ac:dyDescent="0.3">
      <c r="A133" s="126"/>
      <c r="B133" s="127"/>
      <c r="C133" s="127"/>
      <c r="D133" s="127"/>
      <c r="E133" s="126"/>
      <c r="G133" s="126"/>
      <c r="H133" s="126"/>
      <c r="I133" s="126"/>
      <c r="J133" s="127"/>
      <c r="K133" s="126"/>
      <c r="L133" s="135"/>
      <c r="M133" s="126"/>
      <c r="N133" s="127"/>
      <c r="O133" s="127"/>
      <c r="P133" s="127"/>
      <c r="Q133" s="137"/>
      <c r="R133" s="130"/>
      <c r="S133" s="131"/>
      <c r="T133" s="130"/>
      <c r="U133" s="131"/>
      <c r="V133" s="130"/>
      <c r="W133" s="131"/>
      <c r="X133" s="130"/>
      <c r="Y133" s="131"/>
      <c r="Z133" s="130"/>
      <c r="AA133" s="131"/>
    </row>
    <row r="134" spans="1:27" x14ac:dyDescent="0.3">
      <c r="A134" s="126"/>
      <c r="B134" s="127"/>
      <c r="C134" s="127"/>
      <c r="D134" s="127"/>
      <c r="E134" s="126"/>
      <c r="G134" s="126"/>
      <c r="H134" s="126"/>
      <c r="I134" s="126"/>
      <c r="J134" s="127"/>
      <c r="K134" s="126"/>
      <c r="L134" s="135"/>
      <c r="M134" s="126"/>
      <c r="N134" s="127"/>
      <c r="O134" s="127"/>
      <c r="P134" s="127"/>
      <c r="Q134" s="137"/>
      <c r="R134" s="130"/>
      <c r="S134" s="131"/>
      <c r="T134" s="130"/>
      <c r="U134" s="131"/>
      <c r="V134" s="130"/>
      <c r="W134" s="131"/>
      <c r="X134" s="130"/>
      <c r="Y134" s="131"/>
      <c r="Z134" s="130"/>
      <c r="AA134" s="131"/>
    </row>
    <row r="135" spans="1:27" x14ac:dyDescent="0.3">
      <c r="A135" s="126"/>
      <c r="B135" s="127"/>
      <c r="C135" s="127"/>
      <c r="D135" s="127"/>
      <c r="E135" s="126"/>
      <c r="G135" s="126"/>
      <c r="H135" s="126"/>
      <c r="I135" s="126"/>
      <c r="J135" s="127"/>
      <c r="K135" s="126"/>
      <c r="L135" s="135"/>
      <c r="M135" s="126"/>
      <c r="N135" s="127"/>
      <c r="O135" s="127"/>
      <c r="P135" s="127"/>
      <c r="Q135" s="137"/>
      <c r="R135" s="130"/>
      <c r="S135" s="131"/>
      <c r="T135" s="130"/>
      <c r="U135" s="131"/>
      <c r="V135" s="130"/>
      <c r="W135" s="131"/>
      <c r="X135" s="130"/>
      <c r="Y135" s="131"/>
      <c r="Z135" s="130"/>
      <c r="AA135" s="131"/>
    </row>
    <row r="136" spans="1:27" x14ac:dyDescent="0.3">
      <c r="A136" s="126"/>
      <c r="B136" s="127"/>
      <c r="C136" s="127"/>
      <c r="D136" s="127"/>
      <c r="E136" s="126"/>
      <c r="G136" s="126"/>
      <c r="H136" s="126"/>
      <c r="I136" s="126"/>
      <c r="J136" s="127"/>
      <c r="K136" s="126"/>
      <c r="L136" s="135"/>
      <c r="M136" s="126"/>
      <c r="N136" s="127"/>
      <c r="O136" s="127"/>
      <c r="P136" s="127"/>
      <c r="Q136" s="137"/>
      <c r="R136" s="130"/>
      <c r="S136" s="131"/>
      <c r="T136" s="130"/>
      <c r="U136" s="131"/>
      <c r="V136" s="130"/>
      <c r="W136" s="131"/>
      <c r="X136" s="130"/>
      <c r="Y136" s="131"/>
      <c r="Z136" s="130"/>
      <c r="AA136" s="131"/>
    </row>
    <row r="137" spans="1:27" x14ac:dyDescent="0.3">
      <c r="A137" s="126"/>
      <c r="B137" s="127"/>
      <c r="C137" s="127"/>
      <c r="D137" s="127"/>
      <c r="E137" s="126"/>
      <c r="G137" s="126"/>
      <c r="H137" s="126"/>
      <c r="I137" s="126"/>
      <c r="J137" s="127"/>
      <c r="K137" s="126"/>
      <c r="L137" s="135"/>
      <c r="M137" s="126"/>
      <c r="N137" s="127"/>
      <c r="O137" s="127"/>
      <c r="P137" s="127"/>
      <c r="Q137" s="137"/>
      <c r="R137" s="130"/>
      <c r="S137" s="131"/>
      <c r="T137" s="130"/>
      <c r="U137" s="131"/>
      <c r="V137" s="130"/>
      <c r="W137" s="131"/>
      <c r="X137" s="130"/>
      <c r="Y137" s="131"/>
      <c r="Z137" s="130"/>
      <c r="AA137" s="131"/>
    </row>
    <row r="138" spans="1:27" x14ac:dyDescent="0.3">
      <c r="A138" s="126"/>
      <c r="B138" s="127"/>
      <c r="C138" s="127"/>
      <c r="D138" s="127"/>
      <c r="E138" s="126"/>
      <c r="G138" s="126"/>
      <c r="H138" s="126"/>
      <c r="I138" s="126"/>
      <c r="J138" s="127"/>
      <c r="K138" s="126"/>
      <c r="L138" s="135"/>
      <c r="M138" s="126"/>
      <c r="N138" s="127"/>
      <c r="O138" s="127"/>
      <c r="P138" s="127"/>
      <c r="Q138" s="137"/>
      <c r="R138" s="130"/>
      <c r="S138" s="131"/>
      <c r="T138" s="130"/>
      <c r="U138" s="131"/>
      <c r="V138" s="130"/>
      <c r="W138" s="131"/>
      <c r="X138" s="130"/>
      <c r="Y138" s="131"/>
      <c r="Z138" s="130"/>
      <c r="AA138" s="131"/>
    </row>
    <row r="139" spans="1:27" x14ac:dyDescent="0.3">
      <c r="A139" s="126"/>
      <c r="B139" s="127"/>
      <c r="C139" s="127"/>
      <c r="D139" s="127"/>
      <c r="E139" s="126"/>
      <c r="G139" s="126"/>
      <c r="H139" s="126"/>
      <c r="I139" s="126"/>
      <c r="J139" s="127"/>
      <c r="K139" s="126"/>
      <c r="L139" s="135"/>
      <c r="M139" s="126"/>
      <c r="N139" s="127"/>
      <c r="O139" s="127"/>
      <c r="P139" s="127"/>
      <c r="Q139" s="137"/>
      <c r="R139" s="130"/>
      <c r="S139" s="131"/>
      <c r="T139" s="130"/>
      <c r="U139" s="131"/>
      <c r="V139" s="130"/>
      <c r="W139" s="131"/>
      <c r="X139" s="130"/>
      <c r="Y139" s="131"/>
      <c r="Z139" s="130"/>
      <c r="AA139" s="131"/>
    </row>
    <row r="140" spans="1:27" x14ac:dyDescent="0.3">
      <c r="A140" s="126"/>
      <c r="B140" s="127"/>
      <c r="C140" s="127"/>
      <c r="D140" s="127"/>
      <c r="E140" s="126"/>
      <c r="G140" s="126"/>
      <c r="H140" s="126"/>
      <c r="I140" s="126"/>
      <c r="J140" s="127"/>
      <c r="K140" s="126"/>
      <c r="L140" s="135"/>
      <c r="M140" s="126"/>
      <c r="N140" s="127"/>
      <c r="O140" s="127"/>
      <c r="P140" s="127"/>
      <c r="Q140" s="137"/>
      <c r="R140" s="130"/>
      <c r="S140" s="131"/>
      <c r="T140" s="130"/>
      <c r="U140" s="131"/>
      <c r="V140" s="130"/>
      <c r="W140" s="131"/>
      <c r="X140" s="130"/>
      <c r="Y140" s="131"/>
      <c r="Z140" s="130"/>
      <c r="AA140" s="131"/>
    </row>
    <row r="141" spans="1:27" x14ac:dyDescent="0.3">
      <c r="A141" s="126"/>
      <c r="B141" s="127"/>
      <c r="C141" s="127"/>
      <c r="D141" s="127"/>
      <c r="E141" s="126"/>
      <c r="G141" s="126"/>
      <c r="H141" s="126"/>
      <c r="I141" s="126"/>
      <c r="J141" s="127"/>
      <c r="K141" s="126"/>
      <c r="L141" s="135"/>
      <c r="M141" s="126"/>
      <c r="N141" s="127"/>
      <c r="O141" s="127"/>
      <c r="P141" s="127"/>
      <c r="Q141" s="137"/>
      <c r="R141" s="130"/>
      <c r="S141" s="131"/>
      <c r="T141" s="130"/>
      <c r="U141" s="131"/>
      <c r="V141" s="130"/>
      <c r="W141" s="131"/>
      <c r="X141" s="130"/>
      <c r="Y141" s="131"/>
      <c r="Z141" s="130"/>
      <c r="AA141" s="131"/>
    </row>
    <row r="142" spans="1:27" x14ac:dyDescent="0.3">
      <c r="A142" s="126"/>
      <c r="B142" s="127"/>
      <c r="C142" s="127"/>
      <c r="D142" s="127"/>
      <c r="E142" s="126"/>
      <c r="G142" s="126"/>
      <c r="H142" s="126"/>
      <c r="I142" s="126"/>
      <c r="J142" s="127"/>
      <c r="K142" s="126"/>
      <c r="L142" s="135"/>
      <c r="M142" s="126"/>
      <c r="N142" s="127"/>
      <c r="O142" s="127"/>
      <c r="P142" s="127"/>
      <c r="Q142" s="137"/>
      <c r="R142" s="130"/>
      <c r="S142" s="131"/>
      <c r="T142" s="130"/>
      <c r="U142" s="131"/>
      <c r="V142" s="130"/>
      <c r="W142" s="131"/>
      <c r="X142" s="130"/>
      <c r="Y142" s="131"/>
      <c r="Z142" s="130"/>
      <c r="AA142" s="131"/>
    </row>
    <row r="143" spans="1:27" x14ac:dyDescent="0.3">
      <c r="A143" s="126"/>
      <c r="B143" s="127"/>
      <c r="C143" s="127"/>
      <c r="D143" s="127"/>
      <c r="E143" s="126"/>
      <c r="G143" s="126"/>
      <c r="H143" s="126"/>
      <c r="I143" s="126"/>
      <c r="J143" s="127"/>
      <c r="K143" s="126"/>
      <c r="L143" s="135"/>
      <c r="M143" s="126"/>
      <c r="N143" s="127"/>
      <c r="O143" s="127"/>
      <c r="P143" s="127"/>
      <c r="Q143" s="137"/>
      <c r="R143" s="130"/>
      <c r="S143" s="131"/>
      <c r="T143" s="130"/>
      <c r="U143" s="131"/>
      <c r="V143" s="130"/>
      <c r="W143" s="131"/>
      <c r="X143" s="130"/>
      <c r="Y143" s="131"/>
      <c r="Z143" s="130"/>
      <c r="AA143" s="131"/>
    </row>
    <row r="144" spans="1:27" x14ac:dyDescent="0.3">
      <c r="A144" s="126"/>
      <c r="B144" s="127"/>
      <c r="C144" s="127"/>
      <c r="D144" s="127"/>
      <c r="E144" s="126"/>
      <c r="G144" s="126"/>
      <c r="H144" s="126"/>
      <c r="I144" s="126"/>
      <c r="J144" s="127"/>
      <c r="K144" s="126"/>
      <c r="L144" s="135"/>
      <c r="M144" s="126"/>
      <c r="N144" s="127"/>
      <c r="O144" s="127"/>
      <c r="P144" s="127"/>
      <c r="Q144" s="137"/>
      <c r="R144" s="130"/>
      <c r="S144" s="131"/>
      <c r="T144" s="130"/>
      <c r="U144" s="131"/>
      <c r="V144" s="130"/>
      <c r="W144" s="131"/>
      <c r="X144" s="130"/>
      <c r="Y144" s="131"/>
      <c r="Z144" s="130"/>
      <c r="AA144" s="131"/>
    </row>
    <row r="145" spans="1:27" x14ac:dyDescent="0.3">
      <c r="A145" s="126"/>
      <c r="B145" s="127"/>
      <c r="C145" s="127"/>
      <c r="D145" s="127"/>
      <c r="E145" s="126"/>
      <c r="G145" s="126"/>
      <c r="H145" s="126"/>
      <c r="I145" s="126"/>
      <c r="J145" s="127"/>
      <c r="K145" s="126"/>
      <c r="L145" s="135"/>
      <c r="M145" s="126"/>
      <c r="N145" s="127"/>
      <c r="O145" s="127"/>
      <c r="P145" s="127"/>
      <c r="Q145" s="137"/>
      <c r="R145" s="130"/>
      <c r="S145" s="131"/>
      <c r="T145" s="130"/>
      <c r="U145" s="131"/>
      <c r="V145" s="130"/>
      <c r="W145" s="131"/>
      <c r="X145" s="130"/>
      <c r="Y145" s="131"/>
      <c r="Z145" s="130"/>
      <c r="AA145" s="131"/>
    </row>
    <row r="146" spans="1:27" x14ac:dyDescent="0.3">
      <c r="A146" s="126"/>
      <c r="B146" s="127"/>
      <c r="C146" s="127"/>
      <c r="D146" s="127"/>
      <c r="E146" s="126"/>
      <c r="G146" s="126"/>
      <c r="H146" s="126"/>
      <c r="I146" s="126"/>
      <c r="J146" s="127"/>
      <c r="K146" s="126"/>
      <c r="L146" s="135"/>
      <c r="M146" s="126"/>
      <c r="N146" s="127"/>
      <c r="O146" s="127"/>
      <c r="P146" s="127"/>
      <c r="Q146" s="137"/>
      <c r="R146" s="130"/>
      <c r="S146" s="131"/>
      <c r="T146" s="130"/>
      <c r="U146" s="131"/>
      <c r="V146" s="130"/>
      <c r="W146" s="131"/>
      <c r="X146" s="130"/>
      <c r="Y146" s="131"/>
      <c r="Z146" s="130"/>
      <c r="AA146" s="131"/>
    </row>
    <row r="147" spans="1:27" x14ac:dyDescent="0.3">
      <c r="A147" s="126"/>
      <c r="B147" s="127"/>
      <c r="C147" s="127"/>
      <c r="D147" s="127"/>
      <c r="E147" s="126"/>
      <c r="G147" s="126"/>
      <c r="H147" s="126"/>
      <c r="I147" s="126"/>
      <c r="J147" s="127"/>
      <c r="K147" s="126"/>
      <c r="L147" s="135"/>
      <c r="M147" s="126"/>
      <c r="N147" s="127"/>
      <c r="O147" s="127"/>
      <c r="P147" s="127"/>
      <c r="Q147" s="137"/>
      <c r="R147" s="130"/>
      <c r="S147" s="131"/>
      <c r="T147" s="130"/>
      <c r="U147" s="131"/>
      <c r="V147" s="130"/>
      <c r="W147" s="131"/>
      <c r="X147" s="130"/>
      <c r="Y147" s="131"/>
      <c r="Z147" s="130"/>
      <c r="AA147" s="131"/>
    </row>
    <row r="148" spans="1:27" x14ac:dyDescent="0.3">
      <c r="A148" s="126"/>
      <c r="B148" s="127"/>
      <c r="C148" s="127"/>
      <c r="D148" s="127"/>
      <c r="E148" s="126"/>
      <c r="G148" s="126"/>
      <c r="H148" s="126"/>
      <c r="I148" s="126"/>
      <c r="J148" s="127"/>
      <c r="K148" s="126"/>
      <c r="L148" s="135"/>
      <c r="M148" s="126"/>
      <c r="N148" s="127"/>
      <c r="O148" s="127"/>
      <c r="P148" s="127"/>
      <c r="Q148" s="137"/>
      <c r="R148" s="130"/>
      <c r="S148" s="131"/>
      <c r="T148" s="130"/>
      <c r="U148" s="131"/>
      <c r="V148" s="130"/>
      <c r="W148" s="131"/>
      <c r="X148" s="130"/>
      <c r="Y148" s="131"/>
      <c r="Z148" s="130"/>
      <c r="AA148" s="131"/>
    </row>
    <row r="149" spans="1:27" x14ac:dyDescent="0.3">
      <c r="A149" s="126"/>
      <c r="B149" s="127"/>
      <c r="C149" s="127"/>
      <c r="D149" s="127"/>
      <c r="E149" s="126"/>
      <c r="G149" s="126"/>
      <c r="H149" s="126"/>
      <c r="I149" s="126"/>
      <c r="J149" s="127"/>
      <c r="K149" s="126"/>
      <c r="L149" s="135"/>
      <c r="M149" s="126"/>
      <c r="N149" s="127"/>
      <c r="O149" s="127"/>
      <c r="P149" s="127"/>
      <c r="Q149" s="137"/>
      <c r="R149" s="130"/>
      <c r="S149" s="131"/>
      <c r="T149" s="130"/>
      <c r="U149" s="131"/>
      <c r="V149" s="130"/>
      <c r="W149" s="131"/>
      <c r="X149" s="130"/>
      <c r="Y149" s="131"/>
      <c r="Z149" s="130"/>
      <c r="AA149" s="131"/>
    </row>
    <row r="150" spans="1:27" x14ac:dyDescent="0.3">
      <c r="A150" s="126"/>
      <c r="B150" s="127"/>
      <c r="C150" s="127"/>
      <c r="D150" s="127"/>
      <c r="E150" s="126"/>
      <c r="G150" s="126"/>
      <c r="H150" s="126"/>
      <c r="I150" s="126"/>
      <c r="J150" s="127"/>
      <c r="K150" s="126"/>
      <c r="L150" s="135"/>
      <c r="M150" s="126"/>
      <c r="N150" s="127"/>
      <c r="O150" s="127"/>
      <c r="P150" s="127"/>
      <c r="Q150" s="137"/>
      <c r="R150" s="130"/>
      <c r="S150" s="131"/>
      <c r="T150" s="130"/>
      <c r="U150" s="131"/>
      <c r="V150" s="130"/>
      <c r="W150" s="131"/>
      <c r="X150" s="130"/>
      <c r="Y150" s="131"/>
      <c r="Z150" s="130"/>
      <c r="AA150" s="131"/>
    </row>
    <row r="151" spans="1:27" x14ac:dyDescent="0.3">
      <c r="A151" s="126"/>
      <c r="B151" s="127"/>
      <c r="C151" s="127"/>
      <c r="D151" s="127"/>
      <c r="E151" s="126"/>
      <c r="G151" s="126"/>
      <c r="H151" s="126"/>
      <c r="I151" s="126"/>
      <c r="J151" s="127"/>
      <c r="K151" s="126"/>
      <c r="L151" s="135"/>
      <c r="M151" s="126"/>
      <c r="N151" s="127"/>
      <c r="O151" s="127"/>
      <c r="P151" s="127"/>
      <c r="Q151" s="137"/>
      <c r="R151" s="130"/>
      <c r="S151" s="131"/>
      <c r="T151" s="130"/>
      <c r="U151" s="131"/>
      <c r="V151" s="130"/>
      <c r="W151" s="131"/>
      <c r="X151" s="130"/>
      <c r="Y151" s="131"/>
      <c r="Z151" s="130"/>
      <c r="AA151" s="131"/>
    </row>
    <row r="152" spans="1:27" x14ac:dyDescent="0.3">
      <c r="A152" s="126"/>
      <c r="B152" s="127"/>
      <c r="C152" s="127"/>
      <c r="D152" s="127"/>
      <c r="E152" s="126"/>
      <c r="G152" s="126"/>
      <c r="H152" s="126"/>
      <c r="I152" s="126"/>
      <c r="J152" s="127"/>
      <c r="K152" s="126"/>
      <c r="L152" s="135"/>
      <c r="M152" s="126"/>
      <c r="N152" s="127"/>
      <c r="O152" s="127"/>
      <c r="P152" s="127"/>
      <c r="Q152" s="137"/>
      <c r="R152" s="130"/>
      <c r="S152" s="131"/>
      <c r="T152" s="130"/>
      <c r="U152" s="131"/>
      <c r="V152" s="130"/>
      <c r="W152" s="131"/>
      <c r="X152" s="130"/>
      <c r="Y152" s="131"/>
      <c r="Z152" s="130"/>
      <c r="AA152" s="131"/>
    </row>
    <row r="153" spans="1:27" x14ac:dyDescent="0.3">
      <c r="A153" s="126"/>
      <c r="B153" s="127"/>
      <c r="C153" s="127"/>
      <c r="D153" s="127"/>
      <c r="E153" s="126"/>
      <c r="G153" s="126"/>
      <c r="H153" s="126"/>
      <c r="I153" s="126"/>
      <c r="J153" s="127"/>
      <c r="K153" s="126"/>
      <c r="L153" s="135"/>
      <c r="M153" s="126"/>
      <c r="N153" s="127"/>
      <c r="O153" s="127"/>
      <c r="P153" s="127"/>
      <c r="Q153" s="137"/>
      <c r="R153" s="130"/>
      <c r="S153" s="131"/>
      <c r="T153" s="130"/>
      <c r="U153" s="131"/>
      <c r="V153" s="130"/>
      <c r="W153" s="131"/>
      <c r="X153" s="130"/>
      <c r="Y153" s="131"/>
      <c r="Z153" s="130"/>
      <c r="AA153" s="131"/>
    </row>
    <row r="154" spans="1:27" x14ac:dyDescent="0.3">
      <c r="A154" s="126"/>
      <c r="B154" s="127"/>
      <c r="C154" s="127"/>
      <c r="D154" s="127"/>
      <c r="E154" s="126"/>
      <c r="G154" s="126"/>
      <c r="H154" s="126"/>
      <c r="I154" s="126"/>
      <c r="J154" s="127"/>
      <c r="K154" s="126"/>
      <c r="L154" s="135"/>
      <c r="M154" s="126"/>
      <c r="N154" s="127"/>
      <c r="O154" s="127"/>
      <c r="P154" s="127"/>
      <c r="Q154" s="137"/>
      <c r="R154" s="130"/>
      <c r="S154" s="131"/>
      <c r="T154" s="130"/>
      <c r="U154" s="131"/>
      <c r="V154" s="130"/>
      <c r="W154" s="131"/>
      <c r="X154" s="130"/>
      <c r="Y154" s="131"/>
      <c r="Z154" s="130"/>
      <c r="AA154" s="131"/>
    </row>
    <row r="155" spans="1:27" x14ac:dyDescent="0.3">
      <c r="A155" s="126"/>
      <c r="B155" s="127"/>
      <c r="C155" s="127"/>
      <c r="D155" s="127"/>
      <c r="E155" s="126"/>
      <c r="G155" s="126"/>
      <c r="H155" s="126"/>
      <c r="I155" s="126"/>
      <c r="J155" s="127"/>
      <c r="K155" s="126"/>
      <c r="L155" s="135"/>
      <c r="M155" s="126"/>
      <c r="N155" s="127"/>
      <c r="O155" s="127"/>
      <c r="P155" s="127"/>
      <c r="Q155" s="137"/>
      <c r="R155" s="130"/>
      <c r="S155" s="131"/>
      <c r="T155" s="130"/>
      <c r="U155" s="131"/>
      <c r="V155" s="130"/>
      <c r="W155" s="131"/>
      <c r="X155" s="130"/>
      <c r="Y155" s="131"/>
      <c r="Z155" s="130"/>
      <c r="AA155" s="131"/>
    </row>
    <row r="156" spans="1:27" x14ac:dyDescent="0.3">
      <c r="A156" s="126"/>
      <c r="B156" s="127"/>
      <c r="C156" s="127"/>
      <c r="D156" s="127"/>
      <c r="E156" s="126"/>
      <c r="G156" s="126"/>
      <c r="H156" s="126"/>
      <c r="I156" s="126"/>
      <c r="J156" s="127"/>
      <c r="K156" s="126"/>
      <c r="L156" s="135"/>
      <c r="M156" s="126"/>
      <c r="N156" s="127"/>
      <c r="O156" s="127"/>
      <c r="P156" s="127"/>
      <c r="Q156" s="137"/>
      <c r="R156" s="130"/>
      <c r="S156" s="131"/>
      <c r="T156" s="130"/>
      <c r="U156" s="131"/>
      <c r="V156" s="130"/>
      <c r="W156" s="131"/>
      <c r="X156" s="130"/>
      <c r="Y156" s="131"/>
      <c r="Z156" s="130"/>
      <c r="AA156" s="131"/>
    </row>
    <row r="157" spans="1:27" x14ac:dyDescent="0.3">
      <c r="A157" s="126"/>
      <c r="B157" s="127"/>
      <c r="C157" s="127"/>
      <c r="D157" s="127"/>
      <c r="E157" s="126"/>
      <c r="G157" s="126"/>
      <c r="H157" s="126"/>
      <c r="I157" s="126"/>
      <c r="J157" s="127"/>
      <c r="K157" s="126"/>
      <c r="L157" s="135"/>
      <c r="M157" s="126"/>
      <c r="N157" s="127"/>
      <c r="O157" s="127"/>
      <c r="P157" s="127"/>
      <c r="Q157" s="137"/>
      <c r="R157" s="130"/>
      <c r="S157" s="131"/>
      <c r="T157" s="130"/>
      <c r="U157" s="131"/>
      <c r="V157" s="130"/>
      <c r="W157" s="131"/>
      <c r="X157" s="130"/>
      <c r="Y157" s="131"/>
      <c r="Z157" s="130"/>
      <c r="AA157" s="131"/>
    </row>
    <row r="158" spans="1:27" x14ac:dyDescent="0.3">
      <c r="A158" s="126"/>
      <c r="B158" s="127"/>
      <c r="C158" s="127"/>
      <c r="D158" s="127"/>
      <c r="E158" s="126"/>
      <c r="G158" s="126"/>
      <c r="H158" s="126"/>
      <c r="I158" s="126"/>
      <c r="J158" s="127"/>
      <c r="K158" s="126"/>
      <c r="L158" s="135"/>
      <c r="M158" s="126"/>
      <c r="N158" s="127"/>
      <c r="O158" s="127"/>
      <c r="P158" s="127"/>
      <c r="Q158" s="137"/>
      <c r="R158" s="130"/>
      <c r="S158" s="131"/>
      <c r="T158" s="130"/>
      <c r="U158" s="131"/>
      <c r="V158" s="130"/>
      <c r="W158" s="131"/>
      <c r="X158" s="130"/>
      <c r="Y158" s="131"/>
      <c r="Z158" s="130"/>
      <c r="AA158" s="131"/>
    </row>
    <row r="159" spans="1:27" x14ac:dyDescent="0.3">
      <c r="A159" s="126"/>
      <c r="B159" s="127"/>
      <c r="C159" s="127"/>
      <c r="D159" s="127"/>
      <c r="E159" s="126"/>
      <c r="G159" s="126"/>
      <c r="H159" s="126"/>
      <c r="I159" s="126"/>
      <c r="J159" s="127"/>
      <c r="K159" s="126"/>
      <c r="L159" s="135"/>
      <c r="M159" s="126"/>
      <c r="N159" s="127"/>
      <c r="O159" s="127"/>
      <c r="P159" s="127"/>
      <c r="Q159" s="137"/>
      <c r="R159" s="130"/>
      <c r="S159" s="131"/>
      <c r="T159" s="130"/>
      <c r="U159" s="131"/>
      <c r="V159" s="130"/>
      <c r="W159" s="131"/>
      <c r="X159" s="130"/>
      <c r="Y159" s="131"/>
      <c r="Z159" s="130"/>
      <c r="AA159" s="131"/>
    </row>
    <row r="160" spans="1:27" x14ac:dyDescent="0.3">
      <c r="A160" s="126"/>
      <c r="B160" s="127"/>
      <c r="C160" s="127"/>
      <c r="D160" s="127"/>
      <c r="E160" s="126"/>
      <c r="G160" s="126"/>
      <c r="H160" s="126"/>
      <c r="I160" s="126"/>
      <c r="J160" s="127"/>
      <c r="K160" s="126"/>
      <c r="L160" s="135"/>
      <c r="M160" s="126"/>
      <c r="N160" s="127"/>
      <c r="O160" s="127"/>
      <c r="P160" s="127"/>
      <c r="Q160" s="137"/>
      <c r="R160" s="130"/>
      <c r="S160" s="131"/>
      <c r="T160" s="130"/>
      <c r="U160" s="131"/>
      <c r="V160" s="130"/>
      <c r="W160" s="131"/>
      <c r="X160" s="130"/>
      <c r="Y160" s="131"/>
      <c r="Z160" s="130"/>
      <c r="AA160" s="131"/>
    </row>
    <row r="161" spans="1:27" x14ac:dyDescent="0.3">
      <c r="A161" s="126"/>
      <c r="B161" s="127"/>
      <c r="C161" s="127"/>
      <c r="D161" s="127"/>
      <c r="E161" s="126"/>
      <c r="G161" s="126"/>
      <c r="H161" s="126"/>
      <c r="I161" s="126"/>
      <c r="J161" s="127"/>
      <c r="K161" s="126"/>
      <c r="L161" s="135"/>
      <c r="M161" s="126"/>
      <c r="N161" s="127"/>
      <c r="O161" s="127"/>
      <c r="P161" s="127"/>
      <c r="Q161" s="137"/>
      <c r="R161" s="130"/>
      <c r="S161" s="131"/>
      <c r="T161" s="130"/>
      <c r="U161" s="131"/>
      <c r="V161" s="130"/>
      <c r="W161" s="131"/>
      <c r="X161" s="130"/>
      <c r="Y161" s="131"/>
      <c r="Z161" s="130"/>
      <c r="AA161" s="131"/>
    </row>
    <row r="162" spans="1:27" x14ac:dyDescent="0.3">
      <c r="A162" s="126"/>
      <c r="B162" s="127"/>
      <c r="C162" s="127"/>
      <c r="D162" s="127"/>
      <c r="E162" s="126"/>
      <c r="G162" s="126"/>
      <c r="H162" s="126"/>
      <c r="I162" s="126"/>
      <c r="J162" s="127"/>
      <c r="K162" s="126"/>
      <c r="L162" s="135"/>
      <c r="M162" s="126"/>
      <c r="N162" s="127"/>
      <c r="O162" s="127"/>
      <c r="P162" s="127"/>
      <c r="Q162" s="137"/>
      <c r="R162" s="130"/>
      <c r="S162" s="131"/>
      <c r="T162" s="130"/>
      <c r="U162" s="131"/>
      <c r="V162" s="130"/>
      <c r="W162" s="131"/>
      <c r="X162" s="130"/>
      <c r="Y162" s="131"/>
      <c r="Z162" s="130"/>
      <c r="AA162" s="131"/>
    </row>
    <row r="163" spans="1:27" x14ac:dyDescent="0.3">
      <c r="A163" s="126"/>
      <c r="B163" s="127"/>
      <c r="C163" s="127"/>
      <c r="D163" s="127"/>
      <c r="E163" s="126"/>
      <c r="G163" s="126"/>
      <c r="H163" s="126"/>
      <c r="I163" s="126"/>
      <c r="J163" s="127"/>
      <c r="K163" s="126"/>
      <c r="L163" s="135"/>
      <c r="M163" s="126"/>
      <c r="N163" s="127"/>
      <c r="O163" s="127"/>
      <c r="P163" s="127"/>
      <c r="Q163" s="137"/>
      <c r="R163" s="130"/>
      <c r="S163" s="131"/>
      <c r="T163" s="130"/>
      <c r="U163" s="131"/>
      <c r="V163" s="130"/>
      <c r="W163" s="131"/>
      <c r="X163" s="130"/>
      <c r="Y163" s="131"/>
      <c r="Z163" s="130"/>
      <c r="AA163" s="131"/>
    </row>
    <row r="164" spans="1:27" x14ac:dyDescent="0.3">
      <c r="A164" s="126"/>
      <c r="B164" s="127"/>
      <c r="C164" s="127"/>
      <c r="D164" s="127"/>
      <c r="E164" s="126"/>
      <c r="G164" s="126"/>
      <c r="H164" s="126"/>
      <c r="I164" s="126"/>
      <c r="J164" s="127"/>
      <c r="K164" s="126"/>
      <c r="L164" s="135"/>
      <c r="M164" s="126"/>
      <c r="N164" s="127"/>
      <c r="O164" s="127"/>
      <c r="P164" s="127"/>
      <c r="Q164" s="137"/>
      <c r="R164" s="130"/>
      <c r="S164" s="131"/>
      <c r="T164" s="130"/>
      <c r="U164" s="131"/>
      <c r="V164" s="130"/>
      <c r="W164" s="131"/>
      <c r="X164" s="130"/>
      <c r="Y164" s="131"/>
      <c r="Z164" s="130"/>
      <c r="AA164" s="131"/>
    </row>
    <row r="165" spans="1:27" x14ac:dyDescent="0.3">
      <c r="A165" s="126"/>
      <c r="B165" s="127"/>
      <c r="C165" s="127"/>
      <c r="D165" s="127"/>
      <c r="E165" s="126"/>
      <c r="G165" s="126"/>
      <c r="H165" s="126"/>
      <c r="I165" s="126"/>
      <c r="J165" s="127"/>
      <c r="K165" s="126"/>
      <c r="L165" s="135"/>
      <c r="M165" s="126"/>
      <c r="N165" s="127"/>
      <c r="O165" s="127"/>
      <c r="P165" s="127"/>
      <c r="Q165" s="137"/>
      <c r="R165" s="130"/>
      <c r="S165" s="131"/>
      <c r="T165" s="130"/>
      <c r="U165" s="131"/>
      <c r="V165" s="130"/>
      <c r="W165" s="131"/>
      <c r="X165" s="130"/>
      <c r="Y165" s="131"/>
      <c r="Z165" s="130"/>
      <c r="AA165" s="131"/>
    </row>
    <row r="166" spans="1:27" x14ac:dyDescent="0.3">
      <c r="A166" s="126"/>
      <c r="B166" s="127"/>
      <c r="C166" s="127"/>
      <c r="D166" s="127"/>
      <c r="E166" s="126"/>
      <c r="G166" s="126"/>
      <c r="H166" s="126"/>
      <c r="I166" s="126"/>
      <c r="J166" s="127"/>
      <c r="K166" s="126"/>
      <c r="L166" s="135"/>
      <c r="M166" s="126"/>
      <c r="N166" s="127"/>
      <c r="O166" s="127"/>
      <c r="P166" s="127"/>
      <c r="Q166" s="137"/>
      <c r="R166" s="130"/>
      <c r="S166" s="131"/>
      <c r="T166" s="130"/>
      <c r="U166" s="131"/>
      <c r="V166" s="130"/>
      <c r="W166" s="131"/>
      <c r="X166" s="130"/>
      <c r="Y166" s="131"/>
      <c r="Z166" s="130"/>
      <c r="AA166" s="131"/>
    </row>
    <row r="167" spans="1:27" x14ac:dyDescent="0.3">
      <c r="A167" s="126"/>
      <c r="B167" s="127"/>
      <c r="C167" s="127"/>
      <c r="D167" s="127"/>
      <c r="E167" s="126"/>
      <c r="G167" s="126"/>
      <c r="H167" s="126"/>
      <c r="I167" s="126"/>
      <c r="J167" s="127"/>
      <c r="K167" s="126"/>
      <c r="L167" s="135"/>
      <c r="M167" s="126"/>
      <c r="N167" s="127"/>
      <c r="O167" s="127"/>
      <c r="P167" s="127"/>
      <c r="Q167" s="137"/>
      <c r="R167" s="130"/>
      <c r="S167" s="131"/>
      <c r="T167" s="130"/>
      <c r="U167" s="131"/>
      <c r="V167" s="130"/>
      <c r="W167" s="131"/>
      <c r="X167" s="130"/>
      <c r="Y167" s="131"/>
      <c r="Z167" s="130"/>
      <c r="AA167" s="131"/>
    </row>
    <row r="168" spans="1:27" x14ac:dyDescent="0.3">
      <c r="A168" s="126"/>
      <c r="B168" s="127"/>
      <c r="C168" s="127"/>
      <c r="D168" s="127"/>
      <c r="E168" s="126"/>
      <c r="G168" s="126"/>
      <c r="H168" s="126"/>
      <c r="I168" s="126"/>
      <c r="J168" s="127"/>
      <c r="K168" s="126"/>
      <c r="L168" s="135"/>
      <c r="M168" s="126"/>
      <c r="N168" s="127"/>
      <c r="O168" s="127"/>
      <c r="P168" s="127"/>
      <c r="Q168" s="137"/>
      <c r="R168" s="130"/>
      <c r="S168" s="131"/>
      <c r="T168" s="130"/>
      <c r="U168" s="131"/>
      <c r="V168" s="130"/>
      <c r="W168" s="131"/>
      <c r="X168" s="130"/>
      <c r="Y168" s="131"/>
      <c r="Z168" s="130"/>
      <c r="AA168" s="131"/>
    </row>
    <row r="169" spans="1:27" x14ac:dyDescent="0.3">
      <c r="A169" s="126"/>
      <c r="B169" s="127"/>
      <c r="C169" s="127"/>
      <c r="D169" s="127"/>
      <c r="E169" s="126"/>
      <c r="G169" s="126"/>
      <c r="H169" s="126"/>
      <c r="I169" s="126"/>
      <c r="J169" s="127"/>
      <c r="K169" s="126"/>
      <c r="L169" s="135"/>
      <c r="M169" s="126"/>
      <c r="N169" s="127"/>
      <c r="O169" s="127"/>
      <c r="P169" s="127"/>
      <c r="Q169" s="137"/>
      <c r="R169" s="130"/>
      <c r="S169" s="131"/>
      <c r="T169" s="130"/>
      <c r="U169" s="131"/>
      <c r="V169" s="130"/>
      <c r="W169" s="131"/>
      <c r="X169" s="130"/>
      <c r="Y169" s="131"/>
      <c r="Z169" s="130"/>
      <c r="AA169" s="131"/>
    </row>
    <row r="170" spans="1:27" x14ac:dyDescent="0.3">
      <c r="A170" s="126"/>
      <c r="B170" s="127"/>
      <c r="C170" s="127"/>
      <c r="D170" s="127"/>
      <c r="E170" s="126"/>
      <c r="G170" s="126"/>
      <c r="H170" s="126"/>
      <c r="I170" s="126"/>
      <c r="J170" s="127"/>
      <c r="K170" s="126"/>
      <c r="L170" s="135"/>
      <c r="M170" s="126"/>
      <c r="N170" s="127"/>
      <c r="O170" s="127"/>
      <c r="P170" s="127"/>
      <c r="Q170" s="137"/>
      <c r="R170" s="130"/>
      <c r="S170" s="131"/>
      <c r="T170" s="130"/>
      <c r="U170" s="131"/>
      <c r="V170" s="130"/>
      <c r="W170" s="131"/>
      <c r="X170" s="130"/>
      <c r="Y170" s="131"/>
      <c r="Z170" s="130"/>
      <c r="AA170" s="131"/>
    </row>
    <row r="171" spans="1:27" x14ac:dyDescent="0.3">
      <c r="A171" s="126"/>
      <c r="B171" s="127"/>
      <c r="C171" s="127"/>
      <c r="D171" s="127"/>
      <c r="E171" s="126"/>
      <c r="G171" s="126"/>
      <c r="H171" s="126"/>
      <c r="I171" s="126"/>
      <c r="J171" s="127"/>
      <c r="K171" s="126"/>
      <c r="L171" s="135"/>
      <c r="M171" s="126"/>
      <c r="N171" s="127"/>
      <c r="O171" s="127"/>
      <c r="P171" s="127"/>
      <c r="Q171" s="137"/>
      <c r="R171" s="130"/>
      <c r="S171" s="131"/>
      <c r="T171" s="130"/>
      <c r="U171" s="131"/>
      <c r="V171" s="130"/>
      <c r="W171" s="131"/>
      <c r="X171" s="130"/>
      <c r="Y171" s="131"/>
      <c r="Z171" s="130"/>
      <c r="AA171" s="131"/>
    </row>
    <row r="172" spans="1:27" x14ac:dyDescent="0.3">
      <c r="A172" s="126"/>
      <c r="B172" s="127"/>
      <c r="C172" s="127"/>
      <c r="D172" s="127"/>
      <c r="E172" s="126"/>
      <c r="G172" s="126"/>
      <c r="H172" s="126"/>
      <c r="I172" s="126"/>
      <c r="J172" s="127"/>
      <c r="K172" s="126"/>
      <c r="L172" s="135"/>
      <c r="M172" s="126"/>
      <c r="N172" s="127"/>
      <c r="O172" s="127"/>
      <c r="P172" s="127"/>
      <c r="Q172" s="137"/>
      <c r="R172" s="130"/>
      <c r="S172" s="131"/>
      <c r="T172" s="130"/>
      <c r="U172" s="131"/>
      <c r="V172" s="130"/>
      <c r="W172" s="131"/>
      <c r="X172" s="130"/>
      <c r="Y172" s="131"/>
      <c r="Z172" s="130"/>
      <c r="AA172" s="131"/>
    </row>
    <row r="173" spans="1:27" x14ac:dyDescent="0.3">
      <c r="A173" s="126"/>
      <c r="B173" s="127"/>
      <c r="C173" s="127"/>
      <c r="D173" s="127"/>
      <c r="E173" s="126"/>
      <c r="G173" s="126"/>
      <c r="H173" s="126"/>
      <c r="I173" s="126"/>
      <c r="J173" s="127"/>
      <c r="K173" s="126"/>
      <c r="L173" s="135"/>
      <c r="M173" s="126"/>
      <c r="N173" s="127"/>
      <c r="O173" s="127"/>
      <c r="P173" s="127"/>
      <c r="Q173" s="137"/>
      <c r="R173" s="130"/>
      <c r="S173" s="131"/>
      <c r="T173" s="130"/>
      <c r="U173" s="131"/>
      <c r="V173" s="130"/>
      <c r="W173" s="131"/>
      <c r="X173" s="130"/>
      <c r="Y173" s="131"/>
      <c r="Z173" s="130"/>
      <c r="AA173" s="131"/>
    </row>
    <row r="174" spans="1:27" x14ac:dyDescent="0.3">
      <c r="A174" s="126"/>
      <c r="B174" s="127"/>
      <c r="C174" s="127"/>
      <c r="D174" s="127"/>
      <c r="E174" s="126"/>
      <c r="G174" s="126"/>
      <c r="H174" s="126"/>
      <c r="I174" s="126"/>
      <c r="J174" s="127"/>
      <c r="K174" s="126"/>
      <c r="L174" s="135"/>
      <c r="M174" s="126"/>
      <c r="N174" s="127"/>
      <c r="O174" s="127"/>
      <c r="P174" s="127"/>
      <c r="Q174" s="137"/>
      <c r="R174" s="130"/>
      <c r="S174" s="131"/>
      <c r="T174" s="130"/>
      <c r="U174" s="131"/>
      <c r="V174" s="130"/>
      <c r="W174" s="131"/>
      <c r="X174" s="130"/>
      <c r="Y174" s="131"/>
      <c r="Z174" s="130"/>
      <c r="AA174" s="131"/>
    </row>
    <row r="175" spans="1:27" x14ac:dyDescent="0.3">
      <c r="A175" s="126"/>
      <c r="B175" s="127"/>
      <c r="C175" s="127"/>
      <c r="D175" s="127"/>
      <c r="E175" s="126"/>
      <c r="G175" s="126"/>
      <c r="H175" s="126"/>
      <c r="I175" s="126"/>
      <c r="J175" s="127"/>
      <c r="K175" s="126"/>
      <c r="L175" s="135"/>
      <c r="M175" s="126"/>
      <c r="N175" s="127"/>
      <c r="O175" s="127"/>
      <c r="P175" s="127"/>
      <c r="Q175" s="137"/>
      <c r="R175" s="130"/>
      <c r="S175" s="131"/>
      <c r="T175" s="130"/>
      <c r="U175" s="131"/>
      <c r="V175" s="130"/>
      <c r="W175" s="131"/>
      <c r="X175" s="130"/>
      <c r="Y175" s="131"/>
      <c r="Z175" s="130"/>
      <c r="AA175" s="131"/>
    </row>
    <row r="176" spans="1:27" x14ac:dyDescent="0.3">
      <c r="A176" s="126"/>
      <c r="B176" s="127"/>
      <c r="C176" s="127"/>
      <c r="D176" s="127"/>
      <c r="E176" s="126"/>
      <c r="G176" s="126"/>
      <c r="H176" s="126"/>
      <c r="I176" s="126"/>
      <c r="J176" s="127"/>
      <c r="K176" s="126"/>
      <c r="L176" s="135"/>
      <c r="M176" s="126"/>
      <c r="N176" s="127"/>
      <c r="O176" s="127"/>
      <c r="P176" s="127"/>
      <c r="Q176" s="137"/>
      <c r="R176" s="130"/>
      <c r="S176" s="131"/>
      <c r="T176" s="130"/>
      <c r="U176" s="131"/>
      <c r="V176" s="130"/>
      <c r="W176" s="131"/>
      <c r="X176" s="130"/>
      <c r="Y176" s="131"/>
      <c r="Z176" s="130"/>
      <c r="AA176" s="131"/>
    </row>
    <row r="177" spans="1:27" x14ac:dyDescent="0.3">
      <c r="A177" s="126"/>
      <c r="B177" s="127"/>
      <c r="C177" s="127"/>
      <c r="D177" s="127"/>
      <c r="E177" s="126"/>
      <c r="G177" s="126"/>
      <c r="H177" s="126"/>
      <c r="I177" s="126"/>
      <c r="J177" s="127"/>
      <c r="K177" s="126"/>
      <c r="L177" s="135"/>
      <c r="M177" s="126"/>
      <c r="N177" s="127"/>
      <c r="O177" s="127"/>
      <c r="P177" s="127"/>
      <c r="Q177" s="137"/>
      <c r="R177" s="130"/>
      <c r="S177" s="131"/>
      <c r="T177" s="130"/>
      <c r="U177" s="131"/>
      <c r="V177" s="130"/>
      <c r="W177" s="131"/>
      <c r="X177" s="130"/>
      <c r="Y177" s="131"/>
      <c r="Z177" s="130"/>
      <c r="AA177" s="131"/>
    </row>
    <row r="178" spans="1:27" x14ac:dyDescent="0.3">
      <c r="A178" s="126"/>
      <c r="B178" s="127"/>
      <c r="C178" s="127"/>
      <c r="D178" s="127"/>
      <c r="E178" s="126"/>
      <c r="G178" s="126"/>
      <c r="H178" s="126"/>
      <c r="I178" s="126"/>
      <c r="J178" s="127"/>
      <c r="K178" s="126"/>
      <c r="L178" s="135"/>
      <c r="M178" s="126"/>
      <c r="N178" s="127"/>
      <c r="O178" s="127"/>
      <c r="P178" s="127"/>
      <c r="Q178" s="137"/>
      <c r="R178" s="130"/>
      <c r="S178" s="131"/>
      <c r="T178" s="130"/>
      <c r="U178" s="131"/>
      <c r="V178" s="130"/>
      <c r="W178" s="131"/>
      <c r="X178" s="130"/>
      <c r="Y178" s="131"/>
      <c r="Z178" s="130"/>
      <c r="AA178" s="131"/>
    </row>
    <row r="179" spans="1:27" x14ac:dyDescent="0.3">
      <c r="A179" s="126"/>
      <c r="B179" s="127"/>
      <c r="C179" s="127"/>
      <c r="D179" s="127"/>
      <c r="E179" s="126"/>
      <c r="G179" s="126"/>
      <c r="H179" s="126"/>
      <c r="I179" s="126"/>
      <c r="J179" s="127"/>
      <c r="K179" s="126"/>
      <c r="L179" s="135"/>
      <c r="M179" s="126"/>
      <c r="N179" s="127"/>
      <c r="O179" s="127"/>
      <c r="P179" s="127"/>
      <c r="Q179" s="137"/>
      <c r="R179" s="130"/>
      <c r="S179" s="131"/>
      <c r="T179" s="130"/>
      <c r="U179" s="131"/>
      <c r="V179" s="130"/>
      <c r="W179" s="131"/>
      <c r="X179" s="130"/>
      <c r="Y179" s="131"/>
      <c r="Z179" s="130"/>
      <c r="AA179" s="131"/>
    </row>
    <row r="180" spans="1:27" x14ac:dyDescent="0.3">
      <c r="A180" s="126"/>
      <c r="B180" s="127"/>
      <c r="C180" s="127"/>
      <c r="D180" s="127"/>
      <c r="E180" s="126"/>
      <c r="G180" s="126"/>
      <c r="H180" s="126"/>
      <c r="I180" s="126"/>
      <c r="J180" s="127"/>
      <c r="K180" s="126"/>
      <c r="L180" s="135"/>
      <c r="M180" s="126"/>
      <c r="N180" s="127"/>
      <c r="O180" s="127"/>
      <c r="P180" s="127"/>
      <c r="Q180" s="137"/>
      <c r="R180" s="130"/>
      <c r="S180" s="131"/>
      <c r="T180" s="130"/>
      <c r="U180" s="131"/>
      <c r="V180" s="130"/>
      <c r="W180" s="131"/>
      <c r="X180" s="130"/>
      <c r="Y180" s="131"/>
      <c r="Z180" s="130"/>
      <c r="AA180" s="131"/>
    </row>
    <row r="181" spans="1:27" x14ac:dyDescent="0.3">
      <c r="A181" s="126"/>
      <c r="B181" s="127"/>
      <c r="C181" s="127"/>
      <c r="D181" s="127"/>
      <c r="E181" s="126"/>
      <c r="G181" s="126"/>
      <c r="H181" s="126"/>
      <c r="I181" s="126"/>
      <c r="J181" s="127"/>
      <c r="K181" s="126"/>
      <c r="L181" s="135"/>
      <c r="M181" s="126"/>
      <c r="N181" s="127"/>
      <c r="O181" s="127"/>
      <c r="P181" s="127"/>
      <c r="Q181" s="137"/>
      <c r="R181" s="130"/>
      <c r="S181" s="131"/>
      <c r="T181" s="130"/>
      <c r="U181" s="131"/>
      <c r="V181" s="130"/>
      <c r="W181" s="131"/>
      <c r="X181" s="130"/>
      <c r="Y181" s="131"/>
      <c r="Z181" s="130"/>
      <c r="AA181" s="131"/>
    </row>
    <row r="182" spans="1:27" x14ac:dyDescent="0.3">
      <c r="A182" s="126"/>
      <c r="B182" s="127"/>
      <c r="C182" s="127"/>
      <c r="D182" s="127"/>
      <c r="E182" s="126"/>
      <c r="G182" s="126"/>
      <c r="H182" s="126"/>
      <c r="I182" s="126"/>
      <c r="J182" s="127"/>
      <c r="K182" s="126"/>
      <c r="L182" s="135"/>
      <c r="M182" s="126"/>
      <c r="N182" s="127"/>
      <c r="O182" s="127"/>
      <c r="P182" s="127"/>
      <c r="Q182" s="137"/>
      <c r="R182" s="130"/>
      <c r="S182" s="131"/>
      <c r="T182" s="130"/>
      <c r="U182" s="131"/>
      <c r="V182" s="130"/>
      <c r="W182" s="131"/>
      <c r="X182" s="130"/>
      <c r="Y182" s="131"/>
      <c r="Z182" s="130"/>
      <c r="AA182" s="131"/>
    </row>
    <row r="183" spans="1:27" x14ac:dyDescent="0.3">
      <c r="A183" s="126"/>
      <c r="B183" s="127"/>
      <c r="C183" s="127"/>
      <c r="D183" s="127"/>
      <c r="E183" s="126"/>
      <c r="G183" s="126"/>
      <c r="H183" s="126"/>
      <c r="I183" s="126"/>
      <c r="J183" s="127"/>
      <c r="K183" s="126"/>
      <c r="L183" s="135"/>
      <c r="M183" s="126"/>
      <c r="N183" s="127"/>
      <c r="O183" s="127"/>
      <c r="P183" s="127"/>
      <c r="Q183" s="137"/>
      <c r="R183" s="130"/>
      <c r="S183" s="131"/>
      <c r="T183" s="130"/>
      <c r="U183" s="131"/>
      <c r="V183" s="130"/>
      <c r="W183" s="131"/>
      <c r="X183" s="130"/>
      <c r="Y183" s="131"/>
      <c r="Z183" s="130"/>
      <c r="AA183" s="131"/>
    </row>
    <row r="184" spans="1:27" x14ac:dyDescent="0.3">
      <c r="A184" s="126"/>
      <c r="B184" s="127"/>
      <c r="C184" s="127"/>
      <c r="D184" s="127"/>
      <c r="E184" s="126"/>
      <c r="G184" s="126"/>
      <c r="H184" s="126"/>
      <c r="I184" s="126"/>
      <c r="J184" s="127"/>
      <c r="K184" s="126"/>
      <c r="L184" s="135"/>
      <c r="M184" s="126"/>
      <c r="N184" s="127"/>
      <c r="O184" s="127"/>
      <c r="P184" s="127"/>
      <c r="Q184" s="137"/>
      <c r="R184" s="130"/>
      <c r="S184" s="131"/>
      <c r="T184" s="130"/>
      <c r="U184" s="131"/>
      <c r="V184" s="130"/>
      <c r="W184" s="131"/>
      <c r="X184" s="130"/>
      <c r="Y184" s="131"/>
      <c r="Z184" s="130"/>
      <c r="AA184" s="131"/>
    </row>
    <row r="185" spans="1:27" x14ac:dyDescent="0.3">
      <c r="A185" s="126"/>
      <c r="B185" s="127"/>
      <c r="C185" s="127"/>
      <c r="D185" s="127"/>
      <c r="E185" s="126"/>
      <c r="G185" s="126"/>
      <c r="H185" s="126"/>
      <c r="I185" s="126"/>
      <c r="J185" s="127"/>
      <c r="K185" s="126"/>
      <c r="L185" s="135"/>
      <c r="M185" s="126"/>
      <c r="N185" s="127"/>
      <c r="O185" s="127"/>
      <c r="P185" s="127"/>
      <c r="Q185" s="137"/>
      <c r="R185" s="130"/>
      <c r="S185" s="131"/>
      <c r="T185" s="130"/>
      <c r="U185" s="131"/>
      <c r="V185" s="130"/>
      <c r="W185" s="131"/>
      <c r="X185" s="130"/>
      <c r="Y185" s="131"/>
      <c r="Z185" s="130"/>
      <c r="AA185" s="131"/>
    </row>
    <row r="186" spans="1:27" x14ac:dyDescent="0.3">
      <c r="A186" s="126"/>
      <c r="B186" s="127"/>
      <c r="C186" s="127"/>
      <c r="D186" s="127"/>
      <c r="E186" s="126"/>
      <c r="G186" s="126"/>
      <c r="H186" s="126"/>
      <c r="I186" s="126"/>
      <c r="J186" s="127"/>
      <c r="K186" s="126"/>
      <c r="L186" s="135"/>
      <c r="M186" s="126"/>
      <c r="N186" s="127"/>
      <c r="O186" s="127"/>
      <c r="P186" s="127"/>
      <c r="Q186" s="137"/>
      <c r="R186" s="130"/>
      <c r="S186" s="131"/>
      <c r="T186" s="130"/>
      <c r="U186" s="131"/>
      <c r="V186" s="130"/>
      <c r="W186" s="131"/>
      <c r="X186" s="130"/>
      <c r="Y186" s="131"/>
      <c r="Z186" s="130"/>
      <c r="AA186" s="131"/>
    </row>
    <row r="187" spans="1:27" x14ac:dyDescent="0.3">
      <c r="A187" s="126"/>
      <c r="B187" s="127"/>
      <c r="C187" s="127"/>
      <c r="D187" s="127"/>
      <c r="E187" s="126"/>
      <c r="G187" s="126"/>
      <c r="H187" s="126"/>
      <c r="I187" s="126"/>
      <c r="J187" s="127"/>
      <c r="K187" s="126"/>
      <c r="L187" s="135"/>
      <c r="M187" s="126"/>
      <c r="N187" s="127"/>
      <c r="O187" s="127"/>
      <c r="P187" s="127"/>
      <c r="Q187" s="137"/>
      <c r="R187" s="130"/>
      <c r="S187" s="131"/>
      <c r="T187" s="130"/>
      <c r="U187" s="131"/>
      <c r="V187" s="130"/>
      <c r="W187" s="131"/>
      <c r="X187" s="130"/>
      <c r="Y187" s="131"/>
      <c r="Z187" s="130"/>
      <c r="AA187" s="131"/>
    </row>
    <row r="188" spans="1:27" x14ac:dyDescent="0.3">
      <c r="A188" s="126"/>
      <c r="B188" s="127"/>
      <c r="C188" s="127"/>
      <c r="D188" s="127"/>
      <c r="E188" s="126"/>
      <c r="G188" s="126"/>
      <c r="H188" s="126"/>
      <c r="I188" s="126"/>
      <c r="J188" s="127"/>
      <c r="K188" s="126"/>
      <c r="L188" s="135"/>
      <c r="M188" s="126"/>
      <c r="N188" s="127"/>
      <c r="O188" s="127"/>
      <c r="P188" s="127"/>
      <c r="Q188" s="137"/>
      <c r="R188" s="130"/>
      <c r="S188" s="131"/>
      <c r="T188" s="130"/>
      <c r="U188" s="131"/>
      <c r="V188" s="130"/>
      <c r="W188" s="131"/>
      <c r="X188" s="130"/>
      <c r="Y188" s="131"/>
      <c r="Z188" s="130"/>
      <c r="AA188" s="131"/>
    </row>
    <row r="189" spans="1:27" x14ac:dyDescent="0.3">
      <c r="A189" s="126"/>
      <c r="B189" s="127"/>
      <c r="C189" s="127"/>
      <c r="D189" s="127"/>
      <c r="E189" s="126"/>
      <c r="G189" s="126"/>
      <c r="H189" s="126"/>
      <c r="I189" s="126"/>
      <c r="J189" s="127"/>
      <c r="K189" s="126"/>
      <c r="L189" s="135"/>
      <c r="M189" s="126"/>
      <c r="N189" s="127"/>
      <c r="O189" s="127"/>
      <c r="P189" s="127"/>
      <c r="Q189" s="137"/>
      <c r="R189" s="130"/>
      <c r="S189" s="131"/>
      <c r="T189" s="130"/>
      <c r="U189" s="131"/>
      <c r="V189" s="130"/>
      <c r="W189" s="131"/>
      <c r="X189" s="130"/>
      <c r="Y189" s="131"/>
      <c r="Z189" s="130"/>
      <c r="AA189" s="131"/>
    </row>
    <row r="190" spans="1:27" x14ac:dyDescent="0.3">
      <c r="A190" s="126"/>
      <c r="B190" s="127"/>
      <c r="C190" s="127"/>
      <c r="D190" s="127"/>
      <c r="E190" s="126"/>
      <c r="G190" s="126"/>
      <c r="H190" s="126"/>
      <c r="I190" s="126"/>
      <c r="J190" s="127"/>
      <c r="K190" s="126"/>
      <c r="L190" s="135"/>
      <c r="M190" s="126"/>
      <c r="N190" s="127"/>
      <c r="O190" s="127"/>
      <c r="P190" s="127"/>
      <c r="Q190" s="137"/>
      <c r="R190" s="130"/>
      <c r="S190" s="131"/>
      <c r="T190" s="130"/>
      <c r="U190" s="131"/>
      <c r="V190" s="130"/>
      <c r="W190" s="131"/>
      <c r="X190" s="130"/>
      <c r="Y190" s="131"/>
      <c r="Z190" s="130"/>
      <c r="AA190" s="131"/>
    </row>
    <row r="191" spans="1:27" x14ac:dyDescent="0.3">
      <c r="A191" s="126"/>
      <c r="B191" s="127"/>
      <c r="C191" s="127"/>
      <c r="D191" s="127"/>
      <c r="E191" s="126"/>
      <c r="G191" s="126"/>
      <c r="H191" s="126"/>
      <c r="I191" s="126"/>
      <c r="J191" s="127"/>
      <c r="K191" s="126"/>
      <c r="L191" s="135"/>
      <c r="M191" s="126"/>
      <c r="N191" s="127"/>
      <c r="O191" s="127"/>
      <c r="P191" s="127"/>
      <c r="Q191" s="137"/>
      <c r="R191" s="130"/>
      <c r="S191" s="131"/>
      <c r="T191" s="130"/>
      <c r="U191" s="131"/>
      <c r="V191" s="130"/>
      <c r="W191" s="131"/>
      <c r="X191" s="130"/>
      <c r="Y191" s="131"/>
      <c r="Z191" s="130"/>
      <c r="AA191" s="131"/>
    </row>
    <row r="192" spans="1:27" x14ac:dyDescent="0.3">
      <c r="A192" s="126"/>
      <c r="B192" s="127"/>
      <c r="C192" s="127"/>
      <c r="D192" s="127"/>
      <c r="E192" s="126"/>
      <c r="G192" s="126"/>
      <c r="H192" s="126"/>
      <c r="I192" s="126"/>
      <c r="J192" s="127"/>
      <c r="K192" s="126"/>
      <c r="L192" s="135"/>
      <c r="M192" s="126"/>
      <c r="N192" s="127"/>
      <c r="O192" s="127"/>
      <c r="P192" s="127"/>
      <c r="Q192" s="137"/>
      <c r="R192" s="130"/>
      <c r="S192" s="131"/>
      <c r="T192" s="130"/>
      <c r="U192" s="131"/>
      <c r="V192" s="130"/>
      <c r="W192" s="131"/>
      <c r="X192" s="130"/>
      <c r="Y192" s="131"/>
      <c r="Z192" s="130"/>
      <c r="AA192" s="131"/>
    </row>
    <row r="193" spans="1:27" x14ac:dyDescent="0.3">
      <c r="A193" s="126"/>
      <c r="B193" s="127"/>
      <c r="C193" s="127"/>
      <c r="D193" s="127"/>
      <c r="E193" s="126"/>
      <c r="G193" s="126"/>
      <c r="H193" s="126"/>
      <c r="I193" s="126"/>
      <c r="J193" s="127"/>
      <c r="K193" s="126"/>
      <c r="L193" s="135"/>
      <c r="M193" s="126"/>
      <c r="N193" s="127"/>
      <c r="O193" s="127"/>
      <c r="P193" s="127"/>
      <c r="Q193" s="137"/>
      <c r="R193" s="130"/>
      <c r="S193" s="131"/>
      <c r="T193" s="130"/>
      <c r="U193" s="131"/>
      <c r="V193" s="130"/>
      <c r="W193" s="131"/>
      <c r="X193" s="130"/>
      <c r="Y193" s="131"/>
      <c r="Z193" s="130"/>
      <c r="AA193" s="131"/>
    </row>
    <row r="194" spans="1:27" x14ac:dyDescent="0.3">
      <c r="A194" s="126"/>
      <c r="B194" s="127"/>
      <c r="C194" s="127"/>
      <c r="D194" s="127"/>
      <c r="E194" s="126"/>
      <c r="G194" s="126"/>
      <c r="H194" s="126"/>
      <c r="I194" s="126"/>
      <c r="J194" s="127"/>
      <c r="K194" s="126"/>
      <c r="L194" s="135"/>
      <c r="M194" s="126"/>
      <c r="N194" s="127"/>
      <c r="O194" s="127"/>
      <c r="P194" s="127"/>
      <c r="Q194" s="137"/>
      <c r="R194" s="130"/>
      <c r="S194" s="131"/>
      <c r="T194" s="130"/>
      <c r="U194" s="131"/>
      <c r="V194" s="130"/>
      <c r="W194" s="131"/>
      <c r="X194" s="130"/>
      <c r="Y194" s="131"/>
      <c r="Z194" s="130"/>
      <c r="AA194" s="131"/>
    </row>
    <row r="195" spans="1:27" x14ac:dyDescent="0.3">
      <c r="A195" s="126"/>
      <c r="B195" s="127"/>
      <c r="C195" s="127"/>
      <c r="D195" s="127"/>
      <c r="E195" s="126"/>
      <c r="G195" s="126"/>
      <c r="H195" s="126"/>
      <c r="I195" s="126"/>
      <c r="J195" s="127"/>
      <c r="K195" s="126"/>
      <c r="L195" s="135"/>
      <c r="M195" s="126"/>
      <c r="N195" s="127"/>
      <c r="O195" s="127"/>
      <c r="P195" s="127"/>
      <c r="Q195" s="137"/>
      <c r="R195" s="130"/>
      <c r="S195" s="131"/>
      <c r="T195" s="130"/>
      <c r="U195" s="131"/>
      <c r="V195" s="130"/>
      <c r="W195" s="131"/>
      <c r="X195" s="130"/>
      <c r="Y195" s="131"/>
      <c r="Z195" s="130"/>
      <c r="AA195" s="131"/>
    </row>
    <row r="196" spans="1:27" x14ac:dyDescent="0.3">
      <c r="A196" s="126"/>
      <c r="B196" s="127"/>
      <c r="C196" s="127"/>
      <c r="D196" s="127"/>
      <c r="E196" s="126"/>
      <c r="G196" s="126"/>
      <c r="H196" s="126"/>
      <c r="I196" s="126"/>
      <c r="J196" s="127"/>
      <c r="K196" s="126"/>
      <c r="L196" s="135"/>
      <c r="M196" s="126"/>
      <c r="N196" s="127"/>
      <c r="O196" s="127"/>
      <c r="P196" s="127"/>
      <c r="Q196" s="137"/>
      <c r="R196" s="130"/>
      <c r="S196" s="131"/>
      <c r="T196" s="130"/>
      <c r="U196" s="131"/>
      <c r="V196" s="130"/>
      <c r="W196" s="131"/>
      <c r="X196" s="130"/>
      <c r="Y196" s="131"/>
      <c r="Z196" s="130"/>
      <c r="AA196" s="131"/>
    </row>
    <row r="197" spans="1:27" x14ac:dyDescent="0.3">
      <c r="A197" s="126"/>
      <c r="B197" s="127"/>
      <c r="C197" s="127"/>
      <c r="D197" s="127"/>
      <c r="E197" s="126"/>
      <c r="G197" s="126"/>
      <c r="H197" s="126"/>
      <c r="I197" s="126"/>
      <c r="J197" s="127"/>
      <c r="K197" s="126"/>
      <c r="L197" s="135"/>
      <c r="M197" s="126"/>
      <c r="N197" s="127"/>
      <c r="O197" s="127"/>
      <c r="P197" s="127"/>
      <c r="Q197" s="137"/>
      <c r="R197" s="130"/>
      <c r="S197" s="131"/>
      <c r="T197" s="130"/>
      <c r="U197" s="131"/>
      <c r="V197" s="130"/>
      <c r="W197" s="131"/>
      <c r="X197" s="130"/>
      <c r="Y197" s="131"/>
      <c r="Z197" s="130"/>
      <c r="AA197" s="131"/>
    </row>
    <row r="198" spans="1:27" x14ac:dyDescent="0.3">
      <c r="A198" s="126"/>
      <c r="B198" s="127"/>
      <c r="C198" s="127"/>
      <c r="D198" s="127"/>
      <c r="E198" s="126"/>
      <c r="G198" s="126"/>
      <c r="H198" s="126"/>
      <c r="I198" s="126"/>
      <c r="J198" s="127"/>
      <c r="K198" s="126"/>
      <c r="L198" s="135"/>
      <c r="M198" s="126"/>
      <c r="N198" s="127"/>
      <c r="O198" s="127"/>
      <c r="P198" s="127"/>
      <c r="Q198" s="137"/>
      <c r="R198" s="130"/>
      <c r="S198" s="131"/>
      <c r="T198" s="130"/>
      <c r="U198" s="131"/>
      <c r="V198" s="130"/>
      <c r="W198" s="131"/>
      <c r="X198" s="130"/>
      <c r="Y198" s="131"/>
      <c r="Z198" s="130"/>
      <c r="AA198" s="131"/>
    </row>
    <row r="199" spans="1:27" x14ac:dyDescent="0.3">
      <c r="A199" s="126"/>
      <c r="B199" s="127"/>
      <c r="C199" s="127"/>
      <c r="D199" s="127"/>
      <c r="E199" s="126"/>
      <c r="G199" s="126"/>
      <c r="H199" s="126"/>
      <c r="I199" s="126"/>
      <c r="J199" s="127"/>
      <c r="K199" s="126"/>
      <c r="L199" s="135"/>
      <c r="M199" s="126"/>
      <c r="N199" s="127"/>
      <c r="O199" s="127"/>
      <c r="P199" s="127"/>
      <c r="Q199" s="137"/>
      <c r="R199" s="130"/>
      <c r="S199" s="131"/>
      <c r="T199" s="130"/>
      <c r="U199" s="131"/>
      <c r="V199" s="130"/>
      <c r="W199" s="131"/>
      <c r="X199" s="130"/>
      <c r="Y199" s="131"/>
      <c r="Z199" s="130"/>
      <c r="AA199" s="131"/>
    </row>
    <row r="200" spans="1:27" x14ac:dyDescent="0.3">
      <c r="A200" s="126"/>
      <c r="B200" s="127"/>
      <c r="C200" s="127"/>
      <c r="D200" s="127"/>
      <c r="E200" s="126"/>
      <c r="G200" s="126"/>
      <c r="H200" s="126"/>
      <c r="I200" s="126"/>
      <c r="J200" s="127"/>
      <c r="K200" s="126"/>
      <c r="L200" s="135"/>
      <c r="M200" s="126"/>
      <c r="N200" s="127"/>
      <c r="O200" s="127"/>
      <c r="P200" s="127"/>
      <c r="Q200" s="137"/>
      <c r="R200" s="130"/>
      <c r="S200" s="131"/>
      <c r="T200" s="130"/>
      <c r="U200" s="131"/>
      <c r="V200" s="130"/>
      <c r="W200" s="131"/>
      <c r="X200" s="130"/>
      <c r="Y200" s="131"/>
      <c r="Z200" s="130"/>
      <c r="AA200" s="131"/>
    </row>
    <row r="201" spans="1:27" x14ac:dyDescent="0.3">
      <c r="A201" s="126"/>
      <c r="B201" s="127"/>
      <c r="C201" s="127"/>
      <c r="D201" s="127"/>
      <c r="E201" s="126"/>
      <c r="G201" s="126"/>
      <c r="H201" s="126"/>
      <c r="I201" s="126"/>
      <c r="J201" s="127"/>
      <c r="K201" s="126"/>
      <c r="L201" s="135"/>
      <c r="M201" s="126"/>
      <c r="N201" s="127"/>
      <c r="O201" s="127"/>
      <c r="P201" s="127"/>
      <c r="Q201" s="137"/>
      <c r="R201" s="130"/>
      <c r="S201" s="131"/>
      <c r="T201" s="130"/>
      <c r="U201" s="131"/>
      <c r="V201" s="130"/>
      <c r="W201" s="131"/>
      <c r="X201" s="130"/>
      <c r="Y201" s="131"/>
      <c r="Z201" s="130"/>
      <c r="AA201" s="131"/>
    </row>
    <row r="202" spans="1:27" x14ac:dyDescent="0.3">
      <c r="A202" s="126"/>
      <c r="B202" s="127"/>
      <c r="C202" s="127"/>
      <c r="D202" s="127"/>
      <c r="E202" s="126"/>
      <c r="G202" s="126"/>
      <c r="H202" s="126"/>
      <c r="I202" s="126"/>
      <c r="J202" s="127"/>
      <c r="K202" s="126"/>
      <c r="L202" s="135"/>
      <c r="M202" s="126"/>
      <c r="N202" s="127"/>
      <c r="O202" s="127"/>
      <c r="P202" s="127"/>
      <c r="Q202" s="137"/>
      <c r="R202" s="130"/>
      <c r="S202" s="131"/>
      <c r="T202" s="130"/>
      <c r="U202" s="131"/>
      <c r="V202" s="130"/>
      <c r="W202" s="131"/>
      <c r="X202" s="130"/>
      <c r="Y202" s="131"/>
      <c r="Z202" s="130"/>
      <c r="AA202" s="131"/>
    </row>
  </sheetData>
  <sheetProtection algorithmName="SHA-512" hashValue="AFYxK/pg+W2HJyF2Pe1aCaL86PI3p5G2KquZXCw3zjnOkfhTzcnEvGHY15hjy3kwrhQeLRs1icZACrqu9o299w==" saltValue="fqwUkgR1bduMO+JsIWguzw==" spinCount="100000" sheet="1" objects="1" scenarios="1"/>
  <conditionalFormatting sqref="A3:AA3 A4:E202 G4:AA202 F4:F202">
    <cfRule type="expression" dxfId="100" priority="334">
      <formula>AND(COUNTA($A3:$AA3)=0,ROW()&lt;&gt;3)</formula>
    </cfRule>
  </conditionalFormatting>
  <conditionalFormatting sqref="F3:K3 A3:B202 G4:K202 F4:F202">
    <cfRule type="expression" dxfId="99" priority="340">
      <formula>AND(COUNTA($A3:$AA3)&gt;0,A3="")</formula>
    </cfRule>
  </conditionalFormatting>
  <conditionalFormatting sqref="I3:K202">
    <cfRule type="expression" dxfId="98" priority="8">
      <formula>IFERROR(NOT(LEFT($F3,FIND(" ",$F3)-1)="On-Road"),TRUE)</formula>
    </cfRule>
  </conditionalFormatting>
  <conditionalFormatting sqref="S3:S202">
    <cfRule type="expression" dxfId="97" priority="333">
      <formula>AND($R3="",COUNTA($R3:$S3)=0)</formula>
    </cfRule>
  </conditionalFormatting>
  <conditionalFormatting sqref="U3:U202">
    <cfRule type="expression" dxfId="96" priority="325">
      <formula>AND($T3="",COUNTA($T3:$U3)=0)</formula>
    </cfRule>
  </conditionalFormatting>
  <conditionalFormatting sqref="W3:W202">
    <cfRule type="expression" dxfId="95" priority="317">
      <formula>AND($V3="",COUNTA($V3:$W3)=0)</formula>
    </cfRule>
  </conditionalFormatting>
  <conditionalFormatting sqref="Y3:Y202">
    <cfRule type="expression" dxfId="94" priority="309">
      <formula>AND($X3="",COUNTA($X3:$Y3)=0)</formula>
    </cfRule>
  </conditionalFormatting>
  <conditionalFormatting sqref="AA3:AA202">
    <cfRule type="expression" dxfId="93" priority="308">
      <formula>AND($Z3="",COUNTA($Z3:$AA3)=0)</formula>
    </cfRule>
  </conditionalFormatting>
  <dataValidations count="9">
    <dataValidation type="list" allowBlank="1" showInputMessage="1" sqref="G3:G202" xr:uid="{C9ADCF83-2779-4400-ACF9-4DE63653AFEE}">
      <formula1>INDIRECT("Options_Fuels"&amp;SUBSTITUTE(LEFT(F3,FIND(" ",F3)-1),"-",""))</formula1>
    </dataValidation>
    <dataValidation type="list" allowBlank="1" showInputMessage="1" showErrorMessage="1" sqref="E3:E202" xr:uid="{EBCBA7F9-BC99-479A-AA28-CD51C7D15124}">
      <formula1>Options_Calendarizing</formula1>
    </dataValidation>
    <dataValidation type="list" allowBlank="1" showInputMessage="1" showErrorMessage="1" sqref="M3:M202" xr:uid="{1CC3D4F9-E5A2-450C-8531-B61884017A77}">
      <formula1>"Yes, No"</formula1>
    </dataValidation>
    <dataValidation type="list" allowBlank="1" showInputMessage="1" showErrorMessage="1" sqref="K3:K202" xr:uid="{FA181A12-F7CA-4634-9D75-C8DC734C2162}">
      <formula1>"Fuel, Milage"</formula1>
    </dataValidation>
    <dataValidation type="list" allowBlank="1" showInputMessage="1" showErrorMessage="1" sqref="I3:I202" xr:uid="{EAD5AE3A-1A04-4D08-B261-7360168CAB77}">
      <formula1>Options_UnitsDistance</formula1>
    </dataValidation>
    <dataValidation type="list" allowBlank="1" showInputMessage="1" showErrorMessage="1" sqref="I3:I202" xr:uid="{A5A77751-A1F3-45C0-966C-ACB8A8DB244B}">
      <formula1>INDIRECT(IF(LEFT(F3,FIND(" ",F3)-1)="On-Road","Options_UnitsDistance",""))</formula1>
    </dataValidation>
    <dataValidation type="list" allowBlank="1" showInputMessage="1" showErrorMessage="1" sqref="A3:A202" xr:uid="{514F1B2F-D406-4B2A-BD3B-B8F840C17C1E}">
      <formula1>List_Facilities</formula1>
    </dataValidation>
    <dataValidation type="list" allowBlank="1" showInputMessage="1" showErrorMessage="1" sqref="H3:H202" xr:uid="{A08677FA-81B8-4313-85C5-C476F95B84F5}">
      <formula1>Options_MobileLiquid</formula1>
    </dataValidation>
    <dataValidation type="list" allowBlank="1" showInputMessage="1" showErrorMessage="1" sqref="F3:F202" xr:uid="{629D6A69-71E4-44E2-AA9B-CDC7C9DDD868}">
      <formula1>Option_VehicleType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C25AA475-653A-4257-8F2A-4B35679C2FB9}">
          <x14:formula1>
            <xm:f>HIDE_MOBILE!$I$2:$I$6</xm:f>
          </x14:formula1>
          <xm:sqref>U3:U202 W3:W202 Y3:Y202 AA3:AA202 S3:S202</xm:sqref>
        </x14:dataValidation>
      </x14:dataValidations>
    </ext>
  </extLst>
  <tableParts count="1">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B75EF-C6D7-4E4A-9297-7998EC32C6EF}">
  <sheetPr codeName="Sheet11">
    <tabColor rgb="FF8C564B"/>
  </sheetPr>
  <dimension ref="A1:U502"/>
  <sheetViews>
    <sheetView workbookViewId="0">
      <selection activeCell="A7" sqref="A7"/>
    </sheetView>
  </sheetViews>
  <sheetFormatPr defaultColWidth="0" defaultRowHeight="14" zeroHeight="1" x14ac:dyDescent="0.3"/>
  <cols>
    <col min="1" max="4" width="16.7265625" style="45" customWidth="1"/>
    <col min="5" max="5" width="16.7265625" style="45" hidden="1" customWidth="1"/>
    <col min="6" max="20" width="16.7265625" style="45" customWidth="1"/>
    <col min="21" max="21" width="16.7265625" style="49" customWidth="1"/>
    <col min="22" max="16384" width="16.7265625" style="45" hidden="1"/>
  </cols>
  <sheetData>
    <row r="1" spans="1:21" ht="30" customHeight="1" x14ac:dyDescent="0.3">
      <c r="A1" s="69" t="s">
        <v>825</v>
      </c>
      <c r="B1" s="72"/>
      <c r="C1" s="70"/>
      <c r="D1" s="70"/>
      <c r="E1" s="70"/>
      <c r="F1" s="71"/>
      <c r="G1" s="43" t="s">
        <v>792</v>
      </c>
      <c r="H1" s="44"/>
      <c r="I1" s="44"/>
      <c r="J1" s="44"/>
      <c r="K1" s="44"/>
      <c r="L1" s="44"/>
      <c r="M1" s="44"/>
      <c r="N1" s="44"/>
      <c r="O1" s="44"/>
      <c r="P1" s="44"/>
      <c r="Q1" s="44"/>
      <c r="R1" s="44"/>
      <c r="S1" s="44"/>
      <c r="T1" s="44"/>
      <c r="U1" s="52"/>
    </row>
    <row r="2" spans="1:21" ht="30" customHeight="1" x14ac:dyDescent="0.3">
      <c r="A2" s="46" t="s">
        <v>22</v>
      </c>
      <c r="B2" s="53" t="s">
        <v>30</v>
      </c>
      <c r="C2" s="47" t="s">
        <v>633</v>
      </c>
      <c r="D2" s="68" t="s">
        <v>634</v>
      </c>
      <c r="E2" s="68" t="s">
        <v>635</v>
      </c>
      <c r="F2" s="48" t="s">
        <v>33</v>
      </c>
      <c r="G2" s="54" t="str" cm="1">
        <f>IF(INDEX(List_ChargeNumbers_Mobile, 1, ROUNDUP((COLUMN()+0)/3-2,0)) = 0,"",INDEX(List_ChargeNumbers_Mobile, 2, ROUNDUP((COLUMN()+0)/3-2,0))&amp;" Name")</f>
        <v/>
      </c>
      <c r="H2" s="55" t="str" cm="1">
        <f>IF(INDEX(List_ChargeNumbers_Mobile, 1, ROUNDUP((COLUMN()+0)/3-2,0)) = 0,"",INDEX(List_ChargeNumbers_Mobile, 2, ROUNDUP((COLUMN()+0)/3-2,0))&amp;" Reading")</f>
        <v/>
      </c>
      <c r="I2" s="56" t="str" cm="1">
        <f>IF(INDEX(List_ChargeNumbers_Mobile, 1, ROUNDUP((COLUMN()+0)/3-2,0)) = 0,"",INDEX(List_ChargeNumbers_Mobile, 2, ROUNDUP((COLUMN()+0)/3-2,0))&amp;" Cost")</f>
        <v/>
      </c>
      <c r="J2" s="54" t="str" cm="1">
        <f>IF(INDEX(List_ChargeNumbers_Mobile, 1, ROUNDUP((COLUMN()+0)/3-2,0)) = 0,"",INDEX(List_ChargeNumbers_Mobile, 2, ROUNDUP((COLUMN()+0)/3-2,0))&amp;" Name")</f>
        <v/>
      </c>
      <c r="K2" s="55" t="str" cm="1">
        <f>IF(INDEX(List_ChargeNumbers_Mobile, 1, ROUNDUP((COLUMN()+0)/3-2,0)) = 0,"",INDEX(List_ChargeNumbers_Mobile, 2, ROUNDUP((COLUMN()+0)/3-2,0))&amp;" Reading")</f>
        <v/>
      </c>
      <c r="L2" s="56" t="str" cm="1">
        <f>IF(INDEX(List_ChargeNumbers_Mobile, 1, ROUNDUP((COLUMN()+0)/3-2,0)) = 0,"",INDEX(List_ChargeNumbers_Mobile, 2, ROUNDUP((COLUMN()+0)/3-2,0))&amp;" Cost")</f>
        <v/>
      </c>
      <c r="M2" s="54" t="str" cm="1">
        <f>IF(INDEX(List_ChargeNumbers_Mobile, 1, ROUNDUP((COLUMN()+0)/3-2,0)) = 0,"",INDEX(List_ChargeNumbers_Mobile, 2, ROUNDUP((COLUMN()+0)/3-2,0))&amp;" Name")</f>
        <v/>
      </c>
      <c r="N2" s="55" t="str" cm="1">
        <f>IF(INDEX(List_ChargeNumbers_Mobile, 1, ROUNDUP((COLUMN()+0)/3-2,0)) = 0,"",INDEX(List_ChargeNumbers_Mobile, 2, ROUNDUP((COLUMN()+0)/3-2,0))&amp;" Reading")</f>
        <v/>
      </c>
      <c r="O2" s="56" t="str" cm="1">
        <f>IF(INDEX(List_ChargeNumbers_Mobile, 1, ROUNDUP((COLUMN()+0)/3-2,0)) = 0,"",INDEX(List_ChargeNumbers_Mobile, 2, ROUNDUP((COLUMN()+0)/3-2,0))&amp;" Cost")</f>
        <v/>
      </c>
      <c r="P2" s="54" t="str" cm="1">
        <f>IF(INDEX(List_ChargeNumbers_Mobile, 1, ROUNDUP((COLUMN()+0)/3-2,0)) = 0,"",INDEX(List_ChargeNumbers_Mobile, 2, ROUNDUP((COLUMN()+0)/3-2,0))&amp;" Name")</f>
        <v/>
      </c>
      <c r="Q2" s="55" t="str" cm="1">
        <f>IF(INDEX(List_ChargeNumbers_Mobile, 1, ROUNDUP((COLUMN()+0)/3-2,0)) = 0,"",INDEX(List_ChargeNumbers_Mobile, 2, ROUNDUP((COLUMN()+0)/3-2,0))&amp;" Reading")</f>
        <v/>
      </c>
      <c r="R2" s="56" t="str" cm="1">
        <f>IF(INDEX(List_ChargeNumbers_Mobile, 1, ROUNDUP((COLUMN()+0)/3-2,0)) = 0,"",INDEX(List_ChargeNumbers_Mobile, 2, ROUNDUP((COLUMN()+0)/3-2,0))&amp;" Cost")</f>
        <v/>
      </c>
      <c r="S2" s="54" t="str" cm="1">
        <f>IF(INDEX(List_ChargeNumbers_Mobile, 1, ROUNDUP((COLUMN()+0)/3-2,0)) = 0,"",INDEX(List_ChargeNumbers_Mobile, 2, ROUNDUP((COLUMN()+0)/3-2,0))&amp;" Name")</f>
        <v/>
      </c>
      <c r="T2" s="55" t="str" cm="1">
        <f>IF(INDEX(List_ChargeNumbers_Mobile, 1, ROUNDUP((COLUMN()+0)/3-2,0)) = 0,"",INDEX(List_ChargeNumbers_Mobile, 2, ROUNDUP((COLUMN()+0)/3-2,0))&amp;" Reading")</f>
        <v/>
      </c>
      <c r="U2" s="56" t="str" cm="1">
        <f>IF(INDEX(List_ChargeNumbers_Mobile, 1, ROUNDUP((COLUMN()+0)/3-2,0)) = 0,"",INDEX(List_ChargeNumbers_Mobile, 2, ROUNDUP((COLUMN()+0)/3-2,0))&amp;" Cost")</f>
        <v/>
      </c>
    </row>
    <row r="3" spans="1:21" x14ac:dyDescent="0.3">
      <c r="A3" s="126"/>
      <c r="B3" s="133"/>
      <c r="C3" s="127"/>
      <c r="D3" s="138"/>
      <c r="E3" s="138"/>
      <c r="F3" s="137"/>
      <c r="G3" s="58" t="str" cm="1">
        <f>IF(ISBLANK($A3),"",INDEX(Array_MobileCharges,MATCH($A3,List_MobileFuelMeters,0),ROUNDUP((COLUMN()+1)/3-2,0)))</f>
        <v/>
      </c>
      <c r="H3" s="127"/>
      <c r="I3" s="137"/>
      <c r="J3" s="58" t="str" cm="1">
        <f>IF(ISBLANK($A3),"",INDEX(Array_MobileCharges,MATCH($A3,List_MobileFuelMeters,0),ROUNDUP((COLUMN()+1)/3-2,0)))</f>
        <v/>
      </c>
      <c r="K3" s="127"/>
      <c r="L3" s="137"/>
      <c r="M3" s="58" t="str" cm="1">
        <f>IF(ISBLANK($A3),"",INDEX(Array_MobileCharges,MATCH($A3,List_MobileFuelMeters,0),ROUNDUP((COLUMN()+1)/3-2,0)))</f>
        <v/>
      </c>
      <c r="N3" s="127"/>
      <c r="O3" s="137"/>
      <c r="P3" s="58" t="str" cm="1">
        <f>IF(ISBLANK($A3),"",INDEX(Array_MobileCharges,MATCH($A3,List_MobileFuelMeters,0),ROUNDUP((COLUMN()+1)/3-2,0)))</f>
        <v/>
      </c>
      <c r="Q3" s="127"/>
      <c r="R3" s="137"/>
      <c r="S3" s="58" t="str" cm="1">
        <f>IF(ISBLANK($A3),"",INDEX(Array_MobileCharges,MATCH($A3,List_MobileFuelMeters,0),ROUNDUP((COLUMN()+1)/3-2,0)))</f>
        <v/>
      </c>
      <c r="T3" s="127"/>
      <c r="U3" s="137"/>
    </row>
    <row r="4" spans="1:21" x14ac:dyDescent="0.3">
      <c r="A4" s="126"/>
      <c r="B4" s="133"/>
      <c r="C4" s="127"/>
      <c r="D4" s="138"/>
      <c r="E4" s="138"/>
      <c r="F4" s="137"/>
      <c r="G4" s="58" t="str" cm="1">
        <f>IF(ISBLANK($A4),"",INDEX(Array_MobileCharges,MATCH($A4,List_MobileFuelMeters,0),ROUNDUP((COLUMN()+1)/3-2,0)))</f>
        <v/>
      </c>
      <c r="H4" s="127"/>
      <c r="I4" s="137"/>
      <c r="J4" s="58" t="str" cm="1">
        <f>IF(ISBLANK($A4),"",INDEX(Array_MobileCharges,MATCH($A4,List_MobileFuelMeters,0),ROUNDUP((COLUMN()+1)/3-2,0)))</f>
        <v/>
      </c>
      <c r="K4" s="127"/>
      <c r="L4" s="137"/>
      <c r="M4" s="58" t="str" cm="1">
        <f>IF(ISBLANK($A4),"",INDEX(Array_MobileCharges,MATCH($A4,List_MobileFuelMeters,0),ROUNDUP((COLUMN()+1)/3-2,0)))</f>
        <v/>
      </c>
      <c r="N4" s="127"/>
      <c r="O4" s="137"/>
      <c r="P4" s="58" t="str" cm="1">
        <f>IF(ISBLANK($A4),"",INDEX(Array_MobileCharges,MATCH($A4,List_MobileFuelMeters,0),ROUNDUP((COLUMN()+1)/3-2,0)))</f>
        <v/>
      </c>
      <c r="Q4" s="127"/>
      <c r="R4" s="137"/>
      <c r="S4" s="58" t="str" cm="1">
        <f>IF(ISBLANK($A4),"",INDEX(Array_MobileCharges,MATCH($A4,List_MobileFuelMeters,0),ROUNDUP((COLUMN()+1)/3-2,0)))</f>
        <v/>
      </c>
      <c r="T4" s="127"/>
      <c r="U4" s="137"/>
    </row>
    <row r="5" spans="1:21" x14ac:dyDescent="0.3">
      <c r="A5" s="126"/>
      <c r="B5" s="133"/>
      <c r="C5" s="127"/>
      <c r="D5" s="138"/>
      <c r="E5" s="138"/>
      <c r="F5" s="137"/>
      <c r="G5" s="58" t="str" cm="1">
        <f>IF(ISBLANK($A5),"",INDEX(Array_MobileCharges,MATCH($A5,List_MobileFuelMeters,0),ROUNDUP((COLUMN()+1)/3-2,0)))</f>
        <v/>
      </c>
      <c r="H5" s="127"/>
      <c r="I5" s="137"/>
      <c r="J5" s="58" t="str" cm="1">
        <f>IF(ISBLANK($A5),"",INDEX(Array_MobileCharges,MATCH($A5,List_MobileFuelMeters,0),ROUNDUP((COLUMN()+1)/3-2,0)))</f>
        <v/>
      </c>
      <c r="K5" s="127"/>
      <c r="L5" s="137"/>
      <c r="M5" s="58" t="str" cm="1">
        <f>IF(ISBLANK($A5),"",INDEX(Array_MobileCharges,MATCH($A5,List_MobileFuelMeters,0),ROUNDUP((COLUMN()+1)/3-2,0)))</f>
        <v/>
      </c>
      <c r="N5" s="127"/>
      <c r="O5" s="137"/>
      <c r="P5" s="58" t="str" cm="1">
        <f>IF(ISBLANK($A5),"",INDEX(Array_MobileCharges,MATCH($A5,List_MobileFuelMeters,0),ROUNDUP((COLUMN()+1)/3-2,0)))</f>
        <v/>
      </c>
      <c r="Q5" s="127"/>
      <c r="R5" s="137"/>
      <c r="S5" s="58" t="str" cm="1">
        <f>IF(ISBLANK($A5),"",INDEX(Array_MobileCharges,MATCH($A5,List_MobileFuelMeters,0),ROUNDUP((COLUMN()+1)/3-2,0)))</f>
        <v/>
      </c>
      <c r="T5" s="127"/>
      <c r="U5" s="137"/>
    </row>
    <row r="6" spans="1:21" x14ac:dyDescent="0.3">
      <c r="A6" s="126"/>
      <c r="B6" s="133"/>
      <c r="C6" s="127"/>
      <c r="D6" s="138"/>
      <c r="E6" s="138"/>
      <c r="F6" s="137"/>
      <c r="G6" s="58" t="str" cm="1">
        <f>IF(ISBLANK($A6),"",INDEX(Array_MobileCharges,MATCH($A6,List_MobileFuelMeters,0),ROUNDUP((COLUMN()+1)/3-2,0)))</f>
        <v/>
      </c>
      <c r="H6" s="127"/>
      <c r="I6" s="137"/>
      <c r="J6" s="58" t="str" cm="1">
        <f>IF(ISBLANK($A6),"",INDEX(Array_MobileCharges,MATCH($A6,List_MobileFuelMeters,0),ROUNDUP((COLUMN()+1)/3-2,0)))</f>
        <v/>
      </c>
      <c r="K6" s="127"/>
      <c r="L6" s="137"/>
      <c r="M6" s="58" t="str" cm="1">
        <f>IF(ISBLANK($A6),"",INDEX(Array_MobileCharges,MATCH($A6,List_MobileFuelMeters,0),ROUNDUP((COLUMN()+1)/3-2,0)))</f>
        <v/>
      </c>
      <c r="N6" s="127"/>
      <c r="O6" s="137"/>
      <c r="P6" s="58" t="str" cm="1">
        <f>IF(ISBLANK($A6),"",INDEX(Array_MobileCharges,MATCH($A6,List_MobileFuelMeters,0),ROUNDUP((COLUMN()+1)/3-2,0)))</f>
        <v/>
      </c>
      <c r="Q6" s="127"/>
      <c r="R6" s="137"/>
      <c r="S6" s="58" t="str" cm="1">
        <f>IF(ISBLANK($A6),"",INDEX(Array_MobileCharges,MATCH($A6,List_MobileFuelMeters,0),ROUNDUP((COLUMN()+1)/3-2,0)))</f>
        <v/>
      </c>
      <c r="T6" s="127"/>
      <c r="U6" s="137"/>
    </row>
    <row r="7" spans="1:21" x14ac:dyDescent="0.3">
      <c r="A7" s="126"/>
      <c r="B7" s="133"/>
      <c r="C7" s="127"/>
      <c r="D7" s="138"/>
      <c r="E7" s="138"/>
      <c r="F7" s="137"/>
      <c r="G7" s="58" t="str" cm="1">
        <f>IF(ISBLANK($A7),"",INDEX(Array_MobileCharges,MATCH($A7,List_MobileFuelMeters,0),ROUNDUP((COLUMN()+1)/3-2,0)))</f>
        <v/>
      </c>
      <c r="H7" s="127"/>
      <c r="I7" s="137"/>
      <c r="J7" s="58" t="str" cm="1">
        <f>IF(ISBLANK($A7),"",INDEX(Array_MobileCharges,MATCH($A7,List_MobileFuelMeters,0),ROUNDUP((COLUMN()+1)/3-2,0)))</f>
        <v/>
      </c>
      <c r="K7" s="127"/>
      <c r="L7" s="137"/>
      <c r="M7" s="58" t="str" cm="1">
        <f>IF(ISBLANK($A7),"",INDEX(Array_MobileCharges,MATCH($A7,List_MobileFuelMeters,0),ROUNDUP((COLUMN()+1)/3-2,0)))</f>
        <v/>
      </c>
      <c r="N7" s="127"/>
      <c r="O7" s="137"/>
      <c r="P7" s="58" t="str" cm="1">
        <f>IF(ISBLANK($A7),"",INDEX(Array_MobileCharges,MATCH($A7,List_MobileFuelMeters,0),ROUNDUP((COLUMN()+1)/3-2,0)))</f>
        <v/>
      </c>
      <c r="Q7" s="127"/>
      <c r="R7" s="137"/>
      <c r="S7" s="58" t="str" cm="1">
        <f>IF(ISBLANK($A7),"",INDEX(Array_MobileCharges,MATCH($A7,List_MobileFuelMeters,0),ROUNDUP((COLUMN()+1)/3-2,0)))</f>
        <v/>
      </c>
      <c r="T7" s="127"/>
      <c r="U7" s="137"/>
    </row>
    <row r="8" spans="1:21" x14ac:dyDescent="0.3">
      <c r="A8" s="126"/>
      <c r="B8" s="133"/>
      <c r="C8" s="127"/>
      <c r="D8" s="138"/>
      <c r="E8" s="138"/>
      <c r="F8" s="137"/>
      <c r="G8" s="58" t="str" cm="1">
        <f>IF(ISBLANK($A8),"",INDEX(Array_MobileCharges,MATCH($A8,List_MobileFuelMeters,0),ROUNDUP((COLUMN()+1)/3-2,0)))</f>
        <v/>
      </c>
      <c r="H8" s="127"/>
      <c r="I8" s="137"/>
      <c r="J8" s="58" t="str" cm="1">
        <f>IF(ISBLANK($A8),"",INDEX(Array_MobileCharges,MATCH($A8,List_MobileFuelMeters,0),ROUNDUP((COLUMN()+1)/3-2,0)))</f>
        <v/>
      </c>
      <c r="K8" s="127"/>
      <c r="L8" s="137"/>
      <c r="M8" s="58" t="str" cm="1">
        <f>IF(ISBLANK($A8),"",INDEX(Array_MobileCharges,MATCH($A8,List_MobileFuelMeters,0),ROUNDUP((COLUMN()+1)/3-2,0)))</f>
        <v/>
      </c>
      <c r="N8" s="127"/>
      <c r="O8" s="137"/>
      <c r="P8" s="58" t="str" cm="1">
        <f>IF(ISBLANK($A8),"",INDEX(Array_MobileCharges,MATCH($A8,List_MobileFuelMeters,0),ROUNDUP((COLUMN()+1)/3-2,0)))</f>
        <v/>
      </c>
      <c r="Q8" s="127"/>
      <c r="R8" s="137"/>
      <c r="S8" s="58" t="str" cm="1">
        <f>IF(ISBLANK($A8),"",INDEX(Array_MobileCharges,MATCH($A8,List_MobileFuelMeters,0),ROUNDUP((COLUMN()+1)/3-2,0)))</f>
        <v/>
      </c>
      <c r="T8" s="127"/>
      <c r="U8" s="137"/>
    </row>
    <row r="9" spans="1:21" x14ac:dyDescent="0.3">
      <c r="A9" s="126"/>
      <c r="B9" s="133"/>
      <c r="C9" s="127"/>
      <c r="D9" s="138"/>
      <c r="E9" s="138"/>
      <c r="F9" s="137"/>
      <c r="G9" s="58" t="str" cm="1">
        <f>IF(ISBLANK($A9),"",INDEX(Array_MobileCharges,MATCH($A9,List_MobileFuelMeters,0),ROUNDUP((COLUMN()+1)/3-2,0)))</f>
        <v/>
      </c>
      <c r="H9" s="127"/>
      <c r="I9" s="137"/>
      <c r="J9" s="58" t="str" cm="1">
        <f>IF(ISBLANK($A9),"",INDEX(Array_MobileCharges,MATCH($A9,List_MobileFuelMeters,0),ROUNDUP((COLUMN()+1)/3-2,0)))</f>
        <v/>
      </c>
      <c r="K9" s="127"/>
      <c r="L9" s="137"/>
      <c r="M9" s="58" t="str" cm="1">
        <f>IF(ISBLANK($A9),"",INDEX(Array_MobileCharges,MATCH($A9,List_MobileFuelMeters,0),ROUNDUP((COLUMN()+1)/3-2,0)))</f>
        <v/>
      </c>
      <c r="N9" s="127"/>
      <c r="O9" s="137"/>
      <c r="P9" s="58" t="str" cm="1">
        <f>IF(ISBLANK($A9),"",INDEX(Array_MobileCharges,MATCH($A9,List_MobileFuelMeters,0),ROUNDUP((COLUMN()+1)/3-2,0)))</f>
        <v/>
      </c>
      <c r="Q9" s="127"/>
      <c r="R9" s="137"/>
      <c r="S9" s="58" t="str" cm="1">
        <f>IF(ISBLANK($A9),"",INDEX(Array_MobileCharges,MATCH($A9,List_MobileFuelMeters,0),ROUNDUP((COLUMN()+1)/3-2,0)))</f>
        <v/>
      </c>
      <c r="T9" s="127"/>
      <c r="U9" s="137"/>
    </row>
    <row r="10" spans="1:21" x14ac:dyDescent="0.3">
      <c r="A10" s="126"/>
      <c r="B10" s="133"/>
      <c r="C10" s="127"/>
      <c r="D10" s="138"/>
      <c r="E10" s="138"/>
      <c r="F10" s="137"/>
      <c r="G10" s="58" t="str" cm="1">
        <f>IF(ISBLANK($A10),"",INDEX(Array_MobileCharges,MATCH($A10,List_MobileFuelMeters,0),ROUNDUP((COLUMN()+1)/3-2,0)))</f>
        <v/>
      </c>
      <c r="H10" s="127"/>
      <c r="I10" s="137"/>
      <c r="J10" s="58" t="str" cm="1">
        <f>IF(ISBLANK($A10),"",INDEX(Array_MobileCharges,MATCH($A10,List_MobileFuelMeters,0),ROUNDUP((COLUMN()+1)/3-2,0)))</f>
        <v/>
      </c>
      <c r="K10" s="127"/>
      <c r="L10" s="137"/>
      <c r="M10" s="58" t="str" cm="1">
        <f>IF(ISBLANK($A10),"",INDEX(Array_MobileCharges,MATCH($A10,List_MobileFuelMeters,0),ROUNDUP((COLUMN()+1)/3-2,0)))</f>
        <v/>
      </c>
      <c r="N10" s="127"/>
      <c r="O10" s="137"/>
      <c r="P10" s="58" t="str" cm="1">
        <f>IF(ISBLANK($A10),"",INDEX(Array_MobileCharges,MATCH($A10,List_MobileFuelMeters,0),ROUNDUP((COLUMN()+1)/3-2,0)))</f>
        <v/>
      </c>
      <c r="Q10" s="127"/>
      <c r="R10" s="137"/>
      <c r="S10" s="58" t="str" cm="1">
        <f>IF(ISBLANK($A10),"",INDEX(Array_MobileCharges,MATCH($A10,List_MobileFuelMeters,0),ROUNDUP((COLUMN()+1)/3-2,0)))</f>
        <v/>
      </c>
      <c r="T10" s="127"/>
      <c r="U10" s="137"/>
    </row>
    <row r="11" spans="1:21" x14ac:dyDescent="0.3">
      <c r="A11" s="126"/>
      <c r="B11" s="133"/>
      <c r="C11" s="127"/>
      <c r="D11" s="138"/>
      <c r="E11" s="138"/>
      <c r="F11" s="137"/>
      <c r="G11" s="58" t="str" cm="1">
        <f>IF(ISBLANK($A11),"",INDEX(Array_MobileCharges,MATCH($A11,List_MobileFuelMeters,0),ROUNDUP((COLUMN()+1)/3-2,0)))</f>
        <v/>
      </c>
      <c r="H11" s="127"/>
      <c r="I11" s="137"/>
      <c r="J11" s="58" t="str" cm="1">
        <f>IF(ISBLANK($A11),"",INDEX(Array_MobileCharges,MATCH($A11,List_MobileFuelMeters,0),ROUNDUP((COLUMN()+1)/3-2,0)))</f>
        <v/>
      </c>
      <c r="K11" s="127"/>
      <c r="L11" s="137"/>
      <c r="M11" s="58" t="str" cm="1">
        <f>IF(ISBLANK($A11),"",INDEX(Array_MobileCharges,MATCH($A11,List_MobileFuelMeters,0),ROUNDUP((COLUMN()+1)/3-2,0)))</f>
        <v/>
      </c>
      <c r="N11" s="127"/>
      <c r="O11" s="137"/>
      <c r="P11" s="58" t="str" cm="1">
        <f>IF(ISBLANK($A11),"",INDEX(Array_MobileCharges,MATCH($A11,List_MobileFuelMeters,0),ROUNDUP((COLUMN()+1)/3-2,0)))</f>
        <v/>
      </c>
      <c r="Q11" s="127"/>
      <c r="R11" s="137"/>
      <c r="S11" s="58" t="str" cm="1">
        <f>IF(ISBLANK($A11),"",INDEX(Array_MobileCharges,MATCH($A11,List_MobileFuelMeters,0),ROUNDUP((COLUMN()+1)/3-2,0)))</f>
        <v/>
      </c>
      <c r="T11" s="127"/>
      <c r="U11" s="137"/>
    </row>
    <row r="12" spans="1:21" x14ac:dyDescent="0.3">
      <c r="A12" s="126"/>
      <c r="B12" s="133"/>
      <c r="C12" s="127"/>
      <c r="D12" s="138"/>
      <c r="E12" s="138"/>
      <c r="F12" s="137"/>
      <c r="G12" s="58" t="str" cm="1">
        <f>IF(ISBLANK($A12),"",INDEX(Array_MobileCharges,MATCH($A12,List_MobileFuelMeters,0),ROUNDUP((COLUMN()+1)/3-2,0)))</f>
        <v/>
      </c>
      <c r="H12" s="127"/>
      <c r="I12" s="137"/>
      <c r="J12" s="58" t="str" cm="1">
        <f>IF(ISBLANK($A12),"",INDEX(Array_MobileCharges,MATCH($A12,List_MobileFuelMeters,0),ROUNDUP((COLUMN()+1)/3-2,0)))</f>
        <v/>
      </c>
      <c r="K12" s="127"/>
      <c r="L12" s="137"/>
      <c r="M12" s="58" t="str" cm="1">
        <f>IF(ISBLANK($A12),"",INDEX(Array_MobileCharges,MATCH($A12,List_MobileFuelMeters,0),ROUNDUP((COLUMN()+1)/3-2,0)))</f>
        <v/>
      </c>
      <c r="N12" s="127"/>
      <c r="O12" s="137"/>
      <c r="P12" s="58" t="str" cm="1">
        <f>IF(ISBLANK($A12),"",INDEX(Array_MobileCharges,MATCH($A12,List_MobileFuelMeters,0),ROUNDUP((COLUMN()+1)/3-2,0)))</f>
        <v/>
      </c>
      <c r="Q12" s="127"/>
      <c r="R12" s="137"/>
      <c r="S12" s="58" t="str" cm="1">
        <f>IF(ISBLANK($A12),"",INDEX(Array_MobileCharges,MATCH($A12,List_MobileFuelMeters,0),ROUNDUP((COLUMN()+1)/3-2,0)))</f>
        <v/>
      </c>
      <c r="T12" s="127"/>
      <c r="U12" s="137"/>
    </row>
    <row r="13" spans="1:21" x14ac:dyDescent="0.3">
      <c r="A13" s="126"/>
      <c r="B13" s="133"/>
      <c r="C13" s="127"/>
      <c r="D13" s="138"/>
      <c r="E13" s="138"/>
      <c r="F13" s="137"/>
      <c r="G13" s="58" t="str" cm="1">
        <f>IF(ISBLANK($A13),"",INDEX(Array_MobileCharges,MATCH($A13,List_MobileFuelMeters,0),ROUNDUP((COLUMN()+1)/3-2,0)))</f>
        <v/>
      </c>
      <c r="H13" s="127"/>
      <c r="I13" s="137"/>
      <c r="J13" s="58" t="str" cm="1">
        <f>IF(ISBLANK($A13),"",INDEX(Array_MobileCharges,MATCH($A13,List_MobileFuelMeters,0),ROUNDUP((COLUMN()+1)/3-2,0)))</f>
        <v/>
      </c>
      <c r="K13" s="127"/>
      <c r="L13" s="137"/>
      <c r="M13" s="58" t="str" cm="1">
        <f>IF(ISBLANK($A13),"",INDEX(Array_MobileCharges,MATCH($A13,List_MobileFuelMeters,0),ROUNDUP((COLUMN()+1)/3-2,0)))</f>
        <v/>
      </c>
      <c r="N13" s="127"/>
      <c r="O13" s="137"/>
      <c r="P13" s="58" t="str" cm="1">
        <f>IF(ISBLANK($A13),"",INDEX(Array_MobileCharges,MATCH($A13,List_MobileFuelMeters,0),ROUNDUP((COLUMN()+1)/3-2,0)))</f>
        <v/>
      </c>
      <c r="Q13" s="127"/>
      <c r="R13" s="137"/>
      <c r="S13" s="58" t="str" cm="1">
        <f>IF(ISBLANK($A13),"",INDEX(Array_MobileCharges,MATCH($A13,List_MobileFuelMeters,0),ROUNDUP((COLUMN()+1)/3-2,0)))</f>
        <v/>
      </c>
      <c r="T13" s="127"/>
      <c r="U13" s="137"/>
    </row>
    <row r="14" spans="1:21" x14ac:dyDescent="0.3">
      <c r="A14" s="126"/>
      <c r="B14" s="133"/>
      <c r="C14" s="127"/>
      <c r="D14" s="138"/>
      <c r="E14" s="138"/>
      <c r="F14" s="137"/>
      <c r="G14" s="58" t="str" cm="1">
        <f>IF(ISBLANK($A14),"",INDEX(Array_MobileCharges,MATCH($A14,List_MobileFuelMeters,0),ROUNDUP((COLUMN()+1)/3-2,0)))</f>
        <v/>
      </c>
      <c r="H14" s="127"/>
      <c r="I14" s="137"/>
      <c r="J14" s="58" t="str" cm="1">
        <f>IF(ISBLANK($A14),"",INDEX(Array_MobileCharges,MATCH($A14,List_MobileFuelMeters,0),ROUNDUP((COLUMN()+1)/3-2,0)))</f>
        <v/>
      </c>
      <c r="K14" s="127"/>
      <c r="L14" s="137"/>
      <c r="M14" s="58" t="str" cm="1">
        <f>IF(ISBLANK($A14),"",INDEX(Array_MobileCharges,MATCH($A14,List_MobileFuelMeters,0),ROUNDUP((COLUMN()+1)/3-2,0)))</f>
        <v/>
      </c>
      <c r="N14" s="127"/>
      <c r="O14" s="137"/>
      <c r="P14" s="58" t="str" cm="1">
        <f>IF(ISBLANK($A14),"",INDEX(Array_MobileCharges,MATCH($A14,List_MobileFuelMeters,0),ROUNDUP((COLUMN()+1)/3-2,0)))</f>
        <v/>
      </c>
      <c r="Q14" s="127"/>
      <c r="R14" s="137"/>
      <c r="S14" s="58" t="str" cm="1">
        <f>IF(ISBLANK($A14),"",INDEX(Array_MobileCharges,MATCH($A14,List_MobileFuelMeters,0),ROUNDUP((COLUMN()+1)/3-2,0)))</f>
        <v/>
      </c>
      <c r="T14" s="127"/>
      <c r="U14" s="137"/>
    </row>
    <row r="15" spans="1:21" x14ac:dyDescent="0.3">
      <c r="A15" s="126"/>
      <c r="B15" s="133"/>
      <c r="C15" s="127"/>
      <c r="D15" s="138"/>
      <c r="E15" s="138"/>
      <c r="F15" s="137"/>
      <c r="G15" s="58" t="str" cm="1">
        <f>IF(ISBLANK($A15),"",INDEX(Array_MobileCharges,MATCH($A15,List_MobileFuelMeters,0),ROUNDUP((COLUMN()+1)/3-2,0)))</f>
        <v/>
      </c>
      <c r="H15" s="127"/>
      <c r="I15" s="137"/>
      <c r="J15" s="58" t="str" cm="1">
        <f>IF(ISBLANK($A15),"",INDEX(Array_MobileCharges,MATCH($A15,List_MobileFuelMeters,0),ROUNDUP((COLUMN()+1)/3-2,0)))</f>
        <v/>
      </c>
      <c r="K15" s="127"/>
      <c r="L15" s="137"/>
      <c r="M15" s="58" t="str" cm="1">
        <f>IF(ISBLANK($A15),"",INDEX(Array_MobileCharges,MATCH($A15,List_MobileFuelMeters,0),ROUNDUP((COLUMN()+1)/3-2,0)))</f>
        <v/>
      </c>
      <c r="N15" s="127"/>
      <c r="O15" s="137"/>
      <c r="P15" s="58" t="str" cm="1">
        <f>IF(ISBLANK($A15),"",INDEX(Array_MobileCharges,MATCH($A15,List_MobileFuelMeters,0),ROUNDUP((COLUMN()+1)/3-2,0)))</f>
        <v/>
      </c>
      <c r="Q15" s="127"/>
      <c r="R15" s="137"/>
      <c r="S15" s="58" t="str" cm="1">
        <f>IF(ISBLANK($A15),"",INDEX(Array_MobileCharges,MATCH($A15,List_MobileFuelMeters,0),ROUNDUP((COLUMN()+1)/3-2,0)))</f>
        <v/>
      </c>
      <c r="T15" s="127"/>
      <c r="U15" s="137"/>
    </row>
    <row r="16" spans="1:21" x14ac:dyDescent="0.3">
      <c r="A16" s="126"/>
      <c r="B16" s="133"/>
      <c r="C16" s="127"/>
      <c r="D16" s="138"/>
      <c r="E16" s="138"/>
      <c r="F16" s="137"/>
      <c r="G16" s="58" t="str" cm="1">
        <f>IF(ISBLANK($A16),"",INDEX(Array_MobileCharges,MATCH($A16,List_MobileFuelMeters,0),ROUNDUP((COLUMN()+1)/3-2,0)))</f>
        <v/>
      </c>
      <c r="H16" s="127"/>
      <c r="I16" s="137"/>
      <c r="J16" s="58" t="str" cm="1">
        <f>IF(ISBLANK($A16),"",INDEX(Array_MobileCharges,MATCH($A16,List_MobileFuelMeters,0),ROUNDUP((COLUMN()+1)/3-2,0)))</f>
        <v/>
      </c>
      <c r="K16" s="127"/>
      <c r="L16" s="137"/>
      <c r="M16" s="58" t="str" cm="1">
        <f>IF(ISBLANK($A16),"",INDEX(Array_MobileCharges,MATCH($A16,List_MobileFuelMeters,0),ROUNDUP((COLUMN()+1)/3-2,0)))</f>
        <v/>
      </c>
      <c r="N16" s="127"/>
      <c r="O16" s="137"/>
      <c r="P16" s="58" t="str" cm="1">
        <f>IF(ISBLANK($A16),"",INDEX(Array_MobileCharges,MATCH($A16,List_MobileFuelMeters,0),ROUNDUP((COLUMN()+1)/3-2,0)))</f>
        <v/>
      </c>
      <c r="Q16" s="127"/>
      <c r="R16" s="137"/>
      <c r="S16" s="58" t="str" cm="1">
        <f>IF(ISBLANK($A16),"",INDEX(Array_MobileCharges,MATCH($A16,List_MobileFuelMeters,0),ROUNDUP((COLUMN()+1)/3-2,0)))</f>
        <v/>
      </c>
      <c r="T16" s="127"/>
      <c r="U16" s="137"/>
    </row>
    <row r="17" spans="1:21" x14ac:dyDescent="0.3">
      <c r="A17" s="126"/>
      <c r="B17" s="133"/>
      <c r="C17" s="127"/>
      <c r="D17" s="138"/>
      <c r="E17" s="138"/>
      <c r="F17" s="137"/>
      <c r="G17" s="58" t="str" cm="1">
        <f>IF(ISBLANK($A17),"",INDEX(Array_MobileCharges,MATCH($A17,List_MobileFuelMeters,0),ROUNDUP((COLUMN()+1)/3-2,0)))</f>
        <v/>
      </c>
      <c r="H17" s="127"/>
      <c r="I17" s="137"/>
      <c r="J17" s="58" t="str" cm="1">
        <f>IF(ISBLANK($A17),"",INDEX(Array_MobileCharges,MATCH($A17,List_MobileFuelMeters,0),ROUNDUP((COLUMN()+1)/3-2,0)))</f>
        <v/>
      </c>
      <c r="K17" s="127"/>
      <c r="L17" s="137"/>
      <c r="M17" s="58" t="str" cm="1">
        <f>IF(ISBLANK($A17),"",INDEX(Array_MobileCharges,MATCH($A17,List_MobileFuelMeters,0),ROUNDUP((COLUMN()+1)/3-2,0)))</f>
        <v/>
      </c>
      <c r="N17" s="127"/>
      <c r="O17" s="137"/>
      <c r="P17" s="58" t="str" cm="1">
        <f>IF(ISBLANK($A17),"",INDEX(Array_MobileCharges,MATCH($A17,List_MobileFuelMeters,0),ROUNDUP((COLUMN()+1)/3-2,0)))</f>
        <v/>
      </c>
      <c r="Q17" s="127"/>
      <c r="R17" s="137"/>
      <c r="S17" s="58" t="str" cm="1">
        <f>IF(ISBLANK($A17),"",INDEX(Array_MobileCharges,MATCH($A17,List_MobileFuelMeters,0),ROUNDUP((COLUMN()+1)/3-2,0)))</f>
        <v/>
      </c>
      <c r="T17" s="127"/>
      <c r="U17" s="137"/>
    </row>
    <row r="18" spans="1:21" x14ac:dyDescent="0.3">
      <c r="A18" s="126"/>
      <c r="B18" s="133"/>
      <c r="C18" s="127"/>
      <c r="D18" s="138"/>
      <c r="E18" s="138"/>
      <c r="F18" s="137"/>
      <c r="G18" s="58" t="str" cm="1">
        <f>IF(ISBLANK($A18),"",INDEX(Array_MobileCharges,MATCH($A18,List_MobileFuelMeters,0),ROUNDUP((COLUMN()+1)/3-2,0)))</f>
        <v/>
      </c>
      <c r="H18" s="127"/>
      <c r="I18" s="137"/>
      <c r="J18" s="58" t="str" cm="1">
        <f>IF(ISBLANK($A18),"",INDEX(Array_MobileCharges,MATCH($A18,List_MobileFuelMeters,0),ROUNDUP((COLUMN()+1)/3-2,0)))</f>
        <v/>
      </c>
      <c r="K18" s="127"/>
      <c r="L18" s="137"/>
      <c r="M18" s="58" t="str" cm="1">
        <f>IF(ISBLANK($A18),"",INDEX(Array_MobileCharges,MATCH($A18,List_MobileFuelMeters,0),ROUNDUP((COLUMN()+1)/3-2,0)))</f>
        <v/>
      </c>
      <c r="N18" s="127"/>
      <c r="O18" s="137"/>
      <c r="P18" s="58" t="str" cm="1">
        <f>IF(ISBLANK($A18),"",INDEX(Array_MobileCharges,MATCH($A18,List_MobileFuelMeters,0),ROUNDUP((COLUMN()+1)/3-2,0)))</f>
        <v/>
      </c>
      <c r="Q18" s="127"/>
      <c r="R18" s="137"/>
      <c r="S18" s="58" t="str" cm="1">
        <f>IF(ISBLANK($A18),"",INDEX(Array_MobileCharges,MATCH($A18,List_MobileFuelMeters,0),ROUNDUP((COLUMN()+1)/3-2,0)))</f>
        <v/>
      </c>
      <c r="T18" s="127"/>
      <c r="U18" s="137"/>
    </row>
    <row r="19" spans="1:21" x14ac:dyDescent="0.3">
      <c r="A19" s="126"/>
      <c r="B19" s="133"/>
      <c r="C19" s="127"/>
      <c r="D19" s="138"/>
      <c r="E19" s="138"/>
      <c r="F19" s="137"/>
      <c r="G19" s="58" t="str" cm="1">
        <f>IF(ISBLANK($A19),"",INDEX(Array_MobileCharges,MATCH($A19,List_MobileFuelMeters,0),ROUNDUP((COLUMN()+1)/3-2,0)))</f>
        <v/>
      </c>
      <c r="H19" s="127"/>
      <c r="I19" s="137"/>
      <c r="J19" s="58" t="str" cm="1">
        <f>IF(ISBLANK($A19),"",INDEX(Array_MobileCharges,MATCH($A19,List_MobileFuelMeters,0),ROUNDUP((COLUMN()+1)/3-2,0)))</f>
        <v/>
      </c>
      <c r="K19" s="127"/>
      <c r="L19" s="137"/>
      <c r="M19" s="58" t="str" cm="1">
        <f>IF(ISBLANK($A19),"",INDEX(Array_MobileCharges,MATCH($A19,List_MobileFuelMeters,0),ROUNDUP((COLUMN()+1)/3-2,0)))</f>
        <v/>
      </c>
      <c r="N19" s="127"/>
      <c r="O19" s="137"/>
      <c r="P19" s="58" t="str" cm="1">
        <f>IF(ISBLANK($A19),"",INDEX(Array_MobileCharges,MATCH($A19,List_MobileFuelMeters,0),ROUNDUP((COLUMN()+1)/3-2,0)))</f>
        <v/>
      </c>
      <c r="Q19" s="127"/>
      <c r="R19" s="137"/>
      <c r="S19" s="58" t="str" cm="1">
        <f>IF(ISBLANK($A19),"",INDEX(Array_MobileCharges,MATCH($A19,List_MobileFuelMeters,0),ROUNDUP((COLUMN()+1)/3-2,0)))</f>
        <v/>
      </c>
      <c r="T19" s="127"/>
      <c r="U19" s="137"/>
    </row>
    <row r="20" spans="1:21" x14ac:dyDescent="0.3">
      <c r="A20" s="126"/>
      <c r="B20" s="133"/>
      <c r="C20" s="127"/>
      <c r="D20" s="138"/>
      <c r="E20" s="138"/>
      <c r="F20" s="137"/>
      <c r="G20" s="58" t="str" cm="1">
        <f>IF(ISBLANK($A20),"",INDEX(Array_MobileCharges,MATCH($A20,List_MobileFuelMeters,0),ROUNDUP((COLUMN()+1)/3-2,0)))</f>
        <v/>
      </c>
      <c r="H20" s="127"/>
      <c r="I20" s="137"/>
      <c r="J20" s="58" t="str" cm="1">
        <f>IF(ISBLANK($A20),"",INDEX(Array_MobileCharges,MATCH($A20,List_MobileFuelMeters,0),ROUNDUP((COLUMN()+1)/3-2,0)))</f>
        <v/>
      </c>
      <c r="K20" s="127"/>
      <c r="L20" s="137"/>
      <c r="M20" s="58" t="str" cm="1">
        <f>IF(ISBLANK($A20),"",INDEX(Array_MobileCharges,MATCH($A20,List_MobileFuelMeters,0),ROUNDUP((COLUMN()+1)/3-2,0)))</f>
        <v/>
      </c>
      <c r="N20" s="127"/>
      <c r="O20" s="137"/>
      <c r="P20" s="58" t="str" cm="1">
        <f>IF(ISBLANK($A20),"",INDEX(Array_MobileCharges,MATCH($A20,List_MobileFuelMeters,0),ROUNDUP((COLUMN()+1)/3-2,0)))</f>
        <v/>
      </c>
      <c r="Q20" s="127"/>
      <c r="R20" s="137"/>
      <c r="S20" s="58" t="str" cm="1">
        <f>IF(ISBLANK($A20),"",INDEX(Array_MobileCharges,MATCH($A20,List_MobileFuelMeters,0),ROUNDUP((COLUMN()+1)/3-2,0)))</f>
        <v/>
      </c>
      <c r="T20" s="127"/>
      <c r="U20" s="137"/>
    </row>
    <row r="21" spans="1:21" x14ac:dyDescent="0.3">
      <c r="A21" s="126"/>
      <c r="B21" s="133"/>
      <c r="C21" s="127"/>
      <c r="D21" s="138"/>
      <c r="E21" s="138"/>
      <c r="F21" s="137"/>
      <c r="G21" s="58" t="str" cm="1">
        <f>IF(ISBLANK($A21),"",INDEX(Array_MobileCharges,MATCH($A21,List_MobileFuelMeters,0),ROUNDUP((COLUMN()+1)/3-2,0)))</f>
        <v/>
      </c>
      <c r="H21" s="127"/>
      <c r="I21" s="137"/>
      <c r="J21" s="58" t="str" cm="1">
        <f>IF(ISBLANK($A21),"",INDEX(Array_MobileCharges,MATCH($A21,List_MobileFuelMeters,0),ROUNDUP((COLUMN()+1)/3-2,0)))</f>
        <v/>
      </c>
      <c r="K21" s="127"/>
      <c r="L21" s="137"/>
      <c r="M21" s="58" t="str" cm="1">
        <f>IF(ISBLANK($A21),"",INDEX(Array_MobileCharges,MATCH($A21,List_MobileFuelMeters,0),ROUNDUP((COLUMN()+1)/3-2,0)))</f>
        <v/>
      </c>
      <c r="N21" s="127"/>
      <c r="O21" s="137"/>
      <c r="P21" s="58" t="str" cm="1">
        <f>IF(ISBLANK($A21),"",INDEX(Array_MobileCharges,MATCH($A21,List_MobileFuelMeters,0),ROUNDUP((COLUMN()+1)/3-2,0)))</f>
        <v/>
      </c>
      <c r="Q21" s="127"/>
      <c r="R21" s="137"/>
      <c r="S21" s="58" t="str" cm="1">
        <f>IF(ISBLANK($A21),"",INDEX(Array_MobileCharges,MATCH($A21,List_MobileFuelMeters,0),ROUNDUP((COLUMN()+1)/3-2,0)))</f>
        <v/>
      </c>
      <c r="T21" s="127"/>
      <c r="U21" s="137"/>
    </row>
    <row r="22" spans="1:21" x14ac:dyDescent="0.3">
      <c r="A22" s="126"/>
      <c r="B22" s="133"/>
      <c r="C22" s="127"/>
      <c r="D22" s="138"/>
      <c r="E22" s="138"/>
      <c r="F22" s="137"/>
      <c r="G22" s="58" t="str" cm="1">
        <f>IF(ISBLANK($A22),"",INDEX(Array_MobileCharges,MATCH($A22,List_MobileFuelMeters,0),ROUNDUP((COLUMN()+1)/3-2,0)))</f>
        <v/>
      </c>
      <c r="H22" s="127"/>
      <c r="I22" s="137"/>
      <c r="J22" s="58" t="str" cm="1">
        <f>IF(ISBLANK($A22),"",INDEX(Array_MobileCharges,MATCH($A22,List_MobileFuelMeters,0),ROUNDUP((COLUMN()+1)/3-2,0)))</f>
        <v/>
      </c>
      <c r="K22" s="127"/>
      <c r="L22" s="137"/>
      <c r="M22" s="58" t="str" cm="1">
        <f>IF(ISBLANK($A22),"",INDEX(Array_MobileCharges,MATCH($A22,List_MobileFuelMeters,0),ROUNDUP((COLUMN()+1)/3-2,0)))</f>
        <v/>
      </c>
      <c r="N22" s="127"/>
      <c r="O22" s="137"/>
      <c r="P22" s="58" t="str" cm="1">
        <f>IF(ISBLANK($A22),"",INDEX(Array_MobileCharges,MATCH($A22,List_MobileFuelMeters,0),ROUNDUP((COLUMN()+1)/3-2,0)))</f>
        <v/>
      </c>
      <c r="Q22" s="127"/>
      <c r="R22" s="137"/>
      <c r="S22" s="58" t="str" cm="1">
        <f>IF(ISBLANK($A22),"",INDEX(Array_MobileCharges,MATCH($A22,List_MobileFuelMeters,0),ROUNDUP((COLUMN()+1)/3-2,0)))</f>
        <v/>
      </c>
      <c r="T22" s="127"/>
      <c r="U22" s="137"/>
    </row>
    <row r="23" spans="1:21" x14ac:dyDescent="0.3">
      <c r="A23" s="126"/>
      <c r="B23" s="133"/>
      <c r="C23" s="127"/>
      <c r="D23" s="138"/>
      <c r="E23" s="138"/>
      <c r="F23" s="137"/>
      <c r="G23" s="58" t="str" cm="1">
        <f>IF(ISBLANK($A23),"",INDEX(Array_MobileCharges,MATCH($A23,List_MobileFuelMeters,0),ROUNDUP((COLUMN()+1)/3-2,0)))</f>
        <v/>
      </c>
      <c r="H23" s="127"/>
      <c r="I23" s="137"/>
      <c r="J23" s="58" t="str" cm="1">
        <f>IF(ISBLANK($A23),"",INDEX(Array_MobileCharges,MATCH($A23,List_MobileFuelMeters,0),ROUNDUP((COLUMN()+1)/3-2,0)))</f>
        <v/>
      </c>
      <c r="K23" s="127"/>
      <c r="L23" s="137"/>
      <c r="M23" s="58" t="str" cm="1">
        <f>IF(ISBLANK($A23),"",INDEX(Array_MobileCharges,MATCH($A23,List_MobileFuelMeters,0),ROUNDUP((COLUMN()+1)/3-2,0)))</f>
        <v/>
      </c>
      <c r="N23" s="127"/>
      <c r="O23" s="137"/>
      <c r="P23" s="58" t="str" cm="1">
        <f>IF(ISBLANK($A23),"",INDEX(Array_MobileCharges,MATCH($A23,List_MobileFuelMeters,0),ROUNDUP((COLUMN()+1)/3-2,0)))</f>
        <v/>
      </c>
      <c r="Q23" s="127"/>
      <c r="R23" s="137"/>
      <c r="S23" s="58" t="str" cm="1">
        <f>IF(ISBLANK($A23),"",INDEX(Array_MobileCharges,MATCH($A23,List_MobileFuelMeters,0),ROUNDUP((COLUMN()+1)/3-2,0)))</f>
        <v/>
      </c>
      <c r="T23" s="127"/>
      <c r="U23" s="137"/>
    </row>
    <row r="24" spans="1:21" x14ac:dyDescent="0.3">
      <c r="A24" s="126"/>
      <c r="B24" s="133"/>
      <c r="C24" s="127"/>
      <c r="D24" s="138"/>
      <c r="E24" s="138"/>
      <c r="F24" s="137"/>
      <c r="G24" s="58" t="str" cm="1">
        <f>IF(ISBLANK($A24),"",INDEX(Array_MobileCharges,MATCH($A24,List_MobileFuelMeters,0),ROUNDUP((COLUMN()+1)/3-2,0)))</f>
        <v/>
      </c>
      <c r="H24" s="127"/>
      <c r="I24" s="137"/>
      <c r="J24" s="58" t="str" cm="1">
        <f>IF(ISBLANK($A24),"",INDEX(Array_MobileCharges,MATCH($A24,List_MobileFuelMeters,0),ROUNDUP((COLUMN()+1)/3-2,0)))</f>
        <v/>
      </c>
      <c r="K24" s="127"/>
      <c r="L24" s="137"/>
      <c r="M24" s="58" t="str" cm="1">
        <f>IF(ISBLANK($A24),"",INDEX(Array_MobileCharges,MATCH($A24,List_MobileFuelMeters,0),ROUNDUP((COLUMN()+1)/3-2,0)))</f>
        <v/>
      </c>
      <c r="N24" s="127"/>
      <c r="O24" s="137"/>
      <c r="P24" s="58" t="str" cm="1">
        <f>IF(ISBLANK($A24),"",INDEX(Array_MobileCharges,MATCH($A24,List_MobileFuelMeters,0),ROUNDUP((COLUMN()+1)/3-2,0)))</f>
        <v/>
      </c>
      <c r="Q24" s="127"/>
      <c r="R24" s="137"/>
      <c r="S24" s="58" t="str" cm="1">
        <f>IF(ISBLANK($A24),"",INDEX(Array_MobileCharges,MATCH($A24,List_MobileFuelMeters,0),ROUNDUP((COLUMN()+1)/3-2,0)))</f>
        <v/>
      </c>
      <c r="T24" s="127"/>
      <c r="U24" s="137"/>
    </row>
    <row r="25" spans="1:21" x14ac:dyDescent="0.3">
      <c r="A25" s="126"/>
      <c r="B25" s="133"/>
      <c r="C25" s="127"/>
      <c r="D25" s="138"/>
      <c r="E25" s="138"/>
      <c r="F25" s="137"/>
      <c r="G25" s="58" t="str" cm="1">
        <f>IF(ISBLANK($A25),"",INDEX(Array_MobileCharges,MATCH($A25,List_MobileFuelMeters,0),ROUNDUP((COLUMN()+1)/3-2,0)))</f>
        <v/>
      </c>
      <c r="H25" s="127"/>
      <c r="I25" s="137"/>
      <c r="J25" s="58" t="str" cm="1">
        <f>IF(ISBLANK($A25),"",INDEX(Array_MobileCharges,MATCH($A25,List_MobileFuelMeters,0),ROUNDUP((COLUMN()+1)/3-2,0)))</f>
        <v/>
      </c>
      <c r="K25" s="127"/>
      <c r="L25" s="137"/>
      <c r="M25" s="58" t="str" cm="1">
        <f>IF(ISBLANK($A25),"",INDEX(Array_MobileCharges,MATCH($A25,List_MobileFuelMeters,0),ROUNDUP((COLUMN()+1)/3-2,0)))</f>
        <v/>
      </c>
      <c r="N25" s="127"/>
      <c r="O25" s="137"/>
      <c r="P25" s="58" t="str" cm="1">
        <f>IF(ISBLANK($A25),"",INDEX(Array_MobileCharges,MATCH($A25,List_MobileFuelMeters,0),ROUNDUP((COLUMN()+1)/3-2,0)))</f>
        <v/>
      </c>
      <c r="Q25" s="127"/>
      <c r="R25" s="137"/>
      <c r="S25" s="58" t="str" cm="1">
        <f>IF(ISBLANK($A25),"",INDEX(Array_MobileCharges,MATCH($A25,List_MobileFuelMeters,0),ROUNDUP((COLUMN()+1)/3-2,0)))</f>
        <v/>
      </c>
      <c r="T25" s="127"/>
      <c r="U25" s="137"/>
    </row>
    <row r="26" spans="1:21" x14ac:dyDescent="0.3">
      <c r="A26" s="126"/>
      <c r="B26" s="133"/>
      <c r="C26" s="127"/>
      <c r="D26" s="138"/>
      <c r="E26" s="138"/>
      <c r="F26" s="137"/>
      <c r="G26" s="58" t="str" cm="1">
        <f>IF(ISBLANK($A26),"",INDEX(Array_MobileCharges,MATCH($A26,List_MobileFuelMeters,0),ROUNDUP((COLUMN()+1)/3-2,0)))</f>
        <v/>
      </c>
      <c r="H26" s="127"/>
      <c r="I26" s="137"/>
      <c r="J26" s="58" t="str" cm="1">
        <f>IF(ISBLANK($A26),"",INDEX(Array_MobileCharges,MATCH($A26,List_MobileFuelMeters,0),ROUNDUP((COLUMN()+1)/3-2,0)))</f>
        <v/>
      </c>
      <c r="K26" s="127"/>
      <c r="L26" s="137"/>
      <c r="M26" s="58" t="str" cm="1">
        <f>IF(ISBLANK($A26),"",INDEX(Array_MobileCharges,MATCH($A26,List_MobileFuelMeters,0),ROUNDUP((COLUMN()+1)/3-2,0)))</f>
        <v/>
      </c>
      <c r="N26" s="127"/>
      <c r="O26" s="137"/>
      <c r="P26" s="58" t="str" cm="1">
        <f>IF(ISBLANK($A26),"",INDEX(Array_MobileCharges,MATCH($A26,List_MobileFuelMeters,0),ROUNDUP((COLUMN()+1)/3-2,0)))</f>
        <v/>
      </c>
      <c r="Q26" s="127"/>
      <c r="R26" s="137"/>
      <c r="S26" s="58" t="str" cm="1">
        <f>IF(ISBLANK($A26),"",INDEX(Array_MobileCharges,MATCH($A26,List_MobileFuelMeters,0),ROUNDUP((COLUMN()+1)/3-2,0)))</f>
        <v/>
      </c>
      <c r="T26" s="127"/>
      <c r="U26" s="137"/>
    </row>
    <row r="27" spans="1:21" x14ac:dyDescent="0.3">
      <c r="A27" s="126"/>
      <c r="B27" s="133"/>
      <c r="C27" s="127"/>
      <c r="D27" s="138"/>
      <c r="E27" s="138"/>
      <c r="F27" s="137"/>
      <c r="G27" s="58" t="str" cm="1">
        <f>IF(ISBLANK($A27),"",INDEX(Array_MobileCharges,MATCH($A27,List_MobileFuelMeters,0),ROUNDUP((COLUMN()+1)/3-2,0)))</f>
        <v/>
      </c>
      <c r="H27" s="127"/>
      <c r="I27" s="137"/>
      <c r="J27" s="58" t="str" cm="1">
        <f>IF(ISBLANK($A27),"",INDEX(Array_MobileCharges,MATCH($A27,List_MobileFuelMeters,0),ROUNDUP((COLUMN()+1)/3-2,0)))</f>
        <v/>
      </c>
      <c r="K27" s="127"/>
      <c r="L27" s="137"/>
      <c r="M27" s="58" t="str" cm="1">
        <f>IF(ISBLANK($A27),"",INDEX(Array_MobileCharges,MATCH($A27,List_MobileFuelMeters,0),ROUNDUP((COLUMN()+1)/3-2,0)))</f>
        <v/>
      </c>
      <c r="N27" s="127"/>
      <c r="O27" s="137"/>
      <c r="P27" s="58" t="str" cm="1">
        <f>IF(ISBLANK($A27),"",INDEX(Array_MobileCharges,MATCH($A27,List_MobileFuelMeters,0),ROUNDUP((COLUMN()+1)/3-2,0)))</f>
        <v/>
      </c>
      <c r="Q27" s="127"/>
      <c r="R27" s="137"/>
      <c r="S27" s="58" t="str" cm="1">
        <f>IF(ISBLANK($A27),"",INDEX(Array_MobileCharges,MATCH($A27,List_MobileFuelMeters,0),ROUNDUP((COLUMN()+1)/3-2,0)))</f>
        <v/>
      </c>
      <c r="T27" s="127"/>
      <c r="U27" s="137"/>
    </row>
    <row r="28" spans="1:21" x14ac:dyDescent="0.3">
      <c r="A28" s="126"/>
      <c r="B28" s="133"/>
      <c r="C28" s="127"/>
      <c r="D28" s="138"/>
      <c r="E28" s="138"/>
      <c r="F28" s="137"/>
      <c r="G28" s="58" t="str" cm="1">
        <f>IF(ISBLANK($A28),"",INDEX(Array_MobileCharges,MATCH($A28,List_MobileFuelMeters,0),ROUNDUP((COLUMN()+1)/3-2,0)))</f>
        <v/>
      </c>
      <c r="H28" s="127"/>
      <c r="I28" s="137"/>
      <c r="J28" s="58" t="str" cm="1">
        <f>IF(ISBLANK($A28),"",INDEX(Array_MobileCharges,MATCH($A28,List_MobileFuelMeters,0),ROUNDUP((COLUMN()+1)/3-2,0)))</f>
        <v/>
      </c>
      <c r="K28" s="127"/>
      <c r="L28" s="137"/>
      <c r="M28" s="58" t="str" cm="1">
        <f>IF(ISBLANK($A28),"",INDEX(Array_MobileCharges,MATCH($A28,List_MobileFuelMeters,0),ROUNDUP((COLUMN()+1)/3-2,0)))</f>
        <v/>
      </c>
      <c r="N28" s="127"/>
      <c r="O28" s="137"/>
      <c r="P28" s="58" t="str" cm="1">
        <f>IF(ISBLANK($A28),"",INDEX(Array_MobileCharges,MATCH($A28,List_MobileFuelMeters,0),ROUNDUP((COLUMN()+1)/3-2,0)))</f>
        <v/>
      </c>
      <c r="Q28" s="127"/>
      <c r="R28" s="137"/>
      <c r="S28" s="58" t="str" cm="1">
        <f>IF(ISBLANK($A28),"",INDEX(Array_MobileCharges,MATCH($A28,List_MobileFuelMeters,0),ROUNDUP((COLUMN()+1)/3-2,0)))</f>
        <v/>
      </c>
      <c r="T28" s="127"/>
      <c r="U28" s="137"/>
    </row>
    <row r="29" spans="1:21" x14ac:dyDescent="0.3">
      <c r="A29" s="126"/>
      <c r="B29" s="133"/>
      <c r="C29" s="127"/>
      <c r="D29" s="138"/>
      <c r="E29" s="138"/>
      <c r="F29" s="137"/>
      <c r="G29" s="58" t="str" cm="1">
        <f>IF(ISBLANK($A29),"",INDEX(Array_MobileCharges,MATCH($A29,List_MobileFuelMeters,0),ROUNDUP((COLUMN()+1)/3-2,0)))</f>
        <v/>
      </c>
      <c r="H29" s="127"/>
      <c r="I29" s="137"/>
      <c r="J29" s="58" t="str" cm="1">
        <f>IF(ISBLANK($A29),"",INDEX(Array_MobileCharges,MATCH($A29,List_MobileFuelMeters,0),ROUNDUP((COLUMN()+1)/3-2,0)))</f>
        <v/>
      </c>
      <c r="K29" s="127"/>
      <c r="L29" s="137"/>
      <c r="M29" s="58" t="str" cm="1">
        <f>IF(ISBLANK($A29),"",INDEX(Array_MobileCharges,MATCH($A29,List_MobileFuelMeters,0),ROUNDUP((COLUMN()+1)/3-2,0)))</f>
        <v/>
      </c>
      <c r="N29" s="127"/>
      <c r="O29" s="137"/>
      <c r="P29" s="58" t="str" cm="1">
        <f>IF(ISBLANK($A29),"",INDEX(Array_MobileCharges,MATCH($A29,List_MobileFuelMeters,0),ROUNDUP((COLUMN()+1)/3-2,0)))</f>
        <v/>
      </c>
      <c r="Q29" s="127"/>
      <c r="R29" s="137"/>
      <c r="S29" s="58" t="str" cm="1">
        <f>IF(ISBLANK($A29),"",INDEX(Array_MobileCharges,MATCH($A29,List_MobileFuelMeters,0),ROUNDUP((COLUMN()+1)/3-2,0)))</f>
        <v/>
      </c>
      <c r="T29" s="127"/>
      <c r="U29" s="137"/>
    </row>
    <row r="30" spans="1:21" x14ac:dyDescent="0.3">
      <c r="A30" s="126"/>
      <c r="B30" s="133"/>
      <c r="C30" s="127"/>
      <c r="D30" s="138"/>
      <c r="E30" s="138"/>
      <c r="F30" s="137"/>
      <c r="G30" s="58" t="str" cm="1">
        <f>IF(ISBLANK($A30),"",INDEX(Array_MobileCharges,MATCH($A30,List_MobileFuelMeters,0),ROUNDUP((COLUMN()+1)/3-2,0)))</f>
        <v/>
      </c>
      <c r="H30" s="127"/>
      <c r="I30" s="137"/>
      <c r="J30" s="58" t="str" cm="1">
        <f>IF(ISBLANK($A30),"",INDEX(Array_MobileCharges,MATCH($A30,List_MobileFuelMeters,0),ROUNDUP((COLUMN()+1)/3-2,0)))</f>
        <v/>
      </c>
      <c r="K30" s="127"/>
      <c r="L30" s="137"/>
      <c r="M30" s="58" t="str" cm="1">
        <f>IF(ISBLANK($A30),"",INDEX(Array_MobileCharges,MATCH($A30,List_MobileFuelMeters,0),ROUNDUP((COLUMN()+1)/3-2,0)))</f>
        <v/>
      </c>
      <c r="N30" s="127"/>
      <c r="O30" s="137"/>
      <c r="P30" s="58" t="str" cm="1">
        <f>IF(ISBLANK($A30),"",INDEX(Array_MobileCharges,MATCH($A30,List_MobileFuelMeters,0),ROUNDUP((COLUMN()+1)/3-2,0)))</f>
        <v/>
      </c>
      <c r="Q30" s="127"/>
      <c r="R30" s="137"/>
      <c r="S30" s="58" t="str" cm="1">
        <f>IF(ISBLANK($A30),"",INDEX(Array_MobileCharges,MATCH($A30,List_MobileFuelMeters,0),ROUNDUP((COLUMN()+1)/3-2,0)))</f>
        <v/>
      </c>
      <c r="T30" s="127"/>
      <c r="U30" s="137"/>
    </row>
    <row r="31" spans="1:21" x14ac:dyDescent="0.3">
      <c r="A31" s="126"/>
      <c r="B31" s="133"/>
      <c r="C31" s="127"/>
      <c r="D31" s="138"/>
      <c r="E31" s="138"/>
      <c r="F31" s="137"/>
      <c r="G31" s="58" t="str" cm="1">
        <f>IF(ISBLANK($A31),"",INDEX(Array_MobileCharges,MATCH($A31,List_MobileFuelMeters,0),ROUNDUP((COLUMN()+1)/3-2,0)))</f>
        <v/>
      </c>
      <c r="H31" s="127"/>
      <c r="I31" s="137"/>
      <c r="J31" s="58" t="str" cm="1">
        <f>IF(ISBLANK($A31),"",INDEX(Array_MobileCharges,MATCH($A31,List_MobileFuelMeters,0),ROUNDUP((COLUMN()+1)/3-2,0)))</f>
        <v/>
      </c>
      <c r="K31" s="127"/>
      <c r="L31" s="137"/>
      <c r="M31" s="58" t="str" cm="1">
        <f>IF(ISBLANK($A31),"",INDEX(Array_MobileCharges,MATCH($A31,List_MobileFuelMeters,0),ROUNDUP((COLUMN()+1)/3-2,0)))</f>
        <v/>
      </c>
      <c r="N31" s="127"/>
      <c r="O31" s="137"/>
      <c r="P31" s="58" t="str" cm="1">
        <f>IF(ISBLANK($A31),"",INDEX(Array_MobileCharges,MATCH($A31,List_MobileFuelMeters,0),ROUNDUP((COLUMN()+1)/3-2,0)))</f>
        <v/>
      </c>
      <c r="Q31" s="127"/>
      <c r="R31" s="137"/>
      <c r="S31" s="58" t="str" cm="1">
        <f>IF(ISBLANK($A31),"",INDEX(Array_MobileCharges,MATCH($A31,List_MobileFuelMeters,0),ROUNDUP((COLUMN()+1)/3-2,0)))</f>
        <v/>
      </c>
      <c r="T31" s="127"/>
      <c r="U31" s="137"/>
    </row>
    <row r="32" spans="1:21" x14ac:dyDescent="0.3">
      <c r="A32" s="126"/>
      <c r="B32" s="133"/>
      <c r="C32" s="127"/>
      <c r="D32" s="138"/>
      <c r="E32" s="138"/>
      <c r="F32" s="137"/>
      <c r="G32" s="58" t="str" cm="1">
        <f>IF(ISBLANK($A32),"",INDEX(Array_MobileCharges,MATCH($A32,List_MobileFuelMeters,0),ROUNDUP((COLUMN()+1)/3-2,0)))</f>
        <v/>
      </c>
      <c r="H32" s="127"/>
      <c r="I32" s="137"/>
      <c r="J32" s="58" t="str" cm="1">
        <f>IF(ISBLANK($A32),"",INDEX(Array_MobileCharges,MATCH($A32,List_MobileFuelMeters,0),ROUNDUP((COLUMN()+1)/3-2,0)))</f>
        <v/>
      </c>
      <c r="K32" s="127"/>
      <c r="L32" s="137"/>
      <c r="M32" s="58" t="str" cm="1">
        <f>IF(ISBLANK($A32),"",INDEX(Array_MobileCharges,MATCH($A32,List_MobileFuelMeters,0),ROUNDUP((COLUMN()+1)/3-2,0)))</f>
        <v/>
      </c>
      <c r="N32" s="127"/>
      <c r="O32" s="137"/>
      <c r="P32" s="58" t="str" cm="1">
        <f>IF(ISBLANK($A32),"",INDEX(Array_MobileCharges,MATCH($A32,List_MobileFuelMeters,0),ROUNDUP((COLUMN()+1)/3-2,0)))</f>
        <v/>
      </c>
      <c r="Q32" s="127"/>
      <c r="R32" s="137"/>
      <c r="S32" s="58" t="str" cm="1">
        <f>IF(ISBLANK($A32),"",INDEX(Array_MobileCharges,MATCH($A32,List_MobileFuelMeters,0),ROUNDUP((COLUMN()+1)/3-2,0)))</f>
        <v/>
      </c>
      <c r="T32" s="127"/>
      <c r="U32" s="137"/>
    </row>
    <row r="33" spans="1:21" x14ac:dyDescent="0.3">
      <c r="A33" s="126"/>
      <c r="B33" s="133"/>
      <c r="C33" s="127"/>
      <c r="D33" s="138"/>
      <c r="E33" s="138"/>
      <c r="F33" s="137"/>
      <c r="G33" s="58" t="str" cm="1">
        <f>IF(ISBLANK($A33),"",INDEX(Array_MobileCharges,MATCH($A33,List_MobileFuelMeters,0),ROUNDUP((COLUMN()+1)/3-2,0)))</f>
        <v/>
      </c>
      <c r="H33" s="127"/>
      <c r="I33" s="137"/>
      <c r="J33" s="58" t="str" cm="1">
        <f>IF(ISBLANK($A33),"",INDEX(Array_MobileCharges,MATCH($A33,List_MobileFuelMeters,0),ROUNDUP((COLUMN()+1)/3-2,0)))</f>
        <v/>
      </c>
      <c r="K33" s="127"/>
      <c r="L33" s="137"/>
      <c r="M33" s="58" t="str" cm="1">
        <f>IF(ISBLANK($A33),"",INDEX(Array_MobileCharges,MATCH($A33,List_MobileFuelMeters,0),ROUNDUP((COLUMN()+1)/3-2,0)))</f>
        <v/>
      </c>
      <c r="N33" s="127"/>
      <c r="O33" s="137"/>
      <c r="P33" s="58" t="str" cm="1">
        <f>IF(ISBLANK($A33),"",INDEX(Array_MobileCharges,MATCH($A33,List_MobileFuelMeters,0),ROUNDUP((COLUMN()+1)/3-2,0)))</f>
        <v/>
      </c>
      <c r="Q33" s="127"/>
      <c r="R33" s="137"/>
      <c r="S33" s="58" t="str" cm="1">
        <f>IF(ISBLANK($A33),"",INDEX(Array_MobileCharges,MATCH($A33,List_MobileFuelMeters,0),ROUNDUP((COLUMN()+1)/3-2,0)))</f>
        <v/>
      </c>
      <c r="T33" s="127"/>
      <c r="U33" s="137"/>
    </row>
    <row r="34" spans="1:21" x14ac:dyDescent="0.3">
      <c r="A34" s="126"/>
      <c r="B34" s="133"/>
      <c r="C34" s="127"/>
      <c r="D34" s="138"/>
      <c r="E34" s="138"/>
      <c r="F34" s="137"/>
      <c r="G34" s="58" t="str" cm="1">
        <f>IF(ISBLANK($A34),"",INDEX(Array_MobileCharges,MATCH($A34,List_MobileFuelMeters,0),ROUNDUP((COLUMN()+1)/3-2,0)))</f>
        <v/>
      </c>
      <c r="H34" s="127"/>
      <c r="I34" s="137"/>
      <c r="J34" s="58" t="str" cm="1">
        <f>IF(ISBLANK($A34),"",INDEX(Array_MobileCharges,MATCH($A34,List_MobileFuelMeters,0),ROUNDUP((COLUMN()+1)/3-2,0)))</f>
        <v/>
      </c>
      <c r="K34" s="127"/>
      <c r="L34" s="137"/>
      <c r="M34" s="58" t="str" cm="1">
        <f>IF(ISBLANK($A34),"",INDEX(Array_MobileCharges,MATCH($A34,List_MobileFuelMeters,0),ROUNDUP((COLUMN()+1)/3-2,0)))</f>
        <v/>
      </c>
      <c r="N34" s="127"/>
      <c r="O34" s="137"/>
      <c r="P34" s="58" t="str" cm="1">
        <f>IF(ISBLANK($A34),"",INDEX(Array_MobileCharges,MATCH($A34,List_MobileFuelMeters,0),ROUNDUP((COLUMN()+1)/3-2,0)))</f>
        <v/>
      </c>
      <c r="Q34" s="127"/>
      <c r="R34" s="137"/>
      <c r="S34" s="58" t="str" cm="1">
        <f>IF(ISBLANK($A34),"",INDEX(Array_MobileCharges,MATCH($A34,List_MobileFuelMeters,0),ROUNDUP((COLUMN()+1)/3-2,0)))</f>
        <v/>
      </c>
      <c r="T34" s="127"/>
      <c r="U34" s="137"/>
    </row>
    <row r="35" spans="1:21" x14ac:dyDescent="0.3">
      <c r="A35" s="126"/>
      <c r="B35" s="133"/>
      <c r="C35" s="127"/>
      <c r="D35" s="138"/>
      <c r="E35" s="138"/>
      <c r="F35" s="137"/>
      <c r="G35" s="58" t="str" cm="1">
        <f>IF(ISBLANK($A35),"",INDEX(Array_MobileCharges,MATCH($A35,List_MobileFuelMeters,0),ROUNDUP((COLUMN()+1)/3-2,0)))</f>
        <v/>
      </c>
      <c r="H35" s="127"/>
      <c r="I35" s="137"/>
      <c r="J35" s="58" t="str" cm="1">
        <f>IF(ISBLANK($A35),"",INDEX(Array_MobileCharges,MATCH($A35,List_MobileFuelMeters,0),ROUNDUP((COLUMN()+1)/3-2,0)))</f>
        <v/>
      </c>
      <c r="K35" s="127"/>
      <c r="L35" s="137"/>
      <c r="M35" s="58" t="str" cm="1">
        <f>IF(ISBLANK($A35),"",INDEX(Array_MobileCharges,MATCH($A35,List_MobileFuelMeters,0),ROUNDUP((COLUMN()+1)/3-2,0)))</f>
        <v/>
      </c>
      <c r="N35" s="127"/>
      <c r="O35" s="137"/>
      <c r="P35" s="58" t="str" cm="1">
        <f>IF(ISBLANK($A35),"",INDEX(Array_MobileCharges,MATCH($A35,List_MobileFuelMeters,0),ROUNDUP((COLUMN()+1)/3-2,0)))</f>
        <v/>
      </c>
      <c r="Q35" s="127"/>
      <c r="R35" s="137"/>
      <c r="S35" s="58" t="str" cm="1">
        <f>IF(ISBLANK($A35),"",INDEX(Array_MobileCharges,MATCH($A35,List_MobileFuelMeters,0),ROUNDUP((COLUMN()+1)/3-2,0)))</f>
        <v/>
      </c>
      <c r="T35" s="127"/>
      <c r="U35" s="137"/>
    </row>
    <row r="36" spans="1:21" x14ac:dyDescent="0.3">
      <c r="A36" s="126"/>
      <c r="B36" s="133"/>
      <c r="C36" s="127"/>
      <c r="D36" s="138"/>
      <c r="E36" s="138"/>
      <c r="F36" s="137"/>
      <c r="G36" s="58" t="str" cm="1">
        <f>IF(ISBLANK($A36),"",INDEX(Array_MobileCharges,MATCH($A36,List_MobileFuelMeters,0),ROUNDUP((COLUMN()+1)/3-2,0)))</f>
        <v/>
      </c>
      <c r="H36" s="127"/>
      <c r="I36" s="137"/>
      <c r="J36" s="58" t="str" cm="1">
        <f>IF(ISBLANK($A36),"",INDEX(Array_MobileCharges,MATCH($A36,List_MobileFuelMeters,0),ROUNDUP((COLUMN()+1)/3-2,0)))</f>
        <v/>
      </c>
      <c r="K36" s="127"/>
      <c r="L36" s="137"/>
      <c r="M36" s="58" t="str" cm="1">
        <f>IF(ISBLANK($A36),"",INDEX(Array_MobileCharges,MATCH($A36,List_MobileFuelMeters,0),ROUNDUP((COLUMN()+1)/3-2,0)))</f>
        <v/>
      </c>
      <c r="N36" s="127"/>
      <c r="O36" s="137"/>
      <c r="P36" s="58" t="str" cm="1">
        <f>IF(ISBLANK($A36),"",INDEX(Array_MobileCharges,MATCH($A36,List_MobileFuelMeters,0),ROUNDUP((COLUMN()+1)/3-2,0)))</f>
        <v/>
      </c>
      <c r="Q36" s="127"/>
      <c r="R36" s="137"/>
      <c r="S36" s="58" t="str" cm="1">
        <f>IF(ISBLANK($A36),"",INDEX(Array_MobileCharges,MATCH($A36,List_MobileFuelMeters,0),ROUNDUP((COLUMN()+1)/3-2,0)))</f>
        <v/>
      </c>
      <c r="T36" s="127"/>
      <c r="U36" s="137"/>
    </row>
    <row r="37" spans="1:21" x14ac:dyDescent="0.3">
      <c r="A37" s="126"/>
      <c r="B37" s="133"/>
      <c r="C37" s="127"/>
      <c r="D37" s="138"/>
      <c r="E37" s="138"/>
      <c r="F37" s="137"/>
      <c r="G37" s="58" t="str" cm="1">
        <f>IF(ISBLANK($A37),"",INDEX(Array_MobileCharges,MATCH($A37,List_MobileFuelMeters,0),ROUNDUP((COLUMN()+1)/3-2,0)))</f>
        <v/>
      </c>
      <c r="H37" s="127"/>
      <c r="I37" s="137"/>
      <c r="J37" s="58" t="str" cm="1">
        <f>IF(ISBLANK($A37),"",INDEX(Array_MobileCharges,MATCH($A37,List_MobileFuelMeters,0),ROUNDUP((COLUMN()+1)/3-2,0)))</f>
        <v/>
      </c>
      <c r="K37" s="127"/>
      <c r="L37" s="137"/>
      <c r="M37" s="58" t="str" cm="1">
        <f>IF(ISBLANK($A37),"",INDEX(Array_MobileCharges,MATCH($A37,List_MobileFuelMeters,0),ROUNDUP((COLUMN()+1)/3-2,0)))</f>
        <v/>
      </c>
      <c r="N37" s="127"/>
      <c r="O37" s="137"/>
      <c r="P37" s="58" t="str" cm="1">
        <f>IF(ISBLANK($A37),"",INDEX(Array_MobileCharges,MATCH($A37,List_MobileFuelMeters,0),ROUNDUP((COLUMN()+1)/3-2,0)))</f>
        <v/>
      </c>
      <c r="Q37" s="127"/>
      <c r="R37" s="137"/>
      <c r="S37" s="58" t="str" cm="1">
        <f>IF(ISBLANK($A37),"",INDEX(Array_MobileCharges,MATCH($A37,List_MobileFuelMeters,0),ROUNDUP((COLUMN()+1)/3-2,0)))</f>
        <v/>
      </c>
      <c r="T37" s="127"/>
      <c r="U37" s="137"/>
    </row>
    <row r="38" spans="1:21" x14ac:dyDescent="0.3">
      <c r="A38" s="126"/>
      <c r="B38" s="133"/>
      <c r="C38" s="127"/>
      <c r="D38" s="138"/>
      <c r="E38" s="138"/>
      <c r="F38" s="137"/>
      <c r="G38" s="58" t="str" cm="1">
        <f>IF(ISBLANK($A38),"",INDEX(Array_MobileCharges,MATCH($A38,List_MobileFuelMeters,0),ROUNDUP((COLUMN()+1)/3-2,0)))</f>
        <v/>
      </c>
      <c r="H38" s="127"/>
      <c r="I38" s="137"/>
      <c r="J38" s="58" t="str" cm="1">
        <f>IF(ISBLANK($A38),"",INDEX(Array_MobileCharges,MATCH($A38,List_MobileFuelMeters,0),ROUNDUP((COLUMN()+1)/3-2,0)))</f>
        <v/>
      </c>
      <c r="K38" s="127"/>
      <c r="L38" s="137"/>
      <c r="M38" s="58" t="str" cm="1">
        <f>IF(ISBLANK($A38),"",INDEX(Array_MobileCharges,MATCH($A38,List_MobileFuelMeters,0),ROUNDUP((COLUMN()+1)/3-2,0)))</f>
        <v/>
      </c>
      <c r="N38" s="127"/>
      <c r="O38" s="137"/>
      <c r="P38" s="58" t="str" cm="1">
        <f>IF(ISBLANK($A38),"",INDEX(Array_MobileCharges,MATCH($A38,List_MobileFuelMeters,0),ROUNDUP((COLUMN()+1)/3-2,0)))</f>
        <v/>
      </c>
      <c r="Q38" s="127"/>
      <c r="R38" s="137"/>
      <c r="S38" s="58" t="str" cm="1">
        <f>IF(ISBLANK($A38),"",INDEX(Array_MobileCharges,MATCH($A38,List_MobileFuelMeters,0),ROUNDUP((COLUMN()+1)/3-2,0)))</f>
        <v/>
      </c>
      <c r="T38" s="127"/>
      <c r="U38" s="137"/>
    </row>
    <row r="39" spans="1:21" x14ac:dyDescent="0.3">
      <c r="A39" s="126"/>
      <c r="B39" s="133"/>
      <c r="C39" s="127"/>
      <c r="D39" s="138"/>
      <c r="E39" s="138"/>
      <c r="F39" s="137"/>
      <c r="G39" s="58" t="str" cm="1">
        <f>IF(ISBLANK($A39),"",INDEX(Array_MobileCharges,MATCH($A39,List_MobileFuelMeters,0),ROUNDUP((COLUMN()+1)/3-2,0)))</f>
        <v/>
      </c>
      <c r="H39" s="127"/>
      <c r="I39" s="137"/>
      <c r="J39" s="58" t="str" cm="1">
        <f>IF(ISBLANK($A39),"",INDEX(Array_MobileCharges,MATCH($A39,List_MobileFuelMeters,0),ROUNDUP((COLUMN()+1)/3-2,0)))</f>
        <v/>
      </c>
      <c r="K39" s="127"/>
      <c r="L39" s="137"/>
      <c r="M39" s="58" t="str" cm="1">
        <f>IF(ISBLANK($A39),"",INDEX(Array_MobileCharges,MATCH($A39,List_MobileFuelMeters,0),ROUNDUP((COLUMN()+1)/3-2,0)))</f>
        <v/>
      </c>
      <c r="N39" s="127"/>
      <c r="O39" s="137"/>
      <c r="P39" s="58" t="str" cm="1">
        <f>IF(ISBLANK($A39),"",INDEX(Array_MobileCharges,MATCH($A39,List_MobileFuelMeters,0),ROUNDUP((COLUMN()+1)/3-2,0)))</f>
        <v/>
      </c>
      <c r="Q39" s="127"/>
      <c r="R39" s="137"/>
      <c r="S39" s="58" t="str" cm="1">
        <f>IF(ISBLANK($A39),"",INDEX(Array_MobileCharges,MATCH($A39,List_MobileFuelMeters,0),ROUNDUP((COLUMN()+1)/3-2,0)))</f>
        <v/>
      </c>
      <c r="T39" s="127"/>
      <c r="U39" s="137"/>
    </row>
    <row r="40" spans="1:21" x14ac:dyDescent="0.3">
      <c r="A40" s="126"/>
      <c r="B40" s="133"/>
      <c r="C40" s="127"/>
      <c r="D40" s="138"/>
      <c r="E40" s="138"/>
      <c r="F40" s="137"/>
      <c r="G40" s="58" t="str" cm="1">
        <f>IF(ISBLANK($A40),"",INDEX(Array_MobileCharges,MATCH($A40,List_MobileFuelMeters,0),ROUNDUP((COLUMN()+1)/3-2,0)))</f>
        <v/>
      </c>
      <c r="H40" s="127"/>
      <c r="I40" s="137"/>
      <c r="J40" s="58" t="str" cm="1">
        <f>IF(ISBLANK($A40),"",INDEX(Array_MobileCharges,MATCH($A40,List_MobileFuelMeters,0),ROUNDUP((COLUMN()+1)/3-2,0)))</f>
        <v/>
      </c>
      <c r="K40" s="127"/>
      <c r="L40" s="137"/>
      <c r="M40" s="58" t="str" cm="1">
        <f>IF(ISBLANK($A40),"",INDEX(Array_MobileCharges,MATCH($A40,List_MobileFuelMeters,0),ROUNDUP((COLUMN()+1)/3-2,0)))</f>
        <v/>
      </c>
      <c r="N40" s="127"/>
      <c r="O40" s="137"/>
      <c r="P40" s="58" t="str" cm="1">
        <f>IF(ISBLANK($A40),"",INDEX(Array_MobileCharges,MATCH($A40,List_MobileFuelMeters,0),ROUNDUP((COLUMN()+1)/3-2,0)))</f>
        <v/>
      </c>
      <c r="Q40" s="127"/>
      <c r="R40" s="137"/>
      <c r="S40" s="58" t="str" cm="1">
        <f>IF(ISBLANK($A40),"",INDEX(Array_MobileCharges,MATCH($A40,List_MobileFuelMeters,0),ROUNDUP((COLUMN()+1)/3-2,0)))</f>
        <v/>
      </c>
      <c r="T40" s="127"/>
      <c r="U40" s="137"/>
    </row>
    <row r="41" spans="1:21" x14ac:dyDescent="0.3">
      <c r="A41" s="126"/>
      <c r="B41" s="133"/>
      <c r="C41" s="127"/>
      <c r="D41" s="138"/>
      <c r="E41" s="138"/>
      <c r="F41" s="137"/>
      <c r="G41" s="58" t="str" cm="1">
        <f>IF(ISBLANK($A41),"",INDEX(Array_MobileCharges,MATCH($A41,List_MobileFuelMeters,0),ROUNDUP((COLUMN()+1)/3-2,0)))</f>
        <v/>
      </c>
      <c r="H41" s="127"/>
      <c r="I41" s="137"/>
      <c r="J41" s="58" t="str" cm="1">
        <f>IF(ISBLANK($A41),"",INDEX(Array_MobileCharges,MATCH($A41,List_MobileFuelMeters,0),ROUNDUP((COLUMN()+1)/3-2,0)))</f>
        <v/>
      </c>
      <c r="K41" s="127"/>
      <c r="L41" s="137"/>
      <c r="M41" s="58" t="str" cm="1">
        <f>IF(ISBLANK($A41),"",INDEX(Array_MobileCharges,MATCH($A41,List_MobileFuelMeters,0),ROUNDUP((COLUMN()+1)/3-2,0)))</f>
        <v/>
      </c>
      <c r="N41" s="127"/>
      <c r="O41" s="137"/>
      <c r="P41" s="58" t="str" cm="1">
        <f>IF(ISBLANK($A41),"",INDEX(Array_MobileCharges,MATCH($A41,List_MobileFuelMeters,0),ROUNDUP((COLUMN()+1)/3-2,0)))</f>
        <v/>
      </c>
      <c r="Q41" s="127"/>
      <c r="R41" s="137"/>
      <c r="S41" s="58" t="str" cm="1">
        <f>IF(ISBLANK($A41),"",INDEX(Array_MobileCharges,MATCH($A41,List_MobileFuelMeters,0),ROUNDUP((COLUMN()+1)/3-2,0)))</f>
        <v/>
      </c>
      <c r="T41" s="127"/>
      <c r="U41" s="137"/>
    </row>
    <row r="42" spans="1:21" x14ac:dyDescent="0.3">
      <c r="A42" s="126"/>
      <c r="B42" s="133"/>
      <c r="C42" s="127"/>
      <c r="D42" s="138"/>
      <c r="E42" s="138"/>
      <c r="F42" s="137"/>
      <c r="G42" s="58" t="str" cm="1">
        <f>IF(ISBLANK($A42),"",INDEX(Array_MobileCharges,MATCH($A42,List_MobileFuelMeters,0),ROUNDUP((COLUMN()+1)/3-2,0)))</f>
        <v/>
      </c>
      <c r="H42" s="127"/>
      <c r="I42" s="137"/>
      <c r="J42" s="58" t="str" cm="1">
        <f>IF(ISBLANK($A42),"",INDEX(Array_MobileCharges,MATCH($A42,List_MobileFuelMeters,0),ROUNDUP((COLUMN()+1)/3-2,0)))</f>
        <v/>
      </c>
      <c r="K42" s="127"/>
      <c r="L42" s="137"/>
      <c r="M42" s="58" t="str" cm="1">
        <f>IF(ISBLANK($A42),"",INDEX(Array_MobileCharges,MATCH($A42,List_MobileFuelMeters,0),ROUNDUP((COLUMN()+1)/3-2,0)))</f>
        <v/>
      </c>
      <c r="N42" s="127"/>
      <c r="O42" s="137"/>
      <c r="P42" s="58" t="str" cm="1">
        <f>IF(ISBLANK($A42),"",INDEX(Array_MobileCharges,MATCH($A42,List_MobileFuelMeters,0),ROUNDUP((COLUMN()+1)/3-2,0)))</f>
        <v/>
      </c>
      <c r="Q42" s="127"/>
      <c r="R42" s="137"/>
      <c r="S42" s="58" t="str" cm="1">
        <f>IF(ISBLANK($A42),"",INDEX(Array_MobileCharges,MATCH($A42,List_MobileFuelMeters,0),ROUNDUP((COLUMN()+1)/3-2,0)))</f>
        <v/>
      </c>
      <c r="T42" s="127"/>
      <c r="U42" s="137"/>
    </row>
    <row r="43" spans="1:21" x14ac:dyDescent="0.3">
      <c r="A43" s="126"/>
      <c r="B43" s="133"/>
      <c r="C43" s="127"/>
      <c r="D43" s="138"/>
      <c r="E43" s="138"/>
      <c r="F43" s="137"/>
      <c r="G43" s="58" t="str" cm="1">
        <f>IF(ISBLANK($A43),"",INDEX(Array_MobileCharges,MATCH($A43,List_MobileFuelMeters,0),ROUNDUP((COLUMN()+1)/3-2,0)))</f>
        <v/>
      </c>
      <c r="H43" s="127"/>
      <c r="I43" s="137"/>
      <c r="J43" s="58" t="str" cm="1">
        <f>IF(ISBLANK($A43),"",INDEX(Array_MobileCharges,MATCH($A43,List_MobileFuelMeters,0),ROUNDUP((COLUMN()+1)/3-2,0)))</f>
        <v/>
      </c>
      <c r="K43" s="127"/>
      <c r="L43" s="137"/>
      <c r="M43" s="58" t="str" cm="1">
        <f>IF(ISBLANK($A43),"",INDEX(Array_MobileCharges,MATCH($A43,List_MobileFuelMeters,0),ROUNDUP((COLUMN()+1)/3-2,0)))</f>
        <v/>
      </c>
      <c r="N43" s="127"/>
      <c r="O43" s="137"/>
      <c r="P43" s="58" t="str" cm="1">
        <f>IF(ISBLANK($A43),"",INDEX(Array_MobileCharges,MATCH($A43,List_MobileFuelMeters,0),ROUNDUP((COLUMN()+1)/3-2,0)))</f>
        <v/>
      </c>
      <c r="Q43" s="127"/>
      <c r="R43" s="137"/>
      <c r="S43" s="58" t="str" cm="1">
        <f>IF(ISBLANK($A43),"",INDEX(Array_MobileCharges,MATCH($A43,List_MobileFuelMeters,0),ROUNDUP((COLUMN()+1)/3-2,0)))</f>
        <v/>
      </c>
      <c r="T43" s="127"/>
      <c r="U43" s="137"/>
    </row>
    <row r="44" spans="1:21" x14ac:dyDescent="0.3">
      <c r="A44" s="126"/>
      <c r="B44" s="133"/>
      <c r="C44" s="127"/>
      <c r="D44" s="138"/>
      <c r="E44" s="138"/>
      <c r="F44" s="137"/>
      <c r="G44" s="58" t="str" cm="1">
        <f>IF(ISBLANK($A44),"",INDEX(Array_MobileCharges,MATCH($A44,List_MobileFuelMeters,0),ROUNDUP((COLUMN()+1)/3-2,0)))</f>
        <v/>
      </c>
      <c r="H44" s="127"/>
      <c r="I44" s="137"/>
      <c r="J44" s="58" t="str" cm="1">
        <f>IF(ISBLANK($A44),"",INDEX(Array_MobileCharges,MATCH($A44,List_MobileFuelMeters,0),ROUNDUP((COLUMN()+1)/3-2,0)))</f>
        <v/>
      </c>
      <c r="K44" s="127"/>
      <c r="L44" s="137"/>
      <c r="M44" s="58" t="str" cm="1">
        <f>IF(ISBLANK($A44),"",INDEX(Array_MobileCharges,MATCH($A44,List_MobileFuelMeters,0),ROUNDUP((COLUMN()+1)/3-2,0)))</f>
        <v/>
      </c>
      <c r="N44" s="127"/>
      <c r="O44" s="137"/>
      <c r="P44" s="58" t="str" cm="1">
        <f>IF(ISBLANK($A44),"",INDEX(Array_MobileCharges,MATCH($A44,List_MobileFuelMeters,0),ROUNDUP((COLUMN()+1)/3-2,0)))</f>
        <v/>
      </c>
      <c r="Q44" s="127"/>
      <c r="R44" s="137"/>
      <c r="S44" s="58" t="str" cm="1">
        <f>IF(ISBLANK($A44),"",INDEX(Array_MobileCharges,MATCH($A44,List_MobileFuelMeters,0),ROUNDUP((COLUMN()+1)/3-2,0)))</f>
        <v/>
      </c>
      <c r="T44" s="127"/>
      <c r="U44" s="137"/>
    </row>
    <row r="45" spans="1:21" x14ac:dyDescent="0.3">
      <c r="A45" s="126"/>
      <c r="B45" s="133"/>
      <c r="C45" s="127"/>
      <c r="D45" s="138"/>
      <c r="E45" s="138"/>
      <c r="F45" s="137"/>
      <c r="G45" s="58" t="str" cm="1">
        <f>IF(ISBLANK($A45),"",INDEX(Array_MobileCharges,MATCH($A45,List_MobileFuelMeters,0),ROUNDUP((COLUMN()+1)/3-2,0)))</f>
        <v/>
      </c>
      <c r="H45" s="127"/>
      <c r="I45" s="137"/>
      <c r="J45" s="58" t="str" cm="1">
        <f>IF(ISBLANK($A45),"",INDEX(Array_MobileCharges,MATCH($A45,List_MobileFuelMeters,0),ROUNDUP((COLUMN()+1)/3-2,0)))</f>
        <v/>
      </c>
      <c r="K45" s="127"/>
      <c r="L45" s="137"/>
      <c r="M45" s="58" t="str" cm="1">
        <f>IF(ISBLANK($A45),"",INDEX(Array_MobileCharges,MATCH($A45,List_MobileFuelMeters,0),ROUNDUP((COLUMN()+1)/3-2,0)))</f>
        <v/>
      </c>
      <c r="N45" s="127"/>
      <c r="O45" s="137"/>
      <c r="P45" s="58" t="str" cm="1">
        <f>IF(ISBLANK($A45),"",INDEX(Array_MobileCharges,MATCH($A45,List_MobileFuelMeters,0),ROUNDUP((COLUMN()+1)/3-2,0)))</f>
        <v/>
      </c>
      <c r="Q45" s="127"/>
      <c r="R45" s="137"/>
      <c r="S45" s="58" t="str" cm="1">
        <f>IF(ISBLANK($A45),"",INDEX(Array_MobileCharges,MATCH($A45,List_MobileFuelMeters,0),ROUNDUP((COLUMN()+1)/3-2,0)))</f>
        <v/>
      </c>
      <c r="T45" s="127"/>
      <c r="U45" s="137"/>
    </row>
    <row r="46" spans="1:21" x14ac:dyDescent="0.3">
      <c r="A46" s="126"/>
      <c r="B46" s="133"/>
      <c r="C46" s="127"/>
      <c r="D46" s="138"/>
      <c r="E46" s="138"/>
      <c r="F46" s="137"/>
      <c r="G46" s="58" t="str" cm="1">
        <f>IF(ISBLANK($A46),"",INDEX(Array_MobileCharges,MATCH($A46,List_MobileFuelMeters,0),ROUNDUP((COLUMN()+1)/3-2,0)))</f>
        <v/>
      </c>
      <c r="H46" s="127"/>
      <c r="I46" s="137"/>
      <c r="J46" s="58" t="str" cm="1">
        <f>IF(ISBLANK($A46),"",INDEX(Array_MobileCharges,MATCH($A46,List_MobileFuelMeters,0),ROUNDUP((COLUMN()+1)/3-2,0)))</f>
        <v/>
      </c>
      <c r="K46" s="127"/>
      <c r="L46" s="137"/>
      <c r="M46" s="58" t="str" cm="1">
        <f>IF(ISBLANK($A46),"",INDEX(Array_MobileCharges,MATCH($A46,List_MobileFuelMeters,0),ROUNDUP((COLUMN()+1)/3-2,0)))</f>
        <v/>
      </c>
      <c r="N46" s="127"/>
      <c r="O46" s="137"/>
      <c r="P46" s="58" t="str" cm="1">
        <f>IF(ISBLANK($A46),"",INDEX(Array_MobileCharges,MATCH($A46,List_MobileFuelMeters,0),ROUNDUP((COLUMN()+1)/3-2,0)))</f>
        <v/>
      </c>
      <c r="Q46" s="127"/>
      <c r="R46" s="137"/>
      <c r="S46" s="58" t="str" cm="1">
        <f>IF(ISBLANK($A46),"",INDEX(Array_MobileCharges,MATCH($A46,List_MobileFuelMeters,0),ROUNDUP((COLUMN()+1)/3-2,0)))</f>
        <v/>
      </c>
      <c r="T46" s="127"/>
      <c r="U46" s="137"/>
    </row>
    <row r="47" spans="1:21" x14ac:dyDescent="0.3">
      <c r="A47" s="126"/>
      <c r="B47" s="133"/>
      <c r="C47" s="127"/>
      <c r="D47" s="138"/>
      <c r="E47" s="138"/>
      <c r="F47" s="137"/>
      <c r="G47" s="58" t="str" cm="1">
        <f>IF(ISBLANK($A47),"",INDEX(Array_MobileCharges,MATCH($A47,List_MobileFuelMeters,0),ROUNDUP((COLUMN()+1)/3-2,0)))</f>
        <v/>
      </c>
      <c r="H47" s="127"/>
      <c r="I47" s="137"/>
      <c r="J47" s="58" t="str" cm="1">
        <f>IF(ISBLANK($A47),"",INDEX(Array_MobileCharges,MATCH($A47,List_MobileFuelMeters,0),ROUNDUP((COLUMN()+1)/3-2,0)))</f>
        <v/>
      </c>
      <c r="K47" s="127"/>
      <c r="L47" s="137"/>
      <c r="M47" s="58" t="str" cm="1">
        <f>IF(ISBLANK($A47),"",INDEX(Array_MobileCharges,MATCH($A47,List_MobileFuelMeters,0),ROUNDUP((COLUMN()+1)/3-2,0)))</f>
        <v/>
      </c>
      <c r="N47" s="127"/>
      <c r="O47" s="137"/>
      <c r="P47" s="58" t="str" cm="1">
        <f>IF(ISBLANK($A47),"",INDEX(Array_MobileCharges,MATCH($A47,List_MobileFuelMeters,0),ROUNDUP((COLUMN()+1)/3-2,0)))</f>
        <v/>
      </c>
      <c r="Q47" s="127"/>
      <c r="R47" s="137"/>
      <c r="S47" s="58" t="str" cm="1">
        <f>IF(ISBLANK($A47),"",INDEX(Array_MobileCharges,MATCH($A47,List_MobileFuelMeters,0),ROUNDUP((COLUMN()+1)/3-2,0)))</f>
        <v/>
      </c>
      <c r="T47" s="127"/>
      <c r="U47" s="137"/>
    </row>
    <row r="48" spans="1:21" x14ac:dyDescent="0.3">
      <c r="A48" s="126"/>
      <c r="B48" s="133"/>
      <c r="C48" s="127"/>
      <c r="D48" s="138"/>
      <c r="E48" s="138"/>
      <c r="F48" s="137"/>
      <c r="G48" s="58" t="str" cm="1">
        <f>IF(ISBLANK($A48),"",INDEX(Array_MobileCharges,MATCH($A48,List_MobileFuelMeters,0),ROUNDUP((COLUMN()+1)/3-2,0)))</f>
        <v/>
      </c>
      <c r="H48" s="127"/>
      <c r="I48" s="137"/>
      <c r="J48" s="58" t="str" cm="1">
        <f>IF(ISBLANK($A48),"",INDEX(Array_MobileCharges,MATCH($A48,List_MobileFuelMeters,0),ROUNDUP((COLUMN()+1)/3-2,0)))</f>
        <v/>
      </c>
      <c r="K48" s="127"/>
      <c r="L48" s="137"/>
      <c r="M48" s="58" t="str" cm="1">
        <f>IF(ISBLANK($A48),"",INDEX(Array_MobileCharges,MATCH($A48,List_MobileFuelMeters,0),ROUNDUP((COLUMN()+1)/3-2,0)))</f>
        <v/>
      </c>
      <c r="N48" s="127"/>
      <c r="O48" s="137"/>
      <c r="P48" s="58" t="str" cm="1">
        <f>IF(ISBLANK($A48),"",INDEX(Array_MobileCharges,MATCH($A48,List_MobileFuelMeters,0),ROUNDUP((COLUMN()+1)/3-2,0)))</f>
        <v/>
      </c>
      <c r="Q48" s="127"/>
      <c r="R48" s="137"/>
      <c r="S48" s="58" t="str" cm="1">
        <f>IF(ISBLANK($A48),"",INDEX(Array_MobileCharges,MATCH($A48,List_MobileFuelMeters,0),ROUNDUP((COLUMN()+1)/3-2,0)))</f>
        <v/>
      </c>
      <c r="T48" s="127"/>
      <c r="U48" s="137"/>
    </row>
    <row r="49" spans="1:21" x14ac:dyDescent="0.3">
      <c r="A49" s="126"/>
      <c r="B49" s="133"/>
      <c r="C49" s="127"/>
      <c r="D49" s="138"/>
      <c r="E49" s="138"/>
      <c r="F49" s="137"/>
      <c r="G49" s="58" t="str" cm="1">
        <f>IF(ISBLANK($A49),"",INDEX(Array_MobileCharges,MATCH($A49,List_MobileFuelMeters,0),ROUNDUP((COLUMN()+1)/3-2,0)))</f>
        <v/>
      </c>
      <c r="H49" s="127"/>
      <c r="I49" s="137"/>
      <c r="J49" s="58" t="str" cm="1">
        <f>IF(ISBLANK($A49),"",INDEX(Array_MobileCharges,MATCH($A49,List_MobileFuelMeters,0),ROUNDUP((COLUMN()+1)/3-2,0)))</f>
        <v/>
      </c>
      <c r="K49" s="127"/>
      <c r="L49" s="137"/>
      <c r="M49" s="58" t="str" cm="1">
        <f>IF(ISBLANK($A49),"",INDEX(Array_MobileCharges,MATCH($A49,List_MobileFuelMeters,0),ROUNDUP((COLUMN()+1)/3-2,0)))</f>
        <v/>
      </c>
      <c r="N49" s="127"/>
      <c r="O49" s="137"/>
      <c r="P49" s="58" t="str" cm="1">
        <f>IF(ISBLANK($A49),"",INDEX(Array_MobileCharges,MATCH($A49,List_MobileFuelMeters,0),ROUNDUP((COLUMN()+1)/3-2,0)))</f>
        <v/>
      </c>
      <c r="Q49" s="127"/>
      <c r="R49" s="137"/>
      <c r="S49" s="58" t="str" cm="1">
        <f>IF(ISBLANK($A49),"",INDEX(Array_MobileCharges,MATCH($A49,List_MobileFuelMeters,0),ROUNDUP((COLUMN()+1)/3-2,0)))</f>
        <v/>
      </c>
      <c r="T49" s="127"/>
      <c r="U49" s="137"/>
    </row>
    <row r="50" spans="1:21" x14ac:dyDescent="0.3">
      <c r="A50" s="126"/>
      <c r="B50" s="133"/>
      <c r="C50" s="127"/>
      <c r="D50" s="138"/>
      <c r="E50" s="138"/>
      <c r="F50" s="137"/>
      <c r="G50" s="58" t="str" cm="1">
        <f>IF(ISBLANK($A50),"",INDEX(Array_MobileCharges,MATCH($A50,List_MobileFuelMeters,0),ROUNDUP((COLUMN()+1)/3-2,0)))</f>
        <v/>
      </c>
      <c r="H50" s="127"/>
      <c r="I50" s="137"/>
      <c r="J50" s="58" t="str" cm="1">
        <f>IF(ISBLANK($A50),"",INDEX(Array_MobileCharges,MATCH($A50,List_MobileFuelMeters,0),ROUNDUP((COLUMN()+1)/3-2,0)))</f>
        <v/>
      </c>
      <c r="K50" s="127"/>
      <c r="L50" s="137"/>
      <c r="M50" s="58" t="str" cm="1">
        <f>IF(ISBLANK($A50),"",INDEX(Array_MobileCharges,MATCH($A50,List_MobileFuelMeters,0),ROUNDUP((COLUMN()+1)/3-2,0)))</f>
        <v/>
      </c>
      <c r="N50" s="127"/>
      <c r="O50" s="137"/>
      <c r="P50" s="58" t="str" cm="1">
        <f>IF(ISBLANK($A50),"",INDEX(Array_MobileCharges,MATCH($A50,List_MobileFuelMeters,0),ROUNDUP((COLUMN()+1)/3-2,0)))</f>
        <v/>
      </c>
      <c r="Q50" s="127"/>
      <c r="R50" s="137"/>
      <c r="S50" s="58" t="str" cm="1">
        <f>IF(ISBLANK($A50),"",INDEX(Array_MobileCharges,MATCH($A50,List_MobileFuelMeters,0),ROUNDUP((COLUMN()+1)/3-2,0)))</f>
        <v/>
      </c>
      <c r="T50" s="127"/>
      <c r="U50" s="137"/>
    </row>
    <row r="51" spans="1:21" x14ac:dyDescent="0.3">
      <c r="A51" s="126"/>
      <c r="B51" s="133"/>
      <c r="C51" s="127"/>
      <c r="D51" s="138"/>
      <c r="E51" s="138"/>
      <c r="F51" s="137"/>
      <c r="G51" s="58" t="str" cm="1">
        <f>IF(ISBLANK($A51),"",INDEX(Array_MobileCharges,MATCH($A51,List_MobileFuelMeters,0),ROUNDUP((COLUMN()+1)/3-2,0)))</f>
        <v/>
      </c>
      <c r="H51" s="127"/>
      <c r="I51" s="137"/>
      <c r="J51" s="58" t="str" cm="1">
        <f>IF(ISBLANK($A51),"",INDEX(Array_MobileCharges,MATCH($A51,List_MobileFuelMeters,0),ROUNDUP((COLUMN()+1)/3-2,0)))</f>
        <v/>
      </c>
      <c r="K51" s="127"/>
      <c r="L51" s="137"/>
      <c r="M51" s="58" t="str" cm="1">
        <f>IF(ISBLANK($A51),"",INDEX(Array_MobileCharges,MATCH($A51,List_MobileFuelMeters,0),ROUNDUP((COLUMN()+1)/3-2,0)))</f>
        <v/>
      </c>
      <c r="N51" s="127"/>
      <c r="O51" s="137"/>
      <c r="P51" s="58" t="str" cm="1">
        <f>IF(ISBLANK($A51),"",INDEX(Array_MobileCharges,MATCH($A51,List_MobileFuelMeters,0),ROUNDUP((COLUMN()+1)/3-2,0)))</f>
        <v/>
      </c>
      <c r="Q51" s="127"/>
      <c r="R51" s="137"/>
      <c r="S51" s="58" t="str" cm="1">
        <f>IF(ISBLANK($A51),"",INDEX(Array_MobileCharges,MATCH($A51,List_MobileFuelMeters,0),ROUNDUP((COLUMN()+1)/3-2,0)))</f>
        <v/>
      </c>
      <c r="T51" s="127"/>
      <c r="U51" s="137"/>
    </row>
    <row r="52" spans="1:21" x14ac:dyDescent="0.3">
      <c r="A52" s="126"/>
      <c r="B52" s="133"/>
      <c r="C52" s="127"/>
      <c r="D52" s="138"/>
      <c r="E52" s="138"/>
      <c r="F52" s="137"/>
      <c r="G52" s="58" t="str" cm="1">
        <f>IF(ISBLANK($A52),"",INDEX(Array_MobileCharges,MATCH($A52,List_MobileFuelMeters,0),ROUNDUP((COLUMN()+1)/3-2,0)))</f>
        <v/>
      </c>
      <c r="H52" s="127"/>
      <c r="I52" s="137"/>
      <c r="J52" s="58" t="str" cm="1">
        <f>IF(ISBLANK($A52),"",INDEX(Array_MobileCharges,MATCH($A52,List_MobileFuelMeters,0),ROUNDUP((COLUMN()+1)/3-2,0)))</f>
        <v/>
      </c>
      <c r="K52" s="127"/>
      <c r="L52" s="137"/>
      <c r="M52" s="58" t="str" cm="1">
        <f>IF(ISBLANK($A52),"",INDEX(Array_MobileCharges,MATCH($A52,List_MobileFuelMeters,0),ROUNDUP((COLUMN()+1)/3-2,0)))</f>
        <v/>
      </c>
      <c r="N52" s="127"/>
      <c r="O52" s="137"/>
      <c r="P52" s="58" t="str" cm="1">
        <f>IF(ISBLANK($A52),"",INDEX(Array_MobileCharges,MATCH($A52,List_MobileFuelMeters,0),ROUNDUP((COLUMN()+1)/3-2,0)))</f>
        <v/>
      </c>
      <c r="Q52" s="127"/>
      <c r="R52" s="137"/>
      <c r="S52" s="58" t="str" cm="1">
        <f>IF(ISBLANK($A52),"",INDEX(Array_MobileCharges,MATCH($A52,List_MobileFuelMeters,0),ROUNDUP((COLUMN()+1)/3-2,0)))</f>
        <v/>
      </c>
      <c r="T52" s="127"/>
      <c r="U52" s="137"/>
    </row>
    <row r="53" spans="1:21" x14ac:dyDescent="0.3">
      <c r="A53" s="126"/>
      <c r="B53" s="133"/>
      <c r="C53" s="127"/>
      <c r="D53" s="138"/>
      <c r="E53" s="138"/>
      <c r="F53" s="137"/>
      <c r="G53" s="58" t="str" cm="1">
        <f>IF(ISBLANK($A53),"",INDEX(Array_MobileCharges,MATCH($A53,List_MobileFuelMeters,0),ROUNDUP((COLUMN()+1)/3-2,0)))</f>
        <v/>
      </c>
      <c r="H53" s="127"/>
      <c r="I53" s="137"/>
      <c r="J53" s="58" t="str" cm="1">
        <f>IF(ISBLANK($A53),"",INDEX(Array_MobileCharges,MATCH($A53,List_MobileFuelMeters,0),ROUNDUP((COLUMN()+1)/3-2,0)))</f>
        <v/>
      </c>
      <c r="K53" s="127"/>
      <c r="L53" s="137"/>
      <c r="M53" s="58" t="str" cm="1">
        <f>IF(ISBLANK($A53),"",INDEX(Array_MobileCharges,MATCH($A53,List_MobileFuelMeters,0),ROUNDUP((COLUMN()+1)/3-2,0)))</f>
        <v/>
      </c>
      <c r="N53" s="127"/>
      <c r="O53" s="137"/>
      <c r="P53" s="58" t="str" cm="1">
        <f>IF(ISBLANK($A53),"",INDEX(Array_MobileCharges,MATCH($A53,List_MobileFuelMeters,0),ROUNDUP((COLUMN()+1)/3-2,0)))</f>
        <v/>
      </c>
      <c r="Q53" s="127"/>
      <c r="R53" s="137"/>
      <c r="S53" s="58" t="str" cm="1">
        <f>IF(ISBLANK($A53),"",INDEX(Array_MobileCharges,MATCH($A53,List_MobileFuelMeters,0),ROUNDUP((COLUMN()+1)/3-2,0)))</f>
        <v/>
      </c>
      <c r="T53" s="127"/>
      <c r="U53" s="137"/>
    </row>
    <row r="54" spans="1:21" x14ac:dyDescent="0.3">
      <c r="A54" s="126"/>
      <c r="B54" s="133"/>
      <c r="C54" s="127"/>
      <c r="D54" s="138"/>
      <c r="E54" s="138"/>
      <c r="F54" s="137"/>
      <c r="G54" s="58" t="str" cm="1">
        <f>IF(ISBLANK($A54),"",INDEX(Array_MobileCharges,MATCH($A54,List_MobileFuelMeters,0),ROUNDUP((COLUMN()+1)/3-2,0)))</f>
        <v/>
      </c>
      <c r="H54" s="127"/>
      <c r="I54" s="137"/>
      <c r="J54" s="58" t="str" cm="1">
        <f>IF(ISBLANK($A54),"",INDEX(Array_MobileCharges,MATCH($A54,List_MobileFuelMeters,0),ROUNDUP((COLUMN()+1)/3-2,0)))</f>
        <v/>
      </c>
      <c r="K54" s="127"/>
      <c r="L54" s="137"/>
      <c r="M54" s="58" t="str" cm="1">
        <f>IF(ISBLANK($A54),"",INDEX(Array_MobileCharges,MATCH($A54,List_MobileFuelMeters,0),ROUNDUP((COLUMN()+1)/3-2,0)))</f>
        <v/>
      </c>
      <c r="N54" s="127"/>
      <c r="O54" s="137"/>
      <c r="P54" s="58" t="str" cm="1">
        <f>IF(ISBLANK($A54),"",INDEX(Array_MobileCharges,MATCH($A54,List_MobileFuelMeters,0),ROUNDUP((COLUMN()+1)/3-2,0)))</f>
        <v/>
      </c>
      <c r="Q54" s="127"/>
      <c r="R54" s="137"/>
      <c r="S54" s="58" t="str" cm="1">
        <f>IF(ISBLANK($A54),"",INDEX(Array_MobileCharges,MATCH($A54,List_MobileFuelMeters,0),ROUNDUP((COLUMN()+1)/3-2,0)))</f>
        <v/>
      </c>
      <c r="T54" s="127"/>
      <c r="U54" s="137"/>
    </row>
    <row r="55" spans="1:21" x14ac:dyDescent="0.3">
      <c r="A55" s="126"/>
      <c r="B55" s="133"/>
      <c r="C55" s="127"/>
      <c r="D55" s="138"/>
      <c r="E55" s="138"/>
      <c r="F55" s="137"/>
      <c r="G55" s="58" t="str" cm="1">
        <f>IF(ISBLANK($A55),"",INDEX(Array_MobileCharges,MATCH($A55,List_MobileFuelMeters,0),ROUNDUP((COLUMN()+1)/3-2,0)))</f>
        <v/>
      </c>
      <c r="H55" s="127"/>
      <c r="I55" s="137"/>
      <c r="J55" s="58" t="str" cm="1">
        <f>IF(ISBLANK($A55),"",INDEX(Array_MobileCharges,MATCH($A55,List_MobileFuelMeters,0),ROUNDUP((COLUMN()+1)/3-2,0)))</f>
        <v/>
      </c>
      <c r="K55" s="127"/>
      <c r="L55" s="137"/>
      <c r="M55" s="58" t="str" cm="1">
        <f>IF(ISBLANK($A55),"",INDEX(Array_MobileCharges,MATCH($A55,List_MobileFuelMeters,0),ROUNDUP((COLUMN()+1)/3-2,0)))</f>
        <v/>
      </c>
      <c r="N55" s="127"/>
      <c r="O55" s="137"/>
      <c r="P55" s="58" t="str" cm="1">
        <f>IF(ISBLANK($A55),"",INDEX(Array_MobileCharges,MATCH($A55,List_MobileFuelMeters,0),ROUNDUP((COLUMN()+1)/3-2,0)))</f>
        <v/>
      </c>
      <c r="Q55" s="127"/>
      <c r="R55" s="137"/>
      <c r="S55" s="58" t="str" cm="1">
        <f>IF(ISBLANK($A55),"",INDEX(Array_MobileCharges,MATCH($A55,List_MobileFuelMeters,0),ROUNDUP((COLUMN()+1)/3-2,0)))</f>
        <v/>
      </c>
      <c r="T55" s="127"/>
      <c r="U55" s="137"/>
    </row>
    <row r="56" spans="1:21" x14ac:dyDescent="0.3">
      <c r="A56" s="126"/>
      <c r="B56" s="133"/>
      <c r="C56" s="127"/>
      <c r="D56" s="138"/>
      <c r="E56" s="138"/>
      <c r="F56" s="137"/>
      <c r="G56" s="58" t="str" cm="1">
        <f>IF(ISBLANK($A56),"",INDEX(Array_MobileCharges,MATCH($A56,List_MobileFuelMeters,0),ROUNDUP((COLUMN()+1)/3-2,0)))</f>
        <v/>
      </c>
      <c r="H56" s="127"/>
      <c r="I56" s="137"/>
      <c r="J56" s="58" t="str" cm="1">
        <f>IF(ISBLANK($A56),"",INDEX(Array_MobileCharges,MATCH($A56,List_MobileFuelMeters,0),ROUNDUP((COLUMN()+1)/3-2,0)))</f>
        <v/>
      </c>
      <c r="K56" s="127"/>
      <c r="L56" s="137"/>
      <c r="M56" s="58" t="str" cm="1">
        <f>IF(ISBLANK($A56),"",INDEX(Array_MobileCharges,MATCH($A56,List_MobileFuelMeters,0),ROUNDUP((COLUMN()+1)/3-2,0)))</f>
        <v/>
      </c>
      <c r="N56" s="127"/>
      <c r="O56" s="137"/>
      <c r="P56" s="58" t="str" cm="1">
        <f>IF(ISBLANK($A56),"",INDEX(Array_MobileCharges,MATCH($A56,List_MobileFuelMeters,0),ROUNDUP((COLUMN()+1)/3-2,0)))</f>
        <v/>
      </c>
      <c r="Q56" s="127"/>
      <c r="R56" s="137"/>
      <c r="S56" s="58" t="str" cm="1">
        <f>IF(ISBLANK($A56),"",INDEX(Array_MobileCharges,MATCH($A56,List_MobileFuelMeters,0),ROUNDUP((COLUMN()+1)/3-2,0)))</f>
        <v/>
      </c>
      <c r="T56" s="127"/>
      <c r="U56" s="137"/>
    </row>
    <row r="57" spans="1:21" x14ac:dyDescent="0.3">
      <c r="A57" s="126"/>
      <c r="B57" s="133"/>
      <c r="C57" s="127"/>
      <c r="D57" s="138"/>
      <c r="E57" s="138"/>
      <c r="F57" s="137"/>
      <c r="G57" s="58" t="str" cm="1">
        <f>IF(ISBLANK($A57),"",INDEX(Array_MobileCharges,MATCH($A57,List_MobileFuelMeters,0),ROUNDUP((COLUMN()+1)/3-2,0)))</f>
        <v/>
      </c>
      <c r="H57" s="127"/>
      <c r="I57" s="137"/>
      <c r="J57" s="58" t="str" cm="1">
        <f>IF(ISBLANK($A57),"",INDEX(Array_MobileCharges,MATCH($A57,List_MobileFuelMeters,0),ROUNDUP((COLUMN()+1)/3-2,0)))</f>
        <v/>
      </c>
      <c r="K57" s="127"/>
      <c r="L57" s="137"/>
      <c r="M57" s="58" t="str" cm="1">
        <f>IF(ISBLANK($A57),"",INDEX(Array_MobileCharges,MATCH($A57,List_MobileFuelMeters,0),ROUNDUP((COLUMN()+1)/3-2,0)))</f>
        <v/>
      </c>
      <c r="N57" s="127"/>
      <c r="O57" s="137"/>
      <c r="P57" s="58" t="str" cm="1">
        <f>IF(ISBLANK($A57),"",INDEX(Array_MobileCharges,MATCH($A57,List_MobileFuelMeters,0),ROUNDUP((COLUMN()+1)/3-2,0)))</f>
        <v/>
      </c>
      <c r="Q57" s="127"/>
      <c r="R57" s="137"/>
      <c r="S57" s="58" t="str" cm="1">
        <f>IF(ISBLANK($A57),"",INDEX(Array_MobileCharges,MATCH($A57,List_MobileFuelMeters,0),ROUNDUP((COLUMN()+1)/3-2,0)))</f>
        <v/>
      </c>
      <c r="T57" s="127"/>
      <c r="U57" s="137"/>
    </row>
    <row r="58" spans="1:21" x14ac:dyDescent="0.3">
      <c r="A58" s="126"/>
      <c r="B58" s="133"/>
      <c r="C58" s="127"/>
      <c r="D58" s="138"/>
      <c r="E58" s="138"/>
      <c r="F58" s="137"/>
      <c r="G58" s="58" t="str" cm="1">
        <f>IF(ISBLANK($A58),"",INDEX(Array_MobileCharges,MATCH($A58,List_MobileFuelMeters,0),ROUNDUP((COLUMN()+1)/3-2,0)))</f>
        <v/>
      </c>
      <c r="H58" s="127"/>
      <c r="I58" s="137"/>
      <c r="J58" s="58" t="str" cm="1">
        <f>IF(ISBLANK($A58),"",INDEX(Array_MobileCharges,MATCH($A58,List_MobileFuelMeters,0),ROUNDUP((COLUMN()+1)/3-2,0)))</f>
        <v/>
      </c>
      <c r="K58" s="127"/>
      <c r="L58" s="137"/>
      <c r="M58" s="58" t="str" cm="1">
        <f>IF(ISBLANK($A58),"",INDEX(Array_MobileCharges,MATCH($A58,List_MobileFuelMeters,0),ROUNDUP((COLUMN()+1)/3-2,0)))</f>
        <v/>
      </c>
      <c r="N58" s="127"/>
      <c r="O58" s="137"/>
      <c r="P58" s="58" t="str" cm="1">
        <f>IF(ISBLANK($A58),"",INDEX(Array_MobileCharges,MATCH($A58,List_MobileFuelMeters,0),ROUNDUP((COLUMN()+1)/3-2,0)))</f>
        <v/>
      </c>
      <c r="Q58" s="127"/>
      <c r="R58" s="137"/>
      <c r="S58" s="58" t="str" cm="1">
        <f>IF(ISBLANK($A58),"",INDEX(Array_MobileCharges,MATCH($A58,List_MobileFuelMeters,0),ROUNDUP((COLUMN()+1)/3-2,0)))</f>
        <v/>
      </c>
      <c r="T58" s="127"/>
      <c r="U58" s="137"/>
    </row>
    <row r="59" spans="1:21" x14ac:dyDescent="0.3">
      <c r="A59" s="126"/>
      <c r="B59" s="133"/>
      <c r="C59" s="127"/>
      <c r="D59" s="138"/>
      <c r="E59" s="138"/>
      <c r="F59" s="137"/>
      <c r="G59" s="58" t="str" cm="1">
        <f>IF(ISBLANK($A59),"",INDEX(Array_MobileCharges,MATCH($A59,List_MobileFuelMeters,0),ROUNDUP((COLUMN()+1)/3-2,0)))</f>
        <v/>
      </c>
      <c r="H59" s="127"/>
      <c r="I59" s="137"/>
      <c r="J59" s="58" t="str" cm="1">
        <f>IF(ISBLANK($A59),"",INDEX(Array_MobileCharges,MATCH($A59,List_MobileFuelMeters,0),ROUNDUP((COLUMN()+1)/3-2,0)))</f>
        <v/>
      </c>
      <c r="K59" s="127"/>
      <c r="L59" s="137"/>
      <c r="M59" s="58" t="str" cm="1">
        <f>IF(ISBLANK($A59),"",INDEX(Array_MobileCharges,MATCH($A59,List_MobileFuelMeters,0),ROUNDUP((COLUMN()+1)/3-2,0)))</f>
        <v/>
      </c>
      <c r="N59" s="127"/>
      <c r="O59" s="137"/>
      <c r="P59" s="58" t="str" cm="1">
        <f>IF(ISBLANK($A59),"",INDEX(Array_MobileCharges,MATCH($A59,List_MobileFuelMeters,0),ROUNDUP((COLUMN()+1)/3-2,0)))</f>
        <v/>
      </c>
      <c r="Q59" s="127"/>
      <c r="R59" s="137"/>
      <c r="S59" s="58" t="str" cm="1">
        <f>IF(ISBLANK($A59),"",INDEX(Array_MobileCharges,MATCH($A59,List_MobileFuelMeters,0),ROUNDUP((COLUMN()+1)/3-2,0)))</f>
        <v/>
      </c>
      <c r="T59" s="127"/>
      <c r="U59" s="137"/>
    </row>
    <row r="60" spans="1:21" x14ac:dyDescent="0.3">
      <c r="A60" s="126"/>
      <c r="B60" s="133"/>
      <c r="C60" s="127"/>
      <c r="D60" s="138"/>
      <c r="E60" s="138"/>
      <c r="F60" s="137"/>
      <c r="G60" s="58" t="str" cm="1">
        <f>IF(ISBLANK($A60),"",INDEX(Array_MobileCharges,MATCH($A60,List_MobileFuelMeters,0),ROUNDUP((COLUMN()+1)/3-2,0)))</f>
        <v/>
      </c>
      <c r="H60" s="127"/>
      <c r="I60" s="137"/>
      <c r="J60" s="58" t="str" cm="1">
        <f>IF(ISBLANK($A60),"",INDEX(Array_MobileCharges,MATCH($A60,List_MobileFuelMeters,0),ROUNDUP((COLUMN()+1)/3-2,0)))</f>
        <v/>
      </c>
      <c r="K60" s="127"/>
      <c r="L60" s="137"/>
      <c r="M60" s="58" t="str" cm="1">
        <f>IF(ISBLANK($A60),"",INDEX(Array_MobileCharges,MATCH($A60,List_MobileFuelMeters,0),ROUNDUP((COLUMN()+1)/3-2,0)))</f>
        <v/>
      </c>
      <c r="N60" s="127"/>
      <c r="O60" s="137"/>
      <c r="P60" s="58" t="str" cm="1">
        <f>IF(ISBLANK($A60),"",INDEX(Array_MobileCharges,MATCH($A60,List_MobileFuelMeters,0),ROUNDUP((COLUMN()+1)/3-2,0)))</f>
        <v/>
      </c>
      <c r="Q60" s="127"/>
      <c r="R60" s="137"/>
      <c r="S60" s="58" t="str" cm="1">
        <f>IF(ISBLANK($A60),"",INDEX(Array_MobileCharges,MATCH($A60,List_MobileFuelMeters,0),ROUNDUP((COLUMN()+1)/3-2,0)))</f>
        <v/>
      </c>
      <c r="T60" s="127"/>
      <c r="U60" s="137"/>
    </row>
    <row r="61" spans="1:21" x14ac:dyDescent="0.3">
      <c r="A61" s="126"/>
      <c r="B61" s="133"/>
      <c r="C61" s="127"/>
      <c r="D61" s="138"/>
      <c r="E61" s="138"/>
      <c r="F61" s="137"/>
      <c r="G61" s="58" t="str" cm="1">
        <f>IF(ISBLANK($A61),"",INDEX(Array_MobileCharges,MATCH($A61,List_MobileFuelMeters,0),ROUNDUP((COLUMN()+1)/3-2,0)))</f>
        <v/>
      </c>
      <c r="H61" s="127"/>
      <c r="I61" s="137"/>
      <c r="J61" s="58" t="str" cm="1">
        <f>IF(ISBLANK($A61),"",INDEX(Array_MobileCharges,MATCH($A61,List_MobileFuelMeters,0),ROUNDUP((COLUMN()+1)/3-2,0)))</f>
        <v/>
      </c>
      <c r="K61" s="127"/>
      <c r="L61" s="137"/>
      <c r="M61" s="58" t="str" cm="1">
        <f>IF(ISBLANK($A61),"",INDEX(Array_MobileCharges,MATCH($A61,List_MobileFuelMeters,0),ROUNDUP((COLUMN()+1)/3-2,0)))</f>
        <v/>
      </c>
      <c r="N61" s="127"/>
      <c r="O61" s="137"/>
      <c r="P61" s="58" t="str" cm="1">
        <f>IF(ISBLANK($A61),"",INDEX(Array_MobileCharges,MATCH($A61,List_MobileFuelMeters,0),ROUNDUP((COLUMN()+1)/3-2,0)))</f>
        <v/>
      </c>
      <c r="Q61" s="127"/>
      <c r="R61" s="137"/>
      <c r="S61" s="58" t="str" cm="1">
        <f>IF(ISBLANK($A61),"",INDEX(Array_MobileCharges,MATCH($A61,List_MobileFuelMeters,0),ROUNDUP((COLUMN()+1)/3-2,0)))</f>
        <v/>
      </c>
      <c r="T61" s="127"/>
      <c r="U61" s="137"/>
    </row>
    <row r="62" spans="1:21" x14ac:dyDescent="0.3">
      <c r="A62" s="126"/>
      <c r="B62" s="133"/>
      <c r="C62" s="127"/>
      <c r="D62" s="138"/>
      <c r="E62" s="138"/>
      <c r="F62" s="137"/>
      <c r="G62" s="58" t="str" cm="1">
        <f>IF(ISBLANK($A62),"",INDEX(Array_MobileCharges,MATCH($A62,List_MobileFuelMeters,0),ROUNDUP((COLUMN()+1)/3-2,0)))</f>
        <v/>
      </c>
      <c r="H62" s="127"/>
      <c r="I62" s="137"/>
      <c r="J62" s="58" t="str" cm="1">
        <f>IF(ISBLANK($A62),"",INDEX(Array_MobileCharges,MATCH($A62,List_MobileFuelMeters,0),ROUNDUP((COLUMN()+1)/3-2,0)))</f>
        <v/>
      </c>
      <c r="K62" s="127"/>
      <c r="L62" s="137"/>
      <c r="M62" s="58" t="str" cm="1">
        <f>IF(ISBLANK($A62),"",INDEX(Array_MobileCharges,MATCH($A62,List_MobileFuelMeters,0),ROUNDUP((COLUMN()+1)/3-2,0)))</f>
        <v/>
      </c>
      <c r="N62" s="127"/>
      <c r="O62" s="137"/>
      <c r="P62" s="58" t="str" cm="1">
        <f>IF(ISBLANK($A62),"",INDEX(Array_MobileCharges,MATCH($A62,List_MobileFuelMeters,0),ROUNDUP((COLUMN()+1)/3-2,0)))</f>
        <v/>
      </c>
      <c r="Q62" s="127"/>
      <c r="R62" s="137"/>
      <c r="S62" s="58" t="str" cm="1">
        <f>IF(ISBLANK($A62),"",INDEX(Array_MobileCharges,MATCH($A62,List_MobileFuelMeters,0),ROUNDUP((COLUMN()+1)/3-2,0)))</f>
        <v/>
      </c>
      <c r="T62" s="127"/>
      <c r="U62" s="137"/>
    </row>
    <row r="63" spans="1:21" x14ac:dyDescent="0.3">
      <c r="A63" s="126"/>
      <c r="B63" s="133"/>
      <c r="C63" s="127"/>
      <c r="D63" s="138"/>
      <c r="E63" s="138"/>
      <c r="F63" s="137"/>
      <c r="G63" s="58" t="str" cm="1">
        <f>IF(ISBLANK($A63),"",INDEX(Array_MobileCharges,MATCH($A63,List_MobileFuelMeters,0),ROUNDUP((COLUMN()+1)/3-2,0)))</f>
        <v/>
      </c>
      <c r="H63" s="127"/>
      <c r="I63" s="137"/>
      <c r="J63" s="58" t="str" cm="1">
        <f>IF(ISBLANK($A63),"",INDEX(Array_MobileCharges,MATCH($A63,List_MobileFuelMeters,0),ROUNDUP((COLUMN()+1)/3-2,0)))</f>
        <v/>
      </c>
      <c r="K63" s="127"/>
      <c r="L63" s="137"/>
      <c r="M63" s="58" t="str" cm="1">
        <f>IF(ISBLANK($A63),"",INDEX(Array_MobileCharges,MATCH($A63,List_MobileFuelMeters,0),ROUNDUP((COLUMN()+1)/3-2,0)))</f>
        <v/>
      </c>
      <c r="N63" s="127"/>
      <c r="O63" s="137"/>
      <c r="P63" s="58" t="str" cm="1">
        <f>IF(ISBLANK($A63),"",INDEX(Array_MobileCharges,MATCH($A63,List_MobileFuelMeters,0),ROUNDUP((COLUMN()+1)/3-2,0)))</f>
        <v/>
      </c>
      <c r="Q63" s="127"/>
      <c r="R63" s="137"/>
      <c r="S63" s="58" t="str" cm="1">
        <f>IF(ISBLANK($A63),"",INDEX(Array_MobileCharges,MATCH($A63,List_MobileFuelMeters,0),ROUNDUP((COLUMN()+1)/3-2,0)))</f>
        <v/>
      </c>
      <c r="T63" s="127"/>
      <c r="U63" s="137"/>
    </row>
    <row r="64" spans="1:21" x14ac:dyDescent="0.3">
      <c r="A64" s="126"/>
      <c r="B64" s="133"/>
      <c r="C64" s="127"/>
      <c r="D64" s="138"/>
      <c r="E64" s="138"/>
      <c r="F64" s="137"/>
      <c r="G64" s="58" t="str" cm="1">
        <f>IF(ISBLANK($A64),"",INDEX(Array_MobileCharges,MATCH($A64,List_MobileFuelMeters,0),ROUNDUP((COLUMN()+1)/3-2,0)))</f>
        <v/>
      </c>
      <c r="H64" s="127"/>
      <c r="I64" s="137"/>
      <c r="J64" s="58" t="str" cm="1">
        <f>IF(ISBLANK($A64),"",INDEX(Array_MobileCharges,MATCH($A64,List_MobileFuelMeters,0),ROUNDUP((COLUMN()+1)/3-2,0)))</f>
        <v/>
      </c>
      <c r="K64" s="127"/>
      <c r="L64" s="137"/>
      <c r="M64" s="58" t="str" cm="1">
        <f>IF(ISBLANK($A64),"",INDEX(Array_MobileCharges,MATCH($A64,List_MobileFuelMeters,0),ROUNDUP((COLUMN()+1)/3-2,0)))</f>
        <v/>
      </c>
      <c r="N64" s="127"/>
      <c r="O64" s="137"/>
      <c r="P64" s="58" t="str" cm="1">
        <f>IF(ISBLANK($A64),"",INDEX(Array_MobileCharges,MATCH($A64,List_MobileFuelMeters,0),ROUNDUP((COLUMN()+1)/3-2,0)))</f>
        <v/>
      </c>
      <c r="Q64" s="127"/>
      <c r="R64" s="137"/>
      <c r="S64" s="58" t="str" cm="1">
        <f>IF(ISBLANK($A64),"",INDEX(Array_MobileCharges,MATCH($A64,List_MobileFuelMeters,0),ROUNDUP((COLUMN()+1)/3-2,0)))</f>
        <v/>
      </c>
      <c r="T64" s="127"/>
      <c r="U64" s="137"/>
    </row>
    <row r="65" spans="1:21" x14ac:dyDescent="0.3">
      <c r="A65" s="126"/>
      <c r="B65" s="133"/>
      <c r="C65" s="127"/>
      <c r="D65" s="138"/>
      <c r="E65" s="138"/>
      <c r="F65" s="137"/>
      <c r="G65" s="58" t="str" cm="1">
        <f>IF(ISBLANK($A65),"",INDEX(Array_MobileCharges,MATCH($A65,List_MobileFuelMeters,0),ROUNDUP((COLUMN()+1)/3-2,0)))</f>
        <v/>
      </c>
      <c r="H65" s="127"/>
      <c r="I65" s="137"/>
      <c r="J65" s="58" t="str" cm="1">
        <f>IF(ISBLANK($A65),"",INDEX(Array_MobileCharges,MATCH($A65,List_MobileFuelMeters,0),ROUNDUP((COLUMN()+1)/3-2,0)))</f>
        <v/>
      </c>
      <c r="K65" s="127"/>
      <c r="L65" s="137"/>
      <c r="M65" s="58" t="str" cm="1">
        <f>IF(ISBLANK($A65),"",INDEX(Array_MobileCharges,MATCH($A65,List_MobileFuelMeters,0),ROUNDUP((COLUMN()+1)/3-2,0)))</f>
        <v/>
      </c>
      <c r="N65" s="127"/>
      <c r="O65" s="137"/>
      <c r="P65" s="58" t="str" cm="1">
        <f>IF(ISBLANK($A65),"",INDEX(Array_MobileCharges,MATCH($A65,List_MobileFuelMeters,0),ROUNDUP((COLUMN()+1)/3-2,0)))</f>
        <v/>
      </c>
      <c r="Q65" s="127"/>
      <c r="R65" s="137"/>
      <c r="S65" s="58" t="str" cm="1">
        <f>IF(ISBLANK($A65),"",INDEX(Array_MobileCharges,MATCH($A65,List_MobileFuelMeters,0),ROUNDUP((COLUMN()+1)/3-2,0)))</f>
        <v/>
      </c>
      <c r="T65" s="127"/>
      <c r="U65" s="137"/>
    </row>
    <row r="66" spans="1:21" x14ac:dyDescent="0.3">
      <c r="A66" s="126"/>
      <c r="B66" s="133"/>
      <c r="C66" s="127"/>
      <c r="D66" s="138"/>
      <c r="E66" s="138"/>
      <c r="F66" s="137"/>
      <c r="G66" s="58" t="str" cm="1">
        <f>IF(ISBLANK($A66),"",INDEX(Array_MobileCharges,MATCH($A66,List_MobileFuelMeters,0),ROUNDUP((COLUMN()+1)/3-2,0)))</f>
        <v/>
      </c>
      <c r="H66" s="127"/>
      <c r="I66" s="137"/>
      <c r="J66" s="58" t="str" cm="1">
        <f>IF(ISBLANK($A66),"",INDEX(Array_MobileCharges,MATCH($A66,List_MobileFuelMeters,0),ROUNDUP((COLUMN()+1)/3-2,0)))</f>
        <v/>
      </c>
      <c r="K66" s="127"/>
      <c r="L66" s="137"/>
      <c r="M66" s="58" t="str" cm="1">
        <f>IF(ISBLANK($A66),"",INDEX(Array_MobileCharges,MATCH($A66,List_MobileFuelMeters,0),ROUNDUP((COLUMN()+1)/3-2,0)))</f>
        <v/>
      </c>
      <c r="N66" s="127"/>
      <c r="O66" s="137"/>
      <c r="P66" s="58" t="str" cm="1">
        <f>IF(ISBLANK($A66),"",INDEX(Array_MobileCharges,MATCH($A66,List_MobileFuelMeters,0),ROUNDUP((COLUMN()+1)/3-2,0)))</f>
        <v/>
      </c>
      <c r="Q66" s="127"/>
      <c r="R66" s="137"/>
      <c r="S66" s="58" t="str" cm="1">
        <f>IF(ISBLANK($A66),"",INDEX(Array_MobileCharges,MATCH($A66,List_MobileFuelMeters,0),ROUNDUP((COLUMN()+1)/3-2,0)))</f>
        <v/>
      </c>
      <c r="T66" s="127"/>
      <c r="U66" s="137"/>
    </row>
    <row r="67" spans="1:21" x14ac:dyDescent="0.3">
      <c r="A67" s="126"/>
      <c r="B67" s="133"/>
      <c r="C67" s="127"/>
      <c r="D67" s="138"/>
      <c r="E67" s="138"/>
      <c r="F67" s="137"/>
      <c r="G67" s="58" t="str" cm="1">
        <f>IF(ISBLANK($A67),"",INDEX(Array_MobileCharges,MATCH($A67,List_MobileFuelMeters,0),ROUNDUP((COLUMN()+1)/3-2,0)))</f>
        <v/>
      </c>
      <c r="H67" s="127"/>
      <c r="I67" s="137"/>
      <c r="J67" s="58" t="str" cm="1">
        <f>IF(ISBLANK($A67),"",INDEX(Array_MobileCharges,MATCH($A67,List_MobileFuelMeters,0),ROUNDUP((COLUMN()+1)/3-2,0)))</f>
        <v/>
      </c>
      <c r="K67" s="127"/>
      <c r="L67" s="137"/>
      <c r="M67" s="58" t="str" cm="1">
        <f>IF(ISBLANK($A67),"",INDEX(Array_MobileCharges,MATCH($A67,List_MobileFuelMeters,0),ROUNDUP((COLUMN()+1)/3-2,0)))</f>
        <v/>
      </c>
      <c r="N67" s="127"/>
      <c r="O67" s="137"/>
      <c r="P67" s="58" t="str" cm="1">
        <f>IF(ISBLANK($A67),"",INDEX(Array_MobileCharges,MATCH($A67,List_MobileFuelMeters,0),ROUNDUP((COLUMN()+1)/3-2,0)))</f>
        <v/>
      </c>
      <c r="Q67" s="127"/>
      <c r="R67" s="137"/>
      <c r="S67" s="58" t="str" cm="1">
        <f>IF(ISBLANK($A67),"",INDEX(Array_MobileCharges,MATCH($A67,List_MobileFuelMeters,0),ROUNDUP((COLUMN()+1)/3-2,0)))</f>
        <v/>
      </c>
      <c r="T67" s="127"/>
      <c r="U67" s="137"/>
    </row>
    <row r="68" spans="1:21" x14ac:dyDescent="0.3">
      <c r="A68" s="126"/>
      <c r="B68" s="133"/>
      <c r="C68" s="127"/>
      <c r="D68" s="138"/>
      <c r="E68" s="138"/>
      <c r="F68" s="137"/>
      <c r="G68" s="58" t="str" cm="1">
        <f>IF(ISBLANK($A68),"",INDEX(Array_MobileCharges,MATCH($A68,List_MobileFuelMeters,0),ROUNDUP((COLUMN()+1)/3-2,0)))</f>
        <v/>
      </c>
      <c r="H68" s="127"/>
      <c r="I68" s="137"/>
      <c r="J68" s="58" t="str" cm="1">
        <f>IF(ISBLANK($A68),"",INDEX(Array_MobileCharges,MATCH($A68,List_MobileFuelMeters,0),ROUNDUP((COLUMN()+1)/3-2,0)))</f>
        <v/>
      </c>
      <c r="K68" s="127"/>
      <c r="L68" s="137"/>
      <c r="M68" s="58" t="str" cm="1">
        <f>IF(ISBLANK($A68),"",INDEX(Array_MobileCharges,MATCH($A68,List_MobileFuelMeters,0),ROUNDUP((COLUMN()+1)/3-2,0)))</f>
        <v/>
      </c>
      <c r="N68" s="127"/>
      <c r="O68" s="137"/>
      <c r="P68" s="58" t="str" cm="1">
        <f>IF(ISBLANK($A68),"",INDEX(Array_MobileCharges,MATCH($A68,List_MobileFuelMeters,0),ROUNDUP((COLUMN()+1)/3-2,0)))</f>
        <v/>
      </c>
      <c r="Q68" s="127"/>
      <c r="R68" s="137"/>
      <c r="S68" s="58" t="str" cm="1">
        <f>IF(ISBLANK($A68),"",INDEX(Array_MobileCharges,MATCH($A68,List_MobileFuelMeters,0),ROUNDUP((COLUMN()+1)/3-2,0)))</f>
        <v/>
      </c>
      <c r="T68" s="127"/>
      <c r="U68" s="137"/>
    </row>
    <row r="69" spans="1:21" x14ac:dyDescent="0.3">
      <c r="A69" s="126"/>
      <c r="B69" s="133"/>
      <c r="C69" s="127"/>
      <c r="D69" s="138"/>
      <c r="E69" s="138"/>
      <c r="F69" s="137"/>
      <c r="G69" s="58" t="str" cm="1">
        <f>IF(ISBLANK($A69),"",INDEX(Array_MobileCharges,MATCH($A69,List_MobileFuelMeters,0),ROUNDUP((COLUMN()+1)/3-2,0)))</f>
        <v/>
      </c>
      <c r="H69" s="127"/>
      <c r="I69" s="137"/>
      <c r="J69" s="58" t="str" cm="1">
        <f>IF(ISBLANK($A69),"",INDEX(Array_MobileCharges,MATCH($A69,List_MobileFuelMeters,0),ROUNDUP((COLUMN()+1)/3-2,0)))</f>
        <v/>
      </c>
      <c r="K69" s="127"/>
      <c r="L69" s="137"/>
      <c r="M69" s="58" t="str" cm="1">
        <f>IF(ISBLANK($A69),"",INDEX(Array_MobileCharges,MATCH($A69,List_MobileFuelMeters,0),ROUNDUP((COLUMN()+1)/3-2,0)))</f>
        <v/>
      </c>
      <c r="N69" s="127"/>
      <c r="O69" s="137"/>
      <c r="P69" s="58" t="str" cm="1">
        <f>IF(ISBLANK($A69),"",INDEX(Array_MobileCharges,MATCH($A69,List_MobileFuelMeters,0),ROUNDUP((COLUMN()+1)/3-2,0)))</f>
        <v/>
      </c>
      <c r="Q69" s="127"/>
      <c r="R69" s="137"/>
      <c r="S69" s="58" t="str" cm="1">
        <f>IF(ISBLANK($A69),"",INDEX(Array_MobileCharges,MATCH($A69,List_MobileFuelMeters,0),ROUNDUP((COLUMN()+1)/3-2,0)))</f>
        <v/>
      </c>
      <c r="T69" s="127"/>
      <c r="U69" s="137"/>
    </row>
    <row r="70" spans="1:21" x14ac:dyDescent="0.3">
      <c r="A70" s="126"/>
      <c r="B70" s="133"/>
      <c r="C70" s="127"/>
      <c r="D70" s="138"/>
      <c r="E70" s="138"/>
      <c r="F70" s="137"/>
      <c r="G70" s="58" t="str" cm="1">
        <f>IF(ISBLANK($A70),"",INDEX(Array_MobileCharges,MATCH($A70,List_MobileFuelMeters,0),ROUNDUP((COLUMN()+1)/3-2,0)))</f>
        <v/>
      </c>
      <c r="H70" s="127"/>
      <c r="I70" s="137"/>
      <c r="J70" s="58" t="str" cm="1">
        <f>IF(ISBLANK($A70),"",INDEX(Array_MobileCharges,MATCH($A70,List_MobileFuelMeters,0),ROUNDUP((COLUMN()+1)/3-2,0)))</f>
        <v/>
      </c>
      <c r="K70" s="127"/>
      <c r="L70" s="137"/>
      <c r="M70" s="58" t="str" cm="1">
        <f>IF(ISBLANK($A70),"",INDEX(Array_MobileCharges,MATCH($A70,List_MobileFuelMeters,0),ROUNDUP((COLUMN()+1)/3-2,0)))</f>
        <v/>
      </c>
      <c r="N70" s="127"/>
      <c r="O70" s="137"/>
      <c r="P70" s="58" t="str" cm="1">
        <f>IF(ISBLANK($A70),"",INDEX(Array_MobileCharges,MATCH($A70,List_MobileFuelMeters,0),ROUNDUP((COLUMN()+1)/3-2,0)))</f>
        <v/>
      </c>
      <c r="Q70" s="127"/>
      <c r="R70" s="137"/>
      <c r="S70" s="58" t="str" cm="1">
        <f>IF(ISBLANK($A70),"",INDEX(Array_MobileCharges,MATCH($A70,List_MobileFuelMeters,0),ROUNDUP((COLUMN()+1)/3-2,0)))</f>
        <v/>
      </c>
      <c r="T70" s="127"/>
      <c r="U70" s="137"/>
    </row>
    <row r="71" spans="1:21" x14ac:dyDescent="0.3">
      <c r="A71" s="126"/>
      <c r="B71" s="133"/>
      <c r="C71" s="127"/>
      <c r="D71" s="138"/>
      <c r="E71" s="138"/>
      <c r="F71" s="137"/>
      <c r="G71" s="58" t="str" cm="1">
        <f>IF(ISBLANK($A71),"",INDEX(Array_MobileCharges,MATCH($A71,List_MobileFuelMeters,0),ROUNDUP((COLUMN()+1)/3-2,0)))</f>
        <v/>
      </c>
      <c r="H71" s="127"/>
      <c r="I71" s="137"/>
      <c r="J71" s="58" t="str" cm="1">
        <f>IF(ISBLANK($A71),"",INDEX(Array_MobileCharges,MATCH($A71,List_MobileFuelMeters,0),ROUNDUP((COLUMN()+1)/3-2,0)))</f>
        <v/>
      </c>
      <c r="K71" s="127"/>
      <c r="L71" s="137"/>
      <c r="M71" s="58" t="str" cm="1">
        <f>IF(ISBLANK($A71),"",INDEX(Array_MobileCharges,MATCH($A71,List_MobileFuelMeters,0),ROUNDUP((COLUMN()+1)/3-2,0)))</f>
        <v/>
      </c>
      <c r="N71" s="127"/>
      <c r="O71" s="137"/>
      <c r="P71" s="58" t="str" cm="1">
        <f>IF(ISBLANK($A71),"",INDEX(Array_MobileCharges,MATCH($A71,List_MobileFuelMeters,0),ROUNDUP((COLUMN()+1)/3-2,0)))</f>
        <v/>
      </c>
      <c r="Q71" s="127"/>
      <c r="R71" s="137"/>
      <c r="S71" s="58" t="str" cm="1">
        <f>IF(ISBLANK($A71),"",INDEX(Array_MobileCharges,MATCH($A71,List_MobileFuelMeters,0),ROUNDUP((COLUMN()+1)/3-2,0)))</f>
        <v/>
      </c>
      <c r="T71" s="127"/>
      <c r="U71" s="137"/>
    </row>
    <row r="72" spans="1:21" x14ac:dyDescent="0.3">
      <c r="A72" s="126"/>
      <c r="B72" s="133"/>
      <c r="C72" s="127"/>
      <c r="D72" s="138"/>
      <c r="E72" s="138"/>
      <c r="F72" s="137"/>
      <c r="G72" s="58" t="str" cm="1">
        <f>IF(ISBLANK($A72),"",INDEX(Array_MobileCharges,MATCH($A72,List_MobileFuelMeters,0),ROUNDUP((COLUMN()+1)/3-2,0)))</f>
        <v/>
      </c>
      <c r="H72" s="127"/>
      <c r="I72" s="137"/>
      <c r="J72" s="58" t="str" cm="1">
        <f>IF(ISBLANK($A72),"",INDEX(Array_MobileCharges,MATCH($A72,List_MobileFuelMeters,0),ROUNDUP((COLUMN()+1)/3-2,0)))</f>
        <v/>
      </c>
      <c r="K72" s="127"/>
      <c r="L72" s="137"/>
      <c r="M72" s="58" t="str" cm="1">
        <f>IF(ISBLANK($A72),"",INDEX(Array_MobileCharges,MATCH($A72,List_MobileFuelMeters,0),ROUNDUP((COLUMN()+1)/3-2,0)))</f>
        <v/>
      </c>
      <c r="N72" s="127"/>
      <c r="O72" s="137"/>
      <c r="P72" s="58" t="str" cm="1">
        <f>IF(ISBLANK($A72),"",INDEX(Array_MobileCharges,MATCH($A72,List_MobileFuelMeters,0),ROUNDUP((COLUMN()+1)/3-2,0)))</f>
        <v/>
      </c>
      <c r="Q72" s="127"/>
      <c r="R72" s="137"/>
      <c r="S72" s="58" t="str" cm="1">
        <f>IF(ISBLANK($A72),"",INDEX(Array_MobileCharges,MATCH($A72,List_MobileFuelMeters,0),ROUNDUP((COLUMN()+1)/3-2,0)))</f>
        <v/>
      </c>
      <c r="T72" s="127"/>
      <c r="U72" s="137"/>
    </row>
    <row r="73" spans="1:21" x14ac:dyDescent="0.3">
      <c r="A73" s="126"/>
      <c r="B73" s="133"/>
      <c r="C73" s="127"/>
      <c r="D73" s="138"/>
      <c r="E73" s="138"/>
      <c r="F73" s="137"/>
      <c r="G73" s="58" t="str" cm="1">
        <f>IF(ISBLANK($A73),"",INDEX(Array_MobileCharges,MATCH($A73,List_MobileFuelMeters,0),ROUNDUP((COLUMN()+1)/3-2,0)))</f>
        <v/>
      </c>
      <c r="H73" s="127"/>
      <c r="I73" s="137"/>
      <c r="J73" s="58" t="str" cm="1">
        <f>IF(ISBLANK($A73),"",INDEX(Array_MobileCharges,MATCH($A73,List_MobileFuelMeters,0),ROUNDUP((COLUMN()+1)/3-2,0)))</f>
        <v/>
      </c>
      <c r="K73" s="127"/>
      <c r="L73" s="137"/>
      <c r="M73" s="58" t="str" cm="1">
        <f>IF(ISBLANK($A73),"",INDEX(Array_MobileCharges,MATCH($A73,List_MobileFuelMeters,0),ROUNDUP((COLUMN()+1)/3-2,0)))</f>
        <v/>
      </c>
      <c r="N73" s="127"/>
      <c r="O73" s="137"/>
      <c r="P73" s="58" t="str" cm="1">
        <f>IF(ISBLANK($A73),"",INDEX(Array_MobileCharges,MATCH($A73,List_MobileFuelMeters,0),ROUNDUP((COLUMN()+1)/3-2,0)))</f>
        <v/>
      </c>
      <c r="Q73" s="127"/>
      <c r="R73" s="137"/>
      <c r="S73" s="58" t="str" cm="1">
        <f>IF(ISBLANK($A73),"",INDEX(Array_MobileCharges,MATCH($A73,List_MobileFuelMeters,0),ROUNDUP((COLUMN()+1)/3-2,0)))</f>
        <v/>
      </c>
      <c r="T73" s="127"/>
      <c r="U73" s="137"/>
    </row>
    <row r="74" spans="1:21" x14ac:dyDescent="0.3">
      <c r="A74" s="126"/>
      <c r="B74" s="133"/>
      <c r="C74" s="127"/>
      <c r="D74" s="138"/>
      <c r="E74" s="138"/>
      <c r="F74" s="137"/>
      <c r="G74" s="58" t="str" cm="1">
        <f>IF(ISBLANK($A74),"",INDEX(Array_MobileCharges,MATCH($A74,List_MobileFuelMeters,0),ROUNDUP((COLUMN()+1)/3-2,0)))</f>
        <v/>
      </c>
      <c r="H74" s="127"/>
      <c r="I74" s="137"/>
      <c r="J74" s="58" t="str" cm="1">
        <f>IF(ISBLANK($A74),"",INDEX(Array_MobileCharges,MATCH($A74,List_MobileFuelMeters,0),ROUNDUP((COLUMN()+1)/3-2,0)))</f>
        <v/>
      </c>
      <c r="K74" s="127"/>
      <c r="L74" s="137"/>
      <c r="M74" s="58" t="str" cm="1">
        <f>IF(ISBLANK($A74),"",INDEX(Array_MobileCharges,MATCH($A74,List_MobileFuelMeters,0),ROUNDUP((COLUMN()+1)/3-2,0)))</f>
        <v/>
      </c>
      <c r="N74" s="127"/>
      <c r="O74" s="137"/>
      <c r="P74" s="58" t="str" cm="1">
        <f>IF(ISBLANK($A74),"",INDEX(Array_MobileCharges,MATCH($A74,List_MobileFuelMeters,0),ROUNDUP((COLUMN()+1)/3-2,0)))</f>
        <v/>
      </c>
      <c r="Q74" s="127"/>
      <c r="R74" s="137"/>
      <c r="S74" s="58" t="str" cm="1">
        <f>IF(ISBLANK($A74),"",INDEX(Array_MobileCharges,MATCH($A74,List_MobileFuelMeters,0),ROUNDUP((COLUMN()+1)/3-2,0)))</f>
        <v/>
      </c>
      <c r="T74" s="127"/>
      <c r="U74" s="137"/>
    </row>
    <row r="75" spans="1:21" x14ac:dyDescent="0.3">
      <c r="A75" s="126"/>
      <c r="B75" s="133"/>
      <c r="C75" s="127"/>
      <c r="D75" s="138"/>
      <c r="E75" s="138"/>
      <c r="F75" s="137"/>
      <c r="G75" s="58" t="str" cm="1">
        <f>IF(ISBLANK($A75),"",INDEX(Array_MobileCharges,MATCH($A75,List_MobileFuelMeters,0),ROUNDUP((COLUMN()+1)/3-2,0)))</f>
        <v/>
      </c>
      <c r="H75" s="127"/>
      <c r="I75" s="137"/>
      <c r="J75" s="58" t="str" cm="1">
        <f>IF(ISBLANK($A75),"",INDEX(Array_MobileCharges,MATCH($A75,List_MobileFuelMeters,0),ROUNDUP((COLUMN()+1)/3-2,0)))</f>
        <v/>
      </c>
      <c r="K75" s="127"/>
      <c r="L75" s="137"/>
      <c r="M75" s="58" t="str" cm="1">
        <f>IF(ISBLANK($A75),"",INDEX(Array_MobileCharges,MATCH($A75,List_MobileFuelMeters,0),ROUNDUP((COLUMN()+1)/3-2,0)))</f>
        <v/>
      </c>
      <c r="N75" s="127"/>
      <c r="O75" s="137"/>
      <c r="P75" s="58" t="str" cm="1">
        <f>IF(ISBLANK($A75),"",INDEX(Array_MobileCharges,MATCH($A75,List_MobileFuelMeters,0),ROUNDUP((COLUMN()+1)/3-2,0)))</f>
        <v/>
      </c>
      <c r="Q75" s="127"/>
      <c r="R75" s="137"/>
      <c r="S75" s="58" t="str" cm="1">
        <f>IF(ISBLANK($A75),"",INDEX(Array_MobileCharges,MATCH($A75,List_MobileFuelMeters,0),ROUNDUP((COLUMN()+1)/3-2,0)))</f>
        <v/>
      </c>
      <c r="T75" s="127"/>
      <c r="U75" s="137"/>
    </row>
    <row r="76" spans="1:21" x14ac:dyDescent="0.3">
      <c r="A76" s="126"/>
      <c r="B76" s="133"/>
      <c r="C76" s="127"/>
      <c r="D76" s="138"/>
      <c r="E76" s="138"/>
      <c r="F76" s="137"/>
      <c r="G76" s="58" t="str" cm="1">
        <f>IF(ISBLANK($A76),"",INDEX(Array_MobileCharges,MATCH($A76,List_MobileFuelMeters,0),ROUNDUP((COLUMN()+1)/3-2,0)))</f>
        <v/>
      </c>
      <c r="H76" s="127"/>
      <c r="I76" s="137"/>
      <c r="J76" s="58" t="str" cm="1">
        <f>IF(ISBLANK($A76),"",INDEX(Array_MobileCharges,MATCH($A76,List_MobileFuelMeters,0),ROUNDUP((COLUMN()+1)/3-2,0)))</f>
        <v/>
      </c>
      <c r="K76" s="127"/>
      <c r="L76" s="137"/>
      <c r="M76" s="58" t="str" cm="1">
        <f>IF(ISBLANK($A76),"",INDEX(Array_MobileCharges,MATCH($A76,List_MobileFuelMeters,0),ROUNDUP((COLUMN()+1)/3-2,0)))</f>
        <v/>
      </c>
      <c r="N76" s="127"/>
      <c r="O76" s="137"/>
      <c r="P76" s="58" t="str" cm="1">
        <f>IF(ISBLANK($A76),"",INDEX(Array_MobileCharges,MATCH($A76,List_MobileFuelMeters,0),ROUNDUP((COLUMN()+1)/3-2,0)))</f>
        <v/>
      </c>
      <c r="Q76" s="127"/>
      <c r="R76" s="137"/>
      <c r="S76" s="58" t="str" cm="1">
        <f>IF(ISBLANK($A76),"",INDEX(Array_MobileCharges,MATCH($A76,List_MobileFuelMeters,0),ROUNDUP((COLUMN()+1)/3-2,0)))</f>
        <v/>
      </c>
      <c r="T76" s="127"/>
      <c r="U76" s="137"/>
    </row>
    <row r="77" spans="1:21" x14ac:dyDescent="0.3">
      <c r="A77" s="126"/>
      <c r="B77" s="133"/>
      <c r="C77" s="127"/>
      <c r="D77" s="138"/>
      <c r="E77" s="138"/>
      <c r="F77" s="137"/>
      <c r="G77" s="58" t="str" cm="1">
        <f>IF(ISBLANK($A77),"",INDEX(Array_MobileCharges,MATCH($A77,List_MobileFuelMeters,0),ROUNDUP((COLUMN()+1)/3-2,0)))</f>
        <v/>
      </c>
      <c r="H77" s="127"/>
      <c r="I77" s="137"/>
      <c r="J77" s="58" t="str" cm="1">
        <f>IF(ISBLANK($A77),"",INDEX(Array_MobileCharges,MATCH($A77,List_MobileFuelMeters,0),ROUNDUP((COLUMN()+1)/3-2,0)))</f>
        <v/>
      </c>
      <c r="K77" s="127"/>
      <c r="L77" s="137"/>
      <c r="M77" s="58" t="str" cm="1">
        <f>IF(ISBLANK($A77),"",INDEX(Array_MobileCharges,MATCH($A77,List_MobileFuelMeters,0),ROUNDUP((COLUMN()+1)/3-2,0)))</f>
        <v/>
      </c>
      <c r="N77" s="127"/>
      <c r="O77" s="137"/>
      <c r="P77" s="58" t="str" cm="1">
        <f>IF(ISBLANK($A77),"",INDEX(Array_MobileCharges,MATCH($A77,List_MobileFuelMeters,0),ROUNDUP((COLUMN()+1)/3-2,0)))</f>
        <v/>
      </c>
      <c r="Q77" s="127"/>
      <c r="R77" s="137"/>
      <c r="S77" s="58" t="str" cm="1">
        <f>IF(ISBLANK($A77),"",INDEX(Array_MobileCharges,MATCH($A77,List_MobileFuelMeters,0),ROUNDUP((COLUMN()+1)/3-2,0)))</f>
        <v/>
      </c>
      <c r="T77" s="127"/>
      <c r="U77" s="137"/>
    </row>
    <row r="78" spans="1:21" x14ac:dyDescent="0.3">
      <c r="A78" s="126"/>
      <c r="B78" s="133"/>
      <c r="C78" s="127"/>
      <c r="D78" s="138"/>
      <c r="E78" s="138"/>
      <c r="F78" s="137"/>
      <c r="G78" s="58" t="str" cm="1">
        <f>IF(ISBLANK($A78),"",INDEX(Array_MobileCharges,MATCH($A78,List_MobileFuelMeters,0),ROUNDUP((COLUMN()+1)/3-2,0)))</f>
        <v/>
      </c>
      <c r="H78" s="127"/>
      <c r="I78" s="137"/>
      <c r="J78" s="58" t="str" cm="1">
        <f>IF(ISBLANK($A78),"",INDEX(Array_MobileCharges,MATCH($A78,List_MobileFuelMeters,0),ROUNDUP((COLUMN()+1)/3-2,0)))</f>
        <v/>
      </c>
      <c r="K78" s="127"/>
      <c r="L78" s="137"/>
      <c r="M78" s="58" t="str" cm="1">
        <f>IF(ISBLANK($A78),"",INDEX(Array_MobileCharges,MATCH($A78,List_MobileFuelMeters,0),ROUNDUP((COLUMN()+1)/3-2,0)))</f>
        <v/>
      </c>
      <c r="N78" s="127"/>
      <c r="O78" s="137"/>
      <c r="P78" s="58" t="str" cm="1">
        <f>IF(ISBLANK($A78),"",INDEX(Array_MobileCharges,MATCH($A78,List_MobileFuelMeters,0),ROUNDUP((COLUMN()+1)/3-2,0)))</f>
        <v/>
      </c>
      <c r="Q78" s="127"/>
      <c r="R78" s="137"/>
      <c r="S78" s="58" t="str" cm="1">
        <f>IF(ISBLANK($A78),"",INDEX(Array_MobileCharges,MATCH($A78,List_MobileFuelMeters,0),ROUNDUP((COLUMN()+1)/3-2,0)))</f>
        <v/>
      </c>
      <c r="T78" s="127"/>
      <c r="U78" s="137"/>
    </row>
    <row r="79" spans="1:21" x14ac:dyDescent="0.3">
      <c r="A79" s="126"/>
      <c r="B79" s="133"/>
      <c r="C79" s="127"/>
      <c r="D79" s="138"/>
      <c r="E79" s="138"/>
      <c r="F79" s="137"/>
      <c r="G79" s="58" t="str" cm="1">
        <f>IF(ISBLANK($A79),"",INDEX(Array_MobileCharges,MATCH($A79,List_MobileFuelMeters,0),ROUNDUP((COLUMN()+1)/3-2,0)))</f>
        <v/>
      </c>
      <c r="H79" s="127"/>
      <c r="I79" s="137"/>
      <c r="J79" s="58" t="str" cm="1">
        <f>IF(ISBLANK($A79),"",INDEX(Array_MobileCharges,MATCH($A79,List_MobileFuelMeters,0),ROUNDUP((COLUMN()+1)/3-2,0)))</f>
        <v/>
      </c>
      <c r="K79" s="127"/>
      <c r="L79" s="137"/>
      <c r="M79" s="58" t="str" cm="1">
        <f>IF(ISBLANK($A79),"",INDEX(Array_MobileCharges,MATCH($A79,List_MobileFuelMeters,0),ROUNDUP((COLUMN()+1)/3-2,0)))</f>
        <v/>
      </c>
      <c r="N79" s="127"/>
      <c r="O79" s="137"/>
      <c r="P79" s="58" t="str" cm="1">
        <f>IF(ISBLANK($A79),"",INDEX(Array_MobileCharges,MATCH($A79,List_MobileFuelMeters,0),ROUNDUP((COLUMN()+1)/3-2,0)))</f>
        <v/>
      </c>
      <c r="Q79" s="127"/>
      <c r="R79" s="137"/>
      <c r="S79" s="58" t="str" cm="1">
        <f>IF(ISBLANK($A79),"",INDEX(Array_MobileCharges,MATCH($A79,List_MobileFuelMeters,0),ROUNDUP((COLUMN()+1)/3-2,0)))</f>
        <v/>
      </c>
      <c r="T79" s="127"/>
      <c r="U79" s="137"/>
    </row>
    <row r="80" spans="1:21" x14ac:dyDescent="0.3">
      <c r="A80" s="126"/>
      <c r="B80" s="133"/>
      <c r="C80" s="127"/>
      <c r="D80" s="138"/>
      <c r="E80" s="138"/>
      <c r="F80" s="137"/>
      <c r="G80" s="58" t="str" cm="1">
        <f>IF(ISBLANK($A80),"",INDEX(Array_MobileCharges,MATCH($A80,List_MobileFuelMeters,0),ROUNDUP((COLUMN()+1)/3-2,0)))</f>
        <v/>
      </c>
      <c r="H80" s="127"/>
      <c r="I80" s="137"/>
      <c r="J80" s="58" t="str" cm="1">
        <f>IF(ISBLANK($A80),"",INDEX(Array_MobileCharges,MATCH($A80,List_MobileFuelMeters,0),ROUNDUP((COLUMN()+1)/3-2,0)))</f>
        <v/>
      </c>
      <c r="K80" s="127"/>
      <c r="L80" s="137"/>
      <c r="M80" s="58" t="str" cm="1">
        <f>IF(ISBLANK($A80),"",INDEX(Array_MobileCharges,MATCH($A80,List_MobileFuelMeters,0),ROUNDUP((COLUMN()+1)/3-2,0)))</f>
        <v/>
      </c>
      <c r="N80" s="127"/>
      <c r="O80" s="137"/>
      <c r="P80" s="58" t="str" cm="1">
        <f>IF(ISBLANK($A80),"",INDEX(Array_MobileCharges,MATCH($A80,List_MobileFuelMeters,0),ROUNDUP((COLUMN()+1)/3-2,0)))</f>
        <v/>
      </c>
      <c r="Q80" s="127"/>
      <c r="R80" s="137"/>
      <c r="S80" s="58" t="str" cm="1">
        <f>IF(ISBLANK($A80),"",INDEX(Array_MobileCharges,MATCH($A80,List_MobileFuelMeters,0),ROUNDUP((COLUMN()+1)/3-2,0)))</f>
        <v/>
      </c>
      <c r="T80" s="127"/>
      <c r="U80" s="137"/>
    </row>
    <row r="81" spans="1:21" x14ac:dyDescent="0.3">
      <c r="A81" s="126"/>
      <c r="B81" s="133"/>
      <c r="C81" s="127"/>
      <c r="D81" s="138"/>
      <c r="E81" s="138"/>
      <c r="F81" s="137"/>
      <c r="G81" s="58" t="str" cm="1">
        <f>IF(ISBLANK($A81),"",INDEX(Array_MobileCharges,MATCH($A81,List_MobileFuelMeters,0),ROUNDUP((COLUMN()+1)/3-2,0)))</f>
        <v/>
      </c>
      <c r="H81" s="127"/>
      <c r="I81" s="137"/>
      <c r="J81" s="58" t="str" cm="1">
        <f>IF(ISBLANK($A81),"",INDEX(Array_MobileCharges,MATCH($A81,List_MobileFuelMeters,0),ROUNDUP((COLUMN()+1)/3-2,0)))</f>
        <v/>
      </c>
      <c r="K81" s="127"/>
      <c r="L81" s="137"/>
      <c r="M81" s="58" t="str" cm="1">
        <f>IF(ISBLANK($A81),"",INDEX(Array_MobileCharges,MATCH($A81,List_MobileFuelMeters,0),ROUNDUP((COLUMN()+1)/3-2,0)))</f>
        <v/>
      </c>
      <c r="N81" s="127"/>
      <c r="O81" s="137"/>
      <c r="P81" s="58" t="str" cm="1">
        <f>IF(ISBLANK($A81),"",INDEX(Array_MobileCharges,MATCH($A81,List_MobileFuelMeters,0),ROUNDUP((COLUMN()+1)/3-2,0)))</f>
        <v/>
      </c>
      <c r="Q81" s="127"/>
      <c r="R81" s="137"/>
      <c r="S81" s="58" t="str" cm="1">
        <f>IF(ISBLANK($A81),"",INDEX(Array_MobileCharges,MATCH($A81,List_MobileFuelMeters,0),ROUNDUP((COLUMN()+1)/3-2,0)))</f>
        <v/>
      </c>
      <c r="T81" s="127"/>
      <c r="U81" s="137"/>
    </row>
    <row r="82" spans="1:21" x14ac:dyDescent="0.3">
      <c r="A82" s="126"/>
      <c r="B82" s="133"/>
      <c r="C82" s="127"/>
      <c r="D82" s="138"/>
      <c r="E82" s="138"/>
      <c r="F82" s="137"/>
      <c r="G82" s="58" t="str" cm="1">
        <f>IF(ISBLANK($A82),"",INDEX(Array_MobileCharges,MATCH($A82,List_MobileFuelMeters,0),ROUNDUP((COLUMN()+1)/3-2,0)))</f>
        <v/>
      </c>
      <c r="H82" s="127"/>
      <c r="I82" s="137"/>
      <c r="J82" s="58" t="str" cm="1">
        <f>IF(ISBLANK($A82),"",INDEX(Array_MobileCharges,MATCH($A82,List_MobileFuelMeters,0),ROUNDUP((COLUMN()+1)/3-2,0)))</f>
        <v/>
      </c>
      <c r="K82" s="127"/>
      <c r="L82" s="137"/>
      <c r="M82" s="58" t="str" cm="1">
        <f>IF(ISBLANK($A82),"",INDEX(Array_MobileCharges,MATCH($A82,List_MobileFuelMeters,0),ROUNDUP((COLUMN()+1)/3-2,0)))</f>
        <v/>
      </c>
      <c r="N82" s="127"/>
      <c r="O82" s="137"/>
      <c r="P82" s="58" t="str" cm="1">
        <f>IF(ISBLANK($A82),"",INDEX(Array_MobileCharges,MATCH($A82,List_MobileFuelMeters,0),ROUNDUP((COLUMN()+1)/3-2,0)))</f>
        <v/>
      </c>
      <c r="Q82" s="127"/>
      <c r="R82" s="137"/>
      <c r="S82" s="58" t="str" cm="1">
        <f>IF(ISBLANK($A82),"",INDEX(Array_MobileCharges,MATCH($A82,List_MobileFuelMeters,0),ROUNDUP((COLUMN()+1)/3-2,0)))</f>
        <v/>
      </c>
      <c r="T82" s="127"/>
      <c r="U82" s="137"/>
    </row>
    <row r="83" spans="1:21" x14ac:dyDescent="0.3">
      <c r="A83" s="126"/>
      <c r="B83" s="133"/>
      <c r="C83" s="127"/>
      <c r="D83" s="138"/>
      <c r="E83" s="138"/>
      <c r="F83" s="137"/>
      <c r="G83" s="58" t="str" cm="1">
        <f>IF(ISBLANK($A83),"",INDEX(Array_MobileCharges,MATCH($A83,List_MobileFuelMeters,0),ROUNDUP((COLUMN()+1)/3-2,0)))</f>
        <v/>
      </c>
      <c r="H83" s="127"/>
      <c r="I83" s="137"/>
      <c r="J83" s="58" t="str" cm="1">
        <f>IF(ISBLANK($A83),"",INDEX(Array_MobileCharges,MATCH($A83,List_MobileFuelMeters,0),ROUNDUP((COLUMN()+1)/3-2,0)))</f>
        <v/>
      </c>
      <c r="K83" s="127"/>
      <c r="L83" s="137"/>
      <c r="M83" s="58" t="str" cm="1">
        <f>IF(ISBLANK($A83),"",INDEX(Array_MobileCharges,MATCH($A83,List_MobileFuelMeters,0),ROUNDUP((COLUMN()+1)/3-2,0)))</f>
        <v/>
      </c>
      <c r="N83" s="127"/>
      <c r="O83" s="137"/>
      <c r="P83" s="58" t="str" cm="1">
        <f>IF(ISBLANK($A83),"",INDEX(Array_MobileCharges,MATCH($A83,List_MobileFuelMeters,0),ROUNDUP((COLUMN()+1)/3-2,0)))</f>
        <v/>
      </c>
      <c r="Q83" s="127"/>
      <c r="R83" s="137"/>
      <c r="S83" s="58" t="str" cm="1">
        <f>IF(ISBLANK($A83),"",INDEX(Array_MobileCharges,MATCH($A83,List_MobileFuelMeters,0),ROUNDUP((COLUMN()+1)/3-2,0)))</f>
        <v/>
      </c>
      <c r="T83" s="127"/>
      <c r="U83" s="137"/>
    </row>
    <row r="84" spans="1:21" x14ac:dyDescent="0.3">
      <c r="A84" s="126"/>
      <c r="B84" s="133"/>
      <c r="C84" s="127"/>
      <c r="D84" s="138"/>
      <c r="E84" s="138"/>
      <c r="F84" s="137"/>
      <c r="G84" s="58" t="str" cm="1">
        <f>IF(ISBLANK($A84),"",INDEX(Array_MobileCharges,MATCH($A84,List_MobileFuelMeters,0),ROUNDUP((COLUMN()+1)/3-2,0)))</f>
        <v/>
      </c>
      <c r="H84" s="127"/>
      <c r="I84" s="137"/>
      <c r="J84" s="58" t="str" cm="1">
        <f>IF(ISBLANK($A84),"",INDEX(Array_MobileCharges,MATCH($A84,List_MobileFuelMeters,0),ROUNDUP((COLUMN()+1)/3-2,0)))</f>
        <v/>
      </c>
      <c r="K84" s="127"/>
      <c r="L84" s="137"/>
      <c r="M84" s="58" t="str" cm="1">
        <f>IF(ISBLANK($A84),"",INDEX(Array_MobileCharges,MATCH($A84,List_MobileFuelMeters,0),ROUNDUP((COLUMN()+1)/3-2,0)))</f>
        <v/>
      </c>
      <c r="N84" s="127"/>
      <c r="O84" s="137"/>
      <c r="P84" s="58" t="str" cm="1">
        <f>IF(ISBLANK($A84),"",INDEX(Array_MobileCharges,MATCH($A84,List_MobileFuelMeters,0),ROUNDUP((COLUMN()+1)/3-2,0)))</f>
        <v/>
      </c>
      <c r="Q84" s="127"/>
      <c r="R84" s="137"/>
      <c r="S84" s="58" t="str" cm="1">
        <f>IF(ISBLANK($A84),"",INDEX(Array_MobileCharges,MATCH($A84,List_MobileFuelMeters,0),ROUNDUP((COLUMN()+1)/3-2,0)))</f>
        <v/>
      </c>
      <c r="T84" s="127"/>
      <c r="U84" s="137"/>
    </row>
    <row r="85" spans="1:21" x14ac:dyDescent="0.3">
      <c r="A85" s="126"/>
      <c r="B85" s="133"/>
      <c r="C85" s="127"/>
      <c r="D85" s="138"/>
      <c r="E85" s="138"/>
      <c r="F85" s="137"/>
      <c r="G85" s="58" t="str" cm="1">
        <f>IF(ISBLANK($A85),"",INDEX(Array_MobileCharges,MATCH($A85,List_MobileFuelMeters,0),ROUNDUP((COLUMN()+1)/3-2,0)))</f>
        <v/>
      </c>
      <c r="H85" s="127"/>
      <c r="I85" s="137"/>
      <c r="J85" s="58" t="str" cm="1">
        <f>IF(ISBLANK($A85),"",INDEX(Array_MobileCharges,MATCH($A85,List_MobileFuelMeters,0),ROUNDUP((COLUMN()+1)/3-2,0)))</f>
        <v/>
      </c>
      <c r="K85" s="127"/>
      <c r="L85" s="137"/>
      <c r="M85" s="58" t="str" cm="1">
        <f>IF(ISBLANK($A85),"",INDEX(Array_MobileCharges,MATCH($A85,List_MobileFuelMeters,0),ROUNDUP((COLUMN()+1)/3-2,0)))</f>
        <v/>
      </c>
      <c r="N85" s="127"/>
      <c r="O85" s="137"/>
      <c r="P85" s="58" t="str" cm="1">
        <f>IF(ISBLANK($A85),"",INDEX(Array_MobileCharges,MATCH($A85,List_MobileFuelMeters,0),ROUNDUP((COLUMN()+1)/3-2,0)))</f>
        <v/>
      </c>
      <c r="Q85" s="127"/>
      <c r="R85" s="137"/>
      <c r="S85" s="58" t="str" cm="1">
        <f>IF(ISBLANK($A85),"",INDEX(Array_MobileCharges,MATCH($A85,List_MobileFuelMeters,0),ROUNDUP((COLUMN()+1)/3-2,0)))</f>
        <v/>
      </c>
      <c r="T85" s="127"/>
      <c r="U85" s="137"/>
    </row>
    <row r="86" spans="1:21" x14ac:dyDescent="0.3">
      <c r="A86" s="126"/>
      <c r="B86" s="133"/>
      <c r="C86" s="127"/>
      <c r="D86" s="138"/>
      <c r="E86" s="138"/>
      <c r="F86" s="137"/>
      <c r="G86" s="58" t="str" cm="1">
        <f>IF(ISBLANK($A86),"",INDEX(Array_MobileCharges,MATCH($A86,List_MobileFuelMeters,0),ROUNDUP((COLUMN()+1)/3-2,0)))</f>
        <v/>
      </c>
      <c r="H86" s="127"/>
      <c r="I86" s="137"/>
      <c r="J86" s="58" t="str" cm="1">
        <f>IF(ISBLANK($A86),"",INDEX(Array_MobileCharges,MATCH($A86,List_MobileFuelMeters,0),ROUNDUP((COLUMN()+1)/3-2,0)))</f>
        <v/>
      </c>
      <c r="K86" s="127"/>
      <c r="L86" s="137"/>
      <c r="M86" s="58" t="str" cm="1">
        <f>IF(ISBLANK($A86),"",INDEX(Array_MobileCharges,MATCH($A86,List_MobileFuelMeters,0),ROUNDUP((COLUMN()+1)/3-2,0)))</f>
        <v/>
      </c>
      <c r="N86" s="127"/>
      <c r="O86" s="137"/>
      <c r="P86" s="58" t="str" cm="1">
        <f>IF(ISBLANK($A86),"",INDEX(Array_MobileCharges,MATCH($A86,List_MobileFuelMeters,0),ROUNDUP((COLUMN()+1)/3-2,0)))</f>
        <v/>
      </c>
      <c r="Q86" s="127"/>
      <c r="R86" s="137"/>
      <c r="S86" s="58" t="str" cm="1">
        <f>IF(ISBLANK($A86),"",INDEX(Array_MobileCharges,MATCH($A86,List_MobileFuelMeters,0),ROUNDUP((COLUMN()+1)/3-2,0)))</f>
        <v/>
      </c>
      <c r="T86" s="127"/>
      <c r="U86" s="137"/>
    </row>
    <row r="87" spans="1:21" x14ac:dyDescent="0.3">
      <c r="A87" s="126"/>
      <c r="B87" s="133"/>
      <c r="C87" s="127"/>
      <c r="D87" s="138"/>
      <c r="E87" s="138"/>
      <c r="F87" s="137"/>
      <c r="G87" s="58" t="str" cm="1">
        <f>IF(ISBLANK($A87),"",INDEX(Array_MobileCharges,MATCH($A87,List_MobileFuelMeters,0),ROUNDUP((COLUMN()+1)/3-2,0)))</f>
        <v/>
      </c>
      <c r="H87" s="127"/>
      <c r="I87" s="137"/>
      <c r="J87" s="58" t="str" cm="1">
        <f>IF(ISBLANK($A87),"",INDEX(Array_MobileCharges,MATCH($A87,List_MobileFuelMeters,0),ROUNDUP((COLUMN()+1)/3-2,0)))</f>
        <v/>
      </c>
      <c r="K87" s="127"/>
      <c r="L87" s="137"/>
      <c r="M87" s="58" t="str" cm="1">
        <f>IF(ISBLANK($A87),"",INDEX(Array_MobileCharges,MATCH($A87,List_MobileFuelMeters,0),ROUNDUP((COLUMN()+1)/3-2,0)))</f>
        <v/>
      </c>
      <c r="N87" s="127"/>
      <c r="O87" s="137"/>
      <c r="P87" s="58" t="str" cm="1">
        <f>IF(ISBLANK($A87),"",INDEX(Array_MobileCharges,MATCH($A87,List_MobileFuelMeters,0),ROUNDUP((COLUMN()+1)/3-2,0)))</f>
        <v/>
      </c>
      <c r="Q87" s="127"/>
      <c r="R87" s="137"/>
      <c r="S87" s="58" t="str" cm="1">
        <f>IF(ISBLANK($A87),"",INDEX(Array_MobileCharges,MATCH($A87,List_MobileFuelMeters,0),ROUNDUP((COLUMN()+1)/3-2,0)))</f>
        <v/>
      </c>
      <c r="T87" s="127"/>
      <c r="U87" s="137"/>
    </row>
    <row r="88" spans="1:21" x14ac:dyDescent="0.3">
      <c r="A88" s="126"/>
      <c r="B88" s="133"/>
      <c r="C88" s="127"/>
      <c r="D88" s="138"/>
      <c r="E88" s="138"/>
      <c r="F88" s="137"/>
      <c r="G88" s="58" t="str" cm="1">
        <f>IF(ISBLANK($A88),"",INDEX(Array_MobileCharges,MATCH($A88,List_MobileFuelMeters,0),ROUNDUP((COLUMN()+1)/3-2,0)))</f>
        <v/>
      </c>
      <c r="H88" s="127"/>
      <c r="I88" s="137"/>
      <c r="J88" s="58" t="str" cm="1">
        <f>IF(ISBLANK($A88),"",INDEX(Array_MobileCharges,MATCH($A88,List_MobileFuelMeters,0),ROUNDUP((COLUMN()+1)/3-2,0)))</f>
        <v/>
      </c>
      <c r="K88" s="127"/>
      <c r="L88" s="137"/>
      <c r="M88" s="58" t="str" cm="1">
        <f>IF(ISBLANK($A88),"",INDEX(Array_MobileCharges,MATCH($A88,List_MobileFuelMeters,0),ROUNDUP((COLUMN()+1)/3-2,0)))</f>
        <v/>
      </c>
      <c r="N88" s="127"/>
      <c r="O88" s="137"/>
      <c r="P88" s="58" t="str" cm="1">
        <f>IF(ISBLANK($A88),"",INDEX(Array_MobileCharges,MATCH($A88,List_MobileFuelMeters,0),ROUNDUP((COLUMN()+1)/3-2,0)))</f>
        <v/>
      </c>
      <c r="Q88" s="127"/>
      <c r="R88" s="137"/>
      <c r="S88" s="58" t="str" cm="1">
        <f>IF(ISBLANK($A88),"",INDEX(Array_MobileCharges,MATCH($A88,List_MobileFuelMeters,0),ROUNDUP((COLUMN()+1)/3-2,0)))</f>
        <v/>
      </c>
      <c r="T88" s="127"/>
      <c r="U88" s="137"/>
    </row>
    <row r="89" spans="1:21" x14ac:dyDescent="0.3">
      <c r="A89" s="126"/>
      <c r="B89" s="133"/>
      <c r="C89" s="127"/>
      <c r="D89" s="138"/>
      <c r="E89" s="138"/>
      <c r="F89" s="137"/>
      <c r="G89" s="58" t="str" cm="1">
        <f>IF(ISBLANK($A89),"",INDEX(Array_MobileCharges,MATCH($A89,List_MobileFuelMeters,0),ROUNDUP((COLUMN()+1)/3-2,0)))</f>
        <v/>
      </c>
      <c r="H89" s="127"/>
      <c r="I89" s="137"/>
      <c r="J89" s="58" t="str" cm="1">
        <f>IF(ISBLANK($A89),"",INDEX(Array_MobileCharges,MATCH($A89,List_MobileFuelMeters,0),ROUNDUP((COLUMN()+1)/3-2,0)))</f>
        <v/>
      </c>
      <c r="K89" s="127"/>
      <c r="L89" s="137"/>
      <c r="M89" s="58" t="str" cm="1">
        <f>IF(ISBLANK($A89),"",INDEX(Array_MobileCharges,MATCH($A89,List_MobileFuelMeters,0),ROUNDUP((COLUMN()+1)/3-2,0)))</f>
        <v/>
      </c>
      <c r="N89" s="127"/>
      <c r="O89" s="137"/>
      <c r="P89" s="58" t="str" cm="1">
        <f>IF(ISBLANK($A89),"",INDEX(Array_MobileCharges,MATCH($A89,List_MobileFuelMeters,0),ROUNDUP((COLUMN()+1)/3-2,0)))</f>
        <v/>
      </c>
      <c r="Q89" s="127"/>
      <c r="R89" s="137"/>
      <c r="S89" s="58" t="str" cm="1">
        <f>IF(ISBLANK($A89),"",INDEX(Array_MobileCharges,MATCH($A89,List_MobileFuelMeters,0),ROUNDUP((COLUMN()+1)/3-2,0)))</f>
        <v/>
      </c>
      <c r="T89" s="127"/>
      <c r="U89" s="137"/>
    </row>
    <row r="90" spans="1:21" x14ac:dyDescent="0.3">
      <c r="A90" s="126"/>
      <c r="B90" s="133"/>
      <c r="C90" s="127"/>
      <c r="D90" s="138"/>
      <c r="E90" s="138"/>
      <c r="F90" s="137"/>
      <c r="G90" s="58" t="str" cm="1">
        <f>IF(ISBLANK($A90),"",INDEX(Array_MobileCharges,MATCH($A90,List_MobileFuelMeters,0),ROUNDUP((COLUMN()+1)/3-2,0)))</f>
        <v/>
      </c>
      <c r="H90" s="127"/>
      <c r="I90" s="137"/>
      <c r="J90" s="58" t="str" cm="1">
        <f>IF(ISBLANK($A90),"",INDEX(Array_MobileCharges,MATCH($A90,List_MobileFuelMeters,0),ROUNDUP((COLUMN()+1)/3-2,0)))</f>
        <v/>
      </c>
      <c r="K90" s="127"/>
      <c r="L90" s="137"/>
      <c r="M90" s="58" t="str" cm="1">
        <f>IF(ISBLANK($A90),"",INDEX(Array_MobileCharges,MATCH($A90,List_MobileFuelMeters,0),ROUNDUP((COLUMN()+1)/3-2,0)))</f>
        <v/>
      </c>
      <c r="N90" s="127"/>
      <c r="O90" s="137"/>
      <c r="P90" s="58" t="str" cm="1">
        <f>IF(ISBLANK($A90),"",INDEX(Array_MobileCharges,MATCH($A90,List_MobileFuelMeters,0),ROUNDUP((COLUMN()+1)/3-2,0)))</f>
        <v/>
      </c>
      <c r="Q90" s="127"/>
      <c r="R90" s="137"/>
      <c r="S90" s="58" t="str" cm="1">
        <f>IF(ISBLANK($A90),"",INDEX(Array_MobileCharges,MATCH($A90,List_MobileFuelMeters,0),ROUNDUP((COLUMN()+1)/3-2,0)))</f>
        <v/>
      </c>
      <c r="T90" s="127"/>
      <c r="U90" s="137"/>
    </row>
    <row r="91" spans="1:21" x14ac:dyDescent="0.3">
      <c r="A91" s="126"/>
      <c r="B91" s="133"/>
      <c r="C91" s="127"/>
      <c r="D91" s="138"/>
      <c r="E91" s="138"/>
      <c r="F91" s="137"/>
      <c r="G91" s="58" t="str" cm="1">
        <f>IF(ISBLANK($A91),"",INDEX(Array_MobileCharges,MATCH($A91,List_MobileFuelMeters,0),ROUNDUP((COLUMN()+1)/3-2,0)))</f>
        <v/>
      </c>
      <c r="H91" s="127"/>
      <c r="I91" s="137"/>
      <c r="J91" s="58" t="str" cm="1">
        <f>IF(ISBLANK($A91),"",INDEX(Array_MobileCharges,MATCH($A91,List_MobileFuelMeters,0),ROUNDUP((COLUMN()+1)/3-2,0)))</f>
        <v/>
      </c>
      <c r="K91" s="127"/>
      <c r="L91" s="137"/>
      <c r="M91" s="58" t="str" cm="1">
        <f>IF(ISBLANK($A91),"",INDEX(Array_MobileCharges,MATCH($A91,List_MobileFuelMeters,0),ROUNDUP((COLUMN()+1)/3-2,0)))</f>
        <v/>
      </c>
      <c r="N91" s="127"/>
      <c r="O91" s="137"/>
      <c r="P91" s="58" t="str" cm="1">
        <f>IF(ISBLANK($A91),"",INDEX(Array_MobileCharges,MATCH($A91,List_MobileFuelMeters,0),ROUNDUP((COLUMN()+1)/3-2,0)))</f>
        <v/>
      </c>
      <c r="Q91" s="127"/>
      <c r="R91" s="137"/>
      <c r="S91" s="58" t="str" cm="1">
        <f>IF(ISBLANK($A91),"",INDEX(Array_MobileCharges,MATCH($A91,List_MobileFuelMeters,0),ROUNDUP((COLUMN()+1)/3-2,0)))</f>
        <v/>
      </c>
      <c r="T91" s="127"/>
      <c r="U91" s="137"/>
    </row>
    <row r="92" spans="1:21" x14ac:dyDescent="0.3">
      <c r="A92" s="126"/>
      <c r="B92" s="133"/>
      <c r="C92" s="127"/>
      <c r="D92" s="138"/>
      <c r="E92" s="138"/>
      <c r="F92" s="137"/>
      <c r="G92" s="58" t="str" cm="1">
        <f>IF(ISBLANK($A92),"",INDEX(Array_MobileCharges,MATCH($A92,List_MobileFuelMeters,0),ROUNDUP((COLUMN()+1)/3-2,0)))</f>
        <v/>
      </c>
      <c r="H92" s="127"/>
      <c r="I92" s="137"/>
      <c r="J92" s="58" t="str" cm="1">
        <f>IF(ISBLANK($A92),"",INDEX(Array_MobileCharges,MATCH($A92,List_MobileFuelMeters,0),ROUNDUP((COLUMN()+1)/3-2,0)))</f>
        <v/>
      </c>
      <c r="K92" s="127"/>
      <c r="L92" s="137"/>
      <c r="M92" s="58" t="str" cm="1">
        <f>IF(ISBLANK($A92),"",INDEX(Array_MobileCharges,MATCH($A92,List_MobileFuelMeters,0),ROUNDUP((COLUMN()+1)/3-2,0)))</f>
        <v/>
      </c>
      <c r="N92" s="127"/>
      <c r="O92" s="137"/>
      <c r="P92" s="58" t="str" cm="1">
        <f>IF(ISBLANK($A92),"",INDEX(Array_MobileCharges,MATCH($A92,List_MobileFuelMeters,0),ROUNDUP((COLUMN()+1)/3-2,0)))</f>
        <v/>
      </c>
      <c r="Q92" s="127"/>
      <c r="R92" s="137"/>
      <c r="S92" s="58" t="str" cm="1">
        <f>IF(ISBLANK($A92),"",INDEX(Array_MobileCharges,MATCH($A92,List_MobileFuelMeters,0),ROUNDUP((COLUMN()+1)/3-2,0)))</f>
        <v/>
      </c>
      <c r="T92" s="127"/>
      <c r="U92" s="137"/>
    </row>
    <row r="93" spans="1:21" x14ac:dyDescent="0.3">
      <c r="A93" s="126"/>
      <c r="B93" s="133"/>
      <c r="C93" s="127"/>
      <c r="D93" s="138"/>
      <c r="E93" s="138"/>
      <c r="F93" s="137"/>
      <c r="G93" s="58" t="str" cm="1">
        <f>IF(ISBLANK($A93),"",INDEX(Array_MobileCharges,MATCH($A93,List_MobileFuelMeters,0),ROUNDUP((COLUMN()+1)/3-2,0)))</f>
        <v/>
      </c>
      <c r="H93" s="127"/>
      <c r="I93" s="137"/>
      <c r="J93" s="58" t="str" cm="1">
        <f>IF(ISBLANK($A93),"",INDEX(Array_MobileCharges,MATCH($A93,List_MobileFuelMeters,0),ROUNDUP((COLUMN()+1)/3-2,0)))</f>
        <v/>
      </c>
      <c r="K93" s="127"/>
      <c r="L93" s="137"/>
      <c r="M93" s="58" t="str" cm="1">
        <f>IF(ISBLANK($A93),"",INDEX(Array_MobileCharges,MATCH($A93,List_MobileFuelMeters,0),ROUNDUP((COLUMN()+1)/3-2,0)))</f>
        <v/>
      </c>
      <c r="N93" s="127"/>
      <c r="O93" s="137"/>
      <c r="P93" s="58" t="str" cm="1">
        <f>IF(ISBLANK($A93),"",INDEX(Array_MobileCharges,MATCH($A93,List_MobileFuelMeters,0),ROUNDUP((COLUMN()+1)/3-2,0)))</f>
        <v/>
      </c>
      <c r="Q93" s="127"/>
      <c r="R93" s="137"/>
      <c r="S93" s="58" t="str" cm="1">
        <f>IF(ISBLANK($A93),"",INDEX(Array_MobileCharges,MATCH($A93,List_MobileFuelMeters,0),ROUNDUP((COLUMN()+1)/3-2,0)))</f>
        <v/>
      </c>
      <c r="T93" s="127"/>
      <c r="U93" s="137"/>
    </row>
    <row r="94" spans="1:21" x14ac:dyDescent="0.3">
      <c r="A94" s="126"/>
      <c r="B94" s="133"/>
      <c r="C94" s="127"/>
      <c r="D94" s="138"/>
      <c r="E94" s="138"/>
      <c r="F94" s="137"/>
      <c r="G94" s="58" t="str" cm="1">
        <f>IF(ISBLANK($A94),"",INDEX(Array_MobileCharges,MATCH($A94,List_MobileFuelMeters,0),ROUNDUP((COLUMN()+1)/3-2,0)))</f>
        <v/>
      </c>
      <c r="H94" s="127"/>
      <c r="I94" s="137"/>
      <c r="J94" s="58" t="str" cm="1">
        <f>IF(ISBLANK($A94),"",INDEX(Array_MobileCharges,MATCH($A94,List_MobileFuelMeters,0),ROUNDUP((COLUMN()+1)/3-2,0)))</f>
        <v/>
      </c>
      <c r="K94" s="127"/>
      <c r="L94" s="137"/>
      <c r="M94" s="58" t="str" cm="1">
        <f>IF(ISBLANK($A94),"",INDEX(Array_MobileCharges,MATCH($A94,List_MobileFuelMeters,0),ROUNDUP((COLUMN()+1)/3-2,0)))</f>
        <v/>
      </c>
      <c r="N94" s="127"/>
      <c r="O94" s="137"/>
      <c r="P94" s="58" t="str" cm="1">
        <f>IF(ISBLANK($A94),"",INDEX(Array_MobileCharges,MATCH($A94,List_MobileFuelMeters,0),ROUNDUP((COLUMN()+1)/3-2,0)))</f>
        <v/>
      </c>
      <c r="Q94" s="127"/>
      <c r="R94" s="137"/>
      <c r="S94" s="58" t="str" cm="1">
        <f>IF(ISBLANK($A94),"",INDEX(Array_MobileCharges,MATCH($A94,List_MobileFuelMeters,0),ROUNDUP((COLUMN()+1)/3-2,0)))</f>
        <v/>
      </c>
      <c r="T94" s="127"/>
      <c r="U94" s="137"/>
    </row>
    <row r="95" spans="1:21" x14ac:dyDescent="0.3">
      <c r="A95" s="126"/>
      <c r="B95" s="133"/>
      <c r="C95" s="127"/>
      <c r="D95" s="138"/>
      <c r="E95" s="138"/>
      <c r="F95" s="137"/>
      <c r="G95" s="58" t="str" cm="1">
        <f>IF(ISBLANK($A95),"",INDEX(Array_MobileCharges,MATCH($A95,List_MobileFuelMeters,0),ROUNDUP((COLUMN()+1)/3-2,0)))</f>
        <v/>
      </c>
      <c r="H95" s="127"/>
      <c r="I95" s="137"/>
      <c r="J95" s="58" t="str" cm="1">
        <f>IF(ISBLANK($A95),"",INDEX(Array_MobileCharges,MATCH($A95,List_MobileFuelMeters,0),ROUNDUP((COLUMN()+1)/3-2,0)))</f>
        <v/>
      </c>
      <c r="K95" s="127"/>
      <c r="L95" s="137"/>
      <c r="M95" s="58" t="str" cm="1">
        <f>IF(ISBLANK($A95),"",INDEX(Array_MobileCharges,MATCH($A95,List_MobileFuelMeters,0),ROUNDUP((COLUMN()+1)/3-2,0)))</f>
        <v/>
      </c>
      <c r="N95" s="127"/>
      <c r="O95" s="137"/>
      <c r="P95" s="58" t="str" cm="1">
        <f>IF(ISBLANK($A95),"",INDEX(Array_MobileCharges,MATCH($A95,List_MobileFuelMeters,0),ROUNDUP((COLUMN()+1)/3-2,0)))</f>
        <v/>
      </c>
      <c r="Q95" s="127"/>
      <c r="R95" s="137"/>
      <c r="S95" s="58" t="str" cm="1">
        <f>IF(ISBLANK($A95),"",INDEX(Array_MobileCharges,MATCH($A95,List_MobileFuelMeters,0),ROUNDUP((COLUMN()+1)/3-2,0)))</f>
        <v/>
      </c>
      <c r="T95" s="127"/>
      <c r="U95" s="137"/>
    </row>
    <row r="96" spans="1:21" x14ac:dyDescent="0.3">
      <c r="A96" s="126"/>
      <c r="B96" s="133"/>
      <c r="C96" s="127"/>
      <c r="D96" s="138"/>
      <c r="E96" s="138"/>
      <c r="F96" s="137"/>
      <c r="G96" s="58" t="str" cm="1">
        <f>IF(ISBLANK($A96),"",INDEX(Array_MobileCharges,MATCH($A96,List_MobileFuelMeters,0),ROUNDUP((COLUMN()+1)/3-2,0)))</f>
        <v/>
      </c>
      <c r="H96" s="127"/>
      <c r="I96" s="137"/>
      <c r="J96" s="58" t="str" cm="1">
        <f>IF(ISBLANK($A96),"",INDEX(Array_MobileCharges,MATCH($A96,List_MobileFuelMeters,0),ROUNDUP((COLUMN()+1)/3-2,0)))</f>
        <v/>
      </c>
      <c r="K96" s="127"/>
      <c r="L96" s="137"/>
      <c r="M96" s="58" t="str" cm="1">
        <f>IF(ISBLANK($A96),"",INDEX(Array_MobileCharges,MATCH($A96,List_MobileFuelMeters,0),ROUNDUP((COLUMN()+1)/3-2,0)))</f>
        <v/>
      </c>
      <c r="N96" s="127"/>
      <c r="O96" s="137"/>
      <c r="P96" s="58" t="str" cm="1">
        <f>IF(ISBLANK($A96),"",INDEX(Array_MobileCharges,MATCH($A96,List_MobileFuelMeters,0),ROUNDUP((COLUMN()+1)/3-2,0)))</f>
        <v/>
      </c>
      <c r="Q96" s="127"/>
      <c r="R96" s="137"/>
      <c r="S96" s="58" t="str" cm="1">
        <f>IF(ISBLANK($A96),"",INDEX(Array_MobileCharges,MATCH($A96,List_MobileFuelMeters,0),ROUNDUP((COLUMN()+1)/3-2,0)))</f>
        <v/>
      </c>
      <c r="T96" s="127"/>
      <c r="U96" s="137"/>
    </row>
    <row r="97" spans="1:21" x14ac:dyDescent="0.3">
      <c r="A97" s="126"/>
      <c r="B97" s="133"/>
      <c r="C97" s="127"/>
      <c r="D97" s="138"/>
      <c r="E97" s="138"/>
      <c r="F97" s="137"/>
      <c r="G97" s="58" t="str" cm="1">
        <f>IF(ISBLANK($A97),"",INDEX(Array_MobileCharges,MATCH($A97,List_MobileFuelMeters,0),ROUNDUP((COLUMN()+1)/3-2,0)))</f>
        <v/>
      </c>
      <c r="H97" s="127"/>
      <c r="I97" s="137"/>
      <c r="J97" s="58" t="str" cm="1">
        <f>IF(ISBLANK($A97),"",INDEX(Array_MobileCharges,MATCH($A97,List_MobileFuelMeters,0),ROUNDUP((COLUMN()+1)/3-2,0)))</f>
        <v/>
      </c>
      <c r="K97" s="127"/>
      <c r="L97" s="137"/>
      <c r="M97" s="58" t="str" cm="1">
        <f>IF(ISBLANK($A97),"",INDEX(Array_MobileCharges,MATCH($A97,List_MobileFuelMeters,0),ROUNDUP((COLUMN()+1)/3-2,0)))</f>
        <v/>
      </c>
      <c r="N97" s="127"/>
      <c r="O97" s="137"/>
      <c r="P97" s="58" t="str" cm="1">
        <f>IF(ISBLANK($A97),"",INDEX(Array_MobileCharges,MATCH($A97,List_MobileFuelMeters,0),ROUNDUP((COLUMN()+1)/3-2,0)))</f>
        <v/>
      </c>
      <c r="Q97" s="127"/>
      <c r="R97" s="137"/>
      <c r="S97" s="58" t="str" cm="1">
        <f>IF(ISBLANK($A97),"",INDEX(Array_MobileCharges,MATCH($A97,List_MobileFuelMeters,0),ROUNDUP((COLUMN()+1)/3-2,0)))</f>
        <v/>
      </c>
      <c r="T97" s="127"/>
      <c r="U97" s="137"/>
    </row>
    <row r="98" spans="1:21" x14ac:dyDescent="0.3">
      <c r="A98" s="126"/>
      <c r="B98" s="133"/>
      <c r="C98" s="127"/>
      <c r="D98" s="138"/>
      <c r="E98" s="138"/>
      <c r="F98" s="137"/>
      <c r="G98" s="58" t="str" cm="1">
        <f>IF(ISBLANK($A98),"",INDEX(Array_MobileCharges,MATCH($A98,List_MobileFuelMeters,0),ROUNDUP((COLUMN()+1)/3-2,0)))</f>
        <v/>
      </c>
      <c r="H98" s="127"/>
      <c r="I98" s="137"/>
      <c r="J98" s="58" t="str" cm="1">
        <f>IF(ISBLANK($A98),"",INDEX(Array_MobileCharges,MATCH($A98,List_MobileFuelMeters,0),ROUNDUP((COLUMN()+1)/3-2,0)))</f>
        <v/>
      </c>
      <c r="K98" s="127"/>
      <c r="L98" s="137"/>
      <c r="M98" s="58" t="str" cm="1">
        <f>IF(ISBLANK($A98),"",INDEX(Array_MobileCharges,MATCH($A98,List_MobileFuelMeters,0),ROUNDUP((COLUMN()+1)/3-2,0)))</f>
        <v/>
      </c>
      <c r="N98" s="127"/>
      <c r="O98" s="137"/>
      <c r="P98" s="58" t="str" cm="1">
        <f>IF(ISBLANK($A98),"",INDEX(Array_MobileCharges,MATCH($A98,List_MobileFuelMeters,0),ROUNDUP((COLUMN()+1)/3-2,0)))</f>
        <v/>
      </c>
      <c r="Q98" s="127"/>
      <c r="R98" s="137"/>
      <c r="S98" s="58" t="str" cm="1">
        <f>IF(ISBLANK($A98),"",INDEX(Array_MobileCharges,MATCH($A98,List_MobileFuelMeters,0),ROUNDUP((COLUMN()+1)/3-2,0)))</f>
        <v/>
      </c>
      <c r="T98" s="127"/>
      <c r="U98" s="137"/>
    </row>
    <row r="99" spans="1:21" x14ac:dyDescent="0.3">
      <c r="A99" s="126"/>
      <c r="B99" s="133"/>
      <c r="C99" s="127"/>
      <c r="D99" s="138"/>
      <c r="E99" s="138"/>
      <c r="F99" s="137"/>
      <c r="G99" s="58" t="str" cm="1">
        <f>IF(ISBLANK($A99),"",INDEX(Array_MobileCharges,MATCH($A99,List_MobileFuelMeters,0),ROUNDUP((COLUMN()+1)/3-2,0)))</f>
        <v/>
      </c>
      <c r="H99" s="127"/>
      <c r="I99" s="137"/>
      <c r="J99" s="58" t="str" cm="1">
        <f>IF(ISBLANK($A99),"",INDEX(Array_MobileCharges,MATCH($A99,List_MobileFuelMeters,0),ROUNDUP((COLUMN()+1)/3-2,0)))</f>
        <v/>
      </c>
      <c r="K99" s="127"/>
      <c r="L99" s="137"/>
      <c r="M99" s="58" t="str" cm="1">
        <f>IF(ISBLANK($A99),"",INDEX(Array_MobileCharges,MATCH($A99,List_MobileFuelMeters,0),ROUNDUP((COLUMN()+1)/3-2,0)))</f>
        <v/>
      </c>
      <c r="N99" s="127"/>
      <c r="O99" s="137"/>
      <c r="P99" s="58" t="str" cm="1">
        <f>IF(ISBLANK($A99),"",INDEX(Array_MobileCharges,MATCH($A99,List_MobileFuelMeters,0),ROUNDUP((COLUMN()+1)/3-2,0)))</f>
        <v/>
      </c>
      <c r="Q99" s="127"/>
      <c r="R99" s="137"/>
      <c r="S99" s="58" t="str" cm="1">
        <f>IF(ISBLANK($A99),"",INDEX(Array_MobileCharges,MATCH($A99,List_MobileFuelMeters,0),ROUNDUP((COLUMN()+1)/3-2,0)))</f>
        <v/>
      </c>
      <c r="T99" s="127"/>
      <c r="U99" s="137"/>
    </row>
    <row r="100" spans="1:21" x14ac:dyDescent="0.3">
      <c r="A100" s="126"/>
      <c r="B100" s="133"/>
      <c r="C100" s="127"/>
      <c r="D100" s="138"/>
      <c r="E100" s="138"/>
      <c r="F100" s="137"/>
      <c r="G100" s="58" t="str" cm="1">
        <f>IF(ISBLANK($A100),"",INDEX(Array_MobileCharges,MATCH($A100,List_MobileFuelMeters,0),ROUNDUP((COLUMN()+1)/3-2,0)))</f>
        <v/>
      </c>
      <c r="H100" s="127"/>
      <c r="I100" s="137"/>
      <c r="J100" s="58" t="str" cm="1">
        <f>IF(ISBLANK($A100),"",INDEX(Array_MobileCharges,MATCH($A100,List_MobileFuelMeters,0),ROUNDUP((COLUMN()+1)/3-2,0)))</f>
        <v/>
      </c>
      <c r="K100" s="127"/>
      <c r="L100" s="137"/>
      <c r="M100" s="58" t="str" cm="1">
        <f>IF(ISBLANK($A100),"",INDEX(Array_MobileCharges,MATCH($A100,List_MobileFuelMeters,0),ROUNDUP((COLUMN()+1)/3-2,0)))</f>
        <v/>
      </c>
      <c r="N100" s="127"/>
      <c r="O100" s="137"/>
      <c r="P100" s="58" t="str" cm="1">
        <f>IF(ISBLANK($A100),"",INDEX(Array_MobileCharges,MATCH($A100,List_MobileFuelMeters,0),ROUNDUP((COLUMN()+1)/3-2,0)))</f>
        <v/>
      </c>
      <c r="Q100" s="127"/>
      <c r="R100" s="137"/>
      <c r="S100" s="58" t="str" cm="1">
        <f>IF(ISBLANK($A100),"",INDEX(Array_MobileCharges,MATCH($A100,List_MobileFuelMeters,0),ROUNDUP((COLUMN()+1)/3-2,0)))</f>
        <v/>
      </c>
      <c r="T100" s="127"/>
      <c r="U100" s="137"/>
    </row>
    <row r="101" spans="1:21" x14ac:dyDescent="0.3">
      <c r="A101" s="126"/>
      <c r="B101" s="133"/>
      <c r="C101" s="127"/>
      <c r="D101" s="138"/>
      <c r="E101" s="138"/>
      <c r="F101" s="137"/>
      <c r="G101" s="58" t="str" cm="1">
        <f>IF(ISBLANK($A101),"",INDEX(Array_MobileCharges,MATCH($A101,List_MobileFuelMeters,0),ROUNDUP((COLUMN()+1)/3-2,0)))</f>
        <v/>
      </c>
      <c r="H101" s="127"/>
      <c r="I101" s="137"/>
      <c r="J101" s="58" t="str" cm="1">
        <f>IF(ISBLANK($A101),"",INDEX(Array_MobileCharges,MATCH($A101,List_MobileFuelMeters,0),ROUNDUP((COLUMN()+1)/3-2,0)))</f>
        <v/>
      </c>
      <c r="K101" s="127"/>
      <c r="L101" s="137"/>
      <c r="M101" s="58" t="str" cm="1">
        <f>IF(ISBLANK($A101),"",INDEX(Array_MobileCharges,MATCH($A101,List_MobileFuelMeters,0),ROUNDUP((COLUMN()+1)/3-2,0)))</f>
        <v/>
      </c>
      <c r="N101" s="127"/>
      <c r="O101" s="137"/>
      <c r="P101" s="58" t="str" cm="1">
        <f>IF(ISBLANK($A101),"",INDEX(Array_MobileCharges,MATCH($A101,List_MobileFuelMeters,0),ROUNDUP((COLUMN()+1)/3-2,0)))</f>
        <v/>
      </c>
      <c r="Q101" s="127"/>
      <c r="R101" s="137"/>
      <c r="S101" s="58" t="str" cm="1">
        <f>IF(ISBLANK($A101),"",INDEX(Array_MobileCharges,MATCH($A101,List_MobileFuelMeters,0),ROUNDUP((COLUMN()+1)/3-2,0)))</f>
        <v/>
      </c>
      <c r="T101" s="127"/>
      <c r="U101" s="137"/>
    </row>
    <row r="102" spans="1:21" x14ac:dyDescent="0.3">
      <c r="A102" s="126"/>
      <c r="B102" s="133"/>
      <c r="C102" s="127"/>
      <c r="D102" s="138"/>
      <c r="E102" s="138"/>
      <c r="F102" s="137"/>
      <c r="G102" s="58" t="str" cm="1">
        <f>IF(ISBLANK($A102),"",INDEX(Array_MobileCharges,MATCH($A102,List_MobileFuelMeters,0),ROUNDUP((COLUMN()+1)/3-2,0)))</f>
        <v/>
      </c>
      <c r="H102" s="127"/>
      <c r="I102" s="137"/>
      <c r="J102" s="58" t="str" cm="1">
        <f>IF(ISBLANK($A102),"",INDEX(Array_MobileCharges,MATCH($A102,List_MobileFuelMeters,0),ROUNDUP((COLUMN()+1)/3-2,0)))</f>
        <v/>
      </c>
      <c r="K102" s="127"/>
      <c r="L102" s="137"/>
      <c r="M102" s="58" t="str" cm="1">
        <f>IF(ISBLANK($A102),"",INDEX(Array_MobileCharges,MATCH($A102,List_MobileFuelMeters,0),ROUNDUP((COLUMN()+1)/3-2,0)))</f>
        <v/>
      </c>
      <c r="N102" s="127"/>
      <c r="O102" s="137"/>
      <c r="P102" s="58" t="str" cm="1">
        <f>IF(ISBLANK($A102),"",INDEX(Array_MobileCharges,MATCH($A102,List_MobileFuelMeters,0),ROUNDUP((COLUMN()+1)/3-2,0)))</f>
        <v/>
      </c>
      <c r="Q102" s="127"/>
      <c r="R102" s="137"/>
      <c r="S102" s="58" t="str" cm="1">
        <f>IF(ISBLANK($A102),"",INDEX(Array_MobileCharges,MATCH($A102,List_MobileFuelMeters,0),ROUNDUP((COLUMN()+1)/3-2,0)))</f>
        <v/>
      </c>
      <c r="T102" s="127"/>
      <c r="U102" s="137"/>
    </row>
    <row r="103" spans="1:21" x14ac:dyDescent="0.3">
      <c r="A103" s="126"/>
      <c r="B103" s="133"/>
      <c r="C103" s="127"/>
      <c r="D103" s="138"/>
      <c r="E103" s="138"/>
      <c r="F103" s="137"/>
      <c r="G103" s="58" t="str" cm="1">
        <f>IF(ISBLANK($A103),"",INDEX(Array_MobileCharges,MATCH($A103,List_MobileFuelMeters,0),ROUNDUP((COLUMN()+1)/3-2,0)))</f>
        <v/>
      </c>
      <c r="H103" s="127"/>
      <c r="I103" s="137"/>
      <c r="J103" s="58" t="str" cm="1">
        <f>IF(ISBLANK($A103),"",INDEX(Array_MobileCharges,MATCH($A103,List_MobileFuelMeters,0),ROUNDUP((COLUMN()+1)/3-2,0)))</f>
        <v/>
      </c>
      <c r="K103" s="127"/>
      <c r="L103" s="137"/>
      <c r="M103" s="58" t="str" cm="1">
        <f>IF(ISBLANK($A103),"",INDEX(Array_MobileCharges,MATCH($A103,List_MobileFuelMeters,0),ROUNDUP((COLUMN()+1)/3-2,0)))</f>
        <v/>
      </c>
      <c r="N103" s="127"/>
      <c r="O103" s="137"/>
      <c r="P103" s="58" t="str" cm="1">
        <f>IF(ISBLANK($A103),"",INDEX(Array_MobileCharges,MATCH($A103,List_MobileFuelMeters,0),ROUNDUP((COLUMN()+1)/3-2,0)))</f>
        <v/>
      </c>
      <c r="Q103" s="127"/>
      <c r="R103" s="137"/>
      <c r="S103" s="58" t="str" cm="1">
        <f>IF(ISBLANK($A103),"",INDEX(Array_MobileCharges,MATCH($A103,List_MobileFuelMeters,0),ROUNDUP((COLUMN()+1)/3-2,0)))</f>
        <v/>
      </c>
      <c r="T103" s="127"/>
      <c r="U103" s="137"/>
    </row>
    <row r="104" spans="1:21" x14ac:dyDescent="0.3">
      <c r="A104" s="126"/>
      <c r="B104" s="133"/>
      <c r="C104" s="127"/>
      <c r="D104" s="138"/>
      <c r="E104" s="138"/>
      <c r="F104" s="137"/>
      <c r="G104" s="58" t="str" cm="1">
        <f>IF(ISBLANK($A104),"",INDEX(Array_MobileCharges,MATCH($A104,List_MobileFuelMeters,0),ROUNDUP((COLUMN()+1)/3-2,0)))</f>
        <v/>
      </c>
      <c r="H104" s="127"/>
      <c r="I104" s="137"/>
      <c r="J104" s="58" t="str" cm="1">
        <f>IF(ISBLANK($A104),"",INDEX(Array_MobileCharges,MATCH($A104,List_MobileFuelMeters,0),ROUNDUP((COLUMN()+1)/3-2,0)))</f>
        <v/>
      </c>
      <c r="K104" s="127"/>
      <c r="L104" s="137"/>
      <c r="M104" s="58" t="str" cm="1">
        <f>IF(ISBLANK($A104),"",INDEX(Array_MobileCharges,MATCH($A104,List_MobileFuelMeters,0),ROUNDUP((COLUMN()+1)/3-2,0)))</f>
        <v/>
      </c>
      <c r="N104" s="127"/>
      <c r="O104" s="137"/>
      <c r="P104" s="58" t="str" cm="1">
        <f>IF(ISBLANK($A104),"",INDEX(Array_MobileCharges,MATCH($A104,List_MobileFuelMeters,0),ROUNDUP((COLUMN()+1)/3-2,0)))</f>
        <v/>
      </c>
      <c r="Q104" s="127"/>
      <c r="R104" s="137"/>
      <c r="S104" s="58" t="str" cm="1">
        <f>IF(ISBLANK($A104),"",INDEX(Array_MobileCharges,MATCH($A104,List_MobileFuelMeters,0),ROUNDUP((COLUMN()+1)/3-2,0)))</f>
        <v/>
      </c>
      <c r="T104" s="127"/>
      <c r="U104" s="137"/>
    </row>
    <row r="105" spans="1:21" x14ac:dyDescent="0.3">
      <c r="A105" s="126"/>
      <c r="B105" s="133"/>
      <c r="C105" s="127"/>
      <c r="D105" s="138"/>
      <c r="E105" s="138"/>
      <c r="F105" s="137"/>
      <c r="G105" s="58" t="str" cm="1">
        <f>IF(ISBLANK($A105),"",INDEX(Array_MobileCharges,MATCH($A105,List_MobileFuelMeters,0),ROUNDUP((COLUMN()+1)/3-2,0)))</f>
        <v/>
      </c>
      <c r="H105" s="127"/>
      <c r="I105" s="137"/>
      <c r="J105" s="58" t="str" cm="1">
        <f>IF(ISBLANK($A105),"",INDEX(Array_MobileCharges,MATCH($A105,List_MobileFuelMeters,0),ROUNDUP((COLUMN()+1)/3-2,0)))</f>
        <v/>
      </c>
      <c r="K105" s="127"/>
      <c r="L105" s="137"/>
      <c r="M105" s="58" t="str" cm="1">
        <f>IF(ISBLANK($A105),"",INDEX(Array_MobileCharges,MATCH($A105,List_MobileFuelMeters,0),ROUNDUP((COLUMN()+1)/3-2,0)))</f>
        <v/>
      </c>
      <c r="N105" s="127"/>
      <c r="O105" s="137"/>
      <c r="P105" s="58" t="str" cm="1">
        <f>IF(ISBLANK($A105),"",INDEX(Array_MobileCharges,MATCH($A105,List_MobileFuelMeters,0),ROUNDUP((COLUMN()+1)/3-2,0)))</f>
        <v/>
      </c>
      <c r="Q105" s="127"/>
      <c r="R105" s="137"/>
      <c r="S105" s="58" t="str" cm="1">
        <f>IF(ISBLANK($A105),"",INDEX(Array_MobileCharges,MATCH($A105,List_MobileFuelMeters,0),ROUNDUP((COLUMN()+1)/3-2,0)))</f>
        <v/>
      </c>
      <c r="T105" s="127"/>
      <c r="U105" s="137"/>
    </row>
    <row r="106" spans="1:21" x14ac:dyDescent="0.3">
      <c r="A106" s="126"/>
      <c r="B106" s="133"/>
      <c r="C106" s="127"/>
      <c r="D106" s="138"/>
      <c r="E106" s="138"/>
      <c r="F106" s="137"/>
      <c r="G106" s="58" t="str" cm="1">
        <f>IF(ISBLANK($A106),"",INDEX(Array_MobileCharges,MATCH($A106,List_MobileFuelMeters,0),ROUNDUP((COLUMN()+1)/3-2,0)))</f>
        <v/>
      </c>
      <c r="H106" s="127"/>
      <c r="I106" s="137"/>
      <c r="J106" s="58" t="str" cm="1">
        <f>IF(ISBLANK($A106),"",INDEX(Array_MobileCharges,MATCH($A106,List_MobileFuelMeters,0),ROUNDUP((COLUMN()+1)/3-2,0)))</f>
        <v/>
      </c>
      <c r="K106" s="127"/>
      <c r="L106" s="137"/>
      <c r="M106" s="58" t="str" cm="1">
        <f>IF(ISBLANK($A106),"",INDEX(Array_MobileCharges,MATCH($A106,List_MobileFuelMeters,0),ROUNDUP((COLUMN()+1)/3-2,0)))</f>
        <v/>
      </c>
      <c r="N106" s="127"/>
      <c r="O106" s="137"/>
      <c r="P106" s="58" t="str" cm="1">
        <f>IF(ISBLANK($A106),"",INDEX(Array_MobileCharges,MATCH($A106,List_MobileFuelMeters,0),ROUNDUP((COLUMN()+1)/3-2,0)))</f>
        <v/>
      </c>
      <c r="Q106" s="127"/>
      <c r="R106" s="137"/>
      <c r="S106" s="58" t="str" cm="1">
        <f>IF(ISBLANK($A106),"",INDEX(Array_MobileCharges,MATCH($A106,List_MobileFuelMeters,0),ROUNDUP((COLUMN()+1)/3-2,0)))</f>
        <v/>
      </c>
      <c r="T106" s="127"/>
      <c r="U106" s="137"/>
    </row>
    <row r="107" spans="1:21" x14ac:dyDescent="0.3">
      <c r="A107" s="126"/>
      <c r="B107" s="133"/>
      <c r="C107" s="127"/>
      <c r="D107" s="138"/>
      <c r="E107" s="138"/>
      <c r="F107" s="137"/>
      <c r="G107" s="58" t="str" cm="1">
        <f>IF(ISBLANK($A107),"",INDEX(Array_MobileCharges,MATCH($A107,List_MobileFuelMeters,0),ROUNDUP((COLUMN()+1)/3-2,0)))</f>
        <v/>
      </c>
      <c r="H107" s="127"/>
      <c r="I107" s="137"/>
      <c r="J107" s="58" t="str" cm="1">
        <f>IF(ISBLANK($A107),"",INDEX(Array_MobileCharges,MATCH($A107,List_MobileFuelMeters,0),ROUNDUP((COLUMN()+1)/3-2,0)))</f>
        <v/>
      </c>
      <c r="K107" s="127"/>
      <c r="L107" s="137"/>
      <c r="M107" s="58" t="str" cm="1">
        <f>IF(ISBLANK($A107),"",INDEX(Array_MobileCharges,MATCH($A107,List_MobileFuelMeters,0),ROUNDUP((COLUMN()+1)/3-2,0)))</f>
        <v/>
      </c>
      <c r="N107" s="127"/>
      <c r="O107" s="137"/>
      <c r="P107" s="58" t="str" cm="1">
        <f>IF(ISBLANK($A107),"",INDEX(Array_MobileCharges,MATCH($A107,List_MobileFuelMeters,0),ROUNDUP((COLUMN()+1)/3-2,0)))</f>
        <v/>
      </c>
      <c r="Q107" s="127"/>
      <c r="R107" s="137"/>
      <c r="S107" s="58" t="str" cm="1">
        <f>IF(ISBLANK($A107),"",INDEX(Array_MobileCharges,MATCH($A107,List_MobileFuelMeters,0),ROUNDUP((COLUMN()+1)/3-2,0)))</f>
        <v/>
      </c>
      <c r="T107" s="127"/>
      <c r="U107" s="137"/>
    </row>
    <row r="108" spans="1:21" x14ac:dyDescent="0.3">
      <c r="A108" s="126"/>
      <c r="B108" s="133"/>
      <c r="C108" s="127"/>
      <c r="D108" s="138"/>
      <c r="E108" s="138"/>
      <c r="F108" s="137"/>
      <c r="G108" s="58" t="str" cm="1">
        <f>IF(ISBLANK($A108),"",INDEX(Array_MobileCharges,MATCH($A108,List_MobileFuelMeters,0),ROUNDUP((COLUMN()+1)/3-2,0)))</f>
        <v/>
      </c>
      <c r="H108" s="127"/>
      <c r="I108" s="137"/>
      <c r="J108" s="58" t="str" cm="1">
        <f>IF(ISBLANK($A108),"",INDEX(Array_MobileCharges,MATCH($A108,List_MobileFuelMeters,0),ROUNDUP((COLUMN()+1)/3-2,0)))</f>
        <v/>
      </c>
      <c r="K108" s="127"/>
      <c r="L108" s="137"/>
      <c r="M108" s="58" t="str" cm="1">
        <f>IF(ISBLANK($A108),"",INDEX(Array_MobileCharges,MATCH($A108,List_MobileFuelMeters,0),ROUNDUP((COLUMN()+1)/3-2,0)))</f>
        <v/>
      </c>
      <c r="N108" s="127"/>
      <c r="O108" s="137"/>
      <c r="P108" s="58" t="str" cm="1">
        <f>IF(ISBLANK($A108),"",INDEX(Array_MobileCharges,MATCH($A108,List_MobileFuelMeters,0),ROUNDUP((COLUMN()+1)/3-2,0)))</f>
        <v/>
      </c>
      <c r="Q108" s="127"/>
      <c r="R108" s="137"/>
      <c r="S108" s="58" t="str" cm="1">
        <f>IF(ISBLANK($A108),"",INDEX(Array_MobileCharges,MATCH($A108,List_MobileFuelMeters,0),ROUNDUP((COLUMN()+1)/3-2,0)))</f>
        <v/>
      </c>
      <c r="T108" s="127"/>
      <c r="U108" s="137"/>
    </row>
    <row r="109" spans="1:21" x14ac:dyDescent="0.3">
      <c r="A109" s="126"/>
      <c r="B109" s="133"/>
      <c r="C109" s="127"/>
      <c r="D109" s="138"/>
      <c r="E109" s="138"/>
      <c r="F109" s="137"/>
      <c r="G109" s="58" t="str" cm="1">
        <f>IF(ISBLANK($A109),"",INDEX(Array_MobileCharges,MATCH($A109,List_MobileFuelMeters,0),ROUNDUP((COLUMN()+1)/3-2,0)))</f>
        <v/>
      </c>
      <c r="H109" s="127"/>
      <c r="I109" s="137"/>
      <c r="J109" s="58" t="str" cm="1">
        <f>IF(ISBLANK($A109),"",INDEX(Array_MobileCharges,MATCH($A109,List_MobileFuelMeters,0),ROUNDUP((COLUMN()+1)/3-2,0)))</f>
        <v/>
      </c>
      <c r="K109" s="127"/>
      <c r="L109" s="137"/>
      <c r="M109" s="58" t="str" cm="1">
        <f>IF(ISBLANK($A109),"",INDEX(Array_MobileCharges,MATCH($A109,List_MobileFuelMeters,0),ROUNDUP((COLUMN()+1)/3-2,0)))</f>
        <v/>
      </c>
      <c r="N109" s="127"/>
      <c r="O109" s="137"/>
      <c r="P109" s="58" t="str" cm="1">
        <f>IF(ISBLANK($A109),"",INDEX(Array_MobileCharges,MATCH($A109,List_MobileFuelMeters,0),ROUNDUP((COLUMN()+1)/3-2,0)))</f>
        <v/>
      </c>
      <c r="Q109" s="127"/>
      <c r="R109" s="137"/>
      <c r="S109" s="58" t="str" cm="1">
        <f>IF(ISBLANK($A109),"",INDEX(Array_MobileCharges,MATCH($A109,List_MobileFuelMeters,0),ROUNDUP((COLUMN()+1)/3-2,0)))</f>
        <v/>
      </c>
      <c r="T109" s="127"/>
      <c r="U109" s="137"/>
    </row>
    <row r="110" spans="1:21" x14ac:dyDescent="0.3">
      <c r="A110" s="126"/>
      <c r="B110" s="133"/>
      <c r="C110" s="127"/>
      <c r="D110" s="138"/>
      <c r="E110" s="138"/>
      <c r="F110" s="137"/>
      <c r="G110" s="58" t="str" cm="1">
        <f>IF(ISBLANK($A110),"",INDEX(Array_MobileCharges,MATCH($A110,List_MobileFuelMeters,0),ROUNDUP((COLUMN()+1)/3-2,0)))</f>
        <v/>
      </c>
      <c r="H110" s="127"/>
      <c r="I110" s="137"/>
      <c r="J110" s="58" t="str" cm="1">
        <f>IF(ISBLANK($A110),"",INDEX(Array_MobileCharges,MATCH($A110,List_MobileFuelMeters,0),ROUNDUP((COLUMN()+1)/3-2,0)))</f>
        <v/>
      </c>
      <c r="K110" s="127"/>
      <c r="L110" s="137"/>
      <c r="M110" s="58" t="str" cm="1">
        <f>IF(ISBLANK($A110),"",INDEX(Array_MobileCharges,MATCH($A110,List_MobileFuelMeters,0),ROUNDUP((COLUMN()+1)/3-2,0)))</f>
        <v/>
      </c>
      <c r="N110" s="127"/>
      <c r="O110" s="137"/>
      <c r="P110" s="58" t="str" cm="1">
        <f>IF(ISBLANK($A110),"",INDEX(Array_MobileCharges,MATCH($A110,List_MobileFuelMeters,0),ROUNDUP((COLUMN()+1)/3-2,0)))</f>
        <v/>
      </c>
      <c r="Q110" s="127"/>
      <c r="R110" s="137"/>
      <c r="S110" s="58" t="str" cm="1">
        <f>IF(ISBLANK($A110),"",INDEX(Array_MobileCharges,MATCH($A110,List_MobileFuelMeters,0),ROUNDUP((COLUMN()+1)/3-2,0)))</f>
        <v/>
      </c>
      <c r="T110" s="127"/>
      <c r="U110" s="137"/>
    </row>
    <row r="111" spans="1:21" x14ac:dyDescent="0.3">
      <c r="A111" s="126"/>
      <c r="B111" s="133"/>
      <c r="C111" s="127"/>
      <c r="D111" s="138"/>
      <c r="E111" s="138"/>
      <c r="F111" s="137"/>
      <c r="G111" s="58" t="str" cm="1">
        <f>IF(ISBLANK($A111),"",INDEX(Array_MobileCharges,MATCH($A111,List_MobileFuelMeters,0),ROUNDUP((COLUMN()+1)/3-2,0)))</f>
        <v/>
      </c>
      <c r="H111" s="127"/>
      <c r="I111" s="137"/>
      <c r="J111" s="58" t="str" cm="1">
        <f>IF(ISBLANK($A111),"",INDEX(Array_MobileCharges,MATCH($A111,List_MobileFuelMeters,0),ROUNDUP((COLUMN()+1)/3-2,0)))</f>
        <v/>
      </c>
      <c r="K111" s="127"/>
      <c r="L111" s="137"/>
      <c r="M111" s="58" t="str" cm="1">
        <f>IF(ISBLANK($A111),"",INDEX(Array_MobileCharges,MATCH($A111,List_MobileFuelMeters,0),ROUNDUP((COLUMN()+1)/3-2,0)))</f>
        <v/>
      </c>
      <c r="N111" s="127"/>
      <c r="O111" s="137"/>
      <c r="P111" s="58" t="str" cm="1">
        <f>IF(ISBLANK($A111),"",INDEX(Array_MobileCharges,MATCH($A111,List_MobileFuelMeters,0),ROUNDUP((COLUMN()+1)/3-2,0)))</f>
        <v/>
      </c>
      <c r="Q111" s="127"/>
      <c r="R111" s="137"/>
      <c r="S111" s="58" t="str" cm="1">
        <f>IF(ISBLANK($A111),"",INDEX(Array_MobileCharges,MATCH($A111,List_MobileFuelMeters,0),ROUNDUP((COLUMN()+1)/3-2,0)))</f>
        <v/>
      </c>
      <c r="T111" s="127"/>
      <c r="U111" s="137"/>
    </row>
    <row r="112" spans="1:21" x14ac:dyDescent="0.3">
      <c r="A112" s="126"/>
      <c r="B112" s="133"/>
      <c r="C112" s="127"/>
      <c r="D112" s="138"/>
      <c r="E112" s="138"/>
      <c r="F112" s="137"/>
      <c r="G112" s="58" t="str" cm="1">
        <f>IF(ISBLANK($A112),"",INDEX(Array_MobileCharges,MATCH($A112,List_MobileFuelMeters,0),ROUNDUP((COLUMN()+1)/3-2,0)))</f>
        <v/>
      </c>
      <c r="H112" s="127"/>
      <c r="I112" s="137"/>
      <c r="J112" s="58" t="str" cm="1">
        <f>IF(ISBLANK($A112),"",INDEX(Array_MobileCharges,MATCH($A112,List_MobileFuelMeters,0),ROUNDUP((COLUMN()+1)/3-2,0)))</f>
        <v/>
      </c>
      <c r="K112" s="127"/>
      <c r="L112" s="137"/>
      <c r="M112" s="58" t="str" cm="1">
        <f>IF(ISBLANK($A112),"",INDEX(Array_MobileCharges,MATCH($A112,List_MobileFuelMeters,0),ROUNDUP((COLUMN()+1)/3-2,0)))</f>
        <v/>
      </c>
      <c r="N112" s="127"/>
      <c r="O112" s="137"/>
      <c r="P112" s="58" t="str" cm="1">
        <f>IF(ISBLANK($A112),"",INDEX(Array_MobileCharges,MATCH($A112,List_MobileFuelMeters,0),ROUNDUP((COLUMN()+1)/3-2,0)))</f>
        <v/>
      </c>
      <c r="Q112" s="127"/>
      <c r="R112" s="137"/>
      <c r="S112" s="58" t="str" cm="1">
        <f>IF(ISBLANK($A112),"",INDEX(Array_MobileCharges,MATCH($A112,List_MobileFuelMeters,0),ROUNDUP((COLUMN()+1)/3-2,0)))</f>
        <v/>
      </c>
      <c r="T112" s="127"/>
      <c r="U112" s="137"/>
    </row>
    <row r="113" spans="1:21" x14ac:dyDescent="0.3">
      <c r="A113" s="126"/>
      <c r="B113" s="133"/>
      <c r="C113" s="127"/>
      <c r="D113" s="138"/>
      <c r="E113" s="138"/>
      <c r="F113" s="137"/>
      <c r="G113" s="58" t="str" cm="1">
        <f>IF(ISBLANK($A113),"",INDEX(Array_MobileCharges,MATCH($A113,List_MobileFuelMeters,0),ROUNDUP((COLUMN()+1)/3-2,0)))</f>
        <v/>
      </c>
      <c r="H113" s="127"/>
      <c r="I113" s="137"/>
      <c r="J113" s="58" t="str" cm="1">
        <f>IF(ISBLANK($A113),"",INDEX(Array_MobileCharges,MATCH($A113,List_MobileFuelMeters,0),ROUNDUP((COLUMN()+1)/3-2,0)))</f>
        <v/>
      </c>
      <c r="K113" s="127"/>
      <c r="L113" s="137"/>
      <c r="M113" s="58" t="str" cm="1">
        <f>IF(ISBLANK($A113),"",INDEX(Array_MobileCharges,MATCH($A113,List_MobileFuelMeters,0),ROUNDUP((COLUMN()+1)/3-2,0)))</f>
        <v/>
      </c>
      <c r="N113" s="127"/>
      <c r="O113" s="137"/>
      <c r="P113" s="58" t="str" cm="1">
        <f>IF(ISBLANK($A113),"",INDEX(Array_MobileCharges,MATCH($A113,List_MobileFuelMeters,0),ROUNDUP((COLUMN()+1)/3-2,0)))</f>
        <v/>
      </c>
      <c r="Q113" s="127"/>
      <c r="R113" s="137"/>
      <c r="S113" s="58" t="str" cm="1">
        <f>IF(ISBLANK($A113),"",INDEX(Array_MobileCharges,MATCH($A113,List_MobileFuelMeters,0),ROUNDUP((COLUMN()+1)/3-2,0)))</f>
        <v/>
      </c>
      <c r="T113" s="127"/>
      <c r="U113" s="137"/>
    </row>
    <row r="114" spans="1:21" x14ac:dyDescent="0.3">
      <c r="A114" s="126"/>
      <c r="B114" s="133"/>
      <c r="C114" s="127"/>
      <c r="D114" s="138"/>
      <c r="E114" s="138"/>
      <c r="F114" s="137"/>
      <c r="G114" s="58" t="str" cm="1">
        <f>IF(ISBLANK($A114),"",INDEX(Array_MobileCharges,MATCH($A114,List_MobileFuelMeters,0),ROUNDUP((COLUMN()+1)/3-2,0)))</f>
        <v/>
      </c>
      <c r="H114" s="127"/>
      <c r="I114" s="137"/>
      <c r="J114" s="58" t="str" cm="1">
        <f>IF(ISBLANK($A114),"",INDEX(Array_MobileCharges,MATCH($A114,List_MobileFuelMeters,0),ROUNDUP((COLUMN()+1)/3-2,0)))</f>
        <v/>
      </c>
      <c r="K114" s="127"/>
      <c r="L114" s="137"/>
      <c r="M114" s="58" t="str" cm="1">
        <f>IF(ISBLANK($A114),"",INDEX(Array_MobileCharges,MATCH($A114,List_MobileFuelMeters,0),ROUNDUP((COLUMN()+1)/3-2,0)))</f>
        <v/>
      </c>
      <c r="N114" s="127"/>
      <c r="O114" s="137"/>
      <c r="P114" s="58" t="str" cm="1">
        <f>IF(ISBLANK($A114),"",INDEX(Array_MobileCharges,MATCH($A114,List_MobileFuelMeters,0),ROUNDUP((COLUMN()+1)/3-2,0)))</f>
        <v/>
      </c>
      <c r="Q114" s="127"/>
      <c r="R114" s="137"/>
      <c r="S114" s="58" t="str" cm="1">
        <f>IF(ISBLANK($A114),"",INDEX(Array_MobileCharges,MATCH($A114,List_MobileFuelMeters,0),ROUNDUP((COLUMN()+1)/3-2,0)))</f>
        <v/>
      </c>
      <c r="T114" s="127"/>
      <c r="U114" s="137"/>
    </row>
    <row r="115" spans="1:21" x14ac:dyDescent="0.3">
      <c r="A115" s="126"/>
      <c r="B115" s="133"/>
      <c r="C115" s="127"/>
      <c r="D115" s="138"/>
      <c r="E115" s="138"/>
      <c r="F115" s="137"/>
      <c r="G115" s="58" t="str" cm="1">
        <f>IF(ISBLANK($A115),"",INDEX(Array_MobileCharges,MATCH($A115,List_MobileFuelMeters,0),ROUNDUP((COLUMN()+1)/3-2,0)))</f>
        <v/>
      </c>
      <c r="H115" s="127"/>
      <c r="I115" s="137"/>
      <c r="J115" s="58" t="str" cm="1">
        <f>IF(ISBLANK($A115),"",INDEX(Array_MobileCharges,MATCH($A115,List_MobileFuelMeters,0),ROUNDUP((COLUMN()+1)/3-2,0)))</f>
        <v/>
      </c>
      <c r="K115" s="127"/>
      <c r="L115" s="137"/>
      <c r="M115" s="58" t="str" cm="1">
        <f>IF(ISBLANK($A115),"",INDEX(Array_MobileCharges,MATCH($A115,List_MobileFuelMeters,0),ROUNDUP((COLUMN()+1)/3-2,0)))</f>
        <v/>
      </c>
      <c r="N115" s="127"/>
      <c r="O115" s="137"/>
      <c r="P115" s="58" t="str" cm="1">
        <f>IF(ISBLANK($A115),"",INDEX(Array_MobileCharges,MATCH($A115,List_MobileFuelMeters,0),ROUNDUP((COLUMN()+1)/3-2,0)))</f>
        <v/>
      </c>
      <c r="Q115" s="127"/>
      <c r="R115" s="137"/>
      <c r="S115" s="58" t="str" cm="1">
        <f>IF(ISBLANK($A115),"",INDEX(Array_MobileCharges,MATCH($A115,List_MobileFuelMeters,0),ROUNDUP((COLUMN()+1)/3-2,0)))</f>
        <v/>
      </c>
      <c r="T115" s="127"/>
      <c r="U115" s="137"/>
    </row>
    <row r="116" spans="1:21" x14ac:dyDescent="0.3">
      <c r="A116" s="126"/>
      <c r="B116" s="133"/>
      <c r="C116" s="127"/>
      <c r="D116" s="138"/>
      <c r="E116" s="138"/>
      <c r="F116" s="137"/>
      <c r="G116" s="58" t="str" cm="1">
        <f>IF(ISBLANK($A116),"",INDEX(Array_MobileCharges,MATCH($A116,List_MobileFuelMeters,0),ROUNDUP((COLUMN()+1)/3-2,0)))</f>
        <v/>
      </c>
      <c r="H116" s="127"/>
      <c r="I116" s="137"/>
      <c r="J116" s="58" t="str" cm="1">
        <f>IF(ISBLANK($A116),"",INDEX(Array_MobileCharges,MATCH($A116,List_MobileFuelMeters,0),ROUNDUP((COLUMN()+1)/3-2,0)))</f>
        <v/>
      </c>
      <c r="K116" s="127"/>
      <c r="L116" s="137"/>
      <c r="M116" s="58" t="str" cm="1">
        <f>IF(ISBLANK($A116),"",INDEX(Array_MobileCharges,MATCH($A116,List_MobileFuelMeters,0),ROUNDUP((COLUMN()+1)/3-2,0)))</f>
        <v/>
      </c>
      <c r="N116" s="127"/>
      <c r="O116" s="137"/>
      <c r="P116" s="58" t="str" cm="1">
        <f>IF(ISBLANK($A116),"",INDEX(Array_MobileCharges,MATCH($A116,List_MobileFuelMeters,0),ROUNDUP((COLUMN()+1)/3-2,0)))</f>
        <v/>
      </c>
      <c r="Q116" s="127"/>
      <c r="R116" s="137"/>
      <c r="S116" s="58" t="str" cm="1">
        <f>IF(ISBLANK($A116),"",INDEX(Array_MobileCharges,MATCH($A116,List_MobileFuelMeters,0),ROUNDUP((COLUMN()+1)/3-2,0)))</f>
        <v/>
      </c>
      <c r="T116" s="127"/>
      <c r="U116" s="137"/>
    </row>
    <row r="117" spans="1:21" x14ac:dyDescent="0.3">
      <c r="A117" s="126"/>
      <c r="B117" s="133"/>
      <c r="C117" s="127"/>
      <c r="D117" s="138"/>
      <c r="E117" s="138"/>
      <c r="F117" s="137"/>
      <c r="G117" s="58" t="str" cm="1">
        <f>IF(ISBLANK($A117),"",INDEX(Array_MobileCharges,MATCH($A117,List_MobileFuelMeters,0),ROUNDUP((COLUMN()+1)/3-2,0)))</f>
        <v/>
      </c>
      <c r="H117" s="127"/>
      <c r="I117" s="137"/>
      <c r="J117" s="58" t="str" cm="1">
        <f>IF(ISBLANK($A117),"",INDEX(Array_MobileCharges,MATCH($A117,List_MobileFuelMeters,0),ROUNDUP((COLUMN()+1)/3-2,0)))</f>
        <v/>
      </c>
      <c r="K117" s="127"/>
      <c r="L117" s="137"/>
      <c r="M117" s="58" t="str" cm="1">
        <f>IF(ISBLANK($A117),"",INDEX(Array_MobileCharges,MATCH($A117,List_MobileFuelMeters,0),ROUNDUP((COLUMN()+1)/3-2,0)))</f>
        <v/>
      </c>
      <c r="N117" s="127"/>
      <c r="O117" s="137"/>
      <c r="P117" s="58" t="str" cm="1">
        <f>IF(ISBLANK($A117),"",INDEX(Array_MobileCharges,MATCH($A117,List_MobileFuelMeters,0),ROUNDUP((COLUMN()+1)/3-2,0)))</f>
        <v/>
      </c>
      <c r="Q117" s="127"/>
      <c r="R117" s="137"/>
      <c r="S117" s="58" t="str" cm="1">
        <f>IF(ISBLANK($A117),"",INDEX(Array_MobileCharges,MATCH($A117,List_MobileFuelMeters,0),ROUNDUP((COLUMN()+1)/3-2,0)))</f>
        <v/>
      </c>
      <c r="T117" s="127"/>
      <c r="U117" s="137"/>
    </row>
    <row r="118" spans="1:21" x14ac:dyDescent="0.3">
      <c r="A118" s="126"/>
      <c r="B118" s="133"/>
      <c r="C118" s="127"/>
      <c r="D118" s="138"/>
      <c r="E118" s="138"/>
      <c r="F118" s="137"/>
      <c r="G118" s="58" t="str" cm="1">
        <f>IF(ISBLANK($A118),"",INDEX(Array_MobileCharges,MATCH($A118,List_MobileFuelMeters,0),ROUNDUP((COLUMN()+1)/3-2,0)))</f>
        <v/>
      </c>
      <c r="H118" s="127"/>
      <c r="I118" s="137"/>
      <c r="J118" s="58" t="str" cm="1">
        <f>IF(ISBLANK($A118),"",INDEX(Array_MobileCharges,MATCH($A118,List_MobileFuelMeters,0),ROUNDUP((COLUMN()+1)/3-2,0)))</f>
        <v/>
      </c>
      <c r="K118" s="127"/>
      <c r="L118" s="137"/>
      <c r="M118" s="58" t="str" cm="1">
        <f>IF(ISBLANK($A118),"",INDEX(Array_MobileCharges,MATCH($A118,List_MobileFuelMeters,0),ROUNDUP((COLUMN()+1)/3-2,0)))</f>
        <v/>
      </c>
      <c r="N118" s="127"/>
      <c r="O118" s="137"/>
      <c r="P118" s="58" t="str" cm="1">
        <f>IF(ISBLANK($A118),"",INDEX(Array_MobileCharges,MATCH($A118,List_MobileFuelMeters,0),ROUNDUP((COLUMN()+1)/3-2,0)))</f>
        <v/>
      </c>
      <c r="Q118" s="127"/>
      <c r="R118" s="137"/>
      <c r="S118" s="58" t="str" cm="1">
        <f>IF(ISBLANK($A118),"",INDEX(Array_MobileCharges,MATCH($A118,List_MobileFuelMeters,0),ROUNDUP((COLUMN()+1)/3-2,0)))</f>
        <v/>
      </c>
      <c r="T118" s="127"/>
      <c r="U118" s="137"/>
    </row>
    <row r="119" spans="1:21" x14ac:dyDescent="0.3">
      <c r="A119" s="126"/>
      <c r="B119" s="133"/>
      <c r="C119" s="127"/>
      <c r="D119" s="138"/>
      <c r="E119" s="138"/>
      <c r="F119" s="137"/>
      <c r="G119" s="58" t="str" cm="1">
        <f>IF(ISBLANK($A119),"",INDEX(Array_MobileCharges,MATCH($A119,List_MobileFuelMeters,0),ROUNDUP((COLUMN()+1)/3-2,0)))</f>
        <v/>
      </c>
      <c r="H119" s="127"/>
      <c r="I119" s="137"/>
      <c r="J119" s="58" t="str" cm="1">
        <f>IF(ISBLANK($A119),"",INDEX(Array_MobileCharges,MATCH($A119,List_MobileFuelMeters,0),ROUNDUP((COLUMN()+1)/3-2,0)))</f>
        <v/>
      </c>
      <c r="K119" s="127"/>
      <c r="L119" s="137"/>
      <c r="M119" s="58" t="str" cm="1">
        <f>IF(ISBLANK($A119),"",INDEX(Array_MobileCharges,MATCH($A119,List_MobileFuelMeters,0),ROUNDUP((COLUMN()+1)/3-2,0)))</f>
        <v/>
      </c>
      <c r="N119" s="127"/>
      <c r="O119" s="137"/>
      <c r="P119" s="58" t="str" cm="1">
        <f>IF(ISBLANK($A119),"",INDEX(Array_MobileCharges,MATCH($A119,List_MobileFuelMeters,0),ROUNDUP((COLUMN()+1)/3-2,0)))</f>
        <v/>
      </c>
      <c r="Q119" s="127"/>
      <c r="R119" s="137"/>
      <c r="S119" s="58" t="str" cm="1">
        <f>IF(ISBLANK($A119),"",INDEX(Array_MobileCharges,MATCH($A119,List_MobileFuelMeters,0),ROUNDUP((COLUMN()+1)/3-2,0)))</f>
        <v/>
      </c>
      <c r="T119" s="127"/>
      <c r="U119" s="137"/>
    </row>
    <row r="120" spans="1:21" x14ac:dyDescent="0.3">
      <c r="A120" s="126"/>
      <c r="B120" s="133"/>
      <c r="C120" s="127"/>
      <c r="D120" s="138"/>
      <c r="E120" s="138"/>
      <c r="F120" s="137"/>
      <c r="G120" s="58" t="str" cm="1">
        <f>IF(ISBLANK($A120),"",INDEX(Array_MobileCharges,MATCH($A120,List_MobileFuelMeters,0),ROUNDUP((COLUMN()+1)/3-2,0)))</f>
        <v/>
      </c>
      <c r="H120" s="127"/>
      <c r="I120" s="137"/>
      <c r="J120" s="58" t="str" cm="1">
        <f>IF(ISBLANK($A120),"",INDEX(Array_MobileCharges,MATCH($A120,List_MobileFuelMeters,0),ROUNDUP((COLUMN()+1)/3-2,0)))</f>
        <v/>
      </c>
      <c r="K120" s="127"/>
      <c r="L120" s="137"/>
      <c r="M120" s="58" t="str" cm="1">
        <f>IF(ISBLANK($A120),"",INDEX(Array_MobileCharges,MATCH($A120,List_MobileFuelMeters,0),ROUNDUP((COLUMN()+1)/3-2,0)))</f>
        <v/>
      </c>
      <c r="N120" s="127"/>
      <c r="O120" s="137"/>
      <c r="P120" s="58" t="str" cm="1">
        <f>IF(ISBLANK($A120),"",INDEX(Array_MobileCharges,MATCH($A120,List_MobileFuelMeters,0),ROUNDUP((COLUMN()+1)/3-2,0)))</f>
        <v/>
      </c>
      <c r="Q120" s="127"/>
      <c r="R120" s="137"/>
      <c r="S120" s="58" t="str" cm="1">
        <f>IF(ISBLANK($A120),"",INDEX(Array_MobileCharges,MATCH($A120,List_MobileFuelMeters,0),ROUNDUP((COLUMN()+1)/3-2,0)))</f>
        <v/>
      </c>
      <c r="T120" s="127"/>
      <c r="U120" s="137"/>
    </row>
    <row r="121" spans="1:21" x14ac:dyDescent="0.3">
      <c r="A121" s="126"/>
      <c r="B121" s="133"/>
      <c r="C121" s="127"/>
      <c r="D121" s="138"/>
      <c r="E121" s="138"/>
      <c r="F121" s="137"/>
      <c r="G121" s="58" t="str" cm="1">
        <f>IF(ISBLANK($A121),"",INDEX(Array_MobileCharges,MATCH($A121,List_MobileFuelMeters,0),ROUNDUP((COLUMN()+1)/3-2,0)))</f>
        <v/>
      </c>
      <c r="H121" s="127"/>
      <c r="I121" s="137"/>
      <c r="J121" s="58" t="str" cm="1">
        <f>IF(ISBLANK($A121),"",INDEX(Array_MobileCharges,MATCH($A121,List_MobileFuelMeters,0),ROUNDUP((COLUMN()+1)/3-2,0)))</f>
        <v/>
      </c>
      <c r="K121" s="127"/>
      <c r="L121" s="137"/>
      <c r="M121" s="58" t="str" cm="1">
        <f>IF(ISBLANK($A121),"",INDEX(Array_MobileCharges,MATCH($A121,List_MobileFuelMeters,0),ROUNDUP((COLUMN()+1)/3-2,0)))</f>
        <v/>
      </c>
      <c r="N121" s="127"/>
      <c r="O121" s="137"/>
      <c r="P121" s="58" t="str" cm="1">
        <f>IF(ISBLANK($A121),"",INDEX(Array_MobileCharges,MATCH($A121,List_MobileFuelMeters,0),ROUNDUP((COLUMN()+1)/3-2,0)))</f>
        <v/>
      </c>
      <c r="Q121" s="127"/>
      <c r="R121" s="137"/>
      <c r="S121" s="58" t="str" cm="1">
        <f>IF(ISBLANK($A121),"",INDEX(Array_MobileCharges,MATCH($A121,List_MobileFuelMeters,0),ROUNDUP((COLUMN()+1)/3-2,0)))</f>
        <v/>
      </c>
      <c r="T121" s="127"/>
      <c r="U121" s="137"/>
    </row>
    <row r="122" spans="1:21" x14ac:dyDescent="0.3">
      <c r="A122" s="126"/>
      <c r="B122" s="133"/>
      <c r="C122" s="127"/>
      <c r="D122" s="138"/>
      <c r="E122" s="138"/>
      <c r="F122" s="137"/>
      <c r="G122" s="58" t="str" cm="1">
        <f>IF(ISBLANK($A122),"",INDEX(Array_MobileCharges,MATCH($A122,List_MobileFuelMeters,0),ROUNDUP((COLUMN()+1)/3-2,0)))</f>
        <v/>
      </c>
      <c r="H122" s="127"/>
      <c r="I122" s="137"/>
      <c r="J122" s="58" t="str" cm="1">
        <f>IF(ISBLANK($A122),"",INDEX(Array_MobileCharges,MATCH($A122,List_MobileFuelMeters,0),ROUNDUP((COLUMN()+1)/3-2,0)))</f>
        <v/>
      </c>
      <c r="K122" s="127"/>
      <c r="L122" s="137"/>
      <c r="M122" s="58" t="str" cm="1">
        <f>IF(ISBLANK($A122),"",INDEX(Array_MobileCharges,MATCH($A122,List_MobileFuelMeters,0),ROUNDUP((COLUMN()+1)/3-2,0)))</f>
        <v/>
      </c>
      <c r="N122" s="127"/>
      <c r="O122" s="137"/>
      <c r="P122" s="58" t="str" cm="1">
        <f>IF(ISBLANK($A122),"",INDEX(Array_MobileCharges,MATCH($A122,List_MobileFuelMeters,0),ROUNDUP((COLUMN()+1)/3-2,0)))</f>
        <v/>
      </c>
      <c r="Q122" s="127"/>
      <c r="R122" s="137"/>
      <c r="S122" s="58" t="str" cm="1">
        <f>IF(ISBLANK($A122),"",INDEX(Array_MobileCharges,MATCH($A122,List_MobileFuelMeters,0),ROUNDUP((COLUMN()+1)/3-2,0)))</f>
        <v/>
      </c>
      <c r="T122" s="127"/>
      <c r="U122" s="137"/>
    </row>
    <row r="123" spans="1:21" x14ac:dyDescent="0.3">
      <c r="A123" s="126"/>
      <c r="B123" s="133"/>
      <c r="C123" s="127"/>
      <c r="D123" s="138"/>
      <c r="E123" s="138"/>
      <c r="F123" s="137"/>
      <c r="G123" s="58" t="str" cm="1">
        <f>IF(ISBLANK($A123),"",INDEX(Array_MobileCharges,MATCH($A123,List_MobileFuelMeters,0),ROUNDUP((COLUMN()+1)/3-2,0)))</f>
        <v/>
      </c>
      <c r="H123" s="127"/>
      <c r="I123" s="137"/>
      <c r="J123" s="58" t="str" cm="1">
        <f>IF(ISBLANK($A123),"",INDEX(Array_MobileCharges,MATCH($A123,List_MobileFuelMeters,0),ROUNDUP((COLUMN()+1)/3-2,0)))</f>
        <v/>
      </c>
      <c r="K123" s="127"/>
      <c r="L123" s="137"/>
      <c r="M123" s="58" t="str" cm="1">
        <f>IF(ISBLANK($A123),"",INDEX(Array_MobileCharges,MATCH($A123,List_MobileFuelMeters,0),ROUNDUP((COLUMN()+1)/3-2,0)))</f>
        <v/>
      </c>
      <c r="N123" s="127"/>
      <c r="O123" s="137"/>
      <c r="P123" s="58" t="str" cm="1">
        <f>IF(ISBLANK($A123),"",INDEX(Array_MobileCharges,MATCH($A123,List_MobileFuelMeters,0),ROUNDUP((COLUMN()+1)/3-2,0)))</f>
        <v/>
      </c>
      <c r="Q123" s="127"/>
      <c r="R123" s="137"/>
      <c r="S123" s="58" t="str" cm="1">
        <f>IF(ISBLANK($A123),"",INDEX(Array_MobileCharges,MATCH($A123,List_MobileFuelMeters,0),ROUNDUP((COLUMN()+1)/3-2,0)))</f>
        <v/>
      </c>
      <c r="T123" s="127"/>
      <c r="U123" s="137"/>
    </row>
    <row r="124" spans="1:21" x14ac:dyDescent="0.3">
      <c r="A124" s="126"/>
      <c r="B124" s="133"/>
      <c r="C124" s="127"/>
      <c r="D124" s="138"/>
      <c r="E124" s="138"/>
      <c r="F124" s="137"/>
      <c r="G124" s="58" t="str" cm="1">
        <f>IF(ISBLANK($A124),"",INDEX(Array_MobileCharges,MATCH($A124,List_MobileFuelMeters,0),ROUNDUP((COLUMN()+1)/3-2,0)))</f>
        <v/>
      </c>
      <c r="H124" s="127"/>
      <c r="I124" s="137"/>
      <c r="J124" s="58" t="str" cm="1">
        <f>IF(ISBLANK($A124),"",INDEX(Array_MobileCharges,MATCH($A124,List_MobileFuelMeters,0),ROUNDUP((COLUMN()+1)/3-2,0)))</f>
        <v/>
      </c>
      <c r="K124" s="127"/>
      <c r="L124" s="137"/>
      <c r="M124" s="58" t="str" cm="1">
        <f>IF(ISBLANK($A124),"",INDEX(Array_MobileCharges,MATCH($A124,List_MobileFuelMeters,0),ROUNDUP((COLUMN()+1)/3-2,0)))</f>
        <v/>
      </c>
      <c r="N124" s="127"/>
      <c r="O124" s="137"/>
      <c r="P124" s="58" t="str" cm="1">
        <f>IF(ISBLANK($A124),"",INDEX(Array_MobileCharges,MATCH($A124,List_MobileFuelMeters,0),ROUNDUP((COLUMN()+1)/3-2,0)))</f>
        <v/>
      </c>
      <c r="Q124" s="127"/>
      <c r="R124" s="137"/>
      <c r="S124" s="58" t="str" cm="1">
        <f>IF(ISBLANK($A124),"",INDEX(Array_MobileCharges,MATCH($A124,List_MobileFuelMeters,0),ROUNDUP((COLUMN()+1)/3-2,0)))</f>
        <v/>
      </c>
      <c r="T124" s="127"/>
      <c r="U124" s="137"/>
    </row>
    <row r="125" spans="1:21" x14ac:dyDescent="0.3">
      <c r="A125" s="126"/>
      <c r="B125" s="133"/>
      <c r="C125" s="127"/>
      <c r="D125" s="138"/>
      <c r="E125" s="138"/>
      <c r="F125" s="137"/>
      <c r="G125" s="58" t="str" cm="1">
        <f>IF(ISBLANK($A125),"",INDEX(Array_MobileCharges,MATCH($A125,List_MobileFuelMeters,0),ROUNDUP((COLUMN()+1)/3-2,0)))</f>
        <v/>
      </c>
      <c r="H125" s="127"/>
      <c r="I125" s="137"/>
      <c r="J125" s="58" t="str" cm="1">
        <f>IF(ISBLANK($A125),"",INDEX(Array_MobileCharges,MATCH($A125,List_MobileFuelMeters,0),ROUNDUP((COLUMN()+1)/3-2,0)))</f>
        <v/>
      </c>
      <c r="K125" s="127"/>
      <c r="L125" s="137"/>
      <c r="M125" s="58" t="str" cm="1">
        <f>IF(ISBLANK($A125),"",INDEX(Array_MobileCharges,MATCH($A125,List_MobileFuelMeters,0),ROUNDUP((COLUMN()+1)/3-2,0)))</f>
        <v/>
      </c>
      <c r="N125" s="127"/>
      <c r="O125" s="137"/>
      <c r="P125" s="58" t="str" cm="1">
        <f>IF(ISBLANK($A125),"",INDEX(Array_MobileCharges,MATCH($A125,List_MobileFuelMeters,0),ROUNDUP((COLUMN()+1)/3-2,0)))</f>
        <v/>
      </c>
      <c r="Q125" s="127"/>
      <c r="R125" s="137"/>
      <c r="S125" s="58" t="str" cm="1">
        <f>IF(ISBLANK($A125),"",INDEX(Array_MobileCharges,MATCH($A125,List_MobileFuelMeters,0),ROUNDUP((COLUMN()+1)/3-2,0)))</f>
        <v/>
      </c>
      <c r="T125" s="127"/>
      <c r="U125" s="137"/>
    </row>
    <row r="126" spans="1:21" x14ac:dyDescent="0.3">
      <c r="A126" s="126"/>
      <c r="B126" s="133"/>
      <c r="C126" s="127"/>
      <c r="D126" s="138"/>
      <c r="E126" s="138"/>
      <c r="F126" s="137"/>
      <c r="G126" s="58" t="str" cm="1">
        <f>IF(ISBLANK($A126),"",INDEX(Array_MobileCharges,MATCH($A126,List_MobileFuelMeters,0),ROUNDUP((COLUMN()+1)/3-2,0)))</f>
        <v/>
      </c>
      <c r="H126" s="127"/>
      <c r="I126" s="137"/>
      <c r="J126" s="58" t="str" cm="1">
        <f>IF(ISBLANK($A126),"",INDEX(Array_MobileCharges,MATCH($A126,List_MobileFuelMeters,0),ROUNDUP((COLUMN()+1)/3-2,0)))</f>
        <v/>
      </c>
      <c r="K126" s="127"/>
      <c r="L126" s="137"/>
      <c r="M126" s="58" t="str" cm="1">
        <f>IF(ISBLANK($A126),"",INDEX(Array_MobileCharges,MATCH($A126,List_MobileFuelMeters,0),ROUNDUP((COLUMN()+1)/3-2,0)))</f>
        <v/>
      </c>
      <c r="N126" s="127"/>
      <c r="O126" s="137"/>
      <c r="P126" s="58" t="str" cm="1">
        <f>IF(ISBLANK($A126),"",INDEX(Array_MobileCharges,MATCH($A126,List_MobileFuelMeters,0),ROUNDUP((COLUMN()+1)/3-2,0)))</f>
        <v/>
      </c>
      <c r="Q126" s="127"/>
      <c r="R126" s="137"/>
      <c r="S126" s="58" t="str" cm="1">
        <f>IF(ISBLANK($A126),"",INDEX(Array_MobileCharges,MATCH($A126,List_MobileFuelMeters,0),ROUNDUP((COLUMN()+1)/3-2,0)))</f>
        <v/>
      </c>
      <c r="T126" s="127"/>
      <c r="U126" s="137"/>
    </row>
    <row r="127" spans="1:21" x14ac:dyDescent="0.3">
      <c r="A127" s="126"/>
      <c r="B127" s="133"/>
      <c r="C127" s="127"/>
      <c r="D127" s="138"/>
      <c r="E127" s="138"/>
      <c r="F127" s="137"/>
      <c r="G127" s="58" t="str" cm="1">
        <f>IF(ISBLANK($A127),"",INDEX(Array_MobileCharges,MATCH($A127,List_MobileFuelMeters,0),ROUNDUP((COLUMN()+1)/3-2,0)))</f>
        <v/>
      </c>
      <c r="H127" s="127"/>
      <c r="I127" s="137"/>
      <c r="J127" s="58" t="str" cm="1">
        <f>IF(ISBLANK($A127),"",INDEX(Array_MobileCharges,MATCH($A127,List_MobileFuelMeters,0),ROUNDUP((COLUMN()+1)/3-2,0)))</f>
        <v/>
      </c>
      <c r="K127" s="127"/>
      <c r="L127" s="137"/>
      <c r="M127" s="58" t="str" cm="1">
        <f>IF(ISBLANK($A127),"",INDEX(Array_MobileCharges,MATCH($A127,List_MobileFuelMeters,0),ROUNDUP((COLUMN()+1)/3-2,0)))</f>
        <v/>
      </c>
      <c r="N127" s="127"/>
      <c r="O127" s="137"/>
      <c r="P127" s="58" t="str" cm="1">
        <f>IF(ISBLANK($A127),"",INDEX(Array_MobileCharges,MATCH($A127,List_MobileFuelMeters,0),ROUNDUP((COLUMN()+1)/3-2,0)))</f>
        <v/>
      </c>
      <c r="Q127" s="127"/>
      <c r="R127" s="137"/>
      <c r="S127" s="58" t="str" cm="1">
        <f>IF(ISBLANK($A127),"",INDEX(Array_MobileCharges,MATCH($A127,List_MobileFuelMeters,0),ROUNDUP((COLUMN()+1)/3-2,0)))</f>
        <v/>
      </c>
      <c r="T127" s="127"/>
      <c r="U127" s="137"/>
    </row>
    <row r="128" spans="1:21" x14ac:dyDescent="0.3">
      <c r="A128" s="126"/>
      <c r="B128" s="133"/>
      <c r="C128" s="127"/>
      <c r="D128" s="138"/>
      <c r="E128" s="138"/>
      <c r="F128" s="137"/>
      <c r="G128" s="58" t="str" cm="1">
        <f>IF(ISBLANK($A128),"",INDEX(Array_MobileCharges,MATCH($A128,List_MobileFuelMeters,0),ROUNDUP((COLUMN()+1)/3-2,0)))</f>
        <v/>
      </c>
      <c r="H128" s="127"/>
      <c r="I128" s="137"/>
      <c r="J128" s="58" t="str" cm="1">
        <f>IF(ISBLANK($A128),"",INDEX(Array_MobileCharges,MATCH($A128,List_MobileFuelMeters,0),ROUNDUP((COLUMN()+1)/3-2,0)))</f>
        <v/>
      </c>
      <c r="K128" s="127"/>
      <c r="L128" s="137"/>
      <c r="M128" s="58" t="str" cm="1">
        <f>IF(ISBLANK($A128),"",INDEX(Array_MobileCharges,MATCH($A128,List_MobileFuelMeters,0),ROUNDUP((COLUMN()+1)/3-2,0)))</f>
        <v/>
      </c>
      <c r="N128" s="127"/>
      <c r="O128" s="137"/>
      <c r="P128" s="58" t="str" cm="1">
        <f>IF(ISBLANK($A128),"",INDEX(Array_MobileCharges,MATCH($A128,List_MobileFuelMeters,0),ROUNDUP((COLUMN()+1)/3-2,0)))</f>
        <v/>
      </c>
      <c r="Q128" s="127"/>
      <c r="R128" s="137"/>
      <c r="S128" s="58" t="str" cm="1">
        <f>IF(ISBLANK($A128),"",INDEX(Array_MobileCharges,MATCH($A128,List_MobileFuelMeters,0),ROUNDUP((COLUMN()+1)/3-2,0)))</f>
        <v/>
      </c>
      <c r="T128" s="127"/>
      <c r="U128" s="137"/>
    </row>
    <row r="129" spans="1:21" x14ac:dyDescent="0.3">
      <c r="A129" s="126"/>
      <c r="B129" s="133"/>
      <c r="C129" s="127"/>
      <c r="D129" s="138"/>
      <c r="E129" s="138"/>
      <c r="F129" s="137"/>
      <c r="G129" s="58" t="str" cm="1">
        <f>IF(ISBLANK($A129),"",INDEX(Array_MobileCharges,MATCH($A129,List_MobileFuelMeters,0),ROUNDUP((COLUMN()+1)/3-2,0)))</f>
        <v/>
      </c>
      <c r="H129" s="127"/>
      <c r="I129" s="137"/>
      <c r="J129" s="58" t="str" cm="1">
        <f>IF(ISBLANK($A129),"",INDEX(Array_MobileCharges,MATCH($A129,List_MobileFuelMeters,0),ROUNDUP((COLUMN()+1)/3-2,0)))</f>
        <v/>
      </c>
      <c r="K129" s="127"/>
      <c r="L129" s="137"/>
      <c r="M129" s="58" t="str" cm="1">
        <f>IF(ISBLANK($A129),"",INDEX(Array_MobileCharges,MATCH($A129,List_MobileFuelMeters,0),ROUNDUP((COLUMN()+1)/3-2,0)))</f>
        <v/>
      </c>
      <c r="N129" s="127"/>
      <c r="O129" s="137"/>
      <c r="P129" s="58" t="str" cm="1">
        <f>IF(ISBLANK($A129),"",INDEX(Array_MobileCharges,MATCH($A129,List_MobileFuelMeters,0),ROUNDUP((COLUMN()+1)/3-2,0)))</f>
        <v/>
      </c>
      <c r="Q129" s="127"/>
      <c r="R129" s="137"/>
      <c r="S129" s="58" t="str" cm="1">
        <f>IF(ISBLANK($A129),"",INDEX(Array_MobileCharges,MATCH($A129,List_MobileFuelMeters,0),ROUNDUP((COLUMN()+1)/3-2,0)))</f>
        <v/>
      </c>
      <c r="T129" s="127"/>
      <c r="U129" s="137"/>
    </row>
    <row r="130" spans="1:21" x14ac:dyDescent="0.3">
      <c r="A130" s="126"/>
      <c r="B130" s="133"/>
      <c r="C130" s="127"/>
      <c r="D130" s="138"/>
      <c r="E130" s="138"/>
      <c r="F130" s="137"/>
      <c r="G130" s="58" t="str" cm="1">
        <f>IF(ISBLANK($A130),"",INDEX(Array_MobileCharges,MATCH($A130,List_MobileFuelMeters,0),ROUNDUP((COLUMN()+1)/3-2,0)))</f>
        <v/>
      </c>
      <c r="H130" s="127"/>
      <c r="I130" s="137"/>
      <c r="J130" s="58" t="str" cm="1">
        <f>IF(ISBLANK($A130),"",INDEX(Array_MobileCharges,MATCH($A130,List_MobileFuelMeters,0),ROUNDUP((COLUMN()+1)/3-2,0)))</f>
        <v/>
      </c>
      <c r="K130" s="127"/>
      <c r="L130" s="137"/>
      <c r="M130" s="58" t="str" cm="1">
        <f>IF(ISBLANK($A130),"",INDEX(Array_MobileCharges,MATCH($A130,List_MobileFuelMeters,0),ROUNDUP((COLUMN()+1)/3-2,0)))</f>
        <v/>
      </c>
      <c r="N130" s="127"/>
      <c r="O130" s="137"/>
      <c r="P130" s="58" t="str" cm="1">
        <f>IF(ISBLANK($A130),"",INDEX(Array_MobileCharges,MATCH($A130,List_MobileFuelMeters,0),ROUNDUP((COLUMN()+1)/3-2,0)))</f>
        <v/>
      </c>
      <c r="Q130" s="127"/>
      <c r="R130" s="137"/>
      <c r="S130" s="58" t="str" cm="1">
        <f>IF(ISBLANK($A130),"",INDEX(Array_MobileCharges,MATCH($A130,List_MobileFuelMeters,0),ROUNDUP((COLUMN()+1)/3-2,0)))</f>
        <v/>
      </c>
      <c r="T130" s="127"/>
      <c r="U130" s="137"/>
    </row>
    <row r="131" spans="1:21" x14ac:dyDescent="0.3">
      <c r="A131" s="126"/>
      <c r="B131" s="133"/>
      <c r="C131" s="127"/>
      <c r="D131" s="138"/>
      <c r="E131" s="138"/>
      <c r="F131" s="137"/>
      <c r="G131" s="58" t="str" cm="1">
        <f>IF(ISBLANK($A131),"",INDEX(Array_MobileCharges,MATCH($A131,List_MobileFuelMeters,0),ROUNDUP((COLUMN()+1)/3-2,0)))</f>
        <v/>
      </c>
      <c r="H131" s="127"/>
      <c r="I131" s="137"/>
      <c r="J131" s="58" t="str" cm="1">
        <f>IF(ISBLANK($A131),"",INDEX(Array_MobileCharges,MATCH($A131,List_MobileFuelMeters,0),ROUNDUP((COLUMN()+1)/3-2,0)))</f>
        <v/>
      </c>
      <c r="K131" s="127"/>
      <c r="L131" s="137"/>
      <c r="M131" s="58" t="str" cm="1">
        <f>IF(ISBLANK($A131),"",INDEX(Array_MobileCharges,MATCH($A131,List_MobileFuelMeters,0),ROUNDUP((COLUMN()+1)/3-2,0)))</f>
        <v/>
      </c>
      <c r="N131" s="127"/>
      <c r="O131" s="137"/>
      <c r="P131" s="58" t="str" cm="1">
        <f>IF(ISBLANK($A131),"",INDEX(Array_MobileCharges,MATCH($A131,List_MobileFuelMeters,0),ROUNDUP((COLUMN()+1)/3-2,0)))</f>
        <v/>
      </c>
      <c r="Q131" s="127"/>
      <c r="R131" s="137"/>
      <c r="S131" s="58" t="str" cm="1">
        <f>IF(ISBLANK($A131),"",INDEX(Array_MobileCharges,MATCH($A131,List_MobileFuelMeters,0),ROUNDUP((COLUMN()+1)/3-2,0)))</f>
        <v/>
      </c>
      <c r="T131" s="127"/>
      <c r="U131" s="137"/>
    </row>
    <row r="132" spans="1:21" x14ac:dyDescent="0.3">
      <c r="A132" s="126"/>
      <c r="B132" s="133"/>
      <c r="C132" s="127"/>
      <c r="D132" s="138"/>
      <c r="E132" s="138"/>
      <c r="F132" s="137"/>
      <c r="G132" s="58" t="str" cm="1">
        <f>IF(ISBLANK($A132),"",INDEX(Array_MobileCharges,MATCH($A132,List_MobileFuelMeters,0),ROUNDUP((COLUMN()+1)/3-2,0)))</f>
        <v/>
      </c>
      <c r="H132" s="127"/>
      <c r="I132" s="137"/>
      <c r="J132" s="58" t="str" cm="1">
        <f>IF(ISBLANK($A132),"",INDEX(Array_MobileCharges,MATCH($A132,List_MobileFuelMeters,0),ROUNDUP((COLUMN()+1)/3-2,0)))</f>
        <v/>
      </c>
      <c r="K132" s="127"/>
      <c r="L132" s="137"/>
      <c r="M132" s="58" t="str" cm="1">
        <f>IF(ISBLANK($A132),"",INDEX(Array_MobileCharges,MATCH($A132,List_MobileFuelMeters,0),ROUNDUP((COLUMN()+1)/3-2,0)))</f>
        <v/>
      </c>
      <c r="N132" s="127"/>
      <c r="O132" s="137"/>
      <c r="P132" s="58" t="str" cm="1">
        <f>IF(ISBLANK($A132),"",INDEX(Array_MobileCharges,MATCH($A132,List_MobileFuelMeters,0),ROUNDUP((COLUMN()+1)/3-2,0)))</f>
        <v/>
      </c>
      <c r="Q132" s="127"/>
      <c r="R132" s="137"/>
      <c r="S132" s="58" t="str" cm="1">
        <f>IF(ISBLANK($A132),"",INDEX(Array_MobileCharges,MATCH($A132,List_MobileFuelMeters,0),ROUNDUP((COLUMN()+1)/3-2,0)))</f>
        <v/>
      </c>
      <c r="T132" s="127"/>
      <c r="U132" s="137"/>
    </row>
    <row r="133" spans="1:21" x14ac:dyDescent="0.3">
      <c r="A133" s="126"/>
      <c r="B133" s="133"/>
      <c r="C133" s="127"/>
      <c r="D133" s="138"/>
      <c r="E133" s="138"/>
      <c r="F133" s="137"/>
      <c r="G133" s="58" t="str" cm="1">
        <f>IF(ISBLANK($A133),"",INDEX(Array_MobileCharges,MATCH($A133,List_MobileFuelMeters,0),ROUNDUP((COLUMN()+1)/3-2,0)))</f>
        <v/>
      </c>
      <c r="H133" s="127"/>
      <c r="I133" s="137"/>
      <c r="J133" s="58" t="str" cm="1">
        <f>IF(ISBLANK($A133),"",INDEX(Array_MobileCharges,MATCH($A133,List_MobileFuelMeters,0),ROUNDUP((COLUMN()+1)/3-2,0)))</f>
        <v/>
      </c>
      <c r="K133" s="127"/>
      <c r="L133" s="137"/>
      <c r="M133" s="58" t="str" cm="1">
        <f>IF(ISBLANK($A133),"",INDEX(Array_MobileCharges,MATCH($A133,List_MobileFuelMeters,0),ROUNDUP((COLUMN()+1)/3-2,0)))</f>
        <v/>
      </c>
      <c r="N133" s="127"/>
      <c r="O133" s="137"/>
      <c r="P133" s="58" t="str" cm="1">
        <f>IF(ISBLANK($A133),"",INDEX(Array_MobileCharges,MATCH($A133,List_MobileFuelMeters,0),ROUNDUP((COLUMN()+1)/3-2,0)))</f>
        <v/>
      </c>
      <c r="Q133" s="127"/>
      <c r="R133" s="137"/>
      <c r="S133" s="58" t="str" cm="1">
        <f>IF(ISBLANK($A133),"",INDEX(Array_MobileCharges,MATCH($A133,List_MobileFuelMeters,0),ROUNDUP((COLUMN()+1)/3-2,0)))</f>
        <v/>
      </c>
      <c r="T133" s="127"/>
      <c r="U133" s="137"/>
    </row>
    <row r="134" spans="1:21" x14ac:dyDescent="0.3">
      <c r="A134" s="126"/>
      <c r="B134" s="133"/>
      <c r="C134" s="127"/>
      <c r="D134" s="138"/>
      <c r="E134" s="138"/>
      <c r="F134" s="137"/>
      <c r="G134" s="58" t="str" cm="1">
        <f>IF(ISBLANK($A134),"",INDEX(Array_MobileCharges,MATCH($A134,List_MobileFuelMeters,0),ROUNDUP((COLUMN()+1)/3-2,0)))</f>
        <v/>
      </c>
      <c r="H134" s="127"/>
      <c r="I134" s="137"/>
      <c r="J134" s="58" t="str" cm="1">
        <f>IF(ISBLANK($A134),"",INDEX(Array_MobileCharges,MATCH($A134,List_MobileFuelMeters,0),ROUNDUP((COLUMN()+1)/3-2,0)))</f>
        <v/>
      </c>
      <c r="K134" s="127"/>
      <c r="L134" s="137"/>
      <c r="M134" s="58" t="str" cm="1">
        <f>IF(ISBLANK($A134),"",INDEX(Array_MobileCharges,MATCH($A134,List_MobileFuelMeters,0),ROUNDUP((COLUMN()+1)/3-2,0)))</f>
        <v/>
      </c>
      <c r="N134" s="127"/>
      <c r="O134" s="137"/>
      <c r="P134" s="58" t="str" cm="1">
        <f>IF(ISBLANK($A134),"",INDEX(Array_MobileCharges,MATCH($A134,List_MobileFuelMeters,0),ROUNDUP((COLUMN()+1)/3-2,0)))</f>
        <v/>
      </c>
      <c r="Q134" s="127"/>
      <c r="R134" s="137"/>
      <c r="S134" s="58" t="str" cm="1">
        <f>IF(ISBLANK($A134),"",INDEX(Array_MobileCharges,MATCH($A134,List_MobileFuelMeters,0),ROUNDUP((COLUMN()+1)/3-2,0)))</f>
        <v/>
      </c>
      <c r="T134" s="127"/>
      <c r="U134" s="137"/>
    </row>
    <row r="135" spans="1:21" x14ac:dyDescent="0.3">
      <c r="A135" s="126"/>
      <c r="B135" s="133"/>
      <c r="C135" s="127"/>
      <c r="D135" s="138"/>
      <c r="E135" s="138"/>
      <c r="F135" s="137"/>
      <c r="G135" s="58" t="str" cm="1">
        <f>IF(ISBLANK($A135),"",INDEX(Array_MobileCharges,MATCH($A135,List_MobileFuelMeters,0),ROUNDUP((COLUMN()+1)/3-2,0)))</f>
        <v/>
      </c>
      <c r="H135" s="127"/>
      <c r="I135" s="137"/>
      <c r="J135" s="58" t="str" cm="1">
        <f>IF(ISBLANK($A135),"",INDEX(Array_MobileCharges,MATCH($A135,List_MobileFuelMeters,0),ROUNDUP((COLUMN()+1)/3-2,0)))</f>
        <v/>
      </c>
      <c r="K135" s="127"/>
      <c r="L135" s="137"/>
      <c r="M135" s="58" t="str" cm="1">
        <f>IF(ISBLANK($A135),"",INDEX(Array_MobileCharges,MATCH($A135,List_MobileFuelMeters,0),ROUNDUP((COLUMN()+1)/3-2,0)))</f>
        <v/>
      </c>
      <c r="N135" s="127"/>
      <c r="O135" s="137"/>
      <c r="P135" s="58" t="str" cm="1">
        <f>IF(ISBLANK($A135),"",INDEX(Array_MobileCharges,MATCH($A135,List_MobileFuelMeters,0),ROUNDUP((COLUMN()+1)/3-2,0)))</f>
        <v/>
      </c>
      <c r="Q135" s="127"/>
      <c r="R135" s="137"/>
      <c r="S135" s="58" t="str" cm="1">
        <f>IF(ISBLANK($A135),"",INDEX(Array_MobileCharges,MATCH($A135,List_MobileFuelMeters,0),ROUNDUP((COLUMN()+1)/3-2,0)))</f>
        <v/>
      </c>
      <c r="T135" s="127"/>
      <c r="U135" s="137"/>
    </row>
    <row r="136" spans="1:21" x14ac:dyDescent="0.3">
      <c r="A136" s="126"/>
      <c r="B136" s="133"/>
      <c r="C136" s="127"/>
      <c r="D136" s="138"/>
      <c r="E136" s="138"/>
      <c r="F136" s="137"/>
      <c r="G136" s="58" t="str" cm="1">
        <f>IF(ISBLANK($A136),"",INDEX(Array_MobileCharges,MATCH($A136,List_MobileFuelMeters,0),ROUNDUP((COLUMN()+1)/3-2,0)))</f>
        <v/>
      </c>
      <c r="H136" s="127"/>
      <c r="I136" s="137"/>
      <c r="J136" s="58" t="str" cm="1">
        <f>IF(ISBLANK($A136),"",INDEX(Array_MobileCharges,MATCH($A136,List_MobileFuelMeters,0),ROUNDUP((COLUMN()+1)/3-2,0)))</f>
        <v/>
      </c>
      <c r="K136" s="127"/>
      <c r="L136" s="137"/>
      <c r="M136" s="58" t="str" cm="1">
        <f>IF(ISBLANK($A136),"",INDEX(Array_MobileCharges,MATCH($A136,List_MobileFuelMeters,0),ROUNDUP((COLUMN()+1)/3-2,0)))</f>
        <v/>
      </c>
      <c r="N136" s="127"/>
      <c r="O136" s="137"/>
      <c r="P136" s="58" t="str" cm="1">
        <f>IF(ISBLANK($A136),"",INDEX(Array_MobileCharges,MATCH($A136,List_MobileFuelMeters,0),ROUNDUP((COLUMN()+1)/3-2,0)))</f>
        <v/>
      </c>
      <c r="Q136" s="127"/>
      <c r="R136" s="137"/>
      <c r="S136" s="58" t="str" cm="1">
        <f>IF(ISBLANK($A136),"",INDEX(Array_MobileCharges,MATCH($A136,List_MobileFuelMeters,0),ROUNDUP((COLUMN()+1)/3-2,0)))</f>
        <v/>
      </c>
      <c r="T136" s="127"/>
      <c r="U136" s="137"/>
    </row>
    <row r="137" spans="1:21" x14ac:dyDescent="0.3">
      <c r="A137" s="126"/>
      <c r="B137" s="133"/>
      <c r="C137" s="127"/>
      <c r="D137" s="138"/>
      <c r="E137" s="138"/>
      <c r="F137" s="137"/>
      <c r="G137" s="58" t="str" cm="1">
        <f>IF(ISBLANK($A137),"",INDEX(Array_MobileCharges,MATCH($A137,List_MobileFuelMeters,0),ROUNDUP((COLUMN()+1)/3-2,0)))</f>
        <v/>
      </c>
      <c r="H137" s="127"/>
      <c r="I137" s="137"/>
      <c r="J137" s="58" t="str" cm="1">
        <f>IF(ISBLANK($A137),"",INDEX(Array_MobileCharges,MATCH($A137,List_MobileFuelMeters,0),ROUNDUP((COLUMN()+1)/3-2,0)))</f>
        <v/>
      </c>
      <c r="K137" s="127"/>
      <c r="L137" s="137"/>
      <c r="M137" s="58" t="str" cm="1">
        <f>IF(ISBLANK($A137),"",INDEX(Array_MobileCharges,MATCH($A137,List_MobileFuelMeters,0),ROUNDUP((COLUMN()+1)/3-2,0)))</f>
        <v/>
      </c>
      <c r="N137" s="127"/>
      <c r="O137" s="137"/>
      <c r="P137" s="58" t="str" cm="1">
        <f>IF(ISBLANK($A137),"",INDEX(Array_MobileCharges,MATCH($A137,List_MobileFuelMeters,0),ROUNDUP((COLUMN()+1)/3-2,0)))</f>
        <v/>
      </c>
      <c r="Q137" s="127"/>
      <c r="R137" s="137"/>
      <c r="S137" s="58" t="str" cm="1">
        <f>IF(ISBLANK($A137),"",INDEX(Array_MobileCharges,MATCH($A137,List_MobileFuelMeters,0),ROUNDUP((COLUMN()+1)/3-2,0)))</f>
        <v/>
      </c>
      <c r="T137" s="127"/>
      <c r="U137" s="137"/>
    </row>
    <row r="138" spans="1:21" x14ac:dyDescent="0.3">
      <c r="A138" s="126"/>
      <c r="B138" s="133"/>
      <c r="C138" s="127"/>
      <c r="D138" s="138"/>
      <c r="E138" s="138"/>
      <c r="F138" s="137"/>
      <c r="G138" s="58" t="str" cm="1">
        <f>IF(ISBLANK($A138),"",INDEX(Array_MobileCharges,MATCH($A138,List_MobileFuelMeters,0),ROUNDUP((COLUMN()+1)/3-2,0)))</f>
        <v/>
      </c>
      <c r="H138" s="127"/>
      <c r="I138" s="137"/>
      <c r="J138" s="58" t="str" cm="1">
        <f>IF(ISBLANK($A138),"",INDEX(Array_MobileCharges,MATCH($A138,List_MobileFuelMeters,0),ROUNDUP((COLUMN()+1)/3-2,0)))</f>
        <v/>
      </c>
      <c r="K138" s="127"/>
      <c r="L138" s="137"/>
      <c r="M138" s="58" t="str" cm="1">
        <f>IF(ISBLANK($A138),"",INDEX(Array_MobileCharges,MATCH($A138,List_MobileFuelMeters,0),ROUNDUP((COLUMN()+1)/3-2,0)))</f>
        <v/>
      </c>
      <c r="N138" s="127"/>
      <c r="O138" s="137"/>
      <c r="P138" s="58" t="str" cm="1">
        <f>IF(ISBLANK($A138),"",INDEX(Array_MobileCharges,MATCH($A138,List_MobileFuelMeters,0),ROUNDUP((COLUMN()+1)/3-2,0)))</f>
        <v/>
      </c>
      <c r="Q138" s="127"/>
      <c r="R138" s="137"/>
      <c r="S138" s="58" t="str" cm="1">
        <f>IF(ISBLANK($A138),"",INDEX(Array_MobileCharges,MATCH($A138,List_MobileFuelMeters,0),ROUNDUP((COLUMN()+1)/3-2,0)))</f>
        <v/>
      </c>
      <c r="T138" s="127"/>
      <c r="U138" s="137"/>
    </row>
    <row r="139" spans="1:21" x14ac:dyDescent="0.3">
      <c r="A139" s="126"/>
      <c r="B139" s="133"/>
      <c r="C139" s="127"/>
      <c r="D139" s="138"/>
      <c r="E139" s="138"/>
      <c r="F139" s="137"/>
      <c r="G139" s="58" t="str" cm="1">
        <f>IF(ISBLANK($A139),"",INDEX(Array_MobileCharges,MATCH($A139,List_MobileFuelMeters,0),ROUNDUP((COLUMN()+1)/3-2,0)))</f>
        <v/>
      </c>
      <c r="H139" s="127"/>
      <c r="I139" s="137"/>
      <c r="J139" s="58" t="str" cm="1">
        <f>IF(ISBLANK($A139),"",INDEX(Array_MobileCharges,MATCH($A139,List_MobileFuelMeters,0),ROUNDUP((COLUMN()+1)/3-2,0)))</f>
        <v/>
      </c>
      <c r="K139" s="127"/>
      <c r="L139" s="137"/>
      <c r="M139" s="58" t="str" cm="1">
        <f>IF(ISBLANK($A139),"",INDEX(Array_MobileCharges,MATCH($A139,List_MobileFuelMeters,0),ROUNDUP((COLUMN()+1)/3-2,0)))</f>
        <v/>
      </c>
      <c r="N139" s="127"/>
      <c r="O139" s="137"/>
      <c r="P139" s="58" t="str" cm="1">
        <f>IF(ISBLANK($A139),"",INDEX(Array_MobileCharges,MATCH($A139,List_MobileFuelMeters,0),ROUNDUP((COLUMN()+1)/3-2,0)))</f>
        <v/>
      </c>
      <c r="Q139" s="127"/>
      <c r="R139" s="137"/>
      <c r="S139" s="58" t="str" cm="1">
        <f>IF(ISBLANK($A139),"",INDEX(Array_MobileCharges,MATCH($A139,List_MobileFuelMeters,0),ROUNDUP((COLUMN()+1)/3-2,0)))</f>
        <v/>
      </c>
      <c r="T139" s="127"/>
      <c r="U139" s="137"/>
    </row>
    <row r="140" spans="1:21" x14ac:dyDescent="0.3">
      <c r="A140" s="126"/>
      <c r="B140" s="133"/>
      <c r="C140" s="127"/>
      <c r="D140" s="138"/>
      <c r="E140" s="138"/>
      <c r="F140" s="137"/>
      <c r="G140" s="58" t="str" cm="1">
        <f>IF(ISBLANK($A140),"",INDEX(Array_MobileCharges,MATCH($A140,List_MobileFuelMeters,0),ROUNDUP((COLUMN()+1)/3-2,0)))</f>
        <v/>
      </c>
      <c r="H140" s="127"/>
      <c r="I140" s="137"/>
      <c r="J140" s="58" t="str" cm="1">
        <f>IF(ISBLANK($A140),"",INDEX(Array_MobileCharges,MATCH($A140,List_MobileFuelMeters,0),ROUNDUP((COLUMN()+1)/3-2,0)))</f>
        <v/>
      </c>
      <c r="K140" s="127"/>
      <c r="L140" s="137"/>
      <c r="M140" s="58" t="str" cm="1">
        <f>IF(ISBLANK($A140),"",INDEX(Array_MobileCharges,MATCH($A140,List_MobileFuelMeters,0),ROUNDUP((COLUMN()+1)/3-2,0)))</f>
        <v/>
      </c>
      <c r="N140" s="127"/>
      <c r="O140" s="137"/>
      <c r="P140" s="58" t="str" cm="1">
        <f>IF(ISBLANK($A140),"",INDEX(Array_MobileCharges,MATCH($A140,List_MobileFuelMeters,0),ROUNDUP((COLUMN()+1)/3-2,0)))</f>
        <v/>
      </c>
      <c r="Q140" s="127"/>
      <c r="R140" s="137"/>
      <c r="S140" s="58" t="str" cm="1">
        <f>IF(ISBLANK($A140),"",INDEX(Array_MobileCharges,MATCH($A140,List_MobileFuelMeters,0),ROUNDUP((COLUMN()+1)/3-2,0)))</f>
        <v/>
      </c>
      <c r="T140" s="127"/>
      <c r="U140" s="137"/>
    </row>
    <row r="141" spans="1:21" x14ac:dyDescent="0.3">
      <c r="A141" s="126"/>
      <c r="B141" s="133"/>
      <c r="C141" s="127"/>
      <c r="D141" s="138"/>
      <c r="E141" s="138"/>
      <c r="F141" s="137"/>
      <c r="G141" s="58" t="str" cm="1">
        <f>IF(ISBLANK($A141),"",INDEX(Array_MobileCharges,MATCH($A141,List_MobileFuelMeters,0),ROUNDUP((COLUMN()+1)/3-2,0)))</f>
        <v/>
      </c>
      <c r="H141" s="127"/>
      <c r="I141" s="137"/>
      <c r="J141" s="58" t="str" cm="1">
        <f>IF(ISBLANK($A141),"",INDEX(Array_MobileCharges,MATCH($A141,List_MobileFuelMeters,0),ROUNDUP((COLUMN()+1)/3-2,0)))</f>
        <v/>
      </c>
      <c r="K141" s="127"/>
      <c r="L141" s="137"/>
      <c r="M141" s="58" t="str" cm="1">
        <f>IF(ISBLANK($A141),"",INDEX(Array_MobileCharges,MATCH($A141,List_MobileFuelMeters,0),ROUNDUP((COLUMN()+1)/3-2,0)))</f>
        <v/>
      </c>
      <c r="N141" s="127"/>
      <c r="O141" s="137"/>
      <c r="P141" s="58" t="str" cm="1">
        <f>IF(ISBLANK($A141),"",INDEX(Array_MobileCharges,MATCH($A141,List_MobileFuelMeters,0),ROUNDUP((COLUMN()+1)/3-2,0)))</f>
        <v/>
      </c>
      <c r="Q141" s="127"/>
      <c r="R141" s="137"/>
      <c r="S141" s="58" t="str" cm="1">
        <f>IF(ISBLANK($A141),"",INDEX(Array_MobileCharges,MATCH($A141,List_MobileFuelMeters,0),ROUNDUP((COLUMN()+1)/3-2,0)))</f>
        <v/>
      </c>
      <c r="T141" s="127"/>
      <c r="U141" s="137"/>
    </row>
    <row r="142" spans="1:21" x14ac:dyDescent="0.3">
      <c r="A142" s="126"/>
      <c r="B142" s="133"/>
      <c r="C142" s="127"/>
      <c r="D142" s="138"/>
      <c r="E142" s="138"/>
      <c r="F142" s="137"/>
      <c r="G142" s="58" t="str" cm="1">
        <f>IF(ISBLANK($A142),"",INDEX(Array_MobileCharges,MATCH($A142,List_MobileFuelMeters,0),ROUNDUP((COLUMN()+1)/3-2,0)))</f>
        <v/>
      </c>
      <c r="H142" s="127"/>
      <c r="I142" s="137"/>
      <c r="J142" s="58" t="str" cm="1">
        <f>IF(ISBLANK($A142),"",INDEX(Array_MobileCharges,MATCH($A142,List_MobileFuelMeters,0),ROUNDUP((COLUMN()+1)/3-2,0)))</f>
        <v/>
      </c>
      <c r="K142" s="127"/>
      <c r="L142" s="137"/>
      <c r="M142" s="58" t="str" cm="1">
        <f>IF(ISBLANK($A142),"",INDEX(Array_MobileCharges,MATCH($A142,List_MobileFuelMeters,0),ROUNDUP((COLUMN()+1)/3-2,0)))</f>
        <v/>
      </c>
      <c r="N142" s="127"/>
      <c r="O142" s="137"/>
      <c r="P142" s="58" t="str" cm="1">
        <f>IF(ISBLANK($A142),"",INDEX(Array_MobileCharges,MATCH($A142,List_MobileFuelMeters,0),ROUNDUP((COLUMN()+1)/3-2,0)))</f>
        <v/>
      </c>
      <c r="Q142" s="127"/>
      <c r="R142" s="137"/>
      <c r="S142" s="58" t="str" cm="1">
        <f>IF(ISBLANK($A142),"",INDEX(Array_MobileCharges,MATCH($A142,List_MobileFuelMeters,0),ROUNDUP((COLUMN()+1)/3-2,0)))</f>
        <v/>
      </c>
      <c r="T142" s="127"/>
      <c r="U142" s="137"/>
    </row>
    <row r="143" spans="1:21" x14ac:dyDescent="0.3">
      <c r="A143" s="126"/>
      <c r="B143" s="133"/>
      <c r="C143" s="127"/>
      <c r="D143" s="138"/>
      <c r="E143" s="138"/>
      <c r="F143" s="137"/>
      <c r="G143" s="58" t="str" cm="1">
        <f>IF(ISBLANK($A143),"",INDEX(Array_MobileCharges,MATCH($A143,List_MobileFuelMeters,0),ROUNDUP((COLUMN()+1)/3-2,0)))</f>
        <v/>
      </c>
      <c r="H143" s="127"/>
      <c r="I143" s="137"/>
      <c r="J143" s="58" t="str" cm="1">
        <f>IF(ISBLANK($A143),"",INDEX(Array_MobileCharges,MATCH($A143,List_MobileFuelMeters,0),ROUNDUP((COLUMN()+1)/3-2,0)))</f>
        <v/>
      </c>
      <c r="K143" s="127"/>
      <c r="L143" s="137"/>
      <c r="M143" s="58" t="str" cm="1">
        <f>IF(ISBLANK($A143),"",INDEX(Array_MobileCharges,MATCH($A143,List_MobileFuelMeters,0),ROUNDUP((COLUMN()+1)/3-2,0)))</f>
        <v/>
      </c>
      <c r="N143" s="127"/>
      <c r="O143" s="137"/>
      <c r="P143" s="58" t="str" cm="1">
        <f>IF(ISBLANK($A143),"",INDEX(Array_MobileCharges,MATCH($A143,List_MobileFuelMeters,0),ROUNDUP((COLUMN()+1)/3-2,0)))</f>
        <v/>
      </c>
      <c r="Q143" s="127"/>
      <c r="R143" s="137"/>
      <c r="S143" s="58" t="str" cm="1">
        <f>IF(ISBLANK($A143),"",INDEX(Array_MobileCharges,MATCH($A143,List_MobileFuelMeters,0),ROUNDUP((COLUMN()+1)/3-2,0)))</f>
        <v/>
      </c>
      <c r="T143" s="127"/>
      <c r="U143" s="137"/>
    </row>
    <row r="144" spans="1:21" x14ac:dyDescent="0.3">
      <c r="A144" s="126"/>
      <c r="B144" s="133"/>
      <c r="C144" s="127"/>
      <c r="D144" s="138"/>
      <c r="E144" s="138"/>
      <c r="F144" s="137"/>
      <c r="G144" s="58" t="str" cm="1">
        <f>IF(ISBLANK($A144),"",INDEX(Array_MobileCharges,MATCH($A144,List_MobileFuelMeters,0),ROUNDUP((COLUMN()+1)/3-2,0)))</f>
        <v/>
      </c>
      <c r="H144" s="127"/>
      <c r="I144" s="137"/>
      <c r="J144" s="58" t="str" cm="1">
        <f>IF(ISBLANK($A144),"",INDEX(Array_MobileCharges,MATCH($A144,List_MobileFuelMeters,0),ROUNDUP((COLUMN()+1)/3-2,0)))</f>
        <v/>
      </c>
      <c r="K144" s="127"/>
      <c r="L144" s="137"/>
      <c r="M144" s="58" t="str" cm="1">
        <f>IF(ISBLANK($A144),"",INDEX(Array_MobileCharges,MATCH($A144,List_MobileFuelMeters,0),ROUNDUP((COLUMN()+1)/3-2,0)))</f>
        <v/>
      </c>
      <c r="N144" s="127"/>
      <c r="O144" s="137"/>
      <c r="P144" s="58" t="str" cm="1">
        <f>IF(ISBLANK($A144),"",INDEX(Array_MobileCharges,MATCH($A144,List_MobileFuelMeters,0),ROUNDUP((COLUMN()+1)/3-2,0)))</f>
        <v/>
      </c>
      <c r="Q144" s="127"/>
      <c r="R144" s="137"/>
      <c r="S144" s="58" t="str" cm="1">
        <f>IF(ISBLANK($A144),"",INDEX(Array_MobileCharges,MATCH($A144,List_MobileFuelMeters,0),ROUNDUP((COLUMN()+1)/3-2,0)))</f>
        <v/>
      </c>
      <c r="T144" s="127"/>
      <c r="U144" s="137"/>
    </row>
    <row r="145" spans="1:21" x14ac:dyDescent="0.3">
      <c r="A145" s="126"/>
      <c r="B145" s="133"/>
      <c r="C145" s="127"/>
      <c r="D145" s="138"/>
      <c r="E145" s="138"/>
      <c r="F145" s="137"/>
      <c r="G145" s="58" t="str" cm="1">
        <f>IF(ISBLANK($A145),"",INDEX(Array_MobileCharges,MATCH($A145,List_MobileFuelMeters,0),ROUNDUP((COLUMN()+1)/3-2,0)))</f>
        <v/>
      </c>
      <c r="H145" s="127"/>
      <c r="I145" s="137"/>
      <c r="J145" s="58" t="str" cm="1">
        <f>IF(ISBLANK($A145),"",INDEX(Array_MobileCharges,MATCH($A145,List_MobileFuelMeters,0),ROUNDUP((COLUMN()+1)/3-2,0)))</f>
        <v/>
      </c>
      <c r="K145" s="127"/>
      <c r="L145" s="137"/>
      <c r="M145" s="58" t="str" cm="1">
        <f>IF(ISBLANK($A145),"",INDEX(Array_MobileCharges,MATCH($A145,List_MobileFuelMeters,0),ROUNDUP((COLUMN()+1)/3-2,0)))</f>
        <v/>
      </c>
      <c r="N145" s="127"/>
      <c r="O145" s="137"/>
      <c r="P145" s="58" t="str" cm="1">
        <f>IF(ISBLANK($A145),"",INDEX(Array_MobileCharges,MATCH($A145,List_MobileFuelMeters,0),ROUNDUP((COLUMN()+1)/3-2,0)))</f>
        <v/>
      </c>
      <c r="Q145" s="127"/>
      <c r="R145" s="137"/>
      <c r="S145" s="58" t="str" cm="1">
        <f>IF(ISBLANK($A145),"",INDEX(Array_MobileCharges,MATCH($A145,List_MobileFuelMeters,0),ROUNDUP((COLUMN()+1)/3-2,0)))</f>
        <v/>
      </c>
      <c r="T145" s="127"/>
      <c r="U145" s="137"/>
    </row>
    <row r="146" spans="1:21" x14ac:dyDescent="0.3">
      <c r="A146" s="126"/>
      <c r="B146" s="133"/>
      <c r="C146" s="127"/>
      <c r="D146" s="138"/>
      <c r="E146" s="138"/>
      <c r="F146" s="137"/>
      <c r="G146" s="58" t="str" cm="1">
        <f>IF(ISBLANK($A146),"",INDEX(Array_MobileCharges,MATCH($A146,List_MobileFuelMeters,0),ROUNDUP((COLUMN()+1)/3-2,0)))</f>
        <v/>
      </c>
      <c r="H146" s="127"/>
      <c r="I146" s="137"/>
      <c r="J146" s="58" t="str" cm="1">
        <f>IF(ISBLANK($A146),"",INDEX(Array_MobileCharges,MATCH($A146,List_MobileFuelMeters,0),ROUNDUP((COLUMN()+1)/3-2,0)))</f>
        <v/>
      </c>
      <c r="K146" s="127"/>
      <c r="L146" s="137"/>
      <c r="M146" s="58" t="str" cm="1">
        <f>IF(ISBLANK($A146),"",INDEX(Array_MobileCharges,MATCH($A146,List_MobileFuelMeters,0),ROUNDUP((COLUMN()+1)/3-2,0)))</f>
        <v/>
      </c>
      <c r="N146" s="127"/>
      <c r="O146" s="137"/>
      <c r="P146" s="58" t="str" cm="1">
        <f>IF(ISBLANK($A146),"",INDEX(Array_MobileCharges,MATCH($A146,List_MobileFuelMeters,0),ROUNDUP((COLUMN()+1)/3-2,0)))</f>
        <v/>
      </c>
      <c r="Q146" s="127"/>
      <c r="R146" s="137"/>
      <c r="S146" s="58" t="str" cm="1">
        <f>IF(ISBLANK($A146),"",INDEX(Array_MobileCharges,MATCH($A146,List_MobileFuelMeters,0),ROUNDUP((COLUMN()+1)/3-2,0)))</f>
        <v/>
      </c>
      <c r="T146" s="127"/>
      <c r="U146" s="137"/>
    </row>
    <row r="147" spans="1:21" x14ac:dyDescent="0.3">
      <c r="A147" s="126"/>
      <c r="B147" s="133"/>
      <c r="C147" s="127"/>
      <c r="D147" s="138"/>
      <c r="E147" s="138"/>
      <c r="F147" s="137"/>
      <c r="G147" s="58" t="str" cm="1">
        <f>IF(ISBLANK($A147),"",INDEX(Array_MobileCharges,MATCH($A147,List_MobileFuelMeters,0),ROUNDUP((COLUMN()+1)/3-2,0)))</f>
        <v/>
      </c>
      <c r="H147" s="127"/>
      <c r="I147" s="137"/>
      <c r="J147" s="58" t="str" cm="1">
        <f>IF(ISBLANK($A147),"",INDEX(Array_MobileCharges,MATCH($A147,List_MobileFuelMeters,0),ROUNDUP((COLUMN()+1)/3-2,0)))</f>
        <v/>
      </c>
      <c r="K147" s="127"/>
      <c r="L147" s="137"/>
      <c r="M147" s="58" t="str" cm="1">
        <f>IF(ISBLANK($A147),"",INDEX(Array_MobileCharges,MATCH($A147,List_MobileFuelMeters,0),ROUNDUP((COLUMN()+1)/3-2,0)))</f>
        <v/>
      </c>
      <c r="N147" s="127"/>
      <c r="O147" s="137"/>
      <c r="P147" s="58" t="str" cm="1">
        <f>IF(ISBLANK($A147),"",INDEX(Array_MobileCharges,MATCH($A147,List_MobileFuelMeters,0),ROUNDUP((COLUMN()+1)/3-2,0)))</f>
        <v/>
      </c>
      <c r="Q147" s="127"/>
      <c r="R147" s="137"/>
      <c r="S147" s="58" t="str" cm="1">
        <f>IF(ISBLANK($A147),"",INDEX(Array_MobileCharges,MATCH($A147,List_MobileFuelMeters,0),ROUNDUP((COLUMN()+1)/3-2,0)))</f>
        <v/>
      </c>
      <c r="T147" s="127"/>
      <c r="U147" s="137"/>
    </row>
    <row r="148" spans="1:21" x14ac:dyDescent="0.3">
      <c r="A148" s="126"/>
      <c r="B148" s="133"/>
      <c r="C148" s="127"/>
      <c r="D148" s="138"/>
      <c r="E148" s="138"/>
      <c r="F148" s="137"/>
      <c r="G148" s="58" t="str" cm="1">
        <f>IF(ISBLANK($A148),"",INDEX(Array_MobileCharges,MATCH($A148,List_MobileFuelMeters,0),ROUNDUP((COLUMN()+1)/3-2,0)))</f>
        <v/>
      </c>
      <c r="H148" s="127"/>
      <c r="I148" s="137"/>
      <c r="J148" s="58" t="str" cm="1">
        <f>IF(ISBLANK($A148),"",INDEX(Array_MobileCharges,MATCH($A148,List_MobileFuelMeters,0),ROUNDUP((COLUMN()+1)/3-2,0)))</f>
        <v/>
      </c>
      <c r="K148" s="127"/>
      <c r="L148" s="137"/>
      <c r="M148" s="58" t="str" cm="1">
        <f>IF(ISBLANK($A148),"",INDEX(Array_MobileCharges,MATCH($A148,List_MobileFuelMeters,0),ROUNDUP((COLUMN()+1)/3-2,0)))</f>
        <v/>
      </c>
      <c r="N148" s="127"/>
      <c r="O148" s="137"/>
      <c r="P148" s="58" t="str" cm="1">
        <f>IF(ISBLANK($A148),"",INDEX(Array_MobileCharges,MATCH($A148,List_MobileFuelMeters,0),ROUNDUP((COLUMN()+1)/3-2,0)))</f>
        <v/>
      </c>
      <c r="Q148" s="127"/>
      <c r="R148" s="137"/>
      <c r="S148" s="58" t="str" cm="1">
        <f>IF(ISBLANK($A148),"",INDEX(Array_MobileCharges,MATCH($A148,List_MobileFuelMeters,0),ROUNDUP((COLUMN()+1)/3-2,0)))</f>
        <v/>
      </c>
      <c r="T148" s="127"/>
      <c r="U148" s="137"/>
    </row>
    <row r="149" spans="1:21" x14ac:dyDescent="0.3">
      <c r="A149" s="126"/>
      <c r="B149" s="133"/>
      <c r="C149" s="127"/>
      <c r="D149" s="138"/>
      <c r="E149" s="138"/>
      <c r="F149" s="137"/>
      <c r="G149" s="58" t="str" cm="1">
        <f>IF(ISBLANK($A149),"",INDEX(Array_MobileCharges,MATCH($A149,List_MobileFuelMeters,0),ROUNDUP((COLUMN()+1)/3-2,0)))</f>
        <v/>
      </c>
      <c r="H149" s="127"/>
      <c r="I149" s="137"/>
      <c r="J149" s="58" t="str" cm="1">
        <f>IF(ISBLANK($A149),"",INDEX(Array_MobileCharges,MATCH($A149,List_MobileFuelMeters,0),ROUNDUP((COLUMN()+1)/3-2,0)))</f>
        <v/>
      </c>
      <c r="K149" s="127"/>
      <c r="L149" s="137"/>
      <c r="M149" s="58" t="str" cm="1">
        <f>IF(ISBLANK($A149),"",INDEX(Array_MobileCharges,MATCH($A149,List_MobileFuelMeters,0),ROUNDUP((COLUMN()+1)/3-2,0)))</f>
        <v/>
      </c>
      <c r="N149" s="127"/>
      <c r="O149" s="137"/>
      <c r="P149" s="58" t="str" cm="1">
        <f>IF(ISBLANK($A149),"",INDEX(Array_MobileCharges,MATCH($A149,List_MobileFuelMeters,0),ROUNDUP((COLUMN()+1)/3-2,0)))</f>
        <v/>
      </c>
      <c r="Q149" s="127"/>
      <c r="R149" s="137"/>
      <c r="S149" s="58" t="str" cm="1">
        <f>IF(ISBLANK($A149),"",INDEX(Array_MobileCharges,MATCH($A149,List_MobileFuelMeters,0),ROUNDUP((COLUMN()+1)/3-2,0)))</f>
        <v/>
      </c>
      <c r="T149" s="127"/>
      <c r="U149" s="137"/>
    </row>
    <row r="150" spans="1:21" x14ac:dyDescent="0.3">
      <c r="A150" s="126"/>
      <c r="B150" s="133"/>
      <c r="C150" s="127"/>
      <c r="D150" s="138"/>
      <c r="E150" s="138"/>
      <c r="F150" s="137"/>
      <c r="G150" s="58" t="str" cm="1">
        <f>IF(ISBLANK($A150),"",INDEX(Array_MobileCharges,MATCH($A150,List_MobileFuelMeters,0),ROUNDUP((COLUMN()+1)/3-2,0)))</f>
        <v/>
      </c>
      <c r="H150" s="127"/>
      <c r="I150" s="137"/>
      <c r="J150" s="58" t="str" cm="1">
        <f>IF(ISBLANK($A150),"",INDEX(Array_MobileCharges,MATCH($A150,List_MobileFuelMeters,0),ROUNDUP((COLUMN()+1)/3-2,0)))</f>
        <v/>
      </c>
      <c r="K150" s="127"/>
      <c r="L150" s="137"/>
      <c r="M150" s="58" t="str" cm="1">
        <f>IF(ISBLANK($A150),"",INDEX(Array_MobileCharges,MATCH($A150,List_MobileFuelMeters,0),ROUNDUP((COLUMN()+1)/3-2,0)))</f>
        <v/>
      </c>
      <c r="N150" s="127"/>
      <c r="O150" s="137"/>
      <c r="P150" s="58" t="str" cm="1">
        <f>IF(ISBLANK($A150),"",INDEX(Array_MobileCharges,MATCH($A150,List_MobileFuelMeters,0),ROUNDUP((COLUMN()+1)/3-2,0)))</f>
        <v/>
      </c>
      <c r="Q150" s="127"/>
      <c r="R150" s="137"/>
      <c r="S150" s="58" t="str" cm="1">
        <f>IF(ISBLANK($A150),"",INDEX(Array_MobileCharges,MATCH($A150,List_MobileFuelMeters,0),ROUNDUP((COLUMN()+1)/3-2,0)))</f>
        <v/>
      </c>
      <c r="T150" s="127"/>
      <c r="U150" s="137"/>
    </row>
    <row r="151" spans="1:21" x14ac:dyDescent="0.3">
      <c r="A151" s="126"/>
      <c r="B151" s="133"/>
      <c r="C151" s="127"/>
      <c r="D151" s="138"/>
      <c r="E151" s="138"/>
      <c r="F151" s="137"/>
      <c r="G151" s="58" t="str" cm="1">
        <f>IF(ISBLANK($A151),"",INDEX(Array_MobileCharges,MATCH($A151,List_MobileFuelMeters,0),ROUNDUP((COLUMN()+1)/3-2,0)))</f>
        <v/>
      </c>
      <c r="H151" s="127"/>
      <c r="I151" s="137"/>
      <c r="J151" s="58" t="str" cm="1">
        <f>IF(ISBLANK($A151),"",INDEX(Array_MobileCharges,MATCH($A151,List_MobileFuelMeters,0),ROUNDUP((COLUMN()+1)/3-2,0)))</f>
        <v/>
      </c>
      <c r="K151" s="127"/>
      <c r="L151" s="137"/>
      <c r="M151" s="58" t="str" cm="1">
        <f>IF(ISBLANK($A151),"",INDEX(Array_MobileCharges,MATCH($A151,List_MobileFuelMeters,0),ROUNDUP((COLUMN()+1)/3-2,0)))</f>
        <v/>
      </c>
      <c r="N151" s="127"/>
      <c r="O151" s="137"/>
      <c r="P151" s="58" t="str" cm="1">
        <f>IF(ISBLANK($A151),"",INDEX(Array_MobileCharges,MATCH($A151,List_MobileFuelMeters,0),ROUNDUP((COLUMN()+1)/3-2,0)))</f>
        <v/>
      </c>
      <c r="Q151" s="127"/>
      <c r="R151" s="137"/>
      <c r="S151" s="58" t="str" cm="1">
        <f>IF(ISBLANK($A151),"",INDEX(Array_MobileCharges,MATCH($A151,List_MobileFuelMeters,0),ROUNDUP((COLUMN()+1)/3-2,0)))</f>
        <v/>
      </c>
      <c r="T151" s="127"/>
      <c r="U151" s="137"/>
    </row>
    <row r="152" spans="1:21" x14ac:dyDescent="0.3">
      <c r="A152" s="126"/>
      <c r="B152" s="133"/>
      <c r="C152" s="127"/>
      <c r="D152" s="138"/>
      <c r="E152" s="138"/>
      <c r="F152" s="137"/>
      <c r="G152" s="58" t="str" cm="1">
        <f>IF(ISBLANK($A152),"",INDEX(Array_MobileCharges,MATCH($A152,List_MobileFuelMeters,0),ROUNDUP((COLUMN()+1)/3-2,0)))</f>
        <v/>
      </c>
      <c r="H152" s="127"/>
      <c r="I152" s="137"/>
      <c r="J152" s="58" t="str" cm="1">
        <f>IF(ISBLANK($A152),"",INDEX(Array_MobileCharges,MATCH($A152,List_MobileFuelMeters,0),ROUNDUP((COLUMN()+1)/3-2,0)))</f>
        <v/>
      </c>
      <c r="K152" s="127"/>
      <c r="L152" s="137"/>
      <c r="M152" s="58" t="str" cm="1">
        <f>IF(ISBLANK($A152),"",INDEX(Array_MobileCharges,MATCH($A152,List_MobileFuelMeters,0),ROUNDUP((COLUMN()+1)/3-2,0)))</f>
        <v/>
      </c>
      <c r="N152" s="127"/>
      <c r="O152" s="137"/>
      <c r="P152" s="58" t="str" cm="1">
        <f>IF(ISBLANK($A152),"",INDEX(Array_MobileCharges,MATCH($A152,List_MobileFuelMeters,0),ROUNDUP((COLUMN()+1)/3-2,0)))</f>
        <v/>
      </c>
      <c r="Q152" s="127"/>
      <c r="R152" s="137"/>
      <c r="S152" s="58" t="str" cm="1">
        <f>IF(ISBLANK($A152),"",INDEX(Array_MobileCharges,MATCH($A152,List_MobileFuelMeters,0),ROUNDUP((COLUMN()+1)/3-2,0)))</f>
        <v/>
      </c>
      <c r="T152" s="127"/>
      <c r="U152" s="137"/>
    </row>
    <row r="153" spans="1:21" x14ac:dyDescent="0.3">
      <c r="A153" s="126"/>
      <c r="B153" s="133"/>
      <c r="C153" s="127"/>
      <c r="D153" s="138"/>
      <c r="E153" s="138"/>
      <c r="F153" s="137"/>
      <c r="G153" s="58" t="str" cm="1">
        <f>IF(ISBLANK($A153),"",INDEX(Array_MobileCharges,MATCH($A153,List_MobileFuelMeters,0),ROUNDUP((COLUMN()+1)/3-2,0)))</f>
        <v/>
      </c>
      <c r="H153" s="127"/>
      <c r="I153" s="137"/>
      <c r="J153" s="58" t="str" cm="1">
        <f>IF(ISBLANK($A153),"",INDEX(Array_MobileCharges,MATCH($A153,List_MobileFuelMeters,0),ROUNDUP((COLUMN()+1)/3-2,0)))</f>
        <v/>
      </c>
      <c r="K153" s="127"/>
      <c r="L153" s="137"/>
      <c r="M153" s="58" t="str" cm="1">
        <f>IF(ISBLANK($A153),"",INDEX(Array_MobileCharges,MATCH($A153,List_MobileFuelMeters,0),ROUNDUP((COLUMN()+1)/3-2,0)))</f>
        <v/>
      </c>
      <c r="N153" s="127"/>
      <c r="O153" s="137"/>
      <c r="P153" s="58" t="str" cm="1">
        <f>IF(ISBLANK($A153),"",INDEX(Array_MobileCharges,MATCH($A153,List_MobileFuelMeters,0),ROUNDUP((COLUMN()+1)/3-2,0)))</f>
        <v/>
      </c>
      <c r="Q153" s="127"/>
      <c r="R153" s="137"/>
      <c r="S153" s="58" t="str" cm="1">
        <f>IF(ISBLANK($A153),"",INDEX(Array_MobileCharges,MATCH($A153,List_MobileFuelMeters,0),ROUNDUP((COLUMN()+1)/3-2,0)))</f>
        <v/>
      </c>
      <c r="T153" s="127"/>
      <c r="U153" s="137"/>
    </row>
    <row r="154" spans="1:21" x14ac:dyDescent="0.3">
      <c r="A154" s="126"/>
      <c r="B154" s="133"/>
      <c r="C154" s="127"/>
      <c r="D154" s="138"/>
      <c r="E154" s="138"/>
      <c r="F154" s="137"/>
      <c r="G154" s="58" t="str" cm="1">
        <f>IF(ISBLANK($A154),"",INDEX(Array_MobileCharges,MATCH($A154,List_MobileFuelMeters,0),ROUNDUP((COLUMN()+1)/3-2,0)))</f>
        <v/>
      </c>
      <c r="H154" s="127"/>
      <c r="I154" s="137"/>
      <c r="J154" s="58" t="str" cm="1">
        <f>IF(ISBLANK($A154),"",INDEX(Array_MobileCharges,MATCH($A154,List_MobileFuelMeters,0),ROUNDUP((COLUMN()+1)/3-2,0)))</f>
        <v/>
      </c>
      <c r="K154" s="127"/>
      <c r="L154" s="137"/>
      <c r="M154" s="58" t="str" cm="1">
        <f>IF(ISBLANK($A154),"",INDEX(Array_MobileCharges,MATCH($A154,List_MobileFuelMeters,0),ROUNDUP((COLUMN()+1)/3-2,0)))</f>
        <v/>
      </c>
      <c r="N154" s="127"/>
      <c r="O154" s="137"/>
      <c r="P154" s="58" t="str" cm="1">
        <f>IF(ISBLANK($A154),"",INDEX(Array_MobileCharges,MATCH($A154,List_MobileFuelMeters,0),ROUNDUP((COLUMN()+1)/3-2,0)))</f>
        <v/>
      </c>
      <c r="Q154" s="127"/>
      <c r="R154" s="137"/>
      <c r="S154" s="58" t="str" cm="1">
        <f>IF(ISBLANK($A154),"",INDEX(Array_MobileCharges,MATCH($A154,List_MobileFuelMeters,0),ROUNDUP((COLUMN()+1)/3-2,0)))</f>
        <v/>
      </c>
      <c r="T154" s="127"/>
      <c r="U154" s="137"/>
    </row>
    <row r="155" spans="1:21" x14ac:dyDescent="0.3">
      <c r="A155" s="126"/>
      <c r="B155" s="133"/>
      <c r="C155" s="127"/>
      <c r="D155" s="138"/>
      <c r="E155" s="138"/>
      <c r="F155" s="137"/>
      <c r="G155" s="58" t="str" cm="1">
        <f>IF(ISBLANK($A155),"",INDEX(Array_MobileCharges,MATCH($A155,List_MobileFuelMeters,0),ROUNDUP((COLUMN()+1)/3-2,0)))</f>
        <v/>
      </c>
      <c r="H155" s="127"/>
      <c r="I155" s="137"/>
      <c r="J155" s="58" t="str" cm="1">
        <f>IF(ISBLANK($A155),"",INDEX(Array_MobileCharges,MATCH($A155,List_MobileFuelMeters,0),ROUNDUP((COLUMN()+1)/3-2,0)))</f>
        <v/>
      </c>
      <c r="K155" s="127"/>
      <c r="L155" s="137"/>
      <c r="M155" s="58" t="str" cm="1">
        <f>IF(ISBLANK($A155),"",INDEX(Array_MobileCharges,MATCH($A155,List_MobileFuelMeters,0),ROUNDUP((COLUMN()+1)/3-2,0)))</f>
        <v/>
      </c>
      <c r="N155" s="127"/>
      <c r="O155" s="137"/>
      <c r="P155" s="58" t="str" cm="1">
        <f>IF(ISBLANK($A155),"",INDEX(Array_MobileCharges,MATCH($A155,List_MobileFuelMeters,0),ROUNDUP((COLUMN()+1)/3-2,0)))</f>
        <v/>
      </c>
      <c r="Q155" s="127"/>
      <c r="R155" s="137"/>
      <c r="S155" s="58" t="str" cm="1">
        <f>IF(ISBLANK($A155),"",INDEX(Array_MobileCharges,MATCH($A155,List_MobileFuelMeters,0),ROUNDUP((COLUMN()+1)/3-2,0)))</f>
        <v/>
      </c>
      <c r="T155" s="127"/>
      <c r="U155" s="137"/>
    </row>
    <row r="156" spans="1:21" x14ac:dyDescent="0.3">
      <c r="A156" s="126"/>
      <c r="B156" s="133"/>
      <c r="C156" s="127"/>
      <c r="D156" s="138"/>
      <c r="E156" s="138"/>
      <c r="F156" s="137"/>
      <c r="G156" s="58" t="str" cm="1">
        <f>IF(ISBLANK($A156),"",INDEX(Array_MobileCharges,MATCH($A156,List_MobileFuelMeters,0),ROUNDUP((COLUMN()+1)/3-2,0)))</f>
        <v/>
      </c>
      <c r="H156" s="127"/>
      <c r="I156" s="137"/>
      <c r="J156" s="58" t="str" cm="1">
        <f>IF(ISBLANK($A156),"",INDEX(Array_MobileCharges,MATCH($A156,List_MobileFuelMeters,0),ROUNDUP((COLUMN()+1)/3-2,0)))</f>
        <v/>
      </c>
      <c r="K156" s="127"/>
      <c r="L156" s="137"/>
      <c r="M156" s="58" t="str" cm="1">
        <f>IF(ISBLANK($A156),"",INDEX(Array_MobileCharges,MATCH($A156,List_MobileFuelMeters,0),ROUNDUP((COLUMN()+1)/3-2,0)))</f>
        <v/>
      </c>
      <c r="N156" s="127"/>
      <c r="O156" s="137"/>
      <c r="P156" s="58" t="str" cm="1">
        <f>IF(ISBLANK($A156),"",INDEX(Array_MobileCharges,MATCH($A156,List_MobileFuelMeters,0),ROUNDUP((COLUMN()+1)/3-2,0)))</f>
        <v/>
      </c>
      <c r="Q156" s="127"/>
      <c r="R156" s="137"/>
      <c r="S156" s="58" t="str" cm="1">
        <f>IF(ISBLANK($A156),"",INDEX(Array_MobileCharges,MATCH($A156,List_MobileFuelMeters,0),ROUNDUP((COLUMN()+1)/3-2,0)))</f>
        <v/>
      </c>
      <c r="T156" s="127"/>
      <c r="U156" s="137"/>
    </row>
    <row r="157" spans="1:21" x14ac:dyDescent="0.3">
      <c r="A157" s="126"/>
      <c r="B157" s="133"/>
      <c r="C157" s="127"/>
      <c r="D157" s="138"/>
      <c r="E157" s="138"/>
      <c r="F157" s="137"/>
      <c r="G157" s="58" t="str" cm="1">
        <f>IF(ISBLANK($A157),"",INDEX(Array_MobileCharges,MATCH($A157,List_MobileFuelMeters,0),ROUNDUP((COLUMN()+1)/3-2,0)))</f>
        <v/>
      </c>
      <c r="H157" s="127"/>
      <c r="I157" s="137"/>
      <c r="J157" s="58" t="str" cm="1">
        <f>IF(ISBLANK($A157),"",INDEX(Array_MobileCharges,MATCH($A157,List_MobileFuelMeters,0),ROUNDUP((COLUMN()+1)/3-2,0)))</f>
        <v/>
      </c>
      <c r="K157" s="127"/>
      <c r="L157" s="137"/>
      <c r="M157" s="58" t="str" cm="1">
        <f>IF(ISBLANK($A157),"",INDEX(Array_MobileCharges,MATCH($A157,List_MobileFuelMeters,0),ROUNDUP((COLUMN()+1)/3-2,0)))</f>
        <v/>
      </c>
      <c r="N157" s="127"/>
      <c r="O157" s="137"/>
      <c r="P157" s="58" t="str" cm="1">
        <f>IF(ISBLANK($A157),"",INDEX(Array_MobileCharges,MATCH($A157,List_MobileFuelMeters,0),ROUNDUP((COLUMN()+1)/3-2,0)))</f>
        <v/>
      </c>
      <c r="Q157" s="127"/>
      <c r="R157" s="137"/>
      <c r="S157" s="58" t="str" cm="1">
        <f>IF(ISBLANK($A157),"",INDEX(Array_MobileCharges,MATCH($A157,List_MobileFuelMeters,0),ROUNDUP((COLUMN()+1)/3-2,0)))</f>
        <v/>
      </c>
      <c r="T157" s="127"/>
      <c r="U157" s="137"/>
    </row>
    <row r="158" spans="1:21" x14ac:dyDescent="0.3">
      <c r="A158" s="126"/>
      <c r="B158" s="133"/>
      <c r="C158" s="127"/>
      <c r="D158" s="138"/>
      <c r="E158" s="138"/>
      <c r="F158" s="137"/>
      <c r="G158" s="58" t="str" cm="1">
        <f>IF(ISBLANK($A158),"",INDEX(Array_MobileCharges,MATCH($A158,List_MobileFuelMeters,0),ROUNDUP((COLUMN()+1)/3-2,0)))</f>
        <v/>
      </c>
      <c r="H158" s="127"/>
      <c r="I158" s="137"/>
      <c r="J158" s="58" t="str" cm="1">
        <f>IF(ISBLANK($A158),"",INDEX(Array_MobileCharges,MATCH($A158,List_MobileFuelMeters,0),ROUNDUP((COLUMN()+1)/3-2,0)))</f>
        <v/>
      </c>
      <c r="K158" s="127"/>
      <c r="L158" s="137"/>
      <c r="M158" s="58" t="str" cm="1">
        <f>IF(ISBLANK($A158),"",INDEX(Array_MobileCharges,MATCH($A158,List_MobileFuelMeters,0),ROUNDUP((COLUMN()+1)/3-2,0)))</f>
        <v/>
      </c>
      <c r="N158" s="127"/>
      <c r="O158" s="137"/>
      <c r="P158" s="58" t="str" cm="1">
        <f>IF(ISBLANK($A158),"",INDEX(Array_MobileCharges,MATCH($A158,List_MobileFuelMeters,0),ROUNDUP((COLUMN()+1)/3-2,0)))</f>
        <v/>
      </c>
      <c r="Q158" s="127"/>
      <c r="R158" s="137"/>
      <c r="S158" s="58" t="str" cm="1">
        <f>IF(ISBLANK($A158),"",INDEX(Array_MobileCharges,MATCH($A158,List_MobileFuelMeters,0),ROUNDUP((COLUMN()+1)/3-2,0)))</f>
        <v/>
      </c>
      <c r="T158" s="127"/>
      <c r="U158" s="137"/>
    </row>
    <row r="159" spans="1:21" x14ac:dyDescent="0.3">
      <c r="A159" s="126"/>
      <c r="B159" s="133"/>
      <c r="C159" s="127"/>
      <c r="D159" s="138"/>
      <c r="E159" s="138"/>
      <c r="F159" s="137"/>
      <c r="G159" s="58" t="str" cm="1">
        <f>IF(ISBLANK($A159),"",INDEX(Array_MobileCharges,MATCH($A159,List_MobileFuelMeters,0),ROUNDUP((COLUMN()+1)/3-2,0)))</f>
        <v/>
      </c>
      <c r="H159" s="127"/>
      <c r="I159" s="137"/>
      <c r="J159" s="58" t="str" cm="1">
        <f>IF(ISBLANK($A159),"",INDEX(Array_MobileCharges,MATCH($A159,List_MobileFuelMeters,0),ROUNDUP((COLUMN()+1)/3-2,0)))</f>
        <v/>
      </c>
      <c r="K159" s="127"/>
      <c r="L159" s="137"/>
      <c r="M159" s="58" t="str" cm="1">
        <f>IF(ISBLANK($A159),"",INDEX(Array_MobileCharges,MATCH($A159,List_MobileFuelMeters,0),ROUNDUP((COLUMN()+1)/3-2,0)))</f>
        <v/>
      </c>
      <c r="N159" s="127"/>
      <c r="O159" s="137"/>
      <c r="P159" s="58" t="str" cm="1">
        <f>IF(ISBLANK($A159),"",INDEX(Array_MobileCharges,MATCH($A159,List_MobileFuelMeters,0),ROUNDUP((COLUMN()+1)/3-2,0)))</f>
        <v/>
      </c>
      <c r="Q159" s="127"/>
      <c r="R159" s="137"/>
      <c r="S159" s="58" t="str" cm="1">
        <f>IF(ISBLANK($A159),"",INDEX(Array_MobileCharges,MATCH($A159,List_MobileFuelMeters,0),ROUNDUP((COLUMN()+1)/3-2,0)))</f>
        <v/>
      </c>
      <c r="T159" s="127"/>
      <c r="U159" s="137"/>
    </row>
    <row r="160" spans="1:21" x14ac:dyDescent="0.3">
      <c r="A160" s="126"/>
      <c r="B160" s="133"/>
      <c r="C160" s="127"/>
      <c r="D160" s="138"/>
      <c r="E160" s="138"/>
      <c r="F160" s="137"/>
      <c r="G160" s="58" t="str" cm="1">
        <f>IF(ISBLANK($A160),"",INDEX(Array_MobileCharges,MATCH($A160,List_MobileFuelMeters,0),ROUNDUP((COLUMN()+1)/3-2,0)))</f>
        <v/>
      </c>
      <c r="H160" s="127"/>
      <c r="I160" s="137"/>
      <c r="J160" s="58" t="str" cm="1">
        <f>IF(ISBLANK($A160),"",INDEX(Array_MobileCharges,MATCH($A160,List_MobileFuelMeters,0),ROUNDUP((COLUMN()+1)/3-2,0)))</f>
        <v/>
      </c>
      <c r="K160" s="127"/>
      <c r="L160" s="137"/>
      <c r="M160" s="58" t="str" cm="1">
        <f>IF(ISBLANK($A160),"",INDEX(Array_MobileCharges,MATCH($A160,List_MobileFuelMeters,0),ROUNDUP((COLUMN()+1)/3-2,0)))</f>
        <v/>
      </c>
      <c r="N160" s="127"/>
      <c r="O160" s="137"/>
      <c r="P160" s="58" t="str" cm="1">
        <f>IF(ISBLANK($A160),"",INDEX(Array_MobileCharges,MATCH($A160,List_MobileFuelMeters,0),ROUNDUP((COLUMN()+1)/3-2,0)))</f>
        <v/>
      </c>
      <c r="Q160" s="127"/>
      <c r="R160" s="137"/>
      <c r="S160" s="58" t="str" cm="1">
        <f>IF(ISBLANK($A160),"",INDEX(Array_MobileCharges,MATCH($A160,List_MobileFuelMeters,0),ROUNDUP((COLUMN()+1)/3-2,0)))</f>
        <v/>
      </c>
      <c r="T160" s="127"/>
      <c r="U160" s="137"/>
    </row>
    <row r="161" spans="1:21" x14ac:dyDescent="0.3">
      <c r="A161" s="126"/>
      <c r="B161" s="133"/>
      <c r="C161" s="127"/>
      <c r="D161" s="138"/>
      <c r="E161" s="138"/>
      <c r="F161" s="137"/>
      <c r="G161" s="58" t="str" cm="1">
        <f>IF(ISBLANK($A161),"",INDEX(Array_MobileCharges,MATCH($A161,List_MobileFuelMeters,0),ROUNDUP((COLUMN()+1)/3-2,0)))</f>
        <v/>
      </c>
      <c r="H161" s="127"/>
      <c r="I161" s="137"/>
      <c r="J161" s="58" t="str" cm="1">
        <f>IF(ISBLANK($A161),"",INDEX(Array_MobileCharges,MATCH($A161,List_MobileFuelMeters,0),ROUNDUP((COLUMN()+1)/3-2,0)))</f>
        <v/>
      </c>
      <c r="K161" s="127"/>
      <c r="L161" s="137"/>
      <c r="M161" s="58" t="str" cm="1">
        <f>IF(ISBLANK($A161),"",INDEX(Array_MobileCharges,MATCH($A161,List_MobileFuelMeters,0),ROUNDUP((COLUMN()+1)/3-2,0)))</f>
        <v/>
      </c>
      <c r="N161" s="127"/>
      <c r="O161" s="137"/>
      <c r="P161" s="58" t="str" cm="1">
        <f>IF(ISBLANK($A161),"",INDEX(Array_MobileCharges,MATCH($A161,List_MobileFuelMeters,0),ROUNDUP((COLUMN()+1)/3-2,0)))</f>
        <v/>
      </c>
      <c r="Q161" s="127"/>
      <c r="R161" s="137"/>
      <c r="S161" s="58" t="str" cm="1">
        <f>IF(ISBLANK($A161),"",INDEX(Array_MobileCharges,MATCH($A161,List_MobileFuelMeters,0),ROUNDUP((COLUMN()+1)/3-2,0)))</f>
        <v/>
      </c>
      <c r="T161" s="127"/>
      <c r="U161" s="137"/>
    </row>
    <row r="162" spans="1:21" x14ac:dyDescent="0.3">
      <c r="A162" s="126"/>
      <c r="B162" s="133"/>
      <c r="C162" s="127"/>
      <c r="D162" s="138"/>
      <c r="E162" s="138"/>
      <c r="F162" s="137"/>
      <c r="G162" s="58" t="str" cm="1">
        <f>IF(ISBLANK($A162),"",INDEX(Array_MobileCharges,MATCH($A162,List_MobileFuelMeters,0),ROUNDUP((COLUMN()+1)/3-2,0)))</f>
        <v/>
      </c>
      <c r="H162" s="127"/>
      <c r="I162" s="137"/>
      <c r="J162" s="58" t="str" cm="1">
        <f>IF(ISBLANK($A162),"",INDEX(Array_MobileCharges,MATCH($A162,List_MobileFuelMeters,0),ROUNDUP((COLUMN()+1)/3-2,0)))</f>
        <v/>
      </c>
      <c r="K162" s="127"/>
      <c r="L162" s="137"/>
      <c r="M162" s="58" t="str" cm="1">
        <f>IF(ISBLANK($A162),"",INDEX(Array_MobileCharges,MATCH($A162,List_MobileFuelMeters,0),ROUNDUP((COLUMN()+1)/3-2,0)))</f>
        <v/>
      </c>
      <c r="N162" s="127"/>
      <c r="O162" s="137"/>
      <c r="P162" s="58" t="str" cm="1">
        <f>IF(ISBLANK($A162),"",INDEX(Array_MobileCharges,MATCH($A162,List_MobileFuelMeters,0),ROUNDUP((COLUMN()+1)/3-2,0)))</f>
        <v/>
      </c>
      <c r="Q162" s="127"/>
      <c r="R162" s="137"/>
      <c r="S162" s="58" t="str" cm="1">
        <f>IF(ISBLANK($A162),"",INDEX(Array_MobileCharges,MATCH($A162,List_MobileFuelMeters,0),ROUNDUP((COLUMN()+1)/3-2,0)))</f>
        <v/>
      </c>
      <c r="T162" s="127"/>
      <c r="U162" s="137"/>
    </row>
    <row r="163" spans="1:21" x14ac:dyDescent="0.3">
      <c r="A163" s="126"/>
      <c r="B163" s="133"/>
      <c r="C163" s="127"/>
      <c r="D163" s="138"/>
      <c r="E163" s="138"/>
      <c r="F163" s="137"/>
      <c r="G163" s="58" t="str" cm="1">
        <f>IF(ISBLANK($A163),"",INDEX(Array_MobileCharges,MATCH($A163,List_MobileFuelMeters,0),ROUNDUP((COLUMN()+1)/3-2,0)))</f>
        <v/>
      </c>
      <c r="H163" s="127"/>
      <c r="I163" s="137"/>
      <c r="J163" s="58" t="str" cm="1">
        <f>IF(ISBLANK($A163),"",INDEX(Array_MobileCharges,MATCH($A163,List_MobileFuelMeters,0),ROUNDUP((COLUMN()+1)/3-2,0)))</f>
        <v/>
      </c>
      <c r="K163" s="127"/>
      <c r="L163" s="137"/>
      <c r="M163" s="58" t="str" cm="1">
        <f>IF(ISBLANK($A163),"",INDEX(Array_MobileCharges,MATCH($A163,List_MobileFuelMeters,0),ROUNDUP((COLUMN()+1)/3-2,0)))</f>
        <v/>
      </c>
      <c r="N163" s="127"/>
      <c r="O163" s="137"/>
      <c r="P163" s="58" t="str" cm="1">
        <f>IF(ISBLANK($A163),"",INDEX(Array_MobileCharges,MATCH($A163,List_MobileFuelMeters,0),ROUNDUP((COLUMN()+1)/3-2,0)))</f>
        <v/>
      </c>
      <c r="Q163" s="127"/>
      <c r="R163" s="137"/>
      <c r="S163" s="58" t="str" cm="1">
        <f>IF(ISBLANK($A163),"",INDEX(Array_MobileCharges,MATCH($A163,List_MobileFuelMeters,0),ROUNDUP((COLUMN()+1)/3-2,0)))</f>
        <v/>
      </c>
      <c r="T163" s="127"/>
      <c r="U163" s="137"/>
    </row>
    <row r="164" spans="1:21" x14ac:dyDescent="0.3">
      <c r="A164" s="126"/>
      <c r="B164" s="133"/>
      <c r="C164" s="127"/>
      <c r="D164" s="138"/>
      <c r="E164" s="138"/>
      <c r="F164" s="137"/>
      <c r="G164" s="58" t="str" cm="1">
        <f>IF(ISBLANK($A164),"",INDEX(Array_MobileCharges,MATCH($A164,List_MobileFuelMeters,0),ROUNDUP((COLUMN()+1)/3-2,0)))</f>
        <v/>
      </c>
      <c r="H164" s="127"/>
      <c r="I164" s="137"/>
      <c r="J164" s="58" t="str" cm="1">
        <f>IF(ISBLANK($A164),"",INDEX(Array_MobileCharges,MATCH($A164,List_MobileFuelMeters,0),ROUNDUP((COLUMN()+1)/3-2,0)))</f>
        <v/>
      </c>
      <c r="K164" s="127"/>
      <c r="L164" s="137"/>
      <c r="M164" s="58" t="str" cm="1">
        <f>IF(ISBLANK($A164),"",INDEX(Array_MobileCharges,MATCH($A164,List_MobileFuelMeters,0),ROUNDUP((COLUMN()+1)/3-2,0)))</f>
        <v/>
      </c>
      <c r="N164" s="127"/>
      <c r="O164" s="137"/>
      <c r="P164" s="58" t="str" cm="1">
        <f>IF(ISBLANK($A164),"",INDEX(Array_MobileCharges,MATCH($A164,List_MobileFuelMeters,0),ROUNDUP((COLUMN()+1)/3-2,0)))</f>
        <v/>
      </c>
      <c r="Q164" s="127"/>
      <c r="R164" s="137"/>
      <c r="S164" s="58" t="str" cm="1">
        <f>IF(ISBLANK($A164),"",INDEX(Array_MobileCharges,MATCH($A164,List_MobileFuelMeters,0),ROUNDUP((COLUMN()+1)/3-2,0)))</f>
        <v/>
      </c>
      <c r="T164" s="127"/>
      <c r="U164" s="137"/>
    </row>
    <row r="165" spans="1:21" x14ac:dyDescent="0.3">
      <c r="A165" s="126"/>
      <c r="B165" s="133"/>
      <c r="C165" s="127"/>
      <c r="D165" s="138"/>
      <c r="E165" s="138"/>
      <c r="F165" s="137"/>
      <c r="G165" s="58" t="str" cm="1">
        <f>IF(ISBLANK($A165),"",INDEX(Array_MobileCharges,MATCH($A165,List_MobileFuelMeters,0),ROUNDUP((COLUMN()+1)/3-2,0)))</f>
        <v/>
      </c>
      <c r="H165" s="127"/>
      <c r="I165" s="137"/>
      <c r="J165" s="58" t="str" cm="1">
        <f>IF(ISBLANK($A165),"",INDEX(Array_MobileCharges,MATCH($A165,List_MobileFuelMeters,0),ROUNDUP((COLUMN()+1)/3-2,0)))</f>
        <v/>
      </c>
      <c r="K165" s="127"/>
      <c r="L165" s="137"/>
      <c r="M165" s="58" t="str" cm="1">
        <f>IF(ISBLANK($A165),"",INDEX(Array_MobileCharges,MATCH($A165,List_MobileFuelMeters,0),ROUNDUP((COLUMN()+1)/3-2,0)))</f>
        <v/>
      </c>
      <c r="N165" s="127"/>
      <c r="O165" s="137"/>
      <c r="P165" s="58" t="str" cm="1">
        <f>IF(ISBLANK($A165),"",INDEX(Array_MobileCharges,MATCH($A165,List_MobileFuelMeters,0),ROUNDUP((COLUMN()+1)/3-2,0)))</f>
        <v/>
      </c>
      <c r="Q165" s="127"/>
      <c r="R165" s="137"/>
      <c r="S165" s="58" t="str" cm="1">
        <f>IF(ISBLANK($A165),"",INDEX(Array_MobileCharges,MATCH($A165,List_MobileFuelMeters,0),ROUNDUP((COLUMN()+1)/3-2,0)))</f>
        <v/>
      </c>
      <c r="T165" s="127"/>
      <c r="U165" s="137"/>
    </row>
    <row r="166" spans="1:21" x14ac:dyDescent="0.3">
      <c r="A166" s="126"/>
      <c r="B166" s="133"/>
      <c r="C166" s="127"/>
      <c r="D166" s="138"/>
      <c r="E166" s="138"/>
      <c r="F166" s="137"/>
      <c r="G166" s="58" t="str" cm="1">
        <f>IF(ISBLANK($A166),"",INDEX(Array_MobileCharges,MATCH($A166,List_MobileFuelMeters,0),ROUNDUP((COLUMN()+1)/3-2,0)))</f>
        <v/>
      </c>
      <c r="H166" s="127"/>
      <c r="I166" s="137"/>
      <c r="J166" s="58" t="str" cm="1">
        <f>IF(ISBLANK($A166),"",INDEX(Array_MobileCharges,MATCH($A166,List_MobileFuelMeters,0),ROUNDUP((COLUMN()+1)/3-2,0)))</f>
        <v/>
      </c>
      <c r="K166" s="127"/>
      <c r="L166" s="137"/>
      <c r="M166" s="58" t="str" cm="1">
        <f>IF(ISBLANK($A166),"",INDEX(Array_MobileCharges,MATCH($A166,List_MobileFuelMeters,0),ROUNDUP((COLUMN()+1)/3-2,0)))</f>
        <v/>
      </c>
      <c r="N166" s="127"/>
      <c r="O166" s="137"/>
      <c r="P166" s="58" t="str" cm="1">
        <f>IF(ISBLANK($A166),"",INDEX(Array_MobileCharges,MATCH($A166,List_MobileFuelMeters,0),ROUNDUP((COLUMN()+1)/3-2,0)))</f>
        <v/>
      </c>
      <c r="Q166" s="127"/>
      <c r="R166" s="137"/>
      <c r="S166" s="58" t="str" cm="1">
        <f>IF(ISBLANK($A166),"",INDEX(Array_MobileCharges,MATCH($A166,List_MobileFuelMeters,0),ROUNDUP((COLUMN()+1)/3-2,0)))</f>
        <v/>
      </c>
      <c r="T166" s="127"/>
      <c r="U166" s="137"/>
    </row>
    <row r="167" spans="1:21" x14ac:dyDescent="0.3">
      <c r="A167" s="126"/>
      <c r="B167" s="133"/>
      <c r="C167" s="127"/>
      <c r="D167" s="138"/>
      <c r="E167" s="138"/>
      <c r="F167" s="137"/>
      <c r="G167" s="58" t="str" cm="1">
        <f>IF(ISBLANK($A167),"",INDEX(Array_MobileCharges,MATCH($A167,List_MobileFuelMeters,0),ROUNDUP((COLUMN()+1)/3-2,0)))</f>
        <v/>
      </c>
      <c r="H167" s="127"/>
      <c r="I167" s="137"/>
      <c r="J167" s="58" t="str" cm="1">
        <f>IF(ISBLANK($A167),"",INDEX(Array_MobileCharges,MATCH($A167,List_MobileFuelMeters,0),ROUNDUP((COLUMN()+1)/3-2,0)))</f>
        <v/>
      </c>
      <c r="K167" s="127"/>
      <c r="L167" s="137"/>
      <c r="M167" s="58" t="str" cm="1">
        <f>IF(ISBLANK($A167),"",INDEX(Array_MobileCharges,MATCH($A167,List_MobileFuelMeters,0),ROUNDUP((COLUMN()+1)/3-2,0)))</f>
        <v/>
      </c>
      <c r="N167" s="127"/>
      <c r="O167" s="137"/>
      <c r="P167" s="58" t="str" cm="1">
        <f>IF(ISBLANK($A167),"",INDEX(Array_MobileCharges,MATCH($A167,List_MobileFuelMeters,0),ROUNDUP((COLUMN()+1)/3-2,0)))</f>
        <v/>
      </c>
      <c r="Q167" s="127"/>
      <c r="R167" s="137"/>
      <c r="S167" s="58" t="str" cm="1">
        <f>IF(ISBLANK($A167),"",INDEX(Array_MobileCharges,MATCH($A167,List_MobileFuelMeters,0),ROUNDUP((COLUMN()+1)/3-2,0)))</f>
        <v/>
      </c>
      <c r="T167" s="127"/>
      <c r="U167" s="137"/>
    </row>
    <row r="168" spans="1:21" x14ac:dyDescent="0.3">
      <c r="A168" s="126"/>
      <c r="B168" s="133"/>
      <c r="C168" s="127"/>
      <c r="D168" s="138"/>
      <c r="E168" s="138"/>
      <c r="F168" s="137"/>
      <c r="G168" s="58" t="str" cm="1">
        <f>IF(ISBLANK($A168),"",INDEX(Array_MobileCharges,MATCH($A168,List_MobileFuelMeters,0),ROUNDUP((COLUMN()+1)/3-2,0)))</f>
        <v/>
      </c>
      <c r="H168" s="127"/>
      <c r="I168" s="137"/>
      <c r="J168" s="58" t="str" cm="1">
        <f>IF(ISBLANK($A168),"",INDEX(Array_MobileCharges,MATCH($A168,List_MobileFuelMeters,0),ROUNDUP((COLUMN()+1)/3-2,0)))</f>
        <v/>
      </c>
      <c r="K168" s="127"/>
      <c r="L168" s="137"/>
      <c r="M168" s="58" t="str" cm="1">
        <f>IF(ISBLANK($A168),"",INDEX(Array_MobileCharges,MATCH($A168,List_MobileFuelMeters,0),ROUNDUP((COLUMN()+1)/3-2,0)))</f>
        <v/>
      </c>
      <c r="N168" s="127"/>
      <c r="O168" s="137"/>
      <c r="P168" s="58" t="str" cm="1">
        <f>IF(ISBLANK($A168),"",INDEX(Array_MobileCharges,MATCH($A168,List_MobileFuelMeters,0),ROUNDUP((COLUMN()+1)/3-2,0)))</f>
        <v/>
      </c>
      <c r="Q168" s="127"/>
      <c r="R168" s="137"/>
      <c r="S168" s="58" t="str" cm="1">
        <f>IF(ISBLANK($A168),"",INDEX(Array_MobileCharges,MATCH($A168,List_MobileFuelMeters,0),ROUNDUP((COLUMN()+1)/3-2,0)))</f>
        <v/>
      </c>
      <c r="T168" s="127"/>
      <c r="U168" s="137"/>
    </row>
    <row r="169" spans="1:21" x14ac:dyDescent="0.3">
      <c r="A169" s="126"/>
      <c r="B169" s="133"/>
      <c r="C169" s="127"/>
      <c r="D169" s="138"/>
      <c r="E169" s="138"/>
      <c r="F169" s="137"/>
      <c r="G169" s="58" t="str" cm="1">
        <f>IF(ISBLANK($A169),"",INDEX(Array_MobileCharges,MATCH($A169,List_MobileFuelMeters,0),ROUNDUP((COLUMN()+1)/3-2,0)))</f>
        <v/>
      </c>
      <c r="H169" s="127"/>
      <c r="I169" s="137"/>
      <c r="J169" s="58" t="str" cm="1">
        <f>IF(ISBLANK($A169),"",INDEX(Array_MobileCharges,MATCH($A169,List_MobileFuelMeters,0),ROUNDUP((COLUMN()+1)/3-2,0)))</f>
        <v/>
      </c>
      <c r="K169" s="127"/>
      <c r="L169" s="137"/>
      <c r="M169" s="58" t="str" cm="1">
        <f>IF(ISBLANK($A169),"",INDEX(Array_MobileCharges,MATCH($A169,List_MobileFuelMeters,0),ROUNDUP((COLUMN()+1)/3-2,0)))</f>
        <v/>
      </c>
      <c r="N169" s="127"/>
      <c r="O169" s="137"/>
      <c r="P169" s="58" t="str" cm="1">
        <f>IF(ISBLANK($A169),"",INDEX(Array_MobileCharges,MATCH($A169,List_MobileFuelMeters,0),ROUNDUP((COLUMN()+1)/3-2,0)))</f>
        <v/>
      </c>
      <c r="Q169" s="127"/>
      <c r="R169" s="137"/>
      <c r="S169" s="58" t="str" cm="1">
        <f>IF(ISBLANK($A169),"",INDEX(Array_MobileCharges,MATCH($A169,List_MobileFuelMeters,0),ROUNDUP((COLUMN()+1)/3-2,0)))</f>
        <v/>
      </c>
      <c r="T169" s="127"/>
      <c r="U169" s="137"/>
    </row>
    <row r="170" spans="1:21" x14ac:dyDescent="0.3">
      <c r="A170" s="126"/>
      <c r="B170" s="133"/>
      <c r="C170" s="127"/>
      <c r="D170" s="138"/>
      <c r="E170" s="138"/>
      <c r="F170" s="137"/>
      <c r="G170" s="58" t="str" cm="1">
        <f>IF(ISBLANK($A170),"",INDEX(Array_MobileCharges,MATCH($A170,List_MobileFuelMeters,0),ROUNDUP((COLUMN()+1)/3-2,0)))</f>
        <v/>
      </c>
      <c r="H170" s="127"/>
      <c r="I170" s="137"/>
      <c r="J170" s="58" t="str" cm="1">
        <f>IF(ISBLANK($A170),"",INDEX(Array_MobileCharges,MATCH($A170,List_MobileFuelMeters,0),ROUNDUP((COLUMN()+1)/3-2,0)))</f>
        <v/>
      </c>
      <c r="K170" s="127"/>
      <c r="L170" s="137"/>
      <c r="M170" s="58" t="str" cm="1">
        <f>IF(ISBLANK($A170),"",INDEX(Array_MobileCharges,MATCH($A170,List_MobileFuelMeters,0),ROUNDUP((COLUMN()+1)/3-2,0)))</f>
        <v/>
      </c>
      <c r="N170" s="127"/>
      <c r="O170" s="137"/>
      <c r="P170" s="58" t="str" cm="1">
        <f>IF(ISBLANK($A170),"",INDEX(Array_MobileCharges,MATCH($A170,List_MobileFuelMeters,0),ROUNDUP((COLUMN()+1)/3-2,0)))</f>
        <v/>
      </c>
      <c r="Q170" s="127"/>
      <c r="R170" s="137"/>
      <c r="S170" s="58" t="str" cm="1">
        <f>IF(ISBLANK($A170),"",INDEX(Array_MobileCharges,MATCH($A170,List_MobileFuelMeters,0),ROUNDUP((COLUMN()+1)/3-2,0)))</f>
        <v/>
      </c>
      <c r="T170" s="127"/>
      <c r="U170" s="137"/>
    </row>
    <row r="171" spans="1:21" x14ac:dyDescent="0.3">
      <c r="A171" s="126"/>
      <c r="B171" s="133"/>
      <c r="C171" s="127"/>
      <c r="D171" s="138"/>
      <c r="E171" s="138"/>
      <c r="F171" s="137"/>
      <c r="G171" s="58" t="str" cm="1">
        <f>IF(ISBLANK($A171),"",INDEX(Array_MobileCharges,MATCH($A171,List_MobileFuelMeters,0),ROUNDUP((COLUMN()+1)/3-2,0)))</f>
        <v/>
      </c>
      <c r="H171" s="127"/>
      <c r="I171" s="137"/>
      <c r="J171" s="58" t="str" cm="1">
        <f>IF(ISBLANK($A171),"",INDEX(Array_MobileCharges,MATCH($A171,List_MobileFuelMeters,0),ROUNDUP((COLUMN()+1)/3-2,0)))</f>
        <v/>
      </c>
      <c r="K171" s="127"/>
      <c r="L171" s="137"/>
      <c r="M171" s="58" t="str" cm="1">
        <f>IF(ISBLANK($A171),"",INDEX(Array_MobileCharges,MATCH($A171,List_MobileFuelMeters,0),ROUNDUP((COLUMN()+1)/3-2,0)))</f>
        <v/>
      </c>
      <c r="N171" s="127"/>
      <c r="O171" s="137"/>
      <c r="P171" s="58" t="str" cm="1">
        <f>IF(ISBLANK($A171),"",INDEX(Array_MobileCharges,MATCH($A171,List_MobileFuelMeters,0),ROUNDUP((COLUMN()+1)/3-2,0)))</f>
        <v/>
      </c>
      <c r="Q171" s="127"/>
      <c r="R171" s="137"/>
      <c r="S171" s="58" t="str" cm="1">
        <f>IF(ISBLANK($A171),"",INDEX(Array_MobileCharges,MATCH($A171,List_MobileFuelMeters,0),ROUNDUP((COLUMN()+1)/3-2,0)))</f>
        <v/>
      </c>
      <c r="T171" s="127"/>
      <c r="U171" s="137"/>
    </row>
    <row r="172" spans="1:21" x14ac:dyDescent="0.3">
      <c r="A172" s="126"/>
      <c r="B172" s="133"/>
      <c r="C172" s="127"/>
      <c r="D172" s="138"/>
      <c r="E172" s="138"/>
      <c r="F172" s="137"/>
      <c r="G172" s="58" t="str" cm="1">
        <f>IF(ISBLANK($A172),"",INDEX(Array_MobileCharges,MATCH($A172,List_MobileFuelMeters,0),ROUNDUP((COLUMN()+1)/3-2,0)))</f>
        <v/>
      </c>
      <c r="H172" s="127"/>
      <c r="I172" s="137"/>
      <c r="J172" s="58" t="str" cm="1">
        <f>IF(ISBLANK($A172),"",INDEX(Array_MobileCharges,MATCH($A172,List_MobileFuelMeters,0),ROUNDUP((COLUMN()+1)/3-2,0)))</f>
        <v/>
      </c>
      <c r="K172" s="127"/>
      <c r="L172" s="137"/>
      <c r="M172" s="58" t="str" cm="1">
        <f>IF(ISBLANK($A172),"",INDEX(Array_MobileCharges,MATCH($A172,List_MobileFuelMeters,0),ROUNDUP((COLUMN()+1)/3-2,0)))</f>
        <v/>
      </c>
      <c r="N172" s="127"/>
      <c r="O172" s="137"/>
      <c r="P172" s="58" t="str" cm="1">
        <f>IF(ISBLANK($A172),"",INDEX(Array_MobileCharges,MATCH($A172,List_MobileFuelMeters,0),ROUNDUP((COLUMN()+1)/3-2,0)))</f>
        <v/>
      </c>
      <c r="Q172" s="127"/>
      <c r="R172" s="137"/>
      <c r="S172" s="58" t="str" cm="1">
        <f>IF(ISBLANK($A172),"",INDEX(Array_MobileCharges,MATCH($A172,List_MobileFuelMeters,0),ROUNDUP((COLUMN()+1)/3-2,0)))</f>
        <v/>
      </c>
      <c r="T172" s="127"/>
      <c r="U172" s="137"/>
    </row>
    <row r="173" spans="1:21" x14ac:dyDescent="0.3">
      <c r="A173" s="126"/>
      <c r="B173" s="133"/>
      <c r="C173" s="127"/>
      <c r="D173" s="138"/>
      <c r="E173" s="138"/>
      <c r="F173" s="137"/>
      <c r="G173" s="58" t="str" cm="1">
        <f>IF(ISBLANK($A173),"",INDEX(Array_MobileCharges,MATCH($A173,List_MobileFuelMeters,0),ROUNDUP((COLUMN()+1)/3-2,0)))</f>
        <v/>
      </c>
      <c r="H173" s="127"/>
      <c r="I173" s="137"/>
      <c r="J173" s="58" t="str" cm="1">
        <f>IF(ISBLANK($A173),"",INDEX(Array_MobileCharges,MATCH($A173,List_MobileFuelMeters,0),ROUNDUP((COLUMN()+1)/3-2,0)))</f>
        <v/>
      </c>
      <c r="K173" s="127"/>
      <c r="L173" s="137"/>
      <c r="M173" s="58" t="str" cm="1">
        <f>IF(ISBLANK($A173),"",INDEX(Array_MobileCharges,MATCH($A173,List_MobileFuelMeters,0),ROUNDUP((COLUMN()+1)/3-2,0)))</f>
        <v/>
      </c>
      <c r="N173" s="127"/>
      <c r="O173" s="137"/>
      <c r="P173" s="58" t="str" cm="1">
        <f>IF(ISBLANK($A173),"",INDEX(Array_MobileCharges,MATCH($A173,List_MobileFuelMeters,0),ROUNDUP((COLUMN()+1)/3-2,0)))</f>
        <v/>
      </c>
      <c r="Q173" s="127"/>
      <c r="R173" s="137"/>
      <c r="S173" s="58" t="str" cm="1">
        <f>IF(ISBLANK($A173),"",INDEX(Array_MobileCharges,MATCH($A173,List_MobileFuelMeters,0),ROUNDUP((COLUMN()+1)/3-2,0)))</f>
        <v/>
      </c>
      <c r="T173" s="127"/>
      <c r="U173" s="137"/>
    </row>
    <row r="174" spans="1:21" x14ac:dyDescent="0.3">
      <c r="A174" s="126"/>
      <c r="B174" s="133"/>
      <c r="C174" s="127"/>
      <c r="D174" s="138"/>
      <c r="E174" s="138"/>
      <c r="F174" s="137"/>
      <c r="G174" s="58" t="str" cm="1">
        <f>IF(ISBLANK($A174),"",INDEX(Array_MobileCharges,MATCH($A174,List_MobileFuelMeters,0),ROUNDUP((COLUMN()+1)/3-2,0)))</f>
        <v/>
      </c>
      <c r="H174" s="127"/>
      <c r="I174" s="137"/>
      <c r="J174" s="58" t="str" cm="1">
        <f>IF(ISBLANK($A174),"",INDEX(Array_MobileCharges,MATCH($A174,List_MobileFuelMeters,0),ROUNDUP((COLUMN()+1)/3-2,0)))</f>
        <v/>
      </c>
      <c r="K174" s="127"/>
      <c r="L174" s="137"/>
      <c r="M174" s="58" t="str" cm="1">
        <f>IF(ISBLANK($A174),"",INDEX(Array_MobileCharges,MATCH($A174,List_MobileFuelMeters,0),ROUNDUP((COLUMN()+1)/3-2,0)))</f>
        <v/>
      </c>
      <c r="N174" s="127"/>
      <c r="O174" s="137"/>
      <c r="P174" s="58" t="str" cm="1">
        <f>IF(ISBLANK($A174),"",INDEX(Array_MobileCharges,MATCH($A174,List_MobileFuelMeters,0),ROUNDUP((COLUMN()+1)/3-2,0)))</f>
        <v/>
      </c>
      <c r="Q174" s="127"/>
      <c r="R174" s="137"/>
      <c r="S174" s="58" t="str" cm="1">
        <f>IF(ISBLANK($A174),"",INDEX(Array_MobileCharges,MATCH($A174,List_MobileFuelMeters,0),ROUNDUP((COLUMN()+1)/3-2,0)))</f>
        <v/>
      </c>
      <c r="T174" s="127"/>
      <c r="U174" s="137"/>
    </row>
    <row r="175" spans="1:21" x14ac:dyDescent="0.3">
      <c r="A175" s="126"/>
      <c r="B175" s="133"/>
      <c r="C175" s="127"/>
      <c r="D175" s="138"/>
      <c r="E175" s="138"/>
      <c r="F175" s="137"/>
      <c r="G175" s="58" t="str" cm="1">
        <f>IF(ISBLANK($A175),"",INDEX(Array_MobileCharges,MATCH($A175,List_MobileFuelMeters,0),ROUNDUP((COLUMN()+1)/3-2,0)))</f>
        <v/>
      </c>
      <c r="H175" s="127"/>
      <c r="I175" s="137"/>
      <c r="J175" s="58" t="str" cm="1">
        <f>IF(ISBLANK($A175),"",INDEX(Array_MobileCharges,MATCH($A175,List_MobileFuelMeters,0),ROUNDUP((COLUMN()+1)/3-2,0)))</f>
        <v/>
      </c>
      <c r="K175" s="127"/>
      <c r="L175" s="137"/>
      <c r="M175" s="58" t="str" cm="1">
        <f>IF(ISBLANK($A175),"",INDEX(Array_MobileCharges,MATCH($A175,List_MobileFuelMeters,0),ROUNDUP((COLUMN()+1)/3-2,0)))</f>
        <v/>
      </c>
      <c r="N175" s="127"/>
      <c r="O175" s="137"/>
      <c r="P175" s="58" t="str" cm="1">
        <f>IF(ISBLANK($A175),"",INDEX(Array_MobileCharges,MATCH($A175,List_MobileFuelMeters,0),ROUNDUP((COLUMN()+1)/3-2,0)))</f>
        <v/>
      </c>
      <c r="Q175" s="127"/>
      <c r="R175" s="137"/>
      <c r="S175" s="58" t="str" cm="1">
        <f>IF(ISBLANK($A175),"",INDEX(Array_MobileCharges,MATCH($A175,List_MobileFuelMeters,0),ROUNDUP((COLUMN()+1)/3-2,0)))</f>
        <v/>
      </c>
      <c r="T175" s="127"/>
      <c r="U175" s="137"/>
    </row>
    <row r="176" spans="1:21" x14ac:dyDescent="0.3">
      <c r="A176" s="126"/>
      <c r="B176" s="133"/>
      <c r="C176" s="127"/>
      <c r="D176" s="138"/>
      <c r="E176" s="138"/>
      <c r="F176" s="137"/>
      <c r="G176" s="58" t="str" cm="1">
        <f>IF(ISBLANK($A176),"",INDEX(Array_MobileCharges,MATCH($A176,List_MobileFuelMeters,0),ROUNDUP((COLUMN()+1)/3-2,0)))</f>
        <v/>
      </c>
      <c r="H176" s="127"/>
      <c r="I176" s="137"/>
      <c r="J176" s="58" t="str" cm="1">
        <f>IF(ISBLANK($A176),"",INDEX(Array_MobileCharges,MATCH($A176,List_MobileFuelMeters,0),ROUNDUP((COLUMN()+1)/3-2,0)))</f>
        <v/>
      </c>
      <c r="K176" s="127"/>
      <c r="L176" s="137"/>
      <c r="M176" s="58" t="str" cm="1">
        <f>IF(ISBLANK($A176),"",INDEX(Array_MobileCharges,MATCH($A176,List_MobileFuelMeters,0),ROUNDUP((COLUMN()+1)/3-2,0)))</f>
        <v/>
      </c>
      <c r="N176" s="127"/>
      <c r="O176" s="137"/>
      <c r="P176" s="58" t="str" cm="1">
        <f>IF(ISBLANK($A176),"",INDEX(Array_MobileCharges,MATCH($A176,List_MobileFuelMeters,0),ROUNDUP((COLUMN()+1)/3-2,0)))</f>
        <v/>
      </c>
      <c r="Q176" s="127"/>
      <c r="R176" s="137"/>
      <c r="S176" s="58" t="str" cm="1">
        <f>IF(ISBLANK($A176),"",INDEX(Array_MobileCharges,MATCH($A176,List_MobileFuelMeters,0),ROUNDUP((COLUMN()+1)/3-2,0)))</f>
        <v/>
      </c>
      <c r="T176" s="127"/>
      <c r="U176" s="137"/>
    </row>
    <row r="177" spans="1:21" x14ac:dyDescent="0.3">
      <c r="A177" s="126"/>
      <c r="B177" s="133"/>
      <c r="C177" s="127"/>
      <c r="D177" s="138"/>
      <c r="E177" s="138"/>
      <c r="F177" s="137"/>
      <c r="G177" s="58" t="str" cm="1">
        <f>IF(ISBLANK($A177),"",INDEX(Array_MobileCharges,MATCH($A177,List_MobileFuelMeters,0),ROUNDUP((COLUMN()+1)/3-2,0)))</f>
        <v/>
      </c>
      <c r="H177" s="127"/>
      <c r="I177" s="137"/>
      <c r="J177" s="58" t="str" cm="1">
        <f>IF(ISBLANK($A177),"",INDEX(Array_MobileCharges,MATCH($A177,List_MobileFuelMeters,0),ROUNDUP((COLUMN()+1)/3-2,0)))</f>
        <v/>
      </c>
      <c r="K177" s="127"/>
      <c r="L177" s="137"/>
      <c r="M177" s="58" t="str" cm="1">
        <f>IF(ISBLANK($A177),"",INDEX(Array_MobileCharges,MATCH($A177,List_MobileFuelMeters,0),ROUNDUP((COLUMN()+1)/3-2,0)))</f>
        <v/>
      </c>
      <c r="N177" s="127"/>
      <c r="O177" s="137"/>
      <c r="P177" s="58" t="str" cm="1">
        <f>IF(ISBLANK($A177),"",INDEX(Array_MobileCharges,MATCH($A177,List_MobileFuelMeters,0),ROUNDUP((COLUMN()+1)/3-2,0)))</f>
        <v/>
      </c>
      <c r="Q177" s="127"/>
      <c r="R177" s="137"/>
      <c r="S177" s="58" t="str" cm="1">
        <f>IF(ISBLANK($A177),"",INDEX(Array_MobileCharges,MATCH($A177,List_MobileFuelMeters,0),ROUNDUP((COLUMN()+1)/3-2,0)))</f>
        <v/>
      </c>
      <c r="T177" s="127"/>
      <c r="U177" s="137"/>
    </row>
    <row r="178" spans="1:21" x14ac:dyDescent="0.3">
      <c r="A178" s="126"/>
      <c r="B178" s="133"/>
      <c r="C178" s="127"/>
      <c r="D178" s="138"/>
      <c r="E178" s="138"/>
      <c r="F178" s="137"/>
      <c r="G178" s="58" t="str" cm="1">
        <f>IF(ISBLANK($A178),"",INDEX(Array_MobileCharges,MATCH($A178,List_MobileFuelMeters,0),ROUNDUP((COLUMN()+1)/3-2,0)))</f>
        <v/>
      </c>
      <c r="H178" s="127"/>
      <c r="I178" s="137"/>
      <c r="J178" s="58" t="str" cm="1">
        <f>IF(ISBLANK($A178),"",INDEX(Array_MobileCharges,MATCH($A178,List_MobileFuelMeters,0),ROUNDUP((COLUMN()+1)/3-2,0)))</f>
        <v/>
      </c>
      <c r="K178" s="127"/>
      <c r="L178" s="137"/>
      <c r="M178" s="58" t="str" cm="1">
        <f>IF(ISBLANK($A178),"",INDEX(Array_MobileCharges,MATCH($A178,List_MobileFuelMeters,0),ROUNDUP((COLUMN()+1)/3-2,0)))</f>
        <v/>
      </c>
      <c r="N178" s="127"/>
      <c r="O178" s="137"/>
      <c r="P178" s="58" t="str" cm="1">
        <f>IF(ISBLANK($A178),"",INDEX(Array_MobileCharges,MATCH($A178,List_MobileFuelMeters,0),ROUNDUP((COLUMN()+1)/3-2,0)))</f>
        <v/>
      </c>
      <c r="Q178" s="127"/>
      <c r="R178" s="137"/>
      <c r="S178" s="58" t="str" cm="1">
        <f>IF(ISBLANK($A178),"",INDEX(Array_MobileCharges,MATCH($A178,List_MobileFuelMeters,0),ROUNDUP((COLUMN()+1)/3-2,0)))</f>
        <v/>
      </c>
      <c r="T178" s="127"/>
      <c r="U178" s="137"/>
    </row>
    <row r="179" spans="1:21" x14ac:dyDescent="0.3">
      <c r="A179" s="126"/>
      <c r="B179" s="133"/>
      <c r="C179" s="127"/>
      <c r="D179" s="138"/>
      <c r="E179" s="138"/>
      <c r="F179" s="137"/>
      <c r="G179" s="58" t="str" cm="1">
        <f>IF(ISBLANK($A179),"",INDEX(Array_MobileCharges,MATCH($A179,List_MobileFuelMeters,0),ROUNDUP((COLUMN()+1)/3-2,0)))</f>
        <v/>
      </c>
      <c r="H179" s="127"/>
      <c r="I179" s="137"/>
      <c r="J179" s="58" t="str" cm="1">
        <f>IF(ISBLANK($A179),"",INDEX(Array_MobileCharges,MATCH($A179,List_MobileFuelMeters,0),ROUNDUP((COLUMN()+1)/3-2,0)))</f>
        <v/>
      </c>
      <c r="K179" s="127"/>
      <c r="L179" s="137"/>
      <c r="M179" s="58" t="str" cm="1">
        <f>IF(ISBLANK($A179),"",INDEX(Array_MobileCharges,MATCH($A179,List_MobileFuelMeters,0),ROUNDUP((COLUMN()+1)/3-2,0)))</f>
        <v/>
      </c>
      <c r="N179" s="127"/>
      <c r="O179" s="137"/>
      <c r="P179" s="58" t="str" cm="1">
        <f>IF(ISBLANK($A179),"",INDEX(Array_MobileCharges,MATCH($A179,List_MobileFuelMeters,0),ROUNDUP((COLUMN()+1)/3-2,0)))</f>
        <v/>
      </c>
      <c r="Q179" s="127"/>
      <c r="R179" s="137"/>
      <c r="S179" s="58" t="str" cm="1">
        <f>IF(ISBLANK($A179),"",INDEX(Array_MobileCharges,MATCH($A179,List_MobileFuelMeters,0),ROUNDUP((COLUMN()+1)/3-2,0)))</f>
        <v/>
      </c>
      <c r="T179" s="127"/>
      <c r="U179" s="137"/>
    </row>
    <row r="180" spans="1:21" x14ac:dyDescent="0.3">
      <c r="A180" s="126"/>
      <c r="B180" s="133"/>
      <c r="C180" s="127"/>
      <c r="D180" s="138"/>
      <c r="E180" s="138"/>
      <c r="F180" s="137"/>
      <c r="G180" s="58" t="str" cm="1">
        <f>IF(ISBLANK($A180),"",INDEX(Array_MobileCharges,MATCH($A180,List_MobileFuelMeters,0),ROUNDUP((COLUMN()+1)/3-2,0)))</f>
        <v/>
      </c>
      <c r="H180" s="127"/>
      <c r="I180" s="137"/>
      <c r="J180" s="58" t="str" cm="1">
        <f>IF(ISBLANK($A180),"",INDEX(Array_MobileCharges,MATCH($A180,List_MobileFuelMeters,0),ROUNDUP((COLUMN()+1)/3-2,0)))</f>
        <v/>
      </c>
      <c r="K180" s="127"/>
      <c r="L180" s="137"/>
      <c r="M180" s="58" t="str" cm="1">
        <f>IF(ISBLANK($A180),"",INDEX(Array_MobileCharges,MATCH($A180,List_MobileFuelMeters,0),ROUNDUP((COLUMN()+1)/3-2,0)))</f>
        <v/>
      </c>
      <c r="N180" s="127"/>
      <c r="O180" s="137"/>
      <c r="P180" s="58" t="str" cm="1">
        <f>IF(ISBLANK($A180),"",INDEX(Array_MobileCharges,MATCH($A180,List_MobileFuelMeters,0),ROUNDUP((COLUMN()+1)/3-2,0)))</f>
        <v/>
      </c>
      <c r="Q180" s="127"/>
      <c r="R180" s="137"/>
      <c r="S180" s="58" t="str" cm="1">
        <f>IF(ISBLANK($A180),"",INDEX(Array_MobileCharges,MATCH($A180,List_MobileFuelMeters,0),ROUNDUP((COLUMN()+1)/3-2,0)))</f>
        <v/>
      </c>
      <c r="T180" s="127"/>
      <c r="U180" s="137"/>
    </row>
    <row r="181" spans="1:21" x14ac:dyDescent="0.3">
      <c r="A181" s="126"/>
      <c r="B181" s="133"/>
      <c r="C181" s="127"/>
      <c r="D181" s="138"/>
      <c r="E181" s="138"/>
      <c r="F181" s="137"/>
      <c r="G181" s="58" t="str" cm="1">
        <f>IF(ISBLANK($A181),"",INDEX(Array_MobileCharges,MATCH($A181,List_MobileFuelMeters,0),ROUNDUP((COLUMN()+1)/3-2,0)))</f>
        <v/>
      </c>
      <c r="H181" s="127"/>
      <c r="I181" s="137"/>
      <c r="J181" s="58" t="str" cm="1">
        <f>IF(ISBLANK($A181),"",INDEX(Array_MobileCharges,MATCH($A181,List_MobileFuelMeters,0),ROUNDUP((COLUMN()+1)/3-2,0)))</f>
        <v/>
      </c>
      <c r="K181" s="127"/>
      <c r="L181" s="137"/>
      <c r="M181" s="58" t="str" cm="1">
        <f>IF(ISBLANK($A181),"",INDEX(Array_MobileCharges,MATCH($A181,List_MobileFuelMeters,0),ROUNDUP((COLUMN()+1)/3-2,0)))</f>
        <v/>
      </c>
      <c r="N181" s="127"/>
      <c r="O181" s="137"/>
      <c r="P181" s="58" t="str" cm="1">
        <f>IF(ISBLANK($A181),"",INDEX(Array_MobileCharges,MATCH($A181,List_MobileFuelMeters,0),ROUNDUP((COLUMN()+1)/3-2,0)))</f>
        <v/>
      </c>
      <c r="Q181" s="127"/>
      <c r="R181" s="137"/>
      <c r="S181" s="58" t="str" cm="1">
        <f>IF(ISBLANK($A181),"",INDEX(Array_MobileCharges,MATCH($A181,List_MobileFuelMeters,0),ROUNDUP((COLUMN()+1)/3-2,0)))</f>
        <v/>
      </c>
      <c r="T181" s="127"/>
      <c r="U181" s="137"/>
    </row>
    <row r="182" spans="1:21" x14ac:dyDescent="0.3">
      <c r="A182" s="126"/>
      <c r="B182" s="133"/>
      <c r="C182" s="127"/>
      <c r="D182" s="138"/>
      <c r="E182" s="138"/>
      <c r="F182" s="137"/>
      <c r="G182" s="58" t="str" cm="1">
        <f>IF(ISBLANK($A182),"",INDEX(Array_MobileCharges,MATCH($A182,List_MobileFuelMeters,0),ROUNDUP((COLUMN()+1)/3-2,0)))</f>
        <v/>
      </c>
      <c r="H182" s="127"/>
      <c r="I182" s="137"/>
      <c r="J182" s="58" t="str" cm="1">
        <f>IF(ISBLANK($A182),"",INDEX(Array_MobileCharges,MATCH($A182,List_MobileFuelMeters,0),ROUNDUP((COLUMN()+1)/3-2,0)))</f>
        <v/>
      </c>
      <c r="K182" s="127"/>
      <c r="L182" s="137"/>
      <c r="M182" s="58" t="str" cm="1">
        <f>IF(ISBLANK($A182),"",INDEX(Array_MobileCharges,MATCH($A182,List_MobileFuelMeters,0),ROUNDUP((COLUMN()+1)/3-2,0)))</f>
        <v/>
      </c>
      <c r="N182" s="127"/>
      <c r="O182" s="137"/>
      <c r="P182" s="58" t="str" cm="1">
        <f>IF(ISBLANK($A182),"",INDEX(Array_MobileCharges,MATCH($A182,List_MobileFuelMeters,0),ROUNDUP((COLUMN()+1)/3-2,0)))</f>
        <v/>
      </c>
      <c r="Q182" s="127"/>
      <c r="R182" s="137"/>
      <c r="S182" s="58" t="str" cm="1">
        <f>IF(ISBLANK($A182),"",INDEX(Array_MobileCharges,MATCH($A182,List_MobileFuelMeters,0),ROUNDUP((COLUMN()+1)/3-2,0)))</f>
        <v/>
      </c>
      <c r="T182" s="127"/>
      <c r="U182" s="137"/>
    </row>
    <row r="183" spans="1:21" x14ac:dyDescent="0.3">
      <c r="A183" s="126"/>
      <c r="B183" s="133"/>
      <c r="C183" s="127"/>
      <c r="D183" s="138"/>
      <c r="E183" s="138"/>
      <c r="F183" s="137"/>
      <c r="G183" s="58" t="str" cm="1">
        <f>IF(ISBLANK($A183),"",INDEX(Array_MobileCharges,MATCH($A183,List_MobileFuelMeters,0),ROUNDUP((COLUMN()+1)/3-2,0)))</f>
        <v/>
      </c>
      <c r="H183" s="127"/>
      <c r="I183" s="137"/>
      <c r="J183" s="58" t="str" cm="1">
        <f>IF(ISBLANK($A183),"",INDEX(Array_MobileCharges,MATCH($A183,List_MobileFuelMeters,0),ROUNDUP((COLUMN()+1)/3-2,0)))</f>
        <v/>
      </c>
      <c r="K183" s="127"/>
      <c r="L183" s="137"/>
      <c r="M183" s="58" t="str" cm="1">
        <f>IF(ISBLANK($A183),"",INDEX(Array_MobileCharges,MATCH($A183,List_MobileFuelMeters,0),ROUNDUP((COLUMN()+1)/3-2,0)))</f>
        <v/>
      </c>
      <c r="N183" s="127"/>
      <c r="O183" s="137"/>
      <c r="P183" s="58" t="str" cm="1">
        <f>IF(ISBLANK($A183),"",INDEX(Array_MobileCharges,MATCH($A183,List_MobileFuelMeters,0),ROUNDUP((COLUMN()+1)/3-2,0)))</f>
        <v/>
      </c>
      <c r="Q183" s="127"/>
      <c r="R183" s="137"/>
      <c r="S183" s="58" t="str" cm="1">
        <f>IF(ISBLANK($A183),"",INDEX(Array_MobileCharges,MATCH($A183,List_MobileFuelMeters,0),ROUNDUP((COLUMN()+1)/3-2,0)))</f>
        <v/>
      </c>
      <c r="T183" s="127"/>
      <c r="U183" s="137"/>
    </row>
    <row r="184" spans="1:21" x14ac:dyDescent="0.3">
      <c r="A184" s="126"/>
      <c r="B184" s="133"/>
      <c r="C184" s="127"/>
      <c r="D184" s="138"/>
      <c r="E184" s="138"/>
      <c r="F184" s="137"/>
      <c r="G184" s="58" t="str" cm="1">
        <f>IF(ISBLANK($A184),"",INDEX(Array_MobileCharges,MATCH($A184,List_MobileFuelMeters,0),ROUNDUP((COLUMN()+1)/3-2,0)))</f>
        <v/>
      </c>
      <c r="H184" s="127"/>
      <c r="I184" s="137"/>
      <c r="J184" s="58" t="str" cm="1">
        <f>IF(ISBLANK($A184),"",INDEX(Array_MobileCharges,MATCH($A184,List_MobileFuelMeters,0),ROUNDUP((COLUMN()+1)/3-2,0)))</f>
        <v/>
      </c>
      <c r="K184" s="127"/>
      <c r="L184" s="137"/>
      <c r="M184" s="58" t="str" cm="1">
        <f>IF(ISBLANK($A184),"",INDEX(Array_MobileCharges,MATCH($A184,List_MobileFuelMeters,0),ROUNDUP((COLUMN()+1)/3-2,0)))</f>
        <v/>
      </c>
      <c r="N184" s="127"/>
      <c r="O184" s="137"/>
      <c r="P184" s="58" t="str" cm="1">
        <f>IF(ISBLANK($A184),"",INDEX(Array_MobileCharges,MATCH($A184,List_MobileFuelMeters,0),ROUNDUP((COLUMN()+1)/3-2,0)))</f>
        <v/>
      </c>
      <c r="Q184" s="127"/>
      <c r="R184" s="137"/>
      <c r="S184" s="58" t="str" cm="1">
        <f>IF(ISBLANK($A184),"",INDEX(Array_MobileCharges,MATCH($A184,List_MobileFuelMeters,0),ROUNDUP((COLUMN()+1)/3-2,0)))</f>
        <v/>
      </c>
      <c r="T184" s="127"/>
      <c r="U184" s="137"/>
    </row>
    <row r="185" spans="1:21" x14ac:dyDescent="0.3">
      <c r="A185" s="126"/>
      <c r="B185" s="133"/>
      <c r="C185" s="127"/>
      <c r="D185" s="138"/>
      <c r="E185" s="138"/>
      <c r="F185" s="137"/>
      <c r="G185" s="58" t="str" cm="1">
        <f>IF(ISBLANK($A185),"",INDEX(Array_MobileCharges,MATCH($A185,List_MobileFuelMeters,0),ROUNDUP((COLUMN()+1)/3-2,0)))</f>
        <v/>
      </c>
      <c r="H185" s="127"/>
      <c r="I185" s="137"/>
      <c r="J185" s="58" t="str" cm="1">
        <f>IF(ISBLANK($A185),"",INDEX(Array_MobileCharges,MATCH($A185,List_MobileFuelMeters,0),ROUNDUP((COLUMN()+1)/3-2,0)))</f>
        <v/>
      </c>
      <c r="K185" s="127"/>
      <c r="L185" s="137"/>
      <c r="M185" s="58" t="str" cm="1">
        <f>IF(ISBLANK($A185),"",INDEX(Array_MobileCharges,MATCH($A185,List_MobileFuelMeters,0),ROUNDUP((COLUMN()+1)/3-2,0)))</f>
        <v/>
      </c>
      <c r="N185" s="127"/>
      <c r="O185" s="137"/>
      <c r="P185" s="58" t="str" cm="1">
        <f>IF(ISBLANK($A185),"",INDEX(Array_MobileCharges,MATCH($A185,List_MobileFuelMeters,0),ROUNDUP((COLUMN()+1)/3-2,0)))</f>
        <v/>
      </c>
      <c r="Q185" s="127"/>
      <c r="R185" s="137"/>
      <c r="S185" s="58" t="str" cm="1">
        <f>IF(ISBLANK($A185),"",INDEX(Array_MobileCharges,MATCH($A185,List_MobileFuelMeters,0),ROUNDUP((COLUMN()+1)/3-2,0)))</f>
        <v/>
      </c>
      <c r="T185" s="127"/>
      <c r="U185" s="137"/>
    </row>
    <row r="186" spans="1:21" x14ac:dyDescent="0.3">
      <c r="A186" s="126"/>
      <c r="B186" s="133"/>
      <c r="C186" s="127"/>
      <c r="D186" s="138"/>
      <c r="E186" s="138"/>
      <c r="F186" s="137"/>
      <c r="G186" s="58" t="str" cm="1">
        <f>IF(ISBLANK($A186),"",INDEX(Array_MobileCharges,MATCH($A186,List_MobileFuelMeters,0),ROUNDUP((COLUMN()+1)/3-2,0)))</f>
        <v/>
      </c>
      <c r="H186" s="127"/>
      <c r="I186" s="137"/>
      <c r="J186" s="58" t="str" cm="1">
        <f>IF(ISBLANK($A186),"",INDEX(Array_MobileCharges,MATCH($A186,List_MobileFuelMeters,0),ROUNDUP((COLUMN()+1)/3-2,0)))</f>
        <v/>
      </c>
      <c r="K186" s="127"/>
      <c r="L186" s="137"/>
      <c r="M186" s="58" t="str" cm="1">
        <f>IF(ISBLANK($A186),"",INDEX(Array_MobileCharges,MATCH($A186,List_MobileFuelMeters,0),ROUNDUP((COLUMN()+1)/3-2,0)))</f>
        <v/>
      </c>
      <c r="N186" s="127"/>
      <c r="O186" s="137"/>
      <c r="P186" s="58" t="str" cm="1">
        <f>IF(ISBLANK($A186),"",INDEX(Array_MobileCharges,MATCH($A186,List_MobileFuelMeters,0),ROUNDUP((COLUMN()+1)/3-2,0)))</f>
        <v/>
      </c>
      <c r="Q186" s="127"/>
      <c r="R186" s="137"/>
      <c r="S186" s="58" t="str" cm="1">
        <f>IF(ISBLANK($A186),"",INDEX(Array_MobileCharges,MATCH($A186,List_MobileFuelMeters,0),ROUNDUP((COLUMN()+1)/3-2,0)))</f>
        <v/>
      </c>
      <c r="T186" s="127"/>
      <c r="U186" s="137"/>
    </row>
    <row r="187" spans="1:21" x14ac:dyDescent="0.3">
      <c r="A187" s="126"/>
      <c r="B187" s="133"/>
      <c r="C187" s="127"/>
      <c r="D187" s="138"/>
      <c r="E187" s="138"/>
      <c r="F187" s="137"/>
      <c r="G187" s="58" t="str" cm="1">
        <f>IF(ISBLANK($A187),"",INDEX(Array_MobileCharges,MATCH($A187,List_MobileFuelMeters,0),ROUNDUP((COLUMN()+1)/3-2,0)))</f>
        <v/>
      </c>
      <c r="H187" s="127"/>
      <c r="I187" s="137"/>
      <c r="J187" s="58" t="str" cm="1">
        <f>IF(ISBLANK($A187),"",INDEX(Array_MobileCharges,MATCH($A187,List_MobileFuelMeters,0),ROUNDUP((COLUMN()+1)/3-2,0)))</f>
        <v/>
      </c>
      <c r="K187" s="127"/>
      <c r="L187" s="137"/>
      <c r="M187" s="58" t="str" cm="1">
        <f>IF(ISBLANK($A187),"",INDEX(Array_MobileCharges,MATCH($A187,List_MobileFuelMeters,0),ROUNDUP((COLUMN()+1)/3-2,0)))</f>
        <v/>
      </c>
      <c r="N187" s="127"/>
      <c r="O187" s="137"/>
      <c r="P187" s="58" t="str" cm="1">
        <f>IF(ISBLANK($A187),"",INDEX(Array_MobileCharges,MATCH($A187,List_MobileFuelMeters,0),ROUNDUP((COLUMN()+1)/3-2,0)))</f>
        <v/>
      </c>
      <c r="Q187" s="127"/>
      <c r="R187" s="137"/>
      <c r="S187" s="58" t="str" cm="1">
        <f>IF(ISBLANK($A187),"",INDEX(Array_MobileCharges,MATCH($A187,List_MobileFuelMeters,0),ROUNDUP((COLUMN()+1)/3-2,0)))</f>
        <v/>
      </c>
      <c r="T187" s="127"/>
      <c r="U187" s="137"/>
    </row>
    <row r="188" spans="1:21" x14ac:dyDescent="0.3">
      <c r="A188" s="126"/>
      <c r="B188" s="133"/>
      <c r="C188" s="127"/>
      <c r="D188" s="138"/>
      <c r="E188" s="138"/>
      <c r="F188" s="137"/>
      <c r="G188" s="58" t="str" cm="1">
        <f>IF(ISBLANK($A188),"",INDEX(Array_MobileCharges,MATCH($A188,List_MobileFuelMeters,0),ROUNDUP((COLUMN()+1)/3-2,0)))</f>
        <v/>
      </c>
      <c r="H188" s="127"/>
      <c r="I188" s="137"/>
      <c r="J188" s="58" t="str" cm="1">
        <f>IF(ISBLANK($A188),"",INDEX(Array_MobileCharges,MATCH($A188,List_MobileFuelMeters,0),ROUNDUP((COLUMN()+1)/3-2,0)))</f>
        <v/>
      </c>
      <c r="K188" s="127"/>
      <c r="L188" s="137"/>
      <c r="M188" s="58" t="str" cm="1">
        <f>IF(ISBLANK($A188),"",INDEX(Array_MobileCharges,MATCH($A188,List_MobileFuelMeters,0),ROUNDUP((COLUMN()+1)/3-2,0)))</f>
        <v/>
      </c>
      <c r="N188" s="127"/>
      <c r="O188" s="137"/>
      <c r="P188" s="58" t="str" cm="1">
        <f>IF(ISBLANK($A188),"",INDEX(Array_MobileCharges,MATCH($A188,List_MobileFuelMeters,0),ROUNDUP((COLUMN()+1)/3-2,0)))</f>
        <v/>
      </c>
      <c r="Q188" s="127"/>
      <c r="R188" s="137"/>
      <c r="S188" s="58" t="str" cm="1">
        <f>IF(ISBLANK($A188),"",INDEX(Array_MobileCharges,MATCH($A188,List_MobileFuelMeters,0),ROUNDUP((COLUMN()+1)/3-2,0)))</f>
        <v/>
      </c>
      <c r="T188" s="127"/>
      <c r="U188" s="137"/>
    </row>
    <row r="189" spans="1:21" x14ac:dyDescent="0.3">
      <c r="A189" s="126"/>
      <c r="B189" s="133"/>
      <c r="C189" s="127"/>
      <c r="D189" s="138"/>
      <c r="E189" s="138"/>
      <c r="F189" s="137"/>
      <c r="G189" s="58" t="str" cm="1">
        <f>IF(ISBLANK($A189),"",INDEX(Array_MobileCharges,MATCH($A189,List_MobileFuelMeters,0),ROUNDUP((COLUMN()+1)/3-2,0)))</f>
        <v/>
      </c>
      <c r="H189" s="127"/>
      <c r="I189" s="137"/>
      <c r="J189" s="58" t="str" cm="1">
        <f>IF(ISBLANK($A189),"",INDEX(Array_MobileCharges,MATCH($A189,List_MobileFuelMeters,0),ROUNDUP((COLUMN()+1)/3-2,0)))</f>
        <v/>
      </c>
      <c r="K189" s="127"/>
      <c r="L189" s="137"/>
      <c r="M189" s="58" t="str" cm="1">
        <f>IF(ISBLANK($A189),"",INDEX(Array_MobileCharges,MATCH($A189,List_MobileFuelMeters,0),ROUNDUP((COLUMN()+1)/3-2,0)))</f>
        <v/>
      </c>
      <c r="N189" s="127"/>
      <c r="O189" s="137"/>
      <c r="P189" s="58" t="str" cm="1">
        <f>IF(ISBLANK($A189),"",INDEX(Array_MobileCharges,MATCH($A189,List_MobileFuelMeters,0),ROUNDUP((COLUMN()+1)/3-2,0)))</f>
        <v/>
      </c>
      <c r="Q189" s="127"/>
      <c r="R189" s="137"/>
      <c r="S189" s="58" t="str" cm="1">
        <f>IF(ISBLANK($A189),"",INDEX(Array_MobileCharges,MATCH($A189,List_MobileFuelMeters,0),ROUNDUP((COLUMN()+1)/3-2,0)))</f>
        <v/>
      </c>
      <c r="T189" s="127"/>
      <c r="U189" s="137"/>
    </row>
    <row r="190" spans="1:21" x14ac:dyDescent="0.3">
      <c r="A190" s="126"/>
      <c r="B190" s="133"/>
      <c r="C190" s="127"/>
      <c r="D190" s="138"/>
      <c r="E190" s="138"/>
      <c r="F190" s="137"/>
      <c r="G190" s="58" t="str" cm="1">
        <f>IF(ISBLANK($A190),"",INDEX(Array_MobileCharges,MATCH($A190,List_MobileFuelMeters,0),ROUNDUP((COLUMN()+1)/3-2,0)))</f>
        <v/>
      </c>
      <c r="H190" s="127"/>
      <c r="I190" s="137"/>
      <c r="J190" s="58" t="str" cm="1">
        <f>IF(ISBLANK($A190),"",INDEX(Array_MobileCharges,MATCH($A190,List_MobileFuelMeters,0),ROUNDUP((COLUMN()+1)/3-2,0)))</f>
        <v/>
      </c>
      <c r="K190" s="127"/>
      <c r="L190" s="137"/>
      <c r="M190" s="58" t="str" cm="1">
        <f>IF(ISBLANK($A190),"",INDEX(Array_MobileCharges,MATCH($A190,List_MobileFuelMeters,0),ROUNDUP((COLUMN()+1)/3-2,0)))</f>
        <v/>
      </c>
      <c r="N190" s="127"/>
      <c r="O190" s="137"/>
      <c r="P190" s="58" t="str" cm="1">
        <f>IF(ISBLANK($A190),"",INDEX(Array_MobileCharges,MATCH($A190,List_MobileFuelMeters,0),ROUNDUP((COLUMN()+1)/3-2,0)))</f>
        <v/>
      </c>
      <c r="Q190" s="127"/>
      <c r="R190" s="137"/>
      <c r="S190" s="58" t="str" cm="1">
        <f>IF(ISBLANK($A190),"",INDEX(Array_MobileCharges,MATCH($A190,List_MobileFuelMeters,0),ROUNDUP((COLUMN()+1)/3-2,0)))</f>
        <v/>
      </c>
      <c r="T190" s="127"/>
      <c r="U190" s="137"/>
    </row>
    <row r="191" spans="1:21" x14ac:dyDescent="0.3">
      <c r="A191" s="126"/>
      <c r="B191" s="133"/>
      <c r="C191" s="127"/>
      <c r="D191" s="138"/>
      <c r="E191" s="138"/>
      <c r="F191" s="137"/>
      <c r="G191" s="58" t="str" cm="1">
        <f>IF(ISBLANK($A191),"",INDEX(Array_MobileCharges,MATCH($A191,List_MobileFuelMeters,0),ROUNDUP((COLUMN()+1)/3-2,0)))</f>
        <v/>
      </c>
      <c r="H191" s="127"/>
      <c r="I191" s="137"/>
      <c r="J191" s="58" t="str" cm="1">
        <f>IF(ISBLANK($A191),"",INDEX(Array_MobileCharges,MATCH($A191,List_MobileFuelMeters,0),ROUNDUP((COLUMN()+1)/3-2,0)))</f>
        <v/>
      </c>
      <c r="K191" s="127"/>
      <c r="L191" s="137"/>
      <c r="M191" s="58" t="str" cm="1">
        <f>IF(ISBLANK($A191),"",INDEX(Array_MobileCharges,MATCH($A191,List_MobileFuelMeters,0),ROUNDUP((COLUMN()+1)/3-2,0)))</f>
        <v/>
      </c>
      <c r="N191" s="127"/>
      <c r="O191" s="137"/>
      <c r="P191" s="58" t="str" cm="1">
        <f>IF(ISBLANK($A191),"",INDEX(Array_MobileCharges,MATCH($A191,List_MobileFuelMeters,0),ROUNDUP((COLUMN()+1)/3-2,0)))</f>
        <v/>
      </c>
      <c r="Q191" s="127"/>
      <c r="R191" s="137"/>
      <c r="S191" s="58" t="str" cm="1">
        <f>IF(ISBLANK($A191),"",INDEX(Array_MobileCharges,MATCH($A191,List_MobileFuelMeters,0),ROUNDUP((COLUMN()+1)/3-2,0)))</f>
        <v/>
      </c>
      <c r="T191" s="127"/>
      <c r="U191" s="137"/>
    </row>
    <row r="192" spans="1:21" x14ac:dyDescent="0.3">
      <c r="A192" s="126"/>
      <c r="B192" s="133"/>
      <c r="C192" s="127"/>
      <c r="D192" s="138"/>
      <c r="E192" s="138"/>
      <c r="F192" s="137"/>
      <c r="G192" s="58" t="str" cm="1">
        <f>IF(ISBLANK($A192),"",INDEX(Array_MobileCharges,MATCH($A192,List_MobileFuelMeters,0),ROUNDUP((COLUMN()+1)/3-2,0)))</f>
        <v/>
      </c>
      <c r="H192" s="127"/>
      <c r="I192" s="137"/>
      <c r="J192" s="58" t="str" cm="1">
        <f>IF(ISBLANK($A192),"",INDEX(Array_MobileCharges,MATCH($A192,List_MobileFuelMeters,0),ROUNDUP((COLUMN()+1)/3-2,0)))</f>
        <v/>
      </c>
      <c r="K192" s="127"/>
      <c r="L192" s="137"/>
      <c r="M192" s="58" t="str" cm="1">
        <f>IF(ISBLANK($A192),"",INDEX(Array_MobileCharges,MATCH($A192,List_MobileFuelMeters,0),ROUNDUP((COLUMN()+1)/3-2,0)))</f>
        <v/>
      </c>
      <c r="N192" s="127"/>
      <c r="O192" s="137"/>
      <c r="P192" s="58" t="str" cm="1">
        <f>IF(ISBLANK($A192),"",INDEX(Array_MobileCharges,MATCH($A192,List_MobileFuelMeters,0),ROUNDUP((COLUMN()+1)/3-2,0)))</f>
        <v/>
      </c>
      <c r="Q192" s="127"/>
      <c r="R192" s="137"/>
      <c r="S192" s="58" t="str" cm="1">
        <f>IF(ISBLANK($A192),"",INDEX(Array_MobileCharges,MATCH($A192,List_MobileFuelMeters,0),ROUNDUP((COLUMN()+1)/3-2,0)))</f>
        <v/>
      </c>
      <c r="T192" s="127"/>
      <c r="U192" s="137"/>
    </row>
    <row r="193" spans="1:21" x14ac:dyDescent="0.3">
      <c r="A193" s="126"/>
      <c r="B193" s="133"/>
      <c r="C193" s="127"/>
      <c r="D193" s="138"/>
      <c r="E193" s="138"/>
      <c r="F193" s="137"/>
      <c r="G193" s="58" t="str" cm="1">
        <f>IF(ISBLANK($A193),"",INDEX(Array_MobileCharges,MATCH($A193,List_MobileFuelMeters,0),ROUNDUP((COLUMN()+1)/3-2,0)))</f>
        <v/>
      </c>
      <c r="H193" s="127"/>
      <c r="I193" s="137"/>
      <c r="J193" s="58" t="str" cm="1">
        <f>IF(ISBLANK($A193),"",INDEX(Array_MobileCharges,MATCH($A193,List_MobileFuelMeters,0),ROUNDUP((COLUMN()+1)/3-2,0)))</f>
        <v/>
      </c>
      <c r="K193" s="127"/>
      <c r="L193" s="137"/>
      <c r="M193" s="58" t="str" cm="1">
        <f>IF(ISBLANK($A193),"",INDEX(Array_MobileCharges,MATCH($A193,List_MobileFuelMeters,0),ROUNDUP((COLUMN()+1)/3-2,0)))</f>
        <v/>
      </c>
      <c r="N193" s="127"/>
      <c r="O193" s="137"/>
      <c r="P193" s="58" t="str" cm="1">
        <f>IF(ISBLANK($A193),"",INDEX(Array_MobileCharges,MATCH($A193,List_MobileFuelMeters,0),ROUNDUP((COLUMN()+1)/3-2,0)))</f>
        <v/>
      </c>
      <c r="Q193" s="127"/>
      <c r="R193" s="137"/>
      <c r="S193" s="58" t="str" cm="1">
        <f>IF(ISBLANK($A193),"",INDEX(Array_MobileCharges,MATCH($A193,List_MobileFuelMeters,0),ROUNDUP((COLUMN()+1)/3-2,0)))</f>
        <v/>
      </c>
      <c r="T193" s="127"/>
      <c r="U193" s="137"/>
    </row>
    <row r="194" spans="1:21" x14ac:dyDescent="0.3">
      <c r="A194" s="126"/>
      <c r="B194" s="133"/>
      <c r="C194" s="127"/>
      <c r="D194" s="138"/>
      <c r="E194" s="138"/>
      <c r="F194" s="137"/>
      <c r="G194" s="58" t="str" cm="1">
        <f>IF(ISBLANK($A194),"",INDEX(Array_MobileCharges,MATCH($A194,List_MobileFuelMeters,0),ROUNDUP((COLUMN()+1)/3-2,0)))</f>
        <v/>
      </c>
      <c r="H194" s="127"/>
      <c r="I194" s="137"/>
      <c r="J194" s="58" t="str" cm="1">
        <f>IF(ISBLANK($A194),"",INDEX(Array_MobileCharges,MATCH($A194,List_MobileFuelMeters,0),ROUNDUP((COLUMN()+1)/3-2,0)))</f>
        <v/>
      </c>
      <c r="K194" s="127"/>
      <c r="L194" s="137"/>
      <c r="M194" s="58" t="str" cm="1">
        <f>IF(ISBLANK($A194),"",INDEX(Array_MobileCharges,MATCH($A194,List_MobileFuelMeters,0),ROUNDUP((COLUMN()+1)/3-2,0)))</f>
        <v/>
      </c>
      <c r="N194" s="127"/>
      <c r="O194" s="137"/>
      <c r="P194" s="58" t="str" cm="1">
        <f>IF(ISBLANK($A194),"",INDEX(Array_MobileCharges,MATCH($A194,List_MobileFuelMeters,0),ROUNDUP((COLUMN()+1)/3-2,0)))</f>
        <v/>
      </c>
      <c r="Q194" s="127"/>
      <c r="R194" s="137"/>
      <c r="S194" s="58" t="str" cm="1">
        <f>IF(ISBLANK($A194),"",INDEX(Array_MobileCharges,MATCH($A194,List_MobileFuelMeters,0),ROUNDUP((COLUMN()+1)/3-2,0)))</f>
        <v/>
      </c>
      <c r="T194" s="127"/>
      <c r="U194" s="137"/>
    </row>
    <row r="195" spans="1:21" x14ac:dyDescent="0.3">
      <c r="A195" s="126"/>
      <c r="B195" s="133"/>
      <c r="C195" s="127"/>
      <c r="D195" s="138"/>
      <c r="E195" s="138"/>
      <c r="F195" s="137"/>
      <c r="G195" s="58" t="str" cm="1">
        <f>IF(ISBLANK($A195),"",INDEX(Array_MobileCharges,MATCH($A195,List_MobileFuelMeters,0),ROUNDUP((COLUMN()+1)/3-2,0)))</f>
        <v/>
      </c>
      <c r="H195" s="127"/>
      <c r="I195" s="137"/>
      <c r="J195" s="58" t="str" cm="1">
        <f>IF(ISBLANK($A195),"",INDEX(Array_MobileCharges,MATCH($A195,List_MobileFuelMeters,0),ROUNDUP((COLUMN()+1)/3-2,0)))</f>
        <v/>
      </c>
      <c r="K195" s="127"/>
      <c r="L195" s="137"/>
      <c r="M195" s="58" t="str" cm="1">
        <f>IF(ISBLANK($A195),"",INDEX(Array_MobileCharges,MATCH($A195,List_MobileFuelMeters,0),ROUNDUP((COLUMN()+1)/3-2,0)))</f>
        <v/>
      </c>
      <c r="N195" s="127"/>
      <c r="O195" s="137"/>
      <c r="P195" s="58" t="str" cm="1">
        <f>IF(ISBLANK($A195),"",INDEX(Array_MobileCharges,MATCH($A195,List_MobileFuelMeters,0),ROUNDUP((COLUMN()+1)/3-2,0)))</f>
        <v/>
      </c>
      <c r="Q195" s="127"/>
      <c r="R195" s="137"/>
      <c r="S195" s="58" t="str" cm="1">
        <f>IF(ISBLANK($A195),"",INDEX(Array_MobileCharges,MATCH($A195,List_MobileFuelMeters,0),ROUNDUP((COLUMN()+1)/3-2,0)))</f>
        <v/>
      </c>
      <c r="T195" s="127"/>
      <c r="U195" s="137"/>
    </row>
    <row r="196" spans="1:21" x14ac:dyDescent="0.3">
      <c r="A196" s="126"/>
      <c r="B196" s="133"/>
      <c r="C196" s="127"/>
      <c r="D196" s="138"/>
      <c r="E196" s="138"/>
      <c r="F196" s="137"/>
      <c r="G196" s="58" t="str" cm="1">
        <f>IF(ISBLANK($A196),"",INDEX(Array_MobileCharges,MATCH($A196,List_MobileFuelMeters,0),ROUNDUP((COLUMN()+1)/3-2,0)))</f>
        <v/>
      </c>
      <c r="H196" s="127"/>
      <c r="I196" s="137"/>
      <c r="J196" s="58" t="str" cm="1">
        <f>IF(ISBLANK($A196),"",INDEX(Array_MobileCharges,MATCH($A196,List_MobileFuelMeters,0),ROUNDUP((COLUMN()+1)/3-2,0)))</f>
        <v/>
      </c>
      <c r="K196" s="127"/>
      <c r="L196" s="137"/>
      <c r="M196" s="58" t="str" cm="1">
        <f>IF(ISBLANK($A196),"",INDEX(Array_MobileCharges,MATCH($A196,List_MobileFuelMeters,0),ROUNDUP((COLUMN()+1)/3-2,0)))</f>
        <v/>
      </c>
      <c r="N196" s="127"/>
      <c r="O196" s="137"/>
      <c r="P196" s="58" t="str" cm="1">
        <f>IF(ISBLANK($A196),"",INDEX(Array_MobileCharges,MATCH($A196,List_MobileFuelMeters,0),ROUNDUP((COLUMN()+1)/3-2,0)))</f>
        <v/>
      </c>
      <c r="Q196" s="127"/>
      <c r="R196" s="137"/>
      <c r="S196" s="58" t="str" cm="1">
        <f>IF(ISBLANK($A196),"",INDEX(Array_MobileCharges,MATCH($A196,List_MobileFuelMeters,0),ROUNDUP((COLUMN()+1)/3-2,0)))</f>
        <v/>
      </c>
      <c r="T196" s="127"/>
      <c r="U196" s="137"/>
    </row>
    <row r="197" spans="1:21" x14ac:dyDescent="0.3">
      <c r="A197" s="126"/>
      <c r="B197" s="133"/>
      <c r="C197" s="127"/>
      <c r="D197" s="138"/>
      <c r="E197" s="138"/>
      <c r="F197" s="137"/>
      <c r="G197" s="58" t="str" cm="1">
        <f>IF(ISBLANK($A197),"",INDEX(Array_MobileCharges,MATCH($A197,List_MobileFuelMeters,0),ROUNDUP((COLUMN()+1)/3-2,0)))</f>
        <v/>
      </c>
      <c r="H197" s="127"/>
      <c r="I197" s="137"/>
      <c r="J197" s="58" t="str" cm="1">
        <f>IF(ISBLANK($A197),"",INDEX(Array_MobileCharges,MATCH($A197,List_MobileFuelMeters,0),ROUNDUP((COLUMN()+1)/3-2,0)))</f>
        <v/>
      </c>
      <c r="K197" s="127"/>
      <c r="L197" s="137"/>
      <c r="M197" s="58" t="str" cm="1">
        <f>IF(ISBLANK($A197),"",INDEX(Array_MobileCharges,MATCH($A197,List_MobileFuelMeters,0),ROUNDUP((COLUMN()+1)/3-2,0)))</f>
        <v/>
      </c>
      <c r="N197" s="127"/>
      <c r="O197" s="137"/>
      <c r="P197" s="58" t="str" cm="1">
        <f>IF(ISBLANK($A197),"",INDEX(Array_MobileCharges,MATCH($A197,List_MobileFuelMeters,0),ROUNDUP((COLUMN()+1)/3-2,0)))</f>
        <v/>
      </c>
      <c r="Q197" s="127"/>
      <c r="R197" s="137"/>
      <c r="S197" s="58" t="str" cm="1">
        <f>IF(ISBLANK($A197),"",INDEX(Array_MobileCharges,MATCH($A197,List_MobileFuelMeters,0),ROUNDUP((COLUMN()+1)/3-2,0)))</f>
        <v/>
      </c>
      <c r="T197" s="127"/>
      <c r="U197" s="137"/>
    </row>
    <row r="198" spans="1:21" x14ac:dyDescent="0.3">
      <c r="A198" s="126"/>
      <c r="B198" s="133"/>
      <c r="C198" s="127"/>
      <c r="D198" s="138"/>
      <c r="E198" s="138"/>
      <c r="F198" s="137"/>
      <c r="G198" s="58" t="str" cm="1">
        <f>IF(ISBLANK($A198),"",INDEX(Array_MobileCharges,MATCH($A198,List_MobileFuelMeters,0),ROUNDUP((COLUMN()+1)/3-2,0)))</f>
        <v/>
      </c>
      <c r="H198" s="127"/>
      <c r="I198" s="137"/>
      <c r="J198" s="58" t="str" cm="1">
        <f>IF(ISBLANK($A198),"",INDEX(Array_MobileCharges,MATCH($A198,List_MobileFuelMeters,0),ROUNDUP((COLUMN()+1)/3-2,0)))</f>
        <v/>
      </c>
      <c r="K198" s="127"/>
      <c r="L198" s="137"/>
      <c r="M198" s="58" t="str" cm="1">
        <f>IF(ISBLANK($A198),"",INDEX(Array_MobileCharges,MATCH($A198,List_MobileFuelMeters,0),ROUNDUP((COLUMN()+1)/3-2,0)))</f>
        <v/>
      </c>
      <c r="N198" s="127"/>
      <c r="O198" s="137"/>
      <c r="P198" s="58" t="str" cm="1">
        <f>IF(ISBLANK($A198),"",INDEX(Array_MobileCharges,MATCH($A198,List_MobileFuelMeters,0),ROUNDUP((COLUMN()+1)/3-2,0)))</f>
        <v/>
      </c>
      <c r="Q198" s="127"/>
      <c r="R198" s="137"/>
      <c r="S198" s="58" t="str" cm="1">
        <f>IF(ISBLANK($A198),"",INDEX(Array_MobileCharges,MATCH($A198,List_MobileFuelMeters,0),ROUNDUP((COLUMN()+1)/3-2,0)))</f>
        <v/>
      </c>
      <c r="T198" s="127"/>
      <c r="U198" s="137"/>
    </row>
    <row r="199" spans="1:21" x14ac:dyDescent="0.3">
      <c r="A199" s="126"/>
      <c r="B199" s="133"/>
      <c r="C199" s="127"/>
      <c r="D199" s="138"/>
      <c r="E199" s="138"/>
      <c r="F199" s="137"/>
      <c r="G199" s="58" t="str" cm="1">
        <f>IF(ISBLANK($A199),"",INDEX(Array_MobileCharges,MATCH($A199,List_MobileFuelMeters,0),ROUNDUP((COLUMN()+1)/3-2,0)))</f>
        <v/>
      </c>
      <c r="H199" s="127"/>
      <c r="I199" s="137"/>
      <c r="J199" s="58" t="str" cm="1">
        <f>IF(ISBLANK($A199),"",INDEX(Array_MobileCharges,MATCH($A199,List_MobileFuelMeters,0),ROUNDUP((COLUMN()+1)/3-2,0)))</f>
        <v/>
      </c>
      <c r="K199" s="127"/>
      <c r="L199" s="137"/>
      <c r="M199" s="58" t="str" cm="1">
        <f>IF(ISBLANK($A199),"",INDEX(Array_MobileCharges,MATCH($A199,List_MobileFuelMeters,0),ROUNDUP((COLUMN()+1)/3-2,0)))</f>
        <v/>
      </c>
      <c r="N199" s="127"/>
      <c r="O199" s="137"/>
      <c r="P199" s="58" t="str" cm="1">
        <f>IF(ISBLANK($A199),"",INDEX(Array_MobileCharges,MATCH($A199,List_MobileFuelMeters,0),ROUNDUP((COLUMN()+1)/3-2,0)))</f>
        <v/>
      </c>
      <c r="Q199" s="127"/>
      <c r="R199" s="137"/>
      <c r="S199" s="58" t="str" cm="1">
        <f>IF(ISBLANK($A199),"",INDEX(Array_MobileCharges,MATCH($A199,List_MobileFuelMeters,0),ROUNDUP((COLUMN()+1)/3-2,0)))</f>
        <v/>
      </c>
      <c r="T199" s="127"/>
      <c r="U199" s="137"/>
    </row>
    <row r="200" spans="1:21" x14ac:dyDescent="0.3">
      <c r="A200" s="126"/>
      <c r="B200" s="133"/>
      <c r="C200" s="127"/>
      <c r="D200" s="138"/>
      <c r="E200" s="138"/>
      <c r="F200" s="137"/>
      <c r="G200" s="58" t="str" cm="1">
        <f>IF(ISBLANK($A200),"",INDEX(Array_MobileCharges,MATCH($A200,List_MobileFuelMeters,0),ROUNDUP((COLUMN()+1)/3-2,0)))</f>
        <v/>
      </c>
      <c r="H200" s="127"/>
      <c r="I200" s="137"/>
      <c r="J200" s="58" t="str" cm="1">
        <f>IF(ISBLANK($A200),"",INDEX(Array_MobileCharges,MATCH($A200,List_MobileFuelMeters,0),ROUNDUP((COLUMN()+1)/3-2,0)))</f>
        <v/>
      </c>
      <c r="K200" s="127"/>
      <c r="L200" s="137"/>
      <c r="M200" s="58" t="str" cm="1">
        <f>IF(ISBLANK($A200),"",INDEX(Array_MobileCharges,MATCH($A200,List_MobileFuelMeters,0),ROUNDUP((COLUMN()+1)/3-2,0)))</f>
        <v/>
      </c>
      <c r="N200" s="127"/>
      <c r="O200" s="137"/>
      <c r="P200" s="58" t="str" cm="1">
        <f>IF(ISBLANK($A200),"",INDEX(Array_MobileCharges,MATCH($A200,List_MobileFuelMeters,0),ROUNDUP((COLUMN()+1)/3-2,0)))</f>
        <v/>
      </c>
      <c r="Q200" s="127"/>
      <c r="R200" s="137"/>
      <c r="S200" s="58" t="str" cm="1">
        <f>IF(ISBLANK($A200),"",INDEX(Array_MobileCharges,MATCH($A200,List_MobileFuelMeters,0),ROUNDUP((COLUMN()+1)/3-2,0)))</f>
        <v/>
      </c>
      <c r="T200" s="127"/>
      <c r="U200" s="137"/>
    </row>
    <row r="201" spans="1:21" x14ac:dyDescent="0.3">
      <c r="A201" s="126"/>
      <c r="B201" s="133"/>
      <c r="C201" s="127"/>
      <c r="D201" s="138"/>
      <c r="E201" s="138"/>
      <c r="F201" s="137"/>
      <c r="G201" s="58" t="str" cm="1">
        <f>IF(ISBLANK($A201),"",INDEX(Array_MobileCharges,MATCH($A201,List_MobileFuelMeters,0),ROUNDUP((COLUMN()+1)/3-2,0)))</f>
        <v/>
      </c>
      <c r="H201" s="127"/>
      <c r="I201" s="137"/>
      <c r="J201" s="58" t="str" cm="1">
        <f>IF(ISBLANK($A201),"",INDEX(Array_MobileCharges,MATCH($A201,List_MobileFuelMeters,0),ROUNDUP((COLUMN()+1)/3-2,0)))</f>
        <v/>
      </c>
      <c r="K201" s="127"/>
      <c r="L201" s="137"/>
      <c r="M201" s="58" t="str" cm="1">
        <f>IF(ISBLANK($A201),"",INDEX(Array_MobileCharges,MATCH($A201,List_MobileFuelMeters,0),ROUNDUP((COLUMN()+1)/3-2,0)))</f>
        <v/>
      </c>
      <c r="N201" s="127"/>
      <c r="O201" s="137"/>
      <c r="P201" s="58" t="str" cm="1">
        <f>IF(ISBLANK($A201),"",INDEX(Array_MobileCharges,MATCH($A201,List_MobileFuelMeters,0),ROUNDUP((COLUMN()+1)/3-2,0)))</f>
        <v/>
      </c>
      <c r="Q201" s="127"/>
      <c r="R201" s="137"/>
      <c r="S201" s="58" t="str" cm="1">
        <f>IF(ISBLANK($A201),"",INDEX(Array_MobileCharges,MATCH($A201,List_MobileFuelMeters,0),ROUNDUP((COLUMN()+1)/3-2,0)))</f>
        <v/>
      </c>
      <c r="T201" s="127"/>
      <c r="U201" s="137"/>
    </row>
    <row r="202" spans="1:21" x14ac:dyDescent="0.3">
      <c r="A202" s="126"/>
      <c r="B202" s="133"/>
      <c r="C202" s="127"/>
      <c r="D202" s="138"/>
      <c r="E202" s="138"/>
      <c r="F202" s="137"/>
      <c r="G202" s="58" t="str" cm="1">
        <f>IF(ISBLANK($A202),"",INDEX(Array_MobileCharges,MATCH($A202,List_MobileFuelMeters,0),ROUNDUP((COLUMN()+1)/3-2,0)))</f>
        <v/>
      </c>
      <c r="H202" s="127"/>
      <c r="I202" s="137"/>
      <c r="J202" s="58" t="str" cm="1">
        <f>IF(ISBLANK($A202),"",INDEX(Array_MobileCharges,MATCH($A202,List_MobileFuelMeters,0),ROUNDUP((COLUMN()+1)/3-2,0)))</f>
        <v/>
      </c>
      <c r="K202" s="127"/>
      <c r="L202" s="137"/>
      <c r="M202" s="58" t="str" cm="1">
        <f>IF(ISBLANK($A202),"",INDEX(Array_MobileCharges,MATCH($A202,List_MobileFuelMeters,0),ROUNDUP((COLUMN()+1)/3-2,0)))</f>
        <v/>
      </c>
      <c r="N202" s="127"/>
      <c r="O202" s="137"/>
      <c r="P202" s="58" t="str" cm="1">
        <f>IF(ISBLANK($A202),"",INDEX(Array_MobileCharges,MATCH($A202,List_MobileFuelMeters,0),ROUNDUP((COLUMN()+1)/3-2,0)))</f>
        <v/>
      </c>
      <c r="Q202" s="127"/>
      <c r="R202" s="137"/>
      <c r="S202" s="58" t="str" cm="1">
        <f>IF(ISBLANK($A202),"",INDEX(Array_MobileCharges,MATCH($A202,List_MobileFuelMeters,0),ROUNDUP((COLUMN()+1)/3-2,0)))</f>
        <v/>
      </c>
      <c r="T202" s="127"/>
      <c r="U202" s="137"/>
    </row>
    <row r="203" spans="1:21" x14ac:dyDescent="0.3">
      <c r="A203" s="126"/>
      <c r="B203" s="133"/>
      <c r="C203" s="127"/>
      <c r="D203" s="138"/>
      <c r="E203" s="138"/>
      <c r="F203" s="137"/>
      <c r="G203" s="58" t="str" cm="1">
        <f>IF(ISBLANK($A203),"",INDEX(Array_MobileCharges,MATCH($A203,List_MobileFuelMeters,0),ROUNDUP((COLUMN()+1)/3-2,0)))</f>
        <v/>
      </c>
      <c r="H203" s="127"/>
      <c r="I203" s="137"/>
      <c r="J203" s="58" t="str" cm="1">
        <f>IF(ISBLANK($A203),"",INDEX(Array_MobileCharges,MATCH($A203,List_MobileFuelMeters,0),ROUNDUP((COLUMN()+1)/3-2,0)))</f>
        <v/>
      </c>
      <c r="K203" s="127"/>
      <c r="L203" s="137"/>
      <c r="M203" s="58" t="str" cm="1">
        <f>IF(ISBLANK($A203),"",INDEX(Array_MobileCharges,MATCH($A203,List_MobileFuelMeters,0),ROUNDUP((COLUMN()+1)/3-2,0)))</f>
        <v/>
      </c>
      <c r="N203" s="127"/>
      <c r="O203" s="137"/>
      <c r="P203" s="58" t="str" cm="1">
        <f>IF(ISBLANK($A203),"",INDEX(Array_MobileCharges,MATCH($A203,List_MobileFuelMeters,0),ROUNDUP((COLUMN()+1)/3-2,0)))</f>
        <v/>
      </c>
      <c r="Q203" s="127"/>
      <c r="R203" s="137"/>
      <c r="S203" s="58" t="str" cm="1">
        <f>IF(ISBLANK($A203),"",INDEX(Array_MobileCharges,MATCH($A203,List_MobileFuelMeters,0),ROUNDUP((COLUMN()+1)/3-2,0)))</f>
        <v/>
      </c>
      <c r="T203" s="127"/>
      <c r="U203" s="137"/>
    </row>
    <row r="204" spans="1:21" x14ac:dyDescent="0.3">
      <c r="A204" s="126"/>
      <c r="B204" s="133"/>
      <c r="C204" s="127"/>
      <c r="D204" s="138"/>
      <c r="E204" s="138"/>
      <c r="F204" s="137"/>
      <c r="G204" s="58" t="str" cm="1">
        <f>IF(ISBLANK($A204),"",INDEX(Array_MobileCharges,MATCH($A204,List_MobileFuelMeters,0),ROUNDUP((COLUMN()+1)/3-2,0)))</f>
        <v/>
      </c>
      <c r="H204" s="127"/>
      <c r="I204" s="137"/>
      <c r="J204" s="58" t="str" cm="1">
        <f>IF(ISBLANK($A204),"",INDEX(Array_MobileCharges,MATCH($A204,List_MobileFuelMeters,0),ROUNDUP((COLUMN()+1)/3-2,0)))</f>
        <v/>
      </c>
      <c r="K204" s="127"/>
      <c r="L204" s="137"/>
      <c r="M204" s="58" t="str" cm="1">
        <f>IF(ISBLANK($A204),"",INDEX(Array_MobileCharges,MATCH($A204,List_MobileFuelMeters,0),ROUNDUP((COLUMN()+1)/3-2,0)))</f>
        <v/>
      </c>
      <c r="N204" s="127"/>
      <c r="O204" s="137"/>
      <c r="P204" s="58" t="str" cm="1">
        <f>IF(ISBLANK($A204),"",INDEX(Array_MobileCharges,MATCH($A204,List_MobileFuelMeters,0),ROUNDUP((COLUMN()+1)/3-2,0)))</f>
        <v/>
      </c>
      <c r="Q204" s="127"/>
      <c r="R204" s="137"/>
      <c r="S204" s="58" t="str" cm="1">
        <f>IF(ISBLANK($A204),"",INDEX(Array_MobileCharges,MATCH($A204,List_MobileFuelMeters,0),ROUNDUP((COLUMN()+1)/3-2,0)))</f>
        <v/>
      </c>
      <c r="T204" s="127"/>
      <c r="U204" s="137"/>
    </row>
    <row r="205" spans="1:21" x14ac:dyDescent="0.3">
      <c r="A205" s="126"/>
      <c r="B205" s="133"/>
      <c r="C205" s="127"/>
      <c r="D205" s="138"/>
      <c r="E205" s="138"/>
      <c r="F205" s="137"/>
      <c r="G205" s="58" t="str" cm="1">
        <f>IF(ISBLANK($A205),"",INDEX(Array_MobileCharges,MATCH($A205,List_MobileFuelMeters,0),ROUNDUP((COLUMN()+1)/3-2,0)))</f>
        <v/>
      </c>
      <c r="H205" s="127"/>
      <c r="I205" s="137"/>
      <c r="J205" s="58" t="str" cm="1">
        <f>IF(ISBLANK($A205),"",INDEX(Array_MobileCharges,MATCH($A205,List_MobileFuelMeters,0),ROUNDUP((COLUMN()+1)/3-2,0)))</f>
        <v/>
      </c>
      <c r="K205" s="127"/>
      <c r="L205" s="137"/>
      <c r="M205" s="58" t="str" cm="1">
        <f>IF(ISBLANK($A205),"",INDEX(Array_MobileCharges,MATCH($A205,List_MobileFuelMeters,0),ROUNDUP((COLUMN()+1)/3-2,0)))</f>
        <v/>
      </c>
      <c r="N205" s="127"/>
      <c r="O205" s="137"/>
      <c r="P205" s="58" t="str" cm="1">
        <f>IF(ISBLANK($A205),"",INDEX(Array_MobileCharges,MATCH($A205,List_MobileFuelMeters,0),ROUNDUP((COLUMN()+1)/3-2,0)))</f>
        <v/>
      </c>
      <c r="Q205" s="127"/>
      <c r="R205" s="137"/>
      <c r="S205" s="58" t="str" cm="1">
        <f>IF(ISBLANK($A205),"",INDEX(Array_MobileCharges,MATCH($A205,List_MobileFuelMeters,0),ROUNDUP((COLUMN()+1)/3-2,0)))</f>
        <v/>
      </c>
      <c r="T205" s="127"/>
      <c r="U205" s="137"/>
    </row>
    <row r="206" spans="1:21" x14ac:dyDescent="0.3">
      <c r="A206" s="126"/>
      <c r="B206" s="133"/>
      <c r="C206" s="127"/>
      <c r="D206" s="138"/>
      <c r="E206" s="138"/>
      <c r="F206" s="137"/>
      <c r="G206" s="58" t="str" cm="1">
        <f>IF(ISBLANK($A206),"",INDEX(Array_MobileCharges,MATCH($A206,List_MobileFuelMeters,0),ROUNDUP((COLUMN()+1)/3-2,0)))</f>
        <v/>
      </c>
      <c r="H206" s="127"/>
      <c r="I206" s="137"/>
      <c r="J206" s="58" t="str" cm="1">
        <f>IF(ISBLANK($A206),"",INDEX(Array_MobileCharges,MATCH($A206,List_MobileFuelMeters,0),ROUNDUP((COLUMN()+1)/3-2,0)))</f>
        <v/>
      </c>
      <c r="K206" s="127"/>
      <c r="L206" s="137"/>
      <c r="M206" s="58" t="str" cm="1">
        <f>IF(ISBLANK($A206),"",INDEX(Array_MobileCharges,MATCH($A206,List_MobileFuelMeters,0),ROUNDUP((COLUMN()+1)/3-2,0)))</f>
        <v/>
      </c>
      <c r="N206" s="127"/>
      <c r="O206" s="137"/>
      <c r="P206" s="58" t="str" cm="1">
        <f>IF(ISBLANK($A206),"",INDEX(Array_MobileCharges,MATCH($A206,List_MobileFuelMeters,0),ROUNDUP((COLUMN()+1)/3-2,0)))</f>
        <v/>
      </c>
      <c r="Q206" s="127"/>
      <c r="R206" s="137"/>
      <c r="S206" s="58" t="str" cm="1">
        <f>IF(ISBLANK($A206),"",INDEX(Array_MobileCharges,MATCH($A206,List_MobileFuelMeters,0),ROUNDUP((COLUMN()+1)/3-2,0)))</f>
        <v/>
      </c>
      <c r="T206" s="127"/>
      <c r="U206" s="137"/>
    </row>
    <row r="207" spans="1:21" x14ac:dyDescent="0.3">
      <c r="A207" s="126"/>
      <c r="B207" s="133"/>
      <c r="C207" s="127"/>
      <c r="D207" s="138"/>
      <c r="E207" s="138"/>
      <c r="F207" s="137"/>
      <c r="G207" s="58" t="str" cm="1">
        <f>IF(ISBLANK($A207),"",INDEX(Array_MobileCharges,MATCH($A207,List_MobileFuelMeters,0),ROUNDUP((COLUMN()+1)/3-2,0)))</f>
        <v/>
      </c>
      <c r="H207" s="127"/>
      <c r="I207" s="137"/>
      <c r="J207" s="58" t="str" cm="1">
        <f>IF(ISBLANK($A207),"",INDEX(Array_MobileCharges,MATCH($A207,List_MobileFuelMeters,0),ROUNDUP((COLUMN()+1)/3-2,0)))</f>
        <v/>
      </c>
      <c r="K207" s="127"/>
      <c r="L207" s="137"/>
      <c r="M207" s="58" t="str" cm="1">
        <f>IF(ISBLANK($A207),"",INDEX(Array_MobileCharges,MATCH($A207,List_MobileFuelMeters,0),ROUNDUP((COLUMN()+1)/3-2,0)))</f>
        <v/>
      </c>
      <c r="N207" s="127"/>
      <c r="O207" s="137"/>
      <c r="P207" s="58" t="str" cm="1">
        <f>IF(ISBLANK($A207),"",INDEX(Array_MobileCharges,MATCH($A207,List_MobileFuelMeters,0),ROUNDUP((COLUMN()+1)/3-2,0)))</f>
        <v/>
      </c>
      <c r="Q207" s="127"/>
      <c r="R207" s="137"/>
      <c r="S207" s="58" t="str" cm="1">
        <f>IF(ISBLANK($A207),"",INDEX(Array_MobileCharges,MATCH($A207,List_MobileFuelMeters,0),ROUNDUP((COLUMN()+1)/3-2,0)))</f>
        <v/>
      </c>
      <c r="T207" s="127"/>
      <c r="U207" s="137"/>
    </row>
    <row r="208" spans="1:21" x14ac:dyDescent="0.3">
      <c r="A208" s="126"/>
      <c r="B208" s="133"/>
      <c r="C208" s="127"/>
      <c r="D208" s="138"/>
      <c r="E208" s="138"/>
      <c r="F208" s="137"/>
      <c r="G208" s="58" t="str" cm="1">
        <f>IF(ISBLANK($A208),"",INDEX(Array_MobileCharges,MATCH($A208,List_MobileFuelMeters,0),ROUNDUP((COLUMN()+1)/3-2,0)))</f>
        <v/>
      </c>
      <c r="H208" s="127"/>
      <c r="I208" s="137"/>
      <c r="J208" s="58" t="str" cm="1">
        <f>IF(ISBLANK($A208),"",INDEX(Array_MobileCharges,MATCH($A208,List_MobileFuelMeters,0),ROUNDUP((COLUMN()+1)/3-2,0)))</f>
        <v/>
      </c>
      <c r="K208" s="127"/>
      <c r="L208" s="137"/>
      <c r="M208" s="58" t="str" cm="1">
        <f>IF(ISBLANK($A208),"",INDEX(Array_MobileCharges,MATCH($A208,List_MobileFuelMeters,0),ROUNDUP((COLUMN()+1)/3-2,0)))</f>
        <v/>
      </c>
      <c r="N208" s="127"/>
      <c r="O208" s="137"/>
      <c r="P208" s="58" t="str" cm="1">
        <f>IF(ISBLANK($A208),"",INDEX(Array_MobileCharges,MATCH($A208,List_MobileFuelMeters,0),ROUNDUP((COLUMN()+1)/3-2,0)))</f>
        <v/>
      </c>
      <c r="Q208" s="127"/>
      <c r="R208" s="137"/>
      <c r="S208" s="58" t="str" cm="1">
        <f>IF(ISBLANK($A208),"",INDEX(Array_MobileCharges,MATCH($A208,List_MobileFuelMeters,0),ROUNDUP((COLUMN()+1)/3-2,0)))</f>
        <v/>
      </c>
      <c r="T208" s="127"/>
      <c r="U208" s="137"/>
    </row>
    <row r="209" spans="1:21" x14ac:dyDescent="0.3">
      <c r="A209" s="126"/>
      <c r="B209" s="133"/>
      <c r="C209" s="127"/>
      <c r="D209" s="138"/>
      <c r="E209" s="138"/>
      <c r="F209" s="137"/>
      <c r="G209" s="58" t="str" cm="1">
        <f>IF(ISBLANK($A209),"",INDEX(Array_MobileCharges,MATCH($A209,List_MobileFuelMeters,0),ROUNDUP((COLUMN()+1)/3-2,0)))</f>
        <v/>
      </c>
      <c r="H209" s="127"/>
      <c r="I209" s="137"/>
      <c r="J209" s="58" t="str" cm="1">
        <f>IF(ISBLANK($A209),"",INDEX(Array_MobileCharges,MATCH($A209,List_MobileFuelMeters,0),ROUNDUP((COLUMN()+1)/3-2,0)))</f>
        <v/>
      </c>
      <c r="K209" s="127"/>
      <c r="L209" s="137"/>
      <c r="M209" s="58" t="str" cm="1">
        <f>IF(ISBLANK($A209),"",INDEX(Array_MobileCharges,MATCH($A209,List_MobileFuelMeters,0),ROUNDUP((COLUMN()+1)/3-2,0)))</f>
        <v/>
      </c>
      <c r="N209" s="127"/>
      <c r="O209" s="137"/>
      <c r="P209" s="58" t="str" cm="1">
        <f>IF(ISBLANK($A209),"",INDEX(Array_MobileCharges,MATCH($A209,List_MobileFuelMeters,0),ROUNDUP((COLUMN()+1)/3-2,0)))</f>
        <v/>
      </c>
      <c r="Q209" s="127"/>
      <c r="R209" s="137"/>
      <c r="S209" s="58" t="str" cm="1">
        <f>IF(ISBLANK($A209),"",INDEX(Array_MobileCharges,MATCH($A209,List_MobileFuelMeters,0),ROUNDUP((COLUMN()+1)/3-2,0)))</f>
        <v/>
      </c>
      <c r="T209" s="127"/>
      <c r="U209" s="137"/>
    </row>
    <row r="210" spans="1:21" x14ac:dyDescent="0.3">
      <c r="A210" s="126"/>
      <c r="B210" s="133"/>
      <c r="C210" s="127"/>
      <c r="D210" s="138"/>
      <c r="E210" s="138"/>
      <c r="F210" s="137"/>
      <c r="G210" s="58" t="str" cm="1">
        <f>IF(ISBLANK($A210),"",INDEX(Array_MobileCharges,MATCH($A210,List_MobileFuelMeters,0),ROUNDUP((COLUMN()+1)/3-2,0)))</f>
        <v/>
      </c>
      <c r="H210" s="127"/>
      <c r="I210" s="137"/>
      <c r="J210" s="58" t="str" cm="1">
        <f>IF(ISBLANK($A210),"",INDEX(Array_MobileCharges,MATCH($A210,List_MobileFuelMeters,0),ROUNDUP((COLUMN()+1)/3-2,0)))</f>
        <v/>
      </c>
      <c r="K210" s="127"/>
      <c r="L210" s="137"/>
      <c r="M210" s="58" t="str" cm="1">
        <f>IF(ISBLANK($A210),"",INDEX(Array_MobileCharges,MATCH($A210,List_MobileFuelMeters,0),ROUNDUP((COLUMN()+1)/3-2,0)))</f>
        <v/>
      </c>
      <c r="N210" s="127"/>
      <c r="O210" s="137"/>
      <c r="P210" s="58" t="str" cm="1">
        <f>IF(ISBLANK($A210),"",INDEX(Array_MobileCharges,MATCH($A210,List_MobileFuelMeters,0),ROUNDUP((COLUMN()+1)/3-2,0)))</f>
        <v/>
      </c>
      <c r="Q210" s="127"/>
      <c r="R210" s="137"/>
      <c r="S210" s="58" t="str" cm="1">
        <f>IF(ISBLANK($A210),"",INDEX(Array_MobileCharges,MATCH($A210,List_MobileFuelMeters,0),ROUNDUP((COLUMN()+1)/3-2,0)))</f>
        <v/>
      </c>
      <c r="T210" s="127"/>
      <c r="U210" s="137"/>
    </row>
    <row r="211" spans="1:21" x14ac:dyDescent="0.3">
      <c r="A211" s="126"/>
      <c r="B211" s="133"/>
      <c r="C211" s="127"/>
      <c r="D211" s="138"/>
      <c r="E211" s="138"/>
      <c r="F211" s="137"/>
      <c r="G211" s="58" t="str" cm="1">
        <f>IF(ISBLANK($A211),"",INDEX(Array_MobileCharges,MATCH($A211,List_MobileFuelMeters,0),ROUNDUP((COLUMN()+1)/3-2,0)))</f>
        <v/>
      </c>
      <c r="H211" s="127"/>
      <c r="I211" s="137"/>
      <c r="J211" s="58" t="str" cm="1">
        <f>IF(ISBLANK($A211),"",INDEX(Array_MobileCharges,MATCH($A211,List_MobileFuelMeters,0),ROUNDUP((COLUMN()+1)/3-2,0)))</f>
        <v/>
      </c>
      <c r="K211" s="127"/>
      <c r="L211" s="137"/>
      <c r="M211" s="58" t="str" cm="1">
        <f>IF(ISBLANK($A211),"",INDEX(Array_MobileCharges,MATCH($A211,List_MobileFuelMeters,0),ROUNDUP((COLUMN()+1)/3-2,0)))</f>
        <v/>
      </c>
      <c r="N211" s="127"/>
      <c r="O211" s="137"/>
      <c r="P211" s="58" t="str" cm="1">
        <f>IF(ISBLANK($A211),"",INDEX(Array_MobileCharges,MATCH($A211,List_MobileFuelMeters,0),ROUNDUP((COLUMN()+1)/3-2,0)))</f>
        <v/>
      </c>
      <c r="Q211" s="127"/>
      <c r="R211" s="137"/>
      <c r="S211" s="58" t="str" cm="1">
        <f>IF(ISBLANK($A211),"",INDEX(Array_MobileCharges,MATCH($A211,List_MobileFuelMeters,0),ROUNDUP((COLUMN()+1)/3-2,0)))</f>
        <v/>
      </c>
      <c r="T211" s="127"/>
      <c r="U211" s="137"/>
    </row>
    <row r="212" spans="1:21" x14ac:dyDescent="0.3">
      <c r="A212" s="126"/>
      <c r="B212" s="133"/>
      <c r="C212" s="127"/>
      <c r="D212" s="138"/>
      <c r="E212" s="138"/>
      <c r="F212" s="137"/>
      <c r="G212" s="58" t="str" cm="1">
        <f>IF(ISBLANK($A212),"",INDEX(Array_MobileCharges,MATCH($A212,List_MobileFuelMeters,0),ROUNDUP((COLUMN()+1)/3-2,0)))</f>
        <v/>
      </c>
      <c r="H212" s="127"/>
      <c r="I212" s="137"/>
      <c r="J212" s="58" t="str" cm="1">
        <f>IF(ISBLANK($A212),"",INDEX(Array_MobileCharges,MATCH($A212,List_MobileFuelMeters,0),ROUNDUP((COLUMN()+1)/3-2,0)))</f>
        <v/>
      </c>
      <c r="K212" s="127"/>
      <c r="L212" s="137"/>
      <c r="M212" s="58" t="str" cm="1">
        <f>IF(ISBLANK($A212),"",INDEX(Array_MobileCharges,MATCH($A212,List_MobileFuelMeters,0),ROUNDUP((COLUMN()+1)/3-2,0)))</f>
        <v/>
      </c>
      <c r="N212" s="127"/>
      <c r="O212" s="137"/>
      <c r="P212" s="58" t="str" cm="1">
        <f>IF(ISBLANK($A212),"",INDEX(Array_MobileCharges,MATCH($A212,List_MobileFuelMeters,0),ROUNDUP((COLUMN()+1)/3-2,0)))</f>
        <v/>
      </c>
      <c r="Q212" s="127"/>
      <c r="R212" s="137"/>
      <c r="S212" s="58" t="str" cm="1">
        <f>IF(ISBLANK($A212),"",INDEX(Array_MobileCharges,MATCH($A212,List_MobileFuelMeters,0),ROUNDUP((COLUMN()+1)/3-2,0)))</f>
        <v/>
      </c>
      <c r="T212" s="127"/>
      <c r="U212" s="137"/>
    </row>
    <row r="213" spans="1:21" x14ac:dyDescent="0.3">
      <c r="A213" s="126"/>
      <c r="B213" s="133"/>
      <c r="C213" s="127"/>
      <c r="D213" s="138"/>
      <c r="E213" s="138"/>
      <c r="F213" s="137"/>
      <c r="G213" s="58" t="str" cm="1">
        <f>IF(ISBLANK($A213),"",INDEX(Array_MobileCharges,MATCH($A213,List_MobileFuelMeters,0),ROUNDUP((COLUMN()+1)/3-2,0)))</f>
        <v/>
      </c>
      <c r="H213" s="127"/>
      <c r="I213" s="137"/>
      <c r="J213" s="58" t="str" cm="1">
        <f>IF(ISBLANK($A213),"",INDEX(Array_MobileCharges,MATCH($A213,List_MobileFuelMeters,0),ROUNDUP((COLUMN()+1)/3-2,0)))</f>
        <v/>
      </c>
      <c r="K213" s="127"/>
      <c r="L213" s="137"/>
      <c r="M213" s="58" t="str" cm="1">
        <f>IF(ISBLANK($A213),"",INDEX(Array_MobileCharges,MATCH($A213,List_MobileFuelMeters,0),ROUNDUP((COLUMN()+1)/3-2,0)))</f>
        <v/>
      </c>
      <c r="N213" s="127"/>
      <c r="O213" s="137"/>
      <c r="P213" s="58" t="str" cm="1">
        <f>IF(ISBLANK($A213),"",INDEX(Array_MobileCharges,MATCH($A213,List_MobileFuelMeters,0),ROUNDUP((COLUMN()+1)/3-2,0)))</f>
        <v/>
      </c>
      <c r="Q213" s="127"/>
      <c r="R213" s="137"/>
      <c r="S213" s="58" t="str" cm="1">
        <f>IF(ISBLANK($A213),"",INDEX(Array_MobileCharges,MATCH($A213,List_MobileFuelMeters,0),ROUNDUP((COLUMN()+1)/3-2,0)))</f>
        <v/>
      </c>
      <c r="T213" s="127"/>
      <c r="U213" s="137"/>
    </row>
    <row r="214" spans="1:21" x14ac:dyDescent="0.3">
      <c r="A214" s="126"/>
      <c r="B214" s="133"/>
      <c r="C214" s="127"/>
      <c r="D214" s="138"/>
      <c r="E214" s="138"/>
      <c r="F214" s="137"/>
      <c r="G214" s="58" t="str" cm="1">
        <f>IF(ISBLANK($A214),"",INDEX(Array_MobileCharges,MATCH($A214,List_MobileFuelMeters,0),ROUNDUP((COLUMN()+1)/3-2,0)))</f>
        <v/>
      </c>
      <c r="H214" s="127"/>
      <c r="I214" s="137"/>
      <c r="J214" s="58" t="str" cm="1">
        <f>IF(ISBLANK($A214),"",INDEX(Array_MobileCharges,MATCH($A214,List_MobileFuelMeters,0),ROUNDUP((COLUMN()+1)/3-2,0)))</f>
        <v/>
      </c>
      <c r="K214" s="127"/>
      <c r="L214" s="137"/>
      <c r="M214" s="58" t="str" cm="1">
        <f>IF(ISBLANK($A214),"",INDEX(Array_MobileCharges,MATCH($A214,List_MobileFuelMeters,0),ROUNDUP((COLUMN()+1)/3-2,0)))</f>
        <v/>
      </c>
      <c r="N214" s="127"/>
      <c r="O214" s="137"/>
      <c r="P214" s="58" t="str" cm="1">
        <f>IF(ISBLANK($A214),"",INDEX(Array_MobileCharges,MATCH($A214,List_MobileFuelMeters,0),ROUNDUP((COLUMN()+1)/3-2,0)))</f>
        <v/>
      </c>
      <c r="Q214" s="127"/>
      <c r="R214" s="137"/>
      <c r="S214" s="58" t="str" cm="1">
        <f>IF(ISBLANK($A214),"",INDEX(Array_MobileCharges,MATCH($A214,List_MobileFuelMeters,0),ROUNDUP((COLUMN()+1)/3-2,0)))</f>
        <v/>
      </c>
      <c r="T214" s="127"/>
      <c r="U214" s="137"/>
    </row>
    <row r="215" spans="1:21" x14ac:dyDescent="0.3">
      <c r="A215" s="126"/>
      <c r="B215" s="133"/>
      <c r="C215" s="127"/>
      <c r="D215" s="138"/>
      <c r="E215" s="138"/>
      <c r="F215" s="137"/>
      <c r="G215" s="58" t="str" cm="1">
        <f>IF(ISBLANK($A215),"",INDEX(Array_MobileCharges,MATCH($A215,List_MobileFuelMeters,0),ROUNDUP((COLUMN()+1)/3-2,0)))</f>
        <v/>
      </c>
      <c r="H215" s="127"/>
      <c r="I215" s="137"/>
      <c r="J215" s="58" t="str" cm="1">
        <f>IF(ISBLANK($A215),"",INDEX(Array_MobileCharges,MATCH($A215,List_MobileFuelMeters,0),ROUNDUP((COLUMN()+1)/3-2,0)))</f>
        <v/>
      </c>
      <c r="K215" s="127"/>
      <c r="L215" s="137"/>
      <c r="M215" s="58" t="str" cm="1">
        <f>IF(ISBLANK($A215),"",INDEX(Array_MobileCharges,MATCH($A215,List_MobileFuelMeters,0),ROUNDUP((COLUMN()+1)/3-2,0)))</f>
        <v/>
      </c>
      <c r="N215" s="127"/>
      <c r="O215" s="137"/>
      <c r="P215" s="58" t="str" cm="1">
        <f>IF(ISBLANK($A215),"",INDEX(Array_MobileCharges,MATCH($A215,List_MobileFuelMeters,0),ROUNDUP((COLUMN()+1)/3-2,0)))</f>
        <v/>
      </c>
      <c r="Q215" s="127"/>
      <c r="R215" s="137"/>
      <c r="S215" s="58" t="str" cm="1">
        <f>IF(ISBLANK($A215),"",INDEX(Array_MobileCharges,MATCH($A215,List_MobileFuelMeters,0),ROUNDUP((COLUMN()+1)/3-2,0)))</f>
        <v/>
      </c>
      <c r="T215" s="127"/>
      <c r="U215" s="137"/>
    </row>
    <row r="216" spans="1:21" x14ac:dyDescent="0.3">
      <c r="A216" s="126"/>
      <c r="B216" s="133"/>
      <c r="C216" s="127"/>
      <c r="D216" s="138"/>
      <c r="E216" s="138"/>
      <c r="F216" s="137"/>
      <c r="G216" s="58" t="str" cm="1">
        <f>IF(ISBLANK($A216),"",INDEX(Array_MobileCharges,MATCH($A216,List_MobileFuelMeters,0),ROUNDUP((COLUMN()+1)/3-2,0)))</f>
        <v/>
      </c>
      <c r="H216" s="127"/>
      <c r="I216" s="137"/>
      <c r="J216" s="58" t="str" cm="1">
        <f>IF(ISBLANK($A216),"",INDEX(Array_MobileCharges,MATCH($A216,List_MobileFuelMeters,0),ROUNDUP((COLUMN()+1)/3-2,0)))</f>
        <v/>
      </c>
      <c r="K216" s="127"/>
      <c r="L216" s="137"/>
      <c r="M216" s="58" t="str" cm="1">
        <f>IF(ISBLANK($A216),"",INDEX(Array_MobileCharges,MATCH($A216,List_MobileFuelMeters,0),ROUNDUP((COLUMN()+1)/3-2,0)))</f>
        <v/>
      </c>
      <c r="N216" s="127"/>
      <c r="O216" s="137"/>
      <c r="P216" s="58" t="str" cm="1">
        <f>IF(ISBLANK($A216),"",INDEX(Array_MobileCharges,MATCH($A216,List_MobileFuelMeters,0),ROUNDUP((COLUMN()+1)/3-2,0)))</f>
        <v/>
      </c>
      <c r="Q216" s="127"/>
      <c r="R216" s="137"/>
      <c r="S216" s="58" t="str" cm="1">
        <f>IF(ISBLANK($A216),"",INDEX(Array_MobileCharges,MATCH($A216,List_MobileFuelMeters,0),ROUNDUP((COLUMN()+1)/3-2,0)))</f>
        <v/>
      </c>
      <c r="T216" s="127"/>
      <c r="U216" s="137"/>
    </row>
    <row r="217" spans="1:21" x14ac:dyDescent="0.3">
      <c r="A217" s="126"/>
      <c r="B217" s="133"/>
      <c r="C217" s="127"/>
      <c r="D217" s="138"/>
      <c r="E217" s="138"/>
      <c r="F217" s="137"/>
      <c r="G217" s="58" t="str" cm="1">
        <f>IF(ISBLANK($A217),"",INDEX(Array_MobileCharges,MATCH($A217,List_MobileFuelMeters,0),ROUNDUP((COLUMN()+1)/3-2,0)))</f>
        <v/>
      </c>
      <c r="H217" s="127"/>
      <c r="I217" s="137"/>
      <c r="J217" s="58" t="str" cm="1">
        <f>IF(ISBLANK($A217),"",INDEX(Array_MobileCharges,MATCH($A217,List_MobileFuelMeters,0),ROUNDUP((COLUMN()+1)/3-2,0)))</f>
        <v/>
      </c>
      <c r="K217" s="127"/>
      <c r="L217" s="137"/>
      <c r="M217" s="58" t="str" cm="1">
        <f>IF(ISBLANK($A217),"",INDEX(Array_MobileCharges,MATCH($A217,List_MobileFuelMeters,0),ROUNDUP((COLUMN()+1)/3-2,0)))</f>
        <v/>
      </c>
      <c r="N217" s="127"/>
      <c r="O217" s="137"/>
      <c r="P217" s="58" t="str" cm="1">
        <f>IF(ISBLANK($A217),"",INDEX(Array_MobileCharges,MATCH($A217,List_MobileFuelMeters,0),ROUNDUP((COLUMN()+1)/3-2,0)))</f>
        <v/>
      </c>
      <c r="Q217" s="127"/>
      <c r="R217" s="137"/>
      <c r="S217" s="58" t="str" cm="1">
        <f>IF(ISBLANK($A217),"",INDEX(Array_MobileCharges,MATCH($A217,List_MobileFuelMeters,0),ROUNDUP((COLUMN()+1)/3-2,0)))</f>
        <v/>
      </c>
      <c r="T217" s="127"/>
      <c r="U217" s="137"/>
    </row>
    <row r="218" spans="1:21" x14ac:dyDescent="0.3">
      <c r="A218" s="126"/>
      <c r="B218" s="133"/>
      <c r="C218" s="127"/>
      <c r="D218" s="138"/>
      <c r="E218" s="138"/>
      <c r="F218" s="137"/>
      <c r="G218" s="58" t="str" cm="1">
        <f>IF(ISBLANK($A218),"",INDEX(Array_MobileCharges,MATCH($A218,List_MobileFuelMeters,0),ROUNDUP((COLUMN()+1)/3-2,0)))</f>
        <v/>
      </c>
      <c r="H218" s="127"/>
      <c r="I218" s="137"/>
      <c r="J218" s="58" t="str" cm="1">
        <f>IF(ISBLANK($A218),"",INDEX(Array_MobileCharges,MATCH($A218,List_MobileFuelMeters,0),ROUNDUP((COLUMN()+1)/3-2,0)))</f>
        <v/>
      </c>
      <c r="K218" s="127"/>
      <c r="L218" s="137"/>
      <c r="M218" s="58" t="str" cm="1">
        <f>IF(ISBLANK($A218),"",INDEX(Array_MobileCharges,MATCH($A218,List_MobileFuelMeters,0),ROUNDUP((COLUMN()+1)/3-2,0)))</f>
        <v/>
      </c>
      <c r="N218" s="127"/>
      <c r="O218" s="137"/>
      <c r="P218" s="58" t="str" cm="1">
        <f>IF(ISBLANK($A218),"",INDEX(Array_MobileCharges,MATCH($A218,List_MobileFuelMeters,0),ROUNDUP((COLUMN()+1)/3-2,0)))</f>
        <v/>
      </c>
      <c r="Q218" s="127"/>
      <c r="R218" s="137"/>
      <c r="S218" s="58" t="str" cm="1">
        <f>IF(ISBLANK($A218),"",INDEX(Array_MobileCharges,MATCH($A218,List_MobileFuelMeters,0),ROUNDUP((COLUMN()+1)/3-2,0)))</f>
        <v/>
      </c>
      <c r="T218" s="127"/>
      <c r="U218" s="137"/>
    </row>
    <row r="219" spans="1:21" x14ac:dyDescent="0.3">
      <c r="A219" s="126"/>
      <c r="B219" s="133"/>
      <c r="C219" s="127"/>
      <c r="D219" s="138"/>
      <c r="E219" s="138"/>
      <c r="F219" s="137"/>
      <c r="G219" s="58" t="str" cm="1">
        <f>IF(ISBLANK($A219),"",INDEX(Array_MobileCharges,MATCH($A219,List_MobileFuelMeters,0),ROUNDUP((COLUMN()+1)/3-2,0)))</f>
        <v/>
      </c>
      <c r="H219" s="127"/>
      <c r="I219" s="137"/>
      <c r="J219" s="58" t="str" cm="1">
        <f>IF(ISBLANK($A219),"",INDEX(Array_MobileCharges,MATCH($A219,List_MobileFuelMeters,0),ROUNDUP((COLUMN()+1)/3-2,0)))</f>
        <v/>
      </c>
      <c r="K219" s="127"/>
      <c r="L219" s="137"/>
      <c r="M219" s="58" t="str" cm="1">
        <f>IF(ISBLANK($A219),"",INDEX(Array_MobileCharges,MATCH($A219,List_MobileFuelMeters,0),ROUNDUP((COLUMN()+1)/3-2,0)))</f>
        <v/>
      </c>
      <c r="N219" s="127"/>
      <c r="O219" s="137"/>
      <c r="P219" s="58" t="str" cm="1">
        <f>IF(ISBLANK($A219),"",INDEX(Array_MobileCharges,MATCH($A219,List_MobileFuelMeters,0),ROUNDUP((COLUMN()+1)/3-2,0)))</f>
        <v/>
      </c>
      <c r="Q219" s="127"/>
      <c r="R219" s="137"/>
      <c r="S219" s="58" t="str" cm="1">
        <f>IF(ISBLANK($A219),"",INDEX(Array_MobileCharges,MATCH($A219,List_MobileFuelMeters,0),ROUNDUP((COLUMN()+1)/3-2,0)))</f>
        <v/>
      </c>
      <c r="T219" s="127"/>
      <c r="U219" s="137"/>
    </row>
    <row r="220" spans="1:21" x14ac:dyDescent="0.3">
      <c r="A220" s="126"/>
      <c r="B220" s="133"/>
      <c r="C220" s="127"/>
      <c r="D220" s="138"/>
      <c r="E220" s="138"/>
      <c r="F220" s="137"/>
      <c r="G220" s="58" t="str" cm="1">
        <f>IF(ISBLANK($A220),"",INDEX(Array_MobileCharges,MATCH($A220,List_MobileFuelMeters,0),ROUNDUP((COLUMN()+1)/3-2,0)))</f>
        <v/>
      </c>
      <c r="H220" s="127"/>
      <c r="I220" s="137"/>
      <c r="J220" s="58" t="str" cm="1">
        <f>IF(ISBLANK($A220),"",INDEX(Array_MobileCharges,MATCH($A220,List_MobileFuelMeters,0),ROUNDUP((COLUMN()+1)/3-2,0)))</f>
        <v/>
      </c>
      <c r="K220" s="127"/>
      <c r="L220" s="137"/>
      <c r="M220" s="58" t="str" cm="1">
        <f>IF(ISBLANK($A220),"",INDEX(Array_MobileCharges,MATCH($A220,List_MobileFuelMeters,0),ROUNDUP((COLUMN()+1)/3-2,0)))</f>
        <v/>
      </c>
      <c r="N220" s="127"/>
      <c r="O220" s="137"/>
      <c r="P220" s="58" t="str" cm="1">
        <f>IF(ISBLANK($A220),"",INDEX(Array_MobileCharges,MATCH($A220,List_MobileFuelMeters,0),ROUNDUP((COLUMN()+1)/3-2,0)))</f>
        <v/>
      </c>
      <c r="Q220" s="127"/>
      <c r="R220" s="137"/>
      <c r="S220" s="58" t="str" cm="1">
        <f>IF(ISBLANK($A220),"",INDEX(Array_MobileCharges,MATCH($A220,List_MobileFuelMeters,0),ROUNDUP((COLUMN()+1)/3-2,0)))</f>
        <v/>
      </c>
      <c r="T220" s="127"/>
      <c r="U220" s="137"/>
    </row>
    <row r="221" spans="1:21" x14ac:dyDescent="0.3">
      <c r="A221" s="126"/>
      <c r="B221" s="133"/>
      <c r="C221" s="127"/>
      <c r="D221" s="138"/>
      <c r="E221" s="138"/>
      <c r="F221" s="137"/>
      <c r="G221" s="58" t="str" cm="1">
        <f>IF(ISBLANK($A221),"",INDEX(Array_MobileCharges,MATCH($A221,List_MobileFuelMeters,0),ROUNDUP((COLUMN()+1)/3-2,0)))</f>
        <v/>
      </c>
      <c r="H221" s="127"/>
      <c r="I221" s="137"/>
      <c r="J221" s="58" t="str" cm="1">
        <f>IF(ISBLANK($A221),"",INDEX(Array_MobileCharges,MATCH($A221,List_MobileFuelMeters,0),ROUNDUP((COLUMN()+1)/3-2,0)))</f>
        <v/>
      </c>
      <c r="K221" s="127"/>
      <c r="L221" s="137"/>
      <c r="M221" s="58" t="str" cm="1">
        <f>IF(ISBLANK($A221),"",INDEX(Array_MobileCharges,MATCH($A221,List_MobileFuelMeters,0),ROUNDUP((COLUMN()+1)/3-2,0)))</f>
        <v/>
      </c>
      <c r="N221" s="127"/>
      <c r="O221" s="137"/>
      <c r="P221" s="58" t="str" cm="1">
        <f>IF(ISBLANK($A221),"",INDEX(Array_MobileCharges,MATCH($A221,List_MobileFuelMeters,0),ROUNDUP((COLUMN()+1)/3-2,0)))</f>
        <v/>
      </c>
      <c r="Q221" s="127"/>
      <c r="R221" s="137"/>
      <c r="S221" s="58" t="str" cm="1">
        <f>IF(ISBLANK($A221),"",INDEX(Array_MobileCharges,MATCH($A221,List_MobileFuelMeters,0),ROUNDUP((COLUMN()+1)/3-2,0)))</f>
        <v/>
      </c>
      <c r="T221" s="127"/>
      <c r="U221" s="137"/>
    </row>
    <row r="222" spans="1:21" x14ac:dyDescent="0.3">
      <c r="A222" s="126"/>
      <c r="B222" s="133"/>
      <c r="C222" s="127"/>
      <c r="D222" s="138"/>
      <c r="E222" s="138"/>
      <c r="F222" s="137"/>
      <c r="G222" s="58" t="str" cm="1">
        <f>IF(ISBLANK($A222),"",INDEX(Array_MobileCharges,MATCH($A222,List_MobileFuelMeters,0),ROUNDUP((COLUMN()+1)/3-2,0)))</f>
        <v/>
      </c>
      <c r="H222" s="127"/>
      <c r="I222" s="137"/>
      <c r="J222" s="58" t="str" cm="1">
        <f>IF(ISBLANK($A222),"",INDEX(Array_MobileCharges,MATCH($A222,List_MobileFuelMeters,0),ROUNDUP((COLUMN()+1)/3-2,0)))</f>
        <v/>
      </c>
      <c r="K222" s="127"/>
      <c r="L222" s="137"/>
      <c r="M222" s="58" t="str" cm="1">
        <f>IF(ISBLANK($A222),"",INDEX(Array_MobileCharges,MATCH($A222,List_MobileFuelMeters,0),ROUNDUP((COLUMN()+1)/3-2,0)))</f>
        <v/>
      </c>
      <c r="N222" s="127"/>
      <c r="O222" s="137"/>
      <c r="P222" s="58" t="str" cm="1">
        <f>IF(ISBLANK($A222),"",INDEX(Array_MobileCharges,MATCH($A222,List_MobileFuelMeters,0),ROUNDUP((COLUMN()+1)/3-2,0)))</f>
        <v/>
      </c>
      <c r="Q222" s="127"/>
      <c r="R222" s="137"/>
      <c r="S222" s="58" t="str" cm="1">
        <f>IF(ISBLANK($A222),"",INDEX(Array_MobileCharges,MATCH($A222,List_MobileFuelMeters,0),ROUNDUP((COLUMN()+1)/3-2,0)))</f>
        <v/>
      </c>
      <c r="T222" s="127"/>
      <c r="U222" s="137"/>
    </row>
    <row r="223" spans="1:21" x14ac:dyDescent="0.3">
      <c r="A223" s="126"/>
      <c r="B223" s="133"/>
      <c r="C223" s="127"/>
      <c r="D223" s="138"/>
      <c r="E223" s="138"/>
      <c r="F223" s="137"/>
      <c r="G223" s="58" t="str" cm="1">
        <f>IF(ISBLANK($A223),"",INDEX(Array_MobileCharges,MATCH($A223,List_MobileFuelMeters,0),ROUNDUP((COLUMN()+1)/3-2,0)))</f>
        <v/>
      </c>
      <c r="H223" s="127"/>
      <c r="I223" s="137"/>
      <c r="J223" s="58" t="str" cm="1">
        <f>IF(ISBLANK($A223),"",INDEX(Array_MobileCharges,MATCH($A223,List_MobileFuelMeters,0),ROUNDUP((COLUMN()+1)/3-2,0)))</f>
        <v/>
      </c>
      <c r="K223" s="127"/>
      <c r="L223" s="137"/>
      <c r="M223" s="58" t="str" cm="1">
        <f>IF(ISBLANK($A223),"",INDEX(Array_MobileCharges,MATCH($A223,List_MobileFuelMeters,0),ROUNDUP((COLUMN()+1)/3-2,0)))</f>
        <v/>
      </c>
      <c r="N223" s="127"/>
      <c r="O223" s="137"/>
      <c r="P223" s="58" t="str" cm="1">
        <f>IF(ISBLANK($A223),"",INDEX(Array_MobileCharges,MATCH($A223,List_MobileFuelMeters,0),ROUNDUP((COLUMN()+1)/3-2,0)))</f>
        <v/>
      </c>
      <c r="Q223" s="127"/>
      <c r="R223" s="137"/>
      <c r="S223" s="58" t="str" cm="1">
        <f>IF(ISBLANK($A223),"",INDEX(Array_MobileCharges,MATCH($A223,List_MobileFuelMeters,0),ROUNDUP((COLUMN()+1)/3-2,0)))</f>
        <v/>
      </c>
      <c r="T223" s="127"/>
      <c r="U223" s="137"/>
    </row>
    <row r="224" spans="1:21" x14ac:dyDescent="0.3">
      <c r="A224" s="126"/>
      <c r="B224" s="133"/>
      <c r="C224" s="127"/>
      <c r="D224" s="138"/>
      <c r="E224" s="138"/>
      <c r="F224" s="137"/>
      <c r="G224" s="58" t="str" cm="1">
        <f>IF(ISBLANK($A224),"",INDEX(Array_MobileCharges,MATCH($A224,List_MobileFuelMeters,0),ROUNDUP((COLUMN()+1)/3-2,0)))</f>
        <v/>
      </c>
      <c r="H224" s="127"/>
      <c r="I224" s="137"/>
      <c r="J224" s="58" t="str" cm="1">
        <f>IF(ISBLANK($A224),"",INDEX(Array_MobileCharges,MATCH($A224,List_MobileFuelMeters,0),ROUNDUP((COLUMN()+1)/3-2,0)))</f>
        <v/>
      </c>
      <c r="K224" s="127"/>
      <c r="L224" s="137"/>
      <c r="M224" s="58" t="str" cm="1">
        <f>IF(ISBLANK($A224),"",INDEX(Array_MobileCharges,MATCH($A224,List_MobileFuelMeters,0),ROUNDUP((COLUMN()+1)/3-2,0)))</f>
        <v/>
      </c>
      <c r="N224" s="127"/>
      <c r="O224" s="137"/>
      <c r="P224" s="58" t="str" cm="1">
        <f>IF(ISBLANK($A224),"",INDEX(Array_MobileCharges,MATCH($A224,List_MobileFuelMeters,0),ROUNDUP((COLUMN()+1)/3-2,0)))</f>
        <v/>
      </c>
      <c r="Q224" s="127"/>
      <c r="R224" s="137"/>
      <c r="S224" s="58" t="str" cm="1">
        <f>IF(ISBLANK($A224),"",INDEX(Array_MobileCharges,MATCH($A224,List_MobileFuelMeters,0),ROUNDUP((COLUMN()+1)/3-2,0)))</f>
        <v/>
      </c>
      <c r="T224" s="127"/>
      <c r="U224" s="137"/>
    </row>
    <row r="225" spans="1:21" x14ac:dyDescent="0.3">
      <c r="A225" s="126"/>
      <c r="B225" s="133"/>
      <c r="C225" s="127"/>
      <c r="D225" s="138"/>
      <c r="E225" s="138"/>
      <c r="F225" s="137"/>
      <c r="G225" s="58" t="str" cm="1">
        <f>IF(ISBLANK($A225),"",INDEX(Array_MobileCharges,MATCH($A225,List_MobileFuelMeters,0),ROUNDUP((COLUMN()+1)/3-2,0)))</f>
        <v/>
      </c>
      <c r="H225" s="127"/>
      <c r="I225" s="137"/>
      <c r="J225" s="58" t="str" cm="1">
        <f>IF(ISBLANK($A225),"",INDEX(Array_MobileCharges,MATCH($A225,List_MobileFuelMeters,0),ROUNDUP((COLUMN()+1)/3-2,0)))</f>
        <v/>
      </c>
      <c r="K225" s="127"/>
      <c r="L225" s="137"/>
      <c r="M225" s="58" t="str" cm="1">
        <f>IF(ISBLANK($A225),"",INDEX(Array_MobileCharges,MATCH($A225,List_MobileFuelMeters,0),ROUNDUP((COLUMN()+1)/3-2,0)))</f>
        <v/>
      </c>
      <c r="N225" s="127"/>
      <c r="O225" s="137"/>
      <c r="P225" s="58" t="str" cm="1">
        <f>IF(ISBLANK($A225),"",INDEX(Array_MobileCharges,MATCH($A225,List_MobileFuelMeters,0),ROUNDUP((COLUMN()+1)/3-2,0)))</f>
        <v/>
      </c>
      <c r="Q225" s="127"/>
      <c r="R225" s="137"/>
      <c r="S225" s="58" t="str" cm="1">
        <f>IF(ISBLANK($A225),"",INDEX(Array_MobileCharges,MATCH($A225,List_MobileFuelMeters,0),ROUNDUP((COLUMN()+1)/3-2,0)))</f>
        <v/>
      </c>
      <c r="T225" s="127"/>
      <c r="U225" s="137"/>
    </row>
    <row r="226" spans="1:21" x14ac:dyDescent="0.3">
      <c r="A226" s="126"/>
      <c r="B226" s="133"/>
      <c r="C226" s="127"/>
      <c r="D226" s="138"/>
      <c r="E226" s="138"/>
      <c r="F226" s="137"/>
      <c r="G226" s="58" t="str" cm="1">
        <f>IF(ISBLANK($A226),"",INDEX(Array_MobileCharges,MATCH($A226,List_MobileFuelMeters,0),ROUNDUP((COLUMN()+1)/3-2,0)))</f>
        <v/>
      </c>
      <c r="H226" s="127"/>
      <c r="I226" s="137"/>
      <c r="J226" s="58" t="str" cm="1">
        <f>IF(ISBLANK($A226),"",INDEX(Array_MobileCharges,MATCH($A226,List_MobileFuelMeters,0),ROUNDUP((COLUMN()+1)/3-2,0)))</f>
        <v/>
      </c>
      <c r="K226" s="127"/>
      <c r="L226" s="137"/>
      <c r="M226" s="58" t="str" cm="1">
        <f>IF(ISBLANK($A226),"",INDEX(Array_MobileCharges,MATCH($A226,List_MobileFuelMeters,0),ROUNDUP((COLUMN()+1)/3-2,0)))</f>
        <v/>
      </c>
      <c r="N226" s="127"/>
      <c r="O226" s="137"/>
      <c r="P226" s="58" t="str" cm="1">
        <f>IF(ISBLANK($A226),"",INDEX(Array_MobileCharges,MATCH($A226,List_MobileFuelMeters,0),ROUNDUP((COLUMN()+1)/3-2,0)))</f>
        <v/>
      </c>
      <c r="Q226" s="127"/>
      <c r="R226" s="137"/>
      <c r="S226" s="58" t="str" cm="1">
        <f>IF(ISBLANK($A226),"",INDEX(Array_MobileCharges,MATCH($A226,List_MobileFuelMeters,0),ROUNDUP((COLUMN()+1)/3-2,0)))</f>
        <v/>
      </c>
      <c r="T226" s="127"/>
      <c r="U226" s="137"/>
    </row>
    <row r="227" spans="1:21" x14ac:dyDescent="0.3">
      <c r="A227" s="126"/>
      <c r="B227" s="133"/>
      <c r="C227" s="127"/>
      <c r="D227" s="138"/>
      <c r="E227" s="138"/>
      <c r="F227" s="137"/>
      <c r="G227" s="58" t="str" cm="1">
        <f>IF(ISBLANK($A227),"",INDEX(Array_MobileCharges,MATCH($A227,List_MobileFuelMeters,0),ROUNDUP((COLUMN()+1)/3-2,0)))</f>
        <v/>
      </c>
      <c r="H227" s="127"/>
      <c r="I227" s="137"/>
      <c r="J227" s="58" t="str" cm="1">
        <f>IF(ISBLANK($A227),"",INDEX(Array_MobileCharges,MATCH($A227,List_MobileFuelMeters,0),ROUNDUP((COLUMN()+1)/3-2,0)))</f>
        <v/>
      </c>
      <c r="K227" s="127"/>
      <c r="L227" s="137"/>
      <c r="M227" s="58" t="str" cm="1">
        <f>IF(ISBLANK($A227),"",INDEX(Array_MobileCharges,MATCH($A227,List_MobileFuelMeters,0),ROUNDUP((COLUMN()+1)/3-2,0)))</f>
        <v/>
      </c>
      <c r="N227" s="127"/>
      <c r="O227" s="137"/>
      <c r="P227" s="58" t="str" cm="1">
        <f>IF(ISBLANK($A227),"",INDEX(Array_MobileCharges,MATCH($A227,List_MobileFuelMeters,0),ROUNDUP((COLUMN()+1)/3-2,0)))</f>
        <v/>
      </c>
      <c r="Q227" s="127"/>
      <c r="R227" s="137"/>
      <c r="S227" s="58" t="str" cm="1">
        <f>IF(ISBLANK($A227),"",INDEX(Array_MobileCharges,MATCH($A227,List_MobileFuelMeters,0),ROUNDUP((COLUMN()+1)/3-2,0)))</f>
        <v/>
      </c>
      <c r="T227" s="127"/>
      <c r="U227" s="137"/>
    </row>
    <row r="228" spans="1:21" x14ac:dyDescent="0.3">
      <c r="A228" s="126"/>
      <c r="B228" s="133"/>
      <c r="C228" s="127"/>
      <c r="D228" s="138"/>
      <c r="E228" s="138"/>
      <c r="F228" s="137"/>
      <c r="G228" s="58" t="str" cm="1">
        <f>IF(ISBLANK($A228),"",INDEX(Array_MobileCharges,MATCH($A228,List_MobileFuelMeters,0),ROUNDUP((COLUMN()+1)/3-2,0)))</f>
        <v/>
      </c>
      <c r="H228" s="127"/>
      <c r="I228" s="137"/>
      <c r="J228" s="58" t="str" cm="1">
        <f>IF(ISBLANK($A228),"",INDEX(Array_MobileCharges,MATCH($A228,List_MobileFuelMeters,0),ROUNDUP((COLUMN()+1)/3-2,0)))</f>
        <v/>
      </c>
      <c r="K228" s="127"/>
      <c r="L228" s="137"/>
      <c r="M228" s="58" t="str" cm="1">
        <f>IF(ISBLANK($A228),"",INDEX(Array_MobileCharges,MATCH($A228,List_MobileFuelMeters,0),ROUNDUP((COLUMN()+1)/3-2,0)))</f>
        <v/>
      </c>
      <c r="N228" s="127"/>
      <c r="O228" s="137"/>
      <c r="P228" s="58" t="str" cm="1">
        <f>IF(ISBLANK($A228),"",INDEX(Array_MobileCharges,MATCH($A228,List_MobileFuelMeters,0),ROUNDUP((COLUMN()+1)/3-2,0)))</f>
        <v/>
      </c>
      <c r="Q228" s="127"/>
      <c r="R228" s="137"/>
      <c r="S228" s="58" t="str" cm="1">
        <f>IF(ISBLANK($A228),"",INDEX(Array_MobileCharges,MATCH($A228,List_MobileFuelMeters,0),ROUNDUP((COLUMN()+1)/3-2,0)))</f>
        <v/>
      </c>
      <c r="T228" s="127"/>
      <c r="U228" s="137"/>
    </row>
    <row r="229" spans="1:21" x14ac:dyDescent="0.3">
      <c r="A229" s="126"/>
      <c r="B229" s="133"/>
      <c r="C229" s="127"/>
      <c r="D229" s="138"/>
      <c r="E229" s="138"/>
      <c r="F229" s="137"/>
      <c r="G229" s="58" t="str" cm="1">
        <f>IF(ISBLANK($A229),"",INDEX(Array_MobileCharges,MATCH($A229,List_MobileFuelMeters,0),ROUNDUP((COLUMN()+1)/3-2,0)))</f>
        <v/>
      </c>
      <c r="H229" s="127"/>
      <c r="I229" s="137"/>
      <c r="J229" s="58" t="str" cm="1">
        <f>IF(ISBLANK($A229),"",INDEX(Array_MobileCharges,MATCH($A229,List_MobileFuelMeters,0),ROUNDUP((COLUMN()+1)/3-2,0)))</f>
        <v/>
      </c>
      <c r="K229" s="127"/>
      <c r="L229" s="137"/>
      <c r="M229" s="58" t="str" cm="1">
        <f>IF(ISBLANK($A229),"",INDEX(Array_MobileCharges,MATCH($A229,List_MobileFuelMeters,0),ROUNDUP((COLUMN()+1)/3-2,0)))</f>
        <v/>
      </c>
      <c r="N229" s="127"/>
      <c r="O229" s="137"/>
      <c r="P229" s="58" t="str" cm="1">
        <f>IF(ISBLANK($A229),"",INDEX(Array_MobileCharges,MATCH($A229,List_MobileFuelMeters,0),ROUNDUP((COLUMN()+1)/3-2,0)))</f>
        <v/>
      </c>
      <c r="Q229" s="127"/>
      <c r="R229" s="137"/>
      <c r="S229" s="58" t="str" cm="1">
        <f>IF(ISBLANK($A229),"",INDEX(Array_MobileCharges,MATCH($A229,List_MobileFuelMeters,0),ROUNDUP((COLUMN()+1)/3-2,0)))</f>
        <v/>
      </c>
      <c r="T229" s="127"/>
      <c r="U229" s="137"/>
    </row>
    <row r="230" spans="1:21" x14ac:dyDescent="0.3">
      <c r="A230" s="126"/>
      <c r="B230" s="133"/>
      <c r="C230" s="127"/>
      <c r="D230" s="138"/>
      <c r="E230" s="138"/>
      <c r="F230" s="137"/>
      <c r="G230" s="58" t="str" cm="1">
        <f>IF(ISBLANK($A230),"",INDEX(Array_MobileCharges,MATCH($A230,List_MobileFuelMeters,0),ROUNDUP((COLUMN()+1)/3-2,0)))</f>
        <v/>
      </c>
      <c r="H230" s="127"/>
      <c r="I230" s="137"/>
      <c r="J230" s="58" t="str" cm="1">
        <f>IF(ISBLANK($A230),"",INDEX(Array_MobileCharges,MATCH($A230,List_MobileFuelMeters,0),ROUNDUP((COLUMN()+1)/3-2,0)))</f>
        <v/>
      </c>
      <c r="K230" s="127"/>
      <c r="L230" s="137"/>
      <c r="M230" s="58" t="str" cm="1">
        <f>IF(ISBLANK($A230),"",INDEX(Array_MobileCharges,MATCH($A230,List_MobileFuelMeters,0),ROUNDUP((COLUMN()+1)/3-2,0)))</f>
        <v/>
      </c>
      <c r="N230" s="127"/>
      <c r="O230" s="137"/>
      <c r="P230" s="58" t="str" cm="1">
        <f>IF(ISBLANK($A230),"",INDEX(Array_MobileCharges,MATCH($A230,List_MobileFuelMeters,0),ROUNDUP((COLUMN()+1)/3-2,0)))</f>
        <v/>
      </c>
      <c r="Q230" s="127"/>
      <c r="R230" s="137"/>
      <c r="S230" s="58" t="str" cm="1">
        <f>IF(ISBLANK($A230),"",INDEX(Array_MobileCharges,MATCH($A230,List_MobileFuelMeters,0),ROUNDUP((COLUMN()+1)/3-2,0)))</f>
        <v/>
      </c>
      <c r="T230" s="127"/>
      <c r="U230" s="137"/>
    </row>
    <row r="231" spans="1:21" x14ac:dyDescent="0.3">
      <c r="A231" s="126"/>
      <c r="B231" s="133"/>
      <c r="C231" s="127"/>
      <c r="D231" s="138"/>
      <c r="E231" s="138"/>
      <c r="F231" s="137"/>
      <c r="G231" s="58" t="str" cm="1">
        <f>IF(ISBLANK($A231),"",INDEX(Array_MobileCharges,MATCH($A231,List_MobileFuelMeters,0),ROUNDUP((COLUMN()+1)/3-2,0)))</f>
        <v/>
      </c>
      <c r="H231" s="127"/>
      <c r="I231" s="137"/>
      <c r="J231" s="58" t="str" cm="1">
        <f>IF(ISBLANK($A231),"",INDEX(Array_MobileCharges,MATCH($A231,List_MobileFuelMeters,0),ROUNDUP((COLUMN()+1)/3-2,0)))</f>
        <v/>
      </c>
      <c r="K231" s="127"/>
      <c r="L231" s="137"/>
      <c r="M231" s="58" t="str" cm="1">
        <f>IF(ISBLANK($A231),"",INDEX(Array_MobileCharges,MATCH($A231,List_MobileFuelMeters,0),ROUNDUP((COLUMN()+1)/3-2,0)))</f>
        <v/>
      </c>
      <c r="N231" s="127"/>
      <c r="O231" s="137"/>
      <c r="P231" s="58" t="str" cm="1">
        <f>IF(ISBLANK($A231),"",INDEX(Array_MobileCharges,MATCH($A231,List_MobileFuelMeters,0),ROUNDUP((COLUMN()+1)/3-2,0)))</f>
        <v/>
      </c>
      <c r="Q231" s="127"/>
      <c r="R231" s="137"/>
      <c r="S231" s="58" t="str" cm="1">
        <f>IF(ISBLANK($A231),"",INDEX(Array_MobileCharges,MATCH($A231,List_MobileFuelMeters,0),ROUNDUP((COLUMN()+1)/3-2,0)))</f>
        <v/>
      </c>
      <c r="T231" s="127"/>
      <c r="U231" s="137"/>
    </row>
    <row r="232" spans="1:21" x14ac:dyDescent="0.3">
      <c r="A232" s="126"/>
      <c r="B232" s="133"/>
      <c r="C232" s="127"/>
      <c r="D232" s="138"/>
      <c r="E232" s="138"/>
      <c r="F232" s="137"/>
      <c r="G232" s="58" t="str" cm="1">
        <f>IF(ISBLANK($A232),"",INDEX(Array_MobileCharges,MATCH($A232,List_MobileFuelMeters,0),ROUNDUP((COLUMN()+1)/3-2,0)))</f>
        <v/>
      </c>
      <c r="H232" s="127"/>
      <c r="I232" s="137"/>
      <c r="J232" s="58" t="str" cm="1">
        <f>IF(ISBLANK($A232),"",INDEX(Array_MobileCharges,MATCH($A232,List_MobileFuelMeters,0),ROUNDUP((COLUMN()+1)/3-2,0)))</f>
        <v/>
      </c>
      <c r="K232" s="127"/>
      <c r="L232" s="137"/>
      <c r="M232" s="58" t="str" cm="1">
        <f>IF(ISBLANK($A232),"",INDEX(Array_MobileCharges,MATCH($A232,List_MobileFuelMeters,0),ROUNDUP((COLUMN()+1)/3-2,0)))</f>
        <v/>
      </c>
      <c r="N232" s="127"/>
      <c r="O232" s="137"/>
      <c r="P232" s="58" t="str" cm="1">
        <f>IF(ISBLANK($A232),"",INDEX(Array_MobileCharges,MATCH($A232,List_MobileFuelMeters,0),ROUNDUP((COLUMN()+1)/3-2,0)))</f>
        <v/>
      </c>
      <c r="Q232" s="127"/>
      <c r="R232" s="137"/>
      <c r="S232" s="58" t="str" cm="1">
        <f>IF(ISBLANK($A232),"",INDEX(Array_MobileCharges,MATCH($A232,List_MobileFuelMeters,0),ROUNDUP((COLUMN()+1)/3-2,0)))</f>
        <v/>
      </c>
      <c r="T232" s="127"/>
      <c r="U232" s="137"/>
    </row>
    <row r="233" spans="1:21" x14ac:dyDescent="0.3">
      <c r="A233" s="126"/>
      <c r="B233" s="133"/>
      <c r="C233" s="127"/>
      <c r="D233" s="138"/>
      <c r="E233" s="138"/>
      <c r="F233" s="137"/>
      <c r="G233" s="58" t="str" cm="1">
        <f>IF(ISBLANK($A233),"",INDEX(Array_MobileCharges,MATCH($A233,List_MobileFuelMeters,0),ROUNDUP((COLUMN()+1)/3-2,0)))</f>
        <v/>
      </c>
      <c r="H233" s="127"/>
      <c r="I233" s="137"/>
      <c r="J233" s="58" t="str" cm="1">
        <f>IF(ISBLANK($A233),"",INDEX(Array_MobileCharges,MATCH($A233,List_MobileFuelMeters,0),ROUNDUP((COLUMN()+1)/3-2,0)))</f>
        <v/>
      </c>
      <c r="K233" s="127"/>
      <c r="L233" s="137"/>
      <c r="M233" s="58" t="str" cm="1">
        <f>IF(ISBLANK($A233),"",INDEX(Array_MobileCharges,MATCH($A233,List_MobileFuelMeters,0),ROUNDUP((COLUMN()+1)/3-2,0)))</f>
        <v/>
      </c>
      <c r="N233" s="127"/>
      <c r="O233" s="137"/>
      <c r="P233" s="58" t="str" cm="1">
        <f>IF(ISBLANK($A233),"",INDEX(Array_MobileCharges,MATCH($A233,List_MobileFuelMeters,0),ROUNDUP((COLUMN()+1)/3-2,0)))</f>
        <v/>
      </c>
      <c r="Q233" s="127"/>
      <c r="R233" s="137"/>
      <c r="S233" s="58" t="str" cm="1">
        <f>IF(ISBLANK($A233),"",INDEX(Array_MobileCharges,MATCH($A233,List_MobileFuelMeters,0),ROUNDUP((COLUMN()+1)/3-2,0)))</f>
        <v/>
      </c>
      <c r="T233" s="127"/>
      <c r="U233" s="137"/>
    </row>
    <row r="234" spans="1:21" x14ac:dyDescent="0.3">
      <c r="A234" s="126"/>
      <c r="B234" s="133"/>
      <c r="C234" s="127"/>
      <c r="D234" s="138"/>
      <c r="E234" s="138"/>
      <c r="F234" s="137"/>
      <c r="G234" s="58" t="str" cm="1">
        <f>IF(ISBLANK($A234),"",INDEX(Array_MobileCharges,MATCH($A234,List_MobileFuelMeters,0),ROUNDUP((COLUMN()+1)/3-2,0)))</f>
        <v/>
      </c>
      <c r="H234" s="127"/>
      <c r="I234" s="137"/>
      <c r="J234" s="58" t="str" cm="1">
        <f>IF(ISBLANK($A234),"",INDEX(Array_MobileCharges,MATCH($A234,List_MobileFuelMeters,0),ROUNDUP((COLUMN()+1)/3-2,0)))</f>
        <v/>
      </c>
      <c r="K234" s="127"/>
      <c r="L234" s="137"/>
      <c r="M234" s="58" t="str" cm="1">
        <f>IF(ISBLANK($A234),"",INDEX(Array_MobileCharges,MATCH($A234,List_MobileFuelMeters,0),ROUNDUP((COLUMN()+1)/3-2,0)))</f>
        <v/>
      </c>
      <c r="N234" s="127"/>
      <c r="O234" s="137"/>
      <c r="P234" s="58" t="str" cm="1">
        <f>IF(ISBLANK($A234),"",INDEX(Array_MobileCharges,MATCH($A234,List_MobileFuelMeters,0),ROUNDUP((COLUMN()+1)/3-2,0)))</f>
        <v/>
      </c>
      <c r="Q234" s="127"/>
      <c r="R234" s="137"/>
      <c r="S234" s="58" t="str" cm="1">
        <f>IF(ISBLANK($A234),"",INDEX(Array_MobileCharges,MATCH($A234,List_MobileFuelMeters,0),ROUNDUP((COLUMN()+1)/3-2,0)))</f>
        <v/>
      </c>
      <c r="T234" s="127"/>
      <c r="U234" s="137"/>
    </row>
    <row r="235" spans="1:21" x14ac:dyDescent="0.3">
      <c r="A235" s="126"/>
      <c r="B235" s="133"/>
      <c r="C235" s="127"/>
      <c r="D235" s="138"/>
      <c r="E235" s="138"/>
      <c r="F235" s="137"/>
      <c r="G235" s="58" t="str" cm="1">
        <f>IF(ISBLANK($A235),"",INDEX(Array_MobileCharges,MATCH($A235,List_MobileFuelMeters,0),ROUNDUP((COLUMN()+1)/3-2,0)))</f>
        <v/>
      </c>
      <c r="H235" s="127"/>
      <c r="I235" s="137"/>
      <c r="J235" s="58" t="str" cm="1">
        <f>IF(ISBLANK($A235),"",INDEX(Array_MobileCharges,MATCH($A235,List_MobileFuelMeters,0),ROUNDUP((COLUMN()+1)/3-2,0)))</f>
        <v/>
      </c>
      <c r="K235" s="127"/>
      <c r="L235" s="137"/>
      <c r="M235" s="58" t="str" cm="1">
        <f>IF(ISBLANK($A235),"",INDEX(Array_MobileCharges,MATCH($A235,List_MobileFuelMeters,0),ROUNDUP((COLUMN()+1)/3-2,0)))</f>
        <v/>
      </c>
      <c r="N235" s="127"/>
      <c r="O235" s="137"/>
      <c r="P235" s="58" t="str" cm="1">
        <f>IF(ISBLANK($A235),"",INDEX(Array_MobileCharges,MATCH($A235,List_MobileFuelMeters,0),ROUNDUP((COLUMN()+1)/3-2,0)))</f>
        <v/>
      </c>
      <c r="Q235" s="127"/>
      <c r="R235" s="137"/>
      <c r="S235" s="58" t="str" cm="1">
        <f>IF(ISBLANK($A235),"",INDEX(Array_MobileCharges,MATCH($A235,List_MobileFuelMeters,0),ROUNDUP((COLUMN()+1)/3-2,0)))</f>
        <v/>
      </c>
      <c r="T235" s="127"/>
      <c r="U235" s="137"/>
    </row>
    <row r="236" spans="1:21" x14ac:dyDescent="0.3">
      <c r="A236" s="126"/>
      <c r="B236" s="133"/>
      <c r="C236" s="127"/>
      <c r="D236" s="138"/>
      <c r="E236" s="138"/>
      <c r="F236" s="137"/>
      <c r="G236" s="58" t="str" cm="1">
        <f>IF(ISBLANK($A236),"",INDEX(Array_MobileCharges,MATCH($A236,List_MobileFuelMeters,0),ROUNDUP((COLUMN()+1)/3-2,0)))</f>
        <v/>
      </c>
      <c r="H236" s="127"/>
      <c r="I236" s="137"/>
      <c r="J236" s="58" t="str" cm="1">
        <f>IF(ISBLANK($A236),"",INDEX(Array_MobileCharges,MATCH($A236,List_MobileFuelMeters,0),ROUNDUP((COLUMN()+1)/3-2,0)))</f>
        <v/>
      </c>
      <c r="K236" s="127"/>
      <c r="L236" s="137"/>
      <c r="M236" s="58" t="str" cm="1">
        <f>IF(ISBLANK($A236),"",INDEX(Array_MobileCharges,MATCH($A236,List_MobileFuelMeters,0),ROUNDUP((COLUMN()+1)/3-2,0)))</f>
        <v/>
      </c>
      <c r="N236" s="127"/>
      <c r="O236" s="137"/>
      <c r="P236" s="58" t="str" cm="1">
        <f>IF(ISBLANK($A236),"",INDEX(Array_MobileCharges,MATCH($A236,List_MobileFuelMeters,0),ROUNDUP((COLUMN()+1)/3-2,0)))</f>
        <v/>
      </c>
      <c r="Q236" s="127"/>
      <c r="R236" s="137"/>
      <c r="S236" s="58" t="str" cm="1">
        <f>IF(ISBLANK($A236),"",INDEX(Array_MobileCharges,MATCH($A236,List_MobileFuelMeters,0),ROUNDUP((COLUMN()+1)/3-2,0)))</f>
        <v/>
      </c>
      <c r="T236" s="127"/>
      <c r="U236" s="137"/>
    </row>
    <row r="237" spans="1:21" x14ac:dyDescent="0.3">
      <c r="A237" s="126"/>
      <c r="B237" s="133"/>
      <c r="C237" s="127"/>
      <c r="D237" s="138"/>
      <c r="E237" s="138"/>
      <c r="F237" s="137"/>
      <c r="G237" s="58" t="str" cm="1">
        <f>IF(ISBLANK($A237),"",INDEX(Array_MobileCharges,MATCH($A237,List_MobileFuelMeters,0),ROUNDUP((COLUMN()+1)/3-2,0)))</f>
        <v/>
      </c>
      <c r="H237" s="127"/>
      <c r="I237" s="137"/>
      <c r="J237" s="58" t="str" cm="1">
        <f>IF(ISBLANK($A237),"",INDEX(Array_MobileCharges,MATCH($A237,List_MobileFuelMeters,0),ROUNDUP((COLUMN()+1)/3-2,0)))</f>
        <v/>
      </c>
      <c r="K237" s="127"/>
      <c r="L237" s="137"/>
      <c r="M237" s="58" t="str" cm="1">
        <f>IF(ISBLANK($A237),"",INDEX(Array_MobileCharges,MATCH($A237,List_MobileFuelMeters,0),ROUNDUP((COLUMN()+1)/3-2,0)))</f>
        <v/>
      </c>
      <c r="N237" s="127"/>
      <c r="O237" s="137"/>
      <c r="P237" s="58" t="str" cm="1">
        <f>IF(ISBLANK($A237),"",INDEX(Array_MobileCharges,MATCH($A237,List_MobileFuelMeters,0),ROUNDUP((COLUMN()+1)/3-2,0)))</f>
        <v/>
      </c>
      <c r="Q237" s="127"/>
      <c r="R237" s="137"/>
      <c r="S237" s="58" t="str" cm="1">
        <f>IF(ISBLANK($A237),"",INDEX(Array_MobileCharges,MATCH($A237,List_MobileFuelMeters,0),ROUNDUP((COLUMN()+1)/3-2,0)))</f>
        <v/>
      </c>
      <c r="T237" s="127"/>
      <c r="U237" s="137"/>
    </row>
    <row r="238" spans="1:21" x14ac:dyDescent="0.3">
      <c r="A238" s="126"/>
      <c r="B238" s="133"/>
      <c r="C238" s="127"/>
      <c r="D238" s="138"/>
      <c r="E238" s="138"/>
      <c r="F238" s="137"/>
      <c r="G238" s="58" t="str" cm="1">
        <f>IF(ISBLANK($A238),"",INDEX(Array_MobileCharges,MATCH($A238,List_MobileFuelMeters,0),ROUNDUP((COLUMN()+1)/3-2,0)))</f>
        <v/>
      </c>
      <c r="H238" s="127"/>
      <c r="I238" s="137"/>
      <c r="J238" s="58" t="str" cm="1">
        <f>IF(ISBLANK($A238),"",INDEX(Array_MobileCharges,MATCH($A238,List_MobileFuelMeters,0),ROUNDUP((COLUMN()+1)/3-2,0)))</f>
        <v/>
      </c>
      <c r="K238" s="127"/>
      <c r="L238" s="137"/>
      <c r="M238" s="58" t="str" cm="1">
        <f>IF(ISBLANK($A238),"",INDEX(Array_MobileCharges,MATCH($A238,List_MobileFuelMeters,0),ROUNDUP((COLUMN()+1)/3-2,0)))</f>
        <v/>
      </c>
      <c r="N238" s="127"/>
      <c r="O238" s="137"/>
      <c r="P238" s="58" t="str" cm="1">
        <f>IF(ISBLANK($A238),"",INDEX(Array_MobileCharges,MATCH($A238,List_MobileFuelMeters,0),ROUNDUP((COLUMN()+1)/3-2,0)))</f>
        <v/>
      </c>
      <c r="Q238" s="127"/>
      <c r="R238" s="137"/>
      <c r="S238" s="58" t="str" cm="1">
        <f>IF(ISBLANK($A238),"",INDEX(Array_MobileCharges,MATCH($A238,List_MobileFuelMeters,0),ROUNDUP((COLUMN()+1)/3-2,0)))</f>
        <v/>
      </c>
      <c r="T238" s="127"/>
      <c r="U238" s="137"/>
    </row>
    <row r="239" spans="1:21" x14ac:dyDescent="0.3">
      <c r="A239" s="126"/>
      <c r="B239" s="133"/>
      <c r="C239" s="127"/>
      <c r="D239" s="138"/>
      <c r="E239" s="138"/>
      <c r="F239" s="137"/>
      <c r="G239" s="58" t="str" cm="1">
        <f>IF(ISBLANK($A239),"",INDEX(Array_MobileCharges,MATCH($A239,List_MobileFuelMeters,0),ROUNDUP((COLUMN()+1)/3-2,0)))</f>
        <v/>
      </c>
      <c r="H239" s="127"/>
      <c r="I239" s="137"/>
      <c r="J239" s="58" t="str" cm="1">
        <f>IF(ISBLANK($A239),"",INDEX(Array_MobileCharges,MATCH($A239,List_MobileFuelMeters,0),ROUNDUP((COLUMN()+1)/3-2,0)))</f>
        <v/>
      </c>
      <c r="K239" s="127"/>
      <c r="L239" s="137"/>
      <c r="M239" s="58" t="str" cm="1">
        <f>IF(ISBLANK($A239),"",INDEX(Array_MobileCharges,MATCH($A239,List_MobileFuelMeters,0),ROUNDUP((COLUMN()+1)/3-2,0)))</f>
        <v/>
      </c>
      <c r="N239" s="127"/>
      <c r="O239" s="137"/>
      <c r="P239" s="58" t="str" cm="1">
        <f>IF(ISBLANK($A239),"",INDEX(Array_MobileCharges,MATCH($A239,List_MobileFuelMeters,0),ROUNDUP((COLUMN()+1)/3-2,0)))</f>
        <v/>
      </c>
      <c r="Q239" s="127"/>
      <c r="R239" s="137"/>
      <c r="S239" s="58" t="str" cm="1">
        <f>IF(ISBLANK($A239),"",INDEX(Array_MobileCharges,MATCH($A239,List_MobileFuelMeters,0),ROUNDUP((COLUMN()+1)/3-2,0)))</f>
        <v/>
      </c>
      <c r="T239" s="127"/>
      <c r="U239" s="137"/>
    </row>
    <row r="240" spans="1:21" x14ac:dyDescent="0.3">
      <c r="A240" s="126"/>
      <c r="B240" s="133"/>
      <c r="C240" s="127"/>
      <c r="D240" s="138"/>
      <c r="E240" s="138"/>
      <c r="F240" s="137"/>
      <c r="G240" s="58" t="str" cm="1">
        <f>IF(ISBLANK($A240),"",INDEX(Array_MobileCharges,MATCH($A240,List_MobileFuelMeters,0),ROUNDUP((COLUMN()+1)/3-2,0)))</f>
        <v/>
      </c>
      <c r="H240" s="127"/>
      <c r="I240" s="137"/>
      <c r="J240" s="58" t="str" cm="1">
        <f>IF(ISBLANK($A240),"",INDEX(Array_MobileCharges,MATCH($A240,List_MobileFuelMeters,0),ROUNDUP((COLUMN()+1)/3-2,0)))</f>
        <v/>
      </c>
      <c r="K240" s="127"/>
      <c r="L240" s="137"/>
      <c r="M240" s="58" t="str" cm="1">
        <f>IF(ISBLANK($A240),"",INDEX(Array_MobileCharges,MATCH($A240,List_MobileFuelMeters,0),ROUNDUP((COLUMN()+1)/3-2,0)))</f>
        <v/>
      </c>
      <c r="N240" s="127"/>
      <c r="O240" s="137"/>
      <c r="P240" s="58" t="str" cm="1">
        <f>IF(ISBLANK($A240),"",INDEX(Array_MobileCharges,MATCH($A240,List_MobileFuelMeters,0),ROUNDUP((COLUMN()+1)/3-2,0)))</f>
        <v/>
      </c>
      <c r="Q240" s="127"/>
      <c r="R240" s="137"/>
      <c r="S240" s="58" t="str" cm="1">
        <f>IF(ISBLANK($A240),"",INDEX(Array_MobileCharges,MATCH($A240,List_MobileFuelMeters,0),ROUNDUP((COLUMN()+1)/3-2,0)))</f>
        <v/>
      </c>
      <c r="T240" s="127"/>
      <c r="U240" s="137"/>
    </row>
    <row r="241" spans="1:21" x14ac:dyDescent="0.3">
      <c r="A241" s="126"/>
      <c r="B241" s="133"/>
      <c r="C241" s="127"/>
      <c r="D241" s="138"/>
      <c r="E241" s="138"/>
      <c r="F241" s="137"/>
      <c r="G241" s="58" t="str" cm="1">
        <f>IF(ISBLANK($A241),"",INDEX(Array_MobileCharges,MATCH($A241,List_MobileFuelMeters,0),ROUNDUP((COLUMN()+1)/3-2,0)))</f>
        <v/>
      </c>
      <c r="H241" s="127"/>
      <c r="I241" s="137"/>
      <c r="J241" s="58" t="str" cm="1">
        <f>IF(ISBLANK($A241),"",INDEX(Array_MobileCharges,MATCH($A241,List_MobileFuelMeters,0),ROUNDUP((COLUMN()+1)/3-2,0)))</f>
        <v/>
      </c>
      <c r="K241" s="127"/>
      <c r="L241" s="137"/>
      <c r="M241" s="58" t="str" cm="1">
        <f>IF(ISBLANK($A241),"",INDEX(Array_MobileCharges,MATCH($A241,List_MobileFuelMeters,0),ROUNDUP((COLUMN()+1)/3-2,0)))</f>
        <v/>
      </c>
      <c r="N241" s="127"/>
      <c r="O241" s="137"/>
      <c r="P241" s="58" t="str" cm="1">
        <f>IF(ISBLANK($A241),"",INDEX(Array_MobileCharges,MATCH($A241,List_MobileFuelMeters,0),ROUNDUP((COLUMN()+1)/3-2,0)))</f>
        <v/>
      </c>
      <c r="Q241" s="127"/>
      <c r="R241" s="137"/>
      <c r="S241" s="58" t="str" cm="1">
        <f>IF(ISBLANK($A241),"",INDEX(Array_MobileCharges,MATCH($A241,List_MobileFuelMeters,0),ROUNDUP((COLUMN()+1)/3-2,0)))</f>
        <v/>
      </c>
      <c r="T241" s="127"/>
      <c r="U241" s="137"/>
    </row>
    <row r="242" spans="1:21" x14ac:dyDescent="0.3">
      <c r="A242" s="126"/>
      <c r="B242" s="133"/>
      <c r="C242" s="127"/>
      <c r="D242" s="138"/>
      <c r="E242" s="138"/>
      <c r="F242" s="137"/>
      <c r="G242" s="58" t="str" cm="1">
        <f>IF(ISBLANK($A242),"",INDEX(Array_MobileCharges,MATCH($A242,List_MobileFuelMeters,0),ROUNDUP((COLUMN()+1)/3-2,0)))</f>
        <v/>
      </c>
      <c r="H242" s="127"/>
      <c r="I242" s="137"/>
      <c r="J242" s="58" t="str" cm="1">
        <f>IF(ISBLANK($A242),"",INDEX(Array_MobileCharges,MATCH($A242,List_MobileFuelMeters,0),ROUNDUP((COLUMN()+1)/3-2,0)))</f>
        <v/>
      </c>
      <c r="K242" s="127"/>
      <c r="L242" s="137"/>
      <c r="M242" s="58" t="str" cm="1">
        <f>IF(ISBLANK($A242),"",INDEX(Array_MobileCharges,MATCH($A242,List_MobileFuelMeters,0),ROUNDUP((COLUMN()+1)/3-2,0)))</f>
        <v/>
      </c>
      <c r="N242" s="127"/>
      <c r="O242" s="137"/>
      <c r="P242" s="58" t="str" cm="1">
        <f>IF(ISBLANK($A242),"",INDEX(Array_MobileCharges,MATCH($A242,List_MobileFuelMeters,0),ROUNDUP((COLUMN()+1)/3-2,0)))</f>
        <v/>
      </c>
      <c r="Q242" s="127"/>
      <c r="R242" s="137"/>
      <c r="S242" s="58" t="str" cm="1">
        <f>IF(ISBLANK($A242),"",INDEX(Array_MobileCharges,MATCH($A242,List_MobileFuelMeters,0),ROUNDUP((COLUMN()+1)/3-2,0)))</f>
        <v/>
      </c>
      <c r="T242" s="127"/>
      <c r="U242" s="137"/>
    </row>
    <row r="243" spans="1:21" x14ac:dyDescent="0.3">
      <c r="A243" s="126"/>
      <c r="B243" s="133"/>
      <c r="C243" s="127"/>
      <c r="D243" s="138"/>
      <c r="E243" s="138"/>
      <c r="F243" s="137"/>
      <c r="G243" s="58" t="str" cm="1">
        <f>IF(ISBLANK($A243),"",INDEX(Array_MobileCharges,MATCH($A243,List_MobileFuelMeters,0),ROUNDUP((COLUMN()+1)/3-2,0)))</f>
        <v/>
      </c>
      <c r="H243" s="127"/>
      <c r="I243" s="137"/>
      <c r="J243" s="58" t="str" cm="1">
        <f>IF(ISBLANK($A243),"",INDEX(Array_MobileCharges,MATCH($A243,List_MobileFuelMeters,0),ROUNDUP((COLUMN()+1)/3-2,0)))</f>
        <v/>
      </c>
      <c r="K243" s="127"/>
      <c r="L243" s="137"/>
      <c r="M243" s="58" t="str" cm="1">
        <f>IF(ISBLANK($A243),"",INDEX(Array_MobileCharges,MATCH($A243,List_MobileFuelMeters,0),ROUNDUP((COLUMN()+1)/3-2,0)))</f>
        <v/>
      </c>
      <c r="N243" s="127"/>
      <c r="O243" s="137"/>
      <c r="P243" s="58" t="str" cm="1">
        <f>IF(ISBLANK($A243),"",INDEX(Array_MobileCharges,MATCH($A243,List_MobileFuelMeters,0),ROUNDUP((COLUMN()+1)/3-2,0)))</f>
        <v/>
      </c>
      <c r="Q243" s="127"/>
      <c r="R243" s="137"/>
      <c r="S243" s="58" t="str" cm="1">
        <f>IF(ISBLANK($A243),"",INDEX(Array_MobileCharges,MATCH($A243,List_MobileFuelMeters,0),ROUNDUP((COLUMN()+1)/3-2,0)))</f>
        <v/>
      </c>
      <c r="T243" s="127"/>
      <c r="U243" s="137"/>
    </row>
    <row r="244" spans="1:21" x14ac:dyDescent="0.3">
      <c r="A244" s="126"/>
      <c r="B244" s="133"/>
      <c r="C244" s="127"/>
      <c r="D244" s="138"/>
      <c r="E244" s="138"/>
      <c r="F244" s="137"/>
      <c r="G244" s="58" t="str" cm="1">
        <f>IF(ISBLANK($A244),"",INDEX(Array_MobileCharges,MATCH($A244,List_MobileFuelMeters,0),ROUNDUP((COLUMN()+1)/3-2,0)))</f>
        <v/>
      </c>
      <c r="H244" s="127"/>
      <c r="I244" s="137"/>
      <c r="J244" s="58" t="str" cm="1">
        <f>IF(ISBLANK($A244),"",INDEX(Array_MobileCharges,MATCH($A244,List_MobileFuelMeters,0),ROUNDUP((COLUMN()+1)/3-2,0)))</f>
        <v/>
      </c>
      <c r="K244" s="127"/>
      <c r="L244" s="137"/>
      <c r="M244" s="58" t="str" cm="1">
        <f>IF(ISBLANK($A244),"",INDEX(Array_MobileCharges,MATCH($A244,List_MobileFuelMeters,0),ROUNDUP((COLUMN()+1)/3-2,0)))</f>
        <v/>
      </c>
      <c r="N244" s="127"/>
      <c r="O244" s="137"/>
      <c r="P244" s="58" t="str" cm="1">
        <f>IF(ISBLANK($A244),"",INDEX(Array_MobileCharges,MATCH($A244,List_MobileFuelMeters,0),ROUNDUP((COLUMN()+1)/3-2,0)))</f>
        <v/>
      </c>
      <c r="Q244" s="127"/>
      <c r="R244" s="137"/>
      <c r="S244" s="58" t="str" cm="1">
        <f>IF(ISBLANK($A244),"",INDEX(Array_MobileCharges,MATCH($A244,List_MobileFuelMeters,0),ROUNDUP((COLUMN()+1)/3-2,0)))</f>
        <v/>
      </c>
      <c r="T244" s="127"/>
      <c r="U244" s="137"/>
    </row>
    <row r="245" spans="1:21" x14ac:dyDescent="0.3">
      <c r="A245" s="126"/>
      <c r="B245" s="133"/>
      <c r="C245" s="127"/>
      <c r="D245" s="138"/>
      <c r="E245" s="138"/>
      <c r="F245" s="137"/>
      <c r="G245" s="58" t="str" cm="1">
        <f>IF(ISBLANK($A245),"",INDEX(Array_MobileCharges,MATCH($A245,List_MobileFuelMeters,0),ROUNDUP((COLUMN()+1)/3-2,0)))</f>
        <v/>
      </c>
      <c r="H245" s="127"/>
      <c r="I245" s="137"/>
      <c r="J245" s="58" t="str" cm="1">
        <f>IF(ISBLANK($A245),"",INDEX(Array_MobileCharges,MATCH($A245,List_MobileFuelMeters,0),ROUNDUP((COLUMN()+1)/3-2,0)))</f>
        <v/>
      </c>
      <c r="K245" s="127"/>
      <c r="L245" s="137"/>
      <c r="M245" s="58" t="str" cm="1">
        <f>IF(ISBLANK($A245),"",INDEX(Array_MobileCharges,MATCH($A245,List_MobileFuelMeters,0),ROUNDUP((COLUMN()+1)/3-2,0)))</f>
        <v/>
      </c>
      <c r="N245" s="127"/>
      <c r="O245" s="137"/>
      <c r="P245" s="58" t="str" cm="1">
        <f>IF(ISBLANK($A245),"",INDEX(Array_MobileCharges,MATCH($A245,List_MobileFuelMeters,0),ROUNDUP((COLUMN()+1)/3-2,0)))</f>
        <v/>
      </c>
      <c r="Q245" s="127"/>
      <c r="R245" s="137"/>
      <c r="S245" s="58" t="str" cm="1">
        <f>IF(ISBLANK($A245),"",INDEX(Array_MobileCharges,MATCH($A245,List_MobileFuelMeters,0),ROUNDUP((COLUMN()+1)/3-2,0)))</f>
        <v/>
      </c>
      <c r="T245" s="127"/>
      <c r="U245" s="137"/>
    </row>
    <row r="246" spans="1:21" x14ac:dyDescent="0.3">
      <c r="A246" s="126"/>
      <c r="B246" s="133"/>
      <c r="C246" s="127"/>
      <c r="D246" s="138"/>
      <c r="E246" s="138"/>
      <c r="F246" s="137"/>
      <c r="G246" s="58" t="str" cm="1">
        <f>IF(ISBLANK($A246),"",INDEX(Array_MobileCharges,MATCH($A246,List_MobileFuelMeters,0),ROUNDUP((COLUMN()+1)/3-2,0)))</f>
        <v/>
      </c>
      <c r="H246" s="127"/>
      <c r="I246" s="137"/>
      <c r="J246" s="58" t="str" cm="1">
        <f>IF(ISBLANK($A246),"",INDEX(Array_MobileCharges,MATCH($A246,List_MobileFuelMeters,0),ROUNDUP((COLUMN()+1)/3-2,0)))</f>
        <v/>
      </c>
      <c r="K246" s="127"/>
      <c r="L246" s="137"/>
      <c r="M246" s="58" t="str" cm="1">
        <f>IF(ISBLANK($A246),"",INDEX(Array_MobileCharges,MATCH($A246,List_MobileFuelMeters,0),ROUNDUP((COLUMN()+1)/3-2,0)))</f>
        <v/>
      </c>
      <c r="N246" s="127"/>
      <c r="O246" s="137"/>
      <c r="P246" s="58" t="str" cm="1">
        <f>IF(ISBLANK($A246),"",INDEX(Array_MobileCharges,MATCH($A246,List_MobileFuelMeters,0),ROUNDUP((COLUMN()+1)/3-2,0)))</f>
        <v/>
      </c>
      <c r="Q246" s="127"/>
      <c r="R246" s="137"/>
      <c r="S246" s="58" t="str" cm="1">
        <f>IF(ISBLANK($A246),"",INDEX(Array_MobileCharges,MATCH($A246,List_MobileFuelMeters,0),ROUNDUP((COLUMN()+1)/3-2,0)))</f>
        <v/>
      </c>
      <c r="T246" s="127"/>
      <c r="U246" s="137"/>
    </row>
    <row r="247" spans="1:21" x14ac:dyDescent="0.3">
      <c r="A247" s="126"/>
      <c r="B247" s="133"/>
      <c r="C247" s="127"/>
      <c r="D247" s="138"/>
      <c r="E247" s="138"/>
      <c r="F247" s="137"/>
      <c r="G247" s="58" t="str" cm="1">
        <f>IF(ISBLANK($A247),"",INDEX(Array_MobileCharges,MATCH($A247,List_MobileFuelMeters,0),ROUNDUP((COLUMN()+1)/3-2,0)))</f>
        <v/>
      </c>
      <c r="H247" s="127"/>
      <c r="I247" s="137"/>
      <c r="J247" s="58" t="str" cm="1">
        <f>IF(ISBLANK($A247),"",INDEX(Array_MobileCharges,MATCH($A247,List_MobileFuelMeters,0),ROUNDUP((COLUMN()+1)/3-2,0)))</f>
        <v/>
      </c>
      <c r="K247" s="127"/>
      <c r="L247" s="137"/>
      <c r="M247" s="58" t="str" cm="1">
        <f>IF(ISBLANK($A247),"",INDEX(Array_MobileCharges,MATCH($A247,List_MobileFuelMeters,0),ROUNDUP((COLUMN()+1)/3-2,0)))</f>
        <v/>
      </c>
      <c r="N247" s="127"/>
      <c r="O247" s="137"/>
      <c r="P247" s="58" t="str" cm="1">
        <f>IF(ISBLANK($A247),"",INDEX(Array_MobileCharges,MATCH($A247,List_MobileFuelMeters,0),ROUNDUP((COLUMN()+1)/3-2,0)))</f>
        <v/>
      </c>
      <c r="Q247" s="127"/>
      <c r="R247" s="137"/>
      <c r="S247" s="58" t="str" cm="1">
        <f>IF(ISBLANK($A247),"",INDEX(Array_MobileCharges,MATCH($A247,List_MobileFuelMeters,0),ROUNDUP((COLUMN()+1)/3-2,0)))</f>
        <v/>
      </c>
      <c r="T247" s="127"/>
      <c r="U247" s="137"/>
    </row>
    <row r="248" spans="1:21" x14ac:dyDescent="0.3">
      <c r="A248" s="126"/>
      <c r="B248" s="133"/>
      <c r="C248" s="127"/>
      <c r="D248" s="138"/>
      <c r="E248" s="138"/>
      <c r="F248" s="137"/>
      <c r="G248" s="58" t="str" cm="1">
        <f>IF(ISBLANK($A248),"",INDEX(Array_MobileCharges,MATCH($A248,List_MobileFuelMeters,0),ROUNDUP((COLUMN()+1)/3-2,0)))</f>
        <v/>
      </c>
      <c r="H248" s="127"/>
      <c r="I248" s="137"/>
      <c r="J248" s="58" t="str" cm="1">
        <f>IF(ISBLANK($A248),"",INDEX(Array_MobileCharges,MATCH($A248,List_MobileFuelMeters,0),ROUNDUP((COLUMN()+1)/3-2,0)))</f>
        <v/>
      </c>
      <c r="K248" s="127"/>
      <c r="L248" s="137"/>
      <c r="M248" s="58" t="str" cm="1">
        <f>IF(ISBLANK($A248),"",INDEX(Array_MobileCharges,MATCH($A248,List_MobileFuelMeters,0),ROUNDUP((COLUMN()+1)/3-2,0)))</f>
        <v/>
      </c>
      <c r="N248" s="127"/>
      <c r="O248" s="137"/>
      <c r="P248" s="58" t="str" cm="1">
        <f>IF(ISBLANK($A248),"",INDEX(Array_MobileCharges,MATCH($A248,List_MobileFuelMeters,0),ROUNDUP((COLUMN()+1)/3-2,0)))</f>
        <v/>
      </c>
      <c r="Q248" s="127"/>
      <c r="R248" s="137"/>
      <c r="S248" s="58" t="str" cm="1">
        <f>IF(ISBLANK($A248),"",INDEX(Array_MobileCharges,MATCH($A248,List_MobileFuelMeters,0),ROUNDUP((COLUMN()+1)/3-2,0)))</f>
        <v/>
      </c>
      <c r="T248" s="127"/>
      <c r="U248" s="137"/>
    </row>
    <row r="249" spans="1:21" x14ac:dyDescent="0.3">
      <c r="A249" s="126"/>
      <c r="B249" s="133"/>
      <c r="C249" s="127"/>
      <c r="D249" s="138"/>
      <c r="E249" s="138"/>
      <c r="F249" s="137"/>
      <c r="G249" s="58" t="str" cm="1">
        <f>IF(ISBLANK($A249),"",INDEX(Array_MobileCharges,MATCH($A249,List_MobileFuelMeters,0),ROUNDUP((COLUMN()+1)/3-2,0)))</f>
        <v/>
      </c>
      <c r="H249" s="127"/>
      <c r="I249" s="137"/>
      <c r="J249" s="58" t="str" cm="1">
        <f>IF(ISBLANK($A249),"",INDEX(Array_MobileCharges,MATCH($A249,List_MobileFuelMeters,0),ROUNDUP((COLUMN()+1)/3-2,0)))</f>
        <v/>
      </c>
      <c r="K249" s="127"/>
      <c r="L249" s="137"/>
      <c r="M249" s="58" t="str" cm="1">
        <f>IF(ISBLANK($A249),"",INDEX(Array_MobileCharges,MATCH($A249,List_MobileFuelMeters,0),ROUNDUP((COLUMN()+1)/3-2,0)))</f>
        <v/>
      </c>
      <c r="N249" s="127"/>
      <c r="O249" s="137"/>
      <c r="P249" s="58" t="str" cm="1">
        <f>IF(ISBLANK($A249),"",INDEX(Array_MobileCharges,MATCH($A249,List_MobileFuelMeters,0),ROUNDUP((COLUMN()+1)/3-2,0)))</f>
        <v/>
      </c>
      <c r="Q249" s="127"/>
      <c r="R249" s="137"/>
      <c r="S249" s="58" t="str" cm="1">
        <f>IF(ISBLANK($A249),"",INDEX(Array_MobileCharges,MATCH($A249,List_MobileFuelMeters,0),ROUNDUP((COLUMN()+1)/3-2,0)))</f>
        <v/>
      </c>
      <c r="T249" s="127"/>
      <c r="U249" s="137"/>
    </row>
    <row r="250" spans="1:21" x14ac:dyDescent="0.3">
      <c r="A250" s="126"/>
      <c r="B250" s="133"/>
      <c r="C250" s="127"/>
      <c r="D250" s="138"/>
      <c r="E250" s="138"/>
      <c r="F250" s="137"/>
      <c r="G250" s="58" t="str" cm="1">
        <f>IF(ISBLANK($A250),"",INDEX(Array_MobileCharges,MATCH($A250,List_MobileFuelMeters,0),ROUNDUP((COLUMN()+1)/3-2,0)))</f>
        <v/>
      </c>
      <c r="H250" s="127"/>
      <c r="I250" s="137"/>
      <c r="J250" s="58" t="str" cm="1">
        <f>IF(ISBLANK($A250),"",INDEX(Array_MobileCharges,MATCH($A250,List_MobileFuelMeters,0),ROUNDUP((COLUMN()+1)/3-2,0)))</f>
        <v/>
      </c>
      <c r="K250" s="127"/>
      <c r="L250" s="137"/>
      <c r="M250" s="58" t="str" cm="1">
        <f>IF(ISBLANK($A250),"",INDEX(Array_MobileCharges,MATCH($A250,List_MobileFuelMeters,0),ROUNDUP((COLUMN()+1)/3-2,0)))</f>
        <v/>
      </c>
      <c r="N250" s="127"/>
      <c r="O250" s="137"/>
      <c r="P250" s="58" t="str" cm="1">
        <f>IF(ISBLANK($A250),"",INDEX(Array_MobileCharges,MATCH($A250,List_MobileFuelMeters,0),ROUNDUP((COLUMN()+1)/3-2,0)))</f>
        <v/>
      </c>
      <c r="Q250" s="127"/>
      <c r="R250" s="137"/>
      <c r="S250" s="58" t="str" cm="1">
        <f>IF(ISBLANK($A250),"",INDEX(Array_MobileCharges,MATCH($A250,List_MobileFuelMeters,0),ROUNDUP((COLUMN()+1)/3-2,0)))</f>
        <v/>
      </c>
      <c r="T250" s="127"/>
      <c r="U250" s="137"/>
    </row>
    <row r="251" spans="1:21" x14ac:dyDescent="0.3">
      <c r="A251" s="126"/>
      <c r="B251" s="133"/>
      <c r="C251" s="127"/>
      <c r="D251" s="138"/>
      <c r="E251" s="138"/>
      <c r="F251" s="137"/>
      <c r="G251" s="58" t="str" cm="1">
        <f>IF(ISBLANK($A251),"",INDEX(Array_MobileCharges,MATCH($A251,List_MobileFuelMeters,0),ROUNDUP((COLUMN()+1)/3-2,0)))</f>
        <v/>
      </c>
      <c r="H251" s="127"/>
      <c r="I251" s="137"/>
      <c r="J251" s="58" t="str" cm="1">
        <f>IF(ISBLANK($A251),"",INDEX(Array_MobileCharges,MATCH($A251,List_MobileFuelMeters,0),ROUNDUP((COLUMN()+1)/3-2,0)))</f>
        <v/>
      </c>
      <c r="K251" s="127"/>
      <c r="L251" s="137"/>
      <c r="M251" s="58" t="str" cm="1">
        <f>IF(ISBLANK($A251),"",INDEX(Array_MobileCharges,MATCH($A251,List_MobileFuelMeters,0),ROUNDUP((COLUMN()+1)/3-2,0)))</f>
        <v/>
      </c>
      <c r="N251" s="127"/>
      <c r="O251" s="137"/>
      <c r="P251" s="58" t="str" cm="1">
        <f>IF(ISBLANK($A251),"",INDEX(Array_MobileCharges,MATCH($A251,List_MobileFuelMeters,0),ROUNDUP((COLUMN()+1)/3-2,0)))</f>
        <v/>
      </c>
      <c r="Q251" s="127"/>
      <c r="R251" s="137"/>
      <c r="S251" s="58" t="str" cm="1">
        <f>IF(ISBLANK($A251),"",INDEX(Array_MobileCharges,MATCH($A251,List_MobileFuelMeters,0),ROUNDUP((COLUMN()+1)/3-2,0)))</f>
        <v/>
      </c>
      <c r="T251" s="127"/>
      <c r="U251" s="137"/>
    </row>
    <row r="252" spans="1:21" x14ac:dyDescent="0.3">
      <c r="A252" s="126"/>
      <c r="B252" s="133"/>
      <c r="C252" s="127"/>
      <c r="D252" s="138"/>
      <c r="E252" s="138"/>
      <c r="F252" s="137"/>
      <c r="G252" s="58" t="str" cm="1">
        <f>IF(ISBLANK($A252),"",INDEX(Array_MobileCharges,MATCH($A252,List_MobileFuelMeters,0),ROUNDUP((COLUMN()+1)/3-2,0)))</f>
        <v/>
      </c>
      <c r="H252" s="127"/>
      <c r="I252" s="137"/>
      <c r="J252" s="58" t="str" cm="1">
        <f>IF(ISBLANK($A252),"",INDEX(Array_MobileCharges,MATCH($A252,List_MobileFuelMeters,0),ROUNDUP((COLUMN()+1)/3-2,0)))</f>
        <v/>
      </c>
      <c r="K252" s="127"/>
      <c r="L252" s="137"/>
      <c r="M252" s="58" t="str" cm="1">
        <f>IF(ISBLANK($A252),"",INDEX(Array_MobileCharges,MATCH($A252,List_MobileFuelMeters,0),ROUNDUP((COLUMN()+1)/3-2,0)))</f>
        <v/>
      </c>
      <c r="N252" s="127"/>
      <c r="O252" s="137"/>
      <c r="P252" s="58" t="str" cm="1">
        <f>IF(ISBLANK($A252),"",INDEX(Array_MobileCharges,MATCH($A252,List_MobileFuelMeters,0),ROUNDUP((COLUMN()+1)/3-2,0)))</f>
        <v/>
      </c>
      <c r="Q252" s="127"/>
      <c r="R252" s="137"/>
      <c r="S252" s="58" t="str" cm="1">
        <f>IF(ISBLANK($A252),"",INDEX(Array_MobileCharges,MATCH($A252,List_MobileFuelMeters,0),ROUNDUP((COLUMN()+1)/3-2,0)))</f>
        <v/>
      </c>
      <c r="T252" s="127"/>
      <c r="U252" s="137"/>
    </row>
    <row r="253" spans="1:21" x14ac:dyDescent="0.3">
      <c r="A253" s="126"/>
      <c r="B253" s="133"/>
      <c r="C253" s="127"/>
      <c r="D253" s="138"/>
      <c r="E253" s="138"/>
      <c r="F253" s="137"/>
      <c r="G253" s="58" t="str" cm="1">
        <f>IF(ISBLANK($A253),"",INDEX(Array_MobileCharges,MATCH($A253,List_MobileFuelMeters,0),ROUNDUP((COLUMN()+1)/3-2,0)))</f>
        <v/>
      </c>
      <c r="H253" s="127"/>
      <c r="I253" s="137"/>
      <c r="J253" s="58" t="str" cm="1">
        <f>IF(ISBLANK($A253),"",INDEX(Array_MobileCharges,MATCH($A253,List_MobileFuelMeters,0),ROUNDUP((COLUMN()+1)/3-2,0)))</f>
        <v/>
      </c>
      <c r="K253" s="127"/>
      <c r="L253" s="137"/>
      <c r="M253" s="58" t="str" cm="1">
        <f>IF(ISBLANK($A253),"",INDEX(Array_MobileCharges,MATCH($A253,List_MobileFuelMeters,0),ROUNDUP((COLUMN()+1)/3-2,0)))</f>
        <v/>
      </c>
      <c r="N253" s="127"/>
      <c r="O253" s="137"/>
      <c r="P253" s="58" t="str" cm="1">
        <f>IF(ISBLANK($A253),"",INDEX(Array_MobileCharges,MATCH($A253,List_MobileFuelMeters,0),ROUNDUP((COLUMN()+1)/3-2,0)))</f>
        <v/>
      </c>
      <c r="Q253" s="127"/>
      <c r="R253" s="137"/>
      <c r="S253" s="58" t="str" cm="1">
        <f>IF(ISBLANK($A253),"",INDEX(Array_MobileCharges,MATCH($A253,List_MobileFuelMeters,0),ROUNDUP((COLUMN()+1)/3-2,0)))</f>
        <v/>
      </c>
      <c r="T253" s="127"/>
      <c r="U253" s="137"/>
    </row>
    <row r="254" spans="1:21" x14ac:dyDescent="0.3">
      <c r="A254" s="126"/>
      <c r="B254" s="133"/>
      <c r="C254" s="127"/>
      <c r="D254" s="138"/>
      <c r="E254" s="138"/>
      <c r="F254" s="137"/>
      <c r="G254" s="58" t="str" cm="1">
        <f>IF(ISBLANK($A254),"",INDEX(Array_MobileCharges,MATCH($A254,List_MobileFuelMeters,0),ROUNDUP((COLUMN()+1)/3-2,0)))</f>
        <v/>
      </c>
      <c r="H254" s="127"/>
      <c r="I254" s="137"/>
      <c r="J254" s="58" t="str" cm="1">
        <f>IF(ISBLANK($A254),"",INDEX(Array_MobileCharges,MATCH($A254,List_MobileFuelMeters,0),ROUNDUP((COLUMN()+1)/3-2,0)))</f>
        <v/>
      </c>
      <c r="K254" s="127"/>
      <c r="L254" s="137"/>
      <c r="M254" s="58" t="str" cm="1">
        <f>IF(ISBLANK($A254),"",INDEX(Array_MobileCharges,MATCH($A254,List_MobileFuelMeters,0),ROUNDUP((COLUMN()+1)/3-2,0)))</f>
        <v/>
      </c>
      <c r="N254" s="127"/>
      <c r="O254" s="137"/>
      <c r="P254" s="58" t="str" cm="1">
        <f>IF(ISBLANK($A254),"",INDEX(Array_MobileCharges,MATCH($A254,List_MobileFuelMeters,0),ROUNDUP((COLUMN()+1)/3-2,0)))</f>
        <v/>
      </c>
      <c r="Q254" s="127"/>
      <c r="R254" s="137"/>
      <c r="S254" s="58" t="str" cm="1">
        <f>IF(ISBLANK($A254),"",INDEX(Array_MobileCharges,MATCH($A254,List_MobileFuelMeters,0),ROUNDUP((COLUMN()+1)/3-2,0)))</f>
        <v/>
      </c>
      <c r="T254" s="127"/>
      <c r="U254" s="137"/>
    </row>
    <row r="255" spans="1:21" x14ac:dyDescent="0.3">
      <c r="A255" s="126"/>
      <c r="B255" s="133"/>
      <c r="C255" s="127"/>
      <c r="D255" s="138"/>
      <c r="E255" s="138"/>
      <c r="F255" s="137"/>
      <c r="G255" s="58" t="str" cm="1">
        <f>IF(ISBLANK($A255),"",INDEX(Array_MobileCharges,MATCH($A255,List_MobileFuelMeters,0),ROUNDUP((COLUMN()+1)/3-2,0)))</f>
        <v/>
      </c>
      <c r="H255" s="127"/>
      <c r="I255" s="137"/>
      <c r="J255" s="58" t="str" cm="1">
        <f>IF(ISBLANK($A255),"",INDEX(Array_MobileCharges,MATCH($A255,List_MobileFuelMeters,0),ROUNDUP((COLUMN()+1)/3-2,0)))</f>
        <v/>
      </c>
      <c r="K255" s="127"/>
      <c r="L255" s="137"/>
      <c r="M255" s="58" t="str" cm="1">
        <f>IF(ISBLANK($A255),"",INDEX(Array_MobileCharges,MATCH($A255,List_MobileFuelMeters,0),ROUNDUP((COLUMN()+1)/3-2,0)))</f>
        <v/>
      </c>
      <c r="N255" s="127"/>
      <c r="O255" s="137"/>
      <c r="P255" s="58" t="str" cm="1">
        <f>IF(ISBLANK($A255),"",INDEX(Array_MobileCharges,MATCH($A255,List_MobileFuelMeters,0),ROUNDUP((COLUMN()+1)/3-2,0)))</f>
        <v/>
      </c>
      <c r="Q255" s="127"/>
      <c r="R255" s="137"/>
      <c r="S255" s="58" t="str" cm="1">
        <f>IF(ISBLANK($A255),"",INDEX(Array_MobileCharges,MATCH($A255,List_MobileFuelMeters,0),ROUNDUP((COLUMN()+1)/3-2,0)))</f>
        <v/>
      </c>
      <c r="T255" s="127"/>
      <c r="U255" s="137"/>
    </row>
    <row r="256" spans="1:21" x14ac:dyDescent="0.3">
      <c r="A256" s="126"/>
      <c r="B256" s="133"/>
      <c r="C256" s="127"/>
      <c r="D256" s="138"/>
      <c r="E256" s="138"/>
      <c r="F256" s="137"/>
      <c r="G256" s="58" t="str" cm="1">
        <f>IF(ISBLANK($A256),"",INDEX(Array_MobileCharges,MATCH($A256,List_MobileFuelMeters,0),ROUNDUP((COLUMN()+1)/3-2,0)))</f>
        <v/>
      </c>
      <c r="H256" s="127"/>
      <c r="I256" s="137"/>
      <c r="J256" s="58" t="str" cm="1">
        <f>IF(ISBLANK($A256),"",INDEX(Array_MobileCharges,MATCH($A256,List_MobileFuelMeters,0),ROUNDUP((COLUMN()+1)/3-2,0)))</f>
        <v/>
      </c>
      <c r="K256" s="127"/>
      <c r="L256" s="137"/>
      <c r="M256" s="58" t="str" cm="1">
        <f>IF(ISBLANK($A256),"",INDEX(Array_MobileCharges,MATCH($A256,List_MobileFuelMeters,0),ROUNDUP((COLUMN()+1)/3-2,0)))</f>
        <v/>
      </c>
      <c r="N256" s="127"/>
      <c r="O256" s="137"/>
      <c r="P256" s="58" t="str" cm="1">
        <f>IF(ISBLANK($A256),"",INDEX(Array_MobileCharges,MATCH($A256,List_MobileFuelMeters,0),ROUNDUP((COLUMN()+1)/3-2,0)))</f>
        <v/>
      </c>
      <c r="Q256" s="127"/>
      <c r="R256" s="137"/>
      <c r="S256" s="58" t="str" cm="1">
        <f>IF(ISBLANK($A256),"",INDEX(Array_MobileCharges,MATCH($A256,List_MobileFuelMeters,0),ROUNDUP((COLUMN()+1)/3-2,0)))</f>
        <v/>
      </c>
      <c r="T256" s="127"/>
      <c r="U256" s="137"/>
    </row>
    <row r="257" spans="1:21" x14ac:dyDescent="0.3">
      <c r="A257" s="126"/>
      <c r="B257" s="133"/>
      <c r="C257" s="127"/>
      <c r="D257" s="138"/>
      <c r="E257" s="138"/>
      <c r="F257" s="137"/>
      <c r="G257" s="58" t="str" cm="1">
        <f>IF(ISBLANK($A257),"",INDEX(Array_MobileCharges,MATCH($A257,List_MobileFuelMeters,0),ROUNDUP((COLUMN()+1)/3-2,0)))</f>
        <v/>
      </c>
      <c r="H257" s="127"/>
      <c r="I257" s="137"/>
      <c r="J257" s="58" t="str" cm="1">
        <f>IF(ISBLANK($A257),"",INDEX(Array_MobileCharges,MATCH($A257,List_MobileFuelMeters,0),ROUNDUP((COLUMN()+1)/3-2,0)))</f>
        <v/>
      </c>
      <c r="K257" s="127"/>
      <c r="L257" s="137"/>
      <c r="M257" s="58" t="str" cm="1">
        <f>IF(ISBLANK($A257),"",INDEX(Array_MobileCharges,MATCH($A257,List_MobileFuelMeters,0),ROUNDUP((COLUMN()+1)/3-2,0)))</f>
        <v/>
      </c>
      <c r="N257" s="127"/>
      <c r="O257" s="137"/>
      <c r="P257" s="58" t="str" cm="1">
        <f>IF(ISBLANK($A257),"",INDEX(Array_MobileCharges,MATCH($A257,List_MobileFuelMeters,0),ROUNDUP((COLUMN()+1)/3-2,0)))</f>
        <v/>
      </c>
      <c r="Q257" s="127"/>
      <c r="R257" s="137"/>
      <c r="S257" s="58" t="str" cm="1">
        <f>IF(ISBLANK($A257),"",INDEX(Array_MobileCharges,MATCH($A257,List_MobileFuelMeters,0),ROUNDUP((COLUMN()+1)/3-2,0)))</f>
        <v/>
      </c>
      <c r="T257" s="127"/>
      <c r="U257" s="137"/>
    </row>
    <row r="258" spans="1:21" x14ac:dyDescent="0.3">
      <c r="A258" s="126"/>
      <c r="B258" s="133"/>
      <c r="C258" s="127"/>
      <c r="D258" s="138"/>
      <c r="E258" s="138"/>
      <c r="F258" s="137"/>
      <c r="G258" s="58" t="str" cm="1">
        <f>IF(ISBLANK($A258),"",INDEX(Array_MobileCharges,MATCH($A258,List_MobileFuelMeters,0),ROUNDUP((COLUMN()+1)/3-2,0)))</f>
        <v/>
      </c>
      <c r="H258" s="127"/>
      <c r="I258" s="137"/>
      <c r="J258" s="58" t="str" cm="1">
        <f>IF(ISBLANK($A258),"",INDEX(Array_MobileCharges,MATCH($A258,List_MobileFuelMeters,0),ROUNDUP((COLUMN()+1)/3-2,0)))</f>
        <v/>
      </c>
      <c r="K258" s="127"/>
      <c r="L258" s="137"/>
      <c r="M258" s="58" t="str" cm="1">
        <f>IF(ISBLANK($A258),"",INDEX(Array_MobileCharges,MATCH($A258,List_MobileFuelMeters,0),ROUNDUP((COLUMN()+1)/3-2,0)))</f>
        <v/>
      </c>
      <c r="N258" s="127"/>
      <c r="O258" s="137"/>
      <c r="P258" s="58" t="str" cm="1">
        <f>IF(ISBLANK($A258),"",INDEX(Array_MobileCharges,MATCH($A258,List_MobileFuelMeters,0),ROUNDUP((COLUMN()+1)/3-2,0)))</f>
        <v/>
      </c>
      <c r="Q258" s="127"/>
      <c r="R258" s="137"/>
      <c r="S258" s="58" t="str" cm="1">
        <f>IF(ISBLANK($A258),"",INDEX(Array_MobileCharges,MATCH($A258,List_MobileFuelMeters,0),ROUNDUP((COLUMN()+1)/3-2,0)))</f>
        <v/>
      </c>
      <c r="T258" s="127"/>
      <c r="U258" s="137"/>
    </row>
    <row r="259" spans="1:21" x14ac:dyDescent="0.3">
      <c r="A259" s="126"/>
      <c r="B259" s="133"/>
      <c r="C259" s="127"/>
      <c r="D259" s="138"/>
      <c r="E259" s="138"/>
      <c r="F259" s="137"/>
      <c r="G259" s="58" t="str" cm="1">
        <f>IF(ISBLANK($A259),"",INDEX(Array_MobileCharges,MATCH($A259,List_MobileFuelMeters,0),ROUNDUP((COLUMN()+1)/3-2,0)))</f>
        <v/>
      </c>
      <c r="H259" s="127"/>
      <c r="I259" s="137"/>
      <c r="J259" s="58" t="str" cm="1">
        <f>IF(ISBLANK($A259),"",INDEX(Array_MobileCharges,MATCH($A259,List_MobileFuelMeters,0),ROUNDUP((COLUMN()+1)/3-2,0)))</f>
        <v/>
      </c>
      <c r="K259" s="127"/>
      <c r="L259" s="137"/>
      <c r="M259" s="58" t="str" cm="1">
        <f>IF(ISBLANK($A259),"",INDEX(Array_MobileCharges,MATCH($A259,List_MobileFuelMeters,0),ROUNDUP((COLUMN()+1)/3-2,0)))</f>
        <v/>
      </c>
      <c r="N259" s="127"/>
      <c r="O259" s="137"/>
      <c r="P259" s="58" t="str" cm="1">
        <f>IF(ISBLANK($A259),"",INDEX(Array_MobileCharges,MATCH($A259,List_MobileFuelMeters,0),ROUNDUP((COLUMN()+1)/3-2,0)))</f>
        <v/>
      </c>
      <c r="Q259" s="127"/>
      <c r="R259" s="137"/>
      <c r="S259" s="58" t="str" cm="1">
        <f>IF(ISBLANK($A259),"",INDEX(Array_MobileCharges,MATCH($A259,List_MobileFuelMeters,0),ROUNDUP((COLUMN()+1)/3-2,0)))</f>
        <v/>
      </c>
      <c r="T259" s="127"/>
      <c r="U259" s="137"/>
    </row>
    <row r="260" spans="1:21" x14ac:dyDescent="0.3">
      <c r="A260" s="126"/>
      <c r="B260" s="133"/>
      <c r="C260" s="127"/>
      <c r="D260" s="138"/>
      <c r="E260" s="138"/>
      <c r="F260" s="137"/>
      <c r="G260" s="58" t="str" cm="1">
        <f>IF(ISBLANK($A260),"",INDEX(Array_MobileCharges,MATCH($A260,List_MobileFuelMeters,0),ROUNDUP((COLUMN()+1)/3-2,0)))</f>
        <v/>
      </c>
      <c r="H260" s="127"/>
      <c r="I260" s="137"/>
      <c r="J260" s="58" t="str" cm="1">
        <f>IF(ISBLANK($A260),"",INDEX(Array_MobileCharges,MATCH($A260,List_MobileFuelMeters,0),ROUNDUP((COLUMN()+1)/3-2,0)))</f>
        <v/>
      </c>
      <c r="K260" s="127"/>
      <c r="L260" s="137"/>
      <c r="M260" s="58" t="str" cm="1">
        <f>IF(ISBLANK($A260),"",INDEX(Array_MobileCharges,MATCH($A260,List_MobileFuelMeters,0),ROUNDUP((COLUMN()+1)/3-2,0)))</f>
        <v/>
      </c>
      <c r="N260" s="127"/>
      <c r="O260" s="137"/>
      <c r="P260" s="58" t="str" cm="1">
        <f>IF(ISBLANK($A260),"",INDEX(Array_MobileCharges,MATCH($A260,List_MobileFuelMeters,0),ROUNDUP((COLUMN()+1)/3-2,0)))</f>
        <v/>
      </c>
      <c r="Q260" s="127"/>
      <c r="R260" s="137"/>
      <c r="S260" s="58" t="str" cm="1">
        <f>IF(ISBLANK($A260),"",INDEX(Array_MobileCharges,MATCH($A260,List_MobileFuelMeters,0),ROUNDUP((COLUMN()+1)/3-2,0)))</f>
        <v/>
      </c>
      <c r="T260" s="127"/>
      <c r="U260" s="137"/>
    </row>
    <row r="261" spans="1:21" x14ac:dyDescent="0.3">
      <c r="A261" s="126"/>
      <c r="B261" s="133"/>
      <c r="C261" s="127"/>
      <c r="D261" s="138"/>
      <c r="E261" s="138"/>
      <c r="F261" s="137"/>
      <c r="G261" s="58" t="str" cm="1">
        <f>IF(ISBLANK($A261),"",INDEX(Array_MobileCharges,MATCH($A261,List_MobileFuelMeters,0),ROUNDUP((COLUMN()+1)/3-2,0)))</f>
        <v/>
      </c>
      <c r="H261" s="127"/>
      <c r="I261" s="137"/>
      <c r="J261" s="58" t="str" cm="1">
        <f>IF(ISBLANK($A261),"",INDEX(Array_MobileCharges,MATCH($A261,List_MobileFuelMeters,0),ROUNDUP((COLUMN()+1)/3-2,0)))</f>
        <v/>
      </c>
      <c r="K261" s="127"/>
      <c r="L261" s="137"/>
      <c r="M261" s="58" t="str" cm="1">
        <f>IF(ISBLANK($A261),"",INDEX(Array_MobileCharges,MATCH($A261,List_MobileFuelMeters,0),ROUNDUP((COLUMN()+1)/3-2,0)))</f>
        <v/>
      </c>
      <c r="N261" s="127"/>
      <c r="O261" s="137"/>
      <c r="P261" s="58" t="str" cm="1">
        <f>IF(ISBLANK($A261),"",INDEX(Array_MobileCharges,MATCH($A261,List_MobileFuelMeters,0),ROUNDUP((COLUMN()+1)/3-2,0)))</f>
        <v/>
      </c>
      <c r="Q261" s="127"/>
      <c r="R261" s="137"/>
      <c r="S261" s="58" t="str" cm="1">
        <f>IF(ISBLANK($A261),"",INDEX(Array_MobileCharges,MATCH($A261,List_MobileFuelMeters,0),ROUNDUP((COLUMN()+1)/3-2,0)))</f>
        <v/>
      </c>
      <c r="T261" s="127"/>
      <c r="U261" s="137"/>
    </row>
    <row r="262" spans="1:21" x14ac:dyDescent="0.3">
      <c r="A262" s="126"/>
      <c r="B262" s="133"/>
      <c r="C262" s="127"/>
      <c r="D262" s="138"/>
      <c r="E262" s="138"/>
      <c r="F262" s="137"/>
      <c r="G262" s="58" t="str" cm="1">
        <f>IF(ISBLANK($A262),"",INDEX(Array_MobileCharges,MATCH($A262,List_MobileFuelMeters,0),ROUNDUP((COLUMN()+1)/3-2,0)))</f>
        <v/>
      </c>
      <c r="H262" s="127"/>
      <c r="I262" s="137"/>
      <c r="J262" s="58" t="str" cm="1">
        <f>IF(ISBLANK($A262),"",INDEX(Array_MobileCharges,MATCH($A262,List_MobileFuelMeters,0),ROUNDUP((COLUMN()+1)/3-2,0)))</f>
        <v/>
      </c>
      <c r="K262" s="127"/>
      <c r="L262" s="137"/>
      <c r="M262" s="58" t="str" cm="1">
        <f>IF(ISBLANK($A262),"",INDEX(Array_MobileCharges,MATCH($A262,List_MobileFuelMeters,0),ROUNDUP((COLUMN()+1)/3-2,0)))</f>
        <v/>
      </c>
      <c r="N262" s="127"/>
      <c r="O262" s="137"/>
      <c r="P262" s="58" t="str" cm="1">
        <f>IF(ISBLANK($A262),"",INDEX(Array_MobileCharges,MATCH($A262,List_MobileFuelMeters,0),ROUNDUP((COLUMN()+1)/3-2,0)))</f>
        <v/>
      </c>
      <c r="Q262" s="127"/>
      <c r="R262" s="137"/>
      <c r="S262" s="58" t="str" cm="1">
        <f>IF(ISBLANK($A262),"",INDEX(Array_MobileCharges,MATCH($A262,List_MobileFuelMeters,0),ROUNDUP((COLUMN()+1)/3-2,0)))</f>
        <v/>
      </c>
      <c r="T262" s="127"/>
      <c r="U262" s="137"/>
    </row>
    <row r="263" spans="1:21" x14ac:dyDescent="0.3">
      <c r="A263" s="126"/>
      <c r="B263" s="133"/>
      <c r="C263" s="127"/>
      <c r="D263" s="138"/>
      <c r="E263" s="138"/>
      <c r="F263" s="137"/>
      <c r="G263" s="58" t="str" cm="1">
        <f>IF(ISBLANK($A263),"",INDEX(Array_MobileCharges,MATCH($A263,List_MobileFuelMeters,0),ROUNDUP((COLUMN()+1)/3-2,0)))</f>
        <v/>
      </c>
      <c r="H263" s="127"/>
      <c r="I263" s="137"/>
      <c r="J263" s="58" t="str" cm="1">
        <f>IF(ISBLANK($A263),"",INDEX(Array_MobileCharges,MATCH($A263,List_MobileFuelMeters,0),ROUNDUP((COLUMN()+1)/3-2,0)))</f>
        <v/>
      </c>
      <c r="K263" s="127"/>
      <c r="L263" s="137"/>
      <c r="M263" s="58" t="str" cm="1">
        <f>IF(ISBLANK($A263),"",INDEX(Array_MobileCharges,MATCH($A263,List_MobileFuelMeters,0),ROUNDUP((COLUMN()+1)/3-2,0)))</f>
        <v/>
      </c>
      <c r="N263" s="127"/>
      <c r="O263" s="137"/>
      <c r="P263" s="58" t="str" cm="1">
        <f>IF(ISBLANK($A263),"",INDEX(Array_MobileCharges,MATCH($A263,List_MobileFuelMeters,0),ROUNDUP((COLUMN()+1)/3-2,0)))</f>
        <v/>
      </c>
      <c r="Q263" s="127"/>
      <c r="R263" s="137"/>
      <c r="S263" s="58" t="str" cm="1">
        <f>IF(ISBLANK($A263),"",INDEX(Array_MobileCharges,MATCH($A263,List_MobileFuelMeters,0),ROUNDUP((COLUMN()+1)/3-2,0)))</f>
        <v/>
      </c>
      <c r="T263" s="127"/>
      <c r="U263" s="137"/>
    </row>
    <row r="264" spans="1:21" x14ac:dyDescent="0.3">
      <c r="A264" s="126"/>
      <c r="B264" s="133"/>
      <c r="C264" s="127"/>
      <c r="D264" s="138"/>
      <c r="E264" s="138"/>
      <c r="F264" s="137"/>
      <c r="G264" s="58" t="str" cm="1">
        <f>IF(ISBLANK($A264),"",INDEX(Array_MobileCharges,MATCH($A264,List_MobileFuelMeters,0),ROUNDUP((COLUMN()+1)/3-2,0)))</f>
        <v/>
      </c>
      <c r="H264" s="127"/>
      <c r="I264" s="137"/>
      <c r="J264" s="58" t="str" cm="1">
        <f>IF(ISBLANK($A264),"",INDEX(Array_MobileCharges,MATCH($A264,List_MobileFuelMeters,0),ROUNDUP((COLUMN()+1)/3-2,0)))</f>
        <v/>
      </c>
      <c r="K264" s="127"/>
      <c r="L264" s="137"/>
      <c r="M264" s="58" t="str" cm="1">
        <f>IF(ISBLANK($A264),"",INDEX(Array_MobileCharges,MATCH($A264,List_MobileFuelMeters,0),ROUNDUP((COLUMN()+1)/3-2,0)))</f>
        <v/>
      </c>
      <c r="N264" s="127"/>
      <c r="O264" s="137"/>
      <c r="P264" s="58" t="str" cm="1">
        <f>IF(ISBLANK($A264),"",INDEX(Array_MobileCharges,MATCH($A264,List_MobileFuelMeters,0),ROUNDUP((COLUMN()+1)/3-2,0)))</f>
        <v/>
      </c>
      <c r="Q264" s="127"/>
      <c r="R264" s="137"/>
      <c r="S264" s="58" t="str" cm="1">
        <f>IF(ISBLANK($A264),"",INDEX(Array_MobileCharges,MATCH($A264,List_MobileFuelMeters,0),ROUNDUP((COLUMN()+1)/3-2,0)))</f>
        <v/>
      </c>
      <c r="T264" s="127"/>
      <c r="U264" s="137"/>
    </row>
    <row r="265" spans="1:21" x14ac:dyDescent="0.3">
      <c r="A265" s="126"/>
      <c r="B265" s="133"/>
      <c r="C265" s="127"/>
      <c r="D265" s="138"/>
      <c r="E265" s="138"/>
      <c r="F265" s="137"/>
      <c r="G265" s="58" t="str" cm="1">
        <f>IF(ISBLANK($A265),"",INDEX(Array_MobileCharges,MATCH($A265,List_MobileFuelMeters,0),ROUNDUP((COLUMN()+1)/3-2,0)))</f>
        <v/>
      </c>
      <c r="H265" s="127"/>
      <c r="I265" s="137"/>
      <c r="J265" s="58" t="str" cm="1">
        <f>IF(ISBLANK($A265),"",INDEX(Array_MobileCharges,MATCH($A265,List_MobileFuelMeters,0),ROUNDUP((COLUMN()+1)/3-2,0)))</f>
        <v/>
      </c>
      <c r="K265" s="127"/>
      <c r="L265" s="137"/>
      <c r="M265" s="58" t="str" cm="1">
        <f>IF(ISBLANK($A265),"",INDEX(Array_MobileCharges,MATCH($A265,List_MobileFuelMeters,0),ROUNDUP((COLUMN()+1)/3-2,0)))</f>
        <v/>
      </c>
      <c r="N265" s="127"/>
      <c r="O265" s="137"/>
      <c r="P265" s="58" t="str" cm="1">
        <f>IF(ISBLANK($A265),"",INDEX(Array_MobileCharges,MATCH($A265,List_MobileFuelMeters,0),ROUNDUP((COLUMN()+1)/3-2,0)))</f>
        <v/>
      </c>
      <c r="Q265" s="127"/>
      <c r="R265" s="137"/>
      <c r="S265" s="58" t="str" cm="1">
        <f>IF(ISBLANK($A265),"",INDEX(Array_MobileCharges,MATCH($A265,List_MobileFuelMeters,0),ROUNDUP((COLUMN()+1)/3-2,0)))</f>
        <v/>
      </c>
      <c r="T265" s="127"/>
      <c r="U265" s="137"/>
    </row>
    <row r="266" spans="1:21" x14ac:dyDescent="0.3">
      <c r="A266" s="126"/>
      <c r="B266" s="133"/>
      <c r="C266" s="127"/>
      <c r="D266" s="138"/>
      <c r="E266" s="138"/>
      <c r="F266" s="137"/>
      <c r="G266" s="58" t="str" cm="1">
        <f>IF(ISBLANK($A266),"",INDEX(Array_MobileCharges,MATCH($A266,List_MobileFuelMeters,0),ROUNDUP((COLUMN()+1)/3-2,0)))</f>
        <v/>
      </c>
      <c r="H266" s="127"/>
      <c r="I266" s="137"/>
      <c r="J266" s="58" t="str" cm="1">
        <f>IF(ISBLANK($A266),"",INDEX(Array_MobileCharges,MATCH($A266,List_MobileFuelMeters,0),ROUNDUP((COLUMN()+1)/3-2,0)))</f>
        <v/>
      </c>
      <c r="K266" s="127"/>
      <c r="L266" s="137"/>
      <c r="M266" s="58" t="str" cm="1">
        <f>IF(ISBLANK($A266),"",INDEX(Array_MobileCharges,MATCH($A266,List_MobileFuelMeters,0),ROUNDUP((COLUMN()+1)/3-2,0)))</f>
        <v/>
      </c>
      <c r="N266" s="127"/>
      <c r="O266" s="137"/>
      <c r="P266" s="58" t="str" cm="1">
        <f>IF(ISBLANK($A266),"",INDEX(Array_MobileCharges,MATCH($A266,List_MobileFuelMeters,0),ROUNDUP((COLUMN()+1)/3-2,0)))</f>
        <v/>
      </c>
      <c r="Q266" s="127"/>
      <c r="R266" s="137"/>
      <c r="S266" s="58" t="str" cm="1">
        <f>IF(ISBLANK($A266),"",INDEX(Array_MobileCharges,MATCH($A266,List_MobileFuelMeters,0),ROUNDUP((COLUMN()+1)/3-2,0)))</f>
        <v/>
      </c>
      <c r="T266" s="127"/>
      <c r="U266" s="137"/>
    </row>
    <row r="267" spans="1:21" x14ac:dyDescent="0.3">
      <c r="A267" s="126"/>
      <c r="B267" s="133"/>
      <c r="C267" s="127"/>
      <c r="D267" s="138"/>
      <c r="E267" s="138"/>
      <c r="F267" s="137"/>
      <c r="G267" s="58" t="str" cm="1">
        <f>IF(ISBLANK($A267),"",INDEX(Array_MobileCharges,MATCH($A267,List_MobileFuelMeters,0),ROUNDUP((COLUMN()+1)/3-2,0)))</f>
        <v/>
      </c>
      <c r="H267" s="127"/>
      <c r="I267" s="137"/>
      <c r="J267" s="58" t="str" cm="1">
        <f>IF(ISBLANK($A267),"",INDEX(Array_MobileCharges,MATCH($A267,List_MobileFuelMeters,0),ROUNDUP((COLUMN()+1)/3-2,0)))</f>
        <v/>
      </c>
      <c r="K267" s="127"/>
      <c r="L267" s="137"/>
      <c r="M267" s="58" t="str" cm="1">
        <f>IF(ISBLANK($A267),"",INDEX(Array_MobileCharges,MATCH($A267,List_MobileFuelMeters,0),ROUNDUP((COLUMN()+1)/3-2,0)))</f>
        <v/>
      </c>
      <c r="N267" s="127"/>
      <c r="O267" s="137"/>
      <c r="P267" s="58" t="str" cm="1">
        <f>IF(ISBLANK($A267),"",INDEX(Array_MobileCharges,MATCH($A267,List_MobileFuelMeters,0),ROUNDUP((COLUMN()+1)/3-2,0)))</f>
        <v/>
      </c>
      <c r="Q267" s="127"/>
      <c r="R267" s="137"/>
      <c r="S267" s="58" t="str" cm="1">
        <f>IF(ISBLANK($A267),"",INDEX(Array_MobileCharges,MATCH($A267,List_MobileFuelMeters,0),ROUNDUP((COLUMN()+1)/3-2,0)))</f>
        <v/>
      </c>
      <c r="T267" s="127"/>
      <c r="U267" s="137"/>
    </row>
    <row r="268" spans="1:21" x14ac:dyDescent="0.3">
      <c r="A268" s="126"/>
      <c r="B268" s="133"/>
      <c r="C268" s="127"/>
      <c r="D268" s="138"/>
      <c r="E268" s="138"/>
      <c r="F268" s="137"/>
      <c r="G268" s="58" t="str" cm="1">
        <f>IF(ISBLANK($A268),"",INDEX(Array_MobileCharges,MATCH($A268,List_MobileFuelMeters,0),ROUNDUP((COLUMN()+1)/3-2,0)))</f>
        <v/>
      </c>
      <c r="H268" s="127"/>
      <c r="I268" s="137"/>
      <c r="J268" s="58" t="str" cm="1">
        <f>IF(ISBLANK($A268),"",INDEX(Array_MobileCharges,MATCH($A268,List_MobileFuelMeters,0),ROUNDUP((COLUMN()+1)/3-2,0)))</f>
        <v/>
      </c>
      <c r="K268" s="127"/>
      <c r="L268" s="137"/>
      <c r="M268" s="58" t="str" cm="1">
        <f>IF(ISBLANK($A268),"",INDEX(Array_MobileCharges,MATCH($A268,List_MobileFuelMeters,0),ROUNDUP((COLUMN()+1)/3-2,0)))</f>
        <v/>
      </c>
      <c r="N268" s="127"/>
      <c r="O268" s="137"/>
      <c r="P268" s="58" t="str" cm="1">
        <f>IF(ISBLANK($A268),"",INDEX(Array_MobileCharges,MATCH($A268,List_MobileFuelMeters,0),ROUNDUP((COLUMN()+1)/3-2,0)))</f>
        <v/>
      </c>
      <c r="Q268" s="127"/>
      <c r="R268" s="137"/>
      <c r="S268" s="58" t="str" cm="1">
        <f>IF(ISBLANK($A268),"",INDEX(Array_MobileCharges,MATCH($A268,List_MobileFuelMeters,0),ROUNDUP((COLUMN()+1)/3-2,0)))</f>
        <v/>
      </c>
      <c r="T268" s="127"/>
      <c r="U268" s="137"/>
    </row>
    <row r="269" spans="1:21" x14ac:dyDescent="0.3">
      <c r="A269" s="126"/>
      <c r="B269" s="133"/>
      <c r="C269" s="127"/>
      <c r="D269" s="138"/>
      <c r="E269" s="138"/>
      <c r="F269" s="137"/>
      <c r="G269" s="58" t="str" cm="1">
        <f>IF(ISBLANK($A269),"",INDEX(Array_MobileCharges,MATCH($A269,List_MobileFuelMeters,0),ROUNDUP((COLUMN()+1)/3-2,0)))</f>
        <v/>
      </c>
      <c r="H269" s="127"/>
      <c r="I269" s="137"/>
      <c r="J269" s="58" t="str" cm="1">
        <f>IF(ISBLANK($A269),"",INDEX(Array_MobileCharges,MATCH($A269,List_MobileFuelMeters,0),ROUNDUP((COLUMN()+1)/3-2,0)))</f>
        <v/>
      </c>
      <c r="K269" s="127"/>
      <c r="L269" s="137"/>
      <c r="M269" s="58" t="str" cm="1">
        <f>IF(ISBLANK($A269),"",INDEX(Array_MobileCharges,MATCH($A269,List_MobileFuelMeters,0),ROUNDUP((COLUMN()+1)/3-2,0)))</f>
        <v/>
      </c>
      <c r="N269" s="127"/>
      <c r="O269" s="137"/>
      <c r="P269" s="58" t="str" cm="1">
        <f>IF(ISBLANK($A269),"",INDEX(Array_MobileCharges,MATCH($A269,List_MobileFuelMeters,0),ROUNDUP((COLUMN()+1)/3-2,0)))</f>
        <v/>
      </c>
      <c r="Q269" s="127"/>
      <c r="R269" s="137"/>
      <c r="S269" s="58" t="str" cm="1">
        <f>IF(ISBLANK($A269),"",INDEX(Array_MobileCharges,MATCH($A269,List_MobileFuelMeters,0),ROUNDUP((COLUMN()+1)/3-2,0)))</f>
        <v/>
      </c>
      <c r="T269" s="127"/>
      <c r="U269" s="137"/>
    </row>
    <row r="270" spans="1:21" x14ac:dyDescent="0.3">
      <c r="A270" s="126"/>
      <c r="B270" s="133"/>
      <c r="C270" s="127"/>
      <c r="D270" s="138"/>
      <c r="E270" s="138"/>
      <c r="F270" s="137"/>
      <c r="G270" s="58" t="str" cm="1">
        <f>IF(ISBLANK($A270),"",INDEX(Array_MobileCharges,MATCH($A270,List_MobileFuelMeters,0),ROUNDUP((COLUMN()+1)/3-2,0)))</f>
        <v/>
      </c>
      <c r="H270" s="127"/>
      <c r="I270" s="137"/>
      <c r="J270" s="58" t="str" cm="1">
        <f>IF(ISBLANK($A270),"",INDEX(Array_MobileCharges,MATCH($A270,List_MobileFuelMeters,0),ROUNDUP((COLUMN()+1)/3-2,0)))</f>
        <v/>
      </c>
      <c r="K270" s="127"/>
      <c r="L270" s="137"/>
      <c r="M270" s="58" t="str" cm="1">
        <f>IF(ISBLANK($A270),"",INDEX(Array_MobileCharges,MATCH($A270,List_MobileFuelMeters,0),ROUNDUP((COLUMN()+1)/3-2,0)))</f>
        <v/>
      </c>
      <c r="N270" s="127"/>
      <c r="O270" s="137"/>
      <c r="P270" s="58" t="str" cm="1">
        <f>IF(ISBLANK($A270),"",INDEX(Array_MobileCharges,MATCH($A270,List_MobileFuelMeters,0),ROUNDUP((COLUMN()+1)/3-2,0)))</f>
        <v/>
      </c>
      <c r="Q270" s="127"/>
      <c r="R270" s="137"/>
      <c r="S270" s="58" t="str" cm="1">
        <f>IF(ISBLANK($A270),"",INDEX(Array_MobileCharges,MATCH($A270,List_MobileFuelMeters,0),ROUNDUP((COLUMN()+1)/3-2,0)))</f>
        <v/>
      </c>
      <c r="T270" s="127"/>
      <c r="U270" s="137"/>
    </row>
    <row r="271" spans="1:21" x14ac:dyDescent="0.3">
      <c r="A271" s="126"/>
      <c r="B271" s="133"/>
      <c r="C271" s="127"/>
      <c r="D271" s="138"/>
      <c r="E271" s="138"/>
      <c r="F271" s="137"/>
      <c r="G271" s="58" t="str" cm="1">
        <f>IF(ISBLANK($A271),"",INDEX(Array_MobileCharges,MATCH($A271,List_MobileFuelMeters,0),ROUNDUP((COLUMN()+1)/3-2,0)))</f>
        <v/>
      </c>
      <c r="H271" s="127"/>
      <c r="I271" s="137"/>
      <c r="J271" s="58" t="str" cm="1">
        <f>IF(ISBLANK($A271),"",INDEX(Array_MobileCharges,MATCH($A271,List_MobileFuelMeters,0),ROUNDUP((COLUMN()+1)/3-2,0)))</f>
        <v/>
      </c>
      <c r="K271" s="127"/>
      <c r="L271" s="137"/>
      <c r="M271" s="58" t="str" cm="1">
        <f>IF(ISBLANK($A271),"",INDEX(Array_MobileCharges,MATCH($A271,List_MobileFuelMeters,0),ROUNDUP((COLUMN()+1)/3-2,0)))</f>
        <v/>
      </c>
      <c r="N271" s="127"/>
      <c r="O271" s="137"/>
      <c r="P271" s="58" t="str" cm="1">
        <f>IF(ISBLANK($A271),"",INDEX(Array_MobileCharges,MATCH($A271,List_MobileFuelMeters,0),ROUNDUP((COLUMN()+1)/3-2,0)))</f>
        <v/>
      </c>
      <c r="Q271" s="127"/>
      <c r="R271" s="137"/>
      <c r="S271" s="58" t="str" cm="1">
        <f>IF(ISBLANK($A271),"",INDEX(Array_MobileCharges,MATCH($A271,List_MobileFuelMeters,0),ROUNDUP((COLUMN()+1)/3-2,0)))</f>
        <v/>
      </c>
      <c r="T271" s="127"/>
      <c r="U271" s="137"/>
    </row>
    <row r="272" spans="1:21" x14ac:dyDescent="0.3">
      <c r="A272" s="126"/>
      <c r="B272" s="133"/>
      <c r="C272" s="127"/>
      <c r="D272" s="138"/>
      <c r="E272" s="138"/>
      <c r="F272" s="137"/>
      <c r="G272" s="58" t="str" cm="1">
        <f>IF(ISBLANK($A272),"",INDEX(Array_MobileCharges,MATCH($A272,List_MobileFuelMeters,0),ROUNDUP((COLUMN()+1)/3-2,0)))</f>
        <v/>
      </c>
      <c r="H272" s="127"/>
      <c r="I272" s="137"/>
      <c r="J272" s="58" t="str" cm="1">
        <f>IF(ISBLANK($A272),"",INDEX(Array_MobileCharges,MATCH($A272,List_MobileFuelMeters,0),ROUNDUP((COLUMN()+1)/3-2,0)))</f>
        <v/>
      </c>
      <c r="K272" s="127"/>
      <c r="L272" s="137"/>
      <c r="M272" s="58" t="str" cm="1">
        <f>IF(ISBLANK($A272),"",INDEX(Array_MobileCharges,MATCH($A272,List_MobileFuelMeters,0),ROUNDUP((COLUMN()+1)/3-2,0)))</f>
        <v/>
      </c>
      <c r="N272" s="127"/>
      <c r="O272" s="137"/>
      <c r="P272" s="58" t="str" cm="1">
        <f>IF(ISBLANK($A272),"",INDEX(Array_MobileCharges,MATCH($A272,List_MobileFuelMeters,0),ROUNDUP((COLUMN()+1)/3-2,0)))</f>
        <v/>
      </c>
      <c r="Q272" s="127"/>
      <c r="R272" s="137"/>
      <c r="S272" s="58" t="str" cm="1">
        <f>IF(ISBLANK($A272),"",INDEX(Array_MobileCharges,MATCH($A272,List_MobileFuelMeters,0),ROUNDUP((COLUMN()+1)/3-2,0)))</f>
        <v/>
      </c>
      <c r="T272" s="127"/>
      <c r="U272" s="137"/>
    </row>
    <row r="273" spans="1:21" x14ac:dyDescent="0.3">
      <c r="A273" s="126"/>
      <c r="B273" s="133"/>
      <c r="C273" s="127"/>
      <c r="D273" s="138"/>
      <c r="E273" s="138"/>
      <c r="F273" s="137"/>
      <c r="G273" s="58" t="str" cm="1">
        <f>IF(ISBLANK($A273),"",INDEX(Array_MobileCharges,MATCH($A273,List_MobileFuelMeters,0),ROUNDUP((COLUMN()+1)/3-2,0)))</f>
        <v/>
      </c>
      <c r="H273" s="127"/>
      <c r="I273" s="137"/>
      <c r="J273" s="58" t="str" cm="1">
        <f>IF(ISBLANK($A273),"",INDEX(Array_MobileCharges,MATCH($A273,List_MobileFuelMeters,0),ROUNDUP((COLUMN()+1)/3-2,0)))</f>
        <v/>
      </c>
      <c r="K273" s="127"/>
      <c r="L273" s="137"/>
      <c r="M273" s="58" t="str" cm="1">
        <f>IF(ISBLANK($A273),"",INDEX(Array_MobileCharges,MATCH($A273,List_MobileFuelMeters,0),ROUNDUP((COLUMN()+1)/3-2,0)))</f>
        <v/>
      </c>
      <c r="N273" s="127"/>
      <c r="O273" s="137"/>
      <c r="P273" s="58" t="str" cm="1">
        <f>IF(ISBLANK($A273),"",INDEX(Array_MobileCharges,MATCH($A273,List_MobileFuelMeters,0),ROUNDUP((COLUMN()+1)/3-2,0)))</f>
        <v/>
      </c>
      <c r="Q273" s="127"/>
      <c r="R273" s="137"/>
      <c r="S273" s="58" t="str" cm="1">
        <f>IF(ISBLANK($A273),"",INDEX(Array_MobileCharges,MATCH($A273,List_MobileFuelMeters,0),ROUNDUP((COLUMN()+1)/3-2,0)))</f>
        <v/>
      </c>
      <c r="T273" s="127"/>
      <c r="U273" s="137"/>
    </row>
    <row r="274" spans="1:21" x14ac:dyDescent="0.3">
      <c r="A274" s="126"/>
      <c r="B274" s="133"/>
      <c r="C274" s="127"/>
      <c r="D274" s="138"/>
      <c r="E274" s="138"/>
      <c r="F274" s="137"/>
      <c r="G274" s="58" t="str" cm="1">
        <f>IF(ISBLANK($A274),"",INDEX(Array_MobileCharges,MATCH($A274,List_MobileFuelMeters,0),ROUNDUP((COLUMN()+1)/3-2,0)))</f>
        <v/>
      </c>
      <c r="H274" s="127"/>
      <c r="I274" s="137"/>
      <c r="J274" s="58" t="str" cm="1">
        <f>IF(ISBLANK($A274),"",INDEX(Array_MobileCharges,MATCH($A274,List_MobileFuelMeters,0),ROUNDUP((COLUMN()+1)/3-2,0)))</f>
        <v/>
      </c>
      <c r="K274" s="127"/>
      <c r="L274" s="137"/>
      <c r="M274" s="58" t="str" cm="1">
        <f>IF(ISBLANK($A274),"",INDEX(Array_MobileCharges,MATCH($A274,List_MobileFuelMeters,0),ROUNDUP((COLUMN()+1)/3-2,0)))</f>
        <v/>
      </c>
      <c r="N274" s="127"/>
      <c r="O274" s="137"/>
      <c r="P274" s="58" t="str" cm="1">
        <f>IF(ISBLANK($A274),"",INDEX(Array_MobileCharges,MATCH($A274,List_MobileFuelMeters,0),ROUNDUP((COLUMN()+1)/3-2,0)))</f>
        <v/>
      </c>
      <c r="Q274" s="127"/>
      <c r="R274" s="137"/>
      <c r="S274" s="58" t="str" cm="1">
        <f>IF(ISBLANK($A274),"",INDEX(Array_MobileCharges,MATCH($A274,List_MobileFuelMeters,0),ROUNDUP((COLUMN()+1)/3-2,0)))</f>
        <v/>
      </c>
      <c r="T274" s="127"/>
      <c r="U274" s="137"/>
    </row>
    <row r="275" spans="1:21" x14ac:dyDescent="0.3">
      <c r="A275" s="126"/>
      <c r="B275" s="133"/>
      <c r="C275" s="127"/>
      <c r="D275" s="138"/>
      <c r="E275" s="138"/>
      <c r="F275" s="137"/>
      <c r="G275" s="58" t="str" cm="1">
        <f>IF(ISBLANK($A275),"",INDEX(Array_MobileCharges,MATCH($A275,List_MobileFuelMeters,0),ROUNDUP((COLUMN()+1)/3-2,0)))</f>
        <v/>
      </c>
      <c r="H275" s="127"/>
      <c r="I275" s="137"/>
      <c r="J275" s="58" t="str" cm="1">
        <f>IF(ISBLANK($A275),"",INDEX(Array_MobileCharges,MATCH($A275,List_MobileFuelMeters,0),ROUNDUP((COLUMN()+1)/3-2,0)))</f>
        <v/>
      </c>
      <c r="K275" s="127"/>
      <c r="L275" s="137"/>
      <c r="M275" s="58" t="str" cm="1">
        <f>IF(ISBLANK($A275),"",INDEX(Array_MobileCharges,MATCH($A275,List_MobileFuelMeters,0),ROUNDUP((COLUMN()+1)/3-2,0)))</f>
        <v/>
      </c>
      <c r="N275" s="127"/>
      <c r="O275" s="137"/>
      <c r="P275" s="58" t="str" cm="1">
        <f>IF(ISBLANK($A275),"",INDEX(Array_MobileCharges,MATCH($A275,List_MobileFuelMeters,0),ROUNDUP((COLUMN()+1)/3-2,0)))</f>
        <v/>
      </c>
      <c r="Q275" s="127"/>
      <c r="R275" s="137"/>
      <c r="S275" s="58" t="str" cm="1">
        <f>IF(ISBLANK($A275),"",INDEX(Array_MobileCharges,MATCH($A275,List_MobileFuelMeters,0),ROUNDUP((COLUMN()+1)/3-2,0)))</f>
        <v/>
      </c>
      <c r="T275" s="127"/>
      <c r="U275" s="137"/>
    </row>
    <row r="276" spans="1:21" x14ac:dyDescent="0.3">
      <c r="A276" s="126"/>
      <c r="B276" s="133"/>
      <c r="C276" s="127"/>
      <c r="D276" s="138"/>
      <c r="E276" s="138"/>
      <c r="F276" s="137"/>
      <c r="G276" s="58" t="str" cm="1">
        <f>IF(ISBLANK($A276),"",INDEX(Array_MobileCharges,MATCH($A276,List_MobileFuelMeters,0),ROUNDUP((COLUMN()+1)/3-2,0)))</f>
        <v/>
      </c>
      <c r="H276" s="127"/>
      <c r="I276" s="137"/>
      <c r="J276" s="58" t="str" cm="1">
        <f>IF(ISBLANK($A276),"",INDEX(Array_MobileCharges,MATCH($A276,List_MobileFuelMeters,0),ROUNDUP((COLUMN()+1)/3-2,0)))</f>
        <v/>
      </c>
      <c r="K276" s="127"/>
      <c r="L276" s="137"/>
      <c r="M276" s="58" t="str" cm="1">
        <f>IF(ISBLANK($A276),"",INDEX(Array_MobileCharges,MATCH($A276,List_MobileFuelMeters,0),ROUNDUP((COLUMN()+1)/3-2,0)))</f>
        <v/>
      </c>
      <c r="N276" s="127"/>
      <c r="O276" s="137"/>
      <c r="P276" s="58" t="str" cm="1">
        <f>IF(ISBLANK($A276),"",INDEX(Array_MobileCharges,MATCH($A276,List_MobileFuelMeters,0),ROUNDUP((COLUMN()+1)/3-2,0)))</f>
        <v/>
      </c>
      <c r="Q276" s="127"/>
      <c r="R276" s="137"/>
      <c r="S276" s="58" t="str" cm="1">
        <f>IF(ISBLANK($A276),"",INDEX(Array_MobileCharges,MATCH($A276,List_MobileFuelMeters,0),ROUNDUP((COLUMN()+1)/3-2,0)))</f>
        <v/>
      </c>
      <c r="T276" s="127"/>
      <c r="U276" s="137"/>
    </row>
    <row r="277" spans="1:21" x14ac:dyDescent="0.3">
      <c r="A277" s="126"/>
      <c r="B277" s="133"/>
      <c r="C277" s="127"/>
      <c r="D277" s="138"/>
      <c r="E277" s="138"/>
      <c r="F277" s="137"/>
      <c r="G277" s="58" t="str" cm="1">
        <f>IF(ISBLANK($A277),"",INDEX(Array_MobileCharges,MATCH($A277,List_MobileFuelMeters,0),ROUNDUP((COLUMN()+1)/3-2,0)))</f>
        <v/>
      </c>
      <c r="H277" s="127"/>
      <c r="I277" s="137"/>
      <c r="J277" s="58" t="str" cm="1">
        <f>IF(ISBLANK($A277),"",INDEX(Array_MobileCharges,MATCH($A277,List_MobileFuelMeters,0),ROUNDUP((COLUMN()+1)/3-2,0)))</f>
        <v/>
      </c>
      <c r="K277" s="127"/>
      <c r="L277" s="137"/>
      <c r="M277" s="58" t="str" cm="1">
        <f>IF(ISBLANK($A277),"",INDEX(Array_MobileCharges,MATCH($A277,List_MobileFuelMeters,0),ROUNDUP((COLUMN()+1)/3-2,0)))</f>
        <v/>
      </c>
      <c r="N277" s="127"/>
      <c r="O277" s="137"/>
      <c r="P277" s="58" t="str" cm="1">
        <f>IF(ISBLANK($A277),"",INDEX(Array_MobileCharges,MATCH($A277,List_MobileFuelMeters,0),ROUNDUP((COLUMN()+1)/3-2,0)))</f>
        <v/>
      </c>
      <c r="Q277" s="127"/>
      <c r="R277" s="137"/>
      <c r="S277" s="58" t="str" cm="1">
        <f>IF(ISBLANK($A277),"",INDEX(Array_MobileCharges,MATCH($A277,List_MobileFuelMeters,0),ROUNDUP((COLUMN()+1)/3-2,0)))</f>
        <v/>
      </c>
      <c r="T277" s="127"/>
      <c r="U277" s="137"/>
    </row>
    <row r="278" spans="1:21" x14ac:dyDescent="0.3">
      <c r="A278" s="126"/>
      <c r="B278" s="133"/>
      <c r="C278" s="127"/>
      <c r="D278" s="138"/>
      <c r="E278" s="138"/>
      <c r="F278" s="137"/>
      <c r="G278" s="58" t="str" cm="1">
        <f>IF(ISBLANK($A278),"",INDEX(Array_MobileCharges,MATCH($A278,List_MobileFuelMeters,0),ROUNDUP((COLUMN()+1)/3-2,0)))</f>
        <v/>
      </c>
      <c r="H278" s="127"/>
      <c r="I278" s="137"/>
      <c r="J278" s="58" t="str" cm="1">
        <f>IF(ISBLANK($A278),"",INDEX(Array_MobileCharges,MATCH($A278,List_MobileFuelMeters,0),ROUNDUP((COLUMN()+1)/3-2,0)))</f>
        <v/>
      </c>
      <c r="K278" s="127"/>
      <c r="L278" s="137"/>
      <c r="M278" s="58" t="str" cm="1">
        <f>IF(ISBLANK($A278),"",INDEX(Array_MobileCharges,MATCH($A278,List_MobileFuelMeters,0),ROUNDUP((COLUMN()+1)/3-2,0)))</f>
        <v/>
      </c>
      <c r="N278" s="127"/>
      <c r="O278" s="137"/>
      <c r="P278" s="58" t="str" cm="1">
        <f>IF(ISBLANK($A278),"",INDEX(Array_MobileCharges,MATCH($A278,List_MobileFuelMeters,0),ROUNDUP((COLUMN()+1)/3-2,0)))</f>
        <v/>
      </c>
      <c r="Q278" s="127"/>
      <c r="R278" s="137"/>
      <c r="S278" s="58" t="str" cm="1">
        <f>IF(ISBLANK($A278),"",INDEX(Array_MobileCharges,MATCH($A278,List_MobileFuelMeters,0),ROUNDUP((COLUMN()+1)/3-2,0)))</f>
        <v/>
      </c>
      <c r="T278" s="127"/>
      <c r="U278" s="137"/>
    </row>
    <row r="279" spans="1:21" x14ac:dyDescent="0.3">
      <c r="A279" s="126"/>
      <c r="B279" s="133"/>
      <c r="C279" s="127"/>
      <c r="D279" s="138"/>
      <c r="E279" s="138"/>
      <c r="F279" s="137"/>
      <c r="G279" s="58" t="str" cm="1">
        <f>IF(ISBLANK($A279),"",INDEX(Array_MobileCharges,MATCH($A279,List_MobileFuelMeters,0),ROUNDUP((COLUMN()+1)/3-2,0)))</f>
        <v/>
      </c>
      <c r="H279" s="127"/>
      <c r="I279" s="137"/>
      <c r="J279" s="58" t="str" cm="1">
        <f>IF(ISBLANK($A279),"",INDEX(Array_MobileCharges,MATCH($A279,List_MobileFuelMeters,0),ROUNDUP((COLUMN()+1)/3-2,0)))</f>
        <v/>
      </c>
      <c r="K279" s="127"/>
      <c r="L279" s="137"/>
      <c r="M279" s="58" t="str" cm="1">
        <f>IF(ISBLANK($A279),"",INDEX(Array_MobileCharges,MATCH($A279,List_MobileFuelMeters,0),ROUNDUP((COLUMN()+1)/3-2,0)))</f>
        <v/>
      </c>
      <c r="N279" s="127"/>
      <c r="O279" s="137"/>
      <c r="P279" s="58" t="str" cm="1">
        <f>IF(ISBLANK($A279),"",INDEX(Array_MobileCharges,MATCH($A279,List_MobileFuelMeters,0),ROUNDUP((COLUMN()+1)/3-2,0)))</f>
        <v/>
      </c>
      <c r="Q279" s="127"/>
      <c r="R279" s="137"/>
      <c r="S279" s="58" t="str" cm="1">
        <f>IF(ISBLANK($A279),"",INDEX(Array_MobileCharges,MATCH($A279,List_MobileFuelMeters,0),ROUNDUP((COLUMN()+1)/3-2,0)))</f>
        <v/>
      </c>
      <c r="T279" s="127"/>
      <c r="U279" s="137"/>
    </row>
    <row r="280" spans="1:21" x14ac:dyDescent="0.3">
      <c r="A280" s="126"/>
      <c r="B280" s="133"/>
      <c r="C280" s="127"/>
      <c r="D280" s="138"/>
      <c r="E280" s="138"/>
      <c r="F280" s="137"/>
      <c r="G280" s="58" t="str" cm="1">
        <f>IF(ISBLANK($A280),"",INDEX(Array_MobileCharges,MATCH($A280,List_MobileFuelMeters,0),ROUNDUP((COLUMN()+1)/3-2,0)))</f>
        <v/>
      </c>
      <c r="H280" s="127"/>
      <c r="I280" s="137"/>
      <c r="J280" s="58" t="str" cm="1">
        <f>IF(ISBLANK($A280),"",INDEX(Array_MobileCharges,MATCH($A280,List_MobileFuelMeters,0),ROUNDUP((COLUMN()+1)/3-2,0)))</f>
        <v/>
      </c>
      <c r="K280" s="127"/>
      <c r="L280" s="137"/>
      <c r="M280" s="58" t="str" cm="1">
        <f>IF(ISBLANK($A280),"",INDEX(Array_MobileCharges,MATCH($A280,List_MobileFuelMeters,0),ROUNDUP((COLUMN()+1)/3-2,0)))</f>
        <v/>
      </c>
      <c r="N280" s="127"/>
      <c r="O280" s="137"/>
      <c r="P280" s="58" t="str" cm="1">
        <f>IF(ISBLANK($A280),"",INDEX(Array_MobileCharges,MATCH($A280,List_MobileFuelMeters,0),ROUNDUP((COLUMN()+1)/3-2,0)))</f>
        <v/>
      </c>
      <c r="Q280" s="127"/>
      <c r="R280" s="137"/>
      <c r="S280" s="58" t="str" cm="1">
        <f>IF(ISBLANK($A280),"",INDEX(Array_MobileCharges,MATCH($A280,List_MobileFuelMeters,0),ROUNDUP((COLUMN()+1)/3-2,0)))</f>
        <v/>
      </c>
      <c r="T280" s="127"/>
      <c r="U280" s="137"/>
    </row>
    <row r="281" spans="1:21" x14ac:dyDescent="0.3">
      <c r="A281" s="126"/>
      <c r="B281" s="133"/>
      <c r="C281" s="127"/>
      <c r="D281" s="138"/>
      <c r="E281" s="138"/>
      <c r="F281" s="137"/>
      <c r="G281" s="58" t="str" cm="1">
        <f>IF(ISBLANK($A281),"",INDEX(Array_MobileCharges,MATCH($A281,List_MobileFuelMeters,0),ROUNDUP((COLUMN()+1)/3-2,0)))</f>
        <v/>
      </c>
      <c r="H281" s="127"/>
      <c r="I281" s="137"/>
      <c r="J281" s="58" t="str" cm="1">
        <f>IF(ISBLANK($A281),"",INDEX(Array_MobileCharges,MATCH($A281,List_MobileFuelMeters,0),ROUNDUP((COLUMN()+1)/3-2,0)))</f>
        <v/>
      </c>
      <c r="K281" s="127"/>
      <c r="L281" s="137"/>
      <c r="M281" s="58" t="str" cm="1">
        <f>IF(ISBLANK($A281),"",INDEX(Array_MobileCharges,MATCH($A281,List_MobileFuelMeters,0),ROUNDUP((COLUMN()+1)/3-2,0)))</f>
        <v/>
      </c>
      <c r="N281" s="127"/>
      <c r="O281" s="137"/>
      <c r="P281" s="58" t="str" cm="1">
        <f>IF(ISBLANK($A281),"",INDEX(Array_MobileCharges,MATCH($A281,List_MobileFuelMeters,0),ROUNDUP((COLUMN()+1)/3-2,0)))</f>
        <v/>
      </c>
      <c r="Q281" s="127"/>
      <c r="R281" s="137"/>
      <c r="S281" s="58" t="str" cm="1">
        <f>IF(ISBLANK($A281),"",INDEX(Array_MobileCharges,MATCH($A281,List_MobileFuelMeters,0),ROUNDUP((COLUMN()+1)/3-2,0)))</f>
        <v/>
      </c>
      <c r="T281" s="127"/>
      <c r="U281" s="137"/>
    </row>
    <row r="282" spans="1:21" x14ac:dyDescent="0.3">
      <c r="A282" s="126"/>
      <c r="B282" s="133"/>
      <c r="C282" s="127"/>
      <c r="D282" s="138"/>
      <c r="E282" s="138"/>
      <c r="F282" s="137"/>
      <c r="G282" s="58" t="str" cm="1">
        <f>IF(ISBLANK($A282),"",INDEX(Array_MobileCharges,MATCH($A282,List_MobileFuelMeters,0),ROUNDUP((COLUMN()+1)/3-2,0)))</f>
        <v/>
      </c>
      <c r="H282" s="127"/>
      <c r="I282" s="137"/>
      <c r="J282" s="58" t="str" cm="1">
        <f>IF(ISBLANK($A282),"",INDEX(Array_MobileCharges,MATCH($A282,List_MobileFuelMeters,0),ROUNDUP((COLUMN()+1)/3-2,0)))</f>
        <v/>
      </c>
      <c r="K282" s="127"/>
      <c r="L282" s="137"/>
      <c r="M282" s="58" t="str" cm="1">
        <f>IF(ISBLANK($A282),"",INDEX(Array_MobileCharges,MATCH($A282,List_MobileFuelMeters,0),ROUNDUP((COLUMN()+1)/3-2,0)))</f>
        <v/>
      </c>
      <c r="N282" s="127"/>
      <c r="O282" s="137"/>
      <c r="P282" s="58" t="str" cm="1">
        <f>IF(ISBLANK($A282),"",INDEX(Array_MobileCharges,MATCH($A282,List_MobileFuelMeters,0),ROUNDUP((COLUMN()+1)/3-2,0)))</f>
        <v/>
      </c>
      <c r="Q282" s="127"/>
      <c r="R282" s="137"/>
      <c r="S282" s="58" t="str" cm="1">
        <f>IF(ISBLANK($A282),"",INDEX(Array_MobileCharges,MATCH($A282,List_MobileFuelMeters,0),ROUNDUP((COLUMN()+1)/3-2,0)))</f>
        <v/>
      </c>
      <c r="T282" s="127"/>
      <c r="U282" s="137"/>
    </row>
    <row r="283" spans="1:21" x14ac:dyDescent="0.3">
      <c r="A283" s="126"/>
      <c r="B283" s="133"/>
      <c r="C283" s="127"/>
      <c r="D283" s="138"/>
      <c r="E283" s="138"/>
      <c r="F283" s="137"/>
      <c r="G283" s="58" t="str" cm="1">
        <f>IF(ISBLANK($A283),"",INDEX(Array_MobileCharges,MATCH($A283,List_MobileFuelMeters,0),ROUNDUP((COLUMN()+1)/3-2,0)))</f>
        <v/>
      </c>
      <c r="H283" s="127"/>
      <c r="I283" s="137"/>
      <c r="J283" s="58" t="str" cm="1">
        <f>IF(ISBLANK($A283),"",INDEX(Array_MobileCharges,MATCH($A283,List_MobileFuelMeters,0),ROUNDUP((COLUMN()+1)/3-2,0)))</f>
        <v/>
      </c>
      <c r="K283" s="127"/>
      <c r="L283" s="137"/>
      <c r="M283" s="58" t="str" cm="1">
        <f>IF(ISBLANK($A283),"",INDEX(Array_MobileCharges,MATCH($A283,List_MobileFuelMeters,0),ROUNDUP((COLUMN()+1)/3-2,0)))</f>
        <v/>
      </c>
      <c r="N283" s="127"/>
      <c r="O283" s="137"/>
      <c r="P283" s="58" t="str" cm="1">
        <f>IF(ISBLANK($A283),"",INDEX(Array_MobileCharges,MATCH($A283,List_MobileFuelMeters,0),ROUNDUP((COLUMN()+1)/3-2,0)))</f>
        <v/>
      </c>
      <c r="Q283" s="127"/>
      <c r="R283" s="137"/>
      <c r="S283" s="58" t="str" cm="1">
        <f>IF(ISBLANK($A283),"",INDEX(Array_MobileCharges,MATCH($A283,List_MobileFuelMeters,0),ROUNDUP((COLUMN()+1)/3-2,0)))</f>
        <v/>
      </c>
      <c r="T283" s="127"/>
      <c r="U283" s="137"/>
    </row>
    <row r="284" spans="1:21" x14ac:dyDescent="0.3">
      <c r="A284" s="126"/>
      <c r="B284" s="133"/>
      <c r="C284" s="127"/>
      <c r="D284" s="138"/>
      <c r="E284" s="138"/>
      <c r="F284" s="137"/>
      <c r="G284" s="58" t="str" cm="1">
        <f>IF(ISBLANK($A284),"",INDEX(Array_MobileCharges,MATCH($A284,List_MobileFuelMeters,0),ROUNDUP((COLUMN()+1)/3-2,0)))</f>
        <v/>
      </c>
      <c r="H284" s="127"/>
      <c r="I284" s="137"/>
      <c r="J284" s="58" t="str" cm="1">
        <f>IF(ISBLANK($A284),"",INDEX(Array_MobileCharges,MATCH($A284,List_MobileFuelMeters,0),ROUNDUP((COLUMN()+1)/3-2,0)))</f>
        <v/>
      </c>
      <c r="K284" s="127"/>
      <c r="L284" s="137"/>
      <c r="M284" s="58" t="str" cm="1">
        <f>IF(ISBLANK($A284),"",INDEX(Array_MobileCharges,MATCH($A284,List_MobileFuelMeters,0),ROUNDUP((COLUMN()+1)/3-2,0)))</f>
        <v/>
      </c>
      <c r="N284" s="127"/>
      <c r="O284" s="137"/>
      <c r="P284" s="58" t="str" cm="1">
        <f>IF(ISBLANK($A284),"",INDEX(Array_MobileCharges,MATCH($A284,List_MobileFuelMeters,0),ROUNDUP((COLUMN()+1)/3-2,0)))</f>
        <v/>
      </c>
      <c r="Q284" s="127"/>
      <c r="R284" s="137"/>
      <c r="S284" s="58" t="str" cm="1">
        <f>IF(ISBLANK($A284),"",INDEX(Array_MobileCharges,MATCH($A284,List_MobileFuelMeters,0),ROUNDUP((COLUMN()+1)/3-2,0)))</f>
        <v/>
      </c>
      <c r="T284" s="127"/>
      <c r="U284" s="137"/>
    </row>
    <row r="285" spans="1:21" x14ac:dyDescent="0.3">
      <c r="A285" s="126"/>
      <c r="B285" s="133"/>
      <c r="C285" s="127"/>
      <c r="D285" s="138"/>
      <c r="E285" s="138"/>
      <c r="F285" s="137"/>
      <c r="G285" s="58" t="str" cm="1">
        <f>IF(ISBLANK($A285),"",INDEX(Array_MobileCharges,MATCH($A285,List_MobileFuelMeters,0),ROUNDUP((COLUMN()+1)/3-2,0)))</f>
        <v/>
      </c>
      <c r="H285" s="127"/>
      <c r="I285" s="137"/>
      <c r="J285" s="58" t="str" cm="1">
        <f>IF(ISBLANK($A285),"",INDEX(Array_MobileCharges,MATCH($A285,List_MobileFuelMeters,0),ROUNDUP((COLUMN()+1)/3-2,0)))</f>
        <v/>
      </c>
      <c r="K285" s="127"/>
      <c r="L285" s="137"/>
      <c r="M285" s="58" t="str" cm="1">
        <f>IF(ISBLANK($A285),"",INDEX(Array_MobileCharges,MATCH($A285,List_MobileFuelMeters,0),ROUNDUP((COLUMN()+1)/3-2,0)))</f>
        <v/>
      </c>
      <c r="N285" s="127"/>
      <c r="O285" s="137"/>
      <c r="P285" s="58" t="str" cm="1">
        <f>IF(ISBLANK($A285),"",INDEX(Array_MobileCharges,MATCH($A285,List_MobileFuelMeters,0),ROUNDUP((COLUMN()+1)/3-2,0)))</f>
        <v/>
      </c>
      <c r="Q285" s="127"/>
      <c r="R285" s="137"/>
      <c r="S285" s="58" t="str" cm="1">
        <f>IF(ISBLANK($A285),"",INDEX(Array_MobileCharges,MATCH($A285,List_MobileFuelMeters,0),ROUNDUP((COLUMN()+1)/3-2,0)))</f>
        <v/>
      </c>
      <c r="T285" s="127"/>
      <c r="U285" s="137"/>
    </row>
    <row r="286" spans="1:21" x14ac:dyDescent="0.3">
      <c r="A286" s="126"/>
      <c r="B286" s="133"/>
      <c r="C286" s="127"/>
      <c r="D286" s="138"/>
      <c r="E286" s="138"/>
      <c r="F286" s="137"/>
      <c r="G286" s="58" t="str" cm="1">
        <f>IF(ISBLANK($A286),"",INDEX(Array_MobileCharges,MATCH($A286,List_MobileFuelMeters,0),ROUNDUP((COLUMN()+1)/3-2,0)))</f>
        <v/>
      </c>
      <c r="H286" s="127"/>
      <c r="I286" s="137"/>
      <c r="J286" s="58" t="str" cm="1">
        <f>IF(ISBLANK($A286),"",INDEX(Array_MobileCharges,MATCH($A286,List_MobileFuelMeters,0),ROUNDUP((COLUMN()+1)/3-2,0)))</f>
        <v/>
      </c>
      <c r="K286" s="127"/>
      <c r="L286" s="137"/>
      <c r="M286" s="58" t="str" cm="1">
        <f>IF(ISBLANK($A286),"",INDEX(Array_MobileCharges,MATCH($A286,List_MobileFuelMeters,0),ROUNDUP((COLUMN()+1)/3-2,0)))</f>
        <v/>
      </c>
      <c r="N286" s="127"/>
      <c r="O286" s="137"/>
      <c r="P286" s="58" t="str" cm="1">
        <f>IF(ISBLANK($A286),"",INDEX(Array_MobileCharges,MATCH($A286,List_MobileFuelMeters,0),ROUNDUP((COLUMN()+1)/3-2,0)))</f>
        <v/>
      </c>
      <c r="Q286" s="127"/>
      <c r="R286" s="137"/>
      <c r="S286" s="58" t="str" cm="1">
        <f>IF(ISBLANK($A286),"",INDEX(Array_MobileCharges,MATCH($A286,List_MobileFuelMeters,0),ROUNDUP((COLUMN()+1)/3-2,0)))</f>
        <v/>
      </c>
      <c r="T286" s="127"/>
      <c r="U286" s="137"/>
    </row>
    <row r="287" spans="1:21" x14ac:dyDescent="0.3">
      <c r="A287" s="126"/>
      <c r="B287" s="133"/>
      <c r="C287" s="127"/>
      <c r="D287" s="138"/>
      <c r="E287" s="138"/>
      <c r="F287" s="137"/>
      <c r="G287" s="58" t="str" cm="1">
        <f>IF(ISBLANK($A287),"",INDEX(Array_MobileCharges,MATCH($A287,List_MobileFuelMeters,0),ROUNDUP((COLUMN()+1)/3-2,0)))</f>
        <v/>
      </c>
      <c r="H287" s="127"/>
      <c r="I287" s="137"/>
      <c r="J287" s="58" t="str" cm="1">
        <f>IF(ISBLANK($A287),"",INDEX(Array_MobileCharges,MATCH($A287,List_MobileFuelMeters,0),ROUNDUP((COLUMN()+1)/3-2,0)))</f>
        <v/>
      </c>
      <c r="K287" s="127"/>
      <c r="L287" s="137"/>
      <c r="M287" s="58" t="str" cm="1">
        <f>IF(ISBLANK($A287),"",INDEX(Array_MobileCharges,MATCH($A287,List_MobileFuelMeters,0),ROUNDUP((COLUMN()+1)/3-2,0)))</f>
        <v/>
      </c>
      <c r="N287" s="127"/>
      <c r="O287" s="137"/>
      <c r="P287" s="58" t="str" cm="1">
        <f>IF(ISBLANK($A287),"",INDEX(Array_MobileCharges,MATCH($A287,List_MobileFuelMeters,0),ROUNDUP((COLUMN()+1)/3-2,0)))</f>
        <v/>
      </c>
      <c r="Q287" s="127"/>
      <c r="R287" s="137"/>
      <c r="S287" s="58" t="str" cm="1">
        <f>IF(ISBLANK($A287),"",INDEX(Array_MobileCharges,MATCH($A287,List_MobileFuelMeters,0),ROUNDUP((COLUMN()+1)/3-2,0)))</f>
        <v/>
      </c>
      <c r="T287" s="127"/>
      <c r="U287" s="137"/>
    </row>
    <row r="288" spans="1:21" x14ac:dyDescent="0.3">
      <c r="A288" s="126"/>
      <c r="B288" s="133"/>
      <c r="C288" s="127"/>
      <c r="D288" s="138"/>
      <c r="E288" s="138"/>
      <c r="F288" s="137"/>
      <c r="G288" s="58" t="str" cm="1">
        <f>IF(ISBLANK($A288),"",INDEX(Array_MobileCharges,MATCH($A288,List_MobileFuelMeters,0),ROUNDUP((COLUMN()+1)/3-2,0)))</f>
        <v/>
      </c>
      <c r="H288" s="127"/>
      <c r="I288" s="137"/>
      <c r="J288" s="58" t="str" cm="1">
        <f>IF(ISBLANK($A288),"",INDEX(Array_MobileCharges,MATCH($A288,List_MobileFuelMeters,0),ROUNDUP((COLUMN()+1)/3-2,0)))</f>
        <v/>
      </c>
      <c r="K288" s="127"/>
      <c r="L288" s="137"/>
      <c r="M288" s="58" t="str" cm="1">
        <f>IF(ISBLANK($A288),"",INDEX(Array_MobileCharges,MATCH($A288,List_MobileFuelMeters,0),ROUNDUP((COLUMN()+1)/3-2,0)))</f>
        <v/>
      </c>
      <c r="N288" s="127"/>
      <c r="O288" s="137"/>
      <c r="P288" s="58" t="str" cm="1">
        <f>IF(ISBLANK($A288),"",INDEX(Array_MobileCharges,MATCH($A288,List_MobileFuelMeters,0),ROUNDUP((COLUMN()+1)/3-2,0)))</f>
        <v/>
      </c>
      <c r="Q288" s="127"/>
      <c r="R288" s="137"/>
      <c r="S288" s="58" t="str" cm="1">
        <f>IF(ISBLANK($A288),"",INDEX(Array_MobileCharges,MATCH($A288,List_MobileFuelMeters,0),ROUNDUP((COLUMN()+1)/3-2,0)))</f>
        <v/>
      </c>
      <c r="T288" s="127"/>
      <c r="U288" s="137"/>
    </row>
    <row r="289" spans="1:21" x14ac:dyDescent="0.3">
      <c r="A289" s="126"/>
      <c r="B289" s="133"/>
      <c r="C289" s="127"/>
      <c r="D289" s="138"/>
      <c r="E289" s="138"/>
      <c r="F289" s="137"/>
      <c r="G289" s="58" t="str" cm="1">
        <f>IF(ISBLANK($A289),"",INDEX(Array_MobileCharges,MATCH($A289,List_MobileFuelMeters,0),ROUNDUP((COLUMN()+1)/3-2,0)))</f>
        <v/>
      </c>
      <c r="H289" s="127"/>
      <c r="I289" s="137"/>
      <c r="J289" s="58" t="str" cm="1">
        <f>IF(ISBLANK($A289),"",INDEX(Array_MobileCharges,MATCH($A289,List_MobileFuelMeters,0),ROUNDUP((COLUMN()+1)/3-2,0)))</f>
        <v/>
      </c>
      <c r="K289" s="127"/>
      <c r="L289" s="137"/>
      <c r="M289" s="58" t="str" cm="1">
        <f>IF(ISBLANK($A289),"",INDEX(Array_MobileCharges,MATCH($A289,List_MobileFuelMeters,0),ROUNDUP((COLUMN()+1)/3-2,0)))</f>
        <v/>
      </c>
      <c r="N289" s="127"/>
      <c r="O289" s="137"/>
      <c r="P289" s="58" t="str" cm="1">
        <f>IF(ISBLANK($A289),"",INDEX(Array_MobileCharges,MATCH($A289,List_MobileFuelMeters,0),ROUNDUP((COLUMN()+1)/3-2,0)))</f>
        <v/>
      </c>
      <c r="Q289" s="127"/>
      <c r="R289" s="137"/>
      <c r="S289" s="58" t="str" cm="1">
        <f>IF(ISBLANK($A289),"",INDEX(Array_MobileCharges,MATCH($A289,List_MobileFuelMeters,0),ROUNDUP((COLUMN()+1)/3-2,0)))</f>
        <v/>
      </c>
      <c r="T289" s="127"/>
      <c r="U289" s="137"/>
    </row>
    <row r="290" spans="1:21" x14ac:dyDescent="0.3">
      <c r="A290" s="126"/>
      <c r="B290" s="133"/>
      <c r="C290" s="127"/>
      <c r="D290" s="138"/>
      <c r="E290" s="138"/>
      <c r="F290" s="137"/>
      <c r="G290" s="58" t="str" cm="1">
        <f>IF(ISBLANK($A290),"",INDEX(Array_MobileCharges,MATCH($A290,List_MobileFuelMeters,0),ROUNDUP((COLUMN()+1)/3-2,0)))</f>
        <v/>
      </c>
      <c r="H290" s="127"/>
      <c r="I290" s="137"/>
      <c r="J290" s="58" t="str" cm="1">
        <f>IF(ISBLANK($A290),"",INDEX(Array_MobileCharges,MATCH($A290,List_MobileFuelMeters,0),ROUNDUP((COLUMN()+1)/3-2,0)))</f>
        <v/>
      </c>
      <c r="K290" s="127"/>
      <c r="L290" s="137"/>
      <c r="M290" s="58" t="str" cm="1">
        <f>IF(ISBLANK($A290),"",INDEX(Array_MobileCharges,MATCH($A290,List_MobileFuelMeters,0),ROUNDUP((COLUMN()+1)/3-2,0)))</f>
        <v/>
      </c>
      <c r="N290" s="127"/>
      <c r="O290" s="137"/>
      <c r="P290" s="58" t="str" cm="1">
        <f>IF(ISBLANK($A290),"",INDEX(Array_MobileCharges,MATCH($A290,List_MobileFuelMeters,0),ROUNDUP((COLUMN()+1)/3-2,0)))</f>
        <v/>
      </c>
      <c r="Q290" s="127"/>
      <c r="R290" s="137"/>
      <c r="S290" s="58" t="str" cm="1">
        <f>IF(ISBLANK($A290),"",INDEX(Array_MobileCharges,MATCH($A290,List_MobileFuelMeters,0),ROUNDUP((COLUMN()+1)/3-2,0)))</f>
        <v/>
      </c>
      <c r="T290" s="127"/>
      <c r="U290" s="137"/>
    </row>
    <row r="291" spans="1:21" x14ac:dyDescent="0.3">
      <c r="A291" s="126"/>
      <c r="B291" s="133"/>
      <c r="C291" s="127"/>
      <c r="D291" s="138"/>
      <c r="E291" s="138"/>
      <c r="F291" s="137"/>
      <c r="G291" s="58" t="str" cm="1">
        <f>IF(ISBLANK($A291),"",INDEX(Array_MobileCharges,MATCH($A291,List_MobileFuelMeters,0),ROUNDUP((COLUMN()+1)/3-2,0)))</f>
        <v/>
      </c>
      <c r="H291" s="127"/>
      <c r="I291" s="137"/>
      <c r="J291" s="58" t="str" cm="1">
        <f>IF(ISBLANK($A291),"",INDEX(Array_MobileCharges,MATCH($A291,List_MobileFuelMeters,0),ROUNDUP((COLUMN()+1)/3-2,0)))</f>
        <v/>
      </c>
      <c r="K291" s="127"/>
      <c r="L291" s="137"/>
      <c r="M291" s="58" t="str" cm="1">
        <f>IF(ISBLANK($A291),"",INDEX(Array_MobileCharges,MATCH($A291,List_MobileFuelMeters,0),ROUNDUP((COLUMN()+1)/3-2,0)))</f>
        <v/>
      </c>
      <c r="N291" s="127"/>
      <c r="O291" s="137"/>
      <c r="P291" s="58" t="str" cm="1">
        <f>IF(ISBLANK($A291),"",INDEX(Array_MobileCharges,MATCH($A291,List_MobileFuelMeters,0),ROUNDUP((COLUMN()+1)/3-2,0)))</f>
        <v/>
      </c>
      <c r="Q291" s="127"/>
      <c r="R291" s="137"/>
      <c r="S291" s="58" t="str" cm="1">
        <f>IF(ISBLANK($A291),"",INDEX(Array_MobileCharges,MATCH($A291,List_MobileFuelMeters,0),ROUNDUP((COLUMN()+1)/3-2,0)))</f>
        <v/>
      </c>
      <c r="T291" s="127"/>
      <c r="U291" s="137"/>
    </row>
    <row r="292" spans="1:21" x14ac:dyDescent="0.3">
      <c r="A292" s="126"/>
      <c r="B292" s="133"/>
      <c r="C292" s="127"/>
      <c r="D292" s="138"/>
      <c r="E292" s="138"/>
      <c r="F292" s="137"/>
      <c r="G292" s="58" t="str" cm="1">
        <f>IF(ISBLANK($A292),"",INDEX(Array_MobileCharges,MATCH($A292,List_MobileFuelMeters,0),ROUNDUP((COLUMN()+1)/3-2,0)))</f>
        <v/>
      </c>
      <c r="H292" s="127"/>
      <c r="I292" s="137"/>
      <c r="J292" s="58" t="str" cm="1">
        <f>IF(ISBLANK($A292),"",INDEX(Array_MobileCharges,MATCH($A292,List_MobileFuelMeters,0),ROUNDUP((COLUMN()+1)/3-2,0)))</f>
        <v/>
      </c>
      <c r="K292" s="127"/>
      <c r="L292" s="137"/>
      <c r="M292" s="58" t="str" cm="1">
        <f>IF(ISBLANK($A292),"",INDEX(Array_MobileCharges,MATCH($A292,List_MobileFuelMeters,0),ROUNDUP((COLUMN()+1)/3-2,0)))</f>
        <v/>
      </c>
      <c r="N292" s="127"/>
      <c r="O292" s="137"/>
      <c r="P292" s="58" t="str" cm="1">
        <f>IF(ISBLANK($A292),"",INDEX(Array_MobileCharges,MATCH($A292,List_MobileFuelMeters,0),ROUNDUP((COLUMN()+1)/3-2,0)))</f>
        <v/>
      </c>
      <c r="Q292" s="127"/>
      <c r="R292" s="137"/>
      <c r="S292" s="58" t="str" cm="1">
        <f>IF(ISBLANK($A292),"",INDEX(Array_MobileCharges,MATCH($A292,List_MobileFuelMeters,0),ROUNDUP((COLUMN()+1)/3-2,0)))</f>
        <v/>
      </c>
      <c r="T292" s="127"/>
      <c r="U292" s="137"/>
    </row>
    <row r="293" spans="1:21" x14ac:dyDescent="0.3">
      <c r="A293" s="126"/>
      <c r="B293" s="133"/>
      <c r="C293" s="127"/>
      <c r="D293" s="138"/>
      <c r="E293" s="138"/>
      <c r="F293" s="137"/>
      <c r="G293" s="58" t="str" cm="1">
        <f>IF(ISBLANK($A293),"",INDEX(Array_MobileCharges,MATCH($A293,List_MobileFuelMeters,0),ROUNDUP((COLUMN()+1)/3-2,0)))</f>
        <v/>
      </c>
      <c r="H293" s="127"/>
      <c r="I293" s="137"/>
      <c r="J293" s="58" t="str" cm="1">
        <f>IF(ISBLANK($A293),"",INDEX(Array_MobileCharges,MATCH($A293,List_MobileFuelMeters,0),ROUNDUP((COLUMN()+1)/3-2,0)))</f>
        <v/>
      </c>
      <c r="K293" s="127"/>
      <c r="L293" s="137"/>
      <c r="M293" s="58" t="str" cm="1">
        <f>IF(ISBLANK($A293),"",INDEX(Array_MobileCharges,MATCH($A293,List_MobileFuelMeters,0),ROUNDUP((COLUMN()+1)/3-2,0)))</f>
        <v/>
      </c>
      <c r="N293" s="127"/>
      <c r="O293" s="137"/>
      <c r="P293" s="58" t="str" cm="1">
        <f>IF(ISBLANK($A293),"",INDEX(Array_MobileCharges,MATCH($A293,List_MobileFuelMeters,0),ROUNDUP((COLUMN()+1)/3-2,0)))</f>
        <v/>
      </c>
      <c r="Q293" s="127"/>
      <c r="R293" s="137"/>
      <c r="S293" s="58" t="str" cm="1">
        <f>IF(ISBLANK($A293),"",INDEX(Array_MobileCharges,MATCH($A293,List_MobileFuelMeters,0),ROUNDUP((COLUMN()+1)/3-2,0)))</f>
        <v/>
      </c>
      <c r="T293" s="127"/>
      <c r="U293" s="137"/>
    </row>
    <row r="294" spans="1:21" x14ac:dyDescent="0.3">
      <c r="A294" s="126"/>
      <c r="B294" s="133"/>
      <c r="C294" s="127"/>
      <c r="D294" s="138"/>
      <c r="E294" s="138"/>
      <c r="F294" s="137"/>
      <c r="G294" s="58" t="str" cm="1">
        <f>IF(ISBLANK($A294),"",INDEX(Array_MobileCharges,MATCH($A294,List_MobileFuelMeters,0),ROUNDUP((COLUMN()+1)/3-2,0)))</f>
        <v/>
      </c>
      <c r="H294" s="127"/>
      <c r="I294" s="137"/>
      <c r="J294" s="58" t="str" cm="1">
        <f>IF(ISBLANK($A294),"",INDEX(Array_MobileCharges,MATCH($A294,List_MobileFuelMeters,0),ROUNDUP((COLUMN()+1)/3-2,0)))</f>
        <v/>
      </c>
      <c r="K294" s="127"/>
      <c r="L294" s="137"/>
      <c r="M294" s="58" t="str" cm="1">
        <f>IF(ISBLANK($A294),"",INDEX(Array_MobileCharges,MATCH($A294,List_MobileFuelMeters,0),ROUNDUP((COLUMN()+1)/3-2,0)))</f>
        <v/>
      </c>
      <c r="N294" s="127"/>
      <c r="O294" s="137"/>
      <c r="P294" s="58" t="str" cm="1">
        <f>IF(ISBLANK($A294),"",INDEX(Array_MobileCharges,MATCH($A294,List_MobileFuelMeters,0),ROUNDUP((COLUMN()+1)/3-2,0)))</f>
        <v/>
      </c>
      <c r="Q294" s="127"/>
      <c r="R294" s="137"/>
      <c r="S294" s="58" t="str" cm="1">
        <f>IF(ISBLANK($A294),"",INDEX(Array_MobileCharges,MATCH($A294,List_MobileFuelMeters,0),ROUNDUP((COLUMN()+1)/3-2,0)))</f>
        <v/>
      </c>
      <c r="T294" s="127"/>
      <c r="U294" s="137"/>
    </row>
    <row r="295" spans="1:21" x14ac:dyDescent="0.3">
      <c r="A295" s="126"/>
      <c r="B295" s="133"/>
      <c r="C295" s="127"/>
      <c r="D295" s="138"/>
      <c r="E295" s="138"/>
      <c r="F295" s="137"/>
      <c r="G295" s="58" t="str" cm="1">
        <f>IF(ISBLANK($A295),"",INDEX(Array_MobileCharges,MATCH($A295,List_MobileFuelMeters,0),ROUNDUP((COLUMN()+1)/3-2,0)))</f>
        <v/>
      </c>
      <c r="H295" s="127"/>
      <c r="I295" s="137"/>
      <c r="J295" s="58" t="str" cm="1">
        <f>IF(ISBLANK($A295),"",INDEX(Array_MobileCharges,MATCH($A295,List_MobileFuelMeters,0),ROUNDUP((COLUMN()+1)/3-2,0)))</f>
        <v/>
      </c>
      <c r="K295" s="127"/>
      <c r="L295" s="137"/>
      <c r="M295" s="58" t="str" cm="1">
        <f>IF(ISBLANK($A295),"",INDEX(Array_MobileCharges,MATCH($A295,List_MobileFuelMeters,0),ROUNDUP((COLUMN()+1)/3-2,0)))</f>
        <v/>
      </c>
      <c r="N295" s="127"/>
      <c r="O295" s="137"/>
      <c r="P295" s="58" t="str" cm="1">
        <f>IF(ISBLANK($A295),"",INDEX(Array_MobileCharges,MATCH($A295,List_MobileFuelMeters,0),ROUNDUP((COLUMN()+1)/3-2,0)))</f>
        <v/>
      </c>
      <c r="Q295" s="127"/>
      <c r="R295" s="137"/>
      <c r="S295" s="58" t="str" cm="1">
        <f>IF(ISBLANK($A295),"",INDEX(Array_MobileCharges,MATCH($A295,List_MobileFuelMeters,0),ROUNDUP((COLUMN()+1)/3-2,0)))</f>
        <v/>
      </c>
      <c r="T295" s="127"/>
      <c r="U295" s="137"/>
    </row>
    <row r="296" spans="1:21" x14ac:dyDescent="0.3">
      <c r="A296" s="126"/>
      <c r="B296" s="133"/>
      <c r="C296" s="127"/>
      <c r="D296" s="138"/>
      <c r="E296" s="138"/>
      <c r="F296" s="137"/>
      <c r="G296" s="58" t="str" cm="1">
        <f>IF(ISBLANK($A296),"",INDEX(Array_MobileCharges,MATCH($A296,List_MobileFuelMeters,0),ROUNDUP((COLUMN()+1)/3-2,0)))</f>
        <v/>
      </c>
      <c r="H296" s="127"/>
      <c r="I296" s="137"/>
      <c r="J296" s="58" t="str" cm="1">
        <f>IF(ISBLANK($A296),"",INDEX(Array_MobileCharges,MATCH($A296,List_MobileFuelMeters,0),ROUNDUP((COLUMN()+1)/3-2,0)))</f>
        <v/>
      </c>
      <c r="K296" s="127"/>
      <c r="L296" s="137"/>
      <c r="M296" s="58" t="str" cm="1">
        <f>IF(ISBLANK($A296),"",INDEX(Array_MobileCharges,MATCH($A296,List_MobileFuelMeters,0),ROUNDUP((COLUMN()+1)/3-2,0)))</f>
        <v/>
      </c>
      <c r="N296" s="127"/>
      <c r="O296" s="137"/>
      <c r="P296" s="58" t="str" cm="1">
        <f>IF(ISBLANK($A296),"",INDEX(Array_MobileCharges,MATCH($A296,List_MobileFuelMeters,0),ROUNDUP((COLUMN()+1)/3-2,0)))</f>
        <v/>
      </c>
      <c r="Q296" s="127"/>
      <c r="R296" s="137"/>
      <c r="S296" s="58" t="str" cm="1">
        <f>IF(ISBLANK($A296),"",INDEX(Array_MobileCharges,MATCH($A296,List_MobileFuelMeters,0),ROUNDUP((COLUMN()+1)/3-2,0)))</f>
        <v/>
      </c>
      <c r="T296" s="127"/>
      <c r="U296" s="137"/>
    </row>
    <row r="297" spans="1:21" x14ac:dyDescent="0.3">
      <c r="A297" s="126"/>
      <c r="B297" s="133"/>
      <c r="C297" s="127"/>
      <c r="D297" s="138"/>
      <c r="E297" s="138"/>
      <c r="F297" s="137"/>
      <c r="G297" s="58" t="str" cm="1">
        <f>IF(ISBLANK($A297),"",INDEX(Array_MobileCharges,MATCH($A297,List_MobileFuelMeters,0),ROUNDUP((COLUMN()+1)/3-2,0)))</f>
        <v/>
      </c>
      <c r="H297" s="127"/>
      <c r="I297" s="137"/>
      <c r="J297" s="58" t="str" cm="1">
        <f>IF(ISBLANK($A297),"",INDEX(Array_MobileCharges,MATCH($A297,List_MobileFuelMeters,0),ROUNDUP((COLUMN()+1)/3-2,0)))</f>
        <v/>
      </c>
      <c r="K297" s="127"/>
      <c r="L297" s="137"/>
      <c r="M297" s="58" t="str" cm="1">
        <f>IF(ISBLANK($A297),"",INDEX(Array_MobileCharges,MATCH($A297,List_MobileFuelMeters,0),ROUNDUP((COLUMN()+1)/3-2,0)))</f>
        <v/>
      </c>
      <c r="N297" s="127"/>
      <c r="O297" s="137"/>
      <c r="P297" s="58" t="str" cm="1">
        <f>IF(ISBLANK($A297),"",INDEX(Array_MobileCharges,MATCH($A297,List_MobileFuelMeters,0),ROUNDUP((COLUMN()+1)/3-2,0)))</f>
        <v/>
      </c>
      <c r="Q297" s="127"/>
      <c r="R297" s="137"/>
      <c r="S297" s="58" t="str" cm="1">
        <f>IF(ISBLANK($A297),"",INDEX(Array_MobileCharges,MATCH($A297,List_MobileFuelMeters,0),ROUNDUP((COLUMN()+1)/3-2,0)))</f>
        <v/>
      </c>
      <c r="T297" s="127"/>
      <c r="U297" s="137"/>
    </row>
    <row r="298" spans="1:21" x14ac:dyDescent="0.3">
      <c r="A298" s="126"/>
      <c r="B298" s="133"/>
      <c r="C298" s="127"/>
      <c r="D298" s="138"/>
      <c r="E298" s="138"/>
      <c r="F298" s="137"/>
      <c r="G298" s="58" t="str" cm="1">
        <f>IF(ISBLANK($A298),"",INDEX(Array_MobileCharges,MATCH($A298,List_MobileFuelMeters,0),ROUNDUP((COLUMN()+1)/3-2,0)))</f>
        <v/>
      </c>
      <c r="H298" s="127"/>
      <c r="I298" s="137"/>
      <c r="J298" s="58" t="str" cm="1">
        <f>IF(ISBLANK($A298),"",INDEX(Array_MobileCharges,MATCH($A298,List_MobileFuelMeters,0),ROUNDUP((COLUMN()+1)/3-2,0)))</f>
        <v/>
      </c>
      <c r="K298" s="127"/>
      <c r="L298" s="137"/>
      <c r="M298" s="58" t="str" cm="1">
        <f>IF(ISBLANK($A298),"",INDEX(Array_MobileCharges,MATCH($A298,List_MobileFuelMeters,0),ROUNDUP((COLUMN()+1)/3-2,0)))</f>
        <v/>
      </c>
      <c r="N298" s="127"/>
      <c r="O298" s="137"/>
      <c r="P298" s="58" t="str" cm="1">
        <f>IF(ISBLANK($A298),"",INDEX(Array_MobileCharges,MATCH($A298,List_MobileFuelMeters,0),ROUNDUP((COLUMN()+1)/3-2,0)))</f>
        <v/>
      </c>
      <c r="Q298" s="127"/>
      <c r="R298" s="137"/>
      <c r="S298" s="58" t="str" cm="1">
        <f>IF(ISBLANK($A298),"",INDEX(Array_MobileCharges,MATCH($A298,List_MobileFuelMeters,0),ROUNDUP((COLUMN()+1)/3-2,0)))</f>
        <v/>
      </c>
      <c r="T298" s="127"/>
      <c r="U298" s="137"/>
    </row>
    <row r="299" spans="1:21" x14ac:dyDescent="0.3">
      <c r="A299" s="126"/>
      <c r="B299" s="133"/>
      <c r="C299" s="127"/>
      <c r="D299" s="138"/>
      <c r="E299" s="138"/>
      <c r="F299" s="137"/>
      <c r="G299" s="58" t="str" cm="1">
        <f>IF(ISBLANK($A299),"",INDEX(Array_MobileCharges,MATCH($A299,List_MobileFuelMeters,0),ROUNDUP((COLUMN()+1)/3-2,0)))</f>
        <v/>
      </c>
      <c r="H299" s="127"/>
      <c r="I299" s="137"/>
      <c r="J299" s="58" t="str" cm="1">
        <f>IF(ISBLANK($A299),"",INDEX(Array_MobileCharges,MATCH($A299,List_MobileFuelMeters,0),ROUNDUP((COLUMN()+1)/3-2,0)))</f>
        <v/>
      </c>
      <c r="K299" s="127"/>
      <c r="L299" s="137"/>
      <c r="M299" s="58" t="str" cm="1">
        <f>IF(ISBLANK($A299),"",INDEX(Array_MobileCharges,MATCH($A299,List_MobileFuelMeters,0),ROUNDUP((COLUMN()+1)/3-2,0)))</f>
        <v/>
      </c>
      <c r="N299" s="127"/>
      <c r="O299" s="137"/>
      <c r="P299" s="58" t="str" cm="1">
        <f>IF(ISBLANK($A299),"",INDEX(Array_MobileCharges,MATCH($A299,List_MobileFuelMeters,0),ROUNDUP((COLUMN()+1)/3-2,0)))</f>
        <v/>
      </c>
      <c r="Q299" s="127"/>
      <c r="R299" s="137"/>
      <c r="S299" s="58" t="str" cm="1">
        <f>IF(ISBLANK($A299),"",INDEX(Array_MobileCharges,MATCH($A299,List_MobileFuelMeters,0),ROUNDUP((COLUMN()+1)/3-2,0)))</f>
        <v/>
      </c>
      <c r="T299" s="127"/>
      <c r="U299" s="137"/>
    </row>
    <row r="300" spans="1:21" x14ac:dyDescent="0.3">
      <c r="A300" s="126"/>
      <c r="B300" s="133"/>
      <c r="C300" s="127"/>
      <c r="D300" s="138"/>
      <c r="E300" s="138"/>
      <c r="F300" s="137"/>
      <c r="G300" s="58" t="str" cm="1">
        <f>IF(ISBLANK($A300),"",INDEX(Array_MobileCharges,MATCH($A300,List_MobileFuelMeters,0),ROUNDUP((COLUMN()+1)/3-2,0)))</f>
        <v/>
      </c>
      <c r="H300" s="127"/>
      <c r="I300" s="137"/>
      <c r="J300" s="58" t="str" cm="1">
        <f>IF(ISBLANK($A300),"",INDEX(Array_MobileCharges,MATCH($A300,List_MobileFuelMeters,0),ROUNDUP((COLUMN()+1)/3-2,0)))</f>
        <v/>
      </c>
      <c r="K300" s="127"/>
      <c r="L300" s="137"/>
      <c r="M300" s="58" t="str" cm="1">
        <f>IF(ISBLANK($A300),"",INDEX(Array_MobileCharges,MATCH($A300,List_MobileFuelMeters,0),ROUNDUP((COLUMN()+1)/3-2,0)))</f>
        <v/>
      </c>
      <c r="N300" s="127"/>
      <c r="O300" s="137"/>
      <c r="P300" s="58" t="str" cm="1">
        <f>IF(ISBLANK($A300),"",INDEX(Array_MobileCharges,MATCH($A300,List_MobileFuelMeters,0),ROUNDUP((COLUMN()+1)/3-2,0)))</f>
        <v/>
      </c>
      <c r="Q300" s="127"/>
      <c r="R300" s="137"/>
      <c r="S300" s="58" t="str" cm="1">
        <f>IF(ISBLANK($A300),"",INDEX(Array_MobileCharges,MATCH($A300,List_MobileFuelMeters,0),ROUNDUP((COLUMN()+1)/3-2,0)))</f>
        <v/>
      </c>
      <c r="T300" s="127"/>
      <c r="U300" s="137"/>
    </row>
    <row r="301" spans="1:21" x14ac:dyDescent="0.3">
      <c r="A301" s="126"/>
      <c r="B301" s="133"/>
      <c r="C301" s="127"/>
      <c r="D301" s="138"/>
      <c r="E301" s="138"/>
      <c r="F301" s="137"/>
      <c r="G301" s="58" t="str" cm="1">
        <f>IF(ISBLANK($A301),"",INDEX(Array_MobileCharges,MATCH($A301,List_MobileFuelMeters,0),ROUNDUP((COLUMN()+1)/3-2,0)))</f>
        <v/>
      </c>
      <c r="H301" s="127"/>
      <c r="I301" s="137"/>
      <c r="J301" s="58" t="str" cm="1">
        <f>IF(ISBLANK($A301),"",INDEX(Array_MobileCharges,MATCH($A301,List_MobileFuelMeters,0),ROUNDUP((COLUMN()+1)/3-2,0)))</f>
        <v/>
      </c>
      <c r="K301" s="127"/>
      <c r="L301" s="137"/>
      <c r="M301" s="58" t="str" cm="1">
        <f>IF(ISBLANK($A301),"",INDEX(Array_MobileCharges,MATCH($A301,List_MobileFuelMeters,0),ROUNDUP((COLUMN()+1)/3-2,0)))</f>
        <v/>
      </c>
      <c r="N301" s="127"/>
      <c r="O301" s="137"/>
      <c r="P301" s="58" t="str" cm="1">
        <f>IF(ISBLANK($A301),"",INDEX(Array_MobileCharges,MATCH($A301,List_MobileFuelMeters,0),ROUNDUP((COLUMN()+1)/3-2,0)))</f>
        <v/>
      </c>
      <c r="Q301" s="127"/>
      <c r="R301" s="137"/>
      <c r="S301" s="58" t="str" cm="1">
        <f>IF(ISBLANK($A301),"",INDEX(Array_MobileCharges,MATCH($A301,List_MobileFuelMeters,0),ROUNDUP((COLUMN()+1)/3-2,0)))</f>
        <v/>
      </c>
      <c r="T301" s="127"/>
      <c r="U301" s="137"/>
    </row>
    <row r="302" spans="1:21" x14ac:dyDescent="0.3">
      <c r="A302" s="126"/>
      <c r="B302" s="133"/>
      <c r="C302" s="127"/>
      <c r="D302" s="138"/>
      <c r="E302" s="138"/>
      <c r="F302" s="137"/>
      <c r="G302" s="58" t="str" cm="1">
        <f>IF(ISBLANK($A302),"",INDEX(Array_MobileCharges,MATCH($A302,List_MobileFuelMeters,0),ROUNDUP((COLUMN()+1)/3-2,0)))</f>
        <v/>
      </c>
      <c r="H302" s="127"/>
      <c r="I302" s="137"/>
      <c r="J302" s="58" t="str" cm="1">
        <f>IF(ISBLANK($A302),"",INDEX(Array_MobileCharges,MATCH($A302,List_MobileFuelMeters,0),ROUNDUP((COLUMN()+1)/3-2,0)))</f>
        <v/>
      </c>
      <c r="K302" s="127"/>
      <c r="L302" s="137"/>
      <c r="M302" s="58" t="str" cm="1">
        <f>IF(ISBLANK($A302),"",INDEX(Array_MobileCharges,MATCH($A302,List_MobileFuelMeters,0),ROUNDUP((COLUMN()+1)/3-2,0)))</f>
        <v/>
      </c>
      <c r="N302" s="127"/>
      <c r="O302" s="137"/>
      <c r="P302" s="58" t="str" cm="1">
        <f>IF(ISBLANK($A302),"",INDEX(Array_MobileCharges,MATCH($A302,List_MobileFuelMeters,0),ROUNDUP((COLUMN()+1)/3-2,0)))</f>
        <v/>
      </c>
      <c r="Q302" s="127"/>
      <c r="R302" s="137"/>
      <c r="S302" s="58" t="str" cm="1">
        <f>IF(ISBLANK($A302),"",INDEX(Array_MobileCharges,MATCH($A302,List_MobileFuelMeters,0),ROUNDUP((COLUMN()+1)/3-2,0)))</f>
        <v/>
      </c>
      <c r="T302" s="127"/>
      <c r="U302" s="137"/>
    </row>
    <row r="303" spans="1:21" x14ac:dyDescent="0.3">
      <c r="A303" s="126"/>
      <c r="B303" s="133"/>
      <c r="C303" s="127"/>
      <c r="D303" s="138"/>
      <c r="E303" s="138"/>
      <c r="F303" s="137"/>
      <c r="G303" s="58" t="str" cm="1">
        <f>IF(ISBLANK($A303),"",INDEX(Array_MobileCharges,MATCH($A303,List_MobileFuelMeters,0),ROUNDUP((COLUMN()+1)/3-2,0)))</f>
        <v/>
      </c>
      <c r="H303" s="127"/>
      <c r="I303" s="137"/>
      <c r="J303" s="58" t="str" cm="1">
        <f>IF(ISBLANK($A303),"",INDEX(Array_MobileCharges,MATCH($A303,List_MobileFuelMeters,0),ROUNDUP((COLUMN()+1)/3-2,0)))</f>
        <v/>
      </c>
      <c r="K303" s="127"/>
      <c r="L303" s="137"/>
      <c r="M303" s="58" t="str" cm="1">
        <f>IF(ISBLANK($A303),"",INDEX(Array_MobileCharges,MATCH($A303,List_MobileFuelMeters,0),ROUNDUP((COLUMN()+1)/3-2,0)))</f>
        <v/>
      </c>
      <c r="N303" s="127"/>
      <c r="O303" s="137"/>
      <c r="P303" s="58" t="str" cm="1">
        <f>IF(ISBLANK($A303),"",INDEX(Array_MobileCharges,MATCH($A303,List_MobileFuelMeters,0),ROUNDUP((COLUMN()+1)/3-2,0)))</f>
        <v/>
      </c>
      <c r="Q303" s="127"/>
      <c r="R303" s="137"/>
      <c r="S303" s="58" t="str" cm="1">
        <f>IF(ISBLANK($A303),"",INDEX(Array_MobileCharges,MATCH($A303,List_MobileFuelMeters,0),ROUNDUP((COLUMN()+1)/3-2,0)))</f>
        <v/>
      </c>
      <c r="T303" s="127"/>
      <c r="U303" s="137"/>
    </row>
    <row r="304" spans="1:21" x14ac:dyDescent="0.3">
      <c r="A304" s="126"/>
      <c r="B304" s="133"/>
      <c r="C304" s="127"/>
      <c r="D304" s="138"/>
      <c r="E304" s="138"/>
      <c r="F304" s="137"/>
      <c r="G304" s="58" t="str" cm="1">
        <f>IF(ISBLANK($A304),"",INDEX(Array_MobileCharges,MATCH($A304,List_MobileFuelMeters,0),ROUNDUP((COLUMN()+1)/3-2,0)))</f>
        <v/>
      </c>
      <c r="H304" s="127"/>
      <c r="I304" s="137"/>
      <c r="J304" s="58" t="str" cm="1">
        <f>IF(ISBLANK($A304),"",INDEX(Array_MobileCharges,MATCH($A304,List_MobileFuelMeters,0),ROUNDUP((COLUMN()+1)/3-2,0)))</f>
        <v/>
      </c>
      <c r="K304" s="127"/>
      <c r="L304" s="137"/>
      <c r="M304" s="58" t="str" cm="1">
        <f>IF(ISBLANK($A304),"",INDEX(Array_MobileCharges,MATCH($A304,List_MobileFuelMeters,0),ROUNDUP((COLUMN()+1)/3-2,0)))</f>
        <v/>
      </c>
      <c r="N304" s="127"/>
      <c r="O304" s="137"/>
      <c r="P304" s="58" t="str" cm="1">
        <f>IF(ISBLANK($A304),"",INDEX(Array_MobileCharges,MATCH($A304,List_MobileFuelMeters,0),ROUNDUP((COLUMN()+1)/3-2,0)))</f>
        <v/>
      </c>
      <c r="Q304" s="127"/>
      <c r="R304" s="137"/>
      <c r="S304" s="58" t="str" cm="1">
        <f>IF(ISBLANK($A304),"",INDEX(Array_MobileCharges,MATCH($A304,List_MobileFuelMeters,0),ROUNDUP((COLUMN()+1)/3-2,0)))</f>
        <v/>
      </c>
      <c r="T304" s="127"/>
      <c r="U304" s="137"/>
    </row>
    <row r="305" spans="1:21" x14ac:dyDescent="0.3">
      <c r="A305" s="126"/>
      <c r="B305" s="133"/>
      <c r="C305" s="127"/>
      <c r="D305" s="138"/>
      <c r="E305" s="138"/>
      <c r="F305" s="137"/>
      <c r="G305" s="58" t="str" cm="1">
        <f>IF(ISBLANK($A305),"",INDEX(Array_MobileCharges,MATCH($A305,List_MobileFuelMeters,0),ROUNDUP((COLUMN()+1)/3-2,0)))</f>
        <v/>
      </c>
      <c r="H305" s="127"/>
      <c r="I305" s="137"/>
      <c r="J305" s="58" t="str" cm="1">
        <f>IF(ISBLANK($A305),"",INDEX(Array_MobileCharges,MATCH($A305,List_MobileFuelMeters,0),ROUNDUP((COLUMN()+1)/3-2,0)))</f>
        <v/>
      </c>
      <c r="K305" s="127"/>
      <c r="L305" s="137"/>
      <c r="M305" s="58" t="str" cm="1">
        <f>IF(ISBLANK($A305),"",INDEX(Array_MobileCharges,MATCH($A305,List_MobileFuelMeters,0),ROUNDUP((COLUMN()+1)/3-2,0)))</f>
        <v/>
      </c>
      <c r="N305" s="127"/>
      <c r="O305" s="137"/>
      <c r="P305" s="58" t="str" cm="1">
        <f>IF(ISBLANK($A305),"",INDEX(Array_MobileCharges,MATCH($A305,List_MobileFuelMeters,0),ROUNDUP((COLUMN()+1)/3-2,0)))</f>
        <v/>
      </c>
      <c r="Q305" s="127"/>
      <c r="R305" s="137"/>
      <c r="S305" s="58" t="str" cm="1">
        <f>IF(ISBLANK($A305),"",INDEX(Array_MobileCharges,MATCH($A305,List_MobileFuelMeters,0),ROUNDUP((COLUMN()+1)/3-2,0)))</f>
        <v/>
      </c>
      <c r="T305" s="127"/>
      <c r="U305" s="137"/>
    </row>
    <row r="306" spans="1:21" x14ac:dyDescent="0.3">
      <c r="A306" s="126"/>
      <c r="B306" s="133"/>
      <c r="C306" s="127"/>
      <c r="D306" s="138"/>
      <c r="E306" s="138"/>
      <c r="F306" s="137"/>
      <c r="G306" s="58" t="str" cm="1">
        <f>IF(ISBLANK($A306),"",INDEX(Array_MobileCharges,MATCH($A306,List_MobileFuelMeters,0),ROUNDUP((COLUMN()+1)/3-2,0)))</f>
        <v/>
      </c>
      <c r="H306" s="127"/>
      <c r="I306" s="137"/>
      <c r="J306" s="58" t="str" cm="1">
        <f>IF(ISBLANK($A306),"",INDEX(Array_MobileCharges,MATCH($A306,List_MobileFuelMeters,0),ROUNDUP((COLUMN()+1)/3-2,0)))</f>
        <v/>
      </c>
      <c r="K306" s="127"/>
      <c r="L306" s="137"/>
      <c r="M306" s="58" t="str" cm="1">
        <f>IF(ISBLANK($A306),"",INDEX(Array_MobileCharges,MATCH($A306,List_MobileFuelMeters,0),ROUNDUP((COLUMN()+1)/3-2,0)))</f>
        <v/>
      </c>
      <c r="N306" s="127"/>
      <c r="O306" s="137"/>
      <c r="P306" s="58" t="str" cm="1">
        <f>IF(ISBLANK($A306),"",INDEX(Array_MobileCharges,MATCH($A306,List_MobileFuelMeters,0),ROUNDUP((COLUMN()+1)/3-2,0)))</f>
        <v/>
      </c>
      <c r="Q306" s="127"/>
      <c r="R306" s="137"/>
      <c r="S306" s="58" t="str" cm="1">
        <f>IF(ISBLANK($A306),"",INDEX(Array_MobileCharges,MATCH($A306,List_MobileFuelMeters,0),ROUNDUP((COLUMN()+1)/3-2,0)))</f>
        <v/>
      </c>
      <c r="T306" s="127"/>
      <c r="U306" s="137"/>
    </row>
    <row r="307" spans="1:21" x14ac:dyDescent="0.3">
      <c r="A307" s="126"/>
      <c r="B307" s="133"/>
      <c r="C307" s="127"/>
      <c r="D307" s="138"/>
      <c r="E307" s="138"/>
      <c r="F307" s="137"/>
      <c r="G307" s="58" t="str" cm="1">
        <f>IF(ISBLANK($A307),"",INDEX(Array_MobileCharges,MATCH($A307,List_MobileFuelMeters,0),ROUNDUP((COLUMN()+1)/3-2,0)))</f>
        <v/>
      </c>
      <c r="H307" s="127"/>
      <c r="I307" s="137"/>
      <c r="J307" s="58" t="str" cm="1">
        <f>IF(ISBLANK($A307),"",INDEX(Array_MobileCharges,MATCH($A307,List_MobileFuelMeters,0),ROUNDUP((COLUMN()+1)/3-2,0)))</f>
        <v/>
      </c>
      <c r="K307" s="127"/>
      <c r="L307" s="137"/>
      <c r="M307" s="58" t="str" cm="1">
        <f>IF(ISBLANK($A307),"",INDEX(Array_MobileCharges,MATCH($A307,List_MobileFuelMeters,0),ROUNDUP((COLUMN()+1)/3-2,0)))</f>
        <v/>
      </c>
      <c r="N307" s="127"/>
      <c r="O307" s="137"/>
      <c r="P307" s="58" t="str" cm="1">
        <f>IF(ISBLANK($A307),"",INDEX(Array_MobileCharges,MATCH($A307,List_MobileFuelMeters,0),ROUNDUP((COLUMN()+1)/3-2,0)))</f>
        <v/>
      </c>
      <c r="Q307" s="127"/>
      <c r="R307" s="137"/>
      <c r="S307" s="58" t="str" cm="1">
        <f>IF(ISBLANK($A307),"",INDEX(Array_MobileCharges,MATCH($A307,List_MobileFuelMeters,0),ROUNDUP((COLUMN()+1)/3-2,0)))</f>
        <v/>
      </c>
      <c r="T307" s="127"/>
      <c r="U307" s="137"/>
    </row>
    <row r="308" spans="1:21" x14ac:dyDescent="0.3">
      <c r="A308" s="126"/>
      <c r="B308" s="133"/>
      <c r="C308" s="127"/>
      <c r="D308" s="138"/>
      <c r="E308" s="138"/>
      <c r="F308" s="137"/>
      <c r="G308" s="58" t="str" cm="1">
        <f>IF(ISBLANK($A308),"",INDEX(Array_MobileCharges,MATCH($A308,List_MobileFuelMeters,0),ROUNDUP((COLUMN()+1)/3-2,0)))</f>
        <v/>
      </c>
      <c r="H308" s="127"/>
      <c r="I308" s="137"/>
      <c r="J308" s="58" t="str" cm="1">
        <f>IF(ISBLANK($A308),"",INDEX(Array_MobileCharges,MATCH($A308,List_MobileFuelMeters,0),ROUNDUP((COLUMN()+1)/3-2,0)))</f>
        <v/>
      </c>
      <c r="K308" s="127"/>
      <c r="L308" s="137"/>
      <c r="M308" s="58" t="str" cm="1">
        <f>IF(ISBLANK($A308),"",INDEX(Array_MobileCharges,MATCH($A308,List_MobileFuelMeters,0),ROUNDUP((COLUMN()+1)/3-2,0)))</f>
        <v/>
      </c>
      <c r="N308" s="127"/>
      <c r="O308" s="137"/>
      <c r="P308" s="58" t="str" cm="1">
        <f>IF(ISBLANK($A308),"",INDEX(Array_MobileCharges,MATCH($A308,List_MobileFuelMeters,0),ROUNDUP((COLUMN()+1)/3-2,0)))</f>
        <v/>
      </c>
      <c r="Q308" s="127"/>
      <c r="R308" s="137"/>
      <c r="S308" s="58" t="str" cm="1">
        <f>IF(ISBLANK($A308),"",INDEX(Array_MobileCharges,MATCH($A308,List_MobileFuelMeters,0),ROUNDUP((COLUMN()+1)/3-2,0)))</f>
        <v/>
      </c>
      <c r="T308" s="127"/>
      <c r="U308" s="137"/>
    </row>
    <row r="309" spans="1:21" x14ac:dyDescent="0.3">
      <c r="A309" s="126"/>
      <c r="B309" s="133"/>
      <c r="C309" s="127"/>
      <c r="D309" s="138"/>
      <c r="E309" s="138"/>
      <c r="F309" s="137"/>
      <c r="G309" s="58" t="str" cm="1">
        <f>IF(ISBLANK($A309),"",INDEX(Array_MobileCharges,MATCH($A309,List_MobileFuelMeters,0),ROUNDUP((COLUMN()+1)/3-2,0)))</f>
        <v/>
      </c>
      <c r="H309" s="127"/>
      <c r="I309" s="137"/>
      <c r="J309" s="58" t="str" cm="1">
        <f>IF(ISBLANK($A309),"",INDEX(Array_MobileCharges,MATCH($A309,List_MobileFuelMeters,0),ROUNDUP((COLUMN()+1)/3-2,0)))</f>
        <v/>
      </c>
      <c r="K309" s="127"/>
      <c r="L309" s="137"/>
      <c r="M309" s="58" t="str" cm="1">
        <f>IF(ISBLANK($A309),"",INDEX(Array_MobileCharges,MATCH($A309,List_MobileFuelMeters,0),ROUNDUP((COLUMN()+1)/3-2,0)))</f>
        <v/>
      </c>
      <c r="N309" s="127"/>
      <c r="O309" s="137"/>
      <c r="P309" s="58" t="str" cm="1">
        <f>IF(ISBLANK($A309),"",INDEX(Array_MobileCharges,MATCH($A309,List_MobileFuelMeters,0),ROUNDUP((COLUMN()+1)/3-2,0)))</f>
        <v/>
      </c>
      <c r="Q309" s="127"/>
      <c r="R309" s="137"/>
      <c r="S309" s="58" t="str" cm="1">
        <f>IF(ISBLANK($A309),"",INDEX(Array_MobileCharges,MATCH($A309,List_MobileFuelMeters,0),ROUNDUP((COLUMN()+1)/3-2,0)))</f>
        <v/>
      </c>
      <c r="T309" s="127"/>
      <c r="U309" s="137"/>
    </row>
    <row r="310" spans="1:21" x14ac:dyDescent="0.3">
      <c r="A310" s="126"/>
      <c r="B310" s="133"/>
      <c r="C310" s="127"/>
      <c r="D310" s="138"/>
      <c r="E310" s="138"/>
      <c r="F310" s="137"/>
      <c r="G310" s="58" t="str" cm="1">
        <f>IF(ISBLANK($A310),"",INDEX(Array_MobileCharges,MATCH($A310,List_MobileFuelMeters,0),ROUNDUP((COLUMN()+1)/3-2,0)))</f>
        <v/>
      </c>
      <c r="H310" s="127"/>
      <c r="I310" s="137"/>
      <c r="J310" s="58" t="str" cm="1">
        <f>IF(ISBLANK($A310),"",INDEX(Array_MobileCharges,MATCH($A310,List_MobileFuelMeters,0),ROUNDUP((COLUMN()+1)/3-2,0)))</f>
        <v/>
      </c>
      <c r="K310" s="127"/>
      <c r="L310" s="137"/>
      <c r="M310" s="58" t="str" cm="1">
        <f>IF(ISBLANK($A310),"",INDEX(Array_MobileCharges,MATCH($A310,List_MobileFuelMeters,0),ROUNDUP((COLUMN()+1)/3-2,0)))</f>
        <v/>
      </c>
      <c r="N310" s="127"/>
      <c r="O310" s="137"/>
      <c r="P310" s="58" t="str" cm="1">
        <f>IF(ISBLANK($A310),"",INDEX(Array_MobileCharges,MATCH($A310,List_MobileFuelMeters,0),ROUNDUP((COLUMN()+1)/3-2,0)))</f>
        <v/>
      </c>
      <c r="Q310" s="127"/>
      <c r="R310" s="137"/>
      <c r="S310" s="58" t="str" cm="1">
        <f>IF(ISBLANK($A310),"",INDEX(Array_MobileCharges,MATCH($A310,List_MobileFuelMeters,0),ROUNDUP((COLUMN()+1)/3-2,0)))</f>
        <v/>
      </c>
      <c r="T310" s="127"/>
      <c r="U310" s="137"/>
    </row>
    <row r="311" spans="1:21" x14ac:dyDescent="0.3">
      <c r="A311" s="126"/>
      <c r="B311" s="133"/>
      <c r="C311" s="127"/>
      <c r="D311" s="138"/>
      <c r="E311" s="138"/>
      <c r="F311" s="137"/>
      <c r="G311" s="58" t="str" cm="1">
        <f>IF(ISBLANK($A311),"",INDEX(Array_MobileCharges,MATCH($A311,List_MobileFuelMeters,0),ROUNDUP((COLUMN()+1)/3-2,0)))</f>
        <v/>
      </c>
      <c r="H311" s="127"/>
      <c r="I311" s="137"/>
      <c r="J311" s="58" t="str" cm="1">
        <f>IF(ISBLANK($A311),"",INDEX(Array_MobileCharges,MATCH($A311,List_MobileFuelMeters,0),ROUNDUP((COLUMN()+1)/3-2,0)))</f>
        <v/>
      </c>
      <c r="K311" s="127"/>
      <c r="L311" s="137"/>
      <c r="M311" s="58" t="str" cm="1">
        <f>IF(ISBLANK($A311),"",INDEX(Array_MobileCharges,MATCH($A311,List_MobileFuelMeters,0),ROUNDUP((COLUMN()+1)/3-2,0)))</f>
        <v/>
      </c>
      <c r="N311" s="127"/>
      <c r="O311" s="137"/>
      <c r="P311" s="58" t="str" cm="1">
        <f>IF(ISBLANK($A311),"",INDEX(Array_MobileCharges,MATCH($A311,List_MobileFuelMeters,0),ROUNDUP((COLUMN()+1)/3-2,0)))</f>
        <v/>
      </c>
      <c r="Q311" s="127"/>
      <c r="R311" s="137"/>
      <c r="S311" s="58" t="str" cm="1">
        <f>IF(ISBLANK($A311),"",INDEX(Array_MobileCharges,MATCH($A311,List_MobileFuelMeters,0),ROUNDUP((COLUMN()+1)/3-2,0)))</f>
        <v/>
      </c>
      <c r="T311" s="127"/>
      <c r="U311" s="137"/>
    </row>
    <row r="312" spans="1:21" x14ac:dyDescent="0.3">
      <c r="A312" s="126"/>
      <c r="B312" s="133"/>
      <c r="C312" s="127"/>
      <c r="D312" s="138"/>
      <c r="E312" s="138"/>
      <c r="F312" s="137"/>
      <c r="G312" s="58" t="str" cm="1">
        <f>IF(ISBLANK($A312),"",INDEX(Array_MobileCharges,MATCH($A312,List_MobileFuelMeters,0),ROUNDUP((COLUMN()+1)/3-2,0)))</f>
        <v/>
      </c>
      <c r="H312" s="127"/>
      <c r="I312" s="137"/>
      <c r="J312" s="58" t="str" cm="1">
        <f>IF(ISBLANK($A312),"",INDEX(Array_MobileCharges,MATCH($A312,List_MobileFuelMeters,0),ROUNDUP((COLUMN()+1)/3-2,0)))</f>
        <v/>
      </c>
      <c r="K312" s="127"/>
      <c r="L312" s="137"/>
      <c r="M312" s="58" t="str" cm="1">
        <f>IF(ISBLANK($A312),"",INDEX(Array_MobileCharges,MATCH($A312,List_MobileFuelMeters,0),ROUNDUP((COLUMN()+1)/3-2,0)))</f>
        <v/>
      </c>
      <c r="N312" s="127"/>
      <c r="O312" s="137"/>
      <c r="P312" s="58" t="str" cm="1">
        <f>IF(ISBLANK($A312),"",INDEX(Array_MobileCharges,MATCH($A312,List_MobileFuelMeters,0),ROUNDUP((COLUMN()+1)/3-2,0)))</f>
        <v/>
      </c>
      <c r="Q312" s="127"/>
      <c r="R312" s="137"/>
      <c r="S312" s="58" t="str" cm="1">
        <f>IF(ISBLANK($A312),"",INDEX(Array_MobileCharges,MATCH($A312,List_MobileFuelMeters,0),ROUNDUP((COLUMN()+1)/3-2,0)))</f>
        <v/>
      </c>
      <c r="T312" s="127"/>
      <c r="U312" s="137"/>
    </row>
    <row r="313" spans="1:21" x14ac:dyDescent="0.3">
      <c r="A313" s="126"/>
      <c r="B313" s="133"/>
      <c r="C313" s="127"/>
      <c r="D313" s="138"/>
      <c r="E313" s="138"/>
      <c r="F313" s="137"/>
      <c r="G313" s="58" t="str" cm="1">
        <f>IF(ISBLANK($A313),"",INDEX(Array_MobileCharges,MATCH($A313,List_MobileFuelMeters,0),ROUNDUP((COLUMN()+1)/3-2,0)))</f>
        <v/>
      </c>
      <c r="H313" s="127"/>
      <c r="I313" s="137"/>
      <c r="J313" s="58" t="str" cm="1">
        <f>IF(ISBLANK($A313),"",INDEX(Array_MobileCharges,MATCH($A313,List_MobileFuelMeters,0),ROUNDUP((COLUMN()+1)/3-2,0)))</f>
        <v/>
      </c>
      <c r="K313" s="127"/>
      <c r="L313" s="137"/>
      <c r="M313" s="58" t="str" cm="1">
        <f>IF(ISBLANK($A313),"",INDEX(Array_MobileCharges,MATCH($A313,List_MobileFuelMeters,0),ROUNDUP((COLUMN()+1)/3-2,0)))</f>
        <v/>
      </c>
      <c r="N313" s="127"/>
      <c r="O313" s="137"/>
      <c r="P313" s="58" t="str" cm="1">
        <f>IF(ISBLANK($A313),"",INDEX(Array_MobileCharges,MATCH($A313,List_MobileFuelMeters,0),ROUNDUP((COLUMN()+1)/3-2,0)))</f>
        <v/>
      </c>
      <c r="Q313" s="127"/>
      <c r="R313" s="137"/>
      <c r="S313" s="58" t="str" cm="1">
        <f>IF(ISBLANK($A313),"",INDEX(Array_MobileCharges,MATCH($A313,List_MobileFuelMeters,0),ROUNDUP((COLUMN()+1)/3-2,0)))</f>
        <v/>
      </c>
      <c r="T313" s="127"/>
      <c r="U313" s="137"/>
    </row>
    <row r="314" spans="1:21" x14ac:dyDescent="0.3">
      <c r="A314" s="126"/>
      <c r="B314" s="133"/>
      <c r="C314" s="127"/>
      <c r="D314" s="138"/>
      <c r="E314" s="138"/>
      <c r="F314" s="137"/>
      <c r="G314" s="58" t="str" cm="1">
        <f>IF(ISBLANK($A314),"",INDEX(Array_MobileCharges,MATCH($A314,List_MobileFuelMeters,0),ROUNDUP((COLUMN()+1)/3-2,0)))</f>
        <v/>
      </c>
      <c r="H314" s="127"/>
      <c r="I314" s="137"/>
      <c r="J314" s="58" t="str" cm="1">
        <f>IF(ISBLANK($A314),"",INDEX(Array_MobileCharges,MATCH($A314,List_MobileFuelMeters,0),ROUNDUP((COLUMN()+1)/3-2,0)))</f>
        <v/>
      </c>
      <c r="K314" s="127"/>
      <c r="L314" s="137"/>
      <c r="M314" s="58" t="str" cm="1">
        <f>IF(ISBLANK($A314),"",INDEX(Array_MobileCharges,MATCH($A314,List_MobileFuelMeters,0),ROUNDUP((COLUMN()+1)/3-2,0)))</f>
        <v/>
      </c>
      <c r="N314" s="127"/>
      <c r="O314" s="137"/>
      <c r="P314" s="58" t="str" cm="1">
        <f>IF(ISBLANK($A314),"",INDEX(Array_MobileCharges,MATCH($A314,List_MobileFuelMeters,0),ROUNDUP((COLUMN()+1)/3-2,0)))</f>
        <v/>
      </c>
      <c r="Q314" s="127"/>
      <c r="R314" s="137"/>
      <c r="S314" s="58" t="str" cm="1">
        <f>IF(ISBLANK($A314),"",INDEX(Array_MobileCharges,MATCH($A314,List_MobileFuelMeters,0),ROUNDUP((COLUMN()+1)/3-2,0)))</f>
        <v/>
      </c>
      <c r="T314" s="127"/>
      <c r="U314" s="137"/>
    </row>
    <row r="315" spans="1:21" x14ac:dyDescent="0.3">
      <c r="A315" s="126"/>
      <c r="B315" s="133"/>
      <c r="C315" s="127"/>
      <c r="D315" s="138"/>
      <c r="E315" s="138"/>
      <c r="F315" s="137"/>
      <c r="G315" s="58" t="str" cm="1">
        <f>IF(ISBLANK($A315),"",INDEX(Array_MobileCharges,MATCH($A315,List_MobileFuelMeters,0),ROUNDUP((COLUMN()+1)/3-2,0)))</f>
        <v/>
      </c>
      <c r="H315" s="127"/>
      <c r="I315" s="137"/>
      <c r="J315" s="58" t="str" cm="1">
        <f>IF(ISBLANK($A315),"",INDEX(Array_MobileCharges,MATCH($A315,List_MobileFuelMeters,0),ROUNDUP((COLUMN()+1)/3-2,0)))</f>
        <v/>
      </c>
      <c r="K315" s="127"/>
      <c r="L315" s="137"/>
      <c r="M315" s="58" t="str" cm="1">
        <f>IF(ISBLANK($A315),"",INDEX(Array_MobileCharges,MATCH($A315,List_MobileFuelMeters,0),ROUNDUP((COLUMN()+1)/3-2,0)))</f>
        <v/>
      </c>
      <c r="N315" s="127"/>
      <c r="O315" s="137"/>
      <c r="P315" s="58" t="str" cm="1">
        <f>IF(ISBLANK($A315),"",INDEX(Array_MobileCharges,MATCH($A315,List_MobileFuelMeters,0),ROUNDUP((COLUMN()+1)/3-2,0)))</f>
        <v/>
      </c>
      <c r="Q315" s="127"/>
      <c r="R315" s="137"/>
      <c r="S315" s="58" t="str" cm="1">
        <f>IF(ISBLANK($A315),"",INDEX(Array_MobileCharges,MATCH($A315,List_MobileFuelMeters,0),ROUNDUP((COLUMN()+1)/3-2,0)))</f>
        <v/>
      </c>
      <c r="T315" s="127"/>
      <c r="U315" s="137"/>
    </row>
    <row r="316" spans="1:21" x14ac:dyDescent="0.3">
      <c r="A316" s="126"/>
      <c r="B316" s="133"/>
      <c r="C316" s="127"/>
      <c r="D316" s="138"/>
      <c r="E316" s="138"/>
      <c r="F316" s="137"/>
      <c r="G316" s="58" t="str" cm="1">
        <f>IF(ISBLANK($A316),"",INDEX(Array_MobileCharges,MATCH($A316,List_MobileFuelMeters,0),ROUNDUP((COLUMN()+1)/3-2,0)))</f>
        <v/>
      </c>
      <c r="H316" s="127"/>
      <c r="I316" s="137"/>
      <c r="J316" s="58" t="str" cm="1">
        <f>IF(ISBLANK($A316),"",INDEX(Array_MobileCharges,MATCH($A316,List_MobileFuelMeters,0),ROUNDUP((COLUMN()+1)/3-2,0)))</f>
        <v/>
      </c>
      <c r="K316" s="127"/>
      <c r="L316" s="137"/>
      <c r="M316" s="58" t="str" cm="1">
        <f>IF(ISBLANK($A316),"",INDEX(Array_MobileCharges,MATCH($A316,List_MobileFuelMeters,0),ROUNDUP((COLUMN()+1)/3-2,0)))</f>
        <v/>
      </c>
      <c r="N316" s="127"/>
      <c r="O316" s="137"/>
      <c r="P316" s="58" t="str" cm="1">
        <f>IF(ISBLANK($A316),"",INDEX(Array_MobileCharges,MATCH($A316,List_MobileFuelMeters,0),ROUNDUP((COLUMN()+1)/3-2,0)))</f>
        <v/>
      </c>
      <c r="Q316" s="127"/>
      <c r="R316" s="137"/>
      <c r="S316" s="58" t="str" cm="1">
        <f>IF(ISBLANK($A316),"",INDEX(Array_MobileCharges,MATCH($A316,List_MobileFuelMeters,0),ROUNDUP((COLUMN()+1)/3-2,0)))</f>
        <v/>
      </c>
      <c r="T316" s="127"/>
      <c r="U316" s="137"/>
    </row>
    <row r="317" spans="1:21" x14ac:dyDescent="0.3">
      <c r="A317" s="126"/>
      <c r="B317" s="133"/>
      <c r="C317" s="127"/>
      <c r="D317" s="138"/>
      <c r="E317" s="138"/>
      <c r="F317" s="137"/>
      <c r="G317" s="58" t="str" cm="1">
        <f>IF(ISBLANK($A317),"",INDEX(Array_MobileCharges,MATCH($A317,List_MobileFuelMeters,0),ROUNDUP((COLUMN()+1)/3-2,0)))</f>
        <v/>
      </c>
      <c r="H317" s="127"/>
      <c r="I317" s="137"/>
      <c r="J317" s="58" t="str" cm="1">
        <f>IF(ISBLANK($A317),"",INDEX(Array_MobileCharges,MATCH($A317,List_MobileFuelMeters,0),ROUNDUP((COLUMN()+1)/3-2,0)))</f>
        <v/>
      </c>
      <c r="K317" s="127"/>
      <c r="L317" s="137"/>
      <c r="M317" s="58" t="str" cm="1">
        <f>IF(ISBLANK($A317),"",INDEX(Array_MobileCharges,MATCH($A317,List_MobileFuelMeters,0),ROUNDUP((COLUMN()+1)/3-2,0)))</f>
        <v/>
      </c>
      <c r="N317" s="127"/>
      <c r="O317" s="137"/>
      <c r="P317" s="58" t="str" cm="1">
        <f>IF(ISBLANK($A317),"",INDEX(Array_MobileCharges,MATCH($A317,List_MobileFuelMeters,0),ROUNDUP((COLUMN()+1)/3-2,0)))</f>
        <v/>
      </c>
      <c r="Q317" s="127"/>
      <c r="R317" s="137"/>
      <c r="S317" s="58" t="str" cm="1">
        <f>IF(ISBLANK($A317),"",INDEX(Array_MobileCharges,MATCH($A317,List_MobileFuelMeters,0),ROUNDUP((COLUMN()+1)/3-2,0)))</f>
        <v/>
      </c>
      <c r="T317" s="127"/>
      <c r="U317" s="137"/>
    </row>
    <row r="318" spans="1:21" x14ac:dyDescent="0.3">
      <c r="A318" s="126"/>
      <c r="B318" s="133"/>
      <c r="C318" s="127"/>
      <c r="D318" s="138"/>
      <c r="E318" s="138"/>
      <c r="F318" s="137"/>
      <c r="G318" s="58" t="str" cm="1">
        <f>IF(ISBLANK($A318),"",INDEX(Array_MobileCharges,MATCH($A318,List_MobileFuelMeters,0),ROUNDUP((COLUMN()+1)/3-2,0)))</f>
        <v/>
      </c>
      <c r="H318" s="127"/>
      <c r="I318" s="137"/>
      <c r="J318" s="58" t="str" cm="1">
        <f>IF(ISBLANK($A318),"",INDEX(Array_MobileCharges,MATCH($A318,List_MobileFuelMeters,0),ROUNDUP((COLUMN()+1)/3-2,0)))</f>
        <v/>
      </c>
      <c r="K318" s="127"/>
      <c r="L318" s="137"/>
      <c r="M318" s="58" t="str" cm="1">
        <f>IF(ISBLANK($A318),"",INDEX(Array_MobileCharges,MATCH($A318,List_MobileFuelMeters,0),ROUNDUP((COLUMN()+1)/3-2,0)))</f>
        <v/>
      </c>
      <c r="N318" s="127"/>
      <c r="O318" s="137"/>
      <c r="P318" s="58" t="str" cm="1">
        <f>IF(ISBLANK($A318),"",INDEX(Array_MobileCharges,MATCH($A318,List_MobileFuelMeters,0),ROUNDUP((COLUMN()+1)/3-2,0)))</f>
        <v/>
      </c>
      <c r="Q318" s="127"/>
      <c r="R318" s="137"/>
      <c r="S318" s="58" t="str" cm="1">
        <f>IF(ISBLANK($A318),"",INDEX(Array_MobileCharges,MATCH($A318,List_MobileFuelMeters,0),ROUNDUP((COLUMN()+1)/3-2,0)))</f>
        <v/>
      </c>
      <c r="T318" s="127"/>
      <c r="U318" s="137"/>
    </row>
    <row r="319" spans="1:21" x14ac:dyDescent="0.3">
      <c r="A319" s="126"/>
      <c r="B319" s="133"/>
      <c r="C319" s="127"/>
      <c r="D319" s="138"/>
      <c r="E319" s="138"/>
      <c r="F319" s="137"/>
      <c r="G319" s="58" t="str" cm="1">
        <f>IF(ISBLANK($A319),"",INDEX(Array_MobileCharges,MATCH($A319,List_MobileFuelMeters,0),ROUNDUP((COLUMN()+1)/3-2,0)))</f>
        <v/>
      </c>
      <c r="H319" s="127"/>
      <c r="I319" s="137"/>
      <c r="J319" s="58" t="str" cm="1">
        <f>IF(ISBLANK($A319),"",INDEX(Array_MobileCharges,MATCH($A319,List_MobileFuelMeters,0),ROUNDUP((COLUMN()+1)/3-2,0)))</f>
        <v/>
      </c>
      <c r="K319" s="127"/>
      <c r="L319" s="137"/>
      <c r="M319" s="58" t="str" cm="1">
        <f>IF(ISBLANK($A319),"",INDEX(Array_MobileCharges,MATCH($A319,List_MobileFuelMeters,0),ROUNDUP((COLUMN()+1)/3-2,0)))</f>
        <v/>
      </c>
      <c r="N319" s="127"/>
      <c r="O319" s="137"/>
      <c r="P319" s="58" t="str" cm="1">
        <f>IF(ISBLANK($A319),"",INDEX(Array_MobileCharges,MATCH($A319,List_MobileFuelMeters,0),ROUNDUP((COLUMN()+1)/3-2,0)))</f>
        <v/>
      </c>
      <c r="Q319" s="127"/>
      <c r="R319" s="137"/>
      <c r="S319" s="58" t="str" cm="1">
        <f>IF(ISBLANK($A319),"",INDEX(Array_MobileCharges,MATCH($A319,List_MobileFuelMeters,0),ROUNDUP((COLUMN()+1)/3-2,0)))</f>
        <v/>
      </c>
      <c r="T319" s="127"/>
      <c r="U319" s="137"/>
    </row>
    <row r="320" spans="1:21" x14ac:dyDescent="0.3">
      <c r="A320" s="126"/>
      <c r="B320" s="133"/>
      <c r="C320" s="127"/>
      <c r="D320" s="138"/>
      <c r="E320" s="138"/>
      <c r="F320" s="137"/>
      <c r="G320" s="58" t="str" cm="1">
        <f>IF(ISBLANK($A320),"",INDEX(Array_MobileCharges,MATCH($A320,List_MobileFuelMeters,0),ROUNDUP((COLUMN()+1)/3-2,0)))</f>
        <v/>
      </c>
      <c r="H320" s="127"/>
      <c r="I320" s="137"/>
      <c r="J320" s="58" t="str" cm="1">
        <f>IF(ISBLANK($A320),"",INDEX(Array_MobileCharges,MATCH($A320,List_MobileFuelMeters,0),ROUNDUP((COLUMN()+1)/3-2,0)))</f>
        <v/>
      </c>
      <c r="K320" s="127"/>
      <c r="L320" s="137"/>
      <c r="M320" s="58" t="str" cm="1">
        <f>IF(ISBLANK($A320),"",INDEX(Array_MobileCharges,MATCH($A320,List_MobileFuelMeters,0),ROUNDUP((COLUMN()+1)/3-2,0)))</f>
        <v/>
      </c>
      <c r="N320" s="127"/>
      <c r="O320" s="137"/>
      <c r="P320" s="58" t="str" cm="1">
        <f>IF(ISBLANK($A320),"",INDEX(Array_MobileCharges,MATCH($A320,List_MobileFuelMeters,0),ROUNDUP((COLUMN()+1)/3-2,0)))</f>
        <v/>
      </c>
      <c r="Q320" s="127"/>
      <c r="R320" s="137"/>
      <c r="S320" s="58" t="str" cm="1">
        <f>IF(ISBLANK($A320),"",INDEX(Array_MobileCharges,MATCH($A320,List_MobileFuelMeters,0),ROUNDUP((COLUMN()+1)/3-2,0)))</f>
        <v/>
      </c>
      <c r="T320" s="127"/>
      <c r="U320" s="137"/>
    </row>
    <row r="321" spans="1:21" x14ac:dyDescent="0.3">
      <c r="A321" s="126"/>
      <c r="B321" s="133"/>
      <c r="C321" s="127"/>
      <c r="D321" s="138"/>
      <c r="E321" s="138"/>
      <c r="F321" s="137"/>
      <c r="G321" s="58" t="str" cm="1">
        <f>IF(ISBLANK($A321),"",INDEX(Array_MobileCharges,MATCH($A321,List_MobileFuelMeters,0),ROUNDUP((COLUMN()+1)/3-2,0)))</f>
        <v/>
      </c>
      <c r="H321" s="127"/>
      <c r="I321" s="137"/>
      <c r="J321" s="58" t="str" cm="1">
        <f>IF(ISBLANK($A321),"",INDEX(Array_MobileCharges,MATCH($A321,List_MobileFuelMeters,0),ROUNDUP((COLUMN()+1)/3-2,0)))</f>
        <v/>
      </c>
      <c r="K321" s="127"/>
      <c r="L321" s="137"/>
      <c r="M321" s="58" t="str" cm="1">
        <f>IF(ISBLANK($A321),"",INDEX(Array_MobileCharges,MATCH($A321,List_MobileFuelMeters,0),ROUNDUP((COLUMN()+1)/3-2,0)))</f>
        <v/>
      </c>
      <c r="N321" s="127"/>
      <c r="O321" s="137"/>
      <c r="P321" s="58" t="str" cm="1">
        <f>IF(ISBLANK($A321),"",INDEX(Array_MobileCharges,MATCH($A321,List_MobileFuelMeters,0),ROUNDUP((COLUMN()+1)/3-2,0)))</f>
        <v/>
      </c>
      <c r="Q321" s="127"/>
      <c r="R321" s="137"/>
      <c r="S321" s="58" t="str" cm="1">
        <f>IF(ISBLANK($A321),"",INDEX(Array_MobileCharges,MATCH($A321,List_MobileFuelMeters,0),ROUNDUP((COLUMN()+1)/3-2,0)))</f>
        <v/>
      </c>
      <c r="T321" s="127"/>
      <c r="U321" s="137"/>
    </row>
    <row r="322" spans="1:21" x14ac:dyDescent="0.3">
      <c r="A322" s="126"/>
      <c r="B322" s="133"/>
      <c r="C322" s="127"/>
      <c r="D322" s="138"/>
      <c r="E322" s="138"/>
      <c r="F322" s="137"/>
      <c r="G322" s="58" t="str" cm="1">
        <f>IF(ISBLANK($A322),"",INDEX(Array_MobileCharges,MATCH($A322,List_MobileFuelMeters,0),ROUNDUP((COLUMN()+1)/3-2,0)))</f>
        <v/>
      </c>
      <c r="H322" s="127"/>
      <c r="I322" s="137"/>
      <c r="J322" s="58" t="str" cm="1">
        <f>IF(ISBLANK($A322),"",INDEX(Array_MobileCharges,MATCH($A322,List_MobileFuelMeters,0),ROUNDUP((COLUMN()+1)/3-2,0)))</f>
        <v/>
      </c>
      <c r="K322" s="127"/>
      <c r="L322" s="137"/>
      <c r="M322" s="58" t="str" cm="1">
        <f>IF(ISBLANK($A322),"",INDEX(Array_MobileCharges,MATCH($A322,List_MobileFuelMeters,0),ROUNDUP((COLUMN()+1)/3-2,0)))</f>
        <v/>
      </c>
      <c r="N322" s="127"/>
      <c r="O322" s="137"/>
      <c r="P322" s="58" t="str" cm="1">
        <f>IF(ISBLANK($A322),"",INDEX(Array_MobileCharges,MATCH($A322,List_MobileFuelMeters,0),ROUNDUP((COLUMN()+1)/3-2,0)))</f>
        <v/>
      </c>
      <c r="Q322" s="127"/>
      <c r="R322" s="137"/>
      <c r="S322" s="58" t="str" cm="1">
        <f>IF(ISBLANK($A322),"",INDEX(Array_MobileCharges,MATCH($A322,List_MobileFuelMeters,0),ROUNDUP((COLUMN()+1)/3-2,0)))</f>
        <v/>
      </c>
      <c r="T322" s="127"/>
      <c r="U322" s="137"/>
    </row>
    <row r="323" spans="1:21" x14ac:dyDescent="0.3">
      <c r="A323" s="126"/>
      <c r="B323" s="133"/>
      <c r="C323" s="127"/>
      <c r="D323" s="138"/>
      <c r="E323" s="138"/>
      <c r="F323" s="137"/>
      <c r="G323" s="58" t="str" cm="1">
        <f>IF(ISBLANK($A323),"",INDEX(Array_MobileCharges,MATCH($A323,List_MobileFuelMeters,0),ROUNDUP((COLUMN()+1)/3-2,0)))</f>
        <v/>
      </c>
      <c r="H323" s="127"/>
      <c r="I323" s="137"/>
      <c r="J323" s="58" t="str" cm="1">
        <f>IF(ISBLANK($A323),"",INDEX(Array_MobileCharges,MATCH($A323,List_MobileFuelMeters,0),ROUNDUP((COLUMN()+1)/3-2,0)))</f>
        <v/>
      </c>
      <c r="K323" s="127"/>
      <c r="L323" s="137"/>
      <c r="M323" s="58" t="str" cm="1">
        <f>IF(ISBLANK($A323),"",INDEX(Array_MobileCharges,MATCH($A323,List_MobileFuelMeters,0),ROUNDUP((COLUMN()+1)/3-2,0)))</f>
        <v/>
      </c>
      <c r="N323" s="127"/>
      <c r="O323" s="137"/>
      <c r="P323" s="58" t="str" cm="1">
        <f>IF(ISBLANK($A323),"",INDEX(Array_MobileCharges,MATCH($A323,List_MobileFuelMeters,0),ROUNDUP((COLUMN()+1)/3-2,0)))</f>
        <v/>
      </c>
      <c r="Q323" s="127"/>
      <c r="R323" s="137"/>
      <c r="S323" s="58" t="str" cm="1">
        <f>IF(ISBLANK($A323),"",INDEX(Array_MobileCharges,MATCH($A323,List_MobileFuelMeters,0),ROUNDUP((COLUMN()+1)/3-2,0)))</f>
        <v/>
      </c>
      <c r="T323" s="127"/>
      <c r="U323" s="137"/>
    </row>
    <row r="324" spans="1:21" x14ac:dyDescent="0.3">
      <c r="A324" s="126"/>
      <c r="B324" s="133"/>
      <c r="C324" s="127"/>
      <c r="D324" s="138"/>
      <c r="E324" s="138"/>
      <c r="F324" s="137"/>
      <c r="G324" s="58" t="str" cm="1">
        <f>IF(ISBLANK($A324),"",INDEX(Array_MobileCharges,MATCH($A324,List_MobileFuelMeters,0),ROUNDUP((COLUMN()+1)/3-2,0)))</f>
        <v/>
      </c>
      <c r="H324" s="127"/>
      <c r="I324" s="137"/>
      <c r="J324" s="58" t="str" cm="1">
        <f>IF(ISBLANK($A324),"",INDEX(Array_MobileCharges,MATCH($A324,List_MobileFuelMeters,0),ROUNDUP((COLUMN()+1)/3-2,0)))</f>
        <v/>
      </c>
      <c r="K324" s="127"/>
      <c r="L324" s="137"/>
      <c r="M324" s="58" t="str" cm="1">
        <f>IF(ISBLANK($A324),"",INDEX(Array_MobileCharges,MATCH($A324,List_MobileFuelMeters,0),ROUNDUP((COLUMN()+1)/3-2,0)))</f>
        <v/>
      </c>
      <c r="N324" s="127"/>
      <c r="O324" s="137"/>
      <c r="P324" s="58" t="str" cm="1">
        <f>IF(ISBLANK($A324),"",INDEX(Array_MobileCharges,MATCH($A324,List_MobileFuelMeters,0),ROUNDUP((COLUMN()+1)/3-2,0)))</f>
        <v/>
      </c>
      <c r="Q324" s="127"/>
      <c r="R324" s="137"/>
      <c r="S324" s="58" t="str" cm="1">
        <f>IF(ISBLANK($A324),"",INDEX(Array_MobileCharges,MATCH($A324,List_MobileFuelMeters,0),ROUNDUP((COLUMN()+1)/3-2,0)))</f>
        <v/>
      </c>
      <c r="T324" s="127"/>
      <c r="U324" s="137"/>
    </row>
    <row r="325" spans="1:21" x14ac:dyDescent="0.3">
      <c r="A325" s="126"/>
      <c r="B325" s="133"/>
      <c r="C325" s="127"/>
      <c r="D325" s="138"/>
      <c r="E325" s="138"/>
      <c r="F325" s="137"/>
      <c r="G325" s="58" t="str" cm="1">
        <f>IF(ISBLANK($A325),"",INDEX(Array_MobileCharges,MATCH($A325,List_MobileFuelMeters,0),ROUNDUP((COLUMN()+1)/3-2,0)))</f>
        <v/>
      </c>
      <c r="H325" s="127"/>
      <c r="I325" s="137"/>
      <c r="J325" s="58" t="str" cm="1">
        <f>IF(ISBLANK($A325),"",INDEX(Array_MobileCharges,MATCH($A325,List_MobileFuelMeters,0),ROUNDUP((COLUMN()+1)/3-2,0)))</f>
        <v/>
      </c>
      <c r="K325" s="127"/>
      <c r="L325" s="137"/>
      <c r="M325" s="58" t="str" cm="1">
        <f>IF(ISBLANK($A325),"",INDEX(Array_MobileCharges,MATCH($A325,List_MobileFuelMeters,0),ROUNDUP((COLUMN()+1)/3-2,0)))</f>
        <v/>
      </c>
      <c r="N325" s="127"/>
      <c r="O325" s="137"/>
      <c r="P325" s="58" t="str" cm="1">
        <f>IF(ISBLANK($A325),"",INDEX(Array_MobileCharges,MATCH($A325,List_MobileFuelMeters,0),ROUNDUP((COLUMN()+1)/3-2,0)))</f>
        <v/>
      </c>
      <c r="Q325" s="127"/>
      <c r="R325" s="137"/>
      <c r="S325" s="58" t="str" cm="1">
        <f>IF(ISBLANK($A325),"",INDEX(Array_MobileCharges,MATCH($A325,List_MobileFuelMeters,0),ROUNDUP((COLUMN()+1)/3-2,0)))</f>
        <v/>
      </c>
      <c r="T325" s="127"/>
      <c r="U325" s="137"/>
    </row>
    <row r="326" spans="1:21" x14ac:dyDescent="0.3">
      <c r="A326" s="126"/>
      <c r="B326" s="133"/>
      <c r="C326" s="127"/>
      <c r="D326" s="138"/>
      <c r="E326" s="138"/>
      <c r="F326" s="137"/>
      <c r="G326" s="58" t="str" cm="1">
        <f>IF(ISBLANK($A326),"",INDEX(Array_MobileCharges,MATCH($A326,List_MobileFuelMeters,0),ROUNDUP((COLUMN()+1)/3-2,0)))</f>
        <v/>
      </c>
      <c r="H326" s="127"/>
      <c r="I326" s="137"/>
      <c r="J326" s="58" t="str" cm="1">
        <f>IF(ISBLANK($A326),"",INDEX(Array_MobileCharges,MATCH($A326,List_MobileFuelMeters,0),ROUNDUP((COLUMN()+1)/3-2,0)))</f>
        <v/>
      </c>
      <c r="K326" s="127"/>
      <c r="L326" s="137"/>
      <c r="M326" s="58" t="str" cm="1">
        <f>IF(ISBLANK($A326),"",INDEX(Array_MobileCharges,MATCH($A326,List_MobileFuelMeters,0),ROUNDUP((COLUMN()+1)/3-2,0)))</f>
        <v/>
      </c>
      <c r="N326" s="127"/>
      <c r="O326" s="137"/>
      <c r="P326" s="58" t="str" cm="1">
        <f>IF(ISBLANK($A326),"",INDEX(Array_MobileCharges,MATCH($A326,List_MobileFuelMeters,0),ROUNDUP((COLUMN()+1)/3-2,0)))</f>
        <v/>
      </c>
      <c r="Q326" s="127"/>
      <c r="R326" s="137"/>
      <c r="S326" s="58" t="str" cm="1">
        <f>IF(ISBLANK($A326),"",INDEX(Array_MobileCharges,MATCH($A326,List_MobileFuelMeters,0),ROUNDUP((COLUMN()+1)/3-2,0)))</f>
        <v/>
      </c>
      <c r="T326" s="127"/>
      <c r="U326" s="137"/>
    </row>
    <row r="327" spans="1:21" x14ac:dyDescent="0.3">
      <c r="A327" s="126"/>
      <c r="B327" s="133"/>
      <c r="C327" s="127"/>
      <c r="D327" s="138"/>
      <c r="E327" s="138"/>
      <c r="F327" s="137"/>
      <c r="G327" s="58" t="str" cm="1">
        <f>IF(ISBLANK($A327),"",INDEX(Array_MobileCharges,MATCH($A327,List_MobileFuelMeters,0),ROUNDUP((COLUMN()+1)/3-2,0)))</f>
        <v/>
      </c>
      <c r="H327" s="127"/>
      <c r="I327" s="137"/>
      <c r="J327" s="58" t="str" cm="1">
        <f>IF(ISBLANK($A327),"",INDEX(Array_MobileCharges,MATCH($A327,List_MobileFuelMeters,0),ROUNDUP((COLUMN()+1)/3-2,0)))</f>
        <v/>
      </c>
      <c r="K327" s="127"/>
      <c r="L327" s="137"/>
      <c r="M327" s="58" t="str" cm="1">
        <f>IF(ISBLANK($A327),"",INDEX(Array_MobileCharges,MATCH($A327,List_MobileFuelMeters,0),ROUNDUP((COLUMN()+1)/3-2,0)))</f>
        <v/>
      </c>
      <c r="N327" s="127"/>
      <c r="O327" s="137"/>
      <c r="P327" s="58" t="str" cm="1">
        <f>IF(ISBLANK($A327),"",INDEX(Array_MobileCharges,MATCH($A327,List_MobileFuelMeters,0),ROUNDUP((COLUMN()+1)/3-2,0)))</f>
        <v/>
      </c>
      <c r="Q327" s="127"/>
      <c r="R327" s="137"/>
      <c r="S327" s="58" t="str" cm="1">
        <f>IF(ISBLANK($A327),"",INDEX(Array_MobileCharges,MATCH($A327,List_MobileFuelMeters,0),ROUNDUP((COLUMN()+1)/3-2,0)))</f>
        <v/>
      </c>
      <c r="T327" s="127"/>
      <c r="U327" s="137"/>
    </row>
    <row r="328" spans="1:21" x14ac:dyDescent="0.3">
      <c r="A328" s="126"/>
      <c r="B328" s="133"/>
      <c r="C328" s="127"/>
      <c r="D328" s="138"/>
      <c r="E328" s="138"/>
      <c r="F328" s="137"/>
      <c r="G328" s="58" t="str" cm="1">
        <f>IF(ISBLANK($A328),"",INDEX(Array_MobileCharges,MATCH($A328,List_MobileFuelMeters,0),ROUNDUP((COLUMN()+1)/3-2,0)))</f>
        <v/>
      </c>
      <c r="H328" s="127"/>
      <c r="I328" s="137"/>
      <c r="J328" s="58" t="str" cm="1">
        <f>IF(ISBLANK($A328),"",INDEX(Array_MobileCharges,MATCH($A328,List_MobileFuelMeters,0),ROUNDUP((COLUMN()+1)/3-2,0)))</f>
        <v/>
      </c>
      <c r="K328" s="127"/>
      <c r="L328" s="137"/>
      <c r="M328" s="58" t="str" cm="1">
        <f>IF(ISBLANK($A328),"",INDEX(Array_MobileCharges,MATCH($A328,List_MobileFuelMeters,0),ROUNDUP((COLUMN()+1)/3-2,0)))</f>
        <v/>
      </c>
      <c r="N328" s="127"/>
      <c r="O328" s="137"/>
      <c r="P328" s="58" t="str" cm="1">
        <f>IF(ISBLANK($A328),"",INDEX(Array_MobileCharges,MATCH($A328,List_MobileFuelMeters,0),ROUNDUP((COLUMN()+1)/3-2,0)))</f>
        <v/>
      </c>
      <c r="Q328" s="127"/>
      <c r="R328" s="137"/>
      <c r="S328" s="58" t="str" cm="1">
        <f>IF(ISBLANK($A328),"",INDEX(Array_MobileCharges,MATCH($A328,List_MobileFuelMeters,0),ROUNDUP((COLUMN()+1)/3-2,0)))</f>
        <v/>
      </c>
      <c r="T328" s="127"/>
      <c r="U328" s="137"/>
    </row>
    <row r="329" spans="1:21" x14ac:dyDescent="0.3">
      <c r="A329" s="126"/>
      <c r="B329" s="133"/>
      <c r="C329" s="127"/>
      <c r="D329" s="138"/>
      <c r="E329" s="138"/>
      <c r="F329" s="137"/>
      <c r="G329" s="58" t="str" cm="1">
        <f>IF(ISBLANK($A329),"",INDEX(Array_MobileCharges,MATCH($A329,List_MobileFuelMeters,0),ROUNDUP((COLUMN()+1)/3-2,0)))</f>
        <v/>
      </c>
      <c r="H329" s="127"/>
      <c r="I329" s="137"/>
      <c r="J329" s="58" t="str" cm="1">
        <f>IF(ISBLANK($A329),"",INDEX(Array_MobileCharges,MATCH($A329,List_MobileFuelMeters,0),ROUNDUP((COLUMN()+1)/3-2,0)))</f>
        <v/>
      </c>
      <c r="K329" s="127"/>
      <c r="L329" s="137"/>
      <c r="M329" s="58" t="str" cm="1">
        <f>IF(ISBLANK($A329),"",INDEX(Array_MobileCharges,MATCH($A329,List_MobileFuelMeters,0),ROUNDUP((COLUMN()+1)/3-2,0)))</f>
        <v/>
      </c>
      <c r="N329" s="127"/>
      <c r="O329" s="137"/>
      <c r="P329" s="58" t="str" cm="1">
        <f>IF(ISBLANK($A329),"",INDEX(Array_MobileCharges,MATCH($A329,List_MobileFuelMeters,0),ROUNDUP((COLUMN()+1)/3-2,0)))</f>
        <v/>
      </c>
      <c r="Q329" s="127"/>
      <c r="R329" s="137"/>
      <c r="S329" s="58" t="str" cm="1">
        <f>IF(ISBLANK($A329),"",INDEX(Array_MobileCharges,MATCH($A329,List_MobileFuelMeters,0),ROUNDUP((COLUMN()+1)/3-2,0)))</f>
        <v/>
      </c>
      <c r="T329" s="127"/>
      <c r="U329" s="137"/>
    </row>
    <row r="330" spans="1:21" x14ac:dyDescent="0.3">
      <c r="A330" s="126"/>
      <c r="B330" s="133"/>
      <c r="C330" s="127"/>
      <c r="D330" s="138"/>
      <c r="E330" s="138"/>
      <c r="F330" s="137"/>
      <c r="G330" s="58" t="str" cm="1">
        <f>IF(ISBLANK($A330),"",INDEX(Array_MobileCharges,MATCH($A330,List_MobileFuelMeters,0),ROUNDUP((COLUMN()+1)/3-2,0)))</f>
        <v/>
      </c>
      <c r="H330" s="127"/>
      <c r="I330" s="137"/>
      <c r="J330" s="58" t="str" cm="1">
        <f>IF(ISBLANK($A330),"",INDEX(Array_MobileCharges,MATCH($A330,List_MobileFuelMeters,0),ROUNDUP((COLUMN()+1)/3-2,0)))</f>
        <v/>
      </c>
      <c r="K330" s="127"/>
      <c r="L330" s="137"/>
      <c r="M330" s="58" t="str" cm="1">
        <f>IF(ISBLANK($A330),"",INDEX(Array_MobileCharges,MATCH($A330,List_MobileFuelMeters,0),ROUNDUP((COLUMN()+1)/3-2,0)))</f>
        <v/>
      </c>
      <c r="N330" s="127"/>
      <c r="O330" s="137"/>
      <c r="P330" s="58" t="str" cm="1">
        <f>IF(ISBLANK($A330),"",INDEX(Array_MobileCharges,MATCH($A330,List_MobileFuelMeters,0),ROUNDUP((COLUMN()+1)/3-2,0)))</f>
        <v/>
      </c>
      <c r="Q330" s="127"/>
      <c r="R330" s="137"/>
      <c r="S330" s="58" t="str" cm="1">
        <f>IF(ISBLANK($A330),"",INDEX(Array_MobileCharges,MATCH($A330,List_MobileFuelMeters,0),ROUNDUP((COLUMN()+1)/3-2,0)))</f>
        <v/>
      </c>
      <c r="T330" s="127"/>
      <c r="U330" s="137"/>
    </row>
    <row r="331" spans="1:21" x14ac:dyDescent="0.3">
      <c r="A331" s="126"/>
      <c r="B331" s="133"/>
      <c r="C331" s="127"/>
      <c r="D331" s="138"/>
      <c r="E331" s="138"/>
      <c r="F331" s="137"/>
      <c r="G331" s="58" t="str" cm="1">
        <f>IF(ISBLANK($A331),"",INDEX(Array_MobileCharges,MATCH($A331,List_MobileFuelMeters,0),ROUNDUP((COLUMN()+1)/3-2,0)))</f>
        <v/>
      </c>
      <c r="H331" s="127"/>
      <c r="I331" s="137"/>
      <c r="J331" s="58" t="str" cm="1">
        <f>IF(ISBLANK($A331),"",INDEX(Array_MobileCharges,MATCH($A331,List_MobileFuelMeters,0),ROUNDUP((COLUMN()+1)/3-2,0)))</f>
        <v/>
      </c>
      <c r="K331" s="127"/>
      <c r="L331" s="137"/>
      <c r="M331" s="58" t="str" cm="1">
        <f>IF(ISBLANK($A331),"",INDEX(Array_MobileCharges,MATCH($A331,List_MobileFuelMeters,0),ROUNDUP((COLUMN()+1)/3-2,0)))</f>
        <v/>
      </c>
      <c r="N331" s="127"/>
      <c r="O331" s="137"/>
      <c r="P331" s="58" t="str" cm="1">
        <f>IF(ISBLANK($A331),"",INDEX(Array_MobileCharges,MATCH($A331,List_MobileFuelMeters,0),ROUNDUP((COLUMN()+1)/3-2,0)))</f>
        <v/>
      </c>
      <c r="Q331" s="127"/>
      <c r="R331" s="137"/>
      <c r="S331" s="58" t="str" cm="1">
        <f>IF(ISBLANK($A331),"",INDEX(Array_MobileCharges,MATCH($A331,List_MobileFuelMeters,0),ROUNDUP((COLUMN()+1)/3-2,0)))</f>
        <v/>
      </c>
      <c r="T331" s="127"/>
      <c r="U331" s="137"/>
    </row>
    <row r="332" spans="1:21" x14ac:dyDescent="0.3">
      <c r="A332" s="126"/>
      <c r="B332" s="133"/>
      <c r="C332" s="127"/>
      <c r="D332" s="138"/>
      <c r="E332" s="138"/>
      <c r="F332" s="137"/>
      <c r="G332" s="58" t="str" cm="1">
        <f>IF(ISBLANK($A332),"",INDEX(Array_MobileCharges,MATCH($A332,List_MobileFuelMeters,0),ROUNDUP((COLUMN()+1)/3-2,0)))</f>
        <v/>
      </c>
      <c r="H332" s="127"/>
      <c r="I332" s="137"/>
      <c r="J332" s="58" t="str" cm="1">
        <f>IF(ISBLANK($A332),"",INDEX(Array_MobileCharges,MATCH($A332,List_MobileFuelMeters,0),ROUNDUP((COLUMN()+1)/3-2,0)))</f>
        <v/>
      </c>
      <c r="K332" s="127"/>
      <c r="L332" s="137"/>
      <c r="M332" s="58" t="str" cm="1">
        <f>IF(ISBLANK($A332),"",INDEX(Array_MobileCharges,MATCH($A332,List_MobileFuelMeters,0),ROUNDUP((COLUMN()+1)/3-2,0)))</f>
        <v/>
      </c>
      <c r="N332" s="127"/>
      <c r="O332" s="137"/>
      <c r="P332" s="58" t="str" cm="1">
        <f>IF(ISBLANK($A332),"",INDEX(Array_MobileCharges,MATCH($A332,List_MobileFuelMeters,0),ROUNDUP((COLUMN()+1)/3-2,0)))</f>
        <v/>
      </c>
      <c r="Q332" s="127"/>
      <c r="R332" s="137"/>
      <c r="S332" s="58" t="str" cm="1">
        <f>IF(ISBLANK($A332),"",INDEX(Array_MobileCharges,MATCH($A332,List_MobileFuelMeters,0),ROUNDUP((COLUMN()+1)/3-2,0)))</f>
        <v/>
      </c>
      <c r="T332" s="127"/>
      <c r="U332" s="137"/>
    </row>
    <row r="333" spans="1:21" x14ac:dyDescent="0.3">
      <c r="A333" s="126"/>
      <c r="B333" s="133"/>
      <c r="C333" s="127"/>
      <c r="D333" s="138"/>
      <c r="E333" s="138"/>
      <c r="F333" s="137"/>
      <c r="G333" s="58" t="str" cm="1">
        <f>IF(ISBLANK($A333),"",INDEX(Array_MobileCharges,MATCH($A333,List_MobileFuelMeters,0),ROUNDUP((COLUMN()+1)/3-2,0)))</f>
        <v/>
      </c>
      <c r="H333" s="127"/>
      <c r="I333" s="137"/>
      <c r="J333" s="58" t="str" cm="1">
        <f>IF(ISBLANK($A333),"",INDEX(Array_MobileCharges,MATCH($A333,List_MobileFuelMeters,0),ROUNDUP((COLUMN()+1)/3-2,0)))</f>
        <v/>
      </c>
      <c r="K333" s="127"/>
      <c r="L333" s="137"/>
      <c r="M333" s="58" t="str" cm="1">
        <f>IF(ISBLANK($A333),"",INDEX(Array_MobileCharges,MATCH($A333,List_MobileFuelMeters,0),ROUNDUP((COLUMN()+1)/3-2,0)))</f>
        <v/>
      </c>
      <c r="N333" s="127"/>
      <c r="O333" s="137"/>
      <c r="P333" s="58" t="str" cm="1">
        <f>IF(ISBLANK($A333),"",INDEX(Array_MobileCharges,MATCH($A333,List_MobileFuelMeters,0),ROUNDUP((COLUMN()+1)/3-2,0)))</f>
        <v/>
      </c>
      <c r="Q333" s="127"/>
      <c r="R333" s="137"/>
      <c r="S333" s="58" t="str" cm="1">
        <f>IF(ISBLANK($A333),"",INDEX(Array_MobileCharges,MATCH($A333,List_MobileFuelMeters,0),ROUNDUP((COLUMN()+1)/3-2,0)))</f>
        <v/>
      </c>
      <c r="T333" s="127"/>
      <c r="U333" s="137"/>
    </row>
    <row r="334" spans="1:21" x14ac:dyDescent="0.3">
      <c r="A334" s="126"/>
      <c r="B334" s="133"/>
      <c r="C334" s="127"/>
      <c r="D334" s="138"/>
      <c r="E334" s="138"/>
      <c r="F334" s="137"/>
      <c r="G334" s="58" t="str" cm="1">
        <f>IF(ISBLANK($A334),"",INDEX(Array_MobileCharges,MATCH($A334,List_MobileFuelMeters,0),ROUNDUP((COLUMN()+1)/3-2,0)))</f>
        <v/>
      </c>
      <c r="H334" s="127"/>
      <c r="I334" s="137"/>
      <c r="J334" s="58" t="str" cm="1">
        <f>IF(ISBLANK($A334),"",INDEX(Array_MobileCharges,MATCH($A334,List_MobileFuelMeters,0),ROUNDUP((COLUMN()+1)/3-2,0)))</f>
        <v/>
      </c>
      <c r="K334" s="127"/>
      <c r="L334" s="137"/>
      <c r="M334" s="58" t="str" cm="1">
        <f>IF(ISBLANK($A334),"",INDEX(Array_MobileCharges,MATCH($A334,List_MobileFuelMeters,0),ROUNDUP((COLUMN()+1)/3-2,0)))</f>
        <v/>
      </c>
      <c r="N334" s="127"/>
      <c r="O334" s="137"/>
      <c r="P334" s="58" t="str" cm="1">
        <f>IF(ISBLANK($A334),"",INDEX(Array_MobileCharges,MATCH($A334,List_MobileFuelMeters,0),ROUNDUP((COLUMN()+1)/3-2,0)))</f>
        <v/>
      </c>
      <c r="Q334" s="127"/>
      <c r="R334" s="137"/>
      <c r="S334" s="58" t="str" cm="1">
        <f>IF(ISBLANK($A334),"",INDEX(Array_MobileCharges,MATCH($A334,List_MobileFuelMeters,0),ROUNDUP((COLUMN()+1)/3-2,0)))</f>
        <v/>
      </c>
      <c r="T334" s="127"/>
      <c r="U334" s="137"/>
    </row>
    <row r="335" spans="1:21" x14ac:dyDescent="0.3">
      <c r="A335" s="126"/>
      <c r="B335" s="133"/>
      <c r="C335" s="127"/>
      <c r="D335" s="138"/>
      <c r="E335" s="138"/>
      <c r="F335" s="137"/>
      <c r="G335" s="58" t="str" cm="1">
        <f>IF(ISBLANK($A335),"",INDEX(Array_MobileCharges,MATCH($A335,List_MobileFuelMeters,0),ROUNDUP((COLUMN()+1)/3-2,0)))</f>
        <v/>
      </c>
      <c r="H335" s="127"/>
      <c r="I335" s="137"/>
      <c r="J335" s="58" t="str" cm="1">
        <f>IF(ISBLANK($A335),"",INDEX(Array_MobileCharges,MATCH($A335,List_MobileFuelMeters,0),ROUNDUP((COLUMN()+1)/3-2,0)))</f>
        <v/>
      </c>
      <c r="K335" s="127"/>
      <c r="L335" s="137"/>
      <c r="M335" s="58" t="str" cm="1">
        <f>IF(ISBLANK($A335),"",INDEX(Array_MobileCharges,MATCH($A335,List_MobileFuelMeters,0),ROUNDUP((COLUMN()+1)/3-2,0)))</f>
        <v/>
      </c>
      <c r="N335" s="127"/>
      <c r="O335" s="137"/>
      <c r="P335" s="58" t="str" cm="1">
        <f>IF(ISBLANK($A335),"",INDEX(Array_MobileCharges,MATCH($A335,List_MobileFuelMeters,0),ROUNDUP((COLUMN()+1)/3-2,0)))</f>
        <v/>
      </c>
      <c r="Q335" s="127"/>
      <c r="R335" s="137"/>
      <c r="S335" s="58" t="str" cm="1">
        <f>IF(ISBLANK($A335),"",INDEX(Array_MobileCharges,MATCH($A335,List_MobileFuelMeters,0),ROUNDUP((COLUMN()+1)/3-2,0)))</f>
        <v/>
      </c>
      <c r="T335" s="127"/>
      <c r="U335" s="137"/>
    </row>
    <row r="336" spans="1:21" x14ac:dyDescent="0.3">
      <c r="A336" s="126"/>
      <c r="B336" s="133"/>
      <c r="C336" s="127"/>
      <c r="D336" s="138"/>
      <c r="E336" s="138"/>
      <c r="F336" s="137"/>
      <c r="G336" s="58" t="str" cm="1">
        <f>IF(ISBLANK($A336),"",INDEX(Array_MobileCharges,MATCH($A336,List_MobileFuelMeters,0),ROUNDUP((COLUMN()+1)/3-2,0)))</f>
        <v/>
      </c>
      <c r="H336" s="127"/>
      <c r="I336" s="137"/>
      <c r="J336" s="58" t="str" cm="1">
        <f>IF(ISBLANK($A336),"",INDEX(Array_MobileCharges,MATCH($A336,List_MobileFuelMeters,0),ROUNDUP((COLUMN()+1)/3-2,0)))</f>
        <v/>
      </c>
      <c r="K336" s="127"/>
      <c r="L336" s="137"/>
      <c r="M336" s="58" t="str" cm="1">
        <f>IF(ISBLANK($A336),"",INDEX(Array_MobileCharges,MATCH($A336,List_MobileFuelMeters,0),ROUNDUP((COLUMN()+1)/3-2,0)))</f>
        <v/>
      </c>
      <c r="N336" s="127"/>
      <c r="O336" s="137"/>
      <c r="P336" s="58" t="str" cm="1">
        <f>IF(ISBLANK($A336),"",INDEX(Array_MobileCharges,MATCH($A336,List_MobileFuelMeters,0),ROUNDUP((COLUMN()+1)/3-2,0)))</f>
        <v/>
      </c>
      <c r="Q336" s="127"/>
      <c r="R336" s="137"/>
      <c r="S336" s="58" t="str" cm="1">
        <f>IF(ISBLANK($A336),"",INDEX(Array_MobileCharges,MATCH($A336,List_MobileFuelMeters,0),ROUNDUP((COLUMN()+1)/3-2,0)))</f>
        <v/>
      </c>
      <c r="T336" s="127"/>
      <c r="U336" s="137"/>
    </row>
    <row r="337" spans="1:21" x14ac:dyDescent="0.3">
      <c r="A337" s="126"/>
      <c r="B337" s="133"/>
      <c r="C337" s="127"/>
      <c r="D337" s="138"/>
      <c r="E337" s="138"/>
      <c r="F337" s="137"/>
      <c r="G337" s="58" t="str" cm="1">
        <f>IF(ISBLANK($A337),"",INDEX(Array_MobileCharges,MATCH($A337,List_MobileFuelMeters,0),ROUNDUP((COLUMN()+1)/3-2,0)))</f>
        <v/>
      </c>
      <c r="H337" s="127"/>
      <c r="I337" s="137"/>
      <c r="J337" s="58" t="str" cm="1">
        <f>IF(ISBLANK($A337),"",INDEX(Array_MobileCharges,MATCH($A337,List_MobileFuelMeters,0),ROUNDUP((COLUMN()+1)/3-2,0)))</f>
        <v/>
      </c>
      <c r="K337" s="127"/>
      <c r="L337" s="137"/>
      <c r="M337" s="58" t="str" cm="1">
        <f>IF(ISBLANK($A337),"",INDEX(Array_MobileCharges,MATCH($A337,List_MobileFuelMeters,0),ROUNDUP((COLUMN()+1)/3-2,0)))</f>
        <v/>
      </c>
      <c r="N337" s="127"/>
      <c r="O337" s="137"/>
      <c r="P337" s="58" t="str" cm="1">
        <f>IF(ISBLANK($A337),"",INDEX(Array_MobileCharges,MATCH($A337,List_MobileFuelMeters,0),ROUNDUP((COLUMN()+1)/3-2,0)))</f>
        <v/>
      </c>
      <c r="Q337" s="127"/>
      <c r="R337" s="137"/>
      <c r="S337" s="58" t="str" cm="1">
        <f>IF(ISBLANK($A337),"",INDEX(Array_MobileCharges,MATCH($A337,List_MobileFuelMeters,0),ROUNDUP((COLUMN()+1)/3-2,0)))</f>
        <v/>
      </c>
      <c r="T337" s="127"/>
      <c r="U337" s="137"/>
    </row>
    <row r="338" spans="1:21" x14ac:dyDescent="0.3">
      <c r="A338" s="126"/>
      <c r="B338" s="133"/>
      <c r="C338" s="127"/>
      <c r="D338" s="138"/>
      <c r="E338" s="138"/>
      <c r="F338" s="137"/>
      <c r="G338" s="58" t="str" cm="1">
        <f>IF(ISBLANK($A338),"",INDEX(Array_MobileCharges,MATCH($A338,List_MobileFuelMeters,0),ROUNDUP((COLUMN()+1)/3-2,0)))</f>
        <v/>
      </c>
      <c r="H338" s="127"/>
      <c r="I338" s="137"/>
      <c r="J338" s="58" t="str" cm="1">
        <f>IF(ISBLANK($A338),"",INDEX(Array_MobileCharges,MATCH($A338,List_MobileFuelMeters,0),ROUNDUP((COLUMN()+1)/3-2,0)))</f>
        <v/>
      </c>
      <c r="K338" s="127"/>
      <c r="L338" s="137"/>
      <c r="M338" s="58" t="str" cm="1">
        <f>IF(ISBLANK($A338),"",INDEX(Array_MobileCharges,MATCH($A338,List_MobileFuelMeters,0),ROUNDUP((COLUMN()+1)/3-2,0)))</f>
        <v/>
      </c>
      <c r="N338" s="127"/>
      <c r="O338" s="137"/>
      <c r="P338" s="58" t="str" cm="1">
        <f>IF(ISBLANK($A338),"",INDEX(Array_MobileCharges,MATCH($A338,List_MobileFuelMeters,0),ROUNDUP((COLUMN()+1)/3-2,0)))</f>
        <v/>
      </c>
      <c r="Q338" s="127"/>
      <c r="R338" s="137"/>
      <c r="S338" s="58" t="str" cm="1">
        <f>IF(ISBLANK($A338),"",INDEX(Array_MobileCharges,MATCH($A338,List_MobileFuelMeters,0),ROUNDUP((COLUMN()+1)/3-2,0)))</f>
        <v/>
      </c>
      <c r="T338" s="127"/>
      <c r="U338" s="137"/>
    </row>
    <row r="339" spans="1:21" x14ac:dyDescent="0.3">
      <c r="A339" s="126"/>
      <c r="B339" s="133"/>
      <c r="C339" s="127"/>
      <c r="D339" s="138"/>
      <c r="E339" s="138"/>
      <c r="F339" s="137"/>
      <c r="G339" s="58" t="str" cm="1">
        <f>IF(ISBLANK($A339),"",INDEX(Array_MobileCharges,MATCH($A339,List_MobileFuelMeters,0),ROUNDUP((COLUMN()+1)/3-2,0)))</f>
        <v/>
      </c>
      <c r="H339" s="127"/>
      <c r="I339" s="137"/>
      <c r="J339" s="58" t="str" cm="1">
        <f>IF(ISBLANK($A339),"",INDEX(Array_MobileCharges,MATCH($A339,List_MobileFuelMeters,0),ROUNDUP((COLUMN()+1)/3-2,0)))</f>
        <v/>
      </c>
      <c r="K339" s="127"/>
      <c r="L339" s="137"/>
      <c r="M339" s="58" t="str" cm="1">
        <f>IF(ISBLANK($A339),"",INDEX(Array_MobileCharges,MATCH($A339,List_MobileFuelMeters,0),ROUNDUP((COLUMN()+1)/3-2,0)))</f>
        <v/>
      </c>
      <c r="N339" s="127"/>
      <c r="O339" s="137"/>
      <c r="P339" s="58" t="str" cm="1">
        <f>IF(ISBLANK($A339),"",INDEX(Array_MobileCharges,MATCH($A339,List_MobileFuelMeters,0),ROUNDUP((COLUMN()+1)/3-2,0)))</f>
        <v/>
      </c>
      <c r="Q339" s="127"/>
      <c r="R339" s="137"/>
      <c r="S339" s="58" t="str" cm="1">
        <f>IF(ISBLANK($A339),"",INDEX(Array_MobileCharges,MATCH($A339,List_MobileFuelMeters,0),ROUNDUP((COLUMN()+1)/3-2,0)))</f>
        <v/>
      </c>
      <c r="T339" s="127"/>
      <c r="U339" s="137"/>
    </row>
    <row r="340" spans="1:21" x14ac:dyDescent="0.3">
      <c r="A340" s="126"/>
      <c r="B340" s="133"/>
      <c r="C340" s="127"/>
      <c r="D340" s="138"/>
      <c r="E340" s="138"/>
      <c r="F340" s="137"/>
      <c r="G340" s="58" t="str" cm="1">
        <f>IF(ISBLANK($A340),"",INDEX(Array_MobileCharges,MATCH($A340,List_MobileFuelMeters,0),ROUNDUP((COLUMN()+1)/3-2,0)))</f>
        <v/>
      </c>
      <c r="H340" s="127"/>
      <c r="I340" s="137"/>
      <c r="J340" s="58" t="str" cm="1">
        <f>IF(ISBLANK($A340),"",INDEX(Array_MobileCharges,MATCH($A340,List_MobileFuelMeters,0),ROUNDUP((COLUMN()+1)/3-2,0)))</f>
        <v/>
      </c>
      <c r="K340" s="127"/>
      <c r="L340" s="137"/>
      <c r="M340" s="58" t="str" cm="1">
        <f>IF(ISBLANK($A340),"",INDEX(Array_MobileCharges,MATCH($A340,List_MobileFuelMeters,0),ROUNDUP((COLUMN()+1)/3-2,0)))</f>
        <v/>
      </c>
      <c r="N340" s="127"/>
      <c r="O340" s="137"/>
      <c r="P340" s="58" t="str" cm="1">
        <f>IF(ISBLANK($A340),"",INDEX(Array_MobileCharges,MATCH($A340,List_MobileFuelMeters,0),ROUNDUP((COLUMN()+1)/3-2,0)))</f>
        <v/>
      </c>
      <c r="Q340" s="127"/>
      <c r="R340" s="137"/>
      <c r="S340" s="58" t="str" cm="1">
        <f>IF(ISBLANK($A340),"",INDEX(Array_MobileCharges,MATCH($A340,List_MobileFuelMeters,0),ROUNDUP((COLUMN()+1)/3-2,0)))</f>
        <v/>
      </c>
      <c r="T340" s="127"/>
      <c r="U340" s="137"/>
    </row>
    <row r="341" spans="1:21" x14ac:dyDescent="0.3">
      <c r="A341" s="126"/>
      <c r="B341" s="133"/>
      <c r="C341" s="127"/>
      <c r="D341" s="138"/>
      <c r="E341" s="138"/>
      <c r="F341" s="137"/>
      <c r="G341" s="58" t="str" cm="1">
        <f>IF(ISBLANK($A341),"",INDEX(Array_MobileCharges,MATCH($A341,List_MobileFuelMeters,0),ROUNDUP((COLUMN()+1)/3-2,0)))</f>
        <v/>
      </c>
      <c r="H341" s="127"/>
      <c r="I341" s="137"/>
      <c r="J341" s="58" t="str" cm="1">
        <f>IF(ISBLANK($A341),"",INDEX(Array_MobileCharges,MATCH($A341,List_MobileFuelMeters,0),ROUNDUP((COLUMN()+1)/3-2,0)))</f>
        <v/>
      </c>
      <c r="K341" s="127"/>
      <c r="L341" s="137"/>
      <c r="M341" s="58" t="str" cm="1">
        <f>IF(ISBLANK($A341),"",INDEX(Array_MobileCharges,MATCH($A341,List_MobileFuelMeters,0),ROUNDUP((COLUMN()+1)/3-2,0)))</f>
        <v/>
      </c>
      <c r="N341" s="127"/>
      <c r="O341" s="137"/>
      <c r="P341" s="58" t="str" cm="1">
        <f>IF(ISBLANK($A341),"",INDEX(Array_MobileCharges,MATCH($A341,List_MobileFuelMeters,0),ROUNDUP((COLUMN()+1)/3-2,0)))</f>
        <v/>
      </c>
      <c r="Q341" s="127"/>
      <c r="R341" s="137"/>
      <c r="S341" s="58" t="str" cm="1">
        <f>IF(ISBLANK($A341),"",INDEX(Array_MobileCharges,MATCH($A341,List_MobileFuelMeters,0),ROUNDUP((COLUMN()+1)/3-2,0)))</f>
        <v/>
      </c>
      <c r="T341" s="127"/>
      <c r="U341" s="137"/>
    </row>
    <row r="342" spans="1:21" x14ac:dyDescent="0.3">
      <c r="A342" s="126"/>
      <c r="B342" s="133"/>
      <c r="C342" s="127"/>
      <c r="D342" s="138"/>
      <c r="E342" s="138"/>
      <c r="F342" s="137"/>
      <c r="G342" s="58" t="str" cm="1">
        <f>IF(ISBLANK($A342),"",INDEX(Array_MobileCharges,MATCH($A342,List_MobileFuelMeters,0),ROUNDUP((COLUMN()+1)/3-2,0)))</f>
        <v/>
      </c>
      <c r="H342" s="127"/>
      <c r="I342" s="137"/>
      <c r="J342" s="58" t="str" cm="1">
        <f>IF(ISBLANK($A342),"",INDEX(Array_MobileCharges,MATCH($A342,List_MobileFuelMeters,0),ROUNDUP((COLUMN()+1)/3-2,0)))</f>
        <v/>
      </c>
      <c r="K342" s="127"/>
      <c r="L342" s="137"/>
      <c r="M342" s="58" t="str" cm="1">
        <f>IF(ISBLANK($A342),"",INDEX(Array_MobileCharges,MATCH($A342,List_MobileFuelMeters,0),ROUNDUP((COLUMN()+1)/3-2,0)))</f>
        <v/>
      </c>
      <c r="N342" s="127"/>
      <c r="O342" s="137"/>
      <c r="P342" s="58" t="str" cm="1">
        <f>IF(ISBLANK($A342),"",INDEX(Array_MobileCharges,MATCH($A342,List_MobileFuelMeters,0),ROUNDUP((COLUMN()+1)/3-2,0)))</f>
        <v/>
      </c>
      <c r="Q342" s="127"/>
      <c r="R342" s="137"/>
      <c r="S342" s="58" t="str" cm="1">
        <f>IF(ISBLANK($A342),"",INDEX(Array_MobileCharges,MATCH($A342,List_MobileFuelMeters,0),ROUNDUP((COLUMN()+1)/3-2,0)))</f>
        <v/>
      </c>
      <c r="T342" s="127"/>
      <c r="U342" s="137"/>
    </row>
    <row r="343" spans="1:21" x14ac:dyDescent="0.3">
      <c r="A343" s="126"/>
      <c r="B343" s="133"/>
      <c r="C343" s="127"/>
      <c r="D343" s="138"/>
      <c r="E343" s="138"/>
      <c r="F343" s="137"/>
      <c r="G343" s="58" t="str" cm="1">
        <f>IF(ISBLANK($A343),"",INDEX(Array_MobileCharges,MATCH($A343,List_MobileFuelMeters,0),ROUNDUP((COLUMN()+1)/3-2,0)))</f>
        <v/>
      </c>
      <c r="H343" s="127"/>
      <c r="I343" s="137"/>
      <c r="J343" s="58" t="str" cm="1">
        <f>IF(ISBLANK($A343),"",INDEX(Array_MobileCharges,MATCH($A343,List_MobileFuelMeters,0),ROUNDUP((COLUMN()+1)/3-2,0)))</f>
        <v/>
      </c>
      <c r="K343" s="127"/>
      <c r="L343" s="137"/>
      <c r="M343" s="58" t="str" cm="1">
        <f>IF(ISBLANK($A343),"",INDEX(Array_MobileCharges,MATCH($A343,List_MobileFuelMeters,0),ROUNDUP((COLUMN()+1)/3-2,0)))</f>
        <v/>
      </c>
      <c r="N343" s="127"/>
      <c r="O343" s="137"/>
      <c r="P343" s="58" t="str" cm="1">
        <f>IF(ISBLANK($A343),"",INDEX(Array_MobileCharges,MATCH($A343,List_MobileFuelMeters,0),ROUNDUP((COLUMN()+1)/3-2,0)))</f>
        <v/>
      </c>
      <c r="Q343" s="127"/>
      <c r="R343" s="137"/>
      <c r="S343" s="58" t="str" cm="1">
        <f>IF(ISBLANK($A343),"",INDEX(Array_MobileCharges,MATCH($A343,List_MobileFuelMeters,0),ROUNDUP((COLUMN()+1)/3-2,0)))</f>
        <v/>
      </c>
      <c r="T343" s="127"/>
      <c r="U343" s="137"/>
    </row>
    <row r="344" spans="1:21" x14ac:dyDescent="0.3">
      <c r="A344" s="126"/>
      <c r="B344" s="133"/>
      <c r="C344" s="127"/>
      <c r="D344" s="138"/>
      <c r="E344" s="138"/>
      <c r="F344" s="137"/>
      <c r="G344" s="58" t="str" cm="1">
        <f>IF(ISBLANK($A344),"",INDEX(Array_MobileCharges,MATCH($A344,List_MobileFuelMeters,0),ROUNDUP((COLUMN()+1)/3-2,0)))</f>
        <v/>
      </c>
      <c r="H344" s="127"/>
      <c r="I344" s="137"/>
      <c r="J344" s="58" t="str" cm="1">
        <f>IF(ISBLANK($A344),"",INDEX(Array_MobileCharges,MATCH($A344,List_MobileFuelMeters,0),ROUNDUP((COLUMN()+1)/3-2,0)))</f>
        <v/>
      </c>
      <c r="K344" s="127"/>
      <c r="L344" s="137"/>
      <c r="M344" s="58" t="str" cm="1">
        <f>IF(ISBLANK($A344),"",INDEX(Array_MobileCharges,MATCH($A344,List_MobileFuelMeters,0),ROUNDUP((COLUMN()+1)/3-2,0)))</f>
        <v/>
      </c>
      <c r="N344" s="127"/>
      <c r="O344" s="137"/>
      <c r="P344" s="58" t="str" cm="1">
        <f>IF(ISBLANK($A344),"",INDEX(Array_MobileCharges,MATCH($A344,List_MobileFuelMeters,0),ROUNDUP((COLUMN()+1)/3-2,0)))</f>
        <v/>
      </c>
      <c r="Q344" s="127"/>
      <c r="R344" s="137"/>
      <c r="S344" s="58" t="str" cm="1">
        <f>IF(ISBLANK($A344),"",INDEX(Array_MobileCharges,MATCH($A344,List_MobileFuelMeters,0),ROUNDUP((COLUMN()+1)/3-2,0)))</f>
        <v/>
      </c>
      <c r="T344" s="127"/>
      <c r="U344" s="137"/>
    </row>
    <row r="345" spans="1:21" x14ac:dyDescent="0.3">
      <c r="A345" s="126"/>
      <c r="B345" s="133"/>
      <c r="C345" s="127"/>
      <c r="D345" s="138"/>
      <c r="E345" s="138"/>
      <c r="F345" s="137"/>
      <c r="G345" s="58" t="str" cm="1">
        <f>IF(ISBLANK($A345),"",INDEX(Array_MobileCharges,MATCH($A345,List_MobileFuelMeters,0),ROUNDUP((COLUMN()+1)/3-2,0)))</f>
        <v/>
      </c>
      <c r="H345" s="127"/>
      <c r="I345" s="137"/>
      <c r="J345" s="58" t="str" cm="1">
        <f>IF(ISBLANK($A345),"",INDEX(Array_MobileCharges,MATCH($A345,List_MobileFuelMeters,0),ROUNDUP((COLUMN()+1)/3-2,0)))</f>
        <v/>
      </c>
      <c r="K345" s="127"/>
      <c r="L345" s="137"/>
      <c r="M345" s="58" t="str" cm="1">
        <f>IF(ISBLANK($A345),"",INDEX(Array_MobileCharges,MATCH($A345,List_MobileFuelMeters,0),ROUNDUP((COLUMN()+1)/3-2,0)))</f>
        <v/>
      </c>
      <c r="N345" s="127"/>
      <c r="O345" s="137"/>
      <c r="P345" s="58" t="str" cm="1">
        <f>IF(ISBLANK($A345),"",INDEX(Array_MobileCharges,MATCH($A345,List_MobileFuelMeters,0),ROUNDUP((COLUMN()+1)/3-2,0)))</f>
        <v/>
      </c>
      <c r="Q345" s="127"/>
      <c r="R345" s="137"/>
      <c r="S345" s="58" t="str" cm="1">
        <f>IF(ISBLANK($A345),"",INDEX(Array_MobileCharges,MATCH($A345,List_MobileFuelMeters,0),ROUNDUP((COLUMN()+1)/3-2,0)))</f>
        <v/>
      </c>
      <c r="T345" s="127"/>
      <c r="U345" s="137"/>
    </row>
    <row r="346" spans="1:21" x14ac:dyDescent="0.3">
      <c r="A346" s="126"/>
      <c r="B346" s="133"/>
      <c r="C346" s="127"/>
      <c r="D346" s="138"/>
      <c r="E346" s="138"/>
      <c r="F346" s="137"/>
      <c r="G346" s="58" t="str" cm="1">
        <f>IF(ISBLANK($A346),"",INDEX(Array_MobileCharges,MATCH($A346,List_MobileFuelMeters,0),ROUNDUP((COLUMN()+1)/3-2,0)))</f>
        <v/>
      </c>
      <c r="H346" s="127"/>
      <c r="I346" s="137"/>
      <c r="J346" s="58" t="str" cm="1">
        <f>IF(ISBLANK($A346),"",INDEX(Array_MobileCharges,MATCH($A346,List_MobileFuelMeters,0),ROUNDUP((COLUMN()+1)/3-2,0)))</f>
        <v/>
      </c>
      <c r="K346" s="127"/>
      <c r="L346" s="137"/>
      <c r="M346" s="58" t="str" cm="1">
        <f>IF(ISBLANK($A346),"",INDEX(Array_MobileCharges,MATCH($A346,List_MobileFuelMeters,0),ROUNDUP((COLUMN()+1)/3-2,0)))</f>
        <v/>
      </c>
      <c r="N346" s="127"/>
      <c r="O346" s="137"/>
      <c r="P346" s="58" t="str" cm="1">
        <f>IF(ISBLANK($A346),"",INDEX(Array_MobileCharges,MATCH($A346,List_MobileFuelMeters,0),ROUNDUP((COLUMN()+1)/3-2,0)))</f>
        <v/>
      </c>
      <c r="Q346" s="127"/>
      <c r="R346" s="137"/>
      <c r="S346" s="58" t="str" cm="1">
        <f>IF(ISBLANK($A346),"",INDEX(Array_MobileCharges,MATCH($A346,List_MobileFuelMeters,0),ROUNDUP((COLUMN()+1)/3-2,0)))</f>
        <v/>
      </c>
      <c r="T346" s="127"/>
      <c r="U346" s="137"/>
    </row>
    <row r="347" spans="1:21" x14ac:dyDescent="0.3">
      <c r="A347" s="126"/>
      <c r="B347" s="133"/>
      <c r="C347" s="127"/>
      <c r="D347" s="138"/>
      <c r="E347" s="138"/>
      <c r="F347" s="137"/>
      <c r="G347" s="58" t="str" cm="1">
        <f>IF(ISBLANK($A347),"",INDEX(Array_MobileCharges,MATCH($A347,List_MobileFuelMeters,0),ROUNDUP((COLUMN()+1)/3-2,0)))</f>
        <v/>
      </c>
      <c r="H347" s="127"/>
      <c r="I347" s="137"/>
      <c r="J347" s="58" t="str" cm="1">
        <f>IF(ISBLANK($A347),"",INDEX(Array_MobileCharges,MATCH($A347,List_MobileFuelMeters,0),ROUNDUP((COLUMN()+1)/3-2,0)))</f>
        <v/>
      </c>
      <c r="K347" s="127"/>
      <c r="L347" s="137"/>
      <c r="M347" s="58" t="str" cm="1">
        <f>IF(ISBLANK($A347),"",INDEX(Array_MobileCharges,MATCH($A347,List_MobileFuelMeters,0),ROUNDUP((COLUMN()+1)/3-2,0)))</f>
        <v/>
      </c>
      <c r="N347" s="127"/>
      <c r="O347" s="137"/>
      <c r="P347" s="58" t="str" cm="1">
        <f>IF(ISBLANK($A347),"",INDEX(Array_MobileCharges,MATCH($A347,List_MobileFuelMeters,0),ROUNDUP((COLUMN()+1)/3-2,0)))</f>
        <v/>
      </c>
      <c r="Q347" s="127"/>
      <c r="R347" s="137"/>
      <c r="S347" s="58" t="str" cm="1">
        <f>IF(ISBLANK($A347),"",INDEX(Array_MobileCharges,MATCH($A347,List_MobileFuelMeters,0),ROUNDUP((COLUMN()+1)/3-2,0)))</f>
        <v/>
      </c>
      <c r="T347" s="127"/>
      <c r="U347" s="137"/>
    </row>
    <row r="348" spans="1:21" x14ac:dyDescent="0.3">
      <c r="A348" s="126"/>
      <c r="B348" s="133"/>
      <c r="C348" s="127"/>
      <c r="D348" s="138"/>
      <c r="E348" s="138"/>
      <c r="F348" s="137"/>
      <c r="G348" s="58" t="str" cm="1">
        <f>IF(ISBLANK($A348),"",INDEX(Array_MobileCharges,MATCH($A348,List_MobileFuelMeters,0),ROUNDUP((COLUMN()+1)/3-2,0)))</f>
        <v/>
      </c>
      <c r="H348" s="127"/>
      <c r="I348" s="137"/>
      <c r="J348" s="58" t="str" cm="1">
        <f>IF(ISBLANK($A348),"",INDEX(Array_MobileCharges,MATCH($A348,List_MobileFuelMeters,0),ROUNDUP((COLUMN()+1)/3-2,0)))</f>
        <v/>
      </c>
      <c r="K348" s="127"/>
      <c r="L348" s="137"/>
      <c r="M348" s="58" t="str" cm="1">
        <f>IF(ISBLANK($A348),"",INDEX(Array_MobileCharges,MATCH($A348,List_MobileFuelMeters,0),ROUNDUP((COLUMN()+1)/3-2,0)))</f>
        <v/>
      </c>
      <c r="N348" s="127"/>
      <c r="O348" s="137"/>
      <c r="P348" s="58" t="str" cm="1">
        <f>IF(ISBLANK($A348),"",INDEX(Array_MobileCharges,MATCH($A348,List_MobileFuelMeters,0),ROUNDUP((COLUMN()+1)/3-2,0)))</f>
        <v/>
      </c>
      <c r="Q348" s="127"/>
      <c r="R348" s="137"/>
      <c r="S348" s="58" t="str" cm="1">
        <f>IF(ISBLANK($A348),"",INDEX(Array_MobileCharges,MATCH($A348,List_MobileFuelMeters,0),ROUNDUP((COLUMN()+1)/3-2,0)))</f>
        <v/>
      </c>
      <c r="T348" s="127"/>
      <c r="U348" s="137"/>
    </row>
    <row r="349" spans="1:21" x14ac:dyDescent="0.3">
      <c r="A349" s="126"/>
      <c r="B349" s="133"/>
      <c r="C349" s="127"/>
      <c r="D349" s="138"/>
      <c r="E349" s="138"/>
      <c r="F349" s="137"/>
      <c r="G349" s="58" t="str" cm="1">
        <f>IF(ISBLANK($A349),"",INDEX(Array_MobileCharges,MATCH($A349,List_MobileFuelMeters,0),ROUNDUP((COLUMN()+1)/3-2,0)))</f>
        <v/>
      </c>
      <c r="H349" s="127"/>
      <c r="I349" s="137"/>
      <c r="J349" s="58" t="str" cm="1">
        <f>IF(ISBLANK($A349),"",INDEX(Array_MobileCharges,MATCH($A349,List_MobileFuelMeters,0),ROUNDUP((COLUMN()+1)/3-2,0)))</f>
        <v/>
      </c>
      <c r="K349" s="127"/>
      <c r="L349" s="137"/>
      <c r="M349" s="58" t="str" cm="1">
        <f>IF(ISBLANK($A349),"",INDEX(Array_MobileCharges,MATCH($A349,List_MobileFuelMeters,0),ROUNDUP((COLUMN()+1)/3-2,0)))</f>
        <v/>
      </c>
      <c r="N349" s="127"/>
      <c r="O349" s="137"/>
      <c r="P349" s="58" t="str" cm="1">
        <f>IF(ISBLANK($A349),"",INDEX(Array_MobileCharges,MATCH($A349,List_MobileFuelMeters,0),ROUNDUP((COLUMN()+1)/3-2,0)))</f>
        <v/>
      </c>
      <c r="Q349" s="127"/>
      <c r="R349" s="137"/>
      <c r="S349" s="58" t="str" cm="1">
        <f>IF(ISBLANK($A349),"",INDEX(Array_MobileCharges,MATCH($A349,List_MobileFuelMeters,0),ROUNDUP((COLUMN()+1)/3-2,0)))</f>
        <v/>
      </c>
      <c r="T349" s="127"/>
      <c r="U349" s="137"/>
    </row>
    <row r="350" spans="1:21" x14ac:dyDescent="0.3">
      <c r="A350" s="126"/>
      <c r="B350" s="133"/>
      <c r="C350" s="127"/>
      <c r="D350" s="138"/>
      <c r="E350" s="138"/>
      <c r="F350" s="137"/>
      <c r="G350" s="58" t="str" cm="1">
        <f>IF(ISBLANK($A350),"",INDEX(Array_MobileCharges,MATCH($A350,List_MobileFuelMeters,0),ROUNDUP((COLUMN()+1)/3-2,0)))</f>
        <v/>
      </c>
      <c r="H350" s="127"/>
      <c r="I350" s="137"/>
      <c r="J350" s="58" t="str" cm="1">
        <f>IF(ISBLANK($A350),"",INDEX(Array_MobileCharges,MATCH($A350,List_MobileFuelMeters,0),ROUNDUP((COLUMN()+1)/3-2,0)))</f>
        <v/>
      </c>
      <c r="K350" s="127"/>
      <c r="L350" s="137"/>
      <c r="M350" s="58" t="str" cm="1">
        <f>IF(ISBLANK($A350),"",INDEX(Array_MobileCharges,MATCH($A350,List_MobileFuelMeters,0),ROUNDUP((COLUMN()+1)/3-2,0)))</f>
        <v/>
      </c>
      <c r="N350" s="127"/>
      <c r="O350" s="137"/>
      <c r="P350" s="58" t="str" cm="1">
        <f>IF(ISBLANK($A350),"",INDEX(Array_MobileCharges,MATCH($A350,List_MobileFuelMeters,0),ROUNDUP((COLUMN()+1)/3-2,0)))</f>
        <v/>
      </c>
      <c r="Q350" s="127"/>
      <c r="R350" s="137"/>
      <c r="S350" s="58" t="str" cm="1">
        <f>IF(ISBLANK($A350),"",INDEX(Array_MobileCharges,MATCH($A350,List_MobileFuelMeters,0),ROUNDUP((COLUMN()+1)/3-2,0)))</f>
        <v/>
      </c>
      <c r="T350" s="127"/>
      <c r="U350" s="137"/>
    </row>
    <row r="351" spans="1:21" x14ac:dyDescent="0.3">
      <c r="A351" s="126"/>
      <c r="B351" s="133"/>
      <c r="C351" s="127"/>
      <c r="D351" s="138"/>
      <c r="E351" s="138"/>
      <c r="F351" s="137"/>
      <c r="G351" s="58" t="str" cm="1">
        <f>IF(ISBLANK($A351),"",INDEX(Array_MobileCharges,MATCH($A351,List_MobileFuelMeters,0),ROUNDUP((COLUMN()+1)/3-2,0)))</f>
        <v/>
      </c>
      <c r="H351" s="127"/>
      <c r="I351" s="137"/>
      <c r="J351" s="58" t="str" cm="1">
        <f>IF(ISBLANK($A351),"",INDEX(Array_MobileCharges,MATCH($A351,List_MobileFuelMeters,0),ROUNDUP((COLUMN()+1)/3-2,0)))</f>
        <v/>
      </c>
      <c r="K351" s="127"/>
      <c r="L351" s="137"/>
      <c r="M351" s="58" t="str" cm="1">
        <f>IF(ISBLANK($A351),"",INDEX(Array_MobileCharges,MATCH($A351,List_MobileFuelMeters,0),ROUNDUP((COLUMN()+1)/3-2,0)))</f>
        <v/>
      </c>
      <c r="N351" s="127"/>
      <c r="O351" s="137"/>
      <c r="P351" s="58" t="str" cm="1">
        <f>IF(ISBLANK($A351),"",INDEX(Array_MobileCharges,MATCH($A351,List_MobileFuelMeters,0),ROUNDUP((COLUMN()+1)/3-2,0)))</f>
        <v/>
      </c>
      <c r="Q351" s="127"/>
      <c r="R351" s="137"/>
      <c r="S351" s="58" t="str" cm="1">
        <f>IF(ISBLANK($A351),"",INDEX(Array_MobileCharges,MATCH($A351,List_MobileFuelMeters,0),ROUNDUP((COLUMN()+1)/3-2,0)))</f>
        <v/>
      </c>
      <c r="T351" s="127"/>
      <c r="U351" s="137"/>
    </row>
    <row r="352" spans="1:21" x14ac:dyDescent="0.3">
      <c r="A352" s="126"/>
      <c r="B352" s="133"/>
      <c r="C352" s="127"/>
      <c r="D352" s="138"/>
      <c r="E352" s="138"/>
      <c r="F352" s="137"/>
      <c r="G352" s="58" t="str" cm="1">
        <f>IF(ISBLANK($A352),"",INDEX(Array_MobileCharges,MATCH($A352,List_MobileFuelMeters,0),ROUNDUP((COLUMN()+1)/3-2,0)))</f>
        <v/>
      </c>
      <c r="H352" s="127"/>
      <c r="I352" s="137"/>
      <c r="J352" s="58" t="str" cm="1">
        <f>IF(ISBLANK($A352),"",INDEX(Array_MobileCharges,MATCH($A352,List_MobileFuelMeters,0),ROUNDUP((COLUMN()+1)/3-2,0)))</f>
        <v/>
      </c>
      <c r="K352" s="127"/>
      <c r="L352" s="137"/>
      <c r="M352" s="58" t="str" cm="1">
        <f>IF(ISBLANK($A352),"",INDEX(Array_MobileCharges,MATCH($A352,List_MobileFuelMeters,0),ROUNDUP((COLUMN()+1)/3-2,0)))</f>
        <v/>
      </c>
      <c r="N352" s="127"/>
      <c r="O352" s="137"/>
      <c r="P352" s="58" t="str" cm="1">
        <f>IF(ISBLANK($A352),"",INDEX(Array_MobileCharges,MATCH($A352,List_MobileFuelMeters,0),ROUNDUP((COLUMN()+1)/3-2,0)))</f>
        <v/>
      </c>
      <c r="Q352" s="127"/>
      <c r="R352" s="137"/>
      <c r="S352" s="58" t="str" cm="1">
        <f>IF(ISBLANK($A352),"",INDEX(Array_MobileCharges,MATCH($A352,List_MobileFuelMeters,0),ROUNDUP((COLUMN()+1)/3-2,0)))</f>
        <v/>
      </c>
      <c r="T352" s="127"/>
      <c r="U352" s="137"/>
    </row>
    <row r="353" spans="1:21" x14ac:dyDescent="0.3">
      <c r="A353" s="126"/>
      <c r="B353" s="133"/>
      <c r="C353" s="127"/>
      <c r="D353" s="138"/>
      <c r="E353" s="138"/>
      <c r="F353" s="137"/>
      <c r="G353" s="58" t="str" cm="1">
        <f>IF(ISBLANK($A353),"",INDEX(Array_MobileCharges,MATCH($A353,List_MobileFuelMeters,0),ROUNDUP((COLUMN()+1)/3-2,0)))</f>
        <v/>
      </c>
      <c r="H353" s="127"/>
      <c r="I353" s="137"/>
      <c r="J353" s="58" t="str" cm="1">
        <f>IF(ISBLANK($A353),"",INDEX(Array_MobileCharges,MATCH($A353,List_MobileFuelMeters,0),ROUNDUP((COLUMN()+1)/3-2,0)))</f>
        <v/>
      </c>
      <c r="K353" s="127"/>
      <c r="L353" s="137"/>
      <c r="M353" s="58" t="str" cm="1">
        <f>IF(ISBLANK($A353),"",INDEX(Array_MobileCharges,MATCH($A353,List_MobileFuelMeters,0),ROUNDUP((COLUMN()+1)/3-2,0)))</f>
        <v/>
      </c>
      <c r="N353" s="127"/>
      <c r="O353" s="137"/>
      <c r="P353" s="58" t="str" cm="1">
        <f>IF(ISBLANK($A353),"",INDEX(Array_MobileCharges,MATCH($A353,List_MobileFuelMeters,0),ROUNDUP((COLUMN()+1)/3-2,0)))</f>
        <v/>
      </c>
      <c r="Q353" s="127"/>
      <c r="R353" s="137"/>
      <c r="S353" s="58" t="str" cm="1">
        <f>IF(ISBLANK($A353),"",INDEX(Array_MobileCharges,MATCH($A353,List_MobileFuelMeters,0),ROUNDUP((COLUMN()+1)/3-2,0)))</f>
        <v/>
      </c>
      <c r="T353" s="127"/>
      <c r="U353" s="137"/>
    </row>
    <row r="354" spans="1:21" x14ac:dyDescent="0.3">
      <c r="A354" s="126"/>
      <c r="B354" s="133"/>
      <c r="C354" s="127"/>
      <c r="D354" s="138"/>
      <c r="E354" s="138"/>
      <c r="F354" s="137"/>
      <c r="G354" s="58" t="str" cm="1">
        <f>IF(ISBLANK($A354),"",INDEX(Array_MobileCharges,MATCH($A354,List_MobileFuelMeters,0),ROUNDUP((COLUMN()+1)/3-2,0)))</f>
        <v/>
      </c>
      <c r="H354" s="127"/>
      <c r="I354" s="137"/>
      <c r="J354" s="58" t="str" cm="1">
        <f>IF(ISBLANK($A354),"",INDEX(Array_MobileCharges,MATCH($A354,List_MobileFuelMeters,0),ROUNDUP((COLUMN()+1)/3-2,0)))</f>
        <v/>
      </c>
      <c r="K354" s="127"/>
      <c r="L354" s="137"/>
      <c r="M354" s="58" t="str" cm="1">
        <f>IF(ISBLANK($A354),"",INDEX(Array_MobileCharges,MATCH($A354,List_MobileFuelMeters,0),ROUNDUP((COLUMN()+1)/3-2,0)))</f>
        <v/>
      </c>
      <c r="N354" s="127"/>
      <c r="O354" s="137"/>
      <c r="P354" s="58" t="str" cm="1">
        <f>IF(ISBLANK($A354),"",INDEX(Array_MobileCharges,MATCH($A354,List_MobileFuelMeters,0),ROUNDUP((COLUMN()+1)/3-2,0)))</f>
        <v/>
      </c>
      <c r="Q354" s="127"/>
      <c r="R354" s="137"/>
      <c r="S354" s="58" t="str" cm="1">
        <f>IF(ISBLANK($A354),"",INDEX(Array_MobileCharges,MATCH($A354,List_MobileFuelMeters,0),ROUNDUP((COLUMN()+1)/3-2,0)))</f>
        <v/>
      </c>
      <c r="T354" s="127"/>
      <c r="U354" s="137"/>
    </row>
    <row r="355" spans="1:21" x14ac:dyDescent="0.3">
      <c r="A355" s="126"/>
      <c r="B355" s="133"/>
      <c r="C355" s="127"/>
      <c r="D355" s="138"/>
      <c r="E355" s="138"/>
      <c r="F355" s="137"/>
      <c r="G355" s="58" t="str" cm="1">
        <f>IF(ISBLANK($A355),"",INDEX(Array_MobileCharges,MATCH($A355,List_MobileFuelMeters,0),ROUNDUP((COLUMN()+1)/3-2,0)))</f>
        <v/>
      </c>
      <c r="H355" s="127"/>
      <c r="I355" s="137"/>
      <c r="J355" s="58" t="str" cm="1">
        <f>IF(ISBLANK($A355),"",INDEX(Array_MobileCharges,MATCH($A355,List_MobileFuelMeters,0),ROUNDUP((COLUMN()+1)/3-2,0)))</f>
        <v/>
      </c>
      <c r="K355" s="127"/>
      <c r="L355" s="137"/>
      <c r="M355" s="58" t="str" cm="1">
        <f>IF(ISBLANK($A355),"",INDEX(Array_MobileCharges,MATCH($A355,List_MobileFuelMeters,0),ROUNDUP((COLUMN()+1)/3-2,0)))</f>
        <v/>
      </c>
      <c r="N355" s="127"/>
      <c r="O355" s="137"/>
      <c r="P355" s="58" t="str" cm="1">
        <f>IF(ISBLANK($A355),"",INDEX(Array_MobileCharges,MATCH($A355,List_MobileFuelMeters,0),ROUNDUP((COLUMN()+1)/3-2,0)))</f>
        <v/>
      </c>
      <c r="Q355" s="127"/>
      <c r="R355" s="137"/>
      <c r="S355" s="58" t="str" cm="1">
        <f>IF(ISBLANK($A355),"",INDEX(Array_MobileCharges,MATCH($A355,List_MobileFuelMeters,0),ROUNDUP((COLUMN()+1)/3-2,0)))</f>
        <v/>
      </c>
      <c r="T355" s="127"/>
      <c r="U355" s="137"/>
    </row>
    <row r="356" spans="1:21" x14ac:dyDescent="0.3">
      <c r="A356" s="126"/>
      <c r="B356" s="133"/>
      <c r="C356" s="127"/>
      <c r="D356" s="138"/>
      <c r="E356" s="138"/>
      <c r="F356" s="137"/>
      <c r="G356" s="58" t="str" cm="1">
        <f>IF(ISBLANK($A356),"",INDEX(Array_MobileCharges,MATCH($A356,List_MobileFuelMeters,0),ROUNDUP((COLUMN()+1)/3-2,0)))</f>
        <v/>
      </c>
      <c r="H356" s="127"/>
      <c r="I356" s="137"/>
      <c r="J356" s="58" t="str" cm="1">
        <f>IF(ISBLANK($A356),"",INDEX(Array_MobileCharges,MATCH($A356,List_MobileFuelMeters,0),ROUNDUP((COLUMN()+1)/3-2,0)))</f>
        <v/>
      </c>
      <c r="K356" s="127"/>
      <c r="L356" s="137"/>
      <c r="M356" s="58" t="str" cm="1">
        <f>IF(ISBLANK($A356),"",INDEX(Array_MobileCharges,MATCH($A356,List_MobileFuelMeters,0),ROUNDUP((COLUMN()+1)/3-2,0)))</f>
        <v/>
      </c>
      <c r="N356" s="127"/>
      <c r="O356" s="137"/>
      <c r="P356" s="58" t="str" cm="1">
        <f>IF(ISBLANK($A356),"",INDEX(Array_MobileCharges,MATCH($A356,List_MobileFuelMeters,0),ROUNDUP((COLUMN()+1)/3-2,0)))</f>
        <v/>
      </c>
      <c r="Q356" s="127"/>
      <c r="R356" s="137"/>
      <c r="S356" s="58" t="str" cm="1">
        <f>IF(ISBLANK($A356),"",INDEX(Array_MobileCharges,MATCH($A356,List_MobileFuelMeters,0),ROUNDUP((COLUMN()+1)/3-2,0)))</f>
        <v/>
      </c>
      <c r="T356" s="127"/>
      <c r="U356" s="137"/>
    </row>
    <row r="357" spans="1:21" x14ac:dyDescent="0.3">
      <c r="A357" s="126"/>
      <c r="B357" s="133"/>
      <c r="C357" s="127"/>
      <c r="D357" s="138"/>
      <c r="E357" s="138"/>
      <c r="F357" s="137"/>
      <c r="G357" s="58" t="str" cm="1">
        <f>IF(ISBLANK($A357),"",INDEX(Array_MobileCharges,MATCH($A357,List_MobileFuelMeters,0),ROUNDUP((COLUMN()+1)/3-2,0)))</f>
        <v/>
      </c>
      <c r="H357" s="127"/>
      <c r="I357" s="137"/>
      <c r="J357" s="58" t="str" cm="1">
        <f>IF(ISBLANK($A357),"",INDEX(Array_MobileCharges,MATCH($A357,List_MobileFuelMeters,0),ROUNDUP((COLUMN()+1)/3-2,0)))</f>
        <v/>
      </c>
      <c r="K357" s="127"/>
      <c r="L357" s="137"/>
      <c r="M357" s="58" t="str" cm="1">
        <f>IF(ISBLANK($A357),"",INDEX(Array_MobileCharges,MATCH($A357,List_MobileFuelMeters,0),ROUNDUP((COLUMN()+1)/3-2,0)))</f>
        <v/>
      </c>
      <c r="N357" s="127"/>
      <c r="O357" s="137"/>
      <c r="P357" s="58" t="str" cm="1">
        <f>IF(ISBLANK($A357),"",INDEX(Array_MobileCharges,MATCH($A357,List_MobileFuelMeters,0),ROUNDUP((COLUMN()+1)/3-2,0)))</f>
        <v/>
      </c>
      <c r="Q357" s="127"/>
      <c r="R357" s="137"/>
      <c r="S357" s="58" t="str" cm="1">
        <f>IF(ISBLANK($A357),"",INDEX(Array_MobileCharges,MATCH($A357,List_MobileFuelMeters,0),ROUNDUP((COLUMN()+1)/3-2,0)))</f>
        <v/>
      </c>
      <c r="T357" s="127"/>
      <c r="U357" s="137"/>
    </row>
    <row r="358" spans="1:21" x14ac:dyDescent="0.3">
      <c r="A358" s="126"/>
      <c r="B358" s="133"/>
      <c r="C358" s="127"/>
      <c r="D358" s="138"/>
      <c r="E358" s="138"/>
      <c r="F358" s="137"/>
      <c r="G358" s="58" t="str" cm="1">
        <f>IF(ISBLANK($A358),"",INDEX(Array_MobileCharges,MATCH($A358,List_MobileFuelMeters,0),ROUNDUP((COLUMN()+1)/3-2,0)))</f>
        <v/>
      </c>
      <c r="H358" s="127"/>
      <c r="I358" s="137"/>
      <c r="J358" s="58" t="str" cm="1">
        <f>IF(ISBLANK($A358),"",INDEX(Array_MobileCharges,MATCH($A358,List_MobileFuelMeters,0),ROUNDUP((COLUMN()+1)/3-2,0)))</f>
        <v/>
      </c>
      <c r="K358" s="127"/>
      <c r="L358" s="137"/>
      <c r="M358" s="58" t="str" cm="1">
        <f>IF(ISBLANK($A358),"",INDEX(Array_MobileCharges,MATCH($A358,List_MobileFuelMeters,0),ROUNDUP((COLUMN()+1)/3-2,0)))</f>
        <v/>
      </c>
      <c r="N358" s="127"/>
      <c r="O358" s="137"/>
      <c r="P358" s="58" t="str" cm="1">
        <f>IF(ISBLANK($A358),"",INDEX(Array_MobileCharges,MATCH($A358,List_MobileFuelMeters,0),ROUNDUP((COLUMN()+1)/3-2,0)))</f>
        <v/>
      </c>
      <c r="Q358" s="127"/>
      <c r="R358" s="137"/>
      <c r="S358" s="58" t="str" cm="1">
        <f>IF(ISBLANK($A358),"",INDEX(Array_MobileCharges,MATCH($A358,List_MobileFuelMeters,0),ROUNDUP((COLUMN()+1)/3-2,0)))</f>
        <v/>
      </c>
      <c r="T358" s="127"/>
      <c r="U358" s="137"/>
    </row>
    <row r="359" spans="1:21" x14ac:dyDescent="0.3">
      <c r="A359" s="126"/>
      <c r="B359" s="133"/>
      <c r="C359" s="127"/>
      <c r="D359" s="138"/>
      <c r="E359" s="138"/>
      <c r="F359" s="137"/>
      <c r="G359" s="58" t="str" cm="1">
        <f>IF(ISBLANK($A359),"",INDEX(Array_MobileCharges,MATCH($A359,List_MobileFuelMeters,0),ROUNDUP((COLUMN()+1)/3-2,0)))</f>
        <v/>
      </c>
      <c r="H359" s="127"/>
      <c r="I359" s="137"/>
      <c r="J359" s="58" t="str" cm="1">
        <f>IF(ISBLANK($A359),"",INDEX(Array_MobileCharges,MATCH($A359,List_MobileFuelMeters,0),ROUNDUP((COLUMN()+1)/3-2,0)))</f>
        <v/>
      </c>
      <c r="K359" s="127"/>
      <c r="L359" s="137"/>
      <c r="M359" s="58" t="str" cm="1">
        <f>IF(ISBLANK($A359),"",INDEX(Array_MobileCharges,MATCH($A359,List_MobileFuelMeters,0),ROUNDUP((COLUMN()+1)/3-2,0)))</f>
        <v/>
      </c>
      <c r="N359" s="127"/>
      <c r="O359" s="137"/>
      <c r="P359" s="58" t="str" cm="1">
        <f>IF(ISBLANK($A359),"",INDEX(Array_MobileCharges,MATCH($A359,List_MobileFuelMeters,0),ROUNDUP((COLUMN()+1)/3-2,0)))</f>
        <v/>
      </c>
      <c r="Q359" s="127"/>
      <c r="R359" s="137"/>
      <c r="S359" s="58" t="str" cm="1">
        <f>IF(ISBLANK($A359),"",INDEX(Array_MobileCharges,MATCH($A359,List_MobileFuelMeters,0),ROUNDUP((COLUMN()+1)/3-2,0)))</f>
        <v/>
      </c>
      <c r="T359" s="127"/>
      <c r="U359" s="137"/>
    </row>
    <row r="360" spans="1:21" x14ac:dyDescent="0.3">
      <c r="A360" s="126"/>
      <c r="B360" s="133"/>
      <c r="C360" s="127"/>
      <c r="D360" s="138"/>
      <c r="E360" s="138"/>
      <c r="F360" s="137"/>
      <c r="G360" s="58" t="str" cm="1">
        <f>IF(ISBLANK($A360),"",INDEX(Array_MobileCharges,MATCH($A360,List_MobileFuelMeters,0),ROUNDUP((COLUMN()+1)/3-2,0)))</f>
        <v/>
      </c>
      <c r="H360" s="127"/>
      <c r="I360" s="137"/>
      <c r="J360" s="58" t="str" cm="1">
        <f>IF(ISBLANK($A360),"",INDEX(Array_MobileCharges,MATCH($A360,List_MobileFuelMeters,0),ROUNDUP((COLUMN()+1)/3-2,0)))</f>
        <v/>
      </c>
      <c r="K360" s="127"/>
      <c r="L360" s="137"/>
      <c r="M360" s="58" t="str" cm="1">
        <f>IF(ISBLANK($A360),"",INDEX(Array_MobileCharges,MATCH($A360,List_MobileFuelMeters,0),ROUNDUP((COLUMN()+1)/3-2,0)))</f>
        <v/>
      </c>
      <c r="N360" s="127"/>
      <c r="O360" s="137"/>
      <c r="P360" s="58" t="str" cm="1">
        <f>IF(ISBLANK($A360),"",INDEX(Array_MobileCharges,MATCH($A360,List_MobileFuelMeters,0),ROUNDUP((COLUMN()+1)/3-2,0)))</f>
        <v/>
      </c>
      <c r="Q360" s="127"/>
      <c r="R360" s="137"/>
      <c r="S360" s="58" t="str" cm="1">
        <f>IF(ISBLANK($A360),"",INDEX(Array_MobileCharges,MATCH($A360,List_MobileFuelMeters,0),ROUNDUP((COLUMN()+1)/3-2,0)))</f>
        <v/>
      </c>
      <c r="T360" s="127"/>
      <c r="U360" s="137"/>
    </row>
    <row r="361" spans="1:21" x14ac:dyDescent="0.3">
      <c r="A361" s="126"/>
      <c r="B361" s="133"/>
      <c r="C361" s="127"/>
      <c r="D361" s="138"/>
      <c r="E361" s="138"/>
      <c r="F361" s="137"/>
      <c r="G361" s="58" t="str" cm="1">
        <f>IF(ISBLANK($A361),"",INDEX(Array_MobileCharges,MATCH($A361,List_MobileFuelMeters,0),ROUNDUP((COLUMN()+1)/3-2,0)))</f>
        <v/>
      </c>
      <c r="H361" s="127"/>
      <c r="I361" s="137"/>
      <c r="J361" s="58" t="str" cm="1">
        <f>IF(ISBLANK($A361),"",INDEX(Array_MobileCharges,MATCH($A361,List_MobileFuelMeters,0),ROUNDUP((COLUMN()+1)/3-2,0)))</f>
        <v/>
      </c>
      <c r="K361" s="127"/>
      <c r="L361" s="137"/>
      <c r="M361" s="58" t="str" cm="1">
        <f>IF(ISBLANK($A361),"",INDEX(Array_MobileCharges,MATCH($A361,List_MobileFuelMeters,0),ROUNDUP((COLUMN()+1)/3-2,0)))</f>
        <v/>
      </c>
      <c r="N361" s="127"/>
      <c r="O361" s="137"/>
      <c r="P361" s="58" t="str" cm="1">
        <f>IF(ISBLANK($A361),"",INDEX(Array_MobileCharges,MATCH($A361,List_MobileFuelMeters,0),ROUNDUP((COLUMN()+1)/3-2,0)))</f>
        <v/>
      </c>
      <c r="Q361" s="127"/>
      <c r="R361" s="137"/>
      <c r="S361" s="58" t="str" cm="1">
        <f>IF(ISBLANK($A361),"",INDEX(Array_MobileCharges,MATCH($A361,List_MobileFuelMeters,0),ROUNDUP((COLUMN()+1)/3-2,0)))</f>
        <v/>
      </c>
      <c r="T361" s="127"/>
      <c r="U361" s="137"/>
    </row>
    <row r="362" spans="1:21" x14ac:dyDescent="0.3">
      <c r="A362" s="126"/>
      <c r="B362" s="133"/>
      <c r="C362" s="127"/>
      <c r="D362" s="138"/>
      <c r="E362" s="138"/>
      <c r="F362" s="137"/>
      <c r="G362" s="58" t="str" cm="1">
        <f>IF(ISBLANK($A362),"",INDEX(Array_MobileCharges,MATCH($A362,List_MobileFuelMeters,0),ROUNDUP((COLUMN()+1)/3-2,0)))</f>
        <v/>
      </c>
      <c r="H362" s="127"/>
      <c r="I362" s="137"/>
      <c r="J362" s="58" t="str" cm="1">
        <f>IF(ISBLANK($A362),"",INDEX(Array_MobileCharges,MATCH($A362,List_MobileFuelMeters,0),ROUNDUP((COLUMN()+1)/3-2,0)))</f>
        <v/>
      </c>
      <c r="K362" s="127"/>
      <c r="L362" s="137"/>
      <c r="M362" s="58" t="str" cm="1">
        <f>IF(ISBLANK($A362),"",INDEX(Array_MobileCharges,MATCH($A362,List_MobileFuelMeters,0),ROUNDUP((COLUMN()+1)/3-2,0)))</f>
        <v/>
      </c>
      <c r="N362" s="127"/>
      <c r="O362" s="137"/>
      <c r="P362" s="58" t="str" cm="1">
        <f>IF(ISBLANK($A362),"",INDEX(Array_MobileCharges,MATCH($A362,List_MobileFuelMeters,0),ROUNDUP((COLUMN()+1)/3-2,0)))</f>
        <v/>
      </c>
      <c r="Q362" s="127"/>
      <c r="R362" s="137"/>
      <c r="S362" s="58" t="str" cm="1">
        <f>IF(ISBLANK($A362),"",INDEX(Array_MobileCharges,MATCH($A362,List_MobileFuelMeters,0),ROUNDUP((COLUMN()+1)/3-2,0)))</f>
        <v/>
      </c>
      <c r="T362" s="127"/>
      <c r="U362" s="137"/>
    </row>
    <row r="363" spans="1:21" x14ac:dyDescent="0.3">
      <c r="A363" s="126"/>
      <c r="B363" s="133"/>
      <c r="C363" s="127"/>
      <c r="D363" s="138"/>
      <c r="E363" s="138"/>
      <c r="F363" s="137"/>
      <c r="G363" s="58" t="str" cm="1">
        <f>IF(ISBLANK($A363),"",INDEX(Array_MobileCharges,MATCH($A363,List_MobileFuelMeters,0),ROUNDUP((COLUMN()+1)/3-2,0)))</f>
        <v/>
      </c>
      <c r="H363" s="127"/>
      <c r="I363" s="137"/>
      <c r="J363" s="58" t="str" cm="1">
        <f>IF(ISBLANK($A363),"",INDEX(Array_MobileCharges,MATCH($A363,List_MobileFuelMeters,0),ROUNDUP((COLUMN()+1)/3-2,0)))</f>
        <v/>
      </c>
      <c r="K363" s="127"/>
      <c r="L363" s="137"/>
      <c r="M363" s="58" t="str" cm="1">
        <f>IF(ISBLANK($A363),"",INDEX(Array_MobileCharges,MATCH($A363,List_MobileFuelMeters,0),ROUNDUP((COLUMN()+1)/3-2,0)))</f>
        <v/>
      </c>
      <c r="N363" s="127"/>
      <c r="O363" s="137"/>
      <c r="P363" s="58" t="str" cm="1">
        <f>IF(ISBLANK($A363),"",INDEX(Array_MobileCharges,MATCH($A363,List_MobileFuelMeters,0),ROUNDUP((COLUMN()+1)/3-2,0)))</f>
        <v/>
      </c>
      <c r="Q363" s="127"/>
      <c r="R363" s="137"/>
      <c r="S363" s="58" t="str" cm="1">
        <f>IF(ISBLANK($A363),"",INDEX(Array_MobileCharges,MATCH($A363,List_MobileFuelMeters,0),ROUNDUP((COLUMN()+1)/3-2,0)))</f>
        <v/>
      </c>
      <c r="T363" s="127"/>
      <c r="U363" s="137"/>
    </row>
    <row r="364" spans="1:21" x14ac:dyDescent="0.3">
      <c r="A364" s="126"/>
      <c r="B364" s="133"/>
      <c r="C364" s="127"/>
      <c r="D364" s="138"/>
      <c r="E364" s="138"/>
      <c r="F364" s="137"/>
      <c r="G364" s="58" t="str" cm="1">
        <f>IF(ISBLANK($A364),"",INDEX(Array_MobileCharges,MATCH($A364,List_MobileFuelMeters,0),ROUNDUP((COLUMN()+1)/3-2,0)))</f>
        <v/>
      </c>
      <c r="H364" s="127"/>
      <c r="I364" s="137"/>
      <c r="J364" s="58" t="str" cm="1">
        <f>IF(ISBLANK($A364),"",INDEX(Array_MobileCharges,MATCH($A364,List_MobileFuelMeters,0),ROUNDUP((COLUMN()+1)/3-2,0)))</f>
        <v/>
      </c>
      <c r="K364" s="127"/>
      <c r="L364" s="137"/>
      <c r="M364" s="58" t="str" cm="1">
        <f>IF(ISBLANK($A364),"",INDEX(Array_MobileCharges,MATCH($A364,List_MobileFuelMeters,0),ROUNDUP((COLUMN()+1)/3-2,0)))</f>
        <v/>
      </c>
      <c r="N364" s="127"/>
      <c r="O364" s="137"/>
      <c r="P364" s="58" t="str" cm="1">
        <f>IF(ISBLANK($A364),"",INDEX(Array_MobileCharges,MATCH($A364,List_MobileFuelMeters,0),ROUNDUP((COLUMN()+1)/3-2,0)))</f>
        <v/>
      </c>
      <c r="Q364" s="127"/>
      <c r="R364" s="137"/>
      <c r="S364" s="58" t="str" cm="1">
        <f>IF(ISBLANK($A364),"",INDEX(Array_MobileCharges,MATCH($A364,List_MobileFuelMeters,0),ROUNDUP((COLUMN()+1)/3-2,0)))</f>
        <v/>
      </c>
      <c r="T364" s="127"/>
      <c r="U364" s="137"/>
    </row>
    <row r="365" spans="1:21" x14ac:dyDescent="0.3">
      <c r="A365" s="126"/>
      <c r="B365" s="133"/>
      <c r="C365" s="127"/>
      <c r="D365" s="138"/>
      <c r="E365" s="138"/>
      <c r="F365" s="137"/>
      <c r="G365" s="58" t="str" cm="1">
        <f>IF(ISBLANK($A365),"",INDEX(Array_MobileCharges,MATCH($A365,List_MobileFuelMeters,0),ROUNDUP((COLUMN()+1)/3-2,0)))</f>
        <v/>
      </c>
      <c r="H365" s="127"/>
      <c r="I365" s="137"/>
      <c r="J365" s="58" t="str" cm="1">
        <f>IF(ISBLANK($A365),"",INDEX(Array_MobileCharges,MATCH($A365,List_MobileFuelMeters,0),ROUNDUP((COLUMN()+1)/3-2,0)))</f>
        <v/>
      </c>
      <c r="K365" s="127"/>
      <c r="L365" s="137"/>
      <c r="M365" s="58" t="str" cm="1">
        <f>IF(ISBLANK($A365),"",INDEX(Array_MobileCharges,MATCH($A365,List_MobileFuelMeters,0),ROUNDUP((COLUMN()+1)/3-2,0)))</f>
        <v/>
      </c>
      <c r="N365" s="127"/>
      <c r="O365" s="137"/>
      <c r="P365" s="58" t="str" cm="1">
        <f>IF(ISBLANK($A365),"",INDEX(Array_MobileCharges,MATCH($A365,List_MobileFuelMeters,0),ROUNDUP((COLUMN()+1)/3-2,0)))</f>
        <v/>
      </c>
      <c r="Q365" s="127"/>
      <c r="R365" s="137"/>
      <c r="S365" s="58" t="str" cm="1">
        <f>IF(ISBLANK($A365),"",INDEX(Array_MobileCharges,MATCH($A365,List_MobileFuelMeters,0),ROUNDUP((COLUMN()+1)/3-2,0)))</f>
        <v/>
      </c>
      <c r="T365" s="127"/>
      <c r="U365" s="137"/>
    </row>
    <row r="366" spans="1:21" x14ac:dyDescent="0.3">
      <c r="A366" s="126"/>
      <c r="B366" s="133"/>
      <c r="C366" s="127"/>
      <c r="D366" s="138"/>
      <c r="E366" s="138"/>
      <c r="F366" s="137"/>
      <c r="G366" s="58" t="str" cm="1">
        <f>IF(ISBLANK($A366),"",INDEX(Array_MobileCharges,MATCH($A366,List_MobileFuelMeters,0),ROUNDUP((COLUMN()+1)/3-2,0)))</f>
        <v/>
      </c>
      <c r="H366" s="127"/>
      <c r="I366" s="137"/>
      <c r="J366" s="58" t="str" cm="1">
        <f>IF(ISBLANK($A366),"",INDEX(Array_MobileCharges,MATCH($A366,List_MobileFuelMeters,0),ROUNDUP((COLUMN()+1)/3-2,0)))</f>
        <v/>
      </c>
      <c r="K366" s="127"/>
      <c r="L366" s="137"/>
      <c r="M366" s="58" t="str" cm="1">
        <f>IF(ISBLANK($A366),"",INDEX(Array_MobileCharges,MATCH($A366,List_MobileFuelMeters,0),ROUNDUP((COLUMN()+1)/3-2,0)))</f>
        <v/>
      </c>
      <c r="N366" s="127"/>
      <c r="O366" s="137"/>
      <c r="P366" s="58" t="str" cm="1">
        <f>IF(ISBLANK($A366),"",INDEX(Array_MobileCharges,MATCH($A366,List_MobileFuelMeters,0),ROUNDUP((COLUMN()+1)/3-2,0)))</f>
        <v/>
      </c>
      <c r="Q366" s="127"/>
      <c r="R366" s="137"/>
      <c r="S366" s="58" t="str" cm="1">
        <f>IF(ISBLANK($A366),"",INDEX(Array_MobileCharges,MATCH($A366,List_MobileFuelMeters,0),ROUNDUP((COLUMN()+1)/3-2,0)))</f>
        <v/>
      </c>
      <c r="T366" s="127"/>
      <c r="U366" s="137"/>
    </row>
    <row r="367" spans="1:21" x14ac:dyDescent="0.3">
      <c r="A367" s="126"/>
      <c r="B367" s="133"/>
      <c r="C367" s="127"/>
      <c r="D367" s="138"/>
      <c r="E367" s="138"/>
      <c r="F367" s="137"/>
      <c r="G367" s="58" t="str" cm="1">
        <f>IF(ISBLANK($A367),"",INDEX(Array_MobileCharges,MATCH($A367,List_MobileFuelMeters,0),ROUNDUP((COLUMN()+1)/3-2,0)))</f>
        <v/>
      </c>
      <c r="H367" s="127"/>
      <c r="I367" s="137"/>
      <c r="J367" s="58" t="str" cm="1">
        <f>IF(ISBLANK($A367),"",INDEX(Array_MobileCharges,MATCH($A367,List_MobileFuelMeters,0),ROUNDUP((COLUMN()+1)/3-2,0)))</f>
        <v/>
      </c>
      <c r="K367" s="127"/>
      <c r="L367" s="137"/>
      <c r="M367" s="58" t="str" cm="1">
        <f>IF(ISBLANK($A367),"",INDEX(Array_MobileCharges,MATCH($A367,List_MobileFuelMeters,0),ROUNDUP((COLUMN()+1)/3-2,0)))</f>
        <v/>
      </c>
      <c r="N367" s="127"/>
      <c r="O367" s="137"/>
      <c r="P367" s="58" t="str" cm="1">
        <f>IF(ISBLANK($A367),"",INDEX(Array_MobileCharges,MATCH($A367,List_MobileFuelMeters,0),ROUNDUP((COLUMN()+1)/3-2,0)))</f>
        <v/>
      </c>
      <c r="Q367" s="127"/>
      <c r="R367" s="137"/>
      <c r="S367" s="58" t="str" cm="1">
        <f>IF(ISBLANK($A367),"",INDEX(Array_MobileCharges,MATCH($A367,List_MobileFuelMeters,0),ROUNDUP((COLUMN()+1)/3-2,0)))</f>
        <v/>
      </c>
      <c r="T367" s="127"/>
      <c r="U367" s="137"/>
    </row>
    <row r="368" spans="1:21" x14ac:dyDescent="0.3">
      <c r="A368" s="126"/>
      <c r="B368" s="133"/>
      <c r="C368" s="127"/>
      <c r="D368" s="138"/>
      <c r="E368" s="138"/>
      <c r="F368" s="137"/>
      <c r="G368" s="58" t="str" cm="1">
        <f>IF(ISBLANK($A368),"",INDEX(Array_MobileCharges,MATCH($A368,List_MobileFuelMeters,0),ROUNDUP((COLUMN()+1)/3-2,0)))</f>
        <v/>
      </c>
      <c r="H368" s="127"/>
      <c r="I368" s="137"/>
      <c r="J368" s="58" t="str" cm="1">
        <f>IF(ISBLANK($A368),"",INDEX(Array_MobileCharges,MATCH($A368,List_MobileFuelMeters,0),ROUNDUP((COLUMN()+1)/3-2,0)))</f>
        <v/>
      </c>
      <c r="K368" s="127"/>
      <c r="L368" s="137"/>
      <c r="M368" s="58" t="str" cm="1">
        <f>IF(ISBLANK($A368),"",INDEX(Array_MobileCharges,MATCH($A368,List_MobileFuelMeters,0),ROUNDUP((COLUMN()+1)/3-2,0)))</f>
        <v/>
      </c>
      <c r="N368" s="127"/>
      <c r="O368" s="137"/>
      <c r="P368" s="58" t="str" cm="1">
        <f>IF(ISBLANK($A368),"",INDEX(Array_MobileCharges,MATCH($A368,List_MobileFuelMeters,0),ROUNDUP((COLUMN()+1)/3-2,0)))</f>
        <v/>
      </c>
      <c r="Q368" s="127"/>
      <c r="R368" s="137"/>
      <c r="S368" s="58" t="str" cm="1">
        <f>IF(ISBLANK($A368),"",INDEX(Array_MobileCharges,MATCH($A368,List_MobileFuelMeters,0),ROUNDUP((COLUMN()+1)/3-2,0)))</f>
        <v/>
      </c>
      <c r="T368" s="127"/>
      <c r="U368" s="137"/>
    </row>
    <row r="369" spans="1:21" x14ac:dyDescent="0.3">
      <c r="A369" s="126"/>
      <c r="B369" s="133"/>
      <c r="C369" s="127"/>
      <c r="D369" s="138"/>
      <c r="E369" s="138"/>
      <c r="F369" s="137"/>
      <c r="G369" s="58" t="str" cm="1">
        <f>IF(ISBLANK($A369),"",INDEX(Array_MobileCharges,MATCH($A369,List_MobileFuelMeters,0),ROUNDUP((COLUMN()+1)/3-2,0)))</f>
        <v/>
      </c>
      <c r="H369" s="127"/>
      <c r="I369" s="137"/>
      <c r="J369" s="58" t="str" cm="1">
        <f>IF(ISBLANK($A369),"",INDEX(Array_MobileCharges,MATCH($A369,List_MobileFuelMeters,0),ROUNDUP((COLUMN()+1)/3-2,0)))</f>
        <v/>
      </c>
      <c r="K369" s="127"/>
      <c r="L369" s="137"/>
      <c r="M369" s="58" t="str" cm="1">
        <f>IF(ISBLANK($A369),"",INDEX(Array_MobileCharges,MATCH($A369,List_MobileFuelMeters,0),ROUNDUP((COLUMN()+1)/3-2,0)))</f>
        <v/>
      </c>
      <c r="N369" s="127"/>
      <c r="O369" s="137"/>
      <c r="P369" s="58" t="str" cm="1">
        <f>IF(ISBLANK($A369),"",INDEX(Array_MobileCharges,MATCH($A369,List_MobileFuelMeters,0),ROUNDUP((COLUMN()+1)/3-2,0)))</f>
        <v/>
      </c>
      <c r="Q369" s="127"/>
      <c r="R369" s="137"/>
      <c r="S369" s="58" t="str" cm="1">
        <f>IF(ISBLANK($A369),"",INDEX(Array_MobileCharges,MATCH($A369,List_MobileFuelMeters,0),ROUNDUP((COLUMN()+1)/3-2,0)))</f>
        <v/>
      </c>
      <c r="T369" s="127"/>
      <c r="U369" s="137"/>
    </row>
    <row r="370" spans="1:21" x14ac:dyDescent="0.3">
      <c r="A370" s="126"/>
      <c r="B370" s="133"/>
      <c r="C370" s="127"/>
      <c r="D370" s="138"/>
      <c r="E370" s="138"/>
      <c r="F370" s="137"/>
      <c r="G370" s="58" t="str" cm="1">
        <f>IF(ISBLANK($A370),"",INDEX(Array_MobileCharges,MATCH($A370,List_MobileFuelMeters,0),ROUNDUP((COLUMN()+1)/3-2,0)))</f>
        <v/>
      </c>
      <c r="H370" s="127"/>
      <c r="I370" s="137"/>
      <c r="J370" s="58" t="str" cm="1">
        <f>IF(ISBLANK($A370),"",INDEX(Array_MobileCharges,MATCH($A370,List_MobileFuelMeters,0),ROUNDUP((COLUMN()+1)/3-2,0)))</f>
        <v/>
      </c>
      <c r="K370" s="127"/>
      <c r="L370" s="137"/>
      <c r="M370" s="58" t="str" cm="1">
        <f>IF(ISBLANK($A370),"",INDEX(Array_MobileCharges,MATCH($A370,List_MobileFuelMeters,0),ROUNDUP((COLUMN()+1)/3-2,0)))</f>
        <v/>
      </c>
      <c r="N370" s="127"/>
      <c r="O370" s="137"/>
      <c r="P370" s="58" t="str" cm="1">
        <f>IF(ISBLANK($A370),"",INDEX(Array_MobileCharges,MATCH($A370,List_MobileFuelMeters,0),ROUNDUP((COLUMN()+1)/3-2,0)))</f>
        <v/>
      </c>
      <c r="Q370" s="127"/>
      <c r="R370" s="137"/>
      <c r="S370" s="58" t="str" cm="1">
        <f>IF(ISBLANK($A370),"",INDEX(Array_MobileCharges,MATCH($A370,List_MobileFuelMeters,0),ROUNDUP((COLUMN()+1)/3-2,0)))</f>
        <v/>
      </c>
      <c r="T370" s="127"/>
      <c r="U370" s="137"/>
    </row>
    <row r="371" spans="1:21" x14ac:dyDescent="0.3">
      <c r="A371" s="126"/>
      <c r="B371" s="133"/>
      <c r="C371" s="127"/>
      <c r="D371" s="138"/>
      <c r="E371" s="138"/>
      <c r="F371" s="137"/>
      <c r="G371" s="58" t="str" cm="1">
        <f>IF(ISBLANK($A371),"",INDEX(Array_MobileCharges,MATCH($A371,List_MobileFuelMeters,0),ROUNDUP((COLUMN()+1)/3-2,0)))</f>
        <v/>
      </c>
      <c r="H371" s="127"/>
      <c r="I371" s="137"/>
      <c r="J371" s="58" t="str" cm="1">
        <f>IF(ISBLANK($A371),"",INDEX(Array_MobileCharges,MATCH($A371,List_MobileFuelMeters,0),ROUNDUP((COLUMN()+1)/3-2,0)))</f>
        <v/>
      </c>
      <c r="K371" s="127"/>
      <c r="L371" s="137"/>
      <c r="M371" s="58" t="str" cm="1">
        <f>IF(ISBLANK($A371),"",INDEX(Array_MobileCharges,MATCH($A371,List_MobileFuelMeters,0),ROUNDUP((COLUMN()+1)/3-2,0)))</f>
        <v/>
      </c>
      <c r="N371" s="127"/>
      <c r="O371" s="137"/>
      <c r="P371" s="58" t="str" cm="1">
        <f>IF(ISBLANK($A371),"",INDEX(Array_MobileCharges,MATCH($A371,List_MobileFuelMeters,0),ROUNDUP((COLUMN()+1)/3-2,0)))</f>
        <v/>
      </c>
      <c r="Q371" s="127"/>
      <c r="R371" s="137"/>
      <c r="S371" s="58" t="str" cm="1">
        <f>IF(ISBLANK($A371),"",INDEX(Array_MobileCharges,MATCH($A371,List_MobileFuelMeters,0),ROUNDUP((COLUMN()+1)/3-2,0)))</f>
        <v/>
      </c>
      <c r="T371" s="127"/>
      <c r="U371" s="137"/>
    </row>
    <row r="372" spans="1:21" x14ac:dyDescent="0.3">
      <c r="A372" s="126"/>
      <c r="B372" s="133"/>
      <c r="C372" s="127"/>
      <c r="D372" s="138"/>
      <c r="E372" s="138"/>
      <c r="F372" s="137"/>
      <c r="G372" s="58" t="str" cm="1">
        <f>IF(ISBLANK($A372),"",INDEX(Array_MobileCharges,MATCH($A372,List_MobileFuelMeters,0),ROUNDUP((COLUMN()+1)/3-2,0)))</f>
        <v/>
      </c>
      <c r="H372" s="127"/>
      <c r="I372" s="137"/>
      <c r="J372" s="58" t="str" cm="1">
        <f>IF(ISBLANK($A372),"",INDEX(Array_MobileCharges,MATCH($A372,List_MobileFuelMeters,0),ROUNDUP((COLUMN()+1)/3-2,0)))</f>
        <v/>
      </c>
      <c r="K372" s="127"/>
      <c r="L372" s="137"/>
      <c r="M372" s="58" t="str" cm="1">
        <f>IF(ISBLANK($A372),"",INDEX(Array_MobileCharges,MATCH($A372,List_MobileFuelMeters,0),ROUNDUP((COLUMN()+1)/3-2,0)))</f>
        <v/>
      </c>
      <c r="N372" s="127"/>
      <c r="O372" s="137"/>
      <c r="P372" s="58" t="str" cm="1">
        <f>IF(ISBLANK($A372),"",INDEX(Array_MobileCharges,MATCH($A372,List_MobileFuelMeters,0),ROUNDUP((COLUMN()+1)/3-2,0)))</f>
        <v/>
      </c>
      <c r="Q372" s="127"/>
      <c r="R372" s="137"/>
      <c r="S372" s="58" t="str" cm="1">
        <f>IF(ISBLANK($A372),"",INDEX(Array_MobileCharges,MATCH($A372,List_MobileFuelMeters,0),ROUNDUP((COLUMN()+1)/3-2,0)))</f>
        <v/>
      </c>
      <c r="T372" s="127"/>
      <c r="U372" s="137"/>
    </row>
    <row r="373" spans="1:21" x14ac:dyDescent="0.3">
      <c r="A373" s="126"/>
      <c r="B373" s="133"/>
      <c r="C373" s="127"/>
      <c r="D373" s="138"/>
      <c r="E373" s="138"/>
      <c r="F373" s="137"/>
      <c r="G373" s="58" t="str" cm="1">
        <f>IF(ISBLANK($A373),"",INDEX(Array_MobileCharges,MATCH($A373,List_MobileFuelMeters,0),ROUNDUP((COLUMN()+1)/3-2,0)))</f>
        <v/>
      </c>
      <c r="H373" s="127"/>
      <c r="I373" s="137"/>
      <c r="J373" s="58" t="str" cm="1">
        <f>IF(ISBLANK($A373),"",INDEX(Array_MobileCharges,MATCH($A373,List_MobileFuelMeters,0),ROUNDUP((COLUMN()+1)/3-2,0)))</f>
        <v/>
      </c>
      <c r="K373" s="127"/>
      <c r="L373" s="137"/>
      <c r="M373" s="58" t="str" cm="1">
        <f>IF(ISBLANK($A373),"",INDEX(Array_MobileCharges,MATCH($A373,List_MobileFuelMeters,0),ROUNDUP((COLUMN()+1)/3-2,0)))</f>
        <v/>
      </c>
      <c r="N373" s="127"/>
      <c r="O373" s="137"/>
      <c r="P373" s="58" t="str" cm="1">
        <f>IF(ISBLANK($A373),"",INDEX(Array_MobileCharges,MATCH($A373,List_MobileFuelMeters,0),ROUNDUP((COLUMN()+1)/3-2,0)))</f>
        <v/>
      </c>
      <c r="Q373" s="127"/>
      <c r="R373" s="137"/>
      <c r="S373" s="58" t="str" cm="1">
        <f>IF(ISBLANK($A373),"",INDEX(Array_MobileCharges,MATCH($A373,List_MobileFuelMeters,0),ROUNDUP((COLUMN()+1)/3-2,0)))</f>
        <v/>
      </c>
      <c r="T373" s="127"/>
      <c r="U373" s="137"/>
    </row>
    <row r="374" spans="1:21" x14ac:dyDescent="0.3">
      <c r="A374" s="126"/>
      <c r="B374" s="133"/>
      <c r="C374" s="127"/>
      <c r="D374" s="138"/>
      <c r="E374" s="138"/>
      <c r="F374" s="137"/>
      <c r="G374" s="58" t="str" cm="1">
        <f>IF(ISBLANK($A374),"",INDEX(Array_MobileCharges,MATCH($A374,List_MobileFuelMeters,0),ROUNDUP((COLUMN()+1)/3-2,0)))</f>
        <v/>
      </c>
      <c r="H374" s="127"/>
      <c r="I374" s="137"/>
      <c r="J374" s="58" t="str" cm="1">
        <f>IF(ISBLANK($A374),"",INDEX(Array_MobileCharges,MATCH($A374,List_MobileFuelMeters,0),ROUNDUP((COLUMN()+1)/3-2,0)))</f>
        <v/>
      </c>
      <c r="K374" s="127"/>
      <c r="L374" s="137"/>
      <c r="M374" s="58" t="str" cm="1">
        <f>IF(ISBLANK($A374),"",INDEX(Array_MobileCharges,MATCH($A374,List_MobileFuelMeters,0),ROUNDUP((COLUMN()+1)/3-2,0)))</f>
        <v/>
      </c>
      <c r="N374" s="127"/>
      <c r="O374" s="137"/>
      <c r="P374" s="58" t="str" cm="1">
        <f>IF(ISBLANK($A374),"",INDEX(Array_MobileCharges,MATCH($A374,List_MobileFuelMeters,0),ROUNDUP((COLUMN()+1)/3-2,0)))</f>
        <v/>
      </c>
      <c r="Q374" s="127"/>
      <c r="R374" s="137"/>
      <c r="S374" s="58" t="str" cm="1">
        <f>IF(ISBLANK($A374),"",INDEX(Array_MobileCharges,MATCH($A374,List_MobileFuelMeters,0),ROUNDUP((COLUMN()+1)/3-2,0)))</f>
        <v/>
      </c>
      <c r="T374" s="127"/>
      <c r="U374" s="137"/>
    </row>
    <row r="375" spans="1:21" x14ac:dyDescent="0.3">
      <c r="A375" s="126"/>
      <c r="B375" s="133"/>
      <c r="C375" s="127"/>
      <c r="D375" s="138"/>
      <c r="E375" s="138"/>
      <c r="F375" s="137"/>
      <c r="G375" s="58" t="str" cm="1">
        <f>IF(ISBLANK($A375),"",INDEX(Array_MobileCharges,MATCH($A375,List_MobileFuelMeters,0),ROUNDUP((COLUMN()+1)/3-2,0)))</f>
        <v/>
      </c>
      <c r="H375" s="127"/>
      <c r="I375" s="137"/>
      <c r="J375" s="58" t="str" cm="1">
        <f>IF(ISBLANK($A375),"",INDEX(Array_MobileCharges,MATCH($A375,List_MobileFuelMeters,0),ROUNDUP((COLUMN()+1)/3-2,0)))</f>
        <v/>
      </c>
      <c r="K375" s="127"/>
      <c r="L375" s="137"/>
      <c r="M375" s="58" t="str" cm="1">
        <f>IF(ISBLANK($A375),"",INDEX(Array_MobileCharges,MATCH($A375,List_MobileFuelMeters,0),ROUNDUP((COLUMN()+1)/3-2,0)))</f>
        <v/>
      </c>
      <c r="N375" s="127"/>
      <c r="O375" s="137"/>
      <c r="P375" s="58" t="str" cm="1">
        <f>IF(ISBLANK($A375),"",INDEX(Array_MobileCharges,MATCH($A375,List_MobileFuelMeters,0),ROUNDUP((COLUMN()+1)/3-2,0)))</f>
        <v/>
      </c>
      <c r="Q375" s="127"/>
      <c r="R375" s="137"/>
      <c r="S375" s="58" t="str" cm="1">
        <f>IF(ISBLANK($A375),"",INDEX(Array_MobileCharges,MATCH($A375,List_MobileFuelMeters,0),ROUNDUP((COLUMN()+1)/3-2,0)))</f>
        <v/>
      </c>
      <c r="T375" s="127"/>
      <c r="U375" s="137"/>
    </row>
    <row r="376" spans="1:21" x14ac:dyDescent="0.3">
      <c r="A376" s="126"/>
      <c r="B376" s="133"/>
      <c r="C376" s="127"/>
      <c r="D376" s="138"/>
      <c r="E376" s="138"/>
      <c r="F376" s="137"/>
      <c r="G376" s="58" t="str" cm="1">
        <f>IF(ISBLANK($A376),"",INDEX(Array_MobileCharges,MATCH($A376,List_MobileFuelMeters,0),ROUNDUP((COLUMN()+1)/3-2,0)))</f>
        <v/>
      </c>
      <c r="H376" s="127"/>
      <c r="I376" s="137"/>
      <c r="J376" s="58" t="str" cm="1">
        <f>IF(ISBLANK($A376),"",INDEX(Array_MobileCharges,MATCH($A376,List_MobileFuelMeters,0),ROUNDUP((COLUMN()+1)/3-2,0)))</f>
        <v/>
      </c>
      <c r="K376" s="127"/>
      <c r="L376" s="137"/>
      <c r="M376" s="58" t="str" cm="1">
        <f>IF(ISBLANK($A376),"",INDEX(Array_MobileCharges,MATCH($A376,List_MobileFuelMeters,0),ROUNDUP((COLUMN()+1)/3-2,0)))</f>
        <v/>
      </c>
      <c r="N376" s="127"/>
      <c r="O376" s="137"/>
      <c r="P376" s="58" t="str" cm="1">
        <f>IF(ISBLANK($A376),"",INDEX(Array_MobileCharges,MATCH($A376,List_MobileFuelMeters,0),ROUNDUP((COLUMN()+1)/3-2,0)))</f>
        <v/>
      </c>
      <c r="Q376" s="127"/>
      <c r="R376" s="137"/>
      <c r="S376" s="58" t="str" cm="1">
        <f>IF(ISBLANK($A376),"",INDEX(Array_MobileCharges,MATCH($A376,List_MobileFuelMeters,0),ROUNDUP((COLUMN()+1)/3-2,0)))</f>
        <v/>
      </c>
      <c r="T376" s="127"/>
      <c r="U376" s="137"/>
    </row>
    <row r="377" spans="1:21" x14ac:dyDescent="0.3">
      <c r="A377" s="126"/>
      <c r="B377" s="133"/>
      <c r="C377" s="127"/>
      <c r="D377" s="138"/>
      <c r="E377" s="138"/>
      <c r="F377" s="137"/>
      <c r="G377" s="58" t="str" cm="1">
        <f>IF(ISBLANK($A377),"",INDEX(Array_MobileCharges,MATCH($A377,List_MobileFuelMeters,0),ROUNDUP((COLUMN()+1)/3-2,0)))</f>
        <v/>
      </c>
      <c r="H377" s="127"/>
      <c r="I377" s="137"/>
      <c r="J377" s="58" t="str" cm="1">
        <f>IF(ISBLANK($A377),"",INDEX(Array_MobileCharges,MATCH($A377,List_MobileFuelMeters,0),ROUNDUP((COLUMN()+1)/3-2,0)))</f>
        <v/>
      </c>
      <c r="K377" s="127"/>
      <c r="L377" s="137"/>
      <c r="M377" s="58" t="str" cm="1">
        <f>IF(ISBLANK($A377),"",INDEX(Array_MobileCharges,MATCH($A377,List_MobileFuelMeters,0),ROUNDUP((COLUMN()+1)/3-2,0)))</f>
        <v/>
      </c>
      <c r="N377" s="127"/>
      <c r="O377" s="137"/>
      <c r="P377" s="58" t="str" cm="1">
        <f>IF(ISBLANK($A377),"",INDEX(Array_MobileCharges,MATCH($A377,List_MobileFuelMeters,0),ROUNDUP((COLUMN()+1)/3-2,0)))</f>
        <v/>
      </c>
      <c r="Q377" s="127"/>
      <c r="R377" s="137"/>
      <c r="S377" s="58" t="str" cm="1">
        <f>IF(ISBLANK($A377),"",INDEX(Array_MobileCharges,MATCH($A377,List_MobileFuelMeters,0),ROUNDUP((COLUMN()+1)/3-2,0)))</f>
        <v/>
      </c>
      <c r="T377" s="127"/>
      <c r="U377" s="137"/>
    </row>
    <row r="378" spans="1:21" x14ac:dyDescent="0.3">
      <c r="A378" s="126"/>
      <c r="B378" s="133"/>
      <c r="C378" s="127"/>
      <c r="D378" s="138"/>
      <c r="E378" s="138"/>
      <c r="F378" s="137"/>
      <c r="G378" s="58" t="str" cm="1">
        <f>IF(ISBLANK($A378),"",INDEX(Array_MobileCharges,MATCH($A378,List_MobileFuelMeters,0),ROUNDUP((COLUMN()+1)/3-2,0)))</f>
        <v/>
      </c>
      <c r="H378" s="127"/>
      <c r="I378" s="137"/>
      <c r="J378" s="58" t="str" cm="1">
        <f>IF(ISBLANK($A378),"",INDEX(Array_MobileCharges,MATCH($A378,List_MobileFuelMeters,0),ROUNDUP((COLUMN()+1)/3-2,0)))</f>
        <v/>
      </c>
      <c r="K378" s="127"/>
      <c r="L378" s="137"/>
      <c r="M378" s="58" t="str" cm="1">
        <f>IF(ISBLANK($A378),"",INDEX(Array_MobileCharges,MATCH($A378,List_MobileFuelMeters,0),ROUNDUP((COLUMN()+1)/3-2,0)))</f>
        <v/>
      </c>
      <c r="N378" s="127"/>
      <c r="O378" s="137"/>
      <c r="P378" s="58" t="str" cm="1">
        <f>IF(ISBLANK($A378),"",INDEX(Array_MobileCharges,MATCH($A378,List_MobileFuelMeters,0),ROUNDUP((COLUMN()+1)/3-2,0)))</f>
        <v/>
      </c>
      <c r="Q378" s="127"/>
      <c r="R378" s="137"/>
      <c r="S378" s="58" t="str" cm="1">
        <f>IF(ISBLANK($A378),"",INDEX(Array_MobileCharges,MATCH($A378,List_MobileFuelMeters,0),ROUNDUP((COLUMN()+1)/3-2,0)))</f>
        <v/>
      </c>
      <c r="T378" s="127"/>
      <c r="U378" s="137"/>
    </row>
    <row r="379" spans="1:21" x14ac:dyDescent="0.3">
      <c r="A379" s="126"/>
      <c r="B379" s="133"/>
      <c r="C379" s="127"/>
      <c r="D379" s="138"/>
      <c r="E379" s="138"/>
      <c r="F379" s="137"/>
      <c r="G379" s="58" t="str" cm="1">
        <f>IF(ISBLANK($A379),"",INDEX(Array_MobileCharges,MATCH($A379,List_MobileFuelMeters,0),ROUNDUP((COLUMN()+1)/3-2,0)))</f>
        <v/>
      </c>
      <c r="H379" s="127"/>
      <c r="I379" s="137"/>
      <c r="J379" s="58" t="str" cm="1">
        <f>IF(ISBLANK($A379),"",INDEX(Array_MobileCharges,MATCH($A379,List_MobileFuelMeters,0),ROUNDUP((COLUMN()+1)/3-2,0)))</f>
        <v/>
      </c>
      <c r="K379" s="127"/>
      <c r="L379" s="137"/>
      <c r="M379" s="58" t="str" cm="1">
        <f>IF(ISBLANK($A379),"",INDEX(Array_MobileCharges,MATCH($A379,List_MobileFuelMeters,0),ROUNDUP((COLUMN()+1)/3-2,0)))</f>
        <v/>
      </c>
      <c r="N379" s="127"/>
      <c r="O379" s="137"/>
      <c r="P379" s="58" t="str" cm="1">
        <f>IF(ISBLANK($A379),"",INDEX(Array_MobileCharges,MATCH($A379,List_MobileFuelMeters,0),ROUNDUP((COLUMN()+1)/3-2,0)))</f>
        <v/>
      </c>
      <c r="Q379" s="127"/>
      <c r="R379" s="137"/>
      <c r="S379" s="58" t="str" cm="1">
        <f>IF(ISBLANK($A379),"",INDEX(Array_MobileCharges,MATCH($A379,List_MobileFuelMeters,0),ROUNDUP((COLUMN()+1)/3-2,0)))</f>
        <v/>
      </c>
      <c r="T379" s="127"/>
      <c r="U379" s="137"/>
    </row>
    <row r="380" spans="1:21" x14ac:dyDescent="0.3">
      <c r="A380" s="126"/>
      <c r="B380" s="133"/>
      <c r="C380" s="127"/>
      <c r="D380" s="138"/>
      <c r="E380" s="138"/>
      <c r="F380" s="137"/>
      <c r="G380" s="58" t="str" cm="1">
        <f>IF(ISBLANK($A380),"",INDEX(Array_MobileCharges,MATCH($A380,List_MobileFuelMeters,0),ROUNDUP((COLUMN()+1)/3-2,0)))</f>
        <v/>
      </c>
      <c r="H380" s="127"/>
      <c r="I380" s="137"/>
      <c r="J380" s="58" t="str" cm="1">
        <f>IF(ISBLANK($A380),"",INDEX(Array_MobileCharges,MATCH($A380,List_MobileFuelMeters,0),ROUNDUP((COLUMN()+1)/3-2,0)))</f>
        <v/>
      </c>
      <c r="K380" s="127"/>
      <c r="L380" s="137"/>
      <c r="M380" s="58" t="str" cm="1">
        <f>IF(ISBLANK($A380),"",INDEX(Array_MobileCharges,MATCH($A380,List_MobileFuelMeters,0),ROUNDUP((COLUMN()+1)/3-2,0)))</f>
        <v/>
      </c>
      <c r="N380" s="127"/>
      <c r="O380" s="137"/>
      <c r="P380" s="58" t="str" cm="1">
        <f>IF(ISBLANK($A380),"",INDEX(Array_MobileCharges,MATCH($A380,List_MobileFuelMeters,0),ROUNDUP((COLUMN()+1)/3-2,0)))</f>
        <v/>
      </c>
      <c r="Q380" s="127"/>
      <c r="R380" s="137"/>
      <c r="S380" s="58" t="str" cm="1">
        <f>IF(ISBLANK($A380),"",INDEX(Array_MobileCharges,MATCH($A380,List_MobileFuelMeters,0),ROUNDUP((COLUMN()+1)/3-2,0)))</f>
        <v/>
      </c>
      <c r="T380" s="127"/>
      <c r="U380" s="137"/>
    </row>
    <row r="381" spans="1:21" x14ac:dyDescent="0.3">
      <c r="A381" s="126"/>
      <c r="B381" s="133"/>
      <c r="C381" s="127"/>
      <c r="D381" s="138"/>
      <c r="E381" s="138"/>
      <c r="F381" s="137"/>
      <c r="G381" s="58" t="str" cm="1">
        <f>IF(ISBLANK($A381),"",INDEX(Array_MobileCharges,MATCH($A381,List_MobileFuelMeters,0),ROUNDUP((COLUMN()+1)/3-2,0)))</f>
        <v/>
      </c>
      <c r="H381" s="127"/>
      <c r="I381" s="137"/>
      <c r="J381" s="58" t="str" cm="1">
        <f>IF(ISBLANK($A381),"",INDEX(Array_MobileCharges,MATCH($A381,List_MobileFuelMeters,0),ROUNDUP((COLUMN()+1)/3-2,0)))</f>
        <v/>
      </c>
      <c r="K381" s="127"/>
      <c r="L381" s="137"/>
      <c r="M381" s="58" t="str" cm="1">
        <f>IF(ISBLANK($A381),"",INDEX(Array_MobileCharges,MATCH($A381,List_MobileFuelMeters,0),ROUNDUP((COLUMN()+1)/3-2,0)))</f>
        <v/>
      </c>
      <c r="N381" s="127"/>
      <c r="O381" s="137"/>
      <c r="P381" s="58" t="str" cm="1">
        <f>IF(ISBLANK($A381),"",INDEX(Array_MobileCharges,MATCH($A381,List_MobileFuelMeters,0),ROUNDUP((COLUMN()+1)/3-2,0)))</f>
        <v/>
      </c>
      <c r="Q381" s="127"/>
      <c r="R381" s="137"/>
      <c r="S381" s="58" t="str" cm="1">
        <f>IF(ISBLANK($A381),"",INDEX(Array_MobileCharges,MATCH($A381,List_MobileFuelMeters,0),ROUNDUP((COLUMN()+1)/3-2,0)))</f>
        <v/>
      </c>
      <c r="T381" s="127"/>
      <c r="U381" s="137"/>
    </row>
    <row r="382" spans="1:21" x14ac:dyDescent="0.3">
      <c r="A382" s="126"/>
      <c r="B382" s="133"/>
      <c r="C382" s="127"/>
      <c r="D382" s="138"/>
      <c r="E382" s="138"/>
      <c r="F382" s="137"/>
      <c r="G382" s="58" t="str" cm="1">
        <f>IF(ISBLANK($A382),"",INDEX(Array_MobileCharges,MATCH($A382,List_MobileFuelMeters,0),ROUNDUP((COLUMN()+1)/3-2,0)))</f>
        <v/>
      </c>
      <c r="H382" s="127"/>
      <c r="I382" s="137"/>
      <c r="J382" s="58" t="str" cm="1">
        <f>IF(ISBLANK($A382),"",INDEX(Array_MobileCharges,MATCH($A382,List_MobileFuelMeters,0),ROUNDUP((COLUMN()+1)/3-2,0)))</f>
        <v/>
      </c>
      <c r="K382" s="127"/>
      <c r="L382" s="137"/>
      <c r="M382" s="58" t="str" cm="1">
        <f>IF(ISBLANK($A382),"",INDEX(Array_MobileCharges,MATCH($A382,List_MobileFuelMeters,0),ROUNDUP((COLUMN()+1)/3-2,0)))</f>
        <v/>
      </c>
      <c r="N382" s="127"/>
      <c r="O382" s="137"/>
      <c r="P382" s="58" t="str" cm="1">
        <f>IF(ISBLANK($A382),"",INDEX(Array_MobileCharges,MATCH($A382,List_MobileFuelMeters,0),ROUNDUP((COLUMN()+1)/3-2,0)))</f>
        <v/>
      </c>
      <c r="Q382" s="127"/>
      <c r="R382" s="137"/>
      <c r="S382" s="58" t="str" cm="1">
        <f>IF(ISBLANK($A382),"",INDEX(Array_MobileCharges,MATCH($A382,List_MobileFuelMeters,0),ROUNDUP((COLUMN()+1)/3-2,0)))</f>
        <v/>
      </c>
      <c r="T382" s="127"/>
      <c r="U382" s="137"/>
    </row>
    <row r="383" spans="1:21" x14ac:dyDescent="0.3">
      <c r="A383" s="126"/>
      <c r="B383" s="133"/>
      <c r="C383" s="127"/>
      <c r="D383" s="138"/>
      <c r="E383" s="138"/>
      <c r="F383" s="137"/>
      <c r="G383" s="58" t="str" cm="1">
        <f>IF(ISBLANK($A383),"",INDEX(Array_MobileCharges,MATCH($A383,List_MobileFuelMeters,0),ROUNDUP((COLUMN()+1)/3-2,0)))</f>
        <v/>
      </c>
      <c r="H383" s="127"/>
      <c r="I383" s="137"/>
      <c r="J383" s="58" t="str" cm="1">
        <f>IF(ISBLANK($A383),"",INDEX(Array_MobileCharges,MATCH($A383,List_MobileFuelMeters,0),ROUNDUP((COLUMN()+1)/3-2,0)))</f>
        <v/>
      </c>
      <c r="K383" s="127"/>
      <c r="L383" s="137"/>
      <c r="M383" s="58" t="str" cm="1">
        <f>IF(ISBLANK($A383),"",INDEX(Array_MobileCharges,MATCH($A383,List_MobileFuelMeters,0),ROUNDUP((COLUMN()+1)/3-2,0)))</f>
        <v/>
      </c>
      <c r="N383" s="127"/>
      <c r="O383" s="137"/>
      <c r="P383" s="58" t="str" cm="1">
        <f>IF(ISBLANK($A383),"",INDEX(Array_MobileCharges,MATCH($A383,List_MobileFuelMeters,0),ROUNDUP((COLUMN()+1)/3-2,0)))</f>
        <v/>
      </c>
      <c r="Q383" s="127"/>
      <c r="R383" s="137"/>
      <c r="S383" s="58" t="str" cm="1">
        <f>IF(ISBLANK($A383),"",INDEX(Array_MobileCharges,MATCH($A383,List_MobileFuelMeters,0),ROUNDUP((COLUMN()+1)/3-2,0)))</f>
        <v/>
      </c>
      <c r="T383" s="127"/>
      <c r="U383" s="137"/>
    </row>
    <row r="384" spans="1:21" x14ac:dyDescent="0.3">
      <c r="A384" s="126"/>
      <c r="B384" s="133"/>
      <c r="C384" s="127"/>
      <c r="D384" s="138"/>
      <c r="E384" s="138"/>
      <c r="F384" s="137"/>
      <c r="G384" s="58" t="str" cm="1">
        <f>IF(ISBLANK($A384),"",INDEX(Array_MobileCharges,MATCH($A384,List_MobileFuelMeters,0),ROUNDUP((COLUMN()+1)/3-2,0)))</f>
        <v/>
      </c>
      <c r="H384" s="127"/>
      <c r="I384" s="137"/>
      <c r="J384" s="58" t="str" cm="1">
        <f>IF(ISBLANK($A384),"",INDEX(Array_MobileCharges,MATCH($A384,List_MobileFuelMeters,0),ROUNDUP((COLUMN()+1)/3-2,0)))</f>
        <v/>
      </c>
      <c r="K384" s="127"/>
      <c r="L384" s="137"/>
      <c r="M384" s="58" t="str" cm="1">
        <f>IF(ISBLANK($A384),"",INDEX(Array_MobileCharges,MATCH($A384,List_MobileFuelMeters,0),ROUNDUP((COLUMN()+1)/3-2,0)))</f>
        <v/>
      </c>
      <c r="N384" s="127"/>
      <c r="O384" s="137"/>
      <c r="P384" s="58" t="str" cm="1">
        <f>IF(ISBLANK($A384),"",INDEX(Array_MobileCharges,MATCH($A384,List_MobileFuelMeters,0),ROUNDUP((COLUMN()+1)/3-2,0)))</f>
        <v/>
      </c>
      <c r="Q384" s="127"/>
      <c r="R384" s="137"/>
      <c r="S384" s="58" t="str" cm="1">
        <f>IF(ISBLANK($A384),"",INDEX(Array_MobileCharges,MATCH($A384,List_MobileFuelMeters,0),ROUNDUP((COLUMN()+1)/3-2,0)))</f>
        <v/>
      </c>
      <c r="T384" s="127"/>
      <c r="U384" s="137"/>
    </row>
    <row r="385" spans="1:21" x14ac:dyDescent="0.3">
      <c r="A385" s="126"/>
      <c r="B385" s="133"/>
      <c r="C385" s="127"/>
      <c r="D385" s="138"/>
      <c r="E385" s="138"/>
      <c r="F385" s="137"/>
      <c r="G385" s="58" t="str" cm="1">
        <f>IF(ISBLANK($A385),"",INDEX(Array_MobileCharges,MATCH($A385,List_MobileFuelMeters,0),ROUNDUP((COLUMN()+1)/3-2,0)))</f>
        <v/>
      </c>
      <c r="H385" s="127"/>
      <c r="I385" s="137"/>
      <c r="J385" s="58" t="str" cm="1">
        <f>IF(ISBLANK($A385),"",INDEX(Array_MobileCharges,MATCH($A385,List_MobileFuelMeters,0),ROUNDUP((COLUMN()+1)/3-2,0)))</f>
        <v/>
      </c>
      <c r="K385" s="127"/>
      <c r="L385" s="137"/>
      <c r="M385" s="58" t="str" cm="1">
        <f>IF(ISBLANK($A385),"",INDEX(Array_MobileCharges,MATCH($A385,List_MobileFuelMeters,0),ROUNDUP((COLUMN()+1)/3-2,0)))</f>
        <v/>
      </c>
      <c r="N385" s="127"/>
      <c r="O385" s="137"/>
      <c r="P385" s="58" t="str" cm="1">
        <f>IF(ISBLANK($A385),"",INDEX(Array_MobileCharges,MATCH($A385,List_MobileFuelMeters,0),ROUNDUP((COLUMN()+1)/3-2,0)))</f>
        <v/>
      </c>
      <c r="Q385" s="127"/>
      <c r="R385" s="137"/>
      <c r="S385" s="58" t="str" cm="1">
        <f>IF(ISBLANK($A385),"",INDEX(Array_MobileCharges,MATCH($A385,List_MobileFuelMeters,0),ROUNDUP((COLUMN()+1)/3-2,0)))</f>
        <v/>
      </c>
      <c r="T385" s="127"/>
      <c r="U385" s="137"/>
    </row>
    <row r="386" spans="1:21" x14ac:dyDescent="0.3">
      <c r="A386" s="126"/>
      <c r="B386" s="133"/>
      <c r="C386" s="127"/>
      <c r="D386" s="138"/>
      <c r="E386" s="138"/>
      <c r="F386" s="137"/>
      <c r="G386" s="58" t="str" cm="1">
        <f>IF(ISBLANK($A386),"",INDEX(Array_MobileCharges,MATCH($A386,List_MobileFuelMeters,0),ROUNDUP((COLUMN()+1)/3-2,0)))</f>
        <v/>
      </c>
      <c r="H386" s="127"/>
      <c r="I386" s="137"/>
      <c r="J386" s="58" t="str" cm="1">
        <f>IF(ISBLANK($A386),"",INDEX(Array_MobileCharges,MATCH($A386,List_MobileFuelMeters,0),ROUNDUP((COLUMN()+1)/3-2,0)))</f>
        <v/>
      </c>
      <c r="K386" s="127"/>
      <c r="L386" s="137"/>
      <c r="M386" s="58" t="str" cm="1">
        <f>IF(ISBLANK($A386),"",INDEX(Array_MobileCharges,MATCH($A386,List_MobileFuelMeters,0),ROUNDUP((COLUMN()+1)/3-2,0)))</f>
        <v/>
      </c>
      <c r="N386" s="127"/>
      <c r="O386" s="137"/>
      <c r="P386" s="58" t="str" cm="1">
        <f>IF(ISBLANK($A386),"",INDEX(Array_MobileCharges,MATCH($A386,List_MobileFuelMeters,0),ROUNDUP((COLUMN()+1)/3-2,0)))</f>
        <v/>
      </c>
      <c r="Q386" s="127"/>
      <c r="R386" s="137"/>
      <c r="S386" s="58" t="str" cm="1">
        <f>IF(ISBLANK($A386),"",INDEX(Array_MobileCharges,MATCH($A386,List_MobileFuelMeters,0),ROUNDUP((COLUMN()+1)/3-2,0)))</f>
        <v/>
      </c>
      <c r="T386" s="127"/>
      <c r="U386" s="137"/>
    </row>
    <row r="387" spans="1:21" x14ac:dyDescent="0.3">
      <c r="A387" s="126"/>
      <c r="B387" s="133"/>
      <c r="C387" s="127"/>
      <c r="D387" s="138"/>
      <c r="E387" s="138"/>
      <c r="F387" s="137"/>
      <c r="G387" s="58" t="str" cm="1">
        <f>IF(ISBLANK($A387),"",INDEX(Array_MobileCharges,MATCH($A387,List_MobileFuelMeters,0),ROUNDUP((COLUMN()+1)/3-2,0)))</f>
        <v/>
      </c>
      <c r="H387" s="127"/>
      <c r="I387" s="137"/>
      <c r="J387" s="58" t="str" cm="1">
        <f>IF(ISBLANK($A387),"",INDEX(Array_MobileCharges,MATCH($A387,List_MobileFuelMeters,0),ROUNDUP((COLUMN()+1)/3-2,0)))</f>
        <v/>
      </c>
      <c r="K387" s="127"/>
      <c r="L387" s="137"/>
      <c r="M387" s="58" t="str" cm="1">
        <f>IF(ISBLANK($A387),"",INDEX(Array_MobileCharges,MATCH($A387,List_MobileFuelMeters,0),ROUNDUP((COLUMN()+1)/3-2,0)))</f>
        <v/>
      </c>
      <c r="N387" s="127"/>
      <c r="O387" s="137"/>
      <c r="P387" s="58" t="str" cm="1">
        <f>IF(ISBLANK($A387),"",INDEX(Array_MobileCharges,MATCH($A387,List_MobileFuelMeters,0),ROUNDUP((COLUMN()+1)/3-2,0)))</f>
        <v/>
      </c>
      <c r="Q387" s="127"/>
      <c r="R387" s="137"/>
      <c r="S387" s="58" t="str" cm="1">
        <f>IF(ISBLANK($A387),"",INDEX(Array_MobileCharges,MATCH($A387,List_MobileFuelMeters,0),ROUNDUP((COLUMN()+1)/3-2,0)))</f>
        <v/>
      </c>
      <c r="T387" s="127"/>
      <c r="U387" s="137"/>
    </row>
    <row r="388" spans="1:21" x14ac:dyDescent="0.3">
      <c r="A388" s="126"/>
      <c r="B388" s="133"/>
      <c r="C388" s="127"/>
      <c r="D388" s="138"/>
      <c r="E388" s="138"/>
      <c r="F388" s="137"/>
      <c r="G388" s="58" t="str" cm="1">
        <f>IF(ISBLANK($A388),"",INDEX(Array_MobileCharges,MATCH($A388,List_MobileFuelMeters,0),ROUNDUP((COLUMN()+1)/3-2,0)))</f>
        <v/>
      </c>
      <c r="H388" s="127"/>
      <c r="I388" s="137"/>
      <c r="J388" s="58" t="str" cm="1">
        <f>IF(ISBLANK($A388),"",INDEX(Array_MobileCharges,MATCH($A388,List_MobileFuelMeters,0),ROUNDUP((COLUMN()+1)/3-2,0)))</f>
        <v/>
      </c>
      <c r="K388" s="127"/>
      <c r="L388" s="137"/>
      <c r="M388" s="58" t="str" cm="1">
        <f>IF(ISBLANK($A388),"",INDEX(Array_MobileCharges,MATCH($A388,List_MobileFuelMeters,0),ROUNDUP((COLUMN()+1)/3-2,0)))</f>
        <v/>
      </c>
      <c r="N388" s="127"/>
      <c r="O388" s="137"/>
      <c r="P388" s="58" t="str" cm="1">
        <f>IF(ISBLANK($A388),"",INDEX(Array_MobileCharges,MATCH($A388,List_MobileFuelMeters,0),ROUNDUP((COLUMN()+1)/3-2,0)))</f>
        <v/>
      </c>
      <c r="Q388" s="127"/>
      <c r="R388" s="137"/>
      <c r="S388" s="58" t="str" cm="1">
        <f>IF(ISBLANK($A388),"",INDEX(Array_MobileCharges,MATCH($A388,List_MobileFuelMeters,0),ROUNDUP((COLUMN()+1)/3-2,0)))</f>
        <v/>
      </c>
      <c r="T388" s="127"/>
      <c r="U388" s="137"/>
    </row>
    <row r="389" spans="1:21" x14ac:dyDescent="0.3">
      <c r="A389" s="126"/>
      <c r="B389" s="133"/>
      <c r="C389" s="127"/>
      <c r="D389" s="138"/>
      <c r="E389" s="138"/>
      <c r="F389" s="137"/>
      <c r="G389" s="58" t="str" cm="1">
        <f>IF(ISBLANK($A389),"",INDEX(Array_MobileCharges,MATCH($A389,List_MobileFuelMeters,0),ROUNDUP((COLUMN()+1)/3-2,0)))</f>
        <v/>
      </c>
      <c r="H389" s="127"/>
      <c r="I389" s="137"/>
      <c r="J389" s="58" t="str" cm="1">
        <f>IF(ISBLANK($A389),"",INDEX(Array_MobileCharges,MATCH($A389,List_MobileFuelMeters,0),ROUNDUP((COLUMN()+1)/3-2,0)))</f>
        <v/>
      </c>
      <c r="K389" s="127"/>
      <c r="L389" s="137"/>
      <c r="M389" s="58" t="str" cm="1">
        <f>IF(ISBLANK($A389),"",INDEX(Array_MobileCharges,MATCH($A389,List_MobileFuelMeters,0),ROUNDUP((COLUMN()+1)/3-2,0)))</f>
        <v/>
      </c>
      <c r="N389" s="127"/>
      <c r="O389" s="137"/>
      <c r="P389" s="58" t="str" cm="1">
        <f>IF(ISBLANK($A389),"",INDEX(Array_MobileCharges,MATCH($A389,List_MobileFuelMeters,0),ROUNDUP((COLUMN()+1)/3-2,0)))</f>
        <v/>
      </c>
      <c r="Q389" s="127"/>
      <c r="R389" s="137"/>
      <c r="S389" s="58" t="str" cm="1">
        <f>IF(ISBLANK($A389),"",INDEX(Array_MobileCharges,MATCH($A389,List_MobileFuelMeters,0),ROUNDUP((COLUMN()+1)/3-2,0)))</f>
        <v/>
      </c>
      <c r="T389" s="127"/>
      <c r="U389" s="137"/>
    </row>
    <row r="390" spans="1:21" x14ac:dyDescent="0.3">
      <c r="A390" s="126"/>
      <c r="B390" s="133"/>
      <c r="C390" s="127"/>
      <c r="D390" s="138"/>
      <c r="E390" s="138"/>
      <c r="F390" s="137"/>
      <c r="G390" s="58" t="str" cm="1">
        <f>IF(ISBLANK($A390),"",INDEX(Array_MobileCharges,MATCH($A390,List_MobileFuelMeters,0),ROUNDUP((COLUMN()+1)/3-2,0)))</f>
        <v/>
      </c>
      <c r="H390" s="127"/>
      <c r="I390" s="137"/>
      <c r="J390" s="58" t="str" cm="1">
        <f>IF(ISBLANK($A390),"",INDEX(Array_MobileCharges,MATCH($A390,List_MobileFuelMeters,0),ROUNDUP((COLUMN()+1)/3-2,0)))</f>
        <v/>
      </c>
      <c r="K390" s="127"/>
      <c r="L390" s="137"/>
      <c r="M390" s="58" t="str" cm="1">
        <f>IF(ISBLANK($A390),"",INDEX(Array_MobileCharges,MATCH($A390,List_MobileFuelMeters,0),ROUNDUP((COLUMN()+1)/3-2,0)))</f>
        <v/>
      </c>
      <c r="N390" s="127"/>
      <c r="O390" s="137"/>
      <c r="P390" s="58" t="str" cm="1">
        <f>IF(ISBLANK($A390),"",INDEX(Array_MobileCharges,MATCH($A390,List_MobileFuelMeters,0),ROUNDUP((COLUMN()+1)/3-2,0)))</f>
        <v/>
      </c>
      <c r="Q390" s="127"/>
      <c r="R390" s="137"/>
      <c r="S390" s="58" t="str" cm="1">
        <f>IF(ISBLANK($A390),"",INDEX(Array_MobileCharges,MATCH($A390,List_MobileFuelMeters,0),ROUNDUP((COLUMN()+1)/3-2,0)))</f>
        <v/>
      </c>
      <c r="T390" s="127"/>
      <c r="U390" s="137"/>
    </row>
    <row r="391" spans="1:21" x14ac:dyDescent="0.3">
      <c r="A391" s="126"/>
      <c r="B391" s="133"/>
      <c r="C391" s="127"/>
      <c r="D391" s="138"/>
      <c r="E391" s="138"/>
      <c r="F391" s="137"/>
      <c r="G391" s="58" t="str" cm="1">
        <f>IF(ISBLANK($A391),"",INDEX(Array_MobileCharges,MATCH($A391,List_MobileFuelMeters,0),ROUNDUP((COLUMN()+1)/3-2,0)))</f>
        <v/>
      </c>
      <c r="H391" s="127"/>
      <c r="I391" s="137"/>
      <c r="J391" s="58" t="str" cm="1">
        <f>IF(ISBLANK($A391),"",INDEX(Array_MobileCharges,MATCH($A391,List_MobileFuelMeters,0),ROUNDUP((COLUMN()+1)/3-2,0)))</f>
        <v/>
      </c>
      <c r="K391" s="127"/>
      <c r="L391" s="137"/>
      <c r="M391" s="58" t="str" cm="1">
        <f>IF(ISBLANK($A391),"",INDEX(Array_MobileCharges,MATCH($A391,List_MobileFuelMeters,0),ROUNDUP((COLUMN()+1)/3-2,0)))</f>
        <v/>
      </c>
      <c r="N391" s="127"/>
      <c r="O391" s="137"/>
      <c r="P391" s="58" t="str" cm="1">
        <f>IF(ISBLANK($A391),"",INDEX(Array_MobileCharges,MATCH($A391,List_MobileFuelMeters,0),ROUNDUP((COLUMN()+1)/3-2,0)))</f>
        <v/>
      </c>
      <c r="Q391" s="127"/>
      <c r="R391" s="137"/>
      <c r="S391" s="58" t="str" cm="1">
        <f>IF(ISBLANK($A391),"",INDEX(Array_MobileCharges,MATCH($A391,List_MobileFuelMeters,0),ROUNDUP((COLUMN()+1)/3-2,0)))</f>
        <v/>
      </c>
      <c r="T391" s="127"/>
      <c r="U391" s="137"/>
    </row>
    <row r="392" spans="1:21" x14ac:dyDescent="0.3">
      <c r="A392" s="126"/>
      <c r="B392" s="133"/>
      <c r="C392" s="127"/>
      <c r="D392" s="138"/>
      <c r="E392" s="138"/>
      <c r="F392" s="137"/>
      <c r="G392" s="58" t="str" cm="1">
        <f>IF(ISBLANK($A392),"",INDEX(Array_MobileCharges,MATCH($A392,List_MobileFuelMeters,0),ROUNDUP((COLUMN()+1)/3-2,0)))</f>
        <v/>
      </c>
      <c r="H392" s="127"/>
      <c r="I392" s="137"/>
      <c r="J392" s="58" t="str" cm="1">
        <f>IF(ISBLANK($A392),"",INDEX(Array_MobileCharges,MATCH($A392,List_MobileFuelMeters,0),ROUNDUP((COLUMN()+1)/3-2,0)))</f>
        <v/>
      </c>
      <c r="K392" s="127"/>
      <c r="L392" s="137"/>
      <c r="M392" s="58" t="str" cm="1">
        <f>IF(ISBLANK($A392),"",INDEX(Array_MobileCharges,MATCH($A392,List_MobileFuelMeters,0),ROUNDUP((COLUMN()+1)/3-2,0)))</f>
        <v/>
      </c>
      <c r="N392" s="127"/>
      <c r="O392" s="137"/>
      <c r="P392" s="58" t="str" cm="1">
        <f>IF(ISBLANK($A392),"",INDEX(Array_MobileCharges,MATCH($A392,List_MobileFuelMeters,0),ROUNDUP((COLUMN()+1)/3-2,0)))</f>
        <v/>
      </c>
      <c r="Q392" s="127"/>
      <c r="R392" s="137"/>
      <c r="S392" s="58" t="str" cm="1">
        <f>IF(ISBLANK($A392),"",INDEX(Array_MobileCharges,MATCH($A392,List_MobileFuelMeters,0),ROUNDUP((COLUMN()+1)/3-2,0)))</f>
        <v/>
      </c>
      <c r="T392" s="127"/>
      <c r="U392" s="137"/>
    </row>
    <row r="393" spans="1:21" x14ac:dyDescent="0.3">
      <c r="A393" s="126"/>
      <c r="B393" s="133"/>
      <c r="C393" s="127"/>
      <c r="D393" s="138"/>
      <c r="E393" s="138"/>
      <c r="F393" s="137"/>
      <c r="G393" s="58" t="str" cm="1">
        <f>IF(ISBLANK($A393),"",INDEX(Array_MobileCharges,MATCH($A393,List_MobileFuelMeters,0),ROUNDUP((COLUMN()+1)/3-2,0)))</f>
        <v/>
      </c>
      <c r="H393" s="127"/>
      <c r="I393" s="137"/>
      <c r="J393" s="58" t="str" cm="1">
        <f>IF(ISBLANK($A393),"",INDEX(Array_MobileCharges,MATCH($A393,List_MobileFuelMeters,0),ROUNDUP((COLUMN()+1)/3-2,0)))</f>
        <v/>
      </c>
      <c r="K393" s="127"/>
      <c r="L393" s="137"/>
      <c r="M393" s="58" t="str" cm="1">
        <f>IF(ISBLANK($A393),"",INDEX(Array_MobileCharges,MATCH($A393,List_MobileFuelMeters,0),ROUNDUP((COLUMN()+1)/3-2,0)))</f>
        <v/>
      </c>
      <c r="N393" s="127"/>
      <c r="O393" s="137"/>
      <c r="P393" s="58" t="str" cm="1">
        <f>IF(ISBLANK($A393),"",INDEX(Array_MobileCharges,MATCH($A393,List_MobileFuelMeters,0),ROUNDUP((COLUMN()+1)/3-2,0)))</f>
        <v/>
      </c>
      <c r="Q393" s="127"/>
      <c r="R393" s="137"/>
      <c r="S393" s="58" t="str" cm="1">
        <f>IF(ISBLANK($A393),"",INDEX(Array_MobileCharges,MATCH($A393,List_MobileFuelMeters,0),ROUNDUP((COLUMN()+1)/3-2,0)))</f>
        <v/>
      </c>
      <c r="T393" s="127"/>
      <c r="U393" s="137"/>
    </row>
    <row r="394" spans="1:21" x14ac:dyDescent="0.3">
      <c r="A394" s="126"/>
      <c r="B394" s="133"/>
      <c r="C394" s="127"/>
      <c r="D394" s="138"/>
      <c r="E394" s="138"/>
      <c r="F394" s="137"/>
      <c r="G394" s="58" t="str" cm="1">
        <f>IF(ISBLANK($A394),"",INDEX(Array_MobileCharges,MATCH($A394,List_MobileFuelMeters,0),ROUNDUP((COLUMN()+1)/3-2,0)))</f>
        <v/>
      </c>
      <c r="H394" s="127"/>
      <c r="I394" s="137"/>
      <c r="J394" s="58" t="str" cm="1">
        <f>IF(ISBLANK($A394),"",INDEX(Array_MobileCharges,MATCH($A394,List_MobileFuelMeters,0),ROUNDUP((COLUMN()+1)/3-2,0)))</f>
        <v/>
      </c>
      <c r="K394" s="127"/>
      <c r="L394" s="137"/>
      <c r="M394" s="58" t="str" cm="1">
        <f>IF(ISBLANK($A394),"",INDEX(Array_MobileCharges,MATCH($A394,List_MobileFuelMeters,0),ROUNDUP((COLUMN()+1)/3-2,0)))</f>
        <v/>
      </c>
      <c r="N394" s="127"/>
      <c r="O394" s="137"/>
      <c r="P394" s="58" t="str" cm="1">
        <f>IF(ISBLANK($A394),"",INDEX(Array_MobileCharges,MATCH($A394,List_MobileFuelMeters,0),ROUNDUP((COLUMN()+1)/3-2,0)))</f>
        <v/>
      </c>
      <c r="Q394" s="127"/>
      <c r="R394" s="137"/>
      <c r="S394" s="58" t="str" cm="1">
        <f>IF(ISBLANK($A394),"",INDEX(Array_MobileCharges,MATCH($A394,List_MobileFuelMeters,0),ROUNDUP((COLUMN()+1)/3-2,0)))</f>
        <v/>
      </c>
      <c r="T394" s="127"/>
      <c r="U394" s="137"/>
    </row>
    <row r="395" spans="1:21" x14ac:dyDescent="0.3">
      <c r="A395" s="126"/>
      <c r="B395" s="133"/>
      <c r="C395" s="127"/>
      <c r="D395" s="138"/>
      <c r="E395" s="138"/>
      <c r="F395" s="137"/>
      <c r="G395" s="58" t="str" cm="1">
        <f>IF(ISBLANK($A395),"",INDEX(Array_MobileCharges,MATCH($A395,List_MobileFuelMeters,0),ROUNDUP((COLUMN()+1)/3-2,0)))</f>
        <v/>
      </c>
      <c r="H395" s="127"/>
      <c r="I395" s="137"/>
      <c r="J395" s="58" t="str" cm="1">
        <f>IF(ISBLANK($A395),"",INDEX(Array_MobileCharges,MATCH($A395,List_MobileFuelMeters,0),ROUNDUP((COLUMN()+1)/3-2,0)))</f>
        <v/>
      </c>
      <c r="K395" s="127"/>
      <c r="L395" s="137"/>
      <c r="M395" s="58" t="str" cm="1">
        <f>IF(ISBLANK($A395),"",INDEX(Array_MobileCharges,MATCH($A395,List_MobileFuelMeters,0),ROUNDUP((COLUMN()+1)/3-2,0)))</f>
        <v/>
      </c>
      <c r="N395" s="127"/>
      <c r="O395" s="137"/>
      <c r="P395" s="58" t="str" cm="1">
        <f>IF(ISBLANK($A395),"",INDEX(Array_MobileCharges,MATCH($A395,List_MobileFuelMeters,0),ROUNDUP((COLUMN()+1)/3-2,0)))</f>
        <v/>
      </c>
      <c r="Q395" s="127"/>
      <c r="R395" s="137"/>
      <c r="S395" s="58" t="str" cm="1">
        <f>IF(ISBLANK($A395),"",INDEX(Array_MobileCharges,MATCH($A395,List_MobileFuelMeters,0),ROUNDUP((COLUMN()+1)/3-2,0)))</f>
        <v/>
      </c>
      <c r="T395" s="127"/>
      <c r="U395" s="137"/>
    </row>
    <row r="396" spans="1:21" x14ac:dyDescent="0.3">
      <c r="A396" s="126"/>
      <c r="B396" s="133"/>
      <c r="C396" s="127"/>
      <c r="D396" s="138"/>
      <c r="E396" s="138"/>
      <c r="F396" s="137"/>
      <c r="G396" s="58" t="str" cm="1">
        <f>IF(ISBLANK($A396),"",INDEX(Array_MobileCharges,MATCH($A396,List_MobileFuelMeters,0),ROUNDUP((COLUMN()+1)/3-2,0)))</f>
        <v/>
      </c>
      <c r="H396" s="127"/>
      <c r="I396" s="137"/>
      <c r="J396" s="58" t="str" cm="1">
        <f>IF(ISBLANK($A396),"",INDEX(Array_MobileCharges,MATCH($A396,List_MobileFuelMeters,0),ROUNDUP((COLUMN()+1)/3-2,0)))</f>
        <v/>
      </c>
      <c r="K396" s="127"/>
      <c r="L396" s="137"/>
      <c r="M396" s="58" t="str" cm="1">
        <f>IF(ISBLANK($A396),"",INDEX(Array_MobileCharges,MATCH($A396,List_MobileFuelMeters,0),ROUNDUP((COLUMN()+1)/3-2,0)))</f>
        <v/>
      </c>
      <c r="N396" s="127"/>
      <c r="O396" s="137"/>
      <c r="P396" s="58" t="str" cm="1">
        <f>IF(ISBLANK($A396),"",INDEX(Array_MobileCharges,MATCH($A396,List_MobileFuelMeters,0),ROUNDUP((COLUMN()+1)/3-2,0)))</f>
        <v/>
      </c>
      <c r="Q396" s="127"/>
      <c r="R396" s="137"/>
      <c r="S396" s="58" t="str" cm="1">
        <f>IF(ISBLANK($A396),"",INDEX(Array_MobileCharges,MATCH($A396,List_MobileFuelMeters,0),ROUNDUP((COLUMN()+1)/3-2,0)))</f>
        <v/>
      </c>
      <c r="T396" s="127"/>
      <c r="U396" s="137"/>
    </row>
    <row r="397" spans="1:21" x14ac:dyDescent="0.3">
      <c r="A397" s="126"/>
      <c r="B397" s="133"/>
      <c r="C397" s="127"/>
      <c r="D397" s="138"/>
      <c r="E397" s="138"/>
      <c r="F397" s="137"/>
      <c r="G397" s="58" t="str" cm="1">
        <f>IF(ISBLANK($A397),"",INDEX(Array_MobileCharges,MATCH($A397,List_MobileFuelMeters,0),ROUNDUP((COLUMN()+1)/3-2,0)))</f>
        <v/>
      </c>
      <c r="H397" s="127"/>
      <c r="I397" s="137"/>
      <c r="J397" s="58" t="str" cm="1">
        <f>IF(ISBLANK($A397),"",INDEX(Array_MobileCharges,MATCH($A397,List_MobileFuelMeters,0),ROUNDUP((COLUMN()+1)/3-2,0)))</f>
        <v/>
      </c>
      <c r="K397" s="127"/>
      <c r="L397" s="137"/>
      <c r="M397" s="58" t="str" cm="1">
        <f>IF(ISBLANK($A397),"",INDEX(Array_MobileCharges,MATCH($A397,List_MobileFuelMeters,0),ROUNDUP((COLUMN()+1)/3-2,0)))</f>
        <v/>
      </c>
      <c r="N397" s="127"/>
      <c r="O397" s="137"/>
      <c r="P397" s="58" t="str" cm="1">
        <f>IF(ISBLANK($A397),"",INDEX(Array_MobileCharges,MATCH($A397,List_MobileFuelMeters,0),ROUNDUP((COLUMN()+1)/3-2,0)))</f>
        <v/>
      </c>
      <c r="Q397" s="127"/>
      <c r="R397" s="137"/>
      <c r="S397" s="58" t="str" cm="1">
        <f>IF(ISBLANK($A397),"",INDEX(Array_MobileCharges,MATCH($A397,List_MobileFuelMeters,0),ROUNDUP((COLUMN()+1)/3-2,0)))</f>
        <v/>
      </c>
      <c r="T397" s="127"/>
      <c r="U397" s="137"/>
    </row>
    <row r="398" spans="1:21" x14ac:dyDescent="0.3">
      <c r="A398" s="126"/>
      <c r="B398" s="133"/>
      <c r="C398" s="127"/>
      <c r="D398" s="138"/>
      <c r="E398" s="138"/>
      <c r="F398" s="137"/>
      <c r="G398" s="58" t="str" cm="1">
        <f>IF(ISBLANK($A398),"",INDEX(Array_MobileCharges,MATCH($A398,List_MobileFuelMeters,0),ROUNDUP((COLUMN()+1)/3-2,0)))</f>
        <v/>
      </c>
      <c r="H398" s="127"/>
      <c r="I398" s="137"/>
      <c r="J398" s="58" t="str" cm="1">
        <f>IF(ISBLANK($A398),"",INDEX(Array_MobileCharges,MATCH($A398,List_MobileFuelMeters,0),ROUNDUP((COLUMN()+1)/3-2,0)))</f>
        <v/>
      </c>
      <c r="K398" s="127"/>
      <c r="L398" s="137"/>
      <c r="M398" s="58" t="str" cm="1">
        <f>IF(ISBLANK($A398),"",INDEX(Array_MobileCharges,MATCH($A398,List_MobileFuelMeters,0),ROUNDUP((COLUMN()+1)/3-2,0)))</f>
        <v/>
      </c>
      <c r="N398" s="127"/>
      <c r="O398" s="137"/>
      <c r="P398" s="58" t="str" cm="1">
        <f>IF(ISBLANK($A398),"",INDEX(Array_MobileCharges,MATCH($A398,List_MobileFuelMeters,0),ROUNDUP((COLUMN()+1)/3-2,0)))</f>
        <v/>
      </c>
      <c r="Q398" s="127"/>
      <c r="R398" s="137"/>
      <c r="S398" s="58" t="str" cm="1">
        <f>IF(ISBLANK($A398),"",INDEX(Array_MobileCharges,MATCH($A398,List_MobileFuelMeters,0),ROUNDUP((COLUMN()+1)/3-2,0)))</f>
        <v/>
      </c>
      <c r="T398" s="127"/>
      <c r="U398" s="137"/>
    </row>
    <row r="399" spans="1:21" x14ac:dyDescent="0.3">
      <c r="A399" s="126"/>
      <c r="B399" s="133"/>
      <c r="C399" s="127"/>
      <c r="D399" s="138"/>
      <c r="E399" s="138"/>
      <c r="F399" s="137"/>
      <c r="G399" s="58" t="str" cm="1">
        <f>IF(ISBLANK($A399),"",INDEX(Array_MobileCharges,MATCH($A399,List_MobileFuelMeters,0),ROUNDUP((COLUMN()+1)/3-2,0)))</f>
        <v/>
      </c>
      <c r="H399" s="127"/>
      <c r="I399" s="137"/>
      <c r="J399" s="58" t="str" cm="1">
        <f>IF(ISBLANK($A399),"",INDEX(Array_MobileCharges,MATCH($A399,List_MobileFuelMeters,0),ROUNDUP((COLUMN()+1)/3-2,0)))</f>
        <v/>
      </c>
      <c r="K399" s="127"/>
      <c r="L399" s="137"/>
      <c r="M399" s="58" t="str" cm="1">
        <f>IF(ISBLANK($A399),"",INDEX(Array_MobileCharges,MATCH($A399,List_MobileFuelMeters,0),ROUNDUP((COLUMN()+1)/3-2,0)))</f>
        <v/>
      </c>
      <c r="N399" s="127"/>
      <c r="O399" s="137"/>
      <c r="P399" s="58" t="str" cm="1">
        <f>IF(ISBLANK($A399),"",INDEX(Array_MobileCharges,MATCH($A399,List_MobileFuelMeters,0),ROUNDUP((COLUMN()+1)/3-2,0)))</f>
        <v/>
      </c>
      <c r="Q399" s="127"/>
      <c r="R399" s="137"/>
      <c r="S399" s="58" t="str" cm="1">
        <f>IF(ISBLANK($A399),"",INDEX(Array_MobileCharges,MATCH($A399,List_MobileFuelMeters,0),ROUNDUP((COLUMN()+1)/3-2,0)))</f>
        <v/>
      </c>
      <c r="T399" s="127"/>
      <c r="U399" s="137"/>
    </row>
    <row r="400" spans="1:21" x14ac:dyDescent="0.3">
      <c r="A400" s="126"/>
      <c r="B400" s="133"/>
      <c r="C400" s="127"/>
      <c r="D400" s="138"/>
      <c r="E400" s="138"/>
      <c r="F400" s="137"/>
      <c r="G400" s="58" t="str" cm="1">
        <f>IF(ISBLANK($A400),"",INDEX(Array_MobileCharges,MATCH($A400,List_MobileFuelMeters,0),ROUNDUP((COLUMN()+1)/3-2,0)))</f>
        <v/>
      </c>
      <c r="H400" s="127"/>
      <c r="I400" s="137"/>
      <c r="J400" s="58" t="str" cm="1">
        <f>IF(ISBLANK($A400),"",INDEX(Array_MobileCharges,MATCH($A400,List_MobileFuelMeters,0),ROUNDUP((COLUMN()+1)/3-2,0)))</f>
        <v/>
      </c>
      <c r="K400" s="127"/>
      <c r="L400" s="137"/>
      <c r="M400" s="58" t="str" cm="1">
        <f>IF(ISBLANK($A400),"",INDEX(Array_MobileCharges,MATCH($A400,List_MobileFuelMeters,0),ROUNDUP((COLUMN()+1)/3-2,0)))</f>
        <v/>
      </c>
      <c r="N400" s="127"/>
      <c r="O400" s="137"/>
      <c r="P400" s="58" t="str" cm="1">
        <f>IF(ISBLANK($A400),"",INDEX(Array_MobileCharges,MATCH($A400,List_MobileFuelMeters,0),ROUNDUP((COLUMN()+1)/3-2,0)))</f>
        <v/>
      </c>
      <c r="Q400" s="127"/>
      <c r="R400" s="137"/>
      <c r="S400" s="58" t="str" cm="1">
        <f>IF(ISBLANK($A400),"",INDEX(Array_MobileCharges,MATCH($A400,List_MobileFuelMeters,0),ROUNDUP((COLUMN()+1)/3-2,0)))</f>
        <v/>
      </c>
      <c r="T400" s="127"/>
      <c r="U400" s="137"/>
    </row>
    <row r="401" spans="1:21" x14ac:dyDescent="0.3">
      <c r="A401" s="126"/>
      <c r="B401" s="133"/>
      <c r="C401" s="127"/>
      <c r="D401" s="138"/>
      <c r="E401" s="138"/>
      <c r="F401" s="137"/>
      <c r="G401" s="58" t="str" cm="1">
        <f>IF(ISBLANK($A401),"",INDEX(Array_MobileCharges,MATCH($A401,List_MobileFuelMeters,0),ROUNDUP((COLUMN()+1)/3-2,0)))</f>
        <v/>
      </c>
      <c r="H401" s="127"/>
      <c r="I401" s="137"/>
      <c r="J401" s="58" t="str" cm="1">
        <f>IF(ISBLANK($A401),"",INDEX(Array_MobileCharges,MATCH($A401,List_MobileFuelMeters,0),ROUNDUP((COLUMN()+1)/3-2,0)))</f>
        <v/>
      </c>
      <c r="K401" s="127"/>
      <c r="L401" s="137"/>
      <c r="M401" s="58" t="str" cm="1">
        <f>IF(ISBLANK($A401),"",INDEX(Array_MobileCharges,MATCH($A401,List_MobileFuelMeters,0),ROUNDUP((COLUMN()+1)/3-2,0)))</f>
        <v/>
      </c>
      <c r="N401" s="127"/>
      <c r="O401" s="137"/>
      <c r="P401" s="58" t="str" cm="1">
        <f>IF(ISBLANK($A401),"",INDEX(Array_MobileCharges,MATCH($A401,List_MobileFuelMeters,0),ROUNDUP((COLUMN()+1)/3-2,0)))</f>
        <v/>
      </c>
      <c r="Q401" s="127"/>
      <c r="R401" s="137"/>
      <c r="S401" s="58" t="str" cm="1">
        <f>IF(ISBLANK($A401),"",INDEX(Array_MobileCharges,MATCH($A401,List_MobileFuelMeters,0),ROUNDUP((COLUMN()+1)/3-2,0)))</f>
        <v/>
      </c>
      <c r="T401" s="127"/>
      <c r="U401" s="137"/>
    </row>
    <row r="402" spans="1:21" x14ac:dyDescent="0.3">
      <c r="A402" s="126"/>
      <c r="B402" s="133"/>
      <c r="C402" s="127"/>
      <c r="D402" s="138"/>
      <c r="E402" s="138"/>
      <c r="F402" s="137"/>
      <c r="G402" s="58" t="str" cm="1">
        <f>IF(ISBLANK($A402),"",INDEX(Array_MobileCharges,MATCH($A402,List_MobileFuelMeters,0),ROUNDUP((COLUMN()+1)/3-2,0)))</f>
        <v/>
      </c>
      <c r="H402" s="127"/>
      <c r="I402" s="137"/>
      <c r="J402" s="58" t="str" cm="1">
        <f>IF(ISBLANK($A402),"",INDEX(Array_MobileCharges,MATCH($A402,List_MobileFuelMeters,0),ROUNDUP((COLUMN()+1)/3-2,0)))</f>
        <v/>
      </c>
      <c r="K402" s="127"/>
      <c r="L402" s="137"/>
      <c r="M402" s="58" t="str" cm="1">
        <f>IF(ISBLANK($A402),"",INDEX(Array_MobileCharges,MATCH($A402,List_MobileFuelMeters,0),ROUNDUP((COLUMN()+1)/3-2,0)))</f>
        <v/>
      </c>
      <c r="N402" s="127"/>
      <c r="O402" s="137"/>
      <c r="P402" s="58" t="str" cm="1">
        <f>IF(ISBLANK($A402),"",INDEX(Array_MobileCharges,MATCH($A402,List_MobileFuelMeters,0),ROUNDUP((COLUMN()+1)/3-2,0)))</f>
        <v/>
      </c>
      <c r="Q402" s="127"/>
      <c r="R402" s="137"/>
      <c r="S402" s="58" t="str" cm="1">
        <f>IF(ISBLANK($A402),"",INDEX(Array_MobileCharges,MATCH($A402,List_MobileFuelMeters,0),ROUNDUP((COLUMN()+1)/3-2,0)))</f>
        <v/>
      </c>
      <c r="T402" s="127"/>
      <c r="U402" s="137"/>
    </row>
    <row r="403" spans="1:21" x14ac:dyDescent="0.3">
      <c r="A403" s="126"/>
      <c r="B403" s="133"/>
      <c r="C403" s="127"/>
      <c r="D403" s="138"/>
      <c r="E403" s="138"/>
      <c r="F403" s="137"/>
      <c r="G403" s="58" t="str" cm="1">
        <f>IF(ISBLANK($A403),"",INDEX(Array_MobileCharges,MATCH($A403,List_MobileFuelMeters,0),ROUNDUP((COLUMN()+1)/3-2,0)))</f>
        <v/>
      </c>
      <c r="H403" s="127"/>
      <c r="I403" s="137"/>
      <c r="J403" s="58" t="str" cm="1">
        <f>IF(ISBLANK($A403),"",INDEX(Array_MobileCharges,MATCH($A403,List_MobileFuelMeters,0),ROUNDUP((COLUMN()+1)/3-2,0)))</f>
        <v/>
      </c>
      <c r="K403" s="127"/>
      <c r="L403" s="137"/>
      <c r="M403" s="58" t="str" cm="1">
        <f>IF(ISBLANK($A403),"",INDEX(Array_MobileCharges,MATCH($A403,List_MobileFuelMeters,0),ROUNDUP((COLUMN()+1)/3-2,0)))</f>
        <v/>
      </c>
      <c r="N403" s="127"/>
      <c r="O403" s="137"/>
      <c r="P403" s="58" t="str" cm="1">
        <f>IF(ISBLANK($A403),"",INDEX(Array_MobileCharges,MATCH($A403,List_MobileFuelMeters,0),ROUNDUP((COLUMN()+1)/3-2,0)))</f>
        <v/>
      </c>
      <c r="Q403" s="127"/>
      <c r="R403" s="137"/>
      <c r="S403" s="58" t="str" cm="1">
        <f>IF(ISBLANK($A403),"",INDEX(Array_MobileCharges,MATCH($A403,List_MobileFuelMeters,0),ROUNDUP((COLUMN()+1)/3-2,0)))</f>
        <v/>
      </c>
      <c r="T403" s="127"/>
      <c r="U403" s="137"/>
    </row>
    <row r="404" spans="1:21" x14ac:dyDescent="0.3">
      <c r="A404" s="126"/>
      <c r="B404" s="133"/>
      <c r="C404" s="127"/>
      <c r="D404" s="138"/>
      <c r="E404" s="138"/>
      <c r="F404" s="137"/>
      <c r="G404" s="58" t="str" cm="1">
        <f>IF(ISBLANK($A404),"",INDEX(Array_MobileCharges,MATCH($A404,List_MobileFuelMeters,0),ROUNDUP((COLUMN()+1)/3-2,0)))</f>
        <v/>
      </c>
      <c r="H404" s="127"/>
      <c r="I404" s="137"/>
      <c r="J404" s="58" t="str" cm="1">
        <f>IF(ISBLANK($A404),"",INDEX(Array_MobileCharges,MATCH($A404,List_MobileFuelMeters,0),ROUNDUP((COLUMN()+1)/3-2,0)))</f>
        <v/>
      </c>
      <c r="K404" s="127"/>
      <c r="L404" s="137"/>
      <c r="M404" s="58" t="str" cm="1">
        <f>IF(ISBLANK($A404),"",INDEX(Array_MobileCharges,MATCH($A404,List_MobileFuelMeters,0),ROUNDUP((COLUMN()+1)/3-2,0)))</f>
        <v/>
      </c>
      <c r="N404" s="127"/>
      <c r="O404" s="137"/>
      <c r="P404" s="58" t="str" cm="1">
        <f>IF(ISBLANK($A404),"",INDEX(Array_MobileCharges,MATCH($A404,List_MobileFuelMeters,0),ROUNDUP((COLUMN()+1)/3-2,0)))</f>
        <v/>
      </c>
      <c r="Q404" s="127"/>
      <c r="R404" s="137"/>
      <c r="S404" s="58" t="str" cm="1">
        <f>IF(ISBLANK($A404),"",INDEX(Array_MobileCharges,MATCH($A404,List_MobileFuelMeters,0),ROUNDUP((COLUMN()+1)/3-2,0)))</f>
        <v/>
      </c>
      <c r="T404" s="127"/>
      <c r="U404" s="137"/>
    </row>
    <row r="405" spans="1:21" x14ac:dyDescent="0.3">
      <c r="A405" s="126"/>
      <c r="B405" s="133"/>
      <c r="C405" s="127"/>
      <c r="D405" s="138"/>
      <c r="E405" s="138"/>
      <c r="F405" s="137"/>
      <c r="G405" s="58" t="str" cm="1">
        <f>IF(ISBLANK($A405),"",INDEX(Array_MobileCharges,MATCH($A405,List_MobileFuelMeters,0),ROUNDUP((COLUMN()+1)/3-2,0)))</f>
        <v/>
      </c>
      <c r="H405" s="127"/>
      <c r="I405" s="137"/>
      <c r="J405" s="58" t="str" cm="1">
        <f>IF(ISBLANK($A405),"",INDEX(Array_MobileCharges,MATCH($A405,List_MobileFuelMeters,0),ROUNDUP((COLUMN()+1)/3-2,0)))</f>
        <v/>
      </c>
      <c r="K405" s="127"/>
      <c r="L405" s="137"/>
      <c r="M405" s="58" t="str" cm="1">
        <f>IF(ISBLANK($A405),"",INDEX(Array_MobileCharges,MATCH($A405,List_MobileFuelMeters,0),ROUNDUP((COLUMN()+1)/3-2,0)))</f>
        <v/>
      </c>
      <c r="N405" s="127"/>
      <c r="O405" s="137"/>
      <c r="P405" s="58" t="str" cm="1">
        <f>IF(ISBLANK($A405),"",INDEX(Array_MobileCharges,MATCH($A405,List_MobileFuelMeters,0),ROUNDUP((COLUMN()+1)/3-2,0)))</f>
        <v/>
      </c>
      <c r="Q405" s="127"/>
      <c r="R405" s="137"/>
      <c r="S405" s="58" t="str" cm="1">
        <f>IF(ISBLANK($A405),"",INDEX(Array_MobileCharges,MATCH($A405,List_MobileFuelMeters,0),ROUNDUP((COLUMN()+1)/3-2,0)))</f>
        <v/>
      </c>
      <c r="T405" s="127"/>
      <c r="U405" s="137"/>
    </row>
    <row r="406" spans="1:21" x14ac:dyDescent="0.3">
      <c r="A406" s="126"/>
      <c r="B406" s="133"/>
      <c r="C406" s="127"/>
      <c r="D406" s="138"/>
      <c r="E406" s="138"/>
      <c r="F406" s="137"/>
      <c r="G406" s="58" t="str" cm="1">
        <f>IF(ISBLANK($A406),"",INDEX(Array_MobileCharges,MATCH($A406,List_MobileFuelMeters,0),ROUNDUP((COLUMN()+1)/3-2,0)))</f>
        <v/>
      </c>
      <c r="H406" s="127"/>
      <c r="I406" s="137"/>
      <c r="J406" s="58" t="str" cm="1">
        <f>IF(ISBLANK($A406),"",INDEX(Array_MobileCharges,MATCH($A406,List_MobileFuelMeters,0),ROUNDUP((COLUMN()+1)/3-2,0)))</f>
        <v/>
      </c>
      <c r="K406" s="127"/>
      <c r="L406" s="137"/>
      <c r="M406" s="58" t="str" cm="1">
        <f>IF(ISBLANK($A406),"",INDEX(Array_MobileCharges,MATCH($A406,List_MobileFuelMeters,0),ROUNDUP((COLUMN()+1)/3-2,0)))</f>
        <v/>
      </c>
      <c r="N406" s="127"/>
      <c r="O406" s="137"/>
      <c r="P406" s="58" t="str" cm="1">
        <f>IF(ISBLANK($A406),"",INDEX(Array_MobileCharges,MATCH($A406,List_MobileFuelMeters,0),ROUNDUP((COLUMN()+1)/3-2,0)))</f>
        <v/>
      </c>
      <c r="Q406" s="127"/>
      <c r="R406" s="137"/>
      <c r="S406" s="58" t="str" cm="1">
        <f>IF(ISBLANK($A406),"",INDEX(Array_MobileCharges,MATCH($A406,List_MobileFuelMeters,0),ROUNDUP((COLUMN()+1)/3-2,0)))</f>
        <v/>
      </c>
      <c r="T406" s="127"/>
      <c r="U406" s="137"/>
    </row>
    <row r="407" spans="1:21" x14ac:dyDescent="0.3">
      <c r="A407" s="126"/>
      <c r="B407" s="133"/>
      <c r="C407" s="127"/>
      <c r="D407" s="138"/>
      <c r="E407" s="138"/>
      <c r="F407" s="137"/>
      <c r="G407" s="58" t="str" cm="1">
        <f>IF(ISBLANK($A407),"",INDEX(Array_MobileCharges,MATCH($A407,List_MobileFuelMeters,0),ROUNDUP((COLUMN()+1)/3-2,0)))</f>
        <v/>
      </c>
      <c r="H407" s="127"/>
      <c r="I407" s="137"/>
      <c r="J407" s="58" t="str" cm="1">
        <f>IF(ISBLANK($A407),"",INDEX(Array_MobileCharges,MATCH($A407,List_MobileFuelMeters,0),ROUNDUP((COLUMN()+1)/3-2,0)))</f>
        <v/>
      </c>
      <c r="K407" s="127"/>
      <c r="L407" s="137"/>
      <c r="M407" s="58" t="str" cm="1">
        <f>IF(ISBLANK($A407),"",INDEX(Array_MobileCharges,MATCH($A407,List_MobileFuelMeters,0),ROUNDUP((COLUMN()+1)/3-2,0)))</f>
        <v/>
      </c>
      <c r="N407" s="127"/>
      <c r="O407" s="137"/>
      <c r="P407" s="58" t="str" cm="1">
        <f>IF(ISBLANK($A407),"",INDEX(Array_MobileCharges,MATCH($A407,List_MobileFuelMeters,0),ROUNDUP((COLUMN()+1)/3-2,0)))</f>
        <v/>
      </c>
      <c r="Q407" s="127"/>
      <c r="R407" s="137"/>
      <c r="S407" s="58" t="str" cm="1">
        <f>IF(ISBLANK($A407),"",INDEX(Array_MobileCharges,MATCH($A407,List_MobileFuelMeters,0),ROUNDUP((COLUMN()+1)/3-2,0)))</f>
        <v/>
      </c>
      <c r="T407" s="127"/>
      <c r="U407" s="137"/>
    </row>
    <row r="408" spans="1:21" x14ac:dyDescent="0.3">
      <c r="A408" s="126"/>
      <c r="B408" s="133"/>
      <c r="C408" s="127"/>
      <c r="D408" s="138"/>
      <c r="E408" s="138"/>
      <c r="F408" s="137"/>
      <c r="G408" s="58" t="str" cm="1">
        <f>IF(ISBLANK($A408),"",INDEX(Array_MobileCharges,MATCH($A408,List_MobileFuelMeters,0),ROUNDUP((COLUMN()+1)/3-2,0)))</f>
        <v/>
      </c>
      <c r="H408" s="127"/>
      <c r="I408" s="137"/>
      <c r="J408" s="58" t="str" cm="1">
        <f>IF(ISBLANK($A408),"",INDEX(Array_MobileCharges,MATCH($A408,List_MobileFuelMeters,0),ROUNDUP((COLUMN()+1)/3-2,0)))</f>
        <v/>
      </c>
      <c r="K408" s="127"/>
      <c r="L408" s="137"/>
      <c r="M408" s="58" t="str" cm="1">
        <f>IF(ISBLANK($A408),"",INDEX(Array_MobileCharges,MATCH($A408,List_MobileFuelMeters,0),ROUNDUP((COLUMN()+1)/3-2,0)))</f>
        <v/>
      </c>
      <c r="N408" s="127"/>
      <c r="O408" s="137"/>
      <c r="P408" s="58" t="str" cm="1">
        <f>IF(ISBLANK($A408),"",INDEX(Array_MobileCharges,MATCH($A408,List_MobileFuelMeters,0),ROUNDUP((COLUMN()+1)/3-2,0)))</f>
        <v/>
      </c>
      <c r="Q408" s="127"/>
      <c r="R408" s="137"/>
      <c r="S408" s="58" t="str" cm="1">
        <f>IF(ISBLANK($A408),"",INDEX(Array_MobileCharges,MATCH($A408,List_MobileFuelMeters,0),ROUNDUP((COLUMN()+1)/3-2,0)))</f>
        <v/>
      </c>
      <c r="T408" s="127"/>
      <c r="U408" s="137"/>
    </row>
    <row r="409" spans="1:21" x14ac:dyDescent="0.3">
      <c r="A409" s="126"/>
      <c r="B409" s="133"/>
      <c r="C409" s="127"/>
      <c r="D409" s="138"/>
      <c r="E409" s="138"/>
      <c r="F409" s="137"/>
      <c r="G409" s="58" t="str" cm="1">
        <f>IF(ISBLANK($A409),"",INDEX(Array_MobileCharges,MATCH($A409,List_MobileFuelMeters,0),ROUNDUP((COLUMN()+1)/3-2,0)))</f>
        <v/>
      </c>
      <c r="H409" s="127"/>
      <c r="I409" s="137"/>
      <c r="J409" s="58" t="str" cm="1">
        <f>IF(ISBLANK($A409),"",INDEX(Array_MobileCharges,MATCH($A409,List_MobileFuelMeters,0),ROUNDUP((COLUMN()+1)/3-2,0)))</f>
        <v/>
      </c>
      <c r="K409" s="127"/>
      <c r="L409" s="137"/>
      <c r="M409" s="58" t="str" cm="1">
        <f>IF(ISBLANK($A409),"",INDEX(Array_MobileCharges,MATCH($A409,List_MobileFuelMeters,0),ROUNDUP((COLUMN()+1)/3-2,0)))</f>
        <v/>
      </c>
      <c r="N409" s="127"/>
      <c r="O409" s="137"/>
      <c r="P409" s="58" t="str" cm="1">
        <f>IF(ISBLANK($A409),"",INDEX(Array_MobileCharges,MATCH($A409,List_MobileFuelMeters,0),ROUNDUP((COLUMN()+1)/3-2,0)))</f>
        <v/>
      </c>
      <c r="Q409" s="127"/>
      <c r="R409" s="137"/>
      <c r="S409" s="58" t="str" cm="1">
        <f>IF(ISBLANK($A409),"",INDEX(Array_MobileCharges,MATCH($A409,List_MobileFuelMeters,0),ROUNDUP((COLUMN()+1)/3-2,0)))</f>
        <v/>
      </c>
      <c r="T409" s="127"/>
      <c r="U409" s="137"/>
    </row>
    <row r="410" spans="1:21" x14ac:dyDescent="0.3">
      <c r="A410" s="126"/>
      <c r="B410" s="133"/>
      <c r="C410" s="127"/>
      <c r="D410" s="138"/>
      <c r="E410" s="138"/>
      <c r="F410" s="137"/>
      <c r="G410" s="58" t="str" cm="1">
        <f>IF(ISBLANK($A410),"",INDEX(Array_MobileCharges,MATCH($A410,List_MobileFuelMeters,0),ROUNDUP((COLUMN()+1)/3-2,0)))</f>
        <v/>
      </c>
      <c r="H410" s="127"/>
      <c r="I410" s="137"/>
      <c r="J410" s="58" t="str" cm="1">
        <f>IF(ISBLANK($A410),"",INDEX(Array_MobileCharges,MATCH($A410,List_MobileFuelMeters,0),ROUNDUP((COLUMN()+1)/3-2,0)))</f>
        <v/>
      </c>
      <c r="K410" s="127"/>
      <c r="L410" s="137"/>
      <c r="M410" s="58" t="str" cm="1">
        <f>IF(ISBLANK($A410),"",INDEX(Array_MobileCharges,MATCH($A410,List_MobileFuelMeters,0),ROUNDUP((COLUMN()+1)/3-2,0)))</f>
        <v/>
      </c>
      <c r="N410" s="127"/>
      <c r="O410" s="137"/>
      <c r="P410" s="58" t="str" cm="1">
        <f>IF(ISBLANK($A410),"",INDEX(Array_MobileCharges,MATCH($A410,List_MobileFuelMeters,0),ROUNDUP((COLUMN()+1)/3-2,0)))</f>
        <v/>
      </c>
      <c r="Q410" s="127"/>
      <c r="R410" s="137"/>
      <c r="S410" s="58" t="str" cm="1">
        <f>IF(ISBLANK($A410),"",INDEX(Array_MobileCharges,MATCH($A410,List_MobileFuelMeters,0),ROUNDUP((COLUMN()+1)/3-2,0)))</f>
        <v/>
      </c>
      <c r="T410" s="127"/>
      <c r="U410" s="137"/>
    </row>
    <row r="411" spans="1:21" x14ac:dyDescent="0.3">
      <c r="A411" s="126"/>
      <c r="B411" s="133"/>
      <c r="C411" s="127"/>
      <c r="D411" s="138"/>
      <c r="E411" s="138"/>
      <c r="F411" s="137"/>
      <c r="G411" s="58" t="str" cm="1">
        <f>IF(ISBLANK($A411),"",INDEX(Array_MobileCharges,MATCH($A411,List_MobileFuelMeters,0),ROUNDUP((COLUMN()+1)/3-2,0)))</f>
        <v/>
      </c>
      <c r="H411" s="127"/>
      <c r="I411" s="137"/>
      <c r="J411" s="58" t="str" cm="1">
        <f>IF(ISBLANK($A411),"",INDEX(Array_MobileCharges,MATCH($A411,List_MobileFuelMeters,0),ROUNDUP((COLUMN()+1)/3-2,0)))</f>
        <v/>
      </c>
      <c r="K411" s="127"/>
      <c r="L411" s="137"/>
      <c r="M411" s="58" t="str" cm="1">
        <f>IF(ISBLANK($A411),"",INDEX(Array_MobileCharges,MATCH($A411,List_MobileFuelMeters,0),ROUNDUP((COLUMN()+1)/3-2,0)))</f>
        <v/>
      </c>
      <c r="N411" s="127"/>
      <c r="O411" s="137"/>
      <c r="P411" s="58" t="str" cm="1">
        <f>IF(ISBLANK($A411),"",INDEX(Array_MobileCharges,MATCH($A411,List_MobileFuelMeters,0),ROUNDUP((COLUMN()+1)/3-2,0)))</f>
        <v/>
      </c>
      <c r="Q411" s="127"/>
      <c r="R411" s="137"/>
      <c r="S411" s="58" t="str" cm="1">
        <f>IF(ISBLANK($A411),"",INDEX(Array_MobileCharges,MATCH($A411,List_MobileFuelMeters,0),ROUNDUP((COLUMN()+1)/3-2,0)))</f>
        <v/>
      </c>
      <c r="T411" s="127"/>
      <c r="U411" s="137"/>
    </row>
    <row r="412" spans="1:21" x14ac:dyDescent="0.3">
      <c r="A412" s="126"/>
      <c r="B412" s="133"/>
      <c r="C412" s="127"/>
      <c r="D412" s="138"/>
      <c r="E412" s="138"/>
      <c r="F412" s="137"/>
      <c r="G412" s="58" t="str" cm="1">
        <f>IF(ISBLANK($A412),"",INDEX(Array_MobileCharges,MATCH($A412,List_MobileFuelMeters,0),ROUNDUP((COLUMN()+1)/3-2,0)))</f>
        <v/>
      </c>
      <c r="H412" s="127"/>
      <c r="I412" s="137"/>
      <c r="J412" s="58" t="str" cm="1">
        <f>IF(ISBLANK($A412),"",INDEX(Array_MobileCharges,MATCH($A412,List_MobileFuelMeters,0),ROUNDUP((COLUMN()+1)/3-2,0)))</f>
        <v/>
      </c>
      <c r="K412" s="127"/>
      <c r="L412" s="137"/>
      <c r="M412" s="58" t="str" cm="1">
        <f>IF(ISBLANK($A412),"",INDEX(Array_MobileCharges,MATCH($A412,List_MobileFuelMeters,0),ROUNDUP((COLUMN()+1)/3-2,0)))</f>
        <v/>
      </c>
      <c r="N412" s="127"/>
      <c r="O412" s="137"/>
      <c r="P412" s="58" t="str" cm="1">
        <f>IF(ISBLANK($A412),"",INDEX(Array_MobileCharges,MATCH($A412,List_MobileFuelMeters,0),ROUNDUP((COLUMN()+1)/3-2,0)))</f>
        <v/>
      </c>
      <c r="Q412" s="127"/>
      <c r="R412" s="137"/>
      <c r="S412" s="58" t="str" cm="1">
        <f>IF(ISBLANK($A412),"",INDEX(Array_MobileCharges,MATCH($A412,List_MobileFuelMeters,0),ROUNDUP((COLUMN()+1)/3-2,0)))</f>
        <v/>
      </c>
      <c r="T412" s="127"/>
      <c r="U412" s="137"/>
    </row>
    <row r="413" spans="1:21" x14ac:dyDescent="0.3">
      <c r="A413" s="126"/>
      <c r="B413" s="133"/>
      <c r="C413" s="127"/>
      <c r="D413" s="138"/>
      <c r="E413" s="138"/>
      <c r="F413" s="137"/>
      <c r="G413" s="58" t="str" cm="1">
        <f>IF(ISBLANK($A413),"",INDEX(Array_MobileCharges,MATCH($A413,List_MobileFuelMeters,0),ROUNDUP((COLUMN()+1)/3-2,0)))</f>
        <v/>
      </c>
      <c r="H413" s="127"/>
      <c r="I413" s="137"/>
      <c r="J413" s="58" t="str" cm="1">
        <f>IF(ISBLANK($A413),"",INDEX(Array_MobileCharges,MATCH($A413,List_MobileFuelMeters,0),ROUNDUP((COLUMN()+1)/3-2,0)))</f>
        <v/>
      </c>
      <c r="K413" s="127"/>
      <c r="L413" s="137"/>
      <c r="M413" s="58" t="str" cm="1">
        <f>IF(ISBLANK($A413),"",INDEX(Array_MobileCharges,MATCH($A413,List_MobileFuelMeters,0),ROUNDUP((COLUMN()+1)/3-2,0)))</f>
        <v/>
      </c>
      <c r="N413" s="127"/>
      <c r="O413" s="137"/>
      <c r="P413" s="58" t="str" cm="1">
        <f>IF(ISBLANK($A413),"",INDEX(Array_MobileCharges,MATCH($A413,List_MobileFuelMeters,0),ROUNDUP((COLUMN()+1)/3-2,0)))</f>
        <v/>
      </c>
      <c r="Q413" s="127"/>
      <c r="R413" s="137"/>
      <c r="S413" s="58" t="str" cm="1">
        <f>IF(ISBLANK($A413),"",INDEX(Array_MobileCharges,MATCH($A413,List_MobileFuelMeters,0),ROUNDUP((COLUMN()+1)/3-2,0)))</f>
        <v/>
      </c>
      <c r="T413" s="127"/>
      <c r="U413" s="137"/>
    </row>
    <row r="414" spans="1:21" x14ac:dyDescent="0.3">
      <c r="A414" s="126"/>
      <c r="B414" s="133"/>
      <c r="C414" s="127"/>
      <c r="D414" s="138"/>
      <c r="E414" s="138"/>
      <c r="F414" s="137"/>
      <c r="G414" s="58" t="str" cm="1">
        <f>IF(ISBLANK($A414),"",INDEX(Array_MobileCharges,MATCH($A414,List_MobileFuelMeters,0),ROUNDUP((COLUMN()+1)/3-2,0)))</f>
        <v/>
      </c>
      <c r="H414" s="127"/>
      <c r="I414" s="137"/>
      <c r="J414" s="58" t="str" cm="1">
        <f>IF(ISBLANK($A414),"",INDEX(Array_MobileCharges,MATCH($A414,List_MobileFuelMeters,0),ROUNDUP((COLUMN()+1)/3-2,0)))</f>
        <v/>
      </c>
      <c r="K414" s="127"/>
      <c r="L414" s="137"/>
      <c r="M414" s="58" t="str" cm="1">
        <f>IF(ISBLANK($A414),"",INDEX(Array_MobileCharges,MATCH($A414,List_MobileFuelMeters,0),ROUNDUP((COLUMN()+1)/3-2,0)))</f>
        <v/>
      </c>
      <c r="N414" s="127"/>
      <c r="O414" s="137"/>
      <c r="P414" s="58" t="str" cm="1">
        <f>IF(ISBLANK($A414),"",INDEX(Array_MobileCharges,MATCH($A414,List_MobileFuelMeters,0),ROUNDUP((COLUMN()+1)/3-2,0)))</f>
        <v/>
      </c>
      <c r="Q414" s="127"/>
      <c r="R414" s="137"/>
      <c r="S414" s="58" t="str" cm="1">
        <f>IF(ISBLANK($A414),"",INDEX(Array_MobileCharges,MATCH($A414,List_MobileFuelMeters,0),ROUNDUP((COLUMN()+1)/3-2,0)))</f>
        <v/>
      </c>
      <c r="T414" s="127"/>
      <c r="U414" s="137"/>
    </row>
    <row r="415" spans="1:21" x14ac:dyDescent="0.3">
      <c r="A415" s="126"/>
      <c r="B415" s="133"/>
      <c r="C415" s="127"/>
      <c r="D415" s="138"/>
      <c r="E415" s="138"/>
      <c r="F415" s="137"/>
      <c r="G415" s="58" t="str" cm="1">
        <f>IF(ISBLANK($A415),"",INDEX(Array_MobileCharges,MATCH($A415,List_MobileFuelMeters,0),ROUNDUP((COLUMN()+1)/3-2,0)))</f>
        <v/>
      </c>
      <c r="H415" s="127"/>
      <c r="I415" s="137"/>
      <c r="J415" s="58" t="str" cm="1">
        <f>IF(ISBLANK($A415),"",INDEX(Array_MobileCharges,MATCH($A415,List_MobileFuelMeters,0),ROUNDUP((COLUMN()+1)/3-2,0)))</f>
        <v/>
      </c>
      <c r="K415" s="127"/>
      <c r="L415" s="137"/>
      <c r="M415" s="58" t="str" cm="1">
        <f>IF(ISBLANK($A415),"",INDEX(Array_MobileCharges,MATCH($A415,List_MobileFuelMeters,0),ROUNDUP((COLUMN()+1)/3-2,0)))</f>
        <v/>
      </c>
      <c r="N415" s="127"/>
      <c r="O415" s="137"/>
      <c r="P415" s="58" t="str" cm="1">
        <f>IF(ISBLANK($A415),"",INDEX(Array_MobileCharges,MATCH($A415,List_MobileFuelMeters,0),ROUNDUP((COLUMN()+1)/3-2,0)))</f>
        <v/>
      </c>
      <c r="Q415" s="127"/>
      <c r="R415" s="137"/>
      <c r="S415" s="58" t="str" cm="1">
        <f>IF(ISBLANK($A415),"",INDEX(Array_MobileCharges,MATCH($A415,List_MobileFuelMeters,0),ROUNDUP((COLUMN()+1)/3-2,0)))</f>
        <v/>
      </c>
      <c r="T415" s="127"/>
      <c r="U415" s="137"/>
    </row>
    <row r="416" spans="1:21" x14ac:dyDescent="0.3">
      <c r="A416" s="126"/>
      <c r="B416" s="133"/>
      <c r="C416" s="127"/>
      <c r="D416" s="138"/>
      <c r="E416" s="138"/>
      <c r="F416" s="137"/>
      <c r="G416" s="58" t="str" cm="1">
        <f>IF(ISBLANK($A416),"",INDEX(Array_MobileCharges,MATCH($A416,List_MobileFuelMeters,0),ROUNDUP((COLUMN()+1)/3-2,0)))</f>
        <v/>
      </c>
      <c r="H416" s="127"/>
      <c r="I416" s="137"/>
      <c r="J416" s="58" t="str" cm="1">
        <f>IF(ISBLANK($A416),"",INDEX(Array_MobileCharges,MATCH($A416,List_MobileFuelMeters,0),ROUNDUP((COLUMN()+1)/3-2,0)))</f>
        <v/>
      </c>
      <c r="K416" s="127"/>
      <c r="L416" s="137"/>
      <c r="M416" s="58" t="str" cm="1">
        <f>IF(ISBLANK($A416),"",INDEX(Array_MobileCharges,MATCH($A416,List_MobileFuelMeters,0),ROUNDUP((COLUMN()+1)/3-2,0)))</f>
        <v/>
      </c>
      <c r="N416" s="127"/>
      <c r="O416" s="137"/>
      <c r="P416" s="58" t="str" cm="1">
        <f>IF(ISBLANK($A416),"",INDEX(Array_MobileCharges,MATCH($A416,List_MobileFuelMeters,0),ROUNDUP((COLUMN()+1)/3-2,0)))</f>
        <v/>
      </c>
      <c r="Q416" s="127"/>
      <c r="R416" s="137"/>
      <c r="S416" s="58" t="str" cm="1">
        <f>IF(ISBLANK($A416),"",INDEX(Array_MobileCharges,MATCH($A416,List_MobileFuelMeters,0),ROUNDUP((COLUMN()+1)/3-2,0)))</f>
        <v/>
      </c>
      <c r="T416" s="127"/>
      <c r="U416" s="137"/>
    </row>
    <row r="417" spans="1:21" x14ac:dyDescent="0.3">
      <c r="A417" s="126"/>
      <c r="B417" s="133"/>
      <c r="C417" s="127"/>
      <c r="D417" s="138"/>
      <c r="E417" s="138"/>
      <c r="F417" s="137"/>
      <c r="G417" s="58" t="str" cm="1">
        <f>IF(ISBLANK($A417),"",INDEX(Array_MobileCharges,MATCH($A417,List_MobileFuelMeters,0),ROUNDUP((COLUMN()+1)/3-2,0)))</f>
        <v/>
      </c>
      <c r="H417" s="127"/>
      <c r="I417" s="137"/>
      <c r="J417" s="58" t="str" cm="1">
        <f>IF(ISBLANK($A417),"",INDEX(Array_MobileCharges,MATCH($A417,List_MobileFuelMeters,0),ROUNDUP((COLUMN()+1)/3-2,0)))</f>
        <v/>
      </c>
      <c r="K417" s="127"/>
      <c r="L417" s="137"/>
      <c r="M417" s="58" t="str" cm="1">
        <f>IF(ISBLANK($A417),"",INDEX(Array_MobileCharges,MATCH($A417,List_MobileFuelMeters,0),ROUNDUP((COLUMN()+1)/3-2,0)))</f>
        <v/>
      </c>
      <c r="N417" s="127"/>
      <c r="O417" s="137"/>
      <c r="P417" s="58" t="str" cm="1">
        <f>IF(ISBLANK($A417),"",INDEX(Array_MobileCharges,MATCH($A417,List_MobileFuelMeters,0),ROUNDUP((COLUMN()+1)/3-2,0)))</f>
        <v/>
      </c>
      <c r="Q417" s="127"/>
      <c r="R417" s="137"/>
      <c r="S417" s="58" t="str" cm="1">
        <f>IF(ISBLANK($A417),"",INDEX(Array_MobileCharges,MATCH($A417,List_MobileFuelMeters,0),ROUNDUP((COLUMN()+1)/3-2,0)))</f>
        <v/>
      </c>
      <c r="T417" s="127"/>
      <c r="U417" s="137"/>
    </row>
    <row r="418" spans="1:21" x14ac:dyDescent="0.3">
      <c r="A418" s="126"/>
      <c r="B418" s="133"/>
      <c r="C418" s="127"/>
      <c r="D418" s="138"/>
      <c r="E418" s="138"/>
      <c r="F418" s="137"/>
      <c r="G418" s="58" t="str" cm="1">
        <f>IF(ISBLANK($A418),"",INDEX(Array_MobileCharges,MATCH($A418,List_MobileFuelMeters,0),ROUNDUP((COLUMN()+1)/3-2,0)))</f>
        <v/>
      </c>
      <c r="H418" s="127"/>
      <c r="I418" s="137"/>
      <c r="J418" s="58" t="str" cm="1">
        <f>IF(ISBLANK($A418),"",INDEX(Array_MobileCharges,MATCH($A418,List_MobileFuelMeters,0),ROUNDUP((COLUMN()+1)/3-2,0)))</f>
        <v/>
      </c>
      <c r="K418" s="127"/>
      <c r="L418" s="137"/>
      <c r="M418" s="58" t="str" cm="1">
        <f>IF(ISBLANK($A418),"",INDEX(Array_MobileCharges,MATCH($A418,List_MobileFuelMeters,0),ROUNDUP((COLUMN()+1)/3-2,0)))</f>
        <v/>
      </c>
      <c r="N418" s="127"/>
      <c r="O418" s="137"/>
      <c r="P418" s="58" t="str" cm="1">
        <f>IF(ISBLANK($A418),"",INDEX(Array_MobileCharges,MATCH($A418,List_MobileFuelMeters,0),ROUNDUP((COLUMN()+1)/3-2,0)))</f>
        <v/>
      </c>
      <c r="Q418" s="127"/>
      <c r="R418" s="137"/>
      <c r="S418" s="58" t="str" cm="1">
        <f>IF(ISBLANK($A418),"",INDEX(Array_MobileCharges,MATCH($A418,List_MobileFuelMeters,0),ROUNDUP((COLUMN()+1)/3-2,0)))</f>
        <v/>
      </c>
      <c r="T418" s="127"/>
      <c r="U418" s="137"/>
    </row>
    <row r="419" spans="1:21" x14ac:dyDescent="0.3">
      <c r="A419" s="126"/>
      <c r="B419" s="133"/>
      <c r="C419" s="127"/>
      <c r="D419" s="138"/>
      <c r="E419" s="138"/>
      <c r="F419" s="137"/>
      <c r="G419" s="58" t="str" cm="1">
        <f>IF(ISBLANK($A419),"",INDEX(Array_MobileCharges,MATCH($A419,List_MobileFuelMeters,0),ROUNDUP((COLUMN()+1)/3-2,0)))</f>
        <v/>
      </c>
      <c r="H419" s="127"/>
      <c r="I419" s="137"/>
      <c r="J419" s="58" t="str" cm="1">
        <f>IF(ISBLANK($A419),"",INDEX(Array_MobileCharges,MATCH($A419,List_MobileFuelMeters,0),ROUNDUP((COLUMN()+1)/3-2,0)))</f>
        <v/>
      </c>
      <c r="K419" s="127"/>
      <c r="L419" s="137"/>
      <c r="M419" s="58" t="str" cm="1">
        <f>IF(ISBLANK($A419),"",INDEX(Array_MobileCharges,MATCH($A419,List_MobileFuelMeters,0),ROUNDUP((COLUMN()+1)/3-2,0)))</f>
        <v/>
      </c>
      <c r="N419" s="127"/>
      <c r="O419" s="137"/>
      <c r="P419" s="58" t="str" cm="1">
        <f>IF(ISBLANK($A419),"",INDEX(Array_MobileCharges,MATCH($A419,List_MobileFuelMeters,0),ROUNDUP((COLUMN()+1)/3-2,0)))</f>
        <v/>
      </c>
      <c r="Q419" s="127"/>
      <c r="R419" s="137"/>
      <c r="S419" s="58" t="str" cm="1">
        <f>IF(ISBLANK($A419),"",INDEX(Array_MobileCharges,MATCH($A419,List_MobileFuelMeters,0),ROUNDUP((COLUMN()+1)/3-2,0)))</f>
        <v/>
      </c>
      <c r="T419" s="127"/>
      <c r="U419" s="137"/>
    </row>
    <row r="420" spans="1:21" x14ac:dyDescent="0.3">
      <c r="A420" s="126"/>
      <c r="B420" s="133"/>
      <c r="C420" s="127"/>
      <c r="D420" s="138"/>
      <c r="E420" s="138"/>
      <c r="F420" s="137"/>
      <c r="G420" s="58" t="str" cm="1">
        <f>IF(ISBLANK($A420),"",INDEX(Array_MobileCharges,MATCH($A420,List_MobileFuelMeters,0),ROUNDUP((COLUMN()+1)/3-2,0)))</f>
        <v/>
      </c>
      <c r="H420" s="127"/>
      <c r="I420" s="137"/>
      <c r="J420" s="58" t="str" cm="1">
        <f>IF(ISBLANK($A420),"",INDEX(Array_MobileCharges,MATCH($A420,List_MobileFuelMeters,0),ROUNDUP((COLUMN()+1)/3-2,0)))</f>
        <v/>
      </c>
      <c r="K420" s="127"/>
      <c r="L420" s="137"/>
      <c r="M420" s="58" t="str" cm="1">
        <f>IF(ISBLANK($A420),"",INDEX(Array_MobileCharges,MATCH($A420,List_MobileFuelMeters,0),ROUNDUP((COLUMN()+1)/3-2,0)))</f>
        <v/>
      </c>
      <c r="N420" s="127"/>
      <c r="O420" s="137"/>
      <c r="P420" s="58" t="str" cm="1">
        <f>IF(ISBLANK($A420),"",INDEX(Array_MobileCharges,MATCH($A420,List_MobileFuelMeters,0),ROUNDUP((COLUMN()+1)/3-2,0)))</f>
        <v/>
      </c>
      <c r="Q420" s="127"/>
      <c r="R420" s="137"/>
      <c r="S420" s="58" t="str" cm="1">
        <f>IF(ISBLANK($A420),"",INDEX(Array_MobileCharges,MATCH($A420,List_MobileFuelMeters,0),ROUNDUP((COLUMN()+1)/3-2,0)))</f>
        <v/>
      </c>
      <c r="T420" s="127"/>
      <c r="U420" s="137"/>
    </row>
    <row r="421" spans="1:21" x14ac:dyDescent="0.3">
      <c r="A421" s="126"/>
      <c r="B421" s="133"/>
      <c r="C421" s="127"/>
      <c r="D421" s="138"/>
      <c r="E421" s="138"/>
      <c r="F421" s="137"/>
      <c r="G421" s="58" t="str" cm="1">
        <f>IF(ISBLANK($A421),"",INDEX(Array_MobileCharges,MATCH($A421,List_MobileFuelMeters,0),ROUNDUP((COLUMN()+1)/3-2,0)))</f>
        <v/>
      </c>
      <c r="H421" s="127"/>
      <c r="I421" s="137"/>
      <c r="J421" s="58" t="str" cm="1">
        <f>IF(ISBLANK($A421),"",INDEX(Array_MobileCharges,MATCH($A421,List_MobileFuelMeters,0),ROUNDUP((COLUMN()+1)/3-2,0)))</f>
        <v/>
      </c>
      <c r="K421" s="127"/>
      <c r="L421" s="137"/>
      <c r="M421" s="58" t="str" cm="1">
        <f>IF(ISBLANK($A421),"",INDEX(Array_MobileCharges,MATCH($A421,List_MobileFuelMeters,0),ROUNDUP((COLUMN()+1)/3-2,0)))</f>
        <v/>
      </c>
      <c r="N421" s="127"/>
      <c r="O421" s="137"/>
      <c r="P421" s="58" t="str" cm="1">
        <f>IF(ISBLANK($A421),"",INDEX(Array_MobileCharges,MATCH($A421,List_MobileFuelMeters,0),ROUNDUP((COLUMN()+1)/3-2,0)))</f>
        <v/>
      </c>
      <c r="Q421" s="127"/>
      <c r="R421" s="137"/>
      <c r="S421" s="58" t="str" cm="1">
        <f>IF(ISBLANK($A421),"",INDEX(Array_MobileCharges,MATCH($A421,List_MobileFuelMeters,0),ROUNDUP((COLUMN()+1)/3-2,0)))</f>
        <v/>
      </c>
      <c r="T421" s="127"/>
      <c r="U421" s="137"/>
    </row>
    <row r="422" spans="1:21" x14ac:dyDescent="0.3">
      <c r="A422" s="126"/>
      <c r="B422" s="133"/>
      <c r="C422" s="127"/>
      <c r="D422" s="138"/>
      <c r="E422" s="138"/>
      <c r="F422" s="137"/>
      <c r="G422" s="58" t="str" cm="1">
        <f>IF(ISBLANK($A422),"",INDEX(Array_MobileCharges,MATCH($A422,List_MobileFuelMeters,0),ROUNDUP((COLUMN()+1)/3-2,0)))</f>
        <v/>
      </c>
      <c r="H422" s="127"/>
      <c r="I422" s="137"/>
      <c r="J422" s="58" t="str" cm="1">
        <f>IF(ISBLANK($A422),"",INDEX(Array_MobileCharges,MATCH($A422,List_MobileFuelMeters,0),ROUNDUP((COLUMN()+1)/3-2,0)))</f>
        <v/>
      </c>
      <c r="K422" s="127"/>
      <c r="L422" s="137"/>
      <c r="M422" s="58" t="str" cm="1">
        <f>IF(ISBLANK($A422),"",INDEX(Array_MobileCharges,MATCH($A422,List_MobileFuelMeters,0),ROUNDUP((COLUMN()+1)/3-2,0)))</f>
        <v/>
      </c>
      <c r="N422" s="127"/>
      <c r="O422" s="137"/>
      <c r="P422" s="58" t="str" cm="1">
        <f>IF(ISBLANK($A422),"",INDEX(Array_MobileCharges,MATCH($A422,List_MobileFuelMeters,0),ROUNDUP((COLUMN()+1)/3-2,0)))</f>
        <v/>
      </c>
      <c r="Q422" s="127"/>
      <c r="R422" s="137"/>
      <c r="S422" s="58" t="str" cm="1">
        <f>IF(ISBLANK($A422),"",INDEX(Array_MobileCharges,MATCH($A422,List_MobileFuelMeters,0),ROUNDUP((COLUMN()+1)/3-2,0)))</f>
        <v/>
      </c>
      <c r="T422" s="127"/>
      <c r="U422" s="137"/>
    </row>
    <row r="423" spans="1:21" x14ac:dyDescent="0.3">
      <c r="A423" s="126"/>
      <c r="B423" s="133"/>
      <c r="C423" s="127"/>
      <c r="D423" s="138"/>
      <c r="E423" s="138"/>
      <c r="F423" s="137"/>
      <c r="G423" s="58" t="str" cm="1">
        <f>IF(ISBLANK($A423),"",INDEX(Array_MobileCharges,MATCH($A423,List_MobileFuelMeters,0),ROUNDUP((COLUMN()+1)/3-2,0)))</f>
        <v/>
      </c>
      <c r="H423" s="127"/>
      <c r="I423" s="137"/>
      <c r="J423" s="58" t="str" cm="1">
        <f>IF(ISBLANK($A423),"",INDEX(Array_MobileCharges,MATCH($A423,List_MobileFuelMeters,0),ROUNDUP((COLUMN()+1)/3-2,0)))</f>
        <v/>
      </c>
      <c r="K423" s="127"/>
      <c r="L423" s="137"/>
      <c r="M423" s="58" t="str" cm="1">
        <f>IF(ISBLANK($A423),"",INDEX(Array_MobileCharges,MATCH($A423,List_MobileFuelMeters,0),ROUNDUP((COLUMN()+1)/3-2,0)))</f>
        <v/>
      </c>
      <c r="N423" s="127"/>
      <c r="O423" s="137"/>
      <c r="P423" s="58" t="str" cm="1">
        <f>IF(ISBLANK($A423),"",INDEX(Array_MobileCharges,MATCH($A423,List_MobileFuelMeters,0),ROUNDUP((COLUMN()+1)/3-2,0)))</f>
        <v/>
      </c>
      <c r="Q423" s="127"/>
      <c r="R423" s="137"/>
      <c r="S423" s="58" t="str" cm="1">
        <f>IF(ISBLANK($A423),"",INDEX(Array_MobileCharges,MATCH($A423,List_MobileFuelMeters,0),ROUNDUP((COLUMN()+1)/3-2,0)))</f>
        <v/>
      </c>
      <c r="T423" s="127"/>
      <c r="U423" s="137"/>
    </row>
    <row r="424" spans="1:21" x14ac:dyDescent="0.3">
      <c r="A424" s="126"/>
      <c r="B424" s="133"/>
      <c r="C424" s="127"/>
      <c r="D424" s="138"/>
      <c r="E424" s="138"/>
      <c r="F424" s="137"/>
      <c r="G424" s="58" t="str" cm="1">
        <f>IF(ISBLANK($A424),"",INDEX(Array_MobileCharges,MATCH($A424,List_MobileFuelMeters,0),ROUNDUP((COLUMN()+1)/3-2,0)))</f>
        <v/>
      </c>
      <c r="H424" s="127"/>
      <c r="I424" s="137"/>
      <c r="J424" s="58" t="str" cm="1">
        <f>IF(ISBLANK($A424),"",INDEX(Array_MobileCharges,MATCH($A424,List_MobileFuelMeters,0),ROUNDUP((COLUMN()+1)/3-2,0)))</f>
        <v/>
      </c>
      <c r="K424" s="127"/>
      <c r="L424" s="137"/>
      <c r="M424" s="58" t="str" cm="1">
        <f>IF(ISBLANK($A424),"",INDEX(Array_MobileCharges,MATCH($A424,List_MobileFuelMeters,0),ROUNDUP((COLUMN()+1)/3-2,0)))</f>
        <v/>
      </c>
      <c r="N424" s="127"/>
      <c r="O424" s="137"/>
      <c r="P424" s="58" t="str" cm="1">
        <f>IF(ISBLANK($A424),"",INDEX(Array_MobileCharges,MATCH($A424,List_MobileFuelMeters,0),ROUNDUP((COLUMN()+1)/3-2,0)))</f>
        <v/>
      </c>
      <c r="Q424" s="127"/>
      <c r="R424" s="137"/>
      <c r="S424" s="58" t="str" cm="1">
        <f>IF(ISBLANK($A424),"",INDEX(Array_MobileCharges,MATCH($A424,List_MobileFuelMeters,0),ROUNDUP((COLUMN()+1)/3-2,0)))</f>
        <v/>
      </c>
      <c r="T424" s="127"/>
      <c r="U424" s="137"/>
    </row>
    <row r="425" spans="1:21" x14ac:dyDescent="0.3">
      <c r="A425" s="126"/>
      <c r="B425" s="133"/>
      <c r="C425" s="127"/>
      <c r="D425" s="138"/>
      <c r="E425" s="138"/>
      <c r="F425" s="137"/>
      <c r="G425" s="58" t="str" cm="1">
        <f>IF(ISBLANK($A425),"",INDEX(Array_MobileCharges,MATCH($A425,List_MobileFuelMeters,0),ROUNDUP((COLUMN()+1)/3-2,0)))</f>
        <v/>
      </c>
      <c r="H425" s="127"/>
      <c r="I425" s="137"/>
      <c r="J425" s="58" t="str" cm="1">
        <f>IF(ISBLANK($A425),"",INDEX(Array_MobileCharges,MATCH($A425,List_MobileFuelMeters,0),ROUNDUP((COLUMN()+1)/3-2,0)))</f>
        <v/>
      </c>
      <c r="K425" s="127"/>
      <c r="L425" s="137"/>
      <c r="M425" s="58" t="str" cm="1">
        <f>IF(ISBLANK($A425),"",INDEX(Array_MobileCharges,MATCH($A425,List_MobileFuelMeters,0),ROUNDUP((COLUMN()+1)/3-2,0)))</f>
        <v/>
      </c>
      <c r="N425" s="127"/>
      <c r="O425" s="137"/>
      <c r="P425" s="58" t="str" cm="1">
        <f>IF(ISBLANK($A425),"",INDEX(Array_MobileCharges,MATCH($A425,List_MobileFuelMeters,0),ROUNDUP((COLUMN()+1)/3-2,0)))</f>
        <v/>
      </c>
      <c r="Q425" s="127"/>
      <c r="R425" s="137"/>
      <c r="S425" s="58" t="str" cm="1">
        <f>IF(ISBLANK($A425),"",INDEX(Array_MobileCharges,MATCH($A425,List_MobileFuelMeters,0),ROUNDUP((COLUMN()+1)/3-2,0)))</f>
        <v/>
      </c>
      <c r="T425" s="127"/>
      <c r="U425" s="137"/>
    </row>
    <row r="426" spans="1:21" x14ac:dyDescent="0.3">
      <c r="A426" s="126"/>
      <c r="B426" s="133"/>
      <c r="C426" s="127"/>
      <c r="D426" s="138"/>
      <c r="E426" s="138"/>
      <c r="F426" s="137"/>
      <c r="G426" s="58" t="str" cm="1">
        <f>IF(ISBLANK($A426),"",INDEX(Array_MobileCharges,MATCH($A426,List_MobileFuelMeters,0),ROUNDUP((COLUMN()+1)/3-2,0)))</f>
        <v/>
      </c>
      <c r="H426" s="127"/>
      <c r="I426" s="137"/>
      <c r="J426" s="58" t="str" cm="1">
        <f>IF(ISBLANK($A426),"",INDEX(Array_MobileCharges,MATCH($A426,List_MobileFuelMeters,0),ROUNDUP((COLUMN()+1)/3-2,0)))</f>
        <v/>
      </c>
      <c r="K426" s="127"/>
      <c r="L426" s="137"/>
      <c r="M426" s="58" t="str" cm="1">
        <f>IF(ISBLANK($A426),"",INDEX(Array_MobileCharges,MATCH($A426,List_MobileFuelMeters,0),ROUNDUP((COLUMN()+1)/3-2,0)))</f>
        <v/>
      </c>
      <c r="N426" s="127"/>
      <c r="O426" s="137"/>
      <c r="P426" s="58" t="str" cm="1">
        <f>IF(ISBLANK($A426),"",INDEX(Array_MobileCharges,MATCH($A426,List_MobileFuelMeters,0),ROUNDUP((COLUMN()+1)/3-2,0)))</f>
        <v/>
      </c>
      <c r="Q426" s="127"/>
      <c r="R426" s="137"/>
      <c r="S426" s="58" t="str" cm="1">
        <f>IF(ISBLANK($A426),"",INDEX(Array_MobileCharges,MATCH($A426,List_MobileFuelMeters,0),ROUNDUP((COLUMN()+1)/3-2,0)))</f>
        <v/>
      </c>
      <c r="T426" s="127"/>
      <c r="U426" s="137"/>
    </row>
    <row r="427" spans="1:21" x14ac:dyDescent="0.3">
      <c r="A427" s="126"/>
      <c r="B427" s="133"/>
      <c r="C427" s="127"/>
      <c r="D427" s="138"/>
      <c r="E427" s="138"/>
      <c r="F427" s="137"/>
      <c r="G427" s="58" t="str" cm="1">
        <f>IF(ISBLANK($A427),"",INDEX(Array_MobileCharges,MATCH($A427,List_MobileFuelMeters,0),ROUNDUP((COLUMN()+1)/3-2,0)))</f>
        <v/>
      </c>
      <c r="H427" s="127"/>
      <c r="I427" s="137"/>
      <c r="J427" s="58" t="str" cm="1">
        <f>IF(ISBLANK($A427),"",INDEX(Array_MobileCharges,MATCH($A427,List_MobileFuelMeters,0),ROUNDUP((COLUMN()+1)/3-2,0)))</f>
        <v/>
      </c>
      <c r="K427" s="127"/>
      <c r="L427" s="137"/>
      <c r="M427" s="58" t="str" cm="1">
        <f>IF(ISBLANK($A427),"",INDEX(Array_MobileCharges,MATCH($A427,List_MobileFuelMeters,0),ROUNDUP((COLUMN()+1)/3-2,0)))</f>
        <v/>
      </c>
      <c r="N427" s="127"/>
      <c r="O427" s="137"/>
      <c r="P427" s="58" t="str" cm="1">
        <f>IF(ISBLANK($A427),"",INDEX(Array_MobileCharges,MATCH($A427,List_MobileFuelMeters,0),ROUNDUP((COLUMN()+1)/3-2,0)))</f>
        <v/>
      </c>
      <c r="Q427" s="127"/>
      <c r="R427" s="137"/>
      <c r="S427" s="58" t="str" cm="1">
        <f>IF(ISBLANK($A427),"",INDEX(Array_MobileCharges,MATCH($A427,List_MobileFuelMeters,0),ROUNDUP((COLUMN()+1)/3-2,0)))</f>
        <v/>
      </c>
      <c r="T427" s="127"/>
      <c r="U427" s="137"/>
    </row>
    <row r="428" spans="1:21" x14ac:dyDescent="0.3">
      <c r="A428" s="126"/>
      <c r="B428" s="133"/>
      <c r="C428" s="127"/>
      <c r="D428" s="138"/>
      <c r="E428" s="138"/>
      <c r="F428" s="137"/>
      <c r="G428" s="58" t="str" cm="1">
        <f>IF(ISBLANK($A428),"",INDEX(Array_MobileCharges,MATCH($A428,List_MobileFuelMeters,0),ROUNDUP((COLUMN()+1)/3-2,0)))</f>
        <v/>
      </c>
      <c r="H428" s="127"/>
      <c r="I428" s="137"/>
      <c r="J428" s="58" t="str" cm="1">
        <f>IF(ISBLANK($A428),"",INDEX(Array_MobileCharges,MATCH($A428,List_MobileFuelMeters,0),ROUNDUP((COLUMN()+1)/3-2,0)))</f>
        <v/>
      </c>
      <c r="K428" s="127"/>
      <c r="L428" s="137"/>
      <c r="M428" s="58" t="str" cm="1">
        <f>IF(ISBLANK($A428),"",INDEX(Array_MobileCharges,MATCH($A428,List_MobileFuelMeters,0),ROUNDUP((COLUMN()+1)/3-2,0)))</f>
        <v/>
      </c>
      <c r="N428" s="127"/>
      <c r="O428" s="137"/>
      <c r="P428" s="58" t="str" cm="1">
        <f>IF(ISBLANK($A428),"",INDEX(Array_MobileCharges,MATCH($A428,List_MobileFuelMeters,0),ROUNDUP((COLUMN()+1)/3-2,0)))</f>
        <v/>
      </c>
      <c r="Q428" s="127"/>
      <c r="R428" s="137"/>
      <c r="S428" s="58" t="str" cm="1">
        <f>IF(ISBLANK($A428),"",INDEX(Array_MobileCharges,MATCH($A428,List_MobileFuelMeters,0),ROUNDUP((COLUMN()+1)/3-2,0)))</f>
        <v/>
      </c>
      <c r="T428" s="127"/>
      <c r="U428" s="137"/>
    </row>
    <row r="429" spans="1:21" x14ac:dyDescent="0.3">
      <c r="A429" s="126"/>
      <c r="B429" s="133"/>
      <c r="C429" s="127"/>
      <c r="D429" s="138"/>
      <c r="E429" s="138"/>
      <c r="F429" s="137"/>
      <c r="G429" s="58" t="str" cm="1">
        <f>IF(ISBLANK($A429),"",INDEX(Array_MobileCharges,MATCH($A429,List_MobileFuelMeters,0),ROUNDUP((COLUMN()+1)/3-2,0)))</f>
        <v/>
      </c>
      <c r="H429" s="127"/>
      <c r="I429" s="137"/>
      <c r="J429" s="58" t="str" cm="1">
        <f>IF(ISBLANK($A429),"",INDEX(Array_MobileCharges,MATCH($A429,List_MobileFuelMeters,0),ROUNDUP((COLUMN()+1)/3-2,0)))</f>
        <v/>
      </c>
      <c r="K429" s="127"/>
      <c r="L429" s="137"/>
      <c r="M429" s="58" t="str" cm="1">
        <f>IF(ISBLANK($A429),"",INDEX(Array_MobileCharges,MATCH($A429,List_MobileFuelMeters,0),ROUNDUP((COLUMN()+1)/3-2,0)))</f>
        <v/>
      </c>
      <c r="N429" s="127"/>
      <c r="O429" s="137"/>
      <c r="P429" s="58" t="str" cm="1">
        <f>IF(ISBLANK($A429),"",INDEX(Array_MobileCharges,MATCH($A429,List_MobileFuelMeters,0),ROUNDUP((COLUMN()+1)/3-2,0)))</f>
        <v/>
      </c>
      <c r="Q429" s="127"/>
      <c r="R429" s="137"/>
      <c r="S429" s="58" t="str" cm="1">
        <f>IF(ISBLANK($A429),"",INDEX(Array_MobileCharges,MATCH($A429,List_MobileFuelMeters,0),ROUNDUP((COLUMN()+1)/3-2,0)))</f>
        <v/>
      </c>
      <c r="T429" s="127"/>
      <c r="U429" s="137"/>
    </row>
    <row r="430" spans="1:21" x14ac:dyDescent="0.3">
      <c r="A430" s="126"/>
      <c r="B430" s="133"/>
      <c r="C430" s="127"/>
      <c r="D430" s="138"/>
      <c r="E430" s="138"/>
      <c r="F430" s="137"/>
      <c r="G430" s="58" t="str" cm="1">
        <f>IF(ISBLANK($A430),"",INDEX(Array_MobileCharges,MATCH($A430,List_MobileFuelMeters,0),ROUNDUP((COLUMN()+1)/3-2,0)))</f>
        <v/>
      </c>
      <c r="H430" s="127"/>
      <c r="I430" s="137"/>
      <c r="J430" s="58" t="str" cm="1">
        <f>IF(ISBLANK($A430),"",INDEX(Array_MobileCharges,MATCH($A430,List_MobileFuelMeters,0),ROUNDUP((COLUMN()+1)/3-2,0)))</f>
        <v/>
      </c>
      <c r="K430" s="127"/>
      <c r="L430" s="137"/>
      <c r="M430" s="58" t="str" cm="1">
        <f>IF(ISBLANK($A430),"",INDEX(Array_MobileCharges,MATCH($A430,List_MobileFuelMeters,0),ROUNDUP((COLUMN()+1)/3-2,0)))</f>
        <v/>
      </c>
      <c r="N430" s="127"/>
      <c r="O430" s="137"/>
      <c r="P430" s="58" t="str" cm="1">
        <f>IF(ISBLANK($A430),"",INDEX(Array_MobileCharges,MATCH($A430,List_MobileFuelMeters,0),ROUNDUP((COLUMN()+1)/3-2,0)))</f>
        <v/>
      </c>
      <c r="Q430" s="127"/>
      <c r="R430" s="137"/>
      <c r="S430" s="58" t="str" cm="1">
        <f>IF(ISBLANK($A430),"",INDEX(Array_MobileCharges,MATCH($A430,List_MobileFuelMeters,0),ROUNDUP((COLUMN()+1)/3-2,0)))</f>
        <v/>
      </c>
      <c r="T430" s="127"/>
      <c r="U430" s="137"/>
    </row>
    <row r="431" spans="1:21" x14ac:dyDescent="0.3">
      <c r="A431" s="126"/>
      <c r="B431" s="133"/>
      <c r="C431" s="127"/>
      <c r="D431" s="138"/>
      <c r="E431" s="138"/>
      <c r="F431" s="137"/>
      <c r="G431" s="58" t="str" cm="1">
        <f>IF(ISBLANK($A431),"",INDEX(Array_MobileCharges,MATCH($A431,List_MobileFuelMeters,0),ROUNDUP((COLUMN()+1)/3-2,0)))</f>
        <v/>
      </c>
      <c r="H431" s="127"/>
      <c r="I431" s="137"/>
      <c r="J431" s="58" t="str" cm="1">
        <f>IF(ISBLANK($A431),"",INDEX(Array_MobileCharges,MATCH($A431,List_MobileFuelMeters,0),ROUNDUP((COLUMN()+1)/3-2,0)))</f>
        <v/>
      </c>
      <c r="K431" s="127"/>
      <c r="L431" s="137"/>
      <c r="M431" s="58" t="str" cm="1">
        <f>IF(ISBLANK($A431),"",INDEX(Array_MobileCharges,MATCH($A431,List_MobileFuelMeters,0),ROUNDUP((COLUMN()+1)/3-2,0)))</f>
        <v/>
      </c>
      <c r="N431" s="127"/>
      <c r="O431" s="137"/>
      <c r="P431" s="58" t="str" cm="1">
        <f>IF(ISBLANK($A431),"",INDEX(Array_MobileCharges,MATCH($A431,List_MobileFuelMeters,0),ROUNDUP((COLUMN()+1)/3-2,0)))</f>
        <v/>
      </c>
      <c r="Q431" s="127"/>
      <c r="R431" s="137"/>
      <c r="S431" s="58" t="str" cm="1">
        <f>IF(ISBLANK($A431),"",INDEX(Array_MobileCharges,MATCH($A431,List_MobileFuelMeters,0),ROUNDUP((COLUMN()+1)/3-2,0)))</f>
        <v/>
      </c>
      <c r="T431" s="127"/>
      <c r="U431" s="137"/>
    </row>
    <row r="432" spans="1:21" x14ac:dyDescent="0.3">
      <c r="A432" s="126"/>
      <c r="B432" s="133"/>
      <c r="C432" s="127"/>
      <c r="D432" s="138"/>
      <c r="E432" s="138"/>
      <c r="F432" s="137"/>
      <c r="G432" s="58" t="str" cm="1">
        <f>IF(ISBLANK($A432),"",INDEX(Array_MobileCharges,MATCH($A432,List_MobileFuelMeters,0),ROUNDUP((COLUMN()+1)/3-2,0)))</f>
        <v/>
      </c>
      <c r="H432" s="127"/>
      <c r="I432" s="137"/>
      <c r="J432" s="58" t="str" cm="1">
        <f>IF(ISBLANK($A432),"",INDEX(Array_MobileCharges,MATCH($A432,List_MobileFuelMeters,0),ROUNDUP((COLUMN()+1)/3-2,0)))</f>
        <v/>
      </c>
      <c r="K432" s="127"/>
      <c r="L432" s="137"/>
      <c r="M432" s="58" t="str" cm="1">
        <f>IF(ISBLANK($A432),"",INDEX(Array_MobileCharges,MATCH($A432,List_MobileFuelMeters,0),ROUNDUP((COLUMN()+1)/3-2,0)))</f>
        <v/>
      </c>
      <c r="N432" s="127"/>
      <c r="O432" s="137"/>
      <c r="P432" s="58" t="str" cm="1">
        <f>IF(ISBLANK($A432),"",INDEX(Array_MobileCharges,MATCH($A432,List_MobileFuelMeters,0),ROUNDUP((COLUMN()+1)/3-2,0)))</f>
        <v/>
      </c>
      <c r="Q432" s="127"/>
      <c r="R432" s="137"/>
      <c r="S432" s="58" t="str" cm="1">
        <f>IF(ISBLANK($A432),"",INDEX(Array_MobileCharges,MATCH($A432,List_MobileFuelMeters,0),ROUNDUP((COLUMN()+1)/3-2,0)))</f>
        <v/>
      </c>
      <c r="T432" s="127"/>
      <c r="U432" s="137"/>
    </row>
    <row r="433" spans="1:21" x14ac:dyDescent="0.3">
      <c r="A433" s="126"/>
      <c r="B433" s="133"/>
      <c r="C433" s="127"/>
      <c r="D433" s="138"/>
      <c r="E433" s="138"/>
      <c r="F433" s="137"/>
      <c r="G433" s="58" t="str" cm="1">
        <f>IF(ISBLANK($A433),"",INDEX(Array_MobileCharges,MATCH($A433,List_MobileFuelMeters,0),ROUNDUP((COLUMN()+1)/3-2,0)))</f>
        <v/>
      </c>
      <c r="H433" s="127"/>
      <c r="I433" s="137"/>
      <c r="J433" s="58" t="str" cm="1">
        <f>IF(ISBLANK($A433),"",INDEX(Array_MobileCharges,MATCH($A433,List_MobileFuelMeters,0),ROUNDUP((COLUMN()+1)/3-2,0)))</f>
        <v/>
      </c>
      <c r="K433" s="127"/>
      <c r="L433" s="137"/>
      <c r="M433" s="58" t="str" cm="1">
        <f>IF(ISBLANK($A433),"",INDEX(Array_MobileCharges,MATCH($A433,List_MobileFuelMeters,0),ROUNDUP((COLUMN()+1)/3-2,0)))</f>
        <v/>
      </c>
      <c r="N433" s="127"/>
      <c r="O433" s="137"/>
      <c r="P433" s="58" t="str" cm="1">
        <f>IF(ISBLANK($A433),"",INDEX(Array_MobileCharges,MATCH($A433,List_MobileFuelMeters,0),ROUNDUP((COLUMN()+1)/3-2,0)))</f>
        <v/>
      </c>
      <c r="Q433" s="127"/>
      <c r="R433" s="137"/>
      <c r="S433" s="58" t="str" cm="1">
        <f>IF(ISBLANK($A433),"",INDEX(Array_MobileCharges,MATCH($A433,List_MobileFuelMeters,0),ROUNDUP((COLUMN()+1)/3-2,0)))</f>
        <v/>
      </c>
      <c r="T433" s="127"/>
      <c r="U433" s="137"/>
    </row>
    <row r="434" spans="1:21" x14ac:dyDescent="0.3">
      <c r="A434" s="126"/>
      <c r="B434" s="133"/>
      <c r="C434" s="127"/>
      <c r="D434" s="138"/>
      <c r="E434" s="138"/>
      <c r="F434" s="137"/>
      <c r="G434" s="58" t="str" cm="1">
        <f>IF(ISBLANK($A434),"",INDEX(Array_MobileCharges,MATCH($A434,List_MobileFuelMeters,0),ROUNDUP((COLUMN()+1)/3-2,0)))</f>
        <v/>
      </c>
      <c r="H434" s="127"/>
      <c r="I434" s="137"/>
      <c r="J434" s="58" t="str" cm="1">
        <f>IF(ISBLANK($A434),"",INDEX(Array_MobileCharges,MATCH($A434,List_MobileFuelMeters,0),ROUNDUP((COLUMN()+1)/3-2,0)))</f>
        <v/>
      </c>
      <c r="K434" s="127"/>
      <c r="L434" s="137"/>
      <c r="M434" s="58" t="str" cm="1">
        <f>IF(ISBLANK($A434),"",INDEX(Array_MobileCharges,MATCH($A434,List_MobileFuelMeters,0),ROUNDUP((COLUMN()+1)/3-2,0)))</f>
        <v/>
      </c>
      <c r="N434" s="127"/>
      <c r="O434" s="137"/>
      <c r="P434" s="58" t="str" cm="1">
        <f>IF(ISBLANK($A434),"",INDEX(Array_MobileCharges,MATCH($A434,List_MobileFuelMeters,0),ROUNDUP((COLUMN()+1)/3-2,0)))</f>
        <v/>
      </c>
      <c r="Q434" s="127"/>
      <c r="R434" s="137"/>
      <c r="S434" s="58" t="str" cm="1">
        <f>IF(ISBLANK($A434),"",INDEX(Array_MobileCharges,MATCH($A434,List_MobileFuelMeters,0),ROUNDUP((COLUMN()+1)/3-2,0)))</f>
        <v/>
      </c>
      <c r="T434" s="127"/>
      <c r="U434" s="137"/>
    </row>
    <row r="435" spans="1:21" x14ac:dyDescent="0.3">
      <c r="A435" s="126"/>
      <c r="B435" s="133"/>
      <c r="C435" s="127"/>
      <c r="D435" s="138"/>
      <c r="E435" s="138"/>
      <c r="F435" s="137"/>
      <c r="G435" s="58" t="str" cm="1">
        <f>IF(ISBLANK($A435),"",INDEX(Array_MobileCharges,MATCH($A435,List_MobileFuelMeters,0),ROUNDUP((COLUMN()+1)/3-2,0)))</f>
        <v/>
      </c>
      <c r="H435" s="127"/>
      <c r="I435" s="137"/>
      <c r="J435" s="58" t="str" cm="1">
        <f>IF(ISBLANK($A435),"",INDEX(Array_MobileCharges,MATCH($A435,List_MobileFuelMeters,0),ROUNDUP((COLUMN()+1)/3-2,0)))</f>
        <v/>
      </c>
      <c r="K435" s="127"/>
      <c r="L435" s="137"/>
      <c r="M435" s="58" t="str" cm="1">
        <f>IF(ISBLANK($A435),"",INDEX(Array_MobileCharges,MATCH($A435,List_MobileFuelMeters,0),ROUNDUP((COLUMN()+1)/3-2,0)))</f>
        <v/>
      </c>
      <c r="N435" s="127"/>
      <c r="O435" s="137"/>
      <c r="P435" s="58" t="str" cm="1">
        <f>IF(ISBLANK($A435),"",INDEX(Array_MobileCharges,MATCH($A435,List_MobileFuelMeters,0),ROUNDUP((COLUMN()+1)/3-2,0)))</f>
        <v/>
      </c>
      <c r="Q435" s="127"/>
      <c r="R435" s="137"/>
      <c r="S435" s="58" t="str" cm="1">
        <f>IF(ISBLANK($A435),"",INDEX(Array_MobileCharges,MATCH($A435,List_MobileFuelMeters,0),ROUNDUP((COLUMN()+1)/3-2,0)))</f>
        <v/>
      </c>
      <c r="T435" s="127"/>
      <c r="U435" s="137"/>
    </row>
    <row r="436" spans="1:21" x14ac:dyDescent="0.3">
      <c r="A436" s="126"/>
      <c r="B436" s="133"/>
      <c r="C436" s="127"/>
      <c r="D436" s="138"/>
      <c r="E436" s="138"/>
      <c r="F436" s="137"/>
      <c r="G436" s="58" t="str" cm="1">
        <f>IF(ISBLANK($A436),"",INDEX(Array_MobileCharges,MATCH($A436,List_MobileFuelMeters,0),ROUNDUP((COLUMN()+1)/3-2,0)))</f>
        <v/>
      </c>
      <c r="H436" s="127"/>
      <c r="I436" s="137"/>
      <c r="J436" s="58" t="str" cm="1">
        <f>IF(ISBLANK($A436),"",INDEX(Array_MobileCharges,MATCH($A436,List_MobileFuelMeters,0),ROUNDUP((COLUMN()+1)/3-2,0)))</f>
        <v/>
      </c>
      <c r="K436" s="127"/>
      <c r="L436" s="137"/>
      <c r="M436" s="58" t="str" cm="1">
        <f>IF(ISBLANK($A436),"",INDEX(Array_MobileCharges,MATCH($A436,List_MobileFuelMeters,0),ROUNDUP((COLUMN()+1)/3-2,0)))</f>
        <v/>
      </c>
      <c r="N436" s="127"/>
      <c r="O436" s="137"/>
      <c r="P436" s="58" t="str" cm="1">
        <f>IF(ISBLANK($A436),"",INDEX(Array_MobileCharges,MATCH($A436,List_MobileFuelMeters,0),ROUNDUP((COLUMN()+1)/3-2,0)))</f>
        <v/>
      </c>
      <c r="Q436" s="127"/>
      <c r="R436" s="137"/>
      <c r="S436" s="58" t="str" cm="1">
        <f>IF(ISBLANK($A436),"",INDEX(Array_MobileCharges,MATCH($A436,List_MobileFuelMeters,0),ROUNDUP((COLUMN()+1)/3-2,0)))</f>
        <v/>
      </c>
      <c r="T436" s="127"/>
      <c r="U436" s="137"/>
    </row>
    <row r="437" spans="1:21" x14ac:dyDescent="0.3">
      <c r="A437" s="126"/>
      <c r="B437" s="133"/>
      <c r="C437" s="127"/>
      <c r="D437" s="138"/>
      <c r="E437" s="138"/>
      <c r="F437" s="137"/>
      <c r="G437" s="58" t="str" cm="1">
        <f>IF(ISBLANK($A437),"",INDEX(Array_MobileCharges,MATCH($A437,List_MobileFuelMeters,0),ROUNDUP((COLUMN()+1)/3-2,0)))</f>
        <v/>
      </c>
      <c r="H437" s="127"/>
      <c r="I437" s="137"/>
      <c r="J437" s="58" t="str" cm="1">
        <f>IF(ISBLANK($A437),"",INDEX(Array_MobileCharges,MATCH($A437,List_MobileFuelMeters,0),ROUNDUP((COLUMN()+1)/3-2,0)))</f>
        <v/>
      </c>
      <c r="K437" s="127"/>
      <c r="L437" s="137"/>
      <c r="M437" s="58" t="str" cm="1">
        <f>IF(ISBLANK($A437),"",INDEX(Array_MobileCharges,MATCH($A437,List_MobileFuelMeters,0),ROUNDUP((COLUMN()+1)/3-2,0)))</f>
        <v/>
      </c>
      <c r="N437" s="127"/>
      <c r="O437" s="137"/>
      <c r="P437" s="58" t="str" cm="1">
        <f>IF(ISBLANK($A437),"",INDEX(Array_MobileCharges,MATCH($A437,List_MobileFuelMeters,0),ROUNDUP((COLUMN()+1)/3-2,0)))</f>
        <v/>
      </c>
      <c r="Q437" s="127"/>
      <c r="R437" s="137"/>
      <c r="S437" s="58" t="str" cm="1">
        <f>IF(ISBLANK($A437),"",INDEX(Array_MobileCharges,MATCH($A437,List_MobileFuelMeters,0),ROUNDUP((COLUMN()+1)/3-2,0)))</f>
        <v/>
      </c>
      <c r="T437" s="127"/>
      <c r="U437" s="137"/>
    </row>
    <row r="438" spans="1:21" x14ac:dyDescent="0.3">
      <c r="A438" s="126"/>
      <c r="B438" s="133"/>
      <c r="C438" s="127"/>
      <c r="D438" s="138"/>
      <c r="E438" s="138"/>
      <c r="F438" s="137"/>
      <c r="G438" s="58" t="str" cm="1">
        <f>IF(ISBLANK($A438),"",INDEX(Array_MobileCharges,MATCH($A438,List_MobileFuelMeters,0),ROUNDUP((COLUMN()+1)/3-2,0)))</f>
        <v/>
      </c>
      <c r="H438" s="127"/>
      <c r="I438" s="137"/>
      <c r="J438" s="58" t="str" cm="1">
        <f>IF(ISBLANK($A438),"",INDEX(Array_MobileCharges,MATCH($A438,List_MobileFuelMeters,0),ROUNDUP((COLUMN()+1)/3-2,0)))</f>
        <v/>
      </c>
      <c r="K438" s="127"/>
      <c r="L438" s="137"/>
      <c r="M438" s="58" t="str" cm="1">
        <f>IF(ISBLANK($A438),"",INDEX(Array_MobileCharges,MATCH($A438,List_MobileFuelMeters,0),ROUNDUP((COLUMN()+1)/3-2,0)))</f>
        <v/>
      </c>
      <c r="N438" s="127"/>
      <c r="O438" s="137"/>
      <c r="P438" s="58" t="str" cm="1">
        <f>IF(ISBLANK($A438),"",INDEX(Array_MobileCharges,MATCH($A438,List_MobileFuelMeters,0),ROUNDUP((COLUMN()+1)/3-2,0)))</f>
        <v/>
      </c>
      <c r="Q438" s="127"/>
      <c r="R438" s="137"/>
      <c r="S438" s="58" t="str" cm="1">
        <f>IF(ISBLANK($A438),"",INDEX(Array_MobileCharges,MATCH($A438,List_MobileFuelMeters,0),ROUNDUP((COLUMN()+1)/3-2,0)))</f>
        <v/>
      </c>
      <c r="T438" s="127"/>
      <c r="U438" s="137"/>
    </row>
    <row r="439" spans="1:21" x14ac:dyDescent="0.3">
      <c r="A439" s="126"/>
      <c r="B439" s="133"/>
      <c r="C439" s="127"/>
      <c r="D439" s="138"/>
      <c r="E439" s="138"/>
      <c r="F439" s="137"/>
      <c r="G439" s="58" t="str" cm="1">
        <f>IF(ISBLANK($A439),"",INDEX(Array_MobileCharges,MATCH($A439,List_MobileFuelMeters,0),ROUNDUP((COLUMN()+1)/3-2,0)))</f>
        <v/>
      </c>
      <c r="H439" s="127"/>
      <c r="I439" s="137"/>
      <c r="J439" s="58" t="str" cm="1">
        <f>IF(ISBLANK($A439),"",INDEX(Array_MobileCharges,MATCH($A439,List_MobileFuelMeters,0),ROUNDUP((COLUMN()+1)/3-2,0)))</f>
        <v/>
      </c>
      <c r="K439" s="127"/>
      <c r="L439" s="137"/>
      <c r="M439" s="58" t="str" cm="1">
        <f>IF(ISBLANK($A439),"",INDEX(Array_MobileCharges,MATCH($A439,List_MobileFuelMeters,0),ROUNDUP((COLUMN()+1)/3-2,0)))</f>
        <v/>
      </c>
      <c r="N439" s="127"/>
      <c r="O439" s="137"/>
      <c r="P439" s="58" t="str" cm="1">
        <f>IF(ISBLANK($A439),"",INDEX(Array_MobileCharges,MATCH($A439,List_MobileFuelMeters,0),ROUNDUP((COLUMN()+1)/3-2,0)))</f>
        <v/>
      </c>
      <c r="Q439" s="127"/>
      <c r="R439" s="137"/>
      <c r="S439" s="58" t="str" cm="1">
        <f>IF(ISBLANK($A439),"",INDEX(Array_MobileCharges,MATCH($A439,List_MobileFuelMeters,0),ROUNDUP((COLUMN()+1)/3-2,0)))</f>
        <v/>
      </c>
      <c r="T439" s="127"/>
      <c r="U439" s="137"/>
    </row>
    <row r="440" spans="1:21" x14ac:dyDescent="0.3">
      <c r="A440" s="126"/>
      <c r="B440" s="133"/>
      <c r="C440" s="127"/>
      <c r="D440" s="138"/>
      <c r="E440" s="138"/>
      <c r="F440" s="137"/>
      <c r="G440" s="58" t="str" cm="1">
        <f>IF(ISBLANK($A440),"",INDEX(Array_MobileCharges,MATCH($A440,List_MobileFuelMeters,0),ROUNDUP((COLUMN()+1)/3-2,0)))</f>
        <v/>
      </c>
      <c r="H440" s="127"/>
      <c r="I440" s="137"/>
      <c r="J440" s="58" t="str" cm="1">
        <f>IF(ISBLANK($A440),"",INDEX(Array_MobileCharges,MATCH($A440,List_MobileFuelMeters,0),ROUNDUP((COLUMN()+1)/3-2,0)))</f>
        <v/>
      </c>
      <c r="K440" s="127"/>
      <c r="L440" s="137"/>
      <c r="M440" s="58" t="str" cm="1">
        <f>IF(ISBLANK($A440),"",INDEX(Array_MobileCharges,MATCH($A440,List_MobileFuelMeters,0),ROUNDUP((COLUMN()+1)/3-2,0)))</f>
        <v/>
      </c>
      <c r="N440" s="127"/>
      <c r="O440" s="137"/>
      <c r="P440" s="58" t="str" cm="1">
        <f>IF(ISBLANK($A440),"",INDEX(Array_MobileCharges,MATCH($A440,List_MobileFuelMeters,0),ROUNDUP((COLUMN()+1)/3-2,0)))</f>
        <v/>
      </c>
      <c r="Q440" s="127"/>
      <c r="R440" s="137"/>
      <c r="S440" s="58" t="str" cm="1">
        <f>IF(ISBLANK($A440),"",INDEX(Array_MobileCharges,MATCH($A440,List_MobileFuelMeters,0),ROUNDUP((COLUMN()+1)/3-2,0)))</f>
        <v/>
      </c>
      <c r="T440" s="127"/>
      <c r="U440" s="137"/>
    </row>
    <row r="441" spans="1:21" x14ac:dyDescent="0.3">
      <c r="A441" s="126"/>
      <c r="B441" s="133"/>
      <c r="C441" s="127"/>
      <c r="D441" s="138"/>
      <c r="E441" s="138"/>
      <c r="F441" s="137"/>
      <c r="G441" s="58" t="str" cm="1">
        <f>IF(ISBLANK($A441),"",INDEX(Array_MobileCharges,MATCH($A441,List_MobileFuelMeters,0),ROUNDUP((COLUMN()+1)/3-2,0)))</f>
        <v/>
      </c>
      <c r="H441" s="127"/>
      <c r="I441" s="137"/>
      <c r="J441" s="58" t="str" cm="1">
        <f>IF(ISBLANK($A441),"",INDEX(Array_MobileCharges,MATCH($A441,List_MobileFuelMeters,0),ROUNDUP((COLUMN()+1)/3-2,0)))</f>
        <v/>
      </c>
      <c r="K441" s="127"/>
      <c r="L441" s="137"/>
      <c r="M441" s="58" t="str" cm="1">
        <f>IF(ISBLANK($A441),"",INDEX(Array_MobileCharges,MATCH($A441,List_MobileFuelMeters,0),ROUNDUP((COLUMN()+1)/3-2,0)))</f>
        <v/>
      </c>
      <c r="N441" s="127"/>
      <c r="O441" s="137"/>
      <c r="P441" s="58" t="str" cm="1">
        <f>IF(ISBLANK($A441),"",INDEX(Array_MobileCharges,MATCH($A441,List_MobileFuelMeters,0),ROUNDUP((COLUMN()+1)/3-2,0)))</f>
        <v/>
      </c>
      <c r="Q441" s="127"/>
      <c r="R441" s="137"/>
      <c r="S441" s="58" t="str" cm="1">
        <f>IF(ISBLANK($A441),"",INDEX(Array_MobileCharges,MATCH($A441,List_MobileFuelMeters,0),ROUNDUP((COLUMN()+1)/3-2,0)))</f>
        <v/>
      </c>
      <c r="T441" s="127"/>
      <c r="U441" s="137"/>
    </row>
    <row r="442" spans="1:21" x14ac:dyDescent="0.3">
      <c r="A442" s="126"/>
      <c r="B442" s="133"/>
      <c r="C442" s="127"/>
      <c r="D442" s="138"/>
      <c r="E442" s="138"/>
      <c r="F442" s="137"/>
      <c r="G442" s="58" t="str" cm="1">
        <f>IF(ISBLANK($A442),"",INDEX(Array_MobileCharges,MATCH($A442,List_MobileFuelMeters,0),ROUNDUP((COLUMN()+1)/3-2,0)))</f>
        <v/>
      </c>
      <c r="H442" s="127"/>
      <c r="I442" s="137"/>
      <c r="J442" s="58" t="str" cm="1">
        <f>IF(ISBLANK($A442),"",INDEX(Array_MobileCharges,MATCH($A442,List_MobileFuelMeters,0),ROUNDUP((COLUMN()+1)/3-2,0)))</f>
        <v/>
      </c>
      <c r="K442" s="127"/>
      <c r="L442" s="137"/>
      <c r="M442" s="58" t="str" cm="1">
        <f>IF(ISBLANK($A442),"",INDEX(Array_MobileCharges,MATCH($A442,List_MobileFuelMeters,0),ROUNDUP((COLUMN()+1)/3-2,0)))</f>
        <v/>
      </c>
      <c r="N442" s="127"/>
      <c r="O442" s="137"/>
      <c r="P442" s="58" t="str" cm="1">
        <f>IF(ISBLANK($A442),"",INDEX(Array_MobileCharges,MATCH($A442,List_MobileFuelMeters,0),ROUNDUP((COLUMN()+1)/3-2,0)))</f>
        <v/>
      </c>
      <c r="Q442" s="127"/>
      <c r="R442" s="137"/>
      <c r="S442" s="58" t="str" cm="1">
        <f>IF(ISBLANK($A442),"",INDEX(Array_MobileCharges,MATCH($A442,List_MobileFuelMeters,0),ROUNDUP((COLUMN()+1)/3-2,0)))</f>
        <v/>
      </c>
      <c r="T442" s="127"/>
      <c r="U442" s="137"/>
    </row>
    <row r="443" spans="1:21" x14ac:dyDescent="0.3">
      <c r="A443" s="126"/>
      <c r="B443" s="133"/>
      <c r="C443" s="127"/>
      <c r="D443" s="138"/>
      <c r="E443" s="138"/>
      <c r="F443" s="137"/>
      <c r="G443" s="58" t="str" cm="1">
        <f>IF(ISBLANK($A443),"",INDEX(Array_MobileCharges,MATCH($A443,List_MobileFuelMeters,0),ROUNDUP((COLUMN()+1)/3-2,0)))</f>
        <v/>
      </c>
      <c r="H443" s="127"/>
      <c r="I443" s="137"/>
      <c r="J443" s="58" t="str" cm="1">
        <f>IF(ISBLANK($A443),"",INDEX(Array_MobileCharges,MATCH($A443,List_MobileFuelMeters,0),ROUNDUP((COLUMN()+1)/3-2,0)))</f>
        <v/>
      </c>
      <c r="K443" s="127"/>
      <c r="L443" s="137"/>
      <c r="M443" s="58" t="str" cm="1">
        <f>IF(ISBLANK($A443),"",INDEX(Array_MobileCharges,MATCH($A443,List_MobileFuelMeters,0),ROUNDUP((COLUMN()+1)/3-2,0)))</f>
        <v/>
      </c>
      <c r="N443" s="127"/>
      <c r="O443" s="137"/>
      <c r="P443" s="58" t="str" cm="1">
        <f>IF(ISBLANK($A443),"",INDEX(Array_MobileCharges,MATCH($A443,List_MobileFuelMeters,0),ROUNDUP((COLUMN()+1)/3-2,0)))</f>
        <v/>
      </c>
      <c r="Q443" s="127"/>
      <c r="R443" s="137"/>
      <c r="S443" s="58" t="str" cm="1">
        <f>IF(ISBLANK($A443),"",INDEX(Array_MobileCharges,MATCH($A443,List_MobileFuelMeters,0),ROUNDUP((COLUMN()+1)/3-2,0)))</f>
        <v/>
      </c>
      <c r="T443" s="127"/>
      <c r="U443" s="137"/>
    </row>
    <row r="444" spans="1:21" x14ac:dyDescent="0.3">
      <c r="A444" s="126"/>
      <c r="B444" s="133"/>
      <c r="C444" s="127"/>
      <c r="D444" s="138"/>
      <c r="E444" s="138"/>
      <c r="F444" s="137"/>
      <c r="G444" s="58" t="str" cm="1">
        <f>IF(ISBLANK($A444),"",INDEX(Array_MobileCharges,MATCH($A444,List_MobileFuelMeters,0),ROUNDUP((COLUMN()+1)/3-2,0)))</f>
        <v/>
      </c>
      <c r="H444" s="127"/>
      <c r="I444" s="137"/>
      <c r="J444" s="58" t="str" cm="1">
        <f>IF(ISBLANK($A444),"",INDEX(Array_MobileCharges,MATCH($A444,List_MobileFuelMeters,0),ROUNDUP((COLUMN()+1)/3-2,0)))</f>
        <v/>
      </c>
      <c r="K444" s="127"/>
      <c r="L444" s="137"/>
      <c r="M444" s="58" t="str" cm="1">
        <f>IF(ISBLANK($A444),"",INDEX(Array_MobileCharges,MATCH($A444,List_MobileFuelMeters,0),ROUNDUP((COLUMN()+1)/3-2,0)))</f>
        <v/>
      </c>
      <c r="N444" s="127"/>
      <c r="O444" s="137"/>
      <c r="P444" s="58" t="str" cm="1">
        <f>IF(ISBLANK($A444),"",INDEX(Array_MobileCharges,MATCH($A444,List_MobileFuelMeters,0),ROUNDUP((COLUMN()+1)/3-2,0)))</f>
        <v/>
      </c>
      <c r="Q444" s="127"/>
      <c r="R444" s="137"/>
      <c r="S444" s="58" t="str" cm="1">
        <f>IF(ISBLANK($A444),"",INDEX(Array_MobileCharges,MATCH($A444,List_MobileFuelMeters,0),ROUNDUP((COLUMN()+1)/3-2,0)))</f>
        <v/>
      </c>
      <c r="T444" s="127"/>
      <c r="U444" s="137"/>
    </row>
    <row r="445" spans="1:21" x14ac:dyDescent="0.3">
      <c r="A445" s="126"/>
      <c r="B445" s="133"/>
      <c r="C445" s="127"/>
      <c r="D445" s="138"/>
      <c r="E445" s="138"/>
      <c r="F445" s="137"/>
      <c r="G445" s="58" t="str" cm="1">
        <f>IF(ISBLANK($A445),"",INDEX(Array_MobileCharges,MATCH($A445,List_MobileFuelMeters,0),ROUNDUP((COLUMN()+1)/3-2,0)))</f>
        <v/>
      </c>
      <c r="H445" s="127"/>
      <c r="I445" s="137"/>
      <c r="J445" s="58" t="str" cm="1">
        <f>IF(ISBLANK($A445),"",INDEX(Array_MobileCharges,MATCH($A445,List_MobileFuelMeters,0),ROUNDUP((COLUMN()+1)/3-2,0)))</f>
        <v/>
      </c>
      <c r="K445" s="127"/>
      <c r="L445" s="137"/>
      <c r="M445" s="58" t="str" cm="1">
        <f>IF(ISBLANK($A445),"",INDEX(Array_MobileCharges,MATCH($A445,List_MobileFuelMeters,0),ROUNDUP((COLUMN()+1)/3-2,0)))</f>
        <v/>
      </c>
      <c r="N445" s="127"/>
      <c r="O445" s="137"/>
      <c r="P445" s="58" t="str" cm="1">
        <f>IF(ISBLANK($A445),"",INDEX(Array_MobileCharges,MATCH($A445,List_MobileFuelMeters,0),ROUNDUP((COLUMN()+1)/3-2,0)))</f>
        <v/>
      </c>
      <c r="Q445" s="127"/>
      <c r="R445" s="137"/>
      <c r="S445" s="58" t="str" cm="1">
        <f>IF(ISBLANK($A445),"",INDEX(Array_MobileCharges,MATCH($A445,List_MobileFuelMeters,0),ROUNDUP((COLUMN()+1)/3-2,0)))</f>
        <v/>
      </c>
      <c r="T445" s="127"/>
      <c r="U445" s="137"/>
    </row>
    <row r="446" spans="1:21" x14ac:dyDescent="0.3">
      <c r="A446" s="126"/>
      <c r="B446" s="133"/>
      <c r="C446" s="127"/>
      <c r="D446" s="138"/>
      <c r="E446" s="138"/>
      <c r="F446" s="137"/>
      <c r="G446" s="58" t="str" cm="1">
        <f>IF(ISBLANK($A446),"",INDEX(Array_MobileCharges,MATCH($A446,List_MobileFuelMeters,0),ROUNDUP((COLUMN()+1)/3-2,0)))</f>
        <v/>
      </c>
      <c r="H446" s="127"/>
      <c r="I446" s="137"/>
      <c r="J446" s="58" t="str" cm="1">
        <f>IF(ISBLANK($A446),"",INDEX(Array_MobileCharges,MATCH($A446,List_MobileFuelMeters,0),ROUNDUP((COLUMN()+1)/3-2,0)))</f>
        <v/>
      </c>
      <c r="K446" s="127"/>
      <c r="L446" s="137"/>
      <c r="M446" s="58" t="str" cm="1">
        <f>IF(ISBLANK($A446),"",INDEX(Array_MobileCharges,MATCH($A446,List_MobileFuelMeters,0),ROUNDUP((COLUMN()+1)/3-2,0)))</f>
        <v/>
      </c>
      <c r="N446" s="127"/>
      <c r="O446" s="137"/>
      <c r="P446" s="58" t="str" cm="1">
        <f>IF(ISBLANK($A446),"",INDEX(Array_MobileCharges,MATCH($A446,List_MobileFuelMeters,0),ROUNDUP((COLUMN()+1)/3-2,0)))</f>
        <v/>
      </c>
      <c r="Q446" s="127"/>
      <c r="R446" s="137"/>
      <c r="S446" s="58" t="str" cm="1">
        <f>IF(ISBLANK($A446),"",INDEX(Array_MobileCharges,MATCH($A446,List_MobileFuelMeters,0),ROUNDUP((COLUMN()+1)/3-2,0)))</f>
        <v/>
      </c>
      <c r="T446" s="127"/>
      <c r="U446" s="137"/>
    </row>
    <row r="447" spans="1:21" x14ac:dyDescent="0.3">
      <c r="A447" s="126"/>
      <c r="B447" s="133"/>
      <c r="C447" s="127"/>
      <c r="D447" s="138"/>
      <c r="E447" s="138"/>
      <c r="F447" s="137"/>
      <c r="G447" s="58" t="str" cm="1">
        <f>IF(ISBLANK($A447),"",INDEX(Array_MobileCharges,MATCH($A447,List_MobileFuelMeters,0),ROUNDUP((COLUMN()+1)/3-2,0)))</f>
        <v/>
      </c>
      <c r="H447" s="127"/>
      <c r="I447" s="137"/>
      <c r="J447" s="58" t="str" cm="1">
        <f>IF(ISBLANK($A447),"",INDEX(Array_MobileCharges,MATCH($A447,List_MobileFuelMeters,0),ROUNDUP((COLUMN()+1)/3-2,0)))</f>
        <v/>
      </c>
      <c r="K447" s="127"/>
      <c r="L447" s="137"/>
      <c r="M447" s="58" t="str" cm="1">
        <f>IF(ISBLANK($A447),"",INDEX(Array_MobileCharges,MATCH($A447,List_MobileFuelMeters,0),ROUNDUP((COLUMN()+1)/3-2,0)))</f>
        <v/>
      </c>
      <c r="N447" s="127"/>
      <c r="O447" s="137"/>
      <c r="P447" s="58" t="str" cm="1">
        <f>IF(ISBLANK($A447),"",INDEX(Array_MobileCharges,MATCH($A447,List_MobileFuelMeters,0),ROUNDUP((COLUMN()+1)/3-2,0)))</f>
        <v/>
      </c>
      <c r="Q447" s="127"/>
      <c r="R447" s="137"/>
      <c r="S447" s="58" t="str" cm="1">
        <f>IF(ISBLANK($A447),"",INDEX(Array_MobileCharges,MATCH($A447,List_MobileFuelMeters,0),ROUNDUP((COLUMN()+1)/3-2,0)))</f>
        <v/>
      </c>
      <c r="T447" s="127"/>
      <c r="U447" s="137"/>
    </row>
    <row r="448" spans="1:21" x14ac:dyDescent="0.3">
      <c r="A448" s="126"/>
      <c r="B448" s="133"/>
      <c r="C448" s="127"/>
      <c r="D448" s="138"/>
      <c r="E448" s="138"/>
      <c r="F448" s="137"/>
      <c r="G448" s="58" t="str" cm="1">
        <f>IF(ISBLANK($A448),"",INDEX(Array_MobileCharges,MATCH($A448,List_MobileFuelMeters,0),ROUNDUP((COLUMN()+1)/3-2,0)))</f>
        <v/>
      </c>
      <c r="H448" s="127"/>
      <c r="I448" s="137"/>
      <c r="J448" s="58" t="str" cm="1">
        <f>IF(ISBLANK($A448),"",INDEX(Array_MobileCharges,MATCH($A448,List_MobileFuelMeters,0),ROUNDUP((COLUMN()+1)/3-2,0)))</f>
        <v/>
      </c>
      <c r="K448" s="127"/>
      <c r="L448" s="137"/>
      <c r="M448" s="58" t="str" cm="1">
        <f>IF(ISBLANK($A448),"",INDEX(Array_MobileCharges,MATCH($A448,List_MobileFuelMeters,0),ROUNDUP((COLUMN()+1)/3-2,0)))</f>
        <v/>
      </c>
      <c r="N448" s="127"/>
      <c r="O448" s="137"/>
      <c r="P448" s="58" t="str" cm="1">
        <f>IF(ISBLANK($A448),"",INDEX(Array_MobileCharges,MATCH($A448,List_MobileFuelMeters,0),ROUNDUP((COLUMN()+1)/3-2,0)))</f>
        <v/>
      </c>
      <c r="Q448" s="127"/>
      <c r="R448" s="137"/>
      <c r="S448" s="58" t="str" cm="1">
        <f>IF(ISBLANK($A448),"",INDEX(Array_MobileCharges,MATCH($A448,List_MobileFuelMeters,0),ROUNDUP((COLUMN()+1)/3-2,0)))</f>
        <v/>
      </c>
      <c r="T448" s="127"/>
      <c r="U448" s="137"/>
    </row>
    <row r="449" spans="1:21" x14ac:dyDescent="0.3">
      <c r="A449" s="126"/>
      <c r="B449" s="133"/>
      <c r="C449" s="127"/>
      <c r="D449" s="138"/>
      <c r="E449" s="138"/>
      <c r="F449" s="137"/>
      <c r="G449" s="58" t="str" cm="1">
        <f>IF(ISBLANK($A449),"",INDEX(Array_MobileCharges,MATCH($A449,List_MobileFuelMeters,0),ROUNDUP((COLUMN()+1)/3-2,0)))</f>
        <v/>
      </c>
      <c r="H449" s="127"/>
      <c r="I449" s="137"/>
      <c r="J449" s="58" t="str" cm="1">
        <f>IF(ISBLANK($A449),"",INDEX(Array_MobileCharges,MATCH($A449,List_MobileFuelMeters,0),ROUNDUP((COLUMN()+1)/3-2,0)))</f>
        <v/>
      </c>
      <c r="K449" s="127"/>
      <c r="L449" s="137"/>
      <c r="M449" s="58" t="str" cm="1">
        <f>IF(ISBLANK($A449),"",INDEX(Array_MobileCharges,MATCH($A449,List_MobileFuelMeters,0),ROUNDUP((COLUMN()+1)/3-2,0)))</f>
        <v/>
      </c>
      <c r="N449" s="127"/>
      <c r="O449" s="137"/>
      <c r="P449" s="58" t="str" cm="1">
        <f>IF(ISBLANK($A449),"",INDEX(Array_MobileCharges,MATCH($A449,List_MobileFuelMeters,0),ROUNDUP((COLUMN()+1)/3-2,0)))</f>
        <v/>
      </c>
      <c r="Q449" s="127"/>
      <c r="R449" s="137"/>
      <c r="S449" s="58" t="str" cm="1">
        <f>IF(ISBLANK($A449),"",INDEX(Array_MobileCharges,MATCH($A449,List_MobileFuelMeters,0),ROUNDUP((COLUMN()+1)/3-2,0)))</f>
        <v/>
      </c>
      <c r="T449" s="127"/>
      <c r="U449" s="137"/>
    </row>
    <row r="450" spans="1:21" x14ac:dyDescent="0.3">
      <c r="A450" s="126"/>
      <c r="B450" s="133"/>
      <c r="C450" s="127"/>
      <c r="D450" s="138"/>
      <c r="E450" s="138"/>
      <c r="F450" s="137"/>
      <c r="G450" s="58" t="str" cm="1">
        <f>IF(ISBLANK($A450),"",INDEX(Array_MobileCharges,MATCH($A450,List_MobileFuelMeters,0),ROUNDUP((COLUMN()+1)/3-2,0)))</f>
        <v/>
      </c>
      <c r="H450" s="127"/>
      <c r="I450" s="137"/>
      <c r="J450" s="58" t="str" cm="1">
        <f>IF(ISBLANK($A450),"",INDEX(Array_MobileCharges,MATCH($A450,List_MobileFuelMeters,0),ROUNDUP((COLUMN()+1)/3-2,0)))</f>
        <v/>
      </c>
      <c r="K450" s="127"/>
      <c r="L450" s="137"/>
      <c r="M450" s="58" t="str" cm="1">
        <f>IF(ISBLANK($A450),"",INDEX(Array_MobileCharges,MATCH($A450,List_MobileFuelMeters,0),ROUNDUP((COLUMN()+1)/3-2,0)))</f>
        <v/>
      </c>
      <c r="N450" s="127"/>
      <c r="O450" s="137"/>
      <c r="P450" s="58" t="str" cm="1">
        <f>IF(ISBLANK($A450),"",INDEX(Array_MobileCharges,MATCH($A450,List_MobileFuelMeters,0),ROUNDUP((COLUMN()+1)/3-2,0)))</f>
        <v/>
      </c>
      <c r="Q450" s="127"/>
      <c r="R450" s="137"/>
      <c r="S450" s="58" t="str" cm="1">
        <f>IF(ISBLANK($A450),"",INDEX(Array_MobileCharges,MATCH($A450,List_MobileFuelMeters,0),ROUNDUP((COLUMN()+1)/3-2,0)))</f>
        <v/>
      </c>
      <c r="T450" s="127"/>
      <c r="U450" s="137"/>
    </row>
    <row r="451" spans="1:21" x14ac:dyDescent="0.3">
      <c r="A451" s="126"/>
      <c r="B451" s="133"/>
      <c r="C451" s="127"/>
      <c r="D451" s="138"/>
      <c r="E451" s="138"/>
      <c r="F451" s="137"/>
      <c r="G451" s="58" t="str" cm="1">
        <f>IF(ISBLANK($A451),"",INDEX(Array_MobileCharges,MATCH($A451,List_MobileFuelMeters,0),ROUNDUP((COLUMN()+1)/3-2,0)))</f>
        <v/>
      </c>
      <c r="H451" s="127"/>
      <c r="I451" s="137"/>
      <c r="J451" s="58" t="str" cm="1">
        <f>IF(ISBLANK($A451),"",INDEX(Array_MobileCharges,MATCH($A451,List_MobileFuelMeters,0),ROUNDUP((COLUMN()+1)/3-2,0)))</f>
        <v/>
      </c>
      <c r="K451" s="127"/>
      <c r="L451" s="137"/>
      <c r="M451" s="58" t="str" cm="1">
        <f>IF(ISBLANK($A451),"",INDEX(Array_MobileCharges,MATCH($A451,List_MobileFuelMeters,0),ROUNDUP((COLUMN()+1)/3-2,0)))</f>
        <v/>
      </c>
      <c r="N451" s="127"/>
      <c r="O451" s="137"/>
      <c r="P451" s="58" t="str" cm="1">
        <f>IF(ISBLANK($A451),"",INDEX(Array_MobileCharges,MATCH($A451,List_MobileFuelMeters,0),ROUNDUP((COLUMN()+1)/3-2,0)))</f>
        <v/>
      </c>
      <c r="Q451" s="127"/>
      <c r="R451" s="137"/>
      <c r="S451" s="58" t="str" cm="1">
        <f>IF(ISBLANK($A451),"",INDEX(Array_MobileCharges,MATCH($A451,List_MobileFuelMeters,0),ROUNDUP((COLUMN()+1)/3-2,0)))</f>
        <v/>
      </c>
      <c r="T451" s="127"/>
      <c r="U451" s="137"/>
    </row>
    <row r="452" spans="1:21" x14ac:dyDescent="0.3">
      <c r="A452" s="126"/>
      <c r="B452" s="133"/>
      <c r="C452" s="127"/>
      <c r="D452" s="138"/>
      <c r="E452" s="138"/>
      <c r="F452" s="137"/>
      <c r="G452" s="58" t="str" cm="1">
        <f>IF(ISBLANK($A452),"",INDEX(Array_MobileCharges,MATCH($A452,List_MobileFuelMeters,0),ROUNDUP((COLUMN()+1)/3-2,0)))</f>
        <v/>
      </c>
      <c r="H452" s="127"/>
      <c r="I452" s="137"/>
      <c r="J452" s="58" t="str" cm="1">
        <f>IF(ISBLANK($A452),"",INDEX(Array_MobileCharges,MATCH($A452,List_MobileFuelMeters,0),ROUNDUP((COLUMN()+1)/3-2,0)))</f>
        <v/>
      </c>
      <c r="K452" s="127"/>
      <c r="L452" s="137"/>
      <c r="M452" s="58" t="str" cm="1">
        <f>IF(ISBLANK($A452),"",INDEX(Array_MobileCharges,MATCH($A452,List_MobileFuelMeters,0),ROUNDUP((COLUMN()+1)/3-2,0)))</f>
        <v/>
      </c>
      <c r="N452" s="127"/>
      <c r="O452" s="137"/>
      <c r="P452" s="58" t="str" cm="1">
        <f>IF(ISBLANK($A452),"",INDEX(Array_MobileCharges,MATCH($A452,List_MobileFuelMeters,0),ROUNDUP((COLUMN()+1)/3-2,0)))</f>
        <v/>
      </c>
      <c r="Q452" s="127"/>
      <c r="R452" s="137"/>
      <c r="S452" s="58" t="str" cm="1">
        <f>IF(ISBLANK($A452),"",INDEX(Array_MobileCharges,MATCH($A452,List_MobileFuelMeters,0),ROUNDUP((COLUMN()+1)/3-2,0)))</f>
        <v/>
      </c>
      <c r="T452" s="127"/>
      <c r="U452" s="137"/>
    </row>
    <row r="453" spans="1:21" x14ac:dyDescent="0.3">
      <c r="A453" s="126"/>
      <c r="B453" s="133"/>
      <c r="C453" s="127"/>
      <c r="D453" s="138"/>
      <c r="E453" s="138"/>
      <c r="F453" s="137"/>
      <c r="G453" s="58" t="str" cm="1">
        <f>IF(ISBLANK($A453),"",INDEX(Array_MobileCharges,MATCH($A453,List_MobileFuelMeters,0),ROUNDUP((COLUMN()+1)/3-2,0)))</f>
        <v/>
      </c>
      <c r="H453" s="127"/>
      <c r="I453" s="137"/>
      <c r="J453" s="58" t="str" cm="1">
        <f>IF(ISBLANK($A453),"",INDEX(Array_MobileCharges,MATCH($A453,List_MobileFuelMeters,0),ROUNDUP((COLUMN()+1)/3-2,0)))</f>
        <v/>
      </c>
      <c r="K453" s="127"/>
      <c r="L453" s="137"/>
      <c r="M453" s="58" t="str" cm="1">
        <f>IF(ISBLANK($A453),"",INDEX(Array_MobileCharges,MATCH($A453,List_MobileFuelMeters,0),ROUNDUP((COLUMN()+1)/3-2,0)))</f>
        <v/>
      </c>
      <c r="N453" s="127"/>
      <c r="O453" s="137"/>
      <c r="P453" s="58" t="str" cm="1">
        <f>IF(ISBLANK($A453),"",INDEX(Array_MobileCharges,MATCH($A453,List_MobileFuelMeters,0),ROUNDUP((COLUMN()+1)/3-2,0)))</f>
        <v/>
      </c>
      <c r="Q453" s="127"/>
      <c r="R453" s="137"/>
      <c r="S453" s="58" t="str" cm="1">
        <f>IF(ISBLANK($A453),"",INDEX(Array_MobileCharges,MATCH($A453,List_MobileFuelMeters,0),ROUNDUP((COLUMN()+1)/3-2,0)))</f>
        <v/>
      </c>
      <c r="T453" s="127"/>
      <c r="U453" s="137"/>
    </row>
    <row r="454" spans="1:21" x14ac:dyDescent="0.3">
      <c r="A454" s="126"/>
      <c r="B454" s="133"/>
      <c r="C454" s="127"/>
      <c r="D454" s="138"/>
      <c r="E454" s="138"/>
      <c r="F454" s="137"/>
      <c r="G454" s="58" t="str" cm="1">
        <f>IF(ISBLANK($A454),"",INDEX(Array_MobileCharges,MATCH($A454,List_MobileFuelMeters,0),ROUNDUP((COLUMN()+1)/3-2,0)))</f>
        <v/>
      </c>
      <c r="H454" s="127"/>
      <c r="I454" s="137"/>
      <c r="J454" s="58" t="str" cm="1">
        <f>IF(ISBLANK($A454),"",INDEX(Array_MobileCharges,MATCH($A454,List_MobileFuelMeters,0),ROUNDUP((COLUMN()+1)/3-2,0)))</f>
        <v/>
      </c>
      <c r="K454" s="127"/>
      <c r="L454" s="137"/>
      <c r="M454" s="58" t="str" cm="1">
        <f>IF(ISBLANK($A454),"",INDEX(Array_MobileCharges,MATCH($A454,List_MobileFuelMeters,0),ROUNDUP((COLUMN()+1)/3-2,0)))</f>
        <v/>
      </c>
      <c r="N454" s="127"/>
      <c r="O454" s="137"/>
      <c r="P454" s="58" t="str" cm="1">
        <f>IF(ISBLANK($A454),"",INDEX(Array_MobileCharges,MATCH($A454,List_MobileFuelMeters,0),ROUNDUP((COLUMN()+1)/3-2,0)))</f>
        <v/>
      </c>
      <c r="Q454" s="127"/>
      <c r="R454" s="137"/>
      <c r="S454" s="58" t="str" cm="1">
        <f>IF(ISBLANK($A454),"",INDEX(Array_MobileCharges,MATCH($A454,List_MobileFuelMeters,0),ROUNDUP((COLUMN()+1)/3-2,0)))</f>
        <v/>
      </c>
      <c r="T454" s="127"/>
      <c r="U454" s="137"/>
    </row>
    <row r="455" spans="1:21" x14ac:dyDescent="0.3">
      <c r="A455" s="126"/>
      <c r="B455" s="133"/>
      <c r="C455" s="127"/>
      <c r="D455" s="138"/>
      <c r="E455" s="138"/>
      <c r="F455" s="137"/>
      <c r="G455" s="58" t="str" cm="1">
        <f>IF(ISBLANK($A455),"",INDEX(Array_MobileCharges,MATCH($A455,List_MobileFuelMeters,0),ROUNDUP((COLUMN()+1)/3-2,0)))</f>
        <v/>
      </c>
      <c r="H455" s="127"/>
      <c r="I455" s="137"/>
      <c r="J455" s="58" t="str" cm="1">
        <f>IF(ISBLANK($A455),"",INDEX(Array_MobileCharges,MATCH($A455,List_MobileFuelMeters,0),ROUNDUP((COLUMN()+1)/3-2,0)))</f>
        <v/>
      </c>
      <c r="K455" s="127"/>
      <c r="L455" s="137"/>
      <c r="M455" s="58" t="str" cm="1">
        <f>IF(ISBLANK($A455),"",INDEX(Array_MobileCharges,MATCH($A455,List_MobileFuelMeters,0),ROUNDUP((COLUMN()+1)/3-2,0)))</f>
        <v/>
      </c>
      <c r="N455" s="127"/>
      <c r="O455" s="137"/>
      <c r="P455" s="58" t="str" cm="1">
        <f>IF(ISBLANK($A455),"",INDEX(Array_MobileCharges,MATCH($A455,List_MobileFuelMeters,0),ROUNDUP((COLUMN()+1)/3-2,0)))</f>
        <v/>
      </c>
      <c r="Q455" s="127"/>
      <c r="R455" s="137"/>
      <c r="S455" s="58" t="str" cm="1">
        <f>IF(ISBLANK($A455),"",INDEX(Array_MobileCharges,MATCH($A455,List_MobileFuelMeters,0),ROUNDUP((COLUMN()+1)/3-2,0)))</f>
        <v/>
      </c>
      <c r="T455" s="127"/>
      <c r="U455" s="137"/>
    </row>
    <row r="456" spans="1:21" x14ac:dyDescent="0.3">
      <c r="A456" s="126"/>
      <c r="B456" s="133"/>
      <c r="C456" s="127"/>
      <c r="D456" s="138"/>
      <c r="E456" s="138"/>
      <c r="F456" s="137"/>
      <c r="G456" s="58" t="str" cm="1">
        <f>IF(ISBLANK($A456),"",INDEX(Array_MobileCharges,MATCH($A456,List_MobileFuelMeters,0),ROUNDUP((COLUMN()+1)/3-2,0)))</f>
        <v/>
      </c>
      <c r="H456" s="127"/>
      <c r="I456" s="137"/>
      <c r="J456" s="58" t="str" cm="1">
        <f>IF(ISBLANK($A456),"",INDEX(Array_MobileCharges,MATCH($A456,List_MobileFuelMeters,0),ROUNDUP((COLUMN()+1)/3-2,0)))</f>
        <v/>
      </c>
      <c r="K456" s="127"/>
      <c r="L456" s="137"/>
      <c r="M456" s="58" t="str" cm="1">
        <f>IF(ISBLANK($A456),"",INDEX(Array_MobileCharges,MATCH($A456,List_MobileFuelMeters,0),ROUNDUP((COLUMN()+1)/3-2,0)))</f>
        <v/>
      </c>
      <c r="N456" s="127"/>
      <c r="O456" s="137"/>
      <c r="P456" s="58" t="str" cm="1">
        <f>IF(ISBLANK($A456),"",INDEX(Array_MobileCharges,MATCH($A456,List_MobileFuelMeters,0),ROUNDUP((COLUMN()+1)/3-2,0)))</f>
        <v/>
      </c>
      <c r="Q456" s="127"/>
      <c r="R456" s="137"/>
      <c r="S456" s="58" t="str" cm="1">
        <f>IF(ISBLANK($A456),"",INDEX(Array_MobileCharges,MATCH($A456,List_MobileFuelMeters,0),ROUNDUP((COLUMN()+1)/3-2,0)))</f>
        <v/>
      </c>
      <c r="T456" s="127"/>
      <c r="U456" s="137"/>
    </row>
    <row r="457" spans="1:21" x14ac:dyDescent="0.3">
      <c r="A457" s="126"/>
      <c r="B457" s="133"/>
      <c r="C457" s="127"/>
      <c r="D457" s="138"/>
      <c r="E457" s="138"/>
      <c r="F457" s="137"/>
      <c r="G457" s="58" t="str" cm="1">
        <f>IF(ISBLANK($A457),"",INDEX(Array_MobileCharges,MATCH($A457,List_MobileFuelMeters,0),ROUNDUP((COLUMN()+1)/3-2,0)))</f>
        <v/>
      </c>
      <c r="H457" s="127"/>
      <c r="I457" s="137"/>
      <c r="J457" s="58" t="str" cm="1">
        <f>IF(ISBLANK($A457),"",INDEX(Array_MobileCharges,MATCH($A457,List_MobileFuelMeters,0),ROUNDUP((COLUMN()+1)/3-2,0)))</f>
        <v/>
      </c>
      <c r="K457" s="127"/>
      <c r="L457" s="137"/>
      <c r="M457" s="58" t="str" cm="1">
        <f>IF(ISBLANK($A457),"",INDEX(Array_MobileCharges,MATCH($A457,List_MobileFuelMeters,0),ROUNDUP((COLUMN()+1)/3-2,0)))</f>
        <v/>
      </c>
      <c r="N457" s="127"/>
      <c r="O457" s="137"/>
      <c r="P457" s="58" t="str" cm="1">
        <f>IF(ISBLANK($A457),"",INDEX(Array_MobileCharges,MATCH($A457,List_MobileFuelMeters,0),ROUNDUP((COLUMN()+1)/3-2,0)))</f>
        <v/>
      </c>
      <c r="Q457" s="127"/>
      <c r="R457" s="137"/>
      <c r="S457" s="58" t="str" cm="1">
        <f>IF(ISBLANK($A457),"",INDEX(Array_MobileCharges,MATCH($A457,List_MobileFuelMeters,0),ROUNDUP((COLUMN()+1)/3-2,0)))</f>
        <v/>
      </c>
      <c r="T457" s="127"/>
      <c r="U457" s="137"/>
    </row>
    <row r="458" spans="1:21" x14ac:dyDescent="0.3">
      <c r="A458" s="126"/>
      <c r="B458" s="133"/>
      <c r="C458" s="127"/>
      <c r="D458" s="138"/>
      <c r="E458" s="138"/>
      <c r="F458" s="137"/>
      <c r="G458" s="58" t="str" cm="1">
        <f>IF(ISBLANK($A458),"",INDEX(Array_MobileCharges,MATCH($A458,List_MobileFuelMeters,0),ROUNDUP((COLUMN()+1)/3-2,0)))</f>
        <v/>
      </c>
      <c r="H458" s="127"/>
      <c r="I458" s="137"/>
      <c r="J458" s="58" t="str" cm="1">
        <f>IF(ISBLANK($A458),"",INDEX(Array_MobileCharges,MATCH($A458,List_MobileFuelMeters,0),ROUNDUP((COLUMN()+1)/3-2,0)))</f>
        <v/>
      </c>
      <c r="K458" s="127"/>
      <c r="L458" s="137"/>
      <c r="M458" s="58" t="str" cm="1">
        <f>IF(ISBLANK($A458),"",INDEX(Array_MobileCharges,MATCH($A458,List_MobileFuelMeters,0),ROUNDUP((COLUMN()+1)/3-2,0)))</f>
        <v/>
      </c>
      <c r="N458" s="127"/>
      <c r="O458" s="137"/>
      <c r="P458" s="58" t="str" cm="1">
        <f>IF(ISBLANK($A458),"",INDEX(Array_MobileCharges,MATCH($A458,List_MobileFuelMeters,0),ROUNDUP((COLUMN()+1)/3-2,0)))</f>
        <v/>
      </c>
      <c r="Q458" s="127"/>
      <c r="R458" s="137"/>
      <c r="S458" s="58" t="str" cm="1">
        <f>IF(ISBLANK($A458),"",INDEX(Array_MobileCharges,MATCH($A458,List_MobileFuelMeters,0),ROUNDUP((COLUMN()+1)/3-2,0)))</f>
        <v/>
      </c>
      <c r="T458" s="127"/>
      <c r="U458" s="137"/>
    </row>
    <row r="459" spans="1:21" x14ac:dyDescent="0.3">
      <c r="A459" s="126"/>
      <c r="B459" s="133"/>
      <c r="C459" s="127"/>
      <c r="D459" s="138"/>
      <c r="E459" s="138"/>
      <c r="F459" s="137"/>
      <c r="G459" s="58" t="str" cm="1">
        <f>IF(ISBLANK($A459),"",INDEX(Array_MobileCharges,MATCH($A459,List_MobileFuelMeters,0),ROUNDUP((COLUMN()+1)/3-2,0)))</f>
        <v/>
      </c>
      <c r="H459" s="127"/>
      <c r="I459" s="137"/>
      <c r="J459" s="58" t="str" cm="1">
        <f>IF(ISBLANK($A459),"",INDEX(Array_MobileCharges,MATCH($A459,List_MobileFuelMeters,0),ROUNDUP((COLUMN()+1)/3-2,0)))</f>
        <v/>
      </c>
      <c r="K459" s="127"/>
      <c r="L459" s="137"/>
      <c r="M459" s="58" t="str" cm="1">
        <f>IF(ISBLANK($A459),"",INDEX(Array_MobileCharges,MATCH($A459,List_MobileFuelMeters,0),ROUNDUP((COLUMN()+1)/3-2,0)))</f>
        <v/>
      </c>
      <c r="N459" s="127"/>
      <c r="O459" s="137"/>
      <c r="P459" s="58" t="str" cm="1">
        <f>IF(ISBLANK($A459),"",INDEX(Array_MobileCharges,MATCH($A459,List_MobileFuelMeters,0),ROUNDUP((COLUMN()+1)/3-2,0)))</f>
        <v/>
      </c>
      <c r="Q459" s="127"/>
      <c r="R459" s="137"/>
      <c r="S459" s="58" t="str" cm="1">
        <f>IF(ISBLANK($A459),"",INDEX(Array_MobileCharges,MATCH($A459,List_MobileFuelMeters,0),ROUNDUP((COLUMN()+1)/3-2,0)))</f>
        <v/>
      </c>
      <c r="T459" s="127"/>
      <c r="U459" s="137"/>
    </row>
    <row r="460" spans="1:21" x14ac:dyDescent="0.3">
      <c r="A460" s="126"/>
      <c r="B460" s="133"/>
      <c r="C460" s="127"/>
      <c r="D460" s="138"/>
      <c r="E460" s="138"/>
      <c r="F460" s="137"/>
      <c r="G460" s="58" t="str" cm="1">
        <f>IF(ISBLANK($A460),"",INDEX(Array_MobileCharges,MATCH($A460,List_MobileFuelMeters,0),ROUNDUP((COLUMN()+1)/3-2,0)))</f>
        <v/>
      </c>
      <c r="H460" s="127"/>
      <c r="I460" s="137"/>
      <c r="J460" s="58" t="str" cm="1">
        <f>IF(ISBLANK($A460),"",INDEX(Array_MobileCharges,MATCH($A460,List_MobileFuelMeters,0),ROUNDUP((COLUMN()+1)/3-2,0)))</f>
        <v/>
      </c>
      <c r="K460" s="127"/>
      <c r="L460" s="137"/>
      <c r="M460" s="58" t="str" cm="1">
        <f>IF(ISBLANK($A460),"",INDEX(Array_MobileCharges,MATCH($A460,List_MobileFuelMeters,0),ROUNDUP((COLUMN()+1)/3-2,0)))</f>
        <v/>
      </c>
      <c r="N460" s="127"/>
      <c r="O460" s="137"/>
      <c r="P460" s="58" t="str" cm="1">
        <f>IF(ISBLANK($A460),"",INDEX(Array_MobileCharges,MATCH($A460,List_MobileFuelMeters,0),ROUNDUP((COLUMN()+1)/3-2,0)))</f>
        <v/>
      </c>
      <c r="Q460" s="127"/>
      <c r="R460" s="137"/>
      <c r="S460" s="58" t="str" cm="1">
        <f>IF(ISBLANK($A460),"",INDEX(Array_MobileCharges,MATCH($A460,List_MobileFuelMeters,0),ROUNDUP((COLUMN()+1)/3-2,0)))</f>
        <v/>
      </c>
      <c r="T460" s="127"/>
      <c r="U460" s="137"/>
    </row>
    <row r="461" spans="1:21" x14ac:dyDescent="0.3">
      <c r="A461" s="126"/>
      <c r="B461" s="133"/>
      <c r="C461" s="127"/>
      <c r="D461" s="138"/>
      <c r="E461" s="138"/>
      <c r="F461" s="137"/>
      <c r="G461" s="58" t="str" cm="1">
        <f>IF(ISBLANK($A461),"",INDEX(Array_MobileCharges,MATCH($A461,List_MobileFuelMeters,0),ROUNDUP((COLUMN()+1)/3-2,0)))</f>
        <v/>
      </c>
      <c r="H461" s="127"/>
      <c r="I461" s="137"/>
      <c r="J461" s="58" t="str" cm="1">
        <f>IF(ISBLANK($A461),"",INDEX(Array_MobileCharges,MATCH($A461,List_MobileFuelMeters,0),ROUNDUP((COLUMN()+1)/3-2,0)))</f>
        <v/>
      </c>
      <c r="K461" s="127"/>
      <c r="L461" s="137"/>
      <c r="M461" s="58" t="str" cm="1">
        <f>IF(ISBLANK($A461),"",INDEX(Array_MobileCharges,MATCH($A461,List_MobileFuelMeters,0),ROUNDUP((COLUMN()+1)/3-2,0)))</f>
        <v/>
      </c>
      <c r="N461" s="127"/>
      <c r="O461" s="137"/>
      <c r="P461" s="58" t="str" cm="1">
        <f>IF(ISBLANK($A461),"",INDEX(Array_MobileCharges,MATCH($A461,List_MobileFuelMeters,0),ROUNDUP((COLUMN()+1)/3-2,0)))</f>
        <v/>
      </c>
      <c r="Q461" s="127"/>
      <c r="R461" s="137"/>
      <c r="S461" s="58" t="str" cm="1">
        <f>IF(ISBLANK($A461),"",INDEX(Array_MobileCharges,MATCH($A461,List_MobileFuelMeters,0),ROUNDUP((COLUMN()+1)/3-2,0)))</f>
        <v/>
      </c>
      <c r="T461" s="127"/>
      <c r="U461" s="137"/>
    </row>
    <row r="462" spans="1:21" x14ac:dyDescent="0.3">
      <c r="A462" s="126"/>
      <c r="B462" s="133"/>
      <c r="C462" s="127"/>
      <c r="D462" s="138"/>
      <c r="E462" s="138"/>
      <c r="F462" s="137"/>
      <c r="G462" s="58" t="str" cm="1">
        <f>IF(ISBLANK($A462),"",INDEX(Array_MobileCharges,MATCH($A462,List_MobileFuelMeters,0),ROUNDUP((COLUMN()+1)/3-2,0)))</f>
        <v/>
      </c>
      <c r="H462" s="127"/>
      <c r="I462" s="137"/>
      <c r="J462" s="58" t="str" cm="1">
        <f>IF(ISBLANK($A462),"",INDEX(Array_MobileCharges,MATCH($A462,List_MobileFuelMeters,0),ROUNDUP((COLUMN()+1)/3-2,0)))</f>
        <v/>
      </c>
      <c r="K462" s="127"/>
      <c r="L462" s="137"/>
      <c r="M462" s="58" t="str" cm="1">
        <f>IF(ISBLANK($A462),"",INDEX(Array_MobileCharges,MATCH($A462,List_MobileFuelMeters,0),ROUNDUP((COLUMN()+1)/3-2,0)))</f>
        <v/>
      </c>
      <c r="N462" s="127"/>
      <c r="O462" s="137"/>
      <c r="P462" s="58" t="str" cm="1">
        <f>IF(ISBLANK($A462),"",INDEX(Array_MobileCharges,MATCH($A462,List_MobileFuelMeters,0),ROUNDUP((COLUMN()+1)/3-2,0)))</f>
        <v/>
      </c>
      <c r="Q462" s="127"/>
      <c r="R462" s="137"/>
      <c r="S462" s="58" t="str" cm="1">
        <f>IF(ISBLANK($A462),"",INDEX(Array_MobileCharges,MATCH($A462,List_MobileFuelMeters,0),ROUNDUP((COLUMN()+1)/3-2,0)))</f>
        <v/>
      </c>
      <c r="T462" s="127"/>
      <c r="U462" s="137"/>
    </row>
    <row r="463" spans="1:21" x14ac:dyDescent="0.3">
      <c r="A463" s="126"/>
      <c r="B463" s="133"/>
      <c r="C463" s="127"/>
      <c r="D463" s="138"/>
      <c r="E463" s="138"/>
      <c r="F463" s="137"/>
      <c r="G463" s="58" t="str" cm="1">
        <f>IF(ISBLANK($A463),"",INDEX(Array_MobileCharges,MATCH($A463,List_MobileFuelMeters,0),ROUNDUP((COLUMN()+1)/3-2,0)))</f>
        <v/>
      </c>
      <c r="H463" s="127"/>
      <c r="I463" s="137"/>
      <c r="J463" s="58" t="str" cm="1">
        <f>IF(ISBLANK($A463),"",INDEX(Array_MobileCharges,MATCH($A463,List_MobileFuelMeters,0),ROUNDUP((COLUMN()+1)/3-2,0)))</f>
        <v/>
      </c>
      <c r="K463" s="127"/>
      <c r="L463" s="137"/>
      <c r="M463" s="58" t="str" cm="1">
        <f>IF(ISBLANK($A463),"",INDEX(Array_MobileCharges,MATCH($A463,List_MobileFuelMeters,0),ROUNDUP((COLUMN()+1)/3-2,0)))</f>
        <v/>
      </c>
      <c r="N463" s="127"/>
      <c r="O463" s="137"/>
      <c r="P463" s="58" t="str" cm="1">
        <f>IF(ISBLANK($A463),"",INDEX(Array_MobileCharges,MATCH($A463,List_MobileFuelMeters,0),ROUNDUP((COLUMN()+1)/3-2,0)))</f>
        <v/>
      </c>
      <c r="Q463" s="127"/>
      <c r="R463" s="137"/>
      <c r="S463" s="58" t="str" cm="1">
        <f>IF(ISBLANK($A463),"",INDEX(Array_MobileCharges,MATCH($A463,List_MobileFuelMeters,0),ROUNDUP((COLUMN()+1)/3-2,0)))</f>
        <v/>
      </c>
      <c r="T463" s="127"/>
      <c r="U463" s="137"/>
    </row>
    <row r="464" spans="1:21" x14ac:dyDescent="0.3">
      <c r="A464" s="126"/>
      <c r="B464" s="133"/>
      <c r="C464" s="127"/>
      <c r="D464" s="138"/>
      <c r="E464" s="138"/>
      <c r="F464" s="137"/>
      <c r="G464" s="58" t="str" cm="1">
        <f>IF(ISBLANK($A464),"",INDEX(Array_MobileCharges,MATCH($A464,List_MobileFuelMeters,0),ROUNDUP((COLUMN()+1)/3-2,0)))</f>
        <v/>
      </c>
      <c r="H464" s="127"/>
      <c r="I464" s="137"/>
      <c r="J464" s="58" t="str" cm="1">
        <f>IF(ISBLANK($A464),"",INDEX(Array_MobileCharges,MATCH($A464,List_MobileFuelMeters,0),ROUNDUP((COLUMN()+1)/3-2,0)))</f>
        <v/>
      </c>
      <c r="K464" s="127"/>
      <c r="L464" s="137"/>
      <c r="M464" s="58" t="str" cm="1">
        <f>IF(ISBLANK($A464),"",INDEX(Array_MobileCharges,MATCH($A464,List_MobileFuelMeters,0),ROUNDUP((COLUMN()+1)/3-2,0)))</f>
        <v/>
      </c>
      <c r="N464" s="127"/>
      <c r="O464" s="137"/>
      <c r="P464" s="58" t="str" cm="1">
        <f>IF(ISBLANK($A464),"",INDEX(Array_MobileCharges,MATCH($A464,List_MobileFuelMeters,0),ROUNDUP((COLUMN()+1)/3-2,0)))</f>
        <v/>
      </c>
      <c r="Q464" s="127"/>
      <c r="R464" s="137"/>
      <c r="S464" s="58" t="str" cm="1">
        <f>IF(ISBLANK($A464),"",INDEX(Array_MobileCharges,MATCH($A464,List_MobileFuelMeters,0),ROUNDUP((COLUMN()+1)/3-2,0)))</f>
        <v/>
      </c>
      <c r="T464" s="127"/>
      <c r="U464" s="137"/>
    </row>
    <row r="465" spans="1:21" x14ac:dyDescent="0.3">
      <c r="A465" s="126"/>
      <c r="B465" s="133"/>
      <c r="C465" s="127"/>
      <c r="D465" s="138"/>
      <c r="E465" s="138"/>
      <c r="F465" s="137"/>
      <c r="G465" s="58" t="str" cm="1">
        <f>IF(ISBLANK($A465),"",INDEX(Array_MobileCharges,MATCH($A465,List_MobileFuelMeters,0),ROUNDUP((COLUMN()+1)/3-2,0)))</f>
        <v/>
      </c>
      <c r="H465" s="127"/>
      <c r="I465" s="137"/>
      <c r="J465" s="58" t="str" cm="1">
        <f>IF(ISBLANK($A465),"",INDEX(Array_MobileCharges,MATCH($A465,List_MobileFuelMeters,0),ROUNDUP((COLUMN()+1)/3-2,0)))</f>
        <v/>
      </c>
      <c r="K465" s="127"/>
      <c r="L465" s="137"/>
      <c r="M465" s="58" t="str" cm="1">
        <f>IF(ISBLANK($A465),"",INDEX(Array_MobileCharges,MATCH($A465,List_MobileFuelMeters,0),ROUNDUP((COLUMN()+1)/3-2,0)))</f>
        <v/>
      </c>
      <c r="N465" s="127"/>
      <c r="O465" s="137"/>
      <c r="P465" s="58" t="str" cm="1">
        <f>IF(ISBLANK($A465),"",INDEX(Array_MobileCharges,MATCH($A465,List_MobileFuelMeters,0),ROUNDUP((COLUMN()+1)/3-2,0)))</f>
        <v/>
      </c>
      <c r="Q465" s="127"/>
      <c r="R465" s="137"/>
      <c r="S465" s="58" t="str" cm="1">
        <f>IF(ISBLANK($A465),"",INDEX(Array_MobileCharges,MATCH($A465,List_MobileFuelMeters,0),ROUNDUP((COLUMN()+1)/3-2,0)))</f>
        <v/>
      </c>
      <c r="T465" s="127"/>
      <c r="U465" s="137"/>
    </row>
    <row r="466" spans="1:21" x14ac:dyDescent="0.3">
      <c r="A466" s="126"/>
      <c r="B466" s="133"/>
      <c r="C466" s="127"/>
      <c r="D466" s="138"/>
      <c r="E466" s="138"/>
      <c r="F466" s="137"/>
      <c r="G466" s="58" t="str" cm="1">
        <f>IF(ISBLANK($A466),"",INDEX(Array_MobileCharges,MATCH($A466,List_MobileFuelMeters,0),ROUNDUP((COLUMN()+1)/3-2,0)))</f>
        <v/>
      </c>
      <c r="H466" s="127"/>
      <c r="I466" s="137"/>
      <c r="J466" s="58" t="str" cm="1">
        <f>IF(ISBLANK($A466),"",INDEX(Array_MobileCharges,MATCH($A466,List_MobileFuelMeters,0),ROUNDUP((COLUMN()+1)/3-2,0)))</f>
        <v/>
      </c>
      <c r="K466" s="127"/>
      <c r="L466" s="137"/>
      <c r="M466" s="58" t="str" cm="1">
        <f>IF(ISBLANK($A466),"",INDEX(Array_MobileCharges,MATCH($A466,List_MobileFuelMeters,0),ROUNDUP((COLUMN()+1)/3-2,0)))</f>
        <v/>
      </c>
      <c r="N466" s="127"/>
      <c r="O466" s="137"/>
      <c r="P466" s="58" t="str" cm="1">
        <f>IF(ISBLANK($A466),"",INDEX(Array_MobileCharges,MATCH($A466,List_MobileFuelMeters,0),ROUNDUP((COLUMN()+1)/3-2,0)))</f>
        <v/>
      </c>
      <c r="Q466" s="127"/>
      <c r="R466" s="137"/>
      <c r="S466" s="58" t="str" cm="1">
        <f>IF(ISBLANK($A466),"",INDEX(Array_MobileCharges,MATCH($A466,List_MobileFuelMeters,0),ROUNDUP((COLUMN()+1)/3-2,0)))</f>
        <v/>
      </c>
      <c r="T466" s="127"/>
      <c r="U466" s="137"/>
    </row>
    <row r="467" spans="1:21" x14ac:dyDescent="0.3">
      <c r="A467" s="126"/>
      <c r="B467" s="133"/>
      <c r="C467" s="127"/>
      <c r="D467" s="138"/>
      <c r="E467" s="138"/>
      <c r="F467" s="137"/>
      <c r="G467" s="58" t="str" cm="1">
        <f>IF(ISBLANK($A467),"",INDEX(Array_MobileCharges,MATCH($A467,List_MobileFuelMeters,0),ROUNDUP((COLUMN()+1)/3-2,0)))</f>
        <v/>
      </c>
      <c r="H467" s="127"/>
      <c r="I467" s="137"/>
      <c r="J467" s="58" t="str" cm="1">
        <f>IF(ISBLANK($A467),"",INDEX(Array_MobileCharges,MATCH($A467,List_MobileFuelMeters,0),ROUNDUP((COLUMN()+1)/3-2,0)))</f>
        <v/>
      </c>
      <c r="K467" s="127"/>
      <c r="L467" s="137"/>
      <c r="M467" s="58" t="str" cm="1">
        <f>IF(ISBLANK($A467),"",INDEX(Array_MobileCharges,MATCH($A467,List_MobileFuelMeters,0),ROUNDUP((COLUMN()+1)/3-2,0)))</f>
        <v/>
      </c>
      <c r="N467" s="127"/>
      <c r="O467" s="137"/>
      <c r="P467" s="58" t="str" cm="1">
        <f>IF(ISBLANK($A467),"",INDEX(Array_MobileCharges,MATCH($A467,List_MobileFuelMeters,0),ROUNDUP((COLUMN()+1)/3-2,0)))</f>
        <v/>
      </c>
      <c r="Q467" s="127"/>
      <c r="R467" s="137"/>
      <c r="S467" s="58" t="str" cm="1">
        <f>IF(ISBLANK($A467),"",INDEX(Array_MobileCharges,MATCH($A467,List_MobileFuelMeters,0),ROUNDUP((COLUMN()+1)/3-2,0)))</f>
        <v/>
      </c>
      <c r="T467" s="127"/>
      <c r="U467" s="137"/>
    </row>
    <row r="468" spans="1:21" x14ac:dyDescent="0.3">
      <c r="A468" s="126"/>
      <c r="B468" s="133"/>
      <c r="C468" s="127"/>
      <c r="D468" s="138"/>
      <c r="E468" s="138"/>
      <c r="F468" s="137"/>
      <c r="G468" s="58" t="str" cm="1">
        <f>IF(ISBLANK($A468),"",INDEX(Array_MobileCharges,MATCH($A468,List_MobileFuelMeters,0),ROUNDUP((COLUMN()+1)/3-2,0)))</f>
        <v/>
      </c>
      <c r="H468" s="127"/>
      <c r="I468" s="137"/>
      <c r="J468" s="58" t="str" cm="1">
        <f>IF(ISBLANK($A468),"",INDEX(Array_MobileCharges,MATCH($A468,List_MobileFuelMeters,0),ROUNDUP((COLUMN()+1)/3-2,0)))</f>
        <v/>
      </c>
      <c r="K468" s="127"/>
      <c r="L468" s="137"/>
      <c r="M468" s="58" t="str" cm="1">
        <f>IF(ISBLANK($A468),"",INDEX(Array_MobileCharges,MATCH($A468,List_MobileFuelMeters,0),ROUNDUP((COLUMN()+1)/3-2,0)))</f>
        <v/>
      </c>
      <c r="N468" s="127"/>
      <c r="O468" s="137"/>
      <c r="P468" s="58" t="str" cm="1">
        <f>IF(ISBLANK($A468),"",INDEX(Array_MobileCharges,MATCH($A468,List_MobileFuelMeters,0),ROUNDUP((COLUMN()+1)/3-2,0)))</f>
        <v/>
      </c>
      <c r="Q468" s="127"/>
      <c r="R468" s="137"/>
      <c r="S468" s="58" t="str" cm="1">
        <f>IF(ISBLANK($A468),"",INDEX(Array_MobileCharges,MATCH($A468,List_MobileFuelMeters,0),ROUNDUP((COLUMN()+1)/3-2,0)))</f>
        <v/>
      </c>
      <c r="T468" s="127"/>
      <c r="U468" s="137"/>
    </row>
    <row r="469" spans="1:21" x14ac:dyDescent="0.3">
      <c r="A469" s="126"/>
      <c r="B469" s="133"/>
      <c r="C469" s="127"/>
      <c r="D469" s="138"/>
      <c r="E469" s="138"/>
      <c r="F469" s="137"/>
      <c r="G469" s="58" t="str" cm="1">
        <f>IF(ISBLANK($A469),"",INDEX(Array_MobileCharges,MATCH($A469,List_MobileFuelMeters,0),ROUNDUP((COLUMN()+1)/3-2,0)))</f>
        <v/>
      </c>
      <c r="H469" s="127"/>
      <c r="I469" s="137"/>
      <c r="J469" s="58" t="str" cm="1">
        <f>IF(ISBLANK($A469),"",INDEX(Array_MobileCharges,MATCH($A469,List_MobileFuelMeters,0),ROUNDUP((COLUMN()+1)/3-2,0)))</f>
        <v/>
      </c>
      <c r="K469" s="127"/>
      <c r="L469" s="137"/>
      <c r="M469" s="58" t="str" cm="1">
        <f>IF(ISBLANK($A469),"",INDEX(Array_MobileCharges,MATCH($A469,List_MobileFuelMeters,0),ROUNDUP((COLUMN()+1)/3-2,0)))</f>
        <v/>
      </c>
      <c r="N469" s="127"/>
      <c r="O469" s="137"/>
      <c r="P469" s="58" t="str" cm="1">
        <f>IF(ISBLANK($A469),"",INDEX(Array_MobileCharges,MATCH($A469,List_MobileFuelMeters,0),ROUNDUP((COLUMN()+1)/3-2,0)))</f>
        <v/>
      </c>
      <c r="Q469" s="127"/>
      <c r="R469" s="137"/>
      <c r="S469" s="58" t="str" cm="1">
        <f>IF(ISBLANK($A469),"",INDEX(Array_MobileCharges,MATCH($A469,List_MobileFuelMeters,0),ROUNDUP((COLUMN()+1)/3-2,0)))</f>
        <v/>
      </c>
      <c r="T469" s="127"/>
      <c r="U469" s="137"/>
    </row>
    <row r="470" spans="1:21" x14ac:dyDescent="0.3">
      <c r="A470" s="126"/>
      <c r="B470" s="133"/>
      <c r="C470" s="127"/>
      <c r="D470" s="138"/>
      <c r="E470" s="138"/>
      <c r="F470" s="137"/>
      <c r="G470" s="58" t="str" cm="1">
        <f>IF(ISBLANK($A470),"",INDEX(Array_MobileCharges,MATCH($A470,List_MobileFuelMeters,0),ROUNDUP((COLUMN()+1)/3-2,0)))</f>
        <v/>
      </c>
      <c r="H470" s="127"/>
      <c r="I470" s="137"/>
      <c r="J470" s="58" t="str" cm="1">
        <f>IF(ISBLANK($A470),"",INDEX(Array_MobileCharges,MATCH($A470,List_MobileFuelMeters,0),ROUNDUP((COLUMN()+1)/3-2,0)))</f>
        <v/>
      </c>
      <c r="K470" s="127"/>
      <c r="L470" s="137"/>
      <c r="M470" s="58" t="str" cm="1">
        <f>IF(ISBLANK($A470),"",INDEX(Array_MobileCharges,MATCH($A470,List_MobileFuelMeters,0),ROUNDUP((COLUMN()+1)/3-2,0)))</f>
        <v/>
      </c>
      <c r="N470" s="127"/>
      <c r="O470" s="137"/>
      <c r="P470" s="58" t="str" cm="1">
        <f>IF(ISBLANK($A470),"",INDEX(Array_MobileCharges,MATCH($A470,List_MobileFuelMeters,0),ROUNDUP((COLUMN()+1)/3-2,0)))</f>
        <v/>
      </c>
      <c r="Q470" s="127"/>
      <c r="R470" s="137"/>
      <c r="S470" s="58" t="str" cm="1">
        <f>IF(ISBLANK($A470),"",INDEX(Array_MobileCharges,MATCH($A470,List_MobileFuelMeters,0),ROUNDUP((COLUMN()+1)/3-2,0)))</f>
        <v/>
      </c>
      <c r="T470" s="127"/>
      <c r="U470" s="137"/>
    </row>
    <row r="471" spans="1:21" x14ac:dyDescent="0.3">
      <c r="A471" s="126"/>
      <c r="B471" s="133"/>
      <c r="C471" s="127"/>
      <c r="D471" s="138"/>
      <c r="E471" s="138"/>
      <c r="F471" s="137"/>
      <c r="G471" s="58" t="str" cm="1">
        <f>IF(ISBLANK($A471),"",INDEX(Array_MobileCharges,MATCH($A471,List_MobileFuelMeters,0),ROUNDUP((COLUMN()+1)/3-2,0)))</f>
        <v/>
      </c>
      <c r="H471" s="127"/>
      <c r="I471" s="137"/>
      <c r="J471" s="58" t="str" cm="1">
        <f>IF(ISBLANK($A471),"",INDEX(Array_MobileCharges,MATCH($A471,List_MobileFuelMeters,0),ROUNDUP((COLUMN()+1)/3-2,0)))</f>
        <v/>
      </c>
      <c r="K471" s="127"/>
      <c r="L471" s="137"/>
      <c r="M471" s="58" t="str" cm="1">
        <f>IF(ISBLANK($A471),"",INDEX(Array_MobileCharges,MATCH($A471,List_MobileFuelMeters,0),ROUNDUP((COLUMN()+1)/3-2,0)))</f>
        <v/>
      </c>
      <c r="N471" s="127"/>
      <c r="O471" s="137"/>
      <c r="P471" s="58" t="str" cm="1">
        <f>IF(ISBLANK($A471),"",INDEX(Array_MobileCharges,MATCH($A471,List_MobileFuelMeters,0),ROUNDUP((COLUMN()+1)/3-2,0)))</f>
        <v/>
      </c>
      <c r="Q471" s="127"/>
      <c r="R471" s="137"/>
      <c r="S471" s="58" t="str" cm="1">
        <f>IF(ISBLANK($A471),"",INDEX(Array_MobileCharges,MATCH($A471,List_MobileFuelMeters,0),ROUNDUP((COLUMN()+1)/3-2,0)))</f>
        <v/>
      </c>
      <c r="T471" s="127"/>
      <c r="U471" s="137"/>
    </row>
    <row r="472" spans="1:21" x14ac:dyDescent="0.3">
      <c r="A472" s="126"/>
      <c r="B472" s="133"/>
      <c r="C472" s="127"/>
      <c r="D472" s="138"/>
      <c r="E472" s="138"/>
      <c r="F472" s="137"/>
      <c r="G472" s="58" t="str" cm="1">
        <f>IF(ISBLANK($A472),"",INDEX(Array_MobileCharges,MATCH($A472,List_MobileFuelMeters,0),ROUNDUP((COLUMN()+1)/3-2,0)))</f>
        <v/>
      </c>
      <c r="H472" s="127"/>
      <c r="I472" s="137"/>
      <c r="J472" s="58" t="str" cm="1">
        <f>IF(ISBLANK($A472),"",INDEX(Array_MobileCharges,MATCH($A472,List_MobileFuelMeters,0),ROUNDUP((COLUMN()+1)/3-2,0)))</f>
        <v/>
      </c>
      <c r="K472" s="127"/>
      <c r="L472" s="137"/>
      <c r="M472" s="58" t="str" cm="1">
        <f>IF(ISBLANK($A472),"",INDEX(Array_MobileCharges,MATCH($A472,List_MobileFuelMeters,0),ROUNDUP((COLUMN()+1)/3-2,0)))</f>
        <v/>
      </c>
      <c r="N472" s="127"/>
      <c r="O472" s="137"/>
      <c r="P472" s="58" t="str" cm="1">
        <f>IF(ISBLANK($A472),"",INDEX(Array_MobileCharges,MATCH($A472,List_MobileFuelMeters,0),ROUNDUP((COLUMN()+1)/3-2,0)))</f>
        <v/>
      </c>
      <c r="Q472" s="127"/>
      <c r="R472" s="137"/>
      <c r="S472" s="58" t="str" cm="1">
        <f>IF(ISBLANK($A472),"",INDEX(Array_MobileCharges,MATCH($A472,List_MobileFuelMeters,0),ROUNDUP((COLUMN()+1)/3-2,0)))</f>
        <v/>
      </c>
      <c r="T472" s="127"/>
      <c r="U472" s="137"/>
    </row>
    <row r="473" spans="1:21" x14ac:dyDescent="0.3">
      <c r="A473" s="126"/>
      <c r="B473" s="133"/>
      <c r="C473" s="127"/>
      <c r="D473" s="138"/>
      <c r="E473" s="138"/>
      <c r="F473" s="137"/>
      <c r="G473" s="58" t="str" cm="1">
        <f>IF(ISBLANK($A473),"",INDEX(Array_MobileCharges,MATCH($A473,List_MobileFuelMeters,0),ROUNDUP((COLUMN()+1)/3-2,0)))</f>
        <v/>
      </c>
      <c r="H473" s="127"/>
      <c r="I473" s="137"/>
      <c r="J473" s="58" t="str" cm="1">
        <f>IF(ISBLANK($A473),"",INDEX(Array_MobileCharges,MATCH($A473,List_MobileFuelMeters,0),ROUNDUP((COLUMN()+1)/3-2,0)))</f>
        <v/>
      </c>
      <c r="K473" s="127"/>
      <c r="L473" s="137"/>
      <c r="M473" s="58" t="str" cm="1">
        <f>IF(ISBLANK($A473),"",INDEX(Array_MobileCharges,MATCH($A473,List_MobileFuelMeters,0),ROUNDUP((COLUMN()+1)/3-2,0)))</f>
        <v/>
      </c>
      <c r="N473" s="127"/>
      <c r="O473" s="137"/>
      <c r="P473" s="58" t="str" cm="1">
        <f>IF(ISBLANK($A473),"",INDEX(Array_MobileCharges,MATCH($A473,List_MobileFuelMeters,0),ROUNDUP((COLUMN()+1)/3-2,0)))</f>
        <v/>
      </c>
      <c r="Q473" s="127"/>
      <c r="R473" s="137"/>
      <c r="S473" s="58" t="str" cm="1">
        <f>IF(ISBLANK($A473),"",INDEX(Array_MobileCharges,MATCH($A473,List_MobileFuelMeters,0),ROUNDUP((COLUMN()+1)/3-2,0)))</f>
        <v/>
      </c>
      <c r="T473" s="127"/>
      <c r="U473" s="137"/>
    </row>
    <row r="474" spans="1:21" x14ac:dyDescent="0.3">
      <c r="A474" s="126"/>
      <c r="B474" s="133"/>
      <c r="C474" s="127"/>
      <c r="D474" s="138"/>
      <c r="E474" s="138"/>
      <c r="F474" s="137"/>
      <c r="G474" s="58" t="str" cm="1">
        <f>IF(ISBLANK($A474),"",INDEX(Array_MobileCharges,MATCH($A474,List_MobileFuelMeters,0),ROUNDUP((COLUMN()+1)/3-2,0)))</f>
        <v/>
      </c>
      <c r="H474" s="127"/>
      <c r="I474" s="137"/>
      <c r="J474" s="58" t="str" cm="1">
        <f>IF(ISBLANK($A474),"",INDEX(Array_MobileCharges,MATCH($A474,List_MobileFuelMeters,0),ROUNDUP((COLUMN()+1)/3-2,0)))</f>
        <v/>
      </c>
      <c r="K474" s="127"/>
      <c r="L474" s="137"/>
      <c r="M474" s="58" t="str" cm="1">
        <f>IF(ISBLANK($A474),"",INDEX(Array_MobileCharges,MATCH($A474,List_MobileFuelMeters,0),ROUNDUP((COLUMN()+1)/3-2,0)))</f>
        <v/>
      </c>
      <c r="N474" s="127"/>
      <c r="O474" s="137"/>
      <c r="P474" s="58" t="str" cm="1">
        <f>IF(ISBLANK($A474),"",INDEX(Array_MobileCharges,MATCH($A474,List_MobileFuelMeters,0),ROUNDUP((COLUMN()+1)/3-2,0)))</f>
        <v/>
      </c>
      <c r="Q474" s="127"/>
      <c r="R474" s="137"/>
      <c r="S474" s="58" t="str" cm="1">
        <f>IF(ISBLANK($A474),"",INDEX(Array_MobileCharges,MATCH($A474,List_MobileFuelMeters,0),ROUNDUP((COLUMN()+1)/3-2,0)))</f>
        <v/>
      </c>
      <c r="T474" s="127"/>
      <c r="U474" s="137"/>
    </row>
    <row r="475" spans="1:21" x14ac:dyDescent="0.3">
      <c r="A475" s="126"/>
      <c r="B475" s="133"/>
      <c r="C475" s="127"/>
      <c r="D475" s="138"/>
      <c r="E475" s="138"/>
      <c r="F475" s="137"/>
      <c r="G475" s="58" t="str" cm="1">
        <f>IF(ISBLANK($A475),"",INDEX(Array_MobileCharges,MATCH($A475,List_MobileFuelMeters,0),ROUNDUP((COLUMN()+1)/3-2,0)))</f>
        <v/>
      </c>
      <c r="H475" s="127"/>
      <c r="I475" s="137"/>
      <c r="J475" s="58" t="str" cm="1">
        <f>IF(ISBLANK($A475),"",INDEX(Array_MobileCharges,MATCH($A475,List_MobileFuelMeters,0),ROUNDUP((COLUMN()+1)/3-2,0)))</f>
        <v/>
      </c>
      <c r="K475" s="127"/>
      <c r="L475" s="137"/>
      <c r="M475" s="58" t="str" cm="1">
        <f>IF(ISBLANK($A475),"",INDEX(Array_MobileCharges,MATCH($A475,List_MobileFuelMeters,0),ROUNDUP((COLUMN()+1)/3-2,0)))</f>
        <v/>
      </c>
      <c r="N475" s="127"/>
      <c r="O475" s="137"/>
      <c r="P475" s="58" t="str" cm="1">
        <f>IF(ISBLANK($A475),"",INDEX(Array_MobileCharges,MATCH($A475,List_MobileFuelMeters,0),ROUNDUP((COLUMN()+1)/3-2,0)))</f>
        <v/>
      </c>
      <c r="Q475" s="127"/>
      <c r="R475" s="137"/>
      <c r="S475" s="58" t="str" cm="1">
        <f>IF(ISBLANK($A475),"",INDEX(Array_MobileCharges,MATCH($A475,List_MobileFuelMeters,0),ROUNDUP((COLUMN()+1)/3-2,0)))</f>
        <v/>
      </c>
      <c r="T475" s="127"/>
      <c r="U475" s="137"/>
    </row>
    <row r="476" spans="1:21" x14ac:dyDescent="0.3">
      <c r="A476" s="126"/>
      <c r="B476" s="133"/>
      <c r="C476" s="127"/>
      <c r="D476" s="138"/>
      <c r="E476" s="138"/>
      <c r="F476" s="137"/>
      <c r="G476" s="58" t="str" cm="1">
        <f>IF(ISBLANK($A476),"",INDEX(Array_MobileCharges,MATCH($A476,List_MobileFuelMeters,0),ROUNDUP((COLUMN()+1)/3-2,0)))</f>
        <v/>
      </c>
      <c r="H476" s="127"/>
      <c r="I476" s="137"/>
      <c r="J476" s="58" t="str" cm="1">
        <f>IF(ISBLANK($A476),"",INDEX(Array_MobileCharges,MATCH($A476,List_MobileFuelMeters,0),ROUNDUP((COLUMN()+1)/3-2,0)))</f>
        <v/>
      </c>
      <c r="K476" s="127"/>
      <c r="L476" s="137"/>
      <c r="M476" s="58" t="str" cm="1">
        <f>IF(ISBLANK($A476),"",INDEX(Array_MobileCharges,MATCH($A476,List_MobileFuelMeters,0),ROUNDUP((COLUMN()+1)/3-2,0)))</f>
        <v/>
      </c>
      <c r="N476" s="127"/>
      <c r="O476" s="137"/>
      <c r="P476" s="58" t="str" cm="1">
        <f>IF(ISBLANK($A476),"",INDEX(Array_MobileCharges,MATCH($A476,List_MobileFuelMeters,0),ROUNDUP((COLUMN()+1)/3-2,0)))</f>
        <v/>
      </c>
      <c r="Q476" s="127"/>
      <c r="R476" s="137"/>
      <c r="S476" s="58" t="str" cm="1">
        <f>IF(ISBLANK($A476),"",INDEX(Array_MobileCharges,MATCH($A476,List_MobileFuelMeters,0),ROUNDUP((COLUMN()+1)/3-2,0)))</f>
        <v/>
      </c>
      <c r="T476" s="127"/>
      <c r="U476" s="137"/>
    </row>
    <row r="477" spans="1:21" x14ac:dyDescent="0.3">
      <c r="A477" s="126"/>
      <c r="B477" s="133"/>
      <c r="C477" s="127"/>
      <c r="D477" s="138"/>
      <c r="E477" s="138"/>
      <c r="F477" s="137"/>
      <c r="G477" s="58" t="str" cm="1">
        <f>IF(ISBLANK($A477),"",INDEX(Array_MobileCharges,MATCH($A477,List_MobileFuelMeters,0),ROUNDUP((COLUMN()+1)/3-2,0)))</f>
        <v/>
      </c>
      <c r="H477" s="127"/>
      <c r="I477" s="137"/>
      <c r="J477" s="58" t="str" cm="1">
        <f>IF(ISBLANK($A477),"",INDEX(Array_MobileCharges,MATCH($A477,List_MobileFuelMeters,0),ROUNDUP((COLUMN()+1)/3-2,0)))</f>
        <v/>
      </c>
      <c r="K477" s="127"/>
      <c r="L477" s="137"/>
      <c r="M477" s="58" t="str" cm="1">
        <f>IF(ISBLANK($A477),"",INDEX(Array_MobileCharges,MATCH($A477,List_MobileFuelMeters,0),ROUNDUP((COLUMN()+1)/3-2,0)))</f>
        <v/>
      </c>
      <c r="N477" s="127"/>
      <c r="O477" s="137"/>
      <c r="P477" s="58" t="str" cm="1">
        <f>IF(ISBLANK($A477),"",INDEX(Array_MobileCharges,MATCH($A477,List_MobileFuelMeters,0),ROUNDUP((COLUMN()+1)/3-2,0)))</f>
        <v/>
      </c>
      <c r="Q477" s="127"/>
      <c r="R477" s="137"/>
      <c r="S477" s="58" t="str" cm="1">
        <f>IF(ISBLANK($A477),"",INDEX(Array_MobileCharges,MATCH($A477,List_MobileFuelMeters,0),ROUNDUP((COLUMN()+1)/3-2,0)))</f>
        <v/>
      </c>
      <c r="T477" s="127"/>
      <c r="U477" s="137"/>
    </row>
    <row r="478" spans="1:21" x14ac:dyDescent="0.3">
      <c r="A478" s="126"/>
      <c r="B478" s="133"/>
      <c r="C478" s="127"/>
      <c r="D478" s="138"/>
      <c r="E478" s="138"/>
      <c r="F478" s="137"/>
      <c r="G478" s="58" t="str" cm="1">
        <f>IF(ISBLANK($A478),"",INDEX(Array_MobileCharges,MATCH($A478,List_MobileFuelMeters,0),ROUNDUP((COLUMN()+1)/3-2,0)))</f>
        <v/>
      </c>
      <c r="H478" s="127"/>
      <c r="I478" s="137"/>
      <c r="J478" s="58" t="str" cm="1">
        <f>IF(ISBLANK($A478),"",INDEX(Array_MobileCharges,MATCH($A478,List_MobileFuelMeters,0),ROUNDUP((COLUMN()+1)/3-2,0)))</f>
        <v/>
      </c>
      <c r="K478" s="127"/>
      <c r="L478" s="137"/>
      <c r="M478" s="58" t="str" cm="1">
        <f>IF(ISBLANK($A478),"",INDEX(Array_MobileCharges,MATCH($A478,List_MobileFuelMeters,0),ROUNDUP((COLUMN()+1)/3-2,0)))</f>
        <v/>
      </c>
      <c r="N478" s="127"/>
      <c r="O478" s="137"/>
      <c r="P478" s="58" t="str" cm="1">
        <f>IF(ISBLANK($A478),"",INDEX(Array_MobileCharges,MATCH($A478,List_MobileFuelMeters,0),ROUNDUP((COLUMN()+1)/3-2,0)))</f>
        <v/>
      </c>
      <c r="Q478" s="127"/>
      <c r="R478" s="137"/>
      <c r="S478" s="58" t="str" cm="1">
        <f>IF(ISBLANK($A478),"",INDEX(Array_MobileCharges,MATCH($A478,List_MobileFuelMeters,0),ROUNDUP((COLUMN()+1)/3-2,0)))</f>
        <v/>
      </c>
      <c r="T478" s="127"/>
      <c r="U478" s="137"/>
    </row>
    <row r="479" spans="1:21" x14ac:dyDescent="0.3">
      <c r="A479" s="126"/>
      <c r="B479" s="133"/>
      <c r="C479" s="127"/>
      <c r="D479" s="138"/>
      <c r="E479" s="138"/>
      <c r="F479" s="137"/>
      <c r="G479" s="58" t="str" cm="1">
        <f>IF(ISBLANK($A479),"",INDEX(Array_MobileCharges,MATCH($A479,List_MobileFuelMeters,0),ROUNDUP((COLUMN()+1)/3-2,0)))</f>
        <v/>
      </c>
      <c r="H479" s="127"/>
      <c r="I479" s="137"/>
      <c r="J479" s="58" t="str" cm="1">
        <f>IF(ISBLANK($A479),"",INDEX(Array_MobileCharges,MATCH($A479,List_MobileFuelMeters,0),ROUNDUP((COLUMN()+1)/3-2,0)))</f>
        <v/>
      </c>
      <c r="K479" s="127"/>
      <c r="L479" s="137"/>
      <c r="M479" s="58" t="str" cm="1">
        <f>IF(ISBLANK($A479),"",INDEX(Array_MobileCharges,MATCH($A479,List_MobileFuelMeters,0),ROUNDUP((COLUMN()+1)/3-2,0)))</f>
        <v/>
      </c>
      <c r="N479" s="127"/>
      <c r="O479" s="137"/>
      <c r="P479" s="58" t="str" cm="1">
        <f>IF(ISBLANK($A479),"",INDEX(Array_MobileCharges,MATCH($A479,List_MobileFuelMeters,0),ROUNDUP((COLUMN()+1)/3-2,0)))</f>
        <v/>
      </c>
      <c r="Q479" s="127"/>
      <c r="R479" s="137"/>
      <c r="S479" s="58" t="str" cm="1">
        <f>IF(ISBLANK($A479),"",INDEX(Array_MobileCharges,MATCH($A479,List_MobileFuelMeters,0),ROUNDUP((COLUMN()+1)/3-2,0)))</f>
        <v/>
      </c>
      <c r="T479" s="127"/>
      <c r="U479" s="137"/>
    </row>
    <row r="480" spans="1:21" x14ac:dyDescent="0.3">
      <c r="A480" s="126"/>
      <c r="B480" s="133"/>
      <c r="C480" s="127"/>
      <c r="D480" s="138"/>
      <c r="E480" s="138"/>
      <c r="F480" s="137"/>
      <c r="G480" s="58" t="str" cm="1">
        <f>IF(ISBLANK($A480),"",INDEX(Array_MobileCharges,MATCH($A480,List_MobileFuelMeters,0),ROUNDUP((COLUMN()+1)/3-2,0)))</f>
        <v/>
      </c>
      <c r="H480" s="127"/>
      <c r="I480" s="137"/>
      <c r="J480" s="58" t="str" cm="1">
        <f>IF(ISBLANK($A480),"",INDEX(Array_MobileCharges,MATCH($A480,List_MobileFuelMeters,0),ROUNDUP((COLUMN()+1)/3-2,0)))</f>
        <v/>
      </c>
      <c r="K480" s="127"/>
      <c r="L480" s="137"/>
      <c r="M480" s="58" t="str" cm="1">
        <f>IF(ISBLANK($A480),"",INDEX(Array_MobileCharges,MATCH($A480,List_MobileFuelMeters,0),ROUNDUP((COLUMN()+1)/3-2,0)))</f>
        <v/>
      </c>
      <c r="N480" s="127"/>
      <c r="O480" s="137"/>
      <c r="P480" s="58" t="str" cm="1">
        <f>IF(ISBLANK($A480),"",INDEX(Array_MobileCharges,MATCH($A480,List_MobileFuelMeters,0),ROUNDUP((COLUMN()+1)/3-2,0)))</f>
        <v/>
      </c>
      <c r="Q480" s="127"/>
      <c r="R480" s="137"/>
      <c r="S480" s="58" t="str" cm="1">
        <f>IF(ISBLANK($A480),"",INDEX(Array_MobileCharges,MATCH($A480,List_MobileFuelMeters,0),ROUNDUP((COLUMN()+1)/3-2,0)))</f>
        <v/>
      </c>
      <c r="T480" s="127"/>
      <c r="U480" s="137"/>
    </row>
    <row r="481" spans="1:21" x14ac:dyDescent="0.3">
      <c r="A481" s="126"/>
      <c r="B481" s="133"/>
      <c r="C481" s="127"/>
      <c r="D481" s="138"/>
      <c r="E481" s="138"/>
      <c r="F481" s="137"/>
      <c r="G481" s="58" t="str" cm="1">
        <f>IF(ISBLANK($A481),"",INDEX(Array_MobileCharges,MATCH($A481,List_MobileFuelMeters,0),ROUNDUP((COLUMN()+1)/3-2,0)))</f>
        <v/>
      </c>
      <c r="H481" s="127"/>
      <c r="I481" s="137"/>
      <c r="J481" s="58" t="str" cm="1">
        <f>IF(ISBLANK($A481),"",INDEX(Array_MobileCharges,MATCH($A481,List_MobileFuelMeters,0),ROUNDUP((COLUMN()+1)/3-2,0)))</f>
        <v/>
      </c>
      <c r="K481" s="127"/>
      <c r="L481" s="137"/>
      <c r="M481" s="58" t="str" cm="1">
        <f>IF(ISBLANK($A481),"",INDEX(Array_MobileCharges,MATCH($A481,List_MobileFuelMeters,0),ROUNDUP((COLUMN()+1)/3-2,0)))</f>
        <v/>
      </c>
      <c r="N481" s="127"/>
      <c r="O481" s="137"/>
      <c r="P481" s="58" t="str" cm="1">
        <f>IF(ISBLANK($A481),"",INDEX(Array_MobileCharges,MATCH($A481,List_MobileFuelMeters,0),ROUNDUP((COLUMN()+1)/3-2,0)))</f>
        <v/>
      </c>
      <c r="Q481" s="127"/>
      <c r="R481" s="137"/>
      <c r="S481" s="58" t="str" cm="1">
        <f>IF(ISBLANK($A481),"",INDEX(Array_MobileCharges,MATCH($A481,List_MobileFuelMeters,0),ROUNDUP((COLUMN()+1)/3-2,0)))</f>
        <v/>
      </c>
      <c r="T481" s="127"/>
      <c r="U481" s="137"/>
    </row>
    <row r="482" spans="1:21" x14ac:dyDescent="0.3">
      <c r="A482" s="126"/>
      <c r="B482" s="133"/>
      <c r="C482" s="127"/>
      <c r="D482" s="138"/>
      <c r="E482" s="138"/>
      <c r="F482" s="137"/>
      <c r="G482" s="58" t="str" cm="1">
        <f>IF(ISBLANK($A482),"",INDEX(Array_MobileCharges,MATCH($A482,List_MobileFuelMeters,0),ROUNDUP((COLUMN()+1)/3-2,0)))</f>
        <v/>
      </c>
      <c r="H482" s="127"/>
      <c r="I482" s="137"/>
      <c r="J482" s="58" t="str" cm="1">
        <f>IF(ISBLANK($A482),"",INDEX(Array_MobileCharges,MATCH($A482,List_MobileFuelMeters,0),ROUNDUP((COLUMN()+1)/3-2,0)))</f>
        <v/>
      </c>
      <c r="K482" s="127"/>
      <c r="L482" s="137"/>
      <c r="M482" s="58" t="str" cm="1">
        <f>IF(ISBLANK($A482),"",INDEX(Array_MobileCharges,MATCH($A482,List_MobileFuelMeters,0),ROUNDUP((COLUMN()+1)/3-2,0)))</f>
        <v/>
      </c>
      <c r="N482" s="127"/>
      <c r="O482" s="137"/>
      <c r="P482" s="58" t="str" cm="1">
        <f>IF(ISBLANK($A482),"",INDEX(Array_MobileCharges,MATCH($A482,List_MobileFuelMeters,0),ROUNDUP((COLUMN()+1)/3-2,0)))</f>
        <v/>
      </c>
      <c r="Q482" s="127"/>
      <c r="R482" s="137"/>
      <c r="S482" s="58" t="str" cm="1">
        <f>IF(ISBLANK($A482),"",INDEX(Array_MobileCharges,MATCH($A482,List_MobileFuelMeters,0),ROUNDUP((COLUMN()+1)/3-2,0)))</f>
        <v/>
      </c>
      <c r="T482" s="127"/>
      <c r="U482" s="137"/>
    </row>
    <row r="483" spans="1:21" x14ac:dyDescent="0.3">
      <c r="A483" s="126"/>
      <c r="B483" s="133"/>
      <c r="C483" s="127"/>
      <c r="D483" s="138"/>
      <c r="E483" s="138"/>
      <c r="F483" s="137"/>
      <c r="G483" s="58" t="str" cm="1">
        <f>IF(ISBLANK($A483),"",INDEX(Array_MobileCharges,MATCH($A483,List_MobileFuelMeters,0),ROUNDUP((COLUMN()+1)/3-2,0)))</f>
        <v/>
      </c>
      <c r="H483" s="127"/>
      <c r="I483" s="137"/>
      <c r="J483" s="58" t="str" cm="1">
        <f>IF(ISBLANK($A483),"",INDEX(Array_MobileCharges,MATCH($A483,List_MobileFuelMeters,0),ROUNDUP((COLUMN()+1)/3-2,0)))</f>
        <v/>
      </c>
      <c r="K483" s="127"/>
      <c r="L483" s="137"/>
      <c r="M483" s="58" t="str" cm="1">
        <f>IF(ISBLANK($A483),"",INDEX(Array_MobileCharges,MATCH($A483,List_MobileFuelMeters,0),ROUNDUP((COLUMN()+1)/3-2,0)))</f>
        <v/>
      </c>
      <c r="N483" s="127"/>
      <c r="O483" s="137"/>
      <c r="P483" s="58" t="str" cm="1">
        <f>IF(ISBLANK($A483),"",INDEX(Array_MobileCharges,MATCH($A483,List_MobileFuelMeters,0),ROUNDUP((COLUMN()+1)/3-2,0)))</f>
        <v/>
      </c>
      <c r="Q483" s="127"/>
      <c r="R483" s="137"/>
      <c r="S483" s="58" t="str" cm="1">
        <f>IF(ISBLANK($A483),"",INDEX(Array_MobileCharges,MATCH($A483,List_MobileFuelMeters,0),ROUNDUP((COLUMN()+1)/3-2,0)))</f>
        <v/>
      </c>
      <c r="T483" s="127"/>
      <c r="U483" s="137"/>
    </row>
    <row r="484" spans="1:21" x14ac:dyDescent="0.3">
      <c r="A484" s="126"/>
      <c r="B484" s="133"/>
      <c r="C484" s="127"/>
      <c r="D484" s="138"/>
      <c r="E484" s="138"/>
      <c r="F484" s="137"/>
      <c r="G484" s="58" t="str" cm="1">
        <f>IF(ISBLANK($A484),"",INDEX(Array_MobileCharges,MATCH($A484,List_MobileFuelMeters,0),ROUNDUP((COLUMN()+1)/3-2,0)))</f>
        <v/>
      </c>
      <c r="H484" s="127"/>
      <c r="I484" s="137"/>
      <c r="J484" s="58" t="str" cm="1">
        <f>IF(ISBLANK($A484),"",INDEX(Array_MobileCharges,MATCH($A484,List_MobileFuelMeters,0),ROUNDUP((COLUMN()+1)/3-2,0)))</f>
        <v/>
      </c>
      <c r="K484" s="127"/>
      <c r="L484" s="137"/>
      <c r="M484" s="58" t="str" cm="1">
        <f>IF(ISBLANK($A484),"",INDEX(Array_MobileCharges,MATCH($A484,List_MobileFuelMeters,0),ROUNDUP((COLUMN()+1)/3-2,0)))</f>
        <v/>
      </c>
      <c r="N484" s="127"/>
      <c r="O484" s="137"/>
      <c r="P484" s="58" t="str" cm="1">
        <f>IF(ISBLANK($A484),"",INDEX(Array_MobileCharges,MATCH($A484,List_MobileFuelMeters,0),ROUNDUP((COLUMN()+1)/3-2,0)))</f>
        <v/>
      </c>
      <c r="Q484" s="127"/>
      <c r="R484" s="137"/>
      <c r="S484" s="58" t="str" cm="1">
        <f>IF(ISBLANK($A484),"",INDEX(Array_MobileCharges,MATCH($A484,List_MobileFuelMeters,0),ROUNDUP((COLUMN()+1)/3-2,0)))</f>
        <v/>
      </c>
      <c r="T484" s="127"/>
      <c r="U484" s="137"/>
    </row>
    <row r="485" spans="1:21" x14ac:dyDescent="0.3">
      <c r="A485" s="126"/>
      <c r="B485" s="133"/>
      <c r="C485" s="127"/>
      <c r="D485" s="138"/>
      <c r="E485" s="138"/>
      <c r="F485" s="137"/>
      <c r="G485" s="58" t="str" cm="1">
        <f>IF(ISBLANK($A485),"",INDEX(Array_MobileCharges,MATCH($A485,List_MobileFuelMeters,0),ROUNDUP((COLUMN()+1)/3-2,0)))</f>
        <v/>
      </c>
      <c r="H485" s="127"/>
      <c r="I485" s="137"/>
      <c r="J485" s="58" t="str" cm="1">
        <f>IF(ISBLANK($A485),"",INDEX(Array_MobileCharges,MATCH($A485,List_MobileFuelMeters,0),ROUNDUP((COLUMN()+1)/3-2,0)))</f>
        <v/>
      </c>
      <c r="K485" s="127"/>
      <c r="L485" s="137"/>
      <c r="M485" s="58" t="str" cm="1">
        <f>IF(ISBLANK($A485),"",INDEX(Array_MobileCharges,MATCH($A485,List_MobileFuelMeters,0),ROUNDUP((COLUMN()+1)/3-2,0)))</f>
        <v/>
      </c>
      <c r="N485" s="127"/>
      <c r="O485" s="137"/>
      <c r="P485" s="58" t="str" cm="1">
        <f>IF(ISBLANK($A485),"",INDEX(Array_MobileCharges,MATCH($A485,List_MobileFuelMeters,0),ROUNDUP((COLUMN()+1)/3-2,0)))</f>
        <v/>
      </c>
      <c r="Q485" s="127"/>
      <c r="R485" s="137"/>
      <c r="S485" s="58" t="str" cm="1">
        <f>IF(ISBLANK($A485),"",INDEX(Array_MobileCharges,MATCH($A485,List_MobileFuelMeters,0),ROUNDUP((COLUMN()+1)/3-2,0)))</f>
        <v/>
      </c>
      <c r="T485" s="127"/>
      <c r="U485" s="137"/>
    </row>
    <row r="486" spans="1:21" x14ac:dyDescent="0.3">
      <c r="A486" s="126"/>
      <c r="B486" s="133"/>
      <c r="C486" s="127"/>
      <c r="D486" s="138"/>
      <c r="E486" s="138"/>
      <c r="F486" s="137"/>
      <c r="G486" s="58" t="str" cm="1">
        <f>IF(ISBLANK($A486),"",INDEX(Array_MobileCharges,MATCH($A486,List_MobileFuelMeters,0),ROUNDUP((COLUMN()+1)/3-2,0)))</f>
        <v/>
      </c>
      <c r="H486" s="127"/>
      <c r="I486" s="137"/>
      <c r="J486" s="58" t="str" cm="1">
        <f>IF(ISBLANK($A486),"",INDEX(Array_MobileCharges,MATCH($A486,List_MobileFuelMeters,0),ROUNDUP((COLUMN()+1)/3-2,0)))</f>
        <v/>
      </c>
      <c r="K486" s="127"/>
      <c r="L486" s="137"/>
      <c r="M486" s="58" t="str" cm="1">
        <f>IF(ISBLANK($A486),"",INDEX(Array_MobileCharges,MATCH($A486,List_MobileFuelMeters,0),ROUNDUP((COLUMN()+1)/3-2,0)))</f>
        <v/>
      </c>
      <c r="N486" s="127"/>
      <c r="O486" s="137"/>
      <c r="P486" s="58" t="str" cm="1">
        <f>IF(ISBLANK($A486),"",INDEX(Array_MobileCharges,MATCH($A486,List_MobileFuelMeters,0),ROUNDUP((COLUMN()+1)/3-2,0)))</f>
        <v/>
      </c>
      <c r="Q486" s="127"/>
      <c r="R486" s="137"/>
      <c r="S486" s="58" t="str" cm="1">
        <f>IF(ISBLANK($A486),"",INDEX(Array_MobileCharges,MATCH($A486,List_MobileFuelMeters,0),ROUNDUP((COLUMN()+1)/3-2,0)))</f>
        <v/>
      </c>
      <c r="T486" s="127"/>
      <c r="U486" s="137"/>
    </row>
    <row r="487" spans="1:21" x14ac:dyDescent="0.3">
      <c r="A487" s="126"/>
      <c r="B487" s="133"/>
      <c r="C487" s="127"/>
      <c r="D487" s="138"/>
      <c r="E487" s="138"/>
      <c r="F487" s="137"/>
      <c r="G487" s="58" t="str" cm="1">
        <f>IF(ISBLANK($A487),"",INDEX(Array_MobileCharges,MATCH($A487,List_MobileFuelMeters,0),ROUNDUP((COLUMN()+1)/3-2,0)))</f>
        <v/>
      </c>
      <c r="H487" s="127"/>
      <c r="I487" s="137"/>
      <c r="J487" s="58" t="str" cm="1">
        <f>IF(ISBLANK($A487),"",INDEX(Array_MobileCharges,MATCH($A487,List_MobileFuelMeters,0),ROUNDUP((COLUMN()+1)/3-2,0)))</f>
        <v/>
      </c>
      <c r="K487" s="127"/>
      <c r="L487" s="137"/>
      <c r="M487" s="58" t="str" cm="1">
        <f>IF(ISBLANK($A487),"",INDEX(Array_MobileCharges,MATCH($A487,List_MobileFuelMeters,0),ROUNDUP((COLUMN()+1)/3-2,0)))</f>
        <v/>
      </c>
      <c r="N487" s="127"/>
      <c r="O487" s="137"/>
      <c r="P487" s="58" t="str" cm="1">
        <f>IF(ISBLANK($A487),"",INDEX(Array_MobileCharges,MATCH($A487,List_MobileFuelMeters,0),ROUNDUP((COLUMN()+1)/3-2,0)))</f>
        <v/>
      </c>
      <c r="Q487" s="127"/>
      <c r="R487" s="137"/>
      <c r="S487" s="58" t="str" cm="1">
        <f>IF(ISBLANK($A487),"",INDEX(Array_MobileCharges,MATCH($A487,List_MobileFuelMeters,0),ROUNDUP((COLUMN()+1)/3-2,0)))</f>
        <v/>
      </c>
      <c r="T487" s="127"/>
      <c r="U487" s="137"/>
    </row>
    <row r="488" spans="1:21" x14ac:dyDescent="0.3">
      <c r="A488" s="126"/>
      <c r="B488" s="133"/>
      <c r="C488" s="127"/>
      <c r="D488" s="138"/>
      <c r="E488" s="138"/>
      <c r="F488" s="137"/>
      <c r="G488" s="58" t="str" cm="1">
        <f>IF(ISBLANK($A488),"",INDEX(Array_MobileCharges,MATCH($A488,List_MobileFuelMeters,0),ROUNDUP((COLUMN()+1)/3-2,0)))</f>
        <v/>
      </c>
      <c r="H488" s="127"/>
      <c r="I488" s="137"/>
      <c r="J488" s="58" t="str" cm="1">
        <f>IF(ISBLANK($A488),"",INDEX(Array_MobileCharges,MATCH($A488,List_MobileFuelMeters,0),ROUNDUP((COLUMN()+1)/3-2,0)))</f>
        <v/>
      </c>
      <c r="K488" s="127"/>
      <c r="L488" s="137"/>
      <c r="M488" s="58" t="str" cm="1">
        <f>IF(ISBLANK($A488),"",INDEX(Array_MobileCharges,MATCH($A488,List_MobileFuelMeters,0),ROUNDUP((COLUMN()+1)/3-2,0)))</f>
        <v/>
      </c>
      <c r="N488" s="127"/>
      <c r="O488" s="137"/>
      <c r="P488" s="58" t="str" cm="1">
        <f>IF(ISBLANK($A488),"",INDEX(Array_MobileCharges,MATCH($A488,List_MobileFuelMeters,0),ROUNDUP((COLUMN()+1)/3-2,0)))</f>
        <v/>
      </c>
      <c r="Q488" s="127"/>
      <c r="R488" s="137"/>
      <c r="S488" s="58" t="str" cm="1">
        <f>IF(ISBLANK($A488),"",INDEX(Array_MobileCharges,MATCH($A488,List_MobileFuelMeters,0),ROUNDUP((COLUMN()+1)/3-2,0)))</f>
        <v/>
      </c>
      <c r="T488" s="127"/>
      <c r="U488" s="137"/>
    </row>
    <row r="489" spans="1:21" x14ac:dyDescent="0.3">
      <c r="A489" s="126"/>
      <c r="B489" s="133"/>
      <c r="C489" s="127"/>
      <c r="D489" s="138"/>
      <c r="E489" s="138"/>
      <c r="F489" s="137"/>
      <c r="G489" s="58" t="str" cm="1">
        <f>IF(ISBLANK($A489),"",INDEX(Array_MobileCharges,MATCH($A489,List_MobileFuelMeters,0),ROUNDUP((COLUMN()+1)/3-2,0)))</f>
        <v/>
      </c>
      <c r="H489" s="127"/>
      <c r="I489" s="137"/>
      <c r="J489" s="58" t="str" cm="1">
        <f>IF(ISBLANK($A489),"",INDEX(Array_MobileCharges,MATCH($A489,List_MobileFuelMeters,0),ROUNDUP((COLUMN()+1)/3-2,0)))</f>
        <v/>
      </c>
      <c r="K489" s="127"/>
      <c r="L489" s="137"/>
      <c r="M489" s="58" t="str" cm="1">
        <f>IF(ISBLANK($A489),"",INDEX(Array_MobileCharges,MATCH($A489,List_MobileFuelMeters,0),ROUNDUP((COLUMN()+1)/3-2,0)))</f>
        <v/>
      </c>
      <c r="N489" s="127"/>
      <c r="O489" s="137"/>
      <c r="P489" s="58" t="str" cm="1">
        <f>IF(ISBLANK($A489),"",INDEX(Array_MobileCharges,MATCH($A489,List_MobileFuelMeters,0),ROUNDUP((COLUMN()+1)/3-2,0)))</f>
        <v/>
      </c>
      <c r="Q489" s="127"/>
      <c r="R489" s="137"/>
      <c r="S489" s="58" t="str" cm="1">
        <f>IF(ISBLANK($A489),"",INDEX(Array_MobileCharges,MATCH($A489,List_MobileFuelMeters,0),ROUNDUP((COLUMN()+1)/3-2,0)))</f>
        <v/>
      </c>
      <c r="T489" s="127"/>
      <c r="U489" s="137"/>
    </row>
    <row r="490" spans="1:21" x14ac:dyDescent="0.3">
      <c r="A490" s="126"/>
      <c r="B490" s="133"/>
      <c r="C490" s="127"/>
      <c r="D490" s="138"/>
      <c r="E490" s="138"/>
      <c r="F490" s="137"/>
      <c r="G490" s="58" t="str" cm="1">
        <f>IF(ISBLANK($A490),"",INDEX(Array_MobileCharges,MATCH($A490,List_MobileFuelMeters,0),ROUNDUP((COLUMN()+1)/3-2,0)))</f>
        <v/>
      </c>
      <c r="H490" s="127"/>
      <c r="I490" s="137"/>
      <c r="J490" s="58" t="str" cm="1">
        <f>IF(ISBLANK($A490),"",INDEX(Array_MobileCharges,MATCH($A490,List_MobileFuelMeters,0),ROUNDUP((COLUMN()+1)/3-2,0)))</f>
        <v/>
      </c>
      <c r="K490" s="127"/>
      <c r="L490" s="137"/>
      <c r="M490" s="58" t="str" cm="1">
        <f>IF(ISBLANK($A490),"",INDEX(Array_MobileCharges,MATCH($A490,List_MobileFuelMeters,0),ROUNDUP((COLUMN()+1)/3-2,0)))</f>
        <v/>
      </c>
      <c r="N490" s="127"/>
      <c r="O490" s="137"/>
      <c r="P490" s="58" t="str" cm="1">
        <f>IF(ISBLANK($A490),"",INDEX(Array_MobileCharges,MATCH($A490,List_MobileFuelMeters,0),ROUNDUP((COLUMN()+1)/3-2,0)))</f>
        <v/>
      </c>
      <c r="Q490" s="127"/>
      <c r="R490" s="137"/>
      <c r="S490" s="58" t="str" cm="1">
        <f>IF(ISBLANK($A490),"",INDEX(Array_MobileCharges,MATCH($A490,List_MobileFuelMeters,0),ROUNDUP((COLUMN()+1)/3-2,0)))</f>
        <v/>
      </c>
      <c r="T490" s="127"/>
      <c r="U490" s="137"/>
    </row>
    <row r="491" spans="1:21" x14ac:dyDescent="0.3">
      <c r="A491" s="126"/>
      <c r="B491" s="133"/>
      <c r="C491" s="127"/>
      <c r="D491" s="138"/>
      <c r="E491" s="138"/>
      <c r="F491" s="137"/>
      <c r="G491" s="58" t="str" cm="1">
        <f>IF(ISBLANK($A491),"",INDEX(Array_MobileCharges,MATCH($A491,List_MobileFuelMeters,0),ROUNDUP((COLUMN()+1)/3-2,0)))</f>
        <v/>
      </c>
      <c r="H491" s="127"/>
      <c r="I491" s="137"/>
      <c r="J491" s="58" t="str" cm="1">
        <f>IF(ISBLANK($A491),"",INDEX(Array_MobileCharges,MATCH($A491,List_MobileFuelMeters,0),ROUNDUP((COLUMN()+1)/3-2,0)))</f>
        <v/>
      </c>
      <c r="K491" s="127"/>
      <c r="L491" s="137"/>
      <c r="M491" s="58" t="str" cm="1">
        <f>IF(ISBLANK($A491),"",INDEX(Array_MobileCharges,MATCH($A491,List_MobileFuelMeters,0),ROUNDUP((COLUMN()+1)/3-2,0)))</f>
        <v/>
      </c>
      <c r="N491" s="127"/>
      <c r="O491" s="137"/>
      <c r="P491" s="58" t="str" cm="1">
        <f>IF(ISBLANK($A491),"",INDEX(Array_MobileCharges,MATCH($A491,List_MobileFuelMeters,0),ROUNDUP((COLUMN()+1)/3-2,0)))</f>
        <v/>
      </c>
      <c r="Q491" s="127"/>
      <c r="R491" s="137"/>
      <c r="S491" s="58" t="str" cm="1">
        <f>IF(ISBLANK($A491),"",INDEX(Array_MobileCharges,MATCH($A491,List_MobileFuelMeters,0),ROUNDUP((COLUMN()+1)/3-2,0)))</f>
        <v/>
      </c>
      <c r="T491" s="127"/>
      <c r="U491" s="137"/>
    </row>
    <row r="492" spans="1:21" x14ac:dyDescent="0.3">
      <c r="A492" s="126"/>
      <c r="B492" s="133"/>
      <c r="C492" s="127"/>
      <c r="D492" s="138"/>
      <c r="E492" s="138"/>
      <c r="F492" s="137"/>
      <c r="G492" s="58" t="str" cm="1">
        <f>IF(ISBLANK($A492),"",INDEX(Array_MobileCharges,MATCH($A492,List_MobileFuelMeters,0),ROUNDUP((COLUMN()+1)/3-2,0)))</f>
        <v/>
      </c>
      <c r="H492" s="127"/>
      <c r="I492" s="137"/>
      <c r="J492" s="58" t="str" cm="1">
        <f>IF(ISBLANK($A492),"",INDEX(Array_MobileCharges,MATCH($A492,List_MobileFuelMeters,0),ROUNDUP((COLUMN()+1)/3-2,0)))</f>
        <v/>
      </c>
      <c r="K492" s="127"/>
      <c r="L492" s="137"/>
      <c r="M492" s="58" t="str" cm="1">
        <f>IF(ISBLANK($A492),"",INDEX(Array_MobileCharges,MATCH($A492,List_MobileFuelMeters,0),ROUNDUP((COLUMN()+1)/3-2,0)))</f>
        <v/>
      </c>
      <c r="N492" s="127"/>
      <c r="O492" s="137"/>
      <c r="P492" s="58" t="str" cm="1">
        <f>IF(ISBLANK($A492),"",INDEX(Array_MobileCharges,MATCH($A492,List_MobileFuelMeters,0),ROUNDUP((COLUMN()+1)/3-2,0)))</f>
        <v/>
      </c>
      <c r="Q492" s="127"/>
      <c r="R492" s="137"/>
      <c r="S492" s="58" t="str" cm="1">
        <f>IF(ISBLANK($A492),"",INDEX(Array_MobileCharges,MATCH($A492,List_MobileFuelMeters,0),ROUNDUP((COLUMN()+1)/3-2,0)))</f>
        <v/>
      </c>
      <c r="T492" s="127"/>
      <c r="U492" s="137"/>
    </row>
    <row r="493" spans="1:21" x14ac:dyDescent="0.3">
      <c r="A493" s="126"/>
      <c r="B493" s="133"/>
      <c r="C493" s="127"/>
      <c r="D493" s="138"/>
      <c r="E493" s="138"/>
      <c r="F493" s="137"/>
      <c r="G493" s="58" t="str" cm="1">
        <f>IF(ISBLANK($A493),"",INDEX(Array_MobileCharges,MATCH($A493,List_MobileFuelMeters,0),ROUNDUP((COLUMN()+1)/3-2,0)))</f>
        <v/>
      </c>
      <c r="H493" s="127"/>
      <c r="I493" s="137"/>
      <c r="J493" s="58" t="str" cm="1">
        <f>IF(ISBLANK($A493),"",INDEX(Array_MobileCharges,MATCH($A493,List_MobileFuelMeters,0),ROUNDUP((COLUMN()+1)/3-2,0)))</f>
        <v/>
      </c>
      <c r="K493" s="127"/>
      <c r="L493" s="137"/>
      <c r="M493" s="58" t="str" cm="1">
        <f>IF(ISBLANK($A493),"",INDEX(Array_MobileCharges,MATCH($A493,List_MobileFuelMeters,0),ROUNDUP((COLUMN()+1)/3-2,0)))</f>
        <v/>
      </c>
      <c r="N493" s="127"/>
      <c r="O493" s="137"/>
      <c r="P493" s="58" t="str" cm="1">
        <f>IF(ISBLANK($A493),"",INDEX(Array_MobileCharges,MATCH($A493,List_MobileFuelMeters,0),ROUNDUP((COLUMN()+1)/3-2,0)))</f>
        <v/>
      </c>
      <c r="Q493" s="127"/>
      <c r="R493" s="137"/>
      <c r="S493" s="58" t="str" cm="1">
        <f>IF(ISBLANK($A493),"",INDEX(Array_MobileCharges,MATCH($A493,List_MobileFuelMeters,0),ROUNDUP((COLUMN()+1)/3-2,0)))</f>
        <v/>
      </c>
      <c r="T493" s="127"/>
      <c r="U493" s="137"/>
    </row>
    <row r="494" spans="1:21" x14ac:dyDescent="0.3">
      <c r="A494" s="126"/>
      <c r="B494" s="133"/>
      <c r="C494" s="127"/>
      <c r="D494" s="138"/>
      <c r="E494" s="138"/>
      <c r="F494" s="137"/>
      <c r="G494" s="58" t="str" cm="1">
        <f>IF(ISBLANK($A494),"",INDEX(Array_MobileCharges,MATCH($A494,List_MobileFuelMeters,0),ROUNDUP((COLUMN()+1)/3-2,0)))</f>
        <v/>
      </c>
      <c r="H494" s="127"/>
      <c r="I494" s="137"/>
      <c r="J494" s="58" t="str" cm="1">
        <f>IF(ISBLANK($A494),"",INDEX(Array_MobileCharges,MATCH($A494,List_MobileFuelMeters,0),ROUNDUP((COLUMN()+1)/3-2,0)))</f>
        <v/>
      </c>
      <c r="K494" s="127"/>
      <c r="L494" s="137"/>
      <c r="M494" s="58" t="str" cm="1">
        <f>IF(ISBLANK($A494),"",INDEX(Array_MobileCharges,MATCH($A494,List_MobileFuelMeters,0),ROUNDUP((COLUMN()+1)/3-2,0)))</f>
        <v/>
      </c>
      <c r="N494" s="127"/>
      <c r="O494" s="137"/>
      <c r="P494" s="58" t="str" cm="1">
        <f>IF(ISBLANK($A494),"",INDEX(Array_MobileCharges,MATCH($A494,List_MobileFuelMeters,0),ROUNDUP((COLUMN()+1)/3-2,0)))</f>
        <v/>
      </c>
      <c r="Q494" s="127"/>
      <c r="R494" s="137"/>
      <c r="S494" s="58" t="str" cm="1">
        <f>IF(ISBLANK($A494),"",INDEX(Array_MobileCharges,MATCH($A494,List_MobileFuelMeters,0),ROUNDUP((COLUMN()+1)/3-2,0)))</f>
        <v/>
      </c>
      <c r="T494" s="127"/>
      <c r="U494" s="137"/>
    </row>
    <row r="495" spans="1:21" x14ac:dyDescent="0.3">
      <c r="A495" s="126"/>
      <c r="B495" s="133"/>
      <c r="C495" s="127"/>
      <c r="D495" s="138"/>
      <c r="E495" s="138"/>
      <c r="F495" s="137"/>
      <c r="G495" s="58" t="str" cm="1">
        <f>IF(ISBLANK($A495),"",INDEX(Array_MobileCharges,MATCH($A495,List_MobileFuelMeters,0),ROUNDUP((COLUMN()+1)/3-2,0)))</f>
        <v/>
      </c>
      <c r="H495" s="127"/>
      <c r="I495" s="137"/>
      <c r="J495" s="58" t="str" cm="1">
        <f>IF(ISBLANK($A495),"",INDEX(Array_MobileCharges,MATCH($A495,List_MobileFuelMeters,0),ROUNDUP((COLUMN()+1)/3-2,0)))</f>
        <v/>
      </c>
      <c r="K495" s="127"/>
      <c r="L495" s="137"/>
      <c r="M495" s="58" t="str" cm="1">
        <f>IF(ISBLANK($A495),"",INDEX(Array_MobileCharges,MATCH($A495,List_MobileFuelMeters,0),ROUNDUP((COLUMN()+1)/3-2,0)))</f>
        <v/>
      </c>
      <c r="N495" s="127"/>
      <c r="O495" s="137"/>
      <c r="P495" s="58" t="str" cm="1">
        <f>IF(ISBLANK($A495),"",INDEX(Array_MobileCharges,MATCH($A495,List_MobileFuelMeters,0),ROUNDUP((COLUMN()+1)/3-2,0)))</f>
        <v/>
      </c>
      <c r="Q495" s="127"/>
      <c r="R495" s="137"/>
      <c r="S495" s="58" t="str" cm="1">
        <f>IF(ISBLANK($A495),"",INDEX(Array_MobileCharges,MATCH($A495,List_MobileFuelMeters,0),ROUNDUP((COLUMN()+1)/3-2,0)))</f>
        <v/>
      </c>
      <c r="T495" s="127"/>
      <c r="U495" s="137"/>
    </row>
    <row r="496" spans="1:21" x14ac:dyDescent="0.3">
      <c r="A496" s="126"/>
      <c r="B496" s="133"/>
      <c r="C496" s="127"/>
      <c r="D496" s="138"/>
      <c r="E496" s="138"/>
      <c r="F496" s="137"/>
      <c r="G496" s="58" t="str" cm="1">
        <f>IF(ISBLANK($A496),"",INDEX(Array_MobileCharges,MATCH($A496,List_MobileFuelMeters,0),ROUNDUP((COLUMN()+1)/3-2,0)))</f>
        <v/>
      </c>
      <c r="H496" s="127"/>
      <c r="I496" s="137"/>
      <c r="J496" s="58" t="str" cm="1">
        <f>IF(ISBLANK($A496),"",INDEX(Array_MobileCharges,MATCH($A496,List_MobileFuelMeters,0),ROUNDUP((COLUMN()+1)/3-2,0)))</f>
        <v/>
      </c>
      <c r="K496" s="127"/>
      <c r="L496" s="137"/>
      <c r="M496" s="58" t="str" cm="1">
        <f>IF(ISBLANK($A496),"",INDEX(Array_MobileCharges,MATCH($A496,List_MobileFuelMeters,0),ROUNDUP((COLUMN()+1)/3-2,0)))</f>
        <v/>
      </c>
      <c r="N496" s="127"/>
      <c r="O496" s="137"/>
      <c r="P496" s="58" t="str" cm="1">
        <f>IF(ISBLANK($A496),"",INDEX(Array_MobileCharges,MATCH($A496,List_MobileFuelMeters,0),ROUNDUP((COLUMN()+1)/3-2,0)))</f>
        <v/>
      </c>
      <c r="Q496" s="127"/>
      <c r="R496" s="137"/>
      <c r="S496" s="58" t="str" cm="1">
        <f>IF(ISBLANK($A496),"",INDEX(Array_MobileCharges,MATCH($A496,List_MobileFuelMeters,0),ROUNDUP((COLUMN()+1)/3-2,0)))</f>
        <v/>
      </c>
      <c r="T496" s="127"/>
      <c r="U496" s="137"/>
    </row>
    <row r="497" spans="1:21" x14ac:dyDescent="0.3">
      <c r="A497" s="126"/>
      <c r="B497" s="133"/>
      <c r="C497" s="127"/>
      <c r="D497" s="138"/>
      <c r="E497" s="138"/>
      <c r="F497" s="137"/>
      <c r="G497" s="58" t="str" cm="1">
        <f>IF(ISBLANK($A497),"",INDEX(Array_MobileCharges,MATCH($A497,List_MobileFuelMeters,0),ROUNDUP((COLUMN()+1)/3-2,0)))</f>
        <v/>
      </c>
      <c r="H497" s="127"/>
      <c r="I497" s="137"/>
      <c r="J497" s="58" t="str" cm="1">
        <f>IF(ISBLANK($A497),"",INDEX(Array_MobileCharges,MATCH($A497,List_MobileFuelMeters,0),ROUNDUP((COLUMN()+1)/3-2,0)))</f>
        <v/>
      </c>
      <c r="K497" s="127"/>
      <c r="L497" s="137"/>
      <c r="M497" s="58" t="str" cm="1">
        <f>IF(ISBLANK($A497),"",INDEX(Array_MobileCharges,MATCH($A497,List_MobileFuelMeters,0),ROUNDUP((COLUMN()+1)/3-2,0)))</f>
        <v/>
      </c>
      <c r="N497" s="127"/>
      <c r="O497" s="137"/>
      <c r="P497" s="58" t="str" cm="1">
        <f>IF(ISBLANK($A497),"",INDEX(Array_MobileCharges,MATCH($A497,List_MobileFuelMeters,0),ROUNDUP((COLUMN()+1)/3-2,0)))</f>
        <v/>
      </c>
      <c r="Q497" s="127"/>
      <c r="R497" s="137"/>
      <c r="S497" s="58" t="str" cm="1">
        <f>IF(ISBLANK($A497),"",INDEX(Array_MobileCharges,MATCH($A497,List_MobileFuelMeters,0),ROUNDUP((COLUMN()+1)/3-2,0)))</f>
        <v/>
      </c>
      <c r="T497" s="127"/>
      <c r="U497" s="137"/>
    </row>
    <row r="498" spans="1:21" x14ac:dyDescent="0.3">
      <c r="A498" s="126"/>
      <c r="B498" s="133"/>
      <c r="C498" s="127"/>
      <c r="D498" s="138"/>
      <c r="E498" s="138"/>
      <c r="F498" s="137"/>
      <c r="G498" s="58" t="str" cm="1">
        <f>IF(ISBLANK($A498),"",INDEX(Array_MobileCharges,MATCH($A498,List_MobileFuelMeters,0),ROUNDUP((COLUMN()+1)/3-2,0)))</f>
        <v/>
      </c>
      <c r="H498" s="127"/>
      <c r="I498" s="137"/>
      <c r="J498" s="58" t="str" cm="1">
        <f>IF(ISBLANK($A498),"",INDEX(Array_MobileCharges,MATCH($A498,List_MobileFuelMeters,0),ROUNDUP((COLUMN()+1)/3-2,0)))</f>
        <v/>
      </c>
      <c r="K498" s="127"/>
      <c r="L498" s="137"/>
      <c r="M498" s="58" t="str" cm="1">
        <f>IF(ISBLANK($A498),"",INDEX(Array_MobileCharges,MATCH($A498,List_MobileFuelMeters,0),ROUNDUP((COLUMN()+1)/3-2,0)))</f>
        <v/>
      </c>
      <c r="N498" s="127"/>
      <c r="O498" s="137"/>
      <c r="P498" s="58" t="str" cm="1">
        <f>IF(ISBLANK($A498),"",INDEX(Array_MobileCharges,MATCH($A498,List_MobileFuelMeters,0),ROUNDUP((COLUMN()+1)/3-2,0)))</f>
        <v/>
      </c>
      <c r="Q498" s="127"/>
      <c r="R498" s="137"/>
      <c r="S498" s="58" t="str" cm="1">
        <f>IF(ISBLANK($A498),"",INDEX(Array_MobileCharges,MATCH($A498,List_MobileFuelMeters,0),ROUNDUP((COLUMN()+1)/3-2,0)))</f>
        <v/>
      </c>
      <c r="T498" s="127"/>
      <c r="U498" s="137"/>
    </row>
    <row r="499" spans="1:21" x14ac:dyDescent="0.3">
      <c r="A499" s="126"/>
      <c r="B499" s="133"/>
      <c r="C499" s="127"/>
      <c r="D499" s="138"/>
      <c r="E499" s="138"/>
      <c r="F499" s="137"/>
      <c r="G499" s="58" t="str" cm="1">
        <f>IF(ISBLANK($A499),"",INDEX(Array_MobileCharges,MATCH($A499,List_MobileFuelMeters,0),ROUNDUP((COLUMN()+1)/3-2,0)))</f>
        <v/>
      </c>
      <c r="H499" s="127"/>
      <c r="I499" s="137"/>
      <c r="J499" s="58" t="str" cm="1">
        <f>IF(ISBLANK($A499),"",INDEX(Array_MobileCharges,MATCH($A499,List_MobileFuelMeters,0),ROUNDUP((COLUMN()+1)/3-2,0)))</f>
        <v/>
      </c>
      <c r="K499" s="127"/>
      <c r="L499" s="137"/>
      <c r="M499" s="58" t="str" cm="1">
        <f>IF(ISBLANK($A499),"",INDEX(Array_MobileCharges,MATCH($A499,List_MobileFuelMeters,0),ROUNDUP((COLUMN()+1)/3-2,0)))</f>
        <v/>
      </c>
      <c r="N499" s="127"/>
      <c r="O499" s="137"/>
      <c r="P499" s="58" t="str" cm="1">
        <f>IF(ISBLANK($A499),"",INDEX(Array_MobileCharges,MATCH($A499,List_MobileFuelMeters,0),ROUNDUP((COLUMN()+1)/3-2,0)))</f>
        <v/>
      </c>
      <c r="Q499" s="127"/>
      <c r="R499" s="137"/>
      <c r="S499" s="58" t="str" cm="1">
        <f>IF(ISBLANK($A499),"",INDEX(Array_MobileCharges,MATCH($A499,List_MobileFuelMeters,0),ROUNDUP((COLUMN()+1)/3-2,0)))</f>
        <v/>
      </c>
      <c r="T499" s="127"/>
      <c r="U499" s="137"/>
    </row>
    <row r="500" spans="1:21" x14ac:dyDescent="0.3">
      <c r="A500" s="126"/>
      <c r="B500" s="133"/>
      <c r="C500" s="127"/>
      <c r="D500" s="138"/>
      <c r="E500" s="138"/>
      <c r="F500" s="137"/>
      <c r="G500" s="58" t="str" cm="1">
        <f>IF(ISBLANK($A500),"",INDEX(Array_MobileCharges,MATCH($A500,List_MobileFuelMeters,0),ROUNDUP((COLUMN()+1)/3-2,0)))</f>
        <v/>
      </c>
      <c r="H500" s="127"/>
      <c r="I500" s="137"/>
      <c r="J500" s="58" t="str" cm="1">
        <f>IF(ISBLANK($A500),"",INDEX(Array_MobileCharges,MATCH($A500,List_MobileFuelMeters,0),ROUNDUP((COLUMN()+1)/3-2,0)))</f>
        <v/>
      </c>
      <c r="K500" s="127"/>
      <c r="L500" s="137"/>
      <c r="M500" s="58" t="str" cm="1">
        <f>IF(ISBLANK($A500),"",INDEX(Array_MobileCharges,MATCH($A500,List_MobileFuelMeters,0),ROUNDUP((COLUMN()+1)/3-2,0)))</f>
        <v/>
      </c>
      <c r="N500" s="127"/>
      <c r="O500" s="137"/>
      <c r="P500" s="58" t="str" cm="1">
        <f>IF(ISBLANK($A500),"",INDEX(Array_MobileCharges,MATCH($A500,List_MobileFuelMeters,0),ROUNDUP((COLUMN()+1)/3-2,0)))</f>
        <v/>
      </c>
      <c r="Q500" s="127"/>
      <c r="R500" s="137"/>
      <c r="S500" s="58" t="str" cm="1">
        <f>IF(ISBLANK($A500),"",INDEX(Array_MobileCharges,MATCH($A500,List_MobileFuelMeters,0),ROUNDUP((COLUMN()+1)/3-2,0)))</f>
        <v/>
      </c>
      <c r="T500" s="127"/>
      <c r="U500" s="137"/>
    </row>
    <row r="501" spans="1:21" x14ac:dyDescent="0.3">
      <c r="A501" s="126"/>
      <c r="B501" s="133"/>
      <c r="C501" s="127"/>
      <c r="D501" s="138"/>
      <c r="E501" s="138"/>
      <c r="F501" s="137"/>
      <c r="G501" s="58" t="str" cm="1">
        <f>IF(ISBLANK($A501),"",INDEX(Array_MobileCharges,MATCH($A501,List_MobileFuelMeters,0),ROUNDUP((COLUMN()+1)/3-2,0)))</f>
        <v/>
      </c>
      <c r="H501" s="127"/>
      <c r="I501" s="137"/>
      <c r="J501" s="58" t="str" cm="1">
        <f>IF(ISBLANK($A501),"",INDEX(Array_MobileCharges,MATCH($A501,List_MobileFuelMeters,0),ROUNDUP((COLUMN()+1)/3-2,0)))</f>
        <v/>
      </c>
      <c r="K501" s="127"/>
      <c r="L501" s="137"/>
      <c r="M501" s="58" t="str" cm="1">
        <f>IF(ISBLANK($A501),"",INDEX(Array_MobileCharges,MATCH($A501,List_MobileFuelMeters,0),ROUNDUP((COLUMN()+1)/3-2,0)))</f>
        <v/>
      </c>
      <c r="N501" s="127"/>
      <c r="O501" s="137"/>
      <c r="P501" s="58" t="str" cm="1">
        <f>IF(ISBLANK($A501),"",INDEX(Array_MobileCharges,MATCH($A501,List_MobileFuelMeters,0),ROUNDUP((COLUMN()+1)/3-2,0)))</f>
        <v/>
      </c>
      <c r="Q501" s="127"/>
      <c r="R501" s="137"/>
      <c r="S501" s="58" t="str" cm="1">
        <f>IF(ISBLANK($A501),"",INDEX(Array_MobileCharges,MATCH($A501,List_MobileFuelMeters,0),ROUNDUP((COLUMN()+1)/3-2,0)))</f>
        <v/>
      </c>
      <c r="T501" s="127"/>
      <c r="U501" s="137"/>
    </row>
    <row r="502" spans="1:21" x14ac:dyDescent="0.3">
      <c r="A502" s="126"/>
      <c r="B502" s="133"/>
      <c r="C502" s="127"/>
      <c r="D502" s="138"/>
      <c r="E502" s="138"/>
      <c r="F502" s="137"/>
      <c r="G502" s="58" t="str" cm="1">
        <f>IF(ISBLANK($A502),"",INDEX(Array_MobileCharges,MATCH($A502,List_MobileFuelMeters,0),ROUNDUP((COLUMN()+1)/3-2,0)))</f>
        <v/>
      </c>
      <c r="H502" s="127"/>
      <c r="I502" s="137"/>
      <c r="J502" s="58" t="str" cm="1">
        <f>IF(ISBLANK($A502),"",INDEX(Array_MobileCharges,MATCH($A502,List_MobileFuelMeters,0),ROUNDUP((COLUMN()+1)/3-2,0)))</f>
        <v/>
      </c>
      <c r="K502" s="127"/>
      <c r="L502" s="137"/>
      <c r="M502" s="58" t="str" cm="1">
        <f>IF(ISBLANK($A502),"",INDEX(Array_MobileCharges,MATCH($A502,List_MobileFuelMeters,0),ROUNDUP((COLUMN()+1)/3-2,0)))</f>
        <v/>
      </c>
      <c r="N502" s="127"/>
      <c r="O502" s="137"/>
      <c r="P502" s="58" t="str" cm="1">
        <f>IF(ISBLANK($A502),"",INDEX(Array_MobileCharges,MATCH($A502,List_MobileFuelMeters,0),ROUNDUP((COLUMN()+1)/3-2,0)))</f>
        <v/>
      </c>
      <c r="Q502" s="127"/>
      <c r="R502" s="137"/>
      <c r="S502" s="58" t="str" cm="1">
        <f>IF(ISBLANK($A502),"",INDEX(Array_MobileCharges,MATCH($A502,List_MobileFuelMeters,0),ROUNDUP((COLUMN()+1)/3-2,0)))</f>
        <v/>
      </c>
      <c r="T502" s="127"/>
      <c r="U502" s="137"/>
    </row>
    <row r="502" spans="1:21" x14ac:dyDescent="0.3">
      <c r="A502" s="126"/>
      <c r="B502" s="133"/>
      <c r="C502" s="127"/>
      <c r="D502" s="138"/>
      <c r="E502" s="138"/>
      <c r="F502" s="137"/>
      <c r="G502" s="58" t="str" cm="1">
        <f>IF(ISBLANK($A502),"",INDEX(Array_MobileCharges,MATCH($A502,List_MobileFuelMeters,0),ROUNDUP((COLUMN()+1)/3-2,0)))</f>
        <v/>
      </c>
      <c r="H502" s="127"/>
      <c r="I502" s="137"/>
      <c r="J502" s="58" t="str" cm="1">
        <f>IF(ISBLANK($A502),"",INDEX(Array_MobileCharges,MATCH($A502,List_MobileFuelMeters,0),ROUNDUP((COLUMN()+1)/3-2,0)))</f>
        <v/>
      </c>
      <c r="K502" s="127"/>
      <c r="L502" s="137"/>
      <c r="M502" s="58" t="str" cm="1">
        <f>IF(ISBLANK($A502),"",INDEX(Array_MobileCharges,MATCH($A502,List_MobileFuelMeters,0),ROUNDUP((COLUMN()+1)/3-2,0)))</f>
        <v/>
      </c>
      <c r="N502" s="127"/>
      <c r="O502" s="137"/>
      <c r="P502" s="58" t="str" cm="1">
        <f>IF(ISBLANK($A502),"",INDEX(Array_MobileCharges,MATCH($A502,List_MobileFuelMeters,0),ROUNDUP((COLUMN()+1)/3-2,0)))</f>
        <v/>
      </c>
      <c r="Q502" s="127"/>
      <c r="R502" s="137"/>
      <c r="S502" s="58" t="str" cm="1">
        <f>IF(ISBLANK($A502),"",INDEX(Array_MobileCharges,MATCH($A502,List_MobileFuelMeters,0),ROUNDUP((COLUMN()+1)/3-2,0)))</f>
        <v/>
      </c>
      <c r="T502" s="127"/>
      <c r="U502" s="137"/>
    </row>
    <row r="502" spans="1:21" x14ac:dyDescent="0.3">
      <c r="A502" s="126"/>
      <c r="B502" s="133"/>
      <c r="C502" s="127"/>
      <c r="D502" s="138"/>
      <c r="E502" s="138"/>
      <c r="F502" s="137"/>
      <c r="G502" s="58" t="str" cm="1">
        <f>IF(ISBLANK($A502),"",INDEX(Array_MobileCharges,MATCH($A502,List_MobileFuelMeters,0),ROUNDUP((COLUMN()+1)/3-2,0)))</f>
        <v/>
      </c>
      <c r="H502" s="127"/>
      <c r="I502" s="137"/>
      <c r="J502" s="58" t="str" cm="1">
        <f>IF(ISBLANK($A502),"",INDEX(Array_MobileCharges,MATCH($A502,List_MobileFuelMeters,0),ROUNDUP((COLUMN()+1)/3-2,0)))</f>
        <v/>
      </c>
      <c r="K502" s="127"/>
      <c r="L502" s="137"/>
      <c r="M502" s="58" t="str" cm="1">
        <f>IF(ISBLANK($A502),"",INDEX(Array_MobileCharges,MATCH($A502,List_MobileFuelMeters,0),ROUNDUP((COLUMN()+1)/3-2,0)))</f>
        <v/>
      </c>
      <c r="N502" s="127"/>
      <c r="O502" s="137"/>
      <c r="P502" s="58" t="str" cm="1">
        <f>IF(ISBLANK($A502),"",INDEX(Array_MobileCharges,MATCH($A502,List_MobileFuelMeters,0),ROUNDUP((COLUMN()+1)/3-2,0)))</f>
        <v/>
      </c>
      <c r="Q502" s="127"/>
      <c r="R502" s="137"/>
      <c r="S502" s="58" t="str" cm="1">
        <f>IF(ISBLANK($A502),"",INDEX(Array_MobileCharges,MATCH($A502,List_MobileFuelMeters,0),ROUNDUP((COLUMN()+1)/3-2,0)))</f>
        <v/>
      </c>
      <c r="T502" s="127"/>
      <c r="U502" s="137"/>
    </row>
  </sheetData>
  <sheetProtection algorithmName="SHA-512" hashValue="GqT4gL2SdYl4hk7acEuoLTdfX7VcZL0LE6Yex60cNwpimv2V3AZe+UkvrHqM57Zq63h93BRqFJm8/K/P95oT+w==" saltValue="l5jJpsgyZ+aFnxen/F+7kg==" spinCount="100000" sheet="1" objects="1" scenarios="1"/>
  <conditionalFormatting sqref="A3:C502">
    <cfRule type="expression" dxfId="92" priority="18">
      <formula>AND(COUNTA($A3:$C3)&gt;0,A3="")</formula>
    </cfRule>
  </conditionalFormatting>
  <conditionalFormatting sqref="A3:F502">
    <cfRule type="expression" dxfId="91" priority="19">
      <formula>AND(COUNTA($A3:$F3)=0,ROW()&lt;&gt;3)</formula>
    </cfRule>
  </conditionalFormatting>
  <conditionalFormatting sqref="G3:I502">
    <cfRule type="expression" dxfId="90" priority="17">
      <formula>$G3=""</formula>
    </cfRule>
  </conditionalFormatting>
  <conditionalFormatting sqref="J3:L502">
    <cfRule type="expression" dxfId="89" priority="16">
      <formula>$J3=""</formula>
    </cfRule>
  </conditionalFormatting>
  <conditionalFormatting sqref="M3:O502">
    <cfRule type="expression" dxfId="88" priority="15">
      <formula>$M3=""</formula>
    </cfRule>
  </conditionalFormatting>
  <conditionalFormatting sqref="P3:R502">
    <cfRule type="expression" dxfId="87" priority="14">
      <formula>$P3=""</formula>
    </cfRule>
  </conditionalFormatting>
  <conditionalFormatting sqref="S3:U502">
    <cfRule type="expression" dxfId="86" priority="13">
      <formula>$S3=""</formula>
    </cfRule>
  </conditionalFormatting>
  <dataValidations count="1">
    <dataValidation type="list" allowBlank="1" showInputMessage="1" showErrorMessage="1" sqref="A3:A502" xr:uid="{C15AEFD6-EEF7-44C5-9049-4DFFADDC01E6}">
      <formula1>List_MobileFuelMeters</formula1>
    </dataValidation>
  </dataValidation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E37AF-38EC-4900-A844-6A60741ABC6B}">
  <sheetPr codeName="Sheet12">
    <tabColor rgb="FFD62728"/>
  </sheetPr>
  <dimension ref="A1:I215"/>
  <sheetViews>
    <sheetView workbookViewId="0">
      <selection activeCell="A2" sqref="A2:A12"/>
    </sheetView>
  </sheetViews>
  <sheetFormatPr defaultColWidth="16.7265625" defaultRowHeight="14.5" x14ac:dyDescent="0.35"/>
  <cols>
    <col min="1" max="1" width="53.26953125" bestFit="1" customWidth="1"/>
  </cols>
  <sheetData>
    <row r="1" spans="1:9" ht="15" thickBot="1" x14ac:dyDescent="0.4">
      <c r="A1" s="11" t="s">
        <v>620</v>
      </c>
      <c r="B1" s="11" t="s">
        <v>625</v>
      </c>
      <c r="C1" s="11" t="s">
        <v>626</v>
      </c>
      <c r="D1" s="11" t="s">
        <v>627</v>
      </c>
      <c r="E1" s="11" t="s">
        <v>628</v>
      </c>
      <c r="F1" s="11" t="s">
        <v>534</v>
      </c>
      <c r="G1" s="14" t="s">
        <v>629</v>
      </c>
      <c r="H1" s="14" t="s">
        <v>603</v>
      </c>
      <c r="I1" s="14" t="s">
        <v>502</v>
      </c>
    </row>
    <row r="2" spans="1:9" x14ac:dyDescent="0.35">
      <c r="A2" s="4" t="s">
        <v>609</v>
      </c>
      <c r="B2" s="4" t="s">
        <v>568</v>
      </c>
      <c r="C2" s="4" t="s">
        <v>621</v>
      </c>
      <c r="D2" s="4" t="s">
        <v>622</v>
      </c>
      <c r="E2" s="4" t="s">
        <v>551</v>
      </c>
      <c r="F2" s="4" t="s">
        <v>528</v>
      </c>
      <c r="G2" s="4" t="s">
        <v>630</v>
      </c>
      <c r="H2" s="4" t="s">
        <v>14</v>
      </c>
      <c r="I2" s="4" t="s">
        <v>535</v>
      </c>
    </row>
    <row r="3" spans="1:9" ht="15" thickBot="1" x14ac:dyDescent="0.4">
      <c r="A3" t="s">
        <v>610</v>
      </c>
      <c r="B3" t="s">
        <v>556</v>
      </c>
      <c r="C3" t="s">
        <v>623</v>
      </c>
      <c r="D3" t="s">
        <v>624</v>
      </c>
      <c r="E3" t="s">
        <v>556</v>
      </c>
      <c r="F3" t="s">
        <v>529</v>
      </c>
      <c r="G3" s="9" t="s">
        <v>631</v>
      </c>
      <c r="H3" t="s">
        <v>16</v>
      </c>
      <c r="I3" t="s">
        <v>27</v>
      </c>
    </row>
    <row r="4" spans="1:9" ht="15" thickBot="1" x14ac:dyDescent="0.4">
      <c r="A4" s="4" t="s">
        <v>611</v>
      </c>
      <c r="B4" s="4" t="s">
        <v>558</v>
      </c>
      <c r="C4" s="4" t="s">
        <v>556</v>
      </c>
      <c r="D4" s="4" t="s">
        <v>556</v>
      </c>
      <c r="E4" s="8" t="s">
        <v>568</v>
      </c>
      <c r="F4" s="4" t="s">
        <v>530</v>
      </c>
      <c r="H4" s="4" t="s">
        <v>487</v>
      </c>
      <c r="I4" s="4" t="s">
        <v>28</v>
      </c>
    </row>
    <row r="5" spans="1:9" ht="15" thickBot="1" x14ac:dyDescent="0.4">
      <c r="A5" t="s">
        <v>612</v>
      </c>
      <c r="B5" t="s">
        <v>572</v>
      </c>
      <c r="C5" s="9" t="s">
        <v>572</v>
      </c>
      <c r="D5" t="s">
        <v>577</v>
      </c>
      <c r="F5" t="s">
        <v>531</v>
      </c>
      <c r="H5" t="s">
        <v>488</v>
      </c>
      <c r="I5" t="s">
        <v>29</v>
      </c>
    </row>
    <row r="6" spans="1:9" ht="15" thickBot="1" x14ac:dyDescent="0.4">
      <c r="A6" s="4" t="s">
        <v>613</v>
      </c>
      <c r="B6" s="8" t="s">
        <v>553</v>
      </c>
      <c r="D6" s="8" t="s">
        <v>568</v>
      </c>
      <c r="F6" s="4" t="s">
        <v>532</v>
      </c>
      <c r="H6" s="4" t="s">
        <v>489</v>
      </c>
      <c r="I6" s="8" t="s">
        <v>13</v>
      </c>
    </row>
    <row r="7" spans="1:9" ht="15" thickBot="1" x14ac:dyDescent="0.4">
      <c r="A7" t="s">
        <v>614</v>
      </c>
      <c r="F7" s="9" t="s">
        <v>533</v>
      </c>
      <c r="H7" t="s">
        <v>490</v>
      </c>
    </row>
    <row r="8" spans="1:9" x14ac:dyDescent="0.35">
      <c r="A8" s="4" t="s">
        <v>615</v>
      </c>
      <c r="H8" s="4" t="s">
        <v>491</v>
      </c>
    </row>
    <row r="9" spans="1:9" x14ac:dyDescent="0.35">
      <c r="A9" t="s">
        <v>616</v>
      </c>
      <c r="H9" t="s">
        <v>492</v>
      </c>
    </row>
    <row r="10" spans="1:9" ht="15" thickBot="1" x14ac:dyDescent="0.4">
      <c r="A10" s="4" t="s">
        <v>617</v>
      </c>
      <c r="H10" s="8" t="s">
        <v>493</v>
      </c>
    </row>
    <row r="11" spans="1:9" x14ac:dyDescent="0.35">
      <c r="A11" t="s">
        <v>618</v>
      </c>
    </row>
    <row r="12" spans="1:9" ht="15" thickBot="1" x14ac:dyDescent="0.4">
      <c r="A12" s="8" t="s">
        <v>619</v>
      </c>
    </row>
    <row r="14" spans="1:9" x14ac:dyDescent="0.35">
      <c r="A14" t="s">
        <v>775</v>
      </c>
      <c r="B14">
        <f>COUNTIF(B16:B115,"?*")</f>
        <v>0</v>
      </c>
      <c r="C14">
        <f>COUNTIF(C16:C115,"?*")</f>
        <v>0</v>
      </c>
      <c r="D14">
        <f>COUNTIF(D16:D115,"?*")</f>
        <v>0</v>
      </c>
      <c r="E14">
        <f>COUNTIF(E16:E115,"?*")</f>
        <v>0</v>
      </c>
      <c r="F14">
        <f>COUNTIF(F16:F115,"?*")</f>
        <v>0</v>
      </c>
    </row>
    <row r="15" spans="1:9" ht="15" thickBot="1" x14ac:dyDescent="0.4">
      <c r="A15" s="12" t="s">
        <v>23</v>
      </c>
      <c r="B15" s="12" t="s">
        <v>760</v>
      </c>
      <c r="C15" s="12" t="s">
        <v>761</v>
      </c>
      <c r="D15" s="12" t="s">
        <v>762</v>
      </c>
      <c r="E15" s="12" t="s">
        <v>763</v>
      </c>
      <c r="F15" s="12" t="s">
        <v>764</v>
      </c>
    </row>
    <row r="16" spans="1:9" x14ac:dyDescent="0.35">
      <c r="A16" t="str">
        <f>IF('Mobile Fuel Meters'!B3="",A15,'Mobile Fuel Meters'!B3)</f>
        <v>Meter Numbers</v>
      </c>
      <c r="B16" t="str" cm="1">
        <f>IF(ISBLANK(INDEX(Array_MobileChargeData,ROW()-15,COLUMN()*2-3)),"",INDEX(Array_MobileChargeData,ROW()-15,COLUMN()*2-3))</f>
        <v/>
      </c>
      <c r="C16" t="str" cm="1">
        <f>IF(ISBLANK(INDEX(Array_MobileChargeData,ROW()-15,COLUMN()*2-3)),"",INDEX(Array_MobileChargeData,ROW()-15,COLUMN()*2-3))</f>
        <v/>
      </c>
      <c r="D16" t="str" cm="1">
        <f>IF(ISBLANK(INDEX(Array_MobileChargeData,ROW()-15,COLUMN()*2-3)),"",INDEX(Array_MobileChargeData,ROW()-15,COLUMN()*2-3))</f>
        <v/>
      </c>
      <c r="E16" t="str" cm="1">
        <f>IF(ISBLANK(INDEX(Array_MobileChargeData,ROW()-15,COLUMN()*2-3)),"",INDEX(Array_MobileChargeData,ROW()-15,COLUMN()*2-3))</f>
        <v/>
      </c>
      <c r="F16" t="str" cm="1">
        <f>IF(ISBLANK(INDEX(Array_MobileChargeData,ROW()-15,COLUMN()*2-3)),"",INDEX(Array_MobileChargeData,ROW()-15,COLUMN()*2-3))</f>
        <v/>
      </c>
    </row>
    <row r="17" spans="1:6" x14ac:dyDescent="0.35">
      <c r="A17" t="str">
        <f>IF('Mobile Fuel Meters'!B4="",A16,'Mobile Fuel Meters'!B4)</f>
        <v>Meter Numbers</v>
      </c>
      <c r="B17" t="str" cm="1">
        <f>IF(ISBLANK(INDEX(Array_MobileChargeData,ROW()-15,COLUMN()*2-3)),"",INDEX(Array_MobileChargeData,ROW()-15,COLUMN()*2-3))</f>
        <v/>
      </c>
      <c r="C17" t="str" cm="1">
        <f>IF(ISBLANK(INDEX(Array_MobileChargeData,ROW()-15,COLUMN()*2-3)),"",INDEX(Array_MobileChargeData,ROW()-15,COLUMN()*2-3))</f>
        <v/>
      </c>
      <c r="D17" t="str" cm="1">
        <f>IF(ISBLANK(INDEX(Array_MobileChargeData,ROW()-15,COLUMN()*2-3)),"",INDEX(Array_MobileChargeData,ROW()-15,COLUMN()*2-3))</f>
        <v/>
      </c>
      <c r="E17" t="str" cm="1">
        <f>IF(ISBLANK(INDEX(Array_MobileChargeData,ROW()-15,COLUMN()*2-3)),"",INDEX(Array_MobileChargeData,ROW()-15,COLUMN()*2-3))</f>
        <v/>
      </c>
      <c r="F17" t="str" cm="1">
        <f>IF(ISBLANK(INDEX(Array_MobileChargeData,ROW()-15,COLUMN()*2-3)),"",INDEX(Array_MobileChargeData,ROW()-15,COLUMN()*2-3))</f>
        <v/>
      </c>
    </row>
    <row r="18" spans="1:6" x14ac:dyDescent="0.35">
      <c r="A18" t="str">
        <f>IF('Mobile Fuel Meters'!B5="",A17,'Mobile Fuel Meters'!B5)</f>
        <v>Meter Numbers</v>
      </c>
      <c r="B18" t="str" cm="1">
        <f>IF(ISBLANK(INDEX(Array_MobileChargeData,ROW()-15,COLUMN()*2-3)),"",INDEX(Array_MobileChargeData,ROW()-15,COLUMN()*2-3))</f>
        <v/>
      </c>
      <c r="C18" t="str" cm="1">
        <f>IF(ISBLANK(INDEX(Array_MobileChargeData,ROW()-15,COLUMN()*2-3)),"",INDEX(Array_MobileChargeData,ROW()-15,COLUMN()*2-3))</f>
        <v/>
      </c>
      <c r="D18" t="str" cm="1">
        <f>IF(ISBLANK(INDEX(Array_MobileChargeData,ROW()-15,COLUMN()*2-3)),"",INDEX(Array_MobileChargeData,ROW()-15,COLUMN()*2-3))</f>
        <v/>
      </c>
      <c r="E18" t="str" cm="1">
        <f>IF(ISBLANK(INDEX(Array_MobileChargeData,ROW()-15,COLUMN()*2-3)),"",INDEX(Array_MobileChargeData,ROW()-15,COLUMN()*2-3))</f>
        <v/>
      </c>
      <c r="F18" t="str" cm="1">
        <f>IF(ISBLANK(INDEX(Array_MobileChargeData,ROW()-15,COLUMN()*2-3)),"",INDEX(Array_MobileChargeData,ROW()-15,COLUMN()*2-3))</f>
        <v/>
      </c>
    </row>
    <row r="19" spans="1:6" x14ac:dyDescent="0.35">
      <c r="A19" t="str">
        <f>IF('Mobile Fuel Meters'!B6="",A18,'Mobile Fuel Meters'!B6)</f>
        <v>Meter Numbers</v>
      </c>
      <c r="B19" t="str" cm="1">
        <f>IF(ISBLANK(INDEX(Array_MobileChargeData,ROW()-15,COLUMN()*2-3)),"",INDEX(Array_MobileChargeData,ROW()-15,COLUMN()*2-3))</f>
        <v/>
      </c>
      <c r="C19" t="str" cm="1">
        <f>IF(ISBLANK(INDEX(Array_MobileChargeData,ROW()-15,COLUMN()*2-3)),"",INDEX(Array_MobileChargeData,ROW()-15,COLUMN()*2-3))</f>
        <v/>
      </c>
      <c r="D19" t="str" cm="1">
        <f>IF(ISBLANK(INDEX(Array_MobileChargeData,ROW()-15,COLUMN()*2-3)),"",INDEX(Array_MobileChargeData,ROW()-15,COLUMN()*2-3))</f>
        <v/>
      </c>
      <c r="E19" t="str" cm="1">
        <f>IF(ISBLANK(INDEX(Array_MobileChargeData,ROW()-15,COLUMN()*2-3)),"",INDEX(Array_MobileChargeData,ROW()-15,COLUMN()*2-3))</f>
        <v/>
      </c>
      <c r="F19" t="str" cm="1">
        <f>IF(ISBLANK(INDEX(Array_MobileChargeData,ROW()-15,COLUMN()*2-3)),"",INDEX(Array_MobileChargeData,ROW()-15,COLUMN()*2-3))</f>
        <v/>
      </c>
    </row>
    <row r="20" spans="1:6" x14ac:dyDescent="0.35">
      <c r="A20" t="str">
        <f>IF('Mobile Fuel Meters'!B7="",A19,'Mobile Fuel Meters'!B7)</f>
        <v>Meter Numbers</v>
      </c>
      <c r="B20" t="str" cm="1">
        <f>IF(ISBLANK(INDEX(Array_MobileChargeData,ROW()-15,COLUMN()*2-3)),"",INDEX(Array_MobileChargeData,ROW()-15,COLUMN()*2-3))</f>
        <v/>
      </c>
      <c r="C20" t="str" cm="1">
        <f>IF(ISBLANK(INDEX(Array_MobileChargeData,ROW()-15,COLUMN()*2-3)),"",INDEX(Array_MobileChargeData,ROW()-15,COLUMN()*2-3))</f>
        <v/>
      </c>
      <c r="D20" t="str" cm="1">
        <f>IF(ISBLANK(INDEX(Array_MobileChargeData,ROW()-15,COLUMN()*2-3)),"",INDEX(Array_MobileChargeData,ROW()-15,COLUMN()*2-3))</f>
        <v/>
      </c>
      <c r="E20" t="str" cm="1">
        <f>IF(ISBLANK(INDEX(Array_MobileChargeData,ROW()-15,COLUMN()*2-3)),"",INDEX(Array_MobileChargeData,ROW()-15,COLUMN()*2-3))</f>
        <v/>
      </c>
      <c r="F20" t="str" cm="1">
        <f>IF(ISBLANK(INDEX(Array_MobileChargeData,ROW()-15,COLUMN()*2-3)),"",INDEX(Array_MobileChargeData,ROW()-15,COLUMN()*2-3))</f>
        <v/>
      </c>
    </row>
    <row r="21" spans="1:6" x14ac:dyDescent="0.35">
      <c r="A21" t="str">
        <f>IF('Mobile Fuel Meters'!B8="",A20,'Mobile Fuel Meters'!B8)</f>
        <v>Meter Numbers</v>
      </c>
      <c r="B21" t="str" cm="1">
        <f>IF(ISBLANK(INDEX(Array_MobileChargeData,ROW()-15,COLUMN()*2-3)),"",INDEX(Array_MobileChargeData,ROW()-15,COLUMN()*2-3))</f>
        <v/>
      </c>
      <c r="C21" t="str" cm="1">
        <f>IF(ISBLANK(INDEX(Array_MobileChargeData,ROW()-15,COLUMN()*2-3)),"",INDEX(Array_MobileChargeData,ROW()-15,COLUMN()*2-3))</f>
        <v/>
      </c>
      <c r="D21" t="str" cm="1">
        <f>IF(ISBLANK(INDEX(Array_MobileChargeData,ROW()-15,COLUMN()*2-3)),"",INDEX(Array_MobileChargeData,ROW()-15,COLUMN()*2-3))</f>
        <v/>
      </c>
      <c r="E21" t="str" cm="1">
        <f>IF(ISBLANK(INDEX(Array_MobileChargeData,ROW()-15,COLUMN()*2-3)),"",INDEX(Array_MobileChargeData,ROW()-15,COLUMN()*2-3))</f>
        <v/>
      </c>
      <c r="F21" t="str" cm="1">
        <f>IF(ISBLANK(INDEX(Array_MobileChargeData,ROW()-15,COLUMN()*2-3)),"",INDEX(Array_MobileChargeData,ROW()-15,COLUMN()*2-3))</f>
        <v/>
      </c>
    </row>
    <row r="22" spans="1:6" x14ac:dyDescent="0.35">
      <c r="A22" t="str">
        <f>IF('Mobile Fuel Meters'!B9="",A21,'Mobile Fuel Meters'!B9)</f>
        <v>Meter Numbers</v>
      </c>
      <c r="B22" t="str" cm="1">
        <f>IF(ISBLANK(INDEX(Array_MobileChargeData,ROW()-15,COLUMN()*2-3)),"",INDEX(Array_MobileChargeData,ROW()-15,COLUMN()*2-3))</f>
        <v/>
      </c>
      <c r="C22" t="str" cm="1">
        <f>IF(ISBLANK(INDEX(Array_MobileChargeData,ROW()-15,COLUMN()*2-3)),"",INDEX(Array_MobileChargeData,ROW()-15,COLUMN()*2-3))</f>
        <v/>
      </c>
      <c r="D22" t="str" cm="1">
        <f>IF(ISBLANK(INDEX(Array_MobileChargeData,ROW()-15,COLUMN()*2-3)),"",INDEX(Array_MobileChargeData,ROW()-15,COLUMN()*2-3))</f>
        <v/>
      </c>
      <c r="E22" t="str" cm="1">
        <f>IF(ISBLANK(INDEX(Array_MobileChargeData,ROW()-15,COLUMN()*2-3)),"",INDEX(Array_MobileChargeData,ROW()-15,COLUMN()*2-3))</f>
        <v/>
      </c>
      <c r="F22" t="str" cm="1">
        <f>IF(ISBLANK(INDEX(Array_MobileChargeData,ROW()-15,COLUMN()*2-3)),"",INDEX(Array_MobileChargeData,ROW()-15,COLUMN()*2-3))</f>
        <v/>
      </c>
    </row>
    <row r="23" spans="1:6" x14ac:dyDescent="0.35">
      <c r="A23" t="str">
        <f>IF('Mobile Fuel Meters'!B10="",A22,'Mobile Fuel Meters'!B10)</f>
        <v>Meter Numbers</v>
      </c>
      <c r="B23" t="str" cm="1">
        <f>IF(ISBLANK(INDEX(Array_MobileChargeData,ROW()-15,COLUMN()*2-3)),"",INDEX(Array_MobileChargeData,ROW()-15,COLUMN()*2-3))</f>
        <v/>
      </c>
      <c r="C23" t="str" cm="1">
        <f>IF(ISBLANK(INDEX(Array_MobileChargeData,ROW()-15,COLUMN()*2-3)),"",INDEX(Array_MobileChargeData,ROW()-15,COLUMN()*2-3))</f>
        <v/>
      </c>
      <c r="D23" t="str" cm="1">
        <f>IF(ISBLANK(INDEX(Array_MobileChargeData,ROW()-15,COLUMN()*2-3)),"",INDEX(Array_MobileChargeData,ROW()-15,COLUMN()*2-3))</f>
        <v/>
      </c>
      <c r="E23" t="str" cm="1">
        <f>IF(ISBLANK(INDEX(Array_MobileChargeData,ROW()-15,COLUMN()*2-3)),"",INDEX(Array_MobileChargeData,ROW()-15,COLUMN()*2-3))</f>
        <v/>
      </c>
      <c r="F23" t="str" cm="1">
        <f>IF(ISBLANK(INDEX(Array_MobileChargeData,ROW()-15,COLUMN()*2-3)),"",INDEX(Array_MobileChargeData,ROW()-15,COLUMN()*2-3))</f>
        <v/>
      </c>
    </row>
    <row r="24" spans="1:6" x14ac:dyDescent="0.35">
      <c r="A24" t="str">
        <f>IF('Mobile Fuel Meters'!B11="",A23,'Mobile Fuel Meters'!B11)</f>
        <v>Meter Numbers</v>
      </c>
      <c r="B24" t="str" cm="1">
        <f>IF(ISBLANK(INDEX(Array_MobileChargeData,ROW()-15,COLUMN()*2-3)),"",INDEX(Array_MobileChargeData,ROW()-15,COLUMN()*2-3))</f>
        <v/>
      </c>
      <c r="C24" t="str" cm="1">
        <f>IF(ISBLANK(INDEX(Array_MobileChargeData,ROW()-15,COLUMN()*2-3)),"",INDEX(Array_MobileChargeData,ROW()-15,COLUMN()*2-3))</f>
        <v/>
      </c>
      <c r="D24" t="str" cm="1">
        <f>IF(ISBLANK(INDEX(Array_MobileChargeData,ROW()-15,COLUMN()*2-3)),"",INDEX(Array_MobileChargeData,ROW()-15,COLUMN()*2-3))</f>
        <v/>
      </c>
      <c r="E24" t="str" cm="1">
        <f>IF(ISBLANK(INDEX(Array_MobileChargeData,ROW()-15,COLUMN()*2-3)),"",INDEX(Array_MobileChargeData,ROW()-15,COLUMN()*2-3))</f>
        <v/>
      </c>
      <c r="F24" t="str" cm="1">
        <f>IF(ISBLANK(INDEX(Array_MobileChargeData,ROW()-15,COLUMN()*2-3)),"",INDEX(Array_MobileChargeData,ROW()-15,COLUMN()*2-3))</f>
        <v/>
      </c>
    </row>
    <row r="25" spans="1:6" x14ac:dyDescent="0.35">
      <c r="A25" t="str">
        <f>IF('Mobile Fuel Meters'!B12="",A24,'Mobile Fuel Meters'!B12)</f>
        <v>Meter Numbers</v>
      </c>
      <c r="B25" t="str" cm="1">
        <f>IF(ISBLANK(INDEX(Array_MobileChargeData,ROW()-15,COLUMN()*2-3)),"",INDEX(Array_MobileChargeData,ROW()-15,COLUMN()*2-3))</f>
        <v/>
      </c>
      <c r="C25" t="str" cm="1">
        <f>IF(ISBLANK(INDEX(Array_MobileChargeData,ROW()-15,COLUMN()*2-3)),"",INDEX(Array_MobileChargeData,ROW()-15,COLUMN()*2-3))</f>
        <v/>
      </c>
      <c r="D25" t="str" cm="1">
        <f>IF(ISBLANK(INDEX(Array_MobileChargeData,ROW()-15,COLUMN()*2-3)),"",INDEX(Array_MobileChargeData,ROW()-15,COLUMN()*2-3))</f>
        <v/>
      </c>
      <c r="E25" t="str" cm="1">
        <f>IF(ISBLANK(INDEX(Array_MobileChargeData,ROW()-15,COLUMN()*2-3)),"",INDEX(Array_MobileChargeData,ROW()-15,COLUMN()*2-3))</f>
        <v/>
      </c>
      <c r="F25" t="str" cm="1">
        <f>IF(ISBLANK(INDEX(Array_MobileChargeData,ROW()-15,COLUMN()*2-3)),"",INDEX(Array_MobileChargeData,ROW()-15,COLUMN()*2-3))</f>
        <v/>
      </c>
    </row>
    <row r="26" spans="1:6" x14ac:dyDescent="0.35">
      <c r="A26" t="str">
        <f>IF('Mobile Fuel Meters'!B13="",A25,'Mobile Fuel Meters'!B13)</f>
        <v>Meter Numbers</v>
      </c>
      <c r="B26" t="str" cm="1">
        <f>IF(ISBLANK(INDEX(Array_MobileChargeData,ROW()-15,COLUMN()*2-3)),"",INDEX(Array_MobileChargeData,ROW()-15,COLUMN()*2-3))</f>
        <v/>
      </c>
      <c r="C26" t="str" cm="1">
        <f>IF(ISBLANK(INDEX(Array_MobileChargeData,ROW()-15,COLUMN()*2-3)),"",INDEX(Array_MobileChargeData,ROW()-15,COLUMN()*2-3))</f>
        <v/>
      </c>
      <c r="D26" t="str" cm="1">
        <f>IF(ISBLANK(INDEX(Array_MobileChargeData,ROW()-15,COLUMN()*2-3)),"",INDEX(Array_MobileChargeData,ROW()-15,COLUMN()*2-3))</f>
        <v/>
      </c>
      <c r="E26" t="str" cm="1">
        <f>IF(ISBLANK(INDEX(Array_MobileChargeData,ROW()-15,COLUMN()*2-3)),"",INDEX(Array_MobileChargeData,ROW()-15,COLUMN()*2-3))</f>
        <v/>
      </c>
      <c r="F26" t="str" cm="1">
        <f>IF(ISBLANK(INDEX(Array_MobileChargeData,ROW()-15,COLUMN()*2-3)),"",INDEX(Array_MobileChargeData,ROW()-15,COLUMN()*2-3))</f>
        <v/>
      </c>
    </row>
    <row r="27" spans="1:6" x14ac:dyDescent="0.35">
      <c r="A27" t="str">
        <f>IF('Mobile Fuel Meters'!B14="",A26,'Mobile Fuel Meters'!B14)</f>
        <v>Meter Numbers</v>
      </c>
      <c r="B27" t="str" cm="1">
        <f>IF(ISBLANK(INDEX(Array_MobileChargeData,ROW()-15,COLUMN()*2-3)),"",INDEX(Array_MobileChargeData,ROW()-15,COLUMN()*2-3))</f>
        <v/>
      </c>
      <c r="C27" t="str" cm="1">
        <f>IF(ISBLANK(INDEX(Array_MobileChargeData,ROW()-15,COLUMN()*2-3)),"",INDEX(Array_MobileChargeData,ROW()-15,COLUMN()*2-3))</f>
        <v/>
      </c>
      <c r="D27" t="str" cm="1">
        <f>IF(ISBLANK(INDEX(Array_MobileChargeData,ROW()-15,COLUMN()*2-3)),"",INDEX(Array_MobileChargeData,ROW()-15,COLUMN()*2-3))</f>
        <v/>
      </c>
      <c r="E27" t="str" cm="1">
        <f>IF(ISBLANK(INDEX(Array_MobileChargeData,ROW()-15,COLUMN()*2-3)),"",INDEX(Array_MobileChargeData,ROW()-15,COLUMN()*2-3))</f>
        <v/>
      </c>
      <c r="F27" t="str" cm="1">
        <f>IF(ISBLANK(INDEX(Array_MobileChargeData,ROW()-15,COLUMN()*2-3)),"",INDEX(Array_MobileChargeData,ROW()-15,COLUMN()*2-3))</f>
        <v/>
      </c>
    </row>
    <row r="28" spans="1:6" x14ac:dyDescent="0.35">
      <c r="A28" t="str">
        <f>IF('Mobile Fuel Meters'!B15="",A27,'Mobile Fuel Meters'!B15)</f>
        <v>Meter Numbers</v>
      </c>
      <c r="B28" t="str" cm="1">
        <f>IF(ISBLANK(INDEX(Array_MobileChargeData,ROW()-15,COLUMN()*2-3)),"",INDEX(Array_MobileChargeData,ROW()-15,COLUMN()*2-3))</f>
        <v/>
      </c>
      <c r="C28" t="str" cm="1">
        <f>IF(ISBLANK(INDEX(Array_MobileChargeData,ROW()-15,COLUMN()*2-3)),"",INDEX(Array_MobileChargeData,ROW()-15,COLUMN()*2-3))</f>
        <v/>
      </c>
      <c r="D28" t="str" cm="1">
        <f>IF(ISBLANK(INDEX(Array_MobileChargeData,ROW()-15,COLUMN()*2-3)),"",INDEX(Array_MobileChargeData,ROW()-15,COLUMN()*2-3))</f>
        <v/>
      </c>
      <c r="E28" t="str" cm="1">
        <f>IF(ISBLANK(INDEX(Array_MobileChargeData,ROW()-15,COLUMN()*2-3)),"",INDEX(Array_MobileChargeData,ROW()-15,COLUMN()*2-3))</f>
        <v/>
      </c>
      <c r="F28" t="str" cm="1">
        <f>IF(ISBLANK(INDEX(Array_MobileChargeData,ROW()-15,COLUMN()*2-3)),"",INDEX(Array_MobileChargeData,ROW()-15,COLUMN()*2-3))</f>
        <v/>
      </c>
    </row>
    <row r="29" spans="1:6" x14ac:dyDescent="0.35">
      <c r="A29" t="str">
        <f>IF('Mobile Fuel Meters'!B16="",A28,'Mobile Fuel Meters'!B16)</f>
        <v>Meter Numbers</v>
      </c>
      <c r="B29" t="str" cm="1">
        <f>IF(ISBLANK(INDEX(Array_MobileChargeData,ROW()-15,COLUMN()*2-3)),"",INDEX(Array_MobileChargeData,ROW()-15,COLUMN()*2-3))</f>
        <v/>
      </c>
      <c r="C29" t="str" cm="1">
        <f>IF(ISBLANK(INDEX(Array_MobileChargeData,ROW()-15,COLUMN()*2-3)),"",INDEX(Array_MobileChargeData,ROW()-15,COLUMN()*2-3))</f>
        <v/>
      </c>
      <c r="D29" t="str" cm="1">
        <f>IF(ISBLANK(INDEX(Array_MobileChargeData,ROW()-15,COLUMN()*2-3)),"",INDEX(Array_MobileChargeData,ROW()-15,COLUMN()*2-3))</f>
        <v/>
      </c>
      <c r="E29" t="str" cm="1">
        <f>IF(ISBLANK(INDEX(Array_MobileChargeData,ROW()-15,COLUMN()*2-3)),"",INDEX(Array_MobileChargeData,ROW()-15,COLUMN()*2-3))</f>
        <v/>
      </c>
      <c r="F29" t="str" cm="1">
        <f>IF(ISBLANK(INDEX(Array_MobileChargeData,ROW()-15,COLUMN()*2-3)),"",INDEX(Array_MobileChargeData,ROW()-15,COLUMN()*2-3))</f>
        <v/>
      </c>
    </row>
    <row r="30" spans="1:6" x14ac:dyDescent="0.35">
      <c r="A30" t="str">
        <f>IF('Mobile Fuel Meters'!B17="",A29,'Mobile Fuel Meters'!B17)</f>
        <v>Meter Numbers</v>
      </c>
      <c r="B30" t="str" cm="1">
        <f>IF(ISBLANK(INDEX(Array_MobileChargeData,ROW()-15,COLUMN()*2-3)),"",INDEX(Array_MobileChargeData,ROW()-15,COLUMN()*2-3))</f>
        <v/>
      </c>
      <c r="C30" t="str" cm="1">
        <f>IF(ISBLANK(INDEX(Array_MobileChargeData,ROW()-15,COLUMN()*2-3)),"",INDEX(Array_MobileChargeData,ROW()-15,COLUMN()*2-3))</f>
        <v/>
      </c>
      <c r="D30" t="str" cm="1">
        <f>IF(ISBLANK(INDEX(Array_MobileChargeData,ROW()-15,COLUMN()*2-3)),"",INDEX(Array_MobileChargeData,ROW()-15,COLUMN()*2-3))</f>
        <v/>
      </c>
      <c r="E30" t="str" cm="1">
        <f>IF(ISBLANK(INDEX(Array_MobileChargeData,ROW()-15,COLUMN()*2-3)),"",INDEX(Array_MobileChargeData,ROW()-15,COLUMN()*2-3))</f>
        <v/>
      </c>
      <c r="F30" t="str" cm="1">
        <f>IF(ISBLANK(INDEX(Array_MobileChargeData,ROW()-15,COLUMN()*2-3)),"",INDEX(Array_MobileChargeData,ROW()-15,COLUMN()*2-3))</f>
        <v/>
      </c>
    </row>
    <row r="31" spans="1:6" x14ac:dyDescent="0.35">
      <c r="A31" t="str">
        <f>IF('Mobile Fuel Meters'!B18="",A30,'Mobile Fuel Meters'!B18)</f>
        <v>Meter Numbers</v>
      </c>
      <c r="B31" t="str" cm="1">
        <f>IF(ISBLANK(INDEX(Array_MobileChargeData,ROW()-15,COLUMN()*2-3)),"",INDEX(Array_MobileChargeData,ROW()-15,COLUMN()*2-3))</f>
        <v/>
      </c>
      <c r="C31" t="str" cm="1">
        <f>IF(ISBLANK(INDEX(Array_MobileChargeData,ROW()-15,COLUMN()*2-3)),"",INDEX(Array_MobileChargeData,ROW()-15,COLUMN()*2-3))</f>
        <v/>
      </c>
      <c r="D31" t="str" cm="1">
        <f>IF(ISBLANK(INDEX(Array_MobileChargeData,ROW()-15,COLUMN()*2-3)),"",INDEX(Array_MobileChargeData,ROW()-15,COLUMN()*2-3))</f>
        <v/>
      </c>
      <c r="E31" t="str" cm="1">
        <f>IF(ISBLANK(INDEX(Array_MobileChargeData,ROW()-15,COLUMN()*2-3)),"",INDEX(Array_MobileChargeData,ROW()-15,COLUMN()*2-3))</f>
        <v/>
      </c>
      <c r="F31" t="str" cm="1">
        <f>IF(ISBLANK(INDEX(Array_MobileChargeData,ROW()-15,COLUMN()*2-3)),"",INDEX(Array_MobileChargeData,ROW()-15,COLUMN()*2-3))</f>
        <v/>
      </c>
    </row>
    <row r="32" spans="1:6" x14ac:dyDescent="0.35">
      <c r="A32" t="str">
        <f>IF('Mobile Fuel Meters'!B19="",A31,'Mobile Fuel Meters'!B19)</f>
        <v>Meter Numbers</v>
      </c>
      <c r="B32" t="str" cm="1">
        <f>IF(ISBLANK(INDEX(Array_MobileChargeData,ROW()-15,COLUMN()*2-3)),"",INDEX(Array_MobileChargeData,ROW()-15,COLUMN()*2-3))</f>
        <v/>
      </c>
      <c r="C32" t="str" cm="1">
        <f>IF(ISBLANK(INDEX(Array_MobileChargeData,ROW()-15,COLUMN()*2-3)),"",INDEX(Array_MobileChargeData,ROW()-15,COLUMN()*2-3))</f>
        <v/>
      </c>
      <c r="D32" t="str" cm="1">
        <f>IF(ISBLANK(INDEX(Array_MobileChargeData,ROW()-15,COLUMN()*2-3)),"",INDEX(Array_MobileChargeData,ROW()-15,COLUMN()*2-3))</f>
        <v/>
      </c>
      <c r="E32" t="str" cm="1">
        <f>IF(ISBLANK(INDEX(Array_MobileChargeData,ROW()-15,COLUMN()*2-3)),"",INDEX(Array_MobileChargeData,ROW()-15,COLUMN()*2-3))</f>
        <v/>
      </c>
      <c r="F32" t="str" cm="1">
        <f>IF(ISBLANK(INDEX(Array_MobileChargeData,ROW()-15,COLUMN()*2-3)),"",INDEX(Array_MobileChargeData,ROW()-15,COLUMN()*2-3))</f>
        <v/>
      </c>
    </row>
    <row r="33" spans="1:6" x14ac:dyDescent="0.35">
      <c r="A33" t="str">
        <f>IF('Mobile Fuel Meters'!B20="",A32,'Mobile Fuel Meters'!B20)</f>
        <v>Meter Numbers</v>
      </c>
      <c r="B33" t="str" cm="1">
        <f>IF(ISBLANK(INDEX(Array_MobileChargeData,ROW()-15,COLUMN()*2-3)),"",INDEX(Array_MobileChargeData,ROW()-15,COLUMN()*2-3))</f>
        <v/>
      </c>
      <c r="C33" t="str" cm="1">
        <f>IF(ISBLANK(INDEX(Array_MobileChargeData,ROW()-15,COLUMN()*2-3)),"",INDEX(Array_MobileChargeData,ROW()-15,COLUMN()*2-3))</f>
        <v/>
      </c>
      <c r="D33" t="str" cm="1">
        <f>IF(ISBLANK(INDEX(Array_MobileChargeData,ROW()-15,COLUMN()*2-3)),"",INDEX(Array_MobileChargeData,ROW()-15,COLUMN()*2-3))</f>
        <v/>
      </c>
      <c r="E33" t="str" cm="1">
        <f>IF(ISBLANK(INDEX(Array_MobileChargeData,ROW()-15,COLUMN()*2-3)),"",INDEX(Array_MobileChargeData,ROW()-15,COLUMN()*2-3))</f>
        <v/>
      </c>
      <c r="F33" t="str" cm="1">
        <f>IF(ISBLANK(INDEX(Array_MobileChargeData,ROW()-15,COLUMN()*2-3)),"",INDEX(Array_MobileChargeData,ROW()-15,COLUMN()*2-3))</f>
        <v/>
      </c>
    </row>
    <row r="34" spans="1:6" x14ac:dyDescent="0.35">
      <c r="A34" t="str">
        <f>IF('Mobile Fuel Meters'!B21="",A33,'Mobile Fuel Meters'!B21)</f>
        <v>Meter Numbers</v>
      </c>
      <c r="B34" t="str" cm="1">
        <f>IF(ISBLANK(INDEX(Array_MobileChargeData,ROW()-15,COLUMN()*2-3)),"",INDEX(Array_MobileChargeData,ROW()-15,COLUMN()*2-3))</f>
        <v/>
      </c>
      <c r="C34" t="str" cm="1">
        <f>IF(ISBLANK(INDEX(Array_MobileChargeData,ROW()-15,COLUMN()*2-3)),"",INDEX(Array_MobileChargeData,ROW()-15,COLUMN()*2-3))</f>
        <v/>
      </c>
      <c r="D34" t="str" cm="1">
        <f>IF(ISBLANK(INDEX(Array_MobileChargeData,ROW()-15,COLUMN()*2-3)),"",INDEX(Array_MobileChargeData,ROW()-15,COLUMN()*2-3))</f>
        <v/>
      </c>
      <c r="E34" t="str" cm="1">
        <f>IF(ISBLANK(INDEX(Array_MobileChargeData,ROW()-15,COLUMN()*2-3)),"",INDEX(Array_MobileChargeData,ROW()-15,COLUMN()*2-3))</f>
        <v/>
      </c>
      <c r="F34" t="str" cm="1">
        <f>IF(ISBLANK(INDEX(Array_MobileChargeData,ROW()-15,COLUMN()*2-3)),"",INDEX(Array_MobileChargeData,ROW()-15,COLUMN()*2-3))</f>
        <v/>
      </c>
    </row>
    <row r="35" spans="1:6" x14ac:dyDescent="0.35">
      <c r="A35" t="str">
        <f>IF('Mobile Fuel Meters'!B22="",A34,'Mobile Fuel Meters'!B22)</f>
        <v>Meter Numbers</v>
      </c>
      <c r="B35" t="str" cm="1">
        <f>IF(ISBLANK(INDEX(Array_MobileChargeData,ROW()-15,COLUMN()*2-3)),"",INDEX(Array_MobileChargeData,ROW()-15,COLUMN()*2-3))</f>
        <v/>
      </c>
      <c r="C35" t="str" cm="1">
        <f>IF(ISBLANK(INDEX(Array_MobileChargeData,ROW()-15,COLUMN()*2-3)),"",INDEX(Array_MobileChargeData,ROW()-15,COLUMN()*2-3))</f>
        <v/>
      </c>
      <c r="D35" t="str" cm="1">
        <f>IF(ISBLANK(INDEX(Array_MobileChargeData,ROW()-15,COLUMN()*2-3)),"",INDEX(Array_MobileChargeData,ROW()-15,COLUMN()*2-3))</f>
        <v/>
      </c>
      <c r="E35" t="str" cm="1">
        <f>IF(ISBLANK(INDEX(Array_MobileChargeData,ROW()-15,COLUMN()*2-3)),"",INDEX(Array_MobileChargeData,ROW()-15,COLUMN()*2-3))</f>
        <v/>
      </c>
      <c r="F35" t="str" cm="1">
        <f>IF(ISBLANK(INDEX(Array_MobileChargeData,ROW()-15,COLUMN()*2-3)),"",INDEX(Array_MobileChargeData,ROW()-15,COLUMN()*2-3))</f>
        <v/>
      </c>
    </row>
    <row r="36" spans="1:6" x14ac:dyDescent="0.35">
      <c r="A36" t="str">
        <f>IF('Mobile Fuel Meters'!B23="",A35,'Mobile Fuel Meters'!B23)</f>
        <v>Meter Numbers</v>
      </c>
      <c r="B36" t="str" cm="1">
        <f>IF(ISBLANK(INDEX(Array_MobileChargeData,ROW()-15,COLUMN()*2-3)),"",INDEX(Array_MobileChargeData,ROW()-15,COLUMN()*2-3))</f>
        <v/>
      </c>
      <c r="C36" t="str" cm="1">
        <f>IF(ISBLANK(INDEX(Array_MobileChargeData,ROW()-15,COLUMN()*2-3)),"",INDEX(Array_MobileChargeData,ROW()-15,COLUMN()*2-3))</f>
        <v/>
      </c>
      <c r="D36" t="str" cm="1">
        <f>IF(ISBLANK(INDEX(Array_MobileChargeData,ROW()-15,COLUMN()*2-3)),"",INDEX(Array_MobileChargeData,ROW()-15,COLUMN()*2-3))</f>
        <v/>
      </c>
      <c r="E36" t="str" cm="1">
        <f>IF(ISBLANK(INDEX(Array_MobileChargeData,ROW()-15,COLUMN()*2-3)),"",INDEX(Array_MobileChargeData,ROW()-15,COLUMN()*2-3))</f>
        <v/>
      </c>
      <c r="F36" t="str" cm="1">
        <f>IF(ISBLANK(INDEX(Array_MobileChargeData,ROW()-15,COLUMN()*2-3)),"",INDEX(Array_MobileChargeData,ROW()-15,COLUMN()*2-3))</f>
        <v/>
      </c>
    </row>
    <row r="37" spans="1:6" x14ac:dyDescent="0.35">
      <c r="A37" t="str">
        <f>IF('Mobile Fuel Meters'!B24="",A36,'Mobile Fuel Meters'!B24)</f>
        <v>Meter Numbers</v>
      </c>
      <c r="B37" t="str" cm="1">
        <f>IF(ISBLANK(INDEX(Array_MobileChargeData,ROW()-15,COLUMN()*2-3)),"",INDEX(Array_MobileChargeData,ROW()-15,COLUMN()*2-3))</f>
        <v/>
      </c>
      <c r="C37" t="str" cm="1">
        <f>IF(ISBLANK(INDEX(Array_MobileChargeData,ROW()-15,COLUMN()*2-3)),"",INDEX(Array_MobileChargeData,ROW()-15,COLUMN()*2-3))</f>
        <v/>
      </c>
      <c r="D37" t="str" cm="1">
        <f>IF(ISBLANK(INDEX(Array_MobileChargeData,ROW()-15,COLUMN()*2-3)),"",INDEX(Array_MobileChargeData,ROW()-15,COLUMN()*2-3))</f>
        <v/>
      </c>
      <c r="E37" t="str" cm="1">
        <f>IF(ISBLANK(INDEX(Array_MobileChargeData,ROW()-15,COLUMN()*2-3)),"",INDEX(Array_MobileChargeData,ROW()-15,COLUMN()*2-3))</f>
        <v/>
      </c>
      <c r="F37" t="str" cm="1">
        <f>IF(ISBLANK(INDEX(Array_MobileChargeData,ROW()-15,COLUMN()*2-3)),"",INDEX(Array_MobileChargeData,ROW()-15,COLUMN()*2-3))</f>
        <v/>
      </c>
    </row>
    <row r="38" spans="1:6" x14ac:dyDescent="0.35">
      <c r="A38" t="str">
        <f>IF('Mobile Fuel Meters'!B25="",A37,'Mobile Fuel Meters'!B25)</f>
        <v>Meter Numbers</v>
      </c>
      <c r="B38" t="str" cm="1">
        <f>IF(ISBLANK(INDEX(Array_MobileChargeData,ROW()-15,COLUMN()*2-3)),"",INDEX(Array_MobileChargeData,ROW()-15,COLUMN()*2-3))</f>
        <v/>
      </c>
      <c r="C38" t="str" cm="1">
        <f>IF(ISBLANK(INDEX(Array_MobileChargeData,ROW()-15,COLUMN()*2-3)),"",INDEX(Array_MobileChargeData,ROW()-15,COLUMN()*2-3))</f>
        <v/>
      </c>
      <c r="D38" t="str" cm="1">
        <f>IF(ISBLANK(INDEX(Array_MobileChargeData,ROW()-15,COLUMN()*2-3)),"",INDEX(Array_MobileChargeData,ROW()-15,COLUMN()*2-3))</f>
        <v/>
      </c>
      <c r="E38" t="str" cm="1">
        <f>IF(ISBLANK(INDEX(Array_MobileChargeData,ROW()-15,COLUMN()*2-3)),"",INDEX(Array_MobileChargeData,ROW()-15,COLUMN()*2-3))</f>
        <v/>
      </c>
      <c r="F38" t="str" cm="1">
        <f>IF(ISBLANK(INDEX(Array_MobileChargeData,ROW()-15,COLUMN()*2-3)),"",INDEX(Array_MobileChargeData,ROW()-15,COLUMN()*2-3))</f>
        <v/>
      </c>
    </row>
    <row r="39" spans="1:6" x14ac:dyDescent="0.35">
      <c r="A39" t="str">
        <f>IF('Mobile Fuel Meters'!B26="",A38,'Mobile Fuel Meters'!B26)</f>
        <v>Meter Numbers</v>
      </c>
      <c r="B39" t="str" cm="1">
        <f>IF(ISBLANK(INDEX(Array_MobileChargeData,ROW()-15,COLUMN()*2-3)),"",INDEX(Array_MobileChargeData,ROW()-15,COLUMN()*2-3))</f>
        <v/>
      </c>
      <c r="C39" t="str" cm="1">
        <f>IF(ISBLANK(INDEX(Array_MobileChargeData,ROW()-15,COLUMN()*2-3)),"",INDEX(Array_MobileChargeData,ROW()-15,COLUMN()*2-3))</f>
        <v/>
      </c>
      <c r="D39" t="str" cm="1">
        <f>IF(ISBLANK(INDEX(Array_MobileChargeData,ROW()-15,COLUMN()*2-3)),"",INDEX(Array_MobileChargeData,ROW()-15,COLUMN()*2-3))</f>
        <v/>
      </c>
      <c r="E39" t="str" cm="1">
        <f>IF(ISBLANK(INDEX(Array_MobileChargeData,ROW()-15,COLUMN()*2-3)),"",INDEX(Array_MobileChargeData,ROW()-15,COLUMN()*2-3))</f>
        <v/>
      </c>
      <c r="F39" t="str" cm="1">
        <f>IF(ISBLANK(INDEX(Array_MobileChargeData,ROW()-15,COLUMN()*2-3)),"",INDEX(Array_MobileChargeData,ROW()-15,COLUMN()*2-3))</f>
        <v/>
      </c>
    </row>
    <row r="40" spans="1:6" x14ac:dyDescent="0.35">
      <c r="A40" t="str">
        <f>IF('Mobile Fuel Meters'!B27="",A39,'Mobile Fuel Meters'!B27)</f>
        <v>Meter Numbers</v>
      </c>
      <c r="B40" t="str" cm="1">
        <f>IF(ISBLANK(INDEX(Array_MobileChargeData,ROW()-15,COLUMN()*2-3)),"",INDEX(Array_MobileChargeData,ROW()-15,COLUMN()*2-3))</f>
        <v/>
      </c>
      <c r="C40" t="str" cm="1">
        <f>IF(ISBLANK(INDEX(Array_MobileChargeData,ROW()-15,COLUMN()*2-3)),"",INDEX(Array_MobileChargeData,ROW()-15,COLUMN()*2-3))</f>
        <v/>
      </c>
      <c r="D40" t="str" cm="1">
        <f>IF(ISBLANK(INDEX(Array_MobileChargeData,ROW()-15,COLUMN()*2-3)),"",INDEX(Array_MobileChargeData,ROW()-15,COLUMN()*2-3))</f>
        <v/>
      </c>
      <c r="E40" t="str" cm="1">
        <f>IF(ISBLANK(INDEX(Array_MobileChargeData,ROW()-15,COLUMN()*2-3)),"",INDEX(Array_MobileChargeData,ROW()-15,COLUMN()*2-3))</f>
        <v/>
      </c>
      <c r="F40" t="str" cm="1">
        <f>IF(ISBLANK(INDEX(Array_MobileChargeData,ROW()-15,COLUMN()*2-3)),"",INDEX(Array_MobileChargeData,ROW()-15,COLUMN()*2-3))</f>
        <v/>
      </c>
    </row>
    <row r="41" spans="1:6" x14ac:dyDescent="0.35">
      <c r="A41" t="str">
        <f>IF('Mobile Fuel Meters'!B28="",A40,'Mobile Fuel Meters'!B28)</f>
        <v>Meter Numbers</v>
      </c>
      <c r="B41" t="str" cm="1">
        <f>IF(ISBLANK(INDEX(Array_MobileChargeData,ROW()-15,COLUMN()*2-3)),"",INDEX(Array_MobileChargeData,ROW()-15,COLUMN()*2-3))</f>
        <v/>
      </c>
      <c r="C41" t="str" cm="1">
        <f>IF(ISBLANK(INDEX(Array_MobileChargeData,ROW()-15,COLUMN()*2-3)),"",INDEX(Array_MobileChargeData,ROW()-15,COLUMN()*2-3))</f>
        <v/>
      </c>
      <c r="D41" t="str" cm="1">
        <f>IF(ISBLANK(INDEX(Array_MobileChargeData,ROW()-15,COLUMN()*2-3)),"",INDEX(Array_MobileChargeData,ROW()-15,COLUMN()*2-3))</f>
        <v/>
      </c>
      <c r="E41" t="str" cm="1">
        <f>IF(ISBLANK(INDEX(Array_MobileChargeData,ROW()-15,COLUMN()*2-3)),"",INDEX(Array_MobileChargeData,ROW()-15,COLUMN()*2-3))</f>
        <v/>
      </c>
      <c r="F41" t="str" cm="1">
        <f>IF(ISBLANK(INDEX(Array_MobileChargeData,ROW()-15,COLUMN()*2-3)),"",INDEX(Array_MobileChargeData,ROW()-15,COLUMN()*2-3))</f>
        <v/>
      </c>
    </row>
    <row r="42" spans="1:6" x14ac:dyDescent="0.35">
      <c r="A42" t="str">
        <f>IF('Mobile Fuel Meters'!B29="",A41,'Mobile Fuel Meters'!B29)</f>
        <v>Meter Numbers</v>
      </c>
      <c r="B42" t="str" cm="1">
        <f>IF(ISBLANK(INDEX(Array_MobileChargeData,ROW()-15,COLUMN()*2-3)),"",INDEX(Array_MobileChargeData,ROW()-15,COLUMN()*2-3))</f>
        <v/>
      </c>
      <c r="C42" t="str" cm="1">
        <f>IF(ISBLANK(INDEX(Array_MobileChargeData,ROW()-15,COLUMN()*2-3)),"",INDEX(Array_MobileChargeData,ROW()-15,COLUMN()*2-3))</f>
        <v/>
      </c>
      <c r="D42" t="str" cm="1">
        <f>IF(ISBLANK(INDEX(Array_MobileChargeData,ROW()-15,COLUMN()*2-3)),"",INDEX(Array_MobileChargeData,ROW()-15,COLUMN()*2-3))</f>
        <v/>
      </c>
      <c r="E42" t="str" cm="1">
        <f>IF(ISBLANK(INDEX(Array_MobileChargeData,ROW()-15,COLUMN()*2-3)),"",INDEX(Array_MobileChargeData,ROW()-15,COLUMN()*2-3))</f>
        <v/>
      </c>
      <c r="F42" t="str" cm="1">
        <f>IF(ISBLANK(INDEX(Array_MobileChargeData,ROW()-15,COLUMN()*2-3)),"",INDEX(Array_MobileChargeData,ROW()-15,COLUMN()*2-3))</f>
        <v/>
      </c>
    </row>
    <row r="43" spans="1:6" x14ac:dyDescent="0.35">
      <c r="A43" t="str">
        <f>IF('Mobile Fuel Meters'!B30="",A42,'Mobile Fuel Meters'!B30)</f>
        <v>Meter Numbers</v>
      </c>
      <c r="B43" t="str" cm="1">
        <f>IF(ISBLANK(INDEX(Array_MobileChargeData,ROW()-15,COLUMN()*2-3)),"",INDEX(Array_MobileChargeData,ROW()-15,COLUMN()*2-3))</f>
        <v/>
      </c>
      <c r="C43" t="str" cm="1">
        <f>IF(ISBLANK(INDEX(Array_MobileChargeData,ROW()-15,COLUMN()*2-3)),"",INDEX(Array_MobileChargeData,ROW()-15,COLUMN()*2-3))</f>
        <v/>
      </c>
      <c r="D43" t="str" cm="1">
        <f>IF(ISBLANK(INDEX(Array_MobileChargeData,ROW()-15,COLUMN()*2-3)),"",INDEX(Array_MobileChargeData,ROW()-15,COLUMN()*2-3))</f>
        <v/>
      </c>
      <c r="E43" t="str" cm="1">
        <f>IF(ISBLANK(INDEX(Array_MobileChargeData,ROW()-15,COLUMN()*2-3)),"",INDEX(Array_MobileChargeData,ROW()-15,COLUMN()*2-3))</f>
        <v/>
      </c>
      <c r="F43" t="str" cm="1">
        <f>IF(ISBLANK(INDEX(Array_MobileChargeData,ROW()-15,COLUMN()*2-3)),"",INDEX(Array_MobileChargeData,ROW()-15,COLUMN()*2-3))</f>
        <v/>
      </c>
    </row>
    <row r="44" spans="1:6" x14ac:dyDescent="0.35">
      <c r="A44" t="str">
        <f>IF('Mobile Fuel Meters'!B31="",A43,'Mobile Fuel Meters'!B31)</f>
        <v>Meter Numbers</v>
      </c>
      <c r="B44" t="str" cm="1">
        <f>IF(ISBLANK(INDEX(Array_MobileChargeData,ROW()-15,COLUMN()*2-3)),"",INDEX(Array_MobileChargeData,ROW()-15,COLUMN()*2-3))</f>
        <v/>
      </c>
      <c r="C44" t="str" cm="1">
        <f>IF(ISBLANK(INDEX(Array_MobileChargeData,ROW()-15,COLUMN()*2-3)),"",INDEX(Array_MobileChargeData,ROW()-15,COLUMN()*2-3))</f>
        <v/>
      </c>
      <c r="D44" t="str" cm="1">
        <f>IF(ISBLANK(INDEX(Array_MobileChargeData,ROW()-15,COLUMN()*2-3)),"",INDEX(Array_MobileChargeData,ROW()-15,COLUMN()*2-3))</f>
        <v/>
      </c>
      <c r="E44" t="str" cm="1">
        <f>IF(ISBLANK(INDEX(Array_MobileChargeData,ROW()-15,COLUMN()*2-3)),"",INDEX(Array_MobileChargeData,ROW()-15,COLUMN()*2-3))</f>
        <v/>
      </c>
      <c r="F44" t="str" cm="1">
        <f>IF(ISBLANK(INDEX(Array_MobileChargeData,ROW()-15,COLUMN()*2-3)),"",INDEX(Array_MobileChargeData,ROW()-15,COLUMN()*2-3))</f>
        <v/>
      </c>
    </row>
    <row r="45" spans="1:6" x14ac:dyDescent="0.35">
      <c r="A45" t="str">
        <f>IF('Mobile Fuel Meters'!B32="",A44,'Mobile Fuel Meters'!B32)</f>
        <v>Meter Numbers</v>
      </c>
      <c r="B45" t="str" cm="1">
        <f>IF(ISBLANK(INDEX(Array_MobileChargeData,ROW()-15,COLUMN()*2-3)),"",INDEX(Array_MobileChargeData,ROW()-15,COLUMN()*2-3))</f>
        <v/>
      </c>
      <c r="C45" t="str" cm="1">
        <f>IF(ISBLANK(INDEX(Array_MobileChargeData,ROW()-15,COLUMN()*2-3)),"",INDEX(Array_MobileChargeData,ROW()-15,COLUMN()*2-3))</f>
        <v/>
      </c>
      <c r="D45" t="str" cm="1">
        <f>IF(ISBLANK(INDEX(Array_MobileChargeData,ROW()-15,COLUMN()*2-3)),"",INDEX(Array_MobileChargeData,ROW()-15,COLUMN()*2-3))</f>
        <v/>
      </c>
      <c r="E45" t="str" cm="1">
        <f>IF(ISBLANK(INDEX(Array_MobileChargeData,ROW()-15,COLUMN()*2-3)),"",INDEX(Array_MobileChargeData,ROW()-15,COLUMN()*2-3))</f>
        <v/>
      </c>
      <c r="F45" t="str" cm="1">
        <f>IF(ISBLANK(INDEX(Array_MobileChargeData,ROW()-15,COLUMN()*2-3)),"",INDEX(Array_MobileChargeData,ROW()-15,COLUMN()*2-3))</f>
        <v/>
      </c>
    </row>
    <row r="46" spans="1:6" x14ac:dyDescent="0.35">
      <c r="A46" t="str">
        <f>IF('Mobile Fuel Meters'!B33="",A45,'Mobile Fuel Meters'!B33)</f>
        <v>Meter Numbers</v>
      </c>
      <c r="B46" t="str" cm="1">
        <f>IF(ISBLANK(INDEX(Array_MobileChargeData,ROW()-15,COLUMN()*2-3)),"",INDEX(Array_MobileChargeData,ROW()-15,COLUMN()*2-3))</f>
        <v/>
      </c>
      <c r="C46" t="str" cm="1">
        <f>IF(ISBLANK(INDEX(Array_MobileChargeData,ROW()-15,COLUMN()*2-3)),"",INDEX(Array_MobileChargeData,ROW()-15,COLUMN()*2-3))</f>
        <v/>
      </c>
      <c r="D46" t="str" cm="1">
        <f>IF(ISBLANK(INDEX(Array_MobileChargeData,ROW()-15,COLUMN()*2-3)),"",INDEX(Array_MobileChargeData,ROW()-15,COLUMN()*2-3))</f>
        <v/>
      </c>
      <c r="E46" t="str" cm="1">
        <f>IF(ISBLANK(INDEX(Array_MobileChargeData,ROW()-15,COLUMN()*2-3)),"",INDEX(Array_MobileChargeData,ROW()-15,COLUMN()*2-3))</f>
        <v/>
      </c>
      <c r="F46" t="str" cm="1">
        <f>IF(ISBLANK(INDEX(Array_MobileChargeData,ROW()-15,COLUMN()*2-3)),"",INDEX(Array_MobileChargeData,ROW()-15,COLUMN()*2-3))</f>
        <v/>
      </c>
    </row>
    <row r="47" spans="1:6" x14ac:dyDescent="0.35">
      <c r="A47" t="str">
        <f>IF('Mobile Fuel Meters'!B34="",A46,'Mobile Fuel Meters'!B34)</f>
        <v>Meter Numbers</v>
      </c>
      <c r="B47" t="str" cm="1">
        <f>IF(ISBLANK(INDEX(Array_MobileChargeData,ROW()-15,COLUMN()*2-3)),"",INDEX(Array_MobileChargeData,ROW()-15,COLUMN()*2-3))</f>
        <v/>
      </c>
      <c r="C47" t="str" cm="1">
        <f>IF(ISBLANK(INDEX(Array_MobileChargeData,ROW()-15,COLUMN()*2-3)),"",INDEX(Array_MobileChargeData,ROW()-15,COLUMN()*2-3))</f>
        <v/>
      </c>
      <c r="D47" t="str" cm="1">
        <f>IF(ISBLANK(INDEX(Array_MobileChargeData,ROW()-15,COLUMN()*2-3)),"",INDEX(Array_MobileChargeData,ROW()-15,COLUMN()*2-3))</f>
        <v/>
      </c>
      <c r="E47" t="str" cm="1">
        <f>IF(ISBLANK(INDEX(Array_MobileChargeData,ROW()-15,COLUMN()*2-3)),"",INDEX(Array_MobileChargeData,ROW()-15,COLUMN()*2-3))</f>
        <v/>
      </c>
      <c r="F47" t="str" cm="1">
        <f>IF(ISBLANK(INDEX(Array_MobileChargeData,ROW()-15,COLUMN()*2-3)),"",INDEX(Array_MobileChargeData,ROW()-15,COLUMN()*2-3))</f>
        <v/>
      </c>
    </row>
    <row r="48" spans="1:6" x14ac:dyDescent="0.35">
      <c r="A48" t="str">
        <f>IF('Mobile Fuel Meters'!B35="",A47,'Mobile Fuel Meters'!B35)</f>
        <v>Meter Numbers</v>
      </c>
      <c r="B48" t="str" cm="1">
        <f>IF(ISBLANK(INDEX(Array_MobileChargeData,ROW()-15,COLUMN()*2-3)),"",INDEX(Array_MobileChargeData,ROW()-15,COLUMN()*2-3))</f>
        <v/>
      </c>
      <c r="C48" t="str" cm="1">
        <f>IF(ISBLANK(INDEX(Array_MobileChargeData,ROW()-15,COLUMN()*2-3)),"",INDEX(Array_MobileChargeData,ROW()-15,COLUMN()*2-3))</f>
        <v/>
      </c>
      <c r="D48" t="str" cm="1">
        <f>IF(ISBLANK(INDEX(Array_MobileChargeData,ROW()-15,COLUMN()*2-3)),"",INDEX(Array_MobileChargeData,ROW()-15,COLUMN()*2-3))</f>
        <v/>
      </c>
      <c r="E48" t="str" cm="1">
        <f>IF(ISBLANK(INDEX(Array_MobileChargeData,ROW()-15,COLUMN()*2-3)),"",INDEX(Array_MobileChargeData,ROW()-15,COLUMN()*2-3))</f>
        <v/>
      </c>
      <c r="F48" t="str" cm="1">
        <f>IF(ISBLANK(INDEX(Array_MobileChargeData,ROW()-15,COLUMN()*2-3)),"",INDEX(Array_MobileChargeData,ROW()-15,COLUMN()*2-3))</f>
        <v/>
      </c>
    </row>
    <row r="49" spans="1:6" x14ac:dyDescent="0.35">
      <c r="A49" t="str">
        <f>IF('Mobile Fuel Meters'!B36="",A48,'Mobile Fuel Meters'!B36)</f>
        <v>Meter Numbers</v>
      </c>
      <c r="B49" t="str" cm="1">
        <f>IF(ISBLANK(INDEX(Array_MobileChargeData,ROW()-15,COLUMN()*2-3)),"",INDEX(Array_MobileChargeData,ROW()-15,COLUMN()*2-3))</f>
        <v/>
      </c>
      <c r="C49" t="str" cm="1">
        <f>IF(ISBLANK(INDEX(Array_MobileChargeData,ROW()-15,COLUMN()*2-3)),"",INDEX(Array_MobileChargeData,ROW()-15,COLUMN()*2-3))</f>
        <v/>
      </c>
      <c r="D49" t="str" cm="1">
        <f>IF(ISBLANK(INDEX(Array_MobileChargeData,ROW()-15,COLUMN()*2-3)),"",INDEX(Array_MobileChargeData,ROW()-15,COLUMN()*2-3))</f>
        <v/>
      </c>
      <c r="E49" t="str" cm="1">
        <f>IF(ISBLANK(INDEX(Array_MobileChargeData,ROW()-15,COLUMN()*2-3)),"",INDEX(Array_MobileChargeData,ROW()-15,COLUMN()*2-3))</f>
        <v/>
      </c>
      <c r="F49" t="str" cm="1">
        <f>IF(ISBLANK(INDEX(Array_MobileChargeData,ROW()-15,COLUMN()*2-3)),"",INDEX(Array_MobileChargeData,ROW()-15,COLUMN()*2-3))</f>
        <v/>
      </c>
    </row>
    <row r="50" spans="1:6" x14ac:dyDescent="0.35">
      <c r="A50" t="str">
        <f>IF('Mobile Fuel Meters'!B37="",A49,'Mobile Fuel Meters'!B37)</f>
        <v>Meter Numbers</v>
      </c>
      <c r="B50" t="str" cm="1">
        <f>IF(ISBLANK(INDEX(Array_MobileChargeData,ROW()-15,COLUMN()*2-3)),"",INDEX(Array_MobileChargeData,ROW()-15,COLUMN()*2-3))</f>
        <v/>
      </c>
      <c r="C50" t="str" cm="1">
        <f>IF(ISBLANK(INDEX(Array_MobileChargeData,ROW()-15,COLUMN()*2-3)),"",INDEX(Array_MobileChargeData,ROW()-15,COLUMN()*2-3))</f>
        <v/>
      </c>
      <c r="D50" t="str" cm="1">
        <f>IF(ISBLANK(INDEX(Array_MobileChargeData,ROW()-15,COLUMN()*2-3)),"",INDEX(Array_MobileChargeData,ROW()-15,COLUMN()*2-3))</f>
        <v/>
      </c>
      <c r="E50" t="str" cm="1">
        <f>IF(ISBLANK(INDEX(Array_MobileChargeData,ROW()-15,COLUMN()*2-3)),"",INDEX(Array_MobileChargeData,ROW()-15,COLUMN()*2-3))</f>
        <v/>
      </c>
      <c r="F50" t="str" cm="1">
        <f>IF(ISBLANK(INDEX(Array_MobileChargeData,ROW()-15,COLUMN()*2-3)),"",INDEX(Array_MobileChargeData,ROW()-15,COLUMN()*2-3))</f>
        <v/>
      </c>
    </row>
    <row r="51" spans="1:6" x14ac:dyDescent="0.35">
      <c r="A51" t="str">
        <f>IF('Mobile Fuel Meters'!B38="",A50,'Mobile Fuel Meters'!B38)</f>
        <v>Meter Numbers</v>
      </c>
      <c r="B51" t="str" cm="1">
        <f>IF(ISBLANK(INDEX(Array_MobileChargeData,ROW()-15,COLUMN()*2-3)),"",INDEX(Array_MobileChargeData,ROW()-15,COLUMN()*2-3))</f>
        <v/>
      </c>
      <c r="C51" t="str" cm="1">
        <f>IF(ISBLANK(INDEX(Array_MobileChargeData,ROW()-15,COLUMN()*2-3)),"",INDEX(Array_MobileChargeData,ROW()-15,COLUMN()*2-3))</f>
        <v/>
      </c>
      <c r="D51" t="str" cm="1">
        <f>IF(ISBLANK(INDEX(Array_MobileChargeData,ROW()-15,COLUMN()*2-3)),"",INDEX(Array_MobileChargeData,ROW()-15,COLUMN()*2-3))</f>
        <v/>
      </c>
      <c r="E51" t="str" cm="1">
        <f>IF(ISBLANK(INDEX(Array_MobileChargeData,ROW()-15,COLUMN()*2-3)),"",INDEX(Array_MobileChargeData,ROW()-15,COLUMN()*2-3))</f>
        <v/>
      </c>
      <c r="F51" t="str" cm="1">
        <f>IF(ISBLANK(INDEX(Array_MobileChargeData,ROW()-15,COLUMN()*2-3)),"",INDEX(Array_MobileChargeData,ROW()-15,COLUMN()*2-3))</f>
        <v/>
      </c>
    </row>
    <row r="52" spans="1:6" x14ac:dyDescent="0.35">
      <c r="A52" t="str">
        <f>IF('Mobile Fuel Meters'!B39="",A51,'Mobile Fuel Meters'!B39)</f>
        <v>Meter Numbers</v>
      </c>
      <c r="B52" t="str" cm="1">
        <f>IF(ISBLANK(INDEX(Array_MobileChargeData,ROW()-15,COLUMN()*2-3)),"",INDEX(Array_MobileChargeData,ROW()-15,COLUMN()*2-3))</f>
        <v/>
      </c>
      <c r="C52" t="str" cm="1">
        <f>IF(ISBLANK(INDEX(Array_MobileChargeData,ROW()-15,COLUMN()*2-3)),"",INDEX(Array_MobileChargeData,ROW()-15,COLUMN()*2-3))</f>
        <v/>
      </c>
      <c r="D52" t="str" cm="1">
        <f>IF(ISBLANK(INDEX(Array_MobileChargeData,ROW()-15,COLUMN()*2-3)),"",INDEX(Array_MobileChargeData,ROW()-15,COLUMN()*2-3))</f>
        <v/>
      </c>
      <c r="E52" t="str" cm="1">
        <f>IF(ISBLANK(INDEX(Array_MobileChargeData,ROW()-15,COLUMN()*2-3)),"",INDEX(Array_MobileChargeData,ROW()-15,COLUMN()*2-3))</f>
        <v/>
      </c>
      <c r="F52" t="str" cm="1">
        <f>IF(ISBLANK(INDEX(Array_MobileChargeData,ROW()-15,COLUMN()*2-3)),"",INDEX(Array_MobileChargeData,ROW()-15,COLUMN()*2-3))</f>
        <v/>
      </c>
    </row>
    <row r="53" spans="1:6" x14ac:dyDescent="0.35">
      <c r="A53" t="str">
        <f>IF('Mobile Fuel Meters'!B40="",A52,'Mobile Fuel Meters'!B40)</f>
        <v>Meter Numbers</v>
      </c>
      <c r="B53" t="str" cm="1">
        <f>IF(ISBLANK(INDEX(Array_MobileChargeData,ROW()-15,COLUMN()*2-3)),"",INDEX(Array_MobileChargeData,ROW()-15,COLUMN()*2-3))</f>
        <v/>
      </c>
      <c r="C53" t="str" cm="1">
        <f>IF(ISBLANK(INDEX(Array_MobileChargeData,ROW()-15,COLUMN()*2-3)),"",INDEX(Array_MobileChargeData,ROW()-15,COLUMN()*2-3))</f>
        <v/>
      </c>
      <c r="D53" t="str" cm="1">
        <f>IF(ISBLANK(INDEX(Array_MobileChargeData,ROW()-15,COLUMN()*2-3)),"",INDEX(Array_MobileChargeData,ROW()-15,COLUMN()*2-3))</f>
        <v/>
      </c>
      <c r="E53" t="str" cm="1">
        <f>IF(ISBLANK(INDEX(Array_MobileChargeData,ROW()-15,COLUMN()*2-3)),"",INDEX(Array_MobileChargeData,ROW()-15,COLUMN()*2-3))</f>
        <v/>
      </c>
      <c r="F53" t="str" cm="1">
        <f>IF(ISBLANK(INDEX(Array_MobileChargeData,ROW()-15,COLUMN()*2-3)),"",INDEX(Array_MobileChargeData,ROW()-15,COLUMN()*2-3))</f>
        <v/>
      </c>
    </row>
    <row r="54" spans="1:6" x14ac:dyDescent="0.35">
      <c r="A54" t="str">
        <f>IF('Mobile Fuel Meters'!B41="",A53,'Mobile Fuel Meters'!B41)</f>
        <v>Meter Numbers</v>
      </c>
      <c r="B54" t="str" cm="1">
        <f>IF(ISBLANK(INDEX(Array_MobileChargeData,ROW()-15,COLUMN()*2-3)),"",INDEX(Array_MobileChargeData,ROW()-15,COLUMN()*2-3))</f>
        <v/>
      </c>
      <c r="C54" t="str" cm="1">
        <f>IF(ISBLANK(INDEX(Array_MobileChargeData,ROW()-15,COLUMN()*2-3)),"",INDEX(Array_MobileChargeData,ROW()-15,COLUMN()*2-3))</f>
        <v/>
      </c>
      <c r="D54" t="str" cm="1">
        <f>IF(ISBLANK(INDEX(Array_MobileChargeData,ROW()-15,COLUMN()*2-3)),"",INDEX(Array_MobileChargeData,ROW()-15,COLUMN()*2-3))</f>
        <v/>
      </c>
      <c r="E54" t="str" cm="1">
        <f>IF(ISBLANK(INDEX(Array_MobileChargeData,ROW()-15,COLUMN()*2-3)),"",INDEX(Array_MobileChargeData,ROW()-15,COLUMN()*2-3))</f>
        <v/>
      </c>
      <c r="F54" t="str" cm="1">
        <f>IF(ISBLANK(INDEX(Array_MobileChargeData,ROW()-15,COLUMN()*2-3)),"",INDEX(Array_MobileChargeData,ROW()-15,COLUMN()*2-3))</f>
        <v/>
      </c>
    </row>
    <row r="55" spans="1:6" x14ac:dyDescent="0.35">
      <c r="A55" t="str">
        <f>IF('Mobile Fuel Meters'!B42="",A54,'Mobile Fuel Meters'!B42)</f>
        <v>Meter Numbers</v>
      </c>
      <c r="B55" t="str" cm="1">
        <f>IF(ISBLANK(INDEX(Array_MobileChargeData,ROW()-15,COLUMN()*2-3)),"",INDEX(Array_MobileChargeData,ROW()-15,COLUMN()*2-3))</f>
        <v/>
      </c>
      <c r="C55" t="str" cm="1">
        <f>IF(ISBLANK(INDEX(Array_MobileChargeData,ROW()-15,COLUMN()*2-3)),"",INDEX(Array_MobileChargeData,ROW()-15,COLUMN()*2-3))</f>
        <v/>
      </c>
      <c r="D55" t="str" cm="1">
        <f>IF(ISBLANK(INDEX(Array_MobileChargeData,ROW()-15,COLUMN()*2-3)),"",INDEX(Array_MobileChargeData,ROW()-15,COLUMN()*2-3))</f>
        <v/>
      </c>
      <c r="E55" t="str" cm="1">
        <f>IF(ISBLANK(INDEX(Array_MobileChargeData,ROW()-15,COLUMN()*2-3)),"",INDEX(Array_MobileChargeData,ROW()-15,COLUMN()*2-3))</f>
        <v/>
      </c>
      <c r="F55" t="str" cm="1">
        <f>IF(ISBLANK(INDEX(Array_MobileChargeData,ROW()-15,COLUMN()*2-3)),"",INDEX(Array_MobileChargeData,ROW()-15,COLUMN()*2-3))</f>
        <v/>
      </c>
    </row>
    <row r="56" spans="1:6" x14ac:dyDescent="0.35">
      <c r="A56" t="str">
        <f>IF('Mobile Fuel Meters'!B43="",A55,'Mobile Fuel Meters'!B43)</f>
        <v>Meter Numbers</v>
      </c>
      <c r="B56" t="str" cm="1">
        <f>IF(ISBLANK(INDEX(Array_MobileChargeData,ROW()-15,COLUMN()*2-3)),"",INDEX(Array_MobileChargeData,ROW()-15,COLUMN()*2-3))</f>
        <v/>
      </c>
      <c r="C56" t="str" cm="1">
        <f>IF(ISBLANK(INDEX(Array_MobileChargeData,ROW()-15,COLUMN()*2-3)),"",INDEX(Array_MobileChargeData,ROW()-15,COLUMN()*2-3))</f>
        <v/>
      </c>
      <c r="D56" t="str" cm="1">
        <f>IF(ISBLANK(INDEX(Array_MobileChargeData,ROW()-15,COLUMN()*2-3)),"",INDEX(Array_MobileChargeData,ROW()-15,COLUMN()*2-3))</f>
        <v/>
      </c>
      <c r="E56" t="str" cm="1">
        <f>IF(ISBLANK(INDEX(Array_MobileChargeData,ROW()-15,COLUMN()*2-3)),"",INDEX(Array_MobileChargeData,ROW()-15,COLUMN()*2-3))</f>
        <v/>
      </c>
      <c r="F56" t="str" cm="1">
        <f>IF(ISBLANK(INDEX(Array_MobileChargeData,ROW()-15,COLUMN()*2-3)),"",INDEX(Array_MobileChargeData,ROW()-15,COLUMN()*2-3))</f>
        <v/>
      </c>
    </row>
    <row r="57" spans="1:6" x14ac:dyDescent="0.35">
      <c r="A57" t="str">
        <f>IF('Mobile Fuel Meters'!B44="",A56,'Mobile Fuel Meters'!B44)</f>
        <v>Meter Numbers</v>
      </c>
      <c r="B57" t="str" cm="1">
        <f>IF(ISBLANK(INDEX(Array_MobileChargeData,ROW()-15,COLUMN()*2-3)),"",INDEX(Array_MobileChargeData,ROW()-15,COLUMN()*2-3))</f>
        <v/>
      </c>
      <c r="C57" t="str" cm="1">
        <f>IF(ISBLANK(INDEX(Array_MobileChargeData,ROW()-15,COLUMN()*2-3)),"",INDEX(Array_MobileChargeData,ROW()-15,COLUMN()*2-3))</f>
        <v/>
      </c>
      <c r="D57" t="str" cm="1">
        <f>IF(ISBLANK(INDEX(Array_MobileChargeData,ROW()-15,COLUMN()*2-3)),"",INDEX(Array_MobileChargeData,ROW()-15,COLUMN()*2-3))</f>
        <v/>
      </c>
      <c r="E57" t="str" cm="1">
        <f>IF(ISBLANK(INDEX(Array_MobileChargeData,ROW()-15,COLUMN()*2-3)),"",INDEX(Array_MobileChargeData,ROW()-15,COLUMN()*2-3))</f>
        <v/>
      </c>
      <c r="F57" t="str" cm="1">
        <f>IF(ISBLANK(INDEX(Array_MobileChargeData,ROW()-15,COLUMN()*2-3)),"",INDEX(Array_MobileChargeData,ROW()-15,COLUMN()*2-3))</f>
        <v/>
      </c>
    </row>
    <row r="58" spans="1:6" x14ac:dyDescent="0.35">
      <c r="A58" t="str">
        <f>IF('Mobile Fuel Meters'!B45="",A57,'Mobile Fuel Meters'!B45)</f>
        <v>Meter Numbers</v>
      </c>
      <c r="B58" t="str" cm="1">
        <f>IF(ISBLANK(INDEX(Array_MobileChargeData,ROW()-15,COLUMN()*2-3)),"",INDEX(Array_MobileChargeData,ROW()-15,COLUMN()*2-3))</f>
        <v/>
      </c>
      <c r="C58" t="str" cm="1">
        <f>IF(ISBLANK(INDEX(Array_MobileChargeData,ROW()-15,COLUMN()*2-3)),"",INDEX(Array_MobileChargeData,ROW()-15,COLUMN()*2-3))</f>
        <v/>
      </c>
      <c r="D58" t="str" cm="1">
        <f>IF(ISBLANK(INDEX(Array_MobileChargeData,ROW()-15,COLUMN()*2-3)),"",INDEX(Array_MobileChargeData,ROW()-15,COLUMN()*2-3))</f>
        <v/>
      </c>
      <c r="E58" t="str" cm="1">
        <f>IF(ISBLANK(INDEX(Array_MobileChargeData,ROW()-15,COLUMN()*2-3)),"",INDEX(Array_MobileChargeData,ROW()-15,COLUMN()*2-3))</f>
        <v/>
      </c>
      <c r="F58" t="str" cm="1">
        <f>IF(ISBLANK(INDEX(Array_MobileChargeData,ROW()-15,COLUMN()*2-3)),"",INDEX(Array_MobileChargeData,ROW()-15,COLUMN()*2-3))</f>
        <v/>
      </c>
    </row>
    <row r="59" spans="1:6" x14ac:dyDescent="0.35">
      <c r="A59" t="str">
        <f>IF('Mobile Fuel Meters'!B46="",A58,'Mobile Fuel Meters'!B46)</f>
        <v>Meter Numbers</v>
      </c>
      <c r="B59" t="str" cm="1">
        <f>IF(ISBLANK(INDEX(Array_MobileChargeData,ROW()-15,COLUMN()*2-3)),"",INDEX(Array_MobileChargeData,ROW()-15,COLUMN()*2-3))</f>
        <v/>
      </c>
      <c r="C59" t="str" cm="1">
        <f>IF(ISBLANK(INDEX(Array_MobileChargeData,ROW()-15,COLUMN()*2-3)),"",INDEX(Array_MobileChargeData,ROW()-15,COLUMN()*2-3))</f>
        <v/>
      </c>
      <c r="D59" t="str" cm="1">
        <f>IF(ISBLANK(INDEX(Array_MobileChargeData,ROW()-15,COLUMN()*2-3)),"",INDEX(Array_MobileChargeData,ROW()-15,COLUMN()*2-3))</f>
        <v/>
      </c>
      <c r="E59" t="str" cm="1">
        <f>IF(ISBLANK(INDEX(Array_MobileChargeData,ROW()-15,COLUMN()*2-3)),"",INDEX(Array_MobileChargeData,ROW()-15,COLUMN()*2-3))</f>
        <v/>
      </c>
      <c r="F59" t="str" cm="1">
        <f>IF(ISBLANK(INDEX(Array_MobileChargeData,ROW()-15,COLUMN()*2-3)),"",INDEX(Array_MobileChargeData,ROW()-15,COLUMN()*2-3))</f>
        <v/>
      </c>
    </row>
    <row r="60" spans="1:6" x14ac:dyDescent="0.35">
      <c r="A60" t="str">
        <f>IF('Mobile Fuel Meters'!B47="",A59,'Mobile Fuel Meters'!B47)</f>
        <v>Meter Numbers</v>
      </c>
      <c r="B60" t="str" cm="1">
        <f>IF(ISBLANK(INDEX(Array_MobileChargeData,ROW()-15,COLUMN()*2-3)),"",INDEX(Array_MobileChargeData,ROW()-15,COLUMN()*2-3))</f>
        <v/>
      </c>
      <c r="C60" t="str" cm="1">
        <f>IF(ISBLANK(INDEX(Array_MobileChargeData,ROW()-15,COLUMN()*2-3)),"",INDEX(Array_MobileChargeData,ROW()-15,COLUMN()*2-3))</f>
        <v/>
      </c>
      <c r="D60" t="str" cm="1">
        <f>IF(ISBLANK(INDEX(Array_MobileChargeData,ROW()-15,COLUMN()*2-3)),"",INDEX(Array_MobileChargeData,ROW()-15,COLUMN()*2-3))</f>
        <v/>
      </c>
      <c r="E60" t="str" cm="1">
        <f>IF(ISBLANK(INDEX(Array_MobileChargeData,ROW()-15,COLUMN()*2-3)),"",INDEX(Array_MobileChargeData,ROW()-15,COLUMN()*2-3))</f>
        <v/>
      </c>
      <c r="F60" t="str" cm="1">
        <f>IF(ISBLANK(INDEX(Array_MobileChargeData,ROW()-15,COLUMN()*2-3)),"",INDEX(Array_MobileChargeData,ROW()-15,COLUMN()*2-3))</f>
        <v/>
      </c>
    </row>
    <row r="61" spans="1:6" x14ac:dyDescent="0.35">
      <c r="A61" t="str">
        <f>IF('Mobile Fuel Meters'!B48="",A60,'Mobile Fuel Meters'!B48)</f>
        <v>Meter Numbers</v>
      </c>
      <c r="B61" t="str" cm="1">
        <f>IF(ISBLANK(INDEX(Array_MobileChargeData,ROW()-15,COLUMN()*2-3)),"",INDEX(Array_MobileChargeData,ROW()-15,COLUMN()*2-3))</f>
        <v/>
      </c>
      <c r="C61" t="str" cm="1">
        <f>IF(ISBLANK(INDEX(Array_MobileChargeData,ROW()-15,COLUMN()*2-3)),"",INDEX(Array_MobileChargeData,ROW()-15,COLUMN()*2-3))</f>
        <v/>
      </c>
      <c r="D61" t="str" cm="1">
        <f>IF(ISBLANK(INDEX(Array_MobileChargeData,ROW()-15,COLUMN()*2-3)),"",INDEX(Array_MobileChargeData,ROW()-15,COLUMN()*2-3))</f>
        <v/>
      </c>
      <c r="E61" t="str" cm="1">
        <f>IF(ISBLANK(INDEX(Array_MobileChargeData,ROW()-15,COLUMN()*2-3)),"",INDEX(Array_MobileChargeData,ROW()-15,COLUMN()*2-3))</f>
        <v/>
      </c>
      <c r="F61" t="str" cm="1">
        <f>IF(ISBLANK(INDEX(Array_MobileChargeData,ROW()-15,COLUMN()*2-3)),"",INDEX(Array_MobileChargeData,ROW()-15,COLUMN()*2-3))</f>
        <v/>
      </c>
    </row>
    <row r="62" spans="1:6" x14ac:dyDescent="0.35">
      <c r="A62" t="str">
        <f>IF('Mobile Fuel Meters'!B49="",A61,'Mobile Fuel Meters'!B49)</f>
        <v>Meter Numbers</v>
      </c>
      <c r="B62" t="str" cm="1">
        <f>IF(ISBLANK(INDEX(Array_MobileChargeData,ROW()-15,COLUMN()*2-3)),"",INDEX(Array_MobileChargeData,ROW()-15,COLUMN()*2-3))</f>
        <v/>
      </c>
      <c r="C62" t="str" cm="1">
        <f>IF(ISBLANK(INDEX(Array_MobileChargeData,ROW()-15,COLUMN()*2-3)),"",INDEX(Array_MobileChargeData,ROW()-15,COLUMN()*2-3))</f>
        <v/>
      </c>
      <c r="D62" t="str" cm="1">
        <f>IF(ISBLANK(INDEX(Array_MobileChargeData,ROW()-15,COLUMN()*2-3)),"",INDEX(Array_MobileChargeData,ROW()-15,COLUMN()*2-3))</f>
        <v/>
      </c>
      <c r="E62" t="str" cm="1">
        <f>IF(ISBLANK(INDEX(Array_MobileChargeData,ROW()-15,COLUMN()*2-3)),"",INDEX(Array_MobileChargeData,ROW()-15,COLUMN()*2-3))</f>
        <v/>
      </c>
      <c r="F62" t="str" cm="1">
        <f>IF(ISBLANK(INDEX(Array_MobileChargeData,ROW()-15,COLUMN()*2-3)),"",INDEX(Array_MobileChargeData,ROW()-15,COLUMN()*2-3))</f>
        <v/>
      </c>
    </row>
    <row r="63" spans="1:6" x14ac:dyDescent="0.35">
      <c r="A63" t="str">
        <f>IF('Mobile Fuel Meters'!B50="",A62,'Mobile Fuel Meters'!B50)</f>
        <v>Meter Numbers</v>
      </c>
      <c r="B63" t="str" cm="1">
        <f>IF(ISBLANK(INDEX(Array_MobileChargeData,ROW()-15,COLUMN()*2-3)),"",INDEX(Array_MobileChargeData,ROW()-15,COLUMN()*2-3))</f>
        <v/>
      </c>
      <c r="C63" t="str" cm="1">
        <f>IF(ISBLANK(INDEX(Array_MobileChargeData,ROW()-15,COLUMN()*2-3)),"",INDEX(Array_MobileChargeData,ROW()-15,COLUMN()*2-3))</f>
        <v/>
      </c>
      <c r="D63" t="str" cm="1">
        <f>IF(ISBLANK(INDEX(Array_MobileChargeData,ROW()-15,COLUMN()*2-3)),"",INDEX(Array_MobileChargeData,ROW()-15,COLUMN()*2-3))</f>
        <v/>
      </c>
      <c r="E63" t="str" cm="1">
        <f>IF(ISBLANK(INDEX(Array_MobileChargeData,ROW()-15,COLUMN()*2-3)),"",INDEX(Array_MobileChargeData,ROW()-15,COLUMN()*2-3))</f>
        <v/>
      </c>
      <c r="F63" t="str" cm="1">
        <f>IF(ISBLANK(INDEX(Array_MobileChargeData,ROW()-15,COLUMN()*2-3)),"",INDEX(Array_MobileChargeData,ROW()-15,COLUMN()*2-3))</f>
        <v/>
      </c>
    </row>
    <row r="64" spans="1:6" x14ac:dyDescent="0.35">
      <c r="A64" t="str">
        <f>IF('Mobile Fuel Meters'!B51="",A63,'Mobile Fuel Meters'!B51)</f>
        <v>Meter Numbers</v>
      </c>
      <c r="B64" t="str" cm="1">
        <f>IF(ISBLANK(INDEX(Array_MobileChargeData,ROW()-15,COLUMN()*2-3)),"",INDEX(Array_MobileChargeData,ROW()-15,COLUMN()*2-3))</f>
        <v/>
      </c>
      <c r="C64" t="str" cm="1">
        <f>IF(ISBLANK(INDEX(Array_MobileChargeData,ROW()-15,COLUMN()*2-3)),"",INDEX(Array_MobileChargeData,ROW()-15,COLUMN()*2-3))</f>
        <v/>
      </c>
      <c r="D64" t="str" cm="1">
        <f>IF(ISBLANK(INDEX(Array_MobileChargeData,ROW()-15,COLUMN()*2-3)),"",INDEX(Array_MobileChargeData,ROW()-15,COLUMN()*2-3))</f>
        <v/>
      </c>
      <c r="E64" t="str" cm="1">
        <f>IF(ISBLANK(INDEX(Array_MobileChargeData,ROW()-15,COLUMN()*2-3)),"",INDEX(Array_MobileChargeData,ROW()-15,COLUMN()*2-3))</f>
        <v/>
      </c>
      <c r="F64" t="str" cm="1">
        <f>IF(ISBLANK(INDEX(Array_MobileChargeData,ROW()-15,COLUMN()*2-3)),"",INDEX(Array_MobileChargeData,ROW()-15,COLUMN()*2-3))</f>
        <v/>
      </c>
    </row>
    <row r="65" spans="1:6" x14ac:dyDescent="0.35">
      <c r="A65" t="str">
        <f>IF('Mobile Fuel Meters'!B52="",A64,'Mobile Fuel Meters'!B52)</f>
        <v>Meter Numbers</v>
      </c>
      <c r="B65" t="str" cm="1">
        <f>IF(ISBLANK(INDEX(Array_MobileChargeData,ROW()-15,COLUMN()*2-3)),"",INDEX(Array_MobileChargeData,ROW()-15,COLUMN()*2-3))</f>
        <v/>
      </c>
      <c r="C65" t="str" cm="1">
        <f>IF(ISBLANK(INDEX(Array_MobileChargeData,ROW()-15,COLUMN()*2-3)),"",INDEX(Array_MobileChargeData,ROW()-15,COLUMN()*2-3))</f>
        <v/>
      </c>
      <c r="D65" t="str" cm="1">
        <f>IF(ISBLANK(INDEX(Array_MobileChargeData,ROW()-15,COLUMN()*2-3)),"",INDEX(Array_MobileChargeData,ROW()-15,COLUMN()*2-3))</f>
        <v/>
      </c>
      <c r="E65" t="str" cm="1">
        <f>IF(ISBLANK(INDEX(Array_MobileChargeData,ROW()-15,COLUMN()*2-3)),"",INDEX(Array_MobileChargeData,ROW()-15,COLUMN()*2-3))</f>
        <v/>
      </c>
      <c r="F65" t="str" cm="1">
        <f>IF(ISBLANK(INDEX(Array_MobileChargeData,ROW()-15,COLUMN()*2-3)),"",INDEX(Array_MobileChargeData,ROW()-15,COLUMN()*2-3))</f>
        <v/>
      </c>
    </row>
    <row r="66" spans="1:6" x14ac:dyDescent="0.35">
      <c r="A66" t="str">
        <f>IF('Mobile Fuel Meters'!B53="",A65,'Mobile Fuel Meters'!B53)</f>
        <v>Meter Numbers</v>
      </c>
      <c r="B66" t="str" cm="1">
        <f>IF(ISBLANK(INDEX(Array_MobileChargeData,ROW()-15,COLUMN()*2-3)),"",INDEX(Array_MobileChargeData,ROW()-15,COLUMN()*2-3))</f>
        <v/>
      </c>
      <c r="C66" t="str" cm="1">
        <f>IF(ISBLANK(INDEX(Array_MobileChargeData,ROW()-15,COLUMN()*2-3)),"",INDEX(Array_MobileChargeData,ROW()-15,COLUMN()*2-3))</f>
        <v/>
      </c>
      <c r="D66" t="str" cm="1">
        <f>IF(ISBLANK(INDEX(Array_MobileChargeData,ROW()-15,COLUMN()*2-3)),"",INDEX(Array_MobileChargeData,ROW()-15,COLUMN()*2-3))</f>
        <v/>
      </c>
      <c r="E66" t="str" cm="1">
        <f>IF(ISBLANK(INDEX(Array_MobileChargeData,ROW()-15,COLUMN()*2-3)),"",INDEX(Array_MobileChargeData,ROW()-15,COLUMN()*2-3))</f>
        <v/>
      </c>
      <c r="F66" t="str" cm="1">
        <f>IF(ISBLANK(INDEX(Array_MobileChargeData,ROW()-15,COLUMN()*2-3)),"",INDEX(Array_MobileChargeData,ROW()-15,COLUMN()*2-3))</f>
        <v/>
      </c>
    </row>
    <row r="67" spans="1:6" x14ac:dyDescent="0.35">
      <c r="A67" t="str">
        <f>IF('Mobile Fuel Meters'!B54="",A66,'Mobile Fuel Meters'!B54)</f>
        <v>Meter Numbers</v>
      </c>
      <c r="B67" t="str" cm="1">
        <f>IF(ISBLANK(INDEX(Array_MobileChargeData,ROW()-15,COLUMN()*2-3)),"",INDEX(Array_MobileChargeData,ROW()-15,COLUMN()*2-3))</f>
        <v/>
      </c>
      <c r="C67" t="str" cm="1">
        <f>IF(ISBLANK(INDEX(Array_MobileChargeData,ROW()-15,COLUMN()*2-3)),"",INDEX(Array_MobileChargeData,ROW()-15,COLUMN()*2-3))</f>
        <v/>
      </c>
      <c r="D67" t="str" cm="1">
        <f>IF(ISBLANK(INDEX(Array_MobileChargeData,ROW()-15,COLUMN()*2-3)),"",INDEX(Array_MobileChargeData,ROW()-15,COLUMN()*2-3))</f>
        <v/>
      </c>
      <c r="E67" t="str" cm="1">
        <f>IF(ISBLANK(INDEX(Array_MobileChargeData,ROW()-15,COLUMN()*2-3)),"",INDEX(Array_MobileChargeData,ROW()-15,COLUMN()*2-3))</f>
        <v/>
      </c>
      <c r="F67" t="str" cm="1">
        <f>IF(ISBLANK(INDEX(Array_MobileChargeData,ROW()-15,COLUMN()*2-3)),"",INDEX(Array_MobileChargeData,ROW()-15,COLUMN()*2-3))</f>
        <v/>
      </c>
    </row>
    <row r="68" spans="1:6" x14ac:dyDescent="0.35">
      <c r="A68" t="str">
        <f>IF('Mobile Fuel Meters'!B55="",A67,'Mobile Fuel Meters'!B55)</f>
        <v>Meter Numbers</v>
      </c>
      <c r="B68" t="str" cm="1">
        <f>IF(ISBLANK(INDEX(Array_MobileChargeData,ROW()-15,COLUMN()*2-3)),"",INDEX(Array_MobileChargeData,ROW()-15,COLUMN()*2-3))</f>
        <v/>
      </c>
      <c r="C68" t="str" cm="1">
        <f>IF(ISBLANK(INDEX(Array_MobileChargeData,ROW()-15,COLUMN()*2-3)),"",INDEX(Array_MobileChargeData,ROW()-15,COLUMN()*2-3))</f>
        <v/>
      </c>
      <c r="D68" t="str" cm="1">
        <f>IF(ISBLANK(INDEX(Array_MobileChargeData,ROW()-15,COLUMN()*2-3)),"",INDEX(Array_MobileChargeData,ROW()-15,COLUMN()*2-3))</f>
        <v/>
      </c>
      <c r="E68" t="str" cm="1">
        <f>IF(ISBLANK(INDEX(Array_MobileChargeData,ROW()-15,COLUMN()*2-3)),"",INDEX(Array_MobileChargeData,ROW()-15,COLUMN()*2-3))</f>
        <v/>
      </c>
      <c r="F68" t="str" cm="1">
        <f>IF(ISBLANK(INDEX(Array_MobileChargeData,ROW()-15,COLUMN()*2-3)),"",INDEX(Array_MobileChargeData,ROW()-15,COLUMN()*2-3))</f>
        <v/>
      </c>
    </row>
    <row r="69" spans="1:6" x14ac:dyDescent="0.35">
      <c r="A69" t="str">
        <f>IF('Mobile Fuel Meters'!B56="",A68,'Mobile Fuel Meters'!B56)</f>
        <v>Meter Numbers</v>
      </c>
      <c r="B69" t="str" cm="1">
        <f>IF(ISBLANK(INDEX(Array_MobileChargeData,ROW()-15,COLUMN()*2-3)),"",INDEX(Array_MobileChargeData,ROW()-15,COLUMN()*2-3))</f>
        <v/>
      </c>
      <c r="C69" t="str" cm="1">
        <f>IF(ISBLANK(INDEX(Array_MobileChargeData,ROW()-15,COLUMN()*2-3)),"",INDEX(Array_MobileChargeData,ROW()-15,COLUMN()*2-3))</f>
        <v/>
      </c>
      <c r="D69" t="str" cm="1">
        <f>IF(ISBLANK(INDEX(Array_MobileChargeData,ROW()-15,COLUMN()*2-3)),"",INDEX(Array_MobileChargeData,ROW()-15,COLUMN()*2-3))</f>
        <v/>
      </c>
      <c r="E69" t="str" cm="1">
        <f>IF(ISBLANK(INDEX(Array_MobileChargeData,ROW()-15,COLUMN()*2-3)),"",INDEX(Array_MobileChargeData,ROW()-15,COLUMN()*2-3))</f>
        <v/>
      </c>
      <c r="F69" t="str" cm="1">
        <f>IF(ISBLANK(INDEX(Array_MobileChargeData,ROW()-15,COLUMN()*2-3)),"",INDEX(Array_MobileChargeData,ROW()-15,COLUMN()*2-3))</f>
        <v/>
      </c>
    </row>
    <row r="70" spans="1:6" x14ac:dyDescent="0.35">
      <c r="A70" t="str">
        <f>IF('Mobile Fuel Meters'!B57="",A69,'Mobile Fuel Meters'!B57)</f>
        <v>Meter Numbers</v>
      </c>
      <c r="B70" t="str" cm="1">
        <f>IF(ISBLANK(INDEX(Array_MobileChargeData,ROW()-15,COLUMN()*2-3)),"",INDEX(Array_MobileChargeData,ROW()-15,COLUMN()*2-3))</f>
        <v/>
      </c>
      <c r="C70" t="str" cm="1">
        <f>IF(ISBLANK(INDEX(Array_MobileChargeData,ROW()-15,COLUMN()*2-3)),"",INDEX(Array_MobileChargeData,ROW()-15,COLUMN()*2-3))</f>
        <v/>
      </c>
      <c r="D70" t="str" cm="1">
        <f>IF(ISBLANK(INDEX(Array_MobileChargeData,ROW()-15,COLUMN()*2-3)),"",INDEX(Array_MobileChargeData,ROW()-15,COLUMN()*2-3))</f>
        <v/>
      </c>
      <c r="E70" t="str" cm="1">
        <f>IF(ISBLANK(INDEX(Array_MobileChargeData,ROW()-15,COLUMN()*2-3)),"",INDEX(Array_MobileChargeData,ROW()-15,COLUMN()*2-3))</f>
        <v/>
      </c>
      <c r="F70" t="str" cm="1">
        <f>IF(ISBLANK(INDEX(Array_MobileChargeData,ROW()-15,COLUMN()*2-3)),"",INDEX(Array_MobileChargeData,ROW()-15,COLUMN()*2-3))</f>
        <v/>
      </c>
    </row>
    <row r="71" spans="1:6" x14ac:dyDescent="0.35">
      <c r="A71" t="str">
        <f>IF('Mobile Fuel Meters'!B58="",A70,'Mobile Fuel Meters'!B58)</f>
        <v>Meter Numbers</v>
      </c>
      <c r="B71" t="str" cm="1">
        <f>IF(ISBLANK(INDEX(Array_MobileChargeData,ROW()-15,COLUMN()*2-3)),"",INDEX(Array_MobileChargeData,ROW()-15,COLUMN()*2-3))</f>
        <v/>
      </c>
      <c r="C71" t="str" cm="1">
        <f>IF(ISBLANK(INDEX(Array_MobileChargeData,ROW()-15,COLUMN()*2-3)),"",INDEX(Array_MobileChargeData,ROW()-15,COLUMN()*2-3))</f>
        <v/>
      </c>
      <c r="D71" t="str" cm="1">
        <f>IF(ISBLANK(INDEX(Array_MobileChargeData,ROW()-15,COLUMN()*2-3)),"",INDEX(Array_MobileChargeData,ROW()-15,COLUMN()*2-3))</f>
        <v/>
      </c>
      <c r="E71" t="str" cm="1">
        <f>IF(ISBLANK(INDEX(Array_MobileChargeData,ROW()-15,COLUMN()*2-3)),"",INDEX(Array_MobileChargeData,ROW()-15,COLUMN()*2-3))</f>
        <v/>
      </c>
      <c r="F71" t="str" cm="1">
        <f>IF(ISBLANK(INDEX(Array_MobileChargeData,ROW()-15,COLUMN()*2-3)),"",INDEX(Array_MobileChargeData,ROW()-15,COLUMN()*2-3))</f>
        <v/>
      </c>
    </row>
    <row r="72" spans="1:6" x14ac:dyDescent="0.35">
      <c r="A72" t="str">
        <f>IF('Mobile Fuel Meters'!B59="",A71,'Mobile Fuel Meters'!B59)</f>
        <v>Meter Numbers</v>
      </c>
      <c r="B72" t="str" cm="1">
        <f>IF(ISBLANK(INDEX(Array_MobileChargeData,ROW()-15,COLUMN()*2-3)),"",INDEX(Array_MobileChargeData,ROW()-15,COLUMN()*2-3))</f>
        <v/>
      </c>
      <c r="C72" t="str" cm="1">
        <f>IF(ISBLANK(INDEX(Array_MobileChargeData,ROW()-15,COLUMN()*2-3)),"",INDEX(Array_MobileChargeData,ROW()-15,COLUMN()*2-3))</f>
        <v/>
      </c>
      <c r="D72" t="str" cm="1">
        <f>IF(ISBLANK(INDEX(Array_MobileChargeData,ROW()-15,COLUMN()*2-3)),"",INDEX(Array_MobileChargeData,ROW()-15,COLUMN()*2-3))</f>
        <v/>
      </c>
      <c r="E72" t="str" cm="1">
        <f>IF(ISBLANK(INDEX(Array_MobileChargeData,ROW()-15,COLUMN()*2-3)),"",INDEX(Array_MobileChargeData,ROW()-15,COLUMN()*2-3))</f>
        <v/>
      </c>
      <c r="F72" t="str" cm="1">
        <f>IF(ISBLANK(INDEX(Array_MobileChargeData,ROW()-15,COLUMN()*2-3)),"",INDEX(Array_MobileChargeData,ROW()-15,COLUMN()*2-3))</f>
        <v/>
      </c>
    </row>
    <row r="73" spans="1:6" x14ac:dyDescent="0.35">
      <c r="A73" t="str">
        <f>IF('Mobile Fuel Meters'!B60="",A72,'Mobile Fuel Meters'!B60)</f>
        <v>Meter Numbers</v>
      </c>
      <c r="B73" t="str" cm="1">
        <f>IF(ISBLANK(INDEX(Array_MobileChargeData,ROW()-15,COLUMN()*2-3)),"",INDEX(Array_MobileChargeData,ROW()-15,COLUMN()*2-3))</f>
        <v/>
      </c>
      <c r="C73" t="str" cm="1">
        <f>IF(ISBLANK(INDEX(Array_MobileChargeData,ROW()-15,COLUMN()*2-3)),"",INDEX(Array_MobileChargeData,ROW()-15,COLUMN()*2-3))</f>
        <v/>
      </c>
      <c r="D73" t="str" cm="1">
        <f>IF(ISBLANK(INDEX(Array_MobileChargeData,ROW()-15,COLUMN()*2-3)),"",INDEX(Array_MobileChargeData,ROW()-15,COLUMN()*2-3))</f>
        <v/>
      </c>
      <c r="E73" t="str" cm="1">
        <f>IF(ISBLANK(INDEX(Array_MobileChargeData,ROW()-15,COLUMN()*2-3)),"",INDEX(Array_MobileChargeData,ROW()-15,COLUMN()*2-3))</f>
        <v/>
      </c>
      <c r="F73" t="str" cm="1">
        <f>IF(ISBLANK(INDEX(Array_MobileChargeData,ROW()-15,COLUMN()*2-3)),"",INDEX(Array_MobileChargeData,ROW()-15,COLUMN()*2-3))</f>
        <v/>
      </c>
    </row>
    <row r="74" spans="1:6" x14ac:dyDescent="0.35">
      <c r="A74" t="str">
        <f>IF('Mobile Fuel Meters'!B61="",A73,'Mobile Fuel Meters'!B61)</f>
        <v>Meter Numbers</v>
      </c>
      <c r="B74" t="str" cm="1">
        <f>IF(ISBLANK(INDEX(Array_MobileChargeData,ROW()-15,COLUMN()*2-3)),"",INDEX(Array_MobileChargeData,ROW()-15,COLUMN()*2-3))</f>
        <v/>
      </c>
      <c r="C74" t="str" cm="1">
        <f>IF(ISBLANK(INDEX(Array_MobileChargeData,ROW()-15,COLUMN()*2-3)),"",INDEX(Array_MobileChargeData,ROW()-15,COLUMN()*2-3))</f>
        <v/>
      </c>
      <c r="D74" t="str" cm="1">
        <f>IF(ISBLANK(INDEX(Array_MobileChargeData,ROW()-15,COLUMN()*2-3)),"",INDEX(Array_MobileChargeData,ROW()-15,COLUMN()*2-3))</f>
        <v/>
      </c>
      <c r="E74" t="str" cm="1">
        <f>IF(ISBLANK(INDEX(Array_MobileChargeData,ROW()-15,COLUMN()*2-3)),"",INDEX(Array_MobileChargeData,ROW()-15,COLUMN()*2-3))</f>
        <v/>
      </c>
      <c r="F74" t="str" cm="1">
        <f>IF(ISBLANK(INDEX(Array_MobileChargeData,ROW()-15,COLUMN()*2-3)),"",INDEX(Array_MobileChargeData,ROW()-15,COLUMN()*2-3))</f>
        <v/>
      </c>
    </row>
    <row r="75" spans="1:6" x14ac:dyDescent="0.35">
      <c r="A75" t="str">
        <f>IF('Mobile Fuel Meters'!B62="",A74,'Mobile Fuel Meters'!B62)</f>
        <v>Meter Numbers</v>
      </c>
      <c r="B75" t="str" cm="1">
        <f>IF(ISBLANK(INDEX(Array_MobileChargeData,ROW()-15,COLUMN()*2-3)),"",INDEX(Array_MobileChargeData,ROW()-15,COLUMN()*2-3))</f>
        <v/>
      </c>
      <c r="C75" t="str" cm="1">
        <f>IF(ISBLANK(INDEX(Array_MobileChargeData,ROW()-15,COLUMN()*2-3)),"",INDEX(Array_MobileChargeData,ROW()-15,COLUMN()*2-3))</f>
        <v/>
      </c>
      <c r="D75" t="str" cm="1">
        <f>IF(ISBLANK(INDEX(Array_MobileChargeData,ROW()-15,COLUMN()*2-3)),"",INDEX(Array_MobileChargeData,ROW()-15,COLUMN()*2-3))</f>
        <v/>
      </c>
      <c r="E75" t="str" cm="1">
        <f>IF(ISBLANK(INDEX(Array_MobileChargeData,ROW()-15,COLUMN()*2-3)),"",INDEX(Array_MobileChargeData,ROW()-15,COLUMN()*2-3))</f>
        <v/>
      </c>
      <c r="F75" t="str" cm="1">
        <f>IF(ISBLANK(INDEX(Array_MobileChargeData,ROW()-15,COLUMN()*2-3)),"",INDEX(Array_MobileChargeData,ROW()-15,COLUMN()*2-3))</f>
        <v/>
      </c>
    </row>
    <row r="76" spans="1:6" x14ac:dyDescent="0.35">
      <c r="A76" t="str">
        <f>IF('Mobile Fuel Meters'!B63="",A75,'Mobile Fuel Meters'!B63)</f>
        <v>Meter Numbers</v>
      </c>
      <c r="B76" t="str" cm="1">
        <f>IF(ISBLANK(INDEX(Array_MobileChargeData,ROW()-15,COLUMN()*2-3)),"",INDEX(Array_MobileChargeData,ROW()-15,COLUMN()*2-3))</f>
        <v/>
      </c>
      <c r="C76" t="str" cm="1">
        <f>IF(ISBLANK(INDEX(Array_MobileChargeData,ROW()-15,COLUMN()*2-3)),"",INDEX(Array_MobileChargeData,ROW()-15,COLUMN()*2-3))</f>
        <v/>
      </c>
      <c r="D76" t="str" cm="1">
        <f>IF(ISBLANK(INDEX(Array_MobileChargeData,ROW()-15,COLUMN()*2-3)),"",INDEX(Array_MobileChargeData,ROW()-15,COLUMN()*2-3))</f>
        <v/>
      </c>
      <c r="E76" t="str" cm="1">
        <f>IF(ISBLANK(INDEX(Array_MobileChargeData,ROW()-15,COLUMN()*2-3)),"",INDEX(Array_MobileChargeData,ROW()-15,COLUMN()*2-3))</f>
        <v/>
      </c>
      <c r="F76" t="str" cm="1">
        <f>IF(ISBLANK(INDEX(Array_MobileChargeData,ROW()-15,COLUMN()*2-3)),"",INDEX(Array_MobileChargeData,ROW()-15,COLUMN()*2-3))</f>
        <v/>
      </c>
    </row>
    <row r="77" spans="1:6" x14ac:dyDescent="0.35">
      <c r="A77" t="str">
        <f>IF('Mobile Fuel Meters'!B64="",A76,'Mobile Fuel Meters'!B64)</f>
        <v>Meter Numbers</v>
      </c>
      <c r="B77" t="str" cm="1">
        <f>IF(ISBLANK(INDEX(Array_MobileChargeData,ROW()-15,COLUMN()*2-3)),"",INDEX(Array_MobileChargeData,ROW()-15,COLUMN()*2-3))</f>
        <v/>
      </c>
      <c r="C77" t="str" cm="1">
        <f>IF(ISBLANK(INDEX(Array_MobileChargeData,ROW()-15,COLUMN()*2-3)),"",INDEX(Array_MobileChargeData,ROW()-15,COLUMN()*2-3))</f>
        <v/>
      </c>
      <c r="D77" t="str" cm="1">
        <f>IF(ISBLANK(INDEX(Array_MobileChargeData,ROW()-15,COLUMN()*2-3)),"",INDEX(Array_MobileChargeData,ROW()-15,COLUMN()*2-3))</f>
        <v/>
      </c>
      <c r="E77" t="str" cm="1">
        <f>IF(ISBLANK(INDEX(Array_MobileChargeData,ROW()-15,COLUMN()*2-3)),"",INDEX(Array_MobileChargeData,ROW()-15,COLUMN()*2-3))</f>
        <v/>
      </c>
      <c r="F77" t="str" cm="1">
        <f>IF(ISBLANK(INDEX(Array_MobileChargeData,ROW()-15,COLUMN()*2-3)),"",INDEX(Array_MobileChargeData,ROW()-15,COLUMN()*2-3))</f>
        <v/>
      </c>
    </row>
    <row r="78" spans="1:6" x14ac:dyDescent="0.35">
      <c r="A78" t="str">
        <f>IF('Mobile Fuel Meters'!B65="",A77,'Mobile Fuel Meters'!B65)</f>
        <v>Meter Numbers</v>
      </c>
      <c r="B78" t="str" cm="1">
        <f>IF(ISBLANK(INDEX(Array_MobileChargeData,ROW()-15,COLUMN()*2-3)),"",INDEX(Array_MobileChargeData,ROW()-15,COLUMN()*2-3))</f>
        <v/>
      </c>
      <c r="C78" t="str" cm="1">
        <f>IF(ISBLANK(INDEX(Array_MobileChargeData,ROW()-15,COLUMN()*2-3)),"",INDEX(Array_MobileChargeData,ROW()-15,COLUMN()*2-3))</f>
        <v/>
      </c>
      <c r="D78" t="str" cm="1">
        <f>IF(ISBLANK(INDEX(Array_MobileChargeData,ROW()-15,COLUMN()*2-3)),"",INDEX(Array_MobileChargeData,ROW()-15,COLUMN()*2-3))</f>
        <v/>
      </c>
      <c r="E78" t="str" cm="1">
        <f>IF(ISBLANK(INDEX(Array_MobileChargeData,ROW()-15,COLUMN()*2-3)),"",INDEX(Array_MobileChargeData,ROW()-15,COLUMN()*2-3))</f>
        <v/>
      </c>
      <c r="F78" t="str" cm="1">
        <f>IF(ISBLANK(INDEX(Array_MobileChargeData,ROW()-15,COLUMN()*2-3)),"",INDEX(Array_MobileChargeData,ROW()-15,COLUMN()*2-3))</f>
        <v/>
      </c>
    </row>
    <row r="79" spans="1:6" x14ac:dyDescent="0.35">
      <c r="A79" t="str">
        <f>IF('Mobile Fuel Meters'!B66="",A78,'Mobile Fuel Meters'!B66)</f>
        <v>Meter Numbers</v>
      </c>
      <c r="B79" t="str" cm="1">
        <f>IF(ISBLANK(INDEX(Array_MobileChargeData,ROW()-15,COLUMN()*2-3)),"",INDEX(Array_MobileChargeData,ROW()-15,COLUMN()*2-3))</f>
        <v/>
      </c>
      <c r="C79" t="str" cm="1">
        <f>IF(ISBLANK(INDEX(Array_MobileChargeData,ROW()-15,COLUMN()*2-3)),"",INDEX(Array_MobileChargeData,ROW()-15,COLUMN()*2-3))</f>
        <v/>
      </c>
      <c r="D79" t="str" cm="1">
        <f>IF(ISBLANK(INDEX(Array_MobileChargeData,ROW()-15,COLUMN()*2-3)),"",INDEX(Array_MobileChargeData,ROW()-15,COLUMN()*2-3))</f>
        <v/>
      </c>
      <c r="E79" t="str" cm="1">
        <f>IF(ISBLANK(INDEX(Array_MobileChargeData,ROW()-15,COLUMN()*2-3)),"",INDEX(Array_MobileChargeData,ROW()-15,COLUMN()*2-3))</f>
        <v/>
      </c>
      <c r="F79" t="str" cm="1">
        <f>IF(ISBLANK(INDEX(Array_MobileChargeData,ROW()-15,COLUMN()*2-3)),"",INDEX(Array_MobileChargeData,ROW()-15,COLUMN()*2-3))</f>
        <v/>
      </c>
    </row>
    <row r="80" spans="1:6" x14ac:dyDescent="0.35">
      <c r="A80" t="str">
        <f>IF('Mobile Fuel Meters'!B67="",A79,'Mobile Fuel Meters'!B67)</f>
        <v>Meter Numbers</v>
      </c>
      <c r="B80" t="str" cm="1">
        <f>IF(ISBLANK(INDEX(Array_MobileChargeData,ROW()-15,COLUMN()*2-3)),"",INDEX(Array_MobileChargeData,ROW()-15,COLUMN()*2-3))</f>
        <v/>
      </c>
      <c r="C80" t="str" cm="1">
        <f>IF(ISBLANK(INDEX(Array_MobileChargeData,ROW()-15,COLUMN()*2-3)),"",INDEX(Array_MobileChargeData,ROW()-15,COLUMN()*2-3))</f>
        <v/>
      </c>
      <c r="D80" t="str" cm="1">
        <f>IF(ISBLANK(INDEX(Array_MobileChargeData,ROW()-15,COLUMN()*2-3)),"",INDEX(Array_MobileChargeData,ROW()-15,COLUMN()*2-3))</f>
        <v/>
      </c>
      <c r="E80" t="str" cm="1">
        <f>IF(ISBLANK(INDEX(Array_MobileChargeData,ROW()-15,COLUMN()*2-3)),"",INDEX(Array_MobileChargeData,ROW()-15,COLUMN()*2-3))</f>
        <v/>
      </c>
      <c r="F80" t="str" cm="1">
        <f>IF(ISBLANK(INDEX(Array_MobileChargeData,ROW()-15,COLUMN()*2-3)),"",INDEX(Array_MobileChargeData,ROW()-15,COLUMN()*2-3))</f>
        <v/>
      </c>
    </row>
    <row r="81" spans="1:6" x14ac:dyDescent="0.35">
      <c r="A81" t="str">
        <f>IF('Mobile Fuel Meters'!B68="",A80,'Mobile Fuel Meters'!B68)</f>
        <v>Meter Numbers</v>
      </c>
      <c r="B81" t="str" cm="1">
        <f>IF(ISBLANK(INDEX(Array_MobileChargeData,ROW()-15,COLUMN()*2-3)),"",INDEX(Array_MobileChargeData,ROW()-15,COLUMN()*2-3))</f>
        <v/>
      </c>
      <c r="C81" t="str" cm="1">
        <f>IF(ISBLANK(INDEX(Array_MobileChargeData,ROW()-15,COLUMN()*2-3)),"",INDEX(Array_MobileChargeData,ROW()-15,COLUMN()*2-3))</f>
        <v/>
      </c>
      <c r="D81" t="str" cm="1">
        <f>IF(ISBLANK(INDEX(Array_MobileChargeData,ROW()-15,COLUMN()*2-3)),"",INDEX(Array_MobileChargeData,ROW()-15,COLUMN()*2-3))</f>
        <v/>
      </c>
      <c r="E81" t="str" cm="1">
        <f>IF(ISBLANK(INDEX(Array_MobileChargeData,ROW()-15,COLUMN()*2-3)),"",INDEX(Array_MobileChargeData,ROW()-15,COLUMN()*2-3))</f>
        <v/>
      </c>
      <c r="F81" t="str" cm="1">
        <f>IF(ISBLANK(INDEX(Array_MobileChargeData,ROW()-15,COLUMN()*2-3)),"",INDEX(Array_MobileChargeData,ROW()-15,COLUMN()*2-3))</f>
        <v/>
      </c>
    </row>
    <row r="82" spans="1:6" x14ac:dyDescent="0.35">
      <c r="A82" t="str">
        <f>IF('Mobile Fuel Meters'!B69="",A81,'Mobile Fuel Meters'!B69)</f>
        <v>Meter Numbers</v>
      </c>
      <c r="B82" t="str" cm="1">
        <f>IF(ISBLANK(INDEX(Array_MobileChargeData,ROW()-15,COLUMN()*2-3)),"",INDEX(Array_MobileChargeData,ROW()-15,COLUMN()*2-3))</f>
        <v/>
      </c>
      <c r="C82" t="str" cm="1">
        <f>IF(ISBLANK(INDEX(Array_MobileChargeData,ROW()-15,COLUMN()*2-3)),"",INDEX(Array_MobileChargeData,ROW()-15,COLUMN()*2-3))</f>
        <v/>
      </c>
      <c r="D82" t="str" cm="1">
        <f>IF(ISBLANK(INDEX(Array_MobileChargeData,ROW()-15,COLUMN()*2-3)),"",INDEX(Array_MobileChargeData,ROW()-15,COLUMN()*2-3))</f>
        <v/>
      </c>
      <c r="E82" t="str" cm="1">
        <f>IF(ISBLANK(INDEX(Array_MobileChargeData,ROW()-15,COLUMN()*2-3)),"",INDEX(Array_MobileChargeData,ROW()-15,COLUMN()*2-3))</f>
        <v/>
      </c>
      <c r="F82" t="str" cm="1">
        <f>IF(ISBLANK(INDEX(Array_MobileChargeData,ROW()-15,COLUMN()*2-3)),"",INDEX(Array_MobileChargeData,ROW()-15,COLUMN()*2-3))</f>
        <v/>
      </c>
    </row>
    <row r="83" spans="1:6" x14ac:dyDescent="0.35">
      <c r="A83" t="str">
        <f>IF('Mobile Fuel Meters'!B70="",A82,'Mobile Fuel Meters'!B70)</f>
        <v>Meter Numbers</v>
      </c>
      <c r="B83" t="str" cm="1">
        <f>IF(ISBLANK(INDEX(Array_MobileChargeData,ROW()-15,COLUMN()*2-3)),"",INDEX(Array_MobileChargeData,ROW()-15,COLUMN()*2-3))</f>
        <v/>
      </c>
      <c r="C83" t="str" cm="1">
        <f>IF(ISBLANK(INDEX(Array_MobileChargeData,ROW()-15,COLUMN()*2-3)),"",INDEX(Array_MobileChargeData,ROW()-15,COLUMN()*2-3))</f>
        <v/>
      </c>
      <c r="D83" t="str" cm="1">
        <f>IF(ISBLANK(INDEX(Array_MobileChargeData,ROW()-15,COLUMN()*2-3)),"",INDEX(Array_MobileChargeData,ROW()-15,COLUMN()*2-3))</f>
        <v/>
      </c>
      <c r="E83" t="str" cm="1">
        <f>IF(ISBLANK(INDEX(Array_MobileChargeData,ROW()-15,COLUMN()*2-3)),"",INDEX(Array_MobileChargeData,ROW()-15,COLUMN()*2-3))</f>
        <v/>
      </c>
      <c r="F83" t="str" cm="1">
        <f>IF(ISBLANK(INDEX(Array_MobileChargeData,ROW()-15,COLUMN()*2-3)),"",INDEX(Array_MobileChargeData,ROW()-15,COLUMN()*2-3))</f>
        <v/>
      </c>
    </row>
    <row r="84" spans="1:6" x14ac:dyDescent="0.35">
      <c r="A84" t="str">
        <f>IF('Mobile Fuel Meters'!B71="",A83,'Mobile Fuel Meters'!B71)</f>
        <v>Meter Numbers</v>
      </c>
      <c r="B84" t="str" cm="1">
        <f>IF(ISBLANK(INDEX(Array_MobileChargeData,ROW()-15,COLUMN()*2-3)),"",INDEX(Array_MobileChargeData,ROW()-15,COLUMN()*2-3))</f>
        <v/>
      </c>
      <c r="C84" t="str" cm="1">
        <f>IF(ISBLANK(INDEX(Array_MobileChargeData,ROW()-15,COLUMN()*2-3)),"",INDEX(Array_MobileChargeData,ROW()-15,COLUMN()*2-3))</f>
        <v/>
      </c>
      <c r="D84" t="str" cm="1">
        <f>IF(ISBLANK(INDEX(Array_MobileChargeData,ROW()-15,COLUMN()*2-3)),"",INDEX(Array_MobileChargeData,ROW()-15,COLUMN()*2-3))</f>
        <v/>
      </c>
      <c r="E84" t="str" cm="1">
        <f>IF(ISBLANK(INDEX(Array_MobileChargeData,ROW()-15,COLUMN()*2-3)),"",INDEX(Array_MobileChargeData,ROW()-15,COLUMN()*2-3))</f>
        <v/>
      </c>
      <c r="F84" t="str" cm="1">
        <f>IF(ISBLANK(INDEX(Array_MobileChargeData,ROW()-15,COLUMN()*2-3)),"",INDEX(Array_MobileChargeData,ROW()-15,COLUMN()*2-3))</f>
        <v/>
      </c>
    </row>
    <row r="85" spans="1:6" x14ac:dyDescent="0.35">
      <c r="A85" t="str">
        <f>IF('Mobile Fuel Meters'!B72="",A84,'Mobile Fuel Meters'!B72)</f>
        <v>Meter Numbers</v>
      </c>
      <c r="B85" t="str" cm="1">
        <f>IF(ISBLANK(INDEX(Array_MobileChargeData,ROW()-15,COLUMN()*2-3)),"",INDEX(Array_MobileChargeData,ROW()-15,COLUMN()*2-3))</f>
        <v/>
      </c>
      <c r="C85" t="str" cm="1">
        <f>IF(ISBLANK(INDEX(Array_MobileChargeData,ROW()-15,COLUMN()*2-3)),"",INDEX(Array_MobileChargeData,ROW()-15,COLUMN()*2-3))</f>
        <v/>
      </c>
      <c r="D85" t="str" cm="1">
        <f>IF(ISBLANK(INDEX(Array_MobileChargeData,ROW()-15,COLUMN()*2-3)),"",INDEX(Array_MobileChargeData,ROW()-15,COLUMN()*2-3))</f>
        <v/>
      </c>
      <c r="E85" t="str" cm="1">
        <f>IF(ISBLANK(INDEX(Array_MobileChargeData,ROW()-15,COLUMN()*2-3)),"",INDEX(Array_MobileChargeData,ROW()-15,COLUMN()*2-3))</f>
        <v/>
      </c>
      <c r="F85" t="str" cm="1">
        <f>IF(ISBLANK(INDEX(Array_MobileChargeData,ROW()-15,COLUMN()*2-3)),"",INDEX(Array_MobileChargeData,ROW()-15,COLUMN()*2-3))</f>
        <v/>
      </c>
    </row>
    <row r="86" spans="1:6" x14ac:dyDescent="0.35">
      <c r="A86" t="str">
        <f>IF('Mobile Fuel Meters'!B73="",A85,'Mobile Fuel Meters'!B73)</f>
        <v>Meter Numbers</v>
      </c>
      <c r="B86" t="str" cm="1">
        <f>IF(ISBLANK(INDEX(Array_MobileChargeData,ROW()-15,COLUMN()*2-3)),"",INDEX(Array_MobileChargeData,ROW()-15,COLUMN()*2-3))</f>
        <v/>
      </c>
      <c r="C86" t="str" cm="1">
        <f>IF(ISBLANK(INDEX(Array_MobileChargeData,ROW()-15,COLUMN()*2-3)),"",INDEX(Array_MobileChargeData,ROW()-15,COLUMN()*2-3))</f>
        <v/>
      </c>
      <c r="D86" t="str" cm="1">
        <f>IF(ISBLANK(INDEX(Array_MobileChargeData,ROW()-15,COLUMN()*2-3)),"",INDEX(Array_MobileChargeData,ROW()-15,COLUMN()*2-3))</f>
        <v/>
      </c>
      <c r="E86" t="str" cm="1">
        <f>IF(ISBLANK(INDEX(Array_MobileChargeData,ROW()-15,COLUMN()*2-3)),"",INDEX(Array_MobileChargeData,ROW()-15,COLUMN()*2-3))</f>
        <v/>
      </c>
      <c r="F86" t="str" cm="1">
        <f>IF(ISBLANK(INDEX(Array_MobileChargeData,ROW()-15,COLUMN()*2-3)),"",INDEX(Array_MobileChargeData,ROW()-15,COLUMN()*2-3))</f>
        <v/>
      </c>
    </row>
    <row r="87" spans="1:6" x14ac:dyDescent="0.35">
      <c r="A87" t="str">
        <f>IF('Mobile Fuel Meters'!B74="",A86,'Mobile Fuel Meters'!B74)</f>
        <v>Meter Numbers</v>
      </c>
      <c r="B87" t="str" cm="1">
        <f>IF(ISBLANK(INDEX(Array_MobileChargeData,ROW()-15,COLUMN()*2-3)),"",INDEX(Array_MobileChargeData,ROW()-15,COLUMN()*2-3))</f>
        <v/>
      </c>
      <c r="C87" t="str" cm="1">
        <f>IF(ISBLANK(INDEX(Array_MobileChargeData,ROW()-15,COLUMN()*2-3)),"",INDEX(Array_MobileChargeData,ROW()-15,COLUMN()*2-3))</f>
        <v/>
      </c>
      <c r="D87" t="str" cm="1">
        <f>IF(ISBLANK(INDEX(Array_MobileChargeData,ROW()-15,COLUMN()*2-3)),"",INDEX(Array_MobileChargeData,ROW()-15,COLUMN()*2-3))</f>
        <v/>
      </c>
      <c r="E87" t="str" cm="1">
        <f>IF(ISBLANK(INDEX(Array_MobileChargeData,ROW()-15,COLUMN()*2-3)),"",INDEX(Array_MobileChargeData,ROW()-15,COLUMN()*2-3))</f>
        <v/>
      </c>
      <c r="F87" t="str" cm="1">
        <f>IF(ISBLANK(INDEX(Array_MobileChargeData,ROW()-15,COLUMN()*2-3)),"",INDEX(Array_MobileChargeData,ROW()-15,COLUMN()*2-3))</f>
        <v/>
      </c>
    </row>
    <row r="88" spans="1:6" x14ac:dyDescent="0.35">
      <c r="A88" t="str">
        <f>IF('Mobile Fuel Meters'!B75="",A87,'Mobile Fuel Meters'!B75)</f>
        <v>Meter Numbers</v>
      </c>
      <c r="B88" t="str" cm="1">
        <f>IF(ISBLANK(INDEX(Array_MobileChargeData,ROW()-15,COLUMN()*2-3)),"",INDEX(Array_MobileChargeData,ROW()-15,COLUMN()*2-3))</f>
        <v/>
      </c>
      <c r="C88" t="str" cm="1">
        <f>IF(ISBLANK(INDEX(Array_MobileChargeData,ROW()-15,COLUMN()*2-3)),"",INDEX(Array_MobileChargeData,ROW()-15,COLUMN()*2-3))</f>
        <v/>
      </c>
      <c r="D88" t="str" cm="1">
        <f>IF(ISBLANK(INDEX(Array_MobileChargeData,ROW()-15,COLUMN()*2-3)),"",INDEX(Array_MobileChargeData,ROW()-15,COLUMN()*2-3))</f>
        <v/>
      </c>
      <c r="E88" t="str" cm="1">
        <f>IF(ISBLANK(INDEX(Array_MobileChargeData,ROW()-15,COLUMN()*2-3)),"",INDEX(Array_MobileChargeData,ROW()-15,COLUMN()*2-3))</f>
        <v/>
      </c>
      <c r="F88" t="str" cm="1">
        <f>IF(ISBLANK(INDEX(Array_MobileChargeData,ROW()-15,COLUMN()*2-3)),"",INDEX(Array_MobileChargeData,ROW()-15,COLUMN()*2-3))</f>
        <v/>
      </c>
    </row>
    <row r="89" spans="1:6" x14ac:dyDescent="0.35">
      <c r="A89" t="str">
        <f>IF('Mobile Fuel Meters'!B76="",A88,'Mobile Fuel Meters'!B76)</f>
        <v>Meter Numbers</v>
      </c>
      <c r="B89" t="str" cm="1">
        <f>IF(ISBLANK(INDEX(Array_MobileChargeData,ROW()-15,COLUMN()*2-3)),"",INDEX(Array_MobileChargeData,ROW()-15,COLUMN()*2-3))</f>
        <v/>
      </c>
      <c r="C89" t="str" cm="1">
        <f>IF(ISBLANK(INDEX(Array_MobileChargeData,ROW()-15,COLUMN()*2-3)),"",INDEX(Array_MobileChargeData,ROW()-15,COLUMN()*2-3))</f>
        <v/>
      </c>
      <c r="D89" t="str" cm="1">
        <f>IF(ISBLANK(INDEX(Array_MobileChargeData,ROW()-15,COLUMN()*2-3)),"",INDEX(Array_MobileChargeData,ROW()-15,COLUMN()*2-3))</f>
        <v/>
      </c>
      <c r="E89" t="str" cm="1">
        <f>IF(ISBLANK(INDEX(Array_MobileChargeData,ROW()-15,COLUMN()*2-3)),"",INDEX(Array_MobileChargeData,ROW()-15,COLUMN()*2-3))</f>
        <v/>
      </c>
      <c r="F89" t="str" cm="1">
        <f>IF(ISBLANK(INDEX(Array_MobileChargeData,ROW()-15,COLUMN()*2-3)),"",INDEX(Array_MobileChargeData,ROW()-15,COLUMN()*2-3))</f>
        <v/>
      </c>
    </row>
    <row r="90" spans="1:6" x14ac:dyDescent="0.35">
      <c r="A90" t="str">
        <f>IF('Mobile Fuel Meters'!B77="",A89,'Mobile Fuel Meters'!B77)</f>
        <v>Meter Numbers</v>
      </c>
      <c r="B90" t="str" cm="1">
        <f>IF(ISBLANK(INDEX(Array_MobileChargeData,ROW()-15,COLUMN()*2-3)),"",INDEX(Array_MobileChargeData,ROW()-15,COLUMN()*2-3))</f>
        <v/>
      </c>
      <c r="C90" t="str" cm="1">
        <f>IF(ISBLANK(INDEX(Array_MobileChargeData,ROW()-15,COLUMN()*2-3)),"",INDEX(Array_MobileChargeData,ROW()-15,COLUMN()*2-3))</f>
        <v/>
      </c>
      <c r="D90" t="str" cm="1">
        <f>IF(ISBLANK(INDEX(Array_MobileChargeData,ROW()-15,COLUMN()*2-3)),"",INDEX(Array_MobileChargeData,ROW()-15,COLUMN()*2-3))</f>
        <v/>
      </c>
      <c r="E90" t="str" cm="1">
        <f>IF(ISBLANK(INDEX(Array_MobileChargeData,ROW()-15,COLUMN()*2-3)),"",INDEX(Array_MobileChargeData,ROW()-15,COLUMN()*2-3))</f>
        <v/>
      </c>
      <c r="F90" t="str" cm="1">
        <f>IF(ISBLANK(INDEX(Array_MobileChargeData,ROW()-15,COLUMN()*2-3)),"",INDEX(Array_MobileChargeData,ROW()-15,COLUMN()*2-3))</f>
        <v/>
      </c>
    </row>
    <row r="91" spans="1:6" x14ac:dyDescent="0.35">
      <c r="A91" t="str">
        <f>IF('Mobile Fuel Meters'!B78="",A90,'Mobile Fuel Meters'!B78)</f>
        <v>Meter Numbers</v>
      </c>
      <c r="B91" t="str" cm="1">
        <f>IF(ISBLANK(INDEX(Array_MobileChargeData,ROW()-15,COLUMN()*2-3)),"",INDEX(Array_MobileChargeData,ROW()-15,COLUMN()*2-3))</f>
        <v/>
      </c>
      <c r="C91" t="str" cm="1">
        <f>IF(ISBLANK(INDEX(Array_MobileChargeData,ROW()-15,COLUMN()*2-3)),"",INDEX(Array_MobileChargeData,ROW()-15,COLUMN()*2-3))</f>
        <v/>
      </c>
      <c r="D91" t="str" cm="1">
        <f>IF(ISBLANK(INDEX(Array_MobileChargeData,ROW()-15,COLUMN()*2-3)),"",INDEX(Array_MobileChargeData,ROW()-15,COLUMN()*2-3))</f>
        <v/>
      </c>
      <c r="E91" t="str" cm="1">
        <f>IF(ISBLANK(INDEX(Array_MobileChargeData,ROW()-15,COLUMN()*2-3)),"",INDEX(Array_MobileChargeData,ROW()-15,COLUMN()*2-3))</f>
        <v/>
      </c>
      <c r="F91" t="str" cm="1">
        <f>IF(ISBLANK(INDEX(Array_MobileChargeData,ROW()-15,COLUMN()*2-3)),"",INDEX(Array_MobileChargeData,ROW()-15,COLUMN()*2-3))</f>
        <v/>
      </c>
    </row>
    <row r="92" spans="1:6" x14ac:dyDescent="0.35">
      <c r="A92" t="str">
        <f>IF('Mobile Fuel Meters'!B79="",A91,'Mobile Fuel Meters'!B79)</f>
        <v>Meter Numbers</v>
      </c>
      <c r="B92" t="str" cm="1">
        <f>IF(ISBLANK(INDEX(Array_MobileChargeData,ROW()-15,COLUMN()*2-3)),"",INDEX(Array_MobileChargeData,ROW()-15,COLUMN()*2-3))</f>
        <v/>
      </c>
      <c r="C92" t="str" cm="1">
        <f>IF(ISBLANK(INDEX(Array_MobileChargeData,ROW()-15,COLUMN()*2-3)),"",INDEX(Array_MobileChargeData,ROW()-15,COLUMN()*2-3))</f>
        <v/>
      </c>
      <c r="D92" t="str" cm="1">
        <f>IF(ISBLANK(INDEX(Array_MobileChargeData,ROW()-15,COLUMN()*2-3)),"",INDEX(Array_MobileChargeData,ROW()-15,COLUMN()*2-3))</f>
        <v/>
      </c>
      <c r="E92" t="str" cm="1">
        <f>IF(ISBLANK(INDEX(Array_MobileChargeData,ROW()-15,COLUMN()*2-3)),"",INDEX(Array_MobileChargeData,ROW()-15,COLUMN()*2-3))</f>
        <v/>
      </c>
      <c r="F92" t="str" cm="1">
        <f>IF(ISBLANK(INDEX(Array_MobileChargeData,ROW()-15,COLUMN()*2-3)),"",INDEX(Array_MobileChargeData,ROW()-15,COLUMN()*2-3))</f>
        <v/>
      </c>
    </row>
    <row r="93" spans="1:6" x14ac:dyDescent="0.35">
      <c r="A93" t="str">
        <f>IF('Mobile Fuel Meters'!B80="",A92,'Mobile Fuel Meters'!B80)</f>
        <v>Meter Numbers</v>
      </c>
      <c r="B93" t="str" cm="1">
        <f>IF(ISBLANK(INDEX(Array_MobileChargeData,ROW()-15,COLUMN()*2-3)),"",INDEX(Array_MobileChargeData,ROW()-15,COLUMN()*2-3))</f>
        <v/>
      </c>
      <c r="C93" t="str" cm="1">
        <f>IF(ISBLANK(INDEX(Array_MobileChargeData,ROW()-15,COLUMN()*2-3)),"",INDEX(Array_MobileChargeData,ROW()-15,COLUMN()*2-3))</f>
        <v/>
      </c>
      <c r="D93" t="str" cm="1">
        <f>IF(ISBLANK(INDEX(Array_MobileChargeData,ROW()-15,COLUMN()*2-3)),"",INDEX(Array_MobileChargeData,ROW()-15,COLUMN()*2-3))</f>
        <v/>
      </c>
      <c r="E93" t="str" cm="1">
        <f>IF(ISBLANK(INDEX(Array_MobileChargeData,ROW()-15,COLUMN()*2-3)),"",INDEX(Array_MobileChargeData,ROW()-15,COLUMN()*2-3))</f>
        <v/>
      </c>
      <c r="F93" t="str" cm="1">
        <f>IF(ISBLANK(INDEX(Array_MobileChargeData,ROW()-15,COLUMN()*2-3)),"",INDEX(Array_MobileChargeData,ROW()-15,COLUMN()*2-3))</f>
        <v/>
      </c>
    </row>
    <row r="94" spans="1:6" x14ac:dyDescent="0.35">
      <c r="A94" t="str">
        <f>IF('Mobile Fuel Meters'!B81="",A93,'Mobile Fuel Meters'!B81)</f>
        <v>Meter Numbers</v>
      </c>
      <c r="B94" t="str" cm="1">
        <f>IF(ISBLANK(INDEX(Array_MobileChargeData,ROW()-15,COLUMN()*2-3)),"",INDEX(Array_MobileChargeData,ROW()-15,COLUMN()*2-3))</f>
        <v/>
      </c>
      <c r="C94" t="str" cm="1">
        <f>IF(ISBLANK(INDEX(Array_MobileChargeData,ROW()-15,COLUMN()*2-3)),"",INDEX(Array_MobileChargeData,ROW()-15,COLUMN()*2-3))</f>
        <v/>
      </c>
      <c r="D94" t="str" cm="1">
        <f>IF(ISBLANK(INDEX(Array_MobileChargeData,ROW()-15,COLUMN()*2-3)),"",INDEX(Array_MobileChargeData,ROW()-15,COLUMN()*2-3))</f>
        <v/>
      </c>
      <c r="E94" t="str" cm="1">
        <f>IF(ISBLANK(INDEX(Array_MobileChargeData,ROW()-15,COLUMN()*2-3)),"",INDEX(Array_MobileChargeData,ROW()-15,COLUMN()*2-3))</f>
        <v/>
      </c>
      <c r="F94" t="str" cm="1">
        <f>IF(ISBLANK(INDEX(Array_MobileChargeData,ROW()-15,COLUMN()*2-3)),"",INDEX(Array_MobileChargeData,ROW()-15,COLUMN()*2-3))</f>
        <v/>
      </c>
    </row>
    <row r="95" spans="1:6" x14ac:dyDescent="0.35">
      <c r="A95" t="str">
        <f>IF('Mobile Fuel Meters'!B82="",A94,'Mobile Fuel Meters'!B82)</f>
        <v>Meter Numbers</v>
      </c>
      <c r="B95" t="str" cm="1">
        <f>IF(ISBLANK(INDEX(Array_MobileChargeData,ROW()-15,COLUMN()*2-3)),"",INDEX(Array_MobileChargeData,ROW()-15,COLUMN()*2-3))</f>
        <v/>
      </c>
      <c r="C95" t="str" cm="1">
        <f>IF(ISBLANK(INDEX(Array_MobileChargeData,ROW()-15,COLUMN()*2-3)),"",INDEX(Array_MobileChargeData,ROW()-15,COLUMN()*2-3))</f>
        <v/>
      </c>
      <c r="D95" t="str" cm="1">
        <f>IF(ISBLANK(INDEX(Array_MobileChargeData,ROW()-15,COLUMN()*2-3)),"",INDEX(Array_MobileChargeData,ROW()-15,COLUMN()*2-3))</f>
        <v/>
      </c>
      <c r="E95" t="str" cm="1">
        <f>IF(ISBLANK(INDEX(Array_MobileChargeData,ROW()-15,COLUMN()*2-3)),"",INDEX(Array_MobileChargeData,ROW()-15,COLUMN()*2-3))</f>
        <v/>
      </c>
      <c r="F95" t="str" cm="1">
        <f>IF(ISBLANK(INDEX(Array_MobileChargeData,ROW()-15,COLUMN()*2-3)),"",INDEX(Array_MobileChargeData,ROW()-15,COLUMN()*2-3))</f>
        <v/>
      </c>
    </row>
    <row r="96" spans="1:6" x14ac:dyDescent="0.35">
      <c r="A96" t="str">
        <f>IF('Mobile Fuel Meters'!B83="",A95,'Mobile Fuel Meters'!B83)</f>
        <v>Meter Numbers</v>
      </c>
      <c r="B96" t="str" cm="1">
        <f>IF(ISBLANK(INDEX(Array_MobileChargeData,ROW()-15,COLUMN()*2-3)),"",INDEX(Array_MobileChargeData,ROW()-15,COLUMN()*2-3))</f>
        <v/>
      </c>
      <c r="C96" t="str" cm="1">
        <f>IF(ISBLANK(INDEX(Array_MobileChargeData,ROW()-15,COLUMN()*2-3)),"",INDEX(Array_MobileChargeData,ROW()-15,COLUMN()*2-3))</f>
        <v/>
      </c>
      <c r="D96" t="str" cm="1">
        <f>IF(ISBLANK(INDEX(Array_MobileChargeData,ROW()-15,COLUMN()*2-3)),"",INDEX(Array_MobileChargeData,ROW()-15,COLUMN()*2-3))</f>
        <v/>
      </c>
      <c r="E96" t="str" cm="1">
        <f>IF(ISBLANK(INDEX(Array_MobileChargeData,ROW()-15,COLUMN()*2-3)),"",INDEX(Array_MobileChargeData,ROW()-15,COLUMN()*2-3))</f>
        <v/>
      </c>
      <c r="F96" t="str" cm="1">
        <f>IF(ISBLANK(INDEX(Array_MobileChargeData,ROW()-15,COLUMN()*2-3)),"",INDEX(Array_MobileChargeData,ROW()-15,COLUMN()*2-3))</f>
        <v/>
      </c>
    </row>
    <row r="97" spans="1:6" x14ac:dyDescent="0.35">
      <c r="A97" t="str">
        <f>IF('Mobile Fuel Meters'!B84="",A96,'Mobile Fuel Meters'!B84)</f>
        <v>Meter Numbers</v>
      </c>
      <c r="B97" t="str" cm="1">
        <f>IF(ISBLANK(INDEX(Array_MobileChargeData,ROW()-15,COLUMN()*2-3)),"",INDEX(Array_MobileChargeData,ROW()-15,COLUMN()*2-3))</f>
        <v/>
      </c>
      <c r="C97" t="str" cm="1">
        <f>IF(ISBLANK(INDEX(Array_MobileChargeData,ROW()-15,COLUMN()*2-3)),"",INDEX(Array_MobileChargeData,ROW()-15,COLUMN()*2-3))</f>
        <v/>
      </c>
      <c r="D97" t="str" cm="1">
        <f>IF(ISBLANK(INDEX(Array_MobileChargeData,ROW()-15,COLUMN()*2-3)),"",INDEX(Array_MobileChargeData,ROW()-15,COLUMN()*2-3))</f>
        <v/>
      </c>
      <c r="E97" t="str" cm="1">
        <f>IF(ISBLANK(INDEX(Array_MobileChargeData,ROW()-15,COLUMN()*2-3)),"",INDEX(Array_MobileChargeData,ROW()-15,COLUMN()*2-3))</f>
        <v/>
      </c>
      <c r="F97" t="str" cm="1">
        <f>IF(ISBLANK(INDEX(Array_MobileChargeData,ROW()-15,COLUMN()*2-3)),"",INDEX(Array_MobileChargeData,ROW()-15,COLUMN()*2-3))</f>
        <v/>
      </c>
    </row>
    <row r="98" spans="1:6" x14ac:dyDescent="0.35">
      <c r="A98" t="str">
        <f>IF('Mobile Fuel Meters'!B85="",A97,'Mobile Fuel Meters'!B85)</f>
        <v>Meter Numbers</v>
      </c>
      <c r="B98" t="str" cm="1">
        <f>IF(ISBLANK(INDEX(Array_MobileChargeData,ROW()-15,COLUMN()*2-3)),"",INDEX(Array_MobileChargeData,ROW()-15,COLUMN()*2-3))</f>
        <v/>
      </c>
      <c r="C98" t="str" cm="1">
        <f>IF(ISBLANK(INDEX(Array_MobileChargeData,ROW()-15,COLUMN()*2-3)),"",INDEX(Array_MobileChargeData,ROW()-15,COLUMN()*2-3))</f>
        <v/>
      </c>
      <c r="D98" t="str" cm="1">
        <f>IF(ISBLANK(INDEX(Array_MobileChargeData,ROW()-15,COLUMN()*2-3)),"",INDEX(Array_MobileChargeData,ROW()-15,COLUMN()*2-3))</f>
        <v/>
      </c>
      <c r="E98" t="str" cm="1">
        <f>IF(ISBLANK(INDEX(Array_MobileChargeData,ROW()-15,COLUMN()*2-3)),"",INDEX(Array_MobileChargeData,ROW()-15,COLUMN()*2-3))</f>
        <v/>
      </c>
      <c r="F98" t="str" cm="1">
        <f>IF(ISBLANK(INDEX(Array_MobileChargeData,ROW()-15,COLUMN()*2-3)),"",INDEX(Array_MobileChargeData,ROW()-15,COLUMN()*2-3))</f>
        <v/>
      </c>
    </row>
    <row r="99" spans="1:6" x14ac:dyDescent="0.35">
      <c r="A99" t="str">
        <f>IF('Mobile Fuel Meters'!B86="",A98,'Mobile Fuel Meters'!B86)</f>
        <v>Meter Numbers</v>
      </c>
      <c r="B99" t="str" cm="1">
        <f>IF(ISBLANK(INDEX(Array_MobileChargeData,ROW()-15,COLUMN()*2-3)),"",INDEX(Array_MobileChargeData,ROW()-15,COLUMN()*2-3))</f>
        <v/>
      </c>
      <c r="C99" t="str" cm="1">
        <f>IF(ISBLANK(INDEX(Array_MobileChargeData,ROW()-15,COLUMN()*2-3)),"",INDEX(Array_MobileChargeData,ROW()-15,COLUMN()*2-3))</f>
        <v/>
      </c>
      <c r="D99" t="str" cm="1">
        <f>IF(ISBLANK(INDEX(Array_MobileChargeData,ROW()-15,COLUMN()*2-3)),"",INDEX(Array_MobileChargeData,ROW()-15,COLUMN()*2-3))</f>
        <v/>
      </c>
      <c r="E99" t="str" cm="1">
        <f>IF(ISBLANK(INDEX(Array_MobileChargeData,ROW()-15,COLUMN()*2-3)),"",INDEX(Array_MobileChargeData,ROW()-15,COLUMN()*2-3))</f>
        <v/>
      </c>
      <c r="F99" t="str" cm="1">
        <f>IF(ISBLANK(INDEX(Array_MobileChargeData,ROW()-15,COLUMN()*2-3)),"",INDEX(Array_MobileChargeData,ROW()-15,COLUMN()*2-3))</f>
        <v/>
      </c>
    </row>
    <row r="100" spans="1:6" x14ac:dyDescent="0.35">
      <c r="A100" t="str">
        <f>IF('Mobile Fuel Meters'!B87="",A99,'Mobile Fuel Meters'!B87)</f>
        <v>Meter Numbers</v>
      </c>
      <c r="B100" t="str" cm="1">
        <f>IF(ISBLANK(INDEX(Array_MobileChargeData,ROW()-15,COLUMN()*2-3)),"",INDEX(Array_MobileChargeData,ROW()-15,COLUMN()*2-3))</f>
        <v/>
      </c>
      <c r="C100" t="str" cm="1">
        <f>IF(ISBLANK(INDEX(Array_MobileChargeData,ROW()-15,COLUMN()*2-3)),"",INDEX(Array_MobileChargeData,ROW()-15,COLUMN()*2-3))</f>
        <v/>
      </c>
      <c r="D100" t="str" cm="1">
        <f>IF(ISBLANK(INDEX(Array_MobileChargeData,ROW()-15,COLUMN()*2-3)),"",INDEX(Array_MobileChargeData,ROW()-15,COLUMN()*2-3))</f>
        <v/>
      </c>
      <c r="E100" t="str" cm="1">
        <f>IF(ISBLANK(INDEX(Array_MobileChargeData,ROW()-15,COLUMN()*2-3)),"",INDEX(Array_MobileChargeData,ROW()-15,COLUMN()*2-3))</f>
        <v/>
      </c>
      <c r="F100" t="str" cm="1">
        <f>IF(ISBLANK(INDEX(Array_MobileChargeData,ROW()-15,COLUMN()*2-3)),"",INDEX(Array_MobileChargeData,ROW()-15,COLUMN()*2-3))</f>
        <v/>
      </c>
    </row>
    <row r="101" spans="1:6" x14ac:dyDescent="0.35">
      <c r="A101" t="str">
        <f>IF('Mobile Fuel Meters'!B88="",A100,'Mobile Fuel Meters'!B88)</f>
        <v>Meter Numbers</v>
      </c>
      <c r="B101" t="str" cm="1">
        <f>IF(ISBLANK(INDEX(Array_MobileChargeData,ROW()-15,COLUMN()*2-3)),"",INDEX(Array_MobileChargeData,ROW()-15,COLUMN()*2-3))</f>
        <v/>
      </c>
      <c r="C101" t="str" cm="1">
        <f>IF(ISBLANK(INDEX(Array_MobileChargeData,ROW()-15,COLUMN()*2-3)),"",INDEX(Array_MobileChargeData,ROW()-15,COLUMN()*2-3))</f>
        <v/>
      </c>
      <c r="D101" t="str" cm="1">
        <f>IF(ISBLANK(INDEX(Array_MobileChargeData,ROW()-15,COLUMN()*2-3)),"",INDEX(Array_MobileChargeData,ROW()-15,COLUMN()*2-3))</f>
        <v/>
      </c>
      <c r="E101" t="str" cm="1">
        <f>IF(ISBLANK(INDEX(Array_MobileChargeData,ROW()-15,COLUMN()*2-3)),"",INDEX(Array_MobileChargeData,ROW()-15,COLUMN()*2-3))</f>
        <v/>
      </c>
      <c r="F101" t="str" cm="1">
        <f>IF(ISBLANK(INDEX(Array_MobileChargeData,ROW()-15,COLUMN()*2-3)),"",INDEX(Array_MobileChargeData,ROW()-15,COLUMN()*2-3))</f>
        <v/>
      </c>
    </row>
    <row r="102" spans="1:6" x14ac:dyDescent="0.35">
      <c r="A102" t="str">
        <f>IF('Mobile Fuel Meters'!B89="",A101,'Mobile Fuel Meters'!B89)</f>
        <v>Meter Numbers</v>
      </c>
      <c r="B102" t="str" cm="1">
        <f>IF(ISBLANK(INDEX(Array_MobileChargeData,ROW()-15,COLUMN()*2-3)),"",INDEX(Array_MobileChargeData,ROW()-15,COLUMN()*2-3))</f>
        <v/>
      </c>
      <c r="C102" t="str" cm="1">
        <f>IF(ISBLANK(INDEX(Array_MobileChargeData,ROW()-15,COLUMN()*2-3)),"",INDEX(Array_MobileChargeData,ROW()-15,COLUMN()*2-3))</f>
        <v/>
      </c>
      <c r="D102" t="str" cm="1">
        <f>IF(ISBLANK(INDEX(Array_MobileChargeData,ROW()-15,COLUMN()*2-3)),"",INDEX(Array_MobileChargeData,ROW()-15,COLUMN()*2-3))</f>
        <v/>
      </c>
      <c r="E102" t="str" cm="1">
        <f>IF(ISBLANK(INDEX(Array_MobileChargeData,ROW()-15,COLUMN()*2-3)),"",INDEX(Array_MobileChargeData,ROW()-15,COLUMN()*2-3))</f>
        <v/>
      </c>
      <c r="F102" t="str" cm="1">
        <f>IF(ISBLANK(INDEX(Array_MobileChargeData,ROW()-15,COLUMN()*2-3)),"",INDEX(Array_MobileChargeData,ROW()-15,COLUMN()*2-3))</f>
        <v/>
      </c>
    </row>
    <row r="103" spans="1:6" x14ac:dyDescent="0.35">
      <c r="A103" t="str">
        <f>IF('Mobile Fuel Meters'!B90="",A102,'Mobile Fuel Meters'!B90)</f>
        <v>Meter Numbers</v>
      </c>
      <c r="B103" t="str" cm="1">
        <f>IF(ISBLANK(INDEX(Array_MobileChargeData,ROW()-15,COLUMN()*2-3)),"",INDEX(Array_MobileChargeData,ROW()-15,COLUMN()*2-3))</f>
        <v/>
      </c>
      <c r="C103" t="str" cm="1">
        <f>IF(ISBLANK(INDEX(Array_MobileChargeData,ROW()-15,COLUMN()*2-3)),"",INDEX(Array_MobileChargeData,ROW()-15,COLUMN()*2-3))</f>
        <v/>
      </c>
      <c r="D103" t="str" cm="1">
        <f>IF(ISBLANK(INDEX(Array_MobileChargeData,ROW()-15,COLUMN()*2-3)),"",INDEX(Array_MobileChargeData,ROW()-15,COLUMN()*2-3))</f>
        <v/>
      </c>
      <c r="E103" t="str" cm="1">
        <f>IF(ISBLANK(INDEX(Array_MobileChargeData,ROW()-15,COLUMN()*2-3)),"",INDEX(Array_MobileChargeData,ROW()-15,COLUMN()*2-3))</f>
        <v/>
      </c>
      <c r="F103" t="str" cm="1">
        <f>IF(ISBLANK(INDEX(Array_MobileChargeData,ROW()-15,COLUMN()*2-3)),"",INDEX(Array_MobileChargeData,ROW()-15,COLUMN()*2-3))</f>
        <v/>
      </c>
    </row>
    <row r="104" spans="1:6" x14ac:dyDescent="0.35">
      <c r="A104" t="str">
        <f>IF('Mobile Fuel Meters'!B91="",A103,'Mobile Fuel Meters'!B91)</f>
        <v>Meter Numbers</v>
      </c>
      <c r="B104" t="str" cm="1">
        <f>IF(ISBLANK(INDEX(Array_MobileChargeData,ROW()-15,COLUMN()*2-3)),"",INDEX(Array_MobileChargeData,ROW()-15,COLUMN()*2-3))</f>
        <v/>
      </c>
      <c r="C104" t="str" cm="1">
        <f>IF(ISBLANK(INDEX(Array_MobileChargeData,ROW()-15,COLUMN()*2-3)),"",INDEX(Array_MobileChargeData,ROW()-15,COLUMN()*2-3))</f>
        <v/>
      </c>
      <c r="D104" t="str" cm="1">
        <f>IF(ISBLANK(INDEX(Array_MobileChargeData,ROW()-15,COLUMN()*2-3)),"",INDEX(Array_MobileChargeData,ROW()-15,COLUMN()*2-3))</f>
        <v/>
      </c>
      <c r="E104" t="str" cm="1">
        <f>IF(ISBLANK(INDEX(Array_MobileChargeData,ROW()-15,COLUMN()*2-3)),"",INDEX(Array_MobileChargeData,ROW()-15,COLUMN()*2-3))</f>
        <v/>
      </c>
      <c r="F104" t="str" cm="1">
        <f>IF(ISBLANK(INDEX(Array_MobileChargeData,ROW()-15,COLUMN()*2-3)),"",INDEX(Array_MobileChargeData,ROW()-15,COLUMN()*2-3))</f>
        <v/>
      </c>
    </row>
    <row r="105" spans="1:6" x14ac:dyDescent="0.35">
      <c r="A105" t="str">
        <f>IF('Mobile Fuel Meters'!B92="",A104,'Mobile Fuel Meters'!B92)</f>
        <v>Meter Numbers</v>
      </c>
      <c r="B105" t="str" cm="1">
        <f>IF(ISBLANK(INDEX(Array_MobileChargeData,ROW()-15,COLUMN()*2-3)),"",INDEX(Array_MobileChargeData,ROW()-15,COLUMN()*2-3))</f>
        <v/>
      </c>
      <c r="C105" t="str" cm="1">
        <f>IF(ISBLANK(INDEX(Array_MobileChargeData,ROW()-15,COLUMN()*2-3)),"",INDEX(Array_MobileChargeData,ROW()-15,COLUMN()*2-3))</f>
        <v/>
      </c>
      <c r="D105" t="str" cm="1">
        <f>IF(ISBLANK(INDEX(Array_MobileChargeData,ROW()-15,COLUMN()*2-3)),"",INDEX(Array_MobileChargeData,ROW()-15,COLUMN()*2-3))</f>
        <v/>
      </c>
      <c r="E105" t="str" cm="1">
        <f>IF(ISBLANK(INDEX(Array_MobileChargeData,ROW()-15,COLUMN()*2-3)),"",INDEX(Array_MobileChargeData,ROW()-15,COLUMN()*2-3))</f>
        <v/>
      </c>
      <c r="F105" t="str" cm="1">
        <f>IF(ISBLANK(INDEX(Array_MobileChargeData,ROW()-15,COLUMN()*2-3)),"",INDEX(Array_MobileChargeData,ROW()-15,COLUMN()*2-3))</f>
        <v/>
      </c>
    </row>
    <row r="106" spans="1:6" x14ac:dyDescent="0.35">
      <c r="A106" t="str">
        <f>IF('Mobile Fuel Meters'!B93="",A105,'Mobile Fuel Meters'!B93)</f>
        <v>Meter Numbers</v>
      </c>
      <c r="B106" t="str" cm="1">
        <f>IF(ISBLANK(INDEX(Array_MobileChargeData,ROW()-15,COLUMN()*2-3)),"",INDEX(Array_MobileChargeData,ROW()-15,COLUMN()*2-3))</f>
        <v/>
      </c>
      <c r="C106" t="str" cm="1">
        <f>IF(ISBLANK(INDEX(Array_MobileChargeData,ROW()-15,COLUMN()*2-3)),"",INDEX(Array_MobileChargeData,ROW()-15,COLUMN()*2-3))</f>
        <v/>
      </c>
      <c r="D106" t="str" cm="1">
        <f>IF(ISBLANK(INDEX(Array_MobileChargeData,ROW()-15,COLUMN()*2-3)),"",INDEX(Array_MobileChargeData,ROW()-15,COLUMN()*2-3))</f>
        <v/>
      </c>
      <c r="E106" t="str" cm="1">
        <f>IF(ISBLANK(INDEX(Array_MobileChargeData,ROW()-15,COLUMN()*2-3)),"",INDEX(Array_MobileChargeData,ROW()-15,COLUMN()*2-3))</f>
        <v/>
      </c>
      <c r="F106" t="str" cm="1">
        <f>IF(ISBLANK(INDEX(Array_MobileChargeData,ROW()-15,COLUMN()*2-3)),"",INDEX(Array_MobileChargeData,ROW()-15,COLUMN()*2-3))</f>
        <v/>
      </c>
    </row>
    <row r="107" spans="1:6" x14ac:dyDescent="0.35">
      <c r="A107" t="str">
        <f>IF('Mobile Fuel Meters'!B94="",A106,'Mobile Fuel Meters'!B94)</f>
        <v>Meter Numbers</v>
      </c>
      <c r="B107" t="str" cm="1">
        <f>IF(ISBLANK(INDEX(Array_MobileChargeData,ROW()-15,COLUMN()*2-3)),"",INDEX(Array_MobileChargeData,ROW()-15,COLUMN()*2-3))</f>
        <v/>
      </c>
      <c r="C107" t="str" cm="1">
        <f>IF(ISBLANK(INDEX(Array_MobileChargeData,ROW()-15,COLUMN()*2-3)),"",INDEX(Array_MobileChargeData,ROW()-15,COLUMN()*2-3))</f>
        <v/>
      </c>
      <c r="D107" t="str" cm="1">
        <f>IF(ISBLANK(INDEX(Array_MobileChargeData,ROW()-15,COLUMN()*2-3)),"",INDEX(Array_MobileChargeData,ROW()-15,COLUMN()*2-3))</f>
        <v/>
      </c>
      <c r="E107" t="str" cm="1">
        <f>IF(ISBLANK(INDEX(Array_MobileChargeData,ROW()-15,COLUMN()*2-3)),"",INDEX(Array_MobileChargeData,ROW()-15,COLUMN()*2-3))</f>
        <v/>
      </c>
      <c r="F107" t="str" cm="1">
        <f>IF(ISBLANK(INDEX(Array_MobileChargeData,ROW()-15,COLUMN()*2-3)),"",INDEX(Array_MobileChargeData,ROW()-15,COLUMN()*2-3))</f>
        <v/>
      </c>
    </row>
    <row r="108" spans="1:6" x14ac:dyDescent="0.35">
      <c r="A108" t="str">
        <f>IF('Mobile Fuel Meters'!B95="",A107,'Mobile Fuel Meters'!B95)</f>
        <v>Meter Numbers</v>
      </c>
      <c r="B108" t="str" cm="1">
        <f>IF(ISBLANK(INDEX(Array_MobileChargeData,ROW()-15,COLUMN()*2-3)),"",INDEX(Array_MobileChargeData,ROW()-15,COLUMN()*2-3))</f>
        <v/>
      </c>
      <c r="C108" t="str" cm="1">
        <f>IF(ISBLANK(INDEX(Array_MobileChargeData,ROW()-15,COLUMN()*2-3)),"",INDEX(Array_MobileChargeData,ROW()-15,COLUMN()*2-3))</f>
        <v/>
      </c>
      <c r="D108" t="str" cm="1">
        <f>IF(ISBLANK(INDEX(Array_MobileChargeData,ROW()-15,COLUMN()*2-3)),"",INDEX(Array_MobileChargeData,ROW()-15,COLUMN()*2-3))</f>
        <v/>
      </c>
      <c r="E108" t="str" cm="1">
        <f>IF(ISBLANK(INDEX(Array_MobileChargeData,ROW()-15,COLUMN()*2-3)),"",INDEX(Array_MobileChargeData,ROW()-15,COLUMN()*2-3))</f>
        <v/>
      </c>
      <c r="F108" t="str" cm="1">
        <f>IF(ISBLANK(INDEX(Array_MobileChargeData,ROW()-15,COLUMN()*2-3)),"",INDEX(Array_MobileChargeData,ROW()-15,COLUMN()*2-3))</f>
        <v/>
      </c>
    </row>
    <row r="109" spans="1:6" x14ac:dyDescent="0.35">
      <c r="A109" t="str">
        <f>IF('Mobile Fuel Meters'!B96="",A108,'Mobile Fuel Meters'!B96)</f>
        <v>Meter Numbers</v>
      </c>
      <c r="B109" t="str" cm="1">
        <f>IF(ISBLANK(INDEX(Array_MobileChargeData,ROW()-15,COLUMN()*2-3)),"",INDEX(Array_MobileChargeData,ROW()-15,COLUMN()*2-3))</f>
        <v/>
      </c>
      <c r="C109" t="str" cm="1">
        <f>IF(ISBLANK(INDEX(Array_MobileChargeData,ROW()-15,COLUMN()*2-3)),"",INDEX(Array_MobileChargeData,ROW()-15,COLUMN()*2-3))</f>
        <v/>
      </c>
      <c r="D109" t="str" cm="1">
        <f>IF(ISBLANK(INDEX(Array_MobileChargeData,ROW()-15,COLUMN()*2-3)),"",INDEX(Array_MobileChargeData,ROW()-15,COLUMN()*2-3))</f>
        <v/>
      </c>
      <c r="E109" t="str" cm="1">
        <f>IF(ISBLANK(INDEX(Array_MobileChargeData,ROW()-15,COLUMN()*2-3)),"",INDEX(Array_MobileChargeData,ROW()-15,COLUMN()*2-3))</f>
        <v/>
      </c>
      <c r="F109" t="str" cm="1">
        <f>IF(ISBLANK(INDEX(Array_MobileChargeData,ROW()-15,COLUMN()*2-3)),"",INDEX(Array_MobileChargeData,ROW()-15,COLUMN()*2-3))</f>
        <v/>
      </c>
    </row>
    <row r="110" spans="1:6" x14ac:dyDescent="0.35">
      <c r="A110" t="str">
        <f>IF('Mobile Fuel Meters'!B97="",A109,'Mobile Fuel Meters'!B97)</f>
        <v>Meter Numbers</v>
      </c>
      <c r="B110" t="str" cm="1">
        <f>IF(ISBLANK(INDEX(Array_MobileChargeData,ROW()-15,COLUMN()*2-3)),"",INDEX(Array_MobileChargeData,ROW()-15,COLUMN()*2-3))</f>
        <v/>
      </c>
      <c r="C110" t="str" cm="1">
        <f>IF(ISBLANK(INDEX(Array_MobileChargeData,ROW()-15,COLUMN()*2-3)),"",INDEX(Array_MobileChargeData,ROW()-15,COLUMN()*2-3))</f>
        <v/>
      </c>
      <c r="D110" t="str" cm="1">
        <f>IF(ISBLANK(INDEX(Array_MobileChargeData,ROW()-15,COLUMN()*2-3)),"",INDEX(Array_MobileChargeData,ROW()-15,COLUMN()*2-3))</f>
        <v/>
      </c>
      <c r="E110" t="str" cm="1">
        <f>IF(ISBLANK(INDEX(Array_MobileChargeData,ROW()-15,COLUMN()*2-3)),"",INDEX(Array_MobileChargeData,ROW()-15,COLUMN()*2-3))</f>
        <v/>
      </c>
      <c r="F110" t="str" cm="1">
        <f>IF(ISBLANK(INDEX(Array_MobileChargeData,ROW()-15,COLUMN()*2-3)),"",INDEX(Array_MobileChargeData,ROW()-15,COLUMN()*2-3))</f>
        <v/>
      </c>
    </row>
    <row r="111" spans="1:6" x14ac:dyDescent="0.35">
      <c r="A111" t="str">
        <f>IF('Mobile Fuel Meters'!B98="",A110,'Mobile Fuel Meters'!B98)</f>
        <v>Meter Numbers</v>
      </c>
      <c r="B111" t="str" cm="1">
        <f>IF(ISBLANK(INDEX(Array_MobileChargeData,ROW()-15,COLUMN()*2-3)),"",INDEX(Array_MobileChargeData,ROW()-15,COLUMN()*2-3))</f>
        <v/>
      </c>
      <c r="C111" t="str" cm="1">
        <f>IF(ISBLANK(INDEX(Array_MobileChargeData,ROW()-15,COLUMN()*2-3)),"",INDEX(Array_MobileChargeData,ROW()-15,COLUMN()*2-3))</f>
        <v/>
      </c>
      <c r="D111" t="str" cm="1">
        <f>IF(ISBLANK(INDEX(Array_MobileChargeData,ROW()-15,COLUMN()*2-3)),"",INDEX(Array_MobileChargeData,ROW()-15,COLUMN()*2-3))</f>
        <v/>
      </c>
      <c r="E111" t="str" cm="1">
        <f>IF(ISBLANK(INDEX(Array_MobileChargeData,ROW()-15,COLUMN()*2-3)),"",INDEX(Array_MobileChargeData,ROW()-15,COLUMN()*2-3))</f>
        <v/>
      </c>
      <c r="F111" t="str" cm="1">
        <f>IF(ISBLANK(INDEX(Array_MobileChargeData,ROW()-15,COLUMN()*2-3)),"",INDEX(Array_MobileChargeData,ROW()-15,COLUMN()*2-3))</f>
        <v/>
      </c>
    </row>
    <row r="112" spans="1:6" x14ac:dyDescent="0.35">
      <c r="A112" t="str">
        <f>IF('Mobile Fuel Meters'!B99="",A111,'Mobile Fuel Meters'!B99)</f>
        <v>Meter Numbers</v>
      </c>
      <c r="B112" t="str" cm="1">
        <f>IF(ISBLANK(INDEX(Array_MobileChargeData,ROW()-15,COLUMN()*2-3)),"",INDEX(Array_MobileChargeData,ROW()-15,COLUMN()*2-3))</f>
        <v/>
      </c>
      <c r="C112" t="str" cm="1">
        <f>IF(ISBLANK(INDEX(Array_MobileChargeData,ROW()-15,COLUMN()*2-3)),"",INDEX(Array_MobileChargeData,ROW()-15,COLUMN()*2-3))</f>
        <v/>
      </c>
      <c r="D112" t="str" cm="1">
        <f>IF(ISBLANK(INDEX(Array_MobileChargeData,ROW()-15,COLUMN()*2-3)),"",INDEX(Array_MobileChargeData,ROW()-15,COLUMN()*2-3))</f>
        <v/>
      </c>
      <c r="E112" t="str" cm="1">
        <f>IF(ISBLANK(INDEX(Array_MobileChargeData,ROW()-15,COLUMN()*2-3)),"",INDEX(Array_MobileChargeData,ROW()-15,COLUMN()*2-3))</f>
        <v/>
      </c>
      <c r="F112" t="str" cm="1">
        <f>IF(ISBLANK(INDEX(Array_MobileChargeData,ROW()-15,COLUMN()*2-3)),"",INDEX(Array_MobileChargeData,ROW()-15,COLUMN()*2-3))</f>
        <v/>
      </c>
    </row>
    <row r="113" spans="1:6" x14ac:dyDescent="0.35">
      <c r="A113" t="str">
        <f>IF('Mobile Fuel Meters'!B100="",A112,'Mobile Fuel Meters'!B100)</f>
        <v>Meter Numbers</v>
      </c>
      <c r="B113" t="str" cm="1">
        <f>IF(ISBLANK(INDEX(Array_MobileChargeData,ROW()-15,COLUMN()*2-3)),"",INDEX(Array_MobileChargeData,ROW()-15,COLUMN()*2-3))</f>
        <v/>
      </c>
      <c r="C113" t="str" cm="1">
        <f>IF(ISBLANK(INDEX(Array_MobileChargeData,ROW()-15,COLUMN()*2-3)),"",INDEX(Array_MobileChargeData,ROW()-15,COLUMN()*2-3))</f>
        <v/>
      </c>
      <c r="D113" t="str" cm="1">
        <f>IF(ISBLANK(INDEX(Array_MobileChargeData,ROW()-15,COLUMN()*2-3)),"",INDEX(Array_MobileChargeData,ROW()-15,COLUMN()*2-3))</f>
        <v/>
      </c>
      <c r="E113" t="str" cm="1">
        <f>IF(ISBLANK(INDEX(Array_MobileChargeData,ROW()-15,COLUMN()*2-3)),"",INDEX(Array_MobileChargeData,ROW()-15,COLUMN()*2-3))</f>
        <v/>
      </c>
      <c r="F113" t="str" cm="1">
        <f>IF(ISBLANK(INDEX(Array_MobileChargeData,ROW()-15,COLUMN()*2-3)),"",INDEX(Array_MobileChargeData,ROW()-15,COLUMN()*2-3))</f>
        <v/>
      </c>
    </row>
    <row r="114" spans="1:6" x14ac:dyDescent="0.35">
      <c r="A114" t="str">
        <f>IF('Mobile Fuel Meters'!B101="",A113,'Mobile Fuel Meters'!B101)</f>
        <v>Meter Numbers</v>
      </c>
      <c r="B114" t="str" cm="1">
        <f>IF(ISBLANK(INDEX(Array_MobileChargeData,ROW()-15,COLUMN()*2-3)),"",INDEX(Array_MobileChargeData,ROW()-15,COLUMN()*2-3))</f>
        <v/>
      </c>
      <c r="C114" t="str" cm="1">
        <f>IF(ISBLANK(INDEX(Array_MobileChargeData,ROW()-15,COLUMN()*2-3)),"",INDEX(Array_MobileChargeData,ROW()-15,COLUMN()*2-3))</f>
        <v/>
      </c>
      <c r="D114" t="str" cm="1">
        <f>IF(ISBLANK(INDEX(Array_MobileChargeData,ROW()-15,COLUMN()*2-3)),"",INDEX(Array_MobileChargeData,ROW()-15,COLUMN()*2-3))</f>
        <v/>
      </c>
      <c r="E114" t="str" cm="1">
        <f>IF(ISBLANK(INDEX(Array_MobileChargeData,ROW()-15,COLUMN()*2-3)),"",INDEX(Array_MobileChargeData,ROW()-15,COLUMN()*2-3))</f>
        <v/>
      </c>
      <c r="F114" t="str" cm="1">
        <f>IF(ISBLANK(INDEX(Array_MobileChargeData,ROW()-15,COLUMN()*2-3)),"",INDEX(Array_MobileChargeData,ROW()-15,COLUMN()*2-3))</f>
        <v/>
      </c>
    </row>
    <row r="115" spans="1:6" x14ac:dyDescent="0.35">
      <c r="A115" t="str">
        <f>IF('Mobile Fuel Meters'!B102="",A114,'Mobile Fuel Meters'!B102)</f>
        <v>Meter Numbers</v>
      </c>
      <c r="B115" t="str" cm="1">
        <f>IF(ISBLANK(INDEX(Array_MobileChargeData,ROW()-15,COLUMN()*2-3)),"",INDEX(Array_MobileChargeData,ROW()-15,COLUMN()*2-3))</f>
        <v/>
      </c>
      <c r="C115" t="str" cm="1">
        <f>IF(ISBLANK(INDEX(Array_MobileChargeData,ROW()-15,COLUMN()*2-3)),"",INDEX(Array_MobileChargeData,ROW()-15,COLUMN()*2-3))</f>
        <v/>
      </c>
      <c r="D115" t="str" cm="1">
        <f>IF(ISBLANK(INDEX(Array_MobileChargeData,ROW()-15,COLUMN()*2-3)),"",INDEX(Array_MobileChargeData,ROW()-15,COLUMN()*2-3))</f>
        <v/>
      </c>
      <c r="E115" t="str" cm="1">
        <f>IF(ISBLANK(INDEX(Array_MobileChargeData,ROW()-15,COLUMN()*2-3)),"",INDEX(Array_MobileChargeData,ROW()-15,COLUMN()*2-3))</f>
        <v/>
      </c>
      <c r="F115" t="str" cm="1">
        <f>IF(ISBLANK(INDEX(Array_MobileChargeData,ROW()-15,COLUMN()*2-3)),"",INDEX(Array_MobileChargeData,ROW()-15,COLUMN()*2-3))</f>
        <v/>
      </c>
    </row>
    <row r="116" spans="1:6" x14ac:dyDescent="0.35">
      <c r="A116" t="str">
        <f>IF('Mobile Fuel Meters'!B103="",A115,'Mobile Fuel Meters'!B103)</f>
        <v>Meter Numbers</v>
      </c>
      <c r="B116" t="str" cm="1">
        <f>IF(ISBLANK(INDEX(Array_MobileChargeData,ROW()-15,COLUMN()*2-3)),"",INDEX(Array_MobileChargeData,ROW()-15,COLUMN()*2-3))</f>
        <v/>
      </c>
      <c r="C116" t="str" cm="1">
        <f>IF(ISBLANK(INDEX(Array_MobileChargeData,ROW()-15,COLUMN()*2-3)),"",INDEX(Array_MobileChargeData,ROW()-15,COLUMN()*2-3))</f>
        <v/>
      </c>
      <c r="D116" t="str" cm="1">
        <f>IF(ISBLANK(INDEX(Array_MobileChargeData,ROW()-15,COLUMN()*2-3)),"",INDEX(Array_MobileChargeData,ROW()-15,COLUMN()*2-3))</f>
        <v/>
      </c>
      <c r="E116" t="str" cm="1">
        <f>IF(ISBLANK(INDEX(Array_MobileChargeData,ROW()-15,COLUMN()*2-3)),"",INDEX(Array_MobileChargeData,ROW()-15,COLUMN()*2-3))</f>
        <v/>
      </c>
      <c r="F116" t="str" cm="1">
        <f>IF(ISBLANK(INDEX(Array_MobileChargeData,ROW()-15,COLUMN()*2-3)),"",INDEX(Array_MobileChargeData,ROW()-15,COLUMN()*2-3))</f>
        <v/>
      </c>
    </row>
    <row r="117" spans="1:6" x14ac:dyDescent="0.35">
      <c r="A117" t="str">
        <f>IF('Mobile Fuel Meters'!B104="",A116,'Mobile Fuel Meters'!B104)</f>
        <v>Meter Numbers</v>
      </c>
      <c r="B117" t="str" cm="1">
        <f>IF(ISBLANK(INDEX(Array_MobileChargeData,ROW()-15,COLUMN()*2-3)),"",INDEX(Array_MobileChargeData,ROW()-15,COLUMN()*2-3))</f>
        <v/>
      </c>
      <c r="C117" t="str" cm="1">
        <f>IF(ISBLANK(INDEX(Array_MobileChargeData,ROW()-15,COLUMN()*2-3)),"",INDEX(Array_MobileChargeData,ROW()-15,COLUMN()*2-3))</f>
        <v/>
      </c>
      <c r="D117" t="str" cm="1">
        <f>IF(ISBLANK(INDEX(Array_MobileChargeData,ROW()-15,COLUMN()*2-3)),"",INDEX(Array_MobileChargeData,ROW()-15,COLUMN()*2-3))</f>
        <v/>
      </c>
      <c r="E117" t="str" cm="1">
        <f>IF(ISBLANK(INDEX(Array_MobileChargeData,ROW()-15,COLUMN()*2-3)),"",INDEX(Array_MobileChargeData,ROW()-15,COLUMN()*2-3))</f>
        <v/>
      </c>
      <c r="F117" t="str" cm="1">
        <f>IF(ISBLANK(INDEX(Array_MobileChargeData,ROW()-15,COLUMN()*2-3)),"",INDEX(Array_MobileChargeData,ROW()-15,COLUMN()*2-3))</f>
        <v/>
      </c>
    </row>
    <row r="118" spans="1:6" x14ac:dyDescent="0.35">
      <c r="A118" t="str">
        <f>IF('Mobile Fuel Meters'!B105="",A117,'Mobile Fuel Meters'!B105)</f>
        <v>Meter Numbers</v>
      </c>
      <c r="B118" t="str" cm="1">
        <f>IF(ISBLANK(INDEX(Array_MobileChargeData,ROW()-15,COLUMN()*2-3)),"",INDEX(Array_MobileChargeData,ROW()-15,COLUMN()*2-3))</f>
        <v/>
      </c>
      <c r="C118" t="str" cm="1">
        <f>IF(ISBLANK(INDEX(Array_MobileChargeData,ROW()-15,COLUMN()*2-3)),"",INDEX(Array_MobileChargeData,ROW()-15,COLUMN()*2-3))</f>
        <v/>
      </c>
      <c r="D118" t="str" cm="1">
        <f>IF(ISBLANK(INDEX(Array_MobileChargeData,ROW()-15,COLUMN()*2-3)),"",INDEX(Array_MobileChargeData,ROW()-15,COLUMN()*2-3))</f>
        <v/>
      </c>
      <c r="E118" t="str" cm="1">
        <f>IF(ISBLANK(INDEX(Array_MobileChargeData,ROW()-15,COLUMN()*2-3)),"",INDEX(Array_MobileChargeData,ROW()-15,COLUMN()*2-3))</f>
        <v/>
      </c>
      <c r="F118" t="str" cm="1">
        <f>IF(ISBLANK(INDEX(Array_MobileChargeData,ROW()-15,COLUMN()*2-3)),"",INDEX(Array_MobileChargeData,ROW()-15,COLUMN()*2-3))</f>
        <v/>
      </c>
    </row>
    <row r="119" spans="1:6" x14ac:dyDescent="0.35">
      <c r="A119" t="str">
        <f>IF('Mobile Fuel Meters'!B106="",A118,'Mobile Fuel Meters'!B106)</f>
        <v>Meter Numbers</v>
      </c>
      <c r="B119" t="str" cm="1">
        <f>IF(ISBLANK(INDEX(Array_MobileChargeData,ROW()-15,COLUMN()*2-3)),"",INDEX(Array_MobileChargeData,ROW()-15,COLUMN()*2-3))</f>
        <v/>
      </c>
      <c r="C119" t="str" cm="1">
        <f>IF(ISBLANK(INDEX(Array_MobileChargeData,ROW()-15,COLUMN()*2-3)),"",INDEX(Array_MobileChargeData,ROW()-15,COLUMN()*2-3))</f>
        <v/>
      </c>
      <c r="D119" t="str" cm="1">
        <f>IF(ISBLANK(INDEX(Array_MobileChargeData,ROW()-15,COLUMN()*2-3)),"",INDEX(Array_MobileChargeData,ROW()-15,COLUMN()*2-3))</f>
        <v/>
      </c>
      <c r="E119" t="str" cm="1">
        <f>IF(ISBLANK(INDEX(Array_MobileChargeData,ROW()-15,COLUMN()*2-3)),"",INDEX(Array_MobileChargeData,ROW()-15,COLUMN()*2-3))</f>
        <v/>
      </c>
      <c r="F119" t="str" cm="1">
        <f>IF(ISBLANK(INDEX(Array_MobileChargeData,ROW()-15,COLUMN()*2-3)),"",INDEX(Array_MobileChargeData,ROW()-15,COLUMN()*2-3))</f>
        <v/>
      </c>
    </row>
    <row r="120" spans="1:6" x14ac:dyDescent="0.35">
      <c r="A120" t="str">
        <f>IF('Mobile Fuel Meters'!B107="",A119,'Mobile Fuel Meters'!B107)</f>
        <v>Meter Numbers</v>
      </c>
      <c r="B120" t="str" cm="1">
        <f>IF(ISBLANK(INDEX(Array_MobileChargeData,ROW()-15,COLUMN()*2-3)),"",INDEX(Array_MobileChargeData,ROW()-15,COLUMN()*2-3))</f>
        <v/>
      </c>
      <c r="C120" t="str" cm="1">
        <f>IF(ISBLANK(INDEX(Array_MobileChargeData,ROW()-15,COLUMN()*2-3)),"",INDEX(Array_MobileChargeData,ROW()-15,COLUMN()*2-3))</f>
        <v/>
      </c>
      <c r="D120" t="str" cm="1">
        <f>IF(ISBLANK(INDEX(Array_MobileChargeData,ROW()-15,COLUMN()*2-3)),"",INDEX(Array_MobileChargeData,ROW()-15,COLUMN()*2-3))</f>
        <v/>
      </c>
      <c r="E120" t="str" cm="1">
        <f>IF(ISBLANK(INDEX(Array_MobileChargeData,ROW()-15,COLUMN()*2-3)),"",INDEX(Array_MobileChargeData,ROW()-15,COLUMN()*2-3))</f>
        <v/>
      </c>
      <c r="F120" t="str" cm="1">
        <f>IF(ISBLANK(INDEX(Array_MobileChargeData,ROW()-15,COLUMN()*2-3)),"",INDEX(Array_MobileChargeData,ROW()-15,COLUMN()*2-3))</f>
        <v/>
      </c>
    </row>
    <row r="121" spans="1:6" x14ac:dyDescent="0.35">
      <c r="A121" t="str">
        <f>IF('Mobile Fuel Meters'!B108="",A120,'Mobile Fuel Meters'!B108)</f>
        <v>Meter Numbers</v>
      </c>
      <c r="B121" t="str" cm="1">
        <f>IF(ISBLANK(INDEX(Array_MobileChargeData,ROW()-15,COLUMN()*2-3)),"",INDEX(Array_MobileChargeData,ROW()-15,COLUMN()*2-3))</f>
        <v/>
      </c>
      <c r="C121" t="str" cm="1">
        <f>IF(ISBLANK(INDEX(Array_MobileChargeData,ROW()-15,COLUMN()*2-3)),"",INDEX(Array_MobileChargeData,ROW()-15,COLUMN()*2-3))</f>
        <v/>
      </c>
      <c r="D121" t="str" cm="1">
        <f>IF(ISBLANK(INDEX(Array_MobileChargeData,ROW()-15,COLUMN()*2-3)),"",INDEX(Array_MobileChargeData,ROW()-15,COLUMN()*2-3))</f>
        <v/>
      </c>
      <c r="E121" t="str" cm="1">
        <f>IF(ISBLANK(INDEX(Array_MobileChargeData,ROW()-15,COLUMN()*2-3)),"",INDEX(Array_MobileChargeData,ROW()-15,COLUMN()*2-3))</f>
        <v/>
      </c>
      <c r="F121" t="str" cm="1">
        <f>IF(ISBLANK(INDEX(Array_MobileChargeData,ROW()-15,COLUMN()*2-3)),"",INDEX(Array_MobileChargeData,ROW()-15,COLUMN()*2-3))</f>
        <v/>
      </c>
    </row>
    <row r="122" spans="1:6" x14ac:dyDescent="0.35">
      <c r="A122" t="str">
        <f>IF('Mobile Fuel Meters'!B109="",A121,'Mobile Fuel Meters'!B109)</f>
        <v>Meter Numbers</v>
      </c>
      <c r="B122" t="str" cm="1">
        <f>IF(ISBLANK(INDEX(Array_MobileChargeData,ROW()-15,COLUMN()*2-3)),"",INDEX(Array_MobileChargeData,ROW()-15,COLUMN()*2-3))</f>
        <v/>
      </c>
      <c r="C122" t="str" cm="1">
        <f>IF(ISBLANK(INDEX(Array_MobileChargeData,ROW()-15,COLUMN()*2-3)),"",INDEX(Array_MobileChargeData,ROW()-15,COLUMN()*2-3))</f>
        <v/>
      </c>
      <c r="D122" t="str" cm="1">
        <f>IF(ISBLANK(INDEX(Array_MobileChargeData,ROW()-15,COLUMN()*2-3)),"",INDEX(Array_MobileChargeData,ROW()-15,COLUMN()*2-3))</f>
        <v/>
      </c>
      <c r="E122" t="str" cm="1">
        <f>IF(ISBLANK(INDEX(Array_MobileChargeData,ROW()-15,COLUMN()*2-3)),"",INDEX(Array_MobileChargeData,ROW()-15,COLUMN()*2-3))</f>
        <v/>
      </c>
      <c r="F122" t="str" cm="1">
        <f>IF(ISBLANK(INDEX(Array_MobileChargeData,ROW()-15,COLUMN()*2-3)),"",INDEX(Array_MobileChargeData,ROW()-15,COLUMN()*2-3))</f>
        <v/>
      </c>
    </row>
    <row r="123" spans="1:6" x14ac:dyDescent="0.35">
      <c r="A123" t="str">
        <f>IF('Mobile Fuel Meters'!B110="",A122,'Mobile Fuel Meters'!B110)</f>
        <v>Meter Numbers</v>
      </c>
      <c r="B123" t="str" cm="1">
        <f>IF(ISBLANK(INDEX(Array_MobileChargeData,ROW()-15,COLUMN()*2-3)),"",INDEX(Array_MobileChargeData,ROW()-15,COLUMN()*2-3))</f>
        <v/>
      </c>
      <c r="C123" t="str" cm="1">
        <f>IF(ISBLANK(INDEX(Array_MobileChargeData,ROW()-15,COLUMN()*2-3)),"",INDEX(Array_MobileChargeData,ROW()-15,COLUMN()*2-3))</f>
        <v/>
      </c>
      <c r="D123" t="str" cm="1">
        <f>IF(ISBLANK(INDEX(Array_MobileChargeData,ROW()-15,COLUMN()*2-3)),"",INDEX(Array_MobileChargeData,ROW()-15,COLUMN()*2-3))</f>
        <v/>
      </c>
      <c r="E123" t="str" cm="1">
        <f>IF(ISBLANK(INDEX(Array_MobileChargeData,ROW()-15,COLUMN()*2-3)),"",INDEX(Array_MobileChargeData,ROW()-15,COLUMN()*2-3))</f>
        <v/>
      </c>
      <c r="F123" t="str" cm="1">
        <f>IF(ISBLANK(INDEX(Array_MobileChargeData,ROW()-15,COLUMN()*2-3)),"",INDEX(Array_MobileChargeData,ROW()-15,COLUMN()*2-3))</f>
        <v/>
      </c>
    </row>
    <row r="124" spans="1:6" x14ac:dyDescent="0.35">
      <c r="A124" t="str">
        <f>IF('Mobile Fuel Meters'!B111="",A123,'Mobile Fuel Meters'!B111)</f>
        <v>Meter Numbers</v>
      </c>
      <c r="B124" t="str" cm="1">
        <f>IF(ISBLANK(INDEX(Array_MobileChargeData,ROW()-15,COLUMN()*2-3)),"",INDEX(Array_MobileChargeData,ROW()-15,COLUMN()*2-3))</f>
        <v/>
      </c>
      <c r="C124" t="str" cm="1">
        <f>IF(ISBLANK(INDEX(Array_MobileChargeData,ROW()-15,COLUMN()*2-3)),"",INDEX(Array_MobileChargeData,ROW()-15,COLUMN()*2-3))</f>
        <v/>
      </c>
      <c r="D124" t="str" cm="1">
        <f>IF(ISBLANK(INDEX(Array_MobileChargeData,ROW()-15,COLUMN()*2-3)),"",INDEX(Array_MobileChargeData,ROW()-15,COLUMN()*2-3))</f>
        <v/>
      </c>
      <c r="E124" t="str" cm="1">
        <f>IF(ISBLANK(INDEX(Array_MobileChargeData,ROW()-15,COLUMN()*2-3)),"",INDEX(Array_MobileChargeData,ROW()-15,COLUMN()*2-3))</f>
        <v/>
      </c>
      <c r="F124" t="str" cm="1">
        <f>IF(ISBLANK(INDEX(Array_MobileChargeData,ROW()-15,COLUMN()*2-3)),"",INDEX(Array_MobileChargeData,ROW()-15,COLUMN()*2-3))</f>
        <v/>
      </c>
    </row>
    <row r="125" spans="1:6" x14ac:dyDescent="0.35">
      <c r="A125" t="str">
        <f>IF('Mobile Fuel Meters'!B112="",A124,'Mobile Fuel Meters'!B112)</f>
        <v>Meter Numbers</v>
      </c>
      <c r="B125" t="str" cm="1">
        <f>IF(ISBLANK(INDEX(Array_MobileChargeData,ROW()-15,COLUMN()*2-3)),"",INDEX(Array_MobileChargeData,ROW()-15,COLUMN()*2-3))</f>
        <v/>
      </c>
      <c r="C125" t="str" cm="1">
        <f>IF(ISBLANK(INDEX(Array_MobileChargeData,ROW()-15,COLUMN()*2-3)),"",INDEX(Array_MobileChargeData,ROW()-15,COLUMN()*2-3))</f>
        <v/>
      </c>
      <c r="D125" t="str" cm="1">
        <f>IF(ISBLANK(INDEX(Array_MobileChargeData,ROW()-15,COLUMN()*2-3)),"",INDEX(Array_MobileChargeData,ROW()-15,COLUMN()*2-3))</f>
        <v/>
      </c>
      <c r="E125" t="str" cm="1">
        <f>IF(ISBLANK(INDEX(Array_MobileChargeData,ROW()-15,COLUMN()*2-3)),"",INDEX(Array_MobileChargeData,ROW()-15,COLUMN()*2-3))</f>
        <v/>
      </c>
      <c r="F125" t="str" cm="1">
        <f>IF(ISBLANK(INDEX(Array_MobileChargeData,ROW()-15,COLUMN()*2-3)),"",INDEX(Array_MobileChargeData,ROW()-15,COLUMN()*2-3))</f>
        <v/>
      </c>
    </row>
    <row r="126" spans="1:6" x14ac:dyDescent="0.35">
      <c r="A126" t="str">
        <f>IF('Mobile Fuel Meters'!B113="",A125,'Mobile Fuel Meters'!B113)</f>
        <v>Meter Numbers</v>
      </c>
      <c r="B126" t="str" cm="1">
        <f>IF(ISBLANK(INDEX(Array_MobileChargeData,ROW()-15,COLUMN()*2-3)),"",INDEX(Array_MobileChargeData,ROW()-15,COLUMN()*2-3))</f>
        <v/>
      </c>
      <c r="C126" t="str" cm="1">
        <f>IF(ISBLANK(INDEX(Array_MobileChargeData,ROW()-15,COLUMN()*2-3)),"",INDEX(Array_MobileChargeData,ROW()-15,COLUMN()*2-3))</f>
        <v/>
      </c>
      <c r="D126" t="str" cm="1">
        <f>IF(ISBLANK(INDEX(Array_MobileChargeData,ROW()-15,COLUMN()*2-3)),"",INDEX(Array_MobileChargeData,ROW()-15,COLUMN()*2-3))</f>
        <v/>
      </c>
      <c r="E126" t="str" cm="1">
        <f>IF(ISBLANK(INDEX(Array_MobileChargeData,ROW()-15,COLUMN()*2-3)),"",INDEX(Array_MobileChargeData,ROW()-15,COLUMN()*2-3))</f>
        <v/>
      </c>
      <c r="F126" t="str" cm="1">
        <f>IF(ISBLANK(INDEX(Array_MobileChargeData,ROW()-15,COLUMN()*2-3)),"",INDEX(Array_MobileChargeData,ROW()-15,COLUMN()*2-3))</f>
        <v/>
      </c>
    </row>
    <row r="127" spans="1:6" x14ac:dyDescent="0.35">
      <c r="A127" t="str">
        <f>IF('Mobile Fuel Meters'!B114="",A126,'Mobile Fuel Meters'!B114)</f>
        <v>Meter Numbers</v>
      </c>
      <c r="B127" t="str" cm="1">
        <f>IF(ISBLANK(INDEX(Array_MobileChargeData,ROW()-15,COLUMN()*2-3)),"",INDEX(Array_MobileChargeData,ROW()-15,COLUMN()*2-3))</f>
        <v/>
      </c>
      <c r="C127" t="str" cm="1">
        <f>IF(ISBLANK(INDEX(Array_MobileChargeData,ROW()-15,COLUMN()*2-3)),"",INDEX(Array_MobileChargeData,ROW()-15,COLUMN()*2-3))</f>
        <v/>
      </c>
      <c r="D127" t="str" cm="1">
        <f>IF(ISBLANK(INDEX(Array_MobileChargeData,ROW()-15,COLUMN()*2-3)),"",INDEX(Array_MobileChargeData,ROW()-15,COLUMN()*2-3))</f>
        <v/>
      </c>
      <c r="E127" t="str" cm="1">
        <f>IF(ISBLANK(INDEX(Array_MobileChargeData,ROW()-15,COLUMN()*2-3)),"",INDEX(Array_MobileChargeData,ROW()-15,COLUMN()*2-3))</f>
        <v/>
      </c>
      <c r="F127" t="str" cm="1">
        <f>IF(ISBLANK(INDEX(Array_MobileChargeData,ROW()-15,COLUMN()*2-3)),"",INDEX(Array_MobileChargeData,ROW()-15,COLUMN()*2-3))</f>
        <v/>
      </c>
    </row>
    <row r="128" spans="1:6" x14ac:dyDescent="0.35">
      <c r="A128" t="str">
        <f>IF('Mobile Fuel Meters'!B115="",A127,'Mobile Fuel Meters'!B115)</f>
        <v>Meter Numbers</v>
      </c>
      <c r="B128" t="str" cm="1">
        <f>IF(ISBLANK(INDEX(Array_MobileChargeData,ROW()-15,COLUMN()*2-3)),"",INDEX(Array_MobileChargeData,ROW()-15,COLUMN()*2-3))</f>
        <v/>
      </c>
      <c r="C128" t="str" cm="1">
        <f>IF(ISBLANK(INDEX(Array_MobileChargeData,ROW()-15,COLUMN()*2-3)),"",INDEX(Array_MobileChargeData,ROW()-15,COLUMN()*2-3))</f>
        <v/>
      </c>
      <c r="D128" t="str" cm="1">
        <f>IF(ISBLANK(INDEX(Array_MobileChargeData,ROW()-15,COLUMN()*2-3)),"",INDEX(Array_MobileChargeData,ROW()-15,COLUMN()*2-3))</f>
        <v/>
      </c>
      <c r="E128" t="str" cm="1">
        <f>IF(ISBLANK(INDEX(Array_MobileChargeData,ROW()-15,COLUMN()*2-3)),"",INDEX(Array_MobileChargeData,ROW()-15,COLUMN()*2-3))</f>
        <v/>
      </c>
      <c r="F128" t="str" cm="1">
        <f>IF(ISBLANK(INDEX(Array_MobileChargeData,ROW()-15,COLUMN()*2-3)),"",INDEX(Array_MobileChargeData,ROW()-15,COLUMN()*2-3))</f>
        <v/>
      </c>
    </row>
    <row r="129" spans="1:6" x14ac:dyDescent="0.35">
      <c r="A129" t="str">
        <f>IF('Mobile Fuel Meters'!B116="",A128,'Mobile Fuel Meters'!B116)</f>
        <v>Meter Numbers</v>
      </c>
      <c r="B129" t="str" cm="1">
        <f>IF(ISBLANK(INDEX(Array_MobileChargeData,ROW()-15,COLUMN()*2-3)),"",INDEX(Array_MobileChargeData,ROW()-15,COLUMN()*2-3))</f>
        <v/>
      </c>
      <c r="C129" t="str" cm="1">
        <f>IF(ISBLANK(INDEX(Array_MobileChargeData,ROW()-15,COLUMN()*2-3)),"",INDEX(Array_MobileChargeData,ROW()-15,COLUMN()*2-3))</f>
        <v/>
      </c>
      <c r="D129" t="str" cm="1">
        <f>IF(ISBLANK(INDEX(Array_MobileChargeData,ROW()-15,COLUMN()*2-3)),"",INDEX(Array_MobileChargeData,ROW()-15,COLUMN()*2-3))</f>
        <v/>
      </c>
      <c r="E129" t="str" cm="1">
        <f>IF(ISBLANK(INDEX(Array_MobileChargeData,ROW()-15,COLUMN()*2-3)),"",INDEX(Array_MobileChargeData,ROW()-15,COLUMN()*2-3))</f>
        <v/>
      </c>
      <c r="F129" t="str" cm="1">
        <f>IF(ISBLANK(INDEX(Array_MobileChargeData,ROW()-15,COLUMN()*2-3)),"",INDEX(Array_MobileChargeData,ROW()-15,COLUMN()*2-3))</f>
        <v/>
      </c>
    </row>
    <row r="130" spans="1:6" x14ac:dyDescent="0.35">
      <c r="A130" t="str">
        <f>IF('Mobile Fuel Meters'!B117="",A129,'Mobile Fuel Meters'!B117)</f>
        <v>Meter Numbers</v>
      </c>
      <c r="B130" t="str" cm="1">
        <f>IF(ISBLANK(INDEX(Array_MobileChargeData,ROW()-15,COLUMN()*2-3)),"",INDEX(Array_MobileChargeData,ROW()-15,COLUMN()*2-3))</f>
        <v/>
      </c>
      <c r="C130" t="str" cm="1">
        <f>IF(ISBLANK(INDEX(Array_MobileChargeData,ROW()-15,COLUMN()*2-3)),"",INDEX(Array_MobileChargeData,ROW()-15,COLUMN()*2-3))</f>
        <v/>
      </c>
      <c r="D130" t="str" cm="1">
        <f>IF(ISBLANK(INDEX(Array_MobileChargeData,ROW()-15,COLUMN()*2-3)),"",INDEX(Array_MobileChargeData,ROW()-15,COLUMN()*2-3))</f>
        <v/>
      </c>
      <c r="E130" t="str" cm="1">
        <f>IF(ISBLANK(INDEX(Array_MobileChargeData,ROW()-15,COLUMN()*2-3)),"",INDEX(Array_MobileChargeData,ROW()-15,COLUMN()*2-3))</f>
        <v/>
      </c>
      <c r="F130" t="str" cm="1">
        <f>IF(ISBLANK(INDEX(Array_MobileChargeData,ROW()-15,COLUMN()*2-3)),"",INDEX(Array_MobileChargeData,ROW()-15,COLUMN()*2-3))</f>
        <v/>
      </c>
    </row>
    <row r="131" spans="1:6" x14ac:dyDescent="0.35">
      <c r="A131" t="str">
        <f>IF('Mobile Fuel Meters'!B118="",A130,'Mobile Fuel Meters'!B118)</f>
        <v>Meter Numbers</v>
      </c>
      <c r="B131" t="str" cm="1">
        <f>IF(ISBLANK(INDEX(Array_MobileChargeData,ROW()-15,COLUMN()*2-3)),"",INDEX(Array_MobileChargeData,ROW()-15,COLUMN()*2-3))</f>
        <v/>
      </c>
      <c r="C131" t="str" cm="1">
        <f>IF(ISBLANK(INDEX(Array_MobileChargeData,ROW()-15,COLUMN()*2-3)),"",INDEX(Array_MobileChargeData,ROW()-15,COLUMN()*2-3))</f>
        <v/>
      </c>
      <c r="D131" t="str" cm="1">
        <f>IF(ISBLANK(INDEX(Array_MobileChargeData,ROW()-15,COLUMN()*2-3)),"",INDEX(Array_MobileChargeData,ROW()-15,COLUMN()*2-3))</f>
        <v/>
      </c>
      <c r="E131" t="str" cm="1">
        <f>IF(ISBLANK(INDEX(Array_MobileChargeData,ROW()-15,COLUMN()*2-3)),"",INDEX(Array_MobileChargeData,ROW()-15,COLUMN()*2-3))</f>
        <v/>
      </c>
      <c r="F131" t="str" cm="1">
        <f>IF(ISBLANK(INDEX(Array_MobileChargeData,ROW()-15,COLUMN()*2-3)),"",INDEX(Array_MobileChargeData,ROW()-15,COLUMN()*2-3))</f>
        <v/>
      </c>
    </row>
    <row r="132" spans="1:6" x14ac:dyDescent="0.35">
      <c r="A132" t="str">
        <f>IF('Mobile Fuel Meters'!B119="",A131,'Mobile Fuel Meters'!B119)</f>
        <v>Meter Numbers</v>
      </c>
      <c r="B132" t="str" cm="1">
        <f>IF(ISBLANK(INDEX(Array_MobileChargeData,ROW()-15,COLUMN()*2-3)),"",INDEX(Array_MobileChargeData,ROW()-15,COLUMN()*2-3))</f>
        <v/>
      </c>
      <c r="C132" t="str" cm="1">
        <f>IF(ISBLANK(INDEX(Array_MobileChargeData,ROW()-15,COLUMN()*2-3)),"",INDEX(Array_MobileChargeData,ROW()-15,COLUMN()*2-3))</f>
        <v/>
      </c>
      <c r="D132" t="str" cm="1">
        <f>IF(ISBLANK(INDEX(Array_MobileChargeData,ROW()-15,COLUMN()*2-3)),"",INDEX(Array_MobileChargeData,ROW()-15,COLUMN()*2-3))</f>
        <v/>
      </c>
      <c r="E132" t="str" cm="1">
        <f>IF(ISBLANK(INDEX(Array_MobileChargeData,ROW()-15,COLUMN()*2-3)),"",INDEX(Array_MobileChargeData,ROW()-15,COLUMN()*2-3))</f>
        <v/>
      </c>
      <c r="F132" t="str" cm="1">
        <f>IF(ISBLANK(INDEX(Array_MobileChargeData,ROW()-15,COLUMN()*2-3)),"",INDEX(Array_MobileChargeData,ROW()-15,COLUMN()*2-3))</f>
        <v/>
      </c>
    </row>
    <row r="133" spans="1:6" x14ac:dyDescent="0.35">
      <c r="A133" t="str">
        <f>IF('Mobile Fuel Meters'!B120="",A132,'Mobile Fuel Meters'!B120)</f>
        <v>Meter Numbers</v>
      </c>
      <c r="B133" t="str" cm="1">
        <f>IF(ISBLANK(INDEX(Array_MobileChargeData,ROW()-15,COLUMN()*2-3)),"",INDEX(Array_MobileChargeData,ROW()-15,COLUMN()*2-3))</f>
        <v/>
      </c>
      <c r="C133" t="str" cm="1">
        <f>IF(ISBLANK(INDEX(Array_MobileChargeData,ROW()-15,COLUMN()*2-3)),"",INDEX(Array_MobileChargeData,ROW()-15,COLUMN()*2-3))</f>
        <v/>
      </c>
      <c r="D133" t="str" cm="1">
        <f>IF(ISBLANK(INDEX(Array_MobileChargeData,ROW()-15,COLUMN()*2-3)),"",INDEX(Array_MobileChargeData,ROW()-15,COLUMN()*2-3))</f>
        <v/>
      </c>
      <c r="E133" t="str" cm="1">
        <f>IF(ISBLANK(INDEX(Array_MobileChargeData,ROW()-15,COLUMN()*2-3)),"",INDEX(Array_MobileChargeData,ROW()-15,COLUMN()*2-3))</f>
        <v/>
      </c>
      <c r="F133" t="str" cm="1">
        <f>IF(ISBLANK(INDEX(Array_MobileChargeData,ROW()-15,COLUMN()*2-3)),"",INDEX(Array_MobileChargeData,ROW()-15,COLUMN()*2-3))</f>
        <v/>
      </c>
    </row>
    <row r="134" spans="1:6" x14ac:dyDescent="0.35">
      <c r="A134" t="str">
        <f>IF('Mobile Fuel Meters'!B121="",A133,'Mobile Fuel Meters'!B121)</f>
        <v>Meter Numbers</v>
      </c>
      <c r="B134" t="str" cm="1">
        <f>IF(ISBLANK(INDEX(Array_MobileChargeData,ROW()-15,COLUMN()*2-3)),"",INDEX(Array_MobileChargeData,ROW()-15,COLUMN()*2-3))</f>
        <v/>
      </c>
      <c r="C134" t="str" cm="1">
        <f>IF(ISBLANK(INDEX(Array_MobileChargeData,ROW()-15,COLUMN()*2-3)),"",INDEX(Array_MobileChargeData,ROW()-15,COLUMN()*2-3))</f>
        <v/>
      </c>
      <c r="D134" t="str" cm="1">
        <f>IF(ISBLANK(INDEX(Array_MobileChargeData,ROW()-15,COLUMN()*2-3)),"",INDEX(Array_MobileChargeData,ROW()-15,COLUMN()*2-3))</f>
        <v/>
      </c>
      <c r="E134" t="str" cm="1">
        <f>IF(ISBLANK(INDEX(Array_MobileChargeData,ROW()-15,COLUMN()*2-3)),"",INDEX(Array_MobileChargeData,ROW()-15,COLUMN()*2-3))</f>
        <v/>
      </c>
      <c r="F134" t="str" cm="1">
        <f>IF(ISBLANK(INDEX(Array_MobileChargeData,ROW()-15,COLUMN()*2-3)),"",INDEX(Array_MobileChargeData,ROW()-15,COLUMN()*2-3))</f>
        <v/>
      </c>
    </row>
    <row r="135" spans="1:6" x14ac:dyDescent="0.35">
      <c r="A135" t="str">
        <f>IF('Mobile Fuel Meters'!B122="",A134,'Mobile Fuel Meters'!B122)</f>
        <v>Meter Numbers</v>
      </c>
      <c r="B135" t="str" cm="1">
        <f>IF(ISBLANK(INDEX(Array_MobileChargeData,ROW()-15,COLUMN()*2-3)),"",INDEX(Array_MobileChargeData,ROW()-15,COLUMN()*2-3))</f>
        <v/>
      </c>
      <c r="C135" t="str" cm="1">
        <f>IF(ISBLANK(INDEX(Array_MobileChargeData,ROW()-15,COLUMN()*2-3)),"",INDEX(Array_MobileChargeData,ROW()-15,COLUMN()*2-3))</f>
        <v/>
      </c>
      <c r="D135" t="str" cm="1">
        <f>IF(ISBLANK(INDEX(Array_MobileChargeData,ROW()-15,COLUMN()*2-3)),"",INDEX(Array_MobileChargeData,ROW()-15,COLUMN()*2-3))</f>
        <v/>
      </c>
      <c r="E135" t="str" cm="1">
        <f>IF(ISBLANK(INDEX(Array_MobileChargeData,ROW()-15,COLUMN()*2-3)),"",INDEX(Array_MobileChargeData,ROW()-15,COLUMN()*2-3))</f>
        <v/>
      </c>
      <c r="F135" t="str" cm="1">
        <f>IF(ISBLANK(INDEX(Array_MobileChargeData,ROW()-15,COLUMN()*2-3)),"",INDEX(Array_MobileChargeData,ROW()-15,COLUMN()*2-3))</f>
        <v/>
      </c>
    </row>
    <row r="136" spans="1:6" x14ac:dyDescent="0.35">
      <c r="A136" t="str">
        <f>IF('Mobile Fuel Meters'!B123="",A135,'Mobile Fuel Meters'!B123)</f>
        <v>Meter Numbers</v>
      </c>
      <c r="B136" t="str" cm="1">
        <f>IF(ISBLANK(INDEX(Array_MobileChargeData,ROW()-15,COLUMN()*2-3)),"",INDEX(Array_MobileChargeData,ROW()-15,COLUMN()*2-3))</f>
        <v/>
      </c>
      <c r="C136" t="str" cm="1">
        <f>IF(ISBLANK(INDEX(Array_MobileChargeData,ROW()-15,COLUMN()*2-3)),"",INDEX(Array_MobileChargeData,ROW()-15,COLUMN()*2-3))</f>
        <v/>
      </c>
      <c r="D136" t="str" cm="1">
        <f>IF(ISBLANK(INDEX(Array_MobileChargeData,ROW()-15,COLUMN()*2-3)),"",INDEX(Array_MobileChargeData,ROW()-15,COLUMN()*2-3))</f>
        <v/>
      </c>
      <c r="E136" t="str" cm="1">
        <f>IF(ISBLANK(INDEX(Array_MobileChargeData,ROW()-15,COLUMN()*2-3)),"",INDEX(Array_MobileChargeData,ROW()-15,COLUMN()*2-3))</f>
        <v/>
      </c>
      <c r="F136" t="str" cm="1">
        <f>IF(ISBLANK(INDEX(Array_MobileChargeData,ROW()-15,COLUMN()*2-3)),"",INDEX(Array_MobileChargeData,ROW()-15,COLUMN()*2-3))</f>
        <v/>
      </c>
    </row>
    <row r="137" spans="1:6" x14ac:dyDescent="0.35">
      <c r="A137" t="str">
        <f>IF('Mobile Fuel Meters'!B124="",A136,'Mobile Fuel Meters'!B124)</f>
        <v>Meter Numbers</v>
      </c>
      <c r="B137" t="str" cm="1">
        <f>IF(ISBLANK(INDEX(Array_MobileChargeData,ROW()-15,COLUMN()*2-3)),"",INDEX(Array_MobileChargeData,ROW()-15,COLUMN()*2-3))</f>
        <v/>
      </c>
      <c r="C137" t="str" cm="1">
        <f>IF(ISBLANK(INDEX(Array_MobileChargeData,ROW()-15,COLUMN()*2-3)),"",INDEX(Array_MobileChargeData,ROW()-15,COLUMN()*2-3))</f>
        <v/>
      </c>
      <c r="D137" t="str" cm="1">
        <f>IF(ISBLANK(INDEX(Array_MobileChargeData,ROW()-15,COLUMN()*2-3)),"",INDEX(Array_MobileChargeData,ROW()-15,COLUMN()*2-3))</f>
        <v/>
      </c>
      <c r="E137" t="str" cm="1">
        <f>IF(ISBLANK(INDEX(Array_MobileChargeData,ROW()-15,COLUMN()*2-3)),"",INDEX(Array_MobileChargeData,ROW()-15,COLUMN()*2-3))</f>
        <v/>
      </c>
      <c r="F137" t="str" cm="1">
        <f>IF(ISBLANK(INDEX(Array_MobileChargeData,ROW()-15,COLUMN()*2-3)),"",INDEX(Array_MobileChargeData,ROW()-15,COLUMN()*2-3))</f>
        <v/>
      </c>
    </row>
    <row r="138" spans="1:6" x14ac:dyDescent="0.35">
      <c r="A138" t="str">
        <f>IF('Mobile Fuel Meters'!B125="",A137,'Mobile Fuel Meters'!B125)</f>
        <v>Meter Numbers</v>
      </c>
      <c r="B138" t="str" cm="1">
        <f>IF(ISBLANK(INDEX(Array_MobileChargeData,ROW()-15,COLUMN()*2-3)),"",INDEX(Array_MobileChargeData,ROW()-15,COLUMN()*2-3))</f>
        <v/>
      </c>
      <c r="C138" t="str" cm="1">
        <f>IF(ISBLANK(INDEX(Array_MobileChargeData,ROW()-15,COLUMN()*2-3)),"",INDEX(Array_MobileChargeData,ROW()-15,COLUMN()*2-3))</f>
        <v/>
      </c>
      <c r="D138" t="str" cm="1">
        <f>IF(ISBLANK(INDEX(Array_MobileChargeData,ROW()-15,COLUMN()*2-3)),"",INDEX(Array_MobileChargeData,ROW()-15,COLUMN()*2-3))</f>
        <v/>
      </c>
      <c r="E138" t="str" cm="1">
        <f>IF(ISBLANK(INDEX(Array_MobileChargeData,ROW()-15,COLUMN()*2-3)),"",INDEX(Array_MobileChargeData,ROW()-15,COLUMN()*2-3))</f>
        <v/>
      </c>
      <c r="F138" t="str" cm="1">
        <f>IF(ISBLANK(INDEX(Array_MobileChargeData,ROW()-15,COLUMN()*2-3)),"",INDEX(Array_MobileChargeData,ROW()-15,COLUMN()*2-3))</f>
        <v/>
      </c>
    </row>
    <row r="139" spans="1:6" x14ac:dyDescent="0.35">
      <c r="A139" t="str">
        <f>IF('Mobile Fuel Meters'!B126="",A138,'Mobile Fuel Meters'!B126)</f>
        <v>Meter Numbers</v>
      </c>
      <c r="B139" t="str" cm="1">
        <f>IF(ISBLANK(INDEX(Array_MobileChargeData,ROW()-15,COLUMN()*2-3)),"",INDEX(Array_MobileChargeData,ROW()-15,COLUMN()*2-3))</f>
        <v/>
      </c>
      <c r="C139" t="str" cm="1">
        <f>IF(ISBLANK(INDEX(Array_MobileChargeData,ROW()-15,COLUMN()*2-3)),"",INDEX(Array_MobileChargeData,ROW()-15,COLUMN()*2-3))</f>
        <v/>
      </c>
      <c r="D139" t="str" cm="1">
        <f>IF(ISBLANK(INDEX(Array_MobileChargeData,ROW()-15,COLUMN()*2-3)),"",INDEX(Array_MobileChargeData,ROW()-15,COLUMN()*2-3))</f>
        <v/>
      </c>
      <c r="E139" t="str" cm="1">
        <f>IF(ISBLANK(INDEX(Array_MobileChargeData,ROW()-15,COLUMN()*2-3)),"",INDEX(Array_MobileChargeData,ROW()-15,COLUMN()*2-3))</f>
        <v/>
      </c>
      <c r="F139" t="str" cm="1">
        <f>IF(ISBLANK(INDEX(Array_MobileChargeData,ROW()-15,COLUMN()*2-3)),"",INDEX(Array_MobileChargeData,ROW()-15,COLUMN()*2-3))</f>
        <v/>
      </c>
    </row>
    <row r="140" spans="1:6" x14ac:dyDescent="0.35">
      <c r="A140" t="str">
        <f>IF('Mobile Fuel Meters'!B127="",A139,'Mobile Fuel Meters'!B127)</f>
        <v>Meter Numbers</v>
      </c>
      <c r="B140" t="str" cm="1">
        <f>IF(ISBLANK(INDEX(Array_MobileChargeData,ROW()-15,COLUMN()*2-3)),"",INDEX(Array_MobileChargeData,ROW()-15,COLUMN()*2-3))</f>
        <v/>
      </c>
      <c r="C140" t="str" cm="1">
        <f>IF(ISBLANK(INDEX(Array_MobileChargeData,ROW()-15,COLUMN()*2-3)),"",INDEX(Array_MobileChargeData,ROW()-15,COLUMN()*2-3))</f>
        <v/>
      </c>
      <c r="D140" t="str" cm="1">
        <f>IF(ISBLANK(INDEX(Array_MobileChargeData,ROW()-15,COLUMN()*2-3)),"",INDEX(Array_MobileChargeData,ROW()-15,COLUMN()*2-3))</f>
        <v/>
      </c>
      <c r="E140" t="str" cm="1">
        <f>IF(ISBLANK(INDEX(Array_MobileChargeData,ROW()-15,COLUMN()*2-3)),"",INDEX(Array_MobileChargeData,ROW()-15,COLUMN()*2-3))</f>
        <v/>
      </c>
      <c r="F140" t="str" cm="1">
        <f>IF(ISBLANK(INDEX(Array_MobileChargeData,ROW()-15,COLUMN()*2-3)),"",INDEX(Array_MobileChargeData,ROW()-15,COLUMN()*2-3))</f>
        <v/>
      </c>
    </row>
    <row r="141" spans="1:6" x14ac:dyDescent="0.35">
      <c r="A141" t="str">
        <f>IF('Mobile Fuel Meters'!B128="",A140,'Mobile Fuel Meters'!B128)</f>
        <v>Meter Numbers</v>
      </c>
      <c r="B141" t="str" cm="1">
        <f>IF(ISBLANK(INDEX(Array_MobileChargeData,ROW()-15,COLUMN()*2-3)),"",INDEX(Array_MobileChargeData,ROW()-15,COLUMN()*2-3))</f>
        <v/>
      </c>
      <c r="C141" t="str" cm="1">
        <f>IF(ISBLANK(INDEX(Array_MobileChargeData,ROW()-15,COLUMN()*2-3)),"",INDEX(Array_MobileChargeData,ROW()-15,COLUMN()*2-3))</f>
        <v/>
      </c>
      <c r="D141" t="str" cm="1">
        <f>IF(ISBLANK(INDEX(Array_MobileChargeData,ROW()-15,COLUMN()*2-3)),"",INDEX(Array_MobileChargeData,ROW()-15,COLUMN()*2-3))</f>
        <v/>
      </c>
      <c r="E141" t="str" cm="1">
        <f>IF(ISBLANK(INDEX(Array_MobileChargeData,ROW()-15,COLUMN()*2-3)),"",INDEX(Array_MobileChargeData,ROW()-15,COLUMN()*2-3))</f>
        <v/>
      </c>
      <c r="F141" t="str" cm="1">
        <f>IF(ISBLANK(INDEX(Array_MobileChargeData,ROW()-15,COLUMN()*2-3)),"",INDEX(Array_MobileChargeData,ROW()-15,COLUMN()*2-3))</f>
        <v/>
      </c>
    </row>
    <row r="142" spans="1:6" x14ac:dyDescent="0.35">
      <c r="A142" t="str">
        <f>IF('Mobile Fuel Meters'!B129="",A141,'Mobile Fuel Meters'!B129)</f>
        <v>Meter Numbers</v>
      </c>
      <c r="B142" t="str" cm="1">
        <f>IF(ISBLANK(INDEX(Array_MobileChargeData,ROW()-15,COLUMN()*2-3)),"",INDEX(Array_MobileChargeData,ROW()-15,COLUMN()*2-3))</f>
        <v/>
      </c>
      <c r="C142" t="str" cm="1">
        <f>IF(ISBLANK(INDEX(Array_MobileChargeData,ROW()-15,COLUMN()*2-3)),"",INDEX(Array_MobileChargeData,ROW()-15,COLUMN()*2-3))</f>
        <v/>
      </c>
      <c r="D142" t="str" cm="1">
        <f>IF(ISBLANK(INDEX(Array_MobileChargeData,ROW()-15,COLUMN()*2-3)),"",INDEX(Array_MobileChargeData,ROW()-15,COLUMN()*2-3))</f>
        <v/>
      </c>
      <c r="E142" t="str" cm="1">
        <f>IF(ISBLANK(INDEX(Array_MobileChargeData,ROW()-15,COLUMN()*2-3)),"",INDEX(Array_MobileChargeData,ROW()-15,COLUMN()*2-3))</f>
        <v/>
      </c>
      <c r="F142" t="str" cm="1">
        <f>IF(ISBLANK(INDEX(Array_MobileChargeData,ROW()-15,COLUMN()*2-3)),"",INDEX(Array_MobileChargeData,ROW()-15,COLUMN()*2-3))</f>
        <v/>
      </c>
    </row>
    <row r="143" spans="1:6" x14ac:dyDescent="0.35">
      <c r="A143" t="str">
        <f>IF('Mobile Fuel Meters'!B130="",A142,'Mobile Fuel Meters'!B130)</f>
        <v>Meter Numbers</v>
      </c>
      <c r="B143" t="str" cm="1">
        <f>IF(ISBLANK(INDEX(Array_MobileChargeData,ROW()-15,COLUMN()*2-3)),"",INDEX(Array_MobileChargeData,ROW()-15,COLUMN()*2-3))</f>
        <v/>
      </c>
      <c r="C143" t="str" cm="1">
        <f>IF(ISBLANK(INDEX(Array_MobileChargeData,ROW()-15,COLUMN()*2-3)),"",INDEX(Array_MobileChargeData,ROW()-15,COLUMN()*2-3))</f>
        <v/>
      </c>
      <c r="D143" t="str" cm="1">
        <f>IF(ISBLANK(INDEX(Array_MobileChargeData,ROW()-15,COLUMN()*2-3)),"",INDEX(Array_MobileChargeData,ROW()-15,COLUMN()*2-3))</f>
        <v/>
      </c>
      <c r="E143" t="str" cm="1">
        <f>IF(ISBLANK(INDEX(Array_MobileChargeData,ROW()-15,COLUMN()*2-3)),"",INDEX(Array_MobileChargeData,ROW()-15,COLUMN()*2-3))</f>
        <v/>
      </c>
      <c r="F143" t="str" cm="1">
        <f>IF(ISBLANK(INDEX(Array_MobileChargeData,ROW()-15,COLUMN()*2-3)),"",INDEX(Array_MobileChargeData,ROW()-15,COLUMN()*2-3))</f>
        <v/>
      </c>
    </row>
    <row r="144" spans="1:6" x14ac:dyDescent="0.35">
      <c r="A144" t="str">
        <f>IF('Mobile Fuel Meters'!B131="",A143,'Mobile Fuel Meters'!B131)</f>
        <v>Meter Numbers</v>
      </c>
      <c r="B144" t="str" cm="1">
        <f>IF(ISBLANK(INDEX(Array_MobileChargeData,ROW()-15,COLUMN()*2-3)),"",INDEX(Array_MobileChargeData,ROW()-15,COLUMN()*2-3))</f>
        <v/>
      </c>
      <c r="C144" t="str" cm="1">
        <f>IF(ISBLANK(INDEX(Array_MobileChargeData,ROW()-15,COLUMN()*2-3)),"",INDEX(Array_MobileChargeData,ROW()-15,COLUMN()*2-3))</f>
        <v/>
      </c>
      <c r="D144" t="str" cm="1">
        <f>IF(ISBLANK(INDEX(Array_MobileChargeData,ROW()-15,COLUMN()*2-3)),"",INDEX(Array_MobileChargeData,ROW()-15,COLUMN()*2-3))</f>
        <v/>
      </c>
      <c r="E144" t="str" cm="1">
        <f>IF(ISBLANK(INDEX(Array_MobileChargeData,ROW()-15,COLUMN()*2-3)),"",INDEX(Array_MobileChargeData,ROW()-15,COLUMN()*2-3))</f>
        <v/>
      </c>
      <c r="F144" t="str" cm="1">
        <f>IF(ISBLANK(INDEX(Array_MobileChargeData,ROW()-15,COLUMN()*2-3)),"",INDEX(Array_MobileChargeData,ROW()-15,COLUMN()*2-3))</f>
        <v/>
      </c>
    </row>
    <row r="145" spans="1:6" x14ac:dyDescent="0.35">
      <c r="A145" t="str">
        <f>IF('Mobile Fuel Meters'!B132="",A144,'Mobile Fuel Meters'!B132)</f>
        <v>Meter Numbers</v>
      </c>
      <c r="B145" t="str" cm="1">
        <f>IF(ISBLANK(INDEX(Array_MobileChargeData,ROW()-15,COLUMN()*2-3)),"",INDEX(Array_MobileChargeData,ROW()-15,COLUMN()*2-3))</f>
        <v/>
      </c>
      <c r="C145" t="str" cm="1">
        <f>IF(ISBLANK(INDEX(Array_MobileChargeData,ROW()-15,COLUMN()*2-3)),"",INDEX(Array_MobileChargeData,ROW()-15,COLUMN()*2-3))</f>
        <v/>
      </c>
      <c r="D145" t="str" cm="1">
        <f>IF(ISBLANK(INDEX(Array_MobileChargeData,ROW()-15,COLUMN()*2-3)),"",INDEX(Array_MobileChargeData,ROW()-15,COLUMN()*2-3))</f>
        <v/>
      </c>
      <c r="E145" t="str" cm="1">
        <f>IF(ISBLANK(INDEX(Array_MobileChargeData,ROW()-15,COLUMN()*2-3)),"",INDEX(Array_MobileChargeData,ROW()-15,COLUMN()*2-3))</f>
        <v/>
      </c>
      <c r="F145" t="str" cm="1">
        <f>IF(ISBLANK(INDEX(Array_MobileChargeData,ROW()-15,COLUMN()*2-3)),"",INDEX(Array_MobileChargeData,ROW()-15,COLUMN()*2-3))</f>
        <v/>
      </c>
    </row>
    <row r="146" spans="1:6" x14ac:dyDescent="0.35">
      <c r="A146" t="str">
        <f>IF('Mobile Fuel Meters'!B133="",A145,'Mobile Fuel Meters'!B133)</f>
        <v>Meter Numbers</v>
      </c>
      <c r="B146" t="str" cm="1">
        <f>IF(ISBLANK(INDEX(Array_MobileChargeData,ROW()-15,COLUMN()*2-3)),"",INDEX(Array_MobileChargeData,ROW()-15,COLUMN()*2-3))</f>
        <v/>
      </c>
      <c r="C146" t="str" cm="1">
        <f>IF(ISBLANK(INDEX(Array_MobileChargeData,ROW()-15,COLUMN()*2-3)),"",INDEX(Array_MobileChargeData,ROW()-15,COLUMN()*2-3))</f>
        <v/>
      </c>
      <c r="D146" t="str" cm="1">
        <f>IF(ISBLANK(INDEX(Array_MobileChargeData,ROW()-15,COLUMN()*2-3)),"",INDEX(Array_MobileChargeData,ROW()-15,COLUMN()*2-3))</f>
        <v/>
      </c>
      <c r="E146" t="str" cm="1">
        <f>IF(ISBLANK(INDEX(Array_MobileChargeData,ROW()-15,COLUMN()*2-3)),"",INDEX(Array_MobileChargeData,ROW()-15,COLUMN()*2-3))</f>
        <v/>
      </c>
      <c r="F146" t="str" cm="1">
        <f>IF(ISBLANK(INDEX(Array_MobileChargeData,ROW()-15,COLUMN()*2-3)),"",INDEX(Array_MobileChargeData,ROW()-15,COLUMN()*2-3))</f>
        <v/>
      </c>
    </row>
    <row r="147" spans="1:6" x14ac:dyDescent="0.35">
      <c r="A147" t="str">
        <f>IF('Mobile Fuel Meters'!B134="",A146,'Mobile Fuel Meters'!B134)</f>
        <v>Meter Numbers</v>
      </c>
      <c r="B147" t="str" cm="1">
        <f>IF(ISBLANK(INDEX(Array_MobileChargeData,ROW()-15,COLUMN()*2-3)),"",INDEX(Array_MobileChargeData,ROW()-15,COLUMN()*2-3))</f>
        <v/>
      </c>
      <c r="C147" t="str" cm="1">
        <f>IF(ISBLANK(INDEX(Array_MobileChargeData,ROW()-15,COLUMN()*2-3)),"",INDEX(Array_MobileChargeData,ROW()-15,COLUMN()*2-3))</f>
        <v/>
      </c>
      <c r="D147" t="str" cm="1">
        <f>IF(ISBLANK(INDEX(Array_MobileChargeData,ROW()-15,COLUMN()*2-3)),"",INDEX(Array_MobileChargeData,ROW()-15,COLUMN()*2-3))</f>
        <v/>
      </c>
      <c r="E147" t="str" cm="1">
        <f>IF(ISBLANK(INDEX(Array_MobileChargeData,ROW()-15,COLUMN()*2-3)),"",INDEX(Array_MobileChargeData,ROW()-15,COLUMN()*2-3))</f>
        <v/>
      </c>
      <c r="F147" t="str" cm="1">
        <f>IF(ISBLANK(INDEX(Array_MobileChargeData,ROW()-15,COLUMN()*2-3)),"",INDEX(Array_MobileChargeData,ROW()-15,COLUMN()*2-3))</f>
        <v/>
      </c>
    </row>
    <row r="148" spans="1:6" x14ac:dyDescent="0.35">
      <c r="A148" t="str">
        <f>IF('Mobile Fuel Meters'!B135="",A147,'Mobile Fuel Meters'!B135)</f>
        <v>Meter Numbers</v>
      </c>
      <c r="B148" t="str" cm="1">
        <f>IF(ISBLANK(INDEX(Array_MobileChargeData,ROW()-15,COLUMN()*2-3)),"",INDEX(Array_MobileChargeData,ROW()-15,COLUMN()*2-3))</f>
        <v/>
      </c>
      <c r="C148" t="str" cm="1">
        <f>IF(ISBLANK(INDEX(Array_MobileChargeData,ROW()-15,COLUMN()*2-3)),"",INDEX(Array_MobileChargeData,ROW()-15,COLUMN()*2-3))</f>
        <v/>
      </c>
      <c r="D148" t="str" cm="1">
        <f>IF(ISBLANK(INDEX(Array_MobileChargeData,ROW()-15,COLUMN()*2-3)),"",INDEX(Array_MobileChargeData,ROW()-15,COLUMN()*2-3))</f>
        <v/>
      </c>
      <c r="E148" t="str" cm="1">
        <f>IF(ISBLANK(INDEX(Array_MobileChargeData,ROW()-15,COLUMN()*2-3)),"",INDEX(Array_MobileChargeData,ROW()-15,COLUMN()*2-3))</f>
        <v/>
      </c>
      <c r="F148" t="str" cm="1">
        <f>IF(ISBLANK(INDEX(Array_MobileChargeData,ROW()-15,COLUMN()*2-3)),"",INDEX(Array_MobileChargeData,ROW()-15,COLUMN()*2-3))</f>
        <v/>
      </c>
    </row>
    <row r="149" spans="1:6" x14ac:dyDescent="0.35">
      <c r="A149" t="str">
        <f>IF('Mobile Fuel Meters'!B136="",A148,'Mobile Fuel Meters'!B136)</f>
        <v>Meter Numbers</v>
      </c>
      <c r="B149" t="str" cm="1">
        <f>IF(ISBLANK(INDEX(Array_MobileChargeData,ROW()-15,COLUMN()*2-3)),"",INDEX(Array_MobileChargeData,ROW()-15,COLUMN()*2-3))</f>
        <v/>
      </c>
      <c r="C149" t="str" cm="1">
        <f>IF(ISBLANK(INDEX(Array_MobileChargeData,ROW()-15,COLUMN()*2-3)),"",INDEX(Array_MobileChargeData,ROW()-15,COLUMN()*2-3))</f>
        <v/>
      </c>
      <c r="D149" t="str" cm="1">
        <f>IF(ISBLANK(INDEX(Array_MobileChargeData,ROW()-15,COLUMN()*2-3)),"",INDEX(Array_MobileChargeData,ROW()-15,COLUMN()*2-3))</f>
        <v/>
      </c>
      <c r="E149" t="str" cm="1">
        <f>IF(ISBLANK(INDEX(Array_MobileChargeData,ROW()-15,COLUMN()*2-3)),"",INDEX(Array_MobileChargeData,ROW()-15,COLUMN()*2-3))</f>
        <v/>
      </c>
      <c r="F149" t="str" cm="1">
        <f>IF(ISBLANK(INDEX(Array_MobileChargeData,ROW()-15,COLUMN()*2-3)),"",INDEX(Array_MobileChargeData,ROW()-15,COLUMN()*2-3))</f>
        <v/>
      </c>
    </row>
    <row r="150" spans="1:6" x14ac:dyDescent="0.35">
      <c r="A150" t="str">
        <f>IF('Mobile Fuel Meters'!B137="",A149,'Mobile Fuel Meters'!B137)</f>
        <v>Meter Numbers</v>
      </c>
      <c r="B150" t="str" cm="1">
        <f>IF(ISBLANK(INDEX(Array_MobileChargeData,ROW()-15,COLUMN()*2-3)),"",INDEX(Array_MobileChargeData,ROW()-15,COLUMN()*2-3))</f>
        <v/>
      </c>
      <c r="C150" t="str" cm="1">
        <f>IF(ISBLANK(INDEX(Array_MobileChargeData,ROW()-15,COLUMN()*2-3)),"",INDEX(Array_MobileChargeData,ROW()-15,COLUMN()*2-3))</f>
        <v/>
      </c>
      <c r="D150" t="str" cm="1">
        <f>IF(ISBLANK(INDEX(Array_MobileChargeData,ROW()-15,COLUMN()*2-3)),"",INDEX(Array_MobileChargeData,ROW()-15,COLUMN()*2-3))</f>
        <v/>
      </c>
      <c r="E150" t="str" cm="1">
        <f>IF(ISBLANK(INDEX(Array_MobileChargeData,ROW()-15,COLUMN()*2-3)),"",INDEX(Array_MobileChargeData,ROW()-15,COLUMN()*2-3))</f>
        <v/>
      </c>
      <c r="F150" t="str" cm="1">
        <f>IF(ISBLANK(INDEX(Array_MobileChargeData,ROW()-15,COLUMN()*2-3)),"",INDEX(Array_MobileChargeData,ROW()-15,COLUMN()*2-3))</f>
        <v/>
      </c>
    </row>
    <row r="151" spans="1:6" x14ac:dyDescent="0.35">
      <c r="A151" t="str">
        <f>IF('Mobile Fuel Meters'!B138="",A150,'Mobile Fuel Meters'!B138)</f>
        <v>Meter Numbers</v>
      </c>
      <c r="B151" t="str" cm="1">
        <f>IF(ISBLANK(INDEX(Array_MobileChargeData,ROW()-15,COLUMN()*2-3)),"",INDEX(Array_MobileChargeData,ROW()-15,COLUMN()*2-3))</f>
        <v/>
      </c>
      <c r="C151" t="str" cm="1">
        <f>IF(ISBLANK(INDEX(Array_MobileChargeData,ROW()-15,COLUMN()*2-3)),"",INDEX(Array_MobileChargeData,ROW()-15,COLUMN()*2-3))</f>
        <v/>
      </c>
      <c r="D151" t="str" cm="1">
        <f>IF(ISBLANK(INDEX(Array_MobileChargeData,ROW()-15,COLUMN()*2-3)),"",INDEX(Array_MobileChargeData,ROW()-15,COLUMN()*2-3))</f>
        <v/>
      </c>
      <c r="E151" t="str" cm="1">
        <f>IF(ISBLANK(INDEX(Array_MobileChargeData,ROW()-15,COLUMN()*2-3)),"",INDEX(Array_MobileChargeData,ROW()-15,COLUMN()*2-3))</f>
        <v/>
      </c>
      <c r="F151" t="str" cm="1">
        <f>IF(ISBLANK(INDEX(Array_MobileChargeData,ROW()-15,COLUMN()*2-3)),"",INDEX(Array_MobileChargeData,ROW()-15,COLUMN()*2-3))</f>
        <v/>
      </c>
    </row>
    <row r="152" spans="1:6" x14ac:dyDescent="0.35">
      <c r="A152" t="str">
        <f>IF('Mobile Fuel Meters'!B139="",A151,'Mobile Fuel Meters'!B139)</f>
        <v>Meter Numbers</v>
      </c>
      <c r="B152" t="str" cm="1">
        <f>IF(ISBLANK(INDEX(Array_MobileChargeData,ROW()-15,COLUMN()*2-3)),"",INDEX(Array_MobileChargeData,ROW()-15,COLUMN()*2-3))</f>
        <v/>
      </c>
      <c r="C152" t="str" cm="1">
        <f>IF(ISBLANK(INDEX(Array_MobileChargeData,ROW()-15,COLUMN()*2-3)),"",INDEX(Array_MobileChargeData,ROW()-15,COLUMN()*2-3))</f>
        <v/>
      </c>
      <c r="D152" t="str" cm="1">
        <f>IF(ISBLANK(INDEX(Array_MobileChargeData,ROW()-15,COLUMN()*2-3)),"",INDEX(Array_MobileChargeData,ROW()-15,COLUMN()*2-3))</f>
        <v/>
      </c>
      <c r="E152" t="str" cm="1">
        <f>IF(ISBLANK(INDEX(Array_MobileChargeData,ROW()-15,COLUMN()*2-3)),"",INDEX(Array_MobileChargeData,ROW()-15,COLUMN()*2-3))</f>
        <v/>
      </c>
      <c r="F152" t="str" cm="1">
        <f>IF(ISBLANK(INDEX(Array_MobileChargeData,ROW()-15,COLUMN()*2-3)),"",INDEX(Array_MobileChargeData,ROW()-15,COLUMN()*2-3))</f>
        <v/>
      </c>
    </row>
    <row r="153" spans="1:6" x14ac:dyDescent="0.35">
      <c r="A153" t="str">
        <f>IF('Mobile Fuel Meters'!B140="",A152,'Mobile Fuel Meters'!B140)</f>
        <v>Meter Numbers</v>
      </c>
      <c r="B153" t="str" cm="1">
        <f>IF(ISBLANK(INDEX(Array_MobileChargeData,ROW()-15,COLUMN()*2-3)),"",INDEX(Array_MobileChargeData,ROW()-15,COLUMN()*2-3))</f>
        <v/>
      </c>
      <c r="C153" t="str" cm="1">
        <f>IF(ISBLANK(INDEX(Array_MobileChargeData,ROW()-15,COLUMN()*2-3)),"",INDEX(Array_MobileChargeData,ROW()-15,COLUMN()*2-3))</f>
        <v/>
      </c>
      <c r="D153" t="str" cm="1">
        <f>IF(ISBLANK(INDEX(Array_MobileChargeData,ROW()-15,COLUMN()*2-3)),"",INDEX(Array_MobileChargeData,ROW()-15,COLUMN()*2-3))</f>
        <v/>
      </c>
      <c r="E153" t="str" cm="1">
        <f>IF(ISBLANK(INDEX(Array_MobileChargeData,ROW()-15,COLUMN()*2-3)),"",INDEX(Array_MobileChargeData,ROW()-15,COLUMN()*2-3))</f>
        <v/>
      </c>
      <c r="F153" t="str" cm="1">
        <f>IF(ISBLANK(INDEX(Array_MobileChargeData,ROW()-15,COLUMN()*2-3)),"",INDEX(Array_MobileChargeData,ROW()-15,COLUMN()*2-3))</f>
        <v/>
      </c>
    </row>
    <row r="154" spans="1:6" x14ac:dyDescent="0.35">
      <c r="A154" t="str">
        <f>IF('Mobile Fuel Meters'!B141="",A153,'Mobile Fuel Meters'!B141)</f>
        <v>Meter Numbers</v>
      </c>
      <c r="B154" t="str" cm="1">
        <f>IF(ISBLANK(INDEX(Array_MobileChargeData,ROW()-15,COLUMN()*2-3)),"",INDEX(Array_MobileChargeData,ROW()-15,COLUMN()*2-3))</f>
        <v/>
      </c>
      <c r="C154" t="str" cm="1">
        <f>IF(ISBLANK(INDEX(Array_MobileChargeData,ROW()-15,COLUMN()*2-3)),"",INDEX(Array_MobileChargeData,ROW()-15,COLUMN()*2-3))</f>
        <v/>
      </c>
      <c r="D154" t="str" cm="1">
        <f>IF(ISBLANK(INDEX(Array_MobileChargeData,ROW()-15,COLUMN()*2-3)),"",INDEX(Array_MobileChargeData,ROW()-15,COLUMN()*2-3))</f>
        <v/>
      </c>
      <c r="E154" t="str" cm="1">
        <f>IF(ISBLANK(INDEX(Array_MobileChargeData,ROW()-15,COLUMN()*2-3)),"",INDEX(Array_MobileChargeData,ROW()-15,COLUMN()*2-3))</f>
        <v/>
      </c>
      <c r="F154" t="str" cm="1">
        <f>IF(ISBLANK(INDEX(Array_MobileChargeData,ROW()-15,COLUMN()*2-3)),"",INDEX(Array_MobileChargeData,ROW()-15,COLUMN()*2-3))</f>
        <v/>
      </c>
    </row>
    <row r="155" spans="1:6" x14ac:dyDescent="0.35">
      <c r="A155" t="str">
        <f>IF('Mobile Fuel Meters'!B142="",A154,'Mobile Fuel Meters'!B142)</f>
        <v>Meter Numbers</v>
      </c>
      <c r="B155" t="str" cm="1">
        <f>IF(ISBLANK(INDEX(Array_MobileChargeData,ROW()-15,COLUMN()*2-3)),"",INDEX(Array_MobileChargeData,ROW()-15,COLUMN()*2-3))</f>
        <v/>
      </c>
      <c r="C155" t="str" cm="1">
        <f>IF(ISBLANK(INDEX(Array_MobileChargeData,ROW()-15,COLUMN()*2-3)),"",INDEX(Array_MobileChargeData,ROW()-15,COLUMN()*2-3))</f>
        <v/>
      </c>
      <c r="D155" t="str" cm="1">
        <f>IF(ISBLANK(INDEX(Array_MobileChargeData,ROW()-15,COLUMN()*2-3)),"",INDEX(Array_MobileChargeData,ROW()-15,COLUMN()*2-3))</f>
        <v/>
      </c>
      <c r="E155" t="str" cm="1">
        <f>IF(ISBLANK(INDEX(Array_MobileChargeData,ROW()-15,COLUMN()*2-3)),"",INDEX(Array_MobileChargeData,ROW()-15,COLUMN()*2-3))</f>
        <v/>
      </c>
      <c r="F155" t="str" cm="1">
        <f>IF(ISBLANK(INDEX(Array_MobileChargeData,ROW()-15,COLUMN()*2-3)),"",INDEX(Array_MobileChargeData,ROW()-15,COLUMN()*2-3))</f>
        <v/>
      </c>
    </row>
    <row r="156" spans="1:6" x14ac:dyDescent="0.35">
      <c r="A156" t="str">
        <f>IF('Mobile Fuel Meters'!B143="",A155,'Mobile Fuel Meters'!B143)</f>
        <v>Meter Numbers</v>
      </c>
      <c r="B156" t="str" cm="1">
        <f>IF(ISBLANK(INDEX(Array_MobileChargeData,ROW()-15,COLUMN()*2-3)),"",INDEX(Array_MobileChargeData,ROW()-15,COLUMN()*2-3))</f>
        <v/>
      </c>
      <c r="C156" t="str" cm="1">
        <f>IF(ISBLANK(INDEX(Array_MobileChargeData,ROW()-15,COLUMN()*2-3)),"",INDEX(Array_MobileChargeData,ROW()-15,COLUMN()*2-3))</f>
        <v/>
      </c>
      <c r="D156" t="str" cm="1">
        <f>IF(ISBLANK(INDEX(Array_MobileChargeData,ROW()-15,COLUMN()*2-3)),"",INDEX(Array_MobileChargeData,ROW()-15,COLUMN()*2-3))</f>
        <v/>
      </c>
      <c r="E156" t="str" cm="1">
        <f>IF(ISBLANK(INDEX(Array_MobileChargeData,ROW()-15,COLUMN()*2-3)),"",INDEX(Array_MobileChargeData,ROW()-15,COLUMN()*2-3))</f>
        <v/>
      </c>
      <c r="F156" t="str" cm="1">
        <f>IF(ISBLANK(INDEX(Array_MobileChargeData,ROW()-15,COLUMN()*2-3)),"",INDEX(Array_MobileChargeData,ROW()-15,COLUMN()*2-3))</f>
        <v/>
      </c>
    </row>
    <row r="157" spans="1:6" x14ac:dyDescent="0.35">
      <c r="A157" t="str">
        <f>IF('Mobile Fuel Meters'!B144="",A156,'Mobile Fuel Meters'!B144)</f>
        <v>Meter Numbers</v>
      </c>
      <c r="B157" t="str" cm="1">
        <f>IF(ISBLANK(INDEX(Array_MobileChargeData,ROW()-15,COLUMN()*2-3)),"",INDEX(Array_MobileChargeData,ROW()-15,COLUMN()*2-3))</f>
        <v/>
      </c>
      <c r="C157" t="str" cm="1">
        <f>IF(ISBLANK(INDEX(Array_MobileChargeData,ROW()-15,COLUMN()*2-3)),"",INDEX(Array_MobileChargeData,ROW()-15,COLUMN()*2-3))</f>
        <v/>
      </c>
      <c r="D157" t="str" cm="1">
        <f>IF(ISBLANK(INDEX(Array_MobileChargeData,ROW()-15,COLUMN()*2-3)),"",INDEX(Array_MobileChargeData,ROW()-15,COLUMN()*2-3))</f>
        <v/>
      </c>
      <c r="E157" t="str" cm="1">
        <f>IF(ISBLANK(INDEX(Array_MobileChargeData,ROW()-15,COLUMN()*2-3)),"",INDEX(Array_MobileChargeData,ROW()-15,COLUMN()*2-3))</f>
        <v/>
      </c>
      <c r="F157" t="str" cm="1">
        <f>IF(ISBLANK(INDEX(Array_MobileChargeData,ROW()-15,COLUMN()*2-3)),"",INDEX(Array_MobileChargeData,ROW()-15,COLUMN()*2-3))</f>
        <v/>
      </c>
    </row>
    <row r="158" spans="1:6" x14ac:dyDescent="0.35">
      <c r="A158" t="str">
        <f>IF('Mobile Fuel Meters'!B145="",A157,'Mobile Fuel Meters'!B145)</f>
        <v>Meter Numbers</v>
      </c>
      <c r="B158" t="str" cm="1">
        <f>IF(ISBLANK(INDEX(Array_MobileChargeData,ROW()-15,COLUMN()*2-3)),"",INDEX(Array_MobileChargeData,ROW()-15,COLUMN()*2-3))</f>
        <v/>
      </c>
      <c r="C158" t="str" cm="1">
        <f>IF(ISBLANK(INDEX(Array_MobileChargeData,ROW()-15,COLUMN()*2-3)),"",INDEX(Array_MobileChargeData,ROW()-15,COLUMN()*2-3))</f>
        <v/>
      </c>
      <c r="D158" t="str" cm="1">
        <f>IF(ISBLANK(INDEX(Array_MobileChargeData,ROW()-15,COLUMN()*2-3)),"",INDEX(Array_MobileChargeData,ROW()-15,COLUMN()*2-3))</f>
        <v/>
      </c>
      <c r="E158" t="str" cm="1">
        <f>IF(ISBLANK(INDEX(Array_MobileChargeData,ROW()-15,COLUMN()*2-3)),"",INDEX(Array_MobileChargeData,ROW()-15,COLUMN()*2-3))</f>
        <v/>
      </c>
      <c r="F158" t="str" cm="1">
        <f>IF(ISBLANK(INDEX(Array_MobileChargeData,ROW()-15,COLUMN()*2-3)),"",INDEX(Array_MobileChargeData,ROW()-15,COLUMN()*2-3))</f>
        <v/>
      </c>
    </row>
    <row r="159" spans="1:6" x14ac:dyDescent="0.35">
      <c r="A159" t="str">
        <f>IF('Mobile Fuel Meters'!B146="",A158,'Mobile Fuel Meters'!B146)</f>
        <v>Meter Numbers</v>
      </c>
      <c r="B159" t="str" cm="1">
        <f>IF(ISBLANK(INDEX(Array_MobileChargeData,ROW()-15,COLUMN()*2-3)),"",INDEX(Array_MobileChargeData,ROW()-15,COLUMN()*2-3))</f>
        <v/>
      </c>
      <c r="C159" t="str" cm="1">
        <f>IF(ISBLANK(INDEX(Array_MobileChargeData,ROW()-15,COLUMN()*2-3)),"",INDEX(Array_MobileChargeData,ROW()-15,COLUMN()*2-3))</f>
        <v/>
      </c>
      <c r="D159" t="str" cm="1">
        <f>IF(ISBLANK(INDEX(Array_MobileChargeData,ROW()-15,COLUMN()*2-3)),"",INDEX(Array_MobileChargeData,ROW()-15,COLUMN()*2-3))</f>
        <v/>
      </c>
      <c r="E159" t="str" cm="1">
        <f>IF(ISBLANK(INDEX(Array_MobileChargeData,ROW()-15,COLUMN()*2-3)),"",INDEX(Array_MobileChargeData,ROW()-15,COLUMN()*2-3))</f>
        <v/>
      </c>
      <c r="F159" t="str" cm="1">
        <f>IF(ISBLANK(INDEX(Array_MobileChargeData,ROW()-15,COLUMN()*2-3)),"",INDEX(Array_MobileChargeData,ROW()-15,COLUMN()*2-3))</f>
        <v/>
      </c>
    </row>
    <row r="160" spans="1:6" x14ac:dyDescent="0.35">
      <c r="A160" t="str">
        <f>IF('Mobile Fuel Meters'!B147="",A159,'Mobile Fuel Meters'!B147)</f>
        <v>Meter Numbers</v>
      </c>
      <c r="B160" t="str" cm="1">
        <f>IF(ISBLANK(INDEX(Array_MobileChargeData,ROW()-15,COLUMN()*2-3)),"",INDEX(Array_MobileChargeData,ROW()-15,COLUMN()*2-3))</f>
        <v/>
      </c>
      <c r="C160" t="str" cm="1">
        <f>IF(ISBLANK(INDEX(Array_MobileChargeData,ROW()-15,COLUMN()*2-3)),"",INDEX(Array_MobileChargeData,ROW()-15,COLUMN()*2-3))</f>
        <v/>
      </c>
      <c r="D160" t="str" cm="1">
        <f>IF(ISBLANK(INDEX(Array_MobileChargeData,ROW()-15,COLUMN()*2-3)),"",INDEX(Array_MobileChargeData,ROW()-15,COLUMN()*2-3))</f>
        <v/>
      </c>
      <c r="E160" t="str" cm="1">
        <f>IF(ISBLANK(INDEX(Array_MobileChargeData,ROW()-15,COLUMN()*2-3)),"",INDEX(Array_MobileChargeData,ROW()-15,COLUMN()*2-3))</f>
        <v/>
      </c>
      <c r="F160" t="str" cm="1">
        <f>IF(ISBLANK(INDEX(Array_MobileChargeData,ROW()-15,COLUMN()*2-3)),"",INDEX(Array_MobileChargeData,ROW()-15,COLUMN()*2-3))</f>
        <v/>
      </c>
    </row>
    <row r="161" spans="1:6" x14ac:dyDescent="0.35">
      <c r="A161" t="str">
        <f>IF('Mobile Fuel Meters'!B148="",A160,'Mobile Fuel Meters'!B148)</f>
        <v>Meter Numbers</v>
      </c>
      <c r="B161" t="str" cm="1">
        <f>IF(ISBLANK(INDEX(Array_MobileChargeData,ROW()-15,COLUMN()*2-3)),"",INDEX(Array_MobileChargeData,ROW()-15,COLUMN()*2-3))</f>
        <v/>
      </c>
      <c r="C161" t="str" cm="1">
        <f>IF(ISBLANK(INDEX(Array_MobileChargeData,ROW()-15,COLUMN()*2-3)),"",INDEX(Array_MobileChargeData,ROW()-15,COLUMN()*2-3))</f>
        <v/>
      </c>
      <c r="D161" t="str" cm="1">
        <f>IF(ISBLANK(INDEX(Array_MobileChargeData,ROW()-15,COLUMN()*2-3)),"",INDEX(Array_MobileChargeData,ROW()-15,COLUMN()*2-3))</f>
        <v/>
      </c>
      <c r="E161" t="str" cm="1">
        <f>IF(ISBLANK(INDEX(Array_MobileChargeData,ROW()-15,COLUMN()*2-3)),"",INDEX(Array_MobileChargeData,ROW()-15,COLUMN()*2-3))</f>
        <v/>
      </c>
      <c r="F161" t="str" cm="1">
        <f>IF(ISBLANK(INDEX(Array_MobileChargeData,ROW()-15,COLUMN()*2-3)),"",INDEX(Array_MobileChargeData,ROW()-15,COLUMN()*2-3))</f>
        <v/>
      </c>
    </row>
    <row r="162" spans="1:6" x14ac:dyDescent="0.35">
      <c r="A162" t="str">
        <f>IF('Mobile Fuel Meters'!B149="",A161,'Mobile Fuel Meters'!B149)</f>
        <v>Meter Numbers</v>
      </c>
      <c r="B162" t="str" cm="1">
        <f>IF(ISBLANK(INDEX(Array_MobileChargeData,ROW()-15,COLUMN()*2-3)),"",INDEX(Array_MobileChargeData,ROW()-15,COLUMN()*2-3))</f>
        <v/>
      </c>
      <c r="C162" t="str" cm="1">
        <f>IF(ISBLANK(INDEX(Array_MobileChargeData,ROW()-15,COLUMN()*2-3)),"",INDEX(Array_MobileChargeData,ROW()-15,COLUMN()*2-3))</f>
        <v/>
      </c>
      <c r="D162" t="str" cm="1">
        <f>IF(ISBLANK(INDEX(Array_MobileChargeData,ROW()-15,COLUMN()*2-3)),"",INDEX(Array_MobileChargeData,ROW()-15,COLUMN()*2-3))</f>
        <v/>
      </c>
      <c r="E162" t="str" cm="1">
        <f>IF(ISBLANK(INDEX(Array_MobileChargeData,ROW()-15,COLUMN()*2-3)),"",INDEX(Array_MobileChargeData,ROW()-15,COLUMN()*2-3))</f>
        <v/>
      </c>
      <c r="F162" t="str" cm="1">
        <f>IF(ISBLANK(INDEX(Array_MobileChargeData,ROW()-15,COLUMN()*2-3)),"",INDEX(Array_MobileChargeData,ROW()-15,COLUMN()*2-3))</f>
        <v/>
      </c>
    </row>
    <row r="163" spans="1:6" x14ac:dyDescent="0.35">
      <c r="A163" t="str">
        <f>IF('Mobile Fuel Meters'!B150="",A162,'Mobile Fuel Meters'!B150)</f>
        <v>Meter Numbers</v>
      </c>
      <c r="B163" t="str" cm="1">
        <f>IF(ISBLANK(INDEX(Array_MobileChargeData,ROW()-15,COLUMN()*2-3)),"",INDEX(Array_MobileChargeData,ROW()-15,COLUMN()*2-3))</f>
        <v/>
      </c>
      <c r="C163" t="str" cm="1">
        <f>IF(ISBLANK(INDEX(Array_MobileChargeData,ROW()-15,COLUMN()*2-3)),"",INDEX(Array_MobileChargeData,ROW()-15,COLUMN()*2-3))</f>
        <v/>
      </c>
      <c r="D163" t="str" cm="1">
        <f>IF(ISBLANK(INDEX(Array_MobileChargeData,ROW()-15,COLUMN()*2-3)),"",INDEX(Array_MobileChargeData,ROW()-15,COLUMN()*2-3))</f>
        <v/>
      </c>
      <c r="E163" t="str" cm="1">
        <f>IF(ISBLANK(INDEX(Array_MobileChargeData,ROW()-15,COLUMN()*2-3)),"",INDEX(Array_MobileChargeData,ROW()-15,COLUMN()*2-3))</f>
        <v/>
      </c>
      <c r="F163" t="str" cm="1">
        <f>IF(ISBLANK(INDEX(Array_MobileChargeData,ROW()-15,COLUMN()*2-3)),"",INDEX(Array_MobileChargeData,ROW()-15,COLUMN()*2-3))</f>
        <v/>
      </c>
    </row>
    <row r="164" spans="1:6" x14ac:dyDescent="0.35">
      <c r="A164" t="str">
        <f>IF('Mobile Fuel Meters'!B151="",A163,'Mobile Fuel Meters'!B151)</f>
        <v>Meter Numbers</v>
      </c>
      <c r="B164" t="str" cm="1">
        <f>IF(ISBLANK(INDEX(Array_MobileChargeData,ROW()-15,COLUMN()*2-3)),"",INDEX(Array_MobileChargeData,ROW()-15,COLUMN()*2-3))</f>
        <v/>
      </c>
      <c r="C164" t="str" cm="1">
        <f>IF(ISBLANK(INDEX(Array_MobileChargeData,ROW()-15,COLUMN()*2-3)),"",INDEX(Array_MobileChargeData,ROW()-15,COLUMN()*2-3))</f>
        <v/>
      </c>
      <c r="D164" t="str" cm="1">
        <f>IF(ISBLANK(INDEX(Array_MobileChargeData,ROW()-15,COLUMN()*2-3)),"",INDEX(Array_MobileChargeData,ROW()-15,COLUMN()*2-3))</f>
        <v/>
      </c>
      <c r="E164" t="str" cm="1">
        <f>IF(ISBLANK(INDEX(Array_MobileChargeData,ROW()-15,COLUMN()*2-3)),"",INDEX(Array_MobileChargeData,ROW()-15,COLUMN()*2-3))</f>
        <v/>
      </c>
      <c r="F164" t="str" cm="1">
        <f>IF(ISBLANK(INDEX(Array_MobileChargeData,ROW()-15,COLUMN()*2-3)),"",INDEX(Array_MobileChargeData,ROW()-15,COLUMN()*2-3))</f>
        <v/>
      </c>
    </row>
    <row r="165" spans="1:6" x14ac:dyDescent="0.35">
      <c r="A165" t="str">
        <f>IF('Mobile Fuel Meters'!B152="",A164,'Mobile Fuel Meters'!B152)</f>
        <v>Meter Numbers</v>
      </c>
      <c r="B165" t="str" cm="1">
        <f>IF(ISBLANK(INDEX(Array_MobileChargeData,ROW()-15,COLUMN()*2-3)),"",INDEX(Array_MobileChargeData,ROW()-15,COLUMN()*2-3))</f>
        <v/>
      </c>
      <c r="C165" t="str" cm="1">
        <f>IF(ISBLANK(INDEX(Array_MobileChargeData,ROW()-15,COLUMN()*2-3)),"",INDEX(Array_MobileChargeData,ROW()-15,COLUMN()*2-3))</f>
        <v/>
      </c>
      <c r="D165" t="str" cm="1">
        <f>IF(ISBLANK(INDEX(Array_MobileChargeData,ROW()-15,COLUMN()*2-3)),"",INDEX(Array_MobileChargeData,ROW()-15,COLUMN()*2-3))</f>
        <v/>
      </c>
      <c r="E165" t="str" cm="1">
        <f>IF(ISBLANK(INDEX(Array_MobileChargeData,ROW()-15,COLUMN()*2-3)),"",INDEX(Array_MobileChargeData,ROW()-15,COLUMN()*2-3))</f>
        <v/>
      </c>
      <c r="F165" t="str" cm="1">
        <f>IF(ISBLANK(INDEX(Array_MobileChargeData,ROW()-15,COLUMN()*2-3)),"",INDEX(Array_MobileChargeData,ROW()-15,COLUMN()*2-3))</f>
        <v/>
      </c>
    </row>
    <row r="166" spans="1:6" x14ac:dyDescent="0.35">
      <c r="A166" t="str">
        <f>IF('Mobile Fuel Meters'!B153="",A165,'Mobile Fuel Meters'!B153)</f>
        <v>Meter Numbers</v>
      </c>
      <c r="B166" t="str" cm="1">
        <f>IF(ISBLANK(INDEX(Array_MobileChargeData,ROW()-15,COLUMN()*2-3)),"",INDEX(Array_MobileChargeData,ROW()-15,COLUMN()*2-3))</f>
        <v/>
      </c>
      <c r="C166" t="str" cm="1">
        <f>IF(ISBLANK(INDEX(Array_MobileChargeData,ROW()-15,COLUMN()*2-3)),"",INDEX(Array_MobileChargeData,ROW()-15,COLUMN()*2-3))</f>
        <v/>
      </c>
      <c r="D166" t="str" cm="1">
        <f>IF(ISBLANK(INDEX(Array_MobileChargeData,ROW()-15,COLUMN()*2-3)),"",INDEX(Array_MobileChargeData,ROW()-15,COLUMN()*2-3))</f>
        <v/>
      </c>
      <c r="E166" t="str" cm="1">
        <f>IF(ISBLANK(INDEX(Array_MobileChargeData,ROW()-15,COLUMN()*2-3)),"",INDEX(Array_MobileChargeData,ROW()-15,COLUMN()*2-3))</f>
        <v/>
      </c>
      <c r="F166" t="str" cm="1">
        <f>IF(ISBLANK(INDEX(Array_MobileChargeData,ROW()-15,COLUMN()*2-3)),"",INDEX(Array_MobileChargeData,ROW()-15,COLUMN()*2-3))</f>
        <v/>
      </c>
    </row>
    <row r="167" spans="1:6" x14ac:dyDescent="0.35">
      <c r="A167" t="str">
        <f>IF('Mobile Fuel Meters'!B154="",A166,'Mobile Fuel Meters'!B154)</f>
        <v>Meter Numbers</v>
      </c>
      <c r="B167" t="str" cm="1">
        <f>IF(ISBLANK(INDEX(Array_MobileChargeData,ROW()-15,COLUMN()*2-3)),"",INDEX(Array_MobileChargeData,ROW()-15,COLUMN()*2-3))</f>
        <v/>
      </c>
      <c r="C167" t="str" cm="1">
        <f>IF(ISBLANK(INDEX(Array_MobileChargeData,ROW()-15,COLUMN()*2-3)),"",INDEX(Array_MobileChargeData,ROW()-15,COLUMN()*2-3))</f>
        <v/>
      </c>
      <c r="D167" t="str" cm="1">
        <f>IF(ISBLANK(INDEX(Array_MobileChargeData,ROW()-15,COLUMN()*2-3)),"",INDEX(Array_MobileChargeData,ROW()-15,COLUMN()*2-3))</f>
        <v/>
      </c>
      <c r="E167" t="str" cm="1">
        <f>IF(ISBLANK(INDEX(Array_MobileChargeData,ROW()-15,COLUMN()*2-3)),"",INDEX(Array_MobileChargeData,ROW()-15,COLUMN()*2-3))</f>
        <v/>
      </c>
      <c r="F167" t="str" cm="1">
        <f>IF(ISBLANK(INDEX(Array_MobileChargeData,ROW()-15,COLUMN()*2-3)),"",INDEX(Array_MobileChargeData,ROW()-15,COLUMN()*2-3))</f>
        <v/>
      </c>
    </row>
    <row r="168" spans="1:6" x14ac:dyDescent="0.35">
      <c r="A168" t="str">
        <f>IF('Mobile Fuel Meters'!B155="",A167,'Mobile Fuel Meters'!B155)</f>
        <v>Meter Numbers</v>
      </c>
      <c r="B168" t="str" cm="1">
        <f>IF(ISBLANK(INDEX(Array_MobileChargeData,ROW()-15,COLUMN()*2-3)),"",INDEX(Array_MobileChargeData,ROW()-15,COLUMN()*2-3))</f>
        <v/>
      </c>
      <c r="C168" t="str" cm="1">
        <f>IF(ISBLANK(INDEX(Array_MobileChargeData,ROW()-15,COLUMN()*2-3)),"",INDEX(Array_MobileChargeData,ROW()-15,COLUMN()*2-3))</f>
        <v/>
      </c>
      <c r="D168" t="str" cm="1">
        <f>IF(ISBLANK(INDEX(Array_MobileChargeData,ROW()-15,COLUMN()*2-3)),"",INDEX(Array_MobileChargeData,ROW()-15,COLUMN()*2-3))</f>
        <v/>
      </c>
      <c r="E168" t="str" cm="1">
        <f>IF(ISBLANK(INDEX(Array_MobileChargeData,ROW()-15,COLUMN()*2-3)),"",INDEX(Array_MobileChargeData,ROW()-15,COLUMN()*2-3))</f>
        <v/>
      </c>
      <c r="F168" t="str" cm="1">
        <f>IF(ISBLANK(INDEX(Array_MobileChargeData,ROW()-15,COLUMN()*2-3)),"",INDEX(Array_MobileChargeData,ROW()-15,COLUMN()*2-3))</f>
        <v/>
      </c>
    </row>
    <row r="169" spans="1:6" x14ac:dyDescent="0.35">
      <c r="A169" t="str">
        <f>IF('Mobile Fuel Meters'!B156="",A168,'Mobile Fuel Meters'!B156)</f>
        <v>Meter Numbers</v>
      </c>
      <c r="B169" t="str" cm="1">
        <f>IF(ISBLANK(INDEX(Array_MobileChargeData,ROW()-15,COLUMN()*2-3)),"",INDEX(Array_MobileChargeData,ROW()-15,COLUMN()*2-3))</f>
        <v/>
      </c>
      <c r="C169" t="str" cm="1">
        <f>IF(ISBLANK(INDEX(Array_MobileChargeData,ROW()-15,COLUMN()*2-3)),"",INDEX(Array_MobileChargeData,ROW()-15,COLUMN()*2-3))</f>
        <v/>
      </c>
      <c r="D169" t="str" cm="1">
        <f>IF(ISBLANK(INDEX(Array_MobileChargeData,ROW()-15,COLUMN()*2-3)),"",INDEX(Array_MobileChargeData,ROW()-15,COLUMN()*2-3))</f>
        <v/>
      </c>
      <c r="E169" t="str" cm="1">
        <f>IF(ISBLANK(INDEX(Array_MobileChargeData,ROW()-15,COLUMN()*2-3)),"",INDEX(Array_MobileChargeData,ROW()-15,COLUMN()*2-3))</f>
        <v/>
      </c>
      <c r="F169" t="str" cm="1">
        <f>IF(ISBLANK(INDEX(Array_MobileChargeData,ROW()-15,COLUMN()*2-3)),"",INDEX(Array_MobileChargeData,ROW()-15,COLUMN()*2-3))</f>
        <v/>
      </c>
    </row>
    <row r="170" spans="1:6" x14ac:dyDescent="0.35">
      <c r="A170" t="str">
        <f>IF('Mobile Fuel Meters'!B157="",A169,'Mobile Fuel Meters'!B157)</f>
        <v>Meter Numbers</v>
      </c>
      <c r="B170" t="str" cm="1">
        <f>IF(ISBLANK(INDEX(Array_MobileChargeData,ROW()-15,COLUMN()*2-3)),"",INDEX(Array_MobileChargeData,ROW()-15,COLUMN()*2-3))</f>
        <v/>
      </c>
      <c r="C170" t="str" cm="1">
        <f>IF(ISBLANK(INDEX(Array_MobileChargeData,ROW()-15,COLUMN()*2-3)),"",INDEX(Array_MobileChargeData,ROW()-15,COLUMN()*2-3))</f>
        <v/>
      </c>
      <c r="D170" t="str" cm="1">
        <f>IF(ISBLANK(INDEX(Array_MobileChargeData,ROW()-15,COLUMN()*2-3)),"",INDEX(Array_MobileChargeData,ROW()-15,COLUMN()*2-3))</f>
        <v/>
      </c>
      <c r="E170" t="str" cm="1">
        <f>IF(ISBLANK(INDEX(Array_MobileChargeData,ROW()-15,COLUMN()*2-3)),"",INDEX(Array_MobileChargeData,ROW()-15,COLUMN()*2-3))</f>
        <v/>
      </c>
      <c r="F170" t="str" cm="1">
        <f>IF(ISBLANK(INDEX(Array_MobileChargeData,ROW()-15,COLUMN()*2-3)),"",INDEX(Array_MobileChargeData,ROW()-15,COLUMN()*2-3))</f>
        <v/>
      </c>
    </row>
    <row r="171" spans="1:6" x14ac:dyDescent="0.35">
      <c r="A171" t="str">
        <f>IF('Mobile Fuel Meters'!B158="",A170,'Mobile Fuel Meters'!B158)</f>
        <v>Meter Numbers</v>
      </c>
      <c r="B171" t="str" cm="1">
        <f>IF(ISBLANK(INDEX(Array_MobileChargeData,ROW()-15,COLUMN()*2-3)),"",INDEX(Array_MobileChargeData,ROW()-15,COLUMN()*2-3))</f>
        <v/>
      </c>
      <c r="C171" t="str" cm="1">
        <f>IF(ISBLANK(INDEX(Array_MobileChargeData,ROW()-15,COLUMN()*2-3)),"",INDEX(Array_MobileChargeData,ROW()-15,COLUMN()*2-3))</f>
        <v/>
      </c>
      <c r="D171" t="str" cm="1">
        <f>IF(ISBLANK(INDEX(Array_MobileChargeData,ROW()-15,COLUMN()*2-3)),"",INDEX(Array_MobileChargeData,ROW()-15,COLUMN()*2-3))</f>
        <v/>
      </c>
      <c r="E171" t="str" cm="1">
        <f>IF(ISBLANK(INDEX(Array_MobileChargeData,ROW()-15,COLUMN()*2-3)),"",INDEX(Array_MobileChargeData,ROW()-15,COLUMN()*2-3))</f>
        <v/>
      </c>
      <c r="F171" t="str" cm="1">
        <f>IF(ISBLANK(INDEX(Array_MobileChargeData,ROW()-15,COLUMN()*2-3)),"",INDEX(Array_MobileChargeData,ROW()-15,COLUMN()*2-3))</f>
        <v/>
      </c>
    </row>
    <row r="172" spans="1:6" x14ac:dyDescent="0.35">
      <c r="A172" t="str">
        <f>IF('Mobile Fuel Meters'!B159="",A171,'Mobile Fuel Meters'!B159)</f>
        <v>Meter Numbers</v>
      </c>
      <c r="B172" t="str" cm="1">
        <f>IF(ISBLANK(INDEX(Array_MobileChargeData,ROW()-15,COLUMN()*2-3)),"",INDEX(Array_MobileChargeData,ROW()-15,COLUMN()*2-3))</f>
        <v/>
      </c>
      <c r="C172" t="str" cm="1">
        <f>IF(ISBLANK(INDEX(Array_MobileChargeData,ROW()-15,COLUMN()*2-3)),"",INDEX(Array_MobileChargeData,ROW()-15,COLUMN()*2-3))</f>
        <v/>
      </c>
      <c r="D172" t="str" cm="1">
        <f>IF(ISBLANK(INDEX(Array_MobileChargeData,ROW()-15,COLUMN()*2-3)),"",INDEX(Array_MobileChargeData,ROW()-15,COLUMN()*2-3))</f>
        <v/>
      </c>
      <c r="E172" t="str" cm="1">
        <f>IF(ISBLANK(INDEX(Array_MobileChargeData,ROW()-15,COLUMN()*2-3)),"",INDEX(Array_MobileChargeData,ROW()-15,COLUMN()*2-3))</f>
        <v/>
      </c>
      <c r="F172" t="str" cm="1">
        <f>IF(ISBLANK(INDEX(Array_MobileChargeData,ROW()-15,COLUMN()*2-3)),"",INDEX(Array_MobileChargeData,ROW()-15,COLUMN()*2-3))</f>
        <v/>
      </c>
    </row>
    <row r="173" spans="1:6" x14ac:dyDescent="0.35">
      <c r="A173" t="str">
        <f>IF('Mobile Fuel Meters'!B160="",A172,'Mobile Fuel Meters'!B160)</f>
        <v>Meter Numbers</v>
      </c>
      <c r="B173" t="str" cm="1">
        <f>IF(ISBLANK(INDEX(Array_MobileChargeData,ROW()-15,COLUMN()*2-3)),"",INDEX(Array_MobileChargeData,ROW()-15,COLUMN()*2-3))</f>
        <v/>
      </c>
      <c r="C173" t="str" cm="1">
        <f>IF(ISBLANK(INDEX(Array_MobileChargeData,ROW()-15,COLUMN()*2-3)),"",INDEX(Array_MobileChargeData,ROW()-15,COLUMN()*2-3))</f>
        <v/>
      </c>
      <c r="D173" t="str" cm="1">
        <f>IF(ISBLANK(INDEX(Array_MobileChargeData,ROW()-15,COLUMN()*2-3)),"",INDEX(Array_MobileChargeData,ROW()-15,COLUMN()*2-3))</f>
        <v/>
      </c>
      <c r="E173" t="str" cm="1">
        <f>IF(ISBLANK(INDEX(Array_MobileChargeData,ROW()-15,COLUMN()*2-3)),"",INDEX(Array_MobileChargeData,ROW()-15,COLUMN()*2-3))</f>
        <v/>
      </c>
      <c r="F173" t="str" cm="1">
        <f>IF(ISBLANK(INDEX(Array_MobileChargeData,ROW()-15,COLUMN()*2-3)),"",INDEX(Array_MobileChargeData,ROW()-15,COLUMN()*2-3))</f>
        <v/>
      </c>
    </row>
    <row r="174" spans="1:6" x14ac:dyDescent="0.35">
      <c r="A174" t="str">
        <f>IF('Mobile Fuel Meters'!B161="",A173,'Mobile Fuel Meters'!B161)</f>
        <v>Meter Numbers</v>
      </c>
      <c r="B174" t="str" cm="1">
        <f>IF(ISBLANK(INDEX(Array_MobileChargeData,ROW()-15,COLUMN()*2-3)),"",INDEX(Array_MobileChargeData,ROW()-15,COLUMN()*2-3))</f>
        <v/>
      </c>
      <c r="C174" t="str" cm="1">
        <f>IF(ISBLANK(INDEX(Array_MobileChargeData,ROW()-15,COLUMN()*2-3)),"",INDEX(Array_MobileChargeData,ROW()-15,COLUMN()*2-3))</f>
        <v/>
      </c>
      <c r="D174" t="str" cm="1">
        <f>IF(ISBLANK(INDEX(Array_MobileChargeData,ROW()-15,COLUMN()*2-3)),"",INDEX(Array_MobileChargeData,ROW()-15,COLUMN()*2-3))</f>
        <v/>
      </c>
      <c r="E174" t="str" cm="1">
        <f>IF(ISBLANK(INDEX(Array_MobileChargeData,ROW()-15,COLUMN()*2-3)),"",INDEX(Array_MobileChargeData,ROW()-15,COLUMN()*2-3))</f>
        <v/>
      </c>
      <c r="F174" t="str" cm="1">
        <f>IF(ISBLANK(INDEX(Array_MobileChargeData,ROW()-15,COLUMN()*2-3)),"",INDEX(Array_MobileChargeData,ROW()-15,COLUMN()*2-3))</f>
        <v/>
      </c>
    </row>
    <row r="175" spans="1:6" x14ac:dyDescent="0.35">
      <c r="A175" t="str">
        <f>IF('Mobile Fuel Meters'!B162="",A174,'Mobile Fuel Meters'!B162)</f>
        <v>Meter Numbers</v>
      </c>
      <c r="B175" t="str" cm="1">
        <f>IF(ISBLANK(INDEX(Array_MobileChargeData,ROW()-15,COLUMN()*2-3)),"",INDEX(Array_MobileChargeData,ROW()-15,COLUMN()*2-3))</f>
        <v/>
      </c>
      <c r="C175" t="str" cm="1">
        <f>IF(ISBLANK(INDEX(Array_MobileChargeData,ROW()-15,COLUMN()*2-3)),"",INDEX(Array_MobileChargeData,ROW()-15,COLUMN()*2-3))</f>
        <v/>
      </c>
      <c r="D175" t="str" cm="1">
        <f>IF(ISBLANK(INDEX(Array_MobileChargeData,ROW()-15,COLUMN()*2-3)),"",INDEX(Array_MobileChargeData,ROW()-15,COLUMN()*2-3))</f>
        <v/>
      </c>
      <c r="E175" t="str" cm="1">
        <f>IF(ISBLANK(INDEX(Array_MobileChargeData,ROW()-15,COLUMN()*2-3)),"",INDEX(Array_MobileChargeData,ROW()-15,COLUMN()*2-3))</f>
        <v/>
      </c>
      <c r="F175" t="str" cm="1">
        <f>IF(ISBLANK(INDEX(Array_MobileChargeData,ROW()-15,COLUMN()*2-3)),"",INDEX(Array_MobileChargeData,ROW()-15,COLUMN()*2-3))</f>
        <v/>
      </c>
    </row>
    <row r="176" spans="1:6" x14ac:dyDescent="0.35">
      <c r="A176" t="str">
        <f>IF('Mobile Fuel Meters'!B163="",A175,'Mobile Fuel Meters'!B163)</f>
        <v>Meter Numbers</v>
      </c>
      <c r="B176" t="str" cm="1">
        <f>IF(ISBLANK(INDEX(Array_MobileChargeData,ROW()-15,COLUMN()*2-3)),"",INDEX(Array_MobileChargeData,ROW()-15,COLUMN()*2-3))</f>
        <v/>
      </c>
      <c r="C176" t="str" cm="1">
        <f>IF(ISBLANK(INDEX(Array_MobileChargeData,ROW()-15,COLUMN()*2-3)),"",INDEX(Array_MobileChargeData,ROW()-15,COLUMN()*2-3))</f>
        <v/>
      </c>
      <c r="D176" t="str" cm="1">
        <f>IF(ISBLANK(INDEX(Array_MobileChargeData,ROW()-15,COLUMN()*2-3)),"",INDEX(Array_MobileChargeData,ROW()-15,COLUMN()*2-3))</f>
        <v/>
      </c>
      <c r="E176" t="str" cm="1">
        <f>IF(ISBLANK(INDEX(Array_MobileChargeData,ROW()-15,COLUMN()*2-3)),"",INDEX(Array_MobileChargeData,ROW()-15,COLUMN()*2-3))</f>
        <v/>
      </c>
      <c r="F176" t="str" cm="1">
        <f>IF(ISBLANK(INDEX(Array_MobileChargeData,ROW()-15,COLUMN()*2-3)),"",INDEX(Array_MobileChargeData,ROW()-15,COLUMN()*2-3))</f>
        <v/>
      </c>
    </row>
    <row r="177" spans="1:6" x14ac:dyDescent="0.35">
      <c r="A177" t="str">
        <f>IF('Mobile Fuel Meters'!B164="",A176,'Mobile Fuel Meters'!B164)</f>
        <v>Meter Numbers</v>
      </c>
      <c r="B177" t="str" cm="1">
        <f>IF(ISBLANK(INDEX(Array_MobileChargeData,ROW()-15,COLUMN()*2-3)),"",INDEX(Array_MobileChargeData,ROW()-15,COLUMN()*2-3))</f>
        <v/>
      </c>
      <c r="C177" t="str" cm="1">
        <f>IF(ISBLANK(INDEX(Array_MobileChargeData,ROW()-15,COLUMN()*2-3)),"",INDEX(Array_MobileChargeData,ROW()-15,COLUMN()*2-3))</f>
        <v/>
      </c>
      <c r="D177" t="str" cm="1">
        <f>IF(ISBLANK(INDEX(Array_MobileChargeData,ROW()-15,COLUMN()*2-3)),"",INDEX(Array_MobileChargeData,ROW()-15,COLUMN()*2-3))</f>
        <v/>
      </c>
      <c r="E177" t="str" cm="1">
        <f>IF(ISBLANK(INDEX(Array_MobileChargeData,ROW()-15,COLUMN()*2-3)),"",INDEX(Array_MobileChargeData,ROW()-15,COLUMN()*2-3))</f>
        <v/>
      </c>
      <c r="F177" t="str" cm="1">
        <f>IF(ISBLANK(INDEX(Array_MobileChargeData,ROW()-15,COLUMN()*2-3)),"",INDEX(Array_MobileChargeData,ROW()-15,COLUMN()*2-3))</f>
        <v/>
      </c>
    </row>
    <row r="178" spans="1:6" x14ac:dyDescent="0.35">
      <c r="A178" t="str">
        <f>IF('Mobile Fuel Meters'!B165="",A177,'Mobile Fuel Meters'!B165)</f>
        <v>Meter Numbers</v>
      </c>
      <c r="B178" t="str" cm="1">
        <f>IF(ISBLANK(INDEX(Array_MobileChargeData,ROW()-15,COLUMN()*2-3)),"",INDEX(Array_MobileChargeData,ROW()-15,COLUMN()*2-3))</f>
        <v/>
      </c>
      <c r="C178" t="str" cm="1">
        <f>IF(ISBLANK(INDEX(Array_MobileChargeData,ROW()-15,COLUMN()*2-3)),"",INDEX(Array_MobileChargeData,ROW()-15,COLUMN()*2-3))</f>
        <v/>
      </c>
      <c r="D178" t="str" cm="1">
        <f>IF(ISBLANK(INDEX(Array_MobileChargeData,ROW()-15,COLUMN()*2-3)),"",INDEX(Array_MobileChargeData,ROW()-15,COLUMN()*2-3))</f>
        <v/>
      </c>
      <c r="E178" t="str" cm="1">
        <f>IF(ISBLANK(INDEX(Array_MobileChargeData,ROW()-15,COLUMN()*2-3)),"",INDEX(Array_MobileChargeData,ROW()-15,COLUMN()*2-3))</f>
        <v/>
      </c>
      <c r="F178" t="str" cm="1">
        <f>IF(ISBLANK(INDEX(Array_MobileChargeData,ROW()-15,COLUMN()*2-3)),"",INDEX(Array_MobileChargeData,ROW()-15,COLUMN()*2-3))</f>
        <v/>
      </c>
    </row>
    <row r="179" spans="1:6" x14ac:dyDescent="0.35">
      <c r="A179" t="str">
        <f>IF('Mobile Fuel Meters'!B166="",A178,'Mobile Fuel Meters'!B166)</f>
        <v>Meter Numbers</v>
      </c>
      <c r="B179" t="str" cm="1">
        <f>IF(ISBLANK(INDEX(Array_MobileChargeData,ROW()-15,COLUMN()*2-3)),"",INDEX(Array_MobileChargeData,ROW()-15,COLUMN()*2-3))</f>
        <v/>
      </c>
      <c r="C179" t="str" cm="1">
        <f>IF(ISBLANK(INDEX(Array_MobileChargeData,ROW()-15,COLUMN()*2-3)),"",INDEX(Array_MobileChargeData,ROW()-15,COLUMN()*2-3))</f>
        <v/>
      </c>
      <c r="D179" t="str" cm="1">
        <f>IF(ISBLANK(INDEX(Array_MobileChargeData,ROW()-15,COLUMN()*2-3)),"",INDEX(Array_MobileChargeData,ROW()-15,COLUMN()*2-3))</f>
        <v/>
      </c>
      <c r="E179" t="str" cm="1">
        <f>IF(ISBLANK(INDEX(Array_MobileChargeData,ROW()-15,COLUMN()*2-3)),"",INDEX(Array_MobileChargeData,ROW()-15,COLUMN()*2-3))</f>
        <v/>
      </c>
      <c r="F179" t="str" cm="1">
        <f>IF(ISBLANK(INDEX(Array_MobileChargeData,ROW()-15,COLUMN()*2-3)),"",INDEX(Array_MobileChargeData,ROW()-15,COLUMN()*2-3))</f>
        <v/>
      </c>
    </row>
    <row r="180" spans="1:6" x14ac:dyDescent="0.35">
      <c r="A180" t="str">
        <f>IF('Mobile Fuel Meters'!B167="",A179,'Mobile Fuel Meters'!B167)</f>
        <v>Meter Numbers</v>
      </c>
      <c r="B180" t="str" cm="1">
        <f>IF(ISBLANK(INDEX(Array_MobileChargeData,ROW()-15,COLUMN()*2-3)),"",INDEX(Array_MobileChargeData,ROW()-15,COLUMN()*2-3))</f>
        <v/>
      </c>
      <c r="C180" t="str" cm="1">
        <f>IF(ISBLANK(INDEX(Array_MobileChargeData,ROW()-15,COLUMN()*2-3)),"",INDEX(Array_MobileChargeData,ROW()-15,COLUMN()*2-3))</f>
        <v/>
      </c>
      <c r="D180" t="str" cm="1">
        <f>IF(ISBLANK(INDEX(Array_MobileChargeData,ROW()-15,COLUMN()*2-3)),"",INDEX(Array_MobileChargeData,ROW()-15,COLUMN()*2-3))</f>
        <v/>
      </c>
      <c r="E180" t="str" cm="1">
        <f>IF(ISBLANK(INDEX(Array_MobileChargeData,ROW()-15,COLUMN()*2-3)),"",INDEX(Array_MobileChargeData,ROW()-15,COLUMN()*2-3))</f>
        <v/>
      </c>
      <c r="F180" t="str" cm="1">
        <f>IF(ISBLANK(INDEX(Array_MobileChargeData,ROW()-15,COLUMN()*2-3)),"",INDEX(Array_MobileChargeData,ROW()-15,COLUMN()*2-3))</f>
        <v/>
      </c>
    </row>
    <row r="181" spans="1:6" x14ac:dyDescent="0.35">
      <c r="A181" t="str">
        <f>IF('Mobile Fuel Meters'!B168="",A180,'Mobile Fuel Meters'!B168)</f>
        <v>Meter Numbers</v>
      </c>
      <c r="B181" t="str" cm="1">
        <f>IF(ISBLANK(INDEX(Array_MobileChargeData,ROW()-15,COLUMN()*2-3)),"",INDEX(Array_MobileChargeData,ROW()-15,COLUMN()*2-3))</f>
        <v/>
      </c>
      <c r="C181" t="str" cm="1">
        <f>IF(ISBLANK(INDEX(Array_MobileChargeData,ROW()-15,COLUMN()*2-3)),"",INDEX(Array_MobileChargeData,ROW()-15,COLUMN()*2-3))</f>
        <v/>
      </c>
      <c r="D181" t="str" cm="1">
        <f>IF(ISBLANK(INDEX(Array_MobileChargeData,ROW()-15,COLUMN()*2-3)),"",INDEX(Array_MobileChargeData,ROW()-15,COLUMN()*2-3))</f>
        <v/>
      </c>
      <c r="E181" t="str" cm="1">
        <f>IF(ISBLANK(INDEX(Array_MobileChargeData,ROW()-15,COLUMN()*2-3)),"",INDEX(Array_MobileChargeData,ROW()-15,COLUMN()*2-3))</f>
        <v/>
      </c>
      <c r="F181" t="str" cm="1">
        <f>IF(ISBLANK(INDEX(Array_MobileChargeData,ROW()-15,COLUMN()*2-3)),"",INDEX(Array_MobileChargeData,ROW()-15,COLUMN()*2-3))</f>
        <v/>
      </c>
    </row>
    <row r="182" spans="1:6" x14ac:dyDescent="0.35">
      <c r="A182" t="str">
        <f>IF('Mobile Fuel Meters'!B169="",A181,'Mobile Fuel Meters'!B169)</f>
        <v>Meter Numbers</v>
      </c>
      <c r="B182" t="str" cm="1">
        <f>IF(ISBLANK(INDEX(Array_MobileChargeData,ROW()-15,COLUMN()*2-3)),"",INDEX(Array_MobileChargeData,ROW()-15,COLUMN()*2-3))</f>
        <v/>
      </c>
      <c r="C182" t="str" cm="1">
        <f>IF(ISBLANK(INDEX(Array_MobileChargeData,ROW()-15,COLUMN()*2-3)),"",INDEX(Array_MobileChargeData,ROW()-15,COLUMN()*2-3))</f>
        <v/>
      </c>
      <c r="D182" t="str" cm="1">
        <f>IF(ISBLANK(INDEX(Array_MobileChargeData,ROW()-15,COLUMN()*2-3)),"",INDEX(Array_MobileChargeData,ROW()-15,COLUMN()*2-3))</f>
        <v/>
      </c>
      <c r="E182" t="str" cm="1">
        <f>IF(ISBLANK(INDEX(Array_MobileChargeData,ROW()-15,COLUMN()*2-3)),"",INDEX(Array_MobileChargeData,ROW()-15,COLUMN()*2-3))</f>
        <v/>
      </c>
      <c r="F182" t="str" cm="1">
        <f>IF(ISBLANK(INDEX(Array_MobileChargeData,ROW()-15,COLUMN()*2-3)),"",INDEX(Array_MobileChargeData,ROW()-15,COLUMN()*2-3))</f>
        <v/>
      </c>
    </row>
    <row r="183" spans="1:6" x14ac:dyDescent="0.35">
      <c r="A183" t="str">
        <f>IF('Mobile Fuel Meters'!B170="",A182,'Mobile Fuel Meters'!B170)</f>
        <v>Meter Numbers</v>
      </c>
      <c r="B183" t="str" cm="1">
        <f>IF(ISBLANK(INDEX(Array_MobileChargeData,ROW()-15,COLUMN()*2-3)),"",INDEX(Array_MobileChargeData,ROW()-15,COLUMN()*2-3))</f>
        <v/>
      </c>
      <c r="C183" t="str" cm="1">
        <f>IF(ISBLANK(INDEX(Array_MobileChargeData,ROW()-15,COLUMN()*2-3)),"",INDEX(Array_MobileChargeData,ROW()-15,COLUMN()*2-3))</f>
        <v/>
      </c>
      <c r="D183" t="str" cm="1">
        <f>IF(ISBLANK(INDEX(Array_MobileChargeData,ROW()-15,COLUMN()*2-3)),"",INDEX(Array_MobileChargeData,ROW()-15,COLUMN()*2-3))</f>
        <v/>
      </c>
      <c r="E183" t="str" cm="1">
        <f>IF(ISBLANK(INDEX(Array_MobileChargeData,ROW()-15,COLUMN()*2-3)),"",INDEX(Array_MobileChargeData,ROW()-15,COLUMN()*2-3))</f>
        <v/>
      </c>
      <c r="F183" t="str" cm="1">
        <f>IF(ISBLANK(INDEX(Array_MobileChargeData,ROW()-15,COLUMN()*2-3)),"",INDEX(Array_MobileChargeData,ROW()-15,COLUMN()*2-3))</f>
        <v/>
      </c>
    </row>
    <row r="184" spans="1:6" x14ac:dyDescent="0.35">
      <c r="A184" t="str">
        <f>IF('Mobile Fuel Meters'!B171="",A183,'Mobile Fuel Meters'!B171)</f>
        <v>Meter Numbers</v>
      </c>
      <c r="B184" t="str" cm="1">
        <f>IF(ISBLANK(INDEX(Array_MobileChargeData,ROW()-15,COLUMN()*2-3)),"",INDEX(Array_MobileChargeData,ROW()-15,COLUMN()*2-3))</f>
        <v/>
      </c>
      <c r="C184" t="str" cm="1">
        <f>IF(ISBLANK(INDEX(Array_MobileChargeData,ROW()-15,COLUMN()*2-3)),"",INDEX(Array_MobileChargeData,ROW()-15,COLUMN()*2-3))</f>
        <v/>
      </c>
      <c r="D184" t="str" cm="1">
        <f>IF(ISBLANK(INDEX(Array_MobileChargeData,ROW()-15,COLUMN()*2-3)),"",INDEX(Array_MobileChargeData,ROW()-15,COLUMN()*2-3))</f>
        <v/>
      </c>
      <c r="E184" t="str" cm="1">
        <f>IF(ISBLANK(INDEX(Array_MobileChargeData,ROW()-15,COLUMN()*2-3)),"",INDEX(Array_MobileChargeData,ROW()-15,COLUMN()*2-3))</f>
        <v/>
      </c>
      <c r="F184" t="str" cm="1">
        <f>IF(ISBLANK(INDEX(Array_MobileChargeData,ROW()-15,COLUMN()*2-3)),"",INDEX(Array_MobileChargeData,ROW()-15,COLUMN()*2-3))</f>
        <v/>
      </c>
    </row>
    <row r="185" spans="1:6" x14ac:dyDescent="0.35">
      <c r="A185" t="str">
        <f>IF('Mobile Fuel Meters'!B172="",A184,'Mobile Fuel Meters'!B172)</f>
        <v>Meter Numbers</v>
      </c>
      <c r="B185" t="str" cm="1">
        <f>IF(ISBLANK(INDEX(Array_MobileChargeData,ROW()-15,COLUMN()*2-3)),"",INDEX(Array_MobileChargeData,ROW()-15,COLUMN()*2-3))</f>
        <v/>
      </c>
      <c r="C185" t="str" cm="1">
        <f>IF(ISBLANK(INDEX(Array_MobileChargeData,ROW()-15,COLUMN()*2-3)),"",INDEX(Array_MobileChargeData,ROW()-15,COLUMN()*2-3))</f>
        <v/>
      </c>
      <c r="D185" t="str" cm="1">
        <f>IF(ISBLANK(INDEX(Array_MobileChargeData,ROW()-15,COLUMN()*2-3)),"",INDEX(Array_MobileChargeData,ROW()-15,COLUMN()*2-3))</f>
        <v/>
      </c>
      <c r="E185" t="str" cm="1">
        <f>IF(ISBLANK(INDEX(Array_MobileChargeData,ROW()-15,COLUMN()*2-3)),"",INDEX(Array_MobileChargeData,ROW()-15,COLUMN()*2-3))</f>
        <v/>
      </c>
      <c r="F185" t="str" cm="1">
        <f>IF(ISBLANK(INDEX(Array_MobileChargeData,ROW()-15,COLUMN()*2-3)),"",INDEX(Array_MobileChargeData,ROW()-15,COLUMN()*2-3))</f>
        <v/>
      </c>
    </row>
    <row r="186" spans="1:6" x14ac:dyDescent="0.35">
      <c r="A186" t="str">
        <f>IF('Mobile Fuel Meters'!B173="",A185,'Mobile Fuel Meters'!B173)</f>
        <v>Meter Numbers</v>
      </c>
      <c r="B186" t="str" cm="1">
        <f>IF(ISBLANK(INDEX(Array_MobileChargeData,ROW()-15,COLUMN()*2-3)),"",INDEX(Array_MobileChargeData,ROW()-15,COLUMN()*2-3))</f>
        <v/>
      </c>
      <c r="C186" t="str" cm="1">
        <f>IF(ISBLANK(INDEX(Array_MobileChargeData,ROW()-15,COLUMN()*2-3)),"",INDEX(Array_MobileChargeData,ROW()-15,COLUMN()*2-3))</f>
        <v/>
      </c>
      <c r="D186" t="str" cm="1">
        <f>IF(ISBLANK(INDEX(Array_MobileChargeData,ROW()-15,COLUMN()*2-3)),"",INDEX(Array_MobileChargeData,ROW()-15,COLUMN()*2-3))</f>
        <v/>
      </c>
      <c r="E186" t="str" cm="1">
        <f>IF(ISBLANK(INDEX(Array_MobileChargeData,ROW()-15,COLUMN()*2-3)),"",INDEX(Array_MobileChargeData,ROW()-15,COLUMN()*2-3))</f>
        <v/>
      </c>
      <c r="F186" t="str" cm="1">
        <f>IF(ISBLANK(INDEX(Array_MobileChargeData,ROW()-15,COLUMN()*2-3)),"",INDEX(Array_MobileChargeData,ROW()-15,COLUMN()*2-3))</f>
        <v/>
      </c>
    </row>
    <row r="187" spans="1:6" x14ac:dyDescent="0.35">
      <c r="A187" t="str">
        <f>IF('Mobile Fuel Meters'!B174="",A186,'Mobile Fuel Meters'!B174)</f>
        <v>Meter Numbers</v>
      </c>
      <c r="B187" t="str" cm="1">
        <f>IF(ISBLANK(INDEX(Array_MobileChargeData,ROW()-15,COLUMN()*2-3)),"",INDEX(Array_MobileChargeData,ROW()-15,COLUMN()*2-3))</f>
        <v/>
      </c>
      <c r="C187" t="str" cm="1">
        <f>IF(ISBLANK(INDEX(Array_MobileChargeData,ROW()-15,COLUMN()*2-3)),"",INDEX(Array_MobileChargeData,ROW()-15,COLUMN()*2-3))</f>
        <v/>
      </c>
      <c r="D187" t="str" cm="1">
        <f>IF(ISBLANK(INDEX(Array_MobileChargeData,ROW()-15,COLUMN()*2-3)),"",INDEX(Array_MobileChargeData,ROW()-15,COLUMN()*2-3))</f>
        <v/>
      </c>
      <c r="E187" t="str" cm="1">
        <f>IF(ISBLANK(INDEX(Array_MobileChargeData,ROW()-15,COLUMN()*2-3)),"",INDEX(Array_MobileChargeData,ROW()-15,COLUMN()*2-3))</f>
        <v/>
      </c>
      <c r="F187" t="str" cm="1">
        <f>IF(ISBLANK(INDEX(Array_MobileChargeData,ROW()-15,COLUMN()*2-3)),"",INDEX(Array_MobileChargeData,ROW()-15,COLUMN()*2-3))</f>
        <v/>
      </c>
    </row>
    <row r="188" spans="1:6" x14ac:dyDescent="0.35">
      <c r="A188" t="str">
        <f>IF('Mobile Fuel Meters'!B175="",A187,'Mobile Fuel Meters'!B175)</f>
        <v>Meter Numbers</v>
      </c>
      <c r="B188" t="str" cm="1">
        <f>IF(ISBLANK(INDEX(Array_MobileChargeData,ROW()-15,COLUMN()*2-3)),"",INDEX(Array_MobileChargeData,ROW()-15,COLUMN()*2-3))</f>
        <v/>
      </c>
      <c r="C188" t="str" cm="1">
        <f>IF(ISBLANK(INDEX(Array_MobileChargeData,ROW()-15,COLUMN()*2-3)),"",INDEX(Array_MobileChargeData,ROW()-15,COLUMN()*2-3))</f>
        <v/>
      </c>
      <c r="D188" t="str" cm="1">
        <f>IF(ISBLANK(INDEX(Array_MobileChargeData,ROW()-15,COLUMN()*2-3)),"",INDEX(Array_MobileChargeData,ROW()-15,COLUMN()*2-3))</f>
        <v/>
      </c>
      <c r="E188" t="str" cm="1">
        <f>IF(ISBLANK(INDEX(Array_MobileChargeData,ROW()-15,COLUMN()*2-3)),"",INDEX(Array_MobileChargeData,ROW()-15,COLUMN()*2-3))</f>
        <v/>
      </c>
      <c r="F188" t="str" cm="1">
        <f>IF(ISBLANK(INDEX(Array_MobileChargeData,ROW()-15,COLUMN()*2-3)),"",INDEX(Array_MobileChargeData,ROW()-15,COLUMN()*2-3))</f>
        <v/>
      </c>
    </row>
    <row r="189" spans="1:6" x14ac:dyDescent="0.35">
      <c r="A189" t="str">
        <f>IF('Mobile Fuel Meters'!B176="",A188,'Mobile Fuel Meters'!B176)</f>
        <v>Meter Numbers</v>
      </c>
      <c r="B189" t="str" cm="1">
        <f>IF(ISBLANK(INDEX(Array_MobileChargeData,ROW()-15,COLUMN()*2-3)),"",INDEX(Array_MobileChargeData,ROW()-15,COLUMN()*2-3))</f>
        <v/>
      </c>
      <c r="C189" t="str" cm="1">
        <f>IF(ISBLANK(INDEX(Array_MobileChargeData,ROW()-15,COLUMN()*2-3)),"",INDEX(Array_MobileChargeData,ROW()-15,COLUMN()*2-3))</f>
        <v/>
      </c>
      <c r="D189" t="str" cm="1">
        <f>IF(ISBLANK(INDEX(Array_MobileChargeData,ROW()-15,COLUMN()*2-3)),"",INDEX(Array_MobileChargeData,ROW()-15,COLUMN()*2-3))</f>
        <v/>
      </c>
      <c r="E189" t="str" cm="1">
        <f>IF(ISBLANK(INDEX(Array_MobileChargeData,ROW()-15,COLUMN()*2-3)),"",INDEX(Array_MobileChargeData,ROW()-15,COLUMN()*2-3))</f>
        <v/>
      </c>
      <c r="F189" t="str" cm="1">
        <f>IF(ISBLANK(INDEX(Array_MobileChargeData,ROW()-15,COLUMN()*2-3)),"",INDEX(Array_MobileChargeData,ROW()-15,COLUMN()*2-3))</f>
        <v/>
      </c>
    </row>
    <row r="190" spans="1:6" x14ac:dyDescent="0.35">
      <c r="A190" t="str">
        <f>IF('Mobile Fuel Meters'!B177="",A189,'Mobile Fuel Meters'!B177)</f>
        <v>Meter Numbers</v>
      </c>
      <c r="B190" t="str" cm="1">
        <f>IF(ISBLANK(INDEX(Array_MobileChargeData,ROW()-15,COLUMN()*2-3)),"",INDEX(Array_MobileChargeData,ROW()-15,COLUMN()*2-3))</f>
        <v/>
      </c>
      <c r="C190" t="str" cm="1">
        <f>IF(ISBLANK(INDEX(Array_MobileChargeData,ROW()-15,COLUMN()*2-3)),"",INDEX(Array_MobileChargeData,ROW()-15,COLUMN()*2-3))</f>
        <v/>
      </c>
      <c r="D190" t="str" cm="1">
        <f>IF(ISBLANK(INDEX(Array_MobileChargeData,ROW()-15,COLUMN()*2-3)),"",INDEX(Array_MobileChargeData,ROW()-15,COLUMN()*2-3))</f>
        <v/>
      </c>
      <c r="E190" t="str" cm="1">
        <f>IF(ISBLANK(INDEX(Array_MobileChargeData,ROW()-15,COLUMN()*2-3)),"",INDEX(Array_MobileChargeData,ROW()-15,COLUMN()*2-3))</f>
        <v/>
      </c>
      <c r="F190" t="str" cm="1">
        <f>IF(ISBLANK(INDEX(Array_MobileChargeData,ROW()-15,COLUMN()*2-3)),"",INDEX(Array_MobileChargeData,ROW()-15,COLUMN()*2-3))</f>
        <v/>
      </c>
    </row>
    <row r="191" spans="1:6" x14ac:dyDescent="0.35">
      <c r="A191" t="str">
        <f>IF('Mobile Fuel Meters'!B178="",A190,'Mobile Fuel Meters'!B178)</f>
        <v>Meter Numbers</v>
      </c>
      <c r="B191" t="str" cm="1">
        <f>IF(ISBLANK(INDEX(Array_MobileChargeData,ROW()-15,COLUMN()*2-3)),"",INDEX(Array_MobileChargeData,ROW()-15,COLUMN()*2-3))</f>
        <v/>
      </c>
      <c r="C191" t="str" cm="1">
        <f>IF(ISBLANK(INDEX(Array_MobileChargeData,ROW()-15,COLUMN()*2-3)),"",INDEX(Array_MobileChargeData,ROW()-15,COLUMN()*2-3))</f>
        <v/>
      </c>
      <c r="D191" t="str" cm="1">
        <f>IF(ISBLANK(INDEX(Array_MobileChargeData,ROW()-15,COLUMN()*2-3)),"",INDEX(Array_MobileChargeData,ROW()-15,COLUMN()*2-3))</f>
        <v/>
      </c>
      <c r="E191" t="str" cm="1">
        <f>IF(ISBLANK(INDEX(Array_MobileChargeData,ROW()-15,COLUMN()*2-3)),"",INDEX(Array_MobileChargeData,ROW()-15,COLUMN()*2-3))</f>
        <v/>
      </c>
      <c r="F191" t="str" cm="1">
        <f>IF(ISBLANK(INDEX(Array_MobileChargeData,ROW()-15,COLUMN()*2-3)),"",INDEX(Array_MobileChargeData,ROW()-15,COLUMN()*2-3))</f>
        <v/>
      </c>
    </row>
    <row r="192" spans="1:6" x14ac:dyDescent="0.35">
      <c r="A192" t="str">
        <f>IF('Mobile Fuel Meters'!B179="",A191,'Mobile Fuel Meters'!B179)</f>
        <v>Meter Numbers</v>
      </c>
      <c r="B192" t="str" cm="1">
        <f>IF(ISBLANK(INDEX(Array_MobileChargeData,ROW()-15,COLUMN()*2-3)),"",INDEX(Array_MobileChargeData,ROW()-15,COLUMN()*2-3))</f>
        <v/>
      </c>
      <c r="C192" t="str" cm="1">
        <f>IF(ISBLANK(INDEX(Array_MobileChargeData,ROW()-15,COLUMN()*2-3)),"",INDEX(Array_MobileChargeData,ROW()-15,COLUMN()*2-3))</f>
        <v/>
      </c>
      <c r="D192" t="str" cm="1">
        <f>IF(ISBLANK(INDEX(Array_MobileChargeData,ROW()-15,COLUMN()*2-3)),"",INDEX(Array_MobileChargeData,ROW()-15,COLUMN()*2-3))</f>
        <v/>
      </c>
      <c r="E192" t="str" cm="1">
        <f>IF(ISBLANK(INDEX(Array_MobileChargeData,ROW()-15,COLUMN()*2-3)),"",INDEX(Array_MobileChargeData,ROW()-15,COLUMN()*2-3))</f>
        <v/>
      </c>
      <c r="F192" t="str" cm="1">
        <f>IF(ISBLANK(INDEX(Array_MobileChargeData,ROW()-15,COLUMN()*2-3)),"",INDEX(Array_MobileChargeData,ROW()-15,COLUMN()*2-3))</f>
        <v/>
      </c>
    </row>
    <row r="193" spans="1:6" x14ac:dyDescent="0.35">
      <c r="A193" t="str">
        <f>IF('Mobile Fuel Meters'!B180="",A192,'Mobile Fuel Meters'!B180)</f>
        <v>Meter Numbers</v>
      </c>
      <c r="B193" t="str" cm="1">
        <f>IF(ISBLANK(INDEX(Array_MobileChargeData,ROW()-15,COLUMN()*2-3)),"",INDEX(Array_MobileChargeData,ROW()-15,COLUMN()*2-3))</f>
        <v/>
      </c>
      <c r="C193" t="str" cm="1">
        <f>IF(ISBLANK(INDEX(Array_MobileChargeData,ROW()-15,COLUMN()*2-3)),"",INDEX(Array_MobileChargeData,ROW()-15,COLUMN()*2-3))</f>
        <v/>
      </c>
      <c r="D193" t="str" cm="1">
        <f>IF(ISBLANK(INDEX(Array_MobileChargeData,ROW()-15,COLUMN()*2-3)),"",INDEX(Array_MobileChargeData,ROW()-15,COLUMN()*2-3))</f>
        <v/>
      </c>
      <c r="E193" t="str" cm="1">
        <f>IF(ISBLANK(INDEX(Array_MobileChargeData,ROW()-15,COLUMN()*2-3)),"",INDEX(Array_MobileChargeData,ROW()-15,COLUMN()*2-3))</f>
        <v/>
      </c>
      <c r="F193" t="str" cm="1">
        <f>IF(ISBLANK(INDEX(Array_MobileChargeData,ROW()-15,COLUMN()*2-3)),"",INDEX(Array_MobileChargeData,ROW()-15,COLUMN()*2-3))</f>
        <v/>
      </c>
    </row>
    <row r="194" spans="1:6" x14ac:dyDescent="0.35">
      <c r="A194" t="str">
        <f>IF('Mobile Fuel Meters'!B181="",A193,'Mobile Fuel Meters'!B181)</f>
        <v>Meter Numbers</v>
      </c>
      <c r="B194" t="str" cm="1">
        <f>IF(ISBLANK(INDEX(Array_MobileChargeData,ROW()-15,COLUMN()*2-3)),"",INDEX(Array_MobileChargeData,ROW()-15,COLUMN()*2-3))</f>
        <v/>
      </c>
      <c r="C194" t="str" cm="1">
        <f>IF(ISBLANK(INDEX(Array_MobileChargeData,ROW()-15,COLUMN()*2-3)),"",INDEX(Array_MobileChargeData,ROW()-15,COLUMN()*2-3))</f>
        <v/>
      </c>
      <c r="D194" t="str" cm="1">
        <f>IF(ISBLANK(INDEX(Array_MobileChargeData,ROW()-15,COLUMN()*2-3)),"",INDEX(Array_MobileChargeData,ROW()-15,COLUMN()*2-3))</f>
        <v/>
      </c>
      <c r="E194" t="str" cm="1">
        <f>IF(ISBLANK(INDEX(Array_MobileChargeData,ROW()-15,COLUMN()*2-3)),"",INDEX(Array_MobileChargeData,ROW()-15,COLUMN()*2-3))</f>
        <v/>
      </c>
      <c r="F194" t="str" cm="1">
        <f>IF(ISBLANK(INDEX(Array_MobileChargeData,ROW()-15,COLUMN()*2-3)),"",INDEX(Array_MobileChargeData,ROW()-15,COLUMN()*2-3))</f>
        <v/>
      </c>
    </row>
    <row r="195" spans="1:6" x14ac:dyDescent="0.35">
      <c r="A195" t="str">
        <f>IF('Mobile Fuel Meters'!B182="",A194,'Mobile Fuel Meters'!B182)</f>
        <v>Meter Numbers</v>
      </c>
      <c r="B195" t="str" cm="1">
        <f>IF(ISBLANK(INDEX(Array_MobileChargeData,ROW()-15,COLUMN()*2-3)),"",INDEX(Array_MobileChargeData,ROW()-15,COLUMN()*2-3))</f>
        <v/>
      </c>
      <c r="C195" t="str" cm="1">
        <f>IF(ISBLANK(INDEX(Array_MobileChargeData,ROW()-15,COLUMN()*2-3)),"",INDEX(Array_MobileChargeData,ROW()-15,COLUMN()*2-3))</f>
        <v/>
      </c>
      <c r="D195" t="str" cm="1">
        <f>IF(ISBLANK(INDEX(Array_MobileChargeData,ROW()-15,COLUMN()*2-3)),"",INDEX(Array_MobileChargeData,ROW()-15,COLUMN()*2-3))</f>
        <v/>
      </c>
      <c r="E195" t="str" cm="1">
        <f>IF(ISBLANK(INDEX(Array_MobileChargeData,ROW()-15,COLUMN()*2-3)),"",INDEX(Array_MobileChargeData,ROW()-15,COLUMN()*2-3))</f>
        <v/>
      </c>
      <c r="F195" t="str" cm="1">
        <f>IF(ISBLANK(INDEX(Array_MobileChargeData,ROW()-15,COLUMN()*2-3)),"",INDEX(Array_MobileChargeData,ROW()-15,COLUMN()*2-3))</f>
        <v/>
      </c>
    </row>
    <row r="196" spans="1:6" x14ac:dyDescent="0.35">
      <c r="A196" t="str">
        <f>IF('Mobile Fuel Meters'!B183="",A195,'Mobile Fuel Meters'!B183)</f>
        <v>Meter Numbers</v>
      </c>
      <c r="B196" t="str" cm="1">
        <f>IF(ISBLANK(INDEX(Array_MobileChargeData,ROW()-15,COLUMN()*2-3)),"",INDEX(Array_MobileChargeData,ROW()-15,COLUMN()*2-3))</f>
        <v/>
      </c>
      <c r="C196" t="str" cm="1">
        <f>IF(ISBLANK(INDEX(Array_MobileChargeData,ROW()-15,COLUMN()*2-3)),"",INDEX(Array_MobileChargeData,ROW()-15,COLUMN()*2-3))</f>
        <v/>
      </c>
      <c r="D196" t="str" cm="1">
        <f>IF(ISBLANK(INDEX(Array_MobileChargeData,ROW()-15,COLUMN()*2-3)),"",INDEX(Array_MobileChargeData,ROW()-15,COLUMN()*2-3))</f>
        <v/>
      </c>
      <c r="E196" t="str" cm="1">
        <f>IF(ISBLANK(INDEX(Array_MobileChargeData,ROW()-15,COLUMN()*2-3)),"",INDEX(Array_MobileChargeData,ROW()-15,COLUMN()*2-3))</f>
        <v/>
      </c>
      <c r="F196" t="str" cm="1">
        <f>IF(ISBLANK(INDEX(Array_MobileChargeData,ROW()-15,COLUMN()*2-3)),"",INDEX(Array_MobileChargeData,ROW()-15,COLUMN()*2-3))</f>
        <v/>
      </c>
    </row>
    <row r="197" spans="1:6" x14ac:dyDescent="0.35">
      <c r="A197" t="str">
        <f>IF('Mobile Fuel Meters'!B184="",A196,'Mobile Fuel Meters'!B184)</f>
        <v>Meter Numbers</v>
      </c>
      <c r="B197" t="str" cm="1">
        <f>IF(ISBLANK(INDEX(Array_MobileChargeData,ROW()-15,COLUMN()*2-3)),"",INDEX(Array_MobileChargeData,ROW()-15,COLUMN()*2-3))</f>
        <v/>
      </c>
      <c r="C197" t="str" cm="1">
        <f>IF(ISBLANK(INDEX(Array_MobileChargeData,ROW()-15,COLUMN()*2-3)),"",INDEX(Array_MobileChargeData,ROW()-15,COLUMN()*2-3))</f>
        <v/>
      </c>
      <c r="D197" t="str" cm="1">
        <f>IF(ISBLANK(INDEX(Array_MobileChargeData,ROW()-15,COLUMN()*2-3)),"",INDEX(Array_MobileChargeData,ROW()-15,COLUMN()*2-3))</f>
        <v/>
      </c>
      <c r="E197" t="str" cm="1">
        <f>IF(ISBLANK(INDEX(Array_MobileChargeData,ROW()-15,COLUMN()*2-3)),"",INDEX(Array_MobileChargeData,ROW()-15,COLUMN()*2-3))</f>
        <v/>
      </c>
      <c r="F197" t="str" cm="1">
        <f>IF(ISBLANK(INDEX(Array_MobileChargeData,ROW()-15,COLUMN()*2-3)),"",INDEX(Array_MobileChargeData,ROW()-15,COLUMN()*2-3))</f>
        <v/>
      </c>
    </row>
    <row r="198" spans="1:6" x14ac:dyDescent="0.35">
      <c r="A198" t="str">
        <f>IF('Mobile Fuel Meters'!B185="",A197,'Mobile Fuel Meters'!B185)</f>
        <v>Meter Numbers</v>
      </c>
      <c r="B198" t="str" cm="1">
        <f>IF(ISBLANK(INDEX(Array_MobileChargeData,ROW()-15,COLUMN()*2-3)),"",INDEX(Array_MobileChargeData,ROW()-15,COLUMN()*2-3))</f>
        <v/>
      </c>
      <c r="C198" t="str" cm="1">
        <f>IF(ISBLANK(INDEX(Array_MobileChargeData,ROW()-15,COLUMN()*2-3)),"",INDEX(Array_MobileChargeData,ROW()-15,COLUMN()*2-3))</f>
        <v/>
      </c>
      <c r="D198" t="str" cm="1">
        <f>IF(ISBLANK(INDEX(Array_MobileChargeData,ROW()-15,COLUMN()*2-3)),"",INDEX(Array_MobileChargeData,ROW()-15,COLUMN()*2-3))</f>
        <v/>
      </c>
      <c r="E198" t="str" cm="1">
        <f>IF(ISBLANK(INDEX(Array_MobileChargeData,ROW()-15,COLUMN()*2-3)),"",INDEX(Array_MobileChargeData,ROW()-15,COLUMN()*2-3))</f>
        <v/>
      </c>
      <c r="F198" t="str" cm="1">
        <f>IF(ISBLANK(INDEX(Array_MobileChargeData,ROW()-15,COLUMN()*2-3)),"",INDEX(Array_MobileChargeData,ROW()-15,COLUMN()*2-3))</f>
        <v/>
      </c>
    </row>
    <row r="199" spans="1:6" x14ac:dyDescent="0.35">
      <c r="A199" t="str">
        <f>IF('Mobile Fuel Meters'!B186="",A198,'Mobile Fuel Meters'!B186)</f>
        <v>Meter Numbers</v>
      </c>
      <c r="B199" t="str" cm="1">
        <f>IF(ISBLANK(INDEX(Array_MobileChargeData,ROW()-15,COLUMN()*2-3)),"",INDEX(Array_MobileChargeData,ROW()-15,COLUMN()*2-3))</f>
        <v/>
      </c>
      <c r="C199" t="str" cm="1">
        <f>IF(ISBLANK(INDEX(Array_MobileChargeData,ROW()-15,COLUMN()*2-3)),"",INDEX(Array_MobileChargeData,ROW()-15,COLUMN()*2-3))</f>
        <v/>
      </c>
      <c r="D199" t="str" cm="1">
        <f>IF(ISBLANK(INDEX(Array_MobileChargeData,ROW()-15,COLUMN()*2-3)),"",INDEX(Array_MobileChargeData,ROW()-15,COLUMN()*2-3))</f>
        <v/>
      </c>
      <c r="E199" t="str" cm="1">
        <f>IF(ISBLANK(INDEX(Array_MobileChargeData,ROW()-15,COLUMN()*2-3)),"",INDEX(Array_MobileChargeData,ROW()-15,COLUMN()*2-3))</f>
        <v/>
      </c>
      <c r="F199" t="str" cm="1">
        <f>IF(ISBLANK(INDEX(Array_MobileChargeData,ROW()-15,COLUMN()*2-3)),"",INDEX(Array_MobileChargeData,ROW()-15,COLUMN()*2-3))</f>
        <v/>
      </c>
    </row>
    <row r="200" spans="1:6" x14ac:dyDescent="0.35">
      <c r="A200" t="str">
        <f>IF('Mobile Fuel Meters'!B187="",A199,'Mobile Fuel Meters'!B187)</f>
        <v>Meter Numbers</v>
      </c>
      <c r="B200" t="str" cm="1">
        <f>IF(ISBLANK(INDEX(Array_MobileChargeData,ROW()-15,COLUMN()*2-3)),"",INDEX(Array_MobileChargeData,ROW()-15,COLUMN()*2-3))</f>
        <v/>
      </c>
      <c r="C200" t="str" cm="1">
        <f>IF(ISBLANK(INDEX(Array_MobileChargeData,ROW()-15,COLUMN()*2-3)),"",INDEX(Array_MobileChargeData,ROW()-15,COLUMN()*2-3))</f>
        <v/>
      </c>
      <c r="D200" t="str" cm="1">
        <f>IF(ISBLANK(INDEX(Array_MobileChargeData,ROW()-15,COLUMN()*2-3)),"",INDEX(Array_MobileChargeData,ROW()-15,COLUMN()*2-3))</f>
        <v/>
      </c>
      <c r="E200" t="str" cm="1">
        <f>IF(ISBLANK(INDEX(Array_MobileChargeData,ROW()-15,COLUMN()*2-3)),"",INDEX(Array_MobileChargeData,ROW()-15,COLUMN()*2-3))</f>
        <v/>
      </c>
      <c r="F200" t="str" cm="1">
        <f>IF(ISBLANK(INDEX(Array_MobileChargeData,ROW()-15,COLUMN()*2-3)),"",INDEX(Array_MobileChargeData,ROW()-15,COLUMN()*2-3))</f>
        <v/>
      </c>
    </row>
    <row r="201" spans="1:6" x14ac:dyDescent="0.35">
      <c r="A201" t="str">
        <f>IF('Mobile Fuel Meters'!B188="",A200,'Mobile Fuel Meters'!B188)</f>
        <v>Meter Numbers</v>
      </c>
      <c r="B201" t="str" cm="1">
        <f>IF(ISBLANK(INDEX(Array_MobileChargeData,ROW()-15,COLUMN()*2-3)),"",INDEX(Array_MobileChargeData,ROW()-15,COLUMN()*2-3))</f>
        <v/>
      </c>
      <c r="C201" t="str" cm="1">
        <f>IF(ISBLANK(INDEX(Array_MobileChargeData,ROW()-15,COLUMN()*2-3)),"",INDEX(Array_MobileChargeData,ROW()-15,COLUMN()*2-3))</f>
        <v/>
      </c>
      <c r="D201" t="str" cm="1">
        <f>IF(ISBLANK(INDEX(Array_MobileChargeData,ROW()-15,COLUMN()*2-3)),"",INDEX(Array_MobileChargeData,ROW()-15,COLUMN()*2-3))</f>
        <v/>
      </c>
      <c r="E201" t="str" cm="1">
        <f>IF(ISBLANK(INDEX(Array_MobileChargeData,ROW()-15,COLUMN()*2-3)),"",INDEX(Array_MobileChargeData,ROW()-15,COLUMN()*2-3))</f>
        <v/>
      </c>
      <c r="F201" t="str" cm="1">
        <f>IF(ISBLANK(INDEX(Array_MobileChargeData,ROW()-15,COLUMN()*2-3)),"",INDEX(Array_MobileChargeData,ROW()-15,COLUMN()*2-3))</f>
        <v/>
      </c>
    </row>
    <row r="202" spans="1:6" x14ac:dyDescent="0.35">
      <c r="A202" t="str">
        <f>IF('Mobile Fuel Meters'!B189="",A201,'Mobile Fuel Meters'!B189)</f>
        <v>Meter Numbers</v>
      </c>
      <c r="B202" t="str" cm="1">
        <f>IF(ISBLANK(INDEX(Array_MobileChargeData,ROW()-15,COLUMN()*2-3)),"",INDEX(Array_MobileChargeData,ROW()-15,COLUMN()*2-3))</f>
        <v/>
      </c>
      <c r="C202" t="str" cm="1">
        <f>IF(ISBLANK(INDEX(Array_MobileChargeData,ROW()-15,COLUMN()*2-3)),"",INDEX(Array_MobileChargeData,ROW()-15,COLUMN()*2-3))</f>
        <v/>
      </c>
      <c r="D202" t="str" cm="1">
        <f>IF(ISBLANK(INDEX(Array_MobileChargeData,ROW()-15,COLUMN()*2-3)),"",INDEX(Array_MobileChargeData,ROW()-15,COLUMN()*2-3))</f>
        <v/>
      </c>
      <c r="E202" t="str" cm="1">
        <f>IF(ISBLANK(INDEX(Array_MobileChargeData,ROW()-15,COLUMN()*2-3)),"",INDEX(Array_MobileChargeData,ROW()-15,COLUMN()*2-3))</f>
        <v/>
      </c>
      <c r="F202" t="str" cm="1">
        <f>IF(ISBLANK(INDEX(Array_MobileChargeData,ROW()-15,COLUMN()*2-3)),"",INDEX(Array_MobileChargeData,ROW()-15,COLUMN()*2-3))</f>
        <v/>
      </c>
    </row>
    <row r="203" spans="1:6" x14ac:dyDescent="0.35">
      <c r="A203" t="str">
        <f>IF('Mobile Fuel Meters'!B190="",A202,'Mobile Fuel Meters'!B190)</f>
        <v>Meter Numbers</v>
      </c>
      <c r="B203" t="str" cm="1">
        <f>IF(ISBLANK(INDEX(Array_MobileChargeData,ROW()-15,COLUMN()*2-3)),"",INDEX(Array_MobileChargeData,ROW()-15,COLUMN()*2-3))</f>
        <v/>
      </c>
      <c r="C203" t="str" cm="1">
        <f>IF(ISBLANK(INDEX(Array_MobileChargeData,ROW()-15,COLUMN()*2-3)),"",INDEX(Array_MobileChargeData,ROW()-15,COLUMN()*2-3))</f>
        <v/>
      </c>
      <c r="D203" t="str" cm="1">
        <f>IF(ISBLANK(INDEX(Array_MobileChargeData,ROW()-15,COLUMN()*2-3)),"",INDEX(Array_MobileChargeData,ROW()-15,COLUMN()*2-3))</f>
        <v/>
      </c>
      <c r="E203" t="str" cm="1">
        <f>IF(ISBLANK(INDEX(Array_MobileChargeData,ROW()-15,COLUMN()*2-3)),"",INDEX(Array_MobileChargeData,ROW()-15,COLUMN()*2-3))</f>
        <v/>
      </c>
      <c r="F203" t="str" cm="1">
        <f>IF(ISBLANK(INDEX(Array_MobileChargeData,ROW()-15,COLUMN()*2-3)),"",INDEX(Array_MobileChargeData,ROW()-15,COLUMN()*2-3))</f>
        <v/>
      </c>
    </row>
    <row r="204" spans="1:6" x14ac:dyDescent="0.35">
      <c r="A204" t="str">
        <f>IF('Mobile Fuel Meters'!B191="",A203,'Mobile Fuel Meters'!B191)</f>
        <v>Meter Numbers</v>
      </c>
      <c r="B204" t="str" cm="1">
        <f>IF(ISBLANK(INDEX(Array_MobileChargeData,ROW()-15,COLUMN()*2-3)),"",INDEX(Array_MobileChargeData,ROW()-15,COLUMN()*2-3))</f>
        <v/>
      </c>
      <c r="C204" t="str" cm="1">
        <f>IF(ISBLANK(INDEX(Array_MobileChargeData,ROW()-15,COLUMN()*2-3)),"",INDEX(Array_MobileChargeData,ROW()-15,COLUMN()*2-3))</f>
        <v/>
      </c>
      <c r="D204" t="str" cm="1">
        <f>IF(ISBLANK(INDEX(Array_MobileChargeData,ROW()-15,COLUMN()*2-3)),"",INDEX(Array_MobileChargeData,ROW()-15,COLUMN()*2-3))</f>
        <v/>
      </c>
      <c r="E204" t="str" cm="1">
        <f>IF(ISBLANK(INDEX(Array_MobileChargeData,ROW()-15,COLUMN()*2-3)),"",INDEX(Array_MobileChargeData,ROW()-15,COLUMN()*2-3))</f>
        <v/>
      </c>
      <c r="F204" t="str" cm="1">
        <f>IF(ISBLANK(INDEX(Array_MobileChargeData,ROW()-15,COLUMN()*2-3)),"",INDEX(Array_MobileChargeData,ROW()-15,COLUMN()*2-3))</f>
        <v/>
      </c>
    </row>
    <row r="205" spans="1:6" x14ac:dyDescent="0.35">
      <c r="A205" t="str">
        <f>IF('Mobile Fuel Meters'!B192="",A204,'Mobile Fuel Meters'!B192)</f>
        <v>Meter Numbers</v>
      </c>
      <c r="B205" t="str" cm="1">
        <f>IF(ISBLANK(INDEX(Array_MobileChargeData,ROW()-15,COLUMN()*2-3)),"",INDEX(Array_MobileChargeData,ROW()-15,COLUMN()*2-3))</f>
        <v/>
      </c>
      <c r="C205" t="str" cm="1">
        <f>IF(ISBLANK(INDEX(Array_MobileChargeData,ROW()-15,COLUMN()*2-3)),"",INDEX(Array_MobileChargeData,ROW()-15,COLUMN()*2-3))</f>
        <v/>
      </c>
      <c r="D205" t="str" cm="1">
        <f>IF(ISBLANK(INDEX(Array_MobileChargeData,ROW()-15,COLUMN()*2-3)),"",INDEX(Array_MobileChargeData,ROW()-15,COLUMN()*2-3))</f>
        <v/>
      </c>
      <c r="E205" t="str" cm="1">
        <f>IF(ISBLANK(INDEX(Array_MobileChargeData,ROW()-15,COLUMN()*2-3)),"",INDEX(Array_MobileChargeData,ROW()-15,COLUMN()*2-3))</f>
        <v/>
      </c>
      <c r="F205" t="str" cm="1">
        <f>IF(ISBLANK(INDEX(Array_MobileChargeData,ROW()-15,COLUMN()*2-3)),"",INDEX(Array_MobileChargeData,ROW()-15,COLUMN()*2-3))</f>
        <v/>
      </c>
    </row>
    <row r="206" spans="1:6" x14ac:dyDescent="0.35">
      <c r="A206" t="str">
        <f>IF('Mobile Fuel Meters'!B193="",A205,'Mobile Fuel Meters'!B193)</f>
        <v>Meter Numbers</v>
      </c>
      <c r="B206" t="str" cm="1">
        <f>IF(ISBLANK(INDEX(Array_MobileChargeData,ROW()-15,COLUMN()*2-3)),"",INDEX(Array_MobileChargeData,ROW()-15,COLUMN()*2-3))</f>
        <v/>
      </c>
      <c r="C206" t="str" cm="1">
        <f>IF(ISBLANK(INDEX(Array_MobileChargeData,ROW()-15,COLUMN()*2-3)),"",INDEX(Array_MobileChargeData,ROW()-15,COLUMN()*2-3))</f>
        <v/>
      </c>
      <c r="D206" t="str" cm="1">
        <f>IF(ISBLANK(INDEX(Array_MobileChargeData,ROW()-15,COLUMN()*2-3)),"",INDEX(Array_MobileChargeData,ROW()-15,COLUMN()*2-3))</f>
        <v/>
      </c>
      <c r="E206" t="str" cm="1">
        <f>IF(ISBLANK(INDEX(Array_MobileChargeData,ROW()-15,COLUMN()*2-3)),"",INDEX(Array_MobileChargeData,ROW()-15,COLUMN()*2-3))</f>
        <v/>
      </c>
      <c r="F206" t="str" cm="1">
        <f>IF(ISBLANK(INDEX(Array_MobileChargeData,ROW()-15,COLUMN()*2-3)),"",INDEX(Array_MobileChargeData,ROW()-15,COLUMN()*2-3))</f>
        <v/>
      </c>
    </row>
    <row r="207" spans="1:6" x14ac:dyDescent="0.35">
      <c r="A207" t="str">
        <f>IF('Mobile Fuel Meters'!B194="",A206,'Mobile Fuel Meters'!B194)</f>
        <v>Meter Numbers</v>
      </c>
      <c r="B207" t="str" cm="1">
        <f>IF(ISBLANK(INDEX(Array_MobileChargeData,ROW()-15,COLUMN()*2-3)),"",INDEX(Array_MobileChargeData,ROW()-15,COLUMN()*2-3))</f>
        <v/>
      </c>
      <c r="C207" t="str" cm="1">
        <f>IF(ISBLANK(INDEX(Array_MobileChargeData,ROW()-15,COLUMN()*2-3)),"",INDEX(Array_MobileChargeData,ROW()-15,COLUMN()*2-3))</f>
        <v/>
      </c>
      <c r="D207" t="str" cm="1">
        <f>IF(ISBLANK(INDEX(Array_MobileChargeData,ROW()-15,COLUMN()*2-3)),"",INDEX(Array_MobileChargeData,ROW()-15,COLUMN()*2-3))</f>
        <v/>
      </c>
      <c r="E207" t="str" cm="1">
        <f>IF(ISBLANK(INDEX(Array_MobileChargeData,ROW()-15,COLUMN()*2-3)),"",INDEX(Array_MobileChargeData,ROW()-15,COLUMN()*2-3))</f>
        <v/>
      </c>
      <c r="F207" t="str" cm="1">
        <f>IF(ISBLANK(INDEX(Array_MobileChargeData,ROW()-15,COLUMN()*2-3)),"",INDEX(Array_MobileChargeData,ROW()-15,COLUMN()*2-3))</f>
        <v/>
      </c>
    </row>
    <row r="208" spans="1:6" x14ac:dyDescent="0.35">
      <c r="A208" t="str">
        <f>IF('Mobile Fuel Meters'!B195="",A207,'Mobile Fuel Meters'!B195)</f>
        <v>Meter Numbers</v>
      </c>
      <c r="B208" t="str" cm="1">
        <f>IF(ISBLANK(INDEX(Array_MobileChargeData,ROW()-15,COLUMN()*2-3)),"",INDEX(Array_MobileChargeData,ROW()-15,COLUMN()*2-3))</f>
        <v/>
      </c>
      <c r="C208" t="str" cm="1">
        <f>IF(ISBLANK(INDEX(Array_MobileChargeData,ROW()-15,COLUMN()*2-3)),"",INDEX(Array_MobileChargeData,ROW()-15,COLUMN()*2-3))</f>
        <v/>
      </c>
      <c r="D208" t="str" cm="1">
        <f>IF(ISBLANK(INDEX(Array_MobileChargeData,ROW()-15,COLUMN()*2-3)),"",INDEX(Array_MobileChargeData,ROW()-15,COLUMN()*2-3))</f>
        <v/>
      </c>
      <c r="E208" t="str" cm="1">
        <f>IF(ISBLANK(INDEX(Array_MobileChargeData,ROW()-15,COLUMN()*2-3)),"",INDEX(Array_MobileChargeData,ROW()-15,COLUMN()*2-3))</f>
        <v/>
      </c>
      <c r="F208" t="str" cm="1">
        <f>IF(ISBLANK(INDEX(Array_MobileChargeData,ROW()-15,COLUMN()*2-3)),"",INDEX(Array_MobileChargeData,ROW()-15,COLUMN()*2-3))</f>
        <v/>
      </c>
    </row>
    <row r="209" spans="1:6" x14ac:dyDescent="0.35">
      <c r="A209" t="str">
        <f>IF('Mobile Fuel Meters'!B196="",A208,'Mobile Fuel Meters'!B196)</f>
        <v>Meter Numbers</v>
      </c>
      <c r="B209" t="str" cm="1">
        <f>IF(ISBLANK(INDEX(Array_MobileChargeData,ROW()-15,COLUMN()*2-3)),"",INDEX(Array_MobileChargeData,ROW()-15,COLUMN()*2-3))</f>
        <v/>
      </c>
      <c r="C209" t="str" cm="1">
        <f>IF(ISBLANK(INDEX(Array_MobileChargeData,ROW()-15,COLUMN()*2-3)),"",INDEX(Array_MobileChargeData,ROW()-15,COLUMN()*2-3))</f>
        <v/>
      </c>
      <c r="D209" t="str" cm="1">
        <f>IF(ISBLANK(INDEX(Array_MobileChargeData,ROW()-15,COLUMN()*2-3)),"",INDEX(Array_MobileChargeData,ROW()-15,COLUMN()*2-3))</f>
        <v/>
      </c>
      <c r="E209" t="str" cm="1">
        <f>IF(ISBLANK(INDEX(Array_MobileChargeData,ROW()-15,COLUMN()*2-3)),"",INDEX(Array_MobileChargeData,ROW()-15,COLUMN()*2-3))</f>
        <v/>
      </c>
      <c r="F209" t="str" cm="1">
        <f>IF(ISBLANK(INDEX(Array_MobileChargeData,ROW()-15,COLUMN()*2-3)),"",INDEX(Array_MobileChargeData,ROW()-15,COLUMN()*2-3))</f>
        <v/>
      </c>
    </row>
    <row r="210" spans="1:6" x14ac:dyDescent="0.35">
      <c r="A210" t="str">
        <f>IF('Mobile Fuel Meters'!B197="",A209,'Mobile Fuel Meters'!B197)</f>
        <v>Meter Numbers</v>
      </c>
      <c r="B210" t="str" cm="1">
        <f>IF(ISBLANK(INDEX(Array_MobileChargeData,ROW()-15,COLUMN()*2-3)),"",INDEX(Array_MobileChargeData,ROW()-15,COLUMN()*2-3))</f>
        <v/>
      </c>
      <c r="C210" t="str" cm="1">
        <f>IF(ISBLANK(INDEX(Array_MobileChargeData,ROW()-15,COLUMN()*2-3)),"",INDEX(Array_MobileChargeData,ROW()-15,COLUMN()*2-3))</f>
        <v/>
      </c>
      <c r="D210" t="str" cm="1">
        <f>IF(ISBLANK(INDEX(Array_MobileChargeData,ROW()-15,COLUMN()*2-3)),"",INDEX(Array_MobileChargeData,ROW()-15,COLUMN()*2-3))</f>
        <v/>
      </c>
      <c r="E210" t="str" cm="1">
        <f>IF(ISBLANK(INDEX(Array_MobileChargeData,ROW()-15,COLUMN()*2-3)),"",INDEX(Array_MobileChargeData,ROW()-15,COLUMN()*2-3))</f>
        <v/>
      </c>
      <c r="F210" t="str" cm="1">
        <f>IF(ISBLANK(INDEX(Array_MobileChargeData,ROW()-15,COLUMN()*2-3)),"",INDEX(Array_MobileChargeData,ROW()-15,COLUMN()*2-3))</f>
        <v/>
      </c>
    </row>
    <row r="211" spans="1:6" x14ac:dyDescent="0.35">
      <c r="A211" t="str">
        <f>IF('Mobile Fuel Meters'!B198="",A210,'Mobile Fuel Meters'!B198)</f>
        <v>Meter Numbers</v>
      </c>
      <c r="B211" t="str" cm="1">
        <f>IF(ISBLANK(INDEX(Array_MobileChargeData,ROW()-15,COLUMN()*2-3)),"",INDEX(Array_MobileChargeData,ROW()-15,COLUMN()*2-3))</f>
        <v/>
      </c>
      <c r="C211" t="str" cm="1">
        <f>IF(ISBLANK(INDEX(Array_MobileChargeData,ROW()-15,COLUMN()*2-3)),"",INDEX(Array_MobileChargeData,ROW()-15,COLUMN()*2-3))</f>
        <v/>
      </c>
      <c r="D211" t="str" cm="1">
        <f>IF(ISBLANK(INDEX(Array_MobileChargeData,ROW()-15,COLUMN()*2-3)),"",INDEX(Array_MobileChargeData,ROW()-15,COLUMN()*2-3))</f>
        <v/>
      </c>
      <c r="E211" t="str" cm="1">
        <f>IF(ISBLANK(INDEX(Array_MobileChargeData,ROW()-15,COLUMN()*2-3)),"",INDEX(Array_MobileChargeData,ROW()-15,COLUMN()*2-3))</f>
        <v/>
      </c>
      <c r="F211" t="str" cm="1">
        <f>IF(ISBLANK(INDEX(Array_MobileChargeData,ROW()-15,COLUMN()*2-3)),"",INDEX(Array_MobileChargeData,ROW()-15,COLUMN()*2-3))</f>
        <v/>
      </c>
    </row>
    <row r="212" spans="1:6" x14ac:dyDescent="0.35">
      <c r="A212" t="str">
        <f>IF('Mobile Fuel Meters'!B199="",A211,'Mobile Fuel Meters'!B199)</f>
        <v>Meter Numbers</v>
      </c>
      <c r="B212" t="str" cm="1">
        <f>IF(ISBLANK(INDEX(Array_MobileChargeData,ROW()-15,COLUMN()*2-3)),"",INDEX(Array_MobileChargeData,ROW()-15,COLUMN()*2-3))</f>
        <v/>
      </c>
      <c r="C212" t="str" cm="1">
        <f>IF(ISBLANK(INDEX(Array_MobileChargeData,ROW()-15,COLUMN()*2-3)),"",INDEX(Array_MobileChargeData,ROW()-15,COLUMN()*2-3))</f>
        <v/>
      </c>
      <c r="D212" t="str" cm="1">
        <f>IF(ISBLANK(INDEX(Array_MobileChargeData,ROW()-15,COLUMN()*2-3)),"",INDEX(Array_MobileChargeData,ROW()-15,COLUMN()*2-3))</f>
        <v/>
      </c>
      <c r="E212" t="str" cm="1">
        <f>IF(ISBLANK(INDEX(Array_MobileChargeData,ROW()-15,COLUMN()*2-3)),"",INDEX(Array_MobileChargeData,ROW()-15,COLUMN()*2-3))</f>
        <v/>
      </c>
      <c r="F212" t="str" cm="1">
        <f>IF(ISBLANK(INDEX(Array_MobileChargeData,ROW()-15,COLUMN()*2-3)),"",INDEX(Array_MobileChargeData,ROW()-15,COLUMN()*2-3))</f>
        <v/>
      </c>
    </row>
    <row r="213" spans="1:6" x14ac:dyDescent="0.35">
      <c r="A213" t="str">
        <f>IF('Mobile Fuel Meters'!B200="",A212,'Mobile Fuel Meters'!B200)</f>
        <v>Meter Numbers</v>
      </c>
      <c r="B213" t="str" cm="1">
        <f>IF(ISBLANK(INDEX(Array_MobileChargeData,ROW()-15,COLUMN()*2-3)),"",INDEX(Array_MobileChargeData,ROW()-15,COLUMN()*2-3))</f>
        <v/>
      </c>
      <c r="C213" t="str" cm="1">
        <f>IF(ISBLANK(INDEX(Array_MobileChargeData,ROW()-15,COLUMN()*2-3)),"",INDEX(Array_MobileChargeData,ROW()-15,COLUMN()*2-3))</f>
        <v/>
      </c>
      <c r="D213" t="str" cm="1">
        <f>IF(ISBLANK(INDEX(Array_MobileChargeData,ROW()-15,COLUMN()*2-3)),"",INDEX(Array_MobileChargeData,ROW()-15,COLUMN()*2-3))</f>
        <v/>
      </c>
      <c r="E213" t="str" cm="1">
        <f>IF(ISBLANK(INDEX(Array_MobileChargeData,ROW()-15,COLUMN()*2-3)),"",INDEX(Array_MobileChargeData,ROW()-15,COLUMN()*2-3))</f>
        <v/>
      </c>
      <c r="F213" t="str" cm="1">
        <f>IF(ISBLANK(INDEX(Array_MobileChargeData,ROW()-15,COLUMN()*2-3)),"",INDEX(Array_MobileChargeData,ROW()-15,COLUMN()*2-3))</f>
        <v/>
      </c>
    </row>
    <row r="214" spans="1:6" x14ac:dyDescent="0.35">
      <c r="A214" t="str">
        <f>IF('Mobile Fuel Meters'!B201="",A213,'Mobile Fuel Meters'!B201)</f>
        <v>Meter Numbers</v>
      </c>
      <c r="B214" t="str" cm="1">
        <f>IF(ISBLANK(INDEX(Array_MobileChargeData,ROW()-15,COLUMN()*2-3)),"",INDEX(Array_MobileChargeData,ROW()-15,COLUMN()*2-3))</f>
        <v/>
      </c>
      <c r="C214" t="str" cm="1">
        <f>IF(ISBLANK(INDEX(Array_MobileChargeData,ROW()-15,COLUMN()*2-3)),"",INDEX(Array_MobileChargeData,ROW()-15,COLUMN()*2-3))</f>
        <v/>
      </c>
      <c r="D214" t="str" cm="1">
        <f>IF(ISBLANK(INDEX(Array_MobileChargeData,ROW()-15,COLUMN()*2-3)),"",INDEX(Array_MobileChargeData,ROW()-15,COLUMN()*2-3))</f>
        <v/>
      </c>
      <c r="E214" t="str" cm="1">
        <f>IF(ISBLANK(INDEX(Array_MobileChargeData,ROW()-15,COLUMN()*2-3)),"",INDEX(Array_MobileChargeData,ROW()-15,COLUMN()*2-3))</f>
        <v/>
      </c>
      <c r="F214" t="str" cm="1">
        <f>IF(ISBLANK(INDEX(Array_MobileChargeData,ROW()-15,COLUMN()*2-3)),"",INDEX(Array_MobileChargeData,ROW()-15,COLUMN()*2-3))</f>
        <v/>
      </c>
    </row>
    <row r="215" spans="1:6" x14ac:dyDescent="0.35">
      <c r="A215" t="str">
        <f>IF('Mobile Fuel Meters'!B202="",A214,'Mobile Fuel Meters'!B202)</f>
        <v>Meter Numbers</v>
      </c>
      <c r="B215" t="str" cm="1">
        <f>IF(ISBLANK(INDEX(Array_MobileChargeData,ROW()-15,COLUMN()*2-3)),"",INDEX(Array_MobileChargeData,ROW()-15,COLUMN()*2-3))</f>
        <v/>
      </c>
      <c r="C215" t="str" cm="1">
        <f>IF(ISBLANK(INDEX(Array_MobileChargeData,ROW()-15,COLUMN()*2-3)),"",INDEX(Array_MobileChargeData,ROW()-15,COLUMN()*2-3))</f>
        <v/>
      </c>
      <c r="D215" t="str" cm="1">
        <f>IF(ISBLANK(INDEX(Array_MobileChargeData,ROW()-15,COLUMN()*2-3)),"",INDEX(Array_MobileChargeData,ROW()-15,COLUMN()*2-3))</f>
        <v/>
      </c>
      <c r="E215" t="str" cm="1">
        <f>IF(ISBLANK(INDEX(Array_MobileChargeData,ROW()-15,COLUMN()*2-3)),"",INDEX(Array_MobileChargeData,ROW()-15,COLUMN()*2-3))</f>
        <v/>
      </c>
      <c r="F215" t="str" cm="1">
        <f>IF(ISBLANK(INDEX(Array_MobileChargeData,ROW()-15,COLUMN()*2-3)),"",INDEX(Array_MobileChargeData,ROW()-15,COLUMN()*2-3))</f>
        <v/>
      </c>
    </row>
  </sheetData>
  <phoneticPr fontId="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9B216-54AB-4F56-A4A6-AE600FB2392A}">
  <sheetPr codeName="Sheet13">
    <tabColor rgb="FFE377C2"/>
  </sheetPr>
  <dimension ref="A1:X202"/>
  <sheetViews>
    <sheetView workbookViewId="0">
      <selection activeCell="A3" sqref="A3"/>
    </sheetView>
  </sheetViews>
  <sheetFormatPr defaultColWidth="0" defaultRowHeight="14" zeroHeight="1" x14ac:dyDescent="0.3"/>
  <cols>
    <col min="1" max="6" width="16.7265625" style="45" customWidth="1"/>
    <col min="7" max="7" width="16.7265625" style="126" customWidth="1"/>
    <col min="8" max="9" width="16.7265625" style="45" customWidth="1"/>
    <col min="10" max="10" width="16.7265625" style="126" customWidth="1"/>
    <col min="11" max="24" width="16.7265625" style="45" customWidth="1"/>
    <col min="25" max="16384" width="16.7265625" style="45" hidden="1"/>
  </cols>
  <sheetData>
    <row r="1" spans="1:24" ht="30" customHeight="1" x14ac:dyDescent="0.3">
      <c r="A1" s="73" t="s">
        <v>826</v>
      </c>
      <c r="B1" s="74"/>
      <c r="C1" s="74"/>
      <c r="D1" s="74"/>
      <c r="E1" s="74"/>
      <c r="F1" s="74"/>
      <c r="G1" s="74"/>
      <c r="H1" s="74"/>
      <c r="I1" s="74"/>
      <c r="J1" s="74"/>
      <c r="K1" s="74"/>
      <c r="L1" s="74"/>
      <c r="M1" s="74"/>
      <c r="N1" s="75"/>
      <c r="O1" s="43" t="s">
        <v>787</v>
      </c>
      <c r="P1" s="44"/>
      <c r="Q1" s="44"/>
      <c r="R1" s="44"/>
      <c r="S1" s="44"/>
      <c r="T1" s="44"/>
      <c r="U1" s="44"/>
      <c r="V1" s="44"/>
      <c r="W1" s="44"/>
      <c r="X1" s="44"/>
    </row>
    <row r="2" spans="1:24" ht="30" customHeight="1" x14ac:dyDescent="0.3">
      <c r="A2" s="99" t="s">
        <v>0</v>
      </c>
      <c r="B2" s="100" t="s">
        <v>1</v>
      </c>
      <c r="C2" s="100" t="s">
        <v>24</v>
      </c>
      <c r="D2" s="100" t="s">
        <v>798</v>
      </c>
      <c r="E2" s="99" t="s">
        <v>479</v>
      </c>
      <c r="F2" s="99" t="s">
        <v>636</v>
      </c>
      <c r="G2" s="99" t="s">
        <v>9</v>
      </c>
      <c r="H2" s="100" t="s">
        <v>5</v>
      </c>
      <c r="I2" s="100" t="s">
        <v>538</v>
      </c>
      <c r="J2" s="99" t="s">
        <v>799</v>
      </c>
      <c r="K2" s="100" t="s">
        <v>480</v>
      </c>
      <c r="L2" s="100" t="s">
        <v>481</v>
      </c>
      <c r="M2" s="100" t="s">
        <v>482</v>
      </c>
      <c r="N2" s="101" t="s">
        <v>8</v>
      </c>
      <c r="O2" s="102" t="str">
        <f>"Charge "&amp;QUOTIENT(COLUMN()-13,2)&amp;" Name"</f>
        <v>Charge 1 Name</v>
      </c>
      <c r="P2" s="103" t="str">
        <f>"Charge "&amp;QUOTIENT(COLUMN()-13,2)&amp;" Type"</f>
        <v>Charge 1 Type</v>
      </c>
      <c r="Q2" s="102" t="str">
        <f>"Charge "&amp;QUOTIENT(COLUMN()-13,2)&amp;" Name"</f>
        <v>Charge 2 Name</v>
      </c>
      <c r="R2" s="103" t="str">
        <f>"Charge "&amp;QUOTIENT(COLUMN()-13,2)&amp;" Type"</f>
        <v>Charge 2 Type</v>
      </c>
      <c r="S2" s="102" t="str">
        <f>"Charge "&amp;QUOTIENT(COLUMN()-13,2)&amp;" Name"</f>
        <v>Charge 3 Name</v>
      </c>
      <c r="T2" s="103" t="str">
        <f>"Charge "&amp;QUOTIENT(COLUMN()-13,2)&amp;" Type"</f>
        <v>Charge 3 Type</v>
      </c>
      <c r="U2" s="102" t="str">
        <f>"Charge "&amp;QUOTIENT(COLUMN()-13,2)&amp;" Name"</f>
        <v>Charge 4 Name</v>
      </c>
      <c r="V2" s="103" t="str">
        <f>"Charge "&amp;QUOTIENT(COLUMN()-13,2)&amp;" Type"</f>
        <v>Charge 4 Type</v>
      </c>
      <c r="W2" s="102" t="str">
        <f>"Charge "&amp;QUOTIENT(COLUMN()-13,2)&amp;" Name"</f>
        <v>Charge 5 Name</v>
      </c>
      <c r="X2" s="103" t="str">
        <f>"Charge "&amp;QUOTIENT(COLUMN()-13,2)&amp;" Type"</f>
        <v>Charge 5 Type</v>
      </c>
    </row>
    <row r="3" spans="1:24" x14ac:dyDescent="0.3">
      <c r="A3" s="126"/>
      <c r="B3" s="127"/>
      <c r="C3" s="127"/>
      <c r="D3" s="127"/>
      <c r="E3" s="126"/>
      <c r="F3" s="126"/>
      <c r="H3" s="135"/>
      <c r="I3" s="127"/>
      <c r="K3" s="127"/>
      <c r="L3" s="127"/>
      <c r="M3" s="127"/>
      <c r="N3" s="137"/>
      <c r="O3" s="130"/>
      <c r="P3" s="131"/>
      <c r="Q3" s="130"/>
      <c r="R3" s="131"/>
      <c r="S3" s="130"/>
      <c r="T3" s="131"/>
      <c r="U3" s="130"/>
      <c r="V3" s="131"/>
      <c r="W3" s="130"/>
      <c r="X3" s="131"/>
    </row>
    <row r="4" spans="1:24" x14ac:dyDescent="0.3">
      <c r="A4" s="126"/>
      <c r="B4" s="127"/>
      <c r="C4" s="127"/>
      <c r="D4" s="127"/>
      <c r="E4" s="126"/>
      <c r="F4" s="126"/>
      <c r="H4" s="135"/>
      <c r="I4" s="127"/>
      <c r="K4" s="127"/>
      <c r="L4" s="127"/>
      <c r="M4" s="127"/>
      <c r="N4" s="137"/>
      <c r="O4" s="130"/>
      <c r="P4" s="131"/>
      <c r="Q4" s="130"/>
      <c r="R4" s="131"/>
      <c r="S4" s="130"/>
      <c r="T4" s="131"/>
      <c r="U4" s="130"/>
      <c r="V4" s="131"/>
      <c r="W4" s="130"/>
      <c r="X4" s="131"/>
    </row>
    <row r="5" spans="1:24" x14ac:dyDescent="0.3">
      <c r="A5" s="126"/>
      <c r="B5" s="127"/>
      <c r="C5" s="127"/>
      <c r="D5" s="127"/>
      <c r="E5" s="126"/>
      <c r="F5" s="126"/>
      <c r="H5" s="135"/>
      <c r="I5" s="127"/>
      <c r="K5" s="127"/>
      <c r="L5" s="127"/>
      <c r="M5" s="127"/>
      <c r="N5" s="137"/>
      <c r="O5" s="130"/>
      <c r="P5" s="131"/>
      <c r="Q5" s="130"/>
      <c r="R5" s="131"/>
      <c r="S5" s="130"/>
      <c r="T5" s="131"/>
      <c r="U5" s="130"/>
      <c r="V5" s="131"/>
      <c r="W5" s="130"/>
      <c r="X5" s="131"/>
    </row>
    <row r="6" spans="1:24" x14ac:dyDescent="0.3">
      <c r="A6" s="126"/>
      <c r="B6" s="127"/>
      <c r="C6" s="127"/>
      <c r="D6" s="127"/>
      <c r="E6" s="126"/>
      <c r="F6" s="126"/>
      <c r="H6" s="135"/>
      <c r="I6" s="127"/>
      <c r="K6" s="127"/>
      <c r="L6" s="127"/>
      <c r="M6" s="127"/>
      <c r="N6" s="137"/>
      <c r="O6" s="130"/>
      <c r="P6" s="131"/>
      <c r="Q6" s="130"/>
      <c r="R6" s="131"/>
      <c r="S6" s="130"/>
      <c r="T6" s="131"/>
      <c r="U6" s="130"/>
      <c r="V6" s="131"/>
      <c r="W6" s="130"/>
      <c r="X6" s="131"/>
    </row>
    <row r="7" spans="1:24" x14ac:dyDescent="0.3">
      <c r="A7" s="126"/>
      <c r="B7" s="127"/>
      <c r="C7" s="127"/>
      <c r="D7" s="127"/>
      <c r="E7" s="126"/>
      <c r="F7" s="126"/>
      <c r="H7" s="135"/>
      <c r="I7" s="127"/>
      <c r="K7" s="127"/>
      <c r="L7" s="127"/>
      <c r="M7" s="127"/>
      <c r="N7" s="137"/>
      <c r="O7" s="130"/>
      <c r="P7" s="131"/>
      <c r="Q7" s="130"/>
      <c r="R7" s="131"/>
      <c r="S7" s="130"/>
      <c r="T7" s="131"/>
      <c r="U7" s="130"/>
      <c r="V7" s="131"/>
      <c r="W7" s="130"/>
      <c r="X7" s="131"/>
    </row>
    <row r="8" spans="1:24" x14ac:dyDescent="0.3">
      <c r="A8" s="126"/>
      <c r="B8" s="127"/>
      <c r="C8" s="127"/>
      <c r="D8" s="127"/>
      <c r="E8" s="126"/>
      <c r="F8" s="126"/>
      <c r="H8" s="135"/>
      <c r="I8" s="127"/>
      <c r="K8" s="127"/>
      <c r="L8" s="127"/>
      <c r="M8" s="127"/>
      <c r="N8" s="137"/>
      <c r="O8" s="130"/>
      <c r="P8" s="131"/>
      <c r="Q8" s="130"/>
      <c r="R8" s="131"/>
      <c r="S8" s="130"/>
      <c r="T8" s="131"/>
      <c r="U8" s="130"/>
      <c r="V8" s="131"/>
      <c r="W8" s="130"/>
      <c r="X8" s="131"/>
    </row>
    <row r="9" spans="1:24" x14ac:dyDescent="0.3">
      <c r="A9" s="126"/>
      <c r="B9" s="127"/>
      <c r="C9" s="127"/>
      <c r="D9" s="127"/>
      <c r="E9" s="126"/>
      <c r="F9" s="126"/>
      <c r="H9" s="135"/>
      <c r="I9" s="127"/>
      <c r="K9" s="127"/>
      <c r="L9" s="127"/>
      <c r="M9" s="127"/>
      <c r="N9" s="137"/>
      <c r="O9" s="130"/>
      <c r="P9" s="131"/>
      <c r="Q9" s="130"/>
      <c r="R9" s="131"/>
      <c r="S9" s="130"/>
      <c r="T9" s="131"/>
      <c r="U9" s="130"/>
      <c r="V9" s="131"/>
      <c r="W9" s="130"/>
      <c r="X9" s="131"/>
    </row>
    <row r="10" spans="1:24" x14ac:dyDescent="0.3">
      <c r="A10" s="126"/>
      <c r="B10" s="127"/>
      <c r="C10" s="127"/>
      <c r="D10" s="127"/>
      <c r="E10" s="126"/>
      <c r="F10" s="126"/>
      <c r="H10" s="135"/>
      <c r="I10" s="127"/>
      <c r="K10" s="127"/>
      <c r="L10" s="127"/>
      <c r="M10" s="127"/>
      <c r="N10" s="137"/>
      <c r="O10" s="130"/>
      <c r="P10" s="131"/>
      <c r="Q10" s="130"/>
      <c r="R10" s="131"/>
      <c r="S10" s="130"/>
      <c r="T10" s="131"/>
      <c r="U10" s="130"/>
      <c r="V10" s="131"/>
      <c r="W10" s="130"/>
      <c r="X10" s="131"/>
    </row>
    <row r="11" spans="1:24" x14ac:dyDescent="0.3">
      <c r="A11" s="126"/>
      <c r="B11" s="127"/>
      <c r="C11" s="127"/>
      <c r="D11" s="127"/>
      <c r="E11" s="126"/>
      <c r="F11" s="126"/>
      <c r="H11" s="135"/>
      <c r="I11" s="127"/>
      <c r="K11" s="127"/>
      <c r="L11" s="127"/>
      <c r="M11" s="127"/>
      <c r="N11" s="137"/>
      <c r="O11" s="130"/>
      <c r="P11" s="131"/>
      <c r="Q11" s="130"/>
      <c r="R11" s="131"/>
      <c r="S11" s="130"/>
      <c r="T11" s="131"/>
      <c r="U11" s="130"/>
      <c r="V11" s="131"/>
      <c r="W11" s="130"/>
      <c r="X11" s="131"/>
    </row>
    <row r="12" spans="1:24" x14ac:dyDescent="0.3">
      <c r="A12" s="126"/>
      <c r="B12" s="127"/>
      <c r="C12" s="127"/>
      <c r="D12" s="127"/>
      <c r="E12" s="126"/>
      <c r="F12" s="126"/>
      <c r="H12" s="135"/>
      <c r="I12" s="127"/>
      <c r="K12" s="127"/>
      <c r="L12" s="127"/>
      <c r="M12" s="127"/>
      <c r="N12" s="137"/>
      <c r="O12" s="130"/>
      <c r="P12" s="131"/>
      <c r="Q12" s="130"/>
      <c r="R12" s="131"/>
      <c r="S12" s="130"/>
      <c r="T12" s="131"/>
      <c r="U12" s="130"/>
      <c r="V12" s="131"/>
      <c r="W12" s="130"/>
      <c r="X12" s="131"/>
    </row>
    <row r="13" spans="1:24" x14ac:dyDescent="0.3">
      <c r="A13" s="126"/>
      <c r="B13" s="127"/>
      <c r="C13" s="127"/>
      <c r="D13" s="127"/>
      <c r="E13" s="126"/>
      <c r="F13" s="126"/>
      <c r="H13" s="135"/>
      <c r="I13" s="127"/>
      <c r="K13" s="127"/>
      <c r="L13" s="127"/>
      <c r="M13" s="127"/>
      <c r="N13" s="137"/>
      <c r="O13" s="130"/>
      <c r="P13" s="131"/>
      <c r="Q13" s="130"/>
      <c r="R13" s="131"/>
      <c r="S13" s="130"/>
      <c r="T13" s="131"/>
      <c r="U13" s="130"/>
      <c r="V13" s="131"/>
      <c r="W13" s="130"/>
      <c r="X13" s="131"/>
    </row>
    <row r="14" spans="1:24" x14ac:dyDescent="0.3">
      <c r="A14" s="126"/>
      <c r="B14" s="127"/>
      <c r="C14" s="127"/>
      <c r="D14" s="127"/>
      <c r="E14" s="126"/>
      <c r="F14" s="126"/>
      <c r="H14" s="135"/>
      <c r="I14" s="127"/>
      <c r="K14" s="127"/>
      <c r="L14" s="127"/>
      <c r="M14" s="127"/>
      <c r="N14" s="137"/>
      <c r="O14" s="130"/>
      <c r="P14" s="131"/>
      <c r="Q14" s="130"/>
      <c r="R14" s="131"/>
      <c r="S14" s="130"/>
      <c r="T14" s="131"/>
      <c r="U14" s="130"/>
      <c r="V14" s="131"/>
      <c r="W14" s="130"/>
      <c r="X14" s="131"/>
    </row>
    <row r="15" spans="1:24" x14ac:dyDescent="0.3">
      <c r="A15" s="126"/>
      <c r="B15" s="127"/>
      <c r="C15" s="127"/>
      <c r="D15" s="127"/>
      <c r="E15" s="126"/>
      <c r="F15" s="126"/>
      <c r="H15" s="135"/>
      <c r="I15" s="127"/>
      <c r="K15" s="127"/>
      <c r="L15" s="127"/>
      <c r="M15" s="127"/>
      <c r="N15" s="137"/>
      <c r="O15" s="130"/>
      <c r="P15" s="131"/>
      <c r="Q15" s="130"/>
      <c r="R15" s="131"/>
      <c r="S15" s="130"/>
      <c r="T15" s="131"/>
      <c r="U15" s="130"/>
      <c r="V15" s="131"/>
      <c r="W15" s="130"/>
      <c r="X15" s="131"/>
    </row>
    <row r="16" spans="1:24" x14ac:dyDescent="0.3">
      <c r="A16" s="126"/>
      <c r="B16" s="127"/>
      <c r="C16" s="127"/>
      <c r="D16" s="127"/>
      <c r="E16" s="126"/>
      <c r="F16" s="126"/>
      <c r="H16" s="135"/>
      <c r="I16" s="127"/>
      <c r="K16" s="127"/>
      <c r="L16" s="127"/>
      <c r="M16" s="127"/>
      <c r="N16" s="137"/>
      <c r="O16" s="130"/>
      <c r="P16" s="131"/>
      <c r="Q16" s="130"/>
      <c r="R16" s="131"/>
      <c r="S16" s="130"/>
      <c r="T16" s="131"/>
      <c r="U16" s="130"/>
      <c r="V16" s="131"/>
      <c r="W16" s="130"/>
      <c r="X16" s="131"/>
    </row>
    <row r="17" spans="1:24" x14ac:dyDescent="0.3">
      <c r="A17" s="126"/>
      <c r="B17" s="127"/>
      <c r="C17" s="127"/>
      <c r="D17" s="127"/>
      <c r="E17" s="126"/>
      <c r="F17" s="126"/>
      <c r="H17" s="135"/>
      <c r="I17" s="127"/>
      <c r="K17" s="127"/>
      <c r="L17" s="127"/>
      <c r="M17" s="127"/>
      <c r="N17" s="137"/>
      <c r="O17" s="130"/>
      <c r="P17" s="131"/>
      <c r="Q17" s="130"/>
      <c r="R17" s="131"/>
      <c r="S17" s="130"/>
      <c r="T17" s="131"/>
      <c r="U17" s="130"/>
      <c r="V17" s="131"/>
      <c r="W17" s="130"/>
      <c r="X17" s="131"/>
    </row>
    <row r="18" spans="1:24" x14ac:dyDescent="0.3">
      <c r="A18" s="126"/>
      <c r="B18" s="127"/>
      <c r="C18" s="127"/>
      <c r="D18" s="127"/>
      <c r="E18" s="126"/>
      <c r="F18" s="126"/>
      <c r="H18" s="135"/>
      <c r="I18" s="127"/>
      <c r="K18" s="127"/>
      <c r="L18" s="127"/>
      <c r="M18" s="127"/>
      <c r="N18" s="137"/>
      <c r="O18" s="130"/>
      <c r="P18" s="131"/>
      <c r="Q18" s="130"/>
      <c r="R18" s="131"/>
      <c r="S18" s="130"/>
      <c r="T18" s="131"/>
      <c r="U18" s="130"/>
      <c r="V18" s="131"/>
      <c r="W18" s="130"/>
      <c r="X18" s="131"/>
    </row>
    <row r="19" spans="1:24" x14ac:dyDescent="0.3">
      <c r="A19" s="126"/>
      <c r="B19" s="127"/>
      <c r="C19" s="127"/>
      <c r="D19" s="127"/>
      <c r="E19" s="126"/>
      <c r="F19" s="126"/>
      <c r="H19" s="135"/>
      <c r="I19" s="127"/>
      <c r="K19" s="127"/>
      <c r="L19" s="127"/>
      <c r="M19" s="127"/>
      <c r="N19" s="137"/>
      <c r="O19" s="130"/>
      <c r="P19" s="131"/>
      <c r="Q19" s="130"/>
      <c r="R19" s="131"/>
      <c r="S19" s="130"/>
      <c r="T19" s="131"/>
      <c r="U19" s="130"/>
      <c r="V19" s="131"/>
      <c r="W19" s="130"/>
      <c r="X19" s="131"/>
    </row>
    <row r="20" spans="1:24" x14ac:dyDescent="0.3">
      <c r="A20" s="126"/>
      <c r="B20" s="127"/>
      <c r="C20" s="127"/>
      <c r="D20" s="127"/>
      <c r="E20" s="126"/>
      <c r="F20" s="126"/>
      <c r="H20" s="135"/>
      <c r="I20" s="127"/>
      <c r="K20" s="127"/>
      <c r="L20" s="127"/>
      <c r="M20" s="127"/>
      <c r="N20" s="137"/>
      <c r="O20" s="130"/>
      <c r="P20" s="131"/>
      <c r="Q20" s="130"/>
      <c r="R20" s="131"/>
      <c r="S20" s="130"/>
      <c r="T20" s="131"/>
      <c r="U20" s="130"/>
      <c r="V20" s="131"/>
      <c r="W20" s="130"/>
      <c r="X20" s="131"/>
    </row>
    <row r="21" spans="1:24" x14ac:dyDescent="0.3">
      <c r="A21" s="126"/>
      <c r="B21" s="127"/>
      <c r="C21" s="127"/>
      <c r="D21" s="127"/>
      <c r="E21" s="126"/>
      <c r="F21" s="126"/>
      <c r="H21" s="135"/>
      <c r="I21" s="127"/>
      <c r="K21" s="127"/>
      <c r="L21" s="127"/>
      <c r="M21" s="127"/>
      <c r="N21" s="137"/>
      <c r="O21" s="130"/>
      <c r="P21" s="131"/>
      <c r="Q21" s="130"/>
      <c r="R21" s="131"/>
      <c r="S21" s="130"/>
      <c r="T21" s="131"/>
      <c r="U21" s="130"/>
      <c r="V21" s="131"/>
      <c r="W21" s="130"/>
      <c r="X21" s="131"/>
    </row>
    <row r="22" spans="1:24" x14ac:dyDescent="0.3">
      <c r="A22" s="126"/>
      <c r="B22" s="127"/>
      <c r="C22" s="127"/>
      <c r="D22" s="127"/>
      <c r="E22" s="126"/>
      <c r="F22" s="126"/>
      <c r="H22" s="135"/>
      <c r="I22" s="127"/>
      <c r="K22" s="127"/>
      <c r="L22" s="127"/>
      <c r="M22" s="127"/>
      <c r="N22" s="137"/>
      <c r="O22" s="130"/>
      <c r="P22" s="131"/>
      <c r="Q22" s="130"/>
      <c r="R22" s="131"/>
      <c r="S22" s="130"/>
      <c r="T22" s="131"/>
      <c r="U22" s="130"/>
      <c r="V22" s="131"/>
      <c r="W22" s="130"/>
      <c r="X22" s="131"/>
    </row>
    <row r="23" spans="1:24" x14ac:dyDescent="0.3">
      <c r="A23" s="126"/>
      <c r="B23" s="127"/>
      <c r="C23" s="127"/>
      <c r="D23" s="127"/>
      <c r="E23" s="126"/>
      <c r="F23" s="126"/>
      <c r="H23" s="135"/>
      <c r="I23" s="127"/>
      <c r="K23" s="127"/>
      <c r="L23" s="127"/>
      <c r="M23" s="127"/>
      <c r="N23" s="137"/>
      <c r="O23" s="130"/>
      <c r="P23" s="131"/>
      <c r="Q23" s="130"/>
      <c r="R23" s="131"/>
      <c r="S23" s="130"/>
      <c r="T23" s="131"/>
      <c r="U23" s="130"/>
      <c r="V23" s="131"/>
      <c r="W23" s="130"/>
      <c r="X23" s="131"/>
    </row>
    <row r="24" spans="1:24" x14ac:dyDescent="0.3">
      <c r="A24" s="126"/>
      <c r="B24" s="127"/>
      <c r="C24" s="127"/>
      <c r="D24" s="127"/>
      <c r="E24" s="126"/>
      <c r="F24" s="126"/>
      <c r="H24" s="135"/>
      <c r="I24" s="127"/>
      <c r="K24" s="127"/>
      <c r="L24" s="127"/>
      <c r="M24" s="127"/>
      <c r="N24" s="137"/>
      <c r="O24" s="130"/>
      <c r="P24" s="131"/>
      <c r="Q24" s="130"/>
      <c r="R24" s="131"/>
      <c r="S24" s="130"/>
      <c r="T24" s="131"/>
      <c r="U24" s="130"/>
      <c r="V24" s="131"/>
      <c r="W24" s="130"/>
      <c r="X24" s="131"/>
    </row>
    <row r="25" spans="1:24" x14ac:dyDescent="0.3">
      <c r="A25" s="126"/>
      <c r="B25" s="127"/>
      <c r="C25" s="127"/>
      <c r="D25" s="127"/>
      <c r="E25" s="126"/>
      <c r="F25" s="126"/>
      <c r="H25" s="135"/>
      <c r="I25" s="127"/>
      <c r="K25" s="127"/>
      <c r="L25" s="127"/>
      <c r="M25" s="127"/>
      <c r="N25" s="137"/>
      <c r="O25" s="130"/>
      <c r="P25" s="131"/>
      <c r="Q25" s="130"/>
      <c r="R25" s="131"/>
      <c r="S25" s="130"/>
      <c r="T25" s="131"/>
      <c r="U25" s="130"/>
      <c r="V25" s="131"/>
      <c r="W25" s="130"/>
      <c r="X25" s="131"/>
    </row>
    <row r="26" spans="1:24" x14ac:dyDescent="0.3">
      <c r="A26" s="126"/>
      <c r="B26" s="127"/>
      <c r="C26" s="127"/>
      <c r="D26" s="127"/>
      <c r="E26" s="126"/>
      <c r="F26" s="126"/>
      <c r="H26" s="135"/>
      <c r="I26" s="127"/>
      <c r="K26" s="127"/>
      <c r="L26" s="127"/>
      <c r="M26" s="127"/>
      <c r="N26" s="137"/>
      <c r="O26" s="130"/>
      <c r="P26" s="131"/>
      <c r="Q26" s="130"/>
      <c r="R26" s="131"/>
      <c r="S26" s="130"/>
      <c r="T26" s="131"/>
      <c r="U26" s="130"/>
      <c r="V26" s="131"/>
      <c r="W26" s="130"/>
      <c r="X26" s="131"/>
    </row>
    <row r="27" spans="1:24" x14ac:dyDescent="0.3">
      <c r="A27" s="126"/>
      <c r="B27" s="127"/>
      <c r="C27" s="127"/>
      <c r="D27" s="127"/>
      <c r="E27" s="126"/>
      <c r="F27" s="126"/>
      <c r="H27" s="135"/>
      <c r="I27" s="127"/>
      <c r="K27" s="127"/>
      <c r="L27" s="127"/>
      <c r="M27" s="127"/>
      <c r="N27" s="137"/>
      <c r="O27" s="130"/>
      <c r="P27" s="131"/>
      <c r="Q27" s="130"/>
      <c r="R27" s="131"/>
      <c r="S27" s="130"/>
      <c r="T27" s="131"/>
      <c r="U27" s="130"/>
      <c r="V27" s="131"/>
      <c r="W27" s="130"/>
      <c r="X27" s="131"/>
    </row>
    <row r="28" spans="1:24" x14ac:dyDescent="0.3">
      <c r="A28" s="126"/>
      <c r="B28" s="127"/>
      <c r="C28" s="127"/>
      <c r="D28" s="127"/>
      <c r="E28" s="126"/>
      <c r="F28" s="126"/>
      <c r="H28" s="135"/>
      <c r="I28" s="127"/>
      <c r="K28" s="127"/>
      <c r="L28" s="127"/>
      <c r="M28" s="127"/>
      <c r="N28" s="137"/>
      <c r="O28" s="130"/>
      <c r="P28" s="131"/>
      <c r="Q28" s="130"/>
      <c r="R28" s="131"/>
      <c r="S28" s="130"/>
      <c r="T28" s="131"/>
      <c r="U28" s="130"/>
      <c r="V28" s="131"/>
      <c r="W28" s="130"/>
      <c r="X28" s="131"/>
    </row>
    <row r="29" spans="1:24" x14ac:dyDescent="0.3">
      <c r="A29" s="126"/>
      <c r="B29" s="127"/>
      <c r="C29" s="127"/>
      <c r="D29" s="127"/>
      <c r="E29" s="126"/>
      <c r="F29" s="126"/>
      <c r="H29" s="135"/>
      <c r="I29" s="127"/>
      <c r="K29" s="127"/>
      <c r="L29" s="127"/>
      <c r="M29" s="127"/>
      <c r="N29" s="137"/>
      <c r="O29" s="130"/>
      <c r="P29" s="131"/>
      <c r="Q29" s="130"/>
      <c r="R29" s="131"/>
      <c r="S29" s="130"/>
      <c r="T29" s="131"/>
      <c r="U29" s="130"/>
      <c r="V29" s="131"/>
      <c r="W29" s="130"/>
      <c r="X29" s="131"/>
    </row>
    <row r="30" spans="1:24" x14ac:dyDescent="0.3">
      <c r="A30" s="126"/>
      <c r="B30" s="127"/>
      <c r="C30" s="127"/>
      <c r="D30" s="127"/>
      <c r="E30" s="126"/>
      <c r="F30" s="126"/>
      <c r="H30" s="135"/>
      <c r="I30" s="127"/>
      <c r="K30" s="127"/>
      <c r="L30" s="127"/>
      <c r="M30" s="127"/>
      <c r="N30" s="137"/>
      <c r="O30" s="130"/>
      <c r="P30" s="131"/>
      <c r="Q30" s="130"/>
      <c r="R30" s="131"/>
      <c r="S30" s="130"/>
      <c r="T30" s="131"/>
      <c r="U30" s="130"/>
      <c r="V30" s="131"/>
      <c r="W30" s="130"/>
      <c r="X30" s="131"/>
    </row>
    <row r="31" spans="1:24" x14ac:dyDescent="0.3">
      <c r="A31" s="126"/>
      <c r="B31" s="127"/>
      <c r="C31" s="127"/>
      <c r="D31" s="127"/>
      <c r="E31" s="126"/>
      <c r="F31" s="126"/>
      <c r="H31" s="135"/>
      <c r="I31" s="127"/>
      <c r="K31" s="127"/>
      <c r="L31" s="127"/>
      <c r="M31" s="127"/>
      <c r="N31" s="137"/>
      <c r="O31" s="130"/>
      <c r="P31" s="131"/>
      <c r="Q31" s="130"/>
      <c r="R31" s="131"/>
      <c r="S31" s="130"/>
      <c r="T31" s="131"/>
      <c r="U31" s="130"/>
      <c r="V31" s="131"/>
      <c r="W31" s="130"/>
      <c r="X31" s="131"/>
    </row>
    <row r="32" spans="1:24" x14ac:dyDescent="0.3">
      <c r="A32" s="126"/>
      <c r="B32" s="127"/>
      <c r="C32" s="127"/>
      <c r="D32" s="127"/>
      <c r="E32" s="126"/>
      <c r="F32" s="126"/>
      <c r="H32" s="135"/>
      <c r="I32" s="127"/>
      <c r="K32" s="127"/>
      <c r="L32" s="127"/>
      <c r="M32" s="127"/>
      <c r="N32" s="137"/>
      <c r="O32" s="130"/>
      <c r="P32" s="131"/>
      <c r="Q32" s="130"/>
      <c r="R32" s="131"/>
      <c r="S32" s="130"/>
      <c r="T32" s="131"/>
      <c r="U32" s="130"/>
      <c r="V32" s="131"/>
      <c r="W32" s="130"/>
      <c r="X32" s="131"/>
    </row>
    <row r="33" spans="1:24" x14ac:dyDescent="0.3">
      <c r="A33" s="126"/>
      <c r="B33" s="127"/>
      <c r="C33" s="127"/>
      <c r="D33" s="127"/>
      <c r="E33" s="126"/>
      <c r="F33" s="126"/>
      <c r="H33" s="135"/>
      <c r="I33" s="127"/>
      <c r="K33" s="127"/>
      <c r="L33" s="127"/>
      <c r="M33" s="127"/>
      <c r="N33" s="137"/>
      <c r="O33" s="130"/>
      <c r="P33" s="131"/>
      <c r="Q33" s="130"/>
      <c r="R33" s="131"/>
      <c r="S33" s="130"/>
      <c r="T33" s="131"/>
      <c r="U33" s="130"/>
      <c r="V33" s="131"/>
      <c r="W33" s="130"/>
      <c r="X33" s="131"/>
    </row>
    <row r="34" spans="1:24" x14ac:dyDescent="0.3">
      <c r="A34" s="126"/>
      <c r="B34" s="127"/>
      <c r="C34" s="127"/>
      <c r="D34" s="127"/>
      <c r="E34" s="126"/>
      <c r="F34" s="126"/>
      <c r="H34" s="135"/>
      <c r="I34" s="127"/>
      <c r="K34" s="127"/>
      <c r="L34" s="127"/>
      <c r="M34" s="127"/>
      <c r="N34" s="137"/>
      <c r="O34" s="130"/>
      <c r="P34" s="131"/>
      <c r="Q34" s="130"/>
      <c r="R34" s="131"/>
      <c r="S34" s="130"/>
      <c r="T34" s="131"/>
      <c r="U34" s="130"/>
      <c r="V34" s="131"/>
      <c r="W34" s="130"/>
      <c r="X34" s="131"/>
    </row>
    <row r="35" spans="1:24" x14ac:dyDescent="0.3">
      <c r="A35" s="126"/>
      <c r="B35" s="127"/>
      <c r="C35" s="127"/>
      <c r="D35" s="127"/>
      <c r="E35" s="126"/>
      <c r="F35" s="126"/>
      <c r="H35" s="135"/>
      <c r="I35" s="127"/>
      <c r="K35" s="127"/>
      <c r="L35" s="127"/>
      <c r="M35" s="127"/>
      <c r="N35" s="137"/>
      <c r="O35" s="130"/>
      <c r="P35" s="131"/>
      <c r="Q35" s="130"/>
      <c r="R35" s="131"/>
      <c r="S35" s="130"/>
      <c r="T35" s="131"/>
      <c r="U35" s="130"/>
      <c r="V35" s="131"/>
      <c r="W35" s="130"/>
      <c r="X35" s="131"/>
    </row>
    <row r="36" spans="1:24" x14ac:dyDescent="0.3">
      <c r="A36" s="126"/>
      <c r="B36" s="127"/>
      <c r="C36" s="127"/>
      <c r="D36" s="127"/>
      <c r="E36" s="126"/>
      <c r="F36" s="126"/>
      <c r="H36" s="135"/>
      <c r="I36" s="127"/>
      <c r="K36" s="127"/>
      <c r="L36" s="127"/>
      <c r="M36" s="127"/>
      <c r="N36" s="137"/>
      <c r="O36" s="130"/>
      <c r="P36" s="131"/>
      <c r="Q36" s="130"/>
      <c r="R36" s="131"/>
      <c r="S36" s="130"/>
      <c r="T36" s="131"/>
      <c r="U36" s="130"/>
      <c r="V36" s="131"/>
      <c r="W36" s="130"/>
      <c r="X36" s="131"/>
    </row>
    <row r="37" spans="1:24" x14ac:dyDescent="0.3">
      <c r="A37" s="126"/>
      <c r="B37" s="127"/>
      <c r="C37" s="127"/>
      <c r="D37" s="127"/>
      <c r="E37" s="126"/>
      <c r="F37" s="126"/>
      <c r="H37" s="135"/>
      <c r="I37" s="127"/>
      <c r="K37" s="127"/>
      <c r="L37" s="127"/>
      <c r="M37" s="127"/>
      <c r="N37" s="137"/>
      <c r="O37" s="130"/>
      <c r="P37" s="131"/>
      <c r="Q37" s="130"/>
      <c r="R37" s="131"/>
      <c r="S37" s="130"/>
      <c r="T37" s="131"/>
      <c r="U37" s="130"/>
      <c r="V37" s="131"/>
      <c r="W37" s="130"/>
      <c r="X37" s="131"/>
    </row>
    <row r="38" spans="1:24" x14ac:dyDescent="0.3">
      <c r="A38" s="126"/>
      <c r="B38" s="127"/>
      <c r="C38" s="127"/>
      <c r="D38" s="127"/>
      <c r="E38" s="126"/>
      <c r="F38" s="126"/>
      <c r="H38" s="135"/>
      <c r="I38" s="127"/>
      <c r="K38" s="127"/>
      <c r="L38" s="127"/>
      <c r="M38" s="127"/>
      <c r="N38" s="137"/>
      <c r="O38" s="130"/>
      <c r="P38" s="131"/>
      <c r="Q38" s="130"/>
      <c r="R38" s="131"/>
      <c r="S38" s="130"/>
      <c r="T38" s="131"/>
      <c r="U38" s="130"/>
      <c r="V38" s="131"/>
      <c r="W38" s="130"/>
      <c r="X38" s="131"/>
    </row>
    <row r="39" spans="1:24" x14ac:dyDescent="0.3">
      <c r="A39" s="126"/>
      <c r="B39" s="127"/>
      <c r="C39" s="127"/>
      <c r="D39" s="127"/>
      <c r="E39" s="126"/>
      <c r="F39" s="126"/>
      <c r="H39" s="135"/>
      <c r="I39" s="127"/>
      <c r="K39" s="127"/>
      <c r="L39" s="127"/>
      <c r="M39" s="127"/>
      <c r="N39" s="137"/>
      <c r="O39" s="130"/>
      <c r="P39" s="131"/>
      <c r="Q39" s="130"/>
      <c r="R39" s="131"/>
      <c r="S39" s="130"/>
      <c r="T39" s="131"/>
      <c r="U39" s="130"/>
      <c r="V39" s="131"/>
      <c r="W39" s="130"/>
      <c r="X39" s="131"/>
    </row>
    <row r="40" spans="1:24" x14ac:dyDescent="0.3">
      <c r="A40" s="126"/>
      <c r="B40" s="127"/>
      <c r="C40" s="127"/>
      <c r="D40" s="127"/>
      <c r="E40" s="126"/>
      <c r="F40" s="126"/>
      <c r="H40" s="135"/>
      <c r="I40" s="127"/>
      <c r="K40" s="127"/>
      <c r="L40" s="127"/>
      <c r="M40" s="127"/>
      <c r="N40" s="137"/>
      <c r="O40" s="130"/>
      <c r="P40" s="131"/>
      <c r="Q40" s="130"/>
      <c r="R40" s="131"/>
      <c r="S40" s="130"/>
      <c r="T40" s="131"/>
      <c r="U40" s="130"/>
      <c r="V40" s="131"/>
      <c r="W40" s="130"/>
      <c r="X40" s="131"/>
    </row>
    <row r="41" spans="1:24" x14ac:dyDescent="0.3">
      <c r="A41" s="126"/>
      <c r="B41" s="127"/>
      <c r="C41" s="127"/>
      <c r="D41" s="127"/>
      <c r="E41" s="126"/>
      <c r="F41" s="126"/>
      <c r="H41" s="135"/>
      <c r="I41" s="127"/>
      <c r="K41" s="127"/>
      <c r="L41" s="127"/>
      <c r="M41" s="127"/>
      <c r="N41" s="137"/>
      <c r="O41" s="130"/>
      <c r="P41" s="131"/>
      <c r="Q41" s="130"/>
      <c r="R41" s="131"/>
      <c r="S41" s="130"/>
      <c r="T41" s="131"/>
      <c r="U41" s="130"/>
      <c r="V41" s="131"/>
      <c r="W41" s="130"/>
      <c r="X41" s="131"/>
    </row>
    <row r="42" spans="1:24" x14ac:dyDescent="0.3">
      <c r="A42" s="126"/>
      <c r="B42" s="127"/>
      <c r="C42" s="127"/>
      <c r="D42" s="127"/>
      <c r="E42" s="126"/>
      <c r="F42" s="126"/>
      <c r="H42" s="135"/>
      <c r="I42" s="127"/>
      <c r="K42" s="127"/>
      <c r="L42" s="127"/>
      <c r="M42" s="127"/>
      <c r="N42" s="137"/>
      <c r="O42" s="130"/>
      <c r="P42" s="131"/>
      <c r="Q42" s="130"/>
      <c r="R42" s="131"/>
      <c r="S42" s="130"/>
      <c r="T42" s="131"/>
      <c r="U42" s="130"/>
      <c r="V42" s="131"/>
      <c r="W42" s="130"/>
      <c r="X42" s="131"/>
    </row>
    <row r="43" spans="1:24" x14ac:dyDescent="0.3">
      <c r="A43" s="126"/>
      <c r="B43" s="127"/>
      <c r="C43" s="127"/>
      <c r="D43" s="127"/>
      <c r="E43" s="126"/>
      <c r="F43" s="126"/>
      <c r="H43" s="135"/>
      <c r="I43" s="127"/>
      <c r="K43" s="127"/>
      <c r="L43" s="127"/>
      <c r="M43" s="127"/>
      <c r="N43" s="137"/>
      <c r="O43" s="130"/>
      <c r="P43" s="131"/>
      <c r="Q43" s="130"/>
      <c r="R43" s="131"/>
      <c r="S43" s="130"/>
      <c r="T43" s="131"/>
      <c r="U43" s="130"/>
      <c r="V43" s="131"/>
      <c r="W43" s="130"/>
      <c r="X43" s="131"/>
    </row>
    <row r="44" spans="1:24" x14ac:dyDescent="0.3">
      <c r="A44" s="126"/>
      <c r="B44" s="127"/>
      <c r="C44" s="127"/>
      <c r="D44" s="127"/>
      <c r="E44" s="126"/>
      <c r="F44" s="126"/>
      <c r="H44" s="135"/>
      <c r="I44" s="127"/>
      <c r="K44" s="127"/>
      <c r="L44" s="127"/>
      <c r="M44" s="127"/>
      <c r="N44" s="137"/>
      <c r="O44" s="130"/>
      <c r="P44" s="131"/>
      <c r="Q44" s="130"/>
      <c r="R44" s="131"/>
      <c r="S44" s="130"/>
      <c r="T44" s="131"/>
      <c r="U44" s="130"/>
      <c r="V44" s="131"/>
      <c r="W44" s="130"/>
      <c r="X44" s="131"/>
    </row>
    <row r="45" spans="1:24" x14ac:dyDescent="0.3">
      <c r="A45" s="126"/>
      <c r="B45" s="127"/>
      <c r="C45" s="127"/>
      <c r="D45" s="127"/>
      <c r="E45" s="126"/>
      <c r="F45" s="126"/>
      <c r="H45" s="135"/>
      <c r="I45" s="127"/>
      <c r="K45" s="127"/>
      <c r="L45" s="127"/>
      <c r="M45" s="127"/>
      <c r="N45" s="137"/>
      <c r="O45" s="130"/>
      <c r="P45" s="131"/>
      <c r="Q45" s="130"/>
      <c r="R45" s="131"/>
      <c r="S45" s="130"/>
      <c r="T45" s="131"/>
      <c r="U45" s="130"/>
      <c r="V45" s="131"/>
      <c r="W45" s="130"/>
      <c r="X45" s="131"/>
    </row>
    <row r="46" spans="1:24" x14ac:dyDescent="0.3">
      <c r="A46" s="126"/>
      <c r="B46" s="127"/>
      <c r="C46" s="127"/>
      <c r="D46" s="127"/>
      <c r="E46" s="126"/>
      <c r="F46" s="126"/>
      <c r="H46" s="135"/>
      <c r="I46" s="127"/>
      <c r="K46" s="127"/>
      <c r="L46" s="127"/>
      <c r="M46" s="127"/>
      <c r="N46" s="137"/>
      <c r="O46" s="130"/>
      <c r="P46" s="131"/>
      <c r="Q46" s="130"/>
      <c r="R46" s="131"/>
      <c r="S46" s="130"/>
      <c r="T46" s="131"/>
      <c r="U46" s="130"/>
      <c r="V46" s="131"/>
      <c r="W46" s="130"/>
      <c r="X46" s="131"/>
    </row>
    <row r="47" spans="1:24" x14ac:dyDescent="0.3">
      <c r="A47" s="126"/>
      <c r="B47" s="127"/>
      <c r="C47" s="127"/>
      <c r="D47" s="127"/>
      <c r="E47" s="126"/>
      <c r="F47" s="126"/>
      <c r="H47" s="135"/>
      <c r="I47" s="127"/>
      <c r="K47" s="127"/>
      <c r="L47" s="127"/>
      <c r="M47" s="127"/>
      <c r="N47" s="137"/>
      <c r="O47" s="130"/>
      <c r="P47" s="131"/>
      <c r="Q47" s="130"/>
      <c r="R47" s="131"/>
      <c r="S47" s="130"/>
      <c r="T47" s="131"/>
      <c r="U47" s="130"/>
      <c r="V47" s="131"/>
      <c r="W47" s="130"/>
      <c r="X47" s="131"/>
    </row>
    <row r="48" spans="1:24" x14ac:dyDescent="0.3">
      <c r="A48" s="126"/>
      <c r="B48" s="127"/>
      <c r="C48" s="127"/>
      <c r="D48" s="127"/>
      <c r="E48" s="126"/>
      <c r="F48" s="126"/>
      <c r="H48" s="135"/>
      <c r="I48" s="127"/>
      <c r="K48" s="127"/>
      <c r="L48" s="127"/>
      <c r="M48" s="127"/>
      <c r="N48" s="137"/>
      <c r="O48" s="130"/>
      <c r="P48" s="131"/>
      <c r="Q48" s="130"/>
      <c r="R48" s="131"/>
      <c r="S48" s="130"/>
      <c r="T48" s="131"/>
      <c r="U48" s="130"/>
      <c r="V48" s="131"/>
      <c r="W48" s="130"/>
      <c r="X48" s="131"/>
    </row>
    <row r="49" spans="1:24" x14ac:dyDescent="0.3">
      <c r="A49" s="126"/>
      <c r="B49" s="127"/>
      <c r="C49" s="127"/>
      <c r="D49" s="127"/>
      <c r="E49" s="126"/>
      <c r="F49" s="126"/>
      <c r="H49" s="135"/>
      <c r="I49" s="127"/>
      <c r="K49" s="127"/>
      <c r="L49" s="127"/>
      <c r="M49" s="127"/>
      <c r="N49" s="137"/>
      <c r="O49" s="130"/>
      <c r="P49" s="131"/>
      <c r="Q49" s="130"/>
      <c r="R49" s="131"/>
      <c r="S49" s="130"/>
      <c r="T49" s="131"/>
      <c r="U49" s="130"/>
      <c r="V49" s="131"/>
      <c r="W49" s="130"/>
      <c r="X49" s="131"/>
    </row>
    <row r="50" spans="1:24" x14ac:dyDescent="0.3">
      <c r="A50" s="126"/>
      <c r="B50" s="127"/>
      <c r="C50" s="127"/>
      <c r="D50" s="127"/>
      <c r="E50" s="126"/>
      <c r="F50" s="126"/>
      <c r="H50" s="135"/>
      <c r="I50" s="127"/>
      <c r="K50" s="127"/>
      <c r="L50" s="127"/>
      <c r="M50" s="127"/>
      <c r="N50" s="137"/>
      <c r="O50" s="130"/>
      <c r="P50" s="131"/>
      <c r="Q50" s="130"/>
      <c r="R50" s="131"/>
      <c r="S50" s="130"/>
      <c r="T50" s="131"/>
      <c r="U50" s="130"/>
      <c r="V50" s="131"/>
      <c r="W50" s="130"/>
      <c r="X50" s="131"/>
    </row>
    <row r="51" spans="1:24" x14ac:dyDescent="0.3">
      <c r="A51" s="126"/>
      <c r="B51" s="127"/>
      <c r="C51" s="127"/>
      <c r="D51" s="127"/>
      <c r="E51" s="126"/>
      <c r="F51" s="126"/>
      <c r="H51" s="135"/>
      <c r="I51" s="127"/>
      <c r="K51" s="127"/>
      <c r="L51" s="127"/>
      <c r="M51" s="127"/>
      <c r="N51" s="137"/>
      <c r="O51" s="130"/>
      <c r="P51" s="131"/>
      <c r="Q51" s="130"/>
      <c r="R51" s="131"/>
      <c r="S51" s="130"/>
      <c r="T51" s="131"/>
      <c r="U51" s="130"/>
      <c r="V51" s="131"/>
      <c r="W51" s="130"/>
      <c r="X51" s="131"/>
    </row>
    <row r="52" spans="1:24" x14ac:dyDescent="0.3">
      <c r="A52" s="126"/>
      <c r="B52" s="127"/>
      <c r="C52" s="127"/>
      <c r="D52" s="127"/>
      <c r="E52" s="126"/>
      <c r="F52" s="126"/>
      <c r="H52" s="135"/>
      <c r="I52" s="127"/>
      <c r="K52" s="127"/>
      <c r="L52" s="127"/>
      <c r="M52" s="127"/>
      <c r="N52" s="137"/>
      <c r="O52" s="130"/>
      <c r="P52" s="131"/>
      <c r="Q52" s="130"/>
      <c r="R52" s="131"/>
      <c r="S52" s="130"/>
      <c r="T52" s="131"/>
      <c r="U52" s="130"/>
      <c r="V52" s="131"/>
      <c r="W52" s="130"/>
      <c r="X52" s="131"/>
    </row>
    <row r="53" spans="1:24" x14ac:dyDescent="0.3">
      <c r="A53" s="126"/>
      <c r="B53" s="127"/>
      <c r="C53" s="127"/>
      <c r="D53" s="127"/>
      <c r="E53" s="126"/>
      <c r="F53" s="126"/>
      <c r="H53" s="135"/>
      <c r="I53" s="127"/>
      <c r="K53" s="127"/>
      <c r="L53" s="127"/>
      <c r="M53" s="127"/>
      <c r="N53" s="137"/>
      <c r="O53" s="130"/>
      <c r="P53" s="131"/>
      <c r="Q53" s="130"/>
      <c r="R53" s="131"/>
      <c r="S53" s="130"/>
      <c r="T53" s="131"/>
      <c r="U53" s="130"/>
      <c r="V53" s="131"/>
      <c r="W53" s="130"/>
      <c r="X53" s="131"/>
    </row>
    <row r="54" spans="1:24" x14ac:dyDescent="0.3">
      <c r="A54" s="126"/>
      <c r="B54" s="127"/>
      <c r="C54" s="127"/>
      <c r="D54" s="127"/>
      <c r="E54" s="126"/>
      <c r="F54" s="126"/>
      <c r="H54" s="135"/>
      <c r="I54" s="127"/>
      <c r="K54" s="127"/>
      <c r="L54" s="127"/>
      <c r="M54" s="127"/>
      <c r="N54" s="137"/>
      <c r="O54" s="130"/>
      <c r="P54" s="131"/>
      <c r="Q54" s="130"/>
      <c r="R54" s="131"/>
      <c r="S54" s="130"/>
      <c r="T54" s="131"/>
      <c r="U54" s="130"/>
      <c r="V54" s="131"/>
      <c r="W54" s="130"/>
      <c r="X54" s="131"/>
    </row>
    <row r="55" spans="1:24" x14ac:dyDescent="0.3">
      <c r="A55" s="126"/>
      <c r="B55" s="127"/>
      <c r="C55" s="127"/>
      <c r="D55" s="127"/>
      <c r="E55" s="126"/>
      <c r="F55" s="126"/>
      <c r="H55" s="135"/>
      <c r="I55" s="127"/>
      <c r="K55" s="127"/>
      <c r="L55" s="127"/>
      <c r="M55" s="127"/>
      <c r="N55" s="137"/>
      <c r="O55" s="130"/>
      <c r="P55" s="131"/>
      <c r="Q55" s="130"/>
      <c r="R55" s="131"/>
      <c r="S55" s="130"/>
      <c r="T55" s="131"/>
      <c r="U55" s="130"/>
      <c r="V55" s="131"/>
      <c r="W55" s="130"/>
      <c r="X55" s="131"/>
    </row>
    <row r="56" spans="1:24" x14ac:dyDescent="0.3">
      <c r="A56" s="126"/>
      <c r="B56" s="127"/>
      <c r="C56" s="127"/>
      <c r="D56" s="127"/>
      <c r="E56" s="126"/>
      <c r="F56" s="126"/>
      <c r="H56" s="135"/>
      <c r="I56" s="127"/>
      <c r="K56" s="127"/>
      <c r="L56" s="127"/>
      <c r="M56" s="127"/>
      <c r="N56" s="137"/>
      <c r="O56" s="130"/>
      <c r="P56" s="131"/>
      <c r="Q56" s="130"/>
      <c r="R56" s="131"/>
      <c r="S56" s="130"/>
      <c r="T56" s="131"/>
      <c r="U56" s="130"/>
      <c r="V56" s="131"/>
      <c r="W56" s="130"/>
      <c r="X56" s="131"/>
    </row>
    <row r="57" spans="1:24" x14ac:dyDescent="0.3">
      <c r="A57" s="126"/>
      <c r="B57" s="127"/>
      <c r="C57" s="127"/>
      <c r="D57" s="127"/>
      <c r="E57" s="126"/>
      <c r="F57" s="126"/>
      <c r="H57" s="135"/>
      <c r="I57" s="127"/>
      <c r="K57" s="127"/>
      <c r="L57" s="127"/>
      <c r="M57" s="127"/>
      <c r="N57" s="137"/>
      <c r="O57" s="130"/>
      <c r="P57" s="131"/>
      <c r="Q57" s="130"/>
      <c r="R57" s="131"/>
      <c r="S57" s="130"/>
      <c r="T57" s="131"/>
      <c r="U57" s="130"/>
      <c r="V57" s="131"/>
      <c r="W57" s="130"/>
      <c r="X57" s="131"/>
    </row>
    <row r="58" spans="1:24" x14ac:dyDescent="0.3">
      <c r="A58" s="126"/>
      <c r="B58" s="127"/>
      <c r="C58" s="127"/>
      <c r="D58" s="127"/>
      <c r="E58" s="126"/>
      <c r="F58" s="126"/>
      <c r="H58" s="135"/>
      <c r="I58" s="127"/>
      <c r="K58" s="127"/>
      <c r="L58" s="127"/>
      <c r="M58" s="127"/>
      <c r="N58" s="137"/>
      <c r="O58" s="130"/>
      <c r="P58" s="131"/>
      <c r="Q58" s="130"/>
      <c r="R58" s="131"/>
      <c r="S58" s="130"/>
      <c r="T58" s="131"/>
      <c r="U58" s="130"/>
      <c r="V58" s="131"/>
      <c r="W58" s="130"/>
      <c r="X58" s="131"/>
    </row>
    <row r="59" spans="1:24" x14ac:dyDescent="0.3">
      <c r="A59" s="126"/>
      <c r="B59" s="127"/>
      <c r="C59" s="127"/>
      <c r="D59" s="127"/>
      <c r="E59" s="126"/>
      <c r="F59" s="126"/>
      <c r="H59" s="135"/>
      <c r="I59" s="127"/>
      <c r="K59" s="127"/>
      <c r="L59" s="127"/>
      <c r="M59" s="127"/>
      <c r="N59" s="137"/>
      <c r="O59" s="130"/>
      <c r="P59" s="131"/>
      <c r="Q59" s="130"/>
      <c r="R59" s="131"/>
      <c r="S59" s="130"/>
      <c r="T59" s="131"/>
      <c r="U59" s="130"/>
      <c r="V59" s="131"/>
      <c r="W59" s="130"/>
      <c r="X59" s="131"/>
    </row>
    <row r="60" spans="1:24" x14ac:dyDescent="0.3">
      <c r="A60" s="126"/>
      <c r="B60" s="127"/>
      <c r="C60" s="127"/>
      <c r="D60" s="127"/>
      <c r="E60" s="126"/>
      <c r="F60" s="126"/>
      <c r="H60" s="135"/>
      <c r="I60" s="127"/>
      <c r="K60" s="127"/>
      <c r="L60" s="127"/>
      <c r="M60" s="127"/>
      <c r="N60" s="137"/>
      <c r="O60" s="130"/>
      <c r="P60" s="131"/>
      <c r="Q60" s="130"/>
      <c r="R60" s="131"/>
      <c r="S60" s="130"/>
      <c r="T60" s="131"/>
      <c r="U60" s="130"/>
      <c r="V60" s="131"/>
      <c r="W60" s="130"/>
      <c r="X60" s="131"/>
    </row>
    <row r="61" spans="1:24" x14ac:dyDescent="0.3">
      <c r="A61" s="126"/>
      <c r="B61" s="127"/>
      <c r="C61" s="127"/>
      <c r="D61" s="127"/>
      <c r="E61" s="126"/>
      <c r="F61" s="126"/>
      <c r="H61" s="135"/>
      <c r="I61" s="127"/>
      <c r="K61" s="127"/>
      <c r="L61" s="127"/>
      <c r="M61" s="127"/>
      <c r="N61" s="137"/>
      <c r="O61" s="130"/>
      <c r="P61" s="131"/>
      <c r="Q61" s="130"/>
      <c r="R61" s="131"/>
      <c r="S61" s="130"/>
      <c r="T61" s="131"/>
      <c r="U61" s="130"/>
      <c r="V61" s="131"/>
      <c r="W61" s="130"/>
      <c r="X61" s="131"/>
    </row>
    <row r="62" spans="1:24" x14ac:dyDescent="0.3">
      <c r="A62" s="126"/>
      <c r="B62" s="127"/>
      <c r="C62" s="127"/>
      <c r="D62" s="127"/>
      <c r="E62" s="126"/>
      <c r="F62" s="126"/>
      <c r="H62" s="135"/>
      <c r="I62" s="127"/>
      <c r="K62" s="127"/>
      <c r="L62" s="127"/>
      <c r="M62" s="127"/>
      <c r="N62" s="137"/>
      <c r="O62" s="130"/>
      <c r="P62" s="131"/>
      <c r="Q62" s="130"/>
      <c r="R62" s="131"/>
      <c r="S62" s="130"/>
      <c r="T62" s="131"/>
      <c r="U62" s="130"/>
      <c r="V62" s="131"/>
      <c r="W62" s="130"/>
      <c r="X62" s="131"/>
    </row>
    <row r="63" spans="1:24" x14ac:dyDescent="0.3">
      <c r="A63" s="126"/>
      <c r="B63" s="127"/>
      <c r="C63" s="127"/>
      <c r="D63" s="127"/>
      <c r="E63" s="126"/>
      <c r="F63" s="126"/>
      <c r="H63" s="135"/>
      <c r="I63" s="127"/>
      <c r="K63" s="127"/>
      <c r="L63" s="127"/>
      <c r="M63" s="127"/>
      <c r="N63" s="137"/>
      <c r="O63" s="130"/>
      <c r="P63" s="131"/>
      <c r="Q63" s="130"/>
      <c r="R63" s="131"/>
      <c r="S63" s="130"/>
      <c r="T63" s="131"/>
      <c r="U63" s="130"/>
      <c r="V63" s="131"/>
      <c r="W63" s="130"/>
      <c r="X63" s="131"/>
    </row>
    <row r="64" spans="1:24" x14ac:dyDescent="0.3">
      <c r="A64" s="126"/>
      <c r="B64" s="127"/>
      <c r="C64" s="127"/>
      <c r="D64" s="127"/>
      <c r="E64" s="126"/>
      <c r="F64" s="126"/>
      <c r="H64" s="135"/>
      <c r="I64" s="127"/>
      <c r="K64" s="127"/>
      <c r="L64" s="127"/>
      <c r="M64" s="127"/>
      <c r="N64" s="137"/>
      <c r="O64" s="130"/>
      <c r="P64" s="131"/>
      <c r="Q64" s="130"/>
      <c r="R64" s="131"/>
      <c r="S64" s="130"/>
      <c r="T64" s="131"/>
      <c r="U64" s="130"/>
      <c r="V64" s="131"/>
      <c r="W64" s="130"/>
      <c r="X64" s="131"/>
    </row>
    <row r="65" spans="1:24" x14ac:dyDescent="0.3">
      <c r="A65" s="126"/>
      <c r="B65" s="127"/>
      <c r="C65" s="127"/>
      <c r="D65" s="127"/>
      <c r="E65" s="126"/>
      <c r="F65" s="126"/>
      <c r="H65" s="135"/>
      <c r="I65" s="127"/>
      <c r="K65" s="127"/>
      <c r="L65" s="127"/>
      <c r="M65" s="127"/>
      <c r="N65" s="137"/>
      <c r="O65" s="130"/>
      <c r="P65" s="131"/>
      <c r="Q65" s="130"/>
      <c r="R65" s="131"/>
      <c r="S65" s="130"/>
      <c r="T65" s="131"/>
      <c r="U65" s="130"/>
      <c r="V65" s="131"/>
      <c r="W65" s="130"/>
      <c r="X65" s="131"/>
    </row>
    <row r="66" spans="1:24" x14ac:dyDescent="0.3">
      <c r="A66" s="126"/>
      <c r="B66" s="127"/>
      <c r="C66" s="127"/>
      <c r="D66" s="127"/>
      <c r="E66" s="126"/>
      <c r="F66" s="126"/>
      <c r="H66" s="135"/>
      <c r="I66" s="127"/>
      <c r="K66" s="127"/>
      <c r="L66" s="127"/>
      <c r="M66" s="127"/>
      <c r="N66" s="137"/>
      <c r="O66" s="130"/>
      <c r="P66" s="131"/>
      <c r="Q66" s="130"/>
      <c r="R66" s="131"/>
      <c r="S66" s="130"/>
      <c r="T66" s="131"/>
      <c r="U66" s="130"/>
      <c r="V66" s="131"/>
      <c r="W66" s="130"/>
      <c r="X66" s="131"/>
    </row>
    <row r="67" spans="1:24" x14ac:dyDescent="0.3">
      <c r="A67" s="126"/>
      <c r="B67" s="127"/>
      <c r="C67" s="127"/>
      <c r="D67" s="127"/>
      <c r="E67" s="126"/>
      <c r="F67" s="126"/>
      <c r="H67" s="135"/>
      <c r="I67" s="127"/>
      <c r="K67" s="127"/>
      <c r="L67" s="127"/>
      <c r="M67" s="127"/>
      <c r="N67" s="137"/>
      <c r="O67" s="130"/>
      <c r="P67" s="131"/>
      <c r="Q67" s="130"/>
      <c r="R67" s="131"/>
      <c r="S67" s="130"/>
      <c r="T67" s="131"/>
      <c r="U67" s="130"/>
      <c r="V67" s="131"/>
      <c r="W67" s="130"/>
      <c r="X67" s="131"/>
    </row>
    <row r="68" spans="1:24" x14ac:dyDescent="0.3">
      <c r="A68" s="126"/>
      <c r="B68" s="127"/>
      <c r="C68" s="127"/>
      <c r="D68" s="127"/>
      <c r="E68" s="126"/>
      <c r="F68" s="126"/>
      <c r="H68" s="135"/>
      <c r="I68" s="127"/>
      <c r="K68" s="127"/>
      <c r="L68" s="127"/>
      <c r="M68" s="127"/>
      <c r="N68" s="137"/>
      <c r="O68" s="130"/>
      <c r="P68" s="131"/>
      <c r="Q68" s="130"/>
      <c r="R68" s="131"/>
      <c r="S68" s="130"/>
      <c r="T68" s="131"/>
      <c r="U68" s="130"/>
      <c r="V68" s="131"/>
      <c r="W68" s="130"/>
      <c r="X68" s="131"/>
    </row>
    <row r="69" spans="1:24" x14ac:dyDescent="0.3">
      <c r="A69" s="126"/>
      <c r="B69" s="127"/>
      <c r="C69" s="127"/>
      <c r="D69" s="127"/>
      <c r="E69" s="126"/>
      <c r="F69" s="126"/>
      <c r="H69" s="135"/>
      <c r="I69" s="127"/>
      <c r="K69" s="127"/>
      <c r="L69" s="127"/>
      <c r="M69" s="127"/>
      <c r="N69" s="137"/>
      <c r="O69" s="130"/>
      <c r="P69" s="131"/>
      <c r="Q69" s="130"/>
      <c r="R69" s="131"/>
      <c r="S69" s="130"/>
      <c r="T69" s="131"/>
      <c r="U69" s="130"/>
      <c r="V69" s="131"/>
      <c r="W69" s="130"/>
      <c r="X69" s="131"/>
    </row>
    <row r="70" spans="1:24" x14ac:dyDescent="0.3">
      <c r="A70" s="126"/>
      <c r="B70" s="127"/>
      <c r="C70" s="127"/>
      <c r="D70" s="127"/>
      <c r="E70" s="126"/>
      <c r="F70" s="126"/>
      <c r="H70" s="135"/>
      <c r="I70" s="127"/>
      <c r="K70" s="127"/>
      <c r="L70" s="127"/>
      <c r="M70" s="127"/>
      <c r="N70" s="137"/>
      <c r="O70" s="130"/>
      <c r="P70" s="131"/>
      <c r="Q70" s="130"/>
      <c r="R70" s="131"/>
      <c r="S70" s="130"/>
      <c r="T70" s="131"/>
      <c r="U70" s="130"/>
      <c r="V70" s="131"/>
      <c r="W70" s="130"/>
      <c r="X70" s="131"/>
    </row>
    <row r="71" spans="1:24" x14ac:dyDescent="0.3">
      <c r="A71" s="126"/>
      <c r="B71" s="127"/>
      <c r="C71" s="127"/>
      <c r="D71" s="127"/>
      <c r="E71" s="126"/>
      <c r="F71" s="126"/>
      <c r="H71" s="135"/>
      <c r="I71" s="127"/>
      <c r="K71" s="127"/>
      <c r="L71" s="127"/>
      <c r="M71" s="127"/>
      <c r="N71" s="137"/>
      <c r="O71" s="130"/>
      <c r="P71" s="131"/>
      <c r="Q71" s="130"/>
      <c r="R71" s="131"/>
      <c r="S71" s="130"/>
      <c r="T71" s="131"/>
      <c r="U71" s="130"/>
      <c r="V71" s="131"/>
      <c r="W71" s="130"/>
      <c r="X71" s="131"/>
    </row>
    <row r="72" spans="1:24" x14ac:dyDescent="0.3">
      <c r="A72" s="126"/>
      <c r="B72" s="127"/>
      <c r="C72" s="127"/>
      <c r="D72" s="127"/>
      <c r="E72" s="126"/>
      <c r="F72" s="126"/>
      <c r="H72" s="135"/>
      <c r="I72" s="127"/>
      <c r="K72" s="127"/>
      <c r="L72" s="127"/>
      <c r="M72" s="127"/>
      <c r="N72" s="137"/>
      <c r="O72" s="130"/>
      <c r="P72" s="131"/>
      <c r="Q72" s="130"/>
      <c r="R72" s="131"/>
      <c r="S72" s="130"/>
      <c r="T72" s="131"/>
      <c r="U72" s="130"/>
      <c r="V72" s="131"/>
      <c r="W72" s="130"/>
      <c r="X72" s="131"/>
    </row>
    <row r="73" spans="1:24" x14ac:dyDescent="0.3">
      <c r="A73" s="126"/>
      <c r="B73" s="127"/>
      <c r="C73" s="127"/>
      <c r="D73" s="127"/>
      <c r="E73" s="126"/>
      <c r="F73" s="126"/>
      <c r="H73" s="135"/>
      <c r="I73" s="127"/>
      <c r="K73" s="127"/>
      <c r="L73" s="127"/>
      <c r="M73" s="127"/>
      <c r="N73" s="137"/>
      <c r="O73" s="130"/>
      <c r="P73" s="131"/>
      <c r="Q73" s="130"/>
      <c r="R73" s="131"/>
      <c r="S73" s="130"/>
      <c r="T73" s="131"/>
      <c r="U73" s="130"/>
      <c r="V73" s="131"/>
      <c r="W73" s="130"/>
      <c r="X73" s="131"/>
    </row>
    <row r="74" spans="1:24" x14ac:dyDescent="0.3">
      <c r="A74" s="126"/>
      <c r="B74" s="127"/>
      <c r="C74" s="127"/>
      <c r="D74" s="127"/>
      <c r="E74" s="126"/>
      <c r="F74" s="126"/>
      <c r="H74" s="135"/>
      <c r="I74" s="127"/>
      <c r="K74" s="127"/>
      <c r="L74" s="127"/>
      <c r="M74" s="127"/>
      <c r="N74" s="137"/>
      <c r="O74" s="130"/>
      <c r="P74" s="131"/>
      <c r="Q74" s="130"/>
      <c r="R74" s="131"/>
      <c r="S74" s="130"/>
      <c r="T74" s="131"/>
      <c r="U74" s="130"/>
      <c r="V74" s="131"/>
      <c r="W74" s="130"/>
      <c r="X74" s="131"/>
    </row>
    <row r="75" spans="1:24" x14ac:dyDescent="0.3">
      <c r="A75" s="126"/>
      <c r="B75" s="127"/>
      <c r="C75" s="127"/>
      <c r="D75" s="127"/>
      <c r="E75" s="126"/>
      <c r="F75" s="126"/>
      <c r="H75" s="135"/>
      <c r="I75" s="127"/>
      <c r="K75" s="127"/>
      <c r="L75" s="127"/>
      <c r="M75" s="127"/>
      <c r="N75" s="137"/>
      <c r="O75" s="130"/>
      <c r="P75" s="131"/>
      <c r="Q75" s="130"/>
      <c r="R75" s="131"/>
      <c r="S75" s="130"/>
      <c r="T75" s="131"/>
      <c r="U75" s="130"/>
      <c r="V75" s="131"/>
      <c r="W75" s="130"/>
      <c r="X75" s="131"/>
    </row>
    <row r="76" spans="1:24" x14ac:dyDescent="0.3">
      <c r="A76" s="126"/>
      <c r="B76" s="127"/>
      <c r="C76" s="127"/>
      <c r="D76" s="127"/>
      <c r="E76" s="126"/>
      <c r="F76" s="126"/>
      <c r="H76" s="135"/>
      <c r="I76" s="127"/>
      <c r="K76" s="127"/>
      <c r="L76" s="127"/>
      <c r="M76" s="127"/>
      <c r="N76" s="137"/>
      <c r="O76" s="130"/>
      <c r="P76" s="131"/>
      <c r="Q76" s="130"/>
      <c r="R76" s="131"/>
      <c r="S76" s="130"/>
      <c r="T76" s="131"/>
      <c r="U76" s="130"/>
      <c r="V76" s="131"/>
      <c r="W76" s="130"/>
      <c r="X76" s="131"/>
    </row>
    <row r="77" spans="1:24" x14ac:dyDescent="0.3">
      <c r="A77" s="126"/>
      <c r="B77" s="127"/>
      <c r="C77" s="127"/>
      <c r="D77" s="127"/>
      <c r="E77" s="126"/>
      <c r="F77" s="126"/>
      <c r="H77" s="135"/>
      <c r="I77" s="127"/>
      <c r="K77" s="127"/>
      <c r="L77" s="127"/>
      <c r="M77" s="127"/>
      <c r="N77" s="137"/>
      <c r="O77" s="130"/>
      <c r="P77" s="131"/>
      <c r="Q77" s="130"/>
      <c r="R77" s="131"/>
      <c r="S77" s="130"/>
      <c r="T77" s="131"/>
      <c r="U77" s="130"/>
      <c r="V77" s="131"/>
      <c r="W77" s="130"/>
      <c r="X77" s="131"/>
    </row>
    <row r="78" spans="1:24" x14ac:dyDescent="0.3">
      <c r="A78" s="126"/>
      <c r="B78" s="127"/>
      <c r="C78" s="127"/>
      <c r="D78" s="127"/>
      <c r="E78" s="126"/>
      <c r="F78" s="126"/>
      <c r="H78" s="135"/>
      <c r="I78" s="127"/>
      <c r="K78" s="127"/>
      <c r="L78" s="127"/>
      <c r="M78" s="127"/>
      <c r="N78" s="137"/>
      <c r="O78" s="130"/>
      <c r="P78" s="131"/>
      <c r="Q78" s="130"/>
      <c r="R78" s="131"/>
      <c r="S78" s="130"/>
      <c r="T78" s="131"/>
      <c r="U78" s="130"/>
      <c r="V78" s="131"/>
      <c r="W78" s="130"/>
      <c r="X78" s="131"/>
    </row>
    <row r="79" spans="1:24" x14ac:dyDescent="0.3">
      <c r="A79" s="126"/>
      <c r="B79" s="127"/>
      <c r="C79" s="127"/>
      <c r="D79" s="127"/>
      <c r="E79" s="126"/>
      <c r="F79" s="126"/>
      <c r="H79" s="135"/>
      <c r="I79" s="127"/>
      <c r="K79" s="127"/>
      <c r="L79" s="127"/>
      <c r="M79" s="127"/>
      <c r="N79" s="137"/>
      <c r="O79" s="130"/>
      <c r="P79" s="131"/>
      <c r="Q79" s="130"/>
      <c r="R79" s="131"/>
      <c r="S79" s="130"/>
      <c r="T79" s="131"/>
      <c r="U79" s="130"/>
      <c r="V79" s="131"/>
      <c r="W79" s="130"/>
      <c r="X79" s="131"/>
    </row>
    <row r="80" spans="1:24" x14ac:dyDescent="0.3">
      <c r="A80" s="126"/>
      <c r="B80" s="127"/>
      <c r="C80" s="127"/>
      <c r="D80" s="127"/>
      <c r="E80" s="126"/>
      <c r="F80" s="126"/>
      <c r="H80" s="135"/>
      <c r="I80" s="127"/>
      <c r="K80" s="127"/>
      <c r="L80" s="127"/>
      <c r="M80" s="127"/>
      <c r="N80" s="137"/>
      <c r="O80" s="130"/>
      <c r="P80" s="131"/>
      <c r="Q80" s="130"/>
      <c r="R80" s="131"/>
      <c r="S80" s="130"/>
      <c r="T80" s="131"/>
      <c r="U80" s="130"/>
      <c r="V80" s="131"/>
      <c r="W80" s="130"/>
      <c r="X80" s="131"/>
    </row>
    <row r="81" spans="1:24" x14ac:dyDescent="0.3">
      <c r="A81" s="126"/>
      <c r="B81" s="127"/>
      <c r="C81" s="127"/>
      <c r="D81" s="127"/>
      <c r="E81" s="126"/>
      <c r="F81" s="126"/>
      <c r="H81" s="135"/>
      <c r="I81" s="127"/>
      <c r="K81" s="127"/>
      <c r="L81" s="127"/>
      <c r="M81" s="127"/>
      <c r="N81" s="137"/>
      <c r="O81" s="130"/>
      <c r="P81" s="131"/>
      <c r="Q81" s="130"/>
      <c r="R81" s="131"/>
      <c r="S81" s="130"/>
      <c r="T81" s="131"/>
      <c r="U81" s="130"/>
      <c r="V81" s="131"/>
      <c r="W81" s="130"/>
      <c r="X81" s="131"/>
    </row>
    <row r="82" spans="1:24" x14ac:dyDescent="0.3">
      <c r="A82" s="126"/>
      <c r="B82" s="127"/>
      <c r="C82" s="127"/>
      <c r="D82" s="127"/>
      <c r="E82" s="126"/>
      <c r="F82" s="126"/>
      <c r="H82" s="135"/>
      <c r="I82" s="127"/>
      <c r="K82" s="127"/>
      <c r="L82" s="127"/>
      <c r="M82" s="127"/>
      <c r="N82" s="137"/>
      <c r="O82" s="130"/>
      <c r="P82" s="131"/>
      <c r="Q82" s="130"/>
      <c r="R82" s="131"/>
      <c r="S82" s="130"/>
      <c r="T82" s="131"/>
      <c r="U82" s="130"/>
      <c r="V82" s="131"/>
      <c r="W82" s="130"/>
      <c r="X82" s="131"/>
    </row>
    <row r="83" spans="1:24" x14ac:dyDescent="0.3">
      <c r="A83" s="126"/>
      <c r="B83" s="127"/>
      <c r="C83" s="127"/>
      <c r="D83" s="127"/>
      <c r="E83" s="126"/>
      <c r="F83" s="126"/>
      <c r="H83" s="135"/>
      <c r="I83" s="127"/>
      <c r="K83" s="127"/>
      <c r="L83" s="127"/>
      <c r="M83" s="127"/>
      <c r="N83" s="137"/>
      <c r="O83" s="130"/>
      <c r="P83" s="131"/>
      <c r="Q83" s="130"/>
      <c r="R83" s="131"/>
      <c r="S83" s="130"/>
      <c r="T83" s="131"/>
      <c r="U83" s="130"/>
      <c r="V83" s="131"/>
      <c r="W83" s="130"/>
      <c r="X83" s="131"/>
    </row>
    <row r="84" spans="1:24" x14ac:dyDescent="0.3">
      <c r="A84" s="126"/>
      <c r="B84" s="127"/>
      <c r="C84" s="127"/>
      <c r="D84" s="127"/>
      <c r="E84" s="126"/>
      <c r="F84" s="126"/>
      <c r="H84" s="135"/>
      <c r="I84" s="127"/>
      <c r="K84" s="127"/>
      <c r="L84" s="127"/>
      <c r="M84" s="127"/>
      <c r="N84" s="137"/>
      <c r="O84" s="130"/>
      <c r="P84" s="131"/>
      <c r="Q84" s="130"/>
      <c r="R84" s="131"/>
      <c r="S84" s="130"/>
      <c r="T84" s="131"/>
      <c r="U84" s="130"/>
      <c r="V84" s="131"/>
      <c r="W84" s="130"/>
      <c r="X84" s="131"/>
    </row>
    <row r="85" spans="1:24" x14ac:dyDescent="0.3">
      <c r="A85" s="126"/>
      <c r="B85" s="127"/>
      <c r="C85" s="127"/>
      <c r="D85" s="127"/>
      <c r="E85" s="126"/>
      <c r="F85" s="126"/>
      <c r="H85" s="135"/>
      <c r="I85" s="127"/>
      <c r="K85" s="127"/>
      <c r="L85" s="127"/>
      <c r="M85" s="127"/>
      <c r="N85" s="137"/>
      <c r="O85" s="130"/>
      <c r="P85" s="131"/>
      <c r="Q85" s="130"/>
      <c r="R85" s="131"/>
      <c r="S85" s="130"/>
      <c r="T85" s="131"/>
      <c r="U85" s="130"/>
      <c r="V85" s="131"/>
      <c r="W85" s="130"/>
      <c r="X85" s="131"/>
    </row>
    <row r="86" spans="1:24" x14ac:dyDescent="0.3">
      <c r="A86" s="126"/>
      <c r="B86" s="127"/>
      <c r="C86" s="127"/>
      <c r="D86" s="127"/>
      <c r="E86" s="126"/>
      <c r="F86" s="126"/>
      <c r="H86" s="135"/>
      <c r="I86" s="127"/>
      <c r="K86" s="127"/>
      <c r="L86" s="127"/>
      <c r="M86" s="127"/>
      <c r="N86" s="137"/>
      <c r="O86" s="130"/>
      <c r="P86" s="131"/>
      <c r="Q86" s="130"/>
      <c r="R86" s="131"/>
      <c r="S86" s="130"/>
      <c r="T86" s="131"/>
      <c r="U86" s="130"/>
      <c r="V86" s="131"/>
      <c r="W86" s="130"/>
      <c r="X86" s="131"/>
    </row>
    <row r="87" spans="1:24" x14ac:dyDescent="0.3">
      <c r="A87" s="126"/>
      <c r="B87" s="127"/>
      <c r="C87" s="127"/>
      <c r="D87" s="127"/>
      <c r="E87" s="126"/>
      <c r="F87" s="126"/>
      <c r="H87" s="135"/>
      <c r="I87" s="127"/>
      <c r="K87" s="127"/>
      <c r="L87" s="127"/>
      <c r="M87" s="127"/>
      <c r="N87" s="137"/>
      <c r="O87" s="130"/>
      <c r="P87" s="131"/>
      <c r="Q87" s="130"/>
      <c r="R87" s="131"/>
      <c r="S87" s="130"/>
      <c r="T87" s="131"/>
      <c r="U87" s="130"/>
      <c r="V87" s="131"/>
      <c r="W87" s="130"/>
      <c r="X87" s="131"/>
    </row>
    <row r="88" spans="1:24" x14ac:dyDescent="0.3">
      <c r="A88" s="126"/>
      <c r="B88" s="127"/>
      <c r="C88" s="127"/>
      <c r="D88" s="127"/>
      <c r="E88" s="126"/>
      <c r="F88" s="126"/>
      <c r="H88" s="135"/>
      <c r="I88" s="127"/>
      <c r="K88" s="127"/>
      <c r="L88" s="127"/>
      <c r="M88" s="127"/>
      <c r="N88" s="137"/>
      <c r="O88" s="130"/>
      <c r="P88" s="131"/>
      <c r="Q88" s="130"/>
      <c r="R88" s="131"/>
      <c r="S88" s="130"/>
      <c r="T88" s="131"/>
      <c r="U88" s="130"/>
      <c r="V88" s="131"/>
      <c r="W88" s="130"/>
      <c r="X88" s="131"/>
    </row>
    <row r="89" spans="1:24" x14ac:dyDescent="0.3">
      <c r="A89" s="126"/>
      <c r="B89" s="127"/>
      <c r="C89" s="127"/>
      <c r="D89" s="127"/>
      <c r="E89" s="126"/>
      <c r="F89" s="126"/>
      <c r="H89" s="135"/>
      <c r="I89" s="127"/>
      <c r="K89" s="127"/>
      <c r="L89" s="127"/>
      <c r="M89" s="127"/>
      <c r="N89" s="137"/>
      <c r="O89" s="130"/>
      <c r="P89" s="131"/>
      <c r="Q89" s="130"/>
      <c r="R89" s="131"/>
      <c r="S89" s="130"/>
      <c r="T89" s="131"/>
      <c r="U89" s="130"/>
      <c r="V89" s="131"/>
      <c r="W89" s="130"/>
      <c r="X89" s="131"/>
    </row>
    <row r="90" spans="1:24" x14ac:dyDescent="0.3">
      <c r="A90" s="126"/>
      <c r="B90" s="127"/>
      <c r="C90" s="127"/>
      <c r="D90" s="127"/>
      <c r="E90" s="126"/>
      <c r="F90" s="126"/>
      <c r="H90" s="135"/>
      <c r="I90" s="127"/>
      <c r="K90" s="127"/>
      <c r="L90" s="127"/>
      <c r="M90" s="127"/>
      <c r="N90" s="137"/>
      <c r="O90" s="130"/>
      <c r="P90" s="131"/>
      <c r="Q90" s="130"/>
      <c r="R90" s="131"/>
      <c r="S90" s="130"/>
      <c r="T90" s="131"/>
      <c r="U90" s="130"/>
      <c r="V90" s="131"/>
      <c r="W90" s="130"/>
      <c r="X90" s="131"/>
    </row>
    <row r="91" spans="1:24" x14ac:dyDescent="0.3">
      <c r="A91" s="126"/>
      <c r="B91" s="127"/>
      <c r="C91" s="127"/>
      <c r="D91" s="127"/>
      <c r="E91" s="126"/>
      <c r="F91" s="126"/>
      <c r="H91" s="135"/>
      <c r="I91" s="127"/>
      <c r="K91" s="127"/>
      <c r="L91" s="127"/>
      <c r="M91" s="127"/>
      <c r="N91" s="137"/>
      <c r="O91" s="130"/>
      <c r="P91" s="131"/>
      <c r="Q91" s="130"/>
      <c r="R91" s="131"/>
      <c r="S91" s="130"/>
      <c r="T91" s="131"/>
      <c r="U91" s="130"/>
      <c r="V91" s="131"/>
      <c r="W91" s="130"/>
      <c r="X91" s="131"/>
    </row>
    <row r="92" spans="1:24" x14ac:dyDescent="0.3">
      <c r="A92" s="126"/>
      <c r="B92" s="127"/>
      <c r="C92" s="127"/>
      <c r="D92" s="127"/>
      <c r="E92" s="126"/>
      <c r="F92" s="126"/>
      <c r="H92" s="135"/>
      <c r="I92" s="127"/>
      <c r="K92" s="127"/>
      <c r="L92" s="127"/>
      <c r="M92" s="127"/>
      <c r="N92" s="137"/>
      <c r="O92" s="130"/>
      <c r="P92" s="131"/>
      <c r="Q92" s="130"/>
      <c r="R92" s="131"/>
      <c r="S92" s="130"/>
      <c r="T92" s="131"/>
      <c r="U92" s="130"/>
      <c r="V92" s="131"/>
      <c r="W92" s="130"/>
      <c r="X92" s="131"/>
    </row>
    <row r="93" spans="1:24" x14ac:dyDescent="0.3">
      <c r="A93" s="126"/>
      <c r="B93" s="127"/>
      <c r="C93" s="127"/>
      <c r="D93" s="127"/>
      <c r="E93" s="126"/>
      <c r="F93" s="126"/>
      <c r="H93" s="135"/>
      <c r="I93" s="127"/>
      <c r="K93" s="127"/>
      <c r="L93" s="127"/>
      <c r="M93" s="127"/>
      <c r="N93" s="137"/>
      <c r="O93" s="130"/>
      <c r="P93" s="131"/>
      <c r="Q93" s="130"/>
      <c r="R93" s="131"/>
      <c r="S93" s="130"/>
      <c r="T93" s="131"/>
      <c r="U93" s="130"/>
      <c r="V93" s="131"/>
      <c r="W93" s="130"/>
      <c r="X93" s="131"/>
    </row>
    <row r="94" spans="1:24" x14ac:dyDescent="0.3">
      <c r="A94" s="126"/>
      <c r="B94" s="127"/>
      <c r="C94" s="127"/>
      <c r="D94" s="127"/>
      <c r="E94" s="126"/>
      <c r="F94" s="126"/>
      <c r="H94" s="135"/>
      <c r="I94" s="127"/>
      <c r="K94" s="127"/>
      <c r="L94" s="127"/>
      <c r="M94" s="127"/>
      <c r="N94" s="137"/>
      <c r="O94" s="130"/>
      <c r="P94" s="131"/>
      <c r="Q94" s="130"/>
      <c r="R94" s="131"/>
      <c r="S94" s="130"/>
      <c r="T94" s="131"/>
      <c r="U94" s="130"/>
      <c r="V94" s="131"/>
      <c r="W94" s="130"/>
      <c r="X94" s="131"/>
    </row>
    <row r="95" spans="1:24" x14ac:dyDescent="0.3">
      <c r="A95" s="126"/>
      <c r="B95" s="127"/>
      <c r="C95" s="127"/>
      <c r="D95" s="127"/>
      <c r="E95" s="126"/>
      <c r="F95" s="126"/>
      <c r="H95" s="135"/>
      <c r="I95" s="127"/>
      <c r="K95" s="127"/>
      <c r="L95" s="127"/>
      <c r="M95" s="127"/>
      <c r="N95" s="137"/>
      <c r="O95" s="130"/>
      <c r="P95" s="131"/>
      <c r="Q95" s="130"/>
      <c r="R95" s="131"/>
      <c r="S95" s="130"/>
      <c r="T95" s="131"/>
      <c r="U95" s="130"/>
      <c r="V95" s="131"/>
      <c r="W95" s="130"/>
      <c r="X95" s="131"/>
    </row>
    <row r="96" spans="1:24" x14ac:dyDescent="0.3">
      <c r="A96" s="126"/>
      <c r="B96" s="127"/>
      <c r="C96" s="127"/>
      <c r="D96" s="127"/>
      <c r="E96" s="126"/>
      <c r="F96" s="126"/>
      <c r="H96" s="135"/>
      <c r="I96" s="127"/>
      <c r="K96" s="127"/>
      <c r="L96" s="127"/>
      <c r="M96" s="127"/>
      <c r="N96" s="137"/>
      <c r="O96" s="130"/>
      <c r="P96" s="131"/>
      <c r="Q96" s="130"/>
      <c r="R96" s="131"/>
      <c r="S96" s="130"/>
      <c r="T96" s="131"/>
      <c r="U96" s="130"/>
      <c r="V96" s="131"/>
      <c r="W96" s="130"/>
      <c r="X96" s="131"/>
    </row>
    <row r="97" spans="1:24" x14ac:dyDescent="0.3">
      <c r="A97" s="126"/>
      <c r="B97" s="127"/>
      <c r="C97" s="127"/>
      <c r="D97" s="127"/>
      <c r="E97" s="126"/>
      <c r="F97" s="126"/>
      <c r="H97" s="135"/>
      <c r="I97" s="127"/>
      <c r="K97" s="127"/>
      <c r="L97" s="127"/>
      <c r="M97" s="127"/>
      <c r="N97" s="137"/>
      <c r="O97" s="130"/>
      <c r="P97" s="131"/>
      <c r="Q97" s="130"/>
      <c r="R97" s="131"/>
      <c r="S97" s="130"/>
      <c r="T97" s="131"/>
      <c r="U97" s="130"/>
      <c r="V97" s="131"/>
      <c r="W97" s="130"/>
      <c r="X97" s="131"/>
    </row>
    <row r="98" spans="1:24" x14ac:dyDescent="0.3">
      <c r="A98" s="126"/>
      <c r="B98" s="127"/>
      <c r="C98" s="127"/>
      <c r="D98" s="127"/>
      <c r="E98" s="126"/>
      <c r="F98" s="126"/>
      <c r="H98" s="135"/>
      <c r="I98" s="127"/>
      <c r="K98" s="127"/>
      <c r="L98" s="127"/>
      <c r="M98" s="127"/>
      <c r="N98" s="137"/>
      <c r="O98" s="130"/>
      <c r="P98" s="131"/>
      <c r="Q98" s="130"/>
      <c r="R98" s="131"/>
      <c r="S98" s="130"/>
      <c r="T98" s="131"/>
      <c r="U98" s="130"/>
      <c r="V98" s="131"/>
      <c r="W98" s="130"/>
      <c r="X98" s="131"/>
    </row>
    <row r="99" spans="1:24" x14ac:dyDescent="0.3">
      <c r="A99" s="126"/>
      <c r="B99" s="127"/>
      <c r="C99" s="127"/>
      <c r="D99" s="127"/>
      <c r="E99" s="126"/>
      <c r="F99" s="126"/>
      <c r="H99" s="135"/>
      <c r="I99" s="127"/>
      <c r="K99" s="127"/>
      <c r="L99" s="127"/>
      <c r="M99" s="127"/>
      <c r="N99" s="137"/>
      <c r="O99" s="130"/>
      <c r="P99" s="131"/>
      <c r="Q99" s="130"/>
      <c r="R99" s="131"/>
      <c r="S99" s="130"/>
      <c r="T99" s="131"/>
      <c r="U99" s="130"/>
      <c r="V99" s="131"/>
      <c r="W99" s="130"/>
      <c r="X99" s="131"/>
    </row>
    <row r="100" spans="1:24" x14ac:dyDescent="0.3">
      <c r="A100" s="126"/>
      <c r="B100" s="127"/>
      <c r="C100" s="127"/>
      <c r="D100" s="127"/>
      <c r="E100" s="126"/>
      <c r="F100" s="126"/>
      <c r="H100" s="135"/>
      <c r="I100" s="127"/>
      <c r="K100" s="127"/>
      <c r="L100" s="127"/>
      <c r="M100" s="127"/>
      <c r="N100" s="137"/>
      <c r="O100" s="130"/>
      <c r="P100" s="131"/>
      <c r="Q100" s="130"/>
      <c r="R100" s="131"/>
      <c r="S100" s="130"/>
      <c r="T100" s="131"/>
      <c r="U100" s="130"/>
      <c r="V100" s="131"/>
      <c r="W100" s="130"/>
      <c r="X100" s="131"/>
    </row>
    <row r="101" spans="1:24" x14ac:dyDescent="0.3">
      <c r="A101" s="126"/>
      <c r="B101" s="127"/>
      <c r="C101" s="127"/>
      <c r="D101" s="127"/>
      <c r="E101" s="126"/>
      <c r="F101" s="126"/>
      <c r="H101" s="135"/>
      <c r="I101" s="127"/>
      <c r="K101" s="127"/>
      <c r="L101" s="127"/>
      <c r="M101" s="127"/>
      <c r="N101" s="137"/>
      <c r="O101" s="130"/>
      <c r="P101" s="131"/>
      <c r="Q101" s="130"/>
      <c r="R101" s="131"/>
      <c r="S101" s="130"/>
      <c r="T101" s="131"/>
      <c r="U101" s="130"/>
      <c r="V101" s="131"/>
      <c r="W101" s="130"/>
      <c r="X101" s="131"/>
    </row>
    <row r="102" spans="1:24" x14ac:dyDescent="0.3">
      <c r="A102" s="126"/>
      <c r="B102" s="127"/>
      <c r="C102" s="127"/>
      <c r="D102" s="127"/>
      <c r="E102" s="126"/>
      <c r="F102" s="126"/>
      <c r="H102" s="135"/>
      <c r="I102" s="127"/>
      <c r="K102" s="127"/>
      <c r="L102" s="127"/>
      <c r="M102" s="127"/>
      <c r="N102" s="137"/>
      <c r="O102" s="130"/>
      <c r="P102" s="131"/>
      <c r="Q102" s="130"/>
      <c r="R102" s="131"/>
      <c r="S102" s="130"/>
      <c r="T102" s="131"/>
      <c r="U102" s="130"/>
      <c r="V102" s="131"/>
      <c r="W102" s="130"/>
      <c r="X102" s="131"/>
    </row>
    <row r="103" spans="1:24" x14ac:dyDescent="0.3">
      <c r="A103" s="126"/>
      <c r="B103" s="127"/>
      <c r="C103" s="127"/>
      <c r="D103" s="127"/>
      <c r="E103" s="126"/>
      <c r="F103" s="126"/>
      <c r="H103" s="135"/>
      <c r="I103" s="127"/>
      <c r="K103" s="127"/>
      <c r="L103" s="127"/>
      <c r="M103" s="127"/>
      <c r="N103" s="137"/>
      <c r="O103" s="130"/>
      <c r="P103" s="131"/>
      <c r="Q103" s="130"/>
      <c r="R103" s="131"/>
      <c r="S103" s="130"/>
      <c r="T103" s="131"/>
      <c r="U103" s="130"/>
      <c r="V103" s="131"/>
      <c r="W103" s="130"/>
      <c r="X103" s="131"/>
    </row>
    <row r="104" spans="1:24" x14ac:dyDescent="0.3">
      <c r="A104" s="126"/>
      <c r="B104" s="127"/>
      <c r="C104" s="127"/>
      <c r="D104" s="127"/>
      <c r="E104" s="126"/>
      <c r="F104" s="126"/>
      <c r="H104" s="135"/>
      <c r="I104" s="127"/>
      <c r="K104" s="127"/>
      <c r="L104" s="127"/>
      <c r="M104" s="127"/>
      <c r="N104" s="137"/>
      <c r="O104" s="130"/>
      <c r="P104" s="131"/>
      <c r="Q104" s="130"/>
      <c r="R104" s="131"/>
      <c r="S104" s="130"/>
      <c r="T104" s="131"/>
      <c r="U104" s="130"/>
      <c r="V104" s="131"/>
      <c r="W104" s="130"/>
      <c r="X104" s="131"/>
    </row>
    <row r="105" spans="1:24" x14ac:dyDescent="0.3">
      <c r="A105" s="126"/>
      <c r="B105" s="127"/>
      <c r="C105" s="127"/>
      <c r="D105" s="127"/>
      <c r="E105" s="126"/>
      <c r="F105" s="126"/>
      <c r="H105" s="135"/>
      <c r="I105" s="127"/>
      <c r="K105" s="127"/>
      <c r="L105" s="127"/>
      <c r="M105" s="127"/>
      <c r="N105" s="137"/>
      <c r="O105" s="130"/>
      <c r="P105" s="131"/>
      <c r="Q105" s="130"/>
      <c r="R105" s="131"/>
      <c r="S105" s="130"/>
      <c r="T105" s="131"/>
      <c r="U105" s="130"/>
      <c r="V105" s="131"/>
      <c r="W105" s="130"/>
      <c r="X105" s="131"/>
    </row>
    <row r="106" spans="1:24" x14ac:dyDescent="0.3">
      <c r="A106" s="126"/>
      <c r="B106" s="127"/>
      <c r="C106" s="127"/>
      <c r="D106" s="127"/>
      <c r="E106" s="126"/>
      <c r="F106" s="126"/>
      <c r="H106" s="135"/>
      <c r="I106" s="127"/>
      <c r="K106" s="127"/>
      <c r="L106" s="127"/>
      <c r="M106" s="127"/>
      <c r="N106" s="137"/>
      <c r="O106" s="130"/>
      <c r="P106" s="131"/>
      <c r="Q106" s="130"/>
      <c r="R106" s="131"/>
      <c r="S106" s="130"/>
      <c r="T106" s="131"/>
      <c r="U106" s="130"/>
      <c r="V106" s="131"/>
      <c r="W106" s="130"/>
      <c r="X106" s="131"/>
    </row>
    <row r="107" spans="1:24" x14ac:dyDescent="0.3">
      <c r="A107" s="126"/>
      <c r="B107" s="127"/>
      <c r="C107" s="127"/>
      <c r="D107" s="127"/>
      <c r="E107" s="126"/>
      <c r="F107" s="126"/>
      <c r="H107" s="135"/>
      <c r="I107" s="127"/>
      <c r="K107" s="127"/>
      <c r="L107" s="127"/>
      <c r="M107" s="127"/>
      <c r="N107" s="137"/>
      <c r="O107" s="130"/>
      <c r="P107" s="131"/>
      <c r="Q107" s="130"/>
      <c r="R107" s="131"/>
      <c r="S107" s="130"/>
      <c r="T107" s="131"/>
      <c r="U107" s="130"/>
      <c r="V107" s="131"/>
      <c r="W107" s="130"/>
      <c r="X107" s="131"/>
    </row>
    <row r="108" spans="1:24" x14ac:dyDescent="0.3">
      <c r="A108" s="126"/>
      <c r="B108" s="127"/>
      <c r="C108" s="127"/>
      <c r="D108" s="127"/>
      <c r="E108" s="126"/>
      <c r="F108" s="126"/>
      <c r="H108" s="135"/>
      <c r="I108" s="127"/>
      <c r="K108" s="127"/>
      <c r="L108" s="127"/>
      <c r="M108" s="127"/>
      <c r="N108" s="137"/>
      <c r="O108" s="130"/>
      <c r="P108" s="131"/>
      <c r="Q108" s="130"/>
      <c r="R108" s="131"/>
      <c r="S108" s="130"/>
      <c r="T108" s="131"/>
      <c r="U108" s="130"/>
      <c r="V108" s="131"/>
      <c r="W108" s="130"/>
      <c r="X108" s="131"/>
    </row>
    <row r="109" spans="1:24" x14ac:dyDescent="0.3">
      <c r="A109" s="126"/>
      <c r="B109" s="127"/>
      <c r="C109" s="127"/>
      <c r="D109" s="127"/>
      <c r="E109" s="126"/>
      <c r="F109" s="126"/>
      <c r="H109" s="135"/>
      <c r="I109" s="127"/>
      <c r="K109" s="127"/>
      <c r="L109" s="127"/>
      <c r="M109" s="127"/>
      <c r="N109" s="137"/>
      <c r="O109" s="130"/>
      <c r="P109" s="131"/>
      <c r="Q109" s="130"/>
      <c r="R109" s="131"/>
      <c r="S109" s="130"/>
      <c r="T109" s="131"/>
      <c r="U109" s="130"/>
      <c r="V109" s="131"/>
      <c r="W109" s="130"/>
      <c r="X109" s="131"/>
    </row>
    <row r="110" spans="1:24" x14ac:dyDescent="0.3">
      <c r="A110" s="126"/>
      <c r="B110" s="127"/>
      <c r="C110" s="127"/>
      <c r="D110" s="127"/>
      <c r="E110" s="126"/>
      <c r="F110" s="126"/>
      <c r="H110" s="135"/>
      <c r="I110" s="127"/>
      <c r="K110" s="127"/>
      <c r="L110" s="127"/>
      <c r="M110" s="127"/>
      <c r="N110" s="137"/>
      <c r="O110" s="130"/>
      <c r="P110" s="131"/>
      <c r="Q110" s="130"/>
      <c r="R110" s="131"/>
      <c r="S110" s="130"/>
      <c r="T110" s="131"/>
      <c r="U110" s="130"/>
      <c r="V110" s="131"/>
      <c r="W110" s="130"/>
      <c r="X110" s="131"/>
    </row>
    <row r="111" spans="1:24" x14ac:dyDescent="0.3">
      <c r="A111" s="126"/>
      <c r="B111" s="127"/>
      <c r="C111" s="127"/>
      <c r="D111" s="127"/>
      <c r="E111" s="126"/>
      <c r="F111" s="126"/>
      <c r="H111" s="135"/>
      <c r="I111" s="127"/>
      <c r="K111" s="127"/>
      <c r="L111" s="127"/>
      <c r="M111" s="127"/>
      <c r="N111" s="137"/>
      <c r="O111" s="130"/>
      <c r="P111" s="131"/>
      <c r="Q111" s="130"/>
      <c r="R111" s="131"/>
      <c r="S111" s="130"/>
      <c r="T111" s="131"/>
      <c r="U111" s="130"/>
      <c r="V111" s="131"/>
      <c r="W111" s="130"/>
      <c r="X111" s="131"/>
    </row>
    <row r="112" spans="1:24" x14ac:dyDescent="0.3">
      <c r="A112" s="126"/>
      <c r="B112" s="127"/>
      <c r="C112" s="127"/>
      <c r="D112" s="127"/>
      <c r="E112" s="126"/>
      <c r="F112" s="126"/>
      <c r="H112" s="135"/>
      <c r="I112" s="127"/>
      <c r="K112" s="127"/>
      <c r="L112" s="127"/>
      <c r="M112" s="127"/>
      <c r="N112" s="137"/>
      <c r="O112" s="130"/>
      <c r="P112" s="131"/>
      <c r="Q112" s="130"/>
      <c r="R112" s="131"/>
      <c r="S112" s="130"/>
      <c r="T112" s="131"/>
      <c r="U112" s="130"/>
      <c r="V112" s="131"/>
      <c r="W112" s="130"/>
      <c r="X112" s="131"/>
    </row>
    <row r="113" spans="1:24" x14ac:dyDescent="0.3">
      <c r="A113" s="126"/>
      <c r="B113" s="127"/>
      <c r="C113" s="127"/>
      <c r="D113" s="127"/>
      <c r="E113" s="126"/>
      <c r="F113" s="126"/>
      <c r="H113" s="135"/>
      <c r="I113" s="127"/>
      <c r="K113" s="127"/>
      <c r="L113" s="127"/>
      <c r="M113" s="127"/>
      <c r="N113" s="137"/>
      <c r="O113" s="130"/>
      <c r="P113" s="131"/>
      <c r="Q113" s="130"/>
      <c r="R113" s="131"/>
      <c r="S113" s="130"/>
      <c r="T113" s="131"/>
      <c r="U113" s="130"/>
      <c r="V113" s="131"/>
      <c r="W113" s="130"/>
      <c r="X113" s="131"/>
    </row>
    <row r="114" spans="1:24" x14ac:dyDescent="0.3">
      <c r="A114" s="126"/>
      <c r="B114" s="127"/>
      <c r="C114" s="127"/>
      <c r="D114" s="127"/>
      <c r="E114" s="126"/>
      <c r="F114" s="126"/>
      <c r="H114" s="135"/>
      <c r="I114" s="127"/>
      <c r="K114" s="127"/>
      <c r="L114" s="127"/>
      <c r="M114" s="127"/>
      <c r="N114" s="137"/>
      <c r="O114" s="130"/>
      <c r="P114" s="131"/>
      <c r="Q114" s="130"/>
      <c r="R114" s="131"/>
      <c r="S114" s="130"/>
      <c r="T114" s="131"/>
      <c r="U114" s="130"/>
      <c r="V114" s="131"/>
      <c r="W114" s="130"/>
      <c r="X114" s="131"/>
    </row>
    <row r="115" spans="1:24" x14ac:dyDescent="0.3">
      <c r="A115" s="126"/>
      <c r="B115" s="127"/>
      <c r="C115" s="127"/>
      <c r="D115" s="127"/>
      <c r="E115" s="126"/>
      <c r="F115" s="126"/>
      <c r="H115" s="135"/>
      <c r="I115" s="127"/>
      <c r="K115" s="127"/>
      <c r="L115" s="127"/>
      <c r="M115" s="127"/>
      <c r="N115" s="137"/>
      <c r="O115" s="130"/>
      <c r="P115" s="131"/>
      <c r="Q115" s="130"/>
      <c r="R115" s="131"/>
      <c r="S115" s="130"/>
      <c r="T115" s="131"/>
      <c r="U115" s="130"/>
      <c r="V115" s="131"/>
      <c r="W115" s="130"/>
      <c r="X115" s="131"/>
    </row>
    <row r="116" spans="1:24" x14ac:dyDescent="0.3">
      <c r="A116" s="126"/>
      <c r="B116" s="127"/>
      <c r="C116" s="127"/>
      <c r="D116" s="127"/>
      <c r="E116" s="126"/>
      <c r="F116" s="126"/>
      <c r="H116" s="135"/>
      <c r="I116" s="127"/>
      <c r="K116" s="127"/>
      <c r="L116" s="127"/>
      <c r="M116" s="127"/>
      <c r="N116" s="137"/>
      <c r="O116" s="130"/>
      <c r="P116" s="131"/>
      <c r="Q116" s="130"/>
      <c r="R116" s="131"/>
      <c r="S116" s="130"/>
      <c r="T116" s="131"/>
      <c r="U116" s="130"/>
      <c r="V116" s="131"/>
      <c r="W116" s="130"/>
      <c r="X116" s="131"/>
    </row>
    <row r="117" spans="1:24" x14ac:dyDescent="0.3">
      <c r="A117" s="126"/>
      <c r="B117" s="127"/>
      <c r="C117" s="127"/>
      <c r="D117" s="127"/>
      <c r="E117" s="126"/>
      <c r="F117" s="126"/>
      <c r="H117" s="135"/>
      <c r="I117" s="127"/>
      <c r="K117" s="127"/>
      <c r="L117" s="127"/>
      <c r="M117" s="127"/>
      <c r="N117" s="137"/>
      <c r="O117" s="130"/>
      <c r="P117" s="131"/>
      <c r="Q117" s="130"/>
      <c r="R117" s="131"/>
      <c r="S117" s="130"/>
      <c r="T117" s="131"/>
      <c r="U117" s="130"/>
      <c r="V117" s="131"/>
      <c r="W117" s="130"/>
      <c r="X117" s="131"/>
    </row>
    <row r="118" spans="1:24" x14ac:dyDescent="0.3">
      <c r="A118" s="126"/>
      <c r="B118" s="127"/>
      <c r="C118" s="127"/>
      <c r="D118" s="127"/>
      <c r="E118" s="126"/>
      <c r="F118" s="126"/>
      <c r="H118" s="135"/>
      <c r="I118" s="127"/>
      <c r="K118" s="127"/>
      <c r="L118" s="127"/>
      <c r="M118" s="127"/>
      <c r="N118" s="137"/>
      <c r="O118" s="130"/>
      <c r="P118" s="131"/>
      <c r="Q118" s="130"/>
      <c r="R118" s="131"/>
      <c r="S118" s="130"/>
      <c r="T118" s="131"/>
      <c r="U118" s="130"/>
      <c r="V118" s="131"/>
      <c r="W118" s="130"/>
      <c r="X118" s="131"/>
    </row>
    <row r="119" spans="1:24" x14ac:dyDescent="0.3">
      <c r="A119" s="126"/>
      <c r="B119" s="127"/>
      <c r="C119" s="127"/>
      <c r="D119" s="127"/>
      <c r="E119" s="126"/>
      <c r="F119" s="126"/>
      <c r="H119" s="135"/>
      <c r="I119" s="127"/>
      <c r="K119" s="127"/>
      <c r="L119" s="127"/>
      <c r="M119" s="127"/>
      <c r="N119" s="137"/>
      <c r="O119" s="130"/>
      <c r="P119" s="131"/>
      <c r="Q119" s="130"/>
      <c r="R119" s="131"/>
      <c r="S119" s="130"/>
      <c r="T119" s="131"/>
      <c r="U119" s="130"/>
      <c r="V119" s="131"/>
      <c r="W119" s="130"/>
      <c r="X119" s="131"/>
    </row>
    <row r="120" spans="1:24" x14ac:dyDescent="0.3">
      <c r="A120" s="126"/>
      <c r="B120" s="127"/>
      <c r="C120" s="127"/>
      <c r="D120" s="127"/>
      <c r="E120" s="126"/>
      <c r="F120" s="126"/>
      <c r="H120" s="135"/>
      <c r="I120" s="127"/>
      <c r="K120" s="127"/>
      <c r="L120" s="127"/>
      <c r="M120" s="127"/>
      <c r="N120" s="137"/>
      <c r="O120" s="130"/>
      <c r="P120" s="131"/>
      <c r="Q120" s="130"/>
      <c r="R120" s="131"/>
      <c r="S120" s="130"/>
      <c r="T120" s="131"/>
      <c r="U120" s="130"/>
      <c r="V120" s="131"/>
      <c r="W120" s="130"/>
      <c r="X120" s="131"/>
    </row>
    <row r="121" spans="1:24" x14ac:dyDescent="0.3">
      <c r="A121" s="126"/>
      <c r="B121" s="127"/>
      <c r="C121" s="127"/>
      <c r="D121" s="127"/>
      <c r="E121" s="126"/>
      <c r="F121" s="126"/>
      <c r="H121" s="135"/>
      <c r="I121" s="127"/>
      <c r="K121" s="127"/>
      <c r="L121" s="127"/>
      <c r="M121" s="127"/>
      <c r="N121" s="137"/>
      <c r="O121" s="130"/>
      <c r="P121" s="131"/>
      <c r="Q121" s="130"/>
      <c r="R121" s="131"/>
      <c r="S121" s="130"/>
      <c r="T121" s="131"/>
      <c r="U121" s="130"/>
      <c r="V121" s="131"/>
      <c r="W121" s="130"/>
      <c r="X121" s="131"/>
    </row>
    <row r="122" spans="1:24" x14ac:dyDescent="0.3">
      <c r="A122" s="126"/>
      <c r="B122" s="127"/>
      <c r="C122" s="127"/>
      <c r="D122" s="127"/>
      <c r="E122" s="126"/>
      <c r="F122" s="126"/>
      <c r="H122" s="135"/>
      <c r="I122" s="127"/>
      <c r="K122" s="127"/>
      <c r="L122" s="127"/>
      <c r="M122" s="127"/>
      <c r="N122" s="137"/>
      <c r="O122" s="130"/>
      <c r="P122" s="131"/>
      <c r="Q122" s="130"/>
      <c r="R122" s="131"/>
      <c r="S122" s="130"/>
      <c r="T122" s="131"/>
      <c r="U122" s="130"/>
      <c r="V122" s="131"/>
      <c r="W122" s="130"/>
      <c r="X122" s="131"/>
    </row>
    <row r="123" spans="1:24" x14ac:dyDescent="0.3">
      <c r="A123" s="126"/>
      <c r="B123" s="127"/>
      <c r="C123" s="127"/>
      <c r="D123" s="127"/>
      <c r="E123" s="126"/>
      <c r="F123" s="126"/>
      <c r="H123" s="135"/>
      <c r="I123" s="127"/>
      <c r="K123" s="127"/>
      <c r="L123" s="127"/>
      <c r="M123" s="127"/>
      <c r="N123" s="137"/>
      <c r="O123" s="130"/>
      <c r="P123" s="131"/>
      <c r="Q123" s="130"/>
      <c r="R123" s="131"/>
      <c r="S123" s="130"/>
      <c r="T123" s="131"/>
      <c r="U123" s="130"/>
      <c r="V123" s="131"/>
      <c r="W123" s="130"/>
      <c r="X123" s="131"/>
    </row>
    <row r="124" spans="1:24" x14ac:dyDescent="0.3">
      <c r="A124" s="126"/>
      <c r="B124" s="127"/>
      <c r="C124" s="127"/>
      <c r="D124" s="127"/>
      <c r="E124" s="126"/>
      <c r="F124" s="126"/>
      <c r="H124" s="135"/>
      <c r="I124" s="127"/>
      <c r="K124" s="127"/>
      <c r="L124" s="127"/>
      <c r="M124" s="127"/>
      <c r="N124" s="137"/>
      <c r="O124" s="130"/>
      <c r="P124" s="131"/>
      <c r="Q124" s="130"/>
      <c r="R124" s="131"/>
      <c r="S124" s="130"/>
      <c r="T124" s="131"/>
      <c r="U124" s="130"/>
      <c r="V124" s="131"/>
      <c r="W124" s="130"/>
      <c r="X124" s="131"/>
    </row>
    <row r="125" spans="1:24" x14ac:dyDescent="0.3">
      <c r="A125" s="126"/>
      <c r="B125" s="127"/>
      <c r="C125" s="127"/>
      <c r="D125" s="127"/>
      <c r="E125" s="126"/>
      <c r="F125" s="126"/>
      <c r="H125" s="135"/>
      <c r="I125" s="127"/>
      <c r="K125" s="127"/>
      <c r="L125" s="127"/>
      <c r="M125" s="127"/>
      <c r="N125" s="137"/>
      <c r="O125" s="130"/>
      <c r="P125" s="131"/>
      <c r="Q125" s="130"/>
      <c r="R125" s="131"/>
      <c r="S125" s="130"/>
      <c r="T125" s="131"/>
      <c r="U125" s="130"/>
      <c r="V125" s="131"/>
      <c r="W125" s="130"/>
      <c r="X125" s="131"/>
    </row>
    <row r="126" spans="1:24" x14ac:dyDescent="0.3">
      <c r="A126" s="126"/>
      <c r="B126" s="127"/>
      <c r="C126" s="127"/>
      <c r="D126" s="127"/>
      <c r="E126" s="126"/>
      <c r="F126" s="126"/>
      <c r="H126" s="135"/>
      <c r="I126" s="127"/>
      <c r="K126" s="127"/>
      <c r="L126" s="127"/>
      <c r="M126" s="127"/>
      <c r="N126" s="137"/>
      <c r="O126" s="130"/>
      <c r="P126" s="131"/>
      <c r="Q126" s="130"/>
      <c r="R126" s="131"/>
      <c r="S126" s="130"/>
      <c r="T126" s="131"/>
      <c r="U126" s="130"/>
      <c r="V126" s="131"/>
      <c r="W126" s="130"/>
      <c r="X126" s="131"/>
    </row>
    <row r="127" spans="1:24" x14ac:dyDescent="0.3">
      <c r="A127" s="126"/>
      <c r="B127" s="127"/>
      <c r="C127" s="127"/>
      <c r="D127" s="127"/>
      <c r="E127" s="126"/>
      <c r="F127" s="126"/>
      <c r="H127" s="135"/>
      <c r="I127" s="127"/>
      <c r="K127" s="127"/>
      <c r="L127" s="127"/>
      <c r="M127" s="127"/>
      <c r="N127" s="137"/>
      <c r="O127" s="130"/>
      <c r="P127" s="131"/>
      <c r="Q127" s="130"/>
      <c r="R127" s="131"/>
      <c r="S127" s="130"/>
      <c r="T127" s="131"/>
      <c r="U127" s="130"/>
      <c r="V127" s="131"/>
      <c r="W127" s="130"/>
      <c r="X127" s="131"/>
    </row>
    <row r="128" spans="1:24" x14ac:dyDescent="0.3">
      <c r="A128" s="126"/>
      <c r="B128" s="127"/>
      <c r="C128" s="127"/>
      <c r="D128" s="127"/>
      <c r="E128" s="126"/>
      <c r="F128" s="126"/>
      <c r="H128" s="135"/>
      <c r="I128" s="127"/>
      <c r="K128" s="127"/>
      <c r="L128" s="127"/>
      <c r="M128" s="127"/>
      <c r="N128" s="137"/>
      <c r="O128" s="130"/>
      <c r="P128" s="131"/>
      <c r="Q128" s="130"/>
      <c r="R128" s="131"/>
      <c r="S128" s="130"/>
      <c r="T128" s="131"/>
      <c r="U128" s="130"/>
      <c r="V128" s="131"/>
      <c r="W128" s="130"/>
      <c r="X128" s="131"/>
    </row>
    <row r="129" spans="1:24" x14ac:dyDescent="0.3">
      <c r="A129" s="126"/>
      <c r="B129" s="127"/>
      <c r="C129" s="127"/>
      <c r="D129" s="127"/>
      <c r="E129" s="126"/>
      <c r="F129" s="126"/>
      <c r="H129" s="135"/>
      <c r="I129" s="127"/>
      <c r="K129" s="127"/>
      <c r="L129" s="127"/>
      <c r="M129" s="127"/>
      <c r="N129" s="137"/>
      <c r="O129" s="130"/>
      <c r="P129" s="131"/>
      <c r="Q129" s="130"/>
      <c r="R129" s="131"/>
      <c r="S129" s="130"/>
      <c r="T129" s="131"/>
      <c r="U129" s="130"/>
      <c r="V129" s="131"/>
      <c r="W129" s="130"/>
      <c r="X129" s="131"/>
    </row>
    <row r="130" spans="1:24" x14ac:dyDescent="0.3">
      <c r="A130" s="126"/>
      <c r="B130" s="127"/>
      <c r="C130" s="127"/>
      <c r="D130" s="127"/>
      <c r="E130" s="126"/>
      <c r="F130" s="126"/>
      <c r="H130" s="135"/>
      <c r="I130" s="127"/>
      <c r="K130" s="127"/>
      <c r="L130" s="127"/>
      <c r="M130" s="127"/>
      <c r="N130" s="137"/>
      <c r="O130" s="130"/>
      <c r="P130" s="131"/>
      <c r="Q130" s="130"/>
      <c r="R130" s="131"/>
      <c r="S130" s="130"/>
      <c r="T130" s="131"/>
      <c r="U130" s="130"/>
      <c r="V130" s="131"/>
      <c r="W130" s="130"/>
      <c r="X130" s="131"/>
    </row>
    <row r="131" spans="1:24" x14ac:dyDescent="0.3">
      <c r="A131" s="126"/>
      <c r="B131" s="127"/>
      <c r="C131" s="127"/>
      <c r="D131" s="127"/>
      <c r="E131" s="126"/>
      <c r="F131" s="126"/>
      <c r="H131" s="135"/>
      <c r="I131" s="127"/>
      <c r="K131" s="127"/>
      <c r="L131" s="127"/>
      <c r="M131" s="127"/>
      <c r="N131" s="137"/>
      <c r="O131" s="130"/>
      <c r="P131" s="131"/>
      <c r="Q131" s="130"/>
      <c r="R131" s="131"/>
      <c r="S131" s="130"/>
      <c r="T131" s="131"/>
      <c r="U131" s="130"/>
      <c r="V131" s="131"/>
      <c r="W131" s="130"/>
      <c r="X131" s="131"/>
    </row>
    <row r="132" spans="1:24" x14ac:dyDescent="0.3">
      <c r="A132" s="126"/>
      <c r="B132" s="127"/>
      <c r="C132" s="127"/>
      <c r="D132" s="127"/>
      <c r="E132" s="126"/>
      <c r="F132" s="126"/>
      <c r="H132" s="135"/>
      <c r="I132" s="127"/>
      <c r="K132" s="127"/>
      <c r="L132" s="127"/>
      <c r="M132" s="127"/>
      <c r="N132" s="137"/>
      <c r="O132" s="130"/>
      <c r="P132" s="131"/>
      <c r="Q132" s="130"/>
      <c r="R132" s="131"/>
      <c r="S132" s="130"/>
      <c r="T132" s="131"/>
      <c r="U132" s="130"/>
      <c r="V132" s="131"/>
      <c r="W132" s="130"/>
      <c r="X132" s="131"/>
    </row>
    <row r="133" spans="1:24" x14ac:dyDescent="0.3">
      <c r="A133" s="126"/>
      <c r="B133" s="127"/>
      <c r="C133" s="127"/>
      <c r="D133" s="127"/>
      <c r="E133" s="126"/>
      <c r="F133" s="126"/>
      <c r="H133" s="135"/>
      <c r="I133" s="127"/>
      <c r="K133" s="127"/>
      <c r="L133" s="127"/>
      <c r="M133" s="127"/>
      <c r="N133" s="137"/>
      <c r="O133" s="130"/>
      <c r="P133" s="131"/>
      <c r="Q133" s="130"/>
      <c r="R133" s="131"/>
      <c r="S133" s="130"/>
      <c r="T133" s="131"/>
      <c r="U133" s="130"/>
      <c r="V133" s="131"/>
      <c r="W133" s="130"/>
      <c r="X133" s="131"/>
    </row>
    <row r="134" spans="1:24" x14ac:dyDescent="0.3">
      <c r="A134" s="126"/>
      <c r="B134" s="127"/>
      <c r="C134" s="127"/>
      <c r="D134" s="127"/>
      <c r="E134" s="126"/>
      <c r="F134" s="126"/>
      <c r="H134" s="135"/>
      <c r="I134" s="127"/>
      <c r="K134" s="127"/>
      <c r="L134" s="127"/>
      <c r="M134" s="127"/>
      <c r="N134" s="137"/>
      <c r="O134" s="130"/>
      <c r="P134" s="131"/>
      <c r="Q134" s="130"/>
      <c r="R134" s="131"/>
      <c r="S134" s="130"/>
      <c r="T134" s="131"/>
      <c r="U134" s="130"/>
      <c r="V134" s="131"/>
      <c r="W134" s="130"/>
      <c r="X134" s="131"/>
    </row>
    <row r="135" spans="1:24" x14ac:dyDescent="0.3">
      <c r="A135" s="126"/>
      <c r="B135" s="127"/>
      <c r="C135" s="127"/>
      <c r="D135" s="127"/>
      <c r="E135" s="126"/>
      <c r="F135" s="126"/>
      <c r="H135" s="135"/>
      <c r="I135" s="127"/>
      <c r="K135" s="127"/>
      <c r="L135" s="127"/>
      <c r="M135" s="127"/>
      <c r="N135" s="137"/>
      <c r="O135" s="130"/>
      <c r="P135" s="131"/>
      <c r="Q135" s="130"/>
      <c r="R135" s="131"/>
      <c r="S135" s="130"/>
      <c r="T135" s="131"/>
      <c r="U135" s="130"/>
      <c r="V135" s="131"/>
      <c r="W135" s="130"/>
      <c r="X135" s="131"/>
    </row>
    <row r="136" spans="1:24" x14ac:dyDescent="0.3">
      <c r="A136" s="126"/>
      <c r="B136" s="127"/>
      <c r="C136" s="127"/>
      <c r="D136" s="127"/>
      <c r="E136" s="126"/>
      <c r="F136" s="126"/>
      <c r="H136" s="135"/>
      <c r="I136" s="127"/>
      <c r="K136" s="127"/>
      <c r="L136" s="127"/>
      <c r="M136" s="127"/>
      <c r="N136" s="137"/>
      <c r="O136" s="130"/>
      <c r="P136" s="131"/>
      <c r="Q136" s="130"/>
      <c r="R136" s="131"/>
      <c r="S136" s="130"/>
      <c r="T136" s="131"/>
      <c r="U136" s="130"/>
      <c r="V136" s="131"/>
      <c r="W136" s="130"/>
      <c r="X136" s="131"/>
    </row>
    <row r="137" spans="1:24" x14ac:dyDescent="0.3">
      <c r="A137" s="126"/>
      <c r="B137" s="127"/>
      <c r="C137" s="127"/>
      <c r="D137" s="127"/>
      <c r="E137" s="126"/>
      <c r="F137" s="126"/>
      <c r="H137" s="135"/>
      <c r="I137" s="127"/>
      <c r="K137" s="127"/>
      <c r="L137" s="127"/>
      <c r="M137" s="127"/>
      <c r="N137" s="137"/>
      <c r="O137" s="130"/>
      <c r="P137" s="131"/>
      <c r="Q137" s="130"/>
      <c r="R137" s="131"/>
      <c r="S137" s="130"/>
      <c r="T137" s="131"/>
      <c r="U137" s="130"/>
      <c r="V137" s="131"/>
      <c r="W137" s="130"/>
      <c r="X137" s="131"/>
    </row>
    <row r="138" spans="1:24" x14ac:dyDescent="0.3">
      <c r="A138" s="126"/>
      <c r="B138" s="127"/>
      <c r="C138" s="127"/>
      <c r="D138" s="127"/>
      <c r="E138" s="126"/>
      <c r="F138" s="126"/>
      <c r="H138" s="135"/>
      <c r="I138" s="127"/>
      <c r="K138" s="127"/>
      <c r="L138" s="127"/>
      <c r="M138" s="127"/>
      <c r="N138" s="137"/>
      <c r="O138" s="130"/>
      <c r="P138" s="131"/>
      <c r="Q138" s="130"/>
      <c r="R138" s="131"/>
      <c r="S138" s="130"/>
      <c r="T138" s="131"/>
      <c r="U138" s="130"/>
      <c r="V138" s="131"/>
      <c r="W138" s="130"/>
      <c r="X138" s="131"/>
    </row>
    <row r="139" spans="1:24" x14ac:dyDescent="0.3">
      <c r="A139" s="126"/>
      <c r="B139" s="127"/>
      <c r="C139" s="127"/>
      <c r="D139" s="127"/>
      <c r="E139" s="126"/>
      <c r="F139" s="126"/>
      <c r="H139" s="135"/>
      <c r="I139" s="127"/>
      <c r="K139" s="127"/>
      <c r="L139" s="127"/>
      <c r="M139" s="127"/>
      <c r="N139" s="137"/>
      <c r="O139" s="130"/>
      <c r="P139" s="131"/>
      <c r="Q139" s="130"/>
      <c r="R139" s="131"/>
      <c r="S139" s="130"/>
      <c r="T139" s="131"/>
      <c r="U139" s="130"/>
      <c r="V139" s="131"/>
      <c r="W139" s="130"/>
      <c r="X139" s="131"/>
    </row>
    <row r="140" spans="1:24" x14ac:dyDescent="0.3">
      <c r="A140" s="126"/>
      <c r="B140" s="127"/>
      <c r="C140" s="127"/>
      <c r="D140" s="127"/>
      <c r="E140" s="126"/>
      <c r="F140" s="126"/>
      <c r="H140" s="135"/>
      <c r="I140" s="127"/>
      <c r="K140" s="127"/>
      <c r="L140" s="127"/>
      <c r="M140" s="127"/>
      <c r="N140" s="137"/>
      <c r="O140" s="130"/>
      <c r="P140" s="131"/>
      <c r="Q140" s="130"/>
      <c r="R140" s="131"/>
      <c r="S140" s="130"/>
      <c r="T140" s="131"/>
      <c r="U140" s="130"/>
      <c r="V140" s="131"/>
      <c r="W140" s="130"/>
      <c r="X140" s="131"/>
    </row>
    <row r="141" spans="1:24" x14ac:dyDescent="0.3">
      <c r="A141" s="126"/>
      <c r="B141" s="127"/>
      <c r="C141" s="127"/>
      <c r="D141" s="127"/>
      <c r="E141" s="126"/>
      <c r="F141" s="126"/>
      <c r="H141" s="135"/>
      <c r="I141" s="127"/>
      <c r="K141" s="127"/>
      <c r="L141" s="127"/>
      <c r="M141" s="127"/>
      <c r="N141" s="137"/>
      <c r="O141" s="130"/>
      <c r="P141" s="131"/>
      <c r="Q141" s="130"/>
      <c r="R141" s="131"/>
      <c r="S141" s="130"/>
      <c r="T141" s="131"/>
      <c r="U141" s="130"/>
      <c r="V141" s="131"/>
      <c r="W141" s="130"/>
      <c r="X141" s="131"/>
    </row>
    <row r="142" spans="1:24" x14ac:dyDescent="0.3">
      <c r="A142" s="126"/>
      <c r="B142" s="127"/>
      <c r="C142" s="127"/>
      <c r="D142" s="127"/>
      <c r="E142" s="126"/>
      <c r="F142" s="126"/>
      <c r="H142" s="135"/>
      <c r="I142" s="127"/>
      <c r="K142" s="127"/>
      <c r="L142" s="127"/>
      <c r="M142" s="127"/>
      <c r="N142" s="137"/>
      <c r="O142" s="130"/>
      <c r="P142" s="131"/>
      <c r="Q142" s="130"/>
      <c r="R142" s="131"/>
      <c r="S142" s="130"/>
      <c r="T142" s="131"/>
      <c r="U142" s="130"/>
      <c r="V142" s="131"/>
      <c r="W142" s="130"/>
      <c r="X142" s="131"/>
    </row>
    <row r="143" spans="1:24" x14ac:dyDescent="0.3">
      <c r="A143" s="126"/>
      <c r="B143" s="127"/>
      <c r="C143" s="127"/>
      <c r="D143" s="127"/>
      <c r="E143" s="126"/>
      <c r="F143" s="126"/>
      <c r="H143" s="135"/>
      <c r="I143" s="127"/>
      <c r="K143" s="127"/>
      <c r="L143" s="127"/>
      <c r="M143" s="127"/>
      <c r="N143" s="137"/>
      <c r="O143" s="130"/>
      <c r="P143" s="131"/>
      <c r="Q143" s="130"/>
      <c r="R143" s="131"/>
      <c r="S143" s="130"/>
      <c r="T143" s="131"/>
      <c r="U143" s="130"/>
      <c r="V143" s="131"/>
      <c r="W143" s="130"/>
      <c r="X143" s="131"/>
    </row>
    <row r="144" spans="1:24" x14ac:dyDescent="0.3">
      <c r="A144" s="126"/>
      <c r="B144" s="127"/>
      <c r="C144" s="127"/>
      <c r="D144" s="127"/>
      <c r="E144" s="126"/>
      <c r="F144" s="126"/>
      <c r="H144" s="135"/>
      <c r="I144" s="127"/>
      <c r="K144" s="127"/>
      <c r="L144" s="127"/>
      <c r="M144" s="127"/>
      <c r="N144" s="137"/>
      <c r="O144" s="130"/>
      <c r="P144" s="131"/>
      <c r="Q144" s="130"/>
      <c r="R144" s="131"/>
      <c r="S144" s="130"/>
      <c r="T144" s="131"/>
      <c r="U144" s="130"/>
      <c r="V144" s="131"/>
      <c r="W144" s="130"/>
      <c r="X144" s="131"/>
    </row>
    <row r="145" spans="1:24" x14ac:dyDescent="0.3">
      <c r="A145" s="126"/>
      <c r="B145" s="127"/>
      <c r="C145" s="127"/>
      <c r="D145" s="127"/>
      <c r="E145" s="126"/>
      <c r="F145" s="126"/>
      <c r="H145" s="135"/>
      <c r="I145" s="127"/>
      <c r="K145" s="127"/>
      <c r="L145" s="127"/>
      <c r="M145" s="127"/>
      <c r="N145" s="137"/>
      <c r="O145" s="130"/>
      <c r="P145" s="131"/>
      <c r="Q145" s="130"/>
      <c r="R145" s="131"/>
      <c r="S145" s="130"/>
      <c r="T145" s="131"/>
      <c r="U145" s="130"/>
      <c r="V145" s="131"/>
      <c r="W145" s="130"/>
      <c r="X145" s="131"/>
    </row>
    <row r="146" spans="1:24" x14ac:dyDescent="0.3">
      <c r="A146" s="126"/>
      <c r="B146" s="127"/>
      <c r="C146" s="127"/>
      <c r="D146" s="127"/>
      <c r="E146" s="126"/>
      <c r="F146" s="126"/>
      <c r="H146" s="135"/>
      <c r="I146" s="127"/>
      <c r="K146" s="127"/>
      <c r="L146" s="127"/>
      <c r="M146" s="127"/>
      <c r="N146" s="137"/>
      <c r="O146" s="130"/>
      <c r="P146" s="131"/>
      <c r="Q146" s="130"/>
      <c r="R146" s="131"/>
      <c r="S146" s="130"/>
      <c r="T146" s="131"/>
      <c r="U146" s="130"/>
      <c r="V146" s="131"/>
      <c r="W146" s="130"/>
      <c r="X146" s="131"/>
    </row>
    <row r="147" spans="1:24" x14ac:dyDescent="0.3">
      <c r="A147" s="126"/>
      <c r="B147" s="127"/>
      <c r="C147" s="127"/>
      <c r="D147" s="127"/>
      <c r="E147" s="126"/>
      <c r="F147" s="126"/>
      <c r="H147" s="135"/>
      <c r="I147" s="127"/>
      <c r="K147" s="127"/>
      <c r="L147" s="127"/>
      <c r="M147" s="127"/>
      <c r="N147" s="137"/>
      <c r="O147" s="130"/>
      <c r="P147" s="131"/>
      <c r="Q147" s="130"/>
      <c r="R147" s="131"/>
      <c r="S147" s="130"/>
      <c r="T147" s="131"/>
      <c r="U147" s="130"/>
      <c r="V147" s="131"/>
      <c r="W147" s="130"/>
      <c r="X147" s="131"/>
    </row>
    <row r="148" spans="1:24" x14ac:dyDescent="0.3">
      <c r="A148" s="126"/>
      <c r="B148" s="127"/>
      <c r="C148" s="127"/>
      <c r="D148" s="127"/>
      <c r="E148" s="126"/>
      <c r="F148" s="126"/>
      <c r="H148" s="135"/>
      <c r="I148" s="127"/>
      <c r="K148" s="127"/>
      <c r="L148" s="127"/>
      <c r="M148" s="127"/>
      <c r="N148" s="137"/>
      <c r="O148" s="130"/>
      <c r="P148" s="131"/>
      <c r="Q148" s="130"/>
      <c r="R148" s="131"/>
      <c r="S148" s="130"/>
      <c r="T148" s="131"/>
      <c r="U148" s="130"/>
      <c r="V148" s="131"/>
      <c r="W148" s="130"/>
      <c r="X148" s="131"/>
    </row>
    <row r="149" spans="1:24" x14ac:dyDescent="0.3">
      <c r="A149" s="126"/>
      <c r="B149" s="127"/>
      <c r="C149" s="127"/>
      <c r="D149" s="127"/>
      <c r="E149" s="126"/>
      <c r="F149" s="126"/>
      <c r="H149" s="135"/>
      <c r="I149" s="127"/>
      <c r="K149" s="127"/>
      <c r="L149" s="127"/>
      <c r="M149" s="127"/>
      <c r="N149" s="137"/>
      <c r="O149" s="130"/>
      <c r="P149" s="131"/>
      <c r="Q149" s="130"/>
      <c r="R149" s="131"/>
      <c r="S149" s="130"/>
      <c r="T149" s="131"/>
      <c r="U149" s="130"/>
      <c r="V149" s="131"/>
      <c r="W149" s="130"/>
      <c r="X149" s="131"/>
    </row>
    <row r="150" spans="1:24" x14ac:dyDescent="0.3">
      <c r="A150" s="126"/>
      <c r="B150" s="127"/>
      <c r="C150" s="127"/>
      <c r="D150" s="127"/>
      <c r="E150" s="126"/>
      <c r="F150" s="126"/>
      <c r="H150" s="135"/>
      <c r="I150" s="127"/>
      <c r="K150" s="127"/>
      <c r="L150" s="127"/>
      <c r="M150" s="127"/>
      <c r="N150" s="137"/>
      <c r="O150" s="130"/>
      <c r="P150" s="131"/>
      <c r="Q150" s="130"/>
      <c r="R150" s="131"/>
      <c r="S150" s="130"/>
      <c r="T150" s="131"/>
      <c r="U150" s="130"/>
      <c r="V150" s="131"/>
      <c r="W150" s="130"/>
      <c r="X150" s="131"/>
    </row>
    <row r="151" spans="1:24" x14ac:dyDescent="0.3">
      <c r="A151" s="126"/>
      <c r="B151" s="127"/>
      <c r="C151" s="127"/>
      <c r="D151" s="127"/>
      <c r="E151" s="126"/>
      <c r="F151" s="126"/>
      <c r="H151" s="135"/>
      <c r="I151" s="127"/>
      <c r="K151" s="127"/>
      <c r="L151" s="127"/>
      <c r="M151" s="127"/>
      <c r="N151" s="137"/>
      <c r="O151" s="130"/>
      <c r="P151" s="131"/>
      <c r="Q151" s="130"/>
      <c r="R151" s="131"/>
      <c r="S151" s="130"/>
      <c r="T151" s="131"/>
      <c r="U151" s="130"/>
      <c r="V151" s="131"/>
      <c r="W151" s="130"/>
      <c r="X151" s="131"/>
    </row>
    <row r="152" spans="1:24" x14ac:dyDescent="0.3">
      <c r="A152" s="126"/>
      <c r="B152" s="127"/>
      <c r="C152" s="127"/>
      <c r="D152" s="127"/>
      <c r="E152" s="126"/>
      <c r="F152" s="126"/>
      <c r="H152" s="135"/>
      <c r="I152" s="127"/>
      <c r="K152" s="127"/>
      <c r="L152" s="127"/>
      <c r="M152" s="127"/>
      <c r="N152" s="137"/>
      <c r="O152" s="130"/>
      <c r="P152" s="131"/>
      <c r="Q152" s="130"/>
      <c r="R152" s="131"/>
      <c r="S152" s="130"/>
      <c r="T152" s="131"/>
      <c r="U152" s="130"/>
      <c r="V152" s="131"/>
      <c r="W152" s="130"/>
      <c r="X152" s="131"/>
    </row>
    <row r="153" spans="1:24" x14ac:dyDescent="0.3">
      <c r="A153" s="126"/>
      <c r="B153" s="127"/>
      <c r="C153" s="127"/>
      <c r="D153" s="127"/>
      <c r="E153" s="126"/>
      <c r="F153" s="126"/>
      <c r="H153" s="135"/>
      <c r="I153" s="127"/>
      <c r="K153" s="127"/>
      <c r="L153" s="127"/>
      <c r="M153" s="127"/>
      <c r="N153" s="137"/>
      <c r="O153" s="130"/>
      <c r="P153" s="131"/>
      <c r="Q153" s="130"/>
      <c r="R153" s="131"/>
      <c r="S153" s="130"/>
      <c r="T153" s="131"/>
      <c r="U153" s="130"/>
      <c r="V153" s="131"/>
      <c r="W153" s="130"/>
      <c r="X153" s="131"/>
    </row>
    <row r="154" spans="1:24" x14ac:dyDescent="0.3">
      <c r="A154" s="126"/>
      <c r="B154" s="127"/>
      <c r="C154" s="127"/>
      <c r="D154" s="127"/>
      <c r="E154" s="126"/>
      <c r="F154" s="126"/>
      <c r="H154" s="135"/>
      <c r="I154" s="127"/>
      <c r="K154" s="127"/>
      <c r="L154" s="127"/>
      <c r="M154" s="127"/>
      <c r="N154" s="137"/>
      <c r="O154" s="130"/>
      <c r="P154" s="131"/>
      <c r="Q154" s="130"/>
      <c r="R154" s="131"/>
      <c r="S154" s="130"/>
      <c r="T154" s="131"/>
      <c r="U154" s="130"/>
      <c r="V154" s="131"/>
      <c r="W154" s="130"/>
      <c r="X154" s="131"/>
    </row>
    <row r="155" spans="1:24" x14ac:dyDescent="0.3">
      <c r="A155" s="126"/>
      <c r="B155" s="127"/>
      <c r="C155" s="127"/>
      <c r="D155" s="127"/>
      <c r="E155" s="126"/>
      <c r="F155" s="126"/>
      <c r="H155" s="135"/>
      <c r="I155" s="127"/>
      <c r="K155" s="127"/>
      <c r="L155" s="127"/>
      <c r="M155" s="127"/>
      <c r="N155" s="137"/>
      <c r="O155" s="130"/>
      <c r="P155" s="131"/>
      <c r="Q155" s="130"/>
      <c r="R155" s="131"/>
      <c r="S155" s="130"/>
      <c r="T155" s="131"/>
      <c r="U155" s="130"/>
      <c r="V155" s="131"/>
      <c r="W155" s="130"/>
      <c r="X155" s="131"/>
    </row>
    <row r="156" spans="1:24" x14ac:dyDescent="0.3">
      <c r="A156" s="126"/>
      <c r="B156" s="127"/>
      <c r="C156" s="127"/>
      <c r="D156" s="127"/>
      <c r="E156" s="126"/>
      <c r="F156" s="126"/>
      <c r="H156" s="135"/>
      <c r="I156" s="127"/>
      <c r="K156" s="127"/>
      <c r="L156" s="127"/>
      <c r="M156" s="127"/>
      <c r="N156" s="137"/>
      <c r="O156" s="130"/>
      <c r="P156" s="131"/>
      <c r="Q156" s="130"/>
      <c r="R156" s="131"/>
      <c r="S156" s="130"/>
      <c r="T156" s="131"/>
      <c r="U156" s="130"/>
      <c r="V156" s="131"/>
      <c r="W156" s="130"/>
      <c r="X156" s="131"/>
    </row>
    <row r="157" spans="1:24" x14ac:dyDescent="0.3">
      <c r="A157" s="126"/>
      <c r="B157" s="127"/>
      <c r="C157" s="127"/>
      <c r="D157" s="127"/>
      <c r="E157" s="126"/>
      <c r="F157" s="126"/>
      <c r="H157" s="135"/>
      <c r="I157" s="127"/>
      <c r="K157" s="127"/>
      <c r="L157" s="127"/>
      <c r="M157" s="127"/>
      <c r="N157" s="137"/>
      <c r="O157" s="130"/>
      <c r="P157" s="131"/>
      <c r="Q157" s="130"/>
      <c r="R157" s="131"/>
      <c r="S157" s="130"/>
      <c r="T157" s="131"/>
      <c r="U157" s="130"/>
      <c r="V157" s="131"/>
      <c r="W157" s="130"/>
      <c r="X157" s="131"/>
    </row>
    <row r="158" spans="1:24" x14ac:dyDescent="0.3">
      <c r="A158" s="126"/>
      <c r="B158" s="127"/>
      <c r="C158" s="127"/>
      <c r="D158" s="127"/>
      <c r="E158" s="126"/>
      <c r="F158" s="126"/>
      <c r="H158" s="135"/>
      <c r="I158" s="127"/>
      <c r="K158" s="127"/>
      <c r="L158" s="127"/>
      <c r="M158" s="127"/>
      <c r="N158" s="137"/>
      <c r="O158" s="130"/>
      <c r="P158" s="131"/>
      <c r="Q158" s="130"/>
      <c r="R158" s="131"/>
      <c r="S158" s="130"/>
      <c r="T158" s="131"/>
      <c r="U158" s="130"/>
      <c r="V158" s="131"/>
      <c r="W158" s="130"/>
      <c r="X158" s="131"/>
    </row>
    <row r="159" spans="1:24" x14ac:dyDescent="0.3">
      <c r="A159" s="126"/>
      <c r="B159" s="127"/>
      <c r="C159" s="127"/>
      <c r="D159" s="127"/>
      <c r="E159" s="126"/>
      <c r="F159" s="126"/>
      <c r="H159" s="135"/>
      <c r="I159" s="127"/>
      <c r="K159" s="127"/>
      <c r="L159" s="127"/>
      <c r="M159" s="127"/>
      <c r="N159" s="137"/>
      <c r="O159" s="130"/>
      <c r="P159" s="131"/>
      <c r="Q159" s="130"/>
      <c r="R159" s="131"/>
      <c r="S159" s="130"/>
      <c r="T159" s="131"/>
      <c r="U159" s="130"/>
      <c r="V159" s="131"/>
      <c r="W159" s="130"/>
      <c r="X159" s="131"/>
    </row>
    <row r="160" spans="1:24" x14ac:dyDescent="0.3">
      <c r="A160" s="126"/>
      <c r="B160" s="127"/>
      <c r="C160" s="127"/>
      <c r="D160" s="127"/>
      <c r="E160" s="126"/>
      <c r="F160" s="126"/>
      <c r="H160" s="135"/>
      <c r="I160" s="127"/>
      <c r="K160" s="127"/>
      <c r="L160" s="127"/>
      <c r="M160" s="127"/>
      <c r="N160" s="137"/>
      <c r="O160" s="130"/>
      <c r="P160" s="131"/>
      <c r="Q160" s="130"/>
      <c r="R160" s="131"/>
      <c r="S160" s="130"/>
      <c r="T160" s="131"/>
      <c r="U160" s="130"/>
      <c r="V160" s="131"/>
      <c r="W160" s="130"/>
      <c r="X160" s="131"/>
    </row>
    <row r="161" spans="1:24" x14ac:dyDescent="0.3">
      <c r="A161" s="126"/>
      <c r="B161" s="127"/>
      <c r="C161" s="127"/>
      <c r="D161" s="127"/>
      <c r="E161" s="126"/>
      <c r="F161" s="126"/>
      <c r="H161" s="135"/>
      <c r="I161" s="127"/>
      <c r="K161" s="127"/>
      <c r="L161" s="127"/>
      <c r="M161" s="127"/>
      <c r="N161" s="137"/>
      <c r="O161" s="130"/>
      <c r="P161" s="131"/>
      <c r="Q161" s="130"/>
      <c r="R161" s="131"/>
      <c r="S161" s="130"/>
      <c r="T161" s="131"/>
      <c r="U161" s="130"/>
      <c r="V161" s="131"/>
      <c r="W161" s="130"/>
      <c r="X161" s="131"/>
    </row>
    <row r="162" spans="1:24" x14ac:dyDescent="0.3">
      <c r="A162" s="126"/>
      <c r="B162" s="127"/>
      <c r="C162" s="127"/>
      <c r="D162" s="127"/>
      <c r="E162" s="126"/>
      <c r="F162" s="126"/>
      <c r="H162" s="135"/>
      <c r="I162" s="127"/>
      <c r="K162" s="127"/>
      <c r="L162" s="127"/>
      <c r="M162" s="127"/>
      <c r="N162" s="137"/>
      <c r="O162" s="130"/>
      <c r="P162" s="131"/>
      <c r="Q162" s="130"/>
      <c r="R162" s="131"/>
      <c r="S162" s="130"/>
      <c r="T162" s="131"/>
      <c r="U162" s="130"/>
      <c r="V162" s="131"/>
      <c r="W162" s="130"/>
      <c r="X162" s="131"/>
    </row>
    <row r="163" spans="1:24" x14ac:dyDescent="0.3">
      <c r="A163" s="126"/>
      <c r="B163" s="127"/>
      <c r="C163" s="127"/>
      <c r="D163" s="127"/>
      <c r="E163" s="126"/>
      <c r="F163" s="126"/>
      <c r="H163" s="135"/>
      <c r="I163" s="127"/>
      <c r="K163" s="127"/>
      <c r="L163" s="127"/>
      <c r="M163" s="127"/>
      <c r="N163" s="137"/>
      <c r="O163" s="130"/>
      <c r="P163" s="131"/>
      <c r="Q163" s="130"/>
      <c r="R163" s="131"/>
      <c r="S163" s="130"/>
      <c r="T163" s="131"/>
      <c r="U163" s="130"/>
      <c r="V163" s="131"/>
      <c r="W163" s="130"/>
      <c r="X163" s="131"/>
    </row>
    <row r="164" spans="1:24" x14ac:dyDescent="0.3">
      <c r="A164" s="126"/>
      <c r="B164" s="127"/>
      <c r="C164" s="127"/>
      <c r="D164" s="127"/>
      <c r="E164" s="126"/>
      <c r="F164" s="126"/>
      <c r="H164" s="135"/>
      <c r="I164" s="127"/>
      <c r="K164" s="127"/>
      <c r="L164" s="127"/>
      <c r="M164" s="127"/>
      <c r="N164" s="137"/>
      <c r="O164" s="130"/>
      <c r="P164" s="131"/>
      <c r="Q164" s="130"/>
      <c r="R164" s="131"/>
      <c r="S164" s="130"/>
      <c r="T164" s="131"/>
      <c r="U164" s="130"/>
      <c r="V164" s="131"/>
      <c r="W164" s="130"/>
      <c r="X164" s="131"/>
    </row>
    <row r="165" spans="1:24" x14ac:dyDescent="0.3">
      <c r="A165" s="126"/>
      <c r="B165" s="127"/>
      <c r="C165" s="127"/>
      <c r="D165" s="127"/>
      <c r="E165" s="126"/>
      <c r="F165" s="126"/>
      <c r="H165" s="135"/>
      <c r="I165" s="127"/>
      <c r="K165" s="127"/>
      <c r="L165" s="127"/>
      <c r="M165" s="127"/>
      <c r="N165" s="137"/>
      <c r="O165" s="130"/>
      <c r="P165" s="131"/>
      <c r="Q165" s="130"/>
      <c r="R165" s="131"/>
      <c r="S165" s="130"/>
      <c r="T165" s="131"/>
      <c r="U165" s="130"/>
      <c r="V165" s="131"/>
      <c r="W165" s="130"/>
      <c r="X165" s="131"/>
    </row>
    <row r="166" spans="1:24" x14ac:dyDescent="0.3">
      <c r="A166" s="126"/>
      <c r="B166" s="127"/>
      <c r="C166" s="127"/>
      <c r="D166" s="127"/>
      <c r="E166" s="126"/>
      <c r="F166" s="126"/>
      <c r="H166" s="135"/>
      <c r="I166" s="127"/>
      <c r="K166" s="127"/>
      <c r="L166" s="127"/>
      <c r="M166" s="127"/>
      <c r="N166" s="137"/>
      <c r="O166" s="130"/>
      <c r="P166" s="131"/>
      <c r="Q166" s="130"/>
      <c r="R166" s="131"/>
      <c r="S166" s="130"/>
      <c r="T166" s="131"/>
      <c r="U166" s="130"/>
      <c r="V166" s="131"/>
      <c r="W166" s="130"/>
      <c r="X166" s="131"/>
    </row>
    <row r="167" spans="1:24" x14ac:dyDescent="0.3">
      <c r="A167" s="126"/>
      <c r="B167" s="127"/>
      <c r="C167" s="127"/>
      <c r="D167" s="127"/>
      <c r="E167" s="126"/>
      <c r="F167" s="126"/>
      <c r="H167" s="135"/>
      <c r="I167" s="127"/>
      <c r="K167" s="127"/>
      <c r="L167" s="127"/>
      <c r="M167" s="127"/>
      <c r="N167" s="137"/>
      <c r="O167" s="130"/>
      <c r="P167" s="131"/>
      <c r="Q167" s="130"/>
      <c r="R167" s="131"/>
      <c r="S167" s="130"/>
      <c r="T167" s="131"/>
      <c r="U167" s="130"/>
      <c r="V167" s="131"/>
      <c r="W167" s="130"/>
      <c r="X167" s="131"/>
    </row>
    <row r="168" spans="1:24" x14ac:dyDescent="0.3">
      <c r="A168" s="126"/>
      <c r="B168" s="127"/>
      <c r="C168" s="127"/>
      <c r="D168" s="127"/>
      <c r="E168" s="126"/>
      <c r="F168" s="126"/>
      <c r="H168" s="135"/>
      <c r="I168" s="127"/>
      <c r="K168" s="127"/>
      <c r="L168" s="127"/>
      <c r="M168" s="127"/>
      <c r="N168" s="137"/>
      <c r="O168" s="130"/>
      <c r="P168" s="131"/>
      <c r="Q168" s="130"/>
      <c r="R168" s="131"/>
      <c r="S168" s="130"/>
      <c r="T168" s="131"/>
      <c r="U168" s="130"/>
      <c r="V168" s="131"/>
      <c r="W168" s="130"/>
      <c r="X168" s="131"/>
    </row>
    <row r="169" spans="1:24" x14ac:dyDescent="0.3">
      <c r="A169" s="126"/>
      <c r="B169" s="127"/>
      <c r="C169" s="127"/>
      <c r="D169" s="127"/>
      <c r="E169" s="126"/>
      <c r="F169" s="126"/>
      <c r="H169" s="135"/>
      <c r="I169" s="127"/>
      <c r="K169" s="127"/>
      <c r="L169" s="127"/>
      <c r="M169" s="127"/>
      <c r="N169" s="137"/>
      <c r="O169" s="130"/>
      <c r="P169" s="131"/>
      <c r="Q169" s="130"/>
      <c r="R169" s="131"/>
      <c r="S169" s="130"/>
      <c r="T169" s="131"/>
      <c r="U169" s="130"/>
      <c r="V169" s="131"/>
      <c r="W169" s="130"/>
      <c r="X169" s="131"/>
    </row>
    <row r="170" spans="1:24" x14ac:dyDescent="0.3">
      <c r="A170" s="126"/>
      <c r="B170" s="127"/>
      <c r="C170" s="127"/>
      <c r="D170" s="127"/>
      <c r="E170" s="126"/>
      <c r="F170" s="126"/>
      <c r="H170" s="135"/>
      <c r="I170" s="127"/>
      <c r="K170" s="127"/>
      <c r="L170" s="127"/>
      <c r="M170" s="127"/>
      <c r="N170" s="137"/>
      <c r="O170" s="130"/>
      <c r="P170" s="131"/>
      <c r="Q170" s="130"/>
      <c r="R170" s="131"/>
      <c r="S170" s="130"/>
      <c r="T170" s="131"/>
      <c r="U170" s="130"/>
      <c r="V170" s="131"/>
      <c r="W170" s="130"/>
      <c r="X170" s="131"/>
    </row>
    <row r="171" spans="1:24" x14ac:dyDescent="0.3">
      <c r="A171" s="126"/>
      <c r="B171" s="127"/>
      <c r="C171" s="127"/>
      <c r="D171" s="127"/>
      <c r="E171" s="126"/>
      <c r="F171" s="126"/>
      <c r="H171" s="135"/>
      <c r="I171" s="127"/>
      <c r="K171" s="127"/>
      <c r="L171" s="127"/>
      <c r="M171" s="127"/>
      <c r="N171" s="137"/>
      <c r="O171" s="130"/>
      <c r="P171" s="131"/>
      <c r="Q171" s="130"/>
      <c r="R171" s="131"/>
      <c r="S171" s="130"/>
      <c r="T171" s="131"/>
      <c r="U171" s="130"/>
      <c r="V171" s="131"/>
      <c r="W171" s="130"/>
      <c r="X171" s="131"/>
    </row>
    <row r="172" spans="1:24" x14ac:dyDescent="0.3">
      <c r="A172" s="126"/>
      <c r="B172" s="127"/>
      <c r="C172" s="127"/>
      <c r="D172" s="127"/>
      <c r="E172" s="126"/>
      <c r="F172" s="126"/>
      <c r="H172" s="135"/>
      <c r="I172" s="127"/>
      <c r="K172" s="127"/>
      <c r="L172" s="127"/>
      <c r="M172" s="127"/>
      <c r="N172" s="137"/>
      <c r="O172" s="130"/>
      <c r="P172" s="131"/>
      <c r="Q172" s="130"/>
      <c r="R172" s="131"/>
      <c r="S172" s="130"/>
      <c r="T172" s="131"/>
      <c r="U172" s="130"/>
      <c r="V172" s="131"/>
      <c r="W172" s="130"/>
      <c r="X172" s="131"/>
    </row>
    <row r="173" spans="1:24" x14ac:dyDescent="0.3">
      <c r="A173" s="126"/>
      <c r="B173" s="127"/>
      <c r="C173" s="127"/>
      <c r="D173" s="127"/>
      <c r="E173" s="126"/>
      <c r="F173" s="126"/>
      <c r="H173" s="135"/>
      <c r="I173" s="127"/>
      <c r="K173" s="127"/>
      <c r="L173" s="127"/>
      <c r="M173" s="127"/>
      <c r="N173" s="137"/>
      <c r="O173" s="130"/>
      <c r="P173" s="131"/>
      <c r="Q173" s="130"/>
      <c r="R173" s="131"/>
      <c r="S173" s="130"/>
      <c r="T173" s="131"/>
      <c r="U173" s="130"/>
      <c r="V173" s="131"/>
      <c r="W173" s="130"/>
      <c r="X173" s="131"/>
    </row>
    <row r="174" spans="1:24" x14ac:dyDescent="0.3">
      <c r="A174" s="126"/>
      <c r="B174" s="127"/>
      <c r="C174" s="127"/>
      <c r="D174" s="127"/>
      <c r="E174" s="126"/>
      <c r="F174" s="126"/>
      <c r="H174" s="135"/>
      <c r="I174" s="127"/>
      <c r="K174" s="127"/>
      <c r="L174" s="127"/>
      <c r="M174" s="127"/>
      <c r="N174" s="137"/>
      <c r="O174" s="130"/>
      <c r="P174" s="131"/>
      <c r="Q174" s="130"/>
      <c r="R174" s="131"/>
      <c r="S174" s="130"/>
      <c r="T174" s="131"/>
      <c r="U174" s="130"/>
      <c r="V174" s="131"/>
      <c r="W174" s="130"/>
      <c r="X174" s="131"/>
    </row>
    <row r="175" spans="1:24" x14ac:dyDescent="0.3">
      <c r="A175" s="126"/>
      <c r="B175" s="127"/>
      <c r="C175" s="127"/>
      <c r="D175" s="127"/>
      <c r="E175" s="126"/>
      <c r="F175" s="126"/>
      <c r="H175" s="135"/>
      <c r="I175" s="127"/>
      <c r="K175" s="127"/>
      <c r="L175" s="127"/>
      <c r="M175" s="127"/>
      <c r="N175" s="137"/>
      <c r="O175" s="130"/>
      <c r="P175" s="131"/>
      <c r="Q175" s="130"/>
      <c r="R175" s="131"/>
      <c r="S175" s="130"/>
      <c r="T175" s="131"/>
      <c r="U175" s="130"/>
      <c r="V175" s="131"/>
      <c r="W175" s="130"/>
      <c r="X175" s="131"/>
    </row>
    <row r="176" spans="1:24" x14ac:dyDescent="0.3">
      <c r="A176" s="126"/>
      <c r="B176" s="127"/>
      <c r="C176" s="127"/>
      <c r="D176" s="127"/>
      <c r="E176" s="126"/>
      <c r="F176" s="126"/>
      <c r="H176" s="135"/>
      <c r="I176" s="127"/>
      <c r="K176" s="127"/>
      <c r="L176" s="127"/>
      <c r="M176" s="127"/>
      <c r="N176" s="137"/>
      <c r="O176" s="130"/>
      <c r="P176" s="131"/>
      <c r="Q176" s="130"/>
      <c r="R176" s="131"/>
      <c r="S176" s="130"/>
      <c r="T176" s="131"/>
      <c r="U176" s="130"/>
      <c r="V176" s="131"/>
      <c r="W176" s="130"/>
      <c r="X176" s="131"/>
    </row>
    <row r="177" spans="1:24" x14ac:dyDescent="0.3">
      <c r="A177" s="126"/>
      <c r="B177" s="127"/>
      <c r="C177" s="127"/>
      <c r="D177" s="127"/>
      <c r="E177" s="126"/>
      <c r="F177" s="126"/>
      <c r="H177" s="135"/>
      <c r="I177" s="127"/>
      <c r="K177" s="127"/>
      <c r="L177" s="127"/>
      <c r="M177" s="127"/>
      <c r="N177" s="137"/>
      <c r="O177" s="130"/>
      <c r="P177" s="131"/>
      <c r="Q177" s="130"/>
      <c r="R177" s="131"/>
      <c r="S177" s="130"/>
      <c r="T177" s="131"/>
      <c r="U177" s="130"/>
      <c r="V177" s="131"/>
      <c r="W177" s="130"/>
      <c r="X177" s="131"/>
    </row>
    <row r="178" spans="1:24" x14ac:dyDescent="0.3">
      <c r="A178" s="126"/>
      <c r="B178" s="127"/>
      <c r="C178" s="127"/>
      <c r="D178" s="127"/>
      <c r="E178" s="126"/>
      <c r="F178" s="126"/>
      <c r="H178" s="135"/>
      <c r="I178" s="127"/>
      <c r="K178" s="127"/>
      <c r="L178" s="127"/>
      <c r="M178" s="127"/>
      <c r="N178" s="137"/>
      <c r="O178" s="130"/>
      <c r="P178" s="131"/>
      <c r="Q178" s="130"/>
      <c r="R178" s="131"/>
      <c r="S178" s="130"/>
      <c r="T178" s="131"/>
      <c r="U178" s="130"/>
      <c r="V178" s="131"/>
      <c r="W178" s="130"/>
      <c r="X178" s="131"/>
    </row>
    <row r="179" spans="1:24" x14ac:dyDescent="0.3">
      <c r="A179" s="126"/>
      <c r="B179" s="127"/>
      <c r="C179" s="127"/>
      <c r="D179" s="127"/>
      <c r="E179" s="126"/>
      <c r="F179" s="126"/>
      <c r="H179" s="135"/>
      <c r="I179" s="127"/>
      <c r="K179" s="127"/>
      <c r="L179" s="127"/>
      <c r="M179" s="127"/>
      <c r="N179" s="137"/>
      <c r="O179" s="130"/>
      <c r="P179" s="131"/>
      <c r="Q179" s="130"/>
      <c r="R179" s="131"/>
      <c r="S179" s="130"/>
      <c r="T179" s="131"/>
      <c r="U179" s="130"/>
      <c r="V179" s="131"/>
      <c r="W179" s="130"/>
      <c r="X179" s="131"/>
    </row>
    <row r="180" spans="1:24" x14ac:dyDescent="0.3">
      <c r="A180" s="126"/>
      <c r="B180" s="127"/>
      <c r="C180" s="127"/>
      <c r="D180" s="127"/>
      <c r="E180" s="126"/>
      <c r="F180" s="126"/>
      <c r="H180" s="135"/>
      <c r="I180" s="127"/>
      <c r="K180" s="127"/>
      <c r="L180" s="127"/>
      <c r="M180" s="127"/>
      <c r="N180" s="137"/>
      <c r="O180" s="130"/>
      <c r="P180" s="131"/>
      <c r="Q180" s="130"/>
      <c r="R180" s="131"/>
      <c r="S180" s="130"/>
      <c r="T180" s="131"/>
      <c r="U180" s="130"/>
      <c r="V180" s="131"/>
      <c r="W180" s="130"/>
      <c r="X180" s="131"/>
    </row>
    <row r="181" spans="1:24" x14ac:dyDescent="0.3">
      <c r="A181" s="126"/>
      <c r="B181" s="127"/>
      <c r="C181" s="127"/>
      <c r="D181" s="127"/>
      <c r="E181" s="126"/>
      <c r="F181" s="126"/>
      <c r="H181" s="135"/>
      <c r="I181" s="127"/>
      <c r="K181" s="127"/>
      <c r="L181" s="127"/>
      <c r="M181" s="127"/>
      <c r="N181" s="137"/>
      <c r="O181" s="130"/>
      <c r="P181" s="131"/>
      <c r="Q181" s="130"/>
      <c r="R181" s="131"/>
      <c r="S181" s="130"/>
      <c r="T181" s="131"/>
      <c r="U181" s="130"/>
      <c r="V181" s="131"/>
      <c r="W181" s="130"/>
      <c r="X181" s="131"/>
    </row>
    <row r="182" spans="1:24" x14ac:dyDescent="0.3">
      <c r="A182" s="126"/>
      <c r="B182" s="127"/>
      <c r="C182" s="127"/>
      <c r="D182" s="127"/>
      <c r="E182" s="126"/>
      <c r="F182" s="126"/>
      <c r="H182" s="135"/>
      <c r="I182" s="127"/>
      <c r="K182" s="127"/>
      <c r="L182" s="127"/>
      <c r="M182" s="127"/>
      <c r="N182" s="137"/>
      <c r="O182" s="130"/>
      <c r="P182" s="131"/>
      <c r="Q182" s="130"/>
      <c r="R182" s="131"/>
      <c r="S182" s="130"/>
      <c r="T182" s="131"/>
      <c r="U182" s="130"/>
      <c r="V182" s="131"/>
      <c r="W182" s="130"/>
      <c r="X182" s="131"/>
    </row>
    <row r="183" spans="1:24" x14ac:dyDescent="0.3">
      <c r="A183" s="126"/>
      <c r="B183" s="127"/>
      <c r="C183" s="127"/>
      <c r="D183" s="127"/>
      <c r="E183" s="126"/>
      <c r="F183" s="126"/>
      <c r="H183" s="135"/>
      <c r="I183" s="127"/>
      <c r="K183" s="127"/>
      <c r="L183" s="127"/>
      <c r="M183" s="127"/>
      <c r="N183" s="137"/>
      <c r="O183" s="130"/>
      <c r="P183" s="131"/>
      <c r="Q183" s="130"/>
      <c r="R183" s="131"/>
      <c r="S183" s="130"/>
      <c r="T183" s="131"/>
      <c r="U183" s="130"/>
      <c r="V183" s="131"/>
      <c r="W183" s="130"/>
      <c r="X183" s="131"/>
    </row>
    <row r="184" spans="1:24" x14ac:dyDescent="0.3">
      <c r="A184" s="126"/>
      <c r="B184" s="127"/>
      <c r="C184" s="127"/>
      <c r="D184" s="127"/>
      <c r="E184" s="126"/>
      <c r="F184" s="126"/>
      <c r="H184" s="135"/>
      <c r="I184" s="127"/>
      <c r="K184" s="127"/>
      <c r="L184" s="127"/>
      <c r="M184" s="127"/>
      <c r="N184" s="137"/>
      <c r="O184" s="130"/>
      <c r="P184" s="131"/>
      <c r="Q184" s="130"/>
      <c r="R184" s="131"/>
      <c r="S184" s="130"/>
      <c r="T184" s="131"/>
      <c r="U184" s="130"/>
      <c r="V184" s="131"/>
      <c r="W184" s="130"/>
      <c r="X184" s="131"/>
    </row>
    <row r="185" spans="1:24" x14ac:dyDescent="0.3">
      <c r="A185" s="126"/>
      <c r="B185" s="127"/>
      <c r="C185" s="127"/>
      <c r="D185" s="127"/>
      <c r="E185" s="126"/>
      <c r="F185" s="126"/>
      <c r="H185" s="135"/>
      <c r="I185" s="127"/>
      <c r="K185" s="127"/>
      <c r="L185" s="127"/>
      <c r="M185" s="127"/>
      <c r="N185" s="137"/>
      <c r="O185" s="130"/>
      <c r="P185" s="131"/>
      <c r="Q185" s="130"/>
      <c r="R185" s="131"/>
      <c r="S185" s="130"/>
      <c r="T185" s="131"/>
      <c r="U185" s="130"/>
      <c r="V185" s="131"/>
      <c r="W185" s="130"/>
      <c r="X185" s="131"/>
    </row>
    <row r="186" spans="1:24" x14ac:dyDescent="0.3">
      <c r="A186" s="126"/>
      <c r="B186" s="127"/>
      <c r="C186" s="127"/>
      <c r="D186" s="127"/>
      <c r="E186" s="126"/>
      <c r="F186" s="126"/>
      <c r="H186" s="135"/>
      <c r="I186" s="127"/>
      <c r="K186" s="127"/>
      <c r="L186" s="127"/>
      <c r="M186" s="127"/>
      <c r="N186" s="137"/>
      <c r="O186" s="130"/>
      <c r="P186" s="131"/>
      <c r="Q186" s="130"/>
      <c r="R186" s="131"/>
      <c r="S186" s="130"/>
      <c r="T186" s="131"/>
      <c r="U186" s="130"/>
      <c r="V186" s="131"/>
      <c r="W186" s="130"/>
      <c r="X186" s="131"/>
    </row>
    <row r="187" spans="1:24" x14ac:dyDescent="0.3">
      <c r="A187" s="126"/>
      <c r="B187" s="127"/>
      <c r="C187" s="127"/>
      <c r="D187" s="127"/>
      <c r="E187" s="126"/>
      <c r="F187" s="126"/>
      <c r="H187" s="135"/>
      <c r="I187" s="127"/>
      <c r="K187" s="127"/>
      <c r="L187" s="127"/>
      <c r="M187" s="127"/>
      <c r="N187" s="137"/>
      <c r="O187" s="130"/>
      <c r="P187" s="131"/>
      <c r="Q187" s="130"/>
      <c r="R187" s="131"/>
      <c r="S187" s="130"/>
      <c r="T187" s="131"/>
      <c r="U187" s="130"/>
      <c r="V187" s="131"/>
      <c r="W187" s="130"/>
      <c r="X187" s="131"/>
    </row>
    <row r="188" spans="1:24" x14ac:dyDescent="0.3">
      <c r="A188" s="126"/>
      <c r="B188" s="127"/>
      <c r="C188" s="127"/>
      <c r="D188" s="127"/>
      <c r="E188" s="126"/>
      <c r="F188" s="126"/>
      <c r="H188" s="135"/>
      <c r="I188" s="127"/>
      <c r="K188" s="127"/>
      <c r="L188" s="127"/>
      <c r="M188" s="127"/>
      <c r="N188" s="137"/>
      <c r="O188" s="130"/>
      <c r="P188" s="131"/>
      <c r="Q188" s="130"/>
      <c r="R188" s="131"/>
      <c r="S188" s="130"/>
      <c r="T188" s="131"/>
      <c r="U188" s="130"/>
      <c r="V188" s="131"/>
      <c r="W188" s="130"/>
      <c r="X188" s="131"/>
    </row>
    <row r="189" spans="1:24" x14ac:dyDescent="0.3">
      <c r="A189" s="126"/>
      <c r="B189" s="127"/>
      <c r="C189" s="127"/>
      <c r="D189" s="127"/>
      <c r="E189" s="126"/>
      <c r="F189" s="126"/>
      <c r="H189" s="135"/>
      <c r="I189" s="127"/>
      <c r="K189" s="127"/>
      <c r="L189" s="127"/>
      <c r="M189" s="127"/>
      <c r="N189" s="137"/>
      <c r="O189" s="130"/>
      <c r="P189" s="131"/>
      <c r="Q189" s="130"/>
      <c r="R189" s="131"/>
      <c r="S189" s="130"/>
      <c r="T189" s="131"/>
      <c r="U189" s="130"/>
      <c r="V189" s="131"/>
      <c r="W189" s="130"/>
      <c r="X189" s="131"/>
    </row>
    <row r="190" spans="1:24" x14ac:dyDescent="0.3">
      <c r="A190" s="126"/>
      <c r="B190" s="127"/>
      <c r="C190" s="127"/>
      <c r="D190" s="127"/>
      <c r="E190" s="126"/>
      <c r="F190" s="126"/>
      <c r="H190" s="135"/>
      <c r="I190" s="127"/>
      <c r="K190" s="127"/>
      <c r="L190" s="127"/>
      <c r="M190" s="127"/>
      <c r="N190" s="137"/>
      <c r="O190" s="130"/>
      <c r="P190" s="131"/>
      <c r="Q190" s="130"/>
      <c r="R190" s="131"/>
      <c r="S190" s="130"/>
      <c r="T190" s="131"/>
      <c r="U190" s="130"/>
      <c r="V190" s="131"/>
      <c r="W190" s="130"/>
      <c r="X190" s="131"/>
    </row>
    <row r="191" spans="1:24" x14ac:dyDescent="0.3">
      <c r="A191" s="126"/>
      <c r="B191" s="127"/>
      <c r="C191" s="127"/>
      <c r="D191" s="127"/>
      <c r="E191" s="126"/>
      <c r="F191" s="126"/>
      <c r="H191" s="135"/>
      <c r="I191" s="127"/>
      <c r="K191" s="127"/>
      <c r="L191" s="127"/>
      <c r="M191" s="127"/>
      <c r="N191" s="137"/>
      <c r="O191" s="130"/>
      <c r="P191" s="131"/>
      <c r="Q191" s="130"/>
      <c r="R191" s="131"/>
      <c r="S191" s="130"/>
      <c r="T191" s="131"/>
      <c r="U191" s="130"/>
      <c r="V191" s="131"/>
      <c r="W191" s="130"/>
      <c r="X191" s="131"/>
    </row>
    <row r="192" spans="1:24" x14ac:dyDescent="0.3">
      <c r="A192" s="126"/>
      <c r="B192" s="127"/>
      <c r="C192" s="127"/>
      <c r="D192" s="127"/>
      <c r="E192" s="126"/>
      <c r="F192" s="126"/>
      <c r="H192" s="135"/>
      <c r="I192" s="127"/>
      <c r="K192" s="127"/>
      <c r="L192" s="127"/>
      <c r="M192" s="127"/>
      <c r="N192" s="137"/>
      <c r="O192" s="130"/>
      <c r="P192" s="131"/>
      <c r="Q192" s="130"/>
      <c r="R192" s="131"/>
      <c r="S192" s="130"/>
      <c r="T192" s="131"/>
      <c r="U192" s="130"/>
      <c r="V192" s="131"/>
      <c r="W192" s="130"/>
      <c r="X192" s="131"/>
    </row>
    <row r="193" spans="1:24" x14ac:dyDescent="0.3">
      <c r="A193" s="126"/>
      <c r="B193" s="127"/>
      <c r="C193" s="127"/>
      <c r="D193" s="127"/>
      <c r="E193" s="126"/>
      <c r="F193" s="126"/>
      <c r="H193" s="135"/>
      <c r="I193" s="127"/>
      <c r="K193" s="127"/>
      <c r="L193" s="127"/>
      <c r="M193" s="127"/>
      <c r="N193" s="137"/>
      <c r="O193" s="130"/>
      <c r="P193" s="131"/>
      <c r="Q193" s="130"/>
      <c r="R193" s="131"/>
      <c r="S193" s="130"/>
      <c r="T193" s="131"/>
      <c r="U193" s="130"/>
      <c r="V193" s="131"/>
      <c r="W193" s="130"/>
      <c r="X193" s="131"/>
    </row>
    <row r="194" spans="1:24" x14ac:dyDescent="0.3">
      <c r="A194" s="126"/>
      <c r="B194" s="127"/>
      <c r="C194" s="127"/>
      <c r="D194" s="127"/>
      <c r="E194" s="126"/>
      <c r="F194" s="126"/>
      <c r="H194" s="135"/>
      <c r="I194" s="127"/>
      <c r="K194" s="127"/>
      <c r="L194" s="127"/>
      <c r="M194" s="127"/>
      <c r="N194" s="137"/>
      <c r="O194" s="130"/>
      <c r="P194" s="131"/>
      <c r="Q194" s="130"/>
      <c r="R194" s="131"/>
      <c r="S194" s="130"/>
      <c r="T194" s="131"/>
      <c r="U194" s="130"/>
      <c r="V194" s="131"/>
      <c r="W194" s="130"/>
      <c r="X194" s="131"/>
    </row>
    <row r="195" spans="1:24" x14ac:dyDescent="0.3">
      <c r="A195" s="126"/>
      <c r="B195" s="127"/>
      <c r="C195" s="127"/>
      <c r="D195" s="127"/>
      <c r="E195" s="126"/>
      <c r="F195" s="126"/>
      <c r="H195" s="135"/>
      <c r="I195" s="127"/>
      <c r="K195" s="127"/>
      <c r="L195" s="127"/>
      <c r="M195" s="127"/>
      <c r="N195" s="137"/>
      <c r="O195" s="130"/>
      <c r="P195" s="131"/>
      <c r="Q195" s="130"/>
      <c r="R195" s="131"/>
      <c r="S195" s="130"/>
      <c r="T195" s="131"/>
      <c r="U195" s="130"/>
      <c r="V195" s="131"/>
      <c r="W195" s="130"/>
      <c r="X195" s="131"/>
    </row>
    <row r="196" spans="1:24" x14ac:dyDescent="0.3">
      <c r="A196" s="126"/>
      <c r="B196" s="127"/>
      <c r="C196" s="127"/>
      <c r="D196" s="127"/>
      <c r="E196" s="126"/>
      <c r="F196" s="126"/>
      <c r="H196" s="135"/>
      <c r="I196" s="127"/>
      <c r="K196" s="127"/>
      <c r="L196" s="127"/>
      <c r="M196" s="127"/>
      <c r="N196" s="137"/>
      <c r="O196" s="130"/>
      <c r="P196" s="131"/>
      <c r="Q196" s="130"/>
      <c r="R196" s="131"/>
      <c r="S196" s="130"/>
      <c r="T196" s="131"/>
      <c r="U196" s="130"/>
      <c r="V196" s="131"/>
      <c r="W196" s="130"/>
      <c r="X196" s="131"/>
    </row>
    <row r="197" spans="1:24" x14ac:dyDescent="0.3">
      <c r="A197" s="126"/>
      <c r="B197" s="127"/>
      <c r="C197" s="127"/>
      <c r="D197" s="127"/>
      <c r="E197" s="126"/>
      <c r="F197" s="126"/>
      <c r="H197" s="135"/>
      <c r="I197" s="127"/>
      <c r="K197" s="127"/>
      <c r="L197" s="127"/>
      <c r="M197" s="127"/>
      <c r="N197" s="137"/>
      <c r="O197" s="130"/>
      <c r="P197" s="131"/>
      <c r="Q197" s="130"/>
      <c r="R197" s="131"/>
      <c r="S197" s="130"/>
      <c r="T197" s="131"/>
      <c r="U197" s="130"/>
      <c r="V197" s="131"/>
      <c r="W197" s="130"/>
      <c r="X197" s="131"/>
    </row>
    <row r="198" spans="1:24" x14ac:dyDescent="0.3">
      <c r="A198" s="126"/>
      <c r="B198" s="127"/>
      <c r="C198" s="127"/>
      <c r="D198" s="127"/>
      <c r="E198" s="126"/>
      <c r="F198" s="126"/>
      <c r="H198" s="135"/>
      <c r="I198" s="127"/>
      <c r="K198" s="127"/>
      <c r="L198" s="127"/>
      <c r="M198" s="127"/>
      <c r="N198" s="137"/>
      <c r="O198" s="130"/>
      <c r="P198" s="131"/>
      <c r="Q198" s="130"/>
      <c r="R198" s="131"/>
      <c r="S198" s="130"/>
      <c r="T198" s="131"/>
      <c r="U198" s="130"/>
      <c r="V198" s="131"/>
      <c r="W198" s="130"/>
      <c r="X198" s="131"/>
    </row>
    <row r="199" spans="1:24" x14ac:dyDescent="0.3">
      <c r="A199" s="126"/>
      <c r="B199" s="127"/>
      <c r="C199" s="127"/>
      <c r="D199" s="127"/>
      <c r="E199" s="126"/>
      <c r="F199" s="126"/>
      <c r="H199" s="135"/>
      <c r="I199" s="127"/>
      <c r="K199" s="127"/>
      <c r="L199" s="127"/>
      <c r="M199" s="127"/>
      <c r="N199" s="137"/>
      <c r="O199" s="130"/>
      <c r="P199" s="131"/>
      <c r="Q199" s="130"/>
      <c r="R199" s="131"/>
      <c r="S199" s="130"/>
      <c r="T199" s="131"/>
      <c r="U199" s="130"/>
      <c r="V199" s="131"/>
      <c r="W199" s="130"/>
      <c r="X199" s="131"/>
    </row>
    <row r="200" spans="1:24" x14ac:dyDescent="0.3">
      <c r="A200" s="126"/>
      <c r="B200" s="127"/>
      <c r="C200" s="127"/>
      <c r="D200" s="127"/>
      <c r="E200" s="126"/>
      <c r="F200" s="126"/>
      <c r="H200" s="135"/>
      <c r="I200" s="127"/>
      <c r="K200" s="127"/>
      <c r="L200" s="127"/>
      <c r="M200" s="127"/>
      <c r="N200" s="137"/>
      <c r="O200" s="130"/>
      <c r="P200" s="131"/>
      <c r="Q200" s="130"/>
      <c r="R200" s="131"/>
      <c r="S200" s="130"/>
      <c r="T200" s="131"/>
      <c r="U200" s="130"/>
      <c r="V200" s="131"/>
      <c r="W200" s="130"/>
      <c r="X200" s="131"/>
    </row>
    <row r="201" spans="1:24" x14ac:dyDescent="0.3">
      <c r="A201" s="126"/>
      <c r="B201" s="127"/>
      <c r="C201" s="127"/>
      <c r="D201" s="127"/>
      <c r="E201" s="126"/>
      <c r="F201" s="126"/>
      <c r="H201" s="135"/>
      <c r="I201" s="127"/>
      <c r="K201" s="127"/>
      <c r="L201" s="127"/>
      <c r="M201" s="127"/>
      <c r="N201" s="137"/>
      <c r="O201" s="130"/>
      <c r="P201" s="131"/>
      <c r="Q201" s="130"/>
      <c r="R201" s="131"/>
      <c r="S201" s="130"/>
      <c r="T201" s="131"/>
      <c r="U201" s="130"/>
      <c r="V201" s="131"/>
      <c r="W201" s="130"/>
      <c r="X201" s="131"/>
    </row>
    <row r="202" spans="1:24" x14ac:dyDescent="0.3">
      <c r="A202" s="126"/>
      <c r="B202" s="127"/>
      <c r="C202" s="127"/>
      <c r="D202" s="127"/>
      <c r="E202" s="126"/>
      <c r="F202" s="126"/>
      <c r="H202" s="135"/>
      <c r="I202" s="127"/>
      <c r="K202" s="127"/>
      <c r="L202" s="127"/>
      <c r="M202" s="127"/>
      <c r="N202" s="137"/>
      <c r="O202" s="130"/>
      <c r="P202" s="131"/>
      <c r="Q202" s="130"/>
      <c r="R202" s="131"/>
      <c r="S202" s="130"/>
      <c r="T202" s="131"/>
      <c r="U202" s="130"/>
      <c r="V202" s="131"/>
      <c r="W202" s="130"/>
      <c r="X202" s="131"/>
    </row>
  </sheetData>
  <sheetProtection algorithmName="SHA-512" hashValue="NGB3UW96zjrj+YlZfwkts8jAAnZVXLF+5EV3KC+LQBCLUhVWKsrCFozqX6wr8Tj9u3LBmUaYqefWg0Eg80qMRw==" saltValue="ideoUxoNJz0Hm+rCDGj0Pw==" spinCount="100000" sheet="1" objects="1" scenarios="1"/>
  <conditionalFormatting sqref="A3:X3 A4:F202 G4:G202 H4:I202 J4:J202 K4:X202">
    <cfRule type="expression" dxfId="85" priority="349">
      <formula>AND(COUNTA($A3:$X3)=0,ROW()&lt;&gt;3)</formula>
    </cfRule>
  </conditionalFormatting>
  <conditionalFormatting sqref="F3:G3 A3:B202 F4:F202 G4:G202">
    <cfRule type="expression" dxfId="84" priority="348">
      <formula>AND(COUNTA($A3:$X3)&gt;0,A3="")</formula>
    </cfRule>
  </conditionalFormatting>
  <conditionalFormatting sqref="I3:J3 I4:I202 J4:J202">
    <cfRule type="expression" dxfId="83" priority="101">
      <formula>OR(ISBLANK($G3),MATCH($G3,Options_UnitsEnergy,0)&gt;0)</formula>
    </cfRule>
    <cfRule type="expression" dxfId="82" priority="104">
      <formula>AND(COUNTA($A3:$N3)&gt;0,I3="")</formula>
    </cfRule>
  </conditionalFormatting>
  <conditionalFormatting sqref="P3:P202">
    <cfRule type="expression" dxfId="81" priority="364">
      <formula>AND($O3="",COUNTA($O3:$P3)=0)</formula>
    </cfRule>
  </conditionalFormatting>
  <conditionalFormatting sqref="R3:R202">
    <cfRule type="expression" dxfId="80" priority="362">
      <formula>AND($Q3="",COUNTA($Q3:$R3)=0)</formula>
    </cfRule>
  </conditionalFormatting>
  <conditionalFormatting sqref="T3:T202">
    <cfRule type="expression" dxfId="79" priority="361">
      <formula>AND($S3="",COUNTA($S3:$T3)=0)</formula>
    </cfRule>
  </conditionalFormatting>
  <conditionalFormatting sqref="V3:V202">
    <cfRule type="expression" dxfId="78" priority="357">
      <formula>AND($U3="",COUNTA($U3:$V3)=0)</formula>
    </cfRule>
  </conditionalFormatting>
  <conditionalFormatting sqref="X3:X202">
    <cfRule type="expression" dxfId="77" priority="353">
      <formula>AND($W3="",COUNTA($W3:$X3)=0)</formula>
    </cfRule>
  </conditionalFormatting>
  <dataValidations count="5">
    <dataValidation type="list" allowBlank="1" showInputMessage="1" showErrorMessage="1" sqref="E3:E202" xr:uid="{B633C475-32DE-4163-86D0-447B43ECB6D1}">
      <formula1>Options_Calendarizing</formula1>
    </dataValidation>
    <dataValidation type="list" allowBlank="1" showInputMessage="1" showErrorMessage="1" sqref="A3:A202" xr:uid="{A87F2622-9523-467E-87F3-A95867F20AD1}">
      <formula1>List_Facilities</formula1>
    </dataValidation>
    <dataValidation type="list" allowBlank="1" showInputMessage="1" showErrorMessage="1" sqref="J3:J202" xr:uid="{6F9E030A-CF42-4065-9E55-BC9442EBBE33}">
      <formula1>Options_UnitsEnergy</formula1>
    </dataValidation>
    <dataValidation type="list" allowBlank="1" showInputMessage="1" showErrorMessage="1" sqref="F3" xr:uid="{4F736E60-1D4F-4129-9AA4-D60FE7CE99F6}">
      <formula1>Options_OtherEnergyTypes</formula1>
    </dataValidation>
    <dataValidation type="list" allowBlank="1" showInputMessage="1" showErrorMessage="1" sqref="G3:G202" xr:uid="{D4C8A092-4942-4F86-9AB8-42821F493645}">
      <formula1>IF(ISBLANK(F3),,Units_OtherEnergyCollection)</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E35F2F6-96DE-447C-AF41-57048FE9D130}">
          <x14:formula1>
            <xm:f>HIDE_ENERGY!$A$2:$A$7</xm:f>
          </x14:formula1>
          <xm:sqref>F4:F202</xm:sqref>
        </x14:dataValidation>
        <x14:dataValidation type="list" allowBlank="1" showInputMessage="1" showErrorMessage="1" xr:uid="{DF76A8B6-45A8-425C-A80C-CCD99AEEB583}">
          <x14:formula1>
            <xm:f>HIDE_ENERGY!$C$2:$C$6</xm:f>
          </x14:formula1>
          <xm:sqref>R3:R202 T3:T202 V3:V202 X3:X202 P3:P202</xm:sqref>
        </x14:dataValidation>
      </x14:dataValidations>
    </ext>
  </extLst>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B7973-096C-4745-9573-7069B2CF8A18}">
  <sheetPr codeName="Sheet14">
    <tabColor rgb="FFE377C2"/>
  </sheetPr>
  <dimension ref="A1:T502"/>
  <sheetViews>
    <sheetView workbookViewId="0">
      <selection activeCell="B11" sqref="B11"/>
    </sheetView>
  </sheetViews>
  <sheetFormatPr defaultColWidth="0" defaultRowHeight="14" zeroHeight="1" x14ac:dyDescent="0.3"/>
  <cols>
    <col min="1" max="20" width="16.7265625" style="45" customWidth="1"/>
    <col min="21" max="16384" width="9.1796875" style="45" hidden="1"/>
  </cols>
  <sheetData>
    <row r="1" spans="1:20" ht="30" customHeight="1" x14ac:dyDescent="0.3">
      <c r="A1" s="73" t="s">
        <v>827</v>
      </c>
      <c r="B1" s="76"/>
      <c r="C1" s="74"/>
      <c r="D1" s="74"/>
      <c r="E1" s="75"/>
      <c r="F1" s="43" t="s">
        <v>793</v>
      </c>
      <c r="G1" s="44"/>
      <c r="H1" s="44"/>
      <c r="I1" s="44"/>
      <c r="J1" s="44"/>
      <c r="K1" s="44"/>
      <c r="L1" s="44"/>
      <c r="M1" s="44"/>
      <c r="N1" s="44"/>
      <c r="O1" s="44"/>
      <c r="P1" s="44"/>
      <c r="Q1" s="44"/>
      <c r="R1" s="44"/>
      <c r="S1" s="44"/>
      <c r="T1" s="44"/>
    </row>
    <row r="2" spans="1:20" ht="30" customHeight="1" x14ac:dyDescent="0.3">
      <c r="A2" s="99" t="s">
        <v>22</v>
      </c>
      <c r="B2" s="105" t="s">
        <v>30</v>
      </c>
      <c r="C2" s="100" t="s">
        <v>34</v>
      </c>
      <c r="D2" s="114" t="s">
        <v>538</v>
      </c>
      <c r="E2" s="101" t="s">
        <v>33</v>
      </c>
      <c r="F2" s="54" t="str" cm="1">
        <f>IF(INDEX(List_ChargeNumbers_OtherEnergy, 1, ROUNDUP((COLUMN()-0)/3-1,0)) = 0,"",INDEX(List_ChargeNumbers_OtherEnergy, 2, ROUNDUP((COLUMN()+0)/3-1,0))&amp;" Name")</f>
        <v/>
      </c>
      <c r="G2" s="55" t="str" cm="1">
        <f>IF(INDEX(List_ChargeNumbers_OtherEnergy, 1, ROUNDUP((COLUMN()-0)/3-2,0)) = 0,"",INDEX(List_ChargeNumbers_OtherEnergy, 2, ROUNDUP((COLUMN()+0)/3-2,0))&amp;" Reading")</f>
        <v/>
      </c>
      <c r="H2" s="56" t="str" cm="1">
        <f>IF(INDEX(List_ChargeNumbers_OtherEnergy, 1, ROUNDUP((COLUMN()-0)/3-2,0)) = 0,"",INDEX(List_ChargeNumbers_OtherEnergy, 2, ROUNDUP((COLUMN()+0)/3-2,0))&amp;" Cost")</f>
        <v/>
      </c>
      <c r="I2" s="54" t="str" cm="1">
        <f>IF(INDEX(List_ChargeNumbers_OtherEnergy, 1, ROUNDUP((COLUMN()-0)/3-1,0)) = 0,"",INDEX(List_ChargeNumbers_OtherEnergy, 2, ROUNDUP((COLUMN()+0)/3-1,0))&amp;" Name")</f>
        <v/>
      </c>
      <c r="J2" s="55" t="str" cm="1">
        <f>IF(INDEX(List_ChargeNumbers_OtherEnergy, 1, ROUNDUP((COLUMN()-0)/3-2,0)) = 0,"",INDEX(List_ChargeNumbers_OtherEnergy, 2, ROUNDUP((COLUMN()+0)/3-2,0))&amp;" Reading")</f>
        <v/>
      </c>
      <c r="K2" s="56" t="str" cm="1">
        <f>IF(INDEX(List_ChargeNumbers_OtherEnergy, 1, ROUNDUP((COLUMN()-0)/3-2,0)) = 0,"",INDEX(List_ChargeNumbers_OtherEnergy, 2, ROUNDUP((COLUMN()+0)/3-2,0))&amp;" Cost")</f>
        <v/>
      </c>
      <c r="L2" s="54" t="str" cm="1">
        <f>IF(INDEX(List_ChargeNumbers_OtherEnergy, 1, ROUNDUP((COLUMN()-0)/3-1,0)) = 0,"",INDEX(List_ChargeNumbers_OtherEnergy, 2, ROUNDUP((COLUMN()+0)/3-1,0))&amp;" Name")</f>
        <v/>
      </c>
      <c r="M2" s="55" t="str" cm="1">
        <f>IF(INDEX(List_ChargeNumbers_OtherEnergy, 1, ROUNDUP((COLUMN()-0)/3-2,0)) = 0,"",INDEX(List_ChargeNumbers_OtherEnergy, 2, ROUNDUP((COLUMN()+0)/3-2,0))&amp;" Reading")</f>
        <v/>
      </c>
      <c r="N2" s="56" t="str" cm="1">
        <f>IF(INDEX(List_ChargeNumbers_OtherEnergy, 1, ROUNDUP((COLUMN()-0)/3-2,0)) = 0,"",INDEX(List_ChargeNumbers_OtherEnergy, 2, ROUNDUP((COLUMN()+0)/3-2,0))&amp;" Cost")</f>
        <v/>
      </c>
      <c r="O2" s="54" t="str" cm="1">
        <f>IF(INDEX(List_ChargeNumbers_OtherEnergy, 1, ROUNDUP((COLUMN()-0)/3-1,0)) = 0,"",INDEX(List_ChargeNumbers_OtherEnergy, 2, ROUNDUP((COLUMN()+0)/3-1,0))&amp;" Name")</f>
        <v/>
      </c>
      <c r="P2" s="55" t="str" cm="1">
        <f>IF(INDEX(List_ChargeNumbers_OtherEnergy, 1, ROUNDUP((COLUMN()-0)/3-2,0)) = 0,"",INDEX(List_ChargeNumbers_OtherEnergy, 2, ROUNDUP((COLUMN()+0)/3-2,0))&amp;" Reading")</f>
        <v/>
      </c>
      <c r="Q2" s="56" t="str" cm="1">
        <f>IF(INDEX(List_ChargeNumbers_OtherEnergy, 1, ROUNDUP((COLUMN()-0)/3-2,0)) = 0,"",INDEX(List_ChargeNumbers_OtherEnergy, 2, ROUNDUP((COLUMN()+0)/3-2,0))&amp;" Cost")</f>
        <v/>
      </c>
      <c r="R2" s="54" t="str" cm="1">
        <f>IF(INDEX(List_ChargeNumbers_OtherEnergy, 1, ROUNDUP((COLUMN()-0)/3-1,0)) = 0,"",INDEX(List_ChargeNumbers_OtherEnergy, 2, ROUNDUP((COLUMN()+0)/3-1,0))&amp;" Name")</f>
        <v/>
      </c>
      <c r="S2" s="55" t="str" cm="1">
        <f>IF(INDEX(List_ChargeNumbers_OtherEnergy, 1, ROUNDUP((COLUMN()-0)/3-2,0)) = 0,"",INDEX(List_ChargeNumbers_OtherEnergy, 2, ROUNDUP((COLUMN()+0)/3-2,0))&amp;" Reading")</f>
        <v/>
      </c>
      <c r="T2" s="56" t="str" cm="1">
        <f>IF(INDEX(List_ChargeNumbers_OtherEnergy, 1, ROUNDUP((COLUMN()-0)/3-2,0)) = 0,"",INDEX(List_ChargeNumbers_OtherEnergy, 2, ROUNDUP((COLUMN()+0)/3-2,0))&amp;" Cost")</f>
        <v/>
      </c>
    </row>
    <row r="3" spans="1:20" x14ac:dyDescent="0.3">
      <c r="A3" s="126"/>
      <c r="B3" s="133"/>
      <c r="C3" s="127"/>
      <c r="D3" s="138"/>
      <c r="E3" s="137"/>
      <c r="F3" s="58" t="str" cm="1">
        <f>IF(ISBLANK($A3),"",INDEX(Array_OtherEnergyCharges,MATCH($A3,List_OtherEnergyMeters,0),ROUNDUP((COLUMN()+1)/3-2,0)))</f>
        <v/>
      </c>
      <c r="G3" s="127"/>
      <c r="H3" s="137"/>
      <c r="I3" s="58" t="str" cm="1">
        <f>IF(ISBLANK($A3),"",INDEX(Array_OtherEnergyCharges,MATCH($A3,List_OtherEnergyMeters,0),ROUNDUP((COLUMN()+1)/3-2,0)))</f>
        <v/>
      </c>
      <c r="J3" s="127"/>
      <c r="K3" s="137"/>
      <c r="L3" s="58" t="str" cm="1">
        <f>IF(ISBLANK($A3),"",INDEX(Array_OtherEnergyCharges,MATCH($A3,List_OtherEnergyMeters,0),ROUNDUP((COLUMN()+1)/3-2,0)))</f>
        <v/>
      </c>
      <c r="M3" s="127"/>
      <c r="N3" s="137"/>
      <c r="O3" s="58" t="str" cm="1">
        <f>IF(ISBLANK($A3),"",INDEX(Array_OtherEnergyCharges,MATCH($A3,List_OtherEnergyMeters,0),ROUNDUP((COLUMN()+1)/3-2,0)))</f>
        <v/>
      </c>
      <c r="P3" s="127"/>
      <c r="Q3" s="137"/>
      <c r="R3" s="58" t="str" cm="1">
        <f>IF(ISBLANK($A3),"",INDEX(Array_OtherEnergyCharges,MATCH($A3,List_OtherEnergyMeters,0),ROUNDUP((COLUMN()+1)/3-2,0)))</f>
        <v/>
      </c>
      <c r="S3" s="127"/>
      <c r="T3" s="137"/>
    </row>
    <row r="4" spans="1:20" x14ac:dyDescent="0.3">
      <c r="A4" s="126"/>
      <c r="B4" s="133"/>
      <c r="C4" s="127"/>
      <c r="D4" s="138"/>
      <c r="E4" s="137"/>
      <c r="F4" s="58" t="str" cm="1">
        <f>IF(ISBLANK($A4),"",INDEX(Array_OtherEnergyCharges,MATCH($A4,List_OtherEnergyMeters,0),ROUNDUP((COLUMN()+1)/3-2,0)))</f>
        <v/>
      </c>
      <c r="G4" s="127"/>
      <c r="H4" s="137"/>
      <c r="I4" s="58" t="str" cm="1">
        <f>IF(ISBLANK($A4),"",INDEX(Array_OtherEnergyCharges,MATCH($A4,List_OtherEnergyMeters,0),ROUNDUP((COLUMN()+1)/3-2,0)))</f>
        <v/>
      </c>
      <c r="J4" s="127"/>
      <c r="K4" s="137"/>
      <c r="L4" s="58" t="str" cm="1">
        <f>IF(ISBLANK($A4),"",INDEX(Array_OtherEnergyCharges,MATCH($A4,List_OtherEnergyMeters,0),ROUNDUP((COLUMN()+1)/3-2,0)))</f>
        <v/>
      </c>
      <c r="M4" s="127"/>
      <c r="N4" s="137"/>
      <c r="O4" s="58" t="str" cm="1">
        <f>IF(ISBLANK($A4),"",INDEX(Array_OtherEnergyCharges,MATCH($A4,List_OtherEnergyMeters,0),ROUNDUP((COLUMN()+1)/3-2,0)))</f>
        <v/>
      </c>
      <c r="P4" s="127"/>
      <c r="Q4" s="137"/>
      <c r="R4" s="58" t="str" cm="1">
        <f>IF(ISBLANK($A4),"",INDEX(Array_OtherEnergyCharges,MATCH($A4,List_OtherEnergyMeters,0),ROUNDUP((COLUMN()+1)/3-2,0)))</f>
        <v/>
      </c>
      <c r="S4" s="127"/>
      <c r="T4" s="137"/>
    </row>
    <row r="5" spans="1:20" x14ac:dyDescent="0.3">
      <c r="A5" s="126"/>
      <c r="B5" s="133"/>
      <c r="C5" s="127"/>
      <c r="D5" s="138"/>
      <c r="E5" s="137"/>
      <c r="F5" s="58" t="str" cm="1">
        <f>IF(ISBLANK($A5),"",INDEX(Array_OtherEnergyCharges,MATCH($A5,List_OtherEnergyMeters,0),ROUNDUP((COLUMN()+1)/3-2,0)))</f>
        <v/>
      </c>
      <c r="G5" s="127"/>
      <c r="H5" s="137"/>
      <c r="I5" s="58" t="str" cm="1">
        <f>IF(ISBLANK($A5),"",INDEX(Array_OtherEnergyCharges,MATCH($A5,List_OtherEnergyMeters,0),ROUNDUP((COLUMN()+1)/3-2,0)))</f>
        <v/>
      </c>
      <c r="J5" s="127"/>
      <c r="K5" s="137"/>
      <c r="L5" s="58" t="str" cm="1">
        <f>IF(ISBLANK($A5),"",INDEX(Array_OtherEnergyCharges,MATCH($A5,List_OtherEnergyMeters,0),ROUNDUP((COLUMN()+1)/3-2,0)))</f>
        <v/>
      </c>
      <c r="M5" s="127"/>
      <c r="N5" s="137"/>
      <c r="O5" s="58" t="str" cm="1">
        <f>IF(ISBLANK($A5),"",INDEX(Array_OtherEnergyCharges,MATCH($A5,List_OtherEnergyMeters,0),ROUNDUP((COLUMN()+1)/3-2,0)))</f>
        <v/>
      </c>
      <c r="P5" s="127"/>
      <c r="Q5" s="137"/>
      <c r="R5" s="58" t="str" cm="1">
        <f>IF(ISBLANK($A5),"",INDEX(Array_OtherEnergyCharges,MATCH($A5,List_OtherEnergyMeters,0),ROUNDUP((COLUMN()+1)/3-2,0)))</f>
        <v/>
      </c>
      <c r="S5" s="127"/>
      <c r="T5" s="137"/>
    </row>
    <row r="6" spans="1:20" x14ac:dyDescent="0.3">
      <c r="A6" s="126"/>
      <c r="B6" s="133"/>
      <c r="C6" s="127"/>
      <c r="D6" s="138"/>
      <c r="E6" s="137"/>
      <c r="F6" s="58" t="str" cm="1">
        <f>IF(ISBLANK($A6),"",INDEX(Array_OtherEnergyCharges,MATCH($A6,List_OtherEnergyMeters,0),ROUNDUP((COLUMN()+1)/3-2,0)))</f>
        <v/>
      </c>
      <c r="G6" s="127"/>
      <c r="H6" s="137"/>
      <c r="I6" s="58" t="str" cm="1">
        <f>IF(ISBLANK($A6),"",INDEX(Array_OtherEnergyCharges,MATCH($A6,List_OtherEnergyMeters,0),ROUNDUP((COLUMN()+1)/3-2,0)))</f>
        <v/>
      </c>
      <c r="J6" s="127"/>
      <c r="K6" s="137"/>
      <c r="L6" s="58" t="str" cm="1">
        <f>IF(ISBLANK($A6),"",INDEX(Array_OtherEnergyCharges,MATCH($A6,List_OtherEnergyMeters,0),ROUNDUP((COLUMN()+1)/3-2,0)))</f>
        <v/>
      </c>
      <c r="M6" s="127"/>
      <c r="N6" s="137"/>
      <c r="O6" s="58" t="str" cm="1">
        <f>IF(ISBLANK($A6),"",INDEX(Array_OtherEnergyCharges,MATCH($A6,List_OtherEnergyMeters,0),ROUNDUP((COLUMN()+1)/3-2,0)))</f>
        <v/>
      </c>
      <c r="P6" s="127"/>
      <c r="Q6" s="137"/>
      <c r="R6" s="58" t="str" cm="1">
        <f>IF(ISBLANK($A6),"",INDEX(Array_OtherEnergyCharges,MATCH($A6,List_OtherEnergyMeters,0),ROUNDUP((COLUMN()+1)/3-2,0)))</f>
        <v/>
      </c>
      <c r="S6" s="127"/>
      <c r="T6" s="137"/>
    </row>
    <row r="7" spans="1:20" x14ac:dyDescent="0.3">
      <c r="A7" s="126"/>
      <c r="B7" s="133"/>
      <c r="C7" s="127"/>
      <c r="D7" s="138"/>
      <c r="E7" s="137"/>
      <c r="F7" s="58" t="str" cm="1">
        <f>IF(ISBLANK($A7),"",INDEX(Array_OtherEnergyCharges,MATCH($A7,List_OtherEnergyMeters,0),ROUNDUP((COLUMN()+1)/3-2,0)))</f>
        <v/>
      </c>
      <c r="G7" s="127"/>
      <c r="H7" s="137"/>
      <c r="I7" s="58" t="str" cm="1">
        <f>IF(ISBLANK($A7),"",INDEX(Array_OtherEnergyCharges,MATCH($A7,List_OtherEnergyMeters,0),ROUNDUP((COLUMN()+1)/3-2,0)))</f>
        <v/>
      </c>
      <c r="J7" s="127"/>
      <c r="K7" s="137"/>
      <c r="L7" s="58" t="str" cm="1">
        <f>IF(ISBLANK($A7),"",INDEX(Array_OtherEnergyCharges,MATCH($A7,List_OtherEnergyMeters,0),ROUNDUP((COLUMN()+1)/3-2,0)))</f>
        <v/>
      </c>
      <c r="M7" s="127"/>
      <c r="N7" s="137"/>
      <c r="O7" s="58" t="str" cm="1">
        <f>IF(ISBLANK($A7),"",INDEX(Array_OtherEnergyCharges,MATCH($A7,List_OtherEnergyMeters,0),ROUNDUP((COLUMN()+1)/3-2,0)))</f>
        <v/>
      </c>
      <c r="P7" s="127"/>
      <c r="Q7" s="137"/>
      <c r="R7" s="58" t="str" cm="1">
        <f>IF(ISBLANK($A7),"",INDEX(Array_OtherEnergyCharges,MATCH($A7,List_OtherEnergyMeters,0),ROUNDUP((COLUMN()+1)/3-2,0)))</f>
        <v/>
      </c>
      <c r="S7" s="127"/>
      <c r="T7" s="137"/>
    </row>
    <row r="8" spans="1:20" x14ac:dyDescent="0.3">
      <c r="A8" s="126"/>
      <c r="B8" s="133"/>
      <c r="C8" s="127"/>
      <c r="D8" s="138"/>
      <c r="E8" s="137"/>
      <c r="F8" s="58" t="str" cm="1">
        <f>IF(ISBLANK($A8),"",INDEX(Array_OtherEnergyCharges,MATCH($A8,List_OtherEnergyMeters,0),ROUNDUP((COLUMN()+1)/3-2,0)))</f>
        <v/>
      </c>
      <c r="G8" s="127"/>
      <c r="H8" s="137"/>
      <c r="I8" s="58" t="str" cm="1">
        <f>IF(ISBLANK($A8),"",INDEX(Array_OtherEnergyCharges,MATCH($A8,List_OtherEnergyMeters,0),ROUNDUP((COLUMN()+1)/3-2,0)))</f>
        <v/>
      </c>
      <c r="J8" s="127"/>
      <c r="K8" s="137"/>
      <c r="L8" s="58" t="str" cm="1">
        <f>IF(ISBLANK($A8),"",INDEX(Array_OtherEnergyCharges,MATCH($A8,List_OtherEnergyMeters,0),ROUNDUP((COLUMN()+1)/3-2,0)))</f>
        <v/>
      </c>
      <c r="M8" s="127"/>
      <c r="N8" s="137"/>
      <c r="O8" s="58" t="str" cm="1">
        <f>IF(ISBLANK($A8),"",INDEX(Array_OtherEnergyCharges,MATCH($A8,List_OtherEnergyMeters,0),ROUNDUP((COLUMN()+1)/3-2,0)))</f>
        <v/>
      </c>
      <c r="P8" s="127"/>
      <c r="Q8" s="137"/>
      <c r="R8" s="58" t="str" cm="1">
        <f>IF(ISBLANK($A8),"",INDEX(Array_OtherEnergyCharges,MATCH($A8,List_OtherEnergyMeters,0),ROUNDUP((COLUMN()+1)/3-2,0)))</f>
        <v/>
      </c>
      <c r="S8" s="127"/>
      <c r="T8" s="137"/>
    </row>
    <row r="9" spans="1:20" x14ac:dyDescent="0.3">
      <c r="A9" s="126"/>
      <c r="B9" s="133"/>
      <c r="C9" s="127"/>
      <c r="D9" s="138"/>
      <c r="E9" s="137"/>
      <c r="F9" s="58" t="str" cm="1">
        <f>IF(ISBLANK($A9),"",INDEX(Array_OtherEnergyCharges,MATCH($A9,List_OtherEnergyMeters,0),ROUNDUP((COLUMN()+1)/3-2,0)))</f>
        <v/>
      </c>
      <c r="G9" s="127"/>
      <c r="H9" s="137"/>
      <c r="I9" s="58" t="str" cm="1">
        <f>IF(ISBLANK($A9),"",INDEX(Array_OtherEnergyCharges,MATCH($A9,List_OtherEnergyMeters,0),ROUNDUP((COLUMN()+1)/3-2,0)))</f>
        <v/>
      </c>
      <c r="J9" s="127"/>
      <c r="K9" s="137"/>
      <c r="L9" s="58" t="str" cm="1">
        <f>IF(ISBLANK($A9),"",INDEX(Array_OtherEnergyCharges,MATCH($A9,List_OtherEnergyMeters,0),ROUNDUP((COLUMN()+1)/3-2,0)))</f>
        <v/>
      </c>
      <c r="M9" s="127"/>
      <c r="N9" s="137"/>
      <c r="O9" s="58" t="str" cm="1">
        <f>IF(ISBLANK($A9),"",INDEX(Array_OtherEnergyCharges,MATCH($A9,List_OtherEnergyMeters,0),ROUNDUP((COLUMN()+1)/3-2,0)))</f>
        <v/>
      </c>
      <c r="P9" s="127"/>
      <c r="Q9" s="137"/>
      <c r="R9" s="58" t="str" cm="1">
        <f>IF(ISBLANK($A9),"",INDEX(Array_OtherEnergyCharges,MATCH($A9,List_OtherEnergyMeters,0),ROUNDUP((COLUMN()+1)/3-2,0)))</f>
        <v/>
      </c>
      <c r="S9" s="127"/>
      <c r="T9" s="137"/>
    </row>
    <row r="10" spans="1:20" x14ac:dyDescent="0.3">
      <c r="A10" s="126"/>
      <c r="B10" s="133"/>
      <c r="C10" s="127"/>
      <c r="D10" s="138"/>
      <c r="E10" s="137"/>
      <c r="F10" s="58" t="str" cm="1">
        <f>IF(ISBLANK($A10),"",INDEX(Array_OtherEnergyCharges,MATCH($A10,List_OtherEnergyMeters,0),ROUNDUP((COLUMN()+1)/3-2,0)))</f>
        <v/>
      </c>
      <c r="G10" s="127"/>
      <c r="H10" s="137"/>
      <c r="I10" s="58" t="str" cm="1">
        <f>IF(ISBLANK($A10),"",INDEX(Array_OtherEnergyCharges,MATCH($A10,List_OtherEnergyMeters,0),ROUNDUP((COLUMN()+1)/3-2,0)))</f>
        <v/>
      </c>
      <c r="J10" s="127"/>
      <c r="K10" s="137"/>
      <c r="L10" s="58" t="str" cm="1">
        <f>IF(ISBLANK($A10),"",INDEX(Array_OtherEnergyCharges,MATCH($A10,List_OtherEnergyMeters,0),ROUNDUP((COLUMN()+1)/3-2,0)))</f>
        <v/>
      </c>
      <c r="M10" s="127"/>
      <c r="N10" s="137"/>
      <c r="O10" s="58" t="str" cm="1">
        <f>IF(ISBLANK($A10),"",INDEX(Array_OtherEnergyCharges,MATCH($A10,List_OtherEnergyMeters,0),ROUNDUP((COLUMN()+1)/3-2,0)))</f>
        <v/>
      </c>
      <c r="P10" s="127"/>
      <c r="Q10" s="137"/>
      <c r="R10" s="58" t="str" cm="1">
        <f>IF(ISBLANK($A10),"",INDEX(Array_OtherEnergyCharges,MATCH($A10,List_OtherEnergyMeters,0),ROUNDUP((COLUMN()+1)/3-2,0)))</f>
        <v/>
      </c>
      <c r="S10" s="127"/>
      <c r="T10" s="137"/>
    </row>
    <row r="11" spans="1:20" x14ac:dyDescent="0.3">
      <c r="A11" s="126"/>
      <c r="B11" s="133"/>
      <c r="C11" s="127"/>
      <c r="D11" s="138"/>
      <c r="E11" s="137"/>
      <c r="F11" s="58" t="str" cm="1">
        <f>IF(ISBLANK($A11),"",INDEX(Array_OtherEnergyCharges,MATCH($A11,List_OtherEnergyMeters,0),ROUNDUP((COLUMN()+1)/3-2,0)))</f>
        <v/>
      </c>
      <c r="G11" s="127"/>
      <c r="H11" s="137"/>
      <c r="I11" s="58" t="str" cm="1">
        <f>IF(ISBLANK($A11),"",INDEX(Array_OtherEnergyCharges,MATCH($A11,List_OtherEnergyMeters,0),ROUNDUP((COLUMN()+1)/3-2,0)))</f>
        <v/>
      </c>
      <c r="J11" s="127"/>
      <c r="K11" s="137"/>
      <c r="L11" s="58" t="str" cm="1">
        <f>IF(ISBLANK($A11),"",INDEX(Array_OtherEnergyCharges,MATCH($A11,List_OtherEnergyMeters,0),ROUNDUP((COLUMN()+1)/3-2,0)))</f>
        <v/>
      </c>
      <c r="M11" s="127"/>
      <c r="N11" s="137"/>
      <c r="O11" s="58" t="str" cm="1">
        <f>IF(ISBLANK($A11),"",INDEX(Array_OtherEnergyCharges,MATCH($A11,List_OtherEnergyMeters,0),ROUNDUP((COLUMN()+1)/3-2,0)))</f>
        <v/>
      </c>
      <c r="P11" s="127"/>
      <c r="Q11" s="137"/>
      <c r="R11" s="58" t="str" cm="1">
        <f>IF(ISBLANK($A11),"",INDEX(Array_OtherEnergyCharges,MATCH($A11,List_OtherEnergyMeters,0),ROUNDUP((COLUMN()+1)/3-2,0)))</f>
        <v/>
      </c>
      <c r="S11" s="127"/>
      <c r="T11" s="137"/>
    </row>
    <row r="12" spans="1:20" x14ac:dyDescent="0.3">
      <c r="A12" s="126"/>
      <c r="B12" s="133"/>
      <c r="C12" s="127"/>
      <c r="D12" s="138"/>
      <c r="E12" s="137"/>
      <c r="F12" s="58" t="str" cm="1">
        <f>IF(ISBLANK($A12),"",INDEX(Array_OtherEnergyCharges,MATCH($A12,List_OtherEnergyMeters,0),ROUNDUP((COLUMN()+1)/3-2,0)))</f>
        <v/>
      </c>
      <c r="G12" s="127"/>
      <c r="H12" s="137"/>
      <c r="I12" s="58" t="str" cm="1">
        <f>IF(ISBLANK($A12),"",INDEX(Array_OtherEnergyCharges,MATCH($A12,List_OtherEnergyMeters,0),ROUNDUP((COLUMN()+1)/3-2,0)))</f>
        <v/>
      </c>
      <c r="J12" s="127"/>
      <c r="K12" s="137"/>
      <c r="L12" s="58" t="str" cm="1">
        <f>IF(ISBLANK($A12),"",INDEX(Array_OtherEnergyCharges,MATCH($A12,List_OtherEnergyMeters,0),ROUNDUP((COLUMN()+1)/3-2,0)))</f>
        <v/>
      </c>
      <c r="M12" s="127"/>
      <c r="N12" s="137"/>
      <c r="O12" s="58" t="str" cm="1">
        <f>IF(ISBLANK($A12),"",INDEX(Array_OtherEnergyCharges,MATCH($A12,List_OtherEnergyMeters,0),ROUNDUP((COLUMN()+1)/3-2,0)))</f>
        <v/>
      </c>
      <c r="P12" s="127"/>
      <c r="Q12" s="137"/>
      <c r="R12" s="58" t="str" cm="1">
        <f>IF(ISBLANK($A12),"",INDEX(Array_OtherEnergyCharges,MATCH($A12,List_OtherEnergyMeters,0),ROUNDUP((COLUMN()+1)/3-2,0)))</f>
        <v/>
      </c>
      <c r="S12" s="127"/>
      <c r="T12" s="137"/>
    </row>
    <row r="13" spans="1:20" x14ac:dyDescent="0.3">
      <c r="A13" s="126"/>
      <c r="B13" s="133"/>
      <c r="C13" s="127"/>
      <c r="D13" s="138"/>
      <c r="E13" s="137"/>
      <c r="F13" s="58" t="str" cm="1">
        <f>IF(ISBLANK($A13),"",INDEX(Array_OtherEnergyCharges,MATCH($A13,List_OtherEnergyMeters,0),ROUNDUP((COLUMN()+1)/3-2,0)))</f>
        <v/>
      </c>
      <c r="G13" s="127"/>
      <c r="H13" s="137"/>
      <c r="I13" s="58" t="str" cm="1">
        <f>IF(ISBLANK($A13),"",INDEX(Array_OtherEnergyCharges,MATCH($A13,List_OtherEnergyMeters,0),ROUNDUP((COLUMN()+1)/3-2,0)))</f>
        <v/>
      </c>
      <c r="J13" s="127"/>
      <c r="K13" s="137"/>
      <c r="L13" s="58" t="str" cm="1">
        <f>IF(ISBLANK($A13),"",INDEX(Array_OtherEnergyCharges,MATCH($A13,List_OtherEnergyMeters,0),ROUNDUP((COLUMN()+1)/3-2,0)))</f>
        <v/>
      </c>
      <c r="M13" s="127"/>
      <c r="N13" s="137"/>
      <c r="O13" s="58" t="str" cm="1">
        <f>IF(ISBLANK($A13),"",INDEX(Array_OtherEnergyCharges,MATCH($A13,List_OtherEnergyMeters,0),ROUNDUP((COLUMN()+1)/3-2,0)))</f>
        <v/>
      </c>
      <c r="P13" s="127"/>
      <c r="Q13" s="137"/>
      <c r="R13" s="58" t="str" cm="1">
        <f>IF(ISBLANK($A13),"",INDEX(Array_OtherEnergyCharges,MATCH($A13,List_OtherEnergyMeters,0),ROUNDUP((COLUMN()+1)/3-2,0)))</f>
        <v/>
      </c>
      <c r="S13" s="127"/>
      <c r="T13" s="137"/>
    </row>
    <row r="14" spans="1:20" x14ac:dyDescent="0.3">
      <c r="A14" s="126"/>
      <c r="B14" s="133"/>
      <c r="C14" s="127"/>
      <c r="D14" s="138"/>
      <c r="E14" s="137"/>
      <c r="F14" s="58" t="str" cm="1">
        <f>IF(ISBLANK($A14),"",INDEX(Array_OtherEnergyCharges,MATCH($A14,List_OtherEnergyMeters,0),ROUNDUP((COLUMN()+1)/3-2,0)))</f>
        <v/>
      </c>
      <c r="G14" s="127"/>
      <c r="H14" s="137"/>
      <c r="I14" s="58" t="str" cm="1">
        <f>IF(ISBLANK($A14),"",INDEX(Array_OtherEnergyCharges,MATCH($A14,List_OtherEnergyMeters,0),ROUNDUP((COLUMN()+1)/3-2,0)))</f>
        <v/>
      </c>
      <c r="J14" s="127"/>
      <c r="K14" s="137"/>
      <c r="L14" s="58" t="str" cm="1">
        <f>IF(ISBLANK($A14),"",INDEX(Array_OtherEnergyCharges,MATCH($A14,List_OtherEnergyMeters,0),ROUNDUP((COLUMN()+1)/3-2,0)))</f>
        <v/>
      </c>
      <c r="M14" s="127"/>
      <c r="N14" s="137"/>
      <c r="O14" s="58" t="str" cm="1">
        <f>IF(ISBLANK($A14),"",INDEX(Array_OtherEnergyCharges,MATCH($A14,List_OtherEnergyMeters,0),ROUNDUP((COLUMN()+1)/3-2,0)))</f>
        <v/>
      </c>
      <c r="P14" s="127"/>
      <c r="Q14" s="137"/>
      <c r="R14" s="58" t="str" cm="1">
        <f>IF(ISBLANK($A14),"",INDEX(Array_OtherEnergyCharges,MATCH($A14,List_OtherEnergyMeters,0),ROUNDUP((COLUMN()+1)/3-2,0)))</f>
        <v/>
      </c>
      <c r="S14" s="127"/>
      <c r="T14" s="137"/>
    </row>
    <row r="15" spans="1:20" x14ac:dyDescent="0.3">
      <c r="A15" s="126"/>
      <c r="B15" s="133"/>
      <c r="C15" s="127"/>
      <c r="D15" s="138"/>
      <c r="E15" s="137"/>
      <c r="F15" s="58" t="str" cm="1">
        <f>IF(ISBLANK($A15),"",INDEX(Array_OtherEnergyCharges,MATCH($A15,List_OtherEnergyMeters,0),ROUNDUP((COLUMN()+1)/3-2,0)))</f>
        <v/>
      </c>
      <c r="G15" s="127"/>
      <c r="H15" s="137"/>
      <c r="I15" s="58" t="str" cm="1">
        <f>IF(ISBLANK($A15),"",INDEX(Array_OtherEnergyCharges,MATCH($A15,List_OtherEnergyMeters,0),ROUNDUP((COLUMN()+1)/3-2,0)))</f>
        <v/>
      </c>
      <c r="J15" s="127"/>
      <c r="K15" s="137"/>
      <c r="L15" s="58" t="str" cm="1">
        <f>IF(ISBLANK($A15),"",INDEX(Array_OtherEnergyCharges,MATCH($A15,List_OtherEnergyMeters,0),ROUNDUP((COLUMN()+1)/3-2,0)))</f>
        <v/>
      </c>
      <c r="M15" s="127"/>
      <c r="N15" s="137"/>
      <c r="O15" s="58" t="str" cm="1">
        <f>IF(ISBLANK($A15),"",INDEX(Array_OtherEnergyCharges,MATCH($A15,List_OtherEnergyMeters,0),ROUNDUP((COLUMN()+1)/3-2,0)))</f>
        <v/>
      </c>
      <c r="P15" s="127"/>
      <c r="Q15" s="137"/>
      <c r="R15" s="58" t="str" cm="1">
        <f>IF(ISBLANK($A15),"",INDEX(Array_OtherEnergyCharges,MATCH($A15,List_OtherEnergyMeters,0),ROUNDUP((COLUMN()+1)/3-2,0)))</f>
        <v/>
      </c>
      <c r="S15" s="127"/>
      <c r="T15" s="137"/>
    </row>
    <row r="16" spans="1:20" x14ac:dyDescent="0.3">
      <c r="A16" s="126"/>
      <c r="B16" s="133"/>
      <c r="C16" s="127"/>
      <c r="D16" s="138"/>
      <c r="E16" s="137"/>
      <c r="F16" s="58" t="str" cm="1">
        <f>IF(ISBLANK($A16),"",INDEX(Array_OtherEnergyCharges,MATCH($A16,List_OtherEnergyMeters,0),ROUNDUP((COLUMN()+1)/3-2,0)))</f>
        <v/>
      </c>
      <c r="G16" s="127"/>
      <c r="H16" s="137"/>
      <c r="I16" s="58" t="str" cm="1">
        <f>IF(ISBLANK($A16),"",INDEX(Array_OtherEnergyCharges,MATCH($A16,List_OtherEnergyMeters,0),ROUNDUP((COLUMN()+1)/3-2,0)))</f>
        <v/>
      </c>
      <c r="J16" s="127"/>
      <c r="K16" s="137"/>
      <c r="L16" s="58" t="str" cm="1">
        <f>IF(ISBLANK($A16),"",INDEX(Array_OtherEnergyCharges,MATCH($A16,List_OtherEnergyMeters,0),ROUNDUP((COLUMN()+1)/3-2,0)))</f>
        <v/>
      </c>
      <c r="M16" s="127"/>
      <c r="N16" s="137"/>
      <c r="O16" s="58" t="str" cm="1">
        <f>IF(ISBLANK($A16),"",INDEX(Array_OtherEnergyCharges,MATCH($A16,List_OtherEnergyMeters,0),ROUNDUP((COLUMN()+1)/3-2,0)))</f>
        <v/>
      </c>
      <c r="P16" s="127"/>
      <c r="Q16" s="137"/>
      <c r="R16" s="58" t="str" cm="1">
        <f>IF(ISBLANK($A16),"",INDEX(Array_OtherEnergyCharges,MATCH($A16,List_OtherEnergyMeters,0),ROUNDUP((COLUMN()+1)/3-2,0)))</f>
        <v/>
      </c>
      <c r="S16" s="127"/>
      <c r="T16" s="137"/>
    </row>
    <row r="17" spans="1:20" x14ac:dyDescent="0.3">
      <c r="A17" s="126"/>
      <c r="B17" s="133"/>
      <c r="C17" s="127"/>
      <c r="D17" s="138"/>
      <c r="E17" s="137"/>
      <c r="F17" s="58" t="str" cm="1">
        <f>IF(ISBLANK($A17),"",INDEX(Array_OtherEnergyCharges,MATCH($A17,List_OtherEnergyMeters,0),ROUNDUP((COLUMN()+1)/3-2,0)))</f>
        <v/>
      </c>
      <c r="G17" s="127"/>
      <c r="H17" s="137"/>
      <c r="I17" s="58" t="str" cm="1">
        <f>IF(ISBLANK($A17),"",INDEX(Array_OtherEnergyCharges,MATCH($A17,List_OtherEnergyMeters,0),ROUNDUP((COLUMN()+1)/3-2,0)))</f>
        <v/>
      </c>
      <c r="J17" s="127"/>
      <c r="K17" s="137"/>
      <c r="L17" s="58" t="str" cm="1">
        <f>IF(ISBLANK($A17),"",INDEX(Array_OtherEnergyCharges,MATCH($A17,List_OtherEnergyMeters,0),ROUNDUP((COLUMN()+1)/3-2,0)))</f>
        <v/>
      </c>
      <c r="M17" s="127"/>
      <c r="N17" s="137"/>
      <c r="O17" s="58" t="str" cm="1">
        <f>IF(ISBLANK($A17),"",INDEX(Array_OtherEnergyCharges,MATCH($A17,List_OtherEnergyMeters,0),ROUNDUP((COLUMN()+1)/3-2,0)))</f>
        <v/>
      </c>
      <c r="P17" s="127"/>
      <c r="Q17" s="137"/>
      <c r="R17" s="58" t="str" cm="1">
        <f>IF(ISBLANK($A17),"",INDEX(Array_OtherEnergyCharges,MATCH($A17,List_OtherEnergyMeters,0),ROUNDUP((COLUMN()+1)/3-2,0)))</f>
        <v/>
      </c>
      <c r="S17" s="127"/>
      <c r="T17" s="137"/>
    </row>
    <row r="18" spans="1:20" x14ac:dyDescent="0.3">
      <c r="A18" s="126"/>
      <c r="B18" s="133"/>
      <c r="C18" s="127"/>
      <c r="D18" s="138"/>
      <c r="E18" s="137"/>
      <c r="F18" s="58" t="str" cm="1">
        <f>IF(ISBLANK($A18),"",INDEX(Array_OtherEnergyCharges,MATCH($A18,List_OtherEnergyMeters,0),ROUNDUP((COLUMN()+1)/3-2,0)))</f>
        <v/>
      </c>
      <c r="G18" s="127"/>
      <c r="H18" s="137"/>
      <c r="I18" s="58" t="str" cm="1">
        <f>IF(ISBLANK($A18),"",INDEX(Array_OtherEnergyCharges,MATCH($A18,List_OtherEnergyMeters,0),ROUNDUP((COLUMN()+1)/3-2,0)))</f>
        <v/>
      </c>
      <c r="J18" s="127"/>
      <c r="K18" s="137"/>
      <c r="L18" s="58" t="str" cm="1">
        <f>IF(ISBLANK($A18),"",INDEX(Array_OtherEnergyCharges,MATCH($A18,List_OtherEnergyMeters,0),ROUNDUP((COLUMN()+1)/3-2,0)))</f>
        <v/>
      </c>
      <c r="M18" s="127"/>
      <c r="N18" s="137"/>
      <c r="O18" s="58" t="str" cm="1">
        <f>IF(ISBLANK($A18),"",INDEX(Array_OtherEnergyCharges,MATCH($A18,List_OtherEnergyMeters,0),ROUNDUP((COLUMN()+1)/3-2,0)))</f>
        <v/>
      </c>
      <c r="P18" s="127"/>
      <c r="Q18" s="137"/>
      <c r="R18" s="58" t="str" cm="1">
        <f>IF(ISBLANK($A18),"",INDEX(Array_OtherEnergyCharges,MATCH($A18,List_OtherEnergyMeters,0),ROUNDUP((COLUMN()+1)/3-2,0)))</f>
        <v/>
      </c>
      <c r="S18" s="127"/>
      <c r="T18" s="137"/>
    </row>
    <row r="19" spans="1:20" x14ac:dyDescent="0.3">
      <c r="A19" s="126"/>
      <c r="B19" s="133"/>
      <c r="C19" s="127"/>
      <c r="D19" s="138"/>
      <c r="E19" s="137"/>
      <c r="F19" s="58" t="str" cm="1">
        <f>IF(ISBLANK($A19),"",INDEX(Array_OtherEnergyCharges,MATCH($A19,List_OtherEnergyMeters,0),ROUNDUP((COLUMN()+1)/3-2,0)))</f>
        <v/>
      </c>
      <c r="G19" s="127"/>
      <c r="H19" s="137"/>
      <c r="I19" s="58" t="str" cm="1">
        <f>IF(ISBLANK($A19),"",INDEX(Array_OtherEnergyCharges,MATCH($A19,List_OtherEnergyMeters,0),ROUNDUP((COLUMN()+1)/3-2,0)))</f>
        <v/>
      </c>
      <c r="J19" s="127"/>
      <c r="K19" s="137"/>
      <c r="L19" s="58" t="str" cm="1">
        <f>IF(ISBLANK($A19),"",INDEX(Array_OtherEnergyCharges,MATCH($A19,List_OtherEnergyMeters,0),ROUNDUP((COLUMN()+1)/3-2,0)))</f>
        <v/>
      </c>
      <c r="M19" s="127"/>
      <c r="N19" s="137"/>
      <c r="O19" s="58" t="str" cm="1">
        <f>IF(ISBLANK($A19),"",INDEX(Array_OtherEnergyCharges,MATCH($A19,List_OtherEnergyMeters,0),ROUNDUP((COLUMN()+1)/3-2,0)))</f>
        <v/>
      </c>
      <c r="P19" s="127"/>
      <c r="Q19" s="137"/>
      <c r="R19" s="58" t="str" cm="1">
        <f>IF(ISBLANK($A19),"",INDEX(Array_OtherEnergyCharges,MATCH($A19,List_OtherEnergyMeters,0),ROUNDUP((COLUMN()+1)/3-2,0)))</f>
        <v/>
      </c>
      <c r="S19" s="127"/>
      <c r="T19" s="137"/>
    </row>
    <row r="20" spans="1:20" x14ac:dyDescent="0.3">
      <c r="A20" s="126"/>
      <c r="B20" s="133"/>
      <c r="C20" s="127"/>
      <c r="D20" s="138"/>
      <c r="E20" s="137"/>
      <c r="F20" s="58" t="str" cm="1">
        <f>IF(ISBLANK($A20),"",INDEX(Array_OtherEnergyCharges,MATCH($A20,List_OtherEnergyMeters,0),ROUNDUP((COLUMN()+1)/3-2,0)))</f>
        <v/>
      </c>
      <c r="G20" s="127"/>
      <c r="H20" s="137"/>
      <c r="I20" s="58" t="str" cm="1">
        <f>IF(ISBLANK($A20),"",INDEX(Array_OtherEnergyCharges,MATCH($A20,List_OtherEnergyMeters,0),ROUNDUP((COLUMN()+1)/3-2,0)))</f>
        <v/>
      </c>
      <c r="J20" s="127"/>
      <c r="K20" s="137"/>
      <c r="L20" s="58" t="str" cm="1">
        <f>IF(ISBLANK($A20),"",INDEX(Array_OtherEnergyCharges,MATCH($A20,List_OtherEnergyMeters,0),ROUNDUP((COLUMN()+1)/3-2,0)))</f>
        <v/>
      </c>
      <c r="M20" s="127"/>
      <c r="N20" s="137"/>
      <c r="O20" s="58" t="str" cm="1">
        <f>IF(ISBLANK($A20),"",INDEX(Array_OtherEnergyCharges,MATCH($A20,List_OtherEnergyMeters,0),ROUNDUP((COLUMN()+1)/3-2,0)))</f>
        <v/>
      </c>
      <c r="P20" s="127"/>
      <c r="Q20" s="137"/>
      <c r="R20" s="58" t="str" cm="1">
        <f>IF(ISBLANK($A20),"",INDEX(Array_OtherEnergyCharges,MATCH($A20,List_OtherEnergyMeters,0),ROUNDUP((COLUMN()+1)/3-2,0)))</f>
        <v/>
      </c>
      <c r="S20" s="127"/>
      <c r="T20" s="137"/>
    </row>
    <row r="21" spans="1:20" x14ac:dyDescent="0.3">
      <c r="A21" s="126"/>
      <c r="B21" s="133"/>
      <c r="C21" s="127"/>
      <c r="D21" s="138"/>
      <c r="E21" s="137"/>
      <c r="F21" s="58" t="str" cm="1">
        <f>IF(ISBLANK($A21),"",INDEX(Array_OtherEnergyCharges,MATCH($A21,List_OtherEnergyMeters,0),ROUNDUP((COLUMN()+1)/3-2,0)))</f>
        <v/>
      </c>
      <c r="G21" s="127"/>
      <c r="H21" s="137"/>
      <c r="I21" s="58" t="str" cm="1">
        <f>IF(ISBLANK($A21),"",INDEX(Array_OtherEnergyCharges,MATCH($A21,List_OtherEnergyMeters,0),ROUNDUP((COLUMN()+1)/3-2,0)))</f>
        <v/>
      </c>
      <c r="J21" s="127"/>
      <c r="K21" s="137"/>
      <c r="L21" s="58" t="str" cm="1">
        <f>IF(ISBLANK($A21),"",INDEX(Array_OtherEnergyCharges,MATCH($A21,List_OtherEnergyMeters,0),ROUNDUP((COLUMN()+1)/3-2,0)))</f>
        <v/>
      </c>
      <c r="M21" s="127"/>
      <c r="N21" s="137"/>
      <c r="O21" s="58" t="str" cm="1">
        <f>IF(ISBLANK($A21),"",INDEX(Array_OtherEnergyCharges,MATCH($A21,List_OtherEnergyMeters,0),ROUNDUP((COLUMN()+1)/3-2,0)))</f>
        <v/>
      </c>
      <c r="P21" s="127"/>
      <c r="Q21" s="137"/>
      <c r="R21" s="58" t="str" cm="1">
        <f>IF(ISBLANK($A21),"",INDEX(Array_OtherEnergyCharges,MATCH($A21,List_OtherEnergyMeters,0),ROUNDUP((COLUMN()+1)/3-2,0)))</f>
        <v/>
      </c>
      <c r="S21" s="127"/>
      <c r="T21" s="137"/>
    </row>
    <row r="22" spans="1:20" x14ac:dyDescent="0.3">
      <c r="A22" s="126"/>
      <c r="B22" s="133"/>
      <c r="C22" s="127"/>
      <c r="D22" s="138"/>
      <c r="E22" s="137"/>
      <c r="F22" s="58" t="str" cm="1">
        <f>IF(ISBLANK($A22),"",INDEX(Array_OtherEnergyCharges,MATCH($A22,List_OtherEnergyMeters,0),ROUNDUP((COLUMN()+1)/3-2,0)))</f>
        <v/>
      </c>
      <c r="G22" s="127"/>
      <c r="H22" s="137"/>
      <c r="I22" s="58" t="str" cm="1">
        <f>IF(ISBLANK($A22),"",INDEX(Array_OtherEnergyCharges,MATCH($A22,List_OtherEnergyMeters,0),ROUNDUP((COLUMN()+1)/3-2,0)))</f>
        <v/>
      </c>
      <c r="J22" s="127"/>
      <c r="K22" s="137"/>
      <c r="L22" s="58" t="str" cm="1">
        <f>IF(ISBLANK($A22),"",INDEX(Array_OtherEnergyCharges,MATCH($A22,List_OtherEnergyMeters,0),ROUNDUP((COLUMN()+1)/3-2,0)))</f>
        <v/>
      </c>
      <c r="M22" s="127"/>
      <c r="N22" s="137"/>
      <c r="O22" s="58" t="str" cm="1">
        <f>IF(ISBLANK($A22),"",INDEX(Array_OtherEnergyCharges,MATCH($A22,List_OtherEnergyMeters,0),ROUNDUP((COLUMN()+1)/3-2,0)))</f>
        <v/>
      </c>
      <c r="P22" s="127"/>
      <c r="Q22" s="137"/>
      <c r="R22" s="58" t="str" cm="1">
        <f>IF(ISBLANK($A22),"",INDEX(Array_OtherEnergyCharges,MATCH($A22,List_OtherEnergyMeters,0),ROUNDUP((COLUMN()+1)/3-2,0)))</f>
        <v/>
      </c>
      <c r="S22" s="127"/>
      <c r="T22" s="137"/>
    </row>
    <row r="23" spans="1:20" x14ac:dyDescent="0.3">
      <c r="A23" s="126"/>
      <c r="B23" s="133"/>
      <c r="C23" s="127"/>
      <c r="D23" s="138"/>
      <c r="E23" s="137"/>
      <c r="F23" s="58" t="str" cm="1">
        <f>IF(ISBLANK($A23),"",INDEX(Array_OtherEnergyCharges,MATCH($A23,List_OtherEnergyMeters,0),ROUNDUP((COLUMN()+1)/3-2,0)))</f>
        <v/>
      </c>
      <c r="G23" s="127"/>
      <c r="H23" s="137"/>
      <c r="I23" s="58" t="str" cm="1">
        <f>IF(ISBLANK($A23),"",INDEX(Array_OtherEnergyCharges,MATCH($A23,List_OtherEnergyMeters,0),ROUNDUP((COLUMN()+1)/3-2,0)))</f>
        <v/>
      </c>
      <c r="J23" s="127"/>
      <c r="K23" s="137"/>
      <c r="L23" s="58" t="str" cm="1">
        <f>IF(ISBLANK($A23),"",INDEX(Array_OtherEnergyCharges,MATCH($A23,List_OtherEnergyMeters,0),ROUNDUP((COLUMN()+1)/3-2,0)))</f>
        <v/>
      </c>
      <c r="M23" s="127"/>
      <c r="N23" s="137"/>
      <c r="O23" s="58" t="str" cm="1">
        <f>IF(ISBLANK($A23),"",INDEX(Array_OtherEnergyCharges,MATCH($A23,List_OtherEnergyMeters,0),ROUNDUP((COLUMN()+1)/3-2,0)))</f>
        <v/>
      </c>
      <c r="P23" s="127"/>
      <c r="Q23" s="137"/>
      <c r="R23" s="58" t="str" cm="1">
        <f>IF(ISBLANK($A23),"",INDEX(Array_OtherEnergyCharges,MATCH($A23,List_OtherEnergyMeters,0),ROUNDUP((COLUMN()+1)/3-2,0)))</f>
        <v/>
      </c>
      <c r="S23" s="127"/>
      <c r="T23" s="137"/>
    </row>
    <row r="24" spans="1:20" x14ac:dyDescent="0.3">
      <c r="A24" s="126"/>
      <c r="B24" s="133"/>
      <c r="C24" s="127"/>
      <c r="D24" s="138"/>
      <c r="E24" s="137"/>
      <c r="F24" s="58" t="str" cm="1">
        <f>IF(ISBLANK($A24),"",INDEX(Array_OtherEnergyCharges,MATCH($A24,List_OtherEnergyMeters,0),ROUNDUP((COLUMN()+1)/3-2,0)))</f>
        <v/>
      </c>
      <c r="G24" s="127"/>
      <c r="H24" s="137"/>
      <c r="I24" s="58" t="str" cm="1">
        <f>IF(ISBLANK($A24),"",INDEX(Array_OtherEnergyCharges,MATCH($A24,List_OtherEnergyMeters,0),ROUNDUP((COLUMN()+1)/3-2,0)))</f>
        <v/>
      </c>
      <c r="J24" s="127"/>
      <c r="K24" s="137"/>
      <c r="L24" s="58" t="str" cm="1">
        <f>IF(ISBLANK($A24),"",INDEX(Array_OtherEnergyCharges,MATCH($A24,List_OtherEnergyMeters,0),ROUNDUP((COLUMN()+1)/3-2,0)))</f>
        <v/>
      </c>
      <c r="M24" s="127"/>
      <c r="N24" s="137"/>
      <c r="O24" s="58" t="str" cm="1">
        <f>IF(ISBLANK($A24),"",INDEX(Array_OtherEnergyCharges,MATCH($A24,List_OtherEnergyMeters,0),ROUNDUP((COLUMN()+1)/3-2,0)))</f>
        <v/>
      </c>
      <c r="P24" s="127"/>
      <c r="Q24" s="137"/>
      <c r="R24" s="58" t="str" cm="1">
        <f>IF(ISBLANK($A24),"",INDEX(Array_OtherEnergyCharges,MATCH($A24,List_OtherEnergyMeters,0),ROUNDUP((COLUMN()+1)/3-2,0)))</f>
        <v/>
      </c>
      <c r="S24" s="127"/>
      <c r="T24" s="137"/>
    </row>
    <row r="25" spans="1:20" x14ac:dyDescent="0.3">
      <c r="A25" s="126"/>
      <c r="B25" s="133"/>
      <c r="C25" s="127"/>
      <c r="D25" s="138"/>
      <c r="E25" s="137"/>
      <c r="F25" s="58" t="str" cm="1">
        <f>IF(ISBLANK($A25),"",INDEX(Array_OtherEnergyCharges,MATCH($A25,List_OtherEnergyMeters,0),ROUNDUP((COLUMN()+1)/3-2,0)))</f>
        <v/>
      </c>
      <c r="G25" s="127"/>
      <c r="H25" s="137"/>
      <c r="I25" s="58" t="str" cm="1">
        <f>IF(ISBLANK($A25),"",INDEX(Array_OtherEnergyCharges,MATCH($A25,List_OtherEnergyMeters,0),ROUNDUP((COLUMN()+1)/3-2,0)))</f>
        <v/>
      </c>
      <c r="J25" s="127"/>
      <c r="K25" s="137"/>
      <c r="L25" s="58" t="str" cm="1">
        <f>IF(ISBLANK($A25),"",INDEX(Array_OtherEnergyCharges,MATCH($A25,List_OtherEnergyMeters,0),ROUNDUP((COLUMN()+1)/3-2,0)))</f>
        <v/>
      </c>
      <c r="M25" s="127"/>
      <c r="N25" s="137"/>
      <c r="O25" s="58" t="str" cm="1">
        <f>IF(ISBLANK($A25),"",INDEX(Array_OtherEnergyCharges,MATCH($A25,List_OtherEnergyMeters,0),ROUNDUP((COLUMN()+1)/3-2,0)))</f>
        <v/>
      </c>
      <c r="P25" s="127"/>
      <c r="Q25" s="137"/>
      <c r="R25" s="58" t="str" cm="1">
        <f>IF(ISBLANK($A25),"",INDEX(Array_OtherEnergyCharges,MATCH($A25,List_OtherEnergyMeters,0),ROUNDUP((COLUMN()+1)/3-2,0)))</f>
        <v/>
      </c>
      <c r="S25" s="127"/>
      <c r="T25" s="137"/>
    </row>
    <row r="26" spans="1:20" x14ac:dyDescent="0.3">
      <c r="A26" s="126"/>
      <c r="B26" s="133"/>
      <c r="C26" s="127"/>
      <c r="D26" s="138"/>
      <c r="E26" s="137"/>
      <c r="F26" s="58" t="str" cm="1">
        <f>IF(ISBLANK($A26),"",INDEX(Array_OtherEnergyCharges,MATCH($A26,List_OtherEnergyMeters,0),ROUNDUP((COLUMN()+1)/3-2,0)))</f>
        <v/>
      </c>
      <c r="G26" s="127"/>
      <c r="H26" s="137"/>
      <c r="I26" s="58" t="str" cm="1">
        <f>IF(ISBLANK($A26),"",INDEX(Array_OtherEnergyCharges,MATCH($A26,List_OtherEnergyMeters,0),ROUNDUP((COLUMN()+1)/3-2,0)))</f>
        <v/>
      </c>
      <c r="J26" s="127"/>
      <c r="K26" s="137"/>
      <c r="L26" s="58" t="str" cm="1">
        <f>IF(ISBLANK($A26),"",INDEX(Array_OtherEnergyCharges,MATCH($A26,List_OtherEnergyMeters,0),ROUNDUP((COLUMN()+1)/3-2,0)))</f>
        <v/>
      </c>
      <c r="M26" s="127"/>
      <c r="N26" s="137"/>
      <c r="O26" s="58" t="str" cm="1">
        <f>IF(ISBLANK($A26),"",INDEX(Array_OtherEnergyCharges,MATCH($A26,List_OtherEnergyMeters,0),ROUNDUP((COLUMN()+1)/3-2,0)))</f>
        <v/>
      </c>
      <c r="P26" s="127"/>
      <c r="Q26" s="137"/>
      <c r="R26" s="58" t="str" cm="1">
        <f>IF(ISBLANK($A26),"",INDEX(Array_OtherEnergyCharges,MATCH($A26,List_OtherEnergyMeters,0),ROUNDUP((COLUMN()+1)/3-2,0)))</f>
        <v/>
      </c>
      <c r="S26" s="127"/>
      <c r="T26" s="137"/>
    </row>
    <row r="27" spans="1:20" x14ac:dyDescent="0.3">
      <c r="A27" s="126"/>
      <c r="B27" s="133"/>
      <c r="C27" s="127"/>
      <c r="D27" s="138"/>
      <c r="E27" s="137"/>
      <c r="F27" s="58" t="str" cm="1">
        <f>IF(ISBLANK($A27),"",INDEX(Array_OtherEnergyCharges,MATCH($A27,List_OtherEnergyMeters,0),ROUNDUP((COLUMN()+1)/3-2,0)))</f>
        <v/>
      </c>
      <c r="G27" s="127"/>
      <c r="H27" s="137"/>
      <c r="I27" s="58" t="str" cm="1">
        <f>IF(ISBLANK($A27),"",INDEX(Array_OtherEnergyCharges,MATCH($A27,List_OtherEnergyMeters,0),ROUNDUP((COLUMN()+1)/3-2,0)))</f>
        <v/>
      </c>
      <c r="J27" s="127"/>
      <c r="K27" s="137"/>
      <c r="L27" s="58" t="str" cm="1">
        <f>IF(ISBLANK($A27),"",INDEX(Array_OtherEnergyCharges,MATCH($A27,List_OtherEnergyMeters,0),ROUNDUP((COLUMN()+1)/3-2,0)))</f>
        <v/>
      </c>
      <c r="M27" s="127"/>
      <c r="N27" s="137"/>
      <c r="O27" s="58" t="str" cm="1">
        <f>IF(ISBLANK($A27),"",INDEX(Array_OtherEnergyCharges,MATCH($A27,List_OtherEnergyMeters,0),ROUNDUP((COLUMN()+1)/3-2,0)))</f>
        <v/>
      </c>
      <c r="P27" s="127"/>
      <c r="Q27" s="137"/>
      <c r="R27" s="58" t="str" cm="1">
        <f>IF(ISBLANK($A27),"",INDEX(Array_OtherEnergyCharges,MATCH($A27,List_OtherEnergyMeters,0),ROUNDUP((COLUMN()+1)/3-2,0)))</f>
        <v/>
      </c>
      <c r="S27" s="127"/>
      <c r="T27" s="137"/>
    </row>
    <row r="28" spans="1:20" x14ac:dyDescent="0.3">
      <c r="A28" s="126"/>
      <c r="B28" s="133"/>
      <c r="C28" s="127"/>
      <c r="D28" s="138"/>
      <c r="E28" s="137"/>
      <c r="F28" s="58" t="str" cm="1">
        <f>IF(ISBLANK($A28),"",INDEX(Array_OtherEnergyCharges,MATCH($A28,List_OtherEnergyMeters,0),ROUNDUP((COLUMN()+1)/3-2,0)))</f>
        <v/>
      </c>
      <c r="G28" s="127"/>
      <c r="H28" s="137"/>
      <c r="I28" s="58" t="str" cm="1">
        <f>IF(ISBLANK($A28),"",INDEX(Array_OtherEnergyCharges,MATCH($A28,List_OtherEnergyMeters,0),ROUNDUP((COLUMN()+1)/3-2,0)))</f>
        <v/>
      </c>
      <c r="J28" s="127"/>
      <c r="K28" s="137"/>
      <c r="L28" s="58" t="str" cm="1">
        <f>IF(ISBLANK($A28),"",INDEX(Array_OtherEnergyCharges,MATCH($A28,List_OtherEnergyMeters,0),ROUNDUP((COLUMN()+1)/3-2,0)))</f>
        <v/>
      </c>
      <c r="M28" s="127"/>
      <c r="N28" s="137"/>
      <c r="O28" s="58" t="str" cm="1">
        <f>IF(ISBLANK($A28),"",INDEX(Array_OtherEnergyCharges,MATCH($A28,List_OtherEnergyMeters,0),ROUNDUP((COLUMN()+1)/3-2,0)))</f>
        <v/>
      </c>
      <c r="P28" s="127"/>
      <c r="Q28" s="137"/>
      <c r="R28" s="58" t="str" cm="1">
        <f>IF(ISBLANK($A28),"",INDEX(Array_OtherEnergyCharges,MATCH($A28,List_OtherEnergyMeters,0),ROUNDUP((COLUMN()+1)/3-2,0)))</f>
        <v/>
      </c>
      <c r="S28" s="127"/>
      <c r="T28" s="137"/>
    </row>
    <row r="29" spans="1:20" x14ac:dyDescent="0.3">
      <c r="A29" s="126"/>
      <c r="B29" s="133"/>
      <c r="C29" s="127"/>
      <c r="D29" s="138"/>
      <c r="E29" s="137"/>
      <c r="F29" s="58" t="str" cm="1">
        <f>IF(ISBLANK($A29),"",INDEX(Array_OtherEnergyCharges,MATCH($A29,List_OtherEnergyMeters,0),ROUNDUP((COLUMN()+1)/3-2,0)))</f>
        <v/>
      </c>
      <c r="G29" s="127"/>
      <c r="H29" s="137"/>
      <c r="I29" s="58" t="str" cm="1">
        <f>IF(ISBLANK($A29),"",INDEX(Array_OtherEnergyCharges,MATCH($A29,List_OtherEnergyMeters,0),ROUNDUP((COLUMN()+1)/3-2,0)))</f>
        <v/>
      </c>
      <c r="J29" s="127"/>
      <c r="K29" s="137"/>
      <c r="L29" s="58" t="str" cm="1">
        <f>IF(ISBLANK($A29),"",INDEX(Array_OtherEnergyCharges,MATCH($A29,List_OtherEnergyMeters,0),ROUNDUP((COLUMN()+1)/3-2,0)))</f>
        <v/>
      </c>
      <c r="M29" s="127"/>
      <c r="N29" s="137"/>
      <c r="O29" s="58" t="str" cm="1">
        <f>IF(ISBLANK($A29),"",INDEX(Array_OtherEnergyCharges,MATCH($A29,List_OtherEnergyMeters,0),ROUNDUP((COLUMN()+1)/3-2,0)))</f>
        <v/>
      </c>
      <c r="P29" s="127"/>
      <c r="Q29" s="137"/>
      <c r="R29" s="58" t="str" cm="1">
        <f>IF(ISBLANK($A29),"",INDEX(Array_OtherEnergyCharges,MATCH($A29,List_OtherEnergyMeters,0),ROUNDUP((COLUMN()+1)/3-2,0)))</f>
        <v/>
      </c>
      <c r="S29" s="127"/>
      <c r="T29" s="137"/>
    </row>
    <row r="30" spans="1:20" x14ac:dyDescent="0.3">
      <c r="A30" s="126"/>
      <c r="B30" s="133"/>
      <c r="C30" s="127"/>
      <c r="D30" s="138"/>
      <c r="E30" s="137"/>
      <c r="F30" s="58" t="str" cm="1">
        <f>IF(ISBLANK($A30),"",INDEX(Array_OtherEnergyCharges,MATCH($A30,List_OtherEnergyMeters,0),ROUNDUP((COLUMN()+1)/3-2,0)))</f>
        <v/>
      </c>
      <c r="G30" s="127"/>
      <c r="H30" s="137"/>
      <c r="I30" s="58" t="str" cm="1">
        <f>IF(ISBLANK($A30),"",INDEX(Array_OtherEnergyCharges,MATCH($A30,List_OtherEnergyMeters,0),ROUNDUP((COLUMN()+1)/3-2,0)))</f>
        <v/>
      </c>
      <c r="J30" s="127"/>
      <c r="K30" s="137"/>
      <c r="L30" s="58" t="str" cm="1">
        <f>IF(ISBLANK($A30),"",INDEX(Array_OtherEnergyCharges,MATCH($A30,List_OtherEnergyMeters,0),ROUNDUP((COLUMN()+1)/3-2,0)))</f>
        <v/>
      </c>
      <c r="M30" s="127"/>
      <c r="N30" s="137"/>
      <c r="O30" s="58" t="str" cm="1">
        <f>IF(ISBLANK($A30),"",INDEX(Array_OtherEnergyCharges,MATCH($A30,List_OtherEnergyMeters,0),ROUNDUP((COLUMN()+1)/3-2,0)))</f>
        <v/>
      </c>
      <c r="P30" s="127"/>
      <c r="Q30" s="137"/>
      <c r="R30" s="58" t="str" cm="1">
        <f>IF(ISBLANK($A30),"",INDEX(Array_OtherEnergyCharges,MATCH($A30,List_OtherEnergyMeters,0),ROUNDUP((COLUMN()+1)/3-2,0)))</f>
        <v/>
      </c>
      <c r="S30" s="127"/>
      <c r="T30" s="137"/>
    </row>
    <row r="31" spans="1:20" x14ac:dyDescent="0.3">
      <c r="A31" s="126"/>
      <c r="B31" s="133"/>
      <c r="C31" s="127"/>
      <c r="D31" s="138"/>
      <c r="E31" s="137"/>
      <c r="F31" s="58" t="str" cm="1">
        <f>IF(ISBLANK($A31),"",INDEX(Array_OtherEnergyCharges,MATCH($A31,List_OtherEnergyMeters,0),ROUNDUP((COLUMN()+1)/3-2,0)))</f>
        <v/>
      </c>
      <c r="G31" s="127"/>
      <c r="H31" s="137"/>
      <c r="I31" s="58" t="str" cm="1">
        <f>IF(ISBLANK($A31),"",INDEX(Array_OtherEnergyCharges,MATCH($A31,List_OtherEnergyMeters,0),ROUNDUP((COLUMN()+1)/3-2,0)))</f>
        <v/>
      </c>
      <c r="J31" s="127"/>
      <c r="K31" s="137"/>
      <c r="L31" s="58" t="str" cm="1">
        <f>IF(ISBLANK($A31),"",INDEX(Array_OtherEnergyCharges,MATCH($A31,List_OtherEnergyMeters,0),ROUNDUP((COLUMN()+1)/3-2,0)))</f>
        <v/>
      </c>
      <c r="M31" s="127"/>
      <c r="N31" s="137"/>
      <c r="O31" s="58" t="str" cm="1">
        <f>IF(ISBLANK($A31),"",INDEX(Array_OtherEnergyCharges,MATCH($A31,List_OtherEnergyMeters,0),ROUNDUP((COLUMN()+1)/3-2,0)))</f>
        <v/>
      </c>
      <c r="P31" s="127"/>
      <c r="Q31" s="137"/>
      <c r="R31" s="58" t="str" cm="1">
        <f>IF(ISBLANK($A31),"",INDEX(Array_OtherEnergyCharges,MATCH($A31,List_OtherEnergyMeters,0),ROUNDUP((COLUMN()+1)/3-2,0)))</f>
        <v/>
      </c>
      <c r="S31" s="127"/>
      <c r="T31" s="137"/>
    </row>
    <row r="32" spans="1:20" x14ac:dyDescent="0.3">
      <c r="A32" s="126"/>
      <c r="B32" s="133"/>
      <c r="C32" s="127"/>
      <c r="D32" s="138"/>
      <c r="E32" s="137"/>
      <c r="F32" s="58" t="str" cm="1">
        <f>IF(ISBLANK($A32),"",INDEX(Array_OtherEnergyCharges,MATCH($A32,List_OtherEnergyMeters,0),ROUNDUP((COLUMN()+1)/3-2,0)))</f>
        <v/>
      </c>
      <c r="G32" s="127"/>
      <c r="H32" s="137"/>
      <c r="I32" s="58" t="str" cm="1">
        <f>IF(ISBLANK($A32),"",INDEX(Array_OtherEnergyCharges,MATCH($A32,List_OtherEnergyMeters,0),ROUNDUP((COLUMN()+1)/3-2,0)))</f>
        <v/>
      </c>
      <c r="J32" s="127"/>
      <c r="K32" s="137"/>
      <c r="L32" s="58" t="str" cm="1">
        <f>IF(ISBLANK($A32),"",INDEX(Array_OtherEnergyCharges,MATCH($A32,List_OtherEnergyMeters,0),ROUNDUP((COLUMN()+1)/3-2,0)))</f>
        <v/>
      </c>
      <c r="M32" s="127"/>
      <c r="N32" s="137"/>
      <c r="O32" s="58" t="str" cm="1">
        <f>IF(ISBLANK($A32),"",INDEX(Array_OtherEnergyCharges,MATCH($A32,List_OtherEnergyMeters,0),ROUNDUP((COLUMN()+1)/3-2,0)))</f>
        <v/>
      </c>
      <c r="P32" s="127"/>
      <c r="Q32" s="137"/>
      <c r="R32" s="58" t="str" cm="1">
        <f>IF(ISBLANK($A32),"",INDEX(Array_OtherEnergyCharges,MATCH($A32,List_OtherEnergyMeters,0),ROUNDUP((COLUMN()+1)/3-2,0)))</f>
        <v/>
      </c>
      <c r="S32" s="127"/>
      <c r="T32" s="137"/>
    </row>
    <row r="33" spans="1:20" x14ac:dyDescent="0.3">
      <c r="A33" s="126"/>
      <c r="B33" s="133"/>
      <c r="C33" s="127"/>
      <c r="D33" s="138"/>
      <c r="E33" s="137"/>
      <c r="F33" s="58" t="str" cm="1">
        <f>IF(ISBLANK($A33),"",INDEX(Array_OtherEnergyCharges,MATCH($A33,List_OtherEnergyMeters,0),ROUNDUP((COLUMN()+1)/3-2,0)))</f>
        <v/>
      </c>
      <c r="G33" s="127"/>
      <c r="H33" s="137"/>
      <c r="I33" s="58" t="str" cm="1">
        <f>IF(ISBLANK($A33),"",INDEX(Array_OtherEnergyCharges,MATCH($A33,List_OtherEnergyMeters,0),ROUNDUP((COLUMN()+1)/3-2,0)))</f>
        <v/>
      </c>
      <c r="J33" s="127"/>
      <c r="K33" s="137"/>
      <c r="L33" s="58" t="str" cm="1">
        <f>IF(ISBLANK($A33),"",INDEX(Array_OtherEnergyCharges,MATCH($A33,List_OtherEnergyMeters,0),ROUNDUP((COLUMN()+1)/3-2,0)))</f>
        <v/>
      </c>
      <c r="M33" s="127"/>
      <c r="N33" s="137"/>
      <c r="O33" s="58" t="str" cm="1">
        <f>IF(ISBLANK($A33),"",INDEX(Array_OtherEnergyCharges,MATCH($A33,List_OtherEnergyMeters,0),ROUNDUP((COLUMN()+1)/3-2,0)))</f>
        <v/>
      </c>
      <c r="P33" s="127"/>
      <c r="Q33" s="137"/>
      <c r="R33" s="58" t="str" cm="1">
        <f>IF(ISBLANK($A33),"",INDEX(Array_OtherEnergyCharges,MATCH($A33,List_OtherEnergyMeters,0),ROUNDUP((COLUMN()+1)/3-2,0)))</f>
        <v/>
      </c>
      <c r="S33" s="127"/>
      <c r="T33" s="137"/>
    </row>
    <row r="34" spans="1:20" x14ac:dyDescent="0.3">
      <c r="A34" s="126"/>
      <c r="B34" s="133"/>
      <c r="C34" s="127"/>
      <c r="D34" s="138"/>
      <c r="E34" s="137"/>
      <c r="F34" s="58" t="str" cm="1">
        <f>IF(ISBLANK($A34),"",INDEX(Array_OtherEnergyCharges,MATCH($A34,List_OtherEnergyMeters,0),ROUNDUP((COLUMN()+1)/3-2,0)))</f>
        <v/>
      </c>
      <c r="G34" s="127"/>
      <c r="H34" s="137"/>
      <c r="I34" s="58" t="str" cm="1">
        <f>IF(ISBLANK($A34),"",INDEX(Array_OtherEnergyCharges,MATCH($A34,List_OtherEnergyMeters,0),ROUNDUP((COLUMN()+1)/3-2,0)))</f>
        <v/>
      </c>
      <c r="J34" s="127"/>
      <c r="K34" s="137"/>
      <c r="L34" s="58" t="str" cm="1">
        <f>IF(ISBLANK($A34),"",INDEX(Array_OtherEnergyCharges,MATCH($A34,List_OtherEnergyMeters,0),ROUNDUP((COLUMN()+1)/3-2,0)))</f>
        <v/>
      </c>
      <c r="M34" s="127"/>
      <c r="N34" s="137"/>
      <c r="O34" s="58" t="str" cm="1">
        <f>IF(ISBLANK($A34),"",INDEX(Array_OtherEnergyCharges,MATCH($A34,List_OtherEnergyMeters,0),ROUNDUP((COLUMN()+1)/3-2,0)))</f>
        <v/>
      </c>
      <c r="P34" s="127"/>
      <c r="Q34" s="137"/>
      <c r="R34" s="58" t="str" cm="1">
        <f>IF(ISBLANK($A34),"",INDEX(Array_OtherEnergyCharges,MATCH($A34,List_OtherEnergyMeters,0),ROUNDUP((COLUMN()+1)/3-2,0)))</f>
        <v/>
      </c>
      <c r="S34" s="127"/>
      <c r="T34" s="137"/>
    </row>
    <row r="35" spans="1:20" x14ac:dyDescent="0.3">
      <c r="A35" s="126"/>
      <c r="B35" s="133"/>
      <c r="C35" s="127"/>
      <c r="D35" s="138"/>
      <c r="E35" s="137"/>
      <c r="F35" s="58" t="str" cm="1">
        <f>IF(ISBLANK($A35),"",INDEX(Array_OtherEnergyCharges,MATCH($A35,List_OtherEnergyMeters,0),ROUNDUP((COLUMN()+1)/3-2,0)))</f>
        <v/>
      </c>
      <c r="G35" s="127"/>
      <c r="H35" s="137"/>
      <c r="I35" s="58" t="str" cm="1">
        <f>IF(ISBLANK($A35),"",INDEX(Array_OtherEnergyCharges,MATCH($A35,List_OtherEnergyMeters,0),ROUNDUP((COLUMN()+1)/3-2,0)))</f>
        <v/>
      </c>
      <c r="J35" s="127"/>
      <c r="K35" s="137"/>
      <c r="L35" s="58" t="str" cm="1">
        <f>IF(ISBLANK($A35),"",INDEX(Array_OtherEnergyCharges,MATCH($A35,List_OtherEnergyMeters,0),ROUNDUP((COLUMN()+1)/3-2,0)))</f>
        <v/>
      </c>
      <c r="M35" s="127"/>
      <c r="N35" s="137"/>
      <c r="O35" s="58" t="str" cm="1">
        <f>IF(ISBLANK($A35),"",INDEX(Array_OtherEnergyCharges,MATCH($A35,List_OtherEnergyMeters,0),ROUNDUP((COLUMN()+1)/3-2,0)))</f>
        <v/>
      </c>
      <c r="P35" s="127"/>
      <c r="Q35" s="137"/>
      <c r="R35" s="58" t="str" cm="1">
        <f>IF(ISBLANK($A35),"",INDEX(Array_OtherEnergyCharges,MATCH($A35,List_OtherEnergyMeters,0),ROUNDUP((COLUMN()+1)/3-2,0)))</f>
        <v/>
      </c>
      <c r="S35" s="127"/>
      <c r="T35" s="137"/>
    </row>
    <row r="36" spans="1:20" x14ac:dyDescent="0.3">
      <c r="A36" s="126"/>
      <c r="B36" s="133"/>
      <c r="C36" s="127"/>
      <c r="D36" s="138"/>
      <c r="E36" s="137"/>
      <c r="F36" s="58" t="str" cm="1">
        <f>IF(ISBLANK($A36),"",INDEX(Array_OtherEnergyCharges,MATCH($A36,List_OtherEnergyMeters,0),ROUNDUP((COLUMN()+1)/3-2,0)))</f>
        <v/>
      </c>
      <c r="G36" s="127"/>
      <c r="H36" s="137"/>
      <c r="I36" s="58" t="str" cm="1">
        <f>IF(ISBLANK($A36),"",INDEX(Array_OtherEnergyCharges,MATCH($A36,List_OtherEnergyMeters,0),ROUNDUP((COLUMN()+1)/3-2,0)))</f>
        <v/>
      </c>
      <c r="J36" s="127"/>
      <c r="K36" s="137"/>
      <c r="L36" s="58" t="str" cm="1">
        <f>IF(ISBLANK($A36),"",INDEX(Array_OtherEnergyCharges,MATCH($A36,List_OtherEnergyMeters,0),ROUNDUP((COLUMN()+1)/3-2,0)))</f>
        <v/>
      </c>
      <c r="M36" s="127"/>
      <c r="N36" s="137"/>
      <c r="O36" s="58" t="str" cm="1">
        <f>IF(ISBLANK($A36),"",INDEX(Array_OtherEnergyCharges,MATCH($A36,List_OtherEnergyMeters,0),ROUNDUP((COLUMN()+1)/3-2,0)))</f>
        <v/>
      </c>
      <c r="P36" s="127"/>
      <c r="Q36" s="137"/>
      <c r="R36" s="58" t="str" cm="1">
        <f>IF(ISBLANK($A36),"",INDEX(Array_OtherEnergyCharges,MATCH($A36,List_OtherEnergyMeters,0),ROUNDUP((COLUMN()+1)/3-2,0)))</f>
        <v/>
      </c>
      <c r="S36" s="127"/>
      <c r="T36" s="137"/>
    </row>
    <row r="37" spans="1:20" x14ac:dyDescent="0.3">
      <c r="A37" s="126"/>
      <c r="B37" s="133"/>
      <c r="C37" s="127"/>
      <c r="D37" s="138"/>
      <c r="E37" s="137"/>
      <c r="F37" s="58" t="str" cm="1">
        <f>IF(ISBLANK($A37),"",INDEX(Array_OtherEnergyCharges,MATCH($A37,List_OtherEnergyMeters,0),ROUNDUP((COLUMN()+1)/3-2,0)))</f>
        <v/>
      </c>
      <c r="G37" s="127"/>
      <c r="H37" s="137"/>
      <c r="I37" s="58" t="str" cm="1">
        <f>IF(ISBLANK($A37),"",INDEX(Array_OtherEnergyCharges,MATCH($A37,List_OtherEnergyMeters,0),ROUNDUP((COLUMN()+1)/3-2,0)))</f>
        <v/>
      </c>
      <c r="J37" s="127"/>
      <c r="K37" s="137"/>
      <c r="L37" s="58" t="str" cm="1">
        <f>IF(ISBLANK($A37),"",INDEX(Array_OtherEnergyCharges,MATCH($A37,List_OtherEnergyMeters,0),ROUNDUP((COLUMN()+1)/3-2,0)))</f>
        <v/>
      </c>
      <c r="M37" s="127"/>
      <c r="N37" s="137"/>
      <c r="O37" s="58" t="str" cm="1">
        <f>IF(ISBLANK($A37),"",INDEX(Array_OtherEnergyCharges,MATCH($A37,List_OtherEnergyMeters,0),ROUNDUP((COLUMN()+1)/3-2,0)))</f>
        <v/>
      </c>
      <c r="P37" s="127"/>
      <c r="Q37" s="137"/>
      <c r="R37" s="58" t="str" cm="1">
        <f>IF(ISBLANK($A37),"",INDEX(Array_OtherEnergyCharges,MATCH($A37,List_OtherEnergyMeters,0),ROUNDUP((COLUMN()+1)/3-2,0)))</f>
        <v/>
      </c>
      <c r="S37" s="127"/>
      <c r="T37" s="137"/>
    </row>
    <row r="38" spans="1:20" x14ac:dyDescent="0.3">
      <c r="A38" s="126"/>
      <c r="B38" s="133"/>
      <c r="C38" s="127"/>
      <c r="D38" s="138"/>
      <c r="E38" s="137"/>
      <c r="F38" s="58" t="str" cm="1">
        <f>IF(ISBLANK($A38),"",INDEX(Array_OtherEnergyCharges,MATCH($A38,List_OtherEnergyMeters,0),ROUNDUP((COLUMN()+1)/3-2,0)))</f>
        <v/>
      </c>
      <c r="G38" s="127"/>
      <c r="H38" s="137"/>
      <c r="I38" s="58" t="str" cm="1">
        <f>IF(ISBLANK($A38),"",INDEX(Array_OtherEnergyCharges,MATCH($A38,List_OtherEnergyMeters,0),ROUNDUP((COLUMN()+1)/3-2,0)))</f>
        <v/>
      </c>
      <c r="J38" s="127"/>
      <c r="K38" s="137"/>
      <c r="L38" s="58" t="str" cm="1">
        <f>IF(ISBLANK($A38),"",INDEX(Array_OtherEnergyCharges,MATCH($A38,List_OtherEnergyMeters,0),ROUNDUP((COLUMN()+1)/3-2,0)))</f>
        <v/>
      </c>
      <c r="M38" s="127"/>
      <c r="N38" s="137"/>
      <c r="O38" s="58" t="str" cm="1">
        <f>IF(ISBLANK($A38),"",INDEX(Array_OtherEnergyCharges,MATCH($A38,List_OtherEnergyMeters,0),ROUNDUP((COLUMN()+1)/3-2,0)))</f>
        <v/>
      </c>
      <c r="P38" s="127"/>
      <c r="Q38" s="137"/>
      <c r="R38" s="58" t="str" cm="1">
        <f>IF(ISBLANK($A38),"",INDEX(Array_OtherEnergyCharges,MATCH($A38,List_OtherEnergyMeters,0),ROUNDUP((COLUMN()+1)/3-2,0)))</f>
        <v/>
      </c>
      <c r="S38" s="127"/>
      <c r="T38" s="137"/>
    </row>
    <row r="39" spans="1:20" x14ac:dyDescent="0.3">
      <c r="A39" s="126"/>
      <c r="B39" s="133"/>
      <c r="C39" s="127"/>
      <c r="D39" s="138"/>
      <c r="E39" s="137"/>
      <c r="F39" s="58" t="str" cm="1">
        <f>IF(ISBLANK($A39),"",INDEX(Array_OtherEnergyCharges,MATCH($A39,List_OtherEnergyMeters,0),ROUNDUP((COLUMN()+1)/3-2,0)))</f>
        <v/>
      </c>
      <c r="G39" s="127"/>
      <c r="H39" s="137"/>
      <c r="I39" s="58" t="str" cm="1">
        <f>IF(ISBLANK($A39),"",INDEX(Array_OtherEnergyCharges,MATCH($A39,List_OtherEnergyMeters,0),ROUNDUP((COLUMN()+1)/3-2,0)))</f>
        <v/>
      </c>
      <c r="J39" s="127"/>
      <c r="K39" s="137"/>
      <c r="L39" s="58" t="str" cm="1">
        <f>IF(ISBLANK($A39),"",INDEX(Array_OtherEnergyCharges,MATCH($A39,List_OtherEnergyMeters,0),ROUNDUP((COLUMN()+1)/3-2,0)))</f>
        <v/>
      </c>
      <c r="M39" s="127"/>
      <c r="N39" s="137"/>
      <c r="O39" s="58" t="str" cm="1">
        <f>IF(ISBLANK($A39),"",INDEX(Array_OtherEnergyCharges,MATCH($A39,List_OtherEnergyMeters,0),ROUNDUP((COLUMN()+1)/3-2,0)))</f>
        <v/>
      </c>
      <c r="P39" s="127"/>
      <c r="Q39" s="137"/>
      <c r="R39" s="58" t="str" cm="1">
        <f>IF(ISBLANK($A39),"",INDEX(Array_OtherEnergyCharges,MATCH($A39,List_OtherEnergyMeters,0),ROUNDUP((COLUMN()+1)/3-2,0)))</f>
        <v/>
      </c>
      <c r="S39" s="127"/>
      <c r="T39" s="137"/>
    </row>
    <row r="40" spans="1:20" x14ac:dyDescent="0.3">
      <c r="A40" s="126"/>
      <c r="B40" s="133"/>
      <c r="C40" s="127"/>
      <c r="D40" s="138"/>
      <c r="E40" s="137"/>
      <c r="F40" s="58" t="str" cm="1">
        <f>IF(ISBLANK($A40),"",INDEX(Array_OtherEnergyCharges,MATCH($A40,List_OtherEnergyMeters,0),ROUNDUP((COLUMN()+1)/3-2,0)))</f>
        <v/>
      </c>
      <c r="G40" s="127"/>
      <c r="H40" s="137"/>
      <c r="I40" s="58" t="str" cm="1">
        <f>IF(ISBLANK($A40),"",INDEX(Array_OtherEnergyCharges,MATCH($A40,List_OtherEnergyMeters,0),ROUNDUP((COLUMN()+1)/3-2,0)))</f>
        <v/>
      </c>
      <c r="J40" s="127"/>
      <c r="K40" s="137"/>
      <c r="L40" s="58" t="str" cm="1">
        <f>IF(ISBLANK($A40),"",INDEX(Array_OtherEnergyCharges,MATCH($A40,List_OtherEnergyMeters,0),ROUNDUP((COLUMN()+1)/3-2,0)))</f>
        <v/>
      </c>
      <c r="M40" s="127"/>
      <c r="N40" s="137"/>
      <c r="O40" s="58" t="str" cm="1">
        <f>IF(ISBLANK($A40),"",INDEX(Array_OtherEnergyCharges,MATCH($A40,List_OtherEnergyMeters,0),ROUNDUP((COLUMN()+1)/3-2,0)))</f>
        <v/>
      </c>
      <c r="P40" s="127"/>
      <c r="Q40" s="137"/>
      <c r="R40" s="58" t="str" cm="1">
        <f>IF(ISBLANK($A40),"",INDEX(Array_OtherEnergyCharges,MATCH($A40,List_OtherEnergyMeters,0),ROUNDUP((COLUMN()+1)/3-2,0)))</f>
        <v/>
      </c>
      <c r="S40" s="127"/>
      <c r="T40" s="137"/>
    </row>
    <row r="41" spans="1:20" x14ac:dyDescent="0.3">
      <c r="A41" s="126"/>
      <c r="B41" s="133"/>
      <c r="C41" s="127"/>
      <c r="D41" s="138"/>
      <c r="E41" s="137"/>
      <c r="F41" s="58" t="str" cm="1">
        <f>IF(ISBLANK($A41),"",INDEX(Array_OtherEnergyCharges,MATCH($A41,List_OtherEnergyMeters,0),ROUNDUP((COLUMN()+1)/3-2,0)))</f>
        <v/>
      </c>
      <c r="G41" s="127"/>
      <c r="H41" s="137"/>
      <c r="I41" s="58" t="str" cm="1">
        <f>IF(ISBLANK($A41),"",INDEX(Array_OtherEnergyCharges,MATCH($A41,List_OtherEnergyMeters,0),ROUNDUP((COLUMN()+1)/3-2,0)))</f>
        <v/>
      </c>
      <c r="J41" s="127"/>
      <c r="K41" s="137"/>
      <c r="L41" s="58" t="str" cm="1">
        <f>IF(ISBLANK($A41),"",INDEX(Array_OtherEnergyCharges,MATCH($A41,List_OtherEnergyMeters,0),ROUNDUP((COLUMN()+1)/3-2,0)))</f>
        <v/>
      </c>
      <c r="M41" s="127"/>
      <c r="N41" s="137"/>
      <c r="O41" s="58" t="str" cm="1">
        <f>IF(ISBLANK($A41),"",INDEX(Array_OtherEnergyCharges,MATCH($A41,List_OtherEnergyMeters,0),ROUNDUP((COLUMN()+1)/3-2,0)))</f>
        <v/>
      </c>
      <c r="P41" s="127"/>
      <c r="Q41" s="137"/>
      <c r="R41" s="58" t="str" cm="1">
        <f>IF(ISBLANK($A41),"",INDEX(Array_OtherEnergyCharges,MATCH($A41,List_OtherEnergyMeters,0),ROUNDUP((COLUMN()+1)/3-2,0)))</f>
        <v/>
      </c>
      <c r="S41" s="127"/>
      <c r="T41" s="137"/>
    </row>
    <row r="42" spans="1:20" x14ac:dyDescent="0.3">
      <c r="A42" s="126"/>
      <c r="B42" s="133"/>
      <c r="C42" s="127"/>
      <c r="D42" s="138"/>
      <c r="E42" s="137"/>
      <c r="F42" s="58" t="str" cm="1">
        <f>IF(ISBLANK($A42),"",INDEX(Array_OtherEnergyCharges,MATCH($A42,List_OtherEnergyMeters,0),ROUNDUP((COLUMN()+1)/3-2,0)))</f>
        <v/>
      </c>
      <c r="G42" s="127"/>
      <c r="H42" s="137"/>
      <c r="I42" s="58" t="str" cm="1">
        <f>IF(ISBLANK($A42),"",INDEX(Array_OtherEnergyCharges,MATCH($A42,List_OtherEnergyMeters,0),ROUNDUP((COLUMN()+1)/3-2,0)))</f>
        <v/>
      </c>
      <c r="J42" s="127"/>
      <c r="K42" s="137"/>
      <c r="L42" s="58" t="str" cm="1">
        <f>IF(ISBLANK($A42),"",INDEX(Array_OtherEnergyCharges,MATCH($A42,List_OtherEnergyMeters,0),ROUNDUP((COLUMN()+1)/3-2,0)))</f>
        <v/>
      </c>
      <c r="M42" s="127"/>
      <c r="N42" s="137"/>
      <c r="O42" s="58" t="str" cm="1">
        <f>IF(ISBLANK($A42),"",INDEX(Array_OtherEnergyCharges,MATCH($A42,List_OtherEnergyMeters,0),ROUNDUP((COLUMN()+1)/3-2,0)))</f>
        <v/>
      </c>
      <c r="P42" s="127"/>
      <c r="Q42" s="137"/>
      <c r="R42" s="58" t="str" cm="1">
        <f>IF(ISBLANK($A42),"",INDEX(Array_OtherEnergyCharges,MATCH($A42,List_OtherEnergyMeters,0),ROUNDUP((COLUMN()+1)/3-2,0)))</f>
        <v/>
      </c>
      <c r="S42" s="127"/>
      <c r="T42" s="137"/>
    </row>
    <row r="43" spans="1:20" x14ac:dyDescent="0.3">
      <c r="A43" s="126"/>
      <c r="B43" s="133"/>
      <c r="C43" s="127"/>
      <c r="D43" s="138"/>
      <c r="E43" s="137"/>
      <c r="F43" s="58" t="str" cm="1">
        <f>IF(ISBLANK($A43),"",INDEX(Array_OtherEnergyCharges,MATCH($A43,List_OtherEnergyMeters,0),ROUNDUP((COLUMN()+1)/3-2,0)))</f>
        <v/>
      </c>
      <c r="G43" s="127"/>
      <c r="H43" s="137"/>
      <c r="I43" s="58" t="str" cm="1">
        <f>IF(ISBLANK($A43),"",INDEX(Array_OtherEnergyCharges,MATCH($A43,List_OtherEnergyMeters,0),ROUNDUP((COLUMN()+1)/3-2,0)))</f>
        <v/>
      </c>
      <c r="J43" s="127"/>
      <c r="K43" s="137"/>
      <c r="L43" s="58" t="str" cm="1">
        <f>IF(ISBLANK($A43),"",INDEX(Array_OtherEnergyCharges,MATCH($A43,List_OtherEnergyMeters,0),ROUNDUP((COLUMN()+1)/3-2,0)))</f>
        <v/>
      </c>
      <c r="M43" s="127"/>
      <c r="N43" s="137"/>
      <c r="O43" s="58" t="str" cm="1">
        <f>IF(ISBLANK($A43),"",INDEX(Array_OtherEnergyCharges,MATCH($A43,List_OtherEnergyMeters,0),ROUNDUP((COLUMN()+1)/3-2,0)))</f>
        <v/>
      </c>
      <c r="P43" s="127"/>
      <c r="Q43" s="137"/>
      <c r="R43" s="58" t="str" cm="1">
        <f>IF(ISBLANK($A43),"",INDEX(Array_OtherEnergyCharges,MATCH($A43,List_OtherEnergyMeters,0),ROUNDUP((COLUMN()+1)/3-2,0)))</f>
        <v/>
      </c>
      <c r="S43" s="127"/>
      <c r="T43" s="137"/>
    </row>
    <row r="44" spans="1:20" x14ac:dyDescent="0.3">
      <c r="A44" s="126"/>
      <c r="B44" s="133"/>
      <c r="C44" s="127"/>
      <c r="D44" s="138"/>
      <c r="E44" s="137"/>
      <c r="F44" s="58" t="str" cm="1">
        <f>IF(ISBLANK($A44),"",INDEX(Array_OtherEnergyCharges,MATCH($A44,List_OtherEnergyMeters,0),ROUNDUP((COLUMN()+1)/3-2,0)))</f>
        <v/>
      </c>
      <c r="G44" s="127"/>
      <c r="H44" s="137"/>
      <c r="I44" s="58" t="str" cm="1">
        <f>IF(ISBLANK($A44),"",INDEX(Array_OtherEnergyCharges,MATCH($A44,List_OtherEnergyMeters,0),ROUNDUP((COLUMN()+1)/3-2,0)))</f>
        <v/>
      </c>
      <c r="J44" s="127"/>
      <c r="K44" s="137"/>
      <c r="L44" s="58" t="str" cm="1">
        <f>IF(ISBLANK($A44),"",INDEX(Array_OtherEnergyCharges,MATCH($A44,List_OtherEnergyMeters,0),ROUNDUP((COLUMN()+1)/3-2,0)))</f>
        <v/>
      </c>
      <c r="M44" s="127"/>
      <c r="N44" s="137"/>
      <c r="O44" s="58" t="str" cm="1">
        <f>IF(ISBLANK($A44),"",INDEX(Array_OtherEnergyCharges,MATCH($A44,List_OtherEnergyMeters,0),ROUNDUP((COLUMN()+1)/3-2,0)))</f>
        <v/>
      </c>
      <c r="P44" s="127"/>
      <c r="Q44" s="137"/>
      <c r="R44" s="58" t="str" cm="1">
        <f>IF(ISBLANK($A44),"",INDEX(Array_OtherEnergyCharges,MATCH($A44,List_OtherEnergyMeters,0),ROUNDUP((COLUMN()+1)/3-2,0)))</f>
        <v/>
      </c>
      <c r="S44" s="127"/>
      <c r="T44" s="137"/>
    </row>
    <row r="45" spans="1:20" x14ac:dyDescent="0.3">
      <c r="A45" s="126"/>
      <c r="B45" s="133"/>
      <c r="C45" s="127"/>
      <c r="D45" s="138"/>
      <c r="E45" s="137"/>
      <c r="F45" s="58" t="str" cm="1">
        <f>IF(ISBLANK($A45),"",INDEX(Array_OtherEnergyCharges,MATCH($A45,List_OtherEnergyMeters,0),ROUNDUP((COLUMN()+1)/3-2,0)))</f>
        <v/>
      </c>
      <c r="G45" s="127"/>
      <c r="H45" s="137"/>
      <c r="I45" s="58" t="str" cm="1">
        <f>IF(ISBLANK($A45),"",INDEX(Array_OtherEnergyCharges,MATCH($A45,List_OtherEnergyMeters,0),ROUNDUP((COLUMN()+1)/3-2,0)))</f>
        <v/>
      </c>
      <c r="J45" s="127"/>
      <c r="K45" s="137"/>
      <c r="L45" s="58" t="str" cm="1">
        <f>IF(ISBLANK($A45),"",INDEX(Array_OtherEnergyCharges,MATCH($A45,List_OtherEnergyMeters,0),ROUNDUP((COLUMN()+1)/3-2,0)))</f>
        <v/>
      </c>
      <c r="M45" s="127"/>
      <c r="N45" s="137"/>
      <c r="O45" s="58" t="str" cm="1">
        <f>IF(ISBLANK($A45),"",INDEX(Array_OtherEnergyCharges,MATCH($A45,List_OtherEnergyMeters,0),ROUNDUP((COLUMN()+1)/3-2,0)))</f>
        <v/>
      </c>
      <c r="P45" s="127"/>
      <c r="Q45" s="137"/>
      <c r="R45" s="58" t="str" cm="1">
        <f>IF(ISBLANK($A45),"",INDEX(Array_OtherEnergyCharges,MATCH($A45,List_OtherEnergyMeters,0),ROUNDUP((COLUMN()+1)/3-2,0)))</f>
        <v/>
      </c>
      <c r="S45" s="127"/>
      <c r="T45" s="137"/>
    </row>
    <row r="46" spans="1:20" x14ac:dyDescent="0.3">
      <c r="A46" s="126"/>
      <c r="B46" s="133"/>
      <c r="C46" s="127"/>
      <c r="D46" s="138"/>
      <c r="E46" s="137"/>
      <c r="F46" s="58" t="str" cm="1">
        <f>IF(ISBLANK($A46),"",INDEX(Array_OtherEnergyCharges,MATCH($A46,List_OtherEnergyMeters,0),ROUNDUP((COLUMN()+1)/3-2,0)))</f>
        <v/>
      </c>
      <c r="G46" s="127"/>
      <c r="H46" s="137"/>
      <c r="I46" s="58" t="str" cm="1">
        <f>IF(ISBLANK($A46),"",INDEX(Array_OtherEnergyCharges,MATCH($A46,List_OtherEnergyMeters,0),ROUNDUP((COLUMN()+1)/3-2,0)))</f>
        <v/>
      </c>
      <c r="J46" s="127"/>
      <c r="K46" s="137"/>
      <c r="L46" s="58" t="str" cm="1">
        <f>IF(ISBLANK($A46),"",INDEX(Array_OtherEnergyCharges,MATCH($A46,List_OtherEnergyMeters,0),ROUNDUP((COLUMN()+1)/3-2,0)))</f>
        <v/>
      </c>
      <c r="M46" s="127"/>
      <c r="N46" s="137"/>
      <c r="O46" s="58" t="str" cm="1">
        <f>IF(ISBLANK($A46),"",INDEX(Array_OtherEnergyCharges,MATCH($A46,List_OtherEnergyMeters,0),ROUNDUP((COLUMN()+1)/3-2,0)))</f>
        <v/>
      </c>
      <c r="P46" s="127"/>
      <c r="Q46" s="137"/>
      <c r="R46" s="58" t="str" cm="1">
        <f>IF(ISBLANK($A46),"",INDEX(Array_OtherEnergyCharges,MATCH($A46,List_OtherEnergyMeters,0),ROUNDUP((COLUMN()+1)/3-2,0)))</f>
        <v/>
      </c>
      <c r="S46" s="127"/>
      <c r="T46" s="137"/>
    </row>
    <row r="47" spans="1:20" x14ac:dyDescent="0.3">
      <c r="A47" s="126"/>
      <c r="B47" s="133"/>
      <c r="C47" s="127"/>
      <c r="D47" s="138"/>
      <c r="E47" s="137"/>
      <c r="F47" s="58" t="str" cm="1">
        <f>IF(ISBLANK($A47),"",INDEX(Array_OtherEnergyCharges,MATCH($A47,List_OtherEnergyMeters,0),ROUNDUP((COLUMN()+1)/3-2,0)))</f>
        <v/>
      </c>
      <c r="G47" s="127"/>
      <c r="H47" s="137"/>
      <c r="I47" s="58" t="str" cm="1">
        <f>IF(ISBLANK($A47),"",INDEX(Array_OtherEnergyCharges,MATCH($A47,List_OtherEnergyMeters,0),ROUNDUP((COLUMN()+1)/3-2,0)))</f>
        <v/>
      </c>
      <c r="J47" s="127"/>
      <c r="K47" s="137"/>
      <c r="L47" s="58" t="str" cm="1">
        <f>IF(ISBLANK($A47),"",INDEX(Array_OtherEnergyCharges,MATCH($A47,List_OtherEnergyMeters,0),ROUNDUP((COLUMN()+1)/3-2,0)))</f>
        <v/>
      </c>
      <c r="M47" s="127"/>
      <c r="N47" s="137"/>
      <c r="O47" s="58" t="str" cm="1">
        <f>IF(ISBLANK($A47),"",INDEX(Array_OtherEnergyCharges,MATCH($A47,List_OtherEnergyMeters,0),ROUNDUP((COLUMN()+1)/3-2,0)))</f>
        <v/>
      </c>
      <c r="P47" s="127"/>
      <c r="Q47" s="137"/>
      <c r="R47" s="58" t="str" cm="1">
        <f>IF(ISBLANK($A47),"",INDEX(Array_OtherEnergyCharges,MATCH($A47,List_OtherEnergyMeters,0),ROUNDUP((COLUMN()+1)/3-2,0)))</f>
        <v/>
      </c>
      <c r="S47" s="127"/>
      <c r="T47" s="137"/>
    </row>
    <row r="48" spans="1:20" x14ac:dyDescent="0.3">
      <c r="A48" s="126"/>
      <c r="B48" s="133"/>
      <c r="C48" s="127"/>
      <c r="D48" s="138"/>
      <c r="E48" s="137"/>
      <c r="F48" s="58" t="str" cm="1">
        <f>IF(ISBLANK($A48),"",INDEX(Array_OtherEnergyCharges,MATCH($A48,List_OtherEnergyMeters,0),ROUNDUP((COLUMN()+1)/3-2,0)))</f>
        <v/>
      </c>
      <c r="G48" s="127"/>
      <c r="H48" s="137"/>
      <c r="I48" s="58" t="str" cm="1">
        <f>IF(ISBLANK($A48),"",INDEX(Array_OtherEnergyCharges,MATCH($A48,List_OtherEnergyMeters,0),ROUNDUP((COLUMN()+1)/3-2,0)))</f>
        <v/>
      </c>
      <c r="J48" s="127"/>
      <c r="K48" s="137"/>
      <c r="L48" s="58" t="str" cm="1">
        <f>IF(ISBLANK($A48),"",INDEX(Array_OtherEnergyCharges,MATCH($A48,List_OtherEnergyMeters,0),ROUNDUP((COLUMN()+1)/3-2,0)))</f>
        <v/>
      </c>
      <c r="M48" s="127"/>
      <c r="N48" s="137"/>
      <c r="O48" s="58" t="str" cm="1">
        <f>IF(ISBLANK($A48),"",INDEX(Array_OtherEnergyCharges,MATCH($A48,List_OtherEnergyMeters,0),ROUNDUP((COLUMN()+1)/3-2,0)))</f>
        <v/>
      </c>
      <c r="P48" s="127"/>
      <c r="Q48" s="137"/>
      <c r="R48" s="58" t="str" cm="1">
        <f>IF(ISBLANK($A48),"",INDEX(Array_OtherEnergyCharges,MATCH($A48,List_OtherEnergyMeters,0),ROUNDUP((COLUMN()+1)/3-2,0)))</f>
        <v/>
      </c>
      <c r="S48" s="127"/>
      <c r="T48" s="137"/>
    </row>
    <row r="49" spans="1:20" x14ac:dyDescent="0.3">
      <c r="A49" s="126"/>
      <c r="B49" s="133"/>
      <c r="C49" s="127"/>
      <c r="D49" s="138"/>
      <c r="E49" s="137"/>
      <c r="F49" s="58" t="str" cm="1">
        <f>IF(ISBLANK($A49),"",INDEX(Array_OtherEnergyCharges,MATCH($A49,List_OtherEnergyMeters,0),ROUNDUP((COLUMN()+1)/3-2,0)))</f>
        <v/>
      </c>
      <c r="G49" s="127"/>
      <c r="H49" s="137"/>
      <c r="I49" s="58" t="str" cm="1">
        <f>IF(ISBLANK($A49),"",INDEX(Array_OtherEnergyCharges,MATCH($A49,List_OtherEnergyMeters,0),ROUNDUP((COLUMN()+1)/3-2,0)))</f>
        <v/>
      </c>
      <c r="J49" s="127"/>
      <c r="K49" s="137"/>
      <c r="L49" s="58" t="str" cm="1">
        <f>IF(ISBLANK($A49),"",INDEX(Array_OtherEnergyCharges,MATCH($A49,List_OtherEnergyMeters,0),ROUNDUP((COLUMN()+1)/3-2,0)))</f>
        <v/>
      </c>
      <c r="M49" s="127"/>
      <c r="N49" s="137"/>
      <c r="O49" s="58" t="str" cm="1">
        <f>IF(ISBLANK($A49),"",INDEX(Array_OtherEnergyCharges,MATCH($A49,List_OtherEnergyMeters,0),ROUNDUP((COLUMN()+1)/3-2,0)))</f>
        <v/>
      </c>
      <c r="P49" s="127"/>
      <c r="Q49" s="137"/>
      <c r="R49" s="58" t="str" cm="1">
        <f>IF(ISBLANK($A49),"",INDEX(Array_OtherEnergyCharges,MATCH($A49,List_OtherEnergyMeters,0),ROUNDUP((COLUMN()+1)/3-2,0)))</f>
        <v/>
      </c>
      <c r="S49" s="127"/>
      <c r="T49" s="137"/>
    </row>
    <row r="50" spans="1:20" x14ac:dyDescent="0.3">
      <c r="A50" s="126"/>
      <c r="B50" s="133"/>
      <c r="C50" s="127"/>
      <c r="D50" s="138"/>
      <c r="E50" s="137"/>
      <c r="F50" s="58" t="str" cm="1">
        <f>IF(ISBLANK($A50),"",INDEX(Array_OtherEnergyCharges,MATCH($A50,List_OtherEnergyMeters,0),ROUNDUP((COLUMN()+1)/3-2,0)))</f>
        <v/>
      </c>
      <c r="G50" s="127"/>
      <c r="H50" s="137"/>
      <c r="I50" s="58" t="str" cm="1">
        <f>IF(ISBLANK($A50),"",INDEX(Array_OtherEnergyCharges,MATCH($A50,List_OtherEnergyMeters,0),ROUNDUP((COLUMN()+1)/3-2,0)))</f>
        <v/>
      </c>
      <c r="J50" s="127"/>
      <c r="K50" s="137"/>
      <c r="L50" s="58" t="str" cm="1">
        <f>IF(ISBLANK($A50),"",INDEX(Array_OtherEnergyCharges,MATCH($A50,List_OtherEnergyMeters,0),ROUNDUP((COLUMN()+1)/3-2,0)))</f>
        <v/>
      </c>
      <c r="M50" s="127"/>
      <c r="N50" s="137"/>
      <c r="O50" s="58" t="str" cm="1">
        <f>IF(ISBLANK($A50),"",INDEX(Array_OtherEnergyCharges,MATCH($A50,List_OtherEnergyMeters,0),ROUNDUP((COLUMN()+1)/3-2,0)))</f>
        <v/>
      </c>
      <c r="P50" s="127"/>
      <c r="Q50" s="137"/>
      <c r="R50" s="58" t="str" cm="1">
        <f>IF(ISBLANK($A50),"",INDEX(Array_OtherEnergyCharges,MATCH($A50,List_OtherEnergyMeters,0),ROUNDUP((COLUMN()+1)/3-2,0)))</f>
        <v/>
      </c>
      <c r="S50" s="127"/>
      <c r="T50" s="137"/>
    </row>
    <row r="51" spans="1:20" x14ac:dyDescent="0.3">
      <c r="A51" s="126"/>
      <c r="B51" s="133"/>
      <c r="C51" s="127"/>
      <c r="D51" s="138"/>
      <c r="E51" s="137"/>
      <c r="F51" s="58" t="str" cm="1">
        <f>IF(ISBLANK($A51),"",INDEX(Array_OtherEnergyCharges,MATCH($A51,List_OtherEnergyMeters,0),ROUNDUP((COLUMN()+1)/3-2,0)))</f>
        <v/>
      </c>
      <c r="G51" s="127"/>
      <c r="H51" s="137"/>
      <c r="I51" s="58" t="str" cm="1">
        <f>IF(ISBLANK($A51),"",INDEX(Array_OtherEnergyCharges,MATCH($A51,List_OtherEnergyMeters,0),ROUNDUP((COLUMN()+1)/3-2,0)))</f>
        <v/>
      </c>
      <c r="J51" s="127"/>
      <c r="K51" s="137"/>
      <c r="L51" s="58" t="str" cm="1">
        <f>IF(ISBLANK($A51),"",INDEX(Array_OtherEnergyCharges,MATCH($A51,List_OtherEnergyMeters,0),ROUNDUP((COLUMN()+1)/3-2,0)))</f>
        <v/>
      </c>
      <c r="M51" s="127"/>
      <c r="N51" s="137"/>
      <c r="O51" s="58" t="str" cm="1">
        <f>IF(ISBLANK($A51),"",INDEX(Array_OtherEnergyCharges,MATCH($A51,List_OtherEnergyMeters,0),ROUNDUP((COLUMN()+1)/3-2,0)))</f>
        <v/>
      </c>
      <c r="P51" s="127"/>
      <c r="Q51" s="137"/>
      <c r="R51" s="58" t="str" cm="1">
        <f>IF(ISBLANK($A51),"",INDEX(Array_OtherEnergyCharges,MATCH($A51,List_OtherEnergyMeters,0),ROUNDUP((COLUMN()+1)/3-2,0)))</f>
        <v/>
      </c>
      <c r="S51" s="127"/>
      <c r="T51" s="137"/>
    </row>
    <row r="52" spans="1:20" x14ac:dyDescent="0.3">
      <c r="A52" s="126"/>
      <c r="B52" s="133"/>
      <c r="C52" s="127"/>
      <c r="D52" s="138"/>
      <c r="E52" s="137"/>
      <c r="F52" s="58" t="str" cm="1">
        <f>IF(ISBLANK($A52),"",INDEX(Array_OtherEnergyCharges,MATCH($A52,List_OtherEnergyMeters,0),ROUNDUP((COLUMN()+1)/3-2,0)))</f>
        <v/>
      </c>
      <c r="G52" s="127"/>
      <c r="H52" s="137"/>
      <c r="I52" s="58" t="str" cm="1">
        <f>IF(ISBLANK($A52),"",INDEX(Array_OtherEnergyCharges,MATCH($A52,List_OtherEnergyMeters,0),ROUNDUP((COLUMN()+1)/3-2,0)))</f>
        <v/>
      </c>
      <c r="J52" s="127"/>
      <c r="K52" s="137"/>
      <c r="L52" s="58" t="str" cm="1">
        <f>IF(ISBLANK($A52),"",INDEX(Array_OtherEnergyCharges,MATCH($A52,List_OtherEnergyMeters,0),ROUNDUP((COLUMN()+1)/3-2,0)))</f>
        <v/>
      </c>
      <c r="M52" s="127"/>
      <c r="N52" s="137"/>
      <c r="O52" s="58" t="str" cm="1">
        <f>IF(ISBLANK($A52),"",INDEX(Array_OtherEnergyCharges,MATCH($A52,List_OtherEnergyMeters,0),ROUNDUP((COLUMN()+1)/3-2,0)))</f>
        <v/>
      </c>
      <c r="P52" s="127"/>
      <c r="Q52" s="137"/>
      <c r="R52" s="58" t="str" cm="1">
        <f>IF(ISBLANK($A52),"",INDEX(Array_OtherEnergyCharges,MATCH($A52,List_OtherEnergyMeters,0),ROUNDUP((COLUMN()+1)/3-2,0)))</f>
        <v/>
      </c>
      <c r="S52" s="127"/>
      <c r="T52" s="137"/>
    </row>
    <row r="53" spans="1:20" x14ac:dyDescent="0.3">
      <c r="A53" s="126"/>
      <c r="B53" s="133"/>
      <c r="C53" s="127"/>
      <c r="D53" s="138"/>
      <c r="E53" s="137"/>
      <c r="F53" s="58" t="str" cm="1">
        <f>IF(ISBLANK($A53),"",INDEX(Array_OtherEnergyCharges,MATCH($A53,List_OtherEnergyMeters,0),ROUNDUP((COLUMN()+1)/3-2,0)))</f>
        <v/>
      </c>
      <c r="G53" s="127"/>
      <c r="H53" s="137"/>
      <c r="I53" s="58" t="str" cm="1">
        <f>IF(ISBLANK($A53),"",INDEX(Array_OtherEnergyCharges,MATCH($A53,List_OtherEnergyMeters,0),ROUNDUP((COLUMN()+1)/3-2,0)))</f>
        <v/>
      </c>
      <c r="J53" s="127"/>
      <c r="K53" s="137"/>
      <c r="L53" s="58" t="str" cm="1">
        <f>IF(ISBLANK($A53),"",INDEX(Array_OtherEnergyCharges,MATCH($A53,List_OtherEnergyMeters,0),ROUNDUP((COLUMN()+1)/3-2,0)))</f>
        <v/>
      </c>
      <c r="M53" s="127"/>
      <c r="N53" s="137"/>
      <c r="O53" s="58" t="str" cm="1">
        <f>IF(ISBLANK($A53),"",INDEX(Array_OtherEnergyCharges,MATCH($A53,List_OtherEnergyMeters,0),ROUNDUP((COLUMN()+1)/3-2,0)))</f>
        <v/>
      </c>
      <c r="P53" s="127"/>
      <c r="Q53" s="137"/>
      <c r="R53" s="58" t="str" cm="1">
        <f>IF(ISBLANK($A53),"",INDEX(Array_OtherEnergyCharges,MATCH($A53,List_OtherEnergyMeters,0),ROUNDUP((COLUMN()+1)/3-2,0)))</f>
        <v/>
      </c>
      <c r="S53" s="127"/>
      <c r="T53" s="137"/>
    </row>
    <row r="54" spans="1:20" x14ac:dyDescent="0.3">
      <c r="A54" s="126"/>
      <c r="B54" s="133"/>
      <c r="C54" s="127"/>
      <c r="D54" s="138"/>
      <c r="E54" s="137"/>
      <c r="F54" s="58" t="str" cm="1">
        <f>IF(ISBLANK($A54),"",INDEX(Array_OtherEnergyCharges,MATCH($A54,List_OtherEnergyMeters,0),ROUNDUP((COLUMN()+1)/3-2,0)))</f>
        <v/>
      </c>
      <c r="G54" s="127"/>
      <c r="H54" s="137"/>
      <c r="I54" s="58" t="str" cm="1">
        <f>IF(ISBLANK($A54),"",INDEX(Array_OtherEnergyCharges,MATCH($A54,List_OtherEnergyMeters,0),ROUNDUP((COLUMN()+1)/3-2,0)))</f>
        <v/>
      </c>
      <c r="J54" s="127"/>
      <c r="K54" s="137"/>
      <c r="L54" s="58" t="str" cm="1">
        <f>IF(ISBLANK($A54),"",INDEX(Array_OtherEnergyCharges,MATCH($A54,List_OtherEnergyMeters,0),ROUNDUP((COLUMN()+1)/3-2,0)))</f>
        <v/>
      </c>
      <c r="M54" s="127"/>
      <c r="N54" s="137"/>
      <c r="O54" s="58" t="str" cm="1">
        <f>IF(ISBLANK($A54),"",INDEX(Array_OtherEnergyCharges,MATCH($A54,List_OtherEnergyMeters,0),ROUNDUP((COLUMN()+1)/3-2,0)))</f>
        <v/>
      </c>
      <c r="P54" s="127"/>
      <c r="Q54" s="137"/>
      <c r="R54" s="58" t="str" cm="1">
        <f>IF(ISBLANK($A54),"",INDEX(Array_OtherEnergyCharges,MATCH($A54,List_OtherEnergyMeters,0),ROUNDUP((COLUMN()+1)/3-2,0)))</f>
        <v/>
      </c>
      <c r="S54" s="127"/>
      <c r="T54" s="137"/>
    </row>
    <row r="55" spans="1:20" x14ac:dyDescent="0.3">
      <c r="A55" s="126"/>
      <c r="B55" s="133"/>
      <c r="C55" s="127"/>
      <c r="D55" s="138"/>
      <c r="E55" s="137"/>
      <c r="F55" s="58" t="str" cm="1">
        <f>IF(ISBLANK($A55),"",INDEX(Array_OtherEnergyCharges,MATCH($A55,List_OtherEnergyMeters,0),ROUNDUP((COLUMN()+1)/3-2,0)))</f>
        <v/>
      </c>
      <c r="G55" s="127"/>
      <c r="H55" s="137"/>
      <c r="I55" s="58" t="str" cm="1">
        <f>IF(ISBLANK($A55),"",INDEX(Array_OtherEnergyCharges,MATCH($A55,List_OtherEnergyMeters,0),ROUNDUP((COLUMN()+1)/3-2,0)))</f>
        <v/>
      </c>
      <c r="J55" s="127"/>
      <c r="K55" s="137"/>
      <c r="L55" s="58" t="str" cm="1">
        <f>IF(ISBLANK($A55),"",INDEX(Array_OtherEnergyCharges,MATCH($A55,List_OtherEnergyMeters,0),ROUNDUP((COLUMN()+1)/3-2,0)))</f>
        <v/>
      </c>
      <c r="M55" s="127"/>
      <c r="N55" s="137"/>
      <c r="O55" s="58" t="str" cm="1">
        <f>IF(ISBLANK($A55),"",INDEX(Array_OtherEnergyCharges,MATCH($A55,List_OtherEnergyMeters,0),ROUNDUP((COLUMN()+1)/3-2,0)))</f>
        <v/>
      </c>
      <c r="P55" s="127"/>
      <c r="Q55" s="137"/>
      <c r="R55" s="58" t="str" cm="1">
        <f>IF(ISBLANK($A55),"",INDEX(Array_OtherEnergyCharges,MATCH($A55,List_OtherEnergyMeters,0),ROUNDUP((COLUMN()+1)/3-2,0)))</f>
        <v/>
      </c>
      <c r="S55" s="127"/>
      <c r="T55" s="137"/>
    </row>
    <row r="56" spans="1:20" x14ac:dyDescent="0.3">
      <c r="A56" s="126"/>
      <c r="B56" s="133"/>
      <c r="C56" s="127"/>
      <c r="D56" s="138"/>
      <c r="E56" s="137"/>
      <c r="F56" s="58" t="str" cm="1">
        <f>IF(ISBLANK($A56),"",INDEX(Array_OtherEnergyCharges,MATCH($A56,List_OtherEnergyMeters,0),ROUNDUP((COLUMN()+1)/3-2,0)))</f>
        <v/>
      </c>
      <c r="G56" s="127"/>
      <c r="H56" s="137"/>
      <c r="I56" s="58" t="str" cm="1">
        <f>IF(ISBLANK($A56),"",INDEX(Array_OtherEnergyCharges,MATCH($A56,List_OtherEnergyMeters,0),ROUNDUP((COLUMN()+1)/3-2,0)))</f>
        <v/>
      </c>
      <c r="J56" s="127"/>
      <c r="K56" s="137"/>
      <c r="L56" s="58" t="str" cm="1">
        <f>IF(ISBLANK($A56),"",INDEX(Array_OtherEnergyCharges,MATCH($A56,List_OtherEnergyMeters,0),ROUNDUP((COLUMN()+1)/3-2,0)))</f>
        <v/>
      </c>
      <c r="M56" s="127"/>
      <c r="N56" s="137"/>
      <c r="O56" s="58" t="str" cm="1">
        <f>IF(ISBLANK($A56),"",INDEX(Array_OtherEnergyCharges,MATCH($A56,List_OtherEnergyMeters,0),ROUNDUP((COLUMN()+1)/3-2,0)))</f>
        <v/>
      </c>
      <c r="P56" s="127"/>
      <c r="Q56" s="137"/>
      <c r="R56" s="58" t="str" cm="1">
        <f>IF(ISBLANK($A56),"",INDEX(Array_OtherEnergyCharges,MATCH($A56,List_OtherEnergyMeters,0),ROUNDUP((COLUMN()+1)/3-2,0)))</f>
        <v/>
      </c>
      <c r="S56" s="127"/>
      <c r="T56" s="137"/>
    </row>
    <row r="57" spans="1:20" x14ac:dyDescent="0.3">
      <c r="A57" s="126"/>
      <c r="B57" s="133"/>
      <c r="C57" s="127"/>
      <c r="D57" s="138"/>
      <c r="E57" s="137"/>
      <c r="F57" s="58" t="str" cm="1">
        <f>IF(ISBLANK($A57),"",INDEX(Array_OtherEnergyCharges,MATCH($A57,List_OtherEnergyMeters,0),ROUNDUP((COLUMN()+1)/3-2,0)))</f>
        <v/>
      </c>
      <c r="G57" s="127"/>
      <c r="H57" s="137"/>
      <c r="I57" s="58" t="str" cm="1">
        <f>IF(ISBLANK($A57),"",INDEX(Array_OtherEnergyCharges,MATCH($A57,List_OtherEnergyMeters,0),ROUNDUP((COLUMN()+1)/3-2,0)))</f>
        <v/>
      </c>
      <c r="J57" s="127"/>
      <c r="K57" s="137"/>
      <c r="L57" s="58" t="str" cm="1">
        <f>IF(ISBLANK($A57),"",INDEX(Array_OtherEnergyCharges,MATCH($A57,List_OtherEnergyMeters,0),ROUNDUP((COLUMN()+1)/3-2,0)))</f>
        <v/>
      </c>
      <c r="M57" s="127"/>
      <c r="N57" s="137"/>
      <c r="O57" s="58" t="str" cm="1">
        <f>IF(ISBLANK($A57),"",INDEX(Array_OtherEnergyCharges,MATCH($A57,List_OtherEnergyMeters,0),ROUNDUP((COLUMN()+1)/3-2,0)))</f>
        <v/>
      </c>
      <c r="P57" s="127"/>
      <c r="Q57" s="137"/>
      <c r="R57" s="58" t="str" cm="1">
        <f>IF(ISBLANK($A57),"",INDEX(Array_OtherEnergyCharges,MATCH($A57,List_OtherEnergyMeters,0),ROUNDUP((COLUMN()+1)/3-2,0)))</f>
        <v/>
      </c>
      <c r="S57" s="127"/>
      <c r="T57" s="137"/>
    </row>
    <row r="58" spans="1:20" x14ac:dyDescent="0.3">
      <c r="A58" s="126"/>
      <c r="B58" s="133"/>
      <c r="C58" s="127"/>
      <c r="D58" s="138"/>
      <c r="E58" s="137"/>
      <c r="F58" s="58" t="str" cm="1">
        <f>IF(ISBLANK($A58),"",INDEX(Array_OtherEnergyCharges,MATCH($A58,List_OtherEnergyMeters,0),ROUNDUP((COLUMN()+1)/3-2,0)))</f>
        <v/>
      </c>
      <c r="G58" s="127"/>
      <c r="H58" s="137"/>
      <c r="I58" s="58" t="str" cm="1">
        <f>IF(ISBLANK($A58),"",INDEX(Array_OtherEnergyCharges,MATCH($A58,List_OtherEnergyMeters,0),ROUNDUP((COLUMN()+1)/3-2,0)))</f>
        <v/>
      </c>
      <c r="J58" s="127"/>
      <c r="K58" s="137"/>
      <c r="L58" s="58" t="str" cm="1">
        <f>IF(ISBLANK($A58),"",INDEX(Array_OtherEnergyCharges,MATCH($A58,List_OtherEnergyMeters,0),ROUNDUP((COLUMN()+1)/3-2,0)))</f>
        <v/>
      </c>
      <c r="M58" s="127"/>
      <c r="N58" s="137"/>
      <c r="O58" s="58" t="str" cm="1">
        <f>IF(ISBLANK($A58),"",INDEX(Array_OtherEnergyCharges,MATCH($A58,List_OtherEnergyMeters,0),ROUNDUP((COLUMN()+1)/3-2,0)))</f>
        <v/>
      </c>
      <c r="P58" s="127"/>
      <c r="Q58" s="137"/>
      <c r="R58" s="58" t="str" cm="1">
        <f>IF(ISBLANK($A58),"",INDEX(Array_OtherEnergyCharges,MATCH($A58,List_OtherEnergyMeters,0),ROUNDUP((COLUMN()+1)/3-2,0)))</f>
        <v/>
      </c>
      <c r="S58" s="127"/>
      <c r="T58" s="137"/>
    </row>
    <row r="59" spans="1:20" x14ac:dyDescent="0.3">
      <c r="A59" s="126"/>
      <c r="B59" s="133"/>
      <c r="C59" s="127"/>
      <c r="D59" s="138"/>
      <c r="E59" s="137"/>
      <c r="F59" s="58" t="str" cm="1">
        <f>IF(ISBLANK($A59),"",INDEX(Array_OtherEnergyCharges,MATCH($A59,List_OtherEnergyMeters,0),ROUNDUP((COLUMN()+1)/3-2,0)))</f>
        <v/>
      </c>
      <c r="G59" s="127"/>
      <c r="H59" s="137"/>
      <c r="I59" s="58" t="str" cm="1">
        <f>IF(ISBLANK($A59),"",INDEX(Array_OtherEnergyCharges,MATCH($A59,List_OtherEnergyMeters,0),ROUNDUP((COLUMN()+1)/3-2,0)))</f>
        <v/>
      </c>
      <c r="J59" s="127"/>
      <c r="K59" s="137"/>
      <c r="L59" s="58" t="str" cm="1">
        <f>IF(ISBLANK($A59),"",INDEX(Array_OtherEnergyCharges,MATCH($A59,List_OtherEnergyMeters,0),ROUNDUP((COLUMN()+1)/3-2,0)))</f>
        <v/>
      </c>
      <c r="M59" s="127"/>
      <c r="N59" s="137"/>
      <c r="O59" s="58" t="str" cm="1">
        <f>IF(ISBLANK($A59),"",INDEX(Array_OtherEnergyCharges,MATCH($A59,List_OtherEnergyMeters,0),ROUNDUP((COLUMN()+1)/3-2,0)))</f>
        <v/>
      </c>
      <c r="P59" s="127"/>
      <c r="Q59" s="137"/>
      <c r="R59" s="58" t="str" cm="1">
        <f>IF(ISBLANK($A59),"",INDEX(Array_OtherEnergyCharges,MATCH($A59,List_OtherEnergyMeters,0),ROUNDUP((COLUMN()+1)/3-2,0)))</f>
        <v/>
      </c>
      <c r="S59" s="127"/>
      <c r="T59" s="137"/>
    </row>
    <row r="60" spans="1:20" x14ac:dyDescent="0.3">
      <c r="A60" s="126"/>
      <c r="B60" s="133"/>
      <c r="C60" s="127"/>
      <c r="D60" s="138"/>
      <c r="E60" s="137"/>
      <c r="F60" s="58" t="str" cm="1">
        <f>IF(ISBLANK($A60),"",INDEX(Array_OtherEnergyCharges,MATCH($A60,List_OtherEnergyMeters,0),ROUNDUP((COLUMN()+1)/3-2,0)))</f>
        <v/>
      </c>
      <c r="G60" s="127"/>
      <c r="H60" s="137"/>
      <c r="I60" s="58" t="str" cm="1">
        <f>IF(ISBLANK($A60),"",INDEX(Array_OtherEnergyCharges,MATCH($A60,List_OtherEnergyMeters,0),ROUNDUP((COLUMN()+1)/3-2,0)))</f>
        <v/>
      </c>
      <c r="J60" s="127"/>
      <c r="K60" s="137"/>
      <c r="L60" s="58" t="str" cm="1">
        <f>IF(ISBLANK($A60),"",INDEX(Array_OtherEnergyCharges,MATCH($A60,List_OtherEnergyMeters,0),ROUNDUP((COLUMN()+1)/3-2,0)))</f>
        <v/>
      </c>
      <c r="M60" s="127"/>
      <c r="N60" s="137"/>
      <c r="O60" s="58" t="str" cm="1">
        <f>IF(ISBLANK($A60),"",INDEX(Array_OtherEnergyCharges,MATCH($A60,List_OtherEnergyMeters,0),ROUNDUP((COLUMN()+1)/3-2,0)))</f>
        <v/>
      </c>
      <c r="P60" s="127"/>
      <c r="Q60" s="137"/>
      <c r="R60" s="58" t="str" cm="1">
        <f>IF(ISBLANK($A60),"",INDEX(Array_OtherEnergyCharges,MATCH($A60,List_OtherEnergyMeters,0),ROUNDUP((COLUMN()+1)/3-2,0)))</f>
        <v/>
      </c>
      <c r="S60" s="127"/>
      <c r="T60" s="137"/>
    </row>
    <row r="61" spans="1:20" x14ac:dyDescent="0.3">
      <c r="A61" s="126"/>
      <c r="B61" s="133"/>
      <c r="C61" s="127"/>
      <c r="D61" s="138"/>
      <c r="E61" s="137"/>
      <c r="F61" s="58" t="str" cm="1">
        <f>IF(ISBLANK($A61),"",INDEX(Array_OtherEnergyCharges,MATCH($A61,List_OtherEnergyMeters,0),ROUNDUP((COLUMN()+1)/3-2,0)))</f>
        <v/>
      </c>
      <c r="G61" s="127"/>
      <c r="H61" s="137"/>
      <c r="I61" s="58" t="str" cm="1">
        <f>IF(ISBLANK($A61),"",INDEX(Array_OtherEnergyCharges,MATCH($A61,List_OtherEnergyMeters,0),ROUNDUP((COLUMN()+1)/3-2,0)))</f>
        <v/>
      </c>
      <c r="J61" s="127"/>
      <c r="K61" s="137"/>
      <c r="L61" s="58" t="str" cm="1">
        <f>IF(ISBLANK($A61),"",INDEX(Array_OtherEnergyCharges,MATCH($A61,List_OtherEnergyMeters,0),ROUNDUP((COLUMN()+1)/3-2,0)))</f>
        <v/>
      </c>
      <c r="M61" s="127"/>
      <c r="N61" s="137"/>
      <c r="O61" s="58" t="str" cm="1">
        <f>IF(ISBLANK($A61),"",INDEX(Array_OtherEnergyCharges,MATCH($A61,List_OtherEnergyMeters,0),ROUNDUP((COLUMN()+1)/3-2,0)))</f>
        <v/>
      </c>
      <c r="P61" s="127"/>
      <c r="Q61" s="137"/>
      <c r="R61" s="58" t="str" cm="1">
        <f>IF(ISBLANK($A61),"",INDEX(Array_OtherEnergyCharges,MATCH($A61,List_OtherEnergyMeters,0),ROUNDUP((COLUMN()+1)/3-2,0)))</f>
        <v/>
      </c>
      <c r="S61" s="127"/>
      <c r="T61" s="137"/>
    </row>
    <row r="62" spans="1:20" x14ac:dyDescent="0.3">
      <c r="A62" s="126"/>
      <c r="B62" s="133"/>
      <c r="C62" s="127"/>
      <c r="D62" s="138"/>
      <c r="E62" s="137"/>
      <c r="F62" s="58" t="str" cm="1">
        <f>IF(ISBLANK($A62),"",INDEX(Array_OtherEnergyCharges,MATCH($A62,List_OtherEnergyMeters,0),ROUNDUP((COLUMN()+1)/3-2,0)))</f>
        <v/>
      </c>
      <c r="G62" s="127"/>
      <c r="H62" s="137"/>
      <c r="I62" s="58" t="str" cm="1">
        <f>IF(ISBLANK($A62),"",INDEX(Array_OtherEnergyCharges,MATCH($A62,List_OtherEnergyMeters,0),ROUNDUP((COLUMN()+1)/3-2,0)))</f>
        <v/>
      </c>
      <c r="J62" s="127"/>
      <c r="K62" s="137"/>
      <c r="L62" s="58" t="str" cm="1">
        <f>IF(ISBLANK($A62),"",INDEX(Array_OtherEnergyCharges,MATCH($A62,List_OtherEnergyMeters,0),ROUNDUP((COLUMN()+1)/3-2,0)))</f>
        <v/>
      </c>
      <c r="M62" s="127"/>
      <c r="N62" s="137"/>
      <c r="O62" s="58" t="str" cm="1">
        <f>IF(ISBLANK($A62),"",INDEX(Array_OtherEnergyCharges,MATCH($A62,List_OtherEnergyMeters,0),ROUNDUP((COLUMN()+1)/3-2,0)))</f>
        <v/>
      </c>
      <c r="P62" s="127"/>
      <c r="Q62" s="137"/>
      <c r="R62" s="58" t="str" cm="1">
        <f>IF(ISBLANK($A62),"",INDEX(Array_OtherEnergyCharges,MATCH($A62,List_OtherEnergyMeters,0),ROUNDUP((COLUMN()+1)/3-2,0)))</f>
        <v/>
      </c>
      <c r="S62" s="127"/>
      <c r="T62" s="137"/>
    </row>
    <row r="63" spans="1:20" x14ac:dyDescent="0.3">
      <c r="A63" s="126"/>
      <c r="B63" s="133"/>
      <c r="C63" s="127"/>
      <c r="D63" s="138"/>
      <c r="E63" s="137"/>
      <c r="F63" s="58" t="str" cm="1">
        <f>IF(ISBLANK($A63),"",INDEX(Array_OtherEnergyCharges,MATCH($A63,List_OtherEnergyMeters,0),ROUNDUP((COLUMN()+1)/3-2,0)))</f>
        <v/>
      </c>
      <c r="G63" s="127"/>
      <c r="H63" s="137"/>
      <c r="I63" s="58" t="str" cm="1">
        <f>IF(ISBLANK($A63),"",INDEX(Array_OtherEnergyCharges,MATCH($A63,List_OtherEnergyMeters,0),ROUNDUP((COLUMN()+1)/3-2,0)))</f>
        <v/>
      </c>
      <c r="J63" s="127"/>
      <c r="K63" s="137"/>
      <c r="L63" s="58" t="str" cm="1">
        <f>IF(ISBLANK($A63),"",INDEX(Array_OtherEnergyCharges,MATCH($A63,List_OtherEnergyMeters,0),ROUNDUP((COLUMN()+1)/3-2,0)))</f>
        <v/>
      </c>
      <c r="M63" s="127"/>
      <c r="N63" s="137"/>
      <c r="O63" s="58" t="str" cm="1">
        <f>IF(ISBLANK($A63),"",INDEX(Array_OtherEnergyCharges,MATCH($A63,List_OtherEnergyMeters,0),ROUNDUP((COLUMN()+1)/3-2,0)))</f>
        <v/>
      </c>
      <c r="P63" s="127"/>
      <c r="Q63" s="137"/>
      <c r="R63" s="58" t="str" cm="1">
        <f>IF(ISBLANK($A63),"",INDEX(Array_OtherEnergyCharges,MATCH($A63,List_OtherEnergyMeters,0),ROUNDUP((COLUMN()+1)/3-2,0)))</f>
        <v/>
      </c>
      <c r="S63" s="127"/>
      <c r="T63" s="137"/>
    </row>
    <row r="64" spans="1:20" x14ac:dyDescent="0.3">
      <c r="A64" s="126"/>
      <c r="B64" s="133"/>
      <c r="C64" s="127"/>
      <c r="D64" s="138"/>
      <c r="E64" s="137"/>
      <c r="F64" s="58" t="str" cm="1">
        <f>IF(ISBLANK($A64),"",INDEX(Array_OtherEnergyCharges,MATCH($A64,List_OtherEnergyMeters,0),ROUNDUP((COLUMN()+1)/3-2,0)))</f>
        <v/>
      </c>
      <c r="G64" s="127"/>
      <c r="H64" s="137"/>
      <c r="I64" s="58" t="str" cm="1">
        <f>IF(ISBLANK($A64),"",INDEX(Array_OtherEnergyCharges,MATCH($A64,List_OtherEnergyMeters,0),ROUNDUP((COLUMN()+1)/3-2,0)))</f>
        <v/>
      </c>
      <c r="J64" s="127"/>
      <c r="K64" s="137"/>
      <c r="L64" s="58" t="str" cm="1">
        <f>IF(ISBLANK($A64),"",INDEX(Array_OtherEnergyCharges,MATCH($A64,List_OtherEnergyMeters,0),ROUNDUP((COLUMN()+1)/3-2,0)))</f>
        <v/>
      </c>
      <c r="M64" s="127"/>
      <c r="N64" s="137"/>
      <c r="O64" s="58" t="str" cm="1">
        <f>IF(ISBLANK($A64),"",INDEX(Array_OtherEnergyCharges,MATCH($A64,List_OtherEnergyMeters,0),ROUNDUP((COLUMN()+1)/3-2,0)))</f>
        <v/>
      </c>
      <c r="P64" s="127"/>
      <c r="Q64" s="137"/>
      <c r="R64" s="58" t="str" cm="1">
        <f>IF(ISBLANK($A64),"",INDEX(Array_OtherEnergyCharges,MATCH($A64,List_OtherEnergyMeters,0),ROUNDUP((COLUMN()+1)/3-2,0)))</f>
        <v/>
      </c>
      <c r="S64" s="127"/>
      <c r="T64" s="137"/>
    </row>
    <row r="65" spans="1:20" x14ac:dyDescent="0.3">
      <c r="A65" s="126"/>
      <c r="B65" s="133"/>
      <c r="C65" s="127"/>
      <c r="D65" s="138"/>
      <c r="E65" s="137"/>
      <c r="F65" s="58" t="str" cm="1">
        <f>IF(ISBLANK($A65),"",INDEX(Array_OtherEnergyCharges,MATCH($A65,List_OtherEnergyMeters,0),ROUNDUP((COLUMN()+1)/3-2,0)))</f>
        <v/>
      </c>
      <c r="G65" s="127"/>
      <c r="H65" s="137"/>
      <c r="I65" s="58" t="str" cm="1">
        <f>IF(ISBLANK($A65),"",INDEX(Array_OtherEnergyCharges,MATCH($A65,List_OtherEnergyMeters,0),ROUNDUP((COLUMN()+1)/3-2,0)))</f>
        <v/>
      </c>
      <c r="J65" s="127"/>
      <c r="K65" s="137"/>
      <c r="L65" s="58" t="str" cm="1">
        <f>IF(ISBLANK($A65),"",INDEX(Array_OtherEnergyCharges,MATCH($A65,List_OtherEnergyMeters,0),ROUNDUP((COLUMN()+1)/3-2,0)))</f>
        <v/>
      </c>
      <c r="M65" s="127"/>
      <c r="N65" s="137"/>
      <c r="O65" s="58" t="str" cm="1">
        <f>IF(ISBLANK($A65),"",INDEX(Array_OtherEnergyCharges,MATCH($A65,List_OtherEnergyMeters,0),ROUNDUP((COLUMN()+1)/3-2,0)))</f>
        <v/>
      </c>
      <c r="P65" s="127"/>
      <c r="Q65" s="137"/>
      <c r="R65" s="58" t="str" cm="1">
        <f>IF(ISBLANK($A65),"",INDEX(Array_OtherEnergyCharges,MATCH($A65,List_OtherEnergyMeters,0),ROUNDUP((COLUMN()+1)/3-2,0)))</f>
        <v/>
      </c>
      <c r="S65" s="127"/>
      <c r="T65" s="137"/>
    </row>
    <row r="66" spans="1:20" x14ac:dyDescent="0.3">
      <c r="A66" s="126"/>
      <c r="B66" s="133"/>
      <c r="C66" s="127"/>
      <c r="D66" s="138"/>
      <c r="E66" s="137"/>
      <c r="F66" s="58" t="str" cm="1">
        <f>IF(ISBLANK($A66),"",INDEX(Array_OtherEnergyCharges,MATCH($A66,List_OtherEnergyMeters,0),ROUNDUP((COLUMN()+1)/3-2,0)))</f>
        <v/>
      </c>
      <c r="G66" s="127"/>
      <c r="H66" s="137"/>
      <c r="I66" s="58" t="str" cm="1">
        <f>IF(ISBLANK($A66),"",INDEX(Array_OtherEnergyCharges,MATCH($A66,List_OtherEnergyMeters,0),ROUNDUP((COLUMN()+1)/3-2,0)))</f>
        <v/>
      </c>
      <c r="J66" s="127"/>
      <c r="K66" s="137"/>
      <c r="L66" s="58" t="str" cm="1">
        <f>IF(ISBLANK($A66),"",INDEX(Array_OtherEnergyCharges,MATCH($A66,List_OtherEnergyMeters,0),ROUNDUP((COLUMN()+1)/3-2,0)))</f>
        <v/>
      </c>
      <c r="M66" s="127"/>
      <c r="N66" s="137"/>
      <c r="O66" s="58" t="str" cm="1">
        <f>IF(ISBLANK($A66),"",INDEX(Array_OtherEnergyCharges,MATCH($A66,List_OtherEnergyMeters,0),ROUNDUP((COLUMN()+1)/3-2,0)))</f>
        <v/>
      </c>
      <c r="P66" s="127"/>
      <c r="Q66" s="137"/>
      <c r="R66" s="58" t="str" cm="1">
        <f>IF(ISBLANK($A66),"",INDEX(Array_OtherEnergyCharges,MATCH($A66,List_OtherEnergyMeters,0),ROUNDUP((COLUMN()+1)/3-2,0)))</f>
        <v/>
      </c>
      <c r="S66" s="127"/>
      <c r="T66" s="137"/>
    </row>
    <row r="67" spans="1:20" x14ac:dyDescent="0.3">
      <c r="A67" s="126"/>
      <c r="B67" s="133"/>
      <c r="C67" s="127"/>
      <c r="D67" s="138"/>
      <c r="E67" s="137"/>
      <c r="F67" s="58" t="str" cm="1">
        <f>IF(ISBLANK($A67),"",INDEX(Array_OtherEnergyCharges,MATCH($A67,List_OtherEnergyMeters,0),ROUNDUP((COLUMN()+1)/3-2,0)))</f>
        <v/>
      </c>
      <c r="G67" s="127"/>
      <c r="H67" s="137"/>
      <c r="I67" s="58" t="str" cm="1">
        <f>IF(ISBLANK($A67),"",INDEX(Array_OtherEnergyCharges,MATCH($A67,List_OtherEnergyMeters,0),ROUNDUP((COLUMN()+1)/3-2,0)))</f>
        <v/>
      </c>
      <c r="J67" s="127"/>
      <c r="K67" s="137"/>
      <c r="L67" s="58" t="str" cm="1">
        <f>IF(ISBLANK($A67),"",INDEX(Array_OtherEnergyCharges,MATCH($A67,List_OtherEnergyMeters,0),ROUNDUP((COLUMN()+1)/3-2,0)))</f>
        <v/>
      </c>
      <c r="M67" s="127"/>
      <c r="N67" s="137"/>
      <c r="O67" s="58" t="str" cm="1">
        <f>IF(ISBLANK($A67),"",INDEX(Array_OtherEnergyCharges,MATCH($A67,List_OtherEnergyMeters,0),ROUNDUP((COLUMN()+1)/3-2,0)))</f>
        <v/>
      </c>
      <c r="P67" s="127"/>
      <c r="Q67" s="137"/>
      <c r="R67" s="58" t="str" cm="1">
        <f>IF(ISBLANK($A67),"",INDEX(Array_OtherEnergyCharges,MATCH($A67,List_OtherEnergyMeters,0),ROUNDUP((COLUMN()+1)/3-2,0)))</f>
        <v/>
      </c>
      <c r="S67" s="127"/>
      <c r="T67" s="137"/>
    </row>
    <row r="68" spans="1:20" x14ac:dyDescent="0.3">
      <c r="A68" s="126"/>
      <c r="B68" s="133"/>
      <c r="C68" s="127"/>
      <c r="D68" s="138"/>
      <c r="E68" s="137"/>
      <c r="F68" s="58" t="str" cm="1">
        <f>IF(ISBLANK($A68),"",INDEX(Array_OtherEnergyCharges,MATCH($A68,List_OtherEnergyMeters,0),ROUNDUP((COLUMN()+1)/3-2,0)))</f>
        <v/>
      </c>
      <c r="G68" s="127"/>
      <c r="H68" s="137"/>
      <c r="I68" s="58" t="str" cm="1">
        <f>IF(ISBLANK($A68),"",INDEX(Array_OtherEnergyCharges,MATCH($A68,List_OtherEnergyMeters,0),ROUNDUP((COLUMN()+1)/3-2,0)))</f>
        <v/>
      </c>
      <c r="J68" s="127"/>
      <c r="K68" s="137"/>
      <c r="L68" s="58" t="str" cm="1">
        <f>IF(ISBLANK($A68),"",INDEX(Array_OtherEnergyCharges,MATCH($A68,List_OtherEnergyMeters,0),ROUNDUP((COLUMN()+1)/3-2,0)))</f>
        <v/>
      </c>
      <c r="M68" s="127"/>
      <c r="N68" s="137"/>
      <c r="O68" s="58" t="str" cm="1">
        <f>IF(ISBLANK($A68),"",INDEX(Array_OtherEnergyCharges,MATCH($A68,List_OtherEnergyMeters,0),ROUNDUP((COLUMN()+1)/3-2,0)))</f>
        <v/>
      </c>
      <c r="P68" s="127"/>
      <c r="Q68" s="137"/>
      <c r="R68" s="58" t="str" cm="1">
        <f>IF(ISBLANK($A68),"",INDEX(Array_OtherEnergyCharges,MATCH($A68,List_OtherEnergyMeters,0),ROUNDUP((COLUMN()+1)/3-2,0)))</f>
        <v/>
      </c>
      <c r="S68" s="127"/>
      <c r="T68" s="137"/>
    </row>
    <row r="69" spans="1:20" x14ac:dyDescent="0.3">
      <c r="A69" s="126"/>
      <c r="B69" s="133"/>
      <c r="C69" s="127"/>
      <c r="D69" s="138"/>
      <c r="E69" s="137"/>
      <c r="F69" s="58" t="str" cm="1">
        <f>IF(ISBLANK($A69),"",INDEX(Array_OtherEnergyCharges,MATCH($A69,List_OtherEnergyMeters,0),ROUNDUP((COLUMN()+1)/3-2,0)))</f>
        <v/>
      </c>
      <c r="G69" s="127"/>
      <c r="H69" s="137"/>
      <c r="I69" s="58" t="str" cm="1">
        <f>IF(ISBLANK($A69),"",INDEX(Array_OtherEnergyCharges,MATCH($A69,List_OtherEnergyMeters,0),ROUNDUP((COLUMN()+1)/3-2,0)))</f>
        <v/>
      </c>
      <c r="J69" s="127"/>
      <c r="K69" s="137"/>
      <c r="L69" s="58" t="str" cm="1">
        <f>IF(ISBLANK($A69),"",INDEX(Array_OtherEnergyCharges,MATCH($A69,List_OtherEnergyMeters,0),ROUNDUP((COLUMN()+1)/3-2,0)))</f>
        <v/>
      </c>
      <c r="M69" s="127"/>
      <c r="N69" s="137"/>
      <c r="O69" s="58" t="str" cm="1">
        <f>IF(ISBLANK($A69),"",INDEX(Array_OtherEnergyCharges,MATCH($A69,List_OtherEnergyMeters,0),ROUNDUP((COLUMN()+1)/3-2,0)))</f>
        <v/>
      </c>
      <c r="P69" s="127"/>
      <c r="Q69" s="137"/>
      <c r="R69" s="58" t="str" cm="1">
        <f>IF(ISBLANK($A69),"",INDEX(Array_OtherEnergyCharges,MATCH($A69,List_OtherEnergyMeters,0),ROUNDUP((COLUMN()+1)/3-2,0)))</f>
        <v/>
      </c>
      <c r="S69" s="127"/>
      <c r="T69" s="137"/>
    </row>
    <row r="70" spans="1:20" x14ac:dyDescent="0.3">
      <c r="A70" s="126"/>
      <c r="B70" s="133"/>
      <c r="C70" s="127"/>
      <c r="D70" s="138"/>
      <c r="E70" s="137"/>
      <c r="F70" s="58" t="str" cm="1">
        <f>IF(ISBLANK($A70),"",INDEX(Array_OtherEnergyCharges,MATCH($A70,List_OtherEnergyMeters,0),ROUNDUP((COLUMN()+1)/3-2,0)))</f>
        <v/>
      </c>
      <c r="G70" s="127"/>
      <c r="H70" s="137"/>
      <c r="I70" s="58" t="str" cm="1">
        <f>IF(ISBLANK($A70),"",INDEX(Array_OtherEnergyCharges,MATCH($A70,List_OtherEnergyMeters,0),ROUNDUP((COLUMN()+1)/3-2,0)))</f>
        <v/>
      </c>
      <c r="J70" s="127"/>
      <c r="K70" s="137"/>
      <c r="L70" s="58" t="str" cm="1">
        <f>IF(ISBLANK($A70),"",INDEX(Array_OtherEnergyCharges,MATCH($A70,List_OtherEnergyMeters,0),ROUNDUP((COLUMN()+1)/3-2,0)))</f>
        <v/>
      </c>
      <c r="M70" s="127"/>
      <c r="N70" s="137"/>
      <c r="O70" s="58" t="str" cm="1">
        <f>IF(ISBLANK($A70),"",INDEX(Array_OtherEnergyCharges,MATCH($A70,List_OtherEnergyMeters,0),ROUNDUP((COLUMN()+1)/3-2,0)))</f>
        <v/>
      </c>
      <c r="P70" s="127"/>
      <c r="Q70" s="137"/>
      <c r="R70" s="58" t="str" cm="1">
        <f>IF(ISBLANK($A70),"",INDEX(Array_OtherEnergyCharges,MATCH($A70,List_OtherEnergyMeters,0),ROUNDUP((COLUMN()+1)/3-2,0)))</f>
        <v/>
      </c>
      <c r="S70" s="127"/>
      <c r="T70" s="137"/>
    </row>
    <row r="71" spans="1:20" x14ac:dyDescent="0.3">
      <c r="A71" s="126"/>
      <c r="B71" s="133"/>
      <c r="C71" s="127"/>
      <c r="D71" s="138"/>
      <c r="E71" s="137"/>
      <c r="F71" s="58" t="str" cm="1">
        <f>IF(ISBLANK($A71),"",INDEX(Array_OtherEnergyCharges,MATCH($A71,List_OtherEnergyMeters,0),ROUNDUP((COLUMN()+1)/3-2,0)))</f>
        <v/>
      </c>
      <c r="G71" s="127"/>
      <c r="H71" s="137"/>
      <c r="I71" s="58" t="str" cm="1">
        <f>IF(ISBLANK($A71),"",INDEX(Array_OtherEnergyCharges,MATCH($A71,List_OtherEnergyMeters,0),ROUNDUP((COLUMN()+1)/3-2,0)))</f>
        <v/>
      </c>
      <c r="J71" s="127"/>
      <c r="K71" s="137"/>
      <c r="L71" s="58" t="str" cm="1">
        <f>IF(ISBLANK($A71),"",INDEX(Array_OtherEnergyCharges,MATCH($A71,List_OtherEnergyMeters,0),ROUNDUP((COLUMN()+1)/3-2,0)))</f>
        <v/>
      </c>
      <c r="M71" s="127"/>
      <c r="N71" s="137"/>
      <c r="O71" s="58" t="str" cm="1">
        <f>IF(ISBLANK($A71),"",INDEX(Array_OtherEnergyCharges,MATCH($A71,List_OtherEnergyMeters,0),ROUNDUP((COLUMN()+1)/3-2,0)))</f>
        <v/>
      </c>
      <c r="P71" s="127"/>
      <c r="Q71" s="137"/>
      <c r="R71" s="58" t="str" cm="1">
        <f>IF(ISBLANK($A71),"",INDEX(Array_OtherEnergyCharges,MATCH($A71,List_OtherEnergyMeters,0),ROUNDUP((COLUMN()+1)/3-2,0)))</f>
        <v/>
      </c>
      <c r="S71" s="127"/>
      <c r="T71" s="137"/>
    </row>
    <row r="72" spans="1:20" x14ac:dyDescent="0.3">
      <c r="A72" s="126"/>
      <c r="B72" s="133"/>
      <c r="C72" s="127"/>
      <c r="D72" s="138"/>
      <c r="E72" s="137"/>
      <c r="F72" s="58" t="str" cm="1">
        <f>IF(ISBLANK($A72),"",INDEX(Array_OtherEnergyCharges,MATCH($A72,List_OtherEnergyMeters,0),ROUNDUP((COLUMN()+1)/3-2,0)))</f>
        <v/>
      </c>
      <c r="G72" s="127"/>
      <c r="H72" s="137"/>
      <c r="I72" s="58" t="str" cm="1">
        <f>IF(ISBLANK($A72),"",INDEX(Array_OtherEnergyCharges,MATCH($A72,List_OtherEnergyMeters,0),ROUNDUP((COLUMN()+1)/3-2,0)))</f>
        <v/>
      </c>
      <c r="J72" s="127"/>
      <c r="K72" s="137"/>
      <c r="L72" s="58" t="str" cm="1">
        <f>IF(ISBLANK($A72),"",INDEX(Array_OtherEnergyCharges,MATCH($A72,List_OtherEnergyMeters,0),ROUNDUP((COLUMN()+1)/3-2,0)))</f>
        <v/>
      </c>
      <c r="M72" s="127"/>
      <c r="N72" s="137"/>
      <c r="O72" s="58" t="str" cm="1">
        <f>IF(ISBLANK($A72),"",INDEX(Array_OtherEnergyCharges,MATCH($A72,List_OtherEnergyMeters,0),ROUNDUP((COLUMN()+1)/3-2,0)))</f>
        <v/>
      </c>
      <c r="P72" s="127"/>
      <c r="Q72" s="137"/>
      <c r="R72" s="58" t="str" cm="1">
        <f>IF(ISBLANK($A72),"",INDEX(Array_OtherEnergyCharges,MATCH($A72,List_OtherEnergyMeters,0),ROUNDUP((COLUMN()+1)/3-2,0)))</f>
        <v/>
      </c>
      <c r="S72" s="127"/>
      <c r="T72" s="137"/>
    </row>
    <row r="73" spans="1:20" x14ac:dyDescent="0.3">
      <c r="A73" s="126"/>
      <c r="B73" s="133"/>
      <c r="C73" s="127"/>
      <c r="D73" s="138"/>
      <c r="E73" s="137"/>
      <c r="F73" s="58" t="str" cm="1">
        <f>IF(ISBLANK($A73),"",INDEX(Array_OtherEnergyCharges,MATCH($A73,List_OtherEnergyMeters,0),ROUNDUP((COLUMN()+1)/3-2,0)))</f>
        <v/>
      </c>
      <c r="G73" s="127"/>
      <c r="H73" s="137"/>
      <c r="I73" s="58" t="str" cm="1">
        <f>IF(ISBLANK($A73),"",INDEX(Array_OtherEnergyCharges,MATCH($A73,List_OtherEnergyMeters,0),ROUNDUP((COLUMN()+1)/3-2,0)))</f>
        <v/>
      </c>
      <c r="J73" s="127"/>
      <c r="K73" s="137"/>
      <c r="L73" s="58" t="str" cm="1">
        <f>IF(ISBLANK($A73),"",INDEX(Array_OtherEnergyCharges,MATCH($A73,List_OtherEnergyMeters,0),ROUNDUP((COLUMN()+1)/3-2,0)))</f>
        <v/>
      </c>
      <c r="M73" s="127"/>
      <c r="N73" s="137"/>
      <c r="O73" s="58" t="str" cm="1">
        <f>IF(ISBLANK($A73),"",INDEX(Array_OtherEnergyCharges,MATCH($A73,List_OtherEnergyMeters,0),ROUNDUP((COLUMN()+1)/3-2,0)))</f>
        <v/>
      </c>
      <c r="P73" s="127"/>
      <c r="Q73" s="137"/>
      <c r="R73" s="58" t="str" cm="1">
        <f>IF(ISBLANK($A73),"",INDEX(Array_OtherEnergyCharges,MATCH($A73,List_OtherEnergyMeters,0),ROUNDUP((COLUMN()+1)/3-2,0)))</f>
        <v/>
      </c>
      <c r="S73" s="127"/>
      <c r="T73" s="137"/>
    </row>
    <row r="74" spans="1:20" x14ac:dyDescent="0.3">
      <c r="A74" s="126"/>
      <c r="B74" s="133"/>
      <c r="C74" s="127"/>
      <c r="D74" s="138"/>
      <c r="E74" s="137"/>
      <c r="F74" s="58" t="str" cm="1">
        <f>IF(ISBLANK($A74),"",INDEX(Array_OtherEnergyCharges,MATCH($A74,List_OtherEnergyMeters,0),ROUNDUP((COLUMN()+1)/3-2,0)))</f>
        <v/>
      </c>
      <c r="G74" s="127"/>
      <c r="H74" s="137"/>
      <c r="I74" s="58" t="str" cm="1">
        <f>IF(ISBLANK($A74),"",INDEX(Array_OtherEnergyCharges,MATCH($A74,List_OtherEnergyMeters,0),ROUNDUP((COLUMN()+1)/3-2,0)))</f>
        <v/>
      </c>
      <c r="J74" s="127"/>
      <c r="K74" s="137"/>
      <c r="L74" s="58" t="str" cm="1">
        <f>IF(ISBLANK($A74),"",INDEX(Array_OtherEnergyCharges,MATCH($A74,List_OtherEnergyMeters,0),ROUNDUP((COLUMN()+1)/3-2,0)))</f>
        <v/>
      </c>
      <c r="M74" s="127"/>
      <c r="N74" s="137"/>
      <c r="O74" s="58" t="str" cm="1">
        <f>IF(ISBLANK($A74),"",INDEX(Array_OtherEnergyCharges,MATCH($A74,List_OtherEnergyMeters,0),ROUNDUP((COLUMN()+1)/3-2,0)))</f>
        <v/>
      </c>
      <c r="P74" s="127"/>
      <c r="Q74" s="137"/>
      <c r="R74" s="58" t="str" cm="1">
        <f>IF(ISBLANK($A74),"",INDEX(Array_OtherEnergyCharges,MATCH($A74,List_OtherEnergyMeters,0),ROUNDUP((COLUMN()+1)/3-2,0)))</f>
        <v/>
      </c>
      <c r="S74" s="127"/>
      <c r="T74" s="137"/>
    </row>
    <row r="75" spans="1:20" x14ac:dyDescent="0.3">
      <c r="A75" s="126"/>
      <c r="B75" s="133"/>
      <c r="C75" s="127"/>
      <c r="D75" s="138"/>
      <c r="E75" s="137"/>
      <c r="F75" s="58" t="str" cm="1">
        <f>IF(ISBLANK($A75),"",INDEX(Array_OtherEnergyCharges,MATCH($A75,List_OtherEnergyMeters,0),ROUNDUP((COLUMN()+1)/3-2,0)))</f>
        <v/>
      </c>
      <c r="G75" s="127"/>
      <c r="H75" s="137"/>
      <c r="I75" s="58" t="str" cm="1">
        <f>IF(ISBLANK($A75),"",INDEX(Array_OtherEnergyCharges,MATCH($A75,List_OtherEnergyMeters,0),ROUNDUP((COLUMN()+1)/3-2,0)))</f>
        <v/>
      </c>
      <c r="J75" s="127"/>
      <c r="K75" s="137"/>
      <c r="L75" s="58" t="str" cm="1">
        <f>IF(ISBLANK($A75),"",INDEX(Array_OtherEnergyCharges,MATCH($A75,List_OtherEnergyMeters,0),ROUNDUP((COLUMN()+1)/3-2,0)))</f>
        <v/>
      </c>
      <c r="M75" s="127"/>
      <c r="N75" s="137"/>
      <c r="O75" s="58" t="str" cm="1">
        <f>IF(ISBLANK($A75),"",INDEX(Array_OtherEnergyCharges,MATCH($A75,List_OtherEnergyMeters,0),ROUNDUP((COLUMN()+1)/3-2,0)))</f>
        <v/>
      </c>
      <c r="P75" s="127"/>
      <c r="Q75" s="137"/>
      <c r="R75" s="58" t="str" cm="1">
        <f>IF(ISBLANK($A75),"",INDEX(Array_OtherEnergyCharges,MATCH($A75,List_OtherEnergyMeters,0),ROUNDUP((COLUMN()+1)/3-2,0)))</f>
        <v/>
      </c>
      <c r="S75" s="127"/>
      <c r="T75" s="137"/>
    </row>
    <row r="76" spans="1:20" x14ac:dyDescent="0.3">
      <c r="A76" s="126"/>
      <c r="B76" s="133"/>
      <c r="C76" s="127"/>
      <c r="D76" s="138"/>
      <c r="E76" s="137"/>
      <c r="F76" s="58" t="str" cm="1">
        <f>IF(ISBLANK($A76),"",INDEX(Array_OtherEnergyCharges,MATCH($A76,List_OtherEnergyMeters,0),ROUNDUP((COLUMN()+1)/3-2,0)))</f>
        <v/>
      </c>
      <c r="G76" s="127"/>
      <c r="H76" s="137"/>
      <c r="I76" s="58" t="str" cm="1">
        <f>IF(ISBLANK($A76),"",INDEX(Array_OtherEnergyCharges,MATCH($A76,List_OtherEnergyMeters,0),ROUNDUP((COLUMN()+1)/3-2,0)))</f>
        <v/>
      </c>
      <c r="J76" s="127"/>
      <c r="K76" s="137"/>
      <c r="L76" s="58" t="str" cm="1">
        <f>IF(ISBLANK($A76),"",INDEX(Array_OtherEnergyCharges,MATCH($A76,List_OtherEnergyMeters,0),ROUNDUP((COLUMN()+1)/3-2,0)))</f>
        <v/>
      </c>
      <c r="M76" s="127"/>
      <c r="N76" s="137"/>
      <c r="O76" s="58" t="str" cm="1">
        <f>IF(ISBLANK($A76),"",INDEX(Array_OtherEnergyCharges,MATCH($A76,List_OtherEnergyMeters,0),ROUNDUP((COLUMN()+1)/3-2,0)))</f>
        <v/>
      </c>
      <c r="P76" s="127"/>
      <c r="Q76" s="137"/>
      <c r="R76" s="58" t="str" cm="1">
        <f>IF(ISBLANK($A76),"",INDEX(Array_OtherEnergyCharges,MATCH($A76,List_OtherEnergyMeters,0),ROUNDUP((COLUMN()+1)/3-2,0)))</f>
        <v/>
      </c>
      <c r="S76" s="127"/>
      <c r="T76" s="137"/>
    </row>
    <row r="77" spans="1:20" x14ac:dyDescent="0.3">
      <c r="A77" s="126"/>
      <c r="B77" s="133"/>
      <c r="C77" s="127"/>
      <c r="D77" s="138"/>
      <c r="E77" s="137"/>
      <c r="F77" s="58" t="str" cm="1">
        <f>IF(ISBLANK($A77),"",INDEX(Array_OtherEnergyCharges,MATCH($A77,List_OtherEnergyMeters,0),ROUNDUP((COLUMN()+1)/3-2,0)))</f>
        <v/>
      </c>
      <c r="G77" s="127"/>
      <c r="H77" s="137"/>
      <c r="I77" s="58" t="str" cm="1">
        <f>IF(ISBLANK($A77),"",INDEX(Array_OtherEnergyCharges,MATCH($A77,List_OtherEnergyMeters,0),ROUNDUP((COLUMN()+1)/3-2,0)))</f>
        <v/>
      </c>
      <c r="J77" s="127"/>
      <c r="K77" s="137"/>
      <c r="L77" s="58" t="str" cm="1">
        <f>IF(ISBLANK($A77),"",INDEX(Array_OtherEnergyCharges,MATCH($A77,List_OtherEnergyMeters,0),ROUNDUP((COLUMN()+1)/3-2,0)))</f>
        <v/>
      </c>
      <c r="M77" s="127"/>
      <c r="N77" s="137"/>
      <c r="O77" s="58" t="str" cm="1">
        <f>IF(ISBLANK($A77),"",INDEX(Array_OtherEnergyCharges,MATCH($A77,List_OtherEnergyMeters,0),ROUNDUP((COLUMN()+1)/3-2,0)))</f>
        <v/>
      </c>
      <c r="P77" s="127"/>
      <c r="Q77" s="137"/>
      <c r="R77" s="58" t="str" cm="1">
        <f>IF(ISBLANK($A77),"",INDEX(Array_OtherEnergyCharges,MATCH($A77,List_OtherEnergyMeters,0),ROUNDUP((COLUMN()+1)/3-2,0)))</f>
        <v/>
      </c>
      <c r="S77" s="127"/>
      <c r="T77" s="137"/>
    </row>
    <row r="78" spans="1:20" x14ac:dyDescent="0.3">
      <c r="A78" s="126"/>
      <c r="B78" s="133"/>
      <c r="C78" s="127"/>
      <c r="D78" s="138"/>
      <c r="E78" s="137"/>
      <c r="F78" s="58" t="str" cm="1">
        <f>IF(ISBLANK($A78),"",INDEX(Array_OtherEnergyCharges,MATCH($A78,List_OtherEnergyMeters,0),ROUNDUP((COLUMN()+1)/3-2,0)))</f>
        <v/>
      </c>
      <c r="G78" s="127"/>
      <c r="H78" s="137"/>
      <c r="I78" s="58" t="str" cm="1">
        <f>IF(ISBLANK($A78),"",INDEX(Array_OtherEnergyCharges,MATCH($A78,List_OtherEnergyMeters,0),ROUNDUP((COLUMN()+1)/3-2,0)))</f>
        <v/>
      </c>
      <c r="J78" s="127"/>
      <c r="K78" s="137"/>
      <c r="L78" s="58" t="str" cm="1">
        <f>IF(ISBLANK($A78),"",INDEX(Array_OtherEnergyCharges,MATCH($A78,List_OtherEnergyMeters,0),ROUNDUP((COLUMN()+1)/3-2,0)))</f>
        <v/>
      </c>
      <c r="M78" s="127"/>
      <c r="N78" s="137"/>
      <c r="O78" s="58" t="str" cm="1">
        <f>IF(ISBLANK($A78),"",INDEX(Array_OtherEnergyCharges,MATCH($A78,List_OtherEnergyMeters,0),ROUNDUP((COLUMN()+1)/3-2,0)))</f>
        <v/>
      </c>
      <c r="P78" s="127"/>
      <c r="Q78" s="137"/>
      <c r="R78" s="58" t="str" cm="1">
        <f>IF(ISBLANK($A78),"",INDEX(Array_OtherEnergyCharges,MATCH($A78,List_OtherEnergyMeters,0),ROUNDUP((COLUMN()+1)/3-2,0)))</f>
        <v/>
      </c>
      <c r="S78" s="127"/>
      <c r="T78" s="137"/>
    </row>
    <row r="79" spans="1:20" x14ac:dyDescent="0.3">
      <c r="A79" s="126"/>
      <c r="B79" s="133"/>
      <c r="C79" s="127"/>
      <c r="D79" s="138"/>
      <c r="E79" s="137"/>
      <c r="F79" s="58" t="str" cm="1">
        <f>IF(ISBLANK($A79),"",INDEX(Array_OtherEnergyCharges,MATCH($A79,List_OtherEnergyMeters,0),ROUNDUP((COLUMN()+1)/3-2,0)))</f>
        <v/>
      </c>
      <c r="G79" s="127"/>
      <c r="H79" s="137"/>
      <c r="I79" s="58" t="str" cm="1">
        <f>IF(ISBLANK($A79),"",INDEX(Array_OtherEnergyCharges,MATCH($A79,List_OtherEnergyMeters,0),ROUNDUP((COLUMN()+1)/3-2,0)))</f>
        <v/>
      </c>
      <c r="J79" s="127"/>
      <c r="K79" s="137"/>
      <c r="L79" s="58" t="str" cm="1">
        <f>IF(ISBLANK($A79),"",INDEX(Array_OtherEnergyCharges,MATCH($A79,List_OtherEnergyMeters,0),ROUNDUP((COLUMN()+1)/3-2,0)))</f>
        <v/>
      </c>
      <c r="M79" s="127"/>
      <c r="N79" s="137"/>
      <c r="O79" s="58" t="str" cm="1">
        <f>IF(ISBLANK($A79),"",INDEX(Array_OtherEnergyCharges,MATCH($A79,List_OtherEnergyMeters,0),ROUNDUP((COLUMN()+1)/3-2,0)))</f>
        <v/>
      </c>
      <c r="P79" s="127"/>
      <c r="Q79" s="137"/>
      <c r="R79" s="58" t="str" cm="1">
        <f>IF(ISBLANK($A79),"",INDEX(Array_OtherEnergyCharges,MATCH($A79,List_OtherEnergyMeters,0),ROUNDUP((COLUMN()+1)/3-2,0)))</f>
        <v/>
      </c>
      <c r="S79" s="127"/>
      <c r="T79" s="137"/>
    </row>
    <row r="80" spans="1:20" x14ac:dyDescent="0.3">
      <c r="A80" s="126"/>
      <c r="B80" s="133"/>
      <c r="C80" s="127"/>
      <c r="D80" s="138"/>
      <c r="E80" s="137"/>
      <c r="F80" s="58" t="str" cm="1">
        <f>IF(ISBLANK($A80),"",INDEX(Array_OtherEnergyCharges,MATCH($A80,List_OtherEnergyMeters,0),ROUNDUP((COLUMN()+1)/3-2,0)))</f>
        <v/>
      </c>
      <c r="G80" s="127"/>
      <c r="H80" s="137"/>
      <c r="I80" s="58" t="str" cm="1">
        <f>IF(ISBLANK($A80),"",INDEX(Array_OtherEnergyCharges,MATCH($A80,List_OtherEnergyMeters,0),ROUNDUP((COLUMN()+1)/3-2,0)))</f>
        <v/>
      </c>
      <c r="J80" s="127"/>
      <c r="K80" s="137"/>
      <c r="L80" s="58" t="str" cm="1">
        <f>IF(ISBLANK($A80),"",INDEX(Array_OtherEnergyCharges,MATCH($A80,List_OtherEnergyMeters,0),ROUNDUP((COLUMN()+1)/3-2,0)))</f>
        <v/>
      </c>
      <c r="M80" s="127"/>
      <c r="N80" s="137"/>
      <c r="O80" s="58" t="str" cm="1">
        <f>IF(ISBLANK($A80),"",INDEX(Array_OtherEnergyCharges,MATCH($A80,List_OtherEnergyMeters,0),ROUNDUP((COLUMN()+1)/3-2,0)))</f>
        <v/>
      </c>
      <c r="P80" s="127"/>
      <c r="Q80" s="137"/>
      <c r="R80" s="58" t="str" cm="1">
        <f>IF(ISBLANK($A80),"",INDEX(Array_OtherEnergyCharges,MATCH($A80,List_OtherEnergyMeters,0),ROUNDUP((COLUMN()+1)/3-2,0)))</f>
        <v/>
      </c>
      <c r="S80" s="127"/>
      <c r="T80" s="137"/>
    </row>
    <row r="81" spans="1:20" x14ac:dyDescent="0.3">
      <c r="A81" s="126"/>
      <c r="B81" s="133"/>
      <c r="C81" s="127"/>
      <c r="D81" s="138"/>
      <c r="E81" s="137"/>
      <c r="F81" s="58" t="str" cm="1">
        <f>IF(ISBLANK($A81),"",INDEX(Array_OtherEnergyCharges,MATCH($A81,List_OtherEnergyMeters,0),ROUNDUP((COLUMN()+1)/3-2,0)))</f>
        <v/>
      </c>
      <c r="G81" s="127"/>
      <c r="H81" s="137"/>
      <c r="I81" s="58" t="str" cm="1">
        <f>IF(ISBLANK($A81),"",INDEX(Array_OtherEnergyCharges,MATCH($A81,List_OtherEnergyMeters,0),ROUNDUP((COLUMN()+1)/3-2,0)))</f>
        <v/>
      </c>
      <c r="J81" s="127"/>
      <c r="K81" s="137"/>
      <c r="L81" s="58" t="str" cm="1">
        <f>IF(ISBLANK($A81),"",INDEX(Array_OtherEnergyCharges,MATCH($A81,List_OtherEnergyMeters,0),ROUNDUP((COLUMN()+1)/3-2,0)))</f>
        <v/>
      </c>
      <c r="M81" s="127"/>
      <c r="N81" s="137"/>
      <c r="O81" s="58" t="str" cm="1">
        <f>IF(ISBLANK($A81),"",INDEX(Array_OtherEnergyCharges,MATCH($A81,List_OtherEnergyMeters,0),ROUNDUP((COLUMN()+1)/3-2,0)))</f>
        <v/>
      </c>
      <c r="P81" s="127"/>
      <c r="Q81" s="137"/>
      <c r="R81" s="58" t="str" cm="1">
        <f>IF(ISBLANK($A81),"",INDEX(Array_OtherEnergyCharges,MATCH($A81,List_OtherEnergyMeters,0),ROUNDUP((COLUMN()+1)/3-2,0)))</f>
        <v/>
      </c>
      <c r="S81" s="127"/>
      <c r="T81" s="137"/>
    </row>
    <row r="82" spans="1:20" x14ac:dyDescent="0.3">
      <c r="A82" s="126"/>
      <c r="B82" s="133"/>
      <c r="C82" s="127"/>
      <c r="D82" s="138"/>
      <c r="E82" s="137"/>
      <c r="F82" s="58" t="str" cm="1">
        <f>IF(ISBLANK($A82),"",INDEX(Array_OtherEnergyCharges,MATCH($A82,List_OtherEnergyMeters,0),ROUNDUP((COLUMN()+1)/3-2,0)))</f>
        <v/>
      </c>
      <c r="G82" s="127"/>
      <c r="H82" s="137"/>
      <c r="I82" s="58" t="str" cm="1">
        <f>IF(ISBLANK($A82),"",INDEX(Array_OtherEnergyCharges,MATCH($A82,List_OtherEnergyMeters,0),ROUNDUP((COLUMN()+1)/3-2,0)))</f>
        <v/>
      </c>
      <c r="J82" s="127"/>
      <c r="K82" s="137"/>
      <c r="L82" s="58" t="str" cm="1">
        <f>IF(ISBLANK($A82),"",INDEX(Array_OtherEnergyCharges,MATCH($A82,List_OtherEnergyMeters,0),ROUNDUP((COLUMN()+1)/3-2,0)))</f>
        <v/>
      </c>
      <c r="M82" s="127"/>
      <c r="N82" s="137"/>
      <c r="O82" s="58" t="str" cm="1">
        <f>IF(ISBLANK($A82),"",INDEX(Array_OtherEnergyCharges,MATCH($A82,List_OtherEnergyMeters,0),ROUNDUP((COLUMN()+1)/3-2,0)))</f>
        <v/>
      </c>
      <c r="P82" s="127"/>
      <c r="Q82" s="137"/>
      <c r="R82" s="58" t="str" cm="1">
        <f>IF(ISBLANK($A82),"",INDEX(Array_OtherEnergyCharges,MATCH($A82,List_OtherEnergyMeters,0),ROUNDUP((COLUMN()+1)/3-2,0)))</f>
        <v/>
      </c>
      <c r="S82" s="127"/>
      <c r="T82" s="137"/>
    </row>
    <row r="83" spans="1:20" x14ac:dyDescent="0.3">
      <c r="A83" s="126"/>
      <c r="B83" s="133"/>
      <c r="C83" s="127"/>
      <c r="D83" s="138"/>
      <c r="E83" s="137"/>
      <c r="F83" s="58" t="str" cm="1">
        <f>IF(ISBLANK($A83),"",INDEX(Array_OtherEnergyCharges,MATCH($A83,List_OtherEnergyMeters,0),ROUNDUP((COLUMN()+1)/3-2,0)))</f>
        <v/>
      </c>
      <c r="G83" s="127"/>
      <c r="H83" s="137"/>
      <c r="I83" s="58" t="str" cm="1">
        <f>IF(ISBLANK($A83),"",INDEX(Array_OtherEnergyCharges,MATCH($A83,List_OtherEnergyMeters,0),ROUNDUP((COLUMN()+1)/3-2,0)))</f>
        <v/>
      </c>
      <c r="J83" s="127"/>
      <c r="K83" s="137"/>
      <c r="L83" s="58" t="str" cm="1">
        <f>IF(ISBLANK($A83),"",INDEX(Array_OtherEnergyCharges,MATCH($A83,List_OtherEnergyMeters,0),ROUNDUP((COLUMN()+1)/3-2,0)))</f>
        <v/>
      </c>
      <c r="M83" s="127"/>
      <c r="N83" s="137"/>
      <c r="O83" s="58" t="str" cm="1">
        <f>IF(ISBLANK($A83),"",INDEX(Array_OtherEnergyCharges,MATCH($A83,List_OtherEnergyMeters,0),ROUNDUP((COLUMN()+1)/3-2,0)))</f>
        <v/>
      </c>
      <c r="P83" s="127"/>
      <c r="Q83" s="137"/>
      <c r="R83" s="58" t="str" cm="1">
        <f>IF(ISBLANK($A83),"",INDEX(Array_OtherEnergyCharges,MATCH($A83,List_OtherEnergyMeters,0),ROUNDUP((COLUMN()+1)/3-2,0)))</f>
        <v/>
      </c>
      <c r="S83" s="127"/>
      <c r="T83" s="137"/>
    </row>
    <row r="84" spans="1:20" x14ac:dyDescent="0.3">
      <c r="A84" s="126"/>
      <c r="B84" s="133"/>
      <c r="C84" s="127"/>
      <c r="D84" s="138"/>
      <c r="E84" s="137"/>
      <c r="F84" s="58" t="str" cm="1">
        <f>IF(ISBLANK($A84),"",INDEX(Array_OtherEnergyCharges,MATCH($A84,List_OtherEnergyMeters,0),ROUNDUP((COLUMN()+1)/3-2,0)))</f>
        <v/>
      </c>
      <c r="G84" s="127"/>
      <c r="H84" s="137"/>
      <c r="I84" s="58" t="str" cm="1">
        <f>IF(ISBLANK($A84),"",INDEX(Array_OtherEnergyCharges,MATCH($A84,List_OtherEnergyMeters,0),ROUNDUP((COLUMN()+1)/3-2,0)))</f>
        <v/>
      </c>
      <c r="J84" s="127"/>
      <c r="K84" s="137"/>
      <c r="L84" s="58" t="str" cm="1">
        <f>IF(ISBLANK($A84),"",INDEX(Array_OtherEnergyCharges,MATCH($A84,List_OtherEnergyMeters,0),ROUNDUP((COLUMN()+1)/3-2,0)))</f>
        <v/>
      </c>
      <c r="M84" s="127"/>
      <c r="N84" s="137"/>
      <c r="O84" s="58" t="str" cm="1">
        <f>IF(ISBLANK($A84),"",INDEX(Array_OtherEnergyCharges,MATCH($A84,List_OtherEnergyMeters,0),ROUNDUP((COLUMN()+1)/3-2,0)))</f>
        <v/>
      </c>
      <c r="P84" s="127"/>
      <c r="Q84" s="137"/>
      <c r="R84" s="58" t="str" cm="1">
        <f>IF(ISBLANK($A84),"",INDEX(Array_OtherEnergyCharges,MATCH($A84,List_OtherEnergyMeters,0),ROUNDUP((COLUMN()+1)/3-2,0)))</f>
        <v/>
      </c>
      <c r="S84" s="127"/>
      <c r="T84" s="137"/>
    </row>
    <row r="85" spans="1:20" x14ac:dyDescent="0.3">
      <c r="A85" s="126"/>
      <c r="B85" s="133"/>
      <c r="C85" s="127"/>
      <c r="D85" s="138"/>
      <c r="E85" s="137"/>
      <c r="F85" s="58" t="str" cm="1">
        <f>IF(ISBLANK($A85),"",INDEX(Array_OtherEnergyCharges,MATCH($A85,List_OtherEnergyMeters,0),ROUNDUP((COLUMN()+1)/3-2,0)))</f>
        <v/>
      </c>
      <c r="G85" s="127"/>
      <c r="H85" s="137"/>
      <c r="I85" s="58" t="str" cm="1">
        <f>IF(ISBLANK($A85),"",INDEX(Array_OtherEnergyCharges,MATCH($A85,List_OtherEnergyMeters,0),ROUNDUP((COLUMN()+1)/3-2,0)))</f>
        <v/>
      </c>
      <c r="J85" s="127"/>
      <c r="K85" s="137"/>
      <c r="L85" s="58" t="str" cm="1">
        <f>IF(ISBLANK($A85),"",INDEX(Array_OtherEnergyCharges,MATCH($A85,List_OtherEnergyMeters,0),ROUNDUP((COLUMN()+1)/3-2,0)))</f>
        <v/>
      </c>
      <c r="M85" s="127"/>
      <c r="N85" s="137"/>
      <c r="O85" s="58" t="str" cm="1">
        <f>IF(ISBLANK($A85),"",INDEX(Array_OtherEnergyCharges,MATCH($A85,List_OtherEnergyMeters,0),ROUNDUP((COLUMN()+1)/3-2,0)))</f>
        <v/>
      </c>
      <c r="P85" s="127"/>
      <c r="Q85" s="137"/>
      <c r="R85" s="58" t="str" cm="1">
        <f>IF(ISBLANK($A85),"",INDEX(Array_OtherEnergyCharges,MATCH($A85,List_OtherEnergyMeters,0),ROUNDUP((COLUMN()+1)/3-2,0)))</f>
        <v/>
      </c>
      <c r="S85" s="127"/>
      <c r="T85" s="137"/>
    </row>
    <row r="86" spans="1:20" x14ac:dyDescent="0.3">
      <c r="A86" s="126"/>
      <c r="B86" s="133"/>
      <c r="C86" s="127"/>
      <c r="D86" s="138"/>
      <c r="E86" s="137"/>
      <c r="F86" s="58" t="str" cm="1">
        <f>IF(ISBLANK($A86),"",INDEX(Array_OtherEnergyCharges,MATCH($A86,List_OtherEnergyMeters,0),ROUNDUP((COLUMN()+1)/3-2,0)))</f>
        <v/>
      </c>
      <c r="G86" s="127"/>
      <c r="H86" s="137"/>
      <c r="I86" s="58" t="str" cm="1">
        <f>IF(ISBLANK($A86),"",INDEX(Array_OtherEnergyCharges,MATCH($A86,List_OtherEnergyMeters,0),ROUNDUP((COLUMN()+1)/3-2,0)))</f>
        <v/>
      </c>
      <c r="J86" s="127"/>
      <c r="K86" s="137"/>
      <c r="L86" s="58" t="str" cm="1">
        <f>IF(ISBLANK($A86),"",INDEX(Array_OtherEnergyCharges,MATCH($A86,List_OtherEnergyMeters,0),ROUNDUP((COLUMN()+1)/3-2,0)))</f>
        <v/>
      </c>
      <c r="M86" s="127"/>
      <c r="N86" s="137"/>
      <c r="O86" s="58" t="str" cm="1">
        <f>IF(ISBLANK($A86),"",INDEX(Array_OtherEnergyCharges,MATCH($A86,List_OtherEnergyMeters,0),ROUNDUP((COLUMN()+1)/3-2,0)))</f>
        <v/>
      </c>
      <c r="P86" s="127"/>
      <c r="Q86" s="137"/>
      <c r="R86" s="58" t="str" cm="1">
        <f>IF(ISBLANK($A86),"",INDEX(Array_OtherEnergyCharges,MATCH($A86,List_OtherEnergyMeters,0),ROUNDUP((COLUMN()+1)/3-2,0)))</f>
        <v/>
      </c>
      <c r="S86" s="127"/>
      <c r="T86" s="137"/>
    </row>
    <row r="87" spans="1:20" x14ac:dyDescent="0.3">
      <c r="A87" s="126"/>
      <c r="B87" s="133"/>
      <c r="C87" s="127"/>
      <c r="D87" s="138"/>
      <c r="E87" s="137"/>
      <c r="F87" s="58" t="str" cm="1">
        <f>IF(ISBLANK($A87),"",INDEX(Array_OtherEnergyCharges,MATCH($A87,List_OtherEnergyMeters,0),ROUNDUP((COLUMN()+1)/3-2,0)))</f>
        <v/>
      </c>
      <c r="G87" s="127"/>
      <c r="H87" s="137"/>
      <c r="I87" s="58" t="str" cm="1">
        <f>IF(ISBLANK($A87),"",INDEX(Array_OtherEnergyCharges,MATCH($A87,List_OtherEnergyMeters,0),ROUNDUP((COLUMN()+1)/3-2,0)))</f>
        <v/>
      </c>
      <c r="J87" s="127"/>
      <c r="K87" s="137"/>
      <c r="L87" s="58" t="str" cm="1">
        <f>IF(ISBLANK($A87),"",INDEX(Array_OtherEnergyCharges,MATCH($A87,List_OtherEnergyMeters,0),ROUNDUP((COLUMN()+1)/3-2,0)))</f>
        <v/>
      </c>
      <c r="M87" s="127"/>
      <c r="N87" s="137"/>
      <c r="O87" s="58" t="str" cm="1">
        <f>IF(ISBLANK($A87),"",INDEX(Array_OtherEnergyCharges,MATCH($A87,List_OtherEnergyMeters,0),ROUNDUP((COLUMN()+1)/3-2,0)))</f>
        <v/>
      </c>
      <c r="P87" s="127"/>
      <c r="Q87" s="137"/>
      <c r="R87" s="58" t="str" cm="1">
        <f>IF(ISBLANK($A87),"",INDEX(Array_OtherEnergyCharges,MATCH($A87,List_OtherEnergyMeters,0),ROUNDUP((COLUMN()+1)/3-2,0)))</f>
        <v/>
      </c>
      <c r="S87" s="127"/>
      <c r="T87" s="137"/>
    </row>
    <row r="88" spans="1:20" x14ac:dyDescent="0.3">
      <c r="A88" s="126"/>
      <c r="B88" s="133"/>
      <c r="C88" s="127"/>
      <c r="D88" s="138"/>
      <c r="E88" s="137"/>
      <c r="F88" s="58" t="str" cm="1">
        <f>IF(ISBLANK($A88),"",INDEX(Array_OtherEnergyCharges,MATCH($A88,List_OtherEnergyMeters,0),ROUNDUP((COLUMN()+1)/3-2,0)))</f>
        <v/>
      </c>
      <c r="G88" s="127"/>
      <c r="H88" s="137"/>
      <c r="I88" s="58" t="str" cm="1">
        <f>IF(ISBLANK($A88),"",INDEX(Array_OtherEnergyCharges,MATCH($A88,List_OtherEnergyMeters,0),ROUNDUP((COLUMN()+1)/3-2,0)))</f>
        <v/>
      </c>
      <c r="J88" s="127"/>
      <c r="K88" s="137"/>
      <c r="L88" s="58" t="str" cm="1">
        <f>IF(ISBLANK($A88),"",INDEX(Array_OtherEnergyCharges,MATCH($A88,List_OtherEnergyMeters,0),ROUNDUP((COLUMN()+1)/3-2,0)))</f>
        <v/>
      </c>
      <c r="M88" s="127"/>
      <c r="N88" s="137"/>
      <c r="O88" s="58" t="str" cm="1">
        <f>IF(ISBLANK($A88),"",INDEX(Array_OtherEnergyCharges,MATCH($A88,List_OtherEnergyMeters,0),ROUNDUP((COLUMN()+1)/3-2,0)))</f>
        <v/>
      </c>
      <c r="P88" s="127"/>
      <c r="Q88" s="137"/>
      <c r="R88" s="58" t="str" cm="1">
        <f>IF(ISBLANK($A88),"",INDEX(Array_OtherEnergyCharges,MATCH($A88,List_OtherEnergyMeters,0),ROUNDUP((COLUMN()+1)/3-2,0)))</f>
        <v/>
      </c>
      <c r="S88" s="127"/>
      <c r="T88" s="137"/>
    </row>
    <row r="89" spans="1:20" x14ac:dyDescent="0.3">
      <c r="A89" s="126"/>
      <c r="B89" s="133"/>
      <c r="C89" s="127"/>
      <c r="D89" s="138"/>
      <c r="E89" s="137"/>
      <c r="F89" s="58" t="str" cm="1">
        <f>IF(ISBLANK($A89),"",INDEX(Array_OtherEnergyCharges,MATCH($A89,List_OtherEnergyMeters,0),ROUNDUP((COLUMN()+1)/3-2,0)))</f>
        <v/>
      </c>
      <c r="G89" s="127"/>
      <c r="H89" s="137"/>
      <c r="I89" s="58" t="str" cm="1">
        <f>IF(ISBLANK($A89),"",INDEX(Array_OtherEnergyCharges,MATCH($A89,List_OtherEnergyMeters,0),ROUNDUP((COLUMN()+1)/3-2,0)))</f>
        <v/>
      </c>
      <c r="J89" s="127"/>
      <c r="K89" s="137"/>
      <c r="L89" s="58" t="str" cm="1">
        <f>IF(ISBLANK($A89),"",INDEX(Array_OtherEnergyCharges,MATCH($A89,List_OtherEnergyMeters,0),ROUNDUP((COLUMN()+1)/3-2,0)))</f>
        <v/>
      </c>
      <c r="M89" s="127"/>
      <c r="N89" s="137"/>
      <c r="O89" s="58" t="str" cm="1">
        <f>IF(ISBLANK($A89),"",INDEX(Array_OtherEnergyCharges,MATCH($A89,List_OtherEnergyMeters,0),ROUNDUP((COLUMN()+1)/3-2,0)))</f>
        <v/>
      </c>
      <c r="P89" s="127"/>
      <c r="Q89" s="137"/>
      <c r="R89" s="58" t="str" cm="1">
        <f>IF(ISBLANK($A89),"",INDEX(Array_OtherEnergyCharges,MATCH($A89,List_OtherEnergyMeters,0),ROUNDUP((COLUMN()+1)/3-2,0)))</f>
        <v/>
      </c>
      <c r="S89" s="127"/>
      <c r="T89" s="137"/>
    </row>
    <row r="90" spans="1:20" x14ac:dyDescent="0.3">
      <c r="A90" s="126"/>
      <c r="B90" s="133"/>
      <c r="C90" s="127"/>
      <c r="D90" s="138"/>
      <c r="E90" s="137"/>
      <c r="F90" s="58" t="str" cm="1">
        <f>IF(ISBLANK($A90),"",INDEX(Array_OtherEnergyCharges,MATCH($A90,List_OtherEnergyMeters,0),ROUNDUP((COLUMN()+1)/3-2,0)))</f>
        <v/>
      </c>
      <c r="G90" s="127"/>
      <c r="H90" s="137"/>
      <c r="I90" s="58" t="str" cm="1">
        <f>IF(ISBLANK($A90),"",INDEX(Array_OtherEnergyCharges,MATCH($A90,List_OtherEnergyMeters,0),ROUNDUP((COLUMN()+1)/3-2,0)))</f>
        <v/>
      </c>
      <c r="J90" s="127"/>
      <c r="K90" s="137"/>
      <c r="L90" s="58" t="str" cm="1">
        <f>IF(ISBLANK($A90),"",INDEX(Array_OtherEnergyCharges,MATCH($A90,List_OtherEnergyMeters,0),ROUNDUP((COLUMN()+1)/3-2,0)))</f>
        <v/>
      </c>
      <c r="M90" s="127"/>
      <c r="N90" s="137"/>
      <c r="O90" s="58" t="str" cm="1">
        <f>IF(ISBLANK($A90),"",INDEX(Array_OtherEnergyCharges,MATCH($A90,List_OtherEnergyMeters,0),ROUNDUP((COLUMN()+1)/3-2,0)))</f>
        <v/>
      </c>
      <c r="P90" s="127"/>
      <c r="Q90" s="137"/>
      <c r="R90" s="58" t="str" cm="1">
        <f>IF(ISBLANK($A90),"",INDEX(Array_OtherEnergyCharges,MATCH($A90,List_OtherEnergyMeters,0),ROUNDUP((COLUMN()+1)/3-2,0)))</f>
        <v/>
      </c>
      <c r="S90" s="127"/>
      <c r="T90" s="137"/>
    </row>
    <row r="91" spans="1:20" x14ac:dyDescent="0.3">
      <c r="A91" s="126"/>
      <c r="B91" s="133"/>
      <c r="C91" s="127"/>
      <c r="D91" s="138"/>
      <c r="E91" s="137"/>
      <c r="F91" s="58" t="str" cm="1">
        <f>IF(ISBLANK($A91),"",INDEX(Array_OtherEnergyCharges,MATCH($A91,List_OtherEnergyMeters,0),ROUNDUP((COLUMN()+1)/3-2,0)))</f>
        <v/>
      </c>
      <c r="G91" s="127"/>
      <c r="H91" s="137"/>
      <c r="I91" s="58" t="str" cm="1">
        <f>IF(ISBLANK($A91),"",INDEX(Array_OtherEnergyCharges,MATCH($A91,List_OtherEnergyMeters,0),ROUNDUP((COLUMN()+1)/3-2,0)))</f>
        <v/>
      </c>
      <c r="J91" s="127"/>
      <c r="K91" s="137"/>
      <c r="L91" s="58" t="str" cm="1">
        <f>IF(ISBLANK($A91),"",INDEX(Array_OtherEnergyCharges,MATCH($A91,List_OtherEnergyMeters,0),ROUNDUP((COLUMN()+1)/3-2,0)))</f>
        <v/>
      </c>
      <c r="M91" s="127"/>
      <c r="N91" s="137"/>
      <c r="O91" s="58" t="str" cm="1">
        <f>IF(ISBLANK($A91),"",INDEX(Array_OtherEnergyCharges,MATCH($A91,List_OtherEnergyMeters,0),ROUNDUP((COLUMN()+1)/3-2,0)))</f>
        <v/>
      </c>
      <c r="P91" s="127"/>
      <c r="Q91" s="137"/>
      <c r="R91" s="58" t="str" cm="1">
        <f>IF(ISBLANK($A91),"",INDEX(Array_OtherEnergyCharges,MATCH($A91,List_OtherEnergyMeters,0),ROUNDUP((COLUMN()+1)/3-2,0)))</f>
        <v/>
      </c>
      <c r="S91" s="127"/>
      <c r="T91" s="137"/>
    </row>
    <row r="92" spans="1:20" x14ac:dyDescent="0.3">
      <c r="A92" s="126"/>
      <c r="B92" s="133"/>
      <c r="C92" s="127"/>
      <c r="D92" s="138"/>
      <c r="E92" s="137"/>
      <c r="F92" s="58" t="str" cm="1">
        <f>IF(ISBLANK($A92),"",INDEX(Array_OtherEnergyCharges,MATCH($A92,List_OtherEnergyMeters,0),ROUNDUP((COLUMN()+1)/3-2,0)))</f>
        <v/>
      </c>
      <c r="G92" s="127"/>
      <c r="H92" s="137"/>
      <c r="I92" s="58" t="str" cm="1">
        <f>IF(ISBLANK($A92),"",INDEX(Array_OtherEnergyCharges,MATCH($A92,List_OtherEnergyMeters,0),ROUNDUP((COLUMN()+1)/3-2,0)))</f>
        <v/>
      </c>
      <c r="J92" s="127"/>
      <c r="K92" s="137"/>
      <c r="L92" s="58" t="str" cm="1">
        <f>IF(ISBLANK($A92),"",INDEX(Array_OtherEnergyCharges,MATCH($A92,List_OtherEnergyMeters,0),ROUNDUP((COLUMN()+1)/3-2,0)))</f>
        <v/>
      </c>
      <c r="M92" s="127"/>
      <c r="N92" s="137"/>
      <c r="O92" s="58" t="str" cm="1">
        <f>IF(ISBLANK($A92),"",INDEX(Array_OtherEnergyCharges,MATCH($A92,List_OtherEnergyMeters,0),ROUNDUP((COLUMN()+1)/3-2,0)))</f>
        <v/>
      </c>
      <c r="P92" s="127"/>
      <c r="Q92" s="137"/>
      <c r="R92" s="58" t="str" cm="1">
        <f>IF(ISBLANK($A92),"",INDEX(Array_OtherEnergyCharges,MATCH($A92,List_OtherEnergyMeters,0),ROUNDUP((COLUMN()+1)/3-2,0)))</f>
        <v/>
      </c>
      <c r="S92" s="127"/>
      <c r="T92" s="137"/>
    </row>
    <row r="93" spans="1:20" x14ac:dyDescent="0.3">
      <c r="A93" s="126"/>
      <c r="B93" s="133"/>
      <c r="C93" s="127"/>
      <c r="D93" s="138"/>
      <c r="E93" s="137"/>
      <c r="F93" s="58" t="str" cm="1">
        <f>IF(ISBLANK($A93),"",INDEX(Array_OtherEnergyCharges,MATCH($A93,List_OtherEnergyMeters,0),ROUNDUP((COLUMN()+1)/3-2,0)))</f>
        <v/>
      </c>
      <c r="G93" s="127"/>
      <c r="H93" s="137"/>
      <c r="I93" s="58" t="str" cm="1">
        <f>IF(ISBLANK($A93),"",INDEX(Array_OtherEnergyCharges,MATCH($A93,List_OtherEnergyMeters,0),ROUNDUP((COLUMN()+1)/3-2,0)))</f>
        <v/>
      </c>
      <c r="J93" s="127"/>
      <c r="K93" s="137"/>
      <c r="L93" s="58" t="str" cm="1">
        <f>IF(ISBLANK($A93),"",INDEX(Array_OtherEnergyCharges,MATCH($A93,List_OtherEnergyMeters,0),ROUNDUP((COLUMN()+1)/3-2,0)))</f>
        <v/>
      </c>
      <c r="M93" s="127"/>
      <c r="N93" s="137"/>
      <c r="O93" s="58" t="str" cm="1">
        <f>IF(ISBLANK($A93),"",INDEX(Array_OtherEnergyCharges,MATCH($A93,List_OtherEnergyMeters,0),ROUNDUP((COLUMN()+1)/3-2,0)))</f>
        <v/>
      </c>
      <c r="P93" s="127"/>
      <c r="Q93" s="137"/>
      <c r="R93" s="58" t="str" cm="1">
        <f>IF(ISBLANK($A93),"",INDEX(Array_OtherEnergyCharges,MATCH($A93,List_OtherEnergyMeters,0),ROUNDUP((COLUMN()+1)/3-2,0)))</f>
        <v/>
      </c>
      <c r="S93" s="127"/>
      <c r="T93" s="137"/>
    </row>
    <row r="94" spans="1:20" x14ac:dyDescent="0.3">
      <c r="A94" s="126"/>
      <c r="B94" s="133"/>
      <c r="C94" s="127"/>
      <c r="D94" s="138"/>
      <c r="E94" s="137"/>
      <c r="F94" s="58" t="str" cm="1">
        <f>IF(ISBLANK($A94),"",INDEX(Array_OtherEnergyCharges,MATCH($A94,List_OtherEnergyMeters,0),ROUNDUP((COLUMN()+1)/3-2,0)))</f>
        <v/>
      </c>
      <c r="G94" s="127"/>
      <c r="H94" s="137"/>
      <c r="I94" s="58" t="str" cm="1">
        <f>IF(ISBLANK($A94),"",INDEX(Array_OtherEnergyCharges,MATCH($A94,List_OtherEnergyMeters,0),ROUNDUP((COLUMN()+1)/3-2,0)))</f>
        <v/>
      </c>
      <c r="J94" s="127"/>
      <c r="K94" s="137"/>
      <c r="L94" s="58" t="str" cm="1">
        <f>IF(ISBLANK($A94),"",INDEX(Array_OtherEnergyCharges,MATCH($A94,List_OtherEnergyMeters,0),ROUNDUP((COLUMN()+1)/3-2,0)))</f>
        <v/>
      </c>
      <c r="M94" s="127"/>
      <c r="N94" s="137"/>
      <c r="O94" s="58" t="str" cm="1">
        <f>IF(ISBLANK($A94),"",INDEX(Array_OtherEnergyCharges,MATCH($A94,List_OtherEnergyMeters,0),ROUNDUP((COLUMN()+1)/3-2,0)))</f>
        <v/>
      </c>
      <c r="P94" s="127"/>
      <c r="Q94" s="137"/>
      <c r="R94" s="58" t="str" cm="1">
        <f>IF(ISBLANK($A94),"",INDEX(Array_OtherEnergyCharges,MATCH($A94,List_OtherEnergyMeters,0),ROUNDUP((COLUMN()+1)/3-2,0)))</f>
        <v/>
      </c>
      <c r="S94" s="127"/>
      <c r="T94" s="137"/>
    </row>
    <row r="95" spans="1:20" x14ac:dyDescent="0.3">
      <c r="A95" s="126"/>
      <c r="B95" s="133"/>
      <c r="C95" s="127"/>
      <c r="D95" s="138"/>
      <c r="E95" s="137"/>
      <c r="F95" s="58" t="str" cm="1">
        <f>IF(ISBLANK($A95),"",INDEX(Array_OtherEnergyCharges,MATCH($A95,List_OtherEnergyMeters,0),ROUNDUP((COLUMN()+1)/3-2,0)))</f>
        <v/>
      </c>
      <c r="G95" s="127"/>
      <c r="H95" s="137"/>
      <c r="I95" s="58" t="str" cm="1">
        <f>IF(ISBLANK($A95),"",INDEX(Array_OtherEnergyCharges,MATCH($A95,List_OtherEnergyMeters,0),ROUNDUP((COLUMN()+1)/3-2,0)))</f>
        <v/>
      </c>
      <c r="J95" s="127"/>
      <c r="K95" s="137"/>
      <c r="L95" s="58" t="str" cm="1">
        <f>IF(ISBLANK($A95),"",INDEX(Array_OtherEnergyCharges,MATCH($A95,List_OtherEnergyMeters,0),ROUNDUP((COLUMN()+1)/3-2,0)))</f>
        <v/>
      </c>
      <c r="M95" s="127"/>
      <c r="N95" s="137"/>
      <c r="O95" s="58" t="str" cm="1">
        <f>IF(ISBLANK($A95),"",INDEX(Array_OtherEnergyCharges,MATCH($A95,List_OtherEnergyMeters,0),ROUNDUP((COLUMN()+1)/3-2,0)))</f>
        <v/>
      </c>
      <c r="P95" s="127"/>
      <c r="Q95" s="137"/>
      <c r="R95" s="58" t="str" cm="1">
        <f>IF(ISBLANK($A95),"",INDEX(Array_OtherEnergyCharges,MATCH($A95,List_OtherEnergyMeters,0),ROUNDUP((COLUMN()+1)/3-2,0)))</f>
        <v/>
      </c>
      <c r="S95" s="127"/>
      <c r="T95" s="137"/>
    </row>
    <row r="96" spans="1:20" x14ac:dyDescent="0.3">
      <c r="A96" s="126"/>
      <c r="B96" s="133"/>
      <c r="C96" s="127"/>
      <c r="D96" s="138"/>
      <c r="E96" s="137"/>
      <c r="F96" s="58" t="str" cm="1">
        <f>IF(ISBLANK($A96),"",INDEX(Array_OtherEnergyCharges,MATCH($A96,List_OtherEnergyMeters,0),ROUNDUP((COLUMN()+1)/3-2,0)))</f>
        <v/>
      </c>
      <c r="G96" s="127"/>
      <c r="H96" s="137"/>
      <c r="I96" s="58" t="str" cm="1">
        <f>IF(ISBLANK($A96),"",INDEX(Array_OtherEnergyCharges,MATCH($A96,List_OtherEnergyMeters,0),ROUNDUP((COLUMN()+1)/3-2,0)))</f>
        <v/>
      </c>
      <c r="J96" s="127"/>
      <c r="K96" s="137"/>
      <c r="L96" s="58" t="str" cm="1">
        <f>IF(ISBLANK($A96),"",INDEX(Array_OtherEnergyCharges,MATCH($A96,List_OtherEnergyMeters,0),ROUNDUP((COLUMN()+1)/3-2,0)))</f>
        <v/>
      </c>
      <c r="M96" s="127"/>
      <c r="N96" s="137"/>
      <c r="O96" s="58" t="str" cm="1">
        <f>IF(ISBLANK($A96),"",INDEX(Array_OtherEnergyCharges,MATCH($A96,List_OtherEnergyMeters,0),ROUNDUP((COLUMN()+1)/3-2,0)))</f>
        <v/>
      </c>
      <c r="P96" s="127"/>
      <c r="Q96" s="137"/>
      <c r="R96" s="58" t="str" cm="1">
        <f>IF(ISBLANK($A96),"",INDEX(Array_OtherEnergyCharges,MATCH($A96,List_OtherEnergyMeters,0),ROUNDUP((COLUMN()+1)/3-2,0)))</f>
        <v/>
      </c>
      <c r="S96" s="127"/>
      <c r="T96" s="137"/>
    </row>
    <row r="97" spans="1:20" x14ac:dyDescent="0.3">
      <c r="A97" s="126"/>
      <c r="B97" s="133"/>
      <c r="C97" s="127"/>
      <c r="D97" s="138"/>
      <c r="E97" s="137"/>
      <c r="F97" s="58" t="str" cm="1">
        <f>IF(ISBLANK($A97),"",INDEX(Array_OtherEnergyCharges,MATCH($A97,List_OtherEnergyMeters,0),ROUNDUP((COLUMN()+1)/3-2,0)))</f>
        <v/>
      </c>
      <c r="G97" s="127"/>
      <c r="H97" s="137"/>
      <c r="I97" s="58" t="str" cm="1">
        <f>IF(ISBLANK($A97),"",INDEX(Array_OtherEnergyCharges,MATCH($A97,List_OtherEnergyMeters,0),ROUNDUP((COLUMN()+1)/3-2,0)))</f>
        <v/>
      </c>
      <c r="J97" s="127"/>
      <c r="K97" s="137"/>
      <c r="L97" s="58" t="str" cm="1">
        <f>IF(ISBLANK($A97),"",INDEX(Array_OtherEnergyCharges,MATCH($A97,List_OtherEnergyMeters,0),ROUNDUP((COLUMN()+1)/3-2,0)))</f>
        <v/>
      </c>
      <c r="M97" s="127"/>
      <c r="N97" s="137"/>
      <c r="O97" s="58" t="str" cm="1">
        <f>IF(ISBLANK($A97),"",INDEX(Array_OtherEnergyCharges,MATCH($A97,List_OtherEnergyMeters,0),ROUNDUP((COLUMN()+1)/3-2,0)))</f>
        <v/>
      </c>
      <c r="P97" s="127"/>
      <c r="Q97" s="137"/>
      <c r="R97" s="58" t="str" cm="1">
        <f>IF(ISBLANK($A97),"",INDEX(Array_OtherEnergyCharges,MATCH($A97,List_OtherEnergyMeters,0),ROUNDUP((COLUMN()+1)/3-2,0)))</f>
        <v/>
      </c>
      <c r="S97" s="127"/>
      <c r="T97" s="137"/>
    </row>
    <row r="98" spans="1:20" x14ac:dyDescent="0.3">
      <c r="A98" s="126"/>
      <c r="B98" s="133"/>
      <c r="C98" s="127"/>
      <c r="D98" s="138"/>
      <c r="E98" s="137"/>
      <c r="F98" s="58" t="str" cm="1">
        <f>IF(ISBLANK($A98),"",INDEX(Array_OtherEnergyCharges,MATCH($A98,List_OtherEnergyMeters,0),ROUNDUP((COLUMN()+1)/3-2,0)))</f>
        <v/>
      </c>
      <c r="G98" s="127"/>
      <c r="H98" s="137"/>
      <c r="I98" s="58" t="str" cm="1">
        <f>IF(ISBLANK($A98),"",INDEX(Array_OtherEnergyCharges,MATCH($A98,List_OtherEnergyMeters,0),ROUNDUP((COLUMN()+1)/3-2,0)))</f>
        <v/>
      </c>
      <c r="J98" s="127"/>
      <c r="K98" s="137"/>
      <c r="L98" s="58" t="str" cm="1">
        <f>IF(ISBLANK($A98),"",INDEX(Array_OtherEnergyCharges,MATCH($A98,List_OtherEnergyMeters,0),ROUNDUP((COLUMN()+1)/3-2,0)))</f>
        <v/>
      </c>
      <c r="M98" s="127"/>
      <c r="N98" s="137"/>
      <c r="O98" s="58" t="str" cm="1">
        <f>IF(ISBLANK($A98),"",INDEX(Array_OtherEnergyCharges,MATCH($A98,List_OtherEnergyMeters,0),ROUNDUP((COLUMN()+1)/3-2,0)))</f>
        <v/>
      </c>
      <c r="P98" s="127"/>
      <c r="Q98" s="137"/>
      <c r="R98" s="58" t="str" cm="1">
        <f>IF(ISBLANK($A98),"",INDEX(Array_OtherEnergyCharges,MATCH($A98,List_OtherEnergyMeters,0),ROUNDUP((COLUMN()+1)/3-2,0)))</f>
        <v/>
      </c>
      <c r="S98" s="127"/>
      <c r="T98" s="137"/>
    </row>
    <row r="99" spans="1:20" x14ac:dyDescent="0.3">
      <c r="A99" s="126"/>
      <c r="B99" s="133"/>
      <c r="C99" s="127"/>
      <c r="D99" s="138"/>
      <c r="E99" s="137"/>
      <c r="F99" s="58" t="str" cm="1">
        <f>IF(ISBLANK($A99),"",INDEX(Array_OtherEnergyCharges,MATCH($A99,List_OtherEnergyMeters,0),ROUNDUP((COLUMN()+1)/3-2,0)))</f>
        <v/>
      </c>
      <c r="G99" s="127"/>
      <c r="H99" s="137"/>
      <c r="I99" s="58" t="str" cm="1">
        <f>IF(ISBLANK($A99),"",INDEX(Array_OtherEnergyCharges,MATCH($A99,List_OtherEnergyMeters,0),ROUNDUP((COLUMN()+1)/3-2,0)))</f>
        <v/>
      </c>
      <c r="J99" s="127"/>
      <c r="K99" s="137"/>
      <c r="L99" s="58" t="str" cm="1">
        <f>IF(ISBLANK($A99),"",INDEX(Array_OtherEnergyCharges,MATCH($A99,List_OtherEnergyMeters,0),ROUNDUP((COLUMN()+1)/3-2,0)))</f>
        <v/>
      </c>
      <c r="M99" s="127"/>
      <c r="N99" s="137"/>
      <c r="O99" s="58" t="str" cm="1">
        <f>IF(ISBLANK($A99),"",INDEX(Array_OtherEnergyCharges,MATCH($A99,List_OtherEnergyMeters,0),ROUNDUP((COLUMN()+1)/3-2,0)))</f>
        <v/>
      </c>
      <c r="P99" s="127"/>
      <c r="Q99" s="137"/>
      <c r="R99" s="58" t="str" cm="1">
        <f>IF(ISBLANK($A99),"",INDEX(Array_OtherEnergyCharges,MATCH($A99,List_OtherEnergyMeters,0),ROUNDUP((COLUMN()+1)/3-2,0)))</f>
        <v/>
      </c>
      <c r="S99" s="127"/>
      <c r="T99" s="137"/>
    </row>
    <row r="100" spans="1:20" x14ac:dyDescent="0.3">
      <c r="A100" s="126"/>
      <c r="B100" s="133"/>
      <c r="C100" s="127"/>
      <c r="D100" s="138"/>
      <c r="E100" s="137"/>
      <c r="F100" s="58" t="str" cm="1">
        <f>IF(ISBLANK($A100),"",INDEX(Array_OtherEnergyCharges,MATCH($A100,List_OtherEnergyMeters,0),ROUNDUP((COLUMN()+1)/3-2,0)))</f>
        <v/>
      </c>
      <c r="G100" s="127"/>
      <c r="H100" s="137"/>
      <c r="I100" s="58" t="str" cm="1">
        <f>IF(ISBLANK($A100),"",INDEX(Array_OtherEnergyCharges,MATCH($A100,List_OtherEnergyMeters,0),ROUNDUP((COLUMN()+1)/3-2,0)))</f>
        <v/>
      </c>
      <c r="J100" s="127"/>
      <c r="K100" s="137"/>
      <c r="L100" s="58" t="str" cm="1">
        <f>IF(ISBLANK($A100),"",INDEX(Array_OtherEnergyCharges,MATCH($A100,List_OtherEnergyMeters,0),ROUNDUP((COLUMN()+1)/3-2,0)))</f>
        <v/>
      </c>
      <c r="M100" s="127"/>
      <c r="N100" s="137"/>
      <c r="O100" s="58" t="str" cm="1">
        <f>IF(ISBLANK($A100),"",INDEX(Array_OtherEnergyCharges,MATCH($A100,List_OtherEnergyMeters,0),ROUNDUP((COLUMN()+1)/3-2,0)))</f>
        <v/>
      </c>
      <c r="P100" s="127"/>
      <c r="Q100" s="137"/>
      <c r="R100" s="58" t="str" cm="1">
        <f>IF(ISBLANK($A100),"",INDEX(Array_OtherEnergyCharges,MATCH($A100,List_OtherEnergyMeters,0),ROUNDUP((COLUMN()+1)/3-2,0)))</f>
        <v/>
      </c>
      <c r="S100" s="127"/>
      <c r="T100" s="137"/>
    </row>
    <row r="101" spans="1:20" x14ac:dyDescent="0.3">
      <c r="A101" s="126"/>
      <c r="B101" s="133"/>
      <c r="C101" s="127"/>
      <c r="D101" s="138"/>
      <c r="E101" s="137"/>
      <c r="F101" s="58" t="str" cm="1">
        <f>IF(ISBLANK($A101),"",INDEX(Array_OtherEnergyCharges,MATCH($A101,List_OtherEnergyMeters,0),ROUNDUP((COLUMN()+1)/3-2,0)))</f>
        <v/>
      </c>
      <c r="G101" s="127"/>
      <c r="H101" s="137"/>
      <c r="I101" s="58" t="str" cm="1">
        <f>IF(ISBLANK($A101),"",INDEX(Array_OtherEnergyCharges,MATCH($A101,List_OtherEnergyMeters,0),ROUNDUP((COLUMN()+1)/3-2,0)))</f>
        <v/>
      </c>
      <c r="J101" s="127"/>
      <c r="K101" s="137"/>
      <c r="L101" s="58" t="str" cm="1">
        <f>IF(ISBLANK($A101),"",INDEX(Array_OtherEnergyCharges,MATCH($A101,List_OtherEnergyMeters,0),ROUNDUP((COLUMN()+1)/3-2,0)))</f>
        <v/>
      </c>
      <c r="M101" s="127"/>
      <c r="N101" s="137"/>
      <c r="O101" s="58" t="str" cm="1">
        <f>IF(ISBLANK($A101),"",INDEX(Array_OtherEnergyCharges,MATCH($A101,List_OtherEnergyMeters,0),ROUNDUP((COLUMN()+1)/3-2,0)))</f>
        <v/>
      </c>
      <c r="P101" s="127"/>
      <c r="Q101" s="137"/>
      <c r="R101" s="58" t="str" cm="1">
        <f>IF(ISBLANK($A101),"",INDEX(Array_OtherEnergyCharges,MATCH($A101,List_OtherEnergyMeters,0),ROUNDUP((COLUMN()+1)/3-2,0)))</f>
        <v/>
      </c>
      <c r="S101" s="127"/>
      <c r="T101" s="137"/>
    </row>
    <row r="102" spans="1:20" x14ac:dyDescent="0.3">
      <c r="A102" s="126"/>
      <c r="B102" s="133"/>
      <c r="C102" s="127"/>
      <c r="D102" s="138"/>
      <c r="E102" s="137"/>
      <c r="F102" s="58" t="str" cm="1">
        <f>IF(ISBLANK($A102),"",INDEX(Array_OtherEnergyCharges,MATCH($A102,List_OtherEnergyMeters,0),ROUNDUP((COLUMN()+1)/3-2,0)))</f>
        <v/>
      </c>
      <c r="G102" s="127"/>
      <c r="H102" s="137"/>
      <c r="I102" s="58" t="str" cm="1">
        <f>IF(ISBLANK($A102),"",INDEX(Array_OtherEnergyCharges,MATCH($A102,List_OtherEnergyMeters,0),ROUNDUP((COLUMN()+1)/3-2,0)))</f>
        <v/>
      </c>
      <c r="J102" s="127"/>
      <c r="K102" s="137"/>
      <c r="L102" s="58" t="str" cm="1">
        <f>IF(ISBLANK($A102),"",INDEX(Array_OtherEnergyCharges,MATCH($A102,List_OtherEnergyMeters,0),ROUNDUP((COLUMN()+1)/3-2,0)))</f>
        <v/>
      </c>
      <c r="M102" s="127"/>
      <c r="N102" s="137"/>
      <c r="O102" s="58" t="str" cm="1">
        <f>IF(ISBLANK($A102),"",INDEX(Array_OtherEnergyCharges,MATCH($A102,List_OtherEnergyMeters,0),ROUNDUP((COLUMN()+1)/3-2,0)))</f>
        <v/>
      </c>
      <c r="P102" s="127"/>
      <c r="Q102" s="137"/>
      <c r="R102" s="58" t="str" cm="1">
        <f>IF(ISBLANK($A102),"",INDEX(Array_OtherEnergyCharges,MATCH($A102,List_OtherEnergyMeters,0),ROUNDUP((COLUMN()+1)/3-2,0)))</f>
        <v/>
      </c>
      <c r="S102" s="127"/>
      <c r="T102" s="137"/>
    </row>
    <row r="103" spans="1:20" x14ac:dyDescent="0.3">
      <c r="A103" s="126"/>
      <c r="B103" s="133"/>
      <c r="C103" s="127"/>
      <c r="D103" s="138"/>
      <c r="E103" s="137"/>
      <c r="F103" s="58" t="str" cm="1">
        <f>IF(ISBLANK($A103),"",INDEX(Array_OtherEnergyCharges,MATCH($A103,List_OtherEnergyMeters,0),ROUNDUP((COLUMN()+1)/3-2,0)))</f>
        <v/>
      </c>
      <c r="G103" s="127"/>
      <c r="H103" s="137"/>
      <c r="I103" s="58" t="str" cm="1">
        <f>IF(ISBLANK($A103),"",INDEX(Array_OtherEnergyCharges,MATCH($A103,List_OtherEnergyMeters,0),ROUNDUP((COLUMN()+1)/3-2,0)))</f>
        <v/>
      </c>
      <c r="J103" s="127"/>
      <c r="K103" s="137"/>
      <c r="L103" s="58" t="str" cm="1">
        <f>IF(ISBLANK($A103),"",INDEX(Array_OtherEnergyCharges,MATCH($A103,List_OtherEnergyMeters,0),ROUNDUP((COLUMN()+1)/3-2,0)))</f>
        <v/>
      </c>
      <c r="M103" s="127"/>
      <c r="N103" s="137"/>
      <c r="O103" s="58" t="str" cm="1">
        <f>IF(ISBLANK($A103),"",INDEX(Array_OtherEnergyCharges,MATCH($A103,List_OtherEnergyMeters,0),ROUNDUP((COLUMN()+1)/3-2,0)))</f>
        <v/>
      </c>
      <c r="P103" s="127"/>
      <c r="Q103" s="137"/>
      <c r="R103" s="58" t="str" cm="1">
        <f>IF(ISBLANK($A103),"",INDEX(Array_OtherEnergyCharges,MATCH($A103,List_OtherEnergyMeters,0),ROUNDUP((COLUMN()+1)/3-2,0)))</f>
        <v/>
      </c>
      <c r="S103" s="127"/>
      <c r="T103" s="137"/>
    </row>
    <row r="104" spans="1:20" x14ac:dyDescent="0.3">
      <c r="A104" s="126"/>
      <c r="B104" s="133"/>
      <c r="C104" s="127"/>
      <c r="D104" s="138"/>
      <c r="E104" s="137"/>
      <c r="F104" s="58" t="str" cm="1">
        <f>IF(ISBLANK($A104),"",INDEX(Array_OtherEnergyCharges,MATCH($A104,List_OtherEnergyMeters,0),ROUNDUP((COLUMN()+1)/3-2,0)))</f>
        <v/>
      </c>
      <c r="G104" s="127"/>
      <c r="H104" s="137"/>
      <c r="I104" s="58" t="str" cm="1">
        <f>IF(ISBLANK($A104),"",INDEX(Array_OtherEnergyCharges,MATCH($A104,List_OtherEnergyMeters,0),ROUNDUP((COLUMN()+1)/3-2,0)))</f>
        <v/>
      </c>
      <c r="J104" s="127"/>
      <c r="K104" s="137"/>
      <c r="L104" s="58" t="str" cm="1">
        <f>IF(ISBLANK($A104),"",INDEX(Array_OtherEnergyCharges,MATCH($A104,List_OtherEnergyMeters,0),ROUNDUP((COLUMN()+1)/3-2,0)))</f>
        <v/>
      </c>
      <c r="M104" s="127"/>
      <c r="N104" s="137"/>
      <c r="O104" s="58" t="str" cm="1">
        <f>IF(ISBLANK($A104),"",INDEX(Array_OtherEnergyCharges,MATCH($A104,List_OtherEnergyMeters,0),ROUNDUP((COLUMN()+1)/3-2,0)))</f>
        <v/>
      </c>
      <c r="P104" s="127"/>
      <c r="Q104" s="137"/>
      <c r="R104" s="58" t="str" cm="1">
        <f>IF(ISBLANK($A104),"",INDEX(Array_OtherEnergyCharges,MATCH($A104,List_OtherEnergyMeters,0),ROUNDUP((COLUMN()+1)/3-2,0)))</f>
        <v/>
      </c>
      <c r="S104" s="127"/>
      <c r="T104" s="137"/>
    </row>
    <row r="105" spans="1:20" x14ac:dyDescent="0.3">
      <c r="A105" s="126"/>
      <c r="B105" s="133"/>
      <c r="C105" s="127"/>
      <c r="D105" s="138"/>
      <c r="E105" s="137"/>
      <c r="F105" s="58" t="str" cm="1">
        <f>IF(ISBLANK($A105),"",INDEX(Array_OtherEnergyCharges,MATCH($A105,List_OtherEnergyMeters,0),ROUNDUP((COLUMN()+1)/3-2,0)))</f>
        <v/>
      </c>
      <c r="G105" s="127"/>
      <c r="H105" s="137"/>
      <c r="I105" s="58" t="str" cm="1">
        <f>IF(ISBLANK($A105),"",INDEX(Array_OtherEnergyCharges,MATCH($A105,List_OtherEnergyMeters,0),ROUNDUP((COLUMN()+1)/3-2,0)))</f>
        <v/>
      </c>
      <c r="J105" s="127"/>
      <c r="K105" s="137"/>
      <c r="L105" s="58" t="str" cm="1">
        <f>IF(ISBLANK($A105),"",INDEX(Array_OtherEnergyCharges,MATCH($A105,List_OtherEnergyMeters,0),ROUNDUP((COLUMN()+1)/3-2,0)))</f>
        <v/>
      </c>
      <c r="M105" s="127"/>
      <c r="N105" s="137"/>
      <c r="O105" s="58" t="str" cm="1">
        <f>IF(ISBLANK($A105),"",INDEX(Array_OtherEnergyCharges,MATCH($A105,List_OtherEnergyMeters,0),ROUNDUP((COLUMN()+1)/3-2,0)))</f>
        <v/>
      </c>
      <c r="P105" s="127"/>
      <c r="Q105" s="137"/>
      <c r="R105" s="58" t="str" cm="1">
        <f>IF(ISBLANK($A105),"",INDEX(Array_OtherEnergyCharges,MATCH($A105,List_OtherEnergyMeters,0),ROUNDUP((COLUMN()+1)/3-2,0)))</f>
        <v/>
      </c>
      <c r="S105" s="127"/>
      <c r="T105" s="137"/>
    </row>
    <row r="106" spans="1:20" x14ac:dyDescent="0.3">
      <c r="A106" s="126"/>
      <c r="B106" s="133"/>
      <c r="C106" s="127"/>
      <c r="D106" s="138"/>
      <c r="E106" s="137"/>
      <c r="F106" s="58" t="str" cm="1">
        <f>IF(ISBLANK($A106),"",INDEX(Array_OtherEnergyCharges,MATCH($A106,List_OtherEnergyMeters,0),ROUNDUP((COLUMN()+1)/3-2,0)))</f>
        <v/>
      </c>
      <c r="G106" s="127"/>
      <c r="H106" s="137"/>
      <c r="I106" s="58" t="str" cm="1">
        <f>IF(ISBLANK($A106),"",INDEX(Array_OtherEnergyCharges,MATCH($A106,List_OtherEnergyMeters,0),ROUNDUP((COLUMN()+1)/3-2,0)))</f>
        <v/>
      </c>
      <c r="J106" s="127"/>
      <c r="K106" s="137"/>
      <c r="L106" s="58" t="str" cm="1">
        <f>IF(ISBLANK($A106),"",INDEX(Array_OtherEnergyCharges,MATCH($A106,List_OtherEnergyMeters,0),ROUNDUP((COLUMN()+1)/3-2,0)))</f>
        <v/>
      </c>
      <c r="M106" s="127"/>
      <c r="N106" s="137"/>
      <c r="O106" s="58" t="str" cm="1">
        <f>IF(ISBLANK($A106),"",INDEX(Array_OtherEnergyCharges,MATCH($A106,List_OtherEnergyMeters,0),ROUNDUP((COLUMN()+1)/3-2,0)))</f>
        <v/>
      </c>
      <c r="P106" s="127"/>
      <c r="Q106" s="137"/>
      <c r="R106" s="58" t="str" cm="1">
        <f>IF(ISBLANK($A106),"",INDEX(Array_OtherEnergyCharges,MATCH($A106,List_OtherEnergyMeters,0),ROUNDUP((COLUMN()+1)/3-2,0)))</f>
        <v/>
      </c>
      <c r="S106" s="127"/>
      <c r="T106" s="137"/>
    </row>
    <row r="107" spans="1:20" x14ac:dyDescent="0.3">
      <c r="A107" s="126"/>
      <c r="B107" s="133"/>
      <c r="C107" s="127"/>
      <c r="D107" s="138"/>
      <c r="E107" s="137"/>
      <c r="F107" s="58" t="str" cm="1">
        <f>IF(ISBLANK($A107),"",INDEX(Array_OtherEnergyCharges,MATCH($A107,List_OtherEnergyMeters,0),ROUNDUP((COLUMN()+1)/3-2,0)))</f>
        <v/>
      </c>
      <c r="G107" s="127"/>
      <c r="H107" s="137"/>
      <c r="I107" s="58" t="str" cm="1">
        <f>IF(ISBLANK($A107),"",INDEX(Array_OtherEnergyCharges,MATCH($A107,List_OtherEnergyMeters,0),ROUNDUP((COLUMN()+1)/3-2,0)))</f>
        <v/>
      </c>
      <c r="J107" s="127"/>
      <c r="K107" s="137"/>
      <c r="L107" s="58" t="str" cm="1">
        <f>IF(ISBLANK($A107),"",INDEX(Array_OtherEnergyCharges,MATCH($A107,List_OtherEnergyMeters,0),ROUNDUP((COLUMN()+1)/3-2,0)))</f>
        <v/>
      </c>
      <c r="M107" s="127"/>
      <c r="N107" s="137"/>
      <c r="O107" s="58" t="str" cm="1">
        <f>IF(ISBLANK($A107),"",INDEX(Array_OtherEnergyCharges,MATCH($A107,List_OtherEnergyMeters,0),ROUNDUP((COLUMN()+1)/3-2,0)))</f>
        <v/>
      </c>
      <c r="P107" s="127"/>
      <c r="Q107" s="137"/>
      <c r="R107" s="58" t="str" cm="1">
        <f>IF(ISBLANK($A107),"",INDEX(Array_OtherEnergyCharges,MATCH($A107,List_OtherEnergyMeters,0),ROUNDUP((COLUMN()+1)/3-2,0)))</f>
        <v/>
      </c>
      <c r="S107" s="127"/>
      <c r="T107" s="137"/>
    </row>
    <row r="108" spans="1:20" x14ac:dyDescent="0.3">
      <c r="A108" s="126"/>
      <c r="B108" s="133"/>
      <c r="C108" s="127"/>
      <c r="D108" s="138"/>
      <c r="E108" s="137"/>
      <c r="F108" s="58" t="str" cm="1">
        <f>IF(ISBLANK($A108),"",INDEX(Array_OtherEnergyCharges,MATCH($A108,List_OtherEnergyMeters,0),ROUNDUP((COLUMN()+1)/3-2,0)))</f>
        <v/>
      </c>
      <c r="G108" s="127"/>
      <c r="H108" s="137"/>
      <c r="I108" s="58" t="str" cm="1">
        <f>IF(ISBLANK($A108),"",INDEX(Array_OtherEnergyCharges,MATCH($A108,List_OtherEnergyMeters,0),ROUNDUP((COLUMN()+1)/3-2,0)))</f>
        <v/>
      </c>
      <c r="J108" s="127"/>
      <c r="K108" s="137"/>
      <c r="L108" s="58" t="str" cm="1">
        <f>IF(ISBLANK($A108),"",INDEX(Array_OtherEnergyCharges,MATCH($A108,List_OtherEnergyMeters,0),ROUNDUP((COLUMN()+1)/3-2,0)))</f>
        <v/>
      </c>
      <c r="M108" s="127"/>
      <c r="N108" s="137"/>
      <c r="O108" s="58" t="str" cm="1">
        <f>IF(ISBLANK($A108),"",INDEX(Array_OtherEnergyCharges,MATCH($A108,List_OtherEnergyMeters,0),ROUNDUP((COLUMN()+1)/3-2,0)))</f>
        <v/>
      </c>
      <c r="P108" s="127"/>
      <c r="Q108" s="137"/>
      <c r="R108" s="58" t="str" cm="1">
        <f>IF(ISBLANK($A108),"",INDEX(Array_OtherEnergyCharges,MATCH($A108,List_OtherEnergyMeters,0),ROUNDUP((COLUMN()+1)/3-2,0)))</f>
        <v/>
      </c>
      <c r="S108" s="127"/>
      <c r="T108" s="137"/>
    </row>
    <row r="109" spans="1:20" x14ac:dyDescent="0.3">
      <c r="A109" s="126"/>
      <c r="B109" s="133"/>
      <c r="C109" s="127"/>
      <c r="D109" s="138"/>
      <c r="E109" s="137"/>
      <c r="F109" s="58" t="str" cm="1">
        <f>IF(ISBLANK($A109),"",INDEX(Array_OtherEnergyCharges,MATCH($A109,List_OtherEnergyMeters,0),ROUNDUP((COLUMN()+1)/3-2,0)))</f>
        <v/>
      </c>
      <c r="G109" s="127"/>
      <c r="H109" s="137"/>
      <c r="I109" s="58" t="str" cm="1">
        <f>IF(ISBLANK($A109),"",INDEX(Array_OtherEnergyCharges,MATCH($A109,List_OtherEnergyMeters,0),ROUNDUP((COLUMN()+1)/3-2,0)))</f>
        <v/>
      </c>
      <c r="J109" s="127"/>
      <c r="K109" s="137"/>
      <c r="L109" s="58" t="str" cm="1">
        <f>IF(ISBLANK($A109),"",INDEX(Array_OtherEnergyCharges,MATCH($A109,List_OtherEnergyMeters,0),ROUNDUP((COLUMN()+1)/3-2,0)))</f>
        <v/>
      </c>
      <c r="M109" s="127"/>
      <c r="N109" s="137"/>
      <c r="O109" s="58" t="str" cm="1">
        <f>IF(ISBLANK($A109),"",INDEX(Array_OtherEnergyCharges,MATCH($A109,List_OtherEnergyMeters,0),ROUNDUP((COLUMN()+1)/3-2,0)))</f>
        <v/>
      </c>
      <c r="P109" s="127"/>
      <c r="Q109" s="137"/>
      <c r="R109" s="58" t="str" cm="1">
        <f>IF(ISBLANK($A109),"",INDEX(Array_OtherEnergyCharges,MATCH($A109,List_OtherEnergyMeters,0),ROUNDUP((COLUMN()+1)/3-2,0)))</f>
        <v/>
      </c>
      <c r="S109" s="127"/>
      <c r="T109" s="137"/>
    </row>
    <row r="110" spans="1:20" x14ac:dyDescent="0.3">
      <c r="A110" s="126"/>
      <c r="B110" s="133"/>
      <c r="C110" s="127"/>
      <c r="D110" s="138"/>
      <c r="E110" s="137"/>
      <c r="F110" s="58" t="str" cm="1">
        <f>IF(ISBLANK($A110),"",INDEX(Array_OtherEnergyCharges,MATCH($A110,List_OtherEnergyMeters,0),ROUNDUP((COLUMN()+1)/3-2,0)))</f>
        <v/>
      </c>
      <c r="G110" s="127"/>
      <c r="H110" s="137"/>
      <c r="I110" s="58" t="str" cm="1">
        <f>IF(ISBLANK($A110),"",INDEX(Array_OtherEnergyCharges,MATCH($A110,List_OtherEnergyMeters,0),ROUNDUP((COLUMN()+1)/3-2,0)))</f>
        <v/>
      </c>
      <c r="J110" s="127"/>
      <c r="K110" s="137"/>
      <c r="L110" s="58" t="str" cm="1">
        <f>IF(ISBLANK($A110),"",INDEX(Array_OtherEnergyCharges,MATCH($A110,List_OtherEnergyMeters,0),ROUNDUP((COLUMN()+1)/3-2,0)))</f>
        <v/>
      </c>
      <c r="M110" s="127"/>
      <c r="N110" s="137"/>
      <c r="O110" s="58" t="str" cm="1">
        <f>IF(ISBLANK($A110),"",INDEX(Array_OtherEnergyCharges,MATCH($A110,List_OtherEnergyMeters,0),ROUNDUP((COLUMN()+1)/3-2,0)))</f>
        <v/>
      </c>
      <c r="P110" s="127"/>
      <c r="Q110" s="137"/>
      <c r="R110" s="58" t="str" cm="1">
        <f>IF(ISBLANK($A110),"",INDEX(Array_OtherEnergyCharges,MATCH($A110,List_OtherEnergyMeters,0),ROUNDUP((COLUMN()+1)/3-2,0)))</f>
        <v/>
      </c>
      <c r="S110" s="127"/>
      <c r="T110" s="137"/>
    </row>
    <row r="111" spans="1:20" x14ac:dyDescent="0.3">
      <c r="A111" s="126"/>
      <c r="B111" s="133"/>
      <c r="C111" s="127"/>
      <c r="D111" s="138"/>
      <c r="E111" s="137"/>
      <c r="F111" s="58" t="str" cm="1">
        <f>IF(ISBLANK($A111),"",INDEX(Array_OtherEnergyCharges,MATCH($A111,List_OtherEnergyMeters,0),ROUNDUP((COLUMN()+1)/3-2,0)))</f>
        <v/>
      </c>
      <c r="G111" s="127"/>
      <c r="H111" s="137"/>
      <c r="I111" s="58" t="str" cm="1">
        <f>IF(ISBLANK($A111),"",INDEX(Array_OtherEnergyCharges,MATCH($A111,List_OtherEnergyMeters,0),ROUNDUP((COLUMN()+1)/3-2,0)))</f>
        <v/>
      </c>
      <c r="J111" s="127"/>
      <c r="K111" s="137"/>
      <c r="L111" s="58" t="str" cm="1">
        <f>IF(ISBLANK($A111),"",INDEX(Array_OtherEnergyCharges,MATCH($A111,List_OtherEnergyMeters,0),ROUNDUP((COLUMN()+1)/3-2,0)))</f>
        <v/>
      </c>
      <c r="M111" s="127"/>
      <c r="N111" s="137"/>
      <c r="O111" s="58" t="str" cm="1">
        <f>IF(ISBLANK($A111),"",INDEX(Array_OtherEnergyCharges,MATCH($A111,List_OtherEnergyMeters,0),ROUNDUP((COLUMN()+1)/3-2,0)))</f>
        <v/>
      </c>
      <c r="P111" s="127"/>
      <c r="Q111" s="137"/>
      <c r="R111" s="58" t="str" cm="1">
        <f>IF(ISBLANK($A111),"",INDEX(Array_OtherEnergyCharges,MATCH($A111,List_OtherEnergyMeters,0),ROUNDUP((COLUMN()+1)/3-2,0)))</f>
        <v/>
      </c>
      <c r="S111" s="127"/>
      <c r="T111" s="137"/>
    </row>
    <row r="112" spans="1:20" x14ac:dyDescent="0.3">
      <c r="A112" s="126"/>
      <c r="B112" s="133"/>
      <c r="C112" s="127"/>
      <c r="D112" s="138"/>
      <c r="E112" s="137"/>
      <c r="F112" s="58" t="str" cm="1">
        <f>IF(ISBLANK($A112),"",INDEX(Array_OtherEnergyCharges,MATCH($A112,List_OtherEnergyMeters,0),ROUNDUP((COLUMN()+1)/3-2,0)))</f>
        <v/>
      </c>
      <c r="G112" s="127"/>
      <c r="H112" s="137"/>
      <c r="I112" s="58" t="str" cm="1">
        <f>IF(ISBLANK($A112),"",INDEX(Array_OtherEnergyCharges,MATCH($A112,List_OtherEnergyMeters,0),ROUNDUP((COLUMN()+1)/3-2,0)))</f>
        <v/>
      </c>
      <c r="J112" s="127"/>
      <c r="K112" s="137"/>
      <c r="L112" s="58" t="str" cm="1">
        <f>IF(ISBLANK($A112),"",INDEX(Array_OtherEnergyCharges,MATCH($A112,List_OtherEnergyMeters,0),ROUNDUP((COLUMN()+1)/3-2,0)))</f>
        <v/>
      </c>
      <c r="M112" s="127"/>
      <c r="N112" s="137"/>
      <c r="O112" s="58" t="str" cm="1">
        <f>IF(ISBLANK($A112),"",INDEX(Array_OtherEnergyCharges,MATCH($A112,List_OtherEnergyMeters,0),ROUNDUP((COLUMN()+1)/3-2,0)))</f>
        <v/>
      </c>
      <c r="P112" s="127"/>
      <c r="Q112" s="137"/>
      <c r="R112" s="58" t="str" cm="1">
        <f>IF(ISBLANK($A112),"",INDEX(Array_OtherEnergyCharges,MATCH($A112,List_OtherEnergyMeters,0),ROUNDUP((COLUMN()+1)/3-2,0)))</f>
        <v/>
      </c>
      <c r="S112" s="127"/>
      <c r="T112" s="137"/>
    </row>
    <row r="113" spans="1:20" x14ac:dyDescent="0.3">
      <c r="A113" s="126"/>
      <c r="B113" s="133"/>
      <c r="C113" s="127"/>
      <c r="D113" s="138"/>
      <c r="E113" s="137"/>
      <c r="F113" s="58" t="str" cm="1">
        <f>IF(ISBLANK($A113),"",INDEX(Array_OtherEnergyCharges,MATCH($A113,List_OtherEnergyMeters,0),ROUNDUP((COLUMN()+1)/3-2,0)))</f>
        <v/>
      </c>
      <c r="G113" s="127"/>
      <c r="H113" s="137"/>
      <c r="I113" s="58" t="str" cm="1">
        <f>IF(ISBLANK($A113),"",INDEX(Array_OtherEnergyCharges,MATCH($A113,List_OtherEnergyMeters,0),ROUNDUP((COLUMN()+1)/3-2,0)))</f>
        <v/>
      </c>
      <c r="J113" s="127"/>
      <c r="K113" s="137"/>
      <c r="L113" s="58" t="str" cm="1">
        <f>IF(ISBLANK($A113),"",INDEX(Array_OtherEnergyCharges,MATCH($A113,List_OtherEnergyMeters,0),ROUNDUP((COLUMN()+1)/3-2,0)))</f>
        <v/>
      </c>
      <c r="M113" s="127"/>
      <c r="N113" s="137"/>
      <c r="O113" s="58" t="str" cm="1">
        <f>IF(ISBLANK($A113),"",INDEX(Array_OtherEnergyCharges,MATCH($A113,List_OtherEnergyMeters,0),ROUNDUP((COLUMN()+1)/3-2,0)))</f>
        <v/>
      </c>
      <c r="P113" s="127"/>
      <c r="Q113" s="137"/>
      <c r="R113" s="58" t="str" cm="1">
        <f>IF(ISBLANK($A113),"",INDEX(Array_OtherEnergyCharges,MATCH($A113,List_OtherEnergyMeters,0),ROUNDUP((COLUMN()+1)/3-2,0)))</f>
        <v/>
      </c>
      <c r="S113" s="127"/>
      <c r="T113" s="137"/>
    </row>
    <row r="114" spans="1:20" x14ac:dyDescent="0.3">
      <c r="A114" s="126"/>
      <c r="B114" s="133"/>
      <c r="C114" s="127"/>
      <c r="D114" s="138"/>
      <c r="E114" s="137"/>
      <c r="F114" s="58" t="str" cm="1">
        <f>IF(ISBLANK($A114),"",INDEX(Array_OtherEnergyCharges,MATCH($A114,List_OtherEnergyMeters,0),ROUNDUP((COLUMN()+1)/3-2,0)))</f>
        <v/>
      </c>
      <c r="G114" s="127"/>
      <c r="H114" s="137"/>
      <c r="I114" s="58" t="str" cm="1">
        <f>IF(ISBLANK($A114),"",INDEX(Array_OtherEnergyCharges,MATCH($A114,List_OtherEnergyMeters,0),ROUNDUP((COLUMN()+1)/3-2,0)))</f>
        <v/>
      </c>
      <c r="J114" s="127"/>
      <c r="K114" s="137"/>
      <c r="L114" s="58" t="str" cm="1">
        <f>IF(ISBLANK($A114),"",INDEX(Array_OtherEnergyCharges,MATCH($A114,List_OtherEnergyMeters,0),ROUNDUP((COLUMN()+1)/3-2,0)))</f>
        <v/>
      </c>
      <c r="M114" s="127"/>
      <c r="N114" s="137"/>
      <c r="O114" s="58" t="str" cm="1">
        <f>IF(ISBLANK($A114),"",INDEX(Array_OtherEnergyCharges,MATCH($A114,List_OtherEnergyMeters,0),ROUNDUP((COLUMN()+1)/3-2,0)))</f>
        <v/>
      </c>
      <c r="P114" s="127"/>
      <c r="Q114" s="137"/>
      <c r="R114" s="58" t="str" cm="1">
        <f>IF(ISBLANK($A114),"",INDEX(Array_OtherEnergyCharges,MATCH($A114,List_OtherEnergyMeters,0),ROUNDUP((COLUMN()+1)/3-2,0)))</f>
        <v/>
      </c>
      <c r="S114" s="127"/>
      <c r="T114" s="137"/>
    </row>
    <row r="115" spans="1:20" x14ac:dyDescent="0.3">
      <c r="A115" s="126"/>
      <c r="B115" s="133"/>
      <c r="C115" s="127"/>
      <c r="D115" s="138"/>
      <c r="E115" s="137"/>
      <c r="F115" s="58" t="str" cm="1">
        <f>IF(ISBLANK($A115),"",INDEX(Array_OtherEnergyCharges,MATCH($A115,List_OtherEnergyMeters,0),ROUNDUP((COLUMN()+1)/3-2,0)))</f>
        <v/>
      </c>
      <c r="G115" s="127"/>
      <c r="H115" s="137"/>
      <c r="I115" s="58" t="str" cm="1">
        <f>IF(ISBLANK($A115),"",INDEX(Array_OtherEnergyCharges,MATCH($A115,List_OtherEnergyMeters,0),ROUNDUP((COLUMN()+1)/3-2,0)))</f>
        <v/>
      </c>
      <c r="J115" s="127"/>
      <c r="K115" s="137"/>
      <c r="L115" s="58" t="str" cm="1">
        <f>IF(ISBLANK($A115),"",INDEX(Array_OtherEnergyCharges,MATCH($A115,List_OtherEnergyMeters,0),ROUNDUP((COLUMN()+1)/3-2,0)))</f>
        <v/>
      </c>
      <c r="M115" s="127"/>
      <c r="N115" s="137"/>
      <c r="O115" s="58" t="str" cm="1">
        <f>IF(ISBLANK($A115),"",INDEX(Array_OtherEnergyCharges,MATCH($A115,List_OtherEnergyMeters,0),ROUNDUP((COLUMN()+1)/3-2,0)))</f>
        <v/>
      </c>
      <c r="P115" s="127"/>
      <c r="Q115" s="137"/>
      <c r="R115" s="58" t="str" cm="1">
        <f>IF(ISBLANK($A115),"",INDEX(Array_OtherEnergyCharges,MATCH($A115,List_OtherEnergyMeters,0),ROUNDUP((COLUMN()+1)/3-2,0)))</f>
        <v/>
      </c>
      <c r="S115" s="127"/>
      <c r="T115" s="137"/>
    </row>
    <row r="116" spans="1:20" x14ac:dyDescent="0.3">
      <c r="A116" s="126"/>
      <c r="B116" s="133"/>
      <c r="C116" s="127"/>
      <c r="D116" s="138"/>
      <c r="E116" s="137"/>
      <c r="F116" s="58" t="str" cm="1">
        <f>IF(ISBLANK($A116),"",INDEX(Array_OtherEnergyCharges,MATCH($A116,List_OtherEnergyMeters,0),ROUNDUP((COLUMN()+1)/3-2,0)))</f>
        <v/>
      </c>
      <c r="G116" s="127"/>
      <c r="H116" s="137"/>
      <c r="I116" s="58" t="str" cm="1">
        <f>IF(ISBLANK($A116),"",INDEX(Array_OtherEnergyCharges,MATCH($A116,List_OtherEnergyMeters,0),ROUNDUP((COLUMN()+1)/3-2,0)))</f>
        <v/>
      </c>
      <c r="J116" s="127"/>
      <c r="K116" s="137"/>
      <c r="L116" s="58" t="str" cm="1">
        <f>IF(ISBLANK($A116),"",INDEX(Array_OtherEnergyCharges,MATCH($A116,List_OtherEnergyMeters,0),ROUNDUP((COLUMN()+1)/3-2,0)))</f>
        <v/>
      </c>
      <c r="M116" s="127"/>
      <c r="N116" s="137"/>
      <c r="O116" s="58" t="str" cm="1">
        <f>IF(ISBLANK($A116),"",INDEX(Array_OtherEnergyCharges,MATCH($A116,List_OtherEnergyMeters,0),ROUNDUP((COLUMN()+1)/3-2,0)))</f>
        <v/>
      </c>
      <c r="P116" s="127"/>
      <c r="Q116" s="137"/>
      <c r="R116" s="58" t="str" cm="1">
        <f>IF(ISBLANK($A116),"",INDEX(Array_OtherEnergyCharges,MATCH($A116,List_OtherEnergyMeters,0),ROUNDUP((COLUMN()+1)/3-2,0)))</f>
        <v/>
      </c>
      <c r="S116" s="127"/>
      <c r="T116" s="137"/>
    </row>
    <row r="117" spans="1:20" x14ac:dyDescent="0.3">
      <c r="A117" s="126"/>
      <c r="B117" s="133"/>
      <c r="C117" s="127"/>
      <c r="D117" s="138"/>
      <c r="E117" s="137"/>
      <c r="F117" s="58" t="str" cm="1">
        <f>IF(ISBLANK($A117),"",INDEX(Array_OtherEnergyCharges,MATCH($A117,List_OtherEnergyMeters,0),ROUNDUP((COLUMN()+1)/3-2,0)))</f>
        <v/>
      </c>
      <c r="G117" s="127"/>
      <c r="H117" s="137"/>
      <c r="I117" s="58" t="str" cm="1">
        <f>IF(ISBLANK($A117),"",INDEX(Array_OtherEnergyCharges,MATCH($A117,List_OtherEnergyMeters,0),ROUNDUP((COLUMN()+1)/3-2,0)))</f>
        <v/>
      </c>
      <c r="J117" s="127"/>
      <c r="K117" s="137"/>
      <c r="L117" s="58" t="str" cm="1">
        <f>IF(ISBLANK($A117),"",INDEX(Array_OtherEnergyCharges,MATCH($A117,List_OtherEnergyMeters,0),ROUNDUP((COLUMN()+1)/3-2,0)))</f>
        <v/>
      </c>
      <c r="M117" s="127"/>
      <c r="N117" s="137"/>
      <c r="O117" s="58" t="str" cm="1">
        <f>IF(ISBLANK($A117),"",INDEX(Array_OtherEnergyCharges,MATCH($A117,List_OtherEnergyMeters,0),ROUNDUP((COLUMN()+1)/3-2,0)))</f>
        <v/>
      </c>
      <c r="P117" s="127"/>
      <c r="Q117" s="137"/>
      <c r="R117" s="58" t="str" cm="1">
        <f>IF(ISBLANK($A117),"",INDEX(Array_OtherEnergyCharges,MATCH($A117,List_OtherEnergyMeters,0),ROUNDUP((COLUMN()+1)/3-2,0)))</f>
        <v/>
      </c>
      <c r="S117" s="127"/>
      <c r="T117" s="137"/>
    </row>
    <row r="118" spans="1:20" x14ac:dyDescent="0.3">
      <c r="A118" s="126"/>
      <c r="B118" s="133"/>
      <c r="C118" s="127"/>
      <c r="D118" s="138"/>
      <c r="E118" s="137"/>
      <c r="F118" s="58" t="str" cm="1">
        <f>IF(ISBLANK($A118),"",INDEX(Array_OtherEnergyCharges,MATCH($A118,List_OtherEnergyMeters,0),ROUNDUP((COLUMN()+1)/3-2,0)))</f>
        <v/>
      </c>
      <c r="G118" s="127"/>
      <c r="H118" s="137"/>
      <c r="I118" s="58" t="str" cm="1">
        <f>IF(ISBLANK($A118),"",INDEX(Array_OtherEnergyCharges,MATCH($A118,List_OtherEnergyMeters,0),ROUNDUP((COLUMN()+1)/3-2,0)))</f>
        <v/>
      </c>
      <c r="J118" s="127"/>
      <c r="K118" s="137"/>
      <c r="L118" s="58" t="str" cm="1">
        <f>IF(ISBLANK($A118),"",INDEX(Array_OtherEnergyCharges,MATCH($A118,List_OtherEnergyMeters,0),ROUNDUP((COLUMN()+1)/3-2,0)))</f>
        <v/>
      </c>
      <c r="M118" s="127"/>
      <c r="N118" s="137"/>
      <c r="O118" s="58" t="str" cm="1">
        <f>IF(ISBLANK($A118),"",INDEX(Array_OtherEnergyCharges,MATCH($A118,List_OtherEnergyMeters,0),ROUNDUP((COLUMN()+1)/3-2,0)))</f>
        <v/>
      </c>
      <c r="P118" s="127"/>
      <c r="Q118" s="137"/>
      <c r="R118" s="58" t="str" cm="1">
        <f>IF(ISBLANK($A118),"",INDEX(Array_OtherEnergyCharges,MATCH($A118,List_OtherEnergyMeters,0),ROUNDUP((COLUMN()+1)/3-2,0)))</f>
        <v/>
      </c>
      <c r="S118" s="127"/>
      <c r="T118" s="137"/>
    </row>
    <row r="119" spans="1:20" x14ac:dyDescent="0.3">
      <c r="A119" s="126"/>
      <c r="B119" s="133"/>
      <c r="C119" s="127"/>
      <c r="D119" s="138"/>
      <c r="E119" s="137"/>
      <c r="F119" s="58" t="str" cm="1">
        <f>IF(ISBLANK($A119),"",INDEX(Array_OtherEnergyCharges,MATCH($A119,List_OtherEnergyMeters,0),ROUNDUP((COLUMN()+1)/3-2,0)))</f>
        <v/>
      </c>
      <c r="G119" s="127"/>
      <c r="H119" s="137"/>
      <c r="I119" s="58" t="str" cm="1">
        <f>IF(ISBLANK($A119),"",INDEX(Array_OtherEnergyCharges,MATCH($A119,List_OtherEnergyMeters,0),ROUNDUP((COLUMN()+1)/3-2,0)))</f>
        <v/>
      </c>
      <c r="J119" s="127"/>
      <c r="K119" s="137"/>
      <c r="L119" s="58" t="str" cm="1">
        <f>IF(ISBLANK($A119),"",INDEX(Array_OtherEnergyCharges,MATCH($A119,List_OtherEnergyMeters,0),ROUNDUP((COLUMN()+1)/3-2,0)))</f>
        <v/>
      </c>
      <c r="M119" s="127"/>
      <c r="N119" s="137"/>
      <c r="O119" s="58" t="str" cm="1">
        <f>IF(ISBLANK($A119),"",INDEX(Array_OtherEnergyCharges,MATCH($A119,List_OtherEnergyMeters,0),ROUNDUP((COLUMN()+1)/3-2,0)))</f>
        <v/>
      </c>
      <c r="P119" s="127"/>
      <c r="Q119" s="137"/>
      <c r="R119" s="58" t="str" cm="1">
        <f>IF(ISBLANK($A119),"",INDEX(Array_OtherEnergyCharges,MATCH($A119,List_OtherEnergyMeters,0),ROUNDUP((COLUMN()+1)/3-2,0)))</f>
        <v/>
      </c>
      <c r="S119" s="127"/>
      <c r="T119" s="137"/>
    </row>
    <row r="120" spans="1:20" x14ac:dyDescent="0.3">
      <c r="A120" s="126"/>
      <c r="B120" s="133"/>
      <c r="C120" s="127"/>
      <c r="D120" s="138"/>
      <c r="E120" s="137"/>
      <c r="F120" s="58" t="str" cm="1">
        <f>IF(ISBLANK($A120),"",INDEX(Array_OtherEnergyCharges,MATCH($A120,List_OtherEnergyMeters,0),ROUNDUP((COLUMN()+1)/3-2,0)))</f>
        <v/>
      </c>
      <c r="G120" s="127"/>
      <c r="H120" s="137"/>
      <c r="I120" s="58" t="str" cm="1">
        <f>IF(ISBLANK($A120),"",INDEX(Array_OtherEnergyCharges,MATCH($A120,List_OtherEnergyMeters,0),ROUNDUP((COLUMN()+1)/3-2,0)))</f>
        <v/>
      </c>
      <c r="J120" s="127"/>
      <c r="K120" s="137"/>
      <c r="L120" s="58" t="str" cm="1">
        <f>IF(ISBLANK($A120),"",INDEX(Array_OtherEnergyCharges,MATCH($A120,List_OtherEnergyMeters,0),ROUNDUP((COLUMN()+1)/3-2,0)))</f>
        <v/>
      </c>
      <c r="M120" s="127"/>
      <c r="N120" s="137"/>
      <c r="O120" s="58" t="str" cm="1">
        <f>IF(ISBLANK($A120),"",INDEX(Array_OtherEnergyCharges,MATCH($A120,List_OtherEnergyMeters,0),ROUNDUP((COLUMN()+1)/3-2,0)))</f>
        <v/>
      </c>
      <c r="P120" s="127"/>
      <c r="Q120" s="137"/>
      <c r="R120" s="58" t="str" cm="1">
        <f>IF(ISBLANK($A120),"",INDEX(Array_OtherEnergyCharges,MATCH($A120,List_OtherEnergyMeters,0),ROUNDUP((COLUMN()+1)/3-2,0)))</f>
        <v/>
      </c>
      <c r="S120" s="127"/>
      <c r="T120" s="137"/>
    </row>
    <row r="121" spans="1:20" x14ac:dyDescent="0.3">
      <c r="A121" s="126"/>
      <c r="B121" s="133"/>
      <c r="C121" s="127"/>
      <c r="D121" s="138"/>
      <c r="E121" s="137"/>
      <c r="F121" s="58" t="str" cm="1">
        <f>IF(ISBLANK($A121),"",INDEX(Array_OtherEnergyCharges,MATCH($A121,List_OtherEnergyMeters,0),ROUNDUP((COLUMN()+1)/3-2,0)))</f>
        <v/>
      </c>
      <c r="G121" s="127"/>
      <c r="H121" s="137"/>
      <c r="I121" s="58" t="str" cm="1">
        <f>IF(ISBLANK($A121),"",INDEX(Array_OtherEnergyCharges,MATCH($A121,List_OtherEnergyMeters,0),ROUNDUP((COLUMN()+1)/3-2,0)))</f>
        <v/>
      </c>
      <c r="J121" s="127"/>
      <c r="K121" s="137"/>
      <c r="L121" s="58" t="str" cm="1">
        <f>IF(ISBLANK($A121),"",INDEX(Array_OtherEnergyCharges,MATCH($A121,List_OtherEnergyMeters,0),ROUNDUP((COLUMN()+1)/3-2,0)))</f>
        <v/>
      </c>
      <c r="M121" s="127"/>
      <c r="N121" s="137"/>
      <c r="O121" s="58" t="str" cm="1">
        <f>IF(ISBLANK($A121),"",INDEX(Array_OtherEnergyCharges,MATCH($A121,List_OtherEnergyMeters,0),ROUNDUP((COLUMN()+1)/3-2,0)))</f>
        <v/>
      </c>
      <c r="P121" s="127"/>
      <c r="Q121" s="137"/>
      <c r="R121" s="58" t="str" cm="1">
        <f>IF(ISBLANK($A121),"",INDEX(Array_OtherEnergyCharges,MATCH($A121,List_OtherEnergyMeters,0),ROUNDUP((COLUMN()+1)/3-2,0)))</f>
        <v/>
      </c>
      <c r="S121" s="127"/>
      <c r="T121" s="137"/>
    </row>
    <row r="122" spans="1:20" x14ac:dyDescent="0.3">
      <c r="A122" s="126"/>
      <c r="B122" s="133"/>
      <c r="C122" s="127"/>
      <c r="D122" s="138"/>
      <c r="E122" s="137"/>
      <c r="F122" s="58" t="str" cm="1">
        <f>IF(ISBLANK($A122),"",INDEX(Array_OtherEnergyCharges,MATCH($A122,List_OtherEnergyMeters,0),ROUNDUP((COLUMN()+1)/3-2,0)))</f>
        <v/>
      </c>
      <c r="G122" s="127"/>
      <c r="H122" s="137"/>
      <c r="I122" s="58" t="str" cm="1">
        <f>IF(ISBLANK($A122),"",INDEX(Array_OtherEnergyCharges,MATCH($A122,List_OtherEnergyMeters,0),ROUNDUP((COLUMN()+1)/3-2,0)))</f>
        <v/>
      </c>
      <c r="J122" s="127"/>
      <c r="K122" s="137"/>
      <c r="L122" s="58" t="str" cm="1">
        <f>IF(ISBLANK($A122),"",INDEX(Array_OtherEnergyCharges,MATCH($A122,List_OtherEnergyMeters,0),ROUNDUP((COLUMN()+1)/3-2,0)))</f>
        <v/>
      </c>
      <c r="M122" s="127"/>
      <c r="N122" s="137"/>
      <c r="O122" s="58" t="str" cm="1">
        <f>IF(ISBLANK($A122),"",INDEX(Array_OtherEnergyCharges,MATCH($A122,List_OtherEnergyMeters,0),ROUNDUP((COLUMN()+1)/3-2,0)))</f>
        <v/>
      </c>
      <c r="P122" s="127"/>
      <c r="Q122" s="137"/>
      <c r="R122" s="58" t="str" cm="1">
        <f>IF(ISBLANK($A122),"",INDEX(Array_OtherEnergyCharges,MATCH($A122,List_OtherEnergyMeters,0),ROUNDUP((COLUMN()+1)/3-2,0)))</f>
        <v/>
      </c>
      <c r="S122" s="127"/>
      <c r="T122" s="137"/>
    </row>
    <row r="123" spans="1:20" x14ac:dyDescent="0.3">
      <c r="A123" s="126"/>
      <c r="B123" s="133"/>
      <c r="C123" s="127"/>
      <c r="D123" s="138"/>
      <c r="E123" s="137"/>
      <c r="F123" s="58" t="str" cm="1">
        <f>IF(ISBLANK($A123),"",INDEX(Array_OtherEnergyCharges,MATCH($A123,List_OtherEnergyMeters,0),ROUNDUP((COLUMN()+1)/3-2,0)))</f>
        <v/>
      </c>
      <c r="G123" s="127"/>
      <c r="H123" s="137"/>
      <c r="I123" s="58" t="str" cm="1">
        <f>IF(ISBLANK($A123),"",INDEX(Array_OtherEnergyCharges,MATCH($A123,List_OtherEnergyMeters,0),ROUNDUP((COLUMN()+1)/3-2,0)))</f>
        <v/>
      </c>
      <c r="J123" s="127"/>
      <c r="K123" s="137"/>
      <c r="L123" s="58" t="str" cm="1">
        <f>IF(ISBLANK($A123),"",INDEX(Array_OtherEnergyCharges,MATCH($A123,List_OtherEnergyMeters,0),ROUNDUP((COLUMN()+1)/3-2,0)))</f>
        <v/>
      </c>
      <c r="M123" s="127"/>
      <c r="N123" s="137"/>
      <c r="O123" s="58" t="str" cm="1">
        <f>IF(ISBLANK($A123),"",INDEX(Array_OtherEnergyCharges,MATCH($A123,List_OtherEnergyMeters,0),ROUNDUP((COLUMN()+1)/3-2,0)))</f>
        <v/>
      </c>
      <c r="P123" s="127"/>
      <c r="Q123" s="137"/>
      <c r="R123" s="58" t="str" cm="1">
        <f>IF(ISBLANK($A123),"",INDEX(Array_OtherEnergyCharges,MATCH($A123,List_OtherEnergyMeters,0),ROUNDUP((COLUMN()+1)/3-2,0)))</f>
        <v/>
      </c>
      <c r="S123" s="127"/>
      <c r="T123" s="137"/>
    </row>
    <row r="124" spans="1:20" x14ac:dyDescent="0.3">
      <c r="A124" s="126"/>
      <c r="B124" s="133"/>
      <c r="C124" s="127"/>
      <c r="D124" s="138"/>
      <c r="E124" s="137"/>
      <c r="F124" s="58" t="str" cm="1">
        <f>IF(ISBLANK($A124),"",INDEX(Array_OtherEnergyCharges,MATCH($A124,List_OtherEnergyMeters,0),ROUNDUP((COLUMN()+1)/3-2,0)))</f>
        <v/>
      </c>
      <c r="G124" s="127"/>
      <c r="H124" s="137"/>
      <c r="I124" s="58" t="str" cm="1">
        <f>IF(ISBLANK($A124),"",INDEX(Array_OtherEnergyCharges,MATCH($A124,List_OtherEnergyMeters,0),ROUNDUP((COLUMN()+1)/3-2,0)))</f>
        <v/>
      </c>
      <c r="J124" s="127"/>
      <c r="K124" s="137"/>
      <c r="L124" s="58" t="str" cm="1">
        <f>IF(ISBLANK($A124),"",INDEX(Array_OtherEnergyCharges,MATCH($A124,List_OtherEnergyMeters,0),ROUNDUP((COLUMN()+1)/3-2,0)))</f>
        <v/>
      </c>
      <c r="M124" s="127"/>
      <c r="N124" s="137"/>
      <c r="O124" s="58" t="str" cm="1">
        <f>IF(ISBLANK($A124),"",INDEX(Array_OtherEnergyCharges,MATCH($A124,List_OtherEnergyMeters,0),ROUNDUP((COLUMN()+1)/3-2,0)))</f>
        <v/>
      </c>
      <c r="P124" s="127"/>
      <c r="Q124" s="137"/>
      <c r="R124" s="58" t="str" cm="1">
        <f>IF(ISBLANK($A124),"",INDEX(Array_OtherEnergyCharges,MATCH($A124,List_OtherEnergyMeters,0),ROUNDUP((COLUMN()+1)/3-2,0)))</f>
        <v/>
      </c>
      <c r="S124" s="127"/>
      <c r="T124" s="137"/>
    </row>
    <row r="125" spans="1:20" x14ac:dyDescent="0.3">
      <c r="A125" s="126"/>
      <c r="B125" s="133"/>
      <c r="C125" s="127"/>
      <c r="D125" s="138"/>
      <c r="E125" s="137"/>
      <c r="F125" s="58" t="str" cm="1">
        <f>IF(ISBLANK($A125),"",INDEX(Array_OtherEnergyCharges,MATCH($A125,List_OtherEnergyMeters,0),ROUNDUP((COLUMN()+1)/3-2,0)))</f>
        <v/>
      </c>
      <c r="G125" s="127"/>
      <c r="H125" s="137"/>
      <c r="I125" s="58" t="str" cm="1">
        <f>IF(ISBLANK($A125),"",INDEX(Array_OtherEnergyCharges,MATCH($A125,List_OtherEnergyMeters,0),ROUNDUP((COLUMN()+1)/3-2,0)))</f>
        <v/>
      </c>
      <c r="J125" s="127"/>
      <c r="K125" s="137"/>
      <c r="L125" s="58" t="str" cm="1">
        <f>IF(ISBLANK($A125),"",INDEX(Array_OtherEnergyCharges,MATCH($A125,List_OtherEnergyMeters,0),ROUNDUP((COLUMN()+1)/3-2,0)))</f>
        <v/>
      </c>
      <c r="M125" s="127"/>
      <c r="N125" s="137"/>
      <c r="O125" s="58" t="str" cm="1">
        <f>IF(ISBLANK($A125),"",INDEX(Array_OtherEnergyCharges,MATCH($A125,List_OtherEnergyMeters,0),ROUNDUP((COLUMN()+1)/3-2,0)))</f>
        <v/>
      </c>
      <c r="P125" s="127"/>
      <c r="Q125" s="137"/>
      <c r="R125" s="58" t="str" cm="1">
        <f>IF(ISBLANK($A125),"",INDEX(Array_OtherEnergyCharges,MATCH($A125,List_OtherEnergyMeters,0),ROUNDUP((COLUMN()+1)/3-2,0)))</f>
        <v/>
      </c>
      <c r="S125" s="127"/>
      <c r="T125" s="137"/>
    </row>
    <row r="126" spans="1:20" x14ac:dyDescent="0.3">
      <c r="A126" s="126"/>
      <c r="B126" s="133"/>
      <c r="C126" s="127"/>
      <c r="D126" s="138"/>
      <c r="E126" s="137"/>
      <c r="F126" s="58" t="str" cm="1">
        <f>IF(ISBLANK($A126),"",INDEX(Array_OtherEnergyCharges,MATCH($A126,List_OtherEnergyMeters,0),ROUNDUP((COLUMN()+1)/3-2,0)))</f>
        <v/>
      </c>
      <c r="G126" s="127"/>
      <c r="H126" s="137"/>
      <c r="I126" s="58" t="str" cm="1">
        <f>IF(ISBLANK($A126),"",INDEX(Array_OtherEnergyCharges,MATCH($A126,List_OtherEnergyMeters,0),ROUNDUP((COLUMN()+1)/3-2,0)))</f>
        <v/>
      </c>
      <c r="J126" s="127"/>
      <c r="K126" s="137"/>
      <c r="L126" s="58" t="str" cm="1">
        <f>IF(ISBLANK($A126),"",INDEX(Array_OtherEnergyCharges,MATCH($A126,List_OtherEnergyMeters,0),ROUNDUP((COLUMN()+1)/3-2,0)))</f>
        <v/>
      </c>
      <c r="M126" s="127"/>
      <c r="N126" s="137"/>
      <c r="O126" s="58" t="str" cm="1">
        <f>IF(ISBLANK($A126),"",INDEX(Array_OtherEnergyCharges,MATCH($A126,List_OtherEnergyMeters,0),ROUNDUP((COLUMN()+1)/3-2,0)))</f>
        <v/>
      </c>
      <c r="P126" s="127"/>
      <c r="Q126" s="137"/>
      <c r="R126" s="58" t="str" cm="1">
        <f>IF(ISBLANK($A126),"",INDEX(Array_OtherEnergyCharges,MATCH($A126,List_OtherEnergyMeters,0),ROUNDUP((COLUMN()+1)/3-2,0)))</f>
        <v/>
      </c>
      <c r="S126" s="127"/>
      <c r="T126" s="137"/>
    </row>
    <row r="127" spans="1:20" x14ac:dyDescent="0.3">
      <c r="A127" s="126"/>
      <c r="B127" s="133"/>
      <c r="C127" s="127"/>
      <c r="D127" s="138"/>
      <c r="E127" s="137"/>
      <c r="F127" s="58" t="str" cm="1">
        <f>IF(ISBLANK($A127),"",INDEX(Array_OtherEnergyCharges,MATCH($A127,List_OtherEnergyMeters,0),ROUNDUP((COLUMN()+1)/3-2,0)))</f>
        <v/>
      </c>
      <c r="G127" s="127"/>
      <c r="H127" s="137"/>
      <c r="I127" s="58" t="str" cm="1">
        <f>IF(ISBLANK($A127),"",INDEX(Array_OtherEnergyCharges,MATCH($A127,List_OtherEnergyMeters,0),ROUNDUP((COLUMN()+1)/3-2,0)))</f>
        <v/>
      </c>
      <c r="J127" s="127"/>
      <c r="K127" s="137"/>
      <c r="L127" s="58" t="str" cm="1">
        <f>IF(ISBLANK($A127),"",INDEX(Array_OtherEnergyCharges,MATCH($A127,List_OtherEnergyMeters,0),ROUNDUP((COLUMN()+1)/3-2,0)))</f>
        <v/>
      </c>
      <c r="M127" s="127"/>
      <c r="N127" s="137"/>
      <c r="O127" s="58" t="str" cm="1">
        <f>IF(ISBLANK($A127),"",INDEX(Array_OtherEnergyCharges,MATCH($A127,List_OtherEnergyMeters,0),ROUNDUP((COLUMN()+1)/3-2,0)))</f>
        <v/>
      </c>
      <c r="P127" s="127"/>
      <c r="Q127" s="137"/>
      <c r="R127" s="58" t="str" cm="1">
        <f>IF(ISBLANK($A127),"",INDEX(Array_OtherEnergyCharges,MATCH($A127,List_OtherEnergyMeters,0),ROUNDUP((COLUMN()+1)/3-2,0)))</f>
        <v/>
      </c>
      <c r="S127" s="127"/>
      <c r="T127" s="137"/>
    </row>
    <row r="128" spans="1:20" x14ac:dyDescent="0.3">
      <c r="A128" s="126"/>
      <c r="B128" s="133"/>
      <c r="C128" s="127"/>
      <c r="D128" s="138"/>
      <c r="E128" s="137"/>
      <c r="F128" s="58" t="str" cm="1">
        <f>IF(ISBLANK($A128),"",INDEX(Array_OtherEnergyCharges,MATCH($A128,List_OtherEnergyMeters,0),ROUNDUP((COLUMN()+1)/3-2,0)))</f>
        <v/>
      </c>
      <c r="G128" s="127"/>
      <c r="H128" s="137"/>
      <c r="I128" s="58" t="str" cm="1">
        <f>IF(ISBLANK($A128),"",INDEX(Array_OtherEnergyCharges,MATCH($A128,List_OtherEnergyMeters,0),ROUNDUP((COLUMN()+1)/3-2,0)))</f>
        <v/>
      </c>
      <c r="J128" s="127"/>
      <c r="K128" s="137"/>
      <c r="L128" s="58" t="str" cm="1">
        <f>IF(ISBLANK($A128),"",INDEX(Array_OtherEnergyCharges,MATCH($A128,List_OtherEnergyMeters,0),ROUNDUP((COLUMN()+1)/3-2,0)))</f>
        <v/>
      </c>
      <c r="M128" s="127"/>
      <c r="N128" s="137"/>
      <c r="O128" s="58" t="str" cm="1">
        <f>IF(ISBLANK($A128),"",INDEX(Array_OtherEnergyCharges,MATCH($A128,List_OtherEnergyMeters,0),ROUNDUP((COLUMN()+1)/3-2,0)))</f>
        <v/>
      </c>
      <c r="P128" s="127"/>
      <c r="Q128" s="137"/>
      <c r="R128" s="58" t="str" cm="1">
        <f>IF(ISBLANK($A128),"",INDEX(Array_OtherEnergyCharges,MATCH($A128,List_OtherEnergyMeters,0),ROUNDUP((COLUMN()+1)/3-2,0)))</f>
        <v/>
      </c>
      <c r="S128" s="127"/>
      <c r="T128" s="137"/>
    </row>
    <row r="129" spans="1:20" x14ac:dyDescent="0.3">
      <c r="A129" s="126"/>
      <c r="B129" s="133"/>
      <c r="C129" s="127"/>
      <c r="D129" s="138"/>
      <c r="E129" s="137"/>
      <c r="F129" s="58" t="str" cm="1">
        <f>IF(ISBLANK($A129),"",INDEX(Array_OtherEnergyCharges,MATCH($A129,List_OtherEnergyMeters,0),ROUNDUP((COLUMN()+1)/3-2,0)))</f>
        <v/>
      </c>
      <c r="G129" s="127"/>
      <c r="H129" s="137"/>
      <c r="I129" s="58" t="str" cm="1">
        <f>IF(ISBLANK($A129),"",INDEX(Array_OtherEnergyCharges,MATCH($A129,List_OtherEnergyMeters,0),ROUNDUP((COLUMN()+1)/3-2,0)))</f>
        <v/>
      </c>
      <c r="J129" s="127"/>
      <c r="K129" s="137"/>
      <c r="L129" s="58" t="str" cm="1">
        <f>IF(ISBLANK($A129),"",INDEX(Array_OtherEnergyCharges,MATCH($A129,List_OtherEnergyMeters,0),ROUNDUP((COLUMN()+1)/3-2,0)))</f>
        <v/>
      </c>
      <c r="M129" s="127"/>
      <c r="N129" s="137"/>
      <c r="O129" s="58" t="str" cm="1">
        <f>IF(ISBLANK($A129),"",INDEX(Array_OtherEnergyCharges,MATCH($A129,List_OtherEnergyMeters,0),ROUNDUP((COLUMN()+1)/3-2,0)))</f>
        <v/>
      </c>
      <c r="P129" s="127"/>
      <c r="Q129" s="137"/>
      <c r="R129" s="58" t="str" cm="1">
        <f>IF(ISBLANK($A129),"",INDEX(Array_OtherEnergyCharges,MATCH($A129,List_OtherEnergyMeters,0),ROUNDUP((COLUMN()+1)/3-2,0)))</f>
        <v/>
      </c>
      <c r="S129" s="127"/>
      <c r="T129" s="137"/>
    </row>
    <row r="130" spans="1:20" x14ac:dyDescent="0.3">
      <c r="A130" s="126"/>
      <c r="B130" s="133"/>
      <c r="C130" s="127"/>
      <c r="D130" s="138"/>
      <c r="E130" s="137"/>
      <c r="F130" s="58" t="str" cm="1">
        <f>IF(ISBLANK($A130),"",INDEX(Array_OtherEnergyCharges,MATCH($A130,List_OtherEnergyMeters,0),ROUNDUP((COLUMN()+1)/3-2,0)))</f>
        <v/>
      </c>
      <c r="G130" s="127"/>
      <c r="H130" s="137"/>
      <c r="I130" s="58" t="str" cm="1">
        <f>IF(ISBLANK($A130),"",INDEX(Array_OtherEnergyCharges,MATCH($A130,List_OtherEnergyMeters,0),ROUNDUP((COLUMN()+1)/3-2,0)))</f>
        <v/>
      </c>
      <c r="J130" s="127"/>
      <c r="K130" s="137"/>
      <c r="L130" s="58" t="str" cm="1">
        <f>IF(ISBLANK($A130),"",INDEX(Array_OtherEnergyCharges,MATCH($A130,List_OtherEnergyMeters,0),ROUNDUP((COLUMN()+1)/3-2,0)))</f>
        <v/>
      </c>
      <c r="M130" s="127"/>
      <c r="N130" s="137"/>
      <c r="O130" s="58" t="str" cm="1">
        <f>IF(ISBLANK($A130),"",INDEX(Array_OtherEnergyCharges,MATCH($A130,List_OtherEnergyMeters,0),ROUNDUP((COLUMN()+1)/3-2,0)))</f>
        <v/>
      </c>
      <c r="P130" s="127"/>
      <c r="Q130" s="137"/>
      <c r="R130" s="58" t="str" cm="1">
        <f>IF(ISBLANK($A130),"",INDEX(Array_OtherEnergyCharges,MATCH($A130,List_OtherEnergyMeters,0),ROUNDUP((COLUMN()+1)/3-2,0)))</f>
        <v/>
      </c>
      <c r="S130" s="127"/>
      <c r="T130" s="137"/>
    </row>
    <row r="131" spans="1:20" x14ac:dyDescent="0.3">
      <c r="A131" s="126"/>
      <c r="B131" s="133"/>
      <c r="C131" s="127"/>
      <c r="D131" s="138"/>
      <c r="E131" s="137"/>
      <c r="F131" s="58" t="str" cm="1">
        <f>IF(ISBLANK($A131),"",INDEX(Array_OtherEnergyCharges,MATCH($A131,List_OtherEnergyMeters,0),ROUNDUP((COLUMN()+1)/3-2,0)))</f>
        <v/>
      </c>
      <c r="G131" s="127"/>
      <c r="H131" s="137"/>
      <c r="I131" s="58" t="str" cm="1">
        <f>IF(ISBLANK($A131),"",INDEX(Array_OtherEnergyCharges,MATCH($A131,List_OtherEnergyMeters,0),ROUNDUP((COLUMN()+1)/3-2,0)))</f>
        <v/>
      </c>
      <c r="J131" s="127"/>
      <c r="K131" s="137"/>
      <c r="L131" s="58" t="str" cm="1">
        <f>IF(ISBLANK($A131),"",INDEX(Array_OtherEnergyCharges,MATCH($A131,List_OtherEnergyMeters,0),ROUNDUP((COLUMN()+1)/3-2,0)))</f>
        <v/>
      </c>
      <c r="M131" s="127"/>
      <c r="N131" s="137"/>
      <c r="O131" s="58" t="str" cm="1">
        <f>IF(ISBLANK($A131),"",INDEX(Array_OtherEnergyCharges,MATCH($A131,List_OtherEnergyMeters,0),ROUNDUP((COLUMN()+1)/3-2,0)))</f>
        <v/>
      </c>
      <c r="P131" s="127"/>
      <c r="Q131" s="137"/>
      <c r="R131" s="58" t="str" cm="1">
        <f>IF(ISBLANK($A131),"",INDEX(Array_OtherEnergyCharges,MATCH($A131,List_OtherEnergyMeters,0),ROUNDUP((COLUMN()+1)/3-2,0)))</f>
        <v/>
      </c>
      <c r="S131" s="127"/>
      <c r="T131" s="137"/>
    </row>
    <row r="132" spans="1:20" x14ac:dyDescent="0.3">
      <c r="A132" s="126"/>
      <c r="B132" s="133"/>
      <c r="C132" s="127"/>
      <c r="D132" s="138"/>
      <c r="E132" s="137"/>
      <c r="F132" s="58" t="str" cm="1">
        <f>IF(ISBLANK($A132),"",INDEX(Array_OtherEnergyCharges,MATCH($A132,List_OtherEnergyMeters,0),ROUNDUP((COLUMN()+1)/3-2,0)))</f>
        <v/>
      </c>
      <c r="G132" s="127"/>
      <c r="H132" s="137"/>
      <c r="I132" s="58" t="str" cm="1">
        <f>IF(ISBLANK($A132),"",INDEX(Array_OtherEnergyCharges,MATCH($A132,List_OtherEnergyMeters,0),ROUNDUP((COLUMN()+1)/3-2,0)))</f>
        <v/>
      </c>
      <c r="J132" s="127"/>
      <c r="K132" s="137"/>
      <c r="L132" s="58" t="str" cm="1">
        <f>IF(ISBLANK($A132),"",INDEX(Array_OtherEnergyCharges,MATCH($A132,List_OtherEnergyMeters,0),ROUNDUP((COLUMN()+1)/3-2,0)))</f>
        <v/>
      </c>
      <c r="M132" s="127"/>
      <c r="N132" s="137"/>
      <c r="O132" s="58" t="str" cm="1">
        <f>IF(ISBLANK($A132),"",INDEX(Array_OtherEnergyCharges,MATCH($A132,List_OtherEnergyMeters,0),ROUNDUP((COLUMN()+1)/3-2,0)))</f>
        <v/>
      </c>
      <c r="P132" s="127"/>
      <c r="Q132" s="137"/>
      <c r="R132" s="58" t="str" cm="1">
        <f>IF(ISBLANK($A132),"",INDEX(Array_OtherEnergyCharges,MATCH($A132,List_OtherEnergyMeters,0),ROUNDUP((COLUMN()+1)/3-2,0)))</f>
        <v/>
      </c>
      <c r="S132" s="127"/>
      <c r="T132" s="137"/>
    </row>
    <row r="133" spans="1:20" x14ac:dyDescent="0.3">
      <c r="A133" s="126"/>
      <c r="B133" s="133"/>
      <c r="C133" s="127"/>
      <c r="D133" s="138"/>
      <c r="E133" s="137"/>
      <c r="F133" s="58" t="str" cm="1">
        <f>IF(ISBLANK($A133),"",INDEX(Array_OtherEnergyCharges,MATCH($A133,List_OtherEnergyMeters,0),ROUNDUP((COLUMN()+1)/3-2,0)))</f>
        <v/>
      </c>
      <c r="G133" s="127"/>
      <c r="H133" s="137"/>
      <c r="I133" s="58" t="str" cm="1">
        <f>IF(ISBLANK($A133),"",INDEX(Array_OtherEnergyCharges,MATCH($A133,List_OtherEnergyMeters,0),ROUNDUP((COLUMN()+1)/3-2,0)))</f>
        <v/>
      </c>
      <c r="J133" s="127"/>
      <c r="K133" s="137"/>
      <c r="L133" s="58" t="str" cm="1">
        <f>IF(ISBLANK($A133),"",INDEX(Array_OtherEnergyCharges,MATCH($A133,List_OtherEnergyMeters,0),ROUNDUP((COLUMN()+1)/3-2,0)))</f>
        <v/>
      </c>
      <c r="M133" s="127"/>
      <c r="N133" s="137"/>
      <c r="O133" s="58" t="str" cm="1">
        <f>IF(ISBLANK($A133),"",INDEX(Array_OtherEnergyCharges,MATCH($A133,List_OtherEnergyMeters,0),ROUNDUP((COLUMN()+1)/3-2,0)))</f>
        <v/>
      </c>
      <c r="P133" s="127"/>
      <c r="Q133" s="137"/>
      <c r="R133" s="58" t="str" cm="1">
        <f>IF(ISBLANK($A133),"",INDEX(Array_OtherEnergyCharges,MATCH($A133,List_OtherEnergyMeters,0),ROUNDUP((COLUMN()+1)/3-2,0)))</f>
        <v/>
      </c>
      <c r="S133" s="127"/>
      <c r="T133" s="137"/>
    </row>
    <row r="134" spans="1:20" x14ac:dyDescent="0.3">
      <c r="A134" s="126"/>
      <c r="B134" s="133"/>
      <c r="C134" s="127"/>
      <c r="D134" s="138"/>
      <c r="E134" s="137"/>
      <c r="F134" s="58" t="str" cm="1">
        <f>IF(ISBLANK($A134),"",INDEX(Array_OtherEnergyCharges,MATCH($A134,List_OtherEnergyMeters,0),ROUNDUP((COLUMN()+1)/3-2,0)))</f>
        <v/>
      </c>
      <c r="G134" s="127"/>
      <c r="H134" s="137"/>
      <c r="I134" s="58" t="str" cm="1">
        <f>IF(ISBLANK($A134),"",INDEX(Array_OtherEnergyCharges,MATCH($A134,List_OtherEnergyMeters,0),ROUNDUP((COLUMN()+1)/3-2,0)))</f>
        <v/>
      </c>
      <c r="J134" s="127"/>
      <c r="K134" s="137"/>
      <c r="L134" s="58" t="str" cm="1">
        <f>IF(ISBLANK($A134),"",INDEX(Array_OtherEnergyCharges,MATCH($A134,List_OtherEnergyMeters,0),ROUNDUP((COLUMN()+1)/3-2,0)))</f>
        <v/>
      </c>
      <c r="M134" s="127"/>
      <c r="N134" s="137"/>
      <c r="O134" s="58" t="str" cm="1">
        <f>IF(ISBLANK($A134),"",INDEX(Array_OtherEnergyCharges,MATCH($A134,List_OtherEnergyMeters,0),ROUNDUP((COLUMN()+1)/3-2,0)))</f>
        <v/>
      </c>
      <c r="P134" s="127"/>
      <c r="Q134" s="137"/>
      <c r="R134" s="58" t="str" cm="1">
        <f>IF(ISBLANK($A134),"",INDEX(Array_OtherEnergyCharges,MATCH($A134,List_OtherEnergyMeters,0),ROUNDUP((COLUMN()+1)/3-2,0)))</f>
        <v/>
      </c>
      <c r="S134" s="127"/>
      <c r="T134" s="137"/>
    </row>
    <row r="135" spans="1:20" x14ac:dyDescent="0.3">
      <c r="A135" s="126"/>
      <c r="B135" s="133"/>
      <c r="C135" s="127"/>
      <c r="D135" s="138"/>
      <c r="E135" s="137"/>
      <c r="F135" s="58" t="str" cm="1">
        <f>IF(ISBLANK($A135),"",INDEX(Array_OtherEnergyCharges,MATCH($A135,List_OtherEnergyMeters,0),ROUNDUP((COLUMN()+1)/3-2,0)))</f>
        <v/>
      </c>
      <c r="G135" s="127"/>
      <c r="H135" s="137"/>
      <c r="I135" s="58" t="str" cm="1">
        <f>IF(ISBLANK($A135),"",INDEX(Array_OtherEnergyCharges,MATCH($A135,List_OtherEnergyMeters,0),ROUNDUP((COLUMN()+1)/3-2,0)))</f>
        <v/>
      </c>
      <c r="J135" s="127"/>
      <c r="K135" s="137"/>
      <c r="L135" s="58" t="str" cm="1">
        <f>IF(ISBLANK($A135),"",INDEX(Array_OtherEnergyCharges,MATCH($A135,List_OtherEnergyMeters,0),ROUNDUP((COLUMN()+1)/3-2,0)))</f>
        <v/>
      </c>
      <c r="M135" s="127"/>
      <c r="N135" s="137"/>
      <c r="O135" s="58" t="str" cm="1">
        <f>IF(ISBLANK($A135),"",INDEX(Array_OtherEnergyCharges,MATCH($A135,List_OtherEnergyMeters,0),ROUNDUP((COLUMN()+1)/3-2,0)))</f>
        <v/>
      </c>
      <c r="P135" s="127"/>
      <c r="Q135" s="137"/>
      <c r="R135" s="58" t="str" cm="1">
        <f>IF(ISBLANK($A135),"",INDEX(Array_OtherEnergyCharges,MATCH($A135,List_OtherEnergyMeters,0),ROUNDUP((COLUMN()+1)/3-2,0)))</f>
        <v/>
      </c>
      <c r="S135" s="127"/>
      <c r="T135" s="137"/>
    </row>
    <row r="136" spans="1:20" x14ac:dyDescent="0.3">
      <c r="A136" s="126"/>
      <c r="B136" s="133"/>
      <c r="C136" s="127"/>
      <c r="D136" s="138"/>
      <c r="E136" s="137"/>
      <c r="F136" s="58" t="str" cm="1">
        <f>IF(ISBLANK($A136),"",INDEX(Array_OtherEnergyCharges,MATCH($A136,List_OtherEnergyMeters,0),ROUNDUP((COLUMN()+1)/3-2,0)))</f>
        <v/>
      </c>
      <c r="G136" s="127"/>
      <c r="H136" s="137"/>
      <c r="I136" s="58" t="str" cm="1">
        <f>IF(ISBLANK($A136),"",INDEX(Array_OtherEnergyCharges,MATCH($A136,List_OtherEnergyMeters,0),ROUNDUP((COLUMN()+1)/3-2,0)))</f>
        <v/>
      </c>
      <c r="J136" s="127"/>
      <c r="K136" s="137"/>
      <c r="L136" s="58" t="str" cm="1">
        <f>IF(ISBLANK($A136),"",INDEX(Array_OtherEnergyCharges,MATCH($A136,List_OtherEnergyMeters,0),ROUNDUP((COLUMN()+1)/3-2,0)))</f>
        <v/>
      </c>
      <c r="M136" s="127"/>
      <c r="N136" s="137"/>
      <c r="O136" s="58" t="str" cm="1">
        <f>IF(ISBLANK($A136),"",INDEX(Array_OtherEnergyCharges,MATCH($A136,List_OtherEnergyMeters,0),ROUNDUP((COLUMN()+1)/3-2,0)))</f>
        <v/>
      </c>
      <c r="P136" s="127"/>
      <c r="Q136" s="137"/>
      <c r="R136" s="58" t="str" cm="1">
        <f>IF(ISBLANK($A136),"",INDEX(Array_OtherEnergyCharges,MATCH($A136,List_OtherEnergyMeters,0),ROUNDUP((COLUMN()+1)/3-2,0)))</f>
        <v/>
      </c>
      <c r="S136" s="127"/>
      <c r="T136" s="137"/>
    </row>
    <row r="137" spans="1:20" x14ac:dyDescent="0.3">
      <c r="A137" s="126"/>
      <c r="B137" s="133"/>
      <c r="C137" s="127"/>
      <c r="D137" s="138"/>
      <c r="E137" s="137"/>
      <c r="F137" s="58" t="str" cm="1">
        <f>IF(ISBLANK($A137),"",INDEX(Array_OtherEnergyCharges,MATCH($A137,List_OtherEnergyMeters,0),ROUNDUP((COLUMN()+1)/3-2,0)))</f>
        <v/>
      </c>
      <c r="G137" s="127"/>
      <c r="H137" s="137"/>
      <c r="I137" s="58" t="str" cm="1">
        <f>IF(ISBLANK($A137),"",INDEX(Array_OtherEnergyCharges,MATCH($A137,List_OtherEnergyMeters,0),ROUNDUP((COLUMN()+1)/3-2,0)))</f>
        <v/>
      </c>
      <c r="J137" s="127"/>
      <c r="K137" s="137"/>
      <c r="L137" s="58" t="str" cm="1">
        <f>IF(ISBLANK($A137),"",INDEX(Array_OtherEnergyCharges,MATCH($A137,List_OtherEnergyMeters,0),ROUNDUP((COLUMN()+1)/3-2,0)))</f>
        <v/>
      </c>
      <c r="M137" s="127"/>
      <c r="N137" s="137"/>
      <c r="O137" s="58" t="str" cm="1">
        <f>IF(ISBLANK($A137),"",INDEX(Array_OtherEnergyCharges,MATCH($A137,List_OtherEnergyMeters,0),ROUNDUP((COLUMN()+1)/3-2,0)))</f>
        <v/>
      </c>
      <c r="P137" s="127"/>
      <c r="Q137" s="137"/>
      <c r="R137" s="58" t="str" cm="1">
        <f>IF(ISBLANK($A137),"",INDEX(Array_OtherEnergyCharges,MATCH($A137,List_OtherEnergyMeters,0),ROUNDUP((COLUMN()+1)/3-2,0)))</f>
        <v/>
      </c>
      <c r="S137" s="127"/>
      <c r="T137" s="137"/>
    </row>
    <row r="138" spans="1:20" x14ac:dyDescent="0.3">
      <c r="A138" s="126"/>
      <c r="B138" s="133"/>
      <c r="C138" s="127"/>
      <c r="D138" s="138"/>
      <c r="E138" s="137"/>
      <c r="F138" s="58" t="str" cm="1">
        <f>IF(ISBLANK($A138),"",INDEX(Array_OtherEnergyCharges,MATCH($A138,List_OtherEnergyMeters,0),ROUNDUP((COLUMN()+1)/3-2,0)))</f>
        <v/>
      </c>
      <c r="G138" s="127"/>
      <c r="H138" s="137"/>
      <c r="I138" s="58" t="str" cm="1">
        <f>IF(ISBLANK($A138),"",INDEX(Array_OtherEnergyCharges,MATCH($A138,List_OtherEnergyMeters,0),ROUNDUP((COLUMN()+1)/3-2,0)))</f>
        <v/>
      </c>
      <c r="J138" s="127"/>
      <c r="K138" s="137"/>
      <c r="L138" s="58" t="str" cm="1">
        <f>IF(ISBLANK($A138),"",INDEX(Array_OtherEnergyCharges,MATCH($A138,List_OtherEnergyMeters,0),ROUNDUP((COLUMN()+1)/3-2,0)))</f>
        <v/>
      </c>
      <c r="M138" s="127"/>
      <c r="N138" s="137"/>
      <c r="O138" s="58" t="str" cm="1">
        <f>IF(ISBLANK($A138),"",INDEX(Array_OtherEnergyCharges,MATCH($A138,List_OtherEnergyMeters,0),ROUNDUP((COLUMN()+1)/3-2,0)))</f>
        <v/>
      </c>
      <c r="P138" s="127"/>
      <c r="Q138" s="137"/>
      <c r="R138" s="58" t="str" cm="1">
        <f>IF(ISBLANK($A138),"",INDEX(Array_OtherEnergyCharges,MATCH($A138,List_OtherEnergyMeters,0),ROUNDUP((COLUMN()+1)/3-2,0)))</f>
        <v/>
      </c>
      <c r="S138" s="127"/>
      <c r="T138" s="137"/>
    </row>
    <row r="139" spans="1:20" x14ac:dyDescent="0.3">
      <c r="A139" s="126"/>
      <c r="B139" s="133"/>
      <c r="C139" s="127"/>
      <c r="D139" s="138"/>
      <c r="E139" s="137"/>
      <c r="F139" s="58" t="str" cm="1">
        <f>IF(ISBLANK($A139),"",INDEX(Array_OtherEnergyCharges,MATCH($A139,List_OtherEnergyMeters,0),ROUNDUP((COLUMN()+1)/3-2,0)))</f>
        <v/>
      </c>
      <c r="G139" s="127"/>
      <c r="H139" s="137"/>
      <c r="I139" s="58" t="str" cm="1">
        <f>IF(ISBLANK($A139),"",INDEX(Array_OtherEnergyCharges,MATCH($A139,List_OtherEnergyMeters,0),ROUNDUP((COLUMN()+1)/3-2,0)))</f>
        <v/>
      </c>
      <c r="J139" s="127"/>
      <c r="K139" s="137"/>
      <c r="L139" s="58" t="str" cm="1">
        <f>IF(ISBLANK($A139),"",INDEX(Array_OtherEnergyCharges,MATCH($A139,List_OtherEnergyMeters,0),ROUNDUP((COLUMN()+1)/3-2,0)))</f>
        <v/>
      </c>
      <c r="M139" s="127"/>
      <c r="N139" s="137"/>
      <c r="O139" s="58" t="str" cm="1">
        <f>IF(ISBLANK($A139),"",INDEX(Array_OtherEnergyCharges,MATCH($A139,List_OtherEnergyMeters,0),ROUNDUP((COLUMN()+1)/3-2,0)))</f>
        <v/>
      </c>
      <c r="P139" s="127"/>
      <c r="Q139" s="137"/>
      <c r="R139" s="58" t="str" cm="1">
        <f>IF(ISBLANK($A139),"",INDEX(Array_OtherEnergyCharges,MATCH($A139,List_OtherEnergyMeters,0),ROUNDUP((COLUMN()+1)/3-2,0)))</f>
        <v/>
      </c>
      <c r="S139" s="127"/>
      <c r="T139" s="137"/>
    </row>
    <row r="140" spans="1:20" x14ac:dyDescent="0.3">
      <c r="A140" s="126"/>
      <c r="B140" s="133"/>
      <c r="C140" s="127"/>
      <c r="D140" s="138"/>
      <c r="E140" s="137"/>
      <c r="F140" s="58" t="str" cm="1">
        <f>IF(ISBLANK($A140),"",INDEX(Array_OtherEnergyCharges,MATCH($A140,List_OtherEnergyMeters,0),ROUNDUP((COLUMN()+1)/3-2,0)))</f>
        <v/>
      </c>
      <c r="G140" s="127"/>
      <c r="H140" s="137"/>
      <c r="I140" s="58" t="str" cm="1">
        <f>IF(ISBLANK($A140),"",INDEX(Array_OtherEnergyCharges,MATCH($A140,List_OtherEnergyMeters,0),ROUNDUP((COLUMN()+1)/3-2,0)))</f>
        <v/>
      </c>
      <c r="J140" s="127"/>
      <c r="K140" s="137"/>
      <c r="L140" s="58" t="str" cm="1">
        <f>IF(ISBLANK($A140),"",INDEX(Array_OtherEnergyCharges,MATCH($A140,List_OtherEnergyMeters,0),ROUNDUP((COLUMN()+1)/3-2,0)))</f>
        <v/>
      </c>
      <c r="M140" s="127"/>
      <c r="N140" s="137"/>
      <c r="O140" s="58" t="str" cm="1">
        <f>IF(ISBLANK($A140),"",INDEX(Array_OtherEnergyCharges,MATCH($A140,List_OtherEnergyMeters,0),ROUNDUP((COLUMN()+1)/3-2,0)))</f>
        <v/>
      </c>
      <c r="P140" s="127"/>
      <c r="Q140" s="137"/>
      <c r="R140" s="58" t="str" cm="1">
        <f>IF(ISBLANK($A140),"",INDEX(Array_OtherEnergyCharges,MATCH($A140,List_OtherEnergyMeters,0),ROUNDUP((COLUMN()+1)/3-2,0)))</f>
        <v/>
      </c>
      <c r="S140" s="127"/>
      <c r="T140" s="137"/>
    </row>
    <row r="141" spans="1:20" x14ac:dyDescent="0.3">
      <c r="A141" s="126"/>
      <c r="B141" s="133"/>
      <c r="C141" s="127"/>
      <c r="D141" s="138"/>
      <c r="E141" s="137"/>
      <c r="F141" s="58" t="str" cm="1">
        <f>IF(ISBLANK($A141),"",INDEX(Array_OtherEnergyCharges,MATCH($A141,List_OtherEnergyMeters,0),ROUNDUP((COLUMN()+1)/3-2,0)))</f>
        <v/>
      </c>
      <c r="G141" s="127"/>
      <c r="H141" s="137"/>
      <c r="I141" s="58" t="str" cm="1">
        <f>IF(ISBLANK($A141),"",INDEX(Array_OtherEnergyCharges,MATCH($A141,List_OtherEnergyMeters,0),ROUNDUP((COLUMN()+1)/3-2,0)))</f>
        <v/>
      </c>
      <c r="J141" s="127"/>
      <c r="K141" s="137"/>
      <c r="L141" s="58" t="str" cm="1">
        <f>IF(ISBLANK($A141),"",INDEX(Array_OtherEnergyCharges,MATCH($A141,List_OtherEnergyMeters,0),ROUNDUP((COLUMN()+1)/3-2,0)))</f>
        <v/>
      </c>
      <c r="M141" s="127"/>
      <c r="N141" s="137"/>
      <c r="O141" s="58" t="str" cm="1">
        <f>IF(ISBLANK($A141),"",INDEX(Array_OtherEnergyCharges,MATCH($A141,List_OtherEnergyMeters,0),ROUNDUP((COLUMN()+1)/3-2,0)))</f>
        <v/>
      </c>
      <c r="P141" s="127"/>
      <c r="Q141" s="137"/>
      <c r="R141" s="58" t="str" cm="1">
        <f>IF(ISBLANK($A141),"",INDEX(Array_OtherEnergyCharges,MATCH($A141,List_OtherEnergyMeters,0),ROUNDUP((COLUMN()+1)/3-2,0)))</f>
        <v/>
      </c>
      <c r="S141" s="127"/>
      <c r="T141" s="137"/>
    </row>
    <row r="142" spans="1:20" x14ac:dyDescent="0.3">
      <c r="A142" s="126"/>
      <c r="B142" s="133"/>
      <c r="C142" s="127"/>
      <c r="D142" s="138"/>
      <c r="E142" s="137"/>
      <c r="F142" s="58" t="str" cm="1">
        <f>IF(ISBLANK($A142),"",INDEX(Array_OtherEnergyCharges,MATCH($A142,List_OtherEnergyMeters,0),ROUNDUP((COLUMN()+1)/3-2,0)))</f>
        <v/>
      </c>
      <c r="G142" s="127"/>
      <c r="H142" s="137"/>
      <c r="I142" s="58" t="str" cm="1">
        <f>IF(ISBLANK($A142),"",INDEX(Array_OtherEnergyCharges,MATCH($A142,List_OtherEnergyMeters,0),ROUNDUP((COLUMN()+1)/3-2,0)))</f>
        <v/>
      </c>
      <c r="J142" s="127"/>
      <c r="K142" s="137"/>
      <c r="L142" s="58" t="str" cm="1">
        <f>IF(ISBLANK($A142),"",INDEX(Array_OtherEnergyCharges,MATCH($A142,List_OtherEnergyMeters,0),ROUNDUP((COLUMN()+1)/3-2,0)))</f>
        <v/>
      </c>
      <c r="M142" s="127"/>
      <c r="N142" s="137"/>
      <c r="O142" s="58" t="str" cm="1">
        <f>IF(ISBLANK($A142),"",INDEX(Array_OtherEnergyCharges,MATCH($A142,List_OtherEnergyMeters,0),ROUNDUP((COLUMN()+1)/3-2,0)))</f>
        <v/>
      </c>
      <c r="P142" s="127"/>
      <c r="Q142" s="137"/>
      <c r="R142" s="58" t="str" cm="1">
        <f>IF(ISBLANK($A142),"",INDEX(Array_OtherEnergyCharges,MATCH($A142,List_OtherEnergyMeters,0),ROUNDUP((COLUMN()+1)/3-2,0)))</f>
        <v/>
      </c>
      <c r="S142" s="127"/>
      <c r="T142" s="137"/>
    </row>
    <row r="143" spans="1:20" x14ac:dyDescent="0.3">
      <c r="A143" s="126"/>
      <c r="B143" s="133"/>
      <c r="C143" s="127"/>
      <c r="D143" s="138"/>
      <c r="E143" s="137"/>
      <c r="F143" s="58" t="str" cm="1">
        <f>IF(ISBLANK($A143),"",INDEX(Array_OtherEnergyCharges,MATCH($A143,List_OtherEnergyMeters,0),ROUNDUP((COLUMN()+1)/3-2,0)))</f>
        <v/>
      </c>
      <c r="G143" s="127"/>
      <c r="H143" s="137"/>
      <c r="I143" s="58" t="str" cm="1">
        <f>IF(ISBLANK($A143),"",INDEX(Array_OtherEnergyCharges,MATCH($A143,List_OtherEnergyMeters,0),ROUNDUP((COLUMN()+1)/3-2,0)))</f>
        <v/>
      </c>
      <c r="J143" s="127"/>
      <c r="K143" s="137"/>
      <c r="L143" s="58" t="str" cm="1">
        <f>IF(ISBLANK($A143),"",INDEX(Array_OtherEnergyCharges,MATCH($A143,List_OtherEnergyMeters,0),ROUNDUP((COLUMN()+1)/3-2,0)))</f>
        <v/>
      </c>
      <c r="M143" s="127"/>
      <c r="N143" s="137"/>
      <c r="O143" s="58" t="str" cm="1">
        <f>IF(ISBLANK($A143),"",INDEX(Array_OtherEnergyCharges,MATCH($A143,List_OtherEnergyMeters,0),ROUNDUP((COLUMN()+1)/3-2,0)))</f>
        <v/>
      </c>
      <c r="P143" s="127"/>
      <c r="Q143" s="137"/>
      <c r="R143" s="58" t="str" cm="1">
        <f>IF(ISBLANK($A143),"",INDEX(Array_OtherEnergyCharges,MATCH($A143,List_OtherEnergyMeters,0),ROUNDUP((COLUMN()+1)/3-2,0)))</f>
        <v/>
      </c>
      <c r="S143" s="127"/>
      <c r="T143" s="137"/>
    </row>
    <row r="144" spans="1:20" x14ac:dyDescent="0.3">
      <c r="A144" s="126"/>
      <c r="B144" s="133"/>
      <c r="C144" s="127"/>
      <c r="D144" s="138"/>
      <c r="E144" s="137"/>
      <c r="F144" s="58" t="str" cm="1">
        <f>IF(ISBLANK($A144),"",INDEX(Array_OtherEnergyCharges,MATCH($A144,List_OtherEnergyMeters,0),ROUNDUP((COLUMN()+1)/3-2,0)))</f>
        <v/>
      </c>
      <c r="G144" s="127"/>
      <c r="H144" s="137"/>
      <c r="I144" s="58" t="str" cm="1">
        <f>IF(ISBLANK($A144),"",INDEX(Array_OtherEnergyCharges,MATCH($A144,List_OtherEnergyMeters,0),ROUNDUP((COLUMN()+1)/3-2,0)))</f>
        <v/>
      </c>
      <c r="J144" s="127"/>
      <c r="K144" s="137"/>
      <c r="L144" s="58" t="str" cm="1">
        <f>IF(ISBLANK($A144),"",INDEX(Array_OtherEnergyCharges,MATCH($A144,List_OtherEnergyMeters,0),ROUNDUP((COLUMN()+1)/3-2,0)))</f>
        <v/>
      </c>
      <c r="M144" s="127"/>
      <c r="N144" s="137"/>
      <c r="O144" s="58" t="str" cm="1">
        <f>IF(ISBLANK($A144),"",INDEX(Array_OtherEnergyCharges,MATCH($A144,List_OtherEnergyMeters,0),ROUNDUP((COLUMN()+1)/3-2,0)))</f>
        <v/>
      </c>
      <c r="P144" s="127"/>
      <c r="Q144" s="137"/>
      <c r="R144" s="58" t="str" cm="1">
        <f>IF(ISBLANK($A144),"",INDEX(Array_OtherEnergyCharges,MATCH($A144,List_OtherEnergyMeters,0),ROUNDUP((COLUMN()+1)/3-2,0)))</f>
        <v/>
      </c>
      <c r="S144" s="127"/>
      <c r="T144" s="137"/>
    </row>
    <row r="145" spans="1:20" x14ac:dyDescent="0.3">
      <c r="A145" s="126"/>
      <c r="B145" s="133"/>
      <c r="C145" s="127"/>
      <c r="D145" s="138"/>
      <c r="E145" s="137"/>
      <c r="F145" s="58" t="str" cm="1">
        <f>IF(ISBLANK($A145),"",INDEX(Array_OtherEnergyCharges,MATCH($A145,List_OtherEnergyMeters,0),ROUNDUP((COLUMN()+1)/3-2,0)))</f>
        <v/>
      </c>
      <c r="G145" s="127"/>
      <c r="H145" s="137"/>
      <c r="I145" s="58" t="str" cm="1">
        <f>IF(ISBLANK($A145),"",INDEX(Array_OtherEnergyCharges,MATCH($A145,List_OtherEnergyMeters,0),ROUNDUP((COLUMN()+1)/3-2,0)))</f>
        <v/>
      </c>
      <c r="J145" s="127"/>
      <c r="K145" s="137"/>
      <c r="L145" s="58" t="str" cm="1">
        <f>IF(ISBLANK($A145),"",INDEX(Array_OtherEnergyCharges,MATCH($A145,List_OtherEnergyMeters,0),ROUNDUP((COLUMN()+1)/3-2,0)))</f>
        <v/>
      </c>
      <c r="M145" s="127"/>
      <c r="N145" s="137"/>
      <c r="O145" s="58" t="str" cm="1">
        <f>IF(ISBLANK($A145),"",INDEX(Array_OtherEnergyCharges,MATCH($A145,List_OtherEnergyMeters,0),ROUNDUP((COLUMN()+1)/3-2,0)))</f>
        <v/>
      </c>
      <c r="P145" s="127"/>
      <c r="Q145" s="137"/>
      <c r="R145" s="58" t="str" cm="1">
        <f>IF(ISBLANK($A145),"",INDEX(Array_OtherEnergyCharges,MATCH($A145,List_OtherEnergyMeters,0),ROUNDUP((COLUMN()+1)/3-2,0)))</f>
        <v/>
      </c>
      <c r="S145" s="127"/>
      <c r="T145" s="137"/>
    </row>
    <row r="146" spans="1:20" x14ac:dyDescent="0.3">
      <c r="A146" s="126"/>
      <c r="B146" s="133"/>
      <c r="C146" s="127"/>
      <c r="D146" s="138"/>
      <c r="E146" s="137"/>
      <c r="F146" s="58" t="str" cm="1">
        <f>IF(ISBLANK($A146),"",INDEX(Array_OtherEnergyCharges,MATCH($A146,List_OtherEnergyMeters,0),ROUNDUP((COLUMN()+1)/3-2,0)))</f>
        <v/>
      </c>
      <c r="G146" s="127"/>
      <c r="H146" s="137"/>
      <c r="I146" s="58" t="str" cm="1">
        <f>IF(ISBLANK($A146),"",INDEX(Array_OtherEnergyCharges,MATCH($A146,List_OtherEnergyMeters,0),ROUNDUP((COLUMN()+1)/3-2,0)))</f>
        <v/>
      </c>
      <c r="J146" s="127"/>
      <c r="K146" s="137"/>
      <c r="L146" s="58" t="str" cm="1">
        <f>IF(ISBLANK($A146),"",INDEX(Array_OtherEnergyCharges,MATCH($A146,List_OtherEnergyMeters,0),ROUNDUP((COLUMN()+1)/3-2,0)))</f>
        <v/>
      </c>
      <c r="M146" s="127"/>
      <c r="N146" s="137"/>
      <c r="O146" s="58" t="str" cm="1">
        <f>IF(ISBLANK($A146),"",INDEX(Array_OtherEnergyCharges,MATCH($A146,List_OtherEnergyMeters,0),ROUNDUP((COLUMN()+1)/3-2,0)))</f>
        <v/>
      </c>
      <c r="P146" s="127"/>
      <c r="Q146" s="137"/>
      <c r="R146" s="58" t="str" cm="1">
        <f>IF(ISBLANK($A146),"",INDEX(Array_OtherEnergyCharges,MATCH($A146,List_OtherEnergyMeters,0),ROUNDUP((COLUMN()+1)/3-2,0)))</f>
        <v/>
      </c>
      <c r="S146" s="127"/>
      <c r="T146" s="137"/>
    </row>
    <row r="147" spans="1:20" x14ac:dyDescent="0.3">
      <c r="A147" s="126"/>
      <c r="B147" s="133"/>
      <c r="C147" s="127"/>
      <c r="D147" s="138"/>
      <c r="E147" s="137"/>
      <c r="F147" s="58" t="str" cm="1">
        <f>IF(ISBLANK($A147),"",INDEX(Array_OtherEnergyCharges,MATCH($A147,List_OtherEnergyMeters,0),ROUNDUP((COLUMN()+1)/3-2,0)))</f>
        <v/>
      </c>
      <c r="G147" s="127"/>
      <c r="H147" s="137"/>
      <c r="I147" s="58" t="str" cm="1">
        <f>IF(ISBLANK($A147),"",INDEX(Array_OtherEnergyCharges,MATCH($A147,List_OtherEnergyMeters,0),ROUNDUP((COLUMN()+1)/3-2,0)))</f>
        <v/>
      </c>
      <c r="J147" s="127"/>
      <c r="K147" s="137"/>
      <c r="L147" s="58" t="str" cm="1">
        <f>IF(ISBLANK($A147),"",INDEX(Array_OtherEnergyCharges,MATCH($A147,List_OtherEnergyMeters,0),ROUNDUP((COLUMN()+1)/3-2,0)))</f>
        <v/>
      </c>
      <c r="M147" s="127"/>
      <c r="N147" s="137"/>
      <c r="O147" s="58" t="str" cm="1">
        <f>IF(ISBLANK($A147),"",INDEX(Array_OtherEnergyCharges,MATCH($A147,List_OtherEnergyMeters,0),ROUNDUP((COLUMN()+1)/3-2,0)))</f>
        <v/>
      </c>
      <c r="P147" s="127"/>
      <c r="Q147" s="137"/>
      <c r="R147" s="58" t="str" cm="1">
        <f>IF(ISBLANK($A147),"",INDEX(Array_OtherEnergyCharges,MATCH($A147,List_OtherEnergyMeters,0),ROUNDUP((COLUMN()+1)/3-2,0)))</f>
        <v/>
      </c>
      <c r="S147" s="127"/>
      <c r="T147" s="137"/>
    </row>
    <row r="148" spans="1:20" x14ac:dyDescent="0.3">
      <c r="A148" s="126"/>
      <c r="B148" s="133"/>
      <c r="C148" s="127"/>
      <c r="D148" s="138"/>
      <c r="E148" s="137"/>
      <c r="F148" s="58" t="str" cm="1">
        <f>IF(ISBLANK($A148),"",INDEX(Array_OtherEnergyCharges,MATCH($A148,List_OtherEnergyMeters,0),ROUNDUP((COLUMN()+1)/3-2,0)))</f>
        <v/>
      </c>
      <c r="G148" s="127"/>
      <c r="H148" s="137"/>
      <c r="I148" s="58" t="str" cm="1">
        <f>IF(ISBLANK($A148),"",INDEX(Array_OtherEnergyCharges,MATCH($A148,List_OtherEnergyMeters,0),ROUNDUP((COLUMN()+1)/3-2,0)))</f>
        <v/>
      </c>
      <c r="J148" s="127"/>
      <c r="K148" s="137"/>
      <c r="L148" s="58" t="str" cm="1">
        <f>IF(ISBLANK($A148),"",INDEX(Array_OtherEnergyCharges,MATCH($A148,List_OtherEnergyMeters,0),ROUNDUP((COLUMN()+1)/3-2,0)))</f>
        <v/>
      </c>
      <c r="M148" s="127"/>
      <c r="N148" s="137"/>
      <c r="O148" s="58" t="str" cm="1">
        <f>IF(ISBLANK($A148),"",INDEX(Array_OtherEnergyCharges,MATCH($A148,List_OtherEnergyMeters,0),ROUNDUP((COLUMN()+1)/3-2,0)))</f>
        <v/>
      </c>
      <c r="P148" s="127"/>
      <c r="Q148" s="137"/>
      <c r="R148" s="58" t="str" cm="1">
        <f>IF(ISBLANK($A148),"",INDEX(Array_OtherEnergyCharges,MATCH($A148,List_OtherEnergyMeters,0),ROUNDUP((COLUMN()+1)/3-2,0)))</f>
        <v/>
      </c>
      <c r="S148" s="127"/>
      <c r="T148" s="137"/>
    </row>
    <row r="149" spans="1:20" x14ac:dyDescent="0.3">
      <c r="A149" s="126"/>
      <c r="B149" s="133"/>
      <c r="C149" s="127"/>
      <c r="D149" s="138"/>
      <c r="E149" s="137"/>
      <c r="F149" s="58" t="str" cm="1">
        <f>IF(ISBLANK($A149),"",INDEX(Array_OtherEnergyCharges,MATCH($A149,List_OtherEnergyMeters,0),ROUNDUP((COLUMN()+1)/3-2,0)))</f>
        <v/>
      </c>
      <c r="G149" s="127"/>
      <c r="H149" s="137"/>
      <c r="I149" s="58" t="str" cm="1">
        <f>IF(ISBLANK($A149),"",INDEX(Array_OtherEnergyCharges,MATCH($A149,List_OtherEnergyMeters,0),ROUNDUP((COLUMN()+1)/3-2,0)))</f>
        <v/>
      </c>
      <c r="J149" s="127"/>
      <c r="K149" s="137"/>
      <c r="L149" s="58" t="str" cm="1">
        <f>IF(ISBLANK($A149),"",INDEX(Array_OtherEnergyCharges,MATCH($A149,List_OtherEnergyMeters,0),ROUNDUP((COLUMN()+1)/3-2,0)))</f>
        <v/>
      </c>
      <c r="M149" s="127"/>
      <c r="N149" s="137"/>
      <c r="O149" s="58" t="str" cm="1">
        <f>IF(ISBLANK($A149),"",INDEX(Array_OtherEnergyCharges,MATCH($A149,List_OtherEnergyMeters,0),ROUNDUP((COLUMN()+1)/3-2,0)))</f>
        <v/>
      </c>
      <c r="P149" s="127"/>
      <c r="Q149" s="137"/>
      <c r="R149" s="58" t="str" cm="1">
        <f>IF(ISBLANK($A149),"",INDEX(Array_OtherEnergyCharges,MATCH($A149,List_OtherEnergyMeters,0),ROUNDUP((COLUMN()+1)/3-2,0)))</f>
        <v/>
      </c>
      <c r="S149" s="127"/>
      <c r="T149" s="137"/>
    </row>
    <row r="150" spans="1:20" x14ac:dyDescent="0.3">
      <c r="A150" s="126"/>
      <c r="B150" s="133"/>
      <c r="C150" s="127"/>
      <c r="D150" s="138"/>
      <c r="E150" s="137"/>
      <c r="F150" s="58" t="str" cm="1">
        <f>IF(ISBLANK($A150),"",INDEX(Array_OtherEnergyCharges,MATCH($A150,List_OtherEnergyMeters,0),ROUNDUP((COLUMN()+1)/3-2,0)))</f>
        <v/>
      </c>
      <c r="G150" s="127"/>
      <c r="H150" s="137"/>
      <c r="I150" s="58" t="str" cm="1">
        <f>IF(ISBLANK($A150),"",INDEX(Array_OtherEnergyCharges,MATCH($A150,List_OtherEnergyMeters,0),ROUNDUP((COLUMN()+1)/3-2,0)))</f>
        <v/>
      </c>
      <c r="J150" s="127"/>
      <c r="K150" s="137"/>
      <c r="L150" s="58" t="str" cm="1">
        <f>IF(ISBLANK($A150),"",INDEX(Array_OtherEnergyCharges,MATCH($A150,List_OtherEnergyMeters,0),ROUNDUP((COLUMN()+1)/3-2,0)))</f>
        <v/>
      </c>
      <c r="M150" s="127"/>
      <c r="N150" s="137"/>
      <c r="O150" s="58" t="str" cm="1">
        <f>IF(ISBLANK($A150),"",INDEX(Array_OtherEnergyCharges,MATCH($A150,List_OtherEnergyMeters,0),ROUNDUP((COLUMN()+1)/3-2,0)))</f>
        <v/>
      </c>
      <c r="P150" s="127"/>
      <c r="Q150" s="137"/>
      <c r="R150" s="58" t="str" cm="1">
        <f>IF(ISBLANK($A150),"",INDEX(Array_OtherEnergyCharges,MATCH($A150,List_OtherEnergyMeters,0),ROUNDUP((COLUMN()+1)/3-2,0)))</f>
        <v/>
      </c>
      <c r="S150" s="127"/>
      <c r="T150" s="137"/>
    </row>
    <row r="151" spans="1:20" x14ac:dyDescent="0.3">
      <c r="A151" s="126"/>
      <c r="B151" s="133"/>
      <c r="C151" s="127"/>
      <c r="D151" s="138"/>
      <c r="E151" s="137"/>
      <c r="F151" s="58" t="str" cm="1">
        <f>IF(ISBLANK($A151),"",INDEX(Array_OtherEnergyCharges,MATCH($A151,List_OtherEnergyMeters,0),ROUNDUP((COLUMN()+1)/3-2,0)))</f>
        <v/>
      </c>
      <c r="G151" s="127"/>
      <c r="H151" s="137"/>
      <c r="I151" s="58" t="str" cm="1">
        <f>IF(ISBLANK($A151),"",INDEX(Array_OtherEnergyCharges,MATCH($A151,List_OtherEnergyMeters,0),ROUNDUP((COLUMN()+1)/3-2,0)))</f>
        <v/>
      </c>
      <c r="J151" s="127"/>
      <c r="K151" s="137"/>
      <c r="L151" s="58" t="str" cm="1">
        <f>IF(ISBLANK($A151),"",INDEX(Array_OtherEnergyCharges,MATCH($A151,List_OtherEnergyMeters,0),ROUNDUP((COLUMN()+1)/3-2,0)))</f>
        <v/>
      </c>
      <c r="M151" s="127"/>
      <c r="N151" s="137"/>
      <c r="O151" s="58" t="str" cm="1">
        <f>IF(ISBLANK($A151),"",INDEX(Array_OtherEnergyCharges,MATCH($A151,List_OtherEnergyMeters,0),ROUNDUP((COLUMN()+1)/3-2,0)))</f>
        <v/>
      </c>
      <c r="P151" s="127"/>
      <c r="Q151" s="137"/>
      <c r="R151" s="58" t="str" cm="1">
        <f>IF(ISBLANK($A151),"",INDEX(Array_OtherEnergyCharges,MATCH($A151,List_OtherEnergyMeters,0),ROUNDUP((COLUMN()+1)/3-2,0)))</f>
        <v/>
      </c>
      <c r="S151" s="127"/>
      <c r="T151" s="137"/>
    </row>
    <row r="152" spans="1:20" x14ac:dyDescent="0.3">
      <c r="A152" s="126"/>
      <c r="B152" s="133"/>
      <c r="C152" s="127"/>
      <c r="D152" s="138"/>
      <c r="E152" s="137"/>
      <c r="F152" s="58" t="str" cm="1">
        <f>IF(ISBLANK($A152),"",INDEX(Array_OtherEnergyCharges,MATCH($A152,List_OtherEnergyMeters,0),ROUNDUP((COLUMN()+1)/3-2,0)))</f>
        <v/>
      </c>
      <c r="G152" s="127"/>
      <c r="H152" s="137"/>
      <c r="I152" s="58" t="str" cm="1">
        <f>IF(ISBLANK($A152),"",INDEX(Array_OtherEnergyCharges,MATCH($A152,List_OtherEnergyMeters,0),ROUNDUP((COLUMN()+1)/3-2,0)))</f>
        <v/>
      </c>
      <c r="J152" s="127"/>
      <c r="K152" s="137"/>
      <c r="L152" s="58" t="str" cm="1">
        <f>IF(ISBLANK($A152),"",INDEX(Array_OtherEnergyCharges,MATCH($A152,List_OtherEnergyMeters,0),ROUNDUP((COLUMN()+1)/3-2,0)))</f>
        <v/>
      </c>
      <c r="M152" s="127"/>
      <c r="N152" s="137"/>
      <c r="O152" s="58" t="str" cm="1">
        <f>IF(ISBLANK($A152),"",INDEX(Array_OtherEnergyCharges,MATCH($A152,List_OtherEnergyMeters,0),ROUNDUP((COLUMN()+1)/3-2,0)))</f>
        <v/>
      </c>
      <c r="P152" s="127"/>
      <c r="Q152" s="137"/>
      <c r="R152" s="58" t="str" cm="1">
        <f>IF(ISBLANK($A152),"",INDEX(Array_OtherEnergyCharges,MATCH($A152,List_OtherEnergyMeters,0),ROUNDUP((COLUMN()+1)/3-2,0)))</f>
        <v/>
      </c>
      <c r="S152" s="127"/>
      <c r="T152" s="137"/>
    </row>
    <row r="153" spans="1:20" x14ac:dyDescent="0.3">
      <c r="A153" s="126"/>
      <c r="B153" s="133"/>
      <c r="C153" s="127"/>
      <c r="D153" s="138"/>
      <c r="E153" s="137"/>
      <c r="F153" s="58" t="str" cm="1">
        <f>IF(ISBLANK($A153),"",INDEX(Array_OtherEnergyCharges,MATCH($A153,List_OtherEnergyMeters,0),ROUNDUP((COLUMN()+1)/3-2,0)))</f>
        <v/>
      </c>
      <c r="G153" s="127"/>
      <c r="H153" s="137"/>
      <c r="I153" s="58" t="str" cm="1">
        <f>IF(ISBLANK($A153),"",INDEX(Array_OtherEnergyCharges,MATCH($A153,List_OtherEnergyMeters,0),ROUNDUP((COLUMN()+1)/3-2,0)))</f>
        <v/>
      </c>
      <c r="J153" s="127"/>
      <c r="K153" s="137"/>
      <c r="L153" s="58" t="str" cm="1">
        <f>IF(ISBLANK($A153),"",INDEX(Array_OtherEnergyCharges,MATCH($A153,List_OtherEnergyMeters,0),ROUNDUP((COLUMN()+1)/3-2,0)))</f>
        <v/>
      </c>
      <c r="M153" s="127"/>
      <c r="N153" s="137"/>
      <c r="O153" s="58" t="str" cm="1">
        <f>IF(ISBLANK($A153),"",INDEX(Array_OtherEnergyCharges,MATCH($A153,List_OtherEnergyMeters,0),ROUNDUP((COLUMN()+1)/3-2,0)))</f>
        <v/>
      </c>
      <c r="P153" s="127"/>
      <c r="Q153" s="137"/>
      <c r="R153" s="58" t="str" cm="1">
        <f>IF(ISBLANK($A153),"",INDEX(Array_OtherEnergyCharges,MATCH($A153,List_OtherEnergyMeters,0),ROUNDUP((COLUMN()+1)/3-2,0)))</f>
        <v/>
      </c>
      <c r="S153" s="127"/>
      <c r="T153" s="137"/>
    </row>
    <row r="154" spans="1:20" x14ac:dyDescent="0.3">
      <c r="A154" s="126"/>
      <c r="B154" s="133"/>
      <c r="C154" s="127"/>
      <c r="D154" s="138"/>
      <c r="E154" s="137"/>
      <c r="F154" s="58" t="str" cm="1">
        <f>IF(ISBLANK($A154),"",INDEX(Array_OtherEnergyCharges,MATCH($A154,List_OtherEnergyMeters,0),ROUNDUP((COLUMN()+1)/3-2,0)))</f>
        <v/>
      </c>
      <c r="G154" s="127"/>
      <c r="H154" s="137"/>
      <c r="I154" s="58" t="str" cm="1">
        <f>IF(ISBLANK($A154),"",INDEX(Array_OtherEnergyCharges,MATCH($A154,List_OtherEnergyMeters,0),ROUNDUP((COLUMN()+1)/3-2,0)))</f>
        <v/>
      </c>
      <c r="J154" s="127"/>
      <c r="K154" s="137"/>
      <c r="L154" s="58" t="str" cm="1">
        <f>IF(ISBLANK($A154),"",INDEX(Array_OtherEnergyCharges,MATCH($A154,List_OtherEnergyMeters,0),ROUNDUP((COLUMN()+1)/3-2,0)))</f>
        <v/>
      </c>
      <c r="M154" s="127"/>
      <c r="N154" s="137"/>
      <c r="O154" s="58" t="str" cm="1">
        <f>IF(ISBLANK($A154),"",INDEX(Array_OtherEnergyCharges,MATCH($A154,List_OtherEnergyMeters,0),ROUNDUP((COLUMN()+1)/3-2,0)))</f>
        <v/>
      </c>
      <c r="P154" s="127"/>
      <c r="Q154" s="137"/>
      <c r="R154" s="58" t="str" cm="1">
        <f>IF(ISBLANK($A154),"",INDEX(Array_OtherEnergyCharges,MATCH($A154,List_OtherEnergyMeters,0),ROUNDUP((COLUMN()+1)/3-2,0)))</f>
        <v/>
      </c>
      <c r="S154" s="127"/>
      <c r="T154" s="137"/>
    </row>
    <row r="155" spans="1:20" x14ac:dyDescent="0.3">
      <c r="A155" s="126"/>
      <c r="B155" s="133"/>
      <c r="C155" s="127"/>
      <c r="D155" s="138"/>
      <c r="E155" s="137"/>
      <c r="F155" s="58" t="str" cm="1">
        <f>IF(ISBLANK($A155),"",INDEX(Array_OtherEnergyCharges,MATCH($A155,List_OtherEnergyMeters,0),ROUNDUP((COLUMN()+1)/3-2,0)))</f>
        <v/>
      </c>
      <c r="G155" s="127"/>
      <c r="H155" s="137"/>
      <c r="I155" s="58" t="str" cm="1">
        <f>IF(ISBLANK($A155),"",INDEX(Array_OtherEnergyCharges,MATCH($A155,List_OtherEnergyMeters,0),ROUNDUP((COLUMN()+1)/3-2,0)))</f>
        <v/>
      </c>
      <c r="J155" s="127"/>
      <c r="K155" s="137"/>
      <c r="L155" s="58" t="str" cm="1">
        <f>IF(ISBLANK($A155),"",INDEX(Array_OtherEnergyCharges,MATCH($A155,List_OtherEnergyMeters,0),ROUNDUP((COLUMN()+1)/3-2,0)))</f>
        <v/>
      </c>
      <c r="M155" s="127"/>
      <c r="N155" s="137"/>
      <c r="O155" s="58" t="str" cm="1">
        <f>IF(ISBLANK($A155),"",INDEX(Array_OtherEnergyCharges,MATCH($A155,List_OtherEnergyMeters,0),ROUNDUP((COLUMN()+1)/3-2,0)))</f>
        <v/>
      </c>
      <c r="P155" s="127"/>
      <c r="Q155" s="137"/>
      <c r="R155" s="58" t="str" cm="1">
        <f>IF(ISBLANK($A155),"",INDEX(Array_OtherEnergyCharges,MATCH($A155,List_OtherEnergyMeters,0),ROUNDUP((COLUMN()+1)/3-2,0)))</f>
        <v/>
      </c>
      <c r="S155" s="127"/>
      <c r="T155" s="137"/>
    </row>
    <row r="156" spans="1:20" x14ac:dyDescent="0.3">
      <c r="A156" s="126"/>
      <c r="B156" s="133"/>
      <c r="C156" s="127"/>
      <c r="D156" s="138"/>
      <c r="E156" s="137"/>
      <c r="F156" s="58" t="str" cm="1">
        <f>IF(ISBLANK($A156),"",INDEX(Array_OtherEnergyCharges,MATCH($A156,List_OtherEnergyMeters,0),ROUNDUP((COLUMN()+1)/3-2,0)))</f>
        <v/>
      </c>
      <c r="G156" s="127"/>
      <c r="H156" s="137"/>
      <c r="I156" s="58" t="str" cm="1">
        <f>IF(ISBLANK($A156),"",INDEX(Array_OtherEnergyCharges,MATCH($A156,List_OtherEnergyMeters,0),ROUNDUP((COLUMN()+1)/3-2,0)))</f>
        <v/>
      </c>
      <c r="J156" s="127"/>
      <c r="K156" s="137"/>
      <c r="L156" s="58" t="str" cm="1">
        <f>IF(ISBLANK($A156),"",INDEX(Array_OtherEnergyCharges,MATCH($A156,List_OtherEnergyMeters,0),ROUNDUP((COLUMN()+1)/3-2,0)))</f>
        <v/>
      </c>
      <c r="M156" s="127"/>
      <c r="N156" s="137"/>
      <c r="O156" s="58" t="str" cm="1">
        <f>IF(ISBLANK($A156),"",INDEX(Array_OtherEnergyCharges,MATCH($A156,List_OtherEnergyMeters,0),ROUNDUP((COLUMN()+1)/3-2,0)))</f>
        <v/>
      </c>
      <c r="P156" s="127"/>
      <c r="Q156" s="137"/>
      <c r="R156" s="58" t="str" cm="1">
        <f>IF(ISBLANK($A156),"",INDEX(Array_OtherEnergyCharges,MATCH($A156,List_OtherEnergyMeters,0),ROUNDUP((COLUMN()+1)/3-2,0)))</f>
        <v/>
      </c>
      <c r="S156" s="127"/>
      <c r="T156" s="137"/>
    </row>
    <row r="157" spans="1:20" x14ac:dyDescent="0.3">
      <c r="A157" s="126"/>
      <c r="B157" s="133"/>
      <c r="C157" s="127"/>
      <c r="D157" s="138"/>
      <c r="E157" s="137"/>
      <c r="F157" s="58" t="str" cm="1">
        <f>IF(ISBLANK($A157),"",INDEX(Array_OtherEnergyCharges,MATCH($A157,List_OtherEnergyMeters,0),ROUNDUP((COLUMN()+1)/3-2,0)))</f>
        <v/>
      </c>
      <c r="G157" s="127"/>
      <c r="H157" s="137"/>
      <c r="I157" s="58" t="str" cm="1">
        <f>IF(ISBLANK($A157),"",INDEX(Array_OtherEnergyCharges,MATCH($A157,List_OtherEnergyMeters,0),ROUNDUP((COLUMN()+1)/3-2,0)))</f>
        <v/>
      </c>
      <c r="J157" s="127"/>
      <c r="K157" s="137"/>
      <c r="L157" s="58" t="str" cm="1">
        <f>IF(ISBLANK($A157),"",INDEX(Array_OtherEnergyCharges,MATCH($A157,List_OtherEnergyMeters,0),ROUNDUP((COLUMN()+1)/3-2,0)))</f>
        <v/>
      </c>
      <c r="M157" s="127"/>
      <c r="N157" s="137"/>
      <c r="O157" s="58" t="str" cm="1">
        <f>IF(ISBLANK($A157),"",INDEX(Array_OtherEnergyCharges,MATCH($A157,List_OtherEnergyMeters,0),ROUNDUP((COLUMN()+1)/3-2,0)))</f>
        <v/>
      </c>
      <c r="P157" s="127"/>
      <c r="Q157" s="137"/>
      <c r="R157" s="58" t="str" cm="1">
        <f>IF(ISBLANK($A157),"",INDEX(Array_OtherEnergyCharges,MATCH($A157,List_OtherEnergyMeters,0),ROUNDUP((COLUMN()+1)/3-2,0)))</f>
        <v/>
      </c>
      <c r="S157" s="127"/>
      <c r="T157" s="137"/>
    </row>
    <row r="158" spans="1:20" x14ac:dyDescent="0.3">
      <c r="A158" s="126"/>
      <c r="B158" s="133"/>
      <c r="C158" s="127"/>
      <c r="D158" s="138"/>
      <c r="E158" s="137"/>
      <c r="F158" s="58" t="str" cm="1">
        <f>IF(ISBLANK($A158),"",INDEX(Array_OtherEnergyCharges,MATCH($A158,List_OtherEnergyMeters,0),ROUNDUP((COLUMN()+1)/3-2,0)))</f>
        <v/>
      </c>
      <c r="G158" s="127"/>
      <c r="H158" s="137"/>
      <c r="I158" s="58" t="str" cm="1">
        <f>IF(ISBLANK($A158),"",INDEX(Array_OtherEnergyCharges,MATCH($A158,List_OtherEnergyMeters,0),ROUNDUP((COLUMN()+1)/3-2,0)))</f>
        <v/>
      </c>
      <c r="J158" s="127"/>
      <c r="K158" s="137"/>
      <c r="L158" s="58" t="str" cm="1">
        <f>IF(ISBLANK($A158),"",INDEX(Array_OtherEnergyCharges,MATCH($A158,List_OtherEnergyMeters,0),ROUNDUP((COLUMN()+1)/3-2,0)))</f>
        <v/>
      </c>
      <c r="M158" s="127"/>
      <c r="N158" s="137"/>
      <c r="O158" s="58" t="str" cm="1">
        <f>IF(ISBLANK($A158),"",INDEX(Array_OtherEnergyCharges,MATCH($A158,List_OtherEnergyMeters,0),ROUNDUP((COLUMN()+1)/3-2,0)))</f>
        <v/>
      </c>
      <c r="P158" s="127"/>
      <c r="Q158" s="137"/>
      <c r="R158" s="58" t="str" cm="1">
        <f>IF(ISBLANK($A158),"",INDEX(Array_OtherEnergyCharges,MATCH($A158,List_OtherEnergyMeters,0),ROUNDUP((COLUMN()+1)/3-2,0)))</f>
        <v/>
      </c>
      <c r="S158" s="127"/>
      <c r="T158" s="137"/>
    </row>
    <row r="159" spans="1:20" x14ac:dyDescent="0.3">
      <c r="A159" s="126"/>
      <c r="B159" s="133"/>
      <c r="C159" s="127"/>
      <c r="D159" s="138"/>
      <c r="E159" s="137"/>
      <c r="F159" s="58" t="str" cm="1">
        <f>IF(ISBLANK($A159),"",INDEX(Array_OtherEnergyCharges,MATCH($A159,List_OtherEnergyMeters,0),ROUNDUP((COLUMN()+1)/3-2,0)))</f>
        <v/>
      </c>
      <c r="G159" s="127"/>
      <c r="H159" s="137"/>
      <c r="I159" s="58" t="str" cm="1">
        <f>IF(ISBLANK($A159),"",INDEX(Array_OtherEnergyCharges,MATCH($A159,List_OtherEnergyMeters,0),ROUNDUP((COLUMN()+1)/3-2,0)))</f>
        <v/>
      </c>
      <c r="J159" s="127"/>
      <c r="K159" s="137"/>
      <c r="L159" s="58" t="str" cm="1">
        <f>IF(ISBLANK($A159),"",INDEX(Array_OtherEnergyCharges,MATCH($A159,List_OtherEnergyMeters,0),ROUNDUP((COLUMN()+1)/3-2,0)))</f>
        <v/>
      </c>
      <c r="M159" s="127"/>
      <c r="N159" s="137"/>
      <c r="O159" s="58" t="str" cm="1">
        <f>IF(ISBLANK($A159),"",INDEX(Array_OtherEnergyCharges,MATCH($A159,List_OtherEnergyMeters,0),ROUNDUP((COLUMN()+1)/3-2,0)))</f>
        <v/>
      </c>
      <c r="P159" s="127"/>
      <c r="Q159" s="137"/>
      <c r="R159" s="58" t="str" cm="1">
        <f>IF(ISBLANK($A159),"",INDEX(Array_OtherEnergyCharges,MATCH($A159,List_OtherEnergyMeters,0),ROUNDUP((COLUMN()+1)/3-2,0)))</f>
        <v/>
      </c>
      <c r="S159" s="127"/>
      <c r="T159" s="137"/>
    </row>
    <row r="160" spans="1:20" x14ac:dyDescent="0.3">
      <c r="A160" s="126"/>
      <c r="B160" s="133"/>
      <c r="C160" s="127"/>
      <c r="D160" s="138"/>
      <c r="E160" s="137"/>
      <c r="F160" s="58" t="str" cm="1">
        <f>IF(ISBLANK($A160),"",INDEX(Array_OtherEnergyCharges,MATCH($A160,List_OtherEnergyMeters,0),ROUNDUP((COLUMN()+1)/3-2,0)))</f>
        <v/>
      </c>
      <c r="G160" s="127"/>
      <c r="H160" s="137"/>
      <c r="I160" s="58" t="str" cm="1">
        <f>IF(ISBLANK($A160),"",INDEX(Array_OtherEnergyCharges,MATCH($A160,List_OtherEnergyMeters,0),ROUNDUP((COLUMN()+1)/3-2,0)))</f>
        <v/>
      </c>
      <c r="J160" s="127"/>
      <c r="K160" s="137"/>
      <c r="L160" s="58" t="str" cm="1">
        <f>IF(ISBLANK($A160),"",INDEX(Array_OtherEnergyCharges,MATCH($A160,List_OtherEnergyMeters,0),ROUNDUP((COLUMN()+1)/3-2,0)))</f>
        <v/>
      </c>
      <c r="M160" s="127"/>
      <c r="N160" s="137"/>
      <c r="O160" s="58" t="str" cm="1">
        <f>IF(ISBLANK($A160),"",INDEX(Array_OtherEnergyCharges,MATCH($A160,List_OtherEnergyMeters,0),ROUNDUP((COLUMN()+1)/3-2,0)))</f>
        <v/>
      </c>
      <c r="P160" s="127"/>
      <c r="Q160" s="137"/>
      <c r="R160" s="58" t="str" cm="1">
        <f>IF(ISBLANK($A160),"",INDEX(Array_OtherEnergyCharges,MATCH($A160,List_OtherEnergyMeters,0),ROUNDUP((COLUMN()+1)/3-2,0)))</f>
        <v/>
      </c>
      <c r="S160" s="127"/>
      <c r="T160" s="137"/>
    </row>
    <row r="161" spans="1:20" x14ac:dyDescent="0.3">
      <c r="A161" s="126"/>
      <c r="B161" s="133"/>
      <c r="C161" s="127"/>
      <c r="D161" s="138"/>
      <c r="E161" s="137"/>
      <c r="F161" s="58" t="str" cm="1">
        <f>IF(ISBLANK($A161),"",INDEX(Array_OtherEnergyCharges,MATCH($A161,List_OtherEnergyMeters,0),ROUNDUP((COLUMN()+1)/3-2,0)))</f>
        <v/>
      </c>
      <c r="G161" s="127"/>
      <c r="H161" s="137"/>
      <c r="I161" s="58" t="str" cm="1">
        <f>IF(ISBLANK($A161),"",INDEX(Array_OtherEnergyCharges,MATCH($A161,List_OtherEnergyMeters,0),ROUNDUP((COLUMN()+1)/3-2,0)))</f>
        <v/>
      </c>
      <c r="J161" s="127"/>
      <c r="K161" s="137"/>
      <c r="L161" s="58" t="str" cm="1">
        <f>IF(ISBLANK($A161),"",INDEX(Array_OtherEnergyCharges,MATCH($A161,List_OtherEnergyMeters,0),ROUNDUP((COLUMN()+1)/3-2,0)))</f>
        <v/>
      </c>
      <c r="M161" s="127"/>
      <c r="N161" s="137"/>
      <c r="O161" s="58" t="str" cm="1">
        <f>IF(ISBLANK($A161),"",INDEX(Array_OtherEnergyCharges,MATCH($A161,List_OtherEnergyMeters,0),ROUNDUP((COLUMN()+1)/3-2,0)))</f>
        <v/>
      </c>
      <c r="P161" s="127"/>
      <c r="Q161" s="137"/>
      <c r="R161" s="58" t="str" cm="1">
        <f>IF(ISBLANK($A161),"",INDEX(Array_OtherEnergyCharges,MATCH($A161,List_OtherEnergyMeters,0),ROUNDUP((COLUMN()+1)/3-2,0)))</f>
        <v/>
      </c>
      <c r="S161" s="127"/>
      <c r="T161" s="137"/>
    </row>
    <row r="162" spans="1:20" x14ac:dyDescent="0.3">
      <c r="A162" s="126"/>
      <c r="B162" s="133"/>
      <c r="C162" s="127"/>
      <c r="D162" s="138"/>
      <c r="E162" s="137"/>
      <c r="F162" s="58" t="str" cm="1">
        <f>IF(ISBLANK($A162),"",INDEX(Array_OtherEnergyCharges,MATCH($A162,List_OtherEnergyMeters,0),ROUNDUP((COLUMN()+1)/3-2,0)))</f>
        <v/>
      </c>
      <c r="G162" s="127"/>
      <c r="H162" s="137"/>
      <c r="I162" s="58" t="str" cm="1">
        <f>IF(ISBLANK($A162),"",INDEX(Array_OtherEnergyCharges,MATCH($A162,List_OtherEnergyMeters,0),ROUNDUP((COLUMN()+1)/3-2,0)))</f>
        <v/>
      </c>
      <c r="J162" s="127"/>
      <c r="K162" s="137"/>
      <c r="L162" s="58" t="str" cm="1">
        <f>IF(ISBLANK($A162),"",INDEX(Array_OtherEnergyCharges,MATCH($A162,List_OtherEnergyMeters,0),ROUNDUP((COLUMN()+1)/3-2,0)))</f>
        <v/>
      </c>
      <c r="M162" s="127"/>
      <c r="N162" s="137"/>
      <c r="O162" s="58" t="str" cm="1">
        <f>IF(ISBLANK($A162),"",INDEX(Array_OtherEnergyCharges,MATCH($A162,List_OtherEnergyMeters,0),ROUNDUP((COLUMN()+1)/3-2,0)))</f>
        <v/>
      </c>
      <c r="P162" s="127"/>
      <c r="Q162" s="137"/>
      <c r="R162" s="58" t="str" cm="1">
        <f>IF(ISBLANK($A162),"",INDEX(Array_OtherEnergyCharges,MATCH($A162,List_OtherEnergyMeters,0),ROUNDUP((COLUMN()+1)/3-2,0)))</f>
        <v/>
      </c>
      <c r="S162" s="127"/>
      <c r="T162" s="137"/>
    </row>
    <row r="163" spans="1:20" x14ac:dyDescent="0.3">
      <c r="A163" s="126"/>
      <c r="B163" s="133"/>
      <c r="C163" s="127"/>
      <c r="D163" s="138"/>
      <c r="E163" s="137"/>
      <c r="F163" s="58" t="str" cm="1">
        <f>IF(ISBLANK($A163),"",INDEX(Array_OtherEnergyCharges,MATCH($A163,List_OtherEnergyMeters,0),ROUNDUP((COLUMN()+1)/3-2,0)))</f>
        <v/>
      </c>
      <c r="G163" s="127"/>
      <c r="H163" s="137"/>
      <c r="I163" s="58" t="str" cm="1">
        <f>IF(ISBLANK($A163),"",INDEX(Array_OtherEnergyCharges,MATCH($A163,List_OtherEnergyMeters,0),ROUNDUP((COLUMN()+1)/3-2,0)))</f>
        <v/>
      </c>
      <c r="J163" s="127"/>
      <c r="K163" s="137"/>
      <c r="L163" s="58" t="str" cm="1">
        <f>IF(ISBLANK($A163),"",INDEX(Array_OtherEnergyCharges,MATCH($A163,List_OtherEnergyMeters,0),ROUNDUP((COLUMN()+1)/3-2,0)))</f>
        <v/>
      </c>
      <c r="M163" s="127"/>
      <c r="N163" s="137"/>
      <c r="O163" s="58" t="str" cm="1">
        <f>IF(ISBLANK($A163),"",INDEX(Array_OtherEnergyCharges,MATCH($A163,List_OtherEnergyMeters,0),ROUNDUP((COLUMN()+1)/3-2,0)))</f>
        <v/>
      </c>
      <c r="P163" s="127"/>
      <c r="Q163" s="137"/>
      <c r="R163" s="58" t="str" cm="1">
        <f>IF(ISBLANK($A163),"",INDEX(Array_OtherEnergyCharges,MATCH($A163,List_OtherEnergyMeters,0),ROUNDUP((COLUMN()+1)/3-2,0)))</f>
        <v/>
      </c>
      <c r="S163" s="127"/>
      <c r="T163" s="137"/>
    </row>
    <row r="164" spans="1:20" x14ac:dyDescent="0.3">
      <c r="A164" s="126"/>
      <c r="B164" s="133"/>
      <c r="C164" s="127"/>
      <c r="D164" s="138"/>
      <c r="E164" s="137"/>
      <c r="F164" s="58" t="str" cm="1">
        <f>IF(ISBLANK($A164),"",INDEX(Array_OtherEnergyCharges,MATCH($A164,List_OtherEnergyMeters,0),ROUNDUP((COLUMN()+1)/3-2,0)))</f>
        <v/>
      </c>
      <c r="G164" s="127"/>
      <c r="H164" s="137"/>
      <c r="I164" s="58" t="str" cm="1">
        <f>IF(ISBLANK($A164),"",INDEX(Array_OtherEnergyCharges,MATCH($A164,List_OtherEnergyMeters,0),ROUNDUP((COLUMN()+1)/3-2,0)))</f>
        <v/>
      </c>
      <c r="J164" s="127"/>
      <c r="K164" s="137"/>
      <c r="L164" s="58" t="str" cm="1">
        <f>IF(ISBLANK($A164),"",INDEX(Array_OtherEnergyCharges,MATCH($A164,List_OtherEnergyMeters,0),ROUNDUP((COLUMN()+1)/3-2,0)))</f>
        <v/>
      </c>
      <c r="M164" s="127"/>
      <c r="N164" s="137"/>
      <c r="O164" s="58" t="str" cm="1">
        <f>IF(ISBLANK($A164),"",INDEX(Array_OtherEnergyCharges,MATCH($A164,List_OtherEnergyMeters,0),ROUNDUP((COLUMN()+1)/3-2,0)))</f>
        <v/>
      </c>
      <c r="P164" s="127"/>
      <c r="Q164" s="137"/>
      <c r="R164" s="58" t="str" cm="1">
        <f>IF(ISBLANK($A164),"",INDEX(Array_OtherEnergyCharges,MATCH($A164,List_OtherEnergyMeters,0),ROUNDUP((COLUMN()+1)/3-2,0)))</f>
        <v/>
      </c>
      <c r="S164" s="127"/>
      <c r="T164" s="137"/>
    </row>
    <row r="165" spans="1:20" x14ac:dyDescent="0.3">
      <c r="A165" s="126"/>
      <c r="B165" s="133"/>
      <c r="C165" s="127"/>
      <c r="D165" s="138"/>
      <c r="E165" s="137"/>
      <c r="F165" s="58" t="str" cm="1">
        <f>IF(ISBLANK($A165),"",INDEX(Array_OtherEnergyCharges,MATCH($A165,List_OtherEnergyMeters,0),ROUNDUP((COLUMN()+1)/3-2,0)))</f>
        <v/>
      </c>
      <c r="G165" s="127"/>
      <c r="H165" s="137"/>
      <c r="I165" s="58" t="str" cm="1">
        <f>IF(ISBLANK($A165),"",INDEX(Array_OtherEnergyCharges,MATCH($A165,List_OtherEnergyMeters,0),ROUNDUP((COLUMN()+1)/3-2,0)))</f>
        <v/>
      </c>
      <c r="J165" s="127"/>
      <c r="K165" s="137"/>
      <c r="L165" s="58" t="str" cm="1">
        <f>IF(ISBLANK($A165),"",INDEX(Array_OtherEnergyCharges,MATCH($A165,List_OtherEnergyMeters,0),ROUNDUP((COLUMN()+1)/3-2,0)))</f>
        <v/>
      </c>
      <c r="M165" s="127"/>
      <c r="N165" s="137"/>
      <c r="O165" s="58" t="str" cm="1">
        <f>IF(ISBLANK($A165),"",INDEX(Array_OtherEnergyCharges,MATCH($A165,List_OtherEnergyMeters,0),ROUNDUP((COLUMN()+1)/3-2,0)))</f>
        <v/>
      </c>
      <c r="P165" s="127"/>
      <c r="Q165" s="137"/>
      <c r="R165" s="58" t="str" cm="1">
        <f>IF(ISBLANK($A165),"",INDEX(Array_OtherEnergyCharges,MATCH($A165,List_OtherEnergyMeters,0),ROUNDUP((COLUMN()+1)/3-2,0)))</f>
        <v/>
      </c>
      <c r="S165" s="127"/>
      <c r="T165" s="137"/>
    </row>
    <row r="166" spans="1:20" x14ac:dyDescent="0.3">
      <c r="A166" s="126"/>
      <c r="B166" s="133"/>
      <c r="C166" s="127"/>
      <c r="D166" s="138"/>
      <c r="E166" s="137"/>
      <c r="F166" s="58" t="str" cm="1">
        <f>IF(ISBLANK($A166),"",INDEX(Array_OtherEnergyCharges,MATCH($A166,List_OtherEnergyMeters,0),ROUNDUP((COLUMN()+1)/3-2,0)))</f>
        <v/>
      </c>
      <c r="G166" s="127"/>
      <c r="H166" s="137"/>
      <c r="I166" s="58" t="str" cm="1">
        <f>IF(ISBLANK($A166),"",INDEX(Array_OtherEnergyCharges,MATCH($A166,List_OtherEnergyMeters,0),ROUNDUP((COLUMN()+1)/3-2,0)))</f>
        <v/>
      </c>
      <c r="J166" s="127"/>
      <c r="K166" s="137"/>
      <c r="L166" s="58" t="str" cm="1">
        <f>IF(ISBLANK($A166),"",INDEX(Array_OtherEnergyCharges,MATCH($A166,List_OtherEnergyMeters,0),ROUNDUP((COLUMN()+1)/3-2,0)))</f>
        <v/>
      </c>
      <c r="M166" s="127"/>
      <c r="N166" s="137"/>
      <c r="O166" s="58" t="str" cm="1">
        <f>IF(ISBLANK($A166),"",INDEX(Array_OtherEnergyCharges,MATCH($A166,List_OtherEnergyMeters,0),ROUNDUP((COLUMN()+1)/3-2,0)))</f>
        <v/>
      </c>
      <c r="P166" s="127"/>
      <c r="Q166" s="137"/>
      <c r="R166" s="58" t="str" cm="1">
        <f>IF(ISBLANK($A166),"",INDEX(Array_OtherEnergyCharges,MATCH($A166,List_OtherEnergyMeters,0),ROUNDUP((COLUMN()+1)/3-2,0)))</f>
        <v/>
      </c>
      <c r="S166" s="127"/>
      <c r="T166" s="137"/>
    </row>
    <row r="167" spans="1:20" x14ac:dyDescent="0.3">
      <c r="A167" s="126"/>
      <c r="B167" s="133"/>
      <c r="C167" s="127"/>
      <c r="D167" s="138"/>
      <c r="E167" s="137"/>
      <c r="F167" s="58" t="str" cm="1">
        <f>IF(ISBLANK($A167),"",INDEX(Array_OtherEnergyCharges,MATCH($A167,List_OtherEnergyMeters,0),ROUNDUP((COLUMN()+1)/3-2,0)))</f>
        <v/>
      </c>
      <c r="G167" s="127"/>
      <c r="H167" s="137"/>
      <c r="I167" s="58" t="str" cm="1">
        <f>IF(ISBLANK($A167),"",INDEX(Array_OtherEnergyCharges,MATCH($A167,List_OtherEnergyMeters,0),ROUNDUP((COLUMN()+1)/3-2,0)))</f>
        <v/>
      </c>
      <c r="J167" s="127"/>
      <c r="K167" s="137"/>
      <c r="L167" s="58" t="str" cm="1">
        <f>IF(ISBLANK($A167),"",INDEX(Array_OtherEnergyCharges,MATCH($A167,List_OtherEnergyMeters,0),ROUNDUP((COLUMN()+1)/3-2,0)))</f>
        <v/>
      </c>
      <c r="M167" s="127"/>
      <c r="N167" s="137"/>
      <c r="O167" s="58" t="str" cm="1">
        <f>IF(ISBLANK($A167),"",INDEX(Array_OtherEnergyCharges,MATCH($A167,List_OtherEnergyMeters,0),ROUNDUP((COLUMN()+1)/3-2,0)))</f>
        <v/>
      </c>
      <c r="P167" s="127"/>
      <c r="Q167" s="137"/>
      <c r="R167" s="58" t="str" cm="1">
        <f>IF(ISBLANK($A167),"",INDEX(Array_OtherEnergyCharges,MATCH($A167,List_OtherEnergyMeters,0),ROUNDUP((COLUMN()+1)/3-2,0)))</f>
        <v/>
      </c>
      <c r="S167" s="127"/>
      <c r="T167" s="137"/>
    </row>
    <row r="168" spans="1:20" x14ac:dyDescent="0.3">
      <c r="A168" s="126"/>
      <c r="B168" s="133"/>
      <c r="C168" s="127"/>
      <c r="D168" s="138"/>
      <c r="E168" s="137"/>
      <c r="F168" s="58" t="str" cm="1">
        <f>IF(ISBLANK($A168),"",INDEX(Array_OtherEnergyCharges,MATCH($A168,List_OtherEnergyMeters,0),ROUNDUP((COLUMN()+1)/3-2,0)))</f>
        <v/>
      </c>
      <c r="G168" s="127"/>
      <c r="H168" s="137"/>
      <c r="I168" s="58" t="str" cm="1">
        <f>IF(ISBLANK($A168),"",INDEX(Array_OtherEnergyCharges,MATCH($A168,List_OtherEnergyMeters,0),ROUNDUP((COLUMN()+1)/3-2,0)))</f>
        <v/>
      </c>
      <c r="J168" s="127"/>
      <c r="K168" s="137"/>
      <c r="L168" s="58" t="str" cm="1">
        <f>IF(ISBLANK($A168),"",INDEX(Array_OtherEnergyCharges,MATCH($A168,List_OtherEnergyMeters,0),ROUNDUP((COLUMN()+1)/3-2,0)))</f>
        <v/>
      </c>
      <c r="M168" s="127"/>
      <c r="N168" s="137"/>
      <c r="O168" s="58" t="str" cm="1">
        <f>IF(ISBLANK($A168),"",INDEX(Array_OtherEnergyCharges,MATCH($A168,List_OtherEnergyMeters,0),ROUNDUP((COLUMN()+1)/3-2,0)))</f>
        <v/>
      </c>
      <c r="P168" s="127"/>
      <c r="Q168" s="137"/>
      <c r="R168" s="58" t="str" cm="1">
        <f>IF(ISBLANK($A168),"",INDEX(Array_OtherEnergyCharges,MATCH($A168,List_OtherEnergyMeters,0),ROUNDUP((COLUMN()+1)/3-2,0)))</f>
        <v/>
      </c>
      <c r="S168" s="127"/>
      <c r="T168" s="137"/>
    </row>
    <row r="169" spans="1:20" x14ac:dyDescent="0.3">
      <c r="A169" s="126"/>
      <c r="B169" s="133"/>
      <c r="C169" s="127"/>
      <c r="D169" s="138"/>
      <c r="E169" s="137"/>
      <c r="F169" s="58" t="str" cm="1">
        <f>IF(ISBLANK($A169),"",INDEX(Array_OtherEnergyCharges,MATCH($A169,List_OtherEnergyMeters,0),ROUNDUP((COLUMN()+1)/3-2,0)))</f>
        <v/>
      </c>
      <c r="G169" s="127"/>
      <c r="H169" s="137"/>
      <c r="I169" s="58" t="str" cm="1">
        <f>IF(ISBLANK($A169),"",INDEX(Array_OtherEnergyCharges,MATCH($A169,List_OtherEnergyMeters,0),ROUNDUP((COLUMN()+1)/3-2,0)))</f>
        <v/>
      </c>
      <c r="J169" s="127"/>
      <c r="K169" s="137"/>
      <c r="L169" s="58" t="str" cm="1">
        <f>IF(ISBLANK($A169),"",INDEX(Array_OtherEnergyCharges,MATCH($A169,List_OtherEnergyMeters,0),ROUNDUP((COLUMN()+1)/3-2,0)))</f>
        <v/>
      </c>
      <c r="M169" s="127"/>
      <c r="N169" s="137"/>
      <c r="O169" s="58" t="str" cm="1">
        <f>IF(ISBLANK($A169),"",INDEX(Array_OtherEnergyCharges,MATCH($A169,List_OtherEnergyMeters,0),ROUNDUP((COLUMN()+1)/3-2,0)))</f>
        <v/>
      </c>
      <c r="P169" s="127"/>
      <c r="Q169" s="137"/>
      <c r="R169" s="58" t="str" cm="1">
        <f>IF(ISBLANK($A169),"",INDEX(Array_OtherEnergyCharges,MATCH($A169,List_OtherEnergyMeters,0),ROUNDUP((COLUMN()+1)/3-2,0)))</f>
        <v/>
      </c>
      <c r="S169" s="127"/>
      <c r="T169" s="137"/>
    </row>
    <row r="170" spans="1:20" x14ac:dyDescent="0.3">
      <c r="A170" s="126"/>
      <c r="B170" s="133"/>
      <c r="C170" s="127"/>
      <c r="D170" s="138"/>
      <c r="E170" s="137"/>
      <c r="F170" s="58" t="str" cm="1">
        <f>IF(ISBLANK($A170),"",INDEX(Array_OtherEnergyCharges,MATCH($A170,List_OtherEnergyMeters,0),ROUNDUP((COLUMN()+1)/3-2,0)))</f>
        <v/>
      </c>
      <c r="G170" s="127"/>
      <c r="H170" s="137"/>
      <c r="I170" s="58" t="str" cm="1">
        <f>IF(ISBLANK($A170),"",INDEX(Array_OtherEnergyCharges,MATCH($A170,List_OtherEnergyMeters,0),ROUNDUP((COLUMN()+1)/3-2,0)))</f>
        <v/>
      </c>
      <c r="J170" s="127"/>
      <c r="K170" s="137"/>
      <c r="L170" s="58" t="str" cm="1">
        <f>IF(ISBLANK($A170),"",INDEX(Array_OtherEnergyCharges,MATCH($A170,List_OtherEnergyMeters,0),ROUNDUP((COLUMN()+1)/3-2,0)))</f>
        <v/>
      </c>
      <c r="M170" s="127"/>
      <c r="N170" s="137"/>
      <c r="O170" s="58" t="str" cm="1">
        <f>IF(ISBLANK($A170),"",INDEX(Array_OtherEnergyCharges,MATCH($A170,List_OtherEnergyMeters,0),ROUNDUP((COLUMN()+1)/3-2,0)))</f>
        <v/>
      </c>
      <c r="P170" s="127"/>
      <c r="Q170" s="137"/>
      <c r="R170" s="58" t="str" cm="1">
        <f>IF(ISBLANK($A170),"",INDEX(Array_OtherEnergyCharges,MATCH($A170,List_OtherEnergyMeters,0),ROUNDUP((COLUMN()+1)/3-2,0)))</f>
        <v/>
      </c>
      <c r="S170" s="127"/>
      <c r="T170" s="137"/>
    </row>
    <row r="171" spans="1:20" x14ac:dyDescent="0.3">
      <c r="A171" s="126"/>
      <c r="B171" s="133"/>
      <c r="C171" s="127"/>
      <c r="D171" s="138"/>
      <c r="E171" s="137"/>
      <c r="F171" s="58" t="str" cm="1">
        <f>IF(ISBLANK($A171),"",INDEX(Array_OtherEnergyCharges,MATCH($A171,List_OtherEnergyMeters,0),ROUNDUP((COLUMN()+1)/3-2,0)))</f>
        <v/>
      </c>
      <c r="G171" s="127"/>
      <c r="H171" s="137"/>
      <c r="I171" s="58" t="str" cm="1">
        <f>IF(ISBLANK($A171),"",INDEX(Array_OtherEnergyCharges,MATCH($A171,List_OtherEnergyMeters,0),ROUNDUP((COLUMN()+1)/3-2,0)))</f>
        <v/>
      </c>
      <c r="J171" s="127"/>
      <c r="K171" s="137"/>
      <c r="L171" s="58" t="str" cm="1">
        <f>IF(ISBLANK($A171),"",INDEX(Array_OtherEnergyCharges,MATCH($A171,List_OtherEnergyMeters,0),ROUNDUP((COLUMN()+1)/3-2,0)))</f>
        <v/>
      </c>
      <c r="M171" s="127"/>
      <c r="N171" s="137"/>
      <c r="O171" s="58" t="str" cm="1">
        <f>IF(ISBLANK($A171),"",INDEX(Array_OtherEnergyCharges,MATCH($A171,List_OtherEnergyMeters,0),ROUNDUP((COLUMN()+1)/3-2,0)))</f>
        <v/>
      </c>
      <c r="P171" s="127"/>
      <c r="Q171" s="137"/>
      <c r="R171" s="58" t="str" cm="1">
        <f>IF(ISBLANK($A171),"",INDEX(Array_OtherEnergyCharges,MATCH($A171,List_OtherEnergyMeters,0),ROUNDUP((COLUMN()+1)/3-2,0)))</f>
        <v/>
      </c>
      <c r="S171" s="127"/>
      <c r="T171" s="137"/>
    </row>
    <row r="172" spans="1:20" x14ac:dyDescent="0.3">
      <c r="A172" s="126"/>
      <c r="B172" s="133"/>
      <c r="C172" s="127"/>
      <c r="D172" s="138"/>
      <c r="E172" s="137"/>
      <c r="F172" s="58" t="str" cm="1">
        <f>IF(ISBLANK($A172),"",INDEX(Array_OtherEnergyCharges,MATCH($A172,List_OtherEnergyMeters,0),ROUNDUP((COLUMN()+1)/3-2,0)))</f>
        <v/>
      </c>
      <c r="G172" s="127"/>
      <c r="H172" s="137"/>
      <c r="I172" s="58" t="str" cm="1">
        <f>IF(ISBLANK($A172),"",INDEX(Array_OtherEnergyCharges,MATCH($A172,List_OtherEnergyMeters,0),ROUNDUP((COLUMN()+1)/3-2,0)))</f>
        <v/>
      </c>
      <c r="J172" s="127"/>
      <c r="K172" s="137"/>
      <c r="L172" s="58" t="str" cm="1">
        <f>IF(ISBLANK($A172),"",INDEX(Array_OtherEnergyCharges,MATCH($A172,List_OtherEnergyMeters,0),ROUNDUP((COLUMN()+1)/3-2,0)))</f>
        <v/>
      </c>
      <c r="M172" s="127"/>
      <c r="N172" s="137"/>
      <c r="O172" s="58" t="str" cm="1">
        <f>IF(ISBLANK($A172),"",INDEX(Array_OtherEnergyCharges,MATCH($A172,List_OtherEnergyMeters,0),ROUNDUP((COLUMN()+1)/3-2,0)))</f>
        <v/>
      </c>
      <c r="P172" s="127"/>
      <c r="Q172" s="137"/>
      <c r="R172" s="58" t="str" cm="1">
        <f>IF(ISBLANK($A172),"",INDEX(Array_OtherEnergyCharges,MATCH($A172,List_OtherEnergyMeters,0),ROUNDUP((COLUMN()+1)/3-2,0)))</f>
        <v/>
      </c>
      <c r="S172" s="127"/>
      <c r="T172" s="137"/>
    </row>
    <row r="173" spans="1:20" x14ac:dyDescent="0.3">
      <c r="A173" s="126"/>
      <c r="B173" s="133"/>
      <c r="C173" s="127"/>
      <c r="D173" s="138"/>
      <c r="E173" s="137"/>
      <c r="F173" s="58" t="str" cm="1">
        <f>IF(ISBLANK($A173),"",INDEX(Array_OtherEnergyCharges,MATCH($A173,List_OtherEnergyMeters,0),ROUNDUP((COLUMN()+1)/3-2,0)))</f>
        <v/>
      </c>
      <c r="G173" s="127"/>
      <c r="H173" s="137"/>
      <c r="I173" s="58" t="str" cm="1">
        <f>IF(ISBLANK($A173),"",INDEX(Array_OtherEnergyCharges,MATCH($A173,List_OtherEnergyMeters,0),ROUNDUP((COLUMN()+1)/3-2,0)))</f>
        <v/>
      </c>
      <c r="J173" s="127"/>
      <c r="K173" s="137"/>
      <c r="L173" s="58" t="str" cm="1">
        <f>IF(ISBLANK($A173),"",INDEX(Array_OtherEnergyCharges,MATCH($A173,List_OtherEnergyMeters,0),ROUNDUP((COLUMN()+1)/3-2,0)))</f>
        <v/>
      </c>
      <c r="M173" s="127"/>
      <c r="N173" s="137"/>
      <c r="O173" s="58" t="str" cm="1">
        <f>IF(ISBLANK($A173),"",INDEX(Array_OtherEnergyCharges,MATCH($A173,List_OtherEnergyMeters,0),ROUNDUP((COLUMN()+1)/3-2,0)))</f>
        <v/>
      </c>
      <c r="P173" s="127"/>
      <c r="Q173" s="137"/>
      <c r="R173" s="58" t="str" cm="1">
        <f>IF(ISBLANK($A173),"",INDEX(Array_OtherEnergyCharges,MATCH($A173,List_OtherEnergyMeters,0),ROUNDUP((COLUMN()+1)/3-2,0)))</f>
        <v/>
      </c>
      <c r="S173" s="127"/>
      <c r="T173" s="137"/>
    </row>
    <row r="174" spans="1:20" x14ac:dyDescent="0.3">
      <c r="A174" s="126"/>
      <c r="B174" s="133"/>
      <c r="C174" s="127"/>
      <c r="D174" s="138"/>
      <c r="E174" s="137"/>
      <c r="F174" s="58" t="str" cm="1">
        <f>IF(ISBLANK($A174),"",INDEX(Array_OtherEnergyCharges,MATCH($A174,List_OtherEnergyMeters,0),ROUNDUP((COLUMN()+1)/3-2,0)))</f>
        <v/>
      </c>
      <c r="G174" s="127"/>
      <c r="H174" s="137"/>
      <c r="I174" s="58" t="str" cm="1">
        <f>IF(ISBLANK($A174),"",INDEX(Array_OtherEnergyCharges,MATCH($A174,List_OtherEnergyMeters,0),ROUNDUP((COLUMN()+1)/3-2,0)))</f>
        <v/>
      </c>
      <c r="J174" s="127"/>
      <c r="K174" s="137"/>
      <c r="L174" s="58" t="str" cm="1">
        <f>IF(ISBLANK($A174),"",INDEX(Array_OtherEnergyCharges,MATCH($A174,List_OtherEnergyMeters,0),ROUNDUP((COLUMN()+1)/3-2,0)))</f>
        <v/>
      </c>
      <c r="M174" s="127"/>
      <c r="N174" s="137"/>
      <c r="O174" s="58" t="str" cm="1">
        <f>IF(ISBLANK($A174),"",INDEX(Array_OtherEnergyCharges,MATCH($A174,List_OtherEnergyMeters,0),ROUNDUP((COLUMN()+1)/3-2,0)))</f>
        <v/>
      </c>
      <c r="P174" s="127"/>
      <c r="Q174" s="137"/>
      <c r="R174" s="58" t="str" cm="1">
        <f>IF(ISBLANK($A174),"",INDEX(Array_OtherEnergyCharges,MATCH($A174,List_OtherEnergyMeters,0),ROUNDUP((COLUMN()+1)/3-2,0)))</f>
        <v/>
      </c>
      <c r="S174" s="127"/>
      <c r="T174" s="137"/>
    </row>
    <row r="175" spans="1:20" x14ac:dyDescent="0.3">
      <c r="A175" s="126"/>
      <c r="B175" s="133"/>
      <c r="C175" s="127"/>
      <c r="D175" s="138"/>
      <c r="E175" s="137"/>
      <c r="F175" s="58" t="str" cm="1">
        <f>IF(ISBLANK($A175),"",INDEX(Array_OtherEnergyCharges,MATCH($A175,List_OtherEnergyMeters,0),ROUNDUP((COLUMN()+1)/3-2,0)))</f>
        <v/>
      </c>
      <c r="G175" s="127"/>
      <c r="H175" s="137"/>
      <c r="I175" s="58" t="str" cm="1">
        <f>IF(ISBLANK($A175),"",INDEX(Array_OtherEnergyCharges,MATCH($A175,List_OtherEnergyMeters,0),ROUNDUP((COLUMN()+1)/3-2,0)))</f>
        <v/>
      </c>
      <c r="J175" s="127"/>
      <c r="K175" s="137"/>
      <c r="L175" s="58" t="str" cm="1">
        <f>IF(ISBLANK($A175),"",INDEX(Array_OtherEnergyCharges,MATCH($A175,List_OtherEnergyMeters,0),ROUNDUP((COLUMN()+1)/3-2,0)))</f>
        <v/>
      </c>
      <c r="M175" s="127"/>
      <c r="N175" s="137"/>
      <c r="O175" s="58" t="str" cm="1">
        <f>IF(ISBLANK($A175),"",INDEX(Array_OtherEnergyCharges,MATCH($A175,List_OtherEnergyMeters,0),ROUNDUP((COLUMN()+1)/3-2,0)))</f>
        <v/>
      </c>
      <c r="P175" s="127"/>
      <c r="Q175" s="137"/>
      <c r="R175" s="58" t="str" cm="1">
        <f>IF(ISBLANK($A175),"",INDEX(Array_OtherEnergyCharges,MATCH($A175,List_OtherEnergyMeters,0),ROUNDUP((COLUMN()+1)/3-2,0)))</f>
        <v/>
      </c>
      <c r="S175" s="127"/>
      <c r="T175" s="137"/>
    </row>
    <row r="176" spans="1:20" x14ac:dyDescent="0.3">
      <c r="A176" s="126"/>
      <c r="B176" s="133"/>
      <c r="C176" s="127"/>
      <c r="D176" s="138"/>
      <c r="E176" s="137"/>
      <c r="F176" s="58" t="str" cm="1">
        <f>IF(ISBLANK($A176),"",INDEX(Array_OtherEnergyCharges,MATCH($A176,List_OtherEnergyMeters,0),ROUNDUP((COLUMN()+1)/3-2,0)))</f>
        <v/>
      </c>
      <c r="G176" s="127"/>
      <c r="H176" s="137"/>
      <c r="I176" s="58" t="str" cm="1">
        <f>IF(ISBLANK($A176),"",INDEX(Array_OtherEnergyCharges,MATCH($A176,List_OtherEnergyMeters,0),ROUNDUP((COLUMN()+1)/3-2,0)))</f>
        <v/>
      </c>
      <c r="J176" s="127"/>
      <c r="K176" s="137"/>
      <c r="L176" s="58" t="str" cm="1">
        <f>IF(ISBLANK($A176),"",INDEX(Array_OtherEnergyCharges,MATCH($A176,List_OtherEnergyMeters,0),ROUNDUP((COLUMN()+1)/3-2,0)))</f>
        <v/>
      </c>
      <c r="M176" s="127"/>
      <c r="N176" s="137"/>
      <c r="O176" s="58" t="str" cm="1">
        <f>IF(ISBLANK($A176),"",INDEX(Array_OtherEnergyCharges,MATCH($A176,List_OtherEnergyMeters,0),ROUNDUP((COLUMN()+1)/3-2,0)))</f>
        <v/>
      </c>
      <c r="P176" s="127"/>
      <c r="Q176" s="137"/>
      <c r="R176" s="58" t="str" cm="1">
        <f>IF(ISBLANK($A176),"",INDEX(Array_OtherEnergyCharges,MATCH($A176,List_OtherEnergyMeters,0),ROUNDUP((COLUMN()+1)/3-2,0)))</f>
        <v/>
      </c>
      <c r="S176" s="127"/>
      <c r="T176" s="137"/>
    </row>
    <row r="177" spans="1:20" x14ac:dyDescent="0.3">
      <c r="A177" s="126"/>
      <c r="B177" s="133"/>
      <c r="C177" s="127"/>
      <c r="D177" s="138"/>
      <c r="E177" s="137"/>
      <c r="F177" s="58" t="str" cm="1">
        <f>IF(ISBLANK($A177),"",INDEX(Array_OtherEnergyCharges,MATCH($A177,List_OtherEnergyMeters,0),ROUNDUP((COLUMN()+1)/3-2,0)))</f>
        <v/>
      </c>
      <c r="G177" s="127"/>
      <c r="H177" s="137"/>
      <c r="I177" s="58" t="str" cm="1">
        <f>IF(ISBLANK($A177),"",INDEX(Array_OtherEnergyCharges,MATCH($A177,List_OtherEnergyMeters,0),ROUNDUP((COLUMN()+1)/3-2,0)))</f>
        <v/>
      </c>
      <c r="J177" s="127"/>
      <c r="K177" s="137"/>
      <c r="L177" s="58" t="str" cm="1">
        <f>IF(ISBLANK($A177),"",INDEX(Array_OtherEnergyCharges,MATCH($A177,List_OtherEnergyMeters,0),ROUNDUP((COLUMN()+1)/3-2,0)))</f>
        <v/>
      </c>
      <c r="M177" s="127"/>
      <c r="N177" s="137"/>
      <c r="O177" s="58" t="str" cm="1">
        <f>IF(ISBLANK($A177),"",INDEX(Array_OtherEnergyCharges,MATCH($A177,List_OtherEnergyMeters,0),ROUNDUP((COLUMN()+1)/3-2,0)))</f>
        <v/>
      </c>
      <c r="P177" s="127"/>
      <c r="Q177" s="137"/>
      <c r="R177" s="58" t="str" cm="1">
        <f>IF(ISBLANK($A177),"",INDEX(Array_OtherEnergyCharges,MATCH($A177,List_OtherEnergyMeters,0),ROUNDUP((COLUMN()+1)/3-2,0)))</f>
        <v/>
      </c>
      <c r="S177" s="127"/>
      <c r="T177" s="137"/>
    </row>
    <row r="178" spans="1:20" x14ac:dyDescent="0.3">
      <c r="A178" s="126"/>
      <c r="B178" s="133"/>
      <c r="C178" s="127"/>
      <c r="D178" s="138"/>
      <c r="E178" s="137"/>
      <c r="F178" s="58" t="str" cm="1">
        <f>IF(ISBLANK($A178),"",INDEX(Array_OtherEnergyCharges,MATCH($A178,List_OtherEnergyMeters,0),ROUNDUP((COLUMN()+1)/3-2,0)))</f>
        <v/>
      </c>
      <c r="G178" s="127"/>
      <c r="H178" s="137"/>
      <c r="I178" s="58" t="str" cm="1">
        <f>IF(ISBLANK($A178),"",INDEX(Array_OtherEnergyCharges,MATCH($A178,List_OtherEnergyMeters,0),ROUNDUP((COLUMN()+1)/3-2,0)))</f>
        <v/>
      </c>
      <c r="J178" s="127"/>
      <c r="K178" s="137"/>
      <c r="L178" s="58" t="str" cm="1">
        <f>IF(ISBLANK($A178),"",INDEX(Array_OtherEnergyCharges,MATCH($A178,List_OtherEnergyMeters,0),ROUNDUP((COLUMN()+1)/3-2,0)))</f>
        <v/>
      </c>
      <c r="M178" s="127"/>
      <c r="N178" s="137"/>
      <c r="O178" s="58" t="str" cm="1">
        <f>IF(ISBLANK($A178),"",INDEX(Array_OtherEnergyCharges,MATCH($A178,List_OtherEnergyMeters,0),ROUNDUP((COLUMN()+1)/3-2,0)))</f>
        <v/>
      </c>
      <c r="P178" s="127"/>
      <c r="Q178" s="137"/>
      <c r="R178" s="58" t="str" cm="1">
        <f>IF(ISBLANK($A178),"",INDEX(Array_OtherEnergyCharges,MATCH($A178,List_OtherEnergyMeters,0),ROUNDUP((COLUMN()+1)/3-2,0)))</f>
        <v/>
      </c>
      <c r="S178" s="127"/>
      <c r="T178" s="137"/>
    </row>
    <row r="179" spans="1:20" x14ac:dyDescent="0.3">
      <c r="A179" s="126"/>
      <c r="B179" s="133"/>
      <c r="C179" s="127"/>
      <c r="D179" s="138"/>
      <c r="E179" s="137"/>
      <c r="F179" s="58" t="str" cm="1">
        <f>IF(ISBLANK($A179),"",INDEX(Array_OtherEnergyCharges,MATCH($A179,List_OtherEnergyMeters,0),ROUNDUP((COLUMN()+1)/3-2,0)))</f>
        <v/>
      </c>
      <c r="G179" s="127"/>
      <c r="H179" s="137"/>
      <c r="I179" s="58" t="str" cm="1">
        <f>IF(ISBLANK($A179),"",INDEX(Array_OtherEnergyCharges,MATCH($A179,List_OtherEnergyMeters,0),ROUNDUP((COLUMN()+1)/3-2,0)))</f>
        <v/>
      </c>
      <c r="J179" s="127"/>
      <c r="K179" s="137"/>
      <c r="L179" s="58" t="str" cm="1">
        <f>IF(ISBLANK($A179),"",INDEX(Array_OtherEnergyCharges,MATCH($A179,List_OtherEnergyMeters,0),ROUNDUP((COLUMN()+1)/3-2,0)))</f>
        <v/>
      </c>
      <c r="M179" s="127"/>
      <c r="N179" s="137"/>
      <c r="O179" s="58" t="str" cm="1">
        <f>IF(ISBLANK($A179),"",INDEX(Array_OtherEnergyCharges,MATCH($A179,List_OtherEnergyMeters,0),ROUNDUP((COLUMN()+1)/3-2,0)))</f>
        <v/>
      </c>
      <c r="P179" s="127"/>
      <c r="Q179" s="137"/>
      <c r="R179" s="58" t="str" cm="1">
        <f>IF(ISBLANK($A179),"",INDEX(Array_OtherEnergyCharges,MATCH($A179,List_OtherEnergyMeters,0),ROUNDUP((COLUMN()+1)/3-2,0)))</f>
        <v/>
      </c>
      <c r="S179" s="127"/>
      <c r="T179" s="137"/>
    </row>
    <row r="180" spans="1:20" x14ac:dyDescent="0.3">
      <c r="A180" s="126"/>
      <c r="B180" s="133"/>
      <c r="C180" s="127"/>
      <c r="D180" s="138"/>
      <c r="E180" s="137"/>
      <c r="F180" s="58" t="str" cm="1">
        <f>IF(ISBLANK($A180),"",INDEX(Array_OtherEnergyCharges,MATCH($A180,List_OtherEnergyMeters,0),ROUNDUP((COLUMN()+1)/3-2,0)))</f>
        <v/>
      </c>
      <c r="G180" s="127"/>
      <c r="H180" s="137"/>
      <c r="I180" s="58" t="str" cm="1">
        <f>IF(ISBLANK($A180),"",INDEX(Array_OtherEnergyCharges,MATCH($A180,List_OtherEnergyMeters,0),ROUNDUP((COLUMN()+1)/3-2,0)))</f>
        <v/>
      </c>
      <c r="J180" s="127"/>
      <c r="K180" s="137"/>
      <c r="L180" s="58" t="str" cm="1">
        <f>IF(ISBLANK($A180),"",INDEX(Array_OtherEnergyCharges,MATCH($A180,List_OtherEnergyMeters,0),ROUNDUP((COLUMN()+1)/3-2,0)))</f>
        <v/>
      </c>
      <c r="M180" s="127"/>
      <c r="N180" s="137"/>
      <c r="O180" s="58" t="str" cm="1">
        <f>IF(ISBLANK($A180),"",INDEX(Array_OtherEnergyCharges,MATCH($A180,List_OtherEnergyMeters,0),ROUNDUP((COLUMN()+1)/3-2,0)))</f>
        <v/>
      </c>
      <c r="P180" s="127"/>
      <c r="Q180" s="137"/>
      <c r="R180" s="58" t="str" cm="1">
        <f>IF(ISBLANK($A180),"",INDEX(Array_OtherEnergyCharges,MATCH($A180,List_OtherEnergyMeters,0),ROUNDUP((COLUMN()+1)/3-2,0)))</f>
        <v/>
      </c>
      <c r="S180" s="127"/>
      <c r="T180" s="137"/>
    </row>
    <row r="181" spans="1:20" x14ac:dyDescent="0.3">
      <c r="A181" s="126"/>
      <c r="B181" s="133"/>
      <c r="C181" s="127"/>
      <c r="D181" s="138"/>
      <c r="E181" s="137"/>
      <c r="F181" s="58" t="str" cm="1">
        <f>IF(ISBLANK($A181),"",INDEX(Array_OtherEnergyCharges,MATCH($A181,List_OtherEnergyMeters,0),ROUNDUP((COLUMN()+1)/3-2,0)))</f>
        <v/>
      </c>
      <c r="G181" s="127"/>
      <c r="H181" s="137"/>
      <c r="I181" s="58" t="str" cm="1">
        <f>IF(ISBLANK($A181),"",INDEX(Array_OtherEnergyCharges,MATCH($A181,List_OtherEnergyMeters,0),ROUNDUP((COLUMN()+1)/3-2,0)))</f>
        <v/>
      </c>
      <c r="J181" s="127"/>
      <c r="K181" s="137"/>
      <c r="L181" s="58" t="str" cm="1">
        <f>IF(ISBLANK($A181),"",INDEX(Array_OtherEnergyCharges,MATCH($A181,List_OtherEnergyMeters,0),ROUNDUP((COLUMN()+1)/3-2,0)))</f>
        <v/>
      </c>
      <c r="M181" s="127"/>
      <c r="N181" s="137"/>
      <c r="O181" s="58" t="str" cm="1">
        <f>IF(ISBLANK($A181),"",INDEX(Array_OtherEnergyCharges,MATCH($A181,List_OtherEnergyMeters,0),ROUNDUP((COLUMN()+1)/3-2,0)))</f>
        <v/>
      </c>
      <c r="P181" s="127"/>
      <c r="Q181" s="137"/>
      <c r="R181" s="58" t="str" cm="1">
        <f>IF(ISBLANK($A181),"",INDEX(Array_OtherEnergyCharges,MATCH($A181,List_OtherEnergyMeters,0),ROUNDUP((COLUMN()+1)/3-2,0)))</f>
        <v/>
      </c>
      <c r="S181" s="127"/>
      <c r="T181" s="137"/>
    </row>
    <row r="182" spans="1:20" x14ac:dyDescent="0.3">
      <c r="A182" s="126"/>
      <c r="B182" s="133"/>
      <c r="C182" s="127"/>
      <c r="D182" s="138"/>
      <c r="E182" s="137"/>
      <c r="F182" s="58" t="str" cm="1">
        <f>IF(ISBLANK($A182),"",INDEX(Array_OtherEnergyCharges,MATCH($A182,List_OtherEnergyMeters,0),ROUNDUP((COLUMN()+1)/3-2,0)))</f>
        <v/>
      </c>
      <c r="G182" s="127"/>
      <c r="H182" s="137"/>
      <c r="I182" s="58" t="str" cm="1">
        <f>IF(ISBLANK($A182),"",INDEX(Array_OtherEnergyCharges,MATCH($A182,List_OtherEnergyMeters,0),ROUNDUP((COLUMN()+1)/3-2,0)))</f>
        <v/>
      </c>
      <c r="J182" s="127"/>
      <c r="K182" s="137"/>
      <c r="L182" s="58" t="str" cm="1">
        <f>IF(ISBLANK($A182),"",INDEX(Array_OtherEnergyCharges,MATCH($A182,List_OtherEnergyMeters,0),ROUNDUP((COLUMN()+1)/3-2,0)))</f>
        <v/>
      </c>
      <c r="M182" s="127"/>
      <c r="N182" s="137"/>
      <c r="O182" s="58" t="str" cm="1">
        <f>IF(ISBLANK($A182),"",INDEX(Array_OtherEnergyCharges,MATCH($A182,List_OtherEnergyMeters,0),ROUNDUP((COLUMN()+1)/3-2,0)))</f>
        <v/>
      </c>
      <c r="P182" s="127"/>
      <c r="Q182" s="137"/>
      <c r="R182" s="58" t="str" cm="1">
        <f>IF(ISBLANK($A182),"",INDEX(Array_OtherEnergyCharges,MATCH($A182,List_OtherEnergyMeters,0),ROUNDUP((COLUMN()+1)/3-2,0)))</f>
        <v/>
      </c>
      <c r="S182" s="127"/>
      <c r="T182" s="137"/>
    </row>
    <row r="183" spans="1:20" x14ac:dyDescent="0.3">
      <c r="A183" s="126"/>
      <c r="B183" s="133"/>
      <c r="C183" s="127"/>
      <c r="D183" s="138"/>
      <c r="E183" s="137"/>
      <c r="F183" s="58" t="str" cm="1">
        <f>IF(ISBLANK($A183),"",INDEX(Array_OtherEnergyCharges,MATCH($A183,List_OtherEnergyMeters,0),ROUNDUP((COLUMN()+1)/3-2,0)))</f>
        <v/>
      </c>
      <c r="G183" s="127"/>
      <c r="H183" s="137"/>
      <c r="I183" s="58" t="str" cm="1">
        <f>IF(ISBLANK($A183),"",INDEX(Array_OtherEnergyCharges,MATCH($A183,List_OtherEnergyMeters,0),ROUNDUP((COLUMN()+1)/3-2,0)))</f>
        <v/>
      </c>
      <c r="J183" s="127"/>
      <c r="K183" s="137"/>
      <c r="L183" s="58" t="str" cm="1">
        <f>IF(ISBLANK($A183),"",INDEX(Array_OtherEnergyCharges,MATCH($A183,List_OtherEnergyMeters,0),ROUNDUP((COLUMN()+1)/3-2,0)))</f>
        <v/>
      </c>
      <c r="M183" s="127"/>
      <c r="N183" s="137"/>
      <c r="O183" s="58" t="str" cm="1">
        <f>IF(ISBLANK($A183),"",INDEX(Array_OtherEnergyCharges,MATCH($A183,List_OtherEnergyMeters,0),ROUNDUP((COLUMN()+1)/3-2,0)))</f>
        <v/>
      </c>
      <c r="P183" s="127"/>
      <c r="Q183" s="137"/>
      <c r="R183" s="58" t="str" cm="1">
        <f>IF(ISBLANK($A183),"",INDEX(Array_OtherEnergyCharges,MATCH($A183,List_OtherEnergyMeters,0),ROUNDUP((COLUMN()+1)/3-2,0)))</f>
        <v/>
      </c>
      <c r="S183" s="127"/>
      <c r="T183" s="137"/>
    </row>
    <row r="184" spans="1:20" x14ac:dyDescent="0.3">
      <c r="A184" s="126"/>
      <c r="B184" s="133"/>
      <c r="C184" s="127"/>
      <c r="D184" s="138"/>
      <c r="E184" s="137"/>
      <c r="F184" s="58" t="str" cm="1">
        <f>IF(ISBLANK($A184),"",INDEX(Array_OtherEnergyCharges,MATCH($A184,List_OtherEnergyMeters,0),ROUNDUP((COLUMN()+1)/3-2,0)))</f>
        <v/>
      </c>
      <c r="G184" s="127"/>
      <c r="H184" s="137"/>
      <c r="I184" s="58" t="str" cm="1">
        <f>IF(ISBLANK($A184),"",INDEX(Array_OtherEnergyCharges,MATCH($A184,List_OtherEnergyMeters,0),ROUNDUP((COLUMN()+1)/3-2,0)))</f>
        <v/>
      </c>
      <c r="J184" s="127"/>
      <c r="K184" s="137"/>
      <c r="L184" s="58" t="str" cm="1">
        <f>IF(ISBLANK($A184),"",INDEX(Array_OtherEnergyCharges,MATCH($A184,List_OtherEnergyMeters,0),ROUNDUP((COLUMN()+1)/3-2,0)))</f>
        <v/>
      </c>
      <c r="M184" s="127"/>
      <c r="N184" s="137"/>
      <c r="O184" s="58" t="str" cm="1">
        <f>IF(ISBLANK($A184),"",INDEX(Array_OtherEnergyCharges,MATCH($A184,List_OtherEnergyMeters,0),ROUNDUP((COLUMN()+1)/3-2,0)))</f>
        <v/>
      </c>
      <c r="P184" s="127"/>
      <c r="Q184" s="137"/>
      <c r="R184" s="58" t="str" cm="1">
        <f>IF(ISBLANK($A184),"",INDEX(Array_OtherEnergyCharges,MATCH($A184,List_OtherEnergyMeters,0),ROUNDUP((COLUMN()+1)/3-2,0)))</f>
        <v/>
      </c>
      <c r="S184" s="127"/>
      <c r="T184" s="137"/>
    </row>
    <row r="185" spans="1:20" x14ac:dyDescent="0.3">
      <c r="A185" s="126"/>
      <c r="B185" s="133"/>
      <c r="C185" s="127"/>
      <c r="D185" s="138"/>
      <c r="E185" s="137"/>
      <c r="F185" s="58" t="str" cm="1">
        <f>IF(ISBLANK($A185),"",INDEX(Array_OtherEnergyCharges,MATCH($A185,List_OtherEnergyMeters,0),ROUNDUP((COLUMN()+1)/3-2,0)))</f>
        <v/>
      </c>
      <c r="G185" s="127"/>
      <c r="H185" s="137"/>
      <c r="I185" s="58" t="str" cm="1">
        <f>IF(ISBLANK($A185),"",INDEX(Array_OtherEnergyCharges,MATCH($A185,List_OtherEnergyMeters,0),ROUNDUP((COLUMN()+1)/3-2,0)))</f>
        <v/>
      </c>
      <c r="J185" s="127"/>
      <c r="K185" s="137"/>
      <c r="L185" s="58" t="str" cm="1">
        <f>IF(ISBLANK($A185),"",INDEX(Array_OtherEnergyCharges,MATCH($A185,List_OtherEnergyMeters,0),ROUNDUP((COLUMN()+1)/3-2,0)))</f>
        <v/>
      </c>
      <c r="M185" s="127"/>
      <c r="N185" s="137"/>
      <c r="O185" s="58" t="str" cm="1">
        <f>IF(ISBLANK($A185),"",INDEX(Array_OtherEnergyCharges,MATCH($A185,List_OtherEnergyMeters,0),ROUNDUP((COLUMN()+1)/3-2,0)))</f>
        <v/>
      </c>
      <c r="P185" s="127"/>
      <c r="Q185" s="137"/>
      <c r="R185" s="58" t="str" cm="1">
        <f>IF(ISBLANK($A185),"",INDEX(Array_OtherEnergyCharges,MATCH($A185,List_OtherEnergyMeters,0),ROUNDUP((COLUMN()+1)/3-2,0)))</f>
        <v/>
      </c>
      <c r="S185" s="127"/>
      <c r="T185" s="137"/>
    </row>
    <row r="186" spans="1:20" x14ac:dyDescent="0.3">
      <c r="A186" s="126"/>
      <c r="B186" s="133"/>
      <c r="C186" s="127"/>
      <c r="D186" s="138"/>
      <c r="E186" s="137"/>
      <c r="F186" s="58" t="str" cm="1">
        <f>IF(ISBLANK($A186),"",INDEX(Array_OtherEnergyCharges,MATCH($A186,List_OtherEnergyMeters,0),ROUNDUP((COLUMN()+1)/3-2,0)))</f>
        <v/>
      </c>
      <c r="G186" s="127"/>
      <c r="H186" s="137"/>
      <c r="I186" s="58" t="str" cm="1">
        <f>IF(ISBLANK($A186),"",INDEX(Array_OtherEnergyCharges,MATCH($A186,List_OtherEnergyMeters,0),ROUNDUP((COLUMN()+1)/3-2,0)))</f>
        <v/>
      </c>
      <c r="J186" s="127"/>
      <c r="K186" s="137"/>
      <c r="L186" s="58" t="str" cm="1">
        <f>IF(ISBLANK($A186),"",INDEX(Array_OtherEnergyCharges,MATCH($A186,List_OtherEnergyMeters,0),ROUNDUP((COLUMN()+1)/3-2,0)))</f>
        <v/>
      </c>
      <c r="M186" s="127"/>
      <c r="N186" s="137"/>
      <c r="O186" s="58" t="str" cm="1">
        <f>IF(ISBLANK($A186),"",INDEX(Array_OtherEnergyCharges,MATCH($A186,List_OtherEnergyMeters,0),ROUNDUP((COLUMN()+1)/3-2,0)))</f>
        <v/>
      </c>
      <c r="P186" s="127"/>
      <c r="Q186" s="137"/>
      <c r="R186" s="58" t="str" cm="1">
        <f>IF(ISBLANK($A186),"",INDEX(Array_OtherEnergyCharges,MATCH($A186,List_OtherEnergyMeters,0),ROUNDUP((COLUMN()+1)/3-2,0)))</f>
        <v/>
      </c>
      <c r="S186" s="127"/>
      <c r="T186" s="137"/>
    </row>
    <row r="187" spans="1:20" x14ac:dyDescent="0.3">
      <c r="A187" s="126"/>
      <c r="B187" s="133"/>
      <c r="C187" s="127"/>
      <c r="D187" s="138"/>
      <c r="E187" s="137"/>
      <c r="F187" s="58" t="str" cm="1">
        <f>IF(ISBLANK($A187),"",INDEX(Array_OtherEnergyCharges,MATCH($A187,List_OtherEnergyMeters,0),ROUNDUP((COLUMN()+1)/3-2,0)))</f>
        <v/>
      </c>
      <c r="G187" s="127"/>
      <c r="H187" s="137"/>
      <c r="I187" s="58" t="str" cm="1">
        <f>IF(ISBLANK($A187),"",INDEX(Array_OtherEnergyCharges,MATCH($A187,List_OtherEnergyMeters,0),ROUNDUP((COLUMN()+1)/3-2,0)))</f>
        <v/>
      </c>
      <c r="J187" s="127"/>
      <c r="K187" s="137"/>
      <c r="L187" s="58" t="str" cm="1">
        <f>IF(ISBLANK($A187),"",INDEX(Array_OtherEnergyCharges,MATCH($A187,List_OtherEnergyMeters,0),ROUNDUP((COLUMN()+1)/3-2,0)))</f>
        <v/>
      </c>
      <c r="M187" s="127"/>
      <c r="N187" s="137"/>
      <c r="O187" s="58" t="str" cm="1">
        <f>IF(ISBLANK($A187),"",INDEX(Array_OtherEnergyCharges,MATCH($A187,List_OtherEnergyMeters,0),ROUNDUP((COLUMN()+1)/3-2,0)))</f>
        <v/>
      </c>
      <c r="P187" s="127"/>
      <c r="Q187" s="137"/>
      <c r="R187" s="58" t="str" cm="1">
        <f>IF(ISBLANK($A187),"",INDEX(Array_OtherEnergyCharges,MATCH($A187,List_OtherEnergyMeters,0),ROUNDUP((COLUMN()+1)/3-2,0)))</f>
        <v/>
      </c>
      <c r="S187" s="127"/>
      <c r="T187" s="137"/>
    </row>
    <row r="188" spans="1:20" x14ac:dyDescent="0.3">
      <c r="A188" s="126"/>
      <c r="B188" s="133"/>
      <c r="C188" s="127"/>
      <c r="D188" s="138"/>
      <c r="E188" s="137"/>
      <c r="F188" s="58" t="str" cm="1">
        <f>IF(ISBLANK($A188),"",INDEX(Array_OtherEnergyCharges,MATCH($A188,List_OtherEnergyMeters,0),ROUNDUP((COLUMN()+1)/3-2,0)))</f>
        <v/>
      </c>
      <c r="G188" s="127"/>
      <c r="H188" s="137"/>
      <c r="I188" s="58" t="str" cm="1">
        <f>IF(ISBLANK($A188),"",INDEX(Array_OtherEnergyCharges,MATCH($A188,List_OtherEnergyMeters,0),ROUNDUP((COLUMN()+1)/3-2,0)))</f>
        <v/>
      </c>
      <c r="J188" s="127"/>
      <c r="K188" s="137"/>
      <c r="L188" s="58" t="str" cm="1">
        <f>IF(ISBLANK($A188),"",INDEX(Array_OtherEnergyCharges,MATCH($A188,List_OtherEnergyMeters,0),ROUNDUP((COLUMN()+1)/3-2,0)))</f>
        <v/>
      </c>
      <c r="M188" s="127"/>
      <c r="N188" s="137"/>
      <c r="O188" s="58" t="str" cm="1">
        <f>IF(ISBLANK($A188),"",INDEX(Array_OtherEnergyCharges,MATCH($A188,List_OtherEnergyMeters,0),ROUNDUP((COLUMN()+1)/3-2,0)))</f>
        <v/>
      </c>
      <c r="P188" s="127"/>
      <c r="Q188" s="137"/>
      <c r="R188" s="58" t="str" cm="1">
        <f>IF(ISBLANK($A188),"",INDEX(Array_OtherEnergyCharges,MATCH($A188,List_OtherEnergyMeters,0),ROUNDUP((COLUMN()+1)/3-2,0)))</f>
        <v/>
      </c>
      <c r="S188" s="127"/>
      <c r="T188" s="137"/>
    </row>
    <row r="189" spans="1:20" x14ac:dyDescent="0.3">
      <c r="A189" s="126"/>
      <c r="B189" s="133"/>
      <c r="C189" s="127"/>
      <c r="D189" s="138"/>
      <c r="E189" s="137"/>
      <c r="F189" s="58" t="str" cm="1">
        <f>IF(ISBLANK($A189),"",INDEX(Array_OtherEnergyCharges,MATCH($A189,List_OtherEnergyMeters,0),ROUNDUP((COLUMN()+1)/3-2,0)))</f>
        <v/>
      </c>
      <c r="G189" s="127"/>
      <c r="H189" s="137"/>
      <c r="I189" s="58" t="str" cm="1">
        <f>IF(ISBLANK($A189),"",INDEX(Array_OtherEnergyCharges,MATCH($A189,List_OtherEnergyMeters,0),ROUNDUP((COLUMN()+1)/3-2,0)))</f>
        <v/>
      </c>
      <c r="J189" s="127"/>
      <c r="K189" s="137"/>
      <c r="L189" s="58" t="str" cm="1">
        <f>IF(ISBLANK($A189),"",INDEX(Array_OtherEnergyCharges,MATCH($A189,List_OtherEnergyMeters,0),ROUNDUP((COLUMN()+1)/3-2,0)))</f>
        <v/>
      </c>
      <c r="M189" s="127"/>
      <c r="N189" s="137"/>
      <c r="O189" s="58" t="str" cm="1">
        <f>IF(ISBLANK($A189),"",INDEX(Array_OtherEnergyCharges,MATCH($A189,List_OtherEnergyMeters,0),ROUNDUP((COLUMN()+1)/3-2,0)))</f>
        <v/>
      </c>
      <c r="P189" s="127"/>
      <c r="Q189" s="137"/>
      <c r="R189" s="58" t="str" cm="1">
        <f>IF(ISBLANK($A189),"",INDEX(Array_OtherEnergyCharges,MATCH($A189,List_OtherEnergyMeters,0),ROUNDUP((COLUMN()+1)/3-2,0)))</f>
        <v/>
      </c>
      <c r="S189" s="127"/>
      <c r="T189" s="137"/>
    </row>
    <row r="190" spans="1:20" x14ac:dyDescent="0.3">
      <c r="A190" s="126"/>
      <c r="B190" s="133"/>
      <c r="C190" s="127"/>
      <c r="D190" s="138"/>
      <c r="E190" s="137"/>
      <c r="F190" s="58" t="str" cm="1">
        <f>IF(ISBLANK($A190),"",INDEX(Array_OtherEnergyCharges,MATCH($A190,List_OtherEnergyMeters,0),ROUNDUP((COLUMN()+1)/3-2,0)))</f>
        <v/>
      </c>
      <c r="G190" s="127"/>
      <c r="H190" s="137"/>
      <c r="I190" s="58" t="str" cm="1">
        <f>IF(ISBLANK($A190),"",INDEX(Array_OtherEnergyCharges,MATCH($A190,List_OtherEnergyMeters,0),ROUNDUP((COLUMN()+1)/3-2,0)))</f>
        <v/>
      </c>
      <c r="J190" s="127"/>
      <c r="K190" s="137"/>
      <c r="L190" s="58" t="str" cm="1">
        <f>IF(ISBLANK($A190),"",INDEX(Array_OtherEnergyCharges,MATCH($A190,List_OtherEnergyMeters,0),ROUNDUP((COLUMN()+1)/3-2,0)))</f>
        <v/>
      </c>
      <c r="M190" s="127"/>
      <c r="N190" s="137"/>
      <c r="O190" s="58" t="str" cm="1">
        <f>IF(ISBLANK($A190),"",INDEX(Array_OtherEnergyCharges,MATCH($A190,List_OtherEnergyMeters,0),ROUNDUP((COLUMN()+1)/3-2,0)))</f>
        <v/>
      </c>
      <c r="P190" s="127"/>
      <c r="Q190" s="137"/>
      <c r="R190" s="58" t="str" cm="1">
        <f>IF(ISBLANK($A190),"",INDEX(Array_OtherEnergyCharges,MATCH($A190,List_OtherEnergyMeters,0),ROUNDUP((COLUMN()+1)/3-2,0)))</f>
        <v/>
      </c>
      <c r="S190" s="127"/>
      <c r="T190" s="137"/>
    </row>
    <row r="191" spans="1:20" x14ac:dyDescent="0.3">
      <c r="A191" s="126"/>
      <c r="B191" s="133"/>
      <c r="C191" s="127"/>
      <c r="D191" s="138"/>
      <c r="E191" s="137"/>
      <c r="F191" s="58" t="str" cm="1">
        <f>IF(ISBLANK($A191),"",INDEX(Array_OtherEnergyCharges,MATCH($A191,List_OtherEnergyMeters,0),ROUNDUP((COLUMN()+1)/3-2,0)))</f>
        <v/>
      </c>
      <c r="G191" s="127"/>
      <c r="H191" s="137"/>
      <c r="I191" s="58" t="str" cm="1">
        <f>IF(ISBLANK($A191),"",INDEX(Array_OtherEnergyCharges,MATCH($A191,List_OtherEnergyMeters,0),ROUNDUP((COLUMN()+1)/3-2,0)))</f>
        <v/>
      </c>
      <c r="J191" s="127"/>
      <c r="K191" s="137"/>
      <c r="L191" s="58" t="str" cm="1">
        <f>IF(ISBLANK($A191),"",INDEX(Array_OtherEnergyCharges,MATCH($A191,List_OtherEnergyMeters,0),ROUNDUP((COLUMN()+1)/3-2,0)))</f>
        <v/>
      </c>
      <c r="M191" s="127"/>
      <c r="N191" s="137"/>
      <c r="O191" s="58" t="str" cm="1">
        <f>IF(ISBLANK($A191),"",INDEX(Array_OtherEnergyCharges,MATCH($A191,List_OtherEnergyMeters,0),ROUNDUP((COLUMN()+1)/3-2,0)))</f>
        <v/>
      </c>
      <c r="P191" s="127"/>
      <c r="Q191" s="137"/>
      <c r="R191" s="58" t="str" cm="1">
        <f>IF(ISBLANK($A191),"",INDEX(Array_OtherEnergyCharges,MATCH($A191,List_OtherEnergyMeters,0),ROUNDUP((COLUMN()+1)/3-2,0)))</f>
        <v/>
      </c>
      <c r="S191" s="127"/>
      <c r="T191" s="137"/>
    </row>
    <row r="192" spans="1:20" x14ac:dyDescent="0.3">
      <c r="A192" s="126"/>
      <c r="B192" s="133"/>
      <c r="C192" s="127"/>
      <c r="D192" s="138"/>
      <c r="E192" s="137"/>
      <c r="F192" s="58" t="str" cm="1">
        <f>IF(ISBLANK($A192),"",INDEX(Array_OtherEnergyCharges,MATCH($A192,List_OtherEnergyMeters,0),ROUNDUP((COLUMN()+1)/3-2,0)))</f>
        <v/>
      </c>
      <c r="G192" s="127"/>
      <c r="H192" s="137"/>
      <c r="I192" s="58" t="str" cm="1">
        <f>IF(ISBLANK($A192),"",INDEX(Array_OtherEnergyCharges,MATCH($A192,List_OtherEnergyMeters,0),ROUNDUP((COLUMN()+1)/3-2,0)))</f>
        <v/>
      </c>
      <c r="J192" s="127"/>
      <c r="K192" s="137"/>
      <c r="L192" s="58" t="str" cm="1">
        <f>IF(ISBLANK($A192),"",INDEX(Array_OtherEnergyCharges,MATCH($A192,List_OtherEnergyMeters,0),ROUNDUP((COLUMN()+1)/3-2,0)))</f>
        <v/>
      </c>
      <c r="M192" s="127"/>
      <c r="N192" s="137"/>
      <c r="O192" s="58" t="str" cm="1">
        <f>IF(ISBLANK($A192),"",INDEX(Array_OtherEnergyCharges,MATCH($A192,List_OtherEnergyMeters,0),ROUNDUP((COLUMN()+1)/3-2,0)))</f>
        <v/>
      </c>
      <c r="P192" s="127"/>
      <c r="Q192" s="137"/>
      <c r="R192" s="58" t="str" cm="1">
        <f>IF(ISBLANK($A192),"",INDEX(Array_OtherEnergyCharges,MATCH($A192,List_OtherEnergyMeters,0),ROUNDUP((COLUMN()+1)/3-2,0)))</f>
        <v/>
      </c>
      <c r="S192" s="127"/>
      <c r="T192" s="137"/>
    </row>
    <row r="193" spans="1:20" x14ac:dyDescent="0.3">
      <c r="A193" s="126"/>
      <c r="B193" s="133"/>
      <c r="C193" s="127"/>
      <c r="D193" s="138"/>
      <c r="E193" s="137"/>
      <c r="F193" s="58" t="str" cm="1">
        <f>IF(ISBLANK($A193),"",INDEX(Array_OtherEnergyCharges,MATCH($A193,List_OtherEnergyMeters,0),ROUNDUP((COLUMN()+1)/3-2,0)))</f>
        <v/>
      </c>
      <c r="G193" s="127"/>
      <c r="H193" s="137"/>
      <c r="I193" s="58" t="str" cm="1">
        <f>IF(ISBLANK($A193),"",INDEX(Array_OtherEnergyCharges,MATCH($A193,List_OtherEnergyMeters,0),ROUNDUP((COLUMN()+1)/3-2,0)))</f>
        <v/>
      </c>
      <c r="J193" s="127"/>
      <c r="K193" s="137"/>
      <c r="L193" s="58" t="str" cm="1">
        <f>IF(ISBLANK($A193),"",INDEX(Array_OtherEnergyCharges,MATCH($A193,List_OtherEnergyMeters,0),ROUNDUP((COLUMN()+1)/3-2,0)))</f>
        <v/>
      </c>
      <c r="M193" s="127"/>
      <c r="N193" s="137"/>
      <c r="O193" s="58" t="str" cm="1">
        <f>IF(ISBLANK($A193),"",INDEX(Array_OtherEnergyCharges,MATCH($A193,List_OtherEnergyMeters,0),ROUNDUP((COLUMN()+1)/3-2,0)))</f>
        <v/>
      </c>
      <c r="P193" s="127"/>
      <c r="Q193" s="137"/>
      <c r="R193" s="58" t="str" cm="1">
        <f>IF(ISBLANK($A193),"",INDEX(Array_OtherEnergyCharges,MATCH($A193,List_OtherEnergyMeters,0),ROUNDUP((COLUMN()+1)/3-2,0)))</f>
        <v/>
      </c>
      <c r="S193" s="127"/>
      <c r="T193" s="137"/>
    </row>
    <row r="194" spans="1:20" x14ac:dyDescent="0.3">
      <c r="A194" s="126"/>
      <c r="B194" s="133"/>
      <c r="C194" s="127"/>
      <c r="D194" s="138"/>
      <c r="E194" s="137"/>
      <c r="F194" s="58" t="str" cm="1">
        <f>IF(ISBLANK($A194),"",INDEX(Array_OtherEnergyCharges,MATCH($A194,List_OtherEnergyMeters,0),ROUNDUP((COLUMN()+1)/3-2,0)))</f>
        <v/>
      </c>
      <c r="G194" s="127"/>
      <c r="H194" s="137"/>
      <c r="I194" s="58" t="str" cm="1">
        <f>IF(ISBLANK($A194),"",INDEX(Array_OtherEnergyCharges,MATCH($A194,List_OtherEnergyMeters,0),ROUNDUP((COLUMN()+1)/3-2,0)))</f>
        <v/>
      </c>
      <c r="J194" s="127"/>
      <c r="K194" s="137"/>
      <c r="L194" s="58" t="str" cm="1">
        <f>IF(ISBLANK($A194),"",INDEX(Array_OtherEnergyCharges,MATCH($A194,List_OtherEnergyMeters,0),ROUNDUP((COLUMN()+1)/3-2,0)))</f>
        <v/>
      </c>
      <c r="M194" s="127"/>
      <c r="N194" s="137"/>
      <c r="O194" s="58" t="str" cm="1">
        <f>IF(ISBLANK($A194),"",INDEX(Array_OtherEnergyCharges,MATCH($A194,List_OtherEnergyMeters,0),ROUNDUP((COLUMN()+1)/3-2,0)))</f>
        <v/>
      </c>
      <c r="P194" s="127"/>
      <c r="Q194" s="137"/>
      <c r="R194" s="58" t="str" cm="1">
        <f>IF(ISBLANK($A194),"",INDEX(Array_OtherEnergyCharges,MATCH($A194,List_OtherEnergyMeters,0),ROUNDUP((COLUMN()+1)/3-2,0)))</f>
        <v/>
      </c>
      <c r="S194" s="127"/>
      <c r="T194" s="137"/>
    </row>
    <row r="195" spans="1:20" x14ac:dyDescent="0.3">
      <c r="A195" s="126"/>
      <c r="B195" s="133"/>
      <c r="C195" s="127"/>
      <c r="D195" s="138"/>
      <c r="E195" s="137"/>
      <c r="F195" s="58" t="str" cm="1">
        <f>IF(ISBLANK($A195),"",INDEX(Array_OtherEnergyCharges,MATCH($A195,List_OtherEnergyMeters,0),ROUNDUP((COLUMN()+1)/3-2,0)))</f>
        <v/>
      </c>
      <c r="G195" s="127"/>
      <c r="H195" s="137"/>
      <c r="I195" s="58" t="str" cm="1">
        <f>IF(ISBLANK($A195),"",INDEX(Array_OtherEnergyCharges,MATCH($A195,List_OtherEnergyMeters,0),ROUNDUP((COLUMN()+1)/3-2,0)))</f>
        <v/>
      </c>
      <c r="J195" s="127"/>
      <c r="K195" s="137"/>
      <c r="L195" s="58" t="str" cm="1">
        <f>IF(ISBLANK($A195),"",INDEX(Array_OtherEnergyCharges,MATCH($A195,List_OtherEnergyMeters,0),ROUNDUP((COLUMN()+1)/3-2,0)))</f>
        <v/>
      </c>
      <c r="M195" s="127"/>
      <c r="N195" s="137"/>
      <c r="O195" s="58" t="str" cm="1">
        <f>IF(ISBLANK($A195),"",INDEX(Array_OtherEnergyCharges,MATCH($A195,List_OtherEnergyMeters,0),ROUNDUP((COLUMN()+1)/3-2,0)))</f>
        <v/>
      </c>
      <c r="P195" s="127"/>
      <c r="Q195" s="137"/>
      <c r="R195" s="58" t="str" cm="1">
        <f>IF(ISBLANK($A195),"",INDEX(Array_OtherEnergyCharges,MATCH($A195,List_OtherEnergyMeters,0),ROUNDUP((COLUMN()+1)/3-2,0)))</f>
        <v/>
      </c>
      <c r="S195" s="127"/>
      <c r="T195" s="137"/>
    </row>
    <row r="196" spans="1:20" x14ac:dyDescent="0.3">
      <c r="A196" s="126"/>
      <c r="B196" s="133"/>
      <c r="C196" s="127"/>
      <c r="D196" s="138"/>
      <c r="E196" s="137"/>
      <c r="F196" s="58" t="str" cm="1">
        <f>IF(ISBLANK($A196),"",INDEX(Array_OtherEnergyCharges,MATCH($A196,List_OtherEnergyMeters,0),ROUNDUP((COLUMN()+1)/3-2,0)))</f>
        <v/>
      </c>
      <c r="G196" s="127"/>
      <c r="H196" s="137"/>
      <c r="I196" s="58" t="str" cm="1">
        <f>IF(ISBLANK($A196),"",INDEX(Array_OtherEnergyCharges,MATCH($A196,List_OtherEnergyMeters,0),ROUNDUP((COLUMN()+1)/3-2,0)))</f>
        <v/>
      </c>
      <c r="J196" s="127"/>
      <c r="K196" s="137"/>
      <c r="L196" s="58" t="str" cm="1">
        <f>IF(ISBLANK($A196),"",INDEX(Array_OtherEnergyCharges,MATCH($A196,List_OtherEnergyMeters,0),ROUNDUP((COLUMN()+1)/3-2,0)))</f>
        <v/>
      </c>
      <c r="M196" s="127"/>
      <c r="N196" s="137"/>
      <c r="O196" s="58" t="str" cm="1">
        <f>IF(ISBLANK($A196),"",INDEX(Array_OtherEnergyCharges,MATCH($A196,List_OtherEnergyMeters,0),ROUNDUP((COLUMN()+1)/3-2,0)))</f>
        <v/>
      </c>
      <c r="P196" s="127"/>
      <c r="Q196" s="137"/>
      <c r="R196" s="58" t="str" cm="1">
        <f>IF(ISBLANK($A196),"",INDEX(Array_OtherEnergyCharges,MATCH($A196,List_OtherEnergyMeters,0),ROUNDUP((COLUMN()+1)/3-2,0)))</f>
        <v/>
      </c>
      <c r="S196" s="127"/>
      <c r="T196" s="137"/>
    </row>
    <row r="197" spans="1:20" x14ac:dyDescent="0.3">
      <c r="A197" s="126"/>
      <c r="B197" s="133"/>
      <c r="C197" s="127"/>
      <c r="D197" s="138"/>
      <c r="E197" s="137"/>
      <c r="F197" s="58" t="str" cm="1">
        <f>IF(ISBLANK($A197),"",INDEX(Array_OtherEnergyCharges,MATCH($A197,List_OtherEnergyMeters,0),ROUNDUP((COLUMN()+1)/3-2,0)))</f>
        <v/>
      </c>
      <c r="G197" s="127"/>
      <c r="H197" s="137"/>
      <c r="I197" s="58" t="str" cm="1">
        <f>IF(ISBLANK($A197),"",INDEX(Array_OtherEnergyCharges,MATCH($A197,List_OtherEnergyMeters,0),ROUNDUP((COLUMN()+1)/3-2,0)))</f>
        <v/>
      </c>
      <c r="J197" s="127"/>
      <c r="K197" s="137"/>
      <c r="L197" s="58" t="str" cm="1">
        <f>IF(ISBLANK($A197),"",INDEX(Array_OtherEnergyCharges,MATCH($A197,List_OtherEnergyMeters,0),ROUNDUP((COLUMN()+1)/3-2,0)))</f>
        <v/>
      </c>
      <c r="M197" s="127"/>
      <c r="N197" s="137"/>
      <c r="O197" s="58" t="str" cm="1">
        <f>IF(ISBLANK($A197),"",INDEX(Array_OtherEnergyCharges,MATCH($A197,List_OtherEnergyMeters,0),ROUNDUP((COLUMN()+1)/3-2,0)))</f>
        <v/>
      </c>
      <c r="P197" s="127"/>
      <c r="Q197" s="137"/>
      <c r="R197" s="58" t="str" cm="1">
        <f>IF(ISBLANK($A197),"",INDEX(Array_OtherEnergyCharges,MATCH($A197,List_OtherEnergyMeters,0),ROUNDUP((COLUMN()+1)/3-2,0)))</f>
        <v/>
      </c>
      <c r="S197" s="127"/>
      <c r="T197" s="137"/>
    </row>
    <row r="198" spans="1:20" x14ac:dyDescent="0.3">
      <c r="A198" s="126"/>
      <c r="B198" s="133"/>
      <c r="C198" s="127"/>
      <c r="D198" s="138"/>
      <c r="E198" s="137"/>
      <c r="F198" s="58" t="str" cm="1">
        <f>IF(ISBLANK($A198),"",INDEX(Array_OtherEnergyCharges,MATCH($A198,List_OtherEnergyMeters,0),ROUNDUP((COLUMN()+1)/3-2,0)))</f>
        <v/>
      </c>
      <c r="G198" s="127"/>
      <c r="H198" s="137"/>
      <c r="I198" s="58" t="str" cm="1">
        <f>IF(ISBLANK($A198),"",INDEX(Array_OtherEnergyCharges,MATCH($A198,List_OtherEnergyMeters,0),ROUNDUP((COLUMN()+1)/3-2,0)))</f>
        <v/>
      </c>
      <c r="J198" s="127"/>
      <c r="K198" s="137"/>
      <c r="L198" s="58" t="str" cm="1">
        <f>IF(ISBLANK($A198),"",INDEX(Array_OtherEnergyCharges,MATCH($A198,List_OtherEnergyMeters,0),ROUNDUP((COLUMN()+1)/3-2,0)))</f>
        <v/>
      </c>
      <c r="M198" s="127"/>
      <c r="N198" s="137"/>
      <c r="O198" s="58" t="str" cm="1">
        <f>IF(ISBLANK($A198),"",INDEX(Array_OtherEnergyCharges,MATCH($A198,List_OtherEnergyMeters,0),ROUNDUP((COLUMN()+1)/3-2,0)))</f>
        <v/>
      </c>
      <c r="P198" s="127"/>
      <c r="Q198" s="137"/>
      <c r="R198" s="58" t="str" cm="1">
        <f>IF(ISBLANK($A198),"",INDEX(Array_OtherEnergyCharges,MATCH($A198,List_OtherEnergyMeters,0),ROUNDUP((COLUMN()+1)/3-2,0)))</f>
        <v/>
      </c>
      <c r="S198" s="127"/>
      <c r="T198" s="137"/>
    </row>
    <row r="199" spans="1:20" x14ac:dyDescent="0.3">
      <c r="A199" s="126"/>
      <c r="B199" s="133"/>
      <c r="C199" s="127"/>
      <c r="D199" s="138"/>
      <c r="E199" s="137"/>
      <c r="F199" s="58" t="str" cm="1">
        <f>IF(ISBLANK($A199),"",INDEX(Array_OtherEnergyCharges,MATCH($A199,List_OtherEnergyMeters,0),ROUNDUP((COLUMN()+1)/3-2,0)))</f>
        <v/>
      </c>
      <c r="G199" s="127"/>
      <c r="H199" s="137"/>
      <c r="I199" s="58" t="str" cm="1">
        <f>IF(ISBLANK($A199),"",INDEX(Array_OtherEnergyCharges,MATCH($A199,List_OtherEnergyMeters,0),ROUNDUP((COLUMN()+1)/3-2,0)))</f>
        <v/>
      </c>
      <c r="J199" s="127"/>
      <c r="K199" s="137"/>
      <c r="L199" s="58" t="str" cm="1">
        <f>IF(ISBLANK($A199),"",INDEX(Array_OtherEnergyCharges,MATCH($A199,List_OtherEnergyMeters,0),ROUNDUP((COLUMN()+1)/3-2,0)))</f>
        <v/>
      </c>
      <c r="M199" s="127"/>
      <c r="N199" s="137"/>
      <c r="O199" s="58" t="str" cm="1">
        <f>IF(ISBLANK($A199),"",INDEX(Array_OtherEnergyCharges,MATCH($A199,List_OtherEnergyMeters,0),ROUNDUP((COLUMN()+1)/3-2,0)))</f>
        <v/>
      </c>
      <c r="P199" s="127"/>
      <c r="Q199" s="137"/>
      <c r="R199" s="58" t="str" cm="1">
        <f>IF(ISBLANK($A199),"",INDEX(Array_OtherEnergyCharges,MATCH($A199,List_OtherEnergyMeters,0),ROUNDUP((COLUMN()+1)/3-2,0)))</f>
        <v/>
      </c>
      <c r="S199" s="127"/>
      <c r="T199" s="137"/>
    </row>
    <row r="200" spans="1:20" x14ac:dyDescent="0.3">
      <c r="A200" s="126"/>
      <c r="B200" s="133"/>
      <c r="C200" s="127"/>
      <c r="D200" s="138"/>
      <c r="E200" s="137"/>
      <c r="F200" s="58" t="str" cm="1">
        <f>IF(ISBLANK($A200),"",INDEX(Array_OtherEnergyCharges,MATCH($A200,List_OtherEnergyMeters,0),ROUNDUP((COLUMN()+1)/3-2,0)))</f>
        <v/>
      </c>
      <c r="G200" s="127"/>
      <c r="H200" s="137"/>
      <c r="I200" s="58" t="str" cm="1">
        <f>IF(ISBLANK($A200),"",INDEX(Array_OtherEnergyCharges,MATCH($A200,List_OtherEnergyMeters,0),ROUNDUP((COLUMN()+1)/3-2,0)))</f>
        <v/>
      </c>
      <c r="J200" s="127"/>
      <c r="K200" s="137"/>
      <c r="L200" s="58" t="str" cm="1">
        <f>IF(ISBLANK($A200),"",INDEX(Array_OtherEnergyCharges,MATCH($A200,List_OtherEnergyMeters,0),ROUNDUP((COLUMN()+1)/3-2,0)))</f>
        <v/>
      </c>
      <c r="M200" s="127"/>
      <c r="N200" s="137"/>
      <c r="O200" s="58" t="str" cm="1">
        <f>IF(ISBLANK($A200),"",INDEX(Array_OtherEnergyCharges,MATCH($A200,List_OtherEnergyMeters,0),ROUNDUP((COLUMN()+1)/3-2,0)))</f>
        <v/>
      </c>
      <c r="P200" s="127"/>
      <c r="Q200" s="137"/>
      <c r="R200" s="58" t="str" cm="1">
        <f>IF(ISBLANK($A200),"",INDEX(Array_OtherEnergyCharges,MATCH($A200,List_OtherEnergyMeters,0),ROUNDUP((COLUMN()+1)/3-2,0)))</f>
        <v/>
      </c>
      <c r="S200" s="127"/>
      <c r="T200" s="137"/>
    </row>
    <row r="201" spans="1:20" x14ac:dyDescent="0.3">
      <c r="A201" s="126"/>
      <c r="B201" s="133"/>
      <c r="C201" s="127"/>
      <c r="D201" s="138"/>
      <c r="E201" s="137"/>
      <c r="F201" s="58" t="str" cm="1">
        <f>IF(ISBLANK($A201),"",INDEX(Array_OtherEnergyCharges,MATCH($A201,List_OtherEnergyMeters,0),ROUNDUP((COLUMN()+1)/3-2,0)))</f>
        <v/>
      </c>
      <c r="G201" s="127"/>
      <c r="H201" s="137"/>
      <c r="I201" s="58" t="str" cm="1">
        <f>IF(ISBLANK($A201),"",INDEX(Array_OtherEnergyCharges,MATCH($A201,List_OtherEnergyMeters,0),ROUNDUP((COLUMN()+1)/3-2,0)))</f>
        <v/>
      </c>
      <c r="J201" s="127"/>
      <c r="K201" s="137"/>
      <c r="L201" s="58" t="str" cm="1">
        <f>IF(ISBLANK($A201),"",INDEX(Array_OtherEnergyCharges,MATCH($A201,List_OtherEnergyMeters,0),ROUNDUP((COLUMN()+1)/3-2,0)))</f>
        <v/>
      </c>
      <c r="M201" s="127"/>
      <c r="N201" s="137"/>
      <c r="O201" s="58" t="str" cm="1">
        <f>IF(ISBLANK($A201),"",INDEX(Array_OtherEnergyCharges,MATCH($A201,List_OtherEnergyMeters,0),ROUNDUP((COLUMN()+1)/3-2,0)))</f>
        <v/>
      </c>
      <c r="P201" s="127"/>
      <c r="Q201" s="137"/>
      <c r="R201" s="58" t="str" cm="1">
        <f>IF(ISBLANK($A201),"",INDEX(Array_OtherEnergyCharges,MATCH($A201,List_OtherEnergyMeters,0),ROUNDUP((COLUMN()+1)/3-2,0)))</f>
        <v/>
      </c>
      <c r="S201" s="127"/>
      <c r="T201" s="137"/>
    </row>
    <row r="202" spans="1:20" x14ac:dyDescent="0.3">
      <c r="A202" s="126"/>
      <c r="B202" s="133"/>
      <c r="C202" s="127"/>
      <c r="D202" s="138"/>
      <c r="E202" s="137"/>
      <c r="F202" s="58" t="str" cm="1">
        <f>IF(ISBLANK($A202),"",INDEX(Array_OtherEnergyCharges,MATCH($A202,List_OtherEnergyMeters,0),ROUNDUP((COLUMN()+1)/3-2,0)))</f>
        <v/>
      </c>
      <c r="G202" s="127"/>
      <c r="H202" s="137"/>
      <c r="I202" s="58" t="str" cm="1">
        <f>IF(ISBLANK($A202),"",INDEX(Array_OtherEnergyCharges,MATCH($A202,List_OtherEnergyMeters,0),ROUNDUP((COLUMN()+1)/3-2,0)))</f>
        <v/>
      </c>
      <c r="J202" s="127"/>
      <c r="K202" s="137"/>
      <c r="L202" s="58" t="str" cm="1">
        <f>IF(ISBLANK($A202),"",INDEX(Array_OtherEnergyCharges,MATCH($A202,List_OtherEnergyMeters,0),ROUNDUP((COLUMN()+1)/3-2,0)))</f>
        <v/>
      </c>
      <c r="M202" s="127"/>
      <c r="N202" s="137"/>
      <c r="O202" s="58" t="str" cm="1">
        <f>IF(ISBLANK($A202),"",INDEX(Array_OtherEnergyCharges,MATCH($A202,List_OtherEnergyMeters,0),ROUNDUP((COLUMN()+1)/3-2,0)))</f>
        <v/>
      </c>
      <c r="P202" s="127"/>
      <c r="Q202" s="137"/>
      <c r="R202" s="58" t="str" cm="1">
        <f>IF(ISBLANK($A202),"",INDEX(Array_OtherEnergyCharges,MATCH($A202,List_OtherEnergyMeters,0),ROUNDUP((COLUMN()+1)/3-2,0)))</f>
        <v/>
      </c>
      <c r="S202" s="127"/>
      <c r="T202" s="137"/>
    </row>
    <row r="203" spans="1:20" x14ac:dyDescent="0.3">
      <c r="A203" s="126"/>
      <c r="B203" s="133"/>
      <c r="C203" s="127"/>
      <c r="D203" s="138"/>
      <c r="E203" s="137"/>
      <c r="F203" s="58" t="str" cm="1">
        <f>IF(ISBLANK($A203),"",INDEX(Array_OtherEnergyCharges,MATCH($A203,List_OtherEnergyMeters,0),ROUNDUP((COLUMN()+1)/3-2,0)))</f>
        <v/>
      </c>
      <c r="G203" s="127"/>
      <c r="H203" s="137"/>
      <c r="I203" s="58" t="str" cm="1">
        <f>IF(ISBLANK($A203),"",INDEX(Array_OtherEnergyCharges,MATCH($A203,List_OtherEnergyMeters,0),ROUNDUP((COLUMN()+1)/3-2,0)))</f>
        <v/>
      </c>
      <c r="J203" s="127"/>
      <c r="K203" s="137"/>
      <c r="L203" s="58" t="str" cm="1">
        <f>IF(ISBLANK($A203),"",INDEX(Array_OtherEnergyCharges,MATCH($A203,List_OtherEnergyMeters,0),ROUNDUP((COLUMN()+1)/3-2,0)))</f>
        <v/>
      </c>
      <c r="M203" s="127"/>
      <c r="N203" s="137"/>
      <c r="O203" s="58" t="str" cm="1">
        <f>IF(ISBLANK($A203),"",INDEX(Array_OtherEnergyCharges,MATCH($A203,List_OtherEnergyMeters,0),ROUNDUP((COLUMN()+1)/3-2,0)))</f>
        <v/>
      </c>
      <c r="P203" s="127"/>
      <c r="Q203" s="137"/>
      <c r="R203" s="58" t="str" cm="1">
        <f>IF(ISBLANK($A203),"",INDEX(Array_OtherEnergyCharges,MATCH($A203,List_OtherEnergyMeters,0),ROUNDUP((COLUMN()+1)/3-2,0)))</f>
        <v/>
      </c>
      <c r="S203" s="127"/>
      <c r="T203" s="137"/>
    </row>
    <row r="204" spans="1:20" x14ac:dyDescent="0.3">
      <c r="A204" s="126"/>
      <c r="B204" s="133"/>
      <c r="C204" s="127"/>
      <c r="D204" s="138"/>
      <c r="E204" s="137"/>
      <c r="F204" s="58" t="str" cm="1">
        <f>IF(ISBLANK($A204),"",INDEX(Array_OtherEnergyCharges,MATCH($A204,List_OtherEnergyMeters,0),ROUNDUP((COLUMN()+1)/3-2,0)))</f>
        <v/>
      </c>
      <c r="G204" s="127"/>
      <c r="H204" s="137"/>
      <c r="I204" s="58" t="str" cm="1">
        <f>IF(ISBLANK($A204),"",INDEX(Array_OtherEnergyCharges,MATCH($A204,List_OtherEnergyMeters,0),ROUNDUP((COLUMN()+1)/3-2,0)))</f>
        <v/>
      </c>
      <c r="J204" s="127"/>
      <c r="K204" s="137"/>
      <c r="L204" s="58" t="str" cm="1">
        <f>IF(ISBLANK($A204),"",INDEX(Array_OtherEnergyCharges,MATCH($A204,List_OtherEnergyMeters,0),ROUNDUP((COLUMN()+1)/3-2,0)))</f>
        <v/>
      </c>
      <c r="M204" s="127"/>
      <c r="N204" s="137"/>
      <c r="O204" s="58" t="str" cm="1">
        <f>IF(ISBLANK($A204),"",INDEX(Array_OtherEnergyCharges,MATCH($A204,List_OtherEnergyMeters,0),ROUNDUP((COLUMN()+1)/3-2,0)))</f>
        <v/>
      </c>
      <c r="P204" s="127"/>
      <c r="Q204" s="137"/>
      <c r="R204" s="58" t="str" cm="1">
        <f>IF(ISBLANK($A204),"",INDEX(Array_OtherEnergyCharges,MATCH($A204,List_OtherEnergyMeters,0),ROUNDUP((COLUMN()+1)/3-2,0)))</f>
        <v/>
      </c>
      <c r="S204" s="127"/>
      <c r="T204" s="137"/>
    </row>
    <row r="205" spans="1:20" x14ac:dyDescent="0.3">
      <c r="A205" s="126"/>
      <c r="B205" s="133"/>
      <c r="C205" s="127"/>
      <c r="D205" s="138"/>
      <c r="E205" s="137"/>
      <c r="F205" s="58" t="str" cm="1">
        <f>IF(ISBLANK($A205),"",INDEX(Array_OtherEnergyCharges,MATCH($A205,List_OtherEnergyMeters,0),ROUNDUP((COLUMN()+1)/3-2,0)))</f>
        <v/>
      </c>
      <c r="G205" s="127"/>
      <c r="H205" s="137"/>
      <c r="I205" s="58" t="str" cm="1">
        <f>IF(ISBLANK($A205),"",INDEX(Array_OtherEnergyCharges,MATCH($A205,List_OtherEnergyMeters,0),ROUNDUP((COLUMN()+1)/3-2,0)))</f>
        <v/>
      </c>
      <c r="J205" s="127"/>
      <c r="K205" s="137"/>
      <c r="L205" s="58" t="str" cm="1">
        <f>IF(ISBLANK($A205),"",INDEX(Array_OtherEnergyCharges,MATCH($A205,List_OtherEnergyMeters,0),ROUNDUP((COLUMN()+1)/3-2,0)))</f>
        <v/>
      </c>
      <c r="M205" s="127"/>
      <c r="N205" s="137"/>
      <c r="O205" s="58" t="str" cm="1">
        <f>IF(ISBLANK($A205),"",INDEX(Array_OtherEnergyCharges,MATCH($A205,List_OtherEnergyMeters,0),ROUNDUP((COLUMN()+1)/3-2,0)))</f>
        <v/>
      </c>
      <c r="P205" s="127"/>
      <c r="Q205" s="137"/>
      <c r="R205" s="58" t="str" cm="1">
        <f>IF(ISBLANK($A205),"",INDEX(Array_OtherEnergyCharges,MATCH($A205,List_OtherEnergyMeters,0),ROUNDUP((COLUMN()+1)/3-2,0)))</f>
        <v/>
      </c>
      <c r="S205" s="127"/>
      <c r="T205" s="137"/>
    </row>
    <row r="206" spans="1:20" x14ac:dyDescent="0.3">
      <c r="A206" s="126"/>
      <c r="B206" s="133"/>
      <c r="C206" s="127"/>
      <c r="D206" s="138"/>
      <c r="E206" s="137"/>
      <c r="F206" s="58" t="str" cm="1">
        <f>IF(ISBLANK($A206),"",INDEX(Array_OtherEnergyCharges,MATCH($A206,List_OtherEnergyMeters,0),ROUNDUP((COLUMN()+1)/3-2,0)))</f>
        <v/>
      </c>
      <c r="G206" s="127"/>
      <c r="H206" s="137"/>
      <c r="I206" s="58" t="str" cm="1">
        <f>IF(ISBLANK($A206),"",INDEX(Array_OtherEnergyCharges,MATCH($A206,List_OtherEnergyMeters,0),ROUNDUP((COLUMN()+1)/3-2,0)))</f>
        <v/>
      </c>
      <c r="J206" s="127"/>
      <c r="K206" s="137"/>
      <c r="L206" s="58" t="str" cm="1">
        <f>IF(ISBLANK($A206),"",INDEX(Array_OtherEnergyCharges,MATCH($A206,List_OtherEnergyMeters,0),ROUNDUP((COLUMN()+1)/3-2,0)))</f>
        <v/>
      </c>
      <c r="M206" s="127"/>
      <c r="N206" s="137"/>
      <c r="O206" s="58" t="str" cm="1">
        <f>IF(ISBLANK($A206),"",INDEX(Array_OtherEnergyCharges,MATCH($A206,List_OtherEnergyMeters,0),ROUNDUP((COLUMN()+1)/3-2,0)))</f>
        <v/>
      </c>
      <c r="P206" s="127"/>
      <c r="Q206" s="137"/>
      <c r="R206" s="58" t="str" cm="1">
        <f>IF(ISBLANK($A206),"",INDEX(Array_OtherEnergyCharges,MATCH($A206,List_OtherEnergyMeters,0),ROUNDUP((COLUMN()+1)/3-2,0)))</f>
        <v/>
      </c>
      <c r="S206" s="127"/>
      <c r="T206" s="137"/>
    </row>
    <row r="207" spans="1:20" x14ac:dyDescent="0.3">
      <c r="A207" s="126"/>
      <c r="B207" s="133"/>
      <c r="C207" s="127"/>
      <c r="D207" s="138"/>
      <c r="E207" s="137"/>
      <c r="F207" s="58" t="str" cm="1">
        <f>IF(ISBLANK($A207),"",INDEX(Array_OtherEnergyCharges,MATCH($A207,List_OtherEnergyMeters,0),ROUNDUP((COLUMN()+1)/3-2,0)))</f>
        <v/>
      </c>
      <c r="G207" s="127"/>
      <c r="H207" s="137"/>
      <c r="I207" s="58" t="str" cm="1">
        <f>IF(ISBLANK($A207),"",INDEX(Array_OtherEnergyCharges,MATCH($A207,List_OtherEnergyMeters,0),ROUNDUP((COLUMN()+1)/3-2,0)))</f>
        <v/>
      </c>
      <c r="J207" s="127"/>
      <c r="K207" s="137"/>
      <c r="L207" s="58" t="str" cm="1">
        <f>IF(ISBLANK($A207),"",INDEX(Array_OtherEnergyCharges,MATCH($A207,List_OtherEnergyMeters,0),ROUNDUP((COLUMN()+1)/3-2,0)))</f>
        <v/>
      </c>
      <c r="M207" s="127"/>
      <c r="N207" s="137"/>
      <c r="O207" s="58" t="str" cm="1">
        <f>IF(ISBLANK($A207),"",INDEX(Array_OtherEnergyCharges,MATCH($A207,List_OtherEnergyMeters,0),ROUNDUP((COLUMN()+1)/3-2,0)))</f>
        <v/>
      </c>
      <c r="P207" s="127"/>
      <c r="Q207" s="137"/>
      <c r="R207" s="58" t="str" cm="1">
        <f>IF(ISBLANK($A207),"",INDEX(Array_OtherEnergyCharges,MATCH($A207,List_OtherEnergyMeters,0),ROUNDUP((COLUMN()+1)/3-2,0)))</f>
        <v/>
      </c>
      <c r="S207" s="127"/>
      <c r="T207" s="137"/>
    </row>
    <row r="208" spans="1:20" x14ac:dyDescent="0.3">
      <c r="A208" s="126"/>
      <c r="B208" s="133"/>
      <c r="C208" s="127"/>
      <c r="D208" s="138"/>
      <c r="E208" s="137"/>
      <c r="F208" s="58" t="str" cm="1">
        <f>IF(ISBLANK($A208),"",INDEX(Array_OtherEnergyCharges,MATCH($A208,List_OtherEnergyMeters,0),ROUNDUP((COLUMN()+1)/3-2,0)))</f>
        <v/>
      </c>
      <c r="G208" s="127"/>
      <c r="H208" s="137"/>
      <c r="I208" s="58" t="str" cm="1">
        <f>IF(ISBLANK($A208),"",INDEX(Array_OtherEnergyCharges,MATCH($A208,List_OtherEnergyMeters,0),ROUNDUP((COLUMN()+1)/3-2,0)))</f>
        <v/>
      </c>
      <c r="J208" s="127"/>
      <c r="K208" s="137"/>
      <c r="L208" s="58" t="str" cm="1">
        <f>IF(ISBLANK($A208),"",INDEX(Array_OtherEnergyCharges,MATCH($A208,List_OtherEnergyMeters,0),ROUNDUP((COLUMN()+1)/3-2,0)))</f>
        <v/>
      </c>
      <c r="M208" s="127"/>
      <c r="N208" s="137"/>
      <c r="O208" s="58" t="str" cm="1">
        <f>IF(ISBLANK($A208),"",INDEX(Array_OtherEnergyCharges,MATCH($A208,List_OtherEnergyMeters,0),ROUNDUP((COLUMN()+1)/3-2,0)))</f>
        <v/>
      </c>
      <c r="P208" s="127"/>
      <c r="Q208" s="137"/>
      <c r="R208" s="58" t="str" cm="1">
        <f>IF(ISBLANK($A208),"",INDEX(Array_OtherEnergyCharges,MATCH($A208,List_OtherEnergyMeters,0),ROUNDUP((COLUMN()+1)/3-2,0)))</f>
        <v/>
      </c>
      <c r="S208" s="127"/>
      <c r="T208" s="137"/>
    </row>
    <row r="209" spans="1:20" x14ac:dyDescent="0.3">
      <c r="A209" s="126"/>
      <c r="B209" s="133"/>
      <c r="C209" s="127"/>
      <c r="D209" s="138"/>
      <c r="E209" s="137"/>
      <c r="F209" s="58" t="str" cm="1">
        <f>IF(ISBLANK($A209),"",INDEX(Array_OtherEnergyCharges,MATCH($A209,List_OtherEnergyMeters,0),ROUNDUP((COLUMN()+1)/3-2,0)))</f>
        <v/>
      </c>
      <c r="G209" s="127"/>
      <c r="H209" s="137"/>
      <c r="I209" s="58" t="str" cm="1">
        <f>IF(ISBLANK($A209),"",INDEX(Array_OtherEnergyCharges,MATCH($A209,List_OtherEnergyMeters,0),ROUNDUP((COLUMN()+1)/3-2,0)))</f>
        <v/>
      </c>
      <c r="J209" s="127"/>
      <c r="K209" s="137"/>
      <c r="L209" s="58" t="str" cm="1">
        <f>IF(ISBLANK($A209),"",INDEX(Array_OtherEnergyCharges,MATCH($A209,List_OtherEnergyMeters,0),ROUNDUP((COLUMN()+1)/3-2,0)))</f>
        <v/>
      </c>
      <c r="M209" s="127"/>
      <c r="N209" s="137"/>
      <c r="O209" s="58" t="str" cm="1">
        <f>IF(ISBLANK($A209),"",INDEX(Array_OtherEnergyCharges,MATCH($A209,List_OtherEnergyMeters,0),ROUNDUP((COLUMN()+1)/3-2,0)))</f>
        <v/>
      </c>
      <c r="P209" s="127"/>
      <c r="Q209" s="137"/>
      <c r="R209" s="58" t="str" cm="1">
        <f>IF(ISBLANK($A209),"",INDEX(Array_OtherEnergyCharges,MATCH($A209,List_OtherEnergyMeters,0),ROUNDUP((COLUMN()+1)/3-2,0)))</f>
        <v/>
      </c>
      <c r="S209" s="127"/>
      <c r="T209" s="137"/>
    </row>
    <row r="210" spans="1:20" x14ac:dyDescent="0.3">
      <c r="A210" s="126"/>
      <c r="B210" s="133"/>
      <c r="C210" s="127"/>
      <c r="D210" s="138"/>
      <c r="E210" s="137"/>
      <c r="F210" s="58" t="str" cm="1">
        <f>IF(ISBLANK($A210),"",INDEX(Array_OtherEnergyCharges,MATCH($A210,List_OtherEnergyMeters,0),ROUNDUP((COLUMN()+1)/3-2,0)))</f>
        <v/>
      </c>
      <c r="G210" s="127"/>
      <c r="H210" s="137"/>
      <c r="I210" s="58" t="str" cm="1">
        <f>IF(ISBLANK($A210),"",INDEX(Array_OtherEnergyCharges,MATCH($A210,List_OtherEnergyMeters,0),ROUNDUP((COLUMN()+1)/3-2,0)))</f>
        <v/>
      </c>
      <c r="J210" s="127"/>
      <c r="K210" s="137"/>
      <c r="L210" s="58" t="str" cm="1">
        <f>IF(ISBLANK($A210),"",INDEX(Array_OtherEnergyCharges,MATCH($A210,List_OtherEnergyMeters,0),ROUNDUP((COLUMN()+1)/3-2,0)))</f>
        <v/>
      </c>
      <c r="M210" s="127"/>
      <c r="N210" s="137"/>
      <c r="O210" s="58" t="str" cm="1">
        <f>IF(ISBLANK($A210),"",INDEX(Array_OtherEnergyCharges,MATCH($A210,List_OtherEnergyMeters,0),ROUNDUP((COLUMN()+1)/3-2,0)))</f>
        <v/>
      </c>
      <c r="P210" s="127"/>
      <c r="Q210" s="137"/>
      <c r="R210" s="58" t="str" cm="1">
        <f>IF(ISBLANK($A210),"",INDEX(Array_OtherEnergyCharges,MATCH($A210,List_OtherEnergyMeters,0),ROUNDUP((COLUMN()+1)/3-2,0)))</f>
        <v/>
      </c>
      <c r="S210" s="127"/>
      <c r="T210" s="137"/>
    </row>
    <row r="211" spans="1:20" x14ac:dyDescent="0.3">
      <c r="A211" s="126"/>
      <c r="B211" s="133"/>
      <c r="C211" s="127"/>
      <c r="D211" s="138"/>
      <c r="E211" s="137"/>
      <c r="F211" s="58" t="str" cm="1">
        <f>IF(ISBLANK($A211),"",INDEX(Array_OtherEnergyCharges,MATCH($A211,List_OtherEnergyMeters,0),ROUNDUP((COLUMN()+1)/3-2,0)))</f>
        <v/>
      </c>
      <c r="G211" s="127"/>
      <c r="H211" s="137"/>
      <c r="I211" s="58" t="str" cm="1">
        <f>IF(ISBLANK($A211),"",INDEX(Array_OtherEnergyCharges,MATCH($A211,List_OtherEnergyMeters,0),ROUNDUP((COLUMN()+1)/3-2,0)))</f>
        <v/>
      </c>
      <c r="J211" s="127"/>
      <c r="K211" s="137"/>
      <c r="L211" s="58" t="str" cm="1">
        <f>IF(ISBLANK($A211),"",INDEX(Array_OtherEnergyCharges,MATCH($A211,List_OtherEnergyMeters,0),ROUNDUP((COLUMN()+1)/3-2,0)))</f>
        <v/>
      </c>
      <c r="M211" s="127"/>
      <c r="N211" s="137"/>
      <c r="O211" s="58" t="str" cm="1">
        <f>IF(ISBLANK($A211),"",INDEX(Array_OtherEnergyCharges,MATCH($A211,List_OtherEnergyMeters,0),ROUNDUP((COLUMN()+1)/3-2,0)))</f>
        <v/>
      </c>
      <c r="P211" s="127"/>
      <c r="Q211" s="137"/>
      <c r="R211" s="58" t="str" cm="1">
        <f>IF(ISBLANK($A211),"",INDEX(Array_OtherEnergyCharges,MATCH($A211,List_OtherEnergyMeters,0),ROUNDUP((COLUMN()+1)/3-2,0)))</f>
        <v/>
      </c>
      <c r="S211" s="127"/>
      <c r="T211" s="137"/>
    </row>
    <row r="212" spans="1:20" x14ac:dyDescent="0.3">
      <c r="A212" s="126"/>
      <c r="B212" s="133"/>
      <c r="C212" s="127"/>
      <c r="D212" s="138"/>
      <c r="E212" s="137"/>
      <c r="F212" s="58" t="str" cm="1">
        <f>IF(ISBLANK($A212),"",INDEX(Array_OtherEnergyCharges,MATCH($A212,List_OtherEnergyMeters,0),ROUNDUP((COLUMN()+1)/3-2,0)))</f>
        <v/>
      </c>
      <c r="G212" s="127"/>
      <c r="H212" s="137"/>
      <c r="I212" s="58" t="str" cm="1">
        <f>IF(ISBLANK($A212),"",INDEX(Array_OtherEnergyCharges,MATCH($A212,List_OtherEnergyMeters,0),ROUNDUP((COLUMN()+1)/3-2,0)))</f>
        <v/>
      </c>
      <c r="J212" s="127"/>
      <c r="K212" s="137"/>
      <c r="L212" s="58" t="str" cm="1">
        <f>IF(ISBLANK($A212),"",INDEX(Array_OtherEnergyCharges,MATCH($A212,List_OtherEnergyMeters,0),ROUNDUP((COLUMN()+1)/3-2,0)))</f>
        <v/>
      </c>
      <c r="M212" s="127"/>
      <c r="N212" s="137"/>
      <c r="O212" s="58" t="str" cm="1">
        <f>IF(ISBLANK($A212),"",INDEX(Array_OtherEnergyCharges,MATCH($A212,List_OtherEnergyMeters,0),ROUNDUP((COLUMN()+1)/3-2,0)))</f>
        <v/>
      </c>
      <c r="P212" s="127"/>
      <c r="Q212" s="137"/>
      <c r="R212" s="58" t="str" cm="1">
        <f>IF(ISBLANK($A212),"",INDEX(Array_OtherEnergyCharges,MATCH($A212,List_OtherEnergyMeters,0),ROUNDUP((COLUMN()+1)/3-2,0)))</f>
        <v/>
      </c>
      <c r="S212" s="127"/>
      <c r="T212" s="137"/>
    </row>
    <row r="213" spans="1:20" x14ac:dyDescent="0.3">
      <c r="A213" s="126"/>
      <c r="B213" s="133"/>
      <c r="C213" s="127"/>
      <c r="D213" s="138"/>
      <c r="E213" s="137"/>
      <c r="F213" s="58" t="str" cm="1">
        <f>IF(ISBLANK($A213),"",INDEX(Array_OtherEnergyCharges,MATCH($A213,List_OtherEnergyMeters,0),ROUNDUP((COLUMN()+1)/3-2,0)))</f>
        <v/>
      </c>
      <c r="G213" s="127"/>
      <c r="H213" s="137"/>
      <c r="I213" s="58" t="str" cm="1">
        <f>IF(ISBLANK($A213),"",INDEX(Array_OtherEnergyCharges,MATCH($A213,List_OtherEnergyMeters,0),ROUNDUP((COLUMN()+1)/3-2,0)))</f>
        <v/>
      </c>
      <c r="J213" s="127"/>
      <c r="K213" s="137"/>
      <c r="L213" s="58" t="str" cm="1">
        <f>IF(ISBLANK($A213),"",INDEX(Array_OtherEnergyCharges,MATCH($A213,List_OtherEnergyMeters,0),ROUNDUP((COLUMN()+1)/3-2,0)))</f>
        <v/>
      </c>
      <c r="M213" s="127"/>
      <c r="N213" s="137"/>
      <c r="O213" s="58" t="str" cm="1">
        <f>IF(ISBLANK($A213),"",INDEX(Array_OtherEnergyCharges,MATCH($A213,List_OtherEnergyMeters,0),ROUNDUP((COLUMN()+1)/3-2,0)))</f>
        <v/>
      </c>
      <c r="P213" s="127"/>
      <c r="Q213" s="137"/>
      <c r="R213" s="58" t="str" cm="1">
        <f>IF(ISBLANK($A213),"",INDEX(Array_OtherEnergyCharges,MATCH($A213,List_OtherEnergyMeters,0),ROUNDUP((COLUMN()+1)/3-2,0)))</f>
        <v/>
      </c>
      <c r="S213" s="127"/>
      <c r="T213" s="137"/>
    </row>
    <row r="214" spans="1:20" x14ac:dyDescent="0.3">
      <c r="A214" s="126"/>
      <c r="B214" s="133"/>
      <c r="C214" s="127"/>
      <c r="D214" s="138"/>
      <c r="E214" s="137"/>
      <c r="F214" s="58" t="str" cm="1">
        <f>IF(ISBLANK($A214),"",INDEX(Array_OtherEnergyCharges,MATCH($A214,List_OtherEnergyMeters,0),ROUNDUP((COLUMN()+1)/3-2,0)))</f>
        <v/>
      </c>
      <c r="G214" s="127"/>
      <c r="H214" s="137"/>
      <c r="I214" s="58" t="str" cm="1">
        <f>IF(ISBLANK($A214),"",INDEX(Array_OtherEnergyCharges,MATCH($A214,List_OtherEnergyMeters,0),ROUNDUP((COLUMN()+1)/3-2,0)))</f>
        <v/>
      </c>
      <c r="J214" s="127"/>
      <c r="K214" s="137"/>
      <c r="L214" s="58" t="str" cm="1">
        <f>IF(ISBLANK($A214),"",INDEX(Array_OtherEnergyCharges,MATCH($A214,List_OtherEnergyMeters,0),ROUNDUP((COLUMN()+1)/3-2,0)))</f>
        <v/>
      </c>
      <c r="M214" s="127"/>
      <c r="N214" s="137"/>
      <c r="O214" s="58" t="str" cm="1">
        <f>IF(ISBLANK($A214),"",INDEX(Array_OtherEnergyCharges,MATCH($A214,List_OtherEnergyMeters,0),ROUNDUP((COLUMN()+1)/3-2,0)))</f>
        <v/>
      </c>
      <c r="P214" s="127"/>
      <c r="Q214" s="137"/>
      <c r="R214" s="58" t="str" cm="1">
        <f>IF(ISBLANK($A214),"",INDEX(Array_OtherEnergyCharges,MATCH($A214,List_OtherEnergyMeters,0),ROUNDUP((COLUMN()+1)/3-2,0)))</f>
        <v/>
      </c>
      <c r="S214" s="127"/>
      <c r="T214" s="137"/>
    </row>
    <row r="215" spans="1:20" x14ac:dyDescent="0.3">
      <c r="A215" s="126"/>
      <c r="B215" s="133"/>
      <c r="C215" s="127"/>
      <c r="D215" s="138"/>
      <c r="E215" s="137"/>
      <c r="F215" s="58" t="str" cm="1">
        <f>IF(ISBLANK($A215),"",INDEX(Array_OtherEnergyCharges,MATCH($A215,List_OtherEnergyMeters,0),ROUNDUP((COLUMN()+1)/3-2,0)))</f>
        <v/>
      </c>
      <c r="G215" s="127"/>
      <c r="H215" s="137"/>
      <c r="I215" s="58" t="str" cm="1">
        <f>IF(ISBLANK($A215),"",INDEX(Array_OtherEnergyCharges,MATCH($A215,List_OtherEnergyMeters,0),ROUNDUP((COLUMN()+1)/3-2,0)))</f>
        <v/>
      </c>
      <c r="J215" s="127"/>
      <c r="K215" s="137"/>
      <c r="L215" s="58" t="str" cm="1">
        <f>IF(ISBLANK($A215),"",INDEX(Array_OtherEnergyCharges,MATCH($A215,List_OtherEnergyMeters,0),ROUNDUP((COLUMN()+1)/3-2,0)))</f>
        <v/>
      </c>
      <c r="M215" s="127"/>
      <c r="N215" s="137"/>
      <c r="O215" s="58" t="str" cm="1">
        <f>IF(ISBLANK($A215),"",INDEX(Array_OtherEnergyCharges,MATCH($A215,List_OtherEnergyMeters,0),ROUNDUP((COLUMN()+1)/3-2,0)))</f>
        <v/>
      </c>
      <c r="P215" s="127"/>
      <c r="Q215" s="137"/>
      <c r="R215" s="58" t="str" cm="1">
        <f>IF(ISBLANK($A215),"",INDEX(Array_OtherEnergyCharges,MATCH($A215,List_OtherEnergyMeters,0),ROUNDUP((COLUMN()+1)/3-2,0)))</f>
        <v/>
      </c>
      <c r="S215" s="127"/>
      <c r="T215" s="137"/>
    </row>
    <row r="216" spans="1:20" x14ac:dyDescent="0.3">
      <c r="A216" s="126"/>
      <c r="B216" s="133"/>
      <c r="C216" s="127"/>
      <c r="D216" s="138"/>
      <c r="E216" s="137"/>
      <c r="F216" s="58" t="str" cm="1">
        <f>IF(ISBLANK($A216),"",INDEX(Array_OtherEnergyCharges,MATCH($A216,List_OtherEnergyMeters,0),ROUNDUP((COLUMN()+1)/3-2,0)))</f>
        <v/>
      </c>
      <c r="G216" s="127"/>
      <c r="H216" s="137"/>
      <c r="I216" s="58" t="str" cm="1">
        <f>IF(ISBLANK($A216),"",INDEX(Array_OtherEnergyCharges,MATCH($A216,List_OtherEnergyMeters,0),ROUNDUP((COLUMN()+1)/3-2,0)))</f>
        <v/>
      </c>
      <c r="J216" s="127"/>
      <c r="K216" s="137"/>
      <c r="L216" s="58" t="str" cm="1">
        <f>IF(ISBLANK($A216),"",INDEX(Array_OtherEnergyCharges,MATCH($A216,List_OtherEnergyMeters,0),ROUNDUP((COLUMN()+1)/3-2,0)))</f>
        <v/>
      </c>
      <c r="M216" s="127"/>
      <c r="N216" s="137"/>
      <c r="O216" s="58" t="str" cm="1">
        <f>IF(ISBLANK($A216),"",INDEX(Array_OtherEnergyCharges,MATCH($A216,List_OtherEnergyMeters,0),ROUNDUP((COLUMN()+1)/3-2,0)))</f>
        <v/>
      </c>
      <c r="P216" s="127"/>
      <c r="Q216" s="137"/>
      <c r="R216" s="58" t="str" cm="1">
        <f>IF(ISBLANK($A216),"",INDEX(Array_OtherEnergyCharges,MATCH($A216,List_OtherEnergyMeters,0),ROUNDUP((COLUMN()+1)/3-2,0)))</f>
        <v/>
      </c>
      <c r="S216" s="127"/>
      <c r="T216" s="137"/>
    </row>
    <row r="217" spans="1:20" x14ac:dyDescent="0.3">
      <c r="A217" s="126"/>
      <c r="B217" s="133"/>
      <c r="C217" s="127"/>
      <c r="D217" s="138"/>
      <c r="E217" s="137"/>
      <c r="F217" s="58" t="str" cm="1">
        <f>IF(ISBLANK($A217),"",INDEX(Array_OtherEnergyCharges,MATCH($A217,List_OtherEnergyMeters,0),ROUNDUP((COLUMN()+1)/3-2,0)))</f>
        <v/>
      </c>
      <c r="G217" s="127"/>
      <c r="H217" s="137"/>
      <c r="I217" s="58" t="str" cm="1">
        <f>IF(ISBLANK($A217),"",INDEX(Array_OtherEnergyCharges,MATCH($A217,List_OtherEnergyMeters,0),ROUNDUP((COLUMN()+1)/3-2,0)))</f>
        <v/>
      </c>
      <c r="J217" s="127"/>
      <c r="K217" s="137"/>
      <c r="L217" s="58" t="str" cm="1">
        <f>IF(ISBLANK($A217),"",INDEX(Array_OtherEnergyCharges,MATCH($A217,List_OtherEnergyMeters,0),ROUNDUP((COLUMN()+1)/3-2,0)))</f>
        <v/>
      </c>
      <c r="M217" s="127"/>
      <c r="N217" s="137"/>
      <c r="O217" s="58" t="str" cm="1">
        <f>IF(ISBLANK($A217),"",INDEX(Array_OtherEnergyCharges,MATCH($A217,List_OtherEnergyMeters,0),ROUNDUP((COLUMN()+1)/3-2,0)))</f>
        <v/>
      </c>
      <c r="P217" s="127"/>
      <c r="Q217" s="137"/>
      <c r="R217" s="58" t="str" cm="1">
        <f>IF(ISBLANK($A217),"",INDEX(Array_OtherEnergyCharges,MATCH($A217,List_OtherEnergyMeters,0),ROUNDUP((COLUMN()+1)/3-2,0)))</f>
        <v/>
      </c>
      <c r="S217" s="127"/>
      <c r="T217" s="137"/>
    </row>
    <row r="218" spans="1:20" x14ac:dyDescent="0.3">
      <c r="A218" s="126"/>
      <c r="B218" s="133"/>
      <c r="C218" s="127"/>
      <c r="D218" s="138"/>
      <c r="E218" s="137"/>
      <c r="F218" s="58" t="str" cm="1">
        <f>IF(ISBLANK($A218),"",INDEX(Array_OtherEnergyCharges,MATCH($A218,List_OtherEnergyMeters,0),ROUNDUP((COLUMN()+1)/3-2,0)))</f>
        <v/>
      </c>
      <c r="G218" s="127"/>
      <c r="H218" s="137"/>
      <c r="I218" s="58" t="str" cm="1">
        <f>IF(ISBLANK($A218),"",INDEX(Array_OtherEnergyCharges,MATCH($A218,List_OtherEnergyMeters,0),ROUNDUP((COLUMN()+1)/3-2,0)))</f>
        <v/>
      </c>
      <c r="J218" s="127"/>
      <c r="K218" s="137"/>
      <c r="L218" s="58" t="str" cm="1">
        <f>IF(ISBLANK($A218),"",INDEX(Array_OtherEnergyCharges,MATCH($A218,List_OtherEnergyMeters,0),ROUNDUP((COLUMN()+1)/3-2,0)))</f>
        <v/>
      </c>
      <c r="M218" s="127"/>
      <c r="N218" s="137"/>
      <c r="O218" s="58" t="str" cm="1">
        <f>IF(ISBLANK($A218),"",INDEX(Array_OtherEnergyCharges,MATCH($A218,List_OtherEnergyMeters,0),ROUNDUP((COLUMN()+1)/3-2,0)))</f>
        <v/>
      </c>
      <c r="P218" s="127"/>
      <c r="Q218" s="137"/>
      <c r="R218" s="58" t="str" cm="1">
        <f>IF(ISBLANK($A218),"",INDEX(Array_OtherEnergyCharges,MATCH($A218,List_OtherEnergyMeters,0),ROUNDUP((COLUMN()+1)/3-2,0)))</f>
        <v/>
      </c>
      <c r="S218" s="127"/>
      <c r="T218" s="137"/>
    </row>
    <row r="219" spans="1:20" x14ac:dyDescent="0.3">
      <c r="A219" s="126"/>
      <c r="B219" s="133"/>
      <c r="C219" s="127"/>
      <c r="D219" s="138"/>
      <c r="E219" s="137"/>
      <c r="F219" s="58" t="str" cm="1">
        <f>IF(ISBLANK($A219),"",INDEX(Array_OtherEnergyCharges,MATCH($A219,List_OtherEnergyMeters,0),ROUNDUP((COLUMN()+1)/3-2,0)))</f>
        <v/>
      </c>
      <c r="G219" s="127"/>
      <c r="H219" s="137"/>
      <c r="I219" s="58" t="str" cm="1">
        <f>IF(ISBLANK($A219),"",INDEX(Array_OtherEnergyCharges,MATCH($A219,List_OtherEnergyMeters,0),ROUNDUP((COLUMN()+1)/3-2,0)))</f>
        <v/>
      </c>
      <c r="J219" s="127"/>
      <c r="K219" s="137"/>
      <c r="L219" s="58" t="str" cm="1">
        <f>IF(ISBLANK($A219),"",INDEX(Array_OtherEnergyCharges,MATCH($A219,List_OtherEnergyMeters,0),ROUNDUP((COLUMN()+1)/3-2,0)))</f>
        <v/>
      </c>
      <c r="M219" s="127"/>
      <c r="N219" s="137"/>
      <c r="O219" s="58" t="str" cm="1">
        <f>IF(ISBLANK($A219),"",INDEX(Array_OtherEnergyCharges,MATCH($A219,List_OtherEnergyMeters,0),ROUNDUP((COLUMN()+1)/3-2,0)))</f>
        <v/>
      </c>
      <c r="P219" s="127"/>
      <c r="Q219" s="137"/>
      <c r="R219" s="58" t="str" cm="1">
        <f>IF(ISBLANK($A219),"",INDEX(Array_OtherEnergyCharges,MATCH($A219,List_OtherEnergyMeters,0),ROUNDUP((COLUMN()+1)/3-2,0)))</f>
        <v/>
      </c>
      <c r="S219" s="127"/>
      <c r="T219" s="137"/>
    </row>
    <row r="220" spans="1:20" x14ac:dyDescent="0.3">
      <c r="A220" s="126"/>
      <c r="B220" s="133"/>
      <c r="C220" s="127"/>
      <c r="D220" s="138"/>
      <c r="E220" s="137"/>
      <c r="F220" s="58" t="str" cm="1">
        <f>IF(ISBLANK($A220),"",INDEX(Array_OtherEnergyCharges,MATCH($A220,List_OtherEnergyMeters,0),ROUNDUP((COLUMN()+1)/3-2,0)))</f>
        <v/>
      </c>
      <c r="G220" s="127"/>
      <c r="H220" s="137"/>
      <c r="I220" s="58" t="str" cm="1">
        <f>IF(ISBLANK($A220),"",INDEX(Array_OtherEnergyCharges,MATCH($A220,List_OtherEnergyMeters,0),ROUNDUP((COLUMN()+1)/3-2,0)))</f>
        <v/>
      </c>
      <c r="J220" s="127"/>
      <c r="K220" s="137"/>
      <c r="L220" s="58" t="str" cm="1">
        <f>IF(ISBLANK($A220),"",INDEX(Array_OtherEnergyCharges,MATCH($A220,List_OtherEnergyMeters,0),ROUNDUP((COLUMN()+1)/3-2,0)))</f>
        <v/>
      </c>
      <c r="M220" s="127"/>
      <c r="N220" s="137"/>
      <c r="O220" s="58" t="str" cm="1">
        <f>IF(ISBLANK($A220),"",INDEX(Array_OtherEnergyCharges,MATCH($A220,List_OtherEnergyMeters,0),ROUNDUP((COLUMN()+1)/3-2,0)))</f>
        <v/>
      </c>
      <c r="P220" s="127"/>
      <c r="Q220" s="137"/>
      <c r="R220" s="58" t="str" cm="1">
        <f>IF(ISBLANK($A220),"",INDEX(Array_OtherEnergyCharges,MATCH($A220,List_OtherEnergyMeters,0),ROUNDUP((COLUMN()+1)/3-2,0)))</f>
        <v/>
      </c>
      <c r="S220" s="127"/>
      <c r="T220" s="137"/>
    </row>
    <row r="221" spans="1:20" x14ac:dyDescent="0.3">
      <c r="A221" s="126"/>
      <c r="B221" s="133"/>
      <c r="C221" s="127"/>
      <c r="D221" s="138"/>
      <c r="E221" s="137"/>
      <c r="F221" s="58" t="str" cm="1">
        <f>IF(ISBLANK($A221),"",INDEX(Array_OtherEnergyCharges,MATCH($A221,List_OtherEnergyMeters,0),ROUNDUP((COLUMN()+1)/3-2,0)))</f>
        <v/>
      </c>
      <c r="G221" s="127"/>
      <c r="H221" s="137"/>
      <c r="I221" s="58" t="str" cm="1">
        <f>IF(ISBLANK($A221),"",INDEX(Array_OtherEnergyCharges,MATCH($A221,List_OtherEnergyMeters,0),ROUNDUP((COLUMN()+1)/3-2,0)))</f>
        <v/>
      </c>
      <c r="J221" s="127"/>
      <c r="K221" s="137"/>
      <c r="L221" s="58" t="str" cm="1">
        <f>IF(ISBLANK($A221),"",INDEX(Array_OtherEnergyCharges,MATCH($A221,List_OtherEnergyMeters,0),ROUNDUP((COLUMN()+1)/3-2,0)))</f>
        <v/>
      </c>
      <c r="M221" s="127"/>
      <c r="N221" s="137"/>
      <c r="O221" s="58" t="str" cm="1">
        <f>IF(ISBLANK($A221),"",INDEX(Array_OtherEnergyCharges,MATCH($A221,List_OtherEnergyMeters,0),ROUNDUP((COLUMN()+1)/3-2,0)))</f>
        <v/>
      </c>
      <c r="P221" s="127"/>
      <c r="Q221" s="137"/>
      <c r="R221" s="58" t="str" cm="1">
        <f>IF(ISBLANK($A221),"",INDEX(Array_OtherEnergyCharges,MATCH($A221,List_OtherEnergyMeters,0),ROUNDUP((COLUMN()+1)/3-2,0)))</f>
        <v/>
      </c>
      <c r="S221" s="127"/>
      <c r="T221" s="137"/>
    </row>
    <row r="222" spans="1:20" x14ac:dyDescent="0.3">
      <c r="A222" s="126"/>
      <c r="B222" s="133"/>
      <c r="C222" s="127"/>
      <c r="D222" s="138"/>
      <c r="E222" s="137"/>
      <c r="F222" s="58" t="str" cm="1">
        <f>IF(ISBLANK($A222),"",INDEX(Array_OtherEnergyCharges,MATCH($A222,List_OtherEnergyMeters,0),ROUNDUP((COLUMN()+1)/3-2,0)))</f>
        <v/>
      </c>
      <c r="G222" s="127"/>
      <c r="H222" s="137"/>
      <c r="I222" s="58" t="str" cm="1">
        <f>IF(ISBLANK($A222),"",INDEX(Array_OtherEnergyCharges,MATCH($A222,List_OtherEnergyMeters,0),ROUNDUP((COLUMN()+1)/3-2,0)))</f>
        <v/>
      </c>
      <c r="J222" s="127"/>
      <c r="K222" s="137"/>
      <c r="L222" s="58" t="str" cm="1">
        <f>IF(ISBLANK($A222),"",INDEX(Array_OtherEnergyCharges,MATCH($A222,List_OtherEnergyMeters,0),ROUNDUP((COLUMN()+1)/3-2,0)))</f>
        <v/>
      </c>
      <c r="M222" s="127"/>
      <c r="N222" s="137"/>
      <c r="O222" s="58" t="str" cm="1">
        <f>IF(ISBLANK($A222),"",INDEX(Array_OtherEnergyCharges,MATCH($A222,List_OtherEnergyMeters,0),ROUNDUP((COLUMN()+1)/3-2,0)))</f>
        <v/>
      </c>
      <c r="P222" s="127"/>
      <c r="Q222" s="137"/>
      <c r="R222" s="58" t="str" cm="1">
        <f>IF(ISBLANK($A222),"",INDEX(Array_OtherEnergyCharges,MATCH($A222,List_OtherEnergyMeters,0),ROUNDUP((COLUMN()+1)/3-2,0)))</f>
        <v/>
      </c>
      <c r="S222" s="127"/>
      <c r="T222" s="137"/>
    </row>
    <row r="223" spans="1:20" x14ac:dyDescent="0.3">
      <c r="A223" s="126"/>
      <c r="B223" s="133"/>
      <c r="C223" s="127"/>
      <c r="D223" s="138"/>
      <c r="E223" s="137"/>
      <c r="F223" s="58" t="str" cm="1">
        <f>IF(ISBLANK($A223),"",INDEX(Array_OtherEnergyCharges,MATCH($A223,List_OtherEnergyMeters,0),ROUNDUP((COLUMN()+1)/3-2,0)))</f>
        <v/>
      </c>
      <c r="G223" s="127"/>
      <c r="H223" s="137"/>
      <c r="I223" s="58" t="str" cm="1">
        <f>IF(ISBLANK($A223),"",INDEX(Array_OtherEnergyCharges,MATCH($A223,List_OtherEnergyMeters,0),ROUNDUP((COLUMN()+1)/3-2,0)))</f>
        <v/>
      </c>
      <c r="J223" s="127"/>
      <c r="K223" s="137"/>
      <c r="L223" s="58" t="str" cm="1">
        <f>IF(ISBLANK($A223),"",INDEX(Array_OtherEnergyCharges,MATCH($A223,List_OtherEnergyMeters,0),ROUNDUP((COLUMN()+1)/3-2,0)))</f>
        <v/>
      </c>
      <c r="M223" s="127"/>
      <c r="N223" s="137"/>
      <c r="O223" s="58" t="str" cm="1">
        <f>IF(ISBLANK($A223),"",INDEX(Array_OtherEnergyCharges,MATCH($A223,List_OtherEnergyMeters,0),ROUNDUP((COLUMN()+1)/3-2,0)))</f>
        <v/>
      </c>
      <c r="P223" s="127"/>
      <c r="Q223" s="137"/>
      <c r="R223" s="58" t="str" cm="1">
        <f>IF(ISBLANK($A223),"",INDEX(Array_OtherEnergyCharges,MATCH($A223,List_OtherEnergyMeters,0),ROUNDUP((COLUMN()+1)/3-2,0)))</f>
        <v/>
      </c>
      <c r="S223" s="127"/>
      <c r="T223" s="137"/>
    </row>
    <row r="224" spans="1:20" x14ac:dyDescent="0.3">
      <c r="A224" s="126"/>
      <c r="B224" s="133"/>
      <c r="C224" s="127"/>
      <c r="D224" s="138"/>
      <c r="E224" s="137"/>
      <c r="F224" s="58" t="str" cm="1">
        <f>IF(ISBLANK($A224),"",INDEX(Array_OtherEnergyCharges,MATCH($A224,List_OtherEnergyMeters,0),ROUNDUP((COLUMN()+1)/3-2,0)))</f>
        <v/>
      </c>
      <c r="G224" s="127"/>
      <c r="H224" s="137"/>
      <c r="I224" s="58" t="str" cm="1">
        <f>IF(ISBLANK($A224),"",INDEX(Array_OtherEnergyCharges,MATCH($A224,List_OtherEnergyMeters,0),ROUNDUP((COLUMN()+1)/3-2,0)))</f>
        <v/>
      </c>
      <c r="J224" s="127"/>
      <c r="K224" s="137"/>
      <c r="L224" s="58" t="str" cm="1">
        <f>IF(ISBLANK($A224),"",INDEX(Array_OtherEnergyCharges,MATCH($A224,List_OtherEnergyMeters,0),ROUNDUP((COLUMN()+1)/3-2,0)))</f>
        <v/>
      </c>
      <c r="M224" s="127"/>
      <c r="N224" s="137"/>
      <c r="O224" s="58" t="str" cm="1">
        <f>IF(ISBLANK($A224),"",INDEX(Array_OtherEnergyCharges,MATCH($A224,List_OtherEnergyMeters,0),ROUNDUP((COLUMN()+1)/3-2,0)))</f>
        <v/>
      </c>
      <c r="P224" s="127"/>
      <c r="Q224" s="137"/>
      <c r="R224" s="58" t="str" cm="1">
        <f>IF(ISBLANK($A224),"",INDEX(Array_OtherEnergyCharges,MATCH($A224,List_OtherEnergyMeters,0),ROUNDUP((COLUMN()+1)/3-2,0)))</f>
        <v/>
      </c>
      <c r="S224" s="127"/>
      <c r="T224" s="137"/>
    </row>
    <row r="225" spans="1:20" x14ac:dyDescent="0.3">
      <c r="A225" s="126"/>
      <c r="B225" s="133"/>
      <c r="C225" s="127"/>
      <c r="D225" s="138"/>
      <c r="E225" s="137"/>
      <c r="F225" s="58" t="str" cm="1">
        <f>IF(ISBLANK($A225),"",INDEX(Array_OtherEnergyCharges,MATCH($A225,List_OtherEnergyMeters,0),ROUNDUP((COLUMN()+1)/3-2,0)))</f>
        <v/>
      </c>
      <c r="G225" s="127"/>
      <c r="H225" s="137"/>
      <c r="I225" s="58" t="str" cm="1">
        <f>IF(ISBLANK($A225),"",INDEX(Array_OtherEnergyCharges,MATCH($A225,List_OtherEnergyMeters,0),ROUNDUP((COLUMN()+1)/3-2,0)))</f>
        <v/>
      </c>
      <c r="J225" s="127"/>
      <c r="K225" s="137"/>
      <c r="L225" s="58" t="str" cm="1">
        <f>IF(ISBLANK($A225),"",INDEX(Array_OtherEnergyCharges,MATCH($A225,List_OtherEnergyMeters,0),ROUNDUP((COLUMN()+1)/3-2,0)))</f>
        <v/>
      </c>
      <c r="M225" s="127"/>
      <c r="N225" s="137"/>
      <c r="O225" s="58" t="str" cm="1">
        <f>IF(ISBLANK($A225),"",INDEX(Array_OtherEnergyCharges,MATCH($A225,List_OtherEnergyMeters,0),ROUNDUP((COLUMN()+1)/3-2,0)))</f>
        <v/>
      </c>
      <c r="P225" s="127"/>
      <c r="Q225" s="137"/>
      <c r="R225" s="58" t="str" cm="1">
        <f>IF(ISBLANK($A225),"",INDEX(Array_OtherEnergyCharges,MATCH($A225,List_OtherEnergyMeters,0),ROUNDUP((COLUMN()+1)/3-2,0)))</f>
        <v/>
      </c>
      <c r="S225" s="127"/>
      <c r="T225" s="137"/>
    </row>
    <row r="226" spans="1:20" x14ac:dyDescent="0.3">
      <c r="A226" s="126"/>
      <c r="B226" s="133"/>
      <c r="C226" s="127"/>
      <c r="D226" s="138"/>
      <c r="E226" s="137"/>
      <c r="F226" s="58" t="str" cm="1">
        <f>IF(ISBLANK($A226),"",INDEX(Array_OtherEnergyCharges,MATCH($A226,List_OtherEnergyMeters,0),ROUNDUP((COLUMN()+1)/3-2,0)))</f>
        <v/>
      </c>
      <c r="G226" s="127"/>
      <c r="H226" s="137"/>
      <c r="I226" s="58" t="str" cm="1">
        <f>IF(ISBLANK($A226),"",INDEX(Array_OtherEnergyCharges,MATCH($A226,List_OtherEnergyMeters,0),ROUNDUP((COLUMN()+1)/3-2,0)))</f>
        <v/>
      </c>
      <c r="J226" s="127"/>
      <c r="K226" s="137"/>
      <c r="L226" s="58" t="str" cm="1">
        <f>IF(ISBLANK($A226),"",INDEX(Array_OtherEnergyCharges,MATCH($A226,List_OtherEnergyMeters,0),ROUNDUP((COLUMN()+1)/3-2,0)))</f>
        <v/>
      </c>
      <c r="M226" s="127"/>
      <c r="N226" s="137"/>
      <c r="O226" s="58" t="str" cm="1">
        <f>IF(ISBLANK($A226),"",INDEX(Array_OtherEnergyCharges,MATCH($A226,List_OtherEnergyMeters,0),ROUNDUP((COLUMN()+1)/3-2,0)))</f>
        <v/>
      </c>
      <c r="P226" s="127"/>
      <c r="Q226" s="137"/>
      <c r="R226" s="58" t="str" cm="1">
        <f>IF(ISBLANK($A226),"",INDEX(Array_OtherEnergyCharges,MATCH($A226,List_OtherEnergyMeters,0),ROUNDUP((COLUMN()+1)/3-2,0)))</f>
        <v/>
      </c>
      <c r="S226" s="127"/>
      <c r="T226" s="137"/>
    </row>
    <row r="227" spans="1:20" x14ac:dyDescent="0.3">
      <c r="A227" s="126"/>
      <c r="B227" s="133"/>
      <c r="C227" s="127"/>
      <c r="D227" s="138"/>
      <c r="E227" s="137"/>
      <c r="F227" s="58" t="str" cm="1">
        <f>IF(ISBLANK($A227),"",INDEX(Array_OtherEnergyCharges,MATCH($A227,List_OtherEnergyMeters,0),ROUNDUP((COLUMN()+1)/3-2,0)))</f>
        <v/>
      </c>
      <c r="G227" s="127"/>
      <c r="H227" s="137"/>
      <c r="I227" s="58" t="str" cm="1">
        <f>IF(ISBLANK($A227),"",INDEX(Array_OtherEnergyCharges,MATCH($A227,List_OtherEnergyMeters,0),ROUNDUP((COLUMN()+1)/3-2,0)))</f>
        <v/>
      </c>
      <c r="J227" s="127"/>
      <c r="K227" s="137"/>
      <c r="L227" s="58" t="str" cm="1">
        <f>IF(ISBLANK($A227),"",INDEX(Array_OtherEnergyCharges,MATCH($A227,List_OtherEnergyMeters,0),ROUNDUP((COLUMN()+1)/3-2,0)))</f>
        <v/>
      </c>
      <c r="M227" s="127"/>
      <c r="N227" s="137"/>
      <c r="O227" s="58" t="str" cm="1">
        <f>IF(ISBLANK($A227),"",INDEX(Array_OtherEnergyCharges,MATCH($A227,List_OtherEnergyMeters,0),ROUNDUP((COLUMN()+1)/3-2,0)))</f>
        <v/>
      </c>
      <c r="P227" s="127"/>
      <c r="Q227" s="137"/>
      <c r="R227" s="58" t="str" cm="1">
        <f>IF(ISBLANK($A227),"",INDEX(Array_OtherEnergyCharges,MATCH($A227,List_OtherEnergyMeters,0),ROUNDUP((COLUMN()+1)/3-2,0)))</f>
        <v/>
      </c>
      <c r="S227" s="127"/>
      <c r="T227" s="137"/>
    </row>
    <row r="228" spans="1:20" x14ac:dyDescent="0.3">
      <c r="A228" s="126"/>
      <c r="B228" s="133"/>
      <c r="C228" s="127"/>
      <c r="D228" s="138"/>
      <c r="E228" s="137"/>
      <c r="F228" s="58" t="str" cm="1">
        <f>IF(ISBLANK($A228),"",INDEX(Array_OtherEnergyCharges,MATCH($A228,List_OtherEnergyMeters,0),ROUNDUP((COLUMN()+1)/3-2,0)))</f>
        <v/>
      </c>
      <c r="G228" s="127"/>
      <c r="H228" s="137"/>
      <c r="I228" s="58" t="str" cm="1">
        <f>IF(ISBLANK($A228),"",INDEX(Array_OtherEnergyCharges,MATCH($A228,List_OtherEnergyMeters,0),ROUNDUP((COLUMN()+1)/3-2,0)))</f>
        <v/>
      </c>
      <c r="J228" s="127"/>
      <c r="K228" s="137"/>
      <c r="L228" s="58" t="str" cm="1">
        <f>IF(ISBLANK($A228),"",INDEX(Array_OtherEnergyCharges,MATCH($A228,List_OtherEnergyMeters,0),ROUNDUP((COLUMN()+1)/3-2,0)))</f>
        <v/>
      </c>
      <c r="M228" s="127"/>
      <c r="N228" s="137"/>
      <c r="O228" s="58" t="str" cm="1">
        <f>IF(ISBLANK($A228),"",INDEX(Array_OtherEnergyCharges,MATCH($A228,List_OtherEnergyMeters,0),ROUNDUP((COLUMN()+1)/3-2,0)))</f>
        <v/>
      </c>
      <c r="P228" s="127"/>
      <c r="Q228" s="137"/>
      <c r="R228" s="58" t="str" cm="1">
        <f>IF(ISBLANK($A228),"",INDEX(Array_OtherEnergyCharges,MATCH($A228,List_OtherEnergyMeters,0),ROUNDUP((COLUMN()+1)/3-2,0)))</f>
        <v/>
      </c>
      <c r="S228" s="127"/>
      <c r="T228" s="137"/>
    </row>
    <row r="229" spans="1:20" x14ac:dyDescent="0.3">
      <c r="A229" s="126"/>
      <c r="B229" s="133"/>
      <c r="C229" s="127"/>
      <c r="D229" s="138"/>
      <c r="E229" s="137"/>
      <c r="F229" s="58" t="str" cm="1">
        <f>IF(ISBLANK($A229),"",INDEX(Array_OtherEnergyCharges,MATCH($A229,List_OtherEnergyMeters,0),ROUNDUP((COLUMN()+1)/3-2,0)))</f>
        <v/>
      </c>
      <c r="G229" s="127"/>
      <c r="H229" s="137"/>
      <c r="I229" s="58" t="str" cm="1">
        <f>IF(ISBLANK($A229),"",INDEX(Array_OtherEnergyCharges,MATCH($A229,List_OtherEnergyMeters,0),ROUNDUP((COLUMN()+1)/3-2,0)))</f>
        <v/>
      </c>
      <c r="J229" s="127"/>
      <c r="K229" s="137"/>
      <c r="L229" s="58" t="str" cm="1">
        <f>IF(ISBLANK($A229),"",INDEX(Array_OtherEnergyCharges,MATCH($A229,List_OtherEnergyMeters,0),ROUNDUP((COLUMN()+1)/3-2,0)))</f>
        <v/>
      </c>
      <c r="M229" s="127"/>
      <c r="N229" s="137"/>
      <c r="O229" s="58" t="str" cm="1">
        <f>IF(ISBLANK($A229),"",INDEX(Array_OtherEnergyCharges,MATCH($A229,List_OtherEnergyMeters,0),ROUNDUP((COLUMN()+1)/3-2,0)))</f>
        <v/>
      </c>
      <c r="P229" s="127"/>
      <c r="Q229" s="137"/>
      <c r="R229" s="58" t="str" cm="1">
        <f>IF(ISBLANK($A229),"",INDEX(Array_OtherEnergyCharges,MATCH($A229,List_OtherEnergyMeters,0),ROUNDUP((COLUMN()+1)/3-2,0)))</f>
        <v/>
      </c>
      <c r="S229" s="127"/>
      <c r="T229" s="137"/>
    </row>
    <row r="230" spans="1:20" x14ac:dyDescent="0.3">
      <c r="A230" s="126"/>
      <c r="B230" s="133"/>
      <c r="C230" s="127"/>
      <c r="D230" s="138"/>
      <c r="E230" s="137"/>
      <c r="F230" s="58" t="str" cm="1">
        <f>IF(ISBLANK($A230),"",INDEX(Array_OtherEnergyCharges,MATCH($A230,List_OtherEnergyMeters,0),ROUNDUP((COLUMN()+1)/3-2,0)))</f>
        <v/>
      </c>
      <c r="G230" s="127"/>
      <c r="H230" s="137"/>
      <c r="I230" s="58" t="str" cm="1">
        <f>IF(ISBLANK($A230),"",INDEX(Array_OtherEnergyCharges,MATCH($A230,List_OtherEnergyMeters,0),ROUNDUP((COLUMN()+1)/3-2,0)))</f>
        <v/>
      </c>
      <c r="J230" s="127"/>
      <c r="K230" s="137"/>
      <c r="L230" s="58" t="str" cm="1">
        <f>IF(ISBLANK($A230),"",INDEX(Array_OtherEnergyCharges,MATCH($A230,List_OtherEnergyMeters,0),ROUNDUP((COLUMN()+1)/3-2,0)))</f>
        <v/>
      </c>
      <c r="M230" s="127"/>
      <c r="N230" s="137"/>
      <c r="O230" s="58" t="str" cm="1">
        <f>IF(ISBLANK($A230),"",INDEX(Array_OtherEnergyCharges,MATCH($A230,List_OtherEnergyMeters,0),ROUNDUP((COLUMN()+1)/3-2,0)))</f>
        <v/>
      </c>
      <c r="P230" s="127"/>
      <c r="Q230" s="137"/>
      <c r="R230" s="58" t="str" cm="1">
        <f>IF(ISBLANK($A230),"",INDEX(Array_OtherEnergyCharges,MATCH($A230,List_OtherEnergyMeters,0),ROUNDUP((COLUMN()+1)/3-2,0)))</f>
        <v/>
      </c>
      <c r="S230" s="127"/>
      <c r="T230" s="137"/>
    </row>
    <row r="231" spans="1:20" x14ac:dyDescent="0.3">
      <c r="A231" s="126"/>
      <c r="B231" s="133"/>
      <c r="C231" s="127"/>
      <c r="D231" s="138"/>
      <c r="E231" s="137"/>
      <c r="F231" s="58" t="str" cm="1">
        <f>IF(ISBLANK($A231),"",INDEX(Array_OtherEnergyCharges,MATCH($A231,List_OtherEnergyMeters,0),ROUNDUP((COLUMN()+1)/3-2,0)))</f>
        <v/>
      </c>
      <c r="G231" s="127"/>
      <c r="H231" s="137"/>
      <c r="I231" s="58" t="str" cm="1">
        <f>IF(ISBLANK($A231),"",INDEX(Array_OtherEnergyCharges,MATCH($A231,List_OtherEnergyMeters,0),ROUNDUP((COLUMN()+1)/3-2,0)))</f>
        <v/>
      </c>
      <c r="J231" s="127"/>
      <c r="K231" s="137"/>
      <c r="L231" s="58" t="str" cm="1">
        <f>IF(ISBLANK($A231),"",INDEX(Array_OtherEnergyCharges,MATCH($A231,List_OtherEnergyMeters,0),ROUNDUP((COLUMN()+1)/3-2,0)))</f>
        <v/>
      </c>
      <c r="M231" s="127"/>
      <c r="N231" s="137"/>
      <c r="O231" s="58" t="str" cm="1">
        <f>IF(ISBLANK($A231),"",INDEX(Array_OtherEnergyCharges,MATCH($A231,List_OtherEnergyMeters,0),ROUNDUP((COLUMN()+1)/3-2,0)))</f>
        <v/>
      </c>
      <c r="P231" s="127"/>
      <c r="Q231" s="137"/>
      <c r="R231" s="58" t="str" cm="1">
        <f>IF(ISBLANK($A231),"",INDEX(Array_OtherEnergyCharges,MATCH($A231,List_OtherEnergyMeters,0),ROUNDUP((COLUMN()+1)/3-2,0)))</f>
        <v/>
      </c>
      <c r="S231" s="127"/>
      <c r="T231" s="137"/>
    </row>
    <row r="232" spans="1:20" x14ac:dyDescent="0.3">
      <c r="A232" s="126"/>
      <c r="B232" s="133"/>
      <c r="C232" s="127"/>
      <c r="D232" s="138"/>
      <c r="E232" s="137"/>
      <c r="F232" s="58" t="str" cm="1">
        <f>IF(ISBLANK($A232),"",INDEX(Array_OtherEnergyCharges,MATCH($A232,List_OtherEnergyMeters,0),ROUNDUP((COLUMN()+1)/3-2,0)))</f>
        <v/>
      </c>
      <c r="G232" s="127"/>
      <c r="H232" s="137"/>
      <c r="I232" s="58" t="str" cm="1">
        <f>IF(ISBLANK($A232),"",INDEX(Array_OtherEnergyCharges,MATCH($A232,List_OtherEnergyMeters,0),ROUNDUP((COLUMN()+1)/3-2,0)))</f>
        <v/>
      </c>
      <c r="J232" s="127"/>
      <c r="K232" s="137"/>
      <c r="L232" s="58" t="str" cm="1">
        <f>IF(ISBLANK($A232),"",INDEX(Array_OtherEnergyCharges,MATCH($A232,List_OtherEnergyMeters,0),ROUNDUP((COLUMN()+1)/3-2,0)))</f>
        <v/>
      </c>
      <c r="M232" s="127"/>
      <c r="N232" s="137"/>
      <c r="O232" s="58" t="str" cm="1">
        <f>IF(ISBLANK($A232),"",INDEX(Array_OtherEnergyCharges,MATCH($A232,List_OtherEnergyMeters,0),ROUNDUP((COLUMN()+1)/3-2,0)))</f>
        <v/>
      </c>
      <c r="P232" s="127"/>
      <c r="Q232" s="137"/>
      <c r="R232" s="58" t="str" cm="1">
        <f>IF(ISBLANK($A232),"",INDEX(Array_OtherEnergyCharges,MATCH($A232,List_OtherEnergyMeters,0),ROUNDUP((COLUMN()+1)/3-2,0)))</f>
        <v/>
      </c>
      <c r="S232" s="127"/>
      <c r="T232" s="137"/>
    </row>
    <row r="233" spans="1:20" x14ac:dyDescent="0.3">
      <c r="A233" s="126"/>
      <c r="B233" s="133"/>
      <c r="C233" s="127"/>
      <c r="D233" s="138"/>
      <c r="E233" s="137"/>
      <c r="F233" s="58" t="str" cm="1">
        <f>IF(ISBLANK($A233),"",INDEX(Array_OtherEnergyCharges,MATCH($A233,List_OtherEnergyMeters,0),ROUNDUP((COLUMN()+1)/3-2,0)))</f>
        <v/>
      </c>
      <c r="G233" s="127"/>
      <c r="H233" s="137"/>
      <c r="I233" s="58" t="str" cm="1">
        <f>IF(ISBLANK($A233),"",INDEX(Array_OtherEnergyCharges,MATCH($A233,List_OtherEnergyMeters,0),ROUNDUP((COLUMN()+1)/3-2,0)))</f>
        <v/>
      </c>
      <c r="J233" s="127"/>
      <c r="K233" s="137"/>
      <c r="L233" s="58" t="str" cm="1">
        <f>IF(ISBLANK($A233),"",INDEX(Array_OtherEnergyCharges,MATCH($A233,List_OtherEnergyMeters,0),ROUNDUP((COLUMN()+1)/3-2,0)))</f>
        <v/>
      </c>
      <c r="M233" s="127"/>
      <c r="N233" s="137"/>
      <c r="O233" s="58" t="str" cm="1">
        <f>IF(ISBLANK($A233),"",INDEX(Array_OtherEnergyCharges,MATCH($A233,List_OtherEnergyMeters,0),ROUNDUP((COLUMN()+1)/3-2,0)))</f>
        <v/>
      </c>
      <c r="P233" s="127"/>
      <c r="Q233" s="137"/>
      <c r="R233" s="58" t="str" cm="1">
        <f>IF(ISBLANK($A233),"",INDEX(Array_OtherEnergyCharges,MATCH($A233,List_OtherEnergyMeters,0),ROUNDUP((COLUMN()+1)/3-2,0)))</f>
        <v/>
      </c>
      <c r="S233" s="127"/>
      <c r="T233" s="137"/>
    </row>
    <row r="234" spans="1:20" x14ac:dyDescent="0.3">
      <c r="A234" s="126"/>
      <c r="B234" s="133"/>
      <c r="C234" s="127"/>
      <c r="D234" s="138"/>
      <c r="E234" s="137"/>
      <c r="F234" s="58" t="str" cm="1">
        <f>IF(ISBLANK($A234),"",INDEX(Array_OtherEnergyCharges,MATCH($A234,List_OtherEnergyMeters,0),ROUNDUP((COLUMN()+1)/3-2,0)))</f>
        <v/>
      </c>
      <c r="G234" s="127"/>
      <c r="H234" s="137"/>
      <c r="I234" s="58" t="str" cm="1">
        <f>IF(ISBLANK($A234),"",INDEX(Array_OtherEnergyCharges,MATCH($A234,List_OtherEnergyMeters,0),ROUNDUP((COLUMN()+1)/3-2,0)))</f>
        <v/>
      </c>
      <c r="J234" s="127"/>
      <c r="K234" s="137"/>
      <c r="L234" s="58" t="str" cm="1">
        <f>IF(ISBLANK($A234),"",INDEX(Array_OtherEnergyCharges,MATCH($A234,List_OtherEnergyMeters,0),ROUNDUP((COLUMN()+1)/3-2,0)))</f>
        <v/>
      </c>
      <c r="M234" s="127"/>
      <c r="N234" s="137"/>
      <c r="O234" s="58" t="str" cm="1">
        <f>IF(ISBLANK($A234),"",INDEX(Array_OtherEnergyCharges,MATCH($A234,List_OtherEnergyMeters,0),ROUNDUP((COLUMN()+1)/3-2,0)))</f>
        <v/>
      </c>
      <c r="P234" s="127"/>
      <c r="Q234" s="137"/>
      <c r="R234" s="58" t="str" cm="1">
        <f>IF(ISBLANK($A234),"",INDEX(Array_OtherEnergyCharges,MATCH($A234,List_OtherEnergyMeters,0),ROUNDUP((COLUMN()+1)/3-2,0)))</f>
        <v/>
      </c>
      <c r="S234" s="127"/>
      <c r="T234" s="137"/>
    </row>
    <row r="235" spans="1:20" x14ac:dyDescent="0.3">
      <c r="A235" s="126"/>
      <c r="B235" s="133"/>
      <c r="C235" s="127"/>
      <c r="D235" s="138"/>
      <c r="E235" s="137"/>
      <c r="F235" s="58" t="str" cm="1">
        <f>IF(ISBLANK($A235),"",INDEX(Array_OtherEnergyCharges,MATCH($A235,List_OtherEnergyMeters,0),ROUNDUP((COLUMN()+1)/3-2,0)))</f>
        <v/>
      </c>
      <c r="G235" s="127"/>
      <c r="H235" s="137"/>
      <c r="I235" s="58" t="str" cm="1">
        <f>IF(ISBLANK($A235),"",INDEX(Array_OtherEnergyCharges,MATCH($A235,List_OtherEnergyMeters,0),ROUNDUP((COLUMN()+1)/3-2,0)))</f>
        <v/>
      </c>
      <c r="J235" s="127"/>
      <c r="K235" s="137"/>
      <c r="L235" s="58" t="str" cm="1">
        <f>IF(ISBLANK($A235),"",INDEX(Array_OtherEnergyCharges,MATCH($A235,List_OtherEnergyMeters,0),ROUNDUP((COLUMN()+1)/3-2,0)))</f>
        <v/>
      </c>
      <c r="M235" s="127"/>
      <c r="N235" s="137"/>
      <c r="O235" s="58" t="str" cm="1">
        <f>IF(ISBLANK($A235),"",INDEX(Array_OtherEnergyCharges,MATCH($A235,List_OtherEnergyMeters,0),ROUNDUP((COLUMN()+1)/3-2,0)))</f>
        <v/>
      </c>
      <c r="P235" s="127"/>
      <c r="Q235" s="137"/>
      <c r="R235" s="58" t="str" cm="1">
        <f>IF(ISBLANK($A235),"",INDEX(Array_OtherEnergyCharges,MATCH($A235,List_OtherEnergyMeters,0),ROUNDUP((COLUMN()+1)/3-2,0)))</f>
        <v/>
      </c>
      <c r="S235" s="127"/>
      <c r="T235" s="137"/>
    </row>
    <row r="236" spans="1:20" x14ac:dyDescent="0.3">
      <c r="A236" s="126"/>
      <c r="B236" s="133"/>
      <c r="C236" s="127"/>
      <c r="D236" s="138"/>
      <c r="E236" s="137"/>
      <c r="F236" s="58" t="str" cm="1">
        <f>IF(ISBLANK($A236),"",INDEX(Array_OtherEnergyCharges,MATCH($A236,List_OtherEnergyMeters,0),ROUNDUP((COLUMN()+1)/3-2,0)))</f>
        <v/>
      </c>
      <c r="G236" s="127"/>
      <c r="H236" s="137"/>
      <c r="I236" s="58" t="str" cm="1">
        <f>IF(ISBLANK($A236),"",INDEX(Array_OtherEnergyCharges,MATCH($A236,List_OtherEnergyMeters,0),ROUNDUP((COLUMN()+1)/3-2,0)))</f>
        <v/>
      </c>
      <c r="J236" s="127"/>
      <c r="K236" s="137"/>
      <c r="L236" s="58" t="str" cm="1">
        <f>IF(ISBLANK($A236),"",INDEX(Array_OtherEnergyCharges,MATCH($A236,List_OtherEnergyMeters,0),ROUNDUP((COLUMN()+1)/3-2,0)))</f>
        <v/>
      </c>
      <c r="M236" s="127"/>
      <c r="N236" s="137"/>
      <c r="O236" s="58" t="str" cm="1">
        <f>IF(ISBLANK($A236),"",INDEX(Array_OtherEnergyCharges,MATCH($A236,List_OtherEnergyMeters,0),ROUNDUP((COLUMN()+1)/3-2,0)))</f>
        <v/>
      </c>
      <c r="P236" s="127"/>
      <c r="Q236" s="137"/>
      <c r="R236" s="58" t="str" cm="1">
        <f>IF(ISBLANK($A236),"",INDEX(Array_OtherEnergyCharges,MATCH($A236,List_OtherEnergyMeters,0),ROUNDUP((COLUMN()+1)/3-2,0)))</f>
        <v/>
      </c>
      <c r="S236" s="127"/>
      <c r="T236" s="137"/>
    </row>
    <row r="237" spans="1:20" x14ac:dyDescent="0.3">
      <c r="A237" s="126"/>
      <c r="B237" s="133"/>
      <c r="C237" s="127"/>
      <c r="D237" s="138"/>
      <c r="E237" s="137"/>
      <c r="F237" s="58" t="str" cm="1">
        <f>IF(ISBLANK($A237),"",INDEX(Array_OtherEnergyCharges,MATCH($A237,List_OtherEnergyMeters,0),ROUNDUP((COLUMN()+1)/3-2,0)))</f>
        <v/>
      </c>
      <c r="G237" s="127"/>
      <c r="H237" s="137"/>
      <c r="I237" s="58" t="str" cm="1">
        <f>IF(ISBLANK($A237),"",INDEX(Array_OtherEnergyCharges,MATCH($A237,List_OtherEnergyMeters,0),ROUNDUP((COLUMN()+1)/3-2,0)))</f>
        <v/>
      </c>
      <c r="J237" s="127"/>
      <c r="K237" s="137"/>
      <c r="L237" s="58" t="str" cm="1">
        <f>IF(ISBLANK($A237),"",INDEX(Array_OtherEnergyCharges,MATCH($A237,List_OtherEnergyMeters,0),ROUNDUP((COLUMN()+1)/3-2,0)))</f>
        <v/>
      </c>
      <c r="M237" s="127"/>
      <c r="N237" s="137"/>
      <c r="O237" s="58" t="str" cm="1">
        <f>IF(ISBLANK($A237),"",INDEX(Array_OtherEnergyCharges,MATCH($A237,List_OtherEnergyMeters,0),ROUNDUP((COLUMN()+1)/3-2,0)))</f>
        <v/>
      </c>
      <c r="P237" s="127"/>
      <c r="Q237" s="137"/>
      <c r="R237" s="58" t="str" cm="1">
        <f>IF(ISBLANK($A237),"",INDEX(Array_OtherEnergyCharges,MATCH($A237,List_OtherEnergyMeters,0),ROUNDUP((COLUMN()+1)/3-2,0)))</f>
        <v/>
      </c>
      <c r="S237" s="127"/>
      <c r="T237" s="137"/>
    </row>
    <row r="238" spans="1:20" x14ac:dyDescent="0.3">
      <c r="A238" s="126"/>
      <c r="B238" s="133"/>
      <c r="C238" s="127"/>
      <c r="D238" s="138"/>
      <c r="E238" s="137"/>
      <c r="F238" s="58" t="str" cm="1">
        <f>IF(ISBLANK($A238),"",INDEX(Array_OtherEnergyCharges,MATCH($A238,List_OtherEnergyMeters,0),ROUNDUP((COLUMN()+1)/3-2,0)))</f>
        <v/>
      </c>
      <c r="G238" s="127"/>
      <c r="H238" s="137"/>
      <c r="I238" s="58" t="str" cm="1">
        <f>IF(ISBLANK($A238),"",INDEX(Array_OtherEnergyCharges,MATCH($A238,List_OtherEnergyMeters,0),ROUNDUP((COLUMN()+1)/3-2,0)))</f>
        <v/>
      </c>
      <c r="J238" s="127"/>
      <c r="K238" s="137"/>
      <c r="L238" s="58" t="str" cm="1">
        <f>IF(ISBLANK($A238),"",INDEX(Array_OtherEnergyCharges,MATCH($A238,List_OtherEnergyMeters,0),ROUNDUP((COLUMN()+1)/3-2,0)))</f>
        <v/>
      </c>
      <c r="M238" s="127"/>
      <c r="N238" s="137"/>
      <c r="O238" s="58" t="str" cm="1">
        <f>IF(ISBLANK($A238),"",INDEX(Array_OtherEnergyCharges,MATCH($A238,List_OtherEnergyMeters,0),ROUNDUP((COLUMN()+1)/3-2,0)))</f>
        <v/>
      </c>
      <c r="P238" s="127"/>
      <c r="Q238" s="137"/>
      <c r="R238" s="58" t="str" cm="1">
        <f>IF(ISBLANK($A238),"",INDEX(Array_OtherEnergyCharges,MATCH($A238,List_OtherEnergyMeters,0),ROUNDUP((COLUMN()+1)/3-2,0)))</f>
        <v/>
      </c>
      <c r="S238" s="127"/>
      <c r="T238" s="137"/>
    </row>
    <row r="239" spans="1:20" x14ac:dyDescent="0.3">
      <c r="A239" s="126"/>
      <c r="B239" s="133"/>
      <c r="C239" s="127"/>
      <c r="D239" s="138"/>
      <c r="E239" s="137"/>
      <c r="F239" s="58" t="str" cm="1">
        <f>IF(ISBLANK($A239),"",INDEX(Array_OtherEnergyCharges,MATCH($A239,List_OtherEnergyMeters,0),ROUNDUP((COLUMN()+1)/3-2,0)))</f>
        <v/>
      </c>
      <c r="G239" s="127"/>
      <c r="H239" s="137"/>
      <c r="I239" s="58" t="str" cm="1">
        <f>IF(ISBLANK($A239),"",INDEX(Array_OtherEnergyCharges,MATCH($A239,List_OtherEnergyMeters,0),ROUNDUP((COLUMN()+1)/3-2,0)))</f>
        <v/>
      </c>
      <c r="J239" s="127"/>
      <c r="K239" s="137"/>
      <c r="L239" s="58" t="str" cm="1">
        <f>IF(ISBLANK($A239),"",INDEX(Array_OtherEnergyCharges,MATCH($A239,List_OtherEnergyMeters,0),ROUNDUP((COLUMN()+1)/3-2,0)))</f>
        <v/>
      </c>
      <c r="M239" s="127"/>
      <c r="N239" s="137"/>
      <c r="O239" s="58" t="str" cm="1">
        <f>IF(ISBLANK($A239),"",INDEX(Array_OtherEnergyCharges,MATCH($A239,List_OtherEnergyMeters,0),ROUNDUP((COLUMN()+1)/3-2,0)))</f>
        <v/>
      </c>
      <c r="P239" s="127"/>
      <c r="Q239" s="137"/>
      <c r="R239" s="58" t="str" cm="1">
        <f>IF(ISBLANK($A239),"",INDEX(Array_OtherEnergyCharges,MATCH($A239,List_OtherEnergyMeters,0),ROUNDUP((COLUMN()+1)/3-2,0)))</f>
        <v/>
      </c>
      <c r="S239" s="127"/>
      <c r="T239" s="137"/>
    </row>
    <row r="240" spans="1:20" x14ac:dyDescent="0.3">
      <c r="A240" s="126"/>
      <c r="B240" s="133"/>
      <c r="C240" s="127"/>
      <c r="D240" s="138"/>
      <c r="E240" s="137"/>
      <c r="F240" s="58" t="str" cm="1">
        <f>IF(ISBLANK($A240),"",INDEX(Array_OtherEnergyCharges,MATCH($A240,List_OtherEnergyMeters,0),ROUNDUP((COLUMN()+1)/3-2,0)))</f>
        <v/>
      </c>
      <c r="G240" s="127"/>
      <c r="H240" s="137"/>
      <c r="I240" s="58" t="str" cm="1">
        <f>IF(ISBLANK($A240),"",INDEX(Array_OtherEnergyCharges,MATCH($A240,List_OtherEnergyMeters,0),ROUNDUP((COLUMN()+1)/3-2,0)))</f>
        <v/>
      </c>
      <c r="J240" s="127"/>
      <c r="K240" s="137"/>
      <c r="L240" s="58" t="str" cm="1">
        <f>IF(ISBLANK($A240),"",INDEX(Array_OtherEnergyCharges,MATCH($A240,List_OtherEnergyMeters,0),ROUNDUP((COLUMN()+1)/3-2,0)))</f>
        <v/>
      </c>
      <c r="M240" s="127"/>
      <c r="N240" s="137"/>
      <c r="O240" s="58" t="str" cm="1">
        <f>IF(ISBLANK($A240),"",INDEX(Array_OtherEnergyCharges,MATCH($A240,List_OtherEnergyMeters,0),ROUNDUP((COLUMN()+1)/3-2,0)))</f>
        <v/>
      </c>
      <c r="P240" s="127"/>
      <c r="Q240" s="137"/>
      <c r="R240" s="58" t="str" cm="1">
        <f>IF(ISBLANK($A240),"",INDEX(Array_OtherEnergyCharges,MATCH($A240,List_OtherEnergyMeters,0),ROUNDUP((COLUMN()+1)/3-2,0)))</f>
        <v/>
      </c>
      <c r="S240" s="127"/>
      <c r="T240" s="137"/>
    </row>
    <row r="241" spans="1:20" x14ac:dyDescent="0.3">
      <c r="A241" s="126"/>
      <c r="B241" s="133"/>
      <c r="C241" s="127"/>
      <c r="D241" s="138"/>
      <c r="E241" s="137"/>
      <c r="F241" s="58" t="str" cm="1">
        <f>IF(ISBLANK($A241),"",INDEX(Array_OtherEnergyCharges,MATCH($A241,List_OtherEnergyMeters,0),ROUNDUP((COLUMN()+1)/3-2,0)))</f>
        <v/>
      </c>
      <c r="G241" s="127"/>
      <c r="H241" s="137"/>
      <c r="I241" s="58" t="str" cm="1">
        <f>IF(ISBLANK($A241),"",INDEX(Array_OtherEnergyCharges,MATCH($A241,List_OtherEnergyMeters,0),ROUNDUP((COLUMN()+1)/3-2,0)))</f>
        <v/>
      </c>
      <c r="J241" s="127"/>
      <c r="K241" s="137"/>
      <c r="L241" s="58" t="str" cm="1">
        <f>IF(ISBLANK($A241),"",INDEX(Array_OtherEnergyCharges,MATCH($A241,List_OtherEnergyMeters,0),ROUNDUP((COLUMN()+1)/3-2,0)))</f>
        <v/>
      </c>
      <c r="M241" s="127"/>
      <c r="N241" s="137"/>
      <c r="O241" s="58" t="str" cm="1">
        <f>IF(ISBLANK($A241),"",INDEX(Array_OtherEnergyCharges,MATCH($A241,List_OtherEnergyMeters,0),ROUNDUP((COLUMN()+1)/3-2,0)))</f>
        <v/>
      </c>
      <c r="P241" s="127"/>
      <c r="Q241" s="137"/>
      <c r="R241" s="58" t="str" cm="1">
        <f>IF(ISBLANK($A241),"",INDEX(Array_OtherEnergyCharges,MATCH($A241,List_OtherEnergyMeters,0),ROUNDUP((COLUMN()+1)/3-2,0)))</f>
        <v/>
      </c>
      <c r="S241" s="127"/>
      <c r="T241" s="137"/>
    </row>
    <row r="242" spans="1:20" x14ac:dyDescent="0.3">
      <c r="A242" s="126"/>
      <c r="B242" s="133"/>
      <c r="C242" s="127"/>
      <c r="D242" s="138"/>
      <c r="E242" s="137"/>
      <c r="F242" s="58" t="str" cm="1">
        <f>IF(ISBLANK($A242),"",INDEX(Array_OtherEnergyCharges,MATCH($A242,List_OtherEnergyMeters,0),ROUNDUP((COLUMN()+1)/3-2,0)))</f>
        <v/>
      </c>
      <c r="G242" s="127"/>
      <c r="H242" s="137"/>
      <c r="I242" s="58" t="str" cm="1">
        <f>IF(ISBLANK($A242),"",INDEX(Array_OtherEnergyCharges,MATCH($A242,List_OtherEnergyMeters,0),ROUNDUP((COLUMN()+1)/3-2,0)))</f>
        <v/>
      </c>
      <c r="J242" s="127"/>
      <c r="K242" s="137"/>
      <c r="L242" s="58" t="str" cm="1">
        <f>IF(ISBLANK($A242),"",INDEX(Array_OtherEnergyCharges,MATCH($A242,List_OtherEnergyMeters,0),ROUNDUP((COLUMN()+1)/3-2,0)))</f>
        <v/>
      </c>
      <c r="M242" s="127"/>
      <c r="N242" s="137"/>
      <c r="O242" s="58" t="str" cm="1">
        <f>IF(ISBLANK($A242),"",INDEX(Array_OtherEnergyCharges,MATCH($A242,List_OtherEnergyMeters,0),ROUNDUP((COLUMN()+1)/3-2,0)))</f>
        <v/>
      </c>
      <c r="P242" s="127"/>
      <c r="Q242" s="137"/>
      <c r="R242" s="58" t="str" cm="1">
        <f>IF(ISBLANK($A242),"",INDEX(Array_OtherEnergyCharges,MATCH($A242,List_OtherEnergyMeters,0),ROUNDUP((COLUMN()+1)/3-2,0)))</f>
        <v/>
      </c>
      <c r="S242" s="127"/>
      <c r="T242" s="137"/>
    </row>
    <row r="243" spans="1:20" x14ac:dyDescent="0.3">
      <c r="A243" s="126"/>
      <c r="B243" s="133"/>
      <c r="C243" s="127"/>
      <c r="D243" s="138"/>
      <c r="E243" s="137"/>
      <c r="F243" s="58" t="str" cm="1">
        <f>IF(ISBLANK($A243),"",INDEX(Array_OtherEnergyCharges,MATCH($A243,List_OtherEnergyMeters,0),ROUNDUP((COLUMN()+1)/3-2,0)))</f>
        <v/>
      </c>
      <c r="G243" s="127"/>
      <c r="H243" s="137"/>
      <c r="I243" s="58" t="str" cm="1">
        <f>IF(ISBLANK($A243),"",INDEX(Array_OtherEnergyCharges,MATCH($A243,List_OtherEnergyMeters,0),ROUNDUP((COLUMN()+1)/3-2,0)))</f>
        <v/>
      </c>
      <c r="J243" s="127"/>
      <c r="K243" s="137"/>
      <c r="L243" s="58" t="str" cm="1">
        <f>IF(ISBLANK($A243),"",INDEX(Array_OtherEnergyCharges,MATCH($A243,List_OtherEnergyMeters,0),ROUNDUP((COLUMN()+1)/3-2,0)))</f>
        <v/>
      </c>
      <c r="M243" s="127"/>
      <c r="N243" s="137"/>
      <c r="O243" s="58" t="str" cm="1">
        <f>IF(ISBLANK($A243),"",INDEX(Array_OtherEnergyCharges,MATCH($A243,List_OtherEnergyMeters,0),ROUNDUP((COLUMN()+1)/3-2,0)))</f>
        <v/>
      </c>
      <c r="P243" s="127"/>
      <c r="Q243" s="137"/>
      <c r="R243" s="58" t="str" cm="1">
        <f>IF(ISBLANK($A243),"",INDEX(Array_OtherEnergyCharges,MATCH($A243,List_OtherEnergyMeters,0),ROUNDUP((COLUMN()+1)/3-2,0)))</f>
        <v/>
      </c>
      <c r="S243" s="127"/>
      <c r="T243" s="137"/>
    </row>
    <row r="244" spans="1:20" x14ac:dyDescent="0.3">
      <c r="A244" s="126"/>
      <c r="B244" s="133"/>
      <c r="C244" s="127"/>
      <c r="D244" s="138"/>
      <c r="E244" s="137"/>
      <c r="F244" s="58" t="str" cm="1">
        <f>IF(ISBLANK($A244),"",INDEX(Array_OtherEnergyCharges,MATCH($A244,List_OtherEnergyMeters,0),ROUNDUP((COLUMN()+1)/3-2,0)))</f>
        <v/>
      </c>
      <c r="G244" s="127"/>
      <c r="H244" s="137"/>
      <c r="I244" s="58" t="str" cm="1">
        <f>IF(ISBLANK($A244),"",INDEX(Array_OtherEnergyCharges,MATCH($A244,List_OtherEnergyMeters,0),ROUNDUP((COLUMN()+1)/3-2,0)))</f>
        <v/>
      </c>
      <c r="J244" s="127"/>
      <c r="K244" s="137"/>
      <c r="L244" s="58" t="str" cm="1">
        <f>IF(ISBLANK($A244),"",INDEX(Array_OtherEnergyCharges,MATCH($A244,List_OtherEnergyMeters,0),ROUNDUP((COLUMN()+1)/3-2,0)))</f>
        <v/>
      </c>
      <c r="M244" s="127"/>
      <c r="N244" s="137"/>
      <c r="O244" s="58" t="str" cm="1">
        <f>IF(ISBLANK($A244),"",INDEX(Array_OtherEnergyCharges,MATCH($A244,List_OtherEnergyMeters,0),ROUNDUP((COLUMN()+1)/3-2,0)))</f>
        <v/>
      </c>
      <c r="P244" s="127"/>
      <c r="Q244" s="137"/>
      <c r="R244" s="58" t="str" cm="1">
        <f>IF(ISBLANK($A244),"",INDEX(Array_OtherEnergyCharges,MATCH($A244,List_OtherEnergyMeters,0),ROUNDUP((COLUMN()+1)/3-2,0)))</f>
        <v/>
      </c>
      <c r="S244" s="127"/>
      <c r="T244" s="137"/>
    </row>
    <row r="245" spans="1:20" x14ac:dyDescent="0.3">
      <c r="A245" s="126"/>
      <c r="B245" s="133"/>
      <c r="C245" s="127"/>
      <c r="D245" s="138"/>
      <c r="E245" s="137"/>
      <c r="F245" s="58" t="str" cm="1">
        <f>IF(ISBLANK($A245),"",INDEX(Array_OtherEnergyCharges,MATCH($A245,List_OtherEnergyMeters,0),ROUNDUP((COLUMN()+1)/3-2,0)))</f>
        <v/>
      </c>
      <c r="G245" s="127"/>
      <c r="H245" s="137"/>
      <c r="I245" s="58" t="str" cm="1">
        <f>IF(ISBLANK($A245),"",INDEX(Array_OtherEnergyCharges,MATCH($A245,List_OtherEnergyMeters,0),ROUNDUP((COLUMN()+1)/3-2,0)))</f>
        <v/>
      </c>
      <c r="J245" s="127"/>
      <c r="K245" s="137"/>
      <c r="L245" s="58" t="str" cm="1">
        <f>IF(ISBLANK($A245),"",INDEX(Array_OtherEnergyCharges,MATCH($A245,List_OtherEnergyMeters,0),ROUNDUP((COLUMN()+1)/3-2,0)))</f>
        <v/>
      </c>
      <c r="M245" s="127"/>
      <c r="N245" s="137"/>
      <c r="O245" s="58" t="str" cm="1">
        <f>IF(ISBLANK($A245),"",INDEX(Array_OtherEnergyCharges,MATCH($A245,List_OtherEnergyMeters,0),ROUNDUP((COLUMN()+1)/3-2,0)))</f>
        <v/>
      </c>
      <c r="P245" s="127"/>
      <c r="Q245" s="137"/>
      <c r="R245" s="58" t="str" cm="1">
        <f>IF(ISBLANK($A245),"",INDEX(Array_OtherEnergyCharges,MATCH($A245,List_OtherEnergyMeters,0),ROUNDUP((COLUMN()+1)/3-2,0)))</f>
        <v/>
      </c>
      <c r="S245" s="127"/>
      <c r="T245" s="137"/>
    </row>
    <row r="246" spans="1:20" x14ac:dyDescent="0.3">
      <c r="A246" s="126"/>
      <c r="B246" s="133"/>
      <c r="C246" s="127"/>
      <c r="D246" s="138"/>
      <c r="E246" s="137"/>
      <c r="F246" s="58" t="str" cm="1">
        <f>IF(ISBLANK($A246),"",INDEX(Array_OtherEnergyCharges,MATCH($A246,List_OtherEnergyMeters,0),ROUNDUP((COLUMN()+1)/3-2,0)))</f>
        <v/>
      </c>
      <c r="G246" s="127"/>
      <c r="H246" s="137"/>
      <c r="I246" s="58" t="str" cm="1">
        <f>IF(ISBLANK($A246),"",INDEX(Array_OtherEnergyCharges,MATCH($A246,List_OtherEnergyMeters,0),ROUNDUP((COLUMN()+1)/3-2,0)))</f>
        <v/>
      </c>
      <c r="J246" s="127"/>
      <c r="K246" s="137"/>
      <c r="L246" s="58" t="str" cm="1">
        <f>IF(ISBLANK($A246),"",INDEX(Array_OtherEnergyCharges,MATCH($A246,List_OtherEnergyMeters,0),ROUNDUP((COLUMN()+1)/3-2,0)))</f>
        <v/>
      </c>
      <c r="M246" s="127"/>
      <c r="N246" s="137"/>
      <c r="O246" s="58" t="str" cm="1">
        <f>IF(ISBLANK($A246),"",INDEX(Array_OtherEnergyCharges,MATCH($A246,List_OtherEnergyMeters,0),ROUNDUP((COLUMN()+1)/3-2,0)))</f>
        <v/>
      </c>
      <c r="P246" s="127"/>
      <c r="Q246" s="137"/>
      <c r="R246" s="58" t="str" cm="1">
        <f>IF(ISBLANK($A246),"",INDEX(Array_OtherEnergyCharges,MATCH($A246,List_OtherEnergyMeters,0),ROUNDUP((COLUMN()+1)/3-2,0)))</f>
        <v/>
      </c>
      <c r="S246" s="127"/>
      <c r="T246" s="137"/>
    </row>
    <row r="247" spans="1:20" x14ac:dyDescent="0.3">
      <c r="A247" s="126"/>
      <c r="B247" s="133"/>
      <c r="C247" s="127"/>
      <c r="D247" s="138"/>
      <c r="E247" s="137"/>
      <c r="F247" s="58" t="str" cm="1">
        <f>IF(ISBLANK($A247),"",INDEX(Array_OtherEnergyCharges,MATCH($A247,List_OtherEnergyMeters,0),ROUNDUP((COLUMN()+1)/3-2,0)))</f>
        <v/>
      </c>
      <c r="G247" s="127"/>
      <c r="H247" s="137"/>
      <c r="I247" s="58" t="str" cm="1">
        <f>IF(ISBLANK($A247),"",INDEX(Array_OtherEnergyCharges,MATCH($A247,List_OtherEnergyMeters,0),ROUNDUP((COLUMN()+1)/3-2,0)))</f>
        <v/>
      </c>
      <c r="J247" s="127"/>
      <c r="K247" s="137"/>
      <c r="L247" s="58" t="str" cm="1">
        <f>IF(ISBLANK($A247),"",INDEX(Array_OtherEnergyCharges,MATCH($A247,List_OtherEnergyMeters,0),ROUNDUP((COLUMN()+1)/3-2,0)))</f>
        <v/>
      </c>
      <c r="M247" s="127"/>
      <c r="N247" s="137"/>
      <c r="O247" s="58" t="str" cm="1">
        <f>IF(ISBLANK($A247),"",INDEX(Array_OtherEnergyCharges,MATCH($A247,List_OtherEnergyMeters,0),ROUNDUP((COLUMN()+1)/3-2,0)))</f>
        <v/>
      </c>
      <c r="P247" s="127"/>
      <c r="Q247" s="137"/>
      <c r="R247" s="58" t="str" cm="1">
        <f>IF(ISBLANK($A247),"",INDEX(Array_OtherEnergyCharges,MATCH($A247,List_OtherEnergyMeters,0),ROUNDUP((COLUMN()+1)/3-2,0)))</f>
        <v/>
      </c>
      <c r="S247" s="127"/>
      <c r="T247" s="137"/>
    </row>
    <row r="248" spans="1:20" x14ac:dyDescent="0.3">
      <c r="A248" s="126"/>
      <c r="B248" s="133"/>
      <c r="C248" s="127"/>
      <c r="D248" s="138"/>
      <c r="E248" s="137"/>
      <c r="F248" s="58" t="str" cm="1">
        <f>IF(ISBLANK($A248),"",INDEX(Array_OtherEnergyCharges,MATCH($A248,List_OtherEnergyMeters,0),ROUNDUP((COLUMN()+1)/3-2,0)))</f>
        <v/>
      </c>
      <c r="G248" s="127"/>
      <c r="H248" s="137"/>
      <c r="I248" s="58" t="str" cm="1">
        <f>IF(ISBLANK($A248),"",INDEX(Array_OtherEnergyCharges,MATCH($A248,List_OtherEnergyMeters,0),ROUNDUP((COLUMN()+1)/3-2,0)))</f>
        <v/>
      </c>
      <c r="J248" s="127"/>
      <c r="K248" s="137"/>
      <c r="L248" s="58" t="str" cm="1">
        <f>IF(ISBLANK($A248),"",INDEX(Array_OtherEnergyCharges,MATCH($A248,List_OtherEnergyMeters,0),ROUNDUP((COLUMN()+1)/3-2,0)))</f>
        <v/>
      </c>
      <c r="M248" s="127"/>
      <c r="N248" s="137"/>
      <c r="O248" s="58" t="str" cm="1">
        <f>IF(ISBLANK($A248),"",INDEX(Array_OtherEnergyCharges,MATCH($A248,List_OtherEnergyMeters,0),ROUNDUP((COLUMN()+1)/3-2,0)))</f>
        <v/>
      </c>
      <c r="P248" s="127"/>
      <c r="Q248" s="137"/>
      <c r="R248" s="58" t="str" cm="1">
        <f>IF(ISBLANK($A248),"",INDEX(Array_OtherEnergyCharges,MATCH($A248,List_OtherEnergyMeters,0),ROUNDUP((COLUMN()+1)/3-2,0)))</f>
        <v/>
      </c>
      <c r="S248" s="127"/>
      <c r="T248" s="137"/>
    </row>
    <row r="249" spans="1:20" x14ac:dyDescent="0.3">
      <c r="A249" s="126"/>
      <c r="B249" s="133"/>
      <c r="C249" s="127"/>
      <c r="D249" s="138"/>
      <c r="E249" s="137"/>
      <c r="F249" s="58" t="str" cm="1">
        <f>IF(ISBLANK($A249),"",INDEX(Array_OtherEnergyCharges,MATCH($A249,List_OtherEnergyMeters,0),ROUNDUP((COLUMN()+1)/3-2,0)))</f>
        <v/>
      </c>
      <c r="G249" s="127"/>
      <c r="H249" s="137"/>
      <c r="I249" s="58" t="str" cm="1">
        <f>IF(ISBLANK($A249),"",INDEX(Array_OtherEnergyCharges,MATCH($A249,List_OtherEnergyMeters,0),ROUNDUP((COLUMN()+1)/3-2,0)))</f>
        <v/>
      </c>
      <c r="J249" s="127"/>
      <c r="K249" s="137"/>
      <c r="L249" s="58" t="str" cm="1">
        <f>IF(ISBLANK($A249),"",INDEX(Array_OtherEnergyCharges,MATCH($A249,List_OtherEnergyMeters,0),ROUNDUP((COLUMN()+1)/3-2,0)))</f>
        <v/>
      </c>
      <c r="M249" s="127"/>
      <c r="N249" s="137"/>
      <c r="O249" s="58" t="str" cm="1">
        <f>IF(ISBLANK($A249),"",INDEX(Array_OtherEnergyCharges,MATCH($A249,List_OtherEnergyMeters,0),ROUNDUP((COLUMN()+1)/3-2,0)))</f>
        <v/>
      </c>
      <c r="P249" s="127"/>
      <c r="Q249" s="137"/>
      <c r="R249" s="58" t="str" cm="1">
        <f>IF(ISBLANK($A249),"",INDEX(Array_OtherEnergyCharges,MATCH($A249,List_OtherEnergyMeters,0),ROUNDUP((COLUMN()+1)/3-2,0)))</f>
        <v/>
      </c>
      <c r="S249" s="127"/>
      <c r="T249" s="137"/>
    </row>
    <row r="250" spans="1:20" x14ac:dyDescent="0.3">
      <c r="A250" s="126"/>
      <c r="B250" s="133"/>
      <c r="C250" s="127"/>
      <c r="D250" s="138"/>
      <c r="E250" s="137"/>
      <c r="F250" s="58" t="str" cm="1">
        <f>IF(ISBLANK($A250),"",INDEX(Array_OtherEnergyCharges,MATCH($A250,List_OtherEnergyMeters,0),ROUNDUP((COLUMN()+1)/3-2,0)))</f>
        <v/>
      </c>
      <c r="G250" s="127"/>
      <c r="H250" s="137"/>
      <c r="I250" s="58" t="str" cm="1">
        <f>IF(ISBLANK($A250),"",INDEX(Array_OtherEnergyCharges,MATCH($A250,List_OtherEnergyMeters,0),ROUNDUP((COLUMN()+1)/3-2,0)))</f>
        <v/>
      </c>
      <c r="J250" s="127"/>
      <c r="K250" s="137"/>
      <c r="L250" s="58" t="str" cm="1">
        <f>IF(ISBLANK($A250),"",INDEX(Array_OtherEnergyCharges,MATCH($A250,List_OtherEnergyMeters,0),ROUNDUP((COLUMN()+1)/3-2,0)))</f>
        <v/>
      </c>
      <c r="M250" s="127"/>
      <c r="N250" s="137"/>
      <c r="O250" s="58" t="str" cm="1">
        <f>IF(ISBLANK($A250),"",INDEX(Array_OtherEnergyCharges,MATCH($A250,List_OtherEnergyMeters,0),ROUNDUP((COLUMN()+1)/3-2,0)))</f>
        <v/>
      </c>
      <c r="P250" s="127"/>
      <c r="Q250" s="137"/>
      <c r="R250" s="58" t="str" cm="1">
        <f>IF(ISBLANK($A250),"",INDEX(Array_OtherEnergyCharges,MATCH($A250,List_OtherEnergyMeters,0),ROUNDUP((COLUMN()+1)/3-2,0)))</f>
        <v/>
      </c>
      <c r="S250" s="127"/>
      <c r="T250" s="137"/>
    </row>
    <row r="251" spans="1:20" x14ac:dyDescent="0.3">
      <c r="A251" s="126"/>
      <c r="B251" s="133"/>
      <c r="C251" s="127"/>
      <c r="D251" s="138"/>
      <c r="E251" s="137"/>
      <c r="F251" s="58" t="str" cm="1">
        <f>IF(ISBLANK($A251),"",INDEX(Array_OtherEnergyCharges,MATCH($A251,List_OtherEnergyMeters,0),ROUNDUP((COLUMN()+1)/3-2,0)))</f>
        <v/>
      </c>
      <c r="G251" s="127"/>
      <c r="H251" s="137"/>
      <c r="I251" s="58" t="str" cm="1">
        <f>IF(ISBLANK($A251),"",INDEX(Array_OtherEnergyCharges,MATCH($A251,List_OtherEnergyMeters,0),ROUNDUP((COLUMN()+1)/3-2,0)))</f>
        <v/>
      </c>
      <c r="J251" s="127"/>
      <c r="K251" s="137"/>
      <c r="L251" s="58" t="str" cm="1">
        <f>IF(ISBLANK($A251),"",INDEX(Array_OtherEnergyCharges,MATCH($A251,List_OtherEnergyMeters,0),ROUNDUP((COLUMN()+1)/3-2,0)))</f>
        <v/>
      </c>
      <c r="M251" s="127"/>
      <c r="N251" s="137"/>
      <c r="O251" s="58" t="str" cm="1">
        <f>IF(ISBLANK($A251),"",INDEX(Array_OtherEnergyCharges,MATCH($A251,List_OtherEnergyMeters,0),ROUNDUP((COLUMN()+1)/3-2,0)))</f>
        <v/>
      </c>
      <c r="P251" s="127"/>
      <c r="Q251" s="137"/>
      <c r="R251" s="58" t="str" cm="1">
        <f>IF(ISBLANK($A251),"",INDEX(Array_OtherEnergyCharges,MATCH($A251,List_OtherEnergyMeters,0),ROUNDUP((COLUMN()+1)/3-2,0)))</f>
        <v/>
      </c>
      <c r="S251" s="127"/>
      <c r="T251" s="137"/>
    </row>
    <row r="252" spans="1:20" x14ac:dyDescent="0.3">
      <c r="A252" s="126"/>
      <c r="B252" s="133"/>
      <c r="C252" s="127"/>
      <c r="D252" s="138"/>
      <c r="E252" s="137"/>
      <c r="F252" s="58" t="str" cm="1">
        <f>IF(ISBLANK($A252),"",INDEX(Array_OtherEnergyCharges,MATCH($A252,List_OtherEnergyMeters,0),ROUNDUP((COLUMN()+1)/3-2,0)))</f>
        <v/>
      </c>
      <c r="G252" s="127"/>
      <c r="H252" s="137"/>
      <c r="I252" s="58" t="str" cm="1">
        <f>IF(ISBLANK($A252),"",INDEX(Array_OtherEnergyCharges,MATCH($A252,List_OtherEnergyMeters,0),ROUNDUP((COLUMN()+1)/3-2,0)))</f>
        <v/>
      </c>
      <c r="J252" s="127"/>
      <c r="K252" s="137"/>
      <c r="L252" s="58" t="str" cm="1">
        <f>IF(ISBLANK($A252),"",INDEX(Array_OtherEnergyCharges,MATCH($A252,List_OtherEnergyMeters,0),ROUNDUP((COLUMN()+1)/3-2,0)))</f>
        <v/>
      </c>
      <c r="M252" s="127"/>
      <c r="N252" s="137"/>
      <c r="O252" s="58" t="str" cm="1">
        <f>IF(ISBLANK($A252),"",INDEX(Array_OtherEnergyCharges,MATCH($A252,List_OtherEnergyMeters,0),ROUNDUP((COLUMN()+1)/3-2,0)))</f>
        <v/>
      </c>
      <c r="P252" s="127"/>
      <c r="Q252" s="137"/>
      <c r="R252" s="58" t="str" cm="1">
        <f>IF(ISBLANK($A252),"",INDEX(Array_OtherEnergyCharges,MATCH($A252,List_OtherEnergyMeters,0),ROUNDUP((COLUMN()+1)/3-2,0)))</f>
        <v/>
      </c>
      <c r="S252" s="127"/>
      <c r="T252" s="137"/>
    </row>
    <row r="253" spans="1:20" x14ac:dyDescent="0.3">
      <c r="A253" s="126"/>
      <c r="B253" s="133"/>
      <c r="C253" s="127"/>
      <c r="D253" s="138"/>
      <c r="E253" s="137"/>
      <c r="F253" s="58" t="str" cm="1">
        <f>IF(ISBLANK($A253),"",INDEX(Array_OtherEnergyCharges,MATCH($A253,List_OtherEnergyMeters,0),ROUNDUP((COLUMN()+1)/3-2,0)))</f>
        <v/>
      </c>
      <c r="G253" s="127"/>
      <c r="H253" s="137"/>
      <c r="I253" s="58" t="str" cm="1">
        <f>IF(ISBLANK($A253),"",INDEX(Array_OtherEnergyCharges,MATCH($A253,List_OtherEnergyMeters,0),ROUNDUP((COLUMN()+1)/3-2,0)))</f>
        <v/>
      </c>
      <c r="J253" s="127"/>
      <c r="K253" s="137"/>
      <c r="L253" s="58" t="str" cm="1">
        <f>IF(ISBLANK($A253),"",INDEX(Array_OtherEnergyCharges,MATCH($A253,List_OtherEnergyMeters,0),ROUNDUP((COLUMN()+1)/3-2,0)))</f>
        <v/>
      </c>
      <c r="M253" s="127"/>
      <c r="N253" s="137"/>
      <c r="O253" s="58" t="str" cm="1">
        <f>IF(ISBLANK($A253),"",INDEX(Array_OtherEnergyCharges,MATCH($A253,List_OtherEnergyMeters,0),ROUNDUP((COLUMN()+1)/3-2,0)))</f>
        <v/>
      </c>
      <c r="P253" s="127"/>
      <c r="Q253" s="137"/>
      <c r="R253" s="58" t="str" cm="1">
        <f>IF(ISBLANK($A253),"",INDEX(Array_OtherEnergyCharges,MATCH($A253,List_OtherEnergyMeters,0),ROUNDUP((COLUMN()+1)/3-2,0)))</f>
        <v/>
      </c>
      <c r="S253" s="127"/>
      <c r="T253" s="137"/>
    </row>
    <row r="254" spans="1:20" x14ac:dyDescent="0.3">
      <c r="A254" s="126"/>
      <c r="B254" s="133"/>
      <c r="C254" s="127"/>
      <c r="D254" s="138"/>
      <c r="E254" s="137"/>
      <c r="F254" s="58" t="str" cm="1">
        <f>IF(ISBLANK($A254),"",INDEX(Array_OtherEnergyCharges,MATCH($A254,List_OtherEnergyMeters,0),ROUNDUP((COLUMN()+1)/3-2,0)))</f>
        <v/>
      </c>
      <c r="G254" s="127"/>
      <c r="H254" s="137"/>
      <c r="I254" s="58" t="str" cm="1">
        <f>IF(ISBLANK($A254),"",INDEX(Array_OtherEnergyCharges,MATCH($A254,List_OtherEnergyMeters,0),ROUNDUP((COLUMN()+1)/3-2,0)))</f>
        <v/>
      </c>
      <c r="J254" s="127"/>
      <c r="K254" s="137"/>
      <c r="L254" s="58" t="str" cm="1">
        <f>IF(ISBLANK($A254),"",INDEX(Array_OtherEnergyCharges,MATCH($A254,List_OtherEnergyMeters,0),ROUNDUP((COLUMN()+1)/3-2,0)))</f>
        <v/>
      </c>
      <c r="M254" s="127"/>
      <c r="N254" s="137"/>
      <c r="O254" s="58" t="str" cm="1">
        <f>IF(ISBLANK($A254),"",INDEX(Array_OtherEnergyCharges,MATCH($A254,List_OtherEnergyMeters,0),ROUNDUP((COLUMN()+1)/3-2,0)))</f>
        <v/>
      </c>
      <c r="P254" s="127"/>
      <c r="Q254" s="137"/>
      <c r="R254" s="58" t="str" cm="1">
        <f>IF(ISBLANK($A254),"",INDEX(Array_OtherEnergyCharges,MATCH($A254,List_OtherEnergyMeters,0),ROUNDUP((COLUMN()+1)/3-2,0)))</f>
        <v/>
      </c>
      <c r="S254" s="127"/>
      <c r="T254" s="137"/>
    </row>
    <row r="255" spans="1:20" x14ac:dyDescent="0.3">
      <c r="A255" s="126"/>
      <c r="B255" s="133"/>
      <c r="C255" s="127"/>
      <c r="D255" s="138"/>
      <c r="E255" s="137"/>
      <c r="F255" s="58" t="str" cm="1">
        <f>IF(ISBLANK($A255),"",INDEX(Array_OtherEnergyCharges,MATCH($A255,List_OtherEnergyMeters,0),ROUNDUP((COLUMN()+1)/3-2,0)))</f>
        <v/>
      </c>
      <c r="G255" s="127"/>
      <c r="H255" s="137"/>
      <c r="I255" s="58" t="str" cm="1">
        <f>IF(ISBLANK($A255),"",INDEX(Array_OtherEnergyCharges,MATCH($A255,List_OtherEnergyMeters,0),ROUNDUP((COLUMN()+1)/3-2,0)))</f>
        <v/>
      </c>
      <c r="J255" s="127"/>
      <c r="K255" s="137"/>
      <c r="L255" s="58" t="str" cm="1">
        <f>IF(ISBLANK($A255),"",INDEX(Array_OtherEnergyCharges,MATCH($A255,List_OtherEnergyMeters,0),ROUNDUP((COLUMN()+1)/3-2,0)))</f>
        <v/>
      </c>
      <c r="M255" s="127"/>
      <c r="N255" s="137"/>
      <c r="O255" s="58" t="str" cm="1">
        <f>IF(ISBLANK($A255),"",INDEX(Array_OtherEnergyCharges,MATCH($A255,List_OtherEnergyMeters,0),ROUNDUP((COLUMN()+1)/3-2,0)))</f>
        <v/>
      </c>
      <c r="P255" s="127"/>
      <c r="Q255" s="137"/>
      <c r="R255" s="58" t="str" cm="1">
        <f>IF(ISBLANK($A255),"",INDEX(Array_OtherEnergyCharges,MATCH($A255,List_OtherEnergyMeters,0),ROUNDUP((COLUMN()+1)/3-2,0)))</f>
        <v/>
      </c>
      <c r="S255" s="127"/>
      <c r="T255" s="137"/>
    </row>
    <row r="256" spans="1:20" x14ac:dyDescent="0.3">
      <c r="A256" s="126"/>
      <c r="B256" s="133"/>
      <c r="C256" s="127"/>
      <c r="D256" s="138"/>
      <c r="E256" s="137"/>
      <c r="F256" s="58" t="str" cm="1">
        <f>IF(ISBLANK($A256),"",INDEX(Array_OtherEnergyCharges,MATCH($A256,List_OtherEnergyMeters,0),ROUNDUP((COLUMN()+1)/3-2,0)))</f>
        <v/>
      </c>
      <c r="G256" s="127"/>
      <c r="H256" s="137"/>
      <c r="I256" s="58" t="str" cm="1">
        <f>IF(ISBLANK($A256),"",INDEX(Array_OtherEnergyCharges,MATCH($A256,List_OtherEnergyMeters,0),ROUNDUP((COLUMN()+1)/3-2,0)))</f>
        <v/>
      </c>
      <c r="J256" s="127"/>
      <c r="K256" s="137"/>
      <c r="L256" s="58" t="str" cm="1">
        <f>IF(ISBLANK($A256),"",INDEX(Array_OtherEnergyCharges,MATCH($A256,List_OtherEnergyMeters,0),ROUNDUP((COLUMN()+1)/3-2,0)))</f>
        <v/>
      </c>
      <c r="M256" s="127"/>
      <c r="N256" s="137"/>
      <c r="O256" s="58" t="str" cm="1">
        <f>IF(ISBLANK($A256),"",INDEX(Array_OtherEnergyCharges,MATCH($A256,List_OtherEnergyMeters,0),ROUNDUP((COLUMN()+1)/3-2,0)))</f>
        <v/>
      </c>
      <c r="P256" s="127"/>
      <c r="Q256" s="137"/>
      <c r="R256" s="58" t="str" cm="1">
        <f>IF(ISBLANK($A256),"",INDEX(Array_OtherEnergyCharges,MATCH($A256,List_OtherEnergyMeters,0),ROUNDUP((COLUMN()+1)/3-2,0)))</f>
        <v/>
      </c>
      <c r="S256" s="127"/>
      <c r="T256" s="137"/>
    </row>
    <row r="257" spans="1:20" x14ac:dyDescent="0.3">
      <c r="A257" s="126"/>
      <c r="B257" s="133"/>
      <c r="C257" s="127"/>
      <c r="D257" s="138"/>
      <c r="E257" s="137"/>
      <c r="F257" s="58" t="str" cm="1">
        <f>IF(ISBLANK($A257),"",INDEX(Array_OtherEnergyCharges,MATCH($A257,List_OtherEnergyMeters,0),ROUNDUP((COLUMN()+1)/3-2,0)))</f>
        <v/>
      </c>
      <c r="G257" s="127"/>
      <c r="H257" s="137"/>
      <c r="I257" s="58" t="str" cm="1">
        <f>IF(ISBLANK($A257),"",INDEX(Array_OtherEnergyCharges,MATCH($A257,List_OtherEnergyMeters,0),ROUNDUP((COLUMN()+1)/3-2,0)))</f>
        <v/>
      </c>
      <c r="J257" s="127"/>
      <c r="K257" s="137"/>
      <c r="L257" s="58" t="str" cm="1">
        <f>IF(ISBLANK($A257),"",INDEX(Array_OtherEnergyCharges,MATCH($A257,List_OtherEnergyMeters,0),ROUNDUP((COLUMN()+1)/3-2,0)))</f>
        <v/>
      </c>
      <c r="M257" s="127"/>
      <c r="N257" s="137"/>
      <c r="O257" s="58" t="str" cm="1">
        <f>IF(ISBLANK($A257),"",INDEX(Array_OtherEnergyCharges,MATCH($A257,List_OtherEnergyMeters,0),ROUNDUP((COLUMN()+1)/3-2,0)))</f>
        <v/>
      </c>
      <c r="P257" s="127"/>
      <c r="Q257" s="137"/>
      <c r="R257" s="58" t="str" cm="1">
        <f>IF(ISBLANK($A257),"",INDEX(Array_OtherEnergyCharges,MATCH($A257,List_OtherEnergyMeters,0),ROUNDUP((COLUMN()+1)/3-2,0)))</f>
        <v/>
      </c>
      <c r="S257" s="127"/>
      <c r="T257" s="137"/>
    </row>
    <row r="258" spans="1:20" x14ac:dyDescent="0.3">
      <c r="A258" s="126"/>
      <c r="B258" s="133"/>
      <c r="C258" s="127"/>
      <c r="D258" s="138"/>
      <c r="E258" s="137"/>
      <c r="F258" s="58" t="str" cm="1">
        <f>IF(ISBLANK($A258),"",INDEX(Array_OtherEnergyCharges,MATCH($A258,List_OtherEnergyMeters,0),ROUNDUP((COLUMN()+1)/3-2,0)))</f>
        <v/>
      </c>
      <c r="G258" s="127"/>
      <c r="H258" s="137"/>
      <c r="I258" s="58" t="str" cm="1">
        <f>IF(ISBLANK($A258),"",INDEX(Array_OtherEnergyCharges,MATCH($A258,List_OtherEnergyMeters,0),ROUNDUP((COLUMN()+1)/3-2,0)))</f>
        <v/>
      </c>
      <c r="J258" s="127"/>
      <c r="K258" s="137"/>
      <c r="L258" s="58" t="str" cm="1">
        <f>IF(ISBLANK($A258),"",INDEX(Array_OtherEnergyCharges,MATCH($A258,List_OtherEnergyMeters,0),ROUNDUP((COLUMN()+1)/3-2,0)))</f>
        <v/>
      </c>
      <c r="M258" s="127"/>
      <c r="N258" s="137"/>
      <c r="O258" s="58" t="str" cm="1">
        <f>IF(ISBLANK($A258),"",INDEX(Array_OtherEnergyCharges,MATCH($A258,List_OtherEnergyMeters,0),ROUNDUP((COLUMN()+1)/3-2,0)))</f>
        <v/>
      </c>
      <c r="P258" s="127"/>
      <c r="Q258" s="137"/>
      <c r="R258" s="58" t="str" cm="1">
        <f>IF(ISBLANK($A258),"",INDEX(Array_OtherEnergyCharges,MATCH($A258,List_OtherEnergyMeters,0),ROUNDUP((COLUMN()+1)/3-2,0)))</f>
        <v/>
      </c>
      <c r="S258" s="127"/>
      <c r="T258" s="137"/>
    </row>
    <row r="259" spans="1:20" x14ac:dyDescent="0.3">
      <c r="A259" s="126"/>
      <c r="B259" s="133"/>
      <c r="C259" s="127"/>
      <c r="D259" s="138"/>
      <c r="E259" s="137"/>
      <c r="F259" s="58" t="str" cm="1">
        <f>IF(ISBLANK($A259),"",INDEX(Array_OtherEnergyCharges,MATCH($A259,List_OtherEnergyMeters,0),ROUNDUP((COLUMN()+1)/3-2,0)))</f>
        <v/>
      </c>
      <c r="G259" s="127"/>
      <c r="H259" s="137"/>
      <c r="I259" s="58" t="str" cm="1">
        <f>IF(ISBLANK($A259),"",INDEX(Array_OtherEnergyCharges,MATCH($A259,List_OtherEnergyMeters,0),ROUNDUP((COLUMN()+1)/3-2,0)))</f>
        <v/>
      </c>
      <c r="J259" s="127"/>
      <c r="K259" s="137"/>
      <c r="L259" s="58" t="str" cm="1">
        <f>IF(ISBLANK($A259),"",INDEX(Array_OtherEnergyCharges,MATCH($A259,List_OtherEnergyMeters,0),ROUNDUP((COLUMN()+1)/3-2,0)))</f>
        <v/>
      </c>
      <c r="M259" s="127"/>
      <c r="N259" s="137"/>
      <c r="O259" s="58" t="str" cm="1">
        <f>IF(ISBLANK($A259),"",INDEX(Array_OtherEnergyCharges,MATCH($A259,List_OtherEnergyMeters,0),ROUNDUP((COLUMN()+1)/3-2,0)))</f>
        <v/>
      </c>
      <c r="P259" s="127"/>
      <c r="Q259" s="137"/>
      <c r="R259" s="58" t="str" cm="1">
        <f>IF(ISBLANK($A259),"",INDEX(Array_OtherEnergyCharges,MATCH($A259,List_OtherEnergyMeters,0),ROUNDUP((COLUMN()+1)/3-2,0)))</f>
        <v/>
      </c>
      <c r="S259" s="127"/>
      <c r="T259" s="137"/>
    </row>
    <row r="260" spans="1:20" x14ac:dyDescent="0.3">
      <c r="A260" s="126"/>
      <c r="B260" s="133"/>
      <c r="C260" s="127"/>
      <c r="D260" s="138"/>
      <c r="E260" s="137"/>
      <c r="F260" s="58" t="str" cm="1">
        <f>IF(ISBLANK($A260),"",INDEX(Array_OtherEnergyCharges,MATCH($A260,List_OtherEnergyMeters,0),ROUNDUP((COLUMN()+1)/3-2,0)))</f>
        <v/>
      </c>
      <c r="G260" s="127"/>
      <c r="H260" s="137"/>
      <c r="I260" s="58" t="str" cm="1">
        <f>IF(ISBLANK($A260),"",INDEX(Array_OtherEnergyCharges,MATCH($A260,List_OtherEnergyMeters,0),ROUNDUP((COLUMN()+1)/3-2,0)))</f>
        <v/>
      </c>
      <c r="J260" s="127"/>
      <c r="K260" s="137"/>
      <c r="L260" s="58" t="str" cm="1">
        <f>IF(ISBLANK($A260),"",INDEX(Array_OtherEnergyCharges,MATCH($A260,List_OtherEnergyMeters,0),ROUNDUP((COLUMN()+1)/3-2,0)))</f>
        <v/>
      </c>
      <c r="M260" s="127"/>
      <c r="N260" s="137"/>
      <c r="O260" s="58" t="str" cm="1">
        <f>IF(ISBLANK($A260),"",INDEX(Array_OtherEnergyCharges,MATCH($A260,List_OtherEnergyMeters,0),ROUNDUP((COLUMN()+1)/3-2,0)))</f>
        <v/>
      </c>
      <c r="P260" s="127"/>
      <c r="Q260" s="137"/>
      <c r="R260" s="58" t="str" cm="1">
        <f>IF(ISBLANK($A260),"",INDEX(Array_OtherEnergyCharges,MATCH($A260,List_OtherEnergyMeters,0),ROUNDUP((COLUMN()+1)/3-2,0)))</f>
        <v/>
      </c>
      <c r="S260" s="127"/>
      <c r="T260" s="137"/>
    </row>
    <row r="261" spans="1:20" x14ac:dyDescent="0.3">
      <c r="A261" s="126"/>
      <c r="B261" s="133"/>
      <c r="C261" s="127"/>
      <c r="D261" s="138"/>
      <c r="E261" s="137"/>
      <c r="F261" s="58" t="str" cm="1">
        <f>IF(ISBLANK($A261),"",INDEX(Array_OtherEnergyCharges,MATCH($A261,List_OtherEnergyMeters,0),ROUNDUP((COLUMN()+1)/3-2,0)))</f>
        <v/>
      </c>
      <c r="G261" s="127"/>
      <c r="H261" s="137"/>
      <c r="I261" s="58" t="str" cm="1">
        <f>IF(ISBLANK($A261),"",INDEX(Array_OtherEnergyCharges,MATCH($A261,List_OtherEnergyMeters,0),ROUNDUP((COLUMN()+1)/3-2,0)))</f>
        <v/>
      </c>
      <c r="J261" s="127"/>
      <c r="K261" s="137"/>
      <c r="L261" s="58" t="str" cm="1">
        <f>IF(ISBLANK($A261),"",INDEX(Array_OtherEnergyCharges,MATCH($A261,List_OtherEnergyMeters,0),ROUNDUP((COLUMN()+1)/3-2,0)))</f>
        <v/>
      </c>
      <c r="M261" s="127"/>
      <c r="N261" s="137"/>
      <c r="O261" s="58" t="str" cm="1">
        <f>IF(ISBLANK($A261),"",INDEX(Array_OtherEnergyCharges,MATCH($A261,List_OtherEnergyMeters,0),ROUNDUP((COLUMN()+1)/3-2,0)))</f>
        <v/>
      </c>
      <c r="P261" s="127"/>
      <c r="Q261" s="137"/>
      <c r="R261" s="58" t="str" cm="1">
        <f>IF(ISBLANK($A261),"",INDEX(Array_OtherEnergyCharges,MATCH($A261,List_OtherEnergyMeters,0),ROUNDUP((COLUMN()+1)/3-2,0)))</f>
        <v/>
      </c>
      <c r="S261" s="127"/>
      <c r="T261" s="137"/>
    </row>
    <row r="262" spans="1:20" x14ac:dyDescent="0.3">
      <c r="A262" s="126"/>
      <c r="B262" s="133"/>
      <c r="C262" s="127"/>
      <c r="D262" s="138"/>
      <c r="E262" s="137"/>
      <c r="F262" s="58" t="str" cm="1">
        <f>IF(ISBLANK($A262),"",INDEX(Array_OtherEnergyCharges,MATCH($A262,List_OtherEnergyMeters,0),ROUNDUP((COLUMN()+1)/3-2,0)))</f>
        <v/>
      </c>
      <c r="G262" s="127"/>
      <c r="H262" s="137"/>
      <c r="I262" s="58" t="str" cm="1">
        <f>IF(ISBLANK($A262),"",INDEX(Array_OtherEnergyCharges,MATCH($A262,List_OtherEnergyMeters,0),ROUNDUP((COLUMN()+1)/3-2,0)))</f>
        <v/>
      </c>
      <c r="J262" s="127"/>
      <c r="K262" s="137"/>
      <c r="L262" s="58" t="str" cm="1">
        <f>IF(ISBLANK($A262),"",INDEX(Array_OtherEnergyCharges,MATCH($A262,List_OtherEnergyMeters,0),ROUNDUP((COLUMN()+1)/3-2,0)))</f>
        <v/>
      </c>
      <c r="M262" s="127"/>
      <c r="N262" s="137"/>
      <c r="O262" s="58" t="str" cm="1">
        <f>IF(ISBLANK($A262),"",INDEX(Array_OtherEnergyCharges,MATCH($A262,List_OtherEnergyMeters,0),ROUNDUP((COLUMN()+1)/3-2,0)))</f>
        <v/>
      </c>
      <c r="P262" s="127"/>
      <c r="Q262" s="137"/>
      <c r="R262" s="58" t="str" cm="1">
        <f>IF(ISBLANK($A262),"",INDEX(Array_OtherEnergyCharges,MATCH($A262,List_OtherEnergyMeters,0),ROUNDUP((COLUMN()+1)/3-2,0)))</f>
        <v/>
      </c>
      <c r="S262" s="127"/>
      <c r="T262" s="137"/>
    </row>
    <row r="263" spans="1:20" x14ac:dyDescent="0.3">
      <c r="A263" s="126"/>
      <c r="B263" s="133"/>
      <c r="C263" s="127"/>
      <c r="D263" s="138"/>
      <c r="E263" s="137"/>
      <c r="F263" s="58" t="str" cm="1">
        <f>IF(ISBLANK($A263),"",INDEX(Array_OtherEnergyCharges,MATCH($A263,List_OtherEnergyMeters,0),ROUNDUP((COLUMN()+1)/3-2,0)))</f>
        <v/>
      </c>
      <c r="G263" s="127"/>
      <c r="H263" s="137"/>
      <c r="I263" s="58" t="str" cm="1">
        <f>IF(ISBLANK($A263),"",INDEX(Array_OtherEnergyCharges,MATCH($A263,List_OtherEnergyMeters,0),ROUNDUP((COLUMN()+1)/3-2,0)))</f>
        <v/>
      </c>
      <c r="J263" s="127"/>
      <c r="K263" s="137"/>
      <c r="L263" s="58" t="str" cm="1">
        <f>IF(ISBLANK($A263),"",INDEX(Array_OtherEnergyCharges,MATCH($A263,List_OtherEnergyMeters,0),ROUNDUP((COLUMN()+1)/3-2,0)))</f>
        <v/>
      </c>
      <c r="M263" s="127"/>
      <c r="N263" s="137"/>
      <c r="O263" s="58" t="str" cm="1">
        <f>IF(ISBLANK($A263),"",INDEX(Array_OtherEnergyCharges,MATCH($A263,List_OtherEnergyMeters,0),ROUNDUP((COLUMN()+1)/3-2,0)))</f>
        <v/>
      </c>
      <c r="P263" s="127"/>
      <c r="Q263" s="137"/>
      <c r="R263" s="58" t="str" cm="1">
        <f>IF(ISBLANK($A263),"",INDEX(Array_OtherEnergyCharges,MATCH($A263,List_OtherEnergyMeters,0),ROUNDUP((COLUMN()+1)/3-2,0)))</f>
        <v/>
      </c>
      <c r="S263" s="127"/>
      <c r="T263" s="137"/>
    </row>
    <row r="264" spans="1:20" x14ac:dyDescent="0.3">
      <c r="A264" s="126"/>
      <c r="B264" s="133"/>
      <c r="C264" s="127"/>
      <c r="D264" s="138"/>
      <c r="E264" s="137"/>
      <c r="F264" s="58" t="str" cm="1">
        <f>IF(ISBLANK($A264),"",INDEX(Array_OtherEnergyCharges,MATCH($A264,List_OtherEnergyMeters,0),ROUNDUP((COLUMN()+1)/3-2,0)))</f>
        <v/>
      </c>
      <c r="G264" s="127"/>
      <c r="H264" s="137"/>
      <c r="I264" s="58" t="str" cm="1">
        <f>IF(ISBLANK($A264),"",INDEX(Array_OtherEnergyCharges,MATCH($A264,List_OtherEnergyMeters,0),ROUNDUP((COLUMN()+1)/3-2,0)))</f>
        <v/>
      </c>
      <c r="J264" s="127"/>
      <c r="K264" s="137"/>
      <c r="L264" s="58" t="str" cm="1">
        <f>IF(ISBLANK($A264),"",INDEX(Array_OtherEnergyCharges,MATCH($A264,List_OtherEnergyMeters,0),ROUNDUP((COLUMN()+1)/3-2,0)))</f>
        <v/>
      </c>
      <c r="M264" s="127"/>
      <c r="N264" s="137"/>
      <c r="O264" s="58" t="str" cm="1">
        <f>IF(ISBLANK($A264),"",INDEX(Array_OtherEnergyCharges,MATCH($A264,List_OtherEnergyMeters,0),ROUNDUP((COLUMN()+1)/3-2,0)))</f>
        <v/>
      </c>
      <c r="P264" s="127"/>
      <c r="Q264" s="137"/>
      <c r="R264" s="58" t="str" cm="1">
        <f>IF(ISBLANK($A264),"",INDEX(Array_OtherEnergyCharges,MATCH($A264,List_OtherEnergyMeters,0),ROUNDUP((COLUMN()+1)/3-2,0)))</f>
        <v/>
      </c>
      <c r="S264" s="127"/>
      <c r="T264" s="137"/>
    </row>
    <row r="265" spans="1:20" x14ac:dyDescent="0.3">
      <c r="A265" s="126"/>
      <c r="B265" s="133"/>
      <c r="C265" s="127"/>
      <c r="D265" s="138"/>
      <c r="E265" s="137"/>
      <c r="F265" s="58" t="str" cm="1">
        <f>IF(ISBLANK($A265),"",INDEX(Array_OtherEnergyCharges,MATCH($A265,List_OtherEnergyMeters,0),ROUNDUP((COLUMN()+1)/3-2,0)))</f>
        <v/>
      </c>
      <c r="G265" s="127"/>
      <c r="H265" s="137"/>
      <c r="I265" s="58" t="str" cm="1">
        <f>IF(ISBLANK($A265),"",INDEX(Array_OtherEnergyCharges,MATCH($A265,List_OtherEnergyMeters,0),ROUNDUP((COLUMN()+1)/3-2,0)))</f>
        <v/>
      </c>
      <c r="J265" s="127"/>
      <c r="K265" s="137"/>
      <c r="L265" s="58" t="str" cm="1">
        <f>IF(ISBLANK($A265),"",INDEX(Array_OtherEnergyCharges,MATCH($A265,List_OtherEnergyMeters,0),ROUNDUP((COLUMN()+1)/3-2,0)))</f>
        <v/>
      </c>
      <c r="M265" s="127"/>
      <c r="N265" s="137"/>
      <c r="O265" s="58" t="str" cm="1">
        <f>IF(ISBLANK($A265),"",INDEX(Array_OtherEnergyCharges,MATCH($A265,List_OtherEnergyMeters,0),ROUNDUP((COLUMN()+1)/3-2,0)))</f>
        <v/>
      </c>
      <c r="P265" s="127"/>
      <c r="Q265" s="137"/>
      <c r="R265" s="58" t="str" cm="1">
        <f>IF(ISBLANK($A265),"",INDEX(Array_OtherEnergyCharges,MATCH($A265,List_OtherEnergyMeters,0),ROUNDUP((COLUMN()+1)/3-2,0)))</f>
        <v/>
      </c>
      <c r="S265" s="127"/>
      <c r="T265" s="137"/>
    </row>
    <row r="266" spans="1:20" x14ac:dyDescent="0.3">
      <c r="A266" s="126"/>
      <c r="B266" s="133"/>
      <c r="C266" s="127"/>
      <c r="D266" s="138"/>
      <c r="E266" s="137"/>
      <c r="F266" s="58" t="str" cm="1">
        <f>IF(ISBLANK($A266),"",INDEX(Array_OtherEnergyCharges,MATCH($A266,List_OtherEnergyMeters,0),ROUNDUP((COLUMN()+1)/3-2,0)))</f>
        <v/>
      </c>
      <c r="G266" s="127"/>
      <c r="H266" s="137"/>
      <c r="I266" s="58" t="str" cm="1">
        <f>IF(ISBLANK($A266),"",INDEX(Array_OtherEnergyCharges,MATCH($A266,List_OtherEnergyMeters,0),ROUNDUP((COLUMN()+1)/3-2,0)))</f>
        <v/>
      </c>
      <c r="J266" s="127"/>
      <c r="K266" s="137"/>
      <c r="L266" s="58" t="str" cm="1">
        <f>IF(ISBLANK($A266),"",INDEX(Array_OtherEnergyCharges,MATCH($A266,List_OtherEnergyMeters,0),ROUNDUP((COLUMN()+1)/3-2,0)))</f>
        <v/>
      </c>
      <c r="M266" s="127"/>
      <c r="N266" s="137"/>
      <c r="O266" s="58" t="str" cm="1">
        <f>IF(ISBLANK($A266),"",INDEX(Array_OtherEnergyCharges,MATCH($A266,List_OtherEnergyMeters,0),ROUNDUP((COLUMN()+1)/3-2,0)))</f>
        <v/>
      </c>
      <c r="P266" s="127"/>
      <c r="Q266" s="137"/>
      <c r="R266" s="58" t="str" cm="1">
        <f>IF(ISBLANK($A266),"",INDEX(Array_OtherEnergyCharges,MATCH($A266,List_OtherEnergyMeters,0),ROUNDUP((COLUMN()+1)/3-2,0)))</f>
        <v/>
      </c>
      <c r="S266" s="127"/>
      <c r="T266" s="137"/>
    </row>
    <row r="267" spans="1:20" x14ac:dyDescent="0.3">
      <c r="A267" s="126"/>
      <c r="B267" s="133"/>
      <c r="C267" s="127"/>
      <c r="D267" s="138"/>
      <c r="E267" s="137"/>
      <c r="F267" s="58" t="str" cm="1">
        <f>IF(ISBLANK($A267),"",INDEX(Array_OtherEnergyCharges,MATCH($A267,List_OtherEnergyMeters,0),ROUNDUP((COLUMN()+1)/3-2,0)))</f>
        <v/>
      </c>
      <c r="G267" s="127"/>
      <c r="H267" s="137"/>
      <c r="I267" s="58" t="str" cm="1">
        <f>IF(ISBLANK($A267),"",INDEX(Array_OtherEnergyCharges,MATCH($A267,List_OtherEnergyMeters,0),ROUNDUP((COLUMN()+1)/3-2,0)))</f>
        <v/>
      </c>
      <c r="J267" s="127"/>
      <c r="K267" s="137"/>
      <c r="L267" s="58" t="str" cm="1">
        <f>IF(ISBLANK($A267),"",INDEX(Array_OtherEnergyCharges,MATCH($A267,List_OtherEnergyMeters,0),ROUNDUP((COLUMN()+1)/3-2,0)))</f>
        <v/>
      </c>
      <c r="M267" s="127"/>
      <c r="N267" s="137"/>
      <c r="O267" s="58" t="str" cm="1">
        <f>IF(ISBLANK($A267),"",INDEX(Array_OtherEnergyCharges,MATCH($A267,List_OtherEnergyMeters,0),ROUNDUP((COLUMN()+1)/3-2,0)))</f>
        <v/>
      </c>
      <c r="P267" s="127"/>
      <c r="Q267" s="137"/>
      <c r="R267" s="58" t="str" cm="1">
        <f>IF(ISBLANK($A267),"",INDEX(Array_OtherEnergyCharges,MATCH($A267,List_OtherEnergyMeters,0),ROUNDUP((COLUMN()+1)/3-2,0)))</f>
        <v/>
      </c>
      <c r="S267" s="127"/>
      <c r="T267" s="137"/>
    </row>
    <row r="268" spans="1:20" x14ac:dyDescent="0.3">
      <c r="A268" s="126"/>
      <c r="B268" s="133"/>
      <c r="C268" s="127"/>
      <c r="D268" s="138"/>
      <c r="E268" s="137"/>
      <c r="F268" s="58" t="str" cm="1">
        <f>IF(ISBLANK($A268),"",INDEX(Array_OtherEnergyCharges,MATCH($A268,List_OtherEnergyMeters,0),ROUNDUP((COLUMN()+1)/3-2,0)))</f>
        <v/>
      </c>
      <c r="G268" s="127"/>
      <c r="H268" s="137"/>
      <c r="I268" s="58" t="str" cm="1">
        <f>IF(ISBLANK($A268),"",INDEX(Array_OtherEnergyCharges,MATCH($A268,List_OtherEnergyMeters,0),ROUNDUP((COLUMN()+1)/3-2,0)))</f>
        <v/>
      </c>
      <c r="J268" s="127"/>
      <c r="K268" s="137"/>
      <c r="L268" s="58" t="str" cm="1">
        <f>IF(ISBLANK($A268),"",INDEX(Array_OtherEnergyCharges,MATCH($A268,List_OtherEnergyMeters,0),ROUNDUP((COLUMN()+1)/3-2,0)))</f>
        <v/>
      </c>
      <c r="M268" s="127"/>
      <c r="N268" s="137"/>
      <c r="O268" s="58" t="str" cm="1">
        <f>IF(ISBLANK($A268),"",INDEX(Array_OtherEnergyCharges,MATCH($A268,List_OtherEnergyMeters,0),ROUNDUP((COLUMN()+1)/3-2,0)))</f>
        <v/>
      </c>
      <c r="P268" s="127"/>
      <c r="Q268" s="137"/>
      <c r="R268" s="58" t="str" cm="1">
        <f>IF(ISBLANK($A268),"",INDEX(Array_OtherEnergyCharges,MATCH($A268,List_OtherEnergyMeters,0),ROUNDUP((COLUMN()+1)/3-2,0)))</f>
        <v/>
      </c>
      <c r="S268" s="127"/>
      <c r="T268" s="137"/>
    </row>
    <row r="269" spans="1:20" x14ac:dyDescent="0.3">
      <c r="A269" s="126"/>
      <c r="B269" s="133"/>
      <c r="C269" s="127"/>
      <c r="D269" s="138"/>
      <c r="E269" s="137"/>
      <c r="F269" s="58" t="str" cm="1">
        <f>IF(ISBLANK($A269),"",INDEX(Array_OtherEnergyCharges,MATCH($A269,List_OtherEnergyMeters,0),ROUNDUP((COLUMN()+1)/3-2,0)))</f>
        <v/>
      </c>
      <c r="G269" s="127"/>
      <c r="H269" s="137"/>
      <c r="I269" s="58" t="str" cm="1">
        <f>IF(ISBLANK($A269),"",INDEX(Array_OtherEnergyCharges,MATCH($A269,List_OtherEnergyMeters,0),ROUNDUP((COLUMN()+1)/3-2,0)))</f>
        <v/>
      </c>
      <c r="J269" s="127"/>
      <c r="K269" s="137"/>
      <c r="L269" s="58" t="str" cm="1">
        <f>IF(ISBLANK($A269),"",INDEX(Array_OtherEnergyCharges,MATCH($A269,List_OtherEnergyMeters,0),ROUNDUP((COLUMN()+1)/3-2,0)))</f>
        <v/>
      </c>
      <c r="M269" s="127"/>
      <c r="N269" s="137"/>
      <c r="O269" s="58" t="str" cm="1">
        <f>IF(ISBLANK($A269),"",INDEX(Array_OtherEnergyCharges,MATCH($A269,List_OtherEnergyMeters,0),ROUNDUP((COLUMN()+1)/3-2,0)))</f>
        <v/>
      </c>
      <c r="P269" s="127"/>
      <c r="Q269" s="137"/>
      <c r="R269" s="58" t="str" cm="1">
        <f>IF(ISBLANK($A269),"",INDEX(Array_OtherEnergyCharges,MATCH($A269,List_OtherEnergyMeters,0),ROUNDUP((COLUMN()+1)/3-2,0)))</f>
        <v/>
      </c>
      <c r="S269" s="127"/>
      <c r="T269" s="137"/>
    </row>
    <row r="270" spans="1:20" x14ac:dyDescent="0.3">
      <c r="A270" s="126"/>
      <c r="B270" s="133"/>
      <c r="C270" s="127"/>
      <c r="D270" s="138"/>
      <c r="E270" s="137"/>
      <c r="F270" s="58" t="str" cm="1">
        <f>IF(ISBLANK($A270),"",INDEX(Array_OtherEnergyCharges,MATCH($A270,List_OtherEnergyMeters,0),ROUNDUP((COLUMN()+1)/3-2,0)))</f>
        <v/>
      </c>
      <c r="G270" s="127"/>
      <c r="H270" s="137"/>
      <c r="I270" s="58" t="str" cm="1">
        <f>IF(ISBLANK($A270),"",INDEX(Array_OtherEnergyCharges,MATCH($A270,List_OtherEnergyMeters,0),ROUNDUP((COLUMN()+1)/3-2,0)))</f>
        <v/>
      </c>
      <c r="J270" s="127"/>
      <c r="K270" s="137"/>
      <c r="L270" s="58" t="str" cm="1">
        <f>IF(ISBLANK($A270),"",INDEX(Array_OtherEnergyCharges,MATCH($A270,List_OtherEnergyMeters,0),ROUNDUP((COLUMN()+1)/3-2,0)))</f>
        <v/>
      </c>
      <c r="M270" s="127"/>
      <c r="N270" s="137"/>
      <c r="O270" s="58" t="str" cm="1">
        <f>IF(ISBLANK($A270),"",INDEX(Array_OtherEnergyCharges,MATCH($A270,List_OtherEnergyMeters,0),ROUNDUP((COLUMN()+1)/3-2,0)))</f>
        <v/>
      </c>
      <c r="P270" s="127"/>
      <c r="Q270" s="137"/>
      <c r="R270" s="58" t="str" cm="1">
        <f>IF(ISBLANK($A270),"",INDEX(Array_OtherEnergyCharges,MATCH($A270,List_OtherEnergyMeters,0),ROUNDUP((COLUMN()+1)/3-2,0)))</f>
        <v/>
      </c>
      <c r="S270" s="127"/>
      <c r="T270" s="137"/>
    </row>
    <row r="271" spans="1:20" x14ac:dyDescent="0.3">
      <c r="A271" s="126"/>
      <c r="B271" s="133"/>
      <c r="C271" s="127"/>
      <c r="D271" s="138"/>
      <c r="E271" s="137"/>
      <c r="F271" s="58" t="str" cm="1">
        <f>IF(ISBLANK($A271),"",INDEX(Array_OtherEnergyCharges,MATCH($A271,List_OtherEnergyMeters,0),ROUNDUP((COLUMN()+1)/3-2,0)))</f>
        <v/>
      </c>
      <c r="G271" s="127"/>
      <c r="H271" s="137"/>
      <c r="I271" s="58" t="str" cm="1">
        <f>IF(ISBLANK($A271),"",INDEX(Array_OtherEnergyCharges,MATCH($A271,List_OtherEnergyMeters,0),ROUNDUP((COLUMN()+1)/3-2,0)))</f>
        <v/>
      </c>
      <c r="J271" s="127"/>
      <c r="K271" s="137"/>
      <c r="L271" s="58" t="str" cm="1">
        <f>IF(ISBLANK($A271),"",INDEX(Array_OtherEnergyCharges,MATCH($A271,List_OtherEnergyMeters,0),ROUNDUP((COLUMN()+1)/3-2,0)))</f>
        <v/>
      </c>
      <c r="M271" s="127"/>
      <c r="N271" s="137"/>
      <c r="O271" s="58" t="str" cm="1">
        <f>IF(ISBLANK($A271),"",INDEX(Array_OtherEnergyCharges,MATCH($A271,List_OtherEnergyMeters,0),ROUNDUP((COLUMN()+1)/3-2,0)))</f>
        <v/>
      </c>
      <c r="P271" s="127"/>
      <c r="Q271" s="137"/>
      <c r="R271" s="58" t="str" cm="1">
        <f>IF(ISBLANK($A271),"",INDEX(Array_OtherEnergyCharges,MATCH($A271,List_OtherEnergyMeters,0),ROUNDUP((COLUMN()+1)/3-2,0)))</f>
        <v/>
      </c>
      <c r="S271" s="127"/>
      <c r="T271" s="137"/>
    </row>
    <row r="272" spans="1:20" x14ac:dyDescent="0.3">
      <c r="A272" s="126"/>
      <c r="B272" s="133"/>
      <c r="C272" s="127"/>
      <c r="D272" s="138"/>
      <c r="E272" s="137"/>
      <c r="F272" s="58" t="str" cm="1">
        <f>IF(ISBLANK($A272),"",INDEX(Array_OtherEnergyCharges,MATCH($A272,List_OtherEnergyMeters,0),ROUNDUP((COLUMN()+1)/3-2,0)))</f>
        <v/>
      </c>
      <c r="G272" s="127"/>
      <c r="H272" s="137"/>
      <c r="I272" s="58" t="str" cm="1">
        <f>IF(ISBLANK($A272),"",INDEX(Array_OtherEnergyCharges,MATCH($A272,List_OtherEnergyMeters,0),ROUNDUP((COLUMN()+1)/3-2,0)))</f>
        <v/>
      </c>
      <c r="J272" s="127"/>
      <c r="K272" s="137"/>
      <c r="L272" s="58" t="str" cm="1">
        <f>IF(ISBLANK($A272),"",INDEX(Array_OtherEnergyCharges,MATCH($A272,List_OtherEnergyMeters,0),ROUNDUP((COLUMN()+1)/3-2,0)))</f>
        <v/>
      </c>
      <c r="M272" s="127"/>
      <c r="N272" s="137"/>
      <c r="O272" s="58" t="str" cm="1">
        <f>IF(ISBLANK($A272),"",INDEX(Array_OtherEnergyCharges,MATCH($A272,List_OtherEnergyMeters,0),ROUNDUP((COLUMN()+1)/3-2,0)))</f>
        <v/>
      </c>
      <c r="P272" s="127"/>
      <c r="Q272" s="137"/>
      <c r="R272" s="58" t="str" cm="1">
        <f>IF(ISBLANK($A272),"",INDEX(Array_OtherEnergyCharges,MATCH($A272,List_OtherEnergyMeters,0),ROUNDUP((COLUMN()+1)/3-2,0)))</f>
        <v/>
      </c>
      <c r="S272" s="127"/>
      <c r="T272" s="137"/>
    </row>
    <row r="273" spans="1:20" x14ac:dyDescent="0.3">
      <c r="A273" s="126"/>
      <c r="B273" s="133"/>
      <c r="C273" s="127"/>
      <c r="D273" s="138"/>
      <c r="E273" s="137"/>
      <c r="F273" s="58" t="str" cm="1">
        <f>IF(ISBLANK($A273),"",INDEX(Array_OtherEnergyCharges,MATCH($A273,List_OtherEnergyMeters,0),ROUNDUP((COLUMN()+1)/3-2,0)))</f>
        <v/>
      </c>
      <c r="G273" s="127"/>
      <c r="H273" s="137"/>
      <c r="I273" s="58" t="str" cm="1">
        <f>IF(ISBLANK($A273),"",INDEX(Array_OtherEnergyCharges,MATCH($A273,List_OtherEnergyMeters,0),ROUNDUP((COLUMN()+1)/3-2,0)))</f>
        <v/>
      </c>
      <c r="J273" s="127"/>
      <c r="K273" s="137"/>
      <c r="L273" s="58" t="str" cm="1">
        <f>IF(ISBLANK($A273),"",INDEX(Array_OtherEnergyCharges,MATCH($A273,List_OtherEnergyMeters,0),ROUNDUP((COLUMN()+1)/3-2,0)))</f>
        <v/>
      </c>
      <c r="M273" s="127"/>
      <c r="N273" s="137"/>
      <c r="O273" s="58" t="str" cm="1">
        <f>IF(ISBLANK($A273),"",INDEX(Array_OtherEnergyCharges,MATCH($A273,List_OtherEnergyMeters,0),ROUNDUP((COLUMN()+1)/3-2,0)))</f>
        <v/>
      </c>
      <c r="P273" s="127"/>
      <c r="Q273" s="137"/>
      <c r="R273" s="58" t="str" cm="1">
        <f>IF(ISBLANK($A273),"",INDEX(Array_OtherEnergyCharges,MATCH($A273,List_OtherEnergyMeters,0),ROUNDUP((COLUMN()+1)/3-2,0)))</f>
        <v/>
      </c>
      <c r="S273" s="127"/>
      <c r="T273" s="137"/>
    </row>
    <row r="274" spans="1:20" x14ac:dyDescent="0.3">
      <c r="A274" s="126"/>
      <c r="B274" s="133"/>
      <c r="C274" s="127"/>
      <c r="D274" s="138"/>
      <c r="E274" s="137"/>
      <c r="F274" s="58" t="str" cm="1">
        <f>IF(ISBLANK($A274),"",INDEX(Array_OtherEnergyCharges,MATCH($A274,List_OtherEnergyMeters,0),ROUNDUP((COLUMN()+1)/3-2,0)))</f>
        <v/>
      </c>
      <c r="G274" s="127"/>
      <c r="H274" s="137"/>
      <c r="I274" s="58" t="str" cm="1">
        <f>IF(ISBLANK($A274),"",INDEX(Array_OtherEnergyCharges,MATCH($A274,List_OtherEnergyMeters,0),ROUNDUP((COLUMN()+1)/3-2,0)))</f>
        <v/>
      </c>
      <c r="J274" s="127"/>
      <c r="K274" s="137"/>
      <c r="L274" s="58" t="str" cm="1">
        <f>IF(ISBLANK($A274),"",INDEX(Array_OtherEnergyCharges,MATCH($A274,List_OtherEnergyMeters,0),ROUNDUP((COLUMN()+1)/3-2,0)))</f>
        <v/>
      </c>
      <c r="M274" s="127"/>
      <c r="N274" s="137"/>
      <c r="O274" s="58" t="str" cm="1">
        <f>IF(ISBLANK($A274),"",INDEX(Array_OtherEnergyCharges,MATCH($A274,List_OtherEnergyMeters,0),ROUNDUP((COLUMN()+1)/3-2,0)))</f>
        <v/>
      </c>
      <c r="P274" s="127"/>
      <c r="Q274" s="137"/>
      <c r="R274" s="58" t="str" cm="1">
        <f>IF(ISBLANK($A274),"",INDEX(Array_OtherEnergyCharges,MATCH($A274,List_OtherEnergyMeters,0),ROUNDUP((COLUMN()+1)/3-2,0)))</f>
        <v/>
      </c>
      <c r="S274" s="127"/>
      <c r="T274" s="137"/>
    </row>
    <row r="275" spans="1:20" x14ac:dyDescent="0.3">
      <c r="A275" s="126"/>
      <c r="B275" s="133"/>
      <c r="C275" s="127"/>
      <c r="D275" s="138"/>
      <c r="E275" s="137"/>
      <c r="F275" s="58" t="str" cm="1">
        <f>IF(ISBLANK($A275),"",INDEX(Array_OtherEnergyCharges,MATCH($A275,List_OtherEnergyMeters,0),ROUNDUP((COLUMN()+1)/3-2,0)))</f>
        <v/>
      </c>
      <c r="G275" s="127"/>
      <c r="H275" s="137"/>
      <c r="I275" s="58" t="str" cm="1">
        <f>IF(ISBLANK($A275),"",INDEX(Array_OtherEnergyCharges,MATCH($A275,List_OtherEnergyMeters,0),ROUNDUP((COLUMN()+1)/3-2,0)))</f>
        <v/>
      </c>
      <c r="J275" s="127"/>
      <c r="K275" s="137"/>
      <c r="L275" s="58" t="str" cm="1">
        <f>IF(ISBLANK($A275),"",INDEX(Array_OtherEnergyCharges,MATCH($A275,List_OtherEnergyMeters,0),ROUNDUP((COLUMN()+1)/3-2,0)))</f>
        <v/>
      </c>
      <c r="M275" s="127"/>
      <c r="N275" s="137"/>
      <c r="O275" s="58" t="str" cm="1">
        <f>IF(ISBLANK($A275),"",INDEX(Array_OtherEnergyCharges,MATCH($A275,List_OtherEnergyMeters,0),ROUNDUP((COLUMN()+1)/3-2,0)))</f>
        <v/>
      </c>
      <c r="P275" s="127"/>
      <c r="Q275" s="137"/>
      <c r="R275" s="58" t="str" cm="1">
        <f>IF(ISBLANK($A275),"",INDEX(Array_OtherEnergyCharges,MATCH($A275,List_OtherEnergyMeters,0),ROUNDUP((COLUMN()+1)/3-2,0)))</f>
        <v/>
      </c>
      <c r="S275" s="127"/>
      <c r="T275" s="137"/>
    </row>
    <row r="276" spans="1:20" x14ac:dyDescent="0.3">
      <c r="A276" s="126"/>
      <c r="B276" s="133"/>
      <c r="C276" s="127"/>
      <c r="D276" s="138"/>
      <c r="E276" s="137"/>
      <c r="F276" s="58" t="str" cm="1">
        <f>IF(ISBLANK($A276),"",INDEX(Array_OtherEnergyCharges,MATCH($A276,List_OtherEnergyMeters,0),ROUNDUP((COLUMN()+1)/3-2,0)))</f>
        <v/>
      </c>
      <c r="G276" s="127"/>
      <c r="H276" s="137"/>
      <c r="I276" s="58" t="str" cm="1">
        <f>IF(ISBLANK($A276),"",INDEX(Array_OtherEnergyCharges,MATCH($A276,List_OtherEnergyMeters,0),ROUNDUP((COLUMN()+1)/3-2,0)))</f>
        <v/>
      </c>
      <c r="J276" s="127"/>
      <c r="K276" s="137"/>
      <c r="L276" s="58" t="str" cm="1">
        <f>IF(ISBLANK($A276),"",INDEX(Array_OtherEnergyCharges,MATCH($A276,List_OtherEnergyMeters,0),ROUNDUP((COLUMN()+1)/3-2,0)))</f>
        <v/>
      </c>
      <c r="M276" s="127"/>
      <c r="N276" s="137"/>
      <c r="O276" s="58" t="str" cm="1">
        <f>IF(ISBLANK($A276),"",INDEX(Array_OtherEnergyCharges,MATCH($A276,List_OtherEnergyMeters,0),ROUNDUP((COLUMN()+1)/3-2,0)))</f>
        <v/>
      </c>
      <c r="P276" s="127"/>
      <c r="Q276" s="137"/>
      <c r="R276" s="58" t="str" cm="1">
        <f>IF(ISBLANK($A276),"",INDEX(Array_OtherEnergyCharges,MATCH($A276,List_OtherEnergyMeters,0),ROUNDUP((COLUMN()+1)/3-2,0)))</f>
        <v/>
      </c>
      <c r="S276" s="127"/>
      <c r="T276" s="137"/>
    </row>
    <row r="277" spans="1:20" x14ac:dyDescent="0.3">
      <c r="A277" s="126"/>
      <c r="B277" s="133"/>
      <c r="C277" s="127"/>
      <c r="D277" s="138"/>
      <c r="E277" s="137"/>
      <c r="F277" s="58" t="str" cm="1">
        <f>IF(ISBLANK($A277),"",INDEX(Array_OtherEnergyCharges,MATCH($A277,List_OtherEnergyMeters,0),ROUNDUP((COLUMN()+1)/3-2,0)))</f>
        <v/>
      </c>
      <c r="G277" s="127"/>
      <c r="H277" s="137"/>
      <c r="I277" s="58" t="str" cm="1">
        <f>IF(ISBLANK($A277),"",INDEX(Array_OtherEnergyCharges,MATCH($A277,List_OtherEnergyMeters,0),ROUNDUP((COLUMN()+1)/3-2,0)))</f>
        <v/>
      </c>
      <c r="J277" s="127"/>
      <c r="K277" s="137"/>
      <c r="L277" s="58" t="str" cm="1">
        <f>IF(ISBLANK($A277),"",INDEX(Array_OtherEnergyCharges,MATCH($A277,List_OtherEnergyMeters,0),ROUNDUP((COLUMN()+1)/3-2,0)))</f>
        <v/>
      </c>
      <c r="M277" s="127"/>
      <c r="N277" s="137"/>
      <c r="O277" s="58" t="str" cm="1">
        <f>IF(ISBLANK($A277),"",INDEX(Array_OtherEnergyCharges,MATCH($A277,List_OtherEnergyMeters,0),ROUNDUP((COLUMN()+1)/3-2,0)))</f>
        <v/>
      </c>
      <c r="P277" s="127"/>
      <c r="Q277" s="137"/>
      <c r="R277" s="58" t="str" cm="1">
        <f>IF(ISBLANK($A277),"",INDEX(Array_OtherEnergyCharges,MATCH($A277,List_OtherEnergyMeters,0),ROUNDUP((COLUMN()+1)/3-2,0)))</f>
        <v/>
      </c>
      <c r="S277" s="127"/>
      <c r="T277" s="137"/>
    </row>
    <row r="278" spans="1:20" x14ac:dyDescent="0.3">
      <c r="A278" s="126"/>
      <c r="B278" s="133"/>
      <c r="C278" s="127"/>
      <c r="D278" s="138"/>
      <c r="E278" s="137"/>
      <c r="F278" s="58" t="str" cm="1">
        <f>IF(ISBLANK($A278),"",INDEX(Array_OtherEnergyCharges,MATCH($A278,List_OtherEnergyMeters,0),ROUNDUP((COLUMN()+1)/3-2,0)))</f>
        <v/>
      </c>
      <c r="G278" s="127"/>
      <c r="H278" s="137"/>
      <c r="I278" s="58" t="str" cm="1">
        <f>IF(ISBLANK($A278),"",INDEX(Array_OtherEnergyCharges,MATCH($A278,List_OtherEnergyMeters,0),ROUNDUP((COLUMN()+1)/3-2,0)))</f>
        <v/>
      </c>
      <c r="J278" s="127"/>
      <c r="K278" s="137"/>
      <c r="L278" s="58" t="str" cm="1">
        <f>IF(ISBLANK($A278),"",INDEX(Array_OtherEnergyCharges,MATCH($A278,List_OtherEnergyMeters,0),ROUNDUP((COLUMN()+1)/3-2,0)))</f>
        <v/>
      </c>
      <c r="M278" s="127"/>
      <c r="N278" s="137"/>
      <c r="O278" s="58" t="str" cm="1">
        <f>IF(ISBLANK($A278),"",INDEX(Array_OtherEnergyCharges,MATCH($A278,List_OtherEnergyMeters,0),ROUNDUP((COLUMN()+1)/3-2,0)))</f>
        <v/>
      </c>
      <c r="P278" s="127"/>
      <c r="Q278" s="137"/>
      <c r="R278" s="58" t="str" cm="1">
        <f>IF(ISBLANK($A278),"",INDEX(Array_OtherEnergyCharges,MATCH($A278,List_OtherEnergyMeters,0),ROUNDUP((COLUMN()+1)/3-2,0)))</f>
        <v/>
      </c>
      <c r="S278" s="127"/>
      <c r="T278" s="137"/>
    </row>
    <row r="279" spans="1:20" x14ac:dyDescent="0.3">
      <c r="A279" s="126"/>
      <c r="B279" s="133"/>
      <c r="C279" s="127"/>
      <c r="D279" s="138"/>
      <c r="E279" s="137"/>
      <c r="F279" s="58" t="str" cm="1">
        <f>IF(ISBLANK($A279),"",INDEX(Array_OtherEnergyCharges,MATCH($A279,List_OtherEnergyMeters,0),ROUNDUP((COLUMN()+1)/3-2,0)))</f>
        <v/>
      </c>
      <c r="G279" s="127"/>
      <c r="H279" s="137"/>
      <c r="I279" s="58" t="str" cm="1">
        <f>IF(ISBLANK($A279),"",INDEX(Array_OtherEnergyCharges,MATCH($A279,List_OtherEnergyMeters,0),ROUNDUP((COLUMN()+1)/3-2,0)))</f>
        <v/>
      </c>
      <c r="J279" s="127"/>
      <c r="K279" s="137"/>
      <c r="L279" s="58" t="str" cm="1">
        <f>IF(ISBLANK($A279),"",INDEX(Array_OtherEnergyCharges,MATCH($A279,List_OtherEnergyMeters,0),ROUNDUP((COLUMN()+1)/3-2,0)))</f>
        <v/>
      </c>
      <c r="M279" s="127"/>
      <c r="N279" s="137"/>
      <c r="O279" s="58" t="str" cm="1">
        <f>IF(ISBLANK($A279),"",INDEX(Array_OtherEnergyCharges,MATCH($A279,List_OtherEnergyMeters,0),ROUNDUP((COLUMN()+1)/3-2,0)))</f>
        <v/>
      </c>
      <c r="P279" s="127"/>
      <c r="Q279" s="137"/>
      <c r="R279" s="58" t="str" cm="1">
        <f>IF(ISBLANK($A279),"",INDEX(Array_OtherEnergyCharges,MATCH($A279,List_OtherEnergyMeters,0),ROUNDUP((COLUMN()+1)/3-2,0)))</f>
        <v/>
      </c>
      <c r="S279" s="127"/>
      <c r="T279" s="137"/>
    </row>
    <row r="280" spans="1:20" x14ac:dyDescent="0.3">
      <c r="A280" s="126"/>
      <c r="B280" s="133"/>
      <c r="C280" s="127"/>
      <c r="D280" s="138"/>
      <c r="E280" s="137"/>
      <c r="F280" s="58" t="str" cm="1">
        <f>IF(ISBLANK($A280),"",INDEX(Array_OtherEnergyCharges,MATCH($A280,List_OtherEnergyMeters,0),ROUNDUP((COLUMN()+1)/3-2,0)))</f>
        <v/>
      </c>
      <c r="G280" s="127"/>
      <c r="H280" s="137"/>
      <c r="I280" s="58" t="str" cm="1">
        <f>IF(ISBLANK($A280),"",INDEX(Array_OtherEnergyCharges,MATCH($A280,List_OtherEnergyMeters,0),ROUNDUP((COLUMN()+1)/3-2,0)))</f>
        <v/>
      </c>
      <c r="J280" s="127"/>
      <c r="K280" s="137"/>
      <c r="L280" s="58" t="str" cm="1">
        <f>IF(ISBLANK($A280),"",INDEX(Array_OtherEnergyCharges,MATCH($A280,List_OtherEnergyMeters,0),ROUNDUP((COLUMN()+1)/3-2,0)))</f>
        <v/>
      </c>
      <c r="M280" s="127"/>
      <c r="N280" s="137"/>
      <c r="O280" s="58" t="str" cm="1">
        <f>IF(ISBLANK($A280),"",INDEX(Array_OtherEnergyCharges,MATCH($A280,List_OtherEnergyMeters,0),ROUNDUP((COLUMN()+1)/3-2,0)))</f>
        <v/>
      </c>
      <c r="P280" s="127"/>
      <c r="Q280" s="137"/>
      <c r="R280" s="58" t="str" cm="1">
        <f>IF(ISBLANK($A280),"",INDEX(Array_OtherEnergyCharges,MATCH($A280,List_OtherEnergyMeters,0),ROUNDUP((COLUMN()+1)/3-2,0)))</f>
        <v/>
      </c>
      <c r="S280" s="127"/>
      <c r="T280" s="137"/>
    </row>
    <row r="281" spans="1:20" x14ac:dyDescent="0.3">
      <c r="A281" s="126"/>
      <c r="B281" s="133"/>
      <c r="C281" s="127"/>
      <c r="D281" s="138"/>
      <c r="E281" s="137"/>
      <c r="F281" s="58" t="str" cm="1">
        <f>IF(ISBLANK($A281),"",INDEX(Array_OtherEnergyCharges,MATCH($A281,List_OtherEnergyMeters,0),ROUNDUP((COLUMN()+1)/3-2,0)))</f>
        <v/>
      </c>
      <c r="G281" s="127"/>
      <c r="H281" s="137"/>
      <c r="I281" s="58" t="str" cm="1">
        <f>IF(ISBLANK($A281),"",INDEX(Array_OtherEnergyCharges,MATCH($A281,List_OtherEnergyMeters,0),ROUNDUP((COLUMN()+1)/3-2,0)))</f>
        <v/>
      </c>
      <c r="J281" s="127"/>
      <c r="K281" s="137"/>
      <c r="L281" s="58" t="str" cm="1">
        <f>IF(ISBLANK($A281),"",INDEX(Array_OtherEnergyCharges,MATCH($A281,List_OtherEnergyMeters,0),ROUNDUP((COLUMN()+1)/3-2,0)))</f>
        <v/>
      </c>
      <c r="M281" s="127"/>
      <c r="N281" s="137"/>
      <c r="O281" s="58" t="str" cm="1">
        <f>IF(ISBLANK($A281),"",INDEX(Array_OtherEnergyCharges,MATCH($A281,List_OtherEnergyMeters,0),ROUNDUP((COLUMN()+1)/3-2,0)))</f>
        <v/>
      </c>
      <c r="P281" s="127"/>
      <c r="Q281" s="137"/>
      <c r="R281" s="58" t="str" cm="1">
        <f>IF(ISBLANK($A281),"",INDEX(Array_OtherEnergyCharges,MATCH($A281,List_OtherEnergyMeters,0),ROUNDUP((COLUMN()+1)/3-2,0)))</f>
        <v/>
      </c>
      <c r="S281" s="127"/>
      <c r="T281" s="137"/>
    </row>
    <row r="282" spans="1:20" x14ac:dyDescent="0.3">
      <c r="A282" s="126"/>
      <c r="B282" s="133"/>
      <c r="C282" s="127"/>
      <c r="D282" s="138"/>
      <c r="E282" s="137"/>
      <c r="F282" s="58" t="str" cm="1">
        <f>IF(ISBLANK($A282),"",INDEX(Array_OtherEnergyCharges,MATCH($A282,List_OtherEnergyMeters,0),ROUNDUP((COLUMN()+1)/3-2,0)))</f>
        <v/>
      </c>
      <c r="G282" s="127"/>
      <c r="H282" s="137"/>
      <c r="I282" s="58" t="str" cm="1">
        <f>IF(ISBLANK($A282),"",INDEX(Array_OtherEnergyCharges,MATCH($A282,List_OtherEnergyMeters,0),ROUNDUP((COLUMN()+1)/3-2,0)))</f>
        <v/>
      </c>
      <c r="J282" s="127"/>
      <c r="K282" s="137"/>
      <c r="L282" s="58" t="str" cm="1">
        <f>IF(ISBLANK($A282),"",INDEX(Array_OtherEnergyCharges,MATCH($A282,List_OtherEnergyMeters,0),ROUNDUP((COLUMN()+1)/3-2,0)))</f>
        <v/>
      </c>
      <c r="M282" s="127"/>
      <c r="N282" s="137"/>
      <c r="O282" s="58" t="str" cm="1">
        <f>IF(ISBLANK($A282),"",INDEX(Array_OtherEnergyCharges,MATCH($A282,List_OtherEnergyMeters,0),ROUNDUP((COLUMN()+1)/3-2,0)))</f>
        <v/>
      </c>
      <c r="P282" s="127"/>
      <c r="Q282" s="137"/>
      <c r="R282" s="58" t="str" cm="1">
        <f>IF(ISBLANK($A282),"",INDEX(Array_OtherEnergyCharges,MATCH($A282,List_OtherEnergyMeters,0),ROUNDUP((COLUMN()+1)/3-2,0)))</f>
        <v/>
      </c>
      <c r="S282" s="127"/>
      <c r="T282" s="137"/>
    </row>
    <row r="283" spans="1:20" x14ac:dyDescent="0.3">
      <c r="A283" s="126"/>
      <c r="B283" s="133"/>
      <c r="C283" s="127"/>
      <c r="D283" s="138"/>
      <c r="E283" s="137"/>
      <c r="F283" s="58" t="str" cm="1">
        <f>IF(ISBLANK($A283),"",INDEX(Array_OtherEnergyCharges,MATCH($A283,List_OtherEnergyMeters,0),ROUNDUP((COLUMN()+1)/3-2,0)))</f>
        <v/>
      </c>
      <c r="G283" s="127"/>
      <c r="H283" s="137"/>
      <c r="I283" s="58" t="str" cm="1">
        <f>IF(ISBLANK($A283),"",INDEX(Array_OtherEnergyCharges,MATCH($A283,List_OtherEnergyMeters,0),ROUNDUP((COLUMN()+1)/3-2,0)))</f>
        <v/>
      </c>
      <c r="J283" s="127"/>
      <c r="K283" s="137"/>
      <c r="L283" s="58" t="str" cm="1">
        <f>IF(ISBLANK($A283),"",INDEX(Array_OtherEnergyCharges,MATCH($A283,List_OtherEnergyMeters,0),ROUNDUP((COLUMN()+1)/3-2,0)))</f>
        <v/>
      </c>
      <c r="M283" s="127"/>
      <c r="N283" s="137"/>
      <c r="O283" s="58" t="str" cm="1">
        <f>IF(ISBLANK($A283),"",INDEX(Array_OtherEnergyCharges,MATCH($A283,List_OtherEnergyMeters,0),ROUNDUP((COLUMN()+1)/3-2,0)))</f>
        <v/>
      </c>
      <c r="P283" s="127"/>
      <c r="Q283" s="137"/>
      <c r="R283" s="58" t="str" cm="1">
        <f>IF(ISBLANK($A283),"",INDEX(Array_OtherEnergyCharges,MATCH($A283,List_OtherEnergyMeters,0),ROUNDUP((COLUMN()+1)/3-2,0)))</f>
        <v/>
      </c>
      <c r="S283" s="127"/>
      <c r="T283" s="137"/>
    </row>
    <row r="284" spans="1:20" x14ac:dyDescent="0.3">
      <c r="A284" s="126"/>
      <c r="B284" s="133"/>
      <c r="C284" s="127"/>
      <c r="D284" s="138"/>
      <c r="E284" s="137"/>
      <c r="F284" s="58" t="str" cm="1">
        <f>IF(ISBLANK($A284),"",INDEX(Array_OtherEnergyCharges,MATCH($A284,List_OtherEnergyMeters,0),ROUNDUP((COLUMN()+1)/3-2,0)))</f>
        <v/>
      </c>
      <c r="G284" s="127"/>
      <c r="H284" s="137"/>
      <c r="I284" s="58" t="str" cm="1">
        <f>IF(ISBLANK($A284),"",INDEX(Array_OtherEnergyCharges,MATCH($A284,List_OtherEnergyMeters,0),ROUNDUP((COLUMN()+1)/3-2,0)))</f>
        <v/>
      </c>
      <c r="J284" s="127"/>
      <c r="K284" s="137"/>
      <c r="L284" s="58" t="str" cm="1">
        <f>IF(ISBLANK($A284),"",INDEX(Array_OtherEnergyCharges,MATCH($A284,List_OtherEnergyMeters,0),ROUNDUP((COLUMN()+1)/3-2,0)))</f>
        <v/>
      </c>
      <c r="M284" s="127"/>
      <c r="N284" s="137"/>
      <c r="O284" s="58" t="str" cm="1">
        <f>IF(ISBLANK($A284),"",INDEX(Array_OtherEnergyCharges,MATCH($A284,List_OtherEnergyMeters,0),ROUNDUP((COLUMN()+1)/3-2,0)))</f>
        <v/>
      </c>
      <c r="P284" s="127"/>
      <c r="Q284" s="137"/>
      <c r="R284" s="58" t="str" cm="1">
        <f>IF(ISBLANK($A284),"",INDEX(Array_OtherEnergyCharges,MATCH($A284,List_OtherEnergyMeters,0),ROUNDUP((COLUMN()+1)/3-2,0)))</f>
        <v/>
      </c>
      <c r="S284" s="127"/>
      <c r="T284" s="137"/>
    </row>
    <row r="285" spans="1:20" x14ac:dyDescent="0.3">
      <c r="A285" s="126"/>
      <c r="B285" s="133"/>
      <c r="C285" s="127"/>
      <c r="D285" s="138"/>
      <c r="E285" s="137"/>
      <c r="F285" s="58" t="str" cm="1">
        <f>IF(ISBLANK($A285),"",INDEX(Array_OtherEnergyCharges,MATCH($A285,List_OtherEnergyMeters,0),ROUNDUP((COLUMN()+1)/3-2,0)))</f>
        <v/>
      </c>
      <c r="G285" s="127"/>
      <c r="H285" s="137"/>
      <c r="I285" s="58" t="str" cm="1">
        <f>IF(ISBLANK($A285),"",INDEX(Array_OtherEnergyCharges,MATCH($A285,List_OtherEnergyMeters,0),ROUNDUP((COLUMN()+1)/3-2,0)))</f>
        <v/>
      </c>
      <c r="J285" s="127"/>
      <c r="K285" s="137"/>
      <c r="L285" s="58" t="str" cm="1">
        <f>IF(ISBLANK($A285),"",INDEX(Array_OtherEnergyCharges,MATCH($A285,List_OtherEnergyMeters,0),ROUNDUP((COLUMN()+1)/3-2,0)))</f>
        <v/>
      </c>
      <c r="M285" s="127"/>
      <c r="N285" s="137"/>
      <c r="O285" s="58" t="str" cm="1">
        <f>IF(ISBLANK($A285),"",INDEX(Array_OtherEnergyCharges,MATCH($A285,List_OtherEnergyMeters,0),ROUNDUP((COLUMN()+1)/3-2,0)))</f>
        <v/>
      </c>
      <c r="P285" s="127"/>
      <c r="Q285" s="137"/>
      <c r="R285" s="58" t="str" cm="1">
        <f>IF(ISBLANK($A285),"",INDEX(Array_OtherEnergyCharges,MATCH($A285,List_OtherEnergyMeters,0),ROUNDUP((COLUMN()+1)/3-2,0)))</f>
        <v/>
      </c>
      <c r="S285" s="127"/>
      <c r="T285" s="137"/>
    </row>
    <row r="286" spans="1:20" x14ac:dyDescent="0.3">
      <c r="A286" s="126"/>
      <c r="B286" s="133"/>
      <c r="C286" s="127"/>
      <c r="D286" s="138"/>
      <c r="E286" s="137"/>
      <c r="F286" s="58" t="str" cm="1">
        <f>IF(ISBLANK($A286),"",INDEX(Array_OtherEnergyCharges,MATCH($A286,List_OtherEnergyMeters,0),ROUNDUP((COLUMN()+1)/3-2,0)))</f>
        <v/>
      </c>
      <c r="G286" s="127"/>
      <c r="H286" s="137"/>
      <c r="I286" s="58" t="str" cm="1">
        <f>IF(ISBLANK($A286),"",INDEX(Array_OtherEnergyCharges,MATCH($A286,List_OtherEnergyMeters,0),ROUNDUP((COLUMN()+1)/3-2,0)))</f>
        <v/>
      </c>
      <c r="J286" s="127"/>
      <c r="K286" s="137"/>
      <c r="L286" s="58" t="str" cm="1">
        <f>IF(ISBLANK($A286),"",INDEX(Array_OtherEnergyCharges,MATCH($A286,List_OtherEnergyMeters,0),ROUNDUP((COLUMN()+1)/3-2,0)))</f>
        <v/>
      </c>
      <c r="M286" s="127"/>
      <c r="N286" s="137"/>
      <c r="O286" s="58" t="str" cm="1">
        <f>IF(ISBLANK($A286),"",INDEX(Array_OtherEnergyCharges,MATCH($A286,List_OtherEnergyMeters,0),ROUNDUP((COLUMN()+1)/3-2,0)))</f>
        <v/>
      </c>
      <c r="P286" s="127"/>
      <c r="Q286" s="137"/>
      <c r="R286" s="58" t="str" cm="1">
        <f>IF(ISBLANK($A286),"",INDEX(Array_OtherEnergyCharges,MATCH($A286,List_OtherEnergyMeters,0),ROUNDUP((COLUMN()+1)/3-2,0)))</f>
        <v/>
      </c>
      <c r="S286" s="127"/>
      <c r="T286" s="137"/>
    </row>
    <row r="287" spans="1:20" x14ac:dyDescent="0.3">
      <c r="A287" s="126"/>
      <c r="B287" s="133"/>
      <c r="C287" s="127"/>
      <c r="D287" s="138"/>
      <c r="E287" s="137"/>
      <c r="F287" s="58" t="str" cm="1">
        <f>IF(ISBLANK($A287),"",INDEX(Array_OtherEnergyCharges,MATCH($A287,List_OtherEnergyMeters,0),ROUNDUP((COLUMN()+1)/3-2,0)))</f>
        <v/>
      </c>
      <c r="G287" s="127"/>
      <c r="H287" s="137"/>
      <c r="I287" s="58" t="str" cm="1">
        <f>IF(ISBLANK($A287),"",INDEX(Array_OtherEnergyCharges,MATCH($A287,List_OtherEnergyMeters,0),ROUNDUP((COLUMN()+1)/3-2,0)))</f>
        <v/>
      </c>
      <c r="J287" s="127"/>
      <c r="K287" s="137"/>
      <c r="L287" s="58" t="str" cm="1">
        <f>IF(ISBLANK($A287),"",INDEX(Array_OtherEnergyCharges,MATCH($A287,List_OtherEnergyMeters,0),ROUNDUP((COLUMN()+1)/3-2,0)))</f>
        <v/>
      </c>
      <c r="M287" s="127"/>
      <c r="N287" s="137"/>
      <c r="O287" s="58" t="str" cm="1">
        <f>IF(ISBLANK($A287),"",INDEX(Array_OtherEnergyCharges,MATCH($A287,List_OtherEnergyMeters,0),ROUNDUP((COLUMN()+1)/3-2,0)))</f>
        <v/>
      </c>
      <c r="P287" s="127"/>
      <c r="Q287" s="137"/>
      <c r="R287" s="58" t="str" cm="1">
        <f>IF(ISBLANK($A287),"",INDEX(Array_OtherEnergyCharges,MATCH($A287,List_OtherEnergyMeters,0),ROUNDUP((COLUMN()+1)/3-2,0)))</f>
        <v/>
      </c>
      <c r="S287" s="127"/>
      <c r="T287" s="137"/>
    </row>
    <row r="288" spans="1:20" x14ac:dyDescent="0.3">
      <c r="A288" s="126"/>
      <c r="B288" s="133"/>
      <c r="C288" s="127"/>
      <c r="D288" s="138"/>
      <c r="E288" s="137"/>
      <c r="F288" s="58" t="str" cm="1">
        <f>IF(ISBLANK($A288),"",INDEX(Array_OtherEnergyCharges,MATCH($A288,List_OtherEnergyMeters,0),ROUNDUP((COLUMN()+1)/3-2,0)))</f>
        <v/>
      </c>
      <c r="G288" s="127"/>
      <c r="H288" s="137"/>
      <c r="I288" s="58" t="str" cm="1">
        <f>IF(ISBLANK($A288),"",INDEX(Array_OtherEnergyCharges,MATCH($A288,List_OtherEnergyMeters,0),ROUNDUP((COLUMN()+1)/3-2,0)))</f>
        <v/>
      </c>
      <c r="J288" s="127"/>
      <c r="K288" s="137"/>
      <c r="L288" s="58" t="str" cm="1">
        <f>IF(ISBLANK($A288),"",INDEX(Array_OtherEnergyCharges,MATCH($A288,List_OtherEnergyMeters,0),ROUNDUP((COLUMN()+1)/3-2,0)))</f>
        <v/>
      </c>
      <c r="M288" s="127"/>
      <c r="N288" s="137"/>
      <c r="O288" s="58" t="str" cm="1">
        <f>IF(ISBLANK($A288),"",INDEX(Array_OtherEnergyCharges,MATCH($A288,List_OtherEnergyMeters,0),ROUNDUP((COLUMN()+1)/3-2,0)))</f>
        <v/>
      </c>
      <c r="P288" s="127"/>
      <c r="Q288" s="137"/>
      <c r="R288" s="58" t="str" cm="1">
        <f>IF(ISBLANK($A288),"",INDEX(Array_OtherEnergyCharges,MATCH($A288,List_OtherEnergyMeters,0),ROUNDUP((COLUMN()+1)/3-2,0)))</f>
        <v/>
      </c>
      <c r="S288" s="127"/>
      <c r="T288" s="137"/>
    </row>
    <row r="289" spans="1:20" x14ac:dyDescent="0.3">
      <c r="A289" s="126"/>
      <c r="B289" s="133"/>
      <c r="C289" s="127"/>
      <c r="D289" s="138"/>
      <c r="E289" s="137"/>
      <c r="F289" s="58" t="str" cm="1">
        <f>IF(ISBLANK($A289),"",INDEX(Array_OtherEnergyCharges,MATCH($A289,List_OtherEnergyMeters,0),ROUNDUP((COLUMN()+1)/3-2,0)))</f>
        <v/>
      </c>
      <c r="G289" s="127"/>
      <c r="H289" s="137"/>
      <c r="I289" s="58" t="str" cm="1">
        <f>IF(ISBLANK($A289),"",INDEX(Array_OtherEnergyCharges,MATCH($A289,List_OtherEnergyMeters,0),ROUNDUP((COLUMN()+1)/3-2,0)))</f>
        <v/>
      </c>
      <c r="J289" s="127"/>
      <c r="K289" s="137"/>
      <c r="L289" s="58" t="str" cm="1">
        <f>IF(ISBLANK($A289),"",INDEX(Array_OtherEnergyCharges,MATCH($A289,List_OtherEnergyMeters,0),ROUNDUP((COLUMN()+1)/3-2,0)))</f>
        <v/>
      </c>
      <c r="M289" s="127"/>
      <c r="N289" s="137"/>
      <c r="O289" s="58" t="str" cm="1">
        <f>IF(ISBLANK($A289),"",INDEX(Array_OtherEnergyCharges,MATCH($A289,List_OtherEnergyMeters,0),ROUNDUP((COLUMN()+1)/3-2,0)))</f>
        <v/>
      </c>
      <c r="P289" s="127"/>
      <c r="Q289" s="137"/>
      <c r="R289" s="58" t="str" cm="1">
        <f>IF(ISBLANK($A289),"",INDEX(Array_OtherEnergyCharges,MATCH($A289,List_OtherEnergyMeters,0),ROUNDUP((COLUMN()+1)/3-2,0)))</f>
        <v/>
      </c>
      <c r="S289" s="127"/>
      <c r="T289" s="137"/>
    </row>
    <row r="290" spans="1:20" x14ac:dyDescent="0.3">
      <c r="A290" s="126"/>
      <c r="B290" s="133"/>
      <c r="C290" s="127"/>
      <c r="D290" s="138"/>
      <c r="E290" s="137"/>
      <c r="F290" s="58" t="str" cm="1">
        <f>IF(ISBLANK($A290),"",INDEX(Array_OtherEnergyCharges,MATCH($A290,List_OtherEnergyMeters,0),ROUNDUP((COLUMN()+1)/3-2,0)))</f>
        <v/>
      </c>
      <c r="G290" s="127"/>
      <c r="H290" s="137"/>
      <c r="I290" s="58" t="str" cm="1">
        <f>IF(ISBLANK($A290),"",INDEX(Array_OtherEnergyCharges,MATCH($A290,List_OtherEnergyMeters,0),ROUNDUP((COLUMN()+1)/3-2,0)))</f>
        <v/>
      </c>
      <c r="J290" s="127"/>
      <c r="K290" s="137"/>
      <c r="L290" s="58" t="str" cm="1">
        <f>IF(ISBLANK($A290),"",INDEX(Array_OtherEnergyCharges,MATCH($A290,List_OtherEnergyMeters,0),ROUNDUP((COLUMN()+1)/3-2,0)))</f>
        <v/>
      </c>
      <c r="M290" s="127"/>
      <c r="N290" s="137"/>
      <c r="O290" s="58" t="str" cm="1">
        <f>IF(ISBLANK($A290),"",INDEX(Array_OtherEnergyCharges,MATCH($A290,List_OtherEnergyMeters,0),ROUNDUP((COLUMN()+1)/3-2,0)))</f>
        <v/>
      </c>
      <c r="P290" s="127"/>
      <c r="Q290" s="137"/>
      <c r="R290" s="58" t="str" cm="1">
        <f>IF(ISBLANK($A290),"",INDEX(Array_OtherEnergyCharges,MATCH($A290,List_OtherEnergyMeters,0),ROUNDUP((COLUMN()+1)/3-2,0)))</f>
        <v/>
      </c>
      <c r="S290" s="127"/>
      <c r="T290" s="137"/>
    </row>
    <row r="291" spans="1:20" x14ac:dyDescent="0.3">
      <c r="A291" s="126"/>
      <c r="B291" s="133"/>
      <c r="C291" s="127"/>
      <c r="D291" s="138"/>
      <c r="E291" s="137"/>
      <c r="F291" s="58" t="str" cm="1">
        <f>IF(ISBLANK($A291),"",INDEX(Array_OtherEnergyCharges,MATCH($A291,List_OtherEnergyMeters,0),ROUNDUP((COLUMN()+1)/3-2,0)))</f>
        <v/>
      </c>
      <c r="G291" s="127"/>
      <c r="H291" s="137"/>
      <c r="I291" s="58" t="str" cm="1">
        <f>IF(ISBLANK($A291),"",INDEX(Array_OtherEnergyCharges,MATCH($A291,List_OtherEnergyMeters,0),ROUNDUP((COLUMN()+1)/3-2,0)))</f>
        <v/>
      </c>
      <c r="J291" s="127"/>
      <c r="K291" s="137"/>
      <c r="L291" s="58" t="str" cm="1">
        <f>IF(ISBLANK($A291),"",INDEX(Array_OtherEnergyCharges,MATCH($A291,List_OtherEnergyMeters,0),ROUNDUP((COLUMN()+1)/3-2,0)))</f>
        <v/>
      </c>
      <c r="M291" s="127"/>
      <c r="N291" s="137"/>
      <c r="O291" s="58" t="str" cm="1">
        <f>IF(ISBLANK($A291),"",INDEX(Array_OtherEnergyCharges,MATCH($A291,List_OtherEnergyMeters,0),ROUNDUP((COLUMN()+1)/3-2,0)))</f>
        <v/>
      </c>
      <c r="P291" s="127"/>
      <c r="Q291" s="137"/>
      <c r="R291" s="58" t="str" cm="1">
        <f>IF(ISBLANK($A291),"",INDEX(Array_OtherEnergyCharges,MATCH($A291,List_OtherEnergyMeters,0),ROUNDUP((COLUMN()+1)/3-2,0)))</f>
        <v/>
      </c>
      <c r="S291" s="127"/>
      <c r="T291" s="137"/>
    </row>
    <row r="292" spans="1:20" x14ac:dyDescent="0.3">
      <c r="A292" s="126"/>
      <c r="B292" s="133"/>
      <c r="C292" s="127"/>
      <c r="D292" s="138"/>
      <c r="E292" s="137"/>
      <c r="F292" s="58" t="str" cm="1">
        <f>IF(ISBLANK($A292),"",INDEX(Array_OtherEnergyCharges,MATCH($A292,List_OtherEnergyMeters,0),ROUNDUP((COLUMN()+1)/3-2,0)))</f>
        <v/>
      </c>
      <c r="G292" s="127"/>
      <c r="H292" s="137"/>
      <c r="I292" s="58" t="str" cm="1">
        <f>IF(ISBLANK($A292),"",INDEX(Array_OtherEnergyCharges,MATCH($A292,List_OtherEnergyMeters,0),ROUNDUP((COLUMN()+1)/3-2,0)))</f>
        <v/>
      </c>
      <c r="J292" s="127"/>
      <c r="K292" s="137"/>
      <c r="L292" s="58" t="str" cm="1">
        <f>IF(ISBLANK($A292),"",INDEX(Array_OtherEnergyCharges,MATCH($A292,List_OtherEnergyMeters,0),ROUNDUP((COLUMN()+1)/3-2,0)))</f>
        <v/>
      </c>
      <c r="M292" s="127"/>
      <c r="N292" s="137"/>
      <c r="O292" s="58" t="str" cm="1">
        <f>IF(ISBLANK($A292),"",INDEX(Array_OtherEnergyCharges,MATCH($A292,List_OtherEnergyMeters,0),ROUNDUP((COLUMN()+1)/3-2,0)))</f>
        <v/>
      </c>
      <c r="P292" s="127"/>
      <c r="Q292" s="137"/>
      <c r="R292" s="58" t="str" cm="1">
        <f>IF(ISBLANK($A292),"",INDEX(Array_OtherEnergyCharges,MATCH($A292,List_OtherEnergyMeters,0),ROUNDUP((COLUMN()+1)/3-2,0)))</f>
        <v/>
      </c>
      <c r="S292" s="127"/>
      <c r="T292" s="137"/>
    </row>
    <row r="293" spans="1:20" x14ac:dyDescent="0.3">
      <c r="A293" s="126"/>
      <c r="B293" s="133"/>
      <c r="C293" s="127"/>
      <c r="D293" s="138"/>
      <c r="E293" s="137"/>
      <c r="F293" s="58" t="str" cm="1">
        <f>IF(ISBLANK($A293),"",INDEX(Array_OtherEnergyCharges,MATCH($A293,List_OtherEnergyMeters,0),ROUNDUP((COLUMN()+1)/3-2,0)))</f>
        <v/>
      </c>
      <c r="G293" s="127"/>
      <c r="H293" s="137"/>
      <c r="I293" s="58" t="str" cm="1">
        <f>IF(ISBLANK($A293),"",INDEX(Array_OtherEnergyCharges,MATCH($A293,List_OtherEnergyMeters,0),ROUNDUP((COLUMN()+1)/3-2,0)))</f>
        <v/>
      </c>
      <c r="J293" s="127"/>
      <c r="K293" s="137"/>
      <c r="L293" s="58" t="str" cm="1">
        <f>IF(ISBLANK($A293),"",INDEX(Array_OtherEnergyCharges,MATCH($A293,List_OtherEnergyMeters,0),ROUNDUP((COLUMN()+1)/3-2,0)))</f>
        <v/>
      </c>
      <c r="M293" s="127"/>
      <c r="N293" s="137"/>
      <c r="O293" s="58" t="str" cm="1">
        <f>IF(ISBLANK($A293),"",INDEX(Array_OtherEnergyCharges,MATCH($A293,List_OtherEnergyMeters,0),ROUNDUP((COLUMN()+1)/3-2,0)))</f>
        <v/>
      </c>
      <c r="P293" s="127"/>
      <c r="Q293" s="137"/>
      <c r="R293" s="58" t="str" cm="1">
        <f>IF(ISBLANK($A293),"",INDEX(Array_OtherEnergyCharges,MATCH($A293,List_OtherEnergyMeters,0),ROUNDUP((COLUMN()+1)/3-2,0)))</f>
        <v/>
      </c>
      <c r="S293" s="127"/>
      <c r="T293" s="137"/>
    </row>
    <row r="294" spans="1:20" x14ac:dyDescent="0.3">
      <c r="A294" s="126"/>
      <c r="B294" s="133"/>
      <c r="C294" s="127"/>
      <c r="D294" s="138"/>
      <c r="E294" s="137"/>
      <c r="F294" s="58" t="str" cm="1">
        <f>IF(ISBLANK($A294),"",INDEX(Array_OtherEnergyCharges,MATCH($A294,List_OtherEnergyMeters,0),ROUNDUP((COLUMN()+1)/3-2,0)))</f>
        <v/>
      </c>
      <c r="G294" s="127"/>
      <c r="H294" s="137"/>
      <c r="I294" s="58" t="str" cm="1">
        <f>IF(ISBLANK($A294),"",INDEX(Array_OtherEnergyCharges,MATCH($A294,List_OtherEnergyMeters,0),ROUNDUP((COLUMN()+1)/3-2,0)))</f>
        <v/>
      </c>
      <c r="J294" s="127"/>
      <c r="K294" s="137"/>
      <c r="L294" s="58" t="str" cm="1">
        <f>IF(ISBLANK($A294),"",INDEX(Array_OtherEnergyCharges,MATCH($A294,List_OtherEnergyMeters,0),ROUNDUP((COLUMN()+1)/3-2,0)))</f>
        <v/>
      </c>
      <c r="M294" s="127"/>
      <c r="N294" s="137"/>
      <c r="O294" s="58" t="str" cm="1">
        <f>IF(ISBLANK($A294),"",INDEX(Array_OtherEnergyCharges,MATCH($A294,List_OtherEnergyMeters,0),ROUNDUP((COLUMN()+1)/3-2,0)))</f>
        <v/>
      </c>
      <c r="P294" s="127"/>
      <c r="Q294" s="137"/>
      <c r="R294" s="58" t="str" cm="1">
        <f>IF(ISBLANK($A294),"",INDEX(Array_OtherEnergyCharges,MATCH($A294,List_OtherEnergyMeters,0),ROUNDUP((COLUMN()+1)/3-2,0)))</f>
        <v/>
      </c>
      <c r="S294" s="127"/>
      <c r="T294" s="137"/>
    </row>
    <row r="295" spans="1:20" x14ac:dyDescent="0.3">
      <c r="A295" s="126"/>
      <c r="B295" s="133"/>
      <c r="C295" s="127"/>
      <c r="D295" s="138"/>
      <c r="E295" s="137"/>
      <c r="F295" s="58" t="str" cm="1">
        <f>IF(ISBLANK($A295),"",INDEX(Array_OtherEnergyCharges,MATCH($A295,List_OtherEnergyMeters,0),ROUNDUP((COLUMN()+1)/3-2,0)))</f>
        <v/>
      </c>
      <c r="G295" s="127"/>
      <c r="H295" s="137"/>
      <c r="I295" s="58" t="str" cm="1">
        <f>IF(ISBLANK($A295),"",INDEX(Array_OtherEnergyCharges,MATCH($A295,List_OtherEnergyMeters,0),ROUNDUP((COLUMN()+1)/3-2,0)))</f>
        <v/>
      </c>
      <c r="J295" s="127"/>
      <c r="K295" s="137"/>
      <c r="L295" s="58" t="str" cm="1">
        <f>IF(ISBLANK($A295),"",INDEX(Array_OtherEnergyCharges,MATCH($A295,List_OtherEnergyMeters,0),ROUNDUP((COLUMN()+1)/3-2,0)))</f>
        <v/>
      </c>
      <c r="M295" s="127"/>
      <c r="N295" s="137"/>
      <c r="O295" s="58" t="str" cm="1">
        <f>IF(ISBLANK($A295),"",INDEX(Array_OtherEnergyCharges,MATCH($A295,List_OtherEnergyMeters,0),ROUNDUP((COLUMN()+1)/3-2,0)))</f>
        <v/>
      </c>
      <c r="P295" s="127"/>
      <c r="Q295" s="137"/>
      <c r="R295" s="58" t="str" cm="1">
        <f>IF(ISBLANK($A295),"",INDEX(Array_OtherEnergyCharges,MATCH($A295,List_OtherEnergyMeters,0),ROUNDUP((COLUMN()+1)/3-2,0)))</f>
        <v/>
      </c>
      <c r="S295" s="127"/>
      <c r="T295" s="137"/>
    </row>
    <row r="296" spans="1:20" x14ac:dyDescent="0.3">
      <c r="A296" s="126"/>
      <c r="B296" s="133"/>
      <c r="C296" s="127"/>
      <c r="D296" s="138"/>
      <c r="E296" s="137"/>
      <c r="F296" s="58" t="str" cm="1">
        <f>IF(ISBLANK($A296),"",INDEX(Array_OtherEnergyCharges,MATCH($A296,List_OtherEnergyMeters,0),ROUNDUP((COLUMN()+1)/3-2,0)))</f>
        <v/>
      </c>
      <c r="G296" s="127"/>
      <c r="H296" s="137"/>
      <c r="I296" s="58" t="str" cm="1">
        <f>IF(ISBLANK($A296),"",INDEX(Array_OtherEnergyCharges,MATCH($A296,List_OtherEnergyMeters,0),ROUNDUP((COLUMN()+1)/3-2,0)))</f>
        <v/>
      </c>
      <c r="J296" s="127"/>
      <c r="K296" s="137"/>
      <c r="L296" s="58" t="str" cm="1">
        <f>IF(ISBLANK($A296),"",INDEX(Array_OtherEnergyCharges,MATCH($A296,List_OtherEnergyMeters,0),ROUNDUP((COLUMN()+1)/3-2,0)))</f>
        <v/>
      </c>
      <c r="M296" s="127"/>
      <c r="N296" s="137"/>
      <c r="O296" s="58" t="str" cm="1">
        <f>IF(ISBLANK($A296),"",INDEX(Array_OtherEnergyCharges,MATCH($A296,List_OtherEnergyMeters,0),ROUNDUP((COLUMN()+1)/3-2,0)))</f>
        <v/>
      </c>
      <c r="P296" s="127"/>
      <c r="Q296" s="137"/>
      <c r="R296" s="58" t="str" cm="1">
        <f>IF(ISBLANK($A296),"",INDEX(Array_OtherEnergyCharges,MATCH($A296,List_OtherEnergyMeters,0),ROUNDUP((COLUMN()+1)/3-2,0)))</f>
        <v/>
      </c>
      <c r="S296" s="127"/>
      <c r="T296" s="137"/>
    </row>
    <row r="297" spans="1:20" x14ac:dyDescent="0.3">
      <c r="A297" s="126"/>
      <c r="B297" s="133"/>
      <c r="C297" s="127"/>
      <c r="D297" s="138"/>
      <c r="E297" s="137"/>
      <c r="F297" s="58" t="str" cm="1">
        <f>IF(ISBLANK($A297),"",INDEX(Array_OtherEnergyCharges,MATCH($A297,List_OtherEnergyMeters,0),ROUNDUP((COLUMN()+1)/3-2,0)))</f>
        <v/>
      </c>
      <c r="G297" s="127"/>
      <c r="H297" s="137"/>
      <c r="I297" s="58" t="str" cm="1">
        <f>IF(ISBLANK($A297),"",INDEX(Array_OtherEnergyCharges,MATCH($A297,List_OtherEnergyMeters,0),ROUNDUP((COLUMN()+1)/3-2,0)))</f>
        <v/>
      </c>
      <c r="J297" s="127"/>
      <c r="K297" s="137"/>
      <c r="L297" s="58" t="str" cm="1">
        <f>IF(ISBLANK($A297),"",INDEX(Array_OtherEnergyCharges,MATCH($A297,List_OtherEnergyMeters,0),ROUNDUP((COLUMN()+1)/3-2,0)))</f>
        <v/>
      </c>
      <c r="M297" s="127"/>
      <c r="N297" s="137"/>
      <c r="O297" s="58" t="str" cm="1">
        <f>IF(ISBLANK($A297),"",INDEX(Array_OtherEnergyCharges,MATCH($A297,List_OtherEnergyMeters,0),ROUNDUP((COLUMN()+1)/3-2,0)))</f>
        <v/>
      </c>
      <c r="P297" s="127"/>
      <c r="Q297" s="137"/>
      <c r="R297" s="58" t="str" cm="1">
        <f>IF(ISBLANK($A297),"",INDEX(Array_OtherEnergyCharges,MATCH($A297,List_OtherEnergyMeters,0),ROUNDUP((COLUMN()+1)/3-2,0)))</f>
        <v/>
      </c>
      <c r="S297" s="127"/>
      <c r="T297" s="137"/>
    </row>
    <row r="298" spans="1:20" x14ac:dyDescent="0.3">
      <c r="A298" s="126"/>
      <c r="B298" s="133"/>
      <c r="C298" s="127"/>
      <c r="D298" s="138"/>
      <c r="E298" s="137"/>
      <c r="F298" s="58" t="str" cm="1">
        <f>IF(ISBLANK($A298),"",INDEX(Array_OtherEnergyCharges,MATCH($A298,List_OtherEnergyMeters,0),ROUNDUP((COLUMN()+1)/3-2,0)))</f>
        <v/>
      </c>
      <c r="G298" s="127"/>
      <c r="H298" s="137"/>
      <c r="I298" s="58" t="str" cm="1">
        <f>IF(ISBLANK($A298),"",INDEX(Array_OtherEnergyCharges,MATCH($A298,List_OtherEnergyMeters,0),ROUNDUP((COLUMN()+1)/3-2,0)))</f>
        <v/>
      </c>
      <c r="J298" s="127"/>
      <c r="K298" s="137"/>
      <c r="L298" s="58" t="str" cm="1">
        <f>IF(ISBLANK($A298),"",INDEX(Array_OtherEnergyCharges,MATCH($A298,List_OtherEnergyMeters,0),ROUNDUP((COLUMN()+1)/3-2,0)))</f>
        <v/>
      </c>
      <c r="M298" s="127"/>
      <c r="N298" s="137"/>
      <c r="O298" s="58" t="str" cm="1">
        <f>IF(ISBLANK($A298),"",INDEX(Array_OtherEnergyCharges,MATCH($A298,List_OtherEnergyMeters,0),ROUNDUP((COLUMN()+1)/3-2,0)))</f>
        <v/>
      </c>
      <c r="P298" s="127"/>
      <c r="Q298" s="137"/>
      <c r="R298" s="58" t="str" cm="1">
        <f>IF(ISBLANK($A298),"",INDEX(Array_OtherEnergyCharges,MATCH($A298,List_OtherEnergyMeters,0),ROUNDUP((COLUMN()+1)/3-2,0)))</f>
        <v/>
      </c>
      <c r="S298" s="127"/>
      <c r="T298" s="137"/>
    </row>
    <row r="299" spans="1:20" x14ac:dyDescent="0.3">
      <c r="A299" s="126"/>
      <c r="B299" s="133"/>
      <c r="C299" s="127"/>
      <c r="D299" s="138"/>
      <c r="E299" s="137"/>
      <c r="F299" s="58" t="str" cm="1">
        <f>IF(ISBLANK($A299),"",INDEX(Array_OtherEnergyCharges,MATCH($A299,List_OtherEnergyMeters,0),ROUNDUP((COLUMN()+1)/3-2,0)))</f>
        <v/>
      </c>
      <c r="G299" s="127"/>
      <c r="H299" s="137"/>
      <c r="I299" s="58" t="str" cm="1">
        <f>IF(ISBLANK($A299),"",INDEX(Array_OtherEnergyCharges,MATCH($A299,List_OtherEnergyMeters,0),ROUNDUP((COLUMN()+1)/3-2,0)))</f>
        <v/>
      </c>
      <c r="J299" s="127"/>
      <c r="K299" s="137"/>
      <c r="L299" s="58" t="str" cm="1">
        <f>IF(ISBLANK($A299),"",INDEX(Array_OtherEnergyCharges,MATCH($A299,List_OtherEnergyMeters,0),ROUNDUP((COLUMN()+1)/3-2,0)))</f>
        <v/>
      </c>
      <c r="M299" s="127"/>
      <c r="N299" s="137"/>
      <c r="O299" s="58" t="str" cm="1">
        <f>IF(ISBLANK($A299),"",INDEX(Array_OtherEnergyCharges,MATCH($A299,List_OtherEnergyMeters,0),ROUNDUP((COLUMN()+1)/3-2,0)))</f>
        <v/>
      </c>
      <c r="P299" s="127"/>
      <c r="Q299" s="137"/>
      <c r="R299" s="58" t="str" cm="1">
        <f>IF(ISBLANK($A299),"",INDEX(Array_OtherEnergyCharges,MATCH($A299,List_OtherEnergyMeters,0),ROUNDUP((COLUMN()+1)/3-2,0)))</f>
        <v/>
      </c>
      <c r="S299" s="127"/>
      <c r="T299" s="137"/>
    </row>
    <row r="300" spans="1:20" x14ac:dyDescent="0.3">
      <c r="A300" s="126"/>
      <c r="B300" s="133"/>
      <c r="C300" s="127"/>
      <c r="D300" s="138"/>
      <c r="E300" s="137"/>
      <c r="F300" s="58" t="str" cm="1">
        <f>IF(ISBLANK($A300),"",INDEX(Array_OtherEnergyCharges,MATCH($A300,List_OtherEnergyMeters,0),ROUNDUP((COLUMN()+1)/3-2,0)))</f>
        <v/>
      </c>
      <c r="G300" s="127"/>
      <c r="H300" s="137"/>
      <c r="I300" s="58" t="str" cm="1">
        <f>IF(ISBLANK($A300),"",INDEX(Array_OtherEnergyCharges,MATCH($A300,List_OtherEnergyMeters,0),ROUNDUP((COLUMN()+1)/3-2,0)))</f>
        <v/>
      </c>
      <c r="J300" s="127"/>
      <c r="K300" s="137"/>
      <c r="L300" s="58" t="str" cm="1">
        <f>IF(ISBLANK($A300),"",INDEX(Array_OtherEnergyCharges,MATCH($A300,List_OtherEnergyMeters,0),ROUNDUP((COLUMN()+1)/3-2,0)))</f>
        <v/>
      </c>
      <c r="M300" s="127"/>
      <c r="N300" s="137"/>
      <c r="O300" s="58" t="str" cm="1">
        <f>IF(ISBLANK($A300),"",INDEX(Array_OtherEnergyCharges,MATCH($A300,List_OtherEnergyMeters,0),ROUNDUP((COLUMN()+1)/3-2,0)))</f>
        <v/>
      </c>
      <c r="P300" s="127"/>
      <c r="Q300" s="137"/>
      <c r="R300" s="58" t="str" cm="1">
        <f>IF(ISBLANK($A300),"",INDEX(Array_OtherEnergyCharges,MATCH($A300,List_OtherEnergyMeters,0),ROUNDUP((COLUMN()+1)/3-2,0)))</f>
        <v/>
      </c>
      <c r="S300" s="127"/>
      <c r="T300" s="137"/>
    </row>
    <row r="301" spans="1:20" x14ac:dyDescent="0.3">
      <c r="A301" s="126"/>
      <c r="B301" s="133"/>
      <c r="C301" s="127"/>
      <c r="D301" s="138"/>
      <c r="E301" s="137"/>
      <c r="F301" s="58" t="str" cm="1">
        <f>IF(ISBLANK($A301),"",INDEX(Array_OtherEnergyCharges,MATCH($A301,List_OtherEnergyMeters,0),ROUNDUP((COLUMN()+1)/3-2,0)))</f>
        <v/>
      </c>
      <c r="G301" s="127"/>
      <c r="H301" s="137"/>
      <c r="I301" s="58" t="str" cm="1">
        <f>IF(ISBLANK($A301),"",INDEX(Array_OtherEnergyCharges,MATCH($A301,List_OtherEnergyMeters,0),ROUNDUP((COLUMN()+1)/3-2,0)))</f>
        <v/>
      </c>
      <c r="J301" s="127"/>
      <c r="K301" s="137"/>
      <c r="L301" s="58" t="str" cm="1">
        <f>IF(ISBLANK($A301),"",INDEX(Array_OtherEnergyCharges,MATCH($A301,List_OtherEnergyMeters,0),ROUNDUP((COLUMN()+1)/3-2,0)))</f>
        <v/>
      </c>
      <c r="M301" s="127"/>
      <c r="N301" s="137"/>
      <c r="O301" s="58" t="str" cm="1">
        <f>IF(ISBLANK($A301),"",INDEX(Array_OtherEnergyCharges,MATCH($A301,List_OtherEnergyMeters,0),ROUNDUP((COLUMN()+1)/3-2,0)))</f>
        <v/>
      </c>
      <c r="P301" s="127"/>
      <c r="Q301" s="137"/>
      <c r="R301" s="58" t="str" cm="1">
        <f>IF(ISBLANK($A301),"",INDEX(Array_OtherEnergyCharges,MATCH($A301,List_OtherEnergyMeters,0),ROUNDUP((COLUMN()+1)/3-2,0)))</f>
        <v/>
      </c>
      <c r="S301" s="127"/>
      <c r="T301" s="137"/>
    </row>
    <row r="302" spans="1:20" x14ac:dyDescent="0.3">
      <c r="A302" s="126"/>
      <c r="B302" s="133"/>
      <c r="C302" s="127"/>
      <c r="D302" s="138"/>
      <c r="E302" s="137"/>
      <c r="F302" s="58" t="str" cm="1">
        <f>IF(ISBLANK($A302),"",INDEX(Array_OtherEnergyCharges,MATCH($A302,List_OtherEnergyMeters,0),ROUNDUP((COLUMN()+1)/3-2,0)))</f>
        <v/>
      </c>
      <c r="G302" s="127"/>
      <c r="H302" s="137"/>
      <c r="I302" s="58" t="str" cm="1">
        <f>IF(ISBLANK($A302),"",INDEX(Array_OtherEnergyCharges,MATCH($A302,List_OtherEnergyMeters,0),ROUNDUP((COLUMN()+1)/3-2,0)))</f>
        <v/>
      </c>
      <c r="J302" s="127"/>
      <c r="K302" s="137"/>
      <c r="L302" s="58" t="str" cm="1">
        <f>IF(ISBLANK($A302),"",INDEX(Array_OtherEnergyCharges,MATCH($A302,List_OtherEnergyMeters,0),ROUNDUP((COLUMN()+1)/3-2,0)))</f>
        <v/>
      </c>
      <c r="M302" s="127"/>
      <c r="N302" s="137"/>
      <c r="O302" s="58" t="str" cm="1">
        <f>IF(ISBLANK($A302),"",INDEX(Array_OtherEnergyCharges,MATCH($A302,List_OtherEnergyMeters,0),ROUNDUP((COLUMN()+1)/3-2,0)))</f>
        <v/>
      </c>
      <c r="P302" s="127"/>
      <c r="Q302" s="137"/>
      <c r="R302" s="58" t="str" cm="1">
        <f>IF(ISBLANK($A302),"",INDEX(Array_OtherEnergyCharges,MATCH($A302,List_OtherEnergyMeters,0),ROUNDUP((COLUMN()+1)/3-2,0)))</f>
        <v/>
      </c>
      <c r="S302" s="127"/>
      <c r="T302" s="137"/>
    </row>
    <row r="303" spans="1:20" x14ac:dyDescent="0.3">
      <c r="A303" s="126"/>
      <c r="B303" s="133"/>
      <c r="C303" s="127"/>
      <c r="D303" s="138"/>
      <c r="E303" s="137"/>
      <c r="F303" s="58" t="str" cm="1">
        <f>IF(ISBLANK($A303),"",INDEX(Array_OtherEnergyCharges,MATCH($A303,List_OtherEnergyMeters,0),ROUNDUP((COLUMN()+1)/3-2,0)))</f>
        <v/>
      </c>
      <c r="G303" s="127"/>
      <c r="H303" s="137"/>
      <c r="I303" s="58" t="str" cm="1">
        <f>IF(ISBLANK($A303),"",INDEX(Array_OtherEnergyCharges,MATCH($A303,List_OtherEnergyMeters,0),ROUNDUP((COLUMN()+1)/3-2,0)))</f>
        <v/>
      </c>
      <c r="J303" s="127"/>
      <c r="K303" s="137"/>
      <c r="L303" s="58" t="str" cm="1">
        <f>IF(ISBLANK($A303),"",INDEX(Array_OtherEnergyCharges,MATCH($A303,List_OtherEnergyMeters,0),ROUNDUP((COLUMN()+1)/3-2,0)))</f>
        <v/>
      </c>
      <c r="M303" s="127"/>
      <c r="N303" s="137"/>
      <c r="O303" s="58" t="str" cm="1">
        <f>IF(ISBLANK($A303),"",INDEX(Array_OtherEnergyCharges,MATCH($A303,List_OtherEnergyMeters,0),ROUNDUP((COLUMN()+1)/3-2,0)))</f>
        <v/>
      </c>
      <c r="P303" s="127"/>
      <c r="Q303" s="137"/>
      <c r="R303" s="58" t="str" cm="1">
        <f>IF(ISBLANK($A303),"",INDEX(Array_OtherEnergyCharges,MATCH($A303,List_OtherEnergyMeters,0),ROUNDUP((COLUMN()+1)/3-2,0)))</f>
        <v/>
      </c>
      <c r="S303" s="127"/>
      <c r="T303" s="137"/>
    </row>
    <row r="304" spans="1:20" x14ac:dyDescent="0.3">
      <c r="A304" s="126"/>
      <c r="B304" s="133"/>
      <c r="C304" s="127"/>
      <c r="D304" s="138"/>
      <c r="E304" s="137"/>
      <c r="F304" s="58" t="str" cm="1">
        <f>IF(ISBLANK($A304),"",INDEX(Array_OtherEnergyCharges,MATCH($A304,List_OtherEnergyMeters,0),ROUNDUP((COLUMN()+1)/3-2,0)))</f>
        <v/>
      </c>
      <c r="G304" s="127"/>
      <c r="H304" s="137"/>
      <c r="I304" s="58" t="str" cm="1">
        <f>IF(ISBLANK($A304),"",INDEX(Array_OtherEnergyCharges,MATCH($A304,List_OtherEnergyMeters,0),ROUNDUP((COLUMN()+1)/3-2,0)))</f>
        <v/>
      </c>
      <c r="J304" s="127"/>
      <c r="K304" s="137"/>
      <c r="L304" s="58" t="str" cm="1">
        <f>IF(ISBLANK($A304),"",INDEX(Array_OtherEnergyCharges,MATCH($A304,List_OtherEnergyMeters,0),ROUNDUP((COLUMN()+1)/3-2,0)))</f>
        <v/>
      </c>
      <c r="M304" s="127"/>
      <c r="N304" s="137"/>
      <c r="O304" s="58" t="str" cm="1">
        <f>IF(ISBLANK($A304),"",INDEX(Array_OtherEnergyCharges,MATCH($A304,List_OtherEnergyMeters,0),ROUNDUP((COLUMN()+1)/3-2,0)))</f>
        <v/>
      </c>
      <c r="P304" s="127"/>
      <c r="Q304" s="137"/>
      <c r="R304" s="58" t="str" cm="1">
        <f>IF(ISBLANK($A304),"",INDEX(Array_OtherEnergyCharges,MATCH($A304,List_OtherEnergyMeters,0),ROUNDUP((COLUMN()+1)/3-2,0)))</f>
        <v/>
      </c>
      <c r="S304" s="127"/>
      <c r="T304" s="137"/>
    </row>
    <row r="305" spans="1:20" x14ac:dyDescent="0.3">
      <c r="A305" s="126"/>
      <c r="B305" s="133"/>
      <c r="C305" s="127"/>
      <c r="D305" s="138"/>
      <c r="E305" s="137"/>
      <c r="F305" s="58" t="str" cm="1">
        <f>IF(ISBLANK($A305),"",INDEX(Array_OtherEnergyCharges,MATCH($A305,List_OtherEnergyMeters,0),ROUNDUP((COLUMN()+1)/3-2,0)))</f>
        <v/>
      </c>
      <c r="G305" s="127"/>
      <c r="H305" s="137"/>
      <c r="I305" s="58" t="str" cm="1">
        <f>IF(ISBLANK($A305),"",INDEX(Array_OtherEnergyCharges,MATCH($A305,List_OtherEnergyMeters,0),ROUNDUP((COLUMN()+1)/3-2,0)))</f>
        <v/>
      </c>
      <c r="J305" s="127"/>
      <c r="K305" s="137"/>
      <c r="L305" s="58" t="str" cm="1">
        <f>IF(ISBLANK($A305),"",INDEX(Array_OtherEnergyCharges,MATCH($A305,List_OtherEnergyMeters,0),ROUNDUP((COLUMN()+1)/3-2,0)))</f>
        <v/>
      </c>
      <c r="M305" s="127"/>
      <c r="N305" s="137"/>
      <c r="O305" s="58" t="str" cm="1">
        <f>IF(ISBLANK($A305),"",INDEX(Array_OtherEnergyCharges,MATCH($A305,List_OtherEnergyMeters,0),ROUNDUP((COLUMN()+1)/3-2,0)))</f>
        <v/>
      </c>
      <c r="P305" s="127"/>
      <c r="Q305" s="137"/>
      <c r="R305" s="58" t="str" cm="1">
        <f>IF(ISBLANK($A305),"",INDEX(Array_OtherEnergyCharges,MATCH($A305,List_OtherEnergyMeters,0),ROUNDUP((COLUMN()+1)/3-2,0)))</f>
        <v/>
      </c>
      <c r="S305" s="127"/>
      <c r="T305" s="137"/>
    </row>
    <row r="306" spans="1:20" x14ac:dyDescent="0.3">
      <c r="A306" s="126"/>
      <c r="B306" s="133"/>
      <c r="C306" s="127"/>
      <c r="D306" s="138"/>
      <c r="E306" s="137"/>
      <c r="F306" s="58" t="str" cm="1">
        <f>IF(ISBLANK($A306),"",INDEX(Array_OtherEnergyCharges,MATCH($A306,List_OtherEnergyMeters,0),ROUNDUP((COLUMN()+1)/3-2,0)))</f>
        <v/>
      </c>
      <c r="G306" s="127"/>
      <c r="H306" s="137"/>
      <c r="I306" s="58" t="str" cm="1">
        <f>IF(ISBLANK($A306),"",INDEX(Array_OtherEnergyCharges,MATCH($A306,List_OtherEnergyMeters,0),ROUNDUP((COLUMN()+1)/3-2,0)))</f>
        <v/>
      </c>
      <c r="J306" s="127"/>
      <c r="K306" s="137"/>
      <c r="L306" s="58" t="str" cm="1">
        <f>IF(ISBLANK($A306),"",INDEX(Array_OtherEnergyCharges,MATCH($A306,List_OtherEnergyMeters,0),ROUNDUP((COLUMN()+1)/3-2,0)))</f>
        <v/>
      </c>
      <c r="M306" s="127"/>
      <c r="N306" s="137"/>
      <c r="O306" s="58" t="str" cm="1">
        <f>IF(ISBLANK($A306),"",INDEX(Array_OtherEnergyCharges,MATCH($A306,List_OtherEnergyMeters,0),ROUNDUP((COLUMN()+1)/3-2,0)))</f>
        <v/>
      </c>
      <c r="P306" s="127"/>
      <c r="Q306" s="137"/>
      <c r="R306" s="58" t="str" cm="1">
        <f>IF(ISBLANK($A306),"",INDEX(Array_OtherEnergyCharges,MATCH($A306,List_OtherEnergyMeters,0),ROUNDUP((COLUMN()+1)/3-2,0)))</f>
        <v/>
      </c>
      <c r="S306" s="127"/>
      <c r="T306" s="137"/>
    </row>
    <row r="307" spans="1:20" x14ac:dyDescent="0.3">
      <c r="A307" s="126"/>
      <c r="B307" s="133"/>
      <c r="C307" s="127"/>
      <c r="D307" s="138"/>
      <c r="E307" s="137"/>
      <c r="F307" s="58" t="str" cm="1">
        <f>IF(ISBLANK($A307),"",INDEX(Array_OtherEnergyCharges,MATCH($A307,List_OtherEnergyMeters,0),ROUNDUP((COLUMN()+1)/3-2,0)))</f>
        <v/>
      </c>
      <c r="G307" s="127"/>
      <c r="H307" s="137"/>
      <c r="I307" s="58" t="str" cm="1">
        <f>IF(ISBLANK($A307),"",INDEX(Array_OtherEnergyCharges,MATCH($A307,List_OtherEnergyMeters,0),ROUNDUP((COLUMN()+1)/3-2,0)))</f>
        <v/>
      </c>
      <c r="J307" s="127"/>
      <c r="K307" s="137"/>
      <c r="L307" s="58" t="str" cm="1">
        <f>IF(ISBLANK($A307),"",INDEX(Array_OtherEnergyCharges,MATCH($A307,List_OtherEnergyMeters,0),ROUNDUP((COLUMN()+1)/3-2,0)))</f>
        <v/>
      </c>
      <c r="M307" s="127"/>
      <c r="N307" s="137"/>
      <c r="O307" s="58" t="str" cm="1">
        <f>IF(ISBLANK($A307),"",INDEX(Array_OtherEnergyCharges,MATCH($A307,List_OtherEnergyMeters,0),ROUNDUP((COLUMN()+1)/3-2,0)))</f>
        <v/>
      </c>
      <c r="P307" s="127"/>
      <c r="Q307" s="137"/>
      <c r="R307" s="58" t="str" cm="1">
        <f>IF(ISBLANK($A307),"",INDEX(Array_OtherEnergyCharges,MATCH($A307,List_OtherEnergyMeters,0),ROUNDUP((COLUMN()+1)/3-2,0)))</f>
        <v/>
      </c>
      <c r="S307" s="127"/>
      <c r="T307" s="137"/>
    </row>
    <row r="308" spans="1:20" x14ac:dyDescent="0.3">
      <c r="A308" s="126"/>
      <c r="B308" s="133"/>
      <c r="C308" s="127"/>
      <c r="D308" s="138"/>
      <c r="E308" s="137"/>
      <c r="F308" s="58" t="str" cm="1">
        <f>IF(ISBLANK($A308),"",INDEX(Array_OtherEnergyCharges,MATCH($A308,List_OtherEnergyMeters,0),ROUNDUP((COLUMN()+1)/3-2,0)))</f>
        <v/>
      </c>
      <c r="G308" s="127"/>
      <c r="H308" s="137"/>
      <c r="I308" s="58" t="str" cm="1">
        <f>IF(ISBLANK($A308),"",INDEX(Array_OtherEnergyCharges,MATCH($A308,List_OtherEnergyMeters,0),ROUNDUP((COLUMN()+1)/3-2,0)))</f>
        <v/>
      </c>
      <c r="J308" s="127"/>
      <c r="K308" s="137"/>
      <c r="L308" s="58" t="str" cm="1">
        <f>IF(ISBLANK($A308),"",INDEX(Array_OtherEnergyCharges,MATCH($A308,List_OtherEnergyMeters,0),ROUNDUP((COLUMN()+1)/3-2,0)))</f>
        <v/>
      </c>
      <c r="M308" s="127"/>
      <c r="N308" s="137"/>
      <c r="O308" s="58" t="str" cm="1">
        <f>IF(ISBLANK($A308),"",INDEX(Array_OtherEnergyCharges,MATCH($A308,List_OtherEnergyMeters,0),ROUNDUP((COLUMN()+1)/3-2,0)))</f>
        <v/>
      </c>
      <c r="P308" s="127"/>
      <c r="Q308" s="137"/>
      <c r="R308" s="58" t="str" cm="1">
        <f>IF(ISBLANK($A308),"",INDEX(Array_OtherEnergyCharges,MATCH($A308,List_OtherEnergyMeters,0),ROUNDUP((COLUMN()+1)/3-2,0)))</f>
        <v/>
      </c>
      <c r="S308" s="127"/>
      <c r="T308" s="137"/>
    </row>
    <row r="309" spans="1:20" x14ac:dyDescent="0.3">
      <c r="A309" s="126"/>
      <c r="B309" s="133"/>
      <c r="C309" s="127"/>
      <c r="D309" s="138"/>
      <c r="E309" s="137"/>
      <c r="F309" s="58" t="str" cm="1">
        <f>IF(ISBLANK($A309),"",INDEX(Array_OtherEnergyCharges,MATCH($A309,List_OtherEnergyMeters,0),ROUNDUP((COLUMN()+1)/3-2,0)))</f>
        <v/>
      </c>
      <c r="G309" s="127"/>
      <c r="H309" s="137"/>
      <c r="I309" s="58" t="str" cm="1">
        <f>IF(ISBLANK($A309),"",INDEX(Array_OtherEnergyCharges,MATCH($A309,List_OtherEnergyMeters,0),ROUNDUP((COLUMN()+1)/3-2,0)))</f>
        <v/>
      </c>
      <c r="J309" s="127"/>
      <c r="K309" s="137"/>
      <c r="L309" s="58" t="str" cm="1">
        <f>IF(ISBLANK($A309),"",INDEX(Array_OtherEnergyCharges,MATCH($A309,List_OtherEnergyMeters,0),ROUNDUP((COLUMN()+1)/3-2,0)))</f>
        <v/>
      </c>
      <c r="M309" s="127"/>
      <c r="N309" s="137"/>
      <c r="O309" s="58" t="str" cm="1">
        <f>IF(ISBLANK($A309),"",INDEX(Array_OtherEnergyCharges,MATCH($A309,List_OtherEnergyMeters,0),ROUNDUP((COLUMN()+1)/3-2,0)))</f>
        <v/>
      </c>
      <c r="P309" s="127"/>
      <c r="Q309" s="137"/>
      <c r="R309" s="58" t="str" cm="1">
        <f>IF(ISBLANK($A309),"",INDEX(Array_OtherEnergyCharges,MATCH($A309,List_OtherEnergyMeters,0),ROUNDUP((COLUMN()+1)/3-2,0)))</f>
        <v/>
      </c>
      <c r="S309" s="127"/>
      <c r="T309" s="137"/>
    </row>
    <row r="310" spans="1:20" x14ac:dyDescent="0.3">
      <c r="A310" s="126"/>
      <c r="B310" s="133"/>
      <c r="C310" s="127"/>
      <c r="D310" s="138"/>
      <c r="E310" s="137"/>
      <c r="F310" s="58" t="str" cm="1">
        <f>IF(ISBLANK($A310),"",INDEX(Array_OtherEnergyCharges,MATCH($A310,List_OtherEnergyMeters,0),ROUNDUP((COLUMN()+1)/3-2,0)))</f>
        <v/>
      </c>
      <c r="G310" s="127"/>
      <c r="H310" s="137"/>
      <c r="I310" s="58" t="str" cm="1">
        <f>IF(ISBLANK($A310),"",INDEX(Array_OtherEnergyCharges,MATCH($A310,List_OtherEnergyMeters,0),ROUNDUP((COLUMN()+1)/3-2,0)))</f>
        <v/>
      </c>
      <c r="J310" s="127"/>
      <c r="K310" s="137"/>
      <c r="L310" s="58" t="str" cm="1">
        <f>IF(ISBLANK($A310),"",INDEX(Array_OtherEnergyCharges,MATCH($A310,List_OtherEnergyMeters,0),ROUNDUP((COLUMN()+1)/3-2,0)))</f>
        <v/>
      </c>
      <c r="M310" s="127"/>
      <c r="N310" s="137"/>
      <c r="O310" s="58" t="str" cm="1">
        <f>IF(ISBLANK($A310),"",INDEX(Array_OtherEnergyCharges,MATCH($A310,List_OtherEnergyMeters,0),ROUNDUP((COLUMN()+1)/3-2,0)))</f>
        <v/>
      </c>
      <c r="P310" s="127"/>
      <c r="Q310" s="137"/>
      <c r="R310" s="58" t="str" cm="1">
        <f>IF(ISBLANK($A310),"",INDEX(Array_OtherEnergyCharges,MATCH($A310,List_OtherEnergyMeters,0),ROUNDUP((COLUMN()+1)/3-2,0)))</f>
        <v/>
      </c>
      <c r="S310" s="127"/>
      <c r="T310" s="137"/>
    </row>
    <row r="311" spans="1:20" x14ac:dyDescent="0.3">
      <c r="A311" s="126"/>
      <c r="B311" s="133"/>
      <c r="C311" s="127"/>
      <c r="D311" s="138"/>
      <c r="E311" s="137"/>
      <c r="F311" s="58" t="str" cm="1">
        <f>IF(ISBLANK($A311),"",INDEX(Array_OtherEnergyCharges,MATCH($A311,List_OtherEnergyMeters,0),ROUNDUP((COLUMN()+1)/3-2,0)))</f>
        <v/>
      </c>
      <c r="G311" s="127"/>
      <c r="H311" s="137"/>
      <c r="I311" s="58" t="str" cm="1">
        <f>IF(ISBLANK($A311),"",INDEX(Array_OtherEnergyCharges,MATCH($A311,List_OtherEnergyMeters,0),ROUNDUP((COLUMN()+1)/3-2,0)))</f>
        <v/>
      </c>
      <c r="J311" s="127"/>
      <c r="K311" s="137"/>
      <c r="L311" s="58" t="str" cm="1">
        <f>IF(ISBLANK($A311),"",INDEX(Array_OtherEnergyCharges,MATCH($A311,List_OtherEnergyMeters,0),ROUNDUP((COLUMN()+1)/3-2,0)))</f>
        <v/>
      </c>
      <c r="M311" s="127"/>
      <c r="N311" s="137"/>
      <c r="O311" s="58" t="str" cm="1">
        <f>IF(ISBLANK($A311),"",INDEX(Array_OtherEnergyCharges,MATCH($A311,List_OtherEnergyMeters,0),ROUNDUP((COLUMN()+1)/3-2,0)))</f>
        <v/>
      </c>
      <c r="P311" s="127"/>
      <c r="Q311" s="137"/>
      <c r="R311" s="58" t="str" cm="1">
        <f>IF(ISBLANK($A311),"",INDEX(Array_OtherEnergyCharges,MATCH($A311,List_OtherEnergyMeters,0),ROUNDUP((COLUMN()+1)/3-2,0)))</f>
        <v/>
      </c>
      <c r="S311" s="127"/>
      <c r="T311" s="137"/>
    </row>
    <row r="312" spans="1:20" x14ac:dyDescent="0.3">
      <c r="A312" s="126"/>
      <c r="B312" s="133"/>
      <c r="C312" s="127"/>
      <c r="D312" s="138"/>
      <c r="E312" s="137"/>
      <c r="F312" s="58" t="str" cm="1">
        <f>IF(ISBLANK($A312),"",INDEX(Array_OtherEnergyCharges,MATCH($A312,List_OtherEnergyMeters,0),ROUNDUP((COLUMN()+1)/3-2,0)))</f>
        <v/>
      </c>
      <c r="G312" s="127"/>
      <c r="H312" s="137"/>
      <c r="I312" s="58" t="str" cm="1">
        <f>IF(ISBLANK($A312),"",INDEX(Array_OtherEnergyCharges,MATCH($A312,List_OtherEnergyMeters,0),ROUNDUP((COLUMN()+1)/3-2,0)))</f>
        <v/>
      </c>
      <c r="J312" s="127"/>
      <c r="K312" s="137"/>
      <c r="L312" s="58" t="str" cm="1">
        <f>IF(ISBLANK($A312),"",INDEX(Array_OtherEnergyCharges,MATCH($A312,List_OtherEnergyMeters,0),ROUNDUP((COLUMN()+1)/3-2,0)))</f>
        <v/>
      </c>
      <c r="M312" s="127"/>
      <c r="N312" s="137"/>
      <c r="O312" s="58" t="str" cm="1">
        <f>IF(ISBLANK($A312),"",INDEX(Array_OtherEnergyCharges,MATCH($A312,List_OtherEnergyMeters,0),ROUNDUP((COLUMN()+1)/3-2,0)))</f>
        <v/>
      </c>
      <c r="P312" s="127"/>
      <c r="Q312" s="137"/>
      <c r="R312" s="58" t="str" cm="1">
        <f>IF(ISBLANK($A312),"",INDEX(Array_OtherEnergyCharges,MATCH($A312,List_OtherEnergyMeters,0),ROUNDUP((COLUMN()+1)/3-2,0)))</f>
        <v/>
      </c>
      <c r="S312" s="127"/>
      <c r="T312" s="137"/>
    </row>
    <row r="313" spans="1:20" x14ac:dyDescent="0.3">
      <c r="A313" s="126"/>
      <c r="B313" s="133"/>
      <c r="C313" s="127"/>
      <c r="D313" s="138"/>
      <c r="E313" s="137"/>
      <c r="F313" s="58" t="str" cm="1">
        <f>IF(ISBLANK($A313),"",INDEX(Array_OtherEnergyCharges,MATCH($A313,List_OtherEnergyMeters,0),ROUNDUP((COLUMN()+1)/3-2,0)))</f>
        <v/>
      </c>
      <c r="G313" s="127"/>
      <c r="H313" s="137"/>
      <c r="I313" s="58" t="str" cm="1">
        <f>IF(ISBLANK($A313),"",INDEX(Array_OtherEnergyCharges,MATCH($A313,List_OtherEnergyMeters,0),ROUNDUP((COLUMN()+1)/3-2,0)))</f>
        <v/>
      </c>
      <c r="J313" s="127"/>
      <c r="K313" s="137"/>
      <c r="L313" s="58" t="str" cm="1">
        <f>IF(ISBLANK($A313),"",INDEX(Array_OtherEnergyCharges,MATCH($A313,List_OtherEnergyMeters,0),ROUNDUP((COLUMN()+1)/3-2,0)))</f>
        <v/>
      </c>
      <c r="M313" s="127"/>
      <c r="N313" s="137"/>
      <c r="O313" s="58" t="str" cm="1">
        <f>IF(ISBLANK($A313),"",INDEX(Array_OtherEnergyCharges,MATCH($A313,List_OtherEnergyMeters,0),ROUNDUP((COLUMN()+1)/3-2,0)))</f>
        <v/>
      </c>
      <c r="P313" s="127"/>
      <c r="Q313" s="137"/>
      <c r="R313" s="58" t="str" cm="1">
        <f>IF(ISBLANK($A313),"",INDEX(Array_OtherEnergyCharges,MATCH($A313,List_OtherEnergyMeters,0),ROUNDUP((COLUMN()+1)/3-2,0)))</f>
        <v/>
      </c>
      <c r="S313" s="127"/>
      <c r="T313" s="137"/>
    </row>
    <row r="314" spans="1:20" x14ac:dyDescent="0.3">
      <c r="A314" s="126"/>
      <c r="B314" s="133"/>
      <c r="C314" s="127"/>
      <c r="D314" s="138"/>
      <c r="E314" s="137"/>
      <c r="F314" s="58" t="str" cm="1">
        <f>IF(ISBLANK($A314),"",INDEX(Array_OtherEnergyCharges,MATCH($A314,List_OtherEnergyMeters,0),ROUNDUP((COLUMN()+1)/3-2,0)))</f>
        <v/>
      </c>
      <c r="G314" s="127"/>
      <c r="H314" s="137"/>
      <c r="I314" s="58" t="str" cm="1">
        <f>IF(ISBLANK($A314),"",INDEX(Array_OtherEnergyCharges,MATCH($A314,List_OtherEnergyMeters,0),ROUNDUP((COLUMN()+1)/3-2,0)))</f>
        <v/>
      </c>
      <c r="J314" s="127"/>
      <c r="K314" s="137"/>
      <c r="L314" s="58" t="str" cm="1">
        <f>IF(ISBLANK($A314),"",INDEX(Array_OtherEnergyCharges,MATCH($A314,List_OtherEnergyMeters,0),ROUNDUP((COLUMN()+1)/3-2,0)))</f>
        <v/>
      </c>
      <c r="M314" s="127"/>
      <c r="N314" s="137"/>
      <c r="O314" s="58" t="str" cm="1">
        <f>IF(ISBLANK($A314),"",INDEX(Array_OtherEnergyCharges,MATCH($A314,List_OtherEnergyMeters,0),ROUNDUP((COLUMN()+1)/3-2,0)))</f>
        <v/>
      </c>
      <c r="P314" s="127"/>
      <c r="Q314" s="137"/>
      <c r="R314" s="58" t="str" cm="1">
        <f>IF(ISBLANK($A314),"",INDEX(Array_OtherEnergyCharges,MATCH($A314,List_OtherEnergyMeters,0),ROUNDUP((COLUMN()+1)/3-2,0)))</f>
        <v/>
      </c>
      <c r="S314" s="127"/>
      <c r="T314" s="137"/>
    </row>
    <row r="315" spans="1:20" x14ac:dyDescent="0.3">
      <c r="A315" s="126"/>
      <c r="B315" s="133"/>
      <c r="C315" s="127"/>
      <c r="D315" s="138"/>
      <c r="E315" s="137"/>
      <c r="F315" s="58" t="str" cm="1">
        <f>IF(ISBLANK($A315),"",INDEX(Array_OtherEnergyCharges,MATCH($A315,List_OtherEnergyMeters,0),ROUNDUP((COLUMN()+1)/3-2,0)))</f>
        <v/>
      </c>
      <c r="G315" s="127"/>
      <c r="H315" s="137"/>
      <c r="I315" s="58" t="str" cm="1">
        <f>IF(ISBLANK($A315),"",INDEX(Array_OtherEnergyCharges,MATCH($A315,List_OtherEnergyMeters,0),ROUNDUP((COLUMN()+1)/3-2,0)))</f>
        <v/>
      </c>
      <c r="J315" s="127"/>
      <c r="K315" s="137"/>
      <c r="L315" s="58" t="str" cm="1">
        <f>IF(ISBLANK($A315),"",INDEX(Array_OtherEnergyCharges,MATCH($A315,List_OtherEnergyMeters,0),ROUNDUP((COLUMN()+1)/3-2,0)))</f>
        <v/>
      </c>
      <c r="M315" s="127"/>
      <c r="N315" s="137"/>
      <c r="O315" s="58" t="str" cm="1">
        <f>IF(ISBLANK($A315),"",INDEX(Array_OtherEnergyCharges,MATCH($A315,List_OtherEnergyMeters,0),ROUNDUP((COLUMN()+1)/3-2,0)))</f>
        <v/>
      </c>
      <c r="P315" s="127"/>
      <c r="Q315" s="137"/>
      <c r="R315" s="58" t="str" cm="1">
        <f>IF(ISBLANK($A315),"",INDEX(Array_OtherEnergyCharges,MATCH($A315,List_OtherEnergyMeters,0),ROUNDUP((COLUMN()+1)/3-2,0)))</f>
        <v/>
      </c>
      <c r="S315" s="127"/>
      <c r="T315" s="137"/>
    </row>
    <row r="316" spans="1:20" x14ac:dyDescent="0.3">
      <c r="A316" s="126"/>
      <c r="B316" s="133"/>
      <c r="C316" s="127"/>
      <c r="D316" s="138"/>
      <c r="E316" s="137"/>
      <c r="F316" s="58" t="str" cm="1">
        <f>IF(ISBLANK($A316),"",INDEX(Array_OtherEnergyCharges,MATCH($A316,List_OtherEnergyMeters,0),ROUNDUP((COLUMN()+1)/3-2,0)))</f>
        <v/>
      </c>
      <c r="G316" s="127"/>
      <c r="H316" s="137"/>
      <c r="I316" s="58" t="str" cm="1">
        <f>IF(ISBLANK($A316),"",INDEX(Array_OtherEnergyCharges,MATCH($A316,List_OtherEnergyMeters,0),ROUNDUP((COLUMN()+1)/3-2,0)))</f>
        <v/>
      </c>
      <c r="J316" s="127"/>
      <c r="K316" s="137"/>
      <c r="L316" s="58" t="str" cm="1">
        <f>IF(ISBLANK($A316),"",INDEX(Array_OtherEnergyCharges,MATCH($A316,List_OtherEnergyMeters,0),ROUNDUP((COLUMN()+1)/3-2,0)))</f>
        <v/>
      </c>
      <c r="M316" s="127"/>
      <c r="N316" s="137"/>
      <c r="O316" s="58" t="str" cm="1">
        <f>IF(ISBLANK($A316),"",INDEX(Array_OtherEnergyCharges,MATCH($A316,List_OtherEnergyMeters,0),ROUNDUP((COLUMN()+1)/3-2,0)))</f>
        <v/>
      </c>
      <c r="P316" s="127"/>
      <c r="Q316" s="137"/>
      <c r="R316" s="58" t="str" cm="1">
        <f>IF(ISBLANK($A316),"",INDEX(Array_OtherEnergyCharges,MATCH($A316,List_OtherEnergyMeters,0),ROUNDUP((COLUMN()+1)/3-2,0)))</f>
        <v/>
      </c>
      <c r="S316" s="127"/>
      <c r="T316" s="137"/>
    </row>
    <row r="317" spans="1:20" x14ac:dyDescent="0.3">
      <c r="A317" s="126"/>
      <c r="B317" s="133"/>
      <c r="C317" s="127"/>
      <c r="D317" s="138"/>
      <c r="E317" s="137"/>
      <c r="F317" s="58" t="str" cm="1">
        <f>IF(ISBLANK($A317),"",INDEX(Array_OtherEnergyCharges,MATCH($A317,List_OtherEnergyMeters,0),ROUNDUP((COLUMN()+1)/3-2,0)))</f>
        <v/>
      </c>
      <c r="G317" s="127"/>
      <c r="H317" s="137"/>
      <c r="I317" s="58" t="str" cm="1">
        <f>IF(ISBLANK($A317),"",INDEX(Array_OtherEnergyCharges,MATCH($A317,List_OtherEnergyMeters,0),ROUNDUP((COLUMN()+1)/3-2,0)))</f>
        <v/>
      </c>
      <c r="J317" s="127"/>
      <c r="K317" s="137"/>
      <c r="L317" s="58" t="str" cm="1">
        <f>IF(ISBLANK($A317),"",INDEX(Array_OtherEnergyCharges,MATCH($A317,List_OtherEnergyMeters,0),ROUNDUP((COLUMN()+1)/3-2,0)))</f>
        <v/>
      </c>
      <c r="M317" s="127"/>
      <c r="N317" s="137"/>
      <c r="O317" s="58" t="str" cm="1">
        <f>IF(ISBLANK($A317),"",INDEX(Array_OtherEnergyCharges,MATCH($A317,List_OtherEnergyMeters,0),ROUNDUP((COLUMN()+1)/3-2,0)))</f>
        <v/>
      </c>
      <c r="P317" s="127"/>
      <c r="Q317" s="137"/>
      <c r="R317" s="58" t="str" cm="1">
        <f>IF(ISBLANK($A317),"",INDEX(Array_OtherEnergyCharges,MATCH($A317,List_OtherEnergyMeters,0),ROUNDUP((COLUMN()+1)/3-2,0)))</f>
        <v/>
      </c>
      <c r="S317" s="127"/>
      <c r="T317" s="137"/>
    </row>
    <row r="318" spans="1:20" x14ac:dyDescent="0.3">
      <c r="A318" s="126"/>
      <c r="B318" s="133"/>
      <c r="C318" s="127"/>
      <c r="D318" s="138"/>
      <c r="E318" s="137"/>
      <c r="F318" s="58" t="str" cm="1">
        <f>IF(ISBLANK($A318),"",INDEX(Array_OtherEnergyCharges,MATCH($A318,List_OtherEnergyMeters,0),ROUNDUP((COLUMN()+1)/3-2,0)))</f>
        <v/>
      </c>
      <c r="G318" s="127"/>
      <c r="H318" s="137"/>
      <c r="I318" s="58" t="str" cm="1">
        <f>IF(ISBLANK($A318),"",INDEX(Array_OtherEnergyCharges,MATCH($A318,List_OtherEnergyMeters,0),ROUNDUP((COLUMN()+1)/3-2,0)))</f>
        <v/>
      </c>
      <c r="J318" s="127"/>
      <c r="K318" s="137"/>
      <c r="L318" s="58" t="str" cm="1">
        <f>IF(ISBLANK($A318),"",INDEX(Array_OtherEnergyCharges,MATCH($A318,List_OtherEnergyMeters,0),ROUNDUP((COLUMN()+1)/3-2,0)))</f>
        <v/>
      </c>
      <c r="M318" s="127"/>
      <c r="N318" s="137"/>
      <c r="O318" s="58" t="str" cm="1">
        <f>IF(ISBLANK($A318),"",INDEX(Array_OtherEnergyCharges,MATCH($A318,List_OtherEnergyMeters,0),ROUNDUP((COLUMN()+1)/3-2,0)))</f>
        <v/>
      </c>
      <c r="P318" s="127"/>
      <c r="Q318" s="137"/>
      <c r="R318" s="58" t="str" cm="1">
        <f>IF(ISBLANK($A318),"",INDEX(Array_OtherEnergyCharges,MATCH($A318,List_OtherEnergyMeters,0),ROUNDUP((COLUMN()+1)/3-2,0)))</f>
        <v/>
      </c>
      <c r="S318" s="127"/>
      <c r="T318" s="137"/>
    </row>
    <row r="319" spans="1:20" x14ac:dyDescent="0.3">
      <c r="A319" s="126"/>
      <c r="B319" s="133"/>
      <c r="C319" s="127"/>
      <c r="D319" s="138"/>
      <c r="E319" s="137"/>
      <c r="F319" s="58" t="str" cm="1">
        <f>IF(ISBLANK($A319),"",INDEX(Array_OtherEnergyCharges,MATCH($A319,List_OtherEnergyMeters,0),ROUNDUP((COLUMN()+1)/3-2,0)))</f>
        <v/>
      </c>
      <c r="G319" s="127"/>
      <c r="H319" s="137"/>
      <c r="I319" s="58" t="str" cm="1">
        <f>IF(ISBLANK($A319),"",INDEX(Array_OtherEnergyCharges,MATCH($A319,List_OtherEnergyMeters,0),ROUNDUP((COLUMN()+1)/3-2,0)))</f>
        <v/>
      </c>
      <c r="J319" s="127"/>
      <c r="K319" s="137"/>
      <c r="L319" s="58" t="str" cm="1">
        <f>IF(ISBLANK($A319),"",INDEX(Array_OtherEnergyCharges,MATCH($A319,List_OtherEnergyMeters,0),ROUNDUP((COLUMN()+1)/3-2,0)))</f>
        <v/>
      </c>
      <c r="M319" s="127"/>
      <c r="N319" s="137"/>
      <c r="O319" s="58" t="str" cm="1">
        <f>IF(ISBLANK($A319),"",INDEX(Array_OtherEnergyCharges,MATCH($A319,List_OtherEnergyMeters,0),ROUNDUP((COLUMN()+1)/3-2,0)))</f>
        <v/>
      </c>
      <c r="P319" s="127"/>
      <c r="Q319" s="137"/>
      <c r="R319" s="58" t="str" cm="1">
        <f>IF(ISBLANK($A319),"",INDEX(Array_OtherEnergyCharges,MATCH($A319,List_OtherEnergyMeters,0),ROUNDUP((COLUMN()+1)/3-2,0)))</f>
        <v/>
      </c>
      <c r="S319" s="127"/>
      <c r="T319" s="137"/>
    </row>
    <row r="320" spans="1:20" x14ac:dyDescent="0.3">
      <c r="A320" s="126"/>
      <c r="B320" s="133"/>
      <c r="C320" s="127"/>
      <c r="D320" s="138"/>
      <c r="E320" s="137"/>
      <c r="F320" s="58" t="str" cm="1">
        <f>IF(ISBLANK($A320),"",INDEX(Array_OtherEnergyCharges,MATCH($A320,List_OtherEnergyMeters,0),ROUNDUP((COLUMN()+1)/3-2,0)))</f>
        <v/>
      </c>
      <c r="G320" s="127"/>
      <c r="H320" s="137"/>
      <c r="I320" s="58" t="str" cm="1">
        <f>IF(ISBLANK($A320),"",INDEX(Array_OtherEnergyCharges,MATCH($A320,List_OtherEnergyMeters,0),ROUNDUP((COLUMN()+1)/3-2,0)))</f>
        <v/>
      </c>
      <c r="J320" s="127"/>
      <c r="K320" s="137"/>
      <c r="L320" s="58" t="str" cm="1">
        <f>IF(ISBLANK($A320),"",INDEX(Array_OtherEnergyCharges,MATCH($A320,List_OtherEnergyMeters,0),ROUNDUP((COLUMN()+1)/3-2,0)))</f>
        <v/>
      </c>
      <c r="M320" s="127"/>
      <c r="N320" s="137"/>
      <c r="O320" s="58" t="str" cm="1">
        <f>IF(ISBLANK($A320),"",INDEX(Array_OtherEnergyCharges,MATCH($A320,List_OtherEnergyMeters,0),ROUNDUP((COLUMN()+1)/3-2,0)))</f>
        <v/>
      </c>
      <c r="P320" s="127"/>
      <c r="Q320" s="137"/>
      <c r="R320" s="58" t="str" cm="1">
        <f>IF(ISBLANK($A320),"",INDEX(Array_OtherEnergyCharges,MATCH($A320,List_OtherEnergyMeters,0),ROUNDUP((COLUMN()+1)/3-2,0)))</f>
        <v/>
      </c>
      <c r="S320" s="127"/>
      <c r="T320" s="137"/>
    </row>
    <row r="321" spans="1:20" x14ac:dyDescent="0.3">
      <c r="A321" s="126"/>
      <c r="B321" s="133"/>
      <c r="C321" s="127"/>
      <c r="D321" s="138"/>
      <c r="E321" s="137"/>
      <c r="F321" s="58" t="str" cm="1">
        <f>IF(ISBLANK($A321),"",INDEX(Array_OtherEnergyCharges,MATCH($A321,List_OtherEnergyMeters,0),ROUNDUP((COLUMN()+1)/3-2,0)))</f>
        <v/>
      </c>
      <c r="G321" s="127"/>
      <c r="H321" s="137"/>
      <c r="I321" s="58" t="str" cm="1">
        <f>IF(ISBLANK($A321),"",INDEX(Array_OtherEnergyCharges,MATCH($A321,List_OtherEnergyMeters,0),ROUNDUP((COLUMN()+1)/3-2,0)))</f>
        <v/>
      </c>
      <c r="J321" s="127"/>
      <c r="K321" s="137"/>
      <c r="L321" s="58" t="str" cm="1">
        <f>IF(ISBLANK($A321),"",INDEX(Array_OtherEnergyCharges,MATCH($A321,List_OtherEnergyMeters,0),ROUNDUP((COLUMN()+1)/3-2,0)))</f>
        <v/>
      </c>
      <c r="M321" s="127"/>
      <c r="N321" s="137"/>
      <c r="O321" s="58" t="str" cm="1">
        <f>IF(ISBLANK($A321),"",INDEX(Array_OtherEnergyCharges,MATCH($A321,List_OtherEnergyMeters,0),ROUNDUP((COLUMN()+1)/3-2,0)))</f>
        <v/>
      </c>
      <c r="P321" s="127"/>
      <c r="Q321" s="137"/>
      <c r="R321" s="58" t="str" cm="1">
        <f>IF(ISBLANK($A321),"",INDEX(Array_OtherEnergyCharges,MATCH($A321,List_OtherEnergyMeters,0),ROUNDUP((COLUMN()+1)/3-2,0)))</f>
        <v/>
      </c>
      <c r="S321" s="127"/>
      <c r="T321" s="137"/>
    </row>
    <row r="322" spans="1:20" x14ac:dyDescent="0.3">
      <c r="A322" s="126"/>
      <c r="B322" s="133"/>
      <c r="C322" s="127"/>
      <c r="D322" s="138"/>
      <c r="E322" s="137"/>
      <c r="F322" s="58" t="str" cm="1">
        <f>IF(ISBLANK($A322),"",INDEX(Array_OtherEnergyCharges,MATCH($A322,List_OtherEnergyMeters,0),ROUNDUP((COLUMN()+1)/3-2,0)))</f>
        <v/>
      </c>
      <c r="G322" s="127"/>
      <c r="H322" s="137"/>
      <c r="I322" s="58" t="str" cm="1">
        <f>IF(ISBLANK($A322),"",INDEX(Array_OtherEnergyCharges,MATCH($A322,List_OtherEnergyMeters,0),ROUNDUP((COLUMN()+1)/3-2,0)))</f>
        <v/>
      </c>
      <c r="J322" s="127"/>
      <c r="K322" s="137"/>
      <c r="L322" s="58" t="str" cm="1">
        <f>IF(ISBLANK($A322),"",INDEX(Array_OtherEnergyCharges,MATCH($A322,List_OtherEnergyMeters,0),ROUNDUP((COLUMN()+1)/3-2,0)))</f>
        <v/>
      </c>
      <c r="M322" s="127"/>
      <c r="N322" s="137"/>
      <c r="O322" s="58" t="str" cm="1">
        <f>IF(ISBLANK($A322),"",INDEX(Array_OtherEnergyCharges,MATCH($A322,List_OtherEnergyMeters,0),ROUNDUP((COLUMN()+1)/3-2,0)))</f>
        <v/>
      </c>
      <c r="P322" s="127"/>
      <c r="Q322" s="137"/>
      <c r="R322" s="58" t="str" cm="1">
        <f>IF(ISBLANK($A322),"",INDEX(Array_OtherEnergyCharges,MATCH($A322,List_OtherEnergyMeters,0),ROUNDUP((COLUMN()+1)/3-2,0)))</f>
        <v/>
      </c>
      <c r="S322" s="127"/>
      <c r="T322" s="137"/>
    </row>
    <row r="323" spans="1:20" x14ac:dyDescent="0.3">
      <c r="A323" s="126"/>
      <c r="B323" s="133"/>
      <c r="C323" s="127"/>
      <c r="D323" s="138"/>
      <c r="E323" s="137"/>
      <c r="F323" s="58" t="str" cm="1">
        <f>IF(ISBLANK($A323),"",INDEX(Array_OtherEnergyCharges,MATCH($A323,List_OtherEnergyMeters,0),ROUNDUP((COLUMN()+1)/3-2,0)))</f>
        <v/>
      </c>
      <c r="G323" s="127"/>
      <c r="H323" s="137"/>
      <c r="I323" s="58" t="str" cm="1">
        <f>IF(ISBLANK($A323),"",INDEX(Array_OtherEnergyCharges,MATCH($A323,List_OtherEnergyMeters,0),ROUNDUP((COLUMN()+1)/3-2,0)))</f>
        <v/>
      </c>
      <c r="J323" s="127"/>
      <c r="K323" s="137"/>
      <c r="L323" s="58" t="str" cm="1">
        <f>IF(ISBLANK($A323),"",INDEX(Array_OtherEnergyCharges,MATCH($A323,List_OtherEnergyMeters,0),ROUNDUP((COLUMN()+1)/3-2,0)))</f>
        <v/>
      </c>
      <c r="M323" s="127"/>
      <c r="N323" s="137"/>
      <c r="O323" s="58" t="str" cm="1">
        <f>IF(ISBLANK($A323),"",INDEX(Array_OtherEnergyCharges,MATCH($A323,List_OtherEnergyMeters,0),ROUNDUP((COLUMN()+1)/3-2,0)))</f>
        <v/>
      </c>
      <c r="P323" s="127"/>
      <c r="Q323" s="137"/>
      <c r="R323" s="58" t="str" cm="1">
        <f>IF(ISBLANK($A323),"",INDEX(Array_OtherEnergyCharges,MATCH($A323,List_OtherEnergyMeters,0),ROUNDUP((COLUMN()+1)/3-2,0)))</f>
        <v/>
      </c>
      <c r="S323" s="127"/>
      <c r="T323" s="137"/>
    </row>
    <row r="324" spans="1:20" x14ac:dyDescent="0.3">
      <c r="A324" s="126"/>
      <c r="B324" s="133"/>
      <c r="C324" s="127"/>
      <c r="D324" s="138"/>
      <c r="E324" s="137"/>
      <c r="F324" s="58" t="str" cm="1">
        <f>IF(ISBLANK($A324),"",INDEX(Array_OtherEnergyCharges,MATCH($A324,List_OtherEnergyMeters,0),ROUNDUP((COLUMN()+1)/3-2,0)))</f>
        <v/>
      </c>
      <c r="G324" s="127"/>
      <c r="H324" s="137"/>
      <c r="I324" s="58" t="str" cm="1">
        <f>IF(ISBLANK($A324),"",INDEX(Array_OtherEnergyCharges,MATCH($A324,List_OtherEnergyMeters,0),ROUNDUP((COLUMN()+1)/3-2,0)))</f>
        <v/>
      </c>
      <c r="J324" s="127"/>
      <c r="K324" s="137"/>
      <c r="L324" s="58" t="str" cm="1">
        <f>IF(ISBLANK($A324),"",INDEX(Array_OtherEnergyCharges,MATCH($A324,List_OtherEnergyMeters,0),ROUNDUP((COLUMN()+1)/3-2,0)))</f>
        <v/>
      </c>
      <c r="M324" s="127"/>
      <c r="N324" s="137"/>
      <c r="O324" s="58" t="str" cm="1">
        <f>IF(ISBLANK($A324),"",INDEX(Array_OtherEnergyCharges,MATCH($A324,List_OtherEnergyMeters,0),ROUNDUP((COLUMN()+1)/3-2,0)))</f>
        <v/>
      </c>
      <c r="P324" s="127"/>
      <c r="Q324" s="137"/>
      <c r="R324" s="58" t="str" cm="1">
        <f>IF(ISBLANK($A324),"",INDEX(Array_OtherEnergyCharges,MATCH($A324,List_OtherEnergyMeters,0),ROUNDUP((COLUMN()+1)/3-2,0)))</f>
        <v/>
      </c>
      <c r="S324" s="127"/>
      <c r="T324" s="137"/>
    </row>
    <row r="325" spans="1:20" x14ac:dyDescent="0.3">
      <c r="A325" s="126"/>
      <c r="B325" s="133"/>
      <c r="C325" s="127"/>
      <c r="D325" s="138"/>
      <c r="E325" s="137"/>
      <c r="F325" s="58" t="str" cm="1">
        <f>IF(ISBLANK($A325),"",INDEX(Array_OtherEnergyCharges,MATCH($A325,List_OtherEnergyMeters,0),ROUNDUP((COLUMN()+1)/3-2,0)))</f>
        <v/>
      </c>
      <c r="G325" s="127"/>
      <c r="H325" s="137"/>
      <c r="I325" s="58" t="str" cm="1">
        <f>IF(ISBLANK($A325),"",INDEX(Array_OtherEnergyCharges,MATCH($A325,List_OtherEnergyMeters,0),ROUNDUP((COLUMN()+1)/3-2,0)))</f>
        <v/>
      </c>
      <c r="J325" s="127"/>
      <c r="K325" s="137"/>
      <c r="L325" s="58" t="str" cm="1">
        <f>IF(ISBLANK($A325),"",INDEX(Array_OtherEnergyCharges,MATCH($A325,List_OtherEnergyMeters,0),ROUNDUP((COLUMN()+1)/3-2,0)))</f>
        <v/>
      </c>
      <c r="M325" s="127"/>
      <c r="N325" s="137"/>
      <c r="O325" s="58" t="str" cm="1">
        <f>IF(ISBLANK($A325),"",INDEX(Array_OtherEnergyCharges,MATCH($A325,List_OtherEnergyMeters,0),ROUNDUP((COLUMN()+1)/3-2,0)))</f>
        <v/>
      </c>
      <c r="P325" s="127"/>
      <c r="Q325" s="137"/>
      <c r="R325" s="58" t="str" cm="1">
        <f>IF(ISBLANK($A325),"",INDEX(Array_OtherEnergyCharges,MATCH($A325,List_OtherEnergyMeters,0),ROUNDUP((COLUMN()+1)/3-2,0)))</f>
        <v/>
      </c>
      <c r="S325" s="127"/>
      <c r="T325" s="137"/>
    </row>
    <row r="326" spans="1:20" x14ac:dyDescent="0.3">
      <c r="A326" s="126"/>
      <c r="B326" s="133"/>
      <c r="C326" s="127"/>
      <c r="D326" s="138"/>
      <c r="E326" s="137"/>
      <c r="F326" s="58" t="str" cm="1">
        <f>IF(ISBLANK($A326),"",INDEX(Array_OtherEnergyCharges,MATCH($A326,List_OtherEnergyMeters,0),ROUNDUP((COLUMN()+1)/3-2,0)))</f>
        <v/>
      </c>
      <c r="G326" s="127"/>
      <c r="H326" s="137"/>
      <c r="I326" s="58" t="str" cm="1">
        <f>IF(ISBLANK($A326),"",INDEX(Array_OtherEnergyCharges,MATCH($A326,List_OtherEnergyMeters,0),ROUNDUP((COLUMN()+1)/3-2,0)))</f>
        <v/>
      </c>
      <c r="J326" s="127"/>
      <c r="K326" s="137"/>
      <c r="L326" s="58" t="str" cm="1">
        <f>IF(ISBLANK($A326),"",INDEX(Array_OtherEnergyCharges,MATCH($A326,List_OtherEnergyMeters,0),ROUNDUP((COLUMN()+1)/3-2,0)))</f>
        <v/>
      </c>
      <c r="M326" s="127"/>
      <c r="N326" s="137"/>
      <c r="O326" s="58" t="str" cm="1">
        <f>IF(ISBLANK($A326),"",INDEX(Array_OtherEnergyCharges,MATCH($A326,List_OtherEnergyMeters,0),ROUNDUP((COLUMN()+1)/3-2,0)))</f>
        <v/>
      </c>
      <c r="P326" s="127"/>
      <c r="Q326" s="137"/>
      <c r="R326" s="58" t="str" cm="1">
        <f>IF(ISBLANK($A326),"",INDEX(Array_OtherEnergyCharges,MATCH($A326,List_OtherEnergyMeters,0),ROUNDUP((COLUMN()+1)/3-2,0)))</f>
        <v/>
      </c>
      <c r="S326" s="127"/>
      <c r="T326" s="137"/>
    </row>
    <row r="327" spans="1:20" x14ac:dyDescent="0.3">
      <c r="A327" s="126"/>
      <c r="B327" s="133"/>
      <c r="C327" s="127"/>
      <c r="D327" s="138"/>
      <c r="E327" s="137"/>
      <c r="F327" s="58" t="str" cm="1">
        <f>IF(ISBLANK($A327),"",INDEX(Array_OtherEnergyCharges,MATCH($A327,List_OtherEnergyMeters,0),ROUNDUP((COLUMN()+1)/3-2,0)))</f>
        <v/>
      </c>
      <c r="G327" s="127"/>
      <c r="H327" s="137"/>
      <c r="I327" s="58" t="str" cm="1">
        <f>IF(ISBLANK($A327),"",INDEX(Array_OtherEnergyCharges,MATCH($A327,List_OtherEnergyMeters,0),ROUNDUP((COLUMN()+1)/3-2,0)))</f>
        <v/>
      </c>
      <c r="J327" s="127"/>
      <c r="K327" s="137"/>
      <c r="L327" s="58" t="str" cm="1">
        <f>IF(ISBLANK($A327),"",INDEX(Array_OtherEnergyCharges,MATCH($A327,List_OtherEnergyMeters,0),ROUNDUP((COLUMN()+1)/3-2,0)))</f>
        <v/>
      </c>
      <c r="M327" s="127"/>
      <c r="N327" s="137"/>
      <c r="O327" s="58" t="str" cm="1">
        <f>IF(ISBLANK($A327),"",INDEX(Array_OtherEnergyCharges,MATCH($A327,List_OtherEnergyMeters,0),ROUNDUP((COLUMN()+1)/3-2,0)))</f>
        <v/>
      </c>
      <c r="P327" s="127"/>
      <c r="Q327" s="137"/>
      <c r="R327" s="58" t="str" cm="1">
        <f>IF(ISBLANK($A327),"",INDEX(Array_OtherEnergyCharges,MATCH($A327,List_OtherEnergyMeters,0),ROUNDUP((COLUMN()+1)/3-2,0)))</f>
        <v/>
      </c>
      <c r="S327" s="127"/>
      <c r="T327" s="137"/>
    </row>
    <row r="328" spans="1:20" x14ac:dyDescent="0.3">
      <c r="A328" s="126"/>
      <c r="B328" s="133"/>
      <c r="C328" s="127"/>
      <c r="D328" s="138"/>
      <c r="E328" s="137"/>
      <c r="F328" s="58" t="str" cm="1">
        <f>IF(ISBLANK($A328),"",INDEX(Array_OtherEnergyCharges,MATCH($A328,List_OtherEnergyMeters,0),ROUNDUP((COLUMN()+1)/3-2,0)))</f>
        <v/>
      </c>
      <c r="G328" s="127"/>
      <c r="H328" s="137"/>
      <c r="I328" s="58" t="str" cm="1">
        <f>IF(ISBLANK($A328),"",INDEX(Array_OtherEnergyCharges,MATCH($A328,List_OtherEnergyMeters,0),ROUNDUP((COLUMN()+1)/3-2,0)))</f>
        <v/>
      </c>
      <c r="J328" s="127"/>
      <c r="K328" s="137"/>
      <c r="L328" s="58" t="str" cm="1">
        <f>IF(ISBLANK($A328),"",INDEX(Array_OtherEnergyCharges,MATCH($A328,List_OtherEnergyMeters,0),ROUNDUP((COLUMN()+1)/3-2,0)))</f>
        <v/>
      </c>
      <c r="M328" s="127"/>
      <c r="N328" s="137"/>
      <c r="O328" s="58" t="str" cm="1">
        <f>IF(ISBLANK($A328),"",INDEX(Array_OtherEnergyCharges,MATCH($A328,List_OtherEnergyMeters,0),ROUNDUP((COLUMN()+1)/3-2,0)))</f>
        <v/>
      </c>
      <c r="P328" s="127"/>
      <c r="Q328" s="137"/>
      <c r="R328" s="58" t="str" cm="1">
        <f>IF(ISBLANK($A328),"",INDEX(Array_OtherEnergyCharges,MATCH($A328,List_OtherEnergyMeters,0),ROUNDUP((COLUMN()+1)/3-2,0)))</f>
        <v/>
      </c>
      <c r="S328" s="127"/>
      <c r="T328" s="137"/>
    </row>
    <row r="329" spans="1:20" x14ac:dyDescent="0.3">
      <c r="A329" s="126"/>
      <c r="B329" s="133"/>
      <c r="C329" s="127"/>
      <c r="D329" s="138"/>
      <c r="E329" s="137"/>
      <c r="F329" s="58" t="str" cm="1">
        <f>IF(ISBLANK($A329),"",INDEX(Array_OtherEnergyCharges,MATCH($A329,List_OtherEnergyMeters,0),ROUNDUP((COLUMN()+1)/3-2,0)))</f>
        <v/>
      </c>
      <c r="G329" s="127"/>
      <c r="H329" s="137"/>
      <c r="I329" s="58" t="str" cm="1">
        <f>IF(ISBLANK($A329),"",INDEX(Array_OtherEnergyCharges,MATCH($A329,List_OtherEnergyMeters,0),ROUNDUP((COLUMN()+1)/3-2,0)))</f>
        <v/>
      </c>
      <c r="J329" s="127"/>
      <c r="K329" s="137"/>
      <c r="L329" s="58" t="str" cm="1">
        <f>IF(ISBLANK($A329),"",INDEX(Array_OtherEnergyCharges,MATCH($A329,List_OtherEnergyMeters,0),ROUNDUP((COLUMN()+1)/3-2,0)))</f>
        <v/>
      </c>
      <c r="M329" s="127"/>
      <c r="N329" s="137"/>
      <c r="O329" s="58" t="str" cm="1">
        <f>IF(ISBLANK($A329),"",INDEX(Array_OtherEnergyCharges,MATCH($A329,List_OtherEnergyMeters,0),ROUNDUP((COLUMN()+1)/3-2,0)))</f>
        <v/>
      </c>
      <c r="P329" s="127"/>
      <c r="Q329" s="137"/>
      <c r="R329" s="58" t="str" cm="1">
        <f>IF(ISBLANK($A329),"",INDEX(Array_OtherEnergyCharges,MATCH($A329,List_OtherEnergyMeters,0),ROUNDUP((COLUMN()+1)/3-2,0)))</f>
        <v/>
      </c>
      <c r="S329" s="127"/>
      <c r="T329" s="137"/>
    </row>
    <row r="330" spans="1:20" x14ac:dyDescent="0.3">
      <c r="A330" s="126"/>
      <c r="B330" s="133"/>
      <c r="C330" s="127"/>
      <c r="D330" s="138"/>
      <c r="E330" s="137"/>
      <c r="F330" s="58" t="str" cm="1">
        <f>IF(ISBLANK($A330),"",INDEX(Array_OtherEnergyCharges,MATCH($A330,List_OtherEnergyMeters,0),ROUNDUP((COLUMN()+1)/3-2,0)))</f>
        <v/>
      </c>
      <c r="G330" s="127"/>
      <c r="H330" s="137"/>
      <c r="I330" s="58" t="str" cm="1">
        <f>IF(ISBLANK($A330),"",INDEX(Array_OtherEnergyCharges,MATCH($A330,List_OtherEnergyMeters,0),ROUNDUP((COLUMN()+1)/3-2,0)))</f>
        <v/>
      </c>
      <c r="J330" s="127"/>
      <c r="K330" s="137"/>
      <c r="L330" s="58" t="str" cm="1">
        <f>IF(ISBLANK($A330),"",INDEX(Array_OtherEnergyCharges,MATCH($A330,List_OtherEnergyMeters,0),ROUNDUP((COLUMN()+1)/3-2,0)))</f>
        <v/>
      </c>
      <c r="M330" s="127"/>
      <c r="N330" s="137"/>
      <c r="O330" s="58" t="str" cm="1">
        <f>IF(ISBLANK($A330),"",INDEX(Array_OtherEnergyCharges,MATCH($A330,List_OtherEnergyMeters,0),ROUNDUP((COLUMN()+1)/3-2,0)))</f>
        <v/>
      </c>
      <c r="P330" s="127"/>
      <c r="Q330" s="137"/>
      <c r="R330" s="58" t="str" cm="1">
        <f>IF(ISBLANK($A330),"",INDEX(Array_OtherEnergyCharges,MATCH($A330,List_OtherEnergyMeters,0),ROUNDUP((COLUMN()+1)/3-2,0)))</f>
        <v/>
      </c>
      <c r="S330" s="127"/>
      <c r="T330" s="137"/>
    </row>
    <row r="331" spans="1:20" x14ac:dyDescent="0.3">
      <c r="A331" s="126"/>
      <c r="B331" s="133"/>
      <c r="C331" s="127"/>
      <c r="D331" s="138"/>
      <c r="E331" s="137"/>
      <c r="F331" s="58" t="str" cm="1">
        <f>IF(ISBLANK($A331),"",INDEX(Array_OtherEnergyCharges,MATCH($A331,List_OtherEnergyMeters,0),ROUNDUP((COLUMN()+1)/3-2,0)))</f>
        <v/>
      </c>
      <c r="G331" s="127"/>
      <c r="H331" s="137"/>
      <c r="I331" s="58" t="str" cm="1">
        <f>IF(ISBLANK($A331),"",INDEX(Array_OtherEnergyCharges,MATCH($A331,List_OtherEnergyMeters,0),ROUNDUP((COLUMN()+1)/3-2,0)))</f>
        <v/>
      </c>
      <c r="J331" s="127"/>
      <c r="K331" s="137"/>
      <c r="L331" s="58" t="str" cm="1">
        <f>IF(ISBLANK($A331),"",INDEX(Array_OtherEnergyCharges,MATCH($A331,List_OtherEnergyMeters,0),ROUNDUP((COLUMN()+1)/3-2,0)))</f>
        <v/>
      </c>
      <c r="M331" s="127"/>
      <c r="N331" s="137"/>
      <c r="O331" s="58" t="str" cm="1">
        <f>IF(ISBLANK($A331),"",INDEX(Array_OtherEnergyCharges,MATCH($A331,List_OtherEnergyMeters,0),ROUNDUP((COLUMN()+1)/3-2,0)))</f>
        <v/>
      </c>
      <c r="P331" s="127"/>
      <c r="Q331" s="137"/>
      <c r="R331" s="58" t="str" cm="1">
        <f>IF(ISBLANK($A331),"",INDEX(Array_OtherEnergyCharges,MATCH($A331,List_OtherEnergyMeters,0),ROUNDUP((COLUMN()+1)/3-2,0)))</f>
        <v/>
      </c>
      <c r="S331" s="127"/>
      <c r="T331" s="137"/>
    </row>
    <row r="332" spans="1:20" x14ac:dyDescent="0.3">
      <c r="A332" s="126"/>
      <c r="B332" s="133"/>
      <c r="C332" s="127"/>
      <c r="D332" s="138"/>
      <c r="E332" s="137"/>
      <c r="F332" s="58" t="str" cm="1">
        <f>IF(ISBLANK($A332),"",INDEX(Array_OtherEnergyCharges,MATCH($A332,List_OtherEnergyMeters,0),ROUNDUP((COLUMN()+1)/3-2,0)))</f>
        <v/>
      </c>
      <c r="G332" s="127"/>
      <c r="H332" s="137"/>
      <c r="I332" s="58" t="str" cm="1">
        <f>IF(ISBLANK($A332),"",INDEX(Array_OtherEnergyCharges,MATCH($A332,List_OtherEnergyMeters,0),ROUNDUP((COLUMN()+1)/3-2,0)))</f>
        <v/>
      </c>
      <c r="J332" s="127"/>
      <c r="K332" s="137"/>
      <c r="L332" s="58" t="str" cm="1">
        <f>IF(ISBLANK($A332),"",INDEX(Array_OtherEnergyCharges,MATCH($A332,List_OtherEnergyMeters,0),ROUNDUP((COLUMN()+1)/3-2,0)))</f>
        <v/>
      </c>
      <c r="M332" s="127"/>
      <c r="N332" s="137"/>
      <c r="O332" s="58" t="str" cm="1">
        <f>IF(ISBLANK($A332),"",INDEX(Array_OtherEnergyCharges,MATCH($A332,List_OtherEnergyMeters,0),ROUNDUP((COLUMN()+1)/3-2,0)))</f>
        <v/>
      </c>
      <c r="P332" s="127"/>
      <c r="Q332" s="137"/>
      <c r="R332" s="58" t="str" cm="1">
        <f>IF(ISBLANK($A332),"",INDEX(Array_OtherEnergyCharges,MATCH($A332,List_OtherEnergyMeters,0),ROUNDUP((COLUMN()+1)/3-2,0)))</f>
        <v/>
      </c>
      <c r="S332" s="127"/>
      <c r="T332" s="137"/>
    </row>
    <row r="333" spans="1:20" x14ac:dyDescent="0.3">
      <c r="A333" s="126"/>
      <c r="B333" s="133"/>
      <c r="C333" s="127"/>
      <c r="D333" s="138"/>
      <c r="E333" s="137"/>
      <c r="F333" s="58" t="str" cm="1">
        <f>IF(ISBLANK($A333),"",INDEX(Array_OtherEnergyCharges,MATCH($A333,List_OtherEnergyMeters,0),ROUNDUP((COLUMN()+1)/3-2,0)))</f>
        <v/>
      </c>
      <c r="G333" s="127"/>
      <c r="H333" s="137"/>
      <c r="I333" s="58" t="str" cm="1">
        <f>IF(ISBLANK($A333),"",INDEX(Array_OtherEnergyCharges,MATCH($A333,List_OtherEnergyMeters,0),ROUNDUP((COLUMN()+1)/3-2,0)))</f>
        <v/>
      </c>
      <c r="J333" s="127"/>
      <c r="K333" s="137"/>
      <c r="L333" s="58" t="str" cm="1">
        <f>IF(ISBLANK($A333),"",INDEX(Array_OtherEnergyCharges,MATCH($A333,List_OtherEnergyMeters,0),ROUNDUP((COLUMN()+1)/3-2,0)))</f>
        <v/>
      </c>
      <c r="M333" s="127"/>
      <c r="N333" s="137"/>
      <c r="O333" s="58" t="str" cm="1">
        <f>IF(ISBLANK($A333),"",INDEX(Array_OtherEnergyCharges,MATCH($A333,List_OtherEnergyMeters,0),ROUNDUP((COLUMN()+1)/3-2,0)))</f>
        <v/>
      </c>
      <c r="P333" s="127"/>
      <c r="Q333" s="137"/>
      <c r="R333" s="58" t="str" cm="1">
        <f>IF(ISBLANK($A333),"",INDEX(Array_OtherEnergyCharges,MATCH($A333,List_OtherEnergyMeters,0),ROUNDUP((COLUMN()+1)/3-2,0)))</f>
        <v/>
      </c>
      <c r="S333" s="127"/>
      <c r="T333" s="137"/>
    </row>
    <row r="334" spans="1:20" x14ac:dyDescent="0.3">
      <c r="A334" s="126"/>
      <c r="B334" s="133"/>
      <c r="C334" s="127"/>
      <c r="D334" s="138"/>
      <c r="E334" s="137"/>
      <c r="F334" s="58" t="str" cm="1">
        <f>IF(ISBLANK($A334),"",INDEX(Array_OtherEnergyCharges,MATCH($A334,List_OtherEnergyMeters,0),ROUNDUP((COLUMN()+1)/3-2,0)))</f>
        <v/>
      </c>
      <c r="G334" s="127"/>
      <c r="H334" s="137"/>
      <c r="I334" s="58" t="str" cm="1">
        <f>IF(ISBLANK($A334),"",INDEX(Array_OtherEnergyCharges,MATCH($A334,List_OtherEnergyMeters,0),ROUNDUP((COLUMN()+1)/3-2,0)))</f>
        <v/>
      </c>
      <c r="J334" s="127"/>
      <c r="K334" s="137"/>
      <c r="L334" s="58" t="str" cm="1">
        <f>IF(ISBLANK($A334),"",INDEX(Array_OtherEnergyCharges,MATCH($A334,List_OtherEnergyMeters,0),ROUNDUP((COLUMN()+1)/3-2,0)))</f>
        <v/>
      </c>
      <c r="M334" s="127"/>
      <c r="N334" s="137"/>
      <c r="O334" s="58" t="str" cm="1">
        <f>IF(ISBLANK($A334),"",INDEX(Array_OtherEnergyCharges,MATCH($A334,List_OtherEnergyMeters,0),ROUNDUP((COLUMN()+1)/3-2,0)))</f>
        <v/>
      </c>
      <c r="P334" s="127"/>
      <c r="Q334" s="137"/>
      <c r="R334" s="58" t="str" cm="1">
        <f>IF(ISBLANK($A334),"",INDEX(Array_OtherEnergyCharges,MATCH($A334,List_OtherEnergyMeters,0),ROUNDUP((COLUMN()+1)/3-2,0)))</f>
        <v/>
      </c>
      <c r="S334" s="127"/>
      <c r="T334" s="137"/>
    </row>
    <row r="335" spans="1:20" x14ac:dyDescent="0.3">
      <c r="A335" s="126"/>
      <c r="B335" s="133"/>
      <c r="C335" s="127"/>
      <c r="D335" s="138"/>
      <c r="E335" s="137"/>
      <c r="F335" s="58" t="str" cm="1">
        <f>IF(ISBLANK($A335),"",INDEX(Array_OtherEnergyCharges,MATCH($A335,List_OtherEnergyMeters,0),ROUNDUP((COLUMN()+1)/3-2,0)))</f>
        <v/>
      </c>
      <c r="G335" s="127"/>
      <c r="H335" s="137"/>
      <c r="I335" s="58" t="str" cm="1">
        <f>IF(ISBLANK($A335),"",INDEX(Array_OtherEnergyCharges,MATCH($A335,List_OtherEnergyMeters,0),ROUNDUP((COLUMN()+1)/3-2,0)))</f>
        <v/>
      </c>
      <c r="J335" s="127"/>
      <c r="K335" s="137"/>
      <c r="L335" s="58" t="str" cm="1">
        <f>IF(ISBLANK($A335),"",INDEX(Array_OtherEnergyCharges,MATCH($A335,List_OtherEnergyMeters,0),ROUNDUP((COLUMN()+1)/3-2,0)))</f>
        <v/>
      </c>
      <c r="M335" s="127"/>
      <c r="N335" s="137"/>
      <c r="O335" s="58" t="str" cm="1">
        <f>IF(ISBLANK($A335),"",INDEX(Array_OtherEnergyCharges,MATCH($A335,List_OtherEnergyMeters,0),ROUNDUP((COLUMN()+1)/3-2,0)))</f>
        <v/>
      </c>
      <c r="P335" s="127"/>
      <c r="Q335" s="137"/>
      <c r="R335" s="58" t="str" cm="1">
        <f>IF(ISBLANK($A335),"",INDEX(Array_OtherEnergyCharges,MATCH($A335,List_OtherEnergyMeters,0),ROUNDUP((COLUMN()+1)/3-2,0)))</f>
        <v/>
      </c>
      <c r="S335" s="127"/>
      <c r="T335" s="137"/>
    </row>
    <row r="336" spans="1:20" x14ac:dyDescent="0.3">
      <c r="A336" s="126"/>
      <c r="B336" s="133"/>
      <c r="C336" s="127"/>
      <c r="D336" s="138"/>
      <c r="E336" s="137"/>
      <c r="F336" s="58" t="str" cm="1">
        <f>IF(ISBLANK($A336),"",INDEX(Array_OtherEnergyCharges,MATCH($A336,List_OtherEnergyMeters,0),ROUNDUP((COLUMN()+1)/3-2,0)))</f>
        <v/>
      </c>
      <c r="G336" s="127"/>
      <c r="H336" s="137"/>
      <c r="I336" s="58" t="str" cm="1">
        <f>IF(ISBLANK($A336),"",INDEX(Array_OtherEnergyCharges,MATCH($A336,List_OtherEnergyMeters,0),ROUNDUP((COLUMN()+1)/3-2,0)))</f>
        <v/>
      </c>
      <c r="J336" s="127"/>
      <c r="K336" s="137"/>
      <c r="L336" s="58" t="str" cm="1">
        <f>IF(ISBLANK($A336),"",INDEX(Array_OtherEnergyCharges,MATCH($A336,List_OtherEnergyMeters,0),ROUNDUP((COLUMN()+1)/3-2,0)))</f>
        <v/>
      </c>
      <c r="M336" s="127"/>
      <c r="N336" s="137"/>
      <c r="O336" s="58" t="str" cm="1">
        <f>IF(ISBLANK($A336),"",INDEX(Array_OtherEnergyCharges,MATCH($A336,List_OtherEnergyMeters,0),ROUNDUP((COLUMN()+1)/3-2,0)))</f>
        <v/>
      </c>
      <c r="P336" s="127"/>
      <c r="Q336" s="137"/>
      <c r="R336" s="58" t="str" cm="1">
        <f>IF(ISBLANK($A336),"",INDEX(Array_OtherEnergyCharges,MATCH($A336,List_OtherEnergyMeters,0),ROUNDUP((COLUMN()+1)/3-2,0)))</f>
        <v/>
      </c>
      <c r="S336" s="127"/>
      <c r="T336" s="137"/>
    </row>
    <row r="337" spans="1:20" x14ac:dyDescent="0.3">
      <c r="A337" s="126"/>
      <c r="B337" s="133"/>
      <c r="C337" s="127"/>
      <c r="D337" s="138"/>
      <c r="E337" s="137"/>
      <c r="F337" s="58" t="str" cm="1">
        <f>IF(ISBLANK($A337),"",INDEX(Array_OtherEnergyCharges,MATCH($A337,List_OtherEnergyMeters,0),ROUNDUP((COLUMN()+1)/3-2,0)))</f>
        <v/>
      </c>
      <c r="G337" s="127"/>
      <c r="H337" s="137"/>
      <c r="I337" s="58" t="str" cm="1">
        <f>IF(ISBLANK($A337),"",INDEX(Array_OtherEnergyCharges,MATCH($A337,List_OtherEnergyMeters,0),ROUNDUP((COLUMN()+1)/3-2,0)))</f>
        <v/>
      </c>
      <c r="J337" s="127"/>
      <c r="K337" s="137"/>
      <c r="L337" s="58" t="str" cm="1">
        <f>IF(ISBLANK($A337),"",INDEX(Array_OtherEnergyCharges,MATCH($A337,List_OtherEnergyMeters,0),ROUNDUP((COLUMN()+1)/3-2,0)))</f>
        <v/>
      </c>
      <c r="M337" s="127"/>
      <c r="N337" s="137"/>
      <c r="O337" s="58" t="str" cm="1">
        <f>IF(ISBLANK($A337),"",INDEX(Array_OtherEnergyCharges,MATCH($A337,List_OtherEnergyMeters,0),ROUNDUP((COLUMN()+1)/3-2,0)))</f>
        <v/>
      </c>
      <c r="P337" s="127"/>
      <c r="Q337" s="137"/>
      <c r="R337" s="58" t="str" cm="1">
        <f>IF(ISBLANK($A337),"",INDEX(Array_OtherEnergyCharges,MATCH($A337,List_OtherEnergyMeters,0),ROUNDUP((COLUMN()+1)/3-2,0)))</f>
        <v/>
      </c>
      <c r="S337" s="127"/>
      <c r="T337" s="137"/>
    </row>
    <row r="338" spans="1:20" x14ac:dyDescent="0.3">
      <c r="A338" s="126"/>
      <c r="B338" s="133"/>
      <c r="C338" s="127"/>
      <c r="D338" s="138"/>
      <c r="E338" s="137"/>
      <c r="F338" s="58" t="str" cm="1">
        <f>IF(ISBLANK($A338),"",INDEX(Array_OtherEnergyCharges,MATCH($A338,List_OtherEnergyMeters,0),ROUNDUP((COLUMN()+1)/3-2,0)))</f>
        <v/>
      </c>
      <c r="G338" s="127"/>
      <c r="H338" s="137"/>
      <c r="I338" s="58" t="str" cm="1">
        <f>IF(ISBLANK($A338),"",INDEX(Array_OtherEnergyCharges,MATCH($A338,List_OtherEnergyMeters,0),ROUNDUP((COLUMN()+1)/3-2,0)))</f>
        <v/>
      </c>
      <c r="J338" s="127"/>
      <c r="K338" s="137"/>
      <c r="L338" s="58" t="str" cm="1">
        <f>IF(ISBLANK($A338),"",INDEX(Array_OtherEnergyCharges,MATCH($A338,List_OtherEnergyMeters,0),ROUNDUP((COLUMN()+1)/3-2,0)))</f>
        <v/>
      </c>
      <c r="M338" s="127"/>
      <c r="N338" s="137"/>
      <c r="O338" s="58" t="str" cm="1">
        <f>IF(ISBLANK($A338),"",INDEX(Array_OtherEnergyCharges,MATCH($A338,List_OtherEnergyMeters,0),ROUNDUP((COLUMN()+1)/3-2,0)))</f>
        <v/>
      </c>
      <c r="P338" s="127"/>
      <c r="Q338" s="137"/>
      <c r="R338" s="58" t="str" cm="1">
        <f>IF(ISBLANK($A338),"",INDEX(Array_OtherEnergyCharges,MATCH($A338,List_OtherEnergyMeters,0),ROUNDUP((COLUMN()+1)/3-2,0)))</f>
        <v/>
      </c>
      <c r="S338" s="127"/>
      <c r="T338" s="137"/>
    </row>
    <row r="339" spans="1:20" x14ac:dyDescent="0.3">
      <c r="A339" s="126"/>
      <c r="B339" s="133"/>
      <c r="C339" s="127"/>
      <c r="D339" s="138"/>
      <c r="E339" s="137"/>
      <c r="F339" s="58" t="str" cm="1">
        <f>IF(ISBLANK($A339),"",INDEX(Array_OtherEnergyCharges,MATCH($A339,List_OtherEnergyMeters,0),ROUNDUP((COLUMN()+1)/3-2,0)))</f>
        <v/>
      </c>
      <c r="G339" s="127"/>
      <c r="H339" s="137"/>
      <c r="I339" s="58" t="str" cm="1">
        <f>IF(ISBLANK($A339),"",INDEX(Array_OtherEnergyCharges,MATCH($A339,List_OtherEnergyMeters,0),ROUNDUP((COLUMN()+1)/3-2,0)))</f>
        <v/>
      </c>
      <c r="J339" s="127"/>
      <c r="K339" s="137"/>
      <c r="L339" s="58" t="str" cm="1">
        <f>IF(ISBLANK($A339),"",INDEX(Array_OtherEnergyCharges,MATCH($A339,List_OtherEnergyMeters,0),ROUNDUP((COLUMN()+1)/3-2,0)))</f>
        <v/>
      </c>
      <c r="M339" s="127"/>
      <c r="N339" s="137"/>
      <c r="O339" s="58" t="str" cm="1">
        <f>IF(ISBLANK($A339),"",INDEX(Array_OtherEnergyCharges,MATCH($A339,List_OtherEnergyMeters,0),ROUNDUP((COLUMN()+1)/3-2,0)))</f>
        <v/>
      </c>
      <c r="P339" s="127"/>
      <c r="Q339" s="137"/>
      <c r="R339" s="58" t="str" cm="1">
        <f>IF(ISBLANK($A339),"",INDEX(Array_OtherEnergyCharges,MATCH($A339,List_OtherEnergyMeters,0),ROUNDUP((COLUMN()+1)/3-2,0)))</f>
        <v/>
      </c>
      <c r="S339" s="127"/>
      <c r="T339" s="137"/>
    </row>
    <row r="340" spans="1:20" x14ac:dyDescent="0.3">
      <c r="A340" s="126"/>
      <c r="B340" s="133"/>
      <c r="C340" s="127"/>
      <c r="D340" s="138"/>
      <c r="E340" s="137"/>
      <c r="F340" s="58" t="str" cm="1">
        <f>IF(ISBLANK($A340),"",INDEX(Array_OtherEnergyCharges,MATCH($A340,List_OtherEnergyMeters,0),ROUNDUP((COLUMN()+1)/3-2,0)))</f>
        <v/>
      </c>
      <c r="G340" s="127"/>
      <c r="H340" s="137"/>
      <c r="I340" s="58" t="str" cm="1">
        <f>IF(ISBLANK($A340),"",INDEX(Array_OtherEnergyCharges,MATCH($A340,List_OtherEnergyMeters,0),ROUNDUP((COLUMN()+1)/3-2,0)))</f>
        <v/>
      </c>
      <c r="J340" s="127"/>
      <c r="K340" s="137"/>
      <c r="L340" s="58" t="str" cm="1">
        <f>IF(ISBLANK($A340),"",INDEX(Array_OtherEnergyCharges,MATCH($A340,List_OtherEnergyMeters,0),ROUNDUP((COLUMN()+1)/3-2,0)))</f>
        <v/>
      </c>
      <c r="M340" s="127"/>
      <c r="N340" s="137"/>
      <c r="O340" s="58" t="str" cm="1">
        <f>IF(ISBLANK($A340),"",INDEX(Array_OtherEnergyCharges,MATCH($A340,List_OtherEnergyMeters,0),ROUNDUP((COLUMN()+1)/3-2,0)))</f>
        <v/>
      </c>
      <c r="P340" s="127"/>
      <c r="Q340" s="137"/>
      <c r="R340" s="58" t="str" cm="1">
        <f>IF(ISBLANK($A340),"",INDEX(Array_OtherEnergyCharges,MATCH($A340,List_OtherEnergyMeters,0),ROUNDUP((COLUMN()+1)/3-2,0)))</f>
        <v/>
      </c>
      <c r="S340" s="127"/>
      <c r="T340" s="137"/>
    </row>
    <row r="341" spans="1:20" x14ac:dyDescent="0.3">
      <c r="A341" s="126"/>
      <c r="B341" s="133"/>
      <c r="C341" s="127"/>
      <c r="D341" s="138"/>
      <c r="E341" s="137"/>
      <c r="F341" s="58" t="str" cm="1">
        <f>IF(ISBLANK($A341),"",INDEX(Array_OtherEnergyCharges,MATCH($A341,List_OtherEnergyMeters,0),ROUNDUP((COLUMN()+1)/3-2,0)))</f>
        <v/>
      </c>
      <c r="G341" s="127"/>
      <c r="H341" s="137"/>
      <c r="I341" s="58" t="str" cm="1">
        <f>IF(ISBLANK($A341),"",INDEX(Array_OtherEnergyCharges,MATCH($A341,List_OtherEnergyMeters,0),ROUNDUP((COLUMN()+1)/3-2,0)))</f>
        <v/>
      </c>
      <c r="J341" s="127"/>
      <c r="K341" s="137"/>
      <c r="L341" s="58" t="str" cm="1">
        <f>IF(ISBLANK($A341),"",INDEX(Array_OtherEnergyCharges,MATCH($A341,List_OtherEnergyMeters,0),ROUNDUP((COLUMN()+1)/3-2,0)))</f>
        <v/>
      </c>
      <c r="M341" s="127"/>
      <c r="N341" s="137"/>
      <c r="O341" s="58" t="str" cm="1">
        <f>IF(ISBLANK($A341),"",INDEX(Array_OtherEnergyCharges,MATCH($A341,List_OtherEnergyMeters,0),ROUNDUP((COLUMN()+1)/3-2,0)))</f>
        <v/>
      </c>
      <c r="P341" s="127"/>
      <c r="Q341" s="137"/>
      <c r="R341" s="58" t="str" cm="1">
        <f>IF(ISBLANK($A341),"",INDEX(Array_OtherEnergyCharges,MATCH($A341,List_OtherEnergyMeters,0),ROUNDUP((COLUMN()+1)/3-2,0)))</f>
        <v/>
      </c>
      <c r="S341" s="127"/>
      <c r="T341" s="137"/>
    </row>
    <row r="342" spans="1:20" x14ac:dyDescent="0.3">
      <c r="A342" s="126"/>
      <c r="B342" s="133"/>
      <c r="C342" s="127"/>
      <c r="D342" s="138"/>
      <c r="E342" s="137"/>
      <c r="F342" s="58" t="str" cm="1">
        <f>IF(ISBLANK($A342),"",INDEX(Array_OtherEnergyCharges,MATCH($A342,List_OtherEnergyMeters,0),ROUNDUP((COLUMN()+1)/3-2,0)))</f>
        <v/>
      </c>
      <c r="G342" s="127"/>
      <c r="H342" s="137"/>
      <c r="I342" s="58" t="str" cm="1">
        <f>IF(ISBLANK($A342),"",INDEX(Array_OtherEnergyCharges,MATCH($A342,List_OtherEnergyMeters,0),ROUNDUP((COLUMN()+1)/3-2,0)))</f>
        <v/>
      </c>
      <c r="J342" s="127"/>
      <c r="K342" s="137"/>
      <c r="L342" s="58" t="str" cm="1">
        <f>IF(ISBLANK($A342),"",INDEX(Array_OtherEnergyCharges,MATCH($A342,List_OtherEnergyMeters,0),ROUNDUP((COLUMN()+1)/3-2,0)))</f>
        <v/>
      </c>
      <c r="M342" s="127"/>
      <c r="N342" s="137"/>
      <c r="O342" s="58" t="str" cm="1">
        <f>IF(ISBLANK($A342),"",INDEX(Array_OtherEnergyCharges,MATCH($A342,List_OtherEnergyMeters,0),ROUNDUP((COLUMN()+1)/3-2,0)))</f>
        <v/>
      </c>
      <c r="P342" s="127"/>
      <c r="Q342" s="137"/>
      <c r="R342" s="58" t="str" cm="1">
        <f>IF(ISBLANK($A342),"",INDEX(Array_OtherEnergyCharges,MATCH($A342,List_OtherEnergyMeters,0),ROUNDUP((COLUMN()+1)/3-2,0)))</f>
        <v/>
      </c>
      <c r="S342" s="127"/>
      <c r="T342" s="137"/>
    </row>
    <row r="343" spans="1:20" x14ac:dyDescent="0.3">
      <c r="A343" s="126"/>
      <c r="B343" s="133"/>
      <c r="C343" s="127"/>
      <c r="D343" s="138"/>
      <c r="E343" s="137"/>
      <c r="F343" s="58" t="str" cm="1">
        <f>IF(ISBLANK($A343),"",INDEX(Array_OtherEnergyCharges,MATCH($A343,List_OtherEnergyMeters,0),ROUNDUP((COLUMN()+1)/3-2,0)))</f>
        <v/>
      </c>
      <c r="G343" s="127"/>
      <c r="H343" s="137"/>
      <c r="I343" s="58" t="str" cm="1">
        <f>IF(ISBLANK($A343),"",INDEX(Array_OtherEnergyCharges,MATCH($A343,List_OtherEnergyMeters,0),ROUNDUP((COLUMN()+1)/3-2,0)))</f>
        <v/>
      </c>
      <c r="J343" s="127"/>
      <c r="K343" s="137"/>
      <c r="L343" s="58" t="str" cm="1">
        <f>IF(ISBLANK($A343),"",INDEX(Array_OtherEnergyCharges,MATCH($A343,List_OtherEnergyMeters,0),ROUNDUP((COLUMN()+1)/3-2,0)))</f>
        <v/>
      </c>
      <c r="M343" s="127"/>
      <c r="N343" s="137"/>
      <c r="O343" s="58" t="str" cm="1">
        <f>IF(ISBLANK($A343),"",INDEX(Array_OtherEnergyCharges,MATCH($A343,List_OtherEnergyMeters,0),ROUNDUP((COLUMN()+1)/3-2,0)))</f>
        <v/>
      </c>
      <c r="P343" s="127"/>
      <c r="Q343" s="137"/>
      <c r="R343" s="58" t="str" cm="1">
        <f>IF(ISBLANK($A343),"",INDEX(Array_OtherEnergyCharges,MATCH($A343,List_OtherEnergyMeters,0),ROUNDUP((COLUMN()+1)/3-2,0)))</f>
        <v/>
      </c>
      <c r="S343" s="127"/>
      <c r="T343" s="137"/>
    </row>
    <row r="344" spans="1:20" x14ac:dyDescent="0.3">
      <c r="A344" s="126"/>
      <c r="B344" s="133"/>
      <c r="C344" s="127"/>
      <c r="D344" s="138"/>
      <c r="E344" s="137"/>
      <c r="F344" s="58" t="str" cm="1">
        <f>IF(ISBLANK($A344),"",INDEX(Array_OtherEnergyCharges,MATCH($A344,List_OtherEnergyMeters,0),ROUNDUP((COLUMN()+1)/3-2,0)))</f>
        <v/>
      </c>
      <c r="G344" s="127"/>
      <c r="H344" s="137"/>
      <c r="I344" s="58" t="str" cm="1">
        <f>IF(ISBLANK($A344),"",INDEX(Array_OtherEnergyCharges,MATCH($A344,List_OtherEnergyMeters,0),ROUNDUP((COLUMN()+1)/3-2,0)))</f>
        <v/>
      </c>
      <c r="J344" s="127"/>
      <c r="K344" s="137"/>
      <c r="L344" s="58" t="str" cm="1">
        <f>IF(ISBLANK($A344),"",INDEX(Array_OtherEnergyCharges,MATCH($A344,List_OtherEnergyMeters,0),ROUNDUP((COLUMN()+1)/3-2,0)))</f>
        <v/>
      </c>
      <c r="M344" s="127"/>
      <c r="N344" s="137"/>
      <c r="O344" s="58" t="str" cm="1">
        <f>IF(ISBLANK($A344),"",INDEX(Array_OtherEnergyCharges,MATCH($A344,List_OtherEnergyMeters,0),ROUNDUP((COLUMN()+1)/3-2,0)))</f>
        <v/>
      </c>
      <c r="P344" s="127"/>
      <c r="Q344" s="137"/>
      <c r="R344" s="58" t="str" cm="1">
        <f>IF(ISBLANK($A344),"",INDEX(Array_OtherEnergyCharges,MATCH($A344,List_OtherEnergyMeters,0),ROUNDUP((COLUMN()+1)/3-2,0)))</f>
        <v/>
      </c>
      <c r="S344" s="127"/>
      <c r="T344" s="137"/>
    </row>
    <row r="345" spans="1:20" x14ac:dyDescent="0.3">
      <c r="A345" s="126"/>
      <c r="B345" s="133"/>
      <c r="C345" s="127"/>
      <c r="D345" s="138"/>
      <c r="E345" s="137"/>
      <c r="F345" s="58" t="str" cm="1">
        <f>IF(ISBLANK($A345),"",INDEX(Array_OtherEnergyCharges,MATCH($A345,List_OtherEnergyMeters,0),ROUNDUP((COLUMN()+1)/3-2,0)))</f>
        <v/>
      </c>
      <c r="G345" s="127"/>
      <c r="H345" s="137"/>
      <c r="I345" s="58" t="str" cm="1">
        <f>IF(ISBLANK($A345),"",INDEX(Array_OtherEnergyCharges,MATCH($A345,List_OtherEnergyMeters,0),ROUNDUP((COLUMN()+1)/3-2,0)))</f>
        <v/>
      </c>
      <c r="J345" s="127"/>
      <c r="K345" s="137"/>
      <c r="L345" s="58" t="str" cm="1">
        <f>IF(ISBLANK($A345),"",INDEX(Array_OtherEnergyCharges,MATCH($A345,List_OtherEnergyMeters,0),ROUNDUP((COLUMN()+1)/3-2,0)))</f>
        <v/>
      </c>
      <c r="M345" s="127"/>
      <c r="N345" s="137"/>
      <c r="O345" s="58" t="str" cm="1">
        <f>IF(ISBLANK($A345),"",INDEX(Array_OtherEnergyCharges,MATCH($A345,List_OtherEnergyMeters,0),ROUNDUP((COLUMN()+1)/3-2,0)))</f>
        <v/>
      </c>
      <c r="P345" s="127"/>
      <c r="Q345" s="137"/>
      <c r="R345" s="58" t="str" cm="1">
        <f>IF(ISBLANK($A345),"",INDEX(Array_OtherEnergyCharges,MATCH($A345,List_OtherEnergyMeters,0),ROUNDUP((COLUMN()+1)/3-2,0)))</f>
        <v/>
      </c>
      <c r="S345" s="127"/>
      <c r="T345" s="137"/>
    </row>
    <row r="346" spans="1:20" x14ac:dyDescent="0.3">
      <c r="A346" s="126"/>
      <c r="B346" s="133"/>
      <c r="C346" s="127"/>
      <c r="D346" s="138"/>
      <c r="E346" s="137"/>
      <c r="F346" s="58" t="str" cm="1">
        <f>IF(ISBLANK($A346),"",INDEX(Array_OtherEnergyCharges,MATCH($A346,List_OtherEnergyMeters,0),ROUNDUP((COLUMN()+1)/3-2,0)))</f>
        <v/>
      </c>
      <c r="G346" s="127"/>
      <c r="H346" s="137"/>
      <c r="I346" s="58" t="str" cm="1">
        <f>IF(ISBLANK($A346),"",INDEX(Array_OtherEnergyCharges,MATCH($A346,List_OtherEnergyMeters,0),ROUNDUP((COLUMN()+1)/3-2,0)))</f>
        <v/>
      </c>
      <c r="J346" s="127"/>
      <c r="K346" s="137"/>
      <c r="L346" s="58" t="str" cm="1">
        <f>IF(ISBLANK($A346),"",INDEX(Array_OtherEnergyCharges,MATCH($A346,List_OtherEnergyMeters,0),ROUNDUP((COLUMN()+1)/3-2,0)))</f>
        <v/>
      </c>
      <c r="M346" s="127"/>
      <c r="N346" s="137"/>
      <c r="O346" s="58" t="str" cm="1">
        <f>IF(ISBLANK($A346),"",INDEX(Array_OtherEnergyCharges,MATCH($A346,List_OtherEnergyMeters,0),ROUNDUP((COLUMN()+1)/3-2,0)))</f>
        <v/>
      </c>
      <c r="P346" s="127"/>
      <c r="Q346" s="137"/>
      <c r="R346" s="58" t="str" cm="1">
        <f>IF(ISBLANK($A346),"",INDEX(Array_OtherEnergyCharges,MATCH($A346,List_OtherEnergyMeters,0),ROUNDUP((COLUMN()+1)/3-2,0)))</f>
        <v/>
      </c>
      <c r="S346" s="127"/>
      <c r="T346" s="137"/>
    </row>
    <row r="347" spans="1:20" x14ac:dyDescent="0.3">
      <c r="A347" s="126"/>
      <c r="B347" s="133"/>
      <c r="C347" s="127"/>
      <c r="D347" s="138"/>
      <c r="E347" s="137"/>
      <c r="F347" s="58" t="str" cm="1">
        <f>IF(ISBLANK($A347),"",INDEX(Array_OtherEnergyCharges,MATCH($A347,List_OtherEnergyMeters,0),ROUNDUP((COLUMN()+1)/3-2,0)))</f>
        <v/>
      </c>
      <c r="G347" s="127"/>
      <c r="H347" s="137"/>
      <c r="I347" s="58" t="str" cm="1">
        <f>IF(ISBLANK($A347),"",INDEX(Array_OtherEnergyCharges,MATCH($A347,List_OtherEnergyMeters,0),ROUNDUP((COLUMN()+1)/3-2,0)))</f>
        <v/>
      </c>
      <c r="J347" s="127"/>
      <c r="K347" s="137"/>
      <c r="L347" s="58" t="str" cm="1">
        <f>IF(ISBLANK($A347),"",INDEX(Array_OtherEnergyCharges,MATCH($A347,List_OtherEnergyMeters,0),ROUNDUP((COLUMN()+1)/3-2,0)))</f>
        <v/>
      </c>
      <c r="M347" s="127"/>
      <c r="N347" s="137"/>
      <c r="O347" s="58" t="str" cm="1">
        <f>IF(ISBLANK($A347),"",INDEX(Array_OtherEnergyCharges,MATCH($A347,List_OtherEnergyMeters,0),ROUNDUP((COLUMN()+1)/3-2,0)))</f>
        <v/>
      </c>
      <c r="P347" s="127"/>
      <c r="Q347" s="137"/>
      <c r="R347" s="58" t="str" cm="1">
        <f>IF(ISBLANK($A347),"",INDEX(Array_OtherEnergyCharges,MATCH($A347,List_OtherEnergyMeters,0),ROUNDUP((COLUMN()+1)/3-2,0)))</f>
        <v/>
      </c>
      <c r="S347" s="127"/>
      <c r="T347" s="137"/>
    </row>
    <row r="348" spans="1:20" x14ac:dyDescent="0.3">
      <c r="A348" s="126"/>
      <c r="B348" s="133"/>
      <c r="C348" s="127"/>
      <c r="D348" s="138"/>
      <c r="E348" s="137"/>
      <c r="F348" s="58" t="str" cm="1">
        <f>IF(ISBLANK($A348),"",INDEX(Array_OtherEnergyCharges,MATCH($A348,List_OtherEnergyMeters,0),ROUNDUP((COLUMN()+1)/3-2,0)))</f>
        <v/>
      </c>
      <c r="G348" s="127"/>
      <c r="H348" s="137"/>
      <c r="I348" s="58" t="str" cm="1">
        <f>IF(ISBLANK($A348),"",INDEX(Array_OtherEnergyCharges,MATCH($A348,List_OtherEnergyMeters,0),ROUNDUP((COLUMN()+1)/3-2,0)))</f>
        <v/>
      </c>
      <c r="J348" s="127"/>
      <c r="K348" s="137"/>
      <c r="L348" s="58" t="str" cm="1">
        <f>IF(ISBLANK($A348),"",INDEX(Array_OtherEnergyCharges,MATCH($A348,List_OtherEnergyMeters,0),ROUNDUP((COLUMN()+1)/3-2,0)))</f>
        <v/>
      </c>
      <c r="M348" s="127"/>
      <c r="N348" s="137"/>
      <c r="O348" s="58" t="str" cm="1">
        <f>IF(ISBLANK($A348),"",INDEX(Array_OtherEnergyCharges,MATCH($A348,List_OtherEnergyMeters,0),ROUNDUP((COLUMN()+1)/3-2,0)))</f>
        <v/>
      </c>
      <c r="P348" s="127"/>
      <c r="Q348" s="137"/>
      <c r="R348" s="58" t="str" cm="1">
        <f>IF(ISBLANK($A348),"",INDEX(Array_OtherEnergyCharges,MATCH($A348,List_OtherEnergyMeters,0),ROUNDUP((COLUMN()+1)/3-2,0)))</f>
        <v/>
      </c>
      <c r="S348" s="127"/>
      <c r="T348" s="137"/>
    </row>
    <row r="349" spans="1:20" x14ac:dyDescent="0.3">
      <c r="A349" s="126"/>
      <c r="B349" s="133"/>
      <c r="C349" s="127"/>
      <c r="D349" s="138"/>
      <c r="E349" s="137"/>
      <c r="F349" s="58" t="str" cm="1">
        <f>IF(ISBLANK($A349),"",INDEX(Array_OtherEnergyCharges,MATCH($A349,List_OtherEnergyMeters,0),ROUNDUP((COLUMN()+1)/3-2,0)))</f>
        <v/>
      </c>
      <c r="G349" s="127"/>
      <c r="H349" s="137"/>
      <c r="I349" s="58" t="str" cm="1">
        <f>IF(ISBLANK($A349),"",INDEX(Array_OtherEnergyCharges,MATCH($A349,List_OtherEnergyMeters,0),ROUNDUP((COLUMN()+1)/3-2,0)))</f>
        <v/>
      </c>
      <c r="J349" s="127"/>
      <c r="K349" s="137"/>
      <c r="L349" s="58" t="str" cm="1">
        <f>IF(ISBLANK($A349),"",INDEX(Array_OtherEnergyCharges,MATCH($A349,List_OtherEnergyMeters,0),ROUNDUP((COLUMN()+1)/3-2,0)))</f>
        <v/>
      </c>
      <c r="M349" s="127"/>
      <c r="N349" s="137"/>
      <c r="O349" s="58" t="str" cm="1">
        <f>IF(ISBLANK($A349),"",INDEX(Array_OtherEnergyCharges,MATCH($A349,List_OtherEnergyMeters,0),ROUNDUP((COLUMN()+1)/3-2,0)))</f>
        <v/>
      </c>
      <c r="P349" s="127"/>
      <c r="Q349" s="137"/>
      <c r="R349" s="58" t="str" cm="1">
        <f>IF(ISBLANK($A349),"",INDEX(Array_OtherEnergyCharges,MATCH($A349,List_OtherEnergyMeters,0),ROUNDUP((COLUMN()+1)/3-2,0)))</f>
        <v/>
      </c>
      <c r="S349" s="127"/>
      <c r="T349" s="137"/>
    </row>
    <row r="350" spans="1:20" x14ac:dyDescent="0.3">
      <c r="A350" s="126"/>
      <c r="B350" s="133"/>
      <c r="C350" s="127"/>
      <c r="D350" s="138"/>
      <c r="E350" s="137"/>
      <c r="F350" s="58" t="str" cm="1">
        <f>IF(ISBLANK($A350),"",INDEX(Array_OtherEnergyCharges,MATCH($A350,List_OtherEnergyMeters,0),ROUNDUP((COLUMN()+1)/3-2,0)))</f>
        <v/>
      </c>
      <c r="G350" s="127"/>
      <c r="H350" s="137"/>
      <c r="I350" s="58" t="str" cm="1">
        <f>IF(ISBLANK($A350),"",INDEX(Array_OtherEnergyCharges,MATCH($A350,List_OtherEnergyMeters,0),ROUNDUP((COLUMN()+1)/3-2,0)))</f>
        <v/>
      </c>
      <c r="J350" s="127"/>
      <c r="K350" s="137"/>
      <c r="L350" s="58" t="str" cm="1">
        <f>IF(ISBLANK($A350),"",INDEX(Array_OtherEnergyCharges,MATCH($A350,List_OtherEnergyMeters,0),ROUNDUP((COLUMN()+1)/3-2,0)))</f>
        <v/>
      </c>
      <c r="M350" s="127"/>
      <c r="N350" s="137"/>
      <c r="O350" s="58" t="str" cm="1">
        <f>IF(ISBLANK($A350),"",INDEX(Array_OtherEnergyCharges,MATCH($A350,List_OtherEnergyMeters,0),ROUNDUP((COLUMN()+1)/3-2,0)))</f>
        <v/>
      </c>
      <c r="P350" s="127"/>
      <c r="Q350" s="137"/>
      <c r="R350" s="58" t="str" cm="1">
        <f>IF(ISBLANK($A350),"",INDEX(Array_OtherEnergyCharges,MATCH($A350,List_OtherEnergyMeters,0),ROUNDUP((COLUMN()+1)/3-2,0)))</f>
        <v/>
      </c>
      <c r="S350" s="127"/>
      <c r="T350" s="137"/>
    </row>
    <row r="351" spans="1:20" x14ac:dyDescent="0.3">
      <c r="A351" s="126"/>
      <c r="B351" s="133"/>
      <c r="C351" s="127"/>
      <c r="D351" s="138"/>
      <c r="E351" s="137"/>
      <c r="F351" s="58" t="str" cm="1">
        <f>IF(ISBLANK($A351),"",INDEX(Array_OtherEnergyCharges,MATCH($A351,List_OtherEnergyMeters,0),ROUNDUP((COLUMN()+1)/3-2,0)))</f>
        <v/>
      </c>
      <c r="G351" s="127"/>
      <c r="H351" s="137"/>
      <c r="I351" s="58" t="str" cm="1">
        <f>IF(ISBLANK($A351),"",INDEX(Array_OtherEnergyCharges,MATCH($A351,List_OtherEnergyMeters,0),ROUNDUP((COLUMN()+1)/3-2,0)))</f>
        <v/>
      </c>
      <c r="J351" s="127"/>
      <c r="K351" s="137"/>
      <c r="L351" s="58" t="str" cm="1">
        <f>IF(ISBLANK($A351),"",INDEX(Array_OtherEnergyCharges,MATCH($A351,List_OtherEnergyMeters,0),ROUNDUP((COLUMN()+1)/3-2,0)))</f>
        <v/>
      </c>
      <c r="M351" s="127"/>
      <c r="N351" s="137"/>
      <c r="O351" s="58" t="str" cm="1">
        <f>IF(ISBLANK($A351),"",INDEX(Array_OtherEnergyCharges,MATCH($A351,List_OtherEnergyMeters,0),ROUNDUP((COLUMN()+1)/3-2,0)))</f>
        <v/>
      </c>
      <c r="P351" s="127"/>
      <c r="Q351" s="137"/>
      <c r="R351" s="58" t="str" cm="1">
        <f>IF(ISBLANK($A351),"",INDEX(Array_OtherEnergyCharges,MATCH($A351,List_OtherEnergyMeters,0),ROUNDUP((COLUMN()+1)/3-2,0)))</f>
        <v/>
      </c>
      <c r="S351" s="127"/>
      <c r="T351" s="137"/>
    </row>
    <row r="352" spans="1:20" x14ac:dyDescent="0.3">
      <c r="A352" s="126"/>
      <c r="B352" s="133"/>
      <c r="C352" s="127"/>
      <c r="D352" s="138"/>
      <c r="E352" s="137"/>
      <c r="F352" s="58" t="str" cm="1">
        <f>IF(ISBLANK($A352),"",INDEX(Array_OtherEnergyCharges,MATCH($A352,List_OtherEnergyMeters,0),ROUNDUP((COLUMN()+1)/3-2,0)))</f>
        <v/>
      </c>
      <c r="G352" s="127"/>
      <c r="H352" s="137"/>
      <c r="I352" s="58" t="str" cm="1">
        <f>IF(ISBLANK($A352),"",INDEX(Array_OtherEnergyCharges,MATCH($A352,List_OtherEnergyMeters,0),ROUNDUP((COLUMN()+1)/3-2,0)))</f>
        <v/>
      </c>
      <c r="J352" s="127"/>
      <c r="K352" s="137"/>
      <c r="L352" s="58" t="str" cm="1">
        <f>IF(ISBLANK($A352),"",INDEX(Array_OtherEnergyCharges,MATCH($A352,List_OtherEnergyMeters,0),ROUNDUP((COLUMN()+1)/3-2,0)))</f>
        <v/>
      </c>
      <c r="M352" s="127"/>
      <c r="N352" s="137"/>
      <c r="O352" s="58" t="str" cm="1">
        <f>IF(ISBLANK($A352),"",INDEX(Array_OtherEnergyCharges,MATCH($A352,List_OtherEnergyMeters,0),ROUNDUP((COLUMN()+1)/3-2,0)))</f>
        <v/>
      </c>
      <c r="P352" s="127"/>
      <c r="Q352" s="137"/>
      <c r="R352" s="58" t="str" cm="1">
        <f>IF(ISBLANK($A352),"",INDEX(Array_OtherEnergyCharges,MATCH($A352,List_OtherEnergyMeters,0),ROUNDUP((COLUMN()+1)/3-2,0)))</f>
        <v/>
      </c>
      <c r="S352" s="127"/>
      <c r="T352" s="137"/>
    </row>
    <row r="353" spans="1:20" x14ac:dyDescent="0.3">
      <c r="A353" s="126"/>
      <c r="B353" s="133"/>
      <c r="C353" s="127"/>
      <c r="D353" s="138"/>
      <c r="E353" s="137"/>
      <c r="F353" s="58" t="str" cm="1">
        <f>IF(ISBLANK($A353),"",INDEX(Array_OtherEnergyCharges,MATCH($A353,List_OtherEnergyMeters,0),ROUNDUP((COLUMN()+1)/3-2,0)))</f>
        <v/>
      </c>
      <c r="G353" s="127"/>
      <c r="H353" s="137"/>
      <c r="I353" s="58" t="str" cm="1">
        <f>IF(ISBLANK($A353),"",INDEX(Array_OtherEnergyCharges,MATCH($A353,List_OtherEnergyMeters,0),ROUNDUP((COLUMN()+1)/3-2,0)))</f>
        <v/>
      </c>
      <c r="J353" s="127"/>
      <c r="K353" s="137"/>
      <c r="L353" s="58" t="str" cm="1">
        <f>IF(ISBLANK($A353),"",INDEX(Array_OtherEnergyCharges,MATCH($A353,List_OtherEnergyMeters,0),ROUNDUP((COLUMN()+1)/3-2,0)))</f>
        <v/>
      </c>
      <c r="M353" s="127"/>
      <c r="N353" s="137"/>
      <c r="O353" s="58" t="str" cm="1">
        <f>IF(ISBLANK($A353),"",INDEX(Array_OtherEnergyCharges,MATCH($A353,List_OtherEnergyMeters,0),ROUNDUP((COLUMN()+1)/3-2,0)))</f>
        <v/>
      </c>
      <c r="P353" s="127"/>
      <c r="Q353" s="137"/>
      <c r="R353" s="58" t="str" cm="1">
        <f>IF(ISBLANK($A353),"",INDEX(Array_OtherEnergyCharges,MATCH($A353,List_OtherEnergyMeters,0),ROUNDUP((COLUMN()+1)/3-2,0)))</f>
        <v/>
      </c>
      <c r="S353" s="127"/>
      <c r="T353" s="137"/>
    </row>
    <row r="354" spans="1:20" x14ac:dyDescent="0.3">
      <c r="A354" s="126"/>
      <c r="B354" s="133"/>
      <c r="C354" s="127"/>
      <c r="D354" s="138"/>
      <c r="E354" s="137"/>
      <c r="F354" s="58" t="str" cm="1">
        <f>IF(ISBLANK($A354),"",INDEX(Array_OtherEnergyCharges,MATCH($A354,List_OtherEnergyMeters,0),ROUNDUP((COLUMN()+1)/3-2,0)))</f>
        <v/>
      </c>
      <c r="G354" s="127"/>
      <c r="H354" s="137"/>
      <c r="I354" s="58" t="str" cm="1">
        <f>IF(ISBLANK($A354),"",INDEX(Array_OtherEnergyCharges,MATCH($A354,List_OtherEnergyMeters,0),ROUNDUP((COLUMN()+1)/3-2,0)))</f>
        <v/>
      </c>
      <c r="J354" s="127"/>
      <c r="K354" s="137"/>
      <c r="L354" s="58" t="str" cm="1">
        <f>IF(ISBLANK($A354),"",INDEX(Array_OtherEnergyCharges,MATCH($A354,List_OtherEnergyMeters,0),ROUNDUP((COLUMN()+1)/3-2,0)))</f>
        <v/>
      </c>
      <c r="M354" s="127"/>
      <c r="N354" s="137"/>
      <c r="O354" s="58" t="str" cm="1">
        <f>IF(ISBLANK($A354),"",INDEX(Array_OtherEnergyCharges,MATCH($A354,List_OtherEnergyMeters,0),ROUNDUP((COLUMN()+1)/3-2,0)))</f>
        <v/>
      </c>
      <c r="P354" s="127"/>
      <c r="Q354" s="137"/>
      <c r="R354" s="58" t="str" cm="1">
        <f>IF(ISBLANK($A354),"",INDEX(Array_OtherEnergyCharges,MATCH($A354,List_OtherEnergyMeters,0),ROUNDUP((COLUMN()+1)/3-2,0)))</f>
        <v/>
      </c>
      <c r="S354" s="127"/>
      <c r="T354" s="137"/>
    </row>
    <row r="355" spans="1:20" x14ac:dyDescent="0.3">
      <c r="A355" s="126"/>
      <c r="B355" s="133"/>
      <c r="C355" s="127"/>
      <c r="D355" s="138"/>
      <c r="E355" s="137"/>
      <c r="F355" s="58" t="str" cm="1">
        <f>IF(ISBLANK($A355),"",INDEX(Array_OtherEnergyCharges,MATCH($A355,List_OtherEnergyMeters,0),ROUNDUP((COLUMN()+1)/3-2,0)))</f>
        <v/>
      </c>
      <c r="G355" s="127"/>
      <c r="H355" s="137"/>
      <c r="I355" s="58" t="str" cm="1">
        <f>IF(ISBLANK($A355),"",INDEX(Array_OtherEnergyCharges,MATCH($A355,List_OtherEnergyMeters,0),ROUNDUP((COLUMN()+1)/3-2,0)))</f>
        <v/>
      </c>
      <c r="J355" s="127"/>
      <c r="K355" s="137"/>
      <c r="L355" s="58" t="str" cm="1">
        <f>IF(ISBLANK($A355),"",INDEX(Array_OtherEnergyCharges,MATCH($A355,List_OtherEnergyMeters,0),ROUNDUP((COLUMN()+1)/3-2,0)))</f>
        <v/>
      </c>
      <c r="M355" s="127"/>
      <c r="N355" s="137"/>
      <c r="O355" s="58" t="str" cm="1">
        <f>IF(ISBLANK($A355),"",INDEX(Array_OtherEnergyCharges,MATCH($A355,List_OtherEnergyMeters,0),ROUNDUP((COLUMN()+1)/3-2,0)))</f>
        <v/>
      </c>
      <c r="P355" s="127"/>
      <c r="Q355" s="137"/>
      <c r="R355" s="58" t="str" cm="1">
        <f>IF(ISBLANK($A355),"",INDEX(Array_OtherEnergyCharges,MATCH($A355,List_OtherEnergyMeters,0),ROUNDUP((COLUMN()+1)/3-2,0)))</f>
        <v/>
      </c>
      <c r="S355" s="127"/>
      <c r="T355" s="137"/>
    </row>
    <row r="356" spans="1:20" x14ac:dyDescent="0.3">
      <c r="A356" s="126"/>
      <c r="B356" s="133"/>
      <c r="C356" s="127"/>
      <c r="D356" s="138"/>
      <c r="E356" s="137"/>
      <c r="F356" s="58" t="str" cm="1">
        <f>IF(ISBLANK($A356),"",INDEX(Array_OtherEnergyCharges,MATCH($A356,List_OtherEnergyMeters,0),ROUNDUP((COLUMN()+1)/3-2,0)))</f>
        <v/>
      </c>
      <c r="G356" s="127"/>
      <c r="H356" s="137"/>
      <c r="I356" s="58" t="str" cm="1">
        <f>IF(ISBLANK($A356),"",INDEX(Array_OtherEnergyCharges,MATCH($A356,List_OtherEnergyMeters,0),ROUNDUP((COLUMN()+1)/3-2,0)))</f>
        <v/>
      </c>
      <c r="J356" s="127"/>
      <c r="K356" s="137"/>
      <c r="L356" s="58" t="str" cm="1">
        <f>IF(ISBLANK($A356),"",INDEX(Array_OtherEnergyCharges,MATCH($A356,List_OtherEnergyMeters,0),ROUNDUP((COLUMN()+1)/3-2,0)))</f>
        <v/>
      </c>
      <c r="M356" s="127"/>
      <c r="N356" s="137"/>
      <c r="O356" s="58" t="str" cm="1">
        <f>IF(ISBLANK($A356),"",INDEX(Array_OtherEnergyCharges,MATCH($A356,List_OtherEnergyMeters,0),ROUNDUP((COLUMN()+1)/3-2,0)))</f>
        <v/>
      </c>
      <c r="P356" s="127"/>
      <c r="Q356" s="137"/>
      <c r="R356" s="58" t="str" cm="1">
        <f>IF(ISBLANK($A356),"",INDEX(Array_OtherEnergyCharges,MATCH($A356,List_OtherEnergyMeters,0),ROUNDUP((COLUMN()+1)/3-2,0)))</f>
        <v/>
      </c>
      <c r="S356" s="127"/>
      <c r="T356" s="137"/>
    </row>
    <row r="357" spans="1:20" x14ac:dyDescent="0.3">
      <c r="A357" s="126"/>
      <c r="B357" s="133"/>
      <c r="C357" s="127"/>
      <c r="D357" s="138"/>
      <c r="E357" s="137"/>
      <c r="F357" s="58" t="str" cm="1">
        <f>IF(ISBLANK($A357),"",INDEX(Array_OtherEnergyCharges,MATCH($A357,List_OtherEnergyMeters,0),ROUNDUP((COLUMN()+1)/3-2,0)))</f>
        <v/>
      </c>
      <c r="G357" s="127"/>
      <c r="H357" s="137"/>
      <c r="I357" s="58" t="str" cm="1">
        <f>IF(ISBLANK($A357),"",INDEX(Array_OtherEnergyCharges,MATCH($A357,List_OtherEnergyMeters,0),ROUNDUP((COLUMN()+1)/3-2,0)))</f>
        <v/>
      </c>
      <c r="J357" s="127"/>
      <c r="K357" s="137"/>
      <c r="L357" s="58" t="str" cm="1">
        <f>IF(ISBLANK($A357),"",INDEX(Array_OtherEnergyCharges,MATCH($A357,List_OtherEnergyMeters,0),ROUNDUP((COLUMN()+1)/3-2,0)))</f>
        <v/>
      </c>
      <c r="M357" s="127"/>
      <c r="N357" s="137"/>
      <c r="O357" s="58" t="str" cm="1">
        <f>IF(ISBLANK($A357),"",INDEX(Array_OtherEnergyCharges,MATCH($A357,List_OtherEnergyMeters,0),ROUNDUP((COLUMN()+1)/3-2,0)))</f>
        <v/>
      </c>
      <c r="P357" s="127"/>
      <c r="Q357" s="137"/>
      <c r="R357" s="58" t="str" cm="1">
        <f>IF(ISBLANK($A357),"",INDEX(Array_OtherEnergyCharges,MATCH($A357,List_OtherEnergyMeters,0),ROUNDUP((COLUMN()+1)/3-2,0)))</f>
        <v/>
      </c>
      <c r="S357" s="127"/>
      <c r="T357" s="137"/>
    </row>
    <row r="358" spans="1:20" x14ac:dyDescent="0.3">
      <c r="A358" s="126"/>
      <c r="B358" s="133"/>
      <c r="C358" s="127"/>
      <c r="D358" s="138"/>
      <c r="E358" s="137"/>
      <c r="F358" s="58" t="str" cm="1">
        <f>IF(ISBLANK($A358),"",INDEX(Array_OtherEnergyCharges,MATCH($A358,List_OtherEnergyMeters,0),ROUNDUP((COLUMN()+1)/3-2,0)))</f>
        <v/>
      </c>
      <c r="G358" s="127"/>
      <c r="H358" s="137"/>
      <c r="I358" s="58" t="str" cm="1">
        <f>IF(ISBLANK($A358),"",INDEX(Array_OtherEnergyCharges,MATCH($A358,List_OtherEnergyMeters,0),ROUNDUP((COLUMN()+1)/3-2,0)))</f>
        <v/>
      </c>
      <c r="J358" s="127"/>
      <c r="K358" s="137"/>
      <c r="L358" s="58" t="str" cm="1">
        <f>IF(ISBLANK($A358),"",INDEX(Array_OtherEnergyCharges,MATCH($A358,List_OtherEnergyMeters,0),ROUNDUP((COLUMN()+1)/3-2,0)))</f>
        <v/>
      </c>
      <c r="M358" s="127"/>
      <c r="N358" s="137"/>
      <c r="O358" s="58" t="str" cm="1">
        <f>IF(ISBLANK($A358),"",INDEX(Array_OtherEnergyCharges,MATCH($A358,List_OtherEnergyMeters,0),ROUNDUP((COLUMN()+1)/3-2,0)))</f>
        <v/>
      </c>
      <c r="P358" s="127"/>
      <c r="Q358" s="137"/>
      <c r="R358" s="58" t="str" cm="1">
        <f>IF(ISBLANK($A358),"",INDEX(Array_OtherEnergyCharges,MATCH($A358,List_OtherEnergyMeters,0),ROUNDUP((COLUMN()+1)/3-2,0)))</f>
        <v/>
      </c>
      <c r="S358" s="127"/>
      <c r="T358" s="137"/>
    </row>
    <row r="359" spans="1:20" x14ac:dyDescent="0.3">
      <c r="A359" s="126"/>
      <c r="B359" s="133"/>
      <c r="C359" s="127"/>
      <c r="D359" s="138"/>
      <c r="E359" s="137"/>
      <c r="F359" s="58" t="str" cm="1">
        <f>IF(ISBLANK($A359),"",INDEX(Array_OtherEnergyCharges,MATCH($A359,List_OtherEnergyMeters,0),ROUNDUP((COLUMN()+1)/3-2,0)))</f>
        <v/>
      </c>
      <c r="G359" s="127"/>
      <c r="H359" s="137"/>
      <c r="I359" s="58" t="str" cm="1">
        <f>IF(ISBLANK($A359),"",INDEX(Array_OtherEnergyCharges,MATCH($A359,List_OtherEnergyMeters,0),ROUNDUP((COLUMN()+1)/3-2,0)))</f>
        <v/>
      </c>
      <c r="J359" s="127"/>
      <c r="K359" s="137"/>
      <c r="L359" s="58" t="str" cm="1">
        <f>IF(ISBLANK($A359),"",INDEX(Array_OtherEnergyCharges,MATCH($A359,List_OtherEnergyMeters,0),ROUNDUP((COLUMN()+1)/3-2,0)))</f>
        <v/>
      </c>
      <c r="M359" s="127"/>
      <c r="N359" s="137"/>
      <c r="O359" s="58" t="str" cm="1">
        <f>IF(ISBLANK($A359),"",INDEX(Array_OtherEnergyCharges,MATCH($A359,List_OtherEnergyMeters,0),ROUNDUP((COLUMN()+1)/3-2,0)))</f>
        <v/>
      </c>
      <c r="P359" s="127"/>
      <c r="Q359" s="137"/>
      <c r="R359" s="58" t="str" cm="1">
        <f>IF(ISBLANK($A359),"",INDEX(Array_OtherEnergyCharges,MATCH($A359,List_OtherEnergyMeters,0),ROUNDUP((COLUMN()+1)/3-2,0)))</f>
        <v/>
      </c>
      <c r="S359" s="127"/>
      <c r="T359" s="137"/>
    </row>
    <row r="360" spans="1:20" x14ac:dyDescent="0.3">
      <c r="A360" s="126"/>
      <c r="B360" s="133"/>
      <c r="C360" s="127"/>
      <c r="D360" s="138"/>
      <c r="E360" s="137"/>
      <c r="F360" s="58" t="str" cm="1">
        <f>IF(ISBLANK($A360),"",INDEX(Array_OtherEnergyCharges,MATCH($A360,List_OtherEnergyMeters,0),ROUNDUP((COLUMN()+1)/3-2,0)))</f>
        <v/>
      </c>
      <c r="G360" s="127"/>
      <c r="H360" s="137"/>
      <c r="I360" s="58" t="str" cm="1">
        <f>IF(ISBLANK($A360),"",INDEX(Array_OtherEnergyCharges,MATCH($A360,List_OtherEnergyMeters,0),ROUNDUP((COLUMN()+1)/3-2,0)))</f>
        <v/>
      </c>
      <c r="J360" s="127"/>
      <c r="K360" s="137"/>
      <c r="L360" s="58" t="str" cm="1">
        <f>IF(ISBLANK($A360),"",INDEX(Array_OtherEnergyCharges,MATCH($A360,List_OtherEnergyMeters,0),ROUNDUP((COLUMN()+1)/3-2,0)))</f>
        <v/>
      </c>
      <c r="M360" s="127"/>
      <c r="N360" s="137"/>
      <c r="O360" s="58" t="str" cm="1">
        <f>IF(ISBLANK($A360),"",INDEX(Array_OtherEnergyCharges,MATCH($A360,List_OtherEnergyMeters,0),ROUNDUP((COLUMN()+1)/3-2,0)))</f>
        <v/>
      </c>
      <c r="P360" s="127"/>
      <c r="Q360" s="137"/>
      <c r="R360" s="58" t="str" cm="1">
        <f>IF(ISBLANK($A360),"",INDEX(Array_OtherEnergyCharges,MATCH($A360,List_OtherEnergyMeters,0),ROUNDUP((COLUMN()+1)/3-2,0)))</f>
        <v/>
      </c>
      <c r="S360" s="127"/>
      <c r="T360" s="137"/>
    </row>
    <row r="361" spans="1:20" x14ac:dyDescent="0.3">
      <c r="A361" s="126"/>
      <c r="B361" s="133"/>
      <c r="C361" s="127"/>
      <c r="D361" s="138"/>
      <c r="E361" s="137"/>
      <c r="F361" s="58" t="str" cm="1">
        <f>IF(ISBLANK($A361),"",INDEX(Array_OtherEnergyCharges,MATCH($A361,List_OtherEnergyMeters,0),ROUNDUP((COLUMN()+1)/3-2,0)))</f>
        <v/>
      </c>
      <c r="G361" s="127"/>
      <c r="H361" s="137"/>
      <c r="I361" s="58" t="str" cm="1">
        <f>IF(ISBLANK($A361),"",INDEX(Array_OtherEnergyCharges,MATCH($A361,List_OtherEnergyMeters,0),ROUNDUP((COLUMN()+1)/3-2,0)))</f>
        <v/>
      </c>
      <c r="J361" s="127"/>
      <c r="K361" s="137"/>
      <c r="L361" s="58" t="str" cm="1">
        <f>IF(ISBLANK($A361),"",INDEX(Array_OtherEnergyCharges,MATCH($A361,List_OtherEnergyMeters,0),ROUNDUP((COLUMN()+1)/3-2,0)))</f>
        <v/>
      </c>
      <c r="M361" s="127"/>
      <c r="N361" s="137"/>
      <c r="O361" s="58" t="str" cm="1">
        <f>IF(ISBLANK($A361),"",INDEX(Array_OtherEnergyCharges,MATCH($A361,List_OtherEnergyMeters,0),ROUNDUP((COLUMN()+1)/3-2,0)))</f>
        <v/>
      </c>
      <c r="P361" s="127"/>
      <c r="Q361" s="137"/>
      <c r="R361" s="58" t="str" cm="1">
        <f>IF(ISBLANK($A361),"",INDEX(Array_OtherEnergyCharges,MATCH($A361,List_OtherEnergyMeters,0),ROUNDUP((COLUMN()+1)/3-2,0)))</f>
        <v/>
      </c>
      <c r="S361" s="127"/>
      <c r="T361" s="137"/>
    </row>
    <row r="362" spans="1:20" x14ac:dyDescent="0.3">
      <c r="A362" s="126"/>
      <c r="B362" s="133"/>
      <c r="C362" s="127"/>
      <c r="D362" s="138"/>
      <c r="E362" s="137"/>
      <c r="F362" s="58" t="str" cm="1">
        <f>IF(ISBLANK($A362),"",INDEX(Array_OtherEnergyCharges,MATCH($A362,List_OtherEnergyMeters,0),ROUNDUP((COLUMN()+1)/3-2,0)))</f>
        <v/>
      </c>
      <c r="G362" s="127"/>
      <c r="H362" s="137"/>
      <c r="I362" s="58" t="str" cm="1">
        <f>IF(ISBLANK($A362),"",INDEX(Array_OtherEnergyCharges,MATCH($A362,List_OtherEnergyMeters,0),ROUNDUP((COLUMN()+1)/3-2,0)))</f>
        <v/>
      </c>
      <c r="J362" s="127"/>
      <c r="K362" s="137"/>
      <c r="L362" s="58" t="str" cm="1">
        <f>IF(ISBLANK($A362),"",INDEX(Array_OtherEnergyCharges,MATCH($A362,List_OtherEnergyMeters,0),ROUNDUP((COLUMN()+1)/3-2,0)))</f>
        <v/>
      </c>
      <c r="M362" s="127"/>
      <c r="N362" s="137"/>
      <c r="O362" s="58" t="str" cm="1">
        <f>IF(ISBLANK($A362),"",INDEX(Array_OtherEnergyCharges,MATCH($A362,List_OtherEnergyMeters,0),ROUNDUP((COLUMN()+1)/3-2,0)))</f>
        <v/>
      </c>
      <c r="P362" s="127"/>
      <c r="Q362" s="137"/>
      <c r="R362" s="58" t="str" cm="1">
        <f>IF(ISBLANK($A362),"",INDEX(Array_OtherEnergyCharges,MATCH($A362,List_OtherEnergyMeters,0),ROUNDUP((COLUMN()+1)/3-2,0)))</f>
        <v/>
      </c>
      <c r="S362" s="127"/>
      <c r="T362" s="137"/>
    </row>
    <row r="363" spans="1:20" x14ac:dyDescent="0.3">
      <c r="A363" s="126"/>
      <c r="B363" s="133"/>
      <c r="C363" s="127"/>
      <c r="D363" s="138"/>
      <c r="E363" s="137"/>
      <c r="F363" s="58" t="str" cm="1">
        <f>IF(ISBLANK($A363),"",INDEX(Array_OtherEnergyCharges,MATCH($A363,List_OtherEnergyMeters,0),ROUNDUP((COLUMN()+1)/3-2,0)))</f>
        <v/>
      </c>
      <c r="G363" s="127"/>
      <c r="H363" s="137"/>
      <c r="I363" s="58" t="str" cm="1">
        <f>IF(ISBLANK($A363),"",INDEX(Array_OtherEnergyCharges,MATCH($A363,List_OtherEnergyMeters,0),ROUNDUP((COLUMN()+1)/3-2,0)))</f>
        <v/>
      </c>
      <c r="J363" s="127"/>
      <c r="K363" s="137"/>
      <c r="L363" s="58" t="str" cm="1">
        <f>IF(ISBLANK($A363),"",INDEX(Array_OtherEnergyCharges,MATCH($A363,List_OtherEnergyMeters,0),ROUNDUP((COLUMN()+1)/3-2,0)))</f>
        <v/>
      </c>
      <c r="M363" s="127"/>
      <c r="N363" s="137"/>
      <c r="O363" s="58" t="str" cm="1">
        <f>IF(ISBLANK($A363),"",INDEX(Array_OtherEnergyCharges,MATCH($A363,List_OtherEnergyMeters,0),ROUNDUP((COLUMN()+1)/3-2,0)))</f>
        <v/>
      </c>
      <c r="P363" s="127"/>
      <c r="Q363" s="137"/>
      <c r="R363" s="58" t="str" cm="1">
        <f>IF(ISBLANK($A363),"",INDEX(Array_OtherEnergyCharges,MATCH($A363,List_OtherEnergyMeters,0),ROUNDUP((COLUMN()+1)/3-2,0)))</f>
        <v/>
      </c>
      <c r="S363" s="127"/>
      <c r="T363" s="137"/>
    </row>
    <row r="364" spans="1:20" x14ac:dyDescent="0.3">
      <c r="A364" s="126"/>
      <c r="B364" s="133"/>
      <c r="C364" s="127"/>
      <c r="D364" s="138"/>
      <c r="E364" s="137"/>
      <c r="F364" s="58" t="str" cm="1">
        <f>IF(ISBLANK($A364),"",INDEX(Array_OtherEnergyCharges,MATCH($A364,List_OtherEnergyMeters,0),ROUNDUP((COLUMN()+1)/3-2,0)))</f>
        <v/>
      </c>
      <c r="G364" s="127"/>
      <c r="H364" s="137"/>
      <c r="I364" s="58" t="str" cm="1">
        <f>IF(ISBLANK($A364),"",INDEX(Array_OtherEnergyCharges,MATCH($A364,List_OtherEnergyMeters,0),ROUNDUP((COLUMN()+1)/3-2,0)))</f>
        <v/>
      </c>
      <c r="J364" s="127"/>
      <c r="K364" s="137"/>
      <c r="L364" s="58" t="str" cm="1">
        <f>IF(ISBLANK($A364),"",INDEX(Array_OtherEnergyCharges,MATCH($A364,List_OtherEnergyMeters,0),ROUNDUP((COLUMN()+1)/3-2,0)))</f>
        <v/>
      </c>
      <c r="M364" s="127"/>
      <c r="N364" s="137"/>
      <c r="O364" s="58" t="str" cm="1">
        <f>IF(ISBLANK($A364),"",INDEX(Array_OtherEnergyCharges,MATCH($A364,List_OtherEnergyMeters,0),ROUNDUP((COLUMN()+1)/3-2,0)))</f>
        <v/>
      </c>
      <c r="P364" s="127"/>
      <c r="Q364" s="137"/>
      <c r="R364" s="58" t="str" cm="1">
        <f>IF(ISBLANK($A364),"",INDEX(Array_OtherEnergyCharges,MATCH($A364,List_OtherEnergyMeters,0),ROUNDUP((COLUMN()+1)/3-2,0)))</f>
        <v/>
      </c>
      <c r="S364" s="127"/>
      <c r="T364" s="137"/>
    </row>
    <row r="365" spans="1:20" x14ac:dyDescent="0.3">
      <c r="A365" s="126"/>
      <c r="B365" s="133"/>
      <c r="C365" s="127"/>
      <c r="D365" s="138"/>
      <c r="E365" s="137"/>
      <c r="F365" s="58" t="str" cm="1">
        <f>IF(ISBLANK($A365),"",INDEX(Array_OtherEnergyCharges,MATCH($A365,List_OtherEnergyMeters,0),ROUNDUP((COLUMN()+1)/3-2,0)))</f>
        <v/>
      </c>
      <c r="G365" s="127"/>
      <c r="H365" s="137"/>
      <c r="I365" s="58" t="str" cm="1">
        <f>IF(ISBLANK($A365),"",INDEX(Array_OtherEnergyCharges,MATCH($A365,List_OtherEnergyMeters,0),ROUNDUP((COLUMN()+1)/3-2,0)))</f>
        <v/>
      </c>
      <c r="J365" s="127"/>
      <c r="K365" s="137"/>
      <c r="L365" s="58" t="str" cm="1">
        <f>IF(ISBLANK($A365),"",INDEX(Array_OtherEnergyCharges,MATCH($A365,List_OtherEnergyMeters,0),ROUNDUP((COLUMN()+1)/3-2,0)))</f>
        <v/>
      </c>
      <c r="M365" s="127"/>
      <c r="N365" s="137"/>
      <c r="O365" s="58" t="str" cm="1">
        <f>IF(ISBLANK($A365),"",INDEX(Array_OtherEnergyCharges,MATCH($A365,List_OtherEnergyMeters,0),ROUNDUP((COLUMN()+1)/3-2,0)))</f>
        <v/>
      </c>
      <c r="P365" s="127"/>
      <c r="Q365" s="137"/>
      <c r="R365" s="58" t="str" cm="1">
        <f>IF(ISBLANK($A365),"",INDEX(Array_OtherEnergyCharges,MATCH($A365,List_OtherEnergyMeters,0),ROUNDUP((COLUMN()+1)/3-2,0)))</f>
        <v/>
      </c>
      <c r="S365" s="127"/>
      <c r="T365" s="137"/>
    </row>
    <row r="366" spans="1:20" x14ac:dyDescent="0.3">
      <c r="A366" s="126"/>
      <c r="B366" s="133"/>
      <c r="C366" s="127"/>
      <c r="D366" s="138"/>
      <c r="E366" s="137"/>
      <c r="F366" s="58" t="str" cm="1">
        <f>IF(ISBLANK($A366),"",INDEX(Array_OtherEnergyCharges,MATCH($A366,List_OtherEnergyMeters,0),ROUNDUP((COLUMN()+1)/3-2,0)))</f>
        <v/>
      </c>
      <c r="G366" s="127"/>
      <c r="H366" s="137"/>
      <c r="I366" s="58" t="str" cm="1">
        <f>IF(ISBLANK($A366),"",INDEX(Array_OtherEnergyCharges,MATCH($A366,List_OtherEnergyMeters,0),ROUNDUP((COLUMN()+1)/3-2,0)))</f>
        <v/>
      </c>
      <c r="J366" s="127"/>
      <c r="K366" s="137"/>
      <c r="L366" s="58" t="str" cm="1">
        <f>IF(ISBLANK($A366),"",INDEX(Array_OtherEnergyCharges,MATCH($A366,List_OtherEnergyMeters,0),ROUNDUP((COLUMN()+1)/3-2,0)))</f>
        <v/>
      </c>
      <c r="M366" s="127"/>
      <c r="N366" s="137"/>
      <c r="O366" s="58" t="str" cm="1">
        <f>IF(ISBLANK($A366),"",INDEX(Array_OtherEnergyCharges,MATCH($A366,List_OtherEnergyMeters,0),ROUNDUP((COLUMN()+1)/3-2,0)))</f>
        <v/>
      </c>
      <c r="P366" s="127"/>
      <c r="Q366" s="137"/>
      <c r="R366" s="58" t="str" cm="1">
        <f>IF(ISBLANK($A366),"",INDEX(Array_OtherEnergyCharges,MATCH($A366,List_OtherEnergyMeters,0),ROUNDUP((COLUMN()+1)/3-2,0)))</f>
        <v/>
      </c>
      <c r="S366" s="127"/>
      <c r="T366" s="137"/>
    </row>
    <row r="367" spans="1:20" x14ac:dyDescent="0.3">
      <c r="A367" s="126"/>
      <c r="B367" s="133"/>
      <c r="C367" s="127"/>
      <c r="D367" s="138"/>
      <c r="E367" s="137"/>
      <c r="F367" s="58" t="str" cm="1">
        <f>IF(ISBLANK($A367),"",INDEX(Array_OtherEnergyCharges,MATCH($A367,List_OtherEnergyMeters,0),ROUNDUP((COLUMN()+1)/3-2,0)))</f>
        <v/>
      </c>
      <c r="G367" s="127"/>
      <c r="H367" s="137"/>
      <c r="I367" s="58" t="str" cm="1">
        <f>IF(ISBLANK($A367),"",INDEX(Array_OtherEnergyCharges,MATCH($A367,List_OtherEnergyMeters,0),ROUNDUP((COLUMN()+1)/3-2,0)))</f>
        <v/>
      </c>
      <c r="J367" s="127"/>
      <c r="K367" s="137"/>
      <c r="L367" s="58" t="str" cm="1">
        <f>IF(ISBLANK($A367),"",INDEX(Array_OtherEnergyCharges,MATCH($A367,List_OtherEnergyMeters,0),ROUNDUP((COLUMN()+1)/3-2,0)))</f>
        <v/>
      </c>
      <c r="M367" s="127"/>
      <c r="N367" s="137"/>
      <c r="O367" s="58" t="str" cm="1">
        <f>IF(ISBLANK($A367),"",INDEX(Array_OtherEnergyCharges,MATCH($A367,List_OtherEnergyMeters,0),ROUNDUP((COLUMN()+1)/3-2,0)))</f>
        <v/>
      </c>
      <c r="P367" s="127"/>
      <c r="Q367" s="137"/>
      <c r="R367" s="58" t="str" cm="1">
        <f>IF(ISBLANK($A367),"",INDEX(Array_OtherEnergyCharges,MATCH($A367,List_OtherEnergyMeters,0),ROUNDUP((COLUMN()+1)/3-2,0)))</f>
        <v/>
      </c>
      <c r="S367" s="127"/>
      <c r="T367" s="137"/>
    </row>
    <row r="368" spans="1:20" x14ac:dyDescent="0.3">
      <c r="A368" s="126"/>
      <c r="B368" s="133"/>
      <c r="C368" s="127"/>
      <c r="D368" s="138"/>
      <c r="E368" s="137"/>
      <c r="F368" s="58" t="str" cm="1">
        <f>IF(ISBLANK($A368),"",INDEX(Array_OtherEnergyCharges,MATCH($A368,List_OtherEnergyMeters,0),ROUNDUP((COLUMN()+1)/3-2,0)))</f>
        <v/>
      </c>
      <c r="G368" s="127"/>
      <c r="H368" s="137"/>
      <c r="I368" s="58" t="str" cm="1">
        <f>IF(ISBLANK($A368),"",INDEX(Array_OtherEnergyCharges,MATCH($A368,List_OtherEnergyMeters,0),ROUNDUP((COLUMN()+1)/3-2,0)))</f>
        <v/>
      </c>
      <c r="J368" s="127"/>
      <c r="K368" s="137"/>
      <c r="L368" s="58" t="str" cm="1">
        <f>IF(ISBLANK($A368),"",INDEX(Array_OtherEnergyCharges,MATCH($A368,List_OtherEnergyMeters,0),ROUNDUP((COLUMN()+1)/3-2,0)))</f>
        <v/>
      </c>
      <c r="M368" s="127"/>
      <c r="N368" s="137"/>
      <c r="O368" s="58" t="str" cm="1">
        <f>IF(ISBLANK($A368),"",INDEX(Array_OtherEnergyCharges,MATCH($A368,List_OtherEnergyMeters,0),ROUNDUP((COLUMN()+1)/3-2,0)))</f>
        <v/>
      </c>
      <c r="P368" s="127"/>
      <c r="Q368" s="137"/>
      <c r="R368" s="58" t="str" cm="1">
        <f>IF(ISBLANK($A368),"",INDEX(Array_OtherEnergyCharges,MATCH($A368,List_OtherEnergyMeters,0),ROUNDUP((COLUMN()+1)/3-2,0)))</f>
        <v/>
      </c>
      <c r="S368" s="127"/>
      <c r="T368" s="137"/>
    </row>
    <row r="369" spans="1:20" x14ac:dyDescent="0.3">
      <c r="A369" s="126"/>
      <c r="B369" s="133"/>
      <c r="C369" s="127"/>
      <c r="D369" s="138"/>
      <c r="E369" s="137"/>
      <c r="F369" s="58" t="str" cm="1">
        <f>IF(ISBLANK($A369),"",INDEX(Array_OtherEnergyCharges,MATCH($A369,List_OtherEnergyMeters,0),ROUNDUP((COLUMN()+1)/3-2,0)))</f>
        <v/>
      </c>
      <c r="G369" s="127"/>
      <c r="H369" s="137"/>
      <c r="I369" s="58" t="str" cm="1">
        <f>IF(ISBLANK($A369),"",INDEX(Array_OtherEnergyCharges,MATCH($A369,List_OtherEnergyMeters,0),ROUNDUP((COLUMN()+1)/3-2,0)))</f>
        <v/>
      </c>
      <c r="J369" s="127"/>
      <c r="K369" s="137"/>
      <c r="L369" s="58" t="str" cm="1">
        <f>IF(ISBLANK($A369),"",INDEX(Array_OtherEnergyCharges,MATCH($A369,List_OtherEnergyMeters,0),ROUNDUP((COLUMN()+1)/3-2,0)))</f>
        <v/>
      </c>
      <c r="M369" s="127"/>
      <c r="N369" s="137"/>
      <c r="O369" s="58" t="str" cm="1">
        <f>IF(ISBLANK($A369),"",INDEX(Array_OtherEnergyCharges,MATCH($A369,List_OtherEnergyMeters,0),ROUNDUP((COLUMN()+1)/3-2,0)))</f>
        <v/>
      </c>
      <c r="P369" s="127"/>
      <c r="Q369" s="137"/>
      <c r="R369" s="58" t="str" cm="1">
        <f>IF(ISBLANK($A369),"",INDEX(Array_OtherEnergyCharges,MATCH($A369,List_OtherEnergyMeters,0),ROUNDUP((COLUMN()+1)/3-2,0)))</f>
        <v/>
      </c>
      <c r="S369" s="127"/>
      <c r="T369" s="137"/>
    </row>
    <row r="370" spans="1:20" x14ac:dyDescent="0.3">
      <c r="A370" s="126"/>
      <c r="B370" s="133"/>
      <c r="C370" s="127"/>
      <c r="D370" s="138"/>
      <c r="E370" s="137"/>
      <c r="F370" s="58" t="str" cm="1">
        <f>IF(ISBLANK($A370),"",INDEX(Array_OtherEnergyCharges,MATCH($A370,List_OtherEnergyMeters,0),ROUNDUP((COLUMN()+1)/3-2,0)))</f>
        <v/>
      </c>
      <c r="G370" s="127"/>
      <c r="H370" s="137"/>
      <c r="I370" s="58" t="str" cm="1">
        <f>IF(ISBLANK($A370),"",INDEX(Array_OtherEnergyCharges,MATCH($A370,List_OtherEnergyMeters,0),ROUNDUP((COLUMN()+1)/3-2,0)))</f>
        <v/>
      </c>
      <c r="J370" s="127"/>
      <c r="K370" s="137"/>
      <c r="L370" s="58" t="str" cm="1">
        <f>IF(ISBLANK($A370),"",INDEX(Array_OtherEnergyCharges,MATCH($A370,List_OtherEnergyMeters,0),ROUNDUP((COLUMN()+1)/3-2,0)))</f>
        <v/>
      </c>
      <c r="M370" s="127"/>
      <c r="N370" s="137"/>
      <c r="O370" s="58" t="str" cm="1">
        <f>IF(ISBLANK($A370),"",INDEX(Array_OtherEnergyCharges,MATCH($A370,List_OtherEnergyMeters,0),ROUNDUP((COLUMN()+1)/3-2,0)))</f>
        <v/>
      </c>
      <c r="P370" s="127"/>
      <c r="Q370" s="137"/>
      <c r="R370" s="58" t="str" cm="1">
        <f>IF(ISBLANK($A370),"",INDEX(Array_OtherEnergyCharges,MATCH($A370,List_OtherEnergyMeters,0),ROUNDUP((COLUMN()+1)/3-2,0)))</f>
        <v/>
      </c>
      <c r="S370" s="127"/>
      <c r="T370" s="137"/>
    </row>
    <row r="371" spans="1:20" x14ac:dyDescent="0.3">
      <c r="A371" s="126"/>
      <c r="B371" s="133"/>
      <c r="C371" s="127"/>
      <c r="D371" s="138"/>
      <c r="E371" s="137"/>
      <c r="F371" s="58" t="str" cm="1">
        <f>IF(ISBLANK($A371),"",INDEX(Array_OtherEnergyCharges,MATCH($A371,List_OtherEnergyMeters,0),ROUNDUP((COLUMN()+1)/3-2,0)))</f>
        <v/>
      </c>
      <c r="G371" s="127"/>
      <c r="H371" s="137"/>
      <c r="I371" s="58" t="str" cm="1">
        <f>IF(ISBLANK($A371),"",INDEX(Array_OtherEnergyCharges,MATCH($A371,List_OtherEnergyMeters,0),ROUNDUP((COLUMN()+1)/3-2,0)))</f>
        <v/>
      </c>
      <c r="J371" s="127"/>
      <c r="K371" s="137"/>
      <c r="L371" s="58" t="str" cm="1">
        <f>IF(ISBLANK($A371),"",INDEX(Array_OtherEnergyCharges,MATCH($A371,List_OtherEnergyMeters,0),ROUNDUP((COLUMN()+1)/3-2,0)))</f>
        <v/>
      </c>
      <c r="M371" s="127"/>
      <c r="N371" s="137"/>
      <c r="O371" s="58" t="str" cm="1">
        <f>IF(ISBLANK($A371),"",INDEX(Array_OtherEnergyCharges,MATCH($A371,List_OtherEnergyMeters,0),ROUNDUP((COLUMN()+1)/3-2,0)))</f>
        <v/>
      </c>
      <c r="P371" s="127"/>
      <c r="Q371" s="137"/>
      <c r="R371" s="58" t="str" cm="1">
        <f>IF(ISBLANK($A371),"",INDEX(Array_OtherEnergyCharges,MATCH($A371,List_OtherEnergyMeters,0),ROUNDUP((COLUMN()+1)/3-2,0)))</f>
        <v/>
      </c>
      <c r="S371" s="127"/>
      <c r="T371" s="137"/>
    </row>
    <row r="372" spans="1:20" x14ac:dyDescent="0.3">
      <c r="A372" s="126"/>
      <c r="B372" s="133"/>
      <c r="C372" s="127"/>
      <c r="D372" s="138"/>
      <c r="E372" s="137"/>
      <c r="F372" s="58" t="str" cm="1">
        <f>IF(ISBLANK($A372),"",INDEX(Array_OtherEnergyCharges,MATCH($A372,List_OtherEnergyMeters,0),ROUNDUP((COLUMN()+1)/3-2,0)))</f>
        <v/>
      </c>
      <c r="G372" s="127"/>
      <c r="H372" s="137"/>
      <c r="I372" s="58" t="str" cm="1">
        <f>IF(ISBLANK($A372),"",INDEX(Array_OtherEnergyCharges,MATCH($A372,List_OtherEnergyMeters,0),ROUNDUP((COLUMN()+1)/3-2,0)))</f>
        <v/>
      </c>
      <c r="J372" s="127"/>
      <c r="K372" s="137"/>
      <c r="L372" s="58" t="str" cm="1">
        <f>IF(ISBLANK($A372),"",INDEX(Array_OtherEnergyCharges,MATCH($A372,List_OtherEnergyMeters,0),ROUNDUP((COLUMN()+1)/3-2,0)))</f>
        <v/>
      </c>
      <c r="M372" s="127"/>
      <c r="N372" s="137"/>
      <c r="O372" s="58" t="str" cm="1">
        <f>IF(ISBLANK($A372),"",INDEX(Array_OtherEnergyCharges,MATCH($A372,List_OtherEnergyMeters,0),ROUNDUP((COLUMN()+1)/3-2,0)))</f>
        <v/>
      </c>
      <c r="P372" s="127"/>
      <c r="Q372" s="137"/>
      <c r="R372" s="58" t="str" cm="1">
        <f>IF(ISBLANK($A372),"",INDEX(Array_OtherEnergyCharges,MATCH($A372,List_OtherEnergyMeters,0),ROUNDUP((COLUMN()+1)/3-2,0)))</f>
        <v/>
      </c>
      <c r="S372" s="127"/>
      <c r="T372" s="137"/>
    </row>
    <row r="373" spans="1:20" x14ac:dyDescent="0.3">
      <c r="A373" s="126"/>
      <c r="B373" s="133"/>
      <c r="C373" s="127"/>
      <c r="D373" s="138"/>
      <c r="E373" s="137"/>
      <c r="F373" s="58" t="str" cm="1">
        <f>IF(ISBLANK($A373),"",INDEX(Array_OtherEnergyCharges,MATCH($A373,List_OtherEnergyMeters,0),ROUNDUP((COLUMN()+1)/3-2,0)))</f>
        <v/>
      </c>
      <c r="G373" s="127"/>
      <c r="H373" s="137"/>
      <c r="I373" s="58" t="str" cm="1">
        <f>IF(ISBLANK($A373),"",INDEX(Array_OtherEnergyCharges,MATCH($A373,List_OtherEnergyMeters,0),ROUNDUP((COLUMN()+1)/3-2,0)))</f>
        <v/>
      </c>
      <c r="J373" s="127"/>
      <c r="K373" s="137"/>
      <c r="L373" s="58" t="str" cm="1">
        <f>IF(ISBLANK($A373),"",INDEX(Array_OtherEnergyCharges,MATCH($A373,List_OtherEnergyMeters,0),ROUNDUP((COLUMN()+1)/3-2,0)))</f>
        <v/>
      </c>
      <c r="M373" s="127"/>
      <c r="N373" s="137"/>
      <c r="O373" s="58" t="str" cm="1">
        <f>IF(ISBLANK($A373),"",INDEX(Array_OtherEnergyCharges,MATCH($A373,List_OtherEnergyMeters,0),ROUNDUP((COLUMN()+1)/3-2,0)))</f>
        <v/>
      </c>
      <c r="P373" s="127"/>
      <c r="Q373" s="137"/>
      <c r="R373" s="58" t="str" cm="1">
        <f>IF(ISBLANK($A373),"",INDEX(Array_OtherEnergyCharges,MATCH($A373,List_OtherEnergyMeters,0),ROUNDUP((COLUMN()+1)/3-2,0)))</f>
        <v/>
      </c>
      <c r="S373" s="127"/>
      <c r="T373" s="137"/>
    </row>
    <row r="374" spans="1:20" x14ac:dyDescent="0.3">
      <c r="A374" s="126"/>
      <c r="B374" s="133"/>
      <c r="C374" s="127"/>
      <c r="D374" s="138"/>
      <c r="E374" s="137"/>
      <c r="F374" s="58" t="str" cm="1">
        <f>IF(ISBLANK($A374),"",INDEX(Array_OtherEnergyCharges,MATCH($A374,List_OtherEnergyMeters,0),ROUNDUP((COLUMN()+1)/3-2,0)))</f>
        <v/>
      </c>
      <c r="G374" s="127"/>
      <c r="H374" s="137"/>
      <c r="I374" s="58" t="str" cm="1">
        <f>IF(ISBLANK($A374),"",INDEX(Array_OtherEnergyCharges,MATCH($A374,List_OtherEnergyMeters,0),ROUNDUP((COLUMN()+1)/3-2,0)))</f>
        <v/>
      </c>
      <c r="J374" s="127"/>
      <c r="K374" s="137"/>
      <c r="L374" s="58" t="str" cm="1">
        <f>IF(ISBLANK($A374),"",INDEX(Array_OtherEnergyCharges,MATCH($A374,List_OtherEnergyMeters,0),ROUNDUP((COLUMN()+1)/3-2,0)))</f>
        <v/>
      </c>
      <c r="M374" s="127"/>
      <c r="N374" s="137"/>
      <c r="O374" s="58" t="str" cm="1">
        <f>IF(ISBLANK($A374),"",INDEX(Array_OtherEnergyCharges,MATCH($A374,List_OtherEnergyMeters,0),ROUNDUP((COLUMN()+1)/3-2,0)))</f>
        <v/>
      </c>
      <c r="P374" s="127"/>
      <c r="Q374" s="137"/>
      <c r="R374" s="58" t="str" cm="1">
        <f>IF(ISBLANK($A374),"",INDEX(Array_OtherEnergyCharges,MATCH($A374,List_OtherEnergyMeters,0),ROUNDUP((COLUMN()+1)/3-2,0)))</f>
        <v/>
      </c>
      <c r="S374" s="127"/>
      <c r="T374" s="137"/>
    </row>
    <row r="375" spans="1:20" x14ac:dyDescent="0.3">
      <c r="A375" s="126"/>
      <c r="B375" s="133"/>
      <c r="C375" s="127"/>
      <c r="D375" s="138"/>
      <c r="E375" s="137"/>
      <c r="F375" s="58" t="str" cm="1">
        <f>IF(ISBLANK($A375),"",INDEX(Array_OtherEnergyCharges,MATCH($A375,List_OtherEnergyMeters,0),ROUNDUP((COLUMN()+1)/3-2,0)))</f>
        <v/>
      </c>
      <c r="G375" s="127"/>
      <c r="H375" s="137"/>
      <c r="I375" s="58" t="str" cm="1">
        <f>IF(ISBLANK($A375),"",INDEX(Array_OtherEnergyCharges,MATCH($A375,List_OtherEnergyMeters,0),ROUNDUP((COLUMN()+1)/3-2,0)))</f>
        <v/>
      </c>
      <c r="J375" s="127"/>
      <c r="K375" s="137"/>
      <c r="L375" s="58" t="str" cm="1">
        <f>IF(ISBLANK($A375),"",INDEX(Array_OtherEnergyCharges,MATCH($A375,List_OtherEnergyMeters,0),ROUNDUP((COLUMN()+1)/3-2,0)))</f>
        <v/>
      </c>
      <c r="M375" s="127"/>
      <c r="N375" s="137"/>
      <c r="O375" s="58" t="str" cm="1">
        <f>IF(ISBLANK($A375),"",INDEX(Array_OtherEnergyCharges,MATCH($A375,List_OtherEnergyMeters,0),ROUNDUP((COLUMN()+1)/3-2,0)))</f>
        <v/>
      </c>
      <c r="P375" s="127"/>
      <c r="Q375" s="137"/>
      <c r="R375" s="58" t="str" cm="1">
        <f>IF(ISBLANK($A375),"",INDEX(Array_OtherEnergyCharges,MATCH($A375,List_OtherEnergyMeters,0),ROUNDUP((COLUMN()+1)/3-2,0)))</f>
        <v/>
      </c>
      <c r="S375" s="127"/>
      <c r="T375" s="137"/>
    </row>
    <row r="376" spans="1:20" x14ac:dyDescent="0.3">
      <c r="A376" s="126"/>
      <c r="B376" s="133"/>
      <c r="C376" s="127"/>
      <c r="D376" s="138"/>
      <c r="E376" s="137"/>
      <c r="F376" s="58" t="str" cm="1">
        <f>IF(ISBLANK($A376),"",INDEX(Array_OtherEnergyCharges,MATCH($A376,List_OtherEnergyMeters,0),ROUNDUP((COLUMN()+1)/3-2,0)))</f>
        <v/>
      </c>
      <c r="G376" s="127"/>
      <c r="H376" s="137"/>
      <c r="I376" s="58" t="str" cm="1">
        <f>IF(ISBLANK($A376),"",INDEX(Array_OtherEnergyCharges,MATCH($A376,List_OtherEnergyMeters,0),ROUNDUP((COLUMN()+1)/3-2,0)))</f>
        <v/>
      </c>
      <c r="J376" s="127"/>
      <c r="K376" s="137"/>
      <c r="L376" s="58" t="str" cm="1">
        <f>IF(ISBLANK($A376),"",INDEX(Array_OtherEnergyCharges,MATCH($A376,List_OtherEnergyMeters,0),ROUNDUP((COLUMN()+1)/3-2,0)))</f>
        <v/>
      </c>
      <c r="M376" s="127"/>
      <c r="N376" s="137"/>
      <c r="O376" s="58" t="str" cm="1">
        <f>IF(ISBLANK($A376),"",INDEX(Array_OtherEnergyCharges,MATCH($A376,List_OtherEnergyMeters,0),ROUNDUP((COLUMN()+1)/3-2,0)))</f>
        <v/>
      </c>
      <c r="P376" s="127"/>
      <c r="Q376" s="137"/>
      <c r="R376" s="58" t="str" cm="1">
        <f>IF(ISBLANK($A376),"",INDEX(Array_OtherEnergyCharges,MATCH($A376,List_OtherEnergyMeters,0),ROUNDUP((COLUMN()+1)/3-2,0)))</f>
        <v/>
      </c>
      <c r="S376" s="127"/>
      <c r="T376" s="137"/>
    </row>
    <row r="377" spans="1:20" x14ac:dyDescent="0.3">
      <c r="A377" s="126"/>
      <c r="B377" s="133"/>
      <c r="C377" s="127"/>
      <c r="D377" s="138"/>
      <c r="E377" s="137"/>
      <c r="F377" s="58" t="str" cm="1">
        <f>IF(ISBLANK($A377),"",INDEX(Array_OtherEnergyCharges,MATCH($A377,List_OtherEnergyMeters,0),ROUNDUP((COLUMN()+1)/3-2,0)))</f>
        <v/>
      </c>
      <c r="G377" s="127"/>
      <c r="H377" s="137"/>
      <c r="I377" s="58" t="str" cm="1">
        <f>IF(ISBLANK($A377),"",INDEX(Array_OtherEnergyCharges,MATCH($A377,List_OtherEnergyMeters,0),ROUNDUP((COLUMN()+1)/3-2,0)))</f>
        <v/>
      </c>
      <c r="J377" s="127"/>
      <c r="K377" s="137"/>
      <c r="L377" s="58" t="str" cm="1">
        <f>IF(ISBLANK($A377),"",INDEX(Array_OtherEnergyCharges,MATCH($A377,List_OtherEnergyMeters,0),ROUNDUP((COLUMN()+1)/3-2,0)))</f>
        <v/>
      </c>
      <c r="M377" s="127"/>
      <c r="N377" s="137"/>
      <c r="O377" s="58" t="str" cm="1">
        <f>IF(ISBLANK($A377),"",INDEX(Array_OtherEnergyCharges,MATCH($A377,List_OtherEnergyMeters,0),ROUNDUP((COLUMN()+1)/3-2,0)))</f>
        <v/>
      </c>
      <c r="P377" s="127"/>
      <c r="Q377" s="137"/>
      <c r="R377" s="58" t="str" cm="1">
        <f>IF(ISBLANK($A377),"",INDEX(Array_OtherEnergyCharges,MATCH($A377,List_OtherEnergyMeters,0),ROUNDUP((COLUMN()+1)/3-2,0)))</f>
        <v/>
      </c>
      <c r="S377" s="127"/>
      <c r="T377" s="137"/>
    </row>
    <row r="378" spans="1:20" x14ac:dyDescent="0.3">
      <c r="A378" s="126"/>
      <c r="B378" s="133"/>
      <c r="C378" s="127"/>
      <c r="D378" s="138"/>
      <c r="E378" s="137"/>
      <c r="F378" s="58" t="str" cm="1">
        <f>IF(ISBLANK($A378),"",INDEX(Array_OtherEnergyCharges,MATCH($A378,List_OtherEnergyMeters,0),ROUNDUP((COLUMN()+1)/3-2,0)))</f>
        <v/>
      </c>
      <c r="G378" s="127"/>
      <c r="H378" s="137"/>
      <c r="I378" s="58" t="str" cm="1">
        <f>IF(ISBLANK($A378),"",INDEX(Array_OtherEnergyCharges,MATCH($A378,List_OtherEnergyMeters,0),ROUNDUP((COLUMN()+1)/3-2,0)))</f>
        <v/>
      </c>
      <c r="J378" s="127"/>
      <c r="K378" s="137"/>
      <c r="L378" s="58" t="str" cm="1">
        <f>IF(ISBLANK($A378),"",INDEX(Array_OtherEnergyCharges,MATCH($A378,List_OtherEnergyMeters,0),ROUNDUP((COLUMN()+1)/3-2,0)))</f>
        <v/>
      </c>
      <c r="M378" s="127"/>
      <c r="N378" s="137"/>
      <c r="O378" s="58" t="str" cm="1">
        <f>IF(ISBLANK($A378),"",INDEX(Array_OtherEnergyCharges,MATCH($A378,List_OtherEnergyMeters,0),ROUNDUP((COLUMN()+1)/3-2,0)))</f>
        <v/>
      </c>
      <c r="P378" s="127"/>
      <c r="Q378" s="137"/>
      <c r="R378" s="58" t="str" cm="1">
        <f>IF(ISBLANK($A378),"",INDEX(Array_OtherEnergyCharges,MATCH($A378,List_OtherEnergyMeters,0),ROUNDUP((COLUMN()+1)/3-2,0)))</f>
        <v/>
      </c>
      <c r="S378" s="127"/>
      <c r="T378" s="137"/>
    </row>
    <row r="379" spans="1:20" x14ac:dyDescent="0.3">
      <c r="A379" s="126"/>
      <c r="B379" s="133"/>
      <c r="C379" s="127"/>
      <c r="D379" s="138"/>
      <c r="E379" s="137"/>
      <c r="F379" s="58" t="str" cm="1">
        <f>IF(ISBLANK($A379),"",INDEX(Array_OtherEnergyCharges,MATCH($A379,List_OtherEnergyMeters,0),ROUNDUP((COLUMN()+1)/3-2,0)))</f>
        <v/>
      </c>
      <c r="G379" s="127"/>
      <c r="H379" s="137"/>
      <c r="I379" s="58" t="str" cm="1">
        <f>IF(ISBLANK($A379),"",INDEX(Array_OtherEnergyCharges,MATCH($A379,List_OtherEnergyMeters,0),ROUNDUP((COLUMN()+1)/3-2,0)))</f>
        <v/>
      </c>
      <c r="J379" s="127"/>
      <c r="K379" s="137"/>
      <c r="L379" s="58" t="str" cm="1">
        <f>IF(ISBLANK($A379),"",INDEX(Array_OtherEnergyCharges,MATCH($A379,List_OtherEnergyMeters,0),ROUNDUP((COLUMN()+1)/3-2,0)))</f>
        <v/>
      </c>
      <c r="M379" s="127"/>
      <c r="N379" s="137"/>
      <c r="O379" s="58" t="str" cm="1">
        <f>IF(ISBLANK($A379),"",INDEX(Array_OtherEnergyCharges,MATCH($A379,List_OtherEnergyMeters,0),ROUNDUP((COLUMN()+1)/3-2,0)))</f>
        <v/>
      </c>
      <c r="P379" s="127"/>
      <c r="Q379" s="137"/>
      <c r="R379" s="58" t="str" cm="1">
        <f>IF(ISBLANK($A379),"",INDEX(Array_OtherEnergyCharges,MATCH($A379,List_OtherEnergyMeters,0),ROUNDUP((COLUMN()+1)/3-2,0)))</f>
        <v/>
      </c>
      <c r="S379" s="127"/>
      <c r="T379" s="137"/>
    </row>
    <row r="380" spans="1:20" x14ac:dyDescent="0.3">
      <c r="A380" s="126"/>
      <c r="B380" s="133"/>
      <c r="C380" s="127"/>
      <c r="D380" s="138"/>
      <c r="E380" s="137"/>
      <c r="F380" s="58" t="str" cm="1">
        <f>IF(ISBLANK($A380),"",INDEX(Array_OtherEnergyCharges,MATCH($A380,List_OtherEnergyMeters,0),ROUNDUP((COLUMN()+1)/3-2,0)))</f>
        <v/>
      </c>
      <c r="G380" s="127"/>
      <c r="H380" s="137"/>
      <c r="I380" s="58" t="str" cm="1">
        <f>IF(ISBLANK($A380),"",INDEX(Array_OtherEnergyCharges,MATCH($A380,List_OtherEnergyMeters,0),ROUNDUP((COLUMN()+1)/3-2,0)))</f>
        <v/>
      </c>
      <c r="J380" s="127"/>
      <c r="K380" s="137"/>
      <c r="L380" s="58" t="str" cm="1">
        <f>IF(ISBLANK($A380),"",INDEX(Array_OtherEnergyCharges,MATCH($A380,List_OtherEnergyMeters,0),ROUNDUP((COLUMN()+1)/3-2,0)))</f>
        <v/>
      </c>
      <c r="M380" s="127"/>
      <c r="N380" s="137"/>
      <c r="O380" s="58" t="str" cm="1">
        <f>IF(ISBLANK($A380),"",INDEX(Array_OtherEnergyCharges,MATCH($A380,List_OtherEnergyMeters,0),ROUNDUP((COLUMN()+1)/3-2,0)))</f>
        <v/>
      </c>
      <c r="P380" s="127"/>
      <c r="Q380" s="137"/>
      <c r="R380" s="58" t="str" cm="1">
        <f>IF(ISBLANK($A380),"",INDEX(Array_OtherEnergyCharges,MATCH($A380,List_OtherEnergyMeters,0),ROUNDUP((COLUMN()+1)/3-2,0)))</f>
        <v/>
      </c>
      <c r="S380" s="127"/>
      <c r="T380" s="137"/>
    </row>
    <row r="381" spans="1:20" x14ac:dyDescent="0.3">
      <c r="A381" s="126"/>
      <c r="B381" s="133"/>
      <c r="C381" s="127"/>
      <c r="D381" s="138"/>
      <c r="E381" s="137"/>
      <c r="F381" s="58" t="str" cm="1">
        <f>IF(ISBLANK($A381),"",INDEX(Array_OtherEnergyCharges,MATCH($A381,List_OtherEnergyMeters,0),ROUNDUP((COLUMN()+1)/3-2,0)))</f>
        <v/>
      </c>
      <c r="G381" s="127"/>
      <c r="H381" s="137"/>
      <c r="I381" s="58" t="str" cm="1">
        <f>IF(ISBLANK($A381),"",INDEX(Array_OtherEnergyCharges,MATCH($A381,List_OtherEnergyMeters,0),ROUNDUP((COLUMN()+1)/3-2,0)))</f>
        <v/>
      </c>
      <c r="J381" s="127"/>
      <c r="K381" s="137"/>
      <c r="L381" s="58" t="str" cm="1">
        <f>IF(ISBLANK($A381),"",INDEX(Array_OtherEnergyCharges,MATCH($A381,List_OtherEnergyMeters,0),ROUNDUP((COLUMN()+1)/3-2,0)))</f>
        <v/>
      </c>
      <c r="M381" s="127"/>
      <c r="N381" s="137"/>
      <c r="O381" s="58" t="str" cm="1">
        <f>IF(ISBLANK($A381),"",INDEX(Array_OtherEnergyCharges,MATCH($A381,List_OtherEnergyMeters,0),ROUNDUP((COLUMN()+1)/3-2,0)))</f>
        <v/>
      </c>
      <c r="P381" s="127"/>
      <c r="Q381" s="137"/>
      <c r="R381" s="58" t="str" cm="1">
        <f>IF(ISBLANK($A381),"",INDEX(Array_OtherEnergyCharges,MATCH($A381,List_OtherEnergyMeters,0),ROUNDUP((COLUMN()+1)/3-2,0)))</f>
        <v/>
      </c>
      <c r="S381" s="127"/>
      <c r="T381" s="137"/>
    </row>
    <row r="382" spans="1:20" x14ac:dyDescent="0.3">
      <c r="A382" s="126"/>
      <c r="B382" s="133"/>
      <c r="C382" s="127"/>
      <c r="D382" s="138"/>
      <c r="E382" s="137"/>
      <c r="F382" s="58" t="str" cm="1">
        <f>IF(ISBLANK($A382),"",INDEX(Array_OtherEnergyCharges,MATCH($A382,List_OtherEnergyMeters,0),ROUNDUP((COLUMN()+1)/3-2,0)))</f>
        <v/>
      </c>
      <c r="G382" s="127"/>
      <c r="H382" s="137"/>
      <c r="I382" s="58" t="str" cm="1">
        <f>IF(ISBLANK($A382),"",INDEX(Array_OtherEnergyCharges,MATCH($A382,List_OtherEnergyMeters,0),ROUNDUP((COLUMN()+1)/3-2,0)))</f>
        <v/>
      </c>
      <c r="J382" s="127"/>
      <c r="K382" s="137"/>
      <c r="L382" s="58" t="str" cm="1">
        <f>IF(ISBLANK($A382),"",INDEX(Array_OtherEnergyCharges,MATCH($A382,List_OtherEnergyMeters,0),ROUNDUP((COLUMN()+1)/3-2,0)))</f>
        <v/>
      </c>
      <c r="M382" s="127"/>
      <c r="N382" s="137"/>
      <c r="O382" s="58" t="str" cm="1">
        <f>IF(ISBLANK($A382),"",INDEX(Array_OtherEnergyCharges,MATCH($A382,List_OtherEnergyMeters,0),ROUNDUP((COLUMN()+1)/3-2,0)))</f>
        <v/>
      </c>
      <c r="P382" s="127"/>
      <c r="Q382" s="137"/>
      <c r="R382" s="58" t="str" cm="1">
        <f>IF(ISBLANK($A382),"",INDEX(Array_OtherEnergyCharges,MATCH($A382,List_OtherEnergyMeters,0),ROUNDUP((COLUMN()+1)/3-2,0)))</f>
        <v/>
      </c>
      <c r="S382" s="127"/>
      <c r="T382" s="137"/>
    </row>
    <row r="383" spans="1:20" x14ac:dyDescent="0.3">
      <c r="A383" s="126"/>
      <c r="B383" s="133"/>
      <c r="C383" s="127"/>
      <c r="D383" s="138"/>
      <c r="E383" s="137"/>
      <c r="F383" s="58" t="str" cm="1">
        <f>IF(ISBLANK($A383),"",INDEX(Array_OtherEnergyCharges,MATCH($A383,List_OtherEnergyMeters,0),ROUNDUP((COLUMN()+1)/3-2,0)))</f>
        <v/>
      </c>
      <c r="G383" s="127"/>
      <c r="H383" s="137"/>
      <c r="I383" s="58" t="str" cm="1">
        <f>IF(ISBLANK($A383),"",INDEX(Array_OtherEnergyCharges,MATCH($A383,List_OtherEnergyMeters,0),ROUNDUP((COLUMN()+1)/3-2,0)))</f>
        <v/>
      </c>
      <c r="J383" s="127"/>
      <c r="K383" s="137"/>
      <c r="L383" s="58" t="str" cm="1">
        <f>IF(ISBLANK($A383),"",INDEX(Array_OtherEnergyCharges,MATCH($A383,List_OtherEnergyMeters,0),ROUNDUP((COLUMN()+1)/3-2,0)))</f>
        <v/>
      </c>
      <c r="M383" s="127"/>
      <c r="N383" s="137"/>
      <c r="O383" s="58" t="str" cm="1">
        <f>IF(ISBLANK($A383),"",INDEX(Array_OtherEnergyCharges,MATCH($A383,List_OtherEnergyMeters,0),ROUNDUP((COLUMN()+1)/3-2,0)))</f>
        <v/>
      </c>
      <c r="P383" s="127"/>
      <c r="Q383" s="137"/>
      <c r="R383" s="58" t="str" cm="1">
        <f>IF(ISBLANK($A383),"",INDEX(Array_OtherEnergyCharges,MATCH($A383,List_OtherEnergyMeters,0),ROUNDUP((COLUMN()+1)/3-2,0)))</f>
        <v/>
      </c>
      <c r="S383" s="127"/>
      <c r="T383" s="137"/>
    </row>
    <row r="384" spans="1:20" x14ac:dyDescent="0.3">
      <c r="A384" s="126"/>
      <c r="B384" s="133"/>
      <c r="C384" s="127"/>
      <c r="D384" s="138"/>
      <c r="E384" s="137"/>
      <c r="F384" s="58" t="str" cm="1">
        <f>IF(ISBLANK($A384),"",INDEX(Array_OtherEnergyCharges,MATCH($A384,List_OtherEnergyMeters,0),ROUNDUP((COLUMN()+1)/3-2,0)))</f>
        <v/>
      </c>
      <c r="G384" s="127"/>
      <c r="H384" s="137"/>
      <c r="I384" s="58" t="str" cm="1">
        <f>IF(ISBLANK($A384),"",INDEX(Array_OtherEnergyCharges,MATCH($A384,List_OtherEnergyMeters,0),ROUNDUP((COLUMN()+1)/3-2,0)))</f>
        <v/>
      </c>
      <c r="J384" s="127"/>
      <c r="K384" s="137"/>
      <c r="L384" s="58" t="str" cm="1">
        <f>IF(ISBLANK($A384),"",INDEX(Array_OtherEnergyCharges,MATCH($A384,List_OtherEnergyMeters,0),ROUNDUP((COLUMN()+1)/3-2,0)))</f>
        <v/>
      </c>
      <c r="M384" s="127"/>
      <c r="N384" s="137"/>
      <c r="O384" s="58" t="str" cm="1">
        <f>IF(ISBLANK($A384),"",INDEX(Array_OtherEnergyCharges,MATCH($A384,List_OtherEnergyMeters,0),ROUNDUP((COLUMN()+1)/3-2,0)))</f>
        <v/>
      </c>
      <c r="P384" s="127"/>
      <c r="Q384" s="137"/>
      <c r="R384" s="58" t="str" cm="1">
        <f>IF(ISBLANK($A384),"",INDEX(Array_OtherEnergyCharges,MATCH($A384,List_OtherEnergyMeters,0),ROUNDUP((COLUMN()+1)/3-2,0)))</f>
        <v/>
      </c>
      <c r="S384" s="127"/>
      <c r="T384" s="137"/>
    </row>
    <row r="385" spans="1:20" x14ac:dyDescent="0.3">
      <c r="A385" s="126"/>
      <c r="B385" s="133"/>
      <c r="C385" s="127"/>
      <c r="D385" s="138"/>
      <c r="E385" s="137"/>
      <c r="F385" s="58" t="str" cm="1">
        <f>IF(ISBLANK($A385),"",INDEX(Array_OtherEnergyCharges,MATCH($A385,List_OtherEnergyMeters,0),ROUNDUP((COLUMN()+1)/3-2,0)))</f>
        <v/>
      </c>
      <c r="G385" s="127"/>
      <c r="H385" s="137"/>
      <c r="I385" s="58" t="str" cm="1">
        <f>IF(ISBLANK($A385),"",INDEX(Array_OtherEnergyCharges,MATCH($A385,List_OtherEnergyMeters,0),ROUNDUP((COLUMN()+1)/3-2,0)))</f>
        <v/>
      </c>
      <c r="J385" s="127"/>
      <c r="K385" s="137"/>
      <c r="L385" s="58" t="str" cm="1">
        <f>IF(ISBLANK($A385),"",INDEX(Array_OtherEnergyCharges,MATCH($A385,List_OtherEnergyMeters,0),ROUNDUP((COLUMN()+1)/3-2,0)))</f>
        <v/>
      </c>
      <c r="M385" s="127"/>
      <c r="N385" s="137"/>
      <c r="O385" s="58" t="str" cm="1">
        <f>IF(ISBLANK($A385),"",INDEX(Array_OtherEnergyCharges,MATCH($A385,List_OtherEnergyMeters,0),ROUNDUP((COLUMN()+1)/3-2,0)))</f>
        <v/>
      </c>
      <c r="P385" s="127"/>
      <c r="Q385" s="137"/>
      <c r="R385" s="58" t="str" cm="1">
        <f>IF(ISBLANK($A385),"",INDEX(Array_OtherEnergyCharges,MATCH($A385,List_OtherEnergyMeters,0),ROUNDUP((COLUMN()+1)/3-2,0)))</f>
        <v/>
      </c>
      <c r="S385" s="127"/>
      <c r="T385" s="137"/>
    </row>
    <row r="386" spans="1:20" x14ac:dyDescent="0.3">
      <c r="A386" s="126"/>
      <c r="B386" s="133"/>
      <c r="C386" s="127"/>
      <c r="D386" s="138"/>
      <c r="E386" s="137"/>
      <c r="F386" s="58" t="str" cm="1">
        <f>IF(ISBLANK($A386),"",INDEX(Array_OtherEnergyCharges,MATCH($A386,List_OtherEnergyMeters,0),ROUNDUP((COLUMN()+1)/3-2,0)))</f>
        <v/>
      </c>
      <c r="G386" s="127"/>
      <c r="H386" s="137"/>
      <c r="I386" s="58" t="str" cm="1">
        <f>IF(ISBLANK($A386),"",INDEX(Array_OtherEnergyCharges,MATCH($A386,List_OtherEnergyMeters,0),ROUNDUP((COLUMN()+1)/3-2,0)))</f>
        <v/>
      </c>
      <c r="J386" s="127"/>
      <c r="K386" s="137"/>
      <c r="L386" s="58" t="str" cm="1">
        <f>IF(ISBLANK($A386),"",INDEX(Array_OtherEnergyCharges,MATCH($A386,List_OtherEnergyMeters,0),ROUNDUP((COLUMN()+1)/3-2,0)))</f>
        <v/>
      </c>
      <c r="M386" s="127"/>
      <c r="N386" s="137"/>
      <c r="O386" s="58" t="str" cm="1">
        <f>IF(ISBLANK($A386),"",INDEX(Array_OtherEnergyCharges,MATCH($A386,List_OtherEnergyMeters,0),ROUNDUP((COLUMN()+1)/3-2,0)))</f>
        <v/>
      </c>
      <c r="P386" s="127"/>
      <c r="Q386" s="137"/>
      <c r="R386" s="58" t="str" cm="1">
        <f>IF(ISBLANK($A386),"",INDEX(Array_OtherEnergyCharges,MATCH($A386,List_OtherEnergyMeters,0),ROUNDUP((COLUMN()+1)/3-2,0)))</f>
        <v/>
      </c>
      <c r="S386" s="127"/>
      <c r="T386" s="137"/>
    </row>
    <row r="387" spans="1:20" x14ac:dyDescent="0.3">
      <c r="A387" s="126"/>
      <c r="B387" s="133"/>
      <c r="C387" s="127"/>
      <c r="D387" s="138"/>
      <c r="E387" s="137"/>
      <c r="F387" s="58" t="str" cm="1">
        <f>IF(ISBLANK($A387),"",INDEX(Array_OtherEnergyCharges,MATCH($A387,List_OtherEnergyMeters,0),ROUNDUP((COLUMN()+1)/3-2,0)))</f>
        <v/>
      </c>
      <c r="G387" s="127"/>
      <c r="H387" s="137"/>
      <c r="I387" s="58" t="str" cm="1">
        <f>IF(ISBLANK($A387),"",INDEX(Array_OtherEnergyCharges,MATCH($A387,List_OtherEnergyMeters,0),ROUNDUP((COLUMN()+1)/3-2,0)))</f>
        <v/>
      </c>
      <c r="J387" s="127"/>
      <c r="K387" s="137"/>
      <c r="L387" s="58" t="str" cm="1">
        <f>IF(ISBLANK($A387),"",INDEX(Array_OtherEnergyCharges,MATCH($A387,List_OtherEnergyMeters,0),ROUNDUP((COLUMN()+1)/3-2,0)))</f>
        <v/>
      </c>
      <c r="M387" s="127"/>
      <c r="N387" s="137"/>
      <c r="O387" s="58" t="str" cm="1">
        <f>IF(ISBLANK($A387),"",INDEX(Array_OtherEnergyCharges,MATCH($A387,List_OtherEnergyMeters,0),ROUNDUP((COLUMN()+1)/3-2,0)))</f>
        <v/>
      </c>
      <c r="P387" s="127"/>
      <c r="Q387" s="137"/>
      <c r="R387" s="58" t="str" cm="1">
        <f>IF(ISBLANK($A387),"",INDEX(Array_OtherEnergyCharges,MATCH($A387,List_OtherEnergyMeters,0),ROUNDUP((COLUMN()+1)/3-2,0)))</f>
        <v/>
      </c>
      <c r="S387" s="127"/>
      <c r="T387" s="137"/>
    </row>
    <row r="388" spans="1:20" x14ac:dyDescent="0.3">
      <c r="A388" s="126"/>
      <c r="B388" s="133"/>
      <c r="C388" s="127"/>
      <c r="D388" s="138"/>
      <c r="E388" s="137"/>
      <c r="F388" s="58" t="str" cm="1">
        <f>IF(ISBLANK($A388),"",INDEX(Array_OtherEnergyCharges,MATCH($A388,List_OtherEnergyMeters,0),ROUNDUP((COLUMN()+1)/3-2,0)))</f>
        <v/>
      </c>
      <c r="G388" s="127"/>
      <c r="H388" s="137"/>
      <c r="I388" s="58" t="str" cm="1">
        <f>IF(ISBLANK($A388),"",INDEX(Array_OtherEnergyCharges,MATCH($A388,List_OtherEnergyMeters,0),ROUNDUP((COLUMN()+1)/3-2,0)))</f>
        <v/>
      </c>
      <c r="J388" s="127"/>
      <c r="K388" s="137"/>
      <c r="L388" s="58" t="str" cm="1">
        <f>IF(ISBLANK($A388),"",INDEX(Array_OtherEnergyCharges,MATCH($A388,List_OtherEnergyMeters,0),ROUNDUP((COLUMN()+1)/3-2,0)))</f>
        <v/>
      </c>
      <c r="M388" s="127"/>
      <c r="N388" s="137"/>
      <c r="O388" s="58" t="str" cm="1">
        <f>IF(ISBLANK($A388),"",INDEX(Array_OtherEnergyCharges,MATCH($A388,List_OtherEnergyMeters,0),ROUNDUP((COLUMN()+1)/3-2,0)))</f>
        <v/>
      </c>
      <c r="P388" s="127"/>
      <c r="Q388" s="137"/>
      <c r="R388" s="58" t="str" cm="1">
        <f>IF(ISBLANK($A388),"",INDEX(Array_OtherEnergyCharges,MATCH($A388,List_OtherEnergyMeters,0),ROUNDUP((COLUMN()+1)/3-2,0)))</f>
        <v/>
      </c>
      <c r="S388" s="127"/>
      <c r="T388" s="137"/>
    </row>
    <row r="389" spans="1:20" x14ac:dyDescent="0.3">
      <c r="A389" s="126"/>
      <c r="B389" s="133"/>
      <c r="C389" s="127"/>
      <c r="D389" s="138"/>
      <c r="E389" s="137"/>
      <c r="F389" s="58" t="str" cm="1">
        <f>IF(ISBLANK($A389),"",INDEX(Array_OtherEnergyCharges,MATCH($A389,List_OtherEnergyMeters,0),ROUNDUP((COLUMN()+1)/3-2,0)))</f>
        <v/>
      </c>
      <c r="G389" s="127"/>
      <c r="H389" s="137"/>
      <c r="I389" s="58" t="str" cm="1">
        <f>IF(ISBLANK($A389),"",INDEX(Array_OtherEnergyCharges,MATCH($A389,List_OtherEnergyMeters,0),ROUNDUP((COLUMN()+1)/3-2,0)))</f>
        <v/>
      </c>
      <c r="J389" s="127"/>
      <c r="K389" s="137"/>
      <c r="L389" s="58" t="str" cm="1">
        <f>IF(ISBLANK($A389),"",INDEX(Array_OtherEnergyCharges,MATCH($A389,List_OtherEnergyMeters,0),ROUNDUP((COLUMN()+1)/3-2,0)))</f>
        <v/>
      </c>
      <c r="M389" s="127"/>
      <c r="N389" s="137"/>
      <c r="O389" s="58" t="str" cm="1">
        <f>IF(ISBLANK($A389),"",INDEX(Array_OtherEnergyCharges,MATCH($A389,List_OtherEnergyMeters,0),ROUNDUP((COLUMN()+1)/3-2,0)))</f>
        <v/>
      </c>
      <c r="P389" s="127"/>
      <c r="Q389" s="137"/>
      <c r="R389" s="58" t="str" cm="1">
        <f>IF(ISBLANK($A389),"",INDEX(Array_OtherEnergyCharges,MATCH($A389,List_OtherEnergyMeters,0),ROUNDUP((COLUMN()+1)/3-2,0)))</f>
        <v/>
      </c>
      <c r="S389" s="127"/>
      <c r="T389" s="137"/>
    </row>
    <row r="390" spans="1:20" x14ac:dyDescent="0.3">
      <c r="A390" s="126"/>
      <c r="B390" s="133"/>
      <c r="C390" s="127"/>
      <c r="D390" s="138"/>
      <c r="E390" s="137"/>
      <c r="F390" s="58" t="str" cm="1">
        <f>IF(ISBLANK($A390),"",INDEX(Array_OtherEnergyCharges,MATCH($A390,List_OtherEnergyMeters,0),ROUNDUP((COLUMN()+1)/3-2,0)))</f>
        <v/>
      </c>
      <c r="G390" s="127"/>
      <c r="H390" s="137"/>
      <c r="I390" s="58" t="str" cm="1">
        <f>IF(ISBLANK($A390),"",INDEX(Array_OtherEnergyCharges,MATCH($A390,List_OtherEnergyMeters,0),ROUNDUP((COLUMN()+1)/3-2,0)))</f>
        <v/>
      </c>
      <c r="J390" s="127"/>
      <c r="K390" s="137"/>
      <c r="L390" s="58" t="str" cm="1">
        <f>IF(ISBLANK($A390),"",INDEX(Array_OtherEnergyCharges,MATCH($A390,List_OtherEnergyMeters,0),ROUNDUP((COLUMN()+1)/3-2,0)))</f>
        <v/>
      </c>
      <c r="M390" s="127"/>
      <c r="N390" s="137"/>
      <c r="O390" s="58" t="str" cm="1">
        <f>IF(ISBLANK($A390),"",INDEX(Array_OtherEnergyCharges,MATCH($A390,List_OtherEnergyMeters,0),ROUNDUP((COLUMN()+1)/3-2,0)))</f>
        <v/>
      </c>
      <c r="P390" s="127"/>
      <c r="Q390" s="137"/>
      <c r="R390" s="58" t="str" cm="1">
        <f>IF(ISBLANK($A390),"",INDEX(Array_OtherEnergyCharges,MATCH($A390,List_OtherEnergyMeters,0),ROUNDUP((COLUMN()+1)/3-2,0)))</f>
        <v/>
      </c>
      <c r="S390" s="127"/>
      <c r="T390" s="137"/>
    </row>
    <row r="391" spans="1:20" x14ac:dyDescent="0.3">
      <c r="A391" s="126"/>
      <c r="B391" s="133"/>
      <c r="C391" s="127"/>
      <c r="D391" s="138"/>
      <c r="E391" s="137"/>
      <c r="F391" s="58" t="str" cm="1">
        <f>IF(ISBLANK($A391),"",INDEX(Array_OtherEnergyCharges,MATCH($A391,List_OtherEnergyMeters,0),ROUNDUP((COLUMN()+1)/3-2,0)))</f>
        <v/>
      </c>
      <c r="G391" s="127"/>
      <c r="H391" s="137"/>
      <c r="I391" s="58" t="str" cm="1">
        <f>IF(ISBLANK($A391),"",INDEX(Array_OtherEnergyCharges,MATCH($A391,List_OtherEnergyMeters,0),ROUNDUP((COLUMN()+1)/3-2,0)))</f>
        <v/>
      </c>
      <c r="J391" s="127"/>
      <c r="K391" s="137"/>
      <c r="L391" s="58" t="str" cm="1">
        <f>IF(ISBLANK($A391),"",INDEX(Array_OtherEnergyCharges,MATCH($A391,List_OtherEnergyMeters,0),ROUNDUP((COLUMN()+1)/3-2,0)))</f>
        <v/>
      </c>
      <c r="M391" s="127"/>
      <c r="N391" s="137"/>
      <c r="O391" s="58" t="str" cm="1">
        <f>IF(ISBLANK($A391),"",INDEX(Array_OtherEnergyCharges,MATCH($A391,List_OtherEnergyMeters,0),ROUNDUP((COLUMN()+1)/3-2,0)))</f>
        <v/>
      </c>
      <c r="P391" s="127"/>
      <c r="Q391" s="137"/>
      <c r="R391" s="58" t="str" cm="1">
        <f>IF(ISBLANK($A391),"",INDEX(Array_OtherEnergyCharges,MATCH($A391,List_OtherEnergyMeters,0),ROUNDUP((COLUMN()+1)/3-2,0)))</f>
        <v/>
      </c>
      <c r="S391" s="127"/>
      <c r="T391" s="137"/>
    </row>
    <row r="392" spans="1:20" x14ac:dyDescent="0.3">
      <c r="A392" s="126"/>
      <c r="B392" s="133"/>
      <c r="C392" s="127"/>
      <c r="D392" s="138"/>
      <c r="E392" s="137"/>
      <c r="F392" s="58" t="str" cm="1">
        <f>IF(ISBLANK($A392),"",INDEX(Array_OtherEnergyCharges,MATCH($A392,List_OtherEnergyMeters,0),ROUNDUP((COLUMN()+1)/3-2,0)))</f>
        <v/>
      </c>
      <c r="G392" s="127"/>
      <c r="H392" s="137"/>
      <c r="I392" s="58" t="str" cm="1">
        <f>IF(ISBLANK($A392),"",INDEX(Array_OtherEnergyCharges,MATCH($A392,List_OtherEnergyMeters,0),ROUNDUP((COLUMN()+1)/3-2,0)))</f>
        <v/>
      </c>
      <c r="J392" s="127"/>
      <c r="K392" s="137"/>
      <c r="L392" s="58" t="str" cm="1">
        <f>IF(ISBLANK($A392),"",INDEX(Array_OtherEnergyCharges,MATCH($A392,List_OtherEnergyMeters,0),ROUNDUP((COLUMN()+1)/3-2,0)))</f>
        <v/>
      </c>
      <c r="M392" s="127"/>
      <c r="N392" s="137"/>
      <c r="O392" s="58" t="str" cm="1">
        <f>IF(ISBLANK($A392),"",INDEX(Array_OtherEnergyCharges,MATCH($A392,List_OtherEnergyMeters,0),ROUNDUP((COLUMN()+1)/3-2,0)))</f>
        <v/>
      </c>
      <c r="P392" s="127"/>
      <c r="Q392" s="137"/>
      <c r="R392" s="58" t="str" cm="1">
        <f>IF(ISBLANK($A392),"",INDEX(Array_OtherEnergyCharges,MATCH($A392,List_OtherEnergyMeters,0),ROUNDUP((COLUMN()+1)/3-2,0)))</f>
        <v/>
      </c>
      <c r="S392" s="127"/>
      <c r="T392" s="137"/>
    </row>
    <row r="393" spans="1:20" x14ac:dyDescent="0.3">
      <c r="A393" s="126"/>
      <c r="B393" s="133"/>
      <c r="C393" s="127"/>
      <c r="D393" s="138"/>
      <c r="E393" s="137"/>
      <c r="F393" s="58" t="str" cm="1">
        <f>IF(ISBLANK($A393),"",INDEX(Array_OtherEnergyCharges,MATCH($A393,List_OtherEnergyMeters,0),ROUNDUP((COLUMN()+1)/3-2,0)))</f>
        <v/>
      </c>
      <c r="G393" s="127"/>
      <c r="H393" s="137"/>
      <c r="I393" s="58" t="str" cm="1">
        <f>IF(ISBLANK($A393),"",INDEX(Array_OtherEnergyCharges,MATCH($A393,List_OtherEnergyMeters,0),ROUNDUP((COLUMN()+1)/3-2,0)))</f>
        <v/>
      </c>
      <c r="J393" s="127"/>
      <c r="K393" s="137"/>
      <c r="L393" s="58" t="str" cm="1">
        <f>IF(ISBLANK($A393),"",INDEX(Array_OtherEnergyCharges,MATCH($A393,List_OtherEnergyMeters,0),ROUNDUP((COLUMN()+1)/3-2,0)))</f>
        <v/>
      </c>
      <c r="M393" s="127"/>
      <c r="N393" s="137"/>
      <c r="O393" s="58" t="str" cm="1">
        <f>IF(ISBLANK($A393),"",INDEX(Array_OtherEnergyCharges,MATCH($A393,List_OtherEnergyMeters,0),ROUNDUP((COLUMN()+1)/3-2,0)))</f>
        <v/>
      </c>
      <c r="P393" s="127"/>
      <c r="Q393" s="137"/>
      <c r="R393" s="58" t="str" cm="1">
        <f>IF(ISBLANK($A393),"",INDEX(Array_OtherEnergyCharges,MATCH($A393,List_OtherEnergyMeters,0),ROUNDUP((COLUMN()+1)/3-2,0)))</f>
        <v/>
      </c>
      <c r="S393" s="127"/>
      <c r="T393" s="137"/>
    </row>
    <row r="394" spans="1:20" x14ac:dyDescent="0.3">
      <c r="A394" s="126"/>
      <c r="B394" s="133"/>
      <c r="C394" s="127"/>
      <c r="D394" s="138"/>
      <c r="E394" s="137"/>
      <c r="F394" s="58" t="str" cm="1">
        <f>IF(ISBLANK($A394),"",INDEX(Array_OtherEnergyCharges,MATCH($A394,List_OtherEnergyMeters,0),ROUNDUP((COLUMN()+1)/3-2,0)))</f>
        <v/>
      </c>
      <c r="G394" s="127"/>
      <c r="H394" s="137"/>
      <c r="I394" s="58" t="str" cm="1">
        <f>IF(ISBLANK($A394),"",INDEX(Array_OtherEnergyCharges,MATCH($A394,List_OtherEnergyMeters,0),ROUNDUP((COLUMN()+1)/3-2,0)))</f>
        <v/>
      </c>
      <c r="J394" s="127"/>
      <c r="K394" s="137"/>
      <c r="L394" s="58" t="str" cm="1">
        <f>IF(ISBLANK($A394),"",INDEX(Array_OtherEnergyCharges,MATCH($A394,List_OtherEnergyMeters,0),ROUNDUP((COLUMN()+1)/3-2,0)))</f>
        <v/>
      </c>
      <c r="M394" s="127"/>
      <c r="N394" s="137"/>
      <c r="O394" s="58" t="str" cm="1">
        <f>IF(ISBLANK($A394),"",INDEX(Array_OtherEnergyCharges,MATCH($A394,List_OtherEnergyMeters,0),ROUNDUP((COLUMN()+1)/3-2,0)))</f>
        <v/>
      </c>
      <c r="P394" s="127"/>
      <c r="Q394" s="137"/>
      <c r="R394" s="58" t="str" cm="1">
        <f>IF(ISBLANK($A394),"",INDEX(Array_OtherEnergyCharges,MATCH($A394,List_OtherEnergyMeters,0),ROUNDUP((COLUMN()+1)/3-2,0)))</f>
        <v/>
      </c>
      <c r="S394" s="127"/>
      <c r="T394" s="137"/>
    </row>
    <row r="395" spans="1:20" x14ac:dyDescent="0.3">
      <c r="A395" s="126"/>
      <c r="B395" s="133"/>
      <c r="C395" s="127"/>
      <c r="D395" s="138"/>
      <c r="E395" s="137"/>
      <c r="F395" s="58" t="str" cm="1">
        <f>IF(ISBLANK($A395),"",INDEX(Array_OtherEnergyCharges,MATCH($A395,List_OtherEnergyMeters,0),ROUNDUP((COLUMN()+1)/3-2,0)))</f>
        <v/>
      </c>
      <c r="G395" s="127"/>
      <c r="H395" s="137"/>
      <c r="I395" s="58" t="str" cm="1">
        <f>IF(ISBLANK($A395),"",INDEX(Array_OtherEnergyCharges,MATCH($A395,List_OtherEnergyMeters,0),ROUNDUP((COLUMN()+1)/3-2,0)))</f>
        <v/>
      </c>
      <c r="J395" s="127"/>
      <c r="K395" s="137"/>
      <c r="L395" s="58" t="str" cm="1">
        <f>IF(ISBLANK($A395),"",INDEX(Array_OtherEnergyCharges,MATCH($A395,List_OtherEnergyMeters,0),ROUNDUP((COLUMN()+1)/3-2,0)))</f>
        <v/>
      </c>
      <c r="M395" s="127"/>
      <c r="N395" s="137"/>
      <c r="O395" s="58" t="str" cm="1">
        <f>IF(ISBLANK($A395),"",INDEX(Array_OtherEnergyCharges,MATCH($A395,List_OtherEnergyMeters,0),ROUNDUP((COLUMN()+1)/3-2,0)))</f>
        <v/>
      </c>
      <c r="P395" s="127"/>
      <c r="Q395" s="137"/>
      <c r="R395" s="58" t="str" cm="1">
        <f>IF(ISBLANK($A395),"",INDEX(Array_OtherEnergyCharges,MATCH($A395,List_OtherEnergyMeters,0),ROUNDUP((COLUMN()+1)/3-2,0)))</f>
        <v/>
      </c>
      <c r="S395" s="127"/>
      <c r="T395" s="137"/>
    </row>
    <row r="396" spans="1:20" x14ac:dyDescent="0.3">
      <c r="A396" s="126"/>
      <c r="B396" s="133"/>
      <c r="C396" s="127"/>
      <c r="D396" s="138"/>
      <c r="E396" s="137"/>
      <c r="F396" s="58" t="str" cm="1">
        <f>IF(ISBLANK($A396),"",INDEX(Array_OtherEnergyCharges,MATCH($A396,List_OtherEnergyMeters,0),ROUNDUP((COLUMN()+1)/3-2,0)))</f>
        <v/>
      </c>
      <c r="G396" s="127"/>
      <c r="H396" s="137"/>
      <c r="I396" s="58" t="str" cm="1">
        <f>IF(ISBLANK($A396),"",INDEX(Array_OtherEnergyCharges,MATCH($A396,List_OtherEnergyMeters,0),ROUNDUP((COLUMN()+1)/3-2,0)))</f>
        <v/>
      </c>
      <c r="J396" s="127"/>
      <c r="K396" s="137"/>
      <c r="L396" s="58" t="str" cm="1">
        <f>IF(ISBLANK($A396),"",INDEX(Array_OtherEnergyCharges,MATCH($A396,List_OtherEnergyMeters,0),ROUNDUP((COLUMN()+1)/3-2,0)))</f>
        <v/>
      </c>
      <c r="M396" s="127"/>
      <c r="N396" s="137"/>
      <c r="O396" s="58" t="str" cm="1">
        <f>IF(ISBLANK($A396),"",INDEX(Array_OtherEnergyCharges,MATCH($A396,List_OtherEnergyMeters,0),ROUNDUP((COLUMN()+1)/3-2,0)))</f>
        <v/>
      </c>
      <c r="P396" s="127"/>
      <c r="Q396" s="137"/>
      <c r="R396" s="58" t="str" cm="1">
        <f>IF(ISBLANK($A396),"",INDEX(Array_OtherEnergyCharges,MATCH($A396,List_OtherEnergyMeters,0),ROUNDUP((COLUMN()+1)/3-2,0)))</f>
        <v/>
      </c>
      <c r="S396" s="127"/>
      <c r="T396" s="137"/>
    </row>
    <row r="397" spans="1:20" x14ac:dyDescent="0.3">
      <c r="A397" s="126"/>
      <c r="B397" s="133"/>
      <c r="C397" s="127"/>
      <c r="D397" s="138"/>
      <c r="E397" s="137"/>
      <c r="F397" s="58" t="str" cm="1">
        <f>IF(ISBLANK($A397),"",INDEX(Array_OtherEnergyCharges,MATCH($A397,List_OtherEnergyMeters,0),ROUNDUP((COLUMN()+1)/3-2,0)))</f>
        <v/>
      </c>
      <c r="G397" s="127"/>
      <c r="H397" s="137"/>
      <c r="I397" s="58" t="str" cm="1">
        <f>IF(ISBLANK($A397),"",INDEX(Array_OtherEnergyCharges,MATCH($A397,List_OtherEnergyMeters,0),ROUNDUP((COLUMN()+1)/3-2,0)))</f>
        <v/>
      </c>
      <c r="J397" s="127"/>
      <c r="K397" s="137"/>
      <c r="L397" s="58" t="str" cm="1">
        <f>IF(ISBLANK($A397),"",INDEX(Array_OtherEnergyCharges,MATCH($A397,List_OtherEnergyMeters,0),ROUNDUP((COLUMN()+1)/3-2,0)))</f>
        <v/>
      </c>
      <c r="M397" s="127"/>
      <c r="N397" s="137"/>
      <c r="O397" s="58" t="str" cm="1">
        <f>IF(ISBLANK($A397),"",INDEX(Array_OtherEnergyCharges,MATCH($A397,List_OtherEnergyMeters,0),ROUNDUP((COLUMN()+1)/3-2,0)))</f>
        <v/>
      </c>
      <c r="P397" s="127"/>
      <c r="Q397" s="137"/>
      <c r="R397" s="58" t="str" cm="1">
        <f>IF(ISBLANK($A397),"",INDEX(Array_OtherEnergyCharges,MATCH($A397,List_OtherEnergyMeters,0),ROUNDUP((COLUMN()+1)/3-2,0)))</f>
        <v/>
      </c>
      <c r="S397" s="127"/>
      <c r="T397" s="137"/>
    </row>
    <row r="398" spans="1:20" x14ac:dyDescent="0.3">
      <c r="A398" s="126"/>
      <c r="B398" s="133"/>
      <c r="C398" s="127"/>
      <c r="D398" s="138"/>
      <c r="E398" s="137"/>
      <c r="F398" s="58" t="str" cm="1">
        <f>IF(ISBLANK($A398),"",INDEX(Array_OtherEnergyCharges,MATCH($A398,List_OtherEnergyMeters,0),ROUNDUP((COLUMN()+1)/3-2,0)))</f>
        <v/>
      </c>
      <c r="G398" s="127"/>
      <c r="H398" s="137"/>
      <c r="I398" s="58" t="str" cm="1">
        <f>IF(ISBLANK($A398),"",INDEX(Array_OtherEnergyCharges,MATCH($A398,List_OtherEnergyMeters,0),ROUNDUP((COLUMN()+1)/3-2,0)))</f>
        <v/>
      </c>
      <c r="J398" s="127"/>
      <c r="K398" s="137"/>
      <c r="L398" s="58" t="str" cm="1">
        <f>IF(ISBLANK($A398),"",INDEX(Array_OtherEnergyCharges,MATCH($A398,List_OtherEnergyMeters,0),ROUNDUP((COLUMN()+1)/3-2,0)))</f>
        <v/>
      </c>
      <c r="M398" s="127"/>
      <c r="N398" s="137"/>
      <c r="O398" s="58" t="str" cm="1">
        <f>IF(ISBLANK($A398),"",INDEX(Array_OtherEnergyCharges,MATCH($A398,List_OtherEnergyMeters,0),ROUNDUP((COLUMN()+1)/3-2,0)))</f>
        <v/>
      </c>
      <c r="P398" s="127"/>
      <c r="Q398" s="137"/>
      <c r="R398" s="58" t="str" cm="1">
        <f>IF(ISBLANK($A398),"",INDEX(Array_OtherEnergyCharges,MATCH($A398,List_OtherEnergyMeters,0),ROUNDUP((COLUMN()+1)/3-2,0)))</f>
        <v/>
      </c>
      <c r="S398" s="127"/>
      <c r="T398" s="137"/>
    </row>
    <row r="399" spans="1:20" x14ac:dyDescent="0.3">
      <c r="A399" s="126"/>
      <c r="B399" s="133"/>
      <c r="C399" s="127"/>
      <c r="D399" s="138"/>
      <c r="E399" s="137"/>
      <c r="F399" s="58" t="str" cm="1">
        <f>IF(ISBLANK($A399),"",INDEX(Array_OtherEnergyCharges,MATCH($A399,List_OtherEnergyMeters,0),ROUNDUP((COLUMN()+1)/3-2,0)))</f>
        <v/>
      </c>
      <c r="G399" s="127"/>
      <c r="H399" s="137"/>
      <c r="I399" s="58" t="str" cm="1">
        <f>IF(ISBLANK($A399),"",INDEX(Array_OtherEnergyCharges,MATCH($A399,List_OtherEnergyMeters,0),ROUNDUP((COLUMN()+1)/3-2,0)))</f>
        <v/>
      </c>
      <c r="J399" s="127"/>
      <c r="K399" s="137"/>
      <c r="L399" s="58" t="str" cm="1">
        <f>IF(ISBLANK($A399),"",INDEX(Array_OtherEnergyCharges,MATCH($A399,List_OtherEnergyMeters,0),ROUNDUP((COLUMN()+1)/3-2,0)))</f>
        <v/>
      </c>
      <c r="M399" s="127"/>
      <c r="N399" s="137"/>
      <c r="O399" s="58" t="str" cm="1">
        <f>IF(ISBLANK($A399),"",INDEX(Array_OtherEnergyCharges,MATCH($A399,List_OtherEnergyMeters,0),ROUNDUP((COLUMN()+1)/3-2,0)))</f>
        <v/>
      </c>
      <c r="P399" s="127"/>
      <c r="Q399" s="137"/>
      <c r="R399" s="58" t="str" cm="1">
        <f>IF(ISBLANK($A399),"",INDEX(Array_OtherEnergyCharges,MATCH($A399,List_OtherEnergyMeters,0),ROUNDUP((COLUMN()+1)/3-2,0)))</f>
        <v/>
      </c>
      <c r="S399" s="127"/>
      <c r="T399" s="137"/>
    </row>
    <row r="400" spans="1:20" x14ac:dyDescent="0.3">
      <c r="A400" s="126"/>
      <c r="B400" s="133"/>
      <c r="C400" s="127"/>
      <c r="D400" s="138"/>
      <c r="E400" s="137"/>
      <c r="F400" s="58" t="str" cm="1">
        <f>IF(ISBLANK($A400),"",INDEX(Array_OtherEnergyCharges,MATCH($A400,List_OtherEnergyMeters,0),ROUNDUP((COLUMN()+1)/3-2,0)))</f>
        <v/>
      </c>
      <c r="G400" s="127"/>
      <c r="H400" s="137"/>
      <c r="I400" s="58" t="str" cm="1">
        <f>IF(ISBLANK($A400),"",INDEX(Array_OtherEnergyCharges,MATCH($A400,List_OtherEnergyMeters,0),ROUNDUP((COLUMN()+1)/3-2,0)))</f>
        <v/>
      </c>
      <c r="J400" s="127"/>
      <c r="K400" s="137"/>
      <c r="L400" s="58" t="str" cm="1">
        <f>IF(ISBLANK($A400),"",INDEX(Array_OtherEnergyCharges,MATCH($A400,List_OtherEnergyMeters,0),ROUNDUP((COLUMN()+1)/3-2,0)))</f>
        <v/>
      </c>
      <c r="M400" s="127"/>
      <c r="N400" s="137"/>
      <c r="O400" s="58" t="str" cm="1">
        <f>IF(ISBLANK($A400),"",INDEX(Array_OtherEnergyCharges,MATCH($A400,List_OtherEnergyMeters,0),ROUNDUP((COLUMN()+1)/3-2,0)))</f>
        <v/>
      </c>
      <c r="P400" s="127"/>
      <c r="Q400" s="137"/>
      <c r="R400" s="58" t="str" cm="1">
        <f>IF(ISBLANK($A400),"",INDEX(Array_OtherEnergyCharges,MATCH($A400,List_OtherEnergyMeters,0),ROUNDUP((COLUMN()+1)/3-2,0)))</f>
        <v/>
      </c>
      <c r="S400" s="127"/>
      <c r="T400" s="137"/>
    </row>
    <row r="401" spans="1:20" x14ac:dyDescent="0.3">
      <c r="A401" s="126"/>
      <c r="B401" s="133"/>
      <c r="C401" s="127"/>
      <c r="D401" s="138"/>
      <c r="E401" s="137"/>
      <c r="F401" s="58" t="str" cm="1">
        <f>IF(ISBLANK($A401),"",INDEX(Array_OtherEnergyCharges,MATCH($A401,List_OtherEnergyMeters,0),ROUNDUP((COLUMN()+1)/3-2,0)))</f>
        <v/>
      </c>
      <c r="G401" s="127"/>
      <c r="H401" s="137"/>
      <c r="I401" s="58" t="str" cm="1">
        <f>IF(ISBLANK($A401),"",INDEX(Array_OtherEnergyCharges,MATCH($A401,List_OtherEnergyMeters,0),ROUNDUP((COLUMN()+1)/3-2,0)))</f>
        <v/>
      </c>
      <c r="J401" s="127"/>
      <c r="K401" s="137"/>
      <c r="L401" s="58" t="str" cm="1">
        <f>IF(ISBLANK($A401),"",INDEX(Array_OtherEnergyCharges,MATCH($A401,List_OtherEnergyMeters,0),ROUNDUP((COLUMN()+1)/3-2,0)))</f>
        <v/>
      </c>
      <c r="M401" s="127"/>
      <c r="N401" s="137"/>
      <c r="O401" s="58" t="str" cm="1">
        <f>IF(ISBLANK($A401),"",INDEX(Array_OtherEnergyCharges,MATCH($A401,List_OtherEnergyMeters,0),ROUNDUP((COLUMN()+1)/3-2,0)))</f>
        <v/>
      </c>
      <c r="P401" s="127"/>
      <c r="Q401" s="137"/>
      <c r="R401" s="58" t="str" cm="1">
        <f>IF(ISBLANK($A401),"",INDEX(Array_OtherEnergyCharges,MATCH($A401,List_OtherEnergyMeters,0),ROUNDUP((COLUMN()+1)/3-2,0)))</f>
        <v/>
      </c>
      <c r="S401" s="127"/>
      <c r="T401" s="137"/>
    </row>
    <row r="402" spans="1:20" x14ac:dyDescent="0.3">
      <c r="A402" s="126"/>
      <c r="B402" s="133"/>
      <c r="C402" s="127"/>
      <c r="D402" s="138"/>
      <c r="E402" s="137"/>
      <c r="F402" s="58" t="str" cm="1">
        <f>IF(ISBLANK($A402),"",INDEX(Array_OtherEnergyCharges,MATCH($A402,List_OtherEnergyMeters,0),ROUNDUP((COLUMN()+1)/3-2,0)))</f>
        <v/>
      </c>
      <c r="G402" s="127"/>
      <c r="H402" s="137"/>
      <c r="I402" s="58" t="str" cm="1">
        <f>IF(ISBLANK($A402),"",INDEX(Array_OtherEnergyCharges,MATCH($A402,List_OtherEnergyMeters,0),ROUNDUP((COLUMN()+1)/3-2,0)))</f>
        <v/>
      </c>
      <c r="J402" s="127"/>
      <c r="K402" s="137"/>
      <c r="L402" s="58" t="str" cm="1">
        <f>IF(ISBLANK($A402),"",INDEX(Array_OtherEnergyCharges,MATCH($A402,List_OtherEnergyMeters,0),ROUNDUP((COLUMN()+1)/3-2,0)))</f>
        <v/>
      </c>
      <c r="M402" s="127"/>
      <c r="N402" s="137"/>
      <c r="O402" s="58" t="str" cm="1">
        <f>IF(ISBLANK($A402),"",INDEX(Array_OtherEnergyCharges,MATCH($A402,List_OtherEnergyMeters,0),ROUNDUP((COLUMN()+1)/3-2,0)))</f>
        <v/>
      </c>
      <c r="P402" s="127"/>
      <c r="Q402" s="137"/>
      <c r="R402" s="58" t="str" cm="1">
        <f>IF(ISBLANK($A402),"",INDEX(Array_OtherEnergyCharges,MATCH($A402,List_OtherEnergyMeters,0),ROUNDUP((COLUMN()+1)/3-2,0)))</f>
        <v/>
      </c>
      <c r="S402" s="127"/>
      <c r="T402" s="137"/>
    </row>
    <row r="403" spans="1:20" x14ac:dyDescent="0.3">
      <c r="A403" s="126"/>
      <c r="B403" s="133"/>
      <c r="C403" s="127"/>
      <c r="D403" s="138"/>
      <c r="E403" s="137"/>
      <c r="F403" s="58" t="str" cm="1">
        <f>IF(ISBLANK($A403),"",INDEX(Array_OtherEnergyCharges,MATCH($A403,List_OtherEnergyMeters,0),ROUNDUP((COLUMN()+1)/3-2,0)))</f>
        <v/>
      </c>
      <c r="G403" s="127"/>
      <c r="H403" s="137"/>
      <c r="I403" s="58" t="str" cm="1">
        <f>IF(ISBLANK($A403),"",INDEX(Array_OtherEnergyCharges,MATCH($A403,List_OtherEnergyMeters,0),ROUNDUP((COLUMN()+1)/3-2,0)))</f>
        <v/>
      </c>
      <c r="J403" s="127"/>
      <c r="K403" s="137"/>
      <c r="L403" s="58" t="str" cm="1">
        <f>IF(ISBLANK($A403),"",INDEX(Array_OtherEnergyCharges,MATCH($A403,List_OtherEnergyMeters,0),ROUNDUP((COLUMN()+1)/3-2,0)))</f>
        <v/>
      </c>
      <c r="M403" s="127"/>
      <c r="N403" s="137"/>
      <c r="O403" s="58" t="str" cm="1">
        <f>IF(ISBLANK($A403),"",INDEX(Array_OtherEnergyCharges,MATCH($A403,List_OtherEnergyMeters,0),ROUNDUP((COLUMN()+1)/3-2,0)))</f>
        <v/>
      </c>
      <c r="P403" s="127"/>
      <c r="Q403" s="137"/>
      <c r="R403" s="58" t="str" cm="1">
        <f>IF(ISBLANK($A403),"",INDEX(Array_OtherEnergyCharges,MATCH($A403,List_OtherEnergyMeters,0),ROUNDUP((COLUMN()+1)/3-2,0)))</f>
        <v/>
      </c>
      <c r="S403" s="127"/>
      <c r="T403" s="137"/>
    </row>
    <row r="404" spans="1:20" x14ac:dyDescent="0.3">
      <c r="A404" s="126"/>
      <c r="B404" s="133"/>
      <c r="C404" s="127"/>
      <c r="D404" s="138"/>
      <c r="E404" s="137"/>
      <c r="F404" s="58" t="str" cm="1">
        <f>IF(ISBLANK($A404),"",INDEX(Array_OtherEnergyCharges,MATCH($A404,List_OtherEnergyMeters,0),ROUNDUP((COLUMN()+1)/3-2,0)))</f>
        <v/>
      </c>
      <c r="G404" s="127"/>
      <c r="H404" s="137"/>
      <c r="I404" s="58" t="str" cm="1">
        <f>IF(ISBLANK($A404),"",INDEX(Array_OtherEnergyCharges,MATCH($A404,List_OtherEnergyMeters,0),ROUNDUP((COLUMN()+1)/3-2,0)))</f>
        <v/>
      </c>
      <c r="J404" s="127"/>
      <c r="K404" s="137"/>
      <c r="L404" s="58" t="str" cm="1">
        <f>IF(ISBLANK($A404),"",INDEX(Array_OtherEnergyCharges,MATCH($A404,List_OtherEnergyMeters,0),ROUNDUP((COLUMN()+1)/3-2,0)))</f>
        <v/>
      </c>
      <c r="M404" s="127"/>
      <c r="N404" s="137"/>
      <c r="O404" s="58" t="str" cm="1">
        <f>IF(ISBLANK($A404),"",INDEX(Array_OtherEnergyCharges,MATCH($A404,List_OtherEnergyMeters,0),ROUNDUP((COLUMN()+1)/3-2,0)))</f>
        <v/>
      </c>
      <c r="P404" s="127"/>
      <c r="Q404" s="137"/>
      <c r="R404" s="58" t="str" cm="1">
        <f>IF(ISBLANK($A404),"",INDEX(Array_OtherEnergyCharges,MATCH($A404,List_OtherEnergyMeters,0),ROUNDUP((COLUMN()+1)/3-2,0)))</f>
        <v/>
      </c>
      <c r="S404" s="127"/>
      <c r="T404" s="137"/>
    </row>
    <row r="405" spans="1:20" x14ac:dyDescent="0.3">
      <c r="A405" s="126"/>
      <c r="B405" s="133"/>
      <c r="C405" s="127"/>
      <c r="D405" s="138"/>
      <c r="E405" s="137"/>
      <c r="F405" s="58" t="str" cm="1">
        <f>IF(ISBLANK($A405),"",INDEX(Array_OtherEnergyCharges,MATCH($A405,List_OtherEnergyMeters,0),ROUNDUP((COLUMN()+1)/3-2,0)))</f>
        <v/>
      </c>
      <c r="G405" s="127"/>
      <c r="H405" s="137"/>
      <c r="I405" s="58" t="str" cm="1">
        <f>IF(ISBLANK($A405),"",INDEX(Array_OtherEnergyCharges,MATCH($A405,List_OtherEnergyMeters,0),ROUNDUP((COLUMN()+1)/3-2,0)))</f>
        <v/>
      </c>
      <c r="J405" s="127"/>
      <c r="K405" s="137"/>
      <c r="L405" s="58" t="str" cm="1">
        <f>IF(ISBLANK($A405),"",INDEX(Array_OtherEnergyCharges,MATCH($A405,List_OtherEnergyMeters,0),ROUNDUP((COLUMN()+1)/3-2,0)))</f>
        <v/>
      </c>
      <c r="M405" s="127"/>
      <c r="N405" s="137"/>
      <c r="O405" s="58" t="str" cm="1">
        <f>IF(ISBLANK($A405),"",INDEX(Array_OtherEnergyCharges,MATCH($A405,List_OtherEnergyMeters,0),ROUNDUP((COLUMN()+1)/3-2,0)))</f>
        <v/>
      </c>
      <c r="P405" s="127"/>
      <c r="Q405" s="137"/>
      <c r="R405" s="58" t="str" cm="1">
        <f>IF(ISBLANK($A405),"",INDEX(Array_OtherEnergyCharges,MATCH($A405,List_OtherEnergyMeters,0),ROUNDUP((COLUMN()+1)/3-2,0)))</f>
        <v/>
      </c>
      <c r="S405" s="127"/>
      <c r="T405" s="137"/>
    </row>
    <row r="406" spans="1:20" x14ac:dyDescent="0.3">
      <c r="A406" s="126"/>
      <c r="B406" s="133"/>
      <c r="C406" s="127"/>
      <c r="D406" s="138"/>
      <c r="E406" s="137"/>
      <c r="F406" s="58" t="str" cm="1">
        <f>IF(ISBLANK($A406),"",INDEX(Array_OtherEnergyCharges,MATCH($A406,List_OtherEnergyMeters,0),ROUNDUP((COLUMN()+1)/3-2,0)))</f>
        <v/>
      </c>
      <c r="G406" s="127"/>
      <c r="H406" s="137"/>
      <c r="I406" s="58" t="str" cm="1">
        <f>IF(ISBLANK($A406),"",INDEX(Array_OtherEnergyCharges,MATCH($A406,List_OtherEnergyMeters,0),ROUNDUP((COLUMN()+1)/3-2,0)))</f>
        <v/>
      </c>
      <c r="J406" s="127"/>
      <c r="K406" s="137"/>
      <c r="L406" s="58" t="str" cm="1">
        <f>IF(ISBLANK($A406),"",INDEX(Array_OtherEnergyCharges,MATCH($A406,List_OtherEnergyMeters,0),ROUNDUP((COLUMN()+1)/3-2,0)))</f>
        <v/>
      </c>
      <c r="M406" s="127"/>
      <c r="N406" s="137"/>
      <c r="O406" s="58" t="str" cm="1">
        <f>IF(ISBLANK($A406),"",INDEX(Array_OtherEnergyCharges,MATCH($A406,List_OtherEnergyMeters,0),ROUNDUP((COLUMN()+1)/3-2,0)))</f>
        <v/>
      </c>
      <c r="P406" s="127"/>
      <c r="Q406" s="137"/>
      <c r="R406" s="58" t="str" cm="1">
        <f>IF(ISBLANK($A406),"",INDEX(Array_OtherEnergyCharges,MATCH($A406,List_OtherEnergyMeters,0),ROUNDUP((COLUMN()+1)/3-2,0)))</f>
        <v/>
      </c>
      <c r="S406" s="127"/>
      <c r="T406" s="137"/>
    </row>
    <row r="407" spans="1:20" x14ac:dyDescent="0.3">
      <c r="A407" s="126"/>
      <c r="B407" s="133"/>
      <c r="C407" s="127"/>
      <c r="D407" s="138"/>
      <c r="E407" s="137"/>
      <c r="F407" s="58" t="str" cm="1">
        <f>IF(ISBLANK($A407),"",INDEX(Array_OtherEnergyCharges,MATCH($A407,List_OtherEnergyMeters,0),ROUNDUP((COLUMN()+1)/3-2,0)))</f>
        <v/>
      </c>
      <c r="G407" s="127"/>
      <c r="H407" s="137"/>
      <c r="I407" s="58" t="str" cm="1">
        <f>IF(ISBLANK($A407),"",INDEX(Array_OtherEnergyCharges,MATCH($A407,List_OtherEnergyMeters,0),ROUNDUP((COLUMN()+1)/3-2,0)))</f>
        <v/>
      </c>
      <c r="J407" s="127"/>
      <c r="K407" s="137"/>
      <c r="L407" s="58" t="str" cm="1">
        <f>IF(ISBLANK($A407),"",INDEX(Array_OtherEnergyCharges,MATCH($A407,List_OtherEnergyMeters,0),ROUNDUP((COLUMN()+1)/3-2,0)))</f>
        <v/>
      </c>
      <c r="M407" s="127"/>
      <c r="N407" s="137"/>
      <c r="O407" s="58" t="str" cm="1">
        <f>IF(ISBLANK($A407),"",INDEX(Array_OtherEnergyCharges,MATCH($A407,List_OtherEnergyMeters,0),ROUNDUP((COLUMN()+1)/3-2,0)))</f>
        <v/>
      </c>
      <c r="P407" s="127"/>
      <c r="Q407" s="137"/>
      <c r="R407" s="58" t="str" cm="1">
        <f>IF(ISBLANK($A407),"",INDEX(Array_OtherEnergyCharges,MATCH($A407,List_OtherEnergyMeters,0),ROUNDUP((COLUMN()+1)/3-2,0)))</f>
        <v/>
      </c>
      <c r="S407" s="127"/>
      <c r="T407" s="137"/>
    </row>
    <row r="408" spans="1:20" x14ac:dyDescent="0.3">
      <c r="A408" s="126"/>
      <c r="B408" s="133"/>
      <c r="C408" s="127"/>
      <c r="D408" s="138"/>
      <c r="E408" s="137"/>
      <c r="F408" s="58" t="str" cm="1">
        <f>IF(ISBLANK($A408),"",INDEX(Array_OtherEnergyCharges,MATCH($A408,List_OtherEnergyMeters,0),ROUNDUP((COLUMN()+1)/3-2,0)))</f>
        <v/>
      </c>
      <c r="G408" s="127"/>
      <c r="H408" s="137"/>
      <c r="I408" s="58" t="str" cm="1">
        <f>IF(ISBLANK($A408),"",INDEX(Array_OtherEnergyCharges,MATCH($A408,List_OtherEnergyMeters,0),ROUNDUP((COLUMN()+1)/3-2,0)))</f>
        <v/>
      </c>
      <c r="J408" s="127"/>
      <c r="K408" s="137"/>
      <c r="L408" s="58" t="str" cm="1">
        <f>IF(ISBLANK($A408),"",INDEX(Array_OtherEnergyCharges,MATCH($A408,List_OtherEnergyMeters,0),ROUNDUP((COLUMN()+1)/3-2,0)))</f>
        <v/>
      </c>
      <c r="M408" s="127"/>
      <c r="N408" s="137"/>
      <c r="O408" s="58" t="str" cm="1">
        <f>IF(ISBLANK($A408),"",INDEX(Array_OtherEnergyCharges,MATCH($A408,List_OtherEnergyMeters,0),ROUNDUP((COLUMN()+1)/3-2,0)))</f>
        <v/>
      </c>
      <c r="P408" s="127"/>
      <c r="Q408" s="137"/>
      <c r="R408" s="58" t="str" cm="1">
        <f>IF(ISBLANK($A408),"",INDEX(Array_OtherEnergyCharges,MATCH($A408,List_OtherEnergyMeters,0),ROUNDUP((COLUMN()+1)/3-2,0)))</f>
        <v/>
      </c>
      <c r="S408" s="127"/>
      <c r="T408" s="137"/>
    </row>
    <row r="409" spans="1:20" x14ac:dyDescent="0.3">
      <c r="A409" s="126"/>
      <c r="B409" s="133"/>
      <c r="C409" s="127"/>
      <c r="D409" s="138"/>
      <c r="E409" s="137"/>
      <c r="F409" s="58" t="str" cm="1">
        <f>IF(ISBLANK($A409),"",INDEX(Array_OtherEnergyCharges,MATCH($A409,List_OtherEnergyMeters,0),ROUNDUP((COLUMN()+1)/3-2,0)))</f>
        <v/>
      </c>
      <c r="G409" s="127"/>
      <c r="H409" s="137"/>
      <c r="I409" s="58" t="str" cm="1">
        <f>IF(ISBLANK($A409),"",INDEX(Array_OtherEnergyCharges,MATCH($A409,List_OtherEnergyMeters,0),ROUNDUP((COLUMN()+1)/3-2,0)))</f>
        <v/>
      </c>
      <c r="J409" s="127"/>
      <c r="K409" s="137"/>
      <c r="L409" s="58" t="str" cm="1">
        <f>IF(ISBLANK($A409),"",INDEX(Array_OtherEnergyCharges,MATCH($A409,List_OtherEnergyMeters,0),ROUNDUP((COLUMN()+1)/3-2,0)))</f>
        <v/>
      </c>
      <c r="M409" s="127"/>
      <c r="N409" s="137"/>
      <c r="O409" s="58" t="str" cm="1">
        <f>IF(ISBLANK($A409),"",INDEX(Array_OtherEnergyCharges,MATCH($A409,List_OtherEnergyMeters,0),ROUNDUP((COLUMN()+1)/3-2,0)))</f>
        <v/>
      </c>
      <c r="P409" s="127"/>
      <c r="Q409" s="137"/>
      <c r="R409" s="58" t="str" cm="1">
        <f>IF(ISBLANK($A409),"",INDEX(Array_OtherEnergyCharges,MATCH($A409,List_OtherEnergyMeters,0),ROUNDUP((COLUMN()+1)/3-2,0)))</f>
        <v/>
      </c>
      <c r="S409" s="127"/>
      <c r="T409" s="137"/>
    </row>
    <row r="410" spans="1:20" x14ac:dyDescent="0.3">
      <c r="A410" s="126"/>
      <c r="B410" s="133"/>
      <c r="C410" s="127"/>
      <c r="D410" s="138"/>
      <c r="E410" s="137"/>
      <c r="F410" s="58" t="str" cm="1">
        <f>IF(ISBLANK($A410),"",INDEX(Array_OtherEnergyCharges,MATCH($A410,List_OtherEnergyMeters,0),ROUNDUP((COLUMN()+1)/3-2,0)))</f>
        <v/>
      </c>
      <c r="G410" s="127"/>
      <c r="H410" s="137"/>
      <c r="I410" s="58" t="str" cm="1">
        <f>IF(ISBLANK($A410),"",INDEX(Array_OtherEnergyCharges,MATCH($A410,List_OtherEnergyMeters,0),ROUNDUP((COLUMN()+1)/3-2,0)))</f>
        <v/>
      </c>
      <c r="J410" s="127"/>
      <c r="K410" s="137"/>
      <c r="L410" s="58" t="str" cm="1">
        <f>IF(ISBLANK($A410),"",INDEX(Array_OtherEnergyCharges,MATCH($A410,List_OtherEnergyMeters,0),ROUNDUP((COLUMN()+1)/3-2,0)))</f>
        <v/>
      </c>
      <c r="M410" s="127"/>
      <c r="N410" s="137"/>
      <c r="O410" s="58" t="str" cm="1">
        <f>IF(ISBLANK($A410),"",INDEX(Array_OtherEnergyCharges,MATCH($A410,List_OtherEnergyMeters,0),ROUNDUP((COLUMN()+1)/3-2,0)))</f>
        <v/>
      </c>
      <c r="P410" s="127"/>
      <c r="Q410" s="137"/>
      <c r="R410" s="58" t="str" cm="1">
        <f>IF(ISBLANK($A410),"",INDEX(Array_OtherEnergyCharges,MATCH($A410,List_OtherEnergyMeters,0),ROUNDUP((COLUMN()+1)/3-2,0)))</f>
        <v/>
      </c>
      <c r="S410" s="127"/>
      <c r="T410" s="137"/>
    </row>
    <row r="411" spans="1:20" x14ac:dyDescent="0.3">
      <c r="A411" s="126"/>
      <c r="B411" s="133"/>
      <c r="C411" s="127"/>
      <c r="D411" s="138"/>
      <c r="E411" s="137"/>
      <c r="F411" s="58" t="str" cm="1">
        <f>IF(ISBLANK($A411),"",INDEX(Array_OtherEnergyCharges,MATCH($A411,List_OtherEnergyMeters,0),ROUNDUP((COLUMN()+1)/3-2,0)))</f>
        <v/>
      </c>
      <c r="G411" s="127"/>
      <c r="H411" s="137"/>
      <c r="I411" s="58" t="str" cm="1">
        <f>IF(ISBLANK($A411),"",INDEX(Array_OtherEnergyCharges,MATCH($A411,List_OtherEnergyMeters,0),ROUNDUP((COLUMN()+1)/3-2,0)))</f>
        <v/>
      </c>
      <c r="J411" s="127"/>
      <c r="K411" s="137"/>
      <c r="L411" s="58" t="str" cm="1">
        <f>IF(ISBLANK($A411),"",INDEX(Array_OtherEnergyCharges,MATCH($A411,List_OtherEnergyMeters,0),ROUNDUP((COLUMN()+1)/3-2,0)))</f>
        <v/>
      </c>
      <c r="M411" s="127"/>
      <c r="N411" s="137"/>
      <c r="O411" s="58" t="str" cm="1">
        <f>IF(ISBLANK($A411),"",INDEX(Array_OtherEnergyCharges,MATCH($A411,List_OtherEnergyMeters,0),ROUNDUP((COLUMN()+1)/3-2,0)))</f>
        <v/>
      </c>
      <c r="P411" s="127"/>
      <c r="Q411" s="137"/>
      <c r="R411" s="58" t="str" cm="1">
        <f>IF(ISBLANK($A411),"",INDEX(Array_OtherEnergyCharges,MATCH($A411,List_OtherEnergyMeters,0),ROUNDUP((COLUMN()+1)/3-2,0)))</f>
        <v/>
      </c>
      <c r="S411" s="127"/>
      <c r="T411" s="137"/>
    </row>
    <row r="412" spans="1:20" x14ac:dyDescent="0.3">
      <c r="A412" s="126"/>
      <c r="B412" s="133"/>
      <c r="C412" s="127"/>
      <c r="D412" s="138"/>
      <c r="E412" s="137"/>
      <c r="F412" s="58" t="str" cm="1">
        <f>IF(ISBLANK($A412),"",INDEX(Array_OtherEnergyCharges,MATCH($A412,List_OtherEnergyMeters,0),ROUNDUP((COLUMN()+1)/3-2,0)))</f>
        <v/>
      </c>
      <c r="G412" s="127"/>
      <c r="H412" s="137"/>
      <c r="I412" s="58" t="str" cm="1">
        <f>IF(ISBLANK($A412),"",INDEX(Array_OtherEnergyCharges,MATCH($A412,List_OtherEnergyMeters,0),ROUNDUP((COLUMN()+1)/3-2,0)))</f>
        <v/>
      </c>
      <c r="J412" s="127"/>
      <c r="K412" s="137"/>
      <c r="L412" s="58" t="str" cm="1">
        <f>IF(ISBLANK($A412),"",INDEX(Array_OtherEnergyCharges,MATCH($A412,List_OtherEnergyMeters,0),ROUNDUP((COLUMN()+1)/3-2,0)))</f>
        <v/>
      </c>
      <c r="M412" s="127"/>
      <c r="N412" s="137"/>
      <c r="O412" s="58" t="str" cm="1">
        <f>IF(ISBLANK($A412),"",INDEX(Array_OtherEnergyCharges,MATCH($A412,List_OtherEnergyMeters,0),ROUNDUP((COLUMN()+1)/3-2,0)))</f>
        <v/>
      </c>
      <c r="P412" s="127"/>
      <c r="Q412" s="137"/>
      <c r="R412" s="58" t="str" cm="1">
        <f>IF(ISBLANK($A412),"",INDEX(Array_OtherEnergyCharges,MATCH($A412,List_OtherEnergyMeters,0),ROUNDUP((COLUMN()+1)/3-2,0)))</f>
        <v/>
      </c>
      <c r="S412" s="127"/>
      <c r="T412" s="137"/>
    </row>
    <row r="413" spans="1:20" x14ac:dyDescent="0.3">
      <c r="A413" s="126"/>
      <c r="B413" s="133"/>
      <c r="C413" s="127"/>
      <c r="D413" s="138"/>
      <c r="E413" s="137"/>
      <c r="F413" s="58" t="str" cm="1">
        <f>IF(ISBLANK($A413),"",INDEX(Array_OtherEnergyCharges,MATCH($A413,List_OtherEnergyMeters,0),ROUNDUP((COLUMN()+1)/3-2,0)))</f>
        <v/>
      </c>
      <c r="G413" s="127"/>
      <c r="H413" s="137"/>
      <c r="I413" s="58" t="str" cm="1">
        <f>IF(ISBLANK($A413),"",INDEX(Array_OtherEnergyCharges,MATCH($A413,List_OtherEnergyMeters,0),ROUNDUP((COLUMN()+1)/3-2,0)))</f>
        <v/>
      </c>
      <c r="J413" s="127"/>
      <c r="K413" s="137"/>
      <c r="L413" s="58" t="str" cm="1">
        <f>IF(ISBLANK($A413),"",INDEX(Array_OtherEnergyCharges,MATCH($A413,List_OtherEnergyMeters,0),ROUNDUP((COLUMN()+1)/3-2,0)))</f>
        <v/>
      </c>
      <c r="M413" s="127"/>
      <c r="N413" s="137"/>
      <c r="O413" s="58" t="str" cm="1">
        <f>IF(ISBLANK($A413),"",INDEX(Array_OtherEnergyCharges,MATCH($A413,List_OtherEnergyMeters,0),ROUNDUP((COLUMN()+1)/3-2,0)))</f>
        <v/>
      </c>
      <c r="P413" s="127"/>
      <c r="Q413" s="137"/>
      <c r="R413" s="58" t="str" cm="1">
        <f>IF(ISBLANK($A413),"",INDEX(Array_OtherEnergyCharges,MATCH($A413,List_OtherEnergyMeters,0),ROUNDUP((COLUMN()+1)/3-2,0)))</f>
        <v/>
      </c>
      <c r="S413" s="127"/>
      <c r="T413" s="137"/>
    </row>
    <row r="414" spans="1:20" x14ac:dyDescent="0.3">
      <c r="A414" s="126"/>
      <c r="B414" s="133"/>
      <c r="C414" s="127"/>
      <c r="D414" s="138"/>
      <c r="E414" s="137"/>
      <c r="F414" s="58" t="str" cm="1">
        <f>IF(ISBLANK($A414),"",INDEX(Array_OtherEnergyCharges,MATCH($A414,List_OtherEnergyMeters,0),ROUNDUP((COLUMN()+1)/3-2,0)))</f>
        <v/>
      </c>
      <c r="G414" s="127"/>
      <c r="H414" s="137"/>
      <c r="I414" s="58" t="str" cm="1">
        <f>IF(ISBLANK($A414),"",INDEX(Array_OtherEnergyCharges,MATCH($A414,List_OtherEnergyMeters,0),ROUNDUP((COLUMN()+1)/3-2,0)))</f>
        <v/>
      </c>
      <c r="J414" s="127"/>
      <c r="K414" s="137"/>
      <c r="L414" s="58" t="str" cm="1">
        <f>IF(ISBLANK($A414),"",INDEX(Array_OtherEnergyCharges,MATCH($A414,List_OtherEnergyMeters,0),ROUNDUP((COLUMN()+1)/3-2,0)))</f>
        <v/>
      </c>
      <c r="M414" s="127"/>
      <c r="N414" s="137"/>
      <c r="O414" s="58" t="str" cm="1">
        <f>IF(ISBLANK($A414),"",INDEX(Array_OtherEnergyCharges,MATCH($A414,List_OtherEnergyMeters,0),ROUNDUP((COLUMN()+1)/3-2,0)))</f>
        <v/>
      </c>
      <c r="P414" s="127"/>
      <c r="Q414" s="137"/>
      <c r="R414" s="58" t="str" cm="1">
        <f>IF(ISBLANK($A414),"",INDEX(Array_OtherEnergyCharges,MATCH($A414,List_OtherEnergyMeters,0),ROUNDUP((COLUMN()+1)/3-2,0)))</f>
        <v/>
      </c>
      <c r="S414" s="127"/>
      <c r="T414" s="137"/>
    </row>
    <row r="415" spans="1:20" x14ac:dyDescent="0.3">
      <c r="A415" s="126"/>
      <c r="B415" s="133"/>
      <c r="C415" s="127"/>
      <c r="D415" s="138"/>
      <c r="E415" s="137"/>
      <c r="F415" s="58" t="str" cm="1">
        <f>IF(ISBLANK($A415),"",INDEX(Array_OtherEnergyCharges,MATCH($A415,List_OtherEnergyMeters,0),ROUNDUP((COLUMN()+1)/3-2,0)))</f>
        <v/>
      </c>
      <c r="G415" s="127"/>
      <c r="H415" s="137"/>
      <c r="I415" s="58" t="str" cm="1">
        <f>IF(ISBLANK($A415),"",INDEX(Array_OtherEnergyCharges,MATCH($A415,List_OtherEnergyMeters,0),ROUNDUP((COLUMN()+1)/3-2,0)))</f>
        <v/>
      </c>
      <c r="J415" s="127"/>
      <c r="K415" s="137"/>
      <c r="L415" s="58" t="str" cm="1">
        <f>IF(ISBLANK($A415),"",INDEX(Array_OtherEnergyCharges,MATCH($A415,List_OtherEnergyMeters,0),ROUNDUP((COLUMN()+1)/3-2,0)))</f>
        <v/>
      </c>
      <c r="M415" s="127"/>
      <c r="N415" s="137"/>
      <c r="O415" s="58" t="str" cm="1">
        <f>IF(ISBLANK($A415),"",INDEX(Array_OtherEnergyCharges,MATCH($A415,List_OtherEnergyMeters,0),ROUNDUP((COLUMN()+1)/3-2,0)))</f>
        <v/>
      </c>
      <c r="P415" s="127"/>
      <c r="Q415" s="137"/>
      <c r="R415" s="58" t="str" cm="1">
        <f>IF(ISBLANK($A415),"",INDEX(Array_OtherEnergyCharges,MATCH($A415,List_OtherEnergyMeters,0),ROUNDUP((COLUMN()+1)/3-2,0)))</f>
        <v/>
      </c>
      <c r="S415" s="127"/>
      <c r="T415" s="137"/>
    </row>
    <row r="416" spans="1:20" x14ac:dyDescent="0.3">
      <c r="A416" s="126"/>
      <c r="B416" s="133"/>
      <c r="C416" s="127"/>
      <c r="D416" s="138"/>
      <c r="E416" s="137"/>
      <c r="F416" s="58" t="str" cm="1">
        <f>IF(ISBLANK($A416),"",INDEX(Array_OtherEnergyCharges,MATCH($A416,List_OtherEnergyMeters,0),ROUNDUP((COLUMN()+1)/3-2,0)))</f>
        <v/>
      </c>
      <c r="G416" s="127"/>
      <c r="H416" s="137"/>
      <c r="I416" s="58" t="str" cm="1">
        <f>IF(ISBLANK($A416),"",INDEX(Array_OtherEnergyCharges,MATCH($A416,List_OtherEnergyMeters,0),ROUNDUP((COLUMN()+1)/3-2,0)))</f>
        <v/>
      </c>
      <c r="J416" s="127"/>
      <c r="K416" s="137"/>
      <c r="L416" s="58" t="str" cm="1">
        <f>IF(ISBLANK($A416),"",INDEX(Array_OtherEnergyCharges,MATCH($A416,List_OtherEnergyMeters,0),ROUNDUP((COLUMN()+1)/3-2,0)))</f>
        <v/>
      </c>
      <c r="M416" s="127"/>
      <c r="N416" s="137"/>
      <c r="O416" s="58" t="str" cm="1">
        <f>IF(ISBLANK($A416),"",INDEX(Array_OtherEnergyCharges,MATCH($A416,List_OtherEnergyMeters,0),ROUNDUP((COLUMN()+1)/3-2,0)))</f>
        <v/>
      </c>
      <c r="P416" s="127"/>
      <c r="Q416" s="137"/>
      <c r="R416" s="58" t="str" cm="1">
        <f>IF(ISBLANK($A416),"",INDEX(Array_OtherEnergyCharges,MATCH($A416,List_OtherEnergyMeters,0),ROUNDUP((COLUMN()+1)/3-2,0)))</f>
        <v/>
      </c>
      <c r="S416" s="127"/>
      <c r="T416" s="137"/>
    </row>
    <row r="417" spans="1:20" x14ac:dyDescent="0.3">
      <c r="A417" s="126"/>
      <c r="B417" s="133"/>
      <c r="C417" s="127"/>
      <c r="D417" s="138"/>
      <c r="E417" s="137"/>
      <c r="F417" s="58" t="str" cm="1">
        <f>IF(ISBLANK($A417),"",INDEX(Array_OtherEnergyCharges,MATCH($A417,List_OtherEnergyMeters,0),ROUNDUP((COLUMN()+1)/3-2,0)))</f>
        <v/>
      </c>
      <c r="G417" s="127"/>
      <c r="H417" s="137"/>
      <c r="I417" s="58" t="str" cm="1">
        <f>IF(ISBLANK($A417),"",INDEX(Array_OtherEnergyCharges,MATCH($A417,List_OtherEnergyMeters,0),ROUNDUP((COLUMN()+1)/3-2,0)))</f>
        <v/>
      </c>
      <c r="J417" s="127"/>
      <c r="K417" s="137"/>
      <c r="L417" s="58" t="str" cm="1">
        <f>IF(ISBLANK($A417),"",INDEX(Array_OtherEnergyCharges,MATCH($A417,List_OtherEnergyMeters,0),ROUNDUP((COLUMN()+1)/3-2,0)))</f>
        <v/>
      </c>
      <c r="M417" s="127"/>
      <c r="N417" s="137"/>
      <c r="O417" s="58" t="str" cm="1">
        <f>IF(ISBLANK($A417),"",INDEX(Array_OtherEnergyCharges,MATCH($A417,List_OtherEnergyMeters,0),ROUNDUP((COLUMN()+1)/3-2,0)))</f>
        <v/>
      </c>
      <c r="P417" s="127"/>
      <c r="Q417" s="137"/>
      <c r="R417" s="58" t="str" cm="1">
        <f>IF(ISBLANK($A417),"",INDEX(Array_OtherEnergyCharges,MATCH($A417,List_OtherEnergyMeters,0),ROUNDUP((COLUMN()+1)/3-2,0)))</f>
        <v/>
      </c>
      <c r="S417" s="127"/>
      <c r="T417" s="137"/>
    </row>
    <row r="418" spans="1:20" x14ac:dyDescent="0.3">
      <c r="A418" s="126"/>
      <c r="B418" s="133"/>
      <c r="C418" s="127"/>
      <c r="D418" s="138"/>
      <c r="E418" s="137"/>
      <c r="F418" s="58" t="str" cm="1">
        <f>IF(ISBLANK($A418),"",INDEX(Array_OtherEnergyCharges,MATCH($A418,List_OtherEnergyMeters,0),ROUNDUP((COLUMN()+1)/3-2,0)))</f>
        <v/>
      </c>
      <c r="G418" s="127"/>
      <c r="H418" s="137"/>
      <c r="I418" s="58" t="str" cm="1">
        <f>IF(ISBLANK($A418),"",INDEX(Array_OtherEnergyCharges,MATCH($A418,List_OtherEnergyMeters,0),ROUNDUP((COLUMN()+1)/3-2,0)))</f>
        <v/>
      </c>
      <c r="J418" s="127"/>
      <c r="K418" s="137"/>
      <c r="L418" s="58" t="str" cm="1">
        <f>IF(ISBLANK($A418),"",INDEX(Array_OtherEnergyCharges,MATCH($A418,List_OtherEnergyMeters,0),ROUNDUP((COLUMN()+1)/3-2,0)))</f>
        <v/>
      </c>
      <c r="M418" s="127"/>
      <c r="N418" s="137"/>
      <c r="O418" s="58" t="str" cm="1">
        <f>IF(ISBLANK($A418),"",INDEX(Array_OtherEnergyCharges,MATCH($A418,List_OtherEnergyMeters,0),ROUNDUP((COLUMN()+1)/3-2,0)))</f>
        <v/>
      </c>
      <c r="P418" s="127"/>
      <c r="Q418" s="137"/>
      <c r="R418" s="58" t="str" cm="1">
        <f>IF(ISBLANK($A418),"",INDEX(Array_OtherEnergyCharges,MATCH($A418,List_OtherEnergyMeters,0),ROUNDUP((COLUMN()+1)/3-2,0)))</f>
        <v/>
      </c>
      <c r="S418" s="127"/>
      <c r="T418" s="137"/>
    </row>
    <row r="419" spans="1:20" x14ac:dyDescent="0.3">
      <c r="A419" s="126"/>
      <c r="B419" s="133"/>
      <c r="C419" s="127"/>
      <c r="D419" s="138"/>
      <c r="E419" s="137"/>
      <c r="F419" s="58" t="str" cm="1">
        <f>IF(ISBLANK($A419),"",INDEX(Array_OtherEnergyCharges,MATCH($A419,List_OtherEnergyMeters,0),ROUNDUP((COLUMN()+1)/3-2,0)))</f>
        <v/>
      </c>
      <c r="G419" s="127"/>
      <c r="H419" s="137"/>
      <c r="I419" s="58" t="str" cm="1">
        <f>IF(ISBLANK($A419),"",INDEX(Array_OtherEnergyCharges,MATCH($A419,List_OtherEnergyMeters,0),ROUNDUP((COLUMN()+1)/3-2,0)))</f>
        <v/>
      </c>
      <c r="J419" s="127"/>
      <c r="K419" s="137"/>
      <c r="L419" s="58" t="str" cm="1">
        <f>IF(ISBLANK($A419),"",INDEX(Array_OtherEnergyCharges,MATCH($A419,List_OtherEnergyMeters,0),ROUNDUP((COLUMN()+1)/3-2,0)))</f>
        <v/>
      </c>
      <c r="M419" s="127"/>
      <c r="N419" s="137"/>
      <c r="O419" s="58" t="str" cm="1">
        <f>IF(ISBLANK($A419),"",INDEX(Array_OtherEnergyCharges,MATCH($A419,List_OtherEnergyMeters,0),ROUNDUP((COLUMN()+1)/3-2,0)))</f>
        <v/>
      </c>
      <c r="P419" s="127"/>
      <c r="Q419" s="137"/>
      <c r="R419" s="58" t="str" cm="1">
        <f>IF(ISBLANK($A419),"",INDEX(Array_OtherEnergyCharges,MATCH($A419,List_OtherEnergyMeters,0),ROUNDUP((COLUMN()+1)/3-2,0)))</f>
        <v/>
      </c>
      <c r="S419" s="127"/>
      <c r="T419" s="137"/>
    </row>
    <row r="420" spans="1:20" x14ac:dyDescent="0.3">
      <c r="A420" s="126"/>
      <c r="B420" s="133"/>
      <c r="C420" s="127"/>
      <c r="D420" s="138"/>
      <c r="E420" s="137"/>
      <c r="F420" s="58" t="str" cm="1">
        <f>IF(ISBLANK($A420),"",INDEX(Array_OtherEnergyCharges,MATCH($A420,List_OtherEnergyMeters,0),ROUNDUP((COLUMN()+1)/3-2,0)))</f>
        <v/>
      </c>
      <c r="G420" s="127"/>
      <c r="H420" s="137"/>
      <c r="I420" s="58" t="str" cm="1">
        <f>IF(ISBLANK($A420),"",INDEX(Array_OtherEnergyCharges,MATCH($A420,List_OtherEnergyMeters,0),ROUNDUP((COLUMN()+1)/3-2,0)))</f>
        <v/>
      </c>
      <c r="J420" s="127"/>
      <c r="K420" s="137"/>
      <c r="L420" s="58" t="str" cm="1">
        <f>IF(ISBLANK($A420),"",INDEX(Array_OtherEnergyCharges,MATCH($A420,List_OtherEnergyMeters,0),ROUNDUP((COLUMN()+1)/3-2,0)))</f>
        <v/>
      </c>
      <c r="M420" s="127"/>
      <c r="N420" s="137"/>
      <c r="O420" s="58" t="str" cm="1">
        <f>IF(ISBLANK($A420),"",INDEX(Array_OtherEnergyCharges,MATCH($A420,List_OtherEnergyMeters,0),ROUNDUP((COLUMN()+1)/3-2,0)))</f>
        <v/>
      </c>
      <c r="P420" s="127"/>
      <c r="Q420" s="137"/>
      <c r="R420" s="58" t="str" cm="1">
        <f>IF(ISBLANK($A420),"",INDEX(Array_OtherEnergyCharges,MATCH($A420,List_OtherEnergyMeters,0),ROUNDUP((COLUMN()+1)/3-2,0)))</f>
        <v/>
      </c>
      <c r="S420" s="127"/>
      <c r="T420" s="137"/>
    </row>
    <row r="421" spans="1:20" x14ac:dyDescent="0.3">
      <c r="A421" s="126"/>
      <c r="B421" s="133"/>
      <c r="C421" s="127"/>
      <c r="D421" s="138"/>
      <c r="E421" s="137"/>
      <c r="F421" s="58" t="str" cm="1">
        <f>IF(ISBLANK($A421),"",INDEX(Array_OtherEnergyCharges,MATCH($A421,List_OtherEnergyMeters,0),ROUNDUP((COLUMN()+1)/3-2,0)))</f>
        <v/>
      </c>
      <c r="G421" s="127"/>
      <c r="H421" s="137"/>
      <c r="I421" s="58" t="str" cm="1">
        <f>IF(ISBLANK($A421),"",INDEX(Array_OtherEnergyCharges,MATCH($A421,List_OtherEnergyMeters,0),ROUNDUP((COLUMN()+1)/3-2,0)))</f>
        <v/>
      </c>
      <c r="J421" s="127"/>
      <c r="K421" s="137"/>
      <c r="L421" s="58" t="str" cm="1">
        <f>IF(ISBLANK($A421),"",INDEX(Array_OtherEnergyCharges,MATCH($A421,List_OtherEnergyMeters,0),ROUNDUP((COLUMN()+1)/3-2,0)))</f>
        <v/>
      </c>
      <c r="M421" s="127"/>
      <c r="N421" s="137"/>
      <c r="O421" s="58" t="str" cm="1">
        <f>IF(ISBLANK($A421),"",INDEX(Array_OtherEnergyCharges,MATCH($A421,List_OtherEnergyMeters,0),ROUNDUP((COLUMN()+1)/3-2,0)))</f>
        <v/>
      </c>
      <c r="P421" s="127"/>
      <c r="Q421" s="137"/>
      <c r="R421" s="58" t="str" cm="1">
        <f>IF(ISBLANK($A421),"",INDEX(Array_OtherEnergyCharges,MATCH($A421,List_OtherEnergyMeters,0),ROUNDUP((COLUMN()+1)/3-2,0)))</f>
        <v/>
      </c>
      <c r="S421" s="127"/>
      <c r="T421" s="137"/>
    </row>
    <row r="422" spans="1:20" x14ac:dyDescent="0.3">
      <c r="A422" s="126"/>
      <c r="B422" s="133"/>
      <c r="C422" s="127"/>
      <c r="D422" s="138"/>
      <c r="E422" s="137"/>
      <c r="F422" s="58" t="str" cm="1">
        <f>IF(ISBLANK($A422),"",INDEX(Array_OtherEnergyCharges,MATCH($A422,List_OtherEnergyMeters,0),ROUNDUP((COLUMN()+1)/3-2,0)))</f>
        <v/>
      </c>
      <c r="G422" s="127"/>
      <c r="H422" s="137"/>
      <c r="I422" s="58" t="str" cm="1">
        <f>IF(ISBLANK($A422),"",INDEX(Array_OtherEnergyCharges,MATCH($A422,List_OtherEnergyMeters,0),ROUNDUP((COLUMN()+1)/3-2,0)))</f>
        <v/>
      </c>
      <c r="J422" s="127"/>
      <c r="K422" s="137"/>
      <c r="L422" s="58" t="str" cm="1">
        <f>IF(ISBLANK($A422),"",INDEX(Array_OtherEnergyCharges,MATCH($A422,List_OtherEnergyMeters,0),ROUNDUP((COLUMN()+1)/3-2,0)))</f>
        <v/>
      </c>
      <c r="M422" s="127"/>
      <c r="N422" s="137"/>
      <c r="O422" s="58" t="str" cm="1">
        <f>IF(ISBLANK($A422),"",INDEX(Array_OtherEnergyCharges,MATCH($A422,List_OtherEnergyMeters,0),ROUNDUP((COLUMN()+1)/3-2,0)))</f>
        <v/>
      </c>
      <c r="P422" s="127"/>
      <c r="Q422" s="137"/>
      <c r="R422" s="58" t="str" cm="1">
        <f>IF(ISBLANK($A422),"",INDEX(Array_OtherEnergyCharges,MATCH($A422,List_OtherEnergyMeters,0),ROUNDUP((COLUMN()+1)/3-2,0)))</f>
        <v/>
      </c>
      <c r="S422" s="127"/>
      <c r="T422" s="137"/>
    </row>
    <row r="423" spans="1:20" x14ac:dyDescent="0.3">
      <c r="A423" s="126"/>
      <c r="B423" s="133"/>
      <c r="C423" s="127"/>
      <c r="D423" s="138"/>
      <c r="E423" s="137"/>
      <c r="F423" s="58" t="str" cm="1">
        <f>IF(ISBLANK($A423),"",INDEX(Array_OtherEnergyCharges,MATCH($A423,List_OtherEnergyMeters,0),ROUNDUP((COLUMN()+1)/3-2,0)))</f>
        <v/>
      </c>
      <c r="G423" s="127"/>
      <c r="H423" s="137"/>
      <c r="I423" s="58" t="str" cm="1">
        <f>IF(ISBLANK($A423),"",INDEX(Array_OtherEnergyCharges,MATCH($A423,List_OtherEnergyMeters,0),ROUNDUP((COLUMN()+1)/3-2,0)))</f>
        <v/>
      </c>
      <c r="J423" s="127"/>
      <c r="K423" s="137"/>
      <c r="L423" s="58" t="str" cm="1">
        <f>IF(ISBLANK($A423),"",INDEX(Array_OtherEnergyCharges,MATCH($A423,List_OtherEnergyMeters,0),ROUNDUP((COLUMN()+1)/3-2,0)))</f>
        <v/>
      </c>
      <c r="M423" s="127"/>
      <c r="N423" s="137"/>
      <c r="O423" s="58" t="str" cm="1">
        <f>IF(ISBLANK($A423),"",INDEX(Array_OtherEnergyCharges,MATCH($A423,List_OtherEnergyMeters,0),ROUNDUP((COLUMN()+1)/3-2,0)))</f>
        <v/>
      </c>
      <c r="P423" s="127"/>
      <c r="Q423" s="137"/>
      <c r="R423" s="58" t="str" cm="1">
        <f>IF(ISBLANK($A423),"",INDEX(Array_OtherEnergyCharges,MATCH($A423,List_OtherEnergyMeters,0),ROUNDUP((COLUMN()+1)/3-2,0)))</f>
        <v/>
      </c>
      <c r="S423" s="127"/>
      <c r="T423" s="137"/>
    </row>
    <row r="424" spans="1:20" x14ac:dyDescent="0.3">
      <c r="A424" s="126"/>
      <c r="B424" s="133"/>
      <c r="C424" s="127"/>
      <c r="D424" s="138"/>
      <c r="E424" s="137"/>
      <c r="F424" s="58" t="str" cm="1">
        <f>IF(ISBLANK($A424),"",INDEX(Array_OtherEnergyCharges,MATCH($A424,List_OtherEnergyMeters,0),ROUNDUP((COLUMN()+1)/3-2,0)))</f>
        <v/>
      </c>
      <c r="G424" s="127"/>
      <c r="H424" s="137"/>
      <c r="I424" s="58" t="str" cm="1">
        <f>IF(ISBLANK($A424),"",INDEX(Array_OtherEnergyCharges,MATCH($A424,List_OtherEnergyMeters,0),ROUNDUP((COLUMN()+1)/3-2,0)))</f>
        <v/>
      </c>
      <c r="J424" s="127"/>
      <c r="K424" s="137"/>
      <c r="L424" s="58" t="str" cm="1">
        <f>IF(ISBLANK($A424),"",INDEX(Array_OtherEnergyCharges,MATCH($A424,List_OtherEnergyMeters,0),ROUNDUP((COLUMN()+1)/3-2,0)))</f>
        <v/>
      </c>
      <c r="M424" s="127"/>
      <c r="N424" s="137"/>
      <c r="O424" s="58" t="str" cm="1">
        <f>IF(ISBLANK($A424),"",INDEX(Array_OtherEnergyCharges,MATCH($A424,List_OtherEnergyMeters,0),ROUNDUP((COLUMN()+1)/3-2,0)))</f>
        <v/>
      </c>
      <c r="P424" s="127"/>
      <c r="Q424" s="137"/>
      <c r="R424" s="58" t="str" cm="1">
        <f>IF(ISBLANK($A424),"",INDEX(Array_OtherEnergyCharges,MATCH($A424,List_OtherEnergyMeters,0),ROUNDUP((COLUMN()+1)/3-2,0)))</f>
        <v/>
      </c>
      <c r="S424" s="127"/>
      <c r="T424" s="137"/>
    </row>
    <row r="425" spans="1:20" x14ac:dyDescent="0.3">
      <c r="A425" s="126"/>
      <c r="B425" s="133"/>
      <c r="C425" s="127"/>
      <c r="D425" s="138"/>
      <c r="E425" s="137"/>
      <c r="F425" s="58" t="str" cm="1">
        <f>IF(ISBLANK($A425),"",INDEX(Array_OtherEnergyCharges,MATCH($A425,List_OtherEnergyMeters,0),ROUNDUP((COLUMN()+1)/3-2,0)))</f>
        <v/>
      </c>
      <c r="G425" s="127"/>
      <c r="H425" s="137"/>
      <c r="I425" s="58" t="str" cm="1">
        <f>IF(ISBLANK($A425),"",INDEX(Array_OtherEnergyCharges,MATCH($A425,List_OtherEnergyMeters,0),ROUNDUP((COLUMN()+1)/3-2,0)))</f>
        <v/>
      </c>
      <c r="J425" s="127"/>
      <c r="K425" s="137"/>
      <c r="L425" s="58" t="str" cm="1">
        <f>IF(ISBLANK($A425),"",INDEX(Array_OtherEnergyCharges,MATCH($A425,List_OtherEnergyMeters,0),ROUNDUP((COLUMN()+1)/3-2,0)))</f>
        <v/>
      </c>
      <c r="M425" s="127"/>
      <c r="N425" s="137"/>
      <c r="O425" s="58" t="str" cm="1">
        <f>IF(ISBLANK($A425),"",INDEX(Array_OtherEnergyCharges,MATCH($A425,List_OtherEnergyMeters,0),ROUNDUP((COLUMN()+1)/3-2,0)))</f>
        <v/>
      </c>
      <c r="P425" s="127"/>
      <c r="Q425" s="137"/>
      <c r="R425" s="58" t="str" cm="1">
        <f>IF(ISBLANK($A425),"",INDEX(Array_OtherEnergyCharges,MATCH($A425,List_OtherEnergyMeters,0),ROUNDUP((COLUMN()+1)/3-2,0)))</f>
        <v/>
      </c>
      <c r="S425" s="127"/>
      <c r="T425" s="137"/>
    </row>
    <row r="426" spans="1:20" x14ac:dyDescent="0.3">
      <c r="A426" s="126"/>
      <c r="B426" s="133"/>
      <c r="C426" s="127"/>
      <c r="D426" s="138"/>
      <c r="E426" s="137"/>
      <c r="F426" s="58" t="str" cm="1">
        <f>IF(ISBLANK($A426),"",INDEX(Array_OtherEnergyCharges,MATCH($A426,List_OtherEnergyMeters,0),ROUNDUP((COLUMN()+1)/3-2,0)))</f>
        <v/>
      </c>
      <c r="G426" s="127"/>
      <c r="H426" s="137"/>
      <c r="I426" s="58" t="str" cm="1">
        <f>IF(ISBLANK($A426),"",INDEX(Array_OtherEnergyCharges,MATCH($A426,List_OtherEnergyMeters,0),ROUNDUP((COLUMN()+1)/3-2,0)))</f>
        <v/>
      </c>
      <c r="J426" s="127"/>
      <c r="K426" s="137"/>
      <c r="L426" s="58" t="str" cm="1">
        <f>IF(ISBLANK($A426),"",INDEX(Array_OtherEnergyCharges,MATCH($A426,List_OtherEnergyMeters,0),ROUNDUP((COLUMN()+1)/3-2,0)))</f>
        <v/>
      </c>
      <c r="M426" s="127"/>
      <c r="N426" s="137"/>
      <c r="O426" s="58" t="str" cm="1">
        <f>IF(ISBLANK($A426),"",INDEX(Array_OtherEnergyCharges,MATCH($A426,List_OtherEnergyMeters,0),ROUNDUP((COLUMN()+1)/3-2,0)))</f>
        <v/>
      </c>
      <c r="P426" s="127"/>
      <c r="Q426" s="137"/>
      <c r="R426" s="58" t="str" cm="1">
        <f>IF(ISBLANK($A426),"",INDEX(Array_OtherEnergyCharges,MATCH($A426,List_OtherEnergyMeters,0),ROUNDUP((COLUMN()+1)/3-2,0)))</f>
        <v/>
      </c>
      <c r="S426" s="127"/>
      <c r="T426" s="137"/>
    </row>
    <row r="427" spans="1:20" x14ac:dyDescent="0.3">
      <c r="A427" s="126"/>
      <c r="B427" s="133"/>
      <c r="C427" s="127"/>
      <c r="D427" s="138"/>
      <c r="E427" s="137"/>
      <c r="F427" s="58" t="str" cm="1">
        <f>IF(ISBLANK($A427),"",INDEX(Array_OtherEnergyCharges,MATCH($A427,List_OtherEnergyMeters,0),ROUNDUP((COLUMN()+1)/3-2,0)))</f>
        <v/>
      </c>
      <c r="G427" s="127"/>
      <c r="H427" s="137"/>
      <c r="I427" s="58" t="str" cm="1">
        <f>IF(ISBLANK($A427),"",INDEX(Array_OtherEnergyCharges,MATCH($A427,List_OtherEnergyMeters,0),ROUNDUP((COLUMN()+1)/3-2,0)))</f>
        <v/>
      </c>
      <c r="J427" s="127"/>
      <c r="K427" s="137"/>
      <c r="L427" s="58" t="str" cm="1">
        <f>IF(ISBLANK($A427),"",INDEX(Array_OtherEnergyCharges,MATCH($A427,List_OtherEnergyMeters,0),ROUNDUP((COLUMN()+1)/3-2,0)))</f>
        <v/>
      </c>
      <c r="M427" s="127"/>
      <c r="N427" s="137"/>
      <c r="O427" s="58" t="str" cm="1">
        <f>IF(ISBLANK($A427),"",INDEX(Array_OtherEnergyCharges,MATCH($A427,List_OtherEnergyMeters,0),ROUNDUP((COLUMN()+1)/3-2,0)))</f>
        <v/>
      </c>
      <c r="P427" s="127"/>
      <c r="Q427" s="137"/>
      <c r="R427" s="58" t="str" cm="1">
        <f>IF(ISBLANK($A427),"",INDEX(Array_OtherEnergyCharges,MATCH($A427,List_OtherEnergyMeters,0),ROUNDUP((COLUMN()+1)/3-2,0)))</f>
        <v/>
      </c>
      <c r="S427" s="127"/>
      <c r="T427" s="137"/>
    </row>
    <row r="428" spans="1:20" x14ac:dyDescent="0.3">
      <c r="A428" s="126"/>
      <c r="B428" s="133"/>
      <c r="C428" s="127"/>
      <c r="D428" s="138"/>
      <c r="E428" s="137"/>
      <c r="F428" s="58" t="str" cm="1">
        <f>IF(ISBLANK($A428),"",INDEX(Array_OtherEnergyCharges,MATCH($A428,List_OtherEnergyMeters,0),ROUNDUP((COLUMN()+1)/3-2,0)))</f>
        <v/>
      </c>
      <c r="G428" s="127"/>
      <c r="H428" s="137"/>
      <c r="I428" s="58" t="str" cm="1">
        <f>IF(ISBLANK($A428),"",INDEX(Array_OtherEnergyCharges,MATCH($A428,List_OtherEnergyMeters,0),ROUNDUP((COLUMN()+1)/3-2,0)))</f>
        <v/>
      </c>
      <c r="J428" s="127"/>
      <c r="K428" s="137"/>
      <c r="L428" s="58" t="str" cm="1">
        <f>IF(ISBLANK($A428),"",INDEX(Array_OtherEnergyCharges,MATCH($A428,List_OtherEnergyMeters,0),ROUNDUP((COLUMN()+1)/3-2,0)))</f>
        <v/>
      </c>
      <c r="M428" s="127"/>
      <c r="N428" s="137"/>
      <c r="O428" s="58" t="str" cm="1">
        <f>IF(ISBLANK($A428),"",INDEX(Array_OtherEnergyCharges,MATCH($A428,List_OtherEnergyMeters,0),ROUNDUP((COLUMN()+1)/3-2,0)))</f>
        <v/>
      </c>
      <c r="P428" s="127"/>
      <c r="Q428" s="137"/>
      <c r="R428" s="58" t="str" cm="1">
        <f>IF(ISBLANK($A428),"",INDEX(Array_OtherEnergyCharges,MATCH($A428,List_OtherEnergyMeters,0),ROUNDUP((COLUMN()+1)/3-2,0)))</f>
        <v/>
      </c>
      <c r="S428" s="127"/>
      <c r="T428" s="137"/>
    </row>
    <row r="429" spans="1:20" x14ac:dyDescent="0.3">
      <c r="A429" s="126"/>
      <c r="B429" s="133"/>
      <c r="C429" s="127"/>
      <c r="D429" s="138"/>
      <c r="E429" s="137"/>
      <c r="F429" s="58" t="str" cm="1">
        <f>IF(ISBLANK($A429),"",INDEX(Array_OtherEnergyCharges,MATCH($A429,List_OtherEnergyMeters,0),ROUNDUP((COLUMN()+1)/3-2,0)))</f>
        <v/>
      </c>
      <c r="G429" s="127"/>
      <c r="H429" s="137"/>
      <c r="I429" s="58" t="str" cm="1">
        <f>IF(ISBLANK($A429),"",INDEX(Array_OtherEnergyCharges,MATCH($A429,List_OtherEnergyMeters,0),ROUNDUP((COLUMN()+1)/3-2,0)))</f>
        <v/>
      </c>
      <c r="J429" s="127"/>
      <c r="K429" s="137"/>
      <c r="L429" s="58" t="str" cm="1">
        <f>IF(ISBLANK($A429),"",INDEX(Array_OtherEnergyCharges,MATCH($A429,List_OtherEnergyMeters,0),ROUNDUP((COLUMN()+1)/3-2,0)))</f>
        <v/>
      </c>
      <c r="M429" s="127"/>
      <c r="N429" s="137"/>
      <c r="O429" s="58" t="str" cm="1">
        <f>IF(ISBLANK($A429),"",INDEX(Array_OtherEnergyCharges,MATCH($A429,List_OtherEnergyMeters,0),ROUNDUP((COLUMN()+1)/3-2,0)))</f>
        <v/>
      </c>
      <c r="P429" s="127"/>
      <c r="Q429" s="137"/>
      <c r="R429" s="58" t="str" cm="1">
        <f>IF(ISBLANK($A429),"",INDEX(Array_OtherEnergyCharges,MATCH($A429,List_OtherEnergyMeters,0),ROUNDUP((COLUMN()+1)/3-2,0)))</f>
        <v/>
      </c>
      <c r="S429" s="127"/>
      <c r="T429" s="137"/>
    </row>
    <row r="430" spans="1:20" x14ac:dyDescent="0.3">
      <c r="A430" s="126"/>
      <c r="B430" s="133"/>
      <c r="C430" s="127"/>
      <c r="D430" s="138"/>
      <c r="E430" s="137"/>
      <c r="F430" s="58" t="str" cm="1">
        <f>IF(ISBLANK($A430),"",INDEX(Array_OtherEnergyCharges,MATCH($A430,List_OtherEnergyMeters,0),ROUNDUP((COLUMN()+1)/3-2,0)))</f>
        <v/>
      </c>
      <c r="G430" s="127"/>
      <c r="H430" s="137"/>
      <c r="I430" s="58" t="str" cm="1">
        <f>IF(ISBLANK($A430),"",INDEX(Array_OtherEnergyCharges,MATCH($A430,List_OtherEnergyMeters,0),ROUNDUP((COLUMN()+1)/3-2,0)))</f>
        <v/>
      </c>
      <c r="J430" s="127"/>
      <c r="K430" s="137"/>
      <c r="L430" s="58" t="str" cm="1">
        <f>IF(ISBLANK($A430),"",INDEX(Array_OtherEnergyCharges,MATCH($A430,List_OtherEnergyMeters,0),ROUNDUP((COLUMN()+1)/3-2,0)))</f>
        <v/>
      </c>
      <c r="M430" s="127"/>
      <c r="N430" s="137"/>
      <c r="O430" s="58" t="str" cm="1">
        <f>IF(ISBLANK($A430),"",INDEX(Array_OtherEnergyCharges,MATCH($A430,List_OtherEnergyMeters,0),ROUNDUP((COLUMN()+1)/3-2,0)))</f>
        <v/>
      </c>
      <c r="P430" s="127"/>
      <c r="Q430" s="137"/>
      <c r="R430" s="58" t="str" cm="1">
        <f>IF(ISBLANK($A430),"",INDEX(Array_OtherEnergyCharges,MATCH($A430,List_OtherEnergyMeters,0),ROUNDUP((COLUMN()+1)/3-2,0)))</f>
        <v/>
      </c>
      <c r="S430" s="127"/>
      <c r="T430" s="137"/>
    </row>
    <row r="431" spans="1:20" x14ac:dyDescent="0.3">
      <c r="A431" s="126"/>
      <c r="B431" s="133"/>
      <c r="C431" s="127"/>
      <c r="D431" s="138"/>
      <c r="E431" s="137"/>
      <c r="F431" s="58" t="str" cm="1">
        <f>IF(ISBLANK($A431),"",INDEX(Array_OtherEnergyCharges,MATCH($A431,List_OtherEnergyMeters,0),ROUNDUP((COLUMN()+1)/3-2,0)))</f>
        <v/>
      </c>
      <c r="G431" s="127"/>
      <c r="H431" s="137"/>
      <c r="I431" s="58" t="str" cm="1">
        <f>IF(ISBLANK($A431),"",INDEX(Array_OtherEnergyCharges,MATCH($A431,List_OtherEnergyMeters,0),ROUNDUP((COLUMN()+1)/3-2,0)))</f>
        <v/>
      </c>
      <c r="J431" s="127"/>
      <c r="K431" s="137"/>
      <c r="L431" s="58" t="str" cm="1">
        <f>IF(ISBLANK($A431),"",INDEX(Array_OtherEnergyCharges,MATCH($A431,List_OtherEnergyMeters,0),ROUNDUP((COLUMN()+1)/3-2,0)))</f>
        <v/>
      </c>
      <c r="M431" s="127"/>
      <c r="N431" s="137"/>
      <c r="O431" s="58" t="str" cm="1">
        <f>IF(ISBLANK($A431),"",INDEX(Array_OtherEnergyCharges,MATCH($A431,List_OtherEnergyMeters,0),ROUNDUP((COLUMN()+1)/3-2,0)))</f>
        <v/>
      </c>
      <c r="P431" s="127"/>
      <c r="Q431" s="137"/>
      <c r="R431" s="58" t="str" cm="1">
        <f>IF(ISBLANK($A431),"",INDEX(Array_OtherEnergyCharges,MATCH($A431,List_OtherEnergyMeters,0),ROUNDUP((COLUMN()+1)/3-2,0)))</f>
        <v/>
      </c>
      <c r="S431" s="127"/>
      <c r="T431" s="137"/>
    </row>
    <row r="432" spans="1:20" x14ac:dyDescent="0.3">
      <c r="A432" s="126"/>
      <c r="B432" s="133"/>
      <c r="C432" s="127"/>
      <c r="D432" s="138"/>
      <c r="E432" s="137"/>
      <c r="F432" s="58" t="str" cm="1">
        <f>IF(ISBLANK($A432),"",INDEX(Array_OtherEnergyCharges,MATCH($A432,List_OtherEnergyMeters,0),ROUNDUP((COLUMN()+1)/3-2,0)))</f>
        <v/>
      </c>
      <c r="G432" s="127"/>
      <c r="H432" s="137"/>
      <c r="I432" s="58" t="str" cm="1">
        <f>IF(ISBLANK($A432),"",INDEX(Array_OtherEnergyCharges,MATCH($A432,List_OtherEnergyMeters,0),ROUNDUP((COLUMN()+1)/3-2,0)))</f>
        <v/>
      </c>
      <c r="J432" s="127"/>
      <c r="K432" s="137"/>
      <c r="L432" s="58" t="str" cm="1">
        <f>IF(ISBLANK($A432),"",INDEX(Array_OtherEnergyCharges,MATCH($A432,List_OtherEnergyMeters,0),ROUNDUP((COLUMN()+1)/3-2,0)))</f>
        <v/>
      </c>
      <c r="M432" s="127"/>
      <c r="N432" s="137"/>
      <c r="O432" s="58" t="str" cm="1">
        <f>IF(ISBLANK($A432),"",INDEX(Array_OtherEnergyCharges,MATCH($A432,List_OtherEnergyMeters,0),ROUNDUP((COLUMN()+1)/3-2,0)))</f>
        <v/>
      </c>
      <c r="P432" s="127"/>
      <c r="Q432" s="137"/>
      <c r="R432" s="58" t="str" cm="1">
        <f>IF(ISBLANK($A432),"",INDEX(Array_OtherEnergyCharges,MATCH($A432,List_OtherEnergyMeters,0),ROUNDUP((COLUMN()+1)/3-2,0)))</f>
        <v/>
      </c>
      <c r="S432" s="127"/>
      <c r="T432" s="137"/>
    </row>
    <row r="433" spans="1:20" x14ac:dyDescent="0.3">
      <c r="A433" s="126"/>
      <c r="B433" s="133"/>
      <c r="C433" s="127"/>
      <c r="D433" s="138"/>
      <c r="E433" s="137"/>
      <c r="F433" s="58" t="str" cm="1">
        <f>IF(ISBLANK($A433),"",INDEX(Array_OtherEnergyCharges,MATCH($A433,List_OtherEnergyMeters,0),ROUNDUP((COLUMN()+1)/3-2,0)))</f>
        <v/>
      </c>
      <c r="G433" s="127"/>
      <c r="H433" s="137"/>
      <c r="I433" s="58" t="str" cm="1">
        <f>IF(ISBLANK($A433),"",INDEX(Array_OtherEnergyCharges,MATCH($A433,List_OtherEnergyMeters,0),ROUNDUP((COLUMN()+1)/3-2,0)))</f>
        <v/>
      </c>
      <c r="J433" s="127"/>
      <c r="K433" s="137"/>
      <c r="L433" s="58" t="str" cm="1">
        <f>IF(ISBLANK($A433),"",INDEX(Array_OtherEnergyCharges,MATCH($A433,List_OtherEnergyMeters,0),ROUNDUP((COLUMN()+1)/3-2,0)))</f>
        <v/>
      </c>
      <c r="M433" s="127"/>
      <c r="N433" s="137"/>
      <c r="O433" s="58" t="str" cm="1">
        <f>IF(ISBLANK($A433),"",INDEX(Array_OtherEnergyCharges,MATCH($A433,List_OtherEnergyMeters,0),ROUNDUP((COLUMN()+1)/3-2,0)))</f>
        <v/>
      </c>
      <c r="P433" s="127"/>
      <c r="Q433" s="137"/>
      <c r="R433" s="58" t="str" cm="1">
        <f>IF(ISBLANK($A433),"",INDEX(Array_OtherEnergyCharges,MATCH($A433,List_OtherEnergyMeters,0),ROUNDUP((COLUMN()+1)/3-2,0)))</f>
        <v/>
      </c>
      <c r="S433" s="127"/>
      <c r="T433" s="137"/>
    </row>
    <row r="434" spans="1:20" x14ac:dyDescent="0.3">
      <c r="A434" s="126"/>
      <c r="B434" s="133"/>
      <c r="C434" s="127"/>
      <c r="D434" s="138"/>
      <c r="E434" s="137"/>
      <c r="F434" s="58" t="str" cm="1">
        <f>IF(ISBLANK($A434),"",INDEX(Array_OtherEnergyCharges,MATCH($A434,List_OtherEnergyMeters,0),ROUNDUP((COLUMN()+1)/3-2,0)))</f>
        <v/>
      </c>
      <c r="G434" s="127"/>
      <c r="H434" s="137"/>
      <c r="I434" s="58" t="str" cm="1">
        <f>IF(ISBLANK($A434),"",INDEX(Array_OtherEnergyCharges,MATCH($A434,List_OtherEnergyMeters,0),ROUNDUP((COLUMN()+1)/3-2,0)))</f>
        <v/>
      </c>
      <c r="J434" s="127"/>
      <c r="K434" s="137"/>
      <c r="L434" s="58" t="str" cm="1">
        <f>IF(ISBLANK($A434),"",INDEX(Array_OtherEnergyCharges,MATCH($A434,List_OtherEnergyMeters,0),ROUNDUP((COLUMN()+1)/3-2,0)))</f>
        <v/>
      </c>
      <c r="M434" s="127"/>
      <c r="N434" s="137"/>
      <c r="O434" s="58" t="str" cm="1">
        <f>IF(ISBLANK($A434),"",INDEX(Array_OtherEnergyCharges,MATCH($A434,List_OtherEnergyMeters,0),ROUNDUP((COLUMN()+1)/3-2,0)))</f>
        <v/>
      </c>
      <c r="P434" s="127"/>
      <c r="Q434" s="137"/>
      <c r="R434" s="58" t="str" cm="1">
        <f>IF(ISBLANK($A434),"",INDEX(Array_OtherEnergyCharges,MATCH($A434,List_OtherEnergyMeters,0),ROUNDUP((COLUMN()+1)/3-2,0)))</f>
        <v/>
      </c>
      <c r="S434" s="127"/>
      <c r="T434" s="137"/>
    </row>
    <row r="435" spans="1:20" x14ac:dyDescent="0.3">
      <c r="A435" s="126"/>
      <c r="B435" s="133"/>
      <c r="C435" s="127"/>
      <c r="D435" s="138"/>
      <c r="E435" s="137"/>
      <c r="F435" s="58" t="str" cm="1">
        <f>IF(ISBLANK($A435),"",INDEX(Array_OtherEnergyCharges,MATCH($A435,List_OtherEnergyMeters,0),ROUNDUP((COLUMN()+1)/3-2,0)))</f>
        <v/>
      </c>
      <c r="G435" s="127"/>
      <c r="H435" s="137"/>
      <c r="I435" s="58" t="str" cm="1">
        <f>IF(ISBLANK($A435),"",INDEX(Array_OtherEnergyCharges,MATCH($A435,List_OtherEnergyMeters,0),ROUNDUP((COLUMN()+1)/3-2,0)))</f>
        <v/>
      </c>
      <c r="J435" s="127"/>
      <c r="K435" s="137"/>
      <c r="L435" s="58" t="str" cm="1">
        <f>IF(ISBLANK($A435),"",INDEX(Array_OtherEnergyCharges,MATCH($A435,List_OtherEnergyMeters,0),ROUNDUP((COLUMN()+1)/3-2,0)))</f>
        <v/>
      </c>
      <c r="M435" s="127"/>
      <c r="N435" s="137"/>
      <c r="O435" s="58" t="str" cm="1">
        <f>IF(ISBLANK($A435),"",INDEX(Array_OtherEnergyCharges,MATCH($A435,List_OtherEnergyMeters,0),ROUNDUP((COLUMN()+1)/3-2,0)))</f>
        <v/>
      </c>
      <c r="P435" s="127"/>
      <c r="Q435" s="137"/>
      <c r="R435" s="58" t="str" cm="1">
        <f>IF(ISBLANK($A435),"",INDEX(Array_OtherEnergyCharges,MATCH($A435,List_OtherEnergyMeters,0),ROUNDUP((COLUMN()+1)/3-2,0)))</f>
        <v/>
      </c>
      <c r="S435" s="127"/>
      <c r="T435" s="137"/>
    </row>
    <row r="436" spans="1:20" x14ac:dyDescent="0.3">
      <c r="A436" s="126"/>
      <c r="B436" s="133"/>
      <c r="C436" s="127"/>
      <c r="D436" s="138"/>
      <c r="E436" s="137"/>
      <c r="F436" s="58" t="str" cm="1">
        <f>IF(ISBLANK($A436),"",INDEX(Array_OtherEnergyCharges,MATCH($A436,List_OtherEnergyMeters,0),ROUNDUP((COLUMN()+1)/3-2,0)))</f>
        <v/>
      </c>
      <c r="G436" s="127"/>
      <c r="H436" s="137"/>
      <c r="I436" s="58" t="str" cm="1">
        <f>IF(ISBLANK($A436),"",INDEX(Array_OtherEnergyCharges,MATCH($A436,List_OtherEnergyMeters,0),ROUNDUP((COLUMN()+1)/3-2,0)))</f>
        <v/>
      </c>
      <c r="J436" s="127"/>
      <c r="K436" s="137"/>
      <c r="L436" s="58" t="str" cm="1">
        <f>IF(ISBLANK($A436),"",INDEX(Array_OtherEnergyCharges,MATCH($A436,List_OtherEnergyMeters,0),ROUNDUP((COLUMN()+1)/3-2,0)))</f>
        <v/>
      </c>
      <c r="M436" s="127"/>
      <c r="N436" s="137"/>
      <c r="O436" s="58" t="str" cm="1">
        <f>IF(ISBLANK($A436),"",INDEX(Array_OtherEnergyCharges,MATCH($A436,List_OtherEnergyMeters,0),ROUNDUP((COLUMN()+1)/3-2,0)))</f>
        <v/>
      </c>
      <c r="P436" s="127"/>
      <c r="Q436" s="137"/>
      <c r="R436" s="58" t="str" cm="1">
        <f>IF(ISBLANK($A436),"",INDEX(Array_OtherEnergyCharges,MATCH($A436,List_OtherEnergyMeters,0),ROUNDUP((COLUMN()+1)/3-2,0)))</f>
        <v/>
      </c>
      <c r="S436" s="127"/>
      <c r="T436" s="137"/>
    </row>
    <row r="437" spans="1:20" x14ac:dyDescent="0.3">
      <c r="A437" s="126"/>
      <c r="B437" s="133"/>
      <c r="C437" s="127"/>
      <c r="D437" s="138"/>
      <c r="E437" s="137"/>
      <c r="F437" s="58" t="str" cm="1">
        <f>IF(ISBLANK($A437),"",INDEX(Array_OtherEnergyCharges,MATCH($A437,List_OtherEnergyMeters,0),ROUNDUP((COLUMN()+1)/3-2,0)))</f>
        <v/>
      </c>
      <c r="G437" s="127"/>
      <c r="H437" s="137"/>
      <c r="I437" s="58" t="str" cm="1">
        <f>IF(ISBLANK($A437),"",INDEX(Array_OtherEnergyCharges,MATCH($A437,List_OtherEnergyMeters,0),ROUNDUP((COLUMN()+1)/3-2,0)))</f>
        <v/>
      </c>
      <c r="J437" s="127"/>
      <c r="K437" s="137"/>
      <c r="L437" s="58" t="str" cm="1">
        <f>IF(ISBLANK($A437),"",INDEX(Array_OtherEnergyCharges,MATCH($A437,List_OtherEnergyMeters,0),ROUNDUP((COLUMN()+1)/3-2,0)))</f>
        <v/>
      </c>
      <c r="M437" s="127"/>
      <c r="N437" s="137"/>
      <c r="O437" s="58" t="str" cm="1">
        <f>IF(ISBLANK($A437),"",INDEX(Array_OtherEnergyCharges,MATCH($A437,List_OtherEnergyMeters,0),ROUNDUP((COLUMN()+1)/3-2,0)))</f>
        <v/>
      </c>
      <c r="P437" s="127"/>
      <c r="Q437" s="137"/>
      <c r="R437" s="58" t="str" cm="1">
        <f>IF(ISBLANK($A437),"",INDEX(Array_OtherEnergyCharges,MATCH($A437,List_OtherEnergyMeters,0),ROUNDUP((COLUMN()+1)/3-2,0)))</f>
        <v/>
      </c>
      <c r="S437" s="127"/>
      <c r="T437" s="137"/>
    </row>
    <row r="438" spans="1:20" x14ac:dyDescent="0.3">
      <c r="A438" s="126"/>
      <c r="B438" s="133"/>
      <c r="C438" s="127"/>
      <c r="D438" s="138"/>
      <c r="E438" s="137"/>
      <c r="F438" s="58" t="str" cm="1">
        <f>IF(ISBLANK($A438),"",INDEX(Array_OtherEnergyCharges,MATCH($A438,List_OtherEnergyMeters,0),ROUNDUP((COLUMN()+1)/3-2,0)))</f>
        <v/>
      </c>
      <c r="G438" s="127"/>
      <c r="H438" s="137"/>
      <c r="I438" s="58" t="str" cm="1">
        <f>IF(ISBLANK($A438),"",INDEX(Array_OtherEnergyCharges,MATCH($A438,List_OtherEnergyMeters,0),ROUNDUP((COLUMN()+1)/3-2,0)))</f>
        <v/>
      </c>
      <c r="J438" s="127"/>
      <c r="K438" s="137"/>
      <c r="L438" s="58" t="str" cm="1">
        <f>IF(ISBLANK($A438),"",INDEX(Array_OtherEnergyCharges,MATCH($A438,List_OtherEnergyMeters,0),ROUNDUP((COLUMN()+1)/3-2,0)))</f>
        <v/>
      </c>
      <c r="M438" s="127"/>
      <c r="N438" s="137"/>
      <c r="O438" s="58" t="str" cm="1">
        <f>IF(ISBLANK($A438),"",INDEX(Array_OtherEnergyCharges,MATCH($A438,List_OtherEnergyMeters,0),ROUNDUP((COLUMN()+1)/3-2,0)))</f>
        <v/>
      </c>
      <c r="P438" s="127"/>
      <c r="Q438" s="137"/>
      <c r="R438" s="58" t="str" cm="1">
        <f>IF(ISBLANK($A438),"",INDEX(Array_OtherEnergyCharges,MATCH($A438,List_OtherEnergyMeters,0),ROUNDUP((COLUMN()+1)/3-2,0)))</f>
        <v/>
      </c>
      <c r="S438" s="127"/>
      <c r="T438" s="137"/>
    </row>
    <row r="439" spans="1:20" x14ac:dyDescent="0.3">
      <c r="A439" s="126"/>
      <c r="B439" s="133"/>
      <c r="C439" s="127"/>
      <c r="D439" s="138"/>
      <c r="E439" s="137"/>
      <c r="F439" s="58" t="str" cm="1">
        <f>IF(ISBLANK($A439),"",INDEX(Array_OtherEnergyCharges,MATCH($A439,List_OtherEnergyMeters,0),ROUNDUP((COLUMN()+1)/3-2,0)))</f>
        <v/>
      </c>
      <c r="G439" s="127"/>
      <c r="H439" s="137"/>
      <c r="I439" s="58" t="str" cm="1">
        <f>IF(ISBLANK($A439),"",INDEX(Array_OtherEnergyCharges,MATCH($A439,List_OtherEnergyMeters,0),ROUNDUP((COLUMN()+1)/3-2,0)))</f>
        <v/>
      </c>
      <c r="J439" s="127"/>
      <c r="K439" s="137"/>
      <c r="L439" s="58" t="str" cm="1">
        <f>IF(ISBLANK($A439),"",INDEX(Array_OtherEnergyCharges,MATCH($A439,List_OtherEnergyMeters,0),ROUNDUP((COLUMN()+1)/3-2,0)))</f>
        <v/>
      </c>
      <c r="M439" s="127"/>
      <c r="N439" s="137"/>
      <c r="O439" s="58" t="str" cm="1">
        <f>IF(ISBLANK($A439),"",INDEX(Array_OtherEnergyCharges,MATCH($A439,List_OtherEnergyMeters,0),ROUNDUP((COLUMN()+1)/3-2,0)))</f>
        <v/>
      </c>
      <c r="P439" s="127"/>
      <c r="Q439" s="137"/>
      <c r="R439" s="58" t="str" cm="1">
        <f>IF(ISBLANK($A439),"",INDEX(Array_OtherEnergyCharges,MATCH($A439,List_OtherEnergyMeters,0),ROUNDUP((COLUMN()+1)/3-2,0)))</f>
        <v/>
      </c>
      <c r="S439" s="127"/>
      <c r="T439" s="137"/>
    </row>
    <row r="440" spans="1:20" x14ac:dyDescent="0.3">
      <c r="A440" s="126"/>
      <c r="B440" s="133"/>
      <c r="C440" s="127"/>
      <c r="D440" s="138"/>
      <c r="E440" s="137"/>
      <c r="F440" s="58" t="str" cm="1">
        <f>IF(ISBLANK($A440),"",INDEX(Array_OtherEnergyCharges,MATCH($A440,List_OtherEnergyMeters,0),ROUNDUP((COLUMN()+1)/3-2,0)))</f>
        <v/>
      </c>
      <c r="G440" s="127"/>
      <c r="H440" s="137"/>
      <c r="I440" s="58" t="str" cm="1">
        <f>IF(ISBLANK($A440),"",INDEX(Array_OtherEnergyCharges,MATCH($A440,List_OtherEnergyMeters,0),ROUNDUP((COLUMN()+1)/3-2,0)))</f>
        <v/>
      </c>
      <c r="J440" s="127"/>
      <c r="K440" s="137"/>
      <c r="L440" s="58" t="str" cm="1">
        <f>IF(ISBLANK($A440),"",INDEX(Array_OtherEnergyCharges,MATCH($A440,List_OtherEnergyMeters,0),ROUNDUP((COLUMN()+1)/3-2,0)))</f>
        <v/>
      </c>
      <c r="M440" s="127"/>
      <c r="N440" s="137"/>
      <c r="O440" s="58" t="str" cm="1">
        <f>IF(ISBLANK($A440),"",INDEX(Array_OtherEnergyCharges,MATCH($A440,List_OtherEnergyMeters,0),ROUNDUP((COLUMN()+1)/3-2,0)))</f>
        <v/>
      </c>
      <c r="P440" s="127"/>
      <c r="Q440" s="137"/>
      <c r="R440" s="58" t="str" cm="1">
        <f>IF(ISBLANK($A440),"",INDEX(Array_OtherEnergyCharges,MATCH($A440,List_OtherEnergyMeters,0),ROUNDUP((COLUMN()+1)/3-2,0)))</f>
        <v/>
      </c>
      <c r="S440" s="127"/>
      <c r="T440" s="137"/>
    </row>
    <row r="441" spans="1:20" x14ac:dyDescent="0.3">
      <c r="A441" s="126"/>
      <c r="B441" s="133"/>
      <c r="C441" s="127"/>
      <c r="D441" s="138"/>
      <c r="E441" s="137"/>
      <c r="F441" s="58" t="str" cm="1">
        <f>IF(ISBLANK($A441),"",INDEX(Array_OtherEnergyCharges,MATCH($A441,List_OtherEnergyMeters,0),ROUNDUP((COLUMN()+1)/3-2,0)))</f>
        <v/>
      </c>
      <c r="G441" s="127"/>
      <c r="H441" s="137"/>
      <c r="I441" s="58" t="str" cm="1">
        <f>IF(ISBLANK($A441),"",INDEX(Array_OtherEnergyCharges,MATCH($A441,List_OtherEnergyMeters,0),ROUNDUP((COLUMN()+1)/3-2,0)))</f>
        <v/>
      </c>
      <c r="J441" s="127"/>
      <c r="K441" s="137"/>
      <c r="L441" s="58" t="str" cm="1">
        <f>IF(ISBLANK($A441),"",INDEX(Array_OtherEnergyCharges,MATCH($A441,List_OtherEnergyMeters,0),ROUNDUP((COLUMN()+1)/3-2,0)))</f>
        <v/>
      </c>
      <c r="M441" s="127"/>
      <c r="N441" s="137"/>
      <c r="O441" s="58" t="str" cm="1">
        <f>IF(ISBLANK($A441),"",INDEX(Array_OtherEnergyCharges,MATCH($A441,List_OtherEnergyMeters,0),ROUNDUP((COLUMN()+1)/3-2,0)))</f>
        <v/>
      </c>
      <c r="P441" s="127"/>
      <c r="Q441" s="137"/>
      <c r="R441" s="58" t="str" cm="1">
        <f>IF(ISBLANK($A441),"",INDEX(Array_OtherEnergyCharges,MATCH($A441,List_OtherEnergyMeters,0),ROUNDUP((COLUMN()+1)/3-2,0)))</f>
        <v/>
      </c>
      <c r="S441" s="127"/>
      <c r="T441" s="137"/>
    </row>
    <row r="442" spans="1:20" x14ac:dyDescent="0.3">
      <c r="A442" s="126"/>
      <c r="B442" s="133"/>
      <c r="C442" s="127"/>
      <c r="D442" s="138"/>
      <c r="E442" s="137"/>
      <c r="F442" s="58" t="str" cm="1">
        <f>IF(ISBLANK($A442),"",INDEX(Array_OtherEnergyCharges,MATCH($A442,List_OtherEnergyMeters,0),ROUNDUP((COLUMN()+1)/3-2,0)))</f>
        <v/>
      </c>
      <c r="G442" s="127"/>
      <c r="H442" s="137"/>
      <c r="I442" s="58" t="str" cm="1">
        <f>IF(ISBLANK($A442),"",INDEX(Array_OtherEnergyCharges,MATCH($A442,List_OtherEnergyMeters,0),ROUNDUP((COLUMN()+1)/3-2,0)))</f>
        <v/>
      </c>
      <c r="J442" s="127"/>
      <c r="K442" s="137"/>
      <c r="L442" s="58" t="str" cm="1">
        <f>IF(ISBLANK($A442),"",INDEX(Array_OtherEnergyCharges,MATCH($A442,List_OtherEnergyMeters,0),ROUNDUP((COLUMN()+1)/3-2,0)))</f>
        <v/>
      </c>
      <c r="M442" s="127"/>
      <c r="N442" s="137"/>
      <c r="O442" s="58" t="str" cm="1">
        <f>IF(ISBLANK($A442),"",INDEX(Array_OtherEnergyCharges,MATCH($A442,List_OtherEnergyMeters,0),ROUNDUP((COLUMN()+1)/3-2,0)))</f>
        <v/>
      </c>
      <c r="P442" s="127"/>
      <c r="Q442" s="137"/>
      <c r="R442" s="58" t="str" cm="1">
        <f>IF(ISBLANK($A442),"",INDEX(Array_OtherEnergyCharges,MATCH($A442,List_OtherEnergyMeters,0),ROUNDUP((COLUMN()+1)/3-2,0)))</f>
        <v/>
      </c>
      <c r="S442" s="127"/>
      <c r="T442" s="137"/>
    </row>
    <row r="443" spans="1:20" x14ac:dyDescent="0.3">
      <c r="A443" s="126"/>
      <c r="B443" s="133"/>
      <c r="C443" s="127"/>
      <c r="D443" s="138"/>
      <c r="E443" s="137"/>
      <c r="F443" s="58" t="str" cm="1">
        <f>IF(ISBLANK($A443),"",INDEX(Array_OtherEnergyCharges,MATCH($A443,List_OtherEnergyMeters,0),ROUNDUP((COLUMN()+1)/3-2,0)))</f>
        <v/>
      </c>
      <c r="G443" s="127"/>
      <c r="H443" s="137"/>
      <c r="I443" s="58" t="str" cm="1">
        <f>IF(ISBLANK($A443),"",INDEX(Array_OtherEnergyCharges,MATCH($A443,List_OtherEnergyMeters,0),ROUNDUP((COLUMN()+1)/3-2,0)))</f>
        <v/>
      </c>
      <c r="J443" s="127"/>
      <c r="K443" s="137"/>
      <c r="L443" s="58" t="str" cm="1">
        <f>IF(ISBLANK($A443),"",INDEX(Array_OtherEnergyCharges,MATCH($A443,List_OtherEnergyMeters,0),ROUNDUP((COLUMN()+1)/3-2,0)))</f>
        <v/>
      </c>
      <c r="M443" s="127"/>
      <c r="N443" s="137"/>
      <c r="O443" s="58" t="str" cm="1">
        <f>IF(ISBLANK($A443),"",INDEX(Array_OtherEnergyCharges,MATCH($A443,List_OtherEnergyMeters,0),ROUNDUP((COLUMN()+1)/3-2,0)))</f>
        <v/>
      </c>
      <c r="P443" s="127"/>
      <c r="Q443" s="137"/>
      <c r="R443" s="58" t="str" cm="1">
        <f>IF(ISBLANK($A443),"",INDEX(Array_OtherEnergyCharges,MATCH($A443,List_OtherEnergyMeters,0),ROUNDUP((COLUMN()+1)/3-2,0)))</f>
        <v/>
      </c>
      <c r="S443" s="127"/>
      <c r="T443" s="137"/>
    </row>
    <row r="444" spans="1:20" x14ac:dyDescent="0.3">
      <c r="A444" s="126"/>
      <c r="B444" s="133"/>
      <c r="C444" s="127"/>
      <c r="D444" s="138"/>
      <c r="E444" s="137"/>
      <c r="F444" s="58" t="str" cm="1">
        <f>IF(ISBLANK($A444),"",INDEX(Array_OtherEnergyCharges,MATCH($A444,List_OtherEnergyMeters,0),ROUNDUP((COLUMN()+1)/3-2,0)))</f>
        <v/>
      </c>
      <c r="G444" s="127"/>
      <c r="H444" s="137"/>
      <c r="I444" s="58" t="str" cm="1">
        <f>IF(ISBLANK($A444),"",INDEX(Array_OtherEnergyCharges,MATCH($A444,List_OtherEnergyMeters,0),ROUNDUP((COLUMN()+1)/3-2,0)))</f>
        <v/>
      </c>
      <c r="J444" s="127"/>
      <c r="K444" s="137"/>
      <c r="L444" s="58" t="str" cm="1">
        <f>IF(ISBLANK($A444),"",INDEX(Array_OtherEnergyCharges,MATCH($A444,List_OtherEnergyMeters,0),ROUNDUP((COLUMN()+1)/3-2,0)))</f>
        <v/>
      </c>
      <c r="M444" s="127"/>
      <c r="N444" s="137"/>
      <c r="O444" s="58" t="str" cm="1">
        <f>IF(ISBLANK($A444),"",INDEX(Array_OtherEnergyCharges,MATCH($A444,List_OtherEnergyMeters,0),ROUNDUP((COLUMN()+1)/3-2,0)))</f>
        <v/>
      </c>
      <c r="P444" s="127"/>
      <c r="Q444" s="137"/>
      <c r="R444" s="58" t="str" cm="1">
        <f>IF(ISBLANK($A444),"",INDEX(Array_OtherEnergyCharges,MATCH($A444,List_OtherEnergyMeters,0),ROUNDUP((COLUMN()+1)/3-2,0)))</f>
        <v/>
      </c>
      <c r="S444" s="127"/>
      <c r="T444" s="137"/>
    </row>
    <row r="445" spans="1:20" x14ac:dyDescent="0.3">
      <c r="A445" s="126"/>
      <c r="B445" s="133"/>
      <c r="C445" s="127"/>
      <c r="D445" s="138"/>
      <c r="E445" s="137"/>
      <c r="F445" s="58" t="str" cm="1">
        <f>IF(ISBLANK($A445),"",INDEX(Array_OtherEnergyCharges,MATCH($A445,List_OtherEnergyMeters,0),ROUNDUP((COLUMN()+1)/3-2,0)))</f>
        <v/>
      </c>
      <c r="G445" s="127"/>
      <c r="H445" s="137"/>
      <c r="I445" s="58" t="str" cm="1">
        <f>IF(ISBLANK($A445),"",INDEX(Array_OtherEnergyCharges,MATCH($A445,List_OtherEnergyMeters,0),ROUNDUP((COLUMN()+1)/3-2,0)))</f>
        <v/>
      </c>
      <c r="J445" s="127"/>
      <c r="K445" s="137"/>
      <c r="L445" s="58" t="str" cm="1">
        <f>IF(ISBLANK($A445),"",INDEX(Array_OtherEnergyCharges,MATCH($A445,List_OtherEnergyMeters,0),ROUNDUP((COLUMN()+1)/3-2,0)))</f>
        <v/>
      </c>
      <c r="M445" s="127"/>
      <c r="N445" s="137"/>
      <c r="O445" s="58" t="str" cm="1">
        <f>IF(ISBLANK($A445),"",INDEX(Array_OtherEnergyCharges,MATCH($A445,List_OtherEnergyMeters,0),ROUNDUP((COLUMN()+1)/3-2,0)))</f>
        <v/>
      </c>
      <c r="P445" s="127"/>
      <c r="Q445" s="137"/>
      <c r="R445" s="58" t="str" cm="1">
        <f>IF(ISBLANK($A445),"",INDEX(Array_OtherEnergyCharges,MATCH($A445,List_OtherEnergyMeters,0),ROUNDUP((COLUMN()+1)/3-2,0)))</f>
        <v/>
      </c>
      <c r="S445" s="127"/>
      <c r="T445" s="137"/>
    </row>
    <row r="446" spans="1:20" x14ac:dyDescent="0.3">
      <c r="A446" s="126"/>
      <c r="B446" s="133"/>
      <c r="C446" s="127"/>
      <c r="D446" s="138"/>
      <c r="E446" s="137"/>
      <c r="F446" s="58" t="str" cm="1">
        <f>IF(ISBLANK($A446),"",INDEX(Array_OtherEnergyCharges,MATCH($A446,List_OtherEnergyMeters,0),ROUNDUP((COLUMN()+1)/3-2,0)))</f>
        <v/>
      </c>
      <c r="G446" s="127"/>
      <c r="H446" s="137"/>
      <c r="I446" s="58" t="str" cm="1">
        <f>IF(ISBLANK($A446),"",INDEX(Array_OtherEnergyCharges,MATCH($A446,List_OtherEnergyMeters,0),ROUNDUP((COLUMN()+1)/3-2,0)))</f>
        <v/>
      </c>
      <c r="J446" s="127"/>
      <c r="K446" s="137"/>
      <c r="L446" s="58" t="str" cm="1">
        <f>IF(ISBLANK($A446),"",INDEX(Array_OtherEnergyCharges,MATCH($A446,List_OtherEnergyMeters,0),ROUNDUP((COLUMN()+1)/3-2,0)))</f>
        <v/>
      </c>
      <c r="M446" s="127"/>
      <c r="N446" s="137"/>
      <c r="O446" s="58" t="str" cm="1">
        <f>IF(ISBLANK($A446),"",INDEX(Array_OtherEnergyCharges,MATCH($A446,List_OtherEnergyMeters,0),ROUNDUP((COLUMN()+1)/3-2,0)))</f>
        <v/>
      </c>
      <c r="P446" s="127"/>
      <c r="Q446" s="137"/>
      <c r="R446" s="58" t="str" cm="1">
        <f>IF(ISBLANK($A446),"",INDEX(Array_OtherEnergyCharges,MATCH($A446,List_OtherEnergyMeters,0),ROUNDUP((COLUMN()+1)/3-2,0)))</f>
        <v/>
      </c>
      <c r="S446" s="127"/>
      <c r="T446" s="137"/>
    </row>
    <row r="447" spans="1:20" x14ac:dyDescent="0.3">
      <c r="A447" s="126"/>
      <c r="B447" s="133"/>
      <c r="C447" s="127"/>
      <c r="D447" s="138"/>
      <c r="E447" s="137"/>
      <c r="F447" s="58" t="str" cm="1">
        <f>IF(ISBLANK($A447),"",INDEX(Array_OtherEnergyCharges,MATCH($A447,List_OtherEnergyMeters,0),ROUNDUP((COLUMN()+1)/3-2,0)))</f>
        <v/>
      </c>
      <c r="G447" s="127"/>
      <c r="H447" s="137"/>
      <c r="I447" s="58" t="str" cm="1">
        <f>IF(ISBLANK($A447),"",INDEX(Array_OtherEnergyCharges,MATCH($A447,List_OtherEnergyMeters,0),ROUNDUP((COLUMN()+1)/3-2,0)))</f>
        <v/>
      </c>
      <c r="J447" s="127"/>
      <c r="K447" s="137"/>
      <c r="L447" s="58" t="str" cm="1">
        <f>IF(ISBLANK($A447),"",INDEX(Array_OtherEnergyCharges,MATCH($A447,List_OtherEnergyMeters,0),ROUNDUP((COLUMN()+1)/3-2,0)))</f>
        <v/>
      </c>
      <c r="M447" s="127"/>
      <c r="N447" s="137"/>
      <c r="O447" s="58" t="str" cm="1">
        <f>IF(ISBLANK($A447),"",INDEX(Array_OtherEnergyCharges,MATCH($A447,List_OtherEnergyMeters,0),ROUNDUP((COLUMN()+1)/3-2,0)))</f>
        <v/>
      </c>
      <c r="P447" s="127"/>
      <c r="Q447" s="137"/>
      <c r="R447" s="58" t="str" cm="1">
        <f>IF(ISBLANK($A447),"",INDEX(Array_OtherEnergyCharges,MATCH($A447,List_OtherEnergyMeters,0),ROUNDUP((COLUMN()+1)/3-2,0)))</f>
        <v/>
      </c>
      <c r="S447" s="127"/>
      <c r="T447" s="137"/>
    </row>
    <row r="448" spans="1:20" x14ac:dyDescent="0.3">
      <c r="A448" s="126"/>
      <c r="B448" s="133"/>
      <c r="C448" s="127"/>
      <c r="D448" s="138"/>
      <c r="E448" s="137"/>
      <c r="F448" s="58" t="str" cm="1">
        <f>IF(ISBLANK($A448),"",INDEX(Array_OtherEnergyCharges,MATCH($A448,List_OtherEnergyMeters,0),ROUNDUP((COLUMN()+1)/3-2,0)))</f>
        <v/>
      </c>
      <c r="G448" s="127"/>
      <c r="H448" s="137"/>
      <c r="I448" s="58" t="str" cm="1">
        <f>IF(ISBLANK($A448),"",INDEX(Array_OtherEnergyCharges,MATCH($A448,List_OtherEnergyMeters,0),ROUNDUP((COLUMN()+1)/3-2,0)))</f>
        <v/>
      </c>
      <c r="J448" s="127"/>
      <c r="K448" s="137"/>
      <c r="L448" s="58" t="str" cm="1">
        <f>IF(ISBLANK($A448),"",INDEX(Array_OtherEnergyCharges,MATCH($A448,List_OtherEnergyMeters,0),ROUNDUP((COLUMN()+1)/3-2,0)))</f>
        <v/>
      </c>
      <c r="M448" s="127"/>
      <c r="N448" s="137"/>
      <c r="O448" s="58" t="str" cm="1">
        <f>IF(ISBLANK($A448),"",INDEX(Array_OtherEnergyCharges,MATCH($A448,List_OtherEnergyMeters,0),ROUNDUP((COLUMN()+1)/3-2,0)))</f>
        <v/>
      </c>
      <c r="P448" s="127"/>
      <c r="Q448" s="137"/>
      <c r="R448" s="58" t="str" cm="1">
        <f>IF(ISBLANK($A448),"",INDEX(Array_OtherEnergyCharges,MATCH($A448,List_OtherEnergyMeters,0),ROUNDUP((COLUMN()+1)/3-2,0)))</f>
        <v/>
      </c>
      <c r="S448" s="127"/>
      <c r="T448" s="137"/>
    </row>
    <row r="449" spans="1:20" x14ac:dyDescent="0.3">
      <c r="A449" s="126"/>
      <c r="B449" s="133"/>
      <c r="C449" s="127"/>
      <c r="D449" s="138"/>
      <c r="E449" s="137"/>
      <c r="F449" s="58" t="str" cm="1">
        <f>IF(ISBLANK($A449),"",INDEX(Array_OtherEnergyCharges,MATCH($A449,List_OtherEnergyMeters,0),ROUNDUP((COLUMN()+1)/3-2,0)))</f>
        <v/>
      </c>
      <c r="G449" s="127"/>
      <c r="H449" s="137"/>
      <c r="I449" s="58" t="str" cm="1">
        <f>IF(ISBLANK($A449),"",INDEX(Array_OtherEnergyCharges,MATCH($A449,List_OtherEnergyMeters,0),ROUNDUP((COLUMN()+1)/3-2,0)))</f>
        <v/>
      </c>
      <c r="J449" s="127"/>
      <c r="K449" s="137"/>
      <c r="L449" s="58" t="str" cm="1">
        <f>IF(ISBLANK($A449),"",INDEX(Array_OtherEnergyCharges,MATCH($A449,List_OtherEnergyMeters,0),ROUNDUP((COLUMN()+1)/3-2,0)))</f>
        <v/>
      </c>
      <c r="M449" s="127"/>
      <c r="N449" s="137"/>
      <c r="O449" s="58" t="str" cm="1">
        <f>IF(ISBLANK($A449),"",INDEX(Array_OtherEnergyCharges,MATCH($A449,List_OtherEnergyMeters,0),ROUNDUP((COLUMN()+1)/3-2,0)))</f>
        <v/>
      </c>
      <c r="P449" s="127"/>
      <c r="Q449" s="137"/>
      <c r="R449" s="58" t="str" cm="1">
        <f>IF(ISBLANK($A449),"",INDEX(Array_OtherEnergyCharges,MATCH($A449,List_OtherEnergyMeters,0),ROUNDUP((COLUMN()+1)/3-2,0)))</f>
        <v/>
      </c>
      <c r="S449" s="127"/>
      <c r="T449" s="137"/>
    </row>
    <row r="450" spans="1:20" x14ac:dyDescent="0.3">
      <c r="A450" s="126"/>
      <c r="B450" s="133"/>
      <c r="C450" s="127"/>
      <c r="D450" s="138"/>
      <c r="E450" s="137"/>
      <c r="F450" s="58" t="str" cm="1">
        <f>IF(ISBLANK($A450),"",INDEX(Array_OtherEnergyCharges,MATCH($A450,List_OtherEnergyMeters,0),ROUNDUP((COLUMN()+1)/3-2,0)))</f>
        <v/>
      </c>
      <c r="G450" s="127"/>
      <c r="H450" s="137"/>
      <c r="I450" s="58" t="str" cm="1">
        <f>IF(ISBLANK($A450),"",INDEX(Array_OtherEnergyCharges,MATCH($A450,List_OtherEnergyMeters,0),ROUNDUP((COLUMN()+1)/3-2,0)))</f>
        <v/>
      </c>
      <c r="J450" s="127"/>
      <c r="K450" s="137"/>
      <c r="L450" s="58" t="str" cm="1">
        <f>IF(ISBLANK($A450),"",INDEX(Array_OtherEnergyCharges,MATCH($A450,List_OtherEnergyMeters,0),ROUNDUP((COLUMN()+1)/3-2,0)))</f>
        <v/>
      </c>
      <c r="M450" s="127"/>
      <c r="N450" s="137"/>
      <c r="O450" s="58" t="str" cm="1">
        <f>IF(ISBLANK($A450),"",INDEX(Array_OtherEnergyCharges,MATCH($A450,List_OtherEnergyMeters,0),ROUNDUP((COLUMN()+1)/3-2,0)))</f>
        <v/>
      </c>
      <c r="P450" s="127"/>
      <c r="Q450" s="137"/>
      <c r="R450" s="58" t="str" cm="1">
        <f>IF(ISBLANK($A450),"",INDEX(Array_OtherEnergyCharges,MATCH($A450,List_OtherEnergyMeters,0),ROUNDUP((COLUMN()+1)/3-2,0)))</f>
        <v/>
      </c>
      <c r="S450" s="127"/>
      <c r="T450" s="137"/>
    </row>
    <row r="451" spans="1:20" x14ac:dyDescent="0.3">
      <c r="A451" s="126"/>
      <c r="B451" s="133"/>
      <c r="C451" s="127"/>
      <c r="D451" s="138"/>
      <c r="E451" s="137"/>
      <c r="F451" s="58" t="str" cm="1">
        <f>IF(ISBLANK($A451),"",INDEX(Array_OtherEnergyCharges,MATCH($A451,List_OtherEnergyMeters,0),ROUNDUP((COLUMN()+1)/3-2,0)))</f>
        <v/>
      </c>
      <c r="G451" s="127"/>
      <c r="H451" s="137"/>
      <c r="I451" s="58" t="str" cm="1">
        <f>IF(ISBLANK($A451),"",INDEX(Array_OtherEnergyCharges,MATCH($A451,List_OtherEnergyMeters,0),ROUNDUP((COLUMN()+1)/3-2,0)))</f>
        <v/>
      </c>
      <c r="J451" s="127"/>
      <c r="K451" s="137"/>
      <c r="L451" s="58" t="str" cm="1">
        <f>IF(ISBLANK($A451),"",INDEX(Array_OtherEnergyCharges,MATCH($A451,List_OtherEnergyMeters,0),ROUNDUP((COLUMN()+1)/3-2,0)))</f>
        <v/>
      </c>
      <c r="M451" s="127"/>
      <c r="N451" s="137"/>
      <c r="O451" s="58" t="str" cm="1">
        <f>IF(ISBLANK($A451),"",INDEX(Array_OtherEnergyCharges,MATCH($A451,List_OtherEnergyMeters,0),ROUNDUP((COLUMN()+1)/3-2,0)))</f>
        <v/>
      </c>
      <c r="P451" s="127"/>
      <c r="Q451" s="137"/>
      <c r="R451" s="58" t="str" cm="1">
        <f>IF(ISBLANK($A451),"",INDEX(Array_OtherEnergyCharges,MATCH($A451,List_OtherEnergyMeters,0),ROUNDUP((COLUMN()+1)/3-2,0)))</f>
        <v/>
      </c>
      <c r="S451" s="127"/>
      <c r="T451" s="137"/>
    </row>
    <row r="452" spans="1:20" x14ac:dyDescent="0.3">
      <c r="A452" s="126"/>
      <c r="B452" s="133"/>
      <c r="C452" s="127"/>
      <c r="D452" s="138"/>
      <c r="E452" s="137"/>
      <c r="F452" s="58" t="str" cm="1">
        <f>IF(ISBLANK($A452),"",INDEX(Array_OtherEnergyCharges,MATCH($A452,List_OtherEnergyMeters,0),ROUNDUP((COLUMN()+1)/3-2,0)))</f>
        <v/>
      </c>
      <c r="G452" s="127"/>
      <c r="H452" s="137"/>
      <c r="I452" s="58" t="str" cm="1">
        <f>IF(ISBLANK($A452),"",INDEX(Array_OtherEnergyCharges,MATCH($A452,List_OtherEnergyMeters,0),ROUNDUP((COLUMN()+1)/3-2,0)))</f>
        <v/>
      </c>
      <c r="J452" s="127"/>
      <c r="K452" s="137"/>
      <c r="L452" s="58" t="str" cm="1">
        <f>IF(ISBLANK($A452),"",INDEX(Array_OtherEnergyCharges,MATCH($A452,List_OtherEnergyMeters,0),ROUNDUP((COLUMN()+1)/3-2,0)))</f>
        <v/>
      </c>
      <c r="M452" s="127"/>
      <c r="N452" s="137"/>
      <c r="O452" s="58" t="str" cm="1">
        <f>IF(ISBLANK($A452),"",INDEX(Array_OtherEnergyCharges,MATCH($A452,List_OtherEnergyMeters,0),ROUNDUP((COLUMN()+1)/3-2,0)))</f>
        <v/>
      </c>
      <c r="P452" s="127"/>
      <c r="Q452" s="137"/>
      <c r="R452" s="58" t="str" cm="1">
        <f>IF(ISBLANK($A452),"",INDEX(Array_OtherEnergyCharges,MATCH($A452,List_OtherEnergyMeters,0),ROUNDUP((COLUMN()+1)/3-2,0)))</f>
        <v/>
      </c>
      <c r="S452" s="127"/>
      <c r="T452" s="137"/>
    </row>
    <row r="453" spans="1:20" x14ac:dyDescent="0.3">
      <c r="A453" s="126"/>
      <c r="B453" s="133"/>
      <c r="C453" s="127"/>
      <c r="D453" s="138"/>
      <c r="E453" s="137"/>
      <c r="F453" s="58" t="str" cm="1">
        <f>IF(ISBLANK($A453),"",INDEX(Array_OtherEnergyCharges,MATCH($A453,List_OtherEnergyMeters,0),ROUNDUP((COLUMN()+1)/3-2,0)))</f>
        <v/>
      </c>
      <c r="G453" s="127"/>
      <c r="H453" s="137"/>
      <c r="I453" s="58" t="str" cm="1">
        <f>IF(ISBLANK($A453),"",INDEX(Array_OtherEnergyCharges,MATCH($A453,List_OtherEnergyMeters,0),ROUNDUP((COLUMN()+1)/3-2,0)))</f>
        <v/>
      </c>
      <c r="J453" s="127"/>
      <c r="K453" s="137"/>
      <c r="L453" s="58" t="str" cm="1">
        <f>IF(ISBLANK($A453),"",INDEX(Array_OtherEnergyCharges,MATCH($A453,List_OtherEnergyMeters,0),ROUNDUP((COLUMN()+1)/3-2,0)))</f>
        <v/>
      </c>
      <c r="M453" s="127"/>
      <c r="N453" s="137"/>
      <c r="O453" s="58" t="str" cm="1">
        <f>IF(ISBLANK($A453),"",INDEX(Array_OtherEnergyCharges,MATCH($A453,List_OtherEnergyMeters,0),ROUNDUP((COLUMN()+1)/3-2,0)))</f>
        <v/>
      </c>
      <c r="P453" s="127"/>
      <c r="Q453" s="137"/>
      <c r="R453" s="58" t="str" cm="1">
        <f>IF(ISBLANK($A453),"",INDEX(Array_OtherEnergyCharges,MATCH($A453,List_OtherEnergyMeters,0),ROUNDUP((COLUMN()+1)/3-2,0)))</f>
        <v/>
      </c>
      <c r="S453" s="127"/>
      <c r="T453" s="137"/>
    </row>
    <row r="454" spans="1:20" x14ac:dyDescent="0.3">
      <c r="A454" s="126"/>
      <c r="B454" s="133"/>
      <c r="C454" s="127"/>
      <c r="D454" s="138"/>
      <c r="E454" s="137"/>
      <c r="F454" s="58" t="str" cm="1">
        <f>IF(ISBLANK($A454),"",INDEX(Array_OtherEnergyCharges,MATCH($A454,List_OtherEnergyMeters,0),ROUNDUP((COLUMN()+1)/3-2,0)))</f>
        <v/>
      </c>
      <c r="G454" s="127"/>
      <c r="H454" s="137"/>
      <c r="I454" s="58" t="str" cm="1">
        <f>IF(ISBLANK($A454),"",INDEX(Array_OtherEnergyCharges,MATCH($A454,List_OtherEnergyMeters,0),ROUNDUP((COLUMN()+1)/3-2,0)))</f>
        <v/>
      </c>
      <c r="J454" s="127"/>
      <c r="K454" s="137"/>
      <c r="L454" s="58" t="str" cm="1">
        <f>IF(ISBLANK($A454),"",INDEX(Array_OtherEnergyCharges,MATCH($A454,List_OtherEnergyMeters,0),ROUNDUP((COLUMN()+1)/3-2,0)))</f>
        <v/>
      </c>
      <c r="M454" s="127"/>
      <c r="N454" s="137"/>
      <c r="O454" s="58" t="str" cm="1">
        <f>IF(ISBLANK($A454),"",INDEX(Array_OtherEnergyCharges,MATCH($A454,List_OtherEnergyMeters,0),ROUNDUP((COLUMN()+1)/3-2,0)))</f>
        <v/>
      </c>
      <c r="P454" s="127"/>
      <c r="Q454" s="137"/>
      <c r="R454" s="58" t="str" cm="1">
        <f>IF(ISBLANK($A454),"",INDEX(Array_OtherEnergyCharges,MATCH($A454,List_OtherEnergyMeters,0),ROUNDUP((COLUMN()+1)/3-2,0)))</f>
        <v/>
      </c>
      <c r="S454" s="127"/>
      <c r="T454" s="137"/>
    </row>
    <row r="455" spans="1:20" x14ac:dyDescent="0.3">
      <c r="A455" s="126"/>
      <c r="B455" s="133"/>
      <c r="C455" s="127"/>
      <c r="D455" s="138"/>
      <c r="E455" s="137"/>
      <c r="F455" s="58" t="str" cm="1">
        <f>IF(ISBLANK($A455),"",INDEX(Array_OtherEnergyCharges,MATCH($A455,List_OtherEnergyMeters,0),ROUNDUP((COLUMN()+1)/3-2,0)))</f>
        <v/>
      </c>
      <c r="G455" s="127"/>
      <c r="H455" s="137"/>
      <c r="I455" s="58" t="str" cm="1">
        <f>IF(ISBLANK($A455),"",INDEX(Array_OtherEnergyCharges,MATCH($A455,List_OtherEnergyMeters,0),ROUNDUP((COLUMN()+1)/3-2,0)))</f>
        <v/>
      </c>
      <c r="J455" s="127"/>
      <c r="K455" s="137"/>
      <c r="L455" s="58" t="str" cm="1">
        <f>IF(ISBLANK($A455),"",INDEX(Array_OtherEnergyCharges,MATCH($A455,List_OtherEnergyMeters,0),ROUNDUP((COLUMN()+1)/3-2,0)))</f>
        <v/>
      </c>
      <c r="M455" s="127"/>
      <c r="N455" s="137"/>
      <c r="O455" s="58" t="str" cm="1">
        <f>IF(ISBLANK($A455),"",INDEX(Array_OtherEnergyCharges,MATCH($A455,List_OtherEnergyMeters,0),ROUNDUP((COLUMN()+1)/3-2,0)))</f>
        <v/>
      </c>
      <c r="P455" s="127"/>
      <c r="Q455" s="137"/>
      <c r="R455" s="58" t="str" cm="1">
        <f>IF(ISBLANK($A455),"",INDEX(Array_OtherEnergyCharges,MATCH($A455,List_OtherEnergyMeters,0),ROUNDUP((COLUMN()+1)/3-2,0)))</f>
        <v/>
      </c>
      <c r="S455" s="127"/>
      <c r="T455" s="137"/>
    </row>
    <row r="456" spans="1:20" x14ac:dyDescent="0.3">
      <c r="A456" s="126"/>
      <c r="B456" s="133"/>
      <c r="C456" s="127"/>
      <c r="D456" s="138"/>
      <c r="E456" s="137"/>
      <c r="F456" s="58" t="str" cm="1">
        <f>IF(ISBLANK($A456),"",INDEX(Array_OtherEnergyCharges,MATCH($A456,List_OtherEnergyMeters,0),ROUNDUP((COLUMN()+1)/3-2,0)))</f>
        <v/>
      </c>
      <c r="G456" s="127"/>
      <c r="H456" s="137"/>
      <c r="I456" s="58" t="str" cm="1">
        <f>IF(ISBLANK($A456),"",INDEX(Array_OtherEnergyCharges,MATCH($A456,List_OtherEnergyMeters,0),ROUNDUP((COLUMN()+1)/3-2,0)))</f>
        <v/>
      </c>
      <c r="J456" s="127"/>
      <c r="K456" s="137"/>
      <c r="L456" s="58" t="str" cm="1">
        <f>IF(ISBLANK($A456),"",INDEX(Array_OtherEnergyCharges,MATCH($A456,List_OtherEnergyMeters,0),ROUNDUP((COLUMN()+1)/3-2,0)))</f>
        <v/>
      </c>
      <c r="M456" s="127"/>
      <c r="N456" s="137"/>
      <c r="O456" s="58" t="str" cm="1">
        <f>IF(ISBLANK($A456),"",INDEX(Array_OtherEnergyCharges,MATCH($A456,List_OtherEnergyMeters,0),ROUNDUP((COLUMN()+1)/3-2,0)))</f>
        <v/>
      </c>
      <c r="P456" s="127"/>
      <c r="Q456" s="137"/>
      <c r="R456" s="58" t="str" cm="1">
        <f>IF(ISBLANK($A456),"",INDEX(Array_OtherEnergyCharges,MATCH($A456,List_OtherEnergyMeters,0),ROUNDUP((COLUMN()+1)/3-2,0)))</f>
        <v/>
      </c>
      <c r="S456" s="127"/>
      <c r="T456" s="137"/>
    </row>
    <row r="457" spans="1:20" x14ac:dyDescent="0.3">
      <c r="A457" s="126"/>
      <c r="B457" s="133"/>
      <c r="C457" s="127"/>
      <c r="D457" s="138"/>
      <c r="E457" s="137"/>
      <c r="F457" s="58" t="str" cm="1">
        <f>IF(ISBLANK($A457),"",INDEX(Array_OtherEnergyCharges,MATCH($A457,List_OtherEnergyMeters,0),ROUNDUP((COLUMN()+1)/3-2,0)))</f>
        <v/>
      </c>
      <c r="G457" s="127"/>
      <c r="H457" s="137"/>
      <c r="I457" s="58" t="str" cm="1">
        <f>IF(ISBLANK($A457),"",INDEX(Array_OtherEnergyCharges,MATCH($A457,List_OtherEnergyMeters,0),ROUNDUP((COLUMN()+1)/3-2,0)))</f>
        <v/>
      </c>
      <c r="J457" s="127"/>
      <c r="K457" s="137"/>
      <c r="L457" s="58" t="str" cm="1">
        <f>IF(ISBLANK($A457),"",INDEX(Array_OtherEnergyCharges,MATCH($A457,List_OtherEnergyMeters,0),ROUNDUP((COLUMN()+1)/3-2,0)))</f>
        <v/>
      </c>
      <c r="M457" s="127"/>
      <c r="N457" s="137"/>
      <c r="O457" s="58" t="str" cm="1">
        <f>IF(ISBLANK($A457),"",INDEX(Array_OtherEnergyCharges,MATCH($A457,List_OtherEnergyMeters,0),ROUNDUP((COLUMN()+1)/3-2,0)))</f>
        <v/>
      </c>
      <c r="P457" s="127"/>
      <c r="Q457" s="137"/>
      <c r="R457" s="58" t="str" cm="1">
        <f>IF(ISBLANK($A457),"",INDEX(Array_OtherEnergyCharges,MATCH($A457,List_OtherEnergyMeters,0),ROUNDUP((COLUMN()+1)/3-2,0)))</f>
        <v/>
      </c>
      <c r="S457" s="127"/>
      <c r="T457" s="137"/>
    </row>
    <row r="458" spans="1:20" x14ac:dyDescent="0.3">
      <c r="A458" s="126"/>
      <c r="B458" s="133"/>
      <c r="C458" s="127"/>
      <c r="D458" s="138"/>
      <c r="E458" s="137"/>
      <c r="F458" s="58" t="str" cm="1">
        <f>IF(ISBLANK($A458),"",INDEX(Array_OtherEnergyCharges,MATCH($A458,List_OtherEnergyMeters,0),ROUNDUP((COLUMN()+1)/3-2,0)))</f>
        <v/>
      </c>
      <c r="G458" s="127"/>
      <c r="H458" s="137"/>
      <c r="I458" s="58" t="str" cm="1">
        <f>IF(ISBLANK($A458),"",INDEX(Array_OtherEnergyCharges,MATCH($A458,List_OtherEnergyMeters,0),ROUNDUP((COLUMN()+1)/3-2,0)))</f>
        <v/>
      </c>
      <c r="J458" s="127"/>
      <c r="K458" s="137"/>
      <c r="L458" s="58" t="str" cm="1">
        <f>IF(ISBLANK($A458),"",INDEX(Array_OtherEnergyCharges,MATCH($A458,List_OtherEnergyMeters,0),ROUNDUP((COLUMN()+1)/3-2,0)))</f>
        <v/>
      </c>
      <c r="M458" s="127"/>
      <c r="N458" s="137"/>
      <c r="O458" s="58" t="str" cm="1">
        <f>IF(ISBLANK($A458),"",INDEX(Array_OtherEnergyCharges,MATCH($A458,List_OtherEnergyMeters,0),ROUNDUP((COLUMN()+1)/3-2,0)))</f>
        <v/>
      </c>
      <c r="P458" s="127"/>
      <c r="Q458" s="137"/>
      <c r="R458" s="58" t="str" cm="1">
        <f>IF(ISBLANK($A458),"",INDEX(Array_OtherEnergyCharges,MATCH($A458,List_OtherEnergyMeters,0),ROUNDUP((COLUMN()+1)/3-2,0)))</f>
        <v/>
      </c>
      <c r="S458" s="127"/>
      <c r="T458" s="137"/>
    </row>
    <row r="459" spans="1:20" x14ac:dyDescent="0.3">
      <c r="A459" s="126"/>
      <c r="B459" s="133"/>
      <c r="C459" s="127"/>
      <c r="D459" s="138"/>
      <c r="E459" s="137"/>
      <c r="F459" s="58" t="str" cm="1">
        <f>IF(ISBLANK($A459),"",INDEX(Array_OtherEnergyCharges,MATCH($A459,List_OtherEnergyMeters,0),ROUNDUP((COLUMN()+1)/3-2,0)))</f>
        <v/>
      </c>
      <c r="G459" s="127"/>
      <c r="H459" s="137"/>
      <c r="I459" s="58" t="str" cm="1">
        <f>IF(ISBLANK($A459),"",INDEX(Array_OtherEnergyCharges,MATCH($A459,List_OtherEnergyMeters,0),ROUNDUP((COLUMN()+1)/3-2,0)))</f>
        <v/>
      </c>
      <c r="J459" s="127"/>
      <c r="K459" s="137"/>
      <c r="L459" s="58" t="str" cm="1">
        <f>IF(ISBLANK($A459),"",INDEX(Array_OtherEnergyCharges,MATCH($A459,List_OtherEnergyMeters,0),ROUNDUP((COLUMN()+1)/3-2,0)))</f>
        <v/>
      </c>
      <c r="M459" s="127"/>
      <c r="N459" s="137"/>
      <c r="O459" s="58" t="str" cm="1">
        <f>IF(ISBLANK($A459),"",INDEX(Array_OtherEnergyCharges,MATCH($A459,List_OtherEnergyMeters,0),ROUNDUP((COLUMN()+1)/3-2,0)))</f>
        <v/>
      </c>
      <c r="P459" s="127"/>
      <c r="Q459" s="137"/>
      <c r="R459" s="58" t="str" cm="1">
        <f>IF(ISBLANK($A459),"",INDEX(Array_OtherEnergyCharges,MATCH($A459,List_OtherEnergyMeters,0),ROUNDUP((COLUMN()+1)/3-2,0)))</f>
        <v/>
      </c>
      <c r="S459" s="127"/>
      <c r="T459" s="137"/>
    </row>
    <row r="460" spans="1:20" x14ac:dyDescent="0.3">
      <c r="A460" s="126"/>
      <c r="B460" s="133"/>
      <c r="C460" s="127"/>
      <c r="D460" s="138"/>
      <c r="E460" s="137"/>
      <c r="F460" s="58" t="str" cm="1">
        <f>IF(ISBLANK($A460),"",INDEX(Array_OtherEnergyCharges,MATCH($A460,List_OtherEnergyMeters,0),ROUNDUP((COLUMN()+1)/3-2,0)))</f>
        <v/>
      </c>
      <c r="G460" s="127"/>
      <c r="H460" s="137"/>
      <c r="I460" s="58" t="str" cm="1">
        <f>IF(ISBLANK($A460),"",INDEX(Array_OtherEnergyCharges,MATCH($A460,List_OtherEnergyMeters,0),ROUNDUP((COLUMN()+1)/3-2,0)))</f>
        <v/>
      </c>
      <c r="J460" s="127"/>
      <c r="K460" s="137"/>
      <c r="L460" s="58" t="str" cm="1">
        <f>IF(ISBLANK($A460),"",INDEX(Array_OtherEnergyCharges,MATCH($A460,List_OtherEnergyMeters,0),ROUNDUP((COLUMN()+1)/3-2,0)))</f>
        <v/>
      </c>
      <c r="M460" s="127"/>
      <c r="N460" s="137"/>
      <c r="O460" s="58" t="str" cm="1">
        <f>IF(ISBLANK($A460),"",INDEX(Array_OtherEnergyCharges,MATCH($A460,List_OtherEnergyMeters,0),ROUNDUP((COLUMN()+1)/3-2,0)))</f>
        <v/>
      </c>
      <c r="P460" s="127"/>
      <c r="Q460" s="137"/>
      <c r="R460" s="58" t="str" cm="1">
        <f>IF(ISBLANK($A460),"",INDEX(Array_OtherEnergyCharges,MATCH($A460,List_OtherEnergyMeters,0),ROUNDUP((COLUMN()+1)/3-2,0)))</f>
        <v/>
      </c>
      <c r="S460" s="127"/>
      <c r="T460" s="137"/>
    </row>
    <row r="461" spans="1:20" x14ac:dyDescent="0.3">
      <c r="A461" s="126"/>
      <c r="B461" s="133"/>
      <c r="C461" s="127"/>
      <c r="D461" s="138"/>
      <c r="E461" s="137"/>
      <c r="F461" s="58" t="str" cm="1">
        <f>IF(ISBLANK($A461),"",INDEX(Array_OtherEnergyCharges,MATCH($A461,List_OtherEnergyMeters,0),ROUNDUP((COLUMN()+1)/3-2,0)))</f>
        <v/>
      </c>
      <c r="G461" s="127"/>
      <c r="H461" s="137"/>
      <c r="I461" s="58" t="str" cm="1">
        <f>IF(ISBLANK($A461),"",INDEX(Array_OtherEnergyCharges,MATCH($A461,List_OtherEnergyMeters,0),ROUNDUP((COLUMN()+1)/3-2,0)))</f>
        <v/>
      </c>
      <c r="J461" s="127"/>
      <c r="K461" s="137"/>
      <c r="L461" s="58" t="str" cm="1">
        <f>IF(ISBLANK($A461),"",INDEX(Array_OtherEnergyCharges,MATCH($A461,List_OtherEnergyMeters,0),ROUNDUP((COLUMN()+1)/3-2,0)))</f>
        <v/>
      </c>
      <c r="M461" s="127"/>
      <c r="N461" s="137"/>
      <c r="O461" s="58" t="str" cm="1">
        <f>IF(ISBLANK($A461),"",INDEX(Array_OtherEnergyCharges,MATCH($A461,List_OtherEnergyMeters,0),ROUNDUP((COLUMN()+1)/3-2,0)))</f>
        <v/>
      </c>
      <c r="P461" s="127"/>
      <c r="Q461" s="137"/>
      <c r="R461" s="58" t="str" cm="1">
        <f>IF(ISBLANK($A461),"",INDEX(Array_OtherEnergyCharges,MATCH($A461,List_OtherEnergyMeters,0),ROUNDUP((COLUMN()+1)/3-2,0)))</f>
        <v/>
      </c>
      <c r="S461" s="127"/>
      <c r="T461" s="137"/>
    </row>
    <row r="462" spans="1:20" x14ac:dyDescent="0.3">
      <c r="A462" s="126"/>
      <c r="B462" s="133"/>
      <c r="C462" s="127"/>
      <c r="D462" s="138"/>
      <c r="E462" s="137"/>
      <c r="F462" s="58" t="str" cm="1">
        <f>IF(ISBLANK($A462),"",INDEX(Array_OtherEnergyCharges,MATCH($A462,List_OtherEnergyMeters,0),ROUNDUP((COLUMN()+1)/3-2,0)))</f>
        <v/>
      </c>
      <c r="G462" s="127"/>
      <c r="H462" s="137"/>
      <c r="I462" s="58" t="str" cm="1">
        <f>IF(ISBLANK($A462),"",INDEX(Array_OtherEnergyCharges,MATCH($A462,List_OtherEnergyMeters,0),ROUNDUP((COLUMN()+1)/3-2,0)))</f>
        <v/>
      </c>
      <c r="J462" s="127"/>
      <c r="K462" s="137"/>
      <c r="L462" s="58" t="str" cm="1">
        <f>IF(ISBLANK($A462),"",INDEX(Array_OtherEnergyCharges,MATCH($A462,List_OtherEnergyMeters,0),ROUNDUP((COLUMN()+1)/3-2,0)))</f>
        <v/>
      </c>
      <c r="M462" s="127"/>
      <c r="N462" s="137"/>
      <c r="O462" s="58" t="str" cm="1">
        <f>IF(ISBLANK($A462),"",INDEX(Array_OtherEnergyCharges,MATCH($A462,List_OtherEnergyMeters,0),ROUNDUP((COLUMN()+1)/3-2,0)))</f>
        <v/>
      </c>
      <c r="P462" s="127"/>
      <c r="Q462" s="137"/>
      <c r="R462" s="58" t="str" cm="1">
        <f>IF(ISBLANK($A462),"",INDEX(Array_OtherEnergyCharges,MATCH($A462,List_OtherEnergyMeters,0),ROUNDUP((COLUMN()+1)/3-2,0)))</f>
        <v/>
      </c>
      <c r="S462" s="127"/>
      <c r="T462" s="137"/>
    </row>
    <row r="463" spans="1:20" x14ac:dyDescent="0.3">
      <c r="A463" s="126"/>
      <c r="B463" s="133"/>
      <c r="C463" s="127"/>
      <c r="D463" s="138"/>
      <c r="E463" s="137"/>
      <c r="F463" s="58" t="str" cm="1">
        <f>IF(ISBLANK($A463),"",INDEX(Array_OtherEnergyCharges,MATCH($A463,List_OtherEnergyMeters,0),ROUNDUP((COLUMN()+1)/3-2,0)))</f>
        <v/>
      </c>
      <c r="G463" s="127"/>
      <c r="H463" s="137"/>
      <c r="I463" s="58" t="str" cm="1">
        <f>IF(ISBLANK($A463),"",INDEX(Array_OtherEnergyCharges,MATCH($A463,List_OtherEnergyMeters,0),ROUNDUP((COLUMN()+1)/3-2,0)))</f>
        <v/>
      </c>
      <c r="J463" s="127"/>
      <c r="K463" s="137"/>
      <c r="L463" s="58" t="str" cm="1">
        <f>IF(ISBLANK($A463),"",INDEX(Array_OtherEnergyCharges,MATCH($A463,List_OtherEnergyMeters,0),ROUNDUP((COLUMN()+1)/3-2,0)))</f>
        <v/>
      </c>
      <c r="M463" s="127"/>
      <c r="N463" s="137"/>
      <c r="O463" s="58" t="str" cm="1">
        <f>IF(ISBLANK($A463),"",INDEX(Array_OtherEnergyCharges,MATCH($A463,List_OtherEnergyMeters,0),ROUNDUP((COLUMN()+1)/3-2,0)))</f>
        <v/>
      </c>
      <c r="P463" s="127"/>
      <c r="Q463" s="137"/>
      <c r="R463" s="58" t="str" cm="1">
        <f>IF(ISBLANK($A463),"",INDEX(Array_OtherEnergyCharges,MATCH($A463,List_OtherEnergyMeters,0),ROUNDUP((COLUMN()+1)/3-2,0)))</f>
        <v/>
      </c>
      <c r="S463" s="127"/>
      <c r="T463" s="137"/>
    </row>
    <row r="464" spans="1:20" x14ac:dyDescent="0.3">
      <c r="A464" s="126"/>
      <c r="B464" s="133"/>
      <c r="C464" s="127"/>
      <c r="D464" s="138"/>
      <c r="E464" s="137"/>
      <c r="F464" s="58" t="str" cm="1">
        <f>IF(ISBLANK($A464),"",INDEX(Array_OtherEnergyCharges,MATCH($A464,List_OtherEnergyMeters,0),ROUNDUP((COLUMN()+1)/3-2,0)))</f>
        <v/>
      </c>
      <c r="G464" s="127"/>
      <c r="H464" s="137"/>
      <c r="I464" s="58" t="str" cm="1">
        <f>IF(ISBLANK($A464),"",INDEX(Array_OtherEnergyCharges,MATCH($A464,List_OtherEnergyMeters,0),ROUNDUP((COLUMN()+1)/3-2,0)))</f>
        <v/>
      </c>
      <c r="J464" s="127"/>
      <c r="K464" s="137"/>
      <c r="L464" s="58" t="str" cm="1">
        <f>IF(ISBLANK($A464),"",INDEX(Array_OtherEnergyCharges,MATCH($A464,List_OtherEnergyMeters,0),ROUNDUP((COLUMN()+1)/3-2,0)))</f>
        <v/>
      </c>
      <c r="M464" s="127"/>
      <c r="N464" s="137"/>
      <c r="O464" s="58" t="str" cm="1">
        <f>IF(ISBLANK($A464),"",INDEX(Array_OtherEnergyCharges,MATCH($A464,List_OtherEnergyMeters,0),ROUNDUP((COLUMN()+1)/3-2,0)))</f>
        <v/>
      </c>
      <c r="P464" s="127"/>
      <c r="Q464" s="137"/>
      <c r="R464" s="58" t="str" cm="1">
        <f>IF(ISBLANK($A464),"",INDEX(Array_OtherEnergyCharges,MATCH($A464,List_OtherEnergyMeters,0),ROUNDUP((COLUMN()+1)/3-2,0)))</f>
        <v/>
      </c>
      <c r="S464" s="127"/>
      <c r="T464" s="137"/>
    </row>
    <row r="465" spans="1:20" x14ac:dyDescent="0.3">
      <c r="A465" s="126"/>
      <c r="B465" s="133"/>
      <c r="C465" s="127"/>
      <c r="D465" s="138"/>
      <c r="E465" s="137"/>
      <c r="F465" s="58" t="str" cm="1">
        <f>IF(ISBLANK($A465),"",INDEX(Array_OtherEnergyCharges,MATCH($A465,List_OtherEnergyMeters,0),ROUNDUP((COLUMN()+1)/3-2,0)))</f>
        <v/>
      </c>
      <c r="G465" s="127"/>
      <c r="H465" s="137"/>
      <c r="I465" s="58" t="str" cm="1">
        <f>IF(ISBLANK($A465),"",INDEX(Array_OtherEnergyCharges,MATCH($A465,List_OtherEnergyMeters,0),ROUNDUP((COLUMN()+1)/3-2,0)))</f>
        <v/>
      </c>
      <c r="J465" s="127"/>
      <c r="K465" s="137"/>
      <c r="L465" s="58" t="str" cm="1">
        <f>IF(ISBLANK($A465),"",INDEX(Array_OtherEnergyCharges,MATCH($A465,List_OtherEnergyMeters,0),ROUNDUP((COLUMN()+1)/3-2,0)))</f>
        <v/>
      </c>
      <c r="M465" s="127"/>
      <c r="N465" s="137"/>
      <c r="O465" s="58" t="str" cm="1">
        <f>IF(ISBLANK($A465),"",INDEX(Array_OtherEnergyCharges,MATCH($A465,List_OtherEnergyMeters,0),ROUNDUP((COLUMN()+1)/3-2,0)))</f>
        <v/>
      </c>
      <c r="P465" s="127"/>
      <c r="Q465" s="137"/>
      <c r="R465" s="58" t="str" cm="1">
        <f>IF(ISBLANK($A465),"",INDEX(Array_OtherEnergyCharges,MATCH($A465,List_OtherEnergyMeters,0),ROUNDUP((COLUMN()+1)/3-2,0)))</f>
        <v/>
      </c>
      <c r="S465" s="127"/>
      <c r="T465" s="137"/>
    </row>
    <row r="466" spans="1:20" x14ac:dyDescent="0.3">
      <c r="A466" s="126"/>
      <c r="B466" s="133"/>
      <c r="C466" s="127"/>
      <c r="D466" s="138"/>
      <c r="E466" s="137"/>
      <c r="F466" s="58" t="str" cm="1">
        <f>IF(ISBLANK($A466),"",INDEX(Array_OtherEnergyCharges,MATCH($A466,List_OtherEnergyMeters,0),ROUNDUP((COLUMN()+1)/3-2,0)))</f>
        <v/>
      </c>
      <c r="G466" s="127"/>
      <c r="H466" s="137"/>
      <c r="I466" s="58" t="str" cm="1">
        <f>IF(ISBLANK($A466),"",INDEX(Array_OtherEnergyCharges,MATCH($A466,List_OtherEnergyMeters,0),ROUNDUP((COLUMN()+1)/3-2,0)))</f>
        <v/>
      </c>
      <c r="J466" s="127"/>
      <c r="K466" s="137"/>
      <c r="L466" s="58" t="str" cm="1">
        <f>IF(ISBLANK($A466),"",INDEX(Array_OtherEnergyCharges,MATCH($A466,List_OtherEnergyMeters,0),ROUNDUP((COLUMN()+1)/3-2,0)))</f>
        <v/>
      </c>
      <c r="M466" s="127"/>
      <c r="N466" s="137"/>
      <c r="O466" s="58" t="str" cm="1">
        <f>IF(ISBLANK($A466),"",INDEX(Array_OtherEnergyCharges,MATCH($A466,List_OtherEnergyMeters,0),ROUNDUP((COLUMN()+1)/3-2,0)))</f>
        <v/>
      </c>
      <c r="P466" s="127"/>
      <c r="Q466" s="137"/>
      <c r="R466" s="58" t="str" cm="1">
        <f>IF(ISBLANK($A466),"",INDEX(Array_OtherEnergyCharges,MATCH($A466,List_OtherEnergyMeters,0),ROUNDUP((COLUMN()+1)/3-2,0)))</f>
        <v/>
      </c>
      <c r="S466" s="127"/>
      <c r="T466" s="137"/>
    </row>
    <row r="467" spans="1:20" x14ac:dyDescent="0.3">
      <c r="A467" s="126"/>
      <c r="B467" s="133"/>
      <c r="C467" s="127"/>
      <c r="D467" s="138"/>
      <c r="E467" s="137"/>
      <c r="F467" s="58" t="str" cm="1">
        <f>IF(ISBLANK($A467),"",INDEX(Array_OtherEnergyCharges,MATCH($A467,List_OtherEnergyMeters,0),ROUNDUP((COLUMN()+1)/3-2,0)))</f>
        <v/>
      </c>
      <c r="G467" s="127"/>
      <c r="H467" s="137"/>
      <c r="I467" s="58" t="str" cm="1">
        <f>IF(ISBLANK($A467),"",INDEX(Array_OtherEnergyCharges,MATCH($A467,List_OtherEnergyMeters,0),ROUNDUP((COLUMN()+1)/3-2,0)))</f>
        <v/>
      </c>
      <c r="J467" s="127"/>
      <c r="K467" s="137"/>
      <c r="L467" s="58" t="str" cm="1">
        <f>IF(ISBLANK($A467),"",INDEX(Array_OtherEnergyCharges,MATCH($A467,List_OtherEnergyMeters,0),ROUNDUP((COLUMN()+1)/3-2,0)))</f>
        <v/>
      </c>
      <c r="M467" s="127"/>
      <c r="N467" s="137"/>
      <c r="O467" s="58" t="str" cm="1">
        <f>IF(ISBLANK($A467),"",INDEX(Array_OtherEnergyCharges,MATCH($A467,List_OtherEnergyMeters,0),ROUNDUP((COLUMN()+1)/3-2,0)))</f>
        <v/>
      </c>
      <c r="P467" s="127"/>
      <c r="Q467" s="137"/>
      <c r="R467" s="58" t="str" cm="1">
        <f>IF(ISBLANK($A467),"",INDEX(Array_OtherEnergyCharges,MATCH($A467,List_OtherEnergyMeters,0),ROUNDUP((COLUMN()+1)/3-2,0)))</f>
        <v/>
      </c>
      <c r="S467" s="127"/>
      <c r="T467" s="137"/>
    </row>
    <row r="468" spans="1:20" x14ac:dyDescent="0.3">
      <c r="A468" s="126"/>
      <c r="B468" s="133"/>
      <c r="C468" s="127"/>
      <c r="D468" s="138"/>
      <c r="E468" s="137"/>
      <c r="F468" s="58" t="str" cm="1">
        <f>IF(ISBLANK($A468),"",INDEX(Array_OtherEnergyCharges,MATCH($A468,List_OtherEnergyMeters,0),ROUNDUP((COLUMN()+1)/3-2,0)))</f>
        <v/>
      </c>
      <c r="G468" s="127"/>
      <c r="H468" s="137"/>
      <c r="I468" s="58" t="str" cm="1">
        <f>IF(ISBLANK($A468),"",INDEX(Array_OtherEnergyCharges,MATCH($A468,List_OtherEnergyMeters,0),ROUNDUP((COLUMN()+1)/3-2,0)))</f>
        <v/>
      </c>
      <c r="J468" s="127"/>
      <c r="K468" s="137"/>
      <c r="L468" s="58" t="str" cm="1">
        <f>IF(ISBLANK($A468),"",INDEX(Array_OtherEnergyCharges,MATCH($A468,List_OtherEnergyMeters,0),ROUNDUP((COLUMN()+1)/3-2,0)))</f>
        <v/>
      </c>
      <c r="M468" s="127"/>
      <c r="N468" s="137"/>
      <c r="O468" s="58" t="str" cm="1">
        <f>IF(ISBLANK($A468),"",INDEX(Array_OtherEnergyCharges,MATCH($A468,List_OtherEnergyMeters,0),ROUNDUP((COLUMN()+1)/3-2,0)))</f>
        <v/>
      </c>
      <c r="P468" s="127"/>
      <c r="Q468" s="137"/>
      <c r="R468" s="58" t="str" cm="1">
        <f>IF(ISBLANK($A468),"",INDEX(Array_OtherEnergyCharges,MATCH($A468,List_OtherEnergyMeters,0),ROUNDUP((COLUMN()+1)/3-2,0)))</f>
        <v/>
      </c>
      <c r="S468" s="127"/>
      <c r="T468" s="137"/>
    </row>
    <row r="469" spans="1:20" x14ac:dyDescent="0.3">
      <c r="A469" s="126"/>
      <c r="B469" s="133"/>
      <c r="C469" s="127"/>
      <c r="D469" s="138"/>
      <c r="E469" s="137"/>
      <c r="F469" s="58" t="str" cm="1">
        <f>IF(ISBLANK($A469),"",INDEX(Array_OtherEnergyCharges,MATCH($A469,List_OtherEnergyMeters,0),ROUNDUP((COLUMN()+1)/3-2,0)))</f>
        <v/>
      </c>
      <c r="G469" s="127"/>
      <c r="H469" s="137"/>
      <c r="I469" s="58" t="str" cm="1">
        <f>IF(ISBLANK($A469),"",INDEX(Array_OtherEnergyCharges,MATCH($A469,List_OtherEnergyMeters,0),ROUNDUP((COLUMN()+1)/3-2,0)))</f>
        <v/>
      </c>
      <c r="J469" s="127"/>
      <c r="K469" s="137"/>
      <c r="L469" s="58" t="str" cm="1">
        <f>IF(ISBLANK($A469),"",INDEX(Array_OtherEnergyCharges,MATCH($A469,List_OtherEnergyMeters,0),ROUNDUP((COLUMN()+1)/3-2,0)))</f>
        <v/>
      </c>
      <c r="M469" s="127"/>
      <c r="N469" s="137"/>
      <c r="O469" s="58" t="str" cm="1">
        <f>IF(ISBLANK($A469),"",INDEX(Array_OtherEnergyCharges,MATCH($A469,List_OtherEnergyMeters,0),ROUNDUP((COLUMN()+1)/3-2,0)))</f>
        <v/>
      </c>
      <c r="P469" s="127"/>
      <c r="Q469" s="137"/>
      <c r="R469" s="58" t="str" cm="1">
        <f>IF(ISBLANK($A469),"",INDEX(Array_OtherEnergyCharges,MATCH($A469,List_OtherEnergyMeters,0),ROUNDUP((COLUMN()+1)/3-2,0)))</f>
        <v/>
      </c>
      <c r="S469" s="127"/>
      <c r="T469" s="137"/>
    </row>
    <row r="470" spans="1:20" x14ac:dyDescent="0.3">
      <c r="A470" s="126"/>
      <c r="B470" s="133"/>
      <c r="C470" s="127"/>
      <c r="D470" s="138"/>
      <c r="E470" s="137"/>
      <c r="F470" s="58" t="str" cm="1">
        <f>IF(ISBLANK($A470),"",INDEX(Array_OtherEnergyCharges,MATCH($A470,List_OtherEnergyMeters,0),ROUNDUP((COLUMN()+1)/3-2,0)))</f>
        <v/>
      </c>
      <c r="G470" s="127"/>
      <c r="H470" s="137"/>
      <c r="I470" s="58" t="str" cm="1">
        <f>IF(ISBLANK($A470),"",INDEX(Array_OtherEnergyCharges,MATCH($A470,List_OtherEnergyMeters,0),ROUNDUP((COLUMN()+1)/3-2,0)))</f>
        <v/>
      </c>
      <c r="J470" s="127"/>
      <c r="K470" s="137"/>
      <c r="L470" s="58" t="str" cm="1">
        <f>IF(ISBLANK($A470),"",INDEX(Array_OtherEnergyCharges,MATCH($A470,List_OtherEnergyMeters,0),ROUNDUP((COLUMN()+1)/3-2,0)))</f>
        <v/>
      </c>
      <c r="M470" s="127"/>
      <c r="N470" s="137"/>
      <c r="O470" s="58" t="str" cm="1">
        <f>IF(ISBLANK($A470),"",INDEX(Array_OtherEnergyCharges,MATCH($A470,List_OtherEnergyMeters,0),ROUNDUP((COLUMN()+1)/3-2,0)))</f>
        <v/>
      </c>
      <c r="P470" s="127"/>
      <c r="Q470" s="137"/>
      <c r="R470" s="58" t="str" cm="1">
        <f>IF(ISBLANK($A470),"",INDEX(Array_OtherEnergyCharges,MATCH($A470,List_OtherEnergyMeters,0),ROUNDUP((COLUMN()+1)/3-2,0)))</f>
        <v/>
      </c>
      <c r="S470" s="127"/>
      <c r="T470" s="137"/>
    </row>
    <row r="471" spans="1:20" x14ac:dyDescent="0.3">
      <c r="A471" s="126"/>
      <c r="B471" s="133"/>
      <c r="C471" s="127"/>
      <c r="D471" s="138"/>
      <c r="E471" s="137"/>
      <c r="F471" s="58" t="str" cm="1">
        <f>IF(ISBLANK($A471),"",INDEX(Array_OtherEnergyCharges,MATCH($A471,List_OtherEnergyMeters,0),ROUNDUP((COLUMN()+1)/3-2,0)))</f>
        <v/>
      </c>
      <c r="G471" s="127"/>
      <c r="H471" s="137"/>
      <c r="I471" s="58" t="str" cm="1">
        <f>IF(ISBLANK($A471),"",INDEX(Array_OtherEnergyCharges,MATCH($A471,List_OtherEnergyMeters,0),ROUNDUP((COLUMN()+1)/3-2,0)))</f>
        <v/>
      </c>
      <c r="J471" s="127"/>
      <c r="K471" s="137"/>
      <c r="L471" s="58" t="str" cm="1">
        <f>IF(ISBLANK($A471),"",INDEX(Array_OtherEnergyCharges,MATCH($A471,List_OtherEnergyMeters,0),ROUNDUP((COLUMN()+1)/3-2,0)))</f>
        <v/>
      </c>
      <c r="M471" s="127"/>
      <c r="N471" s="137"/>
      <c r="O471" s="58" t="str" cm="1">
        <f>IF(ISBLANK($A471),"",INDEX(Array_OtherEnergyCharges,MATCH($A471,List_OtherEnergyMeters,0),ROUNDUP((COLUMN()+1)/3-2,0)))</f>
        <v/>
      </c>
      <c r="P471" s="127"/>
      <c r="Q471" s="137"/>
      <c r="R471" s="58" t="str" cm="1">
        <f>IF(ISBLANK($A471),"",INDEX(Array_OtherEnergyCharges,MATCH($A471,List_OtherEnergyMeters,0),ROUNDUP((COLUMN()+1)/3-2,0)))</f>
        <v/>
      </c>
      <c r="S471" s="127"/>
      <c r="T471" s="137"/>
    </row>
    <row r="472" spans="1:20" x14ac:dyDescent="0.3">
      <c r="A472" s="126"/>
      <c r="B472" s="133"/>
      <c r="C472" s="127"/>
      <c r="D472" s="138"/>
      <c r="E472" s="137"/>
      <c r="F472" s="58" t="str" cm="1">
        <f>IF(ISBLANK($A472),"",INDEX(Array_OtherEnergyCharges,MATCH($A472,List_OtherEnergyMeters,0),ROUNDUP((COLUMN()+1)/3-2,0)))</f>
        <v/>
      </c>
      <c r="G472" s="127"/>
      <c r="H472" s="137"/>
      <c r="I472" s="58" t="str" cm="1">
        <f>IF(ISBLANK($A472),"",INDEX(Array_OtherEnergyCharges,MATCH($A472,List_OtherEnergyMeters,0),ROUNDUP((COLUMN()+1)/3-2,0)))</f>
        <v/>
      </c>
      <c r="J472" s="127"/>
      <c r="K472" s="137"/>
      <c r="L472" s="58" t="str" cm="1">
        <f>IF(ISBLANK($A472),"",INDEX(Array_OtherEnergyCharges,MATCH($A472,List_OtherEnergyMeters,0),ROUNDUP((COLUMN()+1)/3-2,0)))</f>
        <v/>
      </c>
      <c r="M472" s="127"/>
      <c r="N472" s="137"/>
      <c r="O472" s="58" t="str" cm="1">
        <f>IF(ISBLANK($A472),"",INDEX(Array_OtherEnergyCharges,MATCH($A472,List_OtherEnergyMeters,0),ROUNDUP((COLUMN()+1)/3-2,0)))</f>
        <v/>
      </c>
      <c r="P472" s="127"/>
      <c r="Q472" s="137"/>
      <c r="R472" s="58" t="str" cm="1">
        <f>IF(ISBLANK($A472),"",INDEX(Array_OtherEnergyCharges,MATCH($A472,List_OtherEnergyMeters,0),ROUNDUP((COLUMN()+1)/3-2,0)))</f>
        <v/>
      </c>
      <c r="S472" s="127"/>
      <c r="T472" s="137"/>
    </row>
    <row r="473" spans="1:20" x14ac:dyDescent="0.3">
      <c r="A473" s="126"/>
      <c r="B473" s="133"/>
      <c r="C473" s="127"/>
      <c r="D473" s="138"/>
      <c r="E473" s="137"/>
      <c r="F473" s="58" t="str" cm="1">
        <f>IF(ISBLANK($A473),"",INDEX(Array_OtherEnergyCharges,MATCH($A473,List_OtherEnergyMeters,0),ROUNDUP((COLUMN()+1)/3-2,0)))</f>
        <v/>
      </c>
      <c r="G473" s="127"/>
      <c r="H473" s="137"/>
      <c r="I473" s="58" t="str" cm="1">
        <f>IF(ISBLANK($A473),"",INDEX(Array_OtherEnergyCharges,MATCH($A473,List_OtherEnergyMeters,0),ROUNDUP((COLUMN()+1)/3-2,0)))</f>
        <v/>
      </c>
      <c r="J473" s="127"/>
      <c r="K473" s="137"/>
      <c r="L473" s="58" t="str" cm="1">
        <f>IF(ISBLANK($A473),"",INDEX(Array_OtherEnergyCharges,MATCH($A473,List_OtherEnergyMeters,0),ROUNDUP((COLUMN()+1)/3-2,0)))</f>
        <v/>
      </c>
      <c r="M473" s="127"/>
      <c r="N473" s="137"/>
      <c r="O473" s="58" t="str" cm="1">
        <f>IF(ISBLANK($A473),"",INDEX(Array_OtherEnergyCharges,MATCH($A473,List_OtherEnergyMeters,0),ROUNDUP((COLUMN()+1)/3-2,0)))</f>
        <v/>
      </c>
      <c r="P473" s="127"/>
      <c r="Q473" s="137"/>
      <c r="R473" s="58" t="str" cm="1">
        <f>IF(ISBLANK($A473),"",INDEX(Array_OtherEnergyCharges,MATCH($A473,List_OtherEnergyMeters,0),ROUNDUP((COLUMN()+1)/3-2,0)))</f>
        <v/>
      </c>
      <c r="S473" s="127"/>
      <c r="T473" s="137"/>
    </row>
    <row r="474" spans="1:20" x14ac:dyDescent="0.3">
      <c r="A474" s="126"/>
      <c r="B474" s="133"/>
      <c r="C474" s="127"/>
      <c r="D474" s="138"/>
      <c r="E474" s="137"/>
      <c r="F474" s="58" t="str" cm="1">
        <f>IF(ISBLANK($A474),"",INDEX(Array_OtherEnergyCharges,MATCH($A474,List_OtherEnergyMeters,0),ROUNDUP((COLUMN()+1)/3-2,0)))</f>
        <v/>
      </c>
      <c r="G474" s="127"/>
      <c r="H474" s="137"/>
      <c r="I474" s="58" t="str" cm="1">
        <f>IF(ISBLANK($A474),"",INDEX(Array_OtherEnergyCharges,MATCH($A474,List_OtherEnergyMeters,0),ROUNDUP((COLUMN()+1)/3-2,0)))</f>
        <v/>
      </c>
      <c r="J474" s="127"/>
      <c r="K474" s="137"/>
      <c r="L474" s="58" t="str" cm="1">
        <f>IF(ISBLANK($A474),"",INDEX(Array_OtherEnergyCharges,MATCH($A474,List_OtherEnergyMeters,0),ROUNDUP((COLUMN()+1)/3-2,0)))</f>
        <v/>
      </c>
      <c r="M474" s="127"/>
      <c r="N474" s="137"/>
      <c r="O474" s="58" t="str" cm="1">
        <f>IF(ISBLANK($A474),"",INDEX(Array_OtherEnergyCharges,MATCH($A474,List_OtherEnergyMeters,0),ROUNDUP((COLUMN()+1)/3-2,0)))</f>
        <v/>
      </c>
      <c r="P474" s="127"/>
      <c r="Q474" s="137"/>
      <c r="R474" s="58" t="str" cm="1">
        <f>IF(ISBLANK($A474),"",INDEX(Array_OtherEnergyCharges,MATCH($A474,List_OtherEnergyMeters,0),ROUNDUP((COLUMN()+1)/3-2,0)))</f>
        <v/>
      </c>
      <c r="S474" s="127"/>
      <c r="T474" s="137"/>
    </row>
    <row r="475" spans="1:20" x14ac:dyDescent="0.3">
      <c r="A475" s="126"/>
      <c r="B475" s="133"/>
      <c r="C475" s="127"/>
      <c r="D475" s="138"/>
      <c r="E475" s="137"/>
      <c r="F475" s="58" t="str" cm="1">
        <f>IF(ISBLANK($A475),"",INDEX(Array_OtherEnergyCharges,MATCH($A475,List_OtherEnergyMeters,0),ROUNDUP((COLUMN()+1)/3-2,0)))</f>
        <v/>
      </c>
      <c r="G475" s="127"/>
      <c r="H475" s="137"/>
      <c r="I475" s="58" t="str" cm="1">
        <f>IF(ISBLANK($A475),"",INDEX(Array_OtherEnergyCharges,MATCH($A475,List_OtherEnergyMeters,0),ROUNDUP((COLUMN()+1)/3-2,0)))</f>
        <v/>
      </c>
      <c r="J475" s="127"/>
      <c r="K475" s="137"/>
      <c r="L475" s="58" t="str" cm="1">
        <f>IF(ISBLANK($A475),"",INDEX(Array_OtherEnergyCharges,MATCH($A475,List_OtherEnergyMeters,0),ROUNDUP((COLUMN()+1)/3-2,0)))</f>
        <v/>
      </c>
      <c r="M475" s="127"/>
      <c r="N475" s="137"/>
      <c r="O475" s="58" t="str" cm="1">
        <f>IF(ISBLANK($A475),"",INDEX(Array_OtherEnergyCharges,MATCH($A475,List_OtherEnergyMeters,0),ROUNDUP((COLUMN()+1)/3-2,0)))</f>
        <v/>
      </c>
      <c r="P475" s="127"/>
      <c r="Q475" s="137"/>
      <c r="R475" s="58" t="str" cm="1">
        <f>IF(ISBLANK($A475),"",INDEX(Array_OtherEnergyCharges,MATCH($A475,List_OtherEnergyMeters,0),ROUNDUP((COLUMN()+1)/3-2,0)))</f>
        <v/>
      </c>
      <c r="S475" s="127"/>
      <c r="T475" s="137"/>
    </row>
    <row r="476" spans="1:20" x14ac:dyDescent="0.3">
      <c r="A476" s="126"/>
      <c r="B476" s="133"/>
      <c r="C476" s="127"/>
      <c r="D476" s="138"/>
      <c r="E476" s="137"/>
      <c r="F476" s="58" t="str" cm="1">
        <f>IF(ISBLANK($A476),"",INDEX(Array_OtherEnergyCharges,MATCH($A476,List_OtherEnergyMeters,0),ROUNDUP((COLUMN()+1)/3-2,0)))</f>
        <v/>
      </c>
      <c r="G476" s="127"/>
      <c r="H476" s="137"/>
      <c r="I476" s="58" t="str" cm="1">
        <f>IF(ISBLANK($A476),"",INDEX(Array_OtherEnergyCharges,MATCH($A476,List_OtherEnergyMeters,0),ROUNDUP((COLUMN()+1)/3-2,0)))</f>
        <v/>
      </c>
      <c r="J476" s="127"/>
      <c r="K476" s="137"/>
      <c r="L476" s="58" t="str" cm="1">
        <f>IF(ISBLANK($A476),"",INDEX(Array_OtherEnergyCharges,MATCH($A476,List_OtherEnergyMeters,0),ROUNDUP((COLUMN()+1)/3-2,0)))</f>
        <v/>
      </c>
      <c r="M476" s="127"/>
      <c r="N476" s="137"/>
      <c r="O476" s="58" t="str" cm="1">
        <f>IF(ISBLANK($A476),"",INDEX(Array_OtherEnergyCharges,MATCH($A476,List_OtherEnergyMeters,0),ROUNDUP((COLUMN()+1)/3-2,0)))</f>
        <v/>
      </c>
      <c r="P476" s="127"/>
      <c r="Q476" s="137"/>
      <c r="R476" s="58" t="str" cm="1">
        <f>IF(ISBLANK($A476),"",INDEX(Array_OtherEnergyCharges,MATCH($A476,List_OtherEnergyMeters,0),ROUNDUP((COLUMN()+1)/3-2,0)))</f>
        <v/>
      </c>
      <c r="S476" s="127"/>
      <c r="T476" s="137"/>
    </row>
    <row r="477" spans="1:20" x14ac:dyDescent="0.3">
      <c r="A477" s="126"/>
      <c r="B477" s="133"/>
      <c r="C477" s="127"/>
      <c r="D477" s="138"/>
      <c r="E477" s="137"/>
      <c r="F477" s="58" t="str" cm="1">
        <f>IF(ISBLANK($A477),"",INDEX(Array_OtherEnergyCharges,MATCH($A477,List_OtherEnergyMeters,0),ROUNDUP((COLUMN()+1)/3-2,0)))</f>
        <v/>
      </c>
      <c r="G477" s="127"/>
      <c r="H477" s="137"/>
      <c r="I477" s="58" t="str" cm="1">
        <f>IF(ISBLANK($A477),"",INDEX(Array_OtherEnergyCharges,MATCH($A477,List_OtherEnergyMeters,0),ROUNDUP((COLUMN()+1)/3-2,0)))</f>
        <v/>
      </c>
      <c r="J477" s="127"/>
      <c r="K477" s="137"/>
      <c r="L477" s="58" t="str" cm="1">
        <f>IF(ISBLANK($A477),"",INDEX(Array_OtherEnergyCharges,MATCH($A477,List_OtherEnergyMeters,0),ROUNDUP((COLUMN()+1)/3-2,0)))</f>
        <v/>
      </c>
      <c r="M477" s="127"/>
      <c r="N477" s="137"/>
      <c r="O477" s="58" t="str" cm="1">
        <f>IF(ISBLANK($A477),"",INDEX(Array_OtherEnergyCharges,MATCH($A477,List_OtherEnergyMeters,0),ROUNDUP((COLUMN()+1)/3-2,0)))</f>
        <v/>
      </c>
      <c r="P477" s="127"/>
      <c r="Q477" s="137"/>
      <c r="R477" s="58" t="str" cm="1">
        <f>IF(ISBLANK($A477),"",INDEX(Array_OtherEnergyCharges,MATCH($A477,List_OtherEnergyMeters,0),ROUNDUP((COLUMN()+1)/3-2,0)))</f>
        <v/>
      </c>
      <c r="S477" s="127"/>
      <c r="T477" s="137"/>
    </row>
    <row r="478" spans="1:20" x14ac:dyDescent="0.3">
      <c r="A478" s="126"/>
      <c r="B478" s="133"/>
      <c r="C478" s="127"/>
      <c r="D478" s="138"/>
      <c r="E478" s="137"/>
      <c r="F478" s="58" t="str" cm="1">
        <f>IF(ISBLANK($A478),"",INDEX(Array_OtherEnergyCharges,MATCH($A478,List_OtherEnergyMeters,0),ROUNDUP((COLUMN()+1)/3-2,0)))</f>
        <v/>
      </c>
      <c r="G478" s="127"/>
      <c r="H478" s="137"/>
      <c r="I478" s="58" t="str" cm="1">
        <f>IF(ISBLANK($A478),"",INDEX(Array_OtherEnergyCharges,MATCH($A478,List_OtherEnergyMeters,0),ROUNDUP((COLUMN()+1)/3-2,0)))</f>
        <v/>
      </c>
      <c r="J478" s="127"/>
      <c r="K478" s="137"/>
      <c r="L478" s="58" t="str" cm="1">
        <f>IF(ISBLANK($A478),"",INDEX(Array_OtherEnergyCharges,MATCH($A478,List_OtherEnergyMeters,0),ROUNDUP((COLUMN()+1)/3-2,0)))</f>
        <v/>
      </c>
      <c r="M478" s="127"/>
      <c r="N478" s="137"/>
      <c r="O478" s="58" t="str" cm="1">
        <f>IF(ISBLANK($A478),"",INDEX(Array_OtherEnergyCharges,MATCH($A478,List_OtherEnergyMeters,0),ROUNDUP((COLUMN()+1)/3-2,0)))</f>
        <v/>
      </c>
      <c r="P478" s="127"/>
      <c r="Q478" s="137"/>
      <c r="R478" s="58" t="str" cm="1">
        <f>IF(ISBLANK($A478),"",INDEX(Array_OtherEnergyCharges,MATCH($A478,List_OtherEnergyMeters,0),ROUNDUP((COLUMN()+1)/3-2,0)))</f>
        <v/>
      </c>
      <c r="S478" s="127"/>
      <c r="T478" s="137"/>
    </row>
    <row r="479" spans="1:20" x14ac:dyDescent="0.3">
      <c r="A479" s="126"/>
      <c r="B479" s="133"/>
      <c r="C479" s="127"/>
      <c r="D479" s="138"/>
      <c r="E479" s="137"/>
      <c r="F479" s="58" t="str" cm="1">
        <f>IF(ISBLANK($A479),"",INDEX(Array_OtherEnergyCharges,MATCH($A479,List_OtherEnergyMeters,0),ROUNDUP((COLUMN()+1)/3-2,0)))</f>
        <v/>
      </c>
      <c r="G479" s="127"/>
      <c r="H479" s="137"/>
      <c r="I479" s="58" t="str" cm="1">
        <f>IF(ISBLANK($A479),"",INDEX(Array_OtherEnergyCharges,MATCH($A479,List_OtherEnergyMeters,0),ROUNDUP((COLUMN()+1)/3-2,0)))</f>
        <v/>
      </c>
      <c r="J479" s="127"/>
      <c r="K479" s="137"/>
      <c r="L479" s="58" t="str" cm="1">
        <f>IF(ISBLANK($A479),"",INDEX(Array_OtherEnergyCharges,MATCH($A479,List_OtherEnergyMeters,0),ROUNDUP((COLUMN()+1)/3-2,0)))</f>
        <v/>
      </c>
      <c r="M479" s="127"/>
      <c r="N479" s="137"/>
      <c r="O479" s="58" t="str" cm="1">
        <f>IF(ISBLANK($A479),"",INDEX(Array_OtherEnergyCharges,MATCH($A479,List_OtherEnergyMeters,0),ROUNDUP((COLUMN()+1)/3-2,0)))</f>
        <v/>
      </c>
      <c r="P479" s="127"/>
      <c r="Q479" s="137"/>
      <c r="R479" s="58" t="str" cm="1">
        <f>IF(ISBLANK($A479),"",INDEX(Array_OtherEnergyCharges,MATCH($A479,List_OtherEnergyMeters,0),ROUNDUP((COLUMN()+1)/3-2,0)))</f>
        <v/>
      </c>
      <c r="S479" s="127"/>
      <c r="T479" s="137"/>
    </row>
    <row r="480" spans="1:20" x14ac:dyDescent="0.3">
      <c r="A480" s="126"/>
      <c r="B480" s="133"/>
      <c r="C480" s="127"/>
      <c r="D480" s="138"/>
      <c r="E480" s="137"/>
      <c r="F480" s="58" t="str" cm="1">
        <f>IF(ISBLANK($A480),"",INDEX(Array_OtherEnergyCharges,MATCH($A480,List_OtherEnergyMeters,0),ROUNDUP((COLUMN()+1)/3-2,0)))</f>
        <v/>
      </c>
      <c r="G480" s="127"/>
      <c r="H480" s="137"/>
      <c r="I480" s="58" t="str" cm="1">
        <f>IF(ISBLANK($A480),"",INDEX(Array_OtherEnergyCharges,MATCH($A480,List_OtherEnergyMeters,0),ROUNDUP((COLUMN()+1)/3-2,0)))</f>
        <v/>
      </c>
      <c r="J480" s="127"/>
      <c r="K480" s="137"/>
      <c r="L480" s="58" t="str" cm="1">
        <f>IF(ISBLANK($A480),"",INDEX(Array_OtherEnergyCharges,MATCH($A480,List_OtherEnergyMeters,0),ROUNDUP((COLUMN()+1)/3-2,0)))</f>
        <v/>
      </c>
      <c r="M480" s="127"/>
      <c r="N480" s="137"/>
      <c r="O480" s="58" t="str" cm="1">
        <f>IF(ISBLANK($A480),"",INDEX(Array_OtherEnergyCharges,MATCH($A480,List_OtherEnergyMeters,0),ROUNDUP((COLUMN()+1)/3-2,0)))</f>
        <v/>
      </c>
      <c r="P480" s="127"/>
      <c r="Q480" s="137"/>
      <c r="R480" s="58" t="str" cm="1">
        <f>IF(ISBLANK($A480),"",INDEX(Array_OtherEnergyCharges,MATCH($A480,List_OtherEnergyMeters,0),ROUNDUP((COLUMN()+1)/3-2,0)))</f>
        <v/>
      </c>
      <c r="S480" s="127"/>
      <c r="T480" s="137"/>
    </row>
    <row r="481" spans="1:20" x14ac:dyDescent="0.3">
      <c r="A481" s="126"/>
      <c r="B481" s="133"/>
      <c r="C481" s="127"/>
      <c r="D481" s="138"/>
      <c r="E481" s="137"/>
      <c r="F481" s="58" t="str" cm="1">
        <f>IF(ISBLANK($A481),"",INDEX(Array_OtherEnergyCharges,MATCH($A481,List_OtherEnergyMeters,0),ROUNDUP((COLUMN()+1)/3-2,0)))</f>
        <v/>
      </c>
      <c r="G481" s="127"/>
      <c r="H481" s="137"/>
      <c r="I481" s="58" t="str" cm="1">
        <f>IF(ISBLANK($A481),"",INDEX(Array_OtherEnergyCharges,MATCH($A481,List_OtherEnergyMeters,0),ROUNDUP((COLUMN()+1)/3-2,0)))</f>
        <v/>
      </c>
      <c r="J481" s="127"/>
      <c r="K481" s="137"/>
      <c r="L481" s="58" t="str" cm="1">
        <f>IF(ISBLANK($A481),"",INDEX(Array_OtherEnergyCharges,MATCH($A481,List_OtherEnergyMeters,0),ROUNDUP((COLUMN()+1)/3-2,0)))</f>
        <v/>
      </c>
      <c r="M481" s="127"/>
      <c r="N481" s="137"/>
      <c r="O481" s="58" t="str" cm="1">
        <f>IF(ISBLANK($A481),"",INDEX(Array_OtherEnergyCharges,MATCH($A481,List_OtherEnergyMeters,0),ROUNDUP((COLUMN()+1)/3-2,0)))</f>
        <v/>
      </c>
      <c r="P481" s="127"/>
      <c r="Q481" s="137"/>
      <c r="R481" s="58" t="str" cm="1">
        <f>IF(ISBLANK($A481),"",INDEX(Array_OtherEnergyCharges,MATCH($A481,List_OtherEnergyMeters,0),ROUNDUP((COLUMN()+1)/3-2,0)))</f>
        <v/>
      </c>
      <c r="S481" s="127"/>
      <c r="T481" s="137"/>
    </row>
    <row r="482" spans="1:20" x14ac:dyDescent="0.3">
      <c r="A482" s="126"/>
      <c r="B482" s="133"/>
      <c r="C482" s="127"/>
      <c r="D482" s="138"/>
      <c r="E482" s="137"/>
      <c r="F482" s="58" t="str" cm="1">
        <f>IF(ISBLANK($A482),"",INDEX(Array_OtherEnergyCharges,MATCH($A482,List_OtherEnergyMeters,0),ROUNDUP((COLUMN()+1)/3-2,0)))</f>
        <v/>
      </c>
      <c r="G482" s="127"/>
      <c r="H482" s="137"/>
      <c r="I482" s="58" t="str" cm="1">
        <f>IF(ISBLANK($A482),"",INDEX(Array_OtherEnergyCharges,MATCH($A482,List_OtherEnergyMeters,0),ROUNDUP((COLUMN()+1)/3-2,0)))</f>
        <v/>
      </c>
      <c r="J482" s="127"/>
      <c r="K482" s="137"/>
      <c r="L482" s="58" t="str" cm="1">
        <f>IF(ISBLANK($A482),"",INDEX(Array_OtherEnergyCharges,MATCH($A482,List_OtherEnergyMeters,0),ROUNDUP((COLUMN()+1)/3-2,0)))</f>
        <v/>
      </c>
      <c r="M482" s="127"/>
      <c r="N482" s="137"/>
      <c r="O482" s="58" t="str" cm="1">
        <f>IF(ISBLANK($A482),"",INDEX(Array_OtherEnergyCharges,MATCH($A482,List_OtherEnergyMeters,0),ROUNDUP((COLUMN()+1)/3-2,0)))</f>
        <v/>
      </c>
      <c r="P482" s="127"/>
      <c r="Q482" s="137"/>
      <c r="R482" s="58" t="str" cm="1">
        <f>IF(ISBLANK($A482),"",INDEX(Array_OtherEnergyCharges,MATCH($A482,List_OtherEnergyMeters,0),ROUNDUP((COLUMN()+1)/3-2,0)))</f>
        <v/>
      </c>
      <c r="S482" s="127"/>
      <c r="T482" s="137"/>
    </row>
    <row r="483" spans="1:20" x14ac:dyDescent="0.3">
      <c r="A483" s="126"/>
      <c r="B483" s="133"/>
      <c r="C483" s="127"/>
      <c r="D483" s="138"/>
      <c r="E483" s="137"/>
      <c r="F483" s="58" t="str" cm="1">
        <f>IF(ISBLANK($A483),"",INDEX(Array_OtherEnergyCharges,MATCH($A483,List_OtherEnergyMeters,0),ROUNDUP((COLUMN()+1)/3-2,0)))</f>
        <v/>
      </c>
      <c r="G483" s="127"/>
      <c r="H483" s="137"/>
      <c r="I483" s="58" t="str" cm="1">
        <f>IF(ISBLANK($A483),"",INDEX(Array_OtherEnergyCharges,MATCH($A483,List_OtherEnergyMeters,0),ROUNDUP((COLUMN()+1)/3-2,0)))</f>
        <v/>
      </c>
      <c r="J483" s="127"/>
      <c r="K483" s="137"/>
      <c r="L483" s="58" t="str" cm="1">
        <f>IF(ISBLANK($A483),"",INDEX(Array_OtherEnergyCharges,MATCH($A483,List_OtherEnergyMeters,0),ROUNDUP((COLUMN()+1)/3-2,0)))</f>
        <v/>
      </c>
      <c r="M483" s="127"/>
      <c r="N483" s="137"/>
      <c r="O483" s="58" t="str" cm="1">
        <f>IF(ISBLANK($A483),"",INDEX(Array_OtherEnergyCharges,MATCH($A483,List_OtherEnergyMeters,0),ROUNDUP((COLUMN()+1)/3-2,0)))</f>
        <v/>
      </c>
      <c r="P483" s="127"/>
      <c r="Q483" s="137"/>
      <c r="R483" s="58" t="str" cm="1">
        <f>IF(ISBLANK($A483),"",INDEX(Array_OtherEnergyCharges,MATCH($A483,List_OtherEnergyMeters,0),ROUNDUP((COLUMN()+1)/3-2,0)))</f>
        <v/>
      </c>
      <c r="S483" s="127"/>
      <c r="T483" s="137"/>
    </row>
    <row r="484" spans="1:20" x14ac:dyDescent="0.3">
      <c r="A484" s="126"/>
      <c r="B484" s="133"/>
      <c r="C484" s="127"/>
      <c r="D484" s="138"/>
      <c r="E484" s="137"/>
      <c r="F484" s="58" t="str" cm="1">
        <f>IF(ISBLANK($A484),"",INDEX(Array_OtherEnergyCharges,MATCH($A484,List_OtherEnergyMeters,0),ROUNDUP((COLUMN()+1)/3-2,0)))</f>
        <v/>
      </c>
      <c r="G484" s="127"/>
      <c r="H484" s="137"/>
      <c r="I484" s="58" t="str" cm="1">
        <f>IF(ISBLANK($A484),"",INDEX(Array_OtherEnergyCharges,MATCH($A484,List_OtherEnergyMeters,0),ROUNDUP((COLUMN()+1)/3-2,0)))</f>
        <v/>
      </c>
      <c r="J484" s="127"/>
      <c r="K484" s="137"/>
      <c r="L484" s="58" t="str" cm="1">
        <f>IF(ISBLANK($A484),"",INDEX(Array_OtherEnergyCharges,MATCH($A484,List_OtherEnergyMeters,0),ROUNDUP((COLUMN()+1)/3-2,0)))</f>
        <v/>
      </c>
      <c r="M484" s="127"/>
      <c r="N484" s="137"/>
      <c r="O484" s="58" t="str" cm="1">
        <f>IF(ISBLANK($A484),"",INDEX(Array_OtherEnergyCharges,MATCH($A484,List_OtherEnergyMeters,0),ROUNDUP((COLUMN()+1)/3-2,0)))</f>
        <v/>
      </c>
      <c r="P484" s="127"/>
      <c r="Q484" s="137"/>
      <c r="R484" s="58" t="str" cm="1">
        <f>IF(ISBLANK($A484),"",INDEX(Array_OtherEnergyCharges,MATCH($A484,List_OtherEnergyMeters,0),ROUNDUP((COLUMN()+1)/3-2,0)))</f>
        <v/>
      </c>
      <c r="S484" s="127"/>
      <c r="T484" s="137"/>
    </row>
    <row r="485" spans="1:20" x14ac:dyDescent="0.3">
      <c r="A485" s="126"/>
      <c r="B485" s="133"/>
      <c r="C485" s="127"/>
      <c r="D485" s="138"/>
      <c r="E485" s="137"/>
      <c r="F485" s="58" t="str" cm="1">
        <f>IF(ISBLANK($A485),"",INDEX(Array_OtherEnergyCharges,MATCH($A485,List_OtherEnergyMeters,0),ROUNDUP((COLUMN()+1)/3-2,0)))</f>
        <v/>
      </c>
      <c r="G485" s="127"/>
      <c r="H485" s="137"/>
      <c r="I485" s="58" t="str" cm="1">
        <f>IF(ISBLANK($A485),"",INDEX(Array_OtherEnergyCharges,MATCH($A485,List_OtherEnergyMeters,0),ROUNDUP((COLUMN()+1)/3-2,0)))</f>
        <v/>
      </c>
      <c r="J485" s="127"/>
      <c r="K485" s="137"/>
      <c r="L485" s="58" t="str" cm="1">
        <f>IF(ISBLANK($A485),"",INDEX(Array_OtherEnergyCharges,MATCH($A485,List_OtherEnergyMeters,0),ROUNDUP((COLUMN()+1)/3-2,0)))</f>
        <v/>
      </c>
      <c r="M485" s="127"/>
      <c r="N485" s="137"/>
      <c r="O485" s="58" t="str" cm="1">
        <f>IF(ISBLANK($A485),"",INDEX(Array_OtherEnergyCharges,MATCH($A485,List_OtherEnergyMeters,0),ROUNDUP((COLUMN()+1)/3-2,0)))</f>
        <v/>
      </c>
      <c r="P485" s="127"/>
      <c r="Q485" s="137"/>
      <c r="R485" s="58" t="str" cm="1">
        <f>IF(ISBLANK($A485),"",INDEX(Array_OtherEnergyCharges,MATCH($A485,List_OtherEnergyMeters,0),ROUNDUP((COLUMN()+1)/3-2,0)))</f>
        <v/>
      </c>
      <c r="S485" s="127"/>
      <c r="T485" s="137"/>
    </row>
    <row r="486" spans="1:20" x14ac:dyDescent="0.3">
      <c r="A486" s="126"/>
      <c r="B486" s="133"/>
      <c r="C486" s="127"/>
      <c r="D486" s="138"/>
      <c r="E486" s="137"/>
      <c r="F486" s="58" t="str" cm="1">
        <f>IF(ISBLANK($A486),"",INDEX(Array_OtherEnergyCharges,MATCH($A486,List_OtherEnergyMeters,0),ROUNDUP((COLUMN()+1)/3-2,0)))</f>
        <v/>
      </c>
      <c r="G486" s="127"/>
      <c r="H486" s="137"/>
      <c r="I486" s="58" t="str" cm="1">
        <f>IF(ISBLANK($A486),"",INDEX(Array_OtherEnergyCharges,MATCH($A486,List_OtherEnergyMeters,0),ROUNDUP((COLUMN()+1)/3-2,0)))</f>
        <v/>
      </c>
      <c r="J486" s="127"/>
      <c r="K486" s="137"/>
      <c r="L486" s="58" t="str" cm="1">
        <f>IF(ISBLANK($A486),"",INDEX(Array_OtherEnergyCharges,MATCH($A486,List_OtherEnergyMeters,0),ROUNDUP((COLUMN()+1)/3-2,0)))</f>
        <v/>
      </c>
      <c r="M486" s="127"/>
      <c r="N486" s="137"/>
      <c r="O486" s="58" t="str" cm="1">
        <f>IF(ISBLANK($A486),"",INDEX(Array_OtherEnergyCharges,MATCH($A486,List_OtherEnergyMeters,0),ROUNDUP((COLUMN()+1)/3-2,0)))</f>
        <v/>
      </c>
      <c r="P486" s="127"/>
      <c r="Q486" s="137"/>
      <c r="R486" s="58" t="str" cm="1">
        <f>IF(ISBLANK($A486),"",INDEX(Array_OtherEnergyCharges,MATCH($A486,List_OtherEnergyMeters,0),ROUNDUP((COLUMN()+1)/3-2,0)))</f>
        <v/>
      </c>
      <c r="S486" s="127"/>
      <c r="T486" s="137"/>
    </row>
    <row r="487" spans="1:20" x14ac:dyDescent="0.3">
      <c r="A487" s="126"/>
      <c r="B487" s="133"/>
      <c r="C487" s="127"/>
      <c r="D487" s="138"/>
      <c r="E487" s="137"/>
      <c r="F487" s="58" t="str" cm="1">
        <f>IF(ISBLANK($A487),"",INDEX(Array_OtherEnergyCharges,MATCH($A487,List_OtherEnergyMeters,0),ROUNDUP((COLUMN()+1)/3-2,0)))</f>
        <v/>
      </c>
      <c r="G487" s="127"/>
      <c r="H487" s="137"/>
      <c r="I487" s="58" t="str" cm="1">
        <f>IF(ISBLANK($A487),"",INDEX(Array_OtherEnergyCharges,MATCH($A487,List_OtherEnergyMeters,0),ROUNDUP((COLUMN()+1)/3-2,0)))</f>
        <v/>
      </c>
      <c r="J487" s="127"/>
      <c r="K487" s="137"/>
      <c r="L487" s="58" t="str" cm="1">
        <f>IF(ISBLANK($A487),"",INDEX(Array_OtherEnergyCharges,MATCH($A487,List_OtherEnergyMeters,0),ROUNDUP((COLUMN()+1)/3-2,0)))</f>
        <v/>
      </c>
      <c r="M487" s="127"/>
      <c r="N487" s="137"/>
      <c r="O487" s="58" t="str" cm="1">
        <f>IF(ISBLANK($A487),"",INDEX(Array_OtherEnergyCharges,MATCH($A487,List_OtherEnergyMeters,0),ROUNDUP((COLUMN()+1)/3-2,0)))</f>
        <v/>
      </c>
      <c r="P487" s="127"/>
      <c r="Q487" s="137"/>
      <c r="R487" s="58" t="str" cm="1">
        <f>IF(ISBLANK($A487),"",INDEX(Array_OtherEnergyCharges,MATCH($A487,List_OtherEnergyMeters,0),ROUNDUP((COLUMN()+1)/3-2,0)))</f>
        <v/>
      </c>
      <c r="S487" s="127"/>
      <c r="T487" s="137"/>
    </row>
    <row r="488" spans="1:20" x14ac:dyDescent="0.3">
      <c r="A488" s="126"/>
      <c r="B488" s="133"/>
      <c r="C488" s="127"/>
      <c r="D488" s="138"/>
      <c r="E488" s="137"/>
      <c r="F488" s="58" t="str" cm="1">
        <f>IF(ISBLANK($A488),"",INDEX(Array_OtherEnergyCharges,MATCH($A488,List_OtherEnergyMeters,0),ROUNDUP((COLUMN()+1)/3-2,0)))</f>
        <v/>
      </c>
      <c r="G488" s="127"/>
      <c r="H488" s="137"/>
      <c r="I488" s="58" t="str" cm="1">
        <f>IF(ISBLANK($A488),"",INDEX(Array_OtherEnergyCharges,MATCH($A488,List_OtherEnergyMeters,0),ROUNDUP((COLUMN()+1)/3-2,0)))</f>
        <v/>
      </c>
      <c r="J488" s="127"/>
      <c r="K488" s="137"/>
      <c r="L488" s="58" t="str" cm="1">
        <f>IF(ISBLANK($A488),"",INDEX(Array_OtherEnergyCharges,MATCH($A488,List_OtherEnergyMeters,0),ROUNDUP((COLUMN()+1)/3-2,0)))</f>
        <v/>
      </c>
      <c r="M488" s="127"/>
      <c r="N488" s="137"/>
      <c r="O488" s="58" t="str" cm="1">
        <f>IF(ISBLANK($A488),"",INDEX(Array_OtherEnergyCharges,MATCH($A488,List_OtherEnergyMeters,0),ROUNDUP((COLUMN()+1)/3-2,0)))</f>
        <v/>
      </c>
      <c r="P488" s="127"/>
      <c r="Q488" s="137"/>
      <c r="R488" s="58" t="str" cm="1">
        <f>IF(ISBLANK($A488),"",INDEX(Array_OtherEnergyCharges,MATCH($A488,List_OtherEnergyMeters,0),ROUNDUP((COLUMN()+1)/3-2,0)))</f>
        <v/>
      </c>
      <c r="S488" s="127"/>
      <c r="T488" s="137"/>
    </row>
    <row r="489" spans="1:20" x14ac:dyDescent="0.3">
      <c r="A489" s="126"/>
      <c r="B489" s="133"/>
      <c r="C489" s="127"/>
      <c r="D489" s="138"/>
      <c r="E489" s="137"/>
      <c r="F489" s="58" t="str" cm="1">
        <f>IF(ISBLANK($A489),"",INDEX(Array_OtherEnergyCharges,MATCH($A489,List_OtherEnergyMeters,0),ROUNDUP((COLUMN()+1)/3-2,0)))</f>
        <v/>
      </c>
      <c r="G489" s="127"/>
      <c r="H489" s="137"/>
      <c r="I489" s="58" t="str" cm="1">
        <f>IF(ISBLANK($A489),"",INDEX(Array_OtherEnergyCharges,MATCH($A489,List_OtherEnergyMeters,0),ROUNDUP((COLUMN()+1)/3-2,0)))</f>
        <v/>
      </c>
      <c r="J489" s="127"/>
      <c r="K489" s="137"/>
      <c r="L489" s="58" t="str" cm="1">
        <f>IF(ISBLANK($A489),"",INDEX(Array_OtherEnergyCharges,MATCH($A489,List_OtherEnergyMeters,0),ROUNDUP((COLUMN()+1)/3-2,0)))</f>
        <v/>
      </c>
      <c r="M489" s="127"/>
      <c r="N489" s="137"/>
      <c r="O489" s="58" t="str" cm="1">
        <f>IF(ISBLANK($A489),"",INDEX(Array_OtherEnergyCharges,MATCH($A489,List_OtherEnergyMeters,0),ROUNDUP((COLUMN()+1)/3-2,0)))</f>
        <v/>
      </c>
      <c r="P489" s="127"/>
      <c r="Q489" s="137"/>
      <c r="R489" s="58" t="str" cm="1">
        <f>IF(ISBLANK($A489),"",INDEX(Array_OtherEnergyCharges,MATCH($A489,List_OtherEnergyMeters,0),ROUNDUP((COLUMN()+1)/3-2,0)))</f>
        <v/>
      </c>
      <c r="S489" s="127"/>
      <c r="T489" s="137"/>
    </row>
    <row r="490" spans="1:20" x14ac:dyDescent="0.3">
      <c r="A490" s="126"/>
      <c r="B490" s="133"/>
      <c r="C490" s="127"/>
      <c r="D490" s="138"/>
      <c r="E490" s="137"/>
      <c r="F490" s="58" t="str" cm="1">
        <f>IF(ISBLANK($A490),"",INDEX(Array_OtherEnergyCharges,MATCH($A490,List_OtherEnergyMeters,0),ROUNDUP((COLUMN()+1)/3-2,0)))</f>
        <v/>
      </c>
      <c r="G490" s="127"/>
      <c r="H490" s="137"/>
      <c r="I490" s="58" t="str" cm="1">
        <f>IF(ISBLANK($A490),"",INDEX(Array_OtherEnergyCharges,MATCH($A490,List_OtherEnergyMeters,0),ROUNDUP((COLUMN()+1)/3-2,0)))</f>
        <v/>
      </c>
      <c r="J490" s="127"/>
      <c r="K490" s="137"/>
      <c r="L490" s="58" t="str" cm="1">
        <f>IF(ISBLANK($A490),"",INDEX(Array_OtherEnergyCharges,MATCH($A490,List_OtherEnergyMeters,0),ROUNDUP((COLUMN()+1)/3-2,0)))</f>
        <v/>
      </c>
      <c r="M490" s="127"/>
      <c r="N490" s="137"/>
      <c r="O490" s="58" t="str" cm="1">
        <f>IF(ISBLANK($A490),"",INDEX(Array_OtherEnergyCharges,MATCH($A490,List_OtherEnergyMeters,0),ROUNDUP((COLUMN()+1)/3-2,0)))</f>
        <v/>
      </c>
      <c r="P490" s="127"/>
      <c r="Q490" s="137"/>
      <c r="R490" s="58" t="str" cm="1">
        <f>IF(ISBLANK($A490),"",INDEX(Array_OtherEnergyCharges,MATCH($A490,List_OtherEnergyMeters,0),ROUNDUP((COLUMN()+1)/3-2,0)))</f>
        <v/>
      </c>
      <c r="S490" s="127"/>
      <c r="T490" s="137"/>
    </row>
    <row r="491" spans="1:20" x14ac:dyDescent="0.3">
      <c r="A491" s="126"/>
      <c r="B491" s="133"/>
      <c r="C491" s="127"/>
      <c r="D491" s="138"/>
      <c r="E491" s="137"/>
      <c r="F491" s="58" t="str" cm="1">
        <f>IF(ISBLANK($A491),"",INDEX(Array_OtherEnergyCharges,MATCH($A491,List_OtherEnergyMeters,0),ROUNDUP((COLUMN()+1)/3-2,0)))</f>
        <v/>
      </c>
      <c r="G491" s="127"/>
      <c r="H491" s="137"/>
      <c r="I491" s="58" t="str" cm="1">
        <f>IF(ISBLANK($A491),"",INDEX(Array_OtherEnergyCharges,MATCH($A491,List_OtherEnergyMeters,0),ROUNDUP((COLUMN()+1)/3-2,0)))</f>
        <v/>
      </c>
      <c r="J491" s="127"/>
      <c r="K491" s="137"/>
      <c r="L491" s="58" t="str" cm="1">
        <f>IF(ISBLANK($A491),"",INDEX(Array_OtherEnergyCharges,MATCH($A491,List_OtherEnergyMeters,0),ROUNDUP((COLUMN()+1)/3-2,0)))</f>
        <v/>
      </c>
      <c r="M491" s="127"/>
      <c r="N491" s="137"/>
      <c r="O491" s="58" t="str" cm="1">
        <f>IF(ISBLANK($A491),"",INDEX(Array_OtherEnergyCharges,MATCH($A491,List_OtherEnergyMeters,0),ROUNDUP((COLUMN()+1)/3-2,0)))</f>
        <v/>
      </c>
      <c r="P491" s="127"/>
      <c r="Q491" s="137"/>
      <c r="R491" s="58" t="str" cm="1">
        <f>IF(ISBLANK($A491),"",INDEX(Array_OtherEnergyCharges,MATCH($A491,List_OtherEnergyMeters,0),ROUNDUP((COLUMN()+1)/3-2,0)))</f>
        <v/>
      </c>
      <c r="S491" s="127"/>
      <c r="T491" s="137"/>
    </row>
    <row r="492" spans="1:20" x14ac:dyDescent="0.3">
      <c r="A492" s="126"/>
      <c r="B492" s="133"/>
      <c r="C492" s="127"/>
      <c r="D492" s="138"/>
      <c r="E492" s="137"/>
      <c r="F492" s="58" t="str" cm="1">
        <f>IF(ISBLANK($A492),"",INDEX(Array_OtherEnergyCharges,MATCH($A492,List_OtherEnergyMeters,0),ROUNDUP((COLUMN()+1)/3-2,0)))</f>
        <v/>
      </c>
      <c r="G492" s="127"/>
      <c r="H492" s="137"/>
      <c r="I492" s="58" t="str" cm="1">
        <f>IF(ISBLANK($A492),"",INDEX(Array_OtherEnergyCharges,MATCH($A492,List_OtherEnergyMeters,0),ROUNDUP((COLUMN()+1)/3-2,0)))</f>
        <v/>
      </c>
      <c r="J492" s="127"/>
      <c r="K492" s="137"/>
      <c r="L492" s="58" t="str" cm="1">
        <f>IF(ISBLANK($A492),"",INDEX(Array_OtherEnergyCharges,MATCH($A492,List_OtherEnergyMeters,0),ROUNDUP((COLUMN()+1)/3-2,0)))</f>
        <v/>
      </c>
      <c r="M492" s="127"/>
      <c r="N492" s="137"/>
      <c r="O492" s="58" t="str" cm="1">
        <f>IF(ISBLANK($A492),"",INDEX(Array_OtherEnergyCharges,MATCH($A492,List_OtherEnergyMeters,0),ROUNDUP((COLUMN()+1)/3-2,0)))</f>
        <v/>
      </c>
      <c r="P492" s="127"/>
      <c r="Q492" s="137"/>
      <c r="R492" s="58" t="str" cm="1">
        <f>IF(ISBLANK($A492),"",INDEX(Array_OtherEnergyCharges,MATCH($A492,List_OtherEnergyMeters,0),ROUNDUP((COLUMN()+1)/3-2,0)))</f>
        <v/>
      </c>
      <c r="S492" s="127"/>
      <c r="T492" s="137"/>
    </row>
    <row r="493" spans="1:20" x14ac:dyDescent="0.3">
      <c r="A493" s="126"/>
      <c r="B493" s="133"/>
      <c r="C493" s="127"/>
      <c r="D493" s="138"/>
      <c r="E493" s="137"/>
      <c r="F493" s="58" t="str" cm="1">
        <f>IF(ISBLANK($A493),"",INDEX(Array_OtherEnergyCharges,MATCH($A493,List_OtherEnergyMeters,0),ROUNDUP((COLUMN()+1)/3-2,0)))</f>
        <v/>
      </c>
      <c r="G493" s="127"/>
      <c r="H493" s="137"/>
      <c r="I493" s="58" t="str" cm="1">
        <f>IF(ISBLANK($A493),"",INDEX(Array_OtherEnergyCharges,MATCH($A493,List_OtherEnergyMeters,0),ROUNDUP((COLUMN()+1)/3-2,0)))</f>
        <v/>
      </c>
      <c r="J493" s="127"/>
      <c r="K493" s="137"/>
      <c r="L493" s="58" t="str" cm="1">
        <f>IF(ISBLANK($A493),"",INDEX(Array_OtherEnergyCharges,MATCH($A493,List_OtherEnergyMeters,0),ROUNDUP((COLUMN()+1)/3-2,0)))</f>
        <v/>
      </c>
      <c r="M493" s="127"/>
      <c r="N493" s="137"/>
      <c r="O493" s="58" t="str" cm="1">
        <f>IF(ISBLANK($A493),"",INDEX(Array_OtherEnergyCharges,MATCH($A493,List_OtherEnergyMeters,0),ROUNDUP((COLUMN()+1)/3-2,0)))</f>
        <v/>
      </c>
      <c r="P493" s="127"/>
      <c r="Q493" s="137"/>
      <c r="R493" s="58" t="str" cm="1">
        <f>IF(ISBLANK($A493),"",INDEX(Array_OtherEnergyCharges,MATCH($A493,List_OtherEnergyMeters,0),ROUNDUP((COLUMN()+1)/3-2,0)))</f>
        <v/>
      </c>
      <c r="S493" s="127"/>
      <c r="T493" s="137"/>
    </row>
    <row r="494" spans="1:20" x14ac:dyDescent="0.3">
      <c r="A494" s="126"/>
      <c r="B494" s="133"/>
      <c r="C494" s="127"/>
      <c r="D494" s="138"/>
      <c r="E494" s="137"/>
      <c r="F494" s="58" t="str" cm="1">
        <f>IF(ISBLANK($A494),"",INDEX(Array_OtherEnergyCharges,MATCH($A494,List_OtherEnergyMeters,0),ROUNDUP((COLUMN()+1)/3-2,0)))</f>
        <v/>
      </c>
      <c r="G494" s="127"/>
      <c r="H494" s="137"/>
      <c r="I494" s="58" t="str" cm="1">
        <f>IF(ISBLANK($A494),"",INDEX(Array_OtherEnergyCharges,MATCH($A494,List_OtherEnergyMeters,0),ROUNDUP((COLUMN()+1)/3-2,0)))</f>
        <v/>
      </c>
      <c r="J494" s="127"/>
      <c r="K494" s="137"/>
      <c r="L494" s="58" t="str" cm="1">
        <f>IF(ISBLANK($A494),"",INDEX(Array_OtherEnergyCharges,MATCH($A494,List_OtherEnergyMeters,0),ROUNDUP((COLUMN()+1)/3-2,0)))</f>
        <v/>
      </c>
      <c r="M494" s="127"/>
      <c r="N494" s="137"/>
      <c r="O494" s="58" t="str" cm="1">
        <f>IF(ISBLANK($A494),"",INDEX(Array_OtherEnergyCharges,MATCH($A494,List_OtherEnergyMeters,0),ROUNDUP((COLUMN()+1)/3-2,0)))</f>
        <v/>
      </c>
      <c r="P494" s="127"/>
      <c r="Q494" s="137"/>
      <c r="R494" s="58" t="str" cm="1">
        <f>IF(ISBLANK($A494),"",INDEX(Array_OtherEnergyCharges,MATCH($A494,List_OtherEnergyMeters,0),ROUNDUP((COLUMN()+1)/3-2,0)))</f>
        <v/>
      </c>
      <c r="S494" s="127"/>
      <c r="T494" s="137"/>
    </row>
    <row r="495" spans="1:20" x14ac:dyDescent="0.3">
      <c r="A495" s="126"/>
      <c r="B495" s="133"/>
      <c r="C495" s="127"/>
      <c r="D495" s="138"/>
      <c r="E495" s="137"/>
      <c r="F495" s="58" t="str" cm="1">
        <f>IF(ISBLANK($A495),"",INDEX(Array_OtherEnergyCharges,MATCH($A495,List_OtherEnergyMeters,0),ROUNDUP((COLUMN()+1)/3-2,0)))</f>
        <v/>
      </c>
      <c r="G495" s="127"/>
      <c r="H495" s="137"/>
      <c r="I495" s="58" t="str" cm="1">
        <f>IF(ISBLANK($A495),"",INDEX(Array_OtherEnergyCharges,MATCH($A495,List_OtherEnergyMeters,0),ROUNDUP((COLUMN()+1)/3-2,0)))</f>
        <v/>
      </c>
      <c r="J495" s="127"/>
      <c r="K495" s="137"/>
      <c r="L495" s="58" t="str" cm="1">
        <f>IF(ISBLANK($A495),"",INDEX(Array_OtherEnergyCharges,MATCH($A495,List_OtherEnergyMeters,0),ROUNDUP((COLUMN()+1)/3-2,0)))</f>
        <v/>
      </c>
      <c r="M495" s="127"/>
      <c r="N495" s="137"/>
      <c r="O495" s="58" t="str" cm="1">
        <f>IF(ISBLANK($A495),"",INDEX(Array_OtherEnergyCharges,MATCH($A495,List_OtherEnergyMeters,0),ROUNDUP((COLUMN()+1)/3-2,0)))</f>
        <v/>
      </c>
      <c r="P495" s="127"/>
      <c r="Q495" s="137"/>
      <c r="R495" s="58" t="str" cm="1">
        <f>IF(ISBLANK($A495),"",INDEX(Array_OtherEnergyCharges,MATCH($A495,List_OtherEnergyMeters,0),ROUNDUP((COLUMN()+1)/3-2,0)))</f>
        <v/>
      </c>
      <c r="S495" s="127"/>
      <c r="T495" s="137"/>
    </row>
    <row r="496" spans="1:20" x14ac:dyDescent="0.3">
      <c r="A496" s="126"/>
      <c r="B496" s="133"/>
      <c r="C496" s="127"/>
      <c r="D496" s="138"/>
      <c r="E496" s="137"/>
      <c r="F496" s="58" t="str" cm="1">
        <f>IF(ISBLANK($A496),"",INDEX(Array_OtherEnergyCharges,MATCH($A496,List_OtherEnergyMeters,0),ROUNDUP((COLUMN()+1)/3-2,0)))</f>
        <v/>
      </c>
      <c r="G496" s="127"/>
      <c r="H496" s="137"/>
      <c r="I496" s="58" t="str" cm="1">
        <f>IF(ISBLANK($A496),"",INDEX(Array_OtherEnergyCharges,MATCH($A496,List_OtherEnergyMeters,0),ROUNDUP((COLUMN()+1)/3-2,0)))</f>
        <v/>
      </c>
      <c r="J496" s="127"/>
      <c r="K496" s="137"/>
      <c r="L496" s="58" t="str" cm="1">
        <f>IF(ISBLANK($A496),"",INDEX(Array_OtherEnergyCharges,MATCH($A496,List_OtherEnergyMeters,0),ROUNDUP((COLUMN()+1)/3-2,0)))</f>
        <v/>
      </c>
      <c r="M496" s="127"/>
      <c r="N496" s="137"/>
      <c r="O496" s="58" t="str" cm="1">
        <f>IF(ISBLANK($A496),"",INDEX(Array_OtherEnergyCharges,MATCH($A496,List_OtherEnergyMeters,0),ROUNDUP((COLUMN()+1)/3-2,0)))</f>
        <v/>
      </c>
      <c r="P496" s="127"/>
      <c r="Q496" s="137"/>
      <c r="R496" s="58" t="str" cm="1">
        <f>IF(ISBLANK($A496),"",INDEX(Array_OtherEnergyCharges,MATCH($A496,List_OtherEnergyMeters,0),ROUNDUP((COLUMN()+1)/3-2,0)))</f>
        <v/>
      </c>
      <c r="S496" s="127"/>
      <c r="T496" s="137"/>
    </row>
    <row r="497" spans="1:20" x14ac:dyDescent="0.3">
      <c r="A497" s="126"/>
      <c r="B497" s="133"/>
      <c r="C497" s="127"/>
      <c r="D497" s="138"/>
      <c r="E497" s="137"/>
      <c r="F497" s="58" t="str" cm="1">
        <f>IF(ISBLANK($A497),"",INDEX(Array_OtherEnergyCharges,MATCH($A497,List_OtherEnergyMeters,0),ROUNDUP((COLUMN()+1)/3-2,0)))</f>
        <v/>
      </c>
      <c r="G497" s="127"/>
      <c r="H497" s="137"/>
      <c r="I497" s="58" t="str" cm="1">
        <f>IF(ISBLANK($A497),"",INDEX(Array_OtherEnergyCharges,MATCH($A497,List_OtherEnergyMeters,0),ROUNDUP((COLUMN()+1)/3-2,0)))</f>
        <v/>
      </c>
      <c r="J497" s="127"/>
      <c r="K497" s="137"/>
      <c r="L497" s="58" t="str" cm="1">
        <f>IF(ISBLANK($A497),"",INDEX(Array_OtherEnergyCharges,MATCH($A497,List_OtherEnergyMeters,0),ROUNDUP((COLUMN()+1)/3-2,0)))</f>
        <v/>
      </c>
      <c r="M497" s="127"/>
      <c r="N497" s="137"/>
      <c r="O497" s="58" t="str" cm="1">
        <f>IF(ISBLANK($A497),"",INDEX(Array_OtherEnergyCharges,MATCH($A497,List_OtherEnergyMeters,0),ROUNDUP((COLUMN()+1)/3-2,0)))</f>
        <v/>
      </c>
      <c r="P497" s="127"/>
      <c r="Q497" s="137"/>
      <c r="R497" s="58" t="str" cm="1">
        <f>IF(ISBLANK($A497),"",INDEX(Array_OtherEnergyCharges,MATCH($A497,List_OtherEnergyMeters,0),ROUNDUP((COLUMN()+1)/3-2,0)))</f>
        <v/>
      </c>
      <c r="S497" s="127"/>
      <c r="T497" s="137"/>
    </row>
    <row r="498" spans="1:20" x14ac:dyDescent="0.3">
      <c r="A498" s="126"/>
      <c r="B498" s="133"/>
      <c r="C498" s="127"/>
      <c r="D498" s="138"/>
      <c r="E498" s="137"/>
      <c r="F498" s="58" t="str" cm="1">
        <f>IF(ISBLANK($A498),"",INDEX(Array_OtherEnergyCharges,MATCH($A498,List_OtherEnergyMeters,0),ROUNDUP((COLUMN()+1)/3-2,0)))</f>
        <v/>
      </c>
      <c r="G498" s="127"/>
      <c r="H498" s="137"/>
      <c r="I498" s="58" t="str" cm="1">
        <f>IF(ISBLANK($A498),"",INDEX(Array_OtherEnergyCharges,MATCH($A498,List_OtherEnergyMeters,0),ROUNDUP((COLUMN()+1)/3-2,0)))</f>
        <v/>
      </c>
      <c r="J498" s="127"/>
      <c r="K498" s="137"/>
      <c r="L498" s="58" t="str" cm="1">
        <f>IF(ISBLANK($A498),"",INDEX(Array_OtherEnergyCharges,MATCH($A498,List_OtherEnergyMeters,0),ROUNDUP((COLUMN()+1)/3-2,0)))</f>
        <v/>
      </c>
      <c r="M498" s="127"/>
      <c r="N498" s="137"/>
      <c r="O498" s="58" t="str" cm="1">
        <f>IF(ISBLANK($A498),"",INDEX(Array_OtherEnergyCharges,MATCH($A498,List_OtherEnergyMeters,0),ROUNDUP((COLUMN()+1)/3-2,0)))</f>
        <v/>
      </c>
      <c r="P498" s="127"/>
      <c r="Q498" s="137"/>
      <c r="R498" s="58" t="str" cm="1">
        <f>IF(ISBLANK($A498),"",INDEX(Array_OtherEnergyCharges,MATCH($A498,List_OtherEnergyMeters,0),ROUNDUP((COLUMN()+1)/3-2,0)))</f>
        <v/>
      </c>
      <c r="S498" s="127"/>
      <c r="T498" s="137"/>
    </row>
    <row r="499" spans="1:20" x14ac:dyDescent="0.3">
      <c r="A499" s="126"/>
      <c r="B499" s="133"/>
      <c r="C499" s="127"/>
      <c r="D499" s="138"/>
      <c r="E499" s="137"/>
      <c r="F499" s="58" t="str" cm="1">
        <f>IF(ISBLANK($A499),"",INDEX(Array_OtherEnergyCharges,MATCH($A499,List_OtherEnergyMeters,0),ROUNDUP((COLUMN()+1)/3-2,0)))</f>
        <v/>
      </c>
      <c r="G499" s="127"/>
      <c r="H499" s="137"/>
      <c r="I499" s="58" t="str" cm="1">
        <f>IF(ISBLANK($A499),"",INDEX(Array_OtherEnergyCharges,MATCH($A499,List_OtherEnergyMeters,0),ROUNDUP((COLUMN()+1)/3-2,0)))</f>
        <v/>
      </c>
      <c r="J499" s="127"/>
      <c r="K499" s="137"/>
      <c r="L499" s="58" t="str" cm="1">
        <f>IF(ISBLANK($A499),"",INDEX(Array_OtherEnergyCharges,MATCH($A499,List_OtherEnergyMeters,0),ROUNDUP((COLUMN()+1)/3-2,0)))</f>
        <v/>
      </c>
      <c r="M499" s="127"/>
      <c r="N499" s="137"/>
      <c r="O499" s="58" t="str" cm="1">
        <f>IF(ISBLANK($A499),"",INDEX(Array_OtherEnergyCharges,MATCH($A499,List_OtherEnergyMeters,0),ROUNDUP((COLUMN()+1)/3-2,0)))</f>
        <v/>
      </c>
      <c r="P499" s="127"/>
      <c r="Q499" s="137"/>
      <c r="R499" s="58" t="str" cm="1">
        <f>IF(ISBLANK($A499),"",INDEX(Array_OtherEnergyCharges,MATCH($A499,List_OtherEnergyMeters,0),ROUNDUP((COLUMN()+1)/3-2,0)))</f>
        <v/>
      </c>
      <c r="S499" s="127"/>
      <c r="T499" s="137"/>
    </row>
    <row r="500" spans="1:20" x14ac:dyDescent="0.3">
      <c r="A500" s="126"/>
      <c r="B500" s="133"/>
      <c r="C500" s="127"/>
      <c r="D500" s="138"/>
      <c r="E500" s="137"/>
      <c r="F500" s="58" t="str" cm="1">
        <f>IF(ISBLANK($A500),"",INDEX(Array_OtherEnergyCharges,MATCH($A500,List_OtherEnergyMeters,0),ROUNDUP((COLUMN()+1)/3-2,0)))</f>
        <v/>
      </c>
      <c r="G500" s="127"/>
      <c r="H500" s="137"/>
      <c r="I500" s="58" t="str" cm="1">
        <f>IF(ISBLANK($A500),"",INDEX(Array_OtherEnergyCharges,MATCH($A500,List_OtherEnergyMeters,0),ROUNDUP((COLUMN()+1)/3-2,0)))</f>
        <v/>
      </c>
      <c r="J500" s="127"/>
      <c r="K500" s="137"/>
      <c r="L500" s="58" t="str" cm="1">
        <f>IF(ISBLANK($A500),"",INDEX(Array_OtherEnergyCharges,MATCH($A500,List_OtherEnergyMeters,0),ROUNDUP((COLUMN()+1)/3-2,0)))</f>
        <v/>
      </c>
      <c r="M500" s="127"/>
      <c r="N500" s="137"/>
      <c r="O500" s="58" t="str" cm="1">
        <f>IF(ISBLANK($A500),"",INDEX(Array_OtherEnergyCharges,MATCH($A500,List_OtherEnergyMeters,0),ROUNDUP((COLUMN()+1)/3-2,0)))</f>
        <v/>
      </c>
      <c r="P500" s="127"/>
      <c r="Q500" s="137"/>
      <c r="R500" s="58" t="str" cm="1">
        <f>IF(ISBLANK($A500),"",INDEX(Array_OtherEnergyCharges,MATCH($A500,List_OtherEnergyMeters,0),ROUNDUP((COLUMN()+1)/3-2,0)))</f>
        <v/>
      </c>
      <c r="S500" s="127"/>
      <c r="T500" s="137"/>
    </row>
    <row r="501" spans="1:20" x14ac:dyDescent="0.3">
      <c r="A501" s="126"/>
      <c r="B501" s="133"/>
      <c r="C501" s="127"/>
      <c r="D501" s="138"/>
      <c r="E501" s="137"/>
      <c r="F501" s="58" t="str" cm="1">
        <f>IF(ISBLANK($A501),"",INDEX(Array_OtherEnergyCharges,MATCH($A501,List_OtherEnergyMeters,0),ROUNDUP((COLUMN()+1)/3-2,0)))</f>
        <v/>
      </c>
      <c r="G501" s="127"/>
      <c r="H501" s="137"/>
      <c r="I501" s="58" t="str" cm="1">
        <f>IF(ISBLANK($A501),"",INDEX(Array_OtherEnergyCharges,MATCH($A501,List_OtherEnergyMeters,0),ROUNDUP((COLUMN()+1)/3-2,0)))</f>
        <v/>
      </c>
      <c r="J501" s="127"/>
      <c r="K501" s="137"/>
      <c r="L501" s="58" t="str" cm="1">
        <f>IF(ISBLANK($A501),"",INDEX(Array_OtherEnergyCharges,MATCH($A501,List_OtherEnergyMeters,0),ROUNDUP((COLUMN()+1)/3-2,0)))</f>
        <v/>
      </c>
      <c r="M501" s="127"/>
      <c r="N501" s="137"/>
      <c r="O501" s="58" t="str" cm="1">
        <f>IF(ISBLANK($A501),"",INDEX(Array_OtherEnergyCharges,MATCH($A501,List_OtherEnergyMeters,0),ROUNDUP((COLUMN()+1)/3-2,0)))</f>
        <v/>
      </c>
      <c r="P501" s="127"/>
      <c r="Q501" s="137"/>
      <c r="R501" s="58" t="str" cm="1">
        <f>IF(ISBLANK($A501),"",INDEX(Array_OtherEnergyCharges,MATCH($A501,List_OtherEnergyMeters,0),ROUNDUP((COLUMN()+1)/3-2,0)))</f>
        <v/>
      </c>
      <c r="S501" s="127"/>
      <c r="T501" s="137"/>
    </row>
    <row r="502" spans="1:20" x14ac:dyDescent="0.3">
      <c r="A502" s="126"/>
      <c r="B502" s="133"/>
      <c r="C502" s="127"/>
      <c r="D502" s="138"/>
      <c r="E502" s="137"/>
      <c r="F502" s="58" t="str" cm="1">
        <f>IF(ISBLANK($A502),"",INDEX(Array_OtherEnergyCharges,MATCH($A502,List_OtherEnergyMeters,0),ROUNDUP((COLUMN()+1)/3-2,0)))</f>
        <v/>
      </c>
      <c r="G502" s="127"/>
      <c r="H502" s="137"/>
      <c r="I502" s="58" t="str" cm="1">
        <f>IF(ISBLANK($A502),"",INDEX(Array_OtherEnergyCharges,MATCH($A502,List_OtherEnergyMeters,0),ROUNDUP((COLUMN()+1)/3-2,0)))</f>
        <v/>
      </c>
      <c r="J502" s="127"/>
      <c r="K502" s="137"/>
      <c r="L502" s="58" t="str" cm="1">
        <f>IF(ISBLANK($A502),"",INDEX(Array_OtherEnergyCharges,MATCH($A502,List_OtherEnergyMeters,0),ROUNDUP((COLUMN()+1)/3-2,0)))</f>
        <v/>
      </c>
      <c r="M502" s="127"/>
      <c r="N502" s="137"/>
      <c r="O502" s="58" t="str" cm="1">
        <f>IF(ISBLANK($A502),"",INDEX(Array_OtherEnergyCharges,MATCH($A502,List_OtherEnergyMeters,0),ROUNDUP((COLUMN()+1)/3-2,0)))</f>
        <v/>
      </c>
      <c r="P502" s="127"/>
      <c r="Q502" s="137"/>
      <c r="R502" s="58" t="str" cm="1">
        <f>IF(ISBLANK($A502),"",INDEX(Array_OtherEnergyCharges,MATCH($A502,List_OtherEnergyMeters,0),ROUNDUP((COLUMN()+1)/3-2,0)))</f>
        <v/>
      </c>
      <c r="S502" s="127"/>
      <c r="T502" s="137"/>
    </row>
    <row r="502" spans="1:20" x14ac:dyDescent="0.3">
      <c r="A502" s="126"/>
      <c r="B502" s="133"/>
      <c r="C502" s="127"/>
      <c r="D502" s="138"/>
      <c r="E502" s="137"/>
      <c r="F502" s="58" t="str" cm="1">
        <f>IF(ISBLANK($A502),"",INDEX(Array_OtherEnergyCharges,MATCH($A502,List_OtherEnergyMeters,0),ROUNDUP((COLUMN()+1)/3-2,0)))</f>
        <v/>
      </c>
      <c r="G502" s="127"/>
      <c r="H502" s="137"/>
      <c r="I502" s="58" t="str" cm="1">
        <f>IF(ISBLANK($A502),"",INDEX(Array_OtherEnergyCharges,MATCH($A502,List_OtherEnergyMeters,0),ROUNDUP((COLUMN()+1)/3-2,0)))</f>
        <v/>
      </c>
      <c r="J502" s="127"/>
      <c r="K502" s="137"/>
      <c r="L502" s="58" t="str" cm="1">
        <f>IF(ISBLANK($A502),"",INDEX(Array_OtherEnergyCharges,MATCH($A502,List_OtherEnergyMeters,0),ROUNDUP((COLUMN()+1)/3-2,0)))</f>
        <v/>
      </c>
      <c r="M502" s="127"/>
      <c r="N502" s="137"/>
      <c r="O502" s="58" t="str" cm="1">
        <f>IF(ISBLANK($A502),"",INDEX(Array_OtherEnergyCharges,MATCH($A502,List_OtherEnergyMeters,0),ROUNDUP((COLUMN()+1)/3-2,0)))</f>
        <v/>
      </c>
      <c r="P502" s="127"/>
      <c r="Q502" s="137"/>
      <c r="R502" s="58" t="str" cm="1">
        <f>IF(ISBLANK($A502),"",INDEX(Array_OtherEnergyCharges,MATCH($A502,List_OtherEnergyMeters,0),ROUNDUP((COLUMN()+1)/3-2,0)))</f>
        <v/>
      </c>
      <c r="S502" s="127"/>
      <c r="T502" s="137"/>
    </row>
    <row r="502" spans="1:20" x14ac:dyDescent="0.3">
      <c r="A502" s="126"/>
      <c r="B502" s="133"/>
      <c r="C502" s="127"/>
      <c r="D502" s="138"/>
      <c r="E502" s="137"/>
      <c r="F502" s="58" t="str" cm="1">
        <f>IF(ISBLANK($A502),"",INDEX(Array_OtherEnergyCharges,MATCH($A502,List_OtherEnergyMeters,0),ROUNDUP((COLUMN()+1)/3-2,0)))</f>
        <v/>
      </c>
      <c r="G502" s="127"/>
      <c r="H502" s="137"/>
      <c r="I502" s="58" t="str" cm="1">
        <f>IF(ISBLANK($A502),"",INDEX(Array_OtherEnergyCharges,MATCH($A502,List_OtherEnergyMeters,0),ROUNDUP((COLUMN()+1)/3-2,0)))</f>
        <v/>
      </c>
      <c r="J502" s="127"/>
      <c r="K502" s="137"/>
      <c r="L502" s="58" t="str" cm="1">
        <f>IF(ISBLANK($A502),"",INDEX(Array_OtherEnergyCharges,MATCH($A502,List_OtherEnergyMeters,0),ROUNDUP((COLUMN()+1)/3-2,0)))</f>
        <v/>
      </c>
      <c r="M502" s="127"/>
      <c r="N502" s="137"/>
      <c r="O502" s="58" t="str" cm="1">
        <f>IF(ISBLANK($A502),"",INDEX(Array_OtherEnergyCharges,MATCH($A502,List_OtherEnergyMeters,0),ROUNDUP((COLUMN()+1)/3-2,0)))</f>
        <v/>
      </c>
      <c r="P502" s="127"/>
      <c r="Q502" s="137"/>
      <c r="R502" s="58" t="str" cm="1">
        <f>IF(ISBLANK($A502),"",INDEX(Array_OtherEnergyCharges,MATCH($A502,List_OtherEnergyMeters,0),ROUNDUP((COLUMN()+1)/3-2,0)))</f>
        <v/>
      </c>
      <c r="S502" s="127"/>
      <c r="T502" s="137"/>
    </row>
  </sheetData>
  <sheetProtection algorithmName="SHA-512" hashValue="PzQF9zWhePbBHsKOchEeJFeOiBEpor8ZOu4rRpqZMRWpgmOZ4+qXtF7cDUb7RIPZdbBOTIwdY6c4WgDQdheRow==" saltValue="igi6JyP7ZJB24J2I4rdRfA==" spinCount="100000" sheet="1" objects="1" scenarios="1"/>
  <conditionalFormatting sqref="A3:C502">
    <cfRule type="expression" dxfId="76" priority="19">
      <formula>AND(COUNTA($A3:$C3)&gt;0,A3="")</formula>
    </cfRule>
  </conditionalFormatting>
  <conditionalFormatting sqref="A3:E502">
    <cfRule type="expression" dxfId="75" priority="121">
      <formula>AND(COUNTA($A3:$E3)=0,ROW()&lt;&gt;3)</formula>
    </cfRule>
  </conditionalFormatting>
  <conditionalFormatting sqref="F3:H502">
    <cfRule type="expression" dxfId="74" priority="9">
      <formula>$F3=""</formula>
    </cfRule>
  </conditionalFormatting>
  <conditionalFormatting sqref="I3:K502">
    <cfRule type="expression" dxfId="73" priority="7">
      <formula>$I3=""</formula>
    </cfRule>
  </conditionalFormatting>
  <conditionalFormatting sqref="L3:N502">
    <cfRule type="expression" dxfId="72" priority="5">
      <formula>$L3=""</formula>
    </cfRule>
  </conditionalFormatting>
  <conditionalFormatting sqref="O3:Q502">
    <cfRule type="expression" dxfId="71" priority="3">
      <formula>$O3=""</formula>
    </cfRule>
  </conditionalFormatting>
  <conditionalFormatting sqref="R3:T502">
    <cfRule type="expression" dxfId="70" priority="1">
      <formula>$R3=""</formula>
    </cfRule>
  </conditionalFormatting>
  <dataValidations count="1">
    <dataValidation type="list" allowBlank="1" showInputMessage="1" showErrorMessage="1" sqref="A3:A502" xr:uid="{0A311C83-9B37-4155-B9DC-5FEAB555A1D1}">
      <formula1>List_OtherEnergyMeters</formula1>
    </dataValidation>
  </dataValidation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60197-3CE8-4516-BD2F-E073E9536259}">
  <sheetPr codeName="Sheet15">
    <tabColor rgb="FFD62728"/>
  </sheetPr>
  <dimension ref="A1:F224"/>
  <sheetViews>
    <sheetView workbookViewId="0">
      <selection activeCell="B2" sqref="B2:B21"/>
    </sheetView>
  </sheetViews>
  <sheetFormatPr defaultColWidth="16.7265625" defaultRowHeight="14.5" x14ac:dyDescent="0.35"/>
  <cols>
    <col min="1" max="1" width="53.26953125" bestFit="1" customWidth="1"/>
    <col min="2" max="2" width="20.7265625" customWidth="1"/>
  </cols>
  <sheetData>
    <row r="1" spans="1:5" ht="15" thickBot="1" x14ac:dyDescent="0.4">
      <c r="A1" s="14" t="s">
        <v>643</v>
      </c>
      <c r="B1" s="14" t="s">
        <v>646</v>
      </c>
      <c r="C1" s="14" t="s">
        <v>502</v>
      </c>
      <c r="D1" s="14" t="s">
        <v>632</v>
      </c>
      <c r="E1" s="14" t="s">
        <v>504</v>
      </c>
    </row>
    <row r="2" spans="1:5" x14ac:dyDescent="0.35">
      <c r="A2" s="4" t="s">
        <v>637</v>
      </c>
      <c r="B2" s="4" t="s">
        <v>487</v>
      </c>
      <c r="C2" s="4" t="s">
        <v>535</v>
      </c>
      <c r="D2" s="4" t="str">
        <f>"$/"&amp;B2</f>
        <v>$/MMBtu</v>
      </c>
      <c r="E2" s="4" t="s">
        <v>505</v>
      </c>
    </row>
    <row r="3" spans="1:5" ht="15" thickBot="1" x14ac:dyDescent="0.4">
      <c r="A3" t="s">
        <v>638</v>
      </c>
      <c r="B3" t="s">
        <v>14</v>
      </c>
      <c r="C3" t="s">
        <v>27</v>
      </c>
      <c r="D3" t="str">
        <f t="shared" ref="D3:D21" si="0">"$/"&amp;B3</f>
        <v>$/kWh</v>
      </c>
      <c r="E3" s="9" t="s">
        <v>506</v>
      </c>
    </row>
    <row r="4" spans="1:5" x14ac:dyDescent="0.35">
      <c r="A4" s="4" t="s">
        <v>639</v>
      </c>
      <c r="B4" s="4" t="s">
        <v>16</v>
      </c>
      <c r="C4" s="4" t="s">
        <v>28</v>
      </c>
      <c r="D4" s="4" t="str">
        <f t="shared" si="0"/>
        <v>$/MWh</v>
      </c>
    </row>
    <row r="5" spans="1:5" x14ac:dyDescent="0.35">
      <c r="A5" t="s">
        <v>640</v>
      </c>
      <c r="B5" t="s">
        <v>488</v>
      </c>
      <c r="C5" t="s">
        <v>29</v>
      </c>
      <c r="D5" t="str">
        <f t="shared" si="0"/>
        <v>$/GJ</v>
      </c>
    </row>
    <row r="6" spans="1:5" ht="15" thickBot="1" x14ac:dyDescent="0.4">
      <c r="A6" s="4" t="s">
        <v>641</v>
      </c>
      <c r="B6" s="4" t="s">
        <v>489</v>
      </c>
      <c r="C6" s="8" t="s">
        <v>13</v>
      </c>
      <c r="D6" s="4" t="str">
        <f t="shared" si="0"/>
        <v>$/MJ</v>
      </c>
    </row>
    <row r="7" spans="1:5" ht="15" thickBot="1" x14ac:dyDescent="0.4">
      <c r="A7" s="9" t="s">
        <v>642</v>
      </c>
      <c r="B7" t="s">
        <v>490</v>
      </c>
      <c r="D7" t="str">
        <f t="shared" si="0"/>
        <v>$/kJ</v>
      </c>
    </row>
    <row r="8" spans="1:5" x14ac:dyDescent="0.35">
      <c r="B8" s="4" t="s">
        <v>491</v>
      </c>
      <c r="D8" s="4" t="str">
        <f t="shared" si="0"/>
        <v>$/Therms</v>
      </c>
    </row>
    <row r="9" spans="1:5" x14ac:dyDescent="0.35">
      <c r="B9" t="s">
        <v>492</v>
      </c>
      <c r="D9" t="str">
        <f t="shared" si="0"/>
        <v>$/DTherms</v>
      </c>
    </row>
    <row r="10" spans="1:5" x14ac:dyDescent="0.35">
      <c r="B10" s="4" t="s">
        <v>493</v>
      </c>
      <c r="D10" s="4" t="str">
        <f t="shared" si="0"/>
        <v>$/kcal</v>
      </c>
    </row>
    <row r="11" spans="1:5" x14ac:dyDescent="0.35">
      <c r="B11" t="s">
        <v>591</v>
      </c>
      <c r="D11" t="str">
        <f t="shared" si="0"/>
        <v>$/lb</v>
      </c>
    </row>
    <row r="12" spans="1:5" x14ac:dyDescent="0.35">
      <c r="B12" s="4" t="s">
        <v>592</v>
      </c>
      <c r="D12" s="4" t="str">
        <f t="shared" si="0"/>
        <v>$/klb</v>
      </c>
    </row>
    <row r="13" spans="1:5" x14ac:dyDescent="0.35">
      <c r="B13" t="s">
        <v>594</v>
      </c>
      <c r="D13" t="str">
        <f t="shared" si="0"/>
        <v>$/kg</v>
      </c>
    </row>
    <row r="14" spans="1:5" x14ac:dyDescent="0.35">
      <c r="B14" s="4" t="s">
        <v>590</v>
      </c>
      <c r="D14" s="4" t="str">
        <f t="shared" si="0"/>
        <v>$/SCF</v>
      </c>
    </row>
    <row r="15" spans="1:5" x14ac:dyDescent="0.35">
      <c r="B15" t="s">
        <v>17</v>
      </c>
      <c r="D15" t="str">
        <f t="shared" si="0"/>
        <v>$/CCF</v>
      </c>
    </row>
    <row r="16" spans="1:5" x14ac:dyDescent="0.35">
      <c r="B16" s="4" t="s">
        <v>593</v>
      </c>
      <c r="D16" s="4" t="str">
        <f t="shared" si="0"/>
        <v>$/kSCF</v>
      </c>
    </row>
    <row r="17" spans="1:6" x14ac:dyDescent="0.35">
      <c r="B17" t="s">
        <v>532</v>
      </c>
      <c r="D17" t="str">
        <f t="shared" si="0"/>
        <v>$/m3</v>
      </c>
    </row>
    <row r="18" spans="1:6" x14ac:dyDescent="0.35">
      <c r="B18" s="4" t="s">
        <v>596</v>
      </c>
      <c r="D18" s="4" t="str">
        <f t="shared" si="0"/>
        <v>$/ton</v>
      </c>
    </row>
    <row r="19" spans="1:6" x14ac:dyDescent="0.35">
      <c r="B19" t="s">
        <v>597</v>
      </c>
      <c r="D19" t="str">
        <f t="shared" si="0"/>
        <v>$/tonne</v>
      </c>
    </row>
    <row r="20" spans="1:6" x14ac:dyDescent="0.35">
      <c r="B20" s="4" t="s">
        <v>644</v>
      </c>
      <c r="D20" s="4" t="str">
        <f t="shared" si="0"/>
        <v>$/galF</v>
      </c>
    </row>
    <row r="21" spans="1:6" ht="15" thickBot="1" x14ac:dyDescent="0.4">
      <c r="B21" s="9" t="s">
        <v>645</v>
      </c>
      <c r="D21" s="9" t="str">
        <f t="shared" si="0"/>
        <v>$/tonHr</v>
      </c>
    </row>
    <row r="23" spans="1:6" x14ac:dyDescent="0.35">
      <c r="A23" t="s">
        <v>775</v>
      </c>
      <c r="B23">
        <f>COUNTIF(B25:B124,"?*")</f>
        <v>0</v>
      </c>
      <c r="C23">
        <f>COUNTIF(C25:C124,"?*")</f>
        <v>0</v>
      </c>
      <c r="D23">
        <f>COUNTIF(D25:D124,"?*")</f>
        <v>0</v>
      </c>
      <c r="E23">
        <f>COUNTIF(E25:E124,"?*")</f>
        <v>0</v>
      </c>
      <c r="F23">
        <f>COUNTIF(F25:F124,"?*")</f>
        <v>0</v>
      </c>
    </row>
    <row r="24" spans="1:6" ht="15" thickBot="1" x14ac:dyDescent="0.4">
      <c r="A24" s="12" t="s">
        <v>23</v>
      </c>
      <c r="B24" s="12" t="s">
        <v>760</v>
      </c>
      <c r="C24" s="12" t="s">
        <v>761</v>
      </c>
      <c r="D24" s="12" t="s">
        <v>762</v>
      </c>
      <c r="E24" s="12" t="s">
        <v>763</v>
      </c>
      <c r="F24" s="12" t="s">
        <v>764</v>
      </c>
    </row>
    <row r="25" spans="1:6" x14ac:dyDescent="0.35">
      <c r="A25" t="str">
        <f>IF('Other Energy Meters'!B3="",A24,'Other Energy Meters'!B3)</f>
        <v>Meter Numbers</v>
      </c>
      <c r="B25" t="str" cm="1">
        <f>IF(ISBLANK(INDEX(Array_OtherEnergyChargeData,ROW()-24,COLUMN()*2-3)),"",INDEX(Array_OtherEnergyChargeData,ROW()-24,COLUMN()*2-3))</f>
        <v/>
      </c>
      <c r="C25" t="str" cm="1">
        <f>IF(ISBLANK(INDEX(Array_OtherEnergyChargeData,ROW()-24,COLUMN()*2-3)),"",INDEX(Array_OtherEnergyChargeData,ROW()-24,COLUMN()*2-3))</f>
        <v/>
      </c>
      <c r="D25" t="str" cm="1">
        <f>IF(ISBLANK(INDEX(Array_OtherEnergyChargeData,ROW()-24,COLUMN()*2-3)),"",INDEX(Array_OtherEnergyChargeData,ROW()-24,COLUMN()*2-3))</f>
        <v/>
      </c>
      <c r="E25" t="str" cm="1">
        <f>IF(ISBLANK(INDEX(Array_OtherEnergyChargeData,ROW()-24,COLUMN()*2-3)),"",INDEX(Array_OtherEnergyChargeData,ROW()-24,COLUMN()*2-3))</f>
        <v/>
      </c>
      <c r="F25" t="str" cm="1">
        <f>IF(ISBLANK(INDEX(Array_OtherEnergyChargeData,ROW()-24,COLUMN()*2-3)),"",INDEX(Array_OtherEnergyChargeData,ROW()-24,COLUMN()*2-3))</f>
        <v/>
      </c>
    </row>
    <row r="26" spans="1:6" x14ac:dyDescent="0.35">
      <c r="A26" t="str">
        <f>IF('Other Energy Meters'!B4="",A25,'Other Energy Meters'!B4)</f>
        <v>Meter Numbers</v>
      </c>
      <c r="B26" t="str" cm="1">
        <f>IF(ISBLANK(INDEX(Array_OtherEnergyChargeData,ROW()-24,COLUMN()*2-3)),"",INDEX(Array_OtherEnergyChargeData,ROW()-24,COLUMN()*2-3))</f>
        <v/>
      </c>
      <c r="C26" t="str" cm="1">
        <f>IF(ISBLANK(INDEX(Array_OtherEnergyChargeData,ROW()-24,COLUMN()*2-3)),"",INDEX(Array_OtherEnergyChargeData,ROW()-24,COLUMN()*2-3))</f>
        <v/>
      </c>
      <c r="D26" t="str" cm="1">
        <f>IF(ISBLANK(INDEX(Array_OtherEnergyChargeData,ROW()-24,COLUMN()*2-3)),"",INDEX(Array_OtherEnergyChargeData,ROW()-24,COLUMN()*2-3))</f>
        <v/>
      </c>
      <c r="E26" t="str" cm="1">
        <f>IF(ISBLANK(INDEX(Array_OtherEnergyChargeData,ROW()-24,COLUMN()*2-3)),"",INDEX(Array_OtherEnergyChargeData,ROW()-24,COLUMN()*2-3))</f>
        <v/>
      </c>
      <c r="F26" t="str" cm="1">
        <f>IF(ISBLANK(INDEX(Array_OtherEnergyChargeData,ROW()-24,COLUMN()*2-3)),"",INDEX(Array_OtherEnergyChargeData,ROW()-24,COLUMN()*2-3))</f>
        <v/>
      </c>
    </row>
    <row r="27" spans="1:6" x14ac:dyDescent="0.35">
      <c r="A27" t="str">
        <f>IF('Other Energy Meters'!B5="",A26,'Other Energy Meters'!B5)</f>
        <v>Meter Numbers</v>
      </c>
      <c r="B27" t="str" cm="1">
        <f>IF(ISBLANK(INDEX(Array_OtherEnergyChargeData,ROW()-24,COLUMN()*2-3)),"",INDEX(Array_OtherEnergyChargeData,ROW()-24,COLUMN()*2-3))</f>
        <v/>
      </c>
      <c r="C27" t="str" cm="1">
        <f>IF(ISBLANK(INDEX(Array_OtherEnergyChargeData,ROW()-24,COLUMN()*2-3)),"",INDEX(Array_OtherEnergyChargeData,ROW()-24,COLUMN()*2-3))</f>
        <v/>
      </c>
      <c r="D27" t="str" cm="1">
        <f>IF(ISBLANK(INDEX(Array_OtherEnergyChargeData,ROW()-24,COLUMN()*2-3)),"",INDEX(Array_OtherEnergyChargeData,ROW()-24,COLUMN()*2-3))</f>
        <v/>
      </c>
      <c r="E27" t="str" cm="1">
        <f>IF(ISBLANK(INDEX(Array_OtherEnergyChargeData,ROW()-24,COLUMN()*2-3)),"",INDEX(Array_OtherEnergyChargeData,ROW()-24,COLUMN()*2-3))</f>
        <v/>
      </c>
      <c r="F27" t="str" cm="1">
        <f>IF(ISBLANK(INDEX(Array_OtherEnergyChargeData,ROW()-24,COLUMN()*2-3)),"",INDEX(Array_OtherEnergyChargeData,ROW()-24,COLUMN()*2-3))</f>
        <v/>
      </c>
    </row>
    <row r="28" spans="1:6" x14ac:dyDescent="0.35">
      <c r="A28" t="str">
        <f>IF('Other Energy Meters'!B6="",A27,'Other Energy Meters'!B6)</f>
        <v>Meter Numbers</v>
      </c>
      <c r="B28" t="str" cm="1">
        <f>IF(ISBLANK(INDEX(Array_OtherEnergyChargeData,ROW()-24,COLUMN()*2-3)),"",INDEX(Array_OtherEnergyChargeData,ROW()-24,COLUMN()*2-3))</f>
        <v/>
      </c>
      <c r="C28" t="str" cm="1">
        <f>IF(ISBLANK(INDEX(Array_OtherEnergyChargeData,ROW()-24,COLUMN()*2-3)),"",INDEX(Array_OtherEnergyChargeData,ROW()-24,COLUMN()*2-3))</f>
        <v/>
      </c>
      <c r="D28" t="str" cm="1">
        <f>IF(ISBLANK(INDEX(Array_OtherEnergyChargeData,ROW()-24,COLUMN()*2-3)),"",INDEX(Array_OtherEnergyChargeData,ROW()-24,COLUMN()*2-3))</f>
        <v/>
      </c>
      <c r="E28" t="str" cm="1">
        <f>IF(ISBLANK(INDEX(Array_OtherEnergyChargeData,ROW()-24,COLUMN()*2-3)),"",INDEX(Array_OtherEnergyChargeData,ROW()-24,COLUMN()*2-3))</f>
        <v/>
      </c>
      <c r="F28" t="str" cm="1">
        <f>IF(ISBLANK(INDEX(Array_OtherEnergyChargeData,ROW()-24,COLUMN()*2-3)),"",INDEX(Array_OtherEnergyChargeData,ROW()-24,COLUMN()*2-3))</f>
        <v/>
      </c>
    </row>
    <row r="29" spans="1:6" x14ac:dyDescent="0.35">
      <c r="A29" t="str">
        <f>IF('Other Energy Meters'!B7="",A28,'Other Energy Meters'!B7)</f>
        <v>Meter Numbers</v>
      </c>
      <c r="B29" t="str" cm="1">
        <f>IF(ISBLANK(INDEX(Array_OtherEnergyChargeData,ROW()-24,COLUMN()*2-3)),"",INDEX(Array_OtherEnergyChargeData,ROW()-24,COLUMN()*2-3))</f>
        <v/>
      </c>
      <c r="C29" t="str" cm="1">
        <f>IF(ISBLANK(INDEX(Array_OtherEnergyChargeData,ROW()-24,COLUMN()*2-3)),"",INDEX(Array_OtherEnergyChargeData,ROW()-24,COLUMN()*2-3))</f>
        <v/>
      </c>
      <c r="D29" t="str" cm="1">
        <f>IF(ISBLANK(INDEX(Array_OtherEnergyChargeData,ROW()-24,COLUMN()*2-3)),"",INDEX(Array_OtherEnergyChargeData,ROW()-24,COLUMN()*2-3))</f>
        <v/>
      </c>
      <c r="E29" t="str" cm="1">
        <f>IF(ISBLANK(INDEX(Array_OtherEnergyChargeData,ROW()-24,COLUMN()*2-3)),"",INDEX(Array_OtherEnergyChargeData,ROW()-24,COLUMN()*2-3))</f>
        <v/>
      </c>
      <c r="F29" t="str" cm="1">
        <f>IF(ISBLANK(INDEX(Array_OtherEnergyChargeData,ROW()-24,COLUMN()*2-3)),"",INDEX(Array_OtherEnergyChargeData,ROW()-24,COLUMN()*2-3))</f>
        <v/>
      </c>
    </row>
    <row r="30" spans="1:6" x14ac:dyDescent="0.35">
      <c r="A30" t="str">
        <f>IF('Other Energy Meters'!B8="",A29,'Other Energy Meters'!B8)</f>
        <v>Meter Numbers</v>
      </c>
      <c r="B30" t="str" cm="1">
        <f>IF(ISBLANK(INDEX(Array_OtherEnergyChargeData,ROW()-24,COLUMN()*2-3)),"",INDEX(Array_OtherEnergyChargeData,ROW()-24,COLUMN()*2-3))</f>
        <v/>
      </c>
      <c r="C30" t="str" cm="1">
        <f>IF(ISBLANK(INDEX(Array_OtherEnergyChargeData,ROW()-24,COLUMN()*2-3)),"",INDEX(Array_OtherEnergyChargeData,ROW()-24,COLUMN()*2-3))</f>
        <v/>
      </c>
      <c r="D30" t="str" cm="1">
        <f>IF(ISBLANK(INDEX(Array_OtherEnergyChargeData,ROW()-24,COLUMN()*2-3)),"",INDEX(Array_OtherEnergyChargeData,ROW()-24,COLUMN()*2-3))</f>
        <v/>
      </c>
      <c r="E30" t="str" cm="1">
        <f>IF(ISBLANK(INDEX(Array_OtherEnergyChargeData,ROW()-24,COLUMN()*2-3)),"",INDEX(Array_OtherEnergyChargeData,ROW()-24,COLUMN()*2-3))</f>
        <v/>
      </c>
      <c r="F30" t="str" cm="1">
        <f>IF(ISBLANK(INDEX(Array_OtherEnergyChargeData,ROW()-24,COLUMN()*2-3)),"",INDEX(Array_OtherEnergyChargeData,ROW()-24,COLUMN()*2-3))</f>
        <v/>
      </c>
    </row>
    <row r="31" spans="1:6" x14ac:dyDescent="0.35">
      <c r="A31" t="str">
        <f>IF('Other Energy Meters'!B9="",A30,'Other Energy Meters'!B9)</f>
        <v>Meter Numbers</v>
      </c>
      <c r="B31" t="str" cm="1">
        <f>IF(ISBLANK(INDEX(Array_OtherEnergyChargeData,ROW()-24,COLUMN()*2-3)),"",INDEX(Array_OtherEnergyChargeData,ROW()-24,COLUMN()*2-3))</f>
        <v/>
      </c>
      <c r="C31" t="str" cm="1">
        <f>IF(ISBLANK(INDEX(Array_OtherEnergyChargeData,ROW()-24,COLUMN()*2-3)),"",INDEX(Array_OtherEnergyChargeData,ROW()-24,COLUMN()*2-3))</f>
        <v/>
      </c>
      <c r="D31" t="str" cm="1">
        <f>IF(ISBLANK(INDEX(Array_OtherEnergyChargeData,ROW()-24,COLUMN()*2-3)),"",INDEX(Array_OtherEnergyChargeData,ROW()-24,COLUMN()*2-3))</f>
        <v/>
      </c>
      <c r="E31" t="str" cm="1">
        <f>IF(ISBLANK(INDEX(Array_OtherEnergyChargeData,ROW()-24,COLUMN()*2-3)),"",INDEX(Array_OtherEnergyChargeData,ROW()-24,COLUMN()*2-3))</f>
        <v/>
      </c>
      <c r="F31" t="str" cm="1">
        <f>IF(ISBLANK(INDEX(Array_OtherEnergyChargeData,ROW()-24,COLUMN()*2-3)),"",INDEX(Array_OtherEnergyChargeData,ROW()-24,COLUMN()*2-3))</f>
        <v/>
      </c>
    </row>
    <row r="32" spans="1:6" x14ac:dyDescent="0.35">
      <c r="A32" t="str">
        <f>IF('Other Energy Meters'!B10="",A31,'Other Energy Meters'!B10)</f>
        <v>Meter Numbers</v>
      </c>
      <c r="B32" t="str" cm="1">
        <f>IF(ISBLANK(INDEX(Array_OtherEnergyChargeData,ROW()-24,COLUMN()*2-3)),"",INDEX(Array_OtherEnergyChargeData,ROW()-24,COLUMN()*2-3))</f>
        <v/>
      </c>
      <c r="C32" t="str" cm="1">
        <f>IF(ISBLANK(INDEX(Array_OtherEnergyChargeData,ROW()-24,COLUMN()*2-3)),"",INDEX(Array_OtherEnergyChargeData,ROW()-24,COLUMN()*2-3))</f>
        <v/>
      </c>
      <c r="D32" t="str" cm="1">
        <f>IF(ISBLANK(INDEX(Array_OtherEnergyChargeData,ROW()-24,COLUMN()*2-3)),"",INDEX(Array_OtherEnergyChargeData,ROW()-24,COLUMN()*2-3))</f>
        <v/>
      </c>
      <c r="E32" t="str" cm="1">
        <f>IF(ISBLANK(INDEX(Array_OtherEnergyChargeData,ROW()-24,COLUMN()*2-3)),"",INDEX(Array_OtherEnergyChargeData,ROW()-24,COLUMN()*2-3))</f>
        <v/>
      </c>
      <c r="F32" t="str" cm="1">
        <f>IF(ISBLANK(INDEX(Array_OtherEnergyChargeData,ROW()-24,COLUMN()*2-3)),"",INDEX(Array_OtherEnergyChargeData,ROW()-24,COLUMN()*2-3))</f>
        <v/>
      </c>
    </row>
    <row r="33" spans="1:6" x14ac:dyDescent="0.35">
      <c r="A33" t="str">
        <f>IF('Other Energy Meters'!B11="",A32,'Other Energy Meters'!B11)</f>
        <v>Meter Numbers</v>
      </c>
      <c r="B33" t="str" cm="1">
        <f>IF(ISBLANK(INDEX(Array_OtherEnergyChargeData,ROW()-24,COLUMN()*2-3)),"",INDEX(Array_OtherEnergyChargeData,ROW()-24,COLUMN()*2-3))</f>
        <v/>
      </c>
      <c r="C33" t="str" cm="1">
        <f>IF(ISBLANK(INDEX(Array_OtherEnergyChargeData,ROW()-24,COLUMN()*2-3)),"",INDEX(Array_OtherEnergyChargeData,ROW()-24,COLUMN()*2-3))</f>
        <v/>
      </c>
      <c r="D33" t="str" cm="1">
        <f>IF(ISBLANK(INDEX(Array_OtherEnergyChargeData,ROW()-24,COLUMN()*2-3)),"",INDEX(Array_OtherEnergyChargeData,ROW()-24,COLUMN()*2-3))</f>
        <v/>
      </c>
      <c r="E33" t="str" cm="1">
        <f>IF(ISBLANK(INDEX(Array_OtherEnergyChargeData,ROW()-24,COLUMN()*2-3)),"",INDEX(Array_OtherEnergyChargeData,ROW()-24,COLUMN()*2-3))</f>
        <v/>
      </c>
      <c r="F33" t="str" cm="1">
        <f>IF(ISBLANK(INDEX(Array_OtherEnergyChargeData,ROW()-24,COLUMN()*2-3)),"",INDEX(Array_OtherEnergyChargeData,ROW()-24,COLUMN()*2-3))</f>
        <v/>
      </c>
    </row>
    <row r="34" spans="1:6" x14ac:dyDescent="0.35">
      <c r="A34" t="str">
        <f>IF('Other Energy Meters'!B12="",A33,'Other Energy Meters'!B12)</f>
        <v>Meter Numbers</v>
      </c>
      <c r="B34" t="str" cm="1">
        <f>IF(ISBLANK(INDEX(Array_OtherEnergyChargeData,ROW()-24,COLUMN()*2-3)),"",INDEX(Array_OtherEnergyChargeData,ROW()-24,COLUMN()*2-3))</f>
        <v/>
      </c>
      <c r="C34" t="str" cm="1">
        <f>IF(ISBLANK(INDEX(Array_OtherEnergyChargeData,ROW()-24,COLUMN()*2-3)),"",INDEX(Array_OtherEnergyChargeData,ROW()-24,COLUMN()*2-3))</f>
        <v/>
      </c>
      <c r="D34" t="str" cm="1">
        <f>IF(ISBLANK(INDEX(Array_OtherEnergyChargeData,ROW()-24,COLUMN()*2-3)),"",INDEX(Array_OtherEnergyChargeData,ROW()-24,COLUMN()*2-3))</f>
        <v/>
      </c>
      <c r="E34" t="str" cm="1">
        <f>IF(ISBLANK(INDEX(Array_OtherEnergyChargeData,ROW()-24,COLUMN()*2-3)),"",INDEX(Array_OtherEnergyChargeData,ROW()-24,COLUMN()*2-3))</f>
        <v/>
      </c>
      <c r="F34" t="str" cm="1">
        <f>IF(ISBLANK(INDEX(Array_OtherEnergyChargeData,ROW()-24,COLUMN()*2-3)),"",INDEX(Array_OtherEnergyChargeData,ROW()-24,COLUMN()*2-3))</f>
        <v/>
      </c>
    </row>
    <row r="35" spans="1:6" x14ac:dyDescent="0.35">
      <c r="A35" t="str">
        <f>IF('Other Energy Meters'!B13="",A34,'Other Energy Meters'!B13)</f>
        <v>Meter Numbers</v>
      </c>
      <c r="B35" t="str" cm="1">
        <f>IF(ISBLANK(INDEX(Array_OtherEnergyChargeData,ROW()-24,COLUMN()*2-3)),"",INDEX(Array_OtherEnergyChargeData,ROW()-24,COLUMN()*2-3))</f>
        <v/>
      </c>
      <c r="C35" t="str" cm="1">
        <f>IF(ISBLANK(INDEX(Array_OtherEnergyChargeData,ROW()-24,COLUMN()*2-3)),"",INDEX(Array_OtherEnergyChargeData,ROW()-24,COLUMN()*2-3))</f>
        <v/>
      </c>
      <c r="D35" t="str" cm="1">
        <f>IF(ISBLANK(INDEX(Array_OtherEnergyChargeData,ROW()-24,COLUMN()*2-3)),"",INDEX(Array_OtherEnergyChargeData,ROW()-24,COLUMN()*2-3))</f>
        <v/>
      </c>
      <c r="E35" t="str" cm="1">
        <f>IF(ISBLANK(INDEX(Array_OtherEnergyChargeData,ROW()-24,COLUMN()*2-3)),"",INDEX(Array_OtherEnergyChargeData,ROW()-24,COLUMN()*2-3))</f>
        <v/>
      </c>
      <c r="F35" t="str" cm="1">
        <f>IF(ISBLANK(INDEX(Array_OtherEnergyChargeData,ROW()-24,COLUMN()*2-3)),"",INDEX(Array_OtherEnergyChargeData,ROW()-24,COLUMN()*2-3))</f>
        <v/>
      </c>
    </row>
    <row r="36" spans="1:6" x14ac:dyDescent="0.35">
      <c r="A36" t="str">
        <f>IF('Other Energy Meters'!B14="",A35,'Other Energy Meters'!B14)</f>
        <v>Meter Numbers</v>
      </c>
      <c r="B36" t="str" cm="1">
        <f>IF(ISBLANK(INDEX(Array_OtherEnergyChargeData,ROW()-24,COLUMN()*2-3)),"",INDEX(Array_OtherEnergyChargeData,ROW()-24,COLUMN()*2-3))</f>
        <v/>
      </c>
      <c r="C36" t="str" cm="1">
        <f>IF(ISBLANK(INDEX(Array_OtherEnergyChargeData,ROW()-24,COLUMN()*2-3)),"",INDEX(Array_OtherEnergyChargeData,ROW()-24,COLUMN()*2-3))</f>
        <v/>
      </c>
      <c r="D36" t="str" cm="1">
        <f>IF(ISBLANK(INDEX(Array_OtherEnergyChargeData,ROW()-24,COLUMN()*2-3)),"",INDEX(Array_OtherEnergyChargeData,ROW()-24,COLUMN()*2-3))</f>
        <v/>
      </c>
      <c r="E36" t="str" cm="1">
        <f>IF(ISBLANK(INDEX(Array_OtherEnergyChargeData,ROW()-24,COLUMN()*2-3)),"",INDEX(Array_OtherEnergyChargeData,ROW()-24,COLUMN()*2-3))</f>
        <v/>
      </c>
      <c r="F36" t="str" cm="1">
        <f>IF(ISBLANK(INDEX(Array_OtherEnergyChargeData,ROW()-24,COLUMN()*2-3)),"",INDEX(Array_OtherEnergyChargeData,ROW()-24,COLUMN()*2-3))</f>
        <v/>
      </c>
    </row>
    <row r="37" spans="1:6" x14ac:dyDescent="0.35">
      <c r="A37" t="str">
        <f>IF('Other Energy Meters'!B15="",A36,'Other Energy Meters'!B15)</f>
        <v>Meter Numbers</v>
      </c>
      <c r="B37" t="str" cm="1">
        <f>IF(ISBLANK(INDEX(Array_OtherEnergyChargeData,ROW()-24,COLUMN()*2-3)),"",INDEX(Array_OtherEnergyChargeData,ROW()-24,COLUMN()*2-3))</f>
        <v/>
      </c>
      <c r="C37" t="str" cm="1">
        <f>IF(ISBLANK(INDEX(Array_OtherEnergyChargeData,ROW()-24,COLUMN()*2-3)),"",INDEX(Array_OtherEnergyChargeData,ROW()-24,COLUMN()*2-3))</f>
        <v/>
      </c>
      <c r="D37" t="str" cm="1">
        <f>IF(ISBLANK(INDEX(Array_OtherEnergyChargeData,ROW()-24,COLUMN()*2-3)),"",INDEX(Array_OtherEnergyChargeData,ROW()-24,COLUMN()*2-3))</f>
        <v/>
      </c>
      <c r="E37" t="str" cm="1">
        <f>IF(ISBLANK(INDEX(Array_OtherEnergyChargeData,ROW()-24,COLUMN()*2-3)),"",INDEX(Array_OtherEnergyChargeData,ROW()-24,COLUMN()*2-3))</f>
        <v/>
      </c>
      <c r="F37" t="str" cm="1">
        <f>IF(ISBLANK(INDEX(Array_OtherEnergyChargeData,ROW()-24,COLUMN()*2-3)),"",INDEX(Array_OtherEnergyChargeData,ROW()-24,COLUMN()*2-3))</f>
        <v/>
      </c>
    </row>
    <row r="38" spans="1:6" x14ac:dyDescent="0.35">
      <c r="A38" t="str">
        <f>IF('Other Energy Meters'!B16="",A37,'Other Energy Meters'!B16)</f>
        <v>Meter Numbers</v>
      </c>
      <c r="B38" t="str" cm="1">
        <f>IF(ISBLANK(INDEX(Array_OtherEnergyChargeData,ROW()-24,COLUMN()*2-3)),"",INDEX(Array_OtherEnergyChargeData,ROW()-24,COLUMN()*2-3))</f>
        <v/>
      </c>
      <c r="C38" t="str" cm="1">
        <f>IF(ISBLANK(INDEX(Array_OtherEnergyChargeData,ROW()-24,COLUMN()*2-3)),"",INDEX(Array_OtherEnergyChargeData,ROW()-24,COLUMN()*2-3))</f>
        <v/>
      </c>
      <c r="D38" t="str" cm="1">
        <f>IF(ISBLANK(INDEX(Array_OtherEnergyChargeData,ROW()-24,COLUMN()*2-3)),"",INDEX(Array_OtherEnergyChargeData,ROW()-24,COLUMN()*2-3))</f>
        <v/>
      </c>
      <c r="E38" t="str" cm="1">
        <f>IF(ISBLANK(INDEX(Array_OtherEnergyChargeData,ROW()-24,COLUMN()*2-3)),"",INDEX(Array_OtherEnergyChargeData,ROW()-24,COLUMN()*2-3))</f>
        <v/>
      </c>
      <c r="F38" t="str" cm="1">
        <f>IF(ISBLANK(INDEX(Array_OtherEnergyChargeData,ROW()-24,COLUMN()*2-3)),"",INDEX(Array_OtherEnergyChargeData,ROW()-24,COLUMN()*2-3))</f>
        <v/>
      </c>
    </row>
    <row r="39" spans="1:6" x14ac:dyDescent="0.35">
      <c r="A39" t="str">
        <f>IF('Other Energy Meters'!B17="",A38,'Other Energy Meters'!B17)</f>
        <v>Meter Numbers</v>
      </c>
      <c r="B39" t="str" cm="1">
        <f>IF(ISBLANK(INDEX(Array_OtherEnergyChargeData,ROW()-24,COLUMN()*2-3)),"",INDEX(Array_OtherEnergyChargeData,ROW()-24,COLUMN()*2-3))</f>
        <v/>
      </c>
      <c r="C39" t="str" cm="1">
        <f>IF(ISBLANK(INDEX(Array_OtherEnergyChargeData,ROW()-24,COLUMN()*2-3)),"",INDEX(Array_OtherEnergyChargeData,ROW()-24,COLUMN()*2-3))</f>
        <v/>
      </c>
      <c r="D39" t="str" cm="1">
        <f>IF(ISBLANK(INDEX(Array_OtherEnergyChargeData,ROW()-24,COLUMN()*2-3)),"",INDEX(Array_OtherEnergyChargeData,ROW()-24,COLUMN()*2-3))</f>
        <v/>
      </c>
      <c r="E39" t="str" cm="1">
        <f>IF(ISBLANK(INDEX(Array_OtherEnergyChargeData,ROW()-24,COLUMN()*2-3)),"",INDEX(Array_OtherEnergyChargeData,ROW()-24,COLUMN()*2-3))</f>
        <v/>
      </c>
      <c r="F39" t="str" cm="1">
        <f>IF(ISBLANK(INDEX(Array_OtherEnergyChargeData,ROW()-24,COLUMN()*2-3)),"",INDEX(Array_OtherEnergyChargeData,ROW()-24,COLUMN()*2-3))</f>
        <v/>
      </c>
    </row>
    <row r="40" spans="1:6" x14ac:dyDescent="0.35">
      <c r="A40" t="str">
        <f>IF('Other Energy Meters'!B18="",A39,'Other Energy Meters'!B18)</f>
        <v>Meter Numbers</v>
      </c>
      <c r="B40" t="str" cm="1">
        <f>IF(ISBLANK(INDEX(Array_OtherEnergyChargeData,ROW()-24,COLUMN()*2-3)),"",INDEX(Array_OtherEnergyChargeData,ROW()-24,COLUMN()*2-3))</f>
        <v/>
      </c>
      <c r="C40" t="str" cm="1">
        <f>IF(ISBLANK(INDEX(Array_OtherEnergyChargeData,ROW()-24,COLUMN()*2-3)),"",INDEX(Array_OtherEnergyChargeData,ROW()-24,COLUMN()*2-3))</f>
        <v/>
      </c>
      <c r="D40" t="str" cm="1">
        <f>IF(ISBLANK(INDEX(Array_OtherEnergyChargeData,ROW()-24,COLUMN()*2-3)),"",INDEX(Array_OtherEnergyChargeData,ROW()-24,COLUMN()*2-3))</f>
        <v/>
      </c>
      <c r="E40" t="str" cm="1">
        <f>IF(ISBLANK(INDEX(Array_OtherEnergyChargeData,ROW()-24,COLUMN()*2-3)),"",INDEX(Array_OtherEnergyChargeData,ROW()-24,COLUMN()*2-3))</f>
        <v/>
      </c>
      <c r="F40" t="str" cm="1">
        <f>IF(ISBLANK(INDEX(Array_OtherEnergyChargeData,ROW()-24,COLUMN()*2-3)),"",INDEX(Array_OtherEnergyChargeData,ROW()-24,COLUMN()*2-3))</f>
        <v/>
      </c>
    </row>
    <row r="41" spans="1:6" x14ac:dyDescent="0.35">
      <c r="A41" t="str">
        <f>IF('Other Energy Meters'!B19="",A40,'Other Energy Meters'!B19)</f>
        <v>Meter Numbers</v>
      </c>
      <c r="B41" t="str" cm="1">
        <f>IF(ISBLANK(INDEX(Array_OtherEnergyChargeData,ROW()-24,COLUMN()*2-3)),"",INDEX(Array_OtherEnergyChargeData,ROW()-24,COLUMN()*2-3))</f>
        <v/>
      </c>
      <c r="C41" t="str" cm="1">
        <f>IF(ISBLANK(INDEX(Array_OtherEnergyChargeData,ROW()-24,COLUMN()*2-3)),"",INDEX(Array_OtherEnergyChargeData,ROW()-24,COLUMN()*2-3))</f>
        <v/>
      </c>
      <c r="D41" t="str" cm="1">
        <f>IF(ISBLANK(INDEX(Array_OtherEnergyChargeData,ROW()-24,COLUMN()*2-3)),"",INDEX(Array_OtherEnergyChargeData,ROW()-24,COLUMN()*2-3))</f>
        <v/>
      </c>
      <c r="E41" t="str" cm="1">
        <f>IF(ISBLANK(INDEX(Array_OtherEnergyChargeData,ROW()-24,COLUMN()*2-3)),"",INDEX(Array_OtherEnergyChargeData,ROW()-24,COLUMN()*2-3))</f>
        <v/>
      </c>
      <c r="F41" t="str" cm="1">
        <f>IF(ISBLANK(INDEX(Array_OtherEnergyChargeData,ROW()-24,COLUMN()*2-3)),"",INDEX(Array_OtherEnergyChargeData,ROW()-24,COLUMN()*2-3))</f>
        <v/>
      </c>
    </row>
    <row r="42" spans="1:6" x14ac:dyDescent="0.35">
      <c r="A42" t="str">
        <f>IF('Other Energy Meters'!B20="",A41,'Other Energy Meters'!B20)</f>
        <v>Meter Numbers</v>
      </c>
      <c r="B42" t="str" cm="1">
        <f>IF(ISBLANK(INDEX(Array_OtherEnergyChargeData,ROW()-24,COLUMN()*2-3)),"",INDEX(Array_OtherEnergyChargeData,ROW()-24,COLUMN()*2-3))</f>
        <v/>
      </c>
      <c r="C42" t="str" cm="1">
        <f>IF(ISBLANK(INDEX(Array_OtherEnergyChargeData,ROW()-24,COLUMN()*2-3)),"",INDEX(Array_OtherEnergyChargeData,ROW()-24,COLUMN()*2-3))</f>
        <v/>
      </c>
      <c r="D42" t="str" cm="1">
        <f>IF(ISBLANK(INDEX(Array_OtherEnergyChargeData,ROW()-24,COLUMN()*2-3)),"",INDEX(Array_OtherEnergyChargeData,ROW()-24,COLUMN()*2-3))</f>
        <v/>
      </c>
      <c r="E42" t="str" cm="1">
        <f>IF(ISBLANK(INDEX(Array_OtherEnergyChargeData,ROW()-24,COLUMN()*2-3)),"",INDEX(Array_OtherEnergyChargeData,ROW()-24,COLUMN()*2-3))</f>
        <v/>
      </c>
      <c r="F42" t="str" cm="1">
        <f>IF(ISBLANK(INDEX(Array_OtherEnergyChargeData,ROW()-24,COLUMN()*2-3)),"",INDEX(Array_OtherEnergyChargeData,ROW()-24,COLUMN()*2-3))</f>
        <v/>
      </c>
    </row>
    <row r="43" spans="1:6" x14ac:dyDescent="0.35">
      <c r="A43" t="str">
        <f>IF('Other Energy Meters'!B21="",A42,'Other Energy Meters'!B21)</f>
        <v>Meter Numbers</v>
      </c>
      <c r="B43" t="str" cm="1">
        <f>IF(ISBLANK(INDEX(Array_OtherEnergyChargeData,ROW()-24,COLUMN()*2-3)),"",INDEX(Array_OtherEnergyChargeData,ROW()-24,COLUMN()*2-3))</f>
        <v/>
      </c>
      <c r="C43" t="str" cm="1">
        <f>IF(ISBLANK(INDEX(Array_OtherEnergyChargeData,ROW()-24,COLUMN()*2-3)),"",INDEX(Array_OtherEnergyChargeData,ROW()-24,COLUMN()*2-3))</f>
        <v/>
      </c>
      <c r="D43" t="str" cm="1">
        <f>IF(ISBLANK(INDEX(Array_OtherEnergyChargeData,ROW()-24,COLUMN()*2-3)),"",INDEX(Array_OtherEnergyChargeData,ROW()-24,COLUMN()*2-3))</f>
        <v/>
      </c>
      <c r="E43" t="str" cm="1">
        <f>IF(ISBLANK(INDEX(Array_OtherEnergyChargeData,ROW()-24,COLUMN()*2-3)),"",INDEX(Array_OtherEnergyChargeData,ROW()-24,COLUMN()*2-3))</f>
        <v/>
      </c>
      <c r="F43" t="str" cm="1">
        <f>IF(ISBLANK(INDEX(Array_OtherEnergyChargeData,ROW()-24,COLUMN()*2-3)),"",INDEX(Array_OtherEnergyChargeData,ROW()-24,COLUMN()*2-3))</f>
        <v/>
      </c>
    </row>
    <row r="44" spans="1:6" x14ac:dyDescent="0.35">
      <c r="A44" t="str">
        <f>IF('Other Energy Meters'!B22="",A43,'Other Energy Meters'!B22)</f>
        <v>Meter Numbers</v>
      </c>
      <c r="B44" t="str" cm="1">
        <f>IF(ISBLANK(INDEX(Array_OtherEnergyChargeData,ROW()-24,COLUMN()*2-3)),"",INDEX(Array_OtherEnergyChargeData,ROW()-24,COLUMN()*2-3))</f>
        <v/>
      </c>
      <c r="C44" t="str" cm="1">
        <f>IF(ISBLANK(INDEX(Array_OtherEnergyChargeData,ROW()-24,COLUMN()*2-3)),"",INDEX(Array_OtherEnergyChargeData,ROW()-24,COLUMN()*2-3))</f>
        <v/>
      </c>
      <c r="D44" t="str" cm="1">
        <f>IF(ISBLANK(INDEX(Array_OtherEnergyChargeData,ROW()-24,COLUMN()*2-3)),"",INDEX(Array_OtherEnergyChargeData,ROW()-24,COLUMN()*2-3))</f>
        <v/>
      </c>
      <c r="E44" t="str" cm="1">
        <f>IF(ISBLANK(INDEX(Array_OtherEnergyChargeData,ROW()-24,COLUMN()*2-3)),"",INDEX(Array_OtherEnergyChargeData,ROW()-24,COLUMN()*2-3))</f>
        <v/>
      </c>
      <c r="F44" t="str" cm="1">
        <f>IF(ISBLANK(INDEX(Array_OtherEnergyChargeData,ROW()-24,COLUMN()*2-3)),"",INDEX(Array_OtherEnergyChargeData,ROW()-24,COLUMN()*2-3))</f>
        <v/>
      </c>
    </row>
    <row r="45" spans="1:6" x14ac:dyDescent="0.35">
      <c r="A45" t="str">
        <f>IF('Other Energy Meters'!B23="",A44,'Other Energy Meters'!B23)</f>
        <v>Meter Numbers</v>
      </c>
      <c r="B45" t="str" cm="1">
        <f>IF(ISBLANK(INDEX(Array_OtherEnergyChargeData,ROW()-24,COLUMN()*2-3)),"",INDEX(Array_OtherEnergyChargeData,ROW()-24,COLUMN()*2-3))</f>
        <v/>
      </c>
      <c r="C45" t="str" cm="1">
        <f>IF(ISBLANK(INDEX(Array_OtherEnergyChargeData,ROW()-24,COLUMN()*2-3)),"",INDEX(Array_OtherEnergyChargeData,ROW()-24,COLUMN()*2-3))</f>
        <v/>
      </c>
      <c r="D45" t="str" cm="1">
        <f>IF(ISBLANK(INDEX(Array_OtherEnergyChargeData,ROW()-24,COLUMN()*2-3)),"",INDEX(Array_OtherEnergyChargeData,ROW()-24,COLUMN()*2-3))</f>
        <v/>
      </c>
      <c r="E45" t="str" cm="1">
        <f>IF(ISBLANK(INDEX(Array_OtherEnergyChargeData,ROW()-24,COLUMN()*2-3)),"",INDEX(Array_OtherEnergyChargeData,ROW()-24,COLUMN()*2-3))</f>
        <v/>
      </c>
      <c r="F45" t="str" cm="1">
        <f>IF(ISBLANK(INDEX(Array_OtherEnergyChargeData,ROW()-24,COLUMN()*2-3)),"",INDEX(Array_OtherEnergyChargeData,ROW()-24,COLUMN()*2-3))</f>
        <v/>
      </c>
    </row>
    <row r="46" spans="1:6" x14ac:dyDescent="0.35">
      <c r="A46" t="str">
        <f>IF('Other Energy Meters'!B24="",A45,'Other Energy Meters'!B24)</f>
        <v>Meter Numbers</v>
      </c>
      <c r="B46" t="str" cm="1">
        <f>IF(ISBLANK(INDEX(Array_OtherEnergyChargeData,ROW()-24,COLUMN()*2-3)),"",INDEX(Array_OtherEnergyChargeData,ROW()-24,COLUMN()*2-3))</f>
        <v/>
      </c>
      <c r="C46" t="str" cm="1">
        <f>IF(ISBLANK(INDEX(Array_OtherEnergyChargeData,ROW()-24,COLUMN()*2-3)),"",INDEX(Array_OtherEnergyChargeData,ROW()-24,COLUMN()*2-3))</f>
        <v/>
      </c>
      <c r="D46" t="str" cm="1">
        <f>IF(ISBLANK(INDEX(Array_OtherEnergyChargeData,ROW()-24,COLUMN()*2-3)),"",INDEX(Array_OtherEnergyChargeData,ROW()-24,COLUMN()*2-3))</f>
        <v/>
      </c>
      <c r="E46" t="str" cm="1">
        <f>IF(ISBLANK(INDEX(Array_OtherEnergyChargeData,ROW()-24,COLUMN()*2-3)),"",INDEX(Array_OtherEnergyChargeData,ROW()-24,COLUMN()*2-3))</f>
        <v/>
      </c>
      <c r="F46" t="str" cm="1">
        <f>IF(ISBLANK(INDEX(Array_OtherEnergyChargeData,ROW()-24,COLUMN()*2-3)),"",INDEX(Array_OtherEnergyChargeData,ROW()-24,COLUMN()*2-3))</f>
        <v/>
      </c>
    </row>
    <row r="47" spans="1:6" x14ac:dyDescent="0.35">
      <c r="A47" t="str">
        <f>IF('Other Energy Meters'!B25="",A46,'Other Energy Meters'!B25)</f>
        <v>Meter Numbers</v>
      </c>
      <c r="B47" t="str" cm="1">
        <f>IF(ISBLANK(INDEX(Array_OtherEnergyChargeData,ROW()-24,COLUMN()*2-3)),"",INDEX(Array_OtherEnergyChargeData,ROW()-24,COLUMN()*2-3))</f>
        <v/>
      </c>
      <c r="C47" t="str" cm="1">
        <f>IF(ISBLANK(INDEX(Array_OtherEnergyChargeData,ROW()-24,COLUMN()*2-3)),"",INDEX(Array_OtherEnergyChargeData,ROW()-24,COLUMN()*2-3))</f>
        <v/>
      </c>
      <c r="D47" t="str" cm="1">
        <f>IF(ISBLANK(INDEX(Array_OtherEnergyChargeData,ROW()-24,COLUMN()*2-3)),"",INDEX(Array_OtherEnergyChargeData,ROW()-24,COLUMN()*2-3))</f>
        <v/>
      </c>
      <c r="E47" t="str" cm="1">
        <f>IF(ISBLANK(INDEX(Array_OtherEnergyChargeData,ROW()-24,COLUMN()*2-3)),"",INDEX(Array_OtherEnergyChargeData,ROW()-24,COLUMN()*2-3))</f>
        <v/>
      </c>
      <c r="F47" t="str" cm="1">
        <f>IF(ISBLANK(INDEX(Array_OtherEnergyChargeData,ROW()-24,COLUMN()*2-3)),"",INDEX(Array_OtherEnergyChargeData,ROW()-24,COLUMN()*2-3))</f>
        <v/>
      </c>
    </row>
    <row r="48" spans="1:6" x14ac:dyDescent="0.35">
      <c r="A48" t="str">
        <f>IF('Other Energy Meters'!B26="",A47,'Other Energy Meters'!B26)</f>
        <v>Meter Numbers</v>
      </c>
      <c r="B48" t="str" cm="1">
        <f>IF(ISBLANK(INDEX(Array_OtherEnergyChargeData,ROW()-24,COLUMN()*2-3)),"",INDEX(Array_OtherEnergyChargeData,ROW()-24,COLUMN()*2-3))</f>
        <v/>
      </c>
      <c r="C48" t="str" cm="1">
        <f>IF(ISBLANK(INDEX(Array_OtherEnergyChargeData,ROW()-24,COLUMN()*2-3)),"",INDEX(Array_OtherEnergyChargeData,ROW()-24,COLUMN()*2-3))</f>
        <v/>
      </c>
      <c r="D48" t="str" cm="1">
        <f>IF(ISBLANK(INDEX(Array_OtherEnergyChargeData,ROW()-24,COLUMN()*2-3)),"",INDEX(Array_OtherEnergyChargeData,ROW()-24,COLUMN()*2-3))</f>
        <v/>
      </c>
      <c r="E48" t="str" cm="1">
        <f>IF(ISBLANK(INDEX(Array_OtherEnergyChargeData,ROW()-24,COLUMN()*2-3)),"",INDEX(Array_OtherEnergyChargeData,ROW()-24,COLUMN()*2-3))</f>
        <v/>
      </c>
      <c r="F48" t="str" cm="1">
        <f>IF(ISBLANK(INDEX(Array_OtherEnergyChargeData,ROW()-24,COLUMN()*2-3)),"",INDEX(Array_OtherEnergyChargeData,ROW()-24,COLUMN()*2-3))</f>
        <v/>
      </c>
    </row>
    <row r="49" spans="1:6" x14ac:dyDescent="0.35">
      <c r="A49" t="str">
        <f>IF('Other Energy Meters'!B27="",A48,'Other Energy Meters'!B27)</f>
        <v>Meter Numbers</v>
      </c>
      <c r="B49" t="str" cm="1">
        <f>IF(ISBLANK(INDEX(Array_OtherEnergyChargeData,ROW()-24,COLUMN()*2-3)),"",INDEX(Array_OtherEnergyChargeData,ROW()-24,COLUMN()*2-3))</f>
        <v/>
      </c>
      <c r="C49" t="str" cm="1">
        <f>IF(ISBLANK(INDEX(Array_OtherEnergyChargeData,ROW()-24,COLUMN()*2-3)),"",INDEX(Array_OtherEnergyChargeData,ROW()-24,COLUMN()*2-3))</f>
        <v/>
      </c>
      <c r="D49" t="str" cm="1">
        <f>IF(ISBLANK(INDEX(Array_OtherEnergyChargeData,ROW()-24,COLUMN()*2-3)),"",INDEX(Array_OtherEnergyChargeData,ROW()-24,COLUMN()*2-3))</f>
        <v/>
      </c>
      <c r="E49" t="str" cm="1">
        <f>IF(ISBLANK(INDEX(Array_OtherEnergyChargeData,ROW()-24,COLUMN()*2-3)),"",INDEX(Array_OtherEnergyChargeData,ROW()-24,COLUMN()*2-3))</f>
        <v/>
      </c>
      <c r="F49" t="str" cm="1">
        <f>IF(ISBLANK(INDEX(Array_OtherEnergyChargeData,ROW()-24,COLUMN()*2-3)),"",INDEX(Array_OtherEnergyChargeData,ROW()-24,COLUMN()*2-3))</f>
        <v/>
      </c>
    </row>
    <row r="50" spans="1:6" x14ac:dyDescent="0.35">
      <c r="A50" t="str">
        <f>IF('Other Energy Meters'!B28="",A49,'Other Energy Meters'!B28)</f>
        <v>Meter Numbers</v>
      </c>
      <c r="B50" t="str" cm="1">
        <f>IF(ISBLANK(INDEX(Array_OtherEnergyChargeData,ROW()-24,COLUMN()*2-3)),"",INDEX(Array_OtherEnergyChargeData,ROW()-24,COLUMN()*2-3))</f>
        <v/>
      </c>
      <c r="C50" t="str" cm="1">
        <f>IF(ISBLANK(INDEX(Array_OtherEnergyChargeData,ROW()-24,COLUMN()*2-3)),"",INDEX(Array_OtherEnergyChargeData,ROW()-24,COLUMN()*2-3))</f>
        <v/>
      </c>
      <c r="D50" t="str" cm="1">
        <f>IF(ISBLANK(INDEX(Array_OtherEnergyChargeData,ROW()-24,COLUMN()*2-3)),"",INDEX(Array_OtherEnergyChargeData,ROW()-24,COLUMN()*2-3))</f>
        <v/>
      </c>
      <c r="E50" t="str" cm="1">
        <f>IF(ISBLANK(INDEX(Array_OtherEnergyChargeData,ROW()-24,COLUMN()*2-3)),"",INDEX(Array_OtherEnergyChargeData,ROW()-24,COLUMN()*2-3))</f>
        <v/>
      </c>
      <c r="F50" t="str" cm="1">
        <f>IF(ISBLANK(INDEX(Array_OtherEnergyChargeData,ROW()-24,COLUMN()*2-3)),"",INDEX(Array_OtherEnergyChargeData,ROW()-24,COLUMN()*2-3))</f>
        <v/>
      </c>
    </row>
    <row r="51" spans="1:6" x14ac:dyDescent="0.35">
      <c r="A51" t="str">
        <f>IF('Other Energy Meters'!B29="",A50,'Other Energy Meters'!B29)</f>
        <v>Meter Numbers</v>
      </c>
      <c r="B51" t="str" cm="1">
        <f>IF(ISBLANK(INDEX(Array_OtherEnergyChargeData,ROW()-24,COLUMN()*2-3)),"",INDEX(Array_OtherEnergyChargeData,ROW()-24,COLUMN()*2-3))</f>
        <v/>
      </c>
      <c r="C51" t="str" cm="1">
        <f>IF(ISBLANK(INDEX(Array_OtherEnergyChargeData,ROW()-24,COLUMN()*2-3)),"",INDEX(Array_OtherEnergyChargeData,ROW()-24,COLUMN()*2-3))</f>
        <v/>
      </c>
      <c r="D51" t="str" cm="1">
        <f>IF(ISBLANK(INDEX(Array_OtherEnergyChargeData,ROW()-24,COLUMN()*2-3)),"",INDEX(Array_OtherEnergyChargeData,ROW()-24,COLUMN()*2-3))</f>
        <v/>
      </c>
      <c r="E51" t="str" cm="1">
        <f>IF(ISBLANK(INDEX(Array_OtherEnergyChargeData,ROW()-24,COLUMN()*2-3)),"",INDEX(Array_OtherEnergyChargeData,ROW()-24,COLUMN()*2-3))</f>
        <v/>
      </c>
      <c r="F51" t="str" cm="1">
        <f>IF(ISBLANK(INDEX(Array_OtherEnergyChargeData,ROW()-24,COLUMN()*2-3)),"",INDEX(Array_OtherEnergyChargeData,ROW()-24,COLUMN()*2-3))</f>
        <v/>
      </c>
    </row>
    <row r="52" spans="1:6" x14ac:dyDescent="0.35">
      <c r="A52" t="str">
        <f>IF('Other Energy Meters'!B30="",A51,'Other Energy Meters'!B30)</f>
        <v>Meter Numbers</v>
      </c>
      <c r="B52" t="str" cm="1">
        <f>IF(ISBLANK(INDEX(Array_OtherEnergyChargeData,ROW()-24,COLUMN()*2-3)),"",INDEX(Array_OtherEnergyChargeData,ROW()-24,COLUMN()*2-3))</f>
        <v/>
      </c>
      <c r="C52" t="str" cm="1">
        <f>IF(ISBLANK(INDEX(Array_OtherEnergyChargeData,ROW()-24,COLUMN()*2-3)),"",INDEX(Array_OtherEnergyChargeData,ROW()-24,COLUMN()*2-3))</f>
        <v/>
      </c>
      <c r="D52" t="str" cm="1">
        <f>IF(ISBLANK(INDEX(Array_OtherEnergyChargeData,ROW()-24,COLUMN()*2-3)),"",INDEX(Array_OtherEnergyChargeData,ROW()-24,COLUMN()*2-3))</f>
        <v/>
      </c>
      <c r="E52" t="str" cm="1">
        <f>IF(ISBLANK(INDEX(Array_OtherEnergyChargeData,ROW()-24,COLUMN()*2-3)),"",INDEX(Array_OtherEnergyChargeData,ROW()-24,COLUMN()*2-3))</f>
        <v/>
      </c>
      <c r="F52" t="str" cm="1">
        <f>IF(ISBLANK(INDEX(Array_OtherEnergyChargeData,ROW()-24,COLUMN()*2-3)),"",INDEX(Array_OtherEnergyChargeData,ROW()-24,COLUMN()*2-3))</f>
        <v/>
      </c>
    </row>
    <row r="53" spans="1:6" x14ac:dyDescent="0.35">
      <c r="A53" t="str">
        <f>IF('Other Energy Meters'!B31="",A52,'Other Energy Meters'!B31)</f>
        <v>Meter Numbers</v>
      </c>
      <c r="B53" t="str" cm="1">
        <f>IF(ISBLANK(INDEX(Array_OtherEnergyChargeData,ROW()-24,COLUMN()*2-3)),"",INDEX(Array_OtherEnergyChargeData,ROW()-24,COLUMN()*2-3))</f>
        <v/>
      </c>
      <c r="C53" t="str" cm="1">
        <f>IF(ISBLANK(INDEX(Array_OtherEnergyChargeData,ROW()-24,COLUMN()*2-3)),"",INDEX(Array_OtherEnergyChargeData,ROW()-24,COLUMN()*2-3))</f>
        <v/>
      </c>
      <c r="D53" t="str" cm="1">
        <f>IF(ISBLANK(INDEX(Array_OtherEnergyChargeData,ROW()-24,COLUMN()*2-3)),"",INDEX(Array_OtherEnergyChargeData,ROW()-24,COLUMN()*2-3))</f>
        <v/>
      </c>
      <c r="E53" t="str" cm="1">
        <f>IF(ISBLANK(INDEX(Array_OtherEnergyChargeData,ROW()-24,COLUMN()*2-3)),"",INDEX(Array_OtherEnergyChargeData,ROW()-24,COLUMN()*2-3))</f>
        <v/>
      </c>
      <c r="F53" t="str" cm="1">
        <f>IF(ISBLANK(INDEX(Array_OtherEnergyChargeData,ROW()-24,COLUMN()*2-3)),"",INDEX(Array_OtherEnergyChargeData,ROW()-24,COLUMN()*2-3))</f>
        <v/>
      </c>
    </row>
    <row r="54" spans="1:6" x14ac:dyDescent="0.35">
      <c r="A54" t="str">
        <f>IF('Other Energy Meters'!B32="",A53,'Other Energy Meters'!B32)</f>
        <v>Meter Numbers</v>
      </c>
      <c r="B54" t="str" cm="1">
        <f>IF(ISBLANK(INDEX(Array_OtherEnergyChargeData,ROW()-24,COLUMN()*2-3)),"",INDEX(Array_OtherEnergyChargeData,ROW()-24,COLUMN()*2-3))</f>
        <v/>
      </c>
      <c r="C54" t="str" cm="1">
        <f>IF(ISBLANK(INDEX(Array_OtherEnergyChargeData,ROW()-24,COLUMN()*2-3)),"",INDEX(Array_OtherEnergyChargeData,ROW()-24,COLUMN()*2-3))</f>
        <v/>
      </c>
      <c r="D54" t="str" cm="1">
        <f>IF(ISBLANK(INDEX(Array_OtherEnergyChargeData,ROW()-24,COLUMN()*2-3)),"",INDEX(Array_OtherEnergyChargeData,ROW()-24,COLUMN()*2-3))</f>
        <v/>
      </c>
      <c r="E54" t="str" cm="1">
        <f>IF(ISBLANK(INDEX(Array_OtherEnergyChargeData,ROW()-24,COLUMN()*2-3)),"",INDEX(Array_OtherEnergyChargeData,ROW()-24,COLUMN()*2-3))</f>
        <v/>
      </c>
      <c r="F54" t="str" cm="1">
        <f>IF(ISBLANK(INDEX(Array_OtherEnergyChargeData,ROW()-24,COLUMN()*2-3)),"",INDEX(Array_OtherEnergyChargeData,ROW()-24,COLUMN()*2-3))</f>
        <v/>
      </c>
    </row>
    <row r="55" spans="1:6" x14ac:dyDescent="0.35">
      <c r="A55" t="str">
        <f>IF('Other Energy Meters'!B33="",A54,'Other Energy Meters'!B33)</f>
        <v>Meter Numbers</v>
      </c>
      <c r="B55" t="str" cm="1">
        <f>IF(ISBLANK(INDEX(Array_OtherEnergyChargeData,ROW()-24,COLUMN()*2-3)),"",INDEX(Array_OtherEnergyChargeData,ROW()-24,COLUMN()*2-3))</f>
        <v/>
      </c>
      <c r="C55" t="str" cm="1">
        <f>IF(ISBLANK(INDEX(Array_OtherEnergyChargeData,ROW()-24,COLUMN()*2-3)),"",INDEX(Array_OtherEnergyChargeData,ROW()-24,COLUMN()*2-3))</f>
        <v/>
      </c>
      <c r="D55" t="str" cm="1">
        <f>IF(ISBLANK(INDEX(Array_OtherEnergyChargeData,ROW()-24,COLUMN()*2-3)),"",INDEX(Array_OtherEnergyChargeData,ROW()-24,COLUMN()*2-3))</f>
        <v/>
      </c>
      <c r="E55" t="str" cm="1">
        <f>IF(ISBLANK(INDEX(Array_OtherEnergyChargeData,ROW()-24,COLUMN()*2-3)),"",INDEX(Array_OtherEnergyChargeData,ROW()-24,COLUMN()*2-3))</f>
        <v/>
      </c>
      <c r="F55" t="str" cm="1">
        <f>IF(ISBLANK(INDEX(Array_OtherEnergyChargeData,ROW()-24,COLUMN()*2-3)),"",INDEX(Array_OtherEnergyChargeData,ROW()-24,COLUMN()*2-3))</f>
        <v/>
      </c>
    </row>
    <row r="56" spans="1:6" x14ac:dyDescent="0.35">
      <c r="A56" t="str">
        <f>IF('Other Energy Meters'!B34="",A55,'Other Energy Meters'!B34)</f>
        <v>Meter Numbers</v>
      </c>
      <c r="B56" t="str" cm="1">
        <f>IF(ISBLANK(INDEX(Array_OtherEnergyChargeData,ROW()-24,COLUMN()*2-3)),"",INDEX(Array_OtherEnergyChargeData,ROW()-24,COLUMN()*2-3))</f>
        <v/>
      </c>
      <c r="C56" t="str" cm="1">
        <f>IF(ISBLANK(INDEX(Array_OtherEnergyChargeData,ROW()-24,COLUMN()*2-3)),"",INDEX(Array_OtherEnergyChargeData,ROW()-24,COLUMN()*2-3))</f>
        <v/>
      </c>
      <c r="D56" t="str" cm="1">
        <f>IF(ISBLANK(INDEX(Array_OtherEnergyChargeData,ROW()-24,COLUMN()*2-3)),"",INDEX(Array_OtherEnergyChargeData,ROW()-24,COLUMN()*2-3))</f>
        <v/>
      </c>
      <c r="E56" t="str" cm="1">
        <f>IF(ISBLANK(INDEX(Array_OtherEnergyChargeData,ROW()-24,COLUMN()*2-3)),"",INDEX(Array_OtherEnergyChargeData,ROW()-24,COLUMN()*2-3))</f>
        <v/>
      </c>
      <c r="F56" t="str" cm="1">
        <f>IF(ISBLANK(INDEX(Array_OtherEnergyChargeData,ROW()-24,COLUMN()*2-3)),"",INDEX(Array_OtherEnergyChargeData,ROW()-24,COLUMN()*2-3))</f>
        <v/>
      </c>
    </row>
    <row r="57" spans="1:6" x14ac:dyDescent="0.35">
      <c r="A57" t="str">
        <f>IF('Other Energy Meters'!B35="",A56,'Other Energy Meters'!B35)</f>
        <v>Meter Numbers</v>
      </c>
      <c r="B57" t="str" cm="1">
        <f>IF(ISBLANK(INDEX(Array_OtherEnergyChargeData,ROW()-24,COLUMN()*2-3)),"",INDEX(Array_OtherEnergyChargeData,ROW()-24,COLUMN()*2-3))</f>
        <v/>
      </c>
      <c r="C57" t="str" cm="1">
        <f>IF(ISBLANK(INDEX(Array_OtherEnergyChargeData,ROW()-24,COLUMN()*2-3)),"",INDEX(Array_OtherEnergyChargeData,ROW()-24,COLUMN()*2-3))</f>
        <v/>
      </c>
      <c r="D57" t="str" cm="1">
        <f>IF(ISBLANK(INDEX(Array_OtherEnergyChargeData,ROW()-24,COLUMN()*2-3)),"",INDEX(Array_OtherEnergyChargeData,ROW()-24,COLUMN()*2-3))</f>
        <v/>
      </c>
      <c r="E57" t="str" cm="1">
        <f>IF(ISBLANK(INDEX(Array_OtherEnergyChargeData,ROW()-24,COLUMN()*2-3)),"",INDEX(Array_OtherEnergyChargeData,ROW()-24,COLUMN()*2-3))</f>
        <v/>
      </c>
      <c r="F57" t="str" cm="1">
        <f>IF(ISBLANK(INDEX(Array_OtherEnergyChargeData,ROW()-24,COLUMN()*2-3)),"",INDEX(Array_OtherEnergyChargeData,ROW()-24,COLUMN()*2-3))</f>
        <v/>
      </c>
    </row>
    <row r="58" spans="1:6" x14ac:dyDescent="0.35">
      <c r="A58" t="str">
        <f>IF('Other Energy Meters'!B36="",A57,'Other Energy Meters'!B36)</f>
        <v>Meter Numbers</v>
      </c>
      <c r="B58" t="str" cm="1">
        <f>IF(ISBLANK(INDEX(Array_OtherEnergyChargeData,ROW()-24,COLUMN()*2-3)),"",INDEX(Array_OtherEnergyChargeData,ROW()-24,COLUMN()*2-3))</f>
        <v/>
      </c>
      <c r="C58" t="str" cm="1">
        <f>IF(ISBLANK(INDEX(Array_OtherEnergyChargeData,ROW()-24,COLUMN()*2-3)),"",INDEX(Array_OtherEnergyChargeData,ROW()-24,COLUMN()*2-3))</f>
        <v/>
      </c>
      <c r="D58" t="str" cm="1">
        <f>IF(ISBLANK(INDEX(Array_OtherEnergyChargeData,ROW()-24,COLUMN()*2-3)),"",INDEX(Array_OtherEnergyChargeData,ROW()-24,COLUMN()*2-3))</f>
        <v/>
      </c>
      <c r="E58" t="str" cm="1">
        <f>IF(ISBLANK(INDEX(Array_OtherEnergyChargeData,ROW()-24,COLUMN()*2-3)),"",INDEX(Array_OtherEnergyChargeData,ROW()-24,COLUMN()*2-3))</f>
        <v/>
      </c>
      <c r="F58" t="str" cm="1">
        <f>IF(ISBLANK(INDEX(Array_OtherEnergyChargeData,ROW()-24,COLUMN()*2-3)),"",INDEX(Array_OtherEnergyChargeData,ROW()-24,COLUMN()*2-3))</f>
        <v/>
      </c>
    </row>
    <row r="59" spans="1:6" x14ac:dyDescent="0.35">
      <c r="A59" t="str">
        <f>IF('Other Energy Meters'!B37="",A58,'Other Energy Meters'!B37)</f>
        <v>Meter Numbers</v>
      </c>
      <c r="B59" t="str" cm="1">
        <f>IF(ISBLANK(INDEX(Array_OtherEnergyChargeData,ROW()-24,COLUMN()*2-3)),"",INDEX(Array_OtherEnergyChargeData,ROW()-24,COLUMN()*2-3))</f>
        <v/>
      </c>
      <c r="C59" t="str" cm="1">
        <f>IF(ISBLANK(INDEX(Array_OtherEnergyChargeData,ROW()-24,COLUMN()*2-3)),"",INDEX(Array_OtherEnergyChargeData,ROW()-24,COLUMN()*2-3))</f>
        <v/>
      </c>
      <c r="D59" t="str" cm="1">
        <f>IF(ISBLANK(INDEX(Array_OtherEnergyChargeData,ROW()-24,COLUMN()*2-3)),"",INDEX(Array_OtherEnergyChargeData,ROW()-24,COLUMN()*2-3))</f>
        <v/>
      </c>
      <c r="E59" t="str" cm="1">
        <f>IF(ISBLANK(INDEX(Array_OtherEnergyChargeData,ROW()-24,COLUMN()*2-3)),"",INDEX(Array_OtherEnergyChargeData,ROW()-24,COLUMN()*2-3))</f>
        <v/>
      </c>
      <c r="F59" t="str" cm="1">
        <f>IF(ISBLANK(INDEX(Array_OtherEnergyChargeData,ROW()-24,COLUMN()*2-3)),"",INDEX(Array_OtherEnergyChargeData,ROW()-24,COLUMN()*2-3))</f>
        <v/>
      </c>
    </row>
    <row r="60" spans="1:6" x14ac:dyDescent="0.35">
      <c r="A60" t="str">
        <f>IF('Other Energy Meters'!B38="",A59,'Other Energy Meters'!B38)</f>
        <v>Meter Numbers</v>
      </c>
      <c r="B60" t="str" cm="1">
        <f>IF(ISBLANK(INDEX(Array_OtherEnergyChargeData,ROW()-24,COLUMN()*2-3)),"",INDEX(Array_OtherEnergyChargeData,ROW()-24,COLUMN()*2-3))</f>
        <v/>
      </c>
      <c r="C60" t="str" cm="1">
        <f>IF(ISBLANK(INDEX(Array_OtherEnergyChargeData,ROW()-24,COLUMN()*2-3)),"",INDEX(Array_OtherEnergyChargeData,ROW()-24,COLUMN()*2-3))</f>
        <v/>
      </c>
      <c r="D60" t="str" cm="1">
        <f>IF(ISBLANK(INDEX(Array_OtherEnergyChargeData,ROW()-24,COLUMN()*2-3)),"",INDEX(Array_OtherEnergyChargeData,ROW()-24,COLUMN()*2-3))</f>
        <v/>
      </c>
      <c r="E60" t="str" cm="1">
        <f>IF(ISBLANK(INDEX(Array_OtherEnergyChargeData,ROW()-24,COLUMN()*2-3)),"",INDEX(Array_OtherEnergyChargeData,ROW()-24,COLUMN()*2-3))</f>
        <v/>
      </c>
      <c r="F60" t="str" cm="1">
        <f>IF(ISBLANK(INDEX(Array_OtherEnergyChargeData,ROW()-24,COLUMN()*2-3)),"",INDEX(Array_OtherEnergyChargeData,ROW()-24,COLUMN()*2-3))</f>
        <v/>
      </c>
    </row>
    <row r="61" spans="1:6" x14ac:dyDescent="0.35">
      <c r="A61" t="str">
        <f>IF('Other Energy Meters'!B39="",A60,'Other Energy Meters'!B39)</f>
        <v>Meter Numbers</v>
      </c>
      <c r="B61" t="str" cm="1">
        <f>IF(ISBLANK(INDEX(Array_OtherEnergyChargeData,ROW()-24,COLUMN()*2-3)),"",INDEX(Array_OtherEnergyChargeData,ROW()-24,COLUMN()*2-3))</f>
        <v/>
      </c>
      <c r="C61" t="str" cm="1">
        <f>IF(ISBLANK(INDEX(Array_OtherEnergyChargeData,ROW()-24,COLUMN()*2-3)),"",INDEX(Array_OtherEnergyChargeData,ROW()-24,COLUMN()*2-3))</f>
        <v/>
      </c>
      <c r="D61" t="str" cm="1">
        <f>IF(ISBLANK(INDEX(Array_OtherEnergyChargeData,ROW()-24,COLUMN()*2-3)),"",INDEX(Array_OtherEnergyChargeData,ROW()-24,COLUMN()*2-3))</f>
        <v/>
      </c>
      <c r="E61" t="str" cm="1">
        <f>IF(ISBLANK(INDEX(Array_OtherEnergyChargeData,ROW()-24,COLUMN()*2-3)),"",INDEX(Array_OtherEnergyChargeData,ROW()-24,COLUMN()*2-3))</f>
        <v/>
      </c>
      <c r="F61" t="str" cm="1">
        <f>IF(ISBLANK(INDEX(Array_OtherEnergyChargeData,ROW()-24,COLUMN()*2-3)),"",INDEX(Array_OtherEnergyChargeData,ROW()-24,COLUMN()*2-3))</f>
        <v/>
      </c>
    </row>
    <row r="62" spans="1:6" x14ac:dyDescent="0.35">
      <c r="A62" t="str">
        <f>IF('Other Energy Meters'!B40="",A61,'Other Energy Meters'!B40)</f>
        <v>Meter Numbers</v>
      </c>
      <c r="B62" t="str" cm="1">
        <f>IF(ISBLANK(INDEX(Array_OtherEnergyChargeData,ROW()-24,COLUMN()*2-3)),"",INDEX(Array_OtherEnergyChargeData,ROW()-24,COLUMN()*2-3))</f>
        <v/>
      </c>
      <c r="C62" t="str" cm="1">
        <f>IF(ISBLANK(INDEX(Array_OtherEnergyChargeData,ROW()-24,COLUMN()*2-3)),"",INDEX(Array_OtherEnergyChargeData,ROW()-24,COLUMN()*2-3))</f>
        <v/>
      </c>
      <c r="D62" t="str" cm="1">
        <f>IF(ISBLANK(INDEX(Array_OtherEnergyChargeData,ROW()-24,COLUMN()*2-3)),"",INDEX(Array_OtherEnergyChargeData,ROW()-24,COLUMN()*2-3))</f>
        <v/>
      </c>
      <c r="E62" t="str" cm="1">
        <f>IF(ISBLANK(INDEX(Array_OtherEnergyChargeData,ROW()-24,COLUMN()*2-3)),"",INDEX(Array_OtherEnergyChargeData,ROW()-24,COLUMN()*2-3))</f>
        <v/>
      </c>
      <c r="F62" t="str" cm="1">
        <f>IF(ISBLANK(INDEX(Array_OtherEnergyChargeData,ROW()-24,COLUMN()*2-3)),"",INDEX(Array_OtherEnergyChargeData,ROW()-24,COLUMN()*2-3))</f>
        <v/>
      </c>
    </row>
    <row r="63" spans="1:6" x14ac:dyDescent="0.35">
      <c r="A63" t="str">
        <f>IF('Other Energy Meters'!B41="",A62,'Other Energy Meters'!B41)</f>
        <v>Meter Numbers</v>
      </c>
      <c r="B63" t="str" cm="1">
        <f>IF(ISBLANK(INDEX(Array_OtherEnergyChargeData,ROW()-24,COLUMN()*2-3)),"",INDEX(Array_OtherEnergyChargeData,ROW()-24,COLUMN()*2-3))</f>
        <v/>
      </c>
      <c r="C63" t="str" cm="1">
        <f>IF(ISBLANK(INDEX(Array_OtherEnergyChargeData,ROW()-24,COLUMN()*2-3)),"",INDEX(Array_OtherEnergyChargeData,ROW()-24,COLUMN()*2-3))</f>
        <v/>
      </c>
      <c r="D63" t="str" cm="1">
        <f>IF(ISBLANK(INDEX(Array_OtherEnergyChargeData,ROW()-24,COLUMN()*2-3)),"",INDEX(Array_OtherEnergyChargeData,ROW()-24,COLUMN()*2-3))</f>
        <v/>
      </c>
      <c r="E63" t="str" cm="1">
        <f>IF(ISBLANK(INDEX(Array_OtherEnergyChargeData,ROW()-24,COLUMN()*2-3)),"",INDEX(Array_OtherEnergyChargeData,ROW()-24,COLUMN()*2-3))</f>
        <v/>
      </c>
      <c r="F63" t="str" cm="1">
        <f>IF(ISBLANK(INDEX(Array_OtherEnergyChargeData,ROW()-24,COLUMN()*2-3)),"",INDEX(Array_OtherEnergyChargeData,ROW()-24,COLUMN()*2-3))</f>
        <v/>
      </c>
    </row>
    <row r="64" spans="1:6" x14ac:dyDescent="0.35">
      <c r="A64" t="str">
        <f>IF('Other Energy Meters'!B42="",A63,'Other Energy Meters'!B42)</f>
        <v>Meter Numbers</v>
      </c>
      <c r="B64" t="str" cm="1">
        <f>IF(ISBLANK(INDEX(Array_OtherEnergyChargeData,ROW()-24,COLUMN()*2-3)),"",INDEX(Array_OtherEnergyChargeData,ROW()-24,COLUMN()*2-3))</f>
        <v/>
      </c>
      <c r="C64" t="str" cm="1">
        <f>IF(ISBLANK(INDEX(Array_OtherEnergyChargeData,ROW()-24,COLUMN()*2-3)),"",INDEX(Array_OtherEnergyChargeData,ROW()-24,COLUMN()*2-3))</f>
        <v/>
      </c>
      <c r="D64" t="str" cm="1">
        <f>IF(ISBLANK(INDEX(Array_OtherEnergyChargeData,ROW()-24,COLUMN()*2-3)),"",INDEX(Array_OtherEnergyChargeData,ROW()-24,COLUMN()*2-3))</f>
        <v/>
      </c>
      <c r="E64" t="str" cm="1">
        <f>IF(ISBLANK(INDEX(Array_OtherEnergyChargeData,ROW()-24,COLUMN()*2-3)),"",INDEX(Array_OtherEnergyChargeData,ROW()-24,COLUMN()*2-3))</f>
        <v/>
      </c>
      <c r="F64" t="str" cm="1">
        <f>IF(ISBLANK(INDEX(Array_OtherEnergyChargeData,ROW()-24,COLUMN()*2-3)),"",INDEX(Array_OtherEnergyChargeData,ROW()-24,COLUMN()*2-3))</f>
        <v/>
      </c>
    </row>
    <row r="65" spans="1:6" x14ac:dyDescent="0.35">
      <c r="A65" t="str">
        <f>IF('Other Energy Meters'!B43="",A64,'Other Energy Meters'!B43)</f>
        <v>Meter Numbers</v>
      </c>
      <c r="B65" t="str" cm="1">
        <f>IF(ISBLANK(INDEX(Array_OtherEnergyChargeData,ROW()-24,COLUMN()*2-3)),"",INDEX(Array_OtherEnergyChargeData,ROW()-24,COLUMN()*2-3))</f>
        <v/>
      </c>
      <c r="C65" t="str" cm="1">
        <f>IF(ISBLANK(INDEX(Array_OtherEnergyChargeData,ROW()-24,COLUMN()*2-3)),"",INDEX(Array_OtherEnergyChargeData,ROW()-24,COLUMN()*2-3))</f>
        <v/>
      </c>
      <c r="D65" t="str" cm="1">
        <f>IF(ISBLANK(INDEX(Array_OtherEnergyChargeData,ROW()-24,COLUMN()*2-3)),"",INDEX(Array_OtherEnergyChargeData,ROW()-24,COLUMN()*2-3))</f>
        <v/>
      </c>
      <c r="E65" t="str" cm="1">
        <f>IF(ISBLANK(INDEX(Array_OtherEnergyChargeData,ROW()-24,COLUMN()*2-3)),"",INDEX(Array_OtherEnergyChargeData,ROW()-24,COLUMN()*2-3))</f>
        <v/>
      </c>
      <c r="F65" t="str" cm="1">
        <f>IF(ISBLANK(INDEX(Array_OtherEnergyChargeData,ROW()-24,COLUMN()*2-3)),"",INDEX(Array_OtherEnergyChargeData,ROW()-24,COLUMN()*2-3))</f>
        <v/>
      </c>
    </row>
    <row r="66" spans="1:6" x14ac:dyDescent="0.35">
      <c r="A66" t="str">
        <f>IF('Other Energy Meters'!B44="",A65,'Other Energy Meters'!B44)</f>
        <v>Meter Numbers</v>
      </c>
      <c r="B66" t="str" cm="1">
        <f>IF(ISBLANK(INDEX(Array_OtherEnergyChargeData,ROW()-24,COLUMN()*2-3)),"",INDEX(Array_OtherEnergyChargeData,ROW()-24,COLUMN()*2-3))</f>
        <v/>
      </c>
      <c r="C66" t="str" cm="1">
        <f>IF(ISBLANK(INDEX(Array_OtherEnergyChargeData,ROW()-24,COLUMN()*2-3)),"",INDEX(Array_OtherEnergyChargeData,ROW()-24,COLUMN()*2-3))</f>
        <v/>
      </c>
      <c r="D66" t="str" cm="1">
        <f>IF(ISBLANK(INDEX(Array_OtherEnergyChargeData,ROW()-24,COLUMN()*2-3)),"",INDEX(Array_OtherEnergyChargeData,ROW()-24,COLUMN()*2-3))</f>
        <v/>
      </c>
      <c r="E66" t="str" cm="1">
        <f>IF(ISBLANK(INDEX(Array_OtherEnergyChargeData,ROW()-24,COLUMN()*2-3)),"",INDEX(Array_OtherEnergyChargeData,ROW()-24,COLUMN()*2-3))</f>
        <v/>
      </c>
      <c r="F66" t="str" cm="1">
        <f>IF(ISBLANK(INDEX(Array_OtherEnergyChargeData,ROW()-24,COLUMN()*2-3)),"",INDEX(Array_OtherEnergyChargeData,ROW()-24,COLUMN()*2-3))</f>
        <v/>
      </c>
    </row>
    <row r="67" spans="1:6" x14ac:dyDescent="0.35">
      <c r="A67" t="str">
        <f>IF('Other Energy Meters'!B45="",A66,'Other Energy Meters'!B45)</f>
        <v>Meter Numbers</v>
      </c>
      <c r="B67" t="str" cm="1">
        <f>IF(ISBLANK(INDEX(Array_OtherEnergyChargeData,ROW()-24,COLUMN()*2-3)),"",INDEX(Array_OtherEnergyChargeData,ROW()-24,COLUMN()*2-3))</f>
        <v/>
      </c>
      <c r="C67" t="str" cm="1">
        <f>IF(ISBLANK(INDEX(Array_OtherEnergyChargeData,ROW()-24,COLUMN()*2-3)),"",INDEX(Array_OtherEnergyChargeData,ROW()-24,COLUMN()*2-3))</f>
        <v/>
      </c>
      <c r="D67" t="str" cm="1">
        <f>IF(ISBLANK(INDEX(Array_OtherEnergyChargeData,ROW()-24,COLUMN()*2-3)),"",INDEX(Array_OtherEnergyChargeData,ROW()-24,COLUMN()*2-3))</f>
        <v/>
      </c>
      <c r="E67" t="str" cm="1">
        <f>IF(ISBLANK(INDEX(Array_OtherEnergyChargeData,ROW()-24,COLUMN()*2-3)),"",INDEX(Array_OtherEnergyChargeData,ROW()-24,COLUMN()*2-3))</f>
        <v/>
      </c>
      <c r="F67" t="str" cm="1">
        <f>IF(ISBLANK(INDEX(Array_OtherEnergyChargeData,ROW()-24,COLUMN()*2-3)),"",INDEX(Array_OtherEnergyChargeData,ROW()-24,COLUMN()*2-3))</f>
        <v/>
      </c>
    </row>
    <row r="68" spans="1:6" x14ac:dyDescent="0.35">
      <c r="A68" t="str">
        <f>IF('Other Energy Meters'!B46="",A67,'Other Energy Meters'!B46)</f>
        <v>Meter Numbers</v>
      </c>
      <c r="B68" t="str" cm="1">
        <f>IF(ISBLANK(INDEX(Array_OtherEnergyChargeData,ROW()-24,COLUMN()*2-3)),"",INDEX(Array_OtherEnergyChargeData,ROW()-24,COLUMN()*2-3))</f>
        <v/>
      </c>
      <c r="C68" t="str" cm="1">
        <f>IF(ISBLANK(INDEX(Array_OtherEnergyChargeData,ROW()-24,COLUMN()*2-3)),"",INDEX(Array_OtherEnergyChargeData,ROW()-24,COLUMN()*2-3))</f>
        <v/>
      </c>
      <c r="D68" t="str" cm="1">
        <f>IF(ISBLANK(INDEX(Array_OtherEnergyChargeData,ROW()-24,COLUMN()*2-3)),"",INDEX(Array_OtherEnergyChargeData,ROW()-24,COLUMN()*2-3))</f>
        <v/>
      </c>
      <c r="E68" t="str" cm="1">
        <f>IF(ISBLANK(INDEX(Array_OtherEnergyChargeData,ROW()-24,COLUMN()*2-3)),"",INDEX(Array_OtherEnergyChargeData,ROW()-24,COLUMN()*2-3))</f>
        <v/>
      </c>
      <c r="F68" t="str" cm="1">
        <f>IF(ISBLANK(INDEX(Array_OtherEnergyChargeData,ROW()-24,COLUMN()*2-3)),"",INDEX(Array_OtherEnergyChargeData,ROW()-24,COLUMN()*2-3))</f>
        <v/>
      </c>
    </row>
    <row r="69" spans="1:6" x14ac:dyDescent="0.35">
      <c r="A69" t="str">
        <f>IF('Other Energy Meters'!B47="",A68,'Other Energy Meters'!B47)</f>
        <v>Meter Numbers</v>
      </c>
      <c r="B69" t="str" cm="1">
        <f>IF(ISBLANK(INDEX(Array_OtherEnergyChargeData,ROW()-24,COLUMN()*2-3)),"",INDEX(Array_OtherEnergyChargeData,ROW()-24,COLUMN()*2-3))</f>
        <v/>
      </c>
      <c r="C69" t="str" cm="1">
        <f>IF(ISBLANK(INDEX(Array_OtherEnergyChargeData,ROW()-24,COLUMN()*2-3)),"",INDEX(Array_OtherEnergyChargeData,ROW()-24,COLUMN()*2-3))</f>
        <v/>
      </c>
      <c r="D69" t="str" cm="1">
        <f>IF(ISBLANK(INDEX(Array_OtherEnergyChargeData,ROW()-24,COLUMN()*2-3)),"",INDEX(Array_OtherEnergyChargeData,ROW()-24,COLUMN()*2-3))</f>
        <v/>
      </c>
      <c r="E69" t="str" cm="1">
        <f>IF(ISBLANK(INDEX(Array_OtherEnergyChargeData,ROW()-24,COLUMN()*2-3)),"",INDEX(Array_OtherEnergyChargeData,ROW()-24,COLUMN()*2-3))</f>
        <v/>
      </c>
      <c r="F69" t="str" cm="1">
        <f>IF(ISBLANK(INDEX(Array_OtherEnergyChargeData,ROW()-24,COLUMN()*2-3)),"",INDEX(Array_OtherEnergyChargeData,ROW()-24,COLUMN()*2-3))</f>
        <v/>
      </c>
    </row>
    <row r="70" spans="1:6" x14ac:dyDescent="0.35">
      <c r="A70" t="str">
        <f>IF('Other Energy Meters'!B48="",A69,'Other Energy Meters'!B48)</f>
        <v>Meter Numbers</v>
      </c>
      <c r="B70" t="str" cm="1">
        <f>IF(ISBLANK(INDEX(Array_OtherEnergyChargeData,ROW()-24,COLUMN()*2-3)),"",INDEX(Array_OtherEnergyChargeData,ROW()-24,COLUMN()*2-3))</f>
        <v/>
      </c>
      <c r="C70" t="str" cm="1">
        <f>IF(ISBLANK(INDEX(Array_OtherEnergyChargeData,ROW()-24,COLUMN()*2-3)),"",INDEX(Array_OtherEnergyChargeData,ROW()-24,COLUMN()*2-3))</f>
        <v/>
      </c>
      <c r="D70" t="str" cm="1">
        <f>IF(ISBLANK(INDEX(Array_OtherEnergyChargeData,ROW()-24,COLUMN()*2-3)),"",INDEX(Array_OtherEnergyChargeData,ROW()-24,COLUMN()*2-3))</f>
        <v/>
      </c>
      <c r="E70" t="str" cm="1">
        <f>IF(ISBLANK(INDEX(Array_OtherEnergyChargeData,ROW()-24,COLUMN()*2-3)),"",INDEX(Array_OtherEnergyChargeData,ROW()-24,COLUMN()*2-3))</f>
        <v/>
      </c>
      <c r="F70" t="str" cm="1">
        <f>IF(ISBLANK(INDEX(Array_OtherEnergyChargeData,ROW()-24,COLUMN()*2-3)),"",INDEX(Array_OtherEnergyChargeData,ROW()-24,COLUMN()*2-3))</f>
        <v/>
      </c>
    </row>
    <row r="71" spans="1:6" x14ac:dyDescent="0.35">
      <c r="A71" t="str">
        <f>IF('Other Energy Meters'!B49="",A70,'Other Energy Meters'!B49)</f>
        <v>Meter Numbers</v>
      </c>
      <c r="B71" t="str" cm="1">
        <f>IF(ISBLANK(INDEX(Array_OtherEnergyChargeData,ROW()-24,COLUMN()*2-3)),"",INDEX(Array_OtherEnergyChargeData,ROW()-24,COLUMN()*2-3))</f>
        <v/>
      </c>
      <c r="C71" t="str" cm="1">
        <f>IF(ISBLANK(INDEX(Array_OtherEnergyChargeData,ROW()-24,COLUMN()*2-3)),"",INDEX(Array_OtherEnergyChargeData,ROW()-24,COLUMN()*2-3))</f>
        <v/>
      </c>
      <c r="D71" t="str" cm="1">
        <f>IF(ISBLANK(INDEX(Array_OtherEnergyChargeData,ROW()-24,COLUMN()*2-3)),"",INDEX(Array_OtherEnergyChargeData,ROW()-24,COLUMN()*2-3))</f>
        <v/>
      </c>
      <c r="E71" t="str" cm="1">
        <f>IF(ISBLANK(INDEX(Array_OtherEnergyChargeData,ROW()-24,COLUMN()*2-3)),"",INDEX(Array_OtherEnergyChargeData,ROW()-24,COLUMN()*2-3))</f>
        <v/>
      </c>
      <c r="F71" t="str" cm="1">
        <f>IF(ISBLANK(INDEX(Array_OtherEnergyChargeData,ROW()-24,COLUMN()*2-3)),"",INDEX(Array_OtherEnergyChargeData,ROW()-24,COLUMN()*2-3))</f>
        <v/>
      </c>
    </row>
    <row r="72" spans="1:6" x14ac:dyDescent="0.35">
      <c r="A72" t="str">
        <f>IF('Other Energy Meters'!B50="",A71,'Other Energy Meters'!B50)</f>
        <v>Meter Numbers</v>
      </c>
      <c r="B72" t="str" cm="1">
        <f>IF(ISBLANK(INDEX(Array_OtherEnergyChargeData,ROW()-24,COLUMN()*2-3)),"",INDEX(Array_OtherEnergyChargeData,ROW()-24,COLUMN()*2-3))</f>
        <v/>
      </c>
      <c r="C72" t="str" cm="1">
        <f>IF(ISBLANK(INDEX(Array_OtherEnergyChargeData,ROW()-24,COLUMN()*2-3)),"",INDEX(Array_OtherEnergyChargeData,ROW()-24,COLUMN()*2-3))</f>
        <v/>
      </c>
      <c r="D72" t="str" cm="1">
        <f>IF(ISBLANK(INDEX(Array_OtherEnergyChargeData,ROW()-24,COLUMN()*2-3)),"",INDEX(Array_OtherEnergyChargeData,ROW()-24,COLUMN()*2-3))</f>
        <v/>
      </c>
      <c r="E72" t="str" cm="1">
        <f>IF(ISBLANK(INDEX(Array_OtherEnergyChargeData,ROW()-24,COLUMN()*2-3)),"",INDEX(Array_OtherEnergyChargeData,ROW()-24,COLUMN()*2-3))</f>
        <v/>
      </c>
      <c r="F72" t="str" cm="1">
        <f>IF(ISBLANK(INDEX(Array_OtherEnergyChargeData,ROW()-24,COLUMN()*2-3)),"",INDEX(Array_OtherEnergyChargeData,ROW()-24,COLUMN()*2-3))</f>
        <v/>
      </c>
    </row>
    <row r="73" spans="1:6" x14ac:dyDescent="0.35">
      <c r="A73" t="str">
        <f>IF('Other Energy Meters'!B51="",A72,'Other Energy Meters'!B51)</f>
        <v>Meter Numbers</v>
      </c>
      <c r="B73" t="str" cm="1">
        <f>IF(ISBLANK(INDEX(Array_OtherEnergyChargeData,ROW()-24,COLUMN()*2-3)),"",INDEX(Array_OtherEnergyChargeData,ROW()-24,COLUMN()*2-3))</f>
        <v/>
      </c>
      <c r="C73" t="str" cm="1">
        <f>IF(ISBLANK(INDEX(Array_OtherEnergyChargeData,ROW()-24,COLUMN()*2-3)),"",INDEX(Array_OtherEnergyChargeData,ROW()-24,COLUMN()*2-3))</f>
        <v/>
      </c>
      <c r="D73" t="str" cm="1">
        <f>IF(ISBLANK(INDEX(Array_OtherEnergyChargeData,ROW()-24,COLUMN()*2-3)),"",INDEX(Array_OtherEnergyChargeData,ROW()-24,COLUMN()*2-3))</f>
        <v/>
      </c>
      <c r="E73" t="str" cm="1">
        <f>IF(ISBLANK(INDEX(Array_OtherEnergyChargeData,ROW()-24,COLUMN()*2-3)),"",INDEX(Array_OtherEnergyChargeData,ROW()-24,COLUMN()*2-3))</f>
        <v/>
      </c>
      <c r="F73" t="str" cm="1">
        <f>IF(ISBLANK(INDEX(Array_OtherEnergyChargeData,ROW()-24,COLUMN()*2-3)),"",INDEX(Array_OtherEnergyChargeData,ROW()-24,COLUMN()*2-3))</f>
        <v/>
      </c>
    </row>
    <row r="74" spans="1:6" x14ac:dyDescent="0.35">
      <c r="A74" t="str">
        <f>IF('Other Energy Meters'!B52="",A73,'Other Energy Meters'!B52)</f>
        <v>Meter Numbers</v>
      </c>
      <c r="B74" t="str" cm="1">
        <f>IF(ISBLANK(INDEX(Array_OtherEnergyChargeData,ROW()-24,COLUMN()*2-3)),"",INDEX(Array_OtherEnergyChargeData,ROW()-24,COLUMN()*2-3))</f>
        <v/>
      </c>
      <c r="C74" t="str" cm="1">
        <f>IF(ISBLANK(INDEX(Array_OtherEnergyChargeData,ROW()-24,COLUMN()*2-3)),"",INDEX(Array_OtherEnergyChargeData,ROW()-24,COLUMN()*2-3))</f>
        <v/>
      </c>
      <c r="D74" t="str" cm="1">
        <f>IF(ISBLANK(INDEX(Array_OtherEnergyChargeData,ROW()-24,COLUMN()*2-3)),"",INDEX(Array_OtherEnergyChargeData,ROW()-24,COLUMN()*2-3))</f>
        <v/>
      </c>
      <c r="E74" t="str" cm="1">
        <f>IF(ISBLANK(INDEX(Array_OtherEnergyChargeData,ROW()-24,COLUMN()*2-3)),"",INDEX(Array_OtherEnergyChargeData,ROW()-24,COLUMN()*2-3))</f>
        <v/>
      </c>
      <c r="F74" t="str" cm="1">
        <f>IF(ISBLANK(INDEX(Array_OtherEnergyChargeData,ROW()-24,COLUMN()*2-3)),"",INDEX(Array_OtherEnergyChargeData,ROW()-24,COLUMN()*2-3))</f>
        <v/>
      </c>
    </row>
    <row r="75" spans="1:6" x14ac:dyDescent="0.35">
      <c r="A75" t="str">
        <f>IF('Other Energy Meters'!B53="",A74,'Other Energy Meters'!B53)</f>
        <v>Meter Numbers</v>
      </c>
      <c r="B75" t="str" cm="1">
        <f>IF(ISBLANK(INDEX(Array_OtherEnergyChargeData,ROW()-24,COLUMN()*2-3)),"",INDEX(Array_OtherEnergyChargeData,ROW()-24,COLUMN()*2-3))</f>
        <v/>
      </c>
      <c r="C75" t="str" cm="1">
        <f>IF(ISBLANK(INDEX(Array_OtherEnergyChargeData,ROW()-24,COLUMN()*2-3)),"",INDEX(Array_OtherEnergyChargeData,ROW()-24,COLUMN()*2-3))</f>
        <v/>
      </c>
      <c r="D75" t="str" cm="1">
        <f>IF(ISBLANK(INDEX(Array_OtherEnergyChargeData,ROW()-24,COLUMN()*2-3)),"",INDEX(Array_OtherEnergyChargeData,ROW()-24,COLUMN()*2-3))</f>
        <v/>
      </c>
      <c r="E75" t="str" cm="1">
        <f>IF(ISBLANK(INDEX(Array_OtherEnergyChargeData,ROW()-24,COLUMN()*2-3)),"",INDEX(Array_OtherEnergyChargeData,ROW()-24,COLUMN()*2-3))</f>
        <v/>
      </c>
      <c r="F75" t="str" cm="1">
        <f>IF(ISBLANK(INDEX(Array_OtherEnergyChargeData,ROW()-24,COLUMN()*2-3)),"",INDEX(Array_OtherEnergyChargeData,ROW()-24,COLUMN()*2-3))</f>
        <v/>
      </c>
    </row>
    <row r="76" spans="1:6" x14ac:dyDescent="0.35">
      <c r="A76" t="str">
        <f>IF('Other Energy Meters'!B54="",A75,'Other Energy Meters'!B54)</f>
        <v>Meter Numbers</v>
      </c>
      <c r="B76" t="str" cm="1">
        <f>IF(ISBLANK(INDEX(Array_OtherEnergyChargeData,ROW()-24,COLUMN()*2-3)),"",INDEX(Array_OtherEnergyChargeData,ROW()-24,COLUMN()*2-3))</f>
        <v/>
      </c>
      <c r="C76" t="str" cm="1">
        <f>IF(ISBLANK(INDEX(Array_OtherEnergyChargeData,ROW()-24,COLUMN()*2-3)),"",INDEX(Array_OtherEnergyChargeData,ROW()-24,COLUMN()*2-3))</f>
        <v/>
      </c>
      <c r="D76" t="str" cm="1">
        <f>IF(ISBLANK(INDEX(Array_OtherEnergyChargeData,ROW()-24,COLUMN()*2-3)),"",INDEX(Array_OtherEnergyChargeData,ROW()-24,COLUMN()*2-3))</f>
        <v/>
      </c>
      <c r="E76" t="str" cm="1">
        <f>IF(ISBLANK(INDEX(Array_OtherEnergyChargeData,ROW()-24,COLUMN()*2-3)),"",INDEX(Array_OtherEnergyChargeData,ROW()-24,COLUMN()*2-3))</f>
        <v/>
      </c>
      <c r="F76" t="str" cm="1">
        <f>IF(ISBLANK(INDEX(Array_OtherEnergyChargeData,ROW()-24,COLUMN()*2-3)),"",INDEX(Array_OtherEnergyChargeData,ROW()-24,COLUMN()*2-3))</f>
        <v/>
      </c>
    </row>
    <row r="77" spans="1:6" x14ac:dyDescent="0.35">
      <c r="A77" t="str">
        <f>IF('Other Energy Meters'!B55="",A76,'Other Energy Meters'!B55)</f>
        <v>Meter Numbers</v>
      </c>
      <c r="B77" t="str" cm="1">
        <f>IF(ISBLANK(INDEX(Array_OtherEnergyChargeData,ROW()-24,COLUMN()*2-3)),"",INDEX(Array_OtherEnergyChargeData,ROW()-24,COLUMN()*2-3))</f>
        <v/>
      </c>
      <c r="C77" t="str" cm="1">
        <f>IF(ISBLANK(INDEX(Array_OtherEnergyChargeData,ROW()-24,COLUMN()*2-3)),"",INDEX(Array_OtherEnergyChargeData,ROW()-24,COLUMN()*2-3))</f>
        <v/>
      </c>
      <c r="D77" t="str" cm="1">
        <f>IF(ISBLANK(INDEX(Array_OtherEnergyChargeData,ROW()-24,COLUMN()*2-3)),"",INDEX(Array_OtherEnergyChargeData,ROW()-24,COLUMN()*2-3))</f>
        <v/>
      </c>
      <c r="E77" t="str" cm="1">
        <f>IF(ISBLANK(INDEX(Array_OtherEnergyChargeData,ROW()-24,COLUMN()*2-3)),"",INDEX(Array_OtherEnergyChargeData,ROW()-24,COLUMN()*2-3))</f>
        <v/>
      </c>
      <c r="F77" t="str" cm="1">
        <f>IF(ISBLANK(INDEX(Array_OtherEnergyChargeData,ROW()-24,COLUMN()*2-3)),"",INDEX(Array_OtherEnergyChargeData,ROW()-24,COLUMN()*2-3))</f>
        <v/>
      </c>
    </row>
    <row r="78" spans="1:6" x14ac:dyDescent="0.35">
      <c r="A78" t="str">
        <f>IF('Other Energy Meters'!B56="",A77,'Other Energy Meters'!B56)</f>
        <v>Meter Numbers</v>
      </c>
      <c r="B78" t="str" cm="1">
        <f>IF(ISBLANK(INDEX(Array_OtherEnergyChargeData,ROW()-24,COLUMN()*2-3)),"",INDEX(Array_OtherEnergyChargeData,ROW()-24,COLUMN()*2-3))</f>
        <v/>
      </c>
      <c r="C78" t="str" cm="1">
        <f>IF(ISBLANK(INDEX(Array_OtherEnergyChargeData,ROW()-24,COLUMN()*2-3)),"",INDEX(Array_OtherEnergyChargeData,ROW()-24,COLUMN()*2-3))</f>
        <v/>
      </c>
      <c r="D78" t="str" cm="1">
        <f>IF(ISBLANK(INDEX(Array_OtherEnergyChargeData,ROW()-24,COLUMN()*2-3)),"",INDEX(Array_OtherEnergyChargeData,ROW()-24,COLUMN()*2-3))</f>
        <v/>
      </c>
      <c r="E78" t="str" cm="1">
        <f>IF(ISBLANK(INDEX(Array_OtherEnergyChargeData,ROW()-24,COLUMN()*2-3)),"",INDEX(Array_OtherEnergyChargeData,ROW()-24,COLUMN()*2-3))</f>
        <v/>
      </c>
      <c r="F78" t="str" cm="1">
        <f>IF(ISBLANK(INDEX(Array_OtherEnergyChargeData,ROW()-24,COLUMN()*2-3)),"",INDEX(Array_OtherEnergyChargeData,ROW()-24,COLUMN()*2-3))</f>
        <v/>
      </c>
    </row>
    <row r="79" spans="1:6" x14ac:dyDescent="0.35">
      <c r="A79" t="str">
        <f>IF('Other Energy Meters'!B57="",A78,'Other Energy Meters'!B57)</f>
        <v>Meter Numbers</v>
      </c>
      <c r="B79" t="str" cm="1">
        <f>IF(ISBLANK(INDEX(Array_OtherEnergyChargeData,ROW()-24,COLUMN()*2-3)),"",INDEX(Array_OtherEnergyChargeData,ROW()-24,COLUMN()*2-3))</f>
        <v/>
      </c>
      <c r="C79" t="str" cm="1">
        <f>IF(ISBLANK(INDEX(Array_OtherEnergyChargeData,ROW()-24,COLUMN()*2-3)),"",INDEX(Array_OtherEnergyChargeData,ROW()-24,COLUMN()*2-3))</f>
        <v/>
      </c>
      <c r="D79" t="str" cm="1">
        <f>IF(ISBLANK(INDEX(Array_OtherEnergyChargeData,ROW()-24,COLUMN()*2-3)),"",INDEX(Array_OtherEnergyChargeData,ROW()-24,COLUMN()*2-3))</f>
        <v/>
      </c>
      <c r="E79" t="str" cm="1">
        <f>IF(ISBLANK(INDEX(Array_OtherEnergyChargeData,ROW()-24,COLUMN()*2-3)),"",INDEX(Array_OtherEnergyChargeData,ROW()-24,COLUMN()*2-3))</f>
        <v/>
      </c>
      <c r="F79" t="str" cm="1">
        <f>IF(ISBLANK(INDEX(Array_OtherEnergyChargeData,ROW()-24,COLUMN()*2-3)),"",INDEX(Array_OtherEnergyChargeData,ROW()-24,COLUMN()*2-3))</f>
        <v/>
      </c>
    </row>
    <row r="80" spans="1:6" x14ac:dyDescent="0.35">
      <c r="A80" t="str">
        <f>IF('Other Energy Meters'!B58="",A79,'Other Energy Meters'!B58)</f>
        <v>Meter Numbers</v>
      </c>
      <c r="B80" t="str" cm="1">
        <f>IF(ISBLANK(INDEX(Array_OtherEnergyChargeData,ROW()-24,COLUMN()*2-3)),"",INDEX(Array_OtherEnergyChargeData,ROW()-24,COLUMN()*2-3))</f>
        <v/>
      </c>
      <c r="C80" t="str" cm="1">
        <f>IF(ISBLANK(INDEX(Array_OtherEnergyChargeData,ROW()-24,COLUMN()*2-3)),"",INDEX(Array_OtherEnergyChargeData,ROW()-24,COLUMN()*2-3))</f>
        <v/>
      </c>
      <c r="D80" t="str" cm="1">
        <f>IF(ISBLANK(INDEX(Array_OtherEnergyChargeData,ROW()-24,COLUMN()*2-3)),"",INDEX(Array_OtherEnergyChargeData,ROW()-24,COLUMN()*2-3))</f>
        <v/>
      </c>
      <c r="E80" t="str" cm="1">
        <f>IF(ISBLANK(INDEX(Array_OtherEnergyChargeData,ROW()-24,COLUMN()*2-3)),"",INDEX(Array_OtherEnergyChargeData,ROW()-24,COLUMN()*2-3))</f>
        <v/>
      </c>
      <c r="F80" t="str" cm="1">
        <f>IF(ISBLANK(INDEX(Array_OtherEnergyChargeData,ROW()-24,COLUMN()*2-3)),"",INDEX(Array_OtherEnergyChargeData,ROW()-24,COLUMN()*2-3))</f>
        <v/>
      </c>
    </row>
    <row r="81" spans="1:6" x14ac:dyDescent="0.35">
      <c r="A81" t="str">
        <f>IF('Other Energy Meters'!B59="",A80,'Other Energy Meters'!B59)</f>
        <v>Meter Numbers</v>
      </c>
      <c r="B81" t="str" cm="1">
        <f>IF(ISBLANK(INDEX(Array_OtherEnergyChargeData,ROW()-24,COLUMN()*2-3)),"",INDEX(Array_OtherEnergyChargeData,ROW()-24,COLUMN()*2-3))</f>
        <v/>
      </c>
      <c r="C81" t="str" cm="1">
        <f>IF(ISBLANK(INDEX(Array_OtherEnergyChargeData,ROW()-24,COLUMN()*2-3)),"",INDEX(Array_OtherEnergyChargeData,ROW()-24,COLUMN()*2-3))</f>
        <v/>
      </c>
      <c r="D81" t="str" cm="1">
        <f>IF(ISBLANK(INDEX(Array_OtherEnergyChargeData,ROW()-24,COLUMN()*2-3)),"",INDEX(Array_OtherEnergyChargeData,ROW()-24,COLUMN()*2-3))</f>
        <v/>
      </c>
      <c r="E81" t="str" cm="1">
        <f>IF(ISBLANK(INDEX(Array_OtherEnergyChargeData,ROW()-24,COLUMN()*2-3)),"",INDEX(Array_OtherEnergyChargeData,ROW()-24,COLUMN()*2-3))</f>
        <v/>
      </c>
      <c r="F81" t="str" cm="1">
        <f>IF(ISBLANK(INDEX(Array_OtherEnergyChargeData,ROW()-24,COLUMN()*2-3)),"",INDEX(Array_OtherEnergyChargeData,ROW()-24,COLUMN()*2-3))</f>
        <v/>
      </c>
    </row>
    <row r="82" spans="1:6" x14ac:dyDescent="0.35">
      <c r="A82" t="str">
        <f>IF('Other Energy Meters'!B60="",A81,'Other Energy Meters'!B60)</f>
        <v>Meter Numbers</v>
      </c>
      <c r="B82" t="str" cm="1">
        <f>IF(ISBLANK(INDEX(Array_OtherEnergyChargeData,ROW()-24,COLUMN()*2-3)),"",INDEX(Array_OtherEnergyChargeData,ROW()-24,COLUMN()*2-3))</f>
        <v/>
      </c>
      <c r="C82" t="str" cm="1">
        <f>IF(ISBLANK(INDEX(Array_OtherEnergyChargeData,ROW()-24,COLUMN()*2-3)),"",INDEX(Array_OtherEnergyChargeData,ROW()-24,COLUMN()*2-3))</f>
        <v/>
      </c>
      <c r="D82" t="str" cm="1">
        <f>IF(ISBLANK(INDEX(Array_OtherEnergyChargeData,ROW()-24,COLUMN()*2-3)),"",INDEX(Array_OtherEnergyChargeData,ROW()-24,COLUMN()*2-3))</f>
        <v/>
      </c>
      <c r="E82" t="str" cm="1">
        <f>IF(ISBLANK(INDEX(Array_OtherEnergyChargeData,ROW()-24,COLUMN()*2-3)),"",INDEX(Array_OtherEnergyChargeData,ROW()-24,COLUMN()*2-3))</f>
        <v/>
      </c>
      <c r="F82" t="str" cm="1">
        <f>IF(ISBLANK(INDEX(Array_OtherEnergyChargeData,ROW()-24,COLUMN()*2-3)),"",INDEX(Array_OtherEnergyChargeData,ROW()-24,COLUMN()*2-3))</f>
        <v/>
      </c>
    </row>
    <row r="83" spans="1:6" x14ac:dyDescent="0.35">
      <c r="A83" t="str">
        <f>IF('Other Energy Meters'!B61="",A82,'Other Energy Meters'!B61)</f>
        <v>Meter Numbers</v>
      </c>
      <c r="B83" t="str" cm="1">
        <f>IF(ISBLANK(INDEX(Array_OtherEnergyChargeData,ROW()-24,COLUMN()*2-3)),"",INDEX(Array_OtherEnergyChargeData,ROW()-24,COLUMN()*2-3))</f>
        <v/>
      </c>
      <c r="C83" t="str" cm="1">
        <f>IF(ISBLANK(INDEX(Array_OtherEnergyChargeData,ROW()-24,COLUMN()*2-3)),"",INDEX(Array_OtherEnergyChargeData,ROW()-24,COLUMN()*2-3))</f>
        <v/>
      </c>
      <c r="D83" t="str" cm="1">
        <f>IF(ISBLANK(INDEX(Array_OtherEnergyChargeData,ROW()-24,COLUMN()*2-3)),"",INDEX(Array_OtherEnergyChargeData,ROW()-24,COLUMN()*2-3))</f>
        <v/>
      </c>
      <c r="E83" t="str" cm="1">
        <f>IF(ISBLANK(INDEX(Array_OtherEnergyChargeData,ROW()-24,COLUMN()*2-3)),"",INDEX(Array_OtherEnergyChargeData,ROW()-24,COLUMN()*2-3))</f>
        <v/>
      </c>
      <c r="F83" t="str" cm="1">
        <f>IF(ISBLANK(INDEX(Array_OtherEnergyChargeData,ROW()-24,COLUMN()*2-3)),"",INDEX(Array_OtherEnergyChargeData,ROW()-24,COLUMN()*2-3))</f>
        <v/>
      </c>
    </row>
    <row r="84" spans="1:6" x14ac:dyDescent="0.35">
      <c r="A84" t="str">
        <f>IF('Other Energy Meters'!B62="",A83,'Other Energy Meters'!B62)</f>
        <v>Meter Numbers</v>
      </c>
      <c r="B84" t="str" cm="1">
        <f>IF(ISBLANK(INDEX(Array_OtherEnergyChargeData,ROW()-24,COLUMN()*2-3)),"",INDEX(Array_OtherEnergyChargeData,ROW()-24,COLUMN()*2-3))</f>
        <v/>
      </c>
      <c r="C84" t="str" cm="1">
        <f>IF(ISBLANK(INDEX(Array_OtherEnergyChargeData,ROW()-24,COLUMN()*2-3)),"",INDEX(Array_OtherEnergyChargeData,ROW()-24,COLUMN()*2-3))</f>
        <v/>
      </c>
      <c r="D84" t="str" cm="1">
        <f>IF(ISBLANK(INDEX(Array_OtherEnergyChargeData,ROW()-24,COLUMN()*2-3)),"",INDEX(Array_OtherEnergyChargeData,ROW()-24,COLUMN()*2-3))</f>
        <v/>
      </c>
      <c r="E84" t="str" cm="1">
        <f>IF(ISBLANK(INDEX(Array_OtherEnergyChargeData,ROW()-24,COLUMN()*2-3)),"",INDEX(Array_OtherEnergyChargeData,ROW()-24,COLUMN()*2-3))</f>
        <v/>
      </c>
      <c r="F84" t="str" cm="1">
        <f>IF(ISBLANK(INDEX(Array_OtherEnergyChargeData,ROW()-24,COLUMN()*2-3)),"",INDEX(Array_OtherEnergyChargeData,ROW()-24,COLUMN()*2-3))</f>
        <v/>
      </c>
    </row>
    <row r="85" spans="1:6" x14ac:dyDescent="0.35">
      <c r="A85" t="str">
        <f>IF('Other Energy Meters'!B63="",A84,'Other Energy Meters'!B63)</f>
        <v>Meter Numbers</v>
      </c>
      <c r="B85" t="str" cm="1">
        <f>IF(ISBLANK(INDEX(Array_OtherEnergyChargeData,ROW()-24,COLUMN()*2-3)),"",INDEX(Array_OtherEnergyChargeData,ROW()-24,COLUMN()*2-3))</f>
        <v/>
      </c>
      <c r="C85" t="str" cm="1">
        <f>IF(ISBLANK(INDEX(Array_OtherEnergyChargeData,ROW()-24,COLUMN()*2-3)),"",INDEX(Array_OtherEnergyChargeData,ROW()-24,COLUMN()*2-3))</f>
        <v/>
      </c>
      <c r="D85" t="str" cm="1">
        <f>IF(ISBLANK(INDEX(Array_OtherEnergyChargeData,ROW()-24,COLUMN()*2-3)),"",INDEX(Array_OtherEnergyChargeData,ROW()-24,COLUMN()*2-3))</f>
        <v/>
      </c>
      <c r="E85" t="str" cm="1">
        <f>IF(ISBLANK(INDEX(Array_OtherEnergyChargeData,ROW()-24,COLUMN()*2-3)),"",INDEX(Array_OtherEnergyChargeData,ROW()-24,COLUMN()*2-3))</f>
        <v/>
      </c>
      <c r="F85" t="str" cm="1">
        <f>IF(ISBLANK(INDEX(Array_OtherEnergyChargeData,ROW()-24,COLUMN()*2-3)),"",INDEX(Array_OtherEnergyChargeData,ROW()-24,COLUMN()*2-3))</f>
        <v/>
      </c>
    </row>
    <row r="86" spans="1:6" x14ac:dyDescent="0.35">
      <c r="A86" t="str">
        <f>IF('Other Energy Meters'!B64="",A85,'Other Energy Meters'!B64)</f>
        <v>Meter Numbers</v>
      </c>
      <c r="B86" t="str" cm="1">
        <f>IF(ISBLANK(INDEX(Array_OtherEnergyChargeData,ROW()-24,COLUMN()*2-3)),"",INDEX(Array_OtherEnergyChargeData,ROW()-24,COLUMN()*2-3))</f>
        <v/>
      </c>
      <c r="C86" t="str" cm="1">
        <f>IF(ISBLANK(INDEX(Array_OtherEnergyChargeData,ROW()-24,COLUMN()*2-3)),"",INDEX(Array_OtherEnergyChargeData,ROW()-24,COLUMN()*2-3))</f>
        <v/>
      </c>
      <c r="D86" t="str" cm="1">
        <f>IF(ISBLANK(INDEX(Array_OtherEnergyChargeData,ROW()-24,COLUMN()*2-3)),"",INDEX(Array_OtherEnergyChargeData,ROW()-24,COLUMN()*2-3))</f>
        <v/>
      </c>
      <c r="E86" t="str" cm="1">
        <f>IF(ISBLANK(INDEX(Array_OtherEnergyChargeData,ROW()-24,COLUMN()*2-3)),"",INDEX(Array_OtherEnergyChargeData,ROW()-24,COLUMN()*2-3))</f>
        <v/>
      </c>
      <c r="F86" t="str" cm="1">
        <f>IF(ISBLANK(INDEX(Array_OtherEnergyChargeData,ROW()-24,COLUMN()*2-3)),"",INDEX(Array_OtherEnergyChargeData,ROW()-24,COLUMN()*2-3))</f>
        <v/>
      </c>
    </row>
    <row r="87" spans="1:6" x14ac:dyDescent="0.35">
      <c r="A87" t="str">
        <f>IF('Other Energy Meters'!B65="",A86,'Other Energy Meters'!B65)</f>
        <v>Meter Numbers</v>
      </c>
      <c r="B87" t="str" cm="1">
        <f>IF(ISBLANK(INDEX(Array_OtherEnergyChargeData,ROW()-24,COLUMN()*2-3)),"",INDEX(Array_OtherEnergyChargeData,ROW()-24,COLUMN()*2-3))</f>
        <v/>
      </c>
      <c r="C87" t="str" cm="1">
        <f>IF(ISBLANK(INDEX(Array_OtherEnergyChargeData,ROW()-24,COLUMN()*2-3)),"",INDEX(Array_OtherEnergyChargeData,ROW()-24,COLUMN()*2-3))</f>
        <v/>
      </c>
      <c r="D87" t="str" cm="1">
        <f>IF(ISBLANK(INDEX(Array_OtherEnergyChargeData,ROW()-24,COLUMN()*2-3)),"",INDEX(Array_OtherEnergyChargeData,ROW()-24,COLUMN()*2-3))</f>
        <v/>
      </c>
      <c r="E87" t="str" cm="1">
        <f>IF(ISBLANK(INDEX(Array_OtherEnergyChargeData,ROW()-24,COLUMN()*2-3)),"",INDEX(Array_OtherEnergyChargeData,ROW()-24,COLUMN()*2-3))</f>
        <v/>
      </c>
      <c r="F87" t="str" cm="1">
        <f>IF(ISBLANK(INDEX(Array_OtherEnergyChargeData,ROW()-24,COLUMN()*2-3)),"",INDEX(Array_OtherEnergyChargeData,ROW()-24,COLUMN()*2-3))</f>
        <v/>
      </c>
    </row>
    <row r="88" spans="1:6" x14ac:dyDescent="0.35">
      <c r="A88" t="str">
        <f>IF('Other Energy Meters'!B66="",A87,'Other Energy Meters'!B66)</f>
        <v>Meter Numbers</v>
      </c>
      <c r="B88" t="str" cm="1">
        <f>IF(ISBLANK(INDEX(Array_OtherEnergyChargeData,ROW()-24,COLUMN()*2-3)),"",INDEX(Array_OtherEnergyChargeData,ROW()-24,COLUMN()*2-3))</f>
        <v/>
      </c>
      <c r="C88" t="str" cm="1">
        <f>IF(ISBLANK(INDEX(Array_OtherEnergyChargeData,ROW()-24,COLUMN()*2-3)),"",INDEX(Array_OtherEnergyChargeData,ROW()-24,COLUMN()*2-3))</f>
        <v/>
      </c>
      <c r="D88" t="str" cm="1">
        <f>IF(ISBLANK(INDEX(Array_OtherEnergyChargeData,ROW()-24,COLUMN()*2-3)),"",INDEX(Array_OtherEnergyChargeData,ROW()-24,COLUMN()*2-3))</f>
        <v/>
      </c>
      <c r="E88" t="str" cm="1">
        <f>IF(ISBLANK(INDEX(Array_OtherEnergyChargeData,ROW()-24,COLUMN()*2-3)),"",INDEX(Array_OtherEnergyChargeData,ROW()-24,COLUMN()*2-3))</f>
        <v/>
      </c>
      <c r="F88" t="str" cm="1">
        <f>IF(ISBLANK(INDEX(Array_OtherEnergyChargeData,ROW()-24,COLUMN()*2-3)),"",INDEX(Array_OtherEnergyChargeData,ROW()-24,COLUMN()*2-3))</f>
        <v/>
      </c>
    </row>
    <row r="89" spans="1:6" x14ac:dyDescent="0.35">
      <c r="A89" t="str">
        <f>IF('Other Energy Meters'!B67="",A88,'Other Energy Meters'!B67)</f>
        <v>Meter Numbers</v>
      </c>
      <c r="B89" t="str" cm="1">
        <f>IF(ISBLANK(INDEX(Array_OtherEnergyChargeData,ROW()-24,COLUMN()*2-3)),"",INDEX(Array_OtherEnergyChargeData,ROW()-24,COLUMN()*2-3))</f>
        <v/>
      </c>
      <c r="C89" t="str" cm="1">
        <f>IF(ISBLANK(INDEX(Array_OtherEnergyChargeData,ROW()-24,COLUMN()*2-3)),"",INDEX(Array_OtherEnergyChargeData,ROW()-24,COLUMN()*2-3))</f>
        <v/>
      </c>
      <c r="D89" t="str" cm="1">
        <f>IF(ISBLANK(INDEX(Array_OtherEnergyChargeData,ROW()-24,COLUMN()*2-3)),"",INDEX(Array_OtherEnergyChargeData,ROW()-24,COLUMN()*2-3))</f>
        <v/>
      </c>
      <c r="E89" t="str" cm="1">
        <f>IF(ISBLANK(INDEX(Array_OtherEnergyChargeData,ROW()-24,COLUMN()*2-3)),"",INDEX(Array_OtherEnergyChargeData,ROW()-24,COLUMN()*2-3))</f>
        <v/>
      </c>
      <c r="F89" t="str" cm="1">
        <f>IF(ISBLANK(INDEX(Array_OtherEnergyChargeData,ROW()-24,COLUMN()*2-3)),"",INDEX(Array_OtherEnergyChargeData,ROW()-24,COLUMN()*2-3))</f>
        <v/>
      </c>
    </row>
    <row r="90" spans="1:6" x14ac:dyDescent="0.35">
      <c r="A90" t="str">
        <f>IF('Other Energy Meters'!B68="",A89,'Other Energy Meters'!B68)</f>
        <v>Meter Numbers</v>
      </c>
      <c r="B90" t="str" cm="1">
        <f>IF(ISBLANK(INDEX(Array_OtherEnergyChargeData,ROW()-24,COLUMN()*2-3)),"",INDEX(Array_OtherEnergyChargeData,ROW()-24,COLUMN()*2-3))</f>
        <v/>
      </c>
      <c r="C90" t="str" cm="1">
        <f>IF(ISBLANK(INDEX(Array_OtherEnergyChargeData,ROW()-24,COLUMN()*2-3)),"",INDEX(Array_OtherEnergyChargeData,ROW()-24,COLUMN()*2-3))</f>
        <v/>
      </c>
      <c r="D90" t="str" cm="1">
        <f>IF(ISBLANK(INDEX(Array_OtherEnergyChargeData,ROW()-24,COLUMN()*2-3)),"",INDEX(Array_OtherEnergyChargeData,ROW()-24,COLUMN()*2-3))</f>
        <v/>
      </c>
      <c r="E90" t="str" cm="1">
        <f>IF(ISBLANK(INDEX(Array_OtherEnergyChargeData,ROW()-24,COLUMN()*2-3)),"",INDEX(Array_OtherEnergyChargeData,ROW()-24,COLUMN()*2-3))</f>
        <v/>
      </c>
      <c r="F90" t="str" cm="1">
        <f>IF(ISBLANK(INDEX(Array_OtherEnergyChargeData,ROW()-24,COLUMN()*2-3)),"",INDEX(Array_OtherEnergyChargeData,ROW()-24,COLUMN()*2-3))</f>
        <v/>
      </c>
    </row>
    <row r="91" spans="1:6" x14ac:dyDescent="0.35">
      <c r="A91" t="str">
        <f>IF('Other Energy Meters'!B69="",A90,'Other Energy Meters'!B69)</f>
        <v>Meter Numbers</v>
      </c>
      <c r="B91" t="str" cm="1">
        <f>IF(ISBLANK(INDEX(Array_OtherEnergyChargeData,ROW()-24,COLUMN()*2-3)),"",INDEX(Array_OtherEnergyChargeData,ROW()-24,COLUMN()*2-3))</f>
        <v/>
      </c>
      <c r="C91" t="str" cm="1">
        <f>IF(ISBLANK(INDEX(Array_OtherEnergyChargeData,ROW()-24,COLUMN()*2-3)),"",INDEX(Array_OtherEnergyChargeData,ROW()-24,COLUMN()*2-3))</f>
        <v/>
      </c>
      <c r="D91" t="str" cm="1">
        <f>IF(ISBLANK(INDEX(Array_OtherEnergyChargeData,ROW()-24,COLUMN()*2-3)),"",INDEX(Array_OtherEnergyChargeData,ROW()-24,COLUMN()*2-3))</f>
        <v/>
      </c>
      <c r="E91" t="str" cm="1">
        <f>IF(ISBLANK(INDEX(Array_OtherEnergyChargeData,ROW()-24,COLUMN()*2-3)),"",INDEX(Array_OtherEnergyChargeData,ROW()-24,COLUMN()*2-3))</f>
        <v/>
      </c>
      <c r="F91" t="str" cm="1">
        <f>IF(ISBLANK(INDEX(Array_OtherEnergyChargeData,ROW()-24,COLUMN()*2-3)),"",INDEX(Array_OtherEnergyChargeData,ROW()-24,COLUMN()*2-3))</f>
        <v/>
      </c>
    </row>
    <row r="92" spans="1:6" x14ac:dyDescent="0.35">
      <c r="A92" t="str">
        <f>IF('Other Energy Meters'!B70="",A91,'Other Energy Meters'!B70)</f>
        <v>Meter Numbers</v>
      </c>
      <c r="B92" t="str" cm="1">
        <f>IF(ISBLANK(INDEX(Array_OtherEnergyChargeData,ROW()-24,COLUMN()*2-3)),"",INDEX(Array_OtherEnergyChargeData,ROW()-24,COLUMN()*2-3))</f>
        <v/>
      </c>
      <c r="C92" t="str" cm="1">
        <f>IF(ISBLANK(INDEX(Array_OtherEnergyChargeData,ROW()-24,COLUMN()*2-3)),"",INDEX(Array_OtherEnergyChargeData,ROW()-24,COLUMN()*2-3))</f>
        <v/>
      </c>
      <c r="D92" t="str" cm="1">
        <f>IF(ISBLANK(INDEX(Array_OtherEnergyChargeData,ROW()-24,COLUMN()*2-3)),"",INDEX(Array_OtherEnergyChargeData,ROW()-24,COLUMN()*2-3))</f>
        <v/>
      </c>
      <c r="E92" t="str" cm="1">
        <f>IF(ISBLANK(INDEX(Array_OtherEnergyChargeData,ROW()-24,COLUMN()*2-3)),"",INDEX(Array_OtherEnergyChargeData,ROW()-24,COLUMN()*2-3))</f>
        <v/>
      </c>
      <c r="F92" t="str" cm="1">
        <f>IF(ISBLANK(INDEX(Array_OtherEnergyChargeData,ROW()-24,COLUMN()*2-3)),"",INDEX(Array_OtherEnergyChargeData,ROW()-24,COLUMN()*2-3))</f>
        <v/>
      </c>
    </row>
    <row r="93" spans="1:6" x14ac:dyDescent="0.35">
      <c r="A93" t="str">
        <f>IF('Other Energy Meters'!B71="",A92,'Other Energy Meters'!B71)</f>
        <v>Meter Numbers</v>
      </c>
      <c r="B93" t="str" cm="1">
        <f>IF(ISBLANK(INDEX(Array_OtherEnergyChargeData,ROW()-24,COLUMN()*2-3)),"",INDEX(Array_OtherEnergyChargeData,ROW()-24,COLUMN()*2-3))</f>
        <v/>
      </c>
      <c r="C93" t="str" cm="1">
        <f>IF(ISBLANK(INDEX(Array_OtherEnergyChargeData,ROW()-24,COLUMN()*2-3)),"",INDEX(Array_OtherEnergyChargeData,ROW()-24,COLUMN()*2-3))</f>
        <v/>
      </c>
      <c r="D93" t="str" cm="1">
        <f>IF(ISBLANK(INDEX(Array_OtherEnergyChargeData,ROW()-24,COLUMN()*2-3)),"",INDEX(Array_OtherEnergyChargeData,ROW()-24,COLUMN()*2-3))</f>
        <v/>
      </c>
      <c r="E93" t="str" cm="1">
        <f>IF(ISBLANK(INDEX(Array_OtherEnergyChargeData,ROW()-24,COLUMN()*2-3)),"",INDEX(Array_OtherEnergyChargeData,ROW()-24,COLUMN()*2-3))</f>
        <v/>
      </c>
      <c r="F93" t="str" cm="1">
        <f>IF(ISBLANK(INDEX(Array_OtherEnergyChargeData,ROW()-24,COLUMN()*2-3)),"",INDEX(Array_OtherEnergyChargeData,ROW()-24,COLUMN()*2-3))</f>
        <v/>
      </c>
    </row>
    <row r="94" spans="1:6" x14ac:dyDescent="0.35">
      <c r="A94" t="str">
        <f>IF('Other Energy Meters'!B72="",A93,'Other Energy Meters'!B72)</f>
        <v>Meter Numbers</v>
      </c>
      <c r="B94" t="str" cm="1">
        <f>IF(ISBLANK(INDEX(Array_OtherEnergyChargeData,ROW()-24,COLUMN()*2-3)),"",INDEX(Array_OtherEnergyChargeData,ROW()-24,COLUMN()*2-3))</f>
        <v/>
      </c>
      <c r="C94" t="str" cm="1">
        <f>IF(ISBLANK(INDEX(Array_OtherEnergyChargeData,ROW()-24,COLUMN()*2-3)),"",INDEX(Array_OtherEnergyChargeData,ROW()-24,COLUMN()*2-3))</f>
        <v/>
      </c>
      <c r="D94" t="str" cm="1">
        <f>IF(ISBLANK(INDEX(Array_OtherEnergyChargeData,ROW()-24,COLUMN()*2-3)),"",INDEX(Array_OtherEnergyChargeData,ROW()-24,COLUMN()*2-3))</f>
        <v/>
      </c>
      <c r="E94" t="str" cm="1">
        <f>IF(ISBLANK(INDEX(Array_OtherEnergyChargeData,ROW()-24,COLUMN()*2-3)),"",INDEX(Array_OtherEnergyChargeData,ROW()-24,COLUMN()*2-3))</f>
        <v/>
      </c>
      <c r="F94" t="str" cm="1">
        <f>IF(ISBLANK(INDEX(Array_OtherEnergyChargeData,ROW()-24,COLUMN()*2-3)),"",INDEX(Array_OtherEnergyChargeData,ROW()-24,COLUMN()*2-3))</f>
        <v/>
      </c>
    </row>
    <row r="95" spans="1:6" x14ac:dyDescent="0.35">
      <c r="A95" t="str">
        <f>IF('Other Energy Meters'!B73="",A94,'Other Energy Meters'!B73)</f>
        <v>Meter Numbers</v>
      </c>
      <c r="B95" t="str" cm="1">
        <f>IF(ISBLANK(INDEX(Array_OtherEnergyChargeData,ROW()-24,COLUMN()*2-3)),"",INDEX(Array_OtherEnergyChargeData,ROW()-24,COLUMN()*2-3))</f>
        <v/>
      </c>
      <c r="C95" t="str" cm="1">
        <f>IF(ISBLANK(INDEX(Array_OtherEnergyChargeData,ROW()-24,COLUMN()*2-3)),"",INDEX(Array_OtherEnergyChargeData,ROW()-24,COLUMN()*2-3))</f>
        <v/>
      </c>
      <c r="D95" t="str" cm="1">
        <f>IF(ISBLANK(INDEX(Array_OtherEnergyChargeData,ROW()-24,COLUMN()*2-3)),"",INDEX(Array_OtherEnergyChargeData,ROW()-24,COLUMN()*2-3))</f>
        <v/>
      </c>
      <c r="E95" t="str" cm="1">
        <f>IF(ISBLANK(INDEX(Array_OtherEnergyChargeData,ROW()-24,COLUMN()*2-3)),"",INDEX(Array_OtherEnergyChargeData,ROW()-24,COLUMN()*2-3))</f>
        <v/>
      </c>
      <c r="F95" t="str" cm="1">
        <f>IF(ISBLANK(INDEX(Array_OtherEnergyChargeData,ROW()-24,COLUMN()*2-3)),"",INDEX(Array_OtherEnergyChargeData,ROW()-24,COLUMN()*2-3))</f>
        <v/>
      </c>
    </row>
    <row r="96" spans="1:6" x14ac:dyDescent="0.35">
      <c r="A96" t="str">
        <f>IF('Other Energy Meters'!B74="",A95,'Other Energy Meters'!B74)</f>
        <v>Meter Numbers</v>
      </c>
      <c r="B96" t="str" cm="1">
        <f>IF(ISBLANK(INDEX(Array_OtherEnergyChargeData,ROW()-24,COLUMN()*2-3)),"",INDEX(Array_OtherEnergyChargeData,ROW()-24,COLUMN()*2-3))</f>
        <v/>
      </c>
      <c r="C96" t="str" cm="1">
        <f>IF(ISBLANK(INDEX(Array_OtherEnergyChargeData,ROW()-24,COLUMN()*2-3)),"",INDEX(Array_OtherEnergyChargeData,ROW()-24,COLUMN()*2-3))</f>
        <v/>
      </c>
      <c r="D96" t="str" cm="1">
        <f>IF(ISBLANK(INDEX(Array_OtherEnergyChargeData,ROW()-24,COLUMN()*2-3)),"",INDEX(Array_OtherEnergyChargeData,ROW()-24,COLUMN()*2-3))</f>
        <v/>
      </c>
      <c r="E96" t="str" cm="1">
        <f>IF(ISBLANK(INDEX(Array_OtherEnergyChargeData,ROW()-24,COLUMN()*2-3)),"",INDEX(Array_OtherEnergyChargeData,ROW()-24,COLUMN()*2-3))</f>
        <v/>
      </c>
      <c r="F96" t="str" cm="1">
        <f>IF(ISBLANK(INDEX(Array_OtherEnergyChargeData,ROW()-24,COLUMN()*2-3)),"",INDEX(Array_OtherEnergyChargeData,ROW()-24,COLUMN()*2-3))</f>
        <v/>
      </c>
    </row>
    <row r="97" spans="1:6" x14ac:dyDescent="0.35">
      <c r="A97" t="str">
        <f>IF('Other Energy Meters'!B75="",A96,'Other Energy Meters'!B75)</f>
        <v>Meter Numbers</v>
      </c>
      <c r="B97" t="str" cm="1">
        <f>IF(ISBLANK(INDEX(Array_OtherEnergyChargeData,ROW()-24,COLUMN()*2-3)),"",INDEX(Array_OtherEnergyChargeData,ROW()-24,COLUMN()*2-3))</f>
        <v/>
      </c>
      <c r="C97" t="str" cm="1">
        <f>IF(ISBLANK(INDEX(Array_OtherEnergyChargeData,ROW()-24,COLUMN()*2-3)),"",INDEX(Array_OtherEnergyChargeData,ROW()-24,COLUMN()*2-3))</f>
        <v/>
      </c>
      <c r="D97" t="str" cm="1">
        <f>IF(ISBLANK(INDEX(Array_OtherEnergyChargeData,ROW()-24,COLUMN()*2-3)),"",INDEX(Array_OtherEnergyChargeData,ROW()-24,COLUMN()*2-3))</f>
        <v/>
      </c>
      <c r="E97" t="str" cm="1">
        <f>IF(ISBLANK(INDEX(Array_OtherEnergyChargeData,ROW()-24,COLUMN()*2-3)),"",INDEX(Array_OtherEnergyChargeData,ROW()-24,COLUMN()*2-3))</f>
        <v/>
      </c>
      <c r="F97" t="str" cm="1">
        <f>IF(ISBLANK(INDEX(Array_OtherEnergyChargeData,ROW()-24,COLUMN()*2-3)),"",INDEX(Array_OtherEnergyChargeData,ROW()-24,COLUMN()*2-3))</f>
        <v/>
      </c>
    </row>
    <row r="98" spans="1:6" x14ac:dyDescent="0.35">
      <c r="A98" t="str">
        <f>IF('Other Energy Meters'!B76="",A97,'Other Energy Meters'!B76)</f>
        <v>Meter Numbers</v>
      </c>
      <c r="B98" t="str" cm="1">
        <f>IF(ISBLANK(INDEX(Array_OtherEnergyChargeData,ROW()-24,COLUMN()*2-3)),"",INDEX(Array_OtherEnergyChargeData,ROW()-24,COLUMN()*2-3))</f>
        <v/>
      </c>
      <c r="C98" t="str" cm="1">
        <f>IF(ISBLANK(INDEX(Array_OtherEnergyChargeData,ROW()-24,COLUMN()*2-3)),"",INDEX(Array_OtherEnergyChargeData,ROW()-24,COLUMN()*2-3))</f>
        <v/>
      </c>
      <c r="D98" t="str" cm="1">
        <f>IF(ISBLANK(INDEX(Array_OtherEnergyChargeData,ROW()-24,COLUMN()*2-3)),"",INDEX(Array_OtherEnergyChargeData,ROW()-24,COLUMN()*2-3))</f>
        <v/>
      </c>
      <c r="E98" t="str" cm="1">
        <f>IF(ISBLANK(INDEX(Array_OtherEnergyChargeData,ROW()-24,COLUMN()*2-3)),"",INDEX(Array_OtherEnergyChargeData,ROW()-24,COLUMN()*2-3))</f>
        <v/>
      </c>
      <c r="F98" t="str" cm="1">
        <f>IF(ISBLANK(INDEX(Array_OtherEnergyChargeData,ROW()-24,COLUMN()*2-3)),"",INDEX(Array_OtherEnergyChargeData,ROW()-24,COLUMN()*2-3))</f>
        <v/>
      </c>
    </row>
    <row r="99" spans="1:6" x14ac:dyDescent="0.35">
      <c r="A99" t="str">
        <f>IF('Other Energy Meters'!B77="",A98,'Other Energy Meters'!B77)</f>
        <v>Meter Numbers</v>
      </c>
      <c r="B99" t="str" cm="1">
        <f>IF(ISBLANK(INDEX(Array_OtherEnergyChargeData,ROW()-24,COLUMN()*2-3)),"",INDEX(Array_OtherEnergyChargeData,ROW()-24,COLUMN()*2-3))</f>
        <v/>
      </c>
      <c r="C99" t="str" cm="1">
        <f>IF(ISBLANK(INDEX(Array_OtherEnergyChargeData,ROW()-24,COLUMN()*2-3)),"",INDEX(Array_OtherEnergyChargeData,ROW()-24,COLUMN()*2-3))</f>
        <v/>
      </c>
      <c r="D99" t="str" cm="1">
        <f>IF(ISBLANK(INDEX(Array_OtherEnergyChargeData,ROW()-24,COLUMN()*2-3)),"",INDEX(Array_OtherEnergyChargeData,ROW()-24,COLUMN()*2-3))</f>
        <v/>
      </c>
      <c r="E99" t="str" cm="1">
        <f>IF(ISBLANK(INDEX(Array_OtherEnergyChargeData,ROW()-24,COLUMN()*2-3)),"",INDEX(Array_OtherEnergyChargeData,ROW()-24,COLUMN()*2-3))</f>
        <v/>
      </c>
      <c r="F99" t="str" cm="1">
        <f>IF(ISBLANK(INDEX(Array_OtherEnergyChargeData,ROW()-24,COLUMN()*2-3)),"",INDEX(Array_OtherEnergyChargeData,ROW()-24,COLUMN()*2-3))</f>
        <v/>
      </c>
    </row>
    <row r="100" spans="1:6" x14ac:dyDescent="0.35">
      <c r="A100" t="str">
        <f>IF('Other Energy Meters'!B78="",A99,'Other Energy Meters'!B78)</f>
        <v>Meter Numbers</v>
      </c>
      <c r="B100" t="str" cm="1">
        <f>IF(ISBLANK(INDEX(Array_OtherEnergyChargeData,ROW()-24,COLUMN()*2-3)),"",INDEX(Array_OtherEnergyChargeData,ROW()-24,COLUMN()*2-3))</f>
        <v/>
      </c>
      <c r="C100" t="str" cm="1">
        <f>IF(ISBLANK(INDEX(Array_OtherEnergyChargeData,ROW()-24,COLUMN()*2-3)),"",INDEX(Array_OtherEnergyChargeData,ROW()-24,COLUMN()*2-3))</f>
        <v/>
      </c>
      <c r="D100" t="str" cm="1">
        <f>IF(ISBLANK(INDEX(Array_OtherEnergyChargeData,ROW()-24,COLUMN()*2-3)),"",INDEX(Array_OtherEnergyChargeData,ROW()-24,COLUMN()*2-3))</f>
        <v/>
      </c>
      <c r="E100" t="str" cm="1">
        <f>IF(ISBLANK(INDEX(Array_OtherEnergyChargeData,ROW()-24,COLUMN()*2-3)),"",INDEX(Array_OtherEnergyChargeData,ROW()-24,COLUMN()*2-3))</f>
        <v/>
      </c>
      <c r="F100" t="str" cm="1">
        <f>IF(ISBLANK(INDEX(Array_OtherEnergyChargeData,ROW()-24,COLUMN()*2-3)),"",INDEX(Array_OtherEnergyChargeData,ROW()-24,COLUMN()*2-3))</f>
        <v/>
      </c>
    </row>
    <row r="101" spans="1:6" x14ac:dyDescent="0.35">
      <c r="A101" t="str">
        <f>IF('Other Energy Meters'!B79="",A100,'Other Energy Meters'!B79)</f>
        <v>Meter Numbers</v>
      </c>
      <c r="B101" t="str" cm="1">
        <f>IF(ISBLANK(INDEX(Array_OtherEnergyChargeData,ROW()-24,COLUMN()*2-3)),"",INDEX(Array_OtherEnergyChargeData,ROW()-24,COLUMN()*2-3))</f>
        <v/>
      </c>
      <c r="C101" t="str" cm="1">
        <f>IF(ISBLANK(INDEX(Array_OtherEnergyChargeData,ROW()-24,COLUMN()*2-3)),"",INDEX(Array_OtherEnergyChargeData,ROW()-24,COLUMN()*2-3))</f>
        <v/>
      </c>
      <c r="D101" t="str" cm="1">
        <f>IF(ISBLANK(INDEX(Array_OtherEnergyChargeData,ROW()-24,COLUMN()*2-3)),"",INDEX(Array_OtherEnergyChargeData,ROW()-24,COLUMN()*2-3))</f>
        <v/>
      </c>
      <c r="E101" t="str" cm="1">
        <f>IF(ISBLANK(INDEX(Array_OtherEnergyChargeData,ROW()-24,COLUMN()*2-3)),"",INDEX(Array_OtherEnergyChargeData,ROW()-24,COLUMN()*2-3))</f>
        <v/>
      </c>
      <c r="F101" t="str" cm="1">
        <f>IF(ISBLANK(INDEX(Array_OtherEnergyChargeData,ROW()-24,COLUMN()*2-3)),"",INDEX(Array_OtherEnergyChargeData,ROW()-24,COLUMN()*2-3))</f>
        <v/>
      </c>
    </row>
    <row r="102" spans="1:6" x14ac:dyDescent="0.35">
      <c r="A102" t="str">
        <f>IF('Other Energy Meters'!B80="",A101,'Other Energy Meters'!B80)</f>
        <v>Meter Numbers</v>
      </c>
      <c r="B102" t="str" cm="1">
        <f>IF(ISBLANK(INDEX(Array_OtherEnergyChargeData,ROW()-24,COLUMN()*2-3)),"",INDEX(Array_OtherEnergyChargeData,ROW()-24,COLUMN()*2-3))</f>
        <v/>
      </c>
      <c r="C102" t="str" cm="1">
        <f>IF(ISBLANK(INDEX(Array_OtherEnergyChargeData,ROW()-24,COLUMN()*2-3)),"",INDEX(Array_OtherEnergyChargeData,ROW()-24,COLUMN()*2-3))</f>
        <v/>
      </c>
      <c r="D102" t="str" cm="1">
        <f>IF(ISBLANK(INDEX(Array_OtherEnergyChargeData,ROW()-24,COLUMN()*2-3)),"",INDEX(Array_OtherEnergyChargeData,ROW()-24,COLUMN()*2-3))</f>
        <v/>
      </c>
      <c r="E102" t="str" cm="1">
        <f>IF(ISBLANK(INDEX(Array_OtherEnergyChargeData,ROW()-24,COLUMN()*2-3)),"",INDEX(Array_OtherEnergyChargeData,ROW()-24,COLUMN()*2-3))</f>
        <v/>
      </c>
      <c r="F102" t="str" cm="1">
        <f>IF(ISBLANK(INDEX(Array_OtherEnergyChargeData,ROW()-24,COLUMN()*2-3)),"",INDEX(Array_OtherEnergyChargeData,ROW()-24,COLUMN()*2-3))</f>
        <v/>
      </c>
    </row>
    <row r="103" spans="1:6" x14ac:dyDescent="0.35">
      <c r="A103" t="str">
        <f>IF('Other Energy Meters'!B81="",A102,'Other Energy Meters'!B81)</f>
        <v>Meter Numbers</v>
      </c>
      <c r="B103" t="str" cm="1">
        <f>IF(ISBLANK(INDEX(Array_OtherEnergyChargeData,ROW()-24,COLUMN()*2-3)),"",INDEX(Array_OtherEnergyChargeData,ROW()-24,COLUMN()*2-3))</f>
        <v/>
      </c>
      <c r="C103" t="str" cm="1">
        <f>IF(ISBLANK(INDEX(Array_OtherEnergyChargeData,ROW()-24,COLUMN()*2-3)),"",INDEX(Array_OtherEnergyChargeData,ROW()-24,COLUMN()*2-3))</f>
        <v/>
      </c>
      <c r="D103" t="str" cm="1">
        <f>IF(ISBLANK(INDEX(Array_OtherEnergyChargeData,ROW()-24,COLUMN()*2-3)),"",INDEX(Array_OtherEnergyChargeData,ROW()-24,COLUMN()*2-3))</f>
        <v/>
      </c>
      <c r="E103" t="str" cm="1">
        <f>IF(ISBLANK(INDEX(Array_OtherEnergyChargeData,ROW()-24,COLUMN()*2-3)),"",INDEX(Array_OtherEnergyChargeData,ROW()-24,COLUMN()*2-3))</f>
        <v/>
      </c>
      <c r="F103" t="str" cm="1">
        <f>IF(ISBLANK(INDEX(Array_OtherEnergyChargeData,ROW()-24,COLUMN()*2-3)),"",INDEX(Array_OtherEnergyChargeData,ROW()-24,COLUMN()*2-3))</f>
        <v/>
      </c>
    </row>
    <row r="104" spans="1:6" x14ac:dyDescent="0.35">
      <c r="A104" t="str">
        <f>IF('Other Energy Meters'!B82="",A103,'Other Energy Meters'!B82)</f>
        <v>Meter Numbers</v>
      </c>
      <c r="B104" t="str" cm="1">
        <f>IF(ISBLANK(INDEX(Array_OtherEnergyChargeData,ROW()-24,COLUMN()*2-3)),"",INDEX(Array_OtherEnergyChargeData,ROW()-24,COLUMN()*2-3))</f>
        <v/>
      </c>
      <c r="C104" t="str" cm="1">
        <f>IF(ISBLANK(INDEX(Array_OtherEnergyChargeData,ROW()-24,COLUMN()*2-3)),"",INDEX(Array_OtherEnergyChargeData,ROW()-24,COLUMN()*2-3))</f>
        <v/>
      </c>
      <c r="D104" t="str" cm="1">
        <f>IF(ISBLANK(INDEX(Array_OtherEnergyChargeData,ROW()-24,COLUMN()*2-3)),"",INDEX(Array_OtherEnergyChargeData,ROW()-24,COLUMN()*2-3))</f>
        <v/>
      </c>
      <c r="E104" t="str" cm="1">
        <f>IF(ISBLANK(INDEX(Array_OtherEnergyChargeData,ROW()-24,COLUMN()*2-3)),"",INDEX(Array_OtherEnergyChargeData,ROW()-24,COLUMN()*2-3))</f>
        <v/>
      </c>
      <c r="F104" t="str" cm="1">
        <f>IF(ISBLANK(INDEX(Array_OtherEnergyChargeData,ROW()-24,COLUMN()*2-3)),"",INDEX(Array_OtherEnergyChargeData,ROW()-24,COLUMN()*2-3))</f>
        <v/>
      </c>
    </row>
    <row r="105" spans="1:6" x14ac:dyDescent="0.35">
      <c r="A105" t="str">
        <f>IF('Other Energy Meters'!B83="",A104,'Other Energy Meters'!B83)</f>
        <v>Meter Numbers</v>
      </c>
      <c r="B105" t="str" cm="1">
        <f>IF(ISBLANK(INDEX(Array_OtherEnergyChargeData,ROW()-24,COLUMN()*2-3)),"",INDEX(Array_OtherEnergyChargeData,ROW()-24,COLUMN()*2-3))</f>
        <v/>
      </c>
      <c r="C105" t="str" cm="1">
        <f>IF(ISBLANK(INDEX(Array_OtherEnergyChargeData,ROW()-24,COLUMN()*2-3)),"",INDEX(Array_OtherEnergyChargeData,ROW()-24,COLUMN()*2-3))</f>
        <v/>
      </c>
      <c r="D105" t="str" cm="1">
        <f>IF(ISBLANK(INDEX(Array_OtherEnergyChargeData,ROW()-24,COLUMN()*2-3)),"",INDEX(Array_OtherEnergyChargeData,ROW()-24,COLUMN()*2-3))</f>
        <v/>
      </c>
      <c r="E105" t="str" cm="1">
        <f>IF(ISBLANK(INDEX(Array_OtherEnergyChargeData,ROW()-24,COLUMN()*2-3)),"",INDEX(Array_OtherEnergyChargeData,ROW()-24,COLUMN()*2-3))</f>
        <v/>
      </c>
      <c r="F105" t="str" cm="1">
        <f>IF(ISBLANK(INDEX(Array_OtherEnergyChargeData,ROW()-24,COLUMN()*2-3)),"",INDEX(Array_OtherEnergyChargeData,ROW()-24,COLUMN()*2-3))</f>
        <v/>
      </c>
    </row>
    <row r="106" spans="1:6" x14ac:dyDescent="0.35">
      <c r="A106" t="str">
        <f>IF('Other Energy Meters'!B84="",A105,'Other Energy Meters'!B84)</f>
        <v>Meter Numbers</v>
      </c>
      <c r="B106" t="str" cm="1">
        <f>IF(ISBLANK(INDEX(Array_OtherEnergyChargeData,ROW()-24,COLUMN()*2-3)),"",INDEX(Array_OtherEnergyChargeData,ROW()-24,COLUMN()*2-3))</f>
        <v/>
      </c>
      <c r="C106" t="str" cm="1">
        <f>IF(ISBLANK(INDEX(Array_OtherEnergyChargeData,ROW()-24,COLUMN()*2-3)),"",INDEX(Array_OtherEnergyChargeData,ROW()-24,COLUMN()*2-3))</f>
        <v/>
      </c>
      <c r="D106" t="str" cm="1">
        <f>IF(ISBLANK(INDEX(Array_OtherEnergyChargeData,ROW()-24,COLUMN()*2-3)),"",INDEX(Array_OtherEnergyChargeData,ROW()-24,COLUMN()*2-3))</f>
        <v/>
      </c>
      <c r="E106" t="str" cm="1">
        <f>IF(ISBLANK(INDEX(Array_OtherEnergyChargeData,ROW()-24,COLUMN()*2-3)),"",INDEX(Array_OtherEnergyChargeData,ROW()-24,COLUMN()*2-3))</f>
        <v/>
      </c>
      <c r="F106" t="str" cm="1">
        <f>IF(ISBLANK(INDEX(Array_OtherEnergyChargeData,ROW()-24,COLUMN()*2-3)),"",INDEX(Array_OtherEnergyChargeData,ROW()-24,COLUMN()*2-3))</f>
        <v/>
      </c>
    </row>
    <row r="107" spans="1:6" x14ac:dyDescent="0.35">
      <c r="A107" t="str">
        <f>IF('Other Energy Meters'!B85="",A106,'Other Energy Meters'!B85)</f>
        <v>Meter Numbers</v>
      </c>
      <c r="B107" t="str" cm="1">
        <f>IF(ISBLANK(INDEX(Array_OtherEnergyChargeData,ROW()-24,COLUMN()*2-3)),"",INDEX(Array_OtherEnergyChargeData,ROW()-24,COLUMN()*2-3))</f>
        <v/>
      </c>
      <c r="C107" t="str" cm="1">
        <f>IF(ISBLANK(INDEX(Array_OtherEnergyChargeData,ROW()-24,COLUMN()*2-3)),"",INDEX(Array_OtherEnergyChargeData,ROW()-24,COLUMN()*2-3))</f>
        <v/>
      </c>
      <c r="D107" t="str" cm="1">
        <f>IF(ISBLANK(INDEX(Array_OtherEnergyChargeData,ROW()-24,COLUMN()*2-3)),"",INDEX(Array_OtherEnergyChargeData,ROW()-24,COLUMN()*2-3))</f>
        <v/>
      </c>
      <c r="E107" t="str" cm="1">
        <f>IF(ISBLANK(INDEX(Array_OtherEnergyChargeData,ROW()-24,COLUMN()*2-3)),"",INDEX(Array_OtherEnergyChargeData,ROW()-24,COLUMN()*2-3))</f>
        <v/>
      </c>
      <c r="F107" t="str" cm="1">
        <f>IF(ISBLANK(INDEX(Array_OtherEnergyChargeData,ROW()-24,COLUMN()*2-3)),"",INDEX(Array_OtherEnergyChargeData,ROW()-24,COLUMN()*2-3))</f>
        <v/>
      </c>
    </row>
    <row r="108" spans="1:6" x14ac:dyDescent="0.35">
      <c r="A108" t="str">
        <f>IF('Other Energy Meters'!B86="",A107,'Other Energy Meters'!B86)</f>
        <v>Meter Numbers</v>
      </c>
      <c r="B108" t="str" cm="1">
        <f>IF(ISBLANK(INDEX(Array_OtherEnergyChargeData,ROW()-24,COLUMN()*2-3)),"",INDEX(Array_OtherEnergyChargeData,ROW()-24,COLUMN()*2-3))</f>
        <v/>
      </c>
      <c r="C108" t="str" cm="1">
        <f>IF(ISBLANK(INDEX(Array_OtherEnergyChargeData,ROW()-24,COLUMN()*2-3)),"",INDEX(Array_OtherEnergyChargeData,ROW()-24,COLUMN()*2-3))</f>
        <v/>
      </c>
      <c r="D108" t="str" cm="1">
        <f>IF(ISBLANK(INDEX(Array_OtherEnergyChargeData,ROW()-24,COLUMN()*2-3)),"",INDEX(Array_OtherEnergyChargeData,ROW()-24,COLUMN()*2-3))</f>
        <v/>
      </c>
      <c r="E108" t="str" cm="1">
        <f>IF(ISBLANK(INDEX(Array_OtherEnergyChargeData,ROW()-24,COLUMN()*2-3)),"",INDEX(Array_OtherEnergyChargeData,ROW()-24,COLUMN()*2-3))</f>
        <v/>
      </c>
      <c r="F108" t="str" cm="1">
        <f>IF(ISBLANK(INDEX(Array_OtherEnergyChargeData,ROW()-24,COLUMN()*2-3)),"",INDEX(Array_OtherEnergyChargeData,ROW()-24,COLUMN()*2-3))</f>
        <v/>
      </c>
    </row>
    <row r="109" spans="1:6" x14ac:dyDescent="0.35">
      <c r="A109" t="str">
        <f>IF('Other Energy Meters'!B87="",A108,'Other Energy Meters'!B87)</f>
        <v>Meter Numbers</v>
      </c>
      <c r="B109" t="str" cm="1">
        <f>IF(ISBLANK(INDEX(Array_OtherEnergyChargeData,ROW()-24,COLUMN()*2-3)),"",INDEX(Array_OtherEnergyChargeData,ROW()-24,COLUMN()*2-3))</f>
        <v/>
      </c>
      <c r="C109" t="str" cm="1">
        <f>IF(ISBLANK(INDEX(Array_OtherEnergyChargeData,ROW()-24,COLUMN()*2-3)),"",INDEX(Array_OtherEnergyChargeData,ROW()-24,COLUMN()*2-3))</f>
        <v/>
      </c>
      <c r="D109" t="str" cm="1">
        <f>IF(ISBLANK(INDEX(Array_OtherEnergyChargeData,ROW()-24,COLUMN()*2-3)),"",INDEX(Array_OtherEnergyChargeData,ROW()-24,COLUMN()*2-3))</f>
        <v/>
      </c>
      <c r="E109" t="str" cm="1">
        <f>IF(ISBLANK(INDEX(Array_OtherEnergyChargeData,ROW()-24,COLUMN()*2-3)),"",INDEX(Array_OtherEnergyChargeData,ROW()-24,COLUMN()*2-3))</f>
        <v/>
      </c>
      <c r="F109" t="str" cm="1">
        <f>IF(ISBLANK(INDEX(Array_OtherEnergyChargeData,ROW()-24,COLUMN()*2-3)),"",INDEX(Array_OtherEnergyChargeData,ROW()-24,COLUMN()*2-3))</f>
        <v/>
      </c>
    </row>
    <row r="110" spans="1:6" x14ac:dyDescent="0.35">
      <c r="A110" t="str">
        <f>IF('Other Energy Meters'!B88="",A109,'Other Energy Meters'!B88)</f>
        <v>Meter Numbers</v>
      </c>
      <c r="B110" t="str" cm="1">
        <f>IF(ISBLANK(INDEX(Array_OtherEnergyChargeData,ROW()-24,COLUMN()*2-3)),"",INDEX(Array_OtherEnergyChargeData,ROW()-24,COLUMN()*2-3))</f>
        <v/>
      </c>
      <c r="C110" t="str" cm="1">
        <f>IF(ISBLANK(INDEX(Array_OtherEnergyChargeData,ROW()-24,COLUMN()*2-3)),"",INDEX(Array_OtherEnergyChargeData,ROW()-24,COLUMN()*2-3))</f>
        <v/>
      </c>
      <c r="D110" t="str" cm="1">
        <f>IF(ISBLANK(INDEX(Array_OtherEnergyChargeData,ROW()-24,COLUMN()*2-3)),"",INDEX(Array_OtherEnergyChargeData,ROW()-24,COLUMN()*2-3))</f>
        <v/>
      </c>
      <c r="E110" t="str" cm="1">
        <f>IF(ISBLANK(INDEX(Array_OtherEnergyChargeData,ROW()-24,COLUMN()*2-3)),"",INDEX(Array_OtherEnergyChargeData,ROW()-24,COLUMN()*2-3))</f>
        <v/>
      </c>
      <c r="F110" t="str" cm="1">
        <f>IF(ISBLANK(INDEX(Array_OtherEnergyChargeData,ROW()-24,COLUMN()*2-3)),"",INDEX(Array_OtherEnergyChargeData,ROW()-24,COLUMN()*2-3))</f>
        <v/>
      </c>
    </row>
    <row r="111" spans="1:6" x14ac:dyDescent="0.35">
      <c r="A111" t="str">
        <f>IF('Other Energy Meters'!B89="",A110,'Other Energy Meters'!B89)</f>
        <v>Meter Numbers</v>
      </c>
      <c r="B111" t="str" cm="1">
        <f>IF(ISBLANK(INDEX(Array_OtherEnergyChargeData,ROW()-24,COLUMN()*2-3)),"",INDEX(Array_OtherEnergyChargeData,ROW()-24,COLUMN()*2-3))</f>
        <v/>
      </c>
      <c r="C111" t="str" cm="1">
        <f>IF(ISBLANK(INDEX(Array_OtherEnergyChargeData,ROW()-24,COLUMN()*2-3)),"",INDEX(Array_OtherEnergyChargeData,ROW()-24,COLUMN()*2-3))</f>
        <v/>
      </c>
      <c r="D111" t="str" cm="1">
        <f>IF(ISBLANK(INDEX(Array_OtherEnergyChargeData,ROW()-24,COLUMN()*2-3)),"",INDEX(Array_OtherEnergyChargeData,ROW()-24,COLUMN()*2-3))</f>
        <v/>
      </c>
      <c r="E111" t="str" cm="1">
        <f>IF(ISBLANK(INDEX(Array_OtherEnergyChargeData,ROW()-24,COLUMN()*2-3)),"",INDEX(Array_OtherEnergyChargeData,ROW()-24,COLUMN()*2-3))</f>
        <v/>
      </c>
      <c r="F111" t="str" cm="1">
        <f>IF(ISBLANK(INDEX(Array_OtherEnergyChargeData,ROW()-24,COLUMN()*2-3)),"",INDEX(Array_OtherEnergyChargeData,ROW()-24,COLUMN()*2-3))</f>
        <v/>
      </c>
    </row>
    <row r="112" spans="1:6" x14ac:dyDescent="0.35">
      <c r="A112" t="str">
        <f>IF('Other Energy Meters'!B90="",A111,'Other Energy Meters'!B90)</f>
        <v>Meter Numbers</v>
      </c>
      <c r="B112" t="str" cm="1">
        <f>IF(ISBLANK(INDEX(Array_OtherEnergyChargeData,ROW()-24,COLUMN()*2-3)),"",INDEX(Array_OtherEnergyChargeData,ROW()-24,COLUMN()*2-3))</f>
        <v/>
      </c>
      <c r="C112" t="str" cm="1">
        <f>IF(ISBLANK(INDEX(Array_OtherEnergyChargeData,ROW()-24,COLUMN()*2-3)),"",INDEX(Array_OtherEnergyChargeData,ROW()-24,COLUMN()*2-3))</f>
        <v/>
      </c>
      <c r="D112" t="str" cm="1">
        <f>IF(ISBLANK(INDEX(Array_OtherEnergyChargeData,ROW()-24,COLUMN()*2-3)),"",INDEX(Array_OtherEnergyChargeData,ROW()-24,COLUMN()*2-3))</f>
        <v/>
      </c>
      <c r="E112" t="str" cm="1">
        <f>IF(ISBLANK(INDEX(Array_OtherEnergyChargeData,ROW()-24,COLUMN()*2-3)),"",INDEX(Array_OtherEnergyChargeData,ROW()-24,COLUMN()*2-3))</f>
        <v/>
      </c>
      <c r="F112" t="str" cm="1">
        <f>IF(ISBLANK(INDEX(Array_OtherEnergyChargeData,ROW()-24,COLUMN()*2-3)),"",INDEX(Array_OtherEnergyChargeData,ROW()-24,COLUMN()*2-3))</f>
        <v/>
      </c>
    </row>
    <row r="113" spans="1:6" x14ac:dyDescent="0.35">
      <c r="A113" t="str">
        <f>IF('Other Energy Meters'!B91="",A112,'Other Energy Meters'!B91)</f>
        <v>Meter Numbers</v>
      </c>
      <c r="B113" t="str" cm="1">
        <f>IF(ISBLANK(INDEX(Array_OtherEnergyChargeData,ROW()-24,COLUMN()*2-3)),"",INDEX(Array_OtherEnergyChargeData,ROW()-24,COLUMN()*2-3))</f>
        <v/>
      </c>
      <c r="C113" t="str" cm="1">
        <f>IF(ISBLANK(INDEX(Array_OtherEnergyChargeData,ROW()-24,COLUMN()*2-3)),"",INDEX(Array_OtherEnergyChargeData,ROW()-24,COLUMN()*2-3))</f>
        <v/>
      </c>
      <c r="D113" t="str" cm="1">
        <f>IF(ISBLANK(INDEX(Array_OtherEnergyChargeData,ROW()-24,COLUMN()*2-3)),"",INDEX(Array_OtherEnergyChargeData,ROW()-24,COLUMN()*2-3))</f>
        <v/>
      </c>
      <c r="E113" t="str" cm="1">
        <f>IF(ISBLANK(INDEX(Array_OtherEnergyChargeData,ROW()-24,COLUMN()*2-3)),"",INDEX(Array_OtherEnergyChargeData,ROW()-24,COLUMN()*2-3))</f>
        <v/>
      </c>
      <c r="F113" t="str" cm="1">
        <f>IF(ISBLANK(INDEX(Array_OtherEnergyChargeData,ROW()-24,COLUMN()*2-3)),"",INDEX(Array_OtherEnergyChargeData,ROW()-24,COLUMN()*2-3))</f>
        <v/>
      </c>
    </row>
    <row r="114" spans="1:6" x14ac:dyDescent="0.35">
      <c r="A114" t="str">
        <f>IF('Other Energy Meters'!B92="",A113,'Other Energy Meters'!B92)</f>
        <v>Meter Numbers</v>
      </c>
      <c r="B114" t="str" cm="1">
        <f>IF(ISBLANK(INDEX(Array_OtherEnergyChargeData,ROW()-24,COLUMN()*2-3)),"",INDEX(Array_OtherEnergyChargeData,ROW()-24,COLUMN()*2-3))</f>
        <v/>
      </c>
      <c r="C114" t="str" cm="1">
        <f>IF(ISBLANK(INDEX(Array_OtherEnergyChargeData,ROW()-24,COLUMN()*2-3)),"",INDEX(Array_OtherEnergyChargeData,ROW()-24,COLUMN()*2-3))</f>
        <v/>
      </c>
      <c r="D114" t="str" cm="1">
        <f>IF(ISBLANK(INDEX(Array_OtherEnergyChargeData,ROW()-24,COLUMN()*2-3)),"",INDEX(Array_OtherEnergyChargeData,ROW()-24,COLUMN()*2-3))</f>
        <v/>
      </c>
      <c r="E114" t="str" cm="1">
        <f>IF(ISBLANK(INDEX(Array_OtherEnergyChargeData,ROW()-24,COLUMN()*2-3)),"",INDEX(Array_OtherEnergyChargeData,ROW()-24,COLUMN()*2-3))</f>
        <v/>
      </c>
      <c r="F114" t="str" cm="1">
        <f>IF(ISBLANK(INDEX(Array_OtherEnergyChargeData,ROW()-24,COLUMN()*2-3)),"",INDEX(Array_OtherEnergyChargeData,ROW()-24,COLUMN()*2-3))</f>
        <v/>
      </c>
    </row>
    <row r="115" spans="1:6" x14ac:dyDescent="0.35">
      <c r="A115" t="str">
        <f>IF('Other Energy Meters'!B93="",A114,'Other Energy Meters'!B93)</f>
        <v>Meter Numbers</v>
      </c>
      <c r="B115" t="str" cm="1">
        <f>IF(ISBLANK(INDEX(Array_OtherEnergyChargeData,ROW()-24,COLUMN()*2-3)),"",INDEX(Array_OtherEnergyChargeData,ROW()-24,COLUMN()*2-3))</f>
        <v/>
      </c>
      <c r="C115" t="str" cm="1">
        <f>IF(ISBLANK(INDEX(Array_OtherEnergyChargeData,ROW()-24,COLUMN()*2-3)),"",INDEX(Array_OtherEnergyChargeData,ROW()-24,COLUMN()*2-3))</f>
        <v/>
      </c>
      <c r="D115" t="str" cm="1">
        <f>IF(ISBLANK(INDEX(Array_OtherEnergyChargeData,ROW()-24,COLUMN()*2-3)),"",INDEX(Array_OtherEnergyChargeData,ROW()-24,COLUMN()*2-3))</f>
        <v/>
      </c>
      <c r="E115" t="str" cm="1">
        <f>IF(ISBLANK(INDEX(Array_OtherEnergyChargeData,ROW()-24,COLUMN()*2-3)),"",INDEX(Array_OtherEnergyChargeData,ROW()-24,COLUMN()*2-3))</f>
        <v/>
      </c>
      <c r="F115" t="str" cm="1">
        <f>IF(ISBLANK(INDEX(Array_OtherEnergyChargeData,ROW()-24,COLUMN()*2-3)),"",INDEX(Array_OtherEnergyChargeData,ROW()-24,COLUMN()*2-3))</f>
        <v/>
      </c>
    </row>
    <row r="116" spans="1:6" x14ac:dyDescent="0.35">
      <c r="A116" t="str">
        <f>IF('Other Energy Meters'!B94="",A115,'Other Energy Meters'!B94)</f>
        <v>Meter Numbers</v>
      </c>
      <c r="B116" t="str" cm="1">
        <f>IF(ISBLANK(INDEX(Array_OtherEnergyChargeData,ROW()-24,COLUMN()*2-3)),"",INDEX(Array_OtherEnergyChargeData,ROW()-24,COLUMN()*2-3))</f>
        <v/>
      </c>
      <c r="C116" t="str" cm="1">
        <f>IF(ISBLANK(INDEX(Array_OtherEnergyChargeData,ROW()-24,COLUMN()*2-3)),"",INDEX(Array_OtherEnergyChargeData,ROW()-24,COLUMN()*2-3))</f>
        <v/>
      </c>
      <c r="D116" t="str" cm="1">
        <f>IF(ISBLANK(INDEX(Array_OtherEnergyChargeData,ROW()-24,COLUMN()*2-3)),"",INDEX(Array_OtherEnergyChargeData,ROW()-24,COLUMN()*2-3))</f>
        <v/>
      </c>
      <c r="E116" t="str" cm="1">
        <f>IF(ISBLANK(INDEX(Array_OtherEnergyChargeData,ROW()-24,COLUMN()*2-3)),"",INDEX(Array_OtherEnergyChargeData,ROW()-24,COLUMN()*2-3))</f>
        <v/>
      </c>
      <c r="F116" t="str" cm="1">
        <f>IF(ISBLANK(INDEX(Array_OtherEnergyChargeData,ROW()-24,COLUMN()*2-3)),"",INDEX(Array_OtherEnergyChargeData,ROW()-24,COLUMN()*2-3))</f>
        <v/>
      </c>
    </row>
    <row r="117" spans="1:6" x14ac:dyDescent="0.35">
      <c r="A117" t="str">
        <f>IF('Other Energy Meters'!B95="",A116,'Other Energy Meters'!B95)</f>
        <v>Meter Numbers</v>
      </c>
      <c r="B117" t="str" cm="1">
        <f>IF(ISBLANK(INDEX(Array_OtherEnergyChargeData,ROW()-24,COLUMN()*2-3)),"",INDEX(Array_OtherEnergyChargeData,ROW()-24,COLUMN()*2-3))</f>
        <v/>
      </c>
      <c r="C117" t="str" cm="1">
        <f>IF(ISBLANK(INDEX(Array_OtherEnergyChargeData,ROW()-24,COLUMN()*2-3)),"",INDEX(Array_OtherEnergyChargeData,ROW()-24,COLUMN()*2-3))</f>
        <v/>
      </c>
      <c r="D117" t="str" cm="1">
        <f>IF(ISBLANK(INDEX(Array_OtherEnergyChargeData,ROW()-24,COLUMN()*2-3)),"",INDEX(Array_OtherEnergyChargeData,ROW()-24,COLUMN()*2-3))</f>
        <v/>
      </c>
      <c r="E117" t="str" cm="1">
        <f>IF(ISBLANK(INDEX(Array_OtherEnergyChargeData,ROW()-24,COLUMN()*2-3)),"",INDEX(Array_OtherEnergyChargeData,ROW()-24,COLUMN()*2-3))</f>
        <v/>
      </c>
      <c r="F117" t="str" cm="1">
        <f>IF(ISBLANK(INDEX(Array_OtherEnergyChargeData,ROW()-24,COLUMN()*2-3)),"",INDEX(Array_OtherEnergyChargeData,ROW()-24,COLUMN()*2-3))</f>
        <v/>
      </c>
    </row>
    <row r="118" spans="1:6" x14ac:dyDescent="0.35">
      <c r="A118" t="str">
        <f>IF('Other Energy Meters'!B96="",A117,'Other Energy Meters'!B96)</f>
        <v>Meter Numbers</v>
      </c>
      <c r="B118" t="str" cm="1">
        <f>IF(ISBLANK(INDEX(Array_OtherEnergyChargeData,ROW()-24,COLUMN()*2-3)),"",INDEX(Array_OtherEnergyChargeData,ROW()-24,COLUMN()*2-3))</f>
        <v/>
      </c>
      <c r="C118" t="str" cm="1">
        <f>IF(ISBLANK(INDEX(Array_OtherEnergyChargeData,ROW()-24,COLUMN()*2-3)),"",INDEX(Array_OtherEnergyChargeData,ROW()-24,COLUMN()*2-3))</f>
        <v/>
      </c>
      <c r="D118" t="str" cm="1">
        <f>IF(ISBLANK(INDEX(Array_OtherEnergyChargeData,ROW()-24,COLUMN()*2-3)),"",INDEX(Array_OtherEnergyChargeData,ROW()-24,COLUMN()*2-3))</f>
        <v/>
      </c>
      <c r="E118" t="str" cm="1">
        <f>IF(ISBLANK(INDEX(Array_OtherEnergyChargeData,ROW()-24,COLUMN()*2-3)),"",INDEX(Array_OtherEnergyChargeData,ROW()-24,COLUMN()*2-3))</f>
        <v/>
      </c>
      <c r="F118" t="str" cm="1">
        <f>IF(ISBLANK(INDEX(Array_OtherEnergyChargeData,ROW()-24,COLUMN()*2-3)),"",INDEX(Array_OtherEnergyChargeData,ROW()-24,COLUMN()*2-3))</f>
        <v/>
      </c>
    </row>
    <row r="119" spans="1:6" x14ac:dyDescent="0.35">
      <c r="A119" t="str">
        <f>IF('Other Energy Meters'!B97="",A118,'Other Energy Meters'!B97)</f>
        <v>Meter Numbers</v>
      </c>
      <c r="B119" t="str" cm="1">
        <f>IF(ISBLANK(INDEX(Array_OtherEnergyChargeData,ROW()-24,COLUMN()*2-3)),"",INDEX(Array_OtherEnergyChargeData,ROW()-24,COLUMN()*2-3))</f>
        <v/>
      </c>
      <c r="C119" t="str" cm="1">
        <f>IF(ISBLANK(INDEX(Array_OtherEnergyChargeData,ROW()-24,COLUMN()*2-3)),"",INDEX(Array_OtherEnergyChargeData,ROW()-24,COLUMN()*2-3))</f>
        <v/>
      </c>
      <c r="D119" t="str" cm="1">
        <f>IF(ISBLANK(INDEX(Array_OtherEnergyChargeData,ROW()-24,COLUMN()*2-3)),"",INDEX(Array_OtherEnergyChargeData,ROW()-24,COLUMN()*2-3))</f>
        <v/>
      </c>
      <c r="E119" t="str" cm="1">
        <f>IF(ISBLANK(INDEX(Array_OtherEnergyChargeData,ROW()-24,COLUMN()*2-3)),"",INDEX(Array_OtherEnergyChargeData,ROW()-24,COLUMN()*2-3))</f>
        <v/>
      </c>
      <c r="F119" t="str" cm="1">
        <f>IF(ISBLANK(INDEX(Array_OtherEnergyChargeData,ROW()-24,COLUMN()*2-3)),"",INDEX(Array_OtherEnergyChargeData,ROW()-24,COLUMN()*2-3))</f>
        <v/>
      </c>
    </row>
    <row r="120" spans="1:6" x14ac:dyDescent="0.35">
      <c r="A120" t="str">
        <f>IF('Other Energy Meters'!B98="",A119,'Other Energy Meters'!B98)</f>
        <v>Meter Numbers</v>
      </c>
      <c r="B120" t="str" cm="1">
        <f>IF(ISBLANK(INDEX(Array_OtherEnergyChargeData,ROW()-24,COLUMN()*2-3)),"",INDEX(Array_OtherEnergyChargeData,ROW()-24,COLUMN()*2-3))</f>
        <v/>
      </c>
      <c r="C120" t="str" cm="1">
        <f>IF(ISBLANK(INDEX(Array_OtherEnergyChargeData,ROW()-24,COLUMN()*2-3)),"",INDEX(Array_OtherEnergyChargeData,ROW()-24,COLUMN()*2-3))</f>
        <v/>
      </c>
      <c r="D120" t="str" cm="1">
        <f>IF(ISBLANK(INDEX(Array_OtherEnergyChargeData,ROW()-24,COLUMN()*2-3)),"",INDEX(Array_OtherEnergyChargeData,ROW()-24,COLUMN()*2-3))</f>
        <v/>
      </c>
      <c r="E120" t="str" cm="1">
        <f>IF(ISBLANK(INDEX(Array_OtherEnergyChargeData,ROW()-24,COLUMN()*2-3)),"",INDEX(Array_OtherEnergyChargeData,ROW()-24,COLUMN()*2-3))</f>
        <v/>
      </c>
      <c r="F120" t="str" cm="1">
        <f>IF(ISBLANK(INDEX(Array_OtherEnergyChargeData,ROW()-24,COLUMN()*2-3)),"",INDEX(Array_OtherEnergyChargeData,ROW()-24,COLUMN()*2-3))</f>
        <v/>
      </c>
    </row>
    <row r="121" spans="1:6" x14ac:dyDescent="0.35">
      <c r="A121" t="str">
        <f>IF('Other Energy Meters'!B99="",A120,'Other Energy Meters'!B99)</f>
        <v>Meter Numbers</v>
      </c>
      <c r="B121" t="str" cm="1">
        <f>IF(ISBLANK(INDEX(Array_OtherEnergyChargeData,ROW()-24,COLUMN()*2-3)),"",INDEX(Array_OtherEnergyChargeData,ROW()-24,COLUMN()*2-3))</f>
        <v/>
      </c>
      <c r="C121" t="str" cm="1">
        <f>IF(ISBLANK(INDEX(Array_OtherEnergyChargeData,ROW()-24,COLUMN()*2-3)),"",INDEX(Array_OtherEnergyChargeData,ROW()-24,COLUMN()*2-3))</f>
        <v/>
      </c>
      <c r="D121" t="str" cm="1">
        <f>IF(ISBLANK(INDEX(Array_OtherEnergyChargeData,ROW()-24,COLUMN()*2-3)),"",INDEX(Array_OtherEnergyChargeData,ROW()-24,COLUMN()*2-3))</f>
        <v/>
      </c>
      <c r="E121" t="str" cm="1">
        <f>IF(ISBLANK(INDEX(Array_OtherEnergyChargeData,ROW()-24,COLUMN()*2-3)),"",INDEX(Array_OtherEnergyChargeData,ROW()-24,COLUMN()*2-3))</f>
        <v/>
      </c>
      <c r="F121" t="str" cm="1">
        <f>IF(ISBLANK(INDEX(Array_OtherEnergyChargeData,ROW()-24,COLUMN()*2-3)),"",INDEX(Array_OtherEnergyChargeData,ROW()-24,COLUMN()*2-3))</f>
        <v/>
      </c>
    </row>
    <row r="122" spans="1:6" x14ac:dyDescent="0.35">
      <c r="A122" t="str">
        <f>IF('Other Energy Meters'!B100="",A121,'Other Energy Meters'!B100)</f>
        <v>Meter Numbers</v>
      </c>
      <c r="B122" t="str" cm="1">
        <f>IF(ISBLANK(INDEX(Array_OtherEnergyChargeData,ROW()-24,COLUMN()*2-3)),"",INDEX(Array_OtherEnergyChargeData,ROW()-24,COLUMN()*2-3))</f>
        <v/>
      </c>
      <c r="C122" t="str" cm="1">
        <f>IF(ISBLANK(INDEX(Array_OtherEnergyChargeData,ROW()-24,COLUMN()*2-3)),"",INDEX(Array_OtherEnergyChargeData,ROW()-24,COLUMN()*2-3))</f>
        <v/>
      </c>
      <c r="D122" t="str" cm="1">
        <f>IF(ISBLANK(INDEX(Array_OtherEnergyChargeData,ROW()-24,COLUMN()*2-3)),"",INDEX(Array_OtherEnergyChargeData,ROW()-24,COLUMN()*2-3))</f>
        <v/>
      </c>
      <c r="E122" t="str" cm="1">
        <f>IF(ISBLANK(INDEX(Array_OtherEnergyChargeData,ROW()-24,COLUMN()*2-3)),"",INDEX(Array_OtherEnergyChargeData,ROW()-24,COLUMN()*2-3))</f>
        <v/>
      </c>
      <c r="F122" t="str" cm="1">
        <f>IF(ISBLANK(INDEX(Array_OtherEnergyChargeData,ROW()-24,COLUMN()*2-3)),"",INDEX(Array_OtherEnergyChargeData,ROW()-24,COLUMN()*2-3))</f>
        <v/>
      </c>
    </row>
    <row r="123" spans="1:6" x14ac:dyDescent="0.35">
      <c r="A123" t="str">
        <f>IF('Other Energy Meters'!B101="",A122,'Other Energy Meters'!B101)</f>
        <v>Meter Numbers</v>
      </c>
      <c r="B123" t="str" cm="1">
        <f>IF(ISBLANK(INDEX(Array_OtherEnergyChargeData,ROW()-24,COLUMN()*2-3)),"",INDEX(Array_OtherEnergyChargeData,ROW()-24,COLUMN()*2-3))</f>
        <v/>
      </c>
      <c r="C123" t="str" cm="1">
        <f>IF(ISBLANK(INDEX(Array_OtherEnergyChargeData,ROW()-24,COLUMN()*2-3)),"",INDEX(Array_OtherEnergyChargeData,ROW()-24,COLUMN()*2-3))</f>
        <v/>
      </c>
      <c r="D123" t="str" cm="1">
        <f>IF(ISBLANK(INDEX(Array_OtherEnergyChargeData,ROW()-24,COLUMN()*2-3)),"",INDEX(Array_OtherEnergyChargeData,ROW()-24,COLUMN()*2-3))</f>
        <v/>
      </c>
      <c r="E123" t="str" cm="1">
        <f>IF(ISBLANK(INDEX(Array_OtherEnergyChargeData,ROW()-24,COLUMN()*2-3)),"",INDEX(Array_OtherEnergyChargeData,ROW()-24,COLUMN()*2-3))</f>
        <v/>
      </c>
      <c r="F123" t="str" cm="1">
        <f>IF(ISBLANK(INDEX(Array_OtherEnergyChargeData,ROW()-24,COLUMN()*2-3)),"",INDEX(Array_OtherEnergyChargeData,ROW()-24,COLUMN()*2-3))</f>
        <v/>
      </c>
    </row>
    <row r="124" spans="1:6" x14ac:dyDescent="0.35">
      <c r="A124" t="str">
        <f>IF('Other Energy Meters'!B102="",A123,'Other Energy Meters'!B102)</f>
        <v>Meter Numbers</v>
      </c>
      <c r="B124" t="str" cm="1">
        <f>IF(ISBLANK(INDEX(Array_OtherEnergyChargeData,ROW()-24,COLUMN()*2-3)),"",INDEX(Array_OtherEnergyChargeData,ROW()-24,COLUMN()*2-3))</f>
        <v/>
      </c>
      <c r="C124" t="str" cm="1">
        <f>IF(ISBLANK(INDEX(Array_OtherEnergyChargeData,ROW()-24,COLUMN()*2-3)),"",INDEX(Array_OtherEnergyChargeData,ROW()-24,COLUMN()*2-3))</f>
        <v/>
      </c>
      <c r="D124" t="str" cm="1">
        <f>IF(ISBLANK(INDEX(Array_OtherEnergyChargeData,ROW()-24,COLUMN()*2-3)),"",INDEX(Array_OtherEnergyChargeData,ROW()-24,COLUMN()*2-3))</f>
        <v/>
      </c>
      <c r="E124" t="str" cm="1">
        <f>IF(ISBLANK(INDEX(Array_OtherEnergyChargeData,ROW()-24,COLUMN()*2-3)),"",INDEX(Array_OtherEnergyChargeData,ROW()-24,COLUMN()*2-3))</f>
        <v/>
      </c>
      <c r="F124" t="str" cm="1">
        <f>IF(ISBLANK(INDEX(Array_OtherEnergyChargeData,ROW()-24,COLUMN()*2-3)),"",INDEX(Array_OtherEnergyChargeData,ROW()-24,COLUMN()*2-3))</f>
        <v/>
      </c>
    </row>
    <row r="125" spans="1:6" x14ac:dyDescent="0.35">
      <c r="A125" t="str">
        <f>IF('Other Energy Meters'!B103="",A124,'Other Energy Meters'!B103)</f>
        <v>Meter Numbers</v>
      </c>
      <c r="B125" t="str" cm="1">
        <f>IF(ISBLANK(INDEX(Array_OtherEnergyChargeData,ROW()-24,COLUMN()*2-3)),"",INDEX(Array_OtherEnergyChargeData,ROW()-24,COLUMN()*2-3))</f>
        <v/>
      </c>
      <c r="C125" t="str" cm="1">
        <f>IF(ISBLANK(INDEX(Array_OtherEnergyChargeData,ROW()-24,COLUMN()*2-3)),"",INDEX(Array_OtherEnergyChargeData,ROW()-24,COLUMN()*2-3))</f>
        <v/>
      </c>
      <c r="D125" t="str" cm="1">
        <f>IF(ISBLANK(INDEX(Array_OtherEnergyChargeData,ROW()-24,COLUMN()*2-3)),"",INDEX(Array_OtherEnergyChargeData,ROW()-24,COLUMN()*2-3))</f>
        <v/>
      </c>
      <c r="E125" t="str" cm="1">
        <f>IF(ISBLANK(INDEX(Array_OtherEnergyChargeData,ROW()-24,COLUMN()*2-3)),"",INDEX(Array_OtherEnergyChargeData,ROW()-24,COLUMN()*2-3))</f>
        <v/>
      </c>
      <c r="F125" t="str" cm="1">
        <f>IF(ISBLANK(INDEX(Array_OtherEnergyChargeData,ROW()-24,COLUMN()*2-3)),"",INDEX(Array_OtherEnergyChargeData,ROW()-24,COLUMN()*2-3))</f>
        <v/>
      </c>
    </row>
    <row r="126" spans="1:6" x14ac:dyDescent="0.35">
      <c r="A126" t="str">
        <f>IF('Other Energy Meters'!B104="",A125,'Other Energy Meters'!B104)</f>
        <v>Meter Numbers</v>
      </c>
      <c r="B126" t="str" cm="1">
        <f>IF(ISBLANK(INDEX(Array_OtherEnergyChargeData,ROW()-24,COLUMN()*2-3)),"",INDEX(Array_OtherEnergyChargeData,ROW()-24,COLUMN()*2-3))</f>
        <v/>
      </c>
      <c r="C126" t="str" cm="1">
        <f>IF(ISBLANK(INDEX(Array_OtherEnergyChargeData,ROW()-24,COLUMN()*2-3)),"",INDEX(Array_OtherEnergyChargeData,ROW()-24,COLUMN()*2-3))</f>
        <v/>
      </c>
      <c r="D126" t="str" cm="1">
        <f>IF(ISBLANK(INDEX(Array_OtherEnergyChargeData,ROW()-24,COLUMN()*2-3)),"",INDEX(Array_OtherEnergyChargeData,ROW()-24,COLUMN()*2-3))</f>
        <v/>
      </c>
      <c r="E126" t="str" cm="1">
        <f>IF(ISBLANK(INDEX(Array_OtherEnergyChargeData,ROW()-24,COLUMN()*2-3)),"",INDEX(Array_OtherEnergyChargeData,ROW()-24,COLUMN()*2-3))</f>
        <v/>
      </c>
      <c r="F126" t="str" cm="1">
        <f>IF(ISBLANK(INDEX(Array_OtherEnergyChargeData,ROW()-24,COLUMN()*2-3)),"",INDEX(Array_OtherEnergyChargeData,ROW()-24,COLUMN()*2-3))</f>
        <v/>
      </c>
    </row>
    <row r="127" spans="1:6" x14ac:dyDescent="0.35">
      <c r="A127" t="str">
        <f>IF('Other Energy Meters'!B105="",A126,'Other Energy Meters'!B105)</f>
        <v>Meter Numbers</v>
      </c>
      <c r="B127" t="str" cm="1">
        <f>IF(ISBLANK(INDEX(Array_OtherEnergyChargeData,ROW()-24,COLUMN()*2-3)),"",INDEX(Array_OtherEnergyChargeData,ROW()-24,COLUMN()*2-3))</f>
        <v/>
      </c>
      <c r="C127" t="str" cm="1">
        <f>IF(ISBLANK(INDEX(Array_OtherEnergyChargeData,ROW()-24,COLUMN()*2-3)),"",INDEX(Array_OtherEnergyChargeData,ROW()-24,COLUMN()*2-3))</f>
        <v/>
      </c>
      <c r="D127" t="str" cm="1">
        <f>IF(ISBLANK(INDEX(Array_OtherEnergyChargeData,ROW()-24,COLUMN()*2-3)),"",INDEX(Array_OtherEnergyChargeData,ROW()-24,COLUMN()*2-3))</f>
        <v/>
      </c>
      <c r="E127" t="str" cm="1">
        <f>IF(ISBLANK(INDEX(Array_OtherEnergyChargeData,ROW()-24,COLUMN()*2-3)),"",INDEX(Array_OtherEnergyChargeData,ROW()-24,COLUMN()*2-3))</f>
        <v/>
      </c>
      <c r="F127" t="str" cm="1">
        <f>IF(ISBLANK(INDEX(Array_OtherEnergyChargeData,ROW()-24,COLUMN()*2-3)),"",INDEX(Array_OtherEnergyChargeData,ROW()-24,COLUMN()*2-3))</f>
        <v/>
      </c>
    </row>
    <row r="128" spans="1:6" x14ac:dyDescent="0.35">
      <c r="A128" t="str">
        <f>IF('Other Energy Meters'!B106="",A127,'Other Energy Meters'!B106)</f>
        <v>Meter Numbers</v>
      </c>
      <c r="B128" t="str" cm="1">
        <f>IF(ISBLANK(INDEX(Array_OtherEnergyChargeData,ROW()-24,COLUMN()*2-3)),"",INDEX(Array_OtherEnergyChargeData,ROW()-24,COLUMN()*2-3))</f>
        <v/>
      </c>
      <c r="C128" t="str" cm="1">
        <f>IF(ISBLANK(INDEX(Array_OtherEnergyChargeData,ROW()-24,COLUMN()*2-3)),"",INDEX(Array_OtherEnergyChargeData,ROW()-24,COLUMN()*2-3))</f>
        <v/>
      </c>
      <c r="D128" t="str" cm="1">
        <f>IF(ISBLANK(INDEX(Array_OtherEnergyChargeData,ROW()-24,COLUMN()*2-3)),"",INDEX(Array_OtherEnergyChargeData,ROW()-24,COLUMN()*2-3))</f>
        <v/>
      </c>
      <c r="E128" t="str" cm="1">
        <f>IF(ISBLANK(INDEX(Array_OtherEnergyChargeData,ROW()-24,COLUMN()*2-3)),"",INDEX(Array_OtherEnergyChargeData,ROW()-24,COLUMN()*2-3))</f>
        <v/>
      </c>
      <c r="F128" t="str" cm="1">
        <f>IF(ISBLANK(INDEX(Array_OtherEnergyChargeData,ROW()-24,COLUMN()*2-3)),"",INDEX(Array_OtherEnergyChargeData,ROW()-24,COLUMN()*2-3))</f>
        <v/>
      </c>
    </row>
    <row r="129" spans="1:6" x14ac:dyDescent="0.35">
      <c r="A129" t="str">
        <f>IF('Other Energy Meters'!B107="",A128,'Other Energy Meters'!B107)</f>
        <v>Meter Numbers</v>
      </c>
      <c r="B129" t="str" cm="1">
        <f>IF(ISBLANK(INDEX(Array_OtherEnergyChargeData,ROW()-24,COLUMN()*2-3)),"",INDEX(Array_OtherEnergyChargeData,ROW()-24,COLUMN()*2-3))</f>
        <v/>
      </c>
      <c r="C129" t="str" cm="1">
        <f>IF(ISBLANK(INDEX(Array_OtherEnergyChargeData,ROW()-24,COLUMN()*2-3)),"",INDEX(Array_OtherEnergyChargeData,ROW()-24,COLUMN()*2-3))</f>
        <v/>
      </c>
      <c r="D129" t="str" cm="1">
        <f>IF(ISBLANK(INDEX(Array_OtherEnergyChargeData,ROW()-24,COLUMN()*2-3)),"",INDEX(Array_OtherEnergyChargeData,ROW()-24,COLUMN()*2-3))</f>
        <v/>
      </c>
      <c r="E129" t="str" cm="1">
        <f>IF(ISBLANK(INDEX(Array_OtherEnergyChargeData,ROW()-24,COLUMN()*2-3)),"",INDEX(Array_OtherEnergyChargeData,ROW()-24,COLUMN()*2-3))</f>
        <v/>
      </c>
      <c r="F129" t="str" cm="1">
        <f>IF(ISBLANK(INDEX(Array_OtherEnergyChargeData,ROW()-24,COLUMN()*2-3)),"",INDEX(Array_OtherEnergyChargeData,ROW()-24,COLUMN()*2-3))</f>
        <v/>
      </c>
    </row>
    <row r="130" spans="1:6" x14ac:dyDescent="0.35">
      <c r="A130" t="str">
        <f>IF('Other Energy Meters'!B108="",A129,'Other Energy Meters'!B108)</f>
        <v>Meter Numbers</v>
      </c>
      <c r="B130" t="str" cm="1">
        <f>IF(ISBLANK(INDEX(Array_OtherEnergyChargeData,ROW()-24,COLUMN()*2-3)),"",INDEX(Array_OtherEnergyChargeData,ROW()-24,COLUMN()*2-3))</f>
        <v/>
      </c>
      <c r="C130" t="str" cm="1">
        <f>IF(ISBLANK(INDEX(Array_OtherEnergyChargeData,ROW()-24,COLUMN()*2-3)),"",INDEX(Array_OtherEnergyChargeData,ROW()-24,COLUMN()*2-3))</f>
        <v/>
      </c>
      <c r="D130" t="str" cm="1">
        <f>IF(ISBLANK(INDEX(Array_OtherEnergyChargeData,ROW()-24,COLUMN()*2-3)),"",INDEX(Array_OtherEnergyChargeData,ROW()-24,COLUMN()*2-3))</f>
        <v/>
      </c>
      <c r="E130" t="str" cm="1">
        <f>IF(ISBLANK(INDEX(Array_OtherEnergyChargeData,ROW()-24,COLUMN()*2-3)),"",INDEX(Array_OtherEnergyChargeData,ROW()-24,COLUMN()*2-3))</f>
        <v/>
      </c>
      <c r="F130" t="str" cm="1">
        <f>IF(ISBLANK(INDEX(Array_OtherEnergyChargeData,ROW()-24,COLUMN()*2-3)),"",INDEX(Array_OtherEnergyChargeData,ROW()-24,COLUMN()*2-3))</f>
        <v/>
      </c>
    </row>
    <row r="131" spans="1:6" x14ac:dyDescent="0.35">
      <c r="A131" t="str">
        <f>IF('Other Energy Meters'!B109="",A130,'Other Energy Meters'!B109)</f>
        <v>Meter Numbers</v>
      </c>
      <c r="B131" t="str" cm="1">
        <f>IF(ISBLANK(INDEX(Array_OtherEnergyChargeData,ROW()-24,COLUMN()*2-3)),"",INDEX(Array_OtherEnergyChargeData,ROW()-24,COLUMN()*2-3))</f>
        <v/>
      </c>
      <c r="C131" t="str" cm="1">
        <f>IF(ISBLANK(INDEX(Array_OtherEnergyChargeData,ROW()-24,COLUMN()*2-3)),"",INDEX(Array_OtherEnergyChargeData,ROW()-24,COLUMN()*2-3))</f>
        <v/>
      </c>
      <c r="D131" t="str" cm="1">
        <f>IF(ISBLANK(INDEX(Array_OtherEnergyChargeData,ROW()-24,COLUMN()*2-3)),"",INDEX(Array_OtherEnergyChargeData,ROW()-24,COLUMN()*2-3))</f>
        <v/>
      </c>
      <c r="E131" t="str" cm="1">
        <f>IF(ISBLANK(INDEX(Array_OtherEnergyChargeData,ROW()-24,COLUMN()*2-3)),"",INDEX(Array_OtherEnergyChargeData,ROW()-24,COLUMN()*2-3))</f>
        <v/>
      </c>
      <c r="F131" t="str" cm="1">
        <f>IF(ISBLANK(INDEX(Array_OtherEnergyChargeData,ROW()-24,COLUMN()*2-3)),"",INDEX(Array_OtherEnergyChargeData,ROW()-24,COLUMN()*2-3))</f>
        <v/>
      </c>
    </row>
    <row r="132" spans="1:6" x14ac:dyDescent="0.35">
      <c r="A132" t="str">
        <f>IF('Other Energy Meters'!B110="",A131,'Other Energy Meters'!B110)</f>
        <v>Meter Numbers</v>
      </c>
      <c r="B132" t="str" cm="1">
        <f>IF(ISBLANK(INDEX(Array_OtherEnergyChargeData,ROW()-24,COLUMN()*2-3)),"",INDEX(Array_OtherEnergyChargeData,ROW()-24,COLUMN()*2-3))</f>
        <v/>
      </c>
      <c r="C132" t="str" cm="1">
        <f>IF(ISBLANK(INDEX(Array_OtherEnergyChargeData,ROW()-24,COLUMN()*2-3)),"",INDEX(Array_OtherEnergyChargeData,ROW()-24,COLUMN()*2-3))</f>
        <v/>
      </c>
      <c r="D132" t="str" cm="1">
        <f>IF(ISBLANK(INDEX(Array_OtherEnergyChargeData,ROW()-24,COLUMN()*2-3)),"",INDEX(Array_OtherEnergyChargeData,ROW()-24,COLUMN()*2-3))</f>
        <v/>
      </c>
      <c r="E132" t="str" cm="1">
        <f>IF(ISBLANK(INDEX(Array_OtherEnergyChargeData,ROW()-24,COLUMN()*2-3)),"",INDEX(Array_OtherEnergyChargeData,ROW()-24,COLUMN()*2-3))</f>
        <v/>
      </c>
      <c r="F132" t="str" cm="1">
        <f>IF(ISBLANK(INDEX(Array_OtherEnergyChargeData,ROW()-24,COLUMN()*2-3)),"",INDEX(Array_OtherEnergyChargeData,ROW()-24,COLUMN()*2-3))</f>
        <v/>
      </c>
    </row>
    <row r="133" spans="1:6" x14ac:dyDescent="0.35">
      <c r="A133" t="str">
        <f>IF('Other Energy Meters'!B111="",A132,'Other Energy Meters'!B111)</f>
        <v>Meter Numbers</v>
      </c>
      <c r="B133" t="str" cm="1">
        <f>IF(ISBLANK(INDEX(Array_OtherEnergyChargeData,ROW()-24,COLUMN()*2-3)),"",INDEX(Array_OtherEnergyChargeData,ROW()-24,COLUMN()*2-3))</f>
        <v/>
      </c>
      <c r="C133" t="str" cm="1">
        <f>IF(ISBLANK(INDEX(Array_OtherEnergyChargeData,ROW()-24,COLUMN()*2-3)),"",INDEX(Array_OtherEnergyChargeData,ROW()-24,COLUMN()*2-3))</f>
        <v/>
      </c>
      <c r="D133" t="str" cm="1">
        <f>IF(ISBLANK(INDEX(Array_OtherEnergyChargeData,ROW()-24,COLUMN()*2-3)),"",INDEX(Array_OtherEnergyChargeData,ROW()-24,COLUMN()*2-3))</f>
        <v/>
      </c>
      <c r="E133" t="str" cm="1">
        <f>IF(ISBLANK(INDEX(Array_OtherEnergyChargeData,ROW()-24,COLUMN()*2-3)),"",INDEX(Array_OtherEnergyChargeData,ROW()-24,COLUMN()*2-3))</f>
        <v/>
      </c>
      <c r="F133" t="str" cm="1">
        <f>IF(ISBLANK(INDEX(Array_OtherEnergyChargeData,ROW()-24,COLUMN()*2-3)),"",INDEX(Array_OtherEnergyChargeData,ROW()-24,COLUMN()*2-3))</f>
        <v/>
      </c>
    </row>
    <row r="134" spans="1:6" x14ac:dyDescent="0.35">
      <c r="A134" t="str">
        <f>IF('Other Energy Meters'!B112="",A133,'Other Energy Meters'!B112)</f>
        <v>Meter Numbers</v>
      </c>
      <c r="B134" t="str" cm="1">
        <f>IF(ISBLANK(INDEX(Array_OtherEnergyChargeData,ROW()-24,COLUMN()*2-3)),"",INDEX(Array_OtherEnergyChargeData,ROW()-24,COLUMN()*2-3))</f>
        <v/>
      </c>
      <c r="C134" t="str" cm="1">
        <f>IF(ISBLANK(INDEX(Array_OtherEnergyChargeData,ROW()-24,COLUMN()*2-3)),"",INDEX(Array_OtherEnergyChargeData,ROW()-24,COLUMN()*2-3))</f>
        <v/>
      </c>
      <c r="D134" t="str" cm="1">
        <f>IF(ISBLANK(INDEX(Array_OtherEnergyChargeData,ROW()-24,COLUMN()*2-3)),"",INDEX(Array_OtherEnergyChargeData,ROW()-24,COLUMN()*2-3))</f>
        <v/>
      </c>
      <c r="E134" t="str" cm="1">
        <f>IF(ISBLANK(INDEX(Array_OtherEnergyChargeData,ROW()-24,COLUMN()*2-3)),"",INDEX(Array_OtherEnergyChargeData,ROW()-24,COLUMN()*2-3))</f>
        <v/>
      </c>
      <c r="F134" t="str" cm="1">
        <f>IF(ISBLANK(INDEX(Array_OtherEnergyChargeData,ROW()-24,COLUMN()*2-3)),"",INDEX(Array_OtherEnergyChargeData,ROW()-24,COLUMN()*2-3))</f>
        <v/>
      </c>
    </row>
    <row r="135" spans="1:6" x14ac:dyDescent="0.35">
      <c r="A135" t="str">
        <f>IF('Other Energy Meters'!B113="",A134,'Other Energy Meters'!B113)</f>
        <v>Meter Numbers</v>
      </c>
      <c r="B135" t="str" cm="1">
        <f>IF(ISBLANK(INDEX(Array_OtherEnergyChargeData,ROW()-24,COLUMN()*2-3)),"",INDEX(Array_OtherEnergyChargeData,ROW()-24,COLUMN()*2-3))</f>
        <v/>
      </c>
      <c r="C135" t="str" cm="1">
        <f>IF(ISBLANK(INDEX(Array_OtherEnergyChargeData,ROW()-24,COLUMN()*2-3)),"",INDEX(Array_OtherEnergyChargeData,ROW()-24,COLUMN()*2-3))</f>
        <v/>
      </c>
      <c r="D135" t="str" cm="1">
        <f>IF(ISBLANK(INDEX(Array_OtherEnergyChargeData,ROW()-24,COLUMN()*2-3)),"",INDEX(Array_OtherEnergyChargeData,ROW()-24,COLUMN()*2-3))</f>
        <v/>
      </c>
      <c r="E135" t="str" cm="1">
        <f>IF(ISBLANK(INDEX(Array_OtherEnergyChargeData,ROW()-24,COLUMN()*2-3)),"",INDEX(Array_OtherEnergyChargeData,ROW()-24,COLUMN()*2-3))</f>
        <v/>
      </c>
      <c r="F135" t="str" cm="1">
        <f>IF(ISBLANK(INDEX(Array_OtherEnergyChargeData,ROW()-24,COLUMN()*2-3)),"",INDEX(Array_OtherEnergyChargeData,ROW()-24,COLUMN()*2-3))</f>
        <v/>
      </c>
    </row>
    <row r="136" spans="1:6" x14ac:dyDescent="0.35">
      <c r="A136" t="str">
        <f>IF('Other Energy Meters'!B114="",A135,'Other Energy Meters'!B114)</f>
        <v>Meter Numbers</v>
      </c>
      <c r="B136" t="str" cm="1">
        <f>IF(ISBLANK(INDEX(Array_OtherEnergyChargeData,ROW()-24,COLUMN()*2-3)),"",INDEX(Array_OtherEnergyChargeData,ROW()-24,COLUMN()*2-3))</f>
        <v/>
      </c>
      <c r="C136" t="str" cm="1">
        <f>IF(ISBLANK(INDEX(Array_OtherEnergyChargeData,ROW()-24,COLUMN()*2-3)),"",INDEX(Array_OtherEnergyChargeData,ROW()-24,COLUMN()*2-3))</f>
        <v/>
      </c>
      <c r="D136" t="str" cm="1">
        <f>IF(ISBLANK(INDEX(Array_OtherEnergyChargeData,ROW()-24,COLUMN()*2-3)),"",INDEX(Array_OtherEnergyChargeData,ROW()-24,COLUMN()*2-3))</f>
        <v/>
      </c>
      <c r="E136" t="str" cm="1">
        <f>IF(ISBLANK(INDEX(Array_OtherEnergyChargeData,ROW()-24,COLUMN()*2-3)),"",INDEX(Array_OtherEnergyChargeData,ROW()-24,COLUMN()*2-3))</f>
        <v/>
      </c>
      <c r="F136" t="str" cm="1">
        <f>IF(ISBLANK(INDEX(Array_OtherEnergyChargeData,ROW()-24,COLUMN()*2-3)),"",INDEX(Array_OtherEnergyChargeData,ROW()-24,COLUMN()*2-3))</f>
        <v/>
      </c>
    </row>
    <row r="137" spans="1:6" x14ac:dyDescent="0.35">
      <c r="A137" t="str">
        <f>IF('Other Energy Meters'!B115="",A136,'Other Energy Meters'!B115)</f>
        <v>Meter Numbers</v>
      </c>
      <c r="B137" t="str" cm="1">
        <f>IF(ISBLANK(INDEX(Array_OtherEnergyChargeData,ROW()-24,COLUMN()*2-3)),"",INDEX(Array_OtherEnergyChargeData,ROW()-24,COLUMN()*2-3))</f>
        <v/>
      </c>
      <c r="C137" t="str" cm="1">
        <f>IF(ISBLANK(INDEX(Array_OtherEnergyChargeData,ROW()-24,COLUMN()*2-3)),"",INDEX(Array_OtherEnergyChargeData,ROW()-24,COLUMN()*2-3))</f>
        <v/>
      </c>
      <c r="D137" t="str" cm="1">
        <f>IF(ISBLANK(INDEX(Array_OtherEnergyChargeData,ROW()-24,COLUMN()*2-3)),"",INDEX(Array_OtherEnergyChargeData,ROW()-24,COLUMN()*2-3))</f>
        <v/>
      </c>
      <c r="E137" t="str" cm="1">
        <f>IF(ISBLANK(INDEX(Array_OtherEnergyChargeData,ROW()-24,COLUMN()*2-3)),"",INDEX(Array_OtherEnergyChargeData,ROW()-24,COLUMN()*2-3))</f>
        <v/>
      </c>
      <c r="F137" t="str" cm="1">
        <f>IF(ISBLANK(INDEX(Array_OtherEnergyChargeData,ROW()-24,COLUMN()*2-3)),"",INDEX(Array_OtherEnergyChargeData,ROW()-24,COLUMN()*2-3))</f>
        <v/>
      </c>
    </row>
    <row r="138" spans="1:6" x14ac:dyDescent="0.35">
      <c r="A138" t="str">
        <f>IF('Other Energy Meters'!B116="",A137,'Other Energy Meters'!B116)</f>
        <v>Meter Numbers</v>
      </c>
      <c r="B138" t="str" cm="1">
        <f>IF(ISBLANK(INDEX(Array_OtherEnergyChargeData,ROW()-24,COLUMN()*2-3)),"",INDEX(Array_OtherEnergyChargeData,ROW()-24,COLUMN()*2-3))</f>
        <v/>
      </c>
      <c r="C138" t="str" cm="1">
        <f>IF(ISBLANK(INDEX(Array_OtherEnergyChargeData,ROW()-24,COLUMN()*2-3)),"",INDEX(Array_OtherEnergyChargeData,ROW()-24,COLUMN()*2-3))</f>
        <v/>
      </c>
      <c r="D138" t="str" cm="1">
        <f>IF(ISBLANK(INDEX(Array_OtherEnergyChargeData,ROW()-24,COLUMN()*2-3)),"",INDEX(Array_OtherEnergyChargeData,ROW()-24,COLUMN()*2-3))</f>
        <v/>
      </c>
      <c r="E138" t="str" cm="1">
        <f>IF(ISBLANK(INDEX(Array_OtherEnergyChargeData,ROW()-24,COLUMN()*2-3)),"",INDEX(Array_OtherEnergyChargeData,ROW()-24,COLUMN()*2-3))</f>
        <v/>
      </c>
      <c r="F138" t="str" cm="1">
        <f>IF(ISBLANK(INDEX(Array_OtherEnergyChargeData,ROW()-24,COLUMN()*2-3)),"",INDEX(Array_OtherEnergyChargeData,ROW()-24,COLUMN()*2-3))</f>
        <v/>
      </c>
    </row>
    <row r="139" spans="1:6" x14ac:dyDescent="0.35">
      <c r="A139" t="str">
        <f>IF('Other Energy Meters'!B117="",A138,'Other Energy Meters'!B117)</f>
        <v>Meter Numbers</v>
      </c>
      <c r="B139" t="str" cm="1">
        <f>IF(ISBLANK(INDEX(Array_OtherEnergyChargeData,ROW()-24,COLUMN()*2-3)),"",INDEX(Array_OtherEnergyChargeData,ROW()-24,COLUMN()*2-3))</f>
        <v/>
      </c>
      <c r="C139" t="str" cm="1">
        <f>IF(ISBLANK(INDEX(Array_OtherEnergyChargeData,ROW()-24,COLUMN()*2-3)),"",INDEX(Array_OtherEnergyChargeData,ROW()-24,COLUMN()*2-3))</f>
        <v/>
      </c>
      <c r="D139" t="str" cm="1">
        <f>IF(ISBLANK(INDEX(Array_OtherEnergyChargeData,ROW()-24,COLUMN()*2-3)),"",INDEX(Array_OtherEnergyChargeData,ROW()-24,COLUMN()*2-3))</f>
        <v/>
      </c>
      <c r="E139" t="str" cm="1">
        <f>IF(ISBLANK(INDEX(Array_OtherEnergyChargeData,ROW()-24,COLUMN()*2-3)),"",INDEX(Array_OtherEnergyChargeData,ROW()-24,COLUMN()*2-3))</f>
        <v/>
      </c>
      <c r="F139" t="str" cm="1">
        <f>IF(ISBLANK(INDEX(Array_OtherEnergyChargeData,ROW()-24,COLUMN()*2-3)),"",INDEX(Array_OtherEnergyChargeData,ROW()-24,COLUMN()*2-3))</f>
        <v/>
      </c>
    </row>
    <row r="140" spans="1:6" x14ac:dyDescent="0.35">
      <c r="A140" t="str">
        <f>IF('Other Energy Meters'!B118="",A139,'Other Energy Meters'!B118)</f>
        <v>Meter Numbers</v>
      </c>
      <c r="B140" t="str" cm="1">
        <f>IF(ISBLANK(INDEX(Array_OtherEnergyChargeData,ROW()-24,COLUMN()*2-3)),"",INDEX(Array_OtherEnergyChargeData,ROW()-24,COLUMN()*2-3))</f>
        <v/>
      </c>
      <c r="C140" t="str" cm="1">
        <f>IF(ISBLANK(INDEX(Array_OtherEnergyChargeData,ROW()-24,COLUMN()*2-3)),"",INDEX(Array_OtherEnergyChargeData,ROW()-24,COLUMN()*2-3))</f>
        <v/>
      </c>
      <c r="D140" t="str" cm="1">
        <f>IF(ISBLANK(INDEX(Array_OtherEnergyChargeData,ROW()-24,COLUMN()*2-3)),"",INDEX(Array_OtherEnergyChargeData,ROW()-24,COLUMN()*2-3))</f>
        <v/>
      </c>
      <c r="E140" t="str" cm="1">
        <f>IF(ISBLANK(INDEX(Array_OtherEnergyChargeData,ROW()-24,COLUMN()*2-3)),"",INDEX(Array_OtherEnergyChargeData,ROW()-24,COLUMN()*2-3))</f>
        <v/>
      </c>
      <c r="F140" t="str" cm="1">
        <f>IF(ISBLANK(INDEX(Array_OtherEnergyChargeData,ROW()-24,COLUMN()*2-3)),"",INDEX(Array_OtherEnergyChargeData,ROW()-24,COLUMN()*2-3))</f>
        <v/>
      </c>
    </row>
    <row r="141" spans="1:6" x14ac:dyDescent="0.35">
      <c r="A141" t="str">
        <f>IF('Other Energy Meters'!B119="",A140,'Other Energy Meters'!B119)</f>
        <v>Meter Numbers</v>
      </c>
      <c r="B141" t="str" cm="1">
        <f>IF(ISBLANK(INDEX(Array_OtherEnergyChargeData,ROW()-24,COLUMN()*2-3)),"",INDEX(Array_OtherEnergyChargeData,ROW()-24,COLUMN()*2-3))</f>
        <v/>
      </c>
      <c r="C141" t="str" cm="1">
        <f>IF(ISBLANK(INDEX(Array_OtherEnergyChargeData,ROW()-24,COLUMN()*2-3)),"",INDEX(Array_OtherEnergyChargeData,ROW()-24,COLUMN()*2-3))</f>
        <v/>
      </c>
      <c r="D141" t="str" cm="1">
        <f>IF(ISBLANK(INDEX(Array_OtherEnergyChargeData,ROW()-24,COLUMN()*2-3)),"",INDEX(Array_OtherEnergyChargeData,ROW()-24,COLUMN()*2-3))</f>
        <v/>
      </c>
      <c r="E141" t="str" cm="1">
        <f>IF(ISBLANK(INDEX(Array_OtherEnergyChargeData,ROW()-24,COLUMN()*2-3)),"",INDEX(Array_OtherEnergyChargeData,ROW()-24,COLUMN()*2-3))</f>
        <v/>
      </c>
      <c r="F141" t="str" cm="1">
        <f>IF(ISBLANK(INDEX(Array_OtherEnergyChargeData,ROW()-24,COLUMN()*2-3)),"",INDEX(Array_OtherEnergyChargeData,ROW()-24,COLUMN()*2-3))</f>
        <v/>
      </c>
    </row>
    <row r="142" spans="1:6" x14ac:dyDescent="0.35">
      <c r="A142" t="str">
        <f>IF('Other Energy Meters'!B120="",A141,'Other Energy Meters'!B120)</f>
        <v>Meter Numbers</v>
      </c>
      <c r="B142" t="str" cm="1">
        <f>IF(ISBLANK(INDEX(Array_OtherEnergyChargeData,ROW()-24,COLUMN()*2-3)),"",INDEX(Array_OtherEnergyChargeData,ROW()-24,COLUMN()*2-3))</f>
        <v/>
      </c>
      <c r="C142" t="str" cm="1">
        <f>IF(ISBLANK(INDEX(Array_OtherEnergyChargeData,ROW()-24,COLUMN()*2-3)),"",INDEX(Array_OtherEnergyChargeData,ROW()-24,COLUMN()*2-3))</f>
        <v/>
      </c>
      <c r="D142" t="str" cm="1">
        <f>IF(ISBLANK(INDEX(Array_OtherEnergyChargeData,ROW()-24,COLUMN()*2-3)),"",INDEX(Array_OtherEnergyChargeData,ROW()-24,COLUMN()*2-3))</f>
        <v/>
      </c>
      <c r="E142" t="str" cm="1">
        <f>IF(ISBLANK(INDEX(Array_OtherEnergyChargeData,ROW()-24,COLUMN()*2-3)),"",INDEX(Array_OtherEnergyChargeData,ROW()-24,COLUMN()*2-3))</f>
        <v/>
      </c>
      <c r="F142" t="str" cm="1">
        <f>IF(ISBLANK(INDEX(Array_OtherEnergyChargeData,ROW()-24,COLUMN()*2-3)),"",INDEX(Array_OtherEnergyChargeData,ROW()-24,COLUMN()*2-3))</f>
        <v/>
      </c>
    </row>
    <row r="143" spans="1:6" x14ac:dyDescent="0.35">
      <c r="A143" t="str">
        <f>IF('Other Energy Meters'!B121="",A142,'Other Energy Meters'!B121)</f>
        <v>Meter Numbers</v>
      </c>
      <c r="B143" t="str" cm="1">
        <f>IF(ISBLANK(INDEX(Array_OtherEnergyChargeData,ROW()-24,COLUMN()*2-3)),"",INDEX(Array_OtherEnergyChargeData,ROW()-24,COLUMN()*2-3))</f>
        <v/>
      </c>
      <c r="C143" t="str" cm="1">
        <f>IF(ISBLANK(INDEX(Array_OtherEnergyChargeData,ROW()-24,COLUMN()*2-3)),"",INDEX(Array_OtherEnergyChargeData,ROW()-24,COLUMN()*2-3))</f>
        <v/>
      </c>
      <c r="D143" t="str" cm="1">
        <f>IF(ISBLANK(INDEX(Array_OtherEnergyChargeData,ROW()-24,COLUMN()*2-3)),"",INDEX(Array_OtherEnergyChargeData,ROW()-24,COLUMN()*2-3))</f>
        <v/>
      </c>
      <c r="E143" t="str" cm="1">
        <f>IF(ISBLANK(INDEX(Array_OtherEnergyChargeData,ROW()-24,COLUMN()*2-3)),"",INDEX(Array_OtherEnergyChargeData,ROW()-24,COLUMN()*2-3))</f>
        <v/>
      </c>
      <c r="F143" t="str" cm="1">
        <f>IF(ISBLANK(INDEX(Array_OtherEnergyChargeData,ROW()-24,COLUMN()*2-3)),"",INDEX(Array_OtherEnergyChargeData,ROW()-24,COLUMN()*2-3))</f>
        <v/>
      </c>
    </row>
    <row r="144" spans="1:6" x14ac:dyDescent="0.35">
      <c r="A144" t="str">
        <f>IF('Other Energy Meters'!B122="",A143,'Other Energy Meters'!B122)</f>
        <v>Meter Numbers</v>
      </c>
      <c r="B144" t="str" cm="1">
        <f>IF(ISBLANK(INDEX(Array_OtherEnergyChargeData,ROW()-24,COLUMN()*2-3)),"",INDEX(Array_OtherEnergyChargeData,ROW()-24,COLUMN()*2-3))</f>
        <v/>
      </c>
      <c r="C144" t="str" cm="1">
        <f>IF(ISBLANK(INDEX(Array_OtherEnergyChargeData,ROW()-24,COLUMN()*2-3)),"",INDEX(Array_OtherEnergyChargeData,ROW()-24,COLUMN()*2-3))</f>
        <v/>
      </c>
      <c r="D144" t="str" cm="1">
        <f>IF(ISBLANK(INDEX(Array_OtherEnergyChargeData,ROW()-24,COLUMN()*2-3)),"",INDEX(Array_OtherEnergyChargeData,ROW()-24,COLUMN()*2-3))</f>
        <v/>
      </c>
      <c r="E144" t="str" cm="1">
        <f>IF(ISBLANK(INDEX(Array_OtherEnergyChargeData,ROW()-24,COLUMN()*2-3)),"",INDEX(Array_OtherEnergyChargeData,ROW()-24,COLUMN()*2-3))</f>
        <v/>
      </c>
      <c r="F144" t="str" cm="1">
        <f>IF(ISBLANK(INDEX(Array_OtherEnergyChargeData,ROW()-24,COLUMN()*2-3)),"",INDEX(Array_OtherEnergyChargeData,ROW()-24,COLUMN()*2-3))</f>
        <v/>
      </c>
    </row>
    <row r="145" spans="1:6" x14ac:dyDescent="0.35">
      <c r="A145" t="str">
        <f>IF('Other Energy Meters'!B123="",A144,'Other Energy Meters'!B123)</f>
        <v>Meter Numbers</v>
      </c>
      <c r="B145" t="str" cm="1">
        <f>IF(ISBLANK(INDEX(Array_OtherEnergyChargeData,ROW()-24,COLUMN()*2-3)),"",INDEX(Array_OtherEnergyChargeData,ROW()-24,COLUMN()*2-3))</f>
        <v/>
      </c>
      <c r="C145" t="str" cm="1">
        <f>IF(ISBLANK(INDEX(Array_OtherEnergyChargeData,ROW()-24,COLUMN()*2-3)),"",INDEX(Array_OtherEnergyChargeData,ROW()-24,COLUMN()*2-3))</f>
        <v/>
      </c>
      <c r="D145" t="str" cm="1">
        <f>IF(ISBLANK(INDEX(Array_OtherEnergyChargeData,ROW()-24,COLUMN()*2-3)),"",INDEX(Array_OtherEnergyChargeData,ROW()-24,COLUMN()*2-3))</f>
        <v/>
      </c>
      <c r="E145" t="str" cm="1">
        <f>IF(ISBLANK(INDEX(Array_OtherEnergyChargeData,ROW()-24,COLUMN()*2-3)),"",INDEX(Array_OtherEnergyChargeData,ROW()-24,COLUMN()*2-3))</f>
        <v/>
      </c>
      <c r="F145" t="str" cm="1">
        <f>IF(ISBLANK(INDEX(Array_OtherEnergyChargeData,ROW()-24,COLUMN()*2-3)),"",INDEX(Array_OtherEnergyChargeData,ROW()-24,COLUMN()*2-3))</f>
        <v/>
      </c>
    </row>
    <row r="146" spans="1:6" x14ac:dyDescent="0.35">
      <c r="A146" t="str">
        <f>IF('Other Energy Meters'!B124="",A145,'Other Energy Meters'!B124)</f>
        <v>Meter Numbers</v>
      </c>
      <c r="B146" t="str" cm="1">
        <f>IF(ISBLANK(INDEX(Array_OtherEnergyChargeData,ROW()-24,COLUMN()*2-3)),"",INDEX(Array_OtherEnergyChargeData,ROW()-24,COLUMN()*2-3))</f>
        <v/>
      </c>
      <c r="C146" t="str" cm="1">
        <f>IF(ISBLANK(INDEX(Array_OtherEnergyChargeData,ROW()-24,COLUMN()*2-3)),"",INDEX(Array_OtherEnergyChargeData,ROW()-24,COLUMN()*2-3))</f>
        <v/>
      </c>
      <c r="D146" t="str" cm="1">
        <f>IF(ISBLANK(INDEX(Array_OtherEnergyChargeData,ROW()-24,COLUMN()*2-3)),"",INDEX(Array_OtherEnergyChargeData,ROW()-24,COLUMN()*2-3))</f>
        <v/>
      </c>
      <c r="E146" t="str" cm="1">
        <f>IF(ISBLANK(INDEX(Array_OtherEnergyChargeData,ROW()-24,COLUMN()*2-3)),"",INDEX(Array_OtherEnergyChargeData,ROW()-24,COLUMN()*2-3))</f>
        <v/>
      </c>
      <c r="F146" t="str" cm="1">
        <f>IF(ISBLANK(INDEX(Array_OtherEnergyChargeData,ROW()-24,COLUMN()*2-3)),"",INDEX(Array_OtherEnergyChargeData,ROW()-24,COLUMN()*2-3))</f>
        <v/>
      </c>
    </row>
    <row r="147" spans="1:6" x14ac:dyDescent="0.35">
      <c r="A147" t="str">
        <f>IF('Other Energy Meters'!B125="",A146,'Other Energy Meters'!B125)</f>
        <v>Meter Numbers</v>
      </c>
      <c r="B147" t="str" cm="1">
        <f>IF(ISBLANK(INDEX(Array_OtherEnergyChargeData,ROW()-24,COLUMN()*2-3)),"",INDEX(Array_OtherEnergyChargeData,ROW()-24,COLUMN()*2-3))</f>
        <v/>
      </c>
      <c r="C147" t="str" cm="1">
        <f>IF(ISBLANK(INDEX(Array_OtherEnergyChargeData,ROW()-24,COLUMN()*2-3)),"",INDEX(Array_OtherEnergyChargeData,ROW()-24,COLUMN()*2-3))</f>
        <v/>
      </c>
      <c r="D147" t="str" cm="1">
        <f>IF(ISBLANK(INDEX(Array_OtherEnergyChargeData,ROW()-24,COLUMN()*2-3)),"",INDEX(Array_OtherEnergyChargeData,ROW()-24,COLUMN()*2-3))</f>
        <v/>
      </c>
      <c r="E147" t="str" cm="1">
        <f>IF(ISBLANK(INDEX(Array_OtherEnergyChargeData,ROW()-24,COLUMN()*2-3)),"",INDEX(Array_OtherEnergyChargeData,ROW()-24,COLUMN()*2-3))</f>
        <v/>
      </c>
      <c r="F147" t="str" cm="1">
        <f>IF(ISBLANK(INDEX(Array_OtherEnergyChargeData,ROW()-24,COLUMN()*2-3)),"",INDEX(Array_OtherEnergyChargeData,ROW()-24,COLUMN()*2-3))</f>
        <v/>
      </c>
    </row>
    <row r="148" spans="1:6" x14ac:dyDescent="0.35">
      <c r="A148" t="str">
        <f>IF('Other Energy Meters'!B126="",A147,'Other Energy Meters'!B126)</f>
        <v>Meter Numbers</v>
      </c>
      <c r="B148" t="str" cm="1">
        <f>IF(ISBLANK(INDEX(Array_OtherEnergyChargeData,ROW()-24,COLUMN()*2-3)),"",INDEX(Array_OtherEnergyChargeData,ROW()-24,COLUMN()*2-3))</f>
        <v/>
      </c>
      <c r="C148" t="str" cm="1">
        <f>IF(ISBLANK(INDEX(Array_OtherEnergyChargeData,ROW()-24,COLUMN()*2-3)),"",INDEX(Array_OtherEnergyChargeData,ROW()-24,COLUMN()*2-3))</f>
        <v/>
      </c>
      <c r="D148" t="str" cm="1">
        <f>IF(ISBLANK(INDEX(Array_OtherEnergyChargeData,ROW()-24,COLUMN()*2-3)),"",INDEX(Array_OtherEnergyChargeData,ROW()-24,COLUMN()*2-3))</f>
        <v/>
      </c>
      <c r="E148" t="str" cm="1">
        <f>IF(ISBLANK(INDEX(Array_OtherEnergyChargeData,ROW()-24,COLUMN()*2-3)),"",INDEX(Array_OtherEnergyChargeData,ROW()-24,COLUMN()*2-3))</f>
        <v/>
      </c>
      <c r="F148" t="str" cm="1">
        <f>IF(ISBLANK(INDEX(Array_OtherEnergyChargeData,ROW()-24,COLUMN()*2-3)),"",INDEX(Array_OtherEnergyChargeData,ROW()-24,COLUMN()*2-3))</f>
        <v/>
      </c>
    </row>
    <row r="149" spans="1:6" x14ac:dyDescent="0.35">
      <c r="A149" t="str">
        <f>IF('Other Energy Meters'!B127="",A148,'Other Energy Meters'!B127)</f>
        <v>Meter Numbers</v>
      </c>
      <c r="B149" t="str" cm="1">
        <f>IF(ISBLANK(INDEX(Array_OtherEnergyChargeData,ROW()-24,COLUMN()*2-3)),"",INDEX(Array_OtherEnergyChargeData,ROW()-24,COLUMN()*2-3))</f>
        <v/>
      </c>
      <c r="C149" t="str" cm="1">
        <f>IF(ISBLANK(INDEX(Array_OtherEnergyChargeData,ROW()-24,COLUMN()*2-3)),"",INDEX(Array_OtherEnergyChargeData,ROW()-24,COLUMN()*2-3))</f>
        <v/>
      </c>
      <c r="D149" t="str" cm="1">
        <f>IF(ISBLANK(INDEX(Array_OtherEnergyChargeData,ROW()-24,COLUMN()*2-3)),"",INDEX(Array_OtherEnergyChargeData,ROW()-24,COLUMN()*2-3))</f>
        <v/>
      </c>
      <c r="E149" t="str" cm="1">
        <f>IF(ISBLANK(INDEX(Array_OtherEnergyChargeData,ROW()-24,COLUMN()*2-3)),"",INDEX(Array_OtherEnergyChargeData,ROW()-24,COLUMN()*2-3))</f>
        <v/>
      </c>
      <c r="F149" t="str" cm="1">
        <f>IF(ISBLANK(INDEX(Array_OtherEnergyChargeData,ROW()-24,COLUMN()*2-3)),"",INDEX(Array_OtherEnergyChargeData,ROW()-24,COLUMN()*2-3))</f>
        <v/>
      </c>
    </row>
    <row r="150" spans="1:6" x14ac:dyDescent="0.35">
      <c r="A150" t="str">
        <f>IF('Other Energy Meters'!B128="",A149,'Other Energy Meters'!B128)</f>
        <v>Meter Numbers</v>
      </c>
      <c r="B150" t="str" cm="1">
        <f>IF(ISBLANK(INDEX(Array_OtherEnergyChargeData,ROW()-24,COLUMN()*2-3)),"",INDEX(Array_OtherEnergyChargeData,ROW()-24,COLUMN()*2-3))</f>
        <v/>
      </c>
      <c r="C150" t="str" cm="1">
        <f>IF(ISBLANK(INDEX(Array_OtherEnergyChargeData,ROW()-24,COLUMN()*2-3)),"",INDEX(Array_OtherEnergyChargeData,ROW()-24,COLUMN()*2-3))</f>
        <v/>
      </c>
      <c r="D150" t="str" cm="1">
        <f>IF(ISBLANK(INDEX(Array_OtherEnergyChargeData,ROW()-24,COLUMN()*2-3)),"",INDEX(Array_OtherEnergyChargeData,ROW()-24,COLUMN()*2-3))</f>
        <v/>
      </c>
      <c r="E150" t="str" cm="1">
        <f>IF(ISBLANK(INDEX(Array_OtherEnergyChargeData,ROW()-24,COLUMN()*2-3)),"",INDEX(Array_OtherEnergyChargeData,ROW()-24,COLUMN()*2-3))</f>
        <v/>
      </c>
      <c r="F150" t="str" cm="1">
        <f>IF(ISBLANK(INDEX(Array_OtherEnergyChargeData,ROW()-24,COLUMN()*2-3)),"",INDEX(Array_OtherEnergyChargeData,ROW()-24,COLUMN()*2-3))</f>
        <v/>
      </c>
    </row>
    <row r="151" spans="1:6" x14ac:dyDescent="0.35">
      <c r="A151" t="str">
        <f>IF('Other Energy Meters'!B129="",A150,'Other Energy Meters'!B129)</f>
        <v>Meter Numbers</v>
      </c>
      <c r="B151" t="str" cm="1">
        <f>IF(ISBLANK(INDEX(Array_OtherEnergyChargeData,ROW()-24,COLUMN()*2-3)),"",INDEX(Array_OtherEnergyChargeData,ROW()-24,COLUMN()*2-3))</f>
        <v/>
      </c>
      <c r="C151" t="str" cm="1">
        <f>IF(ISBLANK(INDEX(Array_OtherEnergyChargeData,ROW()-24,COLUMN()*2-3)),"",INDEX(Array_OtherEnergyChargeData,ROW()-24,COLUMN()*2-3))</f>
        <v/>
      </c>
      <c r="D151" t="str" cm="1">
        <f>IF(ISBLANK(INDEX(Array_OtherEnergyChargeData,ROW()-24,COLUMN()*2-3)),"",INDEX(Array_OtherEnergyChargeData,ROW()-24,COLUMN()*2-3))</f>
        <v/>
      </c>
      <c r="E151" t="str" cm="1">
        <f>IF(ISBLANK(INDEX(Array_OtherEnergyChargeData,ROW()-24,COLUMN()*2-3)),"",INDEX(Array_OtherEnergyChargeData,ROW()-24,COLUMN()*2-3))</f>
        <v/>
      </c>
      <c r="F151" t="str" cm="1">
        <f>IF(ISBLANK(INDEX(Array_OtherEnergyChargeData,ROW()-24,COLUMN()*2-3)),"",INDEX(Array_OtherEnergyChargeData,ROW()-24,COLUMN()*2-3))</f>
        <v/>
      </c>
    </row>
    <row r="152" spans="1:6" x14ac:dyDescent="0.35">
      <c r="A152" t="str">
        <f>IF('Other Energy Meters'!B130="",A151,'Other Energy Meters'!B130)</f>
        <v>Meter Numbers</v>
      </c>
      <c r="B152" t="str" cm="1">
        <f>IF(ISBLANK(INDEX(Array_OtherEnergyChargeData,ROW()-24,COLUMN()*2-3)),"",INDEX(Array_OtherEnergyChargeData,ROW()-24,COLUMN()*2-3))</f>
        <v/>
      </c>
      <c r="C152" t="str" cm="1">
        <f>IF(ISBLANK(INDEX(Array_OtherEnergyChargeData,ROW()-24,COLUMN()*2-3)),"",INDEX(Array_OtherEnergyChargeData,ROW()-24,COLUMN()*2-3))</f>
        <v/>
      </c>
      <c r="D152" t="str" cm="1">
        <f>IF(ISBLANK(INDEX(Array_OtherEnergyChargeData,ROW()-24,COLUMN()*2-3)),"",INDEX(Array_OtherEnergyChargeData,ROW()-24,COLUMN()*2-3))</f>
        <v/>
      </c>
      <c r="E152" t="str" cm="1">
        <f>IF(ISBLANK(INDEX(Array_OtherEnergyChargeData,ROW()-24,COLUMN()*2-3)),"",INDEX(Array_OtherEnergyChargeData,ROW()-24,COLUMN()*2-3))</f>
        <v/>
      </c>
      <c r="F152" t="str" cm="1">
        <f>IF(ISBLANK(INDEX(Array_OtherEnergyChargeData,ROW()-24,COLUMN()*2-3)),"",INDEX(Array_OtherEnergyChargeData,ROW()-24,COLUMN()*2-3))</f>
        <v/>
      </c>
    </row>
    <row r="153" spans="1:6" x14ac:dyDescent="0.35">
      <c r="A153" t="str">
        <f>IF('Other Energy Meters'!B131="",A152,'Other Energy Meters'!B131)</f>
        <v>Meter Numbers</v>
      </c>
      <c r="B153" t="str" cm="1">
        <f>IF(ISBLANK(INDEX(Array_OtherEnergyChargeData,ROW()-24,COLUMN()*2-3)),"",INDEX(Array_OtherEnergyChargeData,ROW()-24,COLUMN()*2-3))</f>
        <v/>
      </c>
      <c r="C153" t="str" cm="1">
        <f>IF(ISBLANK(INDEX(Array_OtherEnergyChargeData,ROW()-24,COLUMN()*2-3)),"",INDEX(Array_OtherEnergyChargeData,ROW()-24,COLUMN()*2-3))</f>
        <v/>
      </c>
      <c r="D153" t="str" cm="1">
        <f>IF(ISBLANK(INDEX(Array_OtherEnergyChargeData,ROW()-24,COLUMN()*2-3)),"",INDEX(Array_OtherEnergyChargeData,ROW()-24,COLUMN()*2-3))</f>
        <v/>
      </c>
      <c r="E153" t="str" cm="1">
        <f>IF(ISBLANK(INDEX(Array_OtherEnergyChargeData,ROW()-24,COLUMN()*2-3)),"",INDEX(Array_OtherEnergyChargeData,ROW()-24,COLUMN()*2-3))</f>
        <v/>
      </c>
      <c r="F153" t="str" cm="1">
        <f>IF(ISBLANK(INDEX(Array_OtherEnergyChargeData,ROW()-24,COLUMN()*2-3)),"",INDEX(Array_OtherEnergyChargeData,ROW()-24,COLUMN()*2-3))</f>
        <v/>
      </c>
    </row>
    <row r="154" spans="1:6" x14ac:dyDescent="0.35">
      <c r="A154" t="str">
        <f>IF('Other Energy Meters'!B132="",A153,'Other Energy Meters'!B132)</f>
        <v>Meter Numbers</v>
      </c>
      <c r="B154" t="str" cm="1">
        <f>IF(ISBLANK(INDEX(Array_OtherEnergyChargeData,ROW()-24,COLUMN()*2-3)),"",INDEX(Array_OtherEnergyChargeData,ROW()-24,COLUMN()*2-3))</f>
        <v/>
      </c>
      <c r="C154" t="str" cm="1">
        <f>IF(ISBLANK(INDEX(Array_OtherEnergyChargeData,ROW()-24,COLUMN()*2-3)),"",INDEX(Array_OtherEnergyChargeData,ROW()-24,COLUMN()*2-3))</f>
        <v/>
      </c>
      <c r="D154" t="str" cm="1">
        <f>IF(ISBLANK(INDEX(Array_OtherEnergyChargeData,ROW()-24,COLUMN()*2-3)),"",INDEX(Array_OtherEnergyChargeData,ROW()-24,COLUMN()*2-3))</f>
        <v/>
      </c>
      <c r="E154" t="str" cm="1">
        <f>IF(ISBLANK(INDEX(Array_OtherEnergyChargeData,ROW()-24,COLUMN()*2-3)),"",INDEX(Array_OtherEnergyChargeData,ROW()-24,COLUMN()*2-3))</f>
        <v/>
      </c>
      <c r="F154" t="str" cm="1">
        <f>IF(ISBLANK(INDEX(Array_OtherEnergyChargeData,ROW()-24,COLUMN()*2-3)),"",INDEX(Array_OtherEnergyChargeData,ROW()-24,COLUMN()*2-3))</f>
        <v/>
      </c>
    </row>
    <row r="155" spans="1:6" x14ac:dyDescent="0.35">
      <c r="A155" t="str">
        <f>IF('Other Energy Meters'!B133="",A154,'Other Energy Meters'!B133)</f>
        <v>Meter Numbers</v>
      </c>
      <c r="B155" t="str" cm="1">
        <f>IF(ISBLANK(INDEX(Array_OtherEnergyChargeData,ROW()-24,COLUMN()*2-3)),"",INDEX(Array_OtherEnergyChargeData,ROW()-24,COLUMN()*2-3))</f>
        <v/>
      </c>
      <c r="C155" t="str" cm="1">
        <f>IF(ISBLANK(INDEX(Array_OtherEnergyChargeData,ROW()-24,COLUMN()*2-3)),"",INDEX(Array_OtherEnergyChargeData,ROW()-24,COLUMN()*2-3))</f>
        <v/>
      </c>
      <c r="D155" t="str" cm="1">
        <f>IF(ISBLANK(INDEX(Array_OtherEnergyChargeData,ROW()-24,COLUMN()*2-3)),"",INDEX(Array_OtherEnergyChargeData,ROW()-24,COLUMN()*2-3))</f>
        <v/>
      </c>
      <c r="E155" t="str" cm="1">
        <f>IF(ISBLANK(INDEX(Array_OtherEnergyChargeData,ROW()-24,COLUMN()*2-3)),"",INDEX(Array_OtherEnergyChargeData,ROW()-24,COLUMN()*2-3))</f>
        <v/>
      </c>
      <c r="F155" t="str" cm="1">
        <f>IF(ISBLANK(INDEX(Array_OtherEnergyChargeData,ROW()-24,COLUMN()*2-3)),"",INDEX(Array_OtherEnergyChargeData,ROW()-24,COLUMN()*2-3))</f>
        <v/>
      </c>
    </row>
    <row r="156" spans="1:6" x14ac:dyDescent="0.35">
      <c r="A156" t="str">
        <f>IF('Other Energy Meters'!B134="",A155,'Other Energy Meters'!B134)</f>
        <v>Meter Numbers</v>
      </c>
      <c r="B156" t="str" cm="1">
        <f>IF(ISBLANK(INDEX(Array_OtherEnergyChargeData,ROW()-24,COLUMN()*2-3)),"",INDEX(Array_OtherEnergyChargeData,ROW()-24,COLUMN()*2-3))</f>
        <v/>
      </c>
      <c r="C156" t="str" cm="1">
        <f>IF(ISBLANK(INDEX(Array_OtherEnergyChargeData,ROW()-24,COLUMN()*2-3)),"",INDEX(Array_OtherEnergyChargeData,ROW()-24,COLUMN()*2-3))</f>
        <v/>
      </c>
      <c r="D156" t="str" cm="1">
        <f>IF(ISBLANK(INDEX(Array_OtherEnergyChargeData,ROW()-24,COLUMN()*2-3)),"",INDEX(Array_OtherEnergyChargeData,ROW()-24,COLUMN()*2-3))</f>
        <v/>
      </c>
      <c r="E156" t="str" cm="1">
        <f>IF(ISBLANK(INDEX(Array_OtherEnergyChargeData,ROW()-24,COLUMN()*2-3)),"",INDEX(Array_OtherEnergyChargeData,ROW()-24,COLUMN()*2-3))</f>
        <v/>
      </c>
      <c r="F156" t="str" cm="1">
        <f>IF(ISBLANK(INDEX(Array_OtherEnergyChargeData,ROW()-24,COLUMN()*2-3)),"",INDEX(Array_OtherEnergyChargeData,ROW()-24,COLUMN()*2-3))</f>
        <v/>
      </c>
    </row>
    <row r="157" spans="1:6" x14ac:dyDescent="0.35">
      <c r="A157" t="str">
        <f>IF('Other Energy Meters'!B135="",A156,'Other Energy Meters'!B135)</f>
        <v>Meter Numbers</v>
      </c>
      <c r="B157" t="str" cm="1">
        <f>IF(ISBLANK(INDEX(Array_OtherEnergyChargeData,ROW()-24,COLUMN()*2-3)),"",INDEX(Array_OtherEnergyChargeData,ROW()-24,COLUMN()*2-3))</f>
        <v/>
      </c>
      <c r="C157" t="str" cm="1">
        <f>IF(ISBLANK(INDEX(Array_OtherEnergyChargeData,ROW()-24,COLUMN()*2-3)),"",INDEX(Array_OtherEnergyChargeData,ROW()-24,COLUMN()*2-3))</f>
        <v/>
      </c>
      <c r="D157" t="str" cm="1">
        <f>IF(ISBLANK(INDEX(Array_OtherEnergyChargeData,ROW()-24,COLUMN()*2-3)),"",INDEX(Array_OtherEnergyChargeData,ROW()-24,COLUMN()*2-3))</f>
        <v/>
      </c>
      <c r="E157" t="str" cm="1">
        <f>IF(ISBLANK(INDEX(Array_OtherEnergyChargeData,ROW()-24,COLUMN()*2-3)),"",INDEX(Array_OtherEnergyChargeData,ROW()-24,COLUMN()*2-3))</f>
        <v/>
      </c>
      <c r="F157" t="str" cm="1">
        <f>IF(ISBLANK(INDEX(Array_OtherEnergyChargeData,ROW()-24,COLUMN()*2-3)),"",INDEX(Array_OtherEnergyChargeData,ROW()-24,COLUMN()*2-3))</f>
        <v/>
      </c>
    </row>
    <row r="158" spans="1:6" x14ac:dyDescent="0.35">
      <c r="A158" t="str">
        <f>IF('Other Energy Meters'!B136="",A157,'Other Energy Meters'!B136)</f>
        <v>Meter Numbers</v>
      </c>
      <c r="B158" t="str" cm="1">
        <f>IF(ISBLANK(INDEX(Array_OtherEnergyChargeData,ROW()-24,COLUMN()*2-3)),"",INDEX(Array_OtherEnergyChargeData,ROW()-24,COLUMN()*2-3))</f>
        <v/>
      </c>
      <c r="C158" t="str" cm="1">
        <f>IF(ISBLANK(INDEX(Array_OtherEnergyChargeData,ROW()-24,COLUMN()*2-3)),"",INDEX(Array_OtherEnergyChargeData,ROW()-24,COLUMN()*2-3))</f>
        <v/>
      </c>
      <c r="D158" t="str" cm="1">
        <f>IF(ISBLANK(INDEX(Array_OtherEnergyChargeData,ROW()-24,COLUMN()*2-3)),"",INDEX(Array_OtherEnergyChargeData,ROW()-24,COLUMN()*2-3))</f>
        <v/>
      </c>
      <c r="E158" t="str" cm="1">
        <f>IF(ISBLANK(INDEX(Array_OtherEnergyChargeData,ROW()-24,COLUMN()*2-3)),"",INDEX(Array_OtherEnergyChargeData,ROW()-24,COLUMN()*2-3))</f>
        <v/>
      </c>
      <c r="F158" t="str" cm="1">
        <f>IF(ISBLANK(INDEX(Array_OtherEnergyChargeData,ROW()-24,COLUMN()*2-3)),"",INDEX(Array_OtherEnergyChargeData,ROW()-24,COLUMN()*2-3))</f>
        <v/>
      </c>
    </row>
    <row r="159" spans="1:6" x14ac:dyDescent="0.35">
      <c r="A159" t="str">
        <f>IF('Other Energy Meters'!B137="",A158,'Other Energy Meters'!B137)</f>
        <v>Meter Numbers</v>
      </c>
      <c r="B159" t="str" cm="1">
        <f>IF(ISBLANK(INDEX(Array_OtherEnergyChargeData,ROW()-24,COLUMN()*2-3)),"",INDEX(Array_OtherEnergyChargeData,ROW()-24,COLUMN()*2-3))</f>
        <v/>
      </c>
      <c r="C159" t="str" cm="1">
        <f>IF(ISBLANK(INDEX(Array_OtherEnergyChargeData,ROW()-24,COLUMN()*2-3)),"",INDEX(Array_OtherEnergyChargeData,ROW()-24,COLUMN()*2-3))</f>
        <v/>
      </c>
      <c r="D159" t="str" cm="1">
        <f>IF(ISBLANK(INDEX(Array_OtherEnergyChargeData,ROW()-24,COLUMN()*2-3)),"",INDEX(Array_OtherEnergyChargeData,ROW()-24,COLUMN()*2-3))</f>
        <v/>
      </c>
      <c r="E159" t="str" cm="1">
        <f>IF(ISBLANK(INDEX(Array_OtherEnergyChargeData,ROW()-24,COLUMN()*2-3)),"",INDEX(Array_OtherEnergyChargeData,ROW()-24,COLUMN()*2-3))</f>
        <v/>
      </c>
      <c r="F159" t="str" cm="1">
        <f>IF(ISBLANK(INDEX(Array_OtherEnergyChargeData,ROW()-24,COLUMN()*2-3)),"",INDEX(Array_OtherEnergyChargeData,ROW()-24,COLUMN()*2-3))</f>
        <v/>
      </c>
    </row>
    <row r="160" spans="1:6" x14ac:dyDescent="0.35">
      <c r="A160" t="str">
        <f>IF('Other Energy Meters'!B138="",A159,'Other Energy Meters'!B138)</f>
        <v>Meter Numbers</v>
      </c>
      <c r="B160" t="str" cm="1">
        <f>IF(ISBLANK(INDEX(Array_OtherEnergyChargeData,ROW()-24,COLUMN()*2-3)),"",INDEX(Array_OtherEnergyChargeData,ROW()-24,COLUMN()*2-3))</f>
        <v/>
      </c>
      <c r="C160" t="str" cm="1">
        <f>IF(ISBLANK(INDEX(Array_OtherEnergyChargeData,ROW()-24,COLUMN()*2-3)),"",INDEX(Array_OtherEnergyChargeData,ROW()-24,COLUMN()*2-3))</f>
        <v/>
      </c>
      <c r="D160" t="str" cm="1">
        <f>IF(ISBLANK(INDEX(Array_OtherEnergyChargeData,ROW()-24,COLUMN()*2-3)),"",INDEX(Array_OtherEnergyChargeData,ROW()-24,COLUMN()*2-3))</f>
        <v/>
      </c>
      <c r="E160" t="str" cm="1">
        <f>IF(ISBLANK(INDEX(Array_OtherEnergyChargeData,ROW()-24,COLUMN()*2-3)),"",INDEX(Array_OtherEnergyChargeData,ROW()-24,COLUMN()*2-3))</f>
        <v/>
      </c>
      <c r="F160" t="str" cm="1">
        <f>IF(ISBLANK(INDEX(Array_OtherEnergyChargeData,ROW()-24,COLUMN()*2-3)),"",INDEX(Array_OtherEnergyChargeData,ROW()-24,COLUMN()*2-3))</f>
        <v/>
      </c>
    </row>
    <row r="161" spans="1:6" x14ac:dyDescent="0.35">
      <c r="A161" t="str">
        <f>IF('Other Energy Meters'!B139="",A160,'Other Energy Meters'!B139)</f>
        <v>Meter Numbers</v>
      </c>
      <c r="B161" t="str" cm="1">
        <f>IF(ISBLANK(INDEX(Array_OtherEnergyChargeData,ROW()-24,COLUMN()*2-3)),"",INDEX(Array_OtherEnergyChargeData,ROW()-24,COLUMN()*2-3))</f>
        <v/>
      </c>
      <c r="C161" t="str" cm="1">
        <f>IF(ISBLANK(INDEX(Array_OtherEnergyChargeData,ROW()-24,COLUMN()*2-3)),"",INDEX(Array_OtherEnergyChargeData,ROW()-24,COLUMN()*2-3))</f>
        <v/>
      </c>
      <c r="D161" t="str" cm="1">
        <f>IF(ISBLANK(INDEX(Array_OtherEnergyChargeData,ROW()-24,COLUMN()*2-3)),"",INDEX(Array_OtherEnergyChargeData,ROW()-24,COLUMN()*2-3))</f>
        <v/>
      </c>
      <c r="E161" t="str" cm="1">
        <f>IF(ISBLANK(INDEX(Array_OtherEnergyChargeData,ROW()-24,COLUMN()*2-3)),"",INDEX(Array_OtherEnergyChargeData,ROW()-24,COLUMN()*2-3))</f>
        <v/>
      </c>
      <c r="F161" t="str" cm="1">
        <f>IF(ISBLANK(INDEX(Array_OtherEnergyChargeData,ROW()-24,COLUMN()*2-3)),"",INDEX(Array_OtherEnergyChargeData,ROW()-24,COLUMN()*2-3))</f>
        <v/>
      </c>
    </row>
    <row r="162" spans="1:6" x14ac:dyDescent="0.35">
      <c r="A162" t="str">
        <f>IF('Other Energy Meters'!B140="",A161,'Other Energy Meters'!B140)</f>
        <v>Meter Numbers</v>
      </c>
      <c r="B162" t="str" cm="1">
        <f>IF(ISBLANK(INDEX(Array_OtherEnergyChargeData,ROW()-24,COLUMN()*2-3)),"",INDEX(Array_OtherEnergyChargeData,ROW()-24,COLUMN()*2-3))</f>
        <v/>
      </c>
      <c r="C162" t="str" cm="1">
        <f>IF(ISBLANK(INDEX(Array_OtherEnergyChargeData,ROW()-24,COLUMN()*2-3)),"",INDEX(Array_OtherEnergyChargeData,ROW()-24,COLUMN()*2-3))</f>
        <v/>
      </c>
      <c r="D162" t="str" cm="1">
        <f>IF(ISBLANK(INDEX(Array_OtherEnergyChargeData,ROW()-24,COLUMN()*2-3)),"",INDEX(Array_OtherEnergyChargeData,ROW()-24,COLUMN()*2-3))</f>
        <v/>
      </c>
      <c r="E162" t="str" cm="1">
        <f>IF(ISBLANK(INDEX(Array_OtherEnergyChargeData,ROW()-24,COLUMN()*2-3)),"",INDEX(Array_OtherEnergyChargeData,ROW()-24,COLUMN()*2-3))</f>
        <v/>
      </c>
      <c r="F162" t="str" cm="1">
        <f>IF(ISBLANK(INDEX(Array_OtherEnergyChargeData,ROW()-24,COLUMN()*2-3)),"",INDEX(Array_OtherEnergyChargeData,ROW()-24,COLUMN()*2-3))</f>
        <v/>
      </c>
    </row>
    <row r="163" spans="1:6" x14ac:dyDescent="0.35">
      <c r="A163" t="str">
        <f>IF('Other Energy Meters'!B141="",A162,'Other Energy Meters'!B141)</f>
        <v>Meter Numbers</v>
      </c>
      <c r="B163" t="str" cm="1">
        <f>IF(ISBLANK(INDEX(Array_OtherEnergyChargeData,ROW()-24,COLUMN()*2-3)),"",INDEX(Array_OtherEnergyChargeData,ROW()-24,COLUMN()*2-3))</f>
        <v/>
      </c>
      <c r="C163" t="str" cm="1">
        <f>IF(ISBLANK(INDEX(Array_OtherEnergyChargeData,ROW()-24,COLUMN()*2-3)),"",INDEX(Array_OtherEnergyChargeData,ROW()-24,COLUMN()*2-3))</f>
        <v/>
      </c>
      <c r="D163" t="str" cm="1">
        <f>IF(ISBLANK(INDEX(Array_OtherEnergyChargeData,ROW()-24,COLUMN()*2-3)),"",INDEX(Array_OtherEnergyChargeData,ROW()-24,COLUMN()*2-3))</f>
        <v/>
      </c>
      <c r="E163" t="str" cm="1">
        <f>IF(ISBLANK(INDEX(Array_OtherEnergyChargeData,ROW()-24,COLUMN()*2-3)),"",INDEX(Array_OtherEnergyChargeData,ROW()-24,COLUMN()*2-3))</f>
        <v/>
      </c>
      <c r="F163" t="str" cm="1">
        <f>IF(ISBLANK(INDEX(Array_OtherEnergyChargeData,ROW()-24,COLUMN()*2-3)),"",INDEX(Array_OtherEnergyChargeData,ROW()-24,COLUMN()*2-3))</f>
        <v/>
      </c>
    </row>
    <row r="164" spans="1:6" x14ac:dyDescent="0.35">
      <c r="A164" t="str">
        <f>IF('Other Energy Meters'!B142="",A163,'Other Energy Meters'!B142)</f>
        <v>Meter Numbers</v>
      </c>
      <c r="B164" t="str" cm="1">
        <f>IF(ISBLANK(INDEX(Array_OtherEnergyChargeData,ROW()-24,COLUMN()*2-3)),"",INDEX(Array_OtherEnergyChargeData,ROW()-24,COLUMN()*2-3))</f>
        <v/>
      </c>
      <c r="C164" t="str" cm="1">
        <f>IF(ISBLANK(INDEX(Array_OtherEnergyChargeData,ROW()-24,COLUMN()*2-3)),"",INDEX(Array_OtherEnergyChargeData,ROW()-24,COLUMN()*2-3))</f>
        <v/>
      </c>
      <c r="D164" t="str" cm="1">
        <f>IF(ISBLANK(INDEX(Array_OtherEnergyChargeData,ROW()-24,COLUMN()*2-3)),"",INDEX(Array_OtherEnergyChargeData,ROW()-24,COLUMN()*2-3))</f>
        <v/>
      </c>
      <c r="E164" t="str" cm="1">
        <f>IF(ISBLANK(INDEX(Array_OtherEnergyChargeData,ROW()-24,COLUMN()*2-3)),"",INDEX(Array_OtherEnergyChargeData,ROW()-24,COLUMN()*2-3))</f>
        <v/>
      </c>
      <c r="F164" t="str" cm="1">
        <f>IF(ISBLANK(INDEX(Array_OtherEnergyChargeData,ROW()-24,COLUMN()*2-3)),"",INDEX(Array_OtherEnergyChargeData,ROW()-24,COLUMN()*2-3))</f>
        <v/>
      </c>
    </row>
    <row r="165" spans="1:6" x14ac:dyDescent="0.35">
      <c r="A165" t="str">
        <f>IF('Other Energy Meters'!B143="",A164,'Other Energy Meters'!B143)</f>
        <v>Meter Numbers</v>
      </c>
      <c r="B165" t="str" cm="1">
        <f>IF(ISBLANK(INDEX(Array_OtherEnergyChargeData,ROW()-24,COLUMN()*2-3)),"",INDEX(Array_OtherEnergyChargeData,ROW()-24,COLUMN()*2-3))</f>
        <v/>
      </c>
      <c r="C165" t="str" cm="1">
        <f>IF(ISBLANK(INDEX(Array_OtherEnergyChargeData,ROW()-24,COLUMN()*2-3)),"",INDEX(Array_OtherEnergyChargeData,ROW()-24,COLUMN()*2-3))</f>
        <v/>
      </c>
      <c r="D165" t="str" cm="1">
        <f>IF(ISBLANK(INDEX(Array_OtherEnergyChargeData,ROW()-24,COLUMN()*2-3)),"",INDEX(Array_OtherEnergyChargeData,ROW()-24,COLUMN()*2-3))</f>
        <v/>
      </c>
      <c r="E165" t="str" cm="1">
        <f>IF(ISBLANK(INDEX(Array_OtherEnergyChargeData,ROW()-24,COLUMN()*2-3)),"",INDEX(Array_OtherEnergyChargeData,ROW()-24,COLUMN()*2-3))</f>
        <v/>
      </c>
      <c r="F165" t="str" cm="1">
        <f>IF(ISBLANK(INDEX(Array_OtherEnergyChargeData,ROW()-24,COLUMN()*2-3)),"",INDEX(Array_OtherEnergyChargeData,ROW()-24,COLUMN()*2-3))</f>
        <v/>
      </c>
    </row>
    <row r="166" spans="1:6" x14ac:dyDescent="0.35">
      <c r="A166" t="str">
        <f>IF('Other Energy Meters'!B144="",A165,'Other Energy Meters'!B144)</f>
        <v>Meter Numbers</v>
      </c>
      <c r="B166" t="str" cm="1">
        <f>IF(ISBLANK(INDEX(Array_OtherEnergyChargeData,ROW()-24,COLUMN()*2-3)),"",INDEX(Array_OtherEnergyChargeData,ROW()-24,COLUMN()*2-3))</f>
        <v/>
      </c>
      <c r="C166" t="str" cm="1">
        <f>IF(ISBLANK(INDEX(Array_OtherEnergyChargeData,ROW()-24,COLUMN()*2-3)),"",INDEX(Array_OtherEnergyChargeData,ROW()-24,COLUMN()*2-3))</f>
        <v/>
      </c>
      <c r="D166" t="str" cm="1">
        <f>IF(ISBLANK(INDEX(Array_OtherEnergyChargeData,ROW()-24,COLUMN()*2-3)),"",INDEX(Array_OtherEnergyChargeData,ROW()-24,COLUMN()*2-3))</f>
        <v/>
      </c>
      <c r="E166" t="str" cm="1">
        <f>IF(ISBLANK(INDEX(Array_OtherEnergyChargeData,ROW()-24,COLUMN()*2-3)),"",INDEX(Array_OtherEnergyChargeData,ROW()-24,COLUMN()*2-3))</f>
        <v/>
      </c>
      <c r="F166" t="str" cm="1">
        <f>IF(ISBLANK(INDEX(Array_OtherEnergyChargeData,ROW()-24,COLUMN()*2-3)),"",INDEX(Array_OtherEnergyChargeData,ROW()-24,COLUMN()*2-3))</f>
        <v/>
      </c>
    </row>
    <row r="167" spans="1:6" x14ac:dyDescent="0.35">
      <c r="A167" t="str">
        <f>IF('Other Energy Meters'!B145="",A166,'Other Energy Meters'!B145)</f>
        <v>Meter Numbers</v>
      </c>
      <c r="B167" t="str" cm="1">
        <f>IF(ISBLANK(INDEX(Array_OtherEnergyChargeData,ROW()-24,COLUMN()*2-3)),"",INDEX(Array_OtherEnergyChargeData,ROW()-24,COLUMN()*2-3))</f>
        <v/>
      </c>
      <c r="C167" t="str" cm="1">
        <f>IF(ISBLANK(INDEX(Array_OtherEnergyChargeData,ROW()-24,COLUMN()*2-3)),"",INDEX(Array_OtherEnergyChargeData,ROW()-24,COLUMN()*2-3))</f>
        <v/>
      </c>
      <c r="D167" t="str" cm="1">
        <f>IF(ISBLANK(INDEX(Array_OtherEnergyChargeData,ROW()-24,COLUMN()*2-3)),"",INDEX(Array_OtherEnergyChargeData,ROW()-24,COLUMN()*2-3))</f>
        <v/>
      </c>
      <c r="E167" t="str" cm="1">
        <f>IF(ISBLANK(INDEX(Array_OtherEnergyChargeData,ROW()-24,COLUMN()*2-3)),"",INDEX(Array_OtherEnergyChargeData,ROW()-24,COLUMN()*2-3))</f>
        <v/>
      </c>
      <c r="F167" t="str" cm="1">
        <f>IF(ISBLANK(INDEX(Array_OtherEnergyChargeData,ROW()-24,COLUMN()*2-3)),"",INDEX(Array_OtherEnergyChargeData,ROW()-24,COLUMN()*2-3))</f>
        <v/>
      </c>
    </row>
    <row r="168" spans="1:6" x14ac:dyDescent="0.35">
      <c r="A168" t="str">
        <f>IF('Other Energy Meters'!B146="",A167,'Other Energy Meters'!B146)</f>
        <v>Meter Numbers</v>
      </c>
      <c r="B168" t="str" cm="1">
        <f>IF(ISBLANK(INDEX(Array_OtherEnergyChargeData,ROW()-24,COLUMN()*2-3)),"",INDEX(Array_OtherEnergyChargeData,ROW()-24,COLUMN()*2-3))</f>
        <v/>
      </c>
      <c r="C168" t="str" cm="1">
        <f>IF(ISBLANK(INDEX(Array_OtherEnergyChargeData,ROW()-24,COLUMN()*2-3)),"",INDEX(Array_OtherEnergyChargeData,ROW()-24,COLUMN()*2-3))</f>
        <v/>
      </c>
      <c r="D168" t="str" cm="1">
        <f>IF(ISBLANK(INDEX(Array_OtherEnergyChargeData,ROW()-24,COLUMN()*2-3)),"",INDEX(Array_OtherEnergyChargeData,ROW()-24,COLUMN()*2-3))</f>
        <v/>
      </c>
      <c r="E168" t="str" cm="1">
        <f>IF(ISBLANK(INDEX(Array_OtherEnergyChargeData,ROW()-24,COLUMN()*2-3)),"",INDEX(Array_OtherEnergyChargeData,ROW()-24,COLUMN()*2-3))</f>
        <v/>
      </c>
      <c r="F168" t="str" cm="1">
        <f>IF(ISBLANK(INDEX(Array_OtherEnergyChargeData,ROW()-24,COLUMN()*2-3)),"",INDEX(Array_OtherEnergyChargeData,ROW()-24,COLUMN()*2-3))</f>
        <v/>
      </c>
    </row>
    <row r="169" spans="1:6" x14ac:dyDescent="0.35">
      <c r="A169" t="str">
        <f>IF('Other Energy Meters'!B147="",A168,'Other Energy Meters'!B147)</f>
        <v>Meter Numbers</v>
      </c>
      <c r="B169" t="str" cm="1">
        <f>IF(ISBLANK(INDEX(Array_OtherEnergyChargeData,ROW()-24,COLUMN()*2-3)),"",INDEX(Array_OtherEnergyChargeData,ROW()-24,COLUMN()*2-3))</f>
        <v/>
      </c>
      <c r="C169" t="str" cm="1">
        <f>IF(ISBLANK(INDEX(Array_OtherEnergyChargeData,ROW()-24,COLUMN()*2-3)),"",INDEX(Array_OtherEnergyChargeData,ROW()-24,COLUMN()*2-3))</f>
        <v/>
      </c>
      <c r="D169" t="str" cm="1">
        <f>IF(ISBLANK(INDEX(Array_OtherEnergyChargeData,ROW()-24,COLUMN()*2-3)),"",INDEX(Array_OtherEnergyChargeData,ROW()-24,COLUMN()*2-3))</f>
        <v/>
      </c>
      <c r="E169" t="str" cm="1">
        <f>IF(ISBLANK(INDEX(Array_OtherEnergyChargeData,ROW()-24,COLUMN()*2-3)),"",INDEX(Array_OtherEnergyChargeData,ROW()-24,COLUMN()*2-3))</f>
        <v/>
      </c>
      <c r="F169" t="str" cm="1">
        <f>IF(ISBLANK(INDEX(Array_OtherEnergyChargeData,ROW()-24,COLUMN()*2-3)),"",INDEX(Array_OtherEnergyChargeData,ROW()-24,COLUMN()*2-3))</f>
        <v/>
      </c>
    </row>
    <row r="170" spans="1:6" x14ac:dyDescent="0.35">
      <c r="A170" t="str">
        <f>IF('Other Energy Meters'!B148="",A169,'Other Energy Meters'!B148)</f>
        <v>Meter Numbers</v>
      </c>
      <c r="B170" t="str" cm="1">
        <f>IF(ISBLANK(INDEX(Array_OtherEnergyChargeData,ROW()-24,COLUMN()*2-3)),"",INDEX(Array_OtherEnergyChargeData,ROW()-24,COLUMN()*2-3))</f>
        <v/>
      </c>
      <c r="C170" t="str" cm="1">
        <f>IF(ISBLANK(INDEX(Array_OtherEnergyChargeData,ROW()-24,COLUMN()*2-3)),"",INDEX(Array_OtherEnergyChargeData,ROW()-24,COLUMN()*2-3))</f>
        <v/>
      </c>
      <c r="D170" t="str" cm="1">
        <f>IF(ISBLANK(INDEX(Array_OtherEnergyChargeData,ROW()-24,COLUMN()*2-3)),"",INDEX(Array_OtherEnergyChargeData,ROW()-24,COLUMN()*2-3))</f>
        <v/>
      </c>
      <c r="E170" t="str" cm="1">
        <f>IF(ISBLANK(INDEX(Array_OtherEnergyChargeData,ROW()-24,COLUMN()*2-3)),"",INDEX(Array_OtherEnergyChargeData,ROW()-24,COLUMN()*2-3))</f>
        <v/>
      </c>
      <c r="F170" t="str" cm="1">
        <f>IF(ISBLANK(INDEX(Array_OtherEnergyChargeData,ROW()-24,COLUMN()*2-3)),"",INDEX(Array_OtherEnergyChargeData,ROW()-24,COLUMN()*2-3))</f>
        <v/>
      </c>
    </row>
    <row r="171" spans="1:6" x14ac:dyDescent="0.35">
      <c r="A171" t="str">
        <f>IF('Other Energy Meters'!B149="",A170,'Other Energy Meters'!B149)</f>
        <v>Meter Numbers</v>
      </c>
      <c r="B171" t="str" cm="1">
        <f>IF(ISBLANK(INDEX(Array_OtherEnergyChargeData,ROW()-24,COLUMN()*2-3)),"",INDEX(Array_OtherEnergyChargeData,ROW()-24,COLUMN()*2-3))</f>
        <v/>
      </c>
      <c r="C171" t="str" cm="1">
        <f>IF(ISBLANK(INDEX(Array_OtherEnergyChargeData,ROW()-24,COLUMN()*2-3)),"",INDEX(Array_OtherEnergyChargeData,ROW()-24,COLUMN()*2-3))</f>
        <v/>
      </c>
      <c r="D171" t="str" cm="1">
        <f>IF(ISBLANK(INDEX(Array_OtherEnergyChargeData,ROW()-24,COLUMN()*2-3)),"",INDEX(Array_OtherEnergyChargeData,ROW()-24,COLUMN()*2-3))</f>
        <v/>
      </c>
      <c r="E171" t="str" cm="1">
        <f>IF(ISBLANK(INDEX(Array_OtherEnergyChargeData,ROW()-24,COLUMN()*2-3)),"",INDEX(Array_OtherEnergyChargeData,ROW()-24,COLUMN()*2-3))</f>
        <v/>
      </c>
      <c r="F171" t="str" cm="1">
        <f>IF(ISBLANK(INDEX(Array_OtherEnergyChargeData,ROW()-24,COLUMN()*2-3)),"",INDEX(Array_OtherEnergyChargeData,ROW()-24,COLUMN()*2-3))</f>
        <v/>
      </c>
    </row>
    <row r="172" spans="1:6" x14ac:dyDescent="0.35">
      <c r="A172" t="str">
        <f>IF('Other Energy Meters'!B150="",A171,'Other Energy Meters'!B150)</f>
        <v>Meter Numbers</v>
      </c>
      <c r="B172" t="str" cm="1">
        <f>IF(ISBLANK(INDEX(Array_OtherEnergyChargeData,ROW()-24,COLUMN()*2-3)),"",INDEX(Array_OtherEnergyChargeData,ROW()-24,COLUMN()*2-3))</f>
        <v/>
      </c>
      <c r="C172" t="str" cm="1">
        <f>IF(ISBLANK(INDEX(Array_OtherEnergyChargeData,ROW()-24,COLUMN()*2-3)),"",INDEX(Array_OtherEnergyChargeData,ROW()-24,COLUMN()*2-3))</f>
        <v/>
      </c>
      <c r="D172" t="str" cm="1">
        <f>IF(ISBLANK(INDEX(Array_OtherEnergyChargeData,ROW()-24,COLUMN()*2-3)),"",INDEX(Array_OtherEnergyChargeData,ROW()-24,COLUMN()*2-3))</f>
        <v/>
      </c>
      <c r="E172" t="str" cm="1">
        <f>IF(ISBLANK(INDEX(Array_OtherEnergyChargeData,ROW()-24,COLUMN()*2-3)),"",INDEX(Array_OtherEnergyChargeData,ROW()-24,COLUMN()*2-3))</f>
        <v/>
      </c>
      <c r="F172" t="str" cm="1">
        <f>IF(ISBLANK(INDEX(Array_OtherEnergyChargeData,ROW()-24,COLUMN()*2-3)),"",INDEX(Array_OtherEnergyChargeData,ROW()-24,COLUMN()*2-3))</f>
        <v/>
      </c>
    </row>
    <row r="173" spans="1:6" x14ac:dyDescent="0.35">
      <c r="A173" t="str">
        <f>IF('Other Energy Meters'!B151="",A172,'Other Energy Meters'!B151)</f>
        <v>Meter Numbers</v>
      </c>
      <c r="B173" t="str" cm="1">
        <f>IF(ISBLANK(INDEX(Array_OtherEnergyChargeData,ROW()-24,COLUMN()*2-3)),"",INDEX(Array_OtherEnergyChargeData,ROW()-24,COLUMN()*2-3))</f>
        <v/>
      </c>
      <c r="C173" t="str" cm="1">
        <f>IF(ISBLANK(INDEX(Array_OtherEnergyChargeData,ROW()-24,COLUMN()*2-3)),"",INDEX(Array_OtherEnergyChargeData,ROW()-24,COLUMN()*2-3))</f>
        <v/>
      </c>
      <c r="D173" t="str" cm="1">
        <f>IF(ISBLANK(INDEX(Array_OtherEnergyChargeData,ROW()-24,COLUMN()*2-3)),"",INDEX(Array_OtherEnergyChargeData,ROW()-24,COLUMN()*2-3))</f>
        <v/>
      </c>
      <c r="E173" t="str" cm="1">
        <f>IF(ISBLANK(INDEX(Array_OtherEnergyChargeData,ROW()-24,COLUMN()*2-3)),"",INDEX(Array_OtherEnergyChargeData,ROW()-24,COLUMN()*2-3))</f>
        <v/>
      </c>
      <c r="F173" t="str" cm="1">
        <f>IF(ISBLANK(INDEX(Array_OtherEnergyChargeData,ROW()-24,COLUMN()*2-3)),"",INDEX(Array_OtherEnergyChargeData,ROW()-24,COLUMN()*2-3))</f>
        <v/>
      </c>
    </row>
    <row r="174" spans="1:6" x14ac:dyDescent="0.35">
      <c r="A174" t="str">
        <f>IF('Other Energy Meters'!B152="",A173,'Other Energy Meters'!B152)</f>
        <v>Meter Numbers</v>
      </c>
      <c r="B174" t="str" cm="1">
        <f>IF(ISBLANK(INDEX(Array_OtherEnergyChargeData,ROW()-24,COLUMN()*2-3)),"",INDEX(Array_OtherEnergyChargeData,ROW()-24,COLUMN()*2-3))</f>
        <v/>
      </c>
      <c r="C174" t="str" cm="1">
        <f>IF(ISBLANK(INDEX(Array_OtherEnergyChargeData,ROW()-24,COLUMN()*2-3)),"",INDEX(Array_OtherEnergyChargeData,ROW()-24,COLUMN()*2-3))</f>
        <v/>
      </c>
      <c r="D174" t="str" cm="1">
        <f>IF(ISBLANK(INDEX(Array_OtherEnergyChargeData,ROW()-24,COLUMN()*2-3)),"",INDEX(Array_OtherEnergyChargeData,ROW()-24,COLUMN()*2-3))</f>
        <v/>
      </c>
      <c r="E174" t="str" cm="1">
        <f>IF(ISBLANK(INDEX(Array_OtherEnergyChargeData,ROW()-24,COLUMN()*2-3)),"",INDEX(Array_OtherEnergyChargeData,ROW()-24,COLUMN()*2-3))</f>
        <v/>
      </c>
      <c r="F174" t="str" cm="1">
        <f>IF(ISBLANK(INDEX(Array_OtherEnergyChargeData,ROW()-24,COLUMN()*2-3)),"",INDEX(Array_OtherEnergyChargeData,ROW()-24,COLUMN()*2-3))</f>
        <v/>
      </c>
    </row>
    <row r="175" spans="1:6" x14ac:dyDescent="0.35">
      <c r="A175" t="str">
        <f>IF('Other Energy Meters'!B153="",A174,'Other Energy Meters'!B153)</f>
        <v>Meter Numbers</v>
      </c>
      <c r="B175" t="str" cm="1">
        <f>IF(ISBLANK(INDEX(Array_OtherEnergyChargeData,ROW()-24,COLUMN()*2-3)),"",INDEX(Array_OtherEnergyChargeData,ROW()-24,COLUMN()*2-3))</f>
        <v/>
      </c>
      <c r="C175" t="str" cm="1">
        <f>IF(ISBLANK(INDEX(Array_OtherEnergyChargeData,ROW()-24,COLUMN()*2-3)),"",INDEX(Array_OtherEnergyChargeData,ROW()-24,COLUMN()*2-3))</f>
        <v/>
      </c>
      <c r="D175" t="str" cm="1">
        <f>IF(ISBLANK(INDEX(Array_OtherEnergyChargeData,ROW()-24,COLUMN()*2-3)),"",INDEX(Array_OtherEnergyChargeData,ROW()-24,COLUMN()*2-3))</f>
        <v/>
      </c>
      <c r="E175" t="str" cm="1">
        <f>IF(ISBLANK(INDEX(Array_OtherEnergyChargeData,ROW()-24,COLUMN()*2-3)),"",INDEX(Array_OtherEnergyChargeData,ROW()-24,COLUMN()*2-3))</f>
        <v/>
      </c>
      <c r="F175" t="str" cm="1">
        <f>IF(ISBLANK(INDEX(Array_OtherEnergyChargeData,ROW()-24,COLUMN()*2-3)),"",INDEX(Array_OtherEnergyChargeData,ROW()-24,COLUMN()*2-3))</f>
        <v/>
      </c>
    </row>
    <row r="176" spans="1:6" x14ac:dyDescent="0.35">
      <c r="A176" t="str">
        <f>IF('Other Energy Meters'!B154="",A175,'Other Energy Meters'!B154)</f>
        <v>Meter Numbers</v>
      </c>
      <c r="B176" t="str" cm="1">
        <f>IF(ISBLANK(INDEX(Array_OtherEnergyChargeData,ROW()-24,COLUMN()*2-3)),"",INDEX(Array_OtherEnergyChargeData,ROW()-24,COLUMN()*2-3))</f>
        <v/>
      </c>
      <c r="C176" t="str" cm="1">
        <f>IF(ISBLANK(INDEX(Array_OtherEnergyChargeData,ROW()-24,COLUMN()*2-3)),"",INDEX(Array_OtherEnergyChargeData,ROW()-24,COLUMN()*2-3))</f>
        <v/>
      </c>
      <c r="D176" t="str" cm="1">
        <f>IF(ISBLANK(INDEX(Array_OtherEnergyChargeData,ROW()-24,COLUMN()*2-3)),"",INDEX(Array_OtherEnergyChargeData,ROW()-24,COLUMN()*2-3))</f>
        <v/>
      </c>
      <c r="E176" t="str" cm="1">
        <f>IF(ISBLANK(INDEX(Array_OtherEnergyChargeData,ROW()-24,COLUMN()*2-3)),"",INDEX(Array_OtherEnergyChargeData,ROW()-24,COLUMN()*2-3))</f>
        <v/>
      </c>
      <c r="F176" t="str" cm="1">
        <f>IF(ISBLANK(INDEX(Array_OtherEnergyChargeData,ROW()-24,COLUMN()*2-3)),"",INDEX(Array_OtherEnergyChargeData,ROW()-24,COLUMN()*2-3))</f>
        <v/>
      </c>
    </row>
    <row r="177" spans="1:6" x14ac:dyDescent="0.35">
      <c r="A177" t="str">
        <f>IF('Other Energy Meters'!B155="",A176,'Other Energy Meters'!B155)</f>
        <v>Meter Numbers</v>
      </c>
      <c r="B177" t="str" cm="1">
        <f>IF(ISBLANK(INDEX(Array_OtherEnergyChargeData,ROW()-24,COLUMN()*2-3)),"",INDEX(Array_OtherEnergyChargeData,ROW()-24,COLUMN()*2-3))</f>
        <v/>
      </c>
      <c r="C177" t="str" cm="1">
        <f>IF(ISBLANK(INDEX(Array_OtherEnergyChargeData,ROW()-24,COLUMN()*2-3)),"",INDEX(Array_OtherEnergyChargeData,ROW()-24,COLUMN()*2-3))</f>
        <v/>
      </c>
      <c r="D177" t="str" cm="1">
        <f>IF(ISBLANK(INDEX(Array_OtherEnergyChargeData,ROW()-24,COLUMN()*2-3)),"",INDEX(Array_OtherEnergyChargeData,ROW()-24,COLUMN()*2-3))</f>
        <v/>
      </c>
      <c r="E177" t="str" cm="1">
        <f>IF(ISBLANK(INDEX(Array_OtherEnergyChargeData,ROW()-24,COLUMN()*2-3)),"",INDEX(Array_OtherEnergyChargeData,ROW()-24,COLUMN()*2-3))</f>
        <v/>
      </c>
      <c r="F177" t="str" cm="1">
        <f>IF(ISBLANK(INDEX(Array_OtherEnergyChargeData,ROW()-24,COLUMN()*2-3)),"",INDEX(Array_OtherEnergyChargeData,ROW()-24,COLUMN()*2-3))</f>
        <v/>
      </c>
    </row>
    <row r="178" spans="1:6" x14ac:dyDescent="0.35">
      <c r="A178" t="str">
        <f>IF('Other Energy Meters'!B156="",A177,'Other Energy Meters'!B156)</f>
        <v>Meter Numbers</v>
      </c>
      <c r="B178" t="str" cm="1">
        <f>IF(ISBLANK(INDEX(Array_OtherEnergyChargeData,ROW()-24,COLUMN()*2-3)),"",INDEX(Array_OtherEnergyChargeData,ROW()-24,COLUMN()*2-3))</f>
        <v/>
      </c>
      <c r="C178" t="str" cm="1">
        <f>IF(ISBLANK(INDEX(Array_OtherEnergyChargeData,ROW()-24,COLUMN()*2-3)),"",INDEX(Array_OtherEnergyChargeData,ROW()-24,COLUMN()*2-3))</f>
        <v/>
      </c>
      <c r="D178" t="str" cm="1">
        <f>IF(ISBLANK(INDEX(Array_OtherEnergyChargeData,ROW()-24,COLUMN()*2-3)),"",INDEX(Array_OtherEnergyChargeData,ROW()-24,COLUMN()*2-3))</f>
        <v/>
      </c>
      <c r="E178" t="str" cm="1">
        <f>IF(ISBLANK(INDEX(Array_OtherEnergyChargeData,ROW()-24,COLUMN()*2-3)),"",INDEX(Array_OtherEnergyChargeData,ROW()-24,COLUMN()*2-3))</f>
        <v/>
      </c>
      <c r="F178" t="str" cm="1">
        <f>IF(ISBLANK(INDEX(Array_OtherEnergyChargeData,ROW()-24,COLUMN()*2-3)),"",INDEX(Array_OtherEnergyChargeData,ROW()-24,COLUMN()*2-3))</f>
        <v/>
      </c>
    </row>
    <row r="179" spans="1:6" x14ac:dyDescent="0.35">
      <c r="A179" t="str">
        <f>IF('Other Energy Meters'!B157="",A178,'Other Energy Meters'!B157)</f>
        <v>Meter Numbers</v>
      </c>
      <c r="B179" t="str" cm="1">
        <f>IF(ISBLANK(INDEX(Array_OtherEnergyChargeData,ROW()-24,COLUMN()*2-3)),"",INDEX(Array_OtherEnergyChargeData,ROW()-24,COLUMN()*2-3))</f>
        <v/>
      </c>
      <c r="C179" t="str" cm="1">
        <f>IF(ISBLANK(INDEX(Array_OtherEnergyChargeData,ROW()-24,COLUMN()*2-3)),"",INDEX(Array_OtherEnergyChargeData,ROW()-24,COLUMN()*2-3))</f>
        <v/>
      </c>
      <c r="D179" t="str" cm="1">
        <f>IF(ISBLANK(INDEX(Array_OtherEnergyChargeData,ROW()-24,COLUMN()*2-3)),"",INDEX(Array_OtherEnergyChargeData,ROW()-24,COLUMN()*2-3))</f>
        <v/>
      </c>
      <c r="E179" t="str" cm="1">
        <f>IF(ISBLANK(INDEX(Array_OtherEnergyChargeData,ROW()-24,COLUMN()*2-3)),"",INDEX(Array_OtherEnergyChargeData,ROW()-24,COLUMN()*2-3))</f>
        <v/>
      </c>
      <c r="F179" t="str" cm="1">
        <f>IF(ISBLANK(INDEX(Array_OtherEnergyChargeData,ROW()-24,COLUMN()*2-3)),"",INDEX(Array_OtherEnergyChargeData,ROW()-24,COLUMN()*2-3))</f>
        <v/>
      </c>
    </row>
    <row r="180" spans="1:6" x14ac:dyDescent="0.35">
      <c r="A180" t="str">
        <f>IF('Other Energy Meters'!B158="",A179,'Other Energy Meters'!B158)</f>
        <v>Meter Numbers</v>
      </c>
      <c r="B180" t="str" cm="1">
        <f>IF(ISBLANK(INDEX(Array_OtherEnergyChargeData,ROW()-24,COLUMN()*2-3)),"",INDEX(Array_OtherEnergyChargeData,ROW()-24,COLUMN()*2-3))</f>
        <v/>
      </c>
      <c r="C180" t="str" cm="1">
        <f>IF(ISBLANK(INDEX(Array_OtherEnergyChargeData,ROW()-24,COLUMN()*2-3)),"",INDEX(Array_OtherEnergyChargeData,ROW()-24,COLUMN()*2-3))</f>
        <v/>
      </c>
      <c r="D180" t="str" cm="1">
        <f>IF(ISBLANK(INDEX(Array_OtherEnergyChargeData,ROW()-24,COLUMN()*2-3)),"",INDEX(Array_OtherEnergyChargeData,ROW()-24,COLUMN()*2-3))</f>
        <v/>
      </c>
      <c r="E180" t="str" cm="1">
        <f>IF(ISBLANK(INDEX(Array_OtherEnergyChargeData,ROW()-24,COLUMN()*2-3)),"",INDEX(Array_OtherEnergyChargeData,ROW()-24,COLUMN()*2-3))</f>
        <v/>
      </c>
      <c r="F180" t="str" cm="1">
        <f>IF(ISBLANK(INDEX(Array_OtherEnergyChargeData,ROW()-24,COLUMN()*2-3)),"",INDEX(Array_OtherEnergyChargeData,ROW()-24,COLUMN()*2-3))</f>
        <v/>
      </c>
    </row>
    <row r="181" spans="1:6" x14ac:dyDescent="0.35">
      <c r="A181" t="str">
        <f>IF('Other Energy Meters'!B159="",A180,'Other Energy Meters'!B159)</f>
        <v>Meter Numbers</v>
      </c>
      <c r="B181" t="str" cm="1">
        <f>IF(ISBLANK(INDEX(Array_OtherEnergyChargeData,ROW()-24,COLUMN()*2-3)),"",INDEX(Array_OtherEnergyChargeData,ROW()-24,COLUMN()*2-3))</f>
        <v/>
      </c>
      <c r="C181" t="str" cm="1">
        <f>IF(ISBLANK(INDEX(Array_OtherEnergyChargeData,ROW()-24,COLUMN()*2-3)),"",INDEX(Array_OtherEnergyChargeData,ROW()-24,COLUMN()*2-3))</f>
        <v/>
      </c>
      <c r="D181" t="str" cm="1">
        <f>IF(ISBLANK(INDEX(Array_OtherEnergyChargeData,ROW()-24,COLUMN()*2-3)),"",INDEX(Array_OtherEnergyChargeData,ROW()-24,COLUMN()*2-3))</f>
        <v/>
      </c>
      <c r="E181" t="str" cm="1">
        <f>IF(ISBLANK(INDEX(Array_OtherEnergyChargeData,ROW()-24,COLUMN()*2-3)),"",INDEX(Array_OtherEnergyChargeData,ROW()-24,COLUMN()*2-3))</f>
        <v/>
      </c>
      <c r="F181" t="str" cm="1">
        <f>IF(ISBLANK(INDEX(Array_OtherEnergyChargeData,ROW()-24,COLUMN()*2-3)),"",INDEX(Array_OtherEnergyChargeData,ROW()-24,COLUMN()*2-3))</f>
        <v/>
      </c>
    </row>
    <row r="182" spans="1:6" x14ac:dyDescent="0.35">
      <c r="A182" t="str">
        <f>IF('Other Energy Meters'!B160="",A181,'Other Energy Meters'!B160)</f>
        <v>Meter Numbers</v>
      </c>
      <c r="B182" t="str" cm="1">
        <f>IF(ISBLANK(INDEX(Array_OtherEnergyChargeData,ROW()-24,COLUMN()*2-3)),"",INDEX(Array_OtherEnergyChargeData,ROW()-24,COLUMN()*2-3))</f>
        <v/>
      </c>
      <c r="C182" t="str" cm="1">
        <f>IF(ISBLANK(INDEX(Array_OtherEnergyChargeData,ROW()-24,COLUMN()*2-3)),"",INDEX(Array_OtherEnergyChargeData,ROW()-24,COLUMN()*2-3))</f>
        <v/>
      </c>
      <c r="D182" t="str" cm="1">
        <f>IF(ISBLANK(INDEX(Array_OtherEnergyChargeData,ROW()-24,COLUMN()*2-3)),"",INDEX(Array_OtherEnergyChargeData,ROW()-24,COLUMN()*2-3))</f>
        <v/>
      </c>
      <c r="E182" t="str" cm="1">
        <f>IF(ISBLANK(INDEX(Array_OtherEnergyChargeData,ROW()-24,COLUMN()*2-3)),"",INDEX(Array_OtherEnergyChargeData,ROW()-24,COLUMN()*2-3))</f>
        <v/>
      </c>
      <c r="F182" t="str" cm="1">
        <f>IF(ISBLANK(INDEX(Array_OtherEnergyChargeData,ROW()-24,COLUMN()*2-3)),"",INDEX(Array_OtherEnergyChargeData,ROW()-24,COLUMN()*2-3))</f>
        <v/>
      </c>
    </row>
    <row r="183" spans="1:6" x14ac:dyDescent="0.35">
      <c r="A183" t="str">
        <f>IF('Other Energy Meters'!B161="",A182,'Other Energy Meters'!B161)</f>
        <v>Meter Numbers</v>
      </c>
      <c r="B183" t="str" cm="1">
        <f>IF(ISBLANK(INDEX(Array_OtherEnergyChargeData,ROW()-24,COLUMN()*2-3)),"",INDEX(Array_OtherEnergyChargeData,ROW()-24,COLUMN()*2-3))</f>
        <v/>
      </c>
      <c r="C183" t="str" cm="1">
        <f>IF(ISBLANK(INDEX(Array_OtherEnergyChargeData,ROW()-24,COLUMN()*2-3)),"",INDEX(Array_OtherEnergyChargeData,ROW()-24,COLUMN()*2-3))</f>
        <v/>
      </c>
      <c r="D183" t="str" cm="1">
        <f>IF(ISBLANK(INDEX(Array_OtherEnergyChargeData,ROW()-24,COLUMN()*2-3)),"",INDEX(Array_OtherEnergyChargeData,ROW()-24,COLUMN()*2-3))</f>
        <v/>
      </c>
      <c r="E183" t="str" cm="1">
        <f>IF(ISBLANK(INDEX(Array_OtherEnergyChargeData,ROW()-24,COLUMN()*2-3)),"",INDEX(Array_OtherEnergyChargeData,ROW()-24,COLUMN()*2-3))</f>
        <v/>
      </c>
      <c r="F183" t="str" cm="1">
        <f>IF(ISBLANK(INDEX(Array_OtherEnergyChargeData,ROW()-24,COLUMN()*2-3)),"",INDEX(Array_OtherEnergyChargeData,ROW()-24,COLUMN()*2-3))</f>
        <v/>
      </c>
    </row>
    <row r="184" spans="1:6" x14ac:dyDescent="0.35">
      <c r="A184" t="str">
        <f>IF('Other Energy Meters'!B162="",A183,'Other Energy Meters'!B162)</f>
        <v>Meter Numbers</v>
      </c>
      <c r="B184" t="str" cm="1">
        <f>IF(ISBLANK(INDEX(Array_OtherEnergyChargeData,ROW()-24,COLUMN()*2-3)),"",INDEX(Array_OtherEnergyChargeData,ROW()-24,COLUMN()*2-3))</f>
        <v/>
      </c>
      <c r="C184" t="str" cm="1">
        <f>IF(ISBLANK(INDEX(Array_OtherEnergyChargeData,ROW()-24,COLUMN()*2-3)),"",INDEX(Array_OtherEnergyChargeData,ROW()-24,COLUMN()*2-3))</f>
        <v/>
      </c>
      <c r="D184" t="str" cm="1">
        <f>IF(ISBLANK(INDEX(Array_OtherEnergyChargeData,ROW()-24,COLUMN()*2-3)),"",INDEX(Array_OtherEnergyChargeData,ROW()-24,COLUMN()*2-3))</f>
        <v/>
      </c>
      <c r="E184" t="str" cm="1">
        <f>IF(ISBLANK(INDEX(Array_OtherEnergyChargeData,ROW()-24,COLUMN()*2-3)),"",INDEX(Array_OtherEnergyChargeData,ROW()-24,COLUMN()*2-3))</f>
        <v/>
      </c>
      <c r="F184" t="str" cm="1">
        <f>IF(ISBLANK(INDEX(Array_OtherEnergyChargeData,ROW()-24,COLUMN()*2-3)),"",INDEX(Array_OtherEnergyChargeData,ROW()-24,COLUMN()*2-3))</f>
        <v/>
      </c>
    </row>
    <row r="185" spans="1:6" x14ac:dyDescent="0.35">
      <c r="A185" t="str">
        <f>IF('Other Energy Meters'!B163="",A184,'Other Energy Meters'!B163)</f>
        <v>Meter Numbers</v>
      </c>
      <c r="B185" t="str" cm="1">
        <f>IF(ISBLANK(INDEX(Array_OtherEnergyChargeData,ROW()-24,COLUMN()*2-3)),"",INDEX(Array_OtherEnergyChargeData,ROW()-24,COLUMN()*2-3))</f>
        <v/>
      </c>
      <c r="C185" t="str" cm="1">
        <f>IF(ISBLANK(INDEX(Array_OtherEnergyChargeData,ROW()-24,COLUMN()*2-3)),"",INDEX(Array_OtherEnergyChargeData,ROW()-24,COLUMN()*2-3))</f>
        <v/>
      </c>
      <c r="D185" t="str" cm="1">
        <f>IF(ISBLANK(INDEX(Array_OtherEnergyChargeData,ROW()-24,COLUMN()*2-3)),"",INDEX(Array_OtherEnergyChargeData,ROW()-24,COLUMN()*2-3))</f>
        <v/>
      </c>
      <c r="E185" t="str" cm="1">
        <f>IF(ISBLANK(INDEX(Array_OtherEnergyChargeData,ROW()-24,COLUMN()*2-3)),"",INDEX(Array_OtherEnergyChargeData,ROW()-24,COLUMN()*2-3))</f>
        <v/>
      </c>
      <c r="F185" t="str" cm="1">
        <f>IF(ISBLANK(INDEX(Array_OtherEnergyChargeData,ROW()-24,COLUMN()*2-3)),"",INDEX(Array_OtherEnergyChargeData,ROW()-24,COLUMN()*2-3))</f>
        <v/>
      </c>
    </row>
    <row r="186" spans="1:6" x14ac:dyDescent="0.35">
      <c r="A186" t="str">
        <f>IF('Other Energy Meters'!B164="",A185,'Other Energy Meters'!B164)</f>
        <v>Meter Numbers</v>
      </c>
      <c r="B186" t="str" cm="1">
        <f>IF(ISBLANK(INDEX(Array_OtherEnergyChargeData,ROW()-24,COLUMN()*2-3)),"",INDEX(Array_OtherEnergyChargeData,ROW()-24,COLUMN()*2-3))</f>
        <v/>
      </c>
      <c r="C186" t="str" cm="1">
        <f>IF(ISBLANK(INDEX(Array_OtherEnergyChargeData,ROW()-24,COLUMN()*2-3)),"",INDEX(Array_OtherEnergyChargeData,ROW()-24,COLUMN()*2-3))</f>
        <v/>
      </c>
      <c r="D186" t="str" cm="1">
        <f>IF(ISBLANK(INDEX(Array_OtherEnergyChargeData,ROW()-24,COLUMN()*2-3)),"",INDEX(Array_OtherEnergyChargeData,ROW()-24,COLUMN()*2-3))</f>
        <v/>
      </c>
      <c r="E186" t="str" cm="1">
        <f>IF(ISBLANK(INDEX(Array_OtherEnergyChargeData,ROW()-24,COLUMN()*2-3)),"",INDEX(Array_OtherEnergyChargeData,ROW()-24,COLUMN()*2-3))</f>
        <v/>
      </c>
      <c r="F186" t="str" cm="1">
        <f>IF(ISBLANK(INDEX(Array_OtherEnergyChargeData,ROW()-24,COLUMN()*2-3)),"",INDEX(Array_OtherEnergyChargeData,ROW()-24,COLUMN()*2-3))</f>
        <v/>
      </c>
    </row>
    <row r="187" spans="1:6" x14ac:dyDescent="0.35">
      <c r="A187" t="str">
        <f>IF('Other Energy Meters'!B165="",A186,'Other Energy Meters'!B165)</f>
        <v>Meter Numbers</v>
      </c>
      <c r="B187" t="str" cm="1">
        <f>IF(ISBLANK(INDEX(Array_OtherEnergyChargeData,ROW()-24,COLUMN()*2-3)),"",INDEX(Array_OtherEnergyChargeData,ROW()-24,COLUMN()*2-3))</f>
        <v/>
      </c>
      <c r="C187" t="str" cm="1">
        <f>IF(ISBLANK(INDEX(Array_OtherEnergyChargeData,ROW()-24,COLUMN()*2-3)),"",INDEX(Array_OtherEnergyChargeData,ROW()-24,COLUMN()*2-3))</f>
        <v/>
      </c>
      <c r="D187" t="str" cm="1">
        <f>IF(ISBLANK(INDEX(Array_OtherEnergyChargeData,ROW()-24,COLUMN()*2-3)),"",INDEX(Array_OtherEnergyChargeData,ROW()-24,COLUMN()*2-3))</f>
        <v/>
      </c>
      <c r="E187" t="str" cm="1">
        <f>IF(ISBLANK(INDEX(Array_OtherEnergyChargeData,ROW()-24,COLUMN()*2-3)),"",INDEX(Array_OtherEnergyChargeData,ROW()-24,COLUMN()*2-3))</f>
        <v/>
      </c>
      <c r="F187" t="str" cm="1">
        <f>IF(ISBLANK(INDEX(Array_OtherEnergyChargeData,ROW()-24,COLUMN()*2-3)),"",INDEX(Array_OtherEnergyChargeData,ROW()-24,COLUMN()*2-3))</f>
        <v/>
      </c>
    </row>
    <row r="188" spans="1:6" x14ac:dyDescent="0.35">
      <c r="A188" t="str">
        <f>IF('Other Energy Meters'!B166="",A187,'Other Energy Meters'!B166)</f>
        <v>Meter Numbers</v>
      </c>
      <c r="B188" t="str" cm="1">
        <f>IF(ISBLANK(INDEX(Array_OtherEnergyChargeData,ROW()-24,COLUMN()*2-3)),"",INDEX(Array_OtherEnergyChargeData,ROW()-24,COLUMN()*2-3))</f>
        <v/>
      </c>
      <c r="C188" t="str" cm="1">
        <f>IF(ISBLANK(INDEX(Array_OtherEnergyChargeData,ROW()-24,COLUMN()*2-3)),"",INDEX(Array_OtherEnergyChargeData,ROW()-24,COLUMN()*2-3))</f>
        <v/>
      </c>
      <c r="D188" t="str" cm="1">
        <f>IF(ISBLANK(INDEX(Array_OtherEnergyChargeData,ROW()-24,COLUMN()*2-3)),"",INDEX(Array_OtherEnergyChargeData,ROW()-24,COLUMN()*2-3))</f>
        <v/>
      </c>
      <c r="E188" t="str" cm="1">
        <f>IF(ISBLANK(INDEX(Array_OtherEnergyChargeData,ROW()-24,COLUMN()*2-3)),"",INDEX(Array_OtherEnergyChargeData,ROW()-24,COLUMN()*2-3))</f>
        <v/>
      </c>
      <c r="F188" t="str" cm="1">
        <f>IF(ISBLANK(INDEX(Array_OtherEnergyChargeData,ROW()-24,COLUMN()*2-3)),"",INDEX(Array_OtherEnergyChargeData,ROW()-24,COLUMN()*2-3))</f>
        <v/>
      </c>
    </row>
    <row r="189" spans="1:6" x14ac:dyDescent="0.35">
      <c r="A189" t="str">
        <f>IF('Other Energy Meters'!B167="",A188,'Other Energy Meters'!B167)</f>
        <v>Meter Numbers</v>
      </c>
      <c r="B189" t="str" cm="1">
        <f>IF(ISBLANK(INDEX(Array_OtherEnergyChargeData,ROW()-24,COLUMN()*2-3)),"",INDEX(Array_OtherEnergyChargeData,ROW()-24,COLUMN()*2-3))</f>
        <v/>
      </c>
      <c r="C189" t="str" cm="1">
        <f>IF(ISBLANK(INDEX(Array_OtherEnergyChargeData,ROW()-24,COLUMN()*2-3)),"",INDEX(Array_OtherEnergyChargeData,ROW()-24,COLUMN()*2-3))</f>
        <v/>
      </c>
      <c r="D189" t="str" cm="1">
        <f>IF(ISBLANK(INDEX(Array_OtherEnergyChargeData,ROW()-24,COLUMN()*2-3)),"",INDEX(Array_OtherEnergyChargeData,ROW()-24,COLUMN()*2-3))</f>
        <v/>
      </c>
      <c r="E189" t="str" cm="1">
        <f>IF(ISBLANK(INDEX(Array_OtherEnergyChargeData,ROW()-24,COLUMN()*2-3)),"",INDEX(Array_OtherEnergyChargeData,ROW()-24,COLUMN()*2-3))</f>
        <v/>
      </c>
      <c r="F189" t="str" cm="1">
        <f>IF(ISBLANK(INDEX(Array_OtherEnergyChargeData,ROW()-24,COLUMN()*2-3)),"",INDEX(Array_OtherEnergyChargeData,ROW()-24,COLUMN()*2-3))</f>
        <v/>
      </c>
    </row>
    <row r="190" spans="1:6" x14ac:dyDescent="0.35">
      <c r="A190" t="str">
        <f>IF('Other Energy Meters'!B168="",A189,'Other Energy Meters'!B168)</f>
        <v>Meter Numbers</v>
      </c>
      <c r="B190" t="str" cm="1">
        <f>IF(ISBLANK(INDEX(Array_OtherEnergyChargeData,ROW()-24,COLUMN()*2-3)),"",INDEX(Array_OtherEnergyChargeData,ROW()-24,COLUMN()*2-3))</f>
        <v/>
      </c>
      <c r="C190" t="str" cm="1">
        <f>IF(ISBLANK(INDEX(Array_OtherEnergyChargeData,ROW()-24,COLUMN()*2-3)),"",INDEX(Array_OtherEnergyChargeData,ROW()-24,COLUMN()*2-3))</f>
        <v/>
      </c>
      <c r="D190" t="str" cm="1">
        <f>IF(ISBLANK(INDEX(Array_OtherEnergyChargeData,ROW()-24,COLUMN()*2-3)),"",INDEX(Array_OtherEnergyChargeData,ROW()-24,COLUMN()*2-3))</f>
        <v/>
      </c>
      <c r="E190" t="str" cm="1">
        <f>IF(ISBLANK(INDEX(Array_OtherEnergyChargeData,ROW()-24,COLUMN()*2-3)),"",INDEX(Array_OtherEnergyChargeData,ROW()-24,COLUMN()*2-3))</f>
        <v/>
      </c>
      <c r="F190" t="str" cm="1">
        <f>IF(ISBLANK(INDEX(Array_OtherEnergyChargeData,ROW()-24,COLUMN()*2-3)),"",INDEX(Array_OtherEnergyChargeData,ROW()-24,COLUMN()*2-3))</f>
        <v/>
      </c>
    </row>
    <row r="191" spans="1:6" x14ac:dyDescent="0.35">
      <c r="A191" t="str">
        <f>IF('Other Energy Meters'!B169="",A190,'Other Energy Meters'!B169)</f>
        <v>Meter Numbers</v>
      </c>
      <c r="B191" t="str" cm="1">
        <f>IF(ISBLANK(INDEX(Array_OtherEnergyChargeData,ROW()-24,COLUMN()*2-3)),"",INDEX(Array_OtherEnergyChargeData,ROW()-24,COLUMN()*2-3))</f>
        <v/>
      </c>
      <c r="C191" t="str" cm="1">
        <f>IF(ISBLANK(INDEX(Array_OtherEnergyChargeData,ROW()-24,COLUMN()*2-3)),"",INDEX(Array_OtherEnergyChargeData,ROW()-24,COLUMN()*2-3))</f>
        <v/>
      </c>
      <c r="D191" t="str" cm="1">
        <f>IF(ISBLANK(INDEX(Array_OtherEnergyChargeData,ROW()-24,COLUMN()*2-3)),"",INDEX(Array_OtherEnergyChargeData,ROW()-24,COLUMN()*2-3))</f>
        <v/>
      </c>
      <c r="E191" t="str" cm="1">
        <f>IF(ISBLANK(INDEX(Array_OtherEnergyChargeData,ROW()-24,COLUMN()*2-3)),"",INDEX(Array_OtherEnergyChargeData,ROW()-24,COLUMN()*2-3))</f>
        <v/>
      </c>
      <c r="F191" t="str" cm="1">
        <f>IF(ISBLANK(INDEX(Array_OtherEnergyChargeData,ROW()-24,COLUMN()*2-3)),"",INDEX(Array_OtherEnergyChargeData,ROW()-24,COLUMN()*2-3))</f>
        <v/>
      </c>
    </row>
    <row r="192" spans="1:6" x14ac:dyDescent="0.35">
      <c r="A192" t="str">
        <f>IF('Other Energy Meters'!B170="",A191,'Other Energy Meters'!B170)</f>
        <v>Meter Numbers</v>
      </c>
      <c r="B192" t="str" cm="1">
        <f>IF(ISBLANK(INDEX(Array_OtherEnergyChargeData,ROW()-24,COLUMN()*2-3)),"",INDEX(Array_OtherEnergyChargeData,ROW()-24,COLUMN()*2-3))</f>
        <v/>
      </c>
      <c r="C192" t="str" cm="1">
        <f>IF(ISBLANK(INDEX(Array_OtherEnergyChargeData,ROW()-24,COLUMN()*2-3)),"",INDEX(Array_OtherEnergyChargeData,ROW()-24,COLUMN()*2-3))</f>
        <v/>
      </c>
      <c r="D192" t="str" cm="1">
        <f>IF(ISBLANK(INDEX(Array_OtherEnergyChargeData,ROW()-24,COLUMN()*2-3)),"",INDEX(Array_OtherEnergyChargeData,ROW()-24,COLUMN()*2-3))</f>
        <v/>
      </c>
      <c r="E192" t="str" cm="1">
        <f>IF(ISBLANK(INDEX(Array_OtherEnergyChargeData,ROW()-24,COLUMN()*2-3)),"",INDEX(Array_OtherEnergyChargeData,ROW()-24,COLUMN()*2-3))</f>
        <v/>
      </c>
      <c r="F192" t="str" cm="1">
        <f>IF(ISBLANK(INDEX(Array_OtherEnergyChargeData,ROW()-24,COLUMN()*2-3)),"",INDEX(Array_OtherEnergyChargeData,ROW()-24,COLUMN()*2-3))</f>
        <v/>
      </c>
    </row>
    <row r="193" spans="1:6" x14ac:dyDescent="0.35">
      <c r="A193" t="str">
        <f>IF('Other Energy Meters'!B171="",A192,'Other Energy Meters'!B171)</f>
        <v>Meter Numbers</v>
      </c>
      <c r="B193" t="str" cm="1">
        <f>IF(ISBLANK(INDEX(Array_OtherEnergyChargeData,ROW()-24,COLUMN()*2-3)),"",INDEX(Array_OtherEnergyChargeData,ROW()-24,COLUMN()*2-3))</f>
        <v/>
      </c>
      <c r="C193" t="str" cm="1">
        <f>IF(ISBLANK(INDEX(Array_OtherEnergyChargeData,ROW()-24,COLUMN()*2-3)),"",INDEX(Array_OtherEnergyChargeData,ROW()-24,COLUMN()*2-3))</f>
        <v/>
      </c>
      <c r="D193" t="str" cm="1">
        <f>IF(ISBLANK(INDEX(Array_OtherEnergyChargeData,ROW()-24,COLUMN()*2-3)),"",INDEX(Array_OtherEnergyChargeData,ROW()-24,COLUMN()*2-3))</f>
        <v/>
      </c>
      <c r="E193" t="str" cm="1">
        <f>IF(ISBLANK(INDEX(Array_OtherEnergyChargeData,ROW()-24,COLUMN()*2-3)),"",INDEX(Array_OtherEnergyChargeData,ROW()-24,COLUMN()*2-3))</f>
        <v/>
      </c>
      <c r="F193" t="str" cm="1">
        <f>IF(ISBLANK(INDEX(Array_OtherEnergyChargeData,ROW()-24,COLUMN()*2-3)),"",INDEX(Array_OtherEnergyChargeData,ROW()-24,COLUMN()*2-3))</f>
        <v/>
      </c>
    </row>
    <row r="194" spans="1:6" x14ac:dyDescent="0.35">
      <c r="A194" t="str">
        <f>IF('Other Energy Meters'!B172="",A193,'Other Energy Meters'!B172)</f>
        <v>Meter Numbers</v>
      </c>
      <c r="B194" t="str" cm="1">
        <f>IF(ISBLANK(INDEX(Array_OtherEnergyChargeData,ROW()-24,COLUMN()*2-3)),"",INDEX(Array_OtherEnergyChargeData,ROW()-24,COLUMN()*2-3))</f>
        <v/>
      </c>
      <c r="C194" t="str" cm="1">
        <f>IF(ISBLANK(INDEX(Array_OtherEnergyChargeData,ROW()-24,COLUMN()*2-3)),"",INDEX(Array_OtherEnergyChargeData,ROW()-24,COLUMN()*2-3))</f>
        <v/>
      </c>
      <c r="D194" t="str" cm="1">
        <f>IF(ISBLANK(INDEX(Array_OtherEnergyChargeData,ROW()-24,COLUMN()*2-3)),"",INDEX(Array_OtherEnergyChargeData,ROW()-24,COLUMN()*2-3))</f>
        <v/>
      </c>
      <c r="E194" t="str" cm="1">
        <f>IF(ISBLANK(INDEX(Array_OtherEnergyChargeData,ROW()-24,COLUMN()*2-3)),"",INDEX(Array_OtherEnergyChargeData,ROW()-24,COLUMN()*2-3))</f>
        <v/>
      </c>
      <c r="F194" t="str" cm="1">
        <f>IF(ISBLANK(INDEX(Array_OtherEnergyChargeData,ROW()-24,COLUMN()*2-3)),"",INDEX(Array_OtherEnergyChargeData,ROW()-24,COLUMN()*2-3))</f>
        <v/>
      </c>
    </row>
    <row r="195" spans="1:6" x14ac:dyDescent="0.35">
      <c r="A195" t="str">
        <f>IF('Other Energy Meters'!B173="",A194,'Other Energy Meters'!B173)</f>
        <v>Meter Numbers</v>
      </c>
      <c r="B195" t="str" cm="1">
        <f>IF(ISBLANK(INDEX(Array_OtherEnergyChargeData,ROW()-24,COLUMN()*2-3)),"",INDEX(Array_OtherEnergyChargeData,ROW()-24,COLUMN()*2-3))</f>
        <v/>
      </c>
      <c r="C195" t="str" cm="1">
        <f>IF(ISBLANK(INDEX(Array_OtherEnergyChargeData,ROW()-24,COLUMN()*2-3)),"",INDEX(Array_OtherEnergyChargeData,ROW()-24,COLUMN()*2-3))</f>
        <v/>
      </c>
      <c r="D195" t="str" cm="1">
        <f>IF(ISBLANK(INDEX(Array_OtherEnergyChargeData,ROW()-24,COLUMN()*2-3)),"",INDEX(Array_OtherEnergyChargeData,ROW()-24,COLUMN()*2-3))</f>
        <v/>
      </c>
      <c r="E195" t="str" cm="1">
        <f>IF(ISBLANK(INDEX(Array_OtherEnergyChargeData,ROW()-24,COLUMN()*2-3)),"",INDEX(Array_OtherEnergyChargeData,ROW()-24,COLUMN()*2-3))</f>
        <v/>
      </c>
      <c r="F195" t="str" cm="1">
        <f>IF(ISBLANK(INDEX(Array_OtherEnergyChargeData,ROW()-24,COLUMN()*2-3)),"",INDEX(Array_OtherEnergyChargeData,ROW()-24,COLUMN()*2-3))</f>
        <v/>
      </c>
    </row>
    <row r="196" spans="1:6" x14ac:dyDescent="0.35">
      <c r="A196" t="str">
        <f>IF('Other Energy Meters'!B174="",A195,'Other Energy Meters'!B174)</f>
        <v>Meter Numbers</v>
      </c>
      <c r="B196" t="str" cm="1">
        <f>IF(ISBLANK(INDEX(Array_OtherEnergyChargeData,ROW()-24,COLUMN()*2-3)),"",INDEX(Array_OtherEnergyChargeData,ROW()-24,COLUMN()*2-3))</f>
        <v/>
      </c>
      <c r="C196" t="str" cm="1">
        <f>IF(ISBLANK(INDEX(Array_OtherEnergyChargeData,ROW()-24,COLUMN()*2-3)),"",INDEX(Array_OtherEnergyChargeData,ROW()-24,COLUMN()*2-3))</f>
        <v/>
      </c>
      <c r="D196" t="str" cm="1">
        <f>IF(ISBLANK(INDEX(Array_OtherEnergyChargeData,ROW()-24,COLUMN()*2-3)),"",INDEX(Array_OtherEnergyChargeData,ROW()-24,COLUMN()*2-3))</f>
        <v/>
      </c>
      <c r="E196" t="str" cm="1">
        <f>IF(ISBLANK(INDEX(Array_OtherEnergyChargeData,ROW()-24,COLUMN()*2-3)),"",INDEX(Array_OtherEnergyChargeData,ROW()-24,COLUMN()*2-3))</f>
        <v/>
      </c>
      <c r="F196" t="str" cm="1">
        <f>IF(ISBLANK(INDEX(Array_OtherEnergyChargeData,ROW()-24,COLUMN()*2-3)),"",INDEX(Array_OtherEnergyChargeData,ROW()-24,COLUMN()*2-3))</f>
        <v/>
      </c>
    </row>
    <row r="197" spans="1:6" x14ac:dyDescent="0.35">
      <c r="A197" t="str">
        <f>IF('Other Energy Meters'!B175="",A196,'Other Energy Meters'!B175)</f>
        <v>Meter Numbers</v>
      </c>
      <c r="B197" t="str" cm="1">
        <f>IF(ISBLANK(INDEX(Array_OtherEnergyChargeData,ROW()-24,COLUMN()*2-3)),"",INDEX(Array_OtherEnergyChargeData,ROW()-24,COLUMN()*2-3))</f>
        <v/>
      </c>
      <c r="C197" t="str" cm="1">
        <f>IF(ISBLANK(INDEX(Array_OtherEnergyChargeData,ROW()-24,COLUMN()*2-3)),"",INDEX(Array_OtherEnergyChargeData,ROW()-24,COLUMN()*2-3))</f>
        <v/>
      </c>
      <c r="D197" t="str" cm="1">
        <f>IF(ISBLANK(INDEX(Array_OtherEnergyChargeData,ROW()-24,COLUMN()*2-3)),"",INDEX(Array_OtherEnergyChargeData,ROW()-24,COLUMN()*2-3))</f>
        <v/>
      </c>
      <c r="E197" t="str" cm="1">
        <f>IF(ISBLANK(INDEX(Array_OtherEnergyChargeData,ROW()-24,COLUMN()*2-3)),"",INDEX(Array_OtherEnergyChargeData,ROW()-24,COLUMN()*2-3))</f>
        <v/>
      </c>
      <c r="F197" t="str" cm="1">
        <f>IF(ISBLANK(INDEX(Array_OtherEnergyChargeData,ROW()-24,COLUMN()*2-3)),"",INDEX(Array_OtherEnergyChargeData,ROW()-24,COLUMN()*2-3))</f>
        <v/>
      </c>
    </row>
    <row r="198" spans="1:6" x14ac:dyDescent="0.35">
      <c r="A198" t="str">
        <f>IF('Other Energy Meters'!B176="",A197,'Other Energy Meters'!B176)</f>
        <v>Meter Numbers</v>
      </c>
      <c r="B198" t="str" cm="1">
        <f>IF(ISBLANK(INDEX(Array_OtherEnergyChargeData,ROW()-24,COLUMN()*2-3)),"",INDEX(Array_OtherEnergyChargeData,ROW()-24,COLUMN()*2-3))</f>
        <v/>
      </c>
      <c r="C198" t="str" cm="1">
        <f>IF(ISBLANK(INDEX(Array_OtherEnergyChargeData,ROW()-24,COLUMN()*2-3)),"",INDEX(Array_OtherEnergyChargeData,ROW()-24,COLUMN()*2-3))</f>
        <v/>
      </c>
      <c r="D198" t="str" cm="1">
        <f>IF(ISBLANK(INDEX(Array_OtherEnergyChargeData,ROW()-24,COLUMN()*2-3)),"",INDEX(Array_OtherEnergyChargeData,ROW()-24,COLUMN()*2-3))</f>
        <v/>
      </c>
      <c r="E198" t="str" cm="1">
        <f>IF(ISBLANK(INDEX(Array_OtherEnergyChargeData,ROW()-24,COLUMN()*2-3)),"",INDEX(Array_OtherEnergyChargeData,ROW()-24,COLUMN()*2-3))</f>
        <v/>
      </c>
      <c r="F198" t="str" cm="1">
        <f>IF(ISBLANK(INDEX(Array_OtherEnergyChargeData,ROW()-24,COLUMN()*2-3)),"",INDEX(Array_OtherEnergyChargeData,ROW()-24,COLUMN()*2-3))</f>
        <v/>
      </c>
    </row>
    <row r="199" spans="1:6" x14ac:dyDescent="0.35">
      <c r="A199" t="str">
        <f>IF('Other Energy Meters'!B177="",A198,'Other Energy Meters'!B177)</f>
        <v>Meter Numbers</v>
      </c>
      <c r="B199" t="str" cm="1">
        <f>IF(ISBLANK(INDEX(Array_OtherEnergyChargeData,ROW()-24,COLUMN()*2-3)),"",INDEX(Array_OtherEnergyChargeData,ROW()-24,COLUMN()*2-3))</f>
        <v/>
      </c>
      <c r="C199" t="str" cm="1">
        <f>IF(ISBLANK(INDEX(Array_OtherEnergyChargeData,ROW()-24,COLUMN()*2-3)),"",INDEX(Array_OtherEnergyChargeData,ROW()-24,COLUMN()*2-3))</f>
        <v/>
      </c>
      <c r="D199" t="str" cm="1">
        <f>IF(ISBLANK(INDEX(Array_OtherEnergyChargeData,ROW()-24,COLUMN()*2-3)),"",INDEX(Array_OtherEnergyChargeData,ROW()-24,COLUMN()*2-3))</f>
        <v/>
      </c>
      <c r="E199" t="str" cm="1">
        <f>IF(ISBLANK(INDEX(Array_OtherEnergyChargeData,ROW()-24,COLUMN()*2-3)),"",INDEX(Array_OtherEnergyChargeData,ROW()-24,COLUMN()*2-3))</f>
        <v/>
      </c>
      <c r="F199" t="str" cm="1">
        <f>IF(ISBLANK(INDEX(Array_OtherEnergyChargeData,ROW()-24,COLUMN()*2-3)),"",INDEX(Array_OtherEnergyChargeData,ROW()-24,COLUMN()*2-3))</f>
        <v/>
      </c>
    </row>
    <row r="200" spans="1:6" x14ac:dyDescent="0.35">
      <c r="A200" t="str">
        <f>IF('Other Energy Meters'!B178="",A199,'Other Energy Meters'!B178)</f>
        <v>Meter Numbers</v>
      </c>
      <c r="B200" t="str" cm="1">
        <f>IF(ISBLANK(INDEX(Array_OtherEnergyChargeData,ROW()-24,COLUMN()*2-3)),"",INDEX(Array_OtherEnergyChargeData,ROW()-24,COLUMN()*2-3))</f>
        <v/>
      </c>
      <c r="C200" t="str" cm="1">
        <f>IF(ISBLANK(INDEX(Array_OtherEnergyChargeData,ROW()-24,COLUMN()*2-3)),"",INDEX(Array_OtherEnergyChargeData,ROW()-24,COLUMN()*2-3))</f>
        <v/>
      </c>
      <c r="D200" t="str" cm="1">
        <f>IF(ISBLANK(INDEX(Array_OtherEnergyChargeData,ROW()-24,COLUMN()*2-3)),"",INDEX(Array_OtherEnergyChargeData,ROW()-24,COLUMN()*2-3))</f>
        <v/>
      </c>
      <c r="E200" t="str" cm="1">
        <f>IF(ISBLANK(INDEX(Array_OtherEnergyChargeData,ROW()-24,COLUMN()*2-3)),"",INDEX(Array_OtherEnergyChargeData,ROW()-24,COLUMN()*2-3))</f>
        <v/>
      </c>
      <c r="F200" t="str" cm="1">
        <f>IF(ISBLANK(INDEX(Array_OtherEnergyChargeData,ROW()-24,COLUMN()*2-3)),"",INDEX(Array_OtherEnergyChargeData,ROW()-24,COLUMN()*2-3))</f>
        <v/>
      </c>
    </row>
    <row r="201" spans="1:6" x14ac:dyDescent="0.35">
      <c r="A201" t="str">
        <f>IF('Other Energy Meters'!B179="",A200,'Other Energy Meters'!B179)</f>
        <v>Meter Numbers</v>
      </c>
      <c r="B201" t="str" cm="1">
        <f>IF(ISBLANK(INDEX(Array_OtherEnergyChargeData,ROW()-24,COLUMN()*2-3)),"",INDEX(Array_OtherEnergyChargeData,ROW()-24,COLUMN()*2-3))</f>
        <v/>
      </c>
      <c r="C201" t="str" cm="1">
        <f>IF(ISBLANK(INDEX(Array_OtherEnergyChargeData,ROW()-24,COLUMN()*2-3)),"",INDEX(Array_OtherEnergyChargeData,ROW()-24,COLUMN()*2-3))</f>
        <v/>
      </c>
      <c r="D201" t="str" cm="1">
        <f>IF(ISBLANK(INDEX(Array_OtherEnergyChargeData,ROW()-24,COLUMN()*2-3)),"",INDEX(Array_OtherEnergyChargeData,ROW()-24,COLUMN()*2-3))</f>
        <v/>
      </c>
      <c r="E201" t="str" cm="1">
        <f>IF(ISBLANK(INDEX(Array_OtherEnergyChargeData,ROW()-24,COLUMN()*2-3)),"",INDEX(Array_OtherEnergyChargeData,ROW()-24,COLUMN()*2-3))</f>
        <v/>
      </c>
      <c r="F201" t="str" cm="1">
        <f>IF(ISBLANK(INDEX(Array_OtherEnergyChargeData,ROW()-24,COLUMN()*2-3)),"",INDEX(Array_OtherEnergyChargeData,ROW()-24,COLUMN()*2-3))</f>
        <v/>
      </c>
    </row>
    <row r="202" spans="1:6" x14ac:dyDescent="0.35">
      <c r="A202" t="str">
        <f>IF('Other Energy Meters'!B180="",A201,'Other Energy Meters'!B180)</f>
        <v>Meter Numbers</v>
      </c>
      <c r="B202" t="str" cm="1">
        <f>IF(ISBLANK(INDEX(Array_OtherEnergyChargeData,ROW()-24,COLUMN()*2-3)),"",INDEX(Array_OtherEnergyChargeData,ROW()-24,COLUMN()*2-3))</f>
        <v/>
      </c>
      <c r="C202" t="str" cm="1">
        <f>IF(ISBLANK(INDEX(Array_OtherEnergyChargeData,ROW()-24,COLUMN()*2-3)),"",INDEX(Array_OtherEnergyChargeData,ROW()-24,COLUMN()*2-3))</f>
        <v/>
      </c>
      <c r="D202" t="str" cm="1">
        <f>IF(ISBLANK(INDEX(Array_OtherEnergyChargeData,ROW()-24,COLUMN()*2-3)),"",INDEX(Array_OtherEnergyChargeData,ROW()-24,COLUMN()*2-3))</f>
        <v/>
      </c>
      <c r="E202" t="str" cm="1">
        <f>IF(ISBLANK(INDEX(Array_OtherEnergyChargeData,ROW()-24,COLUMN()*2-3)),"",INDEX(Array_OtherEnergyChargeData,ROW()-24,COLUMN()*2-3))</f>
        <v/>
      </c>
      <c r="F202" t="str" cm="1">
        <f>IF(ISBLANK(INDEX(Array_OtherEnergyChargeData,ROW()-24,COLUMN()*2-3)),"",INDEX(Array_OtherEnergyChargeData,ROW()-24,COLUMN()*2-3))</f>
        <v/>
      </c>
    </row>
    <row r="203" spans="1:6" x14ac:dyDescent="0.35">
      <c r="A203" t="str">
        <f>IF('Other Energy Meters'!B181="",A202,'Other Energy Meters'!B181)</f>
        <v>Meter Numbers</v>
      </c>
      <c r="B203" t="str" cm="1">
        <f>IF(ISBLANK(INDEX(Array_OtherEnergyChargeData,ROW()-24,COLUMN()*2-3)),"",INDEX(Array_OtherEnergyChargeData,ROW()-24,COLUMN()*2-3))</f>
        <v/>
      </c>
      <c r="C203" t="str" cm="1">
        <f>IF(ISBLANK(INDEX(Array_OtherEnergyChargeData,ROW()-24,COLUMN()*2-3)),"",INDEX(Array_OtherEnergyChargeData,ROW()-24,COLUMN()*2-3))</f>
        <v/>
      </c>
      <c r="D203" t="str" cm="1">
        <f>IF(ISBLANK(INDEX(Array_OtherEnergyChargeData,ROW()-24,COLUMN()*2-3)),"",INDEX(Array_OtherEnergyChargeData,ROW()-24,COLUMN()*2-3))</f>
        <v/>
      </c>
      <c r="E203" t="str" cm="1">
        <f>IF(ISBLANK(INDEX(Array_OtherEnergyChargeData,ROW()-24,COLUMN()*2-3)),"",INDEX(Array_OtherEnergyChargeData,ROW()-24,COLUMN()*2-3))</f>
        <v/>
      </c>
      <c r="F203" t="str" cm="1">
        <f>IF(ISBLANK(INDEX(Array_OtherEnergyChargeData,ROW()-24,COLUMN()*2-3)),"",INDEX(Array_OtherEnergyChargeData,ROW()-24,COLUMN()*2-3))</f>
        <v/>
      </c>
    </row>
    <row r="204" spans="1:6" x14ac:dyDescent="0.35">
      <c r="A204" t="str">
        <f>IF('Other Energy Meters'!B182="",A203,'Other Energy Meters'!B182)</f>
        <v>Meter Numbers</v>
      </c>
      <c r="B204" t="str" cm="1">
        <f>IF(ISBLANK(INDEX(Array_OtherEnergyChargeData,ROW()-24,COLUMN()*2-3)),"",INDEX(Array_OtherEnergyChargeData,ROW()-24,COLUMN()*2-3))</f>
        <v/>
      </c>
      <c r="C204" t="str" cm="1">
        <f>IF(ISBLANK(INDEX(Array_OtherEnergyChargeData,ROW()-24,COLUMN()*2-3)),"",INDEX(Array_OtherEnergyChargeData,ROW()-24,COLUMN()*2-3))</f>
        <v/>
      </c>
      <c r="D204" t="str" cm="1">
        <f>IF(ISBLANK(INDEX(Array_OtherEnergyChargeData,ROW()-24,COLUMN()*2-3)),"",INDEX(Array_OtherEnergyChargeData,ROW()-24,COLUMN()*2-3))</f>
        <v/>
      </c>
      <c r="E204" t="str" cm="1">
        <f>IF(ISBLANK(INDEX(Array_OtherEnergyChargeData,ROW()-24,COLUMN()*2-3)),"",INDEX(Array_OtherEnergyChargeData,ROW()-24,COLUMN()*2-3))</f>
        <v/>
      </c>
      <c r="F204" t="str" cm="1">
        <f>IF(ISBLANK(INDEX(Array_OtherEnergyChargeData,ROW()-24,COLUMN()*2-3)),"",INDEX(Array_OtherEnergyChargeData,ROW()-24,COLUMN()*2-3))</f>
        <v/>
      </c>
    </row>
    <row r="205" spans="1:6" x14ac:dyDescent="0.35">
      <c r="A205" t="str">
        <f>IF('Other Energy Meters'!B183="",A204,'Other Energy Meters'!B183)</f>
        <v>Meter Numbers</v>
      </c>
      <c r="B205" t="str" cm="1">
        <f>IF(ISBLANK(INDEX(Array_OtherEnergyChargeData,ROW()-24,COLUMN()*2-3)),"",INDEX(Array_OtherEnergyChargeData,ROW()-24,COLUMN()*2-3))</f>
        <v/>
      </c>
      <c r="C205" t="str" cm="1">
        <f>IF(ISBLANK(INDEX(Array_OtherEnergyChargeData,ROW()-24,COLUMN()*2-3)),"",INDEX(Array_OtherEnergyChargeData,ROW()-24,COLUMN()*2-3))</f>
        <v/>
      </c>
      <c r="D205" t="str" cm="1">
        <f>IF(ISBLANK(INDEX(Array_OtherEnergyChargeData,ROW()-24,COLUMN()*2-3)),"",INDEX(Array_OtherEnergyChargeData,ROW()-24,COLUMN()*2-3))</f>
        <v/>
      </c>
      <c r="E205" t="str" cm="1">
        <f>IF(ISBLANK(INDEX(Array_OtherEnergyChargeData,ROW()-24,COLUMN()*2-3)),"",INDEX(Array_OtherEnergyChargeData,ROW()-24,COLUMN()*2-3))</f>
        <v/>
      </c>
      <c r="F205" t="str" cm="1">
        <f>IF(ISBLANK(INDEX(Array_OtherEnergyChargeData,ROW()-24,COLUMN()*2-3)),"",INDEX(Array_OtherEnergyChargeData,ROW()-24,COLUMN()*2-3))</f>
        <v/>
      </c>
    </row>
    <row r="206" spans="1:6" x14ac:dyDescent="0.35">
      <c r="A206" t="str">
        <f>IF('Other Energy Meters'!B184="",A205,'Other Energy Meters'!B184)</f>
        <v>Meter Numbers</v>
      </c>
      <c r="B206" t="str" cm="1">
        <f>IF(ISBLANK(INDEX(Array_OtherEnergyChargeData,ROW()-24,COLUMN()*2-3)),"",INDEX(Array_OtherEnergyChargeData,ROW()-24,COLUMN()*2-3))</f>
        <v/>
      </c>
      <c r="C206" t="str" cm="1">
        <f>IF(ISBLANK(INDEX(Array_OtherEnergyChargeData,ROW()-24,COLUMN()*2-3)),"",INDEX(Array_OtherEnergyChargeData,ROW()-24,COLUMN()*2-3))</f>
        <v/>
      </c>
      <c r="D206" t="str" cm="1">
        <f>IF(ISBLANK(INDEX(Array_OtherEnergyChargeData,ROW()-24,COLUMN()*2-3)),"",INDEX(Array_OtherEnergyChargeData,ROW()-24,COLUMN()*2-3))</f>
        <v/>
      </c>
      <c r="E206" t="str" cm="1">
        <f>IF(ISBLANK(INDEX(Array_OtherEnergyChargeData,ROW()-24,COLUMN()*2-3)),"",INDEX(Array_OtherEnergyChargeData,ROW()-24,COLUMN()*2-3))</f>
        <v/>
      </c>
      <c r="F206" t="str" cm="1">
        <f>IF(ISBLANK(INDEX(Array_OtherEnergyChargeData,ROW()-24,COLUMN()*2-3)),"",INDEX(Array_OtherEnergyChargeData,ROW()-24,COLUMN()*2-3))</f>
        <v/>
      </c>
    </row>
    <row r="207" spans="1:6" x14ac:dyDescent="0.35">
      <c r="A207" t="str">
        <f>IF('Other Energy Meters'!B185="",A206,'Other Energy Meters'!B185)</f>
        <v>Meter Numbers</v>
      </c>
      <c r="B207" t="str" cm="1">
        <f>IF(ISBLANK(INDEX(Array_OtherEnergyChargeData,ROW()-24,COLUMN()*2-3)),"",INDEX(Array_OtherEnergyChargeData,ROW()-24,COLUMN()*2-3))</f>
        <v/>
      </c>
      <c r="C207" t="str" cm="1">
        <f>IF(ISBLANK(INDEX(Array_OtherEnergyChargeData,ROW()-24,COLUMN()*2-3)),"",INDEX(Array_OtherEnergyChargeData,ROW()-24,COLUMN()*2-3))</f>
        <v/>
      </c>
      <c r="D207" t="str" cm="1">
        <f>IF(ISBLANK(INDEX(Array_OtherEnergyChargeData,ROW()-24,COLUMN()*2-3)),"",INDEX(Array_OtherEnergyChargeData,ROW()-24,COLUMN()*2-3))</f>
        <v/>
      </c>
      <c r="E207" t="str" cm="1">
        <f>IF(ISBLANK(INDEX(Array_OtherEnergyChargeData,ROW()-24,COLUMN()*2-3)),"",INDEX(Array_OtherEnergyChargeData,ROW()-24,COLUMN()*2-3))</f>
        <v/>
      </c>
      <c r="F207" t="str" cm="1">
        <f>IF(ISBLANK(INDEX(Array_OtherEnergyChargeData,ROW()-24,COLUMN()*2-3)),"",INDEX(Array_OtherEnergyChargeData,ROW()-24,COLUMN()*2-3))</f>
        <v/>
      </c>
    </row>
    <row r="208" spans="1:6" x14ac:dyDescent="0.35">
      <c r="A208" t="str">
        <f>IF('Other Energy Meters'!B186="",A207,'Other Energy Meters'!B186)</f>
        <v>Meter Numbers</v>
      </c>
      <c r="B208" t="str" cm="1">
        <f>IF(ISBLANK(INDEX(Array_OtherEnergyChargeData,ROW()-24,COLUMN()*2-3)),"",INDEX(Array_OtherEnergyChargeData,ROW()-24,COLUMN()*2-3))</f>
        <v/>
      </c>
      <c r="C208" t="str" cm="1">
        <f>IF(ISBLANK(INDEX(Array_OtherEnergyChargeData,ROW()-24,COLUMN()*2-3)),"",INDEX(Array_OtherEnergyChargeData,ROW()-24,COLUMN()*2-3))</f>
        <v/>
      </c>
      <c r="D208" t="str" cm="1">
        <f>IF(ISBLANK(INDEX(Array_OtherEnergyChargeData,ROW()-24,COLUMN()*2-3)),"",INDEX(Array_OtherEnergyChargeData,ROW()-24,COLUMN()*2-3))</f>
        <v/>
      </c>
      <c r="E208" t="str" cm="1">
        <f>IF(ISBLANK(INDEX(Array_OtherEnergyChargeData,ROW()-24,COLUMN()*2-3)),"",INDEX(Array_OtherEnergyChargeData,ROW()-24,COLUMN()*2-3))</f>
        <v/>
      </c>
      <c r="F208" t="str" cm="1">
        <f>IF(ISBLANK(INDEX(Array_OtherEnergyChargeData,ROW()-24,COLUMN()*2-3)),"",INDEX(Array_OtherEnergyChargeData,ROW()-24,COLUMN()*2-3))</f>
        <v/>
      </c>
    </row>
    <row r="209" spans="1:6" x14ac:dyDescent="0.35">
      <c r="A209" t="str">
        <f>IF('Other Energy Meters'!B187="",A208,'Other Energy Meters'!B187)</f>
        <v>Meter Numbers</v>
      </c>
      <c r="B209" t="str" cm="1">
        <f>IF(ISBLANK(INDEX(Array_OtherEnergyChargeData,ROW()-24,COLUMN()*2-3)),"",INDEX(Array_OtherEnergyChargeData,ROW()-24,COLUMN()*2-3))</f>
        <v/>
      </c>
      <c r="C209" t="str" cm="1">
        <f>IF(ISBLANK(INDEX(Array_OtherEnergyChargeData,ROW()-24,COLUMN()*2-3)),"",INDEX(Array_OtherEnergyChargeData,ROW()-24,COLUMN()*2-3))</f>
        <v/>
      </c>
      <c r="D209" t="str" cm="1">
        <f>IF(ISBLANK(INDEX(Array_OtherEnergyChargeData,ROW()-24,COLUMN()*2-3)),"",INDEX(Array_OtherEnergyChargeData,ROW()-24,COLUMN()*2-3))</f>
        <v/>
      </c>
      <c r="E209" t="str" cm="1">
        <f>IF(ISBLANK(INDEX(Array_OtherEnergyChargeData,ROW()-24,COLUMN()*2-3)),"",INDEX(Array_OtherEnergyChargeData,ROW()-24,COLUMN()*2-3))</f>
        <v/>
      </c>
      <c r="F209" t="str" cm="1">
        <f>IF(ISBLANK(INDEX(Array_OtherEnergyChargeData,ROW()-24,COLUMN()*2-3)),"",INDEX(Array_OtherEnergyChargeData,ROW()-24,COLUMN()*2-3))</f>
        <v/>
      </c>
    </row>
    <row r="210" spans="1:6" x14ac:dyDescent="0.35">
      <c r="A210" t="str">
        <f>IF('Other Energy Meters'!B188="",A209,'Other Energy Meters'!B188)</f>
        <v>Meter Numbers</v>
      </c>
      <c r="B210" t="str" cm="1">
        <f>IF(ISBLANK(INDEX(Array_OtherEnergyChargeData,ROW()-24,COLUMN()*2-3)),"",INDEX(Array_OtherEnergyChargeData,ROW()-24,COLUMN()*2-3))</f>
        <v/>
      </c>
      <c r="C210" t="str" cm="1">
        <f>IF(ISBLANK(INDEX(Array_OtherEnergyChargeData,ROW()-24,COLUMN()*2-3)),"",INDEX(Array_OtherEnergyChargeData,ROW()-24,COLUMN()*2-3))</f>
        <v/>
      </c>
      <c r="D210" t="str" cm="1">
        <f>IF(ISBLANK(INDEX(Array_OtherEnergyChargeData,ROW()-24,COLUMN()*2-3)),"",INDEX(Array_OtherEnergyChargeData,ROW()-24,COLUMN()*2-3))</f>
        <v/>
      </c>
      <c r="E210" t="str" cm="1">
        <f>IF(ISBLANK(INDEX(Array_OtherEnergyChargeData,ROW()-24,COLUMN()*2-3)),"",INDEX(Array_OtherEnergyChargeData,ROW()-24,COLUMN()*2-3))</f>
        <v/>
      </c>
      <c r="F210" t="str" cm="1">
        <f>IF(ISBLANK(INDEX(Array_OtherEnergyChargeData,ROW()-24,COLUMN()*2-3)),"",INDEX(Array_OtherEnergyChargeData,ROW()-24,COLUMN()*2-3))</f>
        <v/>
      </c>
    </row>
    <row r="211" spans="1:6" x14ac:dyDescent="0.35">
      <c r="A211" t="str">
        <f>IF('Other Energy Meters'!B189="",A210,'Other Energy Meters'!B189)</f>
        <v>Meter Numbers</v>
      </c>
      <c r="B211" t="str" cm="1">
        <f>IF(ISBLANK(INDEX(Array_OtherEnergyChargeData,ROW()-24,COLUMN()*2-3)),"",INDEX(Array_OtherEnergyChargeData,ROW()-24,COLUMN()*2-3))</f>
        <v/>
      </c>
      <c r="C211" t="str" cm="1">
        <f>IF(ISBLANK(INDEX(Array_OtherEnergyChargeData,ROW()-24,COLUMN()*2-3)),"",INDEX(Array_OtherEnergyChargeData,ROW()-24,COLUMN()*2-3))</f>
        <v/>
      </c>
      <c r="D211" t="str" cm="1">
        <f>IF(ISBLANK(INDEX(Array_OtherEnergyChargeData,ROW()-24,COLUMN()*2-3)),"",INDEX(Array_OtherEnergyChargeData,ROW()-24,COLUMN()*2-3))</f>
        <v/>
      </c>
      <c r="E211" t="str" cm="1">
        <f>IF(ISBLANK(INDEX(Array_OtherEnergyChargeData,ROW()-24,COLUMN()*2-3)),"",INDEX(Array_OtherEnergyChargeData,ROW()-24,COLUMN()*2-3))</f>
        <v/>
      </c>
      <c r="F211" t="str" cm="1">
        <f>IF(ISBLANK(INDEX(Array_OtherEnergyChargeData,ROW()-24,COLUMN()*2-3)),"",INDEX(Array_OtherEnergyChargeData,ROW()-24,COLUMN()*2-3))</f>
        <v/>
      </c>
    </row>
    <row r="212" spans="1:6" x14ac:dyDescent="0.35">
      <c r="A212" t="str">
        <f>IF('Other Energy Meters'!B190="",A211,'Other Energy Meters'!B190)</f>
        <v>Meter Numbers</v>
      </c>
      <c r="B212" t="str" cm="1">
        <f>IF(ISBLANK(INDEX(Array_OtherEnergyChargeData,ROW()-24,COLUMN()*2-3)),"",INDEX(Array_OtherEnergyChargeData,ROW()-24,COLUMN()*2-3))</f>
        <v/>
      </c>
      <c r="C212" t="str" cm="1">
        <f>IF(ISBLANK(INDEX(Array_OtherEnergyChargeData,ROW()-24,COLUMN()*2-3)),"",INDEX(Array_OtherEnergyChargeData,ROW()-24,COLUMN()*2-3))</f>
        <v/>
      </c>
      <c r="D212" t="str" cm="1">
        <f>IF(ISBLANK(INDEX(Array_OtherEnergyChargeData,ROW()-24,COLUMN()*2-3)),"",INDEX(Array_OtherEnergyChargeData,ROW()-24,COLUMN()*2-3))</f>
        <v/>
      </c>
      <c r="E212" t="str" cm="1">
        <f>IF(ISBLANK(INDEX(Array_OtherEnergyChargeData,ROW()-24,COLUMN()*2-3)),"",INDEX(Array_OtherEnergyChargeData,ROW()-24,COLUMN()*2-3))</f>
        <v/>
      </c>
      <c r="F212" t="str" cm="1">
        <f>IF(ISBLANK(INDEX(Array_OtherEnergyChargeData,ROW()-24,COLUMN()*2-3)),"",INDEX(Array_OtherEnergyChargeData,ROW()-24,COLUMN()*2-3))</f>
        <v/>
      </c>
    </row>
    <row r="213" spans="1:6" x14ac:dyDescent="0.35">
      <c r="A213" t="str">
        <f>IF('Other Energy Meters'!B191="",A212,'Other Energy Meters'!B191)</f>
        <v>Meter Numbers</v>
      </c>
      <c r="B213" t="str" cm="1">
        <f>IF(ISBLANK(INDEX(Array_OtherEnergyChargeData,ROW()-24,COLUMN()*2-3)),"",INDEX(Array_OtherEnergyChargeData,ROW()-24,COLUMN()*2-3))</f>
        <v/>
      </c>
      <c r="C213" t="str" cm="1">
        <f>IF(ISBLANK(INDEX(Array_OtherEnergyChargeData,ROW()-24,COLUMN()*2-3)),"",INDEX(Array_OtherEnergyChargeData,ROW()-24,COLUMN()*2-3))</f>
        <v/>
      </c>
      <c r="D213" t="str" cm="1">
        <f>IF(ISBLANK(INDEX(Array_OtherEnergyChargeData,ROW()-24,COLUMN()*2-3)),"",INDEX(Array_OtherEnergyChargeData,ROW()-24,COLUMN()*2-3))</f>
        <v/>
      </c>
      <c r="E213" t="str" cm="1">
        <f>IF(ISBLANK(INDEX(Array_OtherEnergyChargeData,ROW()-24,COLUMN()*2-3)),"",INDEX(Array_OtherEnergyChargeData,ROW()-24,COLUMN()*2-3))</f>
        <v/>
      </c>
      <c r="F213" t="str" cm="1">
        <f>IF(ISBLANK(INDEX(Array_OtherEnergyChargeData,ROW()-24,COLUMN()*2-3)),"",INDEX(Array_OtherEnergyChargeData,ROW()-24,COLUMN()*2-3))</f>
        <v/>
      </c>
    </row>
    <row r="214" spans="1:6" x14ac:dyDescent="0.35">
      <c r="A214" t="str">
        <f>IF('Other Energy Meters'!B192="",A213,'Other Energy Meters'!B192)</f>
        <v>Meter Numbers</v>
      </c>
      <c r="B214" t="str" cm="1">
        <f>IF(ISBLANK(INDEX(Array_OtherEnergyChargeData,ROW()-24,COLUMN()*2-3)),"",INDEX(Array_OtherEnergyChargeData,ROW()-24,COLUMN()*2-3))</f>
        <v/>
      </c>
      <c r="C214" t="str" cm="1">
        <f>IF(ISBLANK(INDEX(Array_OtherEnergyChargeData,ROW()-24,COLUMN()*2-3)),"",INDEX(Array_OtherEnergyChargeData,ROW()-24,COLUMN()*2-3))</f>
        <v/>
      </c>
      <c r="D214" t="str" cm="1">
        <f>IF(ISBLANK(INDEX(Array_OtherEnergyChargeData,ROW()-24,COLUMN()*2-3)),"",INDEX(Array_OtherEnergyChargeData,ROW()-24,COLUMN()*2-3))</f>
        <v/>
      </c>
      <c r="E214" t="str" cm="1">
        <f>IF(ISBLANK(INDEX(Array_OtherEnergyChargeData,ROW()-24,COLUMN()*2-3)),"",INDEX(Array_OtherEnergyChargeData,ROW()-24,COLUMN()*2-3))</f>
        <v/>
      </c>
      <c r="F214" t="str" cm="1">
        <f>IF(ISBLANK(INDEX(Array_OtherEnergyChargeData,ROW()-24,COLUMN()*2-3)),"",INDEX(Array_OtherEnergyChargeData,ROW()-24,COLUMN()*2-3))</f>
        <v/>
      </c>
    </row>
    <row r="215" spans="1:6" x14ac:dyDescent="0.35">
      <c r="A215" t="str">
        <f>IF('Other Energy Meters'!B193="",A214,'Other Energy Meters'!B193)</f>
        <v>Meter Numbers</v>
      </c>
      <c r="B215" t="str" cm="1">
        <f>IF(ISBLANK(INDEX(Array_OtherEnergyChargeData,ROW()-24,COLUMN()*2-3)),"",INDEX(Array_OtherEnergyChargeData,ROW()-24,COLUMN()*2-3))</f>
        <v/>
      </c>
      <c r="C215" t="str" cm="1">
        <f>IF(ISBLANK(INDEX(Array_OtherEnergyChargeData,ROW()-24,COLUMN()*2-3)),"",INDEX(Array_OtherEnergyChargeData,ROW()-24,COLUMN()*2-3))</f>
        <v/>
      </c>
      <c r="D215" t="str" cm="1">
        <f>IF(ISBLANK(INDEX(Array_OtherEnergyChargeData,ROW()-24,COLUMN()*2-3)),"",INDEX(Array_OtherEnergyChargeData,ROW()-24,COLUMN()*2-3))</f>
        <v/>
      </c>
      <c r="E215" t="str" cm="1">
        <f>IF(ISBLANK(INDEX(Array_OtherEnergyChargeData,ROW()-24,COLUMN()*2-3)),"",INDEX(Array_OtherEnergyChargeData,ROW()-24,COLUMN()*2-3))</f>
        <v/>
      </c>
      <c r="F215" t="str" cm="1">
        <f>IF(ISBLANK(INDEX(Array_OtherEnergyChargeData,ROW()-24,COLUMN()*2-3)),"",INDEX(Array_OtherEnergyChargeData,ROW()-24,COLUMN()*2-3))</f>
        <v/>
      </c>
    </row>
    <row r="216" spans="1:6" x14ac:dyDescent="0.35">
      <c r="A216" t="str">
        <f>IF('Other Energy Meters'!B194="",A215,'Other Energy Meters'!B194)</f>
        <v>Meter Numbers</v>
      </c>
      <c r="B216" t="str" cm="1">
        <f>IF(ISBLANK(INDEX(Array_OtherEnergyChargeData,ROW()-24,COLUMN()*2-3)),"",INDEX(Array_OtherEnergyChargeData,ROW()-24,COLUMN()*2-3))</f>
        <v/>
      </c>
      <c r="C216" t="str" cm="1">
        <f>IF(ISBLANK(INDEX(Array_OtherEnergyChargeData,ROW()-24,COLUMN()*2-3)),"",INDEX(Array_OtherEnergyChargeData,ROW()-24,COLUMN()*2-3))</f>
        <v/>
      </c>
      <c r="D216" t="str" cm="1">
        <f>IF(ISBLANK(INDEX(Array_OtherEnergyChargeData,ROW()-24,COLUMN()*2-3)),"",INDEX(Array_OtherEnergyChargeData,ROW()-24,COLUMN()*2-3))</f>
        <v/>
      </c>
      <c r="E216" t="str" cm="1">
        <f>IF(ISBLANK(INDEX(Array_OtherEnergyChargeData,ROW()-24,COLUMN()*2-3)),"",INDEX(Array_OtherEnergyChargeData,ROW()-24,COLUMN()*2-3))</f>
        <v/>
      </c>
      <c r="F216" t="str" cm="1">
        <f>IF(ISBLANK(INDEX(Array_OtherEnergyChargeData,ROW()-24,COLUMN()*2-3)),"",INDEX(Array_OtherEnergyChargeData,ROW()-24,COLUMN()*2-3))</f>
        <v/>
      </c>
    </row>
    <row r="217" spans="1:6" x14ac:dyDescent="0.35">
      <c r="A217" t="str">
        <f>IF('Other Energy Meters'!B195="",A216,'Other Energy Meters'!B195)</f>
        <v>Meter Numbers</v>
      </c>
      <c r="B217" t="str" cm="1">
        <f>IF(ISBLANK(INDEX(Array_OtherEnergyChargeData,ROW()-24,COLUMN()*2-3)),"",INDEX(Array_OtherEnergyChargeData,ROW()-24,COLUMN()*2-3))</f>
        <v/>
      </c>
      <c r="C217" t="str" cm="1">
        <f>IF(ISBLANK(INDEX(Array_OtherEnergyChargeData,ROW()-24,COLUMN()*2-3)),"",INDEX(Array_OtherEnergyChargeData,ROW()-24,COLUMN()*2-3))</f>
        <v/>
      </c>
      <c r="D217" t="str" cm="1">
        <f>IF(ISBLANK(INDEX(Array_OtherEnergyChargeData,ROW()-24,COLUMN()*2-3)),"",INDEX(Array_OtherEnergyChargeData,ROW()-24,COLUMN()*2-3))</f>
        <v/>
      </c>
      <c r="E217" t="str" cm="1">
        <f>IF(ISBLANK(INDEX(Array_OtherEnergyChargeData,ROW()-24,COLUMN()*2-3)),"",INDEX(Array_OtherEnergyChargeData,ROW()-24,COLUMN()*2-3))</f>
        <v/>
      </c>
      <c r="F217" t="str" cm="1">
        <f>IF(ISBLANK(INDEX(Array_OtherEnergyChargeData,ROW()-24,COLUMN()*2-3)),"",INDEX(Array_OtherEnergyChargeData,ROW()-24,COLUMN()*2-3))</f>
        <v/>
      </c>
    </row>
    <row r="218" spans="1:6" x14ac:dyDescent="0.35">
      <c r="A218" t="str">
        <f>IF('Other Energy Meters'!B196="",A217,'Other Energy Meters'!B196)</f>
        <v>Meter Numbers</v>
      </c>
      <c r="B218" t="str" cm="1">
        <f>IF(ISBLANK(INDEX(Array_OtherEnergyChargeData,ROW()-24,COLUMN()*2-3)),"",INDEX(Array_OtherEnergyChargeData,ROW()-24,COLUMN()*2-3))</f>
        <v/>
      </c>
      <c r="C218" t="str" cm="1">
        <f>IF(ISBLANK(INDEX(Array_OtherEnergyChargeData,ROW()-24,COLUMN()*2-3)),"",INDEX(Array_OtherEnergyChargeData,ROW()-24,COLUMN()*2-3))</f>
        <v/>
      </c>
      <c r="D218" t="str" cm="1">
        <f>IF(ISBLANK(INDEX(Array_OtherEnergyChargeData,ROW()-24,COLUMN()*2-3)),"",INDEX(Array_OtherEnergyChargeData,ROW()-24,COLUMN()*2-3))</f>
        <v/>
      </c>
      <c r="E218" t="str" cm="1">
        <f>IF(ISBLANK(INDEX(Array_OtherEnergyChargeData,ROW()-24,COLUMN()*2-3)),"",INDEX(Array_OtherEnergyChargeData,ROW()-24,COLUMN()*2-3))</f>
        <v/>
      </c>
      <c r="F218" t="str" cm="1">
        <f>IF(ISBLANK(INDEX(Array_OtherEnergyChargeData,ROW()-24,COLUMN()*2-3)),"",INDEX(Array_OtherEnergyChargeData,ROW()-24,COLUMN()*2-3))</f>
        <v/>
      </c>
    </row>
    <row r="219" spans="1:6" x14ac:dyDescent="0.35">
      <c r="A219" t="str">
        <f>IF('Other Energy Meters'!B197="",A218,'Other Energy Meters'!B197)</f>
        <v>Meter Numbers</v>
      </c>
      <c r="B219" t="str" cm="1">
        <f>IF(ISBLANK(INDEX(Array_OtherEnergyChargeData,ROW()-24,COLUMN()*2-3)),"",INDEX(Array_OtherEnergyChargeData,ROW()-24,COLUMN()*2-3))</f>
        <v/>
      </c>
      <c r="C219" t="str" cm="1">
        <f>IF(ISBLANK(INDEX(Array_OtherEnergyChargeData,ROW()-24,COLUMN()*2-3)),"",INDEX(Array_OtherEnergyChargeData,ROW()-24,COLUMN()*2-3))</f>
        <v/>
      </c>
      <c r="D219" t="str" cm="1">
        <f>IF(ISBLANK(INDEX(Array_OtherEnergyChargeData,ROW()-24,COLUMN()*2-3)),"",INDEX(Array_OtherEnergyChargeData,ROW()-24,COLUMN()*2-3))</f>
        <v/>
      </c>
      <c r="E219" t="str" cm="1">
        <f>IF(ISBLANK(INDEX(Array_OtherEnergyChargeData,ROW()-24,COLUMN()*2-3)),"",INDEX(Array_OtherEnergyChargeData,ROW()-24,COLUMN()*2-3))</f>
        <v/>
      </c>
      <c r="F219" t="str" cm="1">
        <f>IF(ISBLANK(INDEX(Array_OtherEnergyChargeData,ROW()-24,COLUMN()*2-3)),"",INDEX(Array_OtherEnergyChargeData,ROW()-24,COLUMN()*2-3))</f>
        <v/>
      </c>
    </row>
    <row r="220" spans="1:6" x14ac:dyDescent="0.35">
      <c r="A220" t="str">
        <f>IF('Other Energy Meters'!B198="",A219,'Other Energy Meters'!B198)</f>
        <v>Meter Numbers</v>
      </c>
      <c r="B220" t="str" cm="1">
        <f>IF(ISBLANK(INDEX(Array_OtherEnergyChargeData,ROW()-24,COLUMN()*2-3)),"",INDEX(Array_OtherEnergyChargeData,ROW()-24,COLUMN()*2-3))</f>
        <v/>
      </c>
      <c r="C220" t="str" cm="1">
        <f>IF(ISBLANK(INDEX(Array_OtherEnergyChargeData,ROW()-24,COLUMN()*2-3)),"",INDEX(Array_OtherEnergyChargeData,ROW()-24,COLUMN()*2-3))</f>
        <v/>
      </c>
      <c r="D220" t="str" cm="1">
        <f>IF(ISBLANK(INDEX(Array_OtherEnergyChargeData,ROW()-24,COLUMN()*2-3)),"",INDEX(Array_OtherEnergyChargeData,ROW()-24,COLUMN()*2-3))</f>
        <v/>
      </c>
      <c r="E220" t="str" cm="1">
        <f>IF(ISBLANK(INDEX(Array_OtherEnergyChargeData,ROW()-24,COLUMN()*2-3)),"",INDEX(Array_OtherEnergyChargeData,ROW()-24,COLUMN()*2-3))</f>
        <v/>
      </c>
      <c r="F220" t="str" cm="1">
        <f>IF(ISBLANK(INDEX(Array_OtherEnergyChargeData,ROW()-24,COLUMN()*2-3)),"",INDEX(Array_OtherEnergyChargeData,ROW()-24,COLUMN()*2-3))</f>
        <v/>
      </c>
    </row>
    <row r="221" spans="1:6" x14ac:dyDescent="0.35">
      <c r="A221" t="str">
        <f>IF('Other Energy Meters'!B199="",A220,'Other Energy Meters'!B199)</f>
        <v>Meter Numbers</v>
      </c>
      <c r="B221" t="str" cm="1">
        <f>IF(ISBLANK(INDEX(Array_OtherEnergyChargeData,ROW()-24,COLUMN()*2-3)),"",INDEX(Array_OtherEnergyChargeData,ROW()-24,COLUMN()*2-3))</f>
        <v/>
      </c>
      <c r="C221" t="str" cm="1">
        <f>IF(ISBLANK(INDEX(Array_OtherEnergyChargeData,ROW()-24,COLUMN()*2-3)),"",INDEX(Array_OtherEnergyChargeData,ROW()-24,COLUMN()*2-3))</f>
        <v/>
      </c>
      <c r="D221" t="str" cm="1">
        <f>IF(ISBLANK(INDEX(Array_OtherEnergyChargeData,ROW()-24,COLUMN()*2-3)),"",INDEX(Array_OtherEnergyChargeData,ROW()-24,COLUMN()*2-3))</f>
        <v/>
      </c>
      <c r="E221" t="str" cm="1">
        <f>IF(ISBLANK(INDEX(Array_OtherEnergyChargeData,ROW()-24,COLUMN()*2-3)),"",INDEX(Array_OtherEnergyChargeData,ROW()-24,COLUMN()*2-3))</f>
        <v/>
      </c>
      <c r="F221" t="str" cm="1">
        <f>IF(ISBLANK(INDEX(Array_OtherEnergyChargeData,ROW()-24,COLUMN()*2-3)),"",INDEX(Array_OtherEnergyChargeData,ROW()-24,COLUMN()*2-3))</f>
        <v/>
      </c>
    </row>
    <row r="222" spans="1:6" x14ac:dyDescent="0.35">
      <c r="A222" t="str">
        <f>IF('Other Energy Meters'!B200="",A221,'Other Energy Meters'!B200)</f>
        <v>Meter Numbers</v>
      </c>
      <c r="B222" t="str" cm="1">
        <f>IF(ISBLANK(INDEX(Array_OtherEnergyChargeData,ROW()-24,COLUMN()*2-3)),"",INDEX(Array_OtherEnergyChargeData,ROW()-24,COLUMN()*2-3))</f>
        <v/>
      </c>
      <c r="C222" t="str" cm="1">
        <f>IF(ISBLANK(INDEX(Array_OtherEnergyChargeData,ROW()-24,COLUMN()*2-3)),"",INDEX(Array_OtherEnergyChargeData,ROW()-24,COLUMN()*2-3))</f>
        <v/>
      </c>
      <c r="D222" t="str" cm="1">
        <f>IF(ISBLANK(INDEX(Array_OtherEnergyChargeData,ROW()-24,COLUMN()*2-3)),"",INDEX(Array_OtherEnergyChargeData,ROW()-24,COLUMN()*2-3))</f>
        <v/>
      </c>
      <c r="E222" t="str" cm="1">
        <f>IF(ISBLANK(INDEX(Array_OtherEnergyChargeData,ROW()-24,COLUMN()*2-3)),"",INDEX(Array_OtherEnergyChargeData,ROW()-24,COLUMN()*2-3))</f>
        <v/>
      </c>
      <c r="F222" t="str" cm="1">
        <f>IF(ISBLANK(INDEX(Array_OtherEnergyChargeData,ROW()-24,COLUMN()*2-3)),"",INDEX(Array_OtherEnergyChargeData,ROW()-24,COLUMN()*2-3))</f>
        <v/>
      </c>
    </row>
    <row r="223" spans="1:6" x14ac:dyDescent="0.35">
      <c r="A223" t="str">
        <f>IF('Other Energy Meters'!B201="",A222,'Other Energy Meters'!B201)</f>
        <v>Meter Numbers</v>
      </c>
      <c r="B223" t="str" cm="1">
        <f>IF(ISBLANK(INDEX(Array_OtherEnergyChargeData,ROW()-24,COLUMN()*2-3)),"",INDEX(Array_OtherEnergyChargeData,ROW()-24,COLUMN()*2-3))</f>
        <v/>
      </c>
      <c r="C223" t="str" cm="1">
        <f>IF(ISBLANK(INDEX(Array_OtherEnergyChargeData,ROW()-24,COLUMN()*2-3)),"",INDEX(Array_OtherEnergyChargeData,ROW()-24,COLUMN()*2-3))</f>
        <v/>
      </c>
      <c r="D223" t="str" cm="1">
        <f>IF(ISBLANK(INDEX(Array_OtherEnergyChargeData,ROW()-24,COLUMN()*2-3)),"",INDEX(Array_OtherEnergyChargeData,ROW()-24,COLUMN()*2-3))</f>
        <v/>
      </c>
      <c r="E223" t="str" cm="1">
        <f>IF(ISBLANK(INDEX(Array_OtherEnergyChargeData,ROW()-24,COLUMN()*2-3)),"",INDEX(Array_OtherEnergyChargeData,ROW()-24,COLUMN()*2-3))</f>
        <v/>
      </c>
      <c r="F223" t="str" cm="1">
        <f>IF(ISBLANK(INDEX(Array_OtherEnergyChargeData,ROW()-24,COLUMN()*2-3)),"",INDEX(Array_OtherEnergyChargeData,ROW()-24,COLUMN()*2-3))</f>
        <v/>
      </c>
    </row>
    <row r="224" spans="1:6" x14ac:dyDescent="0.35">
      <c r="A224" t="str">
        <f>IF('Other Energy Meters'!B202="",A223,'Other Energy Meters'!B202)</f>
        <v>Meter Numbers</v>
      </c>
      <c r="B224" t="str" cm="1">
        <f>IF(ISBLANK(INDEX(Array_OtherEnergyChargeData,ROW()-24,COLUMN()*2-3)),"",INDEX(Array_OtherEnergyChargeData,ROW()-24,COLUMN()*2-3))</f>
        <v/>
      </c>
      <c r="C224" t="str" cm="1">
        <f>IF(ISBLANK(INDEX(Array_OtherEnergyChargeData,ROW()-24,COLUMN()*2-3)),"",INDEX(Array_OtherEnergyChargeData,ROW()-24,COLUMN()*2-3))</f>
        <v/>
      </c>
      <c r="D224" t="str" cm="1">
        <f>IF(ISBLANK(INDEX(Array_OtherEnergyChargeData,ROW()-24,COLUMN()*2-3)),"",INDEX(Array_OtherEnergyChargeData,ROW()-24,COLUMN()*2-3))</f>
        <v/>
      </c>
      <c r="E224" t="str" cm="1">
        <f>IF(ISBLANK(INDEX(Array_OtherEnergyChargeData,ROW()-24,COLUMN()*2-3)),"",INDEX(Array_OtherEnergyChargeData,ROW()-24,COLUMN()*2-3))</f>
        <v/>
      </c>
      <c r="F224" t="str" cm="1">
        <f>IF(ISBLANK(INDEX(Array_OtherEnergyChargeData,ROW()-24,COLUMN()*2-3)),"",INDEX(Array_OtherEnergyChargeData,ROW()-24,COLUMN()*2-3))</f>
        <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4CF0A-0DB6-4497-8D75-77A0FF38B923}">
  <sheetPr codeName="Sheet16">
    <tabColor rgb="FF7F7F7F"/>
  </sheetPr>
  <dimension ref="A1:T202"/>
  <sheetViews>
    <sheetView workbookViewId="0">
      <selection activeCell="G3" sqref="G3"/>
    </sheetView>
  </sheetViews>
  <sheetFormatPr defaultColWidth="0" defaultRowHeight="14" zeroHeight="1" x14ac:dyDescent="0.3"/>
  <cols>
    <col min="1" max="5" width="16.7265625" style="45" customWidth="1"/>
    <col min="6" max="8" width="16.7265625" style="126" customWidth="1"/>
    <col min="9" max="20" width="16.7265625" style="45" customWidth="1"/>
    <col min="21" max="16384" width="9.1796875" style="45" hidden="1"/>
  </cols>
  <sheetData>
    <row r="1" spans="1:20" ht="30" customHeight="1" x14ac:dyDescent="0.3">
      <c r="A1" s="77" t="s">
        <v>828</v>
      </c>
      <c r="B1" s="78"/>
      <c r="C1" s="78"/>
      <c r="D1" s="78"/>
      <c r="E1" s="78"/>
      <c r="F1" s="78"/>
      <c r="G1" s="78"/>
      <c r="H1" s="78"/>
      <c r="I1" s="78"/>
      <c r="J1" s="79"/>
      <c r="K1" s="43" t="s">
        <v>788</v>
      </c>
      <c r="L1" s="44"/>
      <c r="M1" s="44"/>
      <c r="N1" s="44"/>
      <c r="O1" s="44"/>
      <c r="P1" s="44"/>
      <c r="Q1" s="44"/>
      <c r="R1" s="44"/>
      <c r="S1" s="44"/>
      <c r="T1" s="44"/>
    </row>
    <row r="2" spans="1:20" ht="30" customHeight="1" x14ac:dyDescent="0.3">
      <c r="A2" s="99" t="s">
        <v>0</v>
      </c>
      <c r="B2" s="100" t="s">
        <v>1</v>
      </c>
      <c r="C2" s="100" t="s">
        <v>24</v>
      </c>
      <c r="D2" s="100" t="s">
        <v>798</v>
      </c>
      <c r="E2" s="99" t="s">
        <v>479</v>
      </c>
      <c r="F2" s="99" t="s">
        <v>636</v>
      </c>
      <c r="G2" s="99" t="s">
        <v>723</v>
      </c>
      <c r="H2" s="99" t="s">
        <v>9</v>
      </c>
      <c r="I2" s="100" t="s">
        <v>482</v>
      </c>
      <c r="J2" s="101" t="s">
        <v>8</v>
      </c>
      <c r="K2" s="102" t="str">
        <f>"Charge "&amp;QUOTIENT(COLUMN()-9,2)&amp;" Name"</f>
        <v>Charge 1 Name</v>
      </c>
      <c r="L2" s="103" t="str">
        <f>"Charge "&amp;QUOTIENT(COLUMN()-9,2)&amp;" Type"</f>
        <v>Charge 1 Type</v>
      </c>
      <c r="M2" s="102" t="str">
        <f>"Charge "&amp;QUOTIENT(COLUMN()-9,2)&amp;" Name"</f>
        <v>Charge 2 Name</v>
      </c>
      <c r="N2" s="103" t="str">
        <f>"Charge "&amp;QUOTIENT(COLUMN()-9,2)&amp;" Type"</f>
        <v>Charge 2 Type</v>
      </c>
      <c r="O2" s="102" t="str">
        <f>"Charge "&amp;QUOTIENT(COLUMN()-9,2)&amp;" Name"</f>
        <v>Charge 3 Name</v>
      </c>
      <c r="P2" s="103" t="str">
        <f>"Charge "&amp;QUOTIENT(COLUMN()-9,2)&amp;" Type"</f>
        <v>Charge 3 Type</v>
      </c>
      <c r="Q2" s="102" t="str">
        <f>"Charge "&amp;QUOTIENT(COLUMN()-9,2)&amp;" Name"</f>
        <v>Charge 4 Name</v>
      </c>
      <c r="R2" s="103" t="str">
        <f>"Charge "&amp;QUOTIENT(COLUMN()-9,2)&amp;" Type"</f>
        <v>Charge 4 Type</v>
      </c>
      <c r="S2" s="102" t="str">
        <f>"Charge "&amp;QUOTIENT(COLUMN()-9,2)&amp;" Name"</f>
        <v>Charge 5 Name</v>
      </c>
      <c r="T2" s="103" t="str">
        <f>"Charge "&amp;QUOTIENT(COLUMN()-9,2)&amp;" Type"</f>
        <v>Charge 5 Type</v>
      </c>
    </row>
    <row r="3" spans="1:20" x14ac:dyDescent="0.3">
      <c r="A3" s="126"/>
      <c r="B3" s="127"/>
      <c r="C3" s="127"/>
      <c r="D3" s="127"/>
      <c r="E3" s="126"/>
      <c r="I3" s="127"/>
      <c r="J3" s="137"/>
      <c r="K3" s="130"/>
      <c r="L3" s="131"/>
      <c r="M3" s="130"/>
      <c r="N3" s="131"/>
      <c r="O3" s="130"/>
      <c r="P3" s="131"/>
      <c r="Q3" s="130"/>
      <c r="R3" s="131"/>
      <c r="S3" s="130"/>
      <c r="T3" s="131"/>
    </row>
    <row r="4" spans="1:20" x14ac:dyDescent="0.3">
      <c r="A4" s="126"/>
      <c r="B4" s="127"/>
      <c r="C4" s="127"/>
      <c r="D4" s="127"/>
      <c r="E4" s="126"/>
      <c r="I4" s="127"/>
      <c r="J4" s="137"/>
      <c r="K4" s="130"/>
      <c r="L4" s="131"/>
      <c r="M4" s="130"/>
      <c r="N4" s="131"/>
      <c r="O4" s="130"/>
      <c r="P4" s="131"/>
      <c r="Q4" s="130"/>
      <c r="R4" s="131"/>
      <c r="S4" s="130"/>
      <c r="T4" s="131"/>
    </row>
    <row r="5" spans="1:20" x14ac:dyDescent="0.3">
      <c r="A5" s="126"/>
      <c r="B5" s="127"/>
      <c r="C5" s="127"/>
      <c r="D5" s="127"/>
      <c r="E5" s="126"/>
      <c r="I5" s="127"/>
      <c r="J5" s="137"/>
      <c r="K5" s="130"/>
      <c r="L5" s="131"/>
      <c r="M5" s="130"/>
      <c r="N5" s="131"/>
      <c r="O5" s="130"/>
      <c r="P5" s="131"/>
      <c r="Q5" s="130"/>
      <c r="R5" s="131"/>
      <c r="S5" s="130"/>
      <c r="T5" s="131"/>
    </row>
    <row r="6" spans="1:20" x14ac:dyDescent="0.3">
      <c r="A6" s="126"/>
      <c r="B6" s="127"/>
      <c r="C6" s="127"/>
      <c r="D6" s="127"/>
      <c r="E6" s="126"/>
      <c r="I6" s="127"/>
      <c r="J6" s="137"/>
      <c r="K6" s="130"/>
      <c r="L6" s="131"/>
      <c r="M6" s="130"/>
      <c r="N6" s="131"/>
      <c r="O6" s="130"/>
      <c r="P6" s="131"/>
      <c r="Q6" s="130"/>
      <c r="R6" s="131"/>
      <c r="S6" s="130"/>
      <c r="T6" s="131"/>
    </row>
    <row r="7" spans="1:20" x14ac:dyDescent="0.3">
      <c r="A7" s="126"/>
      <c r="B7" s="127"/>
      <c r="C7" s="127"/>
      <c r="D7" s="127"/>
      <c r="E7" s="126"/>
      <c r="I7" s="127"/>
      <c r="J7" s="137"/>
      <c r="K7" s="130"/>
      <c r="L7" s="131"/>
      <c r="M7" s="130"/>
      <c r="N7" s="131"/>
      <c r="O7" s="130"/>
      <c r="P7" s="131"/>
      <c r="Q7" s="130"/>
      <c r="R7" s="131"/>
      <c r="S7" s="130"/>
      <c r="T7" s="131"/>
    </row>
    <row r="8" spans="1:20" x14ac:dyDescent="0.3">
      <c r="A8" s="126"/>
      <c r="B8" s="127"/>
      <c r="C8" s="127"/>
      <c r="D8" s="127"/>
      <c r="E8" s="126"/>
      <c r="I8" s="127"/>
      <c r="J8" s="137"/>
      <c r="K8" s="130"/>
      <c r="L8" s="131"/>
      <c r="M8" s="130"/>
      <c r="N8" s="131"/>
      <c r="O8" s="130"/>
      <c r="P8" s="131"/>
      <c r="Q8" s="130"/>
      <c r="R8" s="131"/>
      <c r="S8" s="130"/>
      <c r="T8" s="131"/>
    </row>
    <row r="9" spans="1:20" x14ac:dyDescent="0.3">
      <c r="A9" s="126"/>
      <c r="B9" s="127"/>
      <c r="C9" s="127"/>
      <c r="D9" s="127"/>
      <c r="E9" s="126"/>
      <c r="I9" s="127"/>
      <c r="J9" s="137"/>
      <c r="K9" s="130"/>
      <c r="L9" s="131"/>
      <c r="M9" s="130"/>
      <c r="N9" s="131"/>
      <c r="O9" s="130"/>
      <c r="P9" s="131"/>
      <c r="Q9" s="130"/>
      <c r="R9" s="131"/>
      <c r="S9" s="130"/>
      <c r="T9" s="131"/>
    </row>
    <row r="10" spans="1:20" x14ac:dyDescent="0.3">
      <c r="A10" s="126"/>
      <c r="B10" s="127"/>
      <c r="C10" s="127"/>
      <c r="D10" s="127"/>
      <c r="E10" s="126"/>
      <c r="I10" s="127"/>
      <c r="J10" s="137"/>
      <c r="K10" s="130"/>
      <c r="L10" s="131"/>
      <c r="M10" s="130"/>
      <c r="N10" s="131"/>
      <c r="O10" s="130"/>
      <c r="P10" s="131"/>
      <c r="Q10" s="130"/>
      <c r="R10" s="131"/>
      <c r="S10" s="130"/>
      <c r="T10" s="131"/>
    </row>
    <row r="11" spans="1:20" x14ac:dyDescent="0.3">
      <c r="A11" s="126"/>
      <c r="B11" s="127"/>
      <c r="C11" s="127"/>
      <c r="D11" s="127"/>
      <c r="E11" s="126"/>
      <c r="I11" s="127"/>
      <c r="J11" s="137"/>
      <c r="K11" s="130"/>
      <c r="L11" s="131"/>
      <c r="M11" s="130"/>
      <c r="N11" s="131"/>
      <c r="O11" s="130"/>
      <c r="P11" s="131"/>
      <c r="Q11" s="130"/>
      <c r="R11" s="131"/>
      <c r="S11" s="130"/>
      <c r="T11" s="131"/>
    </row>
    <row r="12" spans="1:20" x14ac:dyDescent="0.3">
      <c r="A12" s="126"/>
      <c r="B12" s="127"/>
      <c r="C12" s="127"/>
      <c r="D12" s="127"/>
      <c r="E12" s="126"/>
      <c r="I12" s="127"/>
      <c r="J12" s="137"/>
      <c r="K12" s="130"/>
      <c r="L12" s="131"/>
      <c r="M12" s="130"/>
      <c r="N12" s="131"/>
      <c r="O12" s="130"/>
      <c r="P12" s="131"/>
      <c r="Q12" s="130"/>
      <c r="R12" s="131"/>
      <c r="S12" s="130"/>
      <c r="T12" s="131"/>
    </row>
    <row r="13" spans="1:20" x14ac:dyDescent="0.3">
      <c r="A13" s="126"/>
      <c r="B13" s="127"/>
      <c r="C13" s="127"/>
      <c r="D13" s="127"/>
      <c r="E13" s="126"/>
      <c r="I13" s="127"/>
      <c r="J13" s="137"/>
      <c r="K13" s="130"/>
      <c r="L13" s="131"/>
      <c r="M13" s="130"/>
      <c r="N13" s="131"/>
      <c r="O13" s="130"/>
      <c r="P13" s="131"/>
      <c r="Q13" s="130"/>
      <c r="R13" s="131"/>
      <c r="S13" s="130"/>
      <c r="T13" s="131"/>
    </row>
    <row r="14" spans="1:20" x14ac:dyDescent="0.3">
      <c r="A14" s="126"/>
      <c r="B14" s="127"/>
      <c r="C14" s="127"/>
      <c r="D14" s="127"/>
      <c r="E14" s="126"/>
      <c r="I14" s="127"/>
      <c r="J14" s="137"/>
      <c r="K14" s="130"/>
      <c r="L14" s="131"/>
      <c r="M14" s="130"/>
      <c r="N14" s="131"/>
      <c r="O14" s="130"/>
      <c r="P14" s="131"/>
      <c r="Q14" s="130"/>
      <c r="R14" s="131"/>
      <c r="S14" s="130"/>
      <c r="T14" s="131"/>
    </row>
    <row r="15" spans="1:20" x14ac:dyDescent="0.3">
      <c r="A15" s="126"/>
      <c r="B15" s="127"/>
      <c r="C15" s="127"/>
      <c r="D15" s="127"/>
      <c r="E15" s="126"/>
      <c r="I15" s="127"/>
      <c r="J15" s="137"/>
      <c r="K15" s="130"/>
      <c r="L15" s="131"/>
      <c r="M15" s="130"/>
      <c r="N15" s="131"/>
      <c r="O15" s="130"/>
      <c r="P15" s="131"/>
      <c r="Q15" s="130"/>
      <c r="R15" s="131"/>
      <c r="S15" s="130"/>
      <c r="T15" s="131"/>
    </row>
    <row r="16" spans="1:20" x14ac:dyDescent="0.3">
      <c r="A16" s="126"/>
      <c r="B16" s="127"/>
      <c r="C16" s="127"/>
      <c r="D16" s="127"/>
      <c r="E16" s="126"/>
      <c r="I16" s="127"/>
      <c r="J16" s="137"/>
      <c r="K16" s="130"/>
      <c r="L16" s="131"/>
      <c r="M16" s="130"/>
      <c r="N16" s="131"/>
      <c r="O16" s="130"/>
      <c r="P16" s="131"/>
      <c r="Q16" s="130"/>
      <c r="R16" s="131"/>
      <c r="S16" s="130"/>
      <c r="T16" s="131"/>
    </row>
    <row r="17" spans="1:20" x14ac:dyDescent="0.3">
      <c r="A17" s="126"/>
      <c r="B17" s="127"/>
      <c r="C17" s="127"/>
      <c r="D17" s="127"/>
      <c r="E17" s="126"/>
      <c r="I17" s="127"/>
      <c r="J17" s="137"/>
      <c r="K17" s="130"/>
      <c r="L17" s="131"/>
      <c r="M17" s="130"/>
      <c r="N17" s="131"/>
      <c r="O17" s="130"/>
      <c r="P17" s="131"/>
      <c r="Q17" s="130"/>
      <c r="R17" s="131"/>
      <c r="S17" s="130"/>
      <c r="T17" s="131"/>
    </row>
    <row r="18" spans="1:20" x14ac:dyDescent="0.3">
      <c r="A18" s="126"/>
      <c r="B18" s="127"/>
      <c r="C18" s="127"/>
      <c r="D18" s="127"/>
      <c r="E18" s="126"/>
      <c r="I18" s="127"/>
      <c r="J18" s="137"/>
      <c r="K18" s="130"/>
      <c r="L18" s="131"/>
      <c r="M18" s="130"/>
      <c r="N18" s="131"/>
      <c r="O18" s="130"/>
      <c r="P18" s="131"/>
      <c r="Q18" s="130"/>
      <c r="R18" s="131"/>
      <c r="S18" s="130"/>
      <c r="T18" s="131"/>
    </row>
    <row r="19" spans="1:20" x14ac:dyDescent="0.3">
      <c r="A19" s="126"/>
      <c r="B19" s="127"/>
      <c r="C19" s="127"/>
      <c r="D19" s="127"/>
      <c r="E19" s="126"/>
      <c r="I19" s="127"/>
      <c r="J19" s="137"/>
      <c r="K19" s="130"/>
      <c r="L19" s="131"/>
      <c r="M19" s="130"/>
      <c r="N19" s="131"/>
      <c r="O19" s="130"/>
      <c r="P19" s="131"/>
      <c r="Q19" s="130"/>
      <c r="R19" s="131"/>
      <c r="S19" s="130"/>
      <c r="T19" s="131"/>
    </row>
    <row r="20" spans="1:20" x14ac:dyDescent="0.3">
      <c r="A20" s="126"/>
      <c r="B20" s="127"/>
      <c r="C20" s="127"/>
      <c r="D20" s="127"/>
      <c r="E20" s="126"/>
      <c r="I20" s="127"/>
      <c r="J20" s="137"/>
      <c r="K20" s="130"/>
      <c r="L20" s="131"/>
      <c r="M20" s="130"/>
      <c r="N20" s="131"/>
      <c r="O20" s="130"/>
      <c r="P20" s="131"/>
      <c r="Q20" s="130"/>
      <c r="R20" s="131"/>
      <c r="S20" s="130"/>
      <c r="T20" s="131"/>
    </row>
    <row r="21" spans="1:20" x14ac:dyDescent="0.3">
      <c r="A21" s="126"/>
      <c r="B21" s="127"/>
      <c r="C21" s="127"/>
      <c r="D21" s="127"/>
      <c r="E21" s="126"/>
      <c r="I21" s="127"/>
      <c r="J21" s="137"/>
      <c r="K21" s="130"/>
      <c r="L21" s="131"/>
      <c r="M21" s="130"/>
      <c r="N21" s="131"/>
      <c r="O21" s="130"/>
      <c r="P21" s="131"/>
      <c r="Q21" s="130"/>
      <c r="R21" s="131"/>
      <c r="S21" s="130"/>
      <c r="T21" s="131"/>
    </row>
    <row r="22" spans="1:20" x14ac:dyDescent="0.3">
      <c r="A22" s="126"/>
      <c r="B22" s="127"/>
      <c r="C22" s="127"/>
      <c r="D22" s="127"/>
      <c r="E22" s="126"/>
      <c r="I22" s="127"/>
      <c r="J22" s="137"/>
      <c r="K22" s="130"/>
      <c r="L22" s="131"/>
      <c r="M22" s="130"/>
      <c r="N22" s="131"/>
      <c r="O22" s="130"/>
      <c r="P22" s="131"/>
      <c r="Q22" s="130"/>
      <c r="R22" s="131"/>
      <c r="S22" s="130"/>
      <c r="T22" s="131"/>
    </row>
    <row r="23" spans="1:20" x14ac:dyDescent="0.3">
      <c r="A23" s="126"/>
      <c r="B23" s="127"/>
      <c r="C23" s="127"/>
      <c r="D23" s="127"/>
      <c r="E23" s="126"/>
      <c r="I23" s="127"/>
      <c r="J23" s="137"/>
      <c r="K23" s="130"/>
      <c r="L23" s="131"/>
      <c r="M23" s="130"/>
      <c r="N23" s="131"/>
      <c r="O23" s="130"/>
      <c r="P23" s="131"/>
      <c r="Q23" s="130"/>
      <c r="R23" s="131"/>
      <c r="S23" s="130"/>
      <c r="T23" s="131"/>
    </row>
    <row r="24" spans="1:20" x14ac:dyDescent="0.3">
      <c r="A24" s="126"/>
      <c r="B24" s="127"/>
      <c r="C24" s="127"/>
      <c r="D24" s="127"/>
      <c r="E24" s="126"/>
      <c r="I24" s="127"/>
      <c r="J24" s="137"/>
      <c r="K24" s="130"/>
      <c r="L24" s="131"/>
      <c r="M24" s="130"/>
      <c r="N24" s="131"/>
      <c r="O24" s="130"/>
      <c r="P24" s="131"/>
      <c r="Q24" s="130"/>
      <c r="R24" s="131"/>
      <c r="S24" s="130"/>
      <c r="T24" s="131"/>
    </row>
    <row r="25" spans="1:20" x14ac:dyDescent="0.3">
      <c r="A25" s="126"/>
      <c r="B25" s="127"/>
      <c r="C25" s="127"/>
      <c r="D25" s="127"/>
      <c r="E25" s="126"/>
      <c r="I25" s="127"/>
      <c r="J25" s="137"/>
      <c r="K25" s="130"/>
      <c r="L25" s="131"/>
      <c r="M25" s="130"/>
      <c r="N25" s="131"/>
      <c r="O25" s="130"/>
      <c r="P25" s="131"/>
      <c r="Q25" s="130"/>
      <c r="R25" s="131"/>
      <c r="S25" s="130"/>
      <c r="T25" s="131"/>
    </row>
    <row r="26" spans="1:20" x14ac:dyDescent="0.3">
      <c r="A26" s="126"/>
      <c r="B26" s="127"/>
      <c r="C26" s="127"/>
      <c r="D26" s="127"/>
      <c r="E26" s="126"/>
      <c r="I26" s="127"/>
      <c r="J26" s="137"/>
      <c r="K26" s="130"/>
      <c r="L26" s="131"/>
      <c r="M26" s="130"/>
      <c r="N26" s="131"/>
      <c r="O26" s="130"/>
      <c r="P26" s="131"/>
      <c r="Q26" s="130"/>
      <c r="R26" s="131"/>
      <c r="S26" s="130"/>
      <c r="T26" s="131"/>
    </row>
    <row r="27" spans="1:20" x14ac:dyDescent="0.3">
      <c r="A27" s="126"/>
      <c r="B27" s="127"/>
      <c r="C27" s="127"/>
      <c r="D27" s="127"/>
      <c r="E27" s="126"/>
      <c r="I27" s="127"/>
      <c r="J27" s="137"/>
      <c r="K27" s="130"/>
      <c r="L27" s="131"/>
      <c r="M27" s="130"/>
      <c r="N27" s="131"/>
      <c r="O27" s="130"/>
      <c r="P27" s="131"/>
      <c r="Q27" s="130"/>
      <c r="R27" s="131"/>
      <c r="S27" s="130"/>
      <c r="T27" s="131"/>
    </row>
    <row r="28" spans="1:20" x14ac:dyDescent="0.3">
      <c r="A28" s="126"/>
      <c r="B28" s="127"/>
      <c r="C28" s="127"/>
      <c r="D28" s="127"/>
      <c r="E28" s="126"/>
      <c r="I28" s="127"/>
      <c r="J28" s="137"/>
      <c r="K28" s="130"/>
      <c r="L28" s="131"/>
      <c r="M28" s="130"/>
      <c r="N28" s="131"/>
      <c r="O28" s="130"/>
      <c r="P28" s="131"/>
      <c r="Q28" s="130"/>
      <c r="R28" s="131"/>
      <c r="S28" s="130"/>
      <c r="T28" s="131"/>
    </row>
    <row r="29" spans="1:20" x14ac:dyDescent="0.3">
      <c r="A29" s="126"/>
      <c r="B29" s="127"/>
      <c r="C29" s="127"/>
      <c r="D29" s="127"/>
      <c r="E29" s="126"/>
      <c r="I29" s="127"/>
      <c r="J29" s="137"/>
      <c r="K29" s="130"/>
      <c r="L29" s="131"/>
      <c r="M29" s="130"/>
      <c r="N29" s="131"/>
      <c r="O29" s="130"/>
      <c r="P29" s="131"/>
      <c r="Q29" s="130"/>
      <c r="R29" s="131"/>
      <c r="S29" s="130"/>
      <c r="T29" s="131"/>
    </row>
    <row r="30" spans="1:20" x14ac:dyDescent="0.3">
      <c r="A30" s="126"/>
      <c r="B30" s="127"/>
      <c r="C30" s="127"/>
      <c r="D30" s="127"/>
      <c r="E30" s="126"/>
      <c r="I30" s="127"/>
      <c r="J30" s="137"/>
      <c r="K30" s="130"/>
      <c r="L30" s="131"/>
      <c r="M30" s="130"/>
      <c r="N30" s="131"/>
      <c r="O30" s="130"/>
      <c r="P30" s="131"/>
      <c r="Q30" s="130"/>
      <c r="R30" s="131"/>
      <c r="S30" s="130"/>
      <c r="T30" s="131"/>
    </row>
    <row r="31" spans="1:20" x14ac:dyDescent="0.3">
      <c r="A31" s="126"/>
      <c r="B31" s="127"/>
      <c r="C31" s="127"/>
      <c r="D31" s="127"/>
      <c r="E31" s="126"/>
      <c r="I31" s="127"/>
      <c r="J31" s="137"/>
      <c r="K31" s="130"/>
      <c r="L31" s="131"/>
      <c r="M31" s="130"/>
      <c r="N31" s="131"/>
      <c r="O31" s="130"/>
      <c r="P31" s="131"/>
      <c r="Q31" s="130"/>
      <c r="R31" s="131"/>
      <c r="S31" s="130"/>
      <c r="T31" s="131"/>
    </row>
    <row r="32" spans="1:20" x14ac:dyDescent="0.3">
      <c r="A32" s="126"/>
      <c r="B32" s="127"/>
      <c r="C32" s="127"/>
      <c r="D32" s="127"/>
      <c r="E32" s="126"/>
      <c r="I32" s="127"/>
      <c r="J32" s="137"/>
      <c r="K32" s="130"/>
      <c r="L32" s="131"/>
      <c r="M32" s="130"/>
      <c r="N32" s="131"/>
      <c r="O32" s="130"/>
      <c r="P32" s="131"/>
      <c r="Q32" s="130"/>
      <c r="R32" s="131"/>
      <c r="S32" s="130"/>
      <c r="T32" s="131"/>
    </row>
    <row r="33" spans="1:20" x14ac:dyDescent="0.3">
      <c r="A33" s="126"/>
      <c r="B33" s="127"/>
      <c r="C33" s="127"/>
      <c r="D33" s="127"/>
      <c r="E33" s="126"/>
      <c r="I33" s="127"/>
      <c r="J33" s="137"/>
      <c r="K33" s="130"/>
      <c r="L33" s="131"/>
      <c r="M33" s="130"/>
      <c r="N33" s="131"/>
      <c r="O33" s="130"/>
      <c r="P33" s="131"/>
      <c r="Q33" s="130"/>
      <c r="R33" s="131"/>
      <c r="S33" s="130"/>
      <c r="T33" s="131"/>
    </row>
    <row r="34" spans="1:20" x14ac:dyDescent="0.3">
      <c r="A34" s="126"/>
      <c r="B34" s="127"/>
      <c r="C34" s="127"/>
      <c r="D34" s="127"/>
      <c r="E34" s="126"/>
      <c r="I34" s="127"/>
      <c r="J34" s="137"/>
      <c r="K34" s="130"/>
      <c r="L34" s="131"/>
      <c r="M34" s="130"/>
      <c r="N34" s="131"/>
      <c r="O34" s="130"/>
      <c r="P34" s="131"/>
      <c r="Q34" s="130"/>
      <c r="R34" s="131"/>
      <c r="S34" s="130"/>
      <c r="T34" s="131"/>
    </row>
    <row r="35" spans="1:20" x14ac:dyDescent="0.3">
      <c r="A35" s="126"/>
      <c r="B35" s="127"/>
      <c r="C35" s="127"/>
      <c r="D35" s="127"/>
      <c r="E35" s="126"/>
      <c r="I35" s="127"/>
      <c r="J35" s="137"/>
      <c r="K35" s="130"/>
      <c r="L35" s="131"/>
      <c r="M35" s="130"/>
      <c r="N35" s="131"/>
      <c r="O35" s="130"/>
      <c r="P35" s="131"/>
      <c r="Q35" s="130"/>
      <c r="R35" s="131"/>
      <c r="S35" s="130"/>
      <c r="T35" s="131"/>
    </row>
    <row r="36" spans="1:20" x14ac:dyDescent="0.3">
      <c r="A36" s="126"/>
      <c r="B36" s="127"/>
      <c r="C36" s="127"/>
      <c r="D36" s="127"/>
      <c r="E36" s="126"/>
      <c r="I36" s="127"/>
      <c r="J36" s="137"/>
      <c r="K36" s="130"/>
      <c r="L36" s="131"/>
      <c r="M36" s="130"/>
      <c r="N36" s="131"/>
      <c r="O36" s="130"/>
      <c r="P36" s="131"/>
      <c r="Q36" s="130"/>
      <c r="R36" s="131"/>
      <c r="S36" s="130"/>
      <c r="T36" s="131"/>
    </row>
    <row r="37" spans="1:20" x14ac:dyDescent="0.3">
      <c r="A37" s="126"/>
      <c r="B37" s="127"/>
      <c r="C37" s="127"/>
      <c r="D37" s="127"/>
      <c r="E37" s="126"/>
      <c r="I37" s="127"/>
      <c r="J37" s="137"/>
      <c r="K37" s="130"/>
      <c r="L37" s="131"/>
      <c r="M37" s="130"/>
      <c r="N37" s="131"/>
      <c r="O37" s="130"/>
      <c r="P37" s="131"/>
      <c r="Q37" s="130"/>
      <c r="R37" s="131"/>
      <c r="S37" s="130"/>
      <c r="T37" s="131"/>
    </row>
    <row r="38" spans="1:20" x14ac:dyDescent="0.3">
      <c r="A38" s="126"/>
      <c r="B38" s="127"/>
      <c r="C38" s="127"/>
      <c r="D38" s="127"/>
      <c r="E38" s="126"/>
      <c r="I38" s="127"/>
      <c r="J38" s="137"/>
      <c r="K38" s="130"/>
      <c r="L38" s="131"/>
      <c r="M38" s="130"/>
      <c r="N38" s="131"/>
      <c r="O38" s="130"/>
      <c r="P38" s="131"/>
      <c r="Q38" s="130"/>
      <c r="R38" s="131"/>
      <c r="S38" s="130"/>
      <c r="T38" s="131"/>
    </row>
    <row r="39" spans="1:20" x14ac:dyDescent="0.3">
      <c r="A39" s="126"/>
      <c r="B39" s="127"/>
      <c r="C39" s="127"/>
      <c r="D39" s="127"/>
      <c r="E39" s="126"/>
      <c r="I39" s="127"/>
      <c r="J39" s="137"/>
      <c r="K39" s="130"/>
      <c r="L39" s="131"/>
      <c r="M39" s="130"/>
      <c r="N39" s="131"/>
      <c r="O39" s="130"/>
      <c r="P39" s="131"/>
      <c r="Q39" s="130"/>
      <c r="R39" s="131"/>
      <c r="S39" s="130"/>
      <c r="T39" s="131"/>
    </row>
    <row r="40" spans="1:20" x14ac:dyDescent="0.3">
      <c r="A40" s="126"/>
      <c r="B40" s="127"/>
      <c r="C40" s="127"/>
      <c r="D40" s="127"/>
      <c r="E40" s="126"/>
      <c r="I40" s="127"/>
      <c r="J40" s="137"/>
      <c r="K40" s="130"/>
      <c r="L40" s="131"/>
      <c r="M40" s="130"/>
      <c r="N40" s="131"/>
      <c r="O40" s="130"/>
      <c r="P40" s="131"/>
      <c r="Q40" s="130"/>
      <c r="R40" s="131"/>
      <c r="S40" s="130"/>
      <c r="T40" s="131"/>
    </row>
    <row r="41" spans="1:20" x14ac:dyDescent="0.3">
      <c r="A41" s="126"/>
      <c r="B41" s="127"/>
      <c r="C41" s="127"/>
      <c r="D41" s="127"/>
      <c r="E41" s="126"/>
      <c r="I41" s="127"/>
      <c r="J41" s="137"/>
      <c r="K41" s="130"/>
      <c r="L41" s="131"/>
      <c r="M41" s="130"/>
      <c r="N41" s="131"/>
      <c r="O41" s="130"/>
      <c r="P41" s="131"/>
      <c r="Q41" s="130"/>
      <c r="R41" s="131"/>
      <c r="S41" s="130"/>
      <c r="T41" s="131"/>
    </row>
    <row r="42" spans="1:20" x14ac:dyDescent="0.3">
      <c r="A42" s="126"/>
      <c r="B42" s="127"/>
      <c r="C42" s="127"/>
      <c r="D42" s="127"/>
      <c r="E42" s="126"/>
      <c r="I42" s="127"/>
      <c r="J42" s="137"/>
      <c r="K42" s="130"/>
      <c r="L42" s="131"/>
      <c r="M42" s="130"/>
      <c r="N42" s="131"/>
      <c r="O42" s="130"/>
      <c r="P42" s="131"/>
      <c r="Q42" s="130"/>
      <c r="R42" s="131"/>
      <c r="S42" s="130"/>
      <c r="T42" s="131"/>
    </row>
    <row r="43" spans="1:20" x14ac:dyDescent="0.3">
      <c r="A43" s="126"/>
      <c r="B43" s="127"/>
      <c r="C43" s="127"/>
      <c r="D43" s="127"/>
      <c r="E43" s="126"/>
      <c r="I43" s="127"/>
      <c r="J43" s="137"/>
      <c r="K43" s="130"/>
      <c r="L43" s="131"/>
      <c r="M43" s="130"/>
      <c r="N43" s="131"/>
      <c r="O43" s="130"/>
      <c r="P43" s="131"/>
      <c r="Q43" s="130"/>
      <c r="R43" s="131"/>
      <c r="S43" s="130"/>
      <c r="T43" s="131"/>
    </row>
    <row r="44" spans="1:20" x14ac:dyDescent="0.3">
      <c r="A44" s="126"/>
      <c r="B44" s="127"/>
      <c r="C44" s="127"/>
      <c r="D44" s="127"/>
      <c r="E44" s="126"/>
      <c r="I44" s="127"/>
      <c r="J44" s="137"/>
      <c r="K44" s="130"/>
      <c r="L44" s="131"/>
      <c r="M44" s="130"/>
      <c r="N44" s="131"/>
      <c r="O44" s="130"/>
      <c r="P44" s="131"/>
      <c r="Q44" s="130"/>
      <c r="R44" s="131"/>
      <c r="S44" s="130"/>
      <c r="T44" s="131"/>
    </row>
    <row r="45" spans="1:20" x14ac:dyDescent="0.3">
      <c r="A45" s="126"/>
      <c r="B45" s="127"/>
      <c r="C45" s="127"/>
      <c r="D45" s="127"/>
      <c r="E45" s="126"/>
      <c r="I45" s="127"/>
      <c r="J45" s="137"/>
      <c r="K45" s="130"/>
      <c r="L45" s="131"/>
      <c r="M45" s="130"/>
      <c r="N45" s="131"/>
      <c r="O45" s="130"/>
      <c r="P45" s="131"/>
      <c r="Q45" s="130"/>
      <c r="R45" s="131"/>
      <c r="S45" s="130"/>
      <c r="T45" s="131"/>
    </row>
    <row r="46" spans="1:20" x14ac:dyDescent="0.3">
      <c r="A46" s="126"/>
      <c r="B46" s="127"/>
      <c r="C46" s="127"/>
      <c r="D46" s="127"/>
      <c r="E46" s="126"/>
      <c r="I46" s="127"/>
      <c r="J46" s="137"/>
      <c r="K46" s="130"/>
      <c r="L46" s="131"/>
      <c r="M46" s="130"/>
      <c r="N46" s="131"/>
      <c r="O46" s="130"/>
      <c r="P46" s="131"/>
      <c r="Q46" s="130"/>
      <c r="R46" s="131"/>
      <c r="S46" s="130"/>
      <c r="T46" s="131"/>
    </row>
    <row r="47" spans="1:20" x14ac:dyDescent="0.3">
      <c r="A47" s="126"/>
      <c r="B47" s="127"/>
      <c r="C47" s="127"/>
      <c r="D47" s="127"/>
      <c r="E47" s="126"/>
      <c r="I47" s="127"/>
      <c r="J47" s="137"/>
      <c r="K47" s="130"/>
      <c r="L47" s="131"/>
      <c r="M47" s="130"/>
      <c r="N47" s="131"/>
      <c r="O47" s="130"/>
      <c r="P47" s="131"/>
      <c r="Q47" s="130"/>
      <c r="R47" s="131"/>
      <c r="S47" s="130"/>
      <c r="T47" s="131"/>
    </row>
    <row r="48" spans="1:20" x14ac:dyDescent="0.3">
      <c r="A48" s="126"/>
      <c r="B48" s="127"/>
      <c r="C48" s="127"/>
      <c r="D48" s="127"/>
      <c r="E48" s="126"/>
      <c r="I48" s="127"/>
      <c r="J48" s="137"/>
      <c r="K48" s="130"/>
      <c r="L48" s="131"/>
      <c r="M48" s="130"/>
      <c r="N48" s="131"/>
      <c r="O48" s="130"/>
      <c r="P48" s="131"/>
      <c r="Q48" s="130"/>
      <c r="R48" s="131"/>
      <c r="S48" s="130"/>
      <c r="T48" s="131"/>
    </row>
    <row r="49" spans="1:20" x14ac:dyDescent="0.3">
      <c r="A49" s="126"/>
      <c r="B49" s="127"/>
      <c r="C49" s="127"/>
      <c r="D49" s="127"/>
      <c r="E49" s="126"/>
      <c r="I49" s="127"/>
      <c r="J49" s="137"/>
      <c r="K49" s="130"/>
      <c r="L49" s="131"/>
      <c r="M49" s="130"/>
      <c r="N49" s="131"/>
      <c r="O49" s="130"/>
      <c r="P49" s="131"/>
      <c r="Q49" s="130"/>
      <c r="R49" s="131"/>
      <c r="S49" s="130"/>
      <c r="T49" s="131"/>
    </row>
    <row r="50" spans="1:20" x14ac:dyDescent="0.3">
      <c r="A50" s="126"/>
      <c r="B50" s="127"/>
      <c r="C50" s="127"/>
      <c r="D50" s="127"/>
      <c r="E50" s="126"/>
      <c r="I50" s="127"/>
      <c r="J50" s="137"/>
      <c r="K50" s="130"/>
      <c r="L50" s="131"/>
      <c r="M50" s="130"/>
      <c r="N50" s="131"/>
      <c r="O50" s="130"/>
      <c r="P50" s="131"/>
      <c r="Q50" s="130"/>
      <c r="R50" s="131"/>
      <c r="S50" s="130"/>
      <c r="T50" s="131"/>
    </row>
    <row r="51" spans="1:20" x14ac:dyDescent="0.3">
      <c r="A51" s="126"/>
      <c r="B51" s="127"/>
      <c r="C51" s="127"/>
      <c r="D51" s="127"/>
      <c r="E51" s="126"/>
      <c r="I51" s="127"/>
      <c r="J51" s="137"/>
      <c r="K51" s="130"/>
      <c r="L51" s="131"/>
      <c r="M51" s="130"/>
      <c r="N51" s="131"/>
      <c r="O51" s="130"/>
      <c r="P51" s="131"/>
      <c r="Q51" s="130"/>
      <c r="R51" s="131"/>
      <c r="S51" s="130"/>
      <c r="T51" s="131"/>
    </row>
    <row r="52" spans="1:20" x14ac:dyDescent="0.3">
      <c r="A52" s="126"/>
      <c r="B52" s="127"/>
      <c r="C52" s="127"/>
      <c r="D52" s="127"/>
      <c r="E52" s="126"/>
      <c r="I52" s="127"/>
      <c r="J52" s="137"/>
      <c r="K52" s="130"/>
      <c r="L52" s="131"/>
      <c r="M52" s="130"/>
      <c r="N52" s="131"/>
      <c r="O52" s="130"/>
      <c r="P52" s="131"/>
      <c r="Q52" s="130"/>
      <c r="R52" s="131"/>
      <c r="S52" s="130"/>
      <c r="T52" s="131"/>
    </row>
    <row r="53" spans="1:20" x14ac:dyDescent="0.3">
      <c r="A53" s="126"/>
      <c r="B53" s="127"/>
      <c r="C53" s="127"/>
      <c r="D53" s="127"/>
      <c r="E53" s="126"/>
      <c r="I53" s="127"/>
      <c r="J53" s="137"/>
      <c r="K53" s="130"/>
      <c r="L53" s="131"/>
      <c r="M53" s="130"/>
      <c r="N53" s="131"/>
      <c r="O53" s="130"/>
      <c r="P53" s="131"/>
      <c r="Q53" s="130"/>
      <c r="R53" s="131"/>
      <c r="S53" s="130"/>
      <c r="T53" s="131"/>
    </row>
    <row r="54" spans="1:20" x14ac:dyDescent="0.3">
      <c r="A54" s="126"/>
      <c r="B54" s="127"/>
      <c r="C54" s="127"/>
      <c r="D54" s="127"/>
      <c r="E54" s="126"/>
      <c r="I54" s="127"/>
      <c r="J54" s="137"/>
      <c r="K54" s="130"/>
      <c r="L54" s="131"/>
      <c r="M54" s="130"/>
      <c r="N54" s="131"/>
      <c r="O54" s="130"/>
      <c r="P54" s="131"/>
      <c r="Q54" s="130"/>
      <c r="R54" s="131"/>
      <c r="S54" s="130"/>
      <c r="T54" s="131"/>
    </row>
    <row r="55" spans="1:20" x14ac:dyDescent="0.3">
      <c r="A55" s="126"/>
      <c r="B55" s="127"/>
      <c r="C55" s="127"/>
      <c r="D55" s="127"/>
      <c r="E55" s="126"/>
      <c r="I55" s="127"/>
      <c r="J55" s="137"/>
      <c r="K55" s="130"/>
      <c r="L55" s="131"/>
      <c r="M55" s="130"/>
      <c r="N55" s="131"/>
      <c r="O55" s="130"/>
      <c r="P55" s="131"/>
      <c r="Q55" s="130"/>
      <c r="R55" s="131"/>
      <c r="S55" s="130"/>
      <c r="T55" s="131"/>
    </row>
    <row r="56" spans="1:20" x14ac:dyDescent="0.3">
      <c r="A56" s="126"/>
      <c r="B56" s="127"/>
      <c r="C56" s="127"/>
      <c r="D56" s="127"/>
      <c r="E56" s="126"/>
      <c r="I56" s="127"/>
      <c r="J56" s="137"/>
      <c r="K56" s="130"/>
      <c r="L56" s="131"/>
      <c r="M56" s="130"/>
      <c r="N56" s="131"/>
      <c r="O56" s="130"/>
      <c r="P56" s="131"/>
      <c r="Q56" s="130"/>
      <c r="R56" s="131"/>
      <c r="S56" s="130"/>
      <c r="T56" s="131"/>
    </row>
    <row r="57" spans="1:20" x14ac:dyDescent="0.3">
      <c r="A57" s="126"/>
      <c r="B57" s="127"/>
      <c r="C57" s="127"/>
      <c r="D57" s="127"/>
      <c r="E57" s="126"/>
      <c r="I57" s="127"/>
      <c r="J57" s="137"/>
      <c r="K57" s="130"/>
      <c r="L57" s="131"/>
      <c r="M57" s="130"/>
      <c r="N57" s="131"/>
      <c r="O57" s="130"/>
      <c r="P57" s="131"/>
      <c r="Q57" s="130"/>
      <c r="R57" s="131"/>
      <c r="S57" s="130"/>
      <c r="T57" s="131"/>
    </row>
    <row r="58" spans="1:20" x14ac:dyDescent="0.3">
      <c r="A58" s="126"/>
      <c r="B58" s="127"/>
      <c r="C58" s="127"/>
      <c r="D58" s="127"/>
      <c r="E58" s="126"/>
      <c r="I58" s="127"/>
      <c r="J58" s="137"/>
      <c r="K58" s="130"/>
      <c r="L58" s="131"/>
      <c r="M58" s="130"/>
      <c r="N58" s="131"/>
      <c r="O58" s="130"/>
      <c r="P58" s="131"/>
      <c r="Q58" s="130"/>
      <c r="R58" s="131"/>
      <c r="S58" s="130"/>
      <c r="T58" s="131"/>
    </row>
    <row r="59" spans="1:20" x14ac:dyDescent="0.3">
      <c r="A59" s="126"/>
      <c r="B59" s="127"/>
      <c r="C59" s="127"/>
      <c r="D59" s="127"/>
      <c r="E59" s="126"/>
      <c r="I59" s="127"/>
      <c r="J59" s="137"/>
      <c r="K59" s="130"/>
      <c r="L59" s="131"/>
      <c r="M59" s="130"/>
      <c r="N59" s="131"/>
      <c r="O59" s="130"/>
      <c r="P59" s="131"/>
      <c r="Q59" s="130"/>
      <c r="R59" s="131"/>
      <c r="S59" s="130"/>
      <c r="T59" s="131"/>
    </row>
    <row r="60" spans="1:20" x14ac:dyDescent="0.3">
      <c r="A60" s="126"/>
      <c r="B60" s="127"/>
      <c r="C60" s="127"/>
      <c r="D60" s="127"/>
      <c r="E60" s="126"/>
      <c r="I60" s="127"/>
      <c r="J60" s="137"/>
      <c r="K60" s="130"/>
      <c r="L60" s="131"/>
      <c r="M60" s="130"/>
      <c r="N60" s="131"/>
      <c r="O60" s="130"/>
      <c r="P60" s="131"/>
      <c r="Q60" s="130"/>
      <c r="R60" s="131"/>
      <c r="S60" s="130"/>
      <c r="T60" s="131"/>
    </row>
    <row r="61" spans="1:20" x14ac:dyDescent="0.3">
      <c r="A61" s="126"/>
      <c r="B61" s="127"/>
      <c r="C61" s="127"/>
      <c r="D61" s="127"/>
      <c r="E61" s="126"/>
      <c r="I61" s="127"/>
      <c r="J61" s="137"/>
      <c r="K61" s="130"/>
      <c r="L61" s="131"/>
      <c r="M61" s="130"/>
      <c r="N61" s="131"/>
      <c r="O61" s="130"/>
      <c r="P61" s="131"/>
      <c r="Q61" s="130"/>
      <c r="R61" s="131"/>
      <c r="S61" s="130"/>
      <c r="T61" s="131"/>
    </row>
    <row r="62" spans="1:20" x14ac:dyDescent="0.3">
      <c r="A62" s="126"/>
      <c r="B62" s="127"/>
      <c r="C62" s="127"/>
      <c r="D62" s="127"/>
      <c r="E62" s="126"/>
      <c r="I62" s="127"/>
      <c r="J62" s="137"/>
      <c r="K62" s="130"/>
      <c r="L62" s="131"/>
      <c r="M62" s="130"/>
      <c r="N62" s="131"/>
      <c r="O62" s="130"/>
      <c r="P62" s="131"/>
      <c r="Q62" s="130"/>
      <c r="R62" s="131"/>
      <c r="S62" s="130"/>
      <c r="T62" s="131"/>
    </row>
    <row r="63" spans="1:20" x14ac:dyDescent="0.3">
      <c r="A63" s="126"/>
      <c r="B63" s="127"/>
      <c r="C63" s="127"/>
      <c r="D63" s="127"/>
      <c r="E63" s="126"/>
      <c r="I63" s="127"/>
      <c r="J63" s="137"/>
      <c r="K63" s="130"/>
      <c r="L63" s="131"/>
      <c r="M63" s="130"/>
      <c r="N63" s="131"/>
      <c r="O63" s="130"/>
      <c r="P63" s="131"/>
      <c r="Q63" s="130"/>
      <c r="R63" s="131"/>
      <c r="S63" s="130"/>
      <c r="T63" s="131"/>
    </row>
    <row r="64" spans="1:20" x14ac:dyDescent="0.3">
      <c r="A64" s="126"/>
      <c r="B64" s="127"/>
      <c r="C64" s="127"/>
      <c r="D64" s="127"/>
      <c r="E64" s="126"/>
      <c r="I64" s="127"/>
      <c r="J64" s="137"/>
      <c r="K64" s="130"/>
      <c r="L64" s="131"/>
      <c r="M64" s="130"/>
      <c r="N64" s="131"/>
      <c r="O64" s="130"/>
      <c r="P64" s="131"/>
      <c r="Q64" s="130"/>
      <c r="R64" s="131"/>
      <c r="S64" s="130"/>
      <c r="T64" s="131"/>
    </row>
    <row r="65" spans="1:20" x14ac:dyDescent="0.3">
      <c r="A65" s="126"/>
      <c r="B65" s="127"/>
      <c r="C65" s="127"/>
      <c r="D65" s="127"/>
      <c r="E65" s="126"/>
      <c r="I65" s="127"/>
      <c r="J65" s="137"/>
      <c r="K65" s="130"/>
      <c r="L65" s="131"/>
      <c r="M65" s="130"/>
      <c r="N65" s="131"/>
      <c r="O65" s="130"/>
      <c r="P65" s="131"/>
      <c r="Q65" s="130"/>
      <c r="R65" s="131"/>
      <c r="S65" s="130"/>
      <c r="T65" s="131"/>
    </row>
    <row r="66" spans="1:20" x14ac:dyDescent="0.3">
      <c r="A66" s="126"/>
      <c r="B66" s="127"/>
      <c r="C66" s="127"/>
      <c r="D66" s="127"/>
      <c r="E66" s="126"/>
      <c r="I66" s="127"/>
      <c r="J66" s="137"/>
      <c r="K66" s="130"/>
      <c r="L66" s="131"/>
      <c r="M66" s="130"/>
      <c r="N66" s="131"/>
      <c r="O66" s="130"/>
      <c r="P66" s="131"/>
      <c r="Q66" s="130"/>
      <c r="R66" s="131"/>
      <c r="S66" s="130"/>
      <c r="T66" s="131"/>
    </row>
    <row r="67" spans="1:20" x14ac:dyDescent="0.3">
      <c r="A67" s="126"/>
      <c r="B67" s="127"/>
      <c r="C67" s="127"/>
      <c r="D67" s="127"/>
      <c r="E67" s="126"/>
      <c r="I67" s="127"/>
      <c r="J67" s="137"/>
      <c r="K67" s="130"/>
      <c r="L67" s="131"/>
      <c r="M67" s="130"/>
      <c r="N67" s="131"/>
      <c r="O67" s="130"/>
      <c r="P67" s="131"/>
      <c r="Q67" s="130"/>
      <c r="R67" s="131"/>
      <c r="S67" s="130"/>
      <c r="T67" s="131"/>
    </row>
    <row r="68" spans="1:20" x14ac:dyDescent="0.3">
      <c r="A68" s="126"/>
      <c r="B68" s="127"/>
      <c r="C68" s="127"/>
      <c r="D68" s="127"/>
      <c r="E68" s="126"/>
      <c r="I68" s="127"/>
      <c r="J68" s="137"/>
      <c r="K68" s="130"/>
      <c r="L68" s="131"/>
      <c r="M68" s="130"/>
      <c r="N68" s="131"/>
      <c r="O68" s="130"/>
      <c r="P68" s="131"/>
      <c r="Q68" s="130"/>
      <c r="R68" s="131"/>
      <c r="S68" s="130"/>
      <c r="T68" s="131"/>
    </row>
    <row r="69" spans="1:20" x14ac:dyDescent="0.3">
      <c r="A69" s="126"/>
      <c r="B69" s="127"/>
      <c r="C69" s="127"/>
      <c r="D69" s="127"/>
      <c r="E69" s="126"/>
      <c r="I69" s="127"/>
      <c r="J69" s="137"/>
      <c r="K69" s="130"/>
      <c r="L69" s="131"/>
      <c r="M69" s="130"/>
      <c r="N69" s="131"/>
      <c r="O69" s="130"/>
      <c r="P69" s="131"/>
      <c r="Q69" s="130"/>
      <c r="R69" s="131"/>
      <c r="S69" s="130"/>
      <c r="T69" s="131"/>
    </row>
    <row r="70" spans="1:20" x14ac:dyDescent="0.3">
      <c r="A70" s="126"/>
      <c r="B70" s="127"/>
      <c r="C70" s="127"/>
      <c r="D70" s="127"/>
      <c r="E70" s="126"/>
      <c r="I70" s="127"/>
      <c r="J70" s="137"/>
      <c r="K70" s="130"/>
      <c r="L70" s="131"/>
      <c r="M70" s="130"/>
      <c r="N70" s="131"/>
      <c r="O70" s="130"/>
      <c r="P70" s="131"/>
      <c r="Q70" s="130"/>
      <c r="R70" s="131"/>
      <c r="S70" s="130"/>
      <c r="T70" s="131"/>
    </row>
    <row r="71" spans="1:20" x14ac:dyDescent="0.3">
      <c r="A71" s="126"/>
      <c r="B71" s="127"/>
      <c r="C71" s="127"/>
      <c r="D71" s="127"/>
      <c r="E71" s="126"/>
      <c r="I71" s="127"/>
      <c r="J71" s="137"/>
      <c r="K71" s="130"/>
      <c r="L71" s="131"/>
      <c r="M71" s="130"/>
      <c r="N71" s="131"/>
      <c r="O71" s="130"/>
      <c r="P71" s="131"/>
      <c r="Q71" s="130"/>
      <c r="R71" s="131"/>
      <c r="S71" s="130"/>
      <c r="T71" s="131"/>
    </row>
    <row r="72" spans="1:20" x14ac:dyDescent="0.3">
      <c r="A72" s="126"/>
      <c r="B72" s="127"/>
      <c r="C72" s="127"/>
      <c r="D72" s="127"/>
      <c r="E72" s="126"/>
      <c r="I72" s="127"/>
      <c r="J72" s="137"/>
      <c r="K72" s="130"/>
      <c r="L72" s="131"/>
      <c r="M72" s="130"/>
      <c r="N72" s="131"/>
      <c r="O72" s="130"/>
      <c r="P72" s="131"/>
      <c r="Q72" s="130"/>
      <c r="R72" s="131"/>
      <c r="S72" s="130"/>
      <c r="T72" s="131"/>
    </row>
    <row r="73" spans="1:20" x14ac:dyDescent="0.3">
      <c r="A73" s="126"/>
      <c r="B73" s="127"/>
      <c r="C73" s="127"/>
      <c r="D73" s="127"/>
      <c r="E73" s="126"/>
      <c r="I73" s="127"/>
      <c r="J73" s="137"/>
      <c r="K73" s="130"/>
      <c r="L73" s="131"/>
      <c r="M73" s="130"/>
      <c r="N73" s="131"/>
      <c r="O73" s="130"/>
      <c r="P73" s="131"/>
      <c r="Q73" s="130"/>
      <c r="R73" s="131"/>
      <c r="S73" s="130"/>
      <c r="T73" s="131"/>
    </row>
    <row r="74" spans="1:20" x14ac:dyDescent="0.3">
      <c r="A74" s="126"/>
      <c r="B74" s="127"/>
      <c r="C74" s="127"/>
      <c r="D74" s="127"/>
      <c r="E74" s="126"/>
      <c r="I74" s="127"/>
      <c r="J74" s="137"/>
      <c r="K74" s="130"/>
      <c r="L74" s="131"/>
      <c r="M74" s="130"/>
      <c r="N74" s="131"/>
      <c r="O74" s="130"/>
      <c r="P74" s="131"/>
      <c r="Q74" s="130"/>
      <c r="R74" s="131"/>
      <c r="S74" s="130"/>
      <c r="T74" s="131"/>
    </row>
    <row r="75" spans="1:20" x14ac:dyDescent="0.3">
      <c r="A75" s="126"/>
      <c r="B75" s="127"/>
      <c r="C75" s="127"/>
      <c r="D75" s="127"/>
      <c r="E75" s="126"/>
      <c r="I75" s="127"/>
      <c r="J75" s="137"/>
      <c r="K75" s="130"/>
      <c r="L75" s="131"/>
      <c r="M75" s="130"/>
      <c r="N75" s="131"/>
      <c r="O75" s="130"/>
      <c r="P75" s="131"/>
      <c r="Q75" s="130"/>
      <c r="R75" s="131"/>
      <c r="S75" s="130"/>
      <c r="T75" s="131"/>
    </row>
    <row r="76" spans="1:20" x14ac:dyDescent="0.3">
      <c r="A76" s="126"/>
      <c r="B76" s="127"/>
      <c r="C76" s="127"/>
      <c r="D76" s="127"/>
      <c r="E76" s="126"/>
      <c r="I76" s="127"/>
      <c r="J76" s="137"/>
      <c r="K76" s="130"/>
      <c r="L76" s="131"/>
      <c r="M76" s="130"/>
      <c r="N76" s="131"/>
      <c r="O76" s="130"/>
      <c r="P76" s="131"/>
      <c r="Q76" s="130"/>
      <c r="R76" s="131"/>
      <c r="S76" s="130"/>
      <c r="T76" s="131"/>
    </row>
    <row r="77" spans="1:20" x14ac:dyDescent="0.3">
      <c r="A77" s="126"/>
      <c r="B77" s="127"/>
      <c r="C77" s="127"/>
      <c r="D77" s="127"/>
      <c r="E77" s="126"/>
      <c r="I77" s="127"/>
      <c r="J77" s="137"/>
      <c r="K77" s="130"/>
      <c r="L77" s="131"/>
      <c r="M77" s="130"/>
      <c r="N77" s="131"/>
      <c r="O77" s="130"/>
      <c r="P77" s="131"/>
      <c r="Q77" s="130"/>
      <c r="R77" s="131"/>
      <c r="S77" s="130"/>
      <c r="T77" s="131"/>
    </row>
    <row r="78" spans="1:20" x14ac:dyDescent="0.3">
      <c r="A78" s="126"/>
      <c r="B78" s="127"/>
      <c r="C78" s="127"/>
      <c r="D78" s="127"/>
      <c r="E78" s="126"/>
      <c r="I78" s="127"/>
      <c r="J78" s="137"/>
      <c r="K78" s="130"/>
      <c r="L78" s="131"/>
      <c r="M78" s="130"/>
      <c r="N78" s="131"/>
      <c r="O78" s="130"/>
      <c r="P78" s="131"/>
      <c r="Q78" s="130"/>
      <c r="R78" s="131"/>
      <c r="S78" s="130"/>
      <c r="T78" s="131"/>
    </row>
    <row r="79" spans="1:20" x14ac:dyDescent="0.3">
      <c r="A79" s="126"/>
      <c r="B79" s="127"/>
      <c r="C79" s="127"/>
      <c r="D79" s="127"/>
      <c r="E79" s="126"/>
      <c r="I79" s="127"/>
      <c r="J79" s="137"/>
      <c r="K79" s="130"/>
      <c r="L79" s="131"/>
      <c r="M79" s="130"/>
      <c r="N79" s="131"/>
      <c r="O79" s="130"/>
      <c r="P79" s="131"/>
      <c r="Q79" s="130"/>
      <c r="R79" s="131"/>
      <c r="S79" s="130"/>
      <c r="T79" s="131"/>
    </row>
    <row r="80" spans="1:20" x14ac:dyDescent="0.3">
      <c r="A80" s="126"/>
      <c r="B80" s="127"/>
      <c r="C80" s="127"/>
      <c r="D80" s="127"/>
      <c r="E80" s="126"/>
      <c r="I80" s="127"/>
      <c r="J80" s="137"/>
      <c r="K80" s="130"/>
      <c r="L80" s="131"/>
      <c r="M80" s="130"/>
      <c r="N80" s="131"/>
      <c r="O80" s="130"/>
      <c r="P80" s="131"/>
      <c r="Q80" s="130"/>
      <c r="R80" s="131"/>
      <c r="S80" s="130"/>
      <c r="T80" s="131"/>
    </row>
    <row r="81" spans="1:20" x14ac:dyDescent="0.3">
      <c r="A81" s="126"/>
      <c r="B81" s="127"/>
      <c r="C81" s="127"/>
      <c r="D81" s="127"/>
      <c r="E81" s="126"/>
      <c r="I81" s="127"/>
      <c r="J81" s="137"/>
      <c r="K81" s="130"/>
      <c r="L81" s="131"/>
      <c r="M81" s="130"/>
      <c r="N81" s="131"/>
      <c r="O81" s="130"/>
      <c r="P81" s="131"/>
      <c r="Q81" s="130"/>
      <c r="R81" s="131"/>
      <c r="S81" s="130"/>
      <c r="T81" s="131"/>
    </row>
    <row r="82" spans="1:20" x14ac:dyDescent="0.3">
      <c r="A82" s="126"/>
      <c r="B82" s="127"/>
      <c r="C82" s="127"/>
      <c r="D82" s="127"/>
      <c r="E82" s="126"/>
      <c r="I82" s="127"/>
      <c r="J82" s="137"/>
      <c r="K82" s="130"/>
      <c r="L82" s="131"/>
      <c r="M82" s="130"/>
      <c r="N82" s="131"/>
      <c r="O82" s="130"/>
      <c r="P82" s="131"/>
      <c r="Q82" s="130"/>
      <c r="R82" s="131"/>
      <c r="S82" s="130"/>
      <c r="T82" s="131"/>
    </row>
    <row r="83" spans="1:20" x14ac:dyDescent="0.3">
      <c r="A83" s="126"/>
      <c r="B83" s="127"/>
      <c r="C83" s="127"/>
      <c r="D83" s="127"/>
      <c r="E83" s="126"/>
      <c r="I83" s="127"/>
      <c r="J83" s="137"/>
      <c r="K83" s="130"/>
      <c r="L83" s="131"/>
      <c r="M83" s="130"/>
      <c r="N83" s="131"/>
      <c r="O83" s="130"/>
      <c r="P83" s="131"/>
      <c r="Q83" s="130"/>
      <c r="R83" s="131"/>
      <c r="S83" s="130"/>
      <c r="T83" s="131"/>
    </row>
    <row r="84" spans="1:20" x14ac:dyDescent="0.3">
      <c r="A84" s="126"/>
      <c r="B84" s="127"/>
      <c r="C84" s="127"/>
      <c r="D84" s="127"/>
      <c r="E84" s="126"/>
      <c r="I84" s="127"/>
      <c r="J84" s="137"/>
      <c r="K84" s="130"/>
      <c r="L84" s="131"/>
      <c r="M84" s="130"/>
      <c r="N84" s="131"/>
      <c r="O84" s="130"/>
      <c r="P84" s="131"/>
      <c r="Q84" s="130"/>
      <c r="R84" s="131"/>
      <c r="S84" s="130"/>
      <c r="T84" s="131"/>
    </row>
    <row r="85" spans="1:20" x14ac:dyDescent="0.3">
      <c r="A85" s="126"/>
      <c r="B85" s="127"/>
      <c r="C85" s="127"/>
      <c r="D85" s="127"/>
      <c r="E85" s="126"/>
      <c r="I85" s="127"/>
      <c r="J85" s="137"/>
      <c r="K85" s="130"/>
      <c r="L85" s="131"/>
      <c r="M85" s="130"/>
      <c r="N85" s="131"/>
      <c r="O85" s="130"/>
      <c r="P85" s="131"/>
      <c r="Q85" s="130"/>
      <c r="R85" s="131"/>
      <c r="S85" s="130"/>
      <c r="T85" s="131"/>
    </row>
    <row r="86" spans="1:20" x14ac:dyDescent="0.3">
      <c r="A86" s="126"/>
      <c r="B86" s="127"/>
      <c r="C86" s="127"/>
      <c r="D86" s="127"/>
      <c r="E86" s="126"/>
      <c r="I86" s="127"/>
      <c r="J86" s="137"/>
      <c r="K86" s="130"/>
      <c r="L86" s="131"/>
      <c r="M86" s="130"/>
      <c r="N86" s="131"/>
      <c r="O86" s="130"/>
      <c r="P86" s="131"/>
      <c r="Q86" s="130"/>
      <c r="R86" s="131"/>
      <c r="S86" s="130"/>
      <c r="T86" s="131"/>
    </row>
    <row r="87" spans="1:20" x14ac:dyDescent="0.3">
      <c r="A87" s="126"/>
      <c r="B87" s="127"/>
      <c r="C87" s="127"/>
      <c r="D87" s="127"/>
      <c r="E87" s="126"/>
      <c r="I87" s="127"/>
      <c r="J87" s="137"/>
      <c r="K87" s="130"/>
      <c r="L87" s="131"/>
      <c r="M87" s="130"/>
      <c r="N87" s="131"/>
      <c r="O87" s="130"/>
      <c r="P87" s="131"/>
      <c r="Q87" s="130"/>
      <c r="R87" s="131"/>
      <c r="S87" s="130"/>
      <c r="T87" s="131"/>
    </row>
    <row r="88" spans="1:20" x14ac:dyDescent="0.3">
      <c r="A88" s="126"/>
      <c r="B88" s="127"/>
      <c r="C88" s="127"/>
      <c r="D88" s="127"/>
      <c r="E88" s="126"/>
      <c r="I88" s="127"/>
      <c r="J88" s="137"/>
      <c r="K88" s="130"/>
      <c r="L88" s="131"/>
      <c r="M88" s="130"/>
      <c r="N88" s="131"/>
      <c r="O88" s="130"/>
      <c r="P88" s="131"/>
      <c r="Q88" s="130"/>
      <c r="R88" s="131"/>
      <c r="S88" s="130"/>
      <c r="T88" s="131"/>
    </row>
    <row r="89" spans="1:20" x14ac:dyDescent="0.3">
      <c r="A89" s="126"/>
      <c r="B89" s="127"/>
      <c r="C89" s="127"/>
      <c r="D89" s="127"/>
      <c r="E89" s="126"/>
      <c r="I89" s="127"/>
      <c r="J89" s="137"/>
      <c r="K89" s="130"/>
      <c r="L89" s="131"/>
      <c r="M89" s="130"/>
      <c r="N89" s="131"/>
      <c r="O89" s="130"/>
      <c r="P89" s="131"/>
      <c r="Q89" s="130"/>
      <c r="R89" s="131"/>
      <c r="S89" s="130"/>
      <c r="T89" s="131"/>
    </row>
    <row r="90" spans="1:20" x14ac:dyDescent="0.3">
      <c r="A90" s="126"/>
      <c r="B90" s="127"/>
      <c r="C90" s="127"/>
      <c r="D90" s="127"/>
      <c r="E90" s="126"/>
      <c r="I90" s="127"/>
      <c r="J90" s="137"/>
      <c r="K90" s="130"/>
      <c r="L90" s="131"/>
      <c r="M90" s="130"/>
      <c r="N90" s="131"/>
      <c r="O90" s="130"/>
      <c r="P90" s="131"/>
      <c r="Q90" s="130"/>
      <c r="R90" s="131"/>
      <c r="S90" s="130"/>
      <c r="T90" s="131"/>
    </row>
    <row r="91" spans="1:20" x14ac:dyDescent="0.3">
      <c r="A91" s="126"/>
      <c r="B91" s="127"/>
      <c r="C91" s="127"/>
      <c r="D91" s="127"/>
      <c r="E91" s="126"/>
      <c r="I91" s="127"/>
      <c r="J91" s="137"/>
      <c r="K91" s="130"/>
      <c r="L91" s="131"/>
      <c r="M91" s="130"/>
      <c r="N91" s="131"/>
      <c r="O91" s="130"/>
      <c r="P91" s="131"/>
      <c r="Q91" s="130"/>
      <c r="R91" s="131"/>
      <c r="S91" s="130"/>
      <c r="T91" s="131"/>
    </row>
    <row r="92" spans="1:20" x14ac:dyDescent="0.3">
      <c r="A92" s="126"/>
      <c r="B92" s="127"/>
      <c r="C92" s="127"/>
      <c r="D92" s="127"/>
      <c r="E92" s="126"/>
      <c r="I92" s="127"/>
      <c r="J92" s="137"/>
      <c r="K92" s="130"/>
      <c r="L92" s="131"/>
      <c r="M92" s="130"/>
      <c r="N92" s="131"/>
      <c r="O92" s="130"/>
      <c r="P92" s="131"/>
      <c r="Q92" s="130"/>
      <c r="R92" s="131"/>
      <c r="S92" s="130"/>
      <c r="T92" s="131"/>
    </row>
    <row r="93" spans="1:20" x14ac:dyDescent="0.3">
      <c r="A93" s="126"/>
      <c r="B93" s="127"/>
      <c r="C93" s="127"/>
      <c r="D93" s="127"/>
      <c r="E93" s="126"/>
      <c r="I93" s="127"/>
      <c r="J93" s="137"/>
      <c r="K93" s="130"/>
      <c r="L93" s="131"/>
      <c r="M93" s="130"/>
      <c r="N93" s="131"/>
      <c r="O93" s="130"/>
      <c r="P93" s="131"/>
      <c r="Q93" s="130"/>
      <c r="R93" s="131"/>
      <c r="S93" s="130"/>
      <c r="T93" s="131"/>
    </row>
    <row r="94" spans="1:20" x14ac:dyDescent="0.3">
      <c r="A94" s="126"/>
      <c r="B94" s="127"/>
      <c r="C94" s="127"/>
      <c r="D94" s="127"/>
      <c r="E94" s="126"/>
      <c r="I94" s="127"/>
      <c r="J94" s="137"/>
      <c r="K94" s="130"/>
      <c r="L94" s="131"/>
      <c r="M94" s="130"/>
      <c r="N94" s="131"/>
      <c r="O94" s="130"/>
      <c r="P94" s="131"/>
      <c r="Q94" s="130"/>
      <c r="R94" s="131"/>
      <c r="S94" s="130"/>
      <c r="T94" s="131"/>
    </row>
    <row r="95" spans="1:20" x14ac:dyDescent="0.3">
      <c r="A95" s="126"/>
      <c r="B95" s="127"/>
      <c r="C95" s="127"/>
      <c r="D95" s="127"/>
      <c r="E95" s="126"/>
      <c r="I95" s="127"/>
      <c r="J95" s="137"/>
      <c r="K95" s="130"/>
      <c r="L95" s="131"/>
      <c r="M95" s="130"/>
      <c r="N95" s="131"/>
      <c r="O95" s="130"/>
      <c r="P95" s="131"/>
      <c r="Q95" s="130"/>
      <c r="R95" s="131"/>
      <c r="S95" s="130"/>
      <c r="T95" s="131"/>
    </row>
    <row r="96" spans="1:20" x14ac:dyDescent="0.3">
      <c r="A96" s="126"/>
      <c r="B96" s="127"/>
      <c r="C96" s="127"/>
      <c r="D96" s="127"/>
      <c r="E96" s="126"/>
      <c r="I96" s="127"/>
      <c r="J96" s="137"/>
      <c r="K96" s="130"/>
      <c r="L96" s="131"/>
      <c r="M96" s="130"/>
      <c r="N96" s="131"/>
      <c r="O96" s="130"/>
      <c r="P96" s="131"/>
      <c r="Q96" s="130"/>
      <c r="R96" s="131"/>
      <c r="S96" s="130"/>
      <c r="T96" s="131"/>
    </row>
    <row r="97" spans="1:20" x14ac:dyDescent="0.3">
      <c r="A97" s="126"/>
      <c r="B97" s="127"/>
      <c r="C97" s="127"/>
      <c r="D97" s="127"/>
      <c r="E97" s="126"/>
      <c r="I97" s="127"/>
      <c r="J97" s="137"/>
      <c r="K97" s="130"/>
      <c r="L97" s="131"/>
      <c r="M97" s="130"/>
      <c r="N97" s="131"/>
      <c r="O97" s="130"/>
      <c r="P97" s="131"/>
      <c r="Q97" s="130"/>
      <c r="R97" s="131"/>
      <c r="S97" s="130"/>
      <c r="T97" s="131"/>
    </row>
    <row r="98" spans="1:20" x14ac:dyDescent="0.3">
      <c r="A98" s="126"/>
      <c r="B98" s="127"/>
      <c r="C98" s="127"/>
      <c r="D98" s="127"/>
      <c r="E98" s="126"/>
      <c r="I98" s="127"/>
      <c r="J98" s="137"/>
      <c r="K98" s="130"/>
      <c r="L98" s="131"/>
      <c r="M98" s="130"/>
      <c r="N98" s="131"/>
      <c r="O98" s="130"/>
      <c r="P98" s="131"/>
      <c r="Q98" s="130"/>
      <c r="R98" s="131"/>
      <c r="S98" s="130"/>
      <c r="T98" s="131"/>
    </row>
    <row r="99" spans="1:20" x14ac:dyDescent="0.3">
      <c r="A99" s="126"/>
      <c r="B99" s="127"/>
      <c r="C99" s="127"/>
      <c r="D99" s="127"/>
      <c r="E99" s="126"/>
      <c r="I99" s="127"/>
      <c r="J99" s="137"/>
      <c r="K99" s="130"/>
      <c r="L99" s="131"/>
      <c r="M99" s="130"/>
      <c r="N99" s="131"/>
      <c r="O99" s="130"/>
      <c r="P99" s="131"/>
      <c r="Q99" s="130"/>
      <c r="R99" s="131"/>
      <c r="S99" s="130"/>
      <c r="T99" s="131"/>
    </row>
    <row r="100" spans="1:20" x14ac:dyDescent="0.3">
      <c r="A100" s="126"/>
      <c r="B100" s="127"/>
      <c r="C100" s="127"/>
      <c r="D100" s="127"/>
      <c r="E100" s="126"/>
      <c r="I100" s="127"/>
      <c r="J100" s="137"/>
      <c r="K100" s="130"/>
      <c r="L100" s="131"/>
      <c r="M100" s="130"/>
      <c r="N100" s="131"/>
      <c r="O100" s="130"/>
      <c r="P100" s="131"/>
      <c r="Q100" s="130"/>
      <c r="R100" s="131"/>
      <c r="S100" s="130"/>
      <c r="T100" s="131"/>
    </row>
    <row r="101" spans="1:20" x14ac:dyDescent="0.3">
      <c r="A101" s="126"/>
      <c r="B101" s="127"/>
      <c r="C101" s="127"/>
      <c r="D101" s="127"/>
      <c r="E101" s="126"/>
      <c r="I101" s="127"/>
      <c r="J101" s="137"/>
      <c r="K101" s="130"/>
      <c r="L101" s="131"/>
      <c r="M101" s="130"/>
      <c r="N101" s="131"/>
      <c r="O101" s="130"/>
      <c r="P101" s="131"/>
      <c r="Q101" s="130"/>
      <c r="R101" s="131"/>
      <c r="S101" s="130"/>
      <c r="T101" s="131"/>
    </row>
    <row r="102" spans="1:20" x14ac:dyDescent="0.3">
      <c r="A102" s="126"/>
      <c r="B102" s="127"/>
      <c r="C102" s="127"/>
      <c r="D102" s="127"/>
      <c r="E102" s="126"/>
      <c r="I102" s="127"/>
      <c r="J102" s="137"/>
      <c r="K102" s="130"/>
      <c r="L102" s="131"/>
      <c r="M102" s="130"/>
      <c r="N102" s="131"/>
      <c r="O102" s="130"/>
      <c r="P102" s="131"/>
      <c r="Q102" s="130"/>
      <c r="R102" s="131"/>
      <c r="S102" s="130"/>
      <c r="T102" s="131"/>
    </row>
    <row r="103" spans="1:20" x14ac:dyDescent="0.3">
      <c r="A103" s="126"/>
      <c r="B103" s="127"/>
      <c r="C103" s="127"/>
      <c r="D103" s="127"/>
      <c r="E103" s="126"/>
      <c r="I103" s="127"/>
      <c r="J103" s="137"/>
      <c r="K103" s="130"/>
      <c r="L103" s="131"/>
      <c r="M103" s="130"/>
      <c r="N103" s="131"/>
      <c r="O103" s="130"/>
      <c r="P103" s="131"/>
      <c r="Q103" s="130"/>
      <c r="R103" s="131"/>
      <c r="S103" s="130"/>
      <c r="T103" s="131"/>
    </row>
    <row r="104" spans="1:20" x14ac:dyDescent="0.3">
      <c r="A104" s="126"/>
      <c r="B104" s="127"/>
      <c r="C104" s="127"/>
      <c r="D104" s="127"/>
      <c r="E104" s="126"/>
      <c r="I104" s="127"/>
      <c r="J104" s="137"/>
      <c r="K104" s="130"/>
      <c r="L104" s="131"/>
      <c r="M104" s="130"/>
      <c r="N104" s="131"/>
      <c r="O104" s="130"/>
      <c r="P104" s="131"/>
      <c r="Q104" s="130"/>
      <c r="R104" s="131"/>
      <c r="S104" s="130"/>
      <c r="T104" s="131"/>
    </row>
    <row r="105" spans="1:20" x14ac:dyDescent="0.3">
      <c r="A105" s="126"/>
      <c r="B105" s="127"/>
      <c r="C105" s="127"/>
      <c r="D105" s="127"/>
      <c r="E105" s="126"/>
      <c r="I105" s="127"/>
      <c r="J105" s="137"/>
      <c r="K105" s="130"/>
      <c r="L105" s="131"/>
      <c r="M105" s="130"/>
      <c r="N105" s="131"/>
      <c r="O105" s="130"/>
      <c r="P105" s="131"/>
      <c r="Q105" s="130"/>
      <c r="R105" s="131"/>
      <c r="S105" s="130"/>
      <c r="T105" s="131"/>
    </row>
    <row r="106" spans="1:20" x14ac:dyDescent="0.3">
      <c r="A106" s="126"/>
      <c r="B106" s="127"/>
      <c r="C106" s="127"/>
      <c r="D106" s="127"/>
      <c r="E106" s="126"/>
      <c r="I106" s="127"/>
      <c r="J106" s="137"/>
      <c r="K106" s="130"/>
      <c r="L106" s="131"/>
      <c r="M106" s="130"/>
      <c r="N106" s="131"/>
      <c r="O106" s="130"/>
      <c r="P106" s="131"/>
      <c r="Q106" s="130"/>
      <c r="R106" s="131"/>
      <c r="S106" s="130"/>
      <c r="T106" s="131"/>
    </row>
    <row r="107" spans="1:20" x14ac:dyDescent="0.3">
      <c r="A107" s="126"/>
      <c r="B107" s="127"/>
      <c r="C107" s="127"/>
      <c r="D107" s="127"/>
      <c r="E107" s="126"/>
      <c r="I107" s="127"/>
      <c r="J107" s="137"/>
      <c r="K107" s="130"/>
      <c r="L107" s="131"/>
      <c r="M107" s="130"/>
      <c r="N107" s="131"/>
      <c r="O107" s="130"/>
      <c r="P107" s="131"/>
      <c r="Q107" s="130"/>
      <c r="R107" s="131"/>
      <c r="S107" s="130"/>
      <c r="T107" s="131"/>
    </row>
    <row r="108" spans="1:20" x14ac:dyDescent="0.3">
      <c r="A108" s="126"/>
      <c r="B108" s="127"/>
      <c r="C108" s="127"/>
      <c r="D108" s="127"/>
      <c r="E108" s="126"/>
      <c r="I108" s="127"/>
      <c r="J108" s="137"/>
      <c r="K108" s="130"/>
      <c r="L108" s="131"/>
      <c r="M108" s="130"/>
      <c r="N108" s="131"/>
      <c r="O108" s="130"/>
      <c r="P108" s="131"/>
      <c r="Q108" s="130"/>
      <c r="R108" s="131"/>
      <c r="S108" s="130"/>
      <c r="T108" s="131"/>
    </row>
    <row r="109" spans="1:20" x14ac:dyDescent="0.3">
      <c r="A109" s="126"/>
      <c r="B109" s="127"/>
      <c r="C109" s="127"/>
      <c r="D109" s="127"/>
      <c r="E109" s="126"/>
      <c r="I109" s="127"/>
      <c r="J109" s="137"/>
      <c r="K109" s="130"/>
      <c r="L109" s="131"/>
      <c r="M109" s="130"/>
      <c r="N109" s="131"/>
      <c r="O109" s="130"/>
      <c r="P109" s="131"/>
      <c r="Q109" s="130"/>
      <c r="R109" s="131"/>
      <c r="S109" s="130"/>
      <c r="T109" s="131"/>
    </row>
    <row r="110" spans="1:20" x14ac:dyDescent="0.3">
      <c r="A110" s="126"/>
      <c r="B110" s="127"/>
      <c r="C110" s="127"/>
      <c r="D110" s="127"/>
      <c r="E110" s="126"/>
      <c r="I110" s="127"/>
      <c r="J110" s="137"/>
      <c r="K110" s="130"/>
      <c r="L110" s="131"/>
      <c r="M110" s="130"/>
      <c r="N110" s="131"/>
      <c r="O110" s="130"/>
      <c r="P110" s="131"/>
      <c r="Q110" s="130"/>
      <c r="R110" s="131"/>
      <c r="S110" s="130"/>
      <c r="T110" s="131"/>
    </row>
    <row r="111" spans="1:20" x14ac:dyDescent="0.3">
      <c r="A111" s="126"/>
      <c r="B111" s="127"/>
      <c r="C111" s="127"/>
      <c r="D111" s="127"/>
      <c r="E111" s="126"/>
      <c r="I111" s="127"/>
      <c r="J111" s="137"/>
      <c r="K111" s="130"/>
      <c r="L111" s="131"/>
      <c r="M111" s="130"/>
      <c r="N111" s="131"/>
      <c r="O111" s="130"/>
      <c r="P111" s="131"/>
      <c r="Q111" s="130"/>
      <c r="R111" s="131"/>
      <c r="S111" s="130"/>
      <c r="T111" s="131"/>
    </row>
    <row r="112" spans="1:20" x14ac:dyDescent="0.3">
      <c r="A112" s="126"/>
      <c r="B112" s="127"/>
      <c r="C112" s="127"/>
      <c r="D112" s="127"/>
      <c r="E112" s="126"/>
      <c r="I112" s="127"/>
      <c r="J112" s="137"/>
      <c r="K112" s="130"/>
      <c r="L112" s="131"/>
      <c r="M112" s="130"/>
      <c r="N112" s="131"/>
      <c r="O112" s="130"/>
      <c r="P112" s="131"/>
      <c r="Q112" s="130"/>
      <c r="R112" s="131"/>
      <c r="S112" s="130"/>
      <c r="T112" s="131"/>
    </row>
    <row r="113" spans="1:20" x14ac:dyDescent="0.3">
      <c r="A113" s="126"/>
      <c r="B113" s="127"/>
      <c r="C113" s="127"/>
      <c r="D113" s="127"/>
      <c r="E113" s="126"/>
      <c r="I113" s="127"/>
      <c r="J113" s="137"/>
      <c r="K113" s="130"/>
      <c r="L113" s="131"/>
      <c r="M113" s="130"/>
      <c r="N113" s="131"/>
      <c r="O113" s="130"/>
      <c r="P113" s="131"/>
      <c r="Q113" s="130"/>
      <c r="R113" s="131"/>
      <c r="S113" s="130"/>
      <c r="T113" s="131"/>
    </row>
    <row r="114" spans="1:20" x14ac:dyDescent="0.3">
      <c r="A114" s="126"/>
      <c r="B114" s="127"/>
      <c r="C114" s="127"/>
      <c r="D114" s="127"/>
      <c r="E114" s="126"/>
      <c r="I114" s="127"/>
      <c r="J114" s="137"/>
      <c r="K114" s="130"/>
      <c r="L114" s="131"/>
      <c r="M114" s="130"/>
      <c r="N114" s="131"/>
      <c r="O114" s="130"/>
      <c r="P114" s="131"/>
      <c r="Q114" s="130"/>
      <c r="R114" s="131"/>
      <c r="S114" s="130"/>
      <c r="T114" s="131"/>
    </row>
    <row r="115" spans="1:20" x14ac:dyDescent="0.3">
      <c r="A115" s="126"/>
      <c r="B115" s="127"/>
      <c r="C115" s="127"/>
      <c r="D115" s="127"/>
      <c r="E115" s="126"/>
      <c r="I115" s="127"/>
      <c r="J115" s="137"/>
      <c r="K115" s="130"/>
      <c r="L115" s="131"/>
      <c r="M115" s="130"/>
      <c r="N115" s="131"/>
      <c r="O115" s="130"/>
      <c r="P115" s="131"/>
      <c r="Q115" s="130"/>
      <c r="R115" s="131"/>
      <c r="S115" s="130"/>
      <c r="T115" s="131"/>
    </row>
    <row r="116" spans="1:20" x14ac:dyDescent="0.3">
      <c r="A116" s="126"/>
      <c r="B116" s="127"/>
      <c r="C116" s="127"/>
      <c r="D116" s="127"/>
      <c r="E116" s="126"/>
      <c r="I116" s="127"/>
      <c r="J116" s="137"/>
      <c r="K116" s="130"/>
      <c r="L116" s="131"/>
      <c r="M116" s="130"/>
      <c r="N116" s="131"/>
      <c r="O116" s="130"/>
      <c r="P116" s="131"/>
      <c r="Q116" s="130"/>
      <c r="R116" s="131"/>
      <c r="S116" s="130"/>
      <c r="T116" s="131"/>
    </row>
    <row r="117" spans="1:20" x14ac:dyDescent="0.3">
      <c r="A117" s="126"/>
      <c r="B117" s="127"/>
      <c r="C117" s="127"/>
      <c r="D117" s="127"/>
      <c r="E117" s="126"/>
      <c r="I117" s="127"/>
      <c r="J117" s="137"/>
      <c r="K117" s="130"/>
      <c r="L117" s="131"/>
      <c r="M117" s="130"/>
      <c r="N117" s="131"/>
      <c r="O117" s="130"/>
      <c r="P117" s="131"/>
      <c r="Q117" s="130"/>
      <c r="R117" s="131"/>
      <c r="S117" s="130"/>
      <c r="T117" s="131"/>
    </row>
    <row r="118" spans="1:20" x14ac:dyDescent="0.3">
      <c r="A118" s="126"/>
      <c r="B118" s="127"/>
      <c r="C118" s="127"/>
      <c r="D118" s="127"/>
      <c r="E118" s="126"/>
      <c r="I118" s="127"/>
      <c r="J118" s="137"/>
      <c r="K118" s="130"/>
      <c r="L118" s="131"/>
      <c r="M118" s="130"/>
      <c r="N118" s="131"/>
      <c r="O118" s="130"/>
      <c r="P118" s="131"/>
      <c r="Q118" s="130"/>
      <c r="R118" s="131"/>
      <c r="S118" s="130"/>
      <c r="T118" s="131"/>
    </row>
    <row r="119" spans="1:20" x14ac:dyDescent="0.3">
      <c r="A119" s="126"/>
      <c r="B119" s="127"/>
      <c r="C119" s="127"/>
      <c r="D119" s="127"/>
      <c r="E119" s="126"/>
      <c r="I119" s="127"/>
      <c r="J119" s="137"/>
      <c r="K119" s="130"/>
      <c r="L119" s="131"/>
      <c r="M119" s="130"/>
      <c r="N119" s="131"/>
      <c r="O119" s="130"/>
      <c r="P119" s="131"/>
      <c r="Q119" s="130"/>
      <c r="R119" s="131"/>
      <c r="S119" s="130"/>
      <c r="T119" s="131"/>
    </row>
    <row r="120" spans="1:20" x14ac:dyDescent="0.3">
      <c r="A120" s="126"/>
      <c r="B120" s="127"/>
      <c r="C120" s="127"/>
      <c r="D120" s="127"/>
      <c r="E120" s="126"/>
      <c r="I120" s="127"/>
      <c r="J120" s="137"/>
      <c r="K120" s="130"/>
      <c r="L120" s="131"/>
      <c r="M120" s="130"/>
      <c r="N120" s="131"/>
      <c r="O120" s="130"/>
      <c r="P120" s="131"/>
      <c r="Q120" s="130"/>
      <c r="R120" s="131"/>
      <c r="S120" s="130"/>
      <c r="T120" s="131"/>
    </row>
    <row r="121" spans="1:20" x14ac:dyDescent="0.3">
      <c r="A121" s="126"/>
      <c r="B121" s="127"/>
      <c r="C121" s="127"/>
      <c r="D121" s="127"/>
      <c r="E121" s="126"/>
      <c r="I121" s="127"/>
      <c r="J121" s="137"/>
      <c r="K121" s="130"/>
      <c r="L121" s="131"/>
      <c r="M121" s="130"/>
      <c r="N121" s="131"/>
      <c r="O121" s="130"/>
      <c r="P121" s="131"/>
      <c r="Q121" s="130"/>
      <c r="R121" s="131"/>
      <c r="S121" s="130"/>
      <c r="T121" s="131"/>
    </row>
    <row r="122" spans="1:20" x14ac:dyDescent="0.3">
      <c r="A122" s="126"/>
      <c r="B122" s="127"/>
      <c r="C122" s="127"/>
      <c r="D122" s="127"/>
      <c r="E122" s="126"/>
      <c r="I122" s="127"/>
      <c r="J122" s="137"/>
      <c r="K122" s="130"/>
      <c r="L122" s="131"/>
      <c r="M122" s="130"/>
      <c r="N122" s="131"/>
      <c r="O122" s="130"/>
      <c r="P122" s="131"/>
      <c r="Q122" s="130"/>
      <c r="R122" s="131"/>
      <c r="S122" s="130"/>
      <c r="T122" s="131"/>
    </row>
    <row r="123" spans="1:20" x14ac:dyDescent="0.3">
      <c r="A123" s="126"/>
      <c r="B123" s="127"/>
      <c r="C123" s="127"/>
      <c r="D123" s="127"/>
      <c r="E123" s="126"/>
      <c r="I123" s="127"/>
      <c r="J123" s="137"/>
      <c r="K123" s="130"/>
      <c r="L123" s="131"/>
      <c r="M123" s="130"/>
      <c r="N123" s="131"/>
      <c r="O123" s="130"/>
      <c r="P123" s="131"/>
      <c r="Q123" s="130"/>
      <c r="R123" s="131"/>
      <c r="S123" s="130"/>
      <c r="T123" s="131"/>
    </row>
    <row r="124" spans="1:20" x14ac:dyDescent="0.3">
      <c r="A124" s="126"/>
      <c r="B124" s="127"/>
      <c r="C124" s="127"/>
      <c r="D124" s="127"/>
      <c r="E124" s="126"/>
      <c r="I124" s="127"/>
      <c r="J124" s="137"/>
      <c r="K124" s="130"/>
      <c r="L124" s="131"/>
      <c r="M124" s="130"/>
      <c r="N124" s="131"/>
      <c r="O124" s="130"/>
      <c r="P124" s="131"/>
      <c r="Q124" s="130"/>
      <c r="R124" s="131"/>
      <c r="S124" s="130"/>
      <c r="T124" s="131"/>
    </row>
    <row r="125" spans="1:20" x14ac:dyDescent="0.3">
      <c r="A125" s="126"/>
      <c r="B125" s="127"/>
      <c r="C125" s="127"/>
      <c r="D125" s="127"/>
      <c r="E125" s="126"/>
      <c r="I125" s="127"/>
      <c r="J125" s="137"/>
      <c r="K125" s="130"/>
      <c r="L125" s="131"/>
      <c r="M125" s="130"/>
      <c r="N125" s="131"/>
      <c r="O125" s="130"/>
      <c r="P125" s="131"/>
      <c r="Q125" s="130"/>
      <c r="R125" s="131"/>
      <c r="S125" s="130"/>
      <c r="T125" s="131"/>
    </row>
    <row r="126" spans="1:20" x14ac:dyDescent="0.3">
      <c r="A126" s="126"/>
      <c r="B126" s="127"/>
      <c r="C126" s="127"/>
      <c r="D126" s="127"/>
      <c r="E126" s="126"/>
      <c r="I126" s="127"/>
      <c r="J126" s="137"/>
      <c r="K126" s="130"/>
      <c r="L126" s="131"/>
      <c r="M126" s="130"/>
      <c r="N126" s="131"/>
      <c r="O126" s="130"/>
      <c r="P126" s="131"/>
      <c r="Q126" s="130"/>
      <c r="R126" s="131"/>
      <c r="S126" s="130"/>
      <c r="T126" s="131"/>
    </row>
    <row r="127" spans="1:20" x14ac:dyDescent="0.3">
      <c r="A127" s="126"/>
      <c r="B127" s="127"/>
      <c r="C127" s="127"/>
      <c r="D127" s="127"/>
      <c r="E127" s="126"/>
      <c r="I127" s="127"/>
      <c r="J127" s="137"/>
      <c r="K127" s="130"/>
      <c r="L127" s="131"/>
      <c r="M127" s="130"/>
      <c r="N127" s="131"/>
      <c r="O127" s="130"/>
      <c r="P127" s="131"/>
      <c r="Q127" s="130"/>
      <c r="R127" s="131"/>
      <c r="S127" s="130"/>
      <c r="T127" s="131"/>
    </row>
    <row r="128" spans="1:20" x14ac:dyDescent="0.3">
      <c r="A128" s="126"/>
      <c r="B128" s="127"/>
      <c r="C128" s="127"/>
      <c r="D128" s="127"/>
      <c r="E128" s="126"/>
      <c r="I128" s="127"/>
      <c r="J128" s="137"/>
      <c r="K128" s="130"/>
      <c r="L128" s="131"/>
      <c r="M128" s="130"/>
      <c r="N128" s="131"/>
      <c r="O128" s="130"/>
      <c r="P128" s="131"/>
      <c r="Q128" s="130"/>
      <c r="R128" s="131"/>
      <c r="S128" s="130"/>
      <c r="T128" s="131"/>
    </row>
    <row r="129" spans="1:20" x14ac:dyDescent="0.3">
      <c r="A129" s="126"/>
      <c r="B129" s="127"/>
      <c r="C129" s="127"/>
      <c r="D129" s="127"/>
      <c r="E129" s="126"/>
      <c r="I129" s="127"/>
      <c r="J129" s="137"/>
      <c r="K129" s="130"/>
      <c r="L129" s="131"/>
      <c r="M129" s="130"/>
      <c r="N129" s="131"/>
      <c r="O129" s="130"/>
      <c r="P129" s="131"/>
      <c r="Q129" s="130"/>
      <c r="R129" s="131"/>
      <c r="S129" s="130"/>
      <c r="T129" s="131"/>
    </row>
    <row r="130" spans="1:20" x14ac:dyDescent="0.3">
      <c r="A130" s="126"/>
      <c r="B130" s="127"/>
      <c r="C130" s="127"/>
      <c r="D130" s="127"/>
      <c r="E130" s="126"/>
      <c r="I130" s="127"/>
      <c r="J130" s="137"/>
      <c r="K130" s="130"/>
      <c r="L130" s="131"/>
      <c r="M130" s="130"/>
      <c r="N130" s="131"/>
      <c r="O130" s="130"/>
      <c r="P130" s="131"/>
      <c r="Q130" s="130"/>
      <c r="R130" s="131"/>
      <c r="S130" s="130"/>
      <c r="T130" s="131"/>
    </row>
    <row r="131" spans="1:20" x14ac:dyDescent="0.3">
      <c r="A131" s="126"/>
      <c r="B131" s="127"/>
      <c r="C131" s="127"/>
      <c r="D131" s="127"/>
      <c r="E131" s="126"/>
      <c r="I131" s="127"/>
      <c r="J131" s="137"/>
      <c r="K131" s="130"/>
      <c r="L131" s="131"/>
      <c r="M131" s="130"/>
      <c r="N131" s="131"/>
      <c r="O131" s="130"/>
      <c r="P131" s="131"/>
      <c r="Q131" s="130"/>
      <c r="R131" s="131"/>
      <c r="S131" s="130"/>
      <c r="T131" s="131"/>
    </row>
    <row r="132" spans="1:20" x14ac:dyDescent="0.3">
      <c r="A132" s="126"/>
      <c r="B132" s="127"/>
      <c r="C132" s="127"/>
      <c r="D132" s="127"/>
      <c r="E132" s="126"/>
      <c r="I132" s="127"/>
      <c r="J132" s="137"/>
      <c r="K132" s="130"/>
      <c r="L132" s="131"/>
      <c r="M132" s="130"/>
      <c r="N132" s="131"/>
      <c r="O132" s="130"/>
      <c r="P132" s="131"/>
      <c r="Q132" s="130"/>
      <c r="R132" s="131"/>
      <c r="S132" s="130"/>
      <c r="T132" s="131"/>
    </row>
    <row r="133" spans="1:20" x14ac:dyDescent="0.3">
      <c r="A133" s="126"/>
      <c r="B133" s="127"/>
      <c r="C133" s="127"/>
      <c r="D133" s="127"/>
      <c r="E133" s="126"/>
      <c r="I133" s="127"/>
      <c r="J133" s="137"/>
      <c r="K133" s="130"/>
      <c r="L133" s="131"/>
      <c r="M133" s="130"/>
      <c r="N133" s="131"/>
      <c r="O133" s="130"/>
      <c r="P133" s="131"/>
      <c r="Q133" s="130"/>
      <c r="R133" s="131"/>
      <c r="S133" s="130"/>
      <c r="T133" s="131"/>
    </row>
    <row r="134" spans="1:20" x14ac:dyDescent="0.3">
      <c r="A134" s="126"/>
      <c r="B134" s="127"/>
      <c r="C134" s="127"/>
      <c r="D134" s="127"/>
      <c r="E134" s="126"/>
      <c r="I134" s="127"/>
      <c r="J134" s="137"/>
      <c r="K134" s="130"/>
      <c r="L134" s="131"/>
      <c r="M134" s="130"/>
      <c r="N134" s="131"/>
      <c r="O134" s="130"/>
      <c r="P134" s="131"/>
      <c r="Q134" s="130"/>
      <c r="R134" s="131"/>
      <c r="S134" s="130"/>
      <c r="T134" s="131"/>
    </row>
    <row r="135" spans="1:20" x14ac:dyDescent="0.3">
      <c r="A135" s="126"/>
      <c r="B135" s="127"/>
      <c r="C135" s="127"/>
      <c r="D135" s="127"/>
      <c r="E135" s="126"/>
      <c r="I135" s="127"/>
      <c r="J135" s="137"/>
      <c r="K135" s="130"/>
      <c r="L135" s="131"/>
      <c r="M135" s="130"/>
      <c r="N135" s="131"/>
      <c r="O135" s="130"/>
      <c r="P135" s="131"/>
      <c r="Q135" s="130"/>
      <c r="R135" s="131"/>
      <c r="S135" s="130"/>
      <c r="T135" s="131"/>
    </row>
    <row r="136" spans="1:20" x14ac:dyDescent="0.3">
      <c r="A136" s="126"/>
      <c r="B136" s="127"/>
      <c r="C136" s="127"/>
      <c r="D136" s="127"/>
      <c r="E136" s="126"/>
      <c r="I136" s="127"/>
      <c r="J136" s="137"/>
      <c r="K136" s="130"/>
      <c r="L136" s="131"/>
      <c r="M136" s="130"/>
      <c r="N136" s="131"/>
      <c r="O136" s="130"/>
      <c r="P136" s="131"/>
      <c r="Q136" s="130"/>
      <c r="R136" s="131"/>
      <c r="S136" s="130"/>
      <c r="T136" s="131"/>
    </row>
    <row r="137" spans="1:20" x14ac:dyDescent="0.3">
      <c r="A137" s="126"/>
      <c r="B137" s="127"/>
      <c r="C137" s="127"/>
      <c r="D137" s="127"/>
      <c r="E137" s="126"/>
      <c r="I137" s="127"/>
      <c r="J137" s="137"/>
      <c r="K137" s="130"/>
      <c r="L137" s="131"/>
      <c r="M137" s="130"/>
      <c r="N137" s="131"/>
      <c r="O137" s="130"/>
      <c r="P137" s="131"/>
      <c r="Q137" s="130"/>
      <c r="R137" s="131"/>
      <c r="S137" s="130"/>
      <c r="T137" s="131"/>
    </row>
    <row r="138" spans="1:20" x14ac:dyDescent="0.3">
      <c r="A138" s="126"/>
      <c r="B138" s="127"/>
      <c r="C138" s="127"/>
      <c r="D138" s="127"/>
      <c r="E138" s="126"/>
      <c r="I138" s="127"/>
      <c r="J138" s="137"/>
      <c r="K138" s="130"/>
      <c r="L138" s="131"/>
      <c r="M138" s="130"/>
      <c r="N138" s="131"/>
      <c r="O138" s="130"/>
      <c r="P138" s="131"/>
      <c r="Q138" s="130"/>
      <c r="R138" s="131"/>
      <c r="S138" s="130"/>
      <c r="T138" s="131"/>
    </row>
    <row r="139" spans="1:20" x14ac:dyDescent="0.3">
      <c r="A139" s="126"/>
      <c r="B139" s="127"/>
      <c r="C139" s="127"/>
      <c r="D139" s="127"/>
      <c r="E139" s="126"/>
      <c r="I139" s="127"/>
      <c r="J139" s="137"/>
      <c r="K139" s="130"/>
      <c r="L139" s="131"/>
      <c r="M139" s="130"/>
      <c r="N139" s="131"/>
      <c r="O139" s="130"/>
      <c r="P139" s="131"/>
      <c r="Q139" s="130"/>
      <c r="R139" s="131"/>
      <c r="S139" s="130"/>
      <c r="T139" s="131"/>
    </row>
    <row r="140" spans="1:20" x14ac:dyDescent="0.3">
      <c r="A140" s="126"/>
      <c r="B140" s="127"/>
      <c r="C140" s="127"/>
      <c r="D140" s="127"/>
      <c r="E140" s="126"/>
      <c r="I140" s="127"/>
      <c r="J140" s="137"/>
      <c r="K140" s="130"/>
      <c r="L140" s="131"/>
      <c r="M140" s="130"/>
      <c r="N140" s="131"/>
      <c r="O140" s="130"/>
      <c r="P140" s="131"/>
      <c r="Q140" s="130"/>
      <c r="R140" s="131"/>
      <c r="S140" s="130"/>
      <c r="T140" s="131"/>
    </row>
    <row r="141" spans="1:20" x14ac:dyDescent="0.3">
      <c r="A141" s="126"/>
      <c r="B141" s="127"/>
      <c r="C141" s="127"/>
      <c r="D141" s="127"/>
      <c r="E141" s="126"/>
      <c r="I141" s="127"/>
      <c r="J141" s="137"/>
      <c r="K141" s="130"/>
      <c r="L141" s="131"/>
      <c r="M141" s="130"/>
      <c r="N141" s="131"/>
      <c r="O141" s="130"/>
      <c r="P141" s="131"/>
      <c r="Q141" s="130"/>
      <c r="R141" s="131"/>
      <c r="S141" s="130"/>
      <c r="T141" s="131"/>
    </row>
    <row r="142" spans="1:20" x14ac:dyDescent="0.3">
      <c r="A142" s="126"/>
      <c r="B142" s="127"/>
      <c r="C142" s="127"/>
      <c r="D142" s="127"/>
      <c r="E142" s="126"/>
      <c r="I142" s="127"/>
      <c r="J142" s="137"/>
      <c r="K142" s="130"/>
      <c r="L142" s="131"/>
      <c r="M142" s="130"/>
      <c r="N142" s="131"/>
      <c r="O142" s="130"/>
      <c r="P142" s="131"/>
      <c r="Q142" s="130"/>
      <c r="R142" s="131"/>
      <c r="S142" s="130"/>
      <c r="T142" s="131"/>
    </row>
    <row r="143" spans="1:20" x14ac:dyDescent="0.3">
      <c r="A143" s="126"/>
      <c r="B143" s="127"/>
      <c r="C143" s="127"/>
      <c r="D143" s="127"/>
      <c r="E143" s="126"/>
      <c r="I143" s="127"/>
      <c r="J143" s="137"/>
      <c r="K143" s="130"/>
      <c r="L143" s="131"/>
      <c r="M143" s="130"/>
      <c r="N143" s="131"/>
      <c r="O143" s="130"/>
      <c r="P143" s="131"/>
      <c r="Q143" s="130"/>
      <c r="R143" s="131"/>
      <c r="S143" s="130"/>
      <c r="T143" s="131"/>
    </row>
    <row r="144" spans="1:20" x14ac:dyDescent="0.3">
      <c r="A144" s="126"/>
      <c r="B144" s="127"/>
      <c r="C144" s="127"/>
      <c r="D144" s="127"/>
      <c r="E144" s="126"/>
      <c r="I144" s="127"/>
      <c r="J144" s="137"/>
      <c r="K144" s="130"/>
      <c r="L144" s="131"/>
      <c r="M144" s="130"/>
      <c r="N144" s="131"/>
      <c r="O144" s="130"/>
      <c r="P144" s="131"/>
      <c r="Q144" s="130"/>
      <c r="R144" s="131"/>
      <c r="S144" s="130"/>
      <c r="T144" s="131"/>
    </row>
    <row r="145" spans="1:20" x14ac:dyDescent="0.3">
      <c r="A145" s="126"/>
      <c r="B145" s="127"/>
      <c r="C145" s="127"/>
      <c r="D145" s="127"/>
      <c r="E145" s="126"/>
      <c r="I145" s="127"/>
      <c r="J145" s="137"/>
      <c r="K145" s="130"/>
      <c r="L145" s="131"/>
      <c r="M145" s="130"/>
      <c r="N145" s="131"/>
      <c r="O145" s="130"/>
      <c r="P145" s="131"/>
      <c r="Q145" s="130"/>
      <c r="R145" s="131"/>
      <c r="S145" s="130"/>
      <c r="T145" s="131"/>
    </row>
    <row r="146" spans="1:20" x14ac:dyDescent="0.3">
      <c r="A146" s="126"/>
      <c r="B146" s="127"/>
      <c r="C146" s="127"/>
      <c r="D146" s="127"/>
      <c r="E146" s="126"/>
      <c r="I146" s="127"/>
      <c r="J146" s="137"/>
      <c r="K146" s="130"/>
      <c r="L146" s="131"/>
      <c r="M146" s="130"/>
      <c r="N146" s="131"/>
      <c r="O146" s="130"/>
      <c r="P146" s="131"/>
      <c r="Q146" s="130"/>
      <c r="R146" s="131"/>
      <c r="S146" s="130"/>
      <c r="T146" s="131"/>
    </row>
    <row r="147" spans="1:20" x14ac:dyDescent="0.3">
      <c r="A147" s="126"/>
      <c r="B147" s="127"/>
      <c r="C147" s="127"/>
      <c r="D147" s="127"/>
      <c r="E147" s="126"/>
      <c r="I147" s="127"/>
      <c r="J147" s="137"/>
      <c r="K147" s="130"/>
      <c r="L147" s="131"/>
      <c r="M147" s="130"/>
      <c r="N147" s="131"/>
      <c r="O147" s="130"/>
      <c r="P147" s="131"/>
      <c r="Q147" s="130"/>
      <c r="R147" s="131"/>
      <c r="S147" s="130"/>
      <c r="T147" s="131"/>
    </row>
    <row r="148" spans="1:20" x14ac:dyDescent="0.3">
      <c r="A148" s="126"/>
      <c r="B148" s="127"/>
      <c r="C148" s="127"/>
      <c r="D148" s="127"/>
      <c r="E148" s="126"/>
      <c r="I148" s="127"/>
      <c r="J148" s="137"/>
      <c r="K148" s="130"/>
      <c r="L148" s="131"/>
      <c r="M148" s="130"/>
      <c r="N148" s="131"/>
      <c r="O148" s="130"/>
      <c r="P148" s="131"/>
      <c r="Q148" s="130"/>
      <c r="R148" s="131"/>
      <c r="S148" s="130"/>
      <c r="T148" s="131"/>
    </row>
    <row r="149" spans="1:20" x14ac:dyDescent="0.3">
      <c r="A149" s="126"/>
      <c r="B149" s="127"/>
      <c r="C149" s="127"/>
      <c r="D149" s="127"/>
      <c r="E149" s="126"/>
      <c r="I149" s="127"/>
      <c r="J149" s="137"/>
      <c r="K149" s="130"/>
      <c r="L149" s="131"/>
      <c r="M149" s="130"/>
      <c r="N149" s="131"/>
      <c r="O149" s="130"/>
      <c r="P149" s="131"/>
      <c r="Q149" s="130"/>
      <c r="R149" s="131"/>
      <c r="S149" s="130"/>
      <c r="T149" s="131"/>
    </row>
    <row r="150" spans="1:20" x14ac:dyDescent="0.3">
      <c r="A150" s="126"/>
      <c r="B150" s="127"/>
      <c r="C150" s="127"/>
      <c r="D150" s="127"/>
      <c r="E150" s="126"/>
      <c r="I150" s="127"/>
      <c r="J150" s="137"/>
      <c r="K150" s="130"/>
      <c r="L150" s="131"/>
      <c r="M150" s="130"/>
      <c r="N150" s="131"/>
      <c r="O150" s="130"/>
      <c r="P150" s="131"/>
      <c r="Q150" s="130"/>
      <c r="R150" s="131"/>
      <c r="S150" s="130"/>
      <c r="T150" s="131"/>
    </row>
    <row r="151" spans="1:20" x14ac:dyDescent="0.3">
      <c r="A151" s="126"/>
      <c r="B151" s="127"/>
      <c r="C151" s="127"/>
      <c r="D151" s="127"/>
      <c r="E151" s="126"/>
      <c r="I151" s="127"/>
      <c r="J151" s="137"/>
      <c r="K151" s="130"/>
      <c r="L151" s="131"/>
      <c r="M151" s="130"/>
      <c r="N151" s="131"/>
      <c r="O151" s="130"/>
      <c r="P151" s="131"/>
      <c r="Q151" s="130"/>
      <c r="R151" s="131"/>
      <c r="S151" s="130"/>
      <c r="T151" s="131"/>
    </row>
    <row r="152" spans="1:20" x14ac:dyDescent="0.3">
      <c r="A152" s="126"/>
      <c r="B152" s="127"/>
      <c r="C152" s="127"/>
      <c r="D152" s="127"/>
      <c r="E152" s="126"/>
      <c r="I152" s="127"/>
      <c r="J152" s="137"/>
      <c r="K152" s="130"/>
      <c r="L152" s="131"/>
      <c r="M152" s="130"/>
      <c r="N152" s="131"/>
      <c r="O152" s="130"/>
      <c r="P152" s="131"/>
      <c r="Q152" s="130"/>
      <c r="R152" s="131"/>
      <c r="S152" s="130"/>
      <c r="T152" s="131"/>
    </row>
    <row r="153" spans="1:20" x14ac:dyDescent="0.3">
      <c r="A153" s="126"/>
      <c r="B153" s="127"/>
      <c r="C153" s="127"/>
      <c r="D153" s="127"/>
      <c r="E153" s="126"/>
      <c r="I153" s="127"/>
      <c r="J153" s="137"/>
      <c r="K153" s="130"/>
      <c r="L153" s="131"/>
      <c r="M153" s="130"/>
      <c r="N153" s="131"/>
      <c r="O153" s="130"/>
      <c r="P153" s="131"/>
      <c r="Q153" s="130"/>
      <c r="R153" s="131"/>
      <c r="S153" s="130"/>
      <c r="T153" s="131"/>
    </row>
    <row r="154" spans="1:20" x14ac:dyDescent="0.3">
      <c r="A154" s="126"/>
      <c r="B154" s="127"/>
      <c r="C154" s="127"/>
      <c r="D154" s="127"/>
      <c r="E154" s="126"/>
      <c r="I154" s="127"/>
      <c r="J154" s="137"/>
      <c r="K154" s="130"/>
      <c r="L154" s="131"/>
      <c r="M154" s="130"/>
      <c r="N154" s="131"/>
      <c r="O154" s="130"/>
      <c r="P154" s="131"/>
      <c r="Q154" s="130"/>
      <c r="R154" s="131"/>
      <c r="S154" s="130"/>
      <c r="T154" s="131"/>
    </row>
    <row r="155" spans="1:20" x14ac:dyDescent="0.3">
      <c r="A155" s="126"/>
      <c r="B155" s="127"/>
      <c r="C155" s="127"/>
      <c r="D155" s="127"/>
      <c r="E155" s="126"/>
      <c r="I155" s="127"/>
      <c r="J155" s="137"/>
      <c r="K155" s="130"/>
      <c r="L155" s="131"/>
      <c r="M155" s="130"/>
      <c r="N155" s="131"/>
      <c r="O155" s="130"/>
      <c r="P155" s="131"/>
      <c r="Q155" s="130"/>
      <c r="R155" s="131"/>
      <c r="S155" s="130"/>
      <c r="T155" s="131"/>
    </row>
    <row r="156" spans="1:20" x14ac:dyDescent="0.3">
      <c r="A156" s="126"/>
      <c r="B156" s="127"/>
      <c r="C156" s="127"/>
      <c r="D156" s="127"/>
      <c r="E156" s="126"/>
      <c r="I156" s="127"/>
      <c r="J156" s="137"/>
      <c r="K156" s="130"/>
      <c r="L156" s="131"/>
      <c r="M156" s="130"/>
      <c r="N156" s="131"/>
      <c r="O156" s="130"/>
      <c r="P156" s="131"/>
      <c r="Q156" s="130"/>
      <c r="R156" s="131"/>
      <c r="S156" s="130"/>
      <c r="T156" s="131"/>
    </row>
    <row r="157" spans="1:20" x14ac:dyDescent="0.3">
      <c r="A157" s="126"/>
      <c r="B157" s="127"/>
      <c r="C157" s="127"/>
      <c r="D157" s="127"/>
      <c r="E157" s="126"/>
      <c r="I157" s="127"/>
      <c r="J157" s="137"/>
      <c r="K157" s="130"/>
      <c r="L157" s="131"/>
      <c r="M157" s="130"/>
      <c r="N157" s="131"/>
      <c r="O157" s="130"/>
      <c r="P157" s="131"/>
      <c r="Q157" s="130"/>
      <c r="R157" s="131"/>
      <c r="S157" s="130"/>
      <c r="T157" s="131"/>
    </row>
    <row r="158" spans="1:20" x14ac:dyDescent="0.3">
      <c r="A158" s="126"/>
      <c r="B158" s="127"/>
      <c r="C158" s="127"/>
      <c r="D158" s="127"/>
      <c r="E158" s="126"/>
      <c r="I158" s="127"/>
      <c r="J158" s="137"/>
      <c r="K158" s="130"/>
      <c r="L158" s="131"/>
      <c r="M158" s="130"/>
      <c r="N158" s="131"/>
      <c r="O158" s="130"/>
      <c r="P158" s="131"/>
      <c r="Q158" s="130"/>
      <c r="R158" s="131"/>
      <c r="S158" s="130"/>
      <c r="T158" s="131"/>
    </row>
    <row r="159" spans="1:20" x14ac:dyDescent="0.3">
      <c r="A159" s="126"/>
      <c r="B159" s="127"/>
      <c r="C159" s="127"/>
      <c r="D159" s="127"/>
      <c r="E159" s="126"/>
      <c r="I159" s="127"/>
      <c r="J159" s="137"/>
      <c r="K159" s="130"/>
      <c r="L159" s="131"/>
      <c r="M159" s="130"/>
      <c r="N159" s="131"/>
      <c r="O159" s="130"/>
      <c r="P159" s="131"/>
      <c r="Q159" s="130"/>
      <c r="R159" s="131"/>
      <c r="S159" s="130"/>
      <c r="T159" s="131"/>
    </row>
    <row r="160" spans="1:20" x14ac:dyDescent="0.3">
      <c r="A160" s="126"/>
      <c r="B160" s="127"/>
      <c r="C160" s="127"/>
      <c r="D160" s="127"/>
      <c r="E160" s="126"/>
      <c r="I160" s="127"/>
      <c r="J160" s="137"/>
      <c r="K160" s="130"/>
      <c r="L160" s="131"/>
      <c r="M160" s="130"/>
      <c r="N160" s="131"/>
      <c r="O160" s="130"/>
      <c r="P160" s="131"/>
      <c r="Q160" s="130"/>
      <c r="R160" s="131"/>
      <c r="S160" s="130"/>
      <c r="T160" s="131"/>
    </row>
    <row r="161" spans="1:20" x14ac:dyDescent="0.3">
      <c r="A161" s="126"/>
      <c r="B161" s="127"/>
      <c r="C161" s="127"/>
      <c r="D161" s="127"/>
      <c r="E161" s="126"/>
      <c r="I161" s="127"/>
      <c r="J161" s="137"/>
      <c r="K161" s="130"/>
      <c r="L161" s="131"/>
      <c r="M161" s="130"/>
      <c r="N161" s="131"/>
      <c r="O161" s="130"/>
      <c r="P161" s="131"/>
      <c r="Q161" s="130"/>
      <c r="R161" s="131"/>
      <c r="S161" s="130"/>
      <c r="T161" s="131"/>
    </row>
    <row r="162" spans="1:20" x14ac:dyDescent="0.3">
      <c r="A162" s="126"/>
      <c r="B162" s="127"/>
      <c r="C162" s="127"/>
      <c r="D162" s="127"/>
      <c r="E162" s="126"/>
      <c r="I162" s="127"/>
      <c r="J162" s="137"/>
      <c r="K162" s="130"/>
      <c r="L162" s="131"/>
      <c r="M162" s="130"/>
      <c r="N162" s="131"/>
      <c r="O162" s="130"/>
      <c r="P162" s="131"/>
      <c r="Q162" s="130"/>
      <c r="R162" s="131"/>
      <c r="S162" s="130"/>
      <c r="T162" s="131"/>
    </row>
    <row r="163" spans="1:20" x14ac:dyDescent="0.3">
      <c r="A163" s="126"/>
      <c r="B163" s="127"/>
      <c r="C163" s="127"/>
      <c r="D163" s="127"/>
      <c r="E163" s="126"/>
      <c r="I163" s="127"/>
      <c r="J163" s="137"/>
      <c r="K163" s="130"/>
      <c r="L163" s="131"/>
      <c r="M163" s="130"/>
      <c r="N163" s="131"/>
      <c r="O163" s="130"/>
      <c r="P163" s="131"/>
      <c r="Q163" s="130"/>
      <c r="R163" s="131"/>
      <c r="S163" s="130"/>
      <c r="T163" s="131"/>
    </row>
    <row r="164" spans="1:20" x14ac:dyDescent="0.3">
      <c r="A164" s="126"/>
      <c r="B164" s="127"/>
      <c r="C164" s="127"/>
      <c r="D164" s="127"/>
      <c r="E164" s="126"/>
      <c r="I164" s="127"/>
      <c r="J164" s="137"/>
      <c r="K164" s="130"/>
      <c r="L164" s="131"/>
      <c r="M164" s="130"/>
      <c r="N164" s="131"/>
      <c r="O164" s="130"/>
      <c r="P164" s="131"/>
      <c r="Q164" s="130"/>
      <c r="R164" s="131"/>
      <c r="S164" s="130"/>
      <c r="T164" s="131"/>
    </row>
    <row r="165" spans="1:20" x14ac:dyDescent="0.3">
      <c r="A165" s="126"/>
      <c r="B165" s="127"/>
      <c r="C165" s="127"/>
      <c r="D165" s="127"/>
      <c r="E165" s="126"/>
      <c r="I165" s="127"/>
      <c r="J165" s="137"/>
      <c r="K165" s="130"/>
      <c r="L165" s="131"/>
      <c r="M165" s="130"/>
      <c r="N165" s="131"/>
      <c r="O165" s="130"/>
      <c r="P165" s="131"/>
      <c r="Q165" s="130"/>
      <c r="R165" s="131"/>
      <c r="S165" s="130"/>
      <c r="T165" s="131"/>
    </row>
    <row r="166" spans="1:20" x14ac:dyDescent="0.3">
      <c r="A166" s="126"/>
      <c r="B166" s="127"/>
      <c r="C166" s="127"/>
      <c r="D166" s="127"/>
      <c r="E166" s="126"/>
      <c r="I166" s="127"/>
      <c r="J166" s="137"/>
      <c r="K166" s="130"/>
      <c r="L166" s="131"/>
      <c r="M166" s="130"/>
      <c r="N166" s="131"/>
      <c r="O166" s="130"/>
      <c r="P166" s="131"/>
      <c r="Q166" s="130"/>
      <c r="R166" s="131"/>
      <c r="S166" s="130"/>
      <c r="T166" s="131"/>
    </row>
    <row r="167" spans="1:20" x14ac:dyDescent="0.3">
      <c r="A167" s="126"/>
      <c r="B167" s="127"/>
      <c r="C167" s="127"/>
      <c r="D167" s="127"/>
      <c r="E167" s="126"/>
      <c r="I167" s="127"/>
      <c r="J167" s="137"/>
      <c r="K167" s="130"/>
      <c r="L167" s="131"/>
      <c r="M167" s="130"/>
      <c r="N167" s="131"/>
      <c r="O167" s="130"/>
      <c r="P167" s="131"/>
      <c r="Q167" s="130"/>
      <c r="R167" s="131"/>
      <c r="S167" s="130"/>
      <c r="T167" s="131"/>
    </row>
    <row r="168" spans="1:20" x14ac:dyDescent="0.3">
      <c r="A168" s="126"/>
      <c r="B168" s="127"/>
      <c r="C168" s="127"/>
      <c r="D168" s="127"/>
      <c r="E168" s="126"/>
      <c r="I168" s="127"/>
      <c r="J168" s="137"/>
      <c r="K168" s="130"/>
      <c r="L168" s="131"/>
      <c r="M168" s="130"/>
      <c r="N168" s="131"/>
      <c r="O168" s="130"/>
      <c r="P168" s="131"/>
      <c r="Q168" s="130"/>
      <c r="R168" s="131"/>
      <c r="S168" s="130"/>
      <c r="T168" s="131"/>
    </row>
    <row r="169" spans="1:20" x14ac:dyDescent="0.3">
      <c r="A169" s="126"/>
      <c r="B169" s="127"/>
      <c r="C169" s="127"/>
      <c r="D169" s="127"/>
      <c r="E169" s="126"/>
      <c r="I169" s="127"/>
      <c r="J169" s="137"/>
      <c r="K169" s="130"/>
      <c r="L169" s="131"/>
      <c r="M169" s="130"/>
      <c r="N169" s="131"/>
      <c r="O169" s="130"/>
      <c r="P169" s="131"/>
      <c r="Q169" s="130"/>
      <c r="R169" s="131"/>
      <c r="S169" s="130"/>
      <c r="T169" s="131"/>
    </row>
    <row r="170" spans="1:20" x14ac:dyDescent="0.3">
      <c r="A170" s="126"/>
      <c r="B170" s="127"/>
      <c r="C170" s="127"/>
      <c r="D170" s="127"/>
      <c r="E170" s="126"/>
      <c r="I170" s="127"/>
      <c r="J170" s="137"/>
      <c r="K170" s="130"/>
      <c r="L170" s="131"/>
      <c r="M170" s="130"/>
      <c r="N170" s="131"/>
      <c r="O170" s="130"/>
      <c r="P170" s="131"/>
      <c r="Q170" s="130"/>
      <c r="R170" s="131"/>
      <c r="S170" s="130"/>
      <c r="T170" s="131"/>
    </row>
    <row r="171" spans="1:20" x14ac:dyDescent="0.3">
      <c r="A171" s="126"/>
      <c r="B171" s="127"/>
      <c r="C171" s="127"/>
      <c r="D171" s="127"/>
      <c r="E171" s="126"/>
      <c r="I171" s="127"/>
      <c r="J171" s="137"/>
      <c r="K171" s="130"/>
      <c r="L171" s="131"/>
      <c r="M171" s="130"/>
      <c r="N171" s="131"/>
      <c r="O171" s="130"/>
      <c r="P171" s="131"/>
      <c r="Q171" s="130"/>
      <c r="R171" s="131"/>
      <c r="S171" s="130"/>
      <c r="T171" s="131"/>
    </row>
    <row r="172" spans="1:20" x14ac:dyDescent="0.3">
      <c r="A172" s="126"/>
      <c r="B172" s="127"/>
      <c r="C172" s="127"/>
      <c r="D172" s="127"/>
      <c r="E172" s="126"/>
      <c r="I172" s="127"/>
      <c r="J172" s="137"/>
      <c r="K172" s="130"/>
      <c r="L172" s="131"/>
      <c r="M172" s="130"/>
      <c r="N172" s="131"/>
      <c r="O172" s="130"/>
      <c r="P172" s="131"/>
      <c r="Q172" s="130"/>
      <c r="R172" s="131"/>
      <c r="S172" s="130"/>
      <c r="T172" s="131"/>
    </row>
    <row r="173" spans="1:20" x14ac:dyDescent="0.3">
      <c r="A173" s="126"/>
      <c r="B173" s="127"/>
      <c r="C173" s="127"/>
      <c r="D173" s="127"/>
      <c r="E173" s="126"/>
      <c r="I173" s="127"/>
      <c r="J173" s="137"/>
      <c r="K173" s="130"/>
      <c r="L173" s="131"/>
      <c r="M173" s="130"/>
      <c r="N173" s="131"/>
      <c r="O173" s="130"/>
      <c r="P173" s="131"/>
      <c r="Q173" s="130"/>
      <c r="R173" s="131"/>
      <c r="S173" s="130"/>
      <c r="T173" s="131"/>
    </row>
    <row r="174" spans="1:20" x14ac:dyDescent="0.3">
      <c r="A174" s="126"/>
      <c r="B174" s="127"/>
      <c r="C174" s="127"/>
      <c r="D174" s="127"/>
      <c r="E174" s="126"/>
      <c r="I174" s="127"/>
      <c r="J174" s="137"/>
      <c r="K174" s="130"/>
      <c r="L174" s="131"/>
      <c r="M174" s="130"/>
      <c r="N174" s="131"/>
      <c r="O174" s="130"/>
      <c r="P174" s="131"/>
      <c r="Q174" s="130"/>
      <c r="R174" s="131"/>
      <c r="S174" s="130"/>
      <c r="T174" s="131"/>
    </row>
    <row r="175" spans="1:20" x14ac:dyDescent="0.3">
      <c r="A175" s="126"/>
      <c r="B175" s="127"/>
      <c r="C175" s="127"/>
      <c r="D175" s="127"/>
      <c r="E175" s="126"/>
      <c r="I175" s="127"/>
      <c r="J175" s="137"/>
      <c r="K175" s="130"/>
      <c r="L175" s="131"/>
      <c r="M175" s="130"/>
      <c r="N175" s="131"/>
      <c r="O175" s="130"/>
      <c r="P175" s="131"/>
      <c r="Q175" s="130"/>
      <c r="R175" s="131"/>
      <c r="S175" s="130"/>
      <c r="T175" s="131"/>
    </row>
    <row r="176" spans="1:20" x14ac:dyDescent="0.3">
      <c r="A176" s="126"/>
      <c r="B176" s="127"/>
      <c r="C176" s="127"/>
      <c r="D176" s="127"/>
      <c r="E176" s="126"/>
      <c r="I176" s="127"/>
      <c r="J176" s="137"/>
      <c r="K176" s="130"/>
      <c r="L176" s="131"/>
      <c r="M176" s="130"/>
      <c r="N176" s="131"/>
      <c r="O176" s="130"/>
      <c r="P176" s="131"/>
      <c r="Q176" s="130"/>
      <c r="R176" s="131"/>
      <c r="S176" s="130"/>
      <c r="T176" s="131"/>
    </row>
    <row r="177" spans="1:20" x14ac:dyDescent="0.3">
      <c r="A177" s="126"/>
      <c r="B177" s="127"/>
      <c r="C177" s="127"/>
      <c r="D177" s="127"/>
      <c r="E177" s="126"/>
      <c r="I177" s="127"/>
      <c r="J177" s="137"/>
      <c r="K177" s="130"/>
      <c r="L177" s="131"/>
      <c r="M177" s="130"/>
      <c r="N177" s="131"/>
      <c r="O177" s="130"/>
      <c r="P177" s="131"/>
      <c r="Q177" s="130"/>
      <c r="R177" s="131"/>
      <c r="S177" s="130"/>
      <c r="T177" s="131"/>
    </row>
    <row r="178" spans="1:20" x14ac:dyDescent="0.3">
      <c r="A178" s="126"/>
      <c r="B178" s="127"/>
      <c r="C178" s="127"/>
      <c r="D178" s="127"/>
      <c r="E178" s="126"/>
      <c r="I178" s="127"/>
      <c r="J178" s="137"/>
      <c r="K178" s="130"/>
      <c r="L178" s="131"/>
      <c r="M178" s="130"/>
      <c r="N178" s="131"/>
      <c r="O178" s="130"/>
      <c r="P178" s="131"/>
      <c r="Q178" s="130"/>
      <c r="R178" s="131"/>
      <c r="S178" s="130"/>
      <c r="T178" s="131"/>
    </row>
    <row r="179" spans="1:20" x14ac:dyDescent="0.3">
      <c r="A179" s="126"/>
      <c r="B179" s="127"/>
      <c r="C179" s="127"/>
      <c r="D179" s="127"/>
      <c r="E179" s="126"/>
      <c r="I179" s="127"/>
      <c r="J179" s="137"/>
      <c r="K179" s="130"/>
      <c r="L179" s="131"/>
      <c r="M179" s="130"/>
      <c r="N179" s="131"/>
      <c r="O179" s="130"/>
      <c r="P179" s="131"/>
      <c r="Q179" s="130"/>
      <c r="R179" s="131"/>
      <c r="S179" s="130"/>
      <c r="T179" s="131"/>
    </row>
    <row r="180" spans="1:20" x14ac:dyDescent="0.3">
      <c r="A180" s="126"/>
      <c r="B180" s="127"/>
      <c r="C180" s="127"/>
      <c r="D180" s="127"/>
      <c r="E180" s="126"/>
      <c r="I180" s="127"/>
      <c r="J180" s="137"/>
      <c r="K180" s="130"/>
      <c r="L180" s="131"/>
      <c r="M180" s="130"/>
      <c r="N180" s="131"/>
      <c r="O180" s="130"/>
      <c r="P180" s="131"/>
      <c r="Q180" s="130"/>
      <c r="R180" s="131"/>
      <c r="S180" s="130"/>
      <c r="T180" s="131"/>
    </row>
    <row r="181" spans="1:20" x14ac:dyDescent="0.3">
      <c r="A181" s="126"/>
      <c r="B181" s="127"/>
      <c r="C181" s="127"/>
      <c r="D181" s="127"/>
      <c r="E181" s="126"/>
      <c r="I181" s="127"/>
      <c r="J181" s="137"/>
      <c r="K181" s="130"/>
      <c r="L181" s="131"/>
      <c r="M181" s="130"/>
      <c r="N181" s="131"/>
      <c r="O181" s="130"/>
      <c r="P181" s="131"/>
      <c r="Q181" s="130"/>
      <c r="R181" s="131"/>
      <c r="S181" s="130"/>
      <c r="T181" s="131"/>
    </row>
    <row r="182" spans="1:20" x14ac:dyDescent="0.3">
      <c r="A182" s="126"/>
      <c r="B182" s="127"/>
      <c r="C182" s="127"/>
      <c r="D182" s="127"/>
      <c r="E182" s="126"/>
      <c r="I182" s="127"/>
      <c r="J182" s="137"/>
      <c r="K182" s="130"/>
      <c r="L182" s="131"/>
      <c r="M182" s="130"/>
      <c r="N182" s="131"/>
      <c r="O182" s="130"/>
      <c r="P182" s="131"/>
      <c r="Q182" s="130"/>
      <c r="R182" s="131"/>
      <c r="S182" s="130"/>
      <c r="T182" s="131"/>
    </row>
    <row r="183" spans="1:20" x14ac:dyDescent="0.3">
      <c r="A183" s="126"/>
      <c r="B183" s="127"/>
      <c r="C183" s="127"/>
      <c r="D183" s="127"/>
      <c r="E183" s="126"/>
      <c r="I183" s="127"/>
      <c r="J183" s="137"/>
      <c r="K183" s="130"/>
      <c r="L183" s="131"/>
      <c r="M183" s="130"/>
      <c r="N183" s="131"/>
      <c r="O183" s="130"/>
      <c r="P183" s="131"/>
      <c r="Q183" s="130"/>
      <c r="R183" s="131"/>
      <c r="S183" s="130"/>
      <c r="T183" s="131"/>
    </row>
    <row r="184" spans="1:20" x14ac:dyDescent="0.3">
      <c r="A184" s="126"/>
      <c r="B184" s="127"/>
      <c r="C184" s="127"/>
      <c r="D184" s="127"/>
      <c r="E184" s="126"/>
      <c r="I184" s="127"/>
      <c r="J184" s="137"/>
      <c r="K184" s="130"/>
      <c r="L184" s="131"/>
      <c r="M184" s="130"/>
      <c r="N184" s="131"/>
      <c r="O184" s="130"/>
      <c r="P184" s="131"/>
      <c r="Q184" s="130"/>
      <c r="R184" s="131"/>
      <c r="S184" s="130"/>
      <c r="T184" s="131"/>
    </row>
    <row r="185" spans="1:20" x14ac:dyDescent="0.3">
      <c r="A185" s="126"/>
      <c r="B185" s="127"/>
      <c r="C185" s="127"/>
      <c r="D185" s="127"/>
      <c r="E185" s="126"/>
      <c r="I185" s="127"/>
      <c r="J185" s="137"/>
      <c r="K185" s="130"/>
      <c r="L185" s="131"/>
      <c r="M185" s="130"/>
      <c r="N185" s="131"/>
      <c r="O185" s="130"/>
      <c r="P185" s="131"/>
      <c r="Q185" s="130"/>
      <c r="R185" s="131"/>
      <c r="S185" s="130"/>
      <c r="T185" s="131"/>
    </row>
    <row r="186" spans="1:20" x14ac:dyDescent="0.3">
      <c r="A186" s="126"/>
      <c r="B186" s="127"/>
      <c r="C186" s="127"/>
      <c r="D186" s="127"/>
      <c r="E186" s="126"/>
      <c r="I186" s="127"/>
      <c r="J186" s="137"/>
      <c r="K186" s="130"/>
      <c r="L186" s="131"/>
      <c r="M186" s="130"/>
      <c r="N186" s="131"/>
      <c r="O186" s="130"/>
      <c r="P186" s="131"/>
      <c r="Q186" s="130"/>
      <c r="R186" s="131"/>
      <c r="S186" s="130"/>
      <c r="T186" s="131"/>
    </row>
    <row r="187" spans="1:20" x14ac:dyDescent="0.3">
      <c r="A187" s="126"/>
      <c r="B187" s="127"/>
      <c r="C187" s="127"/>
      <c r="D187" s="127"/>
      <c r="E187" s="126"/>
      <c r="I187" s="127"/>
      <c r="J187" s="137"/>
      <c r="K187" s="130"/>
      <c r="L187" s="131"/>
      <c r="M187" s="130"/>
      <c r="N187" s="131"/>
      <c r="O187" s="130"/>
      <c r="P187" s="131"/>
      <c r="Q187" s="130"/>
      <c r="R187" s="131"/>
      <c r="S187" s="130"/>
      <c r="T187" s="131"/>
    </row>
    <row r="188" spans="1:20" x14ac:dyDescent="0.3">
      <c r="A188" s="126"/>
      <c r="B188" s="127"/>
      <c r="C188" s="127"/>
      <c r="D188" s="127"/>
      <c r="E188" s="126"/>
      <c r="I188" s="127"/>
      <c r="J188" s="137"/>
      <c r="K188" s="130"/>
      <c r="L188" s="131"/>
      <c r="M188" s="130"/>
      <c r="N188" s="131"/>
      <c r="O188" s="130"/>
      <c r="P188" s="131"/>
      <c r="Q188" s="130"/>
      <c r="R188" s="131"/>
      <c r="S188" s="130"/>
      <c r="T188" s="131"/>
    </row>
    <row r="189" spans="1:20" x14ac:dyDescent="0.3">
      <c r="A189" s="126"/>
      <c r="B189" s="127"/>
      <c r="C189" s="127"/>
      <c r="D189" s="127"/>
      <c r="E189" s="126"/>
      <c r="I189" s="127"/>
      <c r="J189" s="137"/>
      <c r="K189" s="130"/>
      <c r="L189" s="131"/>
      <c r="M189" s="130"/>
      <c r="N189" s="131"/>
      <c r="O189" s="130"/>
      <c r="P189" s="131"/>
      <c r="Q189" s="130"/>
      <c r="R189" s="131"/>
      <c r="S189" s="130"/>
      <c r="T189" s="131"/>
    </row>
    <row r="190" spans="1:20" x14ac:dyDescent="0.3">
      <c r="A190" s="126"/>
      <c r="B190" s="127"/>
      <c r="C190" s="127"/>
      <c r="D190" s="127"/>
      <c r="E190" s="126"/>
      <c r="I190" s="127"/>
      <c r="J190" s="137"/>
      <c r="K190" s="130"/>
      <c r="L190" s="131"/>
      <c r="M190" s="130"/>
      <c r="N190" s="131"/>
      <c r="O190" s="130"/>
      <c r="P190" s="131"/>
      <c r="Q190" s="130"/>
      <c r="R190" s="131"/>
      <c r="S190" s="130"/>
      <c r="T190" s="131"/>
    </row>
    <row r="191" spans="1:20" x14ac:dyDescent="0.3">
      <c r="A191" s="126"/>
      <c r="B191" s="127"/>
      <c r="C191" s="127"/>
      <c r="D191" s="127"/>
      <c r="E191" s="126"/>
      <c r="I191" s="127"/>
      <c r="J191" s="137"/>
      <c r="K191" s="130"/>
      <c r="L191" s="131"/>
      <c r="M191" s="130"/>
      <c r="N191" s="131"/>
      <c r="O191" s="130"/>
      <c r="P191" s="131"/>
      <c r="Q191" s="130"/>
      <c r="R191" s="131"/>
      <c r="S191" s="130"/>
      <c r="T191" s="131"/>
    </row>
    <row r="192" spans="1:20" x14ac:dyDescent="0.3">
      <c r="A192" s="126"/>
      <c r="B192" s="127"/>
      <c r="C192" s="127"/>
      <c r="D192" s="127"/>
      <c r="E192" s="126"/>
      <c r="I192" s="127"/>
      <c r="J192" s="137"/>
      <c r="K192" s="130"/>
      <c r="L192" s="131"/>
      <c r="M192" s="130"/>
      <c r="N192" s="131"/>
      <c r="O192" s="130"/>
      <c r="P192" s="131"/>
      <c r="Q192" s="130"/>
      <c r="R192" s="131"/>
      <c r="S192" s="130"/>
      <c r="T192" s="131"/>
    </row>
    <row r="193" spans="1:20" x14ac:dyDescent="0.3">
      <c r="A193" s="126"/>
      <c r="B193" s="127"/>
      <c r="C193" s="127"/>
      <c r="D193" s="127"/>
      <c r="E193" s="126"/>
      <c r="I193" s="127"/>
      <c r="J193" s="137"/>
      <c r="K193" s="130"/>
      <c r="L193" s="131"/>
      <c r="M193" s="130"/>
      <c r="N193" s="131"/>
      <c r="O193" s="130"/>
      <c r="P193" s="131"/>
      <c r="Q193" s="130"/>
      <c r="R193" s="131"/>
      <c r="S193" s="130"/>
      <c r="T193" s="131"/>
    </row>
    <row r="194" spans="1:20" x14ac:dyDescent="0.3">
      <c r="A194" s="126"/>
      <c r="B194" s="127"/>
      <c r="C194" s="127"/>
      <c r="D194" s="127"/>
      <c r="E194" s="126"/>
      <c r="I194" s="127"/>
      <c r="J194" s="137"/>
      <c r="K194" s="130"/>
      <c r="L194" s="131"/>
      <c r="M194" s="130"/>
      <c r="N194" s="131"/>
      <c r="O194" s="130"/>
      <c r="P194" s="131"/>
      <c r="Q194" s="130"/>
      <c r="R194" s="131"/>
      <c r="S194" s="130"/>
      <c r="T194" s="131"/>
    </row>
    <row r="195" spans="1:20" x14ac:dyDescent="0.3">
      <c r="A195" s="126"/>
      <c r="B195" s="127"/>
      <c r="C195" s="127"/>
      <c r="D195" s="127"/>
      <c r="E195" s="126"/>
      <c r="I195" s="127"/>
      <c r="J195" s="137"/>
      <c r="K195" s="130"/>
      <c r="L195" s="131"/>
      <c r="M195" s="130"/>
      <c r="N195" s="131"/>
      <c r="O195" s="130"/>
      <c r="P195" s="131"/>
      <c r="Q195" s="130"/>
      <c r="R195" s="131"/>
      <c r="S195" s="130"/>
      <c r="T195" s="131"/>
    </row>
    <row r="196" spans="1:20" x14ac:dyDescent="0.3">
      <c r="A196" s="126"/>
      <c r="B196" s="127"/>
      <c r="C196" s="127"/>
      <c r="D196" s="127"/>
      <c r="E196" s="126"/>
      <c r="I196" s="127"/>
      <c r="J196" s="137"/>
      <c r="K196" s="130"/>
      <c r="L196" s="131"/>
      <c r="M196" s="130"/>
      <c r="N196" s="131"/>
      <c r="O196" s="130"/>
      <c r="P196" s="131"/>
      <c r="Q196" s="130"/>
      <c r="R196" s="131"/>
      <c r="S196" s="130"/>
      <c r="T196" s="131"/>
    </row>
    <row r="197" spans="1:20" x14ac:dyDescent="0.3">
      <c r="A197" s="126"/>
      <c r="B197" s="127"/>
      <c r="C197" s="127"/>
      <c r="D197" s="127"/>
      <c r="E197" s="126"/>
      <c r="I197" s="127"/>
      <c r="J197" s="137"/>
      <c r="K197" s="130"/>
      <c r="L197" s="131"/>
      <c r="M197" s="130"/>
      <c r="N197" s="131"/>
      <c r="O197" s="130"/>
      <c r="P197" s="131"/>
      <c r="Q197" s="130"/>
      <c r="R197" s="131"/>
      <c r="S197" s="130"/>
      <c r="T197" s="131"/>
    </row>
    <row r="198" spans="1:20" x14ac:dyDescent="0.3">
      <c r="A198" s="126"/>
      <c r="B198" s="127"/>
      <c r="C198" s="127"/>
      <c r="D198" s="127"/>
      <c r="E198" s="126"/>
      <c r="I198" s="127"/>
      <c r="J198" s="137"/>
      <c r="K198" s="130"/>
      <c r="L198" s="131"/>
      <c r="M198" s="130"/>
      <c r="N198" s="131"/>
      <c r="O198" s="130"/>
      <c r="P198" s="131"/>
      <c r="Q198" s="130"/>
      <c r="R198" s="131"/>
      <c r="S198" s="130"/>
      <c r="T198" s="131"/>
    </row>
    <row r="199" spans="1:20" x14ac:dyDescent="0.3">
      <c r="A199" s="126"/>
      <c r="B199" s="127"/>
      <c r="C199" s="127"/>
      <c r="D199" s="127"/>
      <c r="E199" s="126"/>
      <c r="I199" s="127"/>
      <c r="J199" s="137"/>
      <c r="K199" s="130"/>
      <c r="L199" s="131"/>
      <c r="M199" s="130"/>
      <c r="N199" s="131"/>
      <c r="O199" s="130"/>
      <c r="P199" s="131"/>
      <c r="Q199" s="130"/>
      <c r="R199" s="131"/>
      <c r="S199" s="130"/>
      <c r="T199" s="131"/>
    </row>
    <row r="200" spans="1:20" x14ac:dyDescent="0.3">
      <c r="A200" s="126"/>
      <c r="B200" s="127"/>
      <c r="C200" s="127"/>
      <c r="D200" s="127"/>
      <c r="E200" s="126"/>
      <c r="I200" s="127"/>
      <c r="J200" s="137"/>
      <c r="K200" s="130"/>
      <c r="L200" s="131"/>
      <c r="M200" s="130"/>
      <c r="N200" s="131"/>
      <c r="O200" s="130"/>
      <c r="P200" s="131"/>
      <c r="Q200" s="130"/>
      <c r="R200" s="131"/>
      <c r="S200" s="130"/>
      <c r="T200" s="131"/>
    </row>
    <row r="201" spans="1:20" x14ac:dyDescent="0.3">
      <c r="A201" s="126"/>
      <c r="B201" s="127"/>
      <c r="C201" s="127"/>
      <c r="D201" s="127"/>
      <c r="E201" s="126"/>
      <c r="I201" s="127"/>
      <c r="J201" s="137"/>
      <c r="K201" s="130"/>
      <c r="L201" s="131"/>
      <c r="M201" s="130"/>
      <c r="N201" s="131"/>
      <c r="O201" s="130"/>
      <c r="P201" s="131"/>
      <c r="Q201" s="130"/>
      <c r="R201" s="131"/>
      <c r="S201" s="130"/>
      <c r="T201" s="131"/>
    </row>
    <row r="202" spans="1:20" x14ac:dyDescent="0.3">
      <c r="A202" s="126"/>
      <c r="B202" s="127"/>
      <c r="C202" s="127"/>
      <c r="D202" s="127"/>
      <c r="E202" s="126"/>
      <c r="I202" s="127"/>
      <c r="J202" s="137"/>
      <c r="K202" s="130"/>
      <c r="L202" s="131"/>
      <c r="M202" s="130"/>
      <c r="N202" s="131"/>
      <c r="O202" s="130"/>
      <c r="P202" s="131"/>
      <c r="Q202" s="130"/>
      <c r="R202" s="131"/>
      <c r="S202" s="130"/>
      <c r="T202" s="131"/>
    </row>
  </sheetData>
  <sheetProtection algorithmName="SHA-512" hashValue="kve3kIK67Gwr4AynjzqzAcKDND5Pe1f6Rk6MZxrhan2sL0nZZO22S3Pl5YsnxMr7P6svd44eiD0Jecs4VdZR/A==" saltValue="UiXwoUmZT/x/lYGYEaiRIA==" spinCount="100000" sheet="1" objects="1" scenarios="1" formatCells="0" formatColumns="0" formatRows="0"/>
  <conditionalFormatting sqref="A3:B202 F3:H202">
    <cfRule type="expression" dxfId="69" priority="402">
      <formula>AND(COUNTA($A3:$T3)&gt;0,A3="")</formula>
    </cfRule>
  </conditionalFormatting>
  <conditionalFormatting sqref="A3:T3 A4:E202 I4:T202 F4:H202">
    <cfRule type="expression" dxfId="68" priority="399">
      <formula>AND(COUNTA($A3:$T3)=0,ROW()&lt;&gt;3)</formula>
    </cfRule>
  </conditionalFormatting>
  <conditionalFormatting sqref="G3:G202">
    <cfRule type="expression" dxfId="67" priority="6">
      <formula>F3="Other"</formula>
    </cfRule>
  </conditionalFormatting>
  <conditionalFormatting sqref="L3:L202">
    <cfRule type="expression" dxfId="66" priority="398">
      <formula>AND($K3="",COUNTA($K3:$L3)=0)</formula>
    </cfRule>
  </conditionalFormatting>
  <conditionalFormatting sqref="N3:N202">
    <cfRule type="expression" dxfId="65" priority="390">
      <formula>AND($M3="",COUNTA($M3:$N3)=0)</formula>
    </cfRule>
  </conditionalFormatting>
  <conditionalFormatting sqref="P3:P202">
    <cfRule type="expression" dxfId="64" priority="382">
      <formula>AND($O3="",COUNTA($O3:$P3)=0)</formula>
    </cfRule>
  </conditionalFormatting>
  <conditionalFormatting sqref="R3:R202">
    <cfRule type="expression" dxfId="63" priority="374">
      <formula>AND($Q3="",COUNTA($Q3:$R3)=0)</formula>
    </cfRule>
  </conditionalFormatting>
  <conditionalFormatting sqref="T3:T202">
    <cfRule type="expression" dxfId="62" priority="373">
      <formula>AND($S3="",COUNTA($S3:$XX3)=0)</formula>
    </cfRule>
  </conditionalFormatting>
  <dataValidations count="5">
    <dataValidation type="list" allowBlank="1" showInputMessage="1" showErrorMessage="1" sqref="E3:E202" xr:uid="{55D17724-4982-4E59-B45A-A832B7929D7D}">
      <formula1>Options_Calendarizing</formula1>
    </dataValidation>
    <dataValidation type="list" allowBlank="1" showInputMessage="1" showErrorMessage="1" sqref="A3:A202" xr:uid="{B7AD1EA1-E1DD-407A-8CA6-BFFBFC0AD403}">
      <formula1>List_Facilities</formula1>
    </dataValidation>
    <dataValidation type="list" allowBlank="1" showInputMessage="1" showErrorMessage="1" sqref="F3:F202" xr:uid="{64BB8103-8B50-4B3F-ABAF-829CDDE92381}">
      <formula1>Options_ScopeEmissions</formula1>
    </dataValidation>
    <dataValidation type="list" allowBlank="1" showInputMessage="1" sqref="G203:G202 G3:G202" xr:uid="{2AAF7CD2-C5FB-47DD-864A-34949D2C9781}">
      <formula1>IF(F3="Other","",Options_FugitiveEmissions)</formula1>
    </dataValidation>
    <dataValidation type="list" allowBlank="1" showInputMessage="1" showErrorMessage="1" sqref="H3:H202" xr:uid="{78BF7A7B-0DC4-47AF-9A59-5434925B9AE9}">
      <formula1>Units_Emissions</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4460211-89CD-41D4-8F88-0667F9B3BA10}">
          <x14:formula1>
            <xm:f>HIDE_EMISSION!$M$2:$M$6</xm:f>
          </x14:formula1>
          <xm:sqref>N3:N202 L3:L202 T3:T202 R3:R202 P3:P202</xm:sqref>
        </x14:dataValidation>
      </x14:dataValidations>
    </ext>
  </extLst>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259A3-B83E-4E14-8180-DCC89E2FDE37}">
  <sheetPr codeName="Sheet18">
    <tabColor rgb="FFD62728"/>
  </sheetPr>
  <dimension ref="A1:O201"/>
  <sheetViews>
    <sheetView topLeftCell="A2" workbookViewId="0">
      <selection activeCell="N20" sqref="N20"/>
    </sheetView>
  </sheetViews>
  <sheetFormatPr defaultColWidth="16.7265625" defaultRowHeight="14.5" x14ac:dyDescent="0.35"/>
  <sheetData>
    <row r="1" spans="1:15" ht="15" thickBot="1" x14ac:dyDescent="0.4">
      <c r="A1" t="s">
        <v>775</v>
      </c>
      <c r="B1">
        <f>COUNTIF(B3:B102,"?*")</f>
        <v>0</v>
      </c>
      <c r="C1">
        <f>COUNTIF(C3:C102,"?*")</f>
        <v>0</v>
      </c>
      <c r="D1">
        <f>COUNTIF(D3:D102,"?*")</f>
        <v>0</v>
      </c>
      <c r="E1">
        <f>COUNTIF(E3:E102,"?*")</f>
        <v>0</v>
      </c>
      <c r="F1">
        <f>COUNTIF(F3:F102,"?*")</f>
        <v>0</v>
      </c>
      <c r="J1" s="14" t="s">
        <v>720</v>
      </c>
      <c r="K1" s="14" t="s">
        <v>715</v>
      </c>
      <c r="L1" s="14" t="s">
        <v>716</v>
      </c>
      <c r="M1" s="14" t="s">
        <v>725</v>
      </c>
      <c r="N1" s="14" t="s">
        <v>724</v>
      </c>
      <c r="O1" s="14" t="s">
        <v>504</v>
      </c>
    </row>
    <row r="2" spans="1:15" ht="15" thickBot="1" x14ac:dyDescent="0.4">
      <c r="A2" s="12" t="s">
        <v>23</v>
      </c>
      <c r="B2" s="12" t="s">
        <v>760</v>
      </c>
      <c r="C2" s="12" t="s">
        <v>761</v>
      </c>
      <c r="D2" s="12" t="s">
        <v>762</v>
      </c>
      <c r="E2" s="12" t="s">
        <v>763</v>
      </c>
      <c r="F2" s="12" t="s">
        <v>764</v>
      </c>
      <c r="J2" s="4" t="s">
        <v>721</v>
      </c>
      <c r="K2" s="4" t="s">
        <v>647</v>
      </c>
      <c r="L2" s="4" t="s">
        <v>591</v>
      </c>
      <c r="M2" s="4" t="s">
        <v>535</v>
      </c>
      <c r="N2" s="4" t="str">
        <f t="shared" ref="N2:N7" si="0">"$/"&amp;L2</f>
        <v>$/lb</v>
      </c>
      <c r="O2" s="4" t="s">
        <v>505</v>
      </c>
    </row>
    <row r="3" spans="1:15" ht="15" thickBot="1" x14ac:dyDescent="0.4">
      <c r="A3" t="str">
        <f>IF('Other Emission Meters'!B3="",A2,'Other Emission Meters'!B3)</f>
        <v>Meter Numbers</v>
      </c>
      <c r="B3" t="str" cm="1">
        <f>IF(ISBLANK(INDEX(Array_EmissionChargeData,ROW()-2,(COLUMN())*2-3)),"",INDEX(Array_EmissionChargeData,ROW()-2,(COLUMN())*2-3))</f>
        <v/>
      </c>
      <c r="C3" t="str" cm="1">
        <f>IF(ISBLANK(INDEX(Array_EmissionChargeData,ROW()-2,(COLUMN())*2-3)),"",INDEX(Array_EmissionChargeData,ROW()-2,(COLUMN())*2-3))</f>
        <v/>
      </c>
      <c r="D3" t="str" cm="1">
        <f>IF(ISBLANK(INDEX(Array_EmissionChargeData,ROW()-2,(COLUMN())*2-3)),"",INDEX(Array_EmissionChargeData,ROW()-2,(COLUMN())*2-3))</f>
        <v/>
      </c>
      <c r="E3" t="str" cm="1">
        <f>IF(ISBLANK(INDEX(Array_EmissionChargeData,ROW()-2,(COLUMN())*2-3)),"",INDEX(Array_EmissionChargeData,ROW()-2,(COLUMN())*2-3))</f>
        <v/>
      </c>
      <c r="F3" t="str" cm="1">
        <f>IF(ISBLANK(INDEX(Array_EmissionChargeData,ROW()-2,(COLUMN())*2-3)),"",INDEX(Array_EmissionChargeData,ROW()-2,(COLUMN())*2-3))</f>
        <v/>
      </c>
      <c r="J3" t="s">
        <v>722</v>
      </c>
      <c r="K3" t="s">
        <v>648</v>
      </c>
      <c r="L3" t="s">
        <v>594</v>
      </c>
      <c r="M3" t="s">
        <v>27</v>
      </c>
      <c r="N3" t="str">
        <f t="shared" si="0"/>
        <v>$/kg</v>
      </c>
      <c r="O3" s="9" t="s">
        <v>506</v>
      </c>
    </row>
    <row r="4" spans="1:15" ht="15" thickBot="1" x14ac:dyDescent="0.4">
      <c r="A4" t="str">
        <f>IF('Other Emission Meters'!B4="",A3,'Other Emission Meters'!B4)</f>
        <v>Meter Numbers</v>
      </c>
      <c r="B4" t="str" cm="1">
        <f>IF(ISBLANK(INDEX(Array_EmissionChargeData,ROW()-2,(COLUMN())*2-3)),"",INDEX(Array_EmissionChargeData,ROW()-2,(COLUMN())*2-3))</f>
        <v/>
      </c>
      <c r="C4" t="str" cm="1">
        <f>IF(ISBLANK(INDEX(Array_EmissionChargeData,ROW()-2,(COLUMN())*2-3)),"",INDEX(Array_EmissionChargeData,ROW()-2,(COLUMN())*2-3))</f>
        <v/>
      </c>
      <c r="D4" t="str" cm="1">
        <f>IF(ISBLANK(INDEX(Array_EmissionChargeData,ROW()-2,(COLUMN())*2-3)),"",INDEX(Array_EmissionChargeData,ROW()-2,(COLUMN())*2-3))</f>
        <v/>
      </c>
      <c r="E4" t="str" cm="1">
        <f>IF(ISBLANK(INDEX(Array_EmissionChargeData,ROW()-2,(COLUMN())*2-3)),"",INDEX(Array_EmissionChargeData,ROW()-2,(COLUMN())*2-3))</f>
        <v/>
      </c>
      <c r="F4" t="str" cm="1">
        <f>IF(ISBLANK(INDEX(Array_EmissionChargeData,ROW()-2,(COLUMN())*2-3)),"",INDEX(Array_EmissionChargeData,ROW()-2,(COLUMN())*2-3))</f>
        <v/>
      </c>
      <c r="J4" s="8" t="s">
        <v>13</v>
      </c>
      <c r="K4" s="4" t="s">
        <v>649</v>
      </c>
      <c r="L4" s="4" t="s">
        <v>717</v>
      </c>
      <c r="M4" s="4" t="s">
        <v>28</v>
      </c>
      <c r="N4" s="4" t="str">
        <f t="shared" si="0"/>
        <v>$/Long Ton</v>
      </c>
    </row>
    <row r="5" spans="1:15" x14ac:dyDescent="0.35">
      <c r="A5" t="str">
        <f>IF('Other Emission Meters'!B5="",A4,'Other Emission Meters'!B5)</f>
        <v>Meter Numbers</v>
      </c>
      <c r="B5" t="str" cm="1">
        <f>IF(ISBLANK(INDEX(Array_EmissionChargeData,ROW()-2,(COLUMN())*2-3)),"",INDEX(Array_EmissionChargeData,ROW()-2,(COLUMN())*2-3))</f>
        <v/>
      </c>
      <c r="C5" t="str" cm="1">
        <f>IF(ISBLANK(INDEX(Array_EmissionChargeData,ROW()-2,(COLUMN())*2-3)),"",INDEX(Array_EmissionChargeData,ROW()-2,(COLUMN())*2-3))</f>
        <v/>
      </c>
      <c r="D5" t="str" cm="1">
        <f>IF(ISBLANK(INDEX(Array_EmissionChargeData,ROW()-2,(COLUMN())*2-3)),"",INDEX(Array_EmissionChargeData,ROW()-2,(COLUMN())*2-3))</f>
        <v/>
      </c>
      <c r="E5" t="str" cm="1">
        <f>IF(ISBLANK(INDEX(Array_EmissionChargeData,ROW()-2,(COLUMN())*2-3)),"",INDEX(Array_EmissionChargeData,ROW()-2,(COLUMN())*2-3))</f>
        <v/>
      </c>
      <c r="F5" t="str" cm="1">
        <f>IF(ISBLANK(INDEX(Array_EmissionChargeData,ROW()-2,(COLUMN())*2-3)),"",INDEX(Array_EmissionChargeData,ROW()-2,(COLUMN())*2-3))</f>
        <v/>
      </c>
      <c r="K5" t="s">
        <v>650</v>
      </c>
      <c r="L5" t="s">
        <v>718</v>
      </c>
      <c r="M5" t="s">
        <v>29</v>
      </c>
      <c r="N5" t="str">
        <f t="shared" si="0"/>
        <v>$/Short Ton</v>
      </c>
    </row>
    <row r="6" spans="1:15" ht="15" thickBot="1" x14ac:dyDescent="0.4">
      <c r="A6" t="str">
        <f>IF('Other Emission Meters'!B6="",A5,'Other Emission Meters'!B6)</f>
        <v>Meter Numbers</v>
      </c>
      <c r="B6" t="str" cm="1">
        <f>IF(ISBLANK(INDEX(Array_EmissionChargeData,ROW()-2,(COLUMN())*2-3)),"",INDEX(Array_EmissionChargeData,ROW()-2,(COLUMN())*2-3))</f>
        <v/>
      </c>
      <c r="C6" t="str" cm="1">
        <f>IF(ISBLANK(INDEX(Array_EmissionChargeData,ROW()-2,(COLUMN())*2-3)),"",INDEX(Array_EmissionChargeData,ROW()-2,(COLUMN())*2-3))</f>
        <v/>
      </c>
      <c r="D6" t="str" cm="1">
        <f>IF(ISBLANK(INDEX(Array_EmissionChargeData,ROW()-2,(COLUMN())*2-3)),"",INDEX(Array_EmissionChargeData,ROW()-2,(COLUMN())*2-3))</f>
        <v/>
      </c>
      <c r="E6" t="str" cm="1">
        <f>IF(ISBLANK(INDEX(Array_EmissionChargeData,ROW()-2,(COLUMN())*2-3)),"",INDEX(Array_EmissionChargeData,ROW()-2,(COLUMN())*2-3))</f>
        <v/>
      </c>
      <c r="F6" t="str" cm="1">
        <f>IF(ISBLANK(INDEX(Array_EmissionChargeData,ROW()-2,(COLUMN())*2-3)),"",INDEX(Array_EmissionChargeData,ROW()-2,(COLUMN())*2-3))</f>
        <v/>
      </c>
      <c r="K6" s="4" t="s">
        <v>651</v>
      </c>
      <c r="L6" s="4" t="s">
        <v>719</v>
      </c>
      <c r="M6" s="8" t="s">
        <v>13</v>
      </c>
      <c r="N6" s="4" t="str">
        <f t="shared" si="0"/>
        <v>$/Metric Tonne (tonnes)</v>
      </c>
    </row>
    <row r="7" spans="1:15" ht="15" thickBot="1" x14ac:dyDescent="0.4">
      <c r="A7" t="str">
        <f>IF('Other Emission Meters'!B7="",A6,'Other Emission Meters'!B7)</f>
        <v>Meter Numbers</v>
      </c>
      <c r="B7" t="str" cm="1">
        <f>IF(ISBLANK(INDEX(Array_EmissionChargeData,ROW()-2,(COLUMN())*2-3)),"",INDEX(Array_EmissionChargeData,ROW()-2,(COLUMN())*2-3))</f>
        <v/>
      </c>
      <c r="C7" t="str" cm="1">
        <f>IF(ISBLANK(INDEX(Array_EmissionChargeData,ROW()-2,(COLUMN())*2-3)),"",INDEX(Array_EmissionChargeData,ROW()-2,(COLUMN())*2-3))</f>
        <v/>
      </c>
      <c r="D7" t="str" cm="1">
        <f>IF(ISBLANK(INDEX(Array_EmissionChargeData,ROW()-2,(COLUMN())*2-3)),"",INDEX(Array_EmissionChargeData,ROW()-2,(COLUMN())*2-3))</f>
        <v/>
      </c>
      <c r="E7" t="str" cm="1">
        <f>IF(ISBLANK(INDEX(Array_EmissionChargeData,ROW()-2,(COLUMN())*2-3)),"",INDEX(Array_EmissionChargeData,ROW()-2,(COLUMN())*2-3))</f>
        <v/>
      </c>
      <c r="F7" t="str" cm="1">
        <f>IF(ISBLANK(INDEX(Array_EmissionChargeData,ROW()-2,(COLUMN())*2-3)),"",INDEX(Array_EmissionChargeData,ROW()-2,(COLUMN())*2-3))</f>
        <v/>
      </c>
      <c r="K7" t="s">
        <v>652</v>
      </c>
      <c r="L7" s="9" t="s">
        <v>592</v>
      </c>
      <c r="N7" s="9" t="str">
        <f t="shared" si="0"/>
        <v>$/klb</v>
      </c>
    </row>
    <row r="8" spans="1:15" x14ac:dyDescent="0.35">
      <c r="A8" t="str">
        <f>IF('Other Emission Meters'!B8="",A7,'Other Emission Meters'!B8)</f>
        <v>Meter Numbers</v>
      </c>
      <c r="B8" t="str" cm="1">
        <f>IF(ISBLANK(INDEX(Array_EmissionChargeData,ROW()-2,(COLUMN())*2-3)),"",INDEX(Array_EmissionChargeData,ROW()-2,(COLUMN())*2-3))</f>
        <v/>
      </c>
      <c r="C8" t="str" cm="1">
        <f>IF(ISBLANK(INDEX(Array_EmissionChargeData,ROW()-2,(COLUMN())*2-3)),"",INDEX(Array_EmissionChargeData,ROW()-2,(COLUMN())*2-3))</f>
        <v/>
      </c>
      <c r="D8" t="str" cm="1">
        <f>IF(ISBLANK(INDEX(Array_EmissionChargeData,ROW()-2,(COLUMN())*2-3)),"",INDEX(Array_EmissionChargeData,ROW()-2,(COLUMN())*2-3))</f>
        <v/>
      </c>
      <c r="E8" t="str" cm="1">
        <f>IF(ISBLANK(INDEX(Array_EmissionChargeData,ROW()-2,(COLUMN())*2-3)),"",INDEX(Array_EmissionChargeData,ROW()-2,(COLUMN())*2-3))</f>
        <v/>
      </c>
      <c r="F8" t="str" cm="1">
        <f>IF(ISBLANK(INDEX(Array_EmissionChargeData,ROW()-2,(COLUMN())*2-3)),"",INDEX(Array_EmissionChargeData,ROW()-2,(COLUMN())*2-3))</f>
        <v/>
      </c>
      <c r="K8" s="4" t="s">
        <v>653</v>
      </c>
    </row>
    <row r="9" spans="1:15" x14ac:dyDescent="0.35">
      <c r="A9" t="str">
        <f>IF('Other Emission Meters'!B9="",A8,'Other Emission Meters'!B9)</f>
        <v>Meter Numbers</v>
      </c>
      <c r="B9" t="str" cm="1">
        <f>IF(ISBLANK(INDEX(Array_EmissionChargeData,ROW()-2,(COLUMN())*2-3)),"",INDEX(Array_EmissionChargeData,ROW()-2,(COLUMN())*2-3))</f>
        <v/>
      </c>
      <c r="C9" t="str" cm="1">
        <f>IF(ISBLANK(INDEX(Array_EmissionChargeData,ROW()-2,(COLUMN())*2-3)),"",INDEX(Array_EmissionChargeData,ROW()-2,(COLUMN())*2-3))</f>
        <v/>
      </c>
      <c r="D9" t="str" cm="1">
        <f>IF(ISBLANK(INDEX(Array_EmissionChargeData,ROW()-2,(COLUMN())*2-3)),"",INDEX(Array_EmissionChargeData,ROW()-2,(COLUMN())*2-3))</f>
        <v/>
      </c>
      <c r="E9" t="str" cm="1">
        <f>IF(ISBLANK(INDEX(Array_EmissionChargeData,ROW()-2,(COLUMN())*2-3)),"",INDEX(Array_EmissionChargeData,ROW()-2,(COLUMN())*2-3))</f>
        <v/>
      </c>
      <c r="F9" t="str" cm="1">
        <f>IF(ISBLANK(INDEX(Array_EmissionChargeData,ROW()-2,(COLUMN())*2-3)),"",INDEX(Array_EmissionChargeData,ROW()-2,(COLUMN())*2-3))</f>
        <v/>
      </c>
      <c r="K9" t="s">
        <v>654</v>
      </c>
    </row>
    <row r="10" spans="1:15" x14ac:dyDescent="0.35">
      <c r="A10" t="str">
        <f>IF('Other Emission Meters'!B10="",A9,'Other Emission Meters'!B10)</f>
        <v>Meter Numbers</v>
      </c>
      <c r="B10" t="str" cm="1">
        <f>IF(ISBLANK(INDEX(Array_EmissionChargeData,ROW()-2,(COLUMN())*2-3)),"",INDEX(Array_EmissionChargeData,ROW()-2,(COLUMN())*2-3))</f>
        <v/>
      </c>
      <c r="C10" t="str" cm="1">
        <f>IF(ISBLANK(INDEX(Array_EmissionChargeData,ROW()-2,(COLUMN())*2-3)),"",INDEX(Array_EmissionChargeData,ROW()-2,(COLUMN())*2-3))</f>
        <v/>
      </c>
      <c r="D10" t="str" cm="1">
        <f>IF(ISBLANK(INDEX(Array_EmissionChargeData,ROW()-2,(COLUMN())*2-3)),"",INDEX(Array_EmissionChargeData,ROW()-2,(COLUMN())*2-3))</f>
        <v/>
      </c>
      <c r="E10" t="str" cm="1">
        <f>IF(ISBLANK(INDEX(Array_EmissionChargeData,ROW()-2,(COLUMN())*2-3)),"",INDEX(Array_EmissionChargeData,ROW()-2,(COLUMN())*2-3))</f>
        <v/>
      </c>
      <c r="F10" t="str" cm="1">
        <f>IF(ISBLANK(INDEX(Array_EmissionChargeData,ROW()-2,(COLUMN())*2-3)),"",INDEX(Array_EmissionChargeData,ROW()-2,(COLUMN())*2-3))</f>
        <v/>
      </c>
      <c r="K10" s="4" t="s">
        <v>655</v>
      </c>
    </row>
    <row r="11" spans="1:15" x14ac:dyDescent="0.35">
      <c r="A11" t="str">
        <f>IF('Other Emission Meters'!B11="",A10,'Other Emission Meters'!B11)</f>
        <v>Meter Numbers</v>
      </c>
      <c r="B11" t="str" cm="1">
        <f>IF(ISBLANK(INDEX(Array_EmissionChargeData,ROW()-2,(COLUMN())*2-3)),"",INDEX(Array_EmissionChargeData,ROW()-2,(COLUMN())*2-3))</f>
        <v/>
      </c>
      <c r="C11" t="str" cm="1">
        <f>IF(ISBLANK(INDEX(Array_EmissionChargeData,ROW()-2,(COLUMN())*2-3)),"",INDEX(Array_EmissionChargeData,ROW()-2,(COLUMN())*2-3))</f>
        <v/>
      </c>
      <c r="D11" t="str" cm="1">
        <f>IF(ISBLANK(INDEX(Array_EmissionChargeData,ROW()-2,(COLUMN())*2-3)),"",INDEX(Array_EmissionChargeData,ROW()-2,(COLUMN())*2-3))</f>
        <v/>
      </c>
      <c r="E11" t="str" cm="1">
        <f>IF(ISBLANK(INDEX(Array_EmissionChargeData,ROW()-2,(COLUMN())*2-3)),"",INDEX(Array_EmissionChargeData,ROW()-2,(COLUMN())*2-3))</f>
        <v/>
      </c>
      <c r="F11" t="str" cm="1">
        <f>IF(ISBLANK(INDEX(Array_EmissionChargeData,ROW()-2,(COLUMN())*2-3)),"",INDEX(Array_EmissionChargeData,ROW()-2,(COLUMN())*2-3))</f>
        <v/>
      </c>
      <c r="K11" t="s">
        <v>656</v>
      </c>
    </row>
    <row r="12" spans="1:15" x14ac:dyDescent="0.35">
      <c r="A12" t="str">
        <f>IF('Other Emission Meters'!B12="",A11,'Other Emission Meters'!B12)</f>
        <v>Meter Numbers</v>
      </c>
      <c r="B12" t="str" cm="1">
        <f>IF(ISBLANK(INDEX(Array_EmissionChargeData,ROW()-2,(COLUMN())*2-3)),"",INDEX(Array_EmissionChargeData,ROW()-2,(COLUMN())*2-3))</f>
        <v/>
      </c>
      <c r="C12" t="str" cm="1">
        <f>IF(ISBLANK(INDEX(Array_EmissionChargeData,ROW()-2,(COLUMN())*2-3)),"",INDEX(Array_EmissionChargeData,ROW()-2,(COLUMN())*2-3))</f>
        <v/>
      </c>
      <c r="D12" t="str" cm="1">
        <f>IF(ISBLANK(INDEX(Array_EmissionChargeData,ROW()-2,(COLUMN())*2-3)),"",INDEX(Array_EmissionChargeData,ROW()-2,(COLUMN())*2-3))</f>
        <v/>
      </c>
      <c r="E12" t="str" cm="1">
        <f>IF(ISBLANK(INDEX(Array_EmissionChargeData,ROW()-2,(COLUMN())*2-3)),"",INDEX(Array_EmissionChargeData,ROW()-2,(COLUMN())*2-3))</f>
        <v/>
      </c>
      <c r="F12" t="str" cm="1">
        <f>IF(ISBLANK(INDEX(Array_EmissionChargeData,ROW()-2,(COLUMN())*2-3)),"",INDEX(Array_EmissionChargeData,ROW()-2,(COLUMN())*2-3))</f>
        <v/>
      </c>
      <c r="K12" s="4" t="s">
        <v>657</v>
      </c>
    </row>
    <row r="13" spans="1:15" x14ac:dyDescent="0.35">
      <c r="A13" t="str">
        <f>IF('Other Emission Meters'!B13="",A12,'Other Emission Meters'!B13)</f>
        <v>Meter Numbers</v>
      </c>
      <c r="B13" t="str" cm="1">
        <f>IF(ISBLANK(INDEX(Array_EmissionChargeData,ROW()-2,(COLUMN())*2-3)),"",INDEX(Array_EmissionChargeData,ROW()-2,(COLUMN())*2-3))</f>
        <v/>
      </c>
      <c r="C13" t="str" cm="1">
        <f>IF(ISBLANK(INDEX(Array_EmissionChargeData,ROW()-2,(COLUMN())*2-3)),"",INDEX(Array_EmissionChargeData,ROW()-2,(COLUMN())*2-3))</f>
        <v/>
      </c>
      <c r="D13" t="str" cm="1">
        <f>IF(ISBLANK(INDEX(Array_EmissionChargeData,ROW()-2,(COLUMN())*2-3)),"",INDEX(Array_EmissionChargeData,ROW()-2,(COLUMN())*2-3))</f>
        <v/>
      </c>
      <c r="E13" t="str" cm="1">
        <f>IF(ISBLANK(INDEX(Array_EmissionChargeData,ROW()-2,(COLUMN())*2-3)),"",INDEX(Array_EmissionChargeData,ROW()-2,(COLUMN())*2-3))</f>
        <v/>
      </c>
      <c r="F13" t="str" cm="1">
        <f>IF(ISBLANK(INDEX(Array_EmissionChargeData,ROW()-2,(COLUMN())*2-3)),"",INDEX(Array_EmissionChargeData,ROW()-2,(COLUMN())*2-3))</f>
        <v/>
      </c>
      <c r="K13" t="s">
        <v>658</v>
      </c>
    </row>
    <row r="14" spans="1:15" x14ac:dyDescent="0.35">
      <c r="A14" t="str">
        <f>IF('Other Emission Meters'!B14="",A13,'Other Emission Meters'!B14)</f>
        <v>Meter Numbers</v>
      </c>
      <c r="B14" t="str" cm="1">
        <f>IF(ISBLANK(INDEX(Array_EmissionChargeData,ROW()-2,(COLUMN())*2-3)),"",INDEX(Array_EmissionChargeData,ROW()-2,(COLUMN())*2-3))</f>
        <v/>
      </c>
      <c r="C14" t="str" cm="1">
        <f>IF(ISBLANK(INDEX(Array_EmissionChargeData,ROW()-2,(COLUMN())*2-3)),"",INDEX(Array_EmissionChargeData,ROW()-2,(COLUMN())*2-3))</f>
        <v/>
      </c>
      <c r="D14" t="str" cm="1">
        <f>IF(ISBLANK(INDEX(Array_EmissionChargeData,ROW()-2,(COLUMN())*2-3)),"",INDEX(Array_EmissionChargeData,ROW()-2,(COLUMN())*2-3))</f>
        <v/>
      </c>
      <c r="E14" t="str" cm="1">
        <f>IF(ISBLANK(INDEX(Array_EmissionChargeData,ROW()-2,(COLUMN())*2-3)),"",INDEX(Array_EmissionChargeData,ROW()-2,(COLUMN())*2-3))</f>
        <v/>
      </c>
      <c r="F14" t="str" cm="1">
        <f>IF(ISBLANK(INDEX(Array_EmissionChargeData,ROW()-2,(COLUMN())*2-3)),"",INDEX(Array_EmissionChargeData,ROW()-2,(COLUMN())*2-3))</f>
        <v/>
      </c>
      <c r="K14" s="4" t="s">
        <v>659</v>
      </c>
    </row>
    <row r="15" spans="1:15" x14ac:dyDescent="0.35">
      <c r="A15" t="str">
        <f>IF('Other Emission Meters'!B15="",A14,'Other Emission Meters'!B15)</f>
        <v>Meter Numbers</v>
      </c>
      <c r="B15" t="str" cm="1">
        <f>IF(ISBLANK(INDEX(Array_EmissionChargeData,ROW()-2,(COLUMN())*2-3)),"",INDEX(Array_EmissionChargeData,ROW()-2,(COLUMN())*2-3))</f>
        <v/>
      </c>
      <c r="C15" t="str" cm="1">
        <f>IF(ISBLANK(INDEX(Array_EmissionChargeData,ROW()-2,(COLUMN())*2-3)),"",INDEX(Array_EmissionChargeData,ROW()-2,(COLUMN())*2-3))</f>
        <v/>
      </c>
      <c r="D15" t="str" cm="1">
        <f>IF(ISBLANK(INDEX(Array_EmissionChargeData,ROW()-2,(COLUMN())*2-3)),"",INDEX(Array_EmissionChargeData,ROW()-2,(COLUMN())*2-3))</f>
        <v/>
      </c>
      <c r="E15" t="str" cm="1">
        <f>IF(ISBLANK(INDEX(Array_EmissionChargeData,ROW()-2,(COLUMN())*2-3)),"",INDEX(Array_EmissionChargeData,ROW()-2,(COLUMN())*2-3))</f>
        <v/>
      </c>
      <c r="F15" t="str" cm="1">
        <f>IF(ISBLANK(INDEX(Array_EmissionChargeData,ROW()-2,(COLUMN())*2-3)),"",INDEX(Array_EmissionChargeData,ROW()-2,(COLUMN())*2-3))</f>
        <v/>
      </c>
      <c r="K15" t="s">
        <v>660</v>
      </c>
    </row>
    <row r="16" spans="1:15" x14ac:dyDescent="0.35">
      <c r="A16" t="str">
        <f>IF('Other Emission Meters'!B16="",A15,'Other Emission Meters'!B16)</f>
        <v>Meter Numbers</v>
      </c>
      <c r="B16" t="str" cm="1">
        <f>IF(ISBLANK(INDEX(Array_EmissionChargeData,ROW()-2,(COLUMN())*2-3)),"",INDEX(Array_EmissionChargeData,ROW()-2,(COLUMN())*2-3))</f>
        <v/>
      </c>
      <c r="C16" t="str" cm="1">
        <f>IF(ISBLANK(INDEX(Array_EmissionChargeData,ROW()-2,(COLUMN())*2-3)),"",INDEX(Array_EmissionChargeData,ROW()-2,(COLUMN())*2-3))</f>
        <v/>
      </c>
      <c r="D16" t="str" cm="1">
        <f>IF(ISBLANK(INDEX(Array_EmissionChargeData,ROW()-2,(COLUMN())*2-3)),"",INDEX(Array_EmissionChargeData,ROW()-2,(COLUMN())*2-3))</f>
        <v/>
      </c>
      <c r="E16" t="str" cm="1">
        <f>IF(ISBLANK(INDEX(Array_EmissionChargeData,ROW()-2,(COLUMN())*2-3)),"",INDEX(Array_EmissionChargeData,ROW()-2,(COLUMN())*2-3))</f>
        <v/>
      </c>
      <c r="F16" t="str" cm="1">
        <f>IF(ISBLANK(INDEX(Array_EmissionChargeData,ROW()-2,(COLUMN())*2-3)),"",INDEX(Array_EmissionChargeData,ROW()-2,(COLUMN())*2-3))</f>
        <v/>
      </c>
      <c r="K16" s="4" t="s">
        <v>661</v>
      </c>
    </row>
    <row r="17" spans="1:11" x14ac:dyDescent="0.35">
      <c r="A17" t="str">
        <f>IF('Other Emission Meters'!B17="",A16,'Other Emission Meters'!B17)</f>
        <v>Meter Numbers</v>
      </c>
      <c r="B17" t="str" cm="1">
        <f>IF(ISBLANK(INDEX(Array_EmissionChargeData,ROW()-2,(COLUMN())*2-3)),"",INDEX(Array_EmissionChargeData,ROW()-2,(COLUMN())*2-3))</f>
        <v/>
      </c>
      <c r="C17" t="str" cm="1">
        <f>IF(ISBLANK(INDEX(Array_EmissionChargeData,ROW()-2,(COLUMN())*2-3)),"",INDEX(Array_EmissionChargeData,ROW()-2,(COLUMN())*2-3))</f>
        <v/>
      </c>
      <c r="D17" t="str" cm="1">
        <f>IF(ISBLANK(INDEX(Array_EmissionChargeData,ROW()-2,(COLUMN())*2-3)),"",INDEX(Array_EmissionChargeData,ROW()-2,(COLUMN())*2-3))</f>
        <v/>
      </c>
      <c r="E17" t="str" cm="1">
        <f>IF(ISBLANK(INDEX(Array_EmissionChargeData,ROW()-2,(COLUMN())*2-3)),"",INDEX(Array_EmissionChargeData,ROW()-2,(COLUMN())*2-3))</f>
        <v/>
      </c>
      <c r="F17" t="str" cm="1">
        <f>IF(ISBLANK(INDEX(Array_EmissionChargeData,ROW()-2,(COLUMN())*2-3)),"",INDEX(Array_EmissionChargeData,ROW()-2,(COLUMN())*2-3))</f>
        <v/>
      </c>
      <c r="K17" t="s">
        <v>662</v>
      </c>
    </row>
    <row r="18" spans="1:11" x14ac:dyDescent="0.35">
      <c r="A18" t="str">
        <f>IF('Other Emission Meters'!B18="",A17,'Other Emission Meters'!B18)</f>
        <v>Meter Numbers</v>
      </c>
      <c r="B18" t="str" cm="1">
        <f>IF(ISBLANK(INDEX(Array_EmissionChargeData,ROW()-2,(COLUMN())*2-3)),"",INDEX(Array_EmissionChargeData,ROW()-2,(COLUMN())*2-3))</f>
        <v/>
      </c>
      <c r="C18" t="str" cm="1">
        <f>IF(ISBLANK(INDEX(Array_EmissionChargeData,ROW()-2,(COLUMN())*2-3)),"",INDEX(Array_EmissionChargeData,ROW()-2,(COLUMN())*2-3))</f>
        <v/>
      </c>
      <c r="D18" t="str" cm="1">
        <f>IF(ISBLANK(INDEX(Array_EmissionChargeData,ROW()-2,(COLUMN())*2-3)),"",INDEX(Array_EmissionChargeData,ROW()-2,(COLUMN())*2-3))</f>
        <v/>
      </c>
      <c r="E18" t="str" cm="1">
        <f>IF(ISBLANK(INDEX(Array_EmissionChargeData,ROW()-2,(COLUMN())*2-3)),"",INDEX(Array_EmissionChargeData,ROW()-2,(COLUMN())*2-3))</f>
        <v/>
      </c>
      <c r="F18" t="str" cm="1">
        <f>IF(ISBLANK(INDEX(Array_EmissionChargeData,ROW()-2,(COLUMN())*2-3)),"",INDEX(Array_EmissionChargeData,ROW()-2,(COLUMN())*2-3))</f>
        <v/>
      </c>
      <c r="K18" s="4" t="s">
        <v>663</v>
      </c>
    </row>
    <row r="19" spans="1:11" x14ac:dyDescent="0.35">
      <c r="A19" t="str">
        <f>IF('Other Emission Meters'!B19="",A18,'Other Emission Meters'!B19)</f>
        <v>Meter Numbers</v>
      </c>
      <c r="B19" t="str" cm="1">
        <f>IF(ISBLANK(INDEX(Array_EmissionChargeData,ROW()-2,(COLUMN())*2-3)),"",INDEX(Array_EmissionChargeData,ROW()-2,(COLUMN())*2-3))</f>
        <v/>
      </c>
      <c r="C19" t="str" cm="1">
        <f>IF(ISBLANK(INDEX(Array_EmissionChargeData,ROW()-2,(COLUMN())*2-3)),"",INDEX(Array_EmissionChargeData,ROW()-2,(COLUMN())*2-3))</f>
        <v/>
      </c>
      <c r="D19" t="str" cm="1">
        <f>IF(ISBLANK(INDEX(Array_EmissionChargeData,ROW()-2,(COLUMN())*2-3)),"",INDEX(Array_EmissionChargeData,ROW()-2,(COLUMN())*2-3))</f>
        <v/>
      </c>
      <c r="E19" t="str" cm="1">
        <f>IF(ISBLANK(INDEX(Array_EmissionChargeData,ROW()-2,(COLUMN())*2-3)),"",INDEX(Array_EmissionChargeData,ROW()-2,(COLUMN())*2-3))</f>
        <v/>
      </c>
      <c r="F19" t="str" cm="1">
        <f>IF(ISBLANK(INDEX(Array_EmissionChargeData,ROW()-2,(COLUMN())*2-3)),"",INDEX(Array_EmissionChargeData,ROW()-2,(COLUMN())*2-3))</f>
        <v/>
      </c>
      <c r="K19" t="s">
        <v>664</v>
      </c>
    </row>
    <row r="20" spans="1:11" x14ac:dyDescent="0.35">
      <c r="A20" t="str">
        <f>IF('Other Emission Meters'!B20="",A19,'Other Emission Meters'!B20)</f>
        <v>Meter Numbers</v>
      </c>
      <c r="B20" t="str" cm="1">
        <f>IF(ISBLANK(INDEX(Array_EmissionChargeData,ROW()-2,(COLUMN())*2-3)),"",INDEX(Array_EmissionChargeData,ROW()-2,(COLUMN())*2-3))</f>
        <v/>
      </c>
      <c r="C20" t="str" cm="1">
        <f>IF(ISBLANK(INDEX(Array_EmissionChargeData,ROW()-2,(COLUMN())*2-3)),"",INDEX(Array_EmissionChargeData,ROW()-2,(COLUMN())*2-3))</f>
        <v/>
      </c>
      <c r="D20" t="str" cm="1">
        <f>IF(ISBLANK(INDEX(Array_EmissionChargeData,ROW()-2,(COLUMN())*2-3)),"",INDEX(Array_EmissionChargeData,ROW()-2,(COLUMN())*2-3))</f>
        <v/>
      </c>
      <c r="E20" t="str" cm="1">
        <f>IF(ISBLANK(INDEX(Array_EmissionChargeData,ROW()-2,(COLUMN())*2-3)),"",INDEX(Array_EmissionChargeData,ROW()-2,(COLUMN())*2-3))</f>
        <v/>
      </c>
      <c r="F20" t="str" cm="1">
        <f>IF(ISBLANK(INDEX(Array_EmissionChargeData,ROW()-2,(COLUMN())*2-3)),"",INDEX(Array_EmissionChargeData,ROW()-2,(COLUMN())*2-3))</f>
        <v/>
      </c>
      <c r="K20" s="4" t="s">
        <v>665</v>
      </c>
    </row>
    <row r="21" spans="1:11" x14ac:dyDescent="0.35">
      <c r="A21" t="str">
        <f>IF('Other Emission Meters'!B21="",A20,'Other Emission Meters'!B21)</f>
        <v>Meter Numbers</v>
      </c>
      <c r="B21" t="str" cm="1">
        <f>IF(ISBLANK(INDEX(Array_EmissionChargeData,ROW()-2,(COLUMN())*2-3)),"",INDEX(Array_EmissionChargeData,ROW()-2,(COLUMN())*2-3))</f>
        <v/>
      </c>
      <c r="C21" t="str" cm="1">
        <f>IF(ISBLANK(INDEX(Array_EmissionChargeData,ROW()-2,(COLUMN())*2-3)),"",INDEX(Array_EmissionChargeData,ROW()-2,(COLUMN())*2-3))</f>
        <v/>
      </c>
      <c r="D21" t="str" cm="1">
        <f>IF(ISBLANK(INDEX(Array_EmissionChargeData,ROW()-2,(COLUMN())*2-3)),"",INDEX(Array_EmissionChargeData,ROW()-2,(COLUMN())*2-3))</f>
        <v/>
      </c>
      <c r="E21" t="str" cm="1">
        <f>IF(ISBLANK(INDEX(Array_EmissionChargeData,ROW()-2,(COLUMN())*2-3)),"",INDEX(Array_EmissionChargeData,ROW()-2,(COLUMN())*2-3))</f>
        <v/>
      </c>
      <c r="F21" t="str" cm="1">
        <f>IF(ISBLANK(INDEX(Array_EmissionChargeData,ROW()-2,(COLUMN())*2-3)),"",INDEX(Array_EmissionChargeData,ROW()-2,(COLUMN())*2-3))</f>
        <v/>
      </c>
      <c r="K21" t="s">
        <v>666</v>
      </c>
    </row>
    <row r="22" spans="1:11" x14ac:dyDescent="0.35">
      <c r="A22" t="str">
        <f>IF('Other Emission Meters'!B22="",A21,'Other Emission Meters'!B22)</f>
        <v>Meter Numbers</v>
      </c>
      <c r="B22" t="str" cm="1">
        <f>IF(ISBLANK(INDEX(Array_EmissionChargeData,ROW()-2,(COLUMN())*2-3)),"",INDEX(Array_EmissionChargeData,ROW()-2,(COLUMN())*2-3))</f>
        <v/>
      </c>
      <c r="C22" t="str" cm="1">
        <f>IF(ISBLANK(INDEX(Array_EmissionChargeData,ROW()-2,(COLUMN())*2-3)),"",INDEX(Array_EmissionChargeData,ROW()-2,(COLUMN())*2-3))</f>
        <v/>
      </c>
      <c r="D22" t="str" cm="1">
        <f>IF(ISBLANK(INDEX(Array_EmissionChargeData,ROW()-2,(COLUMN())*2-3)),"",INDEX(Array_EmissionChargeData,ROW()-2,(COLUMN())*2-3))</f>
        <v/>
      </c>
      <c r="E22" t="str" cm="1">
        <f>IF(ISBLANK(INDEX(Array_EmissionChargeData,ROW()-2,(COLUMN())*2-3)),"",INDEX(Array_EmissionChargeData,ROW()-2,(COLUMN())*2-3))</f>
        <v/>
      </c>
      <c r="F22" t="str" cm="1">
        <f>IF(ISBLANK(INDEX(Array_EmissionChargeData,ROW()-2,(COLUMN())*2-3)),"",INDEX(Array_EmissionChargeData,ROW()-2,(COLUMN())*2-3))</f>
        <v/>
      </c>
      <c r="K22" s="4" t="s">
        <v>667</v>
      </c>
    </row>
    <row r="23" spans="1:11" x14ac:dyDescent="0.35">
      <c r="A23" t="str">
        <f>IF('Other Emission Meters'!B23="",A22,'Other Emission Meters'!B23)</f>
        <v>Meter Numbers</v>
      </c>
      <c r="B23" t="str" cm="1">
        <f>IF(ISBLANK(INDEX(Array_EmissionChargeData,ROW()-2,(COLUMN())*2-3)),"",INDEX(Array_EmissionChargeData,ROW()-2,(COLUMN())*2-3))</f>
        <v/>
      </c>
      <c r="C23" t="str" cm="1">
        <f>IF(ISBLANK(INDEX(Array_EmissionChargeData,ROW()-2,(COLUMN())*2-3)),"",INDEX(Array_EmissionChargeData,ROW()-2,(COLUMN())*2-3))</f>
        <v/>
      </c>
      <c r="D23" t="str" cm="1">
        <f>IF(ISBLANK(INDEX(Array_EmissionChargeData,ROW()-2,(COLUMN())*2-3)),"",INDEX(Array_EmissionChargeData,ROW()-2,(COLUMN())*2-3))</f>
        <v/>
      </c>
      <c r="E23" t="str" cm="1">
        <f>IF(ISBLANK(INDEX(Array_EmissionChargeData,ROW()-2,(COLUMN())*2-3)),"",INDEX(Array_EmissionChargeData,ROW()-2,(COLUMN())*2-3))</f>
        <v/>
      </c>
      <c r="F23" t="str" cm="1">
        <f>IF(ISBLANK(INDEX(Array_EmissionChargeData,ROW()-2,(COLUMN())*2-3)),"",INDEX(Array_EmissionChargeData,ROW()-2,(COLUMN())*2-3))</f>
        <v/>
      </c>
      <c r="K23" t="s">
        <v>668</v>
      </c>
    </row>
    <row r="24" spans="1:11" x14ac:dyDescent="0.35">
      <c r="A24" t="str">
        <f>IF('Other Emission Meters'!B24="",A23,'Other Emission Meters'!B24)</f>
        <v>Meter Numbers</v>
      </c>
      <c r="B24" t="str" cm="1">
        <f>IF(ISBLANK(INDEX(Array_EmissionChargeData,ROW()-2,(COLUMN())*2-3)),"",INDEX(Array_EmissionChargeData,ROW()-2,(COLUMN())*2-3))</f>
        <v/>
      </c>
      <c r="C24" t="str" cm="1">
        <f>IF(ISBLANK(INDEX(Array_EmissionChargeData,ROW()-2,(COLUMN())*2-3)),"",INDEX(Array_EmissionChargeData,ROW()-2,(COLUMN())*2-3))</f>
        <v/>
      </c>
      <c r="D24" t="str" cm="1">
        <f>IF(ISBLANK(INDEX(Array_EmissionChargeData,ROW()-2,(COLUMN())*2-3)),"",INDEX(Array_EmissionChargeData,ROW()-2,(COLUMN())*2-3))</f>
        <v/>
      </c>
      <c r="E24" t="str" cm="1">
        <f>IF(ISBLANK(INDEX(Array_EmissionChargeData,ROW()-2,(COLUMN())*2-3)),"",INDEX(Array_EmissionChargeData,ROW()-2,(COLUMN())*2-3))</f>
        <v/>
      </c>
      <c r="F24" t="str" cm="1">
        <f>IF(ISBLANK(INDEX(Array_EmissionChargeData,ROW()-2,(COLUMN())*2-3)),"",INDEX(Array_EmissionChargeData,ROW()-2,(COLUMN())*2-3))</f>
        <v/>
      </c>
      <c r="K24" s="4" t="s">
        <v>669</v>
      </c>
    </row>
    <row r="25" spans="1:11" x14ac:dyDescent="0.35">
      <c r="A25" t="str">
        <f>IF('Other Emission Meters'!B25="",A24,'Other Emission Meters'!B25)</f>
        <v>Meter Numbers</v>
      </c>
      <c r="B25" t="str" cm="1">
        <f>IF(ISBLANK(INDEX(Array_EmissionChargeData,ROW()-2,(COLUMN())*2-3)),"",INDEX(Array_EmissionChargeData,ROW()-2,(COLUMN())*2-3))</f>
        <v/>
      </c>
      <c r="C25" t="str" cm="1">
        <f>IF(ISBLANK(INDEX(Array_EmissionChargeData,ROW()-2,(COLUMN())*2-3)),"",INDEX(Array_EmissionChargeData,ROW()-2,(COLUMN())*2-3))</f>
        <v/>
      </c>
      <c r="D25" t="str" cm="1">
        <f>IF(ISBLANK(INDEX(Array_EmissionChargeData,ROW()-2,(COLUMN())*2-3)),"",INDEX(Array_EmissionChargeData,ROW()-2,(COLUMN())*2-3))</f>
        <v/>
      </c>
      <c r="E25" t="str" cm="1">
        <f>IF(ISBLANK(INDEX(Array_EmissionChargeData,ROW()-2,(COLUMN())*2-3)),"",INDEX(Array_EmissionChargeData,ROW()-2,(COLUMN())*2-3))</f>
        <v/>
      </c>
      <c r="F25" t="str" cm="1">
        <f>IF(ISBLANK(INDEX(Array_EmissionChargeData,ROW()-2,(COLUMN())*2-3)),"",INDEX(Array_EmissionChargeData,ROW()-2,(COLUMN())*2-3))</f>
        <v/>
      </c>
      <c r="K25" t="s">
        <v>670</v>
      </c>
    </row>
    <row r="26" spans="1:11" x14ac:dyDescent="0.35">
      <c r="A26" t="str">
        <f>IF('Other Emission Meters'!B26="",A25,'Other Emission Meters'!B26)</f>
        <v>Meter Numbers</v>
      </c>
      <c r="B26" t="str" cm="1">
        <f>IF(ISBLANK(INDEX(Array_EmissionChargeData,ROW()-2,(COLUMN())*2-3)),"",INDEX(Array_EmissionChargeData,ROW()-2,(COLUMN())*2-3))</f>
        <v/>
      </c>
      <c r="C26" t="str" cm="1">
        <f>IF(ISBLANK(INDEX(Array_EmissionChargeData,ROW()-2,(COLUMN())*2-3)),"",INDEX(Array_EmissionChargeData,ROW()-2,(COLUMN())*2-3))</f>
        <v/>
      </c>
      <c r="D26" t="str" cm="1">
        <f>IF(ISBLANK(INDEX(Array_EmissionChargeData,ROW()-2,(COLUMN())*2-3)),"",INDEX(Array_EmissionChargeData,ROW()-2,(COLUMN())*2-3))</f>
        <v/>
      </c>
      <c r="E26" t="str" cm="1">
        <f>IF(ISBLANK(INDEX(Array_EmissionChargeData,ROW()-2,(COLUMN())*2-3)),"",INDEX(Array_EmissionChargeData,ROW()-2,(COLUMN())*2-3))</f>
        <v/>
      </c>
      <c r="F26" t="str" cm="1">
        <f>IF(ISBLANK(INDEX(Array_EmissionChargeData,ROW()-2,(COLUMN())*2-3)),"",INDEX(Array_EmissionChargeData,ROW()-2,(COLUMN())*2-3))</f>
        <v/>
      </c>
      <c r="K26" s="4" t="s">
        <v>671</v>
      </c>
    </row>
    <row r="27" spans="1:11" x14ac:dyDescent="0.35">
      <c r="A27" t="str">
        <f>IF('Other Emission Meters'!B27="",A26,'Other Emission Meters'!B27)</f>
        <v>Meter Numbers</v>
      </c>
      <c r="B27" t="str" cm="1">
        <f>IF(ISBLANK(INDEX(Array_EmissionChargeData,ROW()-2,(COLUMN())*2-3)),"",INDEX(Array_EmissionChargeData,ROW()-2,(COLUMN())*2-3))</f>
        <v/>
      </c>
      <c r="C27" t="str" cm="1">
        <f>IF(ISBLANK(INDEX(Array_EmissionChargeData,ROW()-2,(COLUMN())*2-3)),"",INDEX(Array_EmissionChargeData,ROW()-2,(COLUMN())*2-3))</f>
        <v/>
      </c>
      <c r="D27" t="str" cm="1">
        <f>IF(ISBLANK(INDEX(Array_EmissionChargeData,ROW()-2,(COLUMN())*2-3)),"",INDEX(Array_EmissionChargeData,ROW()-2,(COLUMN())*2-3))</f>
        <v/>
      </c>
      <c r="E27" t="str" cm="1">
        <f>IF(ISBLANK(INDEX(Array_EmissionChargeData,ROW()-2,(COLUMN())*2-3)),"",INDEX(Array_EmissionChargeData,ROW()-2,(COLUMN())*2-3))</f>
        <v/>
      </c>
      <c r="F27" t="str" cm="1">
        <f>IF(ISBLANK(INDEX(Array_EmissionChargeData,ROW()-2,(COLUMN())*2-3)),"",INDEX(Array_EmissionChargeData,ROW()-2,(COLUMN())*2-3))</f>
        <v/>
      </c>
      <c r="K27" t="s">
        <v>672</v>
      </c>
    </row>
    <row r="28" spans="1:11" x14ac:dyDescent="0.35">
      <c r="A28" t="str">
        <f>IF('Other Emission Meters'!B28="",A27,'Other Emission Meters'!B28)</f>
        <v>Meter Numbers</v>
      </c>
      <c r="B28" t="str" cm="1">
        <f>IF(ISBLANK(INDEX(Array_EmissionChargeData,ROW()-2,(COLUMN())*2-3)),"",INDEX(Array_EmissionChargeData,ROW()-2,(COLUMN())*2-3))</f>
        <v/>
      </c>
      <c r="C28" t="str" cm="1">
        <f>IF(ISBLANK(INDEX(Array_EmissionChargeData,ROW()-2,(COLUMN())*2-3)),"",INDEX(Array_EmissionChargeData,ROW()-2,(COLUMN())*2-3))</f>
        <v/>
      </c>
      <c r="D28" t="str" cm="1">
        <f>IF(ISBLANK(INDEX(Array_EmissionChargeData,ROW()-2,(COLUMN())*2-3)),"",INDEX(Array_EmissionChargeData,ROW()-2,(COLUMN())*2-3))</f>
        <v/>
      </c>
      <c r="E28" t="str" cm="1">
        <f>IF(ISBLANK(INDEX(Array_EmissionChargeData,ROW()-2,(COLUMN())*2-3)),"",INDEX(Array_EmissionChargeData,ROW()-2,(COLUMN())*2-3))</f>
        <v/>
      </c>
      <c r="F28" t="str" cm="1">
        <f>IF(ISBLANK(INDEX(Array_EmissionChargeData,ROW()-2,(COLUMN())*2-3)),"",INDEX(Array_EmissionChargeData,ROW()-2,(COLUMN())*2-3))</f>
        <v/>
      </c>
      <c r="K28" s="4" t="s">
        <v>673</v>
      </c>
    </row>
    <row r="29" spans="1:11" x14ac:dyDescent="0.35">
      <c r="A29" t="str">
        <f>IF('Other Emission Meters'!B29="",A28,'Other Emission Meters'!B29)</f>
        <v>Meter Numbers</v>
      </c>
      <c r="B29" t="str" cm="1">
        <f>IF(ISBLANK(INDEX(Array_EmissionChargeData,ROW()-2,(COLUMN())*2-3)),"",INDEX(Array_EmissionChargeData,ROW()-2,(COLUMN())*2-3))</f>
        <v/>
      </c>
      <c r="C29" t="str" cm="1">
        <f>IF(ISBLANK(INDEX(Array_EmissionChargeData,ROW()-2,(COLUMN())*2-3)),"",INDEX(Array_EmissionChargeData,ROW()-2,(COLUMN())*2-3))</f>
        <v/>
      </c>
      <c r="D29" t="str" cm="1">
        <f>IF(ISBLANK(INDEX(Array_EmissionChargeData,ROW()-2,(COLUMN())*2-3)),"",INDEX(Array_EmissionChargeData,ROW()-2,(COLUMN())*2-3))</f>
        <v/>
      </c>
      <c r="E29" t="str" cm="1">
        <f>IF(ISBLANK(INDEX(Array_EmissionChargeData,ROW()-2,(COLUMN())*2-3)),"",INDEX(Array_EmissionChargeData,ROW()-2,(COLUMN())*2-3))</f>
        <v/>
      </c>
      <c r="F29" t="str" cm="1">
        <f>IF(ISBLANK(INDEX(Array_EmissionChargeData,ROW()-2,(COLUMN())*2-3)),"",INDEX(Array_EmissionChargeData,ROW()-2,(COLUMN())*2-3))</f>
        <v/>
      </c>
      <c r="K29" t="s">
        <v>674</v>
      </c>
    </row>
    <row r="30" spans="1:11" x14ac:dyDescent="0.35">
      <c r="A30" t="str">
        <f>IF('Other Emission Meters'!B30="",A29,'Other Emission Meters'!B30)</f>
        <v>Meter Numbers</v>
      </c>
      <c r="B30" t="str" cm="1">
        <f>IF(ISBLANK(INDEX(Array_EmissionChargeData,ROW()-2,(COLUMN())*2-3)),"",INDEX(Array_EmissionChargeData,ROW()-2,(COLUMN())*2-3))</f>
        <v/>
      </c>
      <c r="C30" t="str" cm="1">
        <f>IF(ISBLANK(INDEX(Array_EmissionChargeData,ROW()-2,(COLUMN())*2-3)),"",INDEX(Array_EmissionChargeData,ROW()-2,(COLUMN())*2-3))</f>
        <v/>
      </c>
      <c r="D30" t="str" cm="1">
        <f>IF(ISBLANK(INDEX(Array_EmissionChargeData,ROW()-2,(COLUMN())*2-3)),"",INDEX(Array_EmissionChargeData,ROW()-2,(COLUMN())*2-3))</f>
        <v/>
      </c>
      <c r="E30" t="str" cm="1">
        <f>IF(ISBLANK(INDEX(Array_EmissionChargeData,ROW()-2,(COLUMN())*2-3)),"",INDEX(Array_EmissionChargeData,ROW()-2,(COLUMN())*2-3))</f>
        <v/>
      </c>
      <c r="F30" t="str" cm="1">
        <f>IF(ISBLANK(INDEX(Array_EmissionChargeData,ROW()-2,(COLUMN())*2-3)),"",INDEX(Array_EmissionChargeData,ROW()-2,(COLUMN())*2-3))</f>
        <v/>
      </c>
      <c r="K30" s="4" t="s">
        <v>675</v>
      </c>
    </row>
    <row r="31" spans="1:11" x14ac:dyDescent="0.35">
      <c r="A31" t="str">
        <f>IF('Other Emission Meters'!B31="",A30,'Other Emission Meters'!B31)</f>
        <v>Meter Numbers</v>
      </c>
      <c r="B31" t="str" cm="1">
        <f>IF(ISBLANK(INDEX(Array_EmissionChargeData,ROW()-2,(COLUMN())*2-3)),"",INDEX(Array_EmissionChargeData,ROW()-2,(COLUMN())*2-3))</f>
        <v/>
      </c>
      <c r="C31" t="str" cm="1">
        <f>IF(ISBLANK(INDEX(Array_EmissionChargeData,ROW()-2,(COLUMN())*2-3)),"",INDEX(Array_EmissionChargeData,ROW()-2,(COLUMN())*2-3))</f>
        <v/>
      </c>
      <c r="D31" t="str" cm="1">
        <f>IF(ISBLANK(INDEX(Array_EmissionChargeData,ROW()-2,(COLUMN())*2-3)),"",INDEX(Array_EmissionChargeData,ROW()-2,(COLUMN())*2-3))</f>
        <v/>
      </c>
      <c r="E31" t="str" cm="1">
        <f>IF(ISBLANK(INDEX(Array_EmissionChargeData,ROW()-2,(COLUMN())*2-3)),"",INDEX(Array_EmissionChargeData,ROW()-2,(COLUMN())*2-3))</f>
        <v/>
      </c>
      <c r="F31" t="str" cm="1">
        <f>IF(ISBLANK(INDEX(Array_EmissionChargeData,ROW()-2,(COLUMN())*2-3)),"",INDEX(Array_EmissionChargeData,ROW()-2,(COLUMN())*2-3))</f>
        <v/>
      </c>
      <c r="K31" t="s">
        <v>676</v>
      </c>
    </row>
    <row r="32" spans="1:11" x14ac:dyDescent="0.35">
      <c r="A32" t="str">
        <f>IF('Other Emission Meters'!B32="",A31,'Other Emission Meters'!B32)</f>
        <v>Meter Numbers</v>
      </c>
      <c r="B32" t="str" cm="1">
        <f>IF(ISBLANK(INDEX(Array_EmissionChargeData,ROW()-2,(COLUMN())*2-3)),"",INDEX(Array_EmissionChargeData,ROW()-2,(COLUMN())*2-3))</f>
        <v/>
      </c>
      <c r="C32" t="str" cm="1">
        <f>IF(ISBLANK(INDEX(Array_EmissionChargeData,ROW()-2,(COLUMN())*2-3)),"",INDEX(Array_EmissionChargeData,ROW()-2,(COLUMN())*2-3))</f>
        <v/>
      </c>
      <c r="D32" t="str" cm="1">
        <f>IF(ISBLANK(INDEX(Array_EmissionChargeData,ROW()-2,(COLUMN())*2-3)),"",INDEX(Array_EmissionChargeData,ROW()-2,(COLUMN())*2-3))</f>
        <v/>
      </c>
      <c r="E32" t="str" cm="1">
        <f>IF(ISBLANK(INDEX(Array_EmissionChargeData,ROW()-2,(COLUMN())*2-3)),"",INDEX(Array_EmissionChargeData,ROW()-2,(COLUMN())*2-3))</f>
        <v/>
      </c>
      <c r="F32" t="str" cm="1">
        <f>IF(ISBLANK(INDEX(Array_EmissionChargeData,ROW()-2,(COLUMN())*2-3)),"",INDEX(Array_EmissionChargeData,ROW()-2,(COLUMN())*2-3))</f>
        <v/>
      </c>
      <c r="K32" s="4" t="s">
        <v>677</v>
      </c>
    </row>
    <row r="33" spans="1:11" x14ac:dyDescent="0.35">
      <c r="A33" t="str">
        <f>IF('Other Emission Meters'!B33="",A32,'Other Emission Meters'!B33)</f>
        <v>Meter Numbers</v>
      </c>
      <c r="B33" t="str" cm="1">
        <f>IF(ISBLANK(INDEX(Array_EmissionChargeData,ROW()-2,(COLUMN())*2-3)),"",INDEX(Array_EmissionChargeData,ROW()-2,(COLUMN())*2-3))</f>
        <v/>
      </c>
      <c r="C33" t="str" cm="1">
        <f>IF(ISBLANK(INDEX(Array_EmissionChargeData,ROW()-2,(COLUMN())*2-3)),"",INDEX(Array_EmissionChargeData,ROW()-2,(COLUMN())*2-3))</f>
        <v/>
      </c>
      <c r="D33" t="str" cm="1">
        <f>IF(ISBLANK(INDEX(Array_EmissionChargeData,ROW()-2,(COLUMN())*2-3)),"",INDEX(Array_EmissionChargeData,ROW()-2,(COLUMN())*2-3))</f>
        <v/>
      </c>
      <c r="E33" t="str" cm="1">
        <f>IF(ISBLANK(INDEX(Array_EmissionChargeData,ROW()-2,(COLUMN())*2-3)),"",INDEX(Array_EmissionChargeData,ROW()-2,(COLUMN())*2-3))</f>
        <v/>
      </c>
      <c r="F33" t="str" cm="1">
        <f>IF(ISBLANK(INDEX(Array_EmissionChargeData,ROW()-2,(COLUMN())*2-3)),"",INDEX(Array_EmissionChargeData,ROW()-2,(COLUMN())*2-3))</f>
        <v/>
      </c>
      <c r="K33" t="s">
        <v>678</v>
      </c>
    </row>
    <row r="34" spans="1:11" x14ac:dyDescent="0.35">
      <c r="A34" t="str">
        <f>IF('Other Emission Meters'!B34="",A33,'Other Emission Meters'!B34)</f>
        <v>Meter Numbers</v>
      </c>
      <c r="B34" t="str" cm="1">
        <f>IF(ISBLANK(INDEX(Array_EmissionChargeData,ROW()-2,(COLUMN())*2-3)),"",INDEX(Array_EmissionChargeData,ROW()-2,(COLUMN())*2-3))</f>
        <v/>
      </c>
      <c r="C34" t="str" cm="1">
        <f>IF(ISBLANK(INDEX(Array_EmissionChargeData,ROW()-2,(COLUMN())*2-3)),"",INDEX(Array_EmissionChargeData,ROW()-2,(COLUMN())*2-3))</f>
        <v/>
      </c>
      <c r="D34" t="str" cm="1">
        <f>IF(ISBLANK(INDEX(Array_EmissionChargeData,ROW()-2,(COLUMN())*2-3)),"",INDEX(Array_EmissionChargeData,ROW()-2,(COLUMN())*2-3))</f>
        <v/>
      </c>
      <c r="E34" t="str" cm="1">
        <f>IF(ISBLANK(INDEX(Array_EmissionChargeData,ROW()-2,(COLUMN())*2-3)),"",INDEX(Array_EmissionChargeData,ROW()-2,(COLUMN())*2-3))</f>
        <v/>
      </c>
      <c r="F34" t="str" cm="1">
        <f>IF(ISBLANK(INDEX(Array_EmissionChargeData,ROW()-2,(COLUMN())*2-3)),"",INDEX(Array_EmissionChargeData,ROW()-2,(COLUMN())*2-3))</f>
        <v/>
      </c>
      <c r="K34" s="4" t="s">
        <v>679</v>
      </c>
    </row>
    <row r="35" spans="1:11" x14ac:dyDescent="0.35">
      <c r="A35" t="str">
        <f>IF('Other Emission Meters'!B35="",A34,'Other Emission Meters'!B35)</f>
        <v>Meter Numbers</v>
      </c>
      <c r="B35" t="str" cm="1">
        <f>IF(ISBLANK(INDEX(Array_EmissionChargeData,ROW()-2,(COLUMN())*2-3)),"",INDEX(Array_EmissionChargeData,ROW()-2,(COLUMN())*2-3))</f>
        <v/>
      </c>
      <c r="C35" t="str" cm="1">
        <f>IF(ISBLANK(INDEX(Array_EmissionChargeData,ROW()-2,(COLUMN())*2-3)),"",INDEX(Array_EmissionChargeData,ROW()-2,(COLUMN())*2-3))</f>
        <v/>
      </c>
      <c r="D35" t="str" cm="1">
        <f>IF(ISBLANK(INDEX(Array_EmissionChargeData,ROW()-2,(COLUMN())*2-3)),"",INDEX(Array_EmissionChargeData,ROW()-2,(COLUMN())*2-3))</f>
        <v/>
      </c>
      <c r="E35" t="str" cm="1">
        <f>IF(ISBLANK(INDEX(Array_EmissionChargeData,ROW()-2,(COLUMN())*2-3)),"",INDEX(Array_EmissionChargeData,ROW()-2,(COLUMN())*2-3))</f>
        <v/>
      </c>
      <c r="F35" t="str" cm="1">
        <f>IF(ISBLANK(INDEX(Array_EmissionChargeData,ROW()-2,(COLUMN())*2-3)),"",INDEX(Array_EmissionChargeData,ROW()-2,(COLUMN())*2-3))</f>
        <v/>
      </c>
      <c r="K35" t="s">
        <v>680</v>
      </c>
    </row>
    <row r="36" spans="1:11" x14ac:dyDescent="0.35">
      <c r="A36" t="str">
        <f>IF('Other Emission Meters'!B36="",A35,'Other Emission Meters'!B36)</f>
        <v>Meter Numbers</v>
      </c>
      <c r="B36" t="str" cm="1">
        <f>IF(ISBLANK(INDEX(Array_EmissionChargeData,ROW()-2,(COLUMN())*2-3)),"",INDEX(Array_EmissionChargeData,ROW()-2,(COLUMN())*2-3))</f>
        <v/>
      </c>
      <c r="C36" t="str" cm="1">
        <f>IF(ISBLANK(INDEX(Array_EmissionChargeData,ROW()-2,(COLUMN())*2-3)),"",INDEX(Array_EmissionChargeData,ROW()-2,(COLUMN())*2-3))</f>
        <v/>
      </c>
      <c r="D36" t="str" cm="1">
        <f>IF(ISBLANK(INDEX(Array_EmissionChargeData,ROW()-2,(COLUMN())*2-3)),"",INDEX(Array_EmissionChargeData,ROW()-2,(COLUMN())*2-3))</f>
        <v/>
      </c>
      <c r="E36" t="str" cm="1">
        <f>IF(ISBLANK(INDEX(Array_EmissionChargeData,ROW()-2,(COLUMN())*2-3)),"",INDEX(Array_EmissionChargeData,ROW()-2,(COLUMN())*2-3))</f>
        <v/>
      </c>
      <c r="F36" t="str" cm="1">
        <f>IF(ISBLANK(INDEX(Array_EmissionChargeData,ROW()-2,(COLUMN())*2-3)),"",INDEX(Array_EmissionChargeData,ROW()-2,(COLUMN())*2-3))</f>
        <v/>
      </c>
      <c r="K36" s="4" t="s">
        <v>681</v>
      </c>
    </row>
    <row r="37" spans="1:11" x14ac:dyDescent="0.35">
      <c r="A37" t="str">
        <f>IF('Other Emission Meters'!B37="",A36,'Other Emission Meters'!B37)</f>
        <v>Meter Numbers</v>
      </c>
      <c r="B37" t="str" cm="1">
        <f>IF(ISBLANK(INDEX(Array_EmissionChargeData,ROW()-2,(COLUMN())*2-3)),"",INDEX(Array_EmissionChargeData,ROW()-2,(COLUMN())*2-3))</f>
        <v/>
      </c>
      <c r="C37" t="str" cm="1">
        <f>IF(ISBLANK(INDEX(Array_EmissionChargeData,ROW()-2,(COLUMN())*2-3)),"",INDEX(Array_EmissionChargeData,ROW()-2,(COLUMN())*2-3))</f>
        <v/>
      </c>
      <c r="D37" t="str" cm="1">
        <f>IF(ISBLANK(INDEX(Array_EmissionChargeData,ROW()-2,(COLUMN())*2-3)),"",INDEX(Array_EmissionChargeData,ROW()-2,(COLUMN())*2-3))</f>
        <v/>
      </c>
      <c r="E37" t="str" cm="1">
        <f>IF(ISBLANK(INDEX(Array_EmissionChargeData,ROW()-2,(COLUMN())*2-3)),"",INDEX(Array_EmissionChargeData,ROW()-2,(COLUMN())*2-3))</f>
        <v/>
      </c>
      <c r="F37" t="str" cm="1">
        <f>IF(ISBLANK(INDEX(Array_EmissionChargeData,ROW()-2,(COLUMN())*2-3)),"",INDEX(Array_EmissionChargeData,ROW()-2,(COLUMN())*2-3))</f>
        <v/>
      </c>
      <c r="K37" t="s">
        <v>682</v>
      </c>
    </row>
    <row r="38" spans="1:11" x14ac:dyDescent="0.35">
      <c r="A38" t="str">
        <f>IF('Other Emission Meters'!B38="",A37,'Other Emission Meters'!B38)</f>
        <v>Meter Numbers</v>
      </c>
      <c r="B38" t="str" cm="1">
        <f>IF(ISBLANK(INDEX(Array_EmissionChargeData,ROW()-2,(COLUMN())*2-3)),"",INDEX(Array_EmissionChargeData,ROW()-2,(COLUMN())*2-3))</f>
        <v/>
      </c>
      <c r="C38" t="str" cm="1">
        <f>IF(ISBLANK(INDEX(Array_EmissionChargeData,ROW()-2,(COLUMN())*2-3)),"",INDEX(Array_EmissionChargeData,ROW()-2,(COLUMN())*2-3))</f>
        <v/>
      </c>
      <c r="D38" t="str" cm="1">
        <f>IF(ISBLANK(INDEX(Array_EmissionChargeData,ROW()-2,(COLUMN())*2-3)),"",INDEX(Array_EmissionChargeData,ROW()-2,(COLUMN())*2-3))</f>
        <v/>
      </c>
      <c r="E38" t="str" cm="1">
        <f>IF(ISBLANK(INDEX(Array_EmissionChargeData,ROW()-2,(COLUMN())*2-3)),"",INDEX(Array_EmissionChargeData,ROW()-2,(COLUMN())*2-3))</f>
        <v/>
      </c>
      <c r="F38" t="str" cm="1">
        <f>IF(ISBLANK(INDEX(Array_EmissionChargeData,ROW()-2,(COLUMN())*2-3)),"",INDEX(Array_EmissionChargeData,ROW()-2,(COLUMN())*2-3))</f>
        <v/>
      </c>
      <c r="K38" s="4" t="s">
        <v>683</v>
      </c>
    </row>
    <row r="39" spans="1:11" x14ac:dyDescent="0.35">
      <c r="A39" t="str">
        <f>IF('Other Emission Meters'!B39="",A38,'Other Emission Meters'!B39)</f>
        <v>Meter Numbers</v>
      </c>
      <c r="B39" t="str" cm="1">
        <f>IF(ISBLANK(INDEX(Array_EmissionChargeData,ROW()-2,(COLUMN())*2-3)),"",INDEX(Array_EmissionChargeData,ROW()-2,(COLUMN())*2-3))</f>
        <v/>
      </c>
      <c r="C39" t="str" cm="1">
        <f>IF(ISBLANK(INDEX(Array_EmissionChargeData,ROW()-2,(COLUMN())*2-3)),"",INDEX(Array_EmissionChargeData,ROW()-2,(COLUMN())*2-3))</f>
        <v/>
      </c>
      <c r="D39" t="str" cm="1">
        <f>IF(ISBLANK(INDEX(Array_EmissionChargeData,ROW()-2,(COLUMN())*2-3)),"",INDEX(Array_EmissionChargeData,ROW()-2,(COLUMN())*2-3))</f>
        <v/>
      </c>
      <c r="E39" t="str" cm="1">
        <f>IF(ISBLANK(INDEX(Array_EmissionChargeData,ROW()-2,(COLUMN())*2-3)),"",INDEX(Array_EmissionChargeData,ROW()-2,(COLUMN())*2-3))</f>
        <v/>
      </c>
      <c r="F39" t="str" cm="1">
        <f>IF(ISBLANK(INDEX(Array_EmissionChargeData,ROW()-2,(COLUMN())*2-3)),"",INDEX(Array_EmissionChargeData,ROW()-2,(COLUMN())*2-3))</f>
        <v/>
      </c>
      <c r="K39" t="s">
        <v>684</v>
      </c>
    </row>
    <row r="40" spans="1:11" x14ac:dyDescent="0.35">
      <c r="A40" t="str">
        <f>IF('Other Emission Meters'!B40="",A39,'Other Emission Meters'!B40)</f>
        <v>Meter Numbers</v>
      </c>
      <c r="B40" t="str" cm="1">
        <f>IF(ISBLANK(INDEX(Array_EmissionChargeData,ROW()-2,(COLUMN())*2-3)),"",INDEX(Array_EmissionChargeData,ROW()-2,(COLUMN())*2-3))</f>
        <v/>
      </c>
      <c r="C40" t="str" cm="1">
        <f>IF(ISBLANK(INDEX(Array_EmissionChargeData,ROW()-2,(COLUMN())*2-3)),"",INDEX(Array_EmissionChargeData,ROW()-2,(COLUMN())*2-3))</f>
        <v/>
      </c>
      <c r="D40" t="str" cm="1">
        <f>IF(ISBLANK(INDEX(Array_EmissionChargeData,ROW()-2,(COLUMN())*2-3)),"",INDEX(Array_EmissionChargeData,ROW()-2,(COLUMN())*2-3))</f>
        <v/>
      </c>
      <c r="E40" t="str" cm="1">
        <f>IF(ISBLANK(INDEX(Array_EmissionChargeData,ROW()-2,(COLUMN())*2-3)),"",INDEX(Array_EmissionChargeData,ROW()-2,(COLUMN())*2-3))</f>
        <v/>
      </c>
      <c r="F40" t="str" cm="1">
        <f>IF(ISBLANK(INDEX(Array_EmissionChargeData,ROW()-2,(COLUMN())*2-3)),"",INDEX(Array_EmissionChargeData,ROW()-2,(COLUMN())*2-3))</f>
        <v/>
      </c>
      <c r="K40" s="4" t="s">
        <v>685</v>
      </c>
    </row>
    <row r="41" spans="1:11" x14ac:dyDescent="0.35">
      <c r="A41" t="str">
        <f>IF('Other Emission Meters'!B41="",A40,'Other Emission Meters'!B41)</f>
        <v>Meter Numbers</v>
      </c>
      <c r="B41" t="str" cm="1">
        <f>IF(ISBLANK(INDEX(Array_EmissionChargeData,ROW()-2,(COLUMN())*2-3)),"",INDEX(Array_EmissionChargeData,ROW()-2,(COLUMN())*2-3))</f>
        <v/>
      </c>
      <c r="C41" t="str" cm="1">
        <f>IF(ISBLANK(INDEX(Array_EmissionChargeData,ROW()-2,(COLUMN())*2-3)),"",INDEX(Array_EmissionChargeData,ROW()-2,(COLUMN())*2-3))</f>
        <v/>
      </c>
      <c r="D41" t="str" cm="1">
        <f>IF(ISBLANK(INDEX(Array_EmissionChargeData,ROW()-2,(COLUMN())*2-3)),"",INDEX(Array_EmissionChargeData,ROW()-2,(COLUMN())*2-3))</f>
        <v/>
      </c>
      <c r="E41" t="str" cm="1">
        <f>IF(ISBLANK(INDEX(Array_EmissionChargeData,ROW()-2,(COLUMN())*2-3)),"",INDEX(Array_EmissionChargeData,ROW()-2,(COLUMN())*2-3))</f>
        <v/>
      </c>
      <c r="F41" t="str" cm="1">
        <f>IF(ISBLANK(INDEX(Array_EmissionChargeData,ROW()-2,(COLUMN())*2-3)),"",INDEX(Array_EmissionChargeData,ROW()-2,(COLUMN())*2-3))</f>
        <v/>
      </c>
      <c r="K41" t="s">
        <v>686</v>
      </c>
    </row>
    <row r="42" spans="1:11" x14ac:dyDescent="0.35">
      <c r="A42" t="str">
        <f>IF('Other Emission Meters'!B42="",A41,'Other Emission Meters'!B42)</f>
        <v>Meter Numbers</v>
      </c>
      <c r="B42" t="str" cm="1">
        <f>IF(ISBLANK(INDEX(Array_EmissionChargeData,ROW()-2,(COLUMN())*2-3)),"",INDEX(Array_EmissionChargeData,ROW()-2,(COLUMN())*2-3))</f>
        <v/>
      </c>
      <c r="C42" t="str" cm="1">
        <f>IF(ISBLANK(INDEX(Array_EmissionChargeData,ROW()-2,(COLUMN())*2-3)),"",INDEX(Array_EmissionChargeData,ROW()-2,(COLUMN())*2-3))</f>
        <v/>
      </c>
      <c r="D42" t="str" cm="1">
        <f>IF(ISBLANK(INDEX(Array_EmissionChargeData,ROW()-2,(COLUMN())*2-3)),"",INDEX(Array_EmissionChargeData,ROW()-2,(COLUMN())*2-3))</f>
        <v/>
      </c>
      <c r="E42" t="str" cm="1">
        <f>IF(ISBLANK(INDEX(Array_EmissionChargeData,ROW()-2,(COLUMN())*2-3)),"",INDEX(Array_EmissionChargeData,ROW()-2,(COLUMN())*2-3))</f>
        <v/>
      </c>
      <c r="F42" t="str" cm="1">
        <f>IF(ISBLANK(INDEX(Array_EmissionChargeData,ROW()-2,(COLUMN())*2-3)),"",INDEX(Array_EmissionChargeData,ROW()-2,(COLUMN())*2-3))</f>
        <v/>
      </c>
      <c r="K42" s="4" t="s">
        <v>687</v>
      </c>
    </row>
    <row r="43" spans="1:11" x14ac:dyDescent="0.35">
      <c r="A43" t="str">
        <f>IF('Other Emission Meters'!B43="",A42,'Other Emission Meters'!B43)</f>
        <v>Meter Numbers</v>
      </c>
      <c r="B43" t="str" cm="1">
        <f>IF(ISBLANK(INDEX(Array_EmissionChargeData,ROW()-2,(COLUMN())*2-3)),"",INDEX(Array_EmissionChargeData,ROW()-2,(COLUMN())*2-3))</f>
        <v/>
      </c>
      <c r="C43" t="str" cm="1">
        <f>IF(ISBLANK(INDEX(Array_EmissionChargeData,ROW()-2,(COLUMN())*2-3)),"",INDEX(Array_EmissionChargeData,ROW()-2,(COLUMN())*2-3))</f>
        <v/>
      </c>
      <c r="D43" t="str" cm="1">
        <f>IF(ISBLANK(INDEX(Array_EmissionChargeData,ROW()-2,(COLUMN())*2-3)),"",INDEX(Array_EmissionChargeData,ROW()-2,(COLUMN())*2-3))</f>
        <v/>
      </c>
      <c r="E43" t="str" cm="1">
        <f>IF(ISBLANK(INDEX(Array_EmissionChargeData,ROW()-2,(COLUMN())*2-3)),"",INDEX(Array_EmissionChargeData,ROW()-2,(COLUMN())*2-3))</f>
        <v/>
      </c>
      <c r="F43" t="str" cm="1">
        <f>IF(ISBLANK(INDEX(Array_EmissionChargeData,ROW()-2,(COLUMN())*2-3)),"",INDEX(Array_EmissionChargeData,ROW()-2,(COLUMN())*2-3))</f>
        <v/>
      </c>
      <c r="K43" t="s">
        <v>688</v>
      </c>
    </row>
    <row r="44" spans="1:11" x14ac:dyDescent="0.35">
      <c r="A44" t="str">
        <f>IF('Other Emission Meters'!B44="",A43,'Other Emission Meters'!B44)</f>
        <v>Meter Numbers</v>
      </c>
      <c r="B44" t="str" cm="1">
        <f>IF(ISBLANK(INDEX(Array_EmissionChargeData,ROW()-2,(COLUMN())*2-3)),"",INDEX(Array_EmissionChargeData,ROW()-2,(COLUMN())*2-3))</f>
        <v/>
      </c>
      <c r="C44" t="str" cm="1">
        <f>IF(ISBLANK(INDEX(Array_EmissionChargeData,ROW()-2,(COLUMN())*2-3)),"",INDEX(Array_EmissionChargeData,ROW()-2,(COLUMN())*2-3))</f>
        <v/>
      </c>
      <c r="D44" t="str" cm="1">
        <f>IF(ISBLANK(INDEX(Array_EmissionChargeData,ROW()-2,(COLUMN())*2-3)),"",INDEX(Array_EmissionChargeData,ROW()-2,(COLUMN())*2-3))</f>
        <v/>
      </c>
      <c r="E44" t="str" cm="1">
        <f>IF(ISBLANK(INDEX(Array_EmissionChargeData,ROW()-2,(COLUMN())*2-3)),"",INDEX(Array_EmissionChargeData,ROW()-2,(COLUMN())*2-3))</f>
        <v/>
      </c>
      <c r="F44" t="str" cm="1">
        <f>IF(ISBLANK(INDEX(Array_EmissionChargeData,ROW()-2,(COLUMN())*2-3)),"",INDEX(Array_EmissionChargeData,ROW()-2,(COLUMN())*2-3))</f>
        <v/>
      </c>
      <c r="K44" s="4" t="s">
        <v>689</v>
      </c>
    </row>
    <row r="45" spans="1:11" x14ac:dyDescent="0.35">
      <c r="A45" t="str">
        <f>IF('Other Emission Meters'!B45="",A44,'Other Emission Meters'!B45)</f>
        <v>Meter Numbers</v>
      </c>
      <c r="B45" t="str" cm="1">
        <f>IF(ISBLANK(INDEX(Array_EmissionChargeData,ROW()-2,(COLUMN())*2-3)),"",INDEX(Array_EmissionChargeData,ROW()-2,(COLUMN())*2-3))</f>
        <v/>
      </c>
      <c r="C45" t="str" cm="1">
        <f>IF(ISBLANK(INDEX(Array_EmissionChargeData,ROW()-2,(COLUMN())*2-3)),"",INDEX(Array_EmissionChargeData,ROW()-2,(COLUMN())*2-3))</f>
        <v/>
      </c>
      <c r="D45" t="str" cm="1">
        <f>IF(ISBLANK(INDEX(Array_EmissionChargeData,ROW()-2,(COLUMN())*2-3)),"",INDEX(Array_EmissionChargeData,ROW()-2,(COLUMN())*2-3))</f>
        <v/>
      </c>
      <c r="E45" t="str" cm="1">
        <f>IF(ISBLANK(INDEX(Array_EmissionChargeData,ROW()-2,(COLUMN())*2-3)),"",INDEX(Array_EmissionChargeData,ROW()-2,(COLUMN())*2-3))</f>
        <v/>
      </c>
      <c r="F45" t="str" cm="1">
        <f>IF(ISBLANK(INDEX(Array_EmissionChargeData,ROW()-2,(COLUMN())*2-3)),"",INDEX(Array_EmissionChargeData,ROW()-2,(COLUMN())*2-3))</f>
        <v/>
      </c>
      <c r="K45" t="s">
        <v>690</v>
      </c>
    </row>
    <row r="46" spans="1:11" x14ac:dyDescent="0.35">
      <c r="A46" t="str">
        <f>IF('Other Emission Meters'!B46="",A45,'Other Emission Meters'!B46)</f>
        <v>Meter Numbers</v>
      </c>
      <c r="B46" t="str" cm="1">
        <f>IF(ISBLANK(INDEX(Array_EmissionChargeData,ROW()-2,(COLUMN())*2-3)),"",INDEX(Array_EmissionChargeData,ROW()-2,(COLUMN())*2-3))</f>
        <v/>
      </c>
      <c r="C46" t="str" cm="1">
        <f>IF(ISBLANK(INDEX(Array_EmissionChargeData,ROW()-2,(COLUMN())*2-3)),"",INDEX(Array_EmissionChargeData,ROW()-2,(COLUMN())*2-3))</f>
        <v/>
      </c>
      <c r="D46" t="str" cm="1">
        <f>IF(ISBLANK(INDEX(Array_EmissionChargeData,ROW()-2,(COLUMN())*2-3)),"",INDEX(Array_EmissionChargeData,ROW()-2,(COLUMN())*2-3))</f>
        <v/>
      </c>
      <c r="E46" t="str" cm="1">
        <f>IF(ISBLANK(INDEX(Array_EmissionChargeData,ROW()-2,(COLUMN())*2-3)),"",INDEX(Array_EmissionChargeData,ROW()-2,(COLUMN())*2-3))</f>
        <v/>
      </c>
      <c r="F46" t="str" cm="1">
        <f>IF(ISBLANK(INDEX(Array_EmissionChargeData,ROW()-2,(COLUMN())*2-3)),"",INDEX(Array_EmissionChargeData,ROW()-2,(COLUMN())*2-3))</f>
        <v/>
      </c>
      <c r="K46" s="4" t="s">
        <v>691</v>
      </c>
    </row>
    <row r="47" spans="1:11" x14ac:dyDescent="0.35">
      <c r="A47" t="str">
        <f>IF('Other Emission Meters'!B47="",A46,'Other Emission Meters'!B47)</f>
        <v>Meter Numbers</v>
      </c>
      <c r="B47" t="str" cm="1">
        <f>IF(ISBLANK(INDEX(Array_EmissionChargeData,ROW()-2,(COLUMN())*2-3)),"",INDEX(Array_EmissionChargeData,ROW()-2,(COLUMN())*2-3))</f>
        <v/>
      </c>
      <c r="C47" t="str" cm="1">
        <f>IF(ISBLANK(INDEX(Array_EmissionChargeData,ROW()-2,(COLUMN())*2-3)),"",INDEX(Array_EmissionChargeData,ROW()-2,(COLUMN())*2-3))</f>
        <v/>
      </c>
      <c r="D47" t="str" cm="1">
        <f>IF(ISBLANK(INDEX(Array_EmissionChargeData,ROW()-2,(COLUMN())*2-3)),"",INDEX(Array_EmissionChargeData,ROW()-2,(COLUMN())*2-3))</f>
        <v/>
      </c>
      <c r="E47" t="str" cm="1">
        <f>IF(ISBLANK(INDEX(Array_EmissionChargeData,ROW()-2,(COLUMN())*2-3)),"",INDEX(Array_EmissionChargeData,ROW()-2,(COLUMN())*2-3))</f>
        <v/>
      </c>
      <c r="F47" t="str" cm="1">
        <f>IF(ISBLANK(INDEX(Array_EmissionChargeData,ROW()-2,(COLUMN())*2-3)),"",INDEX(Array_EmissionChargeData,ROW()-2,(COLUMN())*2-3))</f>
        <v/>
      </c>
      <c r="K47" t="s">
        <v>692</v>
      </c>
    </row>
    <row r="48" spans="1:11" x14ac:dyDescent="0.35">
      <c r="A48" t="str">
        <f>IF('Other Emission Meters'!B48="",A47,'Other Emission Meters'!B48)</f>
        <v>Meter Numbers</v>
      </c>
      <c r="B48" t="str" cm="1">
        <f>IF(ISBLANK(INDEX(Array_EmissionChargeData,ROW()-2,(COLUMN())*2-3)),"",INDEX(Array_EmissionChargeData,ROW()-2,(COLUMN())*2-3))</f>
        <v/>
      </c>
      <c r="C48" t="str" cm="1">
        <f>IF(ISBLANK(INDEX(Array_EmissionChargeData,ROW()-2,(COLUMN())*2-3)),"",INDEX(Array_EmissionChargeData,ROW()-2,(COLUMN())*2-3))</f>
        <v/>
      </c>
      <c r="D48" t="str" cm="1">
        <f>IF(ISBLANK(INDEX(Array_EmissionChargeData,ROW()-2,(COLUMN())*2-3)),"",INDEX(Array_EmissionChargeData,ROW()-2,(COLUMN())*2-3))</f>
        <v/>
      </c>
      <c r="E48" t="str" cm="1">
        <f>IF(ISBLANK(INDEX(Array_EmissionChargeData,ROW()-2,(COLUMN())*2-3)),"",INDEX(Array_EmissionChargeData,ROW()-2,(COLUMN())*2-3))</f>
        <v/>
      </c>
      <c r="F48" t="str" cm="1">
        <f>IF(ISBLANK(INDEX(Array_EmissionChargeData,ROW()-2,(COLUMN())*2-3)),"",INDEX(Array_EmissionChargeData,ROW()-2,(COLUMN())*2-3))</f>
        <v/>
      </c>
      <c r="K48" s="4" t="s">
        <v>693</v>
      </c>
    </row>
    <row r="49" spans="1:11" x14ac:dyDescent="0.35">
      <c r="A49" t="str">
        <f>IF('Other Emission Meters'!B49="",A48,'Other Emission Meters'!B49)</f>
        <v>Meter Numbers</v>
      </c>
      <c r="B49" t="str" cm="1">
        <f>IF(ISBLANK(INDEX(Array_EmissionChargeData,ROW()-2,(COLUMN())*2-3)),"",INDEX(Array_EmissionChargeData,ROW()-2,(COLUMN())*2-3))</f>
        <v/>
      </c>
      <c r="C49" t="str" cm="1">
        <f>IF(ISBLANK(INDEX(Array_EmissionChargeData,ROW()-2,(COLUMN())*2-3)),"",INDEX(Array_EmissionChargeData,ROW()-2,(COLUMN())*2-3))</f>
        <v/>
      </c>
      <c r="D49" t="str" cm="1">
        <f>IF(ISBLANK(INDEX(Array_EmissionChargeData,ROW()-2,(COLUMN())*2-3)),"",INDEX(Array_EmissionChargeData,ROW()-2,(COLUMN())*2-3))</f>
        <v/>
      </c>
      <c r="E49" t="str" cm="1">
        <f>IF(ISBLANK(INDEX(Array_EmissionChargeData,ROW()-2,(COLUMN())*2-3)),"",INDEX(Array_EmissionChargeData,ROW()-2,(COLUMN())*2-3))</f>
        <v/>
      </c>
      <c r="F49" t="str" cm="1">
        <f>IF(ISBLANK(INDEX(Array_EmissionChargeData,ROW()-2,(COLUMN())*2-3)),"",INDEX(Array_EmissionChargeData,ROW()-2,(COLUMN())*2-3))</f>
        <v/>
      </c>
      <c r="K49" t="s">
        <v>694</v>
      </c>
    </row>
    <row r="50" spans="1:11" x14ac:dyDescent="0.35">
      <c r="A50" t="str">
        <f>IF('Other Emission Meters'!B50="",A49,'Other Emission Meters'!B50)</f>
        <v>Meter Numbers</v>
      </c>
      <c r="B50" t="str" cm="1">
        <f>IF(ISBLANK(INDEX(Array_EmissionChargeData,ROW()-2,(COLUMN())*2-3)),"",INDEX(Array_EmissionChargeData,ROW()-2,(COLUMN())*2-3))</f>
        <v/>
      </c>
      <c r="C50" t="str" cm="1">
        <f>IF(ISBLANK(INDEX(Array_EmissionChargeData,ROW()-2,(COLUMN())*2-3)),"",INDEX(Array_EmissionChargeData,ROW()-2,(COLUMN())*2-3))</f>
        <v/>
      </c>
      <c r="D50" t="str" cm="1">
        <f>IF(ISBLANK(INDEX(Array_EmissionChargeData,ROW()-2,(COLUMN())*2-3)),"",INDEX(Array_EmissionChargeData,ROW()-2,(COLUMN())*2-3))</f>
        <v/>
      </c>
      <c r="E50" t="str" cm="1">
        <f>IF(ISBLANK(INDEX(Array_EmissionChargeData,ROW()-2,(COLUMN())*2-3)),"",INDEX(Array_EmissionChargeData,ROW()-2,(COLUMN())*2-3))</f>
        <v/>
      </c>
      <c r="F50" t="str" cm="1">
        <f>IF(ISBLANK(INDEX(Array_EmissionChargeData,ROW()-2,(COLUMN())*2-3)),"",INDEX(Array_EmissionChargeData,ROW()-2,(COLUMN())*2-3))</f>
        <v/>
      </c>
      <c r="K50" s="4" t="s">
        <v>695</v>
      </c>
    </row>
    <row r="51" spans="1:11" x14ac:dyDescent="0.35">
      <c r="A51" t="str">
        <f>IF('Other Emission Meters'!B51="",A50,'Other Emission Meters'!B51)</f>
        <v>Meter Numbers</v>
      </c>
      <c r="B51" t="str" cm="1">
        <f>IF(ISBLANK(INDEX(Array_EmissionChargeData,ROW()-2,(COLUMN())*2-3)),"",INDEX(Array_EmissionChargeData,ROW()-2,(COLUMN())*2-3))</f>
        <v/>
      </c>
      <c r="C51" t="str" cm="1">
        <f>IF(ISBLANK(INDEX(Array_EmissionChargeData,ROW()-2,(COLUMN())*2-3)),"",INDEX(Array_EmissionChargeData,ROW()-2,(COLUMN())*2-3))</f>
        <v/>
      </c>
      <c r="D51" t="str" cm="1">
        <f>IF(ISBLANK(INDEX(Array_EmissionChargeData,ROW()-2,(COLUMN())*2-3)),"",INDEX(Array_EmissionChargeData,ROW()-2,(COLUMN())*2-3))</f>
        <v/>
      </c>
      <c r="E51" t="str" cm="1">
        <f>IF(ISBLANK(INDEX(Array_EmissionChargeData,ROW()-2,(COLUMN())*2-3)),"",INDEX(Array_EmissionChargeData,ROW()-2,(COLUMN())*2-3))</f>
        <v/>
      </c>
      <c r="F51" t="str" cm="1">
        <f>IF(ISBLANK(INDEX(Array_EmissionChargeData,ROW()-2,(COLUMN())*2-3)),"",INDEX(Array_EmissionChargeData,ROW()-2,(COLUMN())*2-3))</f>
        <v/>
      </c>
      <c r="K51" t="s">
        <v>696</v>
      </c>
    </row>
    <row r="52" spans="1:11" x14ac:dyDescent="0.35">
      <c r="A52" t="str">
        <f>IF('Other Emission Meters'!B52="",A51,'Other Emission Meters'!B52)</f>
        <v>Meter Numbers</v>
      </c>
      <c r="B52" t="str" cm="1">
        <f>IF(ISBLANK(INDEX(Array_EmissionChargeData,ROW()-2,(COLUMN())*2-3)),"",INDEX(Array_EmissionChargeData,ROW()-2,(COLUMN())*2-3))</f>
        <v/>
      </c>
      <c r="C52" t="str" cm="1">
        <f>IF(ISBLANK(INDEX(Array_EmissionChargeData,ROW()-2,(COLUMN())*2-3)),"",INDEX(Array_EmissionChargeData,ROW()-2,(COLUMN())*2-3))</f>
        <v/>
      </c>
      <c r="D52" t="str" cm="1">
        <f>IF(ISBLANK(INDEX(Array_EmissionChargeData,ROW()-2,(COLUMN())*2-3)),"",INDEX(Array_EmissionChargeData,ROW()-2,(COLUMN())*2-3))</f>
        <v/>
      </c>
      <c r="E52" t="str" cm="1">
        <f>IF(ISBLANK(INDEX(Array_EmissionChargeData,ROW()-2,(COLUMN())*2-3)),"",INDEX(Array_EmissionChargeData,ROW()-2,(COLUMN())*2-3))</f>
        <v/>
      </c>
      <c r="F52" t="str" cm="1">
        <f>IF(ISBLANK(INDEX(Array_EmissionChargeData,ROW()-2,(COLUMN())*2-3)),"",INDEX(Array_EmissionChargeData,ROW()-2,(COLUMN())*2-3))</f>
        <v/>
      </c>
      <c r="K52" s="4" t="s">
        <v>697</v>
      </c>
    </row>
    <row r="53" spans="1:11" x14ac:dyDescent="0.35">
      <c r="A53" t="str">
        <f>IF('Other Emission Meters'!B53="",A52,'Other Emission Meters'!B53)</f>
        <v>Meter Numbers</v>
      </c>
      <c r="B53" t="str" cm="1">
        <f>IF(ISBLANK(INDEX(Array_EmissionChargeData,ROW()-2,(COLUMN())*2-3)),"",INDEX(Array_EmissionChargeData,ROW()-2,(COLUMN())*2-3))</f>
        <v/>
      </c>
      <c r="C53" t="str" cm="1">
        <f>IF(ISBLANK(INDEX(Array_EmissionChargeData,ROW()-2,(COLUMN())*2-3)),"",INDEX(Array_EmissionChargeData,ROW()-2,(COLUMN())*2-3))</f>
        <v/>
      </c>
      <c r="D53" t="str" cm="1">
        <f>IF(ISBLANK(INDEX(Array_EmissionChargeData,ROW()-2,(COLUMN())*2-3)),"",INDEX(Array_EmissionChargeData,ROW()-2,(COLUMN())*2-3))</f>
        <v/>
      </c>
      <c r="E53" t="str" cm="1">
        <f>IF(ISBLANK(INDEX(Array_EmissionChargeData,ROW()-2,(COLUMN())*2-3)),"",INDEX(Array_EmissionChargeData,ROW()-2,(COLUMN())*2-3))</f>
        <v/>
      </c>
      <c r="F53" t="str" cm="1">
        <f>IF(ISBLANK(INDEX(Array_EmissionChargeData,ROW()-2,(COLUMN())*2-3)),"",INDEX(Array_EmissionChargeData,ROW()-2,(COLUMN())*2-3))</f>
        <v/>
      </c>
      <c r="K53" t="s">
        <v>698</v>
      </c>
    </row>
    <row r="54" spans="1:11" x14ac:dyDescent="0.35">
      <c r="A54" t="str">
        <f>IF('Other Emission Meters'!B54="",A53,'Other Emission Meters'!B54)</f>
        <v>Meter Numbers</v>
      </c>
      <c r="B54" t="str" cm="1">
        <f>IF(ISBLANK(INDEX(Array_EmissionChargeData,ROW()-2,(COLUMN())*2-3)),"",INDEX(Array_EmissionChargeData,ROW()-2,(COLUMN())*2-3))</f>
        <v/>
      </c>
      <c r="C54" t="str" cm="1">
        <f>IF(ISBLANK(INDEX(Array_EmissionChargeData,ROW()-2,(COLUMN())*2-3)),"",INDEX(Array_EmissionChargeData,ROW()-2,(COLUMN())*2-3))</f>
        <v/>
      </c>
      <c r="D54" t="str" cm="1">
        <f>IF(ISBLANK(INDEX(Array_EmissionChargeData,ROW()-2,(COLUMN())*2-3)),"",INDEX(Array_EmissionChargeData,ROW()-2,(COLUMN())*2-3))</f>
        <v/>
      </c>
      <c r="E54" t="str" cm="1">
        <f>IF(ISBLANK(INDEX(Array_EmissionChargeData,ROW()-2,(COLUMN())*2-3)),"",INDEX(Array_EmissionChargeData,ROW()-2,(COLUMN())*2-3))</f>
        <v/>
      </c>
      <c r="F54" t="str" cm="1">
        <f>IF(ISBLANK(INDEX(Array_EmissionChargeData,ROW()-2,(COLUMN())*2-3)),"",INDEX(Array_EmissionChargeData,ROW()-2,(COLUMN())*2-3))</f>
        <v/>
      </c>
      <c r="K54" s="4" t="s">
        <v>699</v>
      </c>
    </row>
    <row r="55" spans="1:11" x14ac:dyDescent="0.35">
      <c r="A55" t="str">
        <f>IF('Other Emission Meters'!B55="",A54,'Other Emission Meters'!B55)</f>
        <v>Meter Numbers</v>
      </c>
      <c r="B55" t="str" cm="1">
        <f>IF(ISBLANK(INDEX(Array_EmissionChargeData,ROW()-2,(COLUMN())*2-3)),"",INDEX(Array_EmissionChargeData,ROW()-2,(COLUMN())*2-3))</f>
        <v/>
      </c>
      <c r="C55" t="str" cm="1">
        <f>IF(ISBLANK(INDEX(Array_EmissionChargeData,ROW()-2,(COLUMN())*2-3)),"",INDEX(Array_EmissionChargeData,ROW()-2,(COLUMN())*2-3))</f>
        <v/>
      </c>
      <c r="D55" t="str" cm="1">
        <f>IF(ISBLANK(INDEX(Array_EmissionChargeData,ROW()-2,(COLUMN())*2-3)),"",INDEX(Array_EmissionChargeData,ROW()-2,(COLUMN())*2-3))</f>
        <v/>
      </c>
      <c r="E55" t="str" cm="1">
        <f>IF(ISBLANK(INDEX(Array_EmissionChargeData,ROW()-2,(COLUMN())*2-3)),"",INDEX(Array_EmissionChargeData,ROW()-2,(COLUMN())*2-3))</f>
        <v/>
      </c>
      <c r="F55" t="str" cm="1">
        <f>IF(ISBLANK(INDEX(Array_EmissionChargeData,ROW()-2,(COLUMN())*2-3)),"",INDEX(Array_EmissionChargeData,ROW()-2,(COLUMN())*2-3))</f>
        <v/>
      </c>
      <c r="K55" t="s">
        <v>700</v>
      </c>
    </row>
    <row r="56" spans="1:11" x14ac:dyDescent="0.35">
      <c r="A56" t="str">
        <f>IF('Other Emission Meters'!B56="",A55,'Other Emission Meters'!B56)</f>
        <v>Meter Numbers</v>
      </c>
      <c r="B56" t="str" cm="1">
        <f>IF(ISBLANK(INDEX(Array_EmissionChargeData,ROW()-2,(COLUMN())*2-3)),"",INDEX(Array_EmissionChargeData,ROW()-2,(COLUMN())*2-3))</f>
        <v/>
      </c>
      <c r="C56" t="str" cm="1">
        <f>IF(ISBLANK(INDEX(Array_EmissionChargeData,ROW()-2,(COLUMN())*2-3)),"",INDEX(Array_EmissionChargeData,ROW()-2,(COLUMN())*2-3))</f>
        <v/>
      </c>
      <c r="D56" t="str" cm="1">
        <f>IF(ISBLANK(INDEX(Array_EmissionChargeData,ROW()-2,(COLUMN())*2-3)),"",INDEX(Array_EmissionChargeData,ROW()-2,(COLUMN())*2-3))</f>
        <v/>
      </c>
      <c r="E56" t="str" cm="1">
        <f>IF(ISBLANK(INDEX(Array_EmissionChargeData,ROW()-2,(COLUMN())*2-3)),"",INDEX(Array_EmissionChargeData,ROW()-2,(COLUMN())*2-3))</f>
        <v/>
      </c>
      <c r="F56" t="str" cm="1">
        <f>IF(ISBLANK(INDEX(Array_EmissionChargeData,ROW()-2,(COLUMN())*2-3)),"",INDEX(Array_EmissionChargeData,ROW()-2,(COLUMN())*2-3))</f>
        <v/>
      </c>
      <c r="K56" s="4" t="s">
        <v>701</v>
      </c>
    </row>
    <row r="57" spans="1:11" x14ac:dyDescent="0.35">
      <c r="A57" t="str">
        <f>IF('Other Emission Meters'!B57="",A56,'Other Emission Meters'!B57)</f>
        <v>Meter Numbers</v>
      </c>
      <c r="B57" t="str" cm="1">
        <f>IF(ISBLANK(INDEX(Array_EmissionChargeData,ROW()-2,(COLUMN())*2-3)),"",INDEX(Array_EmissionChargeData,ROW()-2,(COLUMN())*2-3))</f>
        <v/>
      </c>
      <c r="C57" t="str" cm="1">
        <f>IF(ISBLANK(INDEX(Array_EmissionChargeData,ROW()-2,(COLUMN())*2-3)),"",INDEX(Array_EmissionChargeData,ROW()-2,(COLUMN())*2-3))</f>
        <v/>
      </c>
      <c r="D57" t="str" cm="1">
        <f>IF(ISBLANK(INDEX(Array_EmissionChargeData,ROW()-2,(COLUMN())*2-3)),"",INDEX(Array_EmissionChargeData,ROW()-2,(COLUMN())*2-3))</f>
        <v/>
      </c>
      <c r="E57" t="str" cm="1">
        <f>IF(ISBLANK(INDEX(Array_EmissionChargeData,ROW()-2,(COLUMN())*2-3)),"",INDEX(Array_EmissionChargeData,ROW()-2,(COLUMN())*2-3))</f>
        <v/>
      </c>
      <c r="F57" t="str" cm="1">
        <f>IF(ISBLANK(INDEX(Array_EmissionChargeData,ROW()-2,(COLUMN())*2-3)),"",INDEX(Array_EmissionChargeData,ROW()-2,(COLUMN())*2-3))</f>
        <v/>
      </c>
      <c r="K57" t="s">
        <v>702</v>
      </c>
    </row>
    <row r="58" spans="1:11" x14ac:dyDescent="0.35">
      <c r="A58" t="str">
        <f>IF('Other Emission Meters'!B58="",A57,'Other Emission Meters'!B58)</f>
        <v>Meter Numbers</v>
      </c>
      <c r="B58" t="str" cm="1">
        <f>IF(ISBLANK(INDEX(Array_EmissionChargeData,ROW()-2,(COLUMN())*2-3)),"",INDEX(Array_EmissionChargeData,ROW()-2,(COLUMN())*2-3))</f>
        <v/>
      </c>
      <c r="C58" t="str" cm="1">
        <f>IF(ISBLANK(INDEX(Array_EmissionChargeData,ROW()-2,(COLUMN())*2-3)),"",INDEX(Array_EmissionChargeData,ROW()-2,(COLUMN())*2-3))</f>
        <v/>
      </c>
      <c r="D58" t="str" cm="1">
        <f>IF(ISBLANK(INDEX(Array_EmissionChargeData,ROW()-2,(COLUMN())*2-3)),"",INDEX(Array_EmissionChargeData,ROW()-2,(COLUMN())*2-3))</f>
        <v/>
      </c>
      <c r="E58" t="str" cm="1">
        <f>IF(ISBLANK(INDEX(Array_EmissionChargeData,ROW()-2,(COLUMN())*2-3)),"",INDEX(Array_EmissionChargeData,ROW()-2,(COLUMN())*2-3))</f>
        <v/>
      </c>
      <c r="F58" t="str" cm="1">
        <f>IF(ISBLANK(INDEX(Array_EmissionChargeData,ROW()-2,(COLUMN())*2-3)),"",INDEX(Array_EmissionChargeData,ROW()-2,(COLUMN())*2-3))</f>
        <v/>
      </c>
      <c r="K58" s="4" t="s">
        <v>703</v>
      </c>
    </row>
    <row r="59" spans="1:11" x14ac:dyDescent="0.35">
      <c r="A59" t="str">
        <f>IF('Other Emission Meters'!B59="",A58,'Other Emission Meters'!B59)</f>
        <v>Meter Numbers</v>
      </c>
      <c r="B59" t="str" cm="1">
        <f>IF(ISBLANK(INDEX(Array_EmissionChargeData,ROW()-2,(COLUMN())*2-3)),"",INDEX(Array_EmissionChargeData,ROW()-2,(COLUMN())*2-3))</f>
        <v/>
      </c>
      <c r="C59" t="str" cm="1">
        <f>IF(ISBLANK(INDEX(Array_EmissionChargeData,ROW()-2,(COLUMN())*2-3)),"",INDEX(Array_EmissionChargeData,ROW()-2,(COLUMN())*2-3))</f>
        <v/>
      </c>
      <c r="D59" t="str" cm="1">
        <f>IF(ISBLANK(INDEX(Array_EmissionChargeData,ROW()-2,(COLUMN())*2-3)),"",INDEX(Array_EmissionChargeData,ROW()-2,(COLUMN())*2-3))</f>
        <v/>
      </c>
      <c r="E59" t="str" cm="1">
        <f>IF(ISBLANK(INDEX(Array_EmissionChargeData,ROW()-2,(COLUMN())*2-3)),"",INDEX(Array_EmissionChargeData,ROW()-2,(COLUMN())*2-3))</f>
        <v/>
      </c>
      <c r="F59" t="str" cm="1">
        <f>IF(ISBLANK(INDEX(Array_EmissionChargeData,ROW()-2,(COLUMN())*2-3)),"",INDEX(Array_EmissionChargeData,ROW()-2,(COLUMN())*2-3))</f>
        <v/>
      </c>
      <c r="K59" t="s">
        <v>704</v>
      </c>
    </row>
    <row r="60" spans="1:11" x14ac:dyDescent="0.35">
      <c r="A60" t="str">
        <f>IF('Other Emission Meters'!B60="",A59,'Other Emission Meters'!B60)</f>
        <v>Meter Numbers</v>
      </c>
      <c r="B60" t="str" cm="1">
        <f>IF(ISBLANK(INDEX(Array_EmissionChargeData,ROW()-2,(COLUMN())*2-3)),"",INDEX(Array_EmissionChargeData,ROW()-2,(COLUMN())*2-3))</f>
        <v/>
      </c>
      <c r="C60" t="str" cm="1">
        <f>IF(ISBLANK(INDEX(Array_EmissionChargeData,ROW()-2,(COLUMN())*2-3)),"",INDEX(Array_EmissionChargeData,ROW()-2,(COLUMN())*2-3))</f>
        <v/>
      </c>
      <c r="D60" t="str" cm="1">
        <f>IF(ISBLANK(INDEX(Array_EmissionChargeData,ROW()-2,(COLUMN())*2-3)),"",INDEX(Array_EmissionChargeData,ROW()-2,(COLUMN())*2-3))</f>
        <v/>
      </c>
      <c r="E60" t="str" cm="1">
        <f>IF(ISBLANK(INDEX(Array_EmissionChargeData,ROW()-2,(COLUMN())*2-3)),"",INDEX(Array_EmissionChargeData,ROW()-2,(COLUMN())*2-3))</f>
        <v/>
      </c>
      <c r="F60" t="str" cm="1">
        <f>IF(ISBLANK(INDEX(Array_EmissionChargeData,ROW()-2,(COLUMN())*2-3)),"",INDEX(Array_EmissionChargeData,ROW()-2,(COLUMN())*2-3))</f>
        <v/>
      </c>
      <c r="K60" s="4" t="s">
        <v>705</v>
      </c>
    </row>
    <row r="61" spans="1:11" x14ac:dyDescent="0.35">
      <c r="A61" t="str">
        <f>IF('Other Emission Meters'!B61="",A60,'Other Emission Meters'!B61)</f>
        <v>Meter Numbers</v>
      </c>
      <c r="B61" t="str" cm="1">
        <f>IF(ISBLANK(INDEX(Array_EmissionChargeData,ROW()-2,(COLUMN())*2-3)),"",INDEX(Array_EmissionChargeData,ROW()-2,(COLUMN())*2-3))</f>
        <v/>
      </c>
      <c r="C61" t="str" cm="1">
        <f>IF(ISBLANK(INDEX(Array_EmissionChargeData,ROW()-2,(COLUMN())*2-3)),"",INDEX(Array_EmissionChargeData,ROW()-2,(COLUMN())*2-3))</f>
        <v/>
      </c>
      <c r="D61" t="str" cm="1">
        <f>IF(ISBLANK(INDEX(Array_EmissionChargeData,ROW()-2,(COLUMN())*2-3)),"",INDEX(Array_EmissionChargeData,ROW()-2,(COLUMN())*2-3))</f>
        <v/>
      </c>
      <c r="E61" t="str" cm="1">
        <f>IF(ISBLANK(INDEX(Array_EmissionChargeData,ROW()-2,(COLUMN())*2-3)),"",INDEX(Array_EmissionChargeData,ROW()-2,(COLUMN())*2-3))</f>
        <v/>
      </c>
      <c r="F61" t="str" cm="1">
        <f>IF(ISBLANK(INDEX(Array_EmissionChargeData,ROW()-2,(COLUMN())*2-3)),"",INDEX(Array_EmissionChargeData,ROW()-2,(COLUMN())*2-3))</f>
        <v/>
      </c>
      <c r="K61" t="s">
        <v>706</v>
      </c>
    </row>
    <row r="62" spans="1:11" x14ac:dyDescent="0.35">
      <c r="A62" t="str">
        <f>IF('Other Emission Meters'!B62="",A61,'Other Emission Meters'!B62)</f>
        <v>Meter Numbers</v>
      </c>
      <c r="B62" t="str" cm="1">
        <f>IF(ISBLANK(INDEX(Array_EmissionChargeData,ROW()-2,(COLUMN())*2-3)),"",INDEX(Array_EmissionChargeData,ROW()-2,(COLUMN())*2-3))</f>
        <v/>
      </c>
      <c r="C62" t="str" cm="1">
        <f>IF(ISBLANK(INDEX(Array_EmissionChargeData,ROW()-2,(COLUMN())*2-3)),"",INDEX(Array_EmissionChargeData,ROW()-2,(COLUMN())*2-3))</f>
        <v/>
      </c>
      <c r="D62" t="str" cm="1">
        <f>IF(ISBLANK(INDEX(Array_EmissionChargeData,ROW()-2,(COLUMN())*2-3)),"",INDEX(Array_EmissionChargeData,ROW()-2,(COLUMN())*2-3))</f>
        <v/>
      </c>
      <c r="E62" t="str" cm="1">
        <f>IF(ISBLANK(INDEX(Array_EmissionChargeData,ROW()-2,(COLUMN())*2-3)),"",INDEX(Array_EmissionChargeData,ROW()-2,(COLUMN())*2-3))</f>
        <v/>
      </c>
      <c r="F62" t="str" cm="1">
        <f>IF(ISBLANK(INDEX(Array_EmissionChargeData,ROW()-2,(COLUMN())*2-3)),"",INDEX(Array_EmissionChargeData,ROW()-2,(COLUMN())*2-3))</f>
        <v/>
      </c>
      <c r="K62" s="4" t="s">
        <v>707</v>
      </c>
    </row>
    <row r="63" spans="1:11" x14ac:dyDescent="0.35">
      <c r="A63" t="str">
        <f>IF('Other Emission Meters'!B63="",A62,'Other Emission Meters'!B63)</f>
        <v>Meter Numbers</v>
      </c>
      <c r="B63" t="str" cm="1">
        <f>IF(ISBLANK(INDEX(Array_EmissionChargeData,ROW()-2,(COLUMN())*2-3)),"",INDEX(Array_EmissionChargeData,ROW()-2,(COLUMN())*2-3))</f>
        <v/>
      </c>
      <c r="C63" t="str" cm="1">
        <f>IF(ISBLANK(INDEX(Array_EmissionChargeData,ROW()-2,(COLUMN())*2-3)),"",INDEX(Array_EmissionChargeData,ROW()-2,(COLUMN())*2-3))</f>
        <v/>
      </c>
      <c r="D63" t="str" cm="1">
        <f>IF(ISBLANK(INDEX(Array_EmissionChargeData,ROW()-2,(COLUMN())*2-3)),"",INDEX(Array_EmissionChargeData,ROW()-2,(COLUMN())*2-3))</f>
        <v/>
      </c>
      <c r="E63" t="str" cm="1">
        <f>IF(ISBLANK(INDEX(Array_EmissionChargeData,ROW()-2,(COLUMN())*2-3)),"",INDEX(Array_EmissionChargeData,ROW()-2,(COLUMN())*2-3))</f>
        <v/>
      </c>
      <c r="F63" t="str" cm="1">
        <f>IF(ISBLANK(INDEX(Array_EmissionChargeData,ROW()-2,(COLUMN())*2-3)),"",INDEX(Array_EmissionChargeData,ROW()-2,(COLUMN())*2-3))</f>
        <v/>
      </c>
      <c r="K63" t="s">
        <v>708</v>
      </c>
    </row>
    <row r="64" spans="1:11" x14ac:dyDescent="0.35">
      <c r="A64" t="str">
        <f>IF('Other Emission Meters'!B64="",A63,'Other Emission Meters'!B64)</f>
        <v>Meter Numbers</v>
      </c>
      <c r="B64" t="str" cm="1">
        <f>IF(ISBLANK(INDEX(Array_EmissionChargeData,ROW()-2,(COLUMN())*2-3)),"",INDEX(Array_EmissionChargeData,ROW()-2,(COLUMN())*2-3))</f>
        <v/>
      </c>
      <c r="C64" t="str" cm="1">
        <f>IF(ISBLANK(INDEX(Array_EmissionChargeData,ROW()-2,(COLUMN())*2-3)),"",INDEX(Array_EmissionChargeData,ROW()-2,(COLUMN())*2-3))</f>
        <v/>
      </c>
      <c r="D64" t="str" cm="1">
        <f>IF(ISBLANK(INDEX(Array_EmissionChargeData,ROW()-2,(COLUMN())*2-3)),"",INDEX(Array_EmissionChargeData,ROW()-2,(COLUMN())*2-3))</f>
        <v/>
      </c>
      <c r="E64" t="str" cm="1">
        <f>IF(ISBLANK(INDEX(Array_EmissionChargeData,ROW()-2,(COLUMN())*2-3)),"",INDEX(Array_EmissionChargeData,ROW()-2,(COLUMN())*2-3))</f>
        <v/>
      </c>
      <c r="F64" t="str" cm="1">
        <f>IF(ISBLANK(INDEX(Array_EmissionChargeData,ROW()-2,(COLUMN())*2-3)),"",INDEX(Array_EmissionChargeData,ROW()-2,(COLUMN())*2-3))</f>
        <v/>
      </c>
      <c r="K64" s="4" t="s">
        <v>709</v>
      </c>
    </row>
    <row r="65" spans="1:11" x14ac:dyDescent="0.35">
      <c r="A65" t="str">
        <f>IF('Other Emission Meters'!B65="",A64,'Other Emission Meters'!B65)</f>
        <v>Meter Numbers</v>
      </c>
      <c r="B65" t="str" cm="1">
        <f>IF(ISBLANK(INDEX(Array_EmissionChargeData,ROW()-2,(COLUMN())*2-3)),"",INDEX(Array_EmissionChargeData,ROW()-2,(COLUMN())*2-3))</f>
        <v/>
      </c>
      <c r="C65" t="str" cm="1">
        <f>IF(ISBLANK(INDEX(Array_EmissionChargeData,ROW()-2,(COLUMN())*2-3)),"",INDEX(Array_EmissionChargeData,ROW()-2,(COLUMN())*2-3))</f>
        <v/>
      </c>
      <c r="D65" t="str" cm="1">
        <f>IF(ISBLANK(INDEX(Array_EmissionChargeData,ROW()-2,(COLUMN())*2-3)),"",INDEX(Array_EmissionChargeData,ROW()-2,(COLUMN())*2-3))</f>
        <v/>
      </c>
      <c r="E65" t="str" cm="1">
        <f>IF(ISBLANK(INDEX(Array_EmissionChargeData,ROW()-2,(COLUMN())*2-3)),"",INDEX(Array_EmissionChargeData,ROW()-2,(COLUMN())*2-3))</f>
        <v/>
      </c>
      <c r="F65" t="str" cm="1">
        <f>IF(ISBLANK(INDEX(Array_EmissionChargeData,ROW()-2,(COLUMN())*2-3)),"",INDEX(Array_EmissionChargeData,ROW()-2,(COLUMN())*2-3))</f>
        <v/>
      </c>
      <c r="K65" t="s">
        <v>710</v>
      </c>
    </row>
    <row r="66" spans="1:11" x14ac:dyDescent="0.35">
      <c r="A66" t="str">
        <f>IF('Other Emission Meters'!B66="",A65,'Other Emission Meters'!B66)</f>
        <v>Meter Numbers</v>
      </c>
      <c r="B66" t="str" cm="1">
        <f>IF(ISBLANK(INDEX(Array_EmissionChargeData,ROW()-2,(COLUMN())*2-3)),"",INDEX(Array_EmissionChargeData,ROW()-2,(COLUMN())*2-3))</f>
        <v/>
      </c>
      <c r="C66" t="str" cm="1">
        <f>IF(ISBLANK(INDEX(Array_EmissionChargeData,ROW()-2,(COLUMN())*2-3)),"",INDEX(Array_EmissionChargeData,ROW()-2,(COLUMN())*2-3))</f>
        <v/>
      </c>
      <c r="D66" t="str" cm="1">
        <f>IF(ISBLANK(INDEX(Array_EmissionChargeData,ROW()-2,(COLUMN())*2-3)),"",INDEX(Array_EmissionChargeData,ROW()-2,(COLUMN())*2-3))</f>
        <v/>
      </c>
      <c r="E66" t="str" cm="1">
        <f>IF(ISBLANK(INDEX(Array_EmissionChargeData,ROW()-2,(COLUMN())*2-3)),"",INDEX(Array_EmissionChargeData,ROW()-2,(COLUMN())*2-3))</f>
        <v/>
      </c>
      <c r="F66" t="str" cm="1">
        <f>IF(ISBLANK(INDEX(Array_EmissionChargeData,ROW()-2,(COLUMN())*2-3)),"",INDEX(Array_EmissionChargeData,ROW()-2,(COLUMN())*2-3))</f>
        <v/>
      </c>
      <c r="K66" s="4" t="s">
        <v>711</v>
      </c>
    </row>
    <row r="67" spans="1:11" x14ac:dyDescent="0.35">
      <c r="A67" t="str">
        <f>IF('Other Emission Meters'!B67="",A66,'Other Emission Meters'!B67)</f>
        <v>Meter Numbers</v>
      </c>
      <c r="B67" t="str" cm="1">
        <f>IF(ISBLANK(INDEX(Array_EmissionChargeData,ROW()-2,(COLUMN())*2-3)),"",INDEX(Array_EmissionChargeData,ROW()-2,(COLUMN())*2-3))</f>
        <v/>
      </c>
      <c r="C67" t="str" cm="1">
        <f>IF(ISBLANK(INDEX(Array_EmissionChargeData,ROW()-2,(COLUMN())*2-3)),"",INDEX(Array_EmissionChargeData,ROW()-2,(COLUMN())*2-3))</f>
        <v/>
      </c>
      <c r="D67" t="str" cm="1">
        <f>IF(ISBLANK(INDEX(Array_EmissionChargeData,ROW()-2,(COLUMN())*2-3)),"",INDEX(Array_EmissionChargeData,ROW()-2,(COLUMN())*2-3))</f>
        <v/>
      </c>
      <c r="E67" t="str" cm="1">
        <f>IF(ISBLANK(INDEX(Array_EmissionChargeData,ROW()-2,(COLUMN())*2-3)),"",INDEX(Array_EmissionChargeData,ROW()-2,(COLUMN())*2-3))</f>
        <v/>
      </c>
      <c r="F67" t="str" cm="1">
        <f>IF(ISBLANK(INDEX(Array_EmissionChargeData,ROW()-2,(COLUMN())*2-3)),"",INDEX(Array_EmissionChargeData,ROW()-2,(COLUMN())*2-3))</f>
        <v/>
      </c>
      <c r="K67" t="s">
        <v>712</v>
      </c>
    </row>
    <row r="68" spans="1:11" x14ac:dyDescent="0.35">
      <c r="A68" t="str">
        <f>IF('Other Emission Meters'!B68="",A67,'Other Emission Meters'!B68)</f>
        <v>Meter Numbers</v>
      </c>
      <c r="B68" t="str" cm="1">
        <f>IF(ISBLANK(INDEX(Array_EmissionChargeData,ROW()-2,(COLUMN())*2-3)),"",INDEX(Array_EmissionChargeData,ROW()-2,(COLUMN())*2-3))</f>
        <v/>
      </c>
      <c r="C68" t="str" cm="1">
        <f>IF(ISBLANK(INDEX(Array_EmissionChargeData,ROW()-2,(COLUMN())*2-3)),"",INDEX(Array_EmissionChargeData,ROW()-2,(COLUMN())*2-3))</f>
        <v/>
      </c>
      <c r="D68" t="str" cm="1">
        <f>IF(ISBLANK(INDEX(Array_EmissionChargeData,ROW()-2,(COLUMN())*2-3)),"",INDEX(Array_EmissionChargeData,ROW()-2,(COLUMN())*2-3))</f>
        <v/>
      </c>
      <c r="E68" t="str" cm="1">
        <f>IF(ISBLANK(INDEX(Array_EmissionChargeData,ROW()-2,(COLUMN())*2-3)),"",INDEX(Array_EmissionChargeData,ROW()-2,(COLUMN())*2-3))</f>
        <v/>
      </c>
      <c r="F68" t="str" cm="1">
        <f>IF(ISBLANK(INDEX(Array_EmissionChargeData,ROW()-2,(COLUMN())*2-3)),"",INDEX(Array_EmissionChargeData,ROW()-2,(COLUMN())*2-3))</f>
        <v/>
      </c>
      <c r="K68" s="4" t="s">
        <v>713</v>
      </c>
    </row>
    <row r="69" spans="1:11" ht="15" thickBot="1" x14ac:dyDescent="0.4">
      <c r="A69" t="str">
        <f>IF('Other Emission Meters'!B69="",A68,'Other Emission Meters'!B69)</f>
        <v>Meter Numbers</v>
      </c>
      <c r="B69" t="str" cm="1">
        <f>IF(ISBLANK(INDEX(Array_EmissionChargeData,ROW()-2,(COLUMN())*2-3)),"",INDEX(Array_EmissionChargeData,ROW()-2,(COLUMN())*2-3))</f>
        <v/>
      </c>
      <c r="C69" t="str" cm="1">
        <f>IF(ISBLANK(INDEX(Array_EmissionChargeData,ROW()-2,(COLUMN())*2-3)),"",INDEX(Array_EmissionChargeData,ROW()-2,(COLUMN())*2-3))</f>
        <v/>
      </c>
      <c r="D69" t="str" cm="1">
        <f>IF(ISBLANK(INDEX(Array_EmissionChargeData,ROW()-2,(COLUMN())*2-3)),"",INDEX(Array_EmissionChargeData,ROW()-2,(COLUMN())*2-3))</f>
        <v/>
      </c>
      <c r="E69" t="str" cm="1">
        <f>IF(ISBLANK(INDEX(Array_EmissionChargeData,ROW()-2,(COLUMN())*2-3)),"",INDEX(Array_EmissionChargeData,ROW()-2,(COLUMN())*2-3))</f>
        <v/>
      </c>
      <c r="F69" t="str" cm="1">
        <f>IF(ISBLANK(INDEX(Array_EmissionChargeData,ROW()-2,(COLUMN())*2-3)),"",INDEX(Array_EmissionChargeData,ROW()-2,(COLUMN())*2-3))</f>
        <v/>
      </c>
      <c r="K69" s="9" t="s">
        <v>714</v>
      </c>
    </row>
    <row r="70" spans="1:11" x14ac:dyDescent="0.35">
      <c r="A70" t="str">
        <f>IF('Other Emission Meters'!B70="",A69,'Other Emission Meters'!B70)</f>
        <v>Meter Numbers</v>
      </c>
      <c r="B70" t="str" cm="1">
        <f>IF(ISBLANK(INDEX(Array_EmissionChargeData,ROW()-2,(COLUMN())*2-3)),"",INDEX(Array_EmissionChargeData,ROW()-2,(COLUMN())*2-3))</f>
        <v/>
      </c>
      <c r="C70" t="str" cm="1">
        <f>IF(ISBLANK(INDEX(Array_EmissionChargeData,ROW()-2,(COLUMN())*2-3)),"",INDEX(Array_EmissionChargeData,ROW()-2,(COLUMN())*2-3))</f>
        <v/>
      </c>
      <c r="D70" t="str" cm="1">
        <f>IF(ISBLANK(INDEX(Array_EmissionChargeData,ROW()-2,(COLUMN())*2-3)),"",INDEX(Array_EmissionChargeData,ROW()-2,(COLUMN())*2-3))</f>
        <v/>
      </c>
      <c r="E70" t="str" cm="1">
        <f>IF(ISBLANK(INDEX(Array_EmissionChargeData,ROW()-2,(COLUMN())*2-3)),"",INDEX(Array_EmissionChargeData,ROW()-2,(COLUMN())*2-3))</f>
        <v/>
      </c>
      <c r="F70" t="str" cm="1">
        <f>IF(ISBLANK(INDEX(Array_EmissionChargeData,ROW()-2,(COLUMN())*2-3)),"",INDEX(Array_EmissionChargeData,ROW()-2,(COLUMN())*2-3))</f>
        <v/>
      </c>
    </row>
    <row r="71" spans="1:11" x14ac:dyDescent="0.35">
      <c r="A71" t="str">
        <f>IF('Other Emission Meters'!B71="",A70,'Other Emission Meters'!B71)</f>
        <v>Meter Numbers</v>
      </c>
      <c r="B71" t="str" cm="1">
        <f>IF(ISBLANK(INDEX(Array_EmissionChargeData,ROW()-2,(COLUMN())*2-3)),"",INDEX(Array_EmissionChargeData,ROW()-2,(COLUMN())*2-3))</f>
        <v/>
      </c>
      <c r="C71" t="str" cm="1">
        <f>IF(ISBLANK(INDEX(Array_EmissionChargeData,ROW()-2,(COLUMN())*2-3)),"",INDEX(Array_EmissionChargeData,ROW()-2,(COLUMN())*2-3))</f>
        <v/>
      </c>
      <c r="D71" t="str" cm="1">
        <f>IF(ISBLANK(INDEX(Array_EmissionChargeData,ROW()-2,(COLUMN())*2-3)),"",INDEX(Array_EmissionChargeData,ROW()-2,(COLUMN())*2-3))</f>
        <v/>
      </c>
      <c r="E71" t="str" cm="1">
        <f>IF(ISBLANK(INDEX(Array_EmissionChargeData,ROW()-2,(COLUMN())*2-3)),"",INDEX(Array_EmissionChargeData,ROW()-2,(COLUMN())*2-3))</f>
        <v/>
      </c>
      <c r="F71" t="str" cm="1">
        <f>IF(ISBLANK(INDEX(Array_EmissionChargeData,ROW()-2,(COLUMN())*2-3)),"",INDEX(Array_EmissionChargeData,ROW()-2,(COLUMN())*2-3))</f>
        <v/>
      </c>
    </row>
    <row r="72" spans="1:11" x14ac:dyDescent="0.35">
      <c r="A72" t="str">
        <f>IF('Other Emission Meters'!B72="",A71,'Other Emission Meters'!B72)</f>
        <v>Meter Numbers</v>
      </c>
      <c r="B72" t="str" cm="1">
        <f>IF(ISBLANK(INDEX(Array_EmissionChargeData,ROW()-2,(COLUMN())*2-3)),"",INDEX(Array_EmissionChargeData,ROW()-2,(COLUMN())*2-3))</f>
        <v/>
      </c>
      <c r="C72" t="str" cm="1">
        <f>IF(ISBLANK(INDEX(Array_EmissionChargeData,ROW()-2,(COLUMN())*2-3)),"",INDEX(Array_EmissionChargeData,ROW()-2,(COLUMN())*2-3))</f>
        <v/>
      </c>
      <c r="D72" t="str" cm="1">
        <f>IF(ISBLANK(INDEX(Array_EmissionChargeData,ROW()-2,(COLUMN())*2-3)),"",INDEX(Array_EmissionChargeData,ROW()-2,(COLUMN())*2-3))</f>
        <v/>
      </c>
      <c r="E72" t="str" cm="1">
        <f>IF(ISBLANK(INDEX(Array_EmissionChargeData,ROW()-2,(COLUMN())*2-3)),"",INDEX(Array_EmissionChargeData,ROW()-2,(COLUMN())*2-3))</f>
        <v/>
      </c>
      <c r="F72" t="str" cm="1">
        <f>IF(ISBLANK(INDEX(Array_EmissionChargeData,ROW()-2,(COLUMN())*2-3)),"",INDEX(Array_EmissionChargeData,ROW()-2,(COLUMN())*2-3))</f>
        <v/>
      </c>
    </row>
    <row r="73" spans="1:11" x14ac:dyDescent="0.35">
      <c r="A73" t="str">
        <f>IF('Other Emission Meters'!B73="",A72,'Other Emission Meters'!B73)</f>
        <v>Meter Numbers</v>
      </c>
      <c r="B73" t="str" cm="1">
        <f>IF(ISBLANK(INDEX(Array_EmissionChargeData,ROW()-2,(COLUMN())*2-3)),"",INDEX(Array_EmissionChargeData,ROW()-2,(COLUMN())*2-3))</f>
        <v/>
      </c>
      <c r="C73" t="str" cm="1">
        <f>IF(ISBLANK(INDEX(Array_EmissionChargeData,ROW()-2,(COLUMN())*2-3)),"",INDEX(Array_EmissionChargeData,ROW()-2,(COLUMN())*2-3))</f>
        <v/>
      </c>
      <c r="D73" t="str" cm="1">
        <f>IF(ISBLANK(INDEX(Array_EmissionChargeData,ROW()-2,(COLUMN())*2-3)),"",INDEX(Array_EmissionChargeData,ROW()-2,(COLUMN())*2-3))</f>
        <v/>
      </c>
      <c r="E73" t="str" cm="1">
        <f>IF(ISBLANK(INDEX(Array_EmissionChargeData,ROW()-2,(COLUMN())*2-3)),"",INDEX(Array_EmissionChargeData,ROW()-2,(COLUMN())*2-3))</f>
        <v/>
      </c>
      <c r="F73" t="str" cm="1">
        <f>IF(ISBLANK(INDEX(Array_EmissionChargeData,ROW()-2,(COLUMN())*2-3)),"",INDEX(Array_EmissionChargeData,ROW()-2,(COLUMN())*2-3))</f>
        <v/>
      </c>
    </row>
    <row r="74" spans="1:11" x14ac:dyDescent="0.35">
      <c r="A74" t="str">
        <f>IF('Other Emission Meters'!B74="",A73,'Other Emission Meters'!B74)</f>
        <v>Meter Numbers</v>
      </c>
      <c r="B74" t="str" cm="1">
        <f>IF(ISBLANK(INDEX(Array_EmissionChargeData,ROW()-2,(COLUMN())*2-3)),"",INDEX(Array_EmissionChargeData,ROW()-2,(COLUMN())*2-3))</f>
        <v/>
      </c>
      <c r="C74" t="str" cm="1">
        <f>IF(ISBLANK(INDEX(Array_EmissionChargeData,ROW()-2,(COLUMN())*2-3)),"",INDEX(Array_EmissionChargeData,ROW()-2,(COLUMN())*2-3))</f>
        <v/>
      </c>
      <c r="D74" t="str" cm="1">
        <f>IF(ISBLANK(INDEX(Array_EmissionChargeData,ROW()-2,(COLUMN())*2-3)),"",INDEX(Array_EmissionChargeData,ROW()-2,(COLUMN())*2-3))</f>
        <v/>
      </c>
      <c r="E74" t="str" cm="1">
        <f>IF(ISBLANK(INDEX(Array_EmissionChargeData,ROW()-2,(COLUMN())*2-3)),"",INDEX(Array_EmissionChargeData,ROW()-2,(COLUMN())*2-3))</f>
        <v/>
      </c>
      <c r="F74" t="str" cm="1">
        <f>IF(ISBLANK(INDEX(Array_EmissionChargeData,ROW()-2,(COLUMN())*2-3)),"",INDEX(Array_EmissionChargeData,ROW()-2,(COLUMN())*2-3))</f>
        <v/>
      </c>
    </row>
    <row r="75" spans="1:11" x14ac:dyDescent="0.35">
      <c r="A75" t="str">
        <f>IF('Other Emission Meters'!B75="",A74,'Other Emission Meters'!B75)</f>
        <v>Meter Numbers</v>
      </c>
      <c r="B75" t="str" cm="1">
        <f>IF(ISBLANK(INDEX(Array_EmissionChargeData,ROW()-2,(COLUMN())*2-3)),"",INDEX(Array_EmissionChargeData,ROW()-2,(COLUMN())*2-3))</f>
        <v/>
      </c>
      <c r="C75" t="str" cm="1">
        <f>IF(ISBLANK(INDEX(Array_EmissionChargeData,ROW()-2,(COLUMN())*2-3)),"",INDEX(Array_EmissionChargeData,ROW()-2,(COLUMN())*2-3))</f>
        <v/>
      </c>
      <c r="D75" t="str" cm="1">
        <f>IF(ISBLANK(INDEX(Array_EmissionChargeData,ROW()-2,(COLUMN())*2-3)),"",INDEX(Array_EmissionChargeData,ROW()-2,(COLUMN())*2-3))</f>
        <v/>
      </c>
      <c r="E75" t="str" cm="1">
        <f>IF(ISBLANK(INDEX(Array_EmissionChargeData,ROW()-2,(COLUMN())*2-3)),"",INDEX(Array_EmissionChargeData,ROW()-2,(COLUMN())*2-3))</f>
        <v/>
      </c>
      <c r="F75" t="str" cm="1">
        <f>IF(ISBLANK(INDEX(Array_EmissionChargeData,ROW()-2,(COLUMN())*2-3)),"",INDEX(Array_EmissionChargeData,ROW()-2,(COLUMN())*2-3))</f>
        <v/>
      </c>
    </row>
    <row r="76" spans="1:11" x14ac:dyDescent="0.35">
      <c r="A76" t="str">
        <f>IF('Other Emission Meters'!B76="",A75,'Other Emission Meters'!B76)</f>
        <v>Meter Numbers</v>
      </c>
      <c r="B76" t="str" cm="1">
        <f>IF(ISBLANK(INDEX(Array_EmissionChargeData,ROW()-2,(COLUMN())*2-3)),"",INDEX(Array_EmissionChargeData,ROW()-2,(COLUMN())*2-3))</f>
        <v/>
      </c>
      <c r="C76" t="str" cm="1">
        <f>IF(ISBLANK(INDEX(Array_EmissionChargeData,ROW()-2,(COLUMN())*2-3)),"",INDEX(Array_EmissionChargeData,ROW()-2,(COLUMN())*2-3))</f>
        <v/>
      </c>
      <c r="D76" t="str" cm="1">
        <f>IF(ISBLANK(INDEX(Array_EmissionChargeData,ROW()-2,(COLUMN())*2-3)),"",INDEX(Array_EmissionChargeData,ROW()-2,(COLUMN())*2-3))</f>
        <v/>
      </c>
      <c r="E76" t="str" cm="1">
        <f>IF(ISBLANK(INDEX(Array_EmissionChargeData,ROW()-2,(COLUMN())*2-3)),"",INDEX(Array_EmissionChargeData,ROW()-2,(COLUMN())*2-3))</f>
        <v/>
      </c>
      <c r="F76" t="str" cm="1">
        <f>IF(ISBLANK(INDEX(Array_EmissionChargeData,ROW()-2,(COLUMN())*2-3)),"",INDEX(Array_EmissionChargeData,ROW()-2,(COLUMN())*2-3))</f>
        <v/>
      </c>
    </row>
    <row r="77" spans="1:11" x14ac:dyDescent="0.35">
      <c r="A77" t="str">
        <f>IF('Other Emission Meters'!B77="",A76,'Other Emission Meters'!B77)</f>
        <v>Meter Numbers</v>
      </c>
      <c r="B77" t="str" cm="1">
        <f>IF(ISBLANK(INDEX(Array_EmissionChargeData,ROW()-2,(COLUMN())*2-3)),"",INDEX(Array_EmissionChargeData,ROW()-2,(COLUMN())*2-3))</f>
        <v/>
      </c>
      <c r="C77" t="str" cm="1">
        <f>IF(ISBLANK(INDEX(Array_EmissionChargeData,ROW()-2,(COLUMN())*2-3)),"",INDEX(Array_EmissionChargeData,ROW()-2,(COLUMN())*2-3))</f>
        <v/>
      </c>
      <c r="D77" t="str" cm="1">
        <f>IF(ISBLANK(INDEX(Array_EmissionChargeData,ROW()-2,(COLUMN())*2-3)),"",INDEX(Array_EmissionChargeData,ROW()-2,(COLUMN())*2-3))</f>
        <v/>
      </c>
      <c r="E77" t="str" cm="1">
        <f>IF(ISBLANK(INDEX(Array_EmissionChargeData,ROW()-2,(COLUMN())*2-3)),"",INDEX(Array_EmissionChargeData,ROW()-2,(COLUMN())*2-3))</f>
        <v/>
      </c>
      <c r="F77" t="str" cm="1">
        <f>IF(ISBLANK(INDEX(Array_EmissionChargeData,ROW()-2,(COLUMN())*2-3)),"",INDEX(Array_EmissionChargeData,ROW()-2,(COLUMN())*2-3))</f>
        <v/>
      </c>
    </row>
    <row r="78" spans="1:11" x14ac:dyDescent="0.35">
      <c r="A78" t="str">
        <f>IF('Other Emission Meters'!B78="",A77,'Other Emission Meters'!B78)</f>
        <v>Meter Numbers</v>
      </c>
      <c r="B78" t="str" cm="1">
        <f>IF(ISBLANK(INDEX(Array_EmissionChargeData,ROW()-2,(COLUMN())*2-3)),"",INDEX(Array_EmissionChargeData,ROW()-2,(COLUMN())*2-3))</f>
        <v/>
      </c>
      <c r="C78" t="str" cm="1">
        <f>IF(ISBLANK(INDEX(Array_EmissionChargeData,ROW()-2,(COLUMN())*2-3)),"",INDEX(Array_EmissionChargeData,ROW()-2,(COLUMN())*2-3))</f>
        <v/>
      </c>
      <c r="D78" t="str" cm="1">
        <f>IF(ISBLANK(INDEX(Array_EmissionChargeData,ROW()-2,(COLUMN())*2-3)),"",INDEX(Array_EmissionChargeData,ROW()-2,(COLUMN())*2-3))</f>
        <v/>
      </c>
      <c r="E78" t="str" cm="1">
        <f>IF(ISBLANK(INDEX(Array_EmissionChargeData,ROW()-2,(COLUMN())*2-3)),"",INDEX(Array_EmissionChargeData,ROW()-2,(COLUMN())*2-3))</f>
        <v/>
      </c>
      <c r="F78" t="str" cm="1">
        <f>IF(ISBLANK(INDEX(Array_EmissionChargeData,ROW()-2,(COLUMN())*2-3)),"",INDEX(Array_EmissionChargeData,ROW()-2,(COLUMN())*2-3))</f>
        <v/>
      </c>
    </row>
    <row r="79" spans="1:11" x14ac:dyDescent="0.35">
      <c r="A79" t="str">
        <f>IF('Other Emission Meters'!B79="",A78,'Other Emission Meters'!B79)</f>
        <v>Meter Numbers</v>
      </c>
      <c r="B79" t="str" cm="1">
        <f>IF(ISBLANK(INDEX(Array_EmissionChargeData,ROW()-2,(COLUMN())*2-3)),"",INDEX(Array_EmissionChargeData,ROW()-2,(COLUMN())*2-3))</f>
        <v/>
      </c>
      <c r="C79" t="str" cm="1">
        <f>IF(ISBLANK(INDEX(Array_EmissionChargeData,ROW()-2,(COLUMN())*2-3)),"",INDEX(Array_EmissionChargeData,ROW()-2,(COLUMN())*2-3))</f>
        <v/>
      </c>
      <c r="D79" t="str" cm="1">
        <f>IF(ISBLANK(INDEX(Array_EmissionChargeData,ROW()-2,(COLUMN())*2-3)),"",INDEX(Array_EmissionChargeData,ROW()-2,(COLUMN())*2-3))</f>
        <v/>
      </c>
      <c r="E79" t="str" cm="1">
        <f>IF(ISBLANK(INDEX(Array_EmissionChargeData,ROW()-2,(COLUMN())*2-3)),"",INDEX(Array_EmissionChargeData,ROW()-2,(COLUMN())*2-3))</f>
        <v/>
      </c>
      <c r="F79" t="str" cm="1">
        <f>IF(ISBLANK(INDEX(Array_EmissionChargeData,ROW()-2,(COLUMN())*2-3)),"",INDEX(Array_EmissionChargeData,ROW()-2,(COLUMN())*2-3))</f>
        <v/>
      </c>
    </row>
    <row r="80" spans="1:11" x14ac:dyDescent="0.35">
      <c r="A80" t="str">
        <f>IF('Other Emission Meters'!B80="",A79,'Other Emission Meters'!B80)</f>
        <v>Meter Numbers</v>
      </c>
      <c r="B80" t="str" cm="1">
        <f>IF(ISBLANK(INDEX(Array_EmissionChargeData,ROW()-2,(COLUMN())*2-3)),"",INDEX(Array_EmissionChargeData,ROW()-2,(COLUMN())*2-3))</f>
        <v/>
      </c>
      <c r="C80" t="str" cm="1">
        <f>IF(ISBLANK(INDEX(Array_EmissionChargeData,ROW()-2,(COLUMN())*2-3)),"",INDEX(Array_EmissionChargeData,ROW()-2,(COLUMN())*2-3))</f>
        <v/>
      </c>
      <c r="D80" t="str" cm="1">
        <f>IF(ISBLANK(INDEX(Array_EmissionChargeData,ROW()-2,(COLUMN())*2-3)),"",INDEX(Array_EmissionChargeData,ROW()-2,(COLUMN())*2-3))</f>
        <v/>
      </c>
      <c r="E80" t="str" cm="1">
        <f>IF(ISBLANK(INDEX(Array_EmissionChargeData,ROW()-2,(COLUMN())*2-3)),"",INDEX(Array_EmissionChargeData,ROW()-2,(COLUMN())*2-3))</f>
        <v/>
      </c>
      <c r="F80" t="str" cm="1">
        <f>IF(ISBLANK(INDEX(Array_EmissionChargeData,ROW()-2,(COLUMN())*2-3)),"",INDEX(Array_EmissionChargeData,ROW()-2,(COLUMN())*2-3))</f>
        <v/>
      </c>
    </row>
    <row r="81" spans="1:6" x14ac:dyDescent="0.35">
      <c r="A81" t="str">
        <f>IF('Other Emission Meters'!B81="",A80,'Other Emission Meters'!B81)</f>
        <v>Meter Numbers</v>
      </c>
      <c r="B81" t="str" cm="1">
        <f>IF(ISBLANK(INDEX(Array_EmissionChargeData,ROW()-2,(COLUMN())*2-3)),"",INDEX(Array_EmissionChargeData,ROW()-2,(COLUMN())*2-3))</f>
        <v/>
      </c>
      <c r="C81" t="str" cm="1">
        <f>IF(ISBLANK(INDEX(Array_EmissionChargeData,ROW()-2,(COLUMN())*2-3)),"",INDEX(Array_EmissionChargeData,ROW()-2,(COLUMN())*2-3))</f>
        <v/>
      </c>
      <c r="D81" t="str" cm="1">
        <f>IF(ISBLANK(INDEX(Array_EmissionChargeData,ROW()-2,(COLUMN())*2-3)),"",INDEX(Array_EmissionChargeData,ROW()-2,(COLUMN())*2-3))</f>
        <v/>
      </c>
      <c r="E81" t="str" cm="1">
        <f>IF(ISBLANK(INDEX(Array_EmissionChargeData,ROW()-2,(COLUMN())*2-3)),"",INDEX(Array_EmissionChargeData,ROW()-2,(COLUMN())*2-3))</f>
        <v/>
      </c>
      <c r="F81" t="str" cm="1">
        <f>IF(ISBLANK(INDEX(Array_EmissionChargeData,ROW()-2,(COLUMN())*2-3)),"",INDEX(Array_EmissionChargeData,ROW()-2,(COLUMN())*2-3))</f>
        <v/>
      </c>
    </row>
    <row r="82" spans="1:6" x14ac:dyDescent="0.35">
      <c r="A82" t="str">
        <f>IF('Other Emission Meters'!B82="",A81,'Other Emission Meters'!B82)</f>
        <v>Meter Numbers</v>
      </c>
      <c r="B82" t="str" cm="1">
        <f>IF(ISBLANK(INDEX(Array_EmissionChargeData,ROW()-2,(COLUMN())*2-3)),"",INDEX(Array_EmissionChargeData,ROW()-2,(COLUMN())*2-3))</f>
        <v/>
      </c>
      <c r="C82" t="str" cm="1">
        <f>IF(ISBLANK(INDEX(Array_EmissionChargeData,ROW()-2,(COLUMN())*2-3)),"",INDEX(Array_EmissionChargeData,ROW()-2,(COLUMN())*2-3))</f>
        <v/>
      </c>
      <c r="D82" t="str" cm="1">
        <f>IF(ISBLANK(INDEX(Array_EmissionChargeData,ROW()-2,(COLUMN())*2-3)),"",INDEX(Array_EmissionChargeData,ROW()-2,(COLUMN())*2-3))</f>
        <v/>
      </c>
      <c r="E82" t="str" cm="1">
        <f>IF(ISBLANK(INDEX(Array_EmissionChargeData,ROW()-2,(COLUMN())*2-3)),"",INDEX(Array_EmissionChargeData,ROW()-2,(COLUMN())*2-3))</f>
        <v/>
      </c>
      <c r="F82" t="str" cm="1">
        <f>IF(ISBLANK(INDEX(Array_EmissionChargeData,ROW()-2,(COLUMN())*2-3)),"",INDEX(Array_EmissionChargeData,ROW()-2,(COLUMN())*2-3))</f>
        <v/>
      </c>
    </row>
    <row r="83" spans="1:6" x14ac:dyDescent="0.35">
      <c r="A83" t="str">
        <f>IF('Other Emission Meters'!B83="",A82,'Other Emission Meters'!B83)</f>
        <v>Meter Numbers</v>
      </c>
      <c r="B83" t="str" cm="1">
        <f>IF(ISBLANK(INDEX(Array_EmissionChargeData,ROW()-2,(COLUMN())*2-3)),"",INDEX(Array_EmissionChargeData,ROW()-2,(COLUMN())*2-3))</f>
        <v/>
      </c>
      <c r="C83" t="str" cm="1">
        <f>IF(ISBLANK(INDEX(Array_EmissionChargeData,ROW()-2,(COLUMN())*2-3)),"",INDEX(Array_EmissionChargeData,ROW()-2,(COLUMN())*2-3))</f>
        <v/>
      </c>
      <c r="D83" t="str" cm="1">
        <f>IF(ISBLANK(INDEX(Array_EmissionChargeData,ROW()-2,(COLUMN())*2-3)),"",INDEX(Array_EmissionChargeData,ROW()-2,(COLUMN())*2-3))</f>
        <v/>
      </c>
      <c r="E83" t="str" cm="1">
        <f>IF(ISBLANK(INDEX(Array_EmissionChargeData,ROW()-2,(COLUMN())*2-3)),"",INDEX(Array_EmissionChargeData,ROW()-2,(COLUMN())*2-3))</f>
        <v/>
      </c>
      <c r="F83" t="str" cm="1">
        <f>IF(ISBLANK(INDEX(Array_EmissionChargeData,ROW()-2,(COLUMN())*2-3)),"",INDEX(Array_EmissionChargeData,ROW()-2,(COLUMN())*2-3))</f>
        <v/>
      </c>
    </row>
    <row r="84" spans="1:6" x14ac:dyDescent="0.35">
      <c r="A84" t="str">
        <f>IF('Other Emission Meters'!B84="",A83,'Other Emission Meters'!B84)</f>
        <v>Meter Numbers</v>
      </c>
      <c r="B84" t="str" cm="1">
        <f>IF(ISBLANK(INDEX(Array_EmissionChargeData,ROW()-2,(COLUMN())*2-3)),"",INDEX(Array_EmissionChargeData,ROW()-2,(COLUMN())*2-3))</f>
        <v/>
      </c>
      <c r="C84" t="str" cm="1">
        <f>IF(ISBLANK(INDEX(Array_EmissionChargeData,ROW()-2,(COLUMN())*2-3)),"",INDEX(Array_EmissionChargeData,ROW()-2,(COLUMN())*2-3))</f>
        <v/>
      </c>
      <c r="D84" t="str" cm="1">
        <f>IF(ISBLANK(INDEX(Array_EmissionChargeData,ROW()-2,(COLUMN())*2-3)),"",INDEX(Array_EmissionChargeData,ROW()-2,(COLUMN())*2-3))</f>
        <v/>
      </c>
      <c r="E84" t="str" cm="1">
        <f>IF(ISBLANK(INDEX(Array_EmissionChargeData,ROW()-2,(COLUMN())*2-3)),"",INDEX(Array_EmissionChargeData,ROW()-2,(COLUMN())*2-3))</f>
        <v/>
      </c>
      <c r="F84" t="str" cm="1">
        <f>IF(ISBLANK(INDEX(Array_EmissionChargeData,ROW()-2,(COLUMN())*2-3)),"",INDEX(Array_EmissionChargeData,ROW()-2,(COLUMN())*2-3))</f>
        <v/>
      </c>
    </row>
    <row r="85" spans="1:6" x14ac:dyDescent="0.35">
      <c r="A85" t="str">
        <f>IF('Other Emission Meters'!B85="",A84,'Other Emission Meters'!B85)</f>
        <v>Meter Numbers</v>
      </c>
      <c r="B85" t="str" cm="1">
        <f>IF(ISBLANK(INDEX(Array_EmissionChargeData,ROW()-2,(COLUMN())*2-3)),"",INDEX(Array_EmissionChargeData,ROW()-2,(COLUMN())*2-3))</f>
        <v/>
      </c>
      <c r="C85" t="str" cm="1">
        <f>IF(ISBLANK(INDEX(Array_EmissionChargeData,ROW()-2,(COLUMN())*2-3)),"",INDEX(Array_EmissionChargeData,ROW()-2,(COLUMN())*2-3))</f>
        <v/>
      </c>
      <c r="D85" t="str" cm="1">
        <f>IF(ISBLANK(INDEX(Array_EmissionChargeData,ROW()-2,(COLUMN())*2-3)),"",INDEX(Array_EmissionChargeData,ROW()-2,(COLUMN())*2-3))</f>
        <v/>
      </c>
      <c r="E85" t="str" cm="1">
        <f>IF(ISBLANK(INDEX(Array_EmissionChargeData,ROW()-2,(COLUMN())*2-3)),"",INDEX(Array_EmissionChargeData,ROW()-2,(COLUMN())*2-3))</f>
        <v/>
      </c>
      <c r="F85" t="str" cm="1">
        <f>IF(ISBLANK(INDEX(Array_EmissionChargeData,ROW()-2,(COLUMN())*2-3)),"",INDEX(Array_EmissionChargeData,ROW()-2,(COLUMN())*2-3))</f>
        <v/>
      </c>
    </row>
    <row r="86" spans="1:6" x14ac:dyDescent="0.35">
      <c r="A86" t="str">
        <f>IF('Other Emission Meters'!B86="",A85,'Other Emission Meters'!B86)</f>
        <v>Meter Numbers</v>
      </c>
      <c r="B86" t="str" cm="1">
        <f>IF(ISBLANK(INDEX(Array_EmissionChargeData,ROW()-2,(COLUMN())*2-3)),"",INDEX(Array_EmissionChargeData,ROW()-2,(COLUMN())*2-3))</f>
        <v/>
      </c>
      <c r="C86" t="str" cm="1">
        <f>IF(ISBLANK(INDEX(Array_EmissionChargeData,ROW()-2,(COLUMN())*2-3)),"",INDEX(Array_EmissionChargeData,ROW()-2,(COLUMN())*2-3))</f>
        <v/>
      </c>
      <c r="D86" t="str" cm="1">
        <f>IF(ISBLANK(INDEX(Array_EmissionChargeData,ROW()-2,(COLUMN())*2-3)),"",INDEX(Array_EmissionChargeData,ROW()-2,(COLUMN())*2-3))</f>
        <v/>
      </c>
      <c r="E86" t="str" cm="1">
        <f>IF(ISBLANK(INDEX(Array_EmissionChargeData,ROW()-2,(COLUMN())*2-3)),"",INDEX(Array_EmissionChargeData,ROW()-2,(COLUMN())*2-3))</f>
        <v/>
      </c>
      <c r="F86" t="str" cm="1">
        <f>IF(ISBLANK(INDEX(Array_EmissionChargeData,ROW()-2,(COLUMN())*2-3)),"",INDEX(Array_EmissionChargeData,ROW()-2,(COLUMN())*2-3))</f>
        <v/>
      </c>
    </row>
    <row r="87" spans="1:6" x14ac:dyDescent="0.35">
      <c r="A87" t="str">
        <f>IF('Other Emission Meters'!B87="",A86,'Other Emission Meters'!B87)</f>
        <v>Meter Numbers</v>
      </c>
      <c r="B87" t="str" cm="1">
        <f>IF(ISBLANK(INDEX(Array_EmissionChargeData,ROW()-2,(COLUMN())*2-3)),"",INDEX(Array_EmissionChargeData,ROW()-2,(COLUMN())*2-3))</f>
        <v/>
      </c>
      <c r="C87" t="str" cm="1">
        <f>IF(ISBLANK(INDEX(Array_EmissionChargeData,ROW()-2,(COLUMN())*2-3)),"",INDEX(Array_EmissionChargeData,ROW()-2,(COLUMN())*2-3))</f>
        <v/>
      </c>
      <c r="D87" t="str" cm="1">
        <f>IF(ISBLANK(INDEX(Array_EmissionChargeData,ROW()-2,(COLUMN())*2-3)),"",INDEX(Array_EmissionChargeData,ROW()-2,(COLUMN())*2-3))</f>
        <v/>
      </c>
      <c r="E87" t="str" cm="1">
        <f>IF(ISBLANK(INDEX(Array_EmissionChargeData,ROW()-2,(COLUMN())*2-3)),"",INDEX(Array_EmissionChargeData,ROW()-2,(COLUMN())*2-3))</f>
        <v/>
      </c>
      <c r="F87" t="str" cm="1">
        <f>IF(ISBLANK(INDEX(Array_EmissionChargeData,ROW()-2,(COLUMN())*2-3)),"",INDEX(Array_EmissionChargeData,ROW()-2,(COLUMN())*2-3))</f>
        <v/>
      </c>
    </row>
    <row r="88" spans="1:6" x14ac:dyDescent="0.35">
      <c r="A88" t="str">
        <f>IF('Other Emission Meters'!B88="",A87,'Other Emission Meters'!B88)</f>
        <v>Meter Numbers</v>
      </c>
      <c r="B88" t="str" cm="1">
        <f>IF(ISBLANK(INDEX(Array_EmissionChargeData,ROW()-2,(COLUMN())*2-3)),"",INDEX(Array_EmissionChargeData,ROW()-2,(COLUMN())*2-3))</f>
        <v/>
      </c>
      <c r="C88" t="str" cm="1">
        <f>IF(ISBLANK(INDEX(Array_EmissionChargeData,ROW()-2,(COLUMN())*2-3)),"",INDEX(Array_EmissionChargeData,ROW()-2,(COLUMN())*2-3))</f>
        <v/>
      </c>
      <c r="D88" t="str" cm="1">
        <f>IF(ISBLANK(INDEX(Array_EmissionChargeData,ROW()-2,(COLUMN())*2-3)),"",INDEX(Array_EmissionChargeData,ROW()-2,(COLUMN())*2-3))</f>
        <v/>
      </c>
      <c r="E88" t="str" cm="1">
        <f>IF(ISBLANK(INDEX(Array_EmissionChargeData,ROW()-2,(COLUMN())*2-3)),"",INDEX(Array_EmissionChargeData,ROW()-2,(COLUMN())*2-3))</f>
        <v/>
      </c>
      <c r="F88" t="str" cm="1">
        <f>IF(ISBLANK(INDEX(Array_EmissionChargeData,ROW()-2,(COLUMN())*2-3)),"",INDEX(Array_EmissionChargeData,ROW()-2,(COLUMN())*2-3))</f>
        <v/>
      </c>
    </row>
    <row r="89" spans="1:6" x14ac:dyDescent="0.35">
      <c r="A89" t="str">
        <f>IF('Other Emission Meters'!B89="",A88,'Other Emission Meters'!B89)</f>
        <v>Meter Numbers</v>
      </c>
      <c r="B89" t="str" cm="1">
        <f>IF(ISBLANK(INDEX(Array_EmissionChargeData,ROW()-2,(COLUMN())*2-3)),"",INDEX(Array_EmissionChargeData,ROW()-2,(COLUMN())*2-3))</f>
        <v/>
      </c>
      <c r="C89" t="str" cm="1">
        <f>IF(ISBLANK(INDEX(Array_EmissionChargeData,ROW()-2,(COLUMN())*2-3)),"",INDEX(Array_EmissionChargeData,ROW()-2,(COLUMN())*2-3))</f>
        <v/>
      </c>
      <c r="D89" t="str" cm="1">
        <f>IF(ISBLANK(INDEX(Array_EmissionChargeData,ROW()-2,(COLUMN())*2-3)),"",INDEX(Array_EmissionChargeData,ROW()-2,(COLUMN())*2-3))</f>
        <v/>
      </c>
      <c r="E89" t="str" cm="1">
        <f>IF(ISBLANK(INDEX(Array_EmissionChargeData,ROW()-2,(COLUMN())*2-3)),"",INDEX(Array_EmissionChargeData,ROW()-2,(COLUMN())*2-3))</f>
        <v/>
      </c>
      <c r="F89" t="str" cm="1">
        <f>IF(ISBLANK(INDEX(Array_EmissionChargeData,ROW()-2,(COLUMN())*2-3)),"",INDEX(Array_EmissionChargeData,ROW()-2,(COLUMN())*2-3))</f>
        <v/>
      </c>
    </row>
    <row r="90" spans="1:6" x14ac:dyDescent="0.35">
      <c r="A90" t="str">
        <f>IF('Other Emission Meters'!B90="",A89,'Other Emission Meters'!B90)</f>
        <v>Meter Numbers</v>
      </c>
      <c r="B90" t="str" cm="1">
        <f>IF(ISBLANK(INDEX(Array_EmissionChargeData,ROW()-2,(COLUMN())*2-3)),"",INDEX(Array_EmissionChargeData,ROW()-2,(COLUMN())*2-3))</f>
        <v/>
      </c>
      <c r="C90" t="str" cm="1">
        <f>IF(ISBLANK(INDEX(Array_EmissionChargeData,ROW()-2,(COLUMN())*2-3)),"",INDEX(Array_EmissionChargeData,ROW()-2,(COLUMN())*2-3))</f>
        <v/>
      </c>
      <c r="D90" t="str" cm="1">
        <f>IF(ISBLANK(INDEX(Array_EmissionChargeData,ROW()-2,(COLUMN())*2-3)),"",INDEX(Array_EmissionChargeData,ROW()-2,(COLUMN())*2-3))</f>
        <v/>
      </c>
      <c r="E90" t="str" cm="1">
        <f>IF(ISBLANK(INDEX(Array_EmissionChargeData,ROW()-2,(COLUMN())*2-3)),"",INDEX(Array_EmissionChargeData,ROW()-2,(COLUMN())*2-3))</f>
        <v/>
      </c>
      <c r="F90" t="str" cm="1">
        <f>IF(ISBLANK(INDEX(Array_EmissionChargeData,ROW()-2,(COLUMN())*2-3)),"",INDEX(Array_EmissionChargeData,ROW()-2,(COLUMN())*2-3))</f>
        <v/>
      </c>
    </row>
    <row r="91" spans="1:6" x14ac:dyDescent="0.35">
      <c r="A91" t="str">
        <f>IF('Other Emission Meters'!B91="",A90,'Other Emission Meters'!B91)</f>
        <v>Meter Numbers</v>
      </c>
      <c r="B91" t="str" cm="1">
        <f>IF(ISBLANK(INDEX(Array_EmissionChargeData,ROW()-2,(COLUMN())*2-3)),"",INDEX(Array_EmissionChargeData,ROW()-2,(COLUMN())*2-3))</f>
        <v/>
      </c>
      <c r="C91" t="str" cm="1">
        <f>IF(ISBLANK(INDEX(Array_EmissionChargeData,ROW()-2,(COLUMN())*2-3)),"",INDEX(Array_EmissionChargeData,ROW()-2,(COLUMN())*2-3))</f>
        <v/>
      </c>
      <c r="D91" t="str" cm="1">
        <f>IF(ISBLANK(INDEX(Array_EmissionChargeData,ROW()-2,(COLUMN())*2-3)),"",INDEX(Array_EmissionChargeData,ROW()-2,(COLUMN())*2-3))</f>
        <v/>
      </c>
      <c r="E91" t="str" cm="1">
        <f>IF(ISBLANK(INDEX(Array_EmissionChargeData,ROW()-2,(COLUMN())*2-3)),"",INDEX(Array_EmissionChargeData,ROW()-2,(COLUMN())*2-3))</f>
        <v/>
      </c>
      <c r="F91" t="str" cm="1">
        <f>IF(ISBLANK(INDEX(Array_EmissionChargeData,ROW()-2,(COLUMN())*2-3)),"",INDEX(Array_EmissionChargeData,ROW()-2,(COLUMN())*2-3))</f>
        <v/>
      </c>
    </row>
    <row r="92" spans="1:6" x14ac:dyDescent="0.35">
      <c r="A92" t="str">
        <f>IF('Other Emission Meters'!B92="",A91,'Other Emission Meters'!B92)</f>
        <v>Meter Numbers</v>
      </c>
      <c r="B92" t="str" cm="1">
        <f>IF(ISBLANK(INDEX(Array_EmissionChargeData,ROW()-2,(COLUMN())*2-3)),"",INDEX(Array_EmissionChargeData,ROW()-2,(COLUMN())*2-3))</f>
        <v/>
      </c>
      <c r="C92" t="str" cm="1">
        <f>IF(ISBLANK(INDEX(Array_EmissionChargeData,ROW()-2,(COLUMN())*2-3)),"",INDEX(Array_EmissionChargeData,ROW()-2,(COLUMN())*2-3))</f>
        <v/>
      </c>
      <c r="D92" t="str" cm="1">
        <f>IF(ISBLANK(INDEX(Array_EmissionChargeData,ROW()-2,(COLUMN())*2-3)),"",INDEX(Array_EmissionChargeData,ROW()-2,(COLUMN())*2-3))</f>
        <v/>
      </c>
      <c r="E92" t="str" cm="1">
        <f>IF(ISBLANK(INDEX(Array_EmissionChargeData,ROW()-2,(COLUMN())*2-3)),"",INDEX(Array_EmissionChargeData,ROW()-2,(COLUMN())*2-3))</f>
        <v/>
      </c>
      <c r="F92" t="str" cm="1">
        <f>IF(ISBLANK(INDEX(Array_EmissionChargeData,ROW()-2,(COLUMN())*2-3)),"",INDEX(Array_EmissionChargeData,ROW()-2,(COLUMN())*2-3))</f>
        <v/>
      </c>
    </row>
    <row r="93" spans="1:6" x14ac:dyDescent="0.35">
      <c r="A93" t="str">
        <f>IF('Other Emission Meters'!B93="",A92,'Other Emission Meters'!B93)</f>
        <v>Meter Numbers</v>
      </c>
      <c r="B93" t="str" cm="1">
        <f>IF(ISBLANK(INDEX(Array_EmissionChargeData,ROW()-2,(COLUMN())*2-3)),"",INDEX(Array_EmissionChargeData,ROW()-2,(COLUMN())*2-3))</f>
        <v/>
      </c>
      <c r="C93" t="str" cm="1">
        <f>IF(ISBLANK(INDEX(Array_EmissionChargeData,ROW()-2,(COLUMN())*2-3)),"",INDEX(Array_EmissionChargeData,ROW()-2,(COLUMN())*2-3))</f>
        <v/>
      </c>
      <c r="D93" t="str" cm="1">
        <f>IF(ISBLANK(INDEX(Array_EmissionChargeData,ROW()-2,(COLUMN())*2-3)),"",INDEX(Array_EmissionChargeData,ROW()-2,(COLUMN())*2-3))</f>
        <v/>
      </c>
      <c r="E93" t="str" cm="1">
        <f>IF(ISBLANK(INDEX(Array_EmissionChargeData,ROW()-2,(COLUMN())*2-3)),"",INDEX(Array_EmissionChargeData,ROW()-2,(COLUMN())*2-3))</f>
        <v/>
      </c>
      <c r="F93" t="str" cm="1">
        <f>IF(ISBLANK(INDEX(Array_EmissionChargeData,ROW()-2,(COLUMN())*2-3)),"",INDEX(Array_EmissionChargeData,ROW()-2,(COLUMN())*2-3))</f>
        <v/>
      </c>
    </row>
    <row r="94" spans="1:6" x14ac:dyDescent="0.35">
      <c r="A94" t="str">
        <f>IF('Other Emission Meters'!B94="",A93,'Other Emission Meters'!B94)</f>
        <v>Meter Numbers</v>
      </c>
      <c r="B94" t="str" cm="1">
        <f>IF(ISBLANK(INDEX(Array_EmissionChargeData,ROW()-2,(COLUMN())*2-3)),"",INDEX(Array_EmissionChargeData,ROW()-2,(COLUMN())*2-3))</f>
        <v/>
      </c>
      <c r="C94" t="str" cm="1">
        <f>IF(ISBLANK(INDEX(Array_EmissionChargeData,ROW()-2,(COLUMN())*2-3)),"",INDEX(Array_EmissionChargeData,ROW()-2,(COLUMN())*2-3))</f>
        <v/>
      </c>
      <c r="D94" t="str" cm="1">
        <f>IF(ISBLANK(INDEX(Array_EmissionChargeData,ROW()-2,(COLUMN())*2-3)),"",INDEX(Array_EmissionChargeData,ROW()-2,(COLUMN())*2-3))</f>
        <v/>
      </c>
      <c r="E94" t="str" cm="1">
        <f>IF(ISBLANK(INDEX(Array_EmissionChargeData,ROW()-2,(COLUMN())*2-3)),"",INDEX(Array_EmissionChargeData,ROW()-2,(COLUMN())*2-3))</f>
        <v/>
      </c>
      <c r="F94" t="str" cm="1">
        <f>IF(ISBLANK(INDEX(Array_EmissionChargeData,ROW()-2,(COLUMN())*2-3)),"",INDEX(Array_EmissionChargeData,ROW()-2,(COLUMN())*2-3))</f>
        <v/>
      </c>
    </row>
    <row r="95" spans="1:6" x14ac:dyDescent="0.35">
      <c r="A95" t="str">
        <f>IF('Other Emission Meters'!B95="",A94,'Other Emission Meters'!B95)</f>
        <v>Meter Numbers</v>
      </c>
      <c r="B95" t="str" cm="1">
        <f>IF(ISBLANK(INDEX(Array_EmissionChargeData,ROW()-2,(COLUMN())*2-3)),"",INDEX(Array_EmissionChargeData,ROW()-2,(COLUMN())*2-3))</f>
        <v/>
      </c>
      <c r="C95" t="str" cm="1">
        <f>IF(ISBLANK(INDEX(Array_EmissionChargeData,ROW()-2,(COLUMN())*2-3)),"",INDEX(Array_EmissionChargeData,ROW()-2,(COLUMN())*2-3))</f>
        <v/>
      </c>
      <c r="D95" t="str" cm="1">
        <f>IF(ISBLANK(INDEX(Array_EmissionChargeData,ROW()-2,(COLUMN())*2-3)),"",INDEX(Array_EmissionChargeData,ROW()-2,(COLUMN())*2-3))</f>
        <v/>
      </c>
      <c r="E95" t="str" cm="1">
        <f>IF(ISBLANK(INDEX(Array_EmissionChargeData,ROW()-2,(COLUMN())*2-3)),"",INDEX(Array_EmissionChargeData,ROW()-2,(COLUMN())*2-3))</f>
        <v/>
      </c>
      <c r="F95" t="str" cm="1">
        <f>IF(ISBLANK(INDEX(Array_EmissionChargeData,ROW()-2,(COLUMN())*2-3)),"",INDEX(Array_EmissionChargeData,ROW()-2,(COLUMN())*2-3))</f>
        <v/>
      </c>
    </row>
    <row r="96" spans="1:6" x14ac:dyDescent="0.35">
      <c r="A96" t="str">
        <f>IF('Other Emission Meters'!B96="",A95,'Other Emission Meters'!B96)</f>
        <v>Meter Numbers</v>
      </c>
      <c r="B96" t="str" cm="1">
        <f>IF(ISBLANK(INDEX(Array_EmissionChargeData,ROW()-2,(COLUMN())*2-3)),"",INDEX(Array_EmissionChargeData,ROW()-2,(COLUMN())*2-3))</f>
        <v/>
      </c>
      <c r="C96" t="str" cm="1">
        <f>IF(ISBLANK(INDEX(Array_EmissionChargeData,ROW()-2,(COLUMN())*2-3)),"",INDEX(Array_EmissionChargeData,ROW()-2,(COLUMN())*2-3))</f>
        <v/>
      </c>
      <c r="D96" t="str" cm="1">
        <f>IF(ISBLANK(INDEX(Array_EmissionChargeData,ROW()-2,(COLUMN())*2-3)),"",INDEX(Array_EmissionChargeData,ROW()-2,(COLUMN())*2-3))</f>
        <v/>
      </c>
      <c r="E96" t="str" cm="1">
        <f>IF(ISBLANK(INDEX(Array_EmissionChargeData,ROW()-2,(COLUMN())*2-3)),"",INDEX(Array_EmissionChargeData,ROW()-2,(COLUMN())*2-3))</f>
        <v/>
      </c>
      <c r="F96" t="str" cm="1">
        <f>IF(ISBLANK(INDEX(Array_EmissionChargeData,ROW()-2,(COLUMN())*2-3)),"",INDEX(Array_EmissionChargeData,ROW()-2,(COLUMN())*2-3))</f>
        <v/>
      </c>
    </row>
    <row r="97" spans="1:6" x14ac:dyDescent="0.35">
      <c r="A97" t="str">
        <f>IF('Other Emission Meters'!B97="",A96,'Other Emission Meters'!B97)</f>
        <v>Meter Numbers</v>
      </c>
      <c r="B97" t="str" cm="1">
        <f>IF(ISBLANK(INDEX(Array_EmissionChargeData,ROW()-2,(COLUMN())*2-3)),"",INDEX(Array_EmissionChargeData,ROW()-2,(COLUMN())*2-3))</f>
        <v/>
      </c>
      <c r="C97" t="str" cm="1">
        <f>IF(ISBLANK(INDEX(Array_EmissionChargeData,ROW()-2,(COLUMN())*2-3)),"",INDEX(Array_EmissionChargeData,ROW()-2,(COLUMN())*2-3))</f>
        <v/>
      </c>
      <c r="D97" t="str" cm="1">
        <f>IF(ISBLANK(INDEX(Array_EmissionChargeData,ROW()-2,(COLUMN())*2-3)),"",INDEX(Array_EmissionChargeData,ROW()-2,(COLUMN())*2-3))</f>
        <v/>
      </c>
      <c r="E97" t="str" cm="1">
        <f>IF(ISBLANK(INDEX(Array_EmissionChargeData,ROW()-2,(COLUMN())*2-3)),"",INDEX(Array_EmissionChargeData,ROW()-2,(COLUMN())*2-3))</f>
        <v/>
      </c>
      <c r="F97" t="str" cm="1">
        <f>IF(ISBLANK(INDEX(Array_EmissionChargeData,ROW()-2,(COLUMN())*2-3)),"",INDEX(Array_EmissionChargeData,ROW()-2,(COLUMN())*2-3))</f>
        <v/>
      </c>
    </row>
    <row r="98" spans="1:6" x14ac:dyDescent="0.35">
      <c r="A98" t="str">
        <f>IF('Other Emission Meters'!B98="",A97,'Other Emission Meters'!B98)</f>
        <v>Meter Numbers</v>
      </c>
      <c r="B98" t="str" cm="1">
        <f>IF(ISBLANK(INDEX(Array_EmissionChargeData,ROW()-2,(COLUMN())*2-3)),"",INDEX(Array_EmissionChargeData,ROW()-2,(COLUMN())*2-3))</f>
        <v/>
      </c>
      <c r="C98" t="str" cm="1">
        <f>IF(ISBLANK(INDEX(Array_EmissionChargeData,ROW()-2,(COLUMN())*2-3)),"",INDEX(Array_EmissionChargeData,ROW()-2,(COLUMN())*2-3))</f>
        <v/>
      </c>
      <c r="D98" t="str" cm="1">
        <f>IF(ISBLANK(INDEX(Array_EmissionChargeData,ROW()-2,(COLUMN())*2-3)),"",INDEX(Array_EmissionChargeData,ROW()-2,(COLUMN())*2-3))</f>
        <v/>
      </c>
      <c r="E98" t="str" cm="1">
        <f>IF(ISBLANK(INDEX(Array_EmissionChargeData,ROW()-2,(COLUMN())*2-3)),"",INDEX(Array_EmissionChargeData,ROW()-2,(COLUMN())*2-3))</f>
        <v/>
      </c>
      <c r="F98" t="str" cm="1">
        <f>IF(ISBLANK(INDEX(Array_EmissionChargeData,ROW()-2,(COLUMN())*2-3)),"",INDEX(Array_EmissionChargeData,ROW()-2,(COLUMN())*2-3))</f>
        <v/>
      </c>
    </row>
    <row r="99" spans="1:6" x14ac:dyDescent="0.35">
      <c r="A99" t="str">
        <f>IF('Other Emission Meters'!B99="",A98,'Other Emission Meters'!B99)</f>
        <v>Meter Numbers</v>
      </c>
      <c r="B99" t="str" cm="1">
        <f>IF(ISBLANK(INDEX(Array_EmissionChargeData,ROW()-2,(COLUMN())*2-3)),"",INDEX(Array_EmissionChargeData,ROW()-2,(COLUMN())*2-3))</f>
        <v/>
      </c>
      <c r="C99" t="str" cm="1">
        <f>IF(ISBLANK(INDEX(Array_EmissionChargeData,ROW()-2,(COLUMN())*2-3)),"",INDEX(Array_EmissionChargeData,ROW()-2,(COLUMN())*2-3))</f>
        <v/>
      </c>
      <c r="D99" t="str" cm="1">
        <f>IF(ISBLANK(INDEX(Array_EmissionChargeData,ROW()-2,(COLUMN())*2-3)),"",INDEX(Array_EmissionChargeData,ROW()-2,(COLUMN())*2-3))</f>
        <v/>
      </c>
      <c r="E99" t="str" cm="1">
        <f>IF(ISBLANK(INDEX(Array_EmissionChargeData,ROW()-2,(COLUMN())*2-3)),"",INDEX(Array_EmissionChargeData,ROW()-2,(COLUMN())*2-3))</f>
        <v/>
      </c>
      <c r="F99" t="str" cm="1">
        <f>IF(ISBLANK(INDEX(Array_EmissionChargeData,ROW()-2,(COLUMN())*2-3)),"",INDEX(Array_EmissionChargeData,ROW()-2,(COLUMN())*2-3))</f>
        <v/>
      </c>
    </row>
    <row r="100" spans="1:6" x14ac:dyDescent="0.35">
      <c r="A100" t="str">
        <f>IF('Other Emission Meters'!B100="",A99,'Other Emission Meters'!B100)</f>
        <v>Meter Numbers</v>
      </c>
      <c r="B100" t="str" cm="1">
        <f>IF(ISBLANK(INDEX(Array_EmissionChargeData,ROW()-2,(COLUMN())*2-3)),"",INDEX(Array_EmissionChargeData,ROW()-2,(COLUMN())*2-3))</f>
        <v/>
      </c>
      <c r="C100" t="str" cm="1">
        <f>IF(ISBLANK(INDEX(Array_EmissionChargeData,ROW()-2,(COLUMN())*2-3)),"",INDEX(Array_EmissionChargeData,ROW()-2,(COLUMN())*2-3))</f>
        <v/>
      </c>
      <c r="D100" t="str" cm="1">
        <f>IF(ISBLANK(INDEX(Array_EmissionChargeData,ROW()-2,(COLUMN())*2-3)),"",INDEX(Array_EmissionChargeData,ROW()-2,(COLUMN())*2-3))</f>
        <v/>
      </c>
      <c r="E100" t="str" cm="1">
        <f>IF(ISBLANK(INDEX(Array_EmissionChargeData,ROW()-2,(COLUMN())*2-3)),"",INDEX(Array_EmissionChargeData,ROW()-2,(COLUMN())*2-3))</f>
        <v/>
      </c>
      <c r="F100" t="str" cm="1">
        <f>IF(ISBLANK(INDEX(Array_EmissionChargeData,ROW()-2,(COLUMN())*2-3)),"",INDEX(Array_EmissionChargeData,ROW()-2,(COLUMN())*2-3))</f>
        <v/>
      </c>
    </row>
    <row r="101" spans="1:6" x14ac:dyDescent="0.35">
      <c r="A101" t="str">
        <f>IF('Other Emission Meters'!B101="",A100,'Other Emission Meters'!B101)</f>
        <v>Meter Numbers</v>
      </c>
      <c r="B101" t="str" cm="1">
        <f>IF(ISBLANK(INDEX(Array_EmissionChargeData,ROW()-2,(COLUMN())*2-3)),"",INDEX(Array_EmissionChargeData,ROW()-2,(COLUMN())*2-3))</f>
        <v/>
      </c>
      <c r="C101" t="str" cm="1">
        <f>IF(ISBLANK(INDEX(Array_EmissionChargeData,ROW()-2,(COLUMN())*2-3)),"",INDEX(Array_EmissionChargeData,ROW()-2,(COLUMN())*2-3))</f>
        <v/>
      </c>
      <c r="D101" t="str" cm="1">
        <f>IF(ISBLANK(INDEX(Array_EmissionChargeData,ROW()-2,(COLUMN())*2-3)),"",INDEX(Array_EmissionChargeData,ROW()-2,(COLUMN())*2-3))</f>
        <v/>
      </c>
      <c r="E101" t="str" cm="1">
        <f>IF(ISBLANK(INDEX(Array_EmissionChargeData,ROW()-2,(COLUMN())*2-3)),"",INDEX(Array_EmissionChargeData,ROW()-2,(COLUMN())*2-3))</f>
        <v/>
      </c>
      <c r="F101" t="str" cm="1">
        <f>IF(ISBLANK(INDEX(Array_EmissionChargeData,ROW()-2,(COLUMN())*2-3)),"",INDEX(Array_EmissionChargeData,ROW()-2,(COLUMN())*2-3))</f>
        <v/>
      </c>
    </row>
    <row r="102" spans="1:6" x14ac:dyDescent="0.35">
      <c r="A102" t="str">
        <f>IF('Other Emission Meters'!B102="",A101,'Other Emission Meters'!B102)</f>
        <v>Meter Numbers</v>
      </c>
      <c r="B102" t="str" cm="1">
        <f>IF(ISBLANK(INDEX(Array_EmissionChargeData,ROW()-2,(COLUMN())*2-3)),"",INDEX(Array_EmissionChargeData,ROW()-2,(COLUMN())*2-3))</f>
        <v/>
      </c>
      <c r="C102" t="str" cm="1">
        <f>IF(ISBLANK(INDEX(Array_EmissionChargeData,ROW()-2,(COLUMN())*2-3)),"",INDEX(Array_EmissionChargeData,ROW()-2,(COLUMN())*2-3))</f>
        <v/>
      </c>
      <c r="D102" t="str" cm="1">
        <f>IF(ISBLANK(INDEX(Array_EmissionChargeData,ROW()-2,(COLUMN())*2-3)),"",INDEX(Array_EmissionChargeData,ROW()-2,(COLUMN())*2-3))</f>
        <v/>
      </c>
      <c r="E102" t="str" cm="1">
        <f>IF(ISBLANK(INDEX(Array_EmissionChargeData,ROW()-2,(COLUMN())*2-3)),"",INDEX(Array_EmissionChargeData,ROW()-2,(COLUMN())*2-3))</f>
        <v/>
      </c>
      <c r="F102" t="str" cm="1">
        <f>IF(ISBLANK(INDEX(Array_EmissionChargeData,ROW()-2,(COLUMN())*2-3)),"",INDEX(Array_EmissionChargeData,ROW()-2,(COLUMN())*2-3))</f>
        <v/>
      </c>
    </row>
    <row r="103" spans="1:6" x14ac:dyDescent="0.35">
      <c r="A103" t="str">
        <f>IF('Other Emission Meters'!B103="",A102,'Other Emission Meters'!B103)</f>
        <v>Meter Numbers</v>
      </c>
      <c r="B103" t="str" cm="1">
        <f>IF(ISBLANK(INDEX(Array_EmissionChargeData,ROW()-2,(COLUMN())*2-3)),"",INDEX(Array_EmissionChargeData,ROW()-2,(COLUMN())*2-3))</f>
        <v/>
      </c>
      <c r="C103" t="str" cm="1">
        <f>IF(ISBLANK(INDEX(Array_EmissionChargeData,ROW()-2,(COLUMN())*2-3)),"",INDEX(Array_EmissionChargeData,ROW()-2,(COLUMN())*2-3))</f>
        <v/>
      </c>
      <c r="D103" t="str" cm="1">
        <f>IF(ISBLANK(INDEX(Array_EmissionChargeData,ROW()-2,(COLUMN())*2-3)),"",INDEX(Array_EmissionChargeData,ROW()-2,(COLUMN())*2-3))</f>
        <v/>
      </c>
      <c r="E103" t="str" cm="1">
        <f>IF(ISBLANK(INDEX(Array_EmissionChargeData,ROW()-2,(COLUMN())*2-3)),"",INDEX(Array_EmissionChargeData,ROW()-2,(COLUMN())*2-3))</f>
        <v/>
      </c>
      <c r="F103" t="str" cm="1">
        <f>IF(ISBLANK(INDEX(Array_EmissionChargeData,ROW()-2,(COLUMN())*2-3)),"",INDEX(Array_EmissionChargeData,ROW()-2,(COLUMN())*2-3))</f>
        <v/>
      </c>
    </row>
    <row r="104" spans="1:6" x14ac:dyDescent="0.35">
      <c r="A104" t="str">
        <f>IF('Other Emission Meters'!B104="",A103,'Other Emission Meters'!B104)</f>
        <v>Meter Numbers</v>
      </c>
      <c r="B104" t="str" cm="1">
        <f>IF(ISBLANK(INDEX(Array_EmissionChargeData,ROW()-2,(COLUMN())*2-3)),"",INDEX(Array_EmissionChargeData,ROW()-2,(COLUMN())*2-3))</f>
        <v/>
      </c>
      <c r="C104" t="str" cm="1">
        <f>IF(ISBLANK(INDEX(Array_EmissionChargeData,ROW()-2,(COLUMN())*2-3)),"",INDEX(Array_EmissionChargeData,ROW()-2,(COLUMN())*2-3))</f>
        <v/>
      </c>
      <c r="D104" t="str" cm="1">
        <f>IF(ISBLANK(INDEX(Array_EmissionChargeData,ROW()-2,(COLUMN())*2-3)),"",INDEX(Array_EmissionChargeData,ROW()-2,(COLUMN())*2-3))</f>
        <v/>
      </c>
      <c r="E104" t="str" cm="1">
        <f>IF(ISBLANK(INDEX(Array_EmissionChargeData,ROW()-2,(COLUMN())*2-3)),"",INDEX(Array_EmissionChargeData,ROW()-2,(COLUMN())*2-3))</f>
        <v/>
      </c>
      <c r="F104" t="str" cm="1">
        <f>IF(ISBLANK(INDEX(Array_EmissionChargeData,ROW()-2,(COLUMN())*2-3)),"",INDEX(Array_EmissionChargeData,ROW()-2,(COLUMN())*2-3))</f>
        <v/>
      </c>
    </row>
    <row r="105" spans="1:6" x14ac:dyDescent="0.35">
      <c r="A105" t="str">
        <f>IF('Other Emission Meters'!B105="",A104,'Other Emission Meters'!B105)</f>
        <v>Meter Numbers</v>
      </c>
      <c r="B105" t="str" cm="1">
        <f>IF(ISBLANK(INDEX(Array_EmissionChargeData,ROW()-2,(COLUMN())*2-3)),"",INDEX(Array_EmissionChargeData,ROW()-2,(COLUMN())*2-3))</f>
        <v/>
      </c>
      <c r="C105" t="str" cm="1">
        <f>IF(ISBLANK(INDEX(Array_EmissionChargeData,ROW()-2,(COLUMN())*2-3)),"",INDEX(Array_EmissionChargeData,ROW()-2,(COLUMN())*2-3))</f>
        <v/>
      </c>
      <c r="D105" t="str" cm="1">
        <f>IF(ISBLANK(INDEX(Array_EmissionChargeData,ROW()-2,(COLUMN())*2-3)),"",INDEX(Array_EmissionChargeData,ROW()-2,(COLUMN())*2-3))</f>
        <v/>
      </c>
      <c r="E105" t="str" cm="1">
        <f>IF(ISBLANK(INDEX(Array_EmissionChargeData,ROW()-2,(COLUMN())*2-3)),"",INDEX(Array_EmissionChargeData,ROW()-2,(COLUMN())*2-3))</f>
        <v/>
      </c>
      <c r="F105" t="str" cm="1">
        <f>IF(ISBLANK(INDEX(Array_EmissionChargeData,ROW()-2,(COLUMN())*2-3)),"",INDEX(Array_EmissionChargeData,ROW()-2,(COLUMN())*2-3))</f>
        <v/>
      </c>
    </row>
    <row r="106" spans="1:6" x14ac:dyDescent="0.35">
      <c r="A106" t="str">
        <f>IF('Other Emission Meters'!B106="",A105,'Other Emission Meters'!B106)</f>
        <v>Meter Numbers</v>
      </c>
      <c r="B106" t="str" cm="1">
        <f>IF(ISBLANK(INDEX(Array_EmissionChargeData,ROW()-2,(COLUMN())*2-3)),"",INDEX(Array_EmissionChargeData,ROW()-2,(COLUMN())*2-3))</f>
        <v/>
      </c>
      <c r="C106" t="str" cm="1">
        <f>IF(ISBLANK(INDEX(Array_EmissionChargeData,ROW()-2,(COLUMN())*2-3)),"",INDEX(Array_EmissionChargeData,ROW()-2,(COLUMN())*2-3))</f>
        <v/>
      </c>
      <c r="D106" t="str" cm="1">
        <f>IF(ISBLANK(INDEX(Array_EmissionChargeData,ROW()-2,(COLUMN())*2-3)),"",INDEX(Array_EmissionChargeData,ROW()-2,(COLUMN())*2-3))</f>
        <v/>
      </c>
      <c r="E106" t="str" cm="1">
        <f>IF(ISBLANK(INDEX(Array_EmissionChargeData,ROW()-2,(COLUMN())*2-3)),"",INDEX(Array_EmissionChargeData,ROW()-2,(COLUMN())*2-3))</f>
        <v/>
      </c>
      <c r="F106" t="str" cm="1">
        <f>IF(ISBLANK(INDEX(Array_EmissionChargeData,ROW()-2,(COLUMN())*2-3)),"",INDEX(Array_EmissionChargeData,ROW()-2,(COLUMN())*2-3))</f>
        <v/>
      </c>
    </row>
    <row r="107" spans="1:6" x14ac:dyDescent="0.35">
      <c r="A107" t="str">
        <f>IF('Other Emission Meters'!B107="",A106,'Other Emission Meters'!B107)</f>
        <v>Meter Numbers</v>
      </c>
      <c r="B107" t="str" cm="1">
        <f>IF(ISBLANK(INDEX(Array_EmissionChargeData,ROW()-2,(COLUMN())*2-3)),"",INDEX(Array_EmissionChargeData,ROW()-2,(COLUMN())*2-3))</f>
        <v/>
      </c>
      <c r="C107" t="str" cm="1">
        <f>IF(ISBLANK(INDEX(Array_EmissionChargeData,ROW()-2,(COLUMN())*2-3)),"",INDEX(Array_EmissionChargeData,ROW()-2,(COLUMN())*2-3))</f>
        <v/>
      </c>
      <c r="D107" t="str" cm="1">
        <f>IF(ISBLANK(INDEX(Array_EmissionChargeData,ROW()-2,(COLUMN())*2-3)),"",INDEX(Array_EmissionChargeData,ROW()-2,(COLUMN())*2-3))</f>
        <v/>
      </c>
      <c r="E107" t="str" cm="1">
        <f>IF(ISBLANK(INDEX(Array_EmissionChargeData,ROW()-2,(COLUMN())*2-3)),"",INDEX(Array_EmissionChargeData,ROW()-2,(COLUMN())*2-3))</f>
        <v/>
      </c>
      <c r="F107" t="str" cm="1">
        <f>IF(ISBLANK(INDEX(Array_EmissionChargeData,ROW()-2,(COLUMN())*2-3)),"",INDEX(Array_EmissionChargeData,ROW()-2,(COLUMN())*2-3))</f>
        <v/>
      </c>
    </row>
    <row r="108" spans="1:6" x14ac:dyDescent="0.35">
      <c r="A108" t="str">
        <f>IF('Other Emission Meters'!B108="",A107,'Other Emission Meters'!B108)</f>
        <v>Meter Numbers</v>
      </c>
      <c r="B108" t="str" cm="1">
        <f>IF(ISBLANK(INDEX(Array_EmissionChargeData,ROW()-2,(COLUMN())*2-3)),"",INDEX(Array_EmissionChargeData,ROW()-2,(COLUMN())*2-3))</f>
        <v/>
      </c>
      <c r="C108" t="str" cm="1">
        <f>IF(ISBLANK(INDEX(Array_EmissionChargeData,ROW()-2,(COLUMN())*2-3)),"",INDEX(Array_EmissionChargeData,ROW()-2,(COLUMN())*2-3))</f>
        <v/>
      </c>
      <c r="D108" t="str" cm="1">
        <f>IF(ISBLANK(INDEX(Array_EmissionChargeData,ROW()-2,(COLUMN())*2-3)),"",INDEX(Array_EmissionChargeData,ROW()-2,(COLUMN())*2-3))</f>
        <v/>
      </c>
      <c r="E108" t="str" cm="1">
        <f>IF(ISBLANK(INDEX(Array_EmissionChargeData,ROW()-2,(COLUMN())*2-3)),"",INDEX(Array_EmissionChargeData,ROW()-2,(COLUMN())*2-3))</f>
        <v/>
      </c>
      <c r="F108" t="str" cm="1">
        <f>IF(ISBLANK(INDEX(Array_EmissionChargeData,ROW()-2,(COLUMN())*2-3)),"",INDEX(Array_EmissionChargeData,ROW()-2,(COLUMN())*2-3))</f>
        <v/>
      </c>
    </row>
    <row r="109" spans="1:6" x14ac:dyDescent="0.35">
      <c r="A109" t="str">
        <f>IF('Other Emission Meters'!B109="",A108,'Other Emission Meters'!B109)</f>
        <v>Meter Numbers</v>
      </c>
      <c r="B109" t="str" cm="1">
        <f>IF(ISBLANK(INDEX(Array_EmissionChargeData,ROW()-2,(COLUMN())*2-3)),"",INDEX(Array_EmissionChargeData,ROW()-2,(COLUMN())*2-3))</f>
        <v/>
      </c>
      <c r="C109" t="str" cm="1">
        <f>IF(ISBLANK(INDEX(Array_EmissionChargeData,ROW()-2,(COLUMN())*2-3)),"",INDEX(Array_EmissionChargeData,ROW()-2,(COLUMN())*2-3))</f>
        <v/>
      </c>
      <c r="D109" t="str" cm="1">
        <f>IF(ISBLANK(INDEX(Array_EmissionChargeData,ROW()-2,(COLUMN())*2-3)),"",INDEX(Array_EmissionChargeData,ROW()-2,(COLUMN())*2-3))</f>
        <v/>
      </c>
      <c r="E109" t="str" cm="1">
        <f>IF(ISBLANK(INDEX(Array_EmissionChargeData,ROW()-2,(COLUMN())*2-3)),"",INDEX(Array_EmissionChargeData,ROW()-2,(COLUMN())*2-3))</f>
        <v/>
      </c>
      <c r="F109" t="str" cm="1">
        <f>IF(ISBLANK(INDEX(Array_EmissionChargeData,ROW()-2,(COLUMN())*2-3)),"",INDEX(Array_EmissionChargeData,ROW()-2,(COLUMN())*2-3))</f>
        <v/>
      </c>
    </row>
    <row r="110" spans="1:6" x14ac:dyDescent="0.35">
      <c r="A110" t="str">
        <f>IF('Other Emission Meters'!B110="",A109,'Other Emission Meters'!B110)</f>
        <v>Meter Numbers</v>
      </c>
      <c r="B110" t="str" cm="1">
        <f>IF(ISBLANK(INDEX(Array_EmissionChargeData,ROW()-2,(COLUMN())*2-3)),"",INDEX(Array_EmissionChargeData,ROW()-2,(COLUMN())*2-3))</f>
        <v/>
      </c>
      <c r="C110" t="str" cm="1">
        <f>IF(ISBLANK(INDEX(Array_EmissionChargeData,ROW()-2,(COLUMN())*2-3)),"",INDEX(Array_EmissionChargeData,ROW()-2,(COLUMN())*2-3))</f>
        <v/>
      </c>
      <c r="D110" t="str" cm="1">
        <f>IF(ISBLANK(INDEX(Array_EmissionChargeData,ROW()-2,(COLUMN())*2-3)),"",INDEX(Array_EmissionChargeData,ROW()-2,(COLUMN())*2-3))</f>
        <v/>
      </c>
      <c r="E110" t="str" cm="1">
        <f>IF(ISBLANK(INDEX(Array_EmissionChargeData,ROW()-2,(COLUMN())*2-3)),"",INDEX(Array_EmissionChargeData,ROW()-2,(COLUMN())*2-3))</f>
        <v/>
      </c>
      <c r="F110" t="str" cm="1">
        <f>IF(ISBLANK(INDEX(Array_EmissionChargeData,ROW()-2,(COLUMN())*2-3)),"",INDEX(Array_EmissionChargeData,ROW()-2,(COLUMN())*2-3))</f>
        <v/>
      </c>
    </row>
    <row r="111" spans="1:6" x14ac:dyDescent="0.35">
      <c r="A111" t="str">
        <f>IF('Other Emission Meters'!B111="",A110,'Other Emission Meters'!B111)</f>
        <v>Meter Numbers</v>
      </c>
      <c r="B111" t="str" cm="1">
        <f>IF(ISBLANK(INDEX(Array_EmissionChargeData,ROW()-2,(COLUMN())*2-3)),"",INDEX(Array_EmissionChargeData,ROW()-2,(COLUMN())*2-3))</f>
        <v/>
      </c>
      <c r="C111" t="str" cm="1">
        <f>IF(ISBLANK(INDEX(Array_EmissionChargeData,ROW()-2,(COLUMN())*2-3)),"",INDEX(Array_EmissionChargeData,ROW()-2,(COLUMN())*2-3))</f>
        <v/>
      </c>
      <c r="D111" t="str" cm="1">
        <f>IF(ISBLANK(INDEX(Array_EmissionChargeData,ROW()-2,(COLUMN())*2-3)),"",INDEX(Array_EmissionChargeData,ROW()-2,(COLUMN())*2-3))</f>
        <v/>
      </c>
      <c r="E111" t="str" cm="1">
        <f>IF(ISBLANK(INDEX(Array_EmissionChargeData,ROW()-2,(COLUMN())*2-3)),"",INDEX(Array_EmissionChargeData,ROW()-2,(COLUMN())*2-3))</f>
        <v/>
      </c>
      <c r="F111" t="str" cm="1">
        <f>IF(ISBLANK(INDEX(Array_EmissionChargeData,ROW()-2,(COLUMN())*2-3)),"",INDEX(Array_EmissionChargeData,ROW()-2,(COLUMN())*2-3))</f>
        <v/>
      </c>
    </row>
    <row r="112" spans="1:6" x14ac:dyDescent="0.35">
      <c r="A112" t="str">
        <f>IF('Other Emission Meters'!B112="",A111,'Other Emission Meters'!B112)</f>
        <v>Meter Numbers</v>
      </c>
      <c r="B112" t="str" cm="1">
        <f>IF(ISBLANK(INDEX(Array_EmissionChargeData,ROW()-2,(COLUMN())*2-3)),"",INDEX(Array_EmissionChargeData,ROW()-2,(COLUMN())*2-3))</f>
        <v/>
      </c>
      <c r="C112" t="str" cm="1">
        <f>IF(ISBLANK(INDEX(Array_EmissionChargeData,ROW()-2,(COLUMN())*2-3)),"",INDEX(Array_EmissionChargeData,ROW()-2,(COLUMN())*2-3))</f>
        <v/>
      </c>
      <c r="D112" t="str" cm="1">
        <f>IF(ISBLANK(INDEX(Array_EmissionChargeData,ROW()-2,(COLUMN())*2-3)),"",INDEX(Array_EmissionChargeData,ROW()-2,(COLUMN())*2-3))</f>
        <v/>
      </c>
      <c r="E112" t="str" cm="1">
        <f>IF(ISBLANK(INDEX(Array_EmissionChargeData,ROW()-2,(COLUMN())*2-3)),"",INDEX(Array_EmissionChargeData,ROW()-2,(COLUMN())*2-3))</f>
        <v/>
      </c>
      <c r="F112" t="str" cm="1">
        <f>IF(ISBLANK(INDEX(Array_EmissionChargeData,ROW()-2,(COLUMN())*2-3)),"",INDEX(Array_EmissionChargeData,ROW()-2,(COLUMN())*2-3))</f>
        <v/>
      </c>
    </row>
    <row r="113" spans="1:6" x14ac:dyDescent="0.35">
      <c r="A113" t="str">
        <f>IF('Other Emission Meters'!B113="",A112,'Other Emission Meters'!B113)</f>
        <v>Meter Numbers</v>
      </c>
      <c r="B113" t="str" cm="1">
        <f>IF(ISBLANK(INDEX(Array_EmissionChargeData,ROW()-2,(COLUMN())*2-3)),"",INDEX(Array_EmissionChargeData,ROW()-2,(COLUMN())*2-3))</f>
        <v/>
      </c>
      <c r="C113" t="str" cm="1">
        <f>IF(ISBLANK(INDEX(Array_EmissionChargeData,ROW()-2,(COLUMN())*2-3)),"",INDEX(Array_EmissionChargeData,ROW()-2,(COLUMN())*2-3))</f>
        <v/>
      </c>
      <c r="D113" t="str" cm="1">
        <f>IF(ISBLANK(INDEX(Array_EmissionChargeData,ROW()-2,(COLUMN())*2-3)),"",INDEX(Array_EmissionChargeData,ROW()-2,(COLUMN())*2-3))</f>
        <v/>
      </c>
      <c r="E113" t="str" cm="1">
        <f>IF(ISBLANK(INDEX(Array_EmissionChargeData,ROW()-2,(COLUMN())*2-3)),"",INDEX(Array_EmissionChargeData,ROW()-2,(COLUMN())*2-3))</f>
        <v/>
      </c>
      <c r="F113" t="str" cm="1">
        <f>IF(ISBLANK(INDEX(Array_EmissionChargeData,ROW()-2,(COLUMN())*2-3)),"",INDEX(Array_EmissionChargeData,ROW()-2,(COLUMN())*2-3))</f>
        <v/>
      </c>
    </row>
    <row r="114" spans="1:6" x14ac:dyDescent="0.35">
      <c r="A114" t="str">
        <f>IF('Other Emission Meters'!B114="",A113,'Other Emission Meters'!B114)</f>
        <v>Meter Numbers</v>
      </c>
      <c r="B114" t="str" cm="1">
        <f>IF(ISBLANK(INDEX(Array_EmissionChargeData,ROW()-2,(COLUMN())*2-3)),"",INDEX(Array_EmissionChargeData,ROW()-2,(COLUMN())*2-3))</f>
        <v/>
      </c>
      <c r="C114" t="str" cm="1">
        <f>IF(ISBLANK(INDEX(Array_EmissionChargeData,ROW()-2,(COLUMN())*2-3)),"",INDEX(Array_EmissionChargeData,ROW()-2,(COLUMN())*2-3))</f>
        <v/>
      </c>
      <c r="D114" t="str" cm="1">
        <f>IF(ISBLANK(INDEX(Array_EmissionChargeData,ROW()-2,(COLUMN())*2-3)),"",INDEX(Array_EmissionChargeData,ROW()-2,(COLUMN())*2-3))</f>
        <v/>
      </c>
      <c r="E114" t="str" cm="1">
        <f>IF(ISBLANK(INDEX(Array_EmissionChargeData,ROW()-2,(COLUMN())*2-3)),"",INDEX(Array_EmissionChargeData,ROW()-2,(COLUMN())*2-3))</f>
        <v/>
      </c>
      <c r="F114" t="str" cm="1">
        <f>IF(ISBLANK(INDEX(Array_EmissionChargeData,ROW()-2,(COLUMN())*2-3)),"",INDEX(Array_EmissionChargeData,ROW()-2,(COLUMN())*2-3))</f>
        <v/>
      </c>
    </row>
    <row r="115" spans="1:6" x14ac:dyDescent="0.35">
      <c r="A115" t="str">
        <f>IF('Other Emission Meters'!B115="",A114,'Other Emission Meters'!B115)</f>
        <v>Meter Numbers</v>
      </c>
      <c r="B115" t="str" cm="1">
        <f>IF(ISBLANK(INDEX(Array_EmissionChargeData,ROW()-2,(COLUMN())*2-3)),"",INDEX(Array_EmissionChargeData,ROW()-2,(COLUMN())*2-3))</f>
        <v/>
      </c>
      <c r="C115" t="str" cm="1">
        <f>IF(ISBLANK(INDEX(Array_EmissionChargeData,ROW()-2,(COLUMN())*2-3)),"",INDEX(Array_EmissionChargeData,ROW()-2,(COLUMN())*2-3))</f>
        <v/>
      </c>
      <c r="D115" t="str" cm="1">
        <f>IF(ISBLANK(INDEX(Array_EmissionChargeData,ROW()-2,(COLUMN())*2-3)),"",INDEX(Array_EmissionChargeData,ROW()-2,(COLUMN())*2-3))</f>
        <v/>
      </c>
      <c r="E115" t="str" cm="1">
        <f>IF(ISBLANK(INDEX(Array_EmissionChargeData,ROW()-2,(COLUMN())*2-3)),"",INDEX(Array_EmissionChargeData,ROW()-2,(COLUMN())*2-3))</f>
        <v/>
      </c>
      <c r="F115" t="str" cm="1">
        <f>IF(ISBLANK(INDEX(Array_EmissionChargeData,ROW()-2,(COLUMN())*2-3)),"",INDEX(Array_EmissionChargeData,ROW()-2,(COLUMN())*2-3))</f>
        <v/>
      </c>
    </row>
    <row r="116" spans="1:6" x14ac:dyDescent="0.35">
      <c r="A116" t="str">
        <f>IF('Other Emission Meters'!B116="",A115,'Other Emission Meters'!B116)</f>
        <v>Meter Numbers</v>
      </c>
      <c r="B116" t="str" cm="1">
        <f>IF(ISBLANK(INDEX(Array_EmissionChargeData,ROW()-2,(COLUMN())*2-3)),"",INDEX(Array_EmissionChargeData,ROW()-2,(COLUMN())*2-3))</f>
        <v/>
      </c>
      <c r="C116" t="str" cm="1">
        <f>IF(ISBLANK(INDEX(Array_EmissionChargeData,ROW()-2,(COLUMN())*2-3)),"",INDEX(Array_EmissionChargeData,ROW()-2,(COLUMN())*2-3))</f>
        <v/>
      </c>
      <c r="D116" t="str" cm="1">
        <f>IF(ISBLANK(INDEX(Array_EmissionChargeData,ROW()-2,(COLUMN())*2-3)),"",INDEX(Array_EmissionChargeData,ROW()-2,(COLUMN())*2-3))</f>
        <v/>
      </c>
      <c r="E116" t="str" cm="1">
        <f>IF(ISBLANK(INDEX(Array_EmissionChargeData,ROW()-2,(COLUMN())*2-3)),"",INDEX(Array_EmissionChargeData,ROW()-2,(COLUMN())*2-3))</f>
        <v/>
      </c>
      <c r="F116" t="str" cm="1">
        <f>IF(ISBLANK(INDEX(Array_EmissionChargeData,ROW()-2,(COLUMN())*2-3)),"",INDEX(Array_EmissionChargeData,ROW()-2,(COLUMN())*2-3))</f>
        <v/>
      </c>
    </row>
    <row r="117" spans="1:6" x14ac:dyDescent="0.35">
      <c r="A117" t="str">
        <f>IF('Other Emission Meters'!B117="",A116,'Other Emission Meters'!B117)</f>
        <v>Meter Numbers</v>
      </c>
      <c r="B117" t="str" cm="1">
        <f>IF(ISBLANK(INDEX(Array_EmissionChargeData,ROW()-2,(COLUMN())*2-3)),"",INDEX(Array_EmissionChargeData,ROW()-2,(COLUMN())*2-3))</f>
        <v/>
      </c>
      <c r="C117" t="str" cm="1">
        <f>IF(ISBLANK(INDEX(Array_EmissionChargeData,ROW()-2,(COLUMN())*2-3)),"",INDEX(Array_EmissionChargeData,ROW()-2,(COLUMN())*2-3))</f>
        <v/>
      </c>
      <c r="D117" t="str" cm="1">
        <f>IF(ISBLANK(INDEX(Array_EmissionChargeData,ROW()-2,(COLUMN())*2-3)),"",INDEX(Array_EmissionChargeData,ROW()-2,(COLUMN())*2-3))</f>
        <v/>
      </c>
      <c r="E117" t="str" cm="1">
        <f>IF(ISBLANK(INDEX(Array_EmissionChargeData,ROW()-2,(COLUMN())*2-3)),"",INDEX(Array_EmissionChargeData,ROW()-2,(COLUMN())*2-3))</f>
        <v/>
      </c>
      <c r="F117" t="str" cm="1">
        <f>IF(ISBLANK(INDEX(Array_EmissionChargeData,ROW()-2,(COLUMN())*2-3)),"",INDEX(Array_EmissionChargeData,ROW()-2,(COLUMN())*2-3))</f>
        <v/>
      </c>
    </row>
    <row r="118" spans="1:6" x14ac:dyDescent="0.35">
      <c r="A118" t="str">
        <f>IF('Other Emission Meters'!B118="",A117,'Other Emission Meters'!B118)</f>
        <v>Meter Numbers</v>
      </c>
      <c r="B118" t="str" cm="1">
        <f>IF(ISBLANK(INDEX(Array_EmissionChargeData,ROW()-2,(COLUMN())*2-3)),"",INDEX(Array_EmissionChargeData,ROW()-2,(COLUMN())*2-3))</f>
        <v/>
      </c>
      <c r="C118" t="str" cm="1">
        <f>IF(ISBLANK(INDEX(Array_EmissionChargeData,ROW()-2,(COLUMN())*2-3)),"",INDEX(Array_EmissionChargeData,ROW()-2,(COLUMN())*2-3))</f>
        <v/>
      </c>
      <c r="D118" t="str" cm="1">
        <f>IF(ISBLANK(INDEX(Array_EmissionChargeData,ROW()-2,(COLUMN())*2-3)),"",INDEX(Array_EmissionChargeData,ROW()-2,(COLUMN())*2-3))</f>
        <v/>
      </c>
      <c r="E118" t="str" cm="1">
        <f>IF(ISBLANK(INDEX(Array_EmissionChargeData,ROW()-2,(COLUMN())*2-3)),"",INDEX(Array_EmissionChargeData,ROW()-2,(COLUMN())*2-3))</f>
        <v/>
      </c>
      <c r="F118" t="str" cm="1">
        <f>IF(ISBLANK(INDEX(Array_EmissionChargeData,ROW()-2,(COLUMN())*2-3)),"",INDEX(Array_EmissionChargeData,ROW()-2,(COLUMN())*2-3))</f>
        <v/>
      </c>
    </row>
    <row r="119" spans="1:6" x14ac:dyDescent="0.35">
      <c r="A119" t="str">
        <f>IF('Other Emission Meters'!B119="",A118,'Other Emission Meters'!B119)</f>
        <v>Meter Numbers</v>
      </c>
      <c r="B119" t="str" cm="1">
        <f>IF(ISBLANK(INDEX(Array_EmissionChargeData,ROW()-2,(COLUMN())*2-3)),"",INDEX(Array_EmissionChargeData,ROW()-2,(COLUMN())*2-3))</f>
        <v/>
      </c>
      <c r="C119" t="str" cm="1">
        <f>IF(ISBLANK(INDEX(Array_EmissionChargeData,ROW()-2,(COLUMN())*2-3)),"",INDEX(Array_EmissionChargeData,ROW()-2,(COLUMN())*2-3))</f>
        <v/>
      </c>
      <c r="D119" t="str" cm="1">
        <f>IF(ISBLANK(INDEX(Array_EmissionChargeData,ROW()-2,(COLUMN())*2-3)),"",INDEX(Array_EmissionChargeData,ROW()-2,(COLUMN())*2-3))</f>
        <v/>
      </c>
      <c r="E119" t="str" cm="1">
        <f>IF(ISBLANK(INDEX(Array_EmissionChargeData,ROW()-2,(COLUMN())*2-3)),"",INDEX(Array_EmissionChargeData,ROW()-2,(COLUMN())*2-3))</f>
        <v/>
      </c>
      <c r="F119" t="str" cm="1">
        <f>IF(ISBLANK(INDEX(Array_EmissionChargeData,ROW()-2,(COLUMN())*2-3)),"",INDEX(Array_EmissionChargeData,ROW()-2,(COLUMN())*2-3))</f>
        <v/>
      </c>
    </row>
    <row r="120" spans="1:6" x14ac:dyDescent="0.35">
      <c r="A120" t="str">
        <f>IF('Other Emission Meters'!B120="",A119,'Other Emission Meters'!B120)</f>
        <v>Meter Numbers</v>
      </c>
      <c r="B120" t="str" cm="1">
        <f>IF(ISBLANK(INDEX(Array_EmissionChargeData,ROW()-2,(COLUMN())*2-3)),"",INDEX(Array_EmissionChargeData,ROW()-2,(COLUMN())*2-3))</f>
        <v/>
      </c>
      <c r="C120" t="str" cm="1">
        <f>IF(ISBLANK(INDEX(Array_EmissionChargeData,ROW()-2,(COLUMN())*2-3)),"",INDEX(Array_EmissionChargeData,ROW()-2,(COLUMN())*2-3))</f>
        <v/>
      </c>
      <c r="D120" t="str" cm="1">
        <f>IF(ISBLANK(INDEX(Array_EmissionChargeData,ROW()-2,(COLUMN())*2-3)),"",INDEX(Array_EmissionChargeData,ROW()-2,(COLUMN())*2-3))</f>
        <v/>
      </c>
      <c r="E120" t="str" cm="1">
        <f>IF(ISBLANK(INDEX(Array_EmissionChargeData,ROW()-2,(COLUMN())*2-3)),"",INDEX(Array_EmissionChargeData,ROW()-2,(COLUMN())*2-3))</f>
        <v/>
      </c>
      <c r="F120" t="str" cm="1">
        <f>IF(ISBLANK(INDEX(Array_EmissionChargeData,ROW()-2,(COLUMN())*2-3)),"",INDEX(Array_EmissionChargeData,ROW()-2,(COLUMN())*2-3))</f>
        <v/>
      </c>
    </row>
    <row r="121" spans="1:6" x14ac:dyDescent="0.35">
      <c r="A121" t="str">
        <f>IF('Other Emission Meters'!B121="",A120,'Other Emission Meters'!B121)</f>
        <v>Meter Numbers</v>
      </c>
      <c r="B121" t="str" cm="1">
        <f>IF(ISBLANK(INDEX(Array_EmissionChargeData,ROW()-2,(COLUMN())*2-3)),"",INDEX(Array_EmissionChargeData,ROW()-2,(COLUMN())*2-3))</f>
        <v/>
      </c>
      <c r="C121" t="str" cm="1">
        <f>IF(ISBLANK(INDEX(Array_EmissionChargeData,ROW()-2,(COLUMN())*2-3)),"",INDEX(Array_EmissionChargeData,ROW()-2,(COLUMN())*2-3))</f>
        <v/>
      </c>
      <c r="D121" t="str" cm="1">
        <f>IF(ISBLANK(INDEX(Array_EmissionChargeData,ROW()-2,(COLUMN())*2-3)),"",INDEX(Array_EmissionChargeData,ROW()-2,(COLUMN())*2-3))</f>
        <v/>
      </c>
      <c r="E121" t="str" cm="1">
        <f>IF(ISBLANK(INDEX(Array_EmissionChargeData,ROW()-2,(COLUMN())*2-3)),"",INDEX(Array_EmissionChargeData,ROW()-2,(COLUMN())*2-3))</f>
        <v/>
      </c>
      <c r="F121" t="str" cm="1">
        <f>IF(ISBLANK(INDEX(Array_EmissionChargeData,ROW()-2,(COLUMN())*2-3)),"",INDEX(Array_EmissionChargeData,ROW()-2,(COLUMN())*2-3))</f>
        <v/>
      </c>
    </row>
    <row r="122" spans="1:6" x14ac:dyDescent="0.35">
      <c r="A122" t="str">
        <f>IF('Other Emission Meters'!B122="",A121,'Other Emission Meters'!B122)</f>
        <v>Meter Numbers</v>
      </c>
      <c r="B122" t="str" cm="1">
        <f>IF(ISBLANK(INDEX(Array_EmissionChargeData,ROW()-2,(COLUMN())*2-3)),"",INDEX(Array_EmissionChargeData,ROW()-2,(COLUMN())*2-3))</f>
        <v/>
      </c>
      <c r="C122" t="str" cm="1">
        <f>IF(ISBLANK(INDEX(Array_EmissionChargeData,ROW()-2,(COLUMN())*2-3)),"",INDEX(Array_EmissionChargeData,ROW()-2,(COLUMN())*2-3))</f>
        <v/>
      </c>
      <c r="D122" t="str" cm="1">
        <f>IF(ISBLANK(INDEX(Array_EmissionChargeData,ROW()-2,(COLUMN())*2-3)),"",INDEX(Array_EmissionChargeData,ROW()-2,(COLUMN())*2-3))</f>
        <v/>
      </c>
      <c r="E122" t="str" cm="1">
        <f>IF(ISBLANK(INDEX(Array_EmissionChargeData,ROW()-2,(COLUMN())*2-3)),"",INDEX(Array_EmissionChargeData,ROW()-2,(COLUMN())*2-3))</f>
        <v/>
      </c>
      <c r="F122" t="str" cm="1">
        <f>IF(ISBLANK(INDEX(Array_EmissionChargeData,ROW()-2,(COLUMN())*2-3)),"",INDEX(Array_EmissionChargeData,ROW()-2,(COLUMN())*2-3))</f>
        <v/>
      </c>
    </row>
    <row r="123" spans="1:6" x14ac:dyDescent="0.35">
      <c r="A123" t="str">
        <f>IF('Other Emission Meters'!B123="",A122,'Other Emission Meters'!B123)</f>
        <v>Meter Numbers</v>
      </c>
      <c r="B123" t="str" cm="1">
        <f>IF(ISBLANK(INDEX(Array_EmissionChargeData,ROW()-2,(COLUMN())*2-3)),"",INDEX(Array_EmissionChargeData,ROW()-2,(COLUMN())*2-3))</f>
        <v/>
      </c>
      <c r="C123" t="str" cm="1">
        <f>IF(ISBLANK(INDEX(Array_EmissionChargeData,ROW()-2,(COLUMN())*2-3)),"",INDEX(Array_EmissionChargeData,ROW()-2,(COLUMN())*2-3))</f>
        <v/>
      </c>
      <c r="D123" t="str" cm="1">
        <f>IF(ISBLANK(INDEX(Array_EmissionChargeData,ROW()-2,(COLUMN())*2-3)),"",INDEX(Array_EmissionChargeData,ROW()-2,(COLUMN())*2-3))</f>
        <v/>
      </c>
      <c r="E123" t="str" cm="1">
        <f>IF(ISBLANK(INDEX(Array_EmissionChargeData,ROW()-2,(COLUMN())*2-3)),"",INDEX(Array_EmissionChargeData,ROW()-2,(COLUMN())*2-3))</f>
        <v/>
      </c>
      <c r="F123" t="str" cm="1">
        <f>IF(ISBLANK(INDEX(Array_EmissionChargeData,ROW()-2,(COLUMN())*2-3)),"",INDEX(Array_EmissionChargeData,ROW()-2,(COLUMN())*2-3))</f>
        <v/>
      </c>
    </row>
    <row r="124" spans="1:6" x14ac:dyDescent="0.35">
      <c r="A124" t="str">
        <f>IF('Other Emission Meters'!B124="",A123,'Other Emission Meters'!B124)</f>
        <v>Meter Numbers</v>
      </c>
      <c r="B124" t="str" cm="1">
        <f>IF(ISBLANK(INDEX(Array_EmissionChargeData,ROW()-2,(COLUMN())*2-3)),"",INDEX(Array_EmissionChargeData,ROW()-2,(COLUMN())*2-3))</f>
        <v/>
      </c>
      <c r="C124" t="str" cm="1">
        <f>IF(ISBLANK(INDEX(Array_EmissionChargeData,ROW()-2,(COLUMN())*2-3)),"",INDEX(Array_EmissionChargeData,ROW()-2,(COLUMN())*2-3))</f>
        <v/>
      </c>
      <c r="D124" t="str" cm="1">
        <f>IF(ISBLANK(INDEX(Array_EmissionChargeData,ROW()-2,(COLUMN())*2-3)),"",INDEX(Array_EmissionChargeData,ROW()-2,(COLUMN())*2-3))</f>
        <v/>
      </c>
      <c r="E124" t="str" cm="1">
        <f>IF(ISBLANK(INDEX(Array_EmissionChargeData,ROW()-2,(COLUMN())*2-3)),"",INDEX(Array_EmissionChargeData,ROW()-2,(COLUMN())*2-3))</f>
        <v/>
      </c>
      <c r="F124" t="str" cm="1">
        <f>IF(ISBLANK(INDEX(Array_EmissionChargeData,ROW()-2,(COLUMN())*2-3)),"",INDEX(Array_EmissionChargeData,ROW()-2,(COLUMN())*2-3))</f>
        <v/>
      </c>
    </row>
    <row r="125" spans="1:6" x14ac:dyDescent="0.35">
      <c r="A125" t="str">
        <f>IF('Other Emission Meters'!B125="",A124,'Other Emission Meters'!B125)</f>
        <v>Meter Numbers</v>
      </c>
      <c r="B125" t="str" cm="1">
        <f>IF(ISBLANK(INDEX(Array_EmissionChargeData,ROW()-2,(COLUMN())*2-3)),"",INDEX(Array_EmissionChargeData,ROW()-2,(COLUMN())*2-3))</f>
        <v/>
      </c>
      <c r="C125" t="str" cm="1">
        <f>IF(ISBLANK(INDEX(Array_EmissionChargeData,ROW()-2,(COLUMN())*2-3)),"",INDEX(Array_EmissionChargeData,ROW()-2,(COLUMN())*2-3))</f>
        <v/>
      </c>
      <c r="D125" t="str" cm="1">
        <f>IF(ISBLANK(INDEX(Array_EmissionChargeData,ROW()-2,(COLUMN())*2-3)),"",INDEX(Array_EmissionChargeData,ROW()-2,(COLUMN())*2-3))</f>
        <v/>
      </c>
      <c r="E125" t="str" cm="1">
        <f>IF(ISBLANK(INDEX(Array_EmissionChargeData,ROW()-2,(COLUMN())*2-3)),"",INDEX(Array_EmissionChargeData,ROW()-2,(COLUMN())*2-3))</f>
        <v/>
      </c>
      <c r="F125" t="str" cm="1">
        <f>IF(ISBLANK(INDEX(Array_EmissionChargeData,ROW()-2,(COLUMN())*2-3)),"",INDEX(Array_EmissionChargeData,ROW()-2,(COLUMN())*2-3))</f>
        <v/>
      </c>
    </row>
    <row r="126" spans="1:6" x14ac:dyDescent="0.35">
      <c r="A126" t="str">
        <f>IF('Other Emission Meters'!B126="",A125,'Other Emission Meters'!B126)</f>
        <v>Meter Numbers</v>
      </c>
      <c r="B126" t="str" cm="1">
        <f>IF(ISBLANK(INDEX(Array_EmissionChargeData,ROW()-2,(COLUMN())*2-3)),"",INDEX(Array_EmissionChargeData,ROW()-2,(COLUMN())*2-3))</f>
        <v/>
      </c>
      <c r="C126" t="str" cm="1">
        <f>IF(ISBLANK(INDEX(Array_EmissionChargeData,ROW()-2,(COLUMN())*2-3)),"",INDEX(Array_EmissionChargeData,ROW()-2,(COLUMN())*2-3))</f>
        <v/>
      </c>
      <c r="D126" t="str" cm="1">
        <f>IF(ISBLANK(INDEX(Array_EmissionChargeData,ROW()-2,(COLUMN())*2-3)),"",INDEX(Array_EmissionChargeData,ROW()-2,(COLUMN())*2-3))</f>
        <v/>
      </c>
      <c r="E126" t="str" cm="1">
        <f>IF(ISBLANK(INDEX(Array_EmissionChargeData,ROW()-2,(COLUMN())*2-3)),"",INDEX(Array_EmissionChargeData,ROW()-2,(COLUMN())*2-3))</f>
        <v/>
      </c>
      <c r="F126" t="str" cm="1">
        <f>IF(ISBLANK(INDEX(Array_EmissionChargeData,ROW()-2,(COLUMN())*2-3)),"",INDEX(Array_EmissionChargeData,ROW()-2,(COLUMN())*2-3))</f>
        <v/>
      </c>
    </row>
    <row r="127" spans="1:6" x14ac:dyDescent="0.35">
      <c r="A127" t="str">
        <f>IF('Other Emission Meters'!B127="",A126,'Other Emission Meters'!B127)</f>
        <v>Meter Numbers</v>
      </c>
      <c r="B127" t="str" cm="1">
        <f>IF(ISBLANK(INDEX(Array_EmissionChargeData,ROW()-2,(COLUMN())*2-3)),"",INDEX(Array_EmissionChargeData,ROW()-2,(COLUMN())*2-3))</f>
        <v/>
      </c>
      <c r="C127" t="str" cm="1">
        <f>IF(ISBLANK(INDEX(Array_EmissionChargeData,ROW()-2,(COLUMN())*2-3)),"",INDEX(Array_EmissionChargeData,ROW()-2,(COLUMN())*2-3))</f>
        <v/>
      </c>
      <c r="D127" t="str" cm="1">
        <f>IF(ISBLANK(INDEX(Array_EmissionChargeData,ROW()-2,(COLUMN())*2-3)),"",INDEX(Array_EmissionChargeData,ROW()-2,(COLUMN())*2-3))</f>
        <v/>
      </c>
      <c r="E127" t="str" cm="1">
        <f>IF(ISBLANK(INDEX(Array_EmissionChargeData,ROW()-2,(COLUMN())*2-3)),"",INDEX(Array_EmissionChargeData,ROW()-2,(COLUMN())*2-3))</f>
        <v/>
      </c>
      <c r="F127" t="str" cm="1">
        <f>IF(ISBLANK(INDEX(Array_EmissionChargeData,ROW()-2,(COLUMN())*2-3)),"",INDEX(Array_EmissionChargeData,ROW()-2,(COLUMN())*2-3))</f>
        <v/>
      </c>
    </row>
    <row r="128" spans="1:6" x14ac:dyDescent="0.35">
      <c r="A128" t="str">
        <f>IF('Other Emission Meters'!B128="",A127,'Other Emission Meters'!B128)</f>
        <v>Meter Numbers</v>
      </c>
      <c r="B128" t="str" cm="1">
        <f>IF(ISBLANK(INDEX(Array_EmissionChargeData,ROW()-2,(COLUMN())*2-3)),"",INDEX(Array_EmissionChargeData,ROW()-2,(COLUMN())*2-3))</f>
        <v/>
      </c>
      <c r="C128" t="str" cm="1">
        <f>IF(ISBLANK(INDEX(Array_EmissionChargeData,ROW()-2,(COLUMN())*2-3)),"",INDEX(Array_EmissionChargeData,ROW()-2,(COLUMN())*2-3))</f>
        <v/>
      </c>
      <c r="D128" t="str" cm="1">
        <f>IF(ISBLANK(INDEX(Array_EmissionChargeData,ROW()-2,(COLUMN())*2-3)),"",INDEX(Array_EmissionChargeData,ROW()-2,(COLUMN())*2-3))</f>
        <v/>
      </c>
      <c r="E128" t="str" cm="1">
        <f>IF(ISBLANK(INDEX(Array_EmissionChargeData,ROW()-2,(COLUMN())*2-3)),"",INDEX(Array_EmissionChargeData,ROW()-2,(COLUMN())*2-3))</f>
        <v/>
      </c>
      <c r="F128" t="str" cm="1">
        <f>IF(ISBLANK(INDEX(Array_EmissionChargeData,ROW()-2,(COLUMN())*2-3)),"",INDEX(Array_EmissionChargeData,ROW()-2,(COLUMN())*2-3))</f>
        <v/>
      </c>
    </row>
    <row r="129" spans="1:6" x14ac:dyDescent="0.35">
      <c r="A129" t="str">
        <f>IF('Other Emission Meters'!B129="",A128,'Other Emission Meters'!B129)</f>
        <v>Meter Numbers</v>
      </c>
      <c r="B129" t="str" cm="1">
        <f>IF(ISBLANK(INDEX(Array_EmissionChargeData,ROW()-2,(COLUMN())*2-3)),"",INDEX(Array_EmissionChargeData,ROW()-2,(COLUMN())*2-3))</f>
        <v/>
      </c>
      <c r="C129" t="str" cm="1">
        <f>IF(ISBLANK(INDEX(Array_EmissionChargeData,ROW()-2,(COLUMN())*2-3)),"",INDEX(Array_EmissionChargeData,ROW()-2,(COLUMN())*2-3))</f>
        <v/>
      </c>
      <c r="D129" t="str" cm="1">
        <f>IF(ISBLANK(INDEX(Array_EmissionChargeData,ROW()-2,(COLUMN())*2-3)),"",INDEX(Array_EmissionChargeData,ROW()-2,(COLUMN())*2-3))</f>
        <v/>
      </c>
      <c r="E129" t="str" cm="1">
        <f>IF(ISBLANK(INDEX(Array_EmissionChargeData,ROW()-2,(COLUMN())*2-3)),"",INDEX(Array_EmissionChargeData,ROW()-2,(COLUMN())*2-3))</f>
        <v/>
      </c>
      <c r="F129" t="str" cm="1">
        <f>IF(ISBLANK(INDEX(Array_EmissionChargeData,ROW()-2,(COLUMN())*2-3)),"",INDEX(Array_EmissionChargeData,ROW()-2,(COLUMN())*2-3))</f>
        <v/>
      </c>
    </row>
    <row r="130" spans="1:6" x14ac:dyDescent="0.35">
      <c r="A130" t="str">
        <f>IF('Other Emission Meters'!B130="",A129,'Other Emission Meters'!B130)</f>
        <v>Meter Numbers</v>
      </c>
      <c r="B130" t="str" cm="1">
        <f>IF(ISBLANK(INDEX(Array_EmissionChargeData,ROW()-2,(COLUMN())*2-3)),"",INDEX(Array_EmissionChargeData,ROW()-2,(COLUMN())*2-3))</f>
        <v/>
      </c>
      <c r="C130" t="str" cm="1">
        <f>IF(ISBLANK(INDEX(Array_EmissionChargeData,ROW()-2,(COLUMN())*2-3)),"",INDEX(Array_EmissionChargeData,ROW()-2,(COLUMN())*2-3))</f>
        <v/>
      </c>
      <c r="D130" t="str" cm="1">
        <f>IF(ISBLANK(INDEX(Array_EmissionChargeData,ROW()-2,(COLUMN())*2-3)),"",INDEX(Array_EmissionChargeData,ROW()-2,(COLUMN())*2-3))</f>
        <v/>
      </c>
      <c r="E130" t="str" cm="1">
        <f>IF(ISBLANK(INDEX(Array_EmissionChargeData,ROW()-2,(COLUMN())*2-3)),"",INDEX(Array_EmissionChargeData,ROW()-2,(COLUMN())*2-3))</f>
        <v/>
      </c>
      <c r="F130" t="str" cm="1">
        <f>IF(ISBLANK(INDEX(Array_EmissionChargeData,ROW()-2,(COLUMN())*2-3)),"",INDEX(Array_EmissionChargeData,ROW()-2,(COLUMN())*2-3))</f>
        <v/>
      </c>
    </row>
    <row r="131" spans="1:6" x14ac:dyDescent="0.35">
      <c r="A131" t="str">
        <f>IF('Other Emission Meters'!B131="",A130,'Other Emission Meters'!B131)</f>
        <v>Meter Numbers</v>
      </c>
      <c r="B131" t="str" cm="1">
        <f>IF(ISBLANK(INDEX(Array_EmissionChargeData,ROW()-2,(COLUMN())*2-3)),"",INDEX(Array_EmissionChargeData,ROW()-2,(COLUMN())*2-3))</f>
        <v/>
      </c>
      <c r="C131" t="str" cm="1">
        <f>IF(ISBLANK(INDEX(Array_EmissionChargeData,ROW()-2,(COLUMN())*2-3)),"",INDEX(Array_EmissionChargeData,ROW()-2,(COLUMN())*2-3))</f>
        <v/>
      </c>
      <c r="D131" t="str" cm="1">
        <f>IF(ISBLANK(INDEX(Array_EmissionChargeData,ROW()-2,(COLUMN())*2-3)),"",INDEX(Array_EmissionChargeData,ROW()-2,(COLUMN())*2-3))</f>
        <v/>
      </c>
      <c r="E131" t="str" cm="1">
        <f>IF(ISBLANK(INDEX(Array_EmissionChargeData,ROW()-2,(COLUMN())*2-3)),"",INDEX(Array_EmissionChargeData,ROW()-2,(COLUMN())*2-3))</f>
        <v/>
      </c>
      <c r="F131" t="str" cm="1">
        <f>IF(ISBLANK(INDEX(Array_EmissionChargeData,ROW()-2,(COLUMN())*2-3)),"",INDEX(Array_EmissionChargeData,ROW()-2,(COLUMN())*2-3))</f>
        <v/>
      </c>
    </row>
    <row r="132" spans="1:6" x14ac:dyDescent="0.35">
      <c r="A132" t="str">
        <f>IF('Other Emission Meters'!B132="",A131,'Other Emission Meters'!B132)</f>
        <v>Meter Numbers</v>
      </c>
      <c r="B132" t="str" cm="1">
        <f>IF(ISBLANK(INDEX(Array_EmissionChargeData,ROW()-2,(COLUMN())*2-3)),"",INDEX(Array_EmissionChargeData,ROW()-2,(COLUMN())*2-3))</f>
        <v/>
      </c>
      <c r="C132" t="str" cm="1">
        <f>IF(ISBLANK(INDEX(Array_EmissionChargeData,ROW()-2,(COLUMN())*2-3)),"",INDEX(Array_EmissionChargeData,ROW()-2,(COLUMN())*2-3))</f>
        <v/>
      </c>
      <c r="D132" t="str" cm="1">
        <f>IF(ISBLANK(INDEX(Array_EmissionChargeData,ROW()-2,(COLUMN())*2-3)),"",INDEX(Array_EmissionChargeData,ROW()-2,(COLUMN())*2-3))</f>
        <v/>
      </c>
      <c r="E132" t="str" cm="1">
        <f>IF(ISBLANK(INDEX(Array_EmissionChargeData,ROW()-2,(COLUMN())*2-3)),"",INDEX(Array_EmissionChargeData,ROW()-2,(COLUMN())*2-3))</f>
        <v/>
      </c>
      <c r="F132" t="str" cm="1">
        <f>IF(ISBLANK(INDEX(Array_EmissionChargeData,ROW()-2,(COLUMN())*2-3)),"",INDEX(Array_EmissionChargeData,ROW()-2,(COLUMN())*2-3))</f>
        <v/>
      </c>
    </row>
    <row r="133" spans="1:6" x14ac:dyDescent="0.35">
      <c r="A133" t="str">
        <f>IF('Other Emission Meters'!B133="",A132,'Other Emission Meters'!B133)</f>
        <v>Meter Numbers</v>
      </c>
      <c r="B133" t="str" cm="1">
        <f>IF(ISBLANK(INDEX(Array_EmissionChargeData,ROW()-2,(COLUMN())*2-3)),"",INDEX(Array_EmissionChargeData,ROW()-2,(COLUMN())*2-3))</f>
        <v/>
      </c>
      <c r="C133" t="str" cm="1">
        <f>IF(ISBLANK(INDEX(Array_EmissionChargeData,ROW()-2,(COLUMN())*2-3)),"",INDEX(Array_EmissionChargeData,ROW()-2,(COLUMN())*2-3))</f>
        <v/>
      </c>
      <c r="D133" t="str" cm="1">
        <f>IF(ISBLANK(INDEX(Array_EmissionChargeData,ROW()-2,(COLUMN())*2-3)),"",INDEX(Array_EmissionChargeData,ROW()-2,(COLUMN())*2-3))</f>
        <v/>
      </c>
      <c r="E133" t="str" cm="1">
        <f>IF(ISBLANK(INDEX(Array_EmissionChargeData,ROW()-2,(COLUMN())*2-3)),"",INDEX(Array_EmissionChargeData,ROW()-2,(COLUMN())*2-3))</f>
        <v/>
      </c>
      <c r="F133" t="str" cm="1">
        <f>IF(ISBLANK(INDEX(Array_EmissionChargeData,ROW()-2,(COLUMN())*2-3)),"",INDEX(Array_EmissionChargeData,ROW()-2,(COLUMN())*2-3))</f>
        <v/>
      </c>
    </row>
    <row r="134" spans="1:6" x14ac:dyDescent="0.35">
      <c r="A134" t="str">
        <f>IF('Other Emission Meters'!B134="",A133,'Other Emission Meters'!B134)</f>
        <v>Meter Numbers</v>
      </c>
      <c r="B134" t="str" cm="1">
        <f>IF(ISBLANK(INDEX(Array_EmissionChargeData,ROW()-2,(COLUMN())*2-3)),"",INDEX(Array_EmissionChargeData,ROW()-2,(COLUMN())*2-3))</f>
        <v/>
      </c>
      <c r="C134" t="str" cm="1">
        <f>IF(ISBLANK(INDEX(Array_EmissionChargeData,ROW()-2,(COLUMN())*2-3)),"",INDEX(Array_EmissionChargeData,ROW()-2,(COLUMN())*2-3))</f>
        <v/>
      </c>
      <c r="D134" t="str" cm="1">
        <f>IF(ISBLANK(INDEX(Array_EmissionChargeData,ROW()-2,(COLUMN())*2-3)),"",INDEX(Array_EmissionChargeData,ROW()-2,(COLUMN())*2-3))</f>
        <v/>
      </c>
      <c r="E134" t="str" cm="1">
        <f>IF(ISBLANK(INDEX(Array_EmissionChargeData,ROW()-2,(COLUMN())*2-3)),"",INDEX(Array_EmissionChargeData,ROW()-2,(COLUMN())*2-3))</f>
        <v/>
      </c>
      <c r="F134" t="str" cm="1">
        <f>IF(ISBLANK(INDEX(Array_EmissionChargeData,ROW()-2,(COLUMN())*2-3)),"",INDEX(Array_EmissionChargeData,ROW()-2,(COLUMN())*2-3))</f>
        <v/>
      </c>
    </row>
    <row r="135" spans="1:6" x14ac:dyDescent="0.35">
      <c r="A135" t="str">
        <f>IF('Other Emission Meters'!B135="",A134,'Other Emission Meters'!B135)</f>
        <v>Meter Numbers</v>
      </c>
      <c r="B135" t="str" cm="1">
        <f>IF(ISBLANK(INDEX(Array_EmissionChargeData,ROW()-2,(COLUMN())*2-3)),"",INDEX(Array_EmissionChargeData,ROW()-2,(COLUMN())*2-3))</f>
        <v/>
      </c>
      <c r="C135" t="str" cm="1">
        <f>IF(ISBLANK(INDEX(Array_EmissionChargeData,ROW()-2,(COLUMN())*2-3)),"",INDEX(Array_EmissionChargeData,ROW()-2,(COLUMN())*2-3))</f>
        <v/>
      </c>
      <c r="D135" t="str" cm="1">
        <f>IF(ISBLANK(INDEX(Array_EmissionChargeData,ROW()-2,(COLUMN())*2-3)),"",INDEX(Array_EmissionChargeData,ROW()-2,(COLUMN())*2-3))</f>
        <v/>
      </c>
      <c r="E135" t="str" cm="1">
        <f>IF(ISBLANK(INDEX(Array_EmissionChargeData,ROW()-2,(COLUMN())*2-3)),"",INDEX(Array_EmissionChargeData,ROW()-2,(COLUMN())*2-3))</f>
        <v/>
      </c>
      <c r="F135" t="str" cm="1">
        <f>IF(ISBLANK(INDEX(Array_EmissionChargeData,ROW()-2,(COLUMN())*2-3)),"",INDEX(Array_EmissionChargeData,ROW()-2,(COLUMN())*2-3))</f>
        <v/>
      </c>
    </row>
    <row r="136" spans="1:6" x14ac:dyDescent="0.35">
      <c r="A136" t="str">
        <f>IF('Other Emission Meters'!B136="",A135,'Other Emission Meters'!B136)</f>
        <v>Meter Numbers</v>
      </c>
      <c r="B136" t="str" cm="1">
        <f>IF(ISBLANK(INDEX(Array_EmissionChargeData,ROW()-2,(COLUMN())*2-3)),"",INDEX(Array_EmissionChargeData,ROW()-2,(COLUMN())*2-3))</f>
        <v/>
      </c>
      <c r="C136" t="str" cm="1">
        <f>IF(ISBLANK(INDEX(Array_EmissionChargeData,ROW()-2,(COLUMN())*2-3)),"",INDEX(Array_EmissionChargeData,ROW()-2,(COLUMN())*2-3))</f>
        <v/>
      </c>
      <c r="D136" t="str" cm="1">
        <f>IF(ISBLANK(INDEX(Array_EmissionChargeData,ROW()-2,(COLUMN())*2-3)),"",INDEX(Array_EmissionChargeData,ROW()-2,(COLUMN())*2-3))</f>
        <v/>
      </c>
      <c r="E136" t="str" cm="1">
        <f>IF(ISBLANK(INDEX(Array_EmissionChargeData,ROW()-2,(COLUMN())*2-3)),"",INDEX(Array_EmissionChargeData,ROW()-2,(COLUMN())*2-3))</f>
        <v/>
      </c>
      <c r="F136" t="str" cm="1">
        <f>IF(ISBLANK(INDEX(Array_EmissionChargeData,ROW()-2,(COLUMN())*2-3)),"",INDEX(Array_EmissionChargeData,ROW()-2,(COLUMN())*2-3))</f>
        <v/>
      </c>
    </row>
    <row r="137" spans="1:6" x14ac:dyDescent="0.35">
      <c r="A137" t="str">
        <f>IF('Other Emission Meters'!B137="",A136,'Other Emission Meters'!B137)</f>
        <v>Meter Numbers</v>
      </c>
      <c r="B137" t="str" cm="1">
        <f>IF(ISBLANK(INDEX(Array_EmissionChargeData,ROW()-2,(COLUMN())*2-3)),"",INDEX(Array_EmissionChargeData,ROW()-2,(COLUMN())*2-3))</f>
        <v/>
      </c>
      <c r="C137" t="str" cm="1">
        <f>IF(ISBLANK(INDEX(Array_EmissionChargeData,ROW()-2,(COLUMN())*2-3)),"",INDEX(Array_EmissionChargeData,ROW()-2,(COLUMN())*2-3))</f>
        <v/>
      </c>
      <c r="D137" t="str" cm="1">
        <f>IF(ISBLANK(INDEX(Array_EmissionChargeData,ROW()-2,(COLUMN())*2-3)),"",INDEX(Array_EmissionChargeData,ROW()-2,(COLUMN())*2-3))</f>
        <v/>
      </c>
      <c r="E137" t="str" cm="1">
        <f>IF(ISBLANK(INDEX(Array_EmissionChargeData,ROW()-2,(COLUMN())*2-3)),"",INDEX(Array_EmissionChargeData,ROW()-2,(COLUMN())*2-3))</f>
        <v/>
      </c>
      <c r="F137" t="str" cm="1">
        <f>IF(ISBLANK(INDEX(Array_EmissionChargeData,ROW()-2,(COLUMN())*2-3)),"",INDEX(Array_EmissionChargeData,ROW()-2,(COLUMN())*2-3))</f>
        <v/>
      </c>
    </row>
    <row r="138" spans="1:6" x14ac:dyDescent="0.35">
      <c r="A138" t="str">
        <f>IF('Other Emission Meters'!B138="",A137,'Other Emission Meters'!B138)</f>
        <v>Meter Numbers</v>
      </c>
      <c r="B138" t="str" cm="1">
        <f>IF(ISBLANK(INDEX(Array_EmissionChargeData,ROW()-2,(COLUMN())*2-3)),"",INDEX(Array_EmissionChargeData,ROW()-2,(COLUMN())*2-3))</f>
        <v/>
      </c>
      <c r="C138" t="str" cm="1">
        <f>IF(ISBLANK(INDEX(Array_EmissionChargeData,ROW()-2,(COLUMN())*2-3)),"",INDEX(Array_EmissionChargeData,ROW()-2,(COLUMN())*2-3))</f>
        <v/>
      </c>
      <c r="D138" t="str" cm="1">
        <f>IF(ISBLANK(INDEX(Array_EmissionChargeData,ROW()-2,(COLUMN())*2-3)),"",INDEX(Array_EmissionChargeData,ROW()-2,(COLUMN())*2-3))</f>
        <v/>
      </c>
      <c r="E138" t="str" cm="1">
        <f>IF(ISBLANK(INDEX(Array_EmissionChargeData,ROW()-2,(COLUMN())*2-3)),"",INDEX(Array_EmissionChargeData,ROW()-2,(COLUMN())*2-3))</f>
        <v/>
      </c>
      <c r="F138" t="str" cm="1">
        <f>IF(ISBLANK(INDEX(Array_EmissionChargeData,ROW()-2,(COLUMN())*2-3)),"",INDEX(Array_EmissionChargeData,ROW()-2,(COLUMN())*2-3))</f>
        <v/>
      </c>
    </row>
    <row r="139" spans="1:6" x14ac:dyDescent="0.35">
      <c r="A139" t="str">
        <f>IF('Other Emission Meters'!B139="",A138,'Other Emission Meters'!B139)</f>
        <v>Meter Numbers</v>
      </c>
      <c r="B139" t="str" cm="1">
        <f>IF(ISBLANK(INDEX(Array_EmissionChargeData,ROW()-2,(COLUMN())*2-3)),"",INDEX(Array_EmissionChargeData,ROW()-2,(COLUMN())*2-3))</f>
        <v/>
      </c>
      <c r="C139" t="str" cm="1">
        <f>IF(ISBLANK(INDEX(Array_EmissionChargeData,ROW()-2,(COLUMN())*2-3)),"",INDEX(Array_EmissionChargeData,ROW()-2,(COLUMN())*2-3))</f>
        <v/>
      </c>
      <c r="D139" t="str" cm="1">
        <f>IF(ISBLANK(INDEX(Array_EmissionChargeData,ROW()-2,(COLUMN())*2-3)),"",INDEX(Array_EmissionChargeData,ROW()-2,(COLUMN())*2-3))</f>
        <v/>
      </c>
      <c r="E139" t="str" cm="1">
        <f>IF(ISBLANK(INDEX(Array_EmissionChargeData,ROW()-2,(COLUMN())*2-3)),"",INDEX(Array_EmissionChargeData,ROW()-2,(COLUMN())*2-3))</f>
        <v/>
      </c>
      <c r="F139" t="str" cm="1">
        <f>IF(ISBLANK(INDEX(Array_EmissionChargeData,ROW()-2,(COLUMN())*2-3)),"",INDEX(Array_EmissionChargeData,ROW()-2,(COLUMN())*2-3))</f>
        <v/>
      </c>
    </row>
    <row r="140" spans="1:6" x14ac:dyDescent="0.35">
      <c r="A140" t="str">
        <f>IF('Other Emission Meters'!B140="",A139,'Other Emission Meters'!B140)</f>
        <v>Meter Numbers</v>
      </c>
      <c r="B140" t="str" cm="1">
        <f>IF(ISBLANK(INDEX(Array_EmissionChargeData,ROW()-2,(COLUMN())*2-3)),"",INDEX(Array_EmissionChargeData,ROW()-2,(COLUMN())*2-3))</f>
        <v/>
      </c>
      <c r="C140" t="str" cm="1">
        <f>IF(ISBLANK(INDEX(Array_EmissionChargeData,ROW()-2,(COLUMN())*2-3)),"",INDEX(Array_EmissionChargeData,ROW()-2,(COLUMN())*2-3))</f>
        <v/>
      </c>
      <c r="D140" t="str" cm="1">
        <f>IF(ISBLANK(INDEX(Array_EmissionChargeData,ROW()-2,(COLUMN())*2-3)),"",INDEX(Array_EmissionChargeData,ROW()-2,(COLUMN())*2-3))</f>
        <v/>
      </c>
      <c r="E140" t="str" cm="1">
        <f>IF(ISBLANK(INDEX(Array_EmissionChargeData,ROW()-2,(COLUMN())*2-3)),"",INDEX(Array_EmissionChargeData,ROW()-2,(COLUMN())*2-3))</f>
        <v/>
      </c>
      <c r="F140" t="str" cm="1">
        <f>IF(ISBLANK(INDEX(Array_EmissionChargeData,ROW()-2,(COLUMN())*2-3)),"",INDEX(Array_EmissionChargeData,ROW()-2,(COLUMN())*2-3))</f>
        <v/>
      </c>
    </row>
    <row r="141" spans="1:6" x14ac:dyDescent="0.35">
      <c r="A141" t="str">
        <f>IF('Other Emission Meters'!B141="",A140,'Other Emission Meters'!B141)</f>
        <v>Meter Numbers</v>
      </c>
      <c r="B141" t="str" cm="1">
        <f>IF(ISBLANK(INDEX(Array_EmissionChargeData,ROW()-2,(COLUMN())*2-3)),"",INDEX(Array_EmissionChargeData,ROW()-2,(COLUMN())*2-3))</f>
        <v/>
      </c>
      <c r="C141" t="str" cm="1">
        <f>IF(ISBLANK(INDEX(Array_EmissionChargeData,ROW()-2,(COLUMN())*2-3)),"",INDEX(Array_EmissionChargeData,ROW()-2,(COLUMN())*2-3))</f>
        <v/>
      </c>
      <c r="D141" t="str" cm="1">
        <f>IF(ISBLANK(INDEX(Array_EmissionChargeData,ROW()-2,(COLUMN())*2-3)),"",INDEX(Array_EmissionChargeData,ROW()-2,(COLUMN())*2-3))</f>
        <v/>
      </c>
      <c r="E141" t="str" cm="1">
        <f>IF(ISBLANK(INDEX(Array_EmissionChargeData,ROW()-2,(COLUMN())*2-3)),"",INDEX(Array_EmissionChargeData,ROW()-2,(COLUMN())*2-3))</f>
        <v/>
      </c>
      <c r="F141" t="str" cm="1">
        <f>IF(ISBLANK(INDEX(Array_EmissionChargeData,ROW()-2,(COLUMN())*2-3)),"",INDEX(Array_EmissionChargeData,ROW()-2,(COLUMN())*2-3))</f>
        <v/>
      </c>
    </row>
    <row r="142" spans="1:6" x14ac:dyDescent="0.35">
      <c r="A142" t="str">
        <f>IF('Other Emission Meters'!B142="",A141,'Other Emission Meters'!B142)</f>
        <v>Meter Numbers</v>
      </c>
      <c r="B142" t="str" cm="1">
        <f>IF(ISBLANK(INDEX(Array_EmissionChargeData,ROW()-2,(COLUMN())*2-3)),"",INDEX(Array_EmissionChargeData,ROW()-2,(COLUMN())*2-3))</f>
        <v/>
      </c>
      <c r="C142" t="str" cm="1">
        <f>IF(ISBLANK(INDEX(Array_EmissionChargeData,ROW()-2,(COLUMN())*2-3)),"",INDEX(Array_EmissionChargeData,ROW()-2,(COLUMN())*2-3))</f>
        <v/>
      </c>
      <c r="D142" t="str" cm="1">
        <f>IF(ISBLANK(INDEX(Array_EmissionChargeData,ROW()-2,(COLUMN())*2-3)),"",INDEX(Array_EmissionChargeData,ROW()-2,(COLUMN())*2-3))</f>
        <v/>
      </c>
      <c r="E142" t="str" cm="1">
        <f>IF(ISBLANK(INDEX(Array_EmissionChargeData,ROW()-2,(COLUMN())*2-3)),"",INDEX(Array_EmissionChargeData,ROW()-2,(COLUMN())*2-3))</f>
        <v/>
      </c>
      <c r="F142" t="str" cm="1">
        <f>IF(ISBLANK(INDEX(Array_EmissionChargeData,ROW()-2,(COLUMN())*2-3)),"",INDEX(Array_EmissionChargeData,ROW()-2,(COLUMN())*2-3))</f>
        <v/>
      </c>
    </row>
    <row r="143" spans="1:6" x14ac:dyDescent="0.35">
      <c r="A143" t="str">
        <f>IF('Other Emission Meters'!B143="",A142,'Other Emission Meters'!B143)</f>
        <v>Meter Numbers</v>
      </c>
      <c r="B143" t="str" cm="1">
        <f>IF(ISBLANK(INDEX(Array_EmissionChargeData,ROW()-2,(COLUMN())*2-3)),"",INDEX(Array_EmissionChargeData,ROW()-2,(COLUMN())*2-3))</f>
        <v/>
      </c>
      <c r="C143" t="str" cm="1">
        <f>IF(ISBLANK(INDEX(Array_EmissionChargeData,ROW()-2,(COLUMN())*2-3)),"",INDEX(Array_EmissionChargeData,ROW()-2,(COLUMN())*2-3))</f>
        <v/>
      </c>
      <c r="D143" t="str" cm="1">
        <f>IF(ISBLANK(INDEX(Array_EmissionChargeData,ROW()-2,(COLUMN())*2-3)),"",INDEX(Array_EmissionChargeData,ROW()-2,(COLUMN())*2-3))</f>
        <v/>
      </c>
      <c r="E143" t="str" cm="1">
        <f>IF(ISBLANK(INDEX(Array_EmissionChargeData,ROW()-2,(COLUMN())*2-3)),"",INDEX(Array_EmissionChargeData,ROW()-2,(COLUMN())*2-3))</f>
        <v/>
      </c>
      <c r="F143" t="str" cm="1">
        <f>IF(ISBLANK(INDEX(Array_EmissionChargeData,ROW()-2,(COLUMN())*2-3)),"",INDEX(Array_EmissionChargeData,ROW()-2,(COLUMN())*2-3))</f>
        <v/>
      </c>
    </row>
    <row r="144" spans="1:6" x14ac:dyDescent="0.35">
      <c r="A144" t="str">
        <f>IF('Other Emission Meters'!B144="",A143,'Other Emission Meters'!B144)</f>
        <v>Meter Numbers</v>
      </c>
      <c r="B144" t="str" cm="1">
        <f>IF(ISBLANK(INDEX(Array_EmissionChargeData,ROW()-2,(COLUMN())*2-3)),"",INDEX(Array_EmissionChargeData,ROW()-2,(COLUMN())*2-3))</f>
        <v/>
      </c>
      <c r="C144" t="str" cm="1">
        <f>IF(ISBLANK(INDEX(Array_EmissionChargeData,ROW()-2,(COLUMN())*2-3)),"",INDEX(Array_EmissionChargeData,ROW()-2,(COLUMN())*2-3))</f>
        <v/>
      </c>
      <c r="D144" t="str" cm="1">
        <f>IF(ISBLANK(INDEX(Array_EmissionChargeData,ROW()-2,(COLUMN())*2-3)),"",INDEX(Array_EmissionChargeData,ROW()-2,(COLUMN())*2-3))</f>
        <v/>
      </c>
      <c r="E144" t="str" cm="1">
        <f>IF(ISBLANK(INDEX(Array_EmissionChargeData,ROW()-2,(COLUMN())*2-3)),"",INDEX(Array_EmissionChargeData,ROW()-2,(COLUMN())*2-3))</f>
        <v/>
      </c>
      <c r="F144" t="str" cm="1">
        <f>IF(ISBLANK(INDEX(Array_EmissionChargeData,ROW()-2,(COLUMN())*2-3)),"",INDEX(Array_EmissionChargeData,ROW()-2,(COLUMN())*2-3))</f>
        <v/>
      </c>
    </row>
    <row r="145" spans="1:6" x14ac:dyDescent="0.35">
      <c r="A145" t="str">
        <f>IF('Other Emission Meters'!B145="",A144,'Other Emission Meters'!B145)</f>
        <v>Meter Numbers</v>
      </c>
      <c r="B145" t="str" cm="1">
        <f>IF(ISBLANK(INDEX(Array_EmissionChargeData,ROW()-2,(COLUMN())*2-3)),"",INDEX(Array_EmissionChargeData,ROW()-2,(COLUMN())*2-3))</f>
        <v/>
      </c>
      <c r="C145" t="str" cm="1">
        <f>IF(ISBLANK(INDEX(Array_EmissionChargeData,ROW()-2,(COLUMN())*2-3)),"",INDEX(Array_EmissionChargeData,ROW()-2,(COLUMN())*2-3))</f>
        <v/>
      </c>
      <c r="D145" t="str" cm="1">
        <f>IF(ISBLANK(INDEX(Array_EmissionChargeData,ROW()-2,(COLUMN())*2-3)),"",INDEX(Array_EmissionChargeData,ROW()-2,(COLUMN())*2-3))</f>
        <v/>
      </c>
      <c r="E145" t="str" cm="1">
        <f>IF(ISBLANK(INDEX(Array_EmissionChargeData,ROW()-2,(COLUMN())*2-3)),"",INDEX(Array_EmissionChargeData,ROW()-2,(COLUMN())*2-3))</f>
        <v/>
      </c>
      <c r="F145" t="str" cm="1">
        <f>IF(ISBLANK(INDEX(Array_EmissionChargeData,ROW()-2,(COLUMN())*2-3)),"",INDEX(Array_EmissionChargeData,ROW()-2,(COLUMN())*2-3))</f>
        <v/>
      </c>
    </row>
    <row r="146" spans="1:6" x14ac:dyDescent="0.35">
      <c r="A146" t="str">
        <f>IF('Other Emission Meters'!B146="",A145,'Other Emission Meters'!B146)</f>
        <v>Meter Numbers</v>
      </c>
      <c r="B146" t="str" cm="1">
        <f>IF(ISBLANK(INDEX(Array_EmissionChargeData,ROW()-2,(COLUMN())*2-3)),"",INDEX(Array_EmissionChargeData,ROW()-2,(COLUMN())*2-3))</f>
        <v/>
      </c>
      <c r="C146" t="str" cm="1">
        <f>IF(ISBLANK(INDEX(Array_EmissionChargeData,ROW()-2,(COLUMN())*2-3)),"",INDEX(Array_EmissionChargeData,ROW()-2,(COLUMN())*2-3))</f>
        <v/>
      </c>
      <c r="D146" t="str" cm="1">
        <f>IF(ISBLANK(INDEX(Array_EmissionChargeData,ROW()-2,(COLUMN())*2-3)),"",INDEX(Array_EmissionChargeData,ROW()-2,(COLUMN())*2-3))</f>
        <v/>
      </c>
      <c r="E146" t="str" cm="1">
        <f>IF(ISBLANK(INDEX(Array_EmissionChargeData,ROW()-2,(COLUMN())*2-3)),"",INDEX(Array_EmissionChargeData,ROW()-2,(COLUMN())*2-3))</f>
        <v/>
      </c>
      <c r="F146" t="str" cm="1">
        <f>IF(ISBLANK(INDEX(Array_EmissionChargeData,ROW()-2,(COLUMN())*2-3)),"",INDEX(Array_EmissionChargeData,ROW()-2,(COLUMN())*2-3))</f>
        <v/>
      </c>
    </row>
    <row r="147" spans="1:6" x14ac:dyDescent="0.35">
      <c r="A147" t="str">
        <f>IF('Other Emission Meters'!B147="",A146,'Other Emission Meters'!B147)</f>
        <v>Meter Numbers</v>
      </c>
      <c r="B147" t="str" cm="1">
        <f>IF(ISBLANK(INDEX(Array_EmissionChargeData,ROW()-2,(COLUMN())*2-3)),"",INDEX(Array_EmissionChargeData,ROW()-2,(COLUMN())*2-3))</f>
        <v/>
      </c>
      <c r="C147" t="str" cm="1">
        <f>IF(ISBLANK(INDEX(Array_EmissionChargeData,ROW()-2,(COLUMN())*2-3)),"",INDEX(Array_EmissionChargeData,ROW()-2,(COLUMN())*2-3))</f>
        <v/>
      </c>
      <c r="D147" t="str" cm="1">
        <f>IF(ISBLANK(INDEX(Array_EmissionChargeData,ROW()-2,(COLUMN())*2-3)),"",INDEX(Array_EmissionChargeData,ROW()-2,(COLUMN())*2-3))</f>
        <v/>
      </c>
      <c r="E147" t="str" cm="1">
        <f>IF(ISBLANK(INDEX(Array_EmissionChargeData,ROW()-2,(COLUMN())*2-3)),"",INDEX(Array_EmissionChargeData,ROW()-2,(COLUMN())*2-3))</f>
        <v/>
      </c>
      <c r="F147" t="str" cm="1">
        <f>IF(ISBLANK(INDEX(Array_EmissionChargeData,ROW()-2,(COLUMN())*2-3)),"",INDEX(Array_EmissionChargeData,ROW()-2,(COLUMN())*2-3))</f>
        <v/>
      </c>
    </row>
    <row r="148" spans="1:6" x14ac:dyDescent="0.35">
      <c r="A148" t="str">
        <f>IF('Other Emission Meters'!B148="",A147,'Other Emission Meters'!B148)</f>
        <v>Meter Numbers</v>
      </c>
      <c r="B148" t="str" cm="1">
        <f>IF(ISBLANK(INDEX(Array_EmissionChargeData,ROW()-2,(COLUMN())*2-3)),"",INDEX(Array_EmissionChargeData,ROW()-2,(COLUMN())*2-3))</f>
        <v/>
      </c>
      <c r="C148" t="str" cm="1">
        <f>IF(ISBLANK(INDEX(Array_EmissionChargeData,ROW()-2,(COLUMN())*2-3)),"",INDEX(Array_EmissionChargeData,ROW()-2,(COLUMN())*2-3))</f>
        <v/>
      </c>
      <c r="D148" t="str" cm="1">
        <f>IF(ISBLANK(INDEX(Array_EmissionChargeData,ROW()-2,(COLUMN())*2-3)),"",INDEX(Array_EmissionChargeData,ROW()-2,(COLUMN())*2-3))</f>
        <v/>
      </c>
      <c r="E148" t="str" cm="1">
        <f>IF(ISBLANK(INDEX(Array_EmissionChargeData,ROW()-2,(COLUMN())*2-3)),"",INDEX(Array_EmissionChargeData,ROW()-2,(COLUMN())*2-3))</f>
        <v/>
      </c>
      <c r="F148" t="str" cm="1">
        <f>IF(ISBLANK(INDEX(Array_EmissionChargeData,ROW()-2,(COLUMN())*2-3)),"",INDEX(Array_EmissionChargeData,ROW()-2,(COLUMN())*2-3))</f>
        <v/>
      </c>
    </row>
    <row r="149" spans="1:6" x14ac:dyDescent="0.35">
      <c r="A149" t="str">
        <f>IF('Other Emission Meters'!B149="",A148,'Other Emission Meters'!B149)</f>
        <v>Meter Numbers</v>
      </c>
      <c r="B149" t="str" cm="1">
        <f>IF(ISBLANK(INDEX(Array_EmissionChargeData,ROW()-2,(COLUMN())*2-3)),"",INDEX(Array_EmissionChargeData,ROW()-2,(COLUMN())*2-3))</f>
        <v/>
      </c>
      <c r="C149" t="str" cm="1">
        <f>IF(ISBLANK(INDEX(Array_EmissionChargeData,ROW()-2,(COLUMN())*2-3)),"",INDEX(Array_EmissionChargeData,ROW()-2,(COLUMN())*2-3))</f>
        <v/>
      </c>
      <c r="D149" t="str" cm="1">
        <f>IF(ISBLANK(INDEX(Array_EmissionChargeData,ROW()-2,(COLUMN())*2-3)),"",INDEX(Array_EmissionChargeData,ROW()-2,(COLUMN())*2-3))</f>
        <v/>
      </c>
      <c r="E149" t="str" cm="1">
        <f>IF(ISBLANK(INDEX(Array_EmissionChargeData,ROW()-2,(COLUMN())*2-3)),"",INDEX(Array_EmissionChargeData,ROW()-2,(COLUMN())*2-3))</f>
        <v/>
      </c>
      <c r="F149" t="str" cm="1">
        <f>IF(ISBLANK(INDEX(Array_EmissionChargeData,ROW()-2,(COLUMN())*2-3)),"",INDEX(Array_EmissionChargeData,ROW()-2,(COLUMN())*2-3))</f>
        <v/>
      </c>
    </row>
    <row r="150" spans="1:6" x14ac:dyDescent="0.35">
      <c r="A150" t="str">
        <f>IF('Other Emission Meters'!B150="",A149,'Other Emission Meters'!B150)</f>
        <v>Meter Numbers</v>
      </c>
      <c r="B150" t="str" cm="1">
        <f>IF(ISBLANK(INDEX(Array_EmissionChargeData,ROW()-2,(COLUMN())*2-3)),"",INDEX(Array_EmissionChargeData,ROW()-2,(COLUMN())*2-3))</f>
        <v/>
      </c>
      <c r="C150" t="str" cm="1">
        <f>IF(ISBLANK(INDEX(Array_EmissionChargeData,ROW()-2,(COLUMN())*2-3)),"",INDEX(Array_EmissionChargeData,ROW()-2,(COLUMN())*2-3))</f>
        <v/>
      </c>
      <c r="D150" t="str" cm="1">
        <f>IF(ISBLANK(INDEX(Array_EmissionChargeData,ROW()-2,(COLUMN())*2-3)),"",INDEX(Array_EmissionChargeData,ROW()-2,(COLUMN())*2-3))</f>
        <v/>
      </c>
      <c r="E150" t="str" cm="1">
        <f>IF(ISBLANK(INDEX(Array_EmissionChargeData,ROW()-2,(COLUMN())*2-3)),"",INDEX(Array_EmissionChargeData,ROW()-2,(COLUMN())*2-3))</f>
        <v/>
      </c>
      <c r="F150" t="str" cm="1">
        <f>IF(ISBLANK(INDEX(Array_EmissionChargeData,ROW()-2,(COLUMN())*2-3)),"",INDEX(Array_EmissionChargeData,ROW()-2,(COLUMN())*2-3))</f>
        <v/>
      </c>
    </row>
    <row r="151" spans="1:6" x14ac:dyDescent="0.35">
      <c r="A151" t="str">
        <f>IF('Other Emission Meters'!B151="",A150,'Other Emission Meters'!B151)</f>
        <v>Meter Numbers</v>
      </c>
      <c r="B151" t="str" cm="1">
        <f>IF(ISBLANK(INDEX(Array_EmissionChargeData,ROW()-2,(COLUMN())*2-3)),"",INDEX(Array_EmissionChargeData,ROW()-2,(COLUMN())*2-3))</f>
        <v/>
      </c>
      <c r="C151" t="str" cm="1">
        <f>IF(ISBLANK(INDEX(Array_EmissionChargeData,ROW()-2,(COLUMN())*2-3)),"",INDEX(Array_EmissionChargeData,ROW()-2,(COLUMN())*2-3))</f>
        <v/>
      </c>
      <c r="D151" t="str" cm="1">
        <f>IF(ISBLANK(INDEX(Array_EmissionChargeData,ROW()-2,(COLUMN())*2-3)),"",INDEX(Array_EmissionChargeData,ROW()-2,(COLUMN())*2-3))</f>
        <v/>
      </c>
      <c r="E151" t="str" cm="1">
        <f>IF(ISBLANK(INDEX(Array_EmissionChargeData,ROW()-2,(COLUMN())*2-3)),"",INDEX(Array_EmissionChargeData,ROW()-2,(COLUMN())*2-3))</f>
        <v/>
      </c>
      <c r="F151" t="str" cm="1">
        <f>IF(ISBLANK(INDEX(Array_EmissionChargeData,ROW()-2,(COLUMN())*2-3)),"",INDEX(Array_EmissionChargeData,ROW()-2,(COLUMN())*2-3))</f>
        <v/>
      </c>
    </row>
    <row r="152" spans="1:6" x14ac:dyDescent="0.35">
      <c r="A152" t="str">
        <f>IF('Other Emission Meters'!B152="",A151,'Other Emission Meters'!B152)</f>
        <v>Meter Numbers</v>
      </c>
      <c r="B152" t="str" cm="1">
        <f>IF(ISBLANK(INDEX(Array_EmissionChargeData,ROW()-2,(COLUMN())*2-3)),"",INDEX(Array_EmissionChargeData,ROW()-2,(COLUMN())*2-3))</f>
        <v/>
      </c>
      <c r="C152" t="str" cm="1">
        <f>IF(ISBLANK(INDEX(Array_EmissionChargeData,ROW()-2,(COLUMN())*2-3)),"",INDEX(Array_EmissionChargeData,ROW()-2,(COLUMN())*2-3))</f>
        <v/>
      </c>
      <c r="D152" t="str" cm="1">
        <f>IF(ISBLANK(INDEX(Array_EmissionChargeData,ROW()-2,(COLUMN())*2-3)),"",INDEX(Array_EmissionChargeData,ROW()-2,(COLUMN())*2-3))</f>
        <v/>
      </c>
      <c r="E152" t="str" cm="1">
        <f>IF(ISBLANK(INDEX(Array_EmissionChargeData,ROW()-2,(COLUMN())*2-3)),"",INDEX(Array_EmissionChargeData,ROW()-2,(COLUMN())*2-3))</f>
        <v/>
      </c>
      <c r="F152" t="str" cm="1">
        <f>IF(ISBLANK(INDEX(Array_EmissionChargeData,ROW()-2,(COLUMN())*2-3)),"",INDEX(Array_EmissionChargeData,ROW()-2,(COLUMN())*2-3))</f>
        <v/>
      </c>
    </row>
    <row r="153" spans="1:6" x14ac:dyDescent="0.35">
      <c r="A153" t="str">
        <f>IF('Other Emission Meters'!B153="",A152,'Other Emission Meters'!B153)</f>
        <v>Meter Numbers</v>
      </c>
      <c r="B153" t="str" cm="1">
        <f>IF(ISBLANK(INDEX(Array_EmissionChargeData,ROW()-2,(COLUMN())*2-3)),"",INDEX(Array_EmissionChargeData,ROW()-2,(COLUMN())*2-3))</f>
        <v/>
      </c>
      <c r="C153" t="str" cm="1">
        <f>IF(ISBLANK(INDEX(Array_EmissionChargeData,ROW()-2,(COLUMN())*2-3)),"",INDEX(Array_EmissionChargeData,ROW()-2,(COLUMN())*2-3))</f>
        <v/>
      </c>
      <c r="D153" t="str" cm="1">
        <f>IF(ISBLANK(INDEX(Array_EmissionChargeData,ROW()-2,(COLUMN())*2-3)),"",INDEX(Array_EmissionChargeData,ROW()-2,(COLUMN())*2-3))</f>
        <v/>
      </c>
      <c r="E153" t="str" cm="1">
        <f>IF(ISBLANK(INDEX(Array_EmissionChargeData,ROW()-2,(COLUMN())*2-3)),"",INDEX(Array_EmissionChargeData,ROW()-2,(COLUMN())*2-3))</f>
        <v/>
      </c>
      <c r="F153" t="str" cm="1">
        <f>IF(ISBLANK(INDEX(Array_EmissionChargeData,ROW()-2,(COLUMN())*2-3)),"",INDEX(Array_EmissionChargeData,ROW()-2,(COLUMN())*2-3))</f>
        <v/>
      </c>
    </row>
    <row r="154" spans="1:6" x14ac:dyDescent="0.35">
      <c r="A154" t="str">
        <f>IF('Other Emission Meters'!B154="",A153,'Other Emission Meters'!B154)</f>
        <v>Meter Numbers</v>
      </c>
      <c r="B154" t="str" cm="1">
        <f>IF(ISBLANK(INDEX(Array_EmissionChargeData,ROW()-2,(COLUMN())*2-3)),"",INDEX(Array_EmissionChargeData,ROW()-2,(COLUMN())*2-3))</f>
        <v/>
      </c>
      <c r="C154" t="str" cm="1">
        <f>IF(ISBLANK(INDEX(Array_EmissionChargeData,ROW()-2,(COLUMN())*2-3)),"",INDEX(Array_EmissionChargeData,ROW()-2,(COLUMN())*2-3))</f>
        <v/>
      </c>
      <c r="D154" t="str" cm="1">
        <f>IF(ISBLANK(INDEX(Array_EmissionChargeData,ROW()-2,(COLUMN())*2-3)),"",INDEX(Array_EmissionChargeData,ROW()-2,(COLUMN())*2-3))</f>
        <v/>
      </c>
      <c r="E154" t="str" cm="1">
        <f>IF(ISBLANK(INDEX(Array_EmissionChargeData,ROW()-2,(COLUMN())*2-3)),"",INDEX(Array_EmissionChargeData,ROW()-2,(COLUMN())*2-3))</f>
        <v/>
      </c>
      <c r="F154" t="str" cm="1">
        <f>IF(ISBLANK(INDEX(Array_EmissionChargeData,ROW()-2,(COLUMN())*2-3)),"",INDEX(Array_EmissionChargeData,ROW()-2,(COLUMN())*2-3))</f>
        <v/>
      </c>
    </row>
    <row r="155" spans="1:6" x14ac:dyDescent="0.35">
      <c r="A155" t="str">
        <f>IF('Other Emission Meters'!B155="",A154,'Other Emission Meters'!B155)</f>
        <v>Meter Numbers</v>
      </c>
      <c r="B155" t="str" cm="1">
        <f>IF(ISBLANK(INDEX(Array_EmissionChargeData,ROW()-2,(COLUMN())*2-3)),"",INDEX(Array_EmissionChargeData,ROW()-2,(COLUMN())*2-3))</f>
        <v/>
      </c>
      <c r="C155" t="str" cm="1">
        <f>IF(ISBLANK(INDEX(Array_EmissionChargeData,ROW()-2,(COLUMN())*2-3)),"",INDEX(Array_EmissionChargeData,ROW()-2,(COLUMN())*2-3))</f>
        <v/>
      </c>
      <c r="D155" t="str" cm="1">
        <f>IF(ISBLANK(INDEX(Array_EmissionChargeData,ROW()-2,(COLUMN())*2-3)),"",INDEX(Array_EmissionChargeData,ROW()-2,(COLUMN())*2-3))</f>
        <v/>
      </c>
      <c r="E155" t="str" cm="1">
        <f>IF(ISBLANK(INDEX(Array_EmissionChargeData,ROW()-2,(COLUMN())*2-3)),"",INDEX(Array_EmissionChargeData,ROW()-2,(COLUMN())*2-3))</f>
        <v/>
      </c>
      <c r="F155" t="str" cm="1">
        <f>IF(ISBLANK(INDEX(Array_EmissionChargeData,ROW()-2,(COLUMN())*2-3)),"",INDEX(Array_EmissionChargeData,ROW()-2,(COLUMN())*2-3))</f>
        <v/>
      </c>
    </row>
    <row r="156" spans="1:6" x14ac:dyDescent="0.35">
      <c r="A156" t="str">
        <f>IF('Other Emission Meters'!B156="",A155,'Other Emission Meters'!B156)</f>
        <v>Meter Numbers</v>
      </c>
      <c r="B156" t="str" cm="1">
        <f>IF(ISBLANK(INDEX(Array_EmissionChargeData,ROW()-2,(COLUMN())*2-3)),"",INDEX(Array_EmissionChargeData,ROW()-2,(COLUMN())*2-3))</f>
        <v/>
      </c>
      <c r="C156" t="str" cm="1">
        <f>IF(ISBLANK(INDEX(Array_EmissionChargeData,ROW()-2,(COLUMN())*2-3)),"",INDEX(Array_EmissionChargeData,ROW()-2,(COLUMN())*2-3))</f>
        <v/>
      </c>
      <c r="D156" t="str" cm="1">
        <f>IF(ISBLANK(INDEX(Array_EmissionChargeData,ROW()-2,(COLUMN())*2-3)),"",INDEX(Array_EmissionChargeData,ROW()-2,(COLUMN())*2-3))</f>
        <v/>
      </c>
      <c r="E156" t="str" cm="1">
        <f>IF(ISBLANK(INDEX(Array_EmissionChargeData,ROW()-2,(COLUMN())*2-3)),"",INDEX(Array_EmissionChargeData,ROW()-2,(COLUMN())*2-3))</f>
        <v/>
      </c>
      <c r="F156" t="str" cm="1">
        <f>IF(ISBLANK(INDEX(Array_EmissionChargeData,ROW()-2,(COLUMN())*2-3)),"",INDEX(Array_EmissionChargeData,ROW()-2,(COLUMN())*2-3))</f>
        <v/>
      </c>
    </row>
    <row r="157" spans="1:6" x14ac:dyDescent="0.35">
      <c r="A157" t="str">
        <f>IF('Other Emission Meters'!B157="",A156,'Other Emission Meters'!B157)</f>
        <v>Meter Numbers</v>
      </c>
      <c r="B157" t="str" cm="1">
        <f>IF(ISBLANK(INDEX(Array_EmissionChargeData,ROW()-2,(COLUMN())*2-3)),"",INDEX(Array_EmissionChargeData,ROW()-2,(COLUMN())*2-3))</f>
        <v/>
      </c>
      <c r="C157" t="str" cm="1">
        <f>IF(ISBLANK(INDEX(Array_EmissionChargeData,ROW()-2,(COLUMN())*2-3)),"",INDEX(Array_EmissionChargeData,ROW()-2,(COLUMN())*2-3))</f>
        <v/>
      </c>
      <c r="D157" t="str" cm="1">
        <f>IF(ISBLANK(INDEX(Array_EmissionChargeData,ROW()-2,(COLUMN())*2-3)),"",INDEX(Array_EmissionChargeData,ROW()-2,(COLUMN())*2-3))</f>
        <v/>
      </c>
      <c r="E157" t="str" cm="1">
        <f>IF(ISBLANK(INDEX(Array_EmissionChargeData,ROW()-2,(COLUMN())*2-3)),"",INDEX(Array_EmissionChargeData,ROW()-2,(COLUMN())*2-3))</f>
        <v/>
      </c>
      <c r="F157" t="str" cm="1">
        <f>IF(ISBLANK(INDEX(Array_EmissionChargeData,ROW()-2,(COLUMN())*2-3)),"",INDEX(Array_EmissionChargeData,ROW()-2,(COLUMN())*2-3))</f>
        <v/>
      </c>
    </row>
    <row r="158" spans="1:6" x14ac:dyDescent="0.35">
      <c r="A158" t="str">
        <f>IF('Other Emission Meters'!B158="",A157,'Other Emission Meters'!B158)</f>
        <v>Meter Numbers</v>
      </c>
      <c r="B158" t="str" cm="1">
        <f>IF(ISBLANK(INDEX(Array_EmissionChargeData,ROW()-2,(COLUMN())*2-3)),"",INDEX(Array_EmissionChargeData,ROW()-2,(COLUMN())*2-3))</f>
        <v/>
      </c>
      <c r="C158" t="str" cm="1">
        <f>IF(ISBLANK(INDEX(Array_EmissionChargeData,ROW()-2,(COLUMN())*2-3)),"",INDEX(Array_EmissionChargeData,ROW()-2,(COLUMN())*2-3))</f>
        <v/>
      </c>
      <c r="D158" t="str" cm="1">
        <f>IF(ISBLANK(INDEX(Array_EmissionChargeData,ROW()-2,(COLUMN())*2-3)),"",INDEX(Array_EmissionChargeData,ROW()-2,(COLUMN())*2-3))</f>
        <v/>
      </c>
      <c r="E158" t="str" cm="1">
        <f>IF(ISBLANK(INDEX(Array_EmissionChargeData,ROW()-2,(COLUMN())*2-3)),"",INDEX(Array_EmissionChargeData,ROW()-2,(COLUMN())*2-3))</f>
        <v/>
      </c>
      <c r="F158" t="str" cm="1">
        <f>IF(ISBLANK(INDEX(Array_EmissionChargeData,ROW()-2,(COLUMN())*2-3)),"",INDEX(Array_EmissionChargeData,ROW()-2,(COLUMN())*2-3))</f>
        <v/>
      </c>
    </row>
    <row r="159" spans="1:6" x14ac:dyDescent="0.35">
      <c r="A159" t="str">
        <f>IF('Other Emission Meters'!B159="",A158,'Other Emission Meters'!B159)</f>
        <v>Meter Numbers</v>
      </c>
      <c r="B159" t="str" cm="1">
        <f>IF(ISBLANK(INDEX(Array_EmissionChargeData,ROW()-2,(COLUMN())*2-3)),"",INDEX(Array_EmissionChargeData,ROW()-2,(COLUMN())*2-3))</f>
        <v/>
      </c>
      <c r="C159" t="str" cm="1">
        <f>IF(ISBLANK(INDEX(Array_EmissionChargeData,ROW()-2,(COLUMN())*2-3)),"",INDEX(Array_EmissionChargeData,ROW()-2,(COLUMN())*2-3))</f>
        <v/>
      </c>
      <c r="D159" t="str" cm="1">
        <f>IF(ISBLANK(INDEX(Array_EmissionChargeData,ROW()-2,(COLUMN())*2-3)),"",INDEX(Array_EmissionChargeData,ROW()-2,(COLUMN())*2-3))</f>
        <v/>
      </c>
      <c r="E159" t="str" cm="1">
        <f>IF(ISBLANK(INDEX(Array_EmissionChargeData,ROW()-2,(COLUMN())*2-3)),"",INDEX(Array_EmissionChargeData,ROW()-2,(COLUMN())*2-3))</f>
        <v/>
      </c>
      <c r="F159" t="str" cm="1">
        <f>IF(ISBLANK(INDEX(Array_EmissionChargeData,ROW()-2,(COLUMN())*2-3)),"",INDEX(Array_EmissionChargeData,ROW()-2,(COLUMN())*2-3))</f>
        <v/>
      </c>
    </row>
    <row r="160" spans="1:6" x14ac:dyDescent="0.35">
      <c r="A160" t="str">
        <f>IF('Other Emission Meters'!B160="",A159,'Other Emission Meters'!B160)</f>
        <v>Meter Numbers</v>
      </c>
      <c r="B160" t="str" cm="1">
        <f>IF(ISBLANK(INDEX(Array_EmissionChargeData,ROW()-2,(COLUMN())*2-3)),"",INDEX(Array_EmissionChargeData,ROW()-2,(COLUMN())*2-3))</f>
        <v/>
      </c>
      <c r="C160" t="str" cm="1">
        <f>IF(ISBLANK(INDEX(Array_EmissionChargeData,ROW()-2,(COLUMN())*2-3)),"",INDEX(Array_EmissionChargeData,ROW()-2,(COLUMN())*2-3))</f>
        <v/>
      </c>
      <c r="D160" t="str" cm="1">
        <f>IF(ISBLANK(INDEX(Array_EmissionChargeData,ROW()-2,(COLUMN())*2-3)),"",INDEX(Array_EmissionChargeData,ROW()-2,(COLUMN())*2-3))</f>
        <v/>
      </c>
      <c r="E160" t="str" cm="1">
        <f>IF(ISBLANK(INDEX(Array_EmissionChargeData,ROW()-2,(COLUMN())*2-3)),"",INDEX(Array_EmissionChargeData,ROW()-2,(COLUMN())*2-3))</f>
        <v/>
      </c>
      <c r="F160" t="str" cm="1">
        <f>IF(ISBLANK(INDEX(Array_EmissionChargeData,ROW()-2,(COLUMN())*2-3)),"",INDEX(Array_EmissionChargeData,ROW()-2,(COLUMN())*2-3))</f>
        <v/>
      </c>
    </row>
    <row r="161" spans="1:6" x14ac:dyDescent="0.35">
      <c r="A161" t="str">
        <f>IF('Other Emission Meters'!B161="",A160,'Other Emission Meters'!B161)</f>
        <v>Meter Numbers</v>
      </c>
      <c r="B161" t="str" cm="1">
        <f>IF(ISBLANK(INDEX(Array_EmissionChargeData,ROW()-2,(COLUMN())*2-3)),"",INDEX(Array_EmissionChargeData,ROW()-2,(COLUMN())*2-3))</f>
        <v/>
      </c>
      <c r="C161" t="str" cm="1">
        <f>IF(ISBLANK(INDEX(Array_EmissionChargeData,ROW()-2,(COLUMN())*2-3)),"",INDEX(Array_EmissionChargeData,ROW()-2,(COLUMN())*2-3))</f>
        <v/>
      </c>
      <c r="D161" t="str" cm="1">
        <f>IF(ISBLANK(INDEX(Array_EmissionChargeData,ROW()-2,(COLUMN())*2-3)),"",INDEX(Array_EmissionChargeData,ROW()-2,(COLUMN())*2-3))</f>
        <v/>
      </c>
      <c r="E161" t="str" cm="1">
        <f>IF(ISBLANK(INDEX(Array_EmissionChargeData,ROW()-2,(COLUMN())*2-3)),"",INDEX(Array_EmissionChargeData,ROW()-2,(COLUMN())*2-3))</f>
        <v/>
      </c>
      <c r="F161" t="str" cm="1">
        <f>IF(ISBLANK(INDEX(Array_EmissionChargeData,ROW()-2,(COLUMN())*2-3)),"",INDEX(Array_EmissionChargeData,ROW()-2,(COLUMN())*2-3))</f>
        <v/>
      </c>
    </row>
    <row r="162" spans="1:6" x14ac:dyDescent="0.35">
      <c r="A162" t="str">
        <f>IF('Other Emission Meters'!B162="",A161,'Other Emission Meters'!B162)</f>
        <v>Meter Numbers</v>
      </c>
      <c r="B162" t="str" cm="1">
        <f>IF(ISBLANK(INDEX(Array_EmissionChargeData,ROW()-2,(COLUMN())*2-3)),"",INDEX(Array_EmissionChargeData,ROW()-2,(COLUMN())*2-3))</f>
        <v/>
      </c>
      <c r="C162" t="str" cm="1">
        <f>IF(ISBLANK(INDEX(Array_EmissionChargeData,ROW()-2,(COLUMN())*2-3)),"",INDEX(Array_EmissionChargeData,ROW()-2,(COLUMN())*2-3))</f>
        <v/>
      </c>
      <c r="D162" t="str" cm="1">
        <f>IF(ISBLANK(INDEX(Array_EmissionChargeData,ROW()-2,(COLUMN())*2-3)),"",INDEX(Array_EmissionChargeData,ROW()-2,(COLUMN())*2-3))</f>
        <v/>
      </c>
      <c r="E162" t="str" cm="1">
        <f>IF(ISBLANK(INDEX(Array_EmissionChargeData,ROW()-2,(COLUMN())*2-3)),"",INDEX(Array_EmissionChargeData,ROW()-2,(COLUMN())*2-3))</f>
        <v/>
      </c>
      <c r="F162" t="str" cm="1">
        <f>IF(ISBLANK(INDEX(Array_EmissionChargeData,ROW()-2,(COLUMN())*2-3)),"",INDEX(Array_EmissionChargeData,ROW()-2,(COLUMN())*2-3))</f>
        <v/>
      </c>
    </row>
    <row r="163" spans="1:6" x14ac:dyDescent="0.35">
      <c r="A163" t="str">
        <f>IF('Other Emission Meters'!B163="",A162,'Other Emission Meters'!B163)</f>
        <v>Meter Numbers</v>
      </c>
      <c r="B163" t="str" cm="1">
        <f>IF(ISBLANK(INDEX(Array_EmissionChargeData,ROW()-2,(COLUMN())*2-3)),"",INDEX(Array_EmissionChargeData,ROW()-2,(COLUMN())*2-3))</f>
        <v/>
      </c>
      <c r="C163" t="str" cm="1">
        <f>IF(ISBLANK(INDEX(Array_EmissionChargeData,ROW()-2,(COLUMN())*2-3)),"",INDEX(Array_EmissionChargeData,ROW()-2,(COLUMN())*2-3))</f>
        <v/>
      </c>
      <c r="D163" t="str" cm="1">
        <f>IF(ISBLANK(INDEX(Array_EmissionChargeData,ROW()-2,(COLUMN())*2-3)),"",INDEX(Array_EmissionChargeData,ROW()-2,(COLUMN())*2-3))</f>
        <v/>
      </c>
      <c r="E163" t="str" cm="1">
        <f>IF(ISBLANK(INDEX(Array_EmissionChargeData,ROW()-2,(COLUMN())*2-3)),"",INDEX(Array_EmissionChargeData,ROW()-2,(COLUMN())*2-3))</f>
        <v/>
      </c>
      <c r="F163" t="str" cm="1">
        <f>IF(ISBLANK(INDEX(Array_EmissionChargeData,ROW()-2,(COLUMN())*2-3)),"",INDEX(Array_EmissionChargeData,ROW()-2,(COLUMN())*2-3))</f>
        <v/>
      </c>
    </row>
    <row r="164" spans="1:6" x14ac:dyDescent="0.35">
      <c r="A164" t="str">
        <f>IF('Other Emission Meters'!B164="",A163,'Other Emission Meters'!B164)</f>
        <v>Meter Numbers</v>
      </c>
      <c r="B164" t="str" cm="1">
        <f>IF(ISBLANK(INDEX(Array_EmissionChargeData,ROW()-2,(COLUMN())*2-3)),"",INDEX(Array_EmissionChargeData,ROW()-2,(COLUMN())*2-3))</f>
        <v/>
      </c>
      <c r="C164" t="str" cm="1">
        <f>IF(ISBLANK(INDEX(Array_EmissionChargeData,ROW()-2,(COLUMN())*2-3)),"",INDEX(Array_EmissionChargeData,ROW()-2,(COLUMN())*2-3))</f>
        <v/>
      </c>
      <c r="D164" t="str" cm="1">
        <f>IF(ISBLANK(INDEX(Array_EmissionChargeData,ROW()-2,(COLUMN())*2-3)),"",INDEX(Array_EmissionChargeData,ROW()-2,(COLUMN())*2-3))</f>
        <v/>
      </c>
      <c r="E164" t="str" cm="1">
        <f>IF(ISBLANK(INDEX(Array_EmissionChargeData,ROW()-2,(COLUMN())*2-3)),"",INDEX(Array_EmissionChargeData,ROW()-2,(COLUMN())*2-3))</f>
        <v/>
      </c>
      <c r="F164" t="str" cm="1">
        <f>IF(ISBLANK(INDEX(Array_EmissionChargeData,ROW()-2,(COLUMN())*2-3)),"",INDEX(Array_EmissionChargeData,ROW()-2,(COLUMN())*2-3))</f>
        <v/>
      </c>
    </row>
    <row r="165" spans="1:6" x14ac:dyDescent="0.35">
      <c r="A165" t="str">
        <f>IF('Other Emission Meters'!B165="",A164,'Other Emission Meters'!B165)</f>
        <v>Meter Numbers</v>
      </c>
      <c r="B165" t="str" cm="1">
        <f>IF(ISBLANK(INDEX(Array_EmissionChargeData,ROW()-2,(COLUMN())*2-3)),"",INDEX(Array_EmissionChargeData,ROW()-2,(COLUMN())*2-3))</f>
        <v/>
      </c>
      <c r="C165" t="str" cm="1">
        <f>IF(ISBLANK(INDEX(Array_EmissionChargeData,ROW()-2,(COLUMN())*2-3)),"",INDEX(Array_EmissionChargeData,ROW()-2,(COLUMN())*2-3))</f>
        <v/>
      </c>
      <c r="D165" t="str" cm="1">
        <f>IF(ISBLANK(INDEX(Array_EmissionChargeData,ROW()-2,(COLUMN())*2-3)),"",INDEX(Array_EmissionChargeData,ROW()-2,(COLUMN())*2-3))</f>
        <v/>
      </c>
      <c r="E165" t="str" cm="1">
        <f>IF(ISBLANK(INDEX(Array_EmissionChargeData,ROW()-2,(COLUMN())*2-3)),"",INDEX(Array_EmissionChargeData,ROW()-2,(COLUMN())*2-3))</f>
        <v/>
      </c>
      <c r="F165" t="str" cm="1">
        <f>IF(ISBLANK(INDEX(Array_EmissionChargeData,ROW()-2,(COLUMN())*2-3)),"",INDEX(Array_EmissionChargeData,ROW()-2,(COLUMN())*2-3))</f>
        <v/>
      </c>
    </row>
    <row r="166" spans="1:6" x14ac:dyDescent="0.35">
      <c r="A166" t="str">
        <f>IF('Other Emission Meters'!B166="",A165,'Other Emission Meters'!B166)</f>
        <v>Meter Numbers</v>
      </c>
      <c r="B166" t="str" cm="1">
        <f>IF(ISBLANK(INDEX(Array_EmissionChargeData,ROW()-2,(COLUMN())*2-3)),"",INDEX(Array_EmissionChargeData,ROW()-2,(COLUMN())*2-3))</f>
        <v/>
      </c>
      <c r="C166" t="str" cm="1">
        <f>IF(ISBLANK(INDEX(Array_EmissionChargeData,ROW()-2,(COLUMN())*2-3)),"",INDEX(Array_EmissionChargeData,ROW()-2,(COLUMN())*2-3))</f>
        <v/>
      </c>
      <c r="D166" t="str" cm="1">
        <f>IF(ISBLANK(INDEX(Array_EmissionChargeData,ROW()-2,(COLUMN())*2-3)),"",INDEX(Array_EmissionChargeData,ROW()-2,(COLUMN())*2-3))</f>
        <v/>
      </c>
      <c r="E166" t="str" cm="1">
        <f>IF(ISBLANK(INDEX(Array_EmissionChargeData,ROW()-2,(COLUMN())*2-3)),"",INDEX(Array_EmissionChargeData,ROW()-2,(COLUMN())*2-3))</f>
        <v/>
      </c>
      <c r="F166" t="str" cm="1">
        <f>IF(ISBLANK(INDEX(Array_EmissionChargeData,ROW()-2,(COLUMN())*2-3)),"",INDEX(Array_EmissionChargeData,ROW()-2,(COLUMN())*2-3))</f>
        <v/>
      </c>
    </row>
    <row r="167" spans="1:6" x14ac:dyDescent="0.35">
      <c r="A167" t="str">
        <f>IF('Other Emission Meters'!B167="",A166,'Other Emission Meters'!B167)</f>
        <v>Meter Numbers</v>
      </c>
      <c r="B167" t="str" cm="1">
        <f>IF(ISBLANK(INDEX(Array_EmissionChargeData,ROW()-2,(COLUMN())*2-3)),"",INDEX(Array_EmissionChargeData,ROW()-2,(COLUMN())*2-3))</f>
        <v/>
      </c>
      <c r="C167" t="str" cm="1">
        <f>IF(ISBLANK(INDEX(Array_EmissionChargeData,ROW()-2,(COLUMN())*2-3)),"",INDEX(Array_EmissionChargeData,ROW()-2,(COLUMN())*2-3))</f>
        <v/>
      </c>
      <c r="D167" t="str" cm="1">
        <f>IF(ISBLANK(INDEX(Array_EmissionChargeData,ROW()-2,(COLUMN())*2-3)),"",INDEX(Array_EmissionChargeData,ROW()-2,(COLUMN())*2-3))</f>
        <v/>
      </c>
      <c r="E167" t="str" cm="1">
        <f>IF(ISBLANK(INDEX(Array_EmissionChargeData,ROW()-2,(COLUMN())*2-3)),"",INDEX(Array_EmissionChargeData,ROW()-2,(COLUMN())*2-3))</f>
        <v/>
      </c>
      <c r="F167" t="str" cm="1">
        <f>IF(ISBLANK(INDEX(Array_EmissionChargeData,ROW()-2,(COLUMN())*2-3)),"",INDEX(Array_EmissionChargeData,ROW()-2,(COLUMN())*2-3))</f>
        <v/>
      </c>
    </row>
    <row r="168" spans="1:6" x14ac:dyDescent="0.35">
      <c r="A168" t="str">
        <f>IF('Other Emission Meters'!B168="",A167,'Other Emission Meters'!B168)</f>
        <v>Meter Numbers</v>
      </c>
      <c r="B168" t="str" cm="1">
        <f>IF(ISBLANK(INDEX(Array_EmissionChargeData,ROW()-2,(COLUMN())*2-3)),"",INDEX(Array_EmissionChargeData,ROW()-2,(COLUMN())*2-3))</f>
        <v/>
      </c>
      <c r="C168" t="str" cm="1">
        <f>IF(ISBLANK(INDEX(Array_EmissionChargeData,ROW()-2,(COLUMN())*2-3)),"",INDEX(Array_EmissionChargeData,ROW()-2,(COLUMN())*2-3))</f>
        <v/>
      </c>
      <c r="D168" t="str" cm="1">
        <f>IF(ISBLANK(INDEX(Array_EmissionChargeData,ROW()-2,(COLUMN())*2-3)),"",INDEX(Array_EmissionChargeData,ROW()-2,(COLUMN())*2-3))</f>
        <v/>
      </c>
      <c r="E168" t="str" cm="1">
        <f>IF(ISBLANK(INDEX(Array_EmissionChargeData,ROW()-2,(COLUMN())*2-3)),"",INDEX(Array_EmissionChargeData,ROW()-2,(COLUMN())*2-3))</f>
        <v/>
      </c>
      <c r="F168" t="str" cm="1">
        <f>IF(ISBLANK(INDEX(Array_EmissionChargeData,ROW()-2,(COLUMN())*2-3)),"",INDEX(Array_EmissionChargeData,ROW()-2,(COLUMN())*2-3))</f>
        <v/>
      </c>
    </row>
    <row r="169" spans="1:6" x14ac:dyDescent="0.35">
      <c r="A169" t="str">
        <f>IF('Other Emission Meters'!B169="",A168,'Other Emission Meters'!B169)</f>
        <v>Meter Numbers</v>
      </c>
      <c r="B169" t="str" cm="1">
        <f>IF(ISBLANK(INDEX(Array_EmissionChargeData,ROW()-2,(COLUMN())*2-3)),"",INDEX(Array_EmissionChargeData,ROW()-2,(COLUMN())*2-3))</f>
        <v/>
      </c>
      <c r="C169" t="str" cm="1">
        <f>IF(ISBLANK(INDEX(Array_EmissionChargeData,ROW()-2,(COLUMN())*2-3)),"",INDEX(Array_EmissionChargeData,ROW()-2,(COLUMN())*2-3))</f>
        <v/>
      </c>
      <c r="D169" t="str" cm="1">
        <f>IF(ISBLANK(INDEX(Array_EmissionChargeData,ROW()-2,(COLUMN())*2-3)),"",INDEX(Array_EmissionChargeData,ROW()-2,(COLUMN())*2-3))</f>
        <v/>
      </c>
      <c r="E169" t="str" cm="1">
        <f>IF(ISBLANK(INDEX(Array_EmissionChargeData,ROW()-2,(COLUMN())*2-3)),"",INDEX(Array_EmissionChargeData,ROW()-2,(COLUMN())*2-3))</f>
        <v/>
      </c>
      <c r="F169" t="str" cm="1">
        <f>IF(ISBLANK(INDEX(Array_EmissionChargeData,ROW()-2,(COLUMN())*2-3)),"",INDEX(Array_EmissionChargeData,ROW()-2,(COLUMN())*2-3))</f>
        <v/>
      </c>
    </row>
    <row r="170" spans="1:6" x14ac:dyDescent="0.35">
      <c r="A170" t="str">
        <f>IF('Other Emission Meters'!B170="",A169,'Other Emission Meters'!B170)</f>
        <v>Meter Numbers</v>
      </c>
      <c r="B170" t="str" cm="1">
        <f>IF(ISBLANK(INDEX(Array_EmissionChargeData,ROW()-2,(COLUMN())*2-3)),"",INDEX(Array_EmissionChargeData,ROW()-2,(COLUMN())*2-3))</f>
        <v/>
      </c>
      <c r="C170" t="str" cm="1">
        <f>IF(ISBLANK(INDEX(Array_EmissionChargeData,ROW()-2,(COLUMN())*2-3)),"",INDEX(Array_EmissionChargeData,ROW()-2,(COLUMN())*2-3))</f>
        <v/>
      </c>
      <c r="D170" t="str" cm="1">
        <f>IF(ISBLANK(INDEX(Array_EmissionChargeData,ROW()-2,(COLUMN())*2-3)),"",INDEX(Array_EmissionChargeData,ROW()-2,(COLUMN())*2-3))</f>
        <v/>
      </c>
      <c r="E170" t="str" cm="1">
        <f>IF(ISBLANK(INDEX(Array_EmissionChargeData,ROW()-2,(COLUMN())*2-3)),"",INDEX(Array_EmissionChargeData,ROW()-2,(COLUMN())*2-3))</f>
        <v/>
      </c>
      <c r="F170" t="str" cm="1">
        <f>IF(ISBLANK(INDEX(Array_EmissionChargeData,ROW()-2,(COLUMN())*2-3)),"",INDEX(Array_EmissionChargeData,ROW()-2,(COLUMN())*2-3))</f>
        <v/>
      </c>
    </row>
    <row r="171" spans="1:6" x14ac:dyDescent="0.35">
      <c r="A171" t="str">
        <f>IF('Other Emission Meters'!B171="",A170,'Other Emission Meters'!B171)</f>
        <v>Meter Numbers</v>
      </c>
      <c r="B171" t="str" cm="1">
        <f>IF(ISBLANK(INDEX(Array_EmissionChargeData,ROW()-2,(COLUMN())*2-3)),"",INDEX(Array_EmissionChargeData,ROW()-2,(COLUMN())*2-3))</f>
        <v/>
      </c>
      <c r="C171" t="str" cm="1">
        <f>IF(ISBLANK(INDEX(Array_EmissionChargeData,ROW()-2,(COLUMN())*2-3)),"",INDEX(Array_EmissionChargeData,ROW()-2,(COLUMN())*2-3))</f>
        <v/>
      </c>
      <c r="D171" t="str" cm="1">
        <f>IF(ISBLANK(INDEX(Array_EmissionChargeData,ROW()-2,(COLUMN())*2-3)),"",INDEX(Array_EmissionChargeData,ROW()-2,(COLUMN())*2-3))</f>
        <v/>
      </c>
      <c r="E171" t="str" cm="1">
        <f>IF(ISBLANK(INDEX(Array_EmissionChargeData,ROW()-2,(COLUMN())*2-3)),"",INDEX(Array_EmissionChargeData,ROW()-2,(COLUMN())*2-3))</f>
        <v/>
      </c>
      <c r="F171" t="str" cm="1">
        <f>IF(ISBLANK(INDEX(Array_EmissionChargeData,ROW()-2,(COLUMN())*2-3)),"",INDEX(Array_EmissionChargeData,ROW()-2,(COLUMN())*2-3))</f>
        <v/>
      </c>
    </row>
    <row r="172" spans="1:6" x14ac:dyDescent="0.35">
      <c r="A172" t="str">
        <f>IF('Other Emission Meters'!B172="",A171,'Other Emission Meters'!B172)</f>
        <v>Meter Numbers</v>
      </c>
      <c r="B172" t="str" cm="1">
        <f>IF(ISBLANK(INDEX(Array_EmissionChargeData,ROW()-2,(COLUMN())*2-3)),"",INDEX(Array_EmissionChargeData,ROW()-2,(COLUMN())*2-3))</f>
        <v/>
      </c>
      <c r="C172" t="str" cm="1">
        <f>IF(ISBLANK(INDEX(Array_EmissionChargeData,ROW()-2,(COLUMN())*2-3)),"",INDEX(Array_EmissionChargeData,ROW()-2,(COLUMN())*2-3))</f>
        <v/>
      </c>
      <c r="D172" t="str" cm="1">
        <f>IF(ISBLANK(INDEX(Array_EmissionChargeData,ROW()-2,(COLUMN())*2-3)),"",INDEX(Array_EmissionChargeData,ROW()-2,(COLUMN())*2-3))</f>
        <v/>
      </c>
      <c r="E172" t="str" cm="1">
        <f>IF(ISBLANK(INDEX(Array_EmissionChargeData,ROW()-2,(COLUMN())*2-3)),"",INDEX(Array_EmissionChargeData,ROW()-2,(COLUMN())*2-3))</f>
        <v/>
      </c>
      <c r="F172" t="str" cm="1">
        <f>IF(ISBLANK(INDEX(Array_EmissionChargeData,ROW()-2,(COLUMN())*2-3)),"",INDEX(Array_EmissionChargeData,ROW()-2,(COLUMN())*2-3))</f>
        <v/>
      </c>
    </row>
    <row r="173" spans="1:6" x14ac:dyDescent="0.35">
      <c r="A173" t="str">
        <f>IF('Other Emission Meters'!B173="",A172,'Other Emission Meters'!B173)</f>
        <v>Meter Numbers</v>
      </c>
      <c r="B173" t="str" cm="1">
        <f>IF(ISBLANK(INDEX(Array_EmissionChargeData,ROW()-2,(COLUMN())*2-3)),"",INDEX(Array_EmissionChargeData,ROW()-2,(COLUMN())*2-3))</f>
        <v/>
      </c>
      <c r="C173" t="str" cm="1">
        <f>IF(ISBLANK(INDEX(Array_EmissionChargeData,ROW()-2,(COLUMN())*2-3)),"",INDEX(Array_EmissionChargeData,ROW()-2,(COLUMN())*2-3))</f>
        <v/>
      </c>
      <c r="D173" t="str" cm="1">
        <f>IF(ISBLANK(INDEX(Array_EmissionChargeData,ROW()-2,(COLUMN())*2-3)),"",INDEX(Array_EmissionChargeData,ROW()-2,(COLUMN())*2-3))</f>
        <v/>
      </c>
      <c r="E173" t="str" cm="1">
        <f>IF(ISBLANK(INDEX(Array_EmissionChargeData,ROW()-2,(COLUMN())*2-3)),"",INDEX(Array_EmissionChargeData,ROW()-2,(COLUMN())*2-3))</f>
        <v/>
      </c>
      <c r="F173" t="str" cm="1">
        <f>IF(ISBLANK(INDEX(Array_EmissionChargeData,ROW()-2,(COLUMN())*2-3)),"",INDEX(Array_EmissionChargeData,ROW()-2,(COLUMN())*2-3))</f>
        <v/>
      </c>
    </row>
    <row r="174" spans="1:6" x14ac:dyDescent="0.35">
      <c r="A174" t="str">
        <f>IF('Other Emission Meters'!B174="",A173,'Other Emission Meters'!B174)</f>
        <v>Meter Numbers</v>
      </c>
      <c r="B174" t="str" cm="1">
        <f>IF(ISBLANK(INDEX(Array_EmissionChargeData,ROW()-2,(COLUMN())*2-3)),"",INDEX(Array_EmissionChargeData,ROW()-2,(COLUMN())*2-3))</f>
        <v/>
      </c>
      <c r="C174" t="str" cm="1">
        <f>IF(ISBLANK(INDEX(Array_EmissionChargeData,ROW()-2,(COLUMN())*2-3)),"",INDEX(Array_EmissionChargeData,ROW()-2,(COLUMN())*2-3))</f>
        <v/>
      </c>
      <c r="D174" t="str" cm="1">
        <f>IF(ISBLANK(INDEX(Array_EmissionChargeData,ROW()-2,(COLUMN())*2-3)),"",INDEX(Array_EmissionChargeData,ROW()-2,(COLUMN())*2-3))</f>
        <v/>
      </c>
      <c r="E174" t="str" cm="1">
        <f>IF(ISBLANK(INDEX(Array_EmissionChargeData,ROW()-2,(COLUMN())*2-3)),"",INDEX(Array_EmissionChargeData,ROW()-2,(COLUMN())*2-3))</f>
        <v/>
      </c>
      <c r="F174" t="str" cm="1">
        <f>IF(ISBLANK(INDEX(Array_EmissionChargeData,ROW()-2,(COLUMN())*2-3)),"",INDEX(Array_EmissionChargeData,ROW()-2,(COLUMN())*2-3))</f>
        <v/>
      </c>
    </row>
    <row r="175" spans="1:6" x14ac:dyDescent="0.35">
      <c r="A175" t="str">
        <f>IF('Other Emission Meters'!B175="",A174,'Other Emission Meters'!B175)</f>
        <v>Meter Numbers</v>
      </c>
      <c r="B175" t="str" cm="1">
        <f>IF(ISBLANK(INDEX(Array_EmissionChargeData,ROW()-2,(COLUMN())*2-3)),"",INDEX(Array_EmissionChargeData,ROW()-2,(COLUMN())*2-3))</f>
        <v/>
      </c>
      <c r="C175" t="str" cm="1">
        <f>IF(ISBLANK(INDEX(Array_EmissionChargeData,ROW()-2,(COLUMN())*2-3)),"",INDEX(Array_EmissionChargeData,ROW()-2,(COLUMN())*2-3))</f>
        <v/>
      </c>
      <c r="D175" t="str" cm="1">
        <f>IF(ISBLANK(INDEX(Array_EmissionChargeData,ROW()-2,(COLUMN())*2-3)),"",INDEX(Array_EmissionChargeData,ROW()-2,(COLUMN())*2-3))</f>
        <v/>
      </c>
      <c r="E175" t="str" cm="1">
        <f>IF(ISBLANK(INDEX(Array_EmissionChargeData,ROW()-2,(COLUMN())*2-3)),"",INDEX(Array_EmissionChargeData,ROW()-2,(COLUMN())*2-3))</f>
        <v/>
      </c>
      <c r="F175" t="str" cm="1">
        <f>IF(ISBLANK(INDEX(Array_EmissionChargeData,ROW()-2,(COLUMN())*2-3)),"",INDEX(Array_EmissionChargeData,ROW()-2,(COLUMN())*2-3))</f>
        <v/>
      </c>
    </row>
    <row r="176" spans="1:6" x14ac:dyDescent="0.35">
      <c r="A176" t="str">
        <f>IF('Other Emission Meters'!B176="",A175,'Other Emission Meters'!B176)</f>
        <v>Meter Numbers</v>
      </c>
      <c r="B176" t="str" cm="1">
        <f>IF(ISBLANK(INDEX(Array_EmissionChargeData,ROW()-2,(COLUMN())*2-3)),"",INDEX(Array_EmissionChargeData,ROW()-2,(COLUMN())*2-3))</f>
        <v/>
      </c>
      <c r="C176" t="str" cm="1">
        <f>IF(ISBLANK(INDEX(Array_EmissionChargeData,ROW()-2,(COLUMN())*2-3)),"",INDEX(Array_EmissionChargeData,ROW()-2,(COLUMN())*2-3))</f>
        <v/>
      </c>
      <c r="D176" t="str" cm="1">
        <f>IF(ISBLANK(INDEX(Array_EmissionChargeData,ROW()-2,(COLUMN())*2-3)),"",INDEX(Array_EmissionChargeData,ROW()-2,(COLUMN())*2-3))</f>
        <v/>
      </c>
      <c r="E176" t="str" cm="1">
        <f>IF(ISBLANK(INDEX(Array_EmissionChargeData,ROW()-2,(COLUMN())*2-3)),"",INDEX(Array_EmissionChargeData,ROW()-2,(COLUMN())*2-3))</f>
        <v/>
      </c>
      <c r="F176" t="str" cm="1">
        <f>IF(ISBLANK(INDEX(Array_EmissionChargeData,ROW()-2,(COLUMN())*2-3)),"",INDEX(Array_EmissionChargeData,ROW()-2,(COLUMN())*2-3))</f>
        <v/>
      </c>
    </row>
    <row r="177" spans="1:6" x14ac:dyDescent="0.35">
      <c r="A177" t="str">
        <f>IF('Other Emission Meters'!B177="",A176,'Other Emission Meters'!B177)</f>
        <v>Meter Numbers</v>
      </c>
      <c r="B177" t="str" cm="1">
        <f>IF(ISBLANK(INDEX(Array_EmissionChargeData,ROW()-2,(COLUMN())*2-3)),"",INDEX(Array_EmissionChargeData,ROW()-2,(COLUMN())*2-3))</f>
        <v/>
      </c>
      <c r="C177" t="str" cm="1">
        <f>IF(ISBLANK(INDEX(Array_EmissionChargeData,ROW()-2,(COLUMN())*2-3)),"",INDEX(Array_EmissionChargeData,ROW()-2,(COLUMN())*2-3))</f>
        <v/>
      </c>
      <c r="D177" t="str" cm="1">
        <f>IF(ISBLANK(INDEX(Array_EmissionChargeData,ROW()-2,(COLUMN())*2-3)),"",INDEX(Array_EmissionChargeData,ROW()-2,(COLUMN())*2-3))</f>
        <v/>
      </c>
      <c r="E177" t="str" cm="1">
        <f>IF(ISBLANK(INDEX(Array_EmissionChargeData,ROW()-2,(COLUMN())*2-3)),"",INDEX(Array_EmissionChargeData,ROW()-2,(COLUMN())*2-3))</f>
        <v/>
      </c>
      <c r="F177" t="str" cm="1">
        <f>IF(ISBLANK(INDEX(Array_EmissionChargeData,ROW()-2,(COLUMN())*2-3)),"",INDEX(Array_EmissionChargeData,ROW()-2,(COLUMN())*2-3))</f>
        <v/>
      </c>
    </row>
    <row r="178" spans="1:6" x14ac:dyDescent="0.35">
      <c r="A178" t="str">
        <f>IF('Other Emission Meters'!B178="",A177,'Other Emission Meters'!B178)</f>
        <v>Meter Numbers</v>
      </c>
      <c r="B178" t="str" cm="1">
        <f>IF(ISBLANK(INDEX(Array_EmissionChargeData,ROW()-2,(COLUMN())*2-3)),"",INDEX(Array_EmissionChargeData,ROW()-2,(COLUMN())*2-3))</f>
        <v/>
      </c>
      <c r="C178" t="str" cm="1">
        <f>IF(ISBLANK(INDEX(Array_EmissionChargeData,ROW()-2,(COLUMN())*2-3)),"",INDEX(Array_EmissionChargeData,ROW()-2,(COLUMN())*2-3))</f>
        <v/>
      </c>
      <c r="D178" t="str" cm="1">
        <f>IF(ISBLANK(INDEX(Array_EmissionChargeData,ROW()-2,(COLUMN())*2-3)),"",INDEX(Array_EmissionChargeData,ROW()-2,(COLUMN())*2-3))</f>
        <v/>
      </c>
      <c r="E178" t="str" cm="1">
        <f>IF(ISBLANK(INDEX(Array_EmissionChargeData,ROW()-2,(COLUMN())*2-3)),"",INDEX(Array_EmissionChargeData,ROW()-2,(COLUMN())*2-3))</f>
        <v/>
      </c>
      <c r="F178" t="str" cm="1">
        <f>IF(ISBLANK(INDEX(Array_EmissionChargeData,ROW()-2,(COLUMN())*2-3)),"",INDEX(Array_EmissionChargeData,ROW()-2,(COLUMN())*2-3))</f>
        <v/>
      </c>
    </row>
    <row r="179" spans="1:6" x14ac:dyDescent="0.35">
      <c r="A179" t="str">
        <f>IF('Other Emission Meters'!B179="",A178,'Other Emission Meters'!B179)</f>
        <v>Meter Numbers</v>
      </c>
      <c r="B179" t="str" cm="1">
        <f>IF(ISBLANK(INDEX(Array_EmissionChargeData,ROW()-2,(COLUMN())*2-3)),"",INDEX(Array_EmissionChargeData,ROW()-2,(COLUMN())*2-3))</f>
        <v/>
      </c>
      <c r="C179" t="str" cm="1">
        <f>IF(ISBLANK(INDEX(Array_EmissionChargeData,ROW()-2,(COLUMN())*2-3)),"",INDEX(Array_EmissionChargeData,ROW()-2,(COLUMN())*2-3))</f>
        <v/>
      </c>
      <c r="D179" t="str" cm="1">
        <f>IF(ISBLANK(INDEX(Array_EmissionChargeData,ROW()-2,(COLUMN())*2-3)),"",INDEX(Array_EmissionChargeData,ROW()-2,(COLUMN())*2-3))</f>
        <v/>
      </c>
      <c r="E179" t="str" cm="1">
        <f>IF(ISBLANK(INDEX(Array_EmissionChargeData,ROW()-2,(COLUMN())*2-3)),"",INDEX(Array_EmissionChargeData,ROW()-2,(COLUMN())*2-3))</f>
        <v/>
      </c>
      <c r="F179" t="str" cm="1">
        <f>IF(ISBLANK(INDEX(Array_EmissionChargeData,ROW()-2,(COLUMN())*2-3)),"",INDEX(Array_EmissionChargeData,ROW()-2,(COLUMN())*2-3))</f>
        <v/>
      </c>
    </row>
    <row r="180" spans="1:6" x14ac:dyDescent="0.35">
      <c r="A180" t="str">
        <f>IF('Other Emission Meters'!B180="",A179,'Other Emission Meters'!B180)</f>
        <v>Meter Numbers</v>
      </c>
      <c r="B180" t="str" cm="1">
        <f>IF(ISBLANK(INDEX(Array_EmissionChargeData,ROW()-2,(COLUMN())*2-3)),"",INDEX(Array_EmissionChargeData,ROW()-2,(COLUMN())*2-3))</f>
        <v/>
      </c>
      <c r="C180" t="str" cm="1">
        <f>IF(ISBLANK(INDEX(Array_EmissionChargeData,ROW()-2,(COLUMN())*2-3)),"",INDEX(Array_EmissionChargeData,ROW()-2,(COLUMN())*2-3))</f>
        <v/>
      </c>
      <c r="D180" t="str" cm="1">
        <f>IF(ISBLANK(INDEX(Array_EmissionChargeData,ROW()-2,(COLUMN())*2-3)),"",INDEX(Array_EmissionChargeData,ROW()-2,(COLUMN())*2-3))</f>
        <v/>
      </c>
      <c r="E180" t="str" cm="1">
        <f>IF(ISBLANK(INDEX(Array_EmissionChargeData,ROW()-2,(COLUMN())*2-3)),"",INDEX(Array_EmissionChargeData,ROW()-2,(COLUMN())*2-3))</f>
        <v/>
      </c>
      <c r="F180" t="str" cm="1">
        <f>IF(ISBLANK(INDEX(Array_EmissionChargeData,ROW()-2,(COLUMN())*2-3)),"",INDEX(Array_EmissionChargeData,ROW()-2,(COLUMN())*2-3))</f>
        <v/>
      </c>
    </row>
    <row r="181" spans="1:6" x14ac:dyDescent="0.35">
      <c r="A181" t="str">
        <f>IF('Other Emission Meters'!B181="",A180,'Other Emission Meters'!B181)</f>
        <v>Meter Numbers</v>
      </c>
      <c r="B181" t="str" cm="1">
        <f>IF(ISBLANK(INDEX(Array_EmissionChargeData,ROW()-2,(COLUMN())*2-3)),"",INDEX(Array_EmissionChargeData,ROW()-2,(COLUMN())*2-3))</f>
        <v/>
      </c>
      <c r="C181" t="str" cm="1">
        <f>IF(ISBLANK(INDEX(Array_EmissionChargeData,ROW()-2,(COLUMN())*2-3)),"",INDEX(Array_EmissionChargeData,ROW()-2,(COLUMN())*2-3))</f>
        <v/>
      </c>
      <c r="D181" t="str" cm="1">
        <f>IF(ISBLANK(INDEX(Array_EmissionChargeData,ROW()-2,(COLUMN())*2-3)),"",INDEX(Array_EmissionChargeData,ROW()-2,(COLUMN())*2-3))</f>
        <v/>
      </c>
      <c r="E181" t="str" cm="1">
        <f>IF(ISBLANK(INDEX(Array_EmissionChargeData,ROW()-2,(COLUMN())*2-3)),"",INDEX(Array_EmissionChargeData,ROW()-2,(COLUMN())*2-3))</f>
        <v/>
      </c>
      <c r="F181" t="str" cm="1">
        <f>IF(ISBLANK(INDEX(Array_EmissionChargeData,ROW()-2,(COLUMN())*2-3)),"",INDEX(Array_EmissionChargeData,ROW()-2,(COLUMN())*2-3))</f>
        <v/>
      </c>
    </row>
    <row r="182" spans="1:6" x14ac:dyDescent="0.35">
      <c r="A182" t="str">
        <f>IF('Other Emission Meters'!B182="",A181,'Other Emission Meters'!B182)</f>
        <v>Meter Numbers</v>
      </c>
      <c r="B182" t="str" cm="1">
        <f>IF(ISBLANK(INDEX(Array_EmissionChargeData,ROW()-2,(COLUMN())*2-3)),"",INDEX(Array_EmissionChargeData,ROW()-2,(COLUMN())*2-3))</f>
        <v/>
      </c>
      <c r="C182" t="str" cm="1">
        <f>IF(ISBLANK(INDEX(Array_EmissionChargeData,ROW()-2,(COLUMN())*2-3)),"",INDEX(Array_EmissionChargeData,ROW()-2,(COLUMN())*2-3))</f>
        <v/>
      </c>
      <c r="D182" t="str" cm="1">
        <f>IF(ISBLANK(INDEX(Array_EmissionChargeData,ROW()-2,(COLUMN())*2-3)),"",INDEX(Array_EmissionChargeData,ROW()-2,(COLUMN())*2-3))</f>
        <v/>
      </c>
      <c r="E182" t="str" cm="1">
        <f>IF(ISBLANK(INDEX(Array_EmissionChargeData,ROW()-2,(COLUMN())*2-3)),"",INDEX(Array_EmissionChargeData,ROW()-2,(COLUMN())*2-3))</f>
        <v/>
      </c>
      <c r="F182" t="str" cm="1">
        <f>IF(ISBLANK(INDEX(Array_EmissionChargeData,ROW()-2,(COLUMN())*2-3)),"",INDEX(Array_EmissionChargeData,ROW()-2,(COLUMN())*2-3))</f>
        <v/>
      </c>
    </row>
    <row r="183" spans="1:6" x14ac:dyDescent="0.35">
      <c r="A183" t="str">
        <f>IF('Other Emission Meters'!B183="",A182,'Other Emission Meters'!B183)</f>
        <v>Meter Numbers</v>
      </c>
      <c r="B183" t="str" cm="1">
        <f>IF(ISBLANK(INDEX(Array_EmissionChargeData,ROW()-2,(COLUMN())*2-3)),"",INDEX(Array_EmissionChargeData,ROW()-2,(COLUMN())*2-3))</f>
        <v/>
      </c>
      <c r="C183" t="str" cm="1">
        <f>IF(ISBLANK(INDEX(Array_EmissionChargeData,ROW()-2,(COLUMN())*2-3)),"",INDEX(Array_EmissionChargeData,ROW()-2,(COLUMN())*2-3))</f>
        <v/>
      </c>
      <c r="D183" t="str" cm="1">
        <f>IF(ISBLANK(INDEX(Array_EmissionChargeData,ROW()-2,(COLUMN())*2-3)),"",INDEX(Array_EmissionChargeData,ROW()-2,(COLUMN())*2-3))</f>
        <v/>
      </c>
      <c r="E183" t="str" cm="1">
        <f>IF(ISBLANK(INDEX(Array_EmissionChargeData,ROW()-2,(COLUMN())*2-3)),"",INDEX(Array_EmissionChargeData,ROW()-2,(COLUMN())*2-3))</f>
        <v/>
      </c>
      <c r="F183" t="str" cm="1">
        <f>IF(ISBLANK(INDEX(Array_EmissionChargeData,ROW()-2,(COLUMN())*2-3)),"",INDEX(Array_EmissionChargeData,ROW()-2,(COLUMN())*2-3))</f>
        <v/>
      </c>
    </row>
    <row r="184" spans="1:6" x14ac:dyDescent="0.35">
      <c r="A184" t="str">
        <f>IF('Other Emission Meters'!B184="",A183,'Other Emission Meters'!B184)</f>
        <v>Meter Numbers</v>
      </c>
      <c r="B184" t="str" cm="1">
        <f>IF(ISBLANK(INDEX(Array_EmissionChargeData,ROW()-2,(COLUMN())*2-3)),"",INDEX(Array_EmissionChargeData,ROW()-2,(COLUMN())*2-3))</f>
        <v/>
      </c>
      <c r="C184" t="str" cm="1">
        <f>IF(ISBLANK(INDEX(Array_EmissionChargeData,ROW()-2,(COLUMN())*2-3)),"",INDEX(Array_EmissionChargeData,ROW()-2,(COLUMN())*2-3))</f>
        <v/>
      </c>
      <c r="D184" t="str" cm="1">
        <f>IF(ISBLANK(INDEX(Array_EmissionChargeData,ROW()-2,(COLUMN())*2-3)),"",INDEX(Array_EmissionChargeData,ROW()-2,(COLUMN())*2-3))</f>
        <v/>
      </c>
      <c r="E184" t="str" cm="1">
        <f>IF(ISBLANK(INDEX(Array_EmissionChargeData,ROW()-2,(COLUMN())*2-3)),"",INDEX(Array_EmissionChargeData,ROW()-2,(COLUMN())*2-3))</f>
        <v/>
      </c>
      <c r="F184" t="str" cm="1">
        <f>IF(ISBLANK(INDEX(Array_EmissionChargeData,ROW()-2,(COLUMN())*2-3)),"",INDEX(Array_EmissionChargeData,ROW()-2,(COLUMN())*2-3))</f>
        <v/>
      </c>
    </row>
    <row r="185" spans="1:6" x14ac:dyDescent="0.35">
      <c r="A185" t="str">
        <f>IF('Other Emission Meters'!B185="",A184,'Other Emission Meters'!B185)</f>
        <v>Meter Numbers</v>
      </c>
      <c r="B185" t="str" cm="1">
        <f>IF(ISBLANK(INDEX(Array_EmissionChargeData,ROW()-2,(COLUMN())*2-3)),"",INDEX(Array_EmissionChargeData,ROW()-2,(COLUMN())*2-3))</f>
        <v/>
      </c>
      <c r="C185" t="str" cm="1">
        <f>IF(ISBLANK(INDEX(Array_EmissionChargeData,ROW()-2,(COLUMN())*2-3)),"",INDEX(Array_EmissionChargeData,ROW()-2,(COLUMN())*2-3))</f>
        <v/>
      </c>
      <c r="D185" t="str" cm="1">
        <f>IF(ISBLANK(INDEX(Array_EmissionChargeData,ROW()-2,(COLUMN())*2-3)),"",INDEX(Array_EmissionChargeData,ROW()-2,(COLUMN())*2-3))</f>
        <v/>
      </c>
      <c r="E185" t="str" cm="1">
        <f>IF(ISBLANK(INDEX(Array_EmissionChargeData,ROW()-2,(COLUMN())*2-3)),"",INDEX(Array_EmissionChargeData,ROW()-2,(COLUMN())*2-3))</f>
        <v/>
      </c>
      <c r="F185" t="str" cm="1">
        <f>IF(ISBLANK(INDEX(Array_EmissionChargeData,ROW()-2,(COLUMN())*2-3)),"",INDEX(Array_EmissionChargeData,ROW()-2,(COLUMN())*2-3))</f>
        <v/>
      </c>
    </row>
    <row r="186" spans="1:6" x14ac:dyDescent="0.35">
      <c r="A186" t="str">
        <f>IF('Other Emission Meters'!B186="",A185,'Other Emission Meters'!B186)</f>
        <v>Meter Numbers</v>
      </c>
      <c r="B186" t="str" cm="1">
        <f>IF(ISBLANK(INDEX(Array_EmissionChargeData,ROW()-2,(COLUMN())*2-3)),"",INDEX(Array_EmissionChargeData,ROW()-2,(COLUMN())*2-3))</f>
        <v/>
      </c>
      <c r="C186" t="str" cm="1">
        <f>IF(ISBLANK(INDEX(Array_EmissionChargeData,ROW()-2,(COLUMN())*2-3)),"",INDEX(Array_EmissionChargeData,ROW()-2,(COLUMN())*2-3))</f>
        <v/>
      </c>
      <c r="D186" t="str" cm="1">
        <f>IF(ISBLANK(INDEX(Array_EmissionChargeData,ROW()-2,(COLUMN())*2-3)),"",INDEX(Array_EmissionChargeData,ROW()-2,(COLUMN())*2-3))</f>
        <v/>
      </c>
      <c r="E186" t="str" cm="1">
        <f>IF(ISBLANK(INDEX(Array_EmissionChargeData,ROW()-2,(COLUMN())*2-3)),"",INDEX(Array_EmissionChargeData,ROW()-2,(COLUMN())*2-3))</f>
        <v/>
      </c>
      <c r="F186" t="str" cm="1">
        <f>IF(ISBLANK(INDEX(Array_EmissionChargeData,ROW()-2,(COLUMN())*2-3)),"",INDEX(Array_EmissionChargeData,ROW()-2,(COLUMN())*2-3))</f>
        <v/>
      </c>
    </row>
    <row r="187" spans="1:6" x14ac:dyDescent="0.35">
      <c r="A187" t="str">
        <f>IF('Other Emission Meters'!B187="",A186,'Other Emission Meters'!B187)</f>
        <v>Meter Numbers</v>
      </c>
      <c r="B187" t="str" cm="1">
        <f>IF(ISBLANK(INDEX(Array_EmissionChargeData,ROW()-2,(COLUMN())*2-3)),"",INDEX(Array_EmissionChargeData,ROW()-2,(COLUMN())*2-3))</f>
        <v/>
      </c>
      <c r="C187" t="str" cm="1">
        <f>IF(ISBLANK(INDEX(Array_EmissionChargeData,ROW()-2,(COLUMN())*2-3)),"",INDEX(Array_EmissionChargeData,ROW()-2,(COLUMN())*2-3))</f>
        <v/>
      </c>
      <c r="D187" t="str" cm="1">
        <f>IF(ISBLANK(INDEX(Array_EmissionChargeData,ROW()-2,(COLUMN())*2-3)),"",INDEX(Array_EmissionChargeData,ROW()-2,(COLUMN())*2-3))</f>
        <v/>
      </c>
      <c r="E187" t="str" cm="1">
        <f>IF(ISBLANK(INDEX(Array_EmissionChargeData,ROW()-2,(COLUMN())*2-3)),"",INDEX(Array_EmissionChargeData,ROW()-2,(COLUMN())*2-3))</f>
        <v/>
      </c>
      <c r="F187" t="str" cm="1">
        <f>IF(ISBLANK(INDEX(Array_EmissionChargeData,ROW()-2,(COLUMN())*2-3)),"",INDEX(Array_EmissionChargeData,ROW()-2,(COLUMN())*2-3))</f>
        <v/>
      </c>
    </row>
    <row r="188" spans="1:6" x14ac:dyDescent="0.35">
      <c r="A188" t="str">
        <f>IF('Other Emission Meters'!B188="",A187,'Other Emission Meters'!B188)</f>
        <v>Meter Numbers</v>
      </c>
      <c r="B188" t="str" cm="1">
        <f>IF(ISBLANK(INDEX(Array_EmissionChargeData,ROW()-2,(COLUMN())*2-3)),"",INDEX(Array_EmissionChargeData,ROW()-2,(COLUMN())*2-3))</f>
        <v/>
      </c>
      <c r="C188" t="str" cm="1">
        <f>IF(ISBLANK(INDEX(Array_EmissionChargeData,ROW()-2,(COLUMN())*2-3)),"",INDEX(Array_EmissionChargeData,ROW()-2,(COLUMN())*2-3))</f>
        <v/>
      </c>
      <c r="D188" t="str" cm="1">
        <f>IF(ISBLANK(INDEX(Array_EmissionChargeData,ROW()-2,(COLUMN())*2-3)),"",INDEX(Array_EmissionChargeData,ROW()-2,(COLUMN())*2-3))</f>
        <v/>
      </c>
      <c r="E188" t="str" cm="1">
        <f>IF(ISBLANK(INDEX(Array_EmissionChargeData,ROW()-2,(COLUMN())*2-3)),"",INDEX(Array_EmissionChargeData,ROW()-2,(COLUMN())*2-3))</f>
        <v/>
      </c>
      <c r="F188" t="str" cm="1">
        <f>IF(ISBLANK(INDEX(Array_EmissionChargeData,ROW()-2,(COLUMN())*2-3)),"",INDEX(Array_EmissionChargeData,ROW()-2,(COLUMN())*2-3))</f>
        <v/>
      </c>
    </row>
    <row r="189" spans="1:6" x14ac:dyDescent="0.35">
      <c r="A189" t="str">
        <f>IF('Other Emission Meters'!B189="",A188,'Other Emission Meters'!B189)</f>
        <v>Meter Numbers</v>
      </c>
      <c r="B189" t="str" cm="1">
        <f>IF(ISBLANK(INDEX(Array_EmissionChargeData,ROW()-2,(COLUMN())*2-3)),"",INDEX(Array_EmissionChargeData,ROW()-2,(COLUMN())*2-3))</f>
        <v/>
      </c>
      <c r="C189" t="str" cm="1">
        <f>IF(ISBLANK(INDEX(Array_EmissionChargeData,ROW()-2,(COLUMN())*2-3)),"",INDEX(Array_EmissionChargeData,ROW()-2,(COLUMN())*2-3))</f>
        <v/>
      </c>
      <c r="D189" t="str" cm="1">
        <f>IF(ISBLANK(INDEX(Array_EmissionChargeData,ROW()-2,(COLUMN())*2-3)),"",INDEX(Array_EmissionChargeData,ROW()-2,(COLUMN())*2-3))</f>
        <v/>
      </c>
      <c r="E189" t="str" cm="1">
        <f>IF(ISBLANK(INDEX(Array_EmissionChargeData,ROW()-2,(COLUMN())*2-3)),"",INDEX(Array_EmissionChargeData,ROW()-2,(COLUMN())*2-3))</f>
        <v/>
      </c>
      <c r="F189" t="str" cm="1">
        <f>IF(ISBLANK(INDEX(Array_EmissionChargeData,ROW()-2,(COLUMN())*2-3)),"",INDEX(Array_EmissionChargeData,ROW()-2,(COLUMN())*2-3))</f>
        <v/>
      </c>
    </row>
    <row r="190" spans="1:6" x14ac:dyDescent="0.35">
      <c r="A190" t="str">
        <f>IF('Other Emission Meters'!B190="",A189,'Other Emission Meters'!B190)</f>
        <v>Meter Numbers</v>
      </c>
      <c r="B190" t="str" cm="1">
        <f>IF(ISBLANK(INDEX(Array_EmissionChargeData,ROW()-2,(COLUMN())*2-3)),"",INDEX(Array_EmissionChargeData,ROW()-2,(COLUMN())*2-3))</f>
        <v/>
      </c>
      <c r="C190" t="str" cm="1">
        <f>IF(ISBLANK(INDEX(Array_EmissionChargeData,ROW()-2,(COLUMN())*2-3)),"",INDEX(Array_EmissionChargeData,ROW()-2,(COLUMN())*2-3))</f>
        <v/>
      </c>
      <c r="D190" t="str" cm="1">
        <f>IF(ISBLANK(INDEX(Array_EmissionChargeData,ROW()-2,(COLUMN())*2-3)),"",INDEX(Array_EmissionChargeData,ROW()-2,(COLUMN())*2-3))</f>
        <v/>
      </c>
      <c r="E190" t="str" cm="1">
        <f>IF(ISBLANK(INDEX(Array_EmissionChargeData,ROW()-2,(COLUMN())*2-3)),"",INDEX(Array_EmissionChargeData,ROW()-2,(COLUMN())*2-3))</f>
        <v/>
      </c>
      <c r="F190" t="str" cm="1">
        <f>IF(ISBLANK(INDEX(Array_EmissionChargeData,ROW()-2,(COLUMN())*2-3)),"",INDEX(Array_EmissionChargeData,ROW()-2,(COLUMN())*2-3))</f>
        <v/>
      </c>
    </row>
    <row r="191" spans="1:6" x14ac:dyDescent="0.35">
      <c r="A191" t="str">
        <f>IF('Other Emission Meters'!B191="",A190,'Other Emission Meters'!B191)</f>
        <v>Meter Numbers</v>
      </c>
      <c r="B191" t="str" cm="1">
        <f>IF(ISBLANK(INDEX(Array_EmissionChargeData,ROW()-2,(COLUMN())*2-3)),"",INDEX(Array_EmissionChargeData,ROW()-2,(COLUMN())*2-3))</f>
        <v/>
      </c>
      <c r="C191" t="str" cm="1">
        <f>IF(ISBLANK(INDEX(Array_EmissionChargeData,ROW()-2,(COLUMN())*2-3)),"",INDEX(Array_EmissionChargeData,ROW()-2,(COLUMN())*2-3))</f>
        <v/>
      </c>
      <c r="D191" t="str" cm="1">
        <f>IF(ISBLANK(INDEX(Array_EmissionChargeData,ROW()-2,(COLUMN())*2-3)),"",INDEX(Array_EmissionChargeData,ROW()-2,(COLUMN())*2-3))</f>
        <v/>
      </c>
      <c r="E191" t="str" cm="1">
        <f>IF(ISBLANK(INDEX(Array_EmissionChargeData,ROW()-2,(COLUMN())*2-3)),"",INDEX(Array_EmissionChargeData,ROW()-2,(COLUMN())*2-3))</f>
        <v/>
      </c>
      <c r="F191" t="str" cm="1">
        <f>IF(ISBLANK(INDEX(Array_EmissionChargeData,ROW()-2,(COLUMN())*2-3)),"",INDEX(Array_EmissionChargeData,ROW()-2,(COLUMN())*2-3))</f>
        <v/>
      </c>
    </row>
    <row r="192" spans="1:6" x14ac:dyDescent="0.35">
      <c r="A192" t="str">
        <f>IF('Other Emission Meters'!B192="",A191,'Other Emission Meters'!B192)</f>
        <v>Meter Numbers</v>
      </c>
      <c r="B192" t="str" cm="1">
        <f>IF(ISBLANK(INDEX(Array_EmissionChargeData,ROW()-2,(COLUMN())*2-3)),"",INDEX(Array_EmissionChargeData,ROW()-2,(COLUMN())*2-3))</f>
        <v/>
      </c>
      <c r="C192" t="str" cm="1">
        <f>IF(ISBLANK(INDEX(Array_EmissionChargeData,ROW()-2,(COLUMN())*2-3)),"",INDEX(Array_EmissionChargeData,ROW()-2,(COLUMN())*2-3))</f>
        <v/>
      </c>
      <c r="D192" t="str" cm="1">
        <f>IF(ISBLANK(INDEX(Array_EmissionChargeData,ROW()-2,(COLUMN())*2-3)),"",INDEX(Array_EmissionChargeData,ROW()-2,(COLUMN())*2-3))</f>
        <v/>
      </c>
      <c r="E192" t="str" cm="1">
        <f>IF(ISBLANK(INDEX(Array_EmissionChargeData,ROW()-2,(COLUMN())*2-3)),"",INDEX(Array_EmissionChargeData,ROW()-2,(COLUMN())*2-3))</f>
        <v/>
      </c>
      <c r="F192" t="str" cm="1">
        <f>IF(ISBLANK(INDEX(Array_EmissionChargeData,ROW()-2,(COLUMN())*2-3)),"",INDEX(Array_EmissionChargeData,ROW()-2,(COLUMN())*2-3))</f>
        <v/>
      </c>
    </row>
    <row r="193" spans="1:6" x14ac:dyDescent="0.35">
      <c r="A193" t="str">
        <f>IF('Other Emission Meters'!B193="",A192,'Other Emission Meters'!B193)</f>
        <v>Meter Numbers</v>
      </c>
      <c r="B193" t="str" cm="1">
        <f>IF(ISBLANK(INDEX(Array_EmissionChargeData,ROW()-2,(COLUMN())*2-3)),"",INDEX(Array_EmissionChargeData,ROW()-2,(COLUMN())*2-3))</f>
        <v/>
      </c>
      <c r="C193" t="str" cm="1">
        <f>IF(ISBLANK(INDEX(Array_EmissionChargeData,ROW()-2,(COLUMN())*2-3)),"",INDEX(Array_EmissionChargeData,ROW()-2,(COLUMN())*2-3))</f>
        <v/>
      </c>
      <c r="D193" t="str" cm="1">
        <f>IF(ISBLANK(INDEX(Array_EmissionChargeData,ROW()-2,(COLUMN())*2-3)),"",INDEX(Array_EmissionChargeData,ROW()-2,(COLUMN())*2-3))</f>
        <v/>
      </c>
      <c r="E193" t="str" cm="1">
        <f>IF(ISBLANK(INDEX(Array_EmissionChargeData,ROW()-2,(COLUMN())*2-3)),"",INDEX(Array_EmissionChargeData,ROW()-2,(COLUMN())*2-3))</f>
        <v/>
      </c>
      <c r="F193" t="str" cm="1">
        <f>IF(ISBLANK(INDEX(Array_EmissionChargeData,ROW()-2,(COLUMN())*2-3)),"",INDEX(Array_EmissionChargeData,ROW()-2,(COLUMN())*2-3))</f>
        <v/>
      </c>
    </row>
    <row r="194" spans="1:6" x14ac:dyDescent="0.35">
      <c r="A194" t="str">
        <f>IF('Other Emission Meters'!B194="",A193,'Other Emission Meters'!B194)</f>
        <v>Meter Numbers</v>
      </c>
      <c r="B194" t="str" cm="1">
        <f>IF(ISBLANK(INDEX(Array_EmissionChargeData,ROW()-2,(COLUMN())*2-3)),"",INDEX(Array_EmissionChargeData,ROW()-2,(COLUMN())*2-3))</f>
        <v/>
      </c>
      <c r="C194" t="str" cm="1">
        <f>IF(ISBLANK(INDEX(Array_EmissionChargeData,ROW()-2,(COLUMN())*2-3)),"",INDEX(Array_EmissionChargeData,ROW()-2,(COLUMN())*2-3))</f>
        <v/>
      </c>
      <c r="D194" t="str" cm="1">
        <f>IF(ISBLANK(INDEX(Array_EmissionChargeData,ROW()-2,(COLUMN())*2-3)),"",INDEX(Array_EmissionChargeData,ROW()-2,(COLUMN())*2-3))</f>
        <v/>
      </c>
      <c r="E194" t="str" cm="1">
        <f>IF(ISBLANK(INDEX(Array_EmissionChargeData,ROW()-2,(COLUMN())*2-3)),"",INDEX(Array_EmissionChargeData,ROW()-2,(COLUMN())*2-3))</f>
        <v/>
      </c>
      <c r="F194" t="str" cm="1">
        <f>IF(ISBLANK(INDEX(Array_EmissionChargeData,ROW()-2,(COLUMN())*2-3)),"",INDEX(Array_EmissionChargeData,ROW()-2,(COLUMN())*2-3))</f>
        <v/>
      </c>
    </row>
    <row r="195" spans="1:6" x14ac:dyDescent="0.35">
      <c r="A195" t="str">
        <f>IF('Other Emission Meters'!B195="",A194,'Other Emission Meters'!B195)</f>
        <v>Meter Numbers</v>
      </c>
      <c r="B195" t="str" cm="1">
        <f>IF(ISBLANK(INDEX(Array_EmissionChargeData,ROW()-2,(COLUMN())*2-3)),"",INDEX(Array_EmissionChargeData,ROW()-2,(COLUMN())*2-3))</f>
        <v/>
      </c>
      <c r="C195" t="str" cm="1">
        <f>IF(ISBLANK(INDEX(Array_EmissionChargeData,ROW()-2,(COLUMN())*2-3)),"",INDEX(Array_EmissionChargeData,ROW()-2,(COLUMN())*2-3))</f>
        <v/>
      </c>
      <c r="D195" t="str" cm="1">
        <f>IF(ISBLANK(INDEX(Array_EmissionChargeData,ROW()-2,(COLUMN())*2-3)),"",INDEX(Array_EmissionChargeData,ROW()-2,(COLUMN())*2-3))</f>
        <v/>
      </c>
      <c r="E195" t="str" cm="1">
        <f>IF(ISBLANK(INDEX(Array_EmissionChargeData,ROW()-2,(COLUMN())*2-3)),"",INDEX(Array_EmissionChargeData,ROW()-2,(COLUMN())*2-3))</f>
        <v/>
      </c>
      <c r="F195" t="str" cm="1">
        <f>IF(ISBLANK(INDEX(Array_EmissionChargeData,ROW()-2,(COLUMN())*2-3)),"",INDEX(Array_EmissionChargeData,ROW()-2,(COLUMN())*2-3))</f>
        <v/>
      </c>
    </row>
    <row r="196" spans="1:6" x14ac:dyDescent="0.35">
      <c r="A196" t="str">
        <f>IF('Other Emission Meters'!B196="",A195,'Other Emission Meters'!B196)</f>
        <v>Meter Numbers</v>
      </c>
      <c r="B196" t="str" cm="1">
        <f>IF(ISBLANK(INDEX(Array_EmissionChargeData,ROW()-2,(COLUMN())*2-3)),"",INDEX(Array_EmissionChargeData,ROW()-2,(COLUMN())*2-3))</f>
        <v/>
      </c>
      <c r="C196" t="str" cm="1">
        <f>IF(ISBLANK(INDEX(Array_EmissionChargeData,ROW()-2,(COLUMN())*2-3)),"",INDEX(Array_EmissionChargeData,ROW()-2,(COLUMN())*2-3))</f>
        <v/>
      </c>
      <c r="D196" t="str" cm="1">
        <f>IF(ISBLANK(INDEX(Array_EmissionChargeData,ROW()-2,(COLUMN())*2-3)),"",INDEX(Array_EmissionChargeData,ROW()-2,(COLUMN())*2-3))</f>
        <v/>
      </c>
      <c r="E196" t="str" cm="1">
        <f>IF(ISBLANK(INDEX(Array_EmissionChargeData,ROW()-2,(COLUMN())*2-3)),"",INDEX(Array_EmissionChargeData,ROW()-2,(COLUMN())*2-3))</f>
        <v/>
      </c>
      <c r="F196" t="str" cm="1">
        <f>IF(ISBLANK(INDEX(Array_EmissionChargeData,ROW()-2,(COLUMN())*2-3)),"",INDEX(Array_EmissionChargeData,ROW()-2,(COLUMN())*2-3))</f>
        <v/>
      </c>
    </row>
    <row r="197" spans="1:6" x14ac:dyDescent="0.35">
      <c r="A197" t="str">
        <f>IF('Other Emission Meters'!B197="",A196,'Other Emission Meters'!B197)</f>
        <v>Meter Numbers</v>
      </c>
      <c r="B197" t="str" cm="1">
        <f>IF(ISBLANK(INDEX(Array_EmissionChargeData,ROW()-2,(COLUMN())*2-3)),"",INDEX(Array_EmissionChargeData,ROW()-2,(COLUMN())*2-3))</f>
        <v/>
      </c>
      <c r="C197" t="str" cm="1">
        <f>IF(ISBLANK(INDEX(Array_EmissionChargeData,ROW()-2,(COLUMN())*2-3)),"",INDEX(Array_EmissionChargeData,ROW()-2,(COLUMN())*2-3))</f>
        <v/>
      </c>
      <c r="D197" t="str" cm="1">
        <f>IF(ISBLANK(INDEX(Array_EmissionChargeData,ROW()-2,(COLUMN())*2-3)),"",INDEX(Array_EmissionChargeData,ROW()-2,(COLUMN())*2-3))</f>
        <v/>
      </c>
      <c r="E197" t="str" cm="1">
        <f>IF(ISBLANK(INDEX(Array_EmissionChargeData,ROW()-2,(COLUMN())*2-3)),"",INDEX(Array_EmissionChargeData,ROW()-2,(COLUMN())*2-3))</f>
        <v/>
      </c>
      <c r="F197" t="str" cm="1">
        <f>IF(ISBLANK(INDEX(Array_EmissionChargeData,ROW()-2,(COLUMN())*2-3)),"",INDEX(Array_EmissionChargeData,ROW()-2,(COLUMN())*2-3))</f>
        <v/>
      </c>
    </row>
    <row r="198" spans="1:6" x14ac:dyDescent="0.35">
      <c r="A198" t="str">
        <f>IF('Other Emission Meters'!B198="",A197,'Other Emission Meters'!B198)</f>
        <v>Meter Numbers</v>
      </c>
      <c r="B198" t="str" cm="1">
        <f>IF(ISBLANK(INDEX(Array_EmissionChargeData,ROW()-2,(COLUMN())*2-3)),"",INDEX(Array_EmissionChargeData,ROW()-2,(COLUMN())*2-3))</f>
        <v/>
      </c>
      <c r="C198" t="str" cm="1">
        <f>IF(ISBLANK(INDEX(Array_EmissionChargeData,ROW()-2,(COLUMN())*2-3)),"",INDEX(Array_EmissionChargeData,ROW()-2,(COLUMN())*2-3))</f>
        <v/>
      </c>
      <c r="D198" t="str" cm="1">
        <f>IF(ISBLANK(INDEX(Array_EmissionChargeData,ROW()-2,(COLUMN())*2-3)),"",INDEX(Array_EmissionChargeData,ROW()-2,(COLUMN())*2-3))</f>
        <v/>
      </c>
      <c r="E198" t="str" cm="1">
        <f>IF(ISBLANK(INDEX(Array_EmissionChargeData,ROW()-2,(COLUMN())*2-3)),"",INDEX(Array_EmissionChargeData,ROW()-2,(COLUMN())*2-3))</f>
        <v/>
      </c>
      <c r="F198" t="str" cm="1">
        <f>IF(ISBLANK(INDEX(Array_EmissionChargeData,ROW()-2,(COLUMN())*2-3)),"",INDEX(Array_EmissionChargeData,ROW()-2,(COLUMN())*2-3))</f>
        <v/>
      </c>
    </row>
    <row r="199" spans="1:6" x14ac:dyDescent="0.35">
      <c r="A199" t="str">
        <f>IF('Other Emission Meters'!B199="",A198,'Other Emission Meters'!B199)</f>
        <v>Meter Numbers</v>
      </c>
      <c r="B199" t="str" cm="1">
        <f>IF(ISBLANK(INDEX(Array_EmissionChargeData,ROW()-2,(COLUMN())*2-3)),"",INDEX(Array_EmissionChargeData,ROW()-2,(COLUMN())*2-3))</f>
        <v/>
      </c>
      <c r="C199" t="str" cm="1">
        <f>IF(ISBLANK(INDEX(Array_EmissionChargeData,ROW()-2,(COLUMN())*2-3)),"",INDEX(Array_EmissionChargeData,ROW()-2,(COLUMN())*2-3))</f>
        <v/>
      </c>
      <c r="D199" t="str" cm="1">
        <f>IF(ISBLANK(INDEX(Array_EmissionChargeData,ROW()-2,(COLUMN())*2-3)),"",INDEX(Array_EmissionChargeData,ROW()-2,(COLUMN())*2-3))</f>
        <v/>
      </c>
      <c r="E199" t="str" cm="1">
        <f>IF(ISBLANK(INDEX(Array_EmissionChargeData,ROW()-2,(COLUMN())*2-3)),"",INDEX(Array_EmissionChargeData,ROW()-2,(COLUMN())*2-3))</f>
        <v/>
      </c>
      <c r="F199" t="str" cm="1">
        <f>IF(ISBLANK(INDEX(Array_EmissionChargeData,ROW()-2,(COLUMN())*2-3)),"",INDEX(Array_EmissionChargeData,ROW()-2,(COLUMN())*2-3))</f>
        <v/>
      </c>
    </row>
    <row r="200" spans="1:6" x14ac:dyDescent="0.35">
      <c r="A200" t="str">
        <f>IF('Other Emission Meters'!B200="",A199,'Other Emission Meters'!B200)</f>
        <v>Meter Numbers</v>
      </c>
      <c r="B200" t="str" cm="1">
        <f>IF(ISBLANK(INDEX(Array_EmissionChargeData,ROW()-2,(COLUMN())*2-3)),"",INDEX(Array_EmissionChargeData,ROW()-2,(COLUMN())*2-3))</f>
        <v/>
      </c>
      <c r="C200" t="str" cm="1">
        <f>IF(ISBLANK(INDEX(Array_EmissionChargeData,ROW()-2,(COLUMN())*2-3)),"",INDEX(Array_EmissionChargeData,ROW()-2,(COLUMN())*2-3))</f>
        <v/>
      </c>
      <c r="D200" t="str" cm="1">
        <f>IF(ISBLANK(INDEX(Array_EmissionChargeData,ROW()-2,(COLUMN())*2-3)),"",INDEX(Array_EmissionChargeData,ROW()-2,(COLUMN())*2-3))</f>
        <v/>
      </c>
      <c r="E200" t="str" cm="1">
        <f>IF(ISBLANK(INDEX(Array_EmissionChargeData,ROW()-2,(COLUMN())*2-3)),"",INDEX(Array_EmissionChargeData,ROW()-2,(COLUMN())*2-3))</f>
        <v/>
      </c>
      <c r="F200" t="str" cm="1">
        <f>IF(ISBLANK(INDEX(Array_EmissionChargeData,ROW()-2,(COLUMN())*2-3)),"",INDEX(Array_EmissionChargeData,ROW()-2,(COLUMN())*2-3))</f>
        <v/>
      </c>
    </row>
    <row r="201" spans="1:6" x14ac:dyDescent="0.35">
      <c r="A201" t="str">
        <f>IF('Other Emission Meters'!B201="",A200,'Other Emission Meters'!B201)</f>
        <v>Meter Numbers</v>
      </c>
      <c r="B201" t="str" cm="1">
        <f>IF(ISBLANK(INDEX(Array_EmissionChargeData,ROW()-2,(COLUMN())*2-3)),"",INDEX(Array_EmissionChargeData,ROW()-2,(COLUMN())*2-3))</f>
        <v/>
      </c>
      <c r="C201" t="str" cm="1">
        <f>IF(ISBLANK(INDEX(Array_EmissionChargeData,ROW()-2,(COLUMN())*2-3)),"",INDEX(Array_EmissionChargeData,ROW()-2,(COLUMN())*2-3))</f>
        <v/>
      </c>
      <c r="D201" t="str" cm="1">
        <f>IF(ISBLANK(INDEX(Array_EmissionChargeData,ROW()-2,(COLUMN())*2-3)),"",INDEX(Array_EmissionChargeData,ROW()-2,(COLUMN())*2-3))</f>
        <v/>
      </c>
      <c r="E201" t="str" cm="1">
        <f>IF(ISBLANK(INDEX(Array_EmissionChargeData,ROW()-2,(COLUMN())*2-3)),"",INDEX(Array_EmissionChargeData,ROW()-2,(COLUMN())*2-3))</f>
        <v/>
      </c>
      <c r="F201" t="str" cm="1">
        <f>IF(ISBLANK(INDEX(Array_EmissionChargeData,ROW()-2,(COLUMN())*2-3)),"",INDEX(Array_EmissionChargeData,ROW()-2,(COLUMN())*2-3))</f>
        <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3E3B1-55C9-4BE7-888D-DA41934C39AA}">
  <sheetPr codeName="Sheet17">
    <tabColor rgb="FF7F7F7F"/>
  </sheetPr>
  <dimension ref="A1:S502"/>
  <sheetViews>
    <sheetView topLeftCell="A14" workbookViewId="0">
      <selection activeCell="B17" sqref="B17"/>
    </sheetView>
  </sheetViews>
  <sheetFormatPr defaultColWidth="0" defaultRowHeight="14" zeroHeight="1" x14ac:dyDescent="0.3"/>
  <cols>
    <col min="1" max="18" width="16.7265625" style="45" customWidth="1"/>
    <col min="19" max="19" width="16.7265625" style="49" customWidth="1"/>
    <col min="20" max="16384" width="9.1796875" style="45" hidden="1"/>
  </cols>
  <sheetData>
    <row r="1" spans="1:19" ht="30" customHeight="1" x14ac:dyDescent="0.3">
      <c r="A1" s="77" t="s">
        <v>829</v>
      </c>
      <c r="B1" s="80"/>
      <c r="C1" s="78"/>
      <c r="D1" s="79"/>
      <c r="E1" s="43" t="s">
        <v>794</v>
      </c>
      <c r="F1" s="44"/>
      <c r="G1" s="44"/>
      <c r="H1" s="44"/>
      <c r="I1" s="44"/>
      <c r="J1" s="44"/>
      <c r="K1" s="44"/>
      <c r="L1" s="44"/>
      <c r="M1" s="44"/>
      <c r="N1" s="44"/>
      <c r="O1" s="44"/>
      <c r="P1" s="44"/>
      <c r="Q1" s="44"/>
      <c r="R1" s="44"/>
      <c r="S1" s="52"/>
    </row>
    <row r="2" spans="1:19" ht="30" customHeight="1" x14ac:dyDescent="0.3">
      <c r="A2" s="99" t="s">
        <v>22</v>
      </c>
      <c r="B2" s="105" t="s">
        <v>30</v>
      </c>
      <c r="C2" s="100" t="s">
        <v>726</v>
      </c>
      <c r="D2" s="101" t="s">
        <v>33</v>
      </c>
      <c r="E2" s="54" t="str" cm="1">
        <f>IF(INDEX(List_ChargeNumbers_Emissions, 1, ROUNDUP((COLUMN()+0)/3-0,0)) = 0,"",INDEX(List_ChargeNumbers_Emissions, 2, ROUNDUP((COLUMN()+0)/3-0,0))&amp;" Name")</f>
        <v/>
      </c>
      <c r="F2" s="55" t="str" cm="1">
        <f>IF(INDEX(List_ChargeNumbers_Emissions, 1, ROUNDUP((COLUMN()+0)/3-0,0)) = 0,"",INDEX(List_ChargeNumbers_Emissions, 2, ROUNDUP((COLUMN()+0)/3-0,0))&amp;" Reading")</f>
        <v/>
      </c>
      <c r="G2" s="56" t="str" cm="1">
        <f>IF(INDEX(List_ChargeNumbers_Emissions, 1, ROUNDUP((COLUMN()-1)/3-0,0)) = 0,"",INDEX(List_ChargeNumbers_Emissions, 2, ROUNDUP((COLUMN()-1)/3-0,0))&amp;" Cost")</f>
        <v/>
      </c>
      <c r="H2" s="54" t="str" cm="1">
        <f>IF(INDEX(List_ChargeNumbers_Emissions, 1, ROUNDUP((COLUMN()+0)/3-0,0)) = 0,"",INDEX(List_ChargeNumbers_Emissions, 2, ROUNDUP((COLUMN()+0)/3-0,0))&amp;" Name")</f>
        <v/>
      </c>
      <c r="I2" s="55" t="str" cm="1">
        <f>IF(INDEX(List_ChargeNumbers_Emissions, 1, ROUNDUP((COLUMN()+0)/3-0,0)) = 0,"",INDEX(List_ChargeNumbers_Emissions, 2, ROUNDUP((COLUMN()+0)/3-0,0))&amp;" Reading")</f>
        <v/>
      </c>
      <c r="J2" s="56" t="str" cm="1">
        <f>IF(INDEX(List_ChargeNumbers_Emissions, 1, ROUNDUP((COLUMN()-1)/3-0,0)) = 0,"",INDEX(List_ChargeNumbers_Emissions, 2, ROUNDUP((COLUMN()-1)/3-0,0))&amp;" Cost")</f>
        <v/>
      </c>
      <c r="K2" s="54" t="str" cm="1">
        <f>IF(INDEX(List_ChargeNumbers_Emissions, 1, ROUNDUP((COLUMN()+0)/3-0,0)) = 0,"",INDEX(List_ChargeNumbers_Emissions, 2, ROUNDUP((COLUMN()+0)/3-0,0))&amp;" Name")</f>
        <v/>
      </c>
      <c r="L2" s="55" t="str" cm="1">
        <f>IF(INDEX(List_ChargeNumbers_Emissions, 1, ROUNDUP((COLUMN()+0)/3-0,0)) = 0,"",INDEX(List_ChargeNumbers_Emissions, 2, ROUNDUP((COLUMN()+0)/3-0,0))&amp;" Reading")</f>
        <v/>
      </c>
      <c r="M2" s="56" t="str" cm="1">
        <f>IF(INDEX(List_ChargeNumbers_Emissions, 1, ROUNDUP((COLUMN()-1)/3-0,0)) = 0,"",INDEX(List_ChargeNumbers_Emissions, 2, ROUNDUP((COLUMN()-1)/3-0,0))&amp;" Cost")</f>
        <v/>
      </c>
      <c r="N2" s="54" t="str" cm="1">
        <f>IF(INDEX(List_ChargeNumbers_Emissions, 1, ROUNDUP((COLUMN()+0)/3-0,0)) = 0,"",INDEX(List_ChargeNumbers_Emissions, 2, ROUNDUP((COLUMN()+0)/3-0,0))&amp;" Name")</f>
        <v/>
      </c>
      <c r="O2" s="55" t="str" cm="1">
        <f>IF(INDEX(List_ChargeNumbers_Emissions, 1, ROUNDUP((COLUMN()+0)/3-0,0)) = 0,"",INDEX(List_ChargeNumbers_Emissions, 2, ROUNDUP((COLUMN()+0)/3-0,0))&amp;" Reading")</f>
        <v/>
      </c>
      <c r="P2" s="56" t="str" cm="1">
        <f>IF(INDEX(List_ChargeNumbers_Emissions, 1, ROUNDUP((COLUMN()-1)/3-0,0)) = 0,"",INDEX(List_ChargeNumbers_Emissions, 2, ROUNDUP((COLUMN()-1)/3-0,0))&amp;" Cost")</f>
        <v/>
      </c>
      <c r="Q2" s="54" t="str" cm="1">
        <f>IF(INDEX(List_ChargeNumbers_Emissions, 1, ROUNDUP((COLUMN()+0)/3-0,0)) = 0,"",INDEX(List_ChargeNumbers_Emissions, 2, ROUNDUP((COLUMN()+0)/3-0,0))&amp;" Name")</f>
        <v/>
      </c>
      <c r="R2" s="55" t="str" cm="1">
        <f>IF(INDEX(List_ChargeNumbers_Emissions, 1, ROUNDUP((COLUMN()+0)/3-0,0)) = 0,"",INDEX(List_ChargeNumbers_Emissions, 2, ROUNDUP((COLUMN()+0)/3-0,0))&amp;" Reading")</f>
        <v/>
      </c>
      <c r="S2" s="56" t="str" cm="1">
        <f>IF(INDEX(List_ChargeNumbers_Emissions, 1, ROUNDUP((COLUMN()-1)/3-0,0)) = 0,"",INDEX(List_ChargeNumbers_Emissions, 2, ROUNDUP((COLUMN()-1)/3-0,0))&amp;" Cost")</f>
        <v/>
      </c>
    </row>
    <row r="3" spans="1:19" x14ac:dyDescent="0.3">
      <c r="A3" s="126"/>
      <c r="B3" s="133"/>
      <c r="C3" s="127"/>
      <c r="D3" s="137"/>
      <c r="E3" s="58" t="str" cm="1">
        <f>IF(ISBLANK($A3),"",INDEX(Array_EmissionCharges,MATCH($A3,List_EmissionMeters,0),ROUNDUP((COLUMN()+0)/3-1,0)))</f>
        <v/>
      </c>
      <c r="F3" s="127"/>
      <c r="G3" s="137"/>
      <c r="H3" s="58" t="str" cm="1">
        <f>IF(ISBLANK($A3),"",INDEX(Array_EmissionCharges,MATCH($A3,List_EmissionMeters,0),ROUNDUP((COLUMN()+0)/3-1,0)))</f>
        <v/>
      </c>
      <c r="I3" s="127"/>
      <c r="J3" s="137"/>
      <c r="K3" s="58" t="str" cm="1">
        <f>IF(ISBLANK($A3),"",INDEX(Array_EmissionCharges,MATCH($A3,List_EmissionMeters,0),ROUNDUP((COLUMN()+0)/3-1,0)))</f>
        <v/>
      </c>
      <c r="L3" s="127"/>
      <c r="M3" s="137"/>
      <c r="N3" s="58" t="str" cm="1">
        <f>IF(ISBLANK($A3),"",INDEX(Array_EmissionCharges,MATCH($A3,List_EmissionMeters,0),ROUNDUP((COLUMN()+0)/3-1,0)))</f>
        <v/>
      </c>
      <c r="O3" s="127"/>
      <c r="P3" s="137"/>
      <c r="Q3" s="58" t="str" cm="1">
        <f>IF(ISBLANK($A3),"",INDEX(Array_EmissionCharges,MATCH($A3,List_EmissionMeters,0),ROUNDUP((COLUMN()+0)/3-1,0)))</f>
        <v/>
      </c>
      <c r="R3" s="127"/>
      <c r="S3" s="137"/>
    </row>
    <row r="4" spans="1:19" x14ac:dyDescent="0.3">
      <c r="A4" s="126"/>
      <c r="B4" s="133"/>
      <c r="C4" s="127"/>
      <c r="D4" s="137"/>
      <c r="E4" s="58" t="str" cm="1">
        <f>IF(ISBLANK($A4),"",INDEX(Array_EmissionCharges,MATCH($A4,List_EmissionMeters,0),ROUNDUP((COLUMN()+0)/3-1,0)))</f>
        <v/>
      </c>
      <c r="F4" s="127"/>
      <c r="G4" s="137"/>
      <c r="H4" s="58" t="str" cm="1">
        <f>IF(ISBLANK($A4),"",INDEX(Array_EmissionCharges,MATCH($A4,List_EmissionMeters,0),ROUNDUP((COLUMN()+0)/3-1,0)))</f>
        <v/>
      </c>
      <c r="I4" s="127"/>
      <c r="J4" s="137"/>
      <c r="K4" s="58" t="str" cm="1">
        <f>IF(ISBLANK($A4),"",INDEX(Array_EmissionCharges,MATCH($A4,List_EmissionMeters,0),ROUNDUP((COLUMN()+0)/3-1,0)))</f>
        <v/>
      </c>
      <c r="L4" s="127"/>
      <c r="M4" s="137"/>
      <c r="N4" s="58" t="str" cm="1">
        <f>IF(ISBLANK($A4),"",INDEX(Array_EmissionCharges,MATCH($A4,List_EmissionMeters,0),ROUNDUP((COLUMN()+0)/3-1,0)))</f>
        <v/>
      </c>
      <c r="O4" s="127"/>
      <c r="P4" s="137"/>
      <c r="Q4" s="58" t="str" cm="1">
        <f>IF(ISBLANK($A4),"",INDEX(Array_EmissionCharges,MATCH($A4,List_EmissionMeters,0),ROUNDUP((COLUMN()+0)/3-1,0)))</f>
        <v/>
      </c>
      <c r="R4" s="127"/>
      <c r="S4" s="137"/>
    </row>
    <row r="5" spans="1:19" x14ac:dyDescent="0.3">
      <c r="A5" s="126"/>
      <c r="B5" s="133"/>
      <c r="C5" s="127"/>
      <c r="D5" s="137"/>
      <c r="E5" s="58" t="str" cm="1">
        <f>IF(ISBLANK($A5),"",INDEX(Array_EmissionCharges,MATCH($A5,List_EmissionMeters,0),ROUNDUP((COLUMN()+0)/3-1,0)))</f>
        <v/>
      </c>
      <c r="F5" s="127"/>
      <c r="G5" s="137"/>
      <c r="H5" s="58" t="str" cm="1">
        <f>IF(ISBLANK($A5),"",INDEX(Array_EmissionCharges,MATCH($A5,List_EmissionMeters,0),ROUNDUP((COLUMN()+0)/3-1,0)))</f>
        <v/>
      </c>
      <c r="I5" s="127"/>
      <c r="J5" s="137"/>
      <c r="K5" s="58" t="str" cm="1">
        <f>IF(ISBLANK($A5),"",INDEX(Array_EmissionCharges,MATCH($A5,List_EmissionMeters,0),ROUNDUP((COLUMN()+0)/3-1,0)))</f>
        <v/>
      </c>
      <c r="L5" s="127"/>
      <c r="M5" s="137"/>
      <c r="N5" s="58" t="str" cm="1">
        <f>IF(ISBLANK($A5),"",INDEX(Array_EmissionCharges,MATCH($A5,List_EmissionMeters,0),ROUNDUP((COLUMN()+0)/3-1,0)))</f>
        <v/>
      </c>
      <c r="O5" s="127"/>
      <c r="P5" s="137"/>
      <c r="Q5" s="58" t="str" cm="1">
        <f>IF(ISBLANK($A5),"",INDEX(Array_EmissionCharges,MATCH($A5,List_EmissionMeters,0),ROUNDUP((COLUMN()+0)/3-1,0)))</f>
        <v/>
      </c>
      <c r="R5" s="127"/>
      <c r="S5" s="137"/>
    </row>
    <row r="6" spans="1:19" x14ac:dyDescent="0.3">
      <c r="A6" s="126"/>
      <c r="B6" s="133"/>
      <c r="C6" s="127"/>
      <c r="D6" s="137"/>
      <c r="E6" s="58" t="str" cm="1">
        <f>IF(ISBLANK($A6),"",INDEX(Array_EmissionCharges,MATCH($A6,List_EmissionMeters,0),ROUNDUP((COLUMN()+0)/3-1,0)))</f>
        <v/>
      </c>
      <c r="F6" s="127"/>
      <c r="G6" s="137"/>
      <c r="H6" s="58" t="str" cm="1">
        <f>IF(ISBLANK($A6),"",INDEX(Array_EmissionCharges,MATCH($A6,List_EmissionMeters,0),ROUNDUP((COLUMN()+0)/3-1,0)))</f>
        <v/>
      </c>
      <c r="I6" s="127"/>
      <c r="J6" s="137"/>
      <c r="K6" s="58" t="str" cm="1">
        <f>IF(ISBLANK($A6),"",INDEX(Array_EmissionCharges,MATCH($A6,List_EmissionMeters,0),ROUNDUP((COLUMN()+0)/3-1,0)))</f>
        <v/>
      </c>
      <c r="L6" s="127"/>
      <c r="M6" s="137"/>
      <c r="N6" s="58" t="str" cm="1">
        <f>IF(ISBLANK($A6),"",INDEX(Array_EmissionCharges,MATCH($A6,List_EmissionMeters,0),ROUNDUP((COLUMN()+0)/3-1,0)))</f>
        <v/>
      </c>
      <c r="O6" s="127"/>
      <c r="P6" s="137"/>
      <c r="Q6" s="58" t="str" cm="1">
        <f>IF(ISBLANK($A6),"",INDEX(Array_EmissionCharges,MATCH($A6,List_EmissionMeters,0),ROUNDUP((COLUMN()+0)/3-1,0)))</f>
        <v/>
      </c>
      <c r="R6" s="127"/>
      <c r="S6" s="137"/>
    </row>
    <row r="7" spans="1:19" x14ac:dyDescent="0.3">
      <c r="A7" s="126"/>
      <c r="B7" s="133"/>
      <c r="C7" s="127"/>
      <c r="D7" s="137"/>
      <c r="E7" s="58" t="str" cm="1">
        <f>IF(ISBLANK($A7),"",INDEX(Array_EmissionCharges,MATCH($A7,List_EmissionMeters,0),ROUNDUP((COLUMN()+0)/3-1,0)))</f>
        <v/>
      </c>
      <c r="F7" s="127"/>
      <c r="G7" s="137"/>
      <c r="H7" s="58" t="str" cm="1">
        <f>IF(ISBLANK($A7),"",INDEX(Array_EmissionCharges,MATCH($A7,List_EmissionMeters,0),ROUNDUP((COLUMN()+0)/3-1,0)))</f>
        <v/>
      </c>
      <c r="I7" s="127"/>
      <c r="J7" s="137"/>
      <c r="K7" s="58" t="str" cm="1">
        <f>IF(ISBLANK($A7),"",INDEX(Array_EmissionCharges,MATCH($A7,List_EmissionMeters,0),ROUNDUP((COLUMN()+0)/3-1,0)))</f>
        <v/>
      </c>
      <c r="L7" s="127"/>
      <c r="M7" s="137"/>
      <c r="N7" s="58" t="str" cm="1">
        <f>IF(ISBLANK($A7),"",INDEX(Array_EmissionCharges,MATCH($A7,List_EmissionMeters,0),ROUNDUP((COLUMN()+0)/3-1,0)))</f>
        <v/>
      </c>
      <c r="O7" s="127"/>
      <c r="P7" s="137"/>
      <c r="Q7" s="58" t="str" cm="1">
        <f>IF(ISBLANK($A7),"",INDEX(Array_EmissionCharges,MATCH($A7,List_EmissionMeters,0),ROUNDUP((COLUMN()+0)/3-1,0)))</f>
        <v/>
      </c>
      <c r="R7" s="127"/>
      <c r="S7" s="137"/>
    </row>
    <row r="8" spans="1:19" x14ac:dyDescent="0.3">
      <c r="A8" s="126"/>
      <c r="B8" s="133"/>
      <c r="C8" s="127"/>
      <c r="D8" s="137"/>
      <c r="E8" s="58" t="str" cm="1">
        <f>IF(ISBLANK($A8),"",INDEX(Array_EmissionCharges,MATCH($A8,List_EmissionMeters,0),ROUNDUP((COLUMN()+0)/3-1,0)))</f>
        <v/>
      </c>
      <c r="F8" s="127"/>
      <c r="G8" s="137"/>
      <c r="H8" s="58" t="str" cm="1">
        <f>IF(ISBLANK($A8),"",INDEX(Array_EmissionCharges,MATCH($A8,List_EmissionMeters,0),ROUNDUP((COLUMN()+0)/3-1,0)))</f>
        <v/>
      </c>
      <c r="I8" s="127"/>
      <c r="J8" s="137"/>
      <c r="K8" s="58" t="str" cm="1">
        <f>IF(ISBLANK($A8),"",INDEX(Array_EmissionCharges,MATCH($A8,List_EmissionMeters,0),ROUNDUP((COLUMN()+0)/3-1,0)))</f>
        <v/>
      </c>
      <c r="L8" s="127"/>
      <c r="M8" s="137"/>
      <c r="N8" s="58" t="str" cm="1">
        <f>IF(ISBLANK($A8),"",INDEX(Array_EmissionCharges,MATCH($A8,List_EmissionMeters,0),ROUNDUP((COLUMN()+0)/3-1,0)))</f>
        <v/>
      </c>
      <c r="O8" s="127"/>
      <c r="P8" s="137"/>
      <c r="Q8" s="58" t="str" cm="1">
        <f>IF(ISBLANK($A8),"",INDEX(Array_EmissionCharges,MATCH($A8,List_EmissionMeters,0),ROUNDUP((COLUMN()+0)/3-1,0)))</f>
        <v/>
      </c>
      <c r="R8" s="127"/>
      <c r="S8" s="137"/>
    </row>
    <row r="9" spans="1:19" x14ac:dyDescent="0.3">
      <c r="A9" s="126"/>
      <c r="B9" s="133"/>
      <c r="C9" s="127"/>
      <c r="D9" s="137"/>
      <c r="E9" s="58" t="str" cm="1">
        <f>IF(ISBLANK($A9),"",INDEX(Array_EmissionCharges,MATCH($A9,List_EmissionMeters,0),ROUNDUP((COLUMN()+0)/3-1,0)))</f>
        <v/>
      </c>
      <c r="F9" s="127"/>
      <c r="G9" s="137"/>
      <c r="H9" s="58" t="str" cm="1">
        <f>IF(ISBLANK($A9),"",INDEX(Array_EmissionCharges,MATCH($A9,List_EmissionMeters,0),ROUNDUP((COLUMN()+0)/3-1,0)))</f>
        <v/>
      </c>
      <c r="I9" s="127"/>
      <c r="J9" s="137"/>
      <c r="K9" s="58" t="str" cm="1">
        <f>IF(ISBLANK($A9),"",INDEX(Array_EmissionCharges,MATCH($A9,List_EmissionMeters,0),ROUNDUP((COLUMN()+0)/3-1,0)))</f>
        <v/>
      </c>
      <c r="L9" s="127"/>
      <c r="M9" s="137"/>
      <c r="N9" s="58" t="str" cm="1">
        <f>IF(ISBLANK($A9),"",INDEX(Array_EmissionCharges,MATCH($A9,List_EmissionMeters,0),ROUNDUP((COLUMN()+0)/3-1,0)))</f>
        <v/>
      </c>
      <c r="O9" s="127"/>
      <c r="P9" s="137"/>
      <c r="Q9" s="58" t="str" cm="1">
        <f>IF(ISBLANK($A9),"",INDEX(Array_EmissionCharges,MATCH($A9,List_EmissionMeters,0),ROUNDUP((COLUMN()+0)/3-1,0)))</f>
        <v/>
      </c>
      <c r="R9" s="127"/>
      <c r="S9" s="137"/>
    </row>
    <row r="10" spans="1:19" x14ac:dyDescent="0.3">
      <c r="A10" s="126"/>
      <c r="B10" s="133"/>
      <c r="C10" s="127"/>
      <c r="D10" s="137"/>
      <c r="E10" s="58" t="str" cm="1">
        <f>IF(ISBLANK($A10),"",INDEX(Array_EmissionCharges,MATCH($A10,List_EmissionMeters,0),ROUNDUP((COLUMN()+0)/3-1,0)))</f>
        <v/>
      </c>
      <c r="F10" s="127"/>
      <c r="G10" s="137"/>
      <c r="H10" s="58" t="str" cm="1">
        <f>IF(ISBLANK($A10),"",INDEX(Array_EmissionCharges,MATCH($A10,List_EmissionMeters,0),ROUNDUP((COLUMN()+0)/3-1,0)))</f>
        <v/>
      </c>
      <c r="I10" s="127"/>
      <c r="J10" s="137"/>
      <c r="K10" s="58" t="str" cm="1">
        <f>IF(ISBLANK($A10),"",INDEX(Array_EmissionCharges,MATCH($A10,List_EmissionMeters,0),ROUNDUP((COLUMN()+0)/3-1,0)))</f>
        <v/>
      </c>
      <c r="L10" s="127"/>
      <c r="M10" s="137"/>
      <c r="N10" s="58" t="str" cm="1">
        <f>IF(ISBLANK($A10),"",INDEX(Array_EmissionCharges,MATCH($A10,List_EmissionMeters,0),ROUNDUP((COLUMN()+0)/3-1,0)))</f>
        <v/>
      </c>
      <c r="O10" s="127"/>
      <c r="P10" s="137"/>
      <c r="Q10" s="58" t="str" cm="1">
        <f>IF(ISBLANK($A10),"",INDEX(Array_EmissionCharges,MATCH($A10,List_EmissionMeters,0),ROUNDUP((COLUMN()+0)/3-1,0)))</f>
        <v/>
      </c>
      <c r="R10" s="127"/>
      <c r="S10" s="137"/>
    </row>
    <row r="11" spans="1:19" x14ac:dyDescent="0.3">
      <c r="A11" s="126"/>
      <c r="B11" s="133"/>
      <c r="C11" s="127"/>
      <c r="D11" s="137"/>
      <c r="E11" s="58" t="str" cm="1">
        <f>IF(ISBLANK($A11),"",INDEX(Array_EmissionCharges,MATCH($A11,List_EmissionMeters,0),ROUNDUP((COLUMN()+0)/3-1,0)))</f>
        <v/>
      </c>
      <c r="F11" s="127"/>
      <c r="G11" s="137"/>
      <c r="H11" s="58" t="str" cm="1">
        <f>IF(ISBLANK($A11),"",INDEX(Array_EmissionCharges,MATCH($A11,List_EmissionMeters,0),ROUNDUP((COLUMN()+0)/3-1,0)))</f>
        <v/>
      </c>
      <c r="I11" s="127"/>
      <c r="J11" s="137"/>
      <c r="K11" s="58" t="str" cm="1">
        <f>IF(ISBLANK($A11),"",INDEX(Array_EmissionCharges,MATCH($A11,List_EmissionMeters,0),ROUNDUP((COLUMN()+0)/3-1,0)))</f>
        <v/>
      </c>
      <c r="L11" s="127"/>
      <c r="M11" s="137"/>
      <c r="N11" s="58" t="str" cm="1">
        <f>IF(ISBLANK($A11),"",INDEX(Array_EmissionCharges,MATCH($A11,List_EmissionMeters,0),ROUNDUP((COLUMN()+0)/3-1,0)))</f>
        <v/>
      </c>
      <c r="O11" s="127"/>
      <c r="P11" s="137"/>
      <c r="Q11" s="58" t="str" cm="1">
        <f>IF(ISBLANK($A11),"",INDEX(Array_EmissionCharges,MATCH($A11,List_EmissionMeters,0),ROUNDUP((COLUMN()+0)/3-1,0)))</f>
        <v/>
      </c>
      <c r="R11" s="127"/>
      <c r="S11" s="137"/>
    </row>
    <row r="12" spans="1:19" x14ac:dyDescent="0.3">
      <c r="A12" s="126"/>
      <c r="B12" s="133"/>
      <c r="C12" s="127"/>
      <c r="D12" s="137"/>
      <c r="E12" s="58" t="str" cm="1">
        <f>IF(ISBLANK($A12),"",INDEX(Array_EmissionCharges,MATCH($A12,List_EmissionMeters,0),ROUNDUP((COLUMN()+0)/3-1,0)))</f>
        <v/>
      </c>
      <c r="F12" s="127"/>
      <c r="G12" s="137"/>
      <c r="H12" s="58" t="str" cm="1">
        <f>IF(ISBLANK($A12),"",INDEX(Array_EmissionCharges,MATCH($A12,List_EmissionMeters,0),ROUNDUP((COLUMN()+0)/3-1,0)))</f>
        <v/>
      </c>
      <c r="I12" s="127"/>
      <c r="J12" s="137"/>
      <c r="K12" s="58" t="str" cm="1">
        <f>IF(ISBLANK($A12),"",INDEX(Array_EmissionCharges,MATCH($A12,List_EmissionMeters,0),ROUNDUP((COLUMN()+0)/3-1,0)))</f>
        <v/>
      </c>
      <c r="L12" s="127"/>
      <c r="M12" s="137"/>
      <c r="N12" s="58" t="str" cm="1">
        <f>IF(ISBLANK($A12),"",INDEX(Array_EmissionCharges,MATCH($A12,List_EmissionMeters,0),ROUNDUP((COLUMN()+0)/3-1,0)))</f>
        <v/>
      </c>
      <c r="O12" s="127"/>
      <c r="P12" s="137"/>
      <c r="Q12" s="58" t="str" cm="1">
        <f>IF(ISBLANK($A12),"",INDEX(Array_EmissionCharges,MATCH($A12,List_EmissionMeters,0),ROUNDUP((COLUMN()+0)/3-1,0)))</f>
        <v/>
      </c>
      <c r="R12" s="127"/>
      <c r="S12" s="137"/>
    </row>
    <row r="13" spans="1:19" x14ac:dyDescent="0.3">
      <c r="A13" s="126"/>
      <c r="B13" s="133"/>
      <c r="C13" s="127"/>
      <c r="D13" s="137"/>
      <c r="E13" s="58" t="str" cm="1">
        <f>IF(ISBLANK($A13),"",INDEX(Array_EmissionCharges,MATCH($A13,List_EmissionMeters,0),ROUNDUP((COLUMN()+0)/3-1,0)))</f>
        <v/>
      </c>
      <c r="F13" s="127"/>
      <c r="G13" s="137"/>
      <c r="H13" s="58" t="str" cm="1">
        <f>IF(ISBLANK($A13),"",INDEX(Array_EmissionCharges,MATCH($A13,List_EmissionMeters,0),ROUNDUP((COLUMN()+0)/3-1,0)))</f>
        <v/>
      </c>
      <c r="I13" s="127"/>
      <c r="J13" s="137"/>
      <c r="K13" s="58" t="str" cm="1">
        <f>IF(ISBLANK($A13),"",INDEX(Array_EmissionCharges,MATCH($A13,List_EmissionMeters,0),ROUNDUP((COLUMN()+0)/3-1,0)))</f>
        <v/>
      </c>
      <c r="L13" s="127"/>
      <c r="M13" s="137"/>
      <c r="N13" s="58" t="str" cm="1">
        <f>IF(ISBLANK($A13),"",INDEX(Array_EmissionCharges,MATCH($A13,List_EmissionMeters,0),ROUNDUP((COLUMN()+0)/3-1,0)))</f>
        <v/>
      </c>
      <c r="O13" s="127"/>
      <c r="P13" s="137"/>
      <c r="Q13" s="58" t="str" cm="1">
        <f>IF(ISBLANK($A13),"",INDEX(Array_EmissionCharges,MATCH($A13,List_EmissionMeters,0),ROUNDUP((COLUMN()+0)/3-1,0)))</f>
        <v/>
      </c>
      <c r="R13" s="127"/>
      <c r="S13" s="137"/>
    </row>
    <row r="14" spans="1:19" x14ac:dyDescent="0.3">
      <c r="A14" s="126"/>
      <c r="B14" s="133"/>
      <c r="C14" s="127"/>
      <c r="D14" s="137"/>
      <c r="E14" s="58" t="str" cm="1">
        <f>IF(ISBLANK($A14),"",INDEX(Array_EmissionCharges,MATCH($A14,List_EmissionMeters,0),ROUNDUP((COLUMN()+0)/3-1,0)))</f>
        <v/>
      </c>
      <c r="F14" s="127"/>
      <c r="G14" s="137"/>
      <c r="H14" s="58" t="str" cm="1">
        <f>IF(ISBLANK($A14),"",INDEX(Array_EmissionCharges,MATCH($A14,List_EmissionMeters,0),ROUNDUP((COLUMN()+0)/3-1,0)))</f>
        <v/>
      </c>
      <c r="I14" s="127"/>
      <c r="J14" s="137"/>
      <c r="K14" s="58" t="str" cm="1">
        <f>IF(ISBLANK($A14),"",INDEX(Array_EmissionCharges,MATCH($A14,List_EmissionMeters,0),ROUNDUP((COLUMN()+0)/3-1,0)))</f>
        <v/>
      </c>
      <c r="L14" s="127"/>
      <c r="M14" s="137"/>
      <c r="N14" s="58" t="str" cm="1">
        <f>IF(ISBLANK($A14),"",INDEX(Array_EmissionCharges,MATCH($A14,List_EmissionMeters,0),ROUNDUP((COLUMN()+0)/3-1,0)))</f>
        <v/>
      </c>
      <c r="O14" s="127"/>
      <c r="P14" s="137"/>
      <c r="Q14" s="58" t="str" cm="1">
        <f>IF(ISBLANK($A14),"",INDEX(Array_EmissionCharges,MATCH($A14,List_EmissionMeters,0),ROUNDUP((COLUMN()+0)/3-1,0)))</f>
        <v/>
      </c>
      <c r="R14" s="127"/>
      <c r="S14" s="137"/>
    </row>
    <row r="15" spans="1:19" x14ac:dyDescent="0.3">
      <c r="A15" s="126"/>
      <c r="B15" s="133"/>
      <c r="C15" s="127"/>
      <c r="D15" s="137"/>
      <c r="E15" s="58" t="str" cm="1">
        <f>IF(ISBLANK($A15),"",INDEX(Array_EmissionCharges,MATCH($A15,List_EmissionMeters,0),ROUNDUP((COLUMN()+0)/3-1,0)))</f>
        <v/>
      </c>
      <c r="F15" s="127"/>
      <c r="G15" s="137"/>
      <c r="H15" s="58" t="str" cm="1">
        <f>IF(ISBLANK($A15),"",INDEX(Array_EmissionCharges,MATCH($A15,List_EmissionMeters,0),ROUNDUP((COLUMN()+0)/3-1,0)))</f>
        <v/>
      </c>
      <c r="I15" s="127"/>
      <c r="J15" s="137"/>
      <c r="K15" s="58" t="str" cm="1">
        <f>IF(ISBLANK($A15),"",INDEX(Array_EmissionCharges,MATCH($A15,List_EmissionMeters,0),ROUNDUP((COLUMN()+0)/3-1,0)))</f>
        <v/>
      </c>
      <c r="L15" s="127"/>
      <c r="M15" s="137"/>
      <c r="N15" s="58" t="str" cm="1">
        <f>IF(ISBLANK($A15),"",INDEX(Array_EmissionCharges,MATCH($A15,List_EmissionMeters,0),ROUNDUP((COLUMN()+0)/3-1,0)))</f>
        <v/>
      </c>
      <c r="O15" s="127"/>
      <c r="P15" s="137"/>
      <c r="Q15" s="58" t="str" cm="1">
        <f>IF(ISBLANK($A15),"",INDEX(Array_EmissionCharges,MATCH($A15,List_EmissionMeters,0),ROUNDUP((COLUMN()+0)/3-1,0)))</f>
        <v/>
      </c>
      <c r="R15" s="127"/>
      <c r="S15" s="137"/>
    </row>
    <row r="16" spans="1:19" x14ac:dyDescent="0.3">
      <c r="A16" s="126"/>
      <c r="B16" s="133"/>
      <c r="C16" s="127"/>
      <c r="D16" s="137"/>
      <c r="E16" s="58" t="str" cm="1">
        <f>IF(ISBLANK($A16),"",INDEX(Array_EmissionCharges,MATCH($A16,List_EmissionMeters,0),ROUNDUP((COLUMN()+0)/3-1,0)))</f>
        <v/>
      </c>
      <c r="F16" s="127"/>
      <c r="G16" s="137"/>
      <c r="H16" s="58" t="str" cm="1">
        <f>IF(ISBLANK($A16),"",INDEX(Array_EmissionCharges,MATCH($A16,List_EmissionMeters,0),ROUNDUP((COLUMN()+0)/3-1,0)))</f>
        <v/>
      </c>
      <c r="I16" s="127"/>
      <c r="J16" s="137"/>
      <c r="K16" s="58" t="str" cm="1">
        <f>IF(ISBLANK($A16),"",INDEX(Array_EmissionCharges,MATCH($A16,List_EmissionMeters,0),ROUNDUP((COLUMN()+0)/3-1,0)))</f>
        <v/>
      </c>
      <c r="L16" s="127"/>
      <c r="M16" s="137"/>
      <c r="N16" s="58" t="str" cm="1">
        <f>IF(ISBLANK($A16),"",INDEX(Array_EmissionCharges,MATCH($A16,List_EmissionMeters,0),ROUNDUP((COLUMN()+0)/3-1,0)))</f>
        <v/>
      </c>
      <c r="O16" s="127"/>
      <c r="P16" s="137"/>
      <c r="Q16" s="58" t="str" cm="1">
        <f>IF(ISBLANK($A16),"",INDEX(Array_EmissionCharges,MATCH($A16,List_EmissionMeters,0),ROUNDUP((COLUMN()+0)/3-1,0)))</f>
        <v/>
      </c>
      <c r="R16" s="127"/>
      <c r="S16" s="137"/>
    </row>
    <row r="17" spans="1:19" x14ac:dyDescent="0.3">
      <c r="A17" s="126"/>
      <c r="B17" s="133"/>
      <c r="C17" s="127"/>
      <c r="D17" s="137"/>
      <c r="E17" s="58" t="str" cm="1">
        <f>IF(ISBLANK($A17),"",INDEX(Array_EmissionCharges,MATCH($A17,List_EmissionMeters,0),ROUNDUP((COLUMN()+0)/3-1,0)))</f>
        <v/>
      </c>
      <c r="F17" s="127"/>
      <c r="G17" s="137"/>
      <c r="H17" s="58" t="str" cm="1">
        <f>IF(ISBLANK($A17),"",INDEX(Array_EmissionCharges,MATCH($A17,List_EmissionMeters,0),ROUNDUP((COLUMN()+0)/3-1,0)))</f>
        <v/>
      </c>
      <c r="I17" s="127"/>
      <c r="J17" s="137"/>
      <c r="K17" s="58" t="str" cm="1">
        <f>IF(ISBLANK($A17),"",INDEX(Array_EmissionCharges,MATCH($A17,List_EmissionMeters,0),ROUNDUP((COLUMN()+0)/3-1,0)))</f>
        <v/>
      </c>
      <c r="L17" s="127"/>
      <c r="M17" s="137"/>
      <c r="N17" s="58" t="str" cm="1">
        <f>IF(ISBLANK($A17),"",INDEX(Array_EmissionCharges,MATCH($A17,List_EmissionMeters,0),ROUNDUP((COLUMN()+0)/3-1,0)))</f>
        <v/>
      </c>
      <c r="O17" s="127"/>
      <c r="P17" s="137"/>
      <c r="Q17" s="58" t="str" cm="1">
        <f>IF(ISBLANK($A17),"",INDEX(Array_EmissionCharges,MATCH($A17,List_EmissionMeters,0),ROUNDUP((COLUMN()+0)/3-1,0)))</f>
        <v/>
      </c>
      <c r="R17" s="127"/>
      <c r="S17" s="137"/>
    </row>
    <row r="18" spans="1:19" x14ac:dyDescent="0.3">
      <c r="A18" s="126"/>
      <c r="B18" s="133"/>
      <c r="C18" s="127"/>
      <c r="D18" s="137"/>
      <c r="E18" s="58" t="str" cm="1">
        <f>IF(ISBLANK($A18),"",INDEX(Array_EmissionCharges,MATCH($A18,List_EmissionMeters,0),ROUNDUP((COLUMN()+0)/3-1,0)))</f>
        <v/>
      </c>
      <c r="F18" s="127"/>
      <c r="G18" s="137"/>
      <c r="H18" s="58" t="str" cm="1">
        <f>IF(ISBLANK($A18),"",INDEX(Array_EmissionCharges,MATCH($A18,List_EmissionMeters,0),ROUNDUP((COLUMN()+0)/3-1,0)))</f>
        <v/>
      </c>
      <c r="I18" s="127"/>
      <c r="J18" s="137"/>
      <c r="K18" s="58" t="str" cm="1">
        <f>IF(ISBLANK($A18),"",INDEX(Array_EmissionCharges,MATCH($A18,List_EmissionMeters,0),ROUNDUP((COLUMN()+0)/3-1,0)))</f>
        <v/>
      </c>
      <c r="L18" s="127"/>
      <c r="M18" s="137"/>
      <c r="N18" s="58" t="str" cm="1">
        <f>IF(ISBLANK($A18),"",INDEX(Array_EmissionCharges,MATCH($A18,List_EmissionMeters,0),ROUNDUP((COLUMN()+0)/3-1,0)))</f>
        <v/>
      </c>
      <c r="O18" s="127"/>
      <c r="P18" s="137"/>
      <c r="Q18" s="58" t="str" cm="1">
        <f>IF(ISBLANK($A18),"",INDEX(Array_EmissionCharges,MATCH($A18,List_EmissionMeters,0),ROUNDUP((COLUMN()+0)/3-1,0)))</f>
        <v/>
      </c>
      <c r="R18" s="127"/>
      <c r="S18" s="137"/>
    </row>
    <row r="19" spans="1:19" x14ac:dyDescent="0.3">
      <c r="A19" s="126"/>
      <c r="B19" s="133"/>
      <c r="C19" s="127"/>
      <c r="D19" s="137"/>
      <c r="E19" s="58" t="str" cm="1">
        <f>IF(ISBLANK($A19),"",INDEX(Array_EmissionCharges,MATCH($A19,List_EmissionMeters,0),ROUNDUP((COLUMN()+0)/3-1,0)))</f>
        <v/>
      </c>
      <c r="F19" s="127"/>
      <c r="G19" s="137"/>
      <c r="H19" s="58" t="str" cm="1">
        <f>IF(ISBLANK($A19),"",INDEX(Array_EmissionCharges,MATCH($A19,List_EmissionMeters,0),ROUNDUP((COLUMN()+0)/3-1,0)))</f>
        <v/>
      </c>
      <c r="I19" s="127"/>
      <c r="J19" s="137"/>
      <c r="K19" s="58" t="str" cm="1">
        <f>IF(ISBLANK($A19),"",INDEX(Array_EmissionCharges,MATCH($A19,List_EmissionMeters,0),ROUNDUP((COLUMN()+0)/3-1,0)))</f>
        <v/>
      </c>
      <c r="L19" s="127"/>
      <c r="M19" s="137"/>
      <c r="N19" s="58" t="str" cm="1">
        <f>IF(ISBLANK($A19),"",INDEX(Array_EmissionCharges,MATCH($A19,List_EmissionMeters,0),ROUNDUP((COLUMN()+0)/3-1,0)))</f>
        <v/>
      </c>
      <c r="O19" s="127"/>
      <c r="P19" s="137"/>
      <c r="Q19" s="58" t="str" cm="1">
        <f>IF(ISBLANK($A19),"",INDEX(Array_EmissionCharges,MATCH($A19,List_EmissionMeters,0),ROUNDUP((COLUMN()+0)/3-1,0)))</f>
        <v/>
      </c>
      <c r="R19" s="127"/>
      <c r="S19" s="137"/>
    </row>
    <row r="20" spans="1:19" x14ac:dyDescent="0.3">
      <c r="A20" s="126"/>
      <c r="B20" s="133"/>
      <c r="C20" s="127"/>
      <c r="D20" s="137"/>
      <c r="E20" s="58" t="str" cm="1">
        <f>IF(ISBLANK($A20),"",INDEX(Array_EmissionCharges,MATCH($A20,List_EmissionMeters,0),ROUNDUP((COLUMN()+0)/3-1,0)))</f>
        <v/>
      </c>
      <c r="F20" s="127"/>
      <c r="G20" s="137"/>
      <c r="H20" s="58" t="str" cm="1">
        <f>IF(ISBLANK($A20),"",INDEX(Array_EmissionCharges,MATCH($A20,List_EmissionMeters,0),ROUNDUP((COLUMN()+0)/3-1,0)))</f>
        <v/>
      </c>
      <c r="I20" s="127"/>
      <c r="J20" s="137"/>
      <c r="K20" s="58" t="str" cm="1">
        <f>IF(ISBLANK($A20),"",INDEX(Array_EmissionCharges,MATCH($A20,List_EmissionMeters,0),ROUNDUP((COLUMN()+0)/3-1,0)))</f>
        <v/>
      </c>
      <c r="L20" s="127"/>
      <c r="M20" s="137"/>
      <c r="N20" s="58" t="str" cm="1">
        <f>IF(ISBLANK($A20),"",INDEX(Array_EmissionCharges,MATCH($A20,List_EmissionMeters,0),ROUNDUP((COLUMN()+0)/3-1,0)))</f>
        <v/>
      </c>
      <c r="O20" s="127"/>
      <c r="P20" s="137"/>
      <c r="Q20" s="58" t="str" cm="1">
        <f>IF(ISBLANK($A20),"",INDEX(Array_EmissionCharges,MATCH($A20,List_EmissionMeters,0),ROUNDUP((COLUMN()+0)/3-1,0)))</f>
        <v/>
      </c>
      <c r="R20" s="127"/>
      <c r="S20" s="137"/>
    </row>
    <row r="21" spans="1:19" x14ac:dyDescent="0.3">
      <c r="A21" s="126"/>
      <c r="B21" s="133"/>
      <c r="C21" s="127"/>
      <c r="D21" s="137"/>
      <c r="E21" s="58" t="str" cm="1">
        <f>IF(ISBLANK($A21),"",INDEX(Array_EmissionCharges,MATCH($A21,List_EmissionMeters,0),ROUNDUP((COLUMN()+0)/3-1,0)))</f>
        <v/>
      </c>
      <c r="F21" s="127"/>
      <c r="G21" s="137"/>
      <c r="H21" s="58" t="str" cm="1">
        <f>IF(ISBLANK($A21),"",INDEX(Array_EmissionCharges,MATCH($A21,List_EmissionMeters,0),ROUNDUP((COLUMN()+0)/3-1,0)))</f>
        <v/>
      </c>
      <c r="I21" s="127"/>
      <c r="J21" s="137"/>
      <c r="K21" s="58" t="str" cm="1">
        <f>IF(ISBLANK($A21),"",INDEX(Array_EmissionCharges,MATCH($A21,List_EmissionMeters,0),ROUNDUP((COLUMN()+0)/3-1,0)))</f>
        <v/>
      </c>
      <c r="L21" s="127"/>
      <c r="M21" s="137"/>
      <c r="N21" s="58" t="str" cm="1">
        <f>IF(ISBLANK($A21),"",INDEX(Array_EmissionCharges,MATCH($A21,List_EmissionMeters,0),ROUNDUP((COLUMN()+0)/3-1,0)))</f>
        <v/>
      </c>
      <c r="O21" s="127"/>
      <c r="P21" s="137"/>
      <c r="Q21" s="58" t="str" cm="1">
        <f>IF(ISBLANK($A21),"",INDEX(Array_EmissionCharges,MATCH($A21,List_EmissionMeters,0),ROUNDUP((COLUMN()+0)/3-1,0)))</f>
        <v/>
      </c>
      <c r="R21" s="127"/>
      <c r="S21" s="137"/>
    </row>
    <row r="22" spans="1:19" x14ac:dyDescent="0.3">
      <c r="A22" s="126"/>
      <c r="B22" s="133"/>
      <c r="C22" s="127"/>
      <c r="D22" s="137"/>
      <c r="E22" s="58" t="str" cm="1">
        <f>IF(ISBLANK($A22),"",INDEX(Array_EmissionCharges,MATCH($A22,List_EmissionMeters,0),ROUNDUP((COLUMN()+0)/3-1,0)))</f>
        <v/>
      </c>
      <c r="F22" s="127"/>
      <c r="G22" s="137"/>
      <c r="H22" s="58" t="str" cm="1">
        <f>IF(ISBLANK($A22),"",INDEX(Array_EmissionCharges,MATCH($A22,List_EmissionMeters,0),ROUNDUP((COLUMN()+0)/3-1,0)))</f>
        <v/>
      </c>
      <c r="I22" s="127"/>
      <c r="J22" s="137"/>
      <c r="K22" s="58" t="str" cm="1">
        <f>IF(ISBLANK($A22),"",INDEX(Array_EmissionCharges,MATCH($A22,List_EmissionMeters,0),ROUNDUP((COLUMN()+0)/3-1,0)))</f>
        <v/>
      </c>
      <c r="L22" s="127"/>
      <c r="M22" s="137"/>
      <c r="N22" s="58" t="str" cm="1">
        <f>IF(ISBLANK($A22),"",INDEX(Array_EmissionCharges,MATCH($A22,List_EmissionMeters,0),ROUNDUP((COLUMN()+0)/3-1,0)))</f>
        <v/>
      </c>
      <c r="O22" s="127"/>
      <c r="P22" s="137"/>
      <c r="Q22" s="58" t="str" cm="1">
        <f>IF(ISBLANK($A22),"",INDEX(Array_EmissionCharges,MATCH($A22,List_EmissionMeters,0),ROUNDUP((COLUMN()+0)/3-1,0)))</f>
        <v/>
      </c>
      <c r="R22" s="127"/>
      <c r="S22" s="137"/>
    </row>
    <row r="23" spans="1:19" x14ac:dyDescent="0.3">
      <c r="A23" s="126"/>
      <c r="B23" s="133"/>
      <c r="C23" s="127"/>
      <c r="D23" s="137"/>
      <c r="E23" s="58" t="str" cm="1">
        <f>IF(ISBLANK($A23),"",INDEX(Array_EmissionCharges,MATCH($A23,List_EmissionMeters,0),ROUNDUP((COLUMN()+0)/3-1,0)))</f>
        <v/>
      </c>
      <c r="F23" s="127"/>
      <c r="G23" s="137"/>
      <c r="H23" s="58" t="str" cm="1">
        <f>IF(ISBLANK($A23),"",INDEX(Array_EmissionCharges,MATCH($A23,List_EmissionMeters,0),ROUNDUP((COLUMN()+0)/3-1,0)))</f>
        <v/>
      </c>
      <c r="I23" s="127"/>
      <c r="J23" s="137"/>
      <c r="K23" s="58" t="str" cm="1">
        <f>IF(ISBLANK($A23),"",INDEX(Array_EmissionCharges,MATCH($A23,List_EmissionMeters,0),ROUNDUP((COLUMN()+0)/3-1,0)))</f>
        <v/>
      </c>
      <c r="L23" s="127"/>
      <c r="M23" s="137"/>
      <c r="N23" s="58" t="str" cm="1">
        <f>IF(ISBLANK($A23),"",INDEX(Array_EmissionCharges,MATCH($A23,List_EmissionMeters,0),ROUNDUP((COLUMN()+0)/3-1,0)))</f>
        <v/>
      </c>
      <c r="O23" s="127"/>
      <c r="P23" s="137"/>
      <c r="Q23" s="58" t="str" cm="1">
        <f>IF(ISBLANK($A23),"",INDEX(Array_EmissionCharges,MATCH($A23,List_EmissionMeters,0),ROUNDUP((COLUMN()+0)/3-1,0)))</f>
        <v/>
      </c>
      <c r="R23" s="127"/>
      <c r="S23" s="137"/>
    </row>
    <row r="24" spans="1:19" x14ac:dyDescent="0.3">
      <c r="A24" s="126"/>
      <c r="B24" s="133"/>
      <c r="C24" s="127"/>
      <c r="D24" s="137"/>
      <c r="E24" s="58" t="str" cm="1">
        <f>IF(ISBLANK($A24),"",INDEX(Array_EmissionCharges,MATCH($A24,List_EmissionMeters,0),ROUNDUP((COLUMN()+0)/3-1,0)))</f>
        <v/>
      </c>
      <c r="F24" s="127"/>
      <c r="G24" s="137"/>
      <c r="H24" s="58" t="str" cm="1">
        <f>IF(ISBLANK($A24),"",INDEX(Array_EmissionCharges,MATCH($A24,List_EmissionMeters,0),ROUNDUP((COLUMN()+0)/3-1,0)))</f>
        <v/>
      </c>
      <c r="I24" s="127"/>
      <c r="J24" s="137"/>
      <c r="K24" s="58" t="str" cm="1">
        <f>IF(ISBLANK($A24),"",INDEX(Array_EmissionCharges,MATCH($A24,List_EmissionMeters,0),ROUNDUP((COLUMN()+0)/3-1,0)))</f>
        <v/>
      </c>
      <c r="L24" s="127"/>
      <c r="M24" s="137"/>
      <c r="N24" s="58" t="str" cm="1">
        <f>IF(ISBLANK($A24),"",INDEX(Array_EmissionCharges,MATCH($A24,List_EmissionMeters,0),ROUNDUP((COLUMN()+0)/3-1,0)))</f>
        <v/>
      </c>
      <c r="O24" s="127"/>
      <c r="P24" s="137"/>
      <c r="Q24" s="58" t="str" cm="1">
        <f>IF(ISBLANK($A24),"",INDEX(Array_EmissionCharges,MATCH($A24,List_EmissionMeters,0),ROUNDUP((COLUMN()+0)/3-1,0)))</f>
        <v/>
      </c>
      <c r="R24" s="127"/>
      <c r="S24" s="137"/>
    </row>
    <row r="25" spans="1:19" x14ac:dyDescent="0.3">
      <c r="A25" s="126"/>
      <c r="B25" s="133"/>
      <c r="C25" s="127"/>
      <c r="D25" s="137"/>
      <c r="E25" s="58" t="str" cm="1">
        <f>IF(ISBLANK($A25),"",INDEX(Array_EmissionCharges,MATCH($A25,List_EmissionMeters,0),ROUNDUP((COLUMN()+0)/3-1,0)))</f>
        <v/>
      </c>
      <c r="F25" s="127"/>
      <c r="G25" s="137"/>
      <c r="H25" s="58" t="str" cm="1">
        <f>IF(ISBLANK($A25),"",INDEX(Array_EmissionCharges,MATCH($A25,List_EmissionMeters,0),ROUNDUP((COLUMN()+0)/3-1,0)))</f>
        <v/>
      </c>
      <c r="I25" s="127"/>
      <c r="J25" s="137"/>
      <c r="K25" s="58" t="str" cm="1">
        <f>IF(ISBLANK($A25),"",INDEX(Array_EmissionCharges,MATCH($A25,List_EmissionMeters,0),ROUNDUP((COLUMN()+0)/3-1,0)))</f>
        <v/>
      </c>
      <c r="L25" s="127"/>
      <c r="M25" s="137"/>
      <c r="N25" s="58" t="str" cm="1">
        <f>IF(ISBLANK($A25),"",INDEX(Array_EmissionCharges,MATCH($A25,List_EmissionMeters,0),ROUNDUP((COLUMN()+0)/3-1,0)))</f>
        <v/>
      </c>
      <c r="O25" s="127"/>
      <c r="P25" s="137"/>
      <c r="Q25" s="58" t="str" cm="1">
        <f>IF(ISBLANK($A25),"",INDEX(Array_EmissionCharges,MATCH($A25,List_EmissionMeters,0),ROUNDUP((COLUMN()+0)/3-1,0)))</f>
        <v/>
      </c>
      <c r="R25" s="127"/>
      <c r="S25" s="137"/>
    </row>
    <row r="26" spans="1:19" x14ac:dyDescent="0.3">
      <c r="A26" s="126"/>
      <c r="B26" s="133"/>
      <c r="C26" s="127"/>
      <c r="D26" s="137"/>
      <c r="E26" s="58" t="str" cm="1">
        <f>IF(ISBLANK($A26),"",INDEX(Array_EmissionCharges,MATCH($A26,List_EmissionMeters,0),ROUNDUP((COLUMN()+0)/3-1,0)))</f>
        <v/>
      </c>
      <c r="F26" s="127"/>
      <c r="G26" s="137"/>
      <c r="H26" s="58" t="str" cm="1">
        <f>IF(ISBLANK($A26),"",INDEX(Array_EmissionCharges,MATCH($A26,List_EmissionMeters,0),ROUNDUP((COLUMN()+0)/3-1,0)))</f>
        <v/>
      </c>
      <c r="I26" s="127"/>
      <c r="J26" s="137"/>
      <c r="K26" s="58" t="str" cm="1">
        <f>IF(ISBLANK($A26),"",INDEX(Array_EmissionCharges,MATCH($A26,List_EmissionMeters,0),ROUNDUP((COLUMN()+0)/3-1,0)))</f>
        <v/>
      </c>
      <c r="L26" s="127"/>
      <c r="M26" s="137"/>
      <c r="N26" s="58" t="str" cm="1">
        <f>IF(ISBLANK($A26),"",INDEX(Array_EmissionCharges,MATCH($A26,List_EmissionMeters,0),ROUNDUP((COLUMN()+0)/3-1,0)))</f>
        <v/>
      </c>
      <c r="O26" s="127"/>
      <c r="P26" s="137"/>
      <c r="Q26" s="58" t="str" cm="1">
        <f>IF(ISBLANK($A26),"",INDEX(Array_EmissionCharges,MATCH($A26,List_EmissionMeters,0),ROUNDUP((COLUMN()+0)/3-1,0)))</f>
        <v/>
      </c>
      <c r="R26" s="127"/>
      <c r="S26" s="137"/>
    </row>
    <row r="27" spans="1:19" x14ac:dyDescent="0.3">
      <c r="A27" s="126"/>
      <c r="B27" s="133"/>
      <c r="C27" s="127"/>
      <c r="D27" s="137"/>
      <c r="E27" s="58" t="str" cm="1">
        <f>IF(ISBLANK($A27),"",INDEX(Array_EmissionCharges,MATCH($A27,List_EmissionMeters,0),ROUNDUP((COLUMN()+0)/3-1,0)))</f>
        <v/>
      </c>
      <c r="F27" s="127"/>
      <c r="G27" s="137"/>
      <c r="H27" s="58" t="str" cm="1">
        <f>IF(ISBLANK($A27),"",INDEX(Array_EmissionCharges,MATCH($A27,List_EmissionMeters,0),ROUNDUP((COLUMN()+0)/3-1,0)))</f>
        <v/>
      </c>
      <c r="I27" s="127"/>
      <c r="J27" s="137"/>
      <c r="K27" s="58" t="str" cm="1">
        <f>IF(ISBLANK($A27),"",INDEX(Array_EmissionCharges,MATCH($A27,List_EmissionMeters,0),ROUNDUP((COLUMN()+0)/3-1,0)))</f>
        <v/>
      </c>
      <c r="L27" s="127"/>
      <c r="M27" s="137"/>
      <c r="N27" s="58" t="str" cm="1">
        <f>IF(ISBLANK($A27),"",INDEX(Array_EmissionCharges,MATCH($A27,List_EmissionMeters,0),ROUNDUP((COLUMN()+0)/3-1,0)))</f>
        <v/>
      </c>
      <c r="O27" s="127"/>
      <c r="P27" s="137"/>
      <c r="Q27" s="58" t="str" cm="1">
        <f>IF(ISBLANK($A27),"",INDEX(Array_EmissionCharges,MATCH($A27,List_EmissionMeters,0),ROUNDUP((COLUMN()+0)/3-1,0)))</f>
        <v/>
      </c>
      <c r="R27" s="127"/>
      <c r="S27" s="137"/>
    </row>
    <row r="28" spans="1:19" x14ac:dyDescent="0.3">
      <c r="A28" s="126"/>
      <c r="B28" s="133"/>
      <c r="C28" s="127"/>
      <c r="D28" s="137"/>
      <c r="E28" s="58" t="str" cm="1">
        <f>IF(ISBLANK($A28),"",INDEX(Array_EmissionCharges,MATCH($A28,List_EmissionMeters,0),ROUNDUP((COLUMN()+0)/3-1,0)))</f>
        <v/>
      </c>
      <c r="F28" s="127"/>
      <c r="G28" s="137"/>
      <c r="H28" s="58" t="str" cm="1">
        <f>IF(ISBLANK($A28),"",INDEX(Array_EmissionCharges,MATCH($A28,List_EmissionMeters,0),ROUNDUP((COLUMN()+0)/3-1,0)))</f>
        <v/>
      </c>
      <c r="I28" s="127"/>
      <c r="J28" s="137"/>
      <c r="K28" s="58" t="str" cm="1">
        <f>IF(ISBLANK($A28),"",INDEX(Array_EmissionCharges,MATCH($A28,List_EmissionMeters,0),ROUNDUP((COLUMN()+0)/3-1,0)))</f>
        <v/>
      </c>
      <c r="L28" s="127"/>
      <c r="M28" s="137"/>
      <c r="N28" s="58" t="str" cm="1">
        <f>IF(ISBLANK($A28),"",INDEX(Array_EmissionCharges,MATCH($A28,List_EmissionMeters,0),ROUNDUP((COLUMN()+0)/3-1,0)))</f>
        <v/>
      </c>
      <c r="O28" s="127"/>
      <c r="P28" s="137"/>
      <c r="Q28" s="58" t="str" cm="1">
        <f>IF(ISBLANK($A28),"",INDEX(Array_EmissionCharges,MATCH($A28,List_EmissionMeters,0),ROUNDUP((COLUMN()+0)/3-1,0)))</f>
        <v/>
      </c>
      <c r="R28" s="127"/>
      <c r="S28" s="137"/>
    </row>
    <row r="29" spans="1:19" x14ac:dyDescent="0.3">
      <c r="A29" s="126"/>
      <c r="B29" s="133"/>
      <c r="C29" s="127"/>
      <c r="D29" s="137"/>
      <c r="E29" s="58" t="str" cm="1">
        <f>IF(ISBLANK($A29),"",INDEX(Array_EmissionCharges,MATCH($A29,List_EmissionMeters,0),ROUNDUP((COLUMN()+0)/3-1,0)))</f>
        <v/>
      </c>
      <c r="F29" s="127"/>
      <c r="G29" s="137"/>
      <c r="H29" s="58" t="str" cm="1">
        <f>IF(ISBLANK($A29),"",INDEX(Array_EmissionCharges,MATCH($A29,List_EmissionMeters,0),ROUNDUP((COLUMN()+0)/3-1,0)))</f>
        <v/>
      </c>
      <c r="I29" s="127"/>
      <c r="J29" s="137"/>
      <c r="K29" s="58" t="str" cm="1">
        <f>IF(ISBLANK($A29),"",INDEX(Array_EmissionCharges,MATCH($A29,List_EmissionMeters,0),ROUNDUP((COLUMN()+0)/3-1,0)))</f>
        <v/>
      </c>
      <c r="L29" s="127"/>
      <c r="M29" s="137"/>
      <c r="N29" s="58" t="str" cm="1">
        <f>IF(ISBLANK($A29),"",INDEX(Array_EmissionCharges,MATCH($A29,List_EmissionMeters,0),ROUNDUP((COLUMN()+0)/3-1,0)))</f>
        <v/>
      </c>
      <c r="O29" s="127"/>
      <c r="P29" s="137"/>
      <c r="Q29" s="58" t="str" cm="1">
        <f>IF(ISBLANK($A29),"",INDEX(Array_EmissionCharges,MATCH($A29,List_EmissionMeters,0),ROUNDUP((COLUMN()+0)/3-1,0)))</f>
        <v/>
      </c>
      <c r="R29" s="127"/>
      <c r="S29" s="137"/>
    </row>
    <row r="30" spans="1:19" x14ac:dyDescent="0.3">
      <c r="A30" s="126"/>
      <c r="B30" s="133"/>
      <c r="C30" s="127"/>
      <c r="D30" s="137"/>
      <c r="E30" s="58" t="str" cm="1">
        <f>IF(ISBLANK($A30),"",INDEX(Array_EmissionCharges,MATCH($A30,List_EmissionMeters,0),ROUNDUP((COLUMN()+0)/3-1,0)))</f>
        <v/>
      </c>
      <c r="F30" s="127"/>
      <c r="G30" s="137"/>
      <c r="H30" s="58" t="str" cm="1">
        <f>IF(ISBLANK($A30),"",INDEX(Array_EmissionCharges,MATCH($A30,List_EmissionMeters,0),ROUNDUP((COLUMN()+0)/3-1,0)))</f>
        <v/>
      </c>
      <c r="I30" s="127"/>
      <c r="J30" s="137"/>
      <c r="K30" s="58" t="str" cm="1">
        <f>IF(ISBLANK($A30),"",INDEX(Array_EmissionCharges,MATCH($A30,List_EmissionMeters,0),ROUNDUP((COLUMN()+0)/3-1,0)))</f>
        <v/>
      </c>
      <c r="L30" s="127"/>
      <c r="M30" s="137"/>
      <c r="N30" s="58" t="str" cm="1">
        <f>IF(ISBLANK($A30),"",INDEX(Array_EmissionCharges,MATCH($A30,List_EmissionMeters,0),ROUNDUP((COLUMN()+0)/3-1,0)))</f>
        <v/>
      </c>
      <c r="O30" s="127"/>
      <c r="P30" s="137"/>
      <c r="Q30" s="58" t="str" cm="1">
        <f>IF(ISBLANK($A30),"",INDEX(Array_EmissionCharges,MATCH($A30,List_EmissionMeters,0),ROUNDUP((COLUMN()+0)/3-1,0)))</f>
        <v/>
      </c>
      <c r="R30" s="127"/>
      <c r="S30" s="137"/>
    </row>
    <row r="31" spans="1:19" x14ac:dyDescent="0.3">
      <c r="A31" s="126"/>
      <c r="B31" s="133"/>
      <c r="C31" s="127"/>
      <c r="D31" s="137"/>
      <c r="E31" s="58" t="str" cm="1">
        <f>IF(ISBLANK($A31),"",INDEX(Array_EmissionCharges,MATCH($A31,List_EmissionMeters,0),ROUNDUP((COLUMN()+0)/3-1,0)))</f>
        <v/>
      </c>
      <c r="F31" s="127"/>
      <c r="G31" s="137"/>
      <c r="H31" s="58" t="str" cm="1">
        <f>IF(ISBLANK($A31),"",INDEX(Array_EmissionCharges,MATCH($A31,List_EmissionMeters,0),ROUNDUP((COLUMN()+0)/3-1,0)))</f>
        <v/>
      </c>
      <c r="I31" s="127"/>
      <c r="J31" s="137"/>
      <c r="K31" s="58" t="str" cm="1">
        <f>IF(ISBLANK($A31),"",INDEX(Array_EmissionCharges,MATCH($A31,List_EmissionMeters,0),ROUNDUP((COLUMN()+0)/3-1,0)))</f>
        <v/>
      </c>
      <c r="L31" s="127"/>
      <c r="M31" s="137"/>
      <c r="N31" s="58" t="str" cm="1">
        <f>IF(ISBLANK($A31),"",INDEX(Array_EmissionCharges,MATCH($A31,List_EmissionMeters,0),ROUNDUP((COLUMN()+0)/3-1,0)))</f>
        <v/>
      </c>
      <c r="O31" s="127"/>
      <c r="P31" s="137"/>
      <c r="Q31" s="58" t="str" cm="1">
        <f>IF(ISBLANK($A31),"",INDEX(Array_EmissionCharges,MATCH($A31,List_EmissionMeters,0),ROUNDUP((COLUMN()+0)/3-1,0)))</f>
        <v/>
      </c>
      <c r="R31" s="127"/>
      <c r="S31" s="137"/>
    </row>
    <row r="32" spans="1:19" x14ac:dyDescent="0.3">
      <c r="A32" s="126"/>
      <c r="B32" s="133"/>
      <c r="C32" s="127"/>
      <c r="D32" s="137"/>
      <c r="E32" s="58" t="str" cm="1">
        <f>IF(ISBLANK($A32),"",INDEX(Array_EmissionCharges,MATCH($A32,List_EmissionMeters,0),ROUNDUP((COLUMN()+0)/3-1,0)))</f>
        <v/>
      </c>
      <c r="F32" s="127"/>
      <c r="G32" s="137"/>
      <c r="H32" s="58" t="str" cm="1">
        <f>IF(ISBLANK($A32),"",INDEX(Array_EmissionCharges,MATCH($A32,List_EmissionMeters,0),ROUNDUP((COLUMN()+0)/3-1,0)))</f>
        <v/>
      </c>
      <c r="I32" s="127"/>
      <c r="J32" s="137"/>
      <c r="K32" s="58" t="str" cm="1">
        <f>IF(ISBLANK($A32),"",INDEX(Array_EmissionCharges,MATCH($A32,List_EmissionMeters,0),ROUNDUP((COLUMN()+0)/3-1,0)))</f>
        <v/>
      </c>
      <c r="L32" s="127"/>
      <c r="M32" s="137"/>
      <c r="N32" s="58" t="str" cm="1">
        <f>IF(ISBLANK($A32),"",INDEX(Array_EmissionCharges,MATCH($A32,List_EmissionMeters,0),ROUNDUP((COLUMN()+0)/3-1,0)))</f>
        <v/>
      </c>
      <c r="O32" s="127"/>
      <c r="P32" s="137"/>
      <c r="Q32" s="58" t="str" cm="1">
        <f>IF(ISBLANK($A32),"",INDEX(Array_EmissionCharges,MATCH($A32,List_EmissionMeters,0),ROUNDUP((COLUMN()+0)/3-1,0)))</f>
        <v/>
      </c>
      <c r="R32" s="127"/>
      <c r="S32" s="137"/>
    </row>
    <row r="33" spans="1:19" x14ac:dyDescent="0.3">
      <c r="A33" s="126"/>
      <c r="B33" s="133"/>
      <c r="C33" s="127"/>
      <c r="D33" s="137"/>
      <c r="E33" s="58" t="str" cm="1">
        <f>IF(ISBLANK($A33),"",INDEX(Array_EmissionCharges,MATCH($A33,List_EmissionMeters,0),ROUNDUP((COLUMN()+0)/3-1,0)))</f>
        <v/>
      </c>
      <c r="F33" s="127"/>
      <c r="G33" s="137"/>
      <c r="H33" s="58" t="str" cm="1">
        <f>IF(ISBLANK($A33),"",INDEX(Array_EmissionCharges,MATCH($A33,List_EmissionMeters,0),ROUNDUP((COLUMN()+0)/3-1,0)))</f>
        <v/>
      </c>
      <c r="I33" s="127"/>
      <c r="J33" s="137"/>
      <c r="K33" s="58" t="str" cm="1">
        <f>IF(ISBLANK($A33),"",INDEX(Array_EmissionCharges,MATCH($A33,List_EmissionMeters,0),ROUNDUP((COLUMN()+0)/3-1,0)))</f>
        <v/>
      </c>
      <c r="L33" s="127"/>
      <c r="M33" s="137"/>
      <c r="N33" s="58" t="str" cm="1">
        <f>IF(ISBLANK($A33),"",INDEX(Array_EmissionCharges,MATCH($A33,List_EmissionMeters,0),ROUNDUP((COLUMN()+0)/3-1,0)))</f>
        <v/>
      </c>
      <c r="O33" s="127"/>
      <c r="P33" s="137"/>
      <c r="Q33" s="58" t="str" cm="1">
        <f>IF(ISBLANK($A33),"",INDEX(Array_EmissionCharges,MATCH($A33,List_EmissionMeters,0),ROUNDUP((COLUMN()+0)/3-1,0)))</f>
        <v/>
      </c>
      <c r="R33" s="127"/>
      <c r="S33" s="137"/>
    </row>
    <row r="34" spans="1:19" x14ac:dyDescent="0.3">
      <c r="A34" s="126"/>
      <c r="B34" s="133"/>
      <c r="C34" s="127"/>
      <c r="D34" s="137"/>
      <c r="E34" s="58" t="str" cm="1">
        <f>IF(ISBLANK($A34),"",INDEX(Array_EmissionCharges,MATCH($A34,List_EmissionMeters,0),ROUNDUP((COLUMN()+0)/3-1,0)))</f>
        <v/>
      </c>
      <c r="F34" s="127"/>
      <c r="G34" s="137"/>
      <c r="H34" s="58" t="str" cm="1">
        <f>IF(ISBLANK($A34),"",INDEX(Array_EmissionCharges,MATCH($A34,List_EmissionMeters,0),ROUNDUP((COLUMN()+0)/3-1,0)))</f>
        <v/>
      </c>
      <c r="I34" s="127"/>
      <c r="J34" s="137"/>
      <c r="K34" s="58" t="str" cm="1">
        <f>IF(ISBLANK($A34),"",INDEX(Array_EmissionCharges,MATCH($A34,List_EmissionMeters,0),ROUNDUP((COLUMN()+0)/3-1,0)))</f>
        <v/>
      </c>
      <c r="L34" s="127"/>
      <c r="M34" s="137"/>
      <c r="N34" s="58" t="str" cm="1">
        <f>IF(ISBLANK($A34),"",INDEX(Array_EmissionCharges,MATCH($A34,List_EmissionMeters,0),ROUNDUP((COLUMN()+0)/3-1,0)))</f>
        <v/>
      </c>
      <c r="O34" s="127"/>
      <c r="P34" s="137"/>
      <c r="Q34" s="58" t="str" cm="1">
        <f>IF(ISBLANK($A34),"",INDEX(Array_EmissionCharges,MATCH($A34,List_EmissionMeters,0),ROUNDUP((COLUMN()+0)/3-1,0)))</f>
        <v/>
      </c>
      <c r="R34" s="127"/>
      <c r="S34" s="137"/>
    </row>
    <row r="35" spans="1:19" x14ac:dyDescent="0.3">
      <c r="A35" s="126"/>
      <c r="B35" s="133"/>
      <c r="C35" s="127"/>
      <c r="D35" s="137"/>
      <c r="E35" s="58" t="str" cm="1">
        <f>IF(ISBLANK($A35),"",INDEX(Array_EmissionCharges,MATCH($A35,List_EmissionMeters,0),ROUNDUP((COLUMN()+0)/3-1,0)))</f>
        <v/>
      </c>
      <c r="F35" s="127"/>
      <c r="G35" s="137"/>
      <c r="H35" s="58" t="str" cm="1">
        <f>IF(ISBLANK($A35),"",INDEX(Array_EmissionCharges,MATCH($A35,List_EmissionMeters,0),ROUNDUP((COLUMN()+0)/3-1,0)))</f>
        <v/>
      </c>
      <c r="I35" s="127"/>
      <c r="J35" s="137"/>
      <c r="K35" s="58" t="str" cm="1">
        <f>IF(ISBLANK($A35),"",INDEX(Array_EmissionCharges,MATCH($A35,List_EmissionMeters,0),ROUNDUP((COLUMN()+0)/3-1,0)))</f>
        <v/>
      </c>
      <c r="L35" s="127"/>
      <c r="M35" s="137"/>
      <c r="N35" s="58" t="str" cm="1">
        <f>IF(ISBLANK($A35),"",INDEX(Array_EmissionCharges,MATCH($A35,List_EmissionMeters,0),ROUNDUP((COLUMN()+0)/3-1,0)))</f>
        <v/>
      </c>
      <c r="O35" s="127"/>
      <c r="P35" s="137"/>
      <c r="Q35" s="58" t="str" cm="1">
        <f>IF(ISBLANK($A35),"",INDEX(Array_EmissionCharges,MATCH($A35,List_EmissionMeters,0),ROUNDUP((COLUMN()+0)/3-1,0)))</f>
        <v/>
      </c>
      <c r="R35" s="127"/>
      <c r="S35" s="137"/>
    </row>
    <row r="36" spans="1:19" x14ac:dyDescent="0.3">
      <c r="A36" s="126"/>
      <c r="B36" s="133"/>
      <c r="C36" s="127"/>
      <c r="D36" s="137"/>
      <c r="E36" s="58" t="str" cm="1">
        <f>IF(ISBLANK($A36),"",INDEX(Array_EmissionCharges,MATCH($A36,List_EmissionMeters,0),ROUNDUP((COLUMN()+0)/3-1,0)))</f>
        <v/>
      </c>
      <c r="F36" s="127"/>
      <c r="G36" s="137"/>
      <c r="H36" s="58" t="str" cm="1">
        <f>IF(ISBLANK($A36),"",INDEX(Array_EmissionCharges,MATCH($A36,List_EmissionMeters,0),ROUNDUP((COLUMN()+0)/3-1,0)))</f>
        <v/>
      </c>
      <c r="I36" s="127"/>
      <c r="J36" s="137"/>
      <c r="K36" s="58" t="str" cm="1">
        <f>IF(ISBLANK($A36),"",INDEX(Array_EmissionCharges,MATCH($A36,List_EmissionMeters,0),ROUNDUP((COLUMN()+0)/3-1,0)))</f>
        <v/>
      </c>
      <c r="L36" s="127"/>
      <c r="M36" s="137"/>
      <c r="N36" s="58" t="str" cm="1">
        <f>IF(ISBLANK($A36),"",INDEX(Array_EmissionCharges,MATCH($A36,List_EmissionMeters,0),ROUNDUP((COLUMN()+0)/3-1,0)))</f>
        <v/>
      </c>
      <c r="O36" s="127"/>
      <c r="P36" s="137"/>
      <c r="Q36" s="58" t="str" cm="1">
        <f>IF(ISBLANK($A36),"",INDEX(Array_EmissionCharges,MATCH($A36,List_EmissionMeters,0),ROUNDUP((COLUMN()+0)/3-1,0)))</f>
        <v/>
      </c>
      <c r="R36" s="127"/>
      <c r="S36" s="137"/>
    </row>
    <row r="37" spans="1:19" x14ac:dyDescent="0.3">
      <c r="A37" s="126"/>
      <c r="B37" s="133"/>
      <c r="C37" s="127"/>
      <c r="D37" s="137"/>
      <c r="E37" s="58" t="str" cm="1">
        <f>IF(ISBLANK($A37),"",INDEX(Array_EmissionCharges,MATCH($A37,List_EmissionMeters,0),ROUNDUP((COLUMN()+0)/3-1,0)))</f>
        <v/>
      </c>
      <c r="F37" s="127"/>
      <c r="G37" s="137"/>
      <c r="H37" s="58" t="str" cm="1">
        <f>IF(ISBLANK($A37),"",INDEX(Array_EmissionCharges,MATCH($A37,List_EmissionMeters,0),ROUNDUP((COLUMN()+0)/3-1,0)))</f>
        <v/>
      </c>
      <c r="I37" s="127"/>
      <c r="J37" s="137"/>
      <c r="K37" s="58" t="str" cm="1">
        <f>IF(ISBLANK($A37),"",INDEX(Array_EmissionCharges,MATCH($A37,List_EmissionMeters,0),ROUNDUP((COLUMN()+0)/3-1,0)))</f>
        <v/>
      </c>
      <c r="L37" s="127"/>
      <c r="M37" s="137"/>
      <c r="N37" s="58" t="str" cm="1">
        <f>IF(ISBLANK($A37),"",INDEX(Array_EmissionCharges,MATCH($A37,List_EmissionMeters,0),ROUNDUP((COLUMN()+0)/3-1,0)))</f>
        <v/>
      </c>
      <c r="O37" s="127"/>
      <c r="P37" s="137"/>
      <c r="Q37" s="58" t="str" cm="1">
        <f>IF(ISBLANK($A37),"",INDEX(Array_EmissionCharges,MATCH($A37,List_EmissionMeters,0),ROUNDUP((COLUMN()+0)/3-1,0)))</f>
        <v/>
      </c>
      <c r="R37" s="127"/>
      <c r="S37" s="137"/>
    </row>
    <row r="38" spans="1:19" x14ac:dyDescent="0.3">
      <c r="A38" s="126"/>
      <c r="B38" s="133"/>
      <c r="C38" s="127"/>
      <c r="D38" s="137"/>
      <c r="E38" s="58" t="str" cm="1">
        <f>IF(ISBLANK($A38),"",INDEX(Array_EmissionCharges,MATCH($A38,List_EmissionMeters,0),ROUNDUP((COLUMN()+0)/3-1,0)))</f>
        <v/>
      </c>
      <c r="F38" s="127"/>
      <c r="G38" s="137"/>
      <c r="H38" s="58" t="str" cm="1">
        <f>IF(ISBLANK($A38),"",INDEX(Array_EmissionCharges,MATCH($A38,List_EmissionMeters,0),ROUNDUP((COLUMN()+0)/3-1,0)))</f>
        <v/>
      </c>
      <c r="I38" s="127"/>
      <c r="J38" s="137"/>
      <c r="K38" s="58" t="str" cm="1">
        <f>IF(ISBLANK($A38),"",INDEX(Array_EmissionCharges,MATCH($A38,List_EmissionMeters,0),ROUNDUP((COLUMN()+0)/3-1,0)))</f>
        <v/>
      </c>
      <c r="L38" s="127"/>
      <c r="M38" s="137"/>
      <c r="N38" s="58" t="str" cm="1">
        <f>IF(ISBLANK($A38),"",INDEX(Array_EmissionCharges,MATCH($A38,List_EmissionMeters,0),ROUNDUP((COLUMN()+0)/3-1,0)))</f>
        <v/>
      </c>
      <c r="O38" s="127"/>
      <c r="P38" s="137"/>
      <c r="Q38" s="58" t="str" cm="1">
        <f>IF(ISBLANK($A38),"",INDEX(Array_EmissionCharges,MATCH($A38,List_EmissionMeters,0),ROUNDUP((COLUMN()+0)/3-1,0)))</f>
        <v/>
      </c>
      <c r="R38" s="127"/>
      <c r="S38" s="137"/>
    </row>
    <row r="39" spans="1:19" x14ac:dyDescent="0.3">
      <c r="A39" s="126"/>
      <c r="B39" s="133"/>
      <c r="C39" s="127"/>
      <c r="D39" s="137"/>
      <c r="E39" s="58" t="str" cm="1">
        <f>IF(ISBLANK($A39),"",INDEX(Array_EmissionCharges,MATCH($A39,List_EmissionMeters,0),ROUNDUP((COLUMN()+0)/3-1,0)))</f>
        <v/>
      </c>
      <c r="F39" s="127"/>
      <c r="G39" s="137"/>
      <c r="H39" s="58" t="str" cm="1">
        <f>IF(ISBLANK($A39),"",INDEX(Array_EmissionCharges,MATCH($A39,List_EmissionMeters,0),ROUNDUP((COLUMN()+0)/3-1,0)))</f>
        <v/>
      </c>
      <c r="I39" s="127"/>
      <c r="J39" s="137"/>
      <c r="K39" s="58" t="str" cm="1">
        <f>IF(ISBLANK($A39),"",INDEX(Array_EmissionCharges,MATCH($A39,List_EmissionMeters,0),ROUNDUP((COLUMN()+0)/3-1,0)))</f>
        <v/>
      </c>
      <c r="L39" s="127"/>
      <c r="M39" s="137"/>
      <c r="N39" s="58" t="str" cm="1">
        <f>IF(ISBLANK($A39),"",INDEX(Array_EmissionCharges,MATCH($A39,List_EmissionMeters,0),ROUNDUP((COLUMN()+0)/3-1,0)))</f>
        <v/>
      </c>
      <c r="O39" s="127"/>
      <c r="P39" s="137"/>
      <c r="Q39" s="58" t="str" cm="1">
        <f>IF(ISBLANK($A39),"",INDEX(Array_EmissionCharges,MATCH($A39,List_EmissionMeters,0),ROUNDUP((COLUMN()+0)/3-1,0)))</f>
        <v/>
      </c>
      <c r="R39" s="127"/>
      <c r="S39" s="137"/>
    </row>
    <row r="40" spans="1:19" x14ac:dyDescent="0.3">
      <c r="A40" s="126"/>
      <c r="B40" s="133"/>
      <c r="C40" s="127"/>
      <c r="D40" s="137"/>
      <c r="E40" s="58" t="str" cm="1">
        <f>IF(ISBLANK($A40),"",INDEX(Array_EmissionCharges,MATCH($A40,List_EmissionMeters,0),ROUNDUP((COLUMN()+0)/3-1,0)))</f>
        <v/>
      </c>
      <c r="F40" s="127"/>
      <c r="G40" s="137"/>
      <c r="H40" s="58" t="str" cm="1">
        <f>IF(ISBLANK($A40),"",INDEX(Array_EmissionCharges,MATCH($A40,List_EmissionMeters,0),ROUNDUP((COLUMN()+0)/3-1,0)))</f>
        <v/>
      </c>
      <c r="I40" s="127"/>
      <c r="J40" s="137"/>
      <c r="K40" s="58" t="str" cm="1">
        <f>IF(ISBLANK($A40),"",INDEX(Array_EmissionCharges,MATCH($A40,List_EmissionMeters,0),ROUNDUP((COLUMN()+0)/3-1,0)))</f>
        <v/>
      </c>
      <c r="L40" s="127"/>
      <c r="M40" s="137"/>
      <c r="N40" s="58" t="str" cm="1">
        <f>IF(ISBLANK($A40),"",INDEX(Array_EmissionCharges,MATCH($A40,List_EmissionMeters,0),ROUNDUP((COLUMN()+0)/3-1,0)))</f>
        <v/>
      </c>
      <c r="O40" s="127"/>
      <c r="P40" s="137"/>
      <c r="Q40" s="58" t="str" cm="1">
        <f>IF(ISBLANK($A40),"",INDEX(Array_EmissionCharges,MATCH($A40,List_EmissionMeters,0),ROUNDUP((COLUMN()+0)/3-1,0)))</f>
        <v/>
      </c>
      <c r="R40" s="127"/>
      <c r="S40" s="137"/>
    </row>
    <row r="41" spans="1:19" x14ac:dyDescent="0.3">
      <c r="A41" s="126"/>
      <c r="B41" s="133"/>
      <c r="C41" s="127"/>
      <c r="D41" s="137"/>
      <c r="E41" s="58" t="str" cm="1">
        <f>IF(ISBLANK($A41),"",INDEX(Array_EmissionCharges,MATCH($A41,List_EmissionMeters,0),ROUNDUP((COLUMN()+0)/3-1,0)))</f>
        <v/>
      </c>
      <c r="F41" s="127"/>
      <c r="G41" s="137"/>
      <c r="H41" s="58" t="str" cm="1">
        <f>IF(ISBLANK($A41),"",INDEX(Array_EmissionCharges,MATCH($A41,List_EmissionMeters,0),ROUNDUP((COLUMN()+0)/3-1,0)))</f>
        <v/>
      </c>
      <c r="I41" s="127"/>
      <c r="J41" s="137"/>
      <c r="K41" s="58" t="str" cm="1">
        <f>IF(ISBLANK($A41),"",INDEX(Array_EmissionCharges,MATCH($A41,List_EmissionMeters,0),ROUNDUP((COLUMN()+0)/3-1,0)))</f>
        <v/>
      </c>
      <c r="L41" s="127"/>
      <c r="M41" s="137"/>
      <c r="N41" s="58" t="str" cm="1">
        <f>IF(ISBLANK($A41),"",INDEX(Array_EmissionCharges,MATCH($A41,List_EmissionMeters,0),ROUNDUP((COLUMN()+0)/3-1,0)))</f>
        <v/>
      </c>
      <c r="O41" s="127"/>
      <c r="P41" s="137"/>
      <c r="Q41" s="58" t="str" cm="1">
        <f>IF(ISBLANK($A41),"",INDEX(Array_EmissionCharges,MATCH($A41,List_EmissionMeters,0),ROUNDUP((COLUMN()+0)/3-1,0)))</f>
        <v/>
      </c>
      <c r="R41" s="127"/>
      <c r="S41" s="137"/>
    </row>
    <row r="42" spans="1:19" x14ac:dyDescent="0.3">
      <c r="A42" s="126"/>
      <c r="B42" s="133"/>
      <c r="C42" s="127"/>
      <c r="D42" s="137"/>
      <c r="E42" s="58" t="str" cm="1">
        <f>IF(ISBLANK($A42),"",INDEX(Array_EmissionCharges,MATCH($A42,List_EmissionMeters,0),ROUNDUP((COLUMN()+0)/3-1,0)))</f>
        <v/>
      </c>
      <c r="F42" s="127"/>
      <c r="G42" s="137"/>
      <c r="H42" s="58" t="str" cm="1">
        <f>IF(ISBLANK($A42),"",INDEX(Array_EmissionCharges,MATCH($A42,List_EmissionMeters,0),ROUNDUP((COLUMN()+0)/3-1,0)))</f>
        <v/>
      </c>
      <c r="I42" s="127"/>
      <c r="J42" s="137"/>
      <c r="K42" s="58" t="str" cm="1">
        <f>IF(ISBLANK($A42),"",INDEX(Array_EmissionCharges,MATCH($A42,List_EmissionMeters,0),ROUNDUP((COLUMN()+0)/3-1,0)))</f>
        <v/>
      </c>
      <c r="L42" s="127"/>
      <c r="M42" s="137"/>
      <c r="N42" s="58" t="str" cm="1">
        <f>IF(ISBLANK($A42),"",INDEX(Array_EmissionCharges,MATCH($A42,List_EmissionMeters,0),ROUNDUP((COLUMN()+0)/3-1,0)))</f>
        <v/>
      </c>
      <c r="O42" s="127"/>
      <c r="P42" s="137"/>
      <c r="Q42" s="58" t="str" cm="1">
        <f>IF(ISBLANK($A42),"",INDEX(Array_EmissionCharges,MATCH($A42,List_EmissionMeters,0),ROUNDUP((COLUMN()+0)/3-1,0)))</f>
        <v/>
      </c>
      <c r="R42" s="127"/>
      <c r="S42" s="137"/>
    </row>
    <row r="43" spans="1:19" x14ac:dyDescent="0.3">
      <c r="A43" s="126"/>
      <c r="B43" s="133"/>
      <c r="C43" s="127"/>
      <c r="D43" s="137"/>
      <c r="E43" s="58" t="str" cm="1">
        <f>IF(ISBLANK($A43),"",INDEX(Array_EmissionCharges,MATCH($A43,List_EmissionMeters,0),ROUNDUP((COLUMN()+0)/3-1,0)))</f>
        <v/>
      </c>
      <c r="F43" s="127"/>
      <c r="G43" s="137"/>
      <c r="H43" s="58" t="str" cm="1">
        <f>IF(ISBLANK($A43),"",INDEX(Array_EmissionCharges,MATCH($A43,List_EmissionMeters,0),ROUNDUP((COLUMN()+0)/3-1,0)))</f>
        <v/>
      </c>
      <c r="I43" s="127"/>
      <c r="J43" s="137"/>
      <c r="K43" s="58" t="str" cm="1">
        <f>IF(ISBLANK($A43),"",INDEX(Array_EmissionCharges,MATCH($A43,List_EmissionMeters,0),ROUNDUP((COLUMN()+0)/3-1,0)))</f>
        <v/>
      </c>
      <c r="L43" s="127"/>
      <c r="M43" s="137"/>
      <c r="N43" s="58" t="str" cm="1">
        <f>IF(ISBLANK($A43),"",INDEX(Array_EmissionCharges,MATCH($A43,List_EmissionMeters,0),ROUNDUP((COLUMN()+0)/3-1,0)))</f>
        <v/>
      </c>
      <c r="O43" s="127"/>
      <c r="P43" s="137"/>
      <c r="Q43" s="58" t="str" cm="1">
        <f>IF(ISBLANK($A43),"",INDEX(Array_EmissionCharges,MATCH($A43,List_EmissionMeters,0),ROUNDUP((COLUMN()+0)/3-1,0)))</f>
        <v/>
      </c>
      <c r="R43" s="127"/>
      <c r="S43" s="137"/>
    </row>
    <row r="44" spans="1:19" x14ac:dyDescent="0.3">
      <c r="A44" s="126"/>
      <c r="B44" s="133"/>
      <c r="C44" s="127"/>
      <c r="D44" s="137"/>
      <c r="E44" s="58" t="str" cm="1">
        <f>IF(ISBLANK($A44),"",INDEX(Array_EmissionCharges,MATCH($A44,List_EmissionMeters,0),ROUNDUP((COLUMN()+0)/3-1,0)))</f>
        <v/>
      </c>
      <c r="F44" s="127"/>
      <c r="G44" s="137"/>
      <c r="H44" s="58" t="str" cm="1">
        <f>IF(ISBLANK($A44),"",INDEX(Array_EmissionCharges,MATCH($A44,List_EmissionMeters,0),ROUNDUP((COLUMN()+0)/3-1,0)))</f>
        <v/>
      </c>
      <c r="I44" s="127"/>
      <c r="J44" s="137"/>
      <c r="K44" s="58" t="str" cm="1">
        <f>IF(ISBLANK($A44),"",INDEX(Array_EmissionCharges,MATCH($A44,List_EmissionMeters,0),ROUNDUP((COLUMN()+0)/3-1,0)))</f>
        <v/>
      </c>
      <c r="L44" s="127"/>
      <c r="M44" s="137"/>
      <c r="N44" s="58" t="str" cm="1">
        <f>IF(ISBLANK($A44),"",INDEX(Array_EmissionCharges,MATCH($A44,List_EmissionMeters,0),ROUNDUP((COLUMN()+0)/3-1,0)))</f>
        <v/>
      </c>
      <c r="O44" s="127"/>
      <c r="P44" s="137"/>
      <c r="Q44" s="58" t="str" cm="1">
        <f>IF(ISBLANK($A44),"",INDEX(Array_EmissionCharges,MATCH($A44,List_EmissionMeters,0),ROUNDUP((COLUMN()+0)/3-1,0)))</f>
        <v/>
      </c>
      <c r="R44" s="127"/>
      <c r="S44" s="137"/>
    </row>
    <row r="45" spans="1:19" x14ac:dyDescent="0.3">
      <c r="A45" s="126"/>
      <c r="B45" s="133"/>
      <c r="C45" s="127"/>
      <c r="D45" s="137"/>
      <c r="E45" s="58" t="str" cm="1">
        <f>IF(ISBLANK($A45),"",INDEX(Array_EmissionCharges,MATCH($A45,List_EmissionMeters,0),ROUNDUP((COLUMN()+0)/3-1,0)))</f>
        <v/>
      </c>
      <c r="F45" s="127"/>
      <c r="G45" s="137"/>
      <c r="H45" s="58" t="str" cm="1">
        <f>IF(ISBLANK($A45),"",INDEX(Array_EmissionCharges,MATCH($A45,List_EmissionMeters,0),ROUNDUP((COLUMN()+0)/3-1,0)))</f>
        <v/>
      </c>
      <c r="I45" s="127"/>
      <c r="J45" s="137"/>
      <c r="K45" s="58" t="str" cm="1">
        <f>IF(ISBLANK($A45),"",INDEX(Array_EmissionCharges,MATCH($A45,List_EmissionMeters,0),ROUNDUP((COLUMN()+0)/3-1,0)))</f>
        <v/>
      </c>
      <c r="L45" s="127"/>
      <c r="M45" s="137"/>
      <c r="N45" s="58" t="str" cm="1">
        <f>IF(ISBLANK($A45),"",INDEX(Array_EmissionCharges,MATCH($A45,List_EmissionMeters,0),ROUNDUP((COLUMN()+0)/3-1,0)))</f>
        <v/>
      </c>
      <c r="O45" s="127"/>
      <c r="P45" s="137"/>
      <c r="Q45" s="58" t="str" cm="1">
        <f>IF(ISBLANK($A45),"",INDEX(Array_EmissionCharges,MATCH($A45,List_EmissionMeters,0),ROUNDUP((COLUMN()+0)/3-1,0)))</f>
        <v/>
      </c>
      <c r="R45" s="127"/>
      <c r="S45" s="137"/>
    </row>
    <row r="46" spans="1:19" x14ac:dyDescent="0.3">
      <c r="A46" s="126"/>
      <c r="B46" s="133"/>
      <c r="C46" s="127"/>
      <c r="D46" s="137"/>
      <c r="E46" s="58" t="str" cm="1">
        <f>IF(ISBLANK($A46),"",INDEX(Array_EmissionCharges,MATCH($A46,List_EmissionMeters,0),ROUNDUP((COLUMN()+0)/3-1,0)))</f>
        <v/>
      </c>
      <c r="F46" s="127"/>
      <c r="G46" s="137"/>
      <c r="H46" s="58" t="str" cm="1">
        <f>IF(ISBLANK($A46),"",INDEX(Array_EmissionCharges,MATCH($A46,List_EmissionMeters,0),ROUNDUP((COLUMN()+0)/3-1,0)))</f>
        <v/>
      </c>
      <c r="I46" s="127"/>
      <c r="J46" s="137"/>
      <c r="K46" s="58" t="str" cm="1">
        <f>IF(ISBLANK($A46),"",INDEX(Array_EmissionCharges,MATCH($A46,List_EmissionMeters,0),ROUNDUP((COLUMN()+0)/3-1,0)))</f>
        <v/>
      </c>
      <c r="L46" s="127"/>
      <c r="M46" s="137"/>
      <c r="N46" s="58" t="str" cm="1">
        <f>IF(ISBLANK($A46),"",INDEX(Array_EmissionCharges,MATCH($A46,List_EmissionMeters,0),ROUNDUP((COLUMN()+0)/3-1,0)))</f>
        <v/>
      </c>
      <c r="O46" s="127"/>
      <c r="P46" s="137"/>
      <c r="Q46" s="58" t="str" cm="1">
        <f>IF(ISBLANK($A46),"",INDEX(Array_EmissionCharges,MATCH($A46,List_EmissionMeters,0),ROUNDUP((COLUMN()+0)/3-1,0)))</f>
        <v/>
      </c>
      <c r="R46" s="127"/>
      <c r="S46" s="137"/>
    </row>
    <row r="47" spans="1:19" x14ac:dyDescent="0.3">
      <c r="A47" s="126"/>
      <c r="B47" s="133"/>
      <c r="C47" s="127"/>
      <c r="D47" s="137"/>
      <c r="E47" s="58" t="str" cm="1">
        <f>IF(ISBLANK($A47),"",INDEX(Array_EmissionCharges,MATCH($A47,List_EmissionMeters,0),ROUNDUP((COLUMN()+0)/3-1,0)))</f>
        <v/>
      </c>
      <c r="F47" s="127"/>
      <c r="G47" s="137"/>
      <c r="H47" s="58" t="str" cm="1">
        <f>IF(ISBLANK($A47),"",INDEX(Array_EmissionCharges,MATCH($A47,List_EmissionMeters,0),ROUNDUP((COLUMN()+0)/3-1,0)))</f>
        <v/>
      </c>
      <c r="I47" s="127"/>
      <c r="J47" s="137"/>
      <c r="K47" s="58" t="str" cm="1">
        <f>IF(ISBLANK($A47),"",INDEX(Array_EmissionCharges,MATCH($A47,List_EmissionMeters,0),ROUNDUP((COLUMN()+0)/3-1,0)))</f>
        <v/>
      </c>
      <c r="L47" s="127"/>
      <c r="M47" s="137"/>
      <c r="N47" s="58" t="str" cm="1">
        <f>IF(ISBLANK($A47),"",INDEX(Array_EmissionCharges,MATCH($A47,List_EmissionMeters,0),ROUNDUP((COLUMN()+0)/3-1,0)))</f>
        <v/>
      </c>
      <c r="O47" s="127"/>
      <c r="P47" s="137"/>
      <c r="Q47" s="58" t="str" cm="1">
        <f>IF(ISBLANK($A47),"",INDEX(Array_EmissionCharges,MATCH($A47,List_EmissionMeters,0),ROUNDUP((COLUMN()+0)/3-1,0)))</f>
        <v/>
      </c>
      <c r="R47" s="127"/>
      <c r="S47" s="137"/>
    </row>
    <row r="48" spans="1:19" x14ac:dyDescent="0.3">
      <c r="A48" s="126"/>
      <c r="B48" s="133"/>
      <c r="C48" s="127"/>
      <c r="D48" s="137"/>
      <c r="E48" s="58" t="str" cm="1">
        <f>IF(ISBLANK($A48),"",INDEX(Array_EmissionCharges,MATCH($A48,List_EmissionMeters,0),ROUNDUP((COLUMN()+0)/3-1,0)))</f>
        <v/>
      </c>
      <c r="F48" s="127"/>
      <c r="G48" s="137"/>
      <c r="H48" s="58" t="str" cm="1">
        <f>IF(ISBLANK($A48),"",INDEX(Array_EmissionCharges,MATCH($A48,List_EmissionMeters,0),ROUNDUP((COLUMN()+0)/3-1,0)))</f>
        <v/>
      </c>
      <c r="I48" s="127"/>
      <c r="J48" s="137"/>
      <c r="K48" s="58" t="str" cm="1">
        <f>IF(ISBLANK($A48),"",INDEX(Array_EmissionCharges,MATCH($A48,List_EmissionMeters,0),ROUNDUP((COLUMN()+0)/3-1,0)))</f>
        <v/>
      </c>
      <c r="L48" s="127"/>
      <c r="M48" s="137"/>
      <c r="N48" s="58" t="str" cm="1">
        <f>IF(ISBLANK($A48),"",INDEX(Array_EmissionCharges,MATCH($A48,List_EmissionMeters,0),ROUNDUP((COLUMN()+0)/3-1,0)))</f>
        <v/>
      </c>
      <c r="O48" s="127"/>
      <c r="P48" s="137"/>
      <c r="Q48" s="58" t="str" cm="1">
        <f>IF(ISBLANK($A48),"",INDEX(Array_EmissionCharges,MATCH($A48,List_EmissionMeters,0),ROUNDUP((COLUMN()+0)/3-1,0)))</f>
        <v/>
      </c>
      <c r="R48" s="127"/>
      <c r="S48" s="137"/>
    </row>
    <row r="49" spans="1:19" x14ac:dyDescent="0.3">
      <c r="A49" s="126"/>
      <c r="B49" s="133"/>
      <c r="C49" s="127"/>
      <c r="D49" s="137"/>
      <c r="E49" s="58" t="str" cm="1">
        <f>IF(ISBLANK($A49),"",INDEX(Array_EmissionCharges,MATCH($A49,List_EmissionMeters,0),ROUNDUP((COLUMN()+0)/3-1,0)))</f>
        <v/>
      </c>
      <c r="F49" s="127"/>
      <c r="G49" s="137"/>
      <c r="H49" s="58" t="str" cm="1">
        <f>IF(ISBLANK($A49),"",INDEX(Array_EmissionCharges,MATCH($A49,List_EmissionMeters,0),ROUNDUP((COLUMN()+0)/3-1,0)))</f>
        <v/>
      </c>
      <c r="I49" s="127"/>
      <c r="J49" s="137"/>
      <c r="K49" s="58" t="str" cm="1">
        <f>IF(ISBLANK($A49),"",INDEX(Array_EmissionCharges,MATCH($A49,List_EmissionMeters,0),ROUNDUP((COLUMN()+0)/3-1,0)))</f>
        <v/>
      </c>
      <c r="L49" s="127"/>
      <c r="M49" s="137"/>
      <c r="N49" s="58" t="str" cm="1">
        <f>IF(ISBLANK($A49),"",INDEX(Array_EmissionCharges,MATCH($A49,List_EmissionMeters,0),ROUNDUP((COLUMN()+0)/3-1,0)))</f>
        <v/>
      </c>
      <c r="O49" s="127"/>
      <c r="P49" s="137"/>
      <c r="Q49" s="58" t="str" cm="1">
        <f>IF(ISBLANK($A49),"",INDEX(Array_EmissionCharges,MATCH($A49,List_EmissionMeters,0),ROUNDUP((COLUMN()+0)/3-1,0)))</f>
        <v/>
      </c>
      <c r="R49" s="127"/>
      <c r="S49" s="137"/>
    </row>
    <row r="50" spans="1:19" x14ac:dyDescent="0.3">
      <c r="A50" s="126"/>
      <c r="B50" s="133"/>
      <c r="C50" s="127"/>
      <c r="D50" s="137"/>
      <c r="E50" s="58" t="str" cm="1">
        <f>IF(ISBLANK($A50),"",INDEX(Array_EmissionCharges,MATCH($A50,List_EmissionMeters,0),ROUNDUP((COLUMN()+0)/3-1,0)))</f>
        <v/>
      </c>
      <c r="F50" s="127"/>
      <c r="G50" s="137"/>
      <c r="H50" s="58" t="str" cm="1">
        <f>IF(ISBLANK($A50),"",INDEX(Array_EmissionCharges,MATCH($A50,List_EmissionMeters,0),ROUNDUP((COLUMN()+0)/3-1,0)))</f>
        <v/>
      </c>
      <c r="I50" s="127"/>
      <c r="J50" s="137"/>
      <c r="K50" s="58" t="str" cm="1">
        <f>IF(ISBLANK($A50),"",INDEX(Array_EmissionCharges,MATCH($A50,List_EmissionMeters,0),ROUNDUP((COLUMN()+0)/3-1,0)))</f>
        <v/>
      </c>
      <c r="L50" s="127"/>
      <c r="M50" s="137"/>
      <c r="N50" s="58" t="str" cm="1">
        <f>IF(ISBLANK($A50),"",INDEX(Array_EmissionCharges,MATCH($A50,List_EmissionMeters,0),ROUNDUP((COLUMN()+0)/3-1,0)))</f>
        <v/>
      </c>
      <c r="O50" s="127"/>
      <c r="P50" s="137"/>
      <c r="Q50" s="58" t="str" cm="1">
        <f>IF(ISBLANK($A50),"",INDEX(Array_EmissionCharges,MATCH($A50,List_EmissionMeters,0),ROUNDUP((COLUMN()+0)/3-1,0)))</f>
        <v/>
      </c>
      <c r="R50" s="127"/>
      <c r="S50" s="137"/>
    </row>
    <row r="51" spans="1:19" x14ac:dyDescent="0.3">
      <c r="A51" s="126"/>
      <c r="B51" s="133"/>
      <c r="C51" s="127"/>
      <c r="D51" s="137"/>
      <c r="E51" s="58" t="str" cm="1">
        <f>IF(ISBLANK($A51),"",INDEX(Array_EmissionCharges,MATCH($A51,List_EmissionMeters,0),ROUNDUP((COLUMN()+0)/3-1,0)))</f>
        <v/>
      </c>
      <c r="F51" s="127"/>
      <c r="G51" s="137"/>
      <c r="H51" s="58" t="str" cm="1">
        <f>IF(ISBLANK($A51),"",INDEX(Array_EmissionCharges,MATCH($A51,List_EmissionMeters,0),ROUNDUP((COLUMN()+0)/3-1,0)))</f>
        <v/>
      </c>
      <c r="I51" s="127"/>
      <c r="J51" s="137"/>
      <c r="K51" s="58" t="str" cm="1">
        <f>IF(ISBLANK($A51),"",INDEX(Array_EmissionCharges,MATCH($A51,List_EmissionMeters,0),ROUNDUP((COLUMN()+0)/3-1,0)))</f>
        <v/>
      </c>
      <c r="L51" s="127"/>
      <c r="M51" s="137"/>
      <c r="N51" s="58" t="str" cm="1">
        <f>IF(ISBLANK($A51),"",INDEX(Array_EmissionCharges,MATCH($A51,List_EmissionMeters,0),ROUNDUP((COLUMN()+0)/3-1,0)))</f>
        <v/>
      </c>
      <c r="O51" s="127"/>
      <c r="P51" s="137"/>
      <c r="Q51" s="58" t="str" cm="1">
        <f>IF(ISBLANK($A51),"",INDEX(Array_EmissionCharges,MATCH($A51,List_EmissionMeters,0),ROUNDUP((COLUMN()+0)/3-1,0)))</f>
        <v/>
      </c>
      <c r="R51" s="127"/>
      <c r="S51" s="137"/>
    </row>
    <row r="52" spans="1:19" x14ac:dyDescent="0.3">
      <c r="A52" s="126"/>
      <c r="B52" s="133"/>
      <c r="C52" s="127"/>
      <c r="D52" s="137"/>
      <c r="E52" s="58" t="str" cm="1">
        <f>IF(ISBLANK($A52),"",INDEX(Array_EmissionCharges,MATCH($A52,List_EmissionMeters,0),ROUNDUP((COLUMN()+0)/3-1,0)))</f>
        <v/>
      </c>
      <c r="F52" s="127"/>
      <c r="G52" s="137"/>
      <c r="H52" s="58" t="str" cm="1">
        <f>IF(ISBLANK($A52),"",INDEX(Array_EmissionCharges,MATCH($A52,List_EmissionMeters,0),ROUNDUP((COLUMN()+0)/3-1,0)))</f>
        <v/>
      </c>
      <c r="I52" s="127"/>
      <c r="J52" s="137"/>
      <c r="K52" s="58" t="str" cm="1">
        <f>IF(ISBLANK($A52),"",INDEX(Array_EmissionCharges,MATCH($A52,List_EmissionMeters,0),ROUNDUP((COLUMN()+0)/3-1,0)))</f>
        <v/>
      </c>
      <c r="L52" s="127"/>
      <c r="M52" s="137"/>
      <c r="N52" s="58" t="str" cm="1">
        <f>IF(ISBLANK($A52),"",INDEX(Array_EmissionCharges,MATCH($A52,List_EmissionMeters,0),ROUNDUP((COLUMN()+0)/3-1,0)))</f>
        <v/>
      </c>
      <c r="O52" s="127"/>
      <c r="P52" s="137"/>
      <c r="Q52" s="58" t="str" cm="1">
        <f>IF(ISBLANK($A52),"",INDEX(Array_EmissionCharges,MATCH($A52,List_EmissionMeters,0),ROUNDUP((COLUMN()+0)/3-1,0)))</f>
        <v/>
      </c>
      <c r="R52" s="127"/>
      <c r="S52" s="137"/>
    </row>
    <row r="53" spans="1:19" x14ac:dyDescent="0.3">
      <c r="A53" s="126"/>
      <c r="B53" s="133"/>
      <c r="C53" s="127"/>
      <c r="D53" s="137"/>
      <c r="E53" s="58" t="str" cm="1">
        <f>IF(ISBLANK($A53),"",INDEX(Array_EmissionCharges,MATCH($A53,List_EmissionMeters,0),ROUNDUP((COLUMN()+0)/3-1,0)))</f>
        <v/>
      </c>
      <c r="F53" s="127"/>
      <c r="G53" s="137"/>
      <c r="H53" s="58" t="str" cm="1">
        <f>IF(ISBLANK($A53),"",INDEX(Array_EmissionCharges,MATCH($A53,List_EmissionMeters,0),ROUNDUP((COLUMN()+0)/3-1,0)))</f>
        <v/>
      </c>
      <c r="I53" s="127"/>
      <c r="J53" s="137"/>
      <c r="K53" s="58" t="str" cm="1">
        <f>IF(ISBLANK($A53),"",INDEX(Array_EmissionCharges,MATCH($A53,List_EmissionMeters,0),ROUNDUP((COLUMN()+0)/3-1,0)))</f>
        <v/>
      </c>
      <c r="L53" s="127"/>
      <c r="M53" s="137"/>
      <c r="N53" s="58" t="str" cm="1">
        <f>IF(ISBLANK($A53),"",INDEX(Array_EmissionCharges,MATCH($A53,List_EmissionMeters,0),ROUNDUP((COLUMN()+0)/3-1,0)))</f>
        <v/>
      </c>
      <c r="O53" s="127"/>
      <c r="P53" s="137"/>
      <c r="Q53" s="58" t="str" cm="1">
        <f>IF(ISBLANK($A53),"",INDEX(Array_EmissionCharges,MATCH($A53,List_EmissionMeters,0),ROUNDUP((COLUMN()+0)/3-1,0)))</f>
        <v/>
      </c>
      <c r="R53" s="127"/>
      <c r="S53" s="137"/>
    </row>
    <row r="54" spans="1:19" x14ac:dyDescent="0.3">
      <c r="A54" s="126"/>
      <c r="B54" s="133"/>
      <c r="C54" s="127"/>
      <c r="D54" s="137"/>
      <c r="E54" s="58" t="str" cm="1">
        <f>IF(ISBLANK($A54),"",INDEX(Array_EmissionCharges,MATCH($A54,List_EmissionMeters,0),ROUNDUP((COLUMN()+0)/3-1,0)))</f>
        <v/>
      </c>
      <c r="F54" s="127"/>
      <c r="G54" s="137"/>
      <c r="H54" s="58" t="str" cm="1">
        <f>IF(ISBLANK($A54),"",INDEX(Array_EmissionCharges,MATCH($A54,List_EmissionMeters,0),ROUNDUP((COLUMN()+0)/3-1,0)))</f>
        <v/>
      </c>
      <c r="I54" s="127"/>
      <c r="J54" s="137"/>
      <c r="K54" s="58" t="str" cm="1">
        <f>IF(ISBLANK($A54),"",INDEX(Array_EmissionCharges,MATCH($A54,List_EmissionMeters,0),ROUNDUP((COLUMN()+0)/3-1,0)))</f>
        <v/>
      </c>
      <c r="L54" s="127"/>
      <c r="M54" s="137"/>
      <c r="N54" s="58" t="str" cm="1">
        <f>IF(ISBLANK($A54),"",INDEX(Array_EmissionCharges,MATCH($A54,List_EmissionMeters,0),ROUNDUP((COLUMN()+0)/3-1,0)))</f>
        <v/>
      </c>
      <c r="O54" s="127"/>
      <c r="P54" s="137"/>
      <c r="Q54" s="58" t="str" cm="1">
        <f>IF(ISBLANK($A54),"",INDEX(Array_EmissionCharges,MATCH($A54,List_EmissionMeters,0),ROUNDUP((COLUMN()+0)/3-1,0)))</f>
        <v/>
      </c>
      <c r="R54" s="127"/>
      <c r="S54" s="137"/>
    </row>
    <row r="55" spans="1:19" x14ac:dyDescent="0.3">
      <c r="A55" s="126"/>
      <c r="B55" s="133"/>
      <c r="C55" s="127"/>
      <c r="D55" s="137"/>
      <c r="E55" s="58" t="str" cm="1">
        <f>IF(ISBLANK($A55),"",INDEX(Array_EmissionCharges,MATCH($A55,List_EmissionMeters,0),ROUNDUP((COLUMN()+0)/3-1,0)))</f>
        <v/>
      </c>
      <c r="F55" s="127"/>
      <c r="G55" s="137"/>
      <c r="H55" s="58" t="str" cm="1">
        <f>IF(ISBLANK($A55),"",INDEX(Array_EmissionCharges,MATCH($A55,List_EmissionMeters,0),ROUNDUP((COLUMN()+0)/3-1,0)))</f>
        <v/>
      </c>
      <c r="I55" s="127"/>
      <c r="J55" s="137"/>
      <c r="K55" s="58" t="str" cm="1">
        <f>IF(ISBLANK($A55),"",INDEX(Array_EmissionCharges,MATCH($A55,List_EmissionMeters,0),ROUNDUP((COLUMN()+0)/3-1,0)))</f>
        <v/>
      </c>
      <c r="L55" s="127"/>
      <c r="M55" s="137"/>
      <c r="N55" s="58" t="str" cm="1">
        <f>IF(ISBLANK($A55),"",INDEX(Array_EmissionCharges,MATCH($A55,List_EmissionMeters,0),ROUNDUP((COLUMN()+0)/3-1,0)))</f>
        <v/>
      </c>
      <c r="O55" s="127"/>
      <c r="P55" s="137"/>
      <c r="Q55" s="58" t="str" cm="1">
        <f>IF(ISBLANK($A55),"",INDEX(Array_EmissionCharges,MATCH($A55,List_EmissionMeters,0),ROUNDUP((COLUMN()+0)/3-1,0)))</f>
        <v/>
      </c>
      <c r="R55" s="127"/>
      <c r="S55" s="137"/>
    </row>
    <row r="56" spans="1:19" x14ac:dyDescent="0.3">
      <c r="A56" s="126"/>
      <c r="B56" s="133"/>
      <c r="C56" s="127"/>
      <c r="D56" s="137"/>
      <c r="E56" s="58" t="str" cm="1">
        <f>IF(ISBLANK($A56),"",INDEX(Array_EmissionCharges,MATCH($A56,List_EmissionMeters,0),ROUNDUP((COLUMN()+0)/3-1,0)))</f>
        <v/>
      </c>
      <c r="F56" s="127"/>
      <c r="G56" s="137"/>
      <c r="H56" s="58" t="str" cm="1">
        <f>IF(ISBLANK($A56),"",INDEX(Array_EmissionCharges,MATCH($A56,List_EmissionMeters,0),ROUNDUP((COLUMN()+0)/3-1,0)))</f>
        <v/>
      </c>
      <c r="I56" s="127"/>
      <c r="J56" s="137"/>
      <c r="K56" s="58" t="str" cm="1">
        <f>IF(ISBLANK($A56),"",INDEX(Array_EmissionCharges,MATCH($A56,List_EmissionMeters,0),ROUNDUP((COLUMN()+0)/3-1,0)))</f>
        <v/>
      </c>
      <c r="L56" s="127"/>
      <c r="M56" s="137"/>
      <c r="N56" s="58" t="str" cm="1">
        <f>IF(ISBLANK($A56),"",INDEX(Array_EmissionCharges,MATCH($A56,List_EmissionMeters,0),ROUNDUP((COLUMN()+0)/3-1,0)))</f>
        <v/>
      </c>
      <c r="O56" s="127"/>
      <c r="P56" s="137"/>
      <c r="Q56" s="58" t="str" cm="1">
        <f>IF(ISBLANK($A56),"",INDEX(Array_EmissionCharges,MATCH($A56,List_EmissionMeters,0),ROUNDUP((COLUMN()+0)/3-1,0)))</f>
        <v/>
      </c>
      <c r="R56" s="127"/>
      <c r="S56" s="137"/>
    </row>
    <row r="57" spans="1:19" x14ac:dyDescent="0.3">
      <c r="A57" s="126"/>
      <c r="B57" s="133"/>
      <c r="C57" s="127"/>
      <c r="D57" s="137"/>
      <c r="E57" s="58" t="str" cm="1">
        <f>IF(ISBLANK($A57),"",INDEX(Array_EmissionCharges,MATCH($A57,List_EmissionMeters,0),ROUNDUP((COLUMN()+0)/3-1,0)))</f>
        <v/>
      </c>
      <c r="F57" s="127"/>
      <c r="G57" s="137"/>
      <c r="H57" s="58" t="str" cm="1">
        <f>IF(ISBLANK($A57),"",INDEX(Array_EmissionCharges,MATCH($A57,List_EmissionMeters,0),ROUNDUP((COLUMN()+0)/3-1,0)))</f>
        <v/>
      </c>
      <c r="I57" s="127"/>
      <c r="J57" s="137"/>
      <c r="K57" s="58" t="str" cm="1">
        <f>IF(ISBLANK($A57),"",INDEX(Array_EmissionCharges,MATCH($A57,List_EmissionMeters,0),ROUNDUP((COLUMN()+0)/3-1,0)))</f>
        <v/>
      </c>
      <c r="L57" s="127"/>
      <c r="M57" s="137"/>
      <c r="N57" s="58" t="str" cm="1">
        <f>IF(ISBLANK($A57),"",INDEX(Array_EmissionCharges,MATCH($A57,List_EmissionMeters,0),ROUNDUP((COLUMN()+0)/3-1,0)))</f>
        <v/>
      </c>
      <c r="O57" s="127"/>
      <c r="P57" s="137"/>
      <c r="Q57" s="58" t="str" cm="1">
        <f>IF(ISBLANK($A57),"",INDEX(Array_EmissionCharges,MATCH($A57,List_EmissionMeters,0),ROUNDUP((COLUMN()+0)/3-1,0)))</f>
        <v/>
      </c>
      <c r="R57" s="127"/>
      <c r="S57" s="137"/>
    </row>
    <row r="58" spans="1:19" x14ac:dyDescent="0.3">
      <c r="A58" s="126"/>
      <c r="B58" s="133"/>
      <c r="C58" s="127"/>
      <c r="D58" s="137"/>
      <c r="E58" s="58" t="str" cm="1">
        <f>IF(ISBLANK($A58),"",INDEX(Array_EmissionCharges,MATCH($A58,List_EmissionMeters,0),ROUNDUP((COLUMN()+0)/3-1,0)))</f>
        <v/>
      </c>
      <c r="F58" s="127"/>
      <c r="G58" s="137"/>
      <c r="H58" s="58" t="str" cm="1">
        <f>IF(ISBLANK($A58),"",INDEX(Array_EmissionCharges,MATCH($A58,List_EmissionMeters,0),ROUNDUP((COLUMN()+0)/3-1,0)))</f>
        <v/>
      </c>
      <c r="I58" s="127"/>
      <c r="J58" s="137"/>
      <c r="K58" s="58" t="str" cm="1">
        <f>IF(ISBLANK($A58),"",INDEX(Array_EmissionCharges,MATCH($A58,List_EmissionMeters,0),ROUNDUP((COLUMN()+0)/3-1,0)))</f>
        <v/>
      </c>
      <c r="L58" s="127"/>
      <c r="M58" s="137"/>
      <c r="N58" s="58" t="str" cm="1">
        <f>IF(ISBLANK($A58),"",INDEX(Array_EmissionCharges,MATCH($A58,List_EmissionMeters,0),ROUNDUP((COLUMN()+0)/3-1,0)))</f>
        <v/>
      </c>
      <c r="O58" s="127"/>
      <c r="P58" s="137"/>
      <c r="Q58" s="58" t="str" cm="1">
        <f>IF(ISBLANK($A58),"",INDEX(Array_EmissionCharges,MATCH($A58,List_EmissionMeters,0),ROUNDUP((COLUMN()+0)/3-1,0)))</f>
        <v/>
      </c>
      <c r="R58" s="127"/>
      <c r="S58" s="137"/>
    </row>
    <row r="59" spans="1:19" x14ac:dyDescent="0.3">
      <c r="A59" s="126"/>
      <c r="B59" s="133"/>
      <c r="C59" s="127"/>
      <c r="D59" s="137"/>
      <c r="E59" s="58" t="str" cm="1">
        <f>IF(ISBLANK($A59),"",INDEX(Array_EmissionCharges,MATCH($A59,List_EmissionMeters,0),ROUNDUP((COLUMN()+0)/3-1,0)))</f>
        <v/>
      </c>
      <c r="F59" s="127"/>
      <c r="G59" s="137"/>
      <c r="H59" s="58" t="str" cm="1">
        <f>IF(ISBLANK($A59),"",INDEX(Array_EmissionCharges,MATCH($A59,List_EmissionMeters,0),ROUNDUP((COLUMN()+0)/3-1,0)))</f>
        <v/>
      </c>
      <c r="I59" s="127"/>
      <c r="J59" s="137"/>
      <c r="K59" s="58" t="str" cm="1">
        <f>IF(ISBLANK($A59),"",INDEX(Array_EmissionCharges,MATCH($A59,List_EmissionMeters,0),ROUNDUP((COLUMN()+0)/3-1,0)))</f>
        <v/>
      </c>
      <c r="L59" s="127"/>
      <c r="M59" s="137"/>
      <c r="N59" s="58" t="str" cm="1">
        <f>IF(ISBLANK($A59),"",INDEX(Array_EmissionCharges,MATCH($A59,List_EmissionMeters,0),ROUNDUP((COLUMN()+0)/3-1,0)))</f>
        <v/>
      </c>
      <c r="O59" s="127"/>
      <c r="P59" s="137"/>
      <c r="Q59" s="58" t="str" cm="1">
        <f>IF(ISBLANK($A59),"",INDEX(Array_EmissionCharges,MATCH($A59,List_EmissionMeters,0),ROUNDUP((COLUMN()+0)/3-1,0)))</f>
        <v/>
      </c>
      <c r="R59" s="127"/>
      <c r="S59" s="137"/>
    </row>
    <row r="60" spans="1:19" x14ac:dyDescent="0.3">
      <c r="A60" s="126"/>
      <c r="B60" s="133"/>
      <c r="C60" s="127"/>
      <c r="D60" s="137"/>
      <c r="E60" s="58" t="str" cm="1">
        <f>IF(ISBLANK($A60),"",INDEX(Array_EmissionCharges,MATCH($A60,List_EmissionMeters,0),ROUNDUP((COLUMN()+0)/3-1,0)))</f>
        <v/>
      </c>
      <c r="F60" s="127"/>
      <c r="G60" s="137"/>
      <c r="H60" s="58" t="str" cm="1">
        <f>IF(ISBLANK($A60),"",INDEX(Array_EmissionCharges,MATCH($A60,List_EmissionMeters,0),ROUNDUP((COLUMN()+0)/3-1,0)))</f>
        <v/>
      </c>
      <c r="I60" s="127"/>
      <c r="J60" s="137"/>
      <c r="K60" s="58" t="str" cm="1">
        <f>IF(ISBLANK($A60),"",INDEX(Array_EmissionCharges,MATCH($A60,List_EmissionMeters,0),ROUNDUP((COLUMN()+0)/3-1,0)))</f>
        <v/>
      </c>
      <c r="L60" s="127"/>
      <c r="M60" s="137"/>
      <c r="N60" s="58" t="str" cm="1">
        <f>IF(ISBLANK($A60),"",INDEX(Array_EmissionCharges,MATCH($A60,List_EmissionMeters,0),ROUNDUP((COLUMN()+0)/3-1,0)))</f>
        <v/>
      </c>
      <c r="O60" s="127"/>
      <c r="P60" s="137"/>
      <c r="Q60" s="58" t="str" cm="1">
        <f>IF(ISBLANK($A60),"",INDEX(Array_EmissionCharges,MATCH($A60,List_EmissionMeters,0),ROUNDUP((COLUMN()+0)/3-1,0)))</f>
        <v/>
      </c>
      <c r="R60" s="127"/>
      <c r="S60" s="137"/>
    </row>
    <row r="61" spans="1:19" x14ac:dyDescent="0.3">
      <c r="A61" s="126"/>
      <c r="B61" s="133"/>
      <c r="C61" s="127"/>
      <c r="D61" s="137"/>
      <c r="E61" s="58" t="str" cm="1">
        <f>IF(ISBLANK($A61),"",INDEX(Array_EmissionCharges,MATCH($A61,List_EmissionMeters,0),ROUNDUP((COLUMN()+0)/3-1,0)))</f>
        <v/>
      </c>
      <c r="F61" s="127"/>
      <c r="G61" s="137"/>
      <c r="H61" s="58" t="str" cm="1">
        <f>IF(ISBLANK($A61),"",INDEX(Array_EmissionCharges,MATCH($A61,List_EmissionMeters,0),ROUNDUP((COLUMN()+0)/3-1,0)))</f>
        <v/>
      </c>
      <c r="I61" s="127"/>
      <c r="J61" s="137"/>
      <c r="K61" s="58" t="str" cm="1">
        <f>IF(ISBLANK($A61),"",INDEX(Array_EmissionCharges,MATCH($A61,List_EmissionMeters,0),ROUNDUP((COLUMN()+0)/3-1,0)))</f>
        <v/>
      </c>
      <c r="L61" s="127"/>
      <c r="M61" s="137"/>
      <c r="N61" s="58" t="str" cm="1">
        <f>IF(ISBLANK($A61),"",INDEX(Array_EmissionCharges,MATCH($A61,List_EmissionMeters,0),ROUNDUP((COLUMN()+0)/3-1,0)))</f>
        <v/>
      </c>
      <c r="O61" s="127"/>
      <c r="P61" s="137"/>
      <c r="Q61" s="58" t="str" cm="1">
        <f>IF(ISBLANK($A61),"",INDEX(Array_EmissionCharges,MATCH($A61,List_EmissionMeters,0),ROUNDUP((COLUMN()+0)/3-1,0)))</f>
        <v/>
      </c>
      <c r="R61" s="127"/>
      <c r="S61" s="137"/>
    </row>
    <row r="62" spans="1:19" x14ac:dyDescent="0.3">
      <c r="A62" s="126"/>
      <c r="B62" s="133"/>
      <c r="C62" s="127"/>
      <c r="D62" s="137"/>
      <c r="E62" s="58" t="str" cm="1">
        <f>IF(ISBLANK($A62),"",INDEX(Array_EmissionCharges,MATCH($A62,List_EmissionMeters,0),ROUNDUP((COLUMN()+0)/3-1,0)))</f>
        <v/>
      </c>
      <c r="F62" s="127"/>
      <c r="G62" s="137"/>
      <c r="H62" s="58" t="str" cm="1">
        <f>IF(ISBLANK($A62),"",INDEX(Array_EmissionCharges,MATCH($A62,List_EmissionMeters,0),ROUNDUP((COLUMN()+0)/3-1,0)))</f>
        <v/>
      </c>
      <c r="I62" s="127"/>
      <c r="J62" s="137"/>
      <c r="K62" s="58" t="str" cm="1">
        <f>IF(ISBLANK($A62),"",INDEX(Array_EmissionCharges,MATCH($A62,List_EmissionMeters,0),ROUNDUP((COLUMN()+0)/3-1,0)))</f>
        <v/>
      </c>
      <c r="L62" s="127"/>
      <c r="M62" s="137"/>
      <c r="N62" s="58" t="str" cm="1">
        <f>IF(ISBLANK($A62),"",INDEX(Array_EmissionCharges,MATCH($A62,List_EmissionMeters,0),ROUNDUP((COLUMN()+0)/3-1,0)))</f>
        <v/>
      </c>
      <c r="O62" s="127"/>
      <c r="P62" s="137"/>
      <c r="Q62" s="58" t="str" cm="1">
        <f>IF(ISBLANK($A62),"",INDEX(Array_EmissionCharges,MATCH($A62,List_EmissionMeters,0),ROUNDUP((COLUMN()+0)/3-1,0)))</f>
        <v/>
      </c>
      <c r="R62" s="127"/>
      <c r="S62" s="137"/>
    </row>
    <row r="63" spans="1:19" x14ac:dyDescent="0.3">
      <c r="A63" s="126"/>
      <c r="B63" s="133"/>
      <c r="C63" s="127"/>
      <c r="D63" s="137"/>
      <c r="E63" s="58" t="str" cm="1">
        <f>IF(ISBLANK($A63),"",INDEX(Array_EmissionCharges,MATCH($A63,List_EmissionMeters,0),ROUNDUP((COLUMN()+0)/3-1,0)))</f>
        <v/>
      </c>
      <c r="F63" s="127"/>
      <c r="G63" s="137"/>
      <c r="H63" s="58" t="str" cm="1">
        <f>IF(ISBLANK($A63),"",INDEX(Array_EmissionCharges,MATCH($A63,List_EmissionMeters,0),ROUNDUP((COLUMN()+0)/3-1,0)))</f>
        <v/>
      </c>
      <c r="I63" s="127"/>
      <c r="J63" s="137"/>
      <c r="K63" s="58" t="str" cm="1">
        <f>IF(ISBLANK($A63),"",INDEX(Array_EmissionCharges,MATCH($A63,List_EmissionMeters,0),ROUNDUP((COLUMN()+0)/3-1,0)))</f>
        <v/>
      </c>
      <c r="L63" s="127"/>
      <c r="M63" s="137"/>
      <c r="N63" s="58" t="str" cm="1">
        <f>IF(ISBLANK($A63),"",INDEX(Array_EmissionCharges,MATCH($A63,List_EmissionMeters,0),ROUNDUP((COLUMN()+0)/3-1,0)))</f>
        <v/>
      </c>
      <c r="O63" s="127"/>
      <c r="P63" s="137"/>
      <c r="Q63" s="58" t="str" cm="1">
        <f>IF(ISBLANK($A63),"",INDEX(Array_EmissionCharges,MATCH($A63,List_EmissionMeters,0),ROUNDUP((COLUMN()+0)/3-1,0)))</f>
        <v/>
      </c>
      <c r="R63" s="127"/>
      <c r="S63" s="137"/>
    </row>
    <row r="64" spans="1:19" x14ac:dyDescent="0.3">
      <c r="A64" s="126"/>
      <c r="B64" s="133"/>
      <c r="C64" s="127"/>
      <c r="D64" s="137"/>
      <c r="E64" s="58" t="str" cm="1">
        <f>IF(ISBLANK($A64),"",INDEX(Array_EmissionCharges,MATCH($A64,List_EmissionMeters,0),ROUNDUP((COLUMN()+0)/3-1,0)))</f>
        <v/>
      </c>
      <c r="F64" s="127"/>
      <c r="G64" s="137"/>
      <c r="H64" s="58" t="str" cm="1">
        <f>IF(ISBLANK($A64),"",INDEX(Array_EmissionCharges,MATCH($A64,List_EmissionMeters,0),ROUNDUP((COLUMN()+0)/3-1,0)))</f>
        <v/>
      </c>
      <c r="I64" s="127"/>
      <c r="J64" s="137"/>
      <c r="K64" s="58" t="str" cm="1">
        <f>IF(ISBLANK($A64),"",INDEX(Array_EmissionCharges,MATCH($A64,List_EmissionMeters,0),ROUNDUP((COLUMN()+0)/3-1,0)))</f>
        <v/>
      </c>
      <c r="L64" s="127"/>
      <c r="M64" s="137"/>
      <c r="N64" s="58" t="str" cm="1">
        <f>IF(ISBLANK($A64),"",INDEX(Array_EmissionCharges,MATCH($A64,List_EmissionMeters,0),ROUNDUP((COLUMN()+0)/3-1,0)))</f>
        <v/>
      </c>
      <c r="O64" s="127"/>
      <c r="P64" s="137"/>
      <c r="Q64" s="58" t="str" cm="1">
        <f>IF(ISBLANK($A64),"",INDEX(Array_EmissionCharges,MATCH($A64,List_EmissionMeters,0),ROUNDUP((COLUMN()+0)/3-1,0)))</f>
        <v/>
      </c>
      <c r="R64" s="127"/>
      <c r="S64" s="137"/>
    </row>
    <row r="65" spans="1:19" x14ac:dyDescent="0.3">
      <c r="A65" s="126"/>
      <c r="B65" s="133"/>
      <c r="C65" s="127"/>
      <c r="D65" s="137"/>
      <c r="E65" s="58" t="str" cm="1">
        <f>IF(ISBLANK($A65),"",INDEX(Array_EmissionCharges,MATCH($A65,List_EmissionMeters,0),ROUNDUP((COLUMN()+0)/3-1,0)))</f>
        <v/>
      </c>
      <c r="F65" s="127"/>
      <c r="G65" s="137"/>
      <c r="H65" s="58" t="str" cm="1">
        <f>IF(ISBLANK($A65),"",INDEX(Array_EmissionCharges,MATCH($A65,List_EmissionMeters,0),ROUNDUP((COLUMN()+0)/3-1,0)))</f>
        <v/>
      </c>
      <c r="I65" s="127"/>
      <c r="J65" s="137"/>
      <c r="K65" s="58" t="str" cm="1">
        <f>IF(ISBLANK($A65),"",INDEX(Array_EmissionCharges,MATCH($A65,List_EmissionMeters,0),ROUNDUP((COLUMN()+0)/3-1,0)))</f>
        <v/>
      </c>
      <c r="L65" s="127"/>
      <c r="M65" s="137"/>
      <c r="N65" s="58" t="str" cm="1">
        <f>IF(ISBLANK($A65),"",INDEX(Array_EmissionCharges,MATCH($A65,List_EmissionMeters,0),ROUNDUP((COLUMN()+0)/3-1,0)))</f>
        <v/>
      </c>
      <c r="O65" s="127"/>
      <c r="P65" s="137"/>
      <c r="Q65" s="58" t="str" cm="1">
        <f>IF(ISBLANK($A65),"",INDEX(Array_EmissionCharges,MATCH($A65,List_EmissionMeters,0),ROUNDUP((COLUMN()+0)/3-1,0)))</f>
        <v/>
      </c>
      <c r="R65" s="127"/>
      <c r="S65" s="137"/>
    </row>
    <row r="66" spans="1:19" x14ac:dyDescent="0.3">
      <c r="A66" s="126"/>
      <c r="B66" s="133"/>
      <c r="C66" s="127"/>
      <c r="D66" s="137"/>
      <c r="E66" s="58" t="str" cm="1">
        <f>IF(ISBLANK($A66),"",INDEX(Array_EmissionCharges,MATCH($A66,List_EmissionMeters,0),ROUNDUP((COLUMN()+0)/3-1,0)))</f>
        <v/>
      </c>
      <c r="F66" s="127"/>
      <c r="G66" s="137"/>
      <c r="H66" s="58" t="str" cm="1">
        <f>IF(ISBLANK($A66),"",INDEX(Array_EmissionCharges,MATCH($A66,List_EmissionMeters,0),ROUNDUP((COLUMN()+0)/3-1,0)))</f>
        <v/>
      </c>
      <c r="I66" s="127"/>
      <c r="J66" s="137"/>
      <c r="K66" s="58" t="str" cm="1">
        <f>IF(ISBLANK($A66),"",INDEX(Array_EmissionCharges,MATCH($A66,List_EmissionMeters,0),ROUNDUP((COLUMN()+0)/3-1,0)))</f>
        <v/>
      </c>
      <c r="L66" s="127"/>
      <c r="M66" s="137"/>
      <c r="N66" s="58" t="str" cm="1">
        <f>IF(ISBLANK($A66),"",INDEX(Array_EmissionCharges,MATCH($A66,List_EmissionMeters,0),ROUNDUP((COLUMN()+0)/3-1,0)))</f>
        <v/>
      </c>
      <c r="O66" s="127"/>
      <c r="P66" s="137"/>
      <c r="Q66" s="58" t="str" cm="1">
        <f>IF(ISBLANK($A66),"",INDEX(Array_EmissionCharges,MATCH($A66,List_EmissionMeters,0),ROUNDUP((COLUMN()+0)/3-1,0)))</f>
        <v/>
      </c>
      <c r="R66" s="127"/>
      <c r="S66" s="137"/>
    </row>
    <row r="67" spans="1:19" x14ac:dyDescent="0.3">
      <c r="A67" s="126"/>
      <c r="B67" s="133"/>
      <c r="C67" s="127"/>
      <c r="D67" s="137"/>
      <c r="E67" s="58" t="str" cm="1">
        <f>IF(ISBLANK($A67),"",INDEX(Array_EmissionCharges,MATCH($A67,List_EmissionMeters,0),ROUNDUP((COLUMN()+0)/3-1,0)))</f>
        <v/>
      </c>
      <c r="F67" s="127"/>
      <c r="G67" s="137"/>
      <c r="H67" s="58" t="str" cm="1">
        <f>IF(ISBLANK($A67),"",INDEX(Array_EmissionCharges,MATCH($A67,List_EmissionMeters,0),ROUNDUP((COLUMN()+0)/3-1,0)))</f>
        <v/>
      </c>
      <c r="I67" s="127"/>
      <c r="J67" s="137"/>
      <c r="K67" s="58" t="str" cm="1">
        <f>IF(ISBLANK($A67),"",INDEX(Array_EmissionCharges,MATCH($A67,List_EmissionMeters,0),ROUNDUP((COLUMN()+0)/3-1,0)))</f>
        <v/>
      </c>
      <c r="L67" s="127"/>
      <c r="M67" s="137"/>
      <c r="N67" s="58" t="str" cm="1">
        <f>IF(ISBLANK($A67),"",INDEX(Array_EmissionCharges,MATCH($A67,List_EmissionMeters,0),ROUNDUP((COLUMN()+0)/3-1,0)))</f>
        <v/>
      </c>
      <c r="O67" s="127"/>
      <c r="P67" s="137"/>
      <c r="Q67" s="58" t="str" cm="1">
        <f>IF(ISBLANK($A67),"",INDEX(Array_EmissionCharges,MATCH($A67,List_EmissionMeters,0),ROUNDUP((COLUMN()+0)/3-1,0)))</f>
        <v/>
      </c>
      <c r="R67" s="127"/>
      <c r="S67" s="137"/>
    </row>
    <row r="68" spans="1:19" x14ac:dyDescent="0.3">
      <c r="A68" s="126"/>
      <c r="B68" s="133"/>
      <c r="C68" s="127"/>
      <c r="D68" s="137"/>
      <c r="E68" s="58" t="str" cm="1">
        <f>IF(ISBLANK($A68),"",INDEX(Array_EmissionCharges,MATCH($A68,List_EmissionMeters,0),ROUNDUP((COLUMN()+0)/3-1,0)))</f>
        <v/>
      </c>
      <c r="F68" s="127"/>
      <c r="G68" s="137"/>
      <c r="H68" s="58" t="str" cm="1">
        <f>IF(ISBLANK($A68),"",INDEX(Array_EmissionCharges,MATCH($A68,List_EmissionMeters,0),ROUNDUP((COLUMN()+0)/3-1,0)))</f>
        <v/>
      </c>
      <c r="I68" s="127"/>
      <c r="J68" s="137"/>
      <c r="K68" s="58" t="str" cm="1">
        <f>IF(ISBLANK($A68),"",INDEX(Array_EmissionCharges,MATCH($A68,List_EmissionMeters,0),ROUNDUP((COLUMN()+0)/3-1,0)))</f>
        <v/>
      </c>
      <c r="L68" s="127"/>
      <c r="M68" s="137"/>
      <c r="N68" s="58" t="str" cm="1">
        <f>IF(ISBLANK($A68),"",INDEX(Array_EmissionCharges,MATCH($A68,List_EmissionMeters,0),ROUNDUP((COLUMN()+0)/3-1,0)))</f>
        <v/>
      </c>
      <c r="O68" s="127"/>
      <c r="P68" s="137"/>
      <c r="Q68" s="58" t="str" cm="1">
        <f>IF(ISBLANK($A68),"",INDEX(Array_EmissionCharges,MATCH($A68,List_EmissionMeters,0),ROUNDUP((COLUMN()+0)/3-1,0)))</f>
        <v/>
      </c>
      <c r="R68" s="127"/>
      <c r="S68" s="137"/>
    </row>
    <row r="69" spans="1:19" x14ac:dyDescent="0.3">
      <c r="A69" s="126"/>
      <c r="B69" s="133"/>
      <c r="C69" s="127"/>
      <c r="D69" s="137"/>
      <c r="E69" s="58" t="str" cm="1">
        <f>IF(ISBLANK($A69),"",INDEX(Array_EmissionCharges,MATCH($A69,List_EmissionMeters,0),ROUNDUP((COLUMN()+0)/3-1,0)))</f>
        <v/>
      </c>
      <c r="F69" s="127"/>
      <c r="G69" s="137"/>
      <c r="H69" s="58" t="str" cm="1">
        <f>IF(ISBLANK($A69),"",INDEX(Array_EmissionCharges,MATCH($A69,List_EmissionMeters,0),ROUNDUP((COLUMN()+0)/3-1,0)))</f>
        <v/>
      </c>
      <c r="I69" s="127"/>
      <c r="J69" s="137"/>
      <c r="K69" s="58" t="str" cm="1">
        <f>IF(ISBLANK($A69),"",INDEX(Array_EmissionCharges,MATCH($A69,List_EmissionMeters,0),ROUNDUP((COLUMN()+0)/3-1,0)))</f>
        <v/>
      </c>
      <c r="L69" s="127"/>
      <c r="M69" s="137"/>
      <c r="N69" s="58" t="str" cm="1">
        <f>IF(ISBLANK($A69),"",INDEX(Array_EmissionCharges,MATCH($A69,List_EmissionMeters,0),ROUNDUP((COLUMN()+0)/3-1,0)))</f>
        <v/>
      </c>
      <c r="O69" s="127"/>
      <c r="P69" s="137"/>
      <c r="Q69" s="58" t="str" cm="1">
        <f>IF(ISBLANK($A69),"",INDEX(Array_EmissionCharges,MATCH($A69,List_EmissionMeters,0),ROUNDUP((COLUMN()+0)/3-1,0)))</f>
        <v/>
      </c>
      <c r="R69" s="127"/>
      <c r="S69" s="137"/>
    </row>
    <row r="70" spans="1:19" x14ac:dyDescent="0.3">
      <c r="A70" s="126"/>
      <c r="B70" s="133"/>
      <c r="C70" s="127"/>
      <c r="D70" s="137"/>
      <c r="E70" s="58" t="str" cm="1">
        <f>IF(ISBLANK($A70),"",INDEX(Array_EmissionCharges,MATCH($A70,List_EmissionMeters,0),ROUNDUP((COLUMN()+0)/3-1,0)))</f>
        <v/>
      </c>
      <c r="F70" s="127"/>
      <c r="G70" s="137"/>
      <c r="H70" s="58" t="str" cm="1">
        <f>IF(ISBLANK($A70),"",INDEX(Array_EmissionCharges,MATCH($A70,List_EmissionMeters,0),ROUNDUP((COLUMN()+0)/3-1,0)))</f>
        <v/>
      </c>
      <c r="I70" s="127"/>
      <c r="J70" s="137"/>
      <c r="K70" s="58" t="str" cm="1">
        <f>IF(ISBLANK($A70),"",INDEX(Array_EmissionCharges,MATCH($A70,List_EmissionMeters,0),ROUNDUP((COLUMN()+0)/3-1,0)))</f>
        <v/>
      </c>
      <c r="L70" s="127"/>
      <c r="M70" s="137"/>
      <c r="N70" s="58" t="str" cm="1">
        <f>IF(ISBLANK($A70),"",INDEX(Array_EmissionCharges,MATCH($A70,List_EmissionMeters,0),ROUNDUP((COLUMN()+0)/3-1,0)))</f>
        <v/>
      </c>
      <c r="O70" s="127"/>
      <c r="P70" s="137"/>
      <c r="Q70" s="58" t="str" cm="1">
        <f>IF(ISBLANK($A70),"",INDEX(Array_EmissionCharges,MATCH($A70,List_EmissionMeters,0),ROUNDUP((COLUMN()+0)/3-1,0)))</f>
        <v/>
      </c>
      <c r="R70" s="127"/>
      <c r="S70" s="137"/>
    </row>
    <row r="71" spans="1:19" x14ac:dyDescent="0.3">
      <c r="A71" s="126"/>
      <c r="B71" s="133"/>
      <c r="C71" s="127"/>
      <c r="D71" s="137"/>
      <c r="E71" s="58" t="str" cm="1">
        <f>IF(ISBLANK($A71),"",INDEX(Array_EmissionCharges,MATCH($A71,List_EmissionMeters,0),ROUNDUP((COLUMN()+0)/3-1,0)))</f>
        <v/>
      </c>
      <c r="F71" s="127"/>
      <c r="G71" s="137"/>
      <c r="H71" s="58" t="str" cm="1">
        <f>IF(ISBLANK($A71),"",INDEX(Array_EmissionCharges,MATCH($A71,List_EmissionMeters,0),ROUNDUP((COLUMN()+0)/3-1,0)))</f>
        <v/>
      </c>
      <c r="I71" s="127"/>
      <c r="J71" s="137"/>
      <c r="K71" s="58" t="str" cm="1">
        <f>IF(ISBLANK($A71),"",INDEX(Array_EmissionCharges,MATCH($A71,List_EmissionMeters,0),ROUNDUP((COLUMN()+0)/3-1,0)))</f>
        <v/>
      </c>
      <c r="L71" s="127"/>
      <c r="M71" s="137"/>
      <c r="N71" s="58" t="str" cm="1">
        <f>IF(ISBLANK($A71),"",INDEX(Array_EmissionCharges,MATCH($A71,List_EmissionMeters,0),ROUNDUP((COLUMN()+0)/3-1,0)))</f>
        <v/>
      </c>
      <c r="O71" s="127"/>
      <c r="P71" s="137"/>
      <c r="Q71" s="58" t="str" cm="1">
        <f>IF(ISBLANK($A71),"",INDEX(Array_EmissionCharges,MATCH($A71,List_EmissionMeters,0),ROUNDUP((COLUMN()+0)/3-1,0)))</f>
        <v/>
      </c>
      <c r="R71" s="127"/>
      <c r="S71" s="137"/>
    </row>
    <row r="72" spans="1:19" x14ac:dyDescent="0.3">
      <c r="A72" s="126"/>
      <c r="B72" s="133"/>
      <c r="C72" s="127"/>
      <c r="D72" s="137"/>
      <c r="E72" s="58" t="str" cm="1">
        <f>IF(ISBLANK($A72),"",INDEX(Array_EmissionCharges,MATCH($A72,List_EmissionMeters,0),ROUNDUP((COLUMN()+0)/3-1,0)))</f>
        <v/>
      </c>
      <c r="F72" s="127"/>
      <c r="G72" s="137"/>
      <c r="H72" s="58" t="str" cm="1">
        <f>IF(ISBLANK($A72),"",INDEX(Array_EmissionCharges,MATCH($A72,List_EmissionMeters,0),ROUNDUP((COLUMN()+0)/3-1,0)))</f>
        <v/>
      </c>
      <c r="I72" s="127"/>
      <c r="J72" s="137"/>
      <c r="K72" s="58" t="str" cm="1">
        <f>IF(ISBLANK($A72),"",INDEX(Array_EmissionCharges,MATCH($A72,List_EmissionMeters,0),ROUNDUP((COLUMN()+0)/3-1,0)))</f>
        <v/>
      </c>
      <c r="L72" s="127"/>
      <c r="M72" s="137"/>
      <c r="N72" s="58" t="str" cm="1">
        <f>IF(ISBLANK($A72),"",INDEX(Array_EmissionCharges,MATCH($A72,List_EmissionMeters,0),ROUNDUP((COLUMN()+0)/3-1,0)))</f>
        <v/>
      </c>
      <c r="O72" s="127"/>
      <c r="P72" s="137"/>
      <c r="Q72" s="58" t="str" cm="1">
        <f>IF(ISBLANK($A72),"",INDEX(Array_EmissionCharges,MATCH($A72,List_EmissionMeters,0),ROUNDUP((COLUMN()+0)/3-1,0)))</f>
        <v/>
      </c>
      <c r="R72" s="127"/>
      <c r="S72" s="137"/>
    </row>
    <row r="73" spans="1:19" x14ac:dyDescent="0.3">
      <c r="A73" s="126"/>
      <c r="B73" s="133"/>
      <c r="C73" s="127"/>
      <c r="D73" s="137"/>
      <c r="E73" s="58" t="str" cm="1">
        <f>IF(ISBLANK($A73),"",INDEX(Array_EmissionCharges,MATCH($A73,List_EmissionMeters,0),ROUNDUP((COLUMN()+0)/3-1,0)))</f>
        <v/>
      </c>
      <c r="F73" s="127"/>
      <c r="G73" s="137"/>
      <c r="H73" s="58" t="str" cm="1">
        <f>IF(ISBLANK($A73),"",INDEX(Array_EmissionCharges,MATCH($A73,List_EmissionMeters,0),ROUNDUP((COLUMN()+0)/3-1,0)))</f>
        <v/>
      </c>
      <c r="I73" s="127"/>
      <c r="J73" s="137"/>
      <c r="K73" s="58" t="str" cm="1">
        <f>IF(ISBLANK($A73),"",INDEX(Array_EmissionCharges,MATCH($A73,List_EmissionMeters,0),ROUNDUP((COLUMN()+0)/3-1,0)))</f>
        <v/>
      </c>
      <c r="L73" s="127"/>
      <c r="M73" s="137"/>
      <c r="N73" s="58" t="str" cm="1">
        <f>IF(ISBLANK($A73),"",INDEX(Array_EmissionCharges,MATCH($A73,List_EmissionMeters,0),ROUNDUP((COLUMN()+0)/3-1,0)))</f>
        <v/>
      </c>
      <c r="O73" s="127"/>
      <c r="P73" s="137"/>
      <c r="Q73" s="58" t="str" cm="1">
        <f>IF(ISBLANK($A73),"",INDEX(Array_EmissionCharges,MATCH($A73,List_EmissionMeters,0),ROUNDUP((COLUMN()+0)/3-1,0)))</f>
        <v/>
      </c>
      <c r="R73" s="127"/>
      <c r="S73" s="137"/>
    </row>
    <row r="74" spans="1:19" x14ac:dyDescent="0.3">
      <c r="A74" s="126"/>
      <c r="B74" s="133"/>
      <c r="C74" s="127"/>
      <c r="D74" s="137"/>
      <c r="E74" s="58" t="str" cm="1">
        <f>IF(ISBLANK($A74),"",INDEX(Array_EmissionCharges,MATCH($A74,List_EmissionMeters,0),ROUNDUP((COLUMN()+0)/3-1,0)))</f>
        <v/>
      </c>
      <c r="F74" s="127"/>
      <c r="G74" s="137"/>
      <c r="H74" s="58" t="str" cm="1">
        <f>IF(ISBLANK($A74),"",INDEX(Array_EmissionCharges,MATCH($A74,List_EmissionMeters,0),ROUNDUP((COLUMN()+0)/3-1,0)))</f>
        <v/>
      </c>
      <c r="I74" s="127"/>
      <c r="J74" s="137"/>
      <c r="K74" s="58" t="str" cm="1">
        <f>IF(ISBLANK($A74),"",INDEX(Array_EmissionCharges,MATCH($A74,List_EmissionMeters,0),ROUNDUP((COLUMN()+0)/3-1,0)))</f>
        <v/>
      </c>
      <c r="L74" s="127"/>
      <c r="M74" s="137"/>
      <c r="N74" s="58" t="str" cm="1">
        <f>IF(ISBLANK($A74),"",INDEX(Array_EmissionCharges,MATCH($A74,List_EmissionMeters,0),ROUNDUP((COLUMN()+0)/3-1,0)))</f>
        <v/>
      </c>
      <c r="O74" s="127"/>
      <c r="P74" s="137"/>
      <c r="Q74" s="58" t="str" cm="1">
        <f>IF(ISBLANK($A74),"",INDEX(Array_EmissionCharges,MATCH($A74,List_EmissionMeters,0),ROUNDUP((COLUMN()+0)/3-1,0)))</f>
        <v/>
      </c>
      <c r="R74" s="127"/>
      <c r="S74" s="137"/>
    </row>
    <row r="75" spans="1:19" x14ac:dyDescent="0.3">
      <c r="A75" s="126"/>
      <c r="B75" s="133"/>
      <c r="C75" s="127"/>
      <c r="D75" s="137"/>
      <c r="E75" s="58" t="str" cm="1">
        <f>IF(ISBLANK($A75),"",INDEX(Array_EmissionCharges,MATCH($A75,List_EmissionMeters,0),ROUNDUP((COLUMN()+0)/3-1,0)))</f>
        <v/>
      </c>
      <c r="F75" s="127"/>
      <c r="G75" s="137"/>
      <c r="H75" s="58" t="str" cm="1">
        <f>IF(ISBLANK($A75),"",INDEX(Array_EmissionCharges,MATCH($A75,List_EmissionMeters,0),ROUNDUP((COLUMN()+0)/3-1,0)))</f>
        <v/>
      </c>
      <c r="I75" s="127"/>
      <c r="J75" s="137"/>
      <c r="K75" s="58" t="str" cm="1">
        <f>IF(ISBLANK($A75),"",INDEX(Array_EmissionCharges,MATCH($A75,List_EmissionMeters,0),ROUNDUP((COLUMN()+0)/3-1,0)))</f>
        <v/>
      </c>
      <c r="L75" s="127"/>
      <c r="M75" s="137"/>
      <c r="N75" s="58" t="str" cm="1">
        <f>IF(ISBLANK($A75),"",INDEX(Array_EmissionCharges,MATCH($A75,List_EmissionMeters,0),ROUNDUP((COLUMN()+0)/3-1,0)))</f>
        <v/>
      </c>
      <c r="O75" s="127"/>
      <c r="P75" s="137"/>
      <c r="Q75" s="58" t="str" cm="1">
        <f>IF(ISBLANK($A75),"",INDEX(Array_EmissionCharges,MATCH($A75,List_EmissionMeters,0),ROUNDUP((COLUMN()+0)/3-1,0)))</f>
        <v/>
      </c>
      <c r="R75" s="127"/>
      <c r="S75" s="137"/>
    </row>
    <row r="76" spans="1:19" x14ac:dyDescent="0.3">
      <c r="A76" s="126"/>
      <c r="B76" s="133"/>
      <c r="C76" s="127"/>
      <c r="D76" s="137"/>
      <c r="E76" s="58" t="str" cm="1">
        <f>IF(ISBLANK($A76),"",INDEX(Array_EmissionCharges,MATCH($A76,List_EmissionMeters,0),ROUNDUP((COLUMN()+0)/3-1,0)))</f>
        <v/>
      </c>
      <c r="F76" s="127"/>
      <c r="G76" s="137"/>
      <c r="H76" s="58" t="str" cm="1">
        <f>IF(ISBLANK($A76),"",INDEX(Array_EmissionCharges,MATCH($A76,List_EmissionMeters,0),ROUNDUP((COLUMN()+0)/3-1,0)))</f>
        <v/>
      </c>
      <c r="I76" s="127"/>
      <c r="J76" s="137"/>
      <c r="K76" s="58" t="str" cm="1">
        <f>IF(ISBLANK($A76),"",INDEX(Array_EmissionCharges,MATCH($A76,List_EmissionMeters,0),ROUNDUP((COLUMN()+0)/3-1,0)))</f>
        <v/>
      </c>
      <c r="L76" s="127"/>
      <c r="M76" s="137"/>
      <c r="N76" s="58" t="str" cm="1">
        <f>IF(ISBLANK($A76),"",INDEX(Array_EmissionCharges,MATCH($A76,List_EmissionMeters,0),ROUNDUP((COLUMN()+0)/3-1,0)))</f>
        <v/>
      </c>
      <c r="O76" s="127"/>
      <c r="P76" s="137"/>
      <c r="Q76" s="58" t="str" cm="1">
        <f>IF(ISBLANK($A76),"",INDEX(Array_EmissionCharges,MATCH($A76,List_EmissionMeters,0),ROUNDUP((COLUMN()+0)/3-1,0)))</f>
        <v/>
      </c>
      <c r="R76" s="127"/>
      <c r="S76" s="137"/>
    </row>
    <row r="77" spans="1:19" x14ac:dyDescent="0.3">
      <c r="A77" s="126"/>
      <c r="B77" s="133"/>
      <c r="C77" s="127"/>
      <c r="D77" s="137"/>
      <c r="E77" s="58" t="str" cm="1">
        <f>IF(ISBLANK($A77),"",INDEX(Array_EmissionCharges,MATCH($A77,List_EmissionMeters,0),ROUNDUP((COLUMN()+0)/3-1,0)))</f>
        <v/>
      </c>
      <c r="F77" s="127"/>
      <c r="G77" s="137"/>
      <c r="H77" s="58" t="str" cm="1">
        <f>IF(ISBLANK($A77),"",INDEX(Array_EmissionCharges,MATCH($A77,List_EmissionMeters,0),ROUNDUP((COLUMN()+0)/3-1,0)))</f>
        <v/>
      </c>
      <c r="I77" s="127"/>
      <c r="J77" s="137"/>
      <c r="K77" s="58" t="str" cm="1">
        <f>IF(ISBLANK($A77),"",INDEX(Array_EmissionCharges,MATCH($A77,List_EmissionMeters,0),ROUNDUP((COLUMN()+0)/3-1,0)))</f>
        <v/>
      </c>
      <c r="L77" s="127"/>
      <c r="M77" s="137"/>
      <c r="N77" s="58" t="str" cm="1">
        <f>IF(ISBLANK($A77),"",INDEX(Array_EmissionCharges,MATCH($A77,List_EmissionMeters,0),ROUNDUP((COLUMN()+0)/3-1,0)))</f>
        <v/>
      </c>
      <c r="O77" s="127"/>
      <c r="P77" s="137"/>
      <c r="Q77" s="58" t="str" cm="1">
        <f>IF(ISBLANK($A77),"",INDEX(Array_EmissionCharges,MATCH($A77,List_EmissionMeters,0),ROUNDUP((COLUMN()+0)/3-1,0)))</f>
        <v/>
      </c>
      <c r="R77" s="127"/>
      <c r="S77" s="137"/>
    </row>
    <row r="78" spans="1:19" x14ac:dyDescent="0.3">
      <c r="A78" s="126"/>
      <c r="B78" s="133"/>
      <c r="C78" s="127"/>
      <c r="D78" s="137"/>
      <c r="E78" s="58" t="str" cm="1">
        <f>IF(ISBLANK($A78),"",INDEX(Array_EmissionCharges,MATCH($A78,List_EmissionMeters,0),ROUNDUP((COLUMN()+0)/3-1,0)))</f>
        <v/>
      </c>
      <c r="F78" s="127"/>
      <c r="G78" s="137"/>
      <c r="H78" s="58" t="str" cm="1">
        <f>IF(ISBLANK($A78),"",INDEX(Array_EmissionCharges,MATCH($A78,List_EmissionMeters,0),ROUNDUP((COLUMN()+0)/3-1,0)))</f>
        <v/>
      </c>
      <c r="I78" s="127"/>
      <c r="J78" s="137"/>
      <c r="K78" s="58" t="str" cm="1">
        <f>IF(ISBLANK($A78),"",INDEX(Array_EmissionCharges,MATCH($A78,List_EmissionMeters,0),ROUNDUP((COLUMN()+0)/3-1,0)))</f>
        <v/>
      </c>
      <c r="L78" s="127"/>
      <c r="M78" s="137"/>
      <c r="N78" s="58" t="str" cm="1">
        <f>IF(ISBLANK($A78),"",INDEX(Array_EmissionCharges,MATCH($A78,List_EmissionMeters,0),ROUNDUP((COLUMN()+0)/3-1,0)))</f>
        <v/>
      </c>
      <c r="O78" s="127"/>
      <c r="P78" s="137"/>
      <c r="Q78" s="58" t="str" cm="1">
        <f>IF(ISBLANK($A78),"",INDEX(Array_EmissionCharges,MATCH($A78,List_EmissionMeters,0),ROUNDUP((COLUMN()+0)/3-1,0)))</f>
        <v/>
      </c>
      <c r="R78" s="127"/>
      <c r="S78" s="137"/>
    </row>
    <row r="79" spans="1:19" x14ac:dyDescent="0.3">
      <c r="A79" s="126"/>
      <c r="B79" s="133"/>
      <c r="C79" s="127"/>
      <c r="D79" s="137"/>
      <c r="E79" s="58" t="str" cm="1">
        <f>IF(ISBLANK($A79),"",INDEX(Array_EmissionCharges,MATCH($A79,List_EmissionMeters,0),ROUNDUP((COLUMN()+0)/3-1,0)))</f>
        <v/>
      </c>
      <c r="F79" s="127"/>
      <c r="G79" s="137"/>
      <c r="H79" s="58" t="str" cm="1">
        <f>IF(ISBLANK($A79),"",INDEX(Array_EmissionCharges,MATCH($A79,List_EmissionMeters,0),ROUNDUP((COLUMN()+0)/3-1,0)))</f>
        <v/>
      </c>
      <c r="I79" s="127"/>
      <c r="J79" s="137"/>
      <c r="K79" s="58" t="str" cm="1">
        <f>IF(ISBLANK($A79),"",INDEX(Array_EmissionCharges,MATCH($A79,List_EmissionMeters,0),ROUNDUP((COLUMN()+0)/3-1,0)))</f>
        <v/>
      </c>
      <c r="L79" s="127"/>
      <c r="M79" s="137"/>
      <c r="N79" s="58" t="str" cm="1">
        <f>IF(ISBLANK($A79),"",INDEX(Array_EmissionCharges,MATCH($A79,List_EmissionMeters,0),ROUNDUP((COLUMN()+0)/3-1,0)))</f>
        <v/>
      </c>
      <c r="O79" s="127"/>
      <c r="P79" s="137"/>
      <c r="Q79" s="58" t="str" cm="1">
        <f>IF(ISBLANK($A79),"",INDEX(Array_EmissionCharges,MATCH($A79,List_EmissionMeters,0),ROUNDUP((COLUMN()+0)/3-1,0)))</f>
        <v/>
      </c>
      <c r="R79" s="127"/>
      <c r="S79" s="137"/>
    </row>
    <row r="80" spans="1:19" x14ac:dyDescent="0.3">
      <c r="A80" s="126"/>
      <c r="B80" s="133"/>
      <c r="C80" s="127"/>
      <c r="D80" s="137"/>
      <c r="E80" s="58" t="str" cm="1">
        <f>IF(ISBLANK($A80),"",INDEX(Array_EmissionCharges,MATCH($A80,List_EmissionMeters,0),ROUNDUP((COLUMN()+0)/3-1,0)))</f>
        <v/>
      </c>
      <c r="F80" s="127"/>
      <c r="G80" s="137"/>
      <c r="H80" s="58" t="str" cm="1">
        <f>IF(ISBLANK($A80),"",INDEX(Array_EmissionCharges,MATCH($A80,List_EmissionMeters,0),ROUNDUP((COLUMN()+0)/3-1,0)))</f>
        <v/>
      </c>
      <c r="I80" s="127"/>
      <c r="J80" s="137"/>
      <c r="K80" s="58" t="str" cm="1">
        <f>IF(ISBLANK($A80),"",INDEX(Array_EmissionCharges,MATCH($A80,List_EmissionMeters,0),ROUNDUP((COLUMN()+0)/3-1,0)))</f>
        <v/>
      </c>
      <c r="L80" s="127"/>
      <c r="M80" s="137"/>
      <c r="N80" s="58" t="str" cm="1">
        <f>IF(ISBLANK($A80),"",INDEX(Array_EmissionCharges,MATCH($A80,List_EmissionMeters,0),ROUNDUP((COLUMN()+0)/3-1,0)))</f>
        <v/>
      </c>
      <c r="O80" s="127"/>
      <c r="P80" s="137"/>
      <c r="Q80" s="58" t="str" cm="1">
        <f>IF(ISBLANK($A80),"",INDEX(Array_EmissionCharges,MATCH($A80,List_EmissionMeters,0),ROUNDUP((COLUMN()+0)/3-1,0)))</f>
        <v/>
      </c>
      <c r="R80" s="127"/>
      <c r="S80" s="137"/>
    </row>
    <row r="81" spans="1:19" x14ac:dyDescent="0.3">
      <c r="A81" s="126"/>
      <c r="B81" s="133"/>
      <c r="C81" s="127"/>
      <c r="D81" s="137"/>
      <c r="E81" s="58" t="str" cm="1">
        <f>IF(ISBLANK($A81),"",INDEX(Array_EmissionCharges,MATCH($A81,List_EmissionMeters,0),ROUNDUP((COLUMN()+0)/3-1,0)))</f>
        <v/>
      </c>
      <c r="F81" s="127"/>
      <c r="G81" s="137"/>
      <c r="H81" s="58" t="str" cm="1">
        <f>IF(ISBLANK($A81),"",INDEX(Array_EmissionCharges,MATCH($A81,List_EmissionMeters,0),ROUNDUP((COLUMN()+0)/3-1,0)))</f>
        <v/>
      </c>
      <c r="I81" s="127"/>
      <c r="J81" s="137"/>
      <c r="K81" s="58" t="str" cm="1">
        <f>IF(ISBLANK($A81),"",INDEX(Array_EmissionCharges,MATCH($A81,List_EmissionMeters,0),ROUNDUP((COLUMN()+0)/3-1,0)))</f>
        <v/>
      </c>
      <c r="L81" s="127"/>
      <c r="M81" s="137"/>
      <c r="N81" s="58" t="str" cm="1">
        <f>IF(ISBLANK($A81),"",INDEX(Array_EmissionCharges,MATCH($A81,List_EmissionMeters,0),ROUNDUP((COLUMN()+0)/3-1,0)))</f>
        <v/>
      </c>
      <c r="O81" s="127"/>
      <c r="P81" s="137"/>
      <c r="Q81" s="58" t="str" cm="1">
        <f>IF(ISBLANK($A81),"",INDEX(Array_EmissionCharges,MATCH($A81,List_EmissionMeters,0),ROUNDUP((COLUMN()+0)/3-1,0)))</f>
        <v/>
      </c>
      <c r="R81" s="127"/>
      <c r="S81" s="137"/>
    </row>
    <row r="82" spans="1:19" x14ac:dyDescent="0.3">
      <c r="A82" s="126"/>
      <c r="B82" s="133"/>
      <c r="C82" s="127"/>
      <c r="D82" s="137"/>
      <c r="E82" s="58" t="str" cm="1">
        <f>IF(ISBLANK($A82),"",INDEX(Array_EmissionCharges,MATCH($A82,List_EmissionMeters,0),ROUNDUP((COLUMN()+0)/3-1,0)))</f>
        <v/>
      </c>
      <c r="F82" s="127"/>
      <c r="G82" s="137"/>
      <c r="H82" s="58" t="str" cm="1">
        <f>IF(ISBLANK($A82),"",INDEX(Array_EmissionCharges,MATCH($A82,List_EmissionMeters,0),ROUNDUP((COLUMN()+0)/3-1,0)))</f>
        <v/>
      </c>
      <c r="I82" s="127"/>
      <c r="J82" s="137"/>
      <c r="K82" s="58" t="str" cm="1">
        <f>IF(ISBLANK($A82),"",INDEX(Array_EmissionCharges,MATCH($A82,List_EmissionMeters,0),ROUNDUP((COLUMN()+0)/3-1,0)))</f>
        <v/>
      </c>
      <c r="L82" s="127"/>
      <c r="M82" s="137"/>
      <c r="N82" s="58" t="str" cm="1">
        <f>IF(ISBLANK($A82),"",INDEX(Array_EmissionCharges,MATCH($A82,List_EmissionMeters,0),ROUNDUP((COLUMN()+0)/3-1,0)))</f>
        <v/>
      </c>
      <c r="O82" s="127"/>
      <c r="P82" s="137"/>
      <c r="Q82" s="58" t="str" cm="1">
        <f>IF(ISBLANK($A82),"",INDEX(Array_EmissionCharges,MATCH($A82,List_EmissionMeters,0),ROUNDUP((COLUMN()+0)/3-1,0)))</f>
        <v/>
      </c>
      <c r="R82" s="127"/>
      <c r="S82" s="137"/>
    </row>
    <row r="83" spans="1:19" x14ac:dyDescent="0.3">
      <c r="A83" s="126"/>
      <c r="B83" s="133"/>
      <c r="C83" s="127"/>
      <c r="D83" s="137"/>
      <c r="E83" s="58" t="str" cm="1">
        <f>IF(ISBLANK($A83),"",INDEX(Array_EmissionCharges,MATCH($A83,List_EmissionMeters,0),ROUNDUP((COLUMN()+0)/3-1,0)))</f>
        <v/>
      </c>
      <c r="F83" s="127"/>
      <c r="G83" s="137"/>
      <c r="H83" s="58" t="str" cm="1">
        <f>IF(ISBLANK($A83),"",INDEX(Array_EmissionCharges,MATCH($A83,List_EmissionMeters,0),ROUNDUP((COLUMN()+0)/3-1,0)))</f>
        <v/>
      </c>
      <c r="I83" s="127"/>
      <c r="J83" s="137"/>
      <c r="K83" s="58" t="str" cm="1">
        <f>IF(ISBLANK($A83),"",INDEX(Array_EmissionCharges,MATCH($A83,List_EmissionMeters,0),ROUNDUP((COLUMN()+0)/3-1,0)))</f>
        <v/>
      </c>
      <c r="L83" s="127"/>
      <c r="M83" s="137"/>
      <c r="N83" s="58" t="str" cm="1">
        <f>IF(ISBLANK($A83),"",INDEX(Array_EmissionCharges,MATCH($A83,List_EmissionMeters,0),ROUNDUP((COLUMN()+0)/3-1,0)))</f>
        <v/>
      </c>
      <c r="O83" s="127"/>
      <c r="P83" s="137"/>
      <c r="Q83" s="58" t="str" cm="1">
        <f>IF(ISBLANK($A83),"",INDEX(Array_EmissionCharges,MATCH($A83,List_EmissionMeters,0),ROUNDUP((COLUMN()+0)/3-1,0)))</f>
        <v/>
      </c>
      <c r="R83" s="127"/>
      <c r="S83" s="137"/>
    </row>
    <row r="84" spans="1:19" x14ac:dyDescent="0.3">
      <c r="A84" s="126"/>
      <c r="B84" s="133"/>
      <c r="C84" s="127"/>
      <c r="D84" s="137"/>
      <c r="E84" s="58" t="str" cm="1">
        <f>IF(ISBLANK($A84),"",INDEX(Array_EmissionCharges,MATCH($A84,List_EmissionMeters,0),ROUNDUP((COLUMN()+0)/3-1,0)))</f>
        <v/>
      </c>
      <c r="F84" s="127"/>
      <c r="G84" s="137"/>
      <c r="H84" s="58" t="str" cm="1">
        <f>IF(ISBLANK($A84),"",INDEX(Array_EmissionCharges,MATCH($A84,List_EmissionMeters,0),ROUNDUP((COLUMN()+0)/3-1,0)))</f>
        <v/>
      </c>
      <c r="I84" s="127"/>
      <c r="J84" s="137"/>
      <c r="K84" s="58" t="str" cm="1">
        <f>IF(ISBLANK($A84),"",INDEX(Array_EmissionCharges,MATCH($A84,List_EmissionMeters,0),ROUNDUP((COLUMN()+0)/3-1,0)))</f>
        <v/>
      </c>
      <c r="L84" s="127"/>
      <c r="M84" s="137"/>
      <c r="N84" s="58" t="str" cm="1">
        <f>IF(ISBLANK($A84),"",INDEX(Array_EmissionCharges,MATCH($A84,List_EmissionMeters,0),ROUNDUP((COLUMN()+0)/3-1,0)))</f>
        <v/>
      </c>
      <c r="O84" s="127"/>
      <c r="P84" s="137"/>
      <c r="Q84" s="58" t="str" cm="1">
        <f>IF(ISBLANK($A84),"",INDEX(Array_EmissionCharges,MATCH($A84,List_EmissionMeters,0),ROUNDUP((COLUMN()+0)/3-1,0)))</f>
        <v/>
      </c>
      <c r="R84" s="127"/>
      <c r="S84" s="137"/>
    </row>
    <row r="85" spans="1:19" x14ac:dyDescent="0.3">
      <c r="A85" s="126"/>
      <c r="B85" s="133"/>
      <c r="C85" s="127"/>
      <c r="D85" s="137"/>
      <c r="E85" s="58" t="str" cm="1">
        <f>IF(ISBLANK($A85),"",INDEX(Array_EmissionCharges,MATCH($A85,List_EmissionMeters,0),ROUNDUP((COLUMN()+0)/3-1,0)))</f>
        <v/>
      </c>
      <c r="F85" s="127"/>
      <c r="G85" s="137"/>
      <c r="H85" s="58" t="str" cm="1">
        <f>IF(ISBLANK($A85),"",INDEX(Array_EmissionCharges,MATCH($A85,List_EmissionMeters,0),ROUNDUP((COLUMN()+0)/3-1,0)))</f>
        <v/>
      </c>
      <c r="I85" s="127"/>
      <c r="J85" s="137"/>
      <c r="K85" s="58" t="str" cm="1">
        <f>IF(ISBLANK($A85),"",INDEX(Array_EmissionCharges,MATCH($A85,List_EmissionMeters,0),ROUNDUP((COLUMN()+0)/3-1,0)))</f>
        <v/>
      </c>
      <c r="L85" s="127"/>
      <c r="M85" s="137"/>
      <c r="N85" s="58" t="str" cm="1">
        <f>IF(ISBLANK($A85),"",INDEX(Array_EmissionCharges,MATCH($A85,List_EmissionMeters,0),ROUNDUP((COLUMN()+0)/3-1,0)))</f>
        <v/>
      </c>
      <c r="O85" s="127"/>
      <c r="P85" s="137"/>
      <c r="Q85" s="58" t="str" cm="1">
        <f>IF(ISBLANK($A85),"",INDEX(Array_EmissionCharges,MATCH($A85,List_EmissionMeters,0),ROUNDUP((COLUMN()+0)/3-1,0)))</f>
        <v/>
      </c>
      <c r="R85" s="127"/>
      <c r="S85" s="137"/>
    </row>
    <row r="86" spans="1:19" x14ac:dyDescent="0.3">
      <c r="A86" s="126"/>
      <c r="B86" s="133"/>
      <c r="C86" s="127"/>
      <c r="D86" s="137"/>
      <c r="E86" s="58" t="str" cm="1">
        <f>IF(ISBLANK($A86),"",INDEX(Array_EmissionCharges,MATCH($A86,List_EmissionMeters,0),ROUNDUP((COLUMN()+0)/3-1,0)))</f>
        <v/>
      </c>
      <c r="F86" s="127"/>
      <c r="G86" s="137"/>
      <c r="H86" s="58" t="str" cm="1">
        <f>IF(ISBLANK($A86),"",INDEX(Array_EmissionCharges,MATCH($A86,List_EmissionMeters,0),ROUNDUP((COLUMN()+0)/3-1,0)))</f>
        <v/>
      </c>
      <c r="I86" s="127"/>
      <c r="J86" s="137"/>
      <c r="K86" s="58" t="str" cm="1">
        <f>IF(ISBLANK($A86),"",INDEX(Array_EmissionCharges,MATCH($A86,List_EmissionMeters,0),ROUNDUP((COLUMN()+0)/3-1,0)))</f>
        <v/>
      </c>
      <c r="L86" s="127"/>
      <c r="M86" s="137"/>
      <c r="N86" s="58" t="str" cm="1">
        <f>IF(ISBLANK($A86),"",INDEX(Array_EmissionCharges,MATCH($A86,List_EmissionMeters,0),ROUNDUP((COLUMN()+0)/3-1,0)))</f>
        <v/>
      </c>
      <c r="O86" s="127"/>
      <c r="P86" s="137"/>
      <c r="Q86" s="58" t="str" cm="1">
        <f>IF(ISBLANK($A86),"",INDEX(Array_EmissionCharges,MATCH($A86,List_EmissionMeters,0),ROUNDUP((COLUMN()+0)/3-1,0)))</f>
        <v/>
      </c>
      <c r="R86" s="127"/>
      <c r="S86" s="137"/>
    </row>
    <row r="87" spans="1:19" x14ac:dyDescent="0.3">
      <c r="A87" s="126"/>
      <c r="B87" s="133"/>
      <c r="C87" s="127"/>
      <c r="D87" s="137"/>
      <c r="E87" s="58" t="str" cm="1">
        <f>IF(ISBLANK($A87),"",INDEX(Array_EmissionCharges,MATCH($A87,List_EmissionMeters,0),ROUNDUP((COLUMN()+0)/3-1,0)))</f>
        <v/>
      </c>
      <c r="F87" s="127"/>
      <c r="G87" s="137"/>
      <c r="H87" s="58" t="str" cm="1">
        <f>IF(ISBLANK($A87),"",INDEX(Array_EmissionCharges,MATCH($A87,List_EmissionMeters,0),ROUNDUP((COLUMN()+0)/3-1,0)))</f>
        <v/>
      </c>
      <c r="I87" s="127"/>
      <c r="J87" s="137"/>
      <c r="K87" s="58" t="str" cm="1">
        <f>IF(ISBLANK($A87),"",INDEX(Array_EmissionCharges,MATCH($A87,List_EmissionMeters,0),ROUNDUP((COLUMN()+0)/3-1,0)))</f>
        <v/>
      </c>
      <c r="L87" s="127"/>
      <c r="M87" s="137"/>
      <c r="N87" s="58" t="str" cm="1">
        <f>IF(ISBLANK($A87),"",INDEX(Array_EmissionCharges,MATCH($A87,List_EmissionMeters,0),ROUNDUP((COLUMN()+0)/3-1,0)))</f>
        <v/>
      </c>
      <c r="O87" s="127"/>
      <c r="P87" s="137"/>
      <c r="Q87" s="58" t="str" cm="1">
        <f>IF(ISBLANK($A87),"",INDEX(Array_EmissionCharges,MATCH($A87,List_EmissionMeters,0),ROUNDUP((COLUMN()+0)/3-1,0)))</f>
        <v/>
      </c>
      <c r="R87" s="127"/>
      <c r="S87" s="137"/>
    </row>
    <row r="88" spans="1:19" x14ac:dyDescent="0.3">
      <c r="A88" s="126"/>
      <c r="B88" s="133"/>
      <c r="C88" s="127"/>
      <c r="D88" s="137"/>
      <c r="E88" s="58" t="str" cm="1">
        <f>IF(ISBLANK($A88),"",INDEX(Array_EmissionCharges,MATCH($A88,List_EmissionMeters,0),ROUNDUP((COLUMN()+0)/3-1,0)))</f>
        <v/>
      </c>
      <c r="F88" s="127"/>
      <c r="G88" s="137"/>
      <c r="H88" s="58" t="str" cm="1">
        <f>IF(ISBLANK($A88),"",INDEX(Array_EmissionCharges,MATCH($A88,List_EmissionMeters,0),ROUNDUP((COLUMN()+0)/3-1,0)))</f>
        <v/>
      </c>
      <c r="I88" s="127"/>
      <c r="J88" s="137"/>
      <c r="K88" s="58" t="str" cm="1">
        <f>IF(ISBLANK($A88),"",INDEX(Array_EmissionCharges,MATCH($A88,List_EmissionMeters,0),ROUNDUP((COLUMN()+0)/3-1,0)))</f>
        <v/>
      </c>
      <c r="L88" s="127"/>
      <c r="M88" s="137"/>
      <c r="N88" s="58" t="str" cm="1">
        <f>IF(ISBLANK($A88),"",INDEX(Array_EmissionCharges,MATCH($A88,List_EmissionMeters,0),ROUNDUP((COLUMN()+0)/3-1,0)))</f>
        <v/>
      </c>
      <c r="O88" s="127"/>
      <c r="P88" s="137"/>
      <c r="Q88" s="58" t="str" cm="1">
        <f>IF(ISBLANK($A88),"",INDEX(Array_EmissionCharges,MATCH($A88,List_EmissionMeters,0),ROUNDUP((COLUMN()+0)/3-1,0)))</f>
        <v/>
      </c>
      <c r="R88" s="127"/>
      <c r="S88" s="137"/>
    </row>
    <row r="89" spans="1:19" x14ac:dyDescent="0.3">
      <c r="A89" s="126"/>
      <c r="B89" s="133"/>
      <c r="C89" s="127"/>
      <c r="D89" s="137"/>
      <c r="E89" s="58" t="str" cm="1">
        <f>IF(ISBLANK($A89),"",INDEX(Array_EmissionCharges,MATCH($A89,List_EmissionMeters,0),ROUNDUP((COLUMN()+0)/3-1,0)))</f>
        <v/>
      </c>
      <c r="F89" s="127"/>
      <c r="G89" s="137"/>
      <c r="H89" s="58" t="str" cm="1">
        <f>IF(ISBLANK($A89),"",INDEX(Array_EmissionCharges,MATCH($A89,List_EmissionMeters,0),ROUNDUP((COLUMN()+0)/3-1,0)))</f>
        <v/>
      </c>
      <c r="I89" s="127"/>
      <c r="J89" s="137"/>
      <c r="K89" s="58" t="str" cm="1">
        <f>IF(ISBLANK($A89),"",INDEX(Array_EmissionCharges,MATCH($A89,List_EmissionMeters,0),ROUNDUP((COLUMN()+0)/3-1,0)))</f>
        <v/>
      </c>
      <c r="L89" s="127"/>
      <c r="M89" s="137"/>
      <c r="N89" s="58" t="str" cm="1">
        <f>IF(ISBLANK($A89),"",INDEX(Array_EmissionCharges,MATCH($A89,List_EmissionMeters,0),ROUNDUP((COLUMN()+0)/3-1,0)))</f>
        <v/>
      </c>
      <c r="O89" s="127"/>
      <c r="P89" s="137"/>
      <c r="Q89" s="58" t="str" cm="1">
        <f>IF(ISBLANK($A89),"",INDEX(Array_EmissionCharges,MATCH($A89,List_EmissionMeters,0),ROUNDUP((COLUMN()+0)/3-1,0)))</f>
        <v/>
      </c>
      <c r="R89" s="127"/>
      <c r="S89" s="137"/>
    </row>
    <row r="90" spans="1:19" x14ac:dyDescent="0.3">
      <c r="A90" s="126"/>
      <c r="B90" s="133"/>
      <c r="C90" s="127"/>
      <c r="D90" s="137"/>
      <c r="E90" s="58" t="str" cm="1">
        <f>IF(ISBLANK($A90),"",INDEX(Array_EmissionCharges,MATCH($A90,List_EmissionMeters,0),ROUNDUP((COLUMN()+0)/3-1,0)))</f>
        <v/>
      </c>
      <c r="F90" s="127"/>
      <c r="G90" s="137"/>
      <c r="H90" s="58" t="str" cm="1">
        <f>IF(ISBLANK($A90),"",INDEX(Array_EmissionCharges,MATCH($A90,List_EmissionMeters,0),ROUNDUP((COLUMN()+0)/3-1,0)))</f>
        <v/>
      </c>
      <c r="I90" s="127"/>
      <c r="J90" s="137"/>
      <c r="K90" s="58" t="str" cm="1">
        <f>IF(ISBLANK($A90),"",INDEX(Array_EmissionCharges,MATCH($A90,List_EmissionMeters,0),ROUNDUP((COLUMN()+0)/3-1,0)))</f>
        <v/>
      </c>
      <c r="L90" s="127"/>
      <c r="M90" s="137"/>
      <c r="N90" s="58" t="str" cm="1">
        <f>IF(ISBLANK($A90),"",INDEX(Array_EmissionCharges,MATCH($A90,List_EmissionMeters,0),ROUNDUP((COLUMN()+0)/3-1,0)))</f>
        <v/>
      </c>
      <c r="O90" s="127"/>
      <c r="P90" s="137"/>
      <c r="Q90" s="58" t="str" cm="1">
        <f>IF(ISBLANK($A90),"",INDEX(Array_EmissionCharges,MATCH($A90,List_EmissionMeters,0),ROUNDUP((COLUMN()+0)/3-1,0)))</f>
        <v/>
      </c>
      <c r="R90" s="127"/>
      <c r="S90" s="137"/>
    </row>
    <row r="91" spans="1:19" x14ac:dyDescent="0.3">
      <c r="A91" s="126"/>
      <c r="B91" s="133"/>
      <c r="C91" s="127"/>
      <c r="D91" s="137"/>
      <c r="E91" s="58" t="str" cm="1">
        <f>IF(ISBLANK($A91),"",INDEX(Array_EmissionCharges,MATCH($A91,List_EmissionMeters,0),ROUNDUP((COLUMN()+0)/3-1,0)))</f>
        <v/>
      </c>
      <c r="F91" s="127"/>
      <c r="G91" s="137"/>
      <c r="H91" s="58" t="str" cm="1">
        <f>IF(ISBLANK($A91),"",INDEX(Array_EmissionCharges,MATCH($A91,List_EmissionMeters,0),ROUNDUP((COLUMN()+0)/3-1,0)))</f>
        <v/>
      </c>
      <c r="I91" s="127"/>
      <c r="J91" s="137"/>
      <c r="K91" s="58" t="str" cm="1">
        <f>IF(ISBLANK($A91),"",INDEX(Array_EmissionCharges,MATCH($A91,List_EmissionMeters,0),ROUNDUP((COLUMN()+0)/3-1,0)))</f>
        <v/>
      </c>
      <c r="L91" s="127"/>
      <c r="M91" s="137"/>
      <c r="N91" s="58" t="str" cm="1">
        <f>IF(ISBLANK($A91),"",INDEX(Array_EmissionCharges,MATCH($A91,List_EmissionMeters,0),ROUNDUP((COLUMN()+0)/3-1,0)))</f>
        <v/>
      </c>
      <c r="O91" s="127"/>
      <c r="P91" s="137"/>
      <c r="Q91" s="58" t="str" cm="1">
        <f>IF(ISBLANK($A91),"",INDEX(Array_EmissionCharges,MATCH($A91,List_EmissionMeters,0),ROUNDUP((COLUMN()+0)/3-1,0)))</f>
        <v/>
      </c>
      <c r="R91" s="127"/>
      <c r="S91" s="137"/>
    </row>
    <row r="92" spans="1:19" x14ac:dyDescent="0.3">
      <c r="A92" s="126"/>
      <c r="B92" s="133"/>
      <c r="C92" s="127"/>
      <c r="D92" s="137"/>
      <c r="E92" s="58" t="str" cm="1">
        <f>IF(ISBLANK($A92),"",INDEX(Array_EmissionCharges,MATCH($A92,List_EmissionMeters,0),ROUNDUP((COLUMN()+0)/3-1,0)))</f>
        <v/>
      </c>
      <c r="F92" s="127"/>
      <c r="G92" s="137"/>
      <c r="H92" s="58" t="str" cm="1">
        <f>IF(ISBLANK($A92),"",INDEX(Array_EmissionCharges,MATCH($A92,List_EmissionMeters,0),ROUNDUP((COLUMN()+0)/3-1,0)))</f>
        <v/>
      </c>
      <c r="I92" s="127"/>
      <c r="J92" s="137"/>
      <c r="K92" s="58" t="str" cm="1">
        <f>IF(ISBLANK($A92),"",INDEX(Array_EmissionCharges,MATCH($A92,List_EmissionMeters,0),ROUNDUP((COLUMN()+0)/3-1,0)))</f>
        <v/>
      </c>
      <c r="L92" s="127"/>
      <c r="M92" s="137"/>
      <c r="N92" s="58" t="str" cm="1">
        <f>IF(ISBLANK($A92),"",INDEX(Array_EmissionCharges,MATCH($A92,List_EmissionMeters,0),ROUNDUP((COLUMN()+0)/3-1,0)))</f>
        <v/>
      </c>
      <c r="O92" s="127"/>
      <c r="P92" s="137"/>
      <c r="Q92" s="58" t="str" cm="1">
        <f>IF(ISBLANK($A92),"",INDEX(Array_EmissionCharges,MATCH($A92,List_EmissionMeters,0),ROUNDUP((COLUMN()+0)/3-1,0)))</f>
        <v/>
      </c>
      <c r="R92" s="127"/>
      <c r="S92" s="137"/>
    </row>
    <row r="93" spans="1:19" x14ac:dyDescent="0.3">
      <c r="A93" s="126"/>
      <c r="B93" s="133"/>
      <c r="C93" s="127"/>
      <c r="D93" s="137"/>
      <c r="E93" s="58" t="str" cm="1">
        <f>IF(ISBLANK($A93),"",INDEX(Array_EmissionCharges,MATCH($A93,List_EmissionMeters,0),ROUNDUP((COLUMN()+0)/3-1,0)))</f>
        <v/>
      </c>
      <c r="F93" s="127"/>
      <c r="G93" s="137"/>
      <c r="H93" s="58" t="str" cm="1">
        <f>IF(ISBLANK($A93),"",INDEX(Array_EmissionCharges,MATCH($A93,List_EmissionMeters,0),ROUNDUP((COLUMN()+0)/3-1,0)))</f>
        <v/>
      </c>
      <c r="I93" s="127"/>
      <c r="J93" s="137"/>
      <c r="K93" s="58" t="str" cm="1">
        <f>IF(ISBLANK($A93),"",INDEX(Array_EmissionCharges,MATCH($A93,List_EmissionMeters,0),ROUNDUP((COLUMN()+0)/3-1,0)))</f>
        <v/>
      </c>
      <c r="L93" s="127"/>
      <c r="M93" s="137"/>
      <c r="N93" s="58" t="str" cm="1">
        <f>IF(ISBLANK($A93),"",INDEX(Array_EmissionCharges,MATCH($A93,List_EmissionMeters,0),ROUNDUP((COLUMN()+0)/3-1,0)))</f>
        <v/>
      </c>
      <c r="O93" s="127"/>
      <c r="P93" s="137"/>
      <c r="Q93" s="58" t="str" cm="1">
        <f>IF(ISBLANK($A93),"",INDEX(Array_EmissionCharges,MATCH($A93,List_EmissionMeters,0),ROUNDUP((COLUMN()+0)/3-1,0)))</f>
        <v/>
      </c>
      <c r="R93" s="127"/>
      <c r="S93" s="137"/>
    </row>
    <row r="94" spans="1:19" x14ac:dyDescent="0.3">
      <c r="A94" s="126"/>
      <c r="B94" s="133"/>
      <c r="C94" s="127"/>
      <c r="D94" s="137"/>
      <c r="E94" s="58" t="str" cm="1">
        <f>IF(ISBLANK($A94),"",INDEX(Array_EmissionCharges,MATCH($A94,List_EmissionMeters,0),ROUNDUP((COLUMN()+0)/3-1,0)))</f>
        <v/>
      </c>
      <c r="F94" s="127"/>
      <c r="G94" s="137"/>
      <c r="H94" s="58" t="str" cm="1">
        <f>IF(ISBLANK($A94),"",INDEX(Array_EmissionCharges,MATCH($A94,List_EmissionMeters,0),ROUNDUP((COLUMN()+0)/3-1,0)))</f>
        <v/>
      </c>
      <c r="I94" s="127"/>
      <c r="J94" s="137"/>
      <c r="K94" s="58" t="str" cm="1">
        <f>IF(ISBLANK($A94),"",INDEX(Array_EmissionCharges,MATCH($A94,List_EmissionMeters,0),ROUNDUP((COLUMN()+0)/3-1,0)))</f>
        <v/>
      </c>
      <c r="L94" s="127"/>
      <c r="M94" s="137"/>
      <c r="N94" s="58" t="str" cm="1">
        <f>IF(ISBLANK($A94),"",INDEX(Array_EmissionCharges,MATCH($A94,List_EmissionMeters,0),ROUNDUP((COLUMN()+0)/3-1,0)))</f>
        <v/>
      </c>
      <c r="O94" s="127"/>
      <c r="P94" s="137"/>
      <c r="Q94" s="58" t="str" cm="1">
        <f>IF(ISBLANK($A94),"",INDEX(Array_EmissionCharges,MATCH($A94,List_EmissionMeters,0),ROUNDUP((COLUMN()+0)/3-1,0)))</f>
        <v/>
      </c>
      <c r="R94" s="127"/>
      <c r="S94" s="137"/>
    </row>
    <row r="95" spans="1:19" x14ac:dyDescent="0.3">
      <c r="A95" s="126"/>
      <c r="B95" s="133"/>
      <c r="C95" s="127"/>
      <c r="D95" s="137"/>
      <c r="E95" s="58" t="str" cm="1">
        <f>IF(ISBLANK($A95),"",INDEX(Array_EmissionCharges,MATCH($A95,List_EmissionMeters,0),ROUNDUP((COLUMN()+0)/3-1,0)))</f>
        <v/>
      </c>
      <c r="F95" s="127"/>
      <c r="G95" s="137"/>
      <c r="H95" s="58" t="str" cm="1">
        <f>IF(ISBLANK($A95),"",INDEX(Array_EmissionCharges,MATCH($A95,List_EmissionMeters,0),ROUNDUP((COLUMN()+0)/3-1,0)))</f>
        <v/>
      </c>
      <c r="I95" s="127"/>
      <c r="J95" s="137"/>
      <c r="K95" s="58" t="str" cm="1">
        <f>IF(ISBLANK($A95),"",INDEX(Array_EmissionCharges,MATCH($A95,List_EmissionMeters,0),ROUNDUP((COLUMN()+0)/3-1,0)))</f>
        <v/>
      </c>
      <c r="L95" s="127"/>
      <c r="M95" s="137"/>
      <c r="N95" s="58" t="str" cm="1">
        <f>IF(ISBLANK($A95),"",INDEX(Array_EmissionCharges,MATCH($A95,List_EmissionMeters,0),ROUNDUP((COLUMN()+0)/3-1,0)))</f>
        <v/>
      </c>
      <c r="O95" s="127"/>
      <c r="P95" s="137"/>
      <c r="Q95" s="58" t="str" cm="1">
        <f>IF(ISBLANK($A95),"",INDEX(Array_EmissionCharges,MATCH($A95,List_EmissionMeters,0),ROUNDUP((COLUMN()+0)/3-1,0)))</f>
        <v/>
      </c>
      <c r="R95" s="127"/>
      <c r="S95" s="137"/>
    </row>
    <row r="96" spans="1:19" x14ac:dyDescent="0.3">
      <c r="A96" s="126"/>
      <c r="B96" s="133"/>
      <c r="C96" s="127"/>
      <c r="D96" s="137"/>
      <c r="E96" s="58" t="str" cm="1">
        <f>IF(ISBLANK($A96),"",INDEX(Array_EmissionCharges,MATCH($A96,List_EmissionMeters,0),ROUNDUP((COLUMN()+0)/3-1,0)))</f>
        <v/>
      </c>
      <c r="F96" s="127"/>
      <c r="G96" s="137"/>
      <c r="H96" s="58" t="str" cm="1">
        <f>IF(ISBLANK($A96),"",INDEX(Array_EmissionCharges,MATCH($A96,List_EmissionMeters,0),ROUNDUP((COLUMN()+0)/3-1,0)))</f>
        <v/>
      </c>
      <c r="I96" s="127"/>
      <c r="J96" s="137"/>
      <c r="K96" s="58" t="str" cm="1">
        <f>IF(ISBLANK($A96),"",INDEX(Array_EmissionCharges,MATCH($A96,List_EmissionMeters,0),ROUNDUP((COLUMN()+0)/3-1,0)))</f>
        <v/>
      </c>
      <c r="L96" s="127"/>
      <c r="M96" s="137"/>
      <c r="N96" s="58" t="str" cm="1">
        <f>IF(ISBLANK($A96),"",INDEX(Array_EmissionCharges,MATCH($A96,List_EmissionMeters,0),ROUNDUP((COLUMN()+0)/3-1,0)))</f>
        <v/>
      </c>
      <c r="O96" s="127"/>
      <c r="P96" s="137"/>
      <c r="Q96" s="58" t="str" cm="1">
        <f>IF(ISBLANK($A96),"",INDEX(Array_EmissionCharges,MATCH($A96,List_EmissionMeters,0),ROUNDUP((COLUMN()+0)/3-1,0)))</f>
        <v/>
      </c>
      <c r="R96" s="127"/>
      <c r="S96" s="137"/>
    </row>
    <row r="97" spans="1:19" x14ac:dyDescent="0.3">
      <c r="A97" s="126"/>
      <c r="B97" s="133"/>
      <c r="C97" s="127"/>
      <c r="D97" s="137"/>
      <c r="E97" s="58" t="str" cm="1">
        <f>IF(ISBLANK($A97),"",INDEX(Array_EmissionCharges,MATCH($A97,List_EmissionMeters,0),ROUNDUP((COLUMN()+0)/3-1,0)))</f>
        <v/>
      </c>
      <c r="F97" s="127"/>
      <c r="G97" s="137"/>
      <c r="H97" s="58" t="str" cm="1">
        <f>IF(ISBLANK($A97),"",INDEX(Array_EmissionCharges,MATCH($A97,List_EmissionMeters,0),ROUNDUP((COLUMN()+0)/3-1,0)))</f>
        <v/>
      </c>
      <c r="I97" s="127"/>
      <c r="J97" s="137"/>
      <c r="K97" s="58" t="str" cm="1">
        <f>IF(ISBLANK($A97),"",INDEX(Array_EmissionCharges,MATCH($A97,List_EmissionMeters,0),ROUNDUP((COLUMN()+0)/3-1,0)))</f>
        <v/>
      </c>
      <c r="L97" s="127"/>
      <c r="M97" s="137"/>
      <c r="N97" s="58" t="str" cm="1">
        <f>IF(ISBLANK($A97),"",INDEX(Array_EmissionCharges,MATCH($A97,List_EmissionMeters,0),ROUNDUP((COLUMN()+0)/3-1,0)))</f>
        <v/>
      </c>
      <c r="O97" s="127"/>
      <c r="P97" s="137"/>
      <c r="Q97" s="58" t="str" cm="1">
        <f>IF(ISBLANK($A97),"",INDEX(Array_EmissionCharges,MATCH($A97,List_EmissionMeters,0),ROUNDUP((COLUMN()+0)/3-1,0)))</f>
        <v/>
      </c>
      <c r="R97" s="127"/>
      <c r="S97" s="137"/>
    </row>
    <row r="98" spans="1:19" x14ac:dyDescent="0.3">
      <c r="A98" s="126"/>
      <c r="B98" s="133"/>
      <c r="C98" s="127"/>
      <c r="D98" s="137"/>
      <c r="E98" s="58" t="str" cm="1">
        <f>IF(ISBLANK($A98),"",INDEX(Array_EmissionCharges,MATCH($A98,List_EmissionMeters,0),ROUNDUP((COLUMN()+0)/3-1,0)))</f>
        <v/>
      </c>
      <c r="F98" s="127"/>
      <c r="G98" s="137"/>
      <c r="H98" s="58" t="str" cm="1">
        <f>IF(ISBLANK($A98),"",INDEX(Array_EmissionCharges,MATCH($A98,List_EmissionMeters,0),ROUNDUP((COLUMN()+0)/3-1,0)))</f>
        <v/>
      </c>
      <c r="I98" s="127"/>
      <c r="J98" s="137"/>
      <c r="K98" s="58" t="str" cm="1">
        <f>IF(ISBLANK($A98),"",INDEX(Array_EmissionCharges,MATCH($A98,List_EmissionMeters,0),ROUNDUP((COLUMN()+0)/3-1,0)))</f>
        <v/>
      </c>
      <c r="L98" s="127"/>
      <c r="M98" s="137"/>
      <c r="N98" s="58" t="str" cm="1">
        <f>IF(ISBLANK($A98),"",INDEX(Array_EmissionCharges,MATCH($A98,List_EmissionMeters,0),ROUNDUP((COLUMN()+0)/3-1,0)))</f>
        <v/>
      </c>
      <c r="O98" s="127"/>
      <c r="P98" s="137"/>
      <c r="Q98" s="58" t="str" cm="1">
        <f>IF(ISBLANK($A98),"",INDEX(Array_EmissionCharges,MATCH($A98,List_EmissionMeters,0),ROUNDUP((COLUMN()+0)/3-1,0)))</f>
        <v/>
      </c>
      <c r="R98" s="127"/>
      <c r="S98" s="137"/>
    </row>
    <row r="99" spans="1:19" x14ac:dyDescent="0.3">
      <c r="A99" s="126"/>
      <c r="B99" s="133"/>
      <c r="C99" s="127"/>
      <c r="D99" s="137"/>
      <c r="E99" s="58" t="str" cm="1">
        <f>IF(ISBLANK($A99),"",INDEX(Array_EmissionCharges,MATCH($A99,List_EmissionMeters,0),ROUNDUP((COLUMN()+0)/3-1,0)))</f>
        <v/>
      </c>
      <c r="F99" s="127"/>
      <c r="G99" s="137"/>
      <c r="H99" s="58" t="str" cm="1">
        <f>IF(ISBLANK($A99),"",INDEX(Array_EmissionCharges,MATCH($A99,List_EmissionMeters,0),ROUNDUP((COLUMN()+0)/3-1,0)))</f>
        <v/>
      </c>
      <c r="I99" s="127"/>
      <c r="J99" s="137"/>
      <c r="K99" s="58" t="str" cm="1">
        <f>IF(ISBLANK($A99),"",INDEX(Array_EmissionCharges,MATCH($A99,List_EmissionMeters,0),ROUNDUP((COLUMN()+0)/3-1,0)))</f>
        <v/>
      </c>
      <c r="L99" s="127"/>
      <c r="M99" s="137"/>
      <c r="N99" s="58" t="str" cm="1">
        <f>IF(ISBLANK($A99),"",INDEX(Array_EmissionCharges,MATCH($A99,List_EmissionMeters,0),ROUNDUP((COLUMN()+0)/3-1,0)))</f>
        <v/>
      </c>
      <c r="O99" s="127"/>
      <c r="P99" s="137"/>
      <c r="Q99" s="58" t="str" cm="1">
        <f>IF(ISBLANK($A99),"",INDEX(Array_EmissionCharges,MATCH($A99,List_EmissionMeters,0),ROUNDUP((COLUMN()+0)/3-1,0)))</f>
        <v/>
      </c>
      <c r="R99" s="127"/>
      <c r="S99" s="137"/>
    </row>
    <row r="100" spans="1:19" x14ac:dyDescent="0.3">
      <c r="A100" s="126"/>
      <c r="B100" s="133"/>
      <c r="C100" s="127"/>
      <c r="D100" s="137"/>
      <c r="E100" s="58" t="str" cm="1">
        <f>IF(ISBLANK($A100),"",INDEX(Array_EmissionCharges,MATCH($A100,List_EmissionMeters,0),ROUNDUP((COLUMN()+0)/3-1,0)))</f>
        <v/>
      </c>
      <c r="F100" s="127"/>
      <c r="G100" s="137"/>
      <c r="H100" s="58" t="str" cm="1">
        <f>IF(ISBLANK($A100),"",INDEX(Array_EmissionCharges,MATCH($A100,List_EmissionMeters,0),ROUNDUP((COLUMN()+0)/3-1,0)))</f>
        <v/>
      </c>
      <c r="I100" s="127"/>
      <c r="J100" s="137"/>
      <c r="K100" s="58" t="str" cm="1">
        <f>IF(ISBLANK($A100),"",INDEX(Array_EmissionCharges,MATCH($A100,List_EmissionMeters,0),ROUNDUP((COLUMN()+0)/3-1,0)))</f>
        <v/>
      </c>
      <c r="L100" s="127"/>
      <c r="M100" s="137"/>
      <c r="N100" s="58" t="str" cm="1">
        <f>IF(ISBLANK($A100),"",INDEX(Array_EmissionCharges,MATCH($A100,List_EmissionMeters,0),ROUNDUP((COLUMN()+0)/3-1,0)))</f>
        <v/>
      </c>
      <c r="O100" s="127"/>
      <c r="P100" s="137"/>
      <c r="Q100" s="58" t="str" cm="1">
        <f>IF(ISBLANK($A100),"",INDEX(Array_EmissionCharges,MATCH($A100,List_EmissionMeters,0),ROUNDUP((COLUMN()+0)/3-1,0)))</f>
        <v/>
      </c>
      <c r="R100" s="127"/>
      <c r="S100" s="137"/>
    </row>
    <row r="101" spans="1:19" x14ac:dyDescent="0.3">
      <c r="A101" s="126"/>
      <c r="B101" s="133"/>
      <c r="C101" s="127"/>
      <c r="D101" s="137"/>
      <c r="E101" s="58" t="str" cm="1">
        <f>IF(ISBLANK($A101),"",INDEX(Array_EmissionCharges,MATCH($A101,List_EmissionMeters,0),ROUNDUP((COLUMN()+0)/3-1,0)))</f>
        <v/>
      </c>
      <c r="F101" s="127"/>
      <c r="G101" s="137"/>
      <c r="H101" s="58" t="str" cm="1">
        <f>IF(ISBLANK($A101),"",INDEX(Array_EmissionCharges,MATCH($A101,List_EmissionMeters,0),ROUNDUP((COLUMN()+0)/3-1,0)))</f>
        <v/>
      </c>
      <c r="I101" s="127"/>
      <c r="J101" s="137"/>
      <c r="K101" s="58" t="str" cm="1">
        <f>IF(ISBLANK($A101),"",INDEX(Array_EmissionCharges,MATCH($A101,List_EmissionMeters,0),ROUNDUP((COLUMN()+0)/3-1,0)))</f>
        <v/>
      </c>
      <c r="L101" s="127"/>
      <c r="M101" s="137"/>
      <c r="N101" s="58" t="str" cm="1">
        <f>IF(ISBLANK($A101),"",INDEX(Array_EmissionCharges,MATCH($A101,List_EmissionMeters,0),ROUNDUP((COLUMN()+0)/3-1,0)))</f>
        <v/>
      </c>
      <c r="O101" s="127"/>
      <c r="P101" s="137"/>
      <c r="Q101" s="58" t="str" cm="1">
        <f>IF(ISBLANK($A101),"",INDEX(Array_EmissionCharges,MATCH($A101,List_EmissionMeters,0),ROUNDUP((COLUMN()+0)/3-1,0)))</f>
        <v/>
      </c>
      <c r="R101" s="127"/>
      <c r="S101" s="137"/>
    </row>
    <row r="102" spans="1:19" x14ac:dyDescent="0.3">
      <c r="A102" s="126"/>
      <c r="B102" s="133"/>
      <c r="C102" s="127"/>
      <c r="D102" s="137"/>
      <c r="E102" s="58" t="str" cm="1">
        <f>IF(ISBLANK($A102),"",INDEX(Array_EmissionCharges,MATCH($A102,List_EmissionMeters,0),ROUNDUP((COLUMN()+0)/3-1,0)))</f>
        <v/>
      </c>
      <c r="F102" s="127"/>
      <c r="G102" s="137"/>
      <c r="H102" s="58" t="str" cm="1">
        <f>IF(ISBLANK($A102),"",INDEX(Array_EmissionCharges,MATCH($A102,List_EmissionMeters,0),ROUNDUP((COLUMN()+0)/3-1,0)))</f>
        <v/>
      </c>
      <c r="I102" s="127"/>
      <c r="J102" s="137"/>
      <c r="K102" s="58" t="str" cm="1">
        <f>IF(ISBLANK($A102),"",INDEX(Array_EmissionCharges,MATCH($A102,List_EmissionMeters,0),ROUNDUP((COLUMN()+0)/3-1,0)))</f>
        <v/>
      </c>
      <c r="L102" s="127"/>
      <c r="M102" s="137"/>
      <c r="N102" s="58" t="str" cm="1">
        <f>IF(ISBLANK($A102),"",INDEX(Array_EmissionCharges,MATCH($A102,List_EmissionMeters,0),ROUNDUP((COLUMN()+0)/3-1,0)))</f>
        <v/>
      </c>
      <c r="O102" s="127"/>
      <c r="P102" s="137"/>
      <c r="Q102" s="58" t="str" cm="1">
        <f>IF(ISBLANK($A102),"",INDEX(Array_EmissionCharges,MATCH($A102,List_EmissionMeters,0),ROUNDUP((COLUMN()+0)/3-1,0)))</f>
        <v/>
      </c>
      <c r="R102" s="127"/>
      <c r="S102" s="137"/>
    </row>
    <row r="103" spans="1:19" x14ac:dyDescent="0.3">
      <c r="A103" s="126"/>
      <c r="B103" s="133"/>
      <c r="C103" s="127"/>
      <c r="D103" s="137"/>
      <c r="E103" s="58" t="str" cm="1">
        <f>IF(ISBLANK($A103),"",INDEX(Array_EmissionCharges,MATCH($A103,List_EmissionMeters,0),ROUNDUP((COLUMN()+0)/3-1,0)))</f>
        <v/>
      </c>
      <c r="F103" s="127"/>
      <c r="G103" s="137"/>
      <c r="H103" s="58" t="str" cm="1">
        <f>IF(ISBLANK($A103),"",INDEX(Array_EmissionCharges,MATCH($A103,List_EmissionMeters,0),ROUNDUP((COLUMN()+0)/3-1,0)))</f>
        <v/>
      </c>
      <c r="I103" s="127"/>
      <c r="J103" s="137"/>
      <c r="K103" s="58" t="str" cm="1">
        <f>IF(ISBLANK($A103),"",INDEX(Array_EmissionCharges,MATCH($A103,List_EmissionMeters,0),ROUNDUP((COLUMN()+0)/3-1,0)))</f>
        <v/>
      </c>
      <c r="L103" s="127"/>
      <c r="M103" s="137"/>
      <c r="N103" s="58" t="str" cm="1">
        <f>IF(ISBLANK($A103),"",INDEX(Array_EmissionCharges,MATCH($A103,List_EmissionMeters,0),ROUNDUP((COLUMN()+0)/3-1,0)))</f>
        <v/>
      </c>
      <c r="O103" s="127"/>
      <c r="P103" s="137"/>
      <c r="Q103" s="58" t="str" cm="1">
        <f>IF(ISBLANK($A103),"",INDEX(Array_EmissionCharges,MATCH($A103,List_EmissionMeters,0),ROUNDUP((COLUMN()+0)/3-1,0)))</f>
        <v/>
      </c>
      <c r="R103" s="127"/>
      <c r="S103" s="137"/>
    </row>
    <row r="104" spans="1:19" x14ac:dyDescent="0.3">
      <c r="A104" s="126"/>
      <c r="B104" s="133"/>
      <c r="C104" s="127"/>
      <c r="D104" s="137"/>
      <c r="E104" s="58" t="str" cm="1">
        <f>IF(ISBLANK($A104),"",INDEX(Array_EmissionCharges,MATCH($A104,List_EmissionMeters,0),ROUNDUP((COLUMN()+0)/3-1,0)))</f>
        <v/>
      </c>
      <c r="F104" s="127"/>
      <c r="G104" s="137"/>
      <c r="H104" s="58" t="str" cm="1">
        <f>IF(ISBLANK($A104),"",INDEX(Array_EmissionCharges,MATCH($A104,List_EmissionMeters,0),ROUNDUP((COLUMN()+0)/3-1,0)))</f>
        <v/>
      </c>
      <c r="I104" s="127"/>
      <c r="J104" s="137"/>
      <c r="K104" s="58" t="str" cm="1">
        <f>IF(ISBLANK($A104),"",INDEX(Array_EmissionCharges,MATCH($A104,List_EmissionMeters,0),ROUNDUP((COLUMN()+0)/3-1,0)))</f>
        <v/>
      </c>
      <c r="L104" s="127"/>
      <c r="M104" s="137"/>
      <c r="N104" s="58" t="str" cm="1">
        <f>IF(ISBLANK($A104),"",INDEX(Array_EmissionCharges,MATCH($A104,List_EmissionMeters,0),ROUNDUP((COLUMN()+0)/3-1,0)))</f>
        <v/>
      </c>
      <c r="O104" s="127"/>
      <c r="P104" s="137"/>
      <c r="Q104" s="58" t="str" cm="1">
        <f>IF(ISBLANK($A104),"",INDEX(Array_EmissionCharges,MATCH($A104,List_EmissionMeters,0),ROUNDUP((COLUMN()+0)/3-1,0)))</f>
        <v/>
      </c>
      <c r="R104" s="127"/>
      <c r="S104" s="137"/>
    </row>
    <row r="105" spans="1:19" x14ac:dyDescent="0.3">
      <c r="A105" s="126"/>
      <c r="B105" s="133"/>
      <c r="C105" s="127"/>
      <c r="D105" s="137"/>
      <c r="E105" s="58" t="str" cm="1">
        <f>IF(ISBLANK($A105),"",INDEX(Array_EmissionCharges,MATCH($A105,List_EmissionMeters,0),ROUNDUP((COLUMN()+0)/3-1,0)))</f>
        <v/>
      </c>
      <c r="F105" s="127"/>
      <c r="G105" s="137"/>
      <c r="H105" s="58" t="str" cm="1">
        <f>IF(ISBLANK($A105),"",INDEX(Array_EmissionCharges,MATCH($A105,List_EmissionMeters,0),ROUNDUP((COLUMN()+0)/3-1,0)))</f>
        <v/>
      </c>
      <c r="I105" s="127"/>
      <c r="J105" s="137"/>
      <c r="K105" s="58" t="str" cm="1">
        <f>IF(ISBLANK($A105),"",INDEX(Array_EmissionCharges,MATCH($A105,List_EmissionMeters,0),ROUNDUP((COLUMN()+0)/3-1,0)))</f>
        <v/>
      </c>
      <c r="L105" s="127"/>
      <c r="M105" s="137"/>
      <c r="N105" s="58" t="str" cm="1">
        <f>IF(ISBLANK($A105),"",INDEX(Array_EmissionCharges,MATCH($A105,List_EmissionMeters,0),ROUNDUP((COLUMN()+0)/3-1,0)))</f>
        <v/>
      </c>
      <c r="O105" s="127"/>
      <c r="P105" s="137"/>
      <c r="Q105" s="58" t="str" cm="1">
        <f>IF(ISBLANK($A105),"",INDEX(Array_EmissionCharges,MATCH($A105,List_EmissionMeters,0),ROUNDUP((COLUMN()+0)/3-1,0)))</f>
        <v/>
      </c>
      <c r="R105" s="127"/>
      <c r="S105" s="137"/>
    </row>
    <row r="106" spans="1:19" x14ac:dyDescent="0.3">
      <c r="A106" s="126"/>
      <c r="B106" s="133"/>
      <c r="C106" s="127"/>
      <c r="D106" s="137"/>
      <c r="E106" s="58" t="str" cm="1">
        <f>IF(ISBLANK($A106),"",INDEX(Array_EmissionCharges,MATCH($A106,List_EmissionMeters,0),ROUNDUP((COLUMN()+0)/3-1,0)))</f>
        <v/>
      </c>
      <c r="F106" s="127"/>
      <c r="G106" s="137"/>
      <c r="H106" s="58" t="str" cm="1">
        <f>IF(ISBLANK($A106),"",INDEX(Array_EmissionCharges,MATCH($A106,List_EmissionMeters,0),ROUNDUP((COLUMN()+0)/3-1,0)))</f>
        <v/>
      </c>
      <c r="I106" s="127"/>
      <c r="J106" s="137"/>
      <c r="K106" s="58" t="str" cm="1">
        <f>IF(ISBLANK($A106),"",INDEX(Array_EmissionCharges,MATCH($A106,List_EmissionMeters,0),ROUNDUP((COLUMN()+0)/3-1,0)))</f>
        <v/>
      </c>
      <c r="L106" s="127"/>
      <c r="M106" s="137"/>
      <c r="N106" s="58" t="str" cm="1">
        <f>IF(ISBLANK($A106),"",INDEX(Array_EmissionCharges,MATCH($A106,List_EmissionMeters,0),ROUNDUP((COLUMN()+0)/3-1,0)))</f>
        <v/>
      </c>
      <c r="O106" s="127"/>
      <c r="P106" s="137"/>
      <c r="Q106" s="58" t="str" cm="1">
        <f>IF(ISBLANK($A106),"",INDEX(Array_EmissionCharges,MATCH($A106,List_EmissionMeters,0),ROUNDUP((COLUMN()+0)/3-1,0)))</f>
        <v/>
      </c>
      <c r="R106" s="127"/>
      <c r="S106" s="137"/>
    </row>
    <row r="107" spans="1:19" x14ac:dyDescent="0.3">
      <c r="A107" s="126"/>
      <c r="B107" s="133"/>
      <c r="C107" s="127"/>
      <c r="D107" s="137"/>
      <c r="E107" s="58" t="str" cm="1">
        <f>IF(ISBLANK($A107),"",INDEX(Array_EmissionCharges,MATCH($A107,List_EmissionMeters,0),ROUNDUP((COLUMN()+0)/3-1,0)))</f>
        <v/>
      </c>
      <c r="F107" s="127"/>
      <c r="G107" s="137"/>
      <c r="H107" s="58" t="str" cm="1">
        <f>IF(ISBLANK($A107),"",INDEX(Array_EmissionCharges,MATCH($A107,List_EmissionMeters,0),ROUNDUP((COLUMN()+0)/3-1,0)))</f>
        <v/>
      </c>
      <c r="I107" s="127"/>
      <c r="J107" s="137"/>
      <c r="K107" s="58" t="str" cm="1">
        <f>IF(ISBLANK($A107),"",INDEX(Array_EmissionCharges,MATCH($A107,List_EmissionMeters,0),ROUNDUP((COLUMN()+0)/3-1,0)))</f>
        <v/>
      </c>
      <c r="L107" s="127"/>
      <c r="M107" s="137"/>
      <c r="N107" s="58" t="str" cm="1">
        <f>IF(ISBLANK($A107),"",INDEX(Array_EmissionCharges,MATCH($A107,List_EmissionMeters,0),ROUNDUP((COLUMN()+0)/3-1,0)))</f>
        <v/>
      </c>
      <c r="O107" s="127"/>
      <c r="P107" s="137"/>
      <c r="Q107" s="58" t="str" cm="1">
        <f>IF(ISBLANK($A107),"",INDEX(Array_EmissionCharges,MATCH($A107,List_EmissionMeters,0),ROUNDUP((COLUMN()+0)/3-1,0)))</f>
        <v/>
      </c>
      <c r="R107" s="127"/>
      <c r="S107" s="137"/>
    </row>
    <row r="108" spans="1:19" x14ac:dyDescent="0.3">
      <c r="A108" s="126"/>
      <c r="B108" s="133"/>
      <c r="C108" s="127"/>
      <c r="D108" s="137"/>
      <c r="E108" s="58" t="str" cm="1">
        <f>IF(ISBLANK($A108),"",INDEX(Array_EmissionCharges,MATCH($A108,List_EmissionMeters,0),ROUNDUP((COLUMN()+0)/3-1,0)))</f>
        <v/>
      </c>
      <c r="F108" s="127"/>
      <c r="G108" s="137"/>
      <c r="H108" s="58" t="str" cm="1">
        <f>IF(ISBLANK($A108),"",INDEX(Array_EmissionCharges,MATCH($A108,List_EmissionMeters,0),ROUNDUP((COLUMN()+0)/3-1,0)))</f>
        <v/>
      </c>
      <c r="I108" s="127"/>
      <c r="J108" s="137"/>
      <c r="K108" s="58" t="str" cm="1">
        <f>IF(ISBLANK($A108),"",INDEX(Array_EmissionCharges,MATCH($A108,List_EmissionMeters,0),ROUNDUP((COLUMN()+0)/3-1,0)))</f>
        <v/>
      </c>
      <c r="L108" s="127"/>
      <c r="M108" s="137"/>
      <c r="N108" s="58" t="str" cm="1">
        <f>IF(ISBLANK($A108),"",INDEX(Array_EmissionCharges,MATCH($A108,List_EmissionMeters,0),ROUNDUP((COLUMN()+0)/3-1,0)))</f>
        <v/>
      </c>
      <c r="O108" s="127"/>
      <c r="P108" s="137"/>
      <c r="Q108" s="58" t="str" cm="1">
        <f>IF(ISBLANK($A108),"",INDEX(Array_EmissionCharges,MATCH($A108,List_EmissionMeters,0),ROUNDUP((COLUMN()+0)/3-1,0)))</f>
        <v/>
      </c>
      <c r="R108" s="127"/>
      <c r="S108" s="137"/>
    </row>
    <row r="109" spans="1:19" x14ac:dyDescent="0.3">
      <c r="A109" s="126"/>
      <c r="B109" s="133"/>
      <c r="C109" s="127"/>
      <c r="D109" s="137"/>
      <c r="E109" s="58" t="str" cm="1">
        <f>IF(ISBLANK($A109),"",INDEX(Array_EmissionCharges,MATCH($A109,List_EmissionMeters,0),ROUNDUP((COLUMN()+0)/3-1,0)))</f>
        <v/>
      </c>
      <c r="F109" s="127"/>
      <c r="G109" s="137"/>
      <c r="H109" s="58" t="str" cm="1">
        <f>IF(ISBLANK($A109),"",INDEX(Array_EmissionCharges,MATCH($A109,List_EmissionMeters,0),ROUNDUP((COLUMN()+0)/3-1,0)))</f>
        <v/>
      </c>
      <c r="I109" s="127"/>
      <c r="J109" s="137"/>
      <c r="K109" s="58" t="str" cm="1">
        <f>IF(ISBLANK($A109),"",INDEX(Array_EmissionCharges,MATCH($A109,List_EmissionMeters,0),ROUNDUP((COLUMN()+0)/3-1,0)))</f>
        <v/>
      </c>
      <c r="L109" s="127"/>
      <c r="M109" s="137"/>
      <c r="N109" s="58" t="str" cm="1">
        <f>IF(ISBLANK($A109),"",INDEX(Array_EmissionCharges,MATCH($A109,List_EmissionMeters,0),ROUNDUP((COLUMN()+0)/3-1,0)))</f>
        <v/>
      </c>
      <c r="O109" s="127"/>
      <c r="P109" s="137"/>
      <c r="Q109" s="58" t="str" cm="1">
        <f>IF(ISBLANK($A109),"",INDEX(Array_EmissionCharges,MATCH($A109,List_EmissionMeters,0),ROUNDUP((COLUMN()+0)/3-1,0)))</f>
        <v/>
      </c>
      <c r="R109" s="127"/>
      <c r="S109" s="137"/>
    </row>
    <row r="110" spans="1:19" x14ac:dyDescent="0.3">
      <c r="A110" s="126"/>
      <c r="B110" s="133"/>
      <c r="C110" s="127"/>
      <c r="D110" s="137"/>
      <c r="E110" s="58" t="str" cm="1">
        <f>IF(ISBLANK($A110),"",INDEX(Array_EmissionCharges,MATCH($A110,List_EmissionMeters,0),ROUNDUP((COLUMN()+0)/3-1,0)))</f>
        <v/>
      </c>
      <c r="F110" s="127"/>
      <c r="G110" s="137"/>
      <c r="H110" s="58" t="str" cm="1">
        <f>IF(ISBLANK($A110),"",INDEX(Array_EmissionCharges,MATCH($A110,List_EmissionMeters,0),ROUNDUP((COLUMN()+0)/3-1,0)))</f>
        <v/>
      </c>
      <c r="I110" s="127"/>
      <c r="J110" s="137"/>
      <c r="K110" s="58" t="str" cm="1">
        <f>IF(ISBLANK($A110),"",INDEX(Array_EmissionCharges,MATCH($A110,List_EmissionMeters,0),ROUNDUP((COLUMN()+0)/3-1,0)))</f>
        <v/>
      </c>
      <c r="L110" s="127"/>
      <c r="M110" s="137"/>
      <c r="N110" s="58" t="str" cm="1">
        <f>IF(ISBLANK($A110),"",INDEX(Array_EmissionCharges,MATCH($A110,List_EmissionMeters,0),ROUNDUP((COLUMN()+0)/3-1,0)))</f>
        <v/>
      </c>
      <c r="O110" s="127"/>
      <c r="P110" s="137"/>
      <c r="Q110" s="58" t="str" cm="1">
        <f>IF(ISBLANK($A110),"",INDEX(Array_EmissionCharges,MATCH($A110,List_EmissionMeters,0),ROUNDUP((COLUMN()+0)/3-1,0)))</f>
        <v/>
      </c>
      <c r="R110" s="127"/>
      <c r="S110" s="137"/>
    </row>
    <row r="111" spans="1:19" x14ac:dyDescent="0.3">
      <c r="A111" s="126"/>
      <c r="B111" s="133"/>
      <c r="C111" s="127"/>
      <c r="D111" s="137"/>
      <c r="E111" s="58" t="str" cm="1">
        <f>IF(ISBLANK($A111),"",INDEX(Array_EmissionCharges,MATCH($A111,List_EmissionMeters,0),ROUNDUP((COLUMN()+0)/3-1,0)))</f>
        <v/>
      </c>
      <c r="F111" s="127"/>
      <c r="G111" s="137"/>
      <c r="H111" s="58" t="str" cm="1">
        <f>IF(ISBLANK($A111),"",INDEX(Array_EmissionCharges,MATCH($A111,List_EmissionMeters,0),ROUNDUP((COLUMN()+0)/3-1,0)))</f>
        <v/>
      </c>
      <c r="I111" s="127"/>
      <c r="J111" s="137"/>
      <c r="K111" s="58" t="str" cm="1">
        <f>IF(ISBLANK($A111),"",INDEX(Array_EmissionCharges,MATCH($A111,List_EmissionMeters,0),ROUNDUP((COLUMN()+0)/3-1,0)))</f>
        <v/>
      </c>
      <c r="L111" s="127"/>
      <c r="M111" s="137"/>
      <c r="N111" s="58" t="str" cm="1">
        <f>IF(ISBLANK($A111),"",INDEX(Array_EmissionCharges,MATCH($A111,List_EmissionMeters,0),ROUNDUP((COLUMN()+0)/3-1,0)))</f>
        <v/>
      </c>
      <c r="O111" s="127"/>
      <c r="P111" s="137"/>
      <c r="Q111" s="58" t="str" cm="1">
        <f>IF(ISBLANK($A111),"",INDEX(Array_EmissionCharges,MATCH($A111,List_EmissionMeters,0),ROUNDUP((COLUMN()+0)/3-1,0)))</f>
        <v/>
      </c>
      <c r="R111" s="127"/>
      <c r="S111" s="137"/>
    </row>
    <row r="112" spans="1:19" x14ac:dyDescent="0.3">
      <c r="A112" s="126"/>
      <c r="B112" s="133"/>
      <c r="C112" s="127"/>
      <c r="D112" s="137"/>
      <c r="E112" s="58" t="str" cm="1">
        <f>IF(ISBLANK($A112),"",INDEX(Array_EmissionCharges,MATCH($A112,List_EmissionMeters,0),ROUNDUP((COLUMN()+0)/3-1,0)))</f>
        <v/>
      </c>
      <c r="F112" s="127"/>
      <c r="G112" s="137"/>
      <c r="H112" s="58" t="str" cm="1">
        <f>IF(ISBLANK($A112),"",INDEX(Array_EmissionCharges,MATCH($A112,List_EmissionMeters,0),ROUNDUP((COLUMN()+0)/3-1,0)))</f>
        <v/>
      </c>
      <c r="I112" s="127"/>
      <c r="J112" s="137"/>
      <c r="K112" s="58" t="str" cm="1">
        <f>IF(ISBLANK($A112),"",INDEX(Array_EmissionCharges,MATCH($A112,List_EmissionMeters,0),ROUNDUP((COLUMN()+0)/3-1,0)))</f>
        <v/>
      </c>
      <c r="L112" s="127"/>
      <c r="M112" s="137"/>
      <c r="N112" s="58" t="str" cm="1">
        <f>IF(ISBLANK($A112),"",INDEX(Array_EmissionCharges,MATCH($A112,List_EmissionMeters,0),ROUNDUP((COLUMN()+0)/3-1,0)))</f>
        <v/>
      </c>
      <c r="O112" s="127"/>
      <c r="P112" s="137"/>
      <c r="Q112" s="58" t="str" cm="1">
        <f>IF(ISBLANK($A112),"",INDEX(Array_EmissionCharges,MATCH($A112,List_EmissionMeters,0),ROUNDUP((COLUMN()+0)/3-1,0)))</f>
        <v/>
      </c>
      <c r="R112" s="127"/>
      <c r="S112" s="137"/>
    </row>
    <row r="113" spans="1:19" x14ac:dyDescent="0.3">
      <c r="A113" s="126"/>
      <c r="B113" s="133"/>
      <c r="C113" s="127"/>
      <c r="D113" s="137"/>
      <c r="E113" s="58" t="str" cm="1">
        <f>IF(ISBLANK($A113),"",INDEX(Array_EmissionCharges,MATCH($A113,List_EmissionMeters,0),ROUNDUP((COLUMN()+0)/3-1,0)))</f>
        <v/>
      </c>
      <c r="F113" s="127"/>
      <c r="G113" s="137"/>
      <c r="H113" s="58" t="str" cm="1">
        <f>IF(ISBLANK($A113),"",INDEX(Array_EmissionCharges,MATCH($A113,List_EmissionMeters,0),ROUNDUP((COLUMN()+0)/3-1,0)))</f>
        <v/>
      </c>
      <c r="I113" s="127"/>
      <c r="J113" s="137"/>
      <c r="K113" s="58" t="str" cm="1">
        <f>IF(ISBLANK($A113),"",INDEX(Array_EmissionCharges,MATCH($A113,List_EmissionMeters,0),ROUNDUP((COLUMN()+0)/3-1,0)))</f>
        <v/>
      </c>
      <c r="L113" s="127"/>
      <c r="M113" s="137"/>
      <c r="N113" s="58" t="str" cm="1">
        <f>IF(ISBLANK($A113),"",INDEX(Array_EmissionCharges,MATCH($A113,List_EmissionMeters,0),ROUNDUP((COLUMN()+0)/3-1,0)))</f>
        <v/>
      </c>
      <c r="O113" s="127"/>
      <c r="P113" s="137"/>
      <c r="Q113" s="58" t="str" cm="1">
        <f>IF(ISBLANK($A113),"",INDEX(Array_EmissionCharges,MATCH($A113,List_EmissionMeters,0),ROUNDUP((COLUMN()+0)/3-1,0)))</f>
        <v/>
      </c>
      <c r="R113" s="127"/>
      <c r="S113" s="137"/>
    </row>
    <row r="114" spans="1:19" x14ac:dyDescent="0.3">
      <c r="A114" s="126"/>
      <c r="B114" s="133"/>
      <c r="C114" s="127"/>
      <c r="D114" s="137"/>
      <c r="E114" s="58" t="str" cm="1">
        <f>IF(ISBLANK($A114),"",INDEX(Array_EmissionCharges,MATCH($A114,List_EmissionMeters,0),ROUNDUP((COLUMN()+0)/3-1,0)))</f>
        <v/>
      </c>
      <c r="F114" s="127"/>
      <c r="G114" s="137"/>
      <c r="H114" s="58" t="str" cm="1">
        <f>IF(ISBLANK($A114),"",INDEX(Array_EmissionCharges,MATCH($A114,List_EmissionMeters,0),ROUNDUP((COLUMN()+0)/3-1,0)))</f>
        <v/>
      </c>
      <c r="I114" s="127"/>
      <c r="J114" s="137"/>
      <c r="K114" s="58" t="str" cm="1">
        <f>IF(ISBLANK($A114),"",INDEX(Array_EmissionCharges,MATCH($A114,List_EmissionMeters,0),ROUNDUP((COLUMN()+0)/3-1,0)))</f>
        <v/>
      </c>
      <c r="L114" s="127"/>
      <c r="M114" s="137"/>
      <c r="N114" s="58" t="str" cm="1">
        <f>IF(ISBLANK($A114),"",INDEX(Array_EmissionCharges,MATCH($A114,List_EmissionMeters,0),ROUNDUP((COLUMN()+0)/3-1,0)))</f>
        <v/>
      </c>
      <c r="O114" s="127"/>
      <c r="P114" s="137"/>
      <c r="Q114" s="58" t="str" cm="1">
        <f>IF(ISBLANK($A114),"",INDEX(Array_EmissionCharges,MATCH($A114,List_EmissionMeters,0),ROUNDUP((COLUMN()+0)/3-1,0)))</f>
        <v/>
      </c>
      <c r="R114" s="127"/>
      <c r="S114" s="137"/>
    </row>
    <row r="115" spans="1:19" x14ac:dyDescent="0.3">
      <c r="A115" s="126"/>
      <c r="B115" s="133"/>
      <c r="C115" s="127"/>
      <c r="D115" s="137"/>
      <c r="E115" s="58" t="str" cm="1">
        <f>IF(ISBLANK($A115),"",INDEX(Array_EmissionCharges,MATCH($A115,List_EmissionMeters,0),ROUNDUP((COLUMN()+0)/3-1,0)))</f>
        <v/>
      </c>
      <c r="F115" s="127"/>
      <c r="G115" s="137"/>
      <c r="H115" s="58" t="str" cm="1">
        <f>IF(ISBLANK($A115),"",INDEX(Array_EmissionCharges,MATCH($A115,List_EmissionMeters,0),ROUNDUP((COLUMN()+0)/3-1,0)))</f>
        <v/>
      </c>
      <c r="I115" s="127"/>
      <c r="J115" s="137"/>
      <c r="K115" s="58" t="str" cm="1">
        <f>IF(ISBLANK($A115),"",INDEX(Array_EmissionCharges,MATCH($A115,List_EmissionMeters,0),ROUNDUP((COLUMN()+0)/3-1,0)))</f>
        <v/>
      </c>
      <c r="L115" s="127"/>
      <c r="M115" s="137"/>
      <c r="N115" s="58" t="str" cm="1">
        <f>IF(ISBLANK($A115),"",INDEX(Array_EmissionCharges,MATCH($A115,List_EmissionMeters,0),ROUNDUP((COLUMN()+0)/3-1,0)))</f>
        <v/>
      </c>
      <c r="O115" s="127"/>
      <c r="P115" s="137"/>
      <c r="Q115" s="58" t="str" cm="1">
        <f>IF(ISBLANK($A115),"",INDEX(Array_EmissionCharges,MATCH($A115,List_EmissionMeters,0),ROUNDUP((COLUMN()+0)/3-1,0)))</f>
        <v/>
      </c>
      <c r="R115" s="127"/>
      <c r="S115" s="137"/>
    </row>
    <row r="116" spans="1:19" x14ac:dyDescent="0.3">
      <c r="A116" s="126"/>
      <c r="B116" s="133"/>
      <c r="C116" s="127"/>
      <c r="D116" s="137"/>
      <c r="E116" s="58" t="str" cm="1">
        <f>IF(ISBLANK($A116),"",INDEX(Array_EmissionCharges,MATCH($A116,List_EmissionMeters,0),ROUNDUP((COLUMN()+0)/3-1,0)))</f>
        <v/>
      </c>
      <c r="F116" s="127"/>
      <c r="G116" s="137"/>
      <c r="H116" s="58" t="str" cm="1">
        <f>IF(ISBLANK($A116),"",INDEX(Array_EmissionCharges,MATCH($A116,List_EmissionMeters,0),ROUNDUP((COLUMN()+0)/3-1,0)))</f>
        <v/>
      </c>
      <c r="I116" s="127"/>
      <c r="J116" s="137"/>
      <c r="K116" s="58" t="str" cm="1">
        <f>IF(ISBLANK($A116),"",INDEX(Array_EmissionCharges,MATCH($A116,List_EmissionMeters,0),ROUNDUP((COLUMN()+0)/3-1,0)))</f>
        <v/>
      </c>
      <c r="L116" s="127"/>
      <c r="M116" s="137"/>
      <c r="N116" s="58" t="str" cm="1">
        <f>IF(ISBLANK($A116),"",INDEX(Array_EmissionCharges,MATCH($A116,List_EmissionMeters,0),ROUNDUP((COLUMN()+0)/3-1,0)))</f>
        <v/>
      </c>
      <c r="O116" s="127"/>
      <c r="P116" s="137"/>
      <c r="Q116" s="58" t="str" cm="1">
        <f>IF(ISBLANK($A116),"",INDEX(Array_EmissionCharges,MATCH($A116,List_EmissionMeters,0),ROUNDUP((COLUMN()+0)/3-1,0)))</f>
        <v/>
      </c>
      <c r="R116" s="127"/>
      <c r="S116" s="137"/>
    </row>
    <row r="117" spans="1:19" x14ac:dyDescent="0.3">
      <c r="A117" s="126"/>
      <c r="B117" s="133"/>
      <c r="C117" s="127"/>
      <c r="D117" s="137"/>
      <c r="E117" s="58" t="str" cm="1">
        <f>IF(ISBLANK($A117),"",INDEX(Array_EmissionCharges,MATCH($A117,List_EmissionMeters,0),ROUNDUP((COLUMN()+0)/3-1,0)))</f>
        <v/>
      </c>
      <c r="F117" s="127"/>
      <c r="G117" s="137"/>
      <c r="H117" s="58" t="str" cm="1">
        <f>IF(ISBLANK($A117),"",INDEX(Array_EmissionCharges,MATCH($A117,List_EmissionMeters,0),ROUNDUP((COLUMN()+0)/3-1,0)))</f>
        <v/>
      </c>
      <c r="I117" s="127"/>
      <c r="J117" s="137"/>
      <c r="K117" s="58" t="str" cm="1">
        <f>IF(ISBLANK($A117),"",INDEX(Array_EmissionCharges,MATCH($A117,List_EmissionMeters,0),ROUNDUP((COLUMN()+0)/3-1,0)))</f>
        <v/>
      </c>
      <c r="L117" s="127"/>
      <c r="M117" s="137"/>
      <c r="N117" s="58" t="str" cm="1">
        <f>IF(ISBLANK($A117),"",INDEX(Array_EmissionCharges,MATCH($A117,List_EmissionMeters,0),ROUNDUP((COLUMN()+0)/3-1,0)))</f>
        <v/>
      </c>
      <c r="O117" s="127"/>
      <c r="P117" s="137"/>
      <c r="Q117" s="58" t="str" cm="1">
        <f>IF(ISBLANK($A117),"",INDEX(Array_EmissionCharges,MATCH($A117,List_EmissionMeters,0),ROUNDUP((COLUMN()+0)/3-1,0)))</f>
        <v/>
      </c>
      <c r="R117" s="127"/>
      <c r="S117" s="137"/>
    </row>
    <row r="118" spans="1:19" x14ac:dyDescent="0.3">
      <c r="A118" s="126"/>
      <c r="B118" s="133"/>
      <c r="C118" s="127"/>
      <c r="D118" s="137"/>
      <c r="E118" s="58" t="str" cm="1">
        <f>IF(ISBLANK($A118),"",INDEX(Array_EmissionCharges,MATCH($A118,List_EmissionMeters,0),ROUNDUP((COLUMN()+0)/3-1,0)))</f>
        <v/>
      </c>
      <c r="F118" s="127"/>
      <c r="G118" s="137"/>
      <c r="H118" s="58" t="str" cm="1">
        <f>IF(ISBLANK($A118),"",INDEX(Array_EmissionCharges,MATCH($A118,List_EmissionMeters,0),ROUNDUP((COLUMN()+0)/3-1,0)))</f>
        <v/>
      </c>
      <c r="I118" s="127"/>
      <c r="J118" s="137"/>
      <c r="K118" s="58" t="str" cm="1">
        <f>IF(ISBLANK($A118),"",INDEX(Array_EmissionCharges,MATCH($A118,List_EmissionMeters,0),ROUNDUP((COLUMN()+0)/3-1,0)))</f>
        <v/>
      </c>
      <c r="L118" s="127"/>
      <c r="M118" s="137"/>
      <c r="N118" s="58" t="str" cm="1">
        <f>IF(ISBLANK($A118),"",INDEX(Array_EmissionCharges,MATCH($A118,List_EmissionMeters,0),ROUNDUP((COLUMN()+0)/3-1,0)))</f>
        <v/>
      </c>
      <c r="O118" s="127"/>
      <c r="P118" s="137"/>
      <c r="Q118" s="58" t="str" cm="1">
        <f>IF(ISBLANK($A118),"",INDEX(Array_EmissionCharges,MATCH($A118,List_EmissionMeters,0),ROUNDUP((COLUMN()+0)/3-1,0)))</f>
        <v/>
      </c>
      <c r="R118" s="127"/>
      <c r="S118" s="137"/>
    </row>
    <row r="119" spans="1:19" x14ac:dyDescent="0.3">
      <c r="A119" s="126"/>
      <c r="B119" s="133"/>
      <c r="C119" s="127"/>
      <c r="D119" s="137"/>
      <c r="E119" s="58" t="str" cm="1">
        <f>IF(ISBLANK($A119),"",INDEX(Array_EmissionCharges,MATCH($A119,List_EmissionMeters,0),ROUNDUP((COLUMN()+0)/3-1,0)))</f>
        <v/>
      </c>
      <c r="F119" s="127"/>
      <c r="G119" s="137"/>
      <c r="H119" s="58" t="str" cm="1">
        <f>IF(ISBLANK($A119),"",INDEX(Array_EmissionCharges,MATCH($A119,List_EmissionMeters,0),ROUNDUP((COLUMN()+0)/3-1,0)))</f>
        <v/>
      </c>
      <c r="I119" s="127"/>
      <c r="J119" s="137"/>
      <c r="K119" s="58" t="str" cm="1">
        <f>IF(ISBLANK($A119),"",INDEX(Array_EmissionCharges,MATCH($A119,List_EmissionMeters,0),ROUNDUP((COLUMN()+0)/3-1,0)))</f>
        <v/>
      </c>
      <c r="L119" s="127"/>
      <c r="M119" s="137"/>
      <c r="N119" s="58" t="str" cm="1">
        <f>IF(ISBLANK($A119),"",INDEX(Array_EmissionCharges,MATCH($A119,List_EmissionMeters,0),ROUNDUP((COLUMN()+0)/3-1,0)))</f>
        <v/>
      </c>
      <c r="O119" s="127"/>
      <c r="P119" s="137"/>
      <c r="Q119" s="58" t="str" cm="1">
        <f>IF(ISBLANK($A119),"",INDEX(Array_EmissionCharges,MATCH($A119,List_EmissionMeters,0),ROUNDUP((COLUMN()+0)/3-1,0)))</f>
        <v/>
      </c>
      <c r="R119" s="127"/>
      <c r="S119" s="137"/>
    </row>
    <row r="120" spans="1:19" x14ac:dyDescent="0.3">
      <c r="A120" s="126"/>
      <c r="B120" s="133"/>
      <c r="C120" s="127"/>
      <c r="D120" s="137"/>
      <c r="E120" s="58" t="str" cm="1">
        <f>IF(ISBLANK($A120),"",INDEX(Array_EmissionCharges,MATCH($A120,List_EmissionMeters,0),ROUNDUP((COLUMN()+0)/3-1,0)))</f>
        <v/>
      </c>
      <c r="F120" s="127"/>
      <c r="G120" s="137"/>
      <c r="H120" s="58" t="str" cm="1">
        <f>IF(ISBLANK($A120),"",INDEX(Array_EmissionCharges,MATCH($A120,List_EmissionMeters,0),ROUNDUP((COLUMN()+0)/3-1,0)))</f>
        <v/>
      </c>
      <c r="I120" s="127"/>
      <c r="J120" s="137"/>
      <c r="K120" s="58" t="str" cm="1">
        <f>IF(ISBLANK($A120),"",INDEX(Array_EmissionCharges,MATCH($A120,List_EmissionMeters,0),ROUNDUP((COLUMN()+0)/3-1,0)))</f>
        <v/>
      </c>
      <c r="L120" s="127"/>
      <c r="M120" s="137"/>
      <c r="N120" s="58" t="str" cm="1">
        <f>IF(ISBLANK($A120),"",INDEX(Array_EmissionCharges,MATCH($A120,List_EmissionMeters,0),ROUNDUP((COLUMN()+0)/3-1,0)))</f>
        <v/>
      </c>
      <c r="O120" s="127"/>
      <c r="P120" s="137"/>
      <c r="Q120" s="58" t="str" cm="1">
        <f>IF(ISBLANK($A120),"",INDEX(Array_EmissionCharges,MATCH($A120,List_EmissionMeters,0),ROUNDUP((COLUMN()+0)/3-1,0)))</f>
        <v/>
      </c>
      <c r="R120" s="127"/>
      <c r="S120" s="137"/>
    </row>
    <row r="121" spans="1:19" x14ac:dyDescent="0.3">
      <c r="A121" s="126"/>
      <c r="B121" s="133"/>
      <c r="C121" s="127"/>
      <c r="D121" s="137"/>
      <c r="E121" s="58" t="str" cm="1">
        <f>IF(ISBLANK($A121),"",INDEX(Array_EmissionCharges,MATCH($A121,List_EmissionMeters,0),ROUNDUP((COLUMN()+0)/3-1,0)))</f>
        <v/>
      </c>
      <c r="F121" s="127"/>
      <c r="G121" s="137"/>
      <c r="H121" s="58" t="str" cm="1">
        <f>IF(ISBLANK($A121),"",INDEX(Array_EmissionCharges,MATCH($A121,List_EmissionMeters,0),ROUNDUP((COLUMN()+0)/3-1,0)))</f>
        <v/>
      </c>
      <c r="I121" s="127"/>
      <c r="J121" s="137"/>
      <c r="K121" s="58" t="str" cm="1">
        <f>IF(ISBLANK($A121),"",INDEX(Array_EmissionCharges,MATCH($A121,List_EmissionMeters,0),ROUNDUP((COLUMN()+0)/3-1,0)))</f>
        <v/>
      </c>
      <c r="L121" s="127"/>
      <c r="M121" s="137"/>
      <c r="N121" s="58" t="str" cm="1">
        <f>IF(ISBLANK($A121),"",INDEX(Array_EmissionCharges,MATCH($A121,List_EmissionMeters,0),ROUNDUP((COLUMN()+0)/3-1,0)))</f>
        <v/>
      </c>
      <c r="O121" s="127"/>
      <c r="P121" s="137"/>
      <c r="Q121" s="58" t="str" cm="1">
        <f>IF(ISBLANK($A121),"",INDEX(Array_EmissionCharges,MATCH($A121,List_EmissionMeters,0),ROUNDUP((COLUMN()+0)/3-1,0)))</f>
        <v/>
      </c>
      <c r="R121" s="127"/>
      <c r="S121" s="137"/>
    </row>
    <row r="122" spans="1:19" x14ac:dyDescent="0.3">
      <c r="A122" s="126"/>
      <c r="B122" s="133"/>
      <c r="C122" s="127"/>
      <c r="D122" s="137"/>
      <c r="E122" s="58" t="str" cm="1">
        <f>IF(ISBLANK($A122),"",INDEX(Array_EmissionCharges,MATCH($A122,List_EmissionMeters,0),ROUNDUP((COLUMN()+0)/3-1,0)))</f>
        <v/>
      </c>
      <c r="F122" s="127"/>
      <c r="G122" s="137"/>
      <c r="H122" s="58" t="str" cm="1">
        <f>IF(ISBLANK($A122),"",INDEX(Array_EmissionCharges,MATCH($A122,List_EmissionMeters,0),ROUNDUP((COLUMN()+0)/3-1,0)))</f>
        <v/>
      </c>
      <c r="I122" s="127"/>
      <c r="J122" s="137"/>
      <c r="K122" s="58" t="str" cm="1">
        <f>IF(ISBLANK($A122),"",INDEX(Array_EmissionCharges,MATCH($A122,List_EmissionMeters,0),ROUNDUP((COLUMN()+0)/3-1,0)))</f>
        <v/>
      </c>
      <c r="L122" s="127"/>
      <c r="M122" s="137"/>
      <c r="N122" s="58" t="str" cm="1">
        <f>IF(ISBLANK($A122),"",INDEX(Array_EmissionCharges,MATCH($A122,List_EmissionMeters,0),ROUNDUP((COLUMN()+0)/3-1,0)))</f>
        <v/>
      </c>
      <c r="O122" s="127"/>
      <c r="P122" s="137"/>
      <c r="Q122" s="58" t="str" cm="1">
        <f>IF(ISBLANK($A122),"",INDEX(Array_EmissionCharges,MATCH($A122,List_EmissionMeters,0),ROUNDUP((COLUMN()+0)/3-1,0)))</f>
        <v/>
      </c>
      <c r="R122" s="127"/>
      <c r="S122" s="137"/>
    </row>
    <row r="123" spans="1:19" x14ac:dyDescent="0.3">
      <c r="A123" s="126"/>
      <c r="B123" s="133"/>
      <c r="C123" s="127"/>
      <c r="D123" s="137"/>
      <c r="E123" s="58" t="str" cm="1">
        <f>IF(ISBLANK($A123),"",INDEX(Array_EmissionCharges,MATCH($A123,List_EmissionMeters,0),ROUNDUP((COLUMN()+0)/3-1,0)))</f>
        <v/>
      </c>
      <c r="F123" s="127"/>
      <c r="G123" s="137"/>
      <c r="H123" s="58" t="str" cm="1">
        <f>IF(ISBLANK($A123),"",INDEX(Array_EmissionCharges,MATCH($A123,List_EmissionMeters,0),ROUNDUP((COLUMN()+0)/3-1,0)))</f>
        <v/>
      </c>
      <c r="I123" s="127"/>
      <c r="J123" s="137"/>
      <c r="K123" s="58" t="str" cm="1">
        <f>IF(ISBLANK($A123),"",INDEX(Array_EmissionCharges,MATCH($A123,List_EmissionMeters,0),ROUNDUP((COLUMN()+0)/3-1,0)))</f>
        <v/>
      </c>
      <c r="L123" s="127"/>
      <c r="M123" s="137"/>
      <c r="N123" s="58" t="str" cm="1">
        <f>IF(ISBLANK($A123),"",INDEX(Array_EmissionCharges,MATCH($A123,List_EmissionMeters,0),ROUNDUP((COLUMN()+0)/3-1,0)))</f>
        <v/>
      </c>
      <c r="O123" s="127"/>
      <c r="P123" s="137"/>
      <c r="Q123" s="58" t="str" cm="1">
        <f>IF(ISBLANK($A123),"",INDEX(Array_EmissionCharges,MATCH($A123,List_EmissionMeters,0),ROUNDUP((COLUMN()+0)/3-1,0)))</f>
        <v/>
      </c>
      <c r="R123" s="127"/>
      <c r="S123" s="137"/>
    </row>
    <row r="124" spans="1:19" x14ac:dyDescent="0.3">
      <c r="A124" s="126"/>
      <c r="B124" s="133"/>
      <c r="C124" s="127"/>
      <c r="D124" s="137"/>
      <c r="E124" s="58" t="str" cm="1">
        <f>IF(ISBLANK($A124),"",INDEX(Array_EmissionCharges,MATCH($A124,List_EmissionMeters,0),ROUNDUP((COLUMN()+0)/3-1,0)))</f>
        <v/>
      </c>
      <c r="F124" s="127"/>
      <c r="G124" s="137"/>
      <c r="H124" s="58" t="str" cm="1">
        <f>IF(ISBLANK($A124),"",INDEX(Array_EmissionCharges,MATCH($A124,List_EmissionMeters,0),ROUNDUP((COLUMN()+0)/3-1,0)))</f>
        <v/>
      </c>
      <c r="I124" s="127"/>
      <c r="J124" s="137"/>
      <c r="K124" s="58" t="str" cm="1">
        <f>IF(ISBLANK($A124),"",INDEX(Array_EmissionCharges,MATCH($A124,List_EmissionMeters,0),ROUNDUP((COLUMN()+0)/3-1,0)))</f>
        <v/>
      </c>
      <c r="L124" s="127"/>
      <c r="M124" s="137"/>
      <c r="N124" s="58" t="str" cm="1">
        <f>IF(ISBLANK($A124),"",INDEX(Array_EmissionCharges,MATCH($A124,List_EmissionMeters,0),ROUNDUP((COLUMN()+0)/3-1,0)))</f>
        <v/>
      </c>
      <c r="O124" s="127"/>
      <c r="P124" s="137"/>
      <c r="Q124" s="58" t="str" cm="1">
        <f>IF(ISBLANK($A124),"",INDEX(Array_EmissionCharges,MATCH($A124,List_EmissionMeters,0),ROUNDUP((COLUMN()+0)/3-1,0)))</f>
        <v/>
      </c>
      <c r="R124" s="127"/>
      <c r="S124" s="137"/>
    </row>
    <row r="125" spans="1:19" x14ac:dyDescent="0.3">
      <c r="A125" s="126"/>
      <c r="B125" s="133"/>
      <c r="C125" s="127"/>
      <c r="D125" s="137"/>
      <c r="E125" s="58" t="str" cm="1">
        <f>IF(ISBLANK($A125),"",INDEX(Array_EmissionCharges,MATCH($A125,List_EmissionMeters,0),ROUNDUP((COLUMN()+0)/3-1,0)))</f>
        <v/>
      </c>
      <c r="F125" s="127"/>
      <c r="G125" s="137"/>
      <c r="H125" s="58" t="str" cm="1">
        <f>IF(ISBLANK($A125),"",INDEX(Array_EmissionCharges,MATCH($A125,List_EmissionMeters,0),ROUNDUP((COLUMN()+0)/3-1,0)))</f>
        <v/>
      </c>
      <c r="I125" s="127"/>
      <c r="J125" s="137"/>
      <c r="K125" s="58" t="str" cm="1">
        <f>IF(ISBLANK($A125),"",INDEX(Array_EmissionCharges,MATCH($A125,List_EmissionMeters,0),ROUNDUP((COLUMN()+0)/3-1,0)))</f>
        <v/>
      </c>
      <c r="L125" s="127"/>
      <c r="M125" s="137"/>
      <c r="N125" s="58" t="str" cm="1">
        <f>IF(ISBLANK($A125),"",INDEX(Array_EmissionCharges,MATCH($A125,List_EmissionMeters,0),ROUNDUP((COLUMN()+0)/3-1,0)))</f>
        <v/>
      </c>
      <c r="O125" s="127"/>
      <c r="P125" s="137"/>
      <c r="Q125" s="58" t="str" cm="1">
        <f>IF(ISBLANK($A125),"",INDEX(Array_EmissionCharges,MATCH($A125,List_EmissionMeters,0),ROUNDUP((COLUMN()+0)/3-1,0)))</f>
        <v/>
      </c>
      <c r="R125" s="127"/>
      <c r="S125" s="137"/>
    </row>
    <row r="126" spans="1:19" x14ac:dyDescent="0.3">
      <c r="A126" s="126"/>
      <c r="B126" s="133"/>
      <c r="C126" s="127"/>
      <c r="D126" s="137"/>
      <c r="E126" s="58" t="str" cm="1">
        <f>IF(ISBLANK($A126),"",INDEX(Array_EmissionCharges,MATCH($A126,List_EmissionMeters,0),ROUNDUP((COLUMN()+0)/3-1,0)))</f>
        <v/>
      </c>
      <c r="F126" s="127"/>
      <c r="G126" s="137"/>
      <c r="H126" s="58" t="str" cm="1">
        <f>IF(ISBLANK($A126),"",INDEX(Array_EmissionCharges,MATCH($A126,List_EmissionMeters,0),ROUNDUP((COLUMN()+0)/3-1,0)))</f>
        <v/>
      </c>
      <c r="I126" s="127"/>
      <c r="J126" s="137"/>
      <c r="K126" s="58" t="str" cm="1">
        <f>IF(ISBLANK($A126),"",INDEX(Array_EmissionCharges,MATCH($A126,List_EmissionMeters,0),ROUNDUP((COLUMN()+0)/3-1,0)))</f>
        <v/>
      </c>
      <c r="L126" s="127"/>
      <c r="M126" s="137"/>
      <c r="N126" s="58" t="str" cm="1">
        <f>IF(ISBLANK($A126),"",INDEX(Array_EmissionCharges,MATCH($A126,List_EmissionMeters,0),ROUNDUP((COLUMN()+0)/3-1,0)))</f>
        <v/>
      </c>
      <c r="O126" s="127"/>
      <c r="P126" s="137"/>
      <c r="Q126" s="58" t="str" cm="1">
        <f>IF(ISBLANK($A126),"",INDEX(Array_EmissionCharges,MATCH($A126,List_EmissionMeters,0),ROUNDUP((COLUMN()+0)/3-1,0)))</f>
        <v/>
      </c>
      <c r="R126" s="127"/>
      <c r="S126" s="137"/>
    </row>
    <row r="127" spans="1:19" x14ac:dyDescent="0.3">
      <c r="A127" s="126"/>
      <c r="B127" s="133"/>
      <c r="C127" s="127"/>
      <c r="D127" s="137"/>
      <c r="E127" s="58" t="str" cm="1">
        <f>IF(ISBLANK($A127),"",INDEX(Array_EmissionCharges,MATCH($A127,List_EmissionMeters,0),ROUNDUP((COLUMN()+0)/3-1,0)))</f>
        <v/>
      </c>
      <c r="F127" s="127"/>
      <c r="G127" s="137"/>
      <c r="H127" s="58" t="str" cm="1">
        <f>IF(ISBLANK($A127),"",INDEX(Array_EmissionCharges,MATCH($A127,List_EmissionMeters,0),ROUNDUP((COLUMN()+0)/3-1,0)))</f>
        <v/>
      </c>
      <c r="I127" s="127"/>
      <c r="J127" s="137"/>
      <c r="K127" s="58" t="str" cm="1">
        <f>IF(ISBLANK($A127),"",INDEX(Array_EmissionCharges,MATCH($A127,List_EmissionMeters,0),ROUNDUP((COLUMN()+0)/3-1,0)))</f>
        <v/>
      </c>
      <c r="L127" s="127"/>
      <c r="M127" s="137"/>
      <c r="N127" s="58" t="str" cm="1">
        <f>IF(ISBLANK($A127),"",INDEX(Array_EmissionCharges,MATCH($A127,List_EmissionMeters,0),ROUNDUP((COLUMN()+0)/3-1,0)))</f>
        <v/>
      </c>
      <c r="O127" s="127"/>
      <c r="P127" s="137"/>
      <c r="Q127" s="58" t="str" cm="1">
        <f>IF(ISBLANK($A127),"",INDEX(Array_EmissionCharges,MATCH($A127,List_EmissionMeters,0),ROUNDUP((COLUMN()+0)/3-1,0)))</f>
        <v/>
      </c>
      <c r="R127" s="127"/>
      <c r="S127" s="137"/>
    </row>
    <row r="128" spans="1:19" x14ac:dyDescent="0.3">
      <c r="A128" s="126"/>
      <c r="B128" s="133"/>
      <c r="C128" s="127"/>
      <c r="D128" s="137"/>
      <c r="E128" s="58" t="str" cm="1">
        <f>IF(ISBLANK($A128),"",INDEX(Array_EmissionCharges,MATCH($A128,List_EmissionMeters,0),ROUNDUP((COLUMN()+0)/3-1,0)))</f>
        <v/>
      </c>
      <c r="F128" s="127"/>
      <c r="G128" s="137"/>
      <c r="H128" s="58" t="str" cm="1">
        <f>IF(ISBLANK($A128),"",INDEX(Array_EmissionCharges,MATCH($A128,List_EmissionMeters,0),ROUNDUP((COLUMN()+0)/3-1,0)))</f>
        <v/>
      </c>
      <c r="I128" s="127"/>
      <c r="J128" s="137"/>
      <c r="K128" s="58" t="str" cm="1">
        <f>IF(ISBLANK($A128),"",INDEX(Array_EmissionCharges,MATCH($A128,List_EmissionMeters,0),ROUNDUP((COLUMN()+0)/3-1,0)))</f>
        <v/>
      </c>
      <c r="L128" s="127"/>
      <c r="M128" s="137"/>
      <c r="N128" s="58" t="str" cm="1">
        <f>IF(ISBLANK($A128),"",INDEX(Array_EmissionCharges,MATCH($A128,List_EmissionMeters,0),ROUNDUP((COLUMN()+0)/3-1,0)))</f>
        <v/>
      </c>
      <c r="O128" s="127"/>
      <c r="P128" s="137"/>
      <c r="Q128" s="58" t="str" cm="1">
        <f>IF(ISBLANK($A128),"",INDEX(Array_EmissionCharges,MATCH($A128,List_EmissionMeters,0),ROUNDUP((COLUMN()+0)/3-1,0)))</f>
        <v/>
      </c>
      <c r="R128" s="127"/>
      <c r="S128" s="137"/>
    </row>
    <row r="129" spans="1:19" x14ac:dyDescent="0.3">
      <c r="A129" s="126"/>
      <c r="B129" s="133"/>
      <c r="C129" s="127"/>
      <c r="D129" s="137"/>
      <c r="E129" s="58" t="str" cm="1">
        <f>IF(ISBLANK($A129),"",INDEX(Array_EmissionCharges,MATCH($A129,List_EmissionMeters,0),ROUNDUP((COLUMN()+0)/3-1,0)))</f>
        <v/>
      </c>
      <c r="F129" s="127"/>
      <c r="G129" s="137"/>
      <c r="H129" s="58" t="str" cm="1">
        <f>IF(ISBLANK($A129),"",INDEX(Array_EmissionCharges,MATCH($A129,List_EmissionMeters,0),ROUNDUP((COLUMN()+0)/3-1,0)))</f>
        <v/>
      </c>
      <c r="I129" s="127"/>
      <c r="J129" s="137"/>
      <c r="K129" s="58" t="str" cm="1">
        <f>IF(ISBLANK($A129),"",INDEX(Array_EmissionCharges,MATCH($A129,List_EmissionMeters,0),ROUNDUP((COLUMN()+0)/3-1,0)))</f>
        <v/>
      </c>
      <c r="L129" s="127"/>
      <c r="M129" s="137"/>
      <c r="N129" s="58" t="str" cm="1">
        <f>IF(ISBLANK($A129),"",INDEX(Array_EmissionCharges,MATCH($A129,List_EmissionMeters,0),ROUNDUP((COLUMN()+0)/3-1,0)))</f>
        <v/>
      </c>
      <c r="O129" s="127"/>
      <c r="P129" s="137"/>
      <c r="Q129" s="58" t="str" cm="1">
        <f>IF(ISBLANK($A129),"",INDEX(Array_EmissionCharges,MATCH($A129,List_EmissionMeters,0),ROUNDUP((COLUMN()+0)/3-1,0)))</f>
        <v/>
      </c>
      <c r="R129" s="127"/>
      <c r="S129" s="137"/>
    </row>
    <row r="130" spans="1:19" x14ac:dyDescent="0.3">
      <c r="A130" s="126"/>
      <c r="B130" s="133"/>
      <c r="C130" s="127"/>
      <c r="D130" s="137"/>
      <c r="E130" s="58" t="str" cm="1">
        <f>IF(ISBLANK($A130),"",INDEX(Array_EmissionCharges,MATCH($A130,List_EmissionMeters,0),ROUNDUP((COLUMN()+0)/3-1,0)))</f>
        <v/>
      </c>
      <c r="F130" s="127"/>
      <c r="G130" s="137"/>
      <c r="H130" s="58" t="str" cm="1">
        <f>IF(ISBLANK($A130),"",INDEX(Array_EmissionCharges,MATCH($A130,List_EmissionMeters,0),ROUNDUP((COLUMN()+0)/3-1,0)))</f>
        <v/>
      </c>
      <c r="I130" s="127"/>
      <c r="J130" s="137"/>
      <c r="K130" s="58" t="str" cm="1">
        <f>IF(ISBLANK($A130),"",INDEX(Array_EmissionCharges,MATCH($A130,List_EmissionMeters,0),ROUNDUP((COLUMN()+0)/3-1,0)))</f>
        <v/>
      </c>
      <c r="L130" s="127"/>
      <c r="M130" s="137"/>
      <c r="N130" s="58" t="str" cm="1">
        <f>IF(ISBLANK($A130),"",INDEX(Array_EmissionCharges,MATCH($A130,List_EmissionMeters,0),ROUNDUP((COLUMN()+0)/3-1,0)))</f>
        <v/>
      </c>
      <c r="O130" s="127"/>
      <c r="P130" s="137"/>
      <c r="Q130" s="58" t="str" cm="1">
        <f>IF(ISBLANK($A130),"",INDEX(Array_EmissionCharges,MATCH($A130,List_EmissionMeters,0),ROUNDUP((COLUMN()+0)/3-1,0)))</f>
        <v/>
      </c>
      <c r="R130" s="127"/>
      <c r="S130" s="137"/>
    </row>
    <row r="131" spans="1:19" x14ac:dyDescent="0.3">
      <c r="A131" s="126"/>
      <c r="B131" s="133"/>
      <c r="C131" s="127"/>
      <c r="D131" s="137"/>
      <c r="E131" s="58" t="str" cm="1">
        <f>IF(ISBLANK($A131),"",INDEX(Array_EmissionCharges,MATCH($A131,List_EmissionMeters,0),ROUNDUP((COLUMN()+0)/3-1,0)))</f>
        <v/>
      </c>
      <c r="F131" s="127"/>
      <c r="G131" s="137"/>
      <c r="H131" s="58" t="str" cm="1">
        <f>IF(ISBLANK($A131),"",INDEX(Array_EmissionCharges,MATCH($A131,List_EmissionMeters,0),ROUNDUP((COLUMN()+0)/3-1,0)))</f>
        <v/>
      </c>
      <c r="I131" s="127"/>
      <c r="J131" s="137"/>
      <c r="K131" s="58" t="str" cm="1">
        <f>IF(ISBLANK($A131),"",INDEX(Array_EmissionCharges,MATCH($A131,List_EmissionMeters,0),ROUNDUP((COLUMN()+0)/3-1,0)))</f>
        <v/>
      </c>
      <c r="L131" s="127"/>
      <c r="M131" s="137"/>
      <c r="N131" s="58" t="str" cm="1">
        <f>IF(ISBLANK($A131),"",INDEX(Array_EmissionCharges,MATCH($A131,List_EmissionMeters,0),ROUNDUP((COLUMN()+0)/3-1,0)))</f>
        <v/>
      </c>
      <c r="O131" s="127"/>
      <c r="P131" s="137"/>
      <c r="Q131" s="58" t="str" cm="1">
        <f>IF(ISBLANK($A131),"",INDEX(Array_EmissionCharges,MATCH($A131,List_EmissionMeters,0),ROUNDUP((COLUMN()+0)/3-1,0)))</f>
        <v/>
      </c>
      <c r="R131" s="127"/>
      <c r="S131" s="137"/>
    </row>
    <row r="132" spans="1:19" x14ac:dyDescent="0.3">
      <c r="A132" s="126"/>
      <c r="B132" s="133"/>
      <c r="C132" s="127"/>
      <c r="D132" s="137"/>
      <c r="E132" s="58" t="str" cm="1">
        <f>IF(ISBLANK($A132),"",INDEX(Array_EmissionCharges,MATCH($A132,List_EmissionMeters,0),ROUNDUP((COLUMN()+0)/3-1,0)))</f>
        <v/>
      </c>
      <c r="F132" s="127"/>
      <c r="G132" s="137"/>
      <c r="H132" s="58" t="str" cm="1">
        <f>IF(ISBLANK($A132),"",INDEX(Array_EmissionCharges,MATCH($A132,List_EmissionMeters,0),ROUNDUP((COLUMN()+0)/3-1,0)))</f>
        <v/>
      </c>
      <c r="I132" s="127"/>
      <c r="J132" s="137"/>
      <c r="K132" s="58" t="str" cm="1">
        <f>IF(ISBLANK($A132),"",INDEX(Array_EmissionCharges,MATCH($A132,List_EmissionMeters,0),ROUNDUP((COLUMN()+0)/3-1,0)))</f>
        <v/>
      </c>
      <c r="L132" s="127"/>
      <c r="M132" s="137"/>
      <c r="N132" s="58" t="str" cm="1">
        <f>IF(ISBLANK($A132),"",INDEX(Array_EmissionCharges,MATCH($A132,List_EmissionMeters,0),ROUNDUP((COLUMN()+0)/3-1,0)))</f>
        <v/>
      </c>
      <c r="O132" s="127"/>
      <c r="P132" s="137"/>
      <c r="Q132" s="58" t="str" cm="1">
        <f>IF(ISBLANK($A132),"",INDEX(Array_EmissionCharges,MATCH($A132,List_EmissionMeters,0),ROUNDUP((COLUMN()+0)/3-1,0)))</f>
        <v/>
      </c>
      <c r="R132" s="127"/>
      <c r="S132" s="137"/>
    </row>
    <row r="133" spans="1:19" x14ac:dyDescent="0.3">
      <c r="A133" s="126"/>
      <c r="B133" s="133"/>
      <c r="C133" s="127"/>
      <c r="D133" s="137"/>
      <c r="E133" s="58" t="str" cm="1">
        <f>IF(ISBLANK($A133),"",INDEX(Array_EmissionCharges,MATCH($A133,List_EmissionMeters,0),ROUNDUP((COLUMN()+0)/3-1,0)))</f>
        <v/>
      </c>
      <c r="F133" s="127"/>
      <c r="G133" s="137"/>
      <c r="H133" s="58" t="str" cm="1">
        <f>IF(ISBLANK($A133),"",INDEX(Array_EmissionCharges,MATCH($A133,List_EmissionMeters,0),ROUNDUP((COLUMN()+0)/3-1,0)))</f>
        <v/>
      </c>
      <c r="I133" s="127"/>
      <c r="J133" s="137"/>
      <c r="K133" s="58" t="str" cm="1">
        <f>IF(ISBLANK($A133),"",INDEX(Array_EmissionCharges,MATCH($A133,List_EmissionMeters,0),ROUNDUP((COLUMN()+0)/3-1,0)))</f>
        <v/>
      </c>
      <c r="L133" s="127"/>
      <c r="M133" s="137"/>
      <c r="N133" s="58" t="str" cm="1">
        <f>IF(ISBLANK($A133),"",INDEX(Array_EmissionCharges,MATCH($A133,List_EmissionMeters,0),ROUNDUP((COLUMN()+0)/3-1,0)))</f>
        <v/>
      </c>
      <c r="O133" s="127"/>
      <c r="P133" s="137"/>
      <c r="Q133" s="58" t="str" cm="1">
        <f>IF(ISBLANK($A133),"",INDEX(Array_EmissionCharges,MATCH($A133,List_EmissionMeters,0),ROUNDUP((COLUMN()+0)/3-1,0)))</f>
        <v/>
      </c>
      <c r="R133" s="127"/>
      <c r="S133" s="137"/>
    </row>
    <row r="134" spans="1:19" x14ac:dyDescent="0.3">
      <c r="A134" s="126"/>
      <c r="B134" s="133"/>
      <c r="C134" s="127"/>
      <c r="D134" s="137"/>
      <c r="E134" s="58" t="str" cm="1">
        <f>IF(ISBLANK($A134),"",INDEX(Array_EmissionCharges,MATCH($A134,List_EmissionMeters,0),ROUNDUP((COLUMN()+0)/3-1,0)))</f>
        <v/>
      </c>
      <c r="F134" s="127"/>
      <c r="G134" s="137"/>
      <c r="H134" s="58" t="str" cm="1">
        <f>IF(ISBLANK($A134),"",INDEX(Array_EmissionCharges,MATCH($A134,List_EmissionMeters,0),ROUNDUP((COLUMN()+0)/3-1,0)))</f>
        <v/>
      </c>
      <c r="I134" s="127"/>
      <c r="J134" s="137"/>
      <c r="K134" s="58" t="str" cm="1">
        <f>IF(ISBLANK($A134),"",INDEX(Array_EmissionCharges,MATCH($A134,List_EmissionMeters,0),ROUNDUP((COLUMN()+0)/3-1,0)))</f>
        <v/>
      </c>
      <c r="L134" s="127"/>
      <c r="M134" s="137"/>
      <c r="N134" s="58" t="str" cm="1">
        <f>IF(ISBLANK($A134),"",INDEX(Array_EmissionCharges,MATCH($A134,List_EmissionMeters,0),ROUNDUP((COLUMN()+0)/3-1,0)))</f>
        <v/>
      </c>
      <c r="O134" s="127"/>
      <c r="P134" s="137"/>
      <c r="Q134" s="58" t="str" cm="1">
        <f>IF(ISBLANK($A134),"",INDEX(Array_EmissionCharges,MATCH($A134,List_EmissionMeters,0),ROUNDUP((COLUMN()+0)/3-1,0)))</f>
        <v/>
      </c>
      <c r="R134" s="127"/>
      <c r="S134" s="137"/>
    </row>
    <row r="135" spans="1:19" x14ac:dyDescent="0.3">
      <c r="A135" s="126"/>
      <c r="B135" s="133"/>
      <c r="C135" s="127"/>
      <c r="D135" s="137"/>
      <c r="E135" s="58" t="str" cm="1">
        <f>IF(ISBLANK($A135),"",INDEX(Array_EmissionCharges,MATCH($A135,List_EmissionMeters,0),ROUNDUP((COLUMN()+0)/3-1,0)))</f>
        <v/>
      </c>
      <c r="F135" s="127"/>
      <c r="G135" s="137"/>
      <c r="H135" s="58" t="str" cm="1">
        <f>IF(ISBLANK($A135),"",INDEX(Array_EmissionCharges,MATCH($A135,List_EmissionMeters,0),ROUNDUP((COLUMN()+0)/3-1,0)))</f>
        <v/>
      </c>
      <c r="I135" s="127"/>
      <c r="J135" s="137"/>
      <c r="K135" s="58" t="str" cm="1">
        <f>IF(ISBLANK($A135),"",INDEX(Array_EmissionCharges,MATCH($A135,List_EmissionMeters,0),ROUNDUP((COLUMN()+0)/3-1,0)))</f>
        <v/>
      </c>
      <c r="L135" s="127"/>
      <c r="M135" s="137"/>
      <c r="N135" s="58" t="str" cm="1">
        <f>IF(ISBLANK($A135),"",INDEX(Array_EmissionCharges,MATCH($A135,List_EmissionMeters,0),ROUNDUP((COLUMN()+0)/3-1,0)))</f>
        <v/>
      </c>
      <c r="O135" s="127"/>
      <c r="P135" s="137"/>
      <c r="Q135" s="58" t="str" cm="1">
        <f>IF(ISBLANK($A135),"",INDEX(Array_EmissionCharges,MATCH($A135,List_EmissionMeters,0),ROUNDUP((COLUMN()+0)/3-1,0)))</f>
        <v/>
      </c>
      <c r="R135" s="127"/>
      <c r="S135" s="137"/>
    </row>
    <row r="136" spans="1:19" x14ac:dyDescent="0.3">
      <c r="A136" s="126"/>
      <c r="B136" s="133"/>
      <c r="C136" s="127"/>
      <c r="D136" s="137"/>
      <c r="E136" s="58" t="str" cm="1">
        <f>IF(ISBLANK($A136),"",INDEX(Array_EmissionCharges,MATCH($A136,List_EmissionMeters,0),ROUNDUP((COLUMN()+0)/3-1,0)))</f>
        <v/>
      </c>
      <c r="F136" s="127"/>
      <c r="G136" s="137"/>
      <c r="H136" s="58" t="str" cm="1">
        <f>IF(ISBLANK($A136),"",INDEX(Array_EmissionCharges,MATCH($A136,List_EmissionMeters,0),ROUNDUP((COLUMN()+0)/3-1,0)))</f>
        <v/>
      </c>
      <c r="I136" s="127"/>
      <c r="J136" s="137"/>
      <c r="K136" s="58" t="str" cm="1">
        <f>IF(ISBLANK($A136),"",INDEX(Array_EmissionCharges,MATCH($A136,List_EmissionMeters,0),ROUNDUP((COLUMN()+0)/3-1,0)))</f>
        <v/>
      </c>
      <c r="L136" s="127"/>
      <c r="M136" s="137"/>
      <c r="N136" s="58" t="str" cm="1">
        <f>IF(ISBLANK($A136),"",INDEX(Array_EmissionCharges,MATCH($A136,List_EmissionMeters,0),ROUNDUP((COLUMN()+0)/3-1,0)))</f>
        <v/>
      </c>
      <c r="O136" s="127"/>
      <c r="P136" s="137"/>
      <c r="Q136" s="58" t="str" cm="1">
        <f>IF(ISBLANK($A136),"",INDEX(Array_EmissionCharges,MATCH($A136,List_EmissionMeters,0),ROUNDUP((COLUMN()+0)/3-1,0)))</f>
        <v/>
      </c>
      <c r="R136" s="127"/>
      <c r="S136" s="137"/>
    </row>
    <row r="137" spans="1:19" x14ac:dyDescent="0.3">
      <c r="A137" s="126"/>
      <c r="B137" s="133"/>
      <c r="C137" s="127"/>
      <c r="D137" s="137"/>
      <c r="E137" s="58" t="str" cm="1">
        <f>IF(ISBLANK($A137),"",INDEX(Array_EmissionCharges,MATCH($A137,List_EmissionMeters,0),ROUNDUP((COLUMN()+0)/3-1,0)))</f>
        <v/>
      </c>
      <c r="F137" s="127"/>
      <c r="G137" s="137"/>
      <c r="H137" s="58" t="str" cm="1">
        <f>IF(ISBLANK($A137),"",INDEX(Array_EmissionCharges,MATCH($A137,List_EmissionMeters,0),ROUNDUP((COLUMN()+0)/3-1,0)))</f>
        <v/>
      </c>
      <c r="I137" s="127"/>
      <c r="J137" s="137"/>
      <c r="K137" s="58" t="str" cm="1">
        <f>IF(ISBLANK($A137),"",INDEX(Array_EmissionCharges,MATCH($A137,List_EmissionMeters,0),ROUNDUP((COLUMN()+0)/3-1,0)))</f>
        <v/>
      </c>
      <c r="L137" s="127"/>
      <c r="M137" s="137"/>
      <c r="N137" s="58" t="str" cm="1">
        <f>IF(ISBLANK($A137),"",INDEX(Array_EmissionCharges,MATCH($A137,List_EmissionMeters,0),ROUNDUP((COLUMN()+0)/3-1,0)))</f>
        <v/>
      </c>
      <c r="O137" s="127"/>
      <c r="P137" s="137"/>
      <c r="Q137" s="58" t="str" cm="1">
        <f>IF(ISBLANK($A137),"",INDEX(Array_EmissionCharges,MATCH($A137,List_EmissionMeters,0),ROUNDUP((COLUMN()+0)/3-1,0)))</f>
        <v/>
      </c>
      <c r="R137" s="127"/>
      <c r="S137" s="137"/>
    </row>
    <row r="138" spans="1:19" x14ac:dyDescent="0.3">
      <c r="A138" s="126"/>
      <c r="B138" s="133"/>
      <c r="C138" s="127"/>
      <c r="D138" s="137"/>
      <c r="E138" s="58" t="str" cm="1">
        <f>IF(ISBLANK($A138),"",INDEX(Array_EmissionCharges,MATCH($A138,List_EmissionMeters,0),ROUNDUP((COLUMN()+0)/3-1,0)))</f>
        <v/>
      </c>
      <c r="F138" s="127"/>
      <c r="G138" s="137"/>
      <c r="H138" s="58" t="str" cm="1">
        <f>IF(ISBLANK($A138),"",INDEX(Array_EmissionCharges,MATCH($A138,List_EmissionMeters,0),ROUNDUP((COLUMN()+0)/3-1,0)))</f>
        <v/>
      </c>
      <c r="I138" s="127"/>
      <c r="J138" s="137"/>
      <c r="K138" s="58" t="str" cm="1">
        <f>IF(ISBLANK($A138),"",INDEX(Array_EmissionCharges,MATCH($A138,List_EmissionMeters,0),ROUNDUP((COLUMN()+0)/3-1,0)))</f>
        <v/>
      </c>
      <c r="L138" s="127"/>
      <c r="M138" s="137"/>
      <c r="N138" s="58" t="str" cm="1">
        <f>IF(ISBLANK($A138),"",INDEX(Array_EmissionCharges,MATCH($A138,List_EmissionMeters,0),ROUNDUP((COLUMN()+0)/3-1,0)))</f>
        <v/>
      </c>
      <c r="O138" s="127"/>
      <c r="P138" s="137"/>
      <c r="Q138" s="58" t="str" cm="1">
        <f>IF(ISBLANK($A138),"",INDEX(Array_EmissionCharges,MATCH($A138,List_EmissionMeters,0),ROUNDUP((COLUMN()+0)/3-1,0)))</f>
        <v/>
      </c>
      <c r="R138" s="127"/>
      <c r="S138" s="137"/>
    </row>
    <row r="139" spans="1:19" x14ac:dyDescent="0.3">
      <c r="A139" s="126"/>
      <c r="B139" s="133"/>
      <c r="C139" s="127"/>
      <c r="D139" s="137"/>
      <c r="E139" s="58" t="str" cm="1">
        <f>IF(ISBLANK($A139),"",INDEX(Array_EmissionCharges,MATCH($A139,List_EmissionMeters,0),ROUNDUP((COLUMN()+0)/3-1,0)))</f>
        <v/>
      </c>
      <c r="F139" s="127"/>
      <c r="G139" s="137"/>
      <c r="H139" s="58" t="str" cm="1">
        <f>IF(ISBLANK($A139),"",INDEX(Array_EmissionCharges,MATCH($A139,List_EmissionMeters,0),ROUNDUP((COLUMN()+0)/3-1,0)))</f>
        <v/>
      </c>
      <c r="I139" s="127"/>
      <c r="J139" s="137"/>
      <c r="K139" s="58" t="str" cm="1">
        <f>IF(ISBLANK($A139),"",INDEX(Array_EmissionCharges,MATCH($A139,List_EmissionMeters,0),ROUNDUP((COLUMN()+0)/3-1,0)))</f>
        <v/>
      </c>
      <c r="L139" s="127"/>
      <c r="M139" s="137"/>
      <c r="N139" s="58" t="str" cm="1">
        <f>IF(ISBLANK($A139),"",INDEX(Array_EmissionCharges,MATCH($A139,List_EmissionMeters,0),ROUNDUP((COLUMN()+0)/3-1,0)))</f>
        <v/>
      </c>
      <c r="O139" s="127"/>
      <c r="P139" s="137"/>
      <c r="Q139" s="58" t="str" cm="1">
        <f>IF(ISBLANK($A139),"",INDEX(Array_EmissionCharges,MATCH($A139,List_EmissionMeters,0),ROUNDUP((COLUMN()+0)/3-1,0)))</f>
        <v/>
      </c>
      <c r="R139" s="127"/>
      <c r="S139" s="137"/>
    </row>
    <row r="140" spans="1:19" x14ac:dyDescent="0.3">
      <c r="A140" s="126"/>
      <c r="B140" s="133"/>
      <c r="C140" s="127"/>
      <c r="D140" s="137"/>
      <c r="E140" s="58" t="str" cm="1">
        <f>IF(ISBLANK($A140),"",INDEX(Array_EmissionCharges,MATCH($A140,List_EmissionMeters,0),ROUNDUP((COLUMN()+0)/3-1,0)))</f>
        <v/>
      </c>
      <c r="F140" s="127"/>
      <c r="G140" s="137"/>
      <c r="H140" s="58" t="str" cm="1">
        <f>IF(ISBLANK($A140),"",INDEX(Array_EmissionCharges,MATCH($A140,List_EmissionMeters,0),ROUNDUP((COLUMN()+0)/3-1,0)))</f>
        <v/>
      </c>
      <c r="I140" s="127"/>
      <c r="J140" s="137"/>
      <c r="K140" s="58" t="str" cm="1">
        <f>IF(ISBLANK($A140),"",INDEX(Array_EmissionCharges,MATCH($A140,List_EmissionMeters,0),ROUNDUP((COLUMN()+0)/3-1,0)))</f>
        <v/>
      </c>
      <c r="L140" s="127"/>
      <c r="M140" s="137"/>
      <c r="N140" s="58" t="str" cm="1">
        <f>IF(ISBLANK($A140),"",INDEX(Array_EmissionCharges,MATCH($A140,List_EmissionMeters,0),ROUNDUP((COLUMN()+0)/3-1,0)))</f>
        <v/>
      </c>
      <c r="O140" s="127"/>
      <c r="P140" s="137"/>
      <c r="Q140" s="58" t="str" cm="1">
        <f>IF(ISBLANK($A140),"",INDEX(Array_EmissionCharges,MATCH($A140,List_EmissionMeters,0),ROUNDUP((COLUMN()+0)/3-1,0)))</f>
        <v/>
      </c>
      <c r="R140" s="127"/>
      <c r="S140" s="137"/>
    </row>
    <row r="141" spans="1:19" x14ac:dyDescent="0.3">
      <c r="A141" s="126"/>
      <c r="B141" s="133"/>
      <c r="C141" s="127"/>
      <c r="D141" s="137"/>
      <c r="E141" s="58" t="str" cm="1">
        <f>IF(ISBLANK($A141),"",INDEX(Array_EmissionCharges,MATCH($A141,List_EmissionMeters,0),ROUNDUP((COLUMN()+0)/3-1,0)))</f>
        <v/>
      </c>
      <c r="F141" s="127"/>
      <c r="G141" s="137"/>
      <c r="H141" s="58" t="str" cm="1">
        <f>IF(ISBLANK($A141),"",INDEX(Array_EmissionCharges,MATCH($A141,List_EmissionMeters,0),ROUNDUP((COLUMN()+0)/3-1,0)))</f>
        <v/>
      </c>
      <c r="I141" s="127"/>
      <c r="J141" s="137"/>
      <c r="K141" s="58" t="str" cm="1">
        <f>IF(ISBLANK($A141),"",INDEX(Array_EmissionCharges,MATCH($A141,List_EmissionMeters,0),ROUNDUP((COLUMN()+0)/3-1,0)))</f>
        <v/>
      </c>
      <c r="L141" s="127"/>
      <c r="M141" s="137"/>
      <c r="N141" s="58" t="str" cm="1">
        <f>IF(ISBLANK($A141),"",INDEX(Array_EmissionCharges,MATCH($A141,List_EmissionMeters,0),ROUNDUP((COLUMN()+0)/3-1,0)))</f>
        <v/>
      </c>
      <c r="O141" s="127"/>
      <c r="P141" s="137"/>
      <c r="Q141" s="58" t="str" cm="1">
        <f>IF(ISBLANK($A141),"",INDEX(Array_EmissionCharges,MATCH($A141,List_EmissionMeters,0),ROUNDUP((COLUMN()+0)/3-1,0)))</f>
        <v/>
      </c>
      <c r="R141" s="127"/>
      <c r="S141" s="137"/>
    </row>
    <row r="142" spans="1:19" x14ac:dyDescent="0.3">
      <c r="A142" s="126"/>
      <c r="B142" s="133"/>
      <c r="C142" s="127"/>
      <c r="D142" s="137"/>
      <c r="E142" s="58" t="str" cm="1">
        <f>IF(ISBLANK($A142),"",INDEX(Array_EmissionCharges,MATCH($A142,List_EmissionMeters,0),ROUNDUP((COLUMN()+0)/3-1,0)))</f>
        <v/>
      </c>
      <c r="F142" s="127"/>
      <c r="G142" s="137"/>
      <c r="H142" s="58" t="str" cm="1">
        <f>IF(ISBLANK($A142),"",INDEX(Array_EmissionCharges,MATCH($A142,List_EmissionMeters,0),ROUNDUP((COLUMN()+0)/3-1,0)))</f>
        <v/>
      </c>
      <c r="I142" s="127"/>
      <c r="J142" s="137"/>
      <c r="K142" s="58" t="str" cm="1">
        <f>IF(ISBLANK($A142),"",INDEX(Array_EmissionCharges,MATCH($A142,List_EmissionMeters,0),ROUNDUP((COLUMN()+0)/3-1,0)))</f>
        <v/>
      </c>
      <c r="L142" s="127"/>
      <c r="M142" s="137"/>
      <c r="N142" s="58" t="str" cm="1">
        <f>IF(ISBLANK($A142),"",INDEX(Array_EmissionCharges,MATCH($A142,List_EmissionMeters,0),ROUNDUP((COLUMN()+0)/3-1,0)))</f>
        <v/>
      </c>
      <c r="O142" s="127"/>
      <c r="P142" s="137"/>
      <c r="Q142" s="58" t="str" cm="1">
        <f>IF(ISBLANK($A142),"",INDEX(Array_EmissionCharges,MATCH($A142,List_EmissionMeters,0),ROUNDUP((COLUMN()+0)/3-1,0)))</f>
        <v/>
      </c>
      <c r="R142" s="127"/>
      <c r="S142" s="137"/>
    </row>
    <row r="143" spans="1:19" x14ac:dyDescent="0.3">
      <c r="A143" s="126"/>
      <c r="B143" s="133"/>
      <c r="C143" s="127"/>
      <c r="D143" s="137"/>
      <c r="E143" s="58" t="str" cm="1">
        <f>IF(ISBLANK($A143),"",INDEX(Array_EmissionCharges,MATCH($A143,List_EmissionMeters,0),ROUNDUP((COLUMN()+0)/3-1,0)))</f>
        <v/>
      </c>
      <c r="F143" s="127"/>
      <c r="G143" s="137"/>
      <c r="H143" s="58" t="str" cm="1">
        <f>IF(ISBLANK($A143),"",INDEX(Array_EmissionCharges,MATCH($A143,List_EmissionMeters,0),ROUNDUP((COLUMN()+0)/3-1,0)))</f>
        <v/>
      </c>
      <c r="I143" s="127"/>
      <c r="J143" s="137"/>
      <c r="K143" s="58" t="str" cm="1">
        <f>IF(ISBLANK($A143),"",INDEX(Array_EmissionCharges,MATCH($A143,List_EmissionMeters,0),ROUNDUP((COLUMN()+0)/3-1,0)))</f>
        <v/>
      </c>
      <c r="L143" s="127"/>
      <c r="M143" s="137"/>
      <c r="N143" s="58" t="str" cm="1">
        <f>IF(ISBLANK($A143),"",INDEX(Array_EmissionCharges,MATCH($A143,List_EmissionMeters,0),ROUNDUP((COLUMN()+0)/3-1,0)))</f>
        <v/>
      </c>
      <c r="O143" s="127"/>
      <c r="P143" s="137"/>
      <c r="Q143" s="58" t="str" cm="1">
        <f>IF(ISBLANK($A143),"",INDEX(Array_EmissionCharges,MATCH($A143,List_EmissionMeters,0),ROUNDUP((COLUMN()+0)/3-1,0)))</f>
        <v/>
      </c>
      <c r="R143" s="127"/>
      <c r="S143" s="137"/>
    </row>
    <row r="144" spans="1:19" x14ac:dyDescent="0.3">
      <c r="A144" s="126"/>
      <c r="B144" s="133"/>
      <c r="C144" s="127"/>
      <c r="D144" s="137"/>
      <c r="E144" s="58" t="str" cm="1">
        <f>IF(ISBLANK($A144),"",INDEX(Array_EmissionCharges,MATCH($A144,List_EmissionMeters,0),ROUNDUP((COLUMN()+0)/3-1,0)))</f>
        <v/>
      </c>
      <c r="F144" s="127"/>
      <c r="G144" s="137"/>
      <c r="H144" s="58" t="str" cm="1">
        <f>IF(ISBLANK($A144),"",INDEX(Array_EmissionCharges,MATCH($A144,List_EmissionMeters,0),ROUNDUP((COLUMN()+0)/3-1,0)))</f>
        <v/>
      </c>
      <c r="I144" s="127"/>
      <c r="J144" s="137"/>
      <c r="K144" s="58" t="str" cm="1">
        <f>IF(ISBLANK($A144),"",INDEX(Array_EmissionCharges,MATCH($A144,List_EmissionMeters,0),ROUNDUP((COLUMN()+0)/3-1,0)))</f>
        <v/>
      </c>
      <c r="L144" s="127"/>
      <c r="M144" s="137"/>
      <c r="N144" s="58" t="str" cm="1">
        <f>IF(ISBLANK($A144),"",INDEX(Array_EmissionCharges,MATCH($A144,List_EmissionMeters,0),ROUNDUP((COLUMN()+0)/3-1,0)))</f>
        <v/>
      </c>
      <c r="O144" s="127"/>
      <c r="P144" s="137"/>
      <c r="Q144" s="58" t="str" cm="1">
        <f>IF(ISBLANK($A144),"",INDEX(Array_EmissionCharges,MATCH($A144,List_EmissionMeters,0),ROUNDUP((COLUMN()+0)/3-1,0)))</f>
        <v/>
      </c>
      <c r="R144" s="127"/>
      <c r="S144" s="137"/>
    </row>
    <row r="145" spans="1:19" x14ac:dyDescent="0.3">
      <c r="A145" s="126"/>
      <c r="B145" s="133"/>
      <c r="C145" s="127"/>
      <c r="D145" s="137"/>
      <c r="E145" s="58" t="str" cm="1">
        <f>IF(ISBLANK($A145),"",INDEX(Array_EmissionCharges,MATCH($A145,List_EmissionMeters,0),ROUNDUP((COLUMN()+0)/3-1,0)))</f>
        <v/>
      </c>
      <c r="F145" s="127"/>
      <c r="G145" s="137"/>
      <c r="H145" s="58" t="str" cm="1">
        <f>IF(ISBLANK($A145),"",INDEX(Array_EmissionCharges,MATCH($A145,List_EmissionMeters,0),ROUNDUP((COLUMN()+0)/3-1,0)))</f>
        <v/>
      </c>
      <c r="I145" s="127"/>
      <c r="J145" s="137"/>
      <c r="K145" s="58" t="str" cm="1">
        <f>IF(ISBLANK($A145),"",INDEX(Array_EmissionCharges,MATCH($A145,List_EmissionMeters,0),ROUNDUP((COLUMN()+0)/3-1,0)))</f>
        <v/>
      </c>
      <c r="L145" s="127"/>
      <c r="M145" s="137"/>
      <c r="N145" s="58" t="str" cm="1">
        <f>IF(ISBLANK($A145),"",INDEX(Array_EmissionCharges,MATCH($A145,List_EmissionMeters,0),ROUNDUP((COLUMN()+0)/3-1,0)))</f>
        <v/>
      </c>
      <c r="O145" s="127"/>
      <c r="P145" s="137"/>
      <c r="Q145" s="58" t="str" cm="1">
        <f>IF(ISBLANK($A145),"",INDEX(Array_EmissionCharges,MATCH($A145,List_EmissionMeters,0),ROUNDUP((COLUMN()+0)/3-1,0)))</f>
        <v/>
      </c>
      <c r="R145" s="127"/>
      <c r="S145" s="137"/>
    </row>
    <row r="146" spans="1:19" x14ac:dyDescent="0.3">
      <c r="A146" s="126"/>
      <c r="B146" s="133"/>
      <c r="C146" s="127"/>
      <c r="D146" s="137"/>
      <c r="E146" s="58" t="str" cm="1">
        <f>IF(ISBLANK($A146),"",INDEX(Array_EmissionCharges,MATCH($A146,List_EmissionMeters,0),ROUNDUP((COLUMN()+0)/3-1,0)))</f>
        <v/>
      </c>
      <c r="F146" s="127"/>
      <c r="G146" s="137"/>
      <c r="H146" s="58" t="str" cm="1">
        <f>IF(ISBLANK($A146),"",INDEX(Array_EmissionCharges,MATCH($A146,List_EmissionMeters,0),ROUNDUP((COLUMN()+0)/3-1,0)))</f>
        <v/>
      </c>
      <c r="I146" s="127"/>
      <c r="J146" s="137"/>
      <c r="K146" s="58" t="str" cm="1">
        <f>IF(ISBLANK($A146),"",INDEX(Array_EmissionCharges,MATCH($A146,List_EmissionMeters,0),ROUNDUP((COLUMN()+0)/3-1,0)))</f>
        <v/>
      </c>
      <c r="L146" s="127"/>
      <c r="M146" s="137"/>
      <c r="N146" s="58" t="str" cm="1">
        <f>IF(ISBLANK($A146),"",INDEX(Array_EmissionCharges,MATCH($A146,List_EmissionMeters,0),ROUNDUP((COLUMN()+0)/3-1,0)))</f>
        <v/>
      </c>
      <c r="O146" s="127"/>
      <c r="P146" s="137"/>
      <c r="Q146" s="58" t="str" cm="1">
        <f>IF(ISBLANK($A146),"",INDEX(Array_EmissionCharges,MATCH($A146,List_EmissionMeters,0),ROUNDUP((COLUMN()+0)/3-1,0)))</f>
        <v/>
      </c>
      <c r="R146" s="127"/>
      <c r="S146" s="137"/>
    </row>
    <row r="147" spans="1:19" x14ac:dyDescent="0.3">
      <c r="A147" s="126"/>
      <c r="B147" s="133"/>
      <c r="C147" s="127"/>
      <c r="D147" s="137"/>
      <c r="E147" s="58" t="str" cm="1">
        <f>IF(ISBLANK($A147),"",INDEX(Array_EmissionCharges,MATCH($A147,List_EmissionMeters,0),ROUNDUP((COLUMN()+0)/3-1,0)))</f>
        <v/>
      </c>
      <c r="F147" s="127"/>
      <c r="G147" s="137"/>
      <c r="H147" s="58" t="str" cm="1">
        <f>IF(ISBLANK($A147),"",INDEX(Array_EmissionCharges,MATCH($A147,List_EmissionMeters,0),ROUNDUP((COLUMN()+0)/3-1,0)))</f>
        <v/>
      </c>
      <c r="I147" s="127"/>
      <c r="J147" s="137"/>
      <c r="K147" s="58" t="str" cm="1">
        <f>IF(ISBLANK($A147),"",INDEX(Array_EmissionCharges,MATCH($A147,List_EmissionMeters,0),ROUNDUP((COLUMN()+0)/3-1,0)))</f>
        <v/>
      </c>
      <c r="L147" s="127"/>
      <c r="M147" s="137"/>
      <c r="N147" s="58" t="str" cm="1">
        <f>IF(ISBLANK($A147),"",INDEX(Array_EmissionCharges,MATCH($A147,List_EmissionMeters,0),ROUNDUP((COLUMN()+0)/3-1,0)))</f>
        <v/>
      </c>
      <c r="O147" s="127"/>
      <c r="P147" s="137"/>
      <c r="Q147" s="58" t="str" cm="1">
        <f>IF(ISBLANK($A147),"",INDEX(Array_EmissionCharges,MATCH($A147,List_EmissionMeters,0),ROUNDUP((COLUMN()+0)/3-1,0)))</f>
        <v/>
      </c>
      <c r="R147" s="127"/>
      <c r="S147" s="137"/>
    </row>
    <row r="148" spans="1:19" x14ac:dyDescent="0.3">
      <c r="A148" s="126"/>
      <c r="B148" s="133"/>
      <c r="C148" s="127"/>
      <c r="D148" s="137"/>
      <c r="E148" s="58" t="str" cm="1">
        <f>IF(ISBLANK($A148),"",INDEX(Array_EmissionCharges,MATCH($A148,List_EmissionMeters,0),ROUNDUP((COLUMN()+0)/3-1,0)))</f>
        <v/>
      </c>
      <c r="F148" s="127"/>
      <c r="G148" s="137"/>
      <c r="H148" s="58" t="str" cm="1">
        <f>IF(ISBLANK($A148),"",INDEX(Array_EmissionCharges,MATCH($A148,List_EmissionMeters,0),ROUNDUP((COLUMN()+0)/3-1,0)))</f>
        <v/>
      </c>
      <c r="I148" s="127"/>
      <c r="J148" s="137"/>
      <c r="K148" s="58" t="str" cm="1">
        <f>IF(ISBLANK($A148),"",INDEX(Array_EmissionCharges,MATCH($A148,List_EmissionMeters,0),ROUNDUP((COLUMN()+0)/3-1,0)))</f>
        <v/>
      </c>
      <c r="L148" s="127"/>
      <c r="M148" s="137"/>
      <c r="N148" s="58" t="str" cm="1">
        <f>IF(ISBLANK($A148),"",INDEX(Array_EmissionCharges,MATCH($A148,List_EmissionMeters,0),ROUNDUP((COLUMN()+0)/3-1,0)))</f>
        <v/>
      </c>
      <c r="O148" s="127"/>
      <c r="P148" s="137"/>
      <c r="Q148" s="58" t="str" cm="1">
        <f>IF(ISBLANK($A148),"",INDEX(Array_EmissionCharges,MATCH($A148,List_EmissionMeters,0),ROUNDUP((COLUMN()+0)/3-1,0)))</f>
        <v/>
      </c>
      <c r="R148" s="127"/>
      <c r="S148" s="137"/>
    </row>
    <row r="149" spans="1:19" x14ac:dyDescent="0.3">
      <c r="A149" s="126"/>
      <c r="B149" s="133"/>
      <c r="C149" s="127"/>
      <c r="D149" s="137"/>
      <c r="E149" s="58" t="str" cm="1">
        <f>IF(ISBLANK($A149),"",INDEX(Array_EmissionCharges,MATCH($A149,List_EmissionMeters,0),ROUNDUP((COLUMN()+0)/3-1,0)))</f>
        <v/>
      </c>
      <c r="F149" s="127"/>
      <c r="G149" s="137"/>
      <c r="H149" s="58" t="str" cm="1">
        <f>IF(ISBLANK($A149),"",INDEX(Array_EmissionCharges,MATCH($A149,List_EmissionMeters,0),ROUNDUP((COLUMN()+0)/3-1,0)))</f>
        <v/>
      </c>
      <c r="I149" s="127"/>
      <c r="J149" s="137"/>
      <c r="K149" s="58" t="str" cm="1">
        <f>IF(ISBLANK($A149),"",INDEX(Array_EmissionCharges,MATCH($A149,List_EmissionMeters,0),ROUNDUP((COLUMN()+0)/3-1,0)))</f>
        <v/>
      </c>
      <c r="L149" s="127"/>
      <c r="M149" s="137"/>
      <c r="N149" s="58" t="str" cm="1">
        <f>IF(ISBLANK($A149),"",INDEX(Array_EmissionCharges,MATCH($A149,List_EmissionMeters,0),ROUNDUP((COLUMN()+0)/3-1,0)))</f>
        <v/>
      </c>
      <c r="O149" s="127"/>
      <c r="P149" s="137"/>
      <c r="Q149" s="58" t="str" cm="1">
        <f>IF(ISBLANK($A149),"",INDEX(Array_EmissionCharges,MATCH($A149,List_EmissionMeters,0),ROUNDUP((COLUMN()+0)/3-1,0)))</f>
        <v/>
      </c>
      <c r="R149" s="127"/>
      <c r="S149" s="137"/>
    </row>
    <row r="150" spans="1:19" x14ac:dyDescent="0.3">
      <c r="A150" s="126"/>
      <c r="B150" s="133"/>
      <c r="C150" s="127"/>
      <c r="D150" s="137"/>
      <c r="E150" s="58" t="str" cm="1">
        <f>IF(ISBLANK($A150),"",INDEX(Array_EmissionCharges,MATCH($A150,List_EmissionMeters,0),ROUNDUP((COLUMN()+0)/3-1,0)))</f>
        <v/>
      </c>
      <c r="F150" s="127"/>
      <c r="G150" s="137"/>
      <c r="H150" s="58" t="str" cm="1">
        <f>IF(ISBLANK($A150),"",INDEX(Array_EmissionCharges,MATCH($A150,List_EmissionMeters,0),ROUNDUP((COLUMN()+0)/3-1,0)))</f>
        <v/>
      </c>
      <c r="I150" s="127"/>
      <c r="J150" s="137"/>
      <c r="K150" s="58" t="str" cm="1">
        <f>IF(ISBLANK($A150),"",INDEX(Array_EmissionCharges,MATCH($A150,List_EmissionMeters,0),ROUNDUP((COLUMN()+0)/3-1,0)))</f>
        <v/>
      </c>
      <c r="L150" s="127"/>
      <c r="M150" s="137"/>
      <c r="N150" s="58" t="str" cm="1">
        <f>IF(ISBLANK($A150),"",INDEX(Array_EmissionCharges,MATCH($A150,List_EmissionMeters,0),ROUNDUP((COLUMN()+0)/3-1,0)))</f>
        <v/>
      </c>
      <c r="O150" s="127"/>
      <c r="P150" s="137"/>
      <c r="Q150" s="58" t="str" cm="1">
        <f>IF(ISBLANK($A150),"",INDEX(Array_EmissionCharges,MATCH($A150,List_EmissionMeters,0),ROUNDUP((COLUMN()+0)/3-1,0)))</f>
        <v/>
      </c>
      <c r="R150" s="127"/>
      <c r="S150" s="137"/>
    </row>
    <row r="151" spans="1:19" x14ac:dyDescent="0.3">
      <c r="A151" s="126"/>
      <c r="B151" s="133"/>
      <c r="C151" s="127"/>
      <c r="D151" s="137"/>
      <c r="E151" s="58" t="str" cm="1">
        <f>IF(ISBLANK($A151),"",INDEX(Array_EmissionCharges,MATCH($A151,List_EmissionMeters,0),ROUNDUP((COLUMN()+0)/3-1,0)))</f>
        <v/>
      </c>
      <c r="F151" s="127"/>
      <c r="G151" s="137"/>
      <c r="H151" s="58" t="str" cm="1">
        <f>IF(ISBLANK($A151),"",INDEX(Array_EmissionCharges,MATCH($A151,List_EmissionMeters,0),ROUNDUP((COLUMN()+0)/3-1,0)))</f>
        <v/>
      </c>
      <c r="I151" s="127"/>
      <c r="J151" s="137"/>
      <c r="K151" s="58" t="str" cm="1">
        <f>IF(ISBLANK($A151),"",INDEX(Array_EmissionCharges,MATCH($A151,List_EmissionMeters,0),ROUNDUP((COLUMN()+0)/3-1,0)))</f>
        <v/>
      </c>
      <c r="L151" s="127"/>
      <c r="M151" s="137"/>
      <c r="N151" s="58" t="str" cm="1">
        <f>IF(ISBLANK($A151),"",INDEX(Array_EmissionCharges,MATCH($A151,List_EmissionMeters,0),ROUNDUP((COLUMN()+0)/3-1,0)))</f>
        <v/>
      </c>
      <c r="O151" s="127"/>
      <c r="P151" s="137"/>
      <c r="Q151" s="58" t="str" cm="1">
        <f>IF(ISBLANK($A151),"",INDEX(Array_EmissionCharges,MATCH($A151,List_EmissionMeters,0),ROUNDUP((COLUMN()+0)/3-1,0)))</f>
        <v/>
      </c>
      <c r="R151" s="127"/>
      <c r="S151" s="137"/>
    </row>
    <row r="152" spans="1:19" x14ac:dyDescent="0.3">
      <c r="A152" s="126"/>
      <c r="B152" s="133"/>
      <c r="C152" s="127"/>
      <c r="D152" s="137"/>
      <c r="E152" s="58" t="str" cm="1">
        <f>IF(ISBLANK($A152),"",INDEX(Array_EmissionCharges,MATCH($A152,List_EmissionMeters,0),ROUNDUP((COLUMN()+0)/3-1,0)))</f>
        <v/>
      </c>
      <c r="F152" s="127"/>
      <c r="G152" s="137"/>
      <c r="H152" s="58" t="str" cm="1">
        <f>IF(ISBLANK($A152),"",INDEX(Array_EmissionCharges,MATCH($A152,List_EmissionMeters,0),ROUNDUP((COLUMN()+0)/3-1,0)))</f>
        <v/>
      </c>
      <c r="I152" s="127"/>
      <c r="J152" s="137"/>
      <c r="K152" s="58" t="str" cm="1">
        <f>IF(ISBLANK($A152),"",INDEX(Array_EmissionCharges,MATCH($A152,List_EmissionMeters,0),ROUNDUP((COLUMN()+0)/3-1,0)))</f>
        <v/>
      </c>
      <c r="L152" s="127"/>
      <c r="M152" s="137"/>
      <c r="N152" s="58" t="str" cm="1">
        <f>IF(ISBLANK($A152),"",INDEX(Array_EmissionCharges,MATCH($A152,List_EmissionMeters,0),ROUNDUP((COLUMN()+0)/3-1,0)))</f>
        <v/>
      </c>
      <c r="O152" s="127"/>
      <c r="P152" s="137"/>
      <c r="Q152" s="58" t="str" cm="1">
        <f>IF(ISBLANK($A152),"",INDEX(Array_EmissionCharges,MATCH($A152,List_EmissionMeters,0),ROUNDUP((COLUMN()+0)/3-1,0)))</f>
        <v/>
      </c>
      <c r="R152" s="127"/>
      <c r="S152" s="137"/>
    </row>
    <row r="153" spans="1:19" x14ac:dyDescent="0.3">
      <c r="A153" s="126"/>
      <c r="B153" s="133"/>
      <c r="C153" s="127"/>
      <c r="D153" s="137"/>
      <c r="E153" s="58" t="str" cm="1">
        <f>IF(ISBLANK($A153),"",INDEX(Array_EmissionCharges,MATCH($A153,List_EmissionMeters,0),ROUNDUP((COLUMN()+0)/3-1,0)))</f>
        <v/>
      </c>
      <c r="F153" s="127"/>
      <c r="G153" s="137"/>
      <c r="H153" s="58" t="str" cm="1">
        <f>IF(ISBLANK($A153),"",INDEX(Array_EmissionCharges,MATCH($A153,List_EmissionMeters,0),ROUNDUP((COLUMN()+0)/3-1,0)))</f>
        <v/>
      </c>
      <c r="I153" s="127"/>
      <c r="J153" s="137"/>
      <c r="K153" s="58" t="str" cm="1">
        <f>IF(ISBLANK($A153),"",INDEX(Array_EmissionCharges,MATCH($A153,List_EmissionMeters,0),ROUNDUP((COLUMN()+0)/3-1,0)))</f>
        <v/>
      </c>
      <c r="L153" s="127"/>
      <c r="M153" s="137"/>
      <c r="N153" s="58" t="str" cm="1">
        <f>IF(ISBLANK($A153),"",INDEX(Array_EmissionCharges,MATCH($A153,List_EmissionMeters,0),ROUNDUP((COLUMN()+0)/3-1,0)))</f>
        <v/>
      </c>
      <c r="O153" s="127"/>
      <c r="P153" s="137"/>
      <c r="Q153" s="58" t="str" cm="1">
        <f>IF(ISBLANK($A153),"",INDEX(Array_EmissionCharges,MATCH($A153,List_EmissionMeters,0),ROUNDUP((COLUMN()+0)/3-1,0)))</f>
        <v/>
      </c>
      <c r="R153" s="127"/>
      <c r="S153" s="137"/>
    </row>
    <row r="154" spans="1:19" x14ac:dyDescent="0.3">
      <c r="A154" s="126"/>
      <c r="B154" s="133"/>
      <c r="C154" s="127"/>
      <c r="D154" s="137"/>
      <c r="E154" s="58" t="str" cm="1">
        <f>IF(ISBLANK($A154),"",INDEX(Array_EmissionCharges,MATCH($A154,List_EmissionMeters,0),ROUNDUP((COLUMN()+0)/3-1,0)))</f>
        <v/>
      </c>
      <c r="F154" s="127"/>
      <c r="G154" s="137"/>
      <c r="H154" s="58" t="str" cm="1">
        <f>IF(ISBLANK($A154),"",INDEX(Array_EmissionCharges,MATCH($A154,List_EmissionMeters,0),ROUNDUP((COLUMN()+0)/3-1,0)))</f>
        <v/>
      </c>
      <c r="I154" s="127"/>
      <c r="J154" s="137"/>
      <c r="K154" s="58" t="str" cm="1">
        <f>IF(ISBLANK($A154),"",INDEX(Array_EmissionCharges,MATCH($A154,List_EmissionMeters,0),ROUNDUP((COLUMN()+0)/3-1,0)))</f>
        <v/>
      </c>
      <c r="L154" s="127"/>
      <c r="M154" s="137"/>
      <c r="N154" s="58" t="str" cm="1">
        <f>IF(ISBLANK($A154),"",INDEX(Array_EmissionCharges,MATCH($A154,List_EmissionMeters,0),ROUNDUP((COLUMN()+0)/3-1,0)))</f>
        <v/>
      </c>
      <c r="O154" s="127"/>
      <c r="P154" s="137"/>
      <c r="Q154" s="58" t="str" cm="1">
        <f>IF(ISBLANK($A154),"",INDEX(Array_EmissionCharges,MATCH($A154,List_EmissionMeters,0),ROUNDUP((COLUMN()+0)/3-1,0)))</f>
        <v/>
      </c>
      <c r="R154" s="127"/>
      <c r="S154" s="137"/>
    </row>
    <row r="155" spans="1:19" x14ac:dyDescent="0.3">
      <c r="A155" s="126"/>
      <c r="B155" s="133"/>
      <c r="C155" s="127"/>
      <c r="D155" s="137"/>
      <c r="E155" s="58" t="str" cm="1">
        <f>IF(ISBLANK($A155),"",INDEX(Array_EmissionCharges,MATCH($A155,List_EmissionMeters,0),ROUNDUP((COLUMN()+0)/3-1,0)))</f>
        <v/>
      </c>
      <c r="F155" s="127"/>
      <c r="G155" s="137"/>
      <c r="H155" s="58" t="str" cm="1">
        <f>IF(ISBLANK($A155),"",INDEX(Array_EmissionCharges,MATCH($A155,List_EmissionMeters,0),ROUNDUP((COLUMN()+0)/3-1,0)))</f>
        <v/>
      </c>
      <c r="I155" s="127"/>
      <c r="J155" s="137"/>
      <c r="K155" s="58" t="str" cm="1">
        <f>IF(ISBLANK($A155),"",INDEX(Array_EmissionCharges,MATCH($A155,List_EmissionMeters,0),ROUNDUP((COLUMN()+0)/3-1,0)))</f>
        <v/>
      </c>
      <c r="L155" s="127"/>
      <c r="M155" s="137"/>
      <c r="N155" s="58" t="str" cm="1">
        <f>IF(ISBLANK($A155),"",INDEX(Array_EmissionCharges,MATCH($A155,List_EmissionMeters,0),ROUNDUP((COLUMN()+0)/3-1,0)))</f>
        <v/>
      </c>
      <c r="O155" s="127"/>
      <c r="P155" s="137"/>
      <c r="Q155" s="58" t="str" cm="1">
        <f>IF(ISBLANK($A155),"",INDEX(Array_EmissionCharges,MATCH($A155,List_EmissionMeters,0),ROUNDUP((COLUMN()+0)/3-1,0)))</f>
        <v/>
      </c>
      <c r="R155" s="127"/>
      <c r="S155" s="137"/>
    </row>
    <row r="156" spans="1:19" x14ac:dyDescent="0.3">
      <c r="A156" s="126"/>
      <c r="B156" s="133"/>
      <c r="C156" s="127"/>
      <c r="D156" s="137"/>
      <c r="E156" s="58" t="str" cm="1">
        <f>IF(ISBLANK($A156),"",INDEX(Array_EmissionCharges,MATCH($A156,List_EmissionMeters,0),ROUNDUP((COLUMN()+0)/3-1,0)))</f>
        <v/>
      </c>
      <c r="F156" s="127"/>
      <c r="G156" s="137"/>
      <c r="H156" s="58" t="str" cm="1">
        <f>IF(ISBLANK($A156),"",INDEX(Array_EmissionCharges,MATCH($A156,List_EmissionMeters,0),ROUNDUP((COLUMN()+0)/3-1,0)))</f>
        <v/>
      </c>
      <c r="I156" s="127"/>
      <c r="J156" s="137"/>
      <c r="K156" s="58" t="str" cm="1">
        <f>IF(ISBLANK($A156),"",INDEX(Array_EmissionCharges,MATCH($A156,List_EmissionMeters,0),ROUNDUP((COLUMN()+0)/3-1,0)))</f>
        <v/>
      </c>
      <c r="L156" s="127"/>
      <c r="M156" s="137"/>
      <c r="N156" s="58" t="str" cm="1">
        <f>IF(ISBLANK($A156),"",INDEX(Array_EmissionCharges,MATCH($A156,List_EmissionMeters,0),ROUNDUP((COLUMN()+0)/3-1,0)))</f>
        <v/>
      </c>
      <c r="O156" s="127"/>
      <c r="P156" s="137"/>
      <c r="Q156" s="58" t="str" cm="1">
        <f>IF(ISBLANK($A156),"",INDEX(Array_EmissionCharges,MATCH($A156,List_EmissionMeters,0),ROUNDUP((COLUMN()+0)/3-1,0)))</f>
        <v/>
      </c>
      <c r="R156" s="127"/>
      <c r="S156" s="137"/>
    </row>
    <row r="157" spans="1:19" x14ac:dyDescent="0.3">
      <c r="A157" s="126"/>
      <c r="B157" s="133"/>
      <c r="C157" s="127"/>
      <c r="D157" s="137"/>
      <c r="E157" s="58" t="str" cm="1">
        <f>IF(ISBLANK($A157),"",INDEX(Array_EmissionCharges,MATCH($A157,List_EmissionMeters,0),ROUNDUP((COLUMN()+0)/3-1,0)))</f>
        <v/>
      </c>
      <c r="F157" s="127"/>
      <c r="G157" s="137"/>
      <c r="H157" s="58" t="str" cm="1">
        <f>IF(ISBLANK($A157),"",INDEX(Array_EmissionCharges,MATCH($A157,List_EmissionMeters,0),ROUNDUP((COLUMN()+0)/3-1,0)))</f>
        <v/>
      </c>
      <c r="I157" s="127"/>
      <c r="J157" s="137"/>
      <c r="K157" s="58" t="str" cm="1">
        <f>IF(ISBLANK($A157),"",INDEX(Array_EmissionCharges,MATCH($A157,List_EmissionMeters,0),ROUNDUP((COLUMN()+0)/3-1,0)))</f>
        <v/>
      </c>
      <c r="L157" s="127"/>
      <c r="M157" s="137"/>
      <c r="N157" s="58" t="str" cm="1">
        <f>IF(ISBLANK($A157),"",INDEX(Array_EmissionCharges,MATCH($A157,List_EmissionMeters,0),ROUNDUP((COLUMN()+0)/3-1,0)))</f>
        <v/>
      </c>
      <c r="O157" s="127"/>
      <c r="P157" s="137"/>
      <c r="Q157" s="58" t="str" cm="1">
        <f>IF(ISBLANK($A157),"",INDEX(Array_EmissionCharges,MATCH($A157,List_EmissionMeters,0),ROUNDUP((COLUMN()+0)/3-1,0)))</f>
        <v/>
      </c>
      <c r="R157" s="127"/>
      <c r="S157" s="137"/>
    </row>
    <row r="158" spans="1:19" x14ac:dyDescent="0.3">
      <c r="A158" s="126"/>
      <c r="B158" s="133"/>
      <c r="C158" s="127"/>
      <c r="D158" s="137"/>
      <c r="E158" s="58" t="str" cm="1">
        <f>IF(ISBLANK($A158),"",INDEX(Array_EmissionCharges,MATCH($A158,List_EmissionMeters,0),ROUNDUP((COLUMN()+0)/3-1,0)))</f>
        <v/>
      </c>
      <c r="F158" s="127"/>
      <c r="G158" s="137"/>
      <c r="H158" s="58" t="str" cm="1">
        <f>IF(ISBLANK($A158),"",INDEX(Array_EmissionCharges,MATCH($A158,List_EmissionMeters,0),ROUNDUP((COLUMN()+0)/3-1,0)))</f>
        <v/>
      </c>
      <c r="I158" s="127"/>
      <c r="J158" s="137"/>
      <c r="K158" s="58" t="str" cm="1">
        <f>IF(ISBLANK($A158),"",INDEX(Array_EmissionCharges,MATCH($A158,List_EmissionMeters,0),ROUNDUP((COLUMN()+0)/3-1,0)))</f>
        <v/>
      </c>
      <c r="L158" s="127"/>
      <c r="M158" s="137"/>
      <c r="N158" s="58" t="str" cm="1">
        <f>IF(ISBLANK($A158),"",INDEX(Array_EmissionCharges,MATCH($A158,List_EmissionMeters,0),ROUNDUP((COLUMN()+0)/3-1,0)))</f>
        <v/>
      </c>
      <c r="O158" s="127"/>
      <c r="P158" s="137"/>
      <c r="Q158" s="58" t="str" cm="1">
        <f>IF(ISBLANK($A158),"",INDEX(Array_EmissionCharges,MATCH($A158,List_EmissionMeters,0),ROUNDUP((COLUMN()+0)/3-1,0)))</f>
        <v/>
      </c>
      <c r="R158" s="127"/>
      <c r="S158" s="137"/>
    </row>
    <row r="159" spans="1:19" x14ac:dyDescent="0.3">
      <c r="A159" s="126"/>
      <c r="B159" s="133"/>
      <c r="C159" s="127"/>
      <c r="D159" s="137"/>
      <c r="E159" s="58" t="str" cm="1">
        <f>IF(ISBLANK($A159),"",INDEX(Array_EmissionCharges,MATCH($A159,List_EmissionMeters,0),ROUNDUP((COLUMN()+0)/3-1,0)))</f>
        <v/>
      </c>
      <c r="F159" s="127"/>
      <c r="G159" s="137"/>
      <c r="H159" s="58" t="str" cm="1">
        <f>IF(ISBLANK($A159),"",INDEX(Array_EmissionCharges,MATCH($A159,List_EmissionMeters,0),ROUNDUP((COLUMN()+0)/3-1,0)))</f>
        <v/>
      </c>
      <c r="I159" s="127"/>
      <c r="J159" s="137"/>
      <c r="K159" s="58" t="str" cm="1">
        <f>IF(ISBLANK($A159),"",INDEX(Array_EmissionCharges,MATCH($A159,List_EmissionMeters,0),ROUNDUP((COLUMN()+0)/3-1,0)))</f>
        <v/>
      </c>
      <c r="L159" s="127"/>
      <c r="M159" s="137"/>
      <c r="N159" s="58" t="str" cm="1">
        <f>IF(ISBLANK($A159),"",INDEX(Array_EmissionCharges,MATCH($A159,List_EmissionMeters,0),ROUNDUP((COLUMN()+0)/3-1,0)))</f>
        <v/>
      </c>
      <c r="O159" s="127"/>
      <c r="P159" s="137"/>
      <c r="Q159" s="58" t="str" cm="1">
        <f>IF(ISBLANK($A159),"",INDEX(Array_EmissionCharges,MATCH($A159,List_EmissionMeters,0),ROUNDUP((COLUMN()+0)/3-1,0)))</f>
        <v/>
      </c>
      <c r="R159" s="127"/>
      <c r="S159" s="137"/>
    </row>
    <row r="160" spans="1:19" x14ac:dyDescent="0.3">
      <c r="A160" s="126"/>
      <c r="B160" s="133"/>
      <c r="C160" s="127"/>
      <c r="D160" s="137"/>
      <c r="E160" s="58" t="str" cm="1">
        <f>IF(ISBLANK($A160),"",INDEX(Array_EmissionCharges,MATCH($A160,List_EmissionMeters,0),ROUNDUP((COLUMN()+0)/3-1,0)))</f>
        <v/>
      </c>
      <c r="F160" s="127"/>
      <c r="G160" s="137"/>
      <c r="H160" s="58" t="str" cm="1">
        <f>IF(ISBLANK($A160),"",INDEX(Array_EmissionCharges,MATCH($A160,List_EmissionMeters,0),ROUNDUP((COLUMN()+0)/3-1,0)))</f>
        <v/>
      </c>
      <c r="I160" s="127"/>
      <c r="J160" s="137"/>
      <c r="K160" s="58" t="str" cm="1">
        <f>IF(ISBLANK($A160),"",INDEX(Array_EmissionCharges,MATCH($A160,List_EmissionMeters,0),ROUNDUP((COLUMN()+0)/3-1,0)))</f>
        <v/>
      </c>
      <c r="L160" s="127"/>
      <c r="M160" s="137"/>
      <c r="N160" s="58" t="str" cm="1">
        <f>IF(ISBLANK($A160),"",INDEX(Array_EmissionCharges,MATCH($A160,List_EmissionMeters,0),ROUNDUP((COLUMN()+0)/3-1,0)))</f>
        <v/>
      </c>
      <c r="O160" s="127"/>
      <c r="P160" s="137"/>
      <c r="Q160" s="58" t="str" cm="1">
        <f>IF(ISBLANK($A160),"",INDEX(Array_EmissionCharges,MATCH($A160,List_EmissionMeters,0),ROUNDUP((COLUMN()+0)/3-1,0)))</f>
        <v/>
      </c>
      <c r="R160" s="127"/>
      <c r="S160" s="137"/>
    </row>
    <row r="161" spans="1:19" x14ac:dyDescent="0.3">
      <c r="A161" s="126"/>
      <c r="B161" s="133"/>
      <c r="C161" s="127"/>
      <c r="D161" s="137"/>
      <c r="E161" s="58" t="str" cm="1">
        <f>IF(ISBLANK($A161),"",INDEX(Array_EmissionCharges,MATCH($A161,List_EmissionMeters,0),ROUNDUP((COLUMN()+0)/3-1,0)))</f>
        <v/>
      </c>
      <c r="F161" s="127"/>
      <c r="G161" s="137"/>
      <c r="H161" s="58" t="str" cm="1">
        <f>IF(ISBLANK($A161),"",INDEX(Array_EmissionCharges,MATCH($A161,List_EmissionMeters,0),ROUNDUP((COLUMN()+0)/3-1,0)))</f>
        <v/>
      </c>
      <c r="I161" s="127"/>
      <c r="J161" s="137"/>
      <c r="K161" s="58" t="str" cm="1">
        <f>IF(ISBLANK($A161),"",INDEX(Array_EmissionCharges,MATCH($A161,List_EmissionMeters,0),ROUNDUP((COLUMN()+0)/3-1,0)))</f>
        <v/>
      </c>
      <c r="L161" s="127"/>
      <c r="M161" s="137"/>
      <c r="N161" s="58" t="str" cm="1">
        <f>IF(ISBLANK($A161),"",INDEX(Array_EmissionCharges,MATCH($A161,List_EmissionMeters,0),ROUNDUP((COLUMN()+0)/3-1,0)))</f>
        <v/>
      </c>
      <c r="O161" s="127"/>
      <c r="P161" s="137"/>
      <c r="Q161" s="58" t="str" cm="1">
        <f>IF(ISBLANK($A161),"",INDEX(Array_EmissionCharges,MATCH($A161,List_EmissionMeters,0),ROUNDUP((COLUMN()+0)/3-1,0)))</f>
        <v/>
      </c>
      <c r="R161" s="127"/>
      <c r="S161" s="137"/>
    </row>
    <row r="162" spans="1:19" x14ac:dyDescent="0.3">
      <c r="A162" s="126"/>
      <c r="B162" s="133"/>
      <c r="C162" s="127"/>
      <c r="D162" s="137"/>
      <c r="E162" s="58" t="str" cm="1">
        <f>IF(ISBLANK($A162),"",INDEX(Array_EmissionCharges,MATCH($A162,List_EmissionMeters,0),ROUNDUP((COLUMN()+0)/3-1,0)))</f>
        <v/>
      </c>
      <c r="F162" s="127"/>
      <c r="G162" s="137"/>
      <c r="H162" s="58" t="str" cm="1">
        <f>IF(ISBLANK($A162),"",INDEX(Array_EmissionCharges,MATCH($A162,List_EmissionMeters,0),ROUNDUP((COLUMN()+0)/3-1,0)))</f>
        <v/>
      </c>
      <c r="I162" s="127"/>
      <c r="J162" s="137"/>
      <c r="K162" s="58" t="str" cm="1">
        <f>IF(ISBLANK($A162),"",INDEX(Array_EmissionCharges,MATCH($A162,List_EmissionMeters,0),ROUNDUP((COLUMN()+0)/3-1,0)))</f>
        <v/>
      </c>
      <c r="L162" s="127"/>
      <c r="M162" s="137"/>
      <c r="N162" s="58" t="str" cm="1">
        <f>IF(ISBLANK($A162),"",INDEX(Array_EmissionCharges,MATCH($A162,List_EmissionMeters,0),ROUNDUP((COLUMN()+0)/3-1,0)))</f>
        <v/>
      </c>
      <c r="O162" s="127"/>
      <c r="P162" s="137"/>
      <c r="Q162" s="58" t="str" cm="1">
        <f>IF(ISBLANK($A162),"",INDEX(Array_EmissionCharges,MATCH($A162,List_EmissionMeters,0),ROUNDUP((COLUMN()+0)/3-1,0)))</f>
        <v/>
      </c>
      <c r="R162" s="127"/>
      <c r="S162" s="137"/>
    </row>
    <row r="163" spans="1:19" x14ac:dyDescent="0.3">
      <c r="A163" s="126"/>
      <c r="B163" s="133"/>
      <c r="C163" s="127"/>
      <c r="D163" s="137"/>
      <c r="E163" s="58" t="str" cm="1">
        <f>IF(ISBLANK($A163),"",INDEX(Array_EmissionCharges,MATCH($A163,List_EmissionMeters,0),ROUNDUP((COLUMN()+0)/3-1,0)))</f>
        <v/>
      </c>
      <c r="F163" s="127"/>
      <c r="G163" s="137"/>
      <c r="H163" s="58" t="str" cm="1">
        <f>IF(ISBLANK($A163),"",INDEX(Array_EmissionCharges,MATCH($A163,List_EmissionMeters,0),ROUNDUP((COLUMN()+0)/3-1,0)))</f>
        <v/>
      </c>
      <c r="I163" s="127"/>
      <c r="J163" s="137"/>
      <c r="K163" s="58" t="str" cm="1">
        <f>IF(ISBLANK($A163),"",INDEX(Array_EmissionCharges,MATCH($A163,List_EmissionMeters,0),ROUNDUP((COLUMN()+0)/3-1,0)))</f>
        <v/>
      </c>
      <c r="L163" s="127"/>
      <c r="M163" s="137"/>
      <c r="N163" s="58" t="str" cm="1">
        <f>IF(ISBLANK($A163),"",INDEX(Array_EmissionCharges,MATCH($A163,List_EmissionMeters,0),ROUNDUP((COLUMN()+0)/3-1,0)))</f>
        <v/>
      </c>
      <c r="O163" s="127"/>
      <c r="P163" s="137"/>
      <c r="Q163" s="58" t="str" cm="1">
        <f>IF(ISBLANK($A163),"",INDEX(Array_EmissionCharges,MATCH($A163,List_EmissionMeters,0),ROUNDUP((COLUMN()+0)/3-1,0)))</f>
        <v/>
      </c>
      <c r="R163" s="127"/>
      <c r="S163" s="137"/>
    </row>
    <row r="164" spans="1:19" x14ac:dyDescent="0.3">
      <c r="A164" s="126"/>
      <c r="B164" s="133"/>
      <c r="C164" s="127"/>
      <c r="D164" s="137"/>
      <c r="E164" s="58" t="str" cm="1">
        <f>IF(ISBLANK($A164),"",INDEX(Array_EmissionCharges,MATCH($A164,List_EmissionMeters,0),ROUNDUP((COLUMN()+0)/3-1,0)))</f>
        <v/>
      </c>
      <c r="F164" s="127"/>
      <c r="G164" s="137"/>
      <c r="H164" s="58" t="str" cm="1">
        <f>IF(ISBLANK($A164),"",INDEX(Array_EmissionCharges,MATCH($A164,List_EmissionMeters,0),ROUNDUP((COLUMN()+0)/3-1,0)))</f>
        <v/>
      </c>
      <c r="I164" s="127"/>
      <c r="J164" s="137"/>
      <c r="K164" s="58" t="str" cm="1">
        <f>IF(ISBLANK($A164),"",INDEX(Array_EmissionCharges,MATCH($A164,List_EmissionMeters,0),ROUNDUP((COLUMN()+0)/3-1,0)))</f>
        <v/>
      </c>
      <c r="L164" s="127"/>
      <c r="M164" s="137"/>
      <c r="N164" s="58" t="str" cm="1">
        <f>IF(ISBLANK($A164),"",INDEX(Array_EmissionCharges,MATCH($A164,List_EmissionMeters,0),ROUNDUP((COLUMN()+0)/3-1,0)))</f>
        <v/>
      </c>
      <c r="O164" s="127"/>
      <c r="P164" s="137"/>
      <c r="Q164" s="58" t="str" cm="1">
        <f>IF(ISBLANK($A164),"",INDEX(Array_EmissionCharges,MATCH($A164,List_EmissionMeters,0),ROUNDUP((COLUMN()+0)/3-1,0)))</f>
        <v/>
      </c>
      <c r="R164" s="127"/>
      <c r="S164" s="137"/>
    </row>
    <row r="165" spans="1:19" x14ac:dyDescent="0.3">
      <c r="A165" s="126"/>
      <c r="B165" s="133"/>
      <c r="C165" s="127"/>
      <c r="D165" s="137"/>
      <c r="E165" s="58" t="str" cm="1">
        <f>IF(ISBLANK($A165),"",INDEX(Array_EmissionCharges,MATCH($A165,List_EmissionMeters,0),ROUNDUP((COLUMN()+0)/3-1,0)))</f>
        <v/>
      </c>
      <c r="F165" s="127"/>
      <c r="G165" s="137"/>
      <c r="H165" s="58" t="str" cm="1">
        <f>IF(ISBLANK($A165),"",INDEX(Array_EmissionCharges,MATCH($A165,List_EmissionMeters,0),ROUNDUP((COLUMN()+0)/3-1,0)))</f>
        <v/>
      </c>
      <c r="I165" s="127"/>
      <c r="J165" s="137"/>
      <c r="K165" s="58" t="str" cm="1">
        <f>IF(ISBLANK($A165),"",INDEX(Array_EmissionCharges,MATCH($A165,List_EmissionMeters,0),ROUNDUP((COLUMN()+0)/3-1,0)))</f>
        <v/>
      </c>
      <c r="L165" s="127"/>
      <c r="M165" s="137"/>
      <c r="N165" s="58" t="str" cm="1">
        <f>IF(ISBLANK($A165),"",INDEX(Array_EmissionCharges,MATCH($A165,List_EmissionMeters,0),ROUNDUP((COLUMN()+0)/3-1,0)))</f>
        <v/>
      </c>
      <c r="O165" s="127"/>
      <c r="P165" s="137"/>
      <c r="Q165" s="58" t="str" cm="1">
        <f>IF(ISBLANK($A165),"",INDEX(Array_EmissionCharges,MATCH($A165,List_EmissionMeters,0),ROUNDUP((COLUMN()+0)/3-1,0)))</f>
        <v/>
      </c>
      <c r="R165" s="127"/>
      <c r="S165" s="137"/>
    </row>
    <row r="166" spans="1:19" x14ac:dyDescent="0.3">
      <c r="A166" s="126"/>
      <c r="B166" s="133"/>
      <c r="C166" s="127"/>
      <c r="D166" s="137"/>
      <c r="E166" s="58" t="str" cm="1">
        <f>IF(ISBLANK($A166),"",INDEX(Array_EmissionCharges,MATCH($A166,List_EmissionMeters,0),ROUNDUP((COLUMN()+0)/3-1,0)))</f>
        <v/>
      </c>
      <c r="F166" s="127"/>
      <c r="G166" s="137"/>
      <c r="H166" s="58" t="str" cm="1">
        <f>IF(ISBLANK($A166),"",INDEX(Array_EmissionCharges,MATCH($A166,List_EmissionMeters,0),ROUNDUP((COLUMN()+0)/3-1,0)))</f>
        <v/>
      </c>
      <c r="I166" s="127"/>
      <c r="J166" s="137"/>
      <c r="K166" s="58" t="str" cm="1">
        <f>IF(ISBLANK($A166),"",INDEX(Array_EmissionCharges,MATCH($A166,List_EmissionMeters,0),ROUNDUP((COLUMN()+0)/3-1,0)))</f>
        <v/>
      </c>
      <c r="L166" s="127"/>
      <c r="M166" s="137"/>
      <c r="N166" s="58" t="str" cm="1">
        <f>IF(ISBLANK($A166),"",INDEX(Array_EmissionCharges,MATCH($A166,List_EmissionMeters,0),ROUNDUP((COLUMN()+0)/3-1,0)))</f>
        <v/>
      </c>
      <c r="O166" s="127"/>
      <c r="P166" s="137"/>
      <c r="Q166" s="58" t="str" cm="1">
        <f>IF(ISBLANK($A166),"",INDEX(Array_EmissionCharges,MATCH($A166,List_EmissionMeters,0),ROUNDUP((COLUMN()+0)/3-1,0)))</f>
        <v/>
      </c>
      <c r="R166" s="127"/>
      <c r="S166" s="137"/>
    </row>
    <row r="167" spans="1:19" x14ac:dyDescent="0.3">
      <c r="A167" s="126"/>
      <c r="B167" s="133"/>
      <c r="C167" s="127"/>
      <c r="D167" s="137"/>
      <c r="E167" s="58" t="str" cm="1">
        <f>IF(ISBLANK($A167),"",INDEX(Array_EmissionCharges,MATCH($A167,List_EmissionMeters,0),ROUNDUP((COLUMN()+0)/3-1,0)))</f>
        <v/>
      </c>
      <c r="F167" s="127"/>
      <c r="G167" s="137"/>
      <c r="H167" s="58" t="str" cm="1">
        <f>IF(ISBLANK($A167),"",INDEX(Array_EmissionCharges,MATCH($A167,List_EmissionMeters,0),ROUNDUP((COLUMN()+0)/3-1,0)))</f>
        <v/>
      </c>
      <c r="I167" s="127"/>
      <c r="J167" s="137"/>
      <c r="K167" s="58" t="str" cm="1">
        <f>IF(ISBLANK($A167),"",INDEX(Array_EmissionCharges,MATCH($A167,List_EmissionMeters,0),ROUNDUP((COLUMN()+0)/3-1,0)))</f>
        <v/>
      </c>
      <c r="L167" s="127"/>
      <c r="M167" s="137"/>
      <c r="N167" s="58" t="str" cm="1">
        <f>IF(ISBLANK($A167),"",INDEX(Array_EmissionCharges,MATCH($A167,List_EmissionMeters,0),ROUNDUP((COLUMN()+0)/3-1,0)))</f>
        <v/>
      </c>
      <c r="O167" s="127"/>
      <c r="P167" s="137"/>
      <c r="Q167" s="58" t="str" cm="1">
        <f>IF(ISBLANK($A167),"",INDEX(Array_EmissionCharges,MATCH($A167,List_EmissionMeters,0),ROUNDUP((COLUMN()+0)/3-1,0)))</f>
        <v/>
      </c>
      <c r="R167" s="127"/>
      <c r="S167" s="137"/>
    </row>
    <row r="168" spans="1:19" x14ac:dyDescent="0.3">
      <c r="A168" s="126"/>
      <c r="B168" s="133"/>
      <c r="C168" s="127"/>
      <c r="D168" s="137"/>
      <c r="E168" s="58" t="str" cm="1">
        <f>IF(ISBLANK($A168),"",INDEX(Array_EmissionCharges,MATCH($A168,List_EmissionMeters,0),ROUNDUP((COLUMN()+0)/3-1,0)))</f>
        <v/>
      </c>
      <c r="F168" s="127"/>
      <c r="G168" s="137"/>
      <c r="H168" s="58" t="str" cm="1">
        <f>IF(ISBLANK($A168),"",INDEX(Array_EmissionCharges,MATCH($A168,List_EmissionMeters,0),ROUNDUP((COLUMN()+0)/3-1,0)))</f>
        <v/>
      </c>
      <c r="I168" s="127"/>
      <c r="J168" s="137"/>
      <c r="K168" s="58" t="str" cm="1">
        <f>IF(ISBLANK($A168),"",INDEX(Array_EmissionCharges,MATCH($A168,List_EmissionMeters,0),ROUNDUP((COLUMN()+0)/3-1,0)))</f>
        <v/>
      </c>
      <c r="L168" s="127"/>
      <c r="M168" s="137"/>
      <c r="N168" s="58" t="str" cm="1">
        <f>IF(ISBLANK($A168),"",INDEX(Array_EmissionCharges,MATCH($A168,List_EmissionMeters,0),ROUNDUP((COLUMN()+0)/3-1,0)))</f>
        <v/>
      </c>
      <c r="O168" s="127"/>
      <c r="P168" s="137"/>
      <c r="Q168" s="58" t="str" cm="1">
        <f>IF(ISBLANK($A168),"",INDEX(Array_EmissionCharges,MATCH($A168,List_EmissionMeters,0),ROUNDUP((COLUMN()+0)/3-1,0)))</f>
        <v/>
      </c>
      <c r="R168" s="127"/>
      <c r="S168" s="137"/>
    </row>
    <row r="169" spans="1:19" x14ac:dyDescent="0.3">
      <c r="A169" s="126"/>
      <c r="B169" s="133"/>
      <c r="C169" s="127"/>
      <c r="D169" s="137"/>
      <c r="E169" s="58" t="str" cm="1">
        <f>IF(ISBLANK($A169),"",INDEX(Array_EmissionCharges,MATCH($A169,List_EmissionMeters,0),ROUNDUP((COLUMN()+0)/3-1,0)))</f>
        <v/>
      </c>
      <c r="F169" s="127"/>
      <c r="G169" s="137"/>
      <c r="H169" s="58" t="str" cm="1">
        <f>IF(ISBLANK($A169),"",INDEX(Array_EmissionCharges,MATCH($A169,List_EmissionMeters,0),ROUNDUP((COLUMN()+0)/3-1,0)))</f>
        <v/>
      </c>
      <c r="I169" s="127"/>
      <c r="J169" s="137"/>
      <c r="K169" s="58" t="str" cm="1">
        <f>IF(ISBLANK($A169),"",INDEX(Array_EmissionCharges,MATCH($A169,List_EmissionMeters,0),ROUNDUP((COLUMN()+0)/3-1,0)))</f>
        <v/>
      </c>
      <c r="L169" s="127"/>
      <c r="M169" s="137"/>
      <c r="N169" s="58" t="str" cm="1">
        <f>IF(ISBLANK($A169),"",INDEX(Array_EmissionCharges,MATCH($A169,List_EmissionMeters,0),ROUNDUP((COLUMN()+0)/3-1,0)))</f>
        <v/>
      </c>
      <c r="O169" s="127"/>
      <c r="P169" s="137"/>
      <c r="Q169" s="58" t="str" cm="1">
        <f>IF(ISBLANK($A169),"",INDEX(Array_EmissionCharges,MATCH($A169,List_EmissionMeters,0),ROUNDUP((COLUMN()+0)/3-1,0)))</f>
        <v/>
      </c>
      <c r="R169" s="127"/>
      <c r="S169" s="137"/>
    </row>
    <row r="170" spans="1:19" x14ac:dyDescent="0.3">
      <c r="A170" s="126"/>
      <c r="B170" s="133"/>
      <c r="C170" s="127"/>
      <c r="D170" s="137"/>
      <c r="E170" s="58" t="str" cm="1">
        <f>IF(ISBLANK($A170),"",INDEX(Array_EmissionCharges,MATCH($A170,List_EmissionMeters,0),ROUNDUP((COLUMN()+0)/3-1,0)))</f>
        <v/>
      </c>
      <c r="F170" s="127"/>
      <c r="G170" s="137"/>
      <c r="H170" s="58" t="str" cm="1">
        <f>IF(ISBLANK($A170),"",INDEX(Array_EmissionCharges,MATCH($A170,List_EmissionMeters,0),ROUNDUP((COLUMN()+0)/3-1,0)))</f>
        <v/>
      </c>
      <c r="I170" s="127"/>
      <c r="J170" s="137"/>
      <c r="K170" s="58" t="str" cm="1">
        <f>IF(ISBLANK($A170),"",INDEX(Array_EmissionCharges,MATCH($A170,List_EmissionMeters,0),ROUNDUP((COLUMN()+0)/3-1,0)))</f>
        <v/>
      </c>
      <c r="L170" s="127"/>
      <c r="M170" s="137"/>
      <c r="N170" s="58" t="str" cm="1">
        <f>IF(ISBLANK($A170),"",INDEX(Array_EmissionCharges,MATCH($A170,List_EmissionMeters,0),ROUNDUP((COLUMN()+0)/3-1,0)))</f>
        <v/>
      </c>
      <c r="O170" s="127"/>
      <c r="P170" s="137"/>
      <c r="Q170" s="58" t="str" cm="1">
        <f>IF(ISBLANK($A170),"",INDEX(Array_EmissionCharges,MATCH($A170,List_EmissionMeters,0),ROUNDUP((COLUMN()+0)/3-1,0)))</f>
        <v/>
      </c>
      <c r="R170" s="127"/>
      <c r="S170" s="137"/>
    </row>
    <row r="171" spans="1:19" x14ac:dyDescent="0.3">
      <c r="A171" s="126"/>
      <c r="B171" s="133"/>
      <c r="C171" s="127"/>
      <c r="D171" s="137"/>
      <c r="E171" s="58" t="str" cm="1">
        <f>IF(ISBLANK($A171),"",INDEX(Array_EmissionCharges,MATCH($A171,List_EmissionMeters,0),ROUNDUP((COLUMN()+0)/3-1,0)))</f>
        <v/>
      </c>
      <c r="F171" s="127"/>
      <c r="G171" s="137"/>
      <c r="H171" s="58" t="str" cm="1">
        <f>IF(ISBLANK($A171),"",INDEX(Array_EmissionCharges,MATCH($A171,List_EmissionMeters,0),ROUNDUP((COLUMN()+0)/3-1,0)))</f>
        <v/>
      </c>
      <c r="I171" s="127"/>
      <c r="J171" s="137"/>
      <c r="K171" s="58" t="str" cm="1">
        <f>IF(ISBLANK($A171),"",INDEX(Array_EmissionCharges,MATCH($A171,List_EmissionMeters,0),ROUNDUP((COLUMN()+0)/3-1,0)))</f>
        <v/>
      </c>
      <c r="L171" s="127"/>
      <c r="M171" s="137"/>
      <c r="N171" s="58" t="str" cm="1">
        <f>IF(ISBLANK($A171),"",INDEX(Array_EmissionCharges,MATCH($A171,List_EmissionMeters,0),ROUNDUP((COLUMN()+0)/3-1,0)))</f>
        <v/>
      </c>
      <c r="O171" s="127"/>
      <c r="P171" s="137"/>
      <c r="Q171" s="58" t="str" cm="1">
        <f>IF(ISBLANK($A171),"",INDEX(Array_EmissionCharges,MATCH($A171,List_EmissionMeters,0),ROUNDUP((COLUMN()+0)/3-1,0)))</f>
        <v/>
      </c>
      <c r="R171" s="127"/>
      <c r="S171" s="137"/>
    </row>
    <row r="172" spans="1:19" x14ac:dyDescent="0.3">
      <c r="A172" s="126"/>
      <c r="B172" s="133"/>
      <c r="C172" s="127"/>
      <c r="D172" s="137"/>
      <c r="E172" s="58" t="str" cm="1">
        <f>IF(ISBLANK($A172),"",INDEX(Array_EmissionCharges,MATCH($A172,List_EmissionMeters,0),ROUNDUP((COLUMN()+0)/3-1,0)))</f>
        <v/>
      </c>
      <c r="F172" s="127"/>
      <c r="G172" s="137"/>
      <c r="H172" s="58" t="str" cm="1">
        <f>IF(ISBLANK($A172),"",INDEX(Array_EmissionCharges,MATCH($A172,List_EmissionMeters,0),ROUNDUP((COLUMN()+0)/3-1,0)))</f>
        <v/>
      </c>
      <c r="I172" s="127"/>
      <c r="J172" s="137"/>
      <c r="K172" s="58" t="str" cm="1">
        <f>IF(ISBLANK($A172),"",INDEX(Array_EmissionCharges,MATCH($A172,List_EmissionMeters,0),ROUNDUP((COLUMN()+0)/3-1,0)))</f>
        <v/>
      </c>
      <c r="L172" s="127"/>
      <c r="M172" s="137"/>
      <c r="N172" s="58" t="str" cm="1">
        <f>IF(ISBLANK($A172),"",INDEX(Array_EmissionCharges,MATCH($A172,List_EmissionMeters,0),ROUNDUP((COLUMN()+0)/3-1,0)))</f>
        <v/>
      </c>
      <c r="O172" s="127"/>
      <c r="P172" s="137"/>
      <c r="Q172" s="58" t="str" cm="1">
        <f>IF(ISBLANK($A172),"",INDEX(Array_EmissionCharges,MATCH($A172,List_EmissionMeters,0),ROUNDUP((COLUMN()+0)/3-1,0)))</f>
        <v/>
      </c>
      <c r="R172" s="127"/>
      <c r="S172" s="137"/>
    </row>
    <row r="173" spans="1:19" x14ac:dyDescent="0.3">
      <c r="A173" s="126"/>
      <c r="B173" s="133"/>
      <c r="C173" s="127"/>
      <c r="D173" s="137"/>
      <c r="E173" s="58" t="str" cm="1">
        <f>IF(ISBLANK($A173),"",INDEX(Array_EmissionCharges,MATCH($A173,List_EmissionMeters,0),ROUNDUP((COLUMN()+0)/3-1,0)))</f>
        <v/>
      </c>
      <c r="F173" s="127"/>
      <c r="G173" s="137"/>
      <c r="H173" s="58" t="str" cm="1">
        <f>IF(ISBLANK($A173),"",INDEX(Array_EmissionCharges,MATCH($A173,List_EmissionMeters,0),ROUNDUP((COLUMN()+0)/3-1,0)))</f>
        <v/>
      </c>
      <c r="I173" s="127"/>
      <c r="J173" s="137"/>
      <c r="K173" s="58" t="str" cm="1">
        <f>IF(ISBLANK($A173),"",INDEX(Array_EmissionCharges,MATCH($A173,List_EmissionMeters,0),ROUNDUP((COLUMN()+0)/3-1,0)))</f>
        <v/>
      </c>
      <c r="L173" s="127"/>
      <c r="M173" s="137"/>
      <c r="N173" s="58" t="str" cm="1">
        <f>IF(ISBLANK($A173),"",INDEX(Array_EmissionCharges,MATCH($A173,List_EmissionMeters,0),ROUNDUP((COLUMN()+0)/3-1,0)))</f>
        <v/>
      </c>
      <c r="O173" s="127"/>
      <c r="P173" s="137"/>
      <c r="Q173" s="58" t="str" cm="1">
        <f>IF(ISBLANK($A173),"",INDEX(Array_EmissionCharges,MATCH($A173,List_EmissionMeters,0),ROUNDUP((COLUMN()+0)/3-1,0)))</f>
        <v/>
      </c>
      <c r="R173" s="127"/>
      <c r="S173" s="137"/>
    </row>
    <row r="174" spans="1:19" x14ac:dyDescent="0.3">
      <c r="A174" s="126"/>
      <c r="B174" s="133"/>
      <c r="C174" s="127"/>
      <c r="D174" s="137"/>
      <c r="E174" s="58" t="str" cm="1">
        <f>IF(ISBLANK($A174),"",INDEX(Array_EmissionCharges,MATCH($A174,List_EmissionMeters,0),ROUNDUP((COLUMN()+0)/3-1,0)))</f>
        <v/>
      </c>
      <c r="F174" s="127"/>
      <c r="G174" s="137"/>
      <c r="H174" s="58" t="str" cm="1">
        <f>IF(ISBLANK($A174),"",INDEX(Array_EmissionCharges,MATCH($A174,List_EmissionMeters,0),ROUNDUP((COLUMN()+0)/3-1,0)))</f>
        <v/>
      </c>
      <c r="I174" s="127"/>
      <c r="J174" s="137"/>
      <c r="K174" s="58" t="str" cm="1">
        <f>IF(ISBLANK($A174),"",INDEX(Array_EmissionCharges,MATCH($A174,List_EmissionMeters,0),ROUNDUP((COLUMN()+0)/3-1,0)))</f>
        <v/>
      </c>
      <c r="L174" s="127"/>
      <c r="M174" s="137"/>
      <c r="N174" s="58" t="str" cm="1">
        <f>IF(ISBLANK($A174),"",INDEX(Array_EmissionCharges,MATCH($A174,List_EmissionMeters,0),ROUNDUP((COLUMN()+0)/3-1,0)))</f>
        <v/>
      </c>
      <c r="O174" s="127"/>
      <c r="P174" s="137"/>
      <c r="Q174" s="58" t="str" cm="1">
        <f>IF(ISBLANK($A174),"",INDEX(Array_EmissionCharges,MATCH($A174,List_EmissionMeters,0),ROUNDUP((COLUMN()+0)/3-1,0)))</f>
        <v/>
      </c>
      <c r="R174" s="127"/>
      <c r="S174" s="137"/>
    </row>
    <row r="175" spans="1:19" x14ac:dyDescent="0.3">
      <c r="A175" s="126"/>
      <c r="B175" s="133"/>
      <c r="C175" s="127"/>
      <c r="D175" s="137"/>
      <c r="E175" s="58" t="str" cm="1">
        <f>IF(ISBLANK($A175),"",INDEX(Array_EmissionCharges,MATCH($A175,List_EmissionMeters,0),ROUNDUP((COLUMN()+0)/3-1,0)))</f>
        <v/>
      </c>
      <c r="F175" s="127"/>
      <c r="G175" s="137"/>
      <c r="H175" s="58" t="str" cm="1">
        <f>IF(ISBLANK($A175),"",INDEX(Array_EmissionCharges,MATCH($A175,List_EmissionMeters,0),ROUNDUP((COLUMN()+0)/3-1,0)))</f>
        <v/>
      </c>
      <c r="I175" s="127"/>
      <c r="J175" s="137"/>
      <c r="K175" s="58" t="str" cm="1">
        <f>IF(ISBLANK($A175),"",INDEX(Array_EmissionCharges,MATCH($A175,List_EmissionMeters,0),ROUNDUP((COLUMN()+0)/3-1,0)))</f>
        <v/>
      </c>
      <c r="L175" s="127"/>
      <c r="M175" s="137"/>
      <c r="N175" s="58" t="str" cm="1">
        <f>IF(ISBLANK($A175),"",INDEX(Array_EmissionCharges,MATCH($A175,List_EmissionMeters,0),ROUNDUP((COLUMN()+0)/3-1,0)))</f>
        <v/>
      </c>
      <c r="O175" s="127"/>
      <c r="P175" s="137"/>
      <c r="Q175" s="58" t="str" cm="1">
        <f>IF(ISBLANK($A175),"",INDEX(Array_EmissionCharges,MATCH($A175,List_EmissionMeters,0),ROUNDUP((COLUMN()+0)/3-1,0)))</f>
        <v/>
      </c>
      <c r="R175" s="127"/>
      <c r="S175" s="137"/>
    </row>
    <row r="176" spans="1:19" x14ac:dyDescent="0.3">
      <c r="A176" s="126"/>
      <c r="B176" s="133"/>
      <c r="C176" s="127"/>
      <c r="D176" s="137"/>
      <c r="E176" s="58" t="str" cm="1">
        <f>IF(ISBLANK($A176),"",INDEX(Array_EmissionCharges,MATCH($A176,List_EmissionMeters,0),ROUNDUP((COLUMN()+0)/3-1,0)))</f>
        <v/>
      </c>
      <c r="F176" s="127"/>
      <c r="G176" s="137"/>
      <c r="H176" s="58" t="str" cm="1">
        <f>IF(ISBLANK($A176),"",INDEX(Array_EmissionCharges,MATCH($A176,List_EmissionMeters,0),ROUNDUP((COLUMN()+0)/3-1,0)))</f>
        <v/>
      </c>
      <c r="I176" s="127"/>
      <c r="J176" s="137"/>
      <c r="K176" s="58" t="str" cm="1">
        <f>IF(ISBLANK($A176),"",INDEX(Array_EmissionCharges,MATCH($A176,List_EmissionMeters,0),ROUNDUP((COLUMN()+0)/3-1,0)))</f>
        <v/>
      </c>
      <c r="L176" s="127"/>
      <c r="M176" s="137"/>
      <c r="N176" s="58" t="str" cm="1">
        <f>IF(ISBLANK($A176),"",INDEX(Array_EmissionCharges,MATCH($A176,List_EmissionMeters,0),ROUNDUP((COLUMN()+0)/3-1,0)))</f>
        <v/>
      </c>
      <c r="O176" s="127"/>
      <c r="P176" s="137"/>
      <c r="Q176" s="58" t="str" cm="1">
        <f>IF(ISBLANK($A176),"",INDEX(Array_EmissionCharges,MATCH($A176,List_EmissionMeters,0),ROUNDUP((COLUMN()+0)/3-1,0)))</f>
        <v/>
      </c>
      <c r="R176" s="127"/>
      <c r="S176" s="137"/>
    </row>
    <row r="177" spans="1:19" x14ac:dyDescent="0.3">
      <c r="A177" s="126"/>
      <c r="B177" s="133"/>
      <c r="C177" s="127"/>
      <c r="D177" s="137"/>
      <c r="E177" s="58" t="str" cm="1">
        <f>IF(ISBLANK($A177),"",INDEX(Array_EmissionCharges,MATCH($A177,List_EmissionMeters,0),ROUNDUP((COLUMN()+0)/3-1,0)))</f>
        <v/>
      </c>
      <c r="F177" s="127"/>
      <c r="G177" s="137"/>
      <c r="H177" s="58" t="str" cm="1">
        <f>IF(ISBLANK($A177),"",INDEX(Array_EmissionCharges,MATCH($A177,List_EmissionMeters,0),ROUNDUP((COLUMN()+0)/3-1,0)))</f>
        <v/>
      </c>
      <c r="I177" s="127"/>
      <c r="J177" s="137"/>
      <c r="K177" s="58" t="str" cm="1">
        <f>IF(ISBLANK($A177),"",INDEX(Array_EmissionCharges,MATCH($A177,List_EmissionMeters,0),ROUNDUP((COLUMN()+0)/3-1,0)))</f>
        <v/>
      </c>
      <c r="L177" s="127"/>
      <c r="M177" s="137"/>
      <c r="N177" s="58" t="str" cm="1">
        <f>IF(ISBLANK($A177),"",INDEX(Array_EmissionCharges,MATCH($A177,List_EmissionMeters,0),ROUNDUP((COLUMN()+0)/3-1,0)))</f>
        <v/>
      </c>
      <c r="O177" s="127"/>
      <c r="P177" s="137"/>
      <c r="Q177" s="58" t="str" cm="1">
        <f>IF(ISBLANK($A177),"",INDEX(Array_EmissionCharges,MATCH($A177,List_EmissionMeters,0),ROUNDUP((COLUMN()+0)/3-1,0)))</f>
        <v/>
      </c>
      <c r="R177" s="127"/>
      <c r="S177" s="137"/>
    </row>
    <row r="178" spans="1:19" x14ac:dyDescent="0.3">
      <c r="A178" s="126"/>
      <c r="B178" s="133"/>
      <c r="C178" s="127"/>
      <c r="D178" s="137"/>
      <c r="E178" s="58" t="str" cm="1">
        <f>IF(ISBLANK($A178),"",INDEX(Array_EmissionCharges,MATCH($A178,List_EmissionMeters,0),ROUNDUP((COLUMN()+0)/3-1,0)))</f>
        <v/>
      </c>
      <c r="F178" s="127"/>
      <c r="G178" s="137"/>
      <c r="H178" s="58" t="str" cm="1">
        <f>IF(ISBLANK($A178),"",INDEX(Array_EmissionCharges,MATCH($A178,List_EmissionMeters,0),ROUNDUP((COLUMN()+0)/3-1,0)))</f>
        <v/>
      </c>
      <c r="I178" s="127"/>
      <c r="J178" s="137"/>
      <c r="K178" s="58" t="str" cm="1">
        <f>IF(ISBLANK($A178),"",INDEX(Array_EmissionCharges,MATCH($A178,List_EmissionMeters,0),ROUNDUP((COLUMN()+0)/3-1,0)))</f>
        <v/>
      </c>
      <c r="L178" s="127"/>
      <c r="M178" s="137"/>
      <c r="N178" s="58" t="str" cm="1">
        <f>IF(ISBLANK($A178),"",INDEX(Array_EmissionCharges,MATCH($A178,List_EmissionMeters,0),ROUNDUP((COLUMN()+0)/3-1,0)))</f>
        <v/>
      </c>
      <c r="O178" s="127"/>
      <c r="P178" s="137"/>
      <c r="Q178" s="58" t="str" cm="1">
        <f>IF(ISBLANK($A178),"",INDEX(Array_EmissionCharges,MATCH($A178,List_EmissionMeters,0),ROUNDUP((COLUMN()+0)/3-1,0)))</f>
        <v/>
      </c>
      <c r="R178" s="127"/>
      <c r="S178" s="137"/>
    </row>
    <row r="179" spans="1:19" x14ac:dyDescent="0.3">
      <c r="A179" s="126"/>
      <c r="B179" s="133"/>
      <c r="C179" s="127"/>
      <c r="D179" s="137"/>
      <c r="E179" s="58" t="str" cm="1">
        <f>IF(ISBLANK($A179),"",INDEX(Array_EmissionCharges,MATCH($A179,List_EmissionMeters,0),ROUNDUP((COLUMN()+0)/3-1,0)))</f>
        <v/>
      </c>
      <c r="F179" s="127"/>
      <c r="G179" s="137"/>
      <c r="H179" s="58" t="str" cm="1">
        <f>IF(ISBLANK($A179),"",INDEX(Array_EmissionCharges,MATCH($A179,List_EmissionMeters,0),ROUNDUP((COLUMN()+0)/3-1,0)))</f>
        <v/>
      </c>
      <c r="I179" s="127"/>
      <c r="J179" s="137"/>
      <c r="K179" s="58" t="str" cm="1">
        <f>IF(ISBLANK($A179),"",INDEX(Array_EmissionCharges,MATCH($A179,List_EmissionMeters,0),ROUNDUP((COLUMN()+0)/3-1,0)))</f>
        <v/>
      </c>
      <c r="L179" s="127"/>
      <c r="M179" s="137"/>
      <c r="N179" s="58" t="str" cm="1">
        <f>IF(ISBLANK($A179),"",INDEX(Array_EmissionCharges,MATCH($A179,List_EmissionMeters,0),ROUNDUP((COLUMN()+0)/3-1,0)))</f>
        <v/>
      </c>
      <c r="O179" s="127"/>
      <c r="P179" s="137"/>
      <c r="Q179" s="58" t="str" cm="1">
        <f>IF(ISBLANK($A179),"",INDEX(Array_EmissionCharges,MATCH($A179,List_EmissionMeters,0),ROUNDUP((COLUMN()+0)/3-1,0)))</f>
        <v/>
      </c>
      <c r="R179" s="127"/>
      <c r="S179" s="137"/>
    </row>
    <row r="180" spans="1:19" x14ac:dyDescent="0.3">
      <c r="A180" s="126"/>
      <c r="B180" s="133"/>
      <c r="C180" s="127"/>
      <c r="D180" s="137"/>
      <c r="E180" s="58" t="str" cm="1">
        <f>IF(ISBLANK($A180),"",INDEX(Array_EmissionCharges,MATCH($A180,List_EmissionMeters,0),ROUNDUP((COLUMN()+0)/3-1,0)))</f>
        <v/>
      </c>
      <c r="F180" s="127"/>
      <c r="G180" s="137"/>
      <c r="H180" s="58" t="str" cm="1">
        <f>IF(ISBLANK($A180),"",INDEX(Array_EmissionCharges,MATCH($A180,List_EmissionMeters,0),ROUNDUP((COLUMN()+0)/3-1,0)))</f>
        <v/>
      </c>
      <c r="I180" s="127"/>
      <c r="J180" s="137"/>
      <c r="K180" s="58" t="str" cm="1">
        <f>IF(ISBLANK($A180),"",INDEX(Array_EmissionCharges,MATCH($A180,List_EmissionMeters,0),ROUNDUP((COLUMN()+0)/3-1,0)))</f>
        <v/>
      </c>
      <c r="L180" s="127"/>
      <c r="M180" s="137"/>
      <c r="N180" s="58" t="str" cm="1">
        <f>IF(ISBLANK($A180),"",INDEX(Array_EmissionCharges,MATCH($A180,List_EmissionMeters,0),ROUNDUP((COLUMN()+0)/3-1,0)))</f>
        <v/>
      </c>
      <c r="O180" s="127"/>
      <c r="P180" s="137"/>
      <c r="Q180" s="58" t="str" cm="1">
        <f>IF(ISBLANK($A180),"",INDEX(Array_EmissionCharges,MATCH($A180,List_EmissionMeters,0),ROUNDUP((COLUMN()+0)/3-1,0)))</f>
        <v/>
      </c>
      <c r="R180" s="127"/>
      <c r="S180" s="137"/>
    </row>
    <row r="181" spans="1:19" x14ac:dyDescent="0.3">
      <c r="A181" s="126"/>
      <c r="B181" s="133"/>
      <c r="C181" s="127"/>
      <c r="D181" s="137"/>
      <c r="E181" s="58" t="str" cm="1">
        <f>IF(ISBLANK($A181),"",INDEX(Array_EmissionCharges,MATCH($A181,List_EmissionMeters,0),ROUNDUP((COLUMN()+0)/3-1,0)))</f>
        <v/>
      </c>
      <c r="F181" s="127"/>
      <c r="G181" s="137"/>
      <c r="H181" s="58" t="str" cm="1">
        <f>IF(ISBLANK($A181),"",INDEX(Array_EmissionCharges,MATCH($A181,List_EmissionMeters,0),ROUNDUP((COLUMN()+0)/3-1,0)))</f>
        <v/>
      </c>
      <c r="I181" s="127"/>
      <c r="J181" s="137"/>
      <c r="K181" s="58" t="str" cm="1">
        <f>IF(ISBLANK($A181),"",INDEX(Array_EmissionCharges,MATCH($A181,List_EmissionMeters,0),ROUNDUP((COLUMN()+0)/3-1,0)))</f>
        <v/>
      </c>
      <c r="L181" s="127"/>
      <c r="M181" s="137"/>
      <c r="N181" s="58" t="str" cm="1">
        <f>IF(ISBLANK($A181),"",INDEX(Array_EmissionCharges,MATCH($A181,List_EmissionMeters,0),ROUNDUP((COLUMN()+0)/3-1,0)))</f>
        <v/>
      </c>
      <c r="O181" s="127"/>
      <c r="P181" s="137"/>
      <c r="Q181" s="58" t="str" cm="1">
        <f>IF(ISBLANK($A181),"",INDEX(Array_EmissionCharges,MATCH($A181,List_EmissionMeters,0),ROUNDUP((COLUMN()+0)/3-1,0)))</f>
        <v/>
      </c>
      <c r="R181" s="127"/>
      <c r="S181" s="137"/>
    </row>
    <row r="182" spans="1:19" x14ac:dyDescent="0.3">
      <c r="A182" s="126"/>
      <c r="B182" s="133"/>
      <c r="C182" s="127"/>
      <c r="D182" s="137"/>
      <c r="E182" s="58" t="str" cm="1">
        <f>IF(ISBLANK($A182),"",INDEX(Array_EmissionCharges,MATCH($A182,List_EmissionMeters,0),ROUNDUP((COLUMN()+0)/3-1,0)))</f>
        <v/>
      </c>
      <c r="F182" s="127"/>
      <c r="G182" s="137"/>
      <c r="H182" s="58" t="str" cm="1">
        <f>IF(ISBLANK($A182),"",INDEX(Array_EmissionCharges,MATCH($A182,List_EmissionMeters,0),ROUNDUP((COLUMN()+0)/3-1,0)))</f>
        <v/>
      </c>
      <c r="I182" s="127"/>
      <c r="J182" s="137"/>
      <c r="K182" s="58" t="str" cm="1">
        <f>IF(ISBLANK($A182),"",INDEX(Array_EmissionCharges,MATCH($A182,List_EmissionMeters,0),ROUNDUP((COLUMN()+0)/3-1,0)))</f>
        <v/>
      </c>
      <c r="L182" s="127"/>
      <c r="M182" s="137"/>
      <c r="N182" s="58" t="str" cm="1">
        <f>IF(ISBLANK($A182),"",INDEX(Array_EmissionCharges,MATCH($A182,List_EmissionMeters,0),ROUNDUP((COLUMN()+0)/3-1,0)))</f>
        <v/>
      </c>
      <c r="O182" s="127"/>
      <c r="P182" s="137"/>
      <c r="Q182" s="58" t="str" cm="1">
        <f>IF(ISBLANK($A182),"",INDEX(Array_EmissionCharges,MATCH($A182,List_EmissionMeters,0),ROUNDUP((COLUMN()+0)/3-1,0)))</f>
        <v/>
      </c>
      <c r="R182" s="127"/>
      <c r="S182" s="137"/>
    </row>
    <row r="183" spans="1:19" x14ac:dyDescent="0.3">
      <c r="A183" s="126"/>
      <c r="B183" s="133"/>
      <c r="C183" s="127"/>
      <c r="D183" s="137"/>
      <c r="E183" s="58" t="str" cm="1">
        <f>IF(ISBLANK($A183),"",INDEX(Array_EmissionCharges,MATCH($A183,List_EmissionMeters,0),ROUNDUP((COLUMN()+0)/3-1,0)))</f>
        <v/>
      </c>
      <c r="F183" s="127"/>
      <c r="G183" s="137"/>
      <c r="H183" s="58" t="str" cm="1">
        <f>IF(ISBLANK($A183),"",INDEX(Array_EmissionCharges,MATCH($A183,List_EmissionMeters,0),ROUNDUP((COLUMN()+0)/3-1,0)))</f>
        <v/>
      </c>
      <c r="I183" s="127"/>
      <c r="J183" s="137"/>
      <c r="K183" s="58" t="str" cm="1">
        <f>IF(ISBLANK($A183),"",INDEX(Array_EmissionCharges,MATCH($A183,List_EmissionMeters,0),ROUNDUP((COLUMN()+0)/3-1,0)))</f>
        <v/>
      </c>
      <c r="L183" s="127"/>
      <c r="M183" s="137"/>
      <c r="N183" s="58" t="str" cm="1">
        <f>IF(ISBLANK($A183),"",INDEX(Array_EmissionCharges,MATCH($A183,List_EmissionMeters,0),ROUNDUP((COLUMN()+0)/3-1,0)))</f>
        <v/>
      </c>
      <c r="O183" s="127"/>
      <c r="P183" s="137"/>
      <c r="Q183" s="58" t="str" cm="1">
        <f>IF(ISBLANK($A183),"",INDEX(Array_EmissionCharges,MATCH($A183,List_EmissionMeters,0),ROUNDUP((COLUMN()+0)/3-1,0)))</f>
        <v/>
      </c>
      <c r="R183" s="127"/>
      <c r="S183" s="137"/>
    </row>
    <row r="184" spans="1:19" x14ac:dyDescent="0.3">
      <c r="A184" s="126"/>
      <c r="B184" s="133"/>
      <c r="C184" s="127"/>
      <c r="D184" s="137"/>
      <c r="E184" s="58" t="str" cm="1">
        <f>IF(ISBLANK($A184),"",INDEX(Array_EmissionCharges,MATCH($A184,List_EmissionMeters,0),ROUNDUP((COLUMN()+0)/3-1,0)))</f>
        <v/>
      </c>
      <c r="F184" s="127"/>
      <c r="G184" s="137"/>
      <c r="H184" s="58" t="str" cm="1">
        <f>IF(ISBLANK($A184),"",INDEX(Array_EmissionCharges,MATCH($A184,List_EmissionMeters,0),ROUNDUP((COLUMN()+0)/3-1,0)))</f>
        <v/>
      </c>
      <c r="I184" s="127"/>
      <c r="J184" s="137"/>
      <c r="K184" s="58" t="str" cm="1">
        <f>IF(ISBLANK($A184),"",INDEX(Array_EmissionCharges,MATCH($A184,List_EmissionMeters,0),ROUNDUP((COLUMN()+0)/3-1,0)))</f>
        <v/>
      </c>
      <c r="L184" s="127"/>
      <c r="M184" s="137"/>
      <c r="N184" s="58" t="str" cm="1">
        <f>IF(ISBLANK($A184),"",INDEX(Array_EmissionCharges,MATCH($A184,List_EmissionMeters,0),ROUNDUP((COLUMN()+0)/3-1,0)))</f>
        <v/>
      </c>
      <c r="O184" s="127"/>
      <c r="P184" s="137"/>
      <c r="Q184" s="58" t="str" cm="1">
        <f>IF(ISBLANK($A184),"",INDEX(Array_EmissionCharges,MATCH($A184,List_EmissionMeters,0),ROUNDUP((COLUMN()+0)/3-1,0)))</f>
        <v/>
      </c>
      <c r="R184" s="127"/>
      <c r="S184" s="137"/>
    </row>
    <row r="185" spans="1:19" x14ac:dyDescent="0.3">
      <c r="A185" s="126"/>
      <c r="B185" s="133"/>
      <c r="C185" s="127"/>
      <c r="D185" s="137"/>
      <c r="E185" s="58" t="str" cm="1">
        <f>IF(ISBLANK($A185),"",INDEX(Array_EmissionCharges,MATCH($A185,List_EmissionMeters,0),ROUNDUP((COLUMN()+0)/3-1,0)))</f>
        <v/>
      </c>
      <c r="F185" s="127"/>
      <c r="G185" s="137"/>
      <c r="H185" s="58" t="str" cm="1">
        <f>IF(ISBLANK($A185),"",INDEX(Array_EmissionCharges,MATCH($A185,List_EmissionMeters,0),ROUNDUP((COLUMN()+0)/3-1,0)))</f>
        <v/>
      </c>
      <c r="I185" s="127"/>
      <c r="J185" s="137"/>
      <c r="K185" s="58" t="str" cm="1">
        <f>IF(ISBLANK($A185),"",INDEX(Array_EmissionCharges,MATCH($A185,List_EmissionMeters,0),ROUNDUP((COLUMN()+0)/3-1,0)))</f>
        <v/>
      </c>
      <c r="L185" s="127"/>
      <c r="M185" s="137"/>
      <c r="N185" s="58" t="str" cm="1">
        <f>IF(ISBLANK($A185),"",INDEX(Array_EmissionCharges,MATCH($A185,List_EmissionMeters,0),ROUNDUP((COLUMN()+0)/3-1,0)))</f>
        <v/>
      </c>
      <c r="O185" s="127"/>
      <c r="P185" s="137"/>
      <c r="Q185" s="58" t="str" cm="1">
        <f>IF(ISBLANK($A185),"",INDEX(Array_EmissionCharges,MATCH($A185,List_EmissionMeters,0),ROUNDUP((COLUMN()+0)/3-1,0)))</f>
        <v/>
      </c>
      <c r="R185" s="127"/>
      <c r="S185" s="137"/>
    </row>
    <row r="186" spans="1:19" x14ac:dyDescent="0.3">
      <c r="A186" s="126"/>
      <c r="B186" s="133"/>
      <c r="C186" s="127"/>
      <c r="D186" s="137"/>
      <c r="E186" s="58" t="str" cm="1">
        <f>IF(ISBLANK($A186),"",INDEX(Array_EmissionCharges,MATCH($A186,List_EmissionMeters,0),ROUNDUP((COLUMN()+0)/3-1,0)))</f>
        <v/>
      </c>
      <c r="F186" s="127"/>
      <c r="G186" s="137"/>
      <c r="H186" s="58" t="str" cm="1">
        <f>IF(ISBLANK($A186),"",INDEX(Array_EmissionCharges,MATCH($A186,List_EmissionMeters,0),ROUNDUP((COLUMN()+0)/3-1,0)))</f>
        <v/>
      </c>
      <c r="I186" s="127"/>
      <c r="J186" s="137"/>
      <c r="K186" s="58" t="str" cm="1">
        <f>IF(ISBLANK($A186),"",INDEX(Array_EmissionCharges,MATCH($A186,List_EmissionMeters,0),ROUNDUP((COLUMN()+0)/3-1,0)))</f>
        <v/>
      </c>
      <c r="L186" s="127"/>
      <c r="M186" s="137"/>
      <c r="N186" s="58" t="str" cm="1">
        <f>IF(ISBLANK($A186),"",INDEX(Array_EmissionCharges,MATCH($A186,List_EmissionMeters,0),ROUNDUP((COLUMN()+0)/3-1,0)))</f>
        <v/>
      </c>
      <c r="O186" s="127"/>
      <c r="P186" s="137"/>
      <c r="Q186" s="58" t="str" cm="1">
        <f>IF(ISBLANK($A186),"",INDEX(Array_EmissionCharges,MATCH($A186,List_EmissionMeters,0),ROUNDUP((COLUMN()+0)/3-1,0)))</f>
        <v/>
      </c>
      <c r="R186" s="127"/>
      <c r="S186" s="137"/>
    </row>
    <row r="187" spans="1:19" x14ac:dyDescent="0.3">
      <c r="A187" s="126"/>
      <c r="B187" s="133"/>
      <c r="C187" s="127"/>
      <c r="D187" s="137"/>
      <c r="E187" s="58" t="str" cm="1">
        <f>IF(ISBLANK($A187),"",INDEX(Array_EmissionCharges,MATCH($A187,List_EmissionMeters,0),ROUNDUP((COLUMN()+0)/3-1,0)))</f>
        <v/>
      </c>
      <c r="F187" s="127"/>
      <c r="G187" s="137"/>
      <c r="H187" s="58" t="str" cm="1">
        <f>IF(ISBLANK($A187),"",INDEX(Array_EmissionCharges,MATCH($A187,List_EmissionMeters,0),ROUNDUP((COLUMN()+0)/3-1,0)))</f>
        <v/>
      </c>
      <c r="I187" s="127"/>
      <c r="J187" s="137"/>
      <c r="K187" s="58" t="str" cm="1">
        <f>IF(ISBLANK($A187),"",INDEX(Array_EmissionCharges,MATCH($A187,List_EmissionMeters,0),ROUNDUP((COLUMN()+0)/3-1,0)))</f>
        <v/>
      </c>
      <c r="L187" s="127"/>
      <c r="M187" s="137"/>
      <c r="N187" s="58" t="str" cm="1">
        <f>IF(ISBLANK($A187),"",INDEX(Array_EmissionCharges,MATCH($A187,List_EmissionMeters,0),ROUNDUP((COLUMN()+0)/3-1,0)))</f>
        <v/>
      </c>
      <c r="O187" s="127"/>
      <c r="P187" s="137"/>
      <c r="Q187" s="58" t="str" cm="1">
        <f>IF(ISBLANK($A187),"",INDEX(Array_EmissionCharges,MATCH($A187,List_EmissionMeters,0),ROUNDUP((COLUMN()+0)/3-1,0)))</f>
        <v/>
      </c>
      <c r="R187" s="127"/>
      <c r="S187" s="137"/>
    </row>
    <row r="188" spans="1:19" x14ac:dyDescent="0.3">
      <c r="A188" s="126"/>
      <c r="B188" s="133"/>
      <c r="C188" s="127"/>
      <c r="D188" s="137"/>
      <c r="E188" s="58" t="str" cm="1">
        <f>IF(ISBLANK($A188),"",INDEX(Array_EmissionCharges,MATCH($A188,List_EmissionMeters,0),ROUNDUP((COLUMN()+0)/3-1,0)))</f>
        <v/>
      </c>
      <c r="F188" s="127"/>
      <c r="G188" s="137"/>
      <c r="H188" s="58" t="str" cm="1">
        <f>IF(ISBLANK($A188),"",INDEX(Array_EmissionCharges,MATCH($A188,List_EmissionMeters,0),ROUNDUP((COLUMN()+0)/3-1,0)))</f>
        <v/>
      </c>
      <c r="I188" s="127"/>
      <c r="J188" s="137"/>
      <c r="K188" s="58" t="str" cm="1">
        <f>IF(ISBLANK($A188),"",INDEX(Array_EmissionCharges,MATCH($A188,List_EmissionMeters,0),ROUNDUP((COLUMN()+0)/3-1,0)))</f>
        <v/>
      </c>
      <c r="L188" s="127"/>
      <c r="M188" s="137"/>
      <c r="N188" s="58" t="str" cm="1">
        <f>IF(ISBLANK($A188),"",INDEX(Array_EmissionCharges,MATCH($A188,List_EmissionMeters,0),ROUNDUP((COLUMN()+0)/3-1,0)))</f>
        <v/>
      </c>
      <c r="O188" s="127"/>
      <c r="P188" s="137"/>
      <c r="Q188" s="58" t="str" cm="1">
        <f>IF(ISBLANK($A188),"",INDEX(Array_EmissionCharges,MATCH($A188,List_EmissionMeters,0),ROUNDUP((COLUMN()+0)/3-1,0)))</f>
        <v/>
      </c>
      <c r="R188" s="127"/>
      <c r="S188" s="137"/>
    </row>
    <row r="189" spans="1:19" x14ac:dyDescent="0.3">
      <c r="A189" s="126"/>
      <c r="B189" s="133"/>
      <c r="C189" s="127"/>
      <c r="D189" s="137"/>
      <c r="E189" s="58" t="str" cm="1">
        <f>IF(ISBLANK($A189),"",INDEX(Array_EmissionCharges,MATCH($A189,List_EmissionMeters,0),ROUNDUP((COLUMN()+0)/3-1,0)))</f>
        <v/>
      </c>
      <c r="F189" s="127"/>
      <c r="G189" s="137"/>
      <c r="H189" s="58" t="str" cm="1">
        <f>IF(ISBLANK($A189),"",INDEX(Array_EmissionCharges,MATCH($A189,List_EmissionMeters,0),ROUNDUP((COLUMN()+0)/3-1,0)))</f>
        <v/>
      </c>
      <c r="I189" s="127"/>
      <c r="J189" s="137"/>
      <c r="K189" s="58" t="str" cm="1">
        <f>IF(ISBLANK($A189),"",INDEX(Array_EmissionCharges,MATCH($A189,List_EmissionMeters,0),ROUNDUP((COLUMN()+0)/3-1,0)))</f>
        <v/>
      </c>
      <c r="L189" s="127"/>
      <c r="M189" s="137"/>
      <c r="N189" s="58" t="str" cm="1">
        <f>IF(ISBLANK($A189),"",INDEX(Array_EmissionCharges,MATCH($A189,List_EmissionMeters,0),ROUNDUP((COLUMN()+0)/3-1,0)))</f>
        <v/>
      </c>
      <c r="O189" s="127"/>
      <c r="P189" s="137"/>
      <c r="Q189" s="58" t="str" cm="1">
        <f>IF(ISBLANK($A189),"",INDEX(Array_EmissionCharges,MATCH($A189,List_EmissionMeters,0),ROUNDUP((COLUMN()+0)/3-1,0)))</f>
        <v/>
      </c>
      <c r="R189" s="127"/>
      <c r="S189" s="137"/>
    </row>
    <row r="190" spans="1:19" x14ac:dyDescent="0.3">
      <c r="A190" s="126"/>
      <c r="B190" s="133"/>
      <c r="C190" s="127"/>
      <c r="D190" s="137"/>
      <c r="E190" s="58" t="str" cm="1">
        <f>IF(ISBLANK($A190),"",INDEX(Array_EmissionCharges,MATCH($A190,List_EmissionMeters,0),ROUNDUP((COLUMN()+0)/3-1,0)))</f>
        <v/>
      </c>
      <c r="F190" s="127"/>
      <c r="G190" s="137"/>
      <c r="H190" s="58" t="str" cm="1">
        <f>IF(ISBLANK($A190),"",INDEX(Array_EmissionCharges,MATCH($A190,List_EmissionMeters,0),ROUNDUP((COLUMN()+0)/3-1,0)))</f>
        <v/>
      </c>
      <c r="I190" s="127"/>
      <c r="J190" s="137"/>
      <c r="K190" s="58" t="str" cm="1">
        <f>IF(ISBLANK($A190),"",INDEX(Array_EmissionCharges,MATCH($A190,List_EmissionMeters,0),ROUNDUP((COLUMN()+0)/3-1,0)))</f>
        <v/>
      </c>
      <c r="L190" s="127"/>
      <c r="M190" s="137"/>
      <c r="N190" s="58" t="str" cm="1">
        <f>IF(ISBLANK($A190),"",INDEX(Array_EmissionCharges,MATCH($A190,List_EmissionMeters,0),ROUNDUP((COLUMN()+0)/3-1,0)))</f>
        <v/>
      </c>
      <c r="O190" s="127"/>
      <c r="P190" s="137"/>
      <c r="Q190" s="58" t="str" cm="1">
        <f>IF(ISBLANK($A190),"",INDEX(Array_EmissionCharges,MATCH($A190,List_EmissionMeters,0),ROUNDUP((COLUMN()+0)/3-1,0)))</f>
        <v/>
      </c>
      <c r="R190" s="127"/>
      <c r="S190" s="137"/>
    </row>
    <row r="191" spans="1:19" x14ac:dyDescent="0.3">
      <c r="A191" s="126"/>
      <c r="B191" s="133"/>
      <c r="C191" s="127"/>
      <c r="D191" s="137"/>
      <c r="E191" s="58" t="str" cm="1">
        <f>IF(ISBLANK($A191),"",INDEX(Array_EmissionCharges,MATCH($A191,List_EmissionMeters,0),ROUNDUP((COLUMN()+0)/3-1,0)))</f>
        <v/>
      </c>
      <c r="F191" s="127"/>
      <c r="G191" s="137"/>
      <c r="H191" s="58" t="str" cm="1">
        <f>IF(ISBLANK($A191),"",INDEX(Array_EmissionCharges,MATCH($A191,List_EmissionMeters,0),ROUNDUP((COLUMN()+0)/3-1,0)))</f>
        <v/>
      </c>
      <c r="I191" s="127"/>
      <c r="J191" s="137"/>
      <c r="K191" s="58" t="str" cm="1">
        <f>IF(ISBLANK($A191),"",INDEX(Array_EmissionCharges,MATCH($A191,List_EmissionMeters,0),ROUNDUP((COLUMN()+0)/3-1,0)))</f>
        <v/>
      </c>
      <c r="L191" s="127"/>
      <c r="M191" s="137"/>
      <c r="N191" s="58" t="str" cm="1">
        <f>IF(ISBLANK($A191),"",INDEX(Array_EmissionCharges,MATCH($A191,List_EmissionMeters,0),ROUNDUP((COLUMN()+0)/3-1,0)))</f>
        <v/>
      </c>
      <c r="O191" s="127"/>
      <c r="P191" s="137"/>
      <c r="Q191" s="58" t="str" cm="1">
        <f>IF(ISBLANK($A191),"",INDEX(Array_EmissionCharges,MATCH($A191,List_EmissionMeters,0),ROUNDUP((COLUMN()+0)/3-1,0)))</f>
        <v/>
      </c>
      <c r="R191" s="127"/>
      <c r="S191" s="137"/>
    </row>
    <row r="192" spans="1:19" x14ac:dyDescent="0.3">
      <c r="A192" s="126"/>
      <c r="B192" s="133"/>
      <c r="C192" s="127"/>
      <c r="D192" s="137"/>
      <c r="E192" s="58" t="str" cm="1">
        <f>IF(ISBLANK($A192),"",INDEX(Array_EmissionCharges,MATCH($A192,List_EmissionMeters,0),ROUNDUP((COLUMN()+0)/3-1,0)))</f>
        <v/>
      </c>
      <c r="F192" s="127"/>
      <c r="G192" s="137"/>
      <c r="H192" s="58" t="str" cm="1">
        <f>IF(ISBLANK($A192),"",INDEX(Array_EmissionCharges,MATCH($A192,List_EmissionMeters,0),ROUNDUP((COLUMN()+0)/3-1,0)))</f>
        <v/>
      </c>
      <c r="I192" s="127"/>
      <c r="J192" s="137"/>
      <c r="K192" s="58" t="str" cm="1">
        <f>IF(ISBLANK($A192),"",INDEX(Array_EmissionCharges,MATCH($A192,List_EmissionMeters,0),ROUNDUP((COLUMN()+0)/3-1,0)))</f>
        <v/>
      </c>
      <c r="L192" s="127"/>
      <c r="M192" s="137"/>
      <c r="N192" s="58" t="str" cm="1">
        <f>IF(ISBLANK($A192),"",INDEX(Array_EmissionCharges,MATCH($A192,List_EmissionMeters,0),ROUNDUP((COLUMN()+0)/3-1,0)))</f>
        <v/>
      </c>
      <c r="O192" s="127"/>
      <c r="P192" s="137"/>
      <c r="Q192" s="58" t="str" cm="1">
        <f>IF(ISBLANK($A192),"",INDEX(Array_EmissionCharges,MATCH($A192,List_EmissionMeters,0),ROUNDUP((COLUMN()+0)/3-1,0)))</f>
        <v/>
      </c>
      <c r="R192" s="127"/>
      <c r="S192" s="137"/>
    </row>
    <row r="193" spans="1:19" x14ac:dyDescent="0.3">
      <c r="A193" s="126"/>
      <c r="B193" s="133"/>
      <c r="C193" s="127"/>
      <c r="D193" s="137"/>
      <c r="E193" s="58" t="str" cm="1">
        <f>IF(ISBLANK($A193),"",INDEX(Array_EmissionCharges,MATCH($A193,List_EmissionMeters,0),ROUNDUP((COLUMN()+0)/3-1,0)))</f>
        <v/>
      </c>
      <c r="F193" s="127"/>
      <c r="G193" s="137"/>
      <c r="H193" s="58" t="str" cm="1">
        <f>IF(ISBLANK($A193),"",INDEX(Array_EmissionCharges,MATCH($A193,List_EmissionMeters,0),ROUNDUP((COLUMN()+0)/3-1,0)))</f>
        <v/>
      </c>
      <c r="I193" s="127"/>
      <c r="J193" s="137"/>
      <c r="K193" s="58" t="str" cm="1">
        <f>IF(ISBLANK($A193),"",INDEX(Array_EmissionCharges,MATCH($A193,List_EmissionMeters,0),ROUNDUP((COLUMN()+0)/3-1,0)))</f>
        <v/>
      </c>
      <c r="L193" s="127"/>
      <c r="M193" s="137"/>
      <c r="N193" s="58" t="str" cm="1">
        <f>IF(ISBLANK($A193),"",INDEX(Array_EmissionCharges,MATCH($A193,List_EmissionMeters,0),ROUNDUP((COLUMN()+0)/3-1,0)))</f>
        <v/>
      </c>
      <c r="O193" s="127"/>
      <c r="P193" s="137"/>
      <c r="Q193" s="58" t="str" cm="1">
        <f>IF(ISBLANK($A193),"",INDEX(Array_EmissionCharges,MATCH($A193,List_EmissionMeters,0),ROUNDUP((COLUMN()+0)/3-1,0)))</f>
        <v/>
      </c>
      <c r="R193" s="127"/>
      <c r="S193" s="137"/>
    </row>
    <row r="194" spans="1:19" x14ac:dyDescent="0.3">
      <c r="A194" s="126"/>
      <c r="B194" s="133"/>
      <c r="C194" s="127"/>
      <c r="D194" s="137"/>
      <c r="E194" s="58" t="str" cm="1">
        <f>IF(ISBLANK($A194),"",INDEX(Array_EmissionCharges,MATCH($A194,List_EmissionMeters,0),ROUNDUP((COLUMN()+0)/3-1,0)))</f>
        <v/>
      </c>
      <c r="F194" s="127"/>
      <c r="G194" s="137"/>
      <c r="H194" s="58" t="str" cm="1">
        <f>IF(ISBLANK($A194),"",INDEX(Array_EmissionCharges,MATCH($A194,List_EmissionMeters,0),ROUNDUP((COLUMN()+0)/3-1,0)))</f>
        <v/>
      </c>
      <c r="I194" s="127"/>
      <c r="J194" s="137"/>
      <c r="K194" s="58" t="str" cm="1">
        <f>IF(ISBLANK($A194),"",INDEX(Array_EmissionCharges,MATCH($A194,List_EmissionMeters,0),ROUNDUP((COLUMN()+0)/3-1,0)))</f>
        <v/>
      </c>
      <c r="L194" s="127"/>
      <c r="M194" s="137"/>
      <c r="N194" s="58" t="str" cm="1">
        <f>IF(ISBLANK($A194),"",INDEX(Array_EmissionCharges,MATCH($A194,List_EmissionMeters,0),ROUNDUP((COLUMN()+0)/3-1,0)))</f>
        <v/>
      </c>
      <c r="O194" s="127"/>
      <c r="P194" s="137"/>
      <c r="Q194" s="58" t="str" cm="1">
        <f>IF(ISBLANK($A194),"",INDEX(Array_EmissionCharges,MATCH($A194,List_EmissionMeters,0),ROUNDUP((COLUMN()+0)/3-1,0)))</f>
        <v/>
      </c>
      <c r="R194" s="127"/>
      <c r="S194" s="137"/>
    </row>
    <row r="195" spans="1:19" x14ac:dyDescent="0.3">
      <c r="A195" s="126"/>
      <c r="B195" s="133"/>
      <c r="C195" s="127"/>
      <c r="D195" s="137"/>
      <c r="E195" s="58" t="str" cm="1">
        <f>IF(ISBLANK($A195),"",INDEX(Array_EmissionCharges,MATCH($A195,List_EmissionMeters,0),ROUNDUP((COLUMN()+0)/3-1,0)))</f>
        <v/>
      </c>
      <c r="F195" s="127"/>
      <c r="G195" s="137"/>
      <c r="H195" s="58" t="str" cm="1">
        <f>IF(ISBLANK($A195),"",INDEX(Array_EmissionCharges,MATCH($A195,List_EmissionMeters,0),ROUNDUP((COLUMN()+0)/3-1,0)))</f>
        <v/>
      </c>
      <c r="I195" s="127"/>
      <c r="J195" s="137"/>
      <c r="K195" s="58" t="str" cm="1">
        <f>IF(ISBLANK($A195),"",INDEX(Array_EmissionCharges,MATCH($A195,List_EmissionMeters,0),ROUNDUP((COLUMN()+0)/3-1,0)))</f>
        <v/>
      </c>
      <c r="L195" s="127"/>
      <c r="M195" s="137"/>
      <c r="N195" s="58" t="str" cm="1">
        <f>IF(ISBLANK($A195),"",INDEX(Array_EmissionCharges,MATCH($A195,List_EmissionMeters,0),ROUNDUP((COLUMN()+0)/3-1,0)))</f>
        <v/>
      </c>
      <c r="O195" s="127"/>
      <c r="P195" s="137"/>
      <c r="Q195" s="58" t="str" cm="1">
        <f>IF(ISBLANK($A195),"",INDEX(Array_EmissionCharges,MATCH($A195,List_EmissionMeters,0),ROUNDUP((COLUMN()+0)/3-1,0)))</f>
        <v/>
      </c>
      <c r="R195" s="127"/>
      <c r="S195" s="137"/>
    </row>
    <row r="196" spans="1:19" x14ac:dyDescent="0.3">
      <c r="A196" s="126"/>
      <c r="B196" s="133"/>
      <c r="C196" s="127"/>
      <c r="D196" s="137"/>
      <c r="E196" s="58" t="str" cm="1">
        <f>IF(ISBLANK($A196),"",INDEX(Array_EmissionCharges,MATCH($A196,List_EmissionMeters,0),ROUNDUP((COLUMN()+0)/3-1,0)))</f>
        <v/>
      </c>
      <c r="F196" s="127"/>
      <c r="G196" s="137"/>
      <c r="H196" s="58" t="str" cm="1">
        <f>IF(ISBLANK($A196),"",INDEX(Array_EmissionCharges,MATCH($A196,List_EmissionMeters,0),ROUNDUP((COLUMN()+0)/3-1,0)))</f>
        <v/>
      </c>
      <c r="I196" s="127"/>
      <c r="J196" s="137"/>
      <c r="K196" s="58" t="str" cm="1">
        <f>IF(ISBLANK($A196),"",INDEX(Array_EmissionCharges,MATCH($A196,List_EmissionMeters,0),ROUNDUP((COLUMN()+0)/3-1,0)))</f>
        <v/>
      </c>
      <c r="L196" s="127"/>
      <c r="M196" s="137"/>
      <c r="N196" s="58" t="str" cm="1">
        <f>IF(ISBLANK($A196),"",INDEX(Array_EmissionCharges,MATCH($A196,List_EmissionMeters,0),ROUNDUP((COLUMN()+0)/3-1,0)))</f>
        <v/>
      </c>
      <c r="O196" s="127"/>
      <c r="P196" s="137"/>
      <c r="Q196" s="58" t="str" cm="1">
        <f>IF(ISBLANK($A196),"",INDEX(Array_EmissionCharges,MATCH($A196,List_EmissionMeters,0),ROUNDUP((COLUMN()+0)/3-1,0)))</f>
        <v/>
      </c>
      <c r="R196" s="127"/>
      <c r="S196" s="137"/>
    </row>
    <row r="197" spans="1:19" x14ac:dyDescent="0.3">
      <c r="A197" s="126"/>
      <c r="B197" s="133"/>
      <c r="C197" s="127"/>
      <c r="D197" s="137"/>
      <c r="E197" s="58" t="str" cm="1">
        <f>IF(ISBLANK($A197),"",INDEX(Array_EmissionCharges,MATCH($A197,List_EmissionMeters,0),ROUNDUP((COLUMN()+0)/3-1,0)))</f>
        <v/>
      </c>
      <c r="F197" s="127"/>
      <c r="G197" s="137"/>
      <c r="H197" s="58" t="str" cm="1">
        <f>IF(ISBLANK($A197),"",INDEX(Array_EmissionCharges,MATCH($A197,List_EmissionMeters,0),ROUNDUP((COLUMN()+0)/3-1,0)))</f>
        <v/>
      </c>
      <c r="I197" s="127"/>
      <c r="J197" s="137"/>
      <c r="K197" s="58" t="str" cm="1">
        <f>IF(ISBLANK($A197),"",INDEX(Array_EmissionCharges,MATCH($A197,List_EmissionMeters,0),ROUNDUP((COLUMN()+0)/3-1,0)))</f>
        <v/>
      </c>
      <c r="L197" s="127"/>
      <c r="M197" s="137"/>
      <c r="N197" s="58" t="str" cm="1">
        <f>IF(ISBLANK($A197),"",INDEX(Array_EmissionCharges,MATCH($A197,List_EmissionMeters,0),ROUNDUP((COLUMN()+0)/3-1,0)))</f>
        <v/>
      </c>
      <c r="O197" s="127"/>
      <c r="P197" s="137"/>
      <c r="Q197" s="58" t="str" cm="1">
        <f>IF(ISBLANK($A197),"",INDEX(Array_EmissionCharges,MATCH($A197,List_EmissionMeters,0),ROUNDUP((COLUMN()+0)/3-1,0)))</f>
        <v/>
      </c>
      <c r="R197" s="127"/>
      <c r="S197" s="137"/>
    </row>
    <row r="198" spans="1:19" x14ac:dyDescent="0.3">
      <c r="A198" s="126"/>
      <c r="B198" s="133"/>
      <c r="C198" s="127"/>
      <c r="D198" s="137"/>
      <c r="E198" s="58" t="str" cm="1">
        <f>IF(ISBLANK($A198),"",INDEX(Array_EmissionCharges,MATCH($A198,List_EmissionMeters,0),ROUNDUP((COLUMN()+0)/3-1,0)))</f>
        <v/>
      </c>
      <c r="F198" s="127"/>
      <c r="G198" s="137"/>
      <c r="H198" s="58" t="str" cm="1">
        <f>IF(ISBLANK($A198),"",INDEX(Array_EmissionCharges,MATCH($A198,List_EmissionMeters,0),ROUNDUP((COLUMN()+0)/3-1,0)))</f>
        <v/>
      </c>
      <c r="I198" s="127"/>
      <c r="J198" s="137"/>
      <c r="K198" s="58" t="str" cm="1">
        <f>IF(ISBLANK($A198),"",INDEX(Array_EmissionCharges,MATCH($A198,List_EmissionMeters,0),ROUNDUP((COLUMN()+0)/3-1,0)))</f>
        <v/>
      </c>
      <c r="L198" s="127"/>
      <c r="M198" s="137"/>
      <c r="N198" s="58" t="str" cm="1">
        <f>IF(ISBLANK($A198),"",INDEX(Array_EmissionCharges,MATCH($A198,List_EmissionMeters,0),ROUNDUP((COLUMN()+0)/3-1,0)))</f>
        <v/>
      </c>
      <c r="O198" s="127"/>
      <c r="P198" s="137"/>
      <c r="Q198" s="58" t="str" cm="1">
        <f>IF(ISBLANK($A198),"",INDEX(Array_EmissionCharges,MATCH($A198,List_EmissionMeters,0),ROUNDUP((COLUMN()+0)/3-1,0)))</f>
        <v/>
      </c>
      <c r="R198" s="127"/>
      <c r="S198" s="137"/>
    </row>
    <row r="199" spans="1:19" x14ac:dyDescent="0.3">
      <c r="A199" s="126"/>
      <c r="B199" s="133"/>
      <c r="C199" s="127"/>
      <c r="D199" s="137"/>
      <c r="E199" s="58" t="str" cm="1">
        <f>IF(ISBLANK($A199),"",INDEX(Array_EmissionCharges,MATCH($A199,List_EmissionMeters,0),ROUNDUP((COLUMN()+0)/3-1,0)))</f>
        <v/>
      </c>
      <c r="F199" s="127"/>
      <c r="G199" s="137"/>
      <c r="H199" s="58" t="str" cm="1">
        <f>IF(ISBLANK($A199),"",INDEX(Array_EmissionCharges,MATCH($A199,List_EmissionMeters,0),ROUNDUP((COLUMN()+0)/3-1,0)))</f>
        <v/>
      </c>
      <c r="I199" s="127"/>
      <c r="J199" s="137"/>
      <c r="K199" s="58" t="str" cm="1">
        <f>IF(ISBLANK($A199),"",INDEX(Array_EmissionCharges,MATCH($A199,List_EmissionMeters,0),ROUNDUP((COLUMN()+0)/3-1,0)))</f>
        <v/>
      </c>
      <c r="L199" s="127"/>
      <c r="M199" s="137"/>
      <c r="N199" s="58" t="str" cm="1">
        <f>IF(ISBLANK($A199),"",INDEX(Array_EmissionCharges,MATCH($A199,List_EmissionMeters,0),ROUNDUP((COLUMN()+0)/3-1,0)))</f>
        <v/>
      </c>
      <c r="O199" s="127"/>
      <c r="P199" s="137"/>
      <c r="Q199" s="58" t="str" cm="1">
        <f>IF(ISBLANK($A199),"",INDEX(Array_EmissionCharges,MATCH($A199,List_EmissionMeters,0),ROUNDUP((COLUMN()+0)/3-1,0)))</f>
        <v/>
      </c>
      <c r="R199" s="127"/>
      <c r="S199" s="137"/>
    </row>
    <row r="200" spans="1:19" x14ac:dyDescent="0.3">
      <c r="A200" s="126"/>
      <c r="B200" s="133"/>
      <c r="C200" s="127"/>
      <c r="D200" s="137"/>
      <c r="E200" s="58" t="str" cm="1">
        <f>IF(ISBLANK($A200),"",INDEX(Array_EmissionCharges,MATCH($A200,List_EmissionMeters,0),ROUNDUP((COLUMN()+0)/3-1,0)))</f>
        <v/>
      </c>
      <c r="F200" s="127"/>
      <c r="G200" s="137"/>
      <c r="H200" s="58" t="str" cm="1">
        <f>IF(ISBLANK($A200),"",INDEX(Array_EmissionCharges,MATCH($A200,List_EmissionMeters,0),ROUNDUP((COLUMN()+0)/3-1,0)))</f>
        <v/>
      </c>
      <c r="I200" s="127"/>
      <c r="J200" s="137"/>
      <c r="K200" s="58" t="str" cm="1">
        <f>IF(ISBLANK($A200),"",INDEX(Array_EmissionCharges,MATCH($A200,List_EmissionMeters,0),ROUNDUP((COLUMN()+0)/3-1,0)))</f>
        <v/>
      </c>
      <c r="L200" s="127"/>
      <c r="M200" s="137"/>
      <c r="N200" s="58" t="str" cm="1">
        <f>IF(ISBLANK($A200),"",INDEX(Array_EmissionCharges,MATCH($A200,List_EmissionMeters,0),ROUNDUP((COLUMN()+0)/3-1,0)))</f>
        <v/>
      </c>
      <c r="O200" s="127"/>
      <c r="P200" s="137"/>
      <c r="Q200" s="58" t="str" cm="1">
        <f>IF(ISBLANK($A200),"",INDEX(Array_EmissionCharges,MATCH($A200,List_EmissionMeters,0),ROUNDUP((COLUMN()+0)/3-1,0)))</f>
        <v/>
      </c>
      <c r="R200" s="127"/>
      <c r="S200" s="137"/>
    </row>
    <row r="201" spans="1:19" x14ac:dyDescent="0.3">
      <c r="A201" s="126"/>
      <c r="B201" s="133"/>
      <c r="C201" s="127"/>
      <c r="D201" s="137"/>
      <c r="E201" s="58" t="str" cm="1">
        <f>IF(ISBLANK($A201),"",INDEX(Array_EmissionCharges,MATCH($A201,List_EmissionMeters,0),ROUNDUP((COLUMN()+0)/3-1,0)))</f>
        <v/>
      </c>
      <c r="F201" s="127"/>
      <c r="G201" s="137"/>
      <c r="H201" s="58" t="str" cm="1">
        <f>IF(ISBLANK($A201),"",INDEX(Array_EmissionCharges,MATCH($A201,List_EmissionMeters,0),ROUNDUP((COLUMN()+0)/3-1,0)))</f>
        <v/>
      </c>
      <c r="I201" s="127"/>
      <c r="J201" s="137"/>
      <c r="K201" s="58" t="str" cm="1">
        <f>IF(ISBLANK($A201),"",INDEX(Array_EmissionCharges,MATCH($A201,List_EmissionMeters,0),ROUNDUP((COLUMN()+0)/3-1,0)))</f>
        <v/>
      </c>
      <c r="L201" s="127"/>
      <c r="M201" s="137"/>
      <c r="N201" s="58" t="str" cm="1">
        <f>IF(ISBLANK($A201),"",INDEX(Array_EmissionCharges,MATCH($A201,List_EmissionMeters,0),ROUNDUP((COLUMN()+0)/3-1,0)))</f>
        <v/>
      </c>
      <c r="O201" s="127"/>
      <c r="P201" s="137"/>
      <c r="Q201" s="58" t="str" cm="1">
        <f>IF(ISBLANK($A201),"",INDEX(Array_EmissionCharges,MATCH($A201,List_EmissionMeters,0),ROUNDUP((COLUMN()+0)/3-1,0)))</f>
        <v/>
      </c>
      <c r="R201" s="127"/>
      <c r="S201" s="137"/>
    </row>
    <row r="202" spans="1:19" x14ac:dyDescent="0.3">
      <c r="A202" s="126"/>
      <c r="B202" s="133"/>
      <c r="C202" s="127"/>
      <c r="D202" s="137"/>
      <c r="E202" s="58" t="str" cm="1">
        <f>IF(ISBLANK($A202),"",INDEX(Array_EmissionCharges,MATCH($A202,List_EmissionMeters,0),ROUNDUP((COLUMN()+0)/3-1,0)))</f>
        <v/>
      </c>
      <c r="F202" s="127"/>
      <c r="G202" s="137"/>
      <c r="H202" s="58" t="str" cm="1">
        <f>IF(ISBLANK($A202),"",INDEX(Array_EmissionCharges,MATCH($A202,List_EmissionMeters,0),ROUNDUP((COLUMN()+0)/3-1,0)))</f>
        <v/>
      </c>
      <c r="I202" s="127"/>
      <c r="J202" s="137"/>
      <c r="K202" s="58" t="str" cm="1">
        <f>IF(ISBLANK($A202),"",INDEX(Array_EmissionCharges,MATCH($A202,List_EmissionMeters,0),ROUNDUP((COLUMN()+0)/3-1,0)))</f>
        <v/>
      </c>
      <c r="L202" s="127"/>
      <c r="M202" s="137"/>
      <c r="N202" s="58" t="str" cm="1">
        <f>IF(ISBLANK($A202),"",INDEX(Array_EmissionCharges,MATCH($A202,List_EmissionMeters,0),ROUNDUP((COLUMN()+0)/3-1,0)))</f>
        <v/>
      </c>
      <c r="O202" s="127"/>
      <c r="P202" s="137"/>
      <c r="Q202" s="58" t="str" cm="1">
        <f>IF(ISBLANK($A202),"",INDEX(Array_EmissionCharges,MATCH($A202,List_EmissionMeters,0),ROUNDUP((COLUMN()+0)/3-1,0)))</f>
        <v/>
      </c>
      <c r="R202" s="127"/>
      <c r="S202" s="137"/>
    </row>
    <row r="203" spans="1:19" x14ac:dyDescent="0.3">
      <c r="A203" s="126"/>
      <c r="B203" s="133"/>
      <c r="C203" s="127"/>
      <c r="D203" s="137"/>
      <c r="E203" s="58" t="str" cm="1">
        <f>IF(ISBLANK($A203),"",INDEX(Array_EmissionCharges,MATCH($A203,List_EmissionMeters,0),ROUNDUP((COLUMN()+0)/3-1,0)))</f>
        <v/>
      </c>
      <c r="F203" s="127"/>
      <c r="G203" s="137"/>
      <c r="H203" s="58" t="str" cm="1">
        <f>IF(ISBLANK($A203),"",INDEX(Array_EmissionCharges,MATCH($A203,List_EmissionMeters,0),ROUNDUP((COLUMN()+0)/3-1,0)))</f>
        <v/>
      </c>
      <c r="I203" s="127"/>
      <c r="J203" s="137"/>
      <c r="K203" s="58" t="str" cm="1">
        <f>IF(ISBLANK($A203),"",INDEX(Array_EmissionCharges,MATCH($A203,List_EmissionMeters,0),ROUNDUP((COLUMN()+0)/3-1,0)))</f>
        <v/>
      </c>
      <c r="L203" s="127"/>
      <c r="M203" s="137"/>
      <c r="N203" s="58" t="str" cm="1">
        <f>IF(ISBLANK($A203),"",INDEX(Array_EmissionCharges,MATCH($A203,List_EmissionMeters,0),ROUNDUP((COLUMN()+0)/3-1,0)))</f>
        <v/>
      </c>
      <c r="O203" s="127"/>
      <c r="P203" s="137"/>
      <c r="Q203" s="58" t="str" cm="1">
        <f>IF(ISBLANK($A203),"",INDEX(Array_EmissionCharges,MATCH($A203,List_EmissionMeters,0),ROUNDUP((COLUMN()+0)/3-1,0)))</f>
        <v/>
      </c>
      <c r="R203" s="127"/>
      <c r="S203" s="137"/>
    </row>
    <row r="204" spans="1:19" x14ac:dyDescent="0.3">
      <c r="A204" s="126"/>
      <c r="B204" s="133"/>
      <c r="C204" s="127"/>
      <c r="D204" s="137"/>
      <c r="E204" s="58" t="str" cm="1">
        <f>IF(ISBLANK($A204),"",INDEX(Array_EmissionCharges,MATCH($A204,List_EmissionMeters,0),ROUNDUP((COLUMN()+0)/3-1,0)))</f>
        <v/>
      </c>
      <c r="F204" s="127"/>
      <c r="G204" s="137"/>
      <c r="H204" s="58" t="str" cm="1">
        <f>IF(ISBLANK($A204),"",INDEX(Array_EmissionCharges,MATCH($A204,List_EmissionMeters,0),ROUNDUP((COLUMN()+0)/3-1,0)))</f>
        <v/>
      </c>
      <c r="I204" s="127"/>
      <c r="J204" s="137"/>
      <c r="K204" s="58" t="str" cm="1">
        <f>IF(ISBLANK($A204),"",INDEX(Array_EmissionCharges,MATCH($A204,List_EmissionMeters,0),ROUNDUP((COLUMN()+0)/3-1,0)))</f>
        <v/>
      </c>
      <c r="L204" s="127"/>
      <c r="M204" s="137"/>
      <c r="N204" s="58" t="str" cm="1">
        <f>IF(ISBLANK($A204),"",INDEX(Array_EmissionCharges,MATCH($A204,List_EmissionMeters,0),ROUNDUP((COLUMN()+0)/3-1,0)))</f>
        <v/>
      </c>
      <c r="O204" s="127"/>
      <c r="P204" s="137"/>
      <c r="Q204" s="58" t="str" cm="1">
        <f>IF(ISBLANK($A204),"",INDEX(Array_EmissionCharges,MATCH($A204,List_EmissionMeters,0),ROUNDUP((COLUMN()+0)/3-1,0)))</f>
        <v/>
      </c>
      <c r="R204" s="127"/>
      <c r="S204" s="137"/>
    </row>
    <row r="205" spans="1:19" x14ac:dyDescent="0.3">
      <c r="A205" s="126"/>
      <c r="B205" s="133"/>
      <c r="C205" s="127"/>
      <c r="D205" s="137"/>
      <c r="E205" s="58" t="str" cm="1">
        <f>IF(ISBLANK($A205),"",INDEX(Array_EmissionCharges,MATCH($A205,List_EmissionMeters,0),ROUNDUP((COLUMN()+0)/3-1,0)))</f>
        <v/>
      </c>
      <c r="F205" s="127"/>
      <c r="G205" s="137"/>
      <c r="H205" s="58" t="str" cm="1">
        <f>IF(ISBLANK($A205),"",INDEX(Array_EmissionCharges,MATCH($A205,List_EmissionMeters,0),ROUNDUP((COLUMN()+0)/3-1,0)))</f>
        <v/>
      </c>
      <c r="I205" s="127"/>
      <c r="J205" s="137"/>
      <c r="K205" s="58" t="str" cm="1">
        <f>IF(ISBLANK($A205),"",INDEX(Array_EmissionCharges,MATCH($A205,List_EmissionMeters,0),ROUNDUP((COLUMN()+0)/3-1,0)))</f>
        <v/>
      </c>
      <c r="L205" s="127"/>
      <c r="M205" s="137"/>
      <c r="N205" s="58" t="str" cm="1">
        <f>IF(ISBLANK($A205),"",INDEX(Array_EmissionCharges,MATCH($A205,List_EmissionMeters,0),ROUNDUP((COLUMN()+0)/3-1,0)))</f>
        <v/>
      </c>
      <c r="O205" s="127"/>
      <c r="P205" s="137"/>
      <c r="Q205" s="58" t="str" cm="1">
        <f>IF(ISBLANK($A205),"",INDEX(Array_EmissionCharges,MATCH($A205,List_EmissionMeters,0),ROUNDUP((COLUMN()+0)/3-1,0)))</f>
        <v/>
      </c>
      <c r="R205" s="127"/>
      <c r="S205" s="137"/>
    </row>
    <row r="206" spans="1:19" x14ac:dyDescent="0.3">
      <c r="A206" s="126"/>
      <c r="B206" s="133"/>
      <c r="C206" s="127"/>
      <c r="D206" s="137"/>
      <c r="E206" s="58" t="str" cm="1">
        <f>IF(ISBLANK($A206),"",INDEX(Array_EmissionCharges,MATCH($A206,List_EmissionMeters,0),ROUNDUP((COLUMN()+0)/3-1,0)))</f>
        <v/>
      </c>
      <c r="F206" s="127"/>
      <c r="G206" s="137"/>
      <c r="H206" s="58" t="str" cm="1">
        <f>IF(ISBLANK($A206),"",INDEX(Array_EmissionCharges,MATCH($A206,List_EmissionMeters,0),ROUNDUP((COLUMN()+0)/3-1,0)))</f>
        <v/>
      </c>
      <c r="I206" s="127"/>
      <c r="J206" s="137"/>
      <c r="K206" s="58" t="str" cm="1">
        <f>IF(ISBLANK($A206),"",INDEX(Array_EmissionCharges,MATCH($A206,List_EmissionMeters,0),ROUNDUP((COLUMN()+0)/3-1,0)))</f>
        <v/>
      </c>
      <c r="L206" s="127"/>
      <c r="M206" s="137"/>
      <c r="N206" s="58" t="str" cm="1">
        <f>IF(ISBLANK($A206),"",INDEX(Array_EmissionCharges,MATCH($A206,List_EmissionMeters,0),ROUNDUP((COLUMN()+0)/3-1,0)))</f>
        <v/>
      </c>
      <c r="O206" s="127"/>
      <c r="P206" s="137"/>
      <c r="Q206" s="58" t="str" cm="1">
        <f>IF(ISBLANK($A206),"",INDEX(Array_EmissionCharges,MATCH($A206,List_EmissionMeters,0),ROUNDUP((COLUMN()+0)/3-1,0)))</f>
        <v/>
      </c>
      <c r="R206" s="127"/>
      <c r="S206" s="137"/>
    </row>
    <row r="207" spans="1:19" x14ac:dyDescent="0.3">
      <c r="A207" s="126"/>
      <c r="B207" s="133"/>
      <c r="C207" s="127"/>
      <c r="D207" s="137"/>
      <c r="E207" s="58" t="str" cm="1">
        <f>IF(ISBLANK($A207),"",INDEX(Array_EmissionCharges,MATCH($A207,List_EmissionMeters,0),ROUNDUP((COLUMN()+0)/3-1,0)))</f>
        <v/>
      </c>
      <c r="F207" s="127"/>
      <c r="G207" s="137"/>
      <c r="H207" s="58" t="str" cm="1">
        <f>IF(ISBLANK($A207),"",INDEX(Array_EmissionCharges,MATCH($A207,List_EmissionMeters,0),ROUNDUP((COLUMN()+0)/3-1,0)))</f>
        <v/>
      </c>
      <c r="I207" s="127"/>
      <c r="J207" s="137"/>
      <c r="K207" s="58" t="str" cm="1">
        <f>IF(ISBLANK($A207),"",INDEX(Array_EmissionCharges,MATCH($A207,List_EmissionMeters,0),ROUNDUP((COLUMN()+0)/3-1,0)))</f>
        <v/>
      </c>
      <c r="L207" s="127"/>
      <c r="M207" s="137"/>
      <c r="N207" s="58" t="str" cm="1">
        <f>IF(ISBLANK($A207),"",INDEX(Array_EmissionCharges,MATCH($A207,List_EmissionMeters,0),ROUNDUP((COLUMN()+0)/3-1,0)))</f>
        <v/>
      </c>
      <c r="O207" s="127"/>
      <c r="P207" s="137"/>
      <c r="Q207" s="58" t="str" cm="1">
        <f>IF(ISBLANK($A207),"",INDEX(Array_EmissionCharges,MATCH($A207,List_EmissionMeters,0),ROUNDUP((COLUMN()+0)/3-1,0)))</f>
        <v/>
      </c>
      <c r="R207" s="127"/>
      <c r="S207" s="137"/>
    </row>
    <row r="208" spans="1:19" x14ac:dyDescent="0.3">
      <c r="A208" s="126"/>
      <c r="B208" s="133"/>
      <c r="C208" s="127"/>
      <c r="D208" s="137"/>
      <c r="E208" s="58" t="str" cm="1">
        <f>IF(ISBLANK($A208),"",INDEX(Array_EmissionCharges,MATCH($A208,List_EmissionMeters,0),ROUNDUP((COLUMN()+0)/3-1,0)))</f>
        <v/>
      </c>
      <c r="F208" s="127"/>
      <c r="G208" s="137"/>
      <c r="H208" s="58" t="str" cm="1">
        <f>IF(ISBLANK($A208),"",INDEX(Array_EmissionCharges,MATCH($A208,List_EmissionMeters,0),ROUNDUP((COLUMN()+0)/3-1,0)))</f>
        <v/>
      </c>
      <c r="I208" s="127"/>
      <c r="J208" s="137"/>
      <c r="K208" s="58" t="str" cm="1">
        <f>IF(ISBLANK($A208),"",INDEX(Array_EmissionCharges,MATCH($A208,List_EmissionMeters,0),ROUNDUP((COLUMN()+0)/3-1,0)))</f>
        <v/>
      </c>
      <c r="L208" s="127"/>
      <c r="M208" s="137"/>
      <c r="N208" s="58" t="str" cm="1">
        <f>IF(ISBLANK($A208),"",INDEX(Array_EmissionCharges,MATCH($A208,List_EmissionMeters,0),ROUNDUP((COLUMN()+0)/3-1,0)))</f>
        <v/>
      </c>
      <c r="O208" s="127"/>
      <c r="P208" s="137"/>
      <c r="Q208" s="58" t="str" cm="1">
        <f>IF(ISBLANK($A208),"",INDEX(Array_EmissionCharges,MATCH($A208,List_EmissionMeters,0),ROUNDUP((COLUMN()+0)/3-1,0)))</f>
        <v/>
      </c>
      <c r="R208" s="127"/>
      <c r="S208" s="137"/>
    </row>
    <row r="209" spans="1:19" x14ac:dyDescent="0.3">
      <c r="A209" s="126"/>
      <c r="B209" s="133"/>
      <c r="C209" s="127"/>
      <c r="D209" s="137"/>
      <c r="E209" s="58" t="str" cm="1">
        <f>IF(ISBLANK($A209),"",INDEX(Array_EmissionCharges,MATCH($A209,List_EmissionMeters,0),ROUNDUP((COLUMN()+0)/3-1,0)))</f>
        <v/>
      </c>
      <c r="F209" s="127"/>
      <c r="G209" s="137"/>
      <c r="H209" s="58" t="str" cm="1">
        <f>IF(ISBLANK($A209),"",INDEX(Array_EmissionCharges,MATCH($A209,List_EmissionMeters,0),ROUNDUP((COLUMN()+0)/3-1,0)))</f>
        <v/>
      </c>
      <c r="I209" s="127"/>
      <c r="J209" s="137"/>
      <c r="K209" s="58" t="str" cm="1">
        <f>IF(ISBLANK($A209),"",INDEX(Array_EmissionCharges,MATCH($A209,List_EmissionMeters,0),ROUNDUP((COLUMN()+0)/3-1,0)))</f>
        <v/>
      </c>
      <c r="L209" s="127"/>
      <c r="M209" s="137"/>
      <c r="N209" s="58" t="str" cm="1">
        <f>IF(ISBLANK($A209),"",INDEX(Array_EmissionCharges,MATCH($A209,List_EmissionMeters,0),ROUNDUP((COLUMN()+0)/3-1,0)))</f>
        <v/>
      </c>
      <c r="O209" s="127"/>
      <c r="P209" s="137"/>
      <c r="Q209" s="58" t="str" cm="1">
        <f>IF(ISBLANK($A209),"",INDEX(Array_EmissionCharges,MATCH($A209,List_EmissionMeters,0),ROUNDUP((COLUMN()+0)/3-1,0)))</f>
        <v/>
      </c>
      <c r="R209" s="127"/>
      <c r="S209" s="137"/>
    </row>
    <row r="210" spans="1:19" x14ac:dyDescent="0.3">
      <c r="A210" s="126"/>
      <c r="B210" s="133"/>
      <c r="C210" s="127"/>
      <c r="D210" s="137"/>
      <c r="E210" s="58" t="str" cm="1">
        <f>IF(ISBLANK($A210),"",INDEX(Array_EmissionCharges,MATCH($A210,List_EmissionMeters,0),ROUNDUP((COLUMN()+0)/3-1,0)))</f>
        <v/>
      </c>
      <c r="F210" s="127"/>
      <c r="G210" s="137"/>
      <c r="H210" s="58" t="str" cm="1">
        <f>IF(ISBLANK($A210),"",INDEX(Array_EmissionCharges,MATCH($A210,List_EmissionMeters,0),ROUNDUP((COLUMN()+0)/3-1,0)))</f>
        <v/>
      </c>
      <c r="I210" s="127"/>
      <c r="J210" s="137"/>
      <c r="K210" s="58" t="str" cm="1">
        <f>IF(ISBLANK($A210),"",INDEX(Array_EmissionCharges,MATCH($A210,List_EmissionMeters,0),ROUNDUP((COLUMN()+0)/3-1,0)))</f>
        <v/>
      </c>
      <c r="L210" s="127"/>
      <c r="M210" s="137"/>
      <c r="N210" s="58" t="str" cm="1">
        <f>IF(ISBLANK($A210),"",INDEX(Array_EmissionCharges,MATCH($A210,List_EmissionMeters,0),ROUNDUP((COLUMN()+0)/3-1,0)))</f>
        <v/>
      </c>
      <c r="O210" s="127"/>
      <c r="P210" s="137"/>
      <c r="Q210" s="58" t="str" cm="1">
        <f>IF(ISBLANK($A210),"",INDEX(Array_EmissionCharges,MATCH($A210,List_EmissionMeters,0),ROUNDUP((COLUMN()+0)/3-1,0)))</f>
        <v/>
      </c>
      <c r="R210" s="127"/>
      <c r="S210" s="137"/>
    </row>
    <row r="211" spans="1:19" x14ac:dyDescent="0.3">
      <c r="A211" s="126"/>
      <c r="B211" s="133"/>
      <c r="C211" s="127"/>
      <c r="D211" s="137"/>
      <c r="E211" s="58" t="str" cm="1">
        <f>IF(ISBLANK($A211),"",INDEX(Array_EmissionCharges,MATCH($A211,List_EmissionMeters,0),ROUNDUP((COLUMN()+0)/3-1,0)))</f>
        <v/>
      </c>
      <c r="F211" s="127"/>
      <c r="G211" s="137"/>
      <c r="H211" s="58" t="str" cm="1">
        <f>IF(ISBLANK($A211),"",INDEX(Array_EmissionCharges,MATCH($A211,List_EmissionMeters,0),ROUNDUP((COLUMN()+0)/3-1,0)))</f>
        <v/>
      </c>
      <c r="I211" s="127"/>
      <c r="J211" s="137"/>
      <c r="K211" s="58" t="str" cm="1">
        <f>IF(ISBLANK($A211),"",INDEX(Array_EmissionCharges,MATCH($A211,List_EmissionMeters,0),ROUNDUP((COLUMN()+0)/3-1,0)))</f>
        <v/>
      </c>
      <c r="L211" s="127"/>
      <c r="M211" s="137"/>
      <c r="N211" s="58" t="str" cm="1">
        <f>IF(ISBLANK($A211),"",INDEX(Array_EmissionCharges,MATCH($A211,List_EmissionMeters,0),ROUNDUP((COLUMN()+0)/3-1,0)))</f>
        <v/>
      </c>
      <c r="O211" s="127"/>
      <c r="P211" s="137"/>
      <c r="Q211" s="58" t="str" cm="1">
        <f>IF(ISBLANK($A211),"",INDEX(Array_EmissionCharges,MATCH($A211,List_EmissionMeters,0),ROUNDUP((COLUMN()+0)/3-1,0)))</f>
        <v/>
      </c>
      <c r="R211" s="127"/>
      <c r="S211" s="137"/>
    </row>
    <row r="212" spans="1:19" x14ac:dyDescent="0.3">
      <c r="A212" s="126"/>
      <c r="B212" s="133"/>
      <c r="C212" s="127"/>
      <c r="D212" s="137"/>
      <c r="E212" s="58" t="str" cm="1">
        <f>IF(ISBLANK($A212),"",INDEX(Array_EmissionCharges,MATCH($A212,List_EmissionMeters,0),ROUNDUP((COLUMN()+0)/3-1,0)))</f>
        <v/>
      </c>
      <c r="F212" s="127"/>
      <c r="G212" s="137"/>
      <c r="H212" s="58" t="str" cm="1">
        <f>IF(ISBLANK($A212),"",INDEX(Array_EmissionCharges,MATCH($A212,List_EmissionMeters,0),ROUNDUP((COLUMN()+0)/3-1,0)))</f>
        <v/>
      </c>
      <c r="I212" s="127"/>
      <c r="J212" s="137"/>
      <c r="K212" s="58" t="str" cm="1">
        <f>IF(ISBLANK($A212),"",INDEX(Array_EmissionCharges,MATCH($A212,List_EmissionMeters,0),ROUNDUP((COLUMN()+0)/3-1,0)))</f>
        <v/>
      </c>
      <c r="L212" s="127"/>
      <c r="M212" s="137"/>
      <c r="N212" s="58" t="str" cm="1">
        <f>IF(ISBLANK($A212),"",INDEX(Array_EmissionCharges,MATCH($A212,List_EmissionMeters,0),ROUNDUP((COLUMN()+0)/3-1,0)))</f>
        <v/>
      </c>
      <c r="O212" s="127"/>
      <c r="P212" s="137"/>
      <c r="Q212" s="58" t="str" cm="1">
        <f>IF(ISBLANK($A212),"",INDEX(Array_EmissionCharges,MATCH($A212,List_EmissionMeters,0),ROUNDUP((COLUMN()+0)/3-1,0)))</f>
        <v/>
      </c>
      <c r="R212" s="127"/>
      <c r="S212" s="137"/>
    </row>
    <row r="213" spans="1:19" x14ac:dyDescent="0.3">
      <c r="A213" s="126"/>
      <c r="B213" s="133"/>
      <c r="C213" s="127"/>
      <c r="D213" s="137"/>
      <c r="E213" s="58" t="str" cm="1">
        <f>IF(ISBLANK($A213),"",INDEX(Array_EmissionCharges,MATCH($A213,List_EmissionMeters,0),ROUNDUP((COLUMN()+0)/3-1,0)))</f>
        <v/>
      </c>
      <c r="F213" s="127"/>
      <c r="G213" s="137"/>
      <c r="H213" s="58" t="str" cm="1">
        <f>IF(ISBLANK($A213),"",INDEX(Array_EmissionCharges,MATCH($A213,List_EmissionMeters,0),ROUNDUP((COLUMN()+0)/3-1,0)))</f>
        <v/>
      </c>
      <c r="I213" s="127"/>
      <c r="J213" s="137"/>
      <c r="K213" s="58" t="str" cm="1">
        <f>IF(ISBLANK($A213),"",INDEX(Array_EmissionCharges,MATCH($A213,List_EmissionMeters,0),ROUNDUP((COLUMN()+0)/3-1,0)))</f>
        <v/>
      </c>
      <c r="L213" s="127"/>
      <c r="M213" s="137"/>
      <c r="N213" s="58" t="str" cm="1">
        <f>IF(ISBLANK($A213),"",INDEX(Array_EmissionCharges,MATCH($A213,List_EmissionMeters,0),ROUNDUP((COLUMN()+0)/3-1,0)))</f>
        <v/>
      </c>
      <c r="O213" s="127"/>
      <c r="P213" s="137"/>
      <c r="Q213" s="58" t="str" cm="1">
        <f>IF(ISBLANK($A213),"",INDEX(Array_EmissionCharges,MATCH($A213,List_EmissionMeters,0),ROUNDUP((COLUMN()+0)/3-1,0)))</f>
        <v/>
      </c>
      <c r="R213" s="127"/>
      <c r="S213" s="137"/>
    </row>
    <row r="214" spans="1:19" x14ac:dyDescent="0.3">
      <c r="A214" s="126"/>
      <c r="B214" s="133"/>
      <c r="C214" s="127"/>
      <c r="D214" s="137"/>
      <c r="E214" s="58" t="str" cm="1">
        <f>IF(ISBLANK($A214),"",INDEX(Array_EmissionCharges,MATCH($A214,List_EmissionMeters,0),ROUNDUP((COLUMN()+0)/3-1,0)))</f>
        <v/>
      </c>
      <c r="F214" s="127"/>
      <c r="G214" s="137"/>
      <c r="H214" s="58" t="str" cm="1">
        <f>IF(ISBLANK($A214),"",INDEX(Array_EmissionCharges,MATCH($A214,List_EmissionMeters,0),ROUNDUP((COLUMN()+0)/3-1,0)))</f>
        <v/>
      </c>
      <c r="I214" s="127"/>
      <c r="J214" s="137"/>
      <c r="K214" s="58" t="str" cm="1">
        <f>IF(ISBLANK($A214),"",INDEX(Array_EmissionCharges,MATCH($A214,List_EmissionMeters,0),ROUNDUP((COLUMN()+0)/3-1,0)))</f>
        <v/>
      </c>
      <c r="L214" s="127"/>
      <c r="M214" s="137"/>
      <c r="N214" s="58" t="str" cm="1">
        <f>IF(ISBLANK($A214),"",INDEX(Array_EmissionCharges,MATCH($A214,List_EmissionMeters,0),ROUNDUP((COLUMN()+0)/3-1,0)))</f>
        <v/>
      </c>
      <c r="O214" s="127"/>
      <c r="P214" s="137"/>
      <c r="Q214" s="58" t="str" cm="1">
        <f>IF(ISBLANK($A214),"",INDEX(Array_EmissionCharges,MATCH($A214,List_EmissionMeters,0),ROUNDUP((COLUMN()+0)/3-1,0)))</f>
        <v/>
      </c>
      <c r="R214" s="127"/>
      <c r="S214" s="137"/>
    </row>
    <row r="215" spans="1:19" x14ac:dyDescent="0.3">
      <c r="A215" s="126"/>
      <c r="B215" s="133"/>
      <c r="C215" s="127"/>
      <c r="D215" s="137"/>
      <c r="E215" s="58" t="str" cm="1">
        <f>IF(ISBLANK($A215),"",INDEX(Array_EmissionCharges,MATCH($A215,List_EmissionMeters,0),ROUNDUP((COLUMN()+0)/3-1,0)))</f>
        <v/>
      </c>
      <c r="F215" s="127"/>
      <c r="G215" s="137"/>
      <c r="H215" s="58" t="str" cm="1">
        <f>IF(ISBLANK($A215),"",INDEX(Array_EmissionCharges,MATCH($A215,List_EmissionMeters,0),ROUNDUP((COLUMN()+0)/3-1,0)))</f>
        <v/>
      </c>
      <c r="I215" s="127"/>
      <c r="J215" s="137"/>
      <c r="K215" s="58" t="str" cm="1">
        <f>IF(ISBLANK($A215),"",INDEX(Array_EmissionCharges,MATCH($A215,List_EmissionMeters,0),ROUNDUP((COLUMN()+0)/3-1,0)))</f>
        <v/>
      </c>
      <c r="L215" s="127"/>
      <c r="M215" s="137"/>
      <c r="N215" s="58" t="str" cm="1">
        <f>IF(ISBLANK($A215),"",INDEX(Array_EmissionCharges,MATCH($A215,List_EmissionMeters,0),ROUNDUP((COLUMN()+0)/3-1,0)))</f>
        <v/>
      </c>
      <c r="O215" s="127"/>
      <c r="P215" s="137"/>
      <c r="Q215" s="58" t="str" cm="1">
        <f>IF(ISBLANK($A215),"",INDEX(Array_EmissionCharges,MATCH($A215,List_EmissionMeters,0),ROUNDUP((COLUMN()+0)/3-1,0)))</f>
        <v/>
      </c>
      <c r="R215" s="127"/>
      <c r="S215" s="137"/>
    </row>
    <row r="216" spans="1:19" x14ac:dyDescent="0.3">
      <c r="A216" s="126"/>
      <c r="B216" s="133"/>
      <c r="C216" s="127"/>
      <c r="D216" s="137"/>
      <c r="E216" s="58" t="str" cm="1">
        <f>IF(ISBLANK($A216),"",INDEX(Array_EmissionCharges,MATCH($A216,List_EmissionMeters,0),ROUNDUP((COLUMN()+0)/3-1,0)))</f>
        <v/>
      </c>
      <c r="F216" s="127"/>
      <c r="G216" s="137"/>
      <c r="H216" s="58" t="str" cm="1">
        <f>IF(ISBLANK($A216),"",INDEX(Array_EmissionCharges,MATCH($A216,List_EmissionMeters,0),ROUNDUP((COLUMN()+0)/3-1,0)))</f>
        <v/>
      </c>
      <c r="I216" s="127"/>
      <c r="J216" s="137"/>
      <c r="K216" s="58" t="str" cm="1">
        <f>IF(ISBLANK($A216),"",INDEX(Array_EmissionCharges,MATCH($A216,List_EmissionMeters,0),ROUNDUP((COLUMN()+0)/3-1,0)))</f>
        <v/>
      </c>
      <c r="L216" s="127"/>
      <c r="M216" s="137"/>
      <c r="N216" s="58" t="str" cm="1">
        <f>IF(ISBLANK($A216),"",INDEX(Array_EmissionCharges,MATCH($A216,List_EmissionMeters,0),ROUNDUP((COLUMN()+0)/3-1,0)))</f>
        <v/>
      </c>
      <c r="O216" s="127"/>
      <c r="P216" s="137"/>
      <c r="Q216" s="58" t="str" cm="1">
        <f>IF(ISBLANK($A216),"",INDEX(Array_EmissionCharges,MATCH($A216,List_EmissionMeters,0),ROUNDUP((COLUMN()+0)/3-1,0)))</f>
        <v/>
      </c>
      <c r="R216" s="127"/>
      <c r="S216" s="137"/>
    </row>
    <row r="217" spans="1:19" x14ac:dyDescent="0.3">
      <c r="A217" s="126"/>
      <c r="B217" s="133"/>
      <c r="C217" s="127"/>
      <c r="D217" s="137"/>
      <c r="E217" s="58" t="str" cm="1">
        <f>IF(ISBLANK($A217),"",INDEX(Array_EmissionCharges,MATCH($A217,List_EmissionMeters,0),ROUNDUP((COLUMN()+0)/3-1,0)))</f>
        <v/>
      </c>
      <c r="F217" s="127"/>
      <c r="G217" s="137"/>
      <c r="H217" s="58" t="str" cm="1">
        <f>IF(ISBLANK($A217),"",INDEX(Array_EmissionCharges,MATCH($A217,List_EmissionMeters,0),ROUNDUP((COLUMN()+0)/3-1,0)))</f>
        <v/>
      </c>
      <c r="I217" s="127"/>
      <c r="J217" s="137"/>
      <c r="K217" s="58" t="str" cm="1">
        <f>IF(ISBLANK($A217),"",INDEX(Array_EmissionCharges,MATCH($A217,List_EmissionMeters,0),ROUNDUP((COLUMN()+0)/3-1,0)))</f>
        <v/>
      </c>
      <c r="L217" s="127"/>
      <c r="M217" s="137"/>
      <c r="N217" s="58" t="str" cm="1">
        <f>IF(ISBLANK($A217),"",INDEX(Array_EmissionCharges,MATCH($A217,List_EmissionMeters,0),ROUNDUP((COLUMN()+0)/3-1,0)))</f>
        <v/>
      </c>
      <c r="O217" s="127"/>
      <c r="P217" s="137"/>
      <c r="Q217" s="58" t="str" cm="1">
        <f>IF(ISBLANK($A217),"",INDEX(Array_EmissionCharges,MATCH($A217,List_EmissionMeters,0),ROUNDUP((COLUMN()+0)/3-1,0)))</f>
        <v/>
      </c>
      <c r="R217" s="127"/>
      <c r="S217" s="137"/>
    </row>
    <row r="218" spans="1:19" x14ac:dyDescent="0.3">
      <c r="A218" s="126"/>
      <c r="B218" s="133"/>
      <c r="C218" s="127"/>
      <c r="D218" s="137"/>
      <c r="E218" s="58" t="str" cm="1">
        <f>IF(ISBLANK($A218),"",INDEX(Array_EmissionCharges,MATCH($A218,List_EmissionMeters,0),ROUNDUP((COLUMN()+0)/3-1,0)))</f>
        <v/>
      </c>
      <c r="F218" s="127"/>
      <c r="G218" s="137"/>
      <c r="H218" s="58" t="str" cm="1">
        <f>IF(ISBLANK($A218),"",INDEX(Array_EmissionCharges,MATCH($A218,List_EmissionMeters,0),ROUNDUP((COLUMN()+0)/3-1,0)))</f>
        <v/>
      </c>
      <c r="I218" s="127"/>
      <c r="J218" s="137"/>
      <c r="K218" s="58" t="str" cm="1">
        <f>IF(ISBLANK($A218),"",INDEX(Array_EmissionCharges,MATCH($A218,List_EmissionMeters,0),ROUNDUP((COLUMN()+0)/3-1,0)))</f>
        <v/>
      </c>
      <c r="L218" s="127"/>
      <c r="M218" s="137"/>
      <c r="N218" s="58" t="str" cm="1">
        <f>IF(ISBLANK($A218),"",INDEX(Array_EmissionCharges,MATCH($A218,List_EmissionMeters,0),ROUNDUP((COLUMN()+0)/3-1,0)))</f>
        <v/>
      </c>
      <c r="O218" s="127"/>
      <c r="P218" s="137"/>
      <c r="Q218" s="58" t="str" cm="1">
        <f>IF(ISBLANK($A218),"",INDEX(Array_EmissionCharges,MATCH($A218,List_EmissionMeters,0),ROUNDUP((COLUMN()+0)/3-1,0)))</f>
        <v/>
      </c>
      <c r="R218" s="127"/>
      <c r="S218" s="137"/>
    </row>
    <row r="219" spans="1:19" x14ac:dyDescent="0.3">
      <c r="A219" s="126"/>
      <c r="B219" s="133"/>
      <c r="C219" s="127"/>
      <c r="D219" s="137"/>
      <c r="E219" s="58" t="str" cm="1">
        <f>IF(ISBLANK($A219),"",INDEX(Array_EmissionCharges,MATCH($A219,List_EmissionMeters,0),ROUNDUP((COLUMN()+0)/3-1,0)))</f>
        <v/>
      </c>
      <c r="F219" s="127"/>
      <c r="G219" s="137"/>
      <c r="H219" s="58" t="str" cm="1">
        <f>IF(ISBLANK($A219),"",INDEX(Array_EmissionCharges,MATCH($A219,List_EmissionMeters,0),ROUNDUP((COLUMN()+0)/3-1,0)))</f>
        <v/>
      </c>
      <c r="I219" s="127"/>
      <c r="J219" s="137"/>
      <c r="K219" s="58" t="str" cm="1">
        <f>IF(ISBLANK($A219),"",INDEX(Array_EmissionCharges,MATCH($A219,List_EmissionMeters,0),ROUNDUP((COLUMN()+0)/3-1,0)))</f>
        <v/>
      </c>
      <c r="L219" s="127"/>
      <c r="M219" s="137"/>
      <c r="N219" s="58" t="str" cm="1">
        <f>IF(ISBLANK($A219),"",INDEX(Array_EmissionCharges,MATCH($A219,List_EmissionMeters,0),ROUNDUP((COLUMN()+0)/3-1,0)))</f>
        <v/>
      </c>
      <c r="O219" s="127"/>
      <c r="P219" s="137"/>
      <c r="Q219" s="58" t="str" cm="1">
        <f>IF(ISBLANK($A219),"",INDEX(Array_EmissionCharges,MATCH($A219,List_EmissionMeters,0),ROUNDUP((COLUMN()+0)/3-1,0)))</f>
        <v/>
      </c>
      <c r="R219" s="127"/>
      <c r="S219" s="137"/>
    </row>
    <row r="220" spans="1:19" x14ac:dyDescent="0.3">
      <c r="A220" s="126"/>
      <c r="B220" s="133"/>
      <c r="C220" s="127"/>
      <c r="D220" s="137"/>
      <c r="E220" s="58" t="str" cm="1">
        <f>IF(ISBLANK($A220),"",INDEX(Array_EmissionCharges,MATCH($A220,List_EmissionMeters,0),ROUNDUP((COLUMN()+0)/3-1,0)))</f>
        <v/>
      </c>
      <c r="F220" s="127"/>
      <c r="G220" s="137"/>
      <c r="H220" s="58" t="str" cm="1">
        <f>IF(ISBLANK($A220),"",INDEX(Array_EmissionCharges,MATCH($A220,List_EmissionMeters,0),ROUNDUP((COLUMN()+0)/3-1,0)))</f>
        <v/>
      </c>
      <c r="I220" s="127"/>
      <c r="J220" s="137"/>
      <c r="K220" s="58" t="str" cm="1">
        <f>IF(ISBLANK($A220),"",INDEX(Array_EmissionCharges,MATCH($A220,List_EmissionMeters,0),ROUNDUP((COLUMN()+0)/3-1,0)))</f>
        <v/>
      </c>
      <c r="L220" s="127"/>
      <c r="M220" s="137"/>
      <c r="N220" s="58" t="str" cm="1">
        <f>IF(ISBLANK($A220),"",INDEX(Array_EmissionCharges,MATCH($A220,List_EmissionMeters,0),ROUNDUP((COLUMN()+0)/3-1,0)))</f>
        <v/>
      </c>
      <c r="O220" s="127"/>
      <c r="P220" s="137"/>
      <c r="Q220" s="58" t="str" cm="1">
        <f>IF(ISBLANK($A220),"",INDEX(Array_EmissionCharges,MATCH($A220,List_EmissionMeters,0),ROUNDUP((COLUMN()+0)/3-1,0)))</f>
        <v/>
      </c>
      <c r="R220" s="127"/>
      <c r="S220" s="137"/>
    </row>
    <row r="221" spans="1:19" x14ac:dyDescent="0.3">
      <c r="A221" s="126"/>
      <c r="B221" s="133"/>
      <c r="C221" s="127"/>
      <c r="D221" s="137"/>
      <c r="E221" s="58" t="str" cm="1">
        <f>IF(ISBLANK($A221),"",INDEX(Array_EmissionCharges,MATCH($A221,List_EmissionMeters,0),ROUNDUP((COLUMN()+0)/3-1,0)))</f>
        <v/>
      </c>
      <c r="F221" s="127"/>
      <c r="G221" s="137"/>
      <c r="H221" s="58" t="str" cm="1">
        <f>IF(ISBLANK($A221),"",INDEX(Array_EmissionCharges,MATCH($A221,List_EmissionMeters,0),ROUNDUP((COLUMN()+0)/3-1,0)))</f>
        <v/>
      </c>
      <c r="I221" s="127"/>
      <c r="J221" s="137"/>
      <c r="K221" s="58" t="str" cm="1">
        <f>IF(ISBLANK($A221),"",INDEX(Array_EmissionCharges,MATCH($A221,List_EmissionMeters,0),ROUNDUP((COLUMN()+0)/3-1,0)))</f>
        <v/>
      </c>
      <c r="L221" s="127"/>
      <c r="M221" s="137"/>
      <c r="N221" s="58" t="str" cm="1">
        <f>IF(ISBLANK($A221),"",INDEX(Array_EmissionCharges,MATCH($A221,List_EmissionMeters,0),ROUNDUP((COLUMN()+0)/3-1,0)))</f>
        <v/>
      </c>
      <c r="O221" s="127"/>
      <c r="P221" s="137"/>
      <c r="Q221" s="58" t="str" cm="1">
        <f>IF(ISBLANK($A221),"",INDEX(Array_EmissionCharges,MATCH($A221,List_EmissionMeters,0),ROUNDUP((COLUMN()+0)/3-1,0)))</f>
        <v/>
      </c>
      <c r="R221" s="127"/>
      <c r="S221" s="137"/>
    </row>
    <row r="222" spans="1:19" x14ac:dyDescent="0.3">
      <c r="A222" s="126"/>
      <c r="B222" s="133"/>
      <c r="C222" s="127"/>
      <c r="D222" s="137"/>
      <c r="E222" s="58" t="str" cm="1">
        <f>IF(ISBLANK($A222),"",INDEX(Array_EmissionCharges,MATCH($A222,List_EmissionMeters,0),ROUNDUP((COLUMN()+0)/3-1,0)))</f>
        <v/>
      </c>
      <c r="F222" s="127"/>
      <c r="G222" s="137"/>
      <c r="H222" s="58" t="str" cm="1">
        <f>IF(ISBLANK($A222),"",INDEX(Array_EmissionCharges,MATCH($A222,List_EmissionMeters,0),ROUNDUP((COLUMN()+0)/3-1,0)))</f>
        <v/>
      </c>
      <c r="I222" s="127"/>
      <c r="J222" s="137"/>
      <c r="K222" s="58" t="str" cm="1">
        <f>IF(ISBLANK($A222),"",INDEX(Array_EmissionCharges,MATCH($A222,List_EmissionMeters,0),ROUNDUP((COLUMN()+0)/3-1,0)))</f>
        <v/>
      </c>
      <c r="L222" s="127"/>
      <c r="M222" s="137"/>
      <c r="N222" s="58" t="str" cm="1">
        <f>IF(ISBLANK($A222),"",INDEX(Array_EmissionCharges,MATCH($A222,List_EmissionMeters,0),ROUNDUP((COLUMN()+0)/3-1,0)))</f>
        <v/>
      </c>
      <c r="O222" s="127"/>
      <c r="P222" s="137"/>
      <c r="Q222" s="58" t="str" cm="1">
        <f>IF(ISBLANK($A222),"",INDEX(Array_EmissionCharges,MATCH($A222,List_EmissionMeters,0),ROUNDUP((COLUMN()+0)/3-1,0)))</f>
        <v/>
      </c>
      <c r="R222" s="127"/>
      <c r="S222" s="137"/>
    </row>
    <row r="223" spans="1:19" x14ac:dyDescent="0.3">
      <c r="A223" s="126"/>
      <c r="B223" s="133"/>
      <c r="C223" s="127"/>
      <c r="D223" s="137"/>
      <c r="E223" s="58" t="str" cm="1">
        <f>IF(ISBLANK($A223),"",INDEX(Array_EmissionCharges,MATCH($A223,List_EmissionMeters,0),ROUNDUP((COLUMN()+0)/3-1,0)))</f>
        <v/>
      </c>
      <c r="F223" s="127"/>
      <c r="G223" s="137"/>
      <c r="H223" s="58" t="str" cm="1">
        <f>IF(ISBLANK($A223),"",INDEX(Array_EmissionCharges,MATCH($A223,List_EmissionMeters,0),ROUNDUP((COLUMN()+0)/3-1,0)))</f>
        <v/>
      </c>
      <c r="I223" s="127"/>
      <c r="J223" s="137"/>
      <c r="K223" s="58" t="str" cm="1">
        <f>IF(ISBLANK($A223),"",INDEX(Array_EmissionCharges,MATCH($A223,List_EmissionMeters,0),ROUNDUP((COLUMN()+0)/3-1,0)))</f>
        <v/>
      </c>
      <c r="L223" s="127"/>
      <c r="M223" s="137"/>
      <c r="N223" s="58" t="str" cm="1">
        <f>IF(ISBLANK($A223),"",INDEX(Array_EmissionCharges,MATCH($A223,List_EmissionMeters,0),ROUNDUP((COLUMN()+0)/3-1,0)))</f>
        <v/>
      </c>
      <c r="O223" s="127"/>
      <c r="P223" s="137"/>
      <c r="Q223" s="58" t="str" cm="1">
        <f>IF(ISBLANK($A223),"",INDEX(Array_EmissionCharges,MATCH($A223,List_EmissionMeters,0),ROUNDUP((COLUMN()+0)/3-1,0)))</f>
        <v/>
      </c>
      <c r="R223" s="127"/>
      <c r="S223" s="137"/>
    </row>
    <row r="224" spans="1:19" x14ac:dyDescent="0.3">
      <c r="A224" s="126"/>
      <c r="B224" s="133"/>
      <c r="C224" s="127"/>
      <c r="D224" s="137"/>
      <c r="E224" s="58" t="str" cm="1">
        <f>IF(ISBLANK($A224),"",INDEX(Array_EmissionCharges,MATCH($A224,List_EmissionMeters,0),ROUNDUP((COLUMN()+0)/3-1,0)))</f>
        <v/>
      </c>
      <c r="F224" s="127"/>
      <c r="G224" s="137"/>
      <c r="H224" s="58" t="str" cm="1">
        <f>IF(ISBLANK($A224),"",INDEX(Array_EmissionCharges,MATCH($A224,List_EmissionMeters,0),ROUNDUP((COLUMN()+0)/3-1,0)))</f>
        <v/>
      </c>
      <c r="I224" s="127"/>
      <c r="J224" s="137"/>
      <c r="K224" s="58" t="str" cm="1">
        <f>IF(ISBLANK($A224),"",INDEX(Array_EmissionCharges,MATCH($A224,List_EmissionMeters,0),ROUNDUP((COLUMN()+0)/3-1,0)))</f>
        <v/>
      </c>
      <c r="L224" s="127"/>
      <c r="M224" s="137"/>
      <c r="N224" s="58" t="str" cm="1">
        <f>IF(ISBLANK($A224),"",INDEX(Array_EmissionCharges,MATCH($A224,List_EmissionMeters,0),ROUNDUP((COLUMN()+0)/3-1,0)))</f>
        <v/>
      </c>
      <c r="O224" s="127"/>
      <c r="P224" s="137"/>
      <c r="Q224" s="58" t="str" cm="1">
        <f>IF(ISBLANK($A224),"",INDEX(Array_EmissionCharges,MATCH($A224,List_EmissionMeters,0),ROUNDUP((COLUMN()+0)/3-1,0)))</f>
        <v/>
      </c>
      <c r="R224" s="127"/>
      <c r="S224" s="137"/>
    </row>
    <row r="225" spans="1:19" x14ac:dyDescent="0.3">
      <c r="A225" s="126"/>
      <c r="B225" s="133"/>
      <c r="C225" s="127"/>
      <c r="D225" s="137"/>
      <c r="E225" s="58" t="str" cm="1">
        <f>IF(ISBLANK($A225),"",INDEX(Array_EmissionCharges,MATCH($A225,List_EmissionMeters,0),ROUNDUP((COLUMN()+0)/3-1,0)))</f>
        <v/>
      </c>
      <c r="F225" s="127"/>
      <c r="G225" s="137"/>
      <c r="H225" s="58" t="str" cm="1">
        <f>IF(ISBLANK($A225),"",INDEX(Array_EmissionCharges,MATCH($A225,List_EmissionMeters,0),ROUNDUP((COLUMN()+0)/3-1,0)))</f>
        <v/>
      </c>
      <c r="I225" s="127"/>
      <c r="J225" s="137"/>
      <c r="K225" s="58" t="str" cm="1">
        <f>IF(ISBLANK($A225),"",INDEX(Array_EmissionCharges,MATCH($A225,List_EmissionMeters,0),ROUNDUP((COLUMN()+0)/3-1,0)))</f>
        <v/>
      </c>
      <c r="L225" s="127"/>
      <c r="M225" s="137"/>
      <c r="N225" s="58" t="str" cm="1">
        <f>IF(ISBLANK($A225),"",INDEX(Array_EmissionCharges,MATCH($A225,List_EmissionMeters,0),ROUNDUP((COLUMN()+0)/3-1,0)))</f>
        <v/>
      </c>
      <c r="O225" s="127"/>
      <c r="P225" s="137"/>
      <c r="Q225" s="58" t="str" cm="1">
        <f>IF(ISBLANK($A225),"",INDEX(Array_EmissionCharges,MATCH($A225,List_EmissionMeters,0),ROUNDUP((COLUMN()+0)/3-1,0)))</f>
        <v/>
      </c>
      <c r="R225" s="127"/>
      <c r="S225" s="137"/>
    </row>
    <row r="226" spans="1:19" x14ac:dyDescent="0.3">
      <c r="A226" s="126"/>
      <c r="B226" s="133"/>
      <c r="C226" s="127"/>
      <c r="D226" s="137"/>
      <c r="E226" s="58" t="str" cm="1">
        <f>IF(ISBLANK($A226),"",INDEX(Array_EmissionCharges,MATCH($A226,List_EmissionMeters,0),ROUNDUP((COLUMN()+0)/3-1,0)))</f>
        <v/>
      </c>
      <c r="F226" s="127"/>
      <c r="G226" s="137"/>
      <c r="H226" s="58" t="str" cm="1">
        <f>IF(ISBLANK($A226),"",INDEX(Array_EmissionCharges,MATCH($A226,List_EmissionMeters,0),ROUNDUP((COLUMN()+0)/3-1,0)))</f>
        <v/>
      </c>
      <c r="I226" s="127"/>
      <c r="J226" s="137"/>
      <c r="K226" s="58" t="str" cm="1">
        <f>IF(ISBLANK($A226),"",INDEX(Array_EmissionCharges,MATCH($A226,List_EmissionMeters,0),ROUNDUP((COLUMN()+0)/3-1,0)))</f>
        <v/>
      </c>
      <c r="L226" s="127"/>
      <c r="M226" s="137"/>
      <c r="N226" s="58" t="str" cm="1">
        <f>IF(ISBLANK($A226),"",INDEX(Array_EmissionCharges,MATCH($A226,List_EmissionMeters,0),ROUNDUP((COLUMN()+0)/3-1,0)))</f>
        <v/>
      </c>
      <c r="O226" s="127"/>
      <c r="P226" s="137"/>
      <c r="Q226" s="58" t="str" cm="1">
        <f>IF(ISBLANK($A226),"",INDEX(Array_EmissionCharges,MATCH($A226,List_EmissionMeters,0),ROUNDUP((COLUMN()+0)/3-1,0)))</f>
        <v/>
      </c>
      <c r="R226" s="127"/>
      <c r="S226" s="137"/>
    </row>
    <row r="227" spans="1:19" x14ac:dyDescent="0.3">
      <c r="A227" s="126"/>
      <c r="B227" s="133"/>
      <c r="C227" s="127"/>
      <c r="D227" s="137"/>
      <c r="E227" s="58" t="str" cm="1">
        <f>IF(ISBLANK($A227),"",INDEX(Array_EmissionCharges,MATCH($A227,List_EmissionMeters,0),ROUNDUP((COLUMN()+0)/3-1,0)))</f>
        <v/>
      </c>
      <c r="F227" s="127"/>
      <c r="G227" s="137"/>
      <c r="H227" s="58" t="str" cm="1">
        <f>IF(ISBLANK($A227),"",INDEX(Array_EmissionCharges,MATCH($A227,List_EmissionMeters,0),ROUNDUP((COLUMN()+0)/3-1,0)))</f>
        <v/>
      </c>
      <c r="I227" s="127"/>
      <c r="J227" s="137"/>
      <c r="K227" s="58" t="str" cm="1">
        <f>IF(ISBLANK($A227),"",INDEX(Array_EmissionCharges,MATCH($A227,List_EmissionMeters,0),ROUNDUP((COLUMN()+0)/3-1,0)))</f>
        <v/>
      </c>
      <c r="L227" s="127"/>
      <c r="M227" s="137"/>
      <c r="N227" s="58" t="str" cm="1">
        <f>IF(ISBLANK($A227),"",INDEX(Array_EmissionCharges,MATCH($A227,List_EmissionMeters,0),ROUNDUP((COLUMN()+0)/3-1,0)))</f>
        <v/>
      </c>
      <c r="O227" s="127"/>
      <c r="P227" s="137"/>
      <c r="Q227" s="58" t="str" cm="1">
        <f>IF(ISBLANK($A227),"",INDEX(Array_EmissionCharges,MATCH($A227,List_EmissionMeters,0),ROUNDUP((COLUMN()+0)/3-1,0)))</f>
        <v/>
      </c>
      <c r="R227" s="127"/>
      <c r="S227" s="137"/>
    </row>
    <row r="228" spans="1:19" x14ac:dyDescent="0.3">
      <c r="A228" s="126"/>
      <c r="B228" s="133"/>
      <c r="C228" s="127"/>
      <c r="D228" s="137"/>
      <c r="E228" s="58" t="str" cm="1">
        <f>IF(ISBLANK($A228),"",INDEX(Array_EmissionCharges,MATCH($A228,List_EmissionMeters,0),ROUNDUP((COLUMN()+0)/3-1,0)))</f>
        <v/>
      </c>
      <c r="F228" s="127"/>
      <c r="G228" s="137"/>
      <c r="H228" s="58" t="str" cm="1">
        <f>IF(ISBLANK($A228),"",INDEX(Array_EmissionCharges,MATCH($A228,List_EmissionMeters,0),ROUNDUP((COLUMN()+0)/3-1,0)))</f>
        <v/>
      </c>
      <c r="I228" s="127"/>
      <c r="J228" s="137"/>
      <c r="K228" s="58" t="str" cm="1">
        <f>IF(ISBLANK($A228),"",INDEX(Array_EmissionCharges,MATCH($A228,List_EmissionMeters,0),ROUNDUP((COLUMN()+0)/3-1,0)))</f>
        <v/>
      </c>
      <c r="L228" s="127"/>
      <c r="M228" s="137"/>
      <c r="N228" s="58" t="str" cm="1">
        <f>IF(ISBLANK($A228),"",INDEX(Array_EmissionCharges,MATCH($A228,List_EmissionMeters,0),ROUNDUP((COLUMN()+0)/3-1,0)))</f>
        <v/>
      </c>
      <c r="O228" s="127"/>
      <c r="P228" s="137"/>
      <c r="Q228" s="58" t="str" cm="1">
        <f>IF(ISBLANK($A228),"",INDEX(Array_EmissionCharges,MATCH($A228,List_EmissionMeters,0),ROUNDUP((COLUMN()+0)/3-1,0)))</f>
        <v/>
      </c>
      <c r="R228" s="127"/>
      <c r="S228" s="137"/>
    </row>
    <row r="229" spans="1:19" x14ac:dyDescent="0.3">
      <c r="A229" s="126"/>
      <c r="B229" s="133"/>
      <c r="C229" s="127"/>
      <c r="D229" s="137"/>
      <c r="E229" s="58" t="str" cm="1">
        <f>IF(ISBLANK($A229),"",INDEX(Array_EmissionCharges,MATCH($A229,List_EmissionMeters,0),ROUNDUP((COLUMN()+0)/3-1,0)))</f>
        <v/>
      </c>
      <c r="F229" s="127"/>
      <c r="G229" s="137"/>
      <c r="H229" s="58" t="str" cm="1">
        <f>IF(ISBLANK($A229),"",INDEX(Array_EmissionCharges,MATCH($A229,List_EmissionMeters,0),ROUNDUP((COLUMN()+0)/3-1,0)))</f>
        <v/>
      </c>
      <c r="I229" s="127"/>
      <c r="J229" s="137"/>
      <c r="K229" s="58" t="str" cm="1">
        <f>IF(ISBLANK($A229),"",INDEX(Array_EmissionCharges,MATCH($A229,List_EmissionMeters,0),ROUNDUP((COLUMN()+0)/3-1,0)))</f>
        <v/>
      </c>
      <c r="L229" s="127"/>
      <c r="M229" s="137"/>
      <c r="N229" s="58" t="str" cm="1">
        <f>IF(ISBLANK($A229),"",INDEX(Array_EmissionCharges,MATCH($A229,List_EmissionMeters,0),ROUNDUP((COLUMN()+0)/3-1,0)))</f>
        <v/>
      </c>
      <c r="O229" s="127"/>
      <c r="P229" s="137"/>
      <c r="Q229" s="58" t="str" cm="1">
        <f>IF(ISBLANK($A229),"",INDEX(Array_EmissionCharges,MATCH($A229,List_EmissionMeters,0),ROUNDUP((COLUMN()+0)/3-1,0)))</f>
        <v/>
      </c>
      <c r="R229" s="127"/>
      <c r="S229" s="137"/>
    </row>
    <row r="230" spans="1:19" x14ac:dyDescent="0.3">
      <c r="A230" s="126"/>
      <c r="B230" s="133"/>
      <c r="C230" s="127"/>
      <c r="D230" s="137"/>
      <c r="E230" s="58" t="str" cm="1">
        <f>IF(ISBLANK($A230),"",INDEX(Array_EmissionCharges,MATCH($A230,List_EmissionMeters,0),ROUNDUP((COLUMN()+0)/3-1,0)))</f>
        <v/>
      </c>
      <c r="F230" s="127"/>
      <c r="G230" s="137"/>
      <c r="H230" s="58" t="str" cm="1">
        <f>IF(ISBLANK($A230),"",INDEX(Array_EmissionCharges,MATCH($A230,List_EmissionMeters,0),ROUNDUP((COLUMN()+0)/3-1,0)))</f>
        <v/>
      </c>
      <c r="I230" s="127"/>
      <c r="J230" s="137"/>
      <c r="K230" s="58" t="str" cm="1">
        <f>IF(ISBLANK($A230),"",INDEX(Array_EmissionCharges,MATCH($A230,List_EmissionMeters,0),ROUNDUP((COLUMN()+0)/3-1,0)))</f>
        <v/>
      </c>
      <c r="L230" s="127"/>
      <c r="M230" s="137"/>
      <c r="N230" s="58" t="str" cm="1">
        <f>IF(ISBLANK($A230),"",INDEX(Array_EmissionCharges,MATCH($A230,List_EmissionMeters,0),ROUNDUP((COLUMN()+0)/3-1,0)))</f>
        <v/>
      </c>
      <c r="O230" s="127"/>
      <c r="P230" s="137"/>
      <c r="Q230" s="58" t="str" cm="1">
        <f>IF(ISBLANK($A230),"",INDEX(Array_EmissionCharges,MATCH($A230,List_EmissionMeters,0),ROUNDUP((COLUMN()+0)/3-1,0)))</f>
        <v/>
      </c>
      <c r="R230" s="127"/>
      <c r="S230" s="137"/>
    </row>
    <row r="231" spans="1:19" x14ac:dyDescent="0.3">
      <c r="A231" s="126"/>
      <c r="B231" s="133"/>
      <c r="C231" s="127"/>
      <c r="D231" s="137"/>
      <c r="E231" s="58" t="str" cm="1">
        <f>IF(ISBLANK($A231),"",INDEX(Array_EmissionCharges,MATCH($A231,List_EmissionMeters,0),ROUNDUP((COLUMN()+0)/3-1,0)))</f>
        <v/>
      </c>
      <c r="F231" s="127"/>
      <c r="G231" s="137"/>
      <c r="H231" s="58" t="str" cm="1">
        <f>IF(ISBLANK($A231),"",INDEX(Array_EmissionCharges,MATCH($A231,List_EmissionMeters,0),ROUNDUP((COLUMN()+0)/3-1,0)))</f>
        <v/>
      </c>
      <c r="I231" s="127"/>
      <c r="J231" s="137"/>
      <c r="K231" s="58" t="str" cm="1">
        <f>IF(ISBLANK($A231),"",INDEX(Array_EmissionCharges,MATCH($A231,List_EmissionMeters,0),ROUNDUP((COLUMN()+0)/3-1,0)))</f>
        <v/>
      </c>
      <c r="L231" s="127"/>
      <c r="M231" s="137"/>
      <c r="N231" s="58" t="str" cm="1">
        <f>IF(ISBLANK($A231),"",INDEX(Array_EmissionCharges,MATCH($A231,List_EmissionMeters,0),ROUNDUP((COLUMN()+0)/3-1,0)))</f>
        <v/>
      </c>
      <c r="O231" s="127"/>
      <c r="P231" s="137"/>
      <c r="Q231" s="58" t="str" cm="1">
        <f>IF(ISBLANK($A231),"",INDEX(Array_EmissionCharges,MATCH($A231,List_EmissionMeters,0),ROUNDUP((COLUMN()+0)/3-1,0)))</f>
        <v/>
      </c>
      <c r="R231" s="127"/>
      <c r="S231" s="137"/>
    </row>
    <row r="232" spans="1:19" x14ac:dyDescent="0.3">
      <c r="A232" s="126"/>
      <c r="B232" s="133"/>
      <c r="C232" s="127"/>
      <c r="D232" s="137"/>
      <c r="E232" s="58" t="str" cm="1">
        <f>IF(ISBLANK($A232),"",INDEX(Array_EmissionCharges,MATCH($A232,List_EmissionMeters,0),ROUNDUP((COLUMN()+0)/3-1,0)))</f>
        <v/>
      </c>
      <c r="F232" s="127"/>
      <c r="G232" s="137"/>
      <c r="H232" s="58" t="str" cm="1">
        <f>IF(ISBLANK($A232),"",INDEX(Array_EmissionCharges,MATCH($A232,List_EmissionMeters,0),ROUNDUP((COLUMN()+0)/3-1,0)))</f>
        <v/>
      </c>
      <c r="I232" s="127"/>
      <c r="J232" s="137"/>
      <c r="K232" s="58" t="str" cm="1">
        <f>IF(ISBLANK($A232),"",INDEX(Array_EmissionCharges,MATCH($A232,List_EmissionMeters,0),ROUNDUP((COLUMN()+0)/3-1,0)))</f>
        <v/>
      </c>
      <c r="L232" s="127"/>
      <c r="M232" s="137"/>
      <c r="N232" s="58" t="str" cm="1">
        <f>IF(ISBLANK($A232),"",INDEX(Array_EmissionCharges,MATCH($A232,List_EmissionMeters,0),ROUNDUP((COLUMN()+0)/3-1,0)))</f>
        <v/>
      </c>
      <c r="O232" s="127"/>
      <c r="P232" s="137"/>
      <c r="Q232" s="58" t="str" cm="1">
        <f>IF(ISBLANK($A232),"",INDEX(Array_EmissionCharges,MATCH($A232,List_EmissionMeters,0),ROUNDUP((COLUMN()+0)/3-1,0)))</f>
        <v/>
      </c>
      <c r="R232" s="127"/>
      <c r="S232" s="137"/>
    </row>
    <row r="233" spans="1:19" x14ac:dyDescent="0.3">
      <c r="A233" s="126"/>
      <c r="B233" s="133"/>
      <c r="C233" s="127"/>
      <c r="D233" s="137"/>
      <c r="E233" s="58" t="str" cm="1">
        <f>IF(ISBLANK($A233),"",INDEX(Array_EmissionCharges,MATCH($A233,List_EmissionMeters,0),ROUNDUP((COLUMN()+0)/3-1,0)))</f>
        <v/>
      </c>
      <c r="F233" s="127"/>
      <c r="G233" s="137"/>
      <c r="H233" s="58" t="str" cm="1">
        <f>IF(ISBLANK($A233),"",INDEX(Array_EmissionCharges,MATCH($A233,List_EmissionMeters,0),ROUNDUP((COLUMN()+0)/3-1,0)))</f>
        <v/>
      </c>
      <c r="I233" s="127"/>
      <c r="J233" s="137"/>
      <c r="K233" s="58" t="str" cm="1">
        <f>IF(ISBLANK($A233),"",INDEX(Array_EmissionCharges,MATCH($A233,List_EmissionMeters,0),ROUNDUP((COLUMN()+0)/3-1,0)))</f>
        <v/>
      </c>
      <c r="L233" s="127"/>
      <c r="M233" s="137"/>
      <c r="N233" s="58" t="str" cm="1">
        <f>IF(ISBLANK($A233),"",INDEX(Array_EmissionCharges,MATCH($A233,List_EmissionMeters,0),ROUNDUP((COLUMN()+0)/3-1,0)))</f>
        <v/>
      </c>
      <c r="O233" s="127"/>
      <c r="P233" s="137"/>
      <c r="Q233" s="58" t="str" cm="1">
        <f>IF(ISBLANK($A233),"",INDEX(Array_EmissionCharges,MATCH($A233,List_EmissionMeters,0),ROUNDUP((COLUMN()+0)/3-1,0)))</f>
        <v/>
      </c>
      <c r="R233" s="127"/>
      <c r="S233" s="137"/>
    </row>
    <row r="234" spans="1:19" x14ac:dyDescent="0.3">
      <c r="A234" s="126"/>
      <c r="B234" s="133"/>
      <c r="C234" s="127"/>
      <c r="D234" s="137"/>
      <c r="E234" s="58" t="str" cm="1">
        <f>IF(ISBLANK($A234),"",INDEX(Array_EmissionCharges,MATCH($A234,List_EmissionMeters,0),ROUNDUP((COLUMN()+0)/3-1,0)))</f>
        <v/>
      </c>
      <c r="F234" s="127"/>
      <c r="G234" s="137"/>
      <c r="H234" s="58" t="str" cm="1">
        <f>IF(ISBLANK($A234),"",INDEX(Array_EmissionCharges,MATCH($A234,List_EmissionMeters,0),ROUNDUP((COLUMN()+0)/3-1,0)))</f>
        <v/>
      </c>
      <c r="I234" s="127"/>
      <c r="J234" s="137"/>
      <c r="K234" s="58" t="str" cm="1">
        <f>IF(ISBLANK($A234),"",INDEX(Array_EmissionCharges,MATCH($A234,List_EmissionMeters,0),ROUNDUP((COLUMN()+0)/3-1,0)))</f>
        <v/>
      </c>
      <c r="L234" s="127"/>
      <c r="M234" s="137"/>
      <c r="N234" s="58" t="str" cm="1">
        <f>IF(ISBLANK($A234),"",INDEX(Array_EmissionCharges,MATCH($A234,List_EmissionMeters,0),ROUNDUP((COLUMN()+0)/3-1,0)))</f>
        <v/>
      </c>
      <c r="O234" s="127"/>
      <c r="P234" s="137"/>
      <c r="Q234" s="58" t="str" cm="1">
        <f>IF(ISBLANK($A234),"",INDEX(Array_EmissionCharges,MATCH($A234,List_EmissionMeters,0),ROUNDUP((COLUMN()+0)/3-1,0)))</f>
        <v/>
      </c>
      <c r="R234" s="127"/>
      <c r="S234" s="137"/>
    </row>
    <row r="235" spans="1:19" x14ac:dyDescent="0.3">
      <c r="A235" s="126"/>
      <c r="B235" s="133"/>
      <c r="C235" s="127"/>
      <c r="D235" s="137"/>
      <c r="E235" s="58" t="str" cm="1">
        <f>IF(ISBLANK($A235),"",INDEX(Array_EmissionCharges,MATCH($A235,List_EmissionMeters,0),ROUNDUP((COLUMN()+0)/3-1,0)))</f>
        <v/>
      </c>
      <c r="F235" s="127"/>
      <c r="G235" s="137"/>
      <c r="H235" s="58" t="str" cm="1">
        <f>IF(ISBLANK($A235),"",INDEX(Array_EmissionCharges,MATCH($A235,List_EmissionMeters,0),ROUNDUP((COLUMN()+0)/3-1,0)))</f>
        <v/>
      </c>
      <c r="I235" s="127"/>
      <c r="J235" s="137"/>
      <c r="K235" s="58" t="str" cm="1">
        <f>IF(ISBLANK($A235),"",INDEX(Array_EmissionCharges,MATCH($A235,List_EmissionMeters,0),ROUNDUP((COLUMN()+0)/3-1,0)))</f>
        <v/>
      </c>
      <c r="L235" s="127"/>
      <c r="M235" s="137"/>
      <c r="N235" s="58" t="str" cm="1">
        <f>IF(ISBLANK($A235),"",INDEX(Array_EmissionCharges,MATCH($A235,List_EmissionMeters,0),ROUNDUP((COLUMN()+0)/3-1,0)))</f>
        <v/>
      </c>
      <c r="O235" s="127"/>
      <c r="P235" s="137"/>
      <c r="Q235" s="58" t="str" cm="1">
        <f>IF(ISBLANK($A235),"",INDEX(Array_EmissionCharges,MATCH($A235,List_EmissionMeters,0),ROUNDUP((COLUMN()+0)/3-1,0)))</f>
        <v/>
      </c>
      <c r="R235" s="127"/>
      <c r="S235" s="137"/>
    </row>
    <row r="236" spans="1:19" x14ac:dyDescent="0.3">
      <c r="A236" s="126"/>
      <c r="B236" s="133"/>
      <c r="C236" s="127"/>
      <c r="D236" s="137"/>
      <c r="E236" s="58" t="str" cm="1">
        <f>IF(ISBLANK($A236),"",INDEX(Array_EmissionCharges,MATCH($A236,List_EmissionMeters,0),ROUNDUP((COLUMN()+0)/3-1,0)))</f>
        <v/>
      </c>
      <c r="F236" s="127"/>
      <c r="G236" s="137"/>
      <c r="H236" s="58" t="str" cm="1">
        <f>IF(ISBLANK($A236),"",INDEX(Array_EmissionCharges,MATCH($A236,List_EmissionMeters,0),ROUNDUP((COLUMN()+0)/3-1,0)))</f>
        <v/>
      </c>
      <c r="I236" s="127"/>
      <c r="J236" s="137"/>
      <c r="K236" s="58" t="str" cm="1">
        <f>IF(ISBLANK($A236),"",INDEX(Array_EmissionCharges,MATCH($A236,List_EmissionMeters,0),ROUNDUP((COLUMN()+0)/3-1,0)))</f>
        <v/>
      </c>
      <c r="L236" s="127"/>
      <c r="M236" s="137"/>
      <c r="N236" s="58" t="str" cm="1">
        <f>IF(ISBLANK($A236),"",INDEX(Array_EmissionCharges,MATCH($A236,List_EmissionMeters,0),ROUNDUP((COLUMN()+0)/3-1,0)))</f>
        <v/>
      </c>
      <c r="O236" s="127"/>
      <c r="P236" s="137"/>
      <c r="Q236" s="58" t="str" cm="1">
        <f>IF(ISBLANK($A236),"",INDEX(Array_EmissionCharges,MATCH($A236,List_EmissionMeters,0),ROUNDUP((COLUMN()+0)/3-1,0)))</f>
        <v/>
      </c>
      <c r="R236" s="127"/>
      <c r="S236" s="137"/>
    </row>
    <row r="237" spans="1:19" x14ac:dyDescent="0.3">
      <c r="A237" s="126"/>
      <c r="B237" s="133"/>
      <c r="C237" s="127"/>
      <c r="D237" s="137"/>
      <c r="E237" s="58" t="str" cm="1">
        <f>IF(ISBLANK($A237),"",INDEX(Array_EmissionCharges,MATCH($A237,List_EmissionMeters,0),ROUNDUP((COLUMN()+0)/3-1,0)))</f>
        <v/>
      </c>
      <c r="F237" s="127"/>
      <c r="G237" s="137"/>
      <c r="H237" s="58" t="str" cm="1">
        <f>IF(ISBLANK($A237),"",INDEX(Array_EmissionCharges,MATCH($A237,List_EmissionMeters,0),ROUNDUP((COLUMN()+0)/3-1,0)))</f>
        <v/>
      </c>
      <c r="I237" s="127"/>
      <c r="J237" s="137"/>
      <c r="K237" s="58" t="str" cm="1">
        <f>IF(ISBLANK($A237),"",INDEX(Array_EmissionCharges,MATCH($A237,List_EmissionMeters,0),ROUNDUP((COLUMN()+0)/3-1,0)))</f>
        <v/>
      </c>
      <c r="L237" s="127"/>
      <c r="M237" s="137"/>
      <c r="N237" s="58" t="str" cm="1">
        <f>IF(ISBLANK($A237),"",INDEX(Array_EmissionCharges,MATCH($A237,List_EmissionMeters,0),ROUNDUP((COLUMN()+0)/3-1,0)))</f>
        <v/>
      </c>
      <c r="O237" s="127"/>
      <c r="P237" s="137"/>
      <c r="Q237" s="58" t="str" cm="1">
        <f>IF(ISBLANK($A237),"",INDEX(Array_EmissionCharges,MATCH($A237,List_EmissionMeters,0),ROUNDUP((COLUMN()+0)/3-1,0)))</f>
        <v/>
      </c>
      <c r="R237" s="127"/>
      <c r="S237" s="137"/>
    </row>
    <row r="238" spans="1:19" x14ac:dyDescent="0.3">
      <c r="A238" s="126"/>
      <c r="B238" s="133"/>
      <c r="C238" s="127"/>
      <c r="D238" s="137"/>
      <c r="E238" s="58" t="str" cm="1">
        <f>IF(ISBLANK($A238),"",INDEX(Array_EmissionCharges,MATCH($A238,List_EmissionMeters,0),ROUNDUP((COLUMN()+0)/3-1,0)))</f>
        <v/>
      </c>
      <c r="F238" s="127"/>
      <c r="G238" s="137"/>
      <c r="H238" s="58" t="str" cm="1">
        <f>IF(ISBLANK($A238),"",INDEX(Array_EmissionCharges,MATCH($A238,List_EmissionMeters,0),ROUNDUP((COLUMN()+0)/3-1,0)))</f>
        <v/>
      </c>
      <c r="I238" s="127"/>
      <c r="J238" s="137"/>
      <c r="K238" s="58" t="str" cm="1">
        <f>IF(ISBLANK($A238),"",INDEX(Array_EmissionCharges,MATCH($A238,List_EmissionMeters,0),ROUNDUP((COLUMN()+0)/3-1,0)))</f>
        <v/>
      </c>
      <c r="L238" s="127"/>
      <c r="M238" s="137"/>
      <c r="N238" s="58" t="str" cm="1">
        <f>IF(ISBLANK($A238),"",INDEX(Array_EmissionCharges,MATCH($A238,List_EmissionMeters,0),ROUNDUP((COLUMN()+0)/3-1,0)))</f>
        <v/>
      </c>
      <c r="O238" s="127"/>
      <c r="P238" s="137"/>
      <c r="Q238" s="58" t="str" cm="1">
        <f>IF(ISBLANK($A238),"",INDEX(Array_EmissionCharges,MATCH($A238,List_EmissionMeters,0),ROUNDUP((COLUMN()+0)/3-1,0)))</f>
        <v/>
      </c>
      <c r="R238" s="127"/>
      <c r="S238" s="137"/>
    </row>
    <row r="239" spans="1:19" x14ac:dyDescent="0.3">
      <c r="A239" s="126"/>
      <c r="B239" s="133"/>
      <c r="C239" s="127"/>
      <c r="D239" s="137"/>
      <c r="E239" s="58" t="str" cm="1">
        <f>IF(ISBLANK($A239),"",INDEX(Array_EmissionCharges,MATCH($A239,List_EmissionMeters,0),ROUNDUP((COLUMN()+0)/3-1,0)))</f>
        <v/>
      </c>
      <c r="F239" s="127"/>
      <c r="G239" s="137"/>
      <c r="H239" s="58" t="str" cm="1">
        <f>IF(ISBLANK($A239),"",INDEX(Array_EmissionCharges,MATCH($A239,List_EmissionMeters,0),ROUNDUP((COLUMN()+0)/3-1,0)))</f>
        <v/>
      </c>
      <c r="I239" s="127"/>
      <c r="J239" s="137"/>
      <c r="K239" s="58" t="str" cm="1">
        <f>IF(ISBLANK($A239),"",INDEX(Array_EmissionCharges,MATCH($A239,List_EmissionMeters,0),ROUNDUP((COLUMN()+0)/3-1,0)))</f>
        <v/>
      </c>
      <c r="L239" s="127"/>
      <c r="M239" s="137"/>
      <c r="N239" s="58" t="str" cm="1">
        <f>IF(ISBLANK($A239),"",INDEX(Array_EmissionCharges,MATCH($A239,List_EmissionMeters,0),ROUNDUP((COLUMN()+0)/3-1,0)))</f>
        <v/>
      </c>
      <c r="O239" s="127"/>
      <c r="P239" s="137"/>
      <c r="Q239" s="58" t="str" cm="1">
        <f>IF(ISBLANK($A239),"",INDEX(Array_EmissionCharges,MATCH($A239,List_EmissionMeters,0),ROUNDUP((COLUMN()+0)/3-1,0)))</f>
        <v/>
      </c>
      <c r="R239" s="127"/>
      <c r="S239" s="137"/>
    </row>
    <row r="240" spans="1:19" x14ac:dyDescent="0.3">
      <c r="A240" s="126"/>
      <c r="B240" s="133"/>
      <c r="C240" s="127"/>
      <c r="D240" s="137"/>
      <c r="E240" s="58" t="str" cm="1">
        <f>IF(ISBLANK($A240),"",INDEX(Array_EmissionCharges,MATCH($A240,List_EmissionMeters,0),ROUNDUP((COLUMN()+0)/3-1,0)))</f>
        <v/>
      </c>
      <c r="F240" s="127"/>
      <c r="G240" s="137"/>
      <c r="H240" s="58" t="str" cm="1">
        <f>IF(ISBLANK($A240),"",INDEX(Array_EmissionCharges,MATCH($A240,List_EmissionMeters,0),ROUNDUP((COLUMN()+0)/3-1,0)))</f>
        <v/>
      </c>
      <c r="I240" s="127"/>
      <c r="J240" s="137"/>
      <c r="K240" s="58" t="str" cm="1">
        <f>IF(ISBLANK($A240),"",INDEX(Array_EmissionCharges,MATCH($A240,List_EmissionMeters,0),ROUNDUP((COLUMN()+0)/3-1,0)))</f>
        <v/>
      </c>
      <c r="L240" s="127"/>
      <c r="M240" s="137"/>
      <c r="N240" s="58" t="str" cm="1">
        <f>IF(ISBLANK($A240),"",INDEX(Array_EmissionCharges,MATCH($A240,List_EmissionMeters,0),ROUNDUP((COLUMN()+0)/3-1,0)))</f>
        <v/>
      </c>
      <c r="O240" s="127"/>
      <c r="P240" s="137"/>
      <c r="Q240" s="58" t="str" cm="1">
        <f>IF(ISBLANK($A240),"",INDEX(Array_EmissionCharges,MATCH($A240,List_EmissionMeters,0),ROUNDUP((COLUMN()+0)/3-1,0)))</f>
        <v/>
      </c>
      <c r="R240" s="127"/>
      <c r="S240" s="137"/>
    </row>
    <row r="241" spans="1:19" x14ac:dyDescent="0.3">
      <c r="A241" s="126"/>
      <c r="B241" s="133"/>
      <c r="C241" s="127"/>
      <c r="D241" s="137"/>
      <c r="E241" s="58" t="str" cm="1">
        <f>IF(ISBLANK($A241),"",INDEX(Array_EmissionCharges,MATCH($A241,List_EmissionMeters,0),ROUNDUP((COLUMN()+0)/3-1,0)))</f>
        <v/>
      </c>
      <c r="F241" s="127"/>
      <c r="G241" s="137"/>
      <c r="H241" s="58" t="str" cm="1">
        <f>IF(ISBLANK($A241),"",INDEX(Array_EmissionCharges,MATCH($A241,List_EmissionMeters,0),ROUNDUP((COLUMN()+0)/3-1,0)))</f>
        <v/>
      </c>
      <c r="I241" s="127"/>
      <c r="J241" s="137"/>
      <c r="K241" s="58" t="str" cm="1">
        <f>IF(ISBLANK($A241),"",INDEX(Array_EmissionCharges,MATCH($A241,List_EmissionMeters,0),ROUNDUP((COLUMN()+0)/3-1,0)))</f>
        <v/>
      </c>
      <c r="L241" s="127"/>
      <c r="M241" s="137"/>
      <c r="N241" s="58" t="str" cm="1">
        <f>IF(ISBLANK($A241),"",INDEX(Array_EmissionCharges,MATCH($A241,List_EmissionMeters,0),ROUNDUP((COLUMN()+0)/3-1,0)))</f>
        <v/>
      </c>
      <c r="O241" s="127"/>
      <c r="P241" s="137"/>
      <c r="Q241" s="58" t="str" cm="1">
        <f>IF(ISBLANK($A241),"",INDEX(Array_EmissionCharges,MATCH($A241,List_EmissionMeters,0),ROUNDUP((COLUMN()+0)/3-1,0)))</f>
        <v/>
      </c>
      <c r="R241" s="127"/>
      <c r="S241" s="137"/>
    </row>
    <row r="242" spans="1:19" x14ac:dyDescent="0.3">
      <c r="A242" s="126"/>
      <c r="B242" s="133"/>
      <c r="C242" s="127"/>
      <c r="D242" s="137"/>
      <c r="E242" s="58" t="str" cm="1">
        <f>IF(ISBLANK($A242),"",INDEX(Array_EmissionCharges,MATCH($A242,List_EmissionMeters,0),ROUNDUP((COLUMN()+0)/3-1,0)))</f>
        <v/>
      </c>
      <c r="F242" s="127"/>
      <c r="G242" s="137"/>
      <c r="H242" s="58" t="str" cm="1">
        <f>IF(ISBLANK($A242),"",INDEX(Array_EmissionCharges,MATCH($A242,List_EmissionMeters,0),ROUNDUP((COLUMN()+0)/3-1,0)))</f>
        <v/>
      </c>
      <c r="I242" s="127"/>
      <c r="J242" s="137"/>
      <c r="K242" s="58" t="str" cm="1">
        <f>IF(ISBLANK($A242),"",INDEX(Array_EmissionCharges,MATCH($A242,List_EmissionMeters,0),ROUNDUP((COLUMN()+0)/3-1,0)))</f>
        <v/>
      </c>
      <c r="L242" s="127"/>
      <c r="M242" s="137"/>
      <c r="N242" s="58" t="str" cm="1">
        <f>IF(ISBLANK($A242),"",INDEX(Array_EmissionCharges,MATCH($A242,List_EmissionMeters,0),ROUNDUP((COLUMN()+0)/3-1,0)))</f>
        <v/>
      </c>
      <c r="O242" s="127"/>
      <c r="P242" s="137"/>
      <c r="Q242" s="58" t="str" cm="1">
        <f>IF(ISBLANK($A242),"",INDEX(Array_EmissionCharges,MATCH($A242,List_EmissionMeters,0),ROUNDUP((COLUMN()+0)/3-1,0)))</f>
        <v/>
      </c>
      <c r="R242" s="127"/>
      <c r="S242" s="137"/>
    </row>
    <row r="243" spans="1:19" x14ac:dyDescent="0.3">
      <c r="A243" s="126"/>
      <c r="B243" s="133"/>
      <c r="C243" s="127"/>
      <c r="D243" s="137"/>
      <c r="E243" s="58" t="str" cm="1">
        <f>IF(ISBLANK($A243),"",INDEX(Array_EmissionCharges,MATCH($A243,List_EmissionMeters,0),ROUNDUP((COLUMN()+0)/3-1,0)))</f>
        <v/>
      </c>
      <c r="F243" s="127"/>
      <c r="G243" s="137"/>
      <c r="H243" s="58" t="str" cm="1">
        <f>IF(ISBLANK($A243),"",INDEX(Array_EmissionCharges,MATCH($A243,List_EmissionMeters,0),ROUNDUP((COLUMN()+0)/3-1,0)))</f>
        <v/>
      </c>
      <c r="I243" s="127"/>
      <c r="J243" s="137"/>
      <c r="K243" s="58" t="str" cm="1">
        <f>IF(ISBLANK($A243),"",INDEX(Array_EmissionCharges,MATCH($A243,List_EmissionMeters,0),ROUNDUP((COLUMN()+0)/3-1,0)))</f>
        <v/>
      </c>
      <c r="L243" s="127"/>
      <c r="M243" s="137"/>
      <c r="N243" s="58" t="str" cm="1">
        <f>IF(ISBLANK($A243),"",INDEX(Array_EmissionCharges,MATCH($A243,List_EmissionMeters,0),ROUNDUP((COLUMN()+0)/3-1,0)))</f>
        <v/>
      </c>
      <c r="O243" s="127"/>
      <c r="P243" s="137"/>
      <c r="Q243" s="58" t="str" cm="1">
        <f>IF(ISBLANK($A243),"",INDEX(Array_EmissionCharges,MATCH($A243,List_EmissionMeters,0),ROUNDUP((COLUMN()+0)/3-1,0)))</f>
        <v/>
      </c>
      <c r="R243" s="127"/>
      <c r="S243" s="137"/>
    </row>
    <row r="244" spans="1:19" x14ac:dyDescent="0.3">
      <c r="A244" s="126"/>
      <c r="B244" s="133"/>
      <c r="C244" s="127"/>
      <c r="D244" s="137"/>
      <c r="E244" s="58" t="str" cm="1">
        <f>IF(ISBLANK($A244),"",INDEX(Array_EmissionCharges,MATCH($A244,List_EmissionMeters,0),ROUNDUP((COLUMN()+0)/3-1,0)))</f>
        <v/>
      </c>
      <c r="F244" s="127"/>
      <c r="G244" s="137"/>
      <c r="H244" s="58" t="str" cm="1">
        <f>IF(ISBLANK($A244),"",INDEX(Array_EmissionCharges,MATCH($A244,List_EmissionMeters,0),ROUNDUP((COLUMN()+0)/3-1,0)))</f>
        <v/>
      </c>
      <c r="I244" s="127"/>
      <c r="J244" s="137"/>
      <c r="K244" s="58" t="str" cm="1">
        <f>IF(ISBLANK($A244),"",INDEX(Array_EmissionCharges,MATCH($A244,List_EmissionMeters,0),ROUNDUP((COLUMN()+0)/3-1,0)))</f>
        <v/>
      </c>
      <c r="L244" s="127"/>
      <c r="M244" s="137"/>
      <c r="N244" s="58" t="str" cm="1">
        <f>IF(ISBLANK($A244),"",INDEX(Array_EmissionCharges,MATCH($A244,List_EmissionMeters,0),ROUNDUP((COLUMN()+0)/3-1,0)))</f>
        <v/>
      </c>
      <c r="O244" s="127"/>
      <c r="P244" s="137"/>
      <c r="Q244" s="58" t="str" cm="1">
        <f>IF(ISBLANK($A244),"",INDEX(Array_EmissionCharges,MATCH($A244,List_EmissionMeters,0),ROUNDUP((COLUMN()+0)/3-1,0)))</f>
        <v/>
      </c>
      <c r="R244" s="127"/>
      <c r="S244" s="137"/>
    </row>
    <row r="245" spans="1:19" x14ac:dyDescent="0.3">
      <c r="A245" s="126"/>
      <c r="B245" s="133"/>
      <c r="C245" s="127"/>
      <c r="D245" s="137"/>
      <c r="E245" s="58" t="str" cm="1">
        <f>IF(ISBLANK($A245),"",INDEX(Array_EmissionCharges,MATCH($A245,List_EmissionMeters,0),ROUNDUP((COLUMN()+0)/3-1,0)))</f>
        <v/>
      </c>
      <c r="F245" s="127"/>
      <c r="G245" s="137"/>
      <c r="H245" s="58" t="str" cm="1">
        <f>IF(ISBLANK($A245),"",INDEX(Array_EmissionCharges,MATCH($A245,List_EmissionMeters,0),ROUNDUP((COLUMN()+0)/3-1,0)))</f>
        <v/>
      </c>
      <c r="I245" s="127"/>
      <c r="J245" s="137"/>
      <c r="K245" s="58" t="str" cm="1">
        <f>IF(ISBLANK($A245),"",INDEX(Array_EmissionCharges,MATCH($A245,List_EmissionMeters,0),ROUNDUP((COLUMN()+0)/3-1,0)))</f>
        <v/>
      </c>
      <c r="L245" s="127"/>
      <c r="M245" s="137"/>
      <c r="N245" s="58" t="str" cm="1">
        <f>IF(ISBLANK($A245),"",INDEX(Array_EmissionCharges,MATCH($A245,List_EmissionMeters,0),ROUNDUP((COLUMN()+0)/3-1,0)))</f>
        <v/>
      </c>
      <c r="O245" s="127"/>
      <c r="P245" s="137"/>
      <c r="Q245" s="58" t="str" cm="1">
        <f>IF(ISBLANK($A245),"",INDEX(Array_EmissionCharges,MATCH($A245,List_EmissionMeters,0),ROUNDUP((COLUMN()+0)/3-1,0)))</f>
        <v/>
      </c>
      <c r="R245" s="127"/>
      <c r="S245" s="137"/>
    </row>
    <row r="246" spans="1:19" x14ac:dyDescent="0.3">
      <c r="A246" s="126"/>
      <c r="B246" s="133"/>
      <c r="C246" s="127"/>
      <c r="D246" s="137"/>
      <c r="E246" s="58" t="str" cm="1">
        <f>IF(ISBLANK($A246),"",INDEX(Array_EmissionCharges,MATCH($A246,List_EmissionMeters,0),ROUNDUP((COLUMN()+0)/3-1,0)))</f>
        <v/>
      </c>
      <c r="F246" s="127"/>
      <c r="G246" s="137"/>
      <c r="H246" s="58" t="str" cm="1">
        <f>IF(ISBLANK($A246),"",INDEX(Array_EmissionCharges,MATCH($A246,List_EmissionMeters,0),ROUNDUP((COLUMN()+0)/3-1,0)))</f>
        <v/>
      </c>
      <c r="I246" s="127"/>
      <c r="J246" s="137"/>
      <c r="K246" s="58" t="str" cm="1">
        <f>IF(ISBLANK($A246),"",INDEX(Array_EmissionCharges,MATCH($A246,List_EmissionMeters,0),ROUNDUP((COLUMN()+0)/3-1,0)))</f>
        <v/>
      </c>
      <c r="L246" s="127"/>
      <c r="M246" s="137"/>
      <c r="N246" s="58" t="str" cm="1">
        <f>IF(ISBLANK($A246),"",INDEX(Array_EmissionCharges,MATCH($A246,List_EmissionMeters,0),ROUNDUP((COLUMN()+0)/3-1,0)))</f>
        <v/>
      </c>
      <c r="O246" s="127"/>
      <c r="P246" s="137"/>
      <c r="Q246" s="58" t="str" cm="1">
        <f>IF(ISBLANK($A246),"",INDEX(Array_EmissionCharges,MATCH($A246,List_EmissionMeters,0),ROUNDUP((COLUMN()+0)/3-1,0)))</f>
        <v/>
      </c>
      <c r="R246" s="127"/>
      <c r="S246" s="137"/>
    </row>
    <row r="247" spans="1:19" x14ac:dyDescent="0.3">
      <c r="A247" s="126"/>
      <c r="B247" s="133"/>
      <c r="C247" s="127"/>
      <c r="D247" s="137"/>
      <c r="E247" s="58" t="str" cm="1">
        <f>IF(ISBLANK($A247),"",INDEX(Array_EmissionCharges,MATCH($A247,List_EmissionMeters,0),ROUNDUP((COLUMN()+0)/3-1,0)))</f>
        <v/>
      </c>
      <c r="F247" s="127"/>
      <c r="G247" s="137"/>
      <c r="H247" s="58" t="str" cm="1">
        <f>IF(ISBLANK($A247),"",INDEX(Array_EmissionCharges,MATCH($A247,List_EmissionMeters,0),ROUNDUP((COLUMN()+0)/3-1,0)))</f>
        <v/>
      </c>
      <c r="I247" s="127"/>
      <c r="J247" s="137"/>
      <c r="K247" s="58" t="str" cm="1">
        <f>IF(ISBLANK($A247),"",INDEX(Array_EmissionCharges,MATCH($A247,List_EmissionMeters,0),ROUNDUP((COLUMN()+0)/3-1,0)))</f>
        <v/>
      </c>
      <c r="L247" s="127"/>
      <c r="M247" s="137"/>
      <c r="N247" s="58" t="str" cm="1">
        <f>IF(ISBLANK($A247),"",INDEX(Array_EmissionCharges,MATCH($A247,List_EmissionMeters,0),ROUNDUP((COLUMN()+0)/3-1,0)))</f>
        <v/>
      </c>
      <c r="O247" s="127"/>
      <c r="P247" s="137"/>
      <c r="Q247" s="58" t="str" cm="1">
        <f>IF(ISBLANK($A247),"",INDEX(Array_EmissionCharges,MATCH($A247,List_EmissionMeters,0),ROUNDUP((COLUMN()+0)/3-1,0)))</f>
        <v/>
      </c>
      <c r="R247" s="127"/>
      <c r="S247" s="137"/>
    </row>
    <row r="248" spans="1:19" x14ac:dyDescent="0.3">
      <c r="A248" s="126"/>
      <c r="B248" s="133"/>
      <c r="C248" s="127"/>
      <c r="D248" s="137"/>
      <c r="E248" s="58" t="str" cm="1">
        <f>IF(ISBLANK($A248),"",INDEX(Array_EmissionCharges,MATCH($A248,List_EmissionMeters,0),ROUNDUP((COLUMN()+0)/3-1,0)))</f>
        <v/>
      </c>
      <c r="F248" s="127"/>
      <c r="G248" s="137"/>
      <c r="H248" s="58" t="str" cm="1">
        <f>IF(ISBLANK($A248),"",INDEX(Array_EmissionCharges,MATCH($A248,List_EmissionMeters,0),ROUNDUP((COLUMN()+0)/3-1,0)))</f>
        <v/>
      </c>
      <c r="I248" s="127"/>
      <c r="J248" s="137"/>
      <c r="K248" s="58" t="str" cm="1">
        <f>IF(ISBLANK($A248),"",INDEX(Array_EmissionCharges,MATCH($A248,List_EmissionMeters,0),ROUNDUP((COLUMN()+0)/3-1,0)))</f>
        <v/>
      </c>
      <c r="L248" s="127"/>
      <c r="M248" s="137"/>
      <c r="N248" s="58" t="str" cm="1">
        <f>IF(ISBLANK($A248),"",INDEX(Array_EmissionCharges,MATCH($A248,List_EmissionMeters,0),ROUNDUP((COLUMN()+0)/3-1,0)))</f>
        <v/>
      </c>
      <c r="O248" s="127"/>
      <c r="P248" s="137"/>
      <c r="Q248" s="58" t="str" cm="1">
        <f>IF(ISBLANK($A248),"",INDEX(Array_EmissionCharges,MATCH($A248,List_EmissionMeters,0),ROUNDUP((COLUMN()+0)/3-1,0)))</f>
        <v/>
      </c>
      <c r="R248" s="127"/>
      <c r="S248" s="137"/>
    </row>
    <row r="249" spans="1:19" x14ac:dyDescent="0.3">
      <c r="A249" s="126"/>
      <c r="B249" s="133"/>
      <c r="C249" s="127"/>
      <c r="D249" s="137"/>
      <c r="E249" s="58" t="str" cm="1">
        <f>IF(ISBLANK($A249),"",INDEX(Array_EmissionCharges,MATCH($A249,List_EmissionMeters,0),ROUNDUP((COLUMN()+0)/3-1,0)))</f>
        <v/>
      </c>
      <c r="F249" s="127"/>
      <c r="G249" s="137"/>
      <c r="H249" s="58" t="str" cm="1">
        <f>IF(ISBLANK($A249),"",INDEX(Array_EmissionCharges,MATCH($A249,List_EmissionMeters,0),ROUNDUP((COLUMN()+0)/3-1,0)))</f>
        <v/>
      </c>
      <c r="I249" s="127"/>
      <c r="J249" s="137"/>
      <c r="K249" s="58" t="str" cm="1">
        <f>IF(ISBLANK($A249),"",INDEX(Array_EmissionCharges,MATCH($A249,List_EmissionMeters,0),ROUNDUP((COLUMN()+0)/3-1,0)))</f>
        <v/>
      </c>
      <c r="L249" s="127"/>
      <c r="M249" s="137"/>
      <c r="N249" s="58" t="str" cm="1">
        <f>IF(ISBLANK($A249),"",INDEX(Array_EmissionCharges,MATCH($A249,List_EmissionMeters,0),ROUNDUP((COLUMN()+0)/3-1,0)))</f>
        <v/>
      </c>
      <c r="O249" s="127"/>
      <c r="P249" s="137"/>
      <c r="Q249" s="58" t="str" cm="1">
        <f>IF(ISBLANK($A249),"",INDEX(Array_EmissionCharges,MATCH($A249,List_EmissionMeters,0),ROUNDUP((COLUMN()+0)/3-1,0)))</f>
        <v/>
      </c>
      <c r="R249" s="127"/>
      <c r="S249" s="137"/>
    </row>
    <row r="250" spans="1:19" x14ac:dyDescent="0.3">
      <c r="A250" s="126"/>
      <c r="B250" s="133"/>
      <c r="C250" s="127"/>
      <c r="D250" s="137"/>
      <c r="E250" s="58" t="str" cm="1">
        <f>IF(ISBLANK($A250),"",INDEX(Array_EmissionCharges,MATCH($A250,List_EmissionMeters,0),ROUNDUP((COLUMN()+0)/3-1,0)))</f>
        <v/>
      </c>
      <c r="F250" s="127"/>
      <c r="G250" s="137"/>
      <c r="H250" s="58" t="str" cm="1">
        <f>IF(ISBLANK($A250),"",INDEX(Array_EmissionCharges,MATCH($A250,List_EmissionMeters,0),ROUNDUP((COLUMN()+0)/3-1,0)))</f>
        <v/>
      </c>
      <c r="I250" s="127"/>
      <c r="J250" s="137"/>
      <c r="K250" s="58" t="str" cm="1">
        <f>IF(ISBLANK($A250),"",INDEX(Array_EmissionCharges,MATCH($A250,List_EmissionMeters,0),ROUNDUP((COLUMN()+0)/3-1,0)))</f>
        <v/>
      </c>
      <c r="L250" s="127"/>
      <c r="M250" s="137"/>
      <c r="N250" s="58" t="str" cm="1">
        <f>IF(ISBLANK($A250),"",INDEX(Array_EmissionCharges,MATCH($A250,List_EmissionMeters,0),ROUNDUP((COLUMN()+0)/3-1,0)))</f>
        <v/>
      </c>
      <c r="O250" s="127"/>
      <c r="P250" s="137"/>
      <c r="Q250" s="58" t="str" cm="1">
        <f>IF(ISBLANK($A250),"",INDEX(Array_EmissionCharges,MATCH($A250,List_EmissionMeters,0),ROUNDUP((COLUMN()+0)/3-1,0)))</f>
        <v/>
      </c>
      <c r="R250" s="127"/>
      <c r="S250" s="137"/>
    </row>
    <row r="251" spans="1:19" x14ac:dyDescent="0.3">
      <c r="A251" s="126"/>
      <c r="B251" s="133"/>
      <c r="C251" s="127"/>
      <c r="D251" s="137"/>
      <c r="E251" s="58" t="str" cm="1">
        <f>IF(ISBLANK($A251),"",INDEX(Array_EmissionCharges,MATCH($A251,List_EmissionMeters,0),ROUNDUP((COLUMN()+0)/3-1,0)))</f>
        <v/>
      </c>
      <c r="F251" s="127"/>
      <c r="G251" s="137"/>
      <c r="H251" s="58" t="str" cm="1">
        <f>IF(ISBLANK($A251),"",INDEX(Array_EmissionCharges,MATCH($A251,List_EmissionMeters,0),ROUNDUP((COLUMN()+0)/3-1,0)))</f>
        <v/>
      </c>
      <c r="I251" s="127"/>
      <c r="J251" s="137"/>
      <c r="K251" s="58" t="str" cm="1">
        <f>IF(ISBLANK($A251),"",INDEX(Array_EmissionCharges,MATCH($A251,List_EmissionMeters,0),ROUNDUP((COLUMN()+0)/3-1,0)))</f>
        <v/>
      </c>
      <c r="L251" s="127"/>
      <c r="M251" s="137"/>
      <c r="N251" s="58" t="str" cm="1">
        <f>IF(ISBLANK($A251),"",INDEX(Array_EmissionCharges,MATCH($A251,List_EmissionMeters,0),ROUNDUP((COLUMN()+0)/3-1,0)))</f>
        <v/>
      </c>
      <c r="O251" s="127"/>
      <c r="P251" s="137"/>
      <c r="Q251" s="58" t="str" cm="1">
        <f>IF(ISBLANK($A251),"",INDEX(Array_EmissionCharges,MATCH($A251,List_EmissionMeters,0),ROUNDUP((COLUMN()+0)/3-1,0)))</f>
        <v/>
      </c>
      <c r="R251" s="127"/>
      <c r="S251" s="137"/>
    </row>
    <row r="252" spans="1:19" x14ac:dyDescent="0.3">
      <c r="A252" s="126"/>
      <c r="B252" s="133"/>
      <c r="C252" s="127"/>
      <c r="D252" s="137"/>
      <c r="E252" s="58" t="str" cm="1">
        <f>IF(ISBLANK($A252),"",INDEX(Array_EmissionCharges,MATCH($A252,List_EmissionMeters,0),ROUNDUP((COLUMN()+0)/3-1,0)))</f>
        <v/>
      </c>
      <c r="F252" s="127"/>
      <c r="G252" s="137"/>
      <c r="H252" s="58" t="str" cm="1">
        <f>IF(ISBLANK($A252),"",INDEX(Array_EmissionCharges,MATCH($A252,List_EmissionMeters,0),ROUNDUP((COLUMN()+0)/3-1,0)))</f>
        <v/>
      </c>
      <c r="I252" s="127"/>
      <c r="J252" s="137"/>
      <c r="K252" s="58" t="str" cm="1">
        <f>IF(ISBLANK($A252),"",INDEX(Array_EmissionCharges,MATCH($A252,List_EmissionMeters,0),ROUNDUP((COLUMN()+0)/3-1,0)))</f>
        <v/>
      </c>
      <c r="L252" s="127"/>
      <c r="M252" s="137"/>
      <c r="N252" s="58" t="str" cm="1">
        <f>IF(ISBLANK($A252),"",INDEX(Array_EmissionCharges,MATCH($A252,List_EmissionMeters,0),ROUNDUP((COLUMN()+0)/3-1,0)))</f>
        <v/>
      </c>
      <c r="O252" s="127"/>
      <c r="P252" s="137"/>
      <c r="Q252" s="58" t="str" cm="1">
        <f>IF(ISBLANK($A252),"",INDEX(Array_EmissionCharges,MATCH($A252,List_EmissionMeters,0),ROUNDUP((COLUMN()+0)/3-1,0)))</f>
        <v/>
      </c>
      <c r="R252" s="127"/>
      <c r="S252" s="137"/>
    </row>
    <row r="253" spans="1:19" x14ac:dyDescent="0.3">
      <c r="A253" s="126"/>
      <c r="B253" s="133"/>
      <c r="C253" s="127"/>
      <c r="D253" s="137"/>
      <c r="E253" s="58" t="str" cm="1">
        <f>IF(ISBLANK($A253),"",INDEX(Array_EmissionCharges,MATCH($A253,List_EmissionMeters,0),ROUNDUP((COLUMN()+0)/3-1,0)))</f>
        <v/>
      </c>
      <c r="F253" s="127"/>
      <c r="G253" s="137"/>
      <c r="H253" s="58" t="str" cm="1">
        <f>IF(ISBLANK($A253),"",INDEX(Array_EmissionCharges,MATCH($A253,List_EmissionMeters,0),ROUNDUP((COLUMN()+0)/3-1,0)))</f>
        <v/>
      </c>
      <c r="I253" s="127"/>
      <c r="J253" s="137"/>
      <c r="K253" s="58" t="str" cm="1">
        <f>IF(ISBLANK($A253),"",INDEX(Array_EmissionCharges,MATCH($A253,List_EmissionMeters,0),ROUNDUP((COLUMN()+0)/3-1,0)))</f>
        <v/>
      </c>
      <c r="L253" s="127"/>
      <c r="M253" s="137"/>
      <c r="N253" s="58" t="str" cm="1">
        <f>IF(ISBLANK($A253),"",INDEX(Array_EmissionCharges,MATCH($A253,List_EmissionMeters,0),ROUNDUP((COLUMN()+0)/3-1,0)))</f>
        <v/>
      </c>
      <c r="O253" s="127"/>
      <c r="P253" s="137"/>
      <c r="Q253" s="58" t="str" cm="1">
        <f>IF(ISBLANK($A253),"",INDEX(Array_EmissionCharges,MATCH($A253,List_EmissionMeters,0),ROUNDUP((COLUMN()+0)/3-1,0)))</f>
        <v/>
      </c>
      <c r="R253" s="127"/>
      <c r="S253" s="137"/>
    </row>
    <row r="254" spans="1:19" x14ac:dyDescent="0.3">
      <c r="A254" s="126"/>
      <c r="B254" s="133"/>
      <c r="C254" s="127"/>
      <c r="D254" s="137"/>
      <c r="E254" s="58" t="str" cm="1">
        <f>IF(ISBLANK($A254),"",INDEX(Array_EmissionCharges,MATCH($A254,List_EmissionMeters,0),ROUNDUP((COLUMN()+0)/3-1,0)))</f>
        <v/>
      </c>
      <c r="F254" s="127"/>
      <c r="G254" s="137"/>
      <c r="H254" s="58" t="str" cm="1">
        <f>IF(ISBLANK($A254),"",INDEX(Array_EmissionCharges,MATCH($A254,List_EmissionMeters,0),ROUNDUP((COLUMN()+0)/3-1,0)))</f>
        <v/>
      </c>
      <c r="I254" s="127"/>
      <c r="J254" s="137"/>
      <c r="K254" s="58" t="str" cm="1">
        <f>IF(ISBLANK($A254),"",INDEX(Array_EmissionCharges,MATCH($A254,List_EmissionMeters,0),ROUNDUP((COLUMN()+0)/3-1,0)))</f>
        <v/>
      </c>
      <c r="L254" s="127"/>
      <c r="M254" s="137"/>
      <c r="N254" s="58" t="str" cm="1">
        <f>IF(ISBLANK($A254),"",INDEX(Array_EmissionCharges,MATCH($A254,List_EmissionMeters,0),ROUNDUP((COLUMN()+0)/3-1,0)))</f>
        <v/>
      </c>
      <c r="O254" s="127"/>
      <c r="P254" s="137"/>
      <c r="Q254" s="58" t="str" cm="1">
        <f>IF(ISBLANK($A254),"",INDEX(Array_EmissionCharges,MATCH($A254,List_EmissionMeters,0),ROUNDUP((COLUMN()+0)/3-1,0)))</f>
        <v/>
      </c>
      <c r="R254" s="127"/>
      <c r="S254" s="137"/>
    </row>
    <row r="255" spans="1:19" x14ac:dyDescent="0.3">
      <c r="A255" s="126"/>
      <c r="B255" s="133"/>
      <c r="C255" s="127"/>
      <c r="D255" s="137"/>
      <c r="E255" s="58" t="str" cm="1">
        <f>IF(ISBLANK($A255),"",INDEX(Array_EmissionCharges,MATCH($A255,List_EmissionMeters,0),ROUNDUP((COLUMN()+0)/3-1,0)))</f>
        <v/>
      </c>
      <c r="F255" s="127"/>
      <c r="G255" s="137"/>
      <c r="H255" s="58" t="str" cm="1">
        <f>IF(ISBLANK($A255),"",INDEX(Array_EmissionCharges,MATCH($A255,List_EmissionMeters,0),ROUNDUP((COLUMN()+0)/3-1,0)))</f>
        <v/>
      </c>
      <c r="I255" s="127"/>
      <c r="J255" s="137"/>
      <c r="K255" s="58" t="str" cm="1">
        <f>IF(ISBLANK($A255),"",INDEX(Array_EmissionCharges,MATCH($A255,List_EmissionMeters,0),ROUNDUP((COLUMN()+0)/3-1,0)))</f>
        <v/>
      </c>
      <c r="L255" s="127"/>
      <c r="M255" s="137"/>
      <c r="N255" s="58" t="str" cm="1">
        <f>IF(ISBLANK($A255),"",INDEX(Array_EmissionCharges,MATCH($A255,List_EmissionMeters,0),ROUNDUP((COLUMN()+0)/3-1,0)))</f>
        <v/>
      </c>
      <c r="O255" s="127"/>
      <c r="P255" s="137"/>
      <c r="Q255" s="58" t="str" cm="1">
        <f>IF(ISBLANK($A255),"",INDEX(Array_EmissionCharges,MATCH($A255,List_EmissionMeters,0),ROUNDUP((COLUMN()+0)/3-1,0)))</f>
        <v/>
      </c>
      <c r="R255" s="127"/>
      <c r="S255" s="137"/>
    </row>
    <row r="256" spans="1:19" x14ac:dyDescent="0.3">
      <c r="A256" s="126"/>
      <c r="B256" s="133"/>
      <c r="C256" s="127"/>
      <c r="D256" s="137"/>
      <c r="E256" s="58" t="str" cm="1">
        <f>IF(ISBLANK($A256),"",INDEX(Array_EmissionCharges,MATCH($A256,List_EmissionMeters,0),ROUNDUP((COLUMN()+0)/3-1,0)))</f>
        <v/>
      </c>
      <c r="F256" s="127"/>
      <c r="G256" s="137"/>
      <c r="H256" s="58" t="str" cm="1">
        <f>IF(ISBLANK($A256),"",INDEX(Array_EmissionCharges,MATCH($A256,List_EmissionMeters,0),ROUNDUP((COLUMN()+0)/3-1,0)))</f>
        <v/>
      </c>
      <c r="I256" s="127"/>
      <c r="J256" s="137"/>
      <c r="K256" s="58" t="str" cm="1">
        <f>IF(ISBLANK($A256),"",INDEX(Array_EmissionCharges,MATCH($A256,List_EmissionMeters,0),ROUNDUP((COLUMN()+0)/3-1,0)))</f>
        <v/>
      </c>
      <c r="L256" s="127"/>
      <c r="M256" s="137"/>
      <c r="N256" s="58" t="str" cm="1">
        <f>IF(ISBLANK($A256),"",INDEX(Array_EmissionCharges,MATCH($A256,List_EmissionMeters,0),ROUNDUP((COLUMN()+0)/3-1,0)))</f>
        <v/>
      </c>
      <c r="O256" s="127"/>
      <c r="P256" s="137"/>
      <c r="Q256" s="58" t="str" cm="1">
        <f>IF(ISBLANK($A256),"",INDEX(Array_EmissionCharges,MATCH($A256,List_EmissionMeters,0),ROUNDUP((COLUMN()+0)/3-1,0)))</f>
        <v/>
      </c>
      <c r="R256" s="127"/>
      <c r="S256" s="137"/>
    </row>
    <row r="257" spans="1:19" x14ac:dyDescent="0.3">
      <c r="A257" s="126"/>
      <c r="B257" s="133"/>
      <c r="C257" s="127"/>
      <c r="D257" s="137"/>
      <c r="E257" s="58" t="str" cm="1">
        <f>IF(ISBLANK($A257),"",INDEX(Array_EmissionCharges,MATCH($A257,List_EmissionMeters,0),ROUNDUP((COLUMN()+0)/3-1,0)))</f>
        <v/>
      </c>
      <c r="F257" s="127"/>
      <c r="G257" s="137"/>
      <c r="H257" s="58" t="str" cm="1">
        <f>IF(ISBLANK($A257),"",INDEX(Array_EmissionCharges,MATCH($A257,List_EmissionMeters,0),ROUNDUP((COLUMN()+0)/3-1,0)))</f>
        <v/>
      </c>
      <c r="I257" s="127"/>
      <c r="J257" s="137"/>
      <c r="K257" s="58" t="str" cm="1">
        <f>IF(ISBLANK($A257),"",INDEX(Array_EmissionCharges,MATCH($A257,List_EmissionMeters,0),ROUNDUP((COLUMN()+0)/3-1,0)))</f>
        <v/>
      </c>
      <c r="L257" s="127"/>
      <c r="M257" s="137"/>
      <c r="N257" s="58" t="str" cm="1">
        <f>IF(ISBLANK($A257),"",INDEX(Array_EmissionCharges,MATCH($A257,List_EmissionMeters,0),ROUNDUP((COLUMN()+0)/3-1,0)))</f>
        <v/>
      </c>
      <c r="O257" s="127"/>
      <c r="P257" s="137"/>
      <c r="Q257" s="58" t="str" cm="1">
        <f>IF(ISBLANK($A257),"",INDEX(Array_EmissionCharges,MATCH($A257,List_EmissionMeters,0),ROUNDUP((COLUMN()+0)/3-1,0)))</f>
        <v/>
      </c>
      <c r="R257" s="127"/>
      <c r="S257" s="137"/>
    </row>
    <row r="258" spans="1:19" x14ac:dyDescent="0.3">
      <c r="A258" s="126"/>
      <c r="B258" s="133"/>
      <c r="C258" s="127"/>
      <c r="D258" s="137"/>
      <c r="E258" s="58" t="str" cm="1">
        <f>IF(ISBLANK($A258),"",INDEX(Array_EmissionCharges,MATCH($A258,List_EmissionMeters,0),ROUNDUP((COLUMN()+0)/3-1,0)))</f>
        <v/>
      </c>
      <c r="F258" s="127"/>
      <c r="G258" s="137"/>
      <c r="H258" s="58" t="str" cm="1">
        <f>IF(ISBLANK($A258),"",INDEX(Array_EmissionCharges,MATCH($A258,List_EmissionMeters,0),ROUNDUP((COLUMN()+0)/3-1,0)))</f>
        <v/>
      </c>
      <c r="I258" s="127"/>
      <c r="J258" s="137"/>
      <c r="K258" s="58" t="str" cm="1">
        <f>IF(ISBLANK($A258),"",INDEX(Array_EmissionCharges,MATCH($A258,List_EmissionMeters,0),ROUNDUP((COLUMN()+0)/3-1,0)))</f>
        <v/>
      </c>
      <c r="L258" s="127"/>
      <c r="M258" s="137"/>
      <c r="N258" s="58" t="str" cm="1">
        <f>IF(ISBLANK($A258),"",INDEX(Array_EmissionCharges,MATCH($A258,List_EmissionMeters,0),ROUNDUP((COLUMN()+0)/3-1,0)))</f>
        <v/>
      </c>
      <c r="O258" s="127"/>
      <c r="P258" s="137"/>
      <c r="Q258" s="58" t="str" cm="1">
        <f>IF(ISBLANK($A258),"",INDEX(Array_EmissionCharges,MATCH($A258,List_EmissionMeters,0),ROUNDUP((COLUMN()+0)/3-1,0)))</f>
        <v/>
      </c>
      <c r="R258" s="127"/>
      <c r="S258" s="137"/>
    </row>
    <row r="259" spans="1:19" x14ac:dyDescent="0.3">
      <c r="A259" s="126"/>
      <c r="B259" s="133"/>
      <c r="C259" s="127"/>
      <c r="D259" s="137"/>
      <c r="E259" s="58" t="str" cm="1">
        <f>IF(ISBLANK($A259),"",INDEX(Array_EmissionCharges,MATCH($A259,List_EmissionMeters,0),ROUNDUP((COLUMN()+0)/3-1,0)))</f>
        <v/>
      </c>
      <c r="F259" s="127"/>
      <c r="G259" s="137"/>
      <c r="H259" s="58" t="str" cm="1">
        <f>IF(ISBLANK($A259),"",INDEX(Array_EmissionCharges,MATCH($A259,List_EmissionMeters,0),ROUNDUP((COLUMN()+0)/3-1,0)))</f>
        <v/>
      </c>
      <c r="I259" s="127"/>
      <c r="J259" s="137"/>
      <c r="K259" s="58" t="str" cm="1">
        <f>IF(ISBLANK($A259),"",INDEX(Array_EmissionCharges,MATCH($A259,List_EmissionMeters,0),ROUNDUP((COLUMN()+0)/3-1,0)))</f>
        <v/>
      </c>
      <c r="L259" s="127"/>
      <c r="M259" s="137"/>
      <c r="N259" s="58" t="str" cm="1">
        <f>IF(ISBLANK($A259),"",INDEX(Array_EmissionCharges,MATCH($A259,List_EmissionMeters,0),ROUNDUP((COLUMN()+0)/3-1,0)))</f>
        <v/>
      </c>
      <c r="O259" s="127"/>
      <c r="P259" s="137"/>
      <c r="Q259" s="58" t="str" cm="1">
        <f>IF(ISBLANK($A259),"",INDEX(Array_EmissionCharges,MATCH($A259,List_EmissionMeters,0),ROUNDUP((COLUMN()+0)/3-1,0)))</f>
        <v/>
      </c>
      <c r="R259" s="127"/>
      <c r="S259" s="137"/>
    </row>
    <row r="260" spans="1:19" x14ac:dyDescent="0.3">
      <c r="A260" s="126"/>
      <c r="B260" s="133"/>
      <c r="C260" s="127"/>
      <c r="D260" s="137"/>
      <c r="E260" s="58" t="str" cm="1">
        <f>IF(ISBLANK($A260),"",INDEX(Array_EmissionCharges,MATCH($A260,List_EmissionMeters,0),ROUNDUP((COLUMN()+0)/3-1,0)))</f>
        <v/>
      </c>
      <c r="F260" s="127"/>
      <c r="G260" s="137"/>
      <c r="H260" s="58" t="str" cm="1">
        <f>IF(ISBLANK($A260),"",INDEX(Array_EmissionCharges,MATCH($A260,List_EmissionMeters,0),ROUNDUP((COLUMN()+0)/3-1,0)))</f>
        <v/>
      </c>
      <c r="I260" s="127"/>
      <c r="J260" s="137"/>
      <c r="K260" s="58" t="str" cm="1">
        <f>IF(ISBLANK($A260),"",INDEX(Array_EmissionCharges,MATCH($A260,List_EmissionMeters,0),ROUNDUP((COLUMN()+0)/3-1,0)))</f>
        <v/>
      </c>
      <c r="L260" s="127"/>
      <c r="M260" s="137"/>
      <c r="N260" s="58" t="str" cm="1">
        <f>IF(ISBLANK($A260),"",INDEX(Array_EmissionCharges,MATCH($A260,List_EmissionMeters,0),ROUNDUP((COLUMN()+0)/3-1,0)))</f>
        <v/>
      </c>
      <c r="O260" s="127"/>
      <c r="P260" s="137"/>
      <c r="Q260" s="58" t="str" cm="1">
        <f>IF(ISBLANK($A260),"",INDEX(Array_EmissionCharges,MATCH($A260,List_EmissionMeters,0),ROUNDUP((COLUMN()+0)/3-1,0)))</f>
        <v/>
      </c>
      <c r="R260" s="127"/>
      <c r="S260" s="137"/>
    </row>
    <row r="261" spans="1:19" x14ac:dyDescent="0.3">
      <c r="A261" s="126"/>
      <c r="B261" s="133"/>
      <c r="C261" s="127"/>
      <c r="D261" s="137"/>
      <c r="E261" s="58" t="str" cm="1">
        <f>IF(ISBLANK($A261),"",INDEX(Array_EmissionCharges,MATCH($A261,List_EmissionMeters,0),ROUNDUP((COLUMN()+0)/3-1,0)))</f>
        <v/>
      </c>
      <c r="F261" s="127"/>
      <c r="G261" s="137"/>
      <c r="H261" s="58" t="str" cm="1">
        <f>IF(ISBLANK($A261),"",INDEX(Array_EmissionCharges,MATCH($A261,List_EmissionMeters,0),ROUNDUP((COLUMN()+0)/3-1,0)))</f>
        <v/>
      </c>
      <c r="I261" s="127"/>
      <c r="J261" s="137"/>
      <c r="K261" s="58" t="str" cm="1">
        <f>IF(ISBLANK($A261),"",INDEX(Array_EmissionCharges,MATCH($A261,List_EmissionMeters,0),ROUNDUP((COLUMN()+0)/3-1,0)))</f>
        <v/>
      </c>
      <c r="L261" s="127"/>
      <c r="M261" s="137"/>
      <c r="N261" s="58" t="str" cm="1">
        <f>IF(ISBLANK($A261),"",INDEX(Array_EmissionCharges,MATCH($A261,List_EmissionMeters,0),ROUNDUP((COLUMN()+0)/3-1,0)))</f>
        <v/>
      </c>
      <c r="O261" s="127"/>
      <c r="P261" s="137"/>
      <c r="Q261" s="58" t="str" cm="1">
        <f>IF(ISBLANK($A261),"",INDEX(Array_EmissionCharges,MATCH($A261,List_EmissionMeters,0),ROUNDUP((COLUMN()+0)/3-1,0)))</f>
        <v/>
      </c>
      <c r="R261" s="127"/>
      <c r="S261" s="137"/>
    </row>
    <row r="262" spans="1:19" x14ac:dyDescent="0.3">
      <c r="A262" s="126"/>
      <c r="B262" s="133"/>
      <c r="C262" s="127"/>
      <c r="D262" s="137"/>
      <c r="E262" s="58" t="str" cm="1">
        <f>IF(ISBLANK($A262),"",INDEX(Array_EmissionCharges,MATCH($A262,List_EmissionMeters,0),ROUNDUP((COLUMN()+0)/3-1,0)))</f>
        <v/>
      </c>
      <c r="F262" s="127"/>
      <c r="G262" s="137"/>
      <c r="H262" s="58" t="str" cm="1">
        <f>IF(ISBLANK($A262),"",INDEX(Array_EmissionCharges,MATCH($A262,List_EmissionMeters,0),ROUNDUP((COLUMN()+0)/3-1,0)))</f>
        <v/>
      </c>
      <c r="I262" s="127"/>
      <c r="J262" s="137"/>
      <c r="K262" s="58" t="str" cm="1">
        <f>IF(ISBLANK($A262),"",INDEX(Array_EmissionCharges,MATCH($A262,List_EmissionMeters,0),ROUNDUP((COLUMN()+0)/3-1,0)))</f>
        <v/>
      </c>
      <c r="L262" s="127"/>
      <c r="M262" s="137"/>
      <c r="N262" s="58" t="str" cm="1">
        <f>IF(ISBLANK($A262),"",INDEX(Array_EmissionCharges,MATCH($A262,List_EmissionMeters,0),ROUNDUP((COLUMN()+0)/3-1,0)))</f>
        <v/>
      </c>
      <c r="O262" s="127"/>
      <c r="P262" s="137"/>
      <c r="Q262" s="58" t="str" cm="1">
        <f>IF(ISBLANK($A262),"",INDEX(Array_EmissionCharges,MATCH($A262,List_EmissionMeters,0),ROUNDUP((COLUMN()+0)/3-1,0)))</f>
        <v/>
      </c>
      <c r="R262" s="127"/>
      <c r="S262" s="137"/>
    </row>
    <row r="263" spans="1:19" x14ac:dyDescent="0.3">
      <c r="A263" s="126"/>
      <c r="B263" s="133"/>
      <c r="C263" s="127"/>
      <c r="D263" s="137"/>
      <c r="E263" s="58" t="str" cm="1">
        <f>IF(ISBLANK($A263),"",INDEX(Array_EmissionCharges,MATCH($A263,List_EmissionMeters,0),ROUNDUP((COLUMN()+0)/3-1,0)))</f>
        <v/>
      </c>
      <c r="F263" s="127"/>
      <c r="G263" s="137"/>
      <c r="H263" s="58" t="str" cm="1">
        <f>IF(ISBLANK($A263),"",INDEX(Array_EmissionCharges,MATCH($A263,List_EmissionMeters,0),ROUNDUP((COLUMN()+0)/3-1,0)))</f>
        <v/>
      </c>
      <c r="I263" s="127"/>
      <c r="J263" s="137"/>
      <c r="K263" s="58" t="str" cm="1">
        <f>IF(ISBLANK($A263),"",INDEX(Array_EmissionCharges,MATCH($A263,List_EmissionMeters,0),ROUNDUP((COLUMN()+0)/3-1,0)))</f>
        <v/>
      </c>
      <c r="L263" s="127"/>
      <c r="M263" s="137"/>
      <c r="N263" s="58" t="str" cm="1">
        <f>IF(ISBLANK($A263),"",INDEX(Array_EmissionCharges,MATCH($A263,List_EmissionMeters,0),ROUNDUP((COLUMN()+0)/3-1,0)))</f>
        <v/>
      </c>
      <c r="O263" s="127"/>
      <c r="P263" s="137"/>
      <c r="Q263" s="58" t="str" cm="1">
        <f>IF(ISBLANK($A263),"",INDEX(Array_EmissionCharges,MATCH($A263,List_EmissionMeters,0),ROUNDUP((COLUMN()+0)/3-1,0)))</f>
        <v/>
      </c>
      <c r="R263" s="127"/>
      <c r="S263" s="137"/>
    </row>
    <row r="264" spans="1:19" x14ac:dyDescent="0.3">
      <c r="A264" s="126"/>
      <c r="B264" s="133"/>
      <c r="C264" s="127"/>
      <c r="D264" s="137"/>
      <c r="E264" s="58" t="str" cm="1">
        <f>IF(ISBLANK($A264),"",INDEX(Array_EmissionCharges,MATCH($A264,List_EmissionMeters,0),ROUNDUP((COLUMN()+0)/3-1,0)))</f>
        <v/>
      </c>
      <c r="F264" s="127"/>
      <c r="G264" s="137"/>
      <c r="H264" s="58" t="str" cm="1">
        <f>IF(ISBLANK($A264),"",INDEX(Array_EmissionCharges,MATCH($A264,List_EmissionMeters,0),ROUNDUP((COLUMN()+0)/3-1,0)))</f>
        <v/>
      </c>
      <c r="I264" s="127"/>
      <c r="J264" s="137"/>
      <c r="K264" s="58" t="str" cm="1">
        <f>IF(ISBLANK($A264),"",INDEX(Array_EmissionCharges,MATCH($A264,List_EmissionMeters,0),ROUNDUP((COLUMN()+0)/3-1,0)))</f>
        <v/>
      </c>
      <c r="L264" s="127"/>
      <c r="M264" s="137"/>
      <c r="N264" s="58" t="str" cm="1">
        <f>IF(ISBLANK($A264),"",INDEX(Array_EmissionCharges,MATCH($A264,List_EmissionMeters,0),ROUNDUP((COLUMN()+0)/3-1,0)))</f>
        <v/>
      </c>
      <c r="O264" s="127"/>
      <c r="P264" s="137"/>
      <c r="Q264" s="58" t="str" cm="1">
        <f>IF(ISBLANK($A264),"",INDEX(Array_EmissionCharges,MATCH($A264,List_EmissionMeters,0),ROUNDUP((COLUMN()+0)/3-1,0)))</f>
        <v/>
      </c>
      <c r="R264" s="127"/>
      <c r="S264" s="137"/>
    </row>
    <row r="265" spans="1:19" x14ac:dyDescent="0.3">
      <c r="A265" s="126"/>
      <c r="B265" s="133"/>
      <c r="C265" s="127"/>
      <c r="D265" s="137"/>
      <c r="E265" s="58" t="str" cm="1">
        <f>IF(ISBLANK($A265),"",INDEX(Array_EmissionCharges,MATCH($A265,List_EmissionMeters,0),ROUNDUP((COLUMN()+0)/3-1,0)))</f>
        <v/>
      </c>
      <c r="F265" s="127"/>
      <c r="G265" s="137"/>
      <c r="H265" s="58" t="str" cm="1">
        <f>IF(ISBLANK($A265),"",INDEX(Array_EmissionCharges,MATCH($A265,List_EmissionMeters,0),ROUNDUP((COLUMN()+0)/3-1,0)))</f>
        <v/>
      </c>
      <c r="I265" s="127"/>
      <c r="J265" s="137"/>
      <c r="K265" s="58" t="str" cm="1">
        <f>IF(ISBLANK($A265),"",INDEX(Array_EmissionCharges,MATCH($A265,List_EmissionMeters,0),ROUNDUP((COLUMN()+0)/3-1,0)))</f>
        <v/>
      </c>
      <c r="L265" s="127"/>
      <c r="M265" s="137"/>
      <c r="N265" s="58" t="str" cm="1">
        <f>IF(ISBLANK($A265),"",INDEX(Array_EmissionCharges,MATCH($A265,List_EmissionMeters,0),ROUNDUP((COLUMN()+0)/3-1,0)))</f>
        <v/>
      </c>
      <c r="O265" s="127"/>
      <c r="P265" s="137"/>
      <c r="Q265" s="58" t="str" cm="1">
        <f>IF(ISBLANK($A265),"",INDEX(Array_EmissionCharges,MATCH($A265,List_EmissionMeters,0),ROUNDUP((COLUMN()+0)/3-1,0)))</f>
        <v/>
      </c>
      <c r="R265" s="127"/>
      <c r="S265" s="137"/>
    </row>
    <row r="266" spans="1:19" x14ac:dyDescent="0.3">
      <c r="A266" s="126"/>
      <c r="B266" s="133"/>
      <c r="C266" s="127"/>
      <c r="D266" s="137"/>
      <c r="E266" s="58" t="str" cm="1">
        <f>IF(ISBLANK($A266),"",INDEX(Array_EmissionCharges,MATCH($A266,List_EmissionMeters,0),ROUNDUP((COLUMN()+0)/3-1,0)))</f>
        <v/>
      </c>
      <c r="F266" s="127"/>
      <c r="G266" s="137"/>
      <c r="H266" s="58" t="str" cm="1">
        <f>IF(ISBLANK($A266),"",INDEX(Array_EmissionCharges,MATCH($A266,List_EmissionMeters,0),ROUNDUP((COLUMN()+0)/3-1,0)))</f>
        <v/>
      </c>
      <c r="I266" s="127"/>
      <c r="J266" s="137"/>
      <c r="K266" s="58" t="str" cm="1">
        <f>IF(ISBLANK($A266),"",INDEX(Array_EmissionCharges,MATCH($A266,List_EmissionMeters,0),ROUNDUP((COLUMN()+0)/3-1,0)))</f>
        <v/>
      </c>
      <c r="L266" s="127"/>
      <c r="M266" s="137"/>
      <c r="N266" s="58" t="str" cm="1">
        <f>IF(ISBLANK($A266),"",INDEX(Array_EmissionCharges,MATCH($A266,List_EmissionMeters,0),ROUNDUP((COLUMN()+0)/3-1,0)))</f>
        <v/>
      </c>
      <c r="O266" s="127"/>
      <c r="P266" s="137"/>
      <c r="Q266" s="58" t="str" cm="1">
        <f>IF(ISBLANK($A266),"",INDEX(Array_EmissionCharges,MATCH($A266,List_EmissionMeters,0),ROUNDUP((COLUMN()+0)/3-1,0)))</f>
        <v/>
      </c>
      <c r="R266" s="127"/>
      <c r="S266" s="137"/>
    </row>
    <row r="267" spans="1:19" x14ac:dyDescent="0.3">
      <c r="A267" s="126"/>
      <c r="B267" s="133"/>
      <c r="C267" s="127"/>
      <c r="D267" s="137"/>
      <c r="E267" s="58" t="str" cm="1">
        <f>IF(ISBLANK($A267),"",INDEX(Array_EmissionCharges,MATCH($A267,List_EmissionMeters,0),ROUNDUP((COLUMN()+0)/3-1,0)))</f>
        <v/>
      </c>
      <c r="F267" s="127"/>
      <c r="G267" s="137"/>
      <c r="H267" s="58" t="str" cm="1">
        <f>IF(ISBLANK($A267),"",INDEX(Array_EmissionCharges,MATCH($A267,List_EmissionMeters,0),ROUNDUP((COLUMN()+0)/3-1,0)))</f>
        <v/>
      </c>
      <c r="I267" s="127"/>
      <c r="J267" s="137"/>
      <c r="K267" s="58" t="str" cm="1">
        <f>IF(ISBLANK($A267),"",INDEX(Array_EmissionCharges,MATCH($A267,List_EmissionMeters,0),ROUNDUP((COLUMN()+0)/3-1,0)))</f>
        <v/>
      </c>
      <c r="L267" s="127"/>
      <c r="M267" s="137"/>
      <c r="N267" s="58" t="str" cm="1">
        <f>IF(ISBLANK($A267),"",INDEX(Array_EmissionCharges,MATCH($A267,List_EmissionMeters,0),ROUNDUP((COLUMN()+0)/3-1,0)))</f>
        <v/>
      </c>
      <c r="O267" s="127"/>
      <c r="P267" s="137"/>
      <c r="Q267" s="58" t="str" cm="1">
        <f>IF(ISBLANK($A267),"",INDEX(Array_EmissionCharges,MATCH($A267,List_EmissionMeters,0),ROUNDUP((COLUMN()+0)/3-1,0)))</f>
        <v/>
      </c>
      <c r="R267" s="127"/>
      <c r="S267" s="137"/>
    </row>
    <row r="268" spans="1:19" x14ac:dyDescent="0.3">
      <c r="A268" s="126"/>
      <c r="B268" s="133"/>
      <c r="C268" s="127"/>
      <c r="D268" s="137"/>
      <c r="E268" s="58" t="str" cm="1">
        <f>IF(ISBLANK($A268),"",INDEX(Array_EmissionCharges,MATCH($A268,List_EmissionMeters,0),ROUNDUP((COLUMN()+0)/3-1,0)))</f>
        <v/>
      </c>
      <c r="F268" s="127"/>
      <c r="G268" s="137"/>
      <c r="H268" s="58" t="str" cm="1">
        <f>IF(ISBLANK($A268),"",INDEX(Array_EmissionCharges,MATCH($A268,List_EmissionMeters,0),ROUNDUP((COLUMN()+0)/3-1,0)))</f>
        <v/>
      </c>
      <c r="I268" s="127"/>
      <c r="J268" s="137"/>
      <c r="K268" s="58" t="str" cm="1">
        <f>IF(ISBLANK($A268),"",INDEX(Array_EmissionCharges,MATCH($A268,List_EmissionMeters,0),ROUNDUP((COLUMN()+0)/3-1,0)))</f>
        <v/>
      </c>
      <c r="L268" s="127"/>
      <c r="M268" s="137"/>
      <c r="N268" s="58" t="str" cm="1">
        <f>IF(ISBLANK($A268),"",INDEX(Array_EmissionCharges,MATCH($A268,List_EmissionMeters,0),ROUNDUP((COLUMN()+0)/3-1,0)))</f>
        <v/>
      </c>
      <c r="O268" s="127"/>
      <c r="P268" s="137"/>
      <c r="Q268" s="58" t="str" cm="1">
        <f>IF(ISBLANK($A268),"",INDEX(Array_EmissionCharges,MATCH($A268,List_EmissionMeters,0),ROUNDUP((COLUMN()+0)/3-1,0)))</f>
        <v/>
      </c>
      <c r="R268" s="127"/>
      <c r="S268" s="137"/>
    </row>
    <row r="269" spans="1:19" x14ac:dyDescent="0.3">
      <c r="A269" s="126"/>
      <c r="B269" s="133"/>
      <c r="C269" s="127"/>
      <c r="D269" s="137"/>
      <c r="E269" s="58" t="str" cm="1">
        <f>IF(ISBLANK($A269),"",INDEX(Array_EmissionCharges,MATCH($A269,List_EmissionMeters,0),ROUNDUP((COLUMN()+0)/3-1,0)))</f>
        <v/>
      </c>
      <c r="F269" s="127"/>
      <c r="G269" s="137"/>
      <c r="H269" s="58" t="str" cm="1">
        <f>IF(ISBLANK($A269),"",INDEX(Array_EmissionCharges,MATCH($A269,List_EmissionMeters,0),ROUNDUP((COLUMN()+0)/3-1,0)))</f>
        <v/>
      </c>
      <c r="I269" s="127"/>
      <c r="J269" s="137"/>
      <c r="K269" s="58" t="str" cm="1">
        <f>IF(ISBLANK($A269),"",INDEX(Array_EmissionCharges,MATCH($A269,List_EmissionMeters,0),ROUNDUP((COLUMN()+0)/3-1,0)))</f>
        <v/>
      </c>
      <c r="L269" s="127"/>
      <c r="M269" s="137"/>
      <c r="N269" s="58" t="str" cm="1">
        <f>IF(ISBLANK($A269),"",INDEX(Array_EmissionCharges,MATCH($A269,List_EmissionMeters,0),ROUNDUP((COLUMN()+0)/3-1,0)))</f>
        <v/>
      </c>
      <c r="O269" s="127"/>
      <c r="P269" s="137"/>
      <c r="Q269" s="58" t="str" cm="1">
        <f>IF(ISBLANK($A269),"",INDEX(Array_EmissionCharges,MATCH($A269,List_EmissionMeters,0),ROUNDUP((COLUMN()+0)/3-1,0)))</f>
        <v/>
      </c>
      <c r="R269" s="127"/>
      <c r="S269" s="137"/>
    </row>
    <row r="270" spans="1:19" x14ac:dyDescent="0.3">
      <c r="A270" s="126"/>
      <c r="B270" s="133"/>
      <c r="C270" s="127"/>
      <c r="D270" s="137"/>
      <c r="E270" s="58" t="str" cm="1">
        <f>IF(ISBLANK($A270),"",INDEX(Array_EmissionCharges,MATCH($A270,List_EmissionMeters,0),ROUNDUP((COLUMN()+0)/3-1,0)))</f>
        <v/>
      </c>
      <c r="F270" s="127"/>
      <c r="G270" s="137"/>
      <c r="H270" s="58" t="str" cm="1">
        <f>IF(ISBLANK($A270),"",INDEX(Array_EmissionCharges,MATCH($A270,List_EmissionMeters,0),ROUNDUP((COLUMN()+0)/3-1,0)))</f>
        <v/>
      </c>
      <c r="I270" s="127"/>
      <c r="J270" s="137"/>
      <c r="K270" s="58" t="str" cm="1">
        <f>IF(ISBLANK($A270),"",INDEX(Array_EmissionCharges,MATCH($A270,List_EmissionMeters,0),ROUNDUP((COLUMN()+0)/3-1,0)))</f>
        <v/>
      </c>
      <c r="L270" s="127"/>
      <c r="M270" s="137"/>
      <c r="N270" s="58" t="str" cm="1">
        <f>IF(ISBLANK($A270),"",INDEX(Array_EmissionCharges,MATCH($A270,List_EmissionMeters,0),ROUNDUP((COLUMN()+0)/3-1,0)))</f>
        <v/>
      </c>
      <c r="O270" s="127"/>
      <c r="P270" s="137"/>
      <c r="Q270" s="58" t="str" cm="1">
        <f>IF(ISBLANK($A270),"",INDEX(Array_EmissionCharges,MATCH($A270,List_EmissionMeters,0),ROUNDUP((COLUMN()+0)/3-1,0)))</f>
        <v/>
      </c>
      <c r="R270" s="127"/>
      <c r="S270" s="137"/>
    </row>
    <row r="271" spans="1:19" x14ac:dyDescent="0.3">
      <c r="A271" s="126"/>
      <c r="B271" s="133"/>
      <c r="C271" s="127"/>
      <c r="D271" s="137"/>
      <c r="E271" s="58" t="str" cm="1">
        <f>IF(ISBLANK($A271),"",INDEX(Array_EmissionCharges,MATCH($A271,List_EmissionMeters,0),ROUNDUP((COLUMN()+0)/3-1,0)))</f>
        <v/>
      </c>
      <c r="F271" s="127"/>
      <c r="G271" s="137"/>
      <c r="H271" s="58" t="str" cm="1">
        <f>IF(ISBLANK($A271),"",INDEX(Array_EmissionCharges,MATCH($A271,List_EmissionMeters,0),ROUNDUP((COLUMN()+0)/3-1,0)))</f>
        <v/>
      </c>
      <c r="I271" s="127"/>
      <c r="J271" s="137"/>
      <c r="K271" s="58" t="str" cm="1">
        <f>IF(ISBLANK($A271),"",INDEX(Array_EmissionCharges,MATCH($A271,List_EmissionMeters,0),ROUNDUP((COLUMN()+0)/3-1,0)))</f>
        <v/>
      </c>
      <c r="L271" s="127"/>
      <c r="M271" s="137"/>
      <c r="N271" s="58" t="str" cm="1">
        <f>IF(ISBLANK($A271),"",INDEX(Array_EmissionCharges,MATCH($A271,List_EmissionMeters,0),ROUNDUP((COLUMN()+0)/3-1,0)))</f>
        <v/>
      </c>
      <c r="O271" s="127"/>
      <c r="P271" s="137"/>
      <c r="Q271" s="58" t="str" cm="1">
        <f>IF(ISBLANK($A271),"",INDEX(Array_EmissionCharges,MATCH($A271,List_EmissionMeters,0),ROUNDUP((COLUMN()+0)/3-1,0)))</f>
        <v/>
      </c>
      <c r="R271" s="127"/>
      <c r="S271" s="137"/>
    </row>
    <row r="272" spans="1:19" x14ac:dyDescent="0.3">
      <c r="A272" s="126"/>
      <c r="B272" s="133"/>
      <c r="C272" s="127"/>
      <c r="D272" s="137"/>
      <c r="E272" s="58" t="str" cm="1">
        <f>IF(ISBLANK($A272),"",INDEX(Array_EmissionCharges,MATCH($A272,List_EmissionMeters,0),ROUNDUP((COLUMN()+0)/3-1,0)))</f>
        <v/>
      </c>
      <c r="F272" s="127"/>
      <c r="G272" s="137"/>
      <c r="H272" s="58" t="str" cm="1">
        <f>IF(ISBLANK($A272),"",INDEX(Array_EmissionCharges,MATCH($A272,List_EmissionMeters,0),ROUNDUP((COLUMN()+0)/3-1,0)))</f>
        <v/>
      </c>
      <c r="I272" s="127"/>
      <c r="J272" s="137"/>
      <c r="K272" s="58" t="str" cm="1">
        <f>IF(ISBLANK($A272),"",INDEX(Array_EmissionCharges,MATCH($A272,List_EmissionMeters,0),ROUNDUP((COLUMN()+0)/3-1,0)))</f>
        <v/>
      </c>
      <c r="L272" s="127"/>
      <c r="M272" s="137"/>
      <c r="N272" s="58" t="str" cm="1">
        <f>IF(ISBLANK($A272),"",INDEX(Array_EmissionCharges,MATCH($A272,List_EmissionMeters,0),ROUNDUP((COLUMN()+0)/3-1,0)))</f>
        <v/>
      </c>
      <c r="O272" s="127"/>
      <c r="P272" s="137"/>
      <c r="Q272" s="58" t="str" cm="1">
        <f>IF(ISBLANK($A272),"",INDEX(Array_EmissionCharges,MATCH($A272,List_EmissionMeters,0),ROUNDUP((COLUMN()+0)/3-1,0)))</f>
        <v/>
      </c>
      <c r="R272" s="127"/>
      <c r="S272" s="137"/>
    </row>
    <row r="273" spans="1:19" x14ac:dyDescent="0.3">
      <c r="A273" s="126"/>
      <c r="B273" s="133"/>
      <c r="C273" s="127"/>
      <c r="D273" s="137"/>
      <c r="E273" s="58" t="str" cm="1">
        <f>IF(ISBLANK($A273),"",INDEX(Array_EmissionCharges,MATCH($A273,List_EmissionMeters,0),ROUNDUP((COLUMN()+0)/3-1,0)))</f>
        <v/>
      </c>
      <c r="F273" s="127"/>
      <c r="G273" s="137"/>
      <c r="H273" s="58" t="str" cm="1">
        <f>IF(ISBLANK($A273),"",INDEX(Array_EmissionCharges,MATCH($A273,List_EmissionMeters,0),ROUNDUP((COLUMN()+0)/3-1,0)))</f>
        <v/>
      </c>
      <c r="I273" s="127"/>
      <c r="J273" s="137"/>
      <c r="K273" s="58" t="str" cm="1">
        <f>IF(ISBLANK($A273),"",INDEX(Array_EmissionCharges,MATCH($A273,List_EmissionMeters,0),ROUNDUP((COLUMN()+0)/3-1,0)))</f>
        <v/>
      </c>
      <c r="L273" s="127"/>
      <c r="M273" s="137"/>
      <c r="N273" s="58" t="str" cm="1">
        <f>IF(ISBLANK($A273),"",INDEX(Array_EmissionCharges,MATCH($A273,List_EmissionMeters,0),ROUNDUP((COLUMN()+0)/3-1,0)))</f>
        <v/>
      </c>
      <c r="O273" s="127"/>
      <c r="P273" s="137"/>
      <c r="Q273" s="58" t="str" cm="1">
        <f>IF(ISBLANK($A273),"",INDEX(Array_EmissionCharges,MATCH($A273,List_EmissionMeters,0),ROUNDUP((COLUMN()+0)/3-1,0)))</f>
        <v/>
      </c>
      <c r="R273" s="127"/>
      <c r="S273" s="137"/>
    </row>
    <row r="274" spans="1:19" x14ac:dyDescent="0.3">
      <c r="A274" s="126"/>
      <c r="B274" s="133"/>
      <c r="C274" s="127"/>
      <c r="D274" s="137"/>
      <c r="E274" s="58" t="str" cm="1">
        <f>IF(ISBLANK($A274),"",INDEX(Array_EmissionCharges,MATCH($A274,List_EmissionMeters,0),ROUNDUP((COLUMN()+0)/3-1,0)))</f>
        <v/>
      </c>
      <c r="F274" s="127"/>
      <c r="G274" s="137"/>
      <c r="H274" s="58" t="str" cm="1">
        <f>IF(ISBLANK($A274),"",INDEX(Array_EmissionCharges,MATCH($A274,List_EmissionMeters,0),ROUNDUP((COLUMN()+0)/3-1,0)))</f>
        <v/>
      </c>
      <c r="I274" s="127"/>
      <c r="J274" s="137"/>
      <c r="K274" s="58" t="str" cm="1">
        <f>IF(ISBLANK($A274),"",INDEX(Array_EmissionCharges,MATCH($A274,List_EmissionMeters,0),ROUNDUP((COLUMN()+0)/3-1,0)))</f>
        <v/>
      </c>
      <c r="L274" s="127"/>
      <c r="M274" s="137"/>
      <c r="N274" s="58" t="str" cm="1">
        <f>IF(ISBLANK($A274),"",INDEX(Array_EmissionCharges,MATCH($A274,List_EmissionMeters,0),ROUNDUP((COLUMN()+0)/3-1,0)))</f>
        <v/>
      </c>
      <c r="O274" s="127"/>
      <c r="P274" s="137"/>
      <c r="Q274" s="58" t="str" cm="1">
        <f>IF(ISBLANK($A274),"",INDEX(Array_EmissionCharges,MATCH($A274,List_EmissionMeters,0),ROUNDUP((COLUMN()+0)/3-1,0)))</f>
        <v/>
      </c>
      <c r="R274" s="127"/>
      <c r="S274" s="137"/>
    </row>
    <row r="275" spans="1:19" x14ac:dyDescent="0.3">
      <c r="A275" s="126"/>
      <c r="B275" s="133"/>
      <c r="C275" s="127"/>
      <c r="D275" s="137"/>
      <c r="E275" s="58" t="str" cm="1">
        <f>IF(ISBLANK($A275),"",INDEX(Array_EmissionCharges,MATCH($A275,List_EmissionMeters,0),ROUNDUP((COLUMN()+0)/3-1,0)))</f>
        <v/>
      </c>
      <c r="F275" s="127"/>
      <c r="G275" s="137"/>
      <c r="H275" s="58" t="str" cm="1">
        <f>IF(ISBLANK($A275),"",INDEX(Array_EmissionCharges,MATCH($A275,List_EmissionMeters,0),ROUNDUP((COLUMN()+0)/3-1,0)))</f>
        <v/>
      </c>
      <c r="I275" s="127"/>
      <c r="J275" s="137"/>
      <c r="K275" s="58" t="str" cm="1">
        <f>IF(ISBLANK($A275),"",INDEX(Array_EmissionCharges,MATCH($A275,List_EmissionMeters,0),ROUNDUP((COLUMN()+0)/3-1,0)))</f>
        <v/>
      </c>
      <c r="L275" s="127"/>
      <c r="M275" s="137"/>
      <c r="N275" s="58" t="str" cm="1">
        <f>IF(ISBLANK($A275),"",INDEX(Array_EmissionCharges,MATCH($A275,List_EmissionMeters,0),ROUNDUP((COLUMN()+0)/3-1,0)))</f>
        <v/>
      </c>
      <c r="O275" s="127"/>
      <c r="P275" s="137"/>
      <c r="Q275" s="58" t="str" cm="1">
        <f>IF(ISBLANK($A275),"",INDEX(Array_EmissionCharges,MATCH($A275,List_EmissionMeters,0),ROUNDUP((COLUMN()+0)/3-1,0)))</f>
        <v/>
      </c>
      <c r="R275" s="127"/>
      <c r="S275" s="137"/>
    </row>
    <row r="276" spans="1:19" x14ac:dyDescent="0.3">
      <c r="A276" s="126"/>
      <c r="B276" s="133"/>
      <c r="C276" s="127"/>
      <c r="D276" s="137"/>
      <c r="E276" s="58" t="str" cm="1">
        <f>IF(ISBLANK($A276),"",INDEX(Array_EmissionCharges,MATCH($A276,List_EmissionMeters,0),ROUNDUP((COLUMN()+0)/3-1,0)))</f>
        <v/>
      </c>
      <c r="F276" s="127"/>
      <c r="G276" s="137"/>
      <c r="H276" s="58" t="str" cm="1">
        <f>IF(ISBLANK($A276),"",INDEX(Array_EmissionCharges,MATCH($A276,List_EmissionMeters,0),ROUNDUP((COLUMN()+0)/3-1,0)))</f>
        <v/>
      </c>
      <c r="I276" s="127"/>
      <c r="J276" s="137"/>
      <c r="K276" s="58" t="str" cm="1">
        <f>IF(ISBLANK($A276),"",INDEX(Array_EmissionCharges,MATCH($A276,List_EmissionMeters,0),ROUNDUP((COLUMN()+0)/3-1,0)))</f>
        <v/>
      </c>
      <c r="L276" s="127"/>
      <c r="M276" s="137"/>
      <c r="N276" s="58" t="str" cm="1">
        <f>IF(ISBLANK($A276),"",INDEX(Array_EmissionCharges,MATCH($A276,List_EmissionMeters,0),ROUNDUP((COLUMN()+0)/3-1,0)))</f>
        <v/>
      </c>
      <c r="O276" s="127"/>
      <c r="P276" s="137"/>
      <c r="Q276" s="58" t="str" cm="1">
        <f>IF(ISBLANK($A276),"",INDEX(Array_EmissionCharges,MATCH($A276,List_EmissionMeters,0),ROUNDUP((COLUMN()+0)/3-1,0)))</f>
        <v/>
      </c>
      <c r="R276" s="127"/>
      <c r="S276" s="137"/>
    </row>
    <row r="277" spans="1:19" x14ac:dyDescent="0.3">
      <c r="A277" s="126"/>
      <c r="B277" s="133"/>
      <c r="C277" s="127"/>
      <c r="D277" s="137"/>
      <c r="E277" s="58" t="str" cm="1">
        <f>IF(ISBLANK($A277),"",INDEX(Array_EmissionCharges,MATCH($A277,List_EmissionMeters,0),ROUNDUP((COLUMN()+0)/3-1,0)))</f>
        <v/>
      </c>
      <c r="F277" s="127"/>
      <c r="G277" s="137"/>
      <c r="H277" s="58" t="str" cm="1">
        <f>IF(ISBLANK($A277),"",INDEX(Array_EmissionCharges,MATCH($A277,List_EmissionMeters,0),ROUNDUP((COLUMN()+0)/3-1,0)))</f>
        <v/>
      </c>
      <c r="I277" s="127"/>
      <c r="J277" s="137"/>
      <c r="K277" s="58" t="str" cm="1">
        <f>IF(ISBLANK($A277),"",INDEX(Array_EmissionCharges,MATCH($A277,List_EmissionMeters,0),ROUNDUP((COLUMN()+0)/3-1,0)))</f>
        <v/>
      </c>
      <c r="L277" s="127"/>
      <c r="M277" s="137"/>
      <c r="N277" s="58" t="str" cm="1">
        <f>IF(ISBLANK($A277),"",INDEX(Array_EmissionCharges,MATCH($A277,List_EmissionMeters,0),ROUNDUP((COLUMN()+0)/3-1,0)))</f>
        <v/>
      </c>
      <c r="O277" s="127"/>
      <c r="P277" s="137"/>
      <c r="Q277" s="58" t="str" cm="1">
        <f>IF(ISBLANK($A277),"",INDEX(Array_EmissionCharges,MATCH($A277,List_EmissionMeters,0),ROUNDUP((COLUMN()+0)/3-1,0)))</f>
        <v/>
      </c>
      <c r="R277" s="127"/>
      <c r="S277" s="137"/>
    </row>
    <row r="278" spans="1:19" x14ac:dyDescent="0.3">
      <c r="A278" s="126"/>
      <c r="B278" s="133"/>
      <c r="C278" s="127"/>
      <c r="D278" s="137"/>
      <c r="E278" s="58" t="str" cm="1">
        <f>IF(ISBLANK($A278),"",INDEX(Array_EmissionCharges,MATCH($A278,List_EmissionMeters,0),ROUNDUP((COLUMN()+0)/3-1,0)))</f>
        <v/>
      </c>
      <c r="F278" s="127"/>
      <c r="G278" s="137"/>
      <c r="H278" s="58" t="str" cm="1">
        <f>IF(ISBLANK($A278),"",INDEX(Array_EmissionCharges,MATCH($A278,List_EmissionMeters,0),ROUNDUP((COLUMN()+0)/3-1,0)))</f>
        <v/>
      </c>
      <c r="I278" s="127"/>
      <c r="J278" s="137"/>
      <c r="K278" s="58" t="str" cm="1">
        <f>IF(ISBLANK($A278),"",INDEX(Array_EmissionCharges,MATCH($A278,List_EmissionMeters,0),ROUNDUP((COLUMN()+0)/3-1,0)))</f>
        <v/>
      </c>
      <c r="L278" s="127"/>
      <c r="M278" s="137"/>
      <c r="N278" s="58" t="str" cm="1">
        <f>IF(ISBLANK($A278),"",INDEX(Array_EmissionCharges,MATCH($A278,List_EmissionMeters,0),ROUNDUP((COLUMN()+0)/3-1,0)))</f>
        <v/>
      </c>
      <c r="O278" s="127"/>
      <c r="P278" s="137"/>
      <c r="Q278" s="58" t="str" cm="1">
        <f>IF(ISBLANK($A278),"",INDEX(Array_EmissionCharges,MATCH($A278,List_EmissionMeters,0),ROUNDUP((COLUMN()+0)/3-1,0)))</f>
        <v/>
      </c>
      <c r="R278" s="127"/>
      <c r="S278" s="137"/>
    </row>
    <row r="279" spans="1:19" x14ac:dyDescent="0.3">
      <c r="A279" s="126"/>
      <c r="B279" s="133"/>
      <c r="C279" s="127"/>
      <c r="D279" s="137"/>
      <c r="E279" s="58" t="str" cm="1">
        <f>IF(ISBLANK($A279),"",INDEX(Array_EmissionCharges,MATCH($A279,List_EmissionMeters,0),ROUNDUP((COLUMN()+0)/3-1,0)))</f>
        <v/>
      </c>
      <c r="F279" s="127"/>
      <c r="G279" s="137"/>
      <c r="H279" s="58" t="str" cm="1">
        <f>IF(ISBLANK($A279),"",INDEX(Array_EmissionCharges,MATCH($A279,List_EmissionMeters,0),ROUNDUP((COLUMN()+0)/3-1,0)))</f>
        <v/>
      </c>
      <c r="I279" s="127"/>
      <c r="J279" s="137"/>
      <c r="K279" s="58" t="str" cm="1">
        <f>IF(ISBLANK($A279),"",INDEX(Array_EmissionCharges,MATCH($A279,List_EmissionMeters,0),ROUNDUP((COLUMN()+0)/3-1,0)))</f>
        <v/>
      </c>
      <c r="L279" s="127"/>
      <c r="M279" s="137"/>
      <c r="N279" s="58" t="str" cm="1">
        <f>IF(ISBLANK($A279),"",INDEX(Array_EmissionCharges,MATCH($A279,List_EmissionMeters,0),ROUNDUP((COLUMN()+0)/3-1,0)))</f>
        <v/>
      </c>
      <c r="O279" s="127"/>
      <c r="P279" s="137"/>
      <c r="Q279" s="58" t="str" cm="1">
        <f>IF(ISBLANK($A279),"",INDEX(Array_EmissionCharges,MATCH($A279,List_EmissionMeters,0),ROUNDUP((COLUMN()+0)/3-1,0)))</f>
        <v/>
      </c>
      <c r="R279" s="127"/>
      <c r="S279" s="137"/>
    </row>
    <row r="280" spans="1:19" x14ac:dyDescent="0.3">
      <c r="A280" s="126"/>
      <c r="B280" s="133"/>
      <c r="C280" s="127"/>
      <c r="D280" s="137"/>
      <c r="E280" s="58" t="str" cm="1">
        <f>IF(ISBLANK($A280),"",INDEX(Array_EmissionCharges,MATCH($A280,List_EmissionMeters,0),ROUNDUP((COLUMN()+0)/3-1,0)))</f>
        <v/>
      </c>
      <c r="F280" s="127"/>
      <c r="G280" s="137"/>
      <c r="H280" s="58" t="str" cm="1">
        <f>IF(ISBLANK($A280),"",INDEX(Array_EmissionCharges,MATCH($A280,List_EmissionMeters,0),ROUNDUP((COLUMN()+0)/3-1,0)))</f>
        <v/>
      </c>
      <c r="I280" s="127"/>
      <c r="J280" s="137"/>
      <c r="K280" s="58" t="str" cm="1">
        <f>IF(ISBLANK($A280),"",INDEX(Array_EmissionCharges,MATCH($A280,List_EmissionMeters,0),ROUNDUP((COLUMN()+0)/3-1,0)))</f>
        <v/>
      </c>
      <c r="L280" s="127"/>
      <c r="M280" s="137"/>
      <c r="N280" s="58" t="str" cm="1">
        <f>IF(ISBLANK($A280),"",INDEX(Array_EmissionCharges,MATCH($A280,List_EmissionMeters,0),ROUNDUP((COLUMN()+0)/3-1,0)))</f>
        <v/>
      </c>
      <c r="O280" s="127"/>
      <c r="P280" s="137"/>
      <c r="Q280" s="58" t="str" cm="1">
        <f>IF(ISBLANK($A280),"",INDEX(Array_EmissionCharges,MATCH($A280,List_EmissionMeters,0),ROUNDUP((COLUMN()+0)/3-1,0)))</f>
        <v/>
      </c>
      <c r="R280" s="127"/>
      <c r="S280" s="137"/>
    </row>
    <row r="281" spans="1:19" x14ac:dyDescent="0.3">
      <c r="A281" s="126"/>
      <c r="B281" s="133"/>
      <c r="C281" s="127"/>
      <c r="D281" s="137"/>
      <c r="E281" s="58" t="str" cm="1">
        <f>IF(ISBLANK($A281),"",INDEX(Array_EmissionCharges,MATCH($A281,List_EmissionMeters,0),ROUNDUP((COLUMN()+0)/3-1,0)))</f>
        <v/>
      </c>
      <c r="F281" s="127"/>
      <c r="G281" s="137"/>
      <c r="H281" s="58" t="str" cm="1">
        <f>IF(ISBLANK($A281),"",INDEX(Array_EmissionCharges,MATCH($A281,List_EmissionMeters,0),ROUNDUP((COLUMN()+0)/3-1,0)))</f>
        <v/>
      </c>
      <c r="I281" s="127"/>
      <c r="J281" s="137"/>
      <c r="K281" s="58" t="str" cm="1">
        <f>IF(ISBLANK($A281),"",INDEX(Array_EmissionCharges,MATCH($A281,List_EmissionMeters,0),ROUNDUP((COLUMN()+0)/3-1,0)))</f>
        <v/>
      </c>
      <c r="L281" s="127"/>
      <c r="M281" s="137"/>
      <c r="N281" s="58" t="str" cm="1">
        <f>IF(ISBLANK($A281),"",INDEX(Array_EmissionCharges,MATCH($A281,List_EmissionMeters,0),ROUNDUP((COLUMN()+0)/3-1,0)))</f>
        <v/>
      </c>
      <c r="O281" s="127"/>
      <c r="P281" s="137"/>
      <c r="Q281" s="58" t="str" cm="1">
        <f>IF(ISBLANK($A281),"",INDEX(Array_EmissionCharges,MATCH($A281,List_EmissionMeters,0),ROUNDUP((COLUMN()+0)/3-1,0)))</f>
        <v/>
      </c>
      <c r="R281" s="127"/>
      <c r="S281" s="137"/>
    </row>
    <row r="282" spans="1:19" x14ac:dyDescent="0.3">
      <c r="A282" s="126"/>
      <c r="B282" s="133"/>
      <c r="C282" s="127"/>
      <c r="D282" s="137"/>
      <c r="E282" s="58" t="str" cm="1">
        <f>IF(ISBLANK($A282),"",INDEX(Array_EmissionCharges,MATCH($A282,List_EmissionMeters,0),ROUNDUP((COLUMN()+0)/3-1,0)))</f>
        <v/>
      </c>
      <c r="F282" s="127"/>
      <c r="G282" s="137"/>
      <c r="H282" s="58" t="str" cm="1">
        <f>IF(ISBLANK($A282),"",INDEX(Array_EmissionCharges,MATCH($A282,List_EmissionMeters,0),ROUNDUP((COLUMN()+0)/3-1,0)))</f>
        <v/>
      </c>
      <c r="I282" s="127"/>
      <c r="J282" s="137"/>
      <c r="K282" s="58" t="str" cm="1">
        <f>IF(ISBLANK($A282),"",INDEX(Array_EmissionCharges,MATCH($A282,List_EmissionMeters,0),ROUNDUP((COLUMN()+0)/3-1,0)))</f>
        <v/>
      </c>
      <c r="L282" s="127"/>
      <c r="M282" s="137"/>
      <c r="N282" s="58" t="str" cm="1">
        <f>IF(ISBLANK($A282),"",INDEX(Array_EmissionCharges,MATCH($A282,List_EmissionMeters,0),ROUNDUP((COLUMN()+0)/3-1,0)))</f>
        <v/>
      </c>
      <c r="O282" s="127"/>
      <c r="P282" s="137"/>
      <c r="Q282" s="58" t="str" cm="1">
        <f>IF(ISBLANK($A282),"",INDEX(Array_EmissionCharges,MATCH($A282,List_EmissionMeters,0),ROUNDUP((COLUMN()+0)/3-1,0)))</f>
        <v/>
      </c>
      <c r="R282" s="127"/>
      <c r="S282" s="137"/>
    </row>
    <row r="283" spans="1:19" x14ac:dyDescent="0.3">
      <c r="A283" s="126"/>
      <c r="B283" s="133"/>
      <c r="C283" s="127"/>
      <c r="D283" s="137"/>
      <c r="E283" s="58" t="str" cm="1">
        <f>IF(ISBLANK($A283),"",INDEX(Array_EmissionCharges,MATCH($A283,List_EmissionMeters,0),ROUNDUP((COLUMN()+0)/3-1,0)))</f>
        <v/>
      </c>
      <c r="F283" s="127"/>
      <c r="G283" s="137"/>
      <c r="H283" s="58" t="str" cm="1">
        <f>IF(ISBLANK($A283),"",INDEX(Array_EmissionCharges,MATCH($A283,List_EmissionMeters,0),ROUNDUP((COLUMN()+0)/3-1,0)))</f>
        <v/>
      </c>
      <c r="I283" s="127"/>
      <c r="J283" s="137"/>
      <c r="K283" s="58" t="str" cm="1">
        <f>IF(ISBLANK($A283),"",INDEX(Array_EmissionCharges,MATCH($A283,List_EmissionMeters,0),ROUNDUP((COLUMN()+0)/3-1,0)))</f>
        <v/>
      </c>
      <c r="L283" s="127"/>
      <c r="M283" s="137"/>
      <c r="N283" s="58" t="str" cm="1">
        <f>IF(ISBLANK($A283),"",INDEX(Array_EmissionCharges,MATCH($A283,List_EmissionMeters,0),ROUNDUP((COLUMN()+0)/3-1,0)))</f>
        <v/>
      </c>
      <c r="O283" s="127"/>
      <c r="P283" s="137"/>
      <c r="Q283" s="58" t="str" cm="1">
        <f>IF(ISBLANK($A283),"",INDEX(Array_EmissionCharges,MATCH($A283,List_EmissionMeters,0),ROUNDUP((COLUMN()+0)/3-1,0)))</f>
        <v/>
      </c>
      <c r="R283" s="127"/>
      <c r="S283" s="137"/>
    </row>
    <row r="284" spans="1:19" x14ac:dyDescent="0.3">
      <c r="A284" s="126"/>
      <c r="B284" s="133"/>
      <c r="C284" s="127"/>
      <c r="D284" s="137"/>
      <c r="E284" s="58" t="str" cm="1">
        <f>IF(ISBLANK($A284),"",INDEX(Array_EmissionCharges,MATCH($A284,List_EmissionMeters,0),ROUNDUP((COLUMN()+0)/3-1,0)))</f>
        <v/>
      </c>
      <c r="F284" s="127"/>
      <c r="G284" s="137"/>
      <c r="H284" s="58" t="str" cm="1">
        <f>IF(ISBLANK($A284),"",INDEX(Array_EmissionCharges,MATCH($A284,List_EmissionMeters,0),ROUNDUP((COLUMN()+0)/3-1,0)))</f>
        <v/>
      </c>
      <c r="I284" s="127"/>
      <c r="J284" s="137"/>
      <c r="K284" s="58" t="str" cm="1">
        <f>IF(ISBLANK($A284),"",INDEX(Array_EmissionCharges,MATCH($A284,List_EmissionMeters,0),ROUNDUP((COLUMN()+0)/3-1,0)))</f>
        <v/>
      </c>
      <c r="L284" s="127"/>
      <c r="M284" s="137"/>
      <c r="N284" s="58" t="str" cm="1">
        <f>IF(ISBLANK($A284),"",INDEX(Array_EmissionCharges,MATCH($A284,List_EmissionMeters,0),ROUNDUP((COLUMN()+0)/3-1,0)))</f>
        <v/>
      </c>
      <c r="O284" s="127"/>
      <c r="P284" s="137"/>
      <c r="Q284" s="58" t="str" cm="1">
        <f>IF(ISBLANK($A284),"",INDEX(Array_EmissionCharges,MATCH($A284,List_EmissionMeters,0),ROUNDUP((COLUMN()+0)/3-1,0)))</f>
        <v/>
      </c>
      <c r="R284" s="127"/>
      <c r="S284" s="137"/>
    </row>
    <row r="285" spans="1:19" x14ac:dyDescent="0.3">
      <c r="A285" s="126"/>
      <c r="B285" s="133"/>
      <c r="C285" s="127"/>
      <c r="D285" s="137"/>
      <c r="E285" s="58" t="str" cm="1">
        <f>IF(ISBLANK($A285),"",INDEX(Array_EmissionCharges,MATCH($A285,List_EmissionMeters,0),ROUNDUP((COLUMN()+0)/3-1,0)))</f>
        <v/>
      </c>
      <c r="F285" s="127"/>
      <c r="G285" s="137"/>
      <c r="H285" s="58" t="str" cm="1">
        <f>IF(ISBLANK($A285),"",INDEX(Array_EmissionCharges,MATCH($A285,List_EmissionMeters,0),ROUNDUP((COLUMN()+0)/3-1,0)))</f>
        <v/>
      </c>
      <c r="I285" s="127"/>
      <c r="J285" s="137"/>
      <c r="K285" s="58" t="str" cm="1">
        <f>IF(ISBLANK($A285),"",INDEX(Array_EmissionCharges,MATCH($A285,List_EmissionMeters,0),ROUNDUP((COLUMN()+0)/3-1,0)))</f>
        <v/>
      </c>
      <c r="L285" s="127"/>
      <c r="M285" s="137"/>
      <c r="N285" s="58" t="str" cm="1">
        <f>IF(ISBLANK($A285),"",INDEX(Array_EmissionCharges,MATCH($A285,List_EmissionMeters,0),ROUNDUP((COLUMN()+0)/3-1,0)))</f>
        <v/>
      </c>
      <c r="O285" s="127"/>
      <c r="P285" s="137"/>
      <c r="Q285" s="58" t="str" cm="1">
        <f>IF(ISBLANK($A285),"",INDEX(Array_EmissionCharges,MATCH($A285,List_EmissionMeters,0),ROUNDUP((COLUMN()+0)/3-1,0)))</f>
        <v/>
      </c>
      <c r="R285" s="127"/>
      <c r="S285" s="137"/>
    </row>
    <row r="286" spans="1:19" x14ac:dyDescent="0.3">
      <c r="A286" s="126"/>
      <c r="B286" s="133"/>
      <c r="C286" s="127"/>
      <c r="D286" s="137"/>
      <c r="E286" s="58" t="str" cm="1">
        <f>IF(ISBLANK($A286),"",INDEX(Array_EmissionCharges,MATCH($A286,List_EmissionMeters,0),ROUNDUP((COLUMN()+0)/3-1,0)))</f>
        <v/>
      </c>
      <c r="F286" s="127"/>
      <c r="G286" s="137"/>
      <c r="H286" s="58" t="str" cm="1">
        <f>IF(ISBLANK($A286),"",INDEX(Array_EmissionCharges,MATCH($A286,List_EmissionMeters,0),ROUNDUP((COLUMN()+0)/3-1,0)))</f>
        <v/>
      </c>
      <c r="I286" s="127"/>
      <c r="J286" s="137"/>
      <c r="K286" s="58" t="str" cm="1">
        <f>IF(ISBLANK($A286),"",INDEX(Array_EmissionCharges,MATCH($A286,List_EmissionMeters,0),ROUNDUP((COLUMN()+0)/3-1,0)))</f>
        <v/>
      </c>
      <c r="L286" s="127"/>
      <c r="M286" s="137"/>
      <c r="N286" s="58" t="str" cm="1">
        <f>IF(ISBLANK($A286),"",INDEX(Array_EmissionCharges,MATCH($A286,List_EmissionMeters,0),ROUNDUP((COLUMN()+0)/3-1,0)))</f>
        <v/>
      </c>
      <c r="O286" s="127"/>
      <c r="P286" s="137"/>
      <c r="Q286" s="58" t="str" cm="1">
        <f>IF(ISBLANK($A286),"",INDEX(Array_EmissionCharges,MATCH($A286,List_EmissionMeters,0),ROUNDUP((COLUMN()+0)/3-1,0)))</f>
        <v/>
      </c>
      <c r="R286" s="127"/>
      <c r="S286" s="137"/>
    </row>
    <row r="287" spans="1:19" x14ac:dyDescent="0.3">
      <c r="A287" s="126"/>
      <c r="B287" s="133"/>
      <c r="C287" s="127"/>
      <c r="D287" s="137"/>
      <c r="E287" s="58" t="str" cm="1">
        <f>IF(ISBLANK($A287),"",INDEX(Array_EmissionCharges,MATCH($A287,List_EmissionMeters,0),ROUNDUP((COLUMN()+0)/3-1,0)))</f>
        <v/>
      </c>
      <c r="F287" s="127"/>
      <c r="G287" s="137"/>
      <c r="H287" s="58" t="str" cm="1">
        <f>IF(ISBLANK($A287),"",INDEX(Array_EmissionCharges,MATCH($A287,List_EmissionMeters,0),ROUNDUP((COLUMN()+0)/3-1,0)))</f>
        <v/>
      </c>
      <c r="I287" s="127"/>
      <c r="J287" s="137"/>
      <c r="K287" s="58" t="str" cm="1">
        <f>IF(ISBLANK($A287),"",INDEX(Array_EmissionCharges,MATCH($A287,List_EmissionMeters,0),ROUNDUP((COLUMN()+0)/3-1,0)))</f>
        <v/>
      </c>
      <c r="L287" s="127"/>
      <c r="M287" s="137"/>
      <c r="N287" s="58" t="str" cm="1">
        <f>IF(ISBLANK($A287),"",INDEX(Array_EmissionCharges,MATCH($A287,List_EmissionMeters,0),ROUNDUP((COLUMN()+0)/3-1,0)))</f>
        <v/>
      </c>
      <c r="O287" s="127"/>
      <c r="P287" s="137"/>
      <c r="Q287" s="58" t="str" cm="1">
        <f>IF(ISBLANK($A287),"",INDEX(Array_EmissionCharges,MATCH($A287,List_EmissionMeters,0),ROUNDUP((COLUMN()+0)/3-1,0)))</f>
        <v/>
      </c>
      <c r="R287" s="127"/>
      <c r="S287" s="137"/>
    </row>
    <row r="288" spans="1:19" x14ac:dyDescent="0.3">
      <c r="A288" s="126"/>
      <c r="B288" s="133"/>
      <c r="C288" s="127"/>
      <c r="D288" s="137"/>
      <c r="E288" s="58" t="str" cm="1">
        <f>IF(ISBLANK($A288),"",INDEX(Array_EmissionCharges,MATCH($A288,List_EmissionMeters,0),ROUNDUP((COLUMN()+0)/3-1,0)))</f>
        <v/>
      </c>
      <c r="F288" s="127"/>
      <c r="G288" s="137"/>
      <c r="H288" s="58" t="str" cm="1">
        <f>IF(ISBLANK($A288),"",INDEX(Array_EmissionCharges,MATCH($A288,List_EmissionMeters,0),ROUNDUP((COLUMN()+0)/3-1,0)))</f>
        <v/>
      </c>
      <c r="I288" s="127"/>
      <c r="J288" s="137"/>
      <c r="K288" s="58" t="str" cm="1">
        <f>IF(ISBLANK($A288),"",INDEX(Array_EmissionCharges,MATCH($A288,List_EmissionMeters,0),ROUNDUP((COLUMN()+0)/3-1,0)))</f>
        <v/>
      </c>
      <c r="L288" s="127"/>
      <c r="M288" s="137"/>
      <c r="N288" s="58" t="str" cm="1">
        <f>IF(ISBLANK($A288),"",INDEX(Array_EmissionCharges,MATCH($A288,List_EmissionMeters,0),ROUNDUP((COLUMN()+0)/3-1,0)))</f>
        <v/>
      </c>
      <c r="O288" s="127"/>
      <c r="P288" s="137"/>
      <c r="Q288" s="58" t="str" cm="1">
        <f>IF(ISBLANK($A288),"",INDEX(Array_EmissionCharges,MATCH($A288,List_EmissionMeters,0),ROUNDUP((COLUMN()+0)/3-1,0)))</f>
        <v/>
      </c>
      <c r="R288" s="127"/>
      <c r="S288" s="137"/>
    </row>
    <row r="289" spans="1:19" x14ac:dyDescent="0.3">
      <c r="A289" s="126"/>
      <c r="B289" s="133"/>
      <c r="C289" s="127"/>
      <c r="D289" s="137"/>
      <c r="E289" s="58" t="str" cm="1">
        <f>IF(ISBLANK($A289),"",INDEX(Array_EmissionCharges,MATCH($A289,List_EmissionMeters,0),ROUNDUP((COLUMN()+0)/3-1,0)))</f>
        <v/>
      </c>
      <c r="F289" s="127"/>
      <c r="G289" s="137"/>
      <c r="H289" s="58" t="str" cm="1">
        <f>IF(ISBLANK($A289),"",INDEX(Array_EmissionCharges,MATCH($A289,List_EmissionMeters,0),ROUNDUP((COLUMN()+0)/3-1,0)))</f>
        <v/>
      </c>
      <c r="I289" s="127"/>
      <c r="J289" s="137"/>
      <c r="K289" s="58" t="str" cm="1">
        <f>IF(ISBLANK($A289),"",INDEX(Array_EmissionCharges,MATCH($A289,List_EmissionMeters,0),ROUNDUP((COLUMN()+0)/3-1,0)))</f>
        <v/>
      </c>
      <c r="L289" s="127"/>
      <c r="M289" s="137"/>
      <c r="N289" s="58" t="str" cm="1">
        <f>IF(ISBLANK($A289),"",INDEX(Array_EmissionCharges,MATCH($A289,List_EmissionMeters,0),ROUNDUP((COLUMN()+0)/3-1,0)))</f>
        <v/>
      </c>
      <c r="O289" s="127"/>
      <c r="P289" s="137"/>
      <c r="Q289" s="58" t="str" cm="1">
        <f>IF(ISBLANK($A289),"",INDEX(Array_EmissionCharges,MATCH($A289,List_EmissionMeters,0),ROUNDUP((COLUMN()+0)/3-1,0)))</f>
        <v/>
      </c>
      <c r="R289" s="127"/>
      <c r="S289" s="137"/>
    </row>
    <row r="290" spans="1:19" x14ac:dyDescent="0.3">
      <c r="A290" s="126"/>
      <c r="B290" s="133"/>
      <c r="C290" s="127"/>
      <c r="D290" s="137"/>
      <c r="E290" s="58" t="str" cm="1">
        <f>IF(ISBLANK($A290),"",INDEX(Array_EmissionCharges,MATCH($A290,List_EmissionMeters,0),ROUNDUP((COLUMN()+0)/3-1,0)))</f>
        <v/>
      </c>
      <c r="F290" s="127"/>
      <c r="G290" s="137"/>
      <c r="H290" s="58" t="str" cm="1">
        <f>IF(ISBLANK($A290),"",INDEX(Array_EmissionCharges,MATCH($A290,List_EmissionMeters,0),ROUNDUP((COLUMN()+0)/3-1,0)))</f>
        <v/>
      </c>
      <c r="I290" s="127"/>
      <c r="J290" s="137"/>
      <c r="K290" s="58" t="str" cm="1">
        <f>IF(ISBLANK($A290),"",INDEX(Array_EmissionCharges,MATCH($A290,List_EmissionMeters,0),ROUNDUP((COLUMN()+0)/3-1,0)))</f>
        <v/>
      </c>
      <c r="L290" s="127"/>
      <c r="M290" s="137"/>
      <c r="N290" s="58" t="str" cm="1">
        <f>IF(ISBLANK($A290),"",INDEX(Array_EmissionCharges,MATCH($A290,List_EmissionMeters,0),ROUNDUP((COLUMN()+0)/3-1,0)))</f>
        <v/>
      </c>
      <c r="O290" s="127"/>
      <c r="P290" s="137"/>
      <c r="Q290" s="58" t="str" cm="1">
        <f>IF(ISBLANK($A290),"",INDEX(Array_EmissionCharges,MATCH($A290,List_EmissionMeters,0),ROUNDUP((COLUMN()+0)/3-1,0)))</f>
        <v/>
      </c>
      <c r="R290" s="127"/>
      <c r="S290" s="137"/>
    </row>
    <row r="291" spans="1:19" x14ac:dyDescent="0.3">
      <c r="A291" s="126"/>
      <c r="B291" s="133"/>
      <c r="C291" s="127"/>
      <c r="D291" s="137"/>
      <c r="E291" s="58" t="str" cm="1">
        <f>IF(ISBLANK($A291),"",INDEX(Array_EmissionCharges,MATCH($A291,List_EmissionMeters,0),ROUNDUP((COLUMN()+0)/3-1,0)))</f>
        <v/>
      </c>
      <c r="F291" s="127"/>
      <c r="G291" s="137"/>
      <c r="H291" s="58" t="str" cm="1">
        <f>IF(ISBLANK($A291),"",INDEX(Array_EmissionCharges,MATCH($A291,List_EmissionMeters,0),ROUNDUP((COLUMN()+0)/3-1,0)))</f>
        <v/>
      </c>
      <c r="I291" s="127"/>
      <c r="J291" s="137"/>
      <c r="K291" s="58" t="str" cm="1">
        <f>IF(ISBLANK($A291),"",INDEX(Array_EmissionCharges,MATCH($A291,List_EmissionMeters,0),ROUNDUP((COLUMN()+0)/3-1,0)))</f>
        <v/>
      </c>
      <c r="L291" s="127"/>
      <c r="M291" s="137"/>
      <c r="N291" s="58" t="str" cm="1">
        <f>IF(ISBLANK($A291),"",INDEX(Array_EmissionCharges,MATCH($A291,List_EmissionMeters,0),ROUNDUP((COLUMN()+0)/3-1,0)))</f>
        <v/>
      </c>
      <c r="O291" s="127"/>
      <c r="P291" s="137"/>
      <c r="Q291" s="58" t="str" cm="1">
        <f>IF(ISBLANK($A291),"",INDEX(Array_EmissionCharges,MATCH($A291,List_EmissionMeters,0),ROUNDUP((COLUMN()+0)/3-1,0)))</f>
        <v/>
      </c>
      <c r="R291" s="127"/>
      <c r="S291" s="137"/>
    </row>
    <row r="292" spans="1:19" x14ac:dyDescent="0.3">
      <c r="A292" s="126"/>
      <c r="B292" s="133"/>
      <c r="C292" s="127"/>
      <c r="D292" s="137"/>
      <c r="E292" s="58" t="str" cm="1">
        <f>IF(ISBLANK($A292),"",INDEX(Array_EmissionCharges,MATCH($A292,List_EmissionMeters,0),ROUNDUP((COLUMN()+0)/3-1,0)))</f>
        <v/>
      </c>
      <c r="F292" s="127"/>
      <c r="G292" s="137"/>
      <c r="H292" s="58" t="str" cm="1">
        <f>IF(ISBLANK($A292),"",INDEX(Array_EmissionCharges,MATCH($A292,List_EmissionMeters,0),ROUNDUP((COLUMN()+0)/3-1,0)))</f>
        <v/>
      </c>
      <c r="I292" s="127"/>
      <c r="J292" s="137"/>
      <c r="K292" s="58" t="str" cm="1">
        <f>IF(ISBLANK($A292),"",INDEX(Array_EmissionCharges,MATCH($A292,List_EmissionMeters,0),ROUNDUP((COLUMN()+0)/3-1,0)))</f>
        <v/>
      </c>
      <c r="L292" s="127"/>
      <c r="M292" s="137"/>
      <c r="N292" s="58" t="str" cm="1">
        <f>IF(ISBLANK($A292),"",INDEX(Array_EmissionCharges,MATCH($A292,List_EmissionMeters,0),ROUNDUP((COLUMN()+0)/3-1,0)))</f>
        <v/>
      </c>
      <c r="O292" s="127"/>
      <c r="P292" s="137"/>
      <c r="Q292" s="58" t="str" cm="1">
        <f>IF(ISBLANK($A292),"",INDEX(Array_EmissionCharges,MATCH($A292,List_EmissionMeters,0),ROUNDUP((COLUMN()+0)/3-1,0)))</f>
        <v/>
      </c>
      <c r="R292" s="127"/>
      <c r="S292" s="137"/>
    </row>
    <row r="293" spans="1:19" x14ac:dyDescent="0.3">
      <c r="A293" s="126"/>
      <c r="B293" s="133"/>
      <c r="C293" s="127"/>
      <c r="D293" s="137"/>
      <c r="E293" s="58" t="str" cm="1">
        <f>IF(ISBLANK($A293),"",INDEX(Array_EmissionCharges,MATCH($A293,List_EmissionMeters,0),ROUNDUP((COLUMN()+0)/3-1,0)))</f>
        <v/>
      </c>
      <c r="F293" s="127"/>
      <c r="G293" s="137"/>
      <c r="H293" s="58" t="str" cm="1">
        <f>IF(ISBLANK($A293),"",INDEX(Array_EmissionCharges,MATCH($A293,List_EmissionMeters,0),ROUNDUP((COLUMN()+0)/3-1,0)))</f>
        <v/>
      </c>
      <c r="I293" s="127"/>
      <c r="J293" s="137"/>
      <c r="K293" s="58" t="str" cm="1">
        <f>IF(ISBLANK($A293),"",INDEX(Array_EmissionCharges,MATCH($A293,List_EmissionMeters,0),ROUNDUP((COLUMN()+0)/3-1,0)))</f>
        <v/>
      </c>
      <c r="L293" s="127"/>
      <c r="M293" s="137"/>
      <c r="N293" s="58" t="str" cm="1">
        <f>IF(ISBLANK($A293),"",INDEX(Array_EmissionCharges,MATCH($A293,List_EmissionMeters,0),ROUNDUP((COLUMN()+0)/3-1,0)))</f>
        <v/>
      </c>
      <c r="O293" s="127"/>
      <c r="P293" s="137"/>
      <c r="Q293" s="58" t="str" cm="1">
        <f>IF(ISBLANK($A293),"",INDEX(Array_EmissionCharges,MATCH($A293,List_EmissionMeters,0),ROUNDUP((COLUMN()+0)/3-1,0)))</f>
        <v/>
      </c>
      <c r="R293" s="127"/>
      <c r="S293" s="137"/>
    </row>
    <row r="294" spans="1:19" x14ac:dyDescent="0.3">
      <c r="A294" s="126"/>
      <c r="B294" s="133"/>
      <c r="C294" s="127"/>
      <c r="D294" s="137"/>
      <c r="E294" s="58" t="str" cm="1">
        <f>IF(ISBLANK($A294),"",INDEX(Array_EmissionCharges,MATCH($A294,List_EmissionMeters,0),ROUNDUP((COLUMN()+0)/3-1,0)))</f>
        <v/>
      </c>
      <c r="F294" s="127"/>
      <c r="G294" s="137"/>
      <c r="H294" s="58" t="str" cm="1">
        <f>IF(ISBLANK($A294),"",INDEX(Array_EmissionCharges,MATCH($A294,List_EmissionMeters,0),ROUNDUP((COLUMN()+0)/3-1,0)))</f>
        <v/>
      </c>
      <c r="I294" s="127"/>
      <c r="J294" s="137"/>
      <c r="K294" s="58" t="str" cm="1">
        <f>IF(ISBLANK($A294),"",INDEX(Array_EmissionCharges,MATCH($A294,List_EmissionMeters,0),ROUNDUP((COLUMN()+0)/3-1,0)))</f>
        <v/>
      </c>
      <c r="L294" s="127"/>
      <c r="M294" s="137"/>
      <c r="N294" s="58" t="str" cm="1">
        <f>IF(ISBLANK($A294),"",INDEX(Array_EmissionCharges,MATCH($A294,List_EmissionMeters,0),ROUNDUP((COLUMN()+0)/3-1,0)))</f>
        <v/>
      </c>
      <c r="O294" s="127"/>
      <c r="P294" s="137"/>
      <c r="Q294" s="58" t="str" cm="1">
        <f>IF(ISBLANK($A294),"",INDEX(Array_EmissionCharges,MATCH($A294,List_EmissionMeters,0),ROUNDUP((COLUMN()+0)/3-1,0)))</f>
        <v/>
      </c>
      <c r="R294" s="127"/>
      <c r="S294" s="137"/>
    </row>
    <row r="295" spans="1:19" x14ac:dyDescent="0.3">
      <c r="A295" s="126"/>
      <c r="B295" s="133"/>
      <c r="C295" s="127"/>
      <c r="D295" s="137"/>
      <c r="E295" s="58" t="str" cm="1">
        <f>IF(ISBLANK($A295),"",INDEX(Array_EmissionCharges,MATCH($A295,List_EmissionMeters,0),ROUNDUP((COLUMN()+0)/3-1,0)))</f>
        <v/>
      </c>
      <c r="F295" s="127"/>
      <c r="G295" s="137"/>
      <c r="H295" s="58" t="str" cm="1">
        <f>IF(ISBLANK($A295),"",INDEX(Array_EmissionCharges,MATCH($A295,List_EmissionMeters,0),ROUNDUP((COLUMN()+0)/3-1,0)))</f>
        <v/>
      </c>
      <c r="I295" s="127"/>
      <c r="J295" s="137"/>
      <c r="K295" s="58" t="str" cm="1">
        <f>IF(ISBLANK($A295),"",INDEX(Array_EmissionCharges,MATCH($A295,List_EmissionMeters,0),ROUNDUP((COLUMN()+0)/3-1,0)))</f>
        <v/>
      </c>
      <c r="L295" s="127"/>
      <c r="M295" s="137"/>
      <c r="N295" s="58" t="str" cm="1">
        <f>IF(ISBLANK($A295),"",INDEX(Array_EmissionCharges,MATCH($A295,List_EmissionMeters,0),ROUNDUP((COLUMN()+0)/3-1,0)))</f>
        <v/>
      </c>
      <c r="O295" s="127"/>
      <c r="P295" s="137"/>
      <c r="Q295" s="58" t="str" cm="1">
        <f>IF(ISBLANK($A295),"",INDEX(Array_EmissionCharges,MATCH($A295,List_EmissionMeters,0),ROUNDUP((COLUMN()+0)/3-1,0)))</f>
        <v/>
      </c>
      <c r="R295" s="127"/>
      <c r="S295" s="137"/>
    </row>
    <row r="296" spans="1:19" x14ac:dyDescent="0.3">
      <c r="A296" s="126"/>
      <c r="B296" s="133"/>
      <c r="C296" s="127"/>
      <c r="D296" s="137"/>
      <c r="E296" s="58" t="str" cm="1">
        <f>IF(ISBLANK($A296),"",INDEX(Array_EmissionCharges,MATCH($A296,List_EmissionMeters,0),ROUNDUP((COLUMN()+0)/3-1,0)))</f>
        <v/>
      </c>
      <c r="F296" s="127"/>
      <c r="G296" s="137"/>
      <c r="H296" s="58" t="str" cm="1">
        <f>IF(ISBLANK($A296),"",INDEX(Array_EmissionCharges,MATCH($A296,List_EmissionMeters,0),ROUNDUP((COLUMN()+0)/3-1,0)))</f>
        <v/>
      </c>
      <c r="I296" s="127"/>
      <c r="J296" s="137"/>
      <c r="K296" s="58" t="str" cm="1">
        <f>IF(ISBLANK($A296),"",INDEX(Array_EmissionCharges,MATCH($A296,List_EmissionMeters,0),ROUNDUP((COLUMN()+0)/3-1,0)))</f>
        <v/>
      </c>
      <c r="L296" s="127"/>
      <c r="M296" s="137"/>
      <c r="N296" s="58" t="str" cm="1">
        <f>IF(ISBLANK($A296),"",INDEX(Array_EmissionCharges,MATCH($A296,List_EmissionMeters,0),ROUNDUP((COLUMN()+0)/3-1,0)))</f>
        <v/>
      </c>
      <c r="O296" s="127"/>
      <c r="P296" s="137"/>
      <c r="Q296" s="58" t="str" cm="1">
        <f>IF(ISBLANK($A296),"",INDEX(Array_EmissionCharges,MATCH($A296,List_EmissionMeters,0),ROUNDUP((COLUMN()+0)/3-1,0)))</f>
        <v/>
      </c>
      <c r="R296" s="127"/>
      <c r="S296" s="137"/>
    </row>
    <row r="297" spans="1:19" x14ac:dyDescent="0.3">
      <c r="A297" s="126"/>
      <c r="B297" s="133"/>
      <c r="C297" s="127"/>
      <c r="D297" s="137"/>
      <c r="E297" s="58" t="str" cm="1">
        <f>IF(ISBLANK($A297),"",INDEX(Array_EmissionCharges,MATCH($A297,List_EmissionMeters,0),ROUNDUP((COLUMN()+0)/3-1,0)))</f>
        <v/>
      </c>
      <c r="F297" s="127"/>
      <c r="G297" s="137"/>
      <c r="H297" s="58" t="str" cm="1">
        <f>IF(ISBLANK($A297),"",INDEX(Array_EmissionCharges,MATCH($A297,List_EmissionMeters,0),ROUNDUP((COLUMN()+0)/3-1,0)))</f>
        <v/>
      </c>
      <c r="I297" s="127"/>
      <c r="J297" s="137"/>
      <c r="K297" s="58" t="str" cm="1">
        <f>IF(ISBLANK($A297),"",INDEX(Array_EmissionCharges,MATCH($A297,List_EmissionMeters,0),ROUNDUP((COLUMN()+0)/3-1,0)))</f>
        <v/>
      </c>
      <c r="L297" s="127"/>
      <c r="M297" s="137"/>
      <c r="N297" s="58" t="str" cm="1">
        <f>IF(ISBLANK($A297),"",INDEX(Array_EmissionCharges,MATCH($A297,List_EmissionMeters,0),ROUNDUP((COLUMN()+0)/3-1,0)))</f>
        <v/>
      </c>
      <c r="O297" s="127"/>
      <c r="P297" s="137"/>
      <c r="Q297" s="58" t="str" cm="1">
        <f>IF(ISBLANK($A297),"",INDEX(Array_EmissionCharges,MATCH($A297,List_EmissionMeters,0),ROUNDUP((COLUMN()+0)/3-1,0)))</f>
        <v/>
      </c>
      <c r="R297" s="127"/>
      <c r="S297" s="137"/>
    </row>
    <row r="298" spans="1:19" x14ac:dyDescent="0.3">
      <c r="A298" s="126"/>
      <c r="B298" s="133"/>
      <c r="C298" s="127"/>
      <c r="D298" s="137"/>
      <c r="E298" s="58" t="str" cm="1">
        <f>IF(ISBLANK($A298),"",INDEX(Array_EmissionCharges,MATCH($A298,List_EmissionMeters,0),ROUNDUP((COLUMN()+0)/3-1,0)))</f>
        <v/>
      </c>
      <c r="F298" s="127"/>
      <c r="G298" s="137"/>
      <c r="H298" s="58" t="str" cm="1">
        <f>IF(ISBLANK($A298),"",INDEX(Array_EmissionCharges,MATCH($A298,List_EmissionMeters,0),ROUNDUP((COLUMN()+0)/3-1,0)))</f>
        <v/>
      </c>
      <c r="I298" s="127"/>
      <c r="J298" s="137"/>
      <c r="K298" s="58" t="str" cm="1">
        <f>IF(ISBLANK($A298),"",INDEX(Array_EmissionCharges,MATCH($A298,List_EmissionMeters,0),ROUNDUP((COLUMN()+0)/3-1,0)))</f>
        <v/>
      </c>
      <c r="L298" s="127"/>
      <c r="M298" s="137"/>
      <c r="N298" s="58" t="str" cm="1">
        <f>IF(ISBLANK($A298),"",INDEX(Array_EmissionCharges,MATCH($A298,List_EmissionMeters,0),ROUNDUP((COLUMN()+0)/3-1,0)))</f>
        <v/>
      </c>
      <c r="O298" s="127"/>
      <c r="P298" s="137"/>
      <c r="Q298" s="58" t="str" cm="1">
        <f>IF(ISBLANK($A298),"",INDEX(Array_EmissionCharges,MATCH($A298,List_EmissionMeters,0),ROUNDUP((COLUMN()+0)/3-1,0)))</f>
        <v/>
      </c>
      <c r="R298" s="127"/>
      <c r="S298" s="137"/>
    </row>
    <row r="299" spans="1:19" x14ac:dyDescent="0.3">
      <c r="A299" s="126"/>
      <c r="B299" s="133"/>
      <c r="C299" s="127"/>
      <c r="D299" s="137"/>
      <c r="E299" s="58" t="str" cm="1">
        <f>IF(ISBLANK($A299),"",INDEX(Array_EmissionCharges,MATCH($A299,List_EmissionMeters,0),ROUNDUP((COLUMN()+0)/3-1,0)))</f>
        <v/>
      </c>
      <c r="F299" s="127"/>
      <c r="G299" s="137"/>
      <c r="H299" s="58" t="str" cm="1">
        <f>IF(ISBLANK($A299),"",INDEX(Array_EmissionCharges,MATCH($A299,List_EmissionMeters,0),ROUNDUP((COLUMN()+0)/3-1,0)))</f>
        <v/>
      </c>
      <c r="I299" s="127"/>
      <c r="J299" s="137"/>
      <c r="K299" s="58" t="str" cm="1">
        <f>IF(ISBLANK($A299),"",INDEX(Array_EmissionCharges,MATCH($A299,List_EmissionMeters,0),ROUNDUP((COLUMN()+0)/3-1,0)))</f>
        <v/>
      </c>
      <c r="L299" s="127"/>
      <c r="M299" s="137"/>
      <c r="N299" s="58" t="str" cm="1">
        <f>IF(ISBLANK($A299),"",INDEX(Array_EmissionCharges,MATCH($A299,List_EmissionMeters,0),ROUNDUP((COLUMN()+0)/3-1,0)))</f>
        <v/>
      </c>
      <c r="O299" s="127"/>
      <c r="P299" s="137"/>
      <c r="Q299" s="58" t="str" cm="1">
        <f>IF(ISBLANK($A299),"",INDEX(Array_EmissionCharges,MATCH($A299,List_EmissionMeters,0),ROUNDUP((COLUMN()+0)/3-1,0)))</f>
        <v/>
      </c>
      <c r="R299" s="127"/>
      <c r="S299" s="137"/>
    </row>
    <row r="300" spans="1:19" x14ac:dyDescent="0.3">
      <c r="A300" s="126"/>
      <c r="B300" s="133"/>
      <c r="C300" s="127"/>
      <c r="D300" s="137"/>
      <c r="E300" s="58" t="str" cm="1">
        <f>IF(ISBLANK($A300),"",INDEX(Array_EmissionCharges,MATCH($A300,List_EmissionMeters,0),ROUNDUP((COLUMN()+0)/3-1,0)))</f>
        <v/>
      </c>
      <c r="F300" s="127"/>
      <c r="G300" s="137"/>
      <c r="H300" s="58" t="str" cm="1">
        <f>IF(ISBLANK($A300),"",INDEX(Array_EmissionCharges,MATCH($A300,List_EmissionMeters,0),ROUNDUP((COLUMN()+0)/3-1,0)))</f>
        <v/>
      </c>
      <c r="I300" s="127"/>
      <c r="J300" s="137"/>
      <c r="K300" s="58" t="str" cm="1">
        <f>IF(ISBLANK($A300),"",INDEX(Array_EmissionCharges,MATCH($A300,List_EmissionMeters,0),ROUNDUP((COLUMN()+0)/3-1,0)))</f>
        <v/>
      </c>
      <c r="L300" s="127"/>
      <c r="M300" s="137"/>
      <c r="N300" s="58" t="str" cm="1">
        <f>IF(ISBLANK($A300),"",INDEX(Array_EmissionCharges,MATCH($A300,List_EmissionMeters,0),ROUNDUP((COLUMN()+0)/3-1,0)))</f>
        <v/>
      </c>
      <c r="O300" s="127"/>
      <c r="P300" s="137"/>
      <c r="Q300" s="58" t="str" cm="1">
        <f>IF(ISBLANK($A300),"",INDEX(Array_EmissionCharges,MATCH($A300,List_EmissionMeters,0),ROUNDUP((COLUMN()+0)/3-1,0)))</f>
        <v/>
      </c>
      <c r="R300" s="127"/>
      <c r="S300" s="137"/>
    </row>
    <row r="301" spans="1:19" x14ac:dyDescent="0.3">
      <c r="A301" s="126"/>
      <c r="B301" s="133"/>
      <c r="C301" s="127"/>
      <c r="D301" s="137"/>
      <c r="E301" s="58" t="str" cm="1">
        <f>IF(ISBLANK($A301),"",INDEX(Array_EmissionCharges,MATCH($A301,List_EmissionMeters,0),ROUNDUP((COLUMN()+0)/3-1,0)))</f>
        <v/>
      </c>
      <c r="F301" s="127"/>
      <c r="G301" s="137"/>
      <c r="H301" s="58" t="str" cm="1">
        <f>IF(ISBLANK($A301),"",INDEX(Array_EmissionCharges,MATCH($A301,List_EmissionMeters,0),ROUNDUP((COLUMN()+0)/3-1,0)))</f>
        <v/>
      </c>
      <c r="I301" s="127"/>
      <c r="J301" s="137"/>
      <c r="K301" s="58" t="str" cm="1">
        <f>IF(ISBLANK($A301),"",INDEX(Array_EmissionCharges,MATCH($A301,List_EmissionMeters,0),ROUNDUP((COLUMN()+0)/3-1,0)))</f>
        <v/>
      </c>
      <c r="L301" s="127"/>
      <c r="M301" s="137"/>
      <c r="N301" s="58" t="str" cm="1">
        <f>IF(ISBLANK($A301),"",INDEX(Array_EmissionCharges,MATCH($A301,List_EmissionMeters,0),ROUNDUP((COLUMN()+0)/3-1,0)))</f>
        <v/>
      </c>
      <c r="O301" s="127"/>
      <c r="P301" s="137"/>
      <c r="Q301" s="58" t="str" cm="1">
        <f>IF(ISBLANK($A301),"",INDEX(Array_EmissionCharges,MATCH($A301,List_EmissionMeters,0),ROUNDUP((COLUMN()+0)/3-1,0)))</f>
        <v/>
      </c>
      <c r="R301" s="127"/>
      <c r="S301" s="137"/>
    </row>
    <row r="302" spans="1:19" x14ac:dyDescent="0.3">
      <c r="A302" s="126"/>
      <c r="B302" s="133"/>
      <c r="C302" s="127"/>
      <c r="D302" s="137"/>
      <c r="E302" s="58" t="str" cm="1">
        <f>IF(ISBLANK($A302),"",INDEX(Array_EmissionCharges,MATCH($A302,List_EmissionMeters,0),ROUNDUP((COLUMN()+0)/3-1,0)))</f>
        <v/>
      </c>
      <c r="F302" s="127"/>
      <c r="G302" s="137"/>
      <c r="H302" s="58" t="str" cm="1">
        <f>IF(ISBLANK($A302),"",INDEX(Array_EmissionCharges,MATCH($A302,List_EmissionMeters,0),ROUNDUP((COLUMN()+0)/3-1,0)))</f>
        <v/>
      </c>
      <c r="I302" s="127"/>
      <c r="J302" s="137"/>
      <c r="K302" s="58" t="str" cm="1">
        <f>IF(ISBLANK($A302),"",INDEX(Array_EmissionCharges,MATCH($A302,List_EmissionMeters,0),ROUNDUP((COLUMN()+0)/3-1,0)))</f>
        <v/>
      </c>
      <c r="L302" s="127"/>
      <c r="M302" s="137"/>
      <c r="N302" s="58" t="str" cm="1">
        <f>IF(ISBLANK($A302),"",INDEX(Array_EmissionCharges,MATCH($A302,List_EmissionMeters,0),ROUNDUP((COLUMN()+0)/3-1,0)))</f>
        <v/>
      </c>
      <c r="O302" s="127"/>
      <c r="P302" s="137"/>
      <c r="Q302" s="58" t="str" cm="1">
        <f>IF(ISBLANK($A302),"",INDEX(Array_EmissionCharges,MATCH($A302,List_EmissionMeters,0),ROUNDUP((COLUMN()+0)/3-1,0)))</f>
        <v/>
      </c>
      <c r="R302" s="127"/>
      <c r="S302" s="137"/>
    </row>
    <row r="303" spans="1:19" x14ac:dyDescent="0.3">
      <c r="A303" s="126"/>
      <c r="B303" s="133"/>
      <c r="C303" s="127"/>
      <c r="D303" s="137"/>
      <c r="E303" s="58" t="str" cm="1">
        <f>IF(ISBLANK($A303),"",INDEX(Array_EmissionCharges,MATCH($A303,List_EmissionMeters,0),ROUNDUP((COLUMN()+0)/3-1,0)))</f>
        <v/>
      </c>
      <c r="F303" s="127"/>
      <c r="G303" s="137"/>
      <c r="H303" s="58" t="str" cm="1">
        <f>IF(ISBLANK($A303),"",INDEX(Array_EmissionCharges,MATCH($A303,List_EmissionMeters,0),ROUNDUP((COLUMN()+0)/3-1,0)))</f>
        <v/>
      </c>
      <c r="I303" s="127"/>
      <c r="J303" s="137"/>
      <c r="K303" s="58" t="str" cm="1">
        <f>IF(ISBLANK($A303),"",INDEX(Array_EmissionCharges,MATCH($A303,List_EmissionMeters,0),ROUNDUP((COLUMN()+0)/3-1,0)))</f>
        <v/>
      </c>
      <c r="L303" s="127"/>
      <c r="M303" s="137"/>
      <c r="N303" s="58" t="str" cm="1">
        <f>IF(ISBLANK($A303),"",INDEX(Array_EmissionCharges,MATCH($A303,List_EmissionMeters,0),ROUNDUP((COLUMN()+0)/3-1,0)))</f>
        <v/>
      </c>
      <c r="O303" s="127"/>
      <c r="P303" s="137"/>
      <c r="Q303" s="58" t="str" cm="1">
        <f>IF(ISBLANK($A303),"",INDEX(Array_EmissionCharges,MATCH($A303,List_EmissionMeters,0),ROUNDUP((COLUMN()+0)/3-1,0)))</f>
        <v/>
      </c>
      <c r="R303" s="127"/>
      <c r="S303" s="137"/>
    </row>
    <row r="304" spans="1:19" x14ac:dyDescent="0.3">
      <c r="A304" s="126"/>
      <c r="B304" s="133"/>
      <c r="C304" s="127"/>
      <c r="D304" s="137"/>
      <c r="E304" s="58" t="str" cm="1">
        <f>IF(ISBLANK($A304),"",INDEX(Array_EmissionCharges,MATCH($A304,List_EmissionMeters,0),ROUNDUP((COLUMN()+0)/3-1,0)))</f>
        <v/>
      </c>
      <c r="F304" s="127"/>
      <c r="G304" s="137"/>
      <c r="H304" s="58" t="str" cm="1">
        <f>IF(ISBLANK($A304),"",INDEX(Array_EmissionCharges,MATCH($A304,List_EmissionMeters,0),ROUNDUP((COLUMN()+0)/3-1,0)))</f>
        <v/>
      </c>
      <c r="I304" s="127"/>
      <c r="J304" s="137"/>
      <c r="K304" s="58" t="str" cm="1">
        <f>IF(ISBLANK($A304),"",INDEX(Array_EmissionCharges,MATCH($A304,List_EmissionMeters,0),ROUNDUP((COLUMN()+0)/3-1,0)))</f>
        <v/>
      </c>
      <c r="L304" s="127"/>
      <c r="M304" s="137"/>
      <c r="N304" s="58" t="str" cm="1">
        <f>IF(ISBLANK($A304),"",INDEX(Array_EmissionCharges,MATCH($A304,List_EmissionMeters,0),ROUNDUP((COLUMN()+0)/3-1,0)))</f>
        <v/>
      </c>
      <c r="O304" s="127"/>
      <c r="P304" s="137"/>
      <c r="Q304" s="58" t="str" cm="1">
        <f>IF(ISBLANK($A304),"",INDEX(Array_EmissionCharges,MATCH($A304,List_EmissionMeters,0),ROUNDUP((COLUMN()+0)/3-1,0)))</f>
        <v/>
      </c>
      <c r="R304" s="127"/>
      <c r="S304" s="137"/>
    </row>
    <row r="305" spans="1:19" x14ac:dyDescent="0.3">
      <c r="A305" s="126"/>
      <c r="B305" s="133"/>
      <c r="C305" s="127"/>
      <c r="D305" s="137"/>
      <c r="E305" s="58" t="str" cm="1">
        <f>IF(ISBLANK($A305),"",INDEX(Array_EmissionCharges,MATCH($A305,List_EmissionMeters,0),ROUNDUP((COLUMN()+0)/3-1,0)))</f>
        <v/>
      </c>
      <c r="F305" s="127"/>
      <c r="G305" s="137"/>
      <c r="H305" s="58" t="str" cm="1">
        <f>IF(ISBLANK($A305),"",INDEX(Array_EmissionCharges,MATCH($A305,List_EmissionMeters,0),ROUNDUP((COLUMN()+0)/3-1,0)))</f>
        <v/>
      </c>
      <c r="I305" s="127"/>
      <c r="J305" s="137"/>
      <c r="K305" s="58" t="str" cm="1">
        <f>IF(ISBLANK($A305),"",INDEX(Array_EmissionCharges,MATCH($A305,List_EmissionMeters,0),ROUNDUP((COLUMN()+0)/3-1,0)))</f>
        <v/>
      </c>
      <c r="L305" s="127"/>
      <c r="M305" s="137"/>
      <c r="N305" s="58" t="str" cm="1">
        <f>IF(ISBLANK($A305),"",INDEX(Array_EmissionCharges,MATCH($A305,List_EmissionMeters,0),ROUNDUP((COLUMN()+0)/3-1,0)))</f>
        <v/>
      </c>
      <c r="O305" s="127"/>
      <c r="P305" s="137"/>
      <c r="Q305" s="58" t="str" cm="1">
        <f>IF(ISBLANK($A305),"",INDEX(Array_EmissionCharges,MATCH($A305,List_EmissionMeters,0),ROUNDUP((COLUMN()+0)/3-1,0)))</f>
        <v/>
      </c>
      <c r="R305" s="127"/>
      <c r="S305" s="137"/>
    </row>
    <row r="306" spans="1:19" x14ac:dyDescent="0.3">
      <c r="A306" s="126"/>
      <c r="B306" s="133"/>
      <c r="C306" s="127"/>
      <c r="D306" s="137"/>
      <c r="E306" s="58" t="str" cm="1">
        <f>IF(ISBLANK($A306),"",INDEX(Array_EmissionCharges,MATCH($A306,List_EmissionMeters,0),ROUNDUP((COLUMN()+0)/3-1,0)))</f>
        <v/>
      </c>
      <c r="F306" s="127"/>
      <c r="G306" s="137"/>
      <c r="H306" s="58" t="str" cm="1">
        <f>IF(ISBLANK($A306),"",INDEX(Array_EmissionCharges,MATCH($A306,List_EmissionMeters,0),ROUNDUP((COLUMN()+0)/3-1,0)))</f>
        <v/>
      </c>
      <c r="I306" s="127"/>
      <c r="J306" s="137"/>
      <c r="K306" s="58" t="str" cm="1">
        <f>IF(ISBLANK($A306),"",INDEX(Array_EmissionCharges,MATCH($A306,List_EmissionMeters,0),ROUNDUP((COLUMN()+0)/3-1,0)))</f>
        <v/>
      </c>
      <c r="L306" s="127"/>
      <c r="M306" s="137"/>
      <c r="N306" s="58" t="str" cm="1">
        <f>IF(ISBLANK($A306),"",INDEX(Array_EmissionCharges,MATCH($A306,List_EmissionMeters,0),ROUNDUP((COLUMN()+0)/3-1,0)))</f>
        <v/>
      </c>
      <c r="O306" s="127"/>
      <c r="P306" s="137"/>
      <c r="Q306" s="58" t="str" cm="1">
        <f>IF(ISBLANK($A306),"",INDEX(Array_EmissionCharges,MATCH($A306,List_EmissionMeters,0),ROUNDUP((COLUMN()+0)/3-1,0)))</f>
        <v/>
      </c>
      <c r="R306" s="127"/>
      <c r="S306" s="137"/>
    </row>
    <row r="307" spans="1:19" x14ac:dyDescent="0.3">
      <c r="A307" s="126"/>
      <c r="B307" s="133"/>
      <c r="C307" s="127"/>
      <c r="D307" s="137"/>
      <c r="E307" s="58" t="str" cm="1">
        <f>IF(ISBLANK($A307),"",INDEX(Array_EmissionCharges,MATCH($A307,List_EmissionMeters,0),ROUNDUP((COLUMN()+0)/3-1,0)))</f>
        <v/>
      </c>
      <c r="F307" s="127"/>
      <c r="G307" s="137"/>
      <c r="H307" s="58" t="str" cm="1">
        <f>IF(ISBLANK($A307),"",INDEX(Array_EmissionCharges,MATCH($A307,List_EmissionMeters,0),ROUNDUP((COLUMN()+0)/3-1,0)))</f>
        <v/>
      </c>
      <c r="I307" s="127"/>
      <c r="J307" s="137"/>
      <c r="K307" s="58" t="str" cm="1">
        <f>IF(ISBLANK($A307),"",INDEX(Array_EmissionCharges,MATCH($A307,List_EmissionMeters,0),ROUNDUP((COLUMN()+0)/3-1,0)))</f>
        <v/>
      </c>
      <c r="L307" s="127"/>
      <c r="M307" s="137"/>
      <c r="N307" s="58" t="str" cm="1">
        <f>IF(ISBLANK($A307),"",INDEX(Array_EmissionCharges,MATCH($A307,List_EmissionMeters,0),ROUNDUP((COLUMN()+0)/3-1,0)))</f>
        <v/>
      </c>
      <c r="O307" s="127"/>
      <c r="P307" s="137"/>
      <c r="Q307" s="58" t="str" cm="1">
        <f>IF(ISBLANK($A307),"",INDEX(Array_EmissionCharges,MATCH($A307,List_EmissionMeters,0),ROUNDUP((COLUMN()+0)/3-1,0)))</f>
        <v/>
      </c>
      <c r="R307" s="127"/>
      <c r="S307" s="137"/>
    </row>
    <row r="308" spans="1:19" x14ac:dyDescent="0.3">
      <c r="A308" s="126"/>
      <c r="B308" s="133"/>
      <c r="C308" s="127"/>
      <c r="D308" s="137"/>
      <c r="E308" s="58" t="str" cm="1">
        <f>IF(ISBLANK($A308),"",INDEX(Array_EmissionCharges,MATCH($A308,List_EmissionMeters,0),ROUNDUP((COLUMN()+0)/3-1,0)))</f>
        <v/>
      </c>
      <c r="F308" s="127"/>
      <c r="G308" s="137"/>
      <c r="H308" s="58" t="str" cm="1">
        <f>IF(ISBLANK($A308),"",INDEX(Array_EmissionCharges,MATCH($A308,List_EmissionMeters,0),ROUNDUP((COLUMN()+0)/3-1,0)))</f>
        <v/>
      </c>
      <c r="I308" s="127"/>
      <c r="J308" s="137"/>
      <c r="K308" s="58" t="str" cm="1">
        <f>IF(ISBLANK($A308),"",INDEX(Array_EmissionCharges,MATCH($A308,List_EmissionMeters,0),ROUNDUP((COLUMN()+0)/3-1,0)))</f>
        <v/>
      </c>
      <c r="L308" s="127"/>
      <c r="M308" s="137"/>
      <c r="N308" s="58" t="str" cm="1">
        <f>IF(ISBLANK($A308),"",INDEX(Array_EmissionCharges,MATCH($A308,List_EmissionMeters,0),ROUNDUP((COLUMN()+0)/3-1,0)))</f>
        <v/>
      </c>
      <c r="O308" s="127"/>
      <c r="P308" s="137"/>
      <c r="Q308" s="58" t="str" cm="1">
        <f>IF(ISBLANK($A308),"",INDEX(Array_EmissionCharges,MATCH($A308,List_EmissionMeters,0),ROUNDUP((COLUMN()+0)/3-1,0)))</f>
        <v/>
      </c>
      <c r="R308" s="127"/>
      <c r="S308" s="137"/>
    </row>
    <row r="309" spans="1:19" x14ac:dyDescent="0.3">
      <c r="A309" s="126"/>
      <c r="B309" s="133"/>
      <c r="C309" s="127"/>
      <c r="D309" s="137"/>
      <c r="E309" s="58" t="str" cm="1">
        <f>IF(ISBLANK($A309),"",INDEX(Array_EmissionCharges,MATCH($A309,List_EmissionMeters,0),ROUNDUP((COLUMN()+0)/3-1,0)))</f>
        <v/>
      </c>
      <c r="F309" s="127"/>
      <c r="G309" s="137"/>
      <c r="H309" s="58" t="str" cm="1">
        <f>IF(ISBLANK($A309),"",INDEX(Array_EmissionCharges,MATCH($A309,List_EmissionMeters,0),ROUNDUP((COLUMN()+0)/3-1,0)))</f>
        <v/>
      </c>
      <c r="I309" s="127"/>
      <c r="J309" s="137"/>
      <c r="K309" s="58" t="str" cm="1">
        <f>IF(ISBLANK($A309),"",INDEX(Array_EmissionCharges,MATCH($A309,List_EmissionMeters,0),ROUNDUP((COLUMN()+0)/3-1,0)))</f>
        <v/>
      </c>
      <c r="L309" s="127"/>
      <c r="M309" s="137"/>
      <c r="N309" s="58" t="str" cm="1">
        <f>IF(ISBLANK($A309),"",INDEX(Array_EmissionCharges,MATCH($A309,List_EmissionMeters,0),ROUNDUP((COLUMN()+0)/3-1,0)))</f>
        <v/>
      </c>
      <c r="O309" s="127"/>
      <c r="P309" s="137"/>
      <c r="Q309" s="58" t="str" cm="1">
        <f>IF(ISBLANK($A309),"",INDEX(Array_EmissionCharges,MATCH($A309,List_EmissionMeters,0),ROUNDUP((COLUMN()+0)/3-1,0)))</f>
        <v/>
      </c>
      <c r="R309" s="127"/>
      <c r="S309" s="137"/>
    </row>
    <row r="310" spans="1:19" x14ac:dyDescent="0.3">
      <c r="A310" s="126"/>
      <c r="B310" s="133"/>
      <c r="C310" s="127"/>
      <c r="D310" s="137"/>
      <c r="E310" s="58" t="str" cm="1">
        <f>IF(ISBLANK($A310),"",INDEX(Array_EmissionCharges,MATCH($A310,List_EmissionMeters,0),ROUNDUP((COLUMN()+0)/3-1,0)))</f>
        <v/>
      </c>
      <c r="F310" s="127"/>
      <c r="G310" s="137"/>
      <c r="H310" s="58" t="str" cm="1">
        <f>IF(ISBLANK($A310),"",INDEX(Array_EmissionCharges,MATCH($A310,List_EmissionMeters,0),ROUNDUP((COLUMN()+0)/3-1,0)))</f>
        <v/>
      </c>
      <c r="I310" s="127"/>
      <c r="J310" s="137"/>
      <c r="K310" s="58" t="str" cm="1">
        <f>IF(ISBLANK($A310),"",INDEX(Array_EmissionCharges,MATCH($A310,List_EmissionMeters,0),ROUNDUP((COLUMN()+0)/3-1,0)))</f>
        <v/>
      </c>
      <c r="L310" s="127"/>
      <c r="M310" s="137"/>
      <c r="N310" s="58" t="str" cm="1">
        <f>IF(ISBLANK($A310),"",INDEX(Array_EmissionCharges,MATCH($A310,List_EmissionMeters,0),ROUNDUP((COLUMN()+0)/3-1,0)))</f>
        <v/>
      </c>
      <c r="O310" s="127"/>
      <c r="P310" s="137"/>
      <c r="Q310" s="58" t="str" cm="1">
        <f>IF(ISBLANK($A310),"",INDEX(Array_EmissionCharges,MATCH($A310,List_EmissionMeters,0),ROUNDUP((COLUMN()+0)/3-1,0)))</f>
        <v/>
      </c>
      <c r="R310" s="127"/>
      <c r="S310" s="137"/>
    </row>
    <row r="311" spans="1:19" x14ac:dyDescent="0.3">
      <c r="A311" s="126"/>
      <c r="B311" s="133"/>
      <c r="C311" s="127"/>
      <c r="D311" s="137"/>
      <c r="E311" s="58" t="str" cm="1">
        <f>IF(ISBLANK($A311),"",INDEX(Array_EmissionCharges,MATCH($A311,List_EmissionMeters,0),ROUNDUP((COLUMN()+0)/3-1,0)))</f>
        <v/>
      </c>
      <c r="F311" s="127"/>
      <c r="G311" s="137"/>
      <c r="H311" s="58" t="str" cm="1">
        <f>IF(ISBLANK($A311),"",INDEX(Array_EmissionCharges,MATCH($A311,List_EmissionMeters,0),ROUNDUP((COLUMN()+0)/3-1,0)))</f>
        <v/>
      </c>
      <c r="I311" s="127"/>
      <c r="J311" s="137"/>
      <c r="K311" s="58" t="str" cm="1">
        <f>IF(ISBLANK($A311),"",INDEX(Array_EmissionCharges,MATCH($A311,List_EmissionMeters,0),ROUNDUP((COLUMN()+0)/3-1,0)))</f>
        <v/>
      </c>
      <c r="L311" s="127"/>
      <c r="M311" s="137"/>
      <c r="N311" s="58" t="str" cm="1">
        <f>IF(ISBLANK($A311),"",INDEX(Array_EmissionCharges,MATCH($A311,List_EmissionMeters,0),ROUNDUP((COLUMN()+0)/3-1,0)))</f>
        <v/>
      </c>
      <c r="O311" s="127"/>
      <c r="P311" s="137"/>
      <c r="Q311" s="58" t="str" cm="1">
        <f>IF(ISBLANK($A311),"",INDEX(Array_EmissionCharges,MATCH($A311,List_EmissionMeters,0),ROUNDUP((COLUMN()+0)/3-1,0)))</f>
        <v/>
      </c>
      <c r="R311" s="127"/>
      <c r="S311" s="137"/>
    </row>
    <row r="312" spans="1:19" x14ac:dyDescent="0.3">
      <c r="A312" s="126"/>
      <c r="B312" s="133"/>
      <c r="C312" s="127"/>
      <c r="D312" s="137"/>
      <c r="E312" s="58" t="str" cm="1">
        <f>IF(ISBLANK($A312),"",INDEX(Array_EmissionCharges,MATCH($A312,List_EmissionMeters,0),ROUNDUP((COLUMN()+0)/3-1,0)))</f>
        <v/>
      </c>
      <c r="F312" s="127"/>
      <c r="G312" s="137"/>
      <c r="H312" s="58" t="str" cm="1">
        <f>IF(ISBLANK($A312),"",INDEX(Array_EmissionCharges,MATCH($A312,List_EmissionMeters,0),ROUNDUP((COLUMN()+0)/3-1,0)))</f>
        <v/>
      </c>
      <c r="I312" s="127"/>
      <c r="J312" s="137"/>
      <c r="K312" s="58" t="str" cm="1">
        <f>IF(ISBLANK($A312),"",INDEX(Array_EmissionCharges,MATCH($A312,List_EmissionMeters,0),ROUNDUP((COLUMN()+0)/3-1,0)))</f>
        <v/>
      </c>
      <c r="L312" s="127"/>
      <c r="M312" s="137"/>
      <c r="N312" s="58" t="str" cm="1">
        <f>IF(ISBLANK($A312),"",INDEX(Array_EmissionCharges,MATCH($A312,List_EmissionMeters,0),ROUNDUP((COLUMN()+0)/3-1,0)))</f>
        <v/>
      </c>
      <c r="O312" s="127"/>
      <c r="P312" s="137"/>
      <c r="Q312" s="58" t="str" cm="1">
        <f>IF(ISBLANK($A312),"",INDEX(Array_EmissionCharges,MATCH($A312,List_EmissionMeters,0),ROUNDUP((COLUMN()+0)/3-1,0)))</f>
        <v/>
      </c>
      <c r="R312" s="127"/>
      <c r="S312" s="137"/>
    </row>
    <row r="313" spans="1:19" x14ac:dyDescent="0.3">
      <c r="A313" s="126"/>
      <c r="B313" s="133"/>
      <c r="C313" s="127"/>
      <c r="D313" s="137"/>
      <c r="E313" s="58" t="str" cm="1">
        <f>IF(ISBLANK($A313),"",INDEX(Array_EmissionCharges,MATCH($A313,List_EmissionMeters,0),ROUNDUP((COLUMN()+0)/3-1,0)))</f>
        <v/>
      </c>
      <c r="F313" s="127"/>
      <c r="G313" s="137"/>
      <c r="H313" s="58" t="str" cm="1">
        <f>IF(ISBLANK($A313),"",INDEX(Array_EmissionCharges,MATCH($A313,List_EmissionMeters,0),ROUNDUP((COLUMN()+0)/3-1,0)))</f>
        <v/>
      </c>
      <c r="I313" s="127"/>
      <c r="J313" s="137"/>
      <c r="K313" s="58" t="str" cm="1">
        <f>IF(ISBLANK($A313),"",INDEX(Array_EmissionCharges,MATCH($A313,List_EmissionMeters,0),ROUNDUP((COLUMN()+0)/3-1,0)))</f>
        <v/>
      </c>
      <c r="L313" s="127"/>
      <c r="M313" s="137"/>
      <c r="N313" s="58" t="str" cm="1">
        <f>IF(ISBLANK($A313),"",INDEX(Array_EmissionCharges,MATCH($A313,List_EmissionMeters,0),ROUNDUP((COLUMN()+0)/3-1,0)))</f>
        <v/>
      </c>
      <c r="O313" s="127"/>
      <c r="P313" s="137"/>
      <c r="Q313" s="58" t="str" cm="1">
        <f>IF(ISBLANK($A313),"",INDEX(Array_EmissionCharges,MATCH($A313,List_EmissionMeters,0),ROUNDUP((COLUMN()+0)/3-1,0)))</f>
        <v/>
      </c>
      <c r="R313" s="127"/>
      <c r="S313" s="137"/>
    </row>
    <row r="314" spans="1:19" x14ac:dyDescent="0.3">
      <c r="A314" s="126"/>
      <c r="B314" s="133"/>
      <c r="C314" s="127"/>
      <c r="D314" s="137"/>
      <c r="E314" s="58" t="str" cm="1">
        <f>IF(ISBLANK($A314),"",INDEX(Array_EmissionCharges,MATCH($A314,List_EmissionMeters,0),ROUNDUP((COLUMN()+0)/3-1,0)))</f>
        <v/>
      </c>
      <c r="F314" s="127"/>
      <c r="G314" s="137"/>
      <c r="H314" s="58" t="str" cm="1">
        <f>IF(ISBLANK($A314),"",INDEX(Array_EmissionCharges,MATCH($A314,List_EmissionMeters,0),ROUNDUP((COLUMN()+0)/3-1,0)))</f>
        <v/>
      </c>
      <c r="I314" s="127"/>
      <c r="J314" s="137"/>
      <c r="K314" s="58" t="str" cm="1">
        <f>IF(ISBLANK($A314),"",INDEX(Array_EmissionCharges,MATCH($A314,List_EmissionMeters,0),ROUNDUP((COLUMN()+0)/3-1,0)))</f>
        <v/>
      </c>
      <c r="L314" s="127"/>
      <c r="M314" s="137"/>
      <c r="N314" s="58" t="str" cm="1">
        <f>IF(ISBLANK($A314),"",INDEX(Array_EmissionCharges,MATCH($A314,List_EmissionMeters,0),ROUNDUP((COLUMN()+0)/3-1,0)))</f>
        <v/>
      </c>
      <c r="O314" s="127"/>
      <c r="P314" s="137"/>
      <c r="Q314" s="58" t="str" cm="1">
        <f>IF(ISBLANK($A314),"",INDEX(Array_EmissionCharges,MATCH($A314,List_EmissionMeters,0),ROUNDUP((COLUMN()+0)/3-1,0)))</f>
        <v/>
      </c>
      <c r="R314" s="127"/>
      <c r="S314" s="137"/>
    </row>
    <row r="315" spans="1:19" x14ac:dyDescent="0.3">
      <c r="A315" s="126"/>
      <c r="B315" s="133"/>
      <c r="C315" s="127"/>
      <c r="D315" s="137"/>
      <c r="E315" s="58" t="str" cm="1">
        <f>IF(ISBLANK($A315),"",INDEX(Array_EmissionCharges,MATCH($A315,List_EmissionMeters,0),ROUNDUP((COLUMN()+0)/3-1,0)))</f>
        <v/>
      </c>
      <c r="F315" s="127"/>
      <c r="G315" s="137"/>
      <c r="H315" s="58" t="str" cm="1">
        <f>IF(ISBLANK($A315),"",INDEX(Array_EmissionCharges,MATCH($A315,List_EmissionMeters,0),ROUNDUP((COLUMN()+0)/3-1,0)))</f>
        <v/>
      </c>
      <c r="I315" s="127"/>
      <c r="J315" s="137"/>
      <c r="K315" s="58" t="str" cm="1">
        <f>IF(ISBLANK($A315),"",INDEX(Array_EmissionCharges,MATCH($A315,List_EmissionMeters,0),ROUNDUP((COLUMN()+0)/3-1,0)))</f>
        <v/>
      </c>
      <c r="L315" s="127"/>
      <c r="M315" s="137"/>
      <c r="N315" s="58" t="str" cm="1">
        <f>IF(ISBLANK($A315),"",INDEX(Array_EmissionCharges,MATCH($A315,List_EmissionMeters,0),ROUNDUP((COLUMN()+0)/3-1,0)))</f>
        <v/>
      </c>
      <c r="O315" s="127"/>
      <c r="P315" s="137"/>
      <c r="Q315" s="58" t="str" cm="1">
        <f>IF(ISBLANK($A315),"",INDEX(Array_EmissionCharges,MATCH($A315,List_EmissionMeters,0),ROUNDUP((COLUMN()+0)/3-1,0)))</f>
        <v/>
      </c>
      <c r="R315" s="127"/>
      <c r="S315" s="137"/>
    </row>
    <row r="316" spans="1:19" x14ac:dyDescent="0.3">
      <c r="A316" s="126"/>
      <c r="B316" s="133"/>
      <c r="C316" s="127"/>
      <c r="D316" s="137"/>
      <c r="E316" s="58" t="str" cm="1">
        <f>IF(ISBLANK($A316),"",INDEX(Array_EmissionCharges,MATCH($A316,List_EmissionMeters,0),ROUNDUP((COLUMN()+0)/3-1,0)))</f>
        <v/>
      </c>
      <c r="F316" s="127"/>
      <c r="G316" s="137"/>
      <c r="H316" s="58" t="str" cm="1">
        <f>IF(ISBLANK($A316),"",INDEX(Array_EmissionCharges,MATCH($A316,List_EmissionMeters,0),ROUNDUP((COLUMN()+0)/3-1,0)))</f>
        <v/>
      </c>
      <c r="I316" s="127"/>
      <c r="J316" s="137"/>
      <c r="K316" s="58" t="str" cm="1">
        <f>IF(ISBLANK($A316),"",INDEX(Array_EmissionCharges,MATCH($A316,List_EmissionMeters,0),ROUNDUP((COLUMN()+0)/3-1,0)))</f>
        <v/>
      </c>
      <c r="L316" s="127"/>
      <c r="M316" s="137"/>
      <c r="N316" s="58" t="str" cm="1">
        <f>IF(ISBLANK($A316),"",INDEX(Array_EmissionCharges,MATCH($A316,List_EmissionMeters,0),ROUNDUP((COLUMN()+0)/3-1,0)))</f>
        <v/>
      </c>
      <c r="O316" s="127"/>
      <c r="P316" s="137"/>
      <c r="Q316" s="58" t="str" cm="1">
        <f>IF(ISBLANK($A316),"",INDEX(Array_EmissionCharges,MATCH($A316,List_EmissionMeters,0),ROUNDUP((COLUMN()+0)/3-1,0)))</f>
        <v/>
      </c>
      <c r="R316" s="127"/>
      <c r="S316" s="137"/>
    </row>
    <row r="317" spans="1:19" x14ac:dyDescent="0.3">
      <c r="A317" s="126"/>
      <c r="B317" s="133"/>
      <c r="C317" s="127"/>
      <c r="D317" s="137"/>
      <c r="E317" s="58" t="str" cm="1">
        <f>IF(ISBLANK($A317),"",INDEX(Array_EmissionCharges,MATCH($A317,List_EmissionMeters,0),ROUNDUP((COLUMN()+0)/3-1,0)))</f>
        <v/>
      </c>
      <c r="F317" s="127"/>
      <c r="G317" s="137"/>
      <c r="H317" s="58" t="str" cm="1">
        <f>IF(ISBLANK($A317),"",INDEX(Array_EmissionCharges,MATCH($A317,List_EmissionMeters,0),ROUNDUP((COLUMN()+0)/3-1,0)))</f>
        <v/>
      </c>
      <c r="I317" s="127"/>
      <c r="J317" s="137"/>
      <c r="K317" s="58" t="str" cm="1">
        <f>IF(ISBLANK($A317),"",INDEX(Array_EmissionCharges,MATCH($A317,List_EmissionMeters,0),ROUNDUP((COLUMN()+0)/3-1,0)))</f>
        <v/>
      </c>
      <c r="L317" s="127"/>
      <c r="M317" s="137"/>
      <c r="N317" s="58" t="str" cm="1">
        <f>IF(ISBLANK($A317),"",INDEX(Array_EmissionCharges,MATCH($A317,List_EmissionMeters,0),ROUNDUP((COLUMN()+0)/3-1,0)))</f>
        <v/>
      </c>
      <c r="O317" s="127"/>
      <c r="P317" s="137"/>
      <c r="Q317" s="58" t="str" cm="1">
        <f>IF(ISBLANK($A317),"",INDEX(Array_EmissionCharges,MATCH($A317,List_EmissionMeters,0),ROUNDUP((COLUMN()+0)/3-1,0)))</f>
        <v/>
      </c>
      <c r="R317" s="127"/>
      <c r="S317" s="137"/>
    </row>
    <row r="318" spans="1:19" x14ac:dyDescent="0.3">
      <c r="A318" s="126"/>
      <c r="B318" s="133"/>
      <c r="C318" s="127"/>
      <c r="D318" s="137"/>
      <c r="E318" s="58" t="str" cm="1">
        <f>IF(ISBLANK($A318),"",INDEX(Array_EmissionCharges,MATCH($A318,List_EmissionMeters,0),ROUNDUP((COLUMN()+0)/3-1,0)))</f>
        <v/>
      </c>
      <c r="F318" s="127"/>
      <c r="G318" s="137"/>
      <c r="H318" s="58" t="str" cm="1">
        <f>IF(ISBLANK($A318),"",INDEX(Array_EmissionCharges,MATCH($A318,List_EmissionMeters,0),ROUNDUP((COLUMN()+0)/3-1,0)))</f>
        <v/>
      </c>
      <c r="I318" s="127"/>
      <c r="J318" s="137"/>
      <c r="K318" s="58" t="str" cm="1">
        <f>IF(ISBLANK($A318),"",INDEX(Array_EmissionCharges,MATCH($A318,List_EmissionMeters,0),ROUNDUP((COLUMN()+0)/3-1,0)))</f>
        <v/>
      </c>
      <c r="L318" s="127"/>
      <c r="M318" s="137"/>
      <c r="N318" s="58" t="str" cm="1">
        <f>IF(ISBLANK($A318),"",INDEX(Array_EmissionCharges,MATCH($A318,List_EmissionMeters,0),ROUNDUP((COLUMN()+0)/3-1,0)))</f>
        <v/>
      </c>
      <c r="O318" s="127"/>
      <c r="P318" s="137"/>
      <c r="Q318" s="58" t="str" cm="1">
        <f>IF(ISBLANK($A318),"",INDEX(Array_EmissionCharges,MATCH($A318,List_EmissionMeters,0),ROUNDUP((COLUMN()+0)/3-1,0)))</f>
        <v/>
      </c>
      <c r="R318" s="127"/>
      <c r="S318" s="137"/>
    </row>
    <row r="319" spans="1:19" x14ac:dyDescent="0.3">
      <c r="A319" s="126"/>
      <c r="B319" s="133"/>
      <c r="C319" s="127"/>
      <c r="D319" s="137"/>
      <c r="E319" s="58" t="str" cm="1">
        <f>IF(ISBLANK($A319),"",INDEX(Array_EmissionCharges,MATCH($A319,List_EmissionMeters,0),ROUNDUP((COLUMN()+0)/3-1,0)))</f>
        <v/>
      </c>
      <c r="F319" s="127"/>
      <c r="G319" s="137"/>
      <c r="H319" s="58" t="str" cm="1">
        <f>IF(ISBLANK($A319),"",INDEX(Array_EmissionCharges,MATCH($A319,List_EmissionMeters,0),ROUNDUP((COLUMN()+0)/3-1,0)))</f>
        <v/>
      </c>
      <c r="I319" s="127"/>
      <c r="J319" s="137"/>
      <c r="K319" s="58" t="str" cm="1">
        <f>IF(ISBLANK($A319),"",INDEX(Array_EmissionCharges,MATCH($A319,List_EmissionMeters,0),ROUNDUP((COLUMN()+0)/3-1,0)))</f>
        <v/>
      </c>
      <c r="L319" s="127"/>
      <c r="M319" s="137"/>
      <c r="N319" s="58" t="str" cm="1">
        <f>IF(ISBLANK($A319),"",INDEX(Array_EmissionCharges,MATCH($A319,List_EmissionMeters,0),ROUNDUP((COLUMN()+0)/3-1,0)))</f>
        <v/>
      </c>
      <c r="O319" s="127"/>
      <c r="P319" s="137"/>
      <c r="Q319" s="58" t="str" cm="1">
        <f>IF(ISBLANK($A319),"",INDEX(Array_EmissionCharges,MATCH($A319,List_EmissionMeters,0),ROUNDUP((COLUMN()+0)/3-1,0)))</f>
        <v/>
      </c>
      <c r="R319" s="127"/>
      <c r="S319" s="137"/>
    </row>
    <row r="320" spans="1:19" x14ac:dyDescent="0.3">
      <c r="A320" s="126"/>
      <c r="B320" s="133"/>
      <c r="C320" s="127"/>
      <c r="D320" s="137"/>
      <c r="E320" s="58" t="str" cm="1">
        <f>IF(ISBLANK($A320),"",INDEX(Array_EmissionCharges,MATCH($A320,List_EmissionMeters,0),ROUNDUP((COLUMN()+0)/3-1,0)))</f>
        <v/>
      </c>
      <c r="F320" s="127"/>
      <c r="G320" s="137"/>
      <c r="H320" s="58" t="str" cm="1">
        <f>IF(ISBLANK($A320),"",INDEX(Array_EmissionCharges,MATCH($A320,List_EmissionMeters,0),ROUNDUP((COLUMN()+0)/3-1,0)))</f>
        <v/>
      </c>
      <c r="I320" s="127"/>
      <c r="J320" s="137"/>
      <c r="K320" s="58" t="str" cm="1">
        <f>IF(ISBLANK($A320),"",INDEX(Array_EmissionCharges,MATCH($A320,List_EmissionMeters,0),ROUNDUP((COLUMN()+0)/3-1,0)))</f>
        <v/>
      </c>
      <c r="L320" s="127"/>
      <c r="M320" s="137"/>
      <c r="N320" s="58" t="str" cm="1">
        <f>IF(ISBLANK($A320),"",INDEX(Array_EmissionCharges,MATCH($A320,List_EmissionMeters,0),ROUNDUP((COLUMN()+0)/3-1,0)))</f>
        <v/>
      </c>
      <c r="O320" s="127"/>
      <c r="P320" s="137"/>
      <c r="Q320" s="58" t="str" cm="1">
        <f>IF(ISBLANK($A320),"",INDEX(Array_EmissionCharges,MATCH($A320,List_EmissionMeters,0),ROUNDUP((COLUMN()+0)/3-1,0)))</f>
        <v/>
      </c>
      <c r="R320" s="127"/>
      <c r="S320" s="137"/>
    </row>
    <row r="321" spans="1:19" x14ac:dyDescent="0.3">
      <c r="A321" s="126"/>
      <c r="B321" s="133"/>
      <c r="C321" s="127"/>
      <c r="D321" s="137"/>
      <c r="E321" s="58" t="str" cm="1">
        <f>IF(ISBLANK($A321),"",INDEX(Array_EmissionCharges,MATCH($A321,List_EmissionMeters,0),ROUNDUP((COLUMN()+0)/3-1,0)))</f>
        <v/>
      </c>
      <c r="F321" s="127"/>
      <c r="G321" s="137"/>
      <c r="H321" s="58" t="str" cm="1">
        <f>IF(ISBLANK($A321),"",INDEX(Array_EmissionCharges,MATCH($A321,List_EmissionMeters,0),ROUNDUP((COLUMN()+0)/3-1,0)))</f>
        <v/>
      </c>
      <c r="I321" s="127"/>
      <c r="J321" s="137"/>
      <c r="K321" s="58" t="str" cm="1">
        <f>IF(ISBLANK($A321),"",INDEX(Array_EmissionCharges,MATCH($A321,List_EmissionMeters,0),ROUNDUP((COLUMN()+0)/3-1,0)))</f>
        <v/>
      </c>
      <c r="L321" s="127"/>
      <c r="M321" s="137"/>
      <c r="N321" s="58" t="str" cm="1">
        <f>IF(ISBLANK($A321),"",INDEX(Array_EmissionCharges,MATCH($A321,List_EmissionMeters,0),ROUNDUP((COLUMN()+0)/3-1,0)))</f>
        <v/>
      </c>
      <c r="O321" s="127"/>
      <c r="P321" s="137"/>
      <c r="Q321" s="58" t="str" cm="1">
        <f>IF(ISBLANK($A321),"",INDEX(Array_EmissionCharges,MATCH($A321,List_EmissionMeters,0),ROUNDUP((COLUMN()+0)/3-1,0)))</f>
        <v/>
      </c>
      <c r="R321" s="127"/>
      <c r="S321" s="137"/>
    </row>
    <row r="322" spans="1:19" x14ac:dyDescent="0.3">
      <c r="A322" s="126"/>
      <c r="B322" s="133"/>
      <c r="C322" s="127"/>
      <c r="D322" s="137"/>
      <c r="E322" s="58" t="str" cm="1">
        <f>IF(ISBLANK($A322),"",INDEX(Array_EmissionCharges,MATCH($A322,List_EmissionMeters,0),ROUNDUP((COLUMN()+0)/3-1,0)))</f>
        <v/>
      </c>
      <c r="F322" s="127"/>
      <c r="G322" s="137"/>
      <c r="H322" s="58" t="str" cm="1">
        <f>IF(ISBLANK($A322),"",INDEX(Array_EmissionCharges,MATCH($A322,List_EmissionMeters,0),ROUNDUP((COLUMN()+0)/3-1,0)))</f>
        <v/>
      </c>
      <c r="I322" s="127"/>
      <c r="J322" s="137"/>
      <c r="K322" s="58" t="str" cm="1">
        <f>IF(ISBLANK($A322),"",INDEX(Array_EmissionCharges,MATCH($A322,List_EmissionMeters,0),ROUNDUP((COLUMN()+0)/3-1,0)))</f>
        <v/>
      </c>
      <c r="L322" s="127"/>
      <c r="M322" s="137"/>
      <c r="N322" s="58" t="str" cm="1">
        <f>IF(ISBLANK($A322),"",INDEX(Array_EmissionCharges,MATCH($A322,List_EmissionMeters,0),ROUNDUP((COLUMN()+0)/3-1,0)))</f>
        <v/>
      </c>
      <c r="O322" s="127"/>
      <c r="P322" s="137"/>
      <c r="Q322" s="58" t="str" cm="1">
        <f>IF(ISBLANK($A322),"",INDEX(Array_EmissionCharges,MATCH($A322,List_EmissionMeters,0),ROUNDUP((COLUMN()+0)/3-1,0)))</f>
        <v/>
      </c>
      <c r="R322" s="127"/>
      <c r="S322" s="137"/>
    </row>
    <row r="323" spans="1:19" x14ac:dyDescent="0.3">
      <c r="A323" s="126"/>
      <c r="B323" s="133"/>
      <c r="C323" s="127"/>
      <c r="D323" s="137"/>
      <c r="E323" s="58" t="str" cm="1">
        <f>IF(ISBLANK($A323),"",INDEX(Array_EmissionCharges,MATCH($A323,List_EmissionMeters,0),ROUNDUP((COLUMN()+0)/3-1,0)))</f>
        <v/>
      </c>
      <c r="F323" s="127"/>
      <c r="G323" s="137"/>
      <c r="H323" s="58" t="str" cm="1">
        <f>IF(ISBLANK($A323),"",INDEX(Array_EmissionCharges,MATCH($A323,List_EmissionMeters,0),ROUNDUP((COLUMN()+0)/3-1,0)))</f>
        <v/>
      </c>
      <c r="I323" s="127"/>
      <c r="J323" s="137"/>
      <c r="K323" s="58" t="str" cm="1">
        <f>IF(ISBLANK($A323),"",INDEX(Array_EmissionCharges,MATCH($A323,List_EmissionMeters,0),ROUNDUP((COLUMN()+0)/3-1,0)))</f>
        <v/>
      </c>
      <c r="L323" s="127"/>
      <c r="M323" s="137"/>
      <c r="N323" s="58" t="str" cm="1">
        <f>IF(ISBLANK($A323),"",INDEX(Array_EmissionCharges,MATCH($A323,List_EmissionMeters,0),ROUNDUP((COLUMN()+0)/3-1,0)))</f>
        <v/>
      </c>
      <c r="O323" s="127"/>
      <c r="P323" s="137"/>
      <c r="Q323" s="58" t="str" cm="1">
        <f>IF(ISBLANK($A323),"",INDEX(Array_EmissionCharges,MATCH($A323,List_EmissionMeters,0),ROUNDUP((COLUMN()+0)/3-1,0)))</f>
        <v/>
      </c>
      <c r="R323" s="127"/>
      <c r="S323" s="137"/>
    </row>
    <row r="324" spans="1:19" x14ac:dyDescent="0.3">
      <c r="A324" s="126"/>
      <c r="B324" s="133"/>
      <c r="C324" s="127"/>
      <c r="D324" s="137"/>
      <c r="E324" s="58" t="str" cm="1">
        <f>IF(ISBLANK($A324),"",INDEX(Array_EmissionCharges,MATCH($A324,List_EmissionMeters,0),ROUNDUP((COLUMN()+0)/3-1,0)))</f>
        <v/>
      </c>
      <c r="F324" s="127"/>
      <c r="G324" s="137"/>
      <c r="H324" s="58" t="str" cm="1">
        <f>IF(ISBLANK($A324),"",INDEX(Array_EmissionCharges,MATCH($A324,List_EmissionMeters,0),ROUNDUP((COLUMN()+0)/3-1,0)))</f>
        <v/>
      </c>
      <c r="I324" s="127"/>
      <c r="J324" s="137"/>
      <c r="K324" s="58" t="str" cm="1">
        <f>IF(ISBLANK($A324),"",INDEX(Array_EmissionCharges,MATCH($A324,List_EmissionMeters,0),ROUNDUP((COLUMN()+0)/3-1,0)))</f>
        <v/>
      </c>
      <c r="L324" s="127"/>
      <c r="M324" s="137"/>
      <c r="N324" s="58" t="str" cm="1">
        <f>IF(ISBLANK($A324),"",INDEX(Array_EmissionCharges,MATCH($A324,List_EmissionMeters,0),ROUNDUP((COLUMN()+0)/3-1,0)))</f>
        <v/>
      </c>
      <c r="O324" s="127"/>
      <c r="P324" s="137"/>
      <c r="Q324" s="58" t="str" cm="1">
        <f>IF(ISBLANK($A324),"",INDEX(Array_EmissionCharges,MATCH($A324,List_EmissionMeters,0),ROUNDUP((COLUMN()+0)/3-1,0)))</f>
        <v/>
      </c>
      <c r="R324" s="127"/>
      <c r="S324" s="137"/>
    </row>
    <row r="325" spans="1:19" x14ac:dyDescent="0.3">
      <c r="A325" s="126"/>
      <c r="B325" s="133"/>
      <c r="C325" s="127"/>
      <c r="D325" s="137"/>
      <c r="E325" s="58" t="str" cm="1">
        <f>IF(ISBLANK($A325),"",INDEX(Array_EmissionCharges,MATCH($A325,List_EmissionMeters,0),ROUNDUP((COLUMN()+0)/3-1,0)))</f>
        <v/>
      </c>
      <c r="F325" s="127"/>
      <c r="G325" s="137"/>
      <c r="H325" s="58" t="str" cm="1">
        <f>IF(ISBLANK($A325),"",INDEX(Array_EmissionCharges,MATCH($A325,List_EmissionMeters,0),ROUNDUP((COLUMN()+0)/3-1,0)))</f>
        <v/>
      </c>
      <c r="I325" s="127"/>
      <c r="J325" s="137"/>
      <c r="K325" s="58" t="str" cm="1">
        <f>IF(ISBLANK($A325),"",INDEX(Array_EmissionCharges,MATCH($A325,List_EmissionMeters,0),ROUNDUP((COLUMN()+0)/3-1,0)))</f>
        <v/>
      </c>
      <c r="L325" s="127"/>
      <c r="M325" s="137"/>
      <c r="N325" s="58" t="str" cm="1">
        <f>IF(ISBLANK($A325),"",INDEX(Array_EmissionCharges,MATCH($A325,List_EmissionMeters,0),ROUNDUP((COLUMN()+0)/3-1,0)))</f>
        <v/>
      </c>
      <c r="O325" s="127"/>
      <c r="P325" s="137"/>
      <c r="Q325" s="58" t="str" cm="1">
        <f>IF(ISBLANK($A325),"",INDEX(Array_EmissionCharges,MATCH($A325,List_EmissionMeters,0),ROUNDUP((COLUMN()+0)/3-1,0)))</f>
        <v/>
      </c>
      <c r="R325" s="127"/>
      <c r="S325" s="137"/>
    </row>
    <row r="326" spans="1:19" x14ac:dyDescent="0.3">
      <c r="A326" s="126"/>
      <c r="B326" s="133"/>
      <c r="C326" s="127"/>
      <c r="D326" s="137"/>
      <c r="E326" s="58" t="str" cm="1">
        <f>IF(ISBLANK($A326),"",INDEX(Array_EmissionCharges,MATCH($A326,List_EmissionMeters,0),ROUNDUP((COLUMN()+0)/3-1,0)))</f>
        <v/>
      </c>
      <c r="F326" s="127"/>
      <c r="G326" s="137"/>
      <c r="H326" s="58" t="str" cm="1">
        <f>IF(ISBLANK($A326),"",INDEX(Array_EmissionCharges,MATCH($A326,List_EmissionMeters,0),ROUNDUP((COLUMN()+0)/3-1,0)))</f>
        <v/>
      </c>
      <c r="I326" s="127"/>
      <c r="J326" s="137"/>
      <c r="K326" s="58" t="str" cm="1">
        <f>IF(ISBLANK($A326),"",INDEX(Array_EmissionCharges,MATCH($A326,List_EmissionMeters,0),ROUNDUP((COLUMN()+0)/3-1,0)))</f>
        <v/>
      </c>
      <c r="L326" s="127"/>
      <c r="M326" s="137"/>
      <c r="N326" s="58" t="str" cm="1">
        <f>IF(ISBLANK($A326),"",INDEX(Array_EmissionCharges,MATCH($A326,List_EmissionMeters,0),ROUNDUP((COLUMN()+0)/3-1,0)))</f>
        <v/>
      </c>
      <c r="O326" s="127"/>
      <c r="P326" s="137"/>
      <c r="Q326" s="58" t="str" cm="1">
        <f>IF(ISBLANK($A326),"",INDEX(Array_EmissionCharges,MATCH($A326,List_EmissionMeters,0),ROUNDUP((COLUMN()+0)/3-1,0)))</f>
        <v/>
      </c>
      <c r="R326" s="127"/>
      <c r="S326" s="137"/>
    </row>
    <row r="327" spans="1:19" x14ac:dyDescent="0.3">
      <c r="A327" s="126"/>
      <c r="B327" s="133"/>
      <c r="C327" s="127"/>
      <c r="D327" s="137"/>
      <c r="E327" s="58" t="str" cm="1">
        <f>IF(ISBLANK($A327),"",INDEX(Array_EmissionCharges,MATCH($A327,List_EmissionMeters,0),ROUNDUP((COLUMN()+0)/3-1,0)))</f>
        <v/>
      </c>
      <c r="F327" s="127"/>
      <c r="G327" s="137"/>
      <c r="H327" s="58" t="str" cm="1">
        <f>IF(ISBLANK($A327),"",INDEX(Array_EmissionCharges,MATCH($A327,List_EmissionMeters,0),ROUNDUP((COLUMN()+0)/3-1,0)))</f>
        <v/>
      </c>
      <c r="I327" s="127"/>
      <c r="J327" s="137"/>
      <c r="K327" s="58" t="str" cm="1">
        <f>IF(ISBLANK($A327),"",INDEX(Array_EmissionCharges,MATCH($A327,List_EmissionMeters,0),ROUNDUP((COLUMN()+0)/3-1,0)))</f>
        <v/>
      </c>
      <c r="L327" s="127"/>
      <c r="M327" s="137"/>
      <c r="N327" s="58" t="str" cm="1">
        <f>IF(ISBLANK($A327),"",INDEX(Array_EmissionCharges,MATCH($A327,List_EmissionMeters,0),ROUNDUP((COLUMN()+0)/3-1,0)))</f>
        <v/>
      </c>
      <c r="O327" s="127"/>
      <c r="P327" s="137"/>
      <c r="Q327" s="58" t="str" cm="1">
        <f>IF(ISBLANK($A327),"",INDEX(Array_EmissionCharges,MATCH($A327,List_EmissionMeters,0),ROUNDUP((COLUMN()+0)/3-1,0)))</f>
        <v/>
      </c>
      <c r="R327" s="127"/>
      <c r="S327" s="137"/>
    </row>
    <row r="328" spans="1:19" x14ac:dyDescent="0.3">
      <c r="A328" s="126"/>
      <c r="B328" s="133"/>
      <c r="C328" s="127"/>
      <c r="D328" s="137"/>
      <c r="E328" s="58" t="str" cm="1">
        <f>IF(ISBLANK($A328),"",INDEX(Array_EmissionCharges,MATCH($A328,List_EmissionMeters,0),ROUNDUP((COLUMN()+0)/3-1,0)))</f>
        <v/>
      </c>
      <c r="F328" s="127"/>
      <c r="G328" s="137"/>
      <c r="H328" s="58" t="str" cm="1">
        <f>IF(ISBLANK($A328),"",INDEX(Array_EmissionCharges,MATCH($A328,List_EmissionMeters,0),ROUNDUP((COLUMN()+0)/3-1,0)))</f>
        <v/>
      </c>
      <c r="I328" s="127"/>
      <c r="J328" s="137"/>
      <c r="K328" s="58" t="str" cm="1">
        <f>IF(ISBLANK($A328),"",INDEX(Array_EmissionCharges,MATCH($A328,List_EmissionMeters,0),ROUNDUP((COLUMN()+0)/3-1,0)))</f>
        <v/>
      </c>
      <c r="L328" s="127"/>
      <c r="M328" s="137"/>
      <c r="N328" s="58" t="str" cm="1">
        <f>IF(ISBLANK($A328),"",INDEX(Array_EmissionCharges,MATCH($A328,List_EmissionMeters,0),ROUNDUP((COLUMN()+0)/3-1,0)))</f>
        <v/>
      </c>
      <c r="O328" s="127"/>
      <c r="P328" s="137"/>
      <c r="Q328" s="58" t="str" cm="1">
        <f>IF(ISBLANK($A328),"",INDEX(Array_EmissionCharges,MATCH($A328,List_EmissionMeters,0),ROUNDUP((COLUMN()+0)/3-1,0)))</f>
        <v/>
      </c>
      <c r="R328" s="127"/>
      <c r="S328" s="137"/>
    </row>
    <row r="329" spans="1:19" x14ac:dyDescent="0.3">
      <c r="A329" s="126"/>
      <c r="B329" s="133"/>
      <c r="C329" s="127"/>
      <c r="D329" s="137"/>
      <c r="E329" s="58" t="str" cm="1">
        <f>IF(ISBLANK($A329),"",INDEX(Array_EmissionCharges,MATCH($A329,List_EmissionMeters,0),ROUNDUP((COLUMN()+0)/3-1,0)))</f>
        <v/>
      </c>
      <c r="F329" s="127"/>
      <c r="G329" s="137"/>
      <c r="H329" s="58" t="str" cm="1">
        <f>IF(ISBLANK($A329),"",INDEX(Array_EmissionCharges,MATCH($A329,List_EmissionMeters,0),ROUNDUP((COLUMN()+0)/3-1,0)))</f>
        <v/>
      </c>
      <c r="I329" s="127"/>
      <c r="J329" s="137"/>
      <c r="K329" s="58" t="str" cm="1">
        <f>IF(ISBLANK($A329),"",INDEX(Array_EmissionCharges,MATCH($A329,List_EmissionMeters,0),ROUNDUP((COLUMN()+0)/3-1,0)))</f>
        <v/>
      </c>
      <c r="L329" s="127"/>
      <c r="M329" s="137"/>
      <c r="N329" s="58" t="str" cm="1">
        <f>IF(ISBLANK($A329),"",INDEX(Array_EmissionCharges,MATCH($A329,List_EmissionMeters,0),ROUNDUP((COLUMN()+0)/3-1,0)))</f>
        <v/>
      </c>
      <c r="O329" s="127"/>
      <c r="P329" s="137"/>
      <c r="Q329" s="58" t="str" cm="1">
        <f>IF(ISBLANK($A329),"",INDEX(Array_EmissionCharges,MATCH($A329,List_EmissionMeters,0),ROUNDUP((COLUMN()+0)/3-1,0)))</f>
        <v/>
      </c>
      <c r="R329" s="127"/>
      <c r="S329" s="137"/>
    </row>
    <row r="330" spans="1:19" x14ac:dyDescent="0.3">
      <c r="A330" s="126"/>
      <c r="B330" s="133"/>
      <c r="C330" s="127"/>
      <c r="D330" s="137"/>
      <c r="E330" s="58" t="str" cm="1">
        <f>IF(ISBLANK($A330),"",INDEX(Array_EmissionCharges,MATCH($A330,List_EmissionMeters,0),ROUNDUP((COLUMN()+0)/3-1,0)))</f>
        <v/>
      </c>
      <c r="F330" s="127"/>
      <c r="G330" s="137"/>
      <c r="H330" s="58" t="str" cm="1">
        <f>IF(ISBLANK($A330),"",INDEX(Array_EmissionCharges,MATCH($A330,List_EmissionMeters,0),ROUNDUP((COLUMN()+0)/3-1,0)))</f>
        <v/>
      </c>
      <c r="I330" s="127"/>
      <c r="J330" s="137"/>
      <c r="K330" s="58" t="str" cm="1">
        <f>IF(ISBLANK($A330),"",INDEX(Array_EmissionCharges,MATCH($A330,List_EmissionMeters,0),ROUNDUP((COLUMN()+0)/3-1,0)))</f>
        <v/>
      </c>
      <c r="L330" s="127"/>
      <c r="M330" s="137"/>
      <c r="N330" s="58" t="str" cm="1">
        <f>IF(ISBLANK($A330),"",INDEX(Array_EmissionCharges,MATCH($A330,List_EmissionMeters,0),ROUNDUP((COLUMN()+0)/3-1,0)))</f>
        <v/>
      </c>
      <c r="O330" s="127"/>
      <c r="P330" s="137"/>
      <c r="Q330" s="58" t="str" cm="1">
        <f>IF(ISBLANK($A330),"",INDEX(Array_EmissionCharges,MATCH($A330,List_EmissionMeters,0),ROUNDUP((COLUMN()+0)/3-1,0)))</f>
        <v/>
      </c>
      <c r="R330" s="127"/>
      <c r="S330" s="137"/>
    </row>
    <row r="331" spans="1:19" x14ac:dyDescent="0.3">
      <c r="A331" s="126"/>
      <c r="B331" s="133"/>
      <c r="C331" s="127"/>
      <c r="D331" s="137"/>
      <c r="E331" s="58" t="str" cm="1">
        <f>IF(ISBLANK($A331),"",INDEX(Array_EmissionCharges,MATCH($A331,List_EmissionMeters,0),ROUNDUP((COLUMN()+0)/3-1,0)))</f>
        <v/>
      </c>
      <c r="F331" s="127"/>
      <c r="G331" s="137"/>
      <c r="H331" s="58" t="str" cm="1">
        <f>IF(ISBLANK($A331),"",INDEX(Array_EmissionCharges,MATCH($A331,List_EmissionMeters,0),ROUNDUP((COLUMN()+0)/3-1,0)))</f>
        <v/>
      </c>
      <c r="I331" s="127"/>
      <c r="J331" s="137"/>
      <c r="K331" s="58" t="str" cm="1">
        <f>IF(ISBLANK($A331),"",INDEX(Array_EmissionCharges,MATCH($A331,List_EmissionMeters,0),ROUNDUP((COLUMN()+0)/3-1,0)))</f>
        <v/>
      </c>
      <c r="L331" s="127"/>
      <c r="M331" s="137"/>
      <c r="N331" s="58" t="str" cm="1">
        <f>IF(ISBLANK($A331),"",INDEX(Array_EmissionCharges,MATCH($A331,List_EmissionMeters,0),ROUNDUP((COLUMN()+0)/3-1,0)))</f>
        <v/>
      </c>
      <c r="O331" s="127"/>
      <c r="P331" s="137"/>
      <c r="Q331" s="58" t="str" cm="1">
        <f>IF(ISBLANK($A331),"",INDEX(Array_EmissionCharges,MATCH($A331,List_EmissionMeters,0),ROUNDUP((COLUMN()+0)/3-1,0)))</f>
        <v/>
      </c>
      <c r="R331" s="127"/>
      <c r="S331" s="137"/>
    </row>
    <row r="332" spans="1:19" x14ac:dyDescent="0.3">
      <c r="A332" s="126"/>
      <c r="B332" s="133"/>
      <c r="C332" s="127"/>
      <c r="D332" s="137"/>
      <c r="E332" s="58" t="str" cm="1">
        <f>IF(ISBLANK($A332),"",INDEX(Array_EmissionCharges,MATCH($A332,List_EmissionMeters,0),ROUNDUP((COLUMN()+0)/3-1,0)))</f>
        <v/>
      </c>
      <c r="F332" s="127"/>
      <c r="G332" s="137"/>
      <c r="H332" s="58" t="str" cm="1">
        <f>IF(ISBLANK($A332),"",INDEX(Array_EmissionCharges,MATCH($A332,List_EmissionMeters,0),ROUNDUP((COLUMN()+0)/3-1,0)))</f>
        <v/>
      </c>
      <c r="I332" s="127"/>
      <c r="J332" s="137"/>
      <c r="K332" s="58" t="str" cm="1">
        <f>IF(ISBLANK($A332),"",INDEX(Array_EmissionCharges,MATCH($A332,List_EmissionMeters,0),ROUNDUP((COLUMN()+0)/3-1,0)))</f>
        <v/>
      </c>
      <c r="L332" s="127"/>
      <c r="M332" s="137"/>
      <c r="N332" s="58" t="str" cm="1">
        <f>IF(ISBLANK($A332),"",INDEX(Array_EmissionCharges,MATCH($A332,List_EmissionMeters,0),ROUNDUP((COLUMN()+0)/3-1,0)))</f>
        <v/>
      </c>
      <c r="O332" s="127"/>
      <c r="P332" s="137"/>
      <c r="Q332" s="58" t="str" cm="1">
        <f>IF(ISBLANK($A332),"",INDEX(Array_EmissionCharges,MATCH($A332,List_EmissionMeters,0),ROUNDUP((COLUMN()+0)/3-1,0)))</f>
        <v/>
      </c>
      <c r="R332" s="127"/>
      <c r="S332" s="137"/>
    </row>
    <row r="333" spans="1:19" x14ac:dyDescent="0.3">
      <c r="A333" s="126"/>
      <c r="B333" s="133"/>
      <c r="C333" s="127"/>
      <c r="D333" s="137"/>
      <c r="E333" s="58" t="str" cm="1">
        <f>IF(ISBLANK($A333),"",INDEX(Array_EmissionCharges,MATCH($A333,List_EmissionMeters,0),ROUNDUP((COLUMN()+0)/3-1,0)))</f>
        <v/>
      </c>
      <c r="F333" s="127"/>
      <c r="G333" s="137"/>
      <c r="H333" s="58" t="str" cm="1">
        <f>IF(ISBLANK($A333),"",INDEX(Array_EmissionCharges,MATCH($A333,List_EmissionMeters,0),ROUNDUP((COLUMN()+0)/3-1,0)))</f>
        <v/>
      </c>
      <c r="I333" s="127"/>
      <c r="J333" s="137"/>
      <c r="K333" s="58" t="str" cm="1">
        <f>IF(ISBLANK($A333),"",INDEX(Array_EmissionCharges,MATCH($A333,List_EmissionMeters,0),ROUNDUP((COLUMN()+0)/3-1,0)))</f>
        <v/>
      </c>
      <c r="L333" s="127"/>
      <c r="M333" s="137"/>
      <c r="N333" s="58" t="str" cm="1">
        <f>IF(ISBLANK($A333),"",INDEX(Array_EmissionCharges,MATCH($A333,List_EmissionMeters,0),ROUNDUP((COLUMN()+0)/3-1,0)))</f>
        <v/>
      </c>
      <c r="O333" s="127"/>
      <c r="P333" s="137"/>
      <c r="Q333" s="58" t="str" cm="1">
        <f>IF(ISBLANK($A333),"",INDEX(Array_EmissionCharges,MATCH($A333,List_EmissionMeters,0),ROUNDUP((COLUMN()+0)/3-1,0)))</f>
        <v/>
      </c>
      <c r="R333" s="127"/>
      <c r="S333" s="137"/>
    </row>
    <row r="334" spans="1:19" x14ac:dyDescent="0.3">
      <c r="A334" s="126"/>
      <c r="B334" s="133"/>
      <c r="C334" s="127"/>
      <c r="D334" s="137"/>
      <c r="E334" s="58" t="str" cm="1">
        <f>IF(ISBLANK($A334),"",INDEX(Array_EmissionCharges,MATCH($A334,List_EmissionMeters,0),ROUNDUP((COLUMN()+0)/3-1,0)))</f>
        <v/>
      </c>
      <c r="F334" s="127"/>
      <c r="G334" s="137"/>
      <c r="H334" s="58" t="str" cm="1">
        <f>IF(ISBLANK($A334),"",INDEX(Array_EmissionCharges,MATCH($A334,List_EmissionMeters,0),ROUNDUP((COLUMN()+0)/3-1,0)))</f>
        <v/>
      </c>
      <c r="I334" s="127"/>
      <c r="J334" s="137"/>
      <c r="K334" s="58" t="str" cm="1">
        <f>IF(ISBLANK($A334),"",INDEX(Array_EmissionCharges,MATCH($A334,List_EmissionMeters,0),ROUNDUP((COLUMN()+0)/3-1,0)))</f>
        <v/>
      </c>
      <c r="L334" s="127"/>
      <c r="M334" s="137"/>
      <c r="N334" s="58" t="str" cm="1">
        <f>IF(ISBLANK($A334),"",INDEX(Array_EmissionCharges,MATCH($A334,List_EmissionMeters,0),ROUNDUP((COLUMN()+0)/3-1,0)))</f>
        <v/>
      </c>
      <c r="O334" s="127"/>
      <c r="P334" s="137"/>
      <c r="Q334" s="58" t="str" cm="1">
        <f>IF(ISBLANK($A334),"",INDEX(Array_EmissionCharges,MATCH($A334,List_EmissionMeters,0),ROUNDUP((COLUMN()+0)/3-1,0)))</f>
        <v/>
      </c>
      <c r="R334" s="127"/>
      <c r="S334" s="137"/>
    </row>
    <row r="335" spans="1:19" x14ac:dyDescent="0.3">
      <c r="A335" s="126"/>
      <c r="B335" s="133"/>
      <c r="C335" s="127"/>
      <c r="D335" s="137"/>
      <c r="E335" s="58" t="str" cm="1">
        <f>IF(ISBLANK($A335),"",INDEX(Array_EmissionCharges,MATCH($A335,List_EmissionMeters,0),ROUNDUP((COLUMN()+0)/3-1,0)))</f>
        <v/>
      </c>
      <c r="F335" s="127"/>
      <c r="G335" s="137"/>
      <c r="H335" s="58" t="str" cm="1">
        <f>IF(ISBLANK($A335),"",INDEX(Array_EmissionCharges,MATCH($A335,List_EmissionMeters,0),ROUNDUP((COLUMN()+0)/3-1,0)))</f>
        <v/>
      </c>
      <c r="I335" s="127"/>
      <c r="J335" s="137"/>
      <c r="K335" s="58" t="str" cm="1">
        <f>IF(ISBLANK($A335),"",INDEX(Array_EmissionCharges,MATCH($A335,List_EmissionMeters,0),ROUNDUP((COLUMN()+0)/3-1,0)))</f>
        <v/>
      </c>
      <c r="L335" s="127"/>
      <c r="M335" s="137"/>
      <c r="N335" s="58" t="str" cm="1">
        <f>IF(ISBLANK($A335),"",INDEX(Array_EmissionCharges,MATCH($A335,List_EmissionMeters,0),ROUNDUP((COLUMN()+0)/3-1,0)))</f>
        <v/>
      </c>
      <c r="O335" s="127"/>
      <c r="P335" s="137"/>
      <c r="Q335" s="58" t="str" cm="1">
        <f>IF(ISBLANK($A335),"",INDEX(Array_EmissionCharges,MATCH($A335,List_EmissionMeters,0),ROUNDUP((COLUMN()+0)/3-1,0)))</f>
        <v/>
      </c>
      <c r="R335" s="127"/>
      <c r="S335" s="137"/>
    </row>
    <row r="336" spans="1:19" x14ac:dyDescent="0.3">
      <c r="A336" s="126"/>
      <c r="B336" s="133"/>
      <c r="C336" s="127"/>
      <c r="D336" s="137"/>
      <c r="E336" s="58" t="str" cm="1">
        <f>IF(ISBLANK($A336),"",INDEX(Array_EmissionCharges,MATCH($A336,List_EmissionMeters,0),ROUNDUP((COLUMN()+0)/3-1,0)))</f>
        <v/>
      </c>
      <c r="F336" s="127"/>
      <c r="G336" s="137"/>
      <c r="H336" s="58" t="str" cm="1">
        <f>IF(ISBLANK($A336),"",INDEX(Array_EmissionCharges,MATCH($A336,List_EmissionMeters,0),ROUNDUP((COLUMN()+0)/3-1,0)))</f>
        <v/>
      </c>
      <c r="I336" s="127"/>
      <c r="J336" s="137"/>
      <c r="K336" s="58" t="str" cm="1">
        <f>IF(ISBLANK($A336),"",INDEX(Array_EmissionCharges,MATCH($A336,List_EmissionMeters,0),ROUNDUP((COLUMN()+0)/3-1,0)))</f>
        <v/>
      </c>
      <c r="L336" s="127"/>
      <c r="M336" s="137"/>
      <c r="N336" s="58" t="str" cm="1">
        <f>IF(ISBLANK($A336),"",INDEX(Array_EmissionCharges,MATCH($A336,List_EmissionMeters,0),ROUNDUP((COLUMN()+0)/3-1,0)))</f>
        <v/>
      </c>
      <c r="O336" s="127"/>
      <c r="P336" s="137"/>
      <c r="Q336" s="58" t="str" cm="1">
        <f>IF(ISBLANK($A336),"",INDEX(Array_EmissionCharges,MATCH($A336,List_EmissionMeters,0),ROUNDUP((COLUMN()+0)/3-1,0)))</f>
        <v/>
      </c>
      <c r="R336" s="127"/>
      <c r="S336" s="137"/>
    </row>
    <row r="337" spans="1:19" x14ac:dyDescent="0.3">
      <c r="A337" s="126"/>
      <c r="B337" s="133"/>
      <c r="C337" s="127"/>
      <c r="D337" s="137"/>
      <c r="E337" s="58" t="str" cm="1">
        <f>IF(ISBLANK($A337),"",INDEX(Array_EmissionCharges,MATCH($A337,List_EmissionMeters,0),ROUNDUP((COLUMN()+0)/3-1,0)))</f>
        <v/>
      </c>
      <c r="F337" s="127"/>
      <c r="G337" s="137"/>
      <c r="H337" s="58" t="str" cm="1">
        <f>IF(ISBLANK($A337),"",INDEX(Array_EmissionCharges,MATCH($A337,List_EmissionMeters,0),ROUNDUP((COLUMN()+0)/3-1,0)))</f>
        <v/>
      </c>
      <c r="I337" s="127"/>
      <c r="J337" s="137"/>
      <c r="K337" s="58" t="str" cm="1">
        <f>IF(ISBLANK($A337),"",INDEX(Array_EmissionCharges,MATCH($A337,List_EmissionMeters,0),ROUNDUP((COLUMN()+0)/3-1,0)))</f>
        <v/>
      </c>
      <c r="L337" s="127"/>
      <c r="M337" s="137"/>
      <c r="N337" s="58" t="str" cm="1">
        <f>IF(ISBLANK($A337),"",INDEX(Array_EmissionCharges,MATCH($A337,List_EmissionMeters,0),ROUNDUP((COLUMN()+0)/3-1,0)))</f>
        <v/>
      </c>
      <c r="O337" s="127"/>
      <c r="P337" s="137"/>
      <c r="Q337" s="58" t="str" cm="1">
        <f>IF(ISBLANK($A337),"",INDEX(Array_EmissionCharges,MATCH($A337,List_EmissionMeters,0),ROUNDUP((COLUMN()+0)/3-1,0)))</f>
        <v/>
      </c>
      <c r="R337" s="127"/>
      <c r="S337" s="137"/>
    </row>
    <row r="338" spans="1:19" x14ac:dyDescent="0.3">
      <c r="A338" s="126"/>
      <c r="B338" s="133"/>
      <c r="C338" s="127"/>
      <c r="D338" s="137"/>
      <c r="E338" s="58" t="str" cm="1">
        <f>IF(ISBLANK($A338),"",INDEX(Array_EmissionCharges,MATCH($A338,List_EmissionMeters,0),ROUNDUP((COLUMN()+0)/3-1,0)))</f>
        <v/>
      </c>
      <c r="F338" s="127"/>
      <c r="G338" s="137"/>
      <c r="H338" s="58" t="str" cm="1">
        <f>IF(ISBLANK($A338),"",INDEX(Array_EmissionCharges,MATCH($A338,List_EmissionMeters,0),ROUNDUP((COLUMN()+0)/3-1,0)))</f>
        <v/>
      </c>
      <c r="I338" s="127"/>
      <c r="J338" s="137"/>
      <c r="K338" s="58" t="str" cm="1">
        <f>IF(ISBLANK($A338),"",INDEX(Array_EmissionCharges,MATCH($A338,List_EmissionMeters,0),ROUNDUP((COLUMN()+0)/3-1,0)))</f>
        <v/>
      </c>
      <c r="L338" s="127"/>
      <c r="M338" s="137"/>
      <c r="N338" s="58" t="str" cm="1">
        <f>IF(ISBLANK($A338),"",INDEX(Array_EmissionCharges,MATCH($A338,List_EmissionMeters,0),ROUNDUP((COLUMN()+0)/3-1,0)))</f>
        <v/>
      </c>
      <c r="O338" s="127"/>
      <c r="P338" s="137"/>
      <c r="Q338" s="58" t="str" cm="1">
        <f>IF(ISBLANK($A338),"",INDEX(Array_EmissionCharges,MATCH($A338,List_EmissionMeters,0),ROUNDUP((COLUMN()+0)/3-1,0)))</f>
        <v/>
      </c>
      <c r="R338" s="127"/>
      <c r="S338" s="137"/>
    </row>
    <row r="339" spans="1:19" x14ac:dyDescent="0.3">
      <c r="A339" s="126"/>
      <c r="B339" s="133"/>
      <c r="C339" s="127"/>
      <c r="D339" s="137"/>
      <c r="E339" s="58" t="str" cm="1">
        <f>IF(ISBLANK($A339),"",INDEX(Array_EmissionCharges,MATCH($A339,List_EmissionMeters,0),ROUNDUP((COLUMN()+0)/3-1,0)))</f>
        <v/>
      </c>
      <c r="F339" s="127"/>
      <c r="G339" s="137"/>
      <c r="H339" s="58" t="str" cm="1">
        <f>IF(ISBLANK($A339),"",INDEX(Array_EmissionCharges,MATCH($A339,List_EmissionMeters,0),ROUNDUP((COLUMN()+0)/3-1,0)))</f>
        <v/>
      </c>
      <c r="I339" s="127"/>
      <c r="J339" s="137"/>
      <c r="K339" s="58" t="str" cm="1">
        <f>IF(ISBLANK($A339),"",INDEX(Array_EmissionCharges,MATCH($A339,List_EmissionMeters,0),ROUNDUP((COLUMN()+0)/3-1,0)))</f>
        <v/>
      </c>
      <c r="L339" s="127"/>
      <c r="M339" s="137"/>
      <c r="N339" s="58" t="str" cm="1">
        <f>IF(ISBLANK($A339),"",INDEX(Array_EmissionCharges,MATCH($A339,List_EmissionMeters,0),ROUNDUP((COLUMN()+0)/3-1,0)))</f>
        <v/>
      </c>
      <c r="O339" s="127"/>
      <c r="P339" s="137"/>
      <c r="Q339" s="58" t="str" cm="1">
        <f>IF(ISBLANK($A339),"",INDEX(Array_EmissionCharges,MATCH($A339,List_EmissionMeters,0),ROUNDUP((COLUMN()+0)/3-1,0)))</f>
        <v/>
      </c>
      <c r="R339" s="127"/>
      <c r="S339" s="137"/>
    </row>
    <row r="340" spans="1:19" x14ac:dyDescent="0.3">
      <c r="A340" s="126"/>
      <c r="B340" s="133"/>
      <c r="C340" s="127"/>
      <c r="D340" s="137"/>
      <c r="E340" s="58" t="str" cm="1">
        <f>IF(ISBLANK($A340),"",INDEX(Array_EmissionCharges,MATCH($A340,List_EmissionMeters,0),ROUNDUP((COLUMN()+0)/3-1,0)))</f>
        <v/>
      </c>
      <c r="F340" s="127"/>
      <c r="G340" s="137"/>
      <c r="H340" s="58" t="str" cm="1">
        <f>IF(ISBLANK($A340),"",INDEX(Array_EmissionCharges,MATCH($A340,List_EmissionMeters,0),ROUNDUP((COLUMN()+0)/3-1,0)))</f>
        <v/>
      </c>
      <c r="I340" s="127"/>
      <c r="J340" s="137"/>
      <c r="K340" s="58" t="str" cm="1">
        <f>IF(ISBLANK($A340),"",INDEX(Array_EmissionCharges,MATCH($A340,List_EmissionMeters,0),ROUNDUP((COLUMN()+0)/3-1,0)))</f>
        <v/>
      </c>
      <c r="L340" s="127"/>
      <c r="M340" s="137"/>
      <c r="N340" s="58" t="str" cm="1">
        <f>IF(ISBLANK($A340),"",INDEX(Array_EmissionCharges,MATCH($A340,List_EmissionMeters,0),ROUNDUP((COLUMN()+0)/3-1,0)))</f>
        <v/>
      </c>
      <c r="O340" s="127"/>
      <c r="P340" s="137"/>
      <c r="Q340" s="58" t="str" cm="1">
        <f>IF(ISBLANK($A340),"",INDEX(Array_EmissionCharges,MATCH($A340,List_EmissionMeters,0),ROUNDUP((COLUMN()+0)/3-1,0)))</f>
        <v/>
      </c>
      <c r="R340" s="127"/>
      <c r="S340" s="137"/>
    </row>
    <row r="341" spans="1:19" x14ac:dyDescent="0.3">
      <c r="A341" s="126"/>
      <c r="B341" s="133"/>
      <c r="C341" s="127"/>
      <c r="D341" s="137"/>
      <c r="E341" s="58" t="str" cm="1">
        <f>IF(ISBLANK($A341),"",INDEX(Array_EmissionCharges,MATCH($A341,List_EmissionMeters,0),ROUNDUP((COLUMN()+0)/3-1,0)))</f>
        <v/>
      </c>
      <c r="F341" s="127"/>
      <c r="G341" s="137"/>
      <c r="H341" s="58" t="str" cm="1">
        <f>IF(ISBLANK($A341),"",INDEX(Array_EmissionCharges,MATCH($A341,List_EmissionMeters,0),ROUNDUP((COLUMN()+0)/3-1,0)))</f>
        <v/>
      </c>
      <c r="I341" s="127"/>
      <c r="J341" s="137"/>
      <c r="K341" s="58" t="str" cm="1">
        <f>IF(ISBLANK($A341),"",INDEX(Array_EmissionCharges,MATCH($A341,List_EmissionMeters,0),ROUNDUP((COLUMN()+0)/3-1,0)))</f>
        <v/>
      </c>
      <c r="L341" s="127"/>
      <c r="M341" s="137"/>
      <c r="N341" s="58" t="str" cm="1">
        <f>IF(ISBLANK($A341),"",INDEX(Array_EmissionCharges,MATCH($A341,List_EmissionMeters,0),ROUNDUP((COLUMN()+0)/3-1,0)))</f>
        <v/>
      </c>
      <c r="O341" s="127"/>
      <c r="P341" s="137"/>
      <c r="Q341" s="58" t="str" cm="1">
        <f>IF(ISBLANK($A341),"",INDEX(Array_EmissionCharges,MATCH($A341,List_EmissionMeters,0),ROUNDUP((COLUMN()+0)/3-1,0)))</f>
        <v/>
      </c>
      <c r="R341" s="127"/>
      <c r="S341" s="137"/>
    </row>
    <row r="342" spans="1:19" x14ac:dyDescent="0.3">
      <c r="A342" s="126"/>
      <c r="B342" s="133"/>
      <c r="C342" s="127"/>
      <c r="D342" s="137"/>
      <c r="E342" s="58" t="str" cm="1">
        <f>IF(ISBLANK($A342),"",INDEX(Array_EmissionCharges,MATCH($A342,List_EmissionMeters,0),ROUNDUP((COLUMN()+0)/3-1,0)))</f>
        <v/>
      </c>
      <c r="F342" s="127"/>
      <c r="G342" s="137"/>
      <c r="H342" s="58" t="str" cm="1">
        <f>IF(ISBLANK($A342),"",INDEX(Array_EmissionCharges,MATCH($A342,List_EmissionMeters,0),ROUNDUP((COLUMN()+0)/3-1,0)))</f>
        <v/>
      </c>
      <c r="I342" s="127"/>
      <c r="J342" s="137"/>
      <c r="K342" s="58" t="str" cm="1">
        <f>IF(ISBLANK($A342),"",INDEX(Array_EmissionCharges,MATCH($A342,List_EmissionMeters,0),ROUNDUP((COLUMN()+0)/3-1,0)))</f>
        <v/>
      </c>
      <c r="L342" s="127"/>
      <c r="M342" s="137"/>
      <c r="N342" s="58" t="str" cm="1">
        <f>IF(ISBLANK($A342),"",INDEX(Array_EmissionCharges,MATCH($A342,List_EmissionMeters,0),ROUNDUP((COLUMN()+0)/3-1,0)))</f>
        <v/>
      </c>
      <c r="O342" s="127"/>
      <c r="P342" s="137"/>
      <c r="Q342" s="58" t="str" cm="1">
        <f>IF(ISBLANK($A342),"",INDEX(Array_EmissionCharges,MATCH($A342,List_EmissionMeters,0),ROUNDUP((COLUMN()+0)/3-1,0)))</f>
        <v/>
      </c>
      <c r="R342" s="127"/>
      <c r="S342" s="137"/>
    </row>
    <row r="343" spans="1:19" x14ac:dyDescent="0.3">
      <c r="A343" s="126"/>
      <c r="B343" s="133"/>
      <c r="C343" s="127"/>
      <c r="D343" s="137"/>
      <c r="E343" s="58" t="str" cm="1">
        <f>IF(ISBLANK($A343),"",INDEX(Array_EmissionCharges,MATCH($A343,List_EmissionMeters,0),ROUNDUP((COLUMN()+0)/3-1,0)))</f>
        <v/>
      </c>
      <c r="F343" s="127"/>
      <c r="G343" s="137"/>
      <c r="H343" s="58" t="str" cm="1">
        <f>IF(ISBLANK($A343),"",INDEX(Array_EmissionCharges,MATCH($A343,List_EmissionMeters,0),ROUNDUP((COLUMN()+0)/3-1,0)))</f>
        <v/>
      </c>
      <c r="I343" s="127"/>
      <c r="J343" s="137"/>
      <c r="K343" s="58" t="str" cm="1">
        <f>IF(ISBLANK($A343),"",INDEX(Array_EmissionCharges,MATCH($A343,List_EmissionMeters,0),ROUNDUP((COLUMN()+0)/3-1,0)))</f>
        <v/>
      </c>
      <c r="L343" s="127"/>
      <c r="M343" s="137"/>
      <c r="N343" s="58" t="str" cm="1">
        <f>IF(ISBLANK($A343),"",INDEX(Array_EmissionCharges,MATCH($A343,List_EmissionMeters,0),ROUNDUP((COLUMN()+0)/3-1,0)))</f>
        <v/>
      </c>
      <c r="O343" s="127"/>
      <c r="P343" s="137"/>
      <c r="Q343" s="58" t="str" cm="1">
        <f>IF(ISBLANK($A343),"",INDEX(Array_EmissionCharges,MATCH($A343,List_EmissionMeters,0),ROUNDUP((COLUMN()+0)/3-1,0)))</f>
        <v/>
      </c>
      <c r="R343" s="127"/>
      <c r="S343" s="137"/>
    </row>
    <row r="344" spans="1:19" x14ac:dyDescent="0.3">
      <c r="A344" s="126"/>
      <c r="B344" s="133"/>
      <c r="C344" s="127"/>
      <c r="D344" s="137"/>
      <c r="E344" s="58" t="str" cm="1">
        <f>IF(ISBLANK($A344),"",INDEX(Array_EmissionCharges,MATCH($A344,List_EmissionMeters,0),ROUNDUP((COLUMN()+0)/3-1,0)))</f>
        <v/>
      </c>
      <c r="F344" s="127"/>
      <c r="G344" s="137"/>
      <c r="H344" s="58" t="str" cm="1">
        <f>IF(ISBLANK($A344),"",INDEX(Array_EmissionCharges,MATCH($A344,List_EmissionMeters,0),ROUNDUP((COLUMN()+0)/3-1,0)))</f>
        <v/>
      </c>
      <c r="I344" s="127"/>
      <c r="J344" s="137"/>
      <c r="K344" s="58" t="str" cm="1">
        <f>IF(ISBLANK($A344),"",INDEX(Array_EmissionCharges,MATCH($A344,List_EmissionMeters,0),ROUNDUP((COLUMN()+0)/3-1,0)))</f>
        <v/>
      </c>
      <c r="L344" s="127"/>
      <c r="M344" s="137"/>
      <c r="N344" s="58" t="str" cm="1">
        <f>IF(ISBLANK($A344),"",INDEX(Array_EmissionCharges,MATCH($A344,List_EmissionMeters,0),ROUNDUP((COLUMN()+0)/3-1,0)))</f>
        <v/>
      </c>
      <c r="O344" s="127"/>
      <c r="P344" s="137"/>
      <c r="Q344" s="58" t="str" cm="1">
        <f>IF(ISBLANK($A344),"",INDEX(Array_EmissionCharges,MATCH($A344,List_EmissionMeters,0),ROUNDUP((COLUMN()+0)/3-1,0)))</f>
        <v/>
      </c>
      <c r="R344" s="127"/>
      <c r="S344" s="137"/>
    </row>
    <row r="345" spans="1:19" x14ac:dyDescent="0.3">
      <c r="A345" s="126"/>
      <c r="B345" s="133"/>
      <c r="C345" s="127"/>
      <c r="D345" s="137"/>
      <c r="E345" s="58" t="str" cm="1">
        <f>IF(ISBLANK($A345),"",INDEX(Array_EmissionCharges,MATCH($A345,List_EmissionMeters,0),ROUNDUP((COLUMN()+0)/3-1,0)))</f>
        <v/>
      </c>
      <c r="F345" s="127"/>
      <c r="G345" s="137"/>
      <c r="H345" s="58" t="str" cm="1">
        <f>IF(ISBLANK($A345),"",INDEX(Array_EmissionCharges,MATCH($A345,List_EmissionMeters,0),ROUNDUP((COLUMN()+0)/3-1,0)))</f>
        <v/>
      </c>
      <c r="I345" s="127"/>
      <c r="J345" s="137"/>
      <c r="K345" s="58" t="str" cm="1">
        <f>IF(ISBLANK($A345),"",INDEX(Array_EmissionCharges,MATCH($A345,List_EmissionMeters,0),ROUNDUP((COLUMN()+0)/3-1,0)))</f>
        <v/>
      </c>
      <c r="L345" s="127"/>
      <c r="M345" s="137"/>
      <c r="N345" s="58" t="str" cm="1">
        <f>IF(ISBLANK($A345),"",INDEX(Array_EmissionCharges,MATCH($A345,List_EmissionMeters,0),ROUNDUP((COLUMN()+0)/3-1,0)))</f>
        <v/>
      </c>
      <c r="O345" s="127"/>
      <c r="P345" s="137"/>
      <c r="Q345" s="58" t="str" cm="1">
        <f>IF(ISBLANK($A345),"",INDEX(Array_EmissionCharges,MATCH($A345,List_EmissionMeters,0),ROUNDUP((COLUMN()+0)/3-1,0)))</f>
        <v/>
      </c>
      <c r="R345" s="127"/>
      <c r="S345" s="137"/>
    </row>
    <row r="346" spans="1:19" x14ac:dyDescent="0.3">
      <c r="A346" s="126"/>
      <c r="B346" s="133"/>
      <c r="C346" s="127"/>
      <c r="D346" s="137"/>
      <c r="E346" s="58" t="str" cm="1">
        <f>IF(ISBLANK($A346),"",INDEX(Array_EmissionCharges,MATCH($A346,List_EmissionMeters,0),ROUNDUP((COLUMN()+0)/3-1,0)))</f>
        <v/>
      </c>
      <c r="F346" s="127"/>
      <c r="G346" s="137"/>
      <c r="H346" s="58" t="str" cm="1">
        <f>IF(ISBLANK($A346),"",INDEX(Array_EmissionCharges,MATCH($A346,List_EmissionMeters,0),ROUNDUP((COLUMN()+0)/3-1,0)))</f>
        <v/>
      </c>
      <c r="I346" s="127"/>
      <c r="J346" s="137"/>
      <c r="K346" s="58" t="str" cm="1">
        <f>IF(ISBLANK($A346),"",INDEX(Array_EmissionCharges,MATCH($A346,List_EmissionMeters,0),ROUNDUP((COLUMN()+0)/3-1,0)))</f>
        <v/>
      </c>
      <c r="L346" s="127"/>
      <c r="M346" s="137"/>
      <c r="N346" s="58" t="str" cm="1">
        <f>IF(ISBLANK($A346),"",INDEX(Array_EmissionCharges,MATCH($A346,List_EmissionMeters,0),ROUNDUP((COLUMN()+0)/3-1,0)))</f>
        <v/>
      </c>
      <c r="O346" s="127"/>
      <c r="P346" s="137"/>
      <c r="Q346" s="58" t="str" cm="1">
        <f>IF(ISBLANK($A346),"",INDEX(Array_EmissionCharges,MATCH($A346,List_EmissionMeters,0),ROUNDUP((COLUMN()+0)/3-1,0)))</f>
        <v/>
      </c>
      <c r="R346" s="127"/>
      <c r="S346" s="137"/>
    </row>
    <row r="347" spans="1:19" x14ac:dyDescent="0.3">
      <c r="A347" s="126"/>
      <c r="B347" s="133"/>
      <c r="C347" s="127"/>
      <c r="D347" s="137"/>
      <c r="E347" s="58" t="str" cm="1">
        <f>IF(ISBLANK($A347),"",INDEX(Array_EmissionCharges,MATCH($A347,List_EmissionMeters,0),ROUNDUP((COLUMN()+0)/3-1,0)))</f>
        <v/>
      </c>
      <c r="F347" s="127"/>
      <c r="G347" s="137"/>
      <c r="H347" s="58" t="str" cm="1">
        <f>IF(ISBLANK($A347),"",INDEX(Array_EmissionCharges,MATCH($A347,List_EmissionMeters,0),ROUNDUP((COLUMN()+0)/3-1,0)))</f>
        <v/>
      </c>
      <c r="I347" s="127"/>
      <c r="J347" s="137"/>
      <c r="K347" s="58" t="str" cm="1">
        <f>IF(ISBLANK($A347),"",INDEX(Array_EmissionCharges,MATCH($A347,List_EmissionMeters,0),ROUNDUP((COLUMN()+0)/3-1,0)))</f>
        <v/>
      </c>
      <c r="L347" s="127"/>
      <c r="M347" s="137"/>
      <c r="N347" s="58" t="str" cm="1">
        <f>IF(ISBLANK($A347),"",INDEX(Array_EmissionCharges,MATCH($A347,List_EmissionMeters,0),ROUNDUP((COLUMN()+0)/3-1,0)))</f>
        <v/>
      </c>
      <c r="O347" s="127"/>
      <c r="P347" s="137"/>
      <c r="Q347" s="58" t="str" cm="1">
        <f>IF(ISBLANK($A347),"",INDEX(Array_EmissionCharges,MATCH($A347,List_EmissionMeters,0),ROUNDUP((COLUMN()+0)/3-1,0)))</f>
        <v/>
      </c>
      <c r="R347" s="127"/>
      <c r="S347" s="137"/>
    </row>
    <row r="348" spans="1:19" x14ac:dyDescent="0.3">
      <c r="A348" s="126"/>
      <c r="B348" s="133"/>
      <c r="C348" s="127"/>
      <c r="D348" s="137"/>
      <c r="E348" s="58" t="str" cm="1">
        <f>IF(ISBLANK($A348),"",INDEX(Array_EmissionCharges,MATCH($A348,List_EmissionMeters,0),ROUNDUP((COLUMN()+0)/3-1,0)))</f>
        <v/>
      </c>
      <c r="F348" s="127"/>
      <c r="G348" s="137"/>
      <c r="H348" s="58" t="str" cm="1">
        <f>IF(ISBLANK($A348),"",INDEX(Array_EmissionCharges,MATCH($A348,List_EmissionMeters,0),ROUNDUP((COLUMN()+0)/3-1,0)))</f>
        <v/>
      </c>
      <c r="I348" s="127"/>
      <c r="J348" s="137"/>
      <c r="K348" s="58" t="str" cm="1">
        <f>IF(ISBLANK($A348),"",INDEX(Array_EmissionCharges,MATCH($A348,List_EmissionMeters,0),ROUNDUP((COLUMN()+0)/3-1,0)))</f>
        <v/>
      </c>
      <c r="L348" s="127"/>
      <c r="M348" s="137"/>
      <c r="N348" s="58" t="str" cm="1">
        <f>IF(ISBLANK($A348),"",INDEX(Array_EmissionCharges,MATCH($A348,List_EmissionMeters,0),ROUNDUP((COLUMN()+0)/3-1,0)))</f>
        <v/>
      </c>
      <c r="O348" s="127"/>
      <c r="P348" s="137"/>
      <c r="Q348" s="58" t="str" cm="1">
        <f>IF(ISBLANK($A348),"",INDEX(Array_EmissionCharges,MATCH($A348,List_EmissionMeters,0),ROUNDUP((COLUMN()+0)/3-1,0)))</f>
        <v/>
      </c>
      <c r="R348" s="127"/>
      <c r="S348" s="137"/>
    </row>
    <row r="349" spans="1:19" x14ac:dyDescent="0.3">
      <c r="A349" s="126"/>
      <c r="B349" s="133"/>
      <c r="C349" s="127"/>
      <c r="D349" s="137"/>
      <c r="E349" s="58" t="str" cm="1">
        <f>IF(ISBLANK($A349),"",INDEX(Array_EmissionCharges,MATCH($A349,List_EmissionMeters,0),ROUNDUP((COLUMN()+0)/3-1,0)))</f>
        <v/>
      </c>
      <c r="F349" s="127"/>
      <c r="G349" s="137"/>
      <c r="H349" s="58" t="str" cm="1">
        <f>IF(ISBLANK($A349),"",INDEX(Array_EmissionCharges,MATCH($A349,List_EmissionMeters,0),ROUNDUP((COLUMN()+0)/3-1,0)))</f>
        <v/>
      </c>
      <c r="I349" s="127"/>
      <c r="J349" s="137"/>
      <c r="K349" s="58" t="str" cm="1">
        <f>IF(ISBLANK($A349),"",INDEX(Array_EmissionCharges,MATCH($A349,List_EmissionMeters,0),ROUNDUP((COLUMN()+0)/3-1,0)))</f>
        <v/>
      </c>
      <c r="L349" s="127"/>
      <c r="M349" s="137"/>
      <c r="N349" s="58" t="str" cm="1">
        <f>IF(ISBLANK($A349),"",INDEX(Array_EmissionCharges,MATCH($A349,List_EmissionMeters,0),ROUNDUP((COLUMN()+0)/3-1,0)))</f>
        <v/>
      </c>
      <c r="O349" s="127"/>
      <c r="P349" s="137"/>
      <c r="Q349" s="58" t="str" cm="1">
        <f>IF(ISBLANK($A349),"",INDEX(Array_EmissionCharges,MATCH($A349,List_EmissionMeters,0),ROUNDUP((COLUMN()+0)/3-1,0)))</f>
        <v/>
      </c>
      <c r="R349" s="127"/>
      <c r="S349" s="137"/>
    </row>
    <row r="350" spans="1:19" x14ac:dyDescent="0.3">
      <c r="A350" s="126"/>
      <c r="B350" s="133"/>
      <c r="C350" s="127"/>
      <c r="D350" s="137"/>
      <c r="E350" s="58" t="str" cm="1">
        <f>IF(ISBLANK($A350),"",INDEX(Array_EmissionCharges,MATCH($A350,List_EmissionMeters,0),ROUNDUP((COLUMN()+0)/3-1,0)))</f>
        <v/>
      </c>
      <c r="F350" s="127"/>
      <c r="G350" s="137"/>
      <c r="H350" s="58" t="str" cm="1">
        <f>IF(ISBLANK($A350),"",INDEX(Array_EmissionCharges,MATCH($A350,List_EmissionMeters,0),ROUNDUP((COLUMN()+0)/3-1,0)))</f>
        <v/>
      </c>
      <c r="I350" s="127"/>
      <c r="J350" s="137"/>
      <c r="K350" s="58" t="str" cm="1">
        <f>IF(ISBLANK($A350),"",INDEX(Array_EmissionCharges,MATCH($A350,List_EmissionMeters,0),ROUNDUP((COLUMN()+0)/3-1,0)))</f>
        <v/>
      </c>
      <c r="L350" s="127"/>
      <c r="M350" s="137"/>
      <c r="N350" s="58" t="str" cm="1">
        <f>IF(ISBLANK($A350),"",INDEX(Array_EmissionCharges,MATCH($A350,List_EmissionMeters,0),ROUNDUP((COLUMN()+0)/3-1,0)))</f>
        <v/>
      </c>
      <c r="O350" s="127"/>
      <c r="P350" s="137"/>
      <c r="Q350" s="58" t="str" cm="1">
        <f>IF(ISBLANK($A350),"",INDEX(Array_EmissionCharges,MATCH($A350,List_EmissionMeters,0),ROUNDUP((COLUMN()+0)/3-1,0)))</f>
        <v/>
      </c>
      <c r="R350" s="127"/>
      <c r="S350" s="137"/>
    </row>
    <row r="351" spans="1:19" x14ac:dyDescent="0.3">
      <c r="A351" s="126"/>
      <c r="B351" s="133"/>
      <c r="C351" s="127"/>
      <c r="D351" s="137"/>
      <c r="E351" s="58" t="str" cm="1">
        <f>IF(ISBLANK($A351),"",INDEX(Array_EmissionCharges,MATCH($A351,List_EmissionMeters,0),ROUNDUP((COLUMN()+0)/3-1,0)))</f>
        <v/>
      </c>
      <c r="F351" s="127"/>
      <c r="G351" s="137"/>
      <c r="H351" s="58" t="str" cm="1">
        <f>IF(ISBLANK($A351),"",INDEX(Array_EmissionCharges,MATCH($A351,List_EmissionMeters,0),ROUNDUP((COLUMN()+0)/3-1,0)))</f>
        <v/>
      </c>
      <c r="I351" s="127"/>
      <c r="J351" s="137"/>
      <c r="K351" s="58" t="str" cm="1">
        <f>IF(ISBLANK($A351),"",INDEX(Array_EmissionCharges,MATCH($A351,List_EmissionMeters,0),ROUNDUP((COLUMN()+0)/3-1,0)))</f>
        <v/>
      </c>
      <c r="L351" s="127"/>
      <c r="M351" s="137"/>
      <c r="N351" s="58" t="str" cm="1">
        <f>IF(ISBLANK($A351),"",INDEX(Array_EmissionCharges,MATCH($A351,List_EmissionMeters,0),ROUNDUP((COLUMN()+0)/3-1,0)))</f>
        <v/>
      </c>
      <c r="O351" s="127"/>
      <c r="P351" s="137"/>
      <c r="Q351" s="58" t="str" cm="1">
        <f>IF(ISBLANK($A351),"",INDEX(Array_EmissionCharges,MATCH($A351,List_EmissionMeters,0),ROUNDUP((COLUMN()+0)/3-1,0)))</f>
        <v/>
      </c>
      <c r="R351" s="127"/>
      <c r="S351" s="137"/>
    </row>
    <row r="352" spans="1:19" x14ac:dyDescent="0.3">
      <c r="A352" s="126"/>
      <c r="B352" s="133"/>
      <c r="C352" s="127"/>
      <c r="D352" s="137"/>
      <c r="E352" s="58" t="str" cm="1">
        <f>IF(ISBLANK($A352),"",INDEX(Array_EmissionCharges,MATCH($A352,List_EmissionMeters,0),ROUNDUP((COLUMN()+0)/3-1,0)))</f>
        <v/>
      </c>
      <c r="F352" s="127"/>
      <c r="G352" s="137"/>
      <c r="H352" s="58" t="str" cm="1">
        <f>IF(ISBLANK($A352),"",INDEX(Array_EmissionCharges,MATCH($A352,List_EmissionMeters,0),ROUNDUP((COLUMN()+0)/3-1,0)))</f>
        <v/>
      </c>
      <c r="I352" s="127"/>
      <c r="J352" s="137"/>
      <c r="K352" s="58" t="str" cm="1">
        <f>IF(ISBLANK($A352),"",INDEX(Array_EmissionCharges,MATCH($A352,List_EmissionMeters,0),ROUNDUP((COLUMN()+0)/3-1,0)))</f>
        <v/>
      </c>
      <c r="L352" s="127"/>
      <c r="M352" s="137"/>
      <c r="N352" s="58" t="str" cm="1">
        <f>IF(ISBLANK($A352),"",INDEX(Array_EmissionCharges,MATCH($A352,List_EmissionMeters,0),ROUNDUP((COLUMN()+0)/3-1,0)))</f>
        <v/>
      </c>
      <c r="O352" s="127"/>
      <c r="P352" s="137"/>
      <c r="Q352" s="58" t="str" cm="1">
        <f>IF(ISBLANK($A352),"",INDEX(Array_EmissionCharges,MATCH($A352,List_EmissionMeters,0),ROUNDUP((COLUMN()+0)/3-1,0)))</f>
        <v/>
      </c>
      <c r="R352" s="127"/>
      <c r="S352" s="137"/>
    </row>
    <row r="353" spans="1:19" x14ac:dyDescent="0.3">
      <c r="A353" s="126"/>
      <c r="B353" s="133"/>
      <c r="C353" s="127"/>
      <c r="D353" s="137"/>
      <c r="E353" s="58" t="str" cm="1">
        <f>IF(ISBLANK($A353),"",INDEX(Array_EmissionCharges,MATCH($A353,List_EmissionMeters,0),ROUNDUP((COLUMN()+0)/3-1,0)))</f>
        <v/>
      </c>
      <c r="F353" s="127"/>
      <c r="G353" s="137"/>
      <c r="H353" s="58" t="str" cm="1">
        <f>IF(ISBLANK($A353),"",INDEX(Array_EmissionCharges,MATCH($A353,List_EmissionMeters,0),ROUNDUP((COLUMN()+0)/3-1,0)))</f>
        <v/>
      </c>
      <c r="I353" s="127"/>
      <c r="J353" s="137"/>
      <c r="K353" s="58" t="str" cm="1">
        <f>IF(ISBLANK($A353),"",INDEX(Array_EmissionCharges,MATCH($A353,List_EmissionMeters,0),ROUNDUP((COLUMN()+0)/3-1,0)))</f>
        <v/>
      </c>
      <c r="L353" s="127"/>
      <c r="M353" s="137"/>
      <c r="N353" s="58" t="str" cm="1">
        <f>IF(ISBLANK($A353),"",INDEX(Array_EmissionCharges,MATCH($A353,List_EmissionMeters,0),ROUNDUP((COLUMN()+0)/3-1,0)))</f>
        <v/>
      </c>
      <c r="O353" s="127"/>
      <c r="P353" s="137"/>
      <c r="Q353" s="58" t="str" cm="1">
        <f>IF(ISBLANK($A353),"",INDEX(Array_EmissionCharges,MATCH($A353,List_EmissionMeters,0),ROUNDUP((COLUMN()+0)/3-1,0)))</f>
        <v/>
      </c>
      <c r="R353" s="127"/>
      <c r="S353" s="137"/>
    </row>
    <row r="354" spans="1:19" x14ac:dyDescent="0.3">
      <c r="A354" s="126"/>
      <c r="B354" s="133"/>
      <c r="C354" s="127"/>
      <c r="D354" s="137"/>
      <c r="E354" s="58" t="str" cm="1">
        <f>IF(ISBLANK($A354),"",INDEX(Array_EmissionCharges,MATCH($A354,List_EmissionMeters,0),ROUNDUP((COLUMN()+0)/3-1,0)))</f>
        <v/>
      </c>
      <c r="F354" s="127"/>
      <c r="G354" s="137"/>
      <c r="H354" s="58" t="str" cm="1">
        <f>IF(ISBLANK($A354),"",INDEX(Array_EmissionCharges,MATCH($A354,List_EmissionMeters,0),ROUNDUP((COLUMN()+0)/3-1,0)))</f>
        <v/>
      </c>
      <c r="I354" s="127"/>
      <c r="J354" s="137"/>
      <c r="K354" s="58" t="str" cm="1">
        <f>IF(ISBLANK($A354),"",INDEX(Array_EmissionCharges,MATCH($A354,List_EmissionMeters,0),ROUNDUP((COLUMN()+0)/3-1,0)))</f>
        <v/>
      </c>
      <c r="L354" s="127"/>
      <c r="M354" s="137"/>
      <c r="N354" s="58" t="str" cm="1">
        <f>IF(ISBLANK($A354),"",INDEX(Array_EmissionCharges,MATCH($A354,List_EmissionMeters,0),ROUNDUP((COLUMN()+0)/3-1,0)))</f>
        <v/>
      </c>
      <c r="O354" s="127"/>
      <c r="P354" s="137"/>
      <c r="Q354" s="58" t="str" cm="1">
        <f>IF(ISBLANK($A354),"",INDEX(Array_EmissionCharges,MATCH($A354,List_EmissionMeters,0),ROUNDUP((COLUMN()+0)/3-1,0)))</f>
        <v/>
      </c>
      <c r="R354" s="127"/>
      <c r="S354" s="137"/>
    </row>
    <row r="355" spans="1:19" x14ac:dyDescent="0.3">
      <c r="A355" s="126"/>
      <c r="B355" s="133"/>
      <c r="C355" s="127"/>
      <c r="D355" s="137"/>
      <c r="E355" s="58" t="str" cm="1">
        <f>IF(ISBLANK($A355),"",INDEX(Array_EmissionCharges,MATCH($A355,List_EmissionMeters,0),ROUNDUP((COLUMN()+0)/3-1,0)))</f>
        <v/>
      </c>
      <c r="F355" s="127"/>
      <c r="G355" s="137"/>
      <c r="H355" s="58" t="str" cm="1">
        <f>IF(ISBLANK($A355),"",INDEX(Array_EmissionCharges,MATCH($A355,List_EmissionMeters,0),ROUNDUP((COLUMN()+0)/3-1,0)))</f>
        <v/>
      </c>
      <c r="I355" s="127"/>
      <c r="J355" s="137"/>
      <c r="K355" s="58" t="str" cm="1">
        <f>IF(ISBLANK($A355),"",INDEX(Array_EmissionCharges,MATCH($A355,List_EmissionMeters,0),ROUNDUP((COLUMN()+0)/3-1,0)))</f>
        <v/>
      </c>
      <c r="L355" s="127"/>
      <c r="M355" s="137"/>
      <c r="N355" s="58" t="str" cm="1">
        <f>IF(ISBLANK($A355),"",INDEX(Array_EmissionCharges,MATCH($A355,List_EmissionMeters,0),ROUNDUP((COLUMN()+0)/3-1,0)))</f>
        <v/>
      </c>
      <c r="O355" s="127"/>
      <c r="P355" s="137"/>
      <c r="Q355" s="58" t="str" cm="1">
        <f>IF(ISBLANK($A355),"",INDEX(Array_EmissionCharges,MATCH($A355,List_EmissionMeters,0),ROUNDUP((COLUMN()+0)/3-1,0)))</f>
        <v/>
      </c>
      <c r="R355" s="127"/>
      <c r="S355" s="137"/>
    </row>
    <row r="356" spans="1:19" x14ac:dyDescent="0.3">
      <c r="A356" s="126"/>
      <c r="B356" s="133"/>
      <c r="C356" s="127"/>
      <c r="D356" s="137"/>
      <c r="E356" s="58" t="str" cm="1">
        <f>IF(ISBLANK($A356),"",INDEX(Array_EmissionCharges,MATCH($A356,List_EmissionMeters,0),ROUNDUP((COLUMN()+0)/3-1,0)))</f>
        <v/>
      </c>
      <c r="F356" s="127"/>
      <c r="G356" s="137"/>
      <c r="H356" s="58" t="str" cm="1">
        <f>IF(ISBLANK($A356),"",INDEX(Array_EmissionCharges,MATCH($A356,List_EmissionMeters,0),ROUNDUP((COLUMN()+0)/3-1,0)))</f>
        <v/>
      </c>
      <c r="I356" s="127"/>
      <c r="J356" s="137"/>
      <c r="K356" s="58" t="str" cm="1">
        <f>IF(ISBLANK($A356),"",INDEX(Array_EmissionCharges,MATCH($A356,List_EmissionMeters,0),ROUNDUP((COLUMN()+0)/3-1,0)))</f>
        <v/>
      </c>
      <c r="L356" s="127"/>
      <c r="M356" s="137"/>
      <c r="N356" s="58" t="str" cm="1">
        <f>IF(ISBLANK($A356),"",INDEX(Array_EmissionCharges,MATCH($A356,List_EmissionMeters,0),ROUNDUP((COLUMN()+0)/3-1,0)))</f>
        <v/>
      </c>
      <c r="O356" s="127"/>
      <c r="P356" s="137"/>
      <c r="Q356" s="58" t="str" cm="1">
        <f>IF(ISBLANK($A356),"",INDEX(Array_EmissionCharges,MATCH($A356,List_EmissionMeters,0),ROUNDUP((COLUMN()+0)/3-1,0)))</f>
        <v/>
      </c>
      <c r="R356" s="127"/>
      <c r="S356" s="137"/>
    </row>
    <row r="357" spans="1:19" x14ac:dyDescent="0.3">
      <c r="A357" s="126"/>
      <c r="B357" s="133"/>
      <c r="C357" s="127"/>
      <c r="D357" s="137"/>
      <c r="E357" s="58" t="str" cm="1">
        <f>IF(ISBLANK($A357),"",INDEX(Array_EmissionCharges,MATCH($A357,List_EmissionMeters,0),ROUNDUP((COLUMN()+0)/3-1,0)))</f>
        <v/>
      </c>
      <c r="F357" s="127"/>
      <c r="G357" s="137"/>
      <c r="H357" s="58" t="str" cm="1">
        <f>IF(ISBLANK($A357),"",INDEX(Array_EmissionCharges,MATCH($A357,List_EmissionMeters,0),ROUNDUP((COLUMN()+0)/3-1,0)))</f>
        <v/>
      </c>
      <c r="I357" s="127"/>
      <c r="J357" s="137"/>
      <c r="K357" s="58" t="str" cm="1">
        <f>IF(ISBLANK($A357),"",INDEX(Array_EmissionCharges,MATCH($A357,List_EmissionMeters,0),ROUNDUP((COLUMN()+0)/3-1,0)))</f>
        <v/>
      </c>
      <c r="L357" s="127"/>
      <c r="M357" s="137"/>
      <c r="N357" s="58" t="str" cm="1">
        <f>IF(ISBLANK($A357),"",INDEX(Array_EmissionCharges,MATCH($A357,List_EmissionMeters,0),ROUNDUP((COLUMN()+0)/3-1,0)))</f>
        <v/>
      </c>
      <c r="O357" s="127"/>
      <c r="P357" s="137"/>
      <c r="Q357" s="58" t="str" cm="1">
        <f>IF(ISBLANK($A357),"",INDEX(Array_EmissionCharges,MATCH($A357,List_EmissionMeters,0),ROUNDUP((COLUMN()+0)/3-1,0)))</f>
        <v/>
      </c>
      <c r="R357" s="127"/>
      <c r="S357" s="137"/>
    </row>
    <row r="358" spans="1:19" x14ac:dyDescent="0.3">
      <c r="A358" s="126"/>
      <c r="B358" s="133"/>
      <c r="C358" s="127"/>
      <c r="D358" s="137"/>
      <c r="E358" s="58" t="str" cm="1">
        <f>IF(ISBLANK($A358),"",INDEX(Array_EmissionCharges,MATCH($A358,List_EmissionMeters,0),ROUNDUP((COLUMN()+0)/3-1,0)))</f>
        <v/>
      </c>
      <c r="F358" s="127"/>
      <c r="G358" s="137"/>
      <c r="H358" s="58" t="str" cm="1">
        <f>IF(ISBLANK($A358),"",INDEX(Array_EmissionCharges,MATCH($A358,List_EmissionMeters,0),ROUNDUP((COLUMN()+0)/3-1,0)))</f>
        <v/>
      </c>
      <c r="I358" s="127"/>
      <c r="J358" s="137"/>
      <c r="K358" s="58" t="str" cm="1">
        <f>IF(ISBLANK($A358),"",INDEX(Array_EmissionCharges,MATCH($A358,List_EmissionMeters,0),ROUNDUP((COLUMN()+0)/3-1,0)))</f>
        <v/>
      </c>
      <c r="L358" s="127"/>
      <c r="M358" s="137"/>
      <c r="N358" s="58" t="str" cm="1">
        <f>IF(ISBLANK($A358),"",INDEX(Array_EmissionCharges,MATCH($A358,List_EmissionMeters,0),ROUNDUP((COLUMN()+0)/3-1,0)))</f>
        <v/>
      </c>
      <c r="O358" s="127"/>
      <c r="P358" s="137"/>
      <c r="Q358" s="58" t="str" cm="1">
        <f>IF(ISBLANK($A358),"",INDEX(Array_EmissionCharges,MATCH($A358,List_EmissionMeters,0),ROUNDUP((COLUMN()+0)/3-1,0)))</f>
        <v/>
      </c>
      <c r="R358" s="127"/>
      <c r="S358" s="137"/>
    </row>
    <row r="359" spans="1:19" x14ac:dyDescent="0.3">
      <c r="A359" s="126"/>
      <c r="B359" s="133"/>
      <c r="C359" s="127"/>
      <c r="D359" s="137"/>
      <c r="E359" s="58" t="str" cm="1">
        <f>IF(ISBLANK($A359),"",INDEX(Array_EmissionCharges,MATCH($A359,List_EmissionMeters,0),ROUNDUP((COLUMN()+0)/3-1,0)))</f>
        <v/>
      </c>
      <c r="F359" s="127"/>
      <c r="G359" s="137"/>
      <c r="H359" s="58" t="str" cm="1">
        <f>IF(ISBLANK($A359),"",INDEX(Array_EmissionCharges,MATCH($A359,List_EmissionMeters,0),ROUNDUP((COLUMN()+0)/3-1,0)))</f>
        <v/>
      </c>
      <c r="I359" s="127"/>
      <c r="J359" s="137"/>
      <c r="K359" s="58" t="str" cm="1">
        <f>IF(ISBLANK($A359),"",INDEX(Array_EmissionCharges,MATCH($A359,List_EmissionMeters,0),ROUNDUP((COLUMN()+0)/3-1,0)))</f>
        <v/>
      </c>
      <c r="L359" s="127"/>
      <c r="M359" s="137"/>
      <c r="N359" s="58" t="str" cm="1">
        <f>IF(ISBLANK($A359),"",INDEX(Array_EmissionCharges,MATCH($A359,List_EmissionMeters,0),ROUNDUP((COLUMN()+0)/3-1,0)))</f>
        <v/>
      </c>
      <c r="O359" s="127"/>
      <c r="P359" s="137"/>
      <c r="Q359" s="58" t="str" cm="1">
        <f>IF(ISBLANK($A359),"",INDEX(Array_EmissionCharges,MATCH($A359,List_EmissionMeters,0),ROUNDUP((COLUMN()+0)/3-1,0)))</f>
        <v/>
      </c>
      <c r="R359" s="127"/>
      <c r="S359" s="137"/>
    </row>
    <row r="360" spans="1:19" x14ac:dyDescent="0.3">
      <c r="A360" s="126"/>
      <c r="B360" s="133"/>
      <c r="C360" s="127"/>
      <c r="D360" s="137"/>
      <c r="E360" s="58" t="str" cm="1">
        <f>IF(ISBLANK($A360),"",INDEX(Array_EmissionCharges,MATCH($A360,List_EmissionMeters,0),ROUNDUP((COLUMN()+0)/3-1,0)))</f>
        <v/>
      </c>
      <c r="F360" s="127"/>
      <c r="G360" s="137"/>
      <c r="H360" s="58" t="str" cm="1">
        <f>IF(ISBLANK($A360),"",INDEX(Array_EmissionCharges,MATCH($A360,List_EmissionMeters,0),ROUNDUP((COLUMN()+0)/3-1,0)))</f>
        <v/>
      </c>
      <c r="I360" s="127"/>
      <c r="J360" s="137"/>
      <c r="K360" s="58" t="str" cm="1">
        <f>IF(ISBLANK($A360),"",INDEX(Array_EmissionCharges,MATCH($A360,List_EmissionMeters,0),ROUNDUP((COLUMN()+0)/3-1,0)))</f>
        <v/>
      </c>
      <c r="L360" s="127"/>
      <c r="M360" s="137"/>
      <c r="N360" s="58" t="str" cm="1">
        <f>IF(ISBLANK($A360),"",INDEX(Array_EmissionCharges,MATCH($A360,List_EmissionMeters,0),ROUNDUP((COLUMN()+0)/3-1,0)))</f>
        <v/>
      </c>
      <c r="O360" s="127"/>
      <c r="P360" s="137"/>
      <c r="Q360" s="58" t="str" cm="1">
        <f>IF(ISBLANK($A360),"",INDEX(Array_EmissionCharges,MATCH($A360,List_EmissionMeters,0),ROUNDUP((COLUMN()+0)/3-1,0)))</f>
        <v/>
      </c>
      <c r="R360" s="127"/>
      <c r="S360" s="137"/>
    </row>
    <row r="361" spans="1:19" x14ac:dyDescent="0.3">
      <c r="A361" s="126"/>
      <c r="B361" s="133"/>
      <c r="C361" s="127"/>
      <c r="D361" s="137"/>
      <c r="E361" s="58" t="str" cm="1">
        <f>IF(ISBLANK($A361),"",INDEX(Array_EmissionCharges,MATCH($A361,List_EmissionMeters,0),ROUNDUP((COLUMN()+0)/3-1,0)))</f>
        <v/>
      </c>
      <c r="F361" s="127"/>
      <c r="G361" s="137"/>
      <c r="H361" s="58" t="str" cm="1">
        <f>IF(ISBLANK($A361),"",INDEX(Array_EmissionCharges,MATCH($A361,List_EmissionMeters,0),ROUNDUP((COLUMN()+0)/3-1,0)))</f>
        <v/>
      </c>
      <c r="I361" s="127"/>
      <c r="J361" s="137"/>
      <c r="K361" s="58" t="str" cm="1">
        <f>IF(ISBLANK($A361),"",INDEX(Array_EmissionCharges,MATCH($A361,List_EmissionMeters,0),ROUNDUP((COLUMN()+0)/3-1,0)))</f>
        <v/>
      </c>
      <c r="L361" s="127"/>
      <c r="M361" s="137"/>
      <c r="N361" s="58" t="str" cm="1">
        <f>IF(ISBLANK($A361),"",INDEX(Array_EmissionCharges,MATCH($A361,List_EmissionMeters,0),ROUNDUP((COLUMN()+0)/3-1,0)))</f>
        <v/>
      </c>
      <c r="O361" s="127"/>
      <c r="P361" s="137"/>
      <c r="Q361" s="58" t="str" cm="1">
        <f>IF(ISBLANK($A361),"",INDEX(Array_EmissionCharges,MATCH($A361,List_EmissionMeters,0),ROUNDUP((COLUMN()+0)/3-1,0)))</f>
        <v/>
      </c>
      <c r="R361" s="127"/>
      <c r="S361" s="137"/>
    </row>
    <row r="362" spans="1:19" x14ac:dyDescent="0.3">
      <c r="A362" s="126"/>
      <c r="B362" s="133"/>
      <c r="C362" s="127"/>
      <c r="D362" s="137"/>
      <c r="E362" s="58" t="str" cm="1">
        <f>IF(ISBLANK($A362),"",INDEX(Array_EmissionCharges,MATCH($A362,List_EmissionMeters,0),ROUNDUP((COLUMN()+0)/3-1,0)))</f>
        <v/>
      </c>
      <c r="F362" s="127"/>
      <c r="G362" s="137"/>
      <c r="H362" s="58" t="str" cm="1">
        <f>IF(ISBLANK($A362),"",INDEX(Array_EmissionCharges,MATCH($A362,List_EmissionMeters,0),ROUNDUP((COLUMN()+0)/3-1,0)))</f>
        <v/>
      </c>
      <c r="I362" s="127"/>
      <c r="J362" s="137"/>
      <c r="K362" s="58" t="str" cm="1">
        <f>IF(ISBLANK($A362),"",INDEX(Array_EmissionCharges,MATCH($A362,List_EmissionMeters,0),ROUNDUP((COLUMN()+0)/3-1,0)))</f>
        <v/>
      </c>
      <c r="L362" s="127"/>
      <c r="M362" s="137"/>
      <c r="N362" s="58" t="str" cm="1">
        <f>IF(ISBLANK($A362),"",INDEX(Array_EmissionCharges,MATCH($A362,List_EmissionMeters,0),ROUNDUP((COLUMN()+0)/3-1,0)))</f>
        <v/>
      </c>
      <c r="O362" s="127"/>
      <c r="P362" s="137"/>
      <c r="Q362" s="58" t="str" cm="1">
        <f>IF(ISBLANK($A362),"",INDEX(Array_EmissionCharges,MATCH($A362,List_EmissionMeters,0),ROUNDUP((COLUMN()+0)/3-1,0)))</f>
        <v/>
      </c>
      <c r="R362" s="127"/>
      <c r="S362" s="137"/>
    </row>
    <row r="363" spans="1:19" x14ac:dyDescent="0.3">
      <c r="A363" s="126"/>
      <c r="B363" s="133"/>
      <c r="C363" s="127"/>
      <c r="D363" s="137"/>
      <c r="E363" s="58" t="str" cm="1">
        <f>IF(ISBLANK($A363),"",INDEX(Array_EmissionCharges,MATCH($A363,List_EmissionMeters,0),ROUNDUP((COLUMN()+0)/3-1,0)))</f>
        <v/>
      </c>
      <c r="F363" s="127"/>
      <c r="G363" s="137"/>
      <c r="H363" s="58" t="str" cm="1">
        <f>IF(ISBLANK($A363),"",INDEX(Array_EmissionCharges,MATCH($A363,List_EmissionMeters,0),ROUNDUP((COLUMN()+0)/3-1,0)))</f>
        <v/>
      </c>
      <c r="I363" s="127"/>
      <c r="J363" s="137"/>
      <c r="K363" s="58" t="str" cm="1">
        <f>IF(ISBLANK($A363),"",INDEX(Array_EmissionCharges,MATCH($A363,List_EmissionMeters,0),ROUNDUP((COLUMN()+0)/3-1,0)))</f>
        <v/>
      </c>
      <c r="L363" s="127"/>
      <c r="M363" s="137"/>
      <c r="N363" s="58" t="str" cm="1">
        <f>IF(ISBLANK($A363),"",INDEX(Array_EmissionCharges,MATCH($A363,List_EmissionMeters,0),ROUNDUP((COLUMN()+0)/3-1,0)))</f>
        <v/>
      </c>
      <c r="O363" s="127"/>
      <c r="P363" s="137"/>
      <c r="Q363" s="58" t="str" cm="1">
        <f>IF(ISBLANK($A363),"",INDEX(Array_EmissionCharges,MATCH($A363,List_EmissionMeters,0),ROUNDUP((COLUMN()+0)/3-1,0)))</f>
        <v/>
      </c>
      <c r="R363" s="127"/>
      <c r="S363" s="137"/>
    </row>
    <row r="364" spans="1:19" x14ac:dyDescent="0.3">
      <c r="A364" s="126"/>
      <c r="B364" s="133"/>
      <c r="C364" s="127"/>
      <c r="D364" s="137"/>
      <c r="E364" s="58" t="str" cm="1">
        <f>IF(ISBLANK($A364),"",INDEX(Array_EmissionCharges,MATCH($A364,List_EmissionMeters,0),ROUNDUP((COLUMN()+0)/3-1,0)))</f>
        <v/>
      </c>
      <c r="F364" s="127"/>
      <c r="G364" s="137"/>
      <c r="H364" s="58" t="str" cm="1">
        <f>IF(ISBLANK($A364),"",INDEX(Array_EmissionCharges,MATCH($A364,List_EmissionMeters,0),ROUNDUP((COLUMN()+0)/3-1,0)))</f>
        <v/>
      </c>
      <c r="I364" s="127"/>
      <c r="J364" s="137"/>
      <c r="K364" s="58" t="str" cm="1">
        <f>IF(ISBLANK($A364),"",INDEX(Array_EmissionCharges,MATCH($A364,List_EmissionMeters,0),ROUNDUP((COLUMN()+0)/3-1,0)))</f>
        <v/>
      </c>
      <c r="L364" s="127"/>
      <c r="M364" s="137"/>
      <c r="N364" s="58" t="str" cm="1">
        <f>IF(ISBLANK($A364),"",INDEX(Array_EmissionCharges,MATCH($A364,List_EmissionMeters,0),ROUNDUP((COLUMN()+0)/3-1,0)))</f>
        <v/>
      </c>
      <c r="O364" s="127"/>
      <c r="P364" s="137"/>
      <c r="Q364" s="58" t="str" cm="1">
        <f>IF(ISBLANK($A364),"",INDEX(Array_EmissionCharges,MATCH($A364,List_EmissionMeters,0),ROUNDUP((COLUMN()+0)/3-1,0)))</f>
        <v/>
      </c>
      <c r="R364" s="127"/>
      <c r="S364" s="137"/>
    </row>
    <row r="365" spans="1:19" x14ac:dyDescent="0.3">
      <c r="A365" s="126"/>
      <c r="B365" s="133"/>
      <c r="C365" s="127"/>
      <c r="D365" s="137"/>
      <c r="E365" s="58" t="str" cm="1">
        <f>IF(ISBLANK($A365),"",INDEX(Array_EmissionCharges,MATCH($A365,List_EmissionMeters,0),ROUNDUP((COLUMN()+0)/3-1,0)))</f>
        <v/>
      </c>
      <c r="F365" s="127"/>
      <c r="G365" s="137"/>
      <c r="H365" s="58" t="str" cm="1">
        <f>IF(ISBLANK($A365),"",INDEX(Array_EmissionCharges,MATCH($A365,List_EmissionMeters,0),ROUNDUP((COLUMN()+0)/3-1,0)))</f>
        <v/>
      </c>
      <c r="I365" s="127"/>
      <c r="J365" s="137"/>
      <c r="K365" s="58" t="str" cm="1">
        <f>IF(ISBLANK($A365),"",INDEX(Array_EmissionCharges,MATCH($A365,List_EmissionMeters,0),ROUNDUP((COLUMN()+0)/3-1,0)))</f>
        <v/>
      </c>
      <c r="L365" s="127"/>
      <c r="M365" s="137"/>
      <c r="N365" s="58" t="str" cm="1">
        <f>IF(ISBLANK($A365),"",INDEX(Array_EmissionCharges,MATCH($A365,List_EmissionMeters,0),ROUNDUP((COLUMN()+0)/3-1,0)))</f>
        <v/>
      </c>
      <c r="O365" s="127"/>
      <c r="P365" s="137"/>
      <c r="Q365" s="58" t="str" cm="1">
        <f>IF(ISBLANK($A365),"",INDEX(Array_EmissionCharges,MATCH($A365,List_EmissionMeters,0),ROUNDUP((COLUMN()+0)/3-1,0)))</f>
        <v/>
      </c>
      <c r="R365" s="127"/>
      <c r="S365" s="137"/>
    </row>
    <row r="366" spans="1:19" x14ac:dyDescent="0.3">
      <c r="A366" s="126"/>
      <c r="B366" s="133"/>
      <c r="C366" s="127"/>
      <c r="D366" s="137"/>
      <c r="E366" s="58" t="str" cm="1">
        <f>IF(ISBLANK($A366),"",INDEX(Array_EmissionCharges,MATCH($A366,List_EmissionMeters,0),ROUNDUP((COLUMN()+0)/3-1,0)))</f>
        <v/>
      </c>
      <c r="F366" s="127"/>
      <c r="G366" s="137"/>
      <c r="H366" s="58" t="str" cm="1">
        <f>IF(ISBLANK($A366),"",INDEX(Array_EmissionCharges,MATCH($A366,List_EmissionMeters,0),ROUNDUP((COLUMN()+0)/3-1,0)))</f>
        <v/>
      </c>
      <c r="I366" s="127"/>
      <c r="J366" s="137"/>
      <c r="K366" s="58" t="str" cm="1">
        <f>IF(ISBLANK($A366),"",INDEX(Array_EmissionCharges,MATCH($A366,List_EmissionMeters,0),ROUNDUP((COLUMN()+0)/3-1,0)))</f>
        <v/>
      </c>
      <c r="L366" s="127"/>
      <c r="M366" s="137"/>
      <c r="N366" s="58" t="str" cm="1">
        <f>IF(ISBLANK($A366),"",INDEX(Array_EmissionCharges,MATCH($A366,List_EmissionMeters,0),ROUNDUP((COLUMN()+0)/3-1,0)))</f>
        <v/>
      </c>
      <c r="O366" s="127"/>
      <c r="P366" s="137"/>
      <c r="Q366" s="58" t="str" cm="1">
        <f>IF(ISBLANK($A366),"",INDEX(Array_EmissionCharges,MATCH($A366,List_EmissionMeters,0),ROUNDUP((COLUMN()+0)/3-1,0)))</f>
        <v/>
      </c>
      <c r="R366" s="127"/>
      <c r="S366" s="137"/>
    </row>
    <row r="367" spans="1:19" x14ac:dyDescent="0.3">
      <c r="A367" s="126"/>
      <c r="B367" s="133"/>
      <c r="C367" s="127"/>
      <c r="D367" s="137"/>
      <c r="E367" s="58" t="str" cm="1">
        <f>IF(ISBLANK($A367),"",INDEX(Array_EmissionCharges,MATCH($A367,List_EmissionMeters,0),ROUNDUP((COLUMN()+0)/3-1,0)))</f>
        <v/>
      </c>
      <c r="F367" s="127"/>
      <c r="G367" s="137"/>
      <c r="H367" s="58" t="str" cm="1">
        <f>IF(ISBLANK($A367),"",INDEX(Array_EmissionCharges,MATCH($A367,List_EmissionMeters,0),ROUNDUP((COLUMN()+0)/3-1,0)))</f>
        <v/>
      </c>
      <c r="I367" s="127"/>
      <c r="J367" s="137"/>
      <c r="K367" s="58" t="str" cm="1">
        <f>IF(ISBLANK($A367),"",INDEX(Array_EmissionCharges,MATCH($A367,List_EmissionMeters,0),ROUNDUP((COLUMN()+0)/3-1,0)))</f>
        <v/>
      </c>
      <c r="L367" s="127"/>
      <c r="M367" s="137"/>
      <c r="N367" s="58" t="str" cm="1">
        <f>IF(ISBLANK($A367),"",INDEX(Array_EmissionCharges,MATCH($A367,List_EmissionMeters,0),ROUNDUP((COLUMN()+0)/3-1,0)))</f>
        <v/>
      </c>
      <c r="O367" s="127"/>
      <c r="P367" s="137"/>
      <c r="Q367" s="58" t="str" cm="1">
        <f>IF(ISBLANK($A367),"",INDEX(Array_EmissionCharges,MATCH($A367,List_EmissionMeters,0),ROUNDUP((COLUMN()+0)/3-1,0)))</f>
        <v/>
      </c>
      <c r="R367" s="127"/>
      <c r="S367" s="137"/>
    </row>
    <row r="368" spans="1:19" x14ac:dyDescent="0.3">
      <c r="A368" s="126"/>
      <c r="B368" s="133"/>
      <c r="C368" s="127"/>
      <c r="D368" s="137"/>
      <c r="E368" s="58" t="str" cm="1">
        <f>IF(ISBLANK($A368),"",INDEX(Array_EmissionCharges,MATCH($A368,List_EmissionMeters,0),ROUNDUP((COLUMN()+0)/3-1,0)))</f>
        <v/>
      </c>
      <c r="F368" s="127"/>
      <c r="G368" s="137"/>
      <c r="H368" s="58" t="str" cm="1">
        <f>IF(ISBLANK($A368),"",INDEX(Array_EmissionCharges,MATCH($A368,List_EmissionMeters,0),ROUNDUP((COLUMN()+0)/3-1,0)))</f>
        <v/>
      </c>
      <c r="I368" s="127"/>
      <c r="J368" s="137"/>
      <c r="K368" s="58" t="str" cm="1">
        <f>IF(ISBLANK($A368),"",INDEX(Array_EmissionCharges,MATCH($A368,List_EmissionMeters,0),ROUNDUP((COLUMN()+0)/3-1,0)))</f>
        <v/>
      </c>
      <c r="L368" s="127"/>
      <c r="M368" s="137"/>
      <c r="N368" s="58" t="str" cm="1">
        <f>IF(ISBLANK($A368),"",INDEX(Array_EmissionCharges,MATCH($A368,List_EmissionMeters,0),ROUNDUP((COLUMN()+0)/3-1,0)))</f>
        <v/>
      </c>
      <c r="O368" s="127"/>
      <c r="P368" s="137"/>
      <c r="Q368" s="58" t="str" cm="1">
        <f>IF(ISBLANK($A368),"",INDEX(Array_EmissionCharges,MATCH($A368,List_EmissionMeters,0),ROUNDUP((COLUMN()+0)/3-1,0)))</f>
        <v/>
      </c>
      <c r="R368" s="127"/>
      <c r="S368" s="137"/>
    </row>
    <row r="369" spans="1:19" x14ac:dyDescent="0.3">
      <c r="A369" s="126"/>
      <c r="B369" s="133"/>
      <c r="C369" s="127"/>
      <c r="D369" s="137"/>
      <c r="E369" s="58" t="str" cm="1">
        <f>IF(ISBLANK($A369),"",INDEX(Array_EmissionCharges,MATCH($A369,List_EmissionMeters,0),ROUNDUP((COLUMN()+0)/3-1,0)))</f>
        <v/>
      </c>
      <c r="F369" s="127"/>
      <c r="G369" s="137"/>
      <c r="H369" s="58" t="str" cm="1">
        <f>IF(ISBLANK($A369),"",INDEX(Array_EmissionCharges,MATCH($A369,List_EmissionMeters,0),ROUNDUP((COLUMN()+0)/3-1,0)))</f>
        <v/>
      </c>
      <c r="I369" s="127"/>
      <c r="J369" s="137"/>
      <c r="K369" s="58" t="str" cm="1">
        <f>IF(ISBLANK($A369),"",INDEX(Array_EmissionCharges,MATCH($A369,List_EmissionMeters,0),ROUNDUP((COLUMN()+0)/3-1,0)))</f>
        <v/>
      </c>
      <c r="L369" s="127"/>
      <c r="M369" s="137"/>
      <c r="N369" s="58" t="str" cm="1">
        <f>IF(ISBLANK($A369),"",INDEX(Array_EmissionCharges,MATCH($A369,List_EmissionMeters,0),ROUNDUP((COLUMN()+0)/3-1,0)))</f>
        <v/>
      </c>
      <c r="O369" s="127"/>
      <c r="P369" s="137"/>
      <c r="Q369" s="58" t="str" cm="1">
        <f>IF(ISBLANK($A369),"",INDEX(Array_EmissionCharges,MATCH($A369,List_EmissionMeters,0),ROUNDUP((COLUMN()+0)/3-1,0)))</f>
        <v/>
      </c>
      <c r="R369" s="127"/>
      <c r="S369" s="137"/>
    </row>
    <row r="370" spans="1:19" x14ac:dyDescent="0.3">
      <c r="A370" s="126"/>
      <c r="B370" s="133"/>
      <c r="C370" s="127"/>
      <c r="D370" s="137"/>
      <c r="E370" s="58" t="str" cm="1">
        <f>IF(ISBLANK($A370),"",INDEX(Array_EmissionCharges,MATCH($A370,List_EmissionMeters,0),ROUNDUP((COLUMN()+0)/3-1,0)))</f>
        <v/>
      </c>
      <c r="F370" s="127"/>
      <c r="G370" s="137"/>
      <c r="H370" s="58" t="str" cm="1">
        <f>IF(ISBLANK($A370),"",INDEX(Array_EmissionCharges,MATCH($A370,List_EmissionMeters,0),ROUNDUP((COLUMN()+0)/3-1,0)))</f>
        <v/>
      </c>
      <c r="I370" s="127"/>
      <c r="J370" s="137"/>
      <c r="K370" s="58" t="str" cm="1">
        <f>IF(ISBLANK($A370),"",INDEX(Array_EmissionCharges,MATCH($A370,List_EmissionMeters,0),ROUNDUP((COLUMN()+0)/3-1,0)))</f>
        <v/>
      </c>
      <c r="L370" s="127"/>
      <c r="M370" s="137"/>
      <c r="N370" s="58" t="str" cm="1">
        <f>IF(ISBLANK($A370),"",INDEX(Array_EmissionCharges,MATCH($A370,List_EmissionMeters,0),ROUNDUP((COLUMN()+0)/3-1,0)))</f>
        <v/>
      </c>
      <c r="O370" s="127"/>
      <c r="P370" s="137"/>
      <c r="Q370" s="58" t="str" cm="1">
        <f>IF(ISBLANK($A370),"",INDEX(Array_EmissionCharges,MATCH($A370,List_EmissionMeters,0),ROUNDUP((COLUMN()+0)/3-1,0)))</f>
        <v/>
      </c>
      <c r="R370" s="127"/>
      <c r="S370" s="137"/>
    </row>
    <row r="371" spans="1:19" x14ac:dyDescent="0.3">
      <c r="A371" s="126"/>
      <c r="B371" s="133"/>
      <c r="C371" s="127"/>
      <c r="D371" s="137"/>
      <c r="E371" s="58" t="str" cm="1">
        <f>IF(ISBLANK($A371),"",INDEX(Array_EmissionCharges,MATCH($A371,List_EmissionMeters,0),ROUNDUP((COLUMN()+0)/3-1,0)))</f>
        <v/>
      </c>
      <c r="F371" s="127"/>
      <c r="G371" s="137"/>
      <c r="H371" s="58" t="str" cm="1">
        <f>IF(ISBLANK($A371),"",INDEX(Array_EmissionCharges,MATCH($A371,List_EmissionMeters,0),ROUNDUP((COLUMN()+0)/3-1,0)))</f>
        <v/>
      </c>
      <c r="I371" s="127"/>
      <c r="J371" s="137"/>
      <c r="K371" s="58" t="str" cm="1">
        <f>IF(ISBLANK($A371),"",INDEX(Array_EmissionCharges,MATCH($A371,List_EmissionMeters,0),ROUNDUP((COLUMN()+0)/3-1,0)))</f>
        <v/>
      </c>
      <c r="L371" s="127"/>
      <c r="M371" s="137"/>
      <c r="N371" s="58" t="str" cm="1">
        <f>IF(ISBLANK($A371),"",INDEX(Array_EmissionCharges,MATCH($A371,List_EmissionMeters,0),ROUNDUP((COLUMN()+0)/3-1,0)))</f>
        <v/>
      </c>
      <c r="O371" s="127"/>
      <c r="P371" s="137"/>
      <c r="Q371" s="58" t="str" cm="1">
        <f>IF(ISBLANK($A371),"",INDEX(Array_EmissionCharges,MATCH($A371,List_EmissionMeters,0),ROUNDUP((COLUMN()+0)/3-1,0)))</f>
        <v/>
      </c>
      <c r="R371" s="127"/>
      <c r="S371" s="137"/>
    </row>
    <row r="372" spans="1:19" x14ac:dyDescent="0.3">
      <c r="A372" s="126"/>
      <c r="B372" s="133"/>
      <c r="C372" s="127"/>
      <c r="D372" s="137"/>
      <c r="E372" s="58" t="str" cm="1">
        <f>IF(ISBLANK($A372),"",INDEX(Array_EmissionCharges,MATCH($A372,List_EmissionMeters,0),ROUNDUP((COLUMN()+0)/3-1,0)))</f>
        <v/>
      </c>
      <c r="F372" s="127"/>
      <c r="G372" s="137"/>
      <c r="H372" s="58" t="str" cm="1">
        <f>IF(ISBLANK($A372),"",INDEX(Array_EmissionCharges,MATCH($A372,List_EmissionMeters,0),ROUNDUP((COLUMN()+0)/3-1,0)))</f>
        <v/>
      </c>
      <c r="I372" s="127"/>
      <c r="J372" s="137"/>
      <c r="K372" s="58" t="str" cm="1">
        <f>IF(ISBLANK($A372),"",INDEX(Array_EmissionCharges,MATCH($A372,List_EmissionMeters,0),ROUNDUP((COLUMN()+0)/3-1,0)))</f>
        <v/>
      </c>
      <c r="L372" s="127"/>
      <c r="M372" s="137"/>
      <c r="N372" s="58" t="str" cm="1">
        <f>IF(ISBLANK($A372),"",INDEX(Array_EmissionCharges,MATCH($A372,List_EmissionMeters,0),ROUNDUP((COLUMN()+0)/3-1,0)))</f>
        <v/>
      </c>
      <c r="O372" s="127"/>
      <c r="P372" s="137"/>
      <c r="Q372" s="58" t="str" cm="1">
        <f>IF(ISBLANK($A372),"",INDEX(Array_EmissionCharges,MATCH($A372,List_EmissionMeters,0),ROUNDUP((COLUMN()+0)/3-1,0)))</f>
        <v/>
      </c>
      <c r="R372" s="127"/>
      <c r="S372" s="137"/>
    </row>
    <row r="373" spans="1:19" x14ac:dyDescent="0.3">
      <c r="A373" s="126"/>
      <c r="B373" s="133"/>
      <c r="C373" s="127"/>
      <c r="D373" s="137"/>
      <c r="E373" s="58" t="str" cm="1">
        <f>IF(ISBLANK($A373),"",INDEX(Array_EmissionCharges,MATCH($A373,List_EmissionMeters,0),ROUNDUP((COLUMN()+0)/3-1,0)))</f>
        <v/>
      </c>
      <c r="F373" s="127"/>
      <c r="G373" s="137"/>
      <c r="H373" s="58" t="str" cm="1">
        <f>IF(ISBLANK($A373),"",INDEX(Array_EmissionCharges,MATCH($A373,List_EmissionMeters,0),ROUNDUP((COLUMN()+0)/3-1,0)))</f>
        <v/>
      </c>
      <c r="I373" s="127"/>
      <c r="J373" s="137"/>
      <c r="K373" s="58" t="str" cm="1">
        <f>IF(ISBLANK($A373),"",INDEX(Array_EmissionCharges,MATCH($A373,List_EmissionMeters,0),ROUNDUP((COLUMN()+0)/3-1,0)))</f>
        <v/>
      </c>
      <c r="L373" s="127"/>
      <c r="M373" s="137"/>
      <c r="N373" s="58" t="str" cm="1">
        <f>IF(ISBLANK($A373),"",INDEX(Array_EmissionCharges,MATCH($A373,List_EmissionMeters,0),ROUNDUP((COLUMN()+0)/3-1,0)))</f>
        <v/>
      </c>
      <c r="O373" s="127"/>
      <c r="P373" s="137"/>
      <c r="Q373" s="58" t="str" cm="1">
        <f>IF(ISBLANK($A373),"",INDEX(Array_EmissionCharges,MATCH($A373,List_EmissionMeters,0),ROUNDUP((COLUMN()+0)/3-1,0)))</f>
        <v/>
      </c>
      <c r="R373" s="127"/>
      <c r="S373" s="137"/>
    </row>
    <row r="374" spans="1:19" x14ac:dyDescent="0.3">
      <c r="A374" s="126"/>
      <c r="B374" s="133"/>
      <c r="C374" s="127"/>
      <c r="D374" s="137"/>
      <c r="E374" s="58" t="str" cm="1">
        <f>IF(ISBLANK($A374),"",INDEX(Array_EmissionCharges,MATCH($A374,List_EmissionMeters,0),ROUNDUP((COLUMN()+0)/3-1,0)))</f>
        <v/>
      </c>
      <c r="F374" s="127"/>
      <c r="G374" s="137"/>
      <c r="H374" s="58" t="str" cm="1">
        <f>IF(ISBLANK($A374),"",INDEX(Array_EmissionCharges,MATCH($A374,List_EmissionMeters,0),ROUNDUP((COLUMN()+0)/3-1,0)))</f>
        <v/>
      </c>
      <c r="I374" s="127"/>
      <c r="J374" s="137"/>
      <c r="K374" s="58" t="str" cm="1">
        <f>IF(ISBLANK($A374),"",INDEX(Array_EmissionCharges,MATCH($A374,List_EmissionMeters,0),ROUNDUP((COLUMN()+0)/3-1,0)))</f>
        <v/>
      </c>
      <c r="L374" s="127"/>
      <c r="M374" s="137"/>
      <c r="N374" s="58" t="str" cm="1">
        <f>IF(ISBLANK($A374),"",INDEX(Array_EmissionCharges,MATCH($A374,List_EmissionMeters,0),ROUNDUP((COLUMN()+0)/3-1,0)))</f>
        <v/>
      </c>
      <c r="O374" s="127"/>
      <c r="P374" s="137"/>
      <c r="Q374" s="58" t="str" cm="1">
        <f>IF(ISBLANK($A374),"",INDEX(Array_EmissionCharges,MATCH($A374,List_EmissionMeters,0),ROUNDUP((COLUMN()+0)/3-1,0)))</f>
        <v/>
      </c>
      <c r="R374" s="127"/>
      <c r="S374" s="137"/>
    </row>
    <row r="375" spans="1:19" x14ac:dyDescent="0.3">
      <c r="A375" s="126"/>
      <c r="B375" s="133"/>
      <c r="C375" s="127"/>
      <c r="D375" s="137"/>
      <c r="E375" s="58" t="str" cm="1">
        <f>IF(ISBLANK($A375),"",INDEX(Array_EmissionCharges,MATCH($A375,List_EmissionMeters,0),ROUNDUP((COLUMN()+0)/3-1,0)))</f>
        <v/>
      </c>
      <c r="F375" s="127"/>
      <c r="G375" s="137"/>
      <c r="H375" s="58" t="str" cm="1">
        <f>IF(ISBLANK($A375),"",INDEX(Array_EmissionCharges,MATCH($A375,List_EmissionMeters,0),ROUNDUP((COLUMN()+0)/3-1,0)))</f>
        <v/>
      </c>
      <c r="I375" s="127"/>
      <c r="J375" s="137"/>
      <c r="K375" s="58" t="str" cm="1">
        <f>IF(ISBLANK($A375),"",INDEX(Array_EmissionCharges,MATCH($A375,List_EmissionMeters,0),ROUNDUP((COLUMN()+0)/3-1,0)))</f>
        <v/>
      </c>
      <c r="L375" s="127"/>
      <c r="M375" s="137"/>
      <c r="N375" s="58" t="str" cm="1">
        <f>IF(ISBLANK($A375),"",INDEX(Array_EmissionCharges,MATCH($A375,List_EmissionMeters,0),ROUNDUP((COLUMN()+0)/3-1,0)))</f>
        <v/>
      </c>
      <c r="O375" s="127"/>
      <c r="P375" s="137"/>
      <c r="Q375" s="58" t="str" cm="1">
        <f>IF(ISBLANK($A375),"",INDEX(Array_EmissionCharges,MATCH($A375,List_EmissionMeters,0),ROUNDUP((COLUMN()+0)/3-1,0)))</f>
        <v/>
      </c>
      <c r="R375" s="127"/>
      <c r="S375" s="137"/>
    </row>
    <row r="376" spans="1:19" x14ac:dyDescent="0.3">
      <c r="A376" s="126"/>
      <c r="B376" s="133"/>
      <c r="C376" s="127"/>
      <c r="D376" s="137"/>
      <c r="E376" s="58" t="str" cm="1">
        <f>IF(ISBLANK($A376),"",INDEX(Array_EmissionCharges,MATCH($A376,List_EmissionMeters,0),ROUNDUP((COLUMN()+0)/3-1,0)))</f>
        <v/>
      </c>
      <c r="F376" s="127"/>
      <c r="G376" s="137"/>
      <c r="H376" s="58" t="str" cm="1">
        <f>IF(ISBLANK($A376),"",INDEX(Array_EmissionCharges,MATCH($A376,List_EmissionMeters,0),ROUNDUP((COLUMN()+0)/3-1,0)))</f>
        <v/>
      </c>
      <c r="I376" s="127"/>
      <c r="J376" s="137"/>
      <c r="K376" s="58" t="str" cm="1">
        <f>IF(ISBLANK($A376),"",INDEX(Array_EmissionCharges,MATCH($A376,List_EmissionMeters,0),ROUNDUP((COLUMN()+0)/3-1,0)))</f>
        <v/>
      </c>
      <c r="L376" s="127"/>
      <c r="M376" s="137"/>
      <c r="N376" s="58" t="str" cm="1">
        <f>IF(ISBLANK($A376),"",INDEX(Array_EmissionCharges,MATCH($A376,List_EmissionMeters,0),ROUNDUP((COLUMN()+0)/3-1,0)))</f>
        <v/>
      </c>
      <c r="O376" s="127"/>
      <c r="P376" s="137"/>
      <c r="Q376" s="58" t="str" cm="1">
        <f>IF(ISBLANK($A376),"",INDEX(Array_EmissionCharges,MATCH($A376,List_EmissionMeters,0),ROUNDUP((COLUMN()+0)/3-1,0)))</f>
        <v/>
      </c>
      <c r="R376" s="127"/>
      <c r="S376" s="137"/>
    </row>
    <row r="377" spans="1:19" x14ac:dyDescent="0.3">
      <c r="A377" s="126"/>
      <c r="B377" s="133"/>
      <c r="C377" s="127"/>
      <c r="D377" s="137"/>
      <c r="E377" s="58" t="str" cm="1">
        <f>IF(ISBLANK($A377),"",INDEX(Array_EmissionCharges,MATCH($A377,List_EmissionMeters,0),ROUNDUP((COLUMN()+0)/3-1,0)))</f>
        <v/>
      </c>
      <c r="F377" s="127"/>
      <c r="G377" s="137"/>
      <c r="H377" s="58" t="str" cm="1">
        <f>IF(ISBLANK($A377),"",INDEX(Array_EmissionCharges,MATCH($A377,List_EmissionMeters,0),ROUNDUP((COLUMN()+0)/3-1,0)))</f>
        <v/>
      </c>
      <c r="I377" s="127"/>
      <c r="J377" s="137"/>
      <c r="K377" s="58" t="str" cm="1">
        <f>IF(ISBLANK($A377),"",INDEX(Array_EmissionCharges,MATCH($A377,List_EmissionMeters,0),ROUNDUP((COLUMN()+0)/3-1,0)))</f>
        <v/>
      </c>
      <c r="L377" s="127"/>
      <c r="M377" s="137"/>
      <c r="N377" s="58" t="str" cm="1">
        <f>IF(ISBLANK($A377),"",INDEX(Array_EmissionCharges,MATCH($A377,List_EmissionMeters,0),ROUNDUP((COLUMN()+0)/3-1,0)))</f>
        <v/>
      </c>
      <c r="O377" s="127"/>
      <c r="P377" s="137"/>
      <c r="Q377" s="58" t="str" cm="1">
        <f>IF(ISBLANK($A377),"",INDEX(Array_EmissionCharges,MATCH($A377,List_EmissionMeters,0),ROUNDUP((COLUMN()+0)/3-1,0)))</f>
        <v/>
      </c>
      <c r="R377" s="127"/>
      <c r="S377" s="137"/>
    </row>
    <row r="378" spans="1:19" x14ac:dyDescent="0.3">
      <c r="A378" s="126"/>
      <c r="B378" s="133"/>
      <c r="C378" s="127"/>
      <c r="D378" s="137"/>
      <c r="E378" s="58" t="str" cm="1">
        <f>IF(ISBLANK($A378),"",INDEX(Array_EmissionCharges,MATCH($A378,List_EmissionMeters,0),ROUNDUP((COLUMN()+0)/3-1,0)))</f>
        <v/>
      </c>
      <c r="F378" s="127"/>
      <c r="G378" s="137"/>
      <c r="H378" s="58" t="str" cm="1">
        <f>IF(ISBLANK($A378),"",INDEX(Array_EmissionCharges,MATCH($A378,List_EmissionMeters,0),ROUNDUP((COLUMN()+0)/3-1,0)))</f>
        <v/>
      </c>
      <c r="I378" s="127"/>
      <c r="J378" s="137"/>
      <c r="K378" s="58" t="str" cm="1">
        <f>IF(ISBLANK($A378),"",INDEX(Array_EmissionCharges,MATCH($A378,List_EmissionMeters,0),ROUNDUP((COLUMN()+0)/3-1,0)))</f>
        <v/>
      </c>
      <c r="L378" s="127"/>
      <c r="M378" s="137"/>
      <c r="N378" s="58" t="str" cm="1">
        <f>IF(ISBLANK($A378),"",INDEX(Array_EmissionCharges,MATCH($A378,List_EmissionMeters,0),ROUNDUP((COLUMN()+0)/3-1,0)))</f>
        <v/>
      </c>
      <c r="O378" s="127"/>
      <c r="P378" s="137"/>
      <c r="Q378" s="58" t="str" cm="1">
        <f>IF(ISBLANK($A378),"",INDEX(Array_EmissionCharges,MATCH($A378,List_EmissionMeters,0),ROUNDUP((COLUMN()+0)/3-1,0)))</f>
        <v/>
      </c>
      <c r="R378" s="127"/>
      <c r="S378" s="137"/>
    </row>
    <row r="379" spans="1:19" x14ac:dyDescent="0.3">
      <c r="A379" s="126"/>
      <c r="B379" s="133"/>
      <c r="C379" s="127"/>
      <c r="D379" s="137"/>
      <c r="E379" s="58" t="str" cm="1">
        <f>IF(ISBLANK($A379),"",INDEX(Array_EmissionCharges,MATCH($A379,List_EmissionMeters,0),ROUNDUP((COLUMN()+0)/3-1,0)))</f>
        <v/>
      </c>
      <c r="F379" s="127"/>
      <c r="G379" s="137"/>
      <c r="H379" s="58" t="str" cm="1">
        <f>IF(ISBLANK($A379),"",INDEX(Array_EmissionCharges,MATCH($A379,List_EmissionMeters,0),ROUNDUP((COLUMN()+0)/3-1,0)))</f>
        <v/>
      </c>
      <c r="I379" s="127"/>
      <c r="J379" s="137"/>
      <c r="K379" s="58" t="str" cm="1">
        <f>IF(ISBLANK($A379),"",INDEX(Array_EmissionCharges,MATCH($A379,List_EmissionMeters,0),ROUNDUP((COLUMN()+0)/3-1,0)))</f>
        <v/>
      </c>
      <c r="L379" s="127"/>
      <c r="M379" s="137"/>
      <c r="N379" s="58" t="str" cm="1">
        <f>IF(ISBLANK($A379),"",INDEX(Array_EmissionCharges,MATCH($A379,List_EmissionMeters,0),ROUNDUP((COLUMN()+0)/3-1,0)))</f>
        <v/>
      </c>
      <c r="O379" s="127"/>
      <c r="P379" s="137"/>
      <c r="Q379" s="58" t="str" cm="1">
        <f>IF(ISBLANK($A379),"",INDEX(Array_EmissionCharges,MATCH($A379,List_EmissionMeters,0),ROUNDUP((COLUMN()+0)/3-1,0)))</f>
        <v/>
      </c>
      <c r="R379" s="127"/>
      <c r="S379" s="137"/>
    </row>
    <row r="380" spans="1:19" x14ac:dyDescent="0.3">
      <c r="A380" s="126"/>
      <c r="B380" s="133"/>
      <c r="C380" s="127"/>
      <c r="D380" s="137"/>
      <c r="E380" s="58" t="str" cm="1">
        <f>IF(ISBLANK($A380),"",INDEX(Array_EmissionCharges,MATCH($A380,List_EmissionMeters,0),ROUNDUP((COLUMN()+0)/3-1,0)))</f>
        <v/>
      </c>
      <c r="F380" s="127"/>
      <c r="G380" s="137"/>
      <c r="H380" s="58" t="str" cm="1">
        <f>IF(ISBLANK($A380),"",INDEX(Array_EmissionCharges,MATCH($A380,List_EmissionMeters,0),ROUNDUP((COLUMN()+0)/3-1,0)))</f>
        <v/>
      </c>
      <c r="I380" s="127"/>
      <c r="J380" s="137"/>
      <c r="K380" s="58" t="str" cm="1">
        <f>IF(ISBLANK($A380),"",INDEX(Array_EmissionCharges,MATCH($A380,List_EmissionMeters,0),ROUNDUP((COLUMN()+0)/3-1,0)))</f>
        <v/>
      </c>
      <c r="L380" s="127"/>
      <c r="M380" s="137"/>
      <c r="N380" s="58" t="str" cm="1">
        <f>IF(ISBLANK($A380),"",INDEX(Array_EmissionCharges,MATCH($A380,List_EmissionMeters,0),ROUNDUP((COLUMN()+0)/3-1,0)))</f>
        <v/>
      </c>
      <c r="O380" s="127"/>
      <c r="P380" s="137"/>
      <c r="Q380" s="58" t="str" cm="1">
        <f>IF(ISBLANK($A380),"",INDEX(Array_EmissionCharges,MATCH($A380,List_EmissionMeters,0),ROUNDUP((COLUMN()+0)/3-1,0)))</f>
        <v/>
      </c>
      <c r="R380" s="127"/>
      <c r="S380" s="137"/>
    </row>
    <row r="381" spans="1:19" x14ac:dyDescent="0.3">
      <c r="A381" s="126"/>
      <c r="B381" s="133"/>
      <c r="C381" s="127"/>
      <c r="D381" s="137"/>
      <c r="E381" s="58" t="str" cm="1">
        <f>IF(ISBLANK($A381),"",INDEX(Array_EmissionCharges,MATCH($A381,List_EmissionMeters,0),ROUNDUP((COLUMN()+0)/3-1,0)))</f>
        <v/>
      </c>
      <c r="F381" s="127"/>
      <c r="G381" s="137"/>
      <c r="H381" s="58" t="str" cm="1">
        <f>IF(ISBLANK($A381),"",INDEX(Array_EmissionCharges,MATCH($A381,List_EmissionMeters,0),ROUNDUP((COLUMN()+0)/3-1,0)))</f>
        <v/>
      </c>
      <c r="I381" s="127"/>
      <c r="J381" s="137"/>
      <c r="K381" s="58" t="str" cm="1">
        <f>IF(ISBLANK($A381),"",INDEX(Array_EmissionCharges,MATCH($A381,List_EmissionMeters,0),ROUNDUP((COLUMN()+0)/3-1,0)))</f>
        <v/>
      </c>
      <c r="L381" s="127"/>
      <c r="M381" s="137"/>
      <c r="N381" s="58" t="str" cm="1">
        <f>IF(ISBLANK($A381),"",INDEX(Array_EmissionCharges,MATCH($A381,List_EmissionMeters,0),ROUNDUP((COLUMN()+0)/3-1,0)))</f>
        <v/>
      </c>
      <c r="O381" s="127"/>
      <c r="P381" s="137"/>
      <c r="Q381" s="58" t="str" cm="1">
        <f>IF(ISBLANK($A381),"",INDEX(Array_EmissionCharges,MATCH($A381,List_EmissionMeters,0),ROUNDUP((COLUMN()+0)/3-1,0)))</f>
        <v/>
      </c>
      <c r="R381" s="127"/>
      <c r="S381" s="137"/>
    </row>
    <row r="382" spans="1:19" x14ac:dyDescent="0.3">
      <c r="A382" s="126"/>
      <c r="B382" s="133"/>
      <c r="C382" s="127"/>
      <c r="D382" s="137"/>
      <c r="E382" s="58" t="str" cm="1">
        <f>IF(ISBLANK($A382),"",INDEX(Array_EmissionCharges,MATCH($A382,List_EmissionMeters,0),ROUNDUP((COLUMN()+0)/3-1,0)))</f>
        <v/>
      </c>
      <c r="F382" s="127"/>
      <c r="G382" s="137"/>
      <c r="H382" s="58" t="str" cm="1">
        <f>IF(ISBLANK($A382),"",INDEX(Array_EmissionCharges,MATCH($A382,List_EmissionMeters,0),ROUNDUP((COLUMN()+0)/3-1,0)))</f>
        <v/>
      </c>
      <c r="I382" s="127"/>
      <c r="J382" s="137"/>
      <c r="K382" s="58" t="str" cm="1">
        <f>IF(ISBLANK($A382),"",INDEX(Array_EmissionCharges,MATCH($A382,List_EmissionMeters,0),ROUNDUP((COLUMN()+0)/3-1,0)))</f>
        <v/>
      </c>
      <c r="L382" s="127"/>
      <c r="M382" s="137"/>
      <c r="N382" s="58" t="str" cm="1">
        <f>IF(ISBLANK($A382),"",INDEX(Array_EmissionCharges,MATCH($A382,List_EmissionMeters,0),ROUNDUP((COLUMN()+0)/3-1,0)))</f>
        <v/>
      </c>
      <c r="O382" s="127"/>
      <c r="P382" s="137"/>
      <c r="Q382" s="58" t="str" cm="1">
        <f>IF(ISBLANK($A382),"",INDEX(Array_EmissionCharges,MATCH($A382,List_EmissionMeters,0),ROUNDUP((COLUMN()+0)/3-1,0)))</f>
        <v/>
      </c>
      <c r="R382" s="127"/>
      <c r="S382" s="137"/>
    </row>
    <row r="383" spans="1:19" x14ac:dyDescent="0.3">
      <c r="A383" s="126"/>
      <c r="B383" s="133"/>
      <c r="C383" s="127"/>
      <c r="D383" s="137"/>
      <c r="E383" s="58" t="str" cm="1">
        <f>IF(ISBLANK($A383),"",INDEX(Array_EmissionCharges,MATCH($A383,List_EmissionMeters,0),ROUNDUP((COLUMN()+0)/3-1,0)))</f>
        <v/>
      </c>
      <c r="F383" s="127"/>
      <c r="G383" s="137"/>
      <c r="H383" s="58" t="str" cm="1">
        <f>IF(ISBLANK($A383),"",INDEX(Array_EmissionCharges,MATCH($A383,List_EmissionMeters,0),ROUNDUP((COLUMN()+0)/3-1,0)))</f>
        <v/>
      </c>
      <c r="I383" s="127"/>
      <c r="J383" s="137"/>
      <c r="K383" s="58" t="str" cm="1">
        <f>IF(ISBLANK($A383),"",INDEX(Array_EmissionCharges,MATCH($A383,List_EmissionMeters,0),ROUNDUP((COLUMN()+0)/3-1,0)))</f>
        <v/>
      </c>
      <c r="L383" s="127"/>
      <c r="M383" s="137"/>
      <c r="N383" s="58" t="str" cm="1">
        <f>IF(ISBLANK($A383),"",INDEX(Array_EmissionCharges,MATCH($A383,List_EmissionMeters,0),ROUNDUP((COLUMN()+0)/3-1,0)))</f>
        <v/>
      </c>
      <c r="O383" s="127"/>
      <c r="P383" s="137"/>
      <c r="Q383" s="58" t="str" cm="1">
        <f>IF(ISBLANK($A383),"",INDEX(Array_EmissionCharges,MATCH($A383,List_EmissionMeters,0),ROUNDUP((COLUMN()+0)/3-1,0)))</f>
        <v/>
      </c>
      <c r="R383" s="127"/>
      <c r="S383" s="137"/>
    </row>
    <row r="384" spans="1:19" x14ac:dyDescent="0.3">
      <c r="A384" s="126"/>
      <c r="B384" s="133"/>
      <c r="C384" s="127"/>
      <c r="D384" s="137"/>
      <c r="E384" s="58" t="str" cm="1">
        <f>IF(ISBLANK($A384),"",INDEX(Array_EmissionCharges,MATCH($A384,List_EmissionMeters,0),ROUNDUP((COLUMN()+0)/3-1,0)))</f>
        <v/>
      </c>
      <c r="F384" s="127"/>
      <c r="G384" s="137"/>
      <c r="H384" s="58" t="str" cm="1">
        <f>IF(ISBLANK($A384),"",INDEX(Array_EmissionCharges,MATCH($A384,List_EmissionMeters,0),ROUNDUP((COLUMN()+0)/3-1,0)))</f>
        <v/>
      </c>
      <c r="I384" s="127"/>
      <c r="J384" s="137"/>
      <c r="K384" s="58" t="str" cm="1">
        <f>IF(ISBLANK($A384),"",INDEX(Array_EmissionCharges,MATCH($A384,List_EmissionMeters,0),ROUNDUP((COLUMN()+0)/3-1,0)))</f>
        <v/>
      </c>
      <c r="L384" s="127"/>
      <c r="M384" s="137"/>
      <c r="N384" s="58" t="str" cm="1">
        <f>IF(ISBLANK($A384),"",INDEX(Array_EmissionCharges,MATCH($A384,List_EmissionMeters,0),ROUNDUP((COLUMN()+0)/3-1,0)))</f>
        <v/>
      </c>
      <c r="O384" s="127"/>
      <c r="P384" s="137"/>
      <c r="Q384" s="58" t="str" cm="1">
        <f>IF(ISBLANK($A384),"",INDEX(Array_EmissionCharges,MATCH($A384,List_EmissionMeters,0),ROUNDUP((COLUMN()+0)/3-1,0)))</f>
        <v/>
      </c>
      <c r="R384" s="127"/>
      <c r="S384" s="137"/>
    </row>
    <row r="385" spans="1:19" x14ac:dyDescent="0.3">
      <c r="A385" s="126"/>
      <c r="B385" s="133"/>
      <c r="C385" s="127"/>
      <c r="D385" s="137"/>
      <c r="E385" s="58" t="str" cm="1">
        <f>IF(ISBLANK($A385),"",INDEX(Array_EmissionCharges,MATCH($A385,List_EmissionMeters,0),ROUNDUP((COLUMN()+0)/3-1,0)))</f>
        <v/>
      </c>
      <c r="F385" s="127"/>
      <c r="G385" s="137"/>
      <c r="H385" s="58" t="str" cm="1">
        <f>IF(ISBLANK($A385),"",INDEX(Array_EmissionCharges,MATCH($A385,List_EmissionMeters,0),ROUNDUP((COLUMN()+0)/3-1,0)))</f>
        <v/>
      </c>
      <c r="I385" s="127"/>
      <c r="J385" s="137"/>
      <c r="K385" s="58" t="str" cm="1">
        <f>IF(ISBLANK($A385),"",INDEX(Array_EmissionCharges,MATCH($A385,List_EmissionMeters,0),ROUNDUP((COLUMN()+0)/3-1,0)))</f>
        <v/>
      </c>
      <c r="L385" s="127"/>
      <c r="M385" s="137"/>
      <c r="N385" s="58" t="str" cm="1">
        <f>IF(ISBLANK($A385),"",INDEX(Array_EmissionCharges,MATCH($A385,List_EmissionMeters,0),ROUNDUP((COLUMN()+0)/3-1,0)))</f>
        <v/>
      </c>
      <c r="O385" s="127"/>
      <c r="P385" s="137"/>
      <c r="Q385" s="58" t="str" cm="1">
        <f>IF(ISBLANK($A385),"",INDEX(Array_EmissionCharges,MATCH($A385,List_EmissionMeters,0),ROUNDUP((COLUMN()+0)/3-1,0)))</f>
        <v/>
      </c>
      <c r="R385" s="127"/>
      <c r="S385" s="137"/>
    </row>
    <row r="386" spans="1:19" x14ac:dyDescent="0.3">
      <c r="A386" s="126"/>
      <c r="B386" s="133"/>
      <c r="C386" s="127"/>
      <c r="D386" s="137"/>
      <c r="E386" s="58" t="str" cm="1">
        <f>IF(ISBLANK($A386),"",INDEX(Array_EmissionCharges,MATCH($A386,List_EmissionMeters,0),ROUNDUP((COLUMN()+0)/3-1,0)))</f>
        <v/>
      </c>
      <c r="F386" s="127"/>
      <c r="G386" s="137"/>
      <c r="H386" s="58" t="str" cm="1">
        <f>IF(ISBLANK($A386),"",INDEX(Array_EmissionCharges,MATCH($A386,List_EmissionMeters,0),ROUNDUP((COLUMN()+0)/3-1,0)))</f>
        <v/>
      </c>
      <c r="I386" s="127"/>
      <c r="J386" s="137"/>
      <c r="K386" s="58" t="str" cm="1">
        <f>IF(ISBLANK($A386),"",INDEX(Array_EmissionCharges,MATCH($A386,List_EmissionMeters,0),ROUNDUP((COLUMN()+0)/3-1,0)))</f>
        <v/>
      </c>
      <c r="L386" s="127"/>
      <c r="M386" s="137"/>
      <c r="N386" s="58" t="str" cm="1">
        <f>IF(ISBLANK($A386),"",INDEX(Array_EmissionCharges,MATCH($A386,List_EmissionMeters,0),ROUNDUP((COLUMN()+0)/3-1,0)))</f>
        <v/>
      </c>
      <c r="O386" s="127"/>
      <c r="P386" s="137"/>
      <c r="Q386" s="58" t="str" cm="1">
        <f>IF(ISBLANK($A386),"",INDEX(Array_EmissionCharges,MATCH($A386,List_EmissionMeters,0),ROUNDUP((COLUMN()+0)/3-1,0)))</f>
        <v/>
      </c>
      <c r="R386" s="127"/>
      <c r="S386" s="137"/>
    </row>
    <row r="387" spans="1:19" x14ac:dyDescent="0.3">
      <c r="A387" s="126"/>
      <c r="B387" s="133"/>
      <c r="C387" s="127"/>
      <c r="D387" s="137"/>
      <c r="E387" s="58" t="str" cm="1">
        <f>IF(ISBLANK($A387),"",INDEX(Array_EmissionCharges,MATCH($A387,List_EmissionMeters,0),ROUNDUP((COLUMN()+0)/3-1,0)))</f>
        <v/>
      </c>
      <c r="F387" s="127"/>
      <c r="G387" s="137"/>
      <c r="H387" s="58" t="str" cm="1">
        <f>IF(ISBLANK($A387),"",INDEX(Array_EmissionCharges,MATCH($A387,List_EmissionMeters,0),ROUNDUP((COLUMN()+0)/3-1,0)))</f>
        <v/>
      </c>
      <c r="I387" s="127"/>
      <c r="J387" s="137"/>
      <c r="K387" s="58" t="str" cm="1">
        <f>IF(ISBLANK($A387),"",INDEX(Array_EmissionCharges,MATCH($A387,List_EmissionMeters,0),ROUNDUP((COLUMN()+0)/3-1,0)))</f>
        <v/>
      </c>
      <c r="L387" s="127"/>
      <c r="M387" s="137"/>
      <c r="N387" s="58" t="str" cm="1">
        <f>IF(ISBLANK($A387),"",INDEX(Array_EmissionCharges,MATCH($A387,List_EmissionMeters,0),ROUNDUP((COLUMN()+0)/3-1,0)))</f>
        <v/>
      </c>
      <c r="O387" s="127"/>
      <c r="P387" s="137"/>
      <c r="Q387" s="58" t="str" cm="1">
        <f>IF(ISBLANK($A387),"",INDEX(Array_EmissionCharges,MATCH($A387,List_EmissionMeters,0),ROUNDUP((COLUMN()+0)/3-1,0)))</f>
        <v/>
      </c>
      <c r="R387" s="127"/>
      <c r="S387" s="137"/>
    </row>
    <row r="388" spans="1:19" x14ac:dyDescent="0.3">
      <c r="A388" s="126"/>
      <c r="B388" s="133"/>
      <c r="C388" s="127"/>
      <c r="D388" s="137"/>
      <c r="E388" s="58" t="str" cm="1">
        <f>IF(ISBLANK($A388),"",INDEX(Array_EmissionCharges,MATCH($A388,List_EmissionMeters,0),ROUNDUP((COLUMN()+0)/3-1,0)))</f>
        <v/>
      </c>
      <c r="F388" s="127"/>
      <c r="G388" s="137"/>
      <c r="H388" s="58" t="str" cm="1">
        <f>IF(ISBLANK($A388),"",INDEX(Array_EmissionCharges,MATCH($A388,List_EmissionMeters,0),ROUNDUP((COLUMN()+0)/3-1,0)))</f>
        <v/>
      </c>
      <c r="I388" s="127"/>
      <c r="J388" s="137"/>
      <c r="K388" s="58" t="str" cm="1">
        <f>IF(ISBLANK($A388),"",INDEX(Array_EmissionCharges,MATCH($A388,List_EmissionMeters,0),ROUNDUP((COLUMN()+0)/3-1,0)))</f>
        <v/>
      </c>
      <c r="L388" s="127"/>
      <c r="M388" s="137"/>
      <c r="N388" s="58" t="str" cm="1">
        <f>IF(ISBLANK($A388),"",INDEX(Array_EmissionCharges,MATCH($A388,List_EmissionMeters,0),ROUNDUP((COLUMN()+0)/3-1,0)))</f>
        <v/>
      </c>
      <c r="O388" s="127"/>
      <c r="P388" s="137"/>
      <c r="Q388" s="58" t="str" cm="1">
        <f>IF(ISBLANK($A388),"",INDEX(Array_EmissionCharges,MATCH($A388,List_EmissionMeters,0),ROUNDUP((COLUMN()+0)/3-1,0)))</f>
        <v/>
      </c>
      <c r="R388" s="127"/>
      <c r="S388" s="137"/>
    </row>
    <row r="389" spans="1:19" x14ac:dyDescent="0.3">
      <c r="A389" s="126"/>
      <c r="B389" s="133"/>
      <c r="C389" s="127"/>
      <c r="D389" s="137"/>
      <c r="E389" s="58" t="str" cm="1">
        <f>IF(ISBLANK($A389),"",INDEX(Array_EmissionCharges,MATCH($A389,List_EmissionMeters,0),ROUNDUP((COLUMN()+0)/3-1,0)))</f>
        <v/>
      </c>
      <c r="F389" s="127"/>
      <c r="G389" s="137"/>
      <c r="H389" s="58" t="str" cm="1">
        <f>IF(ISBLANK($A389),"",INDEX(Array_EmissionCharges,MATCH($A389,List_EmissionMeters,0),ROUNDUP((COLUMN()+0)/3-1,0)))</f>
        <v/>
      </c>
      <c r="I389" s="127"/>
      <c r="J389" s="137"/>
      <c r="K389" s="58" t="str" cm="1">
        <f>IF(ISBLANK($A389),"",INDEX(Array_EmissionCharges,MATCH($A389,List_EmissionMeters,0),ROUNDUP((COLUMN()+0)/3-1,0)))</f>
        <v/>
      </c>
      <c r="L389" s="127"/>
      <c r="M389" s="137"/>
      <c r="N389" s="58" t="str" cm="1">
        <f>IF(ISBLANK($A389),"",INDEX(Array_EmissionCharges,MATCH($A389,List_EmissionMeters,0),ROUNDUP((COLUMN()+0)/3-1,0)))</f>
        <v/>
      </c>
      <c r="O389" s="127"/>
      <c r="P389" s="137"/>
      <c r="Q389" s="58" t="str" cm="1">
        <f>IF(ISBLANK($A389),"",INDEX(Array_EmissionCharges,MATCH($A389,List_EmissionMeters,0),ROUNDUP((COLUMN()+0)/3-1,0)))</f>
        <v/>
      </c>
      <c r="R389" s="127"/>
      <c r="S389" s="137"/>
    </row>
    <row r="390" spans="1:19" x14ac:dyDescent="0.3">
      <c r="A390" s="126"/>
      <c r="B390" s="133"/>
      <c r="C390" s="127"/>
      <c r="D390" s="137"/>
      <c r="E390" s="58" t="str" cm="1">
        <f>IF(ISBLANK($A390),"",INDEX(Array_EmissionCharges,MATCH($A390,List_EmissionMeters,0),ROUNDUP((COLUMN()+0)/3-1,0)))</f>
        <v/>
      </c>
      <c r="F390" s="127"/>
      <c r="G390" s="137"/>
      <c r="H390" s="58" t="str" cm="1">
        <f>IF(ISBLANK($A390),"",INDEX(Array_EmissionCharges,MATCH($A390,List_EmissionMeters,0),ROUNDUP((COLUMN()+0)/3-1,0)))</f>
        <v/>
      </c>
      <c r="I390" s="127"/>
      <c r="J390" s="137"/>
      <c r="K390" s="58" t="str" cm="1">
        <f>IF(ISBLANK($A390),"",INDEX(Array_EmissionCharges,MATCH($A390,List_EmissionMeters,0),ROUNDUP((COLUMN()+0)/3-1,0)))</f>
        <v/>
      </c>
      <c r="L390" s="127"/>
      <c r="M390" s="137"/>
      <c r="N390" s="58" t="str" cm="1">
        <f>IF(ISBLANK($A390),"",INDEX(Array_EmissionCharges,MATCH($A390,List_EmissionMeters,0),ROUNDUP((COLUMN()+0)/3-1,0)))</f>
        <v/>
      </c>
      <c r="O390" s="127"/>
      <c r="P390" s="137"/>
      <c r="Q390" s="58" t="str" cm="1">
        <f>IF(ISBLANK($A390),"",INDEX(Array_EmissionCharges,MATCH($A390,List_EmissionMeters,0),ROUNDUP((COLUMN()+0)/3-1,0)))</f>
        <v/>
      </c>
      <c r="R390" s="127"/>
      <c r="S390" s="137"/>
    </row>
    <row r="391" spans="1:19" x14ac:dyDescent="0.3">
      <c r="A391" s="126"/>
      <c r="B391" s="133"/>
      <c r="C391" s="127"/>
      <c r="D391" s="137"/>
      <c r="E391" s="58" t="str" cm="1">
        <f>IF(ISBLANK($A391),"",INDEX(Array_EmissionCharges,MATCH($A391,List_EmissionMeters,0),ROUNDUP((COLUMN()+0)/3-1,0)))</f>
        <v/>
      </c>
      <c r="F391" s="127"/>
      <c r="G391" s="137"/>
      <c r="H391" s="58" t="str" cm="1">
        <f>IF(ISBLANK($A391),"",INDEX(Array_EmissionCharges,MATCH($A391,List_EmissionMeters,0),ROUNDUP((COLUMN()+0)/3-1,0)))</f>
        <v/>
      </c>
      <c r="I391" s="127"/>
      <c r="J391" s="137"/>
      <c r="K391" s="58" t="str" cm="1">
        <f>IF(ISBLANK($A391),"",INDEX(Array_EmissionCharges,MATCH($A391,List_EmissionMeters,0),ROUNDUP((COLUMN()+0)/3-1,0)))</f>
        <v/>
      </c>
      <c r="L391" s="127"/>
      <c r="M391" s="137"/>
      <c r="N391" s="58" t="str" cm="1">
        <f>IF(ISBLANK($A391),"",INDEX(Array_EmissionCharges,MATCH($A391,List_EmissionMeters,0),ROUNDUP((COLUMN()+0)/3-1,0)))</f>
        <v/>
      </c>
      <c r="O391" s="127"/>
      <c r="P391" s="137"/>
      <c r="Q391" s="58" t="str" cm="1">
        <f>IF(ISBLANK($A391),"",INDEX(Array_EmissionCharges,MATCH($A391,List_EmissionMeters,0),ROUNDUP((COLUMN()+0)/3-1,0)))</f>
        <v/>
      </c>
      <c r="R391" s="127"/>
      <c r="S391" s="137"/>
    </row>
    <row r="392" spans="1:19" x14ac:dyDescent="0.3">
      <c r="A392" s="126"/>
      <c r="B392" s="133"/>
      <c r="C392" s="127"/>
      <c r="D392" s="137"/>
      <c r="E392" s="58" t="str" cm="1">
        <f>IF(ISBLANK($A392),"",INDEX(Array_EmissionCharges,MATCH($A392,List_EmissionMeters,0),ROUNDUP((COLUMN()+0)/3-1,0)))</f>
        <v/>
      </c>
      <c r="F392" s="127"/>
      <c r="G392" s="137"/>
      <c r="H392" s="58" t="str" cm="1">
        <f>IF(ISBLANK($A392),"",INDEX(Array_EmissionCharges,MATCH($A392,List_EmissionMeters,0),ROUNDUP((COLUMN()+0)/3-1,0)))</f>
        <v/>
      </c>
      <c r="I392" s="127"/>
      <c r="J392" s="137"/>
      <c r="K392" s="58" t="str" cm="1">
        <f>IF(ISBLANK($A392),"",INDEX(Array_EmissionCharges,MATCH($A392,List_EmissionMeters,0),ROUNDUP((COLUMN()+0)/3-1,0)))</f>
        <v/>
      </c>
      <c r="L392" s="127"/>
      <c r="M392" s="137"/>
      <c r="N392" s="58" t="str" cm="1">
        <f>IF(ISBLANK($A392),"",INDEX(Array_EmissionCharges,MATCH($A392,List_EmissionMeters,0),ROUNDUP((COLUMN()+0)/3-1,0)))</f>
        <v/>
      </c>
      <c r="O392" s="127"/>
      <c r="P392" s="137"/>
      <c r="Q392" s="58" t="str" cm="1">
        <f>IF(ISBLANK($A392),"",INDEX(Array_EmissionCharges,MATCH($A392,List_EmissionMeters,0),ROUNDUP((COLUMN()+0)/3-1,0)))</f>
        <v/>
      </c>
      <c r="R392" s="127"/>
      <c r="S392" s="137"/>
    </row>
    <row r="393" spans="1:19" x14ac:dyDescent="0.3">
      <c r="A393" s="126"/>
      <c r="B393" s="133"/>
      <c r="C393" s="127"/>
      <c r="D393" s="137"/>
      <c r="E393" s="58" t="str" cm="1">
        <f>IF(ISBLANK($A393),"",INDEX(Array_EmissionCharges,MATCH($A393,List_EmissionMeters,0),ROUNDUP((COLUMN()+0)/3-1,0)))</f>
        <v/>
      </c>
      <c r="F393" s="127"/>
      <c r="G393" s="137"/>
      <c r="H393" s="58" t="str" cm="1">
        <f>IF(ISBLANK($A393),"",INDEX(Array_EmissionCharges,MATCH($A393,List_EmissionMeters,0),ROUNDUP((COLUMN()+0)/3-1,0)))</f>
        <v/>
      </c>
      <c r="I393" s="127"/>
      <c r="J393" s="137"/>
      <c r="K393" s="58" t="str" cm="1">
        <f>IF(ISBLANK($A393),"",INDEX(Array_EmissionCharges,MATCH($A393,List_EmissionMeters,0),ROUNDUP((COLUMN()+0)/3-1,0)))</f>
        <v/>
      </c>
      <c r="L393" s="127"/>
      <c r="M393" s="137"/>
      <c r="N393" s="58" t="str" cm="1">
        <f>IF(ISBLANK($A393),"",INDEX(Array_EmissionCharges,MATCH($A393,List_EmissionMeters,0),ROUNDUP((COLUMN()+0)/3-1,0)))</f>
        <v/>
      </c>
      <c r="O393" s="127"/>
      <c r="P393" s="137"/>
      <c r="Q393" s="58" t="str" cm="1">
        <f>IF(ISBLANK($A393),"",INDEX(Array_EmissionCharges,MATCH($A393,List_EmissionMeters,0),ROUNDUP((COLUMN()+0)/3-1,0)))</f>
        <v/>
      </c>
      <c r="R393" s="127"/>
      <c r="S393" s="137"/>
    </row>
    <row r="394" spans="1:19" x14ac:dyDescent="0.3">
      <c r="A394" s="126"/>
      <c r="B394" s="133"/>
      <c r="C394" s="127"/>
      <c r="D394" s="137"/>
      <c r="E394" s="58" t="str" cm="1">
        <f>IF(ISBLANK($A394),"",INDEX(Array_EmissionCharges,MATCH($A394,List_EmissionMeters,0),ROUNDUP((COLUMN()+0)/3-1,0)))</f>
        <v/>
      </c>
      <c r="F394" s="127"/>
      <c r="G394" s="137"/>
      <c r="H394" s="58" t="str" cm="1">
        <f>IF(ISBLANK($A394),"",INDEX(Array_EmissionCharges,MATCH($A394,List_EmissionMeters,0),ROUNDUP((COLUMN()+0)/3-1,0)))</f>
        <v/>
      </c>
      <c r="I394" s="127"/>
      <c r="J394" s="137"/>
      <c r="K394" s="58" t="str" cm="1">
        <f>IF(ISBLANK($A394),"",INDEX(Array_EmissionCharges,MATCH($A394,List_EmissionMeters,0),ROUNDUP((COLUMN()+0)/3-1,0)))</f>
        <v/>
      </c>
      <c r="L394" s="127"/>
      <c r="M394" s="137"/>
      <c r="N394" s="58" t="str" cm="1">
        <f>IF(ISBLANK($A394),"",INDEX(Array_EmissionCharges,MATCH($A394,List_EmissionMeters,0),ROUNDUP((COLUMN()+0)/3-1,0)))</f>
        <v/>
      </c>
      <c r="O394" s="127"/>
      <c r="P394" s="137"/>
      <c r="Q394" s="58" t="str" cm="1">
        <f>IF(ISBLANK($A394),"",INDEX(Array_EmissionCharges,MATCH($A394,List_EmissionMeters,0),ROUNDUP((COLUMN()+0)/3-1,0)))</f>
        <v/>
      </c>
      <c r="R394" s="127"/>
      <c r="S394" s="137"/>
    </row>
    <row r="395" spans="1:19" x14ac:dyDescent="0.3">
      <c r="A395" s="126"/>
      <c r="B395" s="133"/>
      <c r="C395" s="127"/>
      <c r="D395" s="137"/>
      <c r="E395" s="58" t="str" cm="1">
        <f>IF(ISBLANK($A395),"",INDEX(Array_EmissionCharges,MATCH($A395,List_EmissionMeters,0),ROUNDUP((COLUMN()+0)/3-1,0)))</f>
        <v/>
      </c>
      <c r="F395" s="127"/>
      <c r="G395" s="137"/>
      <c r="H395" s="58" t="str" cm="1">
        <f>IF(ISBLANK($A395),"",INDEX(Array_EmissionCharges,MATCH($A395,List_EmissionMeters,0),ROUNDUP((COLUMN()+0)/3-1,0)))</f>
        <v/>
      </c>
      <c r="I395" s="127"/>
      <c r="J395" s="137"/>
      <c r="K395" s="58" t="str" cm="1">
        <f>IF(ISBLANK($A395),"",INDEX(Array_EmissionCharges,MATCH($A395,List_EmissionMeters,0),ROUNDUP((COLUMN()+0)/3-1,0)))</f>
        <v/>
      </c>
      <c r="L395" s="127"/>
      <c r="M395" s="137"/>
      <c r="N395" s="58" t="str" cm="1">
        <f>IF(ISBLANK($A395),"",INDEX(Array_EmissionCharges,MATCH($A395,List_EmissionMeters,0),ROUNDUP((COLUMN()+0)/3-1,0)))</f>
        <v/>
      </c>
      <c r="O395" s="127"/>
      <c r="P395" s="137"/>
      <c r="Q395" s="58" t="str" cm="1">
        <f>IF(ISBLANK($A395),"",INDEX(Array_EmissionCharges,MATCH($A395,List_EmissionMeters,0),ROUNDUP((COLUMN()+0)/3-1,0)))</f>
        <v/>
      </c>
      <c r="R395" s="127"/>
      <c r="S395" s="137"/>
    </row>
    <row r="396" spans="1:19" x14ac:dyDescent="0.3">
      <c r="A396" s="126"/>
      <c r="B396" s="133"/>
      <c r="C396" s="127"/>
      <c r="D396" s="137"/>
      <c r="E396" s="58" t="str" cm="1">
        <f>IF(ISBLANK($A396),"",INDEX(Array_EmissionCharges,MATCH($A396,List_EmissionMeters,0),ROUNDUP((COLUMN()+0)/3-1,0)))</f>
        <v/>
      </c>
      <c r="F396" s="127"/>
      <c r="G396" s="137"/>
      <c r="H396" s="58" t="str" cm="1">
        <f>IF(ISBLANK($A396),"",INDEX(Array_EmissionCharges,MATCH($A396,List_EmissionMeters,0),ROUNDUP((COLUMN()+0)/3-1,0)))</f>
        <v/>
      </c>
      <c r="I396" s="127"/>
      <c r="J396" s="137"/>
      <c r="K396" s="58" t="str" cm="1">
        <f>IF(ISBLANK($A396),"",INDEX(Array_EmissionCharges,MATCH($A396,List_EmissionMeters,0),ROUNDUP((COLUMN()+0)/3-1,0)))</f>
        <v/>
      </c>
      <c r="L396" s="127"/>
      <c r="M396" s="137"/>
      <c r="N396" s="58" t="str" cm="1">
        <f>IF(ISBLANK($A396),"",INDEX(Array_EmissionCharges,MATCH($A396,List_EmissionMeters,0),ROUNDUP((COLUMN()+0)/3-1,0)))</f>
        <v/>
      </c>
      <c r="O396" s="127"/>
      <c r="P396" s="137"/>
      <c r="Q396" s="58" t="str" cm="1">
        <f>IF(ISBLANK($A396),"",INDEX(Array_EmissionCharges,MATCH($A396,List_EmissionMeters,0),ROUNDUP((COLUMN()+0)/3-1,0)))</f>
        <v/>
      </c>
      <c r="R396" s="127"/>
      <c r="S396" s="137"/>
    </row>
    <row r="397" spans="1:19" x14ac:dyDescent="0.3">
      <c r="A397" s="126"/>
      <c r="B397" s="133"/>
      <c r="C397" s="127"/>
      <c r="D397" s="137"/>
      <c r="E397" s="58" t="str" cm="1">
        <f>IF(ISBLANK($A397),"",INDEX(Array_EmissionCharges,MATCH($A397,List_EmissionMeters,0),ROUNDUP((COLUMN()+0)/3-1,0)))</f>
        <v/>
      </c>
      <c r="F397" s="127"/>
      <c r="G397" s="137"/>
      <c r="H397" s="58" t="str" cm="1">
        <f>IF(ISBLANK($A397),"",INDEX(Array_EmissionCharges,MATCH($A397,List_EmissionMeters,0),ROUNDUP((COLUMN()+0)/3-1,0)))</f>
        <v/>
      </c>
      <c r="I397" s="127"/>
      <c r="J397" s="137"/>
      <c r="K397" s="58" t="str" cm="1">
        <f>IF(ISBLANK($A397),"",INDEX(Array_EmissionCharges,MATCH($A397,List_EmissionMeters,0),ROUNDUP((COLUMN()+0)/3-1,0)))</f>
        <v/>
      </c>
      <c r="L397" s="127"/>
      <c r="M397" s="137"/>
      <c r="N397" s="58" t="str" cm="1">
        <f>IF(ISBLANK($A397),"",INDEX(Array_EmissionCharges,MATCH($A397,List_EmissionMeters,0),ROUNDUP((COLUMN()+0)/3-1,0)))</f>
        <v/>
      </c>
      <c r="O397" s="127"/>
      <c r="P397" s="137"/>
      <c r="Q397" s="58" t="str" cm="1">
        <f>IF(ISBLANK($A397),"",INDEX(Array_EmissionCharges,MATCH($A397,List_EmissionMeters,0),ROUNDUP((COLUMN()+0)/3-1,0)))</f>
        <v/>
      </c>
      <c r="R397" s="127"/>
      <c r="S397" s="137"/>
    </row>
    <row r="398" spans="1:19" x14ac:dyDescent="0.3">
      <c r="A398" s="126"/>
      <c r="B398" s="133"/>
      <c r="C398" s="127"/>
      <c r="D398" s="137"/>
      <c r="E398" s="58" t="str" cm="1">
        <f>IF(ISBLANK($A398),"",INDEX(Array_EmissionCharges,MATCH($A398,List_EmissionMeters,0),ROUNDUP((COLUMN()+0)/3-1,0)))</f>
        <v/>
      </c>
      <c r="F398" s="127"/>
      <c r="G398" s="137"/>
      <c r="H398" s="58" t="str" cm="1">
        <f>IF(ISBLANK($A398),"",INDEX(Array_EmissionCharges,MATCH($A398,List_EmissionMeters,0),ROUNDUP((COLUMN()+0)/3-1,0)))</f>
        <v/>
      </c>
      <c r="I398" s="127"/>
      <c r="J398" s="137"/>
      <c r="K398" s="58" t="str" cm="1">
        <f>IF(ISBLANK($A398),"",INDEX(Array_EmissionCharges,MATCH($A398,List_EmissionMeters,0),ROUNDUP((COLUMN()+0)/3-1,0)))</f>
        <v/>
      </c>
      <c r="L398" s="127"/>
      <c r="M398" s="137"/>
      <c r="N398" s="58" t="str" cm="1">
        <f>IF(ISBLANK($A398),"",INDEX(Array_EmissionCharges,MATCH($A398,List_EmissionMeters,0),ROUNDUP((COLUMN()+0)/3-1,0)))</f>
        <v/>
      </c>
      <c r="O398" s="127"/>
      <c r="P398" s="137"/>
      <c r="Q398" s="58" t="str" cm="1">
        <f>IF(ISBLANK($A398),"",INDEX(Array_EmissionCharges,MATCH($A398,List_EmissionMeters,0),ROUNDUP((COLUMN()+0)/3-1,0)))</f>
        <v/>
      </c>
      <c r="R398" s="127"/>
      <c r="S398" s="137"/>
    </row>
    <row r="399" spans="1:19" x14ac:dyDescent="0.3">
      <c r="A399" s="126"/>
      <c r="B399" s="133"/>
      <c r="C399" s="127"/>
      <c r="D399" s="137"/>
      <c r="E399" s="58" t="str" cm="1">
        <f>IF(ISBLANK($A399),"",INDEX(Array_EmissionCharges,MATCH($A399,List_EmissionMeters,0),ROUNDUP((COLUMN()+0)/3-1,0)))</f>
        <v/>
      </c>
      <c r="F399" s="127"/>
      <c r="G399" s="137"/>
      <c r="H399" s="58" t="str" cm="1">
        <f>IF(ISBLANK($A399),"",INDEX(Array_EmissionCharges,MATCH($A399,List_EmissionMeters,0),ROUNDUP((COLUMN()+0)/3-1,0)))</f>
        <v/>
      </c>
      <c r="I399" s="127"/>
      <c r="J399" s="137"/>
      <c r="K399" s="58" t="str" cm="1">
        <f>IF(ISBLANK($A399),"",INDEX(Array_EmissionCharges,MATCH($A399,List_EmissionMeters,0),ROUNDUP((COLUMN()+0)/3-1,0)))</f>
        <v/>
      </c>
      <c r="L399" s="127"/>
      <c r="M399" s="137"/>
      <c r="N399" s="58" t="str" cm="1">
        <f>IF(ISBLANK($A399),"",INDEX(Array_EmissionCharges,MATCH($A399,List_EmissionMeters,0),ROUNDUP((COLUMN()+0)/3-1,0)))</f>
        <v/>
      </c>
      <c r="O399" s="127"/>
      <c r="P399" s="137"/>
      <c r="Q399" s="58" t="str" cm="1">
        <f>IF(ISBLANK($A399),"",INDEX(Array_EmissionCharges,MATCH($A399,List_EmissionMeters,0),ROUNDUP((COLUMN()+0)/3-1,0)))</f>
        <v/>
      </c>
      <c r="R399" s="127"/>
      <c r="S399" s="137"/>
    </row>
    <row r="400" spans="1:19" x14ac:dyDescent="0.3">
      <c r="A400" s="126"/>
      <c r="B400" s="133"/>
      <c r="C400" s="127"/>
      <c r="D400" s="137"/>
      <c r="E400" s="58" t="str" cm="1">
        <f>IF(ISBLANK($A400),"",INDEX(Array_EmissionCharges,MATCH($A400,List_EmissionMeters,0),ROUNDUP((COLUMN()+0)/3-1,0)))</f>
        <v/>
      </c>
      <c r="F400" s="127"/>
      <c r="G400" s="137"/>
      <c r="H400" s="58" t="str" cm="1">
        <f>IF(ISBLANK($A400),"",INDEX(Array_EmissionCharges,MATCH($A400,List_EmissionMeters,0),ROUNDUP((COLUMN()+0)/3-1,0)))</f>
        <v/>
      </c>
      <c r="I400" s="127"/>
      <c r="J400" s="137"/>
      <c r="K400" s="58" t="str" cm="1">
        <f>IF(ISBLANK($A400),"",INDEX(Array_EmissionCharges,MATCH($A400,List_EmissionMeters,0),ROUNDUP((COLUMN()+0)/3-1,0)))</f>
        <v/>
      </c>
      <c r="L400" s="127"/>
      <c r="M400" s="137"/>
      <c r="N400" s="58" t="str" cm="1">
        <f>IF(ISBLANK($A400),"",INDEX(Array_EmissionCharges,MATCH($A400,List_EmissionMeters,0),ROUNDUP((COLUMN()+0)/3-1,0)))</f>
        <v/>
      </c>
      <c r="O400" s="127"/>
      <c r="P400" s="137"/>
      <c r="Q400" s="58" t="str" cm="1">
        <f>IF(ISBLANK($A400),"",INDEX(Array_EmissionCharges,MATCH($A400,List_EmissionMeters,0),ROUNDUP((COLUMN()+0)/3-1,0)))</f>
        <v/>
      </c>
      <c r="R400" s="127"/>
      <c r="S400" s="137"/>
    </row>
    <row r="401" spans="1:19" x14ac:dyDescent="0.3">
      <c r="A401" s="126"/>
      <c r="B401" s="133"/>
      <c r="C401" s="127"/>
      <c r="D401" s="137"/>
      <c r="E401" s="58" t="str" cm="1">
        <f>IF(ISBLANK($A401),"",INDEX(Array_EmissionCharges,MATCH($A401,List_EmissionMeters,0),ROUNDUP((COLUMN()+0)/3-1,0)))</f>
        <v/>
      </c>
      <c r="F401" s="127"/>
      <c r="G401" s="137"/>
      <c r="H401" s="58" t="str" cm="1">
        <f>IF(ISBLANK($A401),"",INDEX(Array_EmissionCharges,MATCH($A401,List_EmissionMeters,0),ROUNDUP((COLUMN()+0)/3-1,0)))</f>
        <v/>
      </c>
      <c r="I401" s="127"/>
      <c r="J401" s="137"/>
      <c r="K401" s="58" t="str" cm="1">
        <f>IF(ISBLANK($A401),"",INDEX(Array_EmissionCharges,MATCH($A401,List_EmissionMeters,0),ROUNDUP((COLUMN()+0)/3-1,0)))</f>
        <v/>
      </c>
      <c r="L401" s="127"/>
      <c r="M401" s="137"/>
      <c r="N401" s="58" t="str" cm="1">
        <f>IF(ISBLANK($A401),"",INDEX(Array_EmissionCharges,MATCH($A401,List_EmissionMeters,0),ROUNDUP((COLUMN()+0)/3-1,0)))</f>
        <v/>
      </c>
      <c r="O401" s="127"/>
      <c r="P401" s="137"/>
      <c r="Q401" s="58" t="str" cm="1">
        <f>IF(ISBLANK($A401),"",INDEX(Array_EmissionCharges,MATCH($A401,List_EmissionMeters,0),ROUNDUP((COLUMN()+0)/3-1,0)))</f>
        <v/>
      </c>
      <c r="R401" s="127"/>
      <c r="S401" s="137"/>
    </row>
    <row r="402" spans="1:19" x14ac:dyDescent="0.3">
      <c r="A402" s="126"/>
      <c r="B402" s="133"/>
      <c r="C402" s="127"/>
      <c r="D402" s="137"/>
      <c r="E402" s="58" t="str" cm="1">
        <f>IF(ISBLANK($A402),"",INDEX(Array_EmissionCharges,MATCH($A402,List_EmissionMeters,0),ROUNDUP((COLUMN()+0)/3-1,0)))</f>
        <v/>
      </c>
      <c r="F402" s="127"/>
      <c r="G402" s="137"/>
      <c r="H402" s="58" t="str" cm="1">
        <f>IF(ISBLANK($A402),"",INDEX(Array_EmissionCharges,MATCH($A402,List_EmissionMeters,0),ROUNDUP((COLUMN()+0)/3-1,0)))</f>
        <v/>
      </c>
      <c r="I402" s="127"/>
      <c r="J402" s="137"/>
      <c r="K402" s="58" t="str" cm="1">
        <f>IF(ISBLANK($A402),"",INDEX(Array_EmissionCharges,MATCH($A402,List_EmissionMeters,0),ROUNDUP((COLUMN()+0)/3-1,0)))</f>
        <v/>
      </c>
      <c r="L402" s="127"/>
      <c r="M402" s="137"/>
      <c r="N402" s="58" t="str" cm="1">
        <f>IF(ISBLANK($A402),"",INDEX(Array_EmissionCharges,MATCH($A402,List_EmissionMeters,0),ROUNDUP((COLUMN()+0)/3-1,0)))</f>
        <v/>
      </c>
      <c r="O402" s="127"/>
      <c r="P402" s="137"/>
      <c r="Q402" s="58" t="str" cm="1">
        <f>IF(ISBLANK($A402),"",INDEX(Array_EmissionCharges,MATCH($A402,List_EmissionMeters,0),ROUNDUP((COLUMN()+0)/3-1,0)))</f>
        <v/>
      </c>
      <c r="R402" s="127"/>
      <c r="S402" s="137"/>
    </row>
    <row r="403" spans="1:19" x14ac:dyDescent="0.3">
      <c r="A403" s="126"/>
      <c r="B403" s="133"/>
      <c r="C403" s="127"/>
      <c r="D403" s="137"/>
      <c r="E403" s="58" t="str" cm="1">
        <f>IF(ISBLANK($A403),"",INDEX(Array_EmissionCharges,MATCH($A403,List_EmissionMeters,0),ROUNDUP((COLUMN()+0)/3-1,0)))</f>
        <v/>
      </c>
      <c r="F403" s="127"/>
      <c r="G403" s="137"/>
      <c r="H403" s="58" t="str" cm="1">
        <f>IF(ISBLANK($A403),"",INDEX(Array_EmissionCharges,MATCH($A403,List_EmissionMeters,0),ROUNDUP((COLUMN()+0)/3-1,0)))</f>
        <v/>
      </c>
      <c r="I403" s="127"/>
      <c r="J403" s="137"/>
      <c r="K403" s="58" t="str" cm="1">
        <f>IF(ISBLANK($A403),"",INDEX(Array_EmissionCharges,MATCH($A403,List_EmissionMeters,0),ROUNDUP((COLUMN()+0)/3-1,0)))</f>
        <v/>
      </c>
      <c r="L403" s="127"/>
      <c r="M403" s="137"/>
      <c r="N403" s="58" t="str" cm="1">
        <f>IF(ISBLANK($A403),"",INDEX(Array_EmissionCharges,MATCH($A403,List_EmissionMeters,0),ROUNDUP((COLUMN()+0)/3-1,0)))</f>
        <v/>
      </c>
      <c r="O403" s="127"/>
      <c r="P403" s="137"/>
      <c r="Q403" s="58" t="str" cm="1">
        <f>IF(ISBLANK($A403),"",INDEX(Array_EmissionCharges,MATCH($A403,List_EmissionMeters,0),ROUNDUP((COLUMN()+0)/3-1,0)))</f>
        <v/>
      </c>
      <c r="R403" s="127"/>
      <c r="S403" s="137"/>
    </row>
    <row r="404" spans="1:19" x14ac:dyDescent="0.3">
      <c r="A404" s="126"/>
      <c r="B404" s="133"/>
      <c r="C404" s="127"/>
      <c r="D404" s="137"/>
      <c r="E404" s="58" t="str" cm="1">
        <f>IF(ISBLANK($A404),"",INDEX(Array_EmissionCharges,MATCH($A404,List_EmissionMeters,0),ROUNDUP((COLUMN()+0)/3-1,0)))</f>
        <v/>
      </c>
      <c r="F404" s="127"/>
      <c r="G404" s="137"/>
      <c r="H404" s="58" t="str" cm="1">
        <f>IF(ISBLANK($A404),"",INDEX(Array_EmissionCharges,MATCH($A404,List_EmissionMeters,0),ROUNDUP((COLUMN()+0)/3-1,0)))</f>
        <v/>
      </c>
      <c r="I404" s="127"/>
      <c r="J404" s="137"/>
      <c r="K404" s="58" t="str" cm="1">
        <f>IF(ISBLANK($A404),"",INDEX(Array_EmissionCharges,MATCH($A404,List_EmissionMeters,0),ROUNDUP((COLUMN()+0)/3-1,0)))</f>
        <v/>
      </c>
      <c r="L404" s="127"/>
      <c r="M404" s="137"/>
      <c r="N404" s="58" t="str" cm="1">
        <f>IF(ISBLANK($A404),"",INDEX(Array_EmissionCharges,MATCH($A404,List_EmissionMeters,0),ROUNDUP((COLUMN()+0)/3-1,0)))</f>
        <v/>
      </c>
      <c r="O404" s="127"/>
      <c r="P404" s="137"/>
      <c r="Q404" s="58" t="str" cm="1">
        <f>IF(ISBLANK($A404),"",INDEX(Array_EmissionCharges,MATCH($A404,List_EmissionMeters,0),ROUNDUP((COLUMN()+0)/3-1,0)))</f>
        <v/>
      </c>
      <c r="R404" s="127"/>
      <c r="S404" s="137"/>
    </row>
    <row r="405" spans="1:19" x14ac:dyDescent="0.3">
      <c r="A405" s="126"/>
      <c r="B405" s="133"/>
      <c r="C405" s="127"/>
      <c r="D405" s="137"/>
      <c r="E405" s="58" t="str" cm="1">
        <f>IF(ISBLANK($A405),"",INDEX(Array_EmissionCharges,MATCH($A405,List_EmissionMeters,0),ROUNDUP((COLUMN()+0)/3-1,0)))</f>
        <v/>
      </c>
      <c r="F405" s="127"/>
      <c r="G405" s="137"/>
      <c r="H405" s="58" t="str" cm="1">
        <f>IF(ISBLANK($A405),"",INDEX(Array_EmissionCharges,MATCH($A405,List_EmissionMeters,0),ROUNDUP((COLUMN()+0)/3-1,0)))</f>
        <v/>
      </c>
      <c r="I405" s="127"/>
      <c r="J405" s="137"/>
      <c r="K405" s="58" t="str" cm="1">
        <f>IF(ISBLANK($A405),"",INDEX(Array_EmissionCharges,MATCH($A405,List_EmissionMeters,0),ROUNDUP((COLUMN()+0)/3-1,0)))</f>
        <v/>
      </c>
      <c r="L405" s="127"/>
      <c r="M405" s="137"/>
      <c r="N405" s="58" t="str" cm="1">
        <f>IF(ISBLANK($A405),"",INDEX(Array_EmissionCharges,MATCH($A405,List_EmissionMeters,0),ROUNDUP((COLUMN()+0)/3-1,0)))</f>
        <v/>
      </c>
      <c r="O405" s="127"/>
      <c r="P405" s="137"/>
      <c r="Q405" s="58" t="str" cm="1">
        <f>IF(ISBLANK($A405),"",INDEX(Array_EmissionCharges,MATCH($A405,List_EmissionMeters,0),ROUNDUP((COLUMN()+0)/3-1,0)))</f>
        <v/>
      </c>
      <c r="R405" s="127"/>
      <c r="S405" s="137"/>
    </row>
    <row r="406" spans="1:19" x14ac:dyDescent="0.3">
      <c r="A406" s="126"/>
      <c r="B406" s="133"/>
      <c r="C406" s="127"/>
      <c r="D406" s="137"/>
      <c r="E406" s="58" t="str" cm="1">
        <f>IF(ISBLANK($A406),"",INDEX(Array_EmissionCharges,MATCH($A406,List_EmissionMeters,0),ROUNDUP((COLUMN()+0)/3-1,0)))</f>
        <v/>
      </c>
      <c r="F406" s="127"/>
      <c r="G406" s="137"/>
      <c r="H406" s="58" t="str" cm="1">
        <f>IF(ISBLANK($A406),"",INDEX(Array_EmissionCharges,MATCH($A406,List_EmissionMeters,0),ROUNDUP((COLUMN()+0)/3-1,0)))</f>
        <v/>
      </c>
      <c r="I406" s="127"/>
      <c r="J406" s="137"/>
      <c r="K406" s="58" t="str" cm="1">
        <f>IF(ISBLANK($A406),"",INDEX(Array_EmissionCharges,MATCH($A406,List_EmissionMeters,0),ROUNDUP((COLUMN()+0)/3-1,0)))</f>
        <v/>
      </c>
      <c r="L406" s="127"/>
      <c r="M406" s="137"/>
      <c r="N406" s="58" t="str" cm="1">
        <f>IF(ISBLANK($A406),"",INDEX(Array_EmissionCharges,MATCH($A406,List_EmissionMeters,0),ROUNDUP((COLUMN()+0)/3-1,0)))</f>
        <v/>
      </c>
      <c r="O406" s="127"/>
      <c r="P406" s="137"/>
      <c r="Q406" s="58" t="str" cm="1">
        <f>IF(ISBLANK($A406),"",INDEX(Array_EmissionCharges,MATCH($A406,List_EmissionMeters,0),ROUNDUP((COLUMN()+0)/3-1,0)))</f>
        <v/>
      </c>
      <c r="R406" s="127"/>
      <c r="S406" s="137"/>
    </row>
    <row r="407" spans="1:19" x14ac:dyDescent="0.3">
      <c r="A407" s="126"/>
      <c r="B407" s="133"/>
      <c r="C407" s="127"/>
      <c r="D407" s="137"/>
      <c r="E407" s="58" t="str" cm="1">
        <f>IF(ISBLANK($A407),"",INDEX(Array_EmissionCharges,MATCH($A407,List_EmissionMeters,0),ROUNDUP((COLUMN()+0)/3-1,0)))</f>
        <v/>
      </c>
      <c r="F407" s="127"/>
      <c r="G407" s="137"/>
      <c r="H407" s="58" t="str" cm="1">
        <f>IF(ISBLANK($A407),"",INDEX(Array_EmissionCharges,MATCH($A407,List_EmissionMeters,0),ROUNDUP((COLUMN()+0)/3-1,0)))</f>
        <v/>
      </c>
      <c r="I407" s="127"/>
      <c r="J407" s="137"/>
      <c r="K407" s="58" t="str" cm="1">
        <f>IF(ISBLANK($A407),"",INDEX(Array_EmissionCharges,MATCH($A407,List_EmissionMeters,0),ROUNDUP((COLUMN()+0)/3-1,0)))</f>
        <v/>
      </c>
      <c r="L407" s="127"/>
      <c r="M407" s="137"/>
      <c r="N407" s="58" t="str" cm="1">
        <f>IF(ISBLANK($A407),"",INDEX(Array_EmissionCharges,MATCH($A407,List_EmissionMeters,0),ROUNDUP((COLUMN()+0)/3-1,0)))</f>
        <v/>
      </c>
      <c r="O407" s="127"/>
      <c r="P407" s="137"/>
      <c r="Q407" s="58" t="str" cm="1">
        <f>IF(ISBLANK($A407),"",INDEX(Array_EmissionCharges,MATCH($A407,List_EmissionMeters,0),ROUNDUP((COLUMN()+0)/3-1,0)))</f>
        <v/>
      </c>
      <c r="R407" s="127"/>
      <c r="S407" s="137"/>
    </row>
    <row r="408" spans="1:19" x14ac:dyDescent="0.3">
      <c r="A408" s="126"/>
      <c r="B408" s="133"/>
      <c r="C408" s="127"/>
      <c r="D408" s="137"/>
      <c r="E408" s="58" t="str" cm="1">
        <f>IF(ISBLANK($A408),"",INDEX(Array_EmissionCharges,MATCH($A408,List_EmissionMeters,0),ROUNDUP((COLUMN()+0)/3-1,0)))</f>
        <v/>
      </c>
      <c r="F408" s="127"/>
      <c r="G408" s="137"/>
      <c r="H408" s="58" t="str" cm="1">
        <f>IF(ISBLANK($A408),"",INDEX(Array_EmissionCharges,MATCH($A408,List_EmissionMeters,0),ROUNDUP((COLUMN()+0)/3-1,0)))</f>
        <v/>
      </c>
      <c r="I408" s="127"/>
      <c r="J408" s="137"/>
      <c r="K408" s="58" t="str" cm="1">
        <f>IF(ISBLANK($A408),"",INDEX(Array_EmissionCharges,MATCH($A408,List_EmissionMeters,0),ROUNDUP((COLUMN()+0)/3-1,0)))</f>
        <v/>
      </c>
      <c r="L408" s="127"/>
      <c r="M408" s="137"/>
      <c r="N408" s="58" t="str" cm="1">
        <f>IF(ISBLANK($A408),"",INDEX(Array_EmissionCharges,MATCH($A408,List_EmissionMeters,0),ROUNDUP((COLUMN()+0)/3-1,0)))</f>
        <v/>
      </c>
      <c r="O408" s="127"/>
      <c r="P408" s="137"/>
      <c r="Q408" s="58" t="str" cm="1">
        <f>IF(ISBLANK($A408),"",INDEX(Array_EmissionCharges,MATCH($A408,List_EmissionMeters,0),ROUNDUP((COLUMN()+0)/3-1,0)))</f>
        <v/>
      </c>
      <c r="R408" s="127"/>
      <c r="S408" s="137"/>
    </row>
    <row r="409" spans="1:19" x14ac:dyDescent="0.3">
      <c r="A409" s="126"/>
      <c r="B409" s="133"/>
      <c r="C409" s="127"/>
      <c r="D409" s="137"/>
      <c r="E409" s="58" t="str" cm="1">
        <f>IF(ISBLANK($A409),"",INDEX(Array_EmissionCharges,MATCH($A409,List_EmissionMeters,0),ROUNDUP((COLUMN()+0)/3-1,0)))</f>
        <v/>
      </c>
      <c r="F409" s="127"/>
      <c r="G409" s="137"/>
      <c r="H409" s="58" t="str" cm="1">
        <f>IF(ISBLANK($A409),"",INDEX(Array_EmissionCharges,MATCH($A409,List_EmissionMeters,0),ROUNDUP((COLUMN()+0)/3-1,0)))</f>
        <v/>
      </c>
      <c r="I409" s="127"/>
      <c r="J409" s="137"/>
      <c r="K409" s="58" t="str" cm="1">
        <f>IF(ISBLANK($A409),"",INDEX(Array_EmissionCharges,MATCH($A409,List_EmissionMeters,0),ROUNDUP((COLUMN()+0)/3-1,0)))</f>
        <v/>
      </c>
      <c r="L409" s="127"/>
      <c r="M409" s="137"/>
      <c r="N409" s="58" t="str" cm="1">
        <f>IF(ISBLANK($A409),"",INDEX(Array_EmissionCharges,MATCH($A409,List_EmissionMeters,0),ROUNDUP((COLUMN()+0)/3-1,0)))</f>
        <v/>
      </c>
      <c r="O409" s="127"/>
      <c r="P409" s="137"/>
      <c r="Q409" s="58" t="str" cm="1">
        <f>IF(ISBLANK($A409),"",INDEX(Array_EmissionCharges,MATCH($A409,List_EmissionMeters,0),ROUNDUP((COLUMN()+0)/3-1,0)))</f>
        <v/>
      </c>
      <c r="R409" s="127"/>
      <c r="S409" s="137"/>
    </row>
    <row r="410" spans="1:19" x14ac:dyDescent="0.3">
      <c r="A410" s="126"/>
      <c r="B410" s="133"/>
      <c r="C410" s="127"/>
      <c r="D410" s="137"/>
      <c r="E410" s="58" t="str" cm="1">
        <f>IF(ISBLANK($A410),"",INDEX(Array_EmissionCharges,MATCH($A410,List_EmissionMeters,0),ROUNDUP((COLUMN()+0)/3-1,0)))</f>
        <v/>
      </c>
      <c r="F410" s="127"/>
      <c r="G410" s="137"/>
      <c r="H410" s="58" t="str" cm="1">
        <f>IF(ISBLANK($A410),"",INDEX(Array_EmissionCharges,MATCH($A410,List_EmissionMeters,0),ROUNDUP((COLUMN()+0)/3-1,0)))</f>
        <v/>
      </c>
      <c r="I410" s="127"/>
      <c r="J410" s="137"/>
      <c r="K410" s="58" t="str" cm="1">
        <f>IF(ISBLANK($A410),"",INDEX(Array_EmissionCharges,MATCH($A410,List_EmissionMeters,0),ROUNDUP((COLUMN()+0)/3-1,0)))</f>
        <v/>
      </c>
      <c r="L410" s="127"/>
      <c r="M410" s="137"/>
      <c r="N410" s="58" t="str" cm="1">
        <f>IF(ISBLANK($A410),"",INDEX(Array_EmissionCharges,MATCH($A410,List_EmissionMeters,0),ROUNDUP((COLUMN()+0)/3-1,0)))</f>
        <v/>
      </c>
      <c r="O410" s="127"/>
      <c r="P410" s="137"/>
      <c r="Q410" s="58" t="str" cm="1">
        <f>IF(ISBLANK($A410),"",INDEX(Array_EmissionCharges,MATCH($A410,List_EmissionMeters,0),ROUNDUP((COLUMN()+0)/3-1,0)))</f>
        <v/>
      </c>
      <c r="R410" s="127"/>
      <c r="S410" s="137"/>
    </row>
    <row r="411" spans="1:19" x14ac:dyDescent="0.3">
      <c r="A411" s="126"/>
      <c r="B411" s="133"/>
      <c r="C411" s="127"/>
      <c r="D411" s="137"/>
      <c r="E411" s="58" t="str" cm="1">
        <f>IF(ISBLANK($A411),"",INDEX(Array_EmissionCharges,MATCH($A411,List_EmissionMeters,0),ROUNDUP((COLUMN()+0)/3-1,0)))</f>
        <v/>
      </c>
      <c r="F411" s="127"/>
      <c r="G411" s="137"/>
      <c r="H411" s="58" t="str" cm="1">
        <f>IF(ISBLANK($A411),"",INDEX(Array_EmissionCharges,MATCH($A411,List_EmissionMeters,0),ROUNDUP((COLUMN()+0)/3-1,0)))</f>
        <v/>
      </c>
      <c r="I411" s="127"/>
      <c r="J411" s="137"/>
      <c r="K411" s="58" t="str" cm="1">
        <f>IF(ISBLANK($A411),"",INDEX(Array_EmissionCharges,MATCH($A411,List_EmissionMeters,0),ROUNDUP((COLUMN()+0)/3-1,0)))</f>
        <v/>
      </c>
      <c r="L411" s="127"/>
      <c r="M411" s="137"/>
      <c r="N411" s="58" t="str" cm="1">
        <f>IF(ISBLANK($A411),"",INDEX(Array_EmissionCharges,MATCH($A411,List_EmissionMeters,0),ROUNDUP((COLUMN()+0)/3-1,0)))</f>
        <v/>
      </c>
      <c r="O411" s="127"/>
      <c r="P411" s="137"/>
      <c r="Q411" s="58" t="str" cm="1">
        <f>IF(ISBLANK($A411),"",INDEX(Array_EmissionCharges,MATCH($A411,List_EmissionMeters,0),ROUNDUP((COLUMN()+0)/3-1,0)))</f>
        <v/>
      </c>
      <c r="R411" s="127"/>
      <c r="S411" s="137"/>
    </row>
    <row r="412" spans="1:19" x14ac:dyDescent="0.3">
      <c r="A412" s="126"/>
      <c r="B412" s="133"/>
      <c r="C412" s="127"/>
      <c r="D412" s="137"/>
      <c r="E412" s="58" t="str" cm="1">
        <f>IF(ISBLANK($A412),"",INDEX(Array_EmissionCharges,MATCH($A412,List_EmissionMeters,0),ROUNDUP((COLUMN()+0)/3-1,0)))</f>
        <v/>
      </c>
      <c r="F412" s="127"/>
      <c r="G412" s="137"/>
      <c r="H412" s="58" t="str" cm="1">
        <f>IF(ISBLANK($A412),"",INDEX(Array_EmissionCharges,MATCH($A412,List_EmissionMeters,0),ROUNDUP((COLUMN()+0)/3-1,0)))</f>
        <v/>
      </c>
      <c r="I412" s="127"/>
      <c r="J412" s="137"/>
      <c r="K412" s="58" t="str" cm="1">
        <f>IF(ISBLANK($A412),"",INDEX(Array_EmissionCharges,MATCH($A412,List_EmissionMeters,0),ROUNDUP((COLUMN()+0)/3-1,0)))</f>
        <v/>
      </c>
      <c r="L412" s="127"/>
      <c r="M412" s="137"/>
      <c r="N412" s="58" t="str" cm="1">
        <f>IF(ISBLANK($A412),"",INDEX(Array_EmissionCharges,MATCH($A412,List_EmissionMeters,0),ROUNDUP((COLUMN()+0)/3-1,0)))</f>
        <v/>
      </c>
      <c r="O412" s="127"/>
      <c r="P412" s="137"/>
      <c r="Q412" s="58" t="str" cm="1">
        <f>IF(ISBLANK($A412),"",INDEX(Array_EmissionCharges,MATCH($A412,List_EmissionMeters,0),ROUNDUP((COLUMN()+0)/3-1,0)))</f>
        <v/>
      </c>
      <c r="R412" s="127"/>
      <c r="S412" s="137"/>
    </row>
    <row r="413" spans="1:19" x14ac:dyDescent="0.3">
      <c r="A413" s="126"/>
      <c r="B413" s="133"/>
      <c r="C413" s="127"/>
      <c r="D413" s="137"/>
      <c r="E413" s="58" t="str" cm="1">
        <f>IF(ISBLANK($A413),"",INDEX(Array_EmissionCharges,MATCH($A413,List_EmissionMeters,0),ROUNDUP((COLUMN()+0)/3-1,0)))</f>
        <v/>
      </c>
      <c r="F413" s="127"/>
      <c r="G413" s="137"/>
      <c r="H413" s="58" t="str" cm="1">
        <f>IF(ISBLANK($A413),"",INDEX(Array_EmissionCharges,MATCH($A413,List_EmissionMeters,0),ROUNDUP((COLUMN()+0)/3-1,0)))</f>
        <v/>
      </c>
      <c r="I413" s="127"/>
      <c r="J413" s="137"/>
      <c r="K413" s="58" t="str" cm="1">
        <f>IF(ISBLANK($A413),"",INDEX(Array_EmissionCharges,MATCH($A413,List_EmissionMeters,0),ROUNDUP((COLUMN()+0)/3-1,0)))</f>
        <v/>
      </c>
      <c r="L413" s="127"/>
      <c r="M413" s="137"/>
      <c r="N413" s="58" t="str" cm="1">
        <f>IF(ISBLANK($A413),"",INDEX(Array_EmissionCharges,MATCH($A413,List_EmissionMeters,0),ROUNDUP((COLUMN()+0)/3-1,0)))</f>
        <v/>
      </c>
      <c r="O413" s="127"/>
      <c r="P413" s="137"/>
      <c r="Q413" s="58" t="str" cm="1">
        <f>IF(ISBLANK($A413),"",INDEX(Array_EmissionCharges,MATCH($A413,List_EmissionMeters,0),ROUNDUP((COLUMN()+0)/3-1,0)))</f>
        <v/>
      </c>
      <c r="R413" s="127"/>
      <c r="S413" s="137"/>
    </row>
    <row r="414" spans="1:19" x14ac:dyDescent="0.3">
      <c r="A414" s="126"/>
      <c r="B414" s="133"/>
      <c r="C414" s="127"/>
      <c r="D414" s="137"/>
      <c r="E414" s="58" t="str" cm="1">
        <f>IF(ISBLANK($A414),"",INDEX(Array_EmissionCharges,MATCH($A414,List_EmissionMeters,0),ROUNDUP((COLUMN()+0)/3-1,0)))</f>
        <v/>
      </c>
      <c r="F414" s="127"/>
      <c r="G414" s="137"/>
      <c r="H414" s="58" t="str" cm="1">
        <f>IF(ISBLANK($A414),"",INDEX(Array_EmissionCharges,MATCH($A414,List_EmissionMeters,0),ROUNDUP((COLUMN()+0)/3-1,0)))</f>
        <v/>
      </c>
      <c r="I414" s="127"/>
      <c r="J414" s="137"/>
      <c r="K414" s="58" t="str" cm="1">
        <f>IF(ISBLANK($A414),"",INDEX(Array_EmissionCharges,MATCH($A414,List_EmissionMeters,0),ROUNDUP((COLUMN()+0)/3-1,0)))</f>
        <v/>
      </c>
      <c r="L414" s="127"/>
      <c r="M414" s="137"/>
      <c r="N414" s="58" t="str" cm="1">
        <f>IF(ISBLANK($A414),"",INDEX(Array_EmissionCharges,MATCH($A414,List_EmissionMeters,0),ROUNDUP((COLUMN()+0)/3-1,0)))</f>
        <v/>
      </c>
      <c r="O414" s="127"/>
      <c r="P414" s="137"/>
      <c r="Q414" s="58" t="str" cm="1">
        <f>IF(ISBLANK($A414),"",INDEX(Array_EmissionCharges,MATCH($A414,List_EmissionMeters,0),ROUNDUP((COLUMN()+0)/3-1,0)))</f>
        <v/>
      </c>
      <c r="R414" s="127"/>
      <c r="S414" s="137"/>
    </row>
    <row r="415" spans="1:19" x14ac:dyDescent="0.3">
      <c r="A415" s="126"/>
      <c r="B415" s="133"/>
      <c r="C415" s="127"/>
      <c r="D415" s="137"/>
      <c r="E415" s="58" t="str" cm="1">
        <f>IF(ISBLANK($A415),"",INDEX(Array_EmissionCharges,MATCH($A415,List_EmissionMeters,0),ROUNDUP((COLUMN()+0)/3-1,0)))</f>
        <v/>
      </c>
      <c r="F415" s="127"/>
      <c r="G415" s="137"/>
      <c r="H415" s="58" t="str" cm="1">
        <f>IF(ISBLANK($A415),"",INDEX(Array_EmissionCharges,MATCH($A415,List_EmissionMeters,0),ROUNDUP((COLUMN()+0)/3-1,0)))</f>
        <v/>
      </c>
      <c r="I415" s="127"/>
      <c r="J415" s="137"/>
      <c r="K415" s="58" t="str" cm="1">
        <f>IF(ISBLANK($A415),"",INDEX(Array_EmissionCharges,MATCH($A415,List_EmissionMeters,0),ROUNDUP((COLUMN()+0)/3-1,0)))</f>
        <v/>
      </c>
      <c r="L415" s="127"/>
      <c r="M415" s="137"/>
      <c r="N415" s="58" t="str" cm="1">
        <f>IF(ISBLANK($A415),"",INDEX(Array_EmissionCharges,MATCH($A415,List_EmissionMeters,0),ROUNDUP((COLUMN()+0)/3-1,0)))</f>
        <v/>
      </c>
      <c r="O415" s="127"/>
      <c r="P415" s="137"/>
      <c r="Q415" s="58" t="str" cm="1">
        <f>IF(ISBLANK($A415),"",INDEX(Array_EmissionCharges,MATCH($A415,List_EmissionMeters,0),ROUNDUP((COLUMN()+0)/3-1,0)))</f>
        <v/>
      </c>
      <c r="R415" s="127"/>
      <c r="S415" s="137"/>
    </row>
    <row r="416" spans="1:19" x14ac:dyDescent="0.3">
      <c r="A416" s="126"/>
      <c r="B416" s="133"/>
      <c r="C416" s="127"/>
      <c r="D416" s="137"/>
      <c r="E416" s="58" t="str" cm="1">
        <f>IF(ISBLANK($A416),"",INDEX(Array_EmissionCharges,MATCH($A416,List_EmissionMeters,0),ROUNDUP((COLUMN()+0)/3-1,0)))</f>
        <v/>
      </c>
      <c r="F416" s="127"/>
      <c r="G416" s="137"/>
      <c r="H416" s="58" t="str" cm="1">
        <f>IF(ISBLANK($A416),"",INDEX(Array_EmissionCharges,MATCH($A416,List_EmissionMeters,0),ROUNDUP((COLUMN()+0)/3-1,0)))</f>
        <v/>
      </c>
      <c r="I416" s="127"/>
      <c r="J416" s="137"/>
      <c r="K416" s="58" t="str" cm="1">
        <f>IF(ISBLANK($A416),"",INDEX(Array_EmissionCharges,MATCH($A416,List_EmissionMeters,0),ROUNDUP((COLUMN()+0)/3-1,0)))</f>
        <v/>
      </c>
      <c r="L416" s="127"/>
      <c r="M416" s="137"/>
      <c r="N416" s="58" t="str" cm="1">
        <f>IF(ISBLANK($A416),"",INDEX(Array_EmissionCharges,MATCH($A416,List_EmissionMeters,0),ROUNDUP((COLUMN()+0)/3-1,0)))</f>
        <v/>
      </c>
      <c r="O416" s="127"/>
      <c r="P416" s="137"/>
      <c r="Q416" s="58" t="str" cm="1">
        <f>IF(ISBLANK($A416),"",INDEX(Array_EmissionCharges,MATCH($A416,List_EmissionMeters,0),ROUNDUP((COLUMN()+0)/3-1,0)))</f>
        <v/>
      </c>
      <c r="R416" s="127"/>
      <c r="S416" s="137"/>
    </row>
    <row r="417" spans="1:19" x14ac:dyDescent="0.3">
      <c r="A417" s="126"/>
      <c r="B417" s="133"/>
      <c r="C417" s="127"/>
      <c r="D417" s="137"/>
      <c r="E417" s="58" t="str" cm="1">
        <f>IF(ISBLANK($A417),"",INDEX(Array_EmissionCharges,MATCH($A417,List_EmissionMeters,0),ROUNDUP((COLUMN()+0)/3-1,0)))</f>
        <v/>
      </c>
      <c r="F417" s="127"/>
      <c r="G417" s="137"/>
      <c r="H417" s="58" t="str" cm="1">
        <f>IF(ISBLANK($A417),"",INDEX(Array_EmissionCharges,MATCH($A417,List_EmissionMeters,0),ROUNDUP((COLUMN()+0)/3-1,0)))</f>
        <v/>
      </c>
      <c r="I417" s="127"/>
      <c r="J417" s="137"/>
      <c r="K417" s="58" t="str" cm="1">
        <f>IF(ISBLANK($A417),"",INDEX(Array_EmissionCharges,MATCH($A417,List_EmissionMeters,0),ROUNDUP((COLUMN()+0)/3-1,0)))</f>
        <v/>
      </c>
      <c r="L417" s="127"/>
      <c r="M417" s="137"/>
      <c r="N417" s="58" t="str" cm="1">
        <f>IF(ISBLANK($A417),"",INDEX(Array_EmissionCharges,MATCH($A417,List_EmissionMeters,0),ROUNDUP((COLUMN()+0)/3-1,0)))</f>
        <v/>
      </c>
      <c r="O417" s="127"/>
      <c r="P417" s="137"/>
      <c r="Q417" s="58" t="str" cm="1">
        <f>IF(ISBLANK($A417),"",INDEX(Array_EmissionCharges,MATCH($A417,List_EmissionMeters,0),ROUNDUP((COLUMN()+0)/3-1,0)))</f>
        <v/>
      </c>
      <c r="R417" s="127"/>
      <c r="S417" s="137"/>
    </row>
    <row r="418" spans="1:19" x14ac:dyDescent="0.3">
      <c r="A418" s="126"/>
      <c r="B418" s="133"/>
      <c r="C418" s="127"/>
      <c r="D418" s="137"/>
      <c r="E418" s="58" t="str" cm="1">
        <f>IF(ISBLANK($A418),"",INDEX(Array_EmissionCharges,MATCH($A418,List_EmissionMeters,0),ROUNDUP((COLUMN()+0)/3-1,0)))</f>
        <v/>
      </c>
      <c r="F418" s="127"/>
      <c r="G418" s="137"/>
      <c r="H418" s="58" t="str" cm="1">
        <f>IF(ISBLANK($A418),"",INDEX(Array_EmissionCharges,MATCH($A418,List_EmissionMeters,0),ROUNDUP((COLUMN()+0)/3-1,0)))</f>
        <v/>
      </c>
      <c r="I418" s="127"/>
      <c r="J418" s="137"/>
      <c r="K418" s="58" t="str" cm="1">
        <f>IF(ISBLANK($A418),"",INDEX(Array_EmissionCharges,MATCH($A418,List_EmissionMeters,0),ROUNDUP((COLUMN()+0)/3-1,0)))</f>
        <v/>
      </c>
      <c r="L418" s="127"/>
      <c r="M418" s="137"/>
      <c r="N418" s="58" t="str" cm="1">
        <f>IF(ISBLANK($A418),"",INDEX(Array_EmissionCharges,MATCH($A418,List_EmissionMeters,0),ROUNDUP((COLUMN()+0)/3-1,0)))</f>
        <v/>
      </c>
      <c r="O418" s="127"/>
      <c r="P418" s="137"/>
      <c r="Q418" s="58" t="str" cm="1">
        <f>IF(ISBLANK($A418),"",INDEX(Array_EmissionCharges,MATCH($A418,List_EmissionMeters,0),ROUNDUP((COLUMN()+0)/3-1,0)))</f>
        <v/>
      </c>
      <c r="R418" s="127"/>
      <c r="S418" s="137"/>
    </row>
    <row r="419" spans="1:19" x14ac:dyDescent="0.3">
      <c r="A419" s="126"/>
      <c r="B419" s="133"/>
      <c r="C419" s="127"/>
      <c r="D419" s="137"/>
      <c r="E419" s="58" t="str" cm="1">
        <f>IF(ISBLANK($A419),"",INDEX(Array_EmissionCharges,MATCH($A419,List_EmissionMeters,0),ROUNDUP((COLUMN()+0)/3-1,0)))</f>
        <v/>
      </c>
      <c r="F419" s="127"/>
      <c r="G419" s="137"/>
      <c r="H419" s="58" t="str" cm="1">
        <f>IF(ISBLANK($A419),"",INDEX(Array_EmissionCharges,MATCH($A419,List_EmissionMeters,0),ROUNDUP((COLUMN()+0)/3-1,0)))</f>
        <v/>
      </c>
      <c r="I419" s="127"/>
      <c r="J419" s="137"/>
      <c r="K419" s="58" t="str" cm="1">
        <f>IF(ISBLANK($A419),"",INDEX(Array_EmissionCharges,MATCH($A419,List_EmissionMeters,0),ROUNDUP((COLUMN()+0)/3-1,0)))</f>
        <v/>
      </c>
      <c r="L419" s="127"/>
      <c r="M419" s="137"/>
      <c r="N419" s="58" t="str" cm="1">
        <f>IF(ISBLANK($A419),"",INDEX(Array_EmissionCharges,MATCH($A419,List_EmissionMeters,0),ROUNDUP((COLUMN()+0)/3-1,0)))</f>
        <v/>
      </c>
      <c r="O419" s="127"/>
      <c r="P419" s="137"/>
      <c r="Q419" s="58" t="str" cm="1">
        <f>IF(ISBLANK($A419),"",INDEX(Array_EmissionCharges,MATCH($A419,List_EmissionMeters,0),ROUNDUP((COLUMN()+0)/3-1,0)))</f>
        <v/>
      </c>
      <c r="R419" s="127"/>
      <c r="S419" s="137"/>
    </row>
    <row r="420" spans="1:19" x14ac:dyDescent="0.3">
      <c r="A420" s="126"/>
      <c r="B420" s="133"/>
      <c r="C420" s="127"/>
      <c r="D420" s="137"/>
      <c r="E420" s="58" t="str" cm="1">
        <f>IF(ISBLANK($A420),"",INDEX(Array_EmissionCharges,MATCH($A420,List_EmissionMeters,0),ROUNDUP((COLUMN()+0)/3-1,0)))</f>
        <v/>
      </c>
      <c r="F420" s="127"/>
      <c r="G420" s="137"/>
      <c r="H420" s="58" t="str" cm="1">
        <f>IF(ISBLANK($A420),"",INDEX(Array_EmissionCharges,MATCH($A420,List_EmissionMeters,0),ROUNDUP((COLUMN()+0)/3-1,0)))</f>
        <v/>
      </c>
      <c r="I420" s="127"/>
      <c r="J420" s="137"/>
      <c r="K420" s="58" t="str" cm="1">
        <f>IF(ISBLANK($A420),"",INDEX(Array_EmissionCharges,MATCH($A420,List_EmissionMeters,0),ROUNDUP((COLUMN()+0)/3-1,0)))</f>
        <v/>
      </c>
      <c r="L420" s="127"/>
      <c r="M420" s="137"/>
      <c r="N420" s="58" t="str" cm="1">
        <f>IF(ISBLANK($A420),"",INDEX(Array_EmissionCharges,MATCH($A420,List_EmissionMeters,0),ROUNDUP((COLUMN()+0)/3-1,0)))</f>
        <v/>
      </c>
      <c r="O420" s="127"/>
      <c r="P420" s="137"/>
      <c r="Q420" s="58" t="str" cm="1">
        <f>IF(ISBLANK($A420),"",INDEX(Array_EmissionCharges,MATCH($A420,List_EmissionMeters,0),ROUNDUP((COLUMN()+0)/3-1,0)))</f>
        <v/>
      </c>
      <c r="R420" s="127"/>
      <c r="S420" s="137"/>
    </row>
    <row r="421" spans="1:19" x14ac:dyDescent="0.3">
      <c r="A421" s="126"/>
      <c r="B421" s="133"/>
      <c r="C421" s="127"/>
      <c r="D421" s="137"/>
      <c r="E421" s="58" t="str" cm="1">
        <f>IF(ISBLANK($A421),"",INDEX(Array_EmissionCharges,MATCH($A421,List_EmissionMeters,0),ROUNDUP((COLUMN()+0)/3-1,0)))</f>
        <v/>
      </c>
      <c r="F421" s="127"/>
      <c r="G421" s="137"/>
      <c r="H421" s="58" t="str" cm="1">
        <f>IF(ISBLANK($A421),"",INDEX(Array_EmissionCharges,MATCH($A421,List_EmissionMeters,0),ROUNDUP((COLUMN()+0)/3-1,0)))</f>
        <v/>
      </c>
      <c r="I421" s="127"/>
      <c r="J421" s="137"/>
      <c r="K421" s="58" t="str" cm="1">
        <f>IF(ISBLANK($A421),"",INDEX(Array_EmissionCharges,MATCH($A421,List_EmissionMeters,0),ROUNDUP((COLUMN()+0)/3-1,0)))</f>
        <v/>
      </c>
      <c r="L421" s="127"/>
      <c r="M421" s="137"/>
      <c r="N421" s="58" t="str" cm="1">
        <f>IF(ISBLANK($A421),"",INDEX(Array_EmissionCharges,MATCH($A421,List_EmissionMeters,0),ROUNDUP((COLUMN()+0)/3-1,0)))</f>
        <v/>
      </c>
      <c r="O421" s="127"/>
      <c r="P421" s="137"/>
      <c r="Q421" s="58" t="str" cm="1">
        <f>IF(ISBLANK($A421),"",INDEX(Array_EmissionCharges,MATCH($A421,List_EmissionMeters,0),ROUNDUP((COLUMN()+0)/3-1,0)))</f>
        <v/>
      </c>
      <c r="R421" s="127"/>
      <c r="S421" s="137"/>
    </row>
    <row r="422" spans="1:19" x14ac:dyDescent="0.3">
      <c r="A422" s="126"/>
      <c r="B422" s="133"/>
      <c r="C422" s="127"/>
      <c r="D422" s="137"/>
      <c r="E422" s="58" t="str" cm="1">
        <f>IF(ISBLANK($A422),"",INDEX(Array_EmissionCharges,MATCH($A422,List_EmissionMeters,0),ROUNDUP((COLUMN()+0)/3-1,0)))</f>
        <v/>
      </c>
      <c r="F422" s="127"/>
      <c r="G422" s="137"/>
      <c r="H422" s="58" t="str" cm="1">
        <f>IF(ISBLANK($A422),"",INDEX(Array_EmissionCharges,MATCH($A422,List_EmissionMeters,0),ROUNDUP((COLUMN()+0)/3-1,0)))</f>
        <v/>
      </c>
      <c r="I422" s="127"/>
      <c r="J422" s="137"/>
      <c r="K422" s="58" t="str" cm="1">
        <f>IF(ISBLANK($A422),"",INDEX(Array_EmissionCharges,MATCH($A422,List_EmissionMeters,0),ROUNDUP((COLUMN()+0)/3-1,0)))</f>
        <v/>
      </c>
      <c r="L422" s="127"/>
      <c r="M422" s="137"/>
      <c r="N422" s="58" t="str" cm="1">
        <f>IF(ISBLANK($A422),"",INDEX(Array_EmissionCharges,MATCH($A422,List_EmissionMeters,0),ROUNDUP((COLUMN()+0)/3-1,0)))</f>
        <v/>
      </c>
      <c r="O422" s="127"/>
      <c r="P422" s="137"/>
      <c r="Q422" s="58" t="str" cm="1">
        <f>IF(ISBLANK($A422),"",INDEX(Array_EmissionCharges,MATCH($A422,List_EmissionMeters,0),ROUNDUP((COLUMN()+0)/3-1,0)))</f>
        <v/>
      </c>
      <c r="R422" s="127"/>
      <c r="S422" s="137"/>
    </row>
    <row r="423" spans="1:19" x14ac:dyDescent="0.3">
      <c r="A423" s="126"/>
      <c r="B423" s="133"/>
      <c r="C423" s="127"/>
      <c r="D423" s="137"/>
      <c r="E423" s="58" t="str" cm="1">
        <f>IF(ISBLANK($A423),"",INDEX(Array_EmissionCharges,MATCH($A423,List_EmissionMeters,0),ROUNDUP((COLUMN()+0)/3-1,0)))</f>
        <v/>
      </c>
      <c r="F423" s="127"/>
      <c r="G423" s="137"/>
      <c r="H423" s="58" t="str" cm="1">
        <f>IF(ISBLANK($A423),"",INDEX(Array_EmissionCharges,MATCH($A423,List_EmissionMeters,0),ROUNDUP((COLUMN()+0)/3-1,0)))</f>
        <v/>
      </c>
      <c r="I423" s="127"/>
      <c r="J423" s="137"/>
      <c r="K423" s="58" t="str" cm="1">
        <f>IF(ISBLANK($A423),"",INDEX(Array_EmissionCharges,MATCH($A423,List_EmissionMeters,0),ROUNDUP((COLUMN()+0)/3-1,0)))</f>
        <v/>
      </c>
      <c r="L423" s="127"/>
      <c r="M423" s="137"/>
      <c r="N423" s="58" t="str" cm="1">
        <f>IF(ISBLANK($A423),"",INDEX(Array_EmissionCharges,MATCH($A423,List_EmissionMeters,0),ROUNDUP((COLUMN()+0)/3-1,0)))</f>
        <v/>
      </c>
      <c r="O423" s="127"/>
      <c r="P423" s="137"/>
      <c r="Q423" s="58" t="str" cm="1">
        <f>IF(ISBLANK($A423),"",INDEX(Array_EmissionCharges,MATCH($A423,List_EmissionMeters,0),ROUNDUP((COLUMN()+0)/3-1,0)))</f>
        <v/>
      </c>
      <c r="R423" s="127"/>
      <c r="S423" s="137"/>
    </row>
    <row r="424" spans="1:19" x14ac:dyDescent="0.3">
      <c r="A424" s="126"/>
      <c r="B424" s="133"/>
      <c r="C424" s="127"/>
      <c r="D424" s="137"/>
      <c r="E424" s="58" t="str" cm="1">
        <f>IF(ISBLANK($A424),"",INDEX(Array_EmissionCharges,MATCH($A424,List_EmissionMeters,0),ROUNDUP((COLUMN()+0)/3-1,0)))</f>
        <v/>
      </c>
      <c r="F424" s="127"/>
      <c r="G424" s="137"/>
      <c r="H424" s="58" t="str" cm="1">
        <f>IF(ISBLANK($A424),"",INDEX(Array_EmissionCharges,MATCH($A424,List_EmissionMeters,0),ROUNDUP((COLUMN()+0)/3-1,0)))</f>
        <v/>
      </c>
      <c r="I424" s="127"/>
      <c r="J424" s="137"/>
      <c r="K424" s="58" t="str" cm="1">
        <f>IF(ISBLANK($A424),"",INDEX(Array_EmissionCharges,MATCH($A424,List_EmissionMeters,0),ROUNDUP((COLUMN()+0)/3-1,0)))</f>
        <v/>
      </c>
      <c r="L424" s="127"/>
      <c r="M424" s="137"/>
      <c r="N424" s="58" t="str" cm="1">
        <f>IF(ISBLANK($A424),"",INDEX(Array_EmissionCharges,MATCH($A424,List_EmissionMeters,0),ROUNDUP((COLUMN()+0)/3-1,0)))</f>
        <v/>
      </c>
      <c r="O424" s="127"/>
      <c r="P424" s="137"/>
      <c r="Q424" s="58" t="str" cm="1">
        <f>IF(ISBLANK($A424),"",INDEX(Array_EmissionCharges,MATCH($A424,List_EmissionMeters,0),ROUNDUP((COLUMN()+0)/3-1,0)))</f>
        <v/>
      </c>
      <c r="R424" s="127"/>
      <c r="S424" s="137"/>
    </row>
    <row r="425" spans="1:19" x14ac:dyDescent="0.3">
      <c r="A425" s="126"/>
      <c r="B425" s="133"/>
      <c r="C425" s="127"/>
      <c r="D425" s="137"/>
      <c r="E425" s="58" t="str" cm="1">
        <f>IF(ISBLANK($A425),"",INDEX(Array_EmissionCharges,MATCH($A425,List_EmissionMeters,0),ROUNDUP((COLUMN()+0)/3-1,0)))</f>
        <v/>
      </c>
      <c r="F425" s="127"/>
      <c r="G425" s="137"/>
      <c r="H425" s="58" t="str" cm="1">
        <f>IF(ISBLANK($A425),"",INDEX(Array_EmissionCharges,MATCH($A425,List_EmissionMeters,0),ROUNDUP((COLUMN()+0)/3-1,0)))</f>
        <v/>
      </c>
      <c r="I425" s="127"/>
      <c r="J425" s="137"/>
      <c r="K425" s="58" t="str" cm="1">
        <f>IF(ISBLANK($A425),"",INDEX(Array_EmissionCharges,MATCH($A425,List_EmissionMeters,0),ROUNDUP((COLUMN()+0)/3-1,0)))</f>
        <v/>
      </c>
      <c r="L425" s="127"/>
      <c r="M425" s="137"/>
      <c r="N425" s="58" t="str" cm="1">
        <f>IF(ISBLANK($A425),"",INDEX(Array_EmissionCharges,MATCH($A425,List_EmissionMeters,0),ROUNDUP((COLUMN()+0)/3-1,0)))</f>
        <v/>
      </c>
      <c r="O425" s="127"/>
      <c r="P425" s="137"/>
      <c r="Q425" s="58" t="str" cm="1">
        <f>IF(ISBLANK($A425),"",INDEX(Array_EmissionCharges,MATCH($A425,List_EmissionMeters,0),ROUNDUP((COLUMN()+0)/3-1,0)))</f>
        <v/>
      </c>
      <c r="R425" s="127"/>
      <c r="S425" s="137"/>
    </row>
    <row r="426" spans="1:19" x14ac:dyDescent="0.3">
      <c r="A426" s="126"/>
      <c r="B426" s="133"/>
      <c r="C426" s="127"/>
      <c r="D426" s="137"/>
      <c r="E426" s="58" t="str" cm="1">
        <f>IF(ISBLANK($A426),"",INDEX(Array_EmissionCharges,MATCH($A426,List_EmissionMeters,0),ROUNDUP((COLUMN()+0)/3-1,0)))</f>
        <v/>
      </c>
      <c r="F426" s="127"/>
      <c r="G426" s="137"/>
      <c r="H426" s="58" t="str" cm="1">
        <f>IF(ISBLANK($A426),"",INDEX(Array_EmissionCharges,MATCH($A426,List_EmissionMeters,0),ROUNDUP((COLUMN()+0)/3-1,0)))</f>
        <v/>
      </c>
      <c r="I426" s="127"/>
      <c r="J426" s="137"/>
      <c r="K426" s="58" t="str" cm="1">
        <f>IF(ISBLANK($A426),"",INDEX(Array_EmissionCharges,MATCH($A426,List_EmissionMeters,0),ROUNDUP((COLUMN()+0)/3-1,0)))</f>
        <v/>
      </c>
      <c r="L426" s="127"/>
      <c r="M426" s="137"/>
      <c r="N426" s="58" t="str" cm="1">
        <f>IF(ISBLANK($A426),"",INDEX(Array_EmissionCharges,MATCH($A426,List_EmissionMeters,0),ROUNDUP((COLUMN()+0)/3-1,0)))</f>
        <v/>
      </c>
      <c r="O426" s="127"/>
      <c r="P426" s="137"/>
      <c r="Q426" s="58" t="str" cm="1">
        <f>IF(ISBLANK($A426),"",INDEX(Array_EmissionCharges,MATCH($A426,List_EmissionMeters,0),ROUNDUP((COLUMN()+0)/3-1,0)))</f>
        <v/>
      </c>
      <c r="R426" s="127"/>
      <c r="S426" s="137"/>
    </row>
    <row r="427" spans="1:19" x14ac:dyDescent="0.3">
      <c r="A427" s="126"/>
      <c r="B427" s="133"/>
      <c r="C427" s="127"/>
      <c r="D427" s="137"/>
      <c r="E427" s="58" t="str" cm="1">
        <f>IF(ISBLANK($A427),"",INDEX(Array_EmissionCharges,MATCH($A427,List_EmissionMeters,0),ROUNDUP((COLUMN()+0)/3-1,0)))</f>
        <v/>
      </c>
      <c r="F427" s="127"/>
      <c r="G427" s="137"/>
      <c r="H427" s="58" t="str" cm="1">
        <f>IF(ISBLANK($A427),"",INDEX(Array_EmissionCharges,MATCH($A427,List_EmissionMeters,0),ROUNDUP((COLUMN()+0)/3-1,0)))</f>
        <v/>
      </c>
      <c r="I427" s="127"/>
      <c r="J427" s="137"/>
      <c r="K427" s="58" t="str" cm="1">
        <f>IF(ISBLANK($A427),"",INDEX(Array_EmissionCharges,MATCH($A427,List_EmissionMeters,0),ROUNDUP((COLUMN()+0)/3-1,0)))</f>
        <v/>
      </c>
      <c r="L427" s="127"/>
      <c r="M427" s="137"/>
      <c r="N427" s="58" t="str" cm="1">
        <f>IF(ISBLANK($A427),"",INDEX(Array_EmissionCharges,MATCH($A427,List_EmissionMeters,0),ROUNDUP((COLUMN()+0)/3-1,0)))</f>
        <v/>
      </c>
      <c r="O427" s="127"/>
      <c r="P427" s="137"/>
      <c r="Q427" s="58" t="str" cm="1">
        <f>IF(ISBLANK($A427),"",INDEX(Array_EmissionCharges,MATCH($A427,List_EmissionMeters,0),ROUNDUP((COLUMN()+0)/3-1,0)))</f>
        <v/>
      </c>
      <c r="R427" s="127"/>
      <c r="S427" s="137"/>
    </row>
    <row r="428" spans="1:19" x14ac:dyDescent="0.3">
      <c r="A428" s="126"/>
      <c r="B428" s="133"/>
      <c r="C428" s="127"/>
      <c r="D428" s="137"/>
      <c r="E428" s="58" t="str" cm="1">
        <f>IF(ISBLANK($A428),"",INDEX(Array_EmissionCharges,MATCH($A428,List_EmissionMeters,0),ROUNDUP((COLUMN()+0)/3-1,0)))</f>
        <v/>
      </c>
      <c r="F428" s="127"/>
      <c r="G428" s="137"/>
      <c r="H428" s="58" t="str" cm="1">
        <f>IF(ISBLANK($A428),"",INDEX(Array_EmissionCharges,MATCH($A428,List_EmissionMeters,0),ROUNDUP((COLUMN()+0)/3-1,0)))</f>
        <v/>
      </c>
      <c r="I428" s="127"/>
      <c r="J428" s="137"/>
      <c r="K428" s="58" t="str" cm="1">
        <f>IF(ISBLANK($A428),"",INDEX(Array_EmissionCharges,MATCH($A428,List_EmissionMeters,0),ROUNDUP((COLUMN()+0)/3-1,0)))</f>
        <v/>
      </c>
      <c r="L428" s="127"/>
      <c r="M428" s="137"/>
      <c r="N428" s="58" t="str" cm="1">
        <f>IF(ISBLANK($A428),"",INDEX(Array_EmissionCharges,MATCH($A428,List_EmissionMeters,0),ROUNDUP((COLUMN()+0)/3-1,0)))</f>
        <v/>
      </c>
      <c r="O428" s="127"/>
      <c r="P428" s="137"/>
      <c r="Q428" s="58" t="str" cm="1">
        <f>IF(ISBLANK($A428),"",INDEX(Array_EmissionCharges,MATCH($A428,List_EmissionMeters,0),ROUNDUP((COLUMN()+0)/3-1,0)))</f>
        <v/>
      </c>
      <c r="R428" s="127"/>
      <c r="S428" s="137"/>
    </row>
    <row r="429" spans="1:19" x14ac:dyDescent="0.3">
      <c r="A429" s="126"/>
      <c r="B429" s="133"/>
      <c r="C429" s="127"/>
      <c r="D429" s="137"/>
      <c r="E429" s="58" t="str" cm="1">
        <f>IF(ISBLANK($A429),"",INDEX(Array_EmissionCharges,MATCH($A429,List_EmissionMeters,0),ROUNDUP((COLUMN()+0)/3-1,0)))</f>
        <v/>
      </c>
      <c r="F429" s="127"/>
      <c r="G429" s="137"/>
      <c r="H429" s="58" t="str" cm="1">
        <f>IF(ISBLANK($A429),"",INDEX(Array_EmissionCharges,MATCH($A429,List_EmissionMeters,0),ROUNDUP((COLUMN()+0)/3-1,0)))</f>
        <v/>
      </c>
      <c r="I429" s="127"/>
      <c r="J429" s="137"/>
      <c r="K429" s="58" t="str" cm="1">
        <f>IF(ISBLANK($A429),"",INDEX(Array_EmissionCharges,MATCH($A429,List_EmissionMeters,0),ROUNDUP((COLUMN()+0)/3-1,0)))</f>
        <v/>
      </c>
      <c r="L429" s="127"/>
      <c r="M429" s="137"/>
      <c r="N429" s="58" t="str" cm="1">
        <f>IF(ISBLANK($A429),"",INDEX(Array_EmissionCharges,MATCH($A429,List_EmissionMeters,0),ROUNDUP((COLUMN()+0)/3-1,0)))</f>
        <v/>
      </c>
      <c r="O429" s="127"/>
      <c r="P429" s="137"/>
      <c r="Q429" s="58" t="str" cm="1">
        <f>IF(ISBLANK($A429),"",INDEX(Array_EmissionCharges,MATCH($A429,List_EmissionMeters,0),ROUNDUP((COLUMN()+0)/3-1,0)))</f>
        <v/>
      </c>
      <c r="R429" s="127"/>
      <c r="S429" s="137"/>
    </row>
    <row r="430" spans="1:19" x14ac:dyDescent="0.3">
      <c r="A430" s="126"/>
      <c r="B430" s="133"/>
      <c r="C430" s="127"/>
      <c r="D430" s="137"/>
      <c r="E430" s="58" t="str" cm="1">
        <f>IF(ISBLANK($A430),"",INDEX(Array_EmissionCharges,MATCH($A430,List_EmissionMeters,0),ROUNDUP((COLUMN()+0)/3-1,0)))</f>
        <v/>
      </c>
      <c r="F430" s="127"/>
      <c r="G430" s="137"/>
      <c r="H430" s="58" t="str" cm="1">
        <f>IF(ISBLANK($A430),"",INDEX(Array_EmissionCharges,MATCH($A430,List_EmissionMeters,0),ROUNDUP((COLUMN()+0)/3-1,0)))</f>
        <v/>
      </c>
      <c r="I430" s="127"/>
      <c r="J430" s="137"/>
      <c r="K430" s="58" t="str" cm="1">
        <f>IF(ISBLANK($A430),"",INDEX(Array_EmissionCharges,MATCH($A430,List_EmissionMeters,0),ROUNDUP((COLUMN()+0)/3-1,0)))</f>
        <v/>
      </c>
      <c r="L430" s="127"/>
      <c r="M430" s="137"/>
      <c r="N430" s="58" t="str" cm="1">
        <f>IF(ISBLANK($A430),"",INDEX(Array_EmissionCharges,MATCH($A430,List_EmissionMeters,0),ROUNDUP((COLUMN()+0)/3-1,0)))</f>
        <v/>
      </c>
      <c r="O430" s="127"/>
      <c r="P430" s="137"/>
      <c r="Q430" s="58" t="str" cm="1">
        <f>IF(ISBLANK($A430),"",INDEX(Array_EmissionCharges,MATCH($A430,List_EmissionMeters,0),ROUNDUP((COLUMN()+0)/3-1,0)))</f>
        <v/>
      </c>
      <c r="R430" s="127"/>
      <c r="S430" s="137"/>
    </row>
    <row r="431" spans="1:19" x14ac:dyDescent="0.3">
      <c r="A431" s="126"/>
      <c r="B431" s="133"/>
      <c r="C431" s="127"/>
      <c r="D431" s="137"/>
      <c r="E431" s="58" t="str" cm="1">
        <f>IF(ISBLANK($A431),"",INDEX(Array_EmissionCharges,MATCH($A431,List_EmissionMeters,0),ROUNDUP((COLUMN()+0)/3-1,0)))</f>
        <v/>
      </c>
      <c r="F431" s="127"/>
      <c r="G431" s="137"/>
      <c r="H431" s="58" t="str" cm="1">
        <f>IF(ISBLANK($A431),"",INDEX(Array_EmissionCharges,MATCH($A431,List_EmissionMeters,0),ROUNDUP((COLUMN()+0)/3-1,0)))</f>
        <v/>
      </c>
      <c r="I431" s="127"/>
      <c r="J431" s="137"/>
      <c r="K431" s="58" t="str" cm="1">
        <f>IF(ISBLANK($A431),"",INDEX(Array_EmissionCharges,MATCH($A431,List_EmissionMeters,0),ROUNDUP((COLUMN()+0)/3-1,0)))</f>
        <v/>
      </c>
      <c r="L431" s="127"/>
      <c r="M431" s="137"/>
      <c r="N431" s="58" t="str" cm="1">
        <f>IF(ISBLANK($A431),"",INDEX(Array_EmissionCharges,MATCH($A431,List_EmissionMeters,0),ROUNDUP((COLUMN()+0)/3-1,0)))</f>
        <v/>
      </c>
      <c r="O431" s="127"/>
      <c r="P431" s="137"/>
      <c r="Q431" s="58" t="str" cm="1">
        <f>IF(ISBLANK($A431),"",INDEX(Array_EmissionCharges,MATCH($A431,List_EmissionMeters,0),ROUNDUP((COLUMN()+0)/3-1,0)))</f>
        <v/>
      </c>
      <c r="R431" s="127"/>
      <c r="S431" s="137"/>
    </row>
    <row r="432" spans="1:19" x14ac:dyDescent="0.3">
      <c r="A432" s="126"/>
      <c r="B432" s="133"/>
      <c r="C432" s="127"/>
      <c r="D432" s="137"/>
      <c r="E432" s="58" t="str" cm="1">
        <f>IF(ISBLANK($A432),"",INDEX(Array_EmissionCharges,MATCH($A432,List_EmissionMeters,0),ROUNDUP((COLUMN()+0)/3-1,0)))</f>
        <v/>
      </c>
      <c r="F432" s="127"/>
      <c r="G432" s="137"/>
      <c r="H432" s="58" t="str" cm="1">
        <f>IF(ISBLANK($A432),"",INDEX(Array_EmissionCharges,MATCH($A432,List_EmissionMeters,0),ROUNDUP((COLUMN()+0)/3-1,0)))</f>
        <v/>
      </c>
      <c r="I432" s="127"/>
      <c r="J432" s="137"/>
      <c r="K432" s="58" t="str" cm="1">
        <f>IF(ISBLANK($A432),"",INDEX(Array_EmissionCharges,MATCH($A432,List_EmissionMeters,0),ROUNDUP((COLUMN()+0)/3-1,0)))</f>
        <v/>
      </c>
      <c r="L432" s="127"/>
      <c r="M432" s="137"/>
      <c r="N432" s="58" t="str" cm="1">
        <f>IF(ISBLANK($A432),"",INDEX(Array_EmissionCharges,MATCH($A432,List_EmissionMeters,0),ROUNDUP((COLUMN()+0)/3-1,0)))</f>
        <v/>
      </c>
      <c r="O432" s="127"/>
      <c r="P432" s="137"/>
      <c r="Q432" s="58" t="str" cm="1">
        <f>IF(ISBLANK($A432),"",INDEX(Array_EmissionCharges,MATCH($A432,List_EmissionMeters,0),ROUNDUP((COLUMN()+0)/3-1,0)))</f>
        <v/>
      </c>
      <c r="R432" s="127"/>
      <c r="S432" s="137"/>
    </row>
    <row r="433" spans="1:19" x14ac:dyDescent="0.3">
      <c r="A433" s="126"/>
      <c r="B433" s="133"/>
      <c r="C433" s="127"/>
      <c r="D433" s="137"/>
      <c r="E433" s="58" t="str" cm="1">
        <f>IF(ISBLANK($A433),"",INDEX(Array_EmissionCharges,MATCH($A433,List_EmissionMeters,0),ROUNDUP((COLUMN()+0)/3-1,0)))</f>
        <v/>
      </c>
      <c r="F433" s="127"/>
      <c r="G433" s="137"/>
      <c r="H433" s="58" t="str" cm="1">
        <f>IF(ISBLANK($A433),"",INDEX(Array_EmissionCharges,MATCH($A433,List_EmissionMeters,0),ROUNDUP((COLUMN()+0)/3-1,0)))</f>
        <v/>
      </c>
      <c r="I433" s="127"/>
      <c r="J433" s="137"/>
      <c r="K433" s="58" t="str" cm="1">
        <f>IF(ISBLANK($A433),"",INDEX(Array_EmissionCharges,MATCH($A433,List_EmissionMeters,0),ROUNDUP((COLUMN()+0)/3-1,0)))</f>
        <v/>
      </c>
      <c r="L433" s="127"/>
      <c r="M433" s="137"/>
      <c r="N433" s="58" t="str" cm="1">
        <f>IF(ISBLANK($A433),"",INDEX(Array_EmissionCharges,MATCH($A433,List_EmissionMeters,0),ROUNDUP((COLUMN()+0)/3-1,0)))</f>
        <v/>
      </c>
      <c r="O433" s="127"/>
      <c r="P433" s="137"/>
      <c r="Q433" s="58" t="str" cm="1">
        <f>IF(ISBLANK($A433),"",INDEX(Array_EmissionCharges,MATCH($A433,List_EmissionMeters,0),ROUNDUP((COLUMN()+0)/3-1,0)))</f>
        <v/>
      </c>
      <c r="R433" s="127"/>
      <c r="S433" s="137"/>
    </row>
    <row r="434" spans="1:19" x14ac:dyDescent="0.3">
      <c r="A434" s="126"/>
      <c r="B434" s="133"/>
      <c r="C434" s="127"/>
      <c r="D434" s="137"/>
      <c r="E434" s="58" t="str" cm="1">
        <f>IF(ISBLANK($A434),"",INDEX(Array_EmissionCharges,MATCH($A434,List_EmissionMeters,0),ROUNDUP((COLUMN()+0)/3-1,0)))</f>
        <v/>
      </c>
      <c r="F434" s="127"/>
      <c r="G434" s="137"/>
      <c r="H434" s="58" t="str" cm="1">
        <f>IF(ISBLANK($A434),"",INDEX(Array_EmissionCharges,MATCH($A434,List_EmissionMeters,0),ROUNDUP((COLUMN()+0)/3-1,0)))</f>
        <v/>
      </c>
      <c r="I434" s="127"/>
      <c r="J434" s="137"/>
      <c r="K434" s="58" t="str" cm="1">
        <f>IF(ISBLANK($A434),"",INDEX(Array_EmissionCharges,MATCH($A434,List_EmissionMeters,0),ROUNDUP((COLUMN()+0)/3-1,0)))</f>
        <v/>
      </c>
      <c r="L434" s="127"/>
      <c r="M434" s="137"/>
      <c r="N434" s="58" t="str" cm="1">
        <f>IF(ISBLANK($A434),"",INDEX(Array_EmissionCharges,MATCH($A434,List_EmissionMeters,0),ROUNDUP((COLUMN()+0)/3-1,0)))</f>
        <v/>
      </c>
      <c r="O434" s="127"/>
      <c r="P434" s="137"/>
      <c r="Q434" s="58" t="str" cm="1">
        <f>IF(ISBLANK($A434),"",INDEX(Array_EmissionCharges,MATCH($A434,List_EmissionMeters,0),ROUNDUP((COLUMN()+0)/3-1,0)))</f>
        <v/>
      </c>
      <c r="R434" s="127"/>
      <c r="S434" s="137"/>
    </row>
    <row r="435" spans="1:19" x14ac:dyDescent="0.3">
      <c r="A435" s="126"/>
      <c r="B435" s="133"/>
      <c r="C435" s="127"/>
      <c r="D435" s="137"/>
      <c r="E435" s="58" t="str" cm="1">
        <f>IF(ISBLANK($A435),"",INDEX(Array_EmissionCharges,MATCH($A435,List_EmissionMeters,0),ROUNDUP((COLUMN()+0)/3-1,0)))</f>
        <v/>
      </c>
      <c r="F435" s="127"/>
      <c r="G435" s="137"/>
      <c r="H435" s="58" t="str" cm="1">
        <f>IF(ISBLANK($A435),"",INDEX(Array_EmissionCharges,MATCH($A435,List_EmissionMeters,0),ROUNDUP((COLUMN()+0)/3-1,0)))</f>
        <v/>
      </c>
      <c r="I435" s="127"/>
      <c r="J435" s="137"/>
      <c r="K435" s="58" t="str" cm="1">
        <f>IF(ISBLANK($A435),"",INDEX(Array_EmissionCharges,MATCH($A435,List_EmissionMeters,0),ROUNDUP((COLUMN()+0)/3-1,0)))</f>
        <v/>
      </c>
      <c r="L435" s="127"/>
      <c r="M435" s="137"/>
      <c r="N435" s="58" t="str" cm="1">
        <f>IF(ISBLANK($A435),"",INDEX(Array_EmissionCharges,MATCH($A435,List_EmissionMeters,0),ROUNDUP((COLUMN()+0)/3-1,0)))</f>
        <v/>
      </c>
      <c r="O435" s="127"/>
      <c r="P435" s="137"/>
      <c r="Q435" s="58" t="str" cm="1">
        <f>IF(ISBLANK($A435),"",INDEX(Array_EmissionCharges,MATCH($A435,List_EmissionMeters,0),ROUNDUP((COLUMN()+0)/3-1,0)))</f>
        <v/>
      </c>
      <c r="R435" s="127"/>
      <c r="S435" s="137"/>
    </row>
    <row r="436" spans="1:19" x14ac:dyDescent="0.3">
      <c r="A436" s="126"/>
      <c r="B436" s="133"/>
      <c r="C436" s="127"/>
      <c r="D436" s="137"/>
      <c r="E436" s="58" t="str" cm="1">
        <f>IF(ISBLANK($A436),"",INDEX(Array_EmissionCharges,MATCH($A436,List_EmissionMeters,0),ROUNDUP((COLUMN()+0)/3-1,0)))</f>
        <v/>
      </c>
      <c r="F436" s="127"/>
      <c r="G436" s="137"/>
      <c r="H436" s="58" t="str" cm="1">
        <f>IF(ISBLANK($A436),"",INDEX(Array_EmissionCharges,MATCH($A436,List_EmissionMeters,0),ROUNDUP((COLUMN()+0)/3-1,0)))</f>
        <v/>
      </c>
      <c r="I436" s="127"/>
      <c r="J436" s="137"/>
      <c r="K436" s="58" t="str" cm="1">
        <f>IF(ISBLANK($A436),"",INDEX(Array_EmissionCharges,MATCH($A436,List_EmissionMeters,0),ROUNDUP((COLUMN()+0)/3-1,0)))</f>
        <v/>
      </c>
      <c r="L436" s="127"/>
      <c r="M436" s="137"/>
      <c r="N436" s="58" t="str" cm="1">
        <f>IF(ISBLANK($A436),"",INDEX(Array_EmissionCharges,MATCH($A436,List_EmissionMeters,0),ROUNDUP((COLUMN()+0)/3-1,0)))</f>
        <v/>
      </c>
      <c r="O436" s="127"/>
      <c r="P436" s="137"/>
      <c r="Q436" s="58" t="str" cm="1">
        <f>IF(ISBLANK($A436),"",INDEX(Array_EmissionCharges,MATCH($A436,List_EmissionMeters,0),ROUNDUP((COLUMN()+0)/3-1,0)))</f>
        <v/>
      </c>
      <c r="R436" s="127"/>
      <c r="S436" s="137"/>
    </row>
    <row r="437" spans="1:19" x14ac:dyDescent="0.3">
      <c r="A437" s="126"/>
      <c r="B437" s="133"/>
      <c r="C437" s="127"/>
      <c r="D437" s="137"/>
      <c r="E437" s="58" t="str" cm="1">
        <f>IF(ISBLANK($A437),"",INDEX(Array_EmissionCharges,MATCH($A437,List_EmissionMeters,0),ROUNDUP((COLUMN()+0)/3-1,0)))</f>
        <v/>
      </c>
      <c r="F437" s="127"/>
      <c r="G437" s="137"/>
      <c r="H437" s="58" t="str" cm="1">
        <f>IF(ISBLANK($A437),"",INDEX(Array_EmissionCharges,MATCH($A437,List_EmissionMeters,0),ROUNDUP((COLUMN()+0)/3-1,0)))</f>
        <v/>
      </c>
      <c r="I437" s="127"/>
      <c r="J437" s="137"/>
      <c r="K437" s="58" t="str" cm="1">
        <f>IF(ISBLANK($A437),"",INDEX(Array_EmissionCharges,MATCH($A437,List_EmissionMeters,0),ROUNDUP((COLUMN()+0)/3-1,0)))</f>
        <v/>
      </c>
      <c r="L437" s="127"/>
      <c r="M437" s="137"/>
      <c r="N437" s="58" t="str" cm="1">
        <f>IF(ISBLANK($A437),"",INDEX(Array_EmissionCharges,MATCH($A437,List_EmissionMeters,0),ROUNDUP((COLUMN()+0)/3-1,0)))</f>
        <v/>
      </c>
      <c r="O437" s="127"/>
      <c r="P437" s="137"/>
      <c r="Q437" s="58" t="str" cm="1">
        <f>IF(ISBLANK($A437),"",INDEX(Array_EmissionCharges,MATCH($A437,List_EmissionMeters,0),ROUNDUP((COLUMN()+0)/3-1,0)))</f>
        <v/>
      </c>
      <c r="R437" s="127"/>
      <c r="S437" s="137"/>
    </row>
    <row r="438" spans="1:19" x14ac:dyDescent="0.3">
      <c r="A438" s="126"/>
      <c r="B438" s="133"/>
      <c r="C438" s="127"/>
      <c r="D438" s="137"/>
      <c r="E438" s="58" t="str" cm="1">
        <f>IF(ISBLANK($A438),"",INDEX(Array_EmissionCharges,MATCH($A438,List_EmissionMeters,0),ROUNDUP((COLUMN()+0)/3-1,0)))</f>
        <v/>
      </c>
      <c r="F438" s="127"/>
      <c r="G438" s="137"/>
      <c r="H438" s="58" t="str" cm="1">
        <f>IF(ISBLANK($A438),"",INDEX(Array_EmissionCharges,MATCH($A438,List_EmissionMeters,0),ROUNDUP((COLUMN()+0)/3-1,0)))</f>
        <v/>
      </c>
      <c r="I438" s="127"/>
      <c r="J438" s="137"/>
      <c r="K438" s="58" t="str" cm="1">
        <f>IF(ISBLANK($A438),"",INDEX(Array_EmissionCharges,MATCH($A438,List_EmissionMeters,0),ROUNDUP((COLUMN()+0)/3-1,0)))</f>
        <v/>
      </c>
      <c r="L438" s="127"/>
      <c r="M438" s="137"/>
      <c r="N438" s="58" t="str" cm="1">
        <f>IF(ISBLANK($A438),"",INDEX(Array_EmissionCharges,MATCH($A438,List_EmissionMeters,0),ROUNDUP((COLUMN()+0)/3-1,0)))</f>
        <v/>
      </c>
      <c r="O438" s="127"/>
      <c r="P438" s="137"/>
      <c r="Q438" s="58" t="str" cm="1">
        <f>IF(ISBLANK($A438),"",INDEX(Array_EmissionCharges,MATCH($A438,List_EmissionMeters,0),ROUNDUP((COLUMN()+0)/3-1,0)))</f>
        <v/>
      </c>
      <c r="R438" s="127"/>
      <c r="S438" s="137"/>
    </row>
    <row r="439" spans="1:19" x14ac:dyDescent="0.3">
      <c r="A439" s="126"/>
      <c r="B439" s="133"/>
      <c r="C439" s="127"/>
      <c r="D439" s="137"/>
      <c r="E439" s="58" t="str" cm="1">
        <f>IF(ISBLANK($A439),"",INDEX(Array_EmissionCharges,MATCH($A439,List_EmissionMeters,0),ROUNDUP((COLUMN()+0)/3-1,0)))</f>
        <v/>
      </c>
      <c r="F439" s="127"/>
      <c r="G439" s="137"/>
      <c r="H439" s="58" t="str" cm="1">
        <f>IF(ISBLANK($A439),"",INDEX(Array_EmissionCharges,MATCH($A439,List_EmissionMeters,0),ROUNDUP((COLUMN()+0)/3-1,0)))</f>
        <v/>
      </c>
      <c r="I439" s="127"/>
      <c r="J439" s="137"/>
      <c r="K439" s="58" t="str" cm="1">
        <f>IF(ISBLANK($A439),"",INDEX(Array_EmissionCharges,MATCH($A439,List_EmissionMeters,0),ROUNDUP((COLUMN()+0)/3-1,0)))</f>
        <v/>
      </c>
      <c r="L439" s="127"/>
      <c r="M439" s="137"/>
      <c r="N439" s="58" t="str" cm="1">
        <f>IF(ISBLANK($A439),"",INDEX(Array_EmissionCharges,MATCH($A439,List_EmissionMeters,0),ROUNDUP((COLUMN()+0)/3-1,0)))</f>
        <v/>
      </c>
      <c r="O439" s="127"/>
      <c r="P439" s="137"/>
      <c r="Q439" s="58" t="str" cm="1">
        <f>IF(ISBLANK($A439),"",INDEX(Array_EmissionCharges,MATCH($A439,List_EmissionMeters,0),ROUNDUP((COLUMN()+0)/3-1,0)))</f>
        <v/>
      </c>
      <c r="R439" s="127"/>
      <c r="S439" s="137"/>
    </row>
    <row r="440" spans="1:19" x14ac:dyDescent="0.3">
      <c r="A440" s="126"/>
      <c r="B440" s="133"/>
      <c r="C440" s="127"/>
      <c r="D440" s="137"/>
      <c r="E440" s="58" t="str" cm="1">
        <f>IF(ISBLANK($A440),"",INDEX(Array_EmissionCharges,MATCH($A440,List_EmissionMeters,0),ROUNDUP((COLUMN()+0)/3-1,0)))</f>
        <v/>
      </c>
      <c r="F440" s="127"/>
      <c r="G440" s="137"/>
      <c r="H440" s="58" t="str" cm="1">
        <f>IF(ISBLANK($A440),"",INDEX(Array_EmissionCharges,MATCH($A440,List_EmissionMeters,0),ROUNDUP((COLUMN()+0)/3-1,0)))</f>
        <v/>
      </c>
      <c r="I440" s="127"/>
      <c r="J440" s="137"/>
      <c r="K440" s="58" t="str" cm="1">
        <f>IF(ISBLANK($A440),"",INDEX(Array_EmissionCharges,MATCH($A440,List_EmissionMeters,0),ROUNDUP((COLUMN()+0)/3-1,0)))</f>
        <v/>
      </c>
      <c r="L440" s="127"/>
      <c r="M440" s="137"/>
      <c r="N440" s="58" t="str" cm="1">
        <f>IF(ISBLANK($A440),"",INDEX(Array_EmissionCharges,MATCH($A440,List_EmissionMeters,0),ROUNDUP((COLUMN()+0)/3-1,0)))</f>
        <v/>
      </c>
      <c r="O440" s="127"/>
      <c r="P440" s="137"/>
      <c r="Q440" s="58" t="str" cm="1">
        <f>IF(ISBLANK($A440),"",INDEX(Array_EmissionCharges,MATCH($A440,List_EmissionMeters,0),ROUNDUP((COLUMN()+0)/3-1,0)))</f>
        <v/>
      </c>
      <c r="R440" s="127"/>
      <c r="S440" s="137"/>
    </row>
    <row r="441" spans="1:19" x14ac:dyDescent="0.3">
      <c r="A441" s="126"/>
      <c r="B441" s="133"/>
      <c r="C441" s="127"/>
      <c r="D441" s="137"/>
      <c r="E441" s="58" t="str" cm="1">
        <f>IF(ISBLANK($A441),"",INDEX(Array_EmissionCharges,MATCH($A441,List_EmissionMeters,0),ROUNDUP((COLUMN()+0)/3-1,0)))</f>
        <v/>
      </c>
      <c r="F441" s="127"/>
      <c r="G441" s="137"/>
      <c r="H441" s="58" t="str" cm="1">
        <f>IF(ISBLANK($A441),"",INDEX(Array_EmissionCharges,MATCH($A441,List_EmissionMeters,0),ROUNDUP((COLUMN()+0)/3-1,0)))</f>
        <v/>
      </c>
      <c r="I441" s="127"/>
      <c r="J441" s="137"/>
      <c r="K441" s="58" t="str" cm="1">
        <f>IF(ISBLANK($A441),"",INDEX(Array_EmissionCharges,MATCH($A441,List_EmissionMeters,0),ROUNDUP((COLUMN()+0)/3-1,0)))</f>
        <v/>
      </c>
      <c r="L441" s="127"/>
      <c r="M441" s="137"/>
      <c r="N441" s="58" t="str" cm="1">
        <f>IF(ISBLANK($A441),"",INDEX(Array_EmissionCharges,MATCH($A441,List_EmissionMeters,0),ROUNDUP((COLUMN()+0)/3-1,0)))</f>
        <v/>
      </c>
      <c r="O441" s="127"/>
      <c r="P441" s="137"/>
      <c r="Q441" s="58" t="str" cm="1">
        <f>IF(ISBLANK($A441),"",INDEX(Array_EmissionCharges,MATCH($A441,List_EmissionMeters,0),ROUNDUP((COLUMN()+0)/3-1,0)))</f>
        <v/>
      </c>
      <c r="R441" s="127"/>
      <c r="S441" s="137"/>
    </row>
    <row r="442" spans="1:19" x14ac:dyDescent="0.3">
      <c r="A442" s="126"/>
      <c r="B442" s="133"/>
      <c r="C442" s="127"/>
      <c r="D442" s="137"/>
      <c r="E442" s="58" t="str" cm="1">
        <f>IF(ISBLANK($A442),"",INDEX(Array_EmissionCharges,MATCH($A442,List_EmissionMeters,0),ROUNDUP((COLUMN()+0)/3-1,0)))</f>
        <v/>
      </c>
      <c r="F442" s="127"/>
      <c r="G442" s="137"/>
      <c r="H442" s="58" t="str" cm="1">
        <f>IF(ISBLANK($A442),"",INDEX(Array_EmissionCharges,MATCH($A442,List_EmissionMeters,0),ROUNDUP((COLUMN()+0)/3-1,0)))</f>
        <v/>
      </c>
      <c r="I442" s="127"/>
      <c r="J442" s="137"/>
      <c r="K442" s="58" t="str" cm="1">
        <f>IF(ISBLANK($A442),"",INDEX(Array_EmissionCharges,MATCH($A442,List_EmissionMeters,0),ROUNDUP((COLUMN()+0)/3-1,0)))</f>
        <v/>
      </c>
      <c r="L442" s="127"/>
      <c r="M442" s="137"/>
      <c r="N442" s="58" t="str" cm="1">
        <f>IF(ISBLANK($A442),"",INDEX(Array_EmissionCharges,MATCH($A442,List_EmissionMeters,0),ROUNDUP((COLUMN()+0)/3-1,0)))</f>
        <v/>
      </c>
      <c r="O442" s="127"/>
      <c r="P442" s="137"/>
      <c r="Q442" s="58" t="str" cm="1">
        <f>IF(ISBLANK($A442),"",INDEX(Array_EmissionCharges,MATCH($A442,List_EmissionMeters,0),ROUNDUP((COLUMN()+0)/3-1,0)))</f>
        <v/>
      </c>
      <c r="R442" s="127"/>
      <c r="S442" s="137"/>
    </row>
    <row r="443" spans="1:19" x14ac:dyDescent="0.3">
      <c r="A443" s="126"/>
      <c r="B443" s="133"/>
      <c r="C443" s="127"/>
      <c r="D443" s="137"/>
      <c r="E443" s="58" t="str" cm="1">
        <f>IF(ISBLANK($A443),"",INDEX(Array_EmissionCharges,MATCH($A443,List_EmissionMeters,0),ROUNDUP((COLUMN()+0)/3-1,0)))</f>
        <v/>
      </c>
      <c r="F443" s="127"/>
      <c r="G443" s="137"/>
      <c r="H443" s="58" t="str" cm="1">
        <f>IF(ISBLANK($A443),"",INDEX(Array_EmissionCharges,MATCH($A443,List_EmissionMeters,0),ROUNDUP((COLUMN()+0)/3-1,0)))</f>
        <v/>
      </c>
      <c r="I443" s="127"/>
      <c r="J443" s="137"/>
      <c r="K443" s="58" t="str" cm="1">
        <f>IF(ISBLANK($A443),"",INDEX(Array_EmissionCharges,MATCH($A443,List_EmissionMeters,0),ROUNDUP((COLUMN()+0)/3-1,0)))</f>
        <v/>
      </c>
      <c r="L443" s="127"/>
      <c r="M443" s="137"/>
      <c r="N443" s="58" t="str" cm="1">
        <f>IF(ISBLANK($A443),"",INDEX(Array_EmissionCharges,MATCH($A443,List_EmissionMeters,0),ROUNDUP((COLUMN()+0)/3-1,0)))</f>
        <v/>
      </c>
      <c r="O443" s="127"/>
      <c r="P443" s="137"/>
      <c r="Q443" s="58" t="str" cm="1">
        <f>IF(ISBLANK($A443),"",INDEX(Array_EmissionCharges,MATCH($A443,List_EmissionMeters,0),ROUNDUP((COLUMN()+0)/3-1,0)))</f>
        <v/>
      </c>
      <c r="R443" s="127"/>
      <c r="S443" s="137"/>
    </row>
    <row r="444" spans="1:19" x14ac:dyDescent="0.3">
      <c r="A444" s="126"/>
      <c r="B444" s="133"/>
      <c r="C444" s="127"/>
      <c r="D444" s="137"/>
      <c r="E444" s="58" t="str" cm="1">
        <f>IF(ISBLANK($A444),"",INDEX(Array_EmissionCharges,MATCH($A444,List_EmissionMeters,0),ROUNDUP((COLUMN()+0)/3-1,0)))</f>
        <v/>
      </c>
      <c r="F444" s="127"/>
      <c r="G444" s="137"/>
      <c r="H444" s="58" t="str" cm="1">
        <f>IF(ISBLANK($A444),"",INDEX(Array_EmissionCharges,MATCH($A444,List_EmissionMeters,0),ROUNDUP((COLUMN()+0)/3-1,0)))</f>
        <v/>
      </c>
      <c r="I444" s="127"/>
      <c r="J444" s="137"/>
      <c r="K444" s="58" t="str" cm="1">
        <f>IF(ISBLANK($A444),"",INDEX(Array_EmissionCharges,MATCH($A444,List_EmissionMeters,0),ROUNDUP((COLUMN()+0)/3-1,0)))</f>
        <v/>
      </c>
      <c r="L444" s="127"/>
      <c r="M444" s="137"/>
      <c r="N444" s="58" t="str" cm="1">
        <f>IF(ISBLANK($A444),"",INDEX(Array_EmissionCharges,MATCH($A444,List_EmissionMeters,0),ROUNDUP((COLUMN()+0)/3-1,0)))</f>
        <v/>
      </c>
      <c r="O444" s="127"/>
      <c r="P444" s="137"/>
      <c r="Q444" s="58" t="str" cm="1">
        <f>IF(ISBLANK($A444),"",INDEX(Array_EmissionCharges,MATCH($A444,List_EmissionMeters,0),ROUNDUP((COLUMN()+0)/3-1,0)))</f>
        <v/>
      </c>
      <c r="R444" s="127"/>
      <c r="S444" s="137"/>
    </row>
    <row r="445" spans="1:19" x14ac:dyDescent="0.3">
      <c r="A445" s="126"/>
      <c r="B445" s="133"/>
      <c r="C445" s="127"/>
      <c r="D445" s="137"/>
      <c r="E445" s="58" t="str" cm="1">
        <f>IF(ISBLANK($A445),"",INDEX(Array_EmissionCharges,MATCH($A445,List_EmissionMeters,0),ROUNDUP((COLUMN()+0)/3-1,0)))</f>
        <v/>
      </c>
      <c r="F445" s="127"/>
      <c r="G445" s="137"/>
      <c r="H445" s="58" t="str" cm="1">
        <f>IF(ISBLANK($A445),"",INDEX(Array_EmissionCharges,MATCH($A445,List_EmissionMeters,0),ROUNDUP((COLUMN()+0)/3-1,0)))</f>
        <v/>
      </c>
      <c r="I445" s="127"/>
      <c r="J445" s="137"/>
      <c r="K445" s="58" t="str" cm="1">
        <f>IF(ISBLANK($A445),"",INDEX(Array_EmissionCharges,MATCH($A445,List_EmissionMeters,0),ROUNDUP((COLUMN()+0)/3-1,0)))</f>
        <v/>
      </c>
      <c r="L445" s="127"/>
      <c r="M445" s="137"/>
      <c r="N445" s="58" t="str" cm="1">
        <f>IF(ISBLANK($A445),"",INDEX(Array_EmissionCharges,MATCH($A445,List_EmissionMeters,0),ROUNDUP((COLUMN()+0)/3-1,0)))</f>
        <v/>
      </c>
      <c r="O445" s="127"/>
      <c r="P445" s="137"/>
      <c r="Q445" s="58" t="str" cm="1">
        <f>IF(ISBLANK($A445),"",INDEX(Array_EmissionCharges,MATCH($A445,List_EmissionMeters,0),ROUNDUP((COLUMN()+0)/3-1,0)))</f>
        <v/>
      </c>
      <c r="R445" s="127"/>
      <c r="S445" s="137"/>
    </row>
    <row r="446" spans="1:19" x14ac:dyDescent="0.3">
      <c r="A446" s="126"/>
      <c r="B446" s="133"/>
      <c r="C446" s="127"/>
      <c r="D446" s="137"/>
      <c r="E446" s="58" t="str" cm="1">
        <f>IF(ISBLANK($A446),"",INDEX(Array_EmissionCharges,MATCH($A446,List_EmissionMeters,0),ROUNDUP((COLUMN()+0)/3-1,0)))</f>
        <v/>
      </c>
      <c r="F446" s="127"/>
      <c r="G446" s="137"/>
      <c r="H446" s="58" t="str" cm="1">
        <f>IF(ISBLANK($A446),"",INDEX(Array_EmissionCharges,MATCH($A446,List_EmissionMeters,0),ROUNDUP((COLUMN()+0)/3-1,0)))</f>
        <v/>
      </c>
      <c r="I446" s="127"/>
      <c r="J446" s="137"/>
      <c r="K446" s="58" t="str" cm="1">
        <f>IF(ISBLANK($A446),"",INDEX(Array_EmissionCharges,MATCH($A446,List_EmissionMeters,0),ROUNDUP((COLUMN()+0)/3-1,0)))</f>
        <v/>
      </c>
      <c r="L446" s="127"/>
      <c r="M446" s="137"/>
      <c r="N446" s="58" t="str" cm="1">
        <f>IF(ISBLANK($A446),"",INDEX(Array_EmissionCharges,MATCH($A446,List_EmissionMeters,0),ROUNDUP((COLUMN()+0)/3-1,0)))</f>
        <v/>
      </c>
      <c r="O446" s="127"/>
      <c r="P446" s="137"/>
      <c r="Q446" s="58" t="str" cm="1">
        <f>IF(ISBLANK($A446),"",INDEX(Array_EmissionCharges,MATCH($A446,List_EmissionMeters,0),ROUNDUP((COLUMN()+0)/3-1,0)))</f>
        <v/>
      </c>
      <c r="R446" s="127"/>
      <c r="S446" s="137"/>
    </row>
    <row r="447" spans="1:19" x14ac:dyDescent="0.3">
      <c r="A447" s="126"/>
      <c r="B447" s="133"/>
      <c r="C447" s="127"/>
      <c r="D447" s="137"/>
      <c r="E447" s="58" t="str" cm="1">
        <f>IF(ISBLANK($A447),"",INDEX(Array_EmissionCharges,MATCH($A447,List_EmissionMeters,0),ROUNDUP((COLUMN()+0)/3-1,0)))</f>
        <v/>
      </c>
      <c r="F447" s="127"/>
      <c r="G447" s="137"/>
      <c r="H447" s="58" t="str" cm="1">
        <f>IF(ISBLANK($A447),"",INDEX(Array_EmissionCharges,MATCH($A447,List_EmissionMeters,0),ROUNDUP((COLUMN()+0)/3-1,0)))</f>
        <v/>
      </c>
      <c r="I447" s="127"/>
      <c r="J447" s="137"/>
      <c r="K447" s="58" t="str" cm="1">
        <f>IF(ISBLANK($A447),"",INDEX(Array_EmissionCharges,MATCH($A447,List_EmissionMeters,0),ROUNDUP((COLUMN()+0)/3-1,0)))</f>
        <v/>
      </c>
      <c r="L447" s="127"/>
      <c r="M447" s="137"/>
      <c r="N447" s="58" t="str" cm="1">
        <f>IF(ISBLANK($A447),"",INDEX(Array_EmissionCharges,MATCH($A447,List_EmissionMeters,0),ROUNDUP((COLUMN()+0)/3-1,0)))</f>
        <v/>
      </c>
      <c r="O447" s="127"/>
      <c r="P447" s="137"/>
      <c r="Q447" s="58" t="str" cm="1">
        <f>IF(ISBLANK($A447),"",INDEX(Array_EmissionCharges,MATCH($A447,List_EmissionMeters,0),ROUNDUP((COLUMN()+0)/3-1,0)))</f>
        <v/>
      </c>
      <c r="R447" s="127"/>
      <c r="S447" s="137"/>
    </row>
    <row r="448" spans="1:19" x14ac:dyDescent="0.3">
      <c r="A448" s="126"/>
      <c r="B448" s="133"/>
      <c r="C448" s="127"/>
      <c r="D448" s="137"/>
      <c r="E448" s="58" t="str" cm="1">
        <f>IF(ISBLANK($A448),"",INDEX(Array_EmissionCharges,MATCH($A448,List_EmissionMeters,0),ROUNDUP((COLUMN()+0)/3-1,0)))</f>
        <v/>
      </c>
      <c r="F448" s="127"/>
      <c r="G448" s="137"/>
      <c r="H448" s="58" t="str" cm="1">
        <f>IF(ISBLANK($A448),"",INDEX(Array_EmissionCharges,MATCH($A448,List_EmissionMeters,0),ROUNDUP((COLUMN()+0)/3-1,0)))</f>
        <v/>
      </c>
      <c r="I448" s="127"/>
      <c r="J448" s="137"/>
      <c r="K448" s="58" t="str" cm="1">
        <f>IF(ISBLANK($A448),"",INDEX(Array_EmissionCharges,MATCH($A448,List_EmissionMeters,0),ROUNDUP((COLUMN()+0)/3-1,0)))</f>
        <v/>
      </c>
      <c r="L448" s="127"/>
      <c r="M448" s="137"/>
      <c r="N448" s="58" t="str" cm="1">
        <f>IF(ISBLANK($A448),"",INDEX(Array_EmissionCharges,MATCH($A448,List_EmissionMeters,0),ROUNDUP((COLUMN()+0)/3-1,0)))</f>
        <v/>
      </c>
      <c r="O448" s="127"/>
      <c r="P448" s="137"/>
      <c r="Q448" s="58" t="str" cm="1">
        <f>IF(ISBLANK($A448),"",INDEX(Array_EmissionCharges,MATCH($A448,List_EmissionMeters,0),ROUNDUP((COLUMN()+0)/3-1,0)))</f>
        <v/>
      </c>
      <c r="R448" s="127"/>
      <c r="S448" s="137"/>
    </row>
    <row r="449" spans="1:19" x14ac:dyDescent="0.3">
      <c r="A449" s="126"/>
      <c r="B449" s="133"/>
      <c r="C449" s="127"/>
      <c r="D449" s="137"/>
      <c r="E449" s="58" t="str" cm="1">
        <f>IF(ISBLANK($A449),"",INDEX(Array_EmissionCharges,MATCH($A449,List_EmissionMeters,0),ROUNDUP((COLUMN()+0)/3-1,0)))</f>
        <v/>
      </c>
      <c r="F449" s="127"/>
      <c r="G449" s="137"/>
      <c r="H449" s="58" t="str" cm="1">
        <f>IF(ISBLANK($A449),"",INDEX(Array_EmissionCharges,MATCH($A449,List_EmissionMeters,0),ROUNDUP((COLUMN()+0)/3-1,0)))</f>
        <v/>
      </c>
      <c r="I449" s="127"/>
      <c r="J449" s="137"/>
      <c r="K449" s="58" t="str" cm="1">
        <f>IF(ISBLANK($A449),"",INDEX(Array_EmissionCharges,MATCH($A449,List_EmissionMeters,0),ROUNDUP((COLUMN()+0)/3-1,0)))</f>
        <v/>
      </c>
      <c r="L449" s="127"/>
      <c r="M449" s="137"/>
      <c r="N449" s="58" t="str" cm="1">
        <f>IF(ISBLANK($A449),"",INDEX(Array_EmissionCharges,MATCH($A449,List_EmissionMeters,0),ROUNDUP((COLUMN()+0)/3-1,0)))</f>
        <v/>
      </c>
      <c r="O449" s="127"/>
      <c r="P449" s="137"/>
      <c r="Q449" s="58" t="str" cm="1">
        <f>IF(ISBLANK($A449),"",INDEX(Array_EmissionCharges,MATCH($A449,List_EmissionMeters,0),ROUNDUP((COLUMN()+0)/3-1,0)))</f>
        <v/>
      </c>
      <c r="R449" s="127"/>
      <c r="S449" s="137"/>
    </row>
    <row r="450" spans="1:19" x14ac:dyDescent="0.3">
      <c r="A450" s="126"/>
      <c r="B450" s="133"/>
      <c r="C450" s="127"/>
      <c r="D450" s="137"/>
      <c r="E450" s="58" t="str" cm="1">
        <f>IF(ISBLANK($A450),"",INDEX(Array_EmissionCharges,MATCH($A450,List_EmissionMeters,0),ROUNDUP((COLUMN()+0)/3-1,0)))</f>
        <v/>
      </c>
      <c r="F450" s="127"/>
      <c r="G450" s="137"/>
      <c r="H450" s="58" t="str" cm="1">
        <f>IF(ISBLANK($A450),"",INDEX(Array_EmissionCharges,MATCH($A450,List_EmissionMeters,0),ROUNDUP((COLUMN()+0)/3-1,0)))</f>
        <v/>
      </c>
      <c r="I450" s="127"/>
      <c r="J450" s="137"/>
      <c r="K450" s="58" t="str" cm="1">
        <f>IF(ISBLANK($A450),"",INDEX(Array_EmissionCharges,MATCH($A450,List_EmissionMeters,0),ROUNDUP((COLUMN()+0)/3-1,0)))</f>
        <v/>
      </c>
      <c r="L450" s="127"/>
      <c r="M450" s="137"/>
      <c r="N450" s="58" t="str" cm="1">
        <f>IF(ISBLANK($A450),"",INDEX(Array_EmissionCharges,MATCH($A450,List_EmissionMeters,0),ROUNDUP((COLUMN()+0)/3-1,0)))</f>
        <v/>
      </c>
      <c r="O450" s="127"/>
      <c r="P450" s="137"/>
      <c r="Q450" s="58" t="str" cm="1">
        <f>IF(ISBLANK($A450),"",INDEX(Array_EmissionCharges,MATCH($A450,List_EmissionMeters,0),ROUNDUP((COLUMN()+0)/3-1,0)))</f>
        <v/>
      </c>
      <c r="R450" s="127"/>
      <c r="S450" s="137"/>
    </row>
    <row r="451" spans="1:19" x14ac:dyDescent="0.3">
      <c r="A451" s="126"/>
      <c r="B451" s="133"/>
      <c r="C451" s="127"/>
      <c r="D451" s="137"/>
      <c r="E451" s="58" t="str" cm="1">
        <f>IF(ISBLANK($A451),"",INDEX(Array_EmissionCharges,MATCH($A451,List_EmissionMeters,0),ROUNDUP((COLUMN()+0)/3-1,0)))</f>
        <v/>
      </c>
      <c r="F451" s="127"/>
      <c r="G451" s="137"/>
      <c r="H451" s="58" t="str" cm="1">
        <f>IF(ISBLANK($A451),"",INDEX(Array_EmissionCharges,MATCH($A451,List_EmissionMeters,0),ROUNDUP((COLUMN()+0)/3-1,0)))</f>
        <v/>
      </c>
      <c r="I451" s="127"/>
      <c r="J451" s="137"/>
      <c r="K451" s="58" t="str" cm="1">
        <f>IF(ISBLANK($A451),"",INDEX(Array_EmissionCharges,MATCH($A451,List_EmissionMeters,0),ROUNDUP((COLUMN()+0)/3-1,0)))</f>
        <v/>
      </c>
      <c r="L451" s="127"/>
      <c r="M451" s="137"/>
      <c r="N451" s="58" t="str" cm="1">
        <f>IF(ISBLANK($A451),"",INDEX(Array_EmissionCharges,MATCH($A451,List_EmissionMeters,0),ROUNDUP((COLUMN()+0)/3-1,0)))</f>
        <v/>
      </c>
      <c r="O451" s="127"/>
      <c r="P451" s="137"/>
      <c r="Q451" s="58" t="str" cm="1">
        <f>IF(ISBLANK($A451),"",INDEX(Array_EmissionCharges,MATCH($A451,List_EmissionMeters,0),ROUNDUP((COLUMN()+0)/3-1,0)))</f>
        <v/>
      </c>
      <c r="R451" s="127"/>
      <c r="S451" s="137"/>
    </row>
    <row r="452" spans="1:19" x14ac:dyDescent="0.3">
      <c r="A452" s="126"/>
      <c r="B452" s="133"/>
      <c r="C452" s="127"/>
      <c r="D452" s="137"/>
      <c r="E452" s="58" t="str" cm="1">
        <f>IF(ISBLANK($A452),"",INDEX(Array_EmissionCharges,MATCH($A452,List_EmissionMeters,0),ROUNDUP((COLUMN()+0)/3-1,0)))</f>
        <v/>
      </c>
      <c r="F452" s="127"/>
      <c r="G452" s="137"/>
      <c r="H452" s="58" t="str" cm="1">
        <f>IF(ISBLANK($A452),"",INDEX(Array_EmissionCharges,MATCH($A452,List_EmissionMeters,0),ROUNDUP((COLUMN()+0)/3-1,0)))</f>
        <v/>
      </c>
      <c r="I452" s="127"/>
      <c r="J452" s="137"/>
      <c r="K452" s="58" t="str" cm="1">
        <f>IF(ISBLANK($A452),"",INDEX(Array_EmissionCharges,MATCH($A452,List_EmissionMeters,0),ROUNDUP((COLUMN()+0)/3-1,0)))</f>
        <v/>
      </c>
      <c r="L452" s="127"/>
      <c r="M452" s="137"/>
      <c r="N452" s="58" t="str" cm="1">
        <f>IF(ISBLANK($A452),"",INDEX(Array_EmissionCharges,MATCH($A452,List_EmissionMeters,0),ROUNDUP((COLUMN()+0)/3-1,0)))</f>
        <v/>
      </c>
      <c r="O452" s="127"/>
      <c r="P452" s="137"/>
      <c r="Q452" s="58" t="str" cm="1">
        <f>IF(ISBLANK($A452),"",INDEX(Array_EmissionCharges,MATCH($A452,List_EmissionMeters,0),ROUNDUP((COLUMN()+0)/3-1,0)))</f>
        <v/>
      </c>
      <c r="R452" s="127"/>
      <c r="S452" s="137"/>
    </row>
    <row r="453" spans="1:19" x14ac:dyDescent="0.3">
      <c r="A453" s="126"/>
      <c r="B453" s="133"/>
      <c r="C453" s="127"/>
      <c r="D453" s="137"/>
      <c r="E453" s="58" t="str" cm="1">
        <f>IF(ISBLANK($A453),"",INDEX(Array_EmissionCharges,MATCH($A453,List_EmissionMeters,0),ROUNDUP((COLUMN()+0)/3-1,0)))</f>
        <v/>
      </c>
      <c r="F453" s="127"/>
      <c r="G453" s="137"/>
      <c r="H453" s="58" t="str" cm="1">
        <f>IF(ISBLANK($A453),"",INDEX(Array_EmissionCharges,MATCH($A453,List_EmissionMeters,0),ROUNDUP((COLUMN()+0)/3-1,0)))</f>
        <v/>
      </c>
      <c r="I453" s="127"/>
      <c r="J453" s="137"/>
      <c r="K453" s="58" t="str" cm="1">
        <f>IF(ISBLANK($A453),"",INDEX(Array_EmissionCharges,MATCH($A453,List_EmissionMeters,0),ROUNDUP((COLUMN()+0)/3-1,0)))</f>
        <v/>
      </c>
      <c r="L453" s="127"/>
      <c r="M453" s="137"/>
      <c r="N453" s="58" t="str" cm="1">
        <f>IF(ISBLANK($A453),"",INDEX(Array_EmissionCharges,MATCH($A453,List_EmissionMeters,0),ROUNDUP((COLUMN()+0)/3-1,0)))</f>
        <v/>
      </c>
      <c r="O453" s="127"/>
      <c r="P453" s="137"/>
      <c r="Q453" s="58" t="str" cm="1">
        <f>IF(ISBLANK($A453),"",INDEX(Array_EmissionCharges,MATCH($A453,List_EmissionMeters,0),ROUNDUP((COLUMN()+0)/3-1,0)))</f>
        <v/>
      </c>
      <c r="R453" s="127"/>
      <c r="S453" s="137"/>
    </row>
    <row r="454" spans="1:19" x14ac:dyDescent="0.3">
      <c r="A454" s="126"/>
      <c r="B454" s="133"/>
      <c r="C454" s="127"/>
      <c r="D454" s="137"/>
      <c r="E454" s="58" t="str" cm="1">
        <f>IF(ISBLANK($A454),"",INDEX(Array_EmissionCharges,MATCH($A454,List_EmissionMeters,0),ROUNDUP((COLUMN()+0)/3-1,0)))</f>
        <v/>
      </c>
      <c r="F454" s="127"/>
      <c r="G454" s="137"/>
      <c r="H454" s="58" t="str" cm="1">
        <f>IF(ISBLANK($A454),"",INDEX(Array_EmissionCharges,MATCH($A454,List_EmissionMeters,0),ROUNDUP((COLUMN()+0)/3-1,0)))</f>
        <v/>
      </c>
      <c r="I454" s="127"/>
      <c r="J454" s="137"/>
      <c r="K454" s="58" t="str" cm="1">
        <f>IF(ISBLANK($A454),"",INDEX(Array_EmissionCharges,MATCH($A454,List_EmissionMeters,0),ROUNDUP((COLUMN()+0)/3-1,0)))</f>
        <v/>
      </c>
      <c r="L454" s="127"/>
      <c r="M454" s="137"/>
      <c r="N454" s="58" t="str" cm="1">
        <f>IF(ISBLANK($A454),"",INDEX(Array_EmissionCharges,MATCH($A454,List_EmissionMeters,0),ROUNDUP((COLUMN()+0)/3-1,0)))</f>
        <v/>
      </c>
      <c r="O454" s="127"/>
      <c r="P454" s="137"/>
      <c r="Q454" s="58" t="str" cm="1">
        <f>IF(ISBLANK($A454),"",INDEX(Array_EmissionCharges,MATCH($A454,List_EmissionMeters,0),ROUNDUP((COLUMN()+0)/3-1,0)))</f>
        <v/>
      </c>
      <c r="R454" s="127"/>
      <c r="S454" s="137"/>
    </row>
    <row r="455" spans="1:19" x14ac:dyDescent="0.3">
      <c r="A455" s="126"/>
      <c r="B455" s="133"/>
      <c r="C455" s="127"/>
      <c r="D455" s="137"/>
      <c r="E455" s="58" t="str" cm="1">
        <f>IF(ISBLANK($A455),"",INDEX(Array_EmissionCharges,MATCH($A455,List_EmissionMeters,0),ROUNDUP((COLUMN()+0)/3-1,0)))</f>
        <v/>
      </c>
      <c r="F455" s="127"/>
      <c r="G455" s="137"/>
      <c r="H455" s="58" t="str" cm="1">
        <f>IF(ISBLANK($A455),"",INDEX(Array_EmissionCharges,MATCH($A455,List_EmissionMeters,0),ROUNDUP((COLUMN()+0)/3-1,0)))</f>
        <v/>
      </c>
      <c r="I455" s="127"/>
      <c r="J455" s="137"/>
      <c r="K455" s="58" t="str" cm="1">
        <f>IF(ISBLANK($A455),"",INDEX(Array_EmissionCharges,MATCH($A455,List_EmissionMeters,0),ROUNDUP((COLUMN()+0)/3-1,0)))</f>
        <v/>
      </c>
      <c r="L455" s="127"/>
      <c r="M455" s="137"/>
      <c r="N455" s="58" t="str" cm="1">
        <f>IF(ISBLANK($A455),"",INDEX(Array_EmissionCharges,MATCH($A455,List_EmissionMeters,0),ROUNDUP((COLUMN()+0)/3-1,0)))</f>
        <v/>
      </c>
      <c r="O455" s="127"/>
      <c r="P455" s="137"/>
      <c r="Q455" s="58" t="str" cm="1">
        <f>IF(ISBLANK($A455),"",INDEX(Array_EmissionCharges,MATCH($A455,List_EmissionMeters,0),ROUNDUP((COLUMN()+0)/3-1,0)))</f>
        <v/>
      </c>
      <c r="R455" s="127"/>
      <c r="S455" s="137"/>
    </row>
    <row r="456" spans="1:19" x14ac:dyDescent="0.3">
      <c r="A456" s="126"/>
      <c r="B456" s="133"/>
      <c r="C456" s="127"/>
      <c r="D456" s="137"/>
      <c r="E456" s="58" t="str" cm="1">
        <f>IF(ISBLANK($A456),"",INDEX(Array_EmissionCharges,MATCH($A456,List_EmissionMeters,0),ROUNDUP((COLUMN()+0)/3-1,0)))</f>
        <v/>
      </c>
      <c r="F456" s="127"/>
      <c r="G456" s="137"/>
      <c r="H456" s="58" t="str" cm="1">
        <f>IF(ISBLANK($A456),"",INDEX(Array_EmissionCharges,MATCH($A456,List_EmissionMeters,0),ROUNDUP((COLUMN()+0)/3-1,0)))</f>
        <v/>
      </c>
      <c r="I456" s="127"/>
      <c r="J456" s="137"/>
      <c r="K456" s="58" t="str" cm="1">
        <f>IF(ISBLANK($A456),"",INDEX(Array_EmissionCharges,MATCH($A456,List_EmissionMeters,0),ROUNDUP((COLUMN()+0)/3-1,0)))</f>
        <v/>
      </c>
      <c r="L456" s="127"/>
      <c r="M456" s="137"/>
      <c r="N456" s="58" t="str" cm="1">
        <f>IF(ISBLANK($A456),"",INDEX(Array_EmissionCharges,MATCH($A456,List_EmissionMeters,0),ROUNDUP((COLUMN()+0)/3-1,0)))</f>
        <v/>
      </c>
      <c r="O456" s="127"/>
      <c r="P456" s="137"/>
      <c r="Q456" s="58" t="str" cm="1">
        <f>IF(ISBLANK($A456),"",INDEX(Array_EmissionCharges,MATCH($A456,List_EmissionMeters,0),ROUNDUP((COLUMN()+0)/3-1,0)))</f>
        <v/>
      </c>
      <c r="R456" s="127"/>
      <c r="S456" s="137"/>
    </row>
    <row r="457" spans="1:19" x14ac:dyDescent="0.3">
      <c r="A457" s="126"/>
      <c r="B457" s="133"/>
      <c r="C457" s="127"/>
      <c r="D457" s="137"/>
      <c r="E457" s="58" t="str" cm="1">
        <f>IF(ISBLANK($A457),"",INDEX(Array_EmissionCharges,MATCH($A457,List_EmissionMeters,0),ROUNDUP((COLUMN()+0)/3-1,0)))</f>
        <v/>
      </c>
      <c r="F457" s="127"/>
      <c r="G457" s="137"/>
      <c r="H457" s="58" t="str" cm="1">
        <f>IF(ISBLANK($A457),"",INDEX(Array_EmissionCharges,MATCH($A457,List_EmissionMeters,0),ROUNDUP((COLUMN()+0)/3-1,0)))</f>
        <v/>
      </c>
      <c r="I457" s="127"/>
      <c r="J457" s="137"/>
      <c r="K457" s="58" t="str" cm="1">
        <f>IF(ISBLANK($A457),"",INDEX(Array_EmissionCharges,MATCH($A457,List_EmissionMeters,0),ROUNDUP((COLUMN()+0)/3-1,0)))</f>
        <v/>
      </c>
      <c r="L457" s="127"/>
      <c r="M457" s="137"/>
      <c r="N457" s="58" t="str" cm="1">
        <f>IF(ISBLANK($A457),"",INDEX(Array_EmissionCharges,MATCH($A457,List_EmissionMeters,0),ROUNDUP((COLUMN()+0)/3-1,0)))</f>
        <v/>
      </c>
      <c r="O457" s="127"/>
      <c r="P457" s="137"/>
      <c r="Q457" s="58" t="str" cm="1">
        <f>IF(ISBLANK($A457),"",INDEX(Array_EmissionCharges,MATCH($A457,List_EmissionMeters,0),ROUNDUP((COLUMN()+0)/3-1,0)))</f>
        <v/>
      </c>
      <c r="R457" s="127"/>
      <c r="S457" s="137"/>
    </row>
    <row r="458" spans="1:19" x14ac:dyDescent="0.3">
      <c r="A458" s="126"/>
      <c r="B458" s="133"/>
      <c r="C458" s="127"/>
      <c r="D458" s="137"/>
      <c r="E458" s="58" t="str" cm="1">
        <f>IF(ISBLANK($A458),"",INDEX(Array_EmissionCharges,MATCH($A458,List_EmissionMeters,0),ROUNDUP((COLUMN()+0)/3-1,0)))</f>
        <v/>
      </c>
      <c r="F458" s="127"/>
      <c r="G458" s="137"/>
      <c r="H458" s="58" t="str" cm="1">
        <f>IF(ISBLANK($A458),"",INDEX(Array_EmissionCharges,MATCH($A458,List_EmissionMeters,0),ROUNDUP((COLUMN()+0)/3-1,0)))</f>
        <v/>
      </c>
      <c r="I458" s="127"/>
      <c r="J458" s="137"/>
      <c r="K458" s="58" t="str" cm="1">
        <f>IF(ISBLANK($A458),"",INDEX(Array_EmissionCharges,MATCH($A458,List_EmissionMeters,0),ROUNDUP((COLUMN()+0)/3-1,0)))</f>
        <v/>
      </c>
      <c r="L458" s="127"/>
      <c r="M458" s="137"/>
      <c r="N458" s="58" t="str" cm="1">
        <f>IF(ISBLANK($A458),"",INDEX(Array_EmissionCharges,MATCH($A458,List_EmissionMeters,0),ROUNDUP((COLUMN()+0)/3-1,0)))</f>
        <v/>
      </c>
      <c r="O458" s="127"/>
      <c r="P458" s="137"/>
      <c r="Q458" s="58" t="str" cm="1">
        <f>IF(ISBLANK($A458),"",INDEX(Array_EmissionCharges,MATCH($A458,List_EmissionMeters,0),ROUNDUP((COLUMN()+0)/3-1,0)))</f>
        <v/>
      </c>
      <c r="R458" s="127"/>
      <c r="S458" s="137"/>
    </row>
    <row r="459" spans="1:19" x14ac:dyDescent="0.3">
      <c r="A459" s="126"/>
      <c r="B459" s="133"/>
      <c r="C459" s="127"/>
      <c r="D459" s="137"/>
      <c r="E459" s="58" t="str" cm="1">
        <f>IF(ISBLANK($A459),"",INDEX(Array_EmissionCharges,MATCH($A459,List_EmissionMeters,0),ROUNDUP((COLUMN()+0)/3-1,0)))</f>
        <v/>
      </c>
      <c r="F459" s="127"/>
      <c r="G459" s="137"/>
      <c r="H459" s="58" t="str" cm="1">
        <f>IF(ISBLANK($A459),"",INDEX(Array_EmissionCharges,MATCH($A459,List_EmissionMeters,0),ROUNDUP((COLUMN()+0)/3-1,0)))</f>
        <v/>
      </c>
      <c r="I459" s="127"/>
      <c r="J459" s="137"/>
      <c r="K459" s="58" t="str" cm="1">
        <f>IF(ISBLANK($A459),"",INDEX(Array_EmissionCharges,MATCH($A459,List_EmissionMeters,0),ROUNDUP((COLUMN()+0)/3-1,0)))</f>
        <v/>
      </c>
      <c r="L459" s="127"/>
      <c r="M459" s="137"/>
      <c r="N459" s="58" t="str" cm="1">
        <f>IF(ISBLANK($A459),"",INDEX(Array_EmissionCharges,MATCH($A459,List_EmissionMeters,0),ROUNDUP((COLUMN()+0)/3-1,0)))</f>
        <v/>
      </c>
      <c r="O459" s="127"/>
      <c r="P459" s="137"/>
      <c r="Q459" s="58" t="str" cm="1">
        <f>IF(ISBLANK($A459),"",INDEX(Array_EmissionCharges,MATCH($A459,List_EmissionMeters,0),ROUNDUP((COLUMN()+0)/3-1,0)))</f>
        <v/>
      </c>
      <c r="R459" s="127"/>
      <c r="S459" s="137"/>
    </row>
    <row r="460" spans="1:19" x14ac:dyDescent="0.3">
      <c r="A460" s="126"/>
      <c r="B460" s="133"/>
      <c r="C460" s="127"/>
      <c r="D460" s="137"/>
      <c r="E460" s="58" t="str" cm="1">
        <f>IF(ISBLANK($A460),"",INDEX(Array_EmissionCharges,MATCH($A460,List_EmissionMeters,0),ROUNDUP((COLUMN()+0)/3-1,0)))</f>
        <v/>
      </c>
      <c r="F460" s="127"/>
      <c r="G460" s="137"/>
      <c r="H460" s="58" t="str" cm="1">
        <f>IF(ISBLANK($A460),"",INDEX(Array_EmissionCharges,MATCH($A460,List_EmissionMeters,0),ROUNDUP((COLUMN()+0)/3-1,0)))</f>
        <v/>
      </c>
      <c r="I460" s="127"/>
      <c r="J460" s="137"/>
      <c r="K460" s="58" t="str" cm="1">
        <f>IF(ISBLANK($A460),"",INDEX(Array_EmissionCharges,MATCH($A460,List_EmissionMeters,0),ROUNDUP((COLUMN()+0)/3-1,0)))</f>
        <v/>
      </c>
      <c r="L460" s="127"/>
      <c r="M460" s="137"/>
      <c r="N460" s="58" t="str" cm="1">
        <f>IF(ISBLANK($A460),"",INDEX(Array_EmissionCharges,MATCH($A460,List_EmissionMeters,0),ROUNDUP((COLUMN()+0)/3-1,0)))</f>
        <v/>
      </c>
      <c r="O460" s="127"/>
      <c r="P460" s="137"/>
      <c r="Q460" s="58" t="str" cm="1">
        <f>IF(ISBLANK($A460),"",INDEX(Array_EmissionCharges,MATCH($A460,List_EmissionMeters,0),ROUNDUP((COLUMN()+0)/3-1,0)))</f>
        <v/>
      </c>
      <c r="R460" s="127"/>
      <c r="S460" s="137"/>
    </row>
    <row r="461" spans="1:19" x14ac:dyDescent="0.3">
      <c r="A461" s="126"/>
      <c r="B461" s="133"/>
      <c r="C461" s="127"/>
      <c r="D461" s="137"/>
      <c r="E461" s="58" t="str" cm="1">
        <f>IF(ISBLANK($A461),"",INDEX(Array_EmissionCharges,MATCH($A461,List_EmissionMeters,0),ROUNDUP((COLUMN()+0)/3-1,0)))</f>
        <v/>
      </c>
      <c r="F461" s="127"/>
      <c r="G461" s="137"/>
      <c r="H461" s="58" t="str" cm="1">
        <f>IF(ISBLANK($A461),"",INDEX(Array_EmissionCharges,MATCH($A461,List_EmissionMeters,0),ROUNDUP((COLUMN()+0)/3-1,0)))</f>
        <v/>
      </c>
      <c r="I461" s="127"/>
      <c r="J461" s="137"/>
      <c r="K461" s="58" t="str" cm="1">
        <f>IF(ISBLANK($A461),"",INDEX(Array_EmissionCharges,MATCH($A461,List_EmissionMeters,0),ROUNDUP((COLUMN()+0)/3-1,0)))</f>
        <v/>
      </c>
      <c r="L461" s="127"/>
      <c r="M461" s="137"/>
      <c r="N461" s="58" t="str" cm="1">
        <f>IF(ISBLANK($A461),"",INDEX(Array_EmissionCharges,MATCH($A461,List_EmissionMeters,0),ROUNDUP((COLUMN()+0)/3-1,0)))</f>
        <v/>
      </c>
      <c r="O461" s="127"/>
      <c r="P461" s="137"/>
      <c r="Q461" s="58" t="str" cm="1">
        <f>IF(ISBLANK($A461),"",INDEX(Array_EmissionCharges,MATCH($A461,List_EmissionMeters,0),ROUNDUP((COLUMN()+0)/3-1,0)))</f>
        <v/>
      </c>
      <c r="R461" s="127"/>
      <c r="S461" s="137"/>
    </row>
    <row r="462" spans="1:19" x14ac:dyDescent="0.3">
      <c r="A462" s="126"/>
      <c r="B462" s="133"/>
      <c r="C462" s="127"/>
      <c r="D462" s="137"/>
      <c r="E462" s="58" t="str" cm="1">
        <f>IF(ISBLANK($A462),"",INDEX(Array_EmissionCharges,MATCH($A462,List_EmissionMeters,0),ROUNDUP((COLUMN()+0)/3-1,0)))</f>
        <v/>
      </c>
      <c r="F462" s="127"/>
      <c r="G462" s="137"/>
      <c r="H462" s="58" t="str" cm="1">
        <f>IF(ISBLANK($A462),"",INDEX(Array_EmissionCharges,MATCH($A462,List_EmissionMeters,0),ROUNDUP((COLUMN()+0)/3-1,0)))</f>
        <v/>
      </c>
      <c r="I462" s="127"/>
      <c r="J462" s="137"/>
      <c r="K462" s="58" t="str" cm="1">
        <f>IF(ISBLANK($A462),"",INDEX(Array_EmissionCharges,MATCH($A462,List_EmissionMeters,0),ROUNDUP((COLUMN()+0)/3-1,0)))</f>
        <v/>
      </c>
      <c r="L462" s="127"/>
      <c r="M462" s="137"/>
      <c r="N462" s="58" t="str" cm="1">
        <f>IF(ISBLANK($A462),"",INDEX(Array_EmissionCharges,MATCH($A462,List_EmissionMeters,0),ROUNDUP((COLUMN()+0)/3-1,0)))</f>
        <v/>
      </c>
      <c r="O462" s="127"/>
      <c r="P462" s="137"/>
      <c r="Q462" s="58" t="str" cm="1">
        <f>IF(ISBLANK($A462),"",INDEX(Array_EmissionCharges,MATCH($A462,List_EmissionMeters,0),ROUNDUP((COLUMN()+0)/3-1,0)))</f>
        <v/>
      </c>
      <c r="R462" s="127"/>
      <c r="S462" s="137"/>
    </row>
    <row r="463" spans="1:19" x14ac:dyDescent="0.3">
      <c r="A463" s="126"/>
      <c r="B463" s="133"/>
      <c r="C463" s="127"/>
      <c r="D463" s="137"/>
      <c r="E463" s="58" t="str" cm="1">
        <f>IF(ISBLANK($A463),"",INDEX(Array_EmissionCharges,MATCH($A463,List_EmissionMeters,0),ROUNDUP((COLUMN()+0)/3-1,0)))</f>
        <v/>
      </c>
      <c r="F463" s="127"/>
      <c r="G463" s="137"/>
      <c r="H463" s="58" t="str" cm="1">
        <f>IF(ISBLANK($A463),"",INDEX(Array_EmissionCharges,MATCH($A463,List_EmissionMeters,0),ROUNDUP((COLUMN()+0)/3-1,0)))</f>
        <v/>
      </c>
      <c r="I463" s="127"/>
      <c r="J463" s="137"/>
      <c r="K463" s="58" t="str" cm="1">
        <f>IF(ISBLANK($A463),"",INDEX(Array_EmissionCharges,MATCH($A463,List_EmissionMeters,0),ROUNDUP((COLUMN()+0)/3-1,0)))</f>
        <v/>
      </c>
      <c r="L463" s="127"/>
      <c r="M463" s="137"/>
      <c r="N463" s="58" t="str" cm="1">
        <f>IF(ISBLANK($A463),"",INDEX(Array_EmissionCharges,MATCH($A463,List_EmissionMeters,0),ROUNDUP((COLUMN()+0)/3-1,0)))</f>
        <v/>
      </c>
      <c r="O463" s="127"/>
      <c r="P463" s="137"/>
      <c r="Q463" s="58" t="str" cm="1">
        <f>IF(ISBLANK($A463),"",INDEX(Array_EmissionCharges,MATCH($A463,List_EmissionMeters,0),ROUNDUP((COLUMN()+0)/3-1,0)))</f>
        <v/>
      </c>
      <c r="R463" s="127"/>
      <c r="S463" s="137"/>
    </row>
    <row r="464" spans="1:19" x14ac:dyDescent="0.3">
      <c r="A464" s="126"/>
      <c r="B464" s="133"/>
      <c r="C464" s="127"/>
      <c r="D464" s="137"/>
      <c r="E464" s="58" t="str" cm="1">
        <f>IF(ISBLANK($A464),"",INDEX(Array_EmissionCharges,MATCH($A464,List_EmissionMeters,0),ROUNDUP((COLUMN()+0)/3-1,0)))</f>
        <v/>
      </c>
      <c r="F464" s="127"/>
      <c r="G464" s="137"/>
      <c r="H464" s="58" t="str" cm="1">
        <f>IF(ISBLANK($A464),"",INDEX(Array_EmissionCharges,MATCH($A464,List_EmissionMeters,0),ROUNDUP((COLUMN()+0)/3-1,0)))</f>
        <v/>
      </c>
      <c r="I464" s="127"/>
      <c r="J464" s="137"/>
      <c r="K464" s="58" t="str" cm="1">
        <f>IF(ISBLANK($A464),"",INDEX(Array_EmissionCharges,MATCH($A464,List_EmissionMeters,0),ROUNDUP((COLUMN()+0)/3-1,0)))</f>
        <v/>
      </c>
      <c r="L464" s="127"/>
      <c r="M464" s="137"/>
      <c r="N464" s="58" t="str" cm="1">
        <f>IF(ISBLANK($A464),"",INDEX(Array_EmissionCharges,MATCH($A464,List_EmissionMeters,0),ROUNDUP((COLUMN()+0)/3-1,0)))</f>
        <v/>
      </c>
      <c r="O464" s="127"/>
      <c r="P464" s="137"/>
      <c r="Q464" s="58" t="str" cm="1">
        <f>IF(ISBLANK($A464),"",INDEX(Array_EmissionCharges,MATCH($A464,List_EmissionMeters,0),ROUNDUP((COLUMN()+0)/3-1,0)))</f>
        <v/>
      </c>
      <c r="R464" s="127"/>
      <c r="S464" s="137"/>
    </row>
    <row r="465" spans="1:19" x14ac:dyDescent="0.3">
      <c r="A465" s="126"/>
      <c r="B465" s="133"/>
      <c r="C465" s="127"/>
      <c r="D465" s="137"/>
      <c r="E465" s="58" t="str" cm="1">
        <f>IF(ISBLANK($A465),"",INDEX(Array_EmissionCharges,MATCH($A465,List_EmissionMeters,0),ROUNDUP((COLUMN()+0)/3-1,0)))</f>
        <v/>
      </c>
      <c r="F465" s="127"/>
      <c r="G465" s="137"/>
      <c r="H465" s="58" t="str" cm="1">
        <f>IF(ISBLANK($A465),"",INDEX(Array_EmissionCharges,MATCH($A465,List_EmissionMeters,0),ROUNDUP((COLUMN()+0)/3-1,0)))</f>
        <v/>
      </c>
      <c r="I465" s="127"/>
      <c r="J465" s="137"/>
      <c r="K465" s="58" t="str" cm="1">
        <f>IF(ISBLANK($A465),"",INDEX(Array_EmissionCharges,MATCH($A465,List_EmissionMeters,0),ROUNDUP((COLUMN()+0)/3-1,0)))</f>
        <v/>
      </c>
      <c r="L465" s="127"/>
      <c r="M465" s="137"/>
      <c r="N465" s="58" t="str" cm="1">
        <f>IF(ISBLANK($A465),"",INDEX(Array_EmissionCharges,MATCH($A465,List_EmissionMeters,0),ROUNDUP((COLUMN()+0)/3-1,0)))</f>
        <v/>
      </c>
      <c r="O465" s="127"/>
      <c r="P465" s="137"/>
      <c r="Q465" s="58" t="str" cm="1">
        <f>IF(ISBLANK($A465),"",INDEX(Array_EmissionCharges,MATCH($A465,List_EmissionMeters,0),ROUNDUP((COLUMN()+0)/3-1,0)))</f>
        <v/>
      </c>
      <c r="R465" s="127"/>
      <c r="S465" s="137"/>
    </row>
    <row r="466" spans="1:19" x14ac:dyDescent="0.3">
      <c r="A466" s="126"/>
      <c r="B466" s="133"/>
      <c r="C466" s="127"/>
      <c r="D466" s="137"/>
      <c r="E466" s="58" t="str" cm="1">
        <f>IF(ISBLANK($A466),"",INDEX(Array_EmissionCharges,MATCH($A466,List_EmissionMeters,0),ROUNDUP((COLUMN()+0)/3-1,0)))</f>
        <v/>
      </c>
      <c r="F466" s="127"/>
      <c r="G466" s="137"/>
      <c r="H466" s="58" t="str" cm="1">
        <f>IF(ISBLANK($A466),"",INDEX(Array_EmissionCharges,MATCH($A466,List_EmissionMeters,0),ROUNDUP((COLUMN()+0)/3-1,0)))</f>
        <v/>
      </c>
      <c r="I466" s="127"/>
      <c r="J466" s="137"/>
      <c r="K466" s="58" t="str" cm="1">
        <f>IF(ISBLANK($A466),"",INDEX(Array_EmissionCharges,MATCH($A466,List_EmissionMeters,0),ROUNDUP((COLUMN()+0)/3-1,0)))</f>
        <v/>
      </c>
      <c r="L466" s="127"/>
      <c r="M466" s="137"/>
      <c r="N466" s="58" t="str" cm="1">
        <f>IF(ISBLANK($A466),"",INDEX(Array_EmissionCharges,MATCH($A466,List_EmissionMeters,0),ROUNDUP((COLUMN()+0)/3-1,0)))</f>
        <v/>
      </c>
      <c r="O466" s="127"/>
      <c r="P466" s="137"/>
      <c r="Q466" s="58" t="str" cm="1">
        <f>IF(ISBLANK($A466),"",INDEX(Array_EmissionCharges,MATCH($A466,List_EmissionMeters,0),ROUNDUP((COLUMN()+0)/3-1,0)))</f>
        <v/>
      </c>
      <c r="R466" s="127"/>
      <c r="S466" s="137"/>
    </row>
    <row r="467" spans="1:19" x14ac:dyDescent="0.3">
      <c r="A467" s="126"/>
      <c r="B467" s="133"/>
      <c r="C467" s="127"/>
      <c r="D467" s="137"/>
      <c r="E467" s="58" t="str" cm="1">
        <f>IF(ISBLANK($A467),"",INDEX(Array_EmissionCharges,MATCH($A467,List_EmissionMeters,0),ROUNDUP((COLUMN()+0)/3-1,0)))</f>
        <v/>
      </c>
      <c r="F467" s="127"/>
      <c r="G467" s="137"/>
      <c r="H467" s="58" t="str" cm="1">
        <f>IF(ISBLANK($A467),"",INDEX(Array_EmissionCharges,MATCH($A467,List_EmissionMeters,0),ROUNDUP((COLUMN()+0)/3-1,0)))</f>
        <v/>
      </c>
      <c r="I467" s="127"/>
      <c r="J467" s="137"/>
      <c r="K467" s="58" t="str" cm="1">
        <f>IF(ISBLANK($A467),"",INDEX(Array_EmissionCharges,MATCH($A467,List_EmissionMeters,0),ROUNDUP((COLUMN()+0)/3-1,0)))</f>
        <v/>
      </c>
      <c r="L467" s="127"/>
      <c r="M467" s="137"/>
      <c r="N467" s="58" t="str" cm="1">
        <f>IF(ISBLANK($A467),"",INDEX(Array_EmissionCharges,MATCH($A467,List_EmissionMeters,0),ROUNDUP((COLUMN()+0)/3-1,0)))</f>
        <v/>
      </c>
      <c r="O467" s="127"/>
      <c r="P467" s="137"/>
      <c r="Q467" s="58" t="str" cm="1">
        <f>IF(ISBLANK($A467),"",INDEX(Array_EmissionCharges,MATCH($A467,List_EmissionMeters,0),ROUNDUP((COLUMN()+0)/3-1,0)))</f>
        <v/>
      </c>
      <c r="R467" s="127"/>
      <c r="S467" s="137"/>
    </row>
    <row r="468" spans="1:19" x14ac:dyDescent="0.3">
      <c r="A468" s="126"/>
      <c r="B468" s="133"/>
      <c r="C468" s="127"/>
      <c r="D468" s="137"/>
      <c r="E468" s="58" t="str" cm="1">
        <f>IF(ISBLANK($A468),"",INDEX(Array_EmissionCharges,MATCH($A468,List_EmissionMeters,0),ROUNDUP((COLUMN()+0)/3-1,0)))</f>
        <v/>
      </c>
      <c r="F468" s="127"/>
      <c r="G468" s="137"/>
      <c r="H468" s="58" t="str" cm="1">
        <f>IF(ISBLANK($A468),"",INDEX(Array_EmissionCharges,MATCH($A468,List_EmissionMeters,0),ROUNDUP((COLUMN()+0)/3-1,0)))</f>
        <v/>
      </c>
      <c r="I468" s="127"/>
      <c r="J468" s="137"/>
      <c r="K468" s="58" t="str" cm="1">
        <f>IF(ISBLANK($A468),"",INDEX(Array_EmissionCharges,MATCH($A468,List_EmissionMeters,0),ROUNDUP((COLUMN()+0)/3-1,0)))</f>
        <v/>
      </c>
      <c r="L468" s="127"/>
      <c r="M468" s="137"/>
      <c r="N468" s="58" t="str" cm="1">
        <f>IF(ISBLANK($A468),"",INDEX(Array_EmissionCharges,MATCH($A468,List_EmissionMeters,0),ROUNDUP((COLUMN()+0)/3-1,0)))</f>
        <v/>
      </c>
      <c r="O468" s="127"/>
      <c r="P468" s="137"/>
      <c r="Q468" s="58" t="str" cm="1">
        <f>IF(ISBLANK($A468),"",INDEX(Array_EmissionCharges,MATCH($A468,List_EmissionMeters,0),ROUNDUP((COLUMN()+0)/3-1,0)))</f>
        <v/>
      </c>
      <c r="R468" s="127"/>
      <c r="S468" s="137"/>
    </row>
    <row r="469" spans="1:19" x14ac:dyDescent="0.3">
      <c r="A469" s="126"/>
      <c r="B469" s="133"/>
      <c r="C469" s="127"/>
      <c r="D469" s="137"/>
      <c r="E469" s="58" t="str" cm="1">
        <f>IF(ISBLANK($A469),"",INDEX(Array_EmissionCharges,MATCH($A469,List_EmissionMeters,0),ROUNDUP((COLUMN()+0)/3-1,0)))</f>
        <v/>
      </c>
      <c r="F469" s="127"/>
      <c r="G469" s="137"/>
      <c r="H469" s="58" t="str" cm="1">
        <f>IF(ISBLANK($A469),"",INDEX(Array_EmissionCharges,MATCH($A469,List_EmissionMeters,0),ROUNDUP((COLUMN()+0)/3-1,0)))</f>
        <v/>
      </c>
      <c r="I469" s="127"/>
      <c r="J469" s="137"/>
      <c r="K469" s="58" t="str" cm="1">
        <f>IF(ISBLANK($A469),"",INDEX(Array_EmissionCharges,MATCH($A469,List_EmissionMeters,0),ROUNDUP((COLUMN()+0)/3-1,0)))</f>
        <v/>
      </c>
      <c r="L469" s="127"/>
      <c r="M469" s="137"/>
      <c r="N469" s="58" t="str" cm="1">
        <f>IF(ISBLANK($A469),"",INDEX(Array_EmissionCharges,MATCH($A469,List_EmissionMeters,0),ROUNDUP((COLUMN()+0)/3-1,0)))</f>
        <v/>
      </c>
      <c r="O469" s="127"/>
      <c r="P469" s="137"/>
      <c r="Q469" s="58" t="str" cm="1">
        <f>IF(ISBLANK($A469),"",INDEX(Array_EmissionCharges,MATCH($A469,List_EmissionMeters,0),ROUNDUP((COLUMN()+0)/3-1,0)))</f>
        <v/>
      </c>
      <c r="R469" s="127"/>
      <c r="S469" s="137"/>
    </row>
    <row r="470" spans="1:19" x14ac:dyDescent="0.3">
      <c r="A470" s="126"/>
      <c r="B470" s="133"/>
      <c r="C470" s="127"/>
      <c r="D470" s="137"/>
      <c r="E470" s="58" t="str" cm="1">
        <f>IF(ISBLANK($A470),"",INDEX(Array_EmissionCharges,MATCH($A470,List_EmissionMeters,0),ROUNDUP((COLUMN()+0)/3-1,0)))</f>
        <v/>
      </c>
      <c r="F470" s="127"/>
      <c r="G470" s="137"/>
      <c r="H470" s="58" t="str" cm="1">
        <f>IF(ISBLANK($A470),"",INDEX(Array_EmissionCharges,MATCH($A470,List_EmissionMeters,0),ROUNDUP((COLUMN()+0)/3-1,0)))</f>
        <v/>
      </c>
      <c r="I470" s="127"/>
      <c r="J470" s="137"/>
      <c r="K470" s="58" t="str" cm="1">
        <f>IF(ISBLANK($A470),"",INDEX(Array_EmissionCharges,MATCH($A470,List_EmissionMeters,0),ROUNDUP((COLUMN()+0)/3-1,0)))</f>
        <v/>
      </c>
      <c r="L470" s="127"/>
      <c r="M470" s="137"/>
      <c r="N470" s="58" t="str" cm="1">
        <f>IF(ISBLANK($A470),"",INDEX(Array_EmissionCharges,MATCH($A470,List_EmissionMeters,0),ROUNDUP((COLUMN()+0)/3-1,0)))</f>
        <v/>
      </c>
      <c r="O470" s="127"/>
      <c r="P470" s="137"/>
      <c r="Q470" s="58" t="str" cm="1">
        <f>IF(ISBLANK($A470),"",INDEX(Array_EmissionCharges,MATCH($A470,List_EmissionMeters,0),ROUNDUP((COLUMN()+0)/3-1,0)))</f>
        <v/>
      </c>
      <c r="R470" s="127"/>
      <c r="S470" s="137"/>
    </row>
    <row r="471" spans="1:19" x14ac:dyDescent="0.3">
      <c r="A471" s="126"/>
      <c r="B471" s="133"/>
      <c r="C471" s="127"/>
      <c r="D471" s="137"/>
      <c r="E471" s="58" t="str" cm="1">
        <f>IF(ISBLANK($A471),"",INDEX(Array_EmissionCharges,MATCH($A471,List_EmissionMeters,0),ROUNDUP((COLUMN()+0)/3-1,0)))</f>
        <v/>
      </c>
      <c r="F471" s="127"/>
      <c r="G471" s="137"/>
      <c r="H471" s="58" t="str" cm="1">
        <f>IF(ISBLANK($A471),"",INDEX(Array_EmissionCharges,MATCH($A471,List_EmissionMeters,0),ROUNDUP((COLUMN()+0)/3-1,0)))</f>
        <v/>
      </c>
      <c r="I471" s="127"/>
      <c r="J471" s="137"/>
      <c r="K471" s="58" t="str" cm="1">
        <f>IF(ISBLANK($A471),"",INDEX(Array_EmissionCharges,MATCH($A471,List_EmissionMeters,0),ROUNDUP((COLUMN()+0)/3-1,0)))</f>
        <v/>
      </c>
      <c r="L471" s="127"/>
      <c r="M471" s="137"/>
      <c r="N471" s="58" t="str" cm="1">
        <f>IF(ISBLANK($A471),"",INDEX(Array_EmissionCharges,MATCH($A471,List_EmissionMeters,0),ROUNDUP((COLUMN()+0)/3-1,0)))</f>
        <v/>
      </c>
      <c r="O471" s="127"/>
      <c r="P471" s="137"/>
      <c r="Q471" s="58" t="str" cm="1">
        <f>IF(ISBLANK($A471),"",INDEX(Array_EmissionCharges,MATCH($A471,List_EmissionMeters,0),ROUNDUP((COLUMN()+0)/3-1,0)))</f>
        <v/>
      </c>
      <c r="R471" s="127"/>
      <c r="S471" s="137"/>
    </row>
    <row r="472" spans="1:19" x14ac:dyDescent="0.3">
      <c r="A472" s="126"/>
      <c r="B472" s="133"/>
      <c r="C472" s="127"/>
      <c r="D472" s="137"/>
      <c r="E472" s="58" t="str" cm="1">
        <f>IF(ISBLANK($A472),"",INDEX(Array_EmissionCharges,MATCH($A472,List_EmissionMeters,0),ROUNDUP((COLUMN()+0)/3-1,0)))</f>
        <v/>
      </c>
      <c r="F472" s="127"/>
      <c r="G472" s="137"/>
      <c r="H472" s="58" t="str" cm="1">
        <f>IF(ISBLANK($A472),"",INDEX(Array_EmissionCharges,MATCH($A472,List_EmissionMeters,0),ROUNDUP((COLUMN()+0)/3-1,0)))</f>
        <v/>
      </c>
      <c r="I472" s="127"/>
      <c r="J472" s="137"/>
      <c r="K472" s="58" t="str" cm="1">
        <f>IF(ISBLANK($A472),"",INDEX(Array_EmissionCharges,MATCH($A472,List_EmissionMeters,0),ROUNDUP((COLUMN()+0)/3-1,0)))</f>
        <v/>
      </c>
      <c r="L472" s="127"/>
      <c r="M472" s="137"/>
      <c r="N472" s="58" t="str" cm="1">
        <f>IF(ISBLANK($A472),"",INDEX(Array_EmissionCharges,MATCH($A472,List_EmissionMeters,0),ROUNDUP((COLUMN()+0)/3-1,0)))</f>
        <v/>
      </c>
      <c r="O472" s="127"/>
      <c r="P472" s="137"/>
      <c r="Q472" s="58" t="str" cm="1">
        <f>IF(ISBLANK($A472),"",INDEX(Array_EmissionCharges,MATCH($A472,List_EmissionMeters,0),ROUNDUP((COLUMN()+0)/3-1,0)))</f>
        <v/>
      </c>
      <c r="R472" s="127"/>
      <c r="S472" s="137"/>
    </row>
    <row r="473" spans="1:19" x14ac:dyDescent="0.3">
      <c r="A473" s="126"/>
      <c r="B473" s="133"/>
      <c r="C473" s="127"/>
      <c r="D473" s="137"/>
      <c r="E473" s="58" t="str" cm="1">
        <f>IF(ISBLANK($A473),"",INDEX(Array_EmissionCharges,MATCH($A473,List_EmissionMeters,0),ROUNDUP((COLUMN()+0)/3-1,0)))</f>
        <v/>
      </c>
      <c r="F473" s="127"/>
      <c r="G473" s="137"/>
      <c r="H473" s="58" t="str" cm="1">
        <f>IF(ISBLANK($A473),"",INDEX(Array_EmissionCharges,MATCH($A473,List_EmissionMeters,0),ROUNDUP((COLUMN()+0)/3-1,0)))</f>
        <v/>
      </c>
      <c r="I473" s="127"/>
      <c r="J473" s="137"/>
      <c r="K473" s="58" t="str" cm="1">
        <f>IF(ISBLANK($A473),"",INDEX(Array_EmissionCharges,MATCH($A473,List_EmissionMeters,0),ROUNDUP((COLUMN()+0)/3-1,0)))</f>
        <v/>
      </c>
      <c r="L473" s="127"/>
      <c r="M473" s="137"/>
      <c r="N473" s="58" t="str" cm="1">
        <f>IF(ISBLANK($A473),"",INDEX(Array_EmissionCharges,MATCH($A473,List_EmissionMeters,0),ROUNDUP((COLUMN()+0)/3-1,0)))</f>
        <v/>
      </c>
      <c r="O473" s="127"/>
      <c r="P473" s="137"/>
      <c r="Q473" s="58" t="str" cm="1">
        <f>IF(ISBLANK($A473),"",INDEX(Array_EmissionCharges,MATCH($A473,List_EmissionMeters,0),ROUNDUP((COLUMN()+0)/3-1,0)))</f>
        <v/>
      </c>
      <c r="R473" s="127"/>
      <c r="S473" s="137"/>
    </row>
    <row r="474" spans="1:19" x14ac:dyDescent="0.3">
      <c r="A474" s="126"/>
      <c r="B474" s="133"/>
      <c r="C474" s="127"/>
      <c r="D474" s="137"/>
      <c r="E474" s="58" t="str" cm="1">
        <f>IF(ISBLANK($A474),"",INDEX(Array_EmissionCharges,MATCH($A474,List_EmissionMeters,0),ROUNDUP((COLUMN()+0)/3-1,0)))</f>
        <v/>
      </c>
      <c r="F474" s="127"/>
      <c r="G474" s="137"/>
      <c r="H474" s="58" t="str" cm="1">
        <f>IF(ISBLANK($A474),"",INDEX(Array_EmissionCharges,MATCH($A474,List_EmissionMeters,0),ROUNDUP((COLUMN()+0)/3-1,0)))</f>
        <v/>
      </c>
      <c r="I474" s="127"/>
      <c r="J474" s="137"/>
      <c r="K474" s="58" t="str" cm="1">
        <f>IF(ISBLANK($A474),"",INDEX(Array_EmissionCharges,MATCH($A474,List_EmissionMeters,0),ROUNDUP((COLUMN()+0)/3-1,0)))</f>
        <v/>
      </c>
      <c r="L474" s="127"/>
      <c r="M474" s="137"/>
      <c r="N474" s="58" t="str" cm="1">
        <f>IF(ISBLANK($A474),"",INDEX(Array_EmissionCharges,MATCH($A474,List_EmissionMeters,0),ROUNDUP((COLUMN()+0)/3-1,0)))</f>
        <v/>
      </c>
      <c r="O474" s="127"/>
      <c r="P474" s="137"/>
      <c r="Q474" s="58" t="str" cm="1">
        <f>IF(ISBLANK($A474),"",INDEX(Array_EmissionCharges,MATCH($A474,List_EmissionMeters,0),ROUNDUP((COLUMN()+0)/3-1,0)))</f>
        <v/>
      </c>
      <c r="R474" s="127"/>
      <c r="S474" s="137"/>
    </row>
    <row r="475" spans="1:19" x14ac:dyDescent="0.3">
      <c r="A475" s="126"/>
      <c r="B475" s="133"/>
      <c r="C475" s="127"/>
      <c r="D475" s="137"/>
      <c r="E475" s="58" t="str" cm="1">
        <f>IF(ISBLANK($A475),"",INDEX(Array_EmissionCharges,MATCH($A475,List_EmissionMeters,0),ROUNDUP((COLUMN()+0)/3-1,0)))</f>
        <v/>
      </c>
      <c r="F475" s="127"/>
      <c r="G475" s="137"/>
      <c r="H475" s="58" t="str" cm="1">
        <f>IF(ISBLANK($A475),"",INDEX(Array_EmissionCharges,MATCH($A475,List_EmissionMeters,0),ROUNDUP((COLUMN()+0)/3-1,0)))</f>
        <v/>
      </c>
      <c r="I475" s="127"/>
      <c r="J475" s="137"/>
      <c r="K475" s="58" t="str" cm="1">
        <f>IF(ISBLANK($A475),"",INDEX(Array_EmissionCharges,MATCH($A475,List_EmissionMeters,0),ROUNDUP((COLUMN()+0)/3-1,0)))</f>
        <v/>
      </c>
      <c r="L475" s="127"/>
      <c r="M475" s="137"/>
      <c r="N475" s="58" t="str" cm="1">
        <f>IF(ISBLANK($A475),"",INDEX(Array_EmissionCharges,MATCH($A475,List_EmissionMeters,0),ROUNDUP((COLUMN()+0)/3-1,0)))</f>
        <v/>
      </c>
      <c r="O475" s="127"/>
      <c r="P475" s="137"/>
      <c r="Q475" s="58" t="str" cm="1">
        <f>IF(ISBLANK($A475),"",INDEX(Array_EmissionCharges,MATCH($A475,List_EmissionMeters,0),ROUNDUP((COLUMN()+0)/3-1,0)))</f>
        <v/>
      </c>
      <c r="R475" s="127"/>
      <c r="S475" s="137"/>
    </row>
    <row r="476" spans="1:19" x14ac:dyDescent="0.3">
      <c r="A476" s="126"/>
      <c r="B476" s="133"/>
      <c r="C476" s="127"/>
      <c r="D476" s="137"/>
      <c r="E476" s="58" t="str" cm="1">
        <f>IF(ISBLANK($A476),"",INDEX(Array_EmissionCharges,MATCH($A476,List_EmissionMeters,0),ROUNDUP((COLUMN()+0)/3-1,0)))</f>
        <v/>
      </c>
      <c r="F476" s="127"/>
      <c r="G476" s="137"/>
      <c r="H476" s="58" t="str" cm="1">
        <f>IF(ISBLANK($A476),"",INDEX(Array_EmissionCharges,MATCH($A476,List_EmissionMeters,0),ROUNDUP((COLUMN()+0)/3-1,0)))</f>
        <v/>
      </c>
      <c r="I476" s="127"/>
      <c r="J476" s="137"/>
      <c r="K476" s="58" t="str" cm="1">
        <f>IF(ISBLANK($A476),"",INDEX(Array_EmissionCharges,MATCH($A476,List_EmissionMeters,0),ROUNDUP((COLUMN()+0)/3-1,0)))</f>
        <v/>
      </c>
      <c r="L476" s="127"/>
      <c r="M476" s="137"/>
      <c r="N476" s="58" t="str" cm="1">
        <f>IF(ISBLANK($A476),"",INDEX(Array_EmissionCharges,MATCH($A476,List_EmissionMeters,0),ROUNDUP((COLUMN()+0)/3-1,0)))</f>
        <v/>
      </c>
      <c r="O476" s="127"/>
      <c r="P476" s="137"/>
      <c r="Q476" s="58" t="str" cm="1">
        <f>IF(ISBLANK($A476),"",INDEX(Array_EmissionCharges,MATCH($A476,List_EmissionMeters,0),ROUNDUP((COLUMN()+0)/3-1,0)))</f>
        <v/>
      </c>
      <c r="R476" s="127"/>
      <c r="S476" s="137"/>
    </row>
    <row r="477" spans="1:19" x14ac:dyDescent="0.3">
      <c r="A477" s="126"/>
      <c r="B477" s="133"/>
      <c r="C477" s="127"/>
      <c r="D477" s="137"/>
      <c r="E477" s="58" t="str" cm="1">
        <f>IF(ISBLANK($A477),"",INDEX(Array_EmissionCharges,MATCH($A477,List_EmissionMeters,0),ROUNDUP((COLUMN()+0)/3-1,0)))</f>
        <v/>
      </c>
      <c r="F477" s="127"/>
      <c r="G477" s="137"/>
      <c r="H477" s="58" t="str" cm="1">
        <f>IF(ISBLANK($A477),"",INDEX(Array_EmissionCharges,MATCH($A477,List_EmissionMeters,0),ROUNDUP((COLUMN()+0)/3-1,0)))</f>
        <v/>
      </c>
      <c r="I477" s="127"/>
      <c r="J477" s="137"/>
      <c r="K477" s="58" t="str" cm="1">
        <f>IF(ISBLANK($A477),"",INDEX(Array_EmissionCharges,MATCH($A477,List_EmissionMeters,0),ROUNDUP((COLUMN()+0)/3-1,0)))</f>
        <v/>
      </c>
      <c r="L477" s="127"/>
      <c r="M477" s="137"/>
      <c r="N477" s="58" t="str" cm="1">
        <f>IF(ISBLANK($A477),"",INDEX(Array_EmissionCharges,MATCH($A477,List_EmissionMeters,0),ROUNDUP((COLUMN()+0)/3-1,0)))</f>
        <v/>
      </c>
      <c r="O477" s="127"/>
      <c r="P477" s="137"/>
      <c r="Q477" s="58" t="str" cm="1">
        <f>IF(ISBLANK($A477),"",INDEX(Array_EmissionCharges,MATCH($A477,List_EmissionMeters,0),ROUNDUP((COLUMN()+0)/3-1,0)))</f>
        <v/>
      </c>
      <c r="R477" s="127"/>
      <c r="S477" s="137"/>
    </row>
    <row r="478" spans="1:19" x14ac:dyDescent="0.3">
      <c r="A478" s="126"/>
      <c r="B478" s="133"/>
      <c r="C478" s="127"/>
      <c r="D478" s="137"/>
      <c r="E478" s="58" t="str" cm="1">
        <f>IF(ISBLANK($A478),"",INDEX(Array_EmissionCharges,MATCH($A478,List_EmissionMeters,0),ROUNDUP((COLUMN()+0)/3-1,0)))</f>
        <v/>
      </c>
      <c r="F478" s="127"/>
      <c r="G478" s="137"/>
      <c r="H478" s="58" t="str" cm="1">
        <f>IF(ISBLANK($A478),"",INDEX(Array_EmissionCharges,MATCH($A478,List_EmissionMeters,0),ROUNDUP((COLUMN()+0)/3-1,0)))</f>
        <v/>
      </c>
      <c r="I478" s="127"/>
      <c r="J478" s="137"/>
      <c r="K478" s="58" t="str" cm="1">
        <f>IF(ISBLANK($A478),"",INDEX(Array_EmissionCharges,MATCH($A478,List_EmissionMeters,0),ROUNDUP((COLUMN()+0)/3-1,0)))</f>
        <v/>
      </c>
      <c r="L478" s="127"/>
      <c r="M478" s="137"/>
      <c r="N478" s="58" t="str" cm="1">
        <f>IF(ISBLANK($A478),"",INDEX(Array_EmissionCharges,MATCH($A478,List_EmissionMeters,0),ROUNDUP((COLUMN()+0)/3-1,0)))</f>
        <v/>
      </c>
      <c r="O478" s="127"/>
      <c r="P478" s="137"/>
      <c r="Q478" s="58" t="str" cm="1">
        <f>IF(ISBLANK($A478),"",INDEX(Array_EmissionCharges,MATCH($A478,List_EmissionMeters,0),ROUNDUP((COLUMN()+0)/3-1,0)))</f>
        <v/>
      </c>
      <c r="R478" s="127"/>
      <c r="S478" s="137"/>
    </row>
    <row r="479" spans="1:19" x14ac:dyDescent="0.3">
      <c r="A479" s="126"/>
      <c r="B479" s="133"/>
      <c r="C479" s="127"/>
      <c r="D479" s="137"/>
      <c r="E479" s="58" t="str" cm="1">
        <f>IF(ISBLANK($A479),"",INDEX(Array_EmissionCharges,MATCH($A479,List_EmissionMeters,0),ROUNDUP((COLUMN()+0)/3-1,0)))</f>
        <v/>
      </c>
      <c r="F479" s="127"/>
      <c r="G479" s="137"/>
      <c r="H479" s="58" t="str" cm="1">
        <f>IF(ISBLANK($A479),"",INDEX(Array_EmissionCharges,MATCH($A479,List_EmissionMeters,0),ROUNDUP((COLUMN()+0)/3-1,0)))</f>
        <v/>
      </c>
      <c r="I479" s="127"/>
      <c r="J479" s="137"/>
      <c r="K479" s="58" t="str" cm="1">
        <f>IF(ISBLANK($A479),"",INDEX(Array_EmissionCharges,MATCH($A479,List_EmissionMeters,0),ROUNDUP((COLUMN()+0)/3-1,0)))</f>
        <v/>
      </c>
      <c r="L479" s="127"/>
      <c r="M479" s="137"/>
      <c r="N479" s="58" t="str" cm="1">
        <f>IF(ISBLANK($A479),"",INDEX(Array_EmissionCharges,MATCH($A479,List_EmissionMeters,0),ROUNDUP((COLUMN()+0)/3-1,0)))</f>
        <v/>
      </c>
      <c r="O479" s="127"/>
      <c r="P479" s="137"/>
      <c r="Q479" s="58" t="str" cm="1">
        <f>IF(ISBLANK($A479),"",INDEX(Array_EmissionCharges,MATCH($A479,List_EmissionMeters,0),ROUNDUP((COLUMN()+0)/3-1,0)))</f>
        <v/>
      </c>
      <c r="R479" s="127"/>
      <c r="S479" s="137"/>
    </row>
    <row r="480" spans="1:19" x14ac:dyDescent="0.3">
      <c r="A480" s="126"/>
      <c r="B480" s="133"/>
      <c r="C480" s="127"/>
      <c r="D480" s="137"/>
      <c r="E480" s="58" t="str" cm="1">
        <f>IF(ISBLANK($A480),"",INDEX(Array_EmissionCharges,MATCH($A480,List_EmissionMeters,0),ROUNDUP((COLUMN()+0)/3-1,0)))</f>
        <v/>
      </c>
      <c r="F480" s="127"/>
      <c r="G480" s="137"/>
      <c r="H480" s="58" t="str" cm="1">
        <f>IF(ISBLANK($A480),"",INDEX(Array_EmissionCharges,MATCH($A480,List_EmissionMeters,0),ROUNDUP((COLUMN()+0)/3-1,0)))</f>
        <v/>
      </c>
      <c r="I480" s="127"/>
      <c r="J480" s="137"/>
      <c r="K480" s="58" t="str" cm="1">
        <f>IF(ISBLANK($A480),"",INDEX(Array_EmissionCharges,MATCH($A480,List_EmissionMeters,0),ROUNDUP((COLUMN()+0)/3-1,0)))</f>
        <v/>
      </c>
      <c r="L480" s="127"/>
      <c r="M480" s="137"/>
      <c r="N480" s="58" t="str" cm="1">
        <f>IF(ISBLANK($A480),"",INDEX(Array_EmissionCharges,MATCH($A480,List_EmissionMeters,0),ROUNDUP((COLUMN()+0)/3-1,0)))</f>
        <v/>
      </c>
      <c r="O480" s="127"/>
      <c r="P480" s="137"/>
      <c r="Q480" s="58" t="str" cm="1">
        <f>IF(ISBLANK($A480),"",INDEX(Array_EmissionCharges,MATCH($A480,List_EmissionMeters,0),ROUNDUP((COLUMN()+0)/3-1,0)))</f>
        <v/>
      </c>
      <c r="R480" s="127"/>
      <c r="S480" s="137"/>
    </row>
    <row r="481" spans="1:19" x14ac:dyDescent="0.3">
      <c r="A481" s="126"/>
      <c r="B481" s="133"/>
      <c r="C481" s="127"/>
      <c r="D481" s="137"/>
      <c r="E481" s="58" t="str" cm="1">
        <f>IF(ISBLANK($A481),"",INDEX(Array_EmissionCharges,MATCH($A481,List_EmissionMeters,0),ROUNDUP((COLUMN()+0)/3-1,0)))</f>
        <v/>
      </c>
      <c r="F481" s="127"/>
      <c r="G481" s="137"/>
      <c r="H481" s="58" t="str" cm="1">
        <f>IF(ISBLANK($A481),"",INDEX(Array_EmissionCharges,MATCH($A481,List_EmissionMeters,0),ROUNDUP((COLUMN()+0)/3-1,0)))</f>
        <v/>
      </c>
      <c r="I481" s="127"/>
      <c r="J481" s="137"/>
      <c r="K481" s="58" t="str" cm="1">
        <f>IF(ISBLANK($A481),"",INDEX(Array_EmissionCharges,MATCH($A481,List_EmissionMeters,0),ROUNDUP((COLUMN()+0)/3-1,0)))</f>
        <v/>
      </c>
      <c r="L481" s="127"/>
      <c r="M481" s="137"/>
      <c r="N481" s="58" t="str" cm="1">
        <f>IF(ISBLANK($A481),"",INDEX(Array_EmissionCharges,MATCH($A481,List_EmissionMeters,0),ROUNDUP((COLUMN()+0)/3-1,0)))</f>
        <v/>
      </c>
      <c r="O481" s="127"/>
      <c r="P481" s="137"/>
      <c r="Q481" s="58" t="str" cm="1">
        <f>IF(ISBLANK($A481),"",INDEX(Array_EmissionCharges,MATCH($A481,List_EmissionMeters,0),ROUNDUP((COLUMN()+0)/3-1,0)))</f>
        <v/>
      </c>
      <c r="R481" s="127"/>
      <c r="S481" s="137"/>
    </row>
    <row r="482" spans="1:19" x14ac:dyDescent="0.3">
      <c r="A482" s="126"/>
      <c r="B482" s="133"/>
      <c r="C482" s="127"/>
      <c r="D482" s="137"/>
      <c r="E482" s="58" t="str" cm="1">
        <f>IF(ISBLANK($A482),"",INDEX(Array_EmissionCharges,MATCH($A482,List_EmissionMeters,0),ROUNDUP((COLUMN()+0)/3-1,0)))</f>
        <v/>
      </c>
      <c r="F482" s="127"/>
      <c r="G482" s="137"/>
      <c r="H482" s="58" t="str" cm="1">
        <f>IF(ISBLANK($A482),"",INDEX(Array_EmissionCharges,MATCH($A482,List_EmissionMeters,0),ROUNDUP((COLUMN()+0)/3-1,0)))</f>
        <v/>
      </c>
      <c r="I482" s="127"/>
      <c r="J482" s="137"/>
      <c r="K482" s="58" t="str" cm="1">
        <f>IF(ISBLANK($A482),"",INDEX(Array_EmissionCharges,MATCH($A482,List_EmissionMeters,0),ROUNDUP((COLUMN()+0)/3-1,0)))</f>
        <v/>
      </c>
      <c r="L482" s="127"/>
      <c r="M482" s="137"/>
      <c r="N482" s="58" t="str" cm="1">
        <f>IF(ISBLANK($A482),"",INDEX(Array_EmissionCharges,MATCH($A482,List_EmissionMeters,0),ROUNDUP((COLUMN()+0)/3-1,0)))</f>
        <v/>
      </c>
      <c r="O482" s="127"/>
      <c r="P482" s="137"/>
      <c r="Q482" s="58" t="str" cm="1">
        <f>IF(ISBLANK($A482),"",INDEX(Array_EmissionCharges,MATCH($A482,List_EmissionMeters,0),ROUNDUP((COLUMN()+0)/3-1,0)))</f>
        <v/>
      </c>
      <c r="R482" s="127"/>
      <c r="S482" s="137"/>
    </row>
    <row r="483" spans="1:19" x14ac:dyDescent="0.3">
      <c r="A483" s="126"/>
      <c r="B483" s="133"/>
      <c r="C483" s="127"/>
      <c r="D483" s="137"/>
      <c r="E483" s="58" t="str" cm="1">
        <f>IF(ISBLANK($A483),"",INDEX(Array_EmissionCharges,MATCH($A483,List_EmissionMeters,0),ROUNDUP((COLUMN()+0)/3-1,0)))</f>
        <v/>
      </c>
      <c r="F483" s="127"/>
      <c r="G483" s="137"/>
      <c r="H483" s="58" t="str" cm="1">
        <f>IF(ISBLANK($A483),"",INDEX(Array_EmissionCharges,MATCH($A483,List_EmissionMeters,0),ROUNDUP((COLUMN()+0)/3-1,0)))</f>
        <v/>
      </c>
      <c r="I483" s="127"/>
      <c r="J483" s="137"/>
      <c r="K483" s="58" t="str" cm="1">
        <f>IF(ISBLANK($A483),"",INDEX(Array_EmissionCharges,MATCH($A483,List_EmissionMeters,0),ROUNDUP((COLUMN()+0)/3-1,0)))</f>
        <v/>
      </c>
      <c r="L483" s="127"/>
      <c r="M483" s="137"/>
      <c r="N483" s="58" t="str" cm="1">
        <f>IF(ISBLANK($A483),"",INDEX(Array_EmissionCharges,MATCH($A483,List_EmissionMeters,0),ROUNDUP((COLUMN()+0)/3-1,0)))</f>
        <v/>
      </c>
      <c r="O483" s="127"/>
      <c r="P483" s="137"/>
      <c r="Q483" s="58" t="str" cm="1">
        <f>IF(ISBLANK($A483),"",INDEX(Array_EmissionCharges,MATCH($A483,List_EmissionMeters,0),ROUNDUP((COLUMN()+0)/3-1,0)))</f>
        <v/>
      </c>
      <c r="R483" s="127"/>
      <c r="S483" s="137"/>
    </row>
    <row r="484" spans="1:19" x14ac:dyDescent="0.3">
      <c r="A484" s="126"/>
      <c r="B484" s="133"/>
      <c r="C484" s="127"/>
      <c r="D484" s="137"/>
      <c r="E484" s="58" t="str" cm="1">
        <f>IF(ISBLANK($A484),"",INDEX(Array_EmissionCharges,MATCH($A484,List_EmissionMeters,0),ROUNDUP((COLUMN()+0)/3-1,0)))</f>
        <v/>
      </c>
      <c r="F484" s="127"/>
      <c r="G484" s="137"/>
      <c r="H484" s="58" t="str" cm="1">
        <f>IF(ISBLANK($A484),"",INDEX(Array_EmissionCharges,MATCH($A484,List_EmissionMeters,0),ROUNDUP((COLUMN()+0)/3-1,0)))</f>
        <v/>
      </c>
      <c r="I484" s="127"/>
      <c r="J484" s="137"/>
      <c r="K484" s="58" t="str" cm="1">
        <f>IF(ISBLANK($A484),"",INDEX(Array_EmissionCharges,MATCH($A484,List_EmissionMeters,0),ROUNDUP((COLUMN()+0)/3-1,0)))</f>
        <v/>
      </c>
      <c r="L484" s="127"/>
      <c r="M484" s="137"/>
      <c r="N484" s="58" t="str" cm="1">
        <f>IF(ISBLANK($A484),"",INDEX(Array_EmissionCharges,MATCH($A484,List_EmissionMeters,0),ROUNDUP((COLUMN()+0)/3-1,0)))</f>
        <v/>
      </c>
      <c r="O484" s="127"/>
      <c r="P484" s="137"/>
      <c r="Q484" s="58" t="str" cm="1">
        <f>IF(ISBLANK($A484),"",INDEX(Array_EmissionCharges,MATCH($A484,List_EmissionMeters,0),ROUNDUP((COLUMN()+0)/3-1,0)))</f>
        <v/>
      </c>
      <c r="R484" s="127"/>
      <c r="S484" s="137"/>
    </row>
    <row r="485" spans="1:19" x14ac:dyDescent="0.3">
      <c r="A485" s="126"/>
      <c r="B485" s="133"/>
      <c r="C485" s="127"/>
      <c r="D485" s="137"/>
      <c r="E485" s="58" t="str" cm="1">
        <f>IF(ISBLANK($A485),"",INDEX(Array_EmissionCharges,MATCH($A485,List_EmissionMeters,0),ROUNDUP((COLUMN()+0)/3-1,0)))</f>
        <v/>
      </c>
      <c r="F485" s="127"/>
      <c r="G485" s="137"/>
      <c r="H485" s="58" t="str" cm="1">
        <f>IF(ISBLANK($A485),"",INDEX(Array_EmissionCharges,MATCH($A485,List_EmissionMeters,0),ROUNDUP((COLUMN()+0)/3-1,0)))</f>
        <v/>
      </c>
      <c r="I485" s="127"/>
      <c r="J485" s="137"/>
      <c r="K485" s="58" t="str" cm="1">
        <f>IF(ISBLANK($A485),"",INDEX(Array_EmissionCharges,MATCH($A485,List_EmissionMeters,0),ROUNDUP((COLUMN()+0)/3-1,0)))</f>
        <v/>
      </c>
      <c r="L485" s="127"/>
      <c r="M485" s="137"/>
      <c r="N485" s="58" t="str" cm="1">
        <f>IF(ISBLANK($A485),"",INDEX(Array_EmissionCharges,MATCH($A485,List_EmissionMeters,0),ROUNDUP((COLUMN()+0)/3-1,0)))</f>
        <v/>
      </c>
      <c r="O485" s="127"/>
      <c r="P485" s="137"/>
      <c r="Q485" s="58" t="str" cm="1">
        <f>IF(ISBLANK($A485),"",INDEX(Array_EmissionCharges,MATCH($A485,List_EmissionMeters,0),ROUNDUP((COLUMN()+0)/3-1,0)))</f>
        <v/>
      </c>
      <c r="R485" s="127"/>
      <c r="S485" s="137"/>
    </row>
    <row r="486" spans="1:19" x14ac:dyDescent="0.3">
      <c r="A486" s="126"/>
      <c r="B486" s="133"/>
      <c r="C486" s="127"/>
      <c r="D486" s="137"/>
      <c r="E486" s="58" t="str" cm="1">
        <f>IF(ISBLANK($A486),"",INDEX(Array_EmissionCharges,MATCH($A486,List_EmissionMeters,0),ROUNDUP((COLUMN()+0)/3-1,0)))</f>
        <v/>
      </c>
      <c r="F486" s="127"/>
      <c r="G486" s="137"/>
      <c r="H486" s="58" t="str" cm="1">
        <f>IF(ISBLANK($A486),"",INDEX(Array_EmissionCharges,MATCH($A486,List_EmissionMeters,0),ROUNDUP((COLUMN()+0)/3-1,0)))</f>
        <v/>
      </c>
      <c r="I486" s="127"/>
      <c r="J486" s="137"/>
      <c r="K486" s="58" t="str" cm="1">
        <f>IF(ISBLANK($A486),"",INDEX(Array_EmissionCharges,MATCH($A486,List_EmissionMeters,0),ROUNDUP((COLUMN()+0)/3-1,0)))</f>
        <v/>
      </c>
      <c r="L486" s="127"/>
      <c r="M486" s="137"/>
      <c r="N486" s="58" t="str" cm="1">
        <f>IF(ISBLANK($A486),"",INDEX(Array_EmissionCharges,MATCH($A486,List_EmissionMeters,0),ROUNDUP((COLUMN()+0)/3-1,0)))</f>
        <v/>
      </c>
      <c r="O486" s="127"/>
      <c r="P486" s="137"/>
      <c r="Q486" s="58" t="str" cm="1">
        <f>IF(ISBLANK($A486),"",INDEX(Array_EmissionCharges,MATCH($A486,List_EmissionMeters,0),ROUNDUP((COLUMN()+0)/3-1,0)))</f>
        <v/>
      </c>
      <c r="R486" s="127"/>
      <c r="S486" s="137"/>
    </row>
    <row r="487" spans="1:19" x14ac:dyDescent="0.3">
      <c r="A487" s="126"/>
      <c r="B487" s="133"/>
      <c r="C487" s="127"/>
      <c r="D487" s="137"/>
      <c r="E487" s="58" t="str" cm="1">
        <f>IF(ISBLANK($A487),"",INDEX(Array_EmissionCharges,MATCH($A487,List_EmissionMeters,0),ROUNDUP((COLUMN()+0)/3-1,0)))</f>
        <v/>
      </c>
      <c r="F487" s="127"/>
      <c r="G487" s="137"/>
      <c r="H487" s="58" t="str" cm="1">
        <f>IF(ISBLANK($A487),"",INDEX(Array_EmissionCharges,MATCH($A487,List_EmissionMeters,0),ROUNDUP((COLUMN()+0)/3-1,0)))</f>
        <v/>
      </c>
      <c r="I487" s="127"/>
      <c r="J487" s="137"/>
      <c r="K487" s="58" t="str" cm="1">
        <f>IF(ISBLANK($A487),"",INDEX(Array_EmissionCharges,MATCH($A487,List_EmissionMeters,0),ROUNDUP((COLUMN()+0)/3-1,0)))</f>
        <v/>
      </c>
      <c r="L487" s="127"/>
      <c r="M487" s="137"/>
      <c r="N487" s="58" t="str" cm="1">
        <f>IF(ISBLANK($A487),"",INDEX(Array_EmissionCharges,MATCH($A487,List_EmissionMeters,0),ROUNDUP((COLUMN()+0)/3-1,0)))</f>
        <v/>
      </c>
      <c r="O487" s="127"/>
      <c r="P487" s="137"/>
      <c r="Q487" s="58" t="str" cm="1">
        <f>IF(ISBLANK($A487),"",INDEX(Array_EmissionCharges,MATCH($A487,List_EmissionMeters,0),ROUNDUP((COLUMN()+0)/3-1,0)))</f>
        <v/>
      </c>
      <c r="R487" s="127"/>
      <c r="S487" s="137"/>
    </row>
    <row r="488" spans="1:19" x14ac:dyDescent="0.3">
      <c r="A488" s="126"/>
      <c r="B488" s="133"/>
      <c r="C488" s="127"/>
      <c r="D488" s="137"/>
      <c r="E488" s="58" t="str" cm="1">
        <f>IF(ISBLANK($A488),"",INDEX(Array_EmissionCharges,MATCH($A488,List_EmissionMeters,0),ROUNDUP((COLUMN()+0)/3-1,0)))</f>
        <v/>
      </c>
      <c r="F488" s="127"/>
      <c r="G488" s="137"/>
      <c r="H488" s="58" t="str" cm="1">
        <f>IF(ISBLANK($A488),"",INDEX(Array_EmissionCharges,MATCH($A488,List_EmissionMeters,0),ROUNDUP((COLUMN()+0)/3-1,0)))</f>
        <v/>
      </c>
      <c r="I488" s="127"/>
      <c r="J488" s="137"/>
      <c r="K488" s="58" t="str" cm="1">
        <f>IF(ISBLANK($A488),"",INDEX(Array_EmissionCharges,MATCH($A488,List_EmissionMeters,0),ROUNDUP((COLUMN()+0)/3-1,0)))</f>
        <v/>
      </c>
      <c r="L488" s="127"/>
      <c r="M488" s="137"/>
      <c r="N488" s="58" t="str" cm="1">
        <f>IF(ISBLANK($A488),"",INDEX(Array_EmissionCharges,MATCH($A488,List_EmissionMeters,0),ROUNDUP((COLUMN()+0)/3-1,0)))</f>
        <v/>
      </c>
      <c r="O488" s="127"/>
      <c r="P488" s="137"/>
      <c r="Q488" s="58" t="str" cm="1">
        <f>IF(ISBLANK($A488),"",INDEX(Array_EmissionCharges,MATCH($A488,List_EmissionMeters,0),ROUNDUP((COLUMN()+0)/3-1,0)))</f>
        <v/>
      </c>
      <c r="R488" s="127"/>
      <c r="S488" s="137"/>
    </row>
    <row r="489" spans="1:19" x14ac:dyDescent="0.3">
      <c r="A489" s="126"/>
      <c r="B489" s="133"/>
      <c r="C489" s="127"/>
      <c r="D489" s="137"/>
      <c r="E489" s="58" t="str" cm="1">
        <f>IF(ISBLANK($A489),"",INDEX(Array_EmissionCharges,MATCH($A489,List_EmissionMeters,0),ROUNDUP((COLUMN()+0)/3-1,0)))</f>
        <v/>
      </c>
      <c r="F489" s="127"/>
      <c r="G489" s="137"/>
      <c r="H489" s="58" t="str" cm="1">
        <f>IF(ISBLANK($A489),"",INDEX(Array_EmissionCharges,MATCH($A489,List_EmissionMeters,0),ROUNDUP((COLUMN()+0)/3-1,0)))</f>
        <v/>
      </c>
      <c r="I489" s="127"/>
      <c r="J489" s="137"/>
      <c r="K489" s="58" t="str" cm="1">
        <f>IF(ISBLANK($A489),"",INDEX(Array_EmissionCharges,MATCH($A489,List_EmissionMeters,0),ROUNDUP((COLUMN()+0)/3-1,0)))</f>
        <v/>
      </c>
      <c r="L489" s="127"/>
      <c r="M489" s="137"/>
      <c r="N489" s="58" t="str" cm="1">
        <f>IF(ISBLANK($A489),"",INDEX(Array_EmissionCharges,MATCH($A489,List_EmissionMeters,0),ROUNDUP((COLUMN()+0)/3-1,0)))</f>
        <v/>
      </c>
      <c r="O489" s="127"/>
      <c r="P489" s="137"/>
      <c r="Q489" s="58" t="str" cm="1">
        <f>IF(ISBLANK($A489),"",INDEX(Array_EmissionCharges,MATCH($A489,List_EmissionMeters,0),ROUNDUP((COLUMN()+0)/3-1,0)))</f>
        <v/>
      </c>
      <c r="R489" s="127"/>
      <c r="S489" s="137"/>
    </row>
    <row r="490" spans="1:19" x14ac:dyDescent="0.3">
      <c r="A490" s="126"/>
      <c r="B490" s="133"/>
      <c r="C490" s="127"/>
      <c r="D490" s="137"/>
      <c r="E490" s="58" t="str" cm="1">
        <f>IF(ISBLANK($A490),"",INDEX(Array_EmissionCharges,MATCH($A490,List_EmissionMeters,0),ROUNDUP((COLUMN()+0)/3-1,0)))</f>
        <v/>
      </c>
      <c r="F490" s="127"/>
      <c r="G490" s="137"/>
      <c r="H490" s="58" t="str" cm="1">
        <f>IF(ISBLANK($A490),"",INDEX(Array_EmissionCharges,MATCH($A490,List_EmissionMeters,0),ROUNDUP((COLUMN()+0)/3-1,0)))</f>
        <v/>
      </c>
      <c r="I490" s="127"/>
      <c r="J490" s="137"/>
      <c r="K490" s="58" t="str" cm="1">
        <f>IF(ISBLANK($A490),"",INDEX(Array_EmissionCharges,MATCH($A490,List_EmissionMeters,0),ROUNDUP((COLUMN()+0)/3-1,0)))</f>
        <v/>
      </c>
      <c r="L490" s="127"/>
      <c r="M490" s="137"/>
      <c r="N490" s="58" t="str" cm="1">
        <f>IF(ISBLANK($A490),"",INDEX(Array_EmissionCharges,MATCH($A490,List_EmissionMeters,0),ROUNDUP((COLUMN()+0)/3-1,0)))</f>
        <v/>
      </c>
      <c r="O490" s="127"/>
      <c r="P490" s="137"/>
      <c r="Q490" s="58" t="str" cm="1">
        <f>IF(ISBLANK($A490),"",INDEX(Array_EmissionCharges,MATCH($A490,List_EmissionMeters,0),ROUNDUP((COLUMN()+0)/3-1,0)))</f>
        <v/>
      </c>
      <c r="R490" s="127"/>
      <c r="S490" s="137"/>
    </row>
    <row r="491" spans="1:19" x14ac:dyDescent="0.3">
      <c r="A491" s="126"/>
      <c r="B491" s="133"/>
      <c r="C491" s="127"/>
      <c r="D491" s="137"/>
      <c r="E491" s="58" t="str" cm="1">
        <f>IF(ISBLANK($A491),"",INDEX(Array_EmissionCharges,MATCH($A491,List_EmissionMeters,0),ROUNDUP((COLUMN()+0)/3-1,0)))</f>
        <v/>
      </c>
      <c r="F491" s="127"/>
      <c r="G491" s="137"/>
      <c r="H491" s="58" t="str" cm="1">
        <f>IF(ISBLANK($A491),"",INDEX(Array_EmissionCharges,MATCH($A491,List_EmissionMeters,0),ROUNDUP((COLUMN()+0)/3-1,0)))</f>
        <v/>
      </c>
      <c r="I491" s="127"/>
      <c r="J491" s="137"/>
      <c r="K491" s="58" t="str" cm="1">
        <f>IF(ISBLANK($A491),"",INDEX(Array_EmissionCharges,MATCH($A491,List_EmissionMeters,0),ROUNDUP((COLUMN()+0)/3-1,0)))</f>
        <v/>
      </c>
      <c r="L491" s="127"/>
      <c r="M491" s="137"/>
      <c r="N491" s="58" t="str" cm="1">
        <f>IF(ISBLANK($A491),"",INDEX(Array_EmissionCharges,MATCH($A491,List_EmissionMeters,0),ROUNDUP((COLUMN()+0)/3-1,0)))</f>
        <v/>
      </c>
      <c r="O491" s="127"/>
      <c r="P491" s="137"/>
      <c r="Q491" s="58" t="str" cm="1">
        <f>IF(ISBLANK($A491),"",INDEX(Array_EmissionCharges,MATCH($A491,List_EmissionMeters,0),ROUNDUP((COLUMN()+0)/3-1,0)))</f>
        <v/>
      </c>
      <c r="R491" s="127"/>
      <c r="S491" s="137"/>
    </row>
    <row r="492" spans="1:19" x14ac:dyDescent="0.3">
      <c r="A492" s="126"/>
      <c r="B492" s="133"/>
      <c r="C492" s="127"/>
      <c r="D492" s="137"/>
      <c r="E492" s="58" t="str" cm="1">
        <f>IF(ISBLANK($A492),"",INDEX(Array_EmissionCharges,MATCH($A492,List_EmissionMeters,0),ROUNDUP((COLUMN()+0)/3-1,0)))</f>
        <v/>
      </c>
      <c r="F492" s="127"/>
      <c r="G492" s="137"/>
      <c r="H492" s="58" t="str" cm="1">
        <f>IF(ISBLANK($A492),"",INDEX(Array_EmissionCharges,MATCH($A492,List_EmissionMeters,0),ROUNDUP((COLUMN()+0)/3-1,0)))</f>
        <v/>
      </c>
      <c r="I492" s="127"/>
      <c r="J492" s="137"/>
      <c r="K492" s="58" t="str" cm="1">
        <f>IF(ISBLANK($A492),"",INDEX(Array_EmissionCharges,MATCH($A492,List_EmissionMeters,0),ROUNDUP((COLUMN()+0)/3-1,0)))</f>
        <v/>
      </c>
      <c r="L492" s="127"/>
      <c r="M492" s="137"/>
      <c r="N492" s="58" t="str" cm="1">
        <f>IF(ISBLANK($A492),"",INDEX(Array_EmissionCharges,MATCH($A492,List_EmissionMeters,0),ROUNDUP((COLUMN()+0)/3-1,0)))</f>
        <v/>
      </c>
      <c r="O492" s="127"/>
      <c r="P492" s="137"/>
      <c r="Q492" s="58" t="str" cm="1">
        <f>IF(ISBLANK($A492),"",INDEX(Array_EmissionCharges,MATCH($A492,List_EmissionMeters,0),ROUNDUP((COLUMN()+0)/3-1,0)))</f>
        <v/>
      </c>
      <c r="R492" s="127"/>
      <c r="S492" s="137"/>
    </row>
    <row r="493" spans="1:19" x14ac:dyDescent="0.3">
      <c r="A493" s="126"/>
      <c r="B493" s="133"/>
      <c r="C493" s="127"/>
      <c r="D493" s="137"/>
      <c r="E493" s="58" t="str" cm="1">
        <f>IF(ISBLANK($A493),"",INDEX(Array_EmissionCharges,MATCH($A493,List_EmissionMeters,0),ROUNDUP((COLUMN()+0)/3-1,0)))</f>
        <v/>
      </c>
      <c r="F493" s="127"/>
      <c r="G493" s="137"/>
      <c r="H493" s="58" t="str" cm="1">
        <f>IF(ISBLANK($A493),"",INDEX(Array_EmissionCharges,MATCH($A493,List_EmissionMeters,0),ROUNDUP((COLUMN()+0)/3-1,0)))</f>
        <v/>
      </c>
      <c r="I493" s="127"/>
      <c r="J493" s="137"/>
      <c r="K493" s="58" t="str" cm="1">
        <f>IF(ISBLANK($A493),"",INDEX(Array_EmissionCharges,MATCH($A493,List_EmissionMeters,0),ROUNDUP((COLUMN()+0)/3-1,0)))</f>
        <v/>
      </c>
      <c r="L493" s="127"/>
      <c r="M493" s="137"/>
      <c r="N493" s="58" t="str" cm="1">
        <f>IF(ISBLANK($A493),"",INDEX(Array_EmissionCharges,MATCH($A493,List_EmissionMeters,0),ROUNDUP((COLUMN()+0)/3-1,0)))</f>
        <v/>
      </c>
      <c r="O493" s="127"/>
      <c r="P493" s="137"/>
      <c r="Q493" s="58" t="str" cm="1">
        <f>IF(ISBLANK($A493),"",INDEX(Array_EmissionCharges,MATCH($A493,List_EmissionMeters,0),ROUNDUP((COLUMN()+0)/3-1,0)))</f>
        <v/>
      </c>
      <c r="R493" s="127"/>
      <c r="S493" s="137"/>
    </row>
    <row r="494" spans="1:19" x14ac:dyDescent="0.3">
      <c r="A494" s="126"/>
      <c r="B494" s="133"/>
      <c r="C494" s="127"/>
      <c r="D494" s="137"/>
      <c r="E494" s="58" t="str" cm="1">
        <f>IF(ISBLANK($A494),"",INDEX(Array_EmissionCharges,MATCH($A494,List_EmissionMeters,0),ROUNDUP((COLUMN()+0)/3-1,0)))</f>
        <v/>
      </c>
      <c r="F494" s="127"/>
      <c r="G494" s="137"/>
      <c r="H494" s="58" t="str" cm="1">
        <f>IF(ISBLANK($A494),"",INDEX(Array_EmissionCharges,MATCH($A494,List_EmissionMeters,0),ROUNDUP((COLUMN()+0)/3-1,0)))</f>
        <v/>
      </c>
      <c r="I494" s="127"/>
      <c r="J494" s="137"/>
      <c r="K494" s="58" t="str" cm="1">
        <f>IF(ISBLANK($A494),"",INDEX(Array_EmissionCharges,MATCH($A494,List_EmissionMeters,0),ROUNDUP((COLUMN()+0)/3-1,0)))</f>
        <v/>
      </c>
      <c r="L494" s="127"/>
      <c r="M494" s="137"/>
      <c r="N494" s="58" t="str" cm="1">
        <f>IF(ISBLANK($A494),"",INDEX(Array_EmissionCharges,MATCH($A494,List_EmissionMeters,0),ROUNDUP((COLUMN()+0)/3-1,0)))</f>
        <v/>
      </c>
      <c r="O494" s="127"/>
      <c r="P494" s="137"/>
      <c r="Q494" s="58" t="str" cm="1">
        <f>IF(ISBLANK($A494),"",INDEX(Array_EmissionCharges,MATCH($A494,List_EmissionMeters,0),ROUNDUP((COLUMN()+0)/3-1,0)))</f>
        <v/>
      </c>
      <c r="R494" s="127"/>
      <c r="S494" s="137"/>
    </row>
    <row r="495" spans="1:19" x14ac:dyDescent="0.3">
      <c r="A495" s="126"/>
      <c r="B495" s="133"/>
      <c r="C495" s="127"/>
      <c r="D495" s="137"/>
      <c r="E495" s="58" t="str" cm="1">
        <f>IF(ISBLANK($A495),"",INDEX(Array_EmissionCharges,MATCH($A495,List_EmissionMeters,0),ROUNDUP((COLUMN()+0)/3-1,0)))</f>
        <v/>
      </c>
      <c r="F495" s="127"/>
      <c r="G495" s="137"/>
      <c r="H495" s="58" t="str" cm="1">
        <f>IF(ISBLANK($A495),"",INDEX(Array_EmissionCharges,MATCH($A495,List_EmissionMeters,0),ROUNDUP((COLUMN()+0)/3-1,0)))</f>
        <v/>
      </c>
      <c r="I495" s="127"/>
      <c r="J495" s="137"/>
      <c r="K495" s="58" t="str" cm="1">
        <f>IF(ISBLANK($A495),"",INDEX(Array_EmissionCharges,MATCH($A495,List_EmissionMeters,0),ROUNDUP((COLUMN()+0)/3-1,0)))</f>
        <v/>
      </c>
      <c r="L495" s="127"/>
      <c r="M495" s="137"/>
      <c r="N495" s="58" t="str" cm="1">
        <f>IF(ISBLANK($A495),"",INDEX(Array_EmissionCharges,MATCH($A495,List_EmissionMeters,0),ROUNDUP((COLUMN()+0)/3-1,0)))</f>
        <v/>
      </c>
      <c r="O495" s="127"/>
      <c r="P495" s="137"/>
      <c r="Q495" s="58" t="str" cm="1">
        <f>IF(ISBLANK($A495),"",INDEX(Array_EmissionCharges,MATCH($A495,List_EmissionMeters,0),ROUNDUP((COLUMN()+0)/3-1,0)))</f>
        <v/>
      </c>
      <c r="R495" s="127"/>
      <c r="S495" s="137"/>
    </row>
    <row r="496" spans="1:19" x14ac:dyDescent="0.3">
      <c r="A496" s="126"/>
      <c r="B496" s="133"/>
      <c r="C496" s="127"/>
      <c r="D496" s="137"/>
      <c r="E496" s="58" t="str" cm="1">
        <f>IF(ISBLANK($A496),"",INDEX(Array_EmissionCharges,MATCH($A496,List_EmissionMeters,0),ROUNDUP((COLUMN()+0)/3-1,0)))</f>
        <v/>
      </c>
      <c r="F496" s="127"/>
      <c r="G496" s="137"/>
      <c r="H496" s="58" t="str" cm="1">
        <f>IF(ISBLANK($A496),"",INDEX(Array_EmissionCharges,MATCH($A496,List_EmissionMeters,0),ROUNDUP((COLUMN()+0)/3-1,0)))</f>
        <v/>
      </c>
      <c r="I496" s="127"/>
      <c r="J496" s="137"/>
      <c r="K496" s="58" t="str" cm="1">
        <f>IF(ISBLANK($A496),"",INDEX(Array_EmissionCharges,MATCH($A496,List_EmissionMeters,0),ROUNDUP((COLUMN()+0)/3-1,0)))</f>
        <v/>
      </c>
      <c r="L496" s="127"/>
      <c r="M496" s="137"/>
      <c r="N496" s="58" t="str" cm="1">
        <f>IF(ISBLANK($A496),"",INDEX(Array_EmissionCharges,MATCH($A496,List_EmissionMeters,0),ROUNDUP((COLUMN()+0)/3-1,0)))</f>
        <v/>
      </c>
      <c r="O496" s="127"/>
      <c r="P496" s="137"/>
      <c r="Q496" s="58" t="str" cm="1">
        <f>IF(ISBLANK($A496),"",INDEX(Array_EmissionCharges,MATCH($A496,List_EmissionMeters,0),ROUNDUP((COLUMN()+0)/3-1,0)))</f>
        <v/>
      </c>
      <c r="R496" s="127"/>
      <c r="S496" s="137"/>
    </row>
    <row r="497" spans="1:19" x14ac:dyDescent="0.3">
      <c r="A497" s="126"/>
      <c r="B497" s="133"/>
      <c r="C497" s="127"/>
      <c r="D497" s="137"/>
      <c r="E497" s="58" t="str" cm="1">
        <f>IF(ISBLANK($A497),"",INDEX(Array_EmissionCharges,MATCH($A497,List_EmissionMeters,0),ROUNDUP((COLUMN()+0)/3-1,0)))</f>
        <v/>
      </c>
      <c r="F497" s="127"/>
      <c r="G497" s="137"/>
      <c r="H497" s="58" t="str" cm="1">
        <f>IF(ISBLANK($A497),"",INDEX(Array_EmissionCharges,MATCH($A497,List_EmissionMeters,0),ROUNDUP((COLUMN()+0)/3-1,0)))</f>
        <v/>
      </c>
      <c r="I497" s="127"/>
      <c r="J497" s="137"/>
      <c r="K497" s="58" t="str" cm="1">
        <f>IF(ISBLANK($A497),"",INDEX(Array_EmissionCharges,MATCH($A497,List_EmissionMeters,0),ROUNDUP((COLUMN()+0)/3-1,0)))</f>
        <v/>
      </c>
      <c r="L497" s="127"/>
      <c r="M497" s="137"/>
      <c r="N497" s="58" t="str" cm="1">
        <f>IF(ISBLANK($A497),"",INDEX(Array_EmissionCharges,MATCH($A497,List_EmissionMeters,0),ROUNDUP((COLUMN()+0)/3-1,0)))</f>
        <v/>
      </c>
      <c r="O497" s="127"/>
      <c r="P497" s="137"/>
      <c r="Q497" s="58" t="str" cm="1">
        <f>IF(ISBLANK($A497),"",INDEX(Array_EmissionCharges,MATCH($A497,List_EmissionMeters,0),ROUNDUP((COLUMN()+0)/3-1,0)))</f>
        <v/>
      </c>
      <c r="R497" s="127"/>
      <c r="S497" s="137"/>
    </row>
    <row r="498" spans="1:19" x14ac:dyDescent="0.3">
      <c r="A498" s="126"/>
      <c r="B498" s="133"/>
      <c r="C498" s="127"/>
      <c r="D498" s="137"/>
      <c r="E498" s="58" t="str" cm="1">
        <f>IF(ISBLANK($A498),"",INDEX(Array_EmissionCharges,MATCH($A498,List_EmissionMeters,0),ROUNDUP((COLUMN()+0)/3-1,0)))</f>
        <v/>
      </c>
      <c r="F498" s="127"/>
      <c r="G498" s="137"/>
      <c r="H498" s="58" t="str" cm="1">
        <f>IF(ISBLANK($A498),"",INDEX(Array_EmissionCharges,MATCH($A498,List_EmissionMeters,0),ROUNDUP((COLUMN()+0)/3-1,0)))</f>
        <v/>
      </c>
      <c r="I498" s="127"/>
      <c r="J498" s="137"/>
      <c r="K498" s="58" t="str" cm="1">
        <f>IF(ISBLANK($A498),"",INDEX(Array_EmissionCharges,MATCH($A498,List_EmissionMeters,0),ROUNDUP((COLUMN()+0)/3-1,0)))</f>
        <v/>
      </c>
      <c r="L498" s="127"/>
      <c r="M498" s="137"/>
      <c r="N498" s="58" t="str" cm="1">
        <f>IF(ISBLANK($A498),"",INDEX(Array_EmissionCharges,MATCH($A498,List_EmissionMeters,0),ROUNDUP((COLUMN()+0)/3-1,0)))</f>
        <v/>
      </c>
      <c r="O498" s="127"/>
      <c r="P498" s="137"/>
      <c r="Q498" s="58" t="str" cm="1">
        <f>IF(ISBLANK($A498),"",INDEX(Array_EmissionCharges,MATCH($A498,List_EmissionMeters,0),ROUNDUP((COLUMN()+0)/3-1,0)))</f>
        <v/>
      </c>
      <c r="R498" s="127"/>
      <c r="S498" s="137"/>
    </row>
    <row r="499" spans="1:19" x14ac:dyDescent="0.3">
      <c r="A499" s="126"/>
      <c r="B499" s="133"/>
      <c r="C499" s="127"/>
      <c r="D499" s="137"/>
      <c r="E499" s="58" t="str" cm="1">
        <f>IF(ISBLANK($A499),"",INDEX(Array_EmissionCharges,MATCH($A499,List_EmissionMeters,0),ROUNDUP((COLUMN()+0)/3-1,0)))</f>
        <v/>
      </c>
      <c r="F499" s="127"/>
      <c r="G499" s="137"/>
      <c r="H499" s="58" t="str" cm="1">
        <f>IF(ISBLANK($A499),"",INDEX(Array_EmissionCharges,MATCH($A499,List_EmissionMeters,0),ROUNDUP((COLUMN()+0)/3-1,0)))</f>
        <v/>
      </c>
      <c r="I499" s="127"/>
      <c r="J499" s="137"/>
      <c r="K499" s="58" t="str" cm="1">
        <f>IF(ISBLANK($A499),"",INDEX(Array_EmissionCharges,MATCH($A499,List_EmissionMeters,0),ROUNDUP((COLUMN()+0)/3-1,0)))</f>
        <v/>
      </c>
      <c r="L499" s="127"/>
      <c r="M499" s="137"/>
      <c r="N499" s="58" t="str" cm="1">
        <f>IF(ISBLANK($A499),"",INDEX(Array_EmissionCharges,MATCH($A499,List_EmissionMeters,0),ROUNDUP((COLUMN()+0)/3-1,0)))</f>
        <v/>
      </c>
      <c r="O499" s="127"/>
      <c r="P499" s="137"/>
      <c r="Q499" s="58" t="str" cm="1">
        <f>IF(ISBLANK($A499),"",INDEX(Array_EmissionCharges,MATCH($A499,List_EmissionMeters,0),ROUNDUP((COLUMN()+0)/3-1,0)))</f>
        <v/>
      </c>
      <c r="R499" s="127"/>
      <c r="S499" s="137"/>
    </row>
    <row r="500" spans="1:19" x14ac:dyDescent="0.3">
      <c r="A500" s="126"/>
      <c r="B500" s="133"/>
      <c r="C500" s="127"/>
      <c r="D500" s="137"/>
      <c r="E500" s="58" t="str" cm="1">
        <f>IF(ISBLANK($A500),"",INDEX(Array_EmissionCharges,MATCH($A500,List_EmissionMeters,0),ROUNDUP((COLUMN()+0)/3-1,0)))</f>
        <v/>
      </c>
      <c r="F500" s="127"/>
      <c r="G500" s="137"/>
      <c r="H500" s="58" t="str" cm="1">
        <f>IF(ISBLANK($A500),"",INDEX(Array_EmissionCharges,MATCH($A500,List_EmissionMeters,0),ROUNDUP((COLUMN()+0)/3-1,0)))</f>
        <v/>
      </c>
      <c r="I500" s="127"/>
      <c r="J500" s="137"/>
      <c r="K500" s="58" t="str" cm="1">
        <f>IF(ISBLANK($A500),"",INDEX(Array_EmissionCharges,MATCH($A500,List_EmissionMeters,0),ROUNDUP((COLUMN()+0)/3-1,0)))</f>
        <v/>
      </c>
      <c r="L500" s="127"/>
      <c r="M500" s="137"/>
      <c r="N500" s="58" t="str" cm="1">
        <f>IF(ISBLANK($A500),"",INDEX(Array_EmissionCharges,MATCH($A500,List_EmissionMeters,0),ROUNDUP((COLUMN()+0)/3-1,0)))</f>
        <v/>
      </c>
      <c r="O500" s="127"/>
      <c r="P500" s="137"/>
      <c r="Q500" s="58" t="str" cm="1">
        <f>IF(ISBLANK($A500),"",INDEX(Array_EmissionCharges,MATCH($A500,List_EmissionMeters,0),ROUNDUP((COLUMN()+0)/3-1,0)))</f>
        <v/>
      </c>
      <c r="R500" s="127"/>
      <c r="S500" s="137"/>
    </row>
    <row r="501" spans="1:19" x14ac:dyDescent="0.3">
      <c r="A501" s="126"/>
      <c r="B501" s="133"/>
      <c r="C501" s="127"/>
      <c r="D501" s="137"/>
      <c r="E501" s="58" t="str" cm="1">
        <f>IF(ISBLANK($A501),"",INDEX(Array_EmissionCharges,MATCH($A501,List_EmissionMeters,0),ROUNDUP((COLUMN()+0)/3-1,0)))</f>
        <v/>
      </c>
      <c r="F501" s="127"/>
      <c r="G501" s="137"/>
      <c r="H501" s="58" t="str" cm="1">
        <f>IF(ISBLANK($A501),"",INDEX(Array_EmissionCharges,MATCH($A501,List_EmissionMeters,0),ROUNDUP((COLUMN()+0)/3-1,0)))</f>
        <v/>
      </c>
      <c r="I501" s="127"/>
      <c r="J501" s="137"/>
      <c r="K501" s="58" t="str" cm="1">
        <f>IF(ISBLANK($A501),"",INDEX(Array_EmissionCharges,MATCH($A501,List_EmissionMeters,0),ROUNDUP((COLUMN()+0)/3-1,0)))</f>
        <v/>
      </c>
      <c r="L501" s="127"/>
      <c r="M501" s="137"/>
      <c r="N501" s="58" t="str" cm="1">
        <f>IF(ISBLANK($A501),"",INDEX(Array_EmissionCharges,MATCH($A501,List_EmissionMeters,0),ROUNDUP((COLUMN()+0)/3-1,0)))</f>
        <v/>
      </c>
      <c r="O501" s="127"/>
      <c r="P501" s="137"/>
      <c r="Q501" s="58" t="str" cm="1">
        <f>IF(ISBLANK($A501),"",INDEX(Array_EmissionCharges,MATCH($A501,List_EmissionMeters,0),ROUNDUP((COLUMN()+0)/3-1,0)))</f>
        <v/>
      </c>
      <c r="R501" s="127"/>
      <c r="S501" s="137"/>
    </row>
    <row r="502" spans="1:19" x14ac:dyDescent="0.3">
      <c r="A502" s="126"/>
      <c r="B502" s="133"/>
      <c r="C502" s="127"/>
      <c r="D502" s="137"/>
      <c r="E502" s="58" t="str" cm="1">
        <f>IF(ISBLANK($A502),"",INDEX(Array_EmissionCharges,MATCH($A502,List_EmissionMeters,0),ROUNDUP((COLUMN()+0)/3-1,0)))</f>
        <v/>
      </c>
      <c r="F502" s="127"/>
      <c r="G502" s="137"/>
      <c r="H502" s="58" t="str" cm="1">
        <f>IF(ISBLANK($A502),"",INDEX(Array_EmissionCharges,MATCH($A502,List_EmissionMeters,0),ROUNDUP((COLUMN()+0)/3-1,0)))</f>
        <v/>
      </c>
      <c r="I502" s="127"/>
      <c r="J502" s="137"/>
      <c r="K502" s="58" t="str" cm="1">
        <f>IF(ISBLANK($A502),"",INDEX(Array_EmissionCharges,MATCH($A502,List_EmissionMeters,0),ROUNDUP((COLUMN()+0)/3-1,0)))</f>
        <v/>
      </c>
      <c r="L502" s="127"/>
      <c r="M502" s="137"/>
      <c r="N502" s="58" t="str" cm="1">
        <f>IF(ISBLANK($A502),"",INDEX(Array_EmissionCharges,MATCH($A502,List_EmissionMeters,0),ROUNDUP((COLUMN()+0)/3-1,0)))</f>
        <v/>
      </c>
      <c r="O502" s="127"/>
      <c r="P502" s="137"/>
      <c r="Q502" s="58" t="str" cm="1">
        <f>IF(ISBLANK($A502),"",INDEX(Array_EmissionCharges,MATCH($A502,List_EmissionMeters,0),ROUNDUP((COLUMN()+0)/3-1,0)))</f>
        <v/>
      </c>
      <c r="R502" s="127"/>
      <c r="S502" s="137"/>
    </row>
    <row r="502" spans="1:19" x14ac:dyDescent="0.3">
      <c r="A502" s="126"/>
      <c r="B502" s="133"/>
      <c r="C502" s="127"/>
      <c r="D502" s="137"/>
      <c r="E502" s="58" t="str" cm="1">
        <f>IF(ISBLANK($A502),"",INDEX(Array_EmissionCharges,MATCH($A502,List_EmissionMeters,0),ROUNDUP((COLUMN()+0)/3-1,0)))</f>
        <v/>
      </c>
      <c r="F502" s="127"/>
      <c r="G502" s="137"/>
      <c r="H502" s="58" t="str" cm="1">
        <f>IF(ISBLANK($A502),"",INDEX(Array_EmissionCharges,MATCH($A502,List_EmissionMeters,0),ROUNDUP((COLUMN()+0)/3-1,0)))</f>
        <v/>
      </c>
      <c r="I502" s="127"/>
      <c r="J502" s="137"/>
      <c r="K502" s="58" t="str" cm="1">
        <f>IF(ISBLANK($A502),"",INDEX(Array_EmissionCharges,MATCH($A502,List_EmissionMeters,0),ROUNDUP((COLUMN()+0)/3-1,0)))</f>
        <v/>
      </c>
      <c r="L502" s="127"/>
      <c r="M502" s="137"/>
      <c r="N502" s="58" t="str" cm="1">
        <f>IF(ISBLANK($A502),"",INDEX(Array_EmissionCharges,MATCH($A502,List_EmissionMeters,0),ROUNDUP((COLUMN()+0)/3-1,0)))</f>
        <v/>
      </c>
      <c r="O502" s="127"/>
      <c r="P502" s="137"/>
      <c r="Q502" s="58" t="str" cm="1">
        <f>IF(ISBLANK($A502),"",INDEX(Array_EmissionCharges,MATCH($A502,List_EmissionMeters,0),ROUNDUP((COLUMN()+0)/3-1,0)))</f>
        <v/>
      </c>
      <c r="R502" s="127"/>
      <c r="S502" s="137"/>
    </row>
    <row r="502" spans="1:19" x14ac:dyDescent="0.3">
      <c r="A502" s="126"/>
      <c r="B502" s="133"/>
      <c r="C502" s="127"/>
      <c r="D502" s="137"/>
      <c r="E502" s="58" t="str" cm="1">
        <f>IF(ISBLANK($A502),"",INDEX(Array_EmissionCharges,MATCH($A502,List_EmissionMeters,0),ROUNDUP((COLUMN()+0)/3-1,0)))</f>
        <v/>
      </c>
      <c r="F502" s="127"/>
      <c r="G502" s="137"/>
      <c r="H502" s="58" t="str" cm="1">
        <f>IF(ISBLANK($A502),"",INDEX(Array_EmissionCharges,MATCH($A502,List_EmissionMeters,0),ROUNDUP((COLUMN()+0)/3-1,0)))</f>
        <v/>
      </c>
      <c r="I502" s="127"/>
      <c r="J502" s="137"/>
      <c r="K502" s="58" t="str" cm="1">
        <f>IF(ISBLANK($A502),"",INDEX(Array_EmissionCharges,MATCH($A502,List_EmissionMeters,0),ROUNDUP((COLUMN()+0)/3-1,0)))</f>
        <v/>
      </c>
      <c r="L502" s="127"/>
      <c r="M502" s="137"/>
      <c r="N502" s="58" t="str" cm="1">
        <f>IF(ISBLANK($A502),"",INDEX(Array_EmissionCharges,MATCH($A502,List_EmissionMeters,0),ROUNDUP((COLUMN()+0)/3-1,0)))</f>
        <v/>
      </c>
      <c r="O502" s="127"/>
      <c r="P502" s="137"/>
      <c r="Q502" s="58" t="str" cm="1">
        <f>IF(ISBLANK($A502),"",INDEX(Array_EmissionCharges,MATCH($A502,List_EmissionMeters,0),ROUNDUP((COLUMN()+0)/3-1,0)))</f>
        <v/>
      </c>
      <c r="R502" s="127"/>
      <c r="S502" s="137"/>
    </row>
  </sheetData>
  <sheetProtection algorithmName="SHA-512" hashValue="wOvc1RjiZv3xdZSy310dzXyBAeu8HsBy2OWzpmZzUZaFtwF59mJWilrO2tpmgMcKWZ6TjRzThuTlzlOaZC4Y7g==" saltValue="zm/MIjvA7WD3FJBAoeHwGw==" spinCount="100000" sheet="1" objects="1" scenarios="1"/>
  <conditionalFormatting sqref="A3:C502">
    <cfRule type="expression" dxfId="61" priority="12">
      <formula>AND(COUNTA($A3:$C3)&gt;0,A3="")</formula>
    </cfRule>
  </conditionalFormatting>
  <conditionalFormatting sqref="A3:D502">
    <cfRule type="expression" dxfId="60" priority="118">
      <formula>AND(COUNTA($A3:$D3)=0,ROW()&lt;&gt;3)</formula>
    </cfRule>
  </conditionalFormatting>
  <conditionalFormatting sqref="E3:G502">
    <cfRule type="expression" dxfId="59" priority="4">
      <formula>$E3=""</formula>
    </cfRule>
  </conditionalFormatting>
  <conditionalFormatting sqref="H3:J502">
    <cfRule type="expression" dxfId="58" priority="5">
      <formula>$H3=""</formula>
    </cfRule>
  </conditionalFormatting>
  <conditionalFormatting sqref="K3:M502">
    <cfRule type="expression" dxfId="57" priority="3">
      <formula>$K3=""</formula>
    </cfRule>
  </conditionalFormatting>
  <conditionalFormatting sqref="N3:P502">
    <cfRule type="expression" dxfId="56" priority="2">
      <formula>$N3=""</formula>
    </cfRule>
  </conditionalFormatting>
  <conditionalFormatting sqref="Q3:S502">
    <cfRule type="expression" dxfId="55" priority="1">
      <formula>$Q3=""</formula>
    </cfRule>
  </conditionalFormatting>
  <dataValidations count="1">
    <dataValidation type="list" allowBlank="1" showInputMessage="1" showErrorMessage="1" sqref="A3:A502" xr:uid="{93C231F2-00FF-4428-BB94-5CFDD0118419}">
      <formula1>List_EmissionMeters</formula1>
    </dataValidation>
  </dataValidation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74AE3-3A1F-42DF-B920-DB507A17E0AE}">
  <sheetPr codeName="Sheet19">
    <tabColor rgb="FF17BECF"/>
  </sheetPr>
  <dimension ref="A1:AF202"/>
  <sheetViews>
    <sheetView workbookViewId="0">
      <selection activeCell="F3" sqref="F3"/>
    </sheetView>
  </sheetViews>
  <sheetFormatPr defaultColWidth="0" defaultRowHeight="14" zeroHeight="1" x14ac:dyDescent="0.3"/>
  <cols>
    <col min="1" max="32" width="16.7265625" style="45" customWidth="1"/>
    <col min="33" max="16384" width="9.1796875" style="45" hidden="1"/>
  </cols>
  <sheetData>
    <row r="1" spans="1:32" ht="30" customHeight="1" x14ac:dyDescent="0.3">
      <c r="A1" s="81" t="s">
        <v>830</v>
      </c>
      <c r="B1" s="81"/>
      <c r="C1" s="81"/>
      <c r="D1" s="81"/>
      <c r="E1" s="81"/>
      <c r="F1" s="81"/>
      <c r="G1" s="81"/>
      <c r="H1" s="81"/>
      <c r="I1" s="81"/>
      <c r="J1" s="81"/>
      <c r="K1" s="81"/>
      <c r="L1" s="81"/>
      <c r="M1" s="43" t="s">
        <v>789</v>
      </c>
      <c r="N1" s="44"/>
      <c r="O1" s="44"/>
      <c r="P1" s="44"/>
      <c r="Q1" s="44"/>
      <c r="R1" s="44"/>
      <c r="S1" s="44"/>
      <c r="T1" s="44"/>
      <c r="U1" s="44"/>
      <c r="V1" s="44"/>
      <c r="W1" s="44"/>
      <c r="X1" s="44"/>
      <c r="Y1" s="44"/>
      <c r="Z1" s="44"/>
      <c r="AA1" s="44"/>
      <c r="AB1" s="44"/>
      <c r="AC1" s="44"/>
      <c r="AD1" s="44"/>
      <c r="AE1" s="44"/>
      <c r="AF1" s="44"/>
    </row>
    <row r="2" spans="1:32" ht="30" customHeight="1" x14ac:dyDescent="0.3">
      <c r="A2" s="99" t="s">
        <v>0</v>
      </c>
      <c r="B2" s="100" t="s">
        <v>1</v>
      </c>
      <c r="C2" s="100" t="s">
        <v>24</v>
      </c>
      <c r="D2" s="100" t="s">
        <v>798</v>
      </c>
      <c r="E2" s="99" t="s">
        <v>479</v>
      </c>
      <c r="F2" s="99" t="s">
        <v>509</v>
      </c>
      <c r="G2" s="99" t="s">
        <v>508</v>
      </c>
      <c r="H2" s="99" t="s">
        <v>796</v>
      </c>
      <c r="I2" s="100" t="s">
        <v>480</v>
      </c>
      <c r="J2" s="100" t="s">
        <v>481</v>
      </c>
      <c r="K2" s="100" t="s">
        <v>482</v>
      </c>
      <c r="L2" s="101" t="s">
        <v>8</v>
      </c>
      <c r="M2" s="102" t="str">
        <f>"Charge "&amp;QUOTIENT(COLUMN()-10,2)&amp;" Name"</f>
        <v>Charge 1 Name</v>
      </c>
      <c r="N2" s="103" t="str">
        <f>"Charge "&amp;QUOTIENT(COLUMN()-11,2)&amp;" Type"</f>
        <v>Charge 1 Type</v>
      </c>
      <c r="O2" s="102" t="str">
        <f>"Charge "&amp;QUOTIENT(COLUMN()-10,2)&amp;" Name"</f>
        <v>Charge 2 Name</v>
      </c>
      <c r="P2" s="103" t="str">
        <f>"Charge "&amp;QUOTIENT(COLUMN()-11,2)&amp;" Type"</f>
        <v>Charge 2 Type</v>
      </c>
      <c r="Q2" s="102" t="str">
        <f>"Charge "&amp;QUOTIENT(COLUMN()-10,2)&amp;" Name"</f>
        <v>Charge 3 Name</v>
      </c>
      <c r="R2" s="103" t="str">
        <f>"Charge "&amp;QUOTIENT(COLUMN()-11,2)&amp;" Type"</f>
        <v>Charge 3 Type</v>
      </c>
      <c r="S2" s="102" t="str">
        <f>"Charge "&amp;QUOTIENT(COLUMN()-10,2)&amp;" Name"</f>
        <v>Charge 4 Name</v>
      </c>
      <c r="T2" s="103" t="str">
        <f>"Charge "&amp;QUOTIENT(COLUMN()-11,2)&amp;" Type"</f>
        <v>Charge 4 Type</v>
      </c>
      <c r="U2" s="102" t="str">
        <f>"Charge "&amp;QUOTIENT(COLUMN()-10,2)&amp;" Name"</f>
        <v>Charge 5 Name</v>
      </c>
      <c r="V2" s="103" t="str">
        <f>"Charge "&amp;QUOTIENT(COLUMN()-11,2)&amp;" Type"</f>
        <v>Charge 5 Type</v>
      </c>
      <c r="W2" s="102" t="str">
        <f>"Charge "&amp;QUOTIENT(COLUMN()-10,2)&amp;" Name"</f>
        <v>Charge 6 Name</v>
      </c>
      <c r="X2" s="103" t="str">
        <f>"Charge "&amp;QUOTIENT(COLUMN()-11,2)&amp;" Type"</f>
        <v>Charge 6 Type</v>
      </c>
      <c r="Y2" s="102" t="str">
        <f>"Charge "&amp;QUOTIENT(COLUMN()-10,2)&amp;" Name"</f>
        <v>Charge 7 Name</v>
      </c>
      <c r="Z2" s="103" t="str">
        <f>"Charge "&amp;QUOTIENT(COLUMN()-11,2)&amp;" Type"</f>
        <v>Charge 7 Type</v>
      </c>
      <c r="AA2" s="102" t="str">
        <f>"Charge "&amp;QUOTIENT(COLUMN()-10,2)&amp;" Name"</f>
        <v>Charge 8 Name</v>
      </c>
      <c r="AB2" s="103" t="str">
        <f>"Charge "&amp;QUOTIENT(COLUMN()-11,2)&amp;" Type"</f>
        <v>Charge 8 Type</v>
      </c>
      <c r="AC2" s="102" t="str">
        <f>"Charge "&amp;QUOTIENT(COLUMN()-10,2)&amp;" Name"</f>
        <v>Charge 9 Name</v>
      </c>
      <c r="AD2" s="103" t="str">
        <f>"Charge "&amp;QUOTIENT(COLUMN()-11,2)&amp;" Type"</f>
        <v>Charge 9 Type</v>
      </c>
      <c r="AE2" s="102" t="str">
        <f>"Charge "&amp;QUOTIENT(COLUMN()-10,2)&amp;" Name"</f>
        <v>Charge 10 Name</v>
      </c>
      <c r="AF2" s="103" t="str">
        <f>"Charge "&amp;QUOTIENT(COLUMN()-11,2)&amp;" Type"</f>
        <v>Charge 10 Type</v>
      </c>
    </row>
    <row r="3" spans="1:32" x14ac:dyDescent="0.3">
      <c r="A3" s="126"/>
      <c r="B3" s="127"/>
      <c r="C3" s="127"/>
      <c r="D3" s="127"/>
      <c r="E3" s="126"/>
      <c r="F3" s="126"/>
      <c r="G3" s="126"/>
      <c r="H3" s="126"/>
      <c r="I3" s="127"/>
      <c r="J3" s="127"/>
      <c r="K3" s="127"/>
      <c r="L3" s="127"/>
      <c r="M3" s="130"/>
      <c r="N3" s="131"/>
      <c r="O3" s="130"/>
      <c r="P3" s="131"/>
      <c r="Q3" s="130"/>
      <c r="R3" s="131"/>
      <c r="S3" s="130"/>
      <c r="T3" s="131"/>
      <c r="U3" s="130"/>
      <c r="V3" s="131"/>
      <c r="W3" s="130"/>
      <c r="X3" s="131"/>
      <c r="Y3" s="130"/>
      <c r="Z3" s="131"/>
      <c r="AA3" s="130"/>
      <c r="AB3" s="131"/>
      <c r="AC3" s="130"/>
      <c r="AD3" s="131"/>
      <c r="AE3" s="130"/>
      <c r="AF3" s="131"/>
    </row>
    <row r="4" spans="1:32" x14ac:dyDescent="0.3">
      <c r="A4" s="126"/>
      <c r="B4" s="127"/>
      <c r="C4" s="127"/>
      <c r="D4" s="127"/>
      <c r="E4" s="126"/>
      <c r="F4" s="126"/>
      <c r="G4" s="126"/>
      <c r="H4" s="126"/>
      <c r="I4" s="127"/>
      <c r="J4" s="127"/>
      <c r="K4" s="127"/>
      <c r="L4" s="127"/>
      <c r="M4" s="130"/>
      <c r="N4" s="131"/>
      <c r="O4" s="130"/>
      <c r="P4" s="131"/>
      <c r="Q4" s="130"/>
      <c r="R4" s="131"/>
      <c r="S4" s="130"/>
      <c r="T4" s="131"/>
      <c r="U4" s="130"/>
      <c r="V4" s="131"/>
      <c r="W4" s="130"/>
      <c r="X4" s="131"/>
      <c r="Y4" s="130"/>
      <c r="Z4" s="131"/>
      <c r="AA4" s="130"/>
      <c r="AB4" s="131"/>
      <c r="AC4" s="130"/>
      <c r="AD4" s="131"/>
      <c r="AE4" s="130"/>
      <c r="AF4" s="131"/>
    </row>
    <row r="5" spans="1:32" x14ac:dyDescent="0.3">
      <c r="A5" s="126"/>
      <c r="B5" s="127"/>
      <c r="C5" s="127"/>
      <c r="D5" s="127"/>
      <c r="E5" s="126"/>
      <c r="F5" s="126"/>
      <c r="G5" s="126"/>
      <c r="H5" s="126"/>
      <c r="I5" s="127"/>
      <c r="J5" s="127"/>
      <c r="K5" s="127"/>
      <c r="L5" s="127"/>
      <c r="M5" s="130"/>
      <c r="N5" s="131"/>
      <c r="O5" s="130"/>
      <c r="P5" s="131"/>
      <c r="Q5" s="130"/>
      <c r="R5" s="131"/>
      <c r="S5" s="130"/>
      <c r="T5" s="131"/>
      <c r="U5" s="130"/>
      <c r="V5" s="131"/>
      <c r="W5" s="130"/>
      <c r="X5" s="131"/>
      <c r="Y5" s="130"/>
      <c r="Z5" s="131"/>
      <c r="AA5" s="130"/>
      <c r="AB5" s="131"/>
      <c r="AC5" s="130"/>
      <c r="AD5" s="131"/>
      <c r="AE5" s="130"/>
      <c r="AF5" s="131"/>
    </row>
    <row r="6" spans="1:32" x14ac:dyDescent="0.3">
      <c r="A6" s="126"/>
      <c r="B6" s="127"/>
      <c r="C6" s="127"/>
      <c r="D6" s="127"/>
      <c r="E6" s="126"/>
      <c r="F6" s="126"/>
      <c r="G6" s="126"/>
      <c r="H6" s="126"/>
      <c r="I6" s="127"/>
      <c r="J6" s="127"/>
      <c r="K6" s="127"/>
      <c r="L6" s="127"/>
      <c r="M6" s="130"/>
      <c r="N6" s="131"/>
      <c r="O6" s="130"/>
      <c r="P6" s="131"/>
      <c r="Q6" s="130"/>
      <c r="R6" s="131"/>
      <c r="S6" s="130"/>
      <c r="T6" s="131"/>
      <c r="U6" s="130"/>
      <c r="V6" s="131"/>
      <c r="W6" s="130"/>
      <c r="X6" s="131"/>
      <c r="Y6" s="130"/>
      <c r="Z6" s="131"/>
      <c r="AA6" s="130"/>
      <c r="AB6" s="131"/>
      <c r="AC6" s="130"/>
      <c r="AD6" s="131"/>
      <c r="AE6" s="130"/>
      <c r="AF6" s="131"/>
    </row>
    <row r="7" spans="1:32" x14ac:dyDescent="0.3">
      <c r="A7" s="126"/>
      <c r="B7" s="127"/>
      <c r="C7" s="127"/>
      <c r="D7" s="127"/>
      <c r="E7" s="126"/>
      <c r="F7" s="126"/>
      <c r="G7" s="126"/>
      <c r="H7" s="126"/>
      <c r="I7" s="127"/>
      <c r="J7" s="127"/>
      <c r="K7" s="127"/>
      <c r="L7" s="127"/>
      <c r="M7" s="130"/>
      <c r="N7" s="131"/>
      <c r="O7" s="130"/>
      <c r="P7" s="131"/>
      <c r="Q7" s="130"/>
      <c r="R7" s="131"/>
      <c r="S7" s="130"/>
      <c r="T7" s="131"/>
      <c r="U7" s="130"/>
      <c r="V7" s="131"/>
      <c r="W7" s="130"/>
      <c r="X7" s="131"/>
      <c r="Y7" s="130"/>
      <c r="Z7" s="131"/>
      <c r="AA7" s="130"/>
      <c r="AB7" s="131"/>
      <c r="AC7" s="130"/>
      <c r="AD7" s="131"/>
      <c r="AE7" s="130"/>
      <c r="AF7" s="131"/>
    </row>
    <row r="8" spans="1:32" x14ac:dyDescent="0.3">
      <c r="A8" s="126"/>
      <c r="B8" s="127"/>
      <c r="C8" s="127"/>
      <c r="D8" s="127"/>
      <c r="E8" s="126"/>
      <c r="F8" s="126"/>
      <c r="G8" s="126"/>
      <c r="H8" s="126"/>
      <c r="I8" s="127"/>
      <c r="J8" s="127"/>
      <c r="K8" s="127"/>
      <c r="L8" s="127"/>
      <c r="M8" s="130"/>
      <c r="N8" s="131"/>
      <c r="O8" s="130"/>
      <c r="P8" s="131"/>
      <c r="Q8" s="130"/>
      <c r="R8" s="131"/>
      <c r="S8" s="130"/>
      <c r="T8" s="131"/>
      <c r="U8" s="130"/>
      <c r="V8" s="131"/>
      <c r="W8" s="130"/>
      <c r="X8" s="131"/>
      <c r="Y8" s="130"/>
      <c r="Z8" s="131"/>
      <c r="AA8" s="130"/>
      <c r="AB8" s="131"/>
      <c r="AC8" s="130"/>
      <c r="AD8" s="131"/>
      <c r="AE8" s="130"/>
      <c r="AF8" s="131"/>
    </row>
    <row r="9" spans="1:32" x14ac:dyDescent="0.3">
      <c r="A9" s="126"/>
      <c r="B9" s="127"/>
      <c r="C9" s="127"/>
      <c r="D9" s="127"/>
      <c r="E9" s="126"/>
      <c r="F9" s="126"/>
      <c r="G9" s="126"/>
      <c r="H9" s="126"/>
      <c r="I9" s="127"/>
      <c r="J9" s="127"/>
      <c r="K9" s="127"/>
      <c r="L9" s="127"/>
      <c r="M9" s="130"/>
      <c r="N9" s="131"/>
      <c r="O9" s="130"/>
      <c r="P9" s="131"/>
      <c r="Q9" s="130"/>
      <c r="R9" s="131"/>
      <c r="S9" s="130"/>
      <c r="T9" s="131"/>
      <c r="U9" s="130"/>
      <c r="V9" s="131"/>
      <c r="W9" s="130"/>
      <c r="X9" s="131"/>
      <c r="Y9" s="130"/>
      <c r="Z9" s="131"/>
      <c r="AA9" s="130"/>
      <c r="AB9" s="131"/>
      <c r="AC9" s="130"/>
      <c r="AD9" s="131"/>
      <c r="AE9" s="130"/>
      <c r="AF9" s="131"/>
    </row>
    <row r="10" spans="1:32" x14ac:dyDescent="0.3">
      <c r="A10" s="126"/>
      <c r="B10" s="127"/>
      <c r="C10" s="127"/>
      <c r="D10" s="127"/>
      <c r="E10" s="126"/>
      <c r="F10" s="126"/>
      <c r="G10" s="126"/>
      <c r="H10" s="126"/>
      <c r="I10" s="127"/>
      <c r="J10" s="127"/>
      <c r="K10" s="127"/>
      <c r="L10" s="127"/>
      <c r="M10" s="130"/>
      <c r="N10" s="131"/>
      <c r="O10" s="130"/>
      <c r="P10" s="131"/>
      <c r="Q10" s="130"/>
      <c r="R10" s="131"/>
      <c r="S10" s="130"/>
      <c r="T10" s="131"/>
      <c r="U10" s="130"/>
      <c r="V10" s="131"/>
      <c r="W10" s="130"/>
      <c r="X10" s="131"/>
      <c r="Y10" s="130"/>
      <c r="Z10" s="131"/>
      <c r="AA10" s="130"/>
      <c r="AB10" s="131"/>
      <c r="AC10" s="130"/>
      <c r="AD10" s="131"/>
      <c r="AE10" s="130"/>
      <c r="AF10" s="131"/>
    </row>
    <row r="11" spans="1:32" x14ac:dyDescent="0.3">
      <c r="A11" s="126"/>
      <c r="B11" s="127"/>
      <c r="C11" s="127"/>
      <c r="D11" s="127"/>
      <c r="E11" s="126"/>
      <c r="F11" s="126"/>
      <c r="G11" s="126"/>
      <c r="H11" s="126"/>
      <c r="I11" s="127"/>
      <c r="J11" s="127"/>
      <c r="K11" s="127"/>
      <c r="L11" s="127"/>
      <c r="M11" s="130"/>
      <c r="N11" s="131"/>
      <c r="O11" s="130"/>
      <c r="P11" s="131"/>
      <c r="Q11" s="130"/>
      <c r="R11" s="131"/>
      <c r="S11" s="130"/>
      <c r="T11" s="131"/>
      <c r="U11" s="130"/>
      <c r="V11" s="131"/>
      <c r="W11" s="130"/>
      <c r="X11" s="131"/>
      <c r="Y11" s="130"/>
      <c r="Z11" s="131"/>
      <c r="AA11" s="130"/>
      <c r="AB11" s="131"/>
      <c r="AC11" s="130"/>
      <c r="AD11" s="131"/>
      <c r="AE11" s="130"/>
      <c r="AF11" s="131"/>
    </row>
    <row r="12" spans="1:32" x14ac:dyDescent="0.3">
      <c r="A12" s="126"/>
      <c r="B12" s="127"/>
      <c r="C12" s="127"/>
      <c r="D12" s="127"/>
      <c r="E12" s="126"/>
      <c r="F12" s="126"/>
      <c r="G12" s="126"/>
      <c r="H12" s="126"/>
      <c r="I12" s="127"/>
      <c r="J12" s="127"/>
      <c r="K12" s="127"/>
      <c r="L12" s="127"/>
      <c r="M12" s="130"/>
      <c r="N12" s="131"/>
      <c r="O12" s="130"/>
      <c r="P12" s="131"/>
      <c r="Q12" s="130"/>
      <c r="R12" s="131"/>
      <c r="S12" s="130"/>
      <c r="T12" s="131"/>
      <c r="U12" s="130"/>
      <c r="V12" s="131"/>
      <c r="W12" s="130"/>
      <c r="X12" s="131"/>
      <c r="Y12" s="130"/>
      <c r="Z12" s="131"/>
      <c r="AA12" s="130"/>
      <c r="AB12" s="131"/>
      <c r="AC12" s="130"/>
      <c r="AD12" s="131"/>
      <c r="AE12" s="130"/>
      <c r="AF12" s="131"/>
    </row>
    <row r="13" spans="1:32" x14ac:dyDescent="0.3">
      <c r="A13" s="126"/>
      <c r="B13" s="127"/>
      <c r="C13" s="127"/>
      <c r="D13" s="127"/>
      <c r="E13" s="126"/>
      <c r="F13" s="126"/>
      <c r="G13" s="126"/>
      <c r="H13" s="126"/>
      <c r="I13" s="127"/>
      <c r="J13" s="127"/>
      <c r="K13" s="127"/>
      <c r="L13" s="127"/>
      <c r="M13" s="130"/>
      <c r="N13" s="131"/>
      <c r="O13" s="130"/>
      <c r="P13" s="131"/>
      <c r="Q13" s="130"/>
      <c r="R13" s="131"/>
      <c r="S13" s="130"/>
      <c r="T13" s="131"/>
      <c r="U13" s="130"/>
      <c r="V13" s="131"/>
      <c r="W13" s="130"/>
      <c r="X13" s="131"/>
      <c r="Y13" s="130"/>
      <c r="Z13" s="131"/>
      <c r="AA13" s="130"/>
      <c r="AB13" s="131"/>
      <c r="AC13" s="130"/>
      <c r="AD13" s="131"/>
      <c r="AE13" s="130"/>
      <c r="AF13" s="131"/>
    </row>
    <row r="14" spans="1:32" x14ac:dyDescent="0.3">
      <c r="A14" s="126"/>
      <c r="B14" s="127"/>
      <c r="C14" s="127"/>
      <c r="D14" s="127"/>
      <c r="E14" s="126"/>
      <c r="F14" s="126"/>
      <c r="G14" s="126"/>
      <c r="H14" s="126"/>
      <c r="I14" s="127"/>
      <c r="J14" s="127"/>
      <c r="K14" s="127"/>
      <c r="L14" s="127"/>
      <c r="M14" s="130"/>
      <c r="N14" s="131"/>
      <c r="O14" s="130"/>
      <c r="P14" s="131"/>
      <c r="Q14" s="130"/>
      <c r="R14" s="131"/>
      <c r="S14" s="130"/>
      <c r="T14" s="131"/>
      <c r="U14" s="130"/>
      <c r="V14" s="131"/>
      <c r="W14" s="130"/>
      <c r="X14" s="131"/>
      <c r="Y14" s="130"/>
      <c r="Z14" s="131"/>
      <c r="AA14" s="130"/>
      <c r="AB14" s="131"/>
      <c r="AC14" s="130"/>
      <c r="AD14" s="131"/>
      <c r="AE14" s="130"/>
      <c r="AF14" s="131"/>
    </row>
    <row r="15" spans="1:32" x14ac:dyDescent="0.3">
      <c r="A15" s="126"/>
      <c r="B15" s="127"/>
      <c r="C15" s="127"/>
      <c r="D15" s="127"/>
      <c r="E15" s="126"/>
      <c r="F15" s="126"/>
      <c r="G15" s="126"/>
      <c r="H15" s="126"/>
      <c r="I15" s="127"/>
      <c r="J15" s="127"/>
      <c r="K15" s="127"/>
      <c r="L15" s="127"/>
      <c r="M15" s="130"/>
      <c r="N15" s="131"/>
      <c r="O15" s="130"/>
      <c r="P15" s="131"/>
      <c r="Q15" s="130"/>
      <c r="R15" s="131"/>
      <c r="S15" s="130"/>
      <c r="T15" s="131"/>
      <c r="U15" s="130"/>
      <c r="V15" s="131"/>
      <c r="W15" s="130"/>
      <c r="X15" s="131"/>
      <c r="Y15" s="130"/>
      <c r="Z15" s="131"/>
      <c r="AA15" s="130"/>
      <c r="AB15" s="131"/>
      <c r="AC15" s="130"/>
      <c r="AD15" s="131"/>
      <c r="AE15" s="130"/>
      <c r="AF15" s="131"/>
    </row>
    <row r="16" spans="1:32" x14ac:dyDescent="0.3">
      <c r="A16" s="126"/>
      <c r="B16" s="127"/>
      <c r="C16" s="127"/>
      <c r="D16" s="127"/>
      <c r="E16" s="126"/>
      <c r="F16" s="126"/>
      <c r="G16" s="126"/>
      <c r="H16" s="126"/>
      <c r="I16" s="127"/>
      <c r="J16" s="127"/>
      <c r="K16" s="127"/>
      <c r="L16" s="127"/>
      <c r="M16" s="130"/>
      <c r="N16" s="131"/>
      <c r="O16" s="130"/>
      <c r="P16" s="131"/>
      <c r="Q16" s="130"/>
      <c r="R16" s="131"/>
      <c r="S16" s="130"/>
      <c r="T16" s="131"/>
      <c r="U16" s="130"/>
      <c r="V16" s="131"/>
      <c r="W16" s="130"/>
      <c r="X16" s="131"/>
      <c r="Y16" s="130"/>
      <c r="Z16" s="131"/>
      <c r="AA16" s="130"/>
      <c r="AB16" s="131"/>
      <c r="AC16" s="130"/>
      <c r="AD16" s="131"/>
      <c r="AE16" s="130"/>
      <c r="AF16" s="131"/>
    </row>
    <row r="17" spans="1:32" x14ac:dyDescent="0.3">
      <c r="A17" s="126"/>
      <c r="B17" s="127"/>
      <c r="C17" s="127"/>
      <c r="D17" s="127"/>
      <c r="E17" s="126"/>
      <c r="F17" s="126"/>
      <c r="G17" s="126"/>
      <c r="H17" s="126"/>
      <c r="I17" s="127"/>
      <c r="J17" s="127"/>
      <c r="K17" s="127"/>
      <c r="L17" s="127"/>
      <c r="M17" s="130"/>
      <c r="N17" s="131"/>
      <c r="O17" s="130"/>
      <c r="P17" s="131"/>
      <c r="Q17" s="130"/>
      <c r="R17" s="131"/>
      <c r="S17" s="130"/>
      <c r="T17" s="131"/>
      <c r="U17" s="130"/>
      <c r="V17" s="131"/>
      <c r="W17" s="130"/>
      <c r="X17" s="131"/>
      <c r="Y17" s="130"/>
      <c r="Z17" s="131"/>
      <c r="AA17" s="130"/>
      <c r="AB17" s="131"/>
      <c r="AC17" s="130"/>
      <c r="AD17" s="131"/>
      <c r="AE17" s="130"/>
      <c r="AF17" s="131"/>
    </row>
    <row r="18" spans="1:32" x14ac:dyDescent="0.3">
      <c r="A18" s="126"/>
      <c r="B18" s="127"/>
      <c r="C18" s="127"/>
      <c r="D18" s="127"/>
      <c r="E18" s="126"/>
      <c r="F18" s="126"/>
      <c r="G18" s="126"/>
      <c r="H18" s="126"/>
      <c r="I18" s="127"/>
      <c r="J18" s="127"/>
      <c r="K18" s="127"/>
      <c r="L18" s="127"/>
      <c r="M18" s="130"/>
      <c r="N18" s="131"/>
      <c r="O18" s="130"/>
      <c r="P18" s="131"/>
      <c r="Q18" s="130"/>
      <c r="R18" s="131"/>
      <c r="S18" s="130"/>
      <c r="T18" s="131"/>
      <c r="U18" s="130"/>
      <c r="V18" s="131"/>
      <c r="W18" s="130"/>
      <c r="X18" s="131"/>
      <c r="Y18" s="130"/>
      <c r="Z18" s="131"/>
      <c r="AA18" s="130"/>
      <c r="AB18" s="131"/>
      <c r="AC18" s="130"/>
      <c r="AD18" s="131"/>
      <c r="AE18" s="130"/>
      <c r="AF18" s="131"/>
    </row>
    <row r="19" spans="1:32" x14ac:dyDescent="0.3">
      <c r="A19" s="126"/>
      <c r="B19" s="127"/>
      <c r="C19" s="127"/>
      <c r="D19" s="127"/>
      <c r="E19" s="126"/>
      <c r="F19" s="126"/>
      <c r="G19" s="126"/>
      <c r="H19" s="126"/>
      <c r="I19" s="127"/>
      <c r="J19" s="127"/>
      <c r="K19" s="127"/>
      <c r="L19" s="127"/>
      <c r="M19" s="130"/>
      <c r="N19" s="131"/>
      <c r="O19" s="130"/>
      <c r="P19" s="131"/>
      <c r="Q19" s="130"/>
      <c r="R19" s="131"/>
      <c r="S19" s="130"/>
      <c r="T19" s="131"/>
      <c r="U19" s="130"/>
      <c r="V19" s="131"/>
      <c r="W19" s="130"/>
      <c r="X19" s="131"/>
      <c r="Y19" s="130"/>
      <c r="Z19" s="131"/>
      <c r="AA19" s="130"/>
      <c r="AB19" s="131"/>
      <c r="AC19" s="130"/>
      <c r="AD19" s="131"/>
      <c r="AE19" s="130"/>
      <c r="AF19" s="131"/>
    </row>
    <row r="20" spans="1:32" x14ac:dyDescent="0.3">
      <c r="A20" s="126"/>
      <c r="B20" s="127"/>
      <c r="C20" s="127"/>
      <c r="D20" s="127"/>
      <c r="E20" s="126"/>
      <c r="F20" s="126"/>
      <c r="G20" s="126"/>
      <c r="H20" s="126"/>
      <c r="I20" s="127"/>
      <c r="J20" s="127"/>
      <c r="K20" s="127"/>
      <c r="L20" s="127"/>
      <c r="M20" s="130"/>
      <c r="N20" s="131"/>
      <c r="O20" s="130"/>
      <c r="P20" s="131"/>
      <c r="Q20" s="130"/>
      <c r="R20" s="131"/>
      <c r="S20" s="130"/>
      <c r="T20" s="131"/>
      <c r="U20" s="130"/>
      <c r="V20" s="131"/>
      <c r="W20" s="130"/>
      <c r="X20" s="131"/>
      <c r="Y20" s="130"/>
      <c r="Z20" s="131"/>
      <c r="AA20" s="130"/>
      <c r="AB20" s="131"/>
      <c r="AC20" s="130"/>
      <c r="AD20" s="131"/>
      <c r="AE20" s="130"/>
      <c r="AF20" s="131"/>
    </row>
    <row r="21" spans="1:32" x14ac:dyDescent="0.3">
      <c r="A21" s="126"/>
      <c r="B21" s="127"/>
      <c r="C21" s="127"/>
      <c r="D21" s="127"/>
      <c r="E21" s="126"/>
      <c r="F21" s="126"/>
      <c r="G21" s="126"/>
      <c r="H21" s="126"/>
      <c r="I21" s="127"/>
      <c r="J21" s="127"/>
      <c r="K21" s="127"/>
      <c r="L21" s="127"/>
      <c r="M21" s="130"/>
      <c r="N21" s="131"/>
      <c r="O21" s="130"/>
      <c r="P21" s="131"/>
      <c r="Q21" s="130"/>
      <c r="R21" s="131"/>
      <c r="S21" s="130"/>
      <c r="T21" s="131"/>
      <c r="U21" s="130"/>
      <c r="V21" s="131"/>
      <c r="W21" s="130"/>
      <c r="X21" s="131"/>
      <c r="Y21" s="130"/>
      <c r="Z21" s="131"/>
      <c r="AA21" s="130"/>
      <c r="AB21" s="131"/>
      <c r="AC21" s="130"/>
      <c r="AD21" s="131"/>
      <c r="AE21" s="130"/>
      <c r="AF21" s="131"/>
    </row>
    <row r="22" spans="1:32" x14ac:dyDescent="0.3">
      <c r="A22" s="126"/>
      <c r="B22" s="127"/>
      <c r="C22" s="127"/>
      <c r="D22" s="127"/>
      <c r="E22" s="126"/>
      <c r="F22" s="126"/>
      <c r="G22" s="126"/>
      <c r="H22" s="126"/>
      <c r="I22" s="127"/>
      <c r="J22" s="127"/>
      <c r="K22" s="127"/>
      <c r="L22" s="127"/>
      <c r="M22" s="130"/>
      <c r="N22" s="131"/>
      <c r="O22" s="130"/>
      <c r="P22" s="131"/>
      <c r="Q22" s="130"/>
      <c r="R22" s="131"/>
      <c r="S22" s="130"/>
      <c r="T22" s="131"/>
      <c r="U22" s="130"/>
      <c r="V22" s="131"/>
      <c r="W22" s="130"/>
      <c r="X22" s="131"/>
      <c r="Y22" s="130"/>
      <c r="Z22" s="131"/>
      <c r="AA22" s="130"/>
      <c r="AB22" s="131"/>
      <c r="AC22" s="130"/>
      <c r="AD22" s="131"/>
      <c r="AE22" s="130"/>
      <c r="AF22" s="131"/>
    </row>
    <row r="23" spans="1:32" x14ac:dyDescent="0.3">
      <c r="A23" s="126"/>
      <c r="B23" s="127"/>
      <c r="C23" s="127"/>
      <c r="D23" s="127"/>
      <c r="E23" s="126"/>
      <c r="F23" s="126"/>
      <c r="G23" s="126"/>
      <c r="H23" s="126"/>
      <c r="I23" s="127"/>
      <c r="J23" s="127"/>
      <c r="K23" s="127"/>
      <c r="L23" s="127"/>
      <c r="M23" s="130"/>
      <c r="N23" s="131"/>
      <c r="O23" s="130"/>
      <c r="P23" s="131"/>
      <c r="Q23" s="130"/>
      <c r="R23" s="131"/>
      <c r="S23" s="130"/>
      <c r="T23" s="131"/>
      <c r="U23" s="130"/>
      <c r="V23" s="131"/>
      <c r="W23" s="130"/>
      <c r="X23" s="131"/>
      <c r="Y23" s="130"/>
      <c r="Z23" s="131"/>
      <c r="AA23" s="130"/>
      <c r="AB23" s="131"/>
      <c r="AC23" s="130"/>
      <c r="AD23" s="131"/>
      <c r="AE23" s="130"/>
      <c r="AF23" s="131"/>
    </row>
    <row r="24" spans="1:32" x14ac:dyDescent="0.3">
      <c r="A24" s="126"/>
      <c r="B24" s="127"/>
      <c r="C24" s="127"/>
      <c r="D24" s="127"/>
      <c r="E24" s="126"/>
      <c r="F24" s="126"/>
      <c r="G24" s="126"/>
      <c r="H24" s="126"/>
      <c r="I24" s="127"/>
      <c r="J24" s="127"/>
      <c r="K24" s="127"/>
      <c r="L24" s="127"/>
      <c r="M24" s="130"/>
      <c r="N24" s="131"/>
      <c r="O24" s="130"/>
      <c r="P24" s="131"/>
      <c r="Q24" s="130"/>
      <c r="R24" s="131"/>
      <c r="S24" s="130"/>
      <c r="T24" s="131"/>
      <c r="U24" s="130"/>
      <c r="V24" s="131"/>
      <c r="W24" s="130"/>
      <c r="X24" s="131"/>
      <c r="Y24" s="130"/>
      <c r="Z24" s="131"/>
      <c r="AA24" s="130"/>
      <c r="AB24" s="131"/>
      <c r="AC24" s="130"/>
      <c r="AD24" s="131"/>
      <c r="AE24" s="130"/>
      <c r="AF24" s="131"/>
    </row>
    <row r="25" spans="1:32" x14ac:dyDescent="0.3">
      <c r="A25" s="126"/>
      <c r="B25" s="127"/>
      <c r="C25" s="127"/>
      <c r="D25" s="127"/>
      <c r="E25" s="126"/>
      <c r="F25" s="126"/>
      <c r="G25" s="126"/>
      <c r="H25" s="126"/>
      <c r="I25" s="127"/>
      <c r="J25" s="127"/>
      <c r="K25" s="127"/>
      <c r="L25" s="127"/>
      <c r="M25" s="130"/>
      <c r="N25" s="131"/>
      <c r="O25" s="130"/>
      <c r="P25" s="131"/>
      <c r="Q25" s="130"/>
      <c r="R25" s="131"/>
      <c r="S25" s="130"/>
      <c r="T25" s="131"/>
      <c r="U25" s="130"/>
      <c r="V25" s="131"/>
      <c r="W25" s="130"/>
      <c r="X25" s="131"/>
      <c r="Y25" s="130"/>
      <c r="Z25" s="131"/>
      <c r="AA25" s="130"/>
      <c r="AB25" s="131"/>
      <c r="AC25" s="130"/>
      <c r="AD25" s="131"/>
      <c r="AE25" s="130"/>
      <c r="AF25" s="131"/>
    </row>
    <row r="26" spans="1:32" x14ac:dyDescent="0.3">
      <c r="A26" s="126"/>
      <c r="B26" s="127"/>
      <c r="C26" s="127"/>
      <c r="D26" s="127"/>
      <c r="E26" s="126"/>
      <c r="F26" s="126"/>
      <c r="G26" s="126"/>
      <c r="H26" s="126"/>
      <c r="I26" s="127"/>
      <c r="J26" s="127"/>
      <c r="K26" s="127"/>
      <c r="L26" s="127"/>
      <c r="M26" s="130"/>
      <c r="N26" s="131"/>
      <c r="O26" s="130"/>
      <c r="P26" s="131"/>
      <c r="Q26" s="130"/>
      <c r="R26" s="131"/>
      <c r="S26" s="130"/>
      <c r="T26" s="131"/>
      <c r="U26" s="130"/>
      <c r="V26" s="131"/>
      <c r="W26" s="130"/>
      <c r="X26" s="131"/>
      <c r="Y26" s="130"/>
      <c r="Z26" s="131"/>
      <c r="AA26" s="130"/>
      <c r="AB26" s="131"/>
      <c r="AC26" s="130"/>
      <c r="AD26" s="131"/>
      <c r="AE26" s="130"/>
      <c r="AF26" s="131"/>
    </row>
    <row r="27" spans="1:32" x14ac:dyDescent="0.3">
      <c r="A27" s="126"/>
      <c r="B27" s="127"/>
      <c r="C27" s="127"/>
      <c r="D27" s="127"/>
      <c r="E27" s="126"/>
      <c r="F27" s="126"/>
      <c r="G27" s="126"/>
      <c r="H27" s="126"/>
      <c r="I27" s="127"/>
      <c r="J27" s="127"/>
      <c r="K27" s="127"/>
      <c r="L27" s="127"/>
      <c r="M27" s="130"/>
      <c r="N27" s="131"/>
      <c r="O27" s="130"/>
      <c r="P27" s="131"/>
      <c r="Q27" s="130"/>
      <c r="R27" s="131"/>
      <c r="S27" s="130"/>
      <c r="T27" s="131"/>
      <c r="U27" s="130"/>
      <c r="V27" s="131"/>
      <c r="W27" s="130"/>
      <c r="X27" s="131"/>
      <c r="Y27" s="130"/>
      <c r="Z27" s="131"/>
      <c r="AA27" s="130"/>
      <c r="AB27" s="131"/>
      <c r="AC27" s="130"/>
      <c r="AD27" s="131"/>
      <c r="AE27" s="130"/>
      <c r="AF27" s="131"/>
    </row>
    <row r="28" spans="1:32" x14ac:dyDescent="0.3">
      <c r="A28" s="126"/>
      <c r="B28" s="127"/>
      <c r="C28" s="127"/>
      <c r="D28" s="127"/>
      <c r="E28" s="126"/>
      <c r="F28" s="126"/>
      <c r="G28" s="126"/>
      <c r="H28" s="126"/>
      <c r="I28" s="127"/>
      <c r="J28" s="127"/>
      <c r="K28" s="127"/>
      <c r="L28" s="127"/>
      <c r="M28" s="130"/>
      <c r="N28" s="131"/>
      <c r="O28" s="130"/>
      <c r="P28" s="131"/>
      <c r="Q28" s="130"/>
      <c r="R28" s="131"/>
      <c r="S28" s="130"/>
      <c r="T28" s="131"/>
      <c r="U28" s="130"/>
      <c r="V28" s="131"/>
      <c r="W28" s="130"/>
      <c r="X28" s="131"/>
      <c r="Y28" s="130"/>
      <c r="Z28" s="131"/>
      <c r="AA28" s="130"/>
      <c r="AB28" s="131"/>
      <c r="AC28" s="130"/>
      <c r="AD28" s="131"/>
      <c r="AE28" s="130"/>
      <c r="AF28" s="131"/>
    </row>
    <row r="29" spans="1:32" x14ac:dyDescent="0.3">
      <c r="A29" s="126"/>
      <c r="B29" s="127"/>
      <c r="C29" s="127"/>
      <c r="D29" s="127"/>
      <c r="E29" s="126"/>
      <c r="F29" s="126"/>
      <c r="G29" s="126"/>
      <c r="H29" s="126"/>
      <c r="I29" s="127"/>
      <c r="J29" s="127"/>
      <c r="K29" s="127"/>
      <c r="L29" s="127"/>
      <c r="M29" s="130"/>
      <c r="N29" s="131"/>
      <c r="O29" s="130"/>
      <c r="P29" s="131"/>
      <c r="Q29" s="130"/>
      <c r="R29" s="131"/>
      <c r="S29" s="130"/>
      <c r="T29" s="131"/>
      <c r="U29" s="130"/>
      <c r="V29" s="131"/>
      <c r="W29" s="130"/>
      <c r="X29" s="131"/>
      <c r="Y29" s="130"/>
      <c r="Z29" s="131"/>
      <c r="AA29" s="130"/>
      <c r="AB29" s="131"/>
      <c r="AC29" s="130"/>
      <c r="AD29" s="131"/>
      <c r="AE29" s="130"/>
      <c r="AF29" s="131"/>
    </row>
    <row r="30" spans="1:32" x14ac:dyDescent="0.3">
      <c r="A30" s="126"/>
      <c r="B30" s="127"/>
      <c r="C30" s="127"/>
      <c r="D30" s="127"/>
      <c r="E30" s="126"/>
      <c r="F30" s="126"/>
      <c r="G30" s="126"/>
      <c r="H30" s="126"/>
      <c r="I30" s="127"/>
      <c r="J30" s="127"/>
      <c r="K30" s="127"/>
      <c r="L30" s="127"/>
      <c r="M30" s="130"/>
      <c r="N30" s="131"/>
      <c r="O30" s="130"/>
      <c r="P30" s="131"/>
      <c r="Q30" s="130"/>
      <c r="R30" s="131"/>
      <c r="S30" s="130"/>
      <c r="T30" s="131"/>
      <c r="U30" s="130"/>
      <c r="V30" s="131"/>
      <c r="W30" s="130"/>
      <c r="X30" s="131"/>
      <c r="Y30" s="130"/>
      <c r="Z30" s="131"/>
      <c r="AA30" s="130"/>
      <c r="AB30" s="131"/>
      <c r="AC30" s="130"/>
      <c r="AD30" s="131"/>
      <c r="AE30" s="130"/>
      <c r="AF30" s="131"/>
    </row>
    <row r="31" spans="1:32" x14ac:dyDescent="0.3">
      <c r="A31" s="126"/>
      <c r="B31" s="127"/>
      <c r="C31" s="127"/>
      <c r="D31" s="127"/>
      <c r="E31" s="126"/>
      <c r="F31" s="126"/>
      <c r="G31" s="126"/>
      <c r="H31" s="126"/>
      <c r="I31" s="127"/>
      <c r="J31" s="127"/>
      <c r="K31" s="127"/>
      <c r="L31" s="127"/>
      <c r="M31" s="130"/>
      <c r="N31" s="131"/>
      <c r="O31" s="130"/>
      <c r="P31" s="131"/>
      <c r="Q31" s="130"/>
      <c r="R31" s="131"/>
      <c r="S31" s="130"/>
      <c r="T31" s="131"/>
      <c r="U31" s="130"/>
      <c r="V31" s="131"/>
      <c r="W31" s="130"/>
      <c r="X31" s="131"/>
      <c r="Y31" s="130"/>
      <c r="Z31" s="131"/>
      <c r="AA31" s="130"/>
      <c r="AB31" s="131"/>
      <c r="AC31" s="130"/>
      <c r="AD31" s="131"/>
      <c r="AE31" s="130"/>
      <c r="AF31" s="131"/>
    </row>
    <row r="32" spans="1:32" x14ac:dyDescent="0.3">
      <c r="A32" s="126"/>
      <c r="B32" s="127"/>
      <c r="C32" s="127"/>
      <c r="D32" s="127"/>
      <c r="E32" s="126"/>
      <c r="F32" s="126"/>
      <c r="G32" s="126"/>
      <c r="H32" s="126"/>
      <c r="I32" s="127"/>
      <c r="J32" s="127"/>
      <c r="K32" s="127"/>
      <c r="L32" s="127"/>
      <c r="M32" s="130"/>
      <c r="N32" s="131"/>
      <c r="O32" s="130"/>
      <c r="P32" s="131"/>
      <c r="Q32" s="130"/>
      <c r="R32" s="131"/>
      <c r="S32" s="130"/>
      <c r="T32" s="131"/>
      <c r="U32" s="130"/>
      <c r="V32" s="131"/>
      <c r="W32" s="130"/>
      <c r="X32" s="131"/>
      <c r="Y32" s="130"/>
      <c r="Z32" s="131"/>
      <c r="AA32" s="130"/>
      <c r="AB32" s="131"/>
      <c r="AC32" s="130"/>
      <c r="AD32" s="131"/>
      <c r="AE32" s="130"/>
      <c r="AF32" s="131"/>
    </row>
    <row r="33" spans="1:32" x14ac:dyDescent="0.3">
      <c r="A33" s="126"/>
      <c r="B33" s="127"/>
      <c r="C33" s="127"/>
      <c r="D33" s="127"/>
      <c r="E33" s="126"/>
      <c r="F33" s="126"/>
      <c r="G33" s="126"/>
      <c r="H33" s="126"/>
      <c r="I33" s="127"/>
      <c r="J33" s="127"/>
      <c r="K33" s="127"/>
      <c r="L33" s="127"/>
      <c r="M33" s="130"/>
      <c r="N33" s="131"/>
      <c r="O33" s="130"/>
      <c r="P33" s="131"/>
      <c r="Q33" s="130"/>
      <c r="R33" s="131"/>
      <c r="S33" s="130"/>
      <c r="T33" s="131"/>
      <c r="U33" s="130"/>
      <c r="V33" s="131"/>
      <c r="W33" s="130"/>
      <c r="X33" s="131"/>
      <c r="Y33" s="130"/>
      <c r="Z33" s="131"/>
      <c r="AA33" s="130"/>
      <c r="AB33" s="131"/>
      <c r="AC33" s="130"/>
      <c r="AD33" s="131"/>
      <c r="AE33" s="130"/>
      <c r="AF33" s="131"/>
    </row>
    <row r="34" spans="1:32" x14ac:dyDescent="0.3">
      <c r="A34" s="126"/>
      <c r="B34" s="127"/>
      <c r="C34" s="127"/>
      <c r="D34" s="127"/>
      <c r="E34" s="126"/>
      <c r="F34" s="126"/>
      <c r="G34" s="126"/>
      <c r="H34" s="126"/>
      <c r="I34" s="127"/>
      <c r="J34" s="127"/>
      <c r="K34" s="127"/>
      <c r="L34" s="127"/>
      <c r="M34" s="130"/>
      <c r="N34" s="131"/>
      <c r="O34" s="130"/>
      <c r="P34" s="131"/>
      <c r="Q34" s="130"/>
      <c r="R34" s="131"/>
      <c r="S34" s="130"/>
      <c r="T34" s="131"/>
      <c r="U34" s="130"/>
      <c r="V34" s="131"/>
      <c r="W34" s="130"/>
      <c r="X34" s="131"/>
      <c r="Y34" s="130"/>
      <c r="Z34" s="131"/>
      <c r="AA34" s="130"/>
      <c r="AB34" s="131"/>
      <c r="AC34" s="130"/>
      <c r="AD34" s="131"/>
      <c r="AE34" s="130"/>
      <c r="AF34" s="131"/>
    </row>
    <row r="35" spans="1:32" x14ac:dyDescent="0.3">
      <c r="A35" s="126"/>
      <c r="B35" s="127"/>
      <c r="C35" s="127"/>
      <c r="D35" s="127"/>
      <c r="E35" s="126"/>
      <c r="F35" s="126"/>
      <c r="G35" s="126"/>
      <c r="H35" s="126"/>
      <c r="I35" s="127"/>
      <c r="J35" s="127"/>
      <c r="K35" s="127"/>
      <c r="L35" s="127"/>
      <c r="M35" s="130"/>
      <c r="N35" s="131"/>
      <c r="O35" s="130"/>
      <c r="P35" s="131"/>
      <c r="Q35" s="130"/>
      <c r="R35" s="131"/>
      <c r="S35" s="130"/>
      <c r="T35" s="131"/>
      <c r="U35" s="130"/>
      <c r="V35" s="131"/>
      <c r="W35" s="130"/>
      <c r="X35" s="131"/>
      <c r="Y35" s="130"/>
      <c r="Z35" s="131"/>
      <c r="AA35" s="130"/>
      <c r="AB35" s="131"/>
      <c r="AC35" s="130"/>
      <c r="AD35" s="131"/>
      <c r="AE35" s="130"/>
      <c r="AF35" s="131"/>
    </row>
    <row r="36" spans="1:32" x14ac:dyDescent="0.3">
      <c r="A36" s="126"/>
      <c r="B36" s="127"/>
      <c r="C36" s="127"/>
      <c r="D36" s="127"/>
      <c r="E36" s="126"/>
      <c r="F36" s="126"/>
      <c r="G36" s="126"/>
      <c r="H36" s="126"/>
      <c r="I36" s="127"/>
      <c r="J36" s="127"/>
      <c r="K36" s="127"/>
      <c r="L36" s="127"/>
      <c r="M36" s="130"/>
      <c r="N36" s="131"/>
      <c r="O36" s="130"/>
      <c r="P36" s="131"/>
      <c r="Q36" s="130"/>
      <c r="R36" s="131"/>
      <c r="S36" s="130"/>
      <c r="T36" s="131"/>
      <c r="U36" s="130"/>
      <c r="V36" s="131"/>
      <c r="W36" s="130"/>
      <c r="X36" s="131"/>
      <c r="Y36" s="130"/>
      <c r="Z36" s="131"/>
      <c r="AA36" s="130"/>
      <c r="AB36" s="131"/>
      <c r="AC36" s="130"/>
      <c r="AD36" s="131"/>
      <c r="AE36" s="130"/>
      <c r="AF36" s="131"/>
    </row>
    <row r="37" spans="1:32" x14ac:dyDescent="0.3">
      <c r="A37" s="126"/>
      <c r="B37" s="127"/>
      <c r="C37" s="127"/>
      <c r="D37" s="127"/>
      <c r="E37" s="126"/>
      <c r="F37" s="126"/>
      <c r="G37" s="126"/>
      <c r="H37" s="126"/>
      <c r="I37" s="127"/>
      <c r="J37" s="127"/>
      <c r="K37" s="127"/>
      <c r="L37" s="127"/>
      <c r="M37" s="130"/>
      <c r="N37" s="131"/>
      <c r="O37" s="130"/>
      <c r="P37" s="131"/>
      <c r="Q37" s="130"/>
      <c r="R37" s="131"/>
      <c r="S37" s="130"/>
      <c r="T37" s="131"/>
      <c r="U37" s="130"/>
      <c r="V37" s="131"/>
      <c r="W37" s="130"/>
      <c r="X37" s="131"/>
      <c r="Y37" s="130"/>
      <c r="Z37" s="131"/>
      <c r="AA37" s="130"/>
      <c r="AB37" s="131"/>
      <c r="AC37" s="130"/>
      <c r="AD37" s="131"/>
      <c r="AE37" s="130"/>
      <c r="AF37" s="131"/>
    </row>
    <row r="38" spans="1:32" x14ac:dyDescent="0.3">
      <c r="A38" s="126"/>
      <c r="B38" s="127"/>
      <c r="C38" s="127"/>
      <c r="D38" s="127"/>
      <c r="E38" s="126"/>
      <c r="F38" s="126"/>
      <c r="G38" s="126"/>
      <c r="H38" s="126"/>
      <c r="I38" s="127"/>
      <c r="J38" s="127"/>
      <c r="K38" s="127"/>
      <c r="L38" s="127"/>
      <c r="M38" s="130"/>
      <c r="N38" s="131"/>
      <c r="O38" s="130"/>
      <c r="P38" s="131"/>
      <c r="Q38" s="130"/>
      <c r="R38" s="131"/>
      <c r="S38" s="130"/>
      <c r="T38" s="131"/>
      <c r="U38" s="130"/>
      <c r="V38" s="131"/>
      <c r="W38" s="130"/>
      <c r="X38" s="131"/>
      <c r="Y38" s="130"/>
      <c r="Z38" s="131"/>
      <c r="AA38" s="130"/>
      <c r="AB38" s="131"/>
      <c r="AC38" s="130"/>
      <c r="AD38" s="131"/>
      <c r="AE38" s="130"/>
      <c r="AF38" s="131"/>
    </row>
    <row r="39" spans="1:32" x14ac:dyDescent="0.3">
      <c r="A39" s="126"/>
      <c r="B39" s="127"/>
      <c r="C39" s="127"/>
      <c r="D39" s="127"/>
      <c r="E39" s="126"/>
      <c r="F39" s="126"/>
      <c r="G39" s="126"/>
      <c r="H39" s="126"/>
      <c r="I39" s="127"/>
      <c r="J39" s="127"/>
      <c r="K39" s="127"/>
      <c r="L39" s="127"/>
      <c r="M39" s="130"/>
      <c r="N39" s="131"/>
      <c r="O39" s="130"/>
      <c r="P39" s="131"/>
      <c r="Q39" s="130"/>
      <c r="R39" s="131"/>
      <c r="S39" s="130"/>
      <c r="T39" s="131"/>
      <c r="U39" s="130"/>
      <c r="V39" s="131"/>
      <c r="W39" s="130"/>
      <c r="X39" s="131"/>
      <c r="Y39" s="130"/>
      <c r="Z39" s="131"/>
      <c r="AA39" s="130"/>
      <c r="AB39" s="131"/>
      <c r="AC39" s="130"/>
      <c r="AD39" s="131"/>
      <c r="AE39" s="130"/>
      <c r="AF39" s="131"/>
    </row>
    <row r="40" spans="1:32" x14ac:dyDescent="0.3">
      <c r="A40" s="126"/>
      <c r="B40" s="127"/>
      <c r="C40" s="127"/>
      <c r="D40" s="127"/>
      <c r="E40" s="126"/>
      <c r="F40" s="126"/>
      <c r="G40" s="126"/>
      <c r="H40" s="126"/>
      <c r="I40" s="127"/>
      <c r="J40" s="127"/>
      <c r="K40" s="127"/>
      <c r="L40" s="127"/>
      <c r="M40" s="130"/>
      <c r="N40" s="131"/>
      <c r="O40" s="130"/>
      <c r="P40" s="131"/>
      <c r="Q40" s="130"/>
      <c r="R40" s="131"/>
      <c r="S40" s="130"/>
      <c r="T40" s="131"/>
      <c r="U40" s="130"/>
      <c r="V40" s="131"/>
      <c r="W40" s="130"/>
      <c r="X40" s="131"/>
      <c r="Y40" s="130"/>
      <c r="Z40" s="131"/>
      <c r="AA40" s="130"/>
      <c r="AB40" s="131"/>
      <c r="AC40" s="130"/>
      <c r="AD40" s="131"/>
      <c r="AE40" s="130"/>
      <c r="AF40" s="131"/>
    </row>
    <row r="41" spans="1:32" x14ac:dyDescent="0.3">
      <c r="A41" s="126"/>
      <c r="B41" s="127"/>
      <c r="C41" s="127"/>
      <c r="D41" s="127"/>
      <c r="E41" s="126"/>
      <c r="F41" s="126"/>
      <c r="G41" s="126"/>
      <c r="H41" s="126"/>
      <c r="I41" s="127"/>
      <c r="J41" s="127"/>
      <c r="K41" s="127"/>
      <c r="L41" s="127"/>
      <c r="M41" s="130"/>
      <c r="N41" s="131"/>
      <c r="O41" s="130"/>
      <c r="P41" s="131"/>
      <c r="Q41" s="130"/>
      <c r="R41" s="131"/>
      <c r="S41" s="130"/>
      <c r="T41" s="131"/>
      <c r="U41" s="130"/>
      <c r="V41" s="131"/>
      <c r="W41" s="130"/>
      <c r="X41" s="131"/>
      <c r="Y41" s="130"/>
      <c r="Z41" s="131"/>
      <c r="AA41" s="130"/>
      <c r="AB41" s="131"/>
      <c r="AC41" s="130"/>
      <c r="AD41" s="131"/>
      <c r="AE41" s="130"/>
      <c r="AF41" s="131"/>
    </row>
    <row r="42" spans="1:32" x14ac:dyDescent="0.3">
      <c r="A42" s="126"/>
      <c r="B42" s="127"/>
      <c r="C42" s="127"/>
      <c r="D42" s="127"/>
      <c r="E42" s="126"/>
      <c r="F42" s="126"/>
      <c r="G42" s="126"/>
      <c r="H42" s="126"/>
      <c r="I42" s="127"/>
      <c r="J42" s="127"/>
      <c r="K42" s="127"/>
      <c r="L42" s="127"/>
      <c r="M42" s="130"/>
      <c r="N42" s="131"/>
      <c r="O42" s="130"/>
      <c r="P42" s="131"/>
      <c r="Q42" s="130"/>
      <c r="R42" s="131"/>
      <c r="S42" s="130"/>
      <c r="T42" s="131"/>
      <c r="U42" s="130"/>
      <c r="V42" s="131"/>
      <c r="W42" s="130"/>
      <c r="X42" s="131"/>
      <c r="Y42" s="130"/>
      <c r="Z42" s="131"/>
      <c r="AA42" s="130"/>
      <c r="AB42" s="131"/>
      <c r="AC42" s="130"/>
      <c r="AD42" s="131"/>
      <c r="AE42" s="130"/>
      <c r="AF42" s="131"/>
    </row>
    <row r="43" spans="1:32" x14ac:dyDescent="0.3">
      <c r="A43" s="126"/>
      <c r="B43" s="127"/>
      <c r="C43" s="127"/>
      <c r="D43" s="127"/>
      <c r="E43" s="126"/>
      <c r="F43" s="126"/>
      <c r="G43" s="126"/>
      <c r="H43" s="126"/>
      <c r="I43" s="127"/>
      <c r="J43" s="127"/>
      <c r="K43" s="127"/>
      <c r="L43" s="127"/>
      <c r="M43" s="130"/>
      <c r="N43" s="131"/>
      <c r="O43" s="130"/>
      <c r="P43" s="131"/>
      <c r="Q43" s="130"/>
      <c r="R43" s="131"/>
      <c r="S43" s="130"/>
      <c r="T43" s="131"/>
      <c r="U43" s="130"/>
      <c r="V43" s="131"/>
      <c r="W43" s="130"/>
      <c r="X43" s="131"/>
      <c r="Y43" s="130"/>
      <c r="Z43" s="131"/>
      <c r="AA43" s="130"/>
      <c r="AB43" s="131"/>
      <c r="AC43" s="130"/>
      <c r="AD43" s="131"/>
      <c r="AE43" s="130"/>
      <c r="AF43" s="131"/>
    </row>
    <row r="44" spans="1:32" x14ac:dyDescent="0.3">
      <c r="A44" s="126"/>
      <c r="B44" s="127"/>
      <c r="C44" s="127"/>
      <c r="D44" s="127"/>
      <c r="E44" s="126"/>
      <c r="F44" s="126"/>
      <c r="G44" s="126"/>
      <c r="H44" s="126"/>
      <c r="I44" s="127"/>
      <c r="J44" s="127"/>
      <c r="K44" s="127"/>
      <c r="L44" s="127"/>
      <c r="M44" s="130"/>
      <c r="N44" s="131"/>
      <c r="O44" s="130"/>
      <c r="P44" s="131"/>
      <c r="Q44" s="130"/>
      <c r="R44" s="131"/>
      <c r="S44" s="130"/>
      <c r="T44" s="131"/>
      <c r="U44" s="130"/>
      <c r="V44" s="131"/>
      <c r="W44" s="130"/>
      <c r="X44" s="131"/>
      <c r="Y44" s="130"/>
      <c r="Z44" s="131"/>
      <c r="AA44" s="130"/>
      <c r="AB44" s="131"/>
      <c r="AC44" s="130"/>
      <c r="AD44" s="131"/>
      <c r="AE44" s="130"/>
      <c r="AF44" s="131"/>
    </row>
    <row r="45" spans="1:32" x14ac:dyDescent="0.3">
      <c r="A45" s="126"/>
      <c r="B45" s="127"/>
      <c r="C45" s="127"/>
      <c r="D45" s="127"/>
      <c r="E45" s="126"/>
      <c r="F45" s="126"/>
      <c r="G45" s="126"/>
      <c r="H45" s="126"/>
      <c r="I45" s="127"/>
      <c r="J45" s="127"/>
      <c r="K45" s="127"/>
      <c r="L45" s="127"/>
      <c r="M45" s="130"/>
      <c r="N45" s="131"/>
      <c r="O45" s="130"/>
      <c r="P45" s="131"/>
      <c r="Q45" s="130"/>
      <c r="R45" s="131"/>
      <c r="S45" s="130"/>
      <c r="T45" s="131"/>
      <c r="U45" s="130"/>
      <c r="V45" s="131"/>
      <c r="W45" s="130"/>
      <c r="X45" s="131"/>
      <c r="Y45" s="130"/>
      <c r="Z45" s="131"/>
      <c r="AA45" s="130"/>
      <c r="AB45" s="131"/>
      <c r="AC45" s="130"/>
      <c r="AD45" s="131"/>
      <c r="AE45" s="130"/>
      <c r="AF45" s="131"/>
    </row>
    <row r="46" spans="1:32" x14ac:dyDescent="0.3">
      <c r="A46" s="126"/>
      <c r="B46" s="127"/>
      <c r="C46" s="127"/>
      <c r="D46" s="127"/>
      <c r="E46" s="126"/>
      <c r="F46" s="126"/>
      <c r="G46" s="126"/>
      <c r="H46" s="126"/>
      <c r="I46" s="127"/>
      <c r="J46" s="127"/>
      <c r="K46" s="127"/>
      <c r="L46" s="127"/>
      <c r="M46" s="130"/>
      <c r="N46" s="131"/>
      <c r="O46" s="130"/>
      <c r="P46" s="131"/>
      <c r="Q46" s="130"/>
      <c r="R46" s="131"/>
      <c r="S46" s="130"/>
      <c r="T46" s="131"/>
      <c r="U46" s="130"/>
      <c r="V46" s="131"/>
      <c r="W46" s="130"/>
      <c r="X46" s="131"/>
      <c r="Y46" s="130"/>
      <c r="Z46" s="131"/>
      <c r="AA46" s="130"/>
      <c r="AB46" s="131"/>
      <c r="AC46" s="130"/>
      <c r="AD46" s="131"/>
      <c r="AE46" s="130"/>
      <c r="AF46" s="131"/>
    </row>
    <row r="47" spans="1:32" x14ac:dyDescent="0.3">
      <c r="A47" s="126"/>
      <c r="B47" s="127"/>
      <c r="C47" s="127"/>
      <c r="D47" s="127"/>
      <c r="E47" s="126"/>
      <c r="F47" s="126"/>
      <c r="G47" s="126"/>
      <c r="H47" s="126"/>
      <c r="I47" s="127"/>
      <c r="J47" s="127"/>
      <c r="K47" s="127"/>
      <c r="L47" s="127"/>
      <c r="M47" s="130"/>
      <c r="N47" s="131"/>
      <c r="O47" s="130"/>
      <c r="P47" s="131"/>
      <c r="Q47" s="130"/>
      <c r="R47" s="131"/>
      <c r="S47" s="130"/>
      <c r="T47" s="131"/>
      <c r="U47" s="130"/>
      <c r="V47" s="131"/>
      <c r="W47" s="130"/>
      <c r="X47" s="131"/>
      <c r="Y47" s="130"/>
      <c r="Z47" s="131"/>
      <c r="AA47" s="130"/>
      <c r="AB47" s="131"/>
      <c r="AC47" s="130"/>
      <c r="AD47" s="131"/>
      <c r="AE47" s="130"/>
      <c r="AF47" s="131"/>
    </row>
    <row r="48" spans="1:32" x14ac:dyDescent="0.3">
      <c r="A48" s="126"/>
      <c r="B48" s="127"/>
      <c r="C48" s="127"/>
      <c r="D48" s="127"/>
      <c r="E48" s="126"/>
      <c r="F48" s="126"/>
      <c r="G48" s="126"/>
      <c r="H48" s="126"/>
      <c r="I48" s="127"/>
      <c r="J48" s="127"/>
      <c r="K48" s="127"/>
      <c r="L48" s="127"/>
      <c r="M48" s="130"/>
      <c r="N48" s="131"/>
      <c r="O48" s="130"/>
      <c r="P48" s="131"/>
      <c r="Q48" s="130"/>
      <c r="R48" s="131"/>
      <c r="S48" s="130"/>
      <c r="T48" s="131"/>
      <c r="U48" s="130"/>
      <c r="V48" s="131"/>
      <c r="W48" s="130"/>
      <c r="X48" s="131"/>
      <c r="Y48" s="130"/>
      <c r="Z48" s="131"/>
      <c r="AA48" s="130"/>
      <c r="AB48" s="131"/>
      <c r="AC48" s="130"/>
      <c r="AD48" s="131"/>
      <c r="AE48" s="130"/>
      <c r="AF48" s="131"/>
    </row>
    <row r="49" spans="1:32" x14ac:dyDescent="0.3">
      <c r="A49" s="126"/>
      <c r="B49" s="127"/>
      <c r="C49" s="127"/>
      <c r="D49" s="127"/>
      <c r="E49" s="126"/>
      <c r="F49" s="126"/>
      <c r="G49" s="126"/>
      <c r="H49" s="126"/>
      <c r="I49" s="127"/>
      <c r="J49" s="127"/>
      <c r="K49" s="127"/>
      <c r="L49" s="127"/>
      <c r="M49" s="130"/>
      <c r="N49" s="131"/>
      <c r="O49" s="130"/>
      <c r="P49" s="131"/>
      <c r="Q49" s="130"/>
      <c r="R49" s="131"/>
      <c r="S49" s="130"/>
      <c r="T49" s="131"/>
      <c r="U49" s="130"/>
      <c r="V49" s="131"/>
      <c r="W49" s="130"/>
      <c r="X49" s="131"/>
      <c r="Y49" s="130"/>
      <c r="Z49" s="131"/>
      <c r="AA49" s="130"/>
      <c r="AB49" s="131"/>
      <c r="AC49" s="130"/>
      <c r="AD49" s="131"/>
      <c r="AE49" s="130"/>
      <c r="AF49" s="131"/>
    </row>
    <row r="50" spans="1:32" x14ac:dyDescent="0.3">
      <c r="A50" s="126"/>
      <c r="B50" s="127"/>
      <c r="C50" s="127"/>
      <c r="D50" s="127"/>
      <c r="E50" s="126"/>
      <c r="F50" s="126"/>
      <c r="G50" s="126"/>
      <c r="H50" s="126"/>
      <c r="I50" s="127"/>
      <c r="J50" s="127"/>
      <c r="K50" s="127"/>
      <c r="L50" s="127"/>
      <c r="M50" s="130"/>
      <c r="N50" s="131"/>
      <c r="O50" s="130"/>
      <c r="P50" s="131"/>
      <c r="Q50" s="130"/>
      <c r="R50" s="131"/>
      <c r="S50" s="130"/>
      <c r="T50" s="131"/>
      <c r="U50" s="130"/>
      <c r="V50" s="131"/>
      <c r="W50" s="130"/>
      <c r="X50" s="131"/>
      <c r="Y50" s="130"/>
      <c r="Z50" s="131"/>
      <c r="AA50" s="130"/>
      <c r="AB50" s="131"/>
      <c r="AC50" s="130"/>
      <c r="AD50" s="131"/>
      <c r="AE50" s="130"/>
      <c r="AF50" s="131"/>
    </row>
    <row r="51" spans="1:32" x14ac:dyDescent="0.3">
      <c r="A51" s="126"/>
      <c r="B51" s="127"/>
      <c r="C51" s="127"/>
      <c r="D51" s="127"/>
      <c r="E51" s="126"/>
      <c r="F51" s="126"/>
      <c r="G51" s="126"/>
      <c r="H51" s="126"/>
      <c r="I51" s="127"/>
      <c r="J51" s="127"/>
      <c r="K51" s="127"/>
      <c r="L51" s="127"/>
      <c r="M51" s="130"/>
      <c r="N51" s="131"/>
      <c r="O51" s="130"/>
      <c r="P51" s="131"/>
      <c r="Q51" s="130"/>
      <c r="R51" s="131"/>
      <c r="S51" s="130"/>
      <c r="T51" s="131"/>
      <c r="U51" s="130"/>
      <c r="V51" s="131"/>
      <c r="W51" s="130"/>
      <c r="X51" s="131"/>
      <c r="Y51" s="130"/>
      <c r="Z51" s="131"/>
      <c r="AA51" s="130"/>
      <c r="AB51" s="131"/>
      <c r="AC51" s="130"/>
      <c r="AD51" s="131"/>
      <c r="AE51" s="130"/>
      <c r="AF51" s="131"/>
    </row>
    <row r="52" spans="1:32" x14ac:dyDescent="0.3">
      <c r="A52" s="126"/>
      <c r="B52" s="127"/>
      <c r="C52" s="127"/>
      <c r="D52" s="127"/>
      <c r="E52" s="126"/>
      <c r="F52" s="126"/>
      <c r="G52" s="126"/>
      <c r="H52" s="126"/>
      <c r="I52" s="127"/>
      <c r="J52" s="127"/>
      <c r="K52" s="127"/>
      <c r="L52" s="127"/>
      <c r="M52" s="130"/>
      <c r="N52" s="131"/>
      <c r="O52" s="130"/>
      <c r="P52" s="131"/>
      <c r="Q52" s="130"/>
      <c r="R52" s="131"/>
      <c r="S52" s="130"/>
      <c r="T52" s="131"/>
      <c r="U52" s="130"/>
      <c r="V52" s="131"/>
      <c r="W52" s="130"/>
      <c r="X52" s="131"/>
      <c r="Y52" s="130"/>
      <c r="Z52" s="131"/>
      <c r="AA52" s="130"/>
      <c r="AB52" s="131"/>
      <c r="AC52" s="130"/>
      <c r="AD52" s="131"/>
      <c r="AE52" s="130"/>
      <c r="AF52" s="131"/>
    </row>
    <row r="53" spans="1:32" x14ac:dyDescent="0.3">
      <c r="A53" s="126"/>
      <c r="B53" s="127"/>
      <c r="C53" s="127"/>
      <c r="D53" s="127"/>
      <c r="E53" s="126"/>
      <c r="F53" s="126"/>
      <c r="G53" s="126"/>
      <c r="H53" s="126"/>
      <c r="I53" s="127"/>
      <c r="J53" s="127"/>
      <c r="K53" s="127"/>
      <c r="L53" s="127"/>
      <c r="M53" s="130"/>
      <c r="N53" s="131"/>
      <c r="O53" s="130"/>
      <c r="P53" s="131"/>
      <c r="Q53" s="130"/>
      <c r="R53" s="131"/>
      <c r="S53" s="130"/>
      <c r="T53" s="131"/>
      <c r="U53" s="130"/>
      <c r="V53" s="131"/>
      <c r="W53" s="130"/>
      <c r="X53" s="131"/>
      <c r="Y53" s="130"/>
      <c r="Z53" s="131"/>
      <c r="AA53" s="130"/>
      <c r="AB53" s="131"/>
      <c r="AC53" s="130"/>
      <c r="AD53" s="131"/>
      <c r="AE53" s="130"/>
      <c r="AF53" s="131"/>
    </row>
    <row r="54" spans="1:32" x14ac:dyDescent="0.3">
      <c r="A54" s="126"/>
      <c r="B54" s="127"/>
      <c r="C54" s="127"/>
      <c r="D54" s="127"/>
      <c r="E54" s="126"/>
      <c r="F54" s="126"/>
      <c r="G54" s="126"/>
      <c r="H54" s="126"/>
      <c r="I54" s="127"/>
      <c r="J54" s="127"/>
      <c r="K54" s="127"/>
      <c r="L54" s="127"/>
      <c r="M54" s="130"/>
      <c r="N54" s="131"/>
      <c r="O54" s="130"/>
      <c r="P54" s="131"/>
      <c r="Q54" s="130"/>
      <c r="R54" s="131"/>
      <c r="S54" s="130"/>
      <c r="T54" s="131"/>
      <c r="U54" s="130"/>
      <c r="V54" s="131"/>
      <c r="W54" s="130"/>
      <c r="X54" s="131"/>
      <c r="Y54" s="130"/>
      <c r="Z54" s="131"/>
      <c r="AA54" s="130"/>
      <c r="AB54" s="131"/>
      <c r="AC54" s="130"/>
      <c r="AD54" s="131"/>
      <c r="AE54" s="130"/>
      <c r="AF54" s="131"/>
    </row>
    <row r="55" spans="1:32" x14ac:dyDescent="0.3">
      <c r="A55" s="126"/>
      <c r="B55" s="127"/>
      <c r="C55" s="127"/>
      <c r="D55" s="127"/>
      <c r="E55" s="126"/>
      <c r="F55" s="126"/>
      <c r="G55" s="126"/>
      <c r="H55" s="126"/>
      <c r="I55" s="127"/>
      <c r="J55" s="127"/>
      <c r="K55" s="127"/>
      <c r="L55" s="127"/>
      <c r="M55" s="130"/>
      <c r="N55" s="131"/>
      <c r="O55" s="130"/>
      <c r="P55" s="131"/>
      <c r="Q55" s="130"/>
      <c r="R55" s="131"/>
      <c r="S55" s="130"/>
      <c r="T55" s="131"/>
      <c r="U55" s="130"/>
      <c r="V55" s="131"/>
      <c r="W55" s="130"/>
      <c r="X55" s="131"/>
      <c r="Y55" s="130"/>
      <c r="Z55" s="131"/>
      <c r="AA55" s="130"/>
      <c r="AB55" s="131"/>
      <c r="AC55" s="130"/>
      <c r="AD55" s="131"/>
      <c r="AE55" s="130"/>
      <c r="AF55" s="131"/>
    </row>
    <row r="56" spans="1:32" x14ac:dyDescent="0.3">
      <c r="A56" s="126"/>
      <c r="B56" s="127"/>
      <c r="C56" s="127"/>
      <c r="D56" s="127"/>
      <c r="E56" s="126"/>
      <c r="F56" s="126"/>
      <c r="G56" s="126"/>
      <c r="H56" s="126"/>
      <c r="I56" s="127"/>
      <c r="J56" s="127"/>
      <c r="K56" s="127"/>
      <c r="L56" s="127"/>
      <c r="M56" s="130"/>
      <c r="N56" s="131"/>
      <c r="O56" s="130"/>
      <c r="P56" s="131"/>
      <c r="Q56" s="130"/>
      <c r="R56" s="131"/>
      <c r="S56" s="130"/>
      <c r="T56" s="131"/>
      <c r="U56" s="130"/>
      <c r="V56" s="131"/>
      <c r="W56" s="130"/>
      <c r="X56" s="131"/>
      <c r="Y56" s="130"/>
      <c r="Z56" s="131"/>
      <c r="AA56" s="130"/>
      <c r="AB56" s="131"/>
      <c r="AC56" s="130"/>
      <c r="AD56" s="131"/>
      <c r="AE56" s="130"/>
      <c r="AF56" s="131"/>
    </row>
    <row r="57" spans="1:32" x14ac:dyDescent="0.3">
      <c r="A57" s="126"/>
      <c r="B57" s="127"/>
      <c r="C57" s="127"/>
      <c r="D57" s="127"/>
      <c r="E57" s="126"/>
      <c r="F57" s="126"/>
      <c r="G57" s="126"/>
      <c r="H57" s="126"/>
      <c r="I57" s="127"/>
      <c r="J57" s="127"/>
      <c r="K57" s="127"/>
      <c r="L57" s="127"/>
      <c r="M57" s="130"/>
      <c r="N57" s="131"/>
      <c r="O57" s="130"/>
      <c r="P57" s="131"/>
      <c r="Q57" s="130"/>
      <c r="R57" s="131"/>
      <c r="S57" s="130"/>
      <c r="T57" s="131"/>
      <c r="U57" s="130"/>
      <c r="V57" s="131"/>
      <c r="W57" s="130"/>
      <c r="X57" s="131"/>
      <c r="Y57" s="130"/>
      <c r="Z57" s="131"/>
      <c r="AA57" s="130"/>
      <c r="AB57" s="131"/>
      <c r="AC57" s="130"/>
      <c r="AD57" s="131"/>
      <c r="AE57" s="130"/>
      <c r="AF57" s="131"/>
    </row>
    <row r="58" spans="1:32" x14ac:dyDescent="0.3">
      <c r="A58" s="126"/>
      <c r="B58" s="127"/>
      <c r="C58" s="127"/>
      <c r="D58" s="127"/>
      <c r="E58" s="126"/>
      <c r="F58" s="126"/>
      <c r="G58" s="126"/>
      <c r="H58" s="126"/>
      <c r="I58" s="127"/>
      <c r="J58" s="127"/>
      <c r="K58" s="127"/>
      <c r="L58" s="127"/>
      <c r="M58" s="130"/>
      <c r="N58" s="131"/>
      <c r="O58" s="130"/>
      <c r="P58" s="131"/>
      <c r="Q58" s="130"/>
      <c r="R58" s="131"/>
      <c r="S58" s="130"/>
      <c r="T58" s="131"/>
      <c r="U58" s="130"/>
      <c r="V58" s="131"/>
      <c r="W58" s="130"/>
      <c r="X58" s="131"/>
      <c r="Y58" s="130"/>
      <c r="Z58" s="131"/>
      <c r="AA58" s="130"/>
      <c r="AB58" s="131"/>
      <c r="AC58" s="130"/>
      <c r="AD58" s="131"/>
      <c r="AE58" s="130"/>
      <c r="AF58" s="131"/>
    </row>
    <row r="59" spans="1:32" x14ac:dyDescent="0.3">
      <c r="A59" s="126"/>
      <c r="B59" s="127"/>
      <c r="C59" s="127"/>
      <c r="D59" s="127"/>
      <c r="E59" s="126"/>
      <c r="F59" s="126"/>
      <c r="G59" s="126"/>
      <c r="H59" s="126"/>
      <c r="I59" s="127"/>
      <c r="J59" s="127"/>
      <c r="K59" s="127"/>
      <c r="L59" s="127"/>
      <c r="M59" s="130"/>
      <c r="N59" s="131"/>
      <c r="O59" s="130"/>
      <c r="P59" s="131"/>
      <c r="Q59" s="130"/>
      <c r="R59" s="131"/>
      <c r="S59" s="130"/>
      <c r="T59" s="131"/>
      <c r="U59" s="130"/>
      <c r="V59" s="131"/>
      <c r="W59" s="130"/>
      <c r="X59" s="131"/>
      <c r="Y59" s="130"/>
      <c r="Z59" s="131"/>
      <c r="AA59" s="130"/>
      <c r="AB59" s="131"/>
      <c r="AC59" s="130"/>
      <c r="AD59" s="131"/>
      <c r="AE59" s="130"/>
      <c r="AF59" s="131"/>
    </row>
    <row r="60" spans="1:32" x14ac:dyDescent="0.3">
      <c r="A60" s="126"/>
      <c r="B60" s="127"/>
      <c r="C60" s="127"/>
      <c r="D60" s="127"/>
      <c r="E60" s="126"/>
      <c r="F60" s="126"/>
      <c r="G60" s="126"/>
      <c r="H60" s="126"/>
      <c r="I60" s="127"/>
      <c r="J60" s="127"/>
      <c r="K60" s="127"/>
      <c r="L60" s="127"/>
      <c r="M60" s="130"/>
      <c r="N60" s="131"/>
      <c r="O60" s="130"/>
      <c r="P60" s="131"/>
      <c r="Q60" s="130"/>
      <c r="R60" s="131"/>
      <c r="S60" s="130"/>
      <c r="T60" s="131"/>
      <c r="U60" s="130"/>
      <c r="V60" s="131"/>
      <c r="W60" s="130"/>
      <c r="X60" s="131"/>
      <c r="Y60" s="130"/>
      <c r="Z60" s="131"/>
      <c r="AA60" s="130"/>
      <c r="AB60" s="131"/>
      <c r="AC60" s="130"/>
      <c r="AD60" s="131"/>
      <c r="AE60" s="130"/>
      <c r="AF60" s="131"/>
    </row>
    <row r="61" spans="1:32" x14ac:dyDescent="0.3">
      <c r="A61" s="126"/>
      <c r="B61" s="127"/>
      <c r="C61" s="127"/>
      <c r="D61" s="127"/>
      <c r="E61" s="126"/>
      <c r="F61" s="126"/>
      <c r="G61" s="126"/>
      <c r="H61" s="126"/>
      <c r="I61" s="127"/>
      <c r="J61" s="127"/>
      <c r="K61" s="127"/>
      <c r="L61" s="127"/>
      <c r="M61" s="130"/>
      <c r="N61" s="131"/>
      <c r="O61" s="130"/>
      <c r="P61" s="131"/>
      <c r="Q61" s="130"/>
      <c r="R61" s="131"/>
      <c r="S61" s="130"/>
      <c r="T61" s="131"/>
      <c r="U61" s="130"/>
      <c r="V61" s="131"/>
      <c r="W61" s="130"/>
      <c r="X61" s="131"/>
      <c r="Y61" s="130"/>
      <c r="Z61" s="131"/>
      <c r="AA61" s="130"/>
      <c r="AB61" s="131"/>
      <c r="AC61" s="130"/>
      <c r="AD61" s="131"/>
      <c r="AE61" s="130"/>
      <c r="AF61" s="131"/>
    </row>
    <row r="62" spans="1:32" x14ac:dyDescent="0.3">
      <c r="A62" s="126"/>
      <c r="B62" s="127"/>
      <c r="C62" s="127"/>
      <c r="D62" s="127"/>
      <c r="E62" s="126"/>
      <c r="F62" s="126"/>
      <c r="G62" s="126"/>
      <c r="H62" s="126"/>
      <c r="I62" s="127"/>
      <c r="J62" s="127"/>
      <c r="K62" s="127"/>
      <c r="L62" s="127"/>
      <c r="M62" s="130"/>
      <c r="N62" s="131"/>
      <c r="O62" s="130"/>
      <c r="P62" s="131"/>
      <c r="Q62" s="130"/>
      <c r="R62" s="131"/>
      <c r="S62" s="130"/>
      <c r="T62" s="131"/>
      <c r="U62" s="130"/>
      <c r="V62" s="131"/>
      <c r="W62" s="130"/>
      <c r="X62" s="131"/>
      <c r="Y62" s="130"/>
      <c r="Z62" s="131"/>
      <c r="AA62" s="130"/>
      <c r="AB62" s="131"/>
      <c r="AC62" s="130"/>
      <c r="AD62" s="131"/>
      <c r="AE62" s="130"/>
      <c r="AF62" s="131"/>
    </row>
    <row r="63" spans="1:32" x14ac:dyDescent="0.3">
      <c r="A63" s="126"/>
      <c r="B63" s="127"/>
      <c r="C63" s="127"/>
      <c r="D63" s="127"/>
      <c r="E63" s="126"/>
      <c r="F63" s="126"/>
      <c r="G63" s="126"/>
      <c r="H63" s="126"/>
      <c r="I63" s="127"/>
      <c r="J63" s="127"/>
      <c r="K63" s="127"/>
      <c r="L63" s="127"/>
      <c r="M63" s="130"/>
      <c r="N63" s="131"/>
      <c r="O63" s="130"/>
      <c r="P63" s="131"/>
      <c r="Q63" s="130"/>
      <c r="R63" s="131"/>
      <c r="S63" s="130"/>
      <c r="T63" s="131"/>
      <c r="U63" s="130"/>
      <c r="V63" s="131"/>
      <c r="W63" s="130"/>
      <c r="X63" s="131"/>
      <c r="Y63" s="130"/>
      <c r="Z63" s="131"/>
      <c r="AA63" s="130"/>
      <c r="AB63" s="131"/>
      <c r="AC63" s="130"/>
      <c r="AD63" s="131"/>
      <c r="AE63" s="130"/>
      <c r="AF63" s="131"/>
    </row>
    <row r="64" spans="1:32" x14ac:dyDescent="0.3">
      <c r="A64" s="126"/>
      <c r="B64" s="127"/>
      <c r="C64" s="127"/>
      <c r="D64" s="127"/>
      <c r="E64" s="126"/>
      <c r="F64" s="126"/>
      <c r="G64" s="126"/>
      <c r="H64" s="126"/>
      <c r="I64" s="127"/>
      <c r="J64" s="127"/>
      <c r="K64" s="127"/>
      <c r="L64" s="127"/>
      <c r="M64" s="130"/>
      <c r="N64" s="131"/>
      <c r="O64" s="130"/>
      <c r="P64" s="131"/>
      <c r="Q64" s="130"/>
      <c r="R64" s="131"/>
      <c r="S64" s="130"/>
      <c r="T64" s="131"/>
      <c r="U64" s="130"/>
      <c r="V64" s="131"/>
      <c r="W64" s="130"/>
      <c r="X64" s="131"/>
      <c r="Y64" s="130"/>
      <c r="Z64" s="131"/>
      <c r="AA64" s="130"/>
      <c r="AB64" s="131"/>
      <c r="AC64" s="130"/>
      <c r="AD64" s="131"/>
      <c r="AE64" s="130"/>
      <c r="AF64" s="131"/>
    </row>
    <row r="65" spans="1:32" x14ac:dyDescent="0.3">
      <c r="A65" s="126"/>
      <c r="B65" s="127"/>
      <c r="C65" s="127"/>
      <c r="D65" s="127"/>
      <c r="E65" s="126"/>
      <c r="F65" s="126"/>
      <c r="G65" s="126"/>
      <c r="H65" s="126"/>
      <c r="I65" s="127"/>
      <c r="J65" s="127"/>
      <c r="K65" s="127"/>
      <c r="L65" s="127"/>
      <c r="M65" s="130"/>
      <c r="N65" s="131"/>
      <c r="O65" s="130"/>
      <c r="P65" s="131"/>
      <c r="Q65" s="130"/>
      <c r="R65" s="131"/>
      <c r="S65" s="130"/>
      <c r="T65" s="131"/>
      <c r="U65" s="130"/>
      <c r="V65" s="131"/>
      <c r="W65" s="130"/>
      <c r="X65" s="131"/>
      <c r="Y65" s="130"/>
      <c r="Z65" s="131"/>
      <c r="AA65" s="130"/>
      <c r="AB65" s="131"/>
      <c r="AC65" s="130"/>
      <c r="AD65" s="131"/>
      <c r="AE65" s="130"/>
      <c r="AF65" s="131"/>
    </row>
    <row r="66" spans="1:32" x14ac:dyDescent="0.3">
      <c r="A66" s="126"/>
      <c r="B66" s="127"/>
      <c r="C66" s="127"/>
      <c r="D66" s="127"/>
      <c r="E66" s="126"/>
      <c r="F66" s="126"/>
      <c r="G66" s="126"/>
      <c r="H66" s="126"/>
      <c r="I66" s="127"/>
      <c r="J66" s="127"/>
      <c r="K66" s="127"/>
      <c r="L66" s="127"/>
      <c r="M66" s="130"/>
      <c r="N66" s="131"/>
      <c r="O66" s="130"/>
      <c r="P66" s="131"/>
      <c r="Q66" s="130"/>
      <c r="R66" s="131"/>
      <c r="S66" s="130"/>
      <c r="T66" s="131"/>
      <c r="U66" s="130"/>
      <c r="V66" s="131"/>
      <c r="W66" s="130"/>
      <c r="X66" s="131"/>
      <c r="Y66" s="130"/>
      <c r="Z66" s="131"/>
      <c r="AA66" s="130"/>
      <c r="AB66" s="131"/>
      <c r="AC66" s="130"/>
      <c r="AD66" s="131"/>
      <c r="AE66" s="130"/>
      <c r="AF66" s="131"/>
    </row>
    <row r="67" spans="1:32" x14ac:dyDescent="0.3">
      <c r="A67" s="126"/>
      <c r="B67" s="127"/>
      <c r="C67" s="127"/>
      <c r="D67" s="127"/>
      <c r="E67" s="126"/>
      <c r="F67" s="126"/>
      <c r="G67" s="126"/>
      <c r="H67" s="126"/>
      <c r="I67" s="127"/>
      <c r="J67" s="127"/>
      <c r="K67" s="127"/>
      <c r="L67" s="127"/>
      <c r="M67" s="130"/>
      <c r="N67" s="131"/>
      <c r="O67" s="130"/>
      <c r="P67" s="131"/>
      <c r="Q67" s="130"/>
      <c r="R67" s="131"/>
      <c r="S67" s="130"/>
      <c r="T67" s="131"/>
      <c r="U67" s="130"/>
      <c r="V67" s="131"/>
      <c r="W67" s="130"/>
      <c r="X67" s="131"/>
      <c r="Y67" s="130"/>
      <c r="Z67" s="131"/>
      <c r="AA67" s="130"/>
      <c r="AB67" s="131"/>
      <c r="AC67" s="130"/>
      <c r="AD67" s="131"/>
      <c r="AE67" s="130"/>
      <c r="AF67" s="131"/>
    </row>
    <row r="68" spans="1:32" x14ac:dyDescent="0.3">
      <c r="A68" s="126"/>
      <c r="B68" s="127"/>
      <c r="C68" s="127"/>
      <c r="D68" s="127"/>
      <c r="E68" s="126"/>
      <c r="F68" s="126"/>
      <c r="G68" s="126"/>
      <c r="H68" s="126"/>
      <c r="I68" s="127"/>
      <c r="J68" s="127"/>
      <c r="K68" s="127"/>
      <c r="L68" s="127"/>
      <c r="M68" s="130"/>
      <c r="N68" s="131"/>
      <c r="O68" s="130"/>
      <c r="P68" s="131"/>
      <c r="Q68" s="130"/>
      <c r="R68" s="131"/>
      <c r="S68" s="130"/>
      <c r="T68" s="131"/>
      <c r="U68" s="130"/>
      <c r="V68" s="131"/>
      <c r="W68" s="130"/>
      <c r="X68" s="131"/>
      <c r="Y68" s="130"/>
      <c r="Z68" s="131"/>
      <c r="AA68" s="130"/>
      <c r="AB68" s="131"/>
      <c r="AC68" s="130"/>
      <c r="AD68" s="131"/>
      <c r="AE68" s="130"/>
      <c r="AF68" s="131"/>
    </row>
    <row r="69" spans="1:32" x14ac:dyDescent="0.3">
      <c r="A69" s="126"/>
      <c r="B69" s="127"/>
      <c r="C69" s="127"/>
      <c r="D69" s="127"/>
      <c r="E69" s="126"/>
      <c r="F69" s="126"/>
      <c r="G69" s="126"/>
      <c r="H69" s="126"/>
      <c r="I69" s="127"/>
      <c r="J69" s="127"/>
      <c r="K69" s="127"/>
      <c r="L69" s="127"/>
      <c r="M69" s="130"/>
      <c r="N69" s="131"/>
      <c r="O69" s="130"/>
      <c r="P69" s="131"/>
      <c r="Q69" s="130"/>
      <c r="R69" s="131"/>
      <c r="S69" s="130"/>
      <c r="T69" s="131"/>
      <c r="U69" s="130"/>
      <c r="V69" s="131"/>
      <c r="W69" s="130"/>
      <c r="X69" s="131"/>
      <c r="Y69" s="130"/>
      <c r="Z69" s="131"/>
      <c r="AA69" s="130"/>
      <c r="AB69" s="131"/>
      <c r="AC69" s="130"/>
      <c r="AD69" s="131"/>
      <c r="AE69" s="130"/>
      <c r="AF69" s="131"/>
    </row>
    <row r="70" spans="1:32" x14ac:dyDescent="0.3">
      <c r="A70" s="126"/>
      <c r="B70" s="127"/>
      <c r="C70" s="127"/>
      <c r="D70" s="127"/>
      <c r="E70" s="126"/>
      <c r="F70" s="126"/>
      <c r="G70" s="126"/>
      <c r="H70" s="126"/>
      <c r="I70" s="127"/>
      <c r="J70" s="127"/>
      <c r="K70" s="127"/>
      <c r="L70" s="127"/>
      <c r="M70" s="130"/>
      <c r="N70" s="131"/>
      <c r="O70" s="130"/>
      <c r="P70" s="131"/>
      <c r="Q70" s="130"/>
      <c r="R70" s="131"/>
      <c r="S70" s="130"/>
      <c r="T70" s="131"/>
      <c r="U70" s="130"/>
      <c r="V70" s="131"/>
      <c r="W70" s="130"/>
      <c r="X70" s="131"/>
      <c r="Y70" s="130"/>
      <c r="Z70" s="131"/>
      <c r="AA70" s="130"/>
      <c r="AB70" s="131"/>
      <c r="AC70" s="130"/>
      <c r="AD70" s="131"/>
      <c r="AE70" s="130"/>
      <c r="AF70" s="131"/>
    </row>
    <row r="71" spans="1:32" x14ac:dyDescent="0.3">
      <c r="A71" s="126"/>
      <c r="B71" s="127"/>
      <c r="C71" s="127"/>
      <c r="D71" s="127"/>
      <c r="E71" s="126"/>
      <c r="F71" s="126"/>
      <c r="G71" s="126"/>
      <c r="H71" s="126"/>
      <c r="I71" s="127"/>
      <c r="J71" s="127"/>
      <c r="K71" s="127"/>
      <c r="L71" s="127"/>
      <c r="M71" s="130"/>
      <c r="N71" s="131"/>
      <c r="O71" s="130"/>
      <c r="P71" s="131"/>
      <c r="Q71" s="130"/>
      <c r="R71" s="131"/>
      <c r="S71" s="130"/>
      <c r="T71" s="131"/>
      <c r="U71" s="130"/>
      <c r="V71" s="131"/>
      <c r="W71" s="130"/>
      <c r="X71" s="131"/>
      <c r="Y71" s="130"/>
      <c r="Z71" s="131"/>
      <c r="AA71" s="130"/>
      <c r="AB71" s="131"/>
      <c r="AC71" s="130"/>
      <c r="AD71" s="131"/>
      <c r="AE71" s="130"/>
      <c r="AF71" s="131"/>
    </row>
    <row r="72" spans="1:32" x14ac:dyDescent="0.3">
      <c r="A72" s="126"/>
      <c r="B72" s="127"/>
      <c r="C72" s="127"/>
      <c r="D72" s="127"/>
      <c r="E72" s="126"/>
      <c r="F72" s="126"/>
      <c r="G72" s="126"/>
      <c r="H72" s="126"/>
      <c r="I72" s="127"/>
      <c r="J72" s="127"/>
      <c r="K72" s="127"/>
      <c r="L72" s="127"/>
      <c r="M72" s="130"/>
      <c r="N72" s="131"/>
      <c r="O72" s="130"/>
      <c r="P72" s="131"/>
      <c r="Q72" s="130"/>
      <c r="R72" s="131"/>
      <c r="S72" s="130"/>
      <c r="T72" s="131"/>
      <c r="U72" s="130"/>
      <c r="V72" s="131"/>
      <c r="W72" s="130"/>
      <c r="X72" s="131"/>
      <c r="Y72" s="130"/>
      <c r="Z72" s="131"/>
      <c r="AA72" s="130"/>
      <c r="AB72" s="131"/>
      <c r="AC72" s="130"/>
      <c r="AD72" s="131"/>
      <c r="AE72" s="130"/>
      <c r="AF72" s="131"/>
    </row>
    <row r="73" spans="1:32" x14ac:dyDescent="0.3">
      <c r="A73" s="126"/>
      <c r="B73" s="127"/>
      <c r="C73" s="127"/>
      <c r="D73" s="127"/>
      <c r="E73" s="126"/>
      <c r="F73" s="126"/>
      <c r="G73" s="126"/>
      <c r="H73" s="126"/>
      <c r="I73" s="127"/>
      <c r="J73" s="127"/>
      <c r="K73" s="127"/>
      <c r="L73" s="127"/>
      <c r="M73" s="130"/>
      <c r="N73" s="131"/>
      <c r="O73" s="130"/>
      <c r="P73" s="131"/>
      <c r="Q73" s="130"/>
      <c r="R73" s="131"/>
      <c r="S73" s="130"/>
      <c r="T73" s="131"/>
      <c r="U73" s="130"/>
      <c r="V73" s="131"/>
      <c r="W73" s="130"/>
      <c r="X73" s="131"/>
      <c r="Y73" s="130"/>
      <c r="Z73" s="131"/>
      <c r="AA73" s="130"/>
      <c r="AB73" s="131"/>
      <c r="AC73" s="130"/>
      <c r="AD73" s="131"/>
      <c r="AE73" s="130"/>
      <c r="AF73" s="131"/>
    </row>
    <row r="74" spans="1:32" x14ac:dyDescent="0.3">
      <c r="A74" s="126"/>
      <c r="B74" s="127"/>
      <c r="C74" s="127"/>
      <c r="D74" s="127"/>
      <c r="E74" s="126"/>
      <c r="F74" s="126"/>
      <c r="G74" s="126"/>
      <c r="H74" s="126"/>
      <c r="I74" s="127"/>
      <c r="J74" s="127"/>
      <c r="K74" s="127"/>
      <c r="L74" s="127"/>
      <c r="M74" s="130"/>
      <c r="N74" s="131"/>
      <c r="O74" s="130"/>
      <c r="P74" s="131"/>
      <c r="Q74" s="130"/>
      <c r="R74" s="131"/>
      <c r="S74" s="130"/>
      <c r="T74" s="131"/>
      <c r="U74" s="130"/>
      <c r="V74" s="131"/>
      <c r="W74" s="130"/>
      <c r="X74" s="131"/>
      <c r="Y74" s="130"/>
      <c r="Z74" s="131"/>
      <c r="AA74" s="130"/>
      <c r="AB74" s="131"/>
      <c r="AC74" s="130"/>
      <c r="AD74" s="131"/>
      <c r="AE74" s="130"/>
      <c r="AF74" s="131"/>
    </row>
    <row r="75" spans="1:32" x14ac:dyDescent="0.3">
      <c r="A75" s="126"/>
      <c r="B75" s="127"/>
      <c r="C75" s="127"/>
      <c r="D75" s="127"/>
      <c r="E75" s="126"/>
      <c r="F75" s="126"/>
      <c r="G75" s="126"/>
      <c r="H75" s="126"/>
      <c r="I75" s="127"/>
      <c r="J75" s="127"/>
      <c r="K75" s="127"/>
      <c r="L75" s="127"/>
      <c r="M75" s="130"/>
      <c r="N75" s="131"/>
      <c r="O75" s="130"/>
      <c r="P75" s="131"/>
      <c r="Q75" s="130"/>
      <c r="R75" s="131"/>
      <c r="S75" s="130"/>
      <c r="T75" s="131"/>
      <c r="U75" s="130"/>
      <c r="V75" s="131"/>
      <c r="W75" s="130"/>
      <c r="X75" s="131"/>
      <c r="Y75" s="130"/>
      <c r="Z75" s="131"/>
      <c r="AA75" s="130"/>
      <c r="AB75" s="131"/>
      <c r="AC75" s="130"/>
      <c r="AD75" s="131"/>
      <c r="AE75" s="130"/>
      <c r="AF75" s="131"/>
    </row>
    <row r="76" spans="1:32" x14ac:dyDescent="0.3">
      <c r="A76" s="126"/>
      <c r="B76" s="127"/>
      <c r="C76" s="127"/>
      <c r="D76" s="127"/>
      <c r="E76" s="126"/>
      <c r="F76" s="126"/>
      <c r="G76" s="126"/>
      <c r="H76" s="126"/>
      <c r="I76" s="127"/>
      <c r="J76" s="127"/>
      <c r="K76" s="127"/>
      <c r="L76" s="127"/>
      <c r="M76" s="130"/>
      <c r="N76" s="131"/>
      <c r="O76" s="130"/>
      <c r="P76" s="131"/>
      <c r="Q76" s="130"/>
      <c r="R76" s="131"/>
      <c r="S76" s="130"/>
      <c r="T76" s="131"/>
      <c r="U76" s="130"/>
      <c r="V76" s="131"/>
      <c r="W76" s="130"/>
      <c r="X76" s="131"/>
      <c r="Y76" s="130"/>
      <c r="Z76" s="131"/>
      <c r="AA76" s="130"/>
      <c r="AB76" s="131"/>
      <c r="AC76" s="130"/>
      <c r="AD76" s="131"/>
      <c r="AE76" s="130"/>
      <c r="AF76" s="131"/>
    </row>
    <row r="77" spans="1:32" x14ac:dyDescent="0.3">
      <c r="A77" s="126"/>
      <c r="B77" s="127"/>
      <c r="C77" s="127"/>
      <c r="D77" s="127"/>
      <c r="E77" s="126"/>
      <c r="F77" s="126"/>
      <c r="G77" s="126"/>
      <c r="H77" s="126"/>
      <c r="I77" s="127"/>
      <c r="J77" s="127"/>
      <c r="K77" s="127"/>
      <c r="L77" s="127"/>
      <c r="M77" s="130"/>
      <c r="N77" s="131"/>
      <c r="O77" s="130"/>
      <c r="P77" s="131"/>
      <c r="Q77" s="130"/>
      <c r="R77" s="131"/>
      <c r="S77" s="130"/>
      <c r="T77" s="131"/>
      <c r="U77" s="130"/>
      <c r="V77" s="131"/>
      <c r="W77" s="130"/>
      <c r="X77" s="131"/>
      <c r="Y77" s="130"/>
      <c r="Z77" s="131"/>
      <c r="AA77" s="130"/>
      <c r="AB77" s="131"/>
      <c r="AC77" s="130"/>
      <c r="AD77" s="131"/>
      <c r="AE77" s="130"/>
      <c r="AF77" s="131"/>
    </row>
    <row r="78" spans="1:32" x14ac:dyDescent="0.3">
      <c r="A78" s="126"/>
      <c r="B78" s="127"/>
      <c r="C78" s="127"/>
      <c r="D78" s="127"/>
      <c r="E78" s="126"/>
      <c r="F78" s="126"/>
      <c r="G78" s="126"/>
      <c r="H78" s="126"/>
      <c r="I78" s="127"/>
      <c r="J78" s="127"/>
      <c r="K78" s="127"/>
      <c r="L78" s="127"/>
      <c r="M78" s="130"/>
      <c r="N78" s="131"/>
      <c r="O78" s="130"/>
      <c r="P78" s="131"/>
      <c r="Q78" s="130"/>
      <c r="R78" s="131"/>
      <c r="S78" s="130"/>
      <c r="T78" s="131"/>
      <c r="U78" s="130"/>
      <c r="V78" s="131"/>
      <c r="W78" s="130"/>
      <c r="X78" s="131"/>
      <c r="Y78" s="130"/>
      <c r="Z78" s="131"/>
      <c r="AA78" s="130"/>
      <c r="AB78" s="131"/>
      <c r="AC78" s="130"/>
      <c r="AD78" s="131"/>
      <c r="AE78" s="130"/>
      <c r="AF78" s="131"/>
    </row>
    <row r="79" spans="1:32" x14ac:dyDescent="0.3">
      <c r="A79" s="126"/>
      <c r="B79" s="127"/>
      <c r="C79" s="127"/>
      <c r="D79" s="127"/>
      <c r="E79" s="126"/>
      <c r="F79" s="126"/>
      <c r="G79" s="126"/>
      <c r="H79" s="126"/>
      <c r="I79" s="127"/>
      <c r="J79" s="127"/>
      <c r="K79" s="127"/>
      <c r="L79" s="127"/>
      <c r="M79" s="130"/>
      <c r="N79" s="131"/>
      <c r="O79" s="130"/>
      <c r="P79" s="131"/>
      <c r="Q79" s="130"/>
      <c r="R79" s="131"/>
      <c r="S79" s="130"/>
      <c r="T79" s="131"/>
      <c r="U79" s="130"/>
      <c r="V79" s="131"/>
      <c r="W79" s="130"/>
      <c r="X79" s="131"/>
      <c r="Y79" s="130"/>
      <c r="Z79" s="131"/>
      <c r="AA79" s="130"/>
      <c r="AB79" s="131"/>
      <c r="AC79" s="130"/>
      <c r="AD79" s="131"/>
      <c r="AE79" s="130"/>
      <c r="AF79" s="131"/>
    </row>
    <row r="80" spans="1:32" x14ac:dyDescent="0.3">
      <c r="A80" s="126"/>
      <c r="B80" s="127"/>
      <c r="C80" s="127"/>
      <c r="D80" s="127"/>
      <c r="E80" s="126"/>
      <c r="F80" s="126"/>
      <c r="G80" s="126"/>
      <c r="H80" s="126"/>
      <c r="I80" s="127"/>
      <c r="J80" s="127"/>
      <c r="K80" s="127"/>
      <c r="L80" s="127"/>
      <c r="M80" s="130"/>
      <c r="N80" s="131"/>
      <c r="O80" s="130"/>
      <c r="P80" s="131"/>
      <c r="Q80" s="130"/>
      <c r="R80" s="131"/>
      <c r="S80" s="130"/>
      <c r="T80" s="131"/>
      <c r="U80" s="130"/>
      <c r="V80" s="131"/>
      <c r="W80" s="130"/>
      <c r="X80" s="131"/>
      <c r="Y80" s="130"/>
      <c r="Z80" s="131"/>
      <c r="AA80" s="130"/>
      <c r="AB80" s="131"/>
      <c r="AC80" s="130"/>
      <c r="AD80" s="131"/>
      <c r="AE80" s="130"/>
      <c r="AF80" s="131"/>
    </row>
    <row r="81" spans="1:32" x14ac:dyDescent="0.3">
      <c r="A81" s="126"/>
      <c r="B81" s="127"/>
      <c r="C81" s="127"/>
      <c r="D81" s="127"/>
      <c r="E81" s="126"/>
      <c r="F81" s="126"/>
      <c r="G81" s="126"/>
      <c r="H81" s="126"/>
      <c r="I81" s="127"/>
      <c r="J81" s="127"/>
      <c r="K81" s="127"/>
      <c r="L81" s="127"/>
      <c r="M81" s="130"/>
      <c r="N81" s="131"/>
      <c r="O81" s="130"/>
      <c r="P81" s="131"/>
      <c r="Q81" s="130"/>
      <c r="R81" s="131"/>
      <c r="S81" s="130"/>
      <c r="T81" s="131"/>
      <c r="U81" s="130"/>
      <c r="V81" s="131"/>
      <c r="W81" s="130"/>
      <c r="X81" s="131"/>
      <c r="Y81" s="130"/>
      <c r="Z81" s="131"/>
      <c r="AA81" s="130"/>
      <c r="AB81" s="131"/>
      <c r="AC81" s="130"/>
      <c r="AD81" s="131"/>
      <c r="AE81" s="130"/>
      <c r="AF81" s="131"/>
    </row>
    <row r="82" spans="1:32" x14ac:dyDescent="0.3">
      <c r="A82" s="126"/>
      <c r="B82" s="127"/>
      <c r="C82" s="127"/>
      <c r="D82" s="127"/>
      <c r="E82" s="126"/>
      <c r="F82" s="126"/>
      <c r="G82" s="126"/>
      <c r="H82" s="126"/>
      <c r="I82" s="127"/>
      <c r="J82" s="127"/>
      <c r="K82" s="127"/>
      <c r="L82" s="127"/>
      <c r="M82" s="130"/>
      <c r="N82" s="131"/>
      <c r="O82" s="130"/>
      <c r="P82" s="131"/>
      <c r="Q82" s="130"/>
      <c r="R82" s="131"/>
      <c r="S82" s="130"/>
      <c r="T82" s="131"/>
      <c r="U82" s="130"/>
      <c r="V82" s="131"/>
      <c r="W82" s="130"/>
      <c r="X82" s="131"/>
      <c r="Y82" s="130"/>
      <c r="Z82" s="131"/>
      <c r="AA82" s="130"/>
      <c r="AB82" s="131"/>
      <c r="AC82" s="130"/>
      <c r="AD82" s="131"/>
      <c r="AE82" s="130"/>
      <c r="AF82" s="131"/>
    </row>
    <row r="83" spans="1:32" x14ac:dyDescent="0.3">
      <c r="A83" s="126"/>
      <c r="B83" s="127"/>
      <c r="C83" s="127"/>
      <c r="D83" s="127"/>
      <c r="E83" s="126"/>
      <c r="F83" s="126"/>
      <c r="G83" s="126"/>
      <c r="H83" s="126"/>
      <c r="I83" s="127"/>
      <c r="J83" s="127"/>
      <c r="K83" s="127"/>
      <c r="L83" s="127"/>
      <c r="M83" s="130"/>
      <c r="N83" s="131"/>
      <c r="O83" s="130"/>
      <c r="P83" s="131"/>
      <c r="Q83" s="130"/>
      <c r="R83" s="131"/>
      <c r="S83" s="130"/>
      <c r="T83" s="131"/>
      <c r="U83" s="130"/>
      <c r="V83" s="131"/>
      <c r="W83" s="130"/>
      <c r="X83" s="131"/>
      <c r="Y83" s="130"/>
      <c r="Z83" s="131"/>
      <c r="AA83" s="130"/>
      <c r="AB83" s="131"/>
      <c r="AC83" s="130"/>
      <c r="AD83" s="131"/>
      <c r="AE83" s="130"/>
      <c r="AF83" s="131"/>
    </row>
    <row r="84" spans="1:32" x14ac:dyDescent="0.3">
      <c r="A84" s="126"/>
      <c r="B84" s="127"/>
      <c r="C84" s="127"/>
      <c r="D84" s="127"/>
      <c r="E84" s="126"/>
      <c r="F84" s="126"/>
      <c r="G84" s="126"/>
      <c r="H84" s="126"/>
      <c r="I84" s="127"/>
      <c r="J84" s="127"/>
      <c r="K84" s="127"/>
      <c r="L84" s="127"/>
      <c r="M84" s="130"/>
      <c r="N84" s="131"/>
      <c r="O84" s="130"/>
      <c r="P84" s="131"/>
      <c r="Q84" s="130"/>
      <c r="R84" s="131"/>
      <c r="S84" s="130"/>
      <c r="T84" s="131"/>
      <c r="U84" s="130"/>
      <c r="V84" s="131"/>
      <c r="W84" s="130"/>
      <c r="X84" s="131"/>
      <c r="Y84" s="130"/>
      <c r="Z84" s="131"/>
      <c r="AA84" s="130"/>
      <c r="AB84" s="131"/>
      <c r="AC84" s="130"/>
      <c r="AD84" s="131"/>
      <c r="AE84" s="130"/>
      <c r="AF84" s="131"/>
    </row>
    <row r="85" spans="1:32" x14ac:dyDescent="0.3">
      <c r="A85" s="126"/>
      <c r="B85" s="127"/>
      <c r="C85" s="127"/>
      <c r="D85" s="127"/>
      <c r="E85" s="126"/>
      <c r="F85" s="126"/>
      <c r="G85" s="126"/>
      <c r="H85" s="126"/>
      <c r="I85" s="127"/>
      <c r="J85" s="127"/>
      <c r="K85" s="127"/>
      <c r="L85" s="127"/>
      <c r="M85" s="130"/>
      <c r="N85" s="131"/>
      <c r="O85" s="130"/>
      <c r="P85" s="131"/>
      <c r="Q85" s="130"/>
      <c r="R85" s="131"/>
      <c r="S85" s="130"/>
      <c r="T85" s="131"/>
      <c r="U85" s="130"/>
      <c r="V85" s="131"/>
      <c r="W85" s="130"/>
      <c r="X85" s="131"/>
      <c r="Y85" s="130"/>
      <c r="Z85" s="131"/>
      <c r="AA85" s="130"/>
      <c r="AB85" s="131"/>
      <c r="AC85" s="130"/>
      <c r="AD85" s="131"/>
      <c r="AE85" s="130"/>
      <c r="AF85" s="131"/>
    </row>
    <row r="86" spans="1:32" x14ac:dyDescent="0.3">
      <c r="A86" s="126"/>
      <c r="B86" s="127"/>
      <c r="C86" s="127"/>
      <c r="D86" s="127"/>
      <c r="E86" s="126"/>
      <c r="F86" s="126"/>
      <c r="G86" s="126"/>
      <c r="H86" s="126"/>
      <c r="I86" s="127"/>
      <c r="J86" s="127"/>
      <c r="K86" s="127"/>
      <c r="L86" s="127"/>
      <c r="M86" s="130"/>
      <c r="N86" s="131"/>
      <c r="O86" s="130"/>
      <c r="P86" s="131"/>
      <c r="Q86" s="130"/>
      <c r="R86" s="131"/>
      <c r="S86" s="130"/>
      <c r="T86" s="131"/>
      <c r="U86" s="130"/>
      <c r="V86" s="131"/>
      <c r="W86" s="130"/>
      <c r="X86" s="131"/>
      <c r="Y86" s="130"/>
      <c r="Z86" s="131"/>
      <c r="AA86" s="130"/>
      <c r="AB86" s="131"/>
      <c r="AC86" s="130"/>
      <c r="AD86" s="131"/>
      <c r="AE86" s="130"/>
      <c r="AF86" s="131"/>
    </row>
    <row r="87" spans="1:32" x14ac:dyDescent="0.3">
      <c r="A87" s="126"/>
      <c r="B87" s="127"/>
      <c r="C87" s="127"/>
      <c r="D87" s="127"/>
      <c r="E87" s="126"/>
      <c r="F87" s="126"/>
      <c r="G87" s="126"/>
      <c r="H87" s="126"/>
      <c r="I87" s="127"/>
      <c r="J87" s="127"/>
      <c r="K87" s="127"/>
      <c r="L87" s="127"/>
      <c r="M87" s="130"/>
      <c r="N87" s="131"/>
      <c r="O87" s="130"/>
      <c r="P87" s="131"/>
      <c r="Q87" s="130"/>
      <c r="R87" s="131"/>
      <c r="S87" s="130"/>
      <c r="T87" s="131"/>
      <c r="U87" s="130"/>
      <c r="V87" s="131"/>
      <c r="W87" s="130"/>
      <c r="X87" s="131"/>
      <c r="Y87" s="130"/>
      <c r="Z87" s="131"/>
      <c r="AA87" s="130"/>
      <c r="AB87" s="131"/>
      <c r="AC87" s="130"/>
      <c r="AD87" s="131"/>
      <c r="AE87" s="130"/>
      <c r="AF87" s="131"/>
    </row>
    <row r="88" spans="1:32" x14ac:dyDescent="0.3">
      <c r="A88" s="126"/>
      <c r="B88" s="127"/>
      <c r="C88" s="127"/>
      <c r="D88" s="127"/>
      <c r="E88" s="126"/>
      <c r="F88" s="126"/>
      <c r="G88" s="126"/>
      <c r="H88" s="126"/>
      <c r="I88" s="127"/>
      <c r="J88" s="127"/>
      <c r="K88" s="127"/>
      <c r="L88" s="127"/>
      <c r="M88" s="130"/>
      <c r="N88" s="131"/>
      <c r="O88" s="130"/>
      <c r="P88" s="131"/>
      <c r="Q88" s="130"/>
      <c r="R88" s="131"/>
      <c r="S88" s="130"/>
      <c r="T88" s="131"/>
      <c r="U88" s="130"/>
      <c r="V88" s="131"/>
      <c r="W88" s="130"/>
      <c r="X88" s="131"/>
      <c r="Y88" s="130"/>
      <c r="Z88" s="131"/>
      <c r="AA88" s="130"/>
      <c r="AB88" s="131"/>
      <c r="AC88" s="130"/>
      <c r="AD88" s="131"/>
      <c r="AE88" s="130"/>
      <c r="AF88" s="131"/>
    </row>
    <row r="89" spans="1:32" x14ac:dyDescent="0.3">
      <c r="A89" s="126"/>
      <c r="B89" s="127"/>
      <c r="C89" s="127"/>
      <c r="D89" s="127"/>
      <c r="E89" s="126"/>
      <c r="F89" s="126"/>
      <c r="G89" s="126"/>
      <c r="H89" s="126"/>
      <c r="I89" s="127"/>
      <c r="J89" s="127"/>
      <c r="K89" s="127"/>
      <c r="L89" s="127"/>
      <c r="M89" s="130"/>
      <c r="N89" s="131"/>
      <c r="O89" s="130"/>
      <c r="P89" s="131"/>
      <c r="Q89" s="130"/>
      <c r="R89" s="131"/>
      <c r="S89" s="130"/>
      <c r="T89" s="131"/>
      <c r="U89" s="130"/>
      <c r="V89" s="131"/>
      <c r="W89" s="130"/>
      <c r="X89" s="131"/>
      <c r="Y89" s="130"/>
      <c r="Z89" s="131"/>
      <c r="AA89" s="130"/>
      <c r="AB89" s="131"/>
      <c r="AC89" s="130"/>
      <c r="AD89" s="131"/>
      <c r="AE89" s="130"/>
      <c r="AF89" s="131"/>
    </row>
    <row r="90" spans="1:32" x14ac:dyDescent="0.3">
      <c r="A90" s="126"/>
      <c r="B90" s="127"/>
      <c r="C90" s="127"/>
      <c r="D90" s="127"/>
      <c r="E90" s="126"/>
      <c r="F90" s="126"/>
      <c r="G90" s="126"/>
      <c r="H90" s="126"/>
      <c r="I90" s="127"/>
      <c r="J90" s="127"/>
      <c r="K90" s="127"/>
      <c r="L90" s="127"/>
      <c r="M90" s="130"/>
      <c r="N90" s="131"/>
      <c r="O90" s="130"/>
      <c r="P90" s="131"/>
      <c r="Q90" s="130"/>
      <c r="R90" s="131"/>
      <c r="S90" s="130"/>
      <c r="T90" s="131"/>
      <c r="U90" s="130"/>
      <c r="V90" s="131"/>
      <c r="W90" s="130"/>
      <c r="X90" s="131"/>
      <c r="Y90" s="130"/>
      <c r="Z90" s="131"/>
      <c r="AA90" s="130"/>
      <c r="AB90" s="131"/>
      <c r="AC90" s="130"/>
      <c r="AD90" s="131"/>
      <c r="AE90" s="130"/>
      <c r="AF90" s="131"/>
    </row>
    <row r="91" spans="1:32" x14ac:dyDescent="0.3">
      <c r="A91" s="126"/>
      <c r="B91" s="127"/>
      <c r="C91" s="127"/>
      <c r="D91" s="127"/>
      <c r="E91" s="126"/>
      <c r="F91" s="126"/>
      <c r="G91" s="126"/>
      <c r="H91" s="126"/>
      <c r="I91" s="127"/>
      <c r="J91" s="127"/>
      <c r="K91" s="127"/>
      <c r="L91" s="127"/>
      <c r="M91" s="130"/>
      <c r="N91" s="131"/>
      <c r="O91" s="130"/>
      <c r="P91" s="131"/>
      <c r="Q91" s="130"/>
      <c r="R91" s="131"/>
      <c r="S91" s="130"/>
      <c r="T91" s="131"/>
      <c r="U91" s="130"/>
      <c r="V91" s="131"/>
      <c r="W91" s="130"/>
      <c r="X91" s="131"/>
      <c r="Y91" s="130"/>
      <c r="Z91" s="131"/>
      <c r="AA91" s="130"/>
      <c r="AB91" s="131"/>
      <c r="AC91" s="130"/>
      <c r="AD91" s="131"/>
      <c r="AE91" s="130"/>
      <c r="AF91" s="131"/>
    </row>
    <row r="92" spans="1:32" x14ac:dyDescent="0.3">
      <c r="A92" s="126"/>
      <c r="B92" s="127"/>
      <c r="C92" s="127"/>
      <c r="D92" s="127"/>
      <c r="E92" s="126"/>
      <c r="F92" s="126"/>
      <c r="G92" s="126"/>
      <c r="H92" s="126"/>
      <c r="I92" s="127"/>
      <c r="J92" s="127"/>
      <c r="K92" s="127"/>
      <c r="L92" s="127"/>
      <c r="M92" s="130"/>
      <c r="N92" s="131"/>
      <c r="O92" s="130"/>
      <c r="P92" s="131"/>
      <c r="Q92" s="130"/>
      <c r="R92" s="131"/>
      <c r="S92" s="130"/>
      <c r="T92" s="131"/>
      <c r="U92" s="130"/>
      <c r="V92" s="131"/>
      <c r="W92" s="130"/>
      <c r="X92" s="131"/>
      <c r="Y92" s="130"/>
      <c r="Z92" s="131"/>
      <c r="AA92" s="130"/>
      <c r="AB92" s="131"/>
      <c r="AC92" s="130"/>
      <c r="AD92" s="131"/>
      <c r="AE92" s="130"/>
      <c r="AF92" s="131"/>
    </row>
    <row r="93" spans="1:32" x14ac:dyDescent="0.3">
      <c r="A93" s="126"/>
      <c r="B93" s="127"/>
      <c r="C93" s="127"/>
      <c r="D93" s="127"/>
      <c r="E93" s="126"/>
      <c r="F93" s="126"/>
      <c r="G93" s="126"/>
      <c r="H93" s="126"/>
      <c r="I93" s="127"/>
      <c r="J93" s="127"/>
      <c r="K93" s="127"/>
      <c r="L93" s="127"/>
      <c r="M93" s="130"/>
      <c r="N93" s="131"/>
      <c r="O93" s="130"/>
      <c r="P93" s="131"/>
      <c r="Q93" s="130"/>
      <c r="R93" s="131"/>
      <c r="S93" s="130"/>
      <c r="T93" s="131"/>
      <c r="U93" s="130"/>
      <c r="V93" s="131"/>
      <c r="W93" s="130"/>
      <c r="X93" s="131"/>
      <c r="Y93" s="130"/>
      <c r="Z93" s="131"/>
      <c r="AA93" s="130"/>
      <c r="AB93" s="131"/>
      <c r="AC93" s="130"/>
      <c r="AD93" s="131"/>
      <c r="AE93" s="130"/>
      <c r="AF93" s="131"/>
    </row>
    <row r="94" spans="1:32" x14ac:dyDescent="0.3">
      <c r="A94" s="126"/>
      <c r="B94" s="127"/>
      <c r="C94" s="127"/>
      <c r="D94" s="127"/>
      <c r="E94" s="126"/>
      <c r="F94" s="126"/>
      <c r="G94" s="126"/>
      <c r="H94" s="126"/>
      <c r="I94" s="127"/>
      <c r="J94" s="127"/>
      <c r="K94" s="127"/>
      <c r="L94" s="127"/>
      <c r="M94" s="130"/>
      <c r="N94" s="131"/>
      <c r="O94" s="130"/>
      <c r="P94" s="131"/>
      <c r="Q94" s="130"/>
      <c r="R94" s="131"/>
      <c r="S94" s="130"/>
      <c r="T94" s="131"/>
      <c r="U94" s="130"/>
      <c r="V94" s="131"/>
      <c r="W94" s="130"/>
      <c r="X94" s="131"/>
      <c r="Y94" s="130"/>
      <c r="Z94" s="131"/>
      <c r="AA94" s="130"/>
      <c r="AB94" s="131"/>
      <c r="AC94" s="130"/>
      <c r="AD94" s="131"/>
      <c r="AE94" s="130"/>
      <c r="AF94" s="131"/>
    </row>
    <row r="95" spans="1:32" x14ac:dyDescent="0.3">
      <c r="A95" s="126"/>
      <c r="B95" s="127"/>
      <c r="C95" s="127"/>
      <c r="D95" s="127"/>
      <c r="E95" s="126"/>
      <c r="F95" s="126"/>
      <c r="G95" s="126"/>
      <c r="H95" s="126"/>
      <c r="I95" s="127"/>
      <c r="J95" s="127"/>
      <c r="K95" s="127"/>
      <c r="L95" s="127"/>
      <c r="M95" s="130"/>
      <c r="N95" s="131"/>
      <c r="O95" s="130"/>
      <c r="P95" s="131"/>
      <c r="Q95" s="130"/>
      <c r="R95" s="131"/>
      <c r="S95" s="130"/>
      <c r="T95" s="131"/>
      <c r="U95" s="130"/>
      <c r="V95" s="131"/>
      <c r="W95" s="130"/>
      <c r="X95" s="131"/>
      <c r="Y95" s="130"/>
      <c r="Z95" s="131"/>
      <c r="AA95" s="130"/>
      <c r="AB95" s="131"/>
      <c r="AC95" s="130"/>
      <c r="AD95" s="131"/>
      <c r="AE95" s="130"/>
      <c r="AF95" s="131"/>
    </row>
    <row r="96" spans="1:32" x14ac:dyDescent="0.3">
      <c r="A96" s="126"/>
      <c r="B96" s="127"/>
      <c r="C96" s="127"/>
      <c r="D96" s="127"/>
      <c r="E96" s="126"/>
      <c r="F96" s="126"/>
      <c r="G96" s="126"/>
      <c r="H96" s="126"/>
      <c r="I96" s="127"/>
      <c r="J96" s="127"/>
      <c r="K96" s="127"/>
      <c r="L96" s="127"/>
      <c r="M96" s="130"/>
      <c r="N96" s="131"/>
      <c r="O96" s="130"/>
      <c r="P96" s="131"/>
      <c r="Q96" s="130"/>
      <c r="R96" s="131"/>
      <c r="S96" s="130"/>
      <c r="T96" s="131"/>
      <c r="U96" s="130"/>
      <c r="V96" s="131"/>
      <c r="W96" s="130"/>
      <c r="X96" s="131"/>
      <c r="Y96" s="130"/>
      <c r="Z96" s="131"/>
      <c r="AA96" s="130"/>
      <c r="AB96" s="131"/>
      <c r="AC96" s="130"/>
      <c r="AD96" s="131"/>
      <c r="AE96" s="130"/>
      <c r="AF96" s="131"/>
    </row>
    <row r="97" spans="1:32" x14ac:dyDescent="0.3">
      <c r="A97" s="126"/>
      <c r="B97" s="127"/>
      <c r="C97" s="127"/>
      <c r="D97" s="127"/>
      <c r="E97" s="126"/>
      <c r="F97" s="126"/>
      <c r="G97" s="126"/>
      <c r="H97" s="126"/>
      <c r="I97" s="127"/>
      <c r="J97" s="127"/>
      <c r="K97" s="127"/>
      <c r="L97" s="127"/>
      <c r="M97" s="130"/>
      <c r="N97" s="131"/>
      <c r="O97" s="130"/>
      <c r="P97" s="131"/>
      <c r="Q97" s="130"/>
      <c r="R97" s="131"/>
      <c r="S97" s="130"/>
      <c r="T97" s="131"/>
      <c r="U97" s="130"/>
      <c r="V97" s="131"/>
      <c r="W97" s="130"/>
      <c r="X97" s="131"/>
      <c r="Y97" s="130"/>
      <c r="Z97" s="131"/>
      <c r="AA97" s="130"/>
      <c r="AB97" s="131"/>
      <c r="AC97" s="130"/>
      <c r="AD97" s="131"/>
      <c r="AE97" s="130"/>
      <c r="AF97" s="131"/>
    </row>
    <row r="98" spans="1:32" x14ac:dyDescent="0.3">
      <c r="A98" s="126"/>
      <c r="B98" s="127"/>
      <c r="C98" s="127"/>
      <c r="D98" s="127"/>
      <c r="E98" s="126"/>
      <c r="F98" s="126"/>
      <c r="G98" s="126"/>
      <c r="H98" s="126"/>
      <c r="I98" s="127"/>
      <c r="J98" s="127"/>
      <c r="K98" s="127"/>
      <c r="L98" s="127"/>
      <c r="M98" s="130"/>
      <c r="N98" s="131"/>
      <c r="O98" s="130"/>
      <c r="P98" s="131"/>
      <c r="Q98" s="130"/>
      <c r="R98" s="131"/>
      <c r="S98" s="130"/>
      <c r="T98" s="131"/>
      <c r="U98" s="130"/>
      <c r="V98" s="131"/>
      <c r="W98" s="130"/>
      <c r="X98" s="131"/>
      <c r="Y98" s="130"/>
      <c r="Z98" s="131"/>
      <c r="AA98" s="130"/>
      <c r="AB98" s="131"/>
      <c r="AC98" s="130"/>
      <c r="AD98" s="131"/>
      <c r="AE98" s="130"/>
      <c r="AF98" s="131"/>
    </row>
    <row r="99" spans="1:32" x14ac:dyDescent="0.3">
      <c r="A99" s="126"/>
      <c r="B99" s="127"/>
      <c r="C99" s="127"/>
      <c r="D99" s="127"/>
      <c r="E99" s="126"/>
      <c r="F99" s="126"/>
      <c r="G99" s="126"/>
      <c r="H99" s="126"/>
      <c r="I99" s="127"/>
      <c r="J99" s="127"/>
      <c r="K99" s="127"/>
      <c r="L99" s="127"/>
      <c r="M99" s="130"/>
      <c r="N99" s="131"/>
      <c r="O99" s="130"/>
      <c r="P99" s="131"/>
      <c r="Q99" s="130"/>
      <c r="R99" s="131"/>
      <c r="S99" s="130"/>
      <c r="T99" s="131"/>
      <c r="U99" s="130"/>
      <c r="V99" s="131"/>
      <c r="W99" s="130"/>
      <c r="X99" s="131"/>
      <c r="Y99" s="130"/>
      <c r="Z99" s="131"/>
      <c r="AA99" s="130"/>
      <c r="AB99" s="131"/>
      <c r="AC99" s="130"/>
      <c r="AD99" s="131"/>
      <c r="AE99" s="130"/>
      <c r="AF99" s="131"/>
    </row>
    <row r="100" spans="1:32" x14ac:dyDescent="0.3">
      <c r="A100" s="126"/>
      <c r="B100" s="127"/>
      <c r="C100" s="127"/>
      <c r="D100" s="127"/>
      <c r="E100" s="126"/>
      <c r="F100" s="126"/>
      <c r="G100" s="126"/>
      <c r="H100" s="126"/>
      <c r="I100" s="127"/>
      <c r="J100" s="127"/>
      <c r="K100" s="127"/>
      <c r="L100" s="127"/>
      <c r="M100" s="130"/>
      <c r="N100" s="131"/>
      <c r="O100" s="130"/>
      <c r="P100" s="131"/>
      <c r="Q100" s="130"/>
      <c r="R100" s="131"/>
      <c r="S100" s="130"/>
      <c r="T100" s="131"/>
      <c r="U100" s="130"/>
      <c r="V100" s="131"/>
      <c r="W100" s="130"/>
      <c r="X100" s="131"/>
      <c r="Y100" s="130"/>
      <c r="Z100" s="131"/>
      <c r="AA100" s="130"/>
      <c r="AB100" s="131"/>
      <c r="AC100" s="130"/>
      <c r="AD100" s="131"/>
      <c r="AE100" s="130"/>
      <c r="AF100" s="131"/>
    </row>
    <row r="101" spans="1:32" x14ac:dyDescent="0.3">
      <c r="A101" s="126"/>
      <c r="B101" s="127"/>
      <c r="C101" s="127"/>
      <c r="D101" s="127"/>
      <c r="E101" s="126"/>
      <c r="F101" s="126"/>
      <c r="G101" s="126"/>
      <c r="H101" s="126"/>
      <c r="I101" s="127"/>
      <c r="J101" s="127"/>
      <c r="K101" s="127"/>
      <c r="L101" s="127"/>
      <c r="M101" s="130"/>
      <c r="N101" s="131"/>
      <c r="O101" s="130"/>
      <c r="P101" s="131"/>
      <c r="Q101" s="130"/>
      <c r="R101" s="131"/>
      <c r="S101" s="130"/>
      <c r="T101" s="131"/>
      <c r="U101" s="130"/>
      <c r="V101" s="131"/>
      <c r="W101" s="130"/>
      <c r="X101" s="131"/>
      <c r="Y101" s="130"/>
      <c r="Z101" s="131"/>
      <c r="AA101" s="130"/>
      <c r="AB101" s="131"/>
      <c r="AC101" s="130"/>
      <c r="AD101" s="131"/>
      <c r="AE101" s="130"/>
      <c r="AF101" s="131"/>
    </row>
    <row r="102" spans="1:32" x14ac:dyDescent="0.3">
      <c r="A102" s="126"/>
      <c r="B102" s="127"/>
      <c r="C102" s="127"/>
      <c r="D102" s="127"/>
      <c r="E102" s="126"/>
      <c r="F102" s="126"/>
      <c r="G102" s="126"/>
      <c r="H102" s="126"/>
      <c r="I102" s="127"/>
      <c r="J102" s="127"/>
      <c r="K102" s="127"/>
      <c r="L102" s="127"/>
      <c r="M102" s="130"/>
      <c r="N102" s="131"/>
      <c r="O102" s="130"/>
      <c r="P102" s="131"/>
      <c r="Q102" s="130"/>
      <c r="R102" s="131"/>
      <c r="S102" s="130"/>
      <c r="T102" s="131"/>
      <c r="U102" s="130"/>
      <c r="V102" s="131"/>
      <c r="W102" s="130"/>
      <c r="X102" s="131"/>
      <c r="Y102" s="130"/>
      <c r="Z102" s="131"/>
      <c r="AA102" s="130"/>
      <c r="AB102" s="131"/>
      <c r="AC102" s="130"/>
      <c r="AD102" s="131"/>
      <c r="AE102" s="130"/>
      <c r="AF102" s="131"/>
    </row>
    <row r="103" spans="1:32" x14ac:dyDescent="0.3">
      <c r="A103" s="126"/>
      <c r="B103" s="127"/>
      <c r="C103" s="127"/>
      <c r="D103" s="127"/>
      <c r="E103" s="126"/>
      <c r="F103" s="126"/>
      <c r="G103" s="126"/>
      <c r="H103" s="126"/>
      <c r="I103" s="127"/>
      <c r="J103" s="127"/>
      <c r="K103" s="127"/>
      <c r="L103" s="127"/>
      <c r="M103" s="130"/>
      <c r="N103" s="131"/>
      <c r="O103" s="130"/>
      <c r="P103" s="131"/>
      <c r="Q103" s="130"/>
      <c r="R103" s="131"/>
      <c r="S103" s="130"/>
      <c r="T103" s="131"/>
      <c r="U103" s="130"/>
      <c r="V103" s="131"/>
      <c r="W103" s="130"/>
      <c r="X103" s="131"/>
      <c r="Y103" s="130"/>
      <c r="Z103" s="131"/>
      <c r="AA103" s="130"/>
      <c r="AB103" s="131"/>
      <c r="AC103" s="130"/>
      <c r="AD103" s="131"/>
      <c r="AE103" s="130"/>
      <c r="AF103" s="131"/>
    </row>
    <row r="104" spans="1:32" x14ac:dyDescent="0.3">
      <c r="A104" s="126"/>
      <c r="B104" s="127"/>
      <c r="C104" s="127"/>
      <c r="D104" s="127"/>
      <c r="E104" s="126"/>
      <c r="F104" s="126"/>
      <c r="G104" s="126"/>
      <c r="H104" s="126"/>
      <c r="I104" s="127"/>
      <c r="J104" s="127"/>
      <c r="K104" s="127"/>
      <c r="L104" s="127"/>
      <c r="M104" s="130"/>
      <c r="N104" s="131"/>
      <c r="O104" s="130"/>
      <c r="P104" s="131"/>
      <c r="Q104" s="130"/>
      <c r="R104" s="131"/>
      <c r="S104" s="130"/>
      <c r="T104" s="131"/>
      <c r="U104" s="130"/>
      <c r="V104" s="131"/>
      <c r="W104" s="130"/>
      <c r="X104" s="131"/>
      <c r="Y104" s="130"/>
      <c r="Z104" s="131"/>
      <c r="AA104" s="130"/>
      <c r="AB104" s="131"/>
      <c r="AC104" s="130"/>
      <c r="AD104" s="131"/>
      <c r="AE104" s="130"/>
      <c r="AF104" s="131"/>
    </row>
    <row r="105" spans="1:32" x14ac:dyDescent="0.3">
      <c r="A105" s="126"/>
      <c r="B105" s="127"/>
      <c r="C105" s="127"/>
      <c r="D105" s="127"/>
      <c r="E105" s="126"/>
      <c r="F105" s="126"/>
      <c r="G105" s="126"/>
      <c r="H105" s="126"/>
      <c r="I105" s="127"/>
      <c r="J105" s="127"/>
      <c r="K105" s="127"/>
      <c r="L105" s="127"/>
      <c r="M105" s="130"/>
      <c r="N105" s="131"/>
      <c r="O105" s="130"/>
      <c r="P105" s="131"/>
      <c r="Q105" s="130"/>
      <c r="R105" s="131"/>
      <c r="S105" s="130"/>
      <c r="T105" s="131"/>
      <c r="U105" s="130"/>
      <c r="V105" s="131"/>
      <c r="W105" s="130"/>
      <c r="X105" s="131"/>
      <c r="Y105" s="130"/>
      <c r="Z105" s="131"/>
      <c r="AA105" s="130"/>
      <c r="AB105" s="131"/>
      <c r="AC105" s="130"/>
      <c r="AD105" s="131"/>
      <c r="AE105" s="130"/>
      <c r="AF105" s="131"/>
    </row>
    <row r="106" spans="1:32" x14ac:dyDescent="0.3">
      <c r="A106" s="126"/>
      <c r="B106" s="127"/>
      <c r="C106" s="127"/>
      <c r="D106" s="127"/>
      <c r="E106" s="126"/>
      <c r="F106" s="126"/>
      <c r="G106" s="126"/>
      <c r="H106" s="126"/>
      <c r="I106" s="127"/>
      <c r="J106" s="127"/>
      <c r="K106" s="127"/>
      <c r="L106" s="127"/>
      <c r="M106" s="130"/>
      <c r="N106" s="131"/>
      <c r="O106" s="130"/>
      <c r="P106" s="131"/>
      <c r="Q106" s="130"/>
      <c r="R106" s="131"/>
      <c r="S106" s="130"/>
      <c r="T106" s="131"/>
      <c r="U106" s="130"/>
      <c r="V106" s="131"/>
      <c r="W106" s="130"/>
      <c r="X106" s="131"/>
      <c r="Y106" s="130"/>
      <c r="Z106" s="131"/>
      <c r="AA106" s="130"/>
      <c r="AB106" s="131"/>
      <c r="AC106" s="130"/>
      <c r="AD106" s="131"/>
      <c r="AE106" s="130"/>
      <c r="AF106" s="131"/>
    </row>
    <row r="107" spans="1:32" x14ac:dyDescent="0.3">
      <c r="A107" s="126"/>
      <c r="B107" s="127"/>
      <c r="C107" s="127"/>
      <c r="D107" s="127"/>
      <c r="E107" s="126"/>
      <c r="F107" s="126"/>
      <c r="G107" s="126"/>
      <c r="H107" s="126"/>
      <c r="I107" s="127"/>
      <c r="J107" s="127"/>
      <c r="K107" s="127"/>
      <c r="L107" s="127"/>
      <c r="M107" s="130"/>
      <c r="N107" s="131"/>
      <c r="O107" s="130"/>
      <c r="P107" s="131"/>
      <c r="Q107" s="130"/>
      <c r="R107" s="131"/>
      <c r="S107" s="130"/>
      <c r="T107" s="131"/>
      <c r="U107" s="130"/>
      <c r="V107" s="131"/>
      <c r="W107" s="130"/>
      <c r="X107" s="131"/>
      <c r="Y107" s="130"/>
      <c r="Z107" s="131"/>
      <c r="AA107" s="130"/>
      <c r="AB107" s="131"/>
      <c r="AC107" s="130"/>
      <c r="AD107" s="131"/>
      <c r="AE107" s="130"/>
      <c r="AF107" s="131"/>
    </row>
    <row r="108" spans="1:32" x14ac:dyDescent="0.3">
      <c r="A108" s="126"/>
      <c r="B108" s="127"/>
      <c r="C108" s="127"/>
      <c r="D108" s="127"/>
      <c r="E108" s="126"/>
      <c r="F108" s="126"/>
      <c r="G108" s="126"/>
      <c r="H108" s="126"/>
      <c r="I108" s="127"/>
      <c r="J108" s="127"/>
      <c r="K108" s="127"/>
      <c r="L108" s="127"/>
      <c r="M108" s="130"/>
      <c r="N108" s="131"/>
      <c r="O108" s="130"/>
      <c r="P108" s="131"/>
      <c r="Q108" s="130"/>
      <c r="R108" s="131"/>
      <c r="S108" s="130"/>
      <c r="T108" s="131"/>
      <c r="U108" s="130"/>
      <c r="V108" s="131"/>
      <c r="W108" s="130"/>
      <c r="X108" s="131"/>
      <c r="Y108" s="130"/>
      <c r="Z108" s="131"/>
      <c r="AA108" s="130"/>
      <c r="AB108" s="131"/>
      <c r="AC108" s="130"/>
      <c r="AD108" s="131"/>
      <c r="AE108" s="130"/>
      <c r="AF108" s="131"/>
    </row>
    <row r="109" spans="1:32" x14ac:dyDescent="0.3">
      <c r="A109" s="126"/>
      <c r="B109" s="127"/>
      <c r="C109" s="127"/>
      <c r="D109" s="127"/>
      <c r="E109" s="126"/>
      <c r="F109" s="126"/>
      <c r="G109" s="126"/>
      <c r="H109" s="126"/>
      <c r="I109" s="127"/>
      <c r="J109" s="127"/>
      <c r="K109" s="127"/>
      <c r="L109" s="127"/>
      <c r="M109" s="130"/>
      <c r="N109" s="131"/>
      <c r="O109" s="130"/>
      <c r="P109" s="131"/>
      <c r="Q109" s="130"/>
      <c r="R109" s="131"/>
      <c r="S109" s="130"/>
      <c r="T109" s="131"/>
      <c r="U109" s="130"/>
      <c r="V109" s="131"/>
      <c r="W109" s="130"/>
      <c r="X109" s="131"/>
      <c r="Y109" s="130"/>
      <c r="Z109" s="131"/>
      <c r="AA109" s="130"/>
      <c r="AB109" s="131"/>
      <c r="AC109" s="130"/>
      <c r="AD109" s="131"/>
      <c r="AE109" s="130"/>
      <c r="AF109" s="131"/>
    </row>
    <row r="110" spans="1:32" x14ac:dyDescent="0.3">
      <c r="A110" s="126"/>
      <c r="B110" s="127"/>
      <c r="C110" s="127"/>
      <c r="D110" s="127"/>
      <c r="E110" s="126"/>
      <c r="F110" s="126"/>
      <c r="G110" s="126"/>
      <c r="H110" s="126"/>
      <c r="I110" s="127"/>
      <c r="J110" s="127"/>
      <c r="K110" s="127"/>
      <c r="L110" s="127"/>
      <c r="M110" s="130"/>
      <c r="N110" s="131"/>
      <c r="O110" s="130"/>
      <c r="P110" s="131"/>
      <c r="Q110" s="130"/>
      <c r="R110" s="131"/>
      <c r="S110" s="130"/>
      <c r="T110" s="131"/>
      <c r="U110" s="130"/>
      <c r="V110" s="131"/>
      <c r="W110" s="130"/>
      <c r="X110" s="131"/>
      <c r="Y110" s="130"/>
      <c r="Z110" s="131"/>
      <c r="AA110" s="130"/>
      <c r="AB110" s="131"/>
      <c r="AC110" s="130"/>
      <c r="AD110" s="131"/>
      <c r="AE110" s="130"/>
      <c r="AF110" s="131"/>
    </row>
    <row r="111" spans="1:32" x14ac:dyDescent="0.3">
      <c r="A111" s="126"/>
      <c r="B111" s="127"/>
      <c r="C111" s="127"/>
      <c r="D111" s="127"/>
      <c r="E111" s="126"/>
      <c r="F111" s="126"/>
      <c r="G111" s="126"/>
      <c r="H111" s="126"/>
      <c r="I111" s="127"/>
      <c r="J111" s="127"/>
      <c r="K111" s="127"/>
      <c r="L111" s="127"/>
      <c r="M111" s="130"/>
      <c r="N111" s="131"/>
      <c r="O111" s="130"/>
      <c r="P111" s="131"/>
      <c r="Q111" s="130"/>
      <c r="R111" s="131"/>
      <c r="S111" s="130"/>
      <c r="T111" s="131"/>
      <c r="U111" s="130"/>
      <c r="V111" s="131"/>
      <c r="W111" s="130"/>
      <c r="X111" s="131"/>
      <c r="Y111" s="130"/>
      <c r="Z111" s="131"/>
      <c r="AA111" s="130"/>
      <c r="AB111" s="131"/>
      <c r="AC111" s="130"/>
      <c r="AD111" s="131"/>
      <c r="AE111" s="130"/>
      <c r="AF111" s="131"/>
    </row>
    <row r="112" spans="1:32" x14ac:dyDescent="0.3">
      <c r="A112" s="126"/>
      <c r="B112" s="127"/>
      <c r="C112" s="127"/>
      <c r="D112" s="127"/>
      <c r="E112" s="126"/>
      <c r="F112" s="126"/>
      <c r="G112" s="126"/>
      <c r="H112" s="126"/>
      <c r="I112" s="127"/>
      <c r="J112" s="127"/>
      <c r="K112" s="127"/>
      <c r="L112" s="127"/>
      <c r="M112" s="130"/>
      <c r="N112" s="131"/>
      <c r="O112" s="130"/>
      <c r="P112" s="131"/>
      <c r="Q112" s="130"/>
      <c r="R112" s="131"/>
      <c r="S112" s="130"/>
      <c r="T112" s="131"/>
      <c r="U112" s="130"/>
      <c r="V112" s="131"/>
      <c r="W112" s="130"/>
      <c r="X112" s="131"/>
      <c r="Y112" s="130"/>
      <c r="Z112" s="131"/>
      <c r="AA112" s="130"/>
      <c r="AB112" s="131"/>
      <c r="AC112" s="130"/>
      <c r="AD112" s="131"/>
      <c r="AE112" s="130"/>
      <c r="AF112" s="131"/>
    </row>
    <row r="113" spans="1:32" x14ac:dyDescent="0.3">
      <c r="A113" s="126"/>
      <c r="B113" s="127"/>
      <c r="C113" s="127"/>
      <c r="D113" s="127"/>
      <c r="E113" s="126"/>
      <c r="F113" s="126"/>
      <c r="G113" s="126"/>
      <c r="H113" s="126"/>
      <c r="I113" s="127"/>
      <c r="J113" s="127"/>
      <c r="K113" s="127"/>
      <c r="L113" s="127"/>
      <c r="M113" s="130"/>
      <c r="N113" s="131"/>
      <c r="O113" s="130"/>
      <c r="P113" s="131"/>
      <c r="Q113" s="130"/>
      <c r="R113" s="131"/>
      <c r="S113" s="130"/>
      <c r="T113" s="131"/>
      <c r="U113" s="130"/>
      <c r="V113" s="131"/>
      <c r="W113" s="130"/>
      <c r="X113" s="131"/>
      <c r="Y113" s="130"/>
      <c r="Z113" s="131"/>
      <c r="AA113" s="130"/>
      <c r="AB113" s="131"/>
      <c r="AC113" s="130"/>
      <c r="AD113" s="131"/>
      <c r="AE113" s="130"/>
      <c r="AF113" s="131"/>
    </row>
    <row r="114" spans="1:32" x14ac:dyDescent="0.3">
      <c r="A114" s="126"/>
      <c r="B114" s="127"/>
      <c r="C114" s="127"/>
      <c r="D114" s="127"/>
      <c r="E114" s="126"/>
      <c r="F114" s="126"/>
      <c r="G114" s="126"/>
      <c r="H114" s="126"/>
      <c r="I114" s="127"/>
      <c r="J114" s="127"/>
      <c r="K114" s="127"/>
      <c r="L114" s="127"/>
      <c r="M114" s="130"/>
      <c r="N114" s="131"/>
      <c r="O114" s="130"/>
      <c r="P114" s="131"/>
      <c r="Q114" s="130"/>
      <c r="R114" s="131"/>
      <c r="S114" s="130"/>
      <c r="T114" s="131"/>
      <c r="U114" s="130"/>
      <c r="V114" s="131"/>
      <c r="W114" s="130"/>
      <c r="X114" s="131"/>
      <c r="Y114" s="130"/>
      <c r="Z114" s="131"/>
      <c r="AA114" s="130"/>
      <c r="AB114" s="131"/>
      <c r="AC114" s="130"/>
      <c r="AD114" s="131"/>
      <c r="AE114" s="130"/>
      <c r="AF114" s="131"/>
    </row>
    <row r="115" spans="1:32" x14ac:dyDescent="0.3">
      <c r="A115" s="126"/>
      <c r="B115" s="127"/>
      <c r="C115" s="127"/>
      <c r="D115" s="127"/>
      <c r="E115" s="126"/>
      <c r="F115" s="126"/>
      <c r="G115" s="126"/>
      <c r="H115" s="126"/>
      <c r="I115" s="127"/>
      <c r="J115" s="127"/>
      <c r="K115" s="127"/>
      <c r="L115" s="127"/>
      <c r="M115" s="130"/>
      <c r="N115" s="131"/>
      <c r="O115" s="130"/>
      <c r="P115" s="131"/>
      <c r="Q115" s="130"/>
      <c r="R115" s="131"/>
      <c r="S115" s="130"/>
      <c r="T115" s="131"/>
      <c r="U115" s="130"/>
      <c r="V115" s="131"/>
      <c r="W115" s="130"/>
      <c r="X115" s="131"/>
      <c r="Y115" s="130"/>
      <c r="Z115" s="131"/>
      <c r="AA115" s="130"/>
      <c r="AB115" s="131"/>
      <c r="AC115" s="130"/>
      <c r="AD115" s="131"/>
      <c r="AE115" s="130"/>
      <c r="AF115" s="131"/>
    </row>
    <row r="116" spans="1:32" x14ac:dyDescent="0.3">
      <c r="A116" s="126"/>
      <c r="B116" s="127"/>
      <c r="C116" s="127"/>
      <c r="D116" s="127"/>
      <c r="E116" s="126"/>
      <c r="F116" s="126"/>
      <c r="G116" s="126"/>
      <c r="H116" s="126"/>
      <c r="I116" s="127"/>
      <c r="J116" s="127"/>
      <c r="K116" s="127"/>
      <c r="L116" s="127"/>
      <c r="M116" s="130"/>
      <c r="N116" s="131"/>
      <c r="O116" s="130"/>
      <c r="P116" s="131"/>
      <c r="Q116" s="130"/>
      <c r="R116" s="131"/>
      <c r="S116" s="130"/>
      <c r="T116" s="131"/>
      <c r="U116" s="130"/>
      <c r="V116" s="131"/>
      <c r="W116" s="130"/>
      <c r="X116" s="131"/>
      <c r="Y116" s="130"/>
      <c r="Z116" s="131"/>
      <c r="AA116" s="130"/>
      <c r="AB116" s="131"/>
      <c r="AC116" s="130"/>
      <c r="AD116" s="131"/>
      <c r="AE116" s="130"/>
      <c r="AF116" s="131"/>
    </row>
    <row r="117" spans="1:32" x14ac:dyDescent="0.3">
      <c r="A117" s="126"/>
      <c r="B117" s="127"/>
      <c r="C117" s="127"/>
      <c r="D117" s="127"/>
      <c r="E117" s="126"/>
      <c r="F117" s="126"/>
      <c r="G117" s="126"/>
      <c r="H117" s="126"/>
      <c r="I117" s="127"/>
      <c r="J117" s="127"/>
      <c r="K117" s="127"/>
      <c r="L117" s="127"/>
      <c r="M117" s="130"/>
      <c r="N117" s="131"/>
      <c r="O117" s="130"/>
      <c r="P117" s="131"/>
      <c r="Q117" s="130"/>
      <c r="R117" s="131"/>
      <c r="S117" s="130"/>
      <c r="T117" s="131"/>
      <c r="U117" s="130"/>
      <c r="V117" s="131"/>
      <c r="W117" s="130"/>
      <c r="X117" s="131"/>
      <c r="Y117" s="130"/>
      <c r="Z117" s="131"/>
      <c r="AA117" s="130"/>
      <c r="AB117" s="131"/>
      <c r="AC117" s="130"/>
      <c r="AD117" s="131"/>
      <c r="AE117" s="130"/>
      <c r="AF117" s="131"/>
    </row>
    <row r="118" spans="1:32" x14ac:dyDescent="0.3">
      <c r="A118" s="126"/>
      <c r="B118" s="127"/>
      <c r="C118" s="127"/>
      <c r="D118" s="127"/>
      <c r="E118" s="126"/>
      <c r="F118" s="126"/>
      <c r="G118" s="126"/>
      <c r="H118" s="126"/>
      <c r="I118" s="127"/>
      <c r="J118" s="127"/>
      <c r="K118" s="127"/>
      <c r="L118" s="127"/>
      <c r="M118" s="130"/>
      <c r="N118" s="131"/>
      <c r="O118" s="130"/>
      <c r="P118" s="131"/>
      <c r="Q118" s="130"/>
      <c r="R118" s="131"/>
      <c r="S118" s="130"/>
      <c r="T118" s="131"/>
      <c r="U118" s="130"/>
      <c r="V118" s="131"/>
      <c r="W118" s="130"/>
      <c r="X118" s="131"/>
      <c r="Y118" s="130"/>
      <c r="Z118" s="131"/>
      <c r="AA118" s="130"/>
      <c r="AB118" s="131"/>
      <c r="AC118" s="130"/>
      <c r="AD118" s="131"/>
      <c r="AE118" s="130"/>
      <c r="AF118" s="131"/>
    </row>
    <row r="119" spans="1:32" x14ac:dyDescent="0.3">
      <c r="A119" s="126"/>
      <c r="B119" s="127"/>
      <c r="C119" s="127"/>
      <c r="D119" s="127"/>
      <c r="E119" s="126"/>
      <c r="F119" s="126"/>
      <c r="G119" s="126"/>
      <c r="H119" s="126"/>
      <c r="I119" s="127"/>
      <c r="J119" s="127"/>
      <c r="K119" s="127"/>
      <c r="L119" s="127"/>
      <c r="M119" s="130"/>
      <c r="N119" s="131"/>
      <c r="O119" s="130"/>
      <c r="P119" s="131"/>
      <c r="Q119" s="130"/>
      <c r="R119" s="131"/>
      <c r="S119" s="130"/>
      <c r="T119" s="131"/>
      <c r="U119" s="130"/>
      <c r="V119" s="131"/>
      <c r="W119" s="130"/>
      <c r="X119" s="131"/>
      <c r="Y119" s="130"/>
      <c r="Z119" s="131"/>
      <c r="AA119" s="130"/>
      <c r="AB119" s="131"/>
      <c r="AC119" s="130"/>
      <c r="AD119" s="131"/>
      <c r="AE119" s="130"/>
      <c r="AF119" s="131"/>
    </row>
    <row r="120" spans="1:32" x14ac:dyDescent="0.3">
      <c r="A120" s="126"/>
      <c r="B120" s="127"/>
      <c r="C120" s="127"/>
      <c r="D120" s="127"/>
      <c r="E120" s="126"/>
      <c r="F120" s="126"/>
      <c r="G120" s="126"/>
      <c r="H120" s="126"/>
      <c r="I120" s="127"/>
      <c r="J120" s="127"/>
      <c r="K120" s="127"/>
      <c r="L120" s="127"/>
      <c r="M120" s="130"/>
      <c r="N120" s="131"/>
      <c r="O120" s="130"/>
      <c r="P120" s="131"/>
      <c r="Q120" s="130"/>
      <c r="R120" s="131"/>
      <c r="S120" s="130"/>
      <c r="T120" s="131"/>
      <c r="U120" s="130"/>
      <c r="V120" s="131"/>
      <c r="W120" s="130"/>
      <c r="X120" s="131"/>
      <c r="Y120" s="130"/>
      <c r="Z120" s="131"/>
      <c r="AA120" s="130"/>
      <c r="AB120" s="131"/>
      <c r="AC120" s="130"/>
      <c r="AD120" s="131"/>
      <c r="AE120" s="130"/>
      <c r="AF120" s="131"/>
    </row>
    <row r="121" spans="1:32" x14ac:dyDescent="0.3">
      <c r="A121" s="126"/>
      <c r="B121" s="127"/>
      <c r="C121" s="127"/>
      <c r="D121" s="127"/>
      <c r="E121" s="126"/>
      <c r="F121" s="126"/>
      <c r="G121" s="126"/>
      <c r="H121" s="126"/>
      <c r="I121" s="127"/>
      <c r="J121" s="127"/>
      <c r="K121" s="127"/>
      <c r="L121" s="127"/>
      <c r="M121" s="130"/>
      <c r="N121" s="131"/>
      <c r="O121" s="130"/>
      <c r="P121" s="131"/>
      <c r="Q121" s="130"/>
      <c r="R121" s="131"/>
      <c r="S121" s="130"/>
      <c r="T121" s="131"/>
      <c r="U121" s="130"/>
      <c r="V121" s="131"/>
      <c r="W121" s="130"/>
      <c r="X121" s="131"/>
      <c r="Y121" s="130"/>
      <c r="Z121" s="131"/>
      <c r="AA121" s="130"/>
      <c r="AB121" s="131"/>
      <c r="AC121" s="130"/>
      <c r="AD121" s="131"/>
      <c r="AE121" s="130"/>
      <c r="AF121" s="131"/>
    </row>
    <row r="122" spans="1:32" x14ac:dyDescent="0.3">
      <c r="A122" s="126"/>
      <c r="B122" s="127"/>
      <c r="C122" s="127"/>
      <c r="D122" s="127"/>
      <c r="E122" s="126"/>
      <c r="F122" s="126"/>
      <c r="G122" s="126"/>
      <c r="H122" s="126"/>
      <c r="I122" s="127"/>
      <c r="J122" s="127"/>
      <c r="K122" s="127"/>
      <c r="L122" s="127"/>
      <c r="M122" s="130"/>
      <c r="N122" s="131"/>
      <c r="O122" s="130"/>
      <c r="P122" s="131"/>
      <c r="Q122" s="130"/>
      <c r="R122" s="131"/>
      <c r="S122" s="130"/>
      <c r="T122" s="131"/>
      <c r="U122" s="130"/>
      <c r="V122" s="131"/>
      <c r="W122" s="130"/>
      <c r="X122" s="131"/>
      <c r="Y122" s="130"/>
      <c r="Z122" s="131"/>
      <c r="AA122" s="130"/>
      <c r="AB122" s="131"/>
      <c r="AC122" s="130"/>
      <c r="AD122" s="131"/>
      <c r="AE122" s="130"/>
      <c r="AF122" s="131"/>
    </row>
    <row r="123" spans="1:32" x14ac:dyDescent="0.3">
      <c r="A123" s="126"/>
      <c r="B123" s="127"/>
      <c r="C123" s="127"/>
      <c r="D123" s="127"/>
      <c r="E123" s="126"/>
      <c r="F123" s="126"/>
      <c r="G123" s="126"/>
      <c r="H123" s="126"/>
      <c r="I123" s="127"/>
      <c r="J123" s="127"/>
      <c r="K123" s="127"/>
      <c r="L123" s="127"/>
      <c r="M123" s="130"/>
      <c r="N123" s="131"/>
      <c r="O123" s="130"/>
      <c r="P123" s="131"/>
      <c r="Q123" s="130"/>
      <c r="R123" s="131"/>
      <c r="S123" s="130"/>
      <c r="T123" s="131"/>
      <c r="U123" s="130"/>
      <c r="V123" s="131"/>
      <c r="W123" s="130"/>
      <c r="X123" s="131"/>
      <c r="Y123" s="130"/>
      <c r="Z123" s="131"/>
      <c r="AA123" s="130"/>
      <c r="AB123" s="131"/>
      <c r="AC123" s="130"/>
      <c r="AD123" s="131"/>
      <c r="AE123" s="130"/>
      <c r="AF123" s="131"/>
    </row>
    <row r="124" spans="1:32" x14ac:dyDescent="0.3">
      <c r="A124" s="126"/>
      <c r="B124" s="127"/>
      <c r="C124" s="127"/>
      <c r="D124" s="127"/>
      <c r="E124" s="126"/>
      <c r="F124" s="126"/>
      <c r="G124" s="126"/>
      <c r="H124" s="126"/>
      <c r="I124" s="127"/>
      <c r="J124" s="127"/>
      <c r="K124" s="127"/>
      <c r="L124" s="127"/>
      <c r="M124" s="130"/>
      <c r="N124" s="131"/>
      <c r="O124" s="130"/>
      <c r="P124" s="131"/>
      <c r="Q124" s="130"/>
      <c r="R124" s="131"/>
      <c r="S124" s="130"/>
      <c r="T124" s="131"/>
      <c r="U124" s="130"/>
      <c r="V124" s="131"/>
      <c r="W124" s="130"/>
      <c r="X124" s="131"/>
      <c r="Y124" s="130"/>
      <c r="Z124" s="131"/>
      <c r="AA124" s="130"/>
      <c r="AB124" s="131"/>
      <c r="AC124" s="130"/>
      <c r="AD124" s="131"/>
      <c r="AE124" s="130"/>
      <c r="AF124" s="131"/>
    </row>
    <row r="125" spans="1:32" x14ac:dyDescent="0.3">
      <c r="A125" s="126"/>
      <c r="B125" s="127"/>
      <c r="C125" s="127"/>
      <c r="D125" s="127"/>
      <c r="E125" s="126"/>
      <c r="F125" s="126"/>
      <c r="G125" s="126"/>
      <c r="H125" s="126"/>
      <c r="I125" s="127"/>
      <c r="J125" s="127"/>
      <c r="K125" s="127"/>
      <c r="L125" s="127"/>
      <c r="M125" s="130"/>
      <c r="N125" s="131"/>
      <c r="O125" s="130"/>
      <c r="P125" s="131"/>
      <c r="Q125" s="130"/>
      <c r="R125" s="131"/>
      <c r="S125" s="130"/>
      <c r="T125" s="131"/>
      <c r="U125" s="130"/>
      <c r="V125" s="131"/>
      <c r="W125" s="130"/>
      <c r="X125" s="131"/>
      <c r="Y125" s="130"/>
      <c r="Z125" s="131"/>
      <c r="AA125" s="130"/>
      <c r="AB125" s="131"/>
      <c r="AC125" s="130"/>
      <c r="AD125" s="131"/>
      <c r="AE125" s="130"/>
      <c r="AF125" s="131"/>
    </row>
    <row r="126" spans="1:32" x14ac:dyDescent="0.3">
      <c r="A126" s="126"/>
      <c r="B126" s="127"/>
      <c r="C126" s="127"/>
      <c r="D126" s="127"/>
      <c r="E126" s="126"/>
      <c r="F126" s="126"/>
      <c r="G126" s="126"/>
      <c r="H126" s="126"/>
      <c r="I126" s="127"/>
      <c r="J126" s="127"/>
      <c r="K126" s="127"/>
      <c r="L126" s="127"/>
      <c r="M126" s="130"/>
      <c r="N126" s="131"/>
      <c r="O126" s="130"/>
      <c r="P126" s="131"/>
      <c r="Q126" s="130"/>
      <c r="R126" s="131"/>
      <c r="S126" s="130"/>
      <c r="T126" s="131"/>
      <c r="U126" s="130"/>
      <c r="V126" s="131"/>
      <c r="W126" s="130"/>
      <c r="X126" s="131"/>
      <c r="Y126" s="130"/>
      <c r="Z126" s="131"/>
      <c r="AA126" s="130"/>
      <c r="AB126" s="131"/>
      <c r="AC126" s="130"/>
      <c r="AD126" s="131"/>
      <c r="AE126" s="130"/>
      <c r="AF126" s="131"/>
    </row>
    <row r="127" spans="1:32" x14ac:dyDescent="0.3">
      <c r="A127" s="126"/>
      <c r="B127" s="127"/>
      <c r="C127" s="127"/>
      <c r="D127" s="127"/>
      <c r="E127" s="126"/>
      <c r="F127" s="126"/>
      <c r="G127" s="126"/>
      <c r="H127" s="126"/>
      <c r="I127" s="127"/>
      <c r="J127" s="127"/>
      <c r="K127" s="127"/>
      <c r="L127" s="127"/>
      <c r="M127" s="130"/>
      <c r="N127" s="131"/>
      <c r="O127" s="130"/>
      <c r="P127" s="131"/>
      <c r="Q127" s="130"/>
      <c r="R127" s="131"/>
      <c r="S127" s="130"/>
      <c r="T127" s="131"/>
      <c r="U127" s="130"/>
      <c r="V127" s="131"/>
      <c r="W127" s="130"/>
      <c r="X127" s="131"/>
      <c r="Y127" s="130"/>
      <c r="Z127" s="131"/>
      <c r="AA127" s="130"/>
      <c r="AB127" s="131"/>
      <c r="AC127" s="130"/>
      <c r="AD127" s="131"/>
      <c r="AE127" s="130"/>
      <c r="AF127" s="131"/>
    </row>
    <row r="128" spans="1:32" x14ac:dyDescent="0.3">
      <c r="A128" s="126"/>
      <c r="B128" s="127"/>
      <c r="C128" s="127"/>
      <c r="D128" s="127"/>
      <c r="E128" s="126"/>
      <c r="F128" s="126"/>
      <c r="G128" s="126"/>
      <c r="H128" s="126"/>
      <c r="I128" s="127"/>
      <c r="J128" s="127"/>
      <c r="K128" s="127"/>
      <c r="L128" s="127"/>
      <c r="M128" s="130"/>
      <c r="N128" s="131"/>
      <c r="O128" s="130"/>
      <c r="P128" s="131"/>
      <c r="Q128" s="130"/>
      <c r="R128" s="131"/>
      <c r="S128" s="130"/>
      <c r="T128" s="131"/>
      <c r="U128" s="130"/>
      <c r="V128" s="131"/>
      <c r="W128" s="130"/>
      <c r="X128" s="131"/>
      <c r="Y128" s="130"/>
      <c r="Z128" s="131"/>
      <c r="AA128" s="130"/>
      <c r="AB128" s="131"/>
      <c r="AC128" s="130"/>
      <c r="AD128" s="131"/>
      <c r="AE128" s="130"/>
      <c r="AF128" s="131"/>
    </row>
    <row r="129" spans="1:32" x14ac:dyDescent="0.3">
      <c r="A129" s="126"/>
      <c r="B129" s="127"/>
      <c r="C129" s="127"/>
      <c r="D129" s="127"/>
      <c r="E129" s="126"/>
      <c r="F129" s="126"/>
      <c r="G129" s="126"/>
      <c r="H129" s="126"/>
      <c r="I129" s="127"/>
      <c r="J129" s="127"/>
      <c r="K129" s="127"/>
      <c r="L129" s="127"/>
      <c r="M129" s="130"/>
      <c r="N129" s="131"/>
      <c r="O129" s="130"/>
      <c r="P129" s="131"/>
      <c r="Q129" s="130"/>
      <c r="R129" s="131"/>
      <c r="S129" s="130"/>
      <c r="T129" s="131"/>
      <c r="U129" s="130"/>
      <c r="V129" s="131"/>
      <c r="W129" s="130"/>
      <c r="X129" s="131"/>
      <c r="Y129" s="130"/>
      <c r="Z129" s="131"/>
      <c r="AA129" s="130"/>
      <c r="AB129" s="131"/>
      <c r="AC129" s="130"/>
      <c r="AD129" s="131"/>
      <c r="AE129" s="130"/>
      <c r="AF129" s="131"/>
    </row>
    <row r="130" spans="1:32" x14ac:dyDescent="0.3">
      <c r="A130" s="126"/>
      <c r="B130" s="127"/>
      <c r="C130" s="127"/>
      <c r="D130" s="127"/>
      <c r="E130" s="126"/>
      <c r="F130" s="126"/>
      <c r="G130" s="126"/>
      <c r="H130" s="126"/>
      <c r="I130" s="127"/>
      <c r="J130" s="127"/>
      <c r="K130" s="127"/>
      <c r="L130" s="127"/>
      <c r="M130" s="130"/>
      <c r="N130" s="131"/>
      <c r="O130" s="130"/>
      <c r="P130" s="131"/>
      <c r="Q130" s="130"/>
      <c r="R130" s="131"/>
      <c r="S130" s="130"/>
      <c r="T130" s="131"/>
      <c r="U130" s="130"/>
      <c r="V130" s="131"/>
      <c r="W130" s="130"/>
      <c r="X130" s="131"/>
      <c r="Y130" s="130"/>
      <c r="Z130" s="131"/>
      <c r="AA130" s="130"/>
      <c r="AB130" s="131"/>
      <c r="AC130" s="130"/>
      <c r="AD130" s="131"/>
      <c r="AE130" s="130"/>
      <c r="AF130" s="131"/>
    </row>
    <row r="131" spans="1:32" x14ac:dyDescent="0.3">
      <c r="A131" s="126"/>
      <c r="B131" s="127"/>
      <c r="C131" s="127"/>
      <c r="D131" s="127"/>
      <c r="E131" s="126"/>
      <c r="F131" s="126"/>
      <c r="G131" s="126"/>
      <c r="H131" s="126"/>
      <c r="I131" s="127"/>
      <c r="J131" s="127"/>
      <c r="K131" s="127"/>
      <c r="L131" s="127"/>
      <c r="M131" s="130"/>
      <c r="N131" s="131"/>
      <c r="O131" s="130"/>
      <c r="P131" s="131"/>
      <c r="Q131" s="130"/>
      <c r="R131" s="131"/>
      <c r="S131" s="130"/>
      <c r="T131" s="131"/>
      <c r="U131" s="130"/>
      <c r="V131" s="131"/>
      <c r="W131" s="130"/>
      <c r="X131" s="131"/>
      <c r="Y131" s="130"/>
      <c r="Z131" s="131"/>
      <c r="AA131" s="130"/>
      <c r="AB131" s="131"/>
      <c r="AC131" s="130"/>
      <c r="AD131" s="131"/>
      <c r="AE131" s="130"/>
      <c r="AF131" s="131"/>
    </row>
    <row r="132" spans="1:32" x14ac:dyDescent="0.3">
      <c r="A132" s="126"/>
      <c r="B132" s="127"/>
      <c r="C132" s="127"/>
      <c r="D132" s="127"/>
      <c r="E132" s="126"/>
      <c r="F132" s="126"/>
      <c r="G132" s="126"/>
      <c r="H132" s="126"/>
      <c r="I132" s="127"/>
      <c r="J132" s="127"/>
      <c r="K132" s="127"/>
      <c r="L132" s="127"/>
      <c r="M132" s="130"/>
      <c r="N132" s="131"/>
      <c r="O132" s="130"/>
      <c r="P132" s="131"/>
      <c r="Q132" s="130"/>
      <c r="R132" s="131"/>
      <c r="S132" s="130"/>
      <c r="T132" s="131"/>
      <c r="U132" s="130"/>
      <c r="V132" s="131"/>
      <c r="W132" s="130"/>
      <c r="X132" s="131"/>
      <c r="Y132" s="130"/>
      <c r="Z132" s="131"/>
      <c r="AA132" s="130"/>
      <c r="AB132" s="131"/>
      <c r="AC132" s="130"/>
      <c r="AD132" s="131"/>
      <c r="AE132" s="130"/>
      <c r="AF132" s="131"/>
    </row>
    <row r="133" spans="1:32" x14ac:dyDescent="0.3">
      <c r="A133" s="126"/>
      <c r="B133" s="127"/>
      <c r="C133" s="127"/>
      <c r="D133" s="127"/>
      <c r="E133" s="126"/>
      <c r="F133" s="126"/>
      <c r="G133" s="126"/>
      <c r="H133" s="126"/>
      <c r="I133" s="127"/>
      <c r="J133" s="127"/>
      <c r="K133" s="127"/>
      <c r="L133" s="127"/>
      <c r="M133" s="130"/>
      <c r="N133" s="131"/>
      <c r="O133" s="130"/>
      <c r="P133" s="131"/>
      <c r="Q133" s="130"/>
      <c r="R133" s="131"/>
      <c r="S133" s="130"/>
      <c r="T133" s="131"/>
      <c r="U133" s="130"/>
      <c r="V133" s="131"/>
      <c r="W133" s="130"/>
      <c r="X133" s="131"/>
      <c r="Y133" s="130"/>
      <c r="Z133" s="131"/>
      <c r="AA133" s="130"/>
      <c r="AB133" s="131"/>
      <c r="AC133" s="130"/>
      <c r="AD133" s="131"/>
      <c r="AE133" s="130"/>
      <c r="AF133" s="131"/>
    </row>
    <row r="134" spans="1:32" x14ac:dyDescent="0.3">
      <c r="A134" s="126"/>
      <c r="B134" s="127"/>
      <c r="C134" s="127"/>
      <c r="D134" s="127"/>
      <c r="E134" s="126"/>
      <c r="F134" s="126"/>
      <c r="G134" s="126"/>
      <c r="H134" s="126"/>
      <c r="I134" s="127"/>
      <c r="J134" s="127"/>
      <c r="K134" s="127"/>
      <c r="L134" s="127"/>
      <c r="M134" s="130"/>
      <c r="N134" s="131"/>
      <c r="O134" s="130"/>
      <c r="P134" s="131"/>
      <c r="Q134" s="130"/>
      <c r="R134" s="131"/>
      <c r="S134" s="130"/>
      <c r="T134" s="131"/>
      <c r="U134" s="130"/>
      <c r="V134" s="131"/>
      <c r="W134" s="130"/>
      <c r="X134" s="131"/>
      <c r="Y134" s="130"/>
      <c r="Z134" s="131"/>
      <c r="AA134" s="130"/>
      <c r="AB134" s="131"/>
      <c r="AC134" s="130"/>
      <c r="AD134" s="131"/>
      <c r="AE134" s="130"/>
      <c r="AF134" s="131"/>
    </row>
    <row r="135" spans="1:32" x14ac:dyDescent="0.3">
      <c r="A135" s="126"/>
      <c r="B135" s="127"/>
      <c r="C135" s="127"/>
      <c r="D135" s="127"/>
      <c r="E135" s="126"/>
      <c r="F135" s="126"/>
      <c r="G135" s="126"/>
      <c r="H135" s="126"/>
      <c r="I135" s="127"/>
      <c r="J135" s="127"/>
      <c r="K135" s="127"/>
      <c r="L135" s="127"/>
      <c r="M135" s="130"/>
      <c r="N135" s="131"/>
      <c r="O135" s="130"/>
      <c r="P135" s="131"/>
      <c r="Q135" s="130"/>
      <c r="R135" s="131"/>
      <c r="S135" s="130"/>
      <c r="T135" s="131"/>
      <c r="U135" s="130"/>
      <c r="V135" s="131"/>
      <c r="W135" s="130"/>
      <c r="X135" s="131"/>
      <c r="Y135" s="130"/>
      <c r="Z135" s="131"/>
      <c r="AA135" s="130"/>
      <c r="AB135" s="131"/>
      <c r="AC135" s="130"/>
      <c r="AD135" s="131"/>
      <c r="AE135" s="130"/>
      <c r="AF135" s="131"/>
    </row>
    <row r="136" spans="1:32" x14ac:dyDescent="0.3">
      <c r="A136" s="126"/>
      <c r="B136" s="127"/>
      <c r="C136" s="127"/>
      <c r="D136" s="127"/>
      <c r="E136" s="126"/>
      <c r="F136" s="126"/>
      <c r="G136" s="126"/>
      <c r="H136" s="126"/>
      <c r="I136" s="127"/>
      <c r="J136" s="127"/>
      <c r="K136" s="127"/>
      <c r="L136" s="127"/>
      <c r="M136" s="130"/>
      <c r="N136" s="131"/>
      <c r="O136" s="130"/>
      <c r="P136" s="131"/>
      <c r="Q136" s="130"/>
      <c r="R136" s="131"/>
      <c r="S136" s="130"/>
      <c r="T136" s="131"/>
      <c r="U136" s="130"/>
      <c r="V136" s="131"/>
      <c r="W136" s="130"/>
      <c r="X136" s="131"/>
      <c r="Y136" s="130"/>
      <c r="Z136" s="131"/>
      <c r="AA136" s="130"/>
      <c r="AB136" s="131"/>
      <c r="AC136" s="130"/>
      <c r="AD136" s="131"/>
      <c r="AE136" s="130"/>
      <c r="AF136" s="131"/>
    </row>
    <row r="137" spans="1:32" x14ac:dyDescent="0.3">
      <c r="A137" s="126"/>
      <c r="B137" s="127"/>
      <c r="C137" s="127"/>
      <c r="D137" s="127"/>
      <c r="E137" s="126"/>
      <c r="F137" s="126"/>
      <c r="G137" s="126"/>
      <c r="H137" s="126"/>
      <c r="I137" s="127"/>
      <c r="J137" s="127"/>
      <c r="K137" s="127"/>
      <c r="L137" s="127"/>
      <c r="M137" s="130"/>
      <c r="N137" s="131"/>
      <c r="O137" s="130"/>
      <c r="P137" s="131"/>
      <c r="Q137" s="130"/>
      <c r="R137" s="131"/>
      <c r="S137" s="130"/>
      <c r="T137" s="131"/>
      <c r="U137" s="130"/>
      <c r="V137" s="131"/>
      <c r="W137" s="130"/>
      <c r="X137" s="131"/>
      <c r="Y137" s="130"/>
      <c r="Z137" s="131"/>
      <c r="AA137" s="130"/>
      <c r="AB137" s="131"/>
      <c r="AC137" s="130"/>
      <c r="AD137" s="131"/>
      <c r="AE137" s="130"/>
      <c r="AF137" s="131"/>
    </row>
    <row r="138" spans="1:32" x14ac:dyDescent="0.3">
      <c r="A138" s="126"/>
      <c r="B138" s="127"/>
      <c r="C138" s="127"/>
      <c r="D138" s="127"/>
      <c r="E138" s="126"/>
      <c r="F138" s="126"/>
      <c r="G138" s="126"/>
      <c r="H138" s="126"/>
      <c r="I138" s="127"/>
      <c r="J138" s="127"/>
      <c r="K138" s="127"/>
      <c r="L138" s="127"/>
      <c r="M138" s="130"/>
      <c r="N138" s="131"/>
      <c r="O138" s="130"/>
      <c r="P138" s="131"/>
      <c r="Q138" s="130"/>
      <c r="R138" s="131"/>
      <c r="S138" s="130"/>
      <c r="T138" s="131"/>
      <c r="U138" s="130"/>
      <c r="V138" s="131"/>
      <c r="W138" s="130"/>
      <c r="X138" s="131"/>
      <c r="Y138" s="130"/>
      <c r="Z138" s="131"/>
      <c r="AA138" s="130"/>
      <c r="AB138" s="131"/>
      <c r="AC138" s="130"/>
      <c r="AD138" s="131"/>
      <c r="AE138" s="130"/>
      <c r="AF138" s="131"/>
    </row>
    <row r="139" spans="1:32" x14ac:dyDescent="0.3">
      <c r="A139" s="126"/>
      <c r="B139" s="127"/>
      <c r="C139" s="127"/>
      <c r="D139" s="127"/>
      <c r="E139" s="126"/>
      <c r="F139" s="126"/>
      <c r="G139" s="126"/>
      <c r="H139" s="126"/>
      <c r="I139" s="127"/>
      <c r="J139" s="127"/>
      <c r="K139" s="127"/>
      <c r="L139" s="127"/>
      <c r="M139" s="130"/>
      <c r="N139" s="131"/>
      <c r="O139" s="130"/>
      <c r="P139" s="131"/>
      <c r="Q139" s="130"/>
      <c r="R139" s="131"/>
      <c r="S139" s="130"/>
      <c r="T139" s="131"/>
      <c r="U139" s="130"/>
      <c r="V139" s="131"/>
      <c r="W139" s="130"/>
      <c r="X139" s="131"/>
      <c r="Y139" s="130"/>
      <c r="Z139" s="131"/>
      <c r="AA139" s="130"/>
      <c r="AB139" s="131"/>
      <c r="AC139" s="130"/>
      <c r="AD139" s="131"/>
      <c r="AE139" s="130"/>
      <c r="AF139" s="131"/>
    </row>
    <row r="140" spans="1:32" x14ac:dyDescent="0.3">
      <c r="A140" s="126"/>
      <c r="B140" s="127"/>
      <c r="C140" s="127"/>
      <c r="D140" s="127"/>
      <c r="E140" s="126"/>
      <c r="F140" s="126"/>
      <c r="G140" s="126"/>
      <c r="H140" s="126"/>
      <c r="I140" s="127"/>
      <c r="J140" s="127"/>
      <c r="K140" s="127"/>
      <c r="L140" s="127"/>
      <c r="M140" s="130"/>
      <c r="N140" s="131"/>
      <c r="O140" s="130"/>
      <c r="P140" s="131"/>
      <c r="Q140" s="130"/>
      <c r="R140" s="131"/>
      <c r="S140" s="130"/>
      <c r="T140" s="131"/>
      <c r="U140" s="130"/>
      <c r="V140" s="131"/>
      <c r="W140" s="130"/>
      <c r="X140" s="131"/>
      <c r="Y140" s="130"/>
      <c r="Z140" s="131"/>
      <c r="AA140" s="130"/>
      <c r="AB140" s="131"/>
      <c r="AC140" s="130"/>
      <c r="AD140" s="131"/>
      <c r="AE140" s="130"/>
      <c r="AF140" s="131"/>
    </row>
    <row r="141" spans="1:32" x14ac:dyDescent="0.3">
      <c r="A141" s="126"/>
      <c r="B141" s="127"/>
      <c r="C141" s="127"/>
      <c r="D141" s="127"/>
      <c r="E141" s="126"/>
      <c r="F141" s="126"/>
      <c r="G141" s="126"/>
      <c r="H141" s="126"/>
      <c r="I141" s="127"/>
      <c r="J141" s="127"/>
      <c r="K141" s="127"/>
      <c r="L141" s="127"/>
      <c r="M141" s="130"/>
      <c r="N141" s="131"/>
      <c r="O141" s="130"/>
      <c r="P141" s="131"/>
      <c r="Q141" s="130"/>
      <c r="R141" s="131"/>
      <c r="S141" s="130"/>
      <c r="T141" s="131"/>
      <c r="U141" s="130"/>
      <c r="V141" s="131"/>
      <c r="W141" s="130"/>
      <c r="X141" s="131"/>
      <c r="Y141" s="130"/>
      <c r="Z141" s="131"/>
      <c r="AA141" s="130"/>
      <c r="AB141" s="131"/>
      <c r="AC141" s="130"/>
      <c r="AD141" s="131"/>
      <c r="AE141" s="130"/>
      <c r="AF141" s="131"/>
    </row>
    <row r="142" spans="1:32" x14ac:dyDescent="0.3">
      <c r="A142" s="126"/>
      <c r="B142" s="127"/>
      <c r="C142" s="127"/>
      <c r="D142" s="127"/>
      <c r="E142" s="126"/>
      <c r="F142" s="126"/>
      <c r="G142" s="126"/>
      <c r="H142" s="126"/>
      <c r="I142" s="127"/>
      <c r="J142" s="127"/>
      <c r="K142" s="127"/>
      <c r="L142" s="127"/>
      <c r="M142" s="130"/>
      <c r="N142" s="131"/>
      <c r="O142" s="130"/>
      <c r="P142" s="131"/>
      <c r="Q142" s="130"/>
      <c r="R142" s="131"/>
      <c r="S142" s="130"/>
      <c r="T142" s="131"/>
      <c r="U142" s="130"/>
      <c r="V142" s="131"/>
      <c r="W142" s="130"/>
      <c r="X142" s="131"/>
      <c r="Y142" s="130"/>
      <c r="Z142" s="131"/>
      <c r="AA142" s="130"/>
      <c r="AB142" s="131"/>
      <c r="AC142" s="130"/>
      <c r="AD142" s="131"/>
      <c r="AE142" s="130"/>
      <c r="AF142" s="131"/>
    </row>
    <row r="143" spans="1:32" x14ac:dyDescent="0.3">
      <c r="A143" s="126"/>
      <c r="B143" s="127"/>
      <c r="C143" s="127"/>
      <c r="D143" s="127"/>
      <c r="E143" s="126"/>
      <c r="F143" s="126"/>
      <c r="G143" s="126"/>
      <c r="H143" s="126"/>
      <c r="I143" s="127"/>
      <c r="J143" s="127"/>
      <c r="K143" s="127"/>
      <c r="L143" s="127"/>
      <c r="M143" s="130"/>
      <c r="N143" s="131"/>
      <c r="O143" s="130"/>
      <c r="P143" s="131"/>
      <c r="Q143" s="130"/>
      <c r="R143" s="131"/>
      <c r="S143" s="130"/>
      <c r="T143" s="131"/>
      <c r="U143" s="130"/>
      <c r="V143" s="131"/>
      <c r="W143" s="130"/>
      <c r="X143" s="131"/>
      <c r="Y143" s="130"/>
      <c r="Z143" s="131"/>
      <c r="AA143" s="130"/>
      <c r="AB143" s="131"/>
      <c r="AC143" s="130"/>
      <c r="AD143" s="131"/>
      <c r="AE143" s="130"/>
      <c r="AF143" s="131"/>
    </row>
    <row r="144" spans="1:32" x14ac:dyDescent="0.3">
      <c r="A144" s="126"/>
      <c r="B144" s="127"/>
      <c r="C144" s="127"/>
      <c r="D144" s="127"/>
      <c r="E144" s="126"/>
      <c r="F144" s="126"/>
      <c r="G144" s="126"/>
      <c r="H144" s="126"/>
      <c r="I144" s="127"/>
      <c r="J144" s="127"/>
      <c r="K144" s="127"/>
      <c r="L144" s="127"/>
      <c r="M144" s="130"/>
      <c r="N144" s="131"/>
      <c r="O144" s="130"/>
      <c r="P144" s="131"/>
      <c r="Q144" s="130"/>
      <c r="R144" s="131"/>
      <c r="S144" s="130"/>
      <c r="T144" s="131"/>
      <c r="U144" s="130"/>
      <c r="V144" s="131"/>
      <c r="W144" s="130"/>
      <c r="X144" s="131"/>
      <c r="Y144" s="130"/>
      <c r="Z144" s="131"/>
      <c r="AA144" s="130"/>
      <c r="AB144" s="131"/>
      <c r="AC144" s="130"/>
      <c r="AD144" s="131"/>
      <c r="AE144" s="130"/>
      <c r="AF144" s="131"/>
    </row>
    <row r="145" spans="1:32" x14ac:dyDescent="0.3">
      <c r="A145" s="126"/>
      <c r="B145" s="127"/>
      <c r="C145" s="127"/>
      <c r="D145" s="127"/>
      <c r="E145" s="126"/>
      <c r="F145" s="126"/>
      <c r="G145" s="126"/>
      <c r="H145" s="126"/>
      <c r="I145" s="127"/>
      <c r="J145" s="127"/>
      <c r="K145" s="127"/>
      <c r="L145" s="127"/>
      <c r="M145" s="130"/>
      <c r="N145" s="131"/>
      <c r="O145" s="130"/>
      <c r="P145" s="131"/>
      <c r="Q145" s="130"/>
      <c r="R145" s="131"/>
      <c r="S145" s="130"/>
      <c r="T145" s="131"/>
      <c r="U145" s="130"/>
      <c r="V145" s="131"/>
      <c r="W145" s="130"/>
      <c r="X145" s="131"/>
      <c r="Y145" s="130"/>
      <c r="Z145" s="131"/>
      <c r="AA145" s="130"/>
      <c r="AB145" s="131"/>
      <c r="AC145" s="130"/>
      <c r="AD145" s="131"/>
      <c r="AE145" s="130"/>
      <c r="AF145" s="131"/>
    </row>
    <row r="146" spans="1:32" x14ac:dyDescent="0.3">
      <c r="A146" s="126"/>
      <c r="B146" s="127"/>
      <c r="C146" s="127"/>
      <c r="D146" s="127"/>
      <c r="E146" s="126"/>
      <c r="F146" s="126"/>
      <c r="G146" s="126"/>
      <c r="H146" s="126"/>
      <c r="I146" s="127"/>
      <c r="J146" s="127"/>
      <c r="K146" s="127"/>
      <c r="L146" s="127"/>
      <c r="M146" s="130"/>
      <c r="N146" s="131"/>
      <c r="O146" s="130"/>
      <c r="P146" s="131"/>
      <c r="Q146" s="130"/>
      <c r="R146" s="131"/>
      <c r="S146" s="130"/>
      <c r="T146" s="131"/>
      <c r="U146" s="130"/>
      <c r="V146" s="131"/>
      <c r="W146" s="130"/>
      <c r="X146" s="131"/>
      <c r="Y146" s="130"/>
      <c r="Z146" s="131"/>
      <c r="AA146" s="130"/>
      <c r="AB146" s="131"/>
      <c r="AC146" s="130"/>
      <c r="AD146" s="131"/>
      <c r="AE146" s="130"/>
      <c r="AF146" s="131"/>
    </row>
    <row r="147" spans="1:32" x14ac:dyDescent="0.3">
      <c r="A147" s="126"/>
      <c r="B147" s="127"/>
      <c r="C147" s="127"/>
      <c r="D147" s="127"/>
      <c r="E147" s="126"/>
      <c r="F147" s="126"/>
      <c r="G147" s="126"/>
      <c r="H147" s="126"/>
      <c r="I147" s="127"/>
      <c r="J147" s="127"/>
      <c r="K147" s="127"/>
      <c r="L147" s="127"/>
      <c r="M147" s="130"/>
      <c r="N147" s="131"/>
      <c r="O147" s="130"/>
      <c r="P147" s="131"/>
      <c r="Q147" s="130"/>
      <c r="R147" s="131"/>
      <c r="S147" s="130"/>
      <c r="T147" s="131"/>
      <c r="U147" s="130"/>
      <c r="V147" s="131"/>
      <c r="W147" s="130"/>
      <c r="X147" s="131"/>
      <c r="Y147" s="130"/>
      <c r="Z147" s="131"/>
      <c r="AA147" s="130"/>
      <c r="AB147" s="131"/>
      <c r="AC147" s="130"/>
      <c r="AD147" s="131"/>
      <c r="AE147" s="130"/>
      <c r="AF147" s="131"/>
    </row>
    <row r="148" spans="1:32" x14ac:dyDescent="0.3">
      <c r="A148" s="126"/>
      <c r="B148" s="127"/>
      <c r="C148" s="127"/>
      <c r="D148" s="127"/>
      <c r="E148" s="126"/>
      <c r="F148" s="126"/>
      <c r="G148" s="126"/>
      <c r="H148" s="126"/>
      <c r="I148" s="127"/>
      <c r="J148" s="127"/>
      <c r="K148" s="127"/>
      <c r="L148" s="127"/>
      <c r="M148" s="130"/>
      <c r="N148" s="131"/>
      <c r="O148" s="130"/>
      <c r="P148" s="131"/>
      <c r="Q148" s="130"/>
      <c r="R148" s="131"/>
      <c r="S148" s="130"/>
      <c r="T148" s="131"/>
      <c r="U148" s="130"/>
      <c r="V148" s="131"/>
      <c r="W148" s="130"/>
      <c r="X148" s="131"/>
      <c r="Y148" s="130"/>
      <c r="Z148" s="131"/>
      <c r="AA148" s="130"/>
      <c r="AB148" s="131"/>
      <c r="AC148" s="130"/>
      <c r="AD148" s="131"/>
      <c r="AE148" s="130"/>
      <c r="AF148" s="131"/>
    </row>
    <row r="149" spans="1:32" x14ac:dyDescent="0.3">
      <c r="A149" s="126"/>
      <c r="B149" s="127"/>
      <c r="C149" s="127"/>
      <c r="D149" s="127"/>
      <c r="E149" s="126"/>
      <c r="F149" s="126"/>
      <c r="G149" s="126"/>
      <c r="H149" s="126"/>
      <c r="I149" s="127"/>
      <c r="J149" s="127"/>
      <c r="K149" s="127"/>
      <c r="L149" s="127"/>
      <c r="M149" s="130"/>
      <c r="N149" s="131"/>
      <c r="O149" s="130"/>
      <c r="P149" s="131"/>
      <c r="Q149" s="130"/>
      <c r="R149" s="131"/>
      <c r="S149" s="130"/>
      <c r="T149" s="131"/>
      <c r="U149" s="130"/>
      <c r="V149" s="131"/>
      <c r="W149" s="130"/>
      <c r="X149" s="131"/>
      <c r="Y149" s="130"/>
      <c r="Z149" s="131"/>
      <c r="AA149" s="130"/>
      <c r="AB149" s="131"/>
      <c r="AC149" s="130"/>
      <c r="AD149" s="131"/>
      <c r="AE149" s="130"/>
      <c r="AF149" s="131"/>
    </row>
    <row r="150" spans="1:32" x14ac:dyDescent="0.3">
      <c r="A150" s="126"/>
      <c r="B150" s="127"/>
      <c r="C150" s="127"/>
      <c r="D150" s="127"/>
      <c r="E150" s="126"/>
      <c r="F150" s="126"/>
      <c r="G150" s="126"/>
      <c r="H150" s="126"/>
      <c r="I150" s="127"/>
      <c r="J150" s="127"/>
      <c r="K150" s="127"/>
      <c r="L150" s="127"/>
      <c r="M150" s="130"/>
      <c r="N150" s="131"/>
      <c r="O150" s="130"/>
      <c r="P150" s="131"/>
      <c r="Q150" s="130"/>
      <c r="R150" s="131"/>
      <c r="S150" s="130"/>
      <c r="T150" s="131"/>
      <c r="U150" s="130"/>
      <c r="V150" s="131"/>
      <c r="W150" s="130"/>
      <c r="X150" s="131"/>
      <c r="Y150" s="130"/>
      <c r="Z150" s="131"/>
      <c r="AA150" s="130"/>
      <c r="AB150" s="131"/>
      <c r="AC150" s="130"/>
      <c r="AD150" s="131"/>
      <c r="AE150" s="130"/>
      <c r="AF150" s="131"/>
    </row>
    <row r="151" spans="1:32" x14ac:dyDescent="0.3">
      <c r="A151" s="126"/>
      <c r="B151" s="127"/>
      <c r="C151" s="127"/>
      <c r="D151" s="127"/>
      <c r="E151" s="126"/>
      <c r="F151" s="126"/>
      <c r="G151" s="126"/>
      <c r="H151" s="126"/>
      <c r="I151" s="127"/>
      <c r="J151" s="127"/>
      <c r="K151" s="127"/>
      <c r="L151" s="127"/>
      <c r="M151" s="130"/>
      <c r="N151" s="131"/>
      <c r="O151" s="130"/>
      <c r="P151" s="131"/>
      <c r="Q151" s="130"/>
      <c r="R151" s="131"/>
      <c r="S151" s="130"/>
      <c r="T151" s="131"/>
      <c r="U151" s="130"/>
      <c r="V151" s="131"/>
      <c r="W151" s="130"/>
      <c r="X151" s="131"/>
      <c r="Y151" s="130"/>
      <c r="Z151" s="131"/>
      <c r="AA151" s="130"/>
      <c r="AB151" s="131"/>
      <c r="AC151" s="130"/>
      <c r="AD151" s="131"/>
      <c r="AE151" s="130"/>
      <c r="AF151" s="131"/>
    </row>
    <row r="152" spans="1:32" x14ac:dyDescent="0.3">
      <c r="A152" s="126"/>
      <c r="B152" s="127"/>
      <c r="C152" s="127"/>
      <c r="D152" s="127"/>
      <c r="E152" s="126"/>
      <c r="F152" s="126"/>
      <c r="G152" s="126"/>
      <c r="H152" s="126"/>
      <c r="I152" s="127"/>
      <c r="J152" s="127"/>
      <c r="K152" s="127"/>
      <c r="L152" s="127"/>
      <c r="M152" s="130"/>
      <c r="N152" s="131"/>
      <c r="O152" s="130"/>
      <c r="P152" s="131"/>
      <c r="Q152" s="130"/>
      <c r="R152" s="131"/>
      <c r="S152" s="130"/>
      <c r="T152" s="131"/>
      <c r="U152" s="130"/>
      <c r="V152" s="131"/>
      <c r="W152" s="130"/>
      <c r="X152" s="131"/>
      <c r="Y152" s="130"/>
      <c r="Z152" s="131"/>
      <c r="AA152" s="130"/>
      <c r="AB152" s="131"/>
      <c r="AC152" s="130"/>
      <c r="AD152" s="131"/>
      <c r="AE152" s="130"/>
      <c r="AF152" s="131"/>
    </row>
    <row r="153" spans="1:32" x14ac:dyDescent="0.3">
      <c r="A153" s="126"/>
      <c r="B153" s="127"/>
      <c r="C153" s="127"/>
      <c r="D153" s="127"/>
      <c r="E153" s="126"/>
      <c r="F153" s="126"/>
      <c r="G153" s="126"/>
      <c r="H153" s="126"/>
      <c r="I153" s="127"/>
      <c r="J153" s="127"/>
      <c r="K153" s="127"/>
      <c r="L153" s="127"/>
      <c r="M153" s="130"/>
      <c r="N153" s="131"/>
      <c r="O153" s="130"/>
      <c r="P153" s="131"/>
      <c r="Q153" s="130"/>
      <c r="R153" s="131"/>
      <c r="S153" s="130"/>
      <c r="T153" s="131"/>
      <c r="U153" s="130"/>
      <c r="V153" s="131"/>
      <c r="W153" s="130"/>
      <c r="X153" s="131"/>
      <c r="Y153" s="130"/>
      <c r="Z153" s="131"/>
      <c r="AA153" s="130"/>
      <c r="AB153" s="131"/>
      <c r="AC153" s="130"/>
      <c r="AD153" s="131"/>
      <c r="AE153" s="130"/>
      <c r="AF153" s="131"/>
    </row>
    <row r="154" spans="1:32" x14ac:dyDescent="0.3">
      <c r="A154" s="126"/>
      <c r="B154" s="127"/>
      <c r="C154" s="127"/>
      <c r="D154" s="127"/>
      <c r="E154" s="126"/>
      <c r="F154" s="126"/>
      <c r="G154" s="126"/>
      <c r="H154" s="126"/>
      <c r="I154" s="127"/>
      <c r="J154" s="127"/>
      <c r="K154" s="127"/>
      <c r="L154" s="127"/>
      <c r="M154" s="130"/>
      <c r="N154" s="131"/>
      <c r="O154" s="130"/>
      <c r="P154" s="131"/>
      <c r="Q154" s="130"/>
      <c r="R154" s="131"/>
      <c r="S154" s="130"/>
      <c r="T154" s="131"/>
      <c r="U154" s="130"/>
      <c r="V154" s="131"/>
      <c r="W154" s="130"/>
      <c r="X154" s="131"/>
      <c r="Y154" s="130"/>
      <c r="Z154" s="131"/>
      <c r="AA154" s="130"/>
      <c r="AB154" s="131"/>
      <c r="AC154" s="130"/>
      <c r="AD154" s="131"/>
      <c r="AE154" s="130"/>
      <c r="AF154" s="131"/>
    </row>
    <row r="155" spans="1:32" x14ac:dyDescent="0.3">
      <c r="A155" s="126"/>
      <c r="B155" s="127"/>
      <c r="C155" s="127"/>
      <c r="D155" s="127"/>
      <c r="E155" s="126"/>
      <c r="F155" s="126"/>
      <c r="G155" s="126"/>
      <c r="H155" s="126"/>
      <c r="I155" s="127"/>
      <c r="J155" s="127"/>
      <c r="K155" s="127"/>
      <c r="L155" s="127"/>
      <c r="M155" s="130"/>
      <c r="N155" s="131"/>
      <c r="O155" s="130"/>
      <c r="P155" s="131"/>
      <c r="Q155" s="130"/>
      <c r="R155" s="131"/>
      <c r="S155" s="130"/>
      <c r="T155" s="131"/>
      <c r="U155" s="130"/>
      <c r="V155" s="131"/>
      <c r="W155" s="130"/>
      <c r="X155" s="131"/>
      <c r="Y155" s="130"/>
      <c r="Z155" s="131"/>
      <c r="AA155" s="130"/>
      <c r="AB155" s="131"/>
      <c r="AC155" s="130"/>
      <c r="AD155" s="131"/>
      <c r="AE155" s="130"/>
      <c r="AF155" s="131"/>
    </row>
    <row r="156" spans="1:32" x14ac:dyDescent="0.3">
      <c r="A156" s="126"/>
      <c r="B156" s="127"/>
      <c r="C156" s="127"/>
      <c r="D156" s="127"/>
      <c r="E156" s="126"/>
      <c r="F156" s="126"/>
      <c r="G156" s="126"/>
      <c r="H156" s="126"/>
      <c r="I156" s="127"/>
      <c r="J156" s="127"/>
      <c r="K156" s="127"/>
      <c r="L156" s="127"/>
      <c r="M156" s="130"/>
      <c r="N156" s="131"/>
      <c r="O156" s="130"/>
      <c r="P156" s="131"/>
      <c r="Q156" s="130"/>
      <c r="R156" s="131"/>
      <c r="S156" s="130"/>
      <c r="T156" s="131"/>
      <c r="U156" s="130"/>
      <c r="V156" s="131"/>
      <c r="W156" s="130"/>
      <c r="X156" s="131"/>
      <c r="Y156" s="130"/>
      <c r="Z156" s="131"/>
      <c r="AA156" s="130"/>
      <c r="AB156" s="131"/>
      <c r="AC156" s="130"/>
      <c r="AD156" s="131"/>
      <c r="AE156" s="130"/>
      <c r="AF156" s="131"/>
    </row>
    <row r="157" spans="1:32" x14ac:dyDescent="0.3">
      <c r="A157" s="126"/>
      <c r="B157" s="127"/>
      <c r="C157" s="127"/>
      <c r="D157" s="127"/>
      <c r="E157" s="126"/>
      <c r="F157" s="126"/>
      <c r="G157" s="126"/>
      <c r="H157" s="126"/>
      <c r="I157" s="127"/>
      <c r="J157" s="127"/>
      <c r="K157" s="127"/>
      <c r="L157" s="127"/>
      <c r="M157" s="130"/>
      <c r="N157" s="131"/>
      <c r="O157" s="130"/>
      <c r="P157" s="131"/>
      <c r="Q157" s="130"/>
      <c r="R157" s="131"/>
      <c r="S157" s="130"/>
      <c r="T157" s="131"/>
      <c r="U157" s="130"/>
      <c r="V157" s="131"/>
      <c r="W157" s="130"/>
      <c r="X157" s="131"/>
      <c r="Y157" s="130"/>
      <c r="Z157" s="131"/>
      <c r="AA157" s="130"/>
      <c r="AB157" s="131"/>
      <c r="AC157" s="130"/>
      <c r="AD157" s="131"/>
      <c r="AE157" s="130"/>
      <c r="AF157" s="131"/>
    </row>
    <row r="158" spans="1:32" x14ac:dyDescent="0.3">
      <c r="A158" s="126"/>
      <c r="B158" s="127"/>
      <c r="C158" s="127"/>
      <c r="D158" s="127"/>
      <c r="E158" s="126"/>
      <c r="F158" s="126"/>
      <c r="G158" s="126"/>
      <c r="H158" s="126"/>
      <c r="I158" s="127"/>
      <c r="J158" s="127"/>
      <c r="K158" s="127"/>
      <c r="L158" s="127"/>
      <c r="M158" s="130"/>
      <c r="N158" s="131"/>
      <c r="O158" s="130"/>
      <c r="P158" s="131"/>
      <c r="Q158" s="130"/>
      <c r="R158" s="131"/>
      <c r="S158" s="130"/>
      <c r="T158" s="131"/>
      <c r="U158" s="130"/>
      <c r="V158" s="131"/>
      <c r="W158" s="130"/>
      <c r="X158" s="131"/>
      <c r="Y158" s="130"/>
      <c r="Z158" s="131"/>
      <c r="AA158" s="130"/>
      <c r="AB158" s="131"/>
      <c r="AC158" s="130"/>
      <c r="AD158" s="131"/>
      <c r="AE158" s="130"/>
      <c r="AF158" s="131"/>
    </row>
    <row r="159" spans="1:32" x14ac:dyDescent="0.3">
      <c r="A159" s="126"/>
      <c r="B159" s="127"/>
      <c r="C159" s="127"/>
      <c r="D159" s="127"/>
      <c r="E159" s="126"/>
      <c r="F159" s="126"/>
      <c r="G159" s="126"/>
      <c r="H159" s="126"/>
      <c r="I159" s="127"/>
      <c r="J159" s="127"/>
      <c r="K159" s="127"/>
      <c r="L159" s="127"/>
      <c r="M159" s="130"/>
      <c r="N159" s="131"/>
      <c r="O159" s="130"/>
      <c r="P159" s="131"/>
      <c r="Q159" s="130"/>
      <c r="R159" s="131"/>
      <c r="S159" s="130"/>
      <c r="T159" s="131"/>
      <c r="U159" s="130"/>
      <c r="V159" s="131"/>
      <c r="W159" s="130"/>
      <c r="X159" s="131"/>
      <c r="Y159" s="130"/>
      <c r="Z159" s="131"/>
      <c r="AA159" s="130"/>
      <c r="AB159" s="131"/>
      <c r="AC159" s="130"/>
      <c r="AD159" s="131"/>
      <c r="AE159" s="130"/>
      <c r="AF159" s="131"/>
    </row>
    <row r="160" spans="1:32" x14ac:dyDescent="0.3">
      <c r="A160" s="126"/>
      <c r="B160" s="127"/>
      <c r="C160" s="127"/>
      <c r="D160" s="127"/>
      <c r="E160" s="126"/>
      <c r="F160" s="126"/>
      <c r="G160" s="126"/>
      <c r="H160" s="126"/>
      <c r="I160" s="127"/>
      <c r="J160" s="127"/>
      <c r="K160" s="127"/>
      <c r="L160" s="127"/>
      <c r="M160" s="130"/>
      <c r="N160" s="131"/>
      <c r="O160" s="130"/>
      <c r="P160" s="131"/>
      <c r="Q160" s="130"/>
      <c r="R160" s="131"/>
      <c r="S160" s="130"/>
      <c r="T160" s="131"/>
      <c r="U160" s="130"/>
      <c r="V160" s="131"/>
      <c r="W160" s="130"/>
      <c r="X160" s="131"/>
      <c r="Y160" s="130"/>
      <c r="Z160" s="131"/>
      <c r="AA160" s="130"/>
      <c r="AB160" s="131"/>
      <c r="AC160" s="130"/>
      <c r="AD160" s="131"/>
      <c r="AE160" s="130"/>
      <c r="AF160" s="131"/>
    </row>
    <row r="161" spans="1:32" x14ac:dyDescent="0.3">
      <c r="A161" s="126"/>
      <c r="B161" s="127"/>
      <c r="C161" s="127"/>
      <c r="D161" s="127"/>
      <c r="E161" s="126"/>
      <c r="F161" s="126"/>
      <c r="G161" s="126"/>
      <c r="H161" s="126"/>
      <c r="I161" s="127"/>
      <c r="J161" s="127"/>
      <c r="K161" s="127"/>
      <c r="L161" s="127"/>
      <c r="M161" s="130"/>
      <c r="N161" s="131"/>
      <c r="O161" s="130"/>
      <c r="P161" s="131"/>
      <c r="Q161" s="130"/>
      <c r="R161" s="131"/>
      <c r="S161" s="130"/>
      <c r="T161" s="131"/>
      <c r="U161" s="130"/>
      <c r="V161" s="131"/>
      <c r="W161" s="130"/>
      <c r="X161" s="131"/>
      <c r="Y161" s="130"/>
      <c r="Z161" s="131"/>
      <c r="AA161" s="130"/>
      <c r="AB161" s="131"/>
      <c r="AC161" s="130"/>
      <c r="AD161" s="131"/>
      <c r="AE161" s="130"/>
      <c r="AF161" s="131"/>
    </row>
    <row r="162" spans="1:32" x14ac:dyDescent="0.3">
      <c r="A162" s="126"/>
      <c r="B162" s="127"/>
      <c r="C162" s="127"/>
      <c r="D162" s="127"/>
      <c r="E162" s="126"/>
      <c r="F162" s="126"/>
      <c r="G162" s="126"/>
      <c r="H162" s="126"/>
      <c r="I162" s="127"/>
      <c r="J162" s="127"/>
      <c r="K162" s="127"/>
      <c r="L162" s="127"/>
      <c r="M162" s="130"/>
      <c r="N162" s="131"/>
      <c r="O162" s="130"/>
      <c r="P162" s="131"/>
      <c r="Q162" s="130"/>
      <c r="R162" s="131"/>
      <c r="S162" s="130"/>
      <c r="T162" s="131"/>
      <c r="U162" s="130"/>
      <c r="V162" s="131"/>
      <c r="W162" s="130"/>
      <c r="X162" s="131"/>
      <c r="Y162" s="130"/>
      <c r="Z162" s="131"/>
      <c r="AA162" s="130"/>
      <c r="AB162" s="131"/>
      <c r="AC162" s="130"/>
      <c r="AD162" s="131"/>
      <c r="AE162" s="130"/>
      <c r="AF162" s="131"/>
    </row>
    <row r="163" spans="1:32" x14ac:dyDescent="0.3">
      <c r="A163" s="126"/>
      <c r="B163" s="127"/>
      <c r="C163" s="127"/>
      <c r="D163" s="127"/>
      <c r="E163" s="126"/>
      <c r="F163" s="126"/>
      <c r="G163" s="126"/>
      <c r="H163" s="126"/>
      <c r="I163" s="127"/>
      <c r="J163" s="127"/>
      <c r="K163" s="127"/>
      <c r="L163" s="127"/>
      <c r="M163" s="130"/>
      <c r="N163" s="131"/>
      <c r="O163" s="130"/>
      <c r="P163" s="131"/>
      <c r="Q163" s="130"/>
      <c r="R163" s="131"/>
      <c r="S163" s="130"/>
      <c r="T163" s="131"/>
      <c r="U163" s="130"/>
      <c r="V163" s="131"/>
      <c r="W163" s="130"/>
      <c r="X163" s="131"/>
      <c r="Y163" s="130"/>
      <c r="Z163" s="131"/>
      <c r="AA163" s="130"/>
      <c r="AB163" s="131"/>
      <c r="AC163" s="130"/>
      <c r="AD163" s="131"/>
      <c r="AE163" s="130"/>
      <c r="AF163" s="131"/>
    </row>
    <row r="164" spans="1:32" x14ac:dyDescent="0.3">
      <c r="A164" s="126"/>
      <c r="B164" s="127"/>
      <c r="C164" s="127"/>
      <c r="D164" s="127"/>
      <c r="E164" s="126"/>
      <c r="F164" s="126"/>
      <c r="G164" s="126"/>
      <c r="H164" s="126"/>
      <c r="I164" s="127"/>
      <c r="J164" s="127"/>
      <c r="K164" s="127"/>
      <c r="L164" s="127"/>
      <c r="M164" s="130"/>
      <c r="N164" s="131"/>
      <c r="O164" s="130"/>
      <c r="P164" s="131"/>
      <c r="Q164" s="130"/>
      <c r="R164" s="131"/>
      <c r="S164" s="130"/>
      <c r="T164" s="131"/>
      <c r="U164" s="130"/>
      <c r="V164" s="131"/>
      <c r="W164" s="130"/>
      <c r="X164" s="131"/>
      <c r="Y164" s="130"/>
      <c r="Z164" s="131"/>
      <c r="AA164" s="130"/>
      <c r="AB164" s="131"/>
      <c r="AC164" s="130"/>
      <c r="AD164" s="131"/>
      <c r="AE164" s="130"/>
      <c r="AF164" s="131"/>
    </row>
    <row r="165" spans="1:32" x14ac:dyDescent="0.3">
      <c r="A165" s="126"/>
      <c r="B165" s="127"/>
      <c r="C165" s="127"/>
      <c r="D165" s="127"/>
      <c r="E165" s="126"/>
      <c r="F165" s="126"/>
      <c r="G165" s="126"/>
      <c r="H165" s="126"/>
      <c r="I165" s="127"/>
      <c r="J165" s="127"/>
      <c r="K165" s="127"/>
      <c r="L165" s="127"/>
      <c r="M165" s="130"/>
      <c r="N165" s="131"/>
      <c r="O165" s="130"/>
      <c r="P165" s="131"/>
      <c r="Q165" s="130"/>
      <c r="R165" s="131"/>
      <c r="S165" s="130"/>
      <c r="T165" s="131"/>
      <c r="U165" s="130"/>
      <c r="V165" s="131"/>
      <c r="W165" s="130"/>
      <c r="X165" s="131"/>
      <c r="Y165" s="130"/>
      <c r="Z165" s="131"/>
      <c r="AA165" s="130"/>
      <c r="AB165" s="131"/>
      <c r="AC165" s="130"/>
      <c r="AD165" s="131"/>
      <c r="AE165" s="130"/>
      <c r="AF165" s="131"/>
    </row>
    <row r="166" spans="1:32" x14ac:dyDescent="0.3">
      <c r="A166" s="126"/>
      <c r="B166" s="127"/>
      <c r="C166" s="127"/>
      <c r="D166" s="127"/>
      <c r="E166" s="126"/>
      <c r="F166" s="126"/>
      <c r="G166" s="126"/>
      <c r="H166" s="126"/>
      <c r="I166" s="127"/>
      <c r="J166" s="127"/>
      <c r="K166" s="127"/>
      <c r="L166" s="127"/>
      <c r="M166" s="130"/>
      <c r="N166" s="131"/>
      <c r="O166" s="130"/>
      <c r="P166" s="131"/>
      <c r="Q166" s="130"/>
      <c r="R166" s="131"/>
      <c r="S166" s="130"/>
      <c r="T166" s="131"/>
      <c r="U166" s="130"/>
      <c r="V166" s="131"/>
      <c r="W166" s="130"/>
      <c r="X166" s="131"/>
      <c r="Y166" s="130"/>
      <c r="Z166" s="131"/>
      <c r="AA166" s="130"/>
      <c r="AB166" s="131"/>
      <c r="AC166" s="130"/>
      <c r="AD166" s="131"/>
      <c r="AE166" s="130"/>
      <c r="AF166" s="131"/>
    </row>
    <row r="167" spans="1:32" x14ac:dyDescent="0.3">
      <c r="A167" s="126"/>
      <c r="B167" s="127"/>
      <c r="C167" s="127"/>
      <c r="D167" s="127"/>
      <c r="E167" s="126"/>
      <c r="F167" s="126"/>
      <c r="G167" s="126"/>
      <c r="H167" s="126"/>
      <c r="I167" s="127"/>
      <c r="J167" s="127"/>
      <c r="K167" s="127"/>
      <c r="L167" s="127"/>
      <c r="M167" s="130"/>
      <c r="N167" s="131"/>
      <c r="O167" s="130"/>
      <c r="P167" s="131"/>
      <c r="Q167" s="130"/>
      <c r="R167" s="131"/>
      <c r="S167" s="130"/>
      <c r="T167" s="131"/>
      <c r="U167" s="130"/>
      <c r="V167" s="131"/>
      <c r="W167" s="130"/>
      <c r="X167" s="131"/>
      <c r="Y167" s="130"/>
      <c r="Z167" s="131"/>
      <c r="AA167" s="130"/>
      <c r="AB167" s="131"/>
      <c r="AC167" s="130"/>
      <c r="AD167" s="131"/>
      <c r="AE167" s="130"/>
      <c r="AF167" s="131"/>
    </row>
    <row r="168" spans="1:32" x14ac:dyDescent="0.3">
      <c r="A168" s="126"/>
      <c r="B168" s="127"/>
      <c r="C168" s="127"/>
      <c r="D168" s="127"/>
      <c r="E168" s="126"/>
      <c r="F168" s="126"/>
      <c r="G168" s="126"/>
      <c r="H168" s="126"/>
      <c r="I168" s="127"/>
      <c r="J168" s="127"/>
      <c r="K168" s="127"/>
      <c r="L168" s="127"/>
      <c r="M168" s="130"/>
      <c r="N168" s="131"/>
      <c r="O168" s="130"/>
      <c r="P168" s="131"/>
      <c r="Q168" s="130"/>
      <c r="R168" s="131"/>
      <c r="S168" s="130"/>
      <c r="T168" s="131"/>
      <c r="U168" s="130"/>
      <c r="V168" s="131"/>
      <c r="W168" s="130"/>
      <c r="X168" s="131"/>
      <c r="Y168" s="130"/>
      <c r="Z168" s="131"/>
      <c r="AA168" s="130"/>
      <c r="AB168" s="131"/>
      <c r="AC168" s="130"/>
      <c r="AD168" s="131"/>
      <c r="AE168" s="130"/>
      <c r="AF168" s="131"/>
    </row>
    <row r="169" spans="1:32" x14ac:dyDescent="0.3">
      <c r="A169" s="126"/>
      <c r="B169" s="127"/>
      <c r="C169" s="127"/>
      <c r="D169" s="127"/>
      <c r="E169" s="126"/>
      <c r="F169" s="126"/>
      <c r="G169" s="126"/>
      <c r="H169" s="126"/>
      <c r="I169" s="127"/>
      <c r="J169" s="127"/>
      <c r="K169" s="127"/>
      <c r="L169" s="127"/>
      <c r="M169" s="130"/>
      <c r="N169" s="131"/>
      <c r="O169" s="130"/>
      <c r="P169" s="131"/>
      <c r="Q169" s="130"/>
      <c r="R169" s="131"/>
      <c r="S169" s="130"/>
      <c r="T169" s="131"/>
      <c r="U169" s="130"/>
      <c r="V169" s="131"/>
      <c r="W169" s="130"/>
      <c r="X169" s="131"/>
      <c r="Y169" s="130"/>
      <c r="Z169" s="131"/>
      <c r="AA169" s="130"/>
      <c r="AB169" s="131"/>
      <c r="AC169" s="130"/>
      <c r="AD169" s="131"/>
      <c r="AE169" s="130"/>
      <c r="AF169" s="131"/>
    </row>
    <row r="170" spans="1:32" x14ac:dyDescent="0.3">
      <c r="A170" s="126"/>
      <c r="B170" s="127"/>
      <c r="C170" s="127"/>
      <c r="D170" s="127"/>
      <c r="E170" s="126"/>
      <c r="F170" s="126"/>
      <c r="G170" s="126"/>
      <c r="H170" s="126"/>
      <c r="I170" s="127"/>
      <c r="J170" s="127"/>
      <c r="K170" s="127"/>
      <c r="L170" s="127"/>
      <c r="M170" s="130"/>
      <c r="N170" s="131"/>
      <c r="O170" s="130"/>
      <c r="P170" s="131"/>
      <c r="Q170" s="130"/>
      <c r="R170" s="131"/>
      <c r="S170" s="130"/>
      <c r="T170" s="131"/>
      <c r="U170" s="130"/>
      <c r="V170" s="131"/>
      <c r="W170" s="130"/>
      <c r="X170" s="131"/>
      <c r="Y170" s="130"/>
      <c r="Z170" s="131"/>
      <c r="AA170" s="130"/>
      <c r="AB170" s="131"/>
      <c r="AC170" s="130"/>
      <c r="AD170" s="131"/>
      <c r="AE170" s="130"/>
      <c r="AF170" s="131"/>
    </row>
    <row r="171" spans="1:32" x14ac:dyDescent="0.3">
      <c r="A171" s="126"/>
      <c r="B171" s="127"/>
      <c r="C171" s="127"/>
      <c r="D171" s="127"/>
      <c r="E171" s="126"/>
      <c r="F171" s="126"/>
      <c r="G171" s="126"/>
      <c r="H171" s="126"/>
      <c r="I171" s="127"/>
      <c r="J171" s="127"/>
      <c r="K171" s="127"/>
      <c r="L171" s="127"/>
      <c r="M171" s="130"/>
      <c r="N171" s="131"/>
      <c r="O171" s="130"/>
      <c r="P171" s="131"/>
      <c r="Q171" s="130"/>
      <c r="R171" s="131"/>
      <c r="S171" s="130"/>
      <c r="T171" s="131"/>
      <c r="U171" s="130"/>
      <c r="V171" s="131"/>
      <c r="W171" s="130"/>
      <c r="X171" s="131"/>
      <c r="Y171" s="130"/>
      <c r="Z171" s="131"/>
      <c r="AA171" s="130"/>
      <c r="AB171" s="131"/>
      <c r="AC171" s="130"/>
      <c r="AD171" s="131"/>
      <c r="AE171" s="130"/>
      <c r="AF171" s="131"/>
    </row>
    <row r="172" spans="1:32" x14ac:dyDescent="0.3">
      <c r="A172" s="126"/>
      <c r="B172" s="127"/>
      <c r="C172" s="127"/>
      <c r="D172" s="127"/>
      <c r="E172" s="126"/>
      <c r="F172" s="126"/>
      <c r="G172" s="126"/>
      <c r="H172" s="126"/>
      <c r="I172" s="127"/>
      <c r="J172" s="127"/>
      <c r="K172" s="127"/>
      <c r="L172" s="127"/>
      <c r="M172" s="130"/>
      <c r="N172" s="131"/>
      <c r="O172" s="130"/>
      <c r="P172" s="131"/>
      <c r="Q172" s="130"/>
      <c r="R172" s="131"/>
      <c r="S172" s="130"/>
      <c r="T172" s="131"/>
      <c r="U172" s="130"/>
      <c r="V172" s="131"/>
      <c r="W172" s="130"/>
      <c r="X172" s="131"/>
      <c r="Y172" s="130"/>
      <c r="Z172" s="131"/>
      <c r="AA172" s="130"/>
      <c r="AB172" s="131"/>
      <c r="AC172" s="130"/>
      <c r="AD172" s="131"/>
      <c r="AE172" s="130"/>
      <c r="AF172" s="131"/>
    </row>
    <row r="173" spans="1:32" x14ac:dyDescent="0.3">
      <c r="A173" s="126"/>
      <c r="B173" s="127"/>
      <c r="C173" s="127"/>
      <c r="D173" s="127"/>
      <c r="E173" s="126"/>
      <c r="F173" s="126"/>
      <c r="G173" s="126"/>
      <c r="H173" s="126"/>
      <c r="I173" s="127"/>
      <c r="J173" s="127"/>
      <c r="K173" s="127"/>
      <c r="L173" s="127"/>
      <c r="M173" s="130"/>
      <c r="N173" s="131"/>
      <c r="O173" s="130"/>
      <c r="P173" s="131"/>
      <c r="Q173" s="130"/>
      <c r="R173" s="131"/>
      <c r="S173" s="130"/>
      <c r="T173" s="131"/>
      <c r="U173" s="130"/>
      <c r="V173" s="131"/>
      <c r="W173" s="130"/>
      <c r="X173" s="131"/>
      <c r="Y173" s="130"/>
      <c r="Z173" s="131"/>
      <c r="AA173" s="130"/>
      <c r="AB173" s="131"/>
      <c r="AC173" s="130"/>
      <c r="AD173" s="131"/>
      <c r="AE173" s="130"/>
      <c r="AF173" s="131"/>
    </row>
    <row r="174" spans="1:32" x14ac:dyDescent="0.3">
      <c r="A174" s="126"/>
      <c r="B174" s="127"/>
      <c r="C174" s="127"/>
      <c r="D174" s="127"/>
      <c r="E174" s="126"/>
      <c r="F174" s="126"/>
      <c r="G174" s="126"/>
      <c r="H174" s="126"/>
      <c r="I174" s="127"/>
      <c r="J174" s="127"/>
      <c r="K174" s="127"/>
      <c r="L174" s="127"/>
      <c r="M174" s="130"/>
      <c r="N174" s="131"/>
      <c r="O174" s="130"/>
      <c r="P174" s="131"/>
      <c r="Q174" s="130"/>
      <c r="R174" s="131"/>
      <c r="S174" s="130"/>
      <c r="T174" s="131"/>
      <c r="U174" s="130"/>
      <c r="V174" s="131"/>
      <c r="W174" s="130"/>
      <c r="X174" s="131"/>
      <c r="Y174" s="130"/>
      <c r="Z174" s="131"/>
      <c r="AA174" s="130"/>
      <c r="AB174" s="131"/>
      <c r="AC174" s="130"/>
      <c r="AD174" s="131"/>
      <c r="AE174" s="130"/>
      <c r="AF174" s="131"/>
    </row>
    <row r="175" spans="1:32" x14ac:dyDescent="0.3">
      <c r="A175" s="126"/>
      <c r="B175" s="127"/>
      <c r="C175" s="127"/>
      <c r="D175" s="127"/>
      <c r="E175" s="126"/>
      <c r="F175" s="126"/>
      <c r="G175" s="126"/>
      <c r="H175" s="126"/>
      <c r="I175" s="127"/>
      <c r="J175" s="127"/>
      <c r="K175" s="127"/>
      <c r="L175" s="127"/>
      <c r="M175" s="130"/>
      <c r="N175" s="131"/>
      <c r="O175" s="130"/>
      <c r="P175" s="131"/>
      <c r="Q175" s="130"/>
      <c r="R175" s="131"/>
      <c r="S175" s="130"/>
      <c r="T175" s="131"/>
      <c r="U175" s="130"/>
      <c r="V175" s="131"/>
      <c r="W175" s="130"/>
      <c r="X175" s="131"/>
      <c r="Y175" s="130"/>
      <c r="Z175" s="131"/>
      <c r="AA175" s="130"/>
      <c r="AB175" s="131"/>
      <c r="AC175" s="130"/>
      <c r="AD175" s="131"/>
      <c r="AE175" s="130"/>
      <c r="AF175" s="131"/>
    </row>
    <row r="176" spans="1:32" x14ac:dyDescent="0.3">
      <c r="A176" s="126"/>
      <c r="B176" s="127"/>
      <c r="C176" s="127"/>
      <c r="D176" s="127"/>
      <c r="E176" s="126"/>
      <c r="F176" s="126"/>
      <c r="G176" s="126"/>
      <c r="H176" s="126"/>
      <c r="I176" s="127"/>
      <c r="J176" s="127"/>
      <c r="K176" s="127"/>
      <c r="L176" s="127"/>
      <c r="M176" s="130"/>
      <c r="N176" s="131"/>
      <c r="O176" s="130"/>
      <c r="P176" s="131"/>
      <c r="Q176" s="130"/>
      <c r="R176" s="131"/>
      <c r="S176" s="130"/>
      <c r="T176" s="131"/>
      <c r="U176" s="130"/>
      <c r="V176" s="131"/>
      <c r="W176" s="130"/>
      <c r="X176" s="131"/>
      <c r="Y176" s="130"/>
      <c r="Z176" s="131"/>
      <c r="AA176" s="130"/>
      <c r="AB176" s="131"/>
      <c r="AC176" s="130"/>
      <c r="AD176" s="131"/>
      <c r="AE176" s="130"/>
      <c r="AF176" s="131"/>
    </row>
    <row r="177" spans="1:32" x14ac:dyDescent="0.3">
      <c r="A177" s="126"/>
      <c r="B177" s="127"/>
      <c r="C177" s="127"/>
      <c r="D177" s="127"/>
      <c r="E177" s="126"/>
      <c r="F177" s="126"/>
      <c r="G177" s="126"/>
      <c r="H177" s="126"/>
      <c r="I177" s="127"/>
      <c r="J177" s="127"/>
      <c r="K177" s="127"/>
      <c r="L177" s="127"/>
      <c r="M177" s="130"/>
      <c r="N177" s="131"/>
      <c r="O177" s="130"/>
      <c r="P177" s="131"/>
      <c r="Q177" s="130"/>
      <c r="R177" s="131"/>
      <c r="S177" s="130"/>
      <c r="T177" s="131"/>
      <c r="U177" s="130"/>
      <c r="V177" s="131"/>
      <c r="W177" s="130"/>
      <c r="X177" s="131"/>
      <c r="Y177" s="130"/>
      <c r="Z177" s="131"/>
      <c r="AA177" s="130"/>
      <c r="AB177" s="131"/>
      <c r="AC177" s="130"/>
      <c r="AD177" s="131"/>
      <c r="AE177" s="130"/>
      <c r="AF177" s="131"/>
    </row>
    <row r="178" spans="1:32" x14ac:dyDescent="0.3">
      <c r="A178" s="126"/>
      <c r="B178" s="127"/>
      <c r="C178" s="127"/>
      <c r="D178" s="127"/>
      <c r="E178" s="126"/>
      <c r="F178" s="126"/>
      <c r="G178" s="126"/>
      <c r="H178" s="126"/>
      <c r="I178" s="127"/>
      <c r="J178" s="127"/>
      <c r="K178" s="127"/>
      <c r="L178" s="127"/>
      <c r="M178" s="130"/>
      <c r="N178" s="131"/>
      <c r="O178" s="130"/>
      <c r="P178" s="131"/>
      <c r="Q178" s="130"/>
      <c r="R178" s="131"/>
      <c r="S178" s="130"/>
      <c r="T178" s="131"/>
      <c r="U178" s="130"/>
      <c r="V178" s="131"/>
      <c r="W178" s="130"/>
      <c r="X178" s="131"/>
      <c r="Y178" s="130"/>
      <c r="Z178" s="131"/>
      <c r="AA178" s="130"/>
      <c r="AB178" s="131"/>
      <c r="AC178" s="130"/>
      <c r="AD178" s="131"/>
      <c r="AE178" s="130"/>
      <c r="AF178" s="131"/>
    </row>
    <row r="179" spans="1:32" x14ac:dyDescent="0.3">
      <c r="A179" s="126"/>
      <c r="B179" s="127"/>
      <c r="C179" s="127"/>
      <c r="D179" s="127"/>
      <c r="E179" s="126"/>
      <c r="F179" s="126"/>
      <c r="G179" s="126"/>
      <c r="H179" s="126"/>
      <c r="I179" s="127"/>
      <c r="J179" s="127"/>
      <c r="K179" s="127"/>
      <c r="L179" s="127"/>
      <c r="M179" s="130"/>
      <c r="N179" s="131"/>
      <c r="O179" s="130"/>
      <c r="P179" s="131"/>
      <c r="Q179" s="130"/>
      <c r="R179" s="131"/>
      <c r="S179" s="130"/>
      <c r="T179" s="131"/>
      <c r="U179" s="130"/>
      <c r="V179" s="131"/>
      <c r="W179" s="130"/>
      <c r="X179" s="131"/>
      <c r="Y179" s="130"/>
      <c r="Z179" s="131"/>
      <c r="AA179" s="130"/>
      <c r="AB179" s="131"/>
      <c r="AC179" s="130"/>
      <c r="AD179" s="131"/>
      <c r="AE179" s="130"/>
      <c r="AF179" s="131"/>
    </row>
    <row r="180" spans="1:32" x14ac:dyDescent="0.3">
      <c r="A180" s="126"/>
      <c r="B180" s="127"/>
      <c r="C180" s="127"/>
      <c r="D180" s="127"/>
      <c r="E180" s="126"/>
      <c r="F180" s="126"/>
      <c r="G180" s="126"/>
      <c r="H180" s="126"/>
      <c r="I180" s="127"/>
      <c r="J180" s="127"/>
      <c r="K180" s="127"/>
      <c r="L180" s="127"/>
      <c r="M180" s="130"/>
      <c r="N180" s="131"/>
      <c r="O180" s="130"/>
      <c r="P180" s="131"/>
      <c r="Q180" s="130"/>
      <c r="R180" s="131"/>
      <c r="S180" s="130"/>
      <c r="T180" s="131"/>
      <c r="U180" s="130"/>
      <c r="V180" s="131"/>
      <c r="W180" s="130"/>
      <c r="X180" s="131"/>
      <c r="Y180" s="130"/>
      <c r="Z180" s="131"/>
      <c r="AA180" s="130"/>
      <c r="AB180" s="131"/>
      <c r="AC180" s="130"/>
      <c r="AD180" s="131"/>
      <c r="AE180" s="130"/>
      <c r="AF180" s="131"/>
    </row>
    <row r="181" spans="1:32" x14ac:dyDescent="0.3">
      <c r="A181" s="126"/>
      <c r="B181" s="127"/>
      <c r="C181" s="127"/>
      <c r="D181" s="127"/>
      <c r="E181" s="126"/>
      <c r="F181" s="126"/>
      <c r="G181" s="126"/>
      <c r="H181" s="126"/>
      <c r="I181" s="127"/>
      <c r="J181" s="127"/>
      <c r="K181" s="127"/>
      <c r="L181" s="127"/>
      <c r="M181" s="130"/>
      <c r="N181" s="131"/>
      <c r="O181" s="130"/>
      <c r="P181" s="131"/>
      <c r="Q181" s="130"/>
      <c r="R181" s="131"/>
      <c r="S181" s="130"/>
      <c r="T181" s="131"/>
      <c r="U181" s="130"/>
      <c r="V181" s="131"/>
      <c r="W181" s="130"/>
      <c r="X181" s="131"/>
      <c r="Y181" s="130"/>
      <c r="Z181" s="131"/>
      <c r="AA181" s="130"/>
      <c r="AB181" s="131"/>
      <c r="AC181" s="130"/>
      <c r="AD181" s="131"/>
      <c r="AE181" s="130"/>
      <c r="AF181" s="131"/>
    </row>
    <row r="182" spans="1:32" x14ac:dyDescent="0.3">
      <c r="A182" s="126"/>
      <c r="B182" s="127"/>
      <c r="C182" s="127"/>
      <c r="D182" s="127"/>
      <c r="E182" s="126"/>
      <c r="F182" s="126"/>
      <c r="G182" s="126"/>
      <c r="H182" s="126"/>
      <c r="I182" s="127"/>
      <c r="J182" s="127"/>
      <c r="K182" s="127"/>
      <c r="L182" s="127"/>
      <c r="M182" s="130"/>
      <c r="N182" s="131"/>
      <c r="O182" s="130"/>
      <c r="P182" s="131"/>
      <c r="Q182" s="130"/>
      <c r="R182" s="131"/>
      <c r="S182" s="130"/>
      <c r="T182" s="131"/>
      <c r="U182" s="130"/>
      <c r="V182" s="131"/>
      <c r="W182" s="130"/>
      <c r="X182" s="131"/>
      <c r="Y182" s="130"/>
      <c r="Z182" s="131"/>
      <c r="AA182" s="130"/>
      <c r="AB182" s="131"/>
      <c r="AC182" s="130"/>
      <c r="AD182" s="131"/>
      <c r="AE182" s="130"/>
      <c r="AF182" s="131"/>
    </row>
    <row r="183" spans="1:32" x14ac:dyDescent="0.3">
      <c r="A183" s="126"/>
      <c r="B183" s="127"/>
      <c r="C183" s="127"/>
      <c r="D183" s="127"/>
      <c r="E183" s="126"/>
      <c r="F183" s="126"/>
      <c r="G183" s="126"/>
      <c r="H183" s="126"/>
      <c r="I183" s="127"/>
      <c r="J183" s="127"/>
      <c r="K183" s="127"/>
      <c r="L183" s="127"/>
      <c r="M183" s="130"/>
      <c r="N183" s="131"/>
      <c r="O183" s="130"/>
      <c r="P183" s="131"/>
      <c r="Q183" s="130"/>
      <c r="R183" s="131"/>
      <c r="S183" s="130"/>
      <c r="T183" s="131"/>
      <c r="U183" s="130"/>
      <c r="V183" s="131"/>
      <c r="W183" s="130"/>
      <c r="X183" s="131"/>
      <c r="Y183" s="130"/>
      <c r="Z183" s="131"/>
      <c r="AA183" s="130"/>
      <c r="AB183" s="131"/>
      <c r="AC183" s="130"/>
      <c r="AD183" s="131"/>
      <c r="AE183" s="130"/>
      <c r="AF183" s="131"/>
    </row>
    <row r="184" spans="1:32" x14ac:dyDescent="0.3">
      <c r="A184" s="126"/>
      <c r="B184" s="127"/>
      <c r="C184" s="127"/>
      <c r="D184" s="127"/>
      <c r="E184" s="126"/>
      <c r="F184" s="126"/>
      <c r="G184" s="126"/>
      <c r="H184" s="126"/>
      <c r="I184" s="127"/>
      <c r="J184" s="127"/>
      <c r="K184" s="127"/>
      <c r="L184" s="127"/>
      <c r="M184" s="130"/>
      <c r="N184" s="131"/>
      <c r="O184" s="130"/>
      <c r="P184" s="131"/>
      <c r="Q184" s="130"/>
      <c r="R184" s="131"/>
      <c r="S184" s="130"/>
      <c r="T184" s="131"/>
      <c r="U184" s="130"/>
      <c r="V184" s="131"/>
      <c r="W184" s="130"/>
      <c r="X184" s="131"/>
      <c r="Y184" s="130"/>
      <c r="Z184" s="131"/>
      <c r="AA184" s="130"/>
      <c r="AB184" s="131"/>
      <c r="AC184" s="130"/>
      <c r="AD184" s="131"/>
      <c r="AE184" s="130"/>
      <c r="AF184" s="131"/>
    </row>
    <row r="185" spans="1:32" x14ac:dyDescent="0.3">
      <c r="A185" s="126"/>
      <c r="B185" s="127"/>
      <c r="C185" s="127"/>
      <c r="D185" s="127"/>
      <c r="E185" s="126"/>
      <c r="F185" s="126"/>
      <c r="G185" s="126"/>
      <c r="H185" s="126"/>
      <c r="I185" s="127"/>
      <c r="J185" s="127"/>
      <c r="K185" s="127"/>
      <c r="L185" s="127"/>
      <c r="M185" s="130"/>
      <c r="N185" s="131"/>
      <c r="O185" s="130"/>
      <c r="P185" s="131"/>
      <c r="Q185" s="130"/>
      <c r="R185" s="131"/>
      <c r="S185" s="130"/>
      <c r="T185" s="131"/>
      <c r="U185" s="130"/>
      <c r="V185" s="131"/>
      <c r="W185" s="130"/>
      <c r="X185" s="131"/>
      <c r="Y185" s="130"/>
      <c r="Z185" s="131"/>
      <c r="AA185" s="130"/>
      <c r="AB185" s="131"/>
      <c r="AC185" s="130"/>
      <c r="AD185" s="131"/>
      <c r="AE185" s="130"/>
      <c r="AF185" s="131"/>
    </row>
    <row r="186" spans="1:32" x14ac:dyDescent="0.3">
      <c r="A186" s="126"/>
      <c r="B186" s="127"/>
      <c r="C186" s="127"/>
      <c r="D186" s="127"/>
      <c r="E186" s="126"/>
      <c r="F186" s="126"/>
      <c r="G186" s="126"/>
      <c r="H186" s="126"/>
      <c r="I186" s="127"/>
      <c r="J186" s="127"/>
      <c r="K186" s="127"/>
      <c r="L186" s="127"/>
      <c r="M186" s="130"/>
      <c r="N186" s="131"/>
      <c r="O186" s="130"/>
      <c r="P186" s="131"/>
      <c r="Q186" s="130"/>
      <c r="R186" s="131"/>
      <c r="S186" s="130"/>
      <c r="T186" s="131"/>
      <c r="U186" s="130"/>
      <c r="V186" s="131"/>
      <c r="W186" s="130"/>
      <c r="X186" s="131"/>
      <c r="Y186" s="130"/>
      <c r="Z186" s="131"/>
      <c r="AA186" s="130"/>
      <c r="AB186" s="131"/>
      <c r="AC186" s="130"/>
      <c r="AD186" s="131"/>
      <c r="AE186" s="130"/>
      <c r="AF186" s="131"/>
    </row>
    <row r="187" spans="1:32" x14ac:dyDescent="0.3">
      <c r="A187" s="126"/>
      <c r="B187" s="127"/>
      <c r="C187" s="127"/>
      <c r="D187" s="127"/>
      <c r="E187" s="126"/>
      <c r="F187" s="126"/>
      <c r="G187" s="126"/>
      <c r="H187" s="126"/>
      <c r="I187" s="127"/>
      <c r="J187" s="127"/>
      <c r="K187" s="127"/>
      <c r="L187" s="127"/>
      <c r="M187" s="130"/>
      <c r="N187" s="131"/>
      <c r="O187" s="130"/>
      <c r="P187" s="131"/>
      <c r="Q187" s="130"/>
      <c r="R187" s="131"/>
      <c r="S187" s="130"/>
      <c r="T187" s="131"/>
      <c r="U187" s="130"/>
      <c r="V187" s="131"/>
      <c r="W187" s="130"/>
      <c r="X187" s="131"/>
      <c r="Y187" s="130"/>
      <c r="Z187" s="131"/>
      <c r="AA187" s="130"/>
      <c r="AB187" s="131"/>
      <c r="AC187" s="130"/>
      <c r="AD187" s="131"/>
      <c r="AE187" s="130"/>
      <c r="AF187" s="131"/>
    </row>
    <row r="188" spans="1:32" x14ac:dyDescent="0.3">
      <c r="A188" s="126"/>
      <c r="B188" s="127"/>
      <c r="C188" s="127"/>
      <c r="D188" s="127"/>
      <c r="E188" s="126"/>
      <c r="F188" s="126"/>
      <c r="G188" s="126"/>
      <c r="H188" s="126"/>
      <c r="I188" s="127"/>
      <c r="J188" s="127"/>
      <c r="K188" s="127"/>
      <c r="L188" s="127"/>
      <c r="M188" s="130"/>
      <c r="N188" s="131"/>
      <c r="O188" s="130"/>
      <c r="P188" s="131"/>
      <c r="Q188" s="130"/>
      <c r="R188" s="131"/>
      <c r="S188" s="130"/>
      <c r="T188" s="131"/>
      <c r="U188" s="130"/>
      <c r="V188" s="131"/>
      <c r="W188" s="130"/>
      <c r="X188" s="131"/>
      <c r="Y188" s="130"/>
      <c r="Z188" s="131"/>
      <c r="AA188" s="130"/>
      <c r="AB188" s="131"/>
      <c r="AC188" s="130"/>
      <c r="AD188" s="131"/>
      <c r="AE188" s="130"/>
      <c r="AF188" s="131"/>
    </row>
    <row r="189" spans="1:32" x14ac:dyDescent="0.3">
      <c r="A189" s="126"/>
      <c r="B189" s="127"/>
      <c r="C189" s="127"/>
      <c r="D189" s="127"/>
      <c r="E189" s="126"/>
      <c r="F189" s="126"/>
      <c r="G189" s="126"/>
      <c r="H189" s="126"/>
      <c r="I189" s="127"/>
      <c r="J189" s="127"/>
      <c r="K189" s="127"/>
      <c r="L189" s="127"/>
      <c r="M189" s="130"/>
      <c r="N189" s="131"/>
      <c r="O189" s="130"/>
      <c r="P189" s="131"/>
      <c r="Q189" s="130"/>
      <c r="R189" s="131"/>
      <c r="S189" s="130"/>
      <c r="T189" s="131"/>
      <c r="U189" s="130"/>
      <c r="V189" s="131"/>
      <c r="W189" s="130"/>
      <c r="X189" s="131"/>
      <c r="Y189" s="130"/>
      <c r="Z189" s="131"/>
      <c r="AA189" s="130"/>
      <c r="AB189" s="131"/>
      <c r="AC189" s="130"/>
      <c r="AD189" s="131"/>
      <c r="AE189" s="130"/>
      <c r="AF189" s="131"/>
    </row>
    <row r="190" spans="1:32" x14ac:dyDescent="0.3">
      <c r="A190" s="126"/>
      <c r="B190" s="127"/>
      <c r="C190" s="127"/>
      <c r="D190" s="127"/>
      <c r="E190" s="126"/>
      <c r="F190" s="126"/>
      <c r="G190" s="126"/>
      <c r="H190" s="126"/>
      <c r="I190" s="127"/>
      <c r="J190" s="127"/>
      <c r="K190" s="127"/>
      <c r="L190" s="127"/>
      <c r="M190" s="130"/>
      <c r="N190" s="131"/>
      <c r="O190" s="130"/>
      <c r="P190" s="131"/>
      <c r="Q190" s="130"/>
      <c r="R190" s="131"/>
      <c r="S190" s="130"/>
      <c r="T190" s="131"/>
      <c r="U190" s="130"/>
      <c r="V190" s="131"/>
      <c r="W190" s="130"/>
      <c r="X190" s="131"/>
      <c r="Y190" s="130"/>
      <c r="Z190" s="131"/>
      <c r="AA190" s="130"/>
      <c r="AB190" s="131"/>
      <c r="AC190" s="130"/>
      <c r="AD190" s="131"/>
      <c r="AE190" s="130"/>
      <c r="AF190" s="131"/>
    </row>
    <row r="191" spans="1:32" x14ac:dyDescent="0.3">
      <c r="A191" s="126"/>
      <c r="B191" s="127"/>
      <c r="C191" s="127"/>
      <c r="D191" s="127"/>
      <c r="E191" s="126"/>
      <c r="F191" s="126"/>
      <c r="G191" s="126"/>
      <c r="H191" s="126"/>
      <c r="I191" s="127"/>
      <c r="J191" s="127"/>
      <c r="K191" s="127"/>
      <c r="L191" s="127"/>
      <c r="M191" s="130"/>
      <c r="N191" s="131"/>
      <c r="O191" s="130"/>
      <c r="P191" s="131"/>
      <c r="Q191" s="130"/>
      <c r="R191" s="131"/>
      <c r="S191" s="130"/>
      <c r="T191" s="131"/>
      <c r="U191" s="130"/>
      <c r="V191" s="131"/>
      <c r="W191" s="130"/>
      <c r="X191" s="131"/>
      <c r="Y191" s="130"/>
      <c r="Z191" s="131"/>
      <c r="AA191" s="130"/>
      <c r="AB191" s="131"/>
      <c r="AC191" s="130"/>
      <c r="AD191" s="131"/>
      <c r="AE191" s="130"/>
      <c r="AF191" s="131"/>
    </row>
    <row r="192" spans="1:32" x14ac:dyDescent="0.3">
      <c r="A192" s="126"/>
      <c r="B192" s="127"/>
      <c r="C192" s="127"/>
      <c r="D192" s="127"/>
      <c r="E192" s="126"/>
      <c r="F192" s="126"/>
      <c r="G192" s="126"/>
      <c r="H192" s="126"/>
      <c r="I192" s="127"/>
      <c r="J192" s="127"/>
      <c r="K192" s="127"/>
      <c r="L192" s="127"/>
      <c r="M192" s="130"/>
      <c r="N192" s="131"/>
      <c r="O192" s="130"/>
      <c r="P192" s="131"/>
      <c r="Q192" s="130"/>
      <c r="R192" s="131"/>
      <c r="S192" s="130"/>
      <c r="T192" s="131"/>
      <c r="U192" s="130"/>
      <c r="V192" s="131"/>
      <c r="W192" s="130"/>
      <c r="X192" s="131"/>
      <c r="Y192" s="130"/>
      <c r="Z192" s="131"/>
      <c r="AA192" s="130"/>
      <c r="AB192" s="131"/>
      <c r="AC192" s="130"/>
      <c r="AD192" s="131"/>
      <c r="AE192" s="130"/>
      <c r="AF192" s="131"/>
    </row>
    <row r="193" spans="1:32" x14ac:dyDescent="0.3">
      <c r="A193" s="126"/>
      <c r="B193" s="127"/>
      <c r="C193" s="127"/>
      <c r="D193" s="127"/>
      <c r="E193" s="126"/>
      <c r="F193" s="126"/>
      <c r="G193" s="126"/>
      <c r="H193" s="126"/>
      <c r="I193" s="127"/>
      <c r="J193" s="127"/>
      <c r="K193" s="127"/>
      <c r="L193" s="127"/>
      <c r="M193" s="130"/>
      <c r="N193" s="131"/>
      <c r="O193" s="130"/>
      <c r="P193" s="131"/>
      <c r="Q193" s="130"/>
      <c r="R193" s="131"/>
      <c r="S193" s="130"/>
      <c r="T193" s="131"/>
      <c r="U193" s="130"/>
      <c r="V193" s="131"/>
      <c r="W193" s="130"/>
      <c r="X193" s="131"/>
      <c r="Y193" s="130"/>
      <c r="Z193" s="131"/>
      <c r="AA193" s="130"/>
      <c r="AB193" s="131"/>
      <c r="AC193" s="130"/>
      <c r="AD193" s="131"/>
      <c r="AE193" s="130"/>
      <c r="AF193" s="131"/>
    </row>
    <row r="194" spans="1:32" x14ac:dyDescent="0.3">
      <c r="A194" s="126"/>
      <c r="B194" s="127"/>
      <c r="C194" s="127"/>
      <c r="D194" s="127"/>
      <c r="E194" s="126"/>
      <c r="F194" s="126"/>
      <c r="G194" s="126"/>
      <c r="H194" s="126"/>
      <c r="I194" s="127"/>
      <c r="J194" s="127"/>
      <c r="K194" s="127"/>
      <c r="L194" s="127"/>
      <c r="M194" s="130"/>
      <c r="N194" s="131"/>
      <c r="O194" s="130"/>
      <c r="P194" s="131"/>
      <c r="Q194" s="130"/>
      <c r="R194" s="131"/>
      <c r="S194" s="130"/>
      <c r="T194" s="131"/>
      <c r="U194" s="130"/>
      <c r="V194" s="131"/>
      <c r="W194" s="130"/>
      <c r="X194" s="131"/>
      <c r="Y194" s="130"/>
      <c r="Z194" s="131"/>
      <c r="AA194" s="130"/>
      <c r="AB194" s="131"/>
      <c r="AC194" s="130"/>
      <c r="AD194" s="131"/>
      <c r="AE194" s="130"/>
      <c r="AF194" s="131"/>
    </row>
    <row r="195" spans="1:32" x14ac:dyDescent="0.3">
      <c r="A195" s="126"/>
      <c r="B195" s="127"/>
      <c r="C195" s="127"/>
      <c r="D195" s="127"/>
      <c r="E195" s="126"/>
      <c r="F195" s="126"/>
      <c r="G195" s="126"/>
      <c r="H195" s="126"/>
      <c r="I195" s="127"/>
      <c r="J195" s="127"/>
      <c r="K195" s="127"/>
      <c r="L195" s="127"/>
      <c r="M195" s="130"/>
      <c r="N195" s="131"/>
      <c r="O195" s="130"/>
      <c r="P195" s="131"/>
      <c r="Q195" s="130"/>
      <c r="R195" s="131"/>
      <c r="S195" s="130"/>
      <c r="T195" s="131"/>
      <c r="U195" s="130"/>
      <c r="V195" s="131"/>
      <c r="W195" s="130"/>
      <c r="X195" s="131"/>
      <c r="Y195" s="130"/>
      <c r="Z195" s="131"/>
      <c r="AA195" s="130"/>
      <c r="AB195" s="131"/>
      <c r="AC195" s="130"/>
      <c r="AD195" s="131"/>
      <c r="AE195" s="130"/>
      <c r="AF195" s="131"/>
    </row>
    <row r="196" spans="1:32" x14ac:dyDescent="0.3">
      <c r="A196" s="126"/>
      <c r="B196" s="127"/>
      <c r="C196" s="127"/>
      <c r="D196" s="127"/>
      <c r="E196" s="126"/>
      <c r="F196" s="126"/>
      <c r="G196" s="126"/>
      <c r="H196" s="126"/>
      <c r="I196" s="127"/>
      <c r="J196" s="127"/>
      <c r="K196" s="127"/>
      <c r="L196" s="127"/>
      <c r="M196" s="130"/>
      <c r="N196" s="131"/>
      <c r="O196" s="130"/>
      <c r="P196" s="131"/>
      <c r="Q196" s="130"/>
      <c r="R196" s="131"/>
      <c r="S196" s="130"/>
      <c r="T196" s="131"/>
      <c r="U196" s="130"/>
      <c r="V196" s="131"/>
      <c r="W196" s="130"/>
      <c r="X196" s="131"/>
      <c r="Y196" s="130"/>
      <c r="Z196" s="131"/>
      <c r="AA196" s="130"/>
      <c r="AB196" s="131"/>
      <c r="AC196" s="130"/>
      <c r="AD196" s="131"/>
      <c r="AE196" s="130"/>
      <c r="AF196" s="131"/>
    </row>
    <row r="197" spans="1:32" x14ac:dyDescent="0.3">
      <c r="A197" s="126"/>
      <c r="B197" s="127"/>
      <c r="C197" s="127"/>
      <c r="D197" s="127"/>
      <c r="E197" s="126"/>
      <c r="F197" s="126"/>
      <c r="G197" s="126"/>
      <c r="H197" s="126"/>
      <c r="I197" s="127"/>
      <c r="J197" s="127"/>
      <c r="K197" s="127"/>
      <c r="L197" s="127"/>
      <c r="M197" s="130"/>
      <c r="N197" s="131"/>
      <c r="O197" s="130"/>
      <c r="P197" s="131"/>
      <c r="Q197" s="130"/>
      <c r="R197" s="131"/>
      <c r="S197" s="130"/>
      <c r="T197" s="131"/>
      <c r="U197" s="130"/>
      <c r="V197" s="131"/>
      <c r="W197" s="130"/>
      <c r="X197" s="131"/>
      <c r="Y197" s="130"/>
      <c r="Z197" s="131"/>
      <c r="AA197" s="130"/>
      <c r="AB197" s="131"/>
      <c r="AC197" s="130"/>
      <c r="AD197" s="131"/>
      <c r="AE197" s="130"/>
      <c r="AF197" s="131"/>
    </row>
    <row r="198" spans="1:32" x14ac:dyDescent="0.3">
      <c r="A198" s="126"/>
      <c r="B198" s="127"/>
      <c r="C198" s="127"/>
      <c r="D198" s="127"/>
      <c r="E198" s="126"/>
      <c r="F198" s="126"/>
      <c r="G198" s="126"/>
      <c r="H198" s="126"/>
      <c r="I198" s="127"/>
      <c r="J198" s="127"/>
      <c r="K198" s="127"/>
      <c r="L198" s="127"/>
      <c r="M198" s="130"/>
      <c r="N198" s="131"/>
      <c r="O198" s="130"/>
      <c r="P198" s="131"/>
      <c r="Q198" s="130"/>
      <c r="R198" s="131"/>
      <c r="S198" s="130"/>
      <c r="T198" s="131"/>
      <c r="U198" s="130"/>
      <c r="V198" s="131"/>
      <c r="W198" s="130"/>
      <c r="X198" s="131"/>
      <c r="Y198" s="130"/>
      <c r="Z198" s="131"/>
      <c r="AA198" s="130"/>
      <c r="AB198" s="131"/>
      <c r="AC198" s="130"/>
      <c r="AD198" s="131"/>
      <c r="AE198" s="130"/>
      <c r="AF198" s="131"/>
    </row>
    <row r="199" spans="1:32" x14ac:dyDescent="0.3">
      <c r="A199" s="126"/>
      <c r="B199" s="127"/>
      <c r="C199" s="127"/>
      <c r="D199" s="127"/>
      <c r="E199" s="126"/>
      <c r="F199" s="126"/>
      <c r="G199" s="126"/>
      <c r="H199" s="126"/>
      <c r="I199" s="127"/>
      <c r="J199" s="127"/>
      <c r="K199" s="127"/>
      <c r="L199" s="127"/>
      <c r="M199" s="130"/>
      <c r="N199" s="131"/>
      <c r="O199" s="130"/>
      <c r="P199" s="131"/>
      <c r="Q199" s="130"/>
      <c r="R199" s="131"/>
      <c r="S199" s="130"/>
      <c r="T199" s="131"/>
      <c r="U199" s="130"/>
      <c r="V199" s="131"/>
      <c r="W199" s="130"/>
      <c r="X199" s="131"/>
      <c r="Y199" s="130"/>
      <c r="Z199" s="131"/>
      <c r="AA199" s="130"/>
      <c r="AB199" s="131"/>
      <c r="AC199" s="130"/>
      <c r="AD199" s="131"/>
      <c r="AE199" s="130"/>
      <c r="AF199" s="131"/>
    </row>
    <row r="200" spans="1:32" x14ac:dyDescent="0.3">
      <c r="A200" s="126"/>
      <c r="B200" s="127"/>
      <c r="C200" s="127"/>
      <c r="D200" s="127"/>
      <c r="E200" s="126"/>
      <c r="F200" s="126"/>
      <c r="G200" s="126"/>
      <c r="H200" s="126"/>
      <c r="I200" s="127"/>
      <c r="J200" s="127"/>
      <c r="K200" s="127"/>
      <c r="L200" s="127"/>
      <c r="M200" s="130"/>
      <c r="N200" s="131"/>
      <c r="O200" s="130"/>
      <c r="P200" s="131"/>
      <c r="Q200" s="130"/>
      <c r="R200" s="131"/>
      <c r="S200" s="130"/>
      <c r="T200" s="131"/>
      <c r="U200" s="130"/>
      <c r="V200" s="131"/>
      <c r="W200" s="130"/>
      <c r="X200" s="131"/>
      <c r="Y200" s="130"/>
      <c r="Z200" s="131"/>
      <c r="AA200" s="130"/>
      <c r="AB200" s="131"/>
      <c r="AC200" s="130"/>
      <c r="AD200" s="131"/>
      <c r="AE200" s="130"/>
      <c r="AF200" s="131"/>
    </row>
    <row r="201" spans="1:32" x14ac:dyDescent="0.3">
      <c r="A201" s="126"/>
      <c r="B201" s="127"/>
      <c r="C201" s="127"/>
      <c r="D201" s="127"/>
      <c r="E201" s="126"/>
      <c r="F201" s="126"/>
      <c r="G201" s="126"/>
      <c r="H201" s="126"/>
      <c r="I201" s="127"/>
      <c r="J201" s="127"/>
      <c r="K201" s="127"/>
      <c r="L201" s="127"/>
      <c r="M201" s="130"/>
      <c r="N201" s="131"/>
      <c r="O201" s="130"/>
      <c r="P201" s="131"/>
      <c r="Q201" s="130"/>
      <c r="R201" s="131"/>
      <c r="S201" s="130"/>
      <c r="T201" s="131"/>
      <c r="U201" s="130"/>
      <c r="V201" s="131"/>
      <c r="W201" s="130"/>
      <c r="X201" s="131"/>
      <c r="Y201" s="130"/>
      <c r="Z201" s="131"/>
      <c r="AA201" s="130"/>
      <c r="AB201" s="131"/>
      <c r="AC201" s="130"/>
      <c r="AD201" s="131"/>
      <c r="AE201" s="130"/>
      <c r="AF201" s="131"/>
    </row>
    <row r="202" spans="1:32" x14ac:dyDescent="0.3">
      <c r="A202" s="126"/>
      <c r="B202" s="127"/>
      <c r="C202" s="127"/>
      <c r="D202" s="127"/>
      <c r="E202" s="126"/>
      <c r="F202" s="126"/>
      <c r="G202" s="126"/>
      <c r="H202" s="126"/>
      <c r="I202" s="127"/>
      <c r="J202" s="127"/>
      <c r="K202" s="127"/>
      <c r="L202" s="127"/>
      <c r="M202" s="130"/>
      <c r="N202" s="131"/>
      <c r="O202" s="130"/>
      <c r="P202" s="131"/>
      <c r="Q202" s="130"/>
      <c r="R202" s="131"/>
      <c r="S202" s="130"/>
      <c r="T202" s="131"/>
      <c r="U202" s="130"/>
      <c r="V202" s="131"/>
      <c r="W202" s="130"/>
      <c r="X202" s="131"/>
      <c r="Y202" s="130"/>
      <c r="Z202" s="131"/>
      <c r="AA202" s="130"/>
      <c r="AB202" s="131"/>
      <c r="AC202" s="130"/>
      <c r="AD202" s="131"/>
      <c r="AE202" s="130"/>
      <c r="AF202" s="131"/>
    </row>
  </sheetData>
  <sheetProtection algorithmName="SHA-512" hashValue="lAP3z8XkRTL7uwQXNgSHDn4hf7MiMFrE50kgn1Ujx/2z1eF10K61IYfnYyNBXB4sXSgdHTsK+9SBK2Z8tr00ZA==" saltValue="c6abQwoI2KfB0QyjUU9MwQ==" spinCount="100000" sheet="1" objects="1" scenarios="1"/>
  <conditionalFormatting sqref="A3:B202 F3:H202">
    <cfRule type="expression" dxfId="54" priority="457">
      <formula>AND(COUNTA($A3:$AF3)&gt;0,A3="")</formula>
    </cfRule>
  </conditionalFormatting>
  <conditionalFormatting sqref="A3:AF202">
    <cfRule type="expression" dxfId="53" priority="459">
      <formula>AND(COUNTA($A3:$AF3)=0,ROW()&lt;&gt;3)</formula>
    </cfRule>
  </conditionalFormatting>
  <conditionalFormatting sqref="N3:N202">
    <cfRule type="expression" dxfId="52" priority="456">
      <formula>AND($M3="",COUNTA($M3:$N3)=0)</formula>
    </cfRule>
  </conditionalFormatting>
  <conditionalFormatting sqref="P3:P202">
    <cfRule type="expression" dxfId="51" priority="11">
      <formula>AND($M3="",COUNTA($M3:$N3)=0)</formula>
    </cfRule>
    <cfRule type="expression" dxfId="50" priority="452">
      <formula>AND($O3="",COUNTA($O3:$P3)=0)</formula>
    </cfRule>
  </conditionalFormatting>
  <conditionalFormatting sqref="R3:R202">
    <cfRule type="expression" dxfId="49" priority="10">
      <formula>AND($M3="",COUNTA($M3:$N3)=0)</formula>
    </cfRule>
    <cfRule type="expression" dxfId="48" priority="448">
      <formula>AND($Q3="",COUNTA($Q3:$R3)=0)</formula>
    </cfRule>
  </conditionalFormatting>
  <conditionalFormatting sqref="T3:T202">
    <cfRule type="expression" dxfId="47" priority="9">
      <formula>AND($M3="",COUNTA($M3:$N3)=0)</formula>
    </cfRule>
    <cfRule type="expression" dxfId="46" priority="444">
      <formula>AND($S3="",COUNTA($S3:$T3)=0)</formula>
    </cfRule>
  </conditionalFormatting>
  <conditionalFormatting sqref="V3:V202">
    <cfRule type="expression" dxfId="45" priority="8">
      <formula>AND($M3="",COUNTA($M3:$N3)=0)</formula>
    </cfRule>
    <cfRule type="expression" dxfId="44" priority="440">
      <formula>AND($U3="",COUNTA($U3:$V3)=0)</formula>
    </cfRule>
  </conditionalFormatting>
  <conditionalFormatting sqref="X3:X202">
    <cfRule type="expression" dxfId="43" priority="7">
      <formula>AND($M3="",COUNTA($M3:$N3)=0)</formula>
    </cfRule>
    <cfRule type="expression" dxfId="42" priority="436">
      <formula>AND($W3="",COUNTA($W3:$X3)=0)</formula>
    </cfRule>
  </conditionalFormatting>
  <conditionalFormatting sqref="Z3:Z202">
    <cfRule type="expression" dxfId="41" priority="6">
      <formula>AND($M3="",COUNTA($M3:$N3)=0)</formula>
    </cfRule>
    <cfRule type="expression" dxfId="40" priority="432">
      <formula>AND($Y3="",COUNTA($Y3:$Z3)=0)</formula>
    </cfRule>
  </conditionalFormatting>
  <conditionalFormatting sqref="AB3:AB202">
    <cfRule type="expression" dxfId="39" priority="5">
      <formula>AND($M3="",COUNTA($M3:$N3)=0)</formula>
    </cfRule>
    <cfRule type="expression" dxfId="38" priority="428">
      <formula>AND($AA3="",COUNTA($AA3:$AB3)=0)</formula>
    </cfRule>
  </conditionalFormatting>
  <conditionalFormatting sqref="AD3:AD202">
    <cfRule type="expression" dxfId="37" priority="3">
      <formula>AND($M3="",COUNTA($M3:$N3)=0)</formula>
    </cfRule>
    <cfRule type="expression" dxfId="36" priority="4">
      <formula>AND($AA3="",COUNTA($AA3:$AB3)=0)</formula>
    </cfRule>
    <cfRule type="expression" dxfId="35" priority="423">
      <formula>AND($AC3="",COUNTA($AC3:$AD3)=0)</formula>
    </cfRule>
  </conditionalFormatting>
  <conditionalFormatting sqref="AF3:AF202">
    <cfRule type="expression" dxfId="34" priority="1">
      <formula>AND($M3="",COUNTA($M3:$N3)=0)</formula>
    </cfRule>
    <cfRule type="expression" dxfId="33" priority="2">
      <formula>AND($AA3="",COUNTA($AA3:$AB3)=0)</formula>
    </cfRule>
    <cfRule type="expression" dxfId="32" priority="422">
      <formula>AND($AE3="",COUNTA($AE3:$AF3)=0)</formula>
    </cfRule>
  </conditionalFormatting>
  <dataValidations count="6">
    <dataValidation type="list" allowBlank="1" showInputMessage="1" showErrorMessage="1" sqref="F3:F202" xr:uid="{855F0239-7835-45D0-87A6-B3740FE674FD}">
      <formula1>"Intake, Discharge"</formula1>
    </dataValidation>
    <dataValidation type="list" allowBlank="1" showInputMessage="1" showErrorMessage="1" sqref="H3:H202" xr:uid="{551499A7-1340-4FE1-A34C-578B8E61E949}">
      <formula1>Options_WaterUnitsUsage</formula1>
    </dataValidation>
    <dataValidation type="list" allowBlank="1" showInputMessage="1" showErrorMessage="1" sqref="E3:E202" xr:uid="{6F3EB22A-C409-4ED6-90C0-04E4D066C2F9}">
      <formula1>Options_Calendarizing</formula1>
    </dataValidation>
    <dataValidation type="list" allowBlank="1" showInputMessage="1" showErrorMessage="1" sqref="A3:A202" xr:uid="{57BA3DE1-5A11-4B14-99E9-D6B19F9F0C72}">
      <formula1>List_Facilities</formula1>
    </dataValidation>
    <dataValidation type="list" allowBlank="1" showInputMessage="1" showErrorMessage="1" sqref="G3:G202" xr:uid="{B79F2565-4724-4AEF-AA8A-3B484A6D654E}">
      <formula1>INDIRECT("Options_Water"&amp;F3)</formula1>
    </dataValidation>
    <dataValidation type="list" allowBlank="1" showInputMessage="1" showErrorMessage="1" sqref="N3:N202 P3:P202 R3:R202 T3:T202 V3:V202 X3:X202 Z3:Z202 AB3:AB202 AD3:AD202 AF3:AF202" xr:uid="{99D43CEF-2E07-4E06-BF68-79AAE3928F0F}">
      <formula1>Options_WaterCharge</formula1>
    </dataValidation>
  </dataValidation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00BBD-390F-418F-8ADA-F7BE93B6E179}">
  <sheetPr codeName="Sheet20">
    <tabColor rgb="FFD62728"/>
  </sheetPr>
  <dimension ref="A1:K214"/>
  <sheetViews>
    <sheetView workbookViewId="0">
      <selection activeCell="D2" sqref="D2:D7"/>
    </sheetView>
  </sheetViews>
  <sheetFormatPr defaultColWidth="24.7265625" defaultRowHeight="14.5" x14ac:dyDescent="0.35"/>
  <cols>
    <col min="4" max="4" width="24.7265625" style="3"/>
  </cols>
  <sheetData>
    <row r="1" spans="1:11" ht="15" thickBot="1" x14ac:dyDescent="0.4">
      <c r="A1" s="11" t="s">
        <v>510</v>
      </c>
      <c r="B1" s="11" t="s">
        <v>511</v>
      </c>
      <c r="C1" s="11" t="s">
        <v>534</v>
      </c>
      <c r="D1" s="16" t="s">
        <v>502</v>
      </c>
      <c r="E1" s="14" t="s">
        <v>503</v>
      </c>
      <c r="F1" s="14" t="s">
        <v>504</v>
      </c>
      <c r="H1" s="12" t="s">
        <v>500</v>
      </c>
    </row>
    <row r="2" spans="1:11" x14ac:dyDescent="0.35">
      <c r="A2" s="4" t="s">
        <v>512</v>
      </c>
      <c r="B2" s="4" t="s">
        <v>520</v>
      </c>
      <c r="C2" s="4" t="s">
        <v>528</v>
      </c>
      <c r="D2" s="17" t="s">
        <v>535</v>
      </c>
      <c r="E2" s="4" t="str">
        <f t="shared" ref="E2:E7" si="0">"$/"&amp;C2</f>
        <v>$/gal</v>
      </c>
      <c r="F2" s="4" t="s">
        <v>505</v>
      </c>
    </row>
    <row r="3" spans="1:11" ht="15" thickBot="1" x14ac:dyDescent="0.4">
      <c r="A3" t="s">
        <v>513</v>
      </c>
      <c r="B3" t="s">
        <v>521</v>
      </c>
      <c r="C3" t="s">
        <v>529</v>
      </c>
      <c r="D3" s="3" t="s">
        <v>536</v>
      </c>
      <c r="E3" t="str">
        <f t="shared" si="0"/>
        <v>$/kgal</v>
      </c>
      <c r="F3" s="9" t="s">
        <v>506</v>
      </c>
      <c r="H3" s="13" t="s">
        <v>501</v>
      </c>
    </row>
    <row r="4" spans="1:11" x14ac:dyDescent="0.35">
      <c r="A4" s="4" t="s">
        <v>514</v>
      </c>
      <c r="B4" s="4" t="s">
        <v>522</v>
      </c>
      <c r="C4" s="4" t="s">
        <v>530</v>
      </c>
      <c r="D4" s="17" t="s">
        <v>27</v>
      </c>
      <c r="E4" s="4" t="str">
        <f t="shared" si="0"/>
        <v>$/Mgal</v>
      </c>
    </row>
    <row r="5" spans="1:11" x14ac:dyDescent="0.35">
      <c r="A5" t="s">
        <v>515</v>
      </c>
      <c r="B5" t="s">
        <v>523</v>
      </c>
      <c r="C5" t="s">
        <v>531</v>
      </c>
      <c r="D5" s="3" t="s">
        <v>28</v>
      </c>
      <c r="E5" t="str">
        <f t="shared" si="0"/>
        <v>$/ft3</v>
      </c>
    </row>
    <row r="6" spans="1:11" x14ac:dyDescent="0.35">
      <c r="A6" s="4" t="s">
        <v>517</v>
      </c>
      <c r="B6" s="4" t="s">
        <v>524</v>
      </c>
      <c r="C6" s="4" t="s">
        <v>532</v>
      </c>
      <c r="D6" s="17" t="s">
        <v>29</v>
      </c>
      <c r="E6" s="4" t="str">
        <f t="shared" si="0"/>
        <v>$/m3</v>
      </c>
    </row>
    <row r="7" spans="1:11" ht="15" thickBot="1" x14ac:dyDescent="0.4">
      <c r="A7" t="s">
        <v>516</v>
      </c>
      <c r="B7" t="s">
        <v>525</v>
      </c>
      <c r="C7" s="9" t="s">
        <v>533</v>
      </c>
      <c r="D7" s="18" t="s">
        <v>13</v>
      </c>
      <c r="E7" s="9" t="str">
        <f t="shared" si="0"/>
        <v>$/L</v>
      </c>
    </row>
    <row r="8" spans="1:11" x14ac:dyDescent="0.35">
      <c r="A8" s="4" t="s">
        <v>518</v>
      </c>
      <c r="B8" s="4" t="s">
        <v>526</v>
      </c>
    </row>
    <row r="9" spans="1:11" x14ac:dyDescent="0.35">
      <c r="A9" t="s">
        <v>519</v>
      </c>
      <c r="B9" t="s">
        <v>527</v>
      </c>
    </row>
    <row r="10" spans="1:11" ht="15" thickBot="1" x14ac:dyDescent="0.4">
      <c r="A10" s="8" t="s">
        <v>13</v>
      </c>
      <c r="B10" s="8" t="s">
        <v>13</v>
      </c>
    </row>
    <row r="13" spans="1:11" x14ac:dyDescent="0.35">
      <c r="A13" t="s">
        <v>775</v>
      </c>
      <c r="B13">
        <f t="shared" ref="B13:K13" si="1">COUNTIF(B15:B114,"?*")</f>
        <v>0</v>
      </c>
      <c r="C13">
        <f t="shared" si="1"/>
        <v>0</v>
      </c>
      <c r="D13">
        <f t="shared" si="1"/>
        <v>0</v>
      </c>
      <c r="E13">
        <f t="shared" si="1"/>
        <v>0</v>
      </c>
      <c r="F13">
        <f t="shared" si="1"/>
        <v>0</v>
      </c>
      <c r="G13">
        <f t="shared" si="1"/>
        <v>0</v>
      </c>
      <c r="H13">
        <f t="shared" si="1"/>
        <v>0</v>
      </c>
      <c r="I13">
        <f t="shared" si="1"/>
        <v>0</v>
      </c>
      <c r="J13">
        <f t="shared" si="1"/>
        <v>0</v>
      </c>
      <c r="K13">
        <f t="shared" si="1"/>
        <v>0</v>
      </c>
    </row>
    <row r="14" spans="1:11" ht="15" thickBot="1" x14ac:dyDescent="0.4">
      <c r="A14" s="12" t="s">
        <v>23</v>
      </c>
      <c r="B14" s="12" t="s">
        <v>760</v>
      </c>
      <c r="C14" s="12" t="s">
        <v>761</v>
      </c>
      <c r="D14" s="12" t="s">
        <v>762</v>
      </c>
      <c r="E14" s="12" t="s">
        <v>763</v>
      </c>
      <c r="F14" s="12" t="s">
        <v>764</v>
      </c>
      <c r="G14" s="12" t="s">
        <v>765</v>
      </c>
      <c r="H14" s="12" t="s">
        <v>766</v>
      </c>
      <c r="I14" s="12" t="s">
        <v>767</v>
      </c>
      <c r="J14" s="12" t="s">
        <v>768</v>
      </c>
      <c r="K14" s="12" t="s">
        <v>769</v>
      </c>
    </row>
    <row r="15" spans="1:11" x14ac:dyDescent="0.35">
      <c r="A15" t="str">
        <f>IF('Water Meters'!B3="",A14,'Water Meters'!B3)</f>
        <v>Meter Numbers</v>
      </c>
      <c r="B15" t="str" cm="1">
        <f>IF(ISBLANK(INDEX(Array_WaterChargeData,ROW()-14,COLUMN()*2-3)),"",INDEX(Array_WaterChargeData,ROW()-14,COLUMN()*2-3))</f>
        <v/>
      </c>
      <c r="C15" t="str" cm="1">
        <f>IF(ISBLANK(INDEX(Array_WaterChargeData,ROW()-14,COLUMN()*2-3)),"",INDEX(Array_WaterChargeData,ROW()-14,COLUMN()*2-3))</f>
        <v/>
      </c>
      <c r="D15" t="str" cm="1">
        <f>IF(ISBLANK(INDEX(Array_WaterChargeData,ROW()-14,COLUMN()*2-3)),"",INDEX(Array_WaterChargeData,ROW()-14,COLUMN()*2-3))</f>
        <v/>
      </c>
      <c r="E15" t="str" cm="1">
        <f>IF(ISBLANK(INDEX(Array_WaterChargeData,ROW()-14,COLUMN()*2-3)),"",INDEX(Array_WaterChargeData,ROW()-14,COLUMN()*2-3))</f>
        <v/>
      </c>
      <c r="F15" t="str" cm="1">
        <f>IF(ISBLANK(INDEX(Array_WaterChargeData,ROW()-14,COLUMN()*2-3)),"",INDEX(Array_WaterChargeData,ROW()-14,COLUMN()*2-3))</f>
        <v/>
      </c>
      <c r="G15" t="str" cm="1">
        <f>IF(ISBLANK(INDEX(Array_WaterChargeData,ROW()-14,COLUMN()*2-3)),"",INDEX(Array_WaterChargeData,ROW()-14,COLUMN()*2-3))</f>
        <v/>
      </c>
      <c r="H15" t="str" cm="1">
        <f>IF(ISBLANK(INDEX(Array_WaterChargeData,ROW()-14,COLUMN()*2-3)),"",INDEX(Array_WaterChargeData,ROW()-14,COLUMN()*2-3))</f>
        <v/>
      </c>
      <c r="I15" t="str" cm="1">
        <f>IF(ISBLANK(INDEX(Array_WaterChargeData,ROW()-14,COLUMN()*2-3)),"",INDEX(Array_WaterChargeData,ROW()-14,COLUMN()*2-3))</f>
        <v/>
      </c>
      <c r="J15" t="str" cm="1">
        <f>IF(ISBLANK(INDEX(Array_WaterChargeData,ROW()-14,COLUMN()*2-3)),"",INDEX(Array_WaterChargeData,ROW()-14,COLUMN()*2-3))</f>
        <v/>
      </c>
      <c r="K15" t="str" cm="1">
        <f>IF(ISBLANK(INDEX(Array_WaterChargeData,ROW()-14,COLUMN()*2-3)),"",INDEX(Array_WaterChargeData,ROW()-14,COLUMN()*2-3))</f>
        <v/>
      </c>
    </row>
    <row r="16" spans="1:11" x14ac:dyDescent="0.35">
      <c r="A16" t="str">
        <f>IF('Water Meters'!B4="",A15,'Water Meters'!B4)</f>
        <v>Meter Numbers</v>
      </c>
      <c r="B16" t="str" cm="1">
        <f>IF(ISBLANK(INDEX(Array_WaterChargeData,ROW()-14,COLUMN()*2-3)),"",INDEX(Array_WaterChargeData,ROW()-14,COLUMN()*2-3))</f>
        <v/>
      </c>
      <c r="C16" t="str" cm="1">
        <f>IF(ISBLANK(INDEX(Array_WaterChargeData,ROW()-14,COLUMN()*2-3)),"",INDEX(Array_WaterChargeData,ROW()-14,COLUMN()*2-3))</f>
        <v/>
      </c>
      <c r="D16" t="str" cm="1">
        <f>IF(ISBLANK(INDEX(Array_WaterChargeData,ROW()-14,COLUMN()*2-3)),"",INDEX(Array_WaterChargeData,ROW()-14,COLUMN()*2-3))</f>
        <v/>
      </c>
      <c r="E16" t="str" cm="1">
        <f>IF(ISBLANK(INDEX(Array_WaterChargeData,ROW()-14,COLUMN()*2-3)),"",INDEX(Array_WaterChargeData,ROW()-14,COLUMN()*2-3))</f>
        <v/>
      </c>
      <c r="F16" t="str" cm="1">
        <f>IF(ISBLANK(INDEX(Array_WaterChargeData,ROW()-14,COLUMN()*2-3)),"",INDEX(Array_WaterChargeData,ROW()-14,COLUMN()*2-3))</f>
        <v/>
      </c>
      <c r="G16" t="str" cm="1">
        <f>IF(ISBLANK(INDEX(Array_WaterChargeData,ROW()-14,COLUMN()*2-3)),"",INDEX(Array_WaterChargeData,ROW()-14,COLUMN()*2-3))</f>
        <v/>
      </c>
      <c r="H16" t="str" cm="1">
        <f>IF(ISBLANK(INDEX(Array_WaterChargeData,ROW()-14,COLUMN()*2-3)),"",INDEX(Array_WaterChargeData,ROW()-14,COLUMN()*2-3))</f>
        <v/>
      </c>
      <c r="I16" t="str" cm="1">
        <f>IF(ISBLANK(INDEX(Array_WaterChargeData,ROW()-14,COLUMN()*2-3)),"",INDEX(Array_WaterChargeData,ROW()-14,COLUMN()*2-3))</f>
        <v/>
      </c>
      <c r="J16" t="str" cm="1">
        <f>IF(ISBLANK(INDEX(Array_WaterChargeData,ROW()-14,COLUMN()*2-3)),"",INDEX(Array_WaterChargeData,ROW()-14,COLUMN()*2-3))</f>
        <v/>
      </c>
      <c r="K16" t="str" cm="1">
        <f>IF(ISBLANK(INDEX(Array_WaterChargeData,ROW()-14,COLUMN()*2-3)),"",INDEX(Array_WaterChargeData,ROW()-14,COLUMN()*2-3))</f>
        <v/>
      </c>
    </row>
    <row r="17" spans="1:11" x14ac:dyDescent="0.35">
      <c r="A17" t="str">
        <f>IF('Water Meters'!B5="",A16,'Water Meters'!B5)</f>
        <v>Meter Numbers</v>
      </c>
      <c r="B17" t="str" cm="1">
        <f>IF(ISBLANK(INDEX(Array_WaterChargeData,ROW()-14,COLUMN()*2-3)),"",INDEX(Array_WaterChargeData,ROW()-14,COLUMN()*2-3))</f>
        <v/>
      </c>
      <c r="C17" t="str" cm="1">
        <f>IF(ISBLANK(INDEX(Array_WaterChargeData,ROW()-14,COLUMN()*2-3)),"",INDEX(Array_WaterChargeData,ROW()-14,COLUMN()*2-3))</f>
        <v/>
      </c>
      <c r="D17" t="str" cm="1">
        <f>IF(ISBLANK(INDEX(Array_WaterChargeData,ROW()-14,COLUMN()*2-3)),"",INDEX(Array_WaterChargeData,ROW()-14,COLUMN()*2-3))</f>
        <v/>
      </c>
      <c r="E17" t="str" cm="1">
        <f>IF(ISBLANK(INDEX(Array_WaterChargeData,ROW()-14,COLUMN()*2-3)),"",INDEX(Array_WaterChargeData,ROW()-14,COLUMN()*2-3))</f>
        <v/>
      </c>
      <c r="F17" t="str" cm="1">
        <f>IF(ISBLANK(INDEX(Array_WaterChargeData,ROW()-14,COLUMN()*2-3)),"",INDEX(Array_WaterChargeData,ROW()-14,COLUMN()*2-3))</f>
        <v/>
      </c>
      <c r="G17" t="str" cm="1">
        <f>IF(ISBLANK(INDEX(Array_WaterChargeData,ROW()-14,COLUMN()*2-3)),"",INDEX(Array_WaterChargeData,ROW()-14,COLUMN()*2-3))</f>
        <v/>
      </c>
      <c r="H17" t="str" cm="1">
        <f>IF(ISBLANK(INDEX(Array_WaterChargeData,ROW()-14,COLUMN()*2-3)),"",INDEX(Array_WaterChargeData,ROW()-14,COLUMN()*2-3))</f>
        <v/>
      </c>
      <c r="I17" t="str" cm="1">
        <f>IF(ISBLANK(INDEX(Array_WaterChargeData,ROW()-14,COLUMN()*2-3)),"",INDEX(Array_WaterChargeData,ROW()-14,COLUMN()*2-3))</f>
        <v/>
      </c>
      <c r="J17" t="str" cm="1">
        <f>IF(ISBLANK(INDEX(Array_WaterChargeData,ROW()-14,COLUMN()*2-3)),"",INDEX(Array_WaterChargeData,ROW()-14,COLUMN()*2-3))</f>
        <v/>
      </c>
      <c r="K17" t="str" cm="1">
        <f>IF(ISBLANK(INDEX(Array_WaterChargeData,ROW()-14,COLUMN()*2-3)),"",INDEX(Array_WaterChargeData,ROW()-14,COLUMN()*2-3))</f>
        <v/>
      </c>
    </row>
    <row r="18" spans="1:11" x14ac:dyDescent="0.35">
      <c r="A18" t="str">
        <f>IF('Water Meters'!B6="",A17,'Water Meters'!B6)</f>
        <v>Meter Numbers</v>
      </c>
      <c r="B18" t="str" cm="1">
        <f>IF(ISBLANK(INDEX(Array_WaterChargeData,ROW()-14,COLUMN()*2-3)),"",INDEX(Array_WaterChargeData,ROW()-14,COLUMN()*2-3))</f>
        <v/>
      </c>
      <c r="C18" t="str" cm="1">
        <f>IF(ISBLANK(INDEX(Array_WaterChargeData,ROW()-14,COLUMN()*2-3)),"",INDEX(Array_WaterChargeData,ROW()-14,COLUMN()*2-3))</f>
        <v/>
      </c>
      <c r="D18" t="str" cm="1">
        <f>IF(ISBLANK(INDEX(Array_WaterChargeData,ROW()-14,COLUMN()*2-3)),"",INDEX(Array_WaterChargeData,ROW()-14,COLUMN()*2-3))</f>
        <v/>
      </c>
      <c r="E18" t="str" cm="1">
        <f>IF(ISBLANK(INDEX(Array_WaterChargeData,ROW()-14,COLUMN()*2-3)),"",INDEX(Array_WaterChargeData,ROW()-14,COLUMN()*2-3))</f>
        <v/>
      </c>
      <c r="F18" t="str" cm="1">
        <f>IF(ISBLANK(INDEX(Array_WaterChargeData,ROW()-14,COLUMN()*2-3)),"",INDEX(Array_WaterChargeData,ROW()-14,COLUMN()*2-3))</f>
        <v/>
      </c>
      <c r="G18" t="str" cm="1">
        <f>IF(ISBLANK(INDEX(Array_WaterChargeData,ROW()-14,COLUMN()*2-3)),"",INDEX(Array_WaterChargeData,ROW()-14,COLUMN()*2-3))</f>
        <v/>
      </c>
      <c r="H18" t="str" cm="1">
        <f>IF(ISBLANK(INDEX(Array_WaterChargeData,ROW()-14,COLUMN()*2-3)),"",INDEX(Array_WaterChargeData,ROW()-14,COLUMN()*2-3))</f>
        <v/>
      </c>
      <c r="I18" t="str" cm="1">
        <f>IF(ISBLANK(INDEX(Array_WaterChargeData,ROW()-14,COLUMN()*2-3)),"",INDEX(Array_WaterChargeData,ROW()-14,COLUMN()*2-3))</f>
        <v/>
      </c>
      <c r="J18" t="str" cm="1">
        <f>IF(ISBLANK(INDEX(Array_WaterChargeData,ROW()-14,COLUMN()*2-3)),"",INDEX(Array_WaterChargeData,ROW()-14,COLUMN()*2-3))</f>
        <v/>
      </c>
      <c r="K18" t="str" cm="1">
        <f>IF(ISBLANK(INDEX(Array_WaterChargeData,ROW()-14,COLUMN()*2-3)),"",INDEX(Array_WaterChargeData,ROW()-14,COLUMN()*2-3))</f>
        <v/>
      </c>
    </row>
    <row r="19" spans="1:11" x14ac:dyDescent="0.35">
      <c r="A19" t="str">
        <f>IF('Water Meters'!B7="",A18,'Water Meters'!B7)</f>
        <v>Meter Numbers</v>
      </c>
      <c r="B19" t="str" cm="1">
        <f>IF(ISBLANK(INDEX(Array_WaterChargeData,ROW()-14,COLUMN()*2-3)),"",INDEX(Array_WaterChargeData,ROW()-14,COLUMN()*2-3))</f>
        <v/>
      </c>
      <c r="C19" t="str" cm="1">
        <f>IF(ISBLANK(INDEX(Array_WaterChargeData,ROW()-14,COLUMN()*2-3)),"",INDEX(Array_WaterChargeData,ROW()-14,COLUMN()*2-3))</f>
        <v/>
      </c>
      <c r="D19" t="str" cm="1">
        <f>IF(ISBLANK(INDEX(Array_WaterChargeData,ROW()-14,COLUMN()*2-3)),"",INDEX(Array_WaterChargeData,ROW()-14,COLUMN()*2-3))</f>
        <v/>
      </c>
      <c r="E19" t="str" cm="1">
        <f>IF(ISBLANK(INDEX(Array_WaterChargeData,ROW()-14,COLUMN()*2-3)),"",INDEX(Array_WaterChargeData,ROW()-14,COLUMN()*2-3))</f>
        <v/>
      </c>
      <c r="F19" t="str" cm="1">
        <f>IF(ISBLANK(INDEX(Array_WaterChargeData,ROW()-14,COLUMN()*2-3)),"",INDEX(Array_WaterChargeData,ROW()-14,COLUMN()*2-3))</f>
        <v/>
      </c>
      <c r="G19" t="str" cm="1">
        <f>IF(ISBLANK(INDEX(Array_WaterChargeData,ROW()-14,COLUMN()*2-3)),"",INDEX(Array_WaterChargeData,ROW()-14,COLUMN()*2-3))</f>
        <v/>
      </c>
      <c r="H19" t="str" cm="1">
        <f>IF(ISBLANK(INDEX(Array_WaterChargeData,ROW()-14,COLUMN()*2-3)),"",INDEX(Array_WaterChargeData,ROW()-14,COLUMN()*2-3))</f>
        <v/>
      </c>
      <c r="I19" t="str" cm="1">
        <f>IF(ISBLANK(INDEX(Array_WaterChargeData,ROW()-14,COLUMN()*2-3)),"",INDEX(Array_WaterChargeData,ROW()-14,COLUMN()*2-3))</f>
        <v/>
      </c>
      <c r="J19" t="str" cm="1">
        <f>IF(ISBLANK(INDEX(Array_WaterChargeData,ROW()-14,COLUMN()*2-3)),"",INDEX(Array_WaterChargeData,ROW()-14,COLUMN()*2-3))</f>
        <v/>
      </c>
      <c r="K19" t="str" cm="1">
        <f>IF(ISBLANK(INDEX(Array_WaterChargeData,ROW()-14,COLUMN()*2-3)),"",INDEX(Array_WaterChargeData,ROW()-14,COLUMN()*2-3))</f>
        <v/>
      </c>
    </row>
    <row r="20" spans="1:11" x14ac:dyDescent="0.35">
      <c r="A20" t="str">
        <f>IF('Water Meters'!B8="",A19,'Water Meters'!B8)</f>
        <v>Meter Numbers</v>
      </c>
      <c r="B20" t="str" cm="1">
        <f>IF(ISBLANK(INDEX(Array_WaterChargeData,ROW()-14,COLUMN()*2-3)),"",INDEX(Array_WaterChargeData,ROW()-14,COLUMN()*2-3))</f>
        <v/>
      </c>
      <c r="C20" t="str" cm="1">
        <f>IF(ISBLANK(INDEX(Array_WaterChargeData,ROW()-14,COLUMN()*2-3)),"",INDEX(Array_WaterChargeData,ROW()-14,COLUMN()*2-3))</f>
        <v/>
      </c>
      <c r="D20" t="str" cm="1">
        <f>IF(ISBLANK(INDEX(Array_WaterChargeData,ROW()-14,COLUMN()*2-3)),"",INDEX(Array_WaterChargeData,ROW()-14,COLUMN()*2-3))</f>
        <v/>
      </c>
      <c r="E20" t="str" cm="1">
        <f>IF(ISBLANK(INDEX(Array_WaterChargeData,ROW()-14,COLUMN()*2-3)),"",INDEX(Array_WaterChargeData,ROW()-14,COLUMN()*2-3))</f>
        <v/>
      </c>
      <c r="F20" t="str" cm="1">
        <f>IF(ISBLANK(INDEX(Array_WaterChargeData,ROW()-14,COLUMN()*2-3)),"",INDEX(Array_WaterChargeData,ROW()-14,COLUMN()*2-3))</f>
        <v/>
      </c>
      <c r="G20" t="str" cm="1">
        <f>IF(ISBLANK(INDEX(Array_WaterChargeData,ROW()-14,COLUMN()*2-3)),"",INDEX(Array_WaterChargeData,ROW()-14,COLUMN()*2-3))</f>
        <v/>
      </c>
      <c r="H20" t="str" cm="1">
        <f>IF(ISBLANK(INDEX(Array_WaterChargeData,ROW()-14,COLUMN()*2-3)),"",INDEX(Array_WaterChargeData,ROW()-14,COLUMN()*2-3))</f>
        <v/>
      </c>
      <c r="I20" t="str" cm="1">
        <f>IF(ISBLANK(INDEX(Array_WaterChargeData,ROW()-14,COLUMN()*2-3)),"",INDEX(Array_WaterChargeData,ROW()-14,COLUMN()*2-3))</f>
        <v/>
      </c>
      <c r="J20" t="str" cm="1">
        <f>IF(ISBLANK(INDEX(Array_WaterChargeData,ROW()-14,COLUMN()*2-3)),"",INDEX(Array_WaterChargeData,ROW()-14,COLUMN()*2-3))</f>
        <v/>
      </c>
      <c r="K20" t="str" cm="1">
        <f>IF(ISBLANK(INDEX(Array_WaterChargeData,ROW()-14,COLUMN()*2-3)),"",INDEX(Array_WaterChargeData,ROW()-14,COLUMN()*2-3))</f>
        <v/>
      </c>
    </row>
    <row r="21" spans="1:11" x14ac:dyDescent="0.35">
      <c r="A21" t="str">
        <f>IF('Water Meters'!B9="",A20,'Water Meters'!B9)</f>
        <v>Meter Numbers</v>
      </c>
      <c r="B21" t="str" cm="1">
        <f>IF(ISBLANK(INDEX(Array_WaterChargeData,ROW()-14,COLUMN()*2-3)),"",INDEX(Array_WaterChargeData,ROW()-14,COLUMN()*2-3))</f>
        <v/>
      </c>
      <c r="C21" t="str" cm="1">
        <f>IF(ISBLANK(INDEX(Array_WaterChargeData,ROW()-14,COLUMN()*2-3)),"",INDEX(Array_WaterChargeData,ROW()-14,COLUMN()*2-3))</f>
        <v/>
      </c>
      <c r="D21" t="str" cm="1">
        <f>IF(ISBLANK(INDEX(Array_WaterChargeData,ROW()-14,COLUMN()*2-3)),"",INDEX(Array_WaterChargeData,ROW()-14,COLUMN()*2-3))</f>
        <v/>
      </c>
      <c r="E21" t="str" cm="1">
        <f>IF(ISBLANK(INDEX(Array_WaterChargeData,ROW()-14,COLUMN()*2-3)),"",INDEX(Array_WaterChargeData,ROW()-14,COLUMN()*2-3))</f>
        <v/>
      </c>
      <c r="F21" t="str" cm="1">
        <f>IF(ISBLANK(INDEX(Array_WaterChargeData,ROW()-14,COLUMN()*2-3)),"",INDEX(Array_WaterChargeData,ROW()-14,COLUMN()*2-3))</f>
        <v/>
      </c>
      <c r="G21" t="str" cm="1">
        <f>IF(ISBLANK(INDEX(Array_WaterChargeData,ROW()-14,COLUMN()*2-3)),"",INDEX(Array_WaterChargeData,ROW()-14,COLUMN()*2-3))</f>
        <v/>
      </c>
      <c r="H21" t="str" cm="1">
        <f>IF(ISBLANK(INDEX(Array_WaterChargeData,ROW()-14,COLUMN()*2-3)),"",INDEX(Array_WaterChargeData,ROW()-14,COLUMN()*2-3))</f>
        <v/>
      </c>
      <c r="I21" t="str" cm="1">
        <f>IF(ISBLANK(INDEX(Array_WaterChargeData,ROW()-14,COLUMN()*2-3)),"",INDEX(Array_WaterChargeData,ROW()-14,COLUMN()*2-3))</f>
        <v/>
      </c>
      <c r="J21" t="str" cm="1">
        <f>IF(ISBLANK(INDEX(Array_WaterChargeData,ROW()-14,COLUMN()*2-3)),"",INDEX(Array_WaterChargeData,ROW()-14,COLUMN()*2-3))</f>
        <v/>
      </c>
      <c r="K21" t="str" cm="1">
        <f>IF(ISBLANK(INDEX(Array_WaterChargeData,ROW()-14,COLUMN()*2-3)),"",INDEX(Array_WaterChargeData,ROW()-14,COLUMN()*2-3))</f>
        <v/>
      </c>
    </row>
    <row r="22" spans="1:11" x14ac:dyDescent="0.35">
      <c r="A22" t="str">
        <f>IF('Water Meters'!B10="",A21,'Water Meters'!B10)</f>
        <v>Meter Numbers</v>
      </c>
      <c r="B22" t="str" cm="1">
        <f>IF(ISBLANK(INDEX(Array_WaterChargeData,ROW()-14,COLUMN()*2-3)),"",INDEX(Array_WaterChargeData,ROW()-14,COLUMN()*2-3))</f>
        <v/>
      </c>
      <c r="C22" t="str" cm="1">
        <f>IF(ISBLANK(INDEX(Array_WaterChargeData,ROW()-14,COLUMN()*2-3)),"",INDEX(Array_WaterChargeData,ROW()-14,COLUMN()*2-3))</f>
        <v/>
      </c>
      <c r="D22" t="str" cm="1">
        <f>IF(ISBLANK(INDEX(Array_WaterChargeData,ROW()-14,COLUMN()*2-3)),"",INDEX(Array_WaterChargeData,ROW()-14,COLUMN()*2-3))</f>
        <v/>
      </c>
      <c r="E22" t="str" cm="1">
        <f>IF(ISBLANK(INDEX(Array_WaterChargeData,ROW()-14,COLUMN()*2-3)),"",INDEX(Array_WaterChargeData,ROW()-14,COLUMN()*2-3))</f>
        <v/>
      </c>
      <c r="F22" t="str" cm="1">
        <f>IF(ISBLANK(INDEX(Array_WaterChargeData,ROW()-14,COLUMN()*2-3)),"",INDEX(Array_WaterChargeData,ROW()-14,COLUMN()*2-3))</f>
        <v/>
      </c>
      <c r="G22" t="str" cm="1">
        <f>IF(ISBLANK(INDEX(Array_WaterChargeData,ROW()-14,COLUMN()*2-3)),"",INDEX(Array_WaterChargeData,ROW()-14,COLUMN()*2-3))</f>
        <v/>
      </c>
      <c r="H22" t="str" cm="1">
        <f>IF(ISBLANK(INDEX(Array_WaterChargeData,ROW()-14,COLUMN()*2-3)),"",INDEX(Array_WaterChargeData,ROW()-14,COLUMN()*2-3))</f>
        <v/>
      </c>
      <c r="I22" t="str" cm="1">
        <f>IF(ISBLANK(INDEX(Array_WaterChargeData,ROW()-14,COLUMN()*2-3)),"",INDEX(Array_WaterChargeData,ROW()-14,COLUMN()*2-3))</f>
        <v/>
      </c>
      <c r="J22" t="str" cm="1">
        <f>IF(ISBLANK(INDEX(Array_WaterChargeData,ROW()-14,COLUMN()*2-3)),"",INDEX(Array_WaterChargeData,ROW()-14,COLUMN()*2-3))</f>
        <v/>
      </c>
      <c r="K22" t="str" cm="1">
        <f>IF(ISBLANK(INDEX(Array_WaterChargeData,ROW()-14,COLUMN()*2-3)),"",INDEX(Array_WaterChargeData,ROW()-14,COLUMN()*2-3))</f>
        <v/>
      </c>
    </row>
    <row r="23" spans="1:11" x14ac:dyDescent="0.35">
      <c r="A23" t="str">
        <f>IF('Water Meters'!B11="",A22,'Water Meters'!B11)</f>
        <v>Meter Numbers</v>
      </c>
      <c r="B23" t="str" cm="1">
        <f>IF(ISBLANK(INDEX(Array_WaterChargeData,ROW()-14,COLUMN()*2-3)),"",INDEX(Array_WaterChargeData,ROW()-14,COLUMN()*2-3))</f>
        <v/>
      </c>
      <c r="C23" t="str" cm="1">
        <f>IF(ISBLANK(INDEX(Array_WaterChargeData,ROW()-14,COLUMN()*2-3)),"",INDEX(Array_WaterChargeData,ROW()-14,COLUMN()*2-3))</f>
        <v/>
      </c>
      <c r="D23" t="str" cm="1">
        <f>IF(ISBLANK(INDEX(Array_WaterChargeData,ROW()-14,COLUMN()*2-3)),"",INDEX(Array_WaterChargeData,ROW()-14,COLUMN()*2-3))</f>
        <v/>
      </c>
      <c r="E23" t="str" cm="1">
        <f>IF(ISBLANK(INDEX(Array_WaterChargeData,ROW()-14,COLUMN()*2-3)),"",INDEX(Array_WaterChargeData,ROW()-14,COLUMN()*2-3))</f>
        <v/>
      </c>
      <c r="F23" t="str" cm="1">
        <f>IF(ISBLANK(INDEX(Array_WaterChargeData,ROW()-14,COLUMN()*2-3)),"",INDEX(Array_WaterChargeData,ROW()-14,COLUMN()*2-3))</f>
        <v/>
      </c>
      <c r="G23" t="str" cm="1">
        <f>IF(ISBLANK(INDEX(Array_WaterChargeData,ROW()-14,COLUMN()*2-3)),"",INDEX(Array_WaterChargeData,ROW()-14,COLUMN()*2-3))</f>
        <v/>
      </c>
      <c r="H23" t="str" cm="1">
        <f>IF(ISBLANK(INDEX(Array_WaterChargeData,ROW()-14,COLUMN()*2-3)),"",INDEX(Array_WaterChargeData,ROW()-14,COLUMN()*2-3))</f>
        <v/>
      </c>
      <c r="I23" t="str" cm="1">
        <f>IF(ISBLANK(INDEX(Array_WaterChargeData,ROW()-14,COLUMN()*2-3)),"",INDEX(Array_WaterChargeData,ROW()-14,COLUMN()*2-3))</f>
        <v/>
      </c>
      <c r="J23" t="str" cm="1">
        <f>IF(ISBLANK(INDEX(Array_WaterChargeData,ROW()-14,COLUMN()*2-3)),"",INDEX(Array_WaterChargeData,ROW()-14,COLUMN()*2-3))</f>
        <v/>
      </c>
      <c r="K23" t="str" cm="1">
        <f>IF(ISBLANK(INDEX(Array_WaterChargeData,ROW()-14,COLUMN()*2-3)),"",INDEX(Array_WaterChargeData,ROW()-14,COLUMN()*2-3))</f>
        <v/>
      </c>
    </row>
    <row r="24" spans="1:11" x14ac:dyDescent="0.35">
      <c r="A24" t="str">
        <f>IF('Water Meters'!B12="",A23,'Water Meters'!B12)</f>
        <v>Meter Numbers</v>
      </c>
      <c r="B24" t="str" cm="1">
        <f>IF(ISBLANK(INDEX(Array_WaterChargeData,ROW()-14,COLUMN()*2-3)),"",INDEX(Array_WaterChargeData,ROW()-14,COLUMN()*2-3))</f>
        <v/>
      </c>
      <c r="C24" t="str" cm="1">
        <f>IF(ISBLANK(INDEX(Array_WaterChargeData,ROW()-14,COLUMN()*2-3)),"",INDEX(Array_WaterChargeData,ROW()-14,COLUMN()*2-3))</f>
        <v/>
      </c>
      <c r="D24" t="str" cm="1">
        <f>IF(ISBLANK(INDEX(Array_WaterChargeData,ROW()-14,COLUMN()*2-3)),"",INDEX(Array_WaterChargeData,ROW()-14,COLUMN()*2-3))</f>
        <v/>
      </c>
      <c r="E24" t="str" cm="1">
        <f>IF(ISBLANK(INDEX(Array_WaterChargeData,ROW()-14,COLUMN()*2-3)),"",INDEX(Array_WaterChargeData,ROW()-14,COLUMN()*2-3))</f>
        <v/>
      </c>
      <c r="F24" t="str" cm="1">
        <f>IF(ISBLANK(INDEX(Array_WaterChargeData,ROW()-14,COLUMN()*2-3)),"",INDEX(Array_WaterChargeData,ROW()-14,COLUMN()*2-3))</f>
        <v/>
      </c>
      <c r="G24" t="str" cm="1">
        <f>IF(ISBLANK(INDEX(Array_WaterChargeData,ROW()-14,COLUMN()*2-3)),"",INDEX(Array_WaterChargeData,ROW()-14,COLUMN()*2-3))</f>
        <v/>
      </c>
      <c r="H24" t="str" cm="1">
        <f>IF(ISBLANK(INDEX(Array_WaterChargeData,ROW()-14,COLUMN()*2-3)),"",INDEX(Array_WaterChargeData,ROW()-14,COLUMN()*2-3))</f>
        <v/>
      </c>
      <c r="I24" t="str" cm="1">
        <f>IF(ISBLANK(INDEX(Array_WaterChargeData,ROW()-14,COLUMN()*2-3)),"",INDEX(Array_WaterChargeData,ROW()-14,COLUMN()*2-3))</f>
        <v/>
      </c>
      <c r="J24" t="str" cm="1">
        <f>IF(ISBLANK(INDEX(Array_WaterChargeData,ROW()-14,COLUMN()*2-3)),"",INDEX(Array_WaterChargeData,ROW()-14,COLUMN()*2-3))</f>
        <v/>
      </c>
      <c r="K24" t="str" cm="1">
        <f>IF(ISBLANK(INDEX(Array_WaterChargeData,ROW()-14,COLUMN()*2-3)),"",INDEX(Array_WaterChargeData,ROW()-14,COLUMN()*2-3))</f>
        <v/>
      </c>
    </row>
    <row r="25" spans="1:11" x14ac:dyDescent="0.35">
      <c r="A25" t="str">
        <f>IF('Water Meters'!B13="",A24,'Water Meters'!B13)</f>
        <v>Meter Numbers</v>
      </c>
      <c r="B25" t="str" cm="1">
        <f>IF(ISBLANK(INDEX(Array_WaterChargeData,ROW()-14,COLUMN()*2-3)),"",INDEX(Array_WaterChargeData,ROW()-14,COLUMN()*2-3))</f>
        <v/>
      </c>
      <c r="C25" t="str" cm="1">
        <f>IF(ISBLANK(INDEX(Array_WaterChargeData,ROW()-14,COLUMN()*2-3)),"",INDEX(Array_WaterChargeData,ROW()-14,COLUMN()*2-3))</f>
        <v/>
      </c>
      <c r="D25" t="str" cm="1">
        <f>IF(ISBLANK(INDEX(Array_WaterChargeData,ROW()-14,COLUMN()*2-3)),"",INDEX(Array_WaterChargeData,ROW()-14,COLUMN()*2-3))</f>
        <v/>
      </c>
      <c r="E25" t="str" cm="1">
        <f>IF(ISBLANK(INDEX(Array_WaterChargeData,ROW()-14,COLUMN()*2-3)),"",INDEX(Array_WaterChargeData,ROW()-14,COLUMN()*2-3))</f>
        <v/>
      </c>
      <c r="F25" t="str" cm="1">
        <f>IF(ISBLANK(INDEX(Array_WaterChargeData,ROW()-14,COLUMN()*2-3)),"",INDEX(Array_WaterChargeData,ROW()-14,COLUMN()*2-3))</f>
        <v/>
      </c>
      <c r="G25" t="str" cm="1">
        <f>IF(ISBLANK(INDEX(Array_WaterChargeData,ROW()-14,COLUMN()*2-3)),"",INDEX(Array_WaterChargeData,ROW()-14,COLUMN()*2-3))</f>
        <v/>
      </c>
      <c r="H25" t="str" cm="1">
        <f>IF(ISBLANK(INDEX(Array_WaterChargeData,ROW()-14,COLUMN()*2-3)),"",INDEX(Array_WaterChargeData,ROW()-14,COLUMN()*2-3))</f>
        <v/>
      </c>
      <c r="I25" t="str" cm="1">
        <f>IF(ISBLANK(INDEX(Array_WaterChargeData,ROW()-14,COLUMN()*2-3)),"",INDEX(Array_WaterChargeData,ROW()-14,COLUMN()*2-3))</f>
        <v/>
      </c>
      <c r="J25" t="str" cm="1">
        <f>IF(ISBLANK(INDEX(Array_WaterChargeData,ROW()-14,COLUMN()*2-3)),"",INDEX(Array_WaterChargeData,ROW()-14,COLUMN()*2-3))</f>
        <v/>
      </c>
      <c r="K25" t="str" cm="1">
        <f>IF(ISBLANK(INDEX(Array_WaterChargeData,ROW()-14,COLUMN()*2-3)),"",INDEX(Array_WaterChargeData,ROW()-14,COLUMN()*2-3))</f>
        <v/>
      </c>
    </row>
    <row r="26" spans="1:11" x14ac:dyDescent="0.35">
      <c r="A26" t="str">
        <f>IF('Water Meters'!B14="",A25,'Water Meters'!B14)</f>
        <v>Meter Numbers</v>
      </c>
      <c r="B26" t="str" cm="1">
        <f>IF(ISBLANK(INDEX(Array_WaterChargeData,ROW()-14,COLUMN()*2-3)),"",INDEX(Array_WaterChargeData,ROW()-14,COLUMN()*2-3))</f>
        <v/>
      </c>
      <c r="C26" t="str" cm="1">
        <f>IF(ISBLANK(INDEX(Array_WaterChargeData,ROW()-14,COLUMN()*2-3)),"",INDEX(Array_WaterChargeData,ROW()-14,COLUMN()*2-3))</f>
        <v/>
      </c>
      <c r="D26" t="str" cm="1">
        <f>IF(ISBLANK(INDEX(Array_WaterChargeData,ROW()-14,COLUMN()*2-3)),"",INDEX(Array_WaterChargeData,ROW()-14,COLUMN()*2-3))</f>
        <v/>
      </c>
      <c r="E26" t="str" cm="1">
        <f>IF(ISBLANK(INDEX(Array_WaterChargeData,ROW()-14,COLUMN()*2-3)),"",INDEX(Array_WaterChargeData,ROW()-14,COLUMN()*2-3))</f>
        <v/>
      </c>
      <c r="F26" t="str" cm="1">
        <f>IF(ISBLANK(INDEX(Array_WaterChargeData,ROW()-14,COLUMN()*2-3)),"",INDEX(Array_WaterChargeData,ROW()-14,COLUMN()*2-3))</f>
        <v/>
      </c>
      <c r="G26" t="str" cm="1">
        <f>IF(ISBLANK(INDEX(Array_WaterChargeData,ROW()-14,COLUMN()*2-3)),"",INDEX(Array_WaterChargeData,ROW()-14,COLUMN()*2-3))</f>
        <v/>
      </c>
      <c r="H26" t="str" cm="1">
        <f>IF(ISBLANK(INDEX(Array_WaterChargeData,ROW()-14,COLUMN()*2-3)),"",INDEX(Array_WaterChargeData,ROW()-14,COLUMN()*2-3))</f>
        <v/>
      </c>
      <c r="I26" t="str" cm="1">
        <f>IF(ISBLANK(INDEX(Array_WaterChargeData,ROW()-14,COLUMN()*2-3)),"",INDEX(Array_WaterChargeData,ROW()-14,COLUMN()*2-3))</f>
        <v/>
      </c>
      <c r="J26" t="str" cm="1">
        <f>IF(ISBLANK(INDEX(Array_WaterChargeData,ROW()-14,COLUMN()*2-3)),"",INDEX(Array_WaterChargeData,ROW()-14,COLUMN()*2-3))</f>
        <v/>
      </c>
      <c r="K26" t="str" cm="1">
        <f>IF(ISBLANK(INDEX(Array_WaterChargeData,ROW()-14,COLUMN()*2-3)),"",INDEX(Array_WaterChargeData,ROW()-14,COLUMN()*2-3))</f>
        <v/>
      </c>
    </row>
    <row r="27" spans="1:11" x14ac:dyDescent="0.35">
      <c r="A27" t="str">
        <f>IF('Water Meters'!B15="",A26,'Water Meters'!B15)</f>
        <v>Meter Numbers</v>
      </c>
      <c r="B27" t="str" cm="1">
        <f>IF(ISBLANK(INDEX(Array_WaterChargeData,ROW()-14,COLUMN()*2-3)),"",INDEX(Array_WaterChargeData,ROW()-14,COLUMN()*2-3))</f>
        <v/>
      </c>
      <c r="C27" t="str" cm="1">
        <f>IF(ISBLANK(INDEX(Array_WaterChargeData,ROW()-14,COLUMN()*2-3)),"",INDEX(Array_WaterChargeData,ROW()-14,COLUMN()*2-3))</f>
        <v/>
      </c>
      <c r="D27" t="str" cm="1">
        <f>IF(ISBLANK(INDEX(Array_WaterChargeData,ROW()-14,COLUMN()*2-3)),"",INDEX(Array_WaterChargeData,ROW()-14,COLUMN()*2-3))</f>
        <v/>
      </c>
      <c r="E27" t="str" cm="1">
        <f>IF(ISBLANK(INDEX(Array_WaterChargeData,ROW()-14,COLUMN()*2-3)),"",INDEX(Array_WaterChargeData,ROW()-14,COLUMN()*2-3))</f>
        <v/>
      </c>
      <c r="F27" t="str" cm="1">
        <f>IF(ISBLANK(INDEX(Array_WaterChargeData,ROW()-14,COLUMN()*2-3)),"",INDEX(Array_WaterChargeData,ROW()-14,COLUMN()*2-3))</f>
        <v/>
      </c>
      <c r="G27" t="str" cm="1">
        <f>IF(ISBLANK(INDEX(Array_WaterChargeData,ROW()-14,COLUMN()*2-3)),"",INDEX(Array_WaterChargeData,ROW()-14,COLUMN()*2-3))</f>
        <v/>
      </c>
      <c r="H27" t="str" cm="1">
        <f>IF(ISBLANK(INDEX(Array_WaterChargeData,ROW()-14,COLUMN()*2-3)),"",INDEX(Array_WaterChargeData,ROW()-14,COLUMN()*2-3))</f>
        <v/>
      </c>
      <c r="I27" t="str" cm="1">
        <f>IF(ISBLANK(INDEX(Array_WaterChargeData,ROW()-14,COLUMN()*2-3)),"",INDEX(Array_WaterChargeData,ROW()-14,COLUMN()*2-3))</f>
        <v/>
      </c>
      <c r="J27" t="str" cm="1">
        <f>IF(ISBLANK(INDEX(Array_WaterChargeData,ROW()-14,COLUMN()*2-3)),"",INDEX(Array_WaterChargeData,ROW()-14,COLUMN()*2-3))</f>
        <v/>
      </c>
      <c r="K27" t="str" cm="1">
        <f>IF(ISBLANK(INDEX(Array_WaterChargeData,ROW()-14,COLUMN()*2-3)),"",INDEX(Array_WaterChargeData,ROW()-14,COLUMN()*2-3))</f>
        <v/>
      </c>
    </row>
    <row r="28" spans="1:11" x14ac:dyDescent="0.35">
      <c r="A28" t="str">
        <f>IF('Water Meters'!B16="",A27,'Water Meters'!B16)</f>
        <v>Meter Numbers</v>
      </c>
      <c r="B28" t="str" cm="1">
        <f>IF(ISBLANK(INDEX(Array_WaterChargeData,ROW()-14,COLUMN()*2-3)),"",INDEX(Array_WaterChargeData,ROW()-14,COLUMN()*2-3))</f>
        <v/>
      </c>
      <c r="C28" t="str" cm="1">
        <f>IF(ISBLANK(INDEX(Array_WaterChargeData,ROW()-14,COLUMN()*2-3)),"",INDEX(Array_WaterChargeData,ROW()-14,COLUMN()*2-3))</f>
        <v/>
      </c>
      <c r="D28" t="str" cm="1">
        <f>IF(ISBLANK(INDEX(Array_WaterChargeData,ROW()-14,COLUMN()*2-3)),"",INDEX(Array_WaterChargeData,ROW()-14,COLUMN()*2-3))</f>
        <v/>
      </c>
      <c r="E28" t="str" cm="1">
        <f>IF(ISBLANK(INDEX(Array_WaterChargeData,ROW()-14,COLUMN()*2-3)),"",INDEX(Array_WaterChargeData,ROW()-14,COLUMN()*2-3))</f>
        <v/>
      </c>
      <c r="F28" t="str" cm="1">
        <f>IF(ISBLANK(INDEX(Array_WaterChargeData,ROW()-14,COLUMN()*2-3)),"",INDEX(Array_WaterChargeData,ROW()-14,COLUMN()*2-3))</f>
        <v/>
      </c>
      <c r="G28" t="str" cm="1">
        <f>IF(ISBLANK(INDEX(Array_WaterChargeData,ROW()-14,COLUMN()*2-3)),"",INDEX(Array_WaterChargeData,ROW()-14,COLUMN()*2-3))</f>
        <v/>
      </c>
      <c r="H28" t="str" cm="1">
        <f>IF(ISBLANK(INDEX(Array_WaterChargeData,ROW()-14,COLUMN()*2-3)),"",INDEX(Array_WaterChargeData,ROW()-14,COLUMN()*2-3))</f>
        <v/>
      </c>
      <c r="I28" t="str" cm="1">
        <f>IF(ISBLANK(INDEX(Array_WaterChargeData,ROW()-14,COLUMN()*2-3)),"",INDEX(Array_WaterChargeData,ROW()-14,COLUMN()*2-3))</f>
        <v/>
      </c>
      <c r="J28" t="str" cm="1">
        <f>IF(ISBLANK(INDEX(Array_WaterChargeData,ROW()-14,COLUMN()*2-3)),"",INDEX(Array_WaterChargeData,ROW()-14,COLUMN()*2-3))</f>
        <v/>
      </c>
      <c r="K28" t="str" cm="1">
        <f>IF(ISBLANK(INDEX(Array_WaterChargeData,ROW()-14,COLUMN()*2-3)),"",INDEX(Array_WaterChargeData,ROW()-14,COLUMN()*2-3))</f>
        <v/>
      </c>
    </row>
    <row r="29" spans="1:11" x14ac:dyDescent="0.35">
      <c r="A29" t="str">
        <f>IF('Water Meters'!B17="",A28,'Water Meters'!B17)</f>
        <v>Meter Numbers</v>
      </c>
      <c r="B29" t="str" cm="1">
        <f>IF(ISBLANK(INDEX(Array_WaterChargeData,ROW()-14,COLUMN()*2-3)),"",INDEX(Array_WaterChargeData,ROW()-14,COLUMN()*2-3))</f>
        <v/>
      </c>
      <c r="C29" t="str" cm="1">
        <f>IF(ISBLANK(INDEX(Array_WaterChargeData,ROW()-14,COLUMN()*2-3)),"",INDEX(Array_WaterChargeData,ROW()-14,COLUMN()*2-3))</f>
        <v/>
      </c>
      <c r="D29" t="str" cm="1">
        <f>IF(ISBLANK(INDEX(Array_WaterChargeData,ROW()-14,COLUMN()*2-3)),"",INDEX(Array_WaterChargeData,ROW()-14,COLUMN()*2-3))</f>
        <v/>
      </c>
      <c r="E29" t="str" cm="1">
        <f>IF(ISBLANK(INDEX(Array_WaterChargeData,ROW()-14,COLUMN()*2-3)),"",INDEX(Array_WaterChargeData,ROW()-14,COLUMN()*2-3))</f>
        <v/>
      </c>
      <c r="F29" t="str" cm="1">
        <f>IF(ISBLANK(INDEX(Array_WaterChargeData,ROW()-14,COLUMN()*2-3)),"",INDEX(Array_WaterChargeData,ROW()-14,COLUMN()*2-3))</f>
        <v/>
      </c>
      <c r="G29" t="str" cm="1">
        <f>IF(ISBLANK(INDEX(Array_WaterChargeData,ROW()-14,COLUMN()*2-3)),"",INDEX(Array_WaterChargeData,ROW()-14,COLUMN()*2-3))</f>
        <v/>
      </c>
      <c r="H29" t="str" cm="1">
        <f>IF(ISBLANK(INDEX(Array_WaterChargeData,ROW()-14,COLUMN()*2-3)),"",INDEX(Array_WaterChargeData,ROW()-14,COLUMN()*2-3))</f>
        <v/>
      </c>
      <c r="I29" t="str" cm="1">
        <f>IF(ISBLANK(INDEX(Array_WaterChargeData,ROW()-14,COLUMN()*2-3)),"",INDEX(Array_WaterChargeData,ROW()-14,COLUMN()*2-3))</f>
        <v/>
      </c>
      <c r="J29" t="str" cm="1">
        <f>IF(ISBLANK(INDEX(Array_WaterChargeData,ROW()-14,COLUMN()*2-3)),"",INDEX(Array_WaterChargeData,ROW()-14,COLUMN()*2-3))</f>
        <v/>
      </c>
      <c r="K29" t="str" cm="1">
        <f>IF(ISBLANK(INDEX(Array_WaterChargeData,ROW()-14,COLUMN()*2-3)),"",INDEX(Array_WaterChargeData,ROW()-14,COLUMN()*2-3))</f>
        <v/>
      </c>
    </row>
    <row r="30" spans="1:11" x14ac:dyDescent="0.35">
      <c r="A30" t="str">
        <f>IF('Water Meters'!B18="",A29,'Water Meters'!B18)</f>
        <v>Meter Numbers</v>
      </c>
      <c r="B30" t="str" cm="1">
        <f>IF(ISBLANK(INDEX(Array_WaterChargeData,ROW()-14,COLUMN()*2-3)),"",INDEX(Array_WaterChargeData,ROW()-14,COLUMN()*2-3))</f>
        <v/>
      </c>
      <c r="C30" t="str" cm="1">
        <f>IF(ISBLANK(INDEX(Array_WaterChargeData,ROW()-14,COLUMN()*2-3)),"",INDEX(Array_WaterChargeData,ROW()-14,COLUMN()*2-3))</f>
        <v/>
      </c>
      <c r="D30" t="str" cm="1">
        <f>IF(ISBLANK(INDEX(Array_WaterChargeData,ROW()-14,COLUMN()*2-3)),"",INDEX(Array_WaterChargeData,ROW()-14,COLUMN()*2-3))</f>
        <v/>
      </c>
      <c r="E30" t="str" cm="1">
        <f>IF(ISBLANK(INDEX(Array_WaterChargeData,ROW()-14,COLUMN()*2-3)),"",INDEX(Array_WaterChargeData,ROW()-14,COLUMN()*2-3))</f>
        <v/>
      </c>
      <c r="F30" t="str" cm="1">
        <f>IF(ISBLANK(INDEX(Array_WaterChargeData,ROW()-14,COLUMN()*2-3)),"",INDEX(Array_WaterChargeData,ROW()-14,COLUMN()*2-3))</f>
        <v/>
      </c>
      <c r="G30" t="str" cm="1">
        <f>IF(ISBLANK(INDEX(Array_WaterChargeData,ROW()-14,COLUMN()*2-3)),"",INDEX(Array_WaterChargeData,ROW()-14,COLUMN()*2-3))</f>
        <v/>
      </c>
      <c r="H30" t="str" cm="1">
        <f>IF(ISBLANK(INDEX(Array_WaterChargeData,ROW()-14,COLUMN()*2-3)),"",INDEX(Array_WaterChargeData,ROW()-14,COLUMN()*2-3))</f>
        <v/>
      </c>
      <c r="I30" t="str" cm="1">
        <f>IF(ISBLANK(INDEX(Array_WaterChargeData,ROW()-14,COLUMN()*2-3)),"",INDEX(Array_WaterChargeData,ROW()-14,COLUMN()*2-3))</f>
        <v/>
      </c>
      <c r="J30" t="str" cm="1">
        <f>IF(ISBLANK(INDEX(Array_WaterChargeData,ROW()-14,COLUMN()*2-3)),"",INDEX(Array_WaterChargeData,ROW()-14,COLUMN()*2-3))</f>
        <v/>
      </c>
      <c r="K30" t="str" cm="1">
        <f>IF(ISBLANK(INDEX(Array_WaterChargeData,ROW()-14,COLUMN()*2-3)),"",INDEX(Array_WaterChargeData,ROW()-14,COLUMN()*2-3))</f>
        <v/>
      </c>
    </row>
    <row r="31" spans="1:11" x14ac:dyDescent="0.35">
      <c r="A31" t="str">
        <f>IF('Water Meters'!B19="",A30,'Water Meters'!B19)</f>
        <v>Meter Numbers</v>
      </c>
      <c r="B31" t="str" cm="1">
        <f>IF(ISBLANK(INDEX(Array_WaterChargeData,ROW()-14,COLUMN()*2-3)),"",INDEX(Array_WaterChargeData,ROW()-14,COLUMN()*2-3))</f>
        <v/>
      </c>
      <c r="C31" t="str" cm="1">
        <f>IF(ISBLANK(INDEX(Array_WaterChargeData,ROW()-14,COLUMN()*2-3)),"",INDEX(Array_WaterChargeData,ROW()-14,COLUMN()*2-3))</f>
        <v/>
      </c>
      <c r="D31" t="str" cm="1">
        <f>IF(ISBLANK(INDEX(Array_WaterChargeData,ROW()-14,COLUMN()*2-3)),"",INDEX(Array_WaterChargeData,ROW()-14,COLUMN()*2-3))</f>
        <v/>
      </c>
      <c r="E31" t="str" cm="1">
        <f>IF(ISBLANK(INDEX(Array_WaterChargeData,ROW()-14,COLUMN()*2-3)),"",INDEX(Array_WaterChargeData,ROW()-14,COLUMN()*2-3))</f>
        <v/>
      </c>
      <c r="F31" t="str" cm="1">
        <f>IF(ISBLANK(INDEX(Array_WaterChargeData,ROW()-14,COLUMN()*2-3)),"",INDEX(Array_WaterChargeData,ROW()-14,COLUMN()*2-3))</f>
        <v/>
      </c>
      <c r="G31" t="str" cm="1">
        <f>IF(ISBLANK(INDEX(Array_WaterChargeData,ROW()-14,COLUMN()*2-3)),"",INDEX(Array_WaterChargeData,ROW()-14,COLUMN()*2-3))</f>
        <v/>
      </c>
      <c r="H31" t="str" cm="1">
        <f>IF(ISBLANK(INDEX(Array_WaterChargeData,ROW()-14,COLUMN()*2-3)),"",INDEX(Array_WaterChargeData,ROW()-14,COLUMN()*2-3))</f>
        <v/>
      </c>
      <c r="I31" t="str" cm="1">
        <f>IF(ISBLANK(INDEX(Array_WaterChargeData,ROW()-14,COLUMN()*2-3)),"",INDEX(Array_WaterChargeData,ROW()-14,COLUMN()*2-3))</f>
        <v/>
      </c>
      <c r="J31" t="str" cm="1">
        <f>IF(ISBLANK(INDEX(Array_WaterChargeData,ROW()-14,COLUMN()*2-3)),"",INDEX(Array_WaterChargeData,ROW()-14,COLUMN()*2-3))</f>
        <v/>
      </c>
      <c r="K31" t="str" cm="1">
        <f>IF(ISBLANK(INDEX(Array_WaterChargeData,ROW()-14,COLUMN()*2-3)),"",INDEX(Array_WaterChargeData,ROW()-14,COLUMN()*2-3))</f>
        <v/>
      </c>
    </row>
    <row r="32" spans="1:11" x14ac:dyDescent="0.35">
      <c r="A32" t="str">
        <f>IF('Water Meters'!B20="",A31,'Water Meters'!B20)</f>
        <v>Meter Numbers</v>
      </c>
      <c r="B32" t="str" cm="1">
        <f>IF(ISBLANK(INDEX(Array_WaterChargeData,ROW()-14,COLUMN()*2-3)),"",INDEX(Array_WaterChargeData,ROW()-14,COLUMN()*2-3))</f>
        <v/>
      </c>
      <c r="C32" t="str" cm="1">
        <f>IF(ISBLANK(INDEX(Array_WaterChargeData,ROW()-14,COLUMN()*2-3)),"",INDEX(Array_WaterChargeData,ROW()-14,COLUMN()*2-3))</f>
        <v/>
      </c>
      <c r="D32" t="str" cm="1">
        <f>IF(ISBLANK(INDEX(Array_WaterChargeData,ROW()-14,COLUMN()*2-3)),"",INDEX(Array_WaterChargeData,ROW()-14,COLUMN()*2-3))</f>
        <v/>
      </c>
      <c r="E32" t="str" cm="1">
        <f>IF(ISBLANK(INDEX(Array_WaterChargeData,ROW()-14,COLUMN()*2-3)),"",INDEX(Array_WaterChargeData,ROW()-14,COLUMN()*2-3))</f>
        <v/>
      </c>
      <c r="F32" t="str" cm="1">
        <f>IF(ISBLANK(INDEX(Array_WaterChargeData,ROW()-14,COLUMN()*2-3)),"",INDEX(Array_WaterChargeData,ROW()-14,COLUMN()*2-3))</f>
        <v/>
      </c>
      <c r="G32" t="str" cm="1">
        <f>IF(ISBLANK(INDEX(Array_WaterChargeData,ROW()-14,COLUMN()*2-3)),"",INDEX(Array_WaterChargeData,ROW()-14,COLUMN()*2-3))</f>
        <v/>
      </c>
      <c r="H32" t="str" cm="1">
        <f>IF(ISBLANK(INDEX(Array_WaterChargeData,ROW()-14,COLUMN()*2-3)),"",INDEX(Array_WaterChargeData,ROW()-14,COLUMN()*2-3))</f>
        <v/>
      </c>
      <c r="I32" t="str" cm="1">
        <f>IF(ISBLANK(INDEX(Array_WaterChargeData,ROW()-14,COLUMN()*2-3)),"",INDEX(Array_WaterChargeData,ROW()-14,COLUMN()*2-3))</f>
        <v/>
      </c>
      <c r="J32" t="str" cm="1">
        <f>IF(ISBLANK(INDEX(Array_WaterChargeData,ROW()-14,COLUMN()*2-3)),"",INDEX(Array_WaterChargeData,ROW()-14,COLUMN()*2-3))</f>
        <v/>
      </c>
      <c r="K32" t="str" cm="1">
        <f>IF(ISBLANK(INDEX(Array_WaterChargeData,ROW()-14,COLUMN()*2-3)),"",INDEX(Array_WaterChargeData,ROW()-14,COLUMN()*2-3))</f>
        <v/>
      </c>
    </row>
    <row r="33" spans="1:11" x14ac:dyDescent="0.35">
      <c r="A33" t="str">
        <f>IF('Water Meters'!B21="",A32,'Water Meters'!B21)</f>
        <v>Meter Numbers</v>
      </c>
      <c r="B33" t="str" cm="1">
        <f>IF(ISBLANK(INDEX(Array_WaterChargeData,ROW()-14,COLUMN()*2-3)),"",INDEX(Array_WaterChargeData,ROW()-14,COLUMN()*2-3))</f>
        <v/>
      </c>
      <c r="C33" t="str" cm="1">
        <f>IF(ISBLANK(INDEX(Array_WaterChargeData,ROW()-14,COLUMN()*2-3)),"",INDEX(Array_WaterChargeData,ROW()-14,COLUMN()*2-3))</f>
        <v/>
      </c>
      <c r="D33" t="str" cm="1">
        <f>IF(ISBLANK(INDEX(Array_WaterChargeData,ROW()-14,COLUMN()*2-3)),"",INDEX(Array_WaterChargeData,ROW()-14,COLUMN()*2-3))</f>
        <v/>
      </c>
      <c r="E33" t="str" cm="1">
        <f>IF(ISBLANK(INDEX(Array_WaterChargeData,ROW()-14,COLUMN()*2-3)),"",INDEX(Array_WaterChargeData,ROW()-14,COLUMN()*2-3))</f>
        <v/>
      </c>
      <c r="F33" t="str" cm="1">
        <f>IF(ISBLANK(INDEX(Array_WaterChargeData,ROW()-14,COLUMN()*2-3)),"",INDEX(Array_WaterChargeData,ROW()-14,COLUMN()*2-3))</f>
        <v/>
      </c>
      <c r="G33" t="str" cm="1">
        <f>IF(ISBLANK(INDEX(Array_WaterChargeData,ROW()-14,COLUMN()*2-3)),"",INDEX(Array_WaterChargeData,ROW()-14,COLUMN()*2-3))</f>
        <v/>
      </c>
      <c r="H33" t="str" cm="1">
        <f>IF(ISBLANK(INDEX(Array_WaterChargeData,ROW()-14,COLUMN()*2-3)),"",INDEX(Array_WaterChargeData,ROW()-14,COLUMN()*2-3))</f>
        <v/>
      </c>
      <c r="I33" t="str" cm="1">
        <f>IF(ISBLANK(INDEX(Array_WaterChargeData,ROW()-14,COLUMN()*2-3)),"",INDEX(Array_WaterChargeData,ROW()-14,COLUMN()*2-3))</f>
        <v/>
      </c>
      <c r="J33" t="str" cm="1">
        <f>IF(ISBLANK(INDEX(Array_WaterChargeData,ROW()-14,COLUMN()*2-3)),"",INDEX(Array_WaterChargeData,ROW()-14,COLUMN()*2-3))</f>
        <v/>
      </c>
      <c r="K33" t="str" cm="1">
        <f>IF(ISBLANK(INDEX(Array_WaterChargeData,ROW()-14,COLUMN()*2-3)),"",INDEX(Array_WaterChargeData,ROW()-14,COLUMN()*2-3))</f>
        <v/>
      </c>
    </row>
    <row r="34" spans="1:11" x14ac:dyDescent="0.35">
      <c r="A34" t="str">
        <f>IF('Water Meters'!B22="",A33,'Water Meters'!B22)</f>
        <v>Meter Numbers</v>
      </c>
      <c r="B34" t="str" cm="1">
        <f>IF(ISBLANK(INDEX(Array_WaterChargeData,ROW()-14,COLUMN()*2-3)),"",INDEX(Array_WaterChargeData,ROW()-14,COLUMN()*2-3))</f>
        <v/>
      </c>
      <c r="C34" t="str" cm="1">
        <f>IF(ISBLANK(INDEX(Array_WaterChargeData,ROW()-14,COLUMN()*2-3)),"",INDEX(Array_WaterChargeData,ROW()-14,COLUMN()*2-3))</f>
        <v/>
      </c>
      <c r="D34" t="str" cm="1">
        <f>IF(ISBLANK(INDEX(Array_WaterChargeData,ROW()-14,COLUMN()*2-3)),"",INDEX(Array_WaterChargeData,ROW()-14,COLUMN()*2-3))</f>
        <v/>
      </c>
      <c r="E34" t="str" cm="1">
        <f>IF(ISBLANK(INDEX(Array_WaterChargeData,ROW()-14,COLUMN()*2-3)),"",INDEX(Array_WaterChargeData,ROW()-14,COLUMN()*2-3))</f>
        <v/>
      </c>
      <c r="F34" t="str" cm="1">
        <f>IF(ISBLANK(INDEX(Array_WaterChargeData,ROW()-14,COLUMN()*2-3)),"",INDEX(Array_WaterChargeData,ROW()-14,COLUMN()*2-3))</f>
        <v/>
      </c>
      <c r="G34" t="str" cm="1">
        <f>IF(ISBLANK(INDEX(Array_WaterChargeData,ROW()-14,COLUMN()*2-3)),"",INDEX(Array_WaterChargeData,ROW()-14,COLUMN()*2-3))</f>
        <v/>
      </c>
      <c r="H34" t="str" cm="1">
        <f>IF(ISBLANK(INDEX(Array_WaterChargeData,ROW()-14,COLUMN()*2-3)),"",INDEX(Array_WaterChargeData,ROW()-14,COLUMN()*2-3))</f>
        <v/>
      </c>
      <c r="I34" t="str" cm="1">
        <f>IF(ISBLANK(INDEX(Array_WaterChargeData,ROW()-14,COLUMN()*2-3)),"",INDEX(Array_WaterChargeData,ROW()-14,COLUMN()*2-3))</f>
        <v/>
      </c>
      <c r="J34" t="str" cm="1">
        <f>IF(ISBLANK(INDEX(Array_WaterChargeData,ROW()-14,COLUMN()*2-3)),"",INDEX(Array_WaterChargeData,ROW()-14,COLUMN()*2-3))</f>
        <v/>
      </c>
      <c r="K34" t="str" cm="1">
        <f>IF(ISBLANK(INDEX(Array_WaterChargeData,ROW()-14,COLUMN()*2-3)),"",INDEX(Array_WaterChargeData,ROW()-14,COLUMN()*2-3))</f>
        <v/>
      </c>
    </row>
    <row r="35" spans="1:11" x14ac:dyDescent="0.35">
      <c r="A35" t="str">
        <f>IF('Water Meters'!B23="",A34,'Water Meters'!B23)</f>
        <v>Meter Numbers</v>
      </c>
      <c r="B35" t="str" cm="1">
        <f>IF(ISBLANK(INDEX(Array_WaterChargeData,ROW()-14,COLUMN()*2-3)),"",INDEX(Array_WaterChargeData,ROW()-14,COLUMN()*2-3))</f>
        <v/>
      </c>
      <c r="C35" t="str" cm="1">
        <f>IF(ISBLANK(INDEX(Array_WaterChargeData,ROW()-14,COLUMN()*2-3)),"",INDEX(Array_WaterChargeData,ROW()-14,COLUMN()*2-3))</f>
        <v/>
      </c>
      <c r="D35" t="str" cm="1">
        <f>IF(ISBLANK(INDEX(Array_WaterChargeData,ROW()-14,COLUMN()*2-3)),"",INDEX(Array_WaterChargeData,ROW()-14,COLUMN()*2-3))</f>
        <v/>
      </c>
      <c r="E35" t="str" cm="1">
        <f>IF(ISBLANK(INDEX(Array_WaterChargeData,ROW()-14,COLUMN()*2-3)),"",INDEX(Array_WaterChargeData,ROW()-14,COLUMN()*2-3))</f>
        <v/>
      </c>
      <c r="F35" t="str" cm="1">
        <f>IF(ISBLANK(INDEX(Array_WaterChargeData,ROW()-14,COLUMN()*2-3)),"",INDEX(Array_WaterChargeData,ROW()-14,COLUMN()*2-3))</f>
        <v/>
      </c>
      <c r="G35" t="str" cm="1">
        <f>IF(ISBLANK(INDEX(Array_WaterChargeData,ROW()-14,COLUMN()*2-3)),"",INDEX(Array_WaterChargeData,ROW()-14,COLUMN()*2-3))</f>
        <v/>
      </c>
      <c r="H35" t="str" cm="1">
        <f>IF(ISBLANK(INDEX(Array_WaterChargeData,ROW()-14,COLUMN()*2-3)),"",INDEX(Array_WaterChargeData,ROW()-14,COLUMN()*2-3))</f>
        <v/>
      </c>
      <c r="I35" t="str" cm="1">
        <f>IF(ISBLANK(INDEX(Array_WaterChargeData,ROW()-14,COLUMN()*2-3)),"",INDEX(Array_WaterChargeData,ROW()-14,COLUMN()*2-3))</f>
        <v/>
      </c>
      <c r="J35" t="str" cm="1">
        <f>IF(ISBLANK(INDEX(Array_WaterChargeData,ROW()-14,COLUMN()*2-3)),"",INDEX(Array_WaterChargeData,ROW()-14,COLUMN()*2-3))</f>
        <v/>
      </c>
      <c r="K35" t="str" cm="1">
        <f>IF(ISBLANK(INDEX(Array_WaterChargeData,ROW()-14,COLUMN()*2-3)),"",INDEX(Array_WaterChargeData,ROW()-14,COLUMN()*2-3))</f>
        <v/>
      </c>
    </row>
    <row r="36" spans="1:11" x14ac:dyDescent="0.35">
      <c r="A36" t="str">
        <f>IF('Water Meters'!B24="",A35,'Water Meters'!B24)</f>
        <v>Meter Numbers</v>
      </c>
      <c r="B36" t="str" cm="1">
        <f>IF(ISBLANK(INDEX(Array_WaterChargeData,ROW()-14,COLUMN()*2-3)),"",INDEX(Array_WaterChargeData,ROW()-14,COLUMN()*2-3))</f>
        <v/>
      </c>
      <c r="C36" t="str" cm="1">
        <f>IF(ISBLANK(INDEX(Array_WaterChargeData,ROW()-14,COLUMN()*2-3)),"",INDEX(Array_WaterChargeData,ROW()-14,COLUMN()*2-3))</f>
        <v/>
      </c>
      <c r="D36" t="str" cm="1">
        <f>IF(ISBLANK(INDEX(Array_WaterChargeData,ROW()-14,COLUMN()*2-3)),"",INDEX(Array_WaterChargeData,ROW()-14,COLUMN()*2-3))</f>
        <v/>
      </c>
      <c r="E36" t="str" cm="1">
        <f>IF(ISBLANK(INDEX(Array_WaterChargeData,ROW()-14,COLUMN()*2-3)),"",INDEX(Array_WaterChargeData,ROW()-14,COLUMN()*2-3))</f>
        <v/>
      </c>
      <c r="F36" t="str" cm="1">
        <f>IF(ISBLANK(INDEX(Array_WaterChargeData,ROW()-14,COLUMN()*2-3)),"",INDEX(Array_WaterChargeData,ROW()-14,COLUMN()*2-3))</f>
        <v/>
      </c>
      <c r="G36" t="str" cm="1">
        <f>IF(ISBLANK(INDEX(Array_WaterChargeData,ROW()-14,COLUMN()*2-3)),"",INDEX(Array_WaterChargeData,ROW()-14,COLUMN()*2-3))</f>
        <v/>
      </c>
      <c r="H36" t="str" cm="1">
        <f>IF(ISBLANK(INDEX(Array_WaterChargeData,ROW()-14,COLUMN()*2-3)),"",INDEX(Array_WaterChargeData,ROW()-14,COLUMN()*2-3))</f>
        <v/>
      </c>
      <c r="I36" t="str" cm="1">
        <f>IF(ISBLANK(INDEX(Array_WaterChargeData,ROW()-14,COLUMN()*2-3)),"",INDEX(Array_WaterChargeData,ROW()-14,COLUMN()*2-3))</f>
        <v/>
      </c>
      <c r="J36" t="str" cm="1">
        <f>IF(ISBLANK(INDEX(Array_WaterChargeData,ROW()-14,COLUMN()*2-3)),"",INDEX(Array_WaterChargeData,ROW()-14,COLUMN()*2-3))</f>
        <v/>
      </c>
      <c r="K36" t="str" cm="1">
        <f>IF(ISBLANK(INDEX(Array_WaterChargeData,ROW()-14,COLUMN()*2-3)),"",INDEX(Array_WaterChargeData,ROW()-14,COLUMN()*2-3))</f>
        <v/>
      </c>
    </row>
    <row r="37" spans="1:11" x14ac:dyDescent="0.35">
      <c r="A37" t="str">
        <f>IF('Water Meters'!B25="",A36,'Water Meters'!B25)</f>
        <v>Meter Numbers</v>
      </c>
      <c r="B37" t="str" cm="1">
        <f>IF(ISBLANK(INDEX(Array_WaterChargeData,ROW()-14,COLUMN()*2-3)),"",INDEX(Array_WaterChargeData,ROW()-14,COLUMN()*2-3))</f>
        <v/>
      </c>
      <c r="C37" t="str" cm="1">
        <f>IF(ISBLANK(INDEX(Array_WaterChargeData,ROW()-14,COLUMN()*2-3)),"",INDEX(Array_WaterChargeData,ROW()-14,COLUMN()*2-3))</f>
        <v/>
      </c>
      <c r="D37" t="str" cm="1">
        <f>IF(ISBLANK(INDEX(Array_WaterChargeData,ROW()-14,COLUMN()*2-3)),"",INDEX(Array_WaterChargeData,ROW()-14,COLUMN()*2-3))</f>
        <v/>
      </c>
      <c r="E37" t="str" cm="1">
        <f>IF(ISBLANK(INDEX(Array_WaterChargeData,ROW()-14,COLUMN()*2-3)),"",INDEX(Array_WaterChargeData,ROW()-14,COLUMN()*2-3))</f>
        <v/>
      </c>
      <c r="F37" t="str" cm="1">
        <f>IF(ISBLANK(INDEX(Array_WaterChargeData,ROW()-14,COLUMN()*2-3)),"",INDEX(Array_WaterChargeData,ROW()-14,COLUMN()*2-3))</f>
        <v/>
      </c>
      <c r="G37" t="str" cm="1">
        <f>IF(ISBLANK(INDEX(Array_WaterChargeData,ROW()-14,COLUMN()*2-3)),"",INDEX(Array_WaterChargeData,ROW()-14,COLUMN()*2-3))</f>
        <v/>
      </c>
      <c r="H37" t="str" cm="1">
        <f>IF(ISBLANK(INDEX(Array_WaterChargeData,ROW()-14,COLUMN()*2-3)),"",INDEX(Array_WaterChargeData,ROW()-14,COLUMN()*2-3))</f>
        <v/>
      </c>
      <c r="I37" t="str" cm="1">
        <f>IF(ISBLANK(INDEX(Array_WaterChargeData,ROW()-14,COLUMN()*2-3)),"",INDEX(Array_WaterChargeData,ROW()-14,COLUMN()*2-3))</f>
        <v/>
      </c>
      <c r="J37" t="str" cm="1">
        <f>IF(ISBLANK(INDEX(Array_WaterChargeData,ROW()-14,COLUMN()*2-3)),"",INDEX(Array_WaterChargeData,ROW()-14,COLUMN()*2-3))</f>
        <v/>
      </c>
      <c r="K37" t="str" cm="1">
        <f>IF(ISBLANK(INDEX(Array_WaterChargeData,ROW()-14,COLUMN()*2-3)),"",INDEX(Array_WaterChargeData,ROW()-14,COLUMN()*2-3))</f>
        <v/>
      </c>
    </row>
    <row r="38" spans="1:11" x14ac:dyDescent="0.35">
      <c r="A38" t="str">
        <f>IF('Water Meters'!B26="",A37,'Water Meters'!B26)</f>
        <v>Meter Numbers</v>
      </c>
      <c r="B38" t="str" cm="1">
        <f>IF(ISBLANK(INDEX(Array_WaterChargeData,ROW()-14,COLUMN()*2-3)),"",INDEX(Array_WaterChargeData,ROW()-14,COLUMN()*2-3))</f>
        <v/>
      </c>
      <c r="C38" t="str" cm="1">
        <f>IF(ISBLANK(INDEX(Array_WaterChargeData,ROW()-14,COLUMN()*2-3)),"",INDEX(Array_WaterChargeData,ROW()-14,COLUMN()*2-3))</f>
        <v/>
      </c>
      <c r="D38" t="str" cm="1">
        <f>IF(ISBLANK(INDEX(Array_WaterChargeData,ROW()-14,COLUMN()*2-3)),"",INDEX(Array_WaterChargeData,ROW()-14,COLUMN()*2-3))</f>
        <v/>
      </c>
      <c r="E38" t="str" cm="1">
        <f>IF(ISBLANK(INDEX(Array_WaterChargeData,ROW()-14,COLUMN()*2-3)),"",INDEX(Array_WaterChargeData,ROW()-14,COLUMN()*2-3))</f>
        <v/>
      </c>
      <c r="F38" t="str" cm="1">
        <f>IF(ISBLANK(INDEX(Array_WaterChargeData,ROW()-14,COLUMN()*2-3)),"",INDEX(Array_WaterChargeData,ROW()-14,COLUMN()*2-3))</f>
        <v/>
      </c>
      <c r="G38" t="str" cm="1">
        <f>IF(ISBLANK(INDEX(Array_WaterChargeData,ROW()-14,COLUMN()*2-3)),"",INDEX(Array_WaterChargeData,ROW()-14,COLUMN()*2-3))</f>
        <v/>
      </c>
      <c r="H38" t="str" cm="1">
        <f>IF(ISBLANK(INDEX(Array_WaterChargeData,ROW()-14,COLUMN()*2-3)),"",INDEX(Array_WaterChargeData,ROW()-14,COLUMN()*2-3))</f>
        <v/>
      </c>
      <c r="I38" t="str" cm="1">
        <f>IF(ISBLANK(INDEX(Array_WaterChargeData,ROW()-14,COLUMN()*2-3)),"",INDEX(Array_WaterChargeData,ROW()-14,COLUMN()*2-3))</f>
        <v/>
      </c>
      <c r="J38" t="str" cm="1">
        <f>IF(ISBLANK(INDEX(Array_WaterChargeData,ROW()-14,COLUMN()*2-3)),"",INDEX(Array_WaterChargeData,ROW()-14,COLUMN()*2-3))</f>
        <v/>
      </c>
      <c r="K38" t="str" cm="1">
        <f>IF(ISBLANK(INDEX(Array_WaterChargeData,ROW()-14,COLUMN()*2-3)),"",INDEX(Array_WaterChargeData,ROW()-14,COLUMN()*2-3))</f>
        <v/>
      </c>
    </row>
    <row r="39" spans="1:11" x14ac:dyDescent="0.35">
      <c r="A39" t="str">
        <f>IF('Water Meters'!B27="",A38,'Water Meters'!B27)</f>
        <v>Meter Numbers</v>
      </c>
      <c r="B39" t="str" cm="1">
        <f>IF(ISBLANK(INDEX(Array_WaterChargeData,ROW()-14,COLUMN()*2-3)),"",INDEX(Array_WaterChargeData,ROW()-14,COLUMN()*2-3))</f>
        <v/>
      </c>
      <c r="C39" t="str" cm="1">
        <f>IF(ISBLANK(INDEX(Array_WaterChargeData,ROW()-14,COLUMN()*2-3)),"",INDEX(Array_WaterChargeData,ROW()-14,COLUMN()*2-3))</f>
        <v/>
      </c>
      <c r="D39" t="str" cm="1">
        <f>IF(ISBLANK(INDEX(Array_WaterChargeData,ROW()-14,COLUMN()*2-3)),"",INDEX(Array_WaterChargeData,ROW()-14,COLUMN()*2-3))</f>
        <v/>
      </c>
      <c r="E39" t="str" cm="1">
        <f>IF(ISBLANK(INDEX(Array_WaterChargeData,ROW()-14,COLUMN()*2-3)),"",INDEX(Array_WaterChargeData,ROW()-14,COLUMN()*2-3))</f>
        <v/>
      </c>
      <c r="F39" t="str" cm="1">
        <f>IF(ISBLANK(INDEX(Array_WaterChargeData,ROW()-14,COLUMN()*2-3)),"",INDEX(Array_WaterChargeData,ROW()-14,COLUMN()*2-3))</f>
        <v/>
      </c>
      <c r="G39" t="str" cm="1">
        <f>IF(ISBLANK(INDEX(Array_WaterChargeData,ROW()-14,COLUMN()*2-3)),"",INDEX(Array_WaterChargeData,ROW()-14,COLUMN()*2-3))</f>
        <v/>
      </c>
      <c r="H39" t="str" cm="1">
        <f>IF(ISBLANK(INDEX(Array_WaterChargeData,ROW()-14,COLUMN()*2-3)),"",INDEX(Array_WaterChargeData,ROW()-14,COLUMN()*2-3))</f>
        <v/>
      </c>
      <c r="I39" t="str" cm="1">
        <f>IF(ISBLANK(INDEX(Array_WaterChargeData,ROW()-14,COLUMN()*2-3)),"",INDEX(Array_WaterChargeData,ROW()-14,COLUMN()*2-3))</f>
        <v/>
      </c>
      <c r="J39" t="str" cm="1">
        <f>IF(ISBLANK(INDEX(Array_WaterChargeData,ROW()-14,COLUMN()*2-3)),"",INDEX(Array_WaterChargeData,ROW()-14,COLUMN()*2-3))</f>
        <v/>
      </c>
      <c r="K39" t="str" cm="1">
        <f>IF(ISBLANK(INDEX(Array_WaterChargeData,ROW()-14,COLUMN()*2-3)),"",INDEX(Array_WaterChargeData,ROW()-14,COLUMN()*2-3))</f>
        <v/>
      </c>
    </row>
    <row r="40" spans="1:11" x14ac:dyDescent="0.35">
      <c r="A40" t="str">
        <f>IF('Water Meters'!B28="",A39,'Water Meters'!B28)</f>
        <v>Meter Numbers</v>
      </c>
      <c r="B40" t="str" cm="1">
        <f>IF(ISBLANK(INDEX(Array_WaterChargeData,ROW()-14,COLUMN()*2-3)),"",INDEX(Array_WaterChargeData,ROW()-14,COLUMN()*2-3))</f>
        <v/>
      </c>
      <c r="C40" t="str" cm="1">
        <f>IF(ISBLANK(INDEX(Array_WaterChargeData,ROW()-14,COLUMN()*2-3)),"",INDEX(Array_WaterChargeData,ROW()-14,COLUMN()*2-3))</f>
        <v/>
      </c>
      <c r="D40" t="str" cm="1">
        <f>IF(ISBLANK(INDEX(Array_WaterChargeData,ROW()-14,COLUMN()*2-3)),"",INDEX(Array_WaterChargeData,ROW()-14,COLUMN()*2-3))</f>
        <v/>
      </c>
      <c r="E40" t="str" cm="1">
        <f>IF(ISBLANK(INDEX(Array_WaterChargeData,ROW()-14,COLUMN()*2-3)),"",INDEX(Array_WaterChargeData,ROW()-14,COLUMN()*2-3))</f>
        <v/>
      </c>
      <c r="F40" t="str" cm="1">
        <f>IF(ISBLANK(INDEX(Array_WaterChargeData,ROW()-14,COLUMN()*2-3)),"",INDEX(Array_WaterChargeData,ROW()-14,COLUMN()*2-3))</f>
        <v/>
      </c>
      <c r="G40" t="str" cm="1">
        <f>IF(ISBLANK(INDEX(Array_WaterChargeData,ROW()-14,COLUMN()*2-3)),"",INDEX(Array_WaterChargeData,ROW()-14,COLUMN()*2-3))</f>
        <v/>
      </c>
      <c r="H40" t="str" cm="1">
        <f>IF(ISBLANK(INDEX(Array_WaterChargeData,ROW()-14,COLUMN()*2-3)),"",INDEX(Array_WaterChargeData,ROW()-14,COLUMN()*2-3))</f>
        <v/>
      </c>
      <c r="I40" t="str" cm="1">
        <f>IF(ISBLANK(INDEX(Array_WaterChargeData,ROW()-14,COLUMN()*2-3)),"",INDEX(Array_WaterChargeData,ROW()-14,COLUMN()*2-3))</f>
        <v/>
      </c>
      <c r="J40" t="str" cm="1">
        <f>IF(ISBLANK(INDEX(Array_WaterChargeData,ROW()-14,COLUMN()*2-3)),"",INDEX(Array_WaterChargeData,ROW()-14,COLUMN()*2-3))</f>
        <v/>
      </c>
      <c r="K40" t="str" cm="1">
        <f>IF(ISBLANK(INDEX(Array_WaterChargeData,ROW()-14,COLUMN()*2-3)),"",INDEX(Array_WaterChargeData,ROW()-14,COLUMN()*2-3))</f>
        <v/>
      </c>
    </row>
    <row r="41" spans="1:11" x14ac:dyDescent="0.35">
      <c r="A41" t="str">
        <f>IF('Water Meters'!B29="",A40,'Water Meters'!B29)</f>
        <v>Meter Numbers</v>
      </c>
      <c r="B41" t="str" cm="1">
        <f>IF(ISBLANK(INDEX(Array_WaterChargeData,ROW()-14,COLUMN()*2-3)),"",INDEX(Array_WaterChargeData,ROW()-14,COLUMN()*2-3))</f>
        <v/>
      </c>
      <c r="C41" t="str" cm="1">
        <f>IF(ISBLANK(INDEX(Array_WaterChargeData,ROW()-14,COLUMN()*2-3)),"",INDEX(Array_WaterChargeData,ROW()-14,COLUMN()*2-3))</f>
        <v/>
      </c>
      <c r="D41" t="str" cm="1">
        <f>IF(ISBLANK(INDEX(Array_WaterChargeData,ROW()-14,COLUMN()*2-3)),"",INDEX(Array_WaterChargeData,ROW()-14,COLUMN()*2-3))</f>
        <v/>
      </c>
      <c r="E41" t="str" cm="1">
        <f>IF(ISBLANK(INDEX(Array_WaterChargeData,ROW()-14,COLUMN()*2-3)),"",INDEX(Array_WaterChargeData,ROW()-14,COLUMN()*2-3))</f>
        <v/>
      </c>
      <c r="F41" t="str" cm="1">
        <f>IF(ISBLANK(INDEX(Array_WaterChargeData,ROW()-14,COLUMN()*2-3)),"",INDEX(Array_WaterChargeData,ROW()-14,COLUMN()*2-3))</f>
        <v/>
      </c>
      <c r="G41" t="str" cm="1">
        <f>IF(ISBLANK(INDEX(Array_WaterChargeData,ROW()-14,COLUMN()*2-3)),"",INDEX(Array_WaterChargeData,ROW()-14,COLUMN()*2-3))</f>
        <v/>
      </c>
      <c r="H41" t="str" cm="1">
        <f>IF(ISBLANK(INDEX(Array_WaterChargeData,ROW()-14,COLUMN()*2-3)),"",INDEX(Array_WaterChargeData,ROW()-14,COLUMN()*2-3))</f>
        <v/>
      </c>
      <c r="I41" t="str" cm="1">
        <f>IF(ISBLANK(INDEX(Array_WaterChargeData,ROW()-14,COLUMN()*2-3)),"",INDEX(Array_WaterChargeData,ROW()-14,COLUMN()*2-3))</f>
        <v/>
      </c>
      <c r="J41" t="str" cm="1">
        <f>IF(ISBLANK(INDEX(Array_WaterChargeData,ROW()-14,COLUMN()*2-3)),"",INDEX(Array_WaterChargeData,ROW()-14,COLUMN()*2-3))</f>
        <v/>
      </c>
      <c r="K41" t="str" cm="1">
        <f>IF(ISBLANK(INDEX(Array_WaterChargeData,ROW()-14,COLUMN()*2-3)),"",INDEX(Array_WaterChargeData,ROW()-14,COLUMN()*2-3))</f>
        <v/>
      </c>
    </row>
    <row r="42" spans="1:11" x14ac:dyDescent="0.35">
      <c r="A42" t="str">
        <f>IF('Water Meters'!B30="",A41,'Water Meters'!B30)</f>
        <v>Meter Numbers</v>
      </c>
      <c r="B42" t="str" cm="1">
        <f>IF(ISBLANK(INDEX(Array_WaterChargeData,ROW()-14,COLUMN()*2-3)),"",INDEX(Array_WaterChargeData,ROW()-14,COLUMN()*2-3))</f>
        <v/>
      </c>
      <c r="C42" t="str" cm="1">
        <f>IF(ISBLANK(INDEX(Array_WaterChargeData,ROW()-14,COLUMN()*2-3)),"",INDEX(Array_WaterChargeData,ROW()-14,COLUMN()*2-3))</f>
        <v/>
      </c>
      <c r="D42" t="str" cm="1">
        <f>IF(ISBLANK(INDEX(Array_WaterChargeData,ROW()-14,COLUMN()*2-3)),"",INDEX(Array_WaterChargeData,ROW()-14,COLUMN()*2-3))</f>
        <v/>
      </c>
      <c r="E42" t="str" cm="1">
        <f>IF(ISBLANK(INDEX(Array_WaterChargeData,ROW()-14,COLUMN()*2-3)),"",INDEX(Array_WaterChargeData,ROW()-14,COLUMN()*2-3))</f>
        <v/>
      </c>
      <c r="F42" t="str" cm="1">
        <f>IF(ISBLANK(INDEX(Array_WaterChargeData,ROW()-14,COLUMN()*2-3)),"",INDEX(Array_WaterChargeData,ROW()-14,COLUMN()*2-3))</f>
        <v/>
      </c>
      <c r="G42" t="str" cm="1">
        <f>IF(ISBLANK(INDEX(Array_WaterChargeData,ROW()-14,COLUMN()*2-3)),"",INDEX(Array_WaterChargeData,ROW()-14,COLUMN()*2-3))</f>
        <v/>
      </c>
      <c r="H42" t="str" cm="1">
        <f>IF(ISBLANK(INDEX(Array_WaterChargeData,ROW()-14,COLUMN()*2-3)),"",INDEX(Array_WaterChargeData,ROW()-14,COLUMN()*2-3))</f>
        <v/>
      </c>
      <c r="I42" t="str" cm="1">
        <f>IF(ISBLANK(INDEX(Array_WaterChargeData,ROW()-14,COLUMN()*2-3)),"",INDEX(Array_WaterChargeData,ROW()-14,COLUMN()*2-3))</f>
        <v/>
      </c>
      <c r="J42" t="str" cm="1">
        <f>IF(ISBLANK(INDEX(Array_WaterChargeData,ROW()-14,COLUMN()*2-3)),"",INDEX(Array_WaterChargeData,ROW()-14,COLUMN()*2-3))</f>
        <v/>
      </c>
      <c r="K42" t="str" cm="1">
        <f>IF(ISBLANK(INDEX(Array_WaterChargeData,ROW()-14,COLUMN()*2-3)),"",INDEX(Array_WaterChargeData,ROW()-14,COLUMN()*2-3))</f>
        <v/>
      </c>
    </row>
    <row r="43" spans="1:11" x14ac:dyDescent="0.35">
      <c r="A43" t="str">
        <f>IF('Water Meters'!B31="",A42,'Water Meters'!B31)</f>
        <v>Meter Numbers</v>
      </c>
      <c r="B43" t="str" cm="1">
        <f>IF(ISBLANK(INDEX(Array_WaterChargeData,ROW()-14,COLUMN()*2-3)),"",INDEX(Array_WaterChargeData,ROW()-14,COLUMN()*2-3))</f>
        <v/>
      </c>
      <c r="C43" t="str" cm="1">
        <f>IF(ISBLANK(INDEX(Array_WaterChargeData,ROW()-14,COLUMN()*2-3)),"",INDEX(Array_WaterChargeData,ROW()-14,COLUMN()*2-3))</f>
        <v/>
      </c>
      <c r="D43" t="str" cm="1">
        <f>IF(ISBLANK(INDEX(Array_WaterChargeData,ROW()-14,COLUMN()*2-3)),"",INDEX(Array_WaterChargeData,ROW()-14,COLUMN()*2-3))</f>
        <v/>
      </c>
      <c r="E43" t="str" cm="1">
        <f>IF(ISBLANK(INDEX(Array_WaterChargeData,ROW()-14,COLUMN()*2-3)),"",INDEX(Array_WaterChargeData,ROW()-14,COLUMN()*2-3))</f>
        <v/>
      </c>
      <c r="F43" t="str" cm="1">
        <f>IF(ISBLANK(INDEX(Array_WaterChargeData,ROW()-14,COLUMN()*2-3)),"",INDEX(Array_WaterChargeData,ROW()-14,COLUMN()*2-3))</f>
        <v/>
      </c>
      <c r="G43" t="str" cm="1">
        <f>IF(ISBLANK(INDEX(Array_WaterChargeData,ROW()-14,COLUMN()*2-3)),"",INDEX(Array_WaterChargeData,ROW()-14,COLUMN()*2-3))</f>
        <v/>
      </c>
      <c r="H43" t="str" cm="1">
        <f>IF(ISBLANK(INDEX(Array_WaterChargeData,ROW()-14,COLUMN()*2-3)),"",INDEX(Array_WaterChargeData,ROW()-14,COLUMN()*2-3))</f>
        <v/>
      </c>
      <c r="I43" t="str" cm="1">
        <f>IF(ISBLANK(INDEX(Array_WaterChargeData,ROW()-14,COLUMN()*2-3)),"",INDEX(Array_WaterChargeData,ROW()-14,COLUMN()*2-3))</f>
        <v/>
      </c>
      <c r="J43" t="str" cm="1">
        <f>IF(ISBLANK(INDEX(Array_WaterChargeData,ROW()-14,COLUMN()*2-3)),"",INDEX(Array_WaterChargeData,ROW()-14,COLUMN()*2-3))</f>
        <v/>
      </c>
      <c r="K43" t="str" cm="1">
        <f>IF(ISBLANK(INDEX(Array_WaterChargeData,ROW()-14,COLUMN()*2-3)),"",INDEX(Array_WaterChargeData,ROW()-14,COLUMN()*2-3))</f>
        <v/>
      </c>
    </row>
    <row r="44" spans="1:11" x14ac:dyDescent="0.35">
      <c r="A44" t="str">
        <f>IF('Water Meters'!B32="",A43,'Water Meters'!B32)</f>
        <v>Meter Numbers</v>
      </c>
      <c r="B44" t="str" cm="1">
        <f>IF(ISBLANK(INDEX(Array_WaterChargeData,ROW()-14,COLUMN()*2-3)),"",INDEX(Array_WaterChargeData,ROW()-14,COLUMN()*2-3))</f>
        <v/>
      </c>
      <c r="C44" t="str" cm="1">
        <f>IF(ISBLANK(INDEX(Array_WaterChargeData,ROW()-14,COLUMN()*2-3)),"",INDEX(Array_WaterChargeData,ROW()-14,COLUMN()*2-3))</f>
        <v/>
      </c>
      <c r="D44" t="str" cm="1">
        <f>IF(ISBLANK(INDEX(Array_WaterChargeData,ROW()-14,COLUMN()*2-3)),"",INDEX(Array_WaterChargeData,ROW()-14,COLUMN()*2-3))</f>
        <v/>
      </c>
      <c r="E44" t="str" cm="1">
        <f>IF(ISBLANK(INDEX(Array_WaterChargeData,ROW()-14,COLUMN()*2-3)),"",INDEX(Array_WaterChargeData,ROW()-14,COLUMN()*2-3))</f>
        <v/>
      </c>
      <c r="F44" t="str" cm="1">
        <f>IF(ISBLANK(INDEX(Array_WaterChargeData,ROW()-14,COLUMN()*2-3)),"",INDEX(Array_WaterChargeData,ROW()-14,COLUMN()*2-3))</f>
        <v/>
      </c>
      <c r="G44" t="str" cm="1">
        <f>IF(ISBLANK(INDEX(Array_WaterChargeData,ROW()-14,COLUMN()*2-3)),"",INDEX(Array_WaterChargeData,ROW()-14,COLUMN()*2-3))</f>
        <v/>
      </c>
      <c r="H44" t="str" cm="1">
        <f>IF(ISBLANK(INDEX(Array_WaterChargeData,ROW()-14,COLUMN()*2-3)),"",INDEX(Array_WaterChargeData,ROW()-14,COLUMN()*2-3))</f>
        <v/>
      </c>
      <c r="I44" t="str" cm="1">
        <f>IF(ISBLANK(INDEX(Array_WaterChargeData,ROW()-14,COLUMN()*2-3)),"",INDEX(Array_WaterChargeData,ROW()-14,COLUMN()*2-3))</f>
        <v/>
      </c>
      <c r="J44" t="str" cm="1">
        <f>IF(ISBLANK(INDEX(Array_WaterChargeData,ROW()-14,COLUMN()*2-3)),"",INDEX(Array_WaterChargeData,ROW()-14,COLUMN()*2-3))</f>
        <v/>
      </c>
      <c r="K44" t="str" cm="1">
        <f>IF(ISBLANK(INDEX(Array_WaterChargeData,ROW()-14,COLUMN()*2-3)),"",INDEX(Array_WaterChargeData,ROW()-14,COLUMN()*2-3))</f>
        <v/>
      </c>
    </row>
    <row r="45" spans="1:11" x14ac:dyDescent="0.35">
      <c r="A45" t="str">
        <f>IF('Water Meters'!B33="",A44,'Water Meters'!B33)</f>
        <v>Meter Numbers</v>
      </c>
      <c r="B45" t="str" cm="1">
        <f>IF(ISBLANK(INDEX(Array_WaterChargeData,ROW()-14,COLUMN()*2-3)),"",INDEX(Array_WaterChargeData,ROW()-14,COLUMN()*2-3))</f>
        <v/>
      </c>
      <c r="C45" t="str" cm="1">
        <f>IF(ISBLANK(INDEX(Array_WaterChargeData,ROW()-14,COLUMN()*2-3)),"",INDEX(Array_WaterChargeData,ROW()-14,COLUMN()*2-3))</f>
        <v/>
      </c>
      <c r="D45" t="str" cm="1">
        <f>IF(ISBLANK(INDEX(Array_WaterChargeData,ROW()-14,COLUMN()*2-3)),"",INDEX(Array_WaterChargeData,ROW()-14,COLUMN()*2-3))</f>
        <v/>
      </c>
      <c r="E45" t="str" cm="1">
        <f>IF(ISBLANK(INDEX(Array_WaterChargeData,ROW()-14,COLUMN()*2-3)),"",INDEX(Array_WaterChargeData,ROW()-14,COLUMN()*2-3))</f>
        <v/>
      </c>
      <c r="F45" t="str" cm="1">
        <f>IF(ISBLANK(INDEX(Array_WaterChargeData,ROW()-14,COLUMN()*2-3)),"",INDEX(Array_WaterChargeData,ROW()-14,COLUMN()*2-3))</f>
        <v/>
      </c>
      <c r="G45" t="str" cm="1">
        <f>IF(ISBLANK(INDEX(Array_WaterChargeData,ROW()-14,COLUMN()*2-3)),"",INDEX(Array_WaterChargeData,ROW()-14,COLUMN()*2-3))</f>
        <v/>
      </c>
      <c r="H45" t="str" cm="1">
        <f>IF(ISBLANK(INDEX(Array_WaterChargeData,ROW()-14,COLUMN()*2-3)),"",INDEX(Array_WaterChargeData,ROW()-14,COLUMN()*2-3))</f>
        <v/>
      </c>
      <c r="I45" t="str" cm="1">
        <f>IF(ISBLANK(INDEX(Array_WaterChargeData,ROW()-14,COLUMN()*2-3)),"",INDEX(Array_WaterChargeData,ROW()-14,COLUMN()*2-3))</f>
        <v/>
      </c>
      <c r="J45" t="str" cm="1">
        <f>IF(ISBLANK(INDEX(Array_WaterChargeData,ROW()-14,COLUMN()*2-3)),"",INDEX(Array_WaterChargeData,ROW()-14,COLUMN()*2-3))</f>
        <v/>
      </c>
      <c r="K45" t="str" cm="1">
        <f>IF(ISBLANK(INDEX(Array_WaterChargeData,ROW()-14,COLUMN()*2-3)),"",INDEX(Array_WaterChargeData,ROW()-14,COLUMN()*2-3))</f>
        <v/>
      </c>
    </row>
    <row r="46" spans="1:11" x14ac:dyDescent="0.35">
      <c r="A46" t="str">
        <f>IF('Water Meters'!B34="",A45,'Water Meters'!B34)</f>
        <v>Meter Numbers</v>
      </c>
      <c r="B46" t="str" cm="1">
        <f>IF(ISBLANK(INDEX(Array_WaterChargeData,ROW()-14,COLUMN()*2-3)),"",INDEX(Array_WaterChargeData,ROW()-14,COLUMN()*2-3))</f>
        <v/>
      </c>
      <c r="C46" t="str" cm="1">
        <f>IF(ISBLANK(INDEX(Array_WaterChargeData,ROW()-14,COLUMN()*2-3)),"",INDEX(Array_WaterChargeData,ROW()-14,COLUMN()*2-3))</f>
        <v/>
      </c>
      <c r="D46" t="str" cm="1">
        <f>IF(ISBLANK(INDEX(Array_WaterChargeData,ROW()-14,COLUMN()*2-3)),"",INDEX(Array_WaterChargeData,ROW()-14,COLUMN()*2-3))</f>
        <v/>
      </c>
      <c r="E46" t="str" cm="1">
        <f>IF(ISBLANK(INDEX(Array_WaterChargeData,ROW()-14,COLUMN()*2-3)),"",INDEX(Array_WaterChargeData,ROW()-14,COLUMN()*2-3))</f>
        <v/>
      </c>
      <c r="F46" t="str" cm="1">
        <f>IF(ISBLANK(INDEX(Array_WaterChargeData,ROW()-14,COLUMN()*2-3)),"",INDEX(Array_WaterChargeData,ROW()-14,COLUMN()*2-3))</f>
        <v/>
      </c>
      <c r="G46" t="str" cm="1">
        <f>IF(ISBLANK(INDEX(Array_WaterChargeData,ROW()-14,COLUMN()*2-3)),"",INDEX(Array_WaterChargeData,ROW()-14,COLUMN()*2-3))</f>
        <v/>
      </c>
      <c r="H46" t="str" cm="1">
        <f>IF(ISBLANK(INDEX(Array_WaterChargeData,ROW()-14,COLUMN()*2-3)),"",INDEX(Array_WaterChargeData,ROW()-14,COLUMN()*2-3))</f>
        <v/>
      </c>
      <c r="I46" t="str" cm="1">
        <f>IF(ISBLANK(INDEX(Array_WaterChargeData,ROW()-14,COLUMN()*2-3)),"",INDEX(Array_WaterChargeData,ROW()-14,COLUMN()*2-3))</f>
        <v/>
      </c>
      <c r="J46" t="str" cm="1">
        <f>IF(ISBLANK(INDEX(Array_WaterChargeData,ROW()-14,COLUMN()*2-3)),"",INDEX(Array_WaterChargeData,ROW()-14,COLUMN()*2-3))</f>
        <v/>
      </c>
      <c r="K46" t="str" cm="1">
        <f>IF(ISBLANK(INDEX(Array_WaterChargeData,ROW()-14,COLUMN()*2-3)),"",INDEX(Array_WaterChargeData,ROW()-14,COLUMN()*2-3))</f>
        <v/>
      </c>
    </row>
    <row r="47" spans="1:11" x14ac:dyDescent="0.35">
      <c r="A47" t="str">
        <f>IF('Water Meters'!B35="",A46,'Water Meters'!B35)</f>
        <v>Meter Numbers</v>
      </c>
      <c r="B47" t="str" cm="1">
        <f>IF(ISBLANK(INDEX(Array_WaterChargeData,ROW()-14,COLUMN()*2-3)),"",INDEX(Array_WaterChargeData,ROW()-14,COLUMN()*2-3))</f>
        <v/>
      </c>
      <c r="C47" t="str" cm="1">
        <f>IF(ISBLANK(INDEX(Array_WaterChargeData,ROW()-14,COLUMN()*2-3)),"",INDEX(Array_WaterChargeData,ROW()-14,COLUMN()*2-3))</f>
        <v/>
      </c>
      <c r="D47" t="str" cm="1">
        <f>IF(ISBLANK(INDEX(Array_WaterChargeData,ROW()-14,COLUMN()*2-3)),"",INDEX(Array_WaterChargeData,ROW()-14,COLUMN()*2-3))</f>
        <v/>
      </c>
      <c r="E47" t="str" cm="1">
        <f>IF(ISBLANK(INDEX(Array_WaterChargeData,ROW()-14,COLUMN()*2-3)),"",INDEX(Array_WaterChargeData,ROW()-14,COLUMN()*2-3))</f>
        <v/>
      </c>
      <c r="F47" t="str" cm="1">
        <f>IF(ISBLANK(INDEX(Array_WaterChargeData,ROW()-14,COLUMN()*2-3)),"",INDEX(Array_WaterChargeData,ROW()-14,COLUMN()*2-3))</f>
        <v/>
      </c>
      <c r="G47" t="str" cm="1">
        <f>IF(ISBLANK(INDEX(Array_WaterChargeData,ROW()-14,COLUMN()*2-3)),"",INDEX(Array_WaterChargeData,ROW()-14,COLUMN()*2-3))</f>
        <v/>
      </c>
      <c r="H47" t="str" cm="1">
        <f>IF(ISBLANK(INDEX(Array_WaterChargeData,ROW()-14,COLUMN()*2-3)),"",INDEX(Array_WaterChargeData,ROW()-14,COLUMN()*2-3))</f>
        <v/>
      </c>
      <c r="I47" t="str" cm="1">
        <f>IF(ISBLANK(INDEX(Array_WaterChargeData,ROW()-14,COLUMN()*2-3)),"",INDEX(Array_WaterChargeData,ROW()-14,COLUMN()*2-3))</f>
        <v/>
      </c>
      <c r="J47" t="str" cm="1">
        <f>IF(ISBLANK(INDEX(Array_WaterChargeData,ROW()-14,COLUMN()*2-3)),"",INDEX(Array_WaterChargeData,ROW()-14,COLUMN()*2-3))</f>
        <v/>
      </c>
      <c r="K47" t="str" cm="1">
        <f>IF(ISBLANK(INDEX(Array_WaterChargeData,ROW()-14,COLUMN()*2-3)),"",INDEX(Array_WaterChargeData,ROW()-14,COLUMN()*2-3))</f>
        <v/>
      </c>
    </row>
    <row r="48" spans="1:11" x14ac:dyDescent="0.35">
      <c r="A48" t="str">
        <f>IF('Water Meters'!B36="",A47,'Water Meters'!B36)</f>
        <v>Meter Numbers</v>
      </c>
      <c r="B48" t="str" cm="1">
        <f>IF(ISBLANK(INDEX(Array_WaterChargeData,ROW()-14,COLUMN()*2-3)),"",INDEX(Array_WaterChargeData,ROW()-14,COLUMN()*2-3))</f>
        <v/>
      </c>
      <c r="C48" t="str" cm="1">
        <f>IF(ISBLANK(INDEX(Array_WaterChargeData,ROW()-14,COLUMN()*2-3)),"",INDEX(Array_WaterChargeData,ROW()-14,COLUMN()*2-3))</f>
        <v/>
      </c>
      <c r="D48" t="str" cm="1">
        <f>IF(ISBLANK(INDEX(Array_WaterChargeData,ROW()-14,COLUMN()*2-3)),"",INDEX(Array_WaterChargeData,ROW()-14,COLUMN()*2-3))</f>
        <v/>
      </c>
      <c r="E48" t="str" cm="1">
        <f>IF(ISBLANK(INDEX(Array_WaterChargeData,ROW()-14,COLUMN()*2-3)),"",INDEX(Array_WaterChargeData,ROW()-14,COLUMN()*2-3))</f>
        <v/>
      </c>
      <c r="F48" t="str" cm="1">
        <f>IF(ISBLANK(INDEX(Array_WaterChargeData,ROW()-14,COLUMN()*2-3)),"",INDEX(Array_WaterChargeData,ROW()-14,COLUMN()*2-3))</f>
        <v/>
      </c>
      <c r="G48" t="str" cm="1">
        <f>IF(ISBLANK(INDEX(Array_WaterChargeData,ROW()-14,COLUMN()*2-3)),"",INDEX(Array_WaterChargeData,ROW()-14,COLUMN()*2-3))</f>
        <v/>
      </c>
      <c r="H48" t="str" cm="1">
        <f>IF(ISBLANK(INDEX(Array_WaterChargeData,ROW()-14,COLUMN()*2-3)),"",INDEX(Array_WaterChargeData,ROW()-14,COLUMN()*2-3))</f>
        <v/>
      </c>
      <c r="I48" t="str" cm="1">
        <f>IF(ISBLANK(INDEX(Array_WaterChargeData,ROW()-14,COLUMN()*2-3)),"",INDEX(Array_WaterChargeData,ROW()-14,COLUMN()*2-3))</f>
        <v/>
      </c>
      <c r="J48" t="str" cm="1">
        <f>IF(ISBLANK(INDEX(Array_WaterChargeData,ROW()-14,COLUMN()*2-3)),"",INDEX(Array_WaterChargeData,ROW()-14,COLUMN()*2-3))</f>
        <v/>
      </c>
      <c r="K48" t="str" cm="1">
        <f>IF(ISBLANK(INDEX(Array_WaterChargeData,ROW()-14,COLUMN()*2-3)),"",INDEX(Array_WaterChargeData,ROW()-14,COLUMN()*2-3))</f>
        <v/>
      </c>
    </row>
    <row r="49" spans="1:11" x14ac:dyDescent="0.35">
      <c r="A49" t="str">
        <f>IF('Water Meters'!B37="",A48,'Water Meters'!B37)</f>
        <v>Meter Numbers</v>
      </c>
      <c r="B49" t="str" cm="1">
        <f>IF(ISBLANK(INDEX(Array_WaterChargeData,ROW()-14,COLUMN()*2-3)),"",INDEX(Array_WaterChargeData,ROW()-14,COLUMN()*2-3))</f>
        <v/>
      </c>
      <c r="C49" t="str" cm="1">
        <f>IF(ISBLANK(INDEX(Array_WaterChargeData,ROW()-14,COLUMN()*2-3)),"",INDEX(Array_WaterChargeData,ROW()-14,COLUMN()*2-3))</f>
        <v/>
      </c>
      <c r="D49" t="str" cm="1">
        <f>IF(ISBLANK(INDEX(Array_WaterChargeData,ROW()-14,COLUMN()*2-3)),"",INDEX(Array_WaterChargeData,ROW()-14,COLUMN()*2-3))</f>
        <v/>
      </c>
      <c r="E49" t="str" cm="1">
        <f>IF(ISBLANK(INDEX(Array_WaterChargeData,ROW()-14,COLUMN()*2-3)),"",INDEX(Array_WaterChargeData,ROW()-14,COLUMN()*2-3))</f>
        <v/>
      </c>
      <c r="F49" t="str" cm="1">
        <f>IF(ISBLANK(INDEX(Array_WaterChargeData,ROW()-14,COLUMN()*2-3)),"",INDEX(Array_WaterChargeData,ROW()-14,COLUMN()*2-3))</f>
        <v/>
      </c>
      <c r="G49" t="str" cm="1">
        <f>IF(ISBLANK(INDEX(Array_WaterChargeData,ROW()-14,COLUMN()*2-3)),"",INDEX(Array_WaterChargeData,ROW()-14,COLUMN()*2-3))</f>
        <v/>
      </c>
      <c r="H49" t="str" cm="1">
        <f>IF(ISBLANK(INDEX(Array_WaterChargeData,ROW()-14,COLUMN()*2-3)),"",INDEX(Array_WaterChargeData,ROW()-14,COLUMN()*2-3))</f>
        <v/>
      </c>
      <c r="I49" t="str" cm="1">
        <f>IF(ISBLANK(INDEX(Array_WaterChargeData,ROW()-14,COLUMN()*2-3)),"",INDEX(Array_WaterChargeData,ROW()-14,COLUMN()*2-3))</f>
        <v/>
      </c>
      <c r="J49" t="str" cm="1">
        <f>IF(ISBLANK(INDEX(Array_WaterChargeData,ROW()-14,COLUMN()*2-3)),"",INDEX(Array_WaterChargeData,ROW()-14,COLUMN()*2-3))</f>
        <v/>
      </c>
      <c r="K49" t="str" cm="1">
        <f>IF(ISBLANK(INDEX(Array_WaterChargeData,ROW()-14,COLUMN()*2-3)),"",INDEX(Array_WaterChargeData,ROW()-14,COLUMN()*2-3))</f>
        <v/>
      </c>
    </row>
    <row r="50" spans="1:11" x14ac:dyDescent="0.35">
      <c r="A50" t="str">
        <f>IF('Water Meters'!B38="",A49,'Water Meters'!B38)</f>
        <v>Meter Numbers</v>
      </c>
      <c r="B50" t="str" cm="1">
        <f>IF(ISBLANK(INDEX(Array_WaterChargeData,ROW()-14,COLUMN()*2-3)),"",INDEX(Array_WaterChargeData,ROW()-14,COLUMN()*2-3))</f>
        <v/>
      </c>
      <c r="C50" t="str" cm="1">
        <f>IF(ISBLANK(INDEX(Array_WaterChargeData,ROW()-14,COLUMN()*2-3)),"",INDEX(Array_WaterChargeData,ROW()-14,COLUMN()*2-3))</f>
        <v/>
      </c>
      <c r="D50" t="str" cm="1">
        <f>IF(ISBLANK(INDEX(Array_WaterChargeData,ROW()-14,COLUMN()*2-3)),"",INDEX(Array_WaterChargeData,ROW()-14,COLUMN()*2-3))</f>
        <v/>
      </c>
      <c r="E50" t="str" cm="1">
        <f>IF(ISBLANK(INDEX(Array_WaterChargeData,ROW()-14,COLUMN()*2-3)),"",INDEX(Array_WaterChargeData,ROW()-14,COLUMN()*2-3))</f>
        <v/>
      </c>
      <c r="F50" t="str" cm="1">
        <f>IF(ISBLANK(INDEX(Array_WaterChargeData,ROW()-14,COLUMN()*2-3)),"",INDEX(Array_WaterChargeData,ROW()-14,COLUMN()*2-3))</f>
        <v/>
      </c>
      <c r="G50" t="str" cm="1">
        <f>IF(ISBLANK(INDEX(Array_WaterChargeData,ROW()-14,COLUMN()*2-3)),"",INDEX(Array_WaterChargeData,ROW()-14,COLUMN()*2-3))</f>
        <v/>
      </c>
      <c r="H50" t="str" cm="1">
        <f>IF(ISBLANK(INDEX(Array_WaterChargeData,ROW()-14,COLUMN()*2-3)),"",INDEX(Array_WaterChargeData,ROW()-14,COLUMN()*2-3))</f>
        <v/>
      </c>
      <c r="I50" t="str" cm="1">
        <f>IF(ISBLANK(INDEX(Array_WaterChargeData,ROW()-14,COLUMN()*2-3)),"",INDEX(Array_WaterChargeData,ROW()-14,COLUMN()*2-3))</f>
        <v/>
      </c>
      <c r="J50" t="str" cm="1">
        <f>IF(ISBLANK(INDEX(Array_WaterChargeData,ROW()-14,COLUMN()*2-3)),"",INDEX(Array_WaterChargeData,ROW()-14,COLUMN()*2-3))</f>
        <v/>
      </c>
      <c r="K50" t="str" cm="1">
        <f>IF(ISBLANK(INDEX(Array_WaterChargeData,ROW()-14,COLUMN()*2-3)),"",INDEX(Array_WaterChargeData,ROW()-14,COLUMN()*2-3))</f>
        <v/>
      </c>
    </row>
    <row r="51" spans="1:11" x14ac:dyDescent="0.35">
      <c r="A51" t="str">
        <f>IF('Water Meters'!B39="",A50,'Water Meters'!B39)</f>
        <v>Meter Numbers</v>
      </c>
      <c r="B51" t="str" cm="1">
        <f>IF(ISBLANK(INDEX(Array_WaterChargeData,ROW()-14,COLUMN()*2-3)),"",INDEX(Array_WaterChargeData,ROW()-14,COLUMN()*2-3))</f>
        <v/>
      </c>
      <c r="C51" t="str" cm="1">
        <f>IF(ISBLANK(INDEX(Array_WaterChargeData,ROW()-14,COLUMN()*2-3)),"",INDEX(Array_WaterChargeData,ROW()-14,COLUMN()*2-3))</f>
        <v/>
      </c>
      <c r="D51" t="str" cm="1">
        <f>IF(ISBLANK(INDEX(Array_WaterChargeData,ROW()-14,COLUMN()*2-3)),"",INDEX(Array_WaterChargeData,ROW()-14,COLUMN()*2-3))</f>
        <v/>
      </c>
      <c r="E51" t="str" cm="1">
        <f>IF(ISBLANK(INDEX(Array_WaterChargeData,ROW()-14,COLUMN()*2-3)),"",INDEX(Array_WaterChargeData,ROW()-14,COLUMN()*2-3))</f>
        <v/>
      </c>
      <c r="F51" t="str" cm="1">
        <f>IF(ISBLANK(INDEX(Array_WaterChargeData,ROW()-14,COLUMN()*2-3)),"",INDEX(Array_WaterChargeData,ROW()-14,COLUMN()*2-3))</f>
        <v/>
      </c>
      <c r="G51" t="str" cm="1">
        <f>IF(ISBLANK(INDEX(Array_WaterChargeData,ROW()-14,COLUMN()*2-3)),"",INDEX(Array_WaterChargeData,ROW()-14,COLUMN()*2-3))</f>
        <v/>
      </c>
      <c r="H51" t="str" cm="1">
        <f>IF(ISBLANK(INDEX(Array_WaterChargeData,ROW()-14,COLUMN()*2-3)),"",INDEX(Array_WaterChargeData,ROW()-14,COLUMN()*2-3))</f>
        <v/>
      </c>
      <c r="I51" t="str" cm="1">
        <f>IF(ISBLANK(INDEX(Array_WaterChargeData,ROW()-14,COLUMN()*2-3)),"",INDEX(Array_WaterChargeData,ROW()-14,COLUMN()*2-3))</f>
        <v/>
      </c>
      <c r="J51" t="str" cm="1">
        <f>IF(ISBLANK(INDEX(Array_WaterChargeData,ROW()-14,COLUMN()*2-3)),"",INDEX(Array_WaterChargeData,ROW()-14,COLUMN()*2-3))</f>
        <v/>
      </c>
      <c r="K51" t="str" cm="1">
        <f>IF(ISBLANK(INDEX(Array_WaterChargeData,ROW()-14,COLUMN()*2-3)),"",INDEX(Array_WaterChargeData,ROW()-14,COLUMN()*2-3))</f>
        <v/>
      </c>
    </row>
    <row r="52" spans="1:11" x14ac:dyDescent="0.35">
      <c r="A52" t="str">
        <f>IF('Water Meters'!B40="",A51,'Water Meters'!B40)</f>
        <v>Meter Numbers</v>
      </c>
      <c r="B52" t="str" cm="1">
        <f>IF(ISBLANK(INDEX(Array_WaterChargeData,ROW()-14,COLUMN()*2-3)),"",INDEX(Array_WaterChargeData,ROW()-14,COLUMN()*2-3))</f>
        <v/>
      </c>
      <c r="C52" t="str" cm="1">
        <f>IF(ISBLANK(INDEX(Array_WaterChargeData,ROW()-14,COLUMN()*2-3)),"",INDEX(Array_WaterChargeData,ROW()-14,COLUMN()*2-3))</f>
        <v/>
      </c>
      <c r="D52" t="str" cm="1">
        <f>IF(ISBLANK(INDEX(Array_WaterChargeData,ROW()-14,COLUMN()*2-3)),"",INDEX(Array_WaterChargeData,ROW()-14,COLUMN()*2-3))</f>
        <v/>
      </c>
      <c r="E52" t="str" cm="1">
        <f>IF(ISBLANK(INDEX(Array_WaterChargeData,ROW()-14,COLUMN()*2-3)),"",INDEX(Array_WaterChargeData,ROW()-14,COLUMN()*2-3))</f>
        <v/>
      </c>
      <c r="F52" t="str" cm="1">
        <f>IF(ISBLANK(INDEX(Array_WaterChargeData,ROW()-14,COLUMN()*2-3)),"",INDEX(Array_WaterChargeData,ROW()-14,COLUMN()*2-3))</f>
        <v/>
      </c>
      <c r="G52" t="str" cm="1">
        <f>IF(ISBLANK(INDEX(Array_WaterChargeData,ROW()-14,COLUMN()*2-3)),"",INDEX(Array_WaterChargeData,ROW()-14,COLUMN()*2-3))</f>
        <v/>
      </c>
      <c r="H52" t="str" cm="1">
        <f>IF(ISBLANK(INDEX(Array_WaterChargeData,ROW()-14,COLUMN()*2-3)),"",INDEX(Array_WaterChargeData,ROW()-14,COLUMN()*2-3))</f>
        <v/>
      </c>
      <c r="I52" t="str" cm="1">
        <f>IF(ISBLANK(INDEX(Array_WaterChargeData,ROW()-14,COLUMN()*2-3)),"",INDEX(Array_WaterChargeData,ROW()-14,COLUMN()*2-3))</f>
        <v/>
      </c>
      <c r="J52" t="str" cm="1">
        <f>IF(ISBLANK(INDEX(Array_WaterChargeData,ROW()-14,COLUMN()*2-3)),"",INDEX(Array_WaterChargeData,ROW()-14,COLUMN()*2-3))</f>
        <v/>
      </c>
      <c r="K52" t="str" cm="1">
        <f>IF(ISBLANK(INDEX(Array_WaterChargeData,ROW()-14,COLUMN()*2-3)),"",INDEX(Array_WaterChargeData,ROW()-14,COLUMN()*2-3))</f>
        <v/>
      </c>
    </row>
    <row r="53" spans="1:11" x14ac:dyDescent="0.35">
      <c r="A53" t="str">
        <f>IF('Water Meters'!B41="",A52,'Water Meters'!B41)</f>
        <v>Meter Numbers</v>
      </c>
      <c r="B53" t="str" cm="1">
        <f>IF(ISBLANK(INDEX(Array_WaterChargeData,ROW()-14,COLUMN()*2-3)),"",INDEX(Array_WaterChargeData,ROW()-14,COLUMN()*2-3))</f>
        <v/>
      </c>
      <c r="C53" t="str" cm="1">
        <f>IF(ISBLANK(INDEX(Array_WaterChargeData,ROW()-14,COLUMN()*2-3)),"",INDEX(Array_WaterChargeData,ROW()-14,COLUMN()*2-3))</f>
        <v/>
      </c>
      <c r="D53" t="str" cm="1">
        <f>IF(ISBLANK(INDEX(Array_WaterChargeData,ROW()-14,COLUMN()*2-3)),"",INDEX(Array_WaterChargeData,ROW()-14,COLUMN()*2-3))</f>
        <v/>
      </c>
      <c r="E53" t="str" cm="1">
        <f>IF(ISBLANK(INDEX(Array_WaterChargeData,ROW()-14,COLUMN()*2-3)),"",INDEX(Array_WaterChargeData,ROW()-14,COLUMN()*2-3))</f>
        <v/>
      </c>
      <c r="F53" t="str" cm="1">
        <f>IF(ISBLANK(INDEX(Array_WaterChargeData,ROW()-14,COLUMN()*2-3)),"",INDEX(Array_WaterChargeData,ROW()-14,COLUMN()*2-3))</f>
        <v/>
      </c>
      <c r="G53" t="str" cm="1">
        <f>IF(ISBLANK(INDEX(Array_WaterChargeData,ROW()-14,COLUMN()*2-3)),"",INDEX(Array_WaterChargeData,ROW()-14,COLUMN()*2-3))</f>
        <v/>
      </c>
      <c r="H53" t="str" cm="1">
        <f>IF(ISBLANK(INDEX(Array_WaterChargeData,ROW()-14,COLUMN()*2-3)),"",INDEX(Array_WaterChargeData,ROW()-14,COLUMN()*2-3))</f>
        <v/>
      </c>
      <c r="I53" t="str" cm="1">
        <f>IF(ISBLANK(INDEX(Array_WaterChargeData,ROW()-14,COLUMN()*2-3)),"",INDEX(Array_WaterChargeData,ROW()-14,COLUMN()*2-3))</f>
        <v/>
      </c>
      <c r="J53" t="str" cm="1">
        <f>IF(ISBLANK(INDEX(Array_WaterChargeData,ROW()-14,COLUMN()*2-3)),"",INDEX(Array_WaterChargeData,ROW()-14,COLUMN()*2-3))</f>
        <v/>
      </c>
      <c r="K53" t="str" cm="1">
        <f>IF(ISBLANK(INDEX(Array_WaterChargeData,ROW()-14,COLUMN()*2-3)),"",INDEX(Array_WaterChargeData,ROW()-14,COLUMN()*2-3))</f>
        <v/>
      </c>
    </row>
    <row r="54" spans="1:11" x14ac:dyDescent="0.35">
      <c r="A54" t="str">
        <f>IF('Water Meters'!B42="",A53,'Water Meters'!B42)</f>
        <v>Meter Numbers</v>
      </c>
      <c r="B54" t="str" cm="1">
        <f>IF(ISBLANK(INDEX(Array_WaterChargeData,ROW()-14,COLUMN()*2-3)),"",INDEX(Array_WaterChargeData,ROW()-14,COLUMN()*2-3))</f>
        <v/>
      </c>
      <c r="C54" t="str" cm="1">
        <f>IF(ISBLANK(INDEX(Array_WaterChargeData,ROW()-14,COLUMN()*2-3)),"",INDEX(Array_WaterChargeData,ROW()-14,COLUMN()*2-3))</f>
        <v/>
      </c>
      <c r="D54" t="str" cm="1">
        <f>IF(ISBLANK(INDEX(Array_WaterChargeData,ROW()-14,COLUMN()*2-3)),"",INDEX(Array_WaterChargeData,ROW()-14,COLUMN()*2-3))</f>
        <v/>
      </c>
      <c r="E54" t="str" cm="1">
        <f>IF(ISBLANK(INDEX(Array_WaterChargeData,ROW()-14,COLUMN()*2-3)),"",INDEX(Array_WaterChargeData,ROW()-14,COLUMN()*2-3))</f>
        <v/>
      </c>
      <c r="F54" t="str" cm="1">
        <f>IF(ISBLANK(INDEX(Array_WaterChargeData,ROW()-14,COLUMN()*2-3)),"",INDEX(Array_WaterChargeData,ROW()-14,COLUMN()*2-3))</f>
        <v/>
      </c>
      <c r="G54" t="str" cm="1">
        <f>IF(ISBLANK(INDEX(Array_WaterChargeData,ROW()-14,COLUMN()*2-3)),"",INDEX(Array_WaterChargeData,ROW()-14,COLUMN()*2-3))</f>
        <v/>
      </c>
      <c r="H54" t="str" cm="1">
        <f>IF(ISBLANK(INDEX(Array_WaterChargeData,ROW()-14,COLUMN()*2-3)),"",INDEX(Array_WaterChargeData,ROW()-14,COLUMN()*2-3))</f>
        <v/>
      </c>
      <c r="I54" t="str" cm="1">
        <f>IF(ISBLANK(INDEX(Array_WaterChargeData,ROW()-14,COLUMN()*2-3)),"",INDEX(Array_WaterChargeData,ROW()-14,COLUMN()*2-3))</f>
        <v/>
      </c>
      <c r="J54" t="str" cm="1">
        <f>IF(ISBLANK(INDEX(Array_WaterChargeData,ROW()-14,COLUMN()*2-3)),"",INDEX(Array_WaterChargeData,ROW()-14,COLUMN()*2-3))</f>
        <v/>
      </c>
      <c r="K54" t="str" cm="1">
        <f>IF(ISBLANK(INDEX(Array_WaterChargeData,ROW()-14,COLUMN()*2-3)),"",INDEX(Array_WaterChargeData,ROW()-14,COLUMN()*2-3))</f>
        <v/>
      </c>
    </row>
    <row r="55" spans="1:11" x14ac:dyDescent="0.35">
      <c r="A55" t="str">
        <f>IF('Water Meters'!B43="",A54,'Water Meters'!B43)</f>
        <v>Meter Numbers</v>
      </c>
      <c r="B55" t="str" cm="1">
        <f>IF(ISBLANK(INDEX(Array_WaterChargeData,ROW()-14,COLUMN()*2-3)),"",INDEX(Array_WaterChargeData,ROW()-14,COLUMN()*2-3))</f>
        <v/>
      </c>
      <c r="C55" t="str" cm="1">
        <f>IF(ISBLANK(INDEX(Array_WaterChargeData,ROW()-14,COLUMN()*2-3)),"",INDEX(Array_WaterChargeData,ROW()-14,COLUMN()*2-3))</f>
        <v/>
      </c>
      <c r="D55" t="str" cm="1">
        <f>IF(ISBLANK(INDEX(Array_WaterChargeData,ROW()-14,COLUMN()*2-3)),"",INDEX(Array_WaterChargeData,ROW()-14,COLUMN()*2-3))</f>
        <v/>
      </c>
      <c r="E55" t="str" cm="1">
        <f>IF(ISBLANK(INDEX(Array_WaterChargeData,ROW()-14,COLUMN()*2-3)),"",INDEX(Array_WaterChargeData,ROW()-14,COLUMN()*2-3))</f>
        <v/>
      </c>
      <c r="F55" t="str" cm="1">
        <f>IF(ISBLANK(INDEX(Array_WaterChargeData,ROW()-14,COLUMN()*2-3)),"",INDEX(Array_WaterChargeData,ROW()-14,COLUMN()*2-3))</f>
        <v/>
      </c>
      <c r="G55" t="str" cm="1">
        <f>IF(ISBLANK(INDEX(Array_WaterChargeData,ROW()-14,COLUMN()*2-3)),"",INDEX(Array_WaterChargeData,ROW()-14,COLUMN()*2-3))</f>
        <v/>
      </c>
      <c r="H55" t="str" cm="1">
        <f>IF(ISBLANK(INDEX(Array_WaterChargeData,ROW()-14,COLUMN()*2-3)),"",INDEX(Array_WaterChargeData,ROW()-14,COLUMN()*2-3))</f>
        <v/>
      </c>
      <c r="I55" t="str" cm="1">
        <f>IF(ISBLANK(INDEX(Array_WaterChargeData,ROW()-14,COLUMN()*2-3)),"",INDEX(Array_WaterChargeData,ROW()-14,COLUMN()*2-3))</f>
        <v/>
      </c>
      <c r="J55" t="str" cm="1">
        <f>IF(ISBLANK(INDEX(Array_WaterChargeData,ROW()-14,COLUMN()*2-3)),"",INDEX(Array_WaterChargeData,ROW()-14,COLUMN()*2-3))</f>
        <v/>
      </c>
      <c r="K55" t="str" cm="1">
        <f>IF(ISBLANK(INDEX(Array_WaterChargeData,ROW()-14,COLUMN()*2-3)),"",INDEX(Array_WaterChargeData,ROW()-14,COLUMN()*2-3))</f>
        <v/>
      </c>
    </row>
    <row r="56" spans="1:11" x14ac:dyDescent="0.35">
      <c r="A56" t="str">
        <f>IF('Water Meters'!B44="",A55,'Water Meters'!B44)</f>
        <v>Meter Numbers</v>
      </c>
      <c r="B56" t="str" cm="1">
        <f>IF(ISBLANK(INDEX(Array_WaterChargeData,ROW()-14,COLUMN()*2-3)),"",INDEX(Array_WaterChargeData,ROW()-14,COLUMN()*2-3))</f>
        <v/>
      </c>
      <c r="C56" t="str" cm="1">
        <f>IF(ISBLANK(INDEX(Array_WaterChargeData,ROW()-14,COLUMN()*2-3)),"",INDEX(Array_WaterChargeData,ROW()-14,COLUMN()*2-3))</f>
        <v/>
      </c>
      <c r="D56" t="str" cm="1">
        <f>IF(ISBLANK(INDEX(Array_WaterChargeData,ROW()-14,COLUMN()*2-3)),"",INDEX(Array_WaterChargeData,ROW()-14,COLUMN()*2-3))</f>
        <v/>
      </c>
      <c r="E56" t="str" cm="1">
        <f>IF(ISBLANK(INDEX(Array_WaterChargeData,ROW()-14,COLUMN()*2-3)),"",INDEX(Array_WaterChargeData,ROW()-14,COLUMN()*2-3))</f>
        <v/>
      </c>
      <c r="F56" t="str" cm="1">
        <f>IF(ISBLANK(INDEX(Array_WaterChargeData,ROW()-14,COLUMN()*2-3)),"",INDEX(Array_WaterChargeData,ROW()-14,COLUMN()*2-3))</f>
        <v/>
      </c>
      <c r="G56" t="str" cm="1">
        <f>IF(ISBLANK(INDEX(Array_WaterChargeData,ROW()-14,COLUMN()*2-3)),"",INDEX(Array_WaterChargeData,ROW()-14,COLUMN()*2-3))</f>
        <v/>
      </c>
      <c r="H56" t="str" cm="1">
        <f>IF(ISBLANK(INDEX(Array_WaterChargeData,ROW()-14,COLUMN()*2-3)),"",INDEX(Array_WaterChargeData,ROW()-14,COLUMN()*2-3))</f>
        <v/>
      </c>
      <c r="I56" t="str" cm="1">
        <f>IF(ISBLANK(INDEX(Array_WaterChargeData,ROW()-14,COLUMN()*2-3)),"",INDEX(Array_WaterChargeData,ROW()-14,COLUMN()*2-3))</f>
        <v/>
      </c>
      <c r="J56" t="str" cm="1">
        <f>IF(ISBLANK(INDEX(Array_WaterChargeData,ROW()-14,COLUMN()*2-3)),"",INDEX(Array_WaterChargeData,ROW()-14,COLUMN()*2-3))</f>
        <v/>
      </c>
      <c r="K56" t="str" cm="1">
        <f>IF(ISBLANK(INDEX(Array_WaterChargeData,ROW()-14,COLUMN()*2-3)),"",INDEX(Array_WaterChargeData,ROW()-14,COLUMN()*2-3))</f>
        <v/>
      </c>
    </row>
    <row r="57" spans="1:11" x14ac:dyDescent="0.35">
      <c r="A57" t="str">
        <f>IF('Water Meters'!B45="",A56,'Water Meters'!B45)</f>
        <v>Meter Numbers</v>
      </c>
      <c r="B57" t="str" cm="1">
        <f>IF(ISBLANK(INDEX(Array_WaterChargeData,ROW()-14,COLUMN()*2-3)),"",INDEX(Array_WaterChargeData,ROW()-14,COLUMN()*2-3))</f>
        <v/>
      </c>
      <c r="C57" t="str" cm="1">
        <f>IF(ISBLANK(INDEX(Array_WaterChargeData,ROW()-14,COLUMN()*2-3)),"",INDEX(Array_WaterChargeData,ROW()-14,COLUMN()*2-3))</f>
        <v/>
      </c>
      <c r="D57" t="str" cm="1">
        <f>IF(ISBLANK(INDEX(Array_WaterChargeData,ROW()-14,COLUMN()*2-3)),"",INDEX(Array_WaterChargeData,ROW()-14,COLUMN()*2-3))</f>
        <v/>
      </c>
      <c r="E57" t="str" cm="1">
        <f>IF(ISBLANK(INDEX(Array_WaterChargeData,ROW()-14,COLUMN()*2-3)),"",INDEX(Array_WaterChargeData,ROW()-14,COLUMN()*2-3))</f>
        <v/>
      </c>
      <c r="F57" t="str" cm="1">
        <f>IF(ISBLANK(INDEX(Array_WaterChargeData,ROW()-14,COLUMN()*2-3)),"",INDEX(Array_WaterChargeData,ROW()-14,COLUMN()*2-3))</f>
        <v/>
      </c>
      <c r="G57" t="str" cm="1">
        <f>IF(ISBLANK(INDEX(Array_WaterChargeData,ROW()-14,COLUMN()*2-3)),"",INDEX(Array_WaterChargeData,ROW()-14,COLUMN()*2-3))</f>
        <v/>
      </c>
      <c r="H57" t="str" cm="1">
        <f>IF(ISBLANK(INDEX(Array_WaterChargeData,ROW()-14,COLUMN()*2-3)),"",INDEX(Array_WaterChargeData,ROW()-14,COLUMN()*2-3))</f>
        <v/>
      </c>
      <c r="I57" t="str" cm="1">
        <f>IF(ISBLANK(INDEX(Array_WaterChargeData,ROW()-14,COLUMN()*2-3)),"",INDEX(Array_WaterChargeData,ROW()-14,COLUMN()*2-3))</f>
        <v/>
      </c>
      <c r="J57" t="str" cm="1">
        <f>IF(ISBLANK(INDEX(Array_WaterChargeData,ROW()-14,COLUMN()*2-3)),"",INDEX(Array_WaterChargeData,ROW()-14,COLUMN()*2-3))</f>
        <v/>
      </c>
      <c r="K57" t="str" cm="1">
        <f>IF(ISBLANK(INDEX(Array_WaterChargeData,ROW()-14,COLUMN()*2-3)),"",INDEX(Array_WaterChargeData,ROW()-14,COLUMN()*2-3))</f>
        <v/>
      </c>
    </row>
    <row r="58" spans="1:11" x14ac:dyDescent="0.35">
      <c r="A58" t="str">
        <f>IF('Water Meters'!B46="",A57,'Water Meters'!B46)</f>
        <v>Meter Numbers</v>
      </c>
      <c r="B58" t="str" cm="1">
        <f>IF(ISBLANK(INDEX(Array_WaterChargeData,ROW()-14,COLUMN()*2-3)),"",INDEX(Array_WaterChargeData,ROW()-14,COLUMN()*2-3))</f>
        <v/>
      </c>
      <c r="C58" t="str" cm="1">
        <f>IF(ISBLANK(INDEX(Array_WaterChargeData,ROW()-14,COLUMN()*2-3)),"",INDEX(Array_WaterChargeData,ROW()-14,COLUMN()*2-3))</f>
        <v/>
      </c>
      <c r="D58" t="str" cm="1">
        <f>IF(ISBLANK(INDEX(Array_WaterChargeData,ROW()-14,COLUMN()*2-3)),"",INDEX(Array_WaterChargeData,ROW()-14,COLUMN()*2-3))</f>
        <v/>
      </c>
      <c r="E58" t="str" cm="1">
        <f>IF(ISBLANK(INDEX(Array_WaterChargeData,ROW()-14,COLUMN()*2-3)),"",INDEX(Array_WaterChargeData,ROW()-14,COLUMN()*2-3))</f>
        <v/>
      </c>
      <c r="F58" t="str" cm="1">
        <f>IF(ISBLANK(INDEX(Array_WaterChargeData,ROW()-14,COLUMN()*2-3)),"",INDEX(Array_WaterChargeData,ROW()-14,COLUMN()*2-3))</f>
        <v/>
      </c>
      <c r="G58" t="str" cm="1">
        <f>IF(ISBLANK(INDEX(Array_WaterChargeData,ROW()-14,COLUMN()*2-3)),"",INDEX(Array_WaterChargeData,ROW()-14,COLUMN()*2-3))</f>
        <v/>
      </c>
      <c r="H58" t="str" cm="1">
        <f>IF(ISBLANK(INDEX(Array_WaterChargeData,ROW()-14,COLUMN()*2-3)),"",INDEX(Array_WaterChargeData,ROW()-14,COLUMN()*2-3))</f>
        <v/>
      </c>
      <c r="I58" t="str" cm="1">
        <f>IF(ISBLANK(INDEX(Array_WaterChargeData,ROW()-14,COLUMN()*2-3)),"",INDEX(Array_WaterChargeData,ROW()-14,COLUMN()*2-3))</f>
        <v/>
      </c>
      <c r="J58" t="str" cm="1">
        <f>IF(ISBLANK(INDEX(Array_WaterChargeData,ROW()-14,COLUMN()*2-3)),"",INDEX(Array_WaterChargeData,ROW()-14,COLUMN()*2-3))</f>
        <v/>
      </c>
      <c r="K58" t="str" cm="1">
        <f>IF(ISBLANK(INDEX(Array_WaterChargeData,ROW()-14,COLUMN()*2-3)),"",INDEX(Array_WaterChargeData,ROW()-14,COLUMN()*2-3))</f>
        <v/>
      </c>
    </row>
    <row r="59" spans="1:11" x14ac:dyDescent="0.35">
      <c r="A59" t="str">
        <f>IF('Water Meters'!B47="",A58,'Water Meters'!B47)</f>
        <v>Meter Numbers</v>
      </c>
      <c r="B59" t="str" cm="1">
        <f>IF(ISBLANK(INDEX(Array_WaterChargeData,ROW()-14,COLUMN()*2-3)),"",INDEX(Array_WaterChargeData,ROW()-14,COLUMN()*2-3))</f>
        <v/>
      </c>
      <c r="C59" t="str" cm="1">
        <f>IF(ISBLANK(INDEX(Array_WaterChargeData,ROW()-14,COLUMN()*2-3)),"",INDEX(Array_WaterChargeData,ROW()-14,COLUMN()*2-3))</f>
        <v/>
      </c>
      <c r="D59" t="str" cm="1">
        <f>IF(ISBLANK(INDEX(Array_WaterChargeData,ROW()-14,COLUMN()*2-3)),"",INDEX(Array_WaterChargeData,ROW()-14,COLUMN()*2-3))</f>
        <v/>
      </c>
      <c r="E59" t="str" cm="1">
        <f>IF(ISBLANK(INDEX(Array_WaterChargeData,ROW()-14,COLUMN()*2-3)),"",INDEX(Array_WaterChargeData,ROW()-14,COLUMN()*2-3))</f>
        <v/>
      </c>
      <c r="F59" t="str" cm="1">
        <f>IF(ISBLANK(INDEX(Array_WaterChargeData,ROW()-14,COLUMN()*2-3)),"",INDEX(Array_WaterChargeData,ROW()-14,COLUMN()*2-3))</f>
        <v/>
      </c>
      <c r="G59" t="str" cm="1">
        <f>IF(ISBLANK(INDEX(Array_WaterChargeData,ROW()-14,COLUMN()*2-3)),"",INDEX(Array_WaterChargeData,ROW()-14,COLUMN()*2-3))</f>
        <v/>
      </c>
      <c r="H59" t="str" cm="1">
        <f>IF(ISBLANK(INDEX(Array_WaterChargeData,ROW()-14,COLUMN()*2-3)),"",INDEX(Array_WaterChargeData,ROW()-14,COLUMN()*2-3))</f>
        <v/>
      </c>
      <c r="I59" t="str" cm="1">
        <f>IF(ISBLANK(INDEX(Array_WaterChargeData,ROW()-14,COLUMN()*2-3)),"",INDEX(Array_WaterChargeData,ROW()-14,COLUMN()*2-3))</f>
        <v/>
      </c>
      <c r="J59" t="str" cm="1">
        <f>IF(ISBLANK(INDEX(Array_WaterChargeData,ROW()-14,COLUMN()*2-3)),"",INDEX(Array_WaterChargeData,ROW()-14,COLUMN()*2-3))</f>
        <v/>
      </c>
      <c r="K59" t="str" cm="1">
        <f>IF(ISBLANK(INDEX(Array_WaterChargeData,ROW()-14,COLUMN()*2-3)),"",INDEX(Array_WaterChargeData,ROW()-14,COLUMN()*2-3))</f>
        <v/>
      </c>
    </row>
    <row r="60" spans="1:11" x14ac:dyDescent="0.35">
      <c r="A60" t="str">
        <f>IF('Water Meters'!B48="",A59,'Water Meters'!B48)</f>
        <v>Meter Numbers</v>
      </c>
      <c r="B60" t="str" cm="1">
        <f>IF(ISBLANK(INDEX(Array_WaterChargeData,ROW()-14,COLUMN()*2-3)),"",INDEX(Array_WaterChargeData,ROW()-14,COLUMN()*2-3))</f>
        <v/>
      </c>
      <c r="C60" t="str" cm="1">
        <f>IF(ISBLANK(INDEX(Array_WaterChargeData,ROW()-14,COLUMN()*2-3)),"",INDEX(Array_WaterChargeData,ROW()-14,COLUMN()*2-3))</f>
        <v/>
      </c>
      <c r="D60" t="str" cm="1">
        <f>IF(ISBLANK(INDEX(Array_WaterChargeData,ROW()-14,COLUMN()*2-3)),"",INDEX(Array_WaterChargeData,ROW()-14,COLUMN()*2-3))</f>
        <v/>
      </c>
      <c r="E60" t="str" cm="1">
        <f>IF(ISBLANK(INDEX(Array_WaterChargeData,ROW()-14,COLUMN()*2-3)),"",INDEX(Array_WaterChargeData,ROW()-14,COLUMN()*2-3))</f>
        <v/>
      </c>
      <c r="F60" t="str" cm="1">
        <f>IF(ISBLANK(INDEX(Array_WaterChargeData,ROW()-14,COLUMN()*2-3)),"",INDEX(Array_WaterChargeData,ROW()-14,COLUMN()*2-3))</f>
        <v/>
      </c>
      <c r="G60" t="str" cm="1">
        <f>IF(ISBLANK(INDEX(Array_WaterChargeData,ROW()-14,COLUMN()*2-3)),"",INDEX(Array_WaterChargeData,ROW()-14,COLUMN()*2-3))</f>
        <v/>
      </c>
      <c r="H60" t="str" cm="1">
        <f>IF(ISBLANK(INDEX(Array_WaterChargeData,ROW()-14,COLUMN()*2-3)),"",INDEX(Array_WaterChargeData,ROW()-14,COLUMN()*2-3))</f>
        <v/>
      </c>
      <c r="I60" t="str" cm="1">
        <f>IF(ISBLANK(INDEX(Array_WaterChargeData,ROW()-14,COLUMN()*2-3)),"",INDEX(Array_WaterChargeData,ROW()-14,COLUMN()*2-3))</f>
        <v/>
      </c>
      <c r="J60" t="str" cm="1">
        <f>IF(ISBLANK(INDEX(Array_WaterChargeData,ROW()-14,COLUMN()*2-3)),"",INDEX(Array_WaterChargeData,ROW()-14,COLUMN()*2-3))</f>
        <v/>
      </c>
      <c r="K60" t="str" cm="1">
        <f>IF(ISBLANK(INDEX(Array_WaterChargeData,ROW()-14,COLUMN()*2-3)),"",INDEX(Array_WaterChargeData,ROW()-14,COLUMN()*2-3))</f>
        <v/>
      </c>
    </row>
    <row r="61" spans="1:11" x14ac:dyDescent="0.35">
      <c r="A61" t="str">
        <f>IF('Water Meters'!B49="",A60,'Water Meters'!B49)</f>
        <v>Meter Numbers</v>
      </c>
      <c r="B61" t="str" cm="1">
        <f>IF(ISBLANK(INDEX(Array_WaterChargeData,ROW()-14,COLUMN()*2-3)),"",INDEX(Array_WaterChargeData,ROW()-14,COLUMN()*2-3))</f>
        <v/>
      </c>
      <c r="C61" t="str" cm="1">
        <f>IF(ISBLANK(INDEX(Array_WaterChargeData,ROW()-14,COLUMN()*2-3)),"",INDEX(Array_WaterChargeData,ROW()-14,COLUMN()*2-3))</f>
        <v/>
      </c>
      <c r="D61" t="str" cm="1">
        <f>IF(ISBLANK(INDEX(Array_WaterChargeData,ROW()-14,COLUMN()*2-3)),"",INDEX(Array_WaterChargeData,ROW()-14,COLUMN()*2-3))</f>
        <v/>
      </c>
      <c r="E61" t="str" cm="1">
        <f>IF(ISBLANK(INDEX(Array_WaterChargeData,ROW()-14,COLUMN()*2-3)),"",INDEX(Array_WaterChargeData,ROW()-14,COLUMN()*2-3))</f>
        <v/>
      </c>
      <c r="F61" t="str" cm="1">
        <f>IF(ISBLANK(INDEX(Array_WaterChargeData,ROW()-14,COLUMN()*2-3)),"",INDEX(Array_WaterChargeData,ROW()-14,COLUMN()*2-3))</f>
        <v/>
      </c>
      <c r="G61" t="str" cm="1">
        <f>IF(ISBLANK(INDEX(Array_WaterChargeData,ROW()-14,COLUMN()*2-3)),"",INDEX(Array_WaterChargeData,ROW()-14,COLUMN()*2-3))</f>
        <v/>
      </c>
      <c r="H61" t="str" cm="1">
        <f>IF(ISBLANK(INDEX(Array_WaterChargeData,ROW()-14,COLUMN()*2-3)),"",INDEX(Array_WaterChargeData,ROW()-14,COLUMN()*2-3))</f>
        <v/>
      </c>
      <c r="I61" t="str" cm="1">
        <f>IF(ISBLANK(INDEX(Array_WaterChargeData,ROW()-14,COLUMN()*2-3)),"",INDEX(Array_WaterChargeData,ROW()-14,COLUMN()*2-3))</f>
        <v/>
      </c>
      <c r="J61" t="str" cm="1">
        <f>IF(ISBLANK(INDEX(Array_WaterChargeData,ROW()-14,COLUMN()*2-3)),"",INDEX(Array_WaterChargeData,ROW()-14,COLUMN()*2-3))</f>
        <v/>
      </c>
      <c r="K61" t="str" cm="1">
        <f>IF(ISBLANK(INDEX(Array_WaterChargeData,ROW()-14,COLUMN()*2-3)),"",INDEX(Array_WaterChargeData,ROW()-14,COLUMN()*2-3))</f>
        <v/>
      </c>
    </row>
    <row r="62" spans="1:11" x14ac:dyDescent="0.35">
      <c r="A62" t="str">
        <f>IF('Water Meters'!B50="",A61,'Water Meters'!B50)</f>
        <v>Meter Numbers</v>
      </c>
      <c r="B62" t="str" cm="1">
        <f>IF(ISBLANK(INDEX(Array_WaterChargeData,ROW()-14,COLUMN()*2-3)),"",INDEX(Array_WaterChargeData,ROW()-14,COLUMN()*2-3))</f>
        <v/>
      </c>
      <c r="C62" t="str" cm="1">
        <f>IF(ISBLANK(INDEX(Array_WaterChargeData,ROW()-14,COLUMN()*2-3)),"",INDEX(Array_WaterChargeData,ROW()-14,COLUMN()*2-3))</f>
        <v/>
      </c>
      <c r="D62" t="str" cm="1">
        <f>IF(ISBLANK(INDEX(Array_WaterChargeData,ROW()-14,COLUMN()*2-3)),"",INDEX(Array_WaterChargeData,ROW()-14,COLUMN()*2-3))</f>
        <v/>
      </c>
      <c r="E62" t="str" cm="1">
        <f>IF(ISBLANK(INDEX(Array_WaterChargeData,ROW()-14,COLUMN()*2-3)),"",INDEX(Array_WaterChargeData,ROW()-14,COLUMN()*2-3))</f>
        <v/>
      </c>
      <c r="F62" t="str" cm="1">
        <f>IF(ISBLANK(INDEX(Array_WaterChargeData,ROW()-14,COLUMN()*2-3)),"",INDEX(Array_WaterChargeData,ROW()-14,COLUMN()*2-3))</f>
        <v/>
      </c>
      <c r="G62" t="str" cm="1">
        <f>IF(ISBLANK(INDEX(Array_WaterChargeData,ROW()-14,COLUMN()*2-3)),"",INDEX(Array_WaterChargeData,ROW()-14,COLUMN()*2-3))</f>
        <v/>
      </c>
      <c r="H62" t="str" cm="1">
        <f>IF(ISBLANK(INDEX(Array_WaterChargeData,ROW()-14,COLUMN()*2-3)),"",INDEX(Array_WaterChargeData,ROW()-14,COLUMN()*2-3))</f>
        <v/>
      </c>
      <c r="I62" t="str" cm="1">
        <f>IF(ISBLANK(INDEX(Array_WaterChargeData,ROW()-14,COLUMN()*2-3)),"",INDEX(Array_WaterChargeData,ROW()-14,COLUMN()*2-3))</f>
        <v/>
      </c>
      <c r="J62" t="str" cm="1">
        <f>IF(ISBLANK(INDEX(Array_WaterChargeData,ROW()-14,COLUMN()*2-3)),"",INDEX(Array_WaterChargeData,ROW()-14,COLUMN()*2-3))</f>
        <v/>
      </c>
      <c r="K62" t="str" cm="1">
        <f>IF(ISBLANK(INDEX(Array_WaterChargeData,ROW()-14,COLUMN()*2-3)),"",INDEX(Array_WaterChargeData,ROW()-14,COLUMN()*2-3))</f>
        <v/>
      </c>
    </row>
    <row r="63" spans="1:11" x14ac:dyDescent="0.35">
      <c r="A63" t="str">
        <f>IF('Water Meters'!B51="",A62,'Water Meters'!B51)</f>
        <v>Meter Numbers</v>
      </c>
      <c r="B63" t="str" cm="1">
        <f>IF(ISBLANK(INDEX(Array_WaterChargeData,ROW()-14,COLUMN()*2-3)),"",INDEX(Array_WaterChargeData,ROW()-14,COLUMN()*2-3))</f>
        <v/>
      </c>
      <c r="C63" t="str" cm="1">
        <f>IF(ISBLANK(INDEX(Array_WaterChargeData,ROW()-14,COLUMN()*2-3)),"",INDEX(Array_WaterChargeData,ROW()-14,COLUMN()*2-3))</f>
        <v/>
      </c>
      <c r="D63" t="str" cm="1">
        <f>IF(ISBLANK(INDEX(Array_WaterChargeData,ROW()-14,COLUMN()*2-3)),"",INDEX(Array_WaterChargeData,ROW()-14,COLUMN()*2-3))</f>
        <v/>
      </c>
      <c r="E63" t="str" cm="1">
        <f>IF(ISBLANK(INDEX(Array_WaterChargeData,ROW()-14,COLUMN()*2-3)),"",INDEX(Array_WaterChargeData,ROW()-14,COLUMN()*2-3))</f>
        <v/>
      </c>
      <c r="F63" t="str" cm="1">
        <f>IF(ISBLANK(INDEX(Array_WaterChargeData,ROW()-14,COLUMN()*2-3)),"",INDEX(Array_WaterChargeData,ROW()-14,COLUMN()*2-3))</f>
        <v/>
      </c>
      <c r="G63" t="str" cm="1">
        <f>IF(ISBLANK(INDEX(Array_WaterChargeData,ROW()-14,COLUMN()*2-3)),"",INDEX(Array_WaterChargeData,ROW()-14,COLUMN()*2-3))</f>
        <v/>
      </c>
      <c r="H63" t="str" cm="1">
        <f>IF(ISBLANK(INDEX(Array_WaterChargeData,ROW()-14,COLUMN()*2-3)),"",INDEX(Array_WaterChargeData,ROW()-14,COLUMN()*2-3))</f>
        <v/>
      </c>
      <c r="I63" t="str" cm="1">
        <f>IF(ISBLANK(INDEX(Array_WaterChargeData,ROW()-14,COLUMN()*2-3)),"",INDEX(Array_WaterChargeData,ROW()-14,COLUMN()*2-3))</f>
        <v/>
      </c>
      <c r="J63" t="str" cm="1">
        <f>IF(ISBLANK(INDEX(Array_WaterChargeData,ROW()-14,COLUMN()*2-3)),"",INDEX(Array_WaterChargeData,ROW()-14,COLUMN()*2-3))</f>
        <v/>
      </c>
      <c r="K63" t="str" cm="1">
        <f>IF(ISBLANK(INDEX(Array_WaterChargeData,ROW()-14,COLUMN()*2-3)),"",INDEX(Array_WaterChargeData,ROW()-14,COLUMN()*2-3))</f>
        <v/>
      </c>
    </row>
    <row r="64" spans="1:11" x14ac:dyDescent="0.35">
      <c r="A64" t="str">
        <f>IF('Water Meters'!B52="",A63,'Water Meters'!B52)</f>
        <v>Meter Numbers</v>
      </c>
      <c r="B64" t="str" cm="1">
        <f>IF(ISBLANK(INDEX(Array_WaterChargeData,ROW()-14,COLUMN()*2-3)),"",INDEX(Array_WaterChargeData,ROW()-14,COLUMN()*2-3))</f>
        <v/>
      </c>
      <c r="C64" t="str" cm="1">
        <f>IF(ISBLANK(INDEX(Array_WaterChargeData,ROW()-14,COLUMN()*2-3)),"",INDEX(Array_WaterChargeData,ROW()-14,COLUMN()*2-3))</f>
        <v/>
      </c>
      <c r="D64" t="str" cm="1">
        <f>IF(ISBLANK(INDEX(Array_WaterChargeData,ROW()-14,COLUMN()*2-3)),"",INDEX(Array_WaterChargeData,ROW()-14,COLUMN()*2-3))</f>
        <v/>
      </c>
      <c r="E64" t="str" cm="1">
        <f>IF(ISBLANK(INDEX(Array_WaterChargeData,ROW()-14,COLUMN()*2-3)),"",INDEX(Array_WaterChargeData,ROW()-14,COLUMN()*2-3))</f>
        <v/>
      </c>
      <c r="F64" t="str" cm="1">
        <f>IF(ISBLANK(INDEX(Array_WaterChargeData,ROW()-14,COLUMN()*2-3)),"",INDEX(Array_WaterChargeData,ROW()-14,COLUMN()*2-3))</f>
        <v/>
      </c>
      <c r="G64" t="str" cm="1">
        <f>IF(ISBLANK(INDEX(Array_WaterChargeData,ROW()-14,COLUMN()*2-3)),"",INDEX(Array_WaterChargeData,ROW()-14,COLUMN()*2-3))</f>
        <v/>
      </c>
      <c r="H64" t="str" cm="1">
        <f>IF(ISBLANK(INDEX(Array_WaterChargeData,ROW()-14,COLUMN()*2-3)),"",INDEX(Array_WaterChargeData,ROW()-14,COLUMN()*2-3))</f>
        <v/>
      </c>
      <c r="I64" t="str" cm="1">
        <f>IF(ISBLANK(INDEX(Array_WaterChargeData,ROW()-14,COLUMN()*2-3)),"",INDEX(Array_WaterChargeData,ROW()-14,COLUMN()*2-3))</f>
        <v/>
      </c>
      <c r="J64" t="str" cm="1">
        <f>IF(ISBLANK(INDEX(Array_WaterChargeData,ROW()-14,COLUMN()*2-3)),"",INDEX(Array_WaterChargeData,ROW()-14,COLUMN()*2-3))</f>
        <v/>
      </c>
      <c r="K64" t="str" cm="1">
        <f>IF(ISBLANK(INDEX(Array_WaterChargeData,ROW()-14,COLUMN()*2-3)),"",INDEX(Array_WaterChargeData,ROW()-14,COLUMN()*2-3))</f>
        <v/>
      </c>
    </row>
    <row r="65" spans="1:11" x14ac:dyDescent="0.35">
      <c r="A65" t="str">
        <f>IF('Water Meters'!B53="",A64,'Water Meters'!B53)</f>
        <v>Meter Numbers</v>
      </c>
      <c r="B65" t="str" cm="1">
        <f>IF(ISBLANK(INDEX(Array_WaterChargeData,ROW()-14,COLUMN()*2-3)),"",INDEX(Array_WaterChargeData,ROW()-14,COLUMN()*2-3))</f>
        <v/>
      </c>
      <c r="C65" t="str" cm="1">
        <f>IF(ISBLANK(INDEX(Array_WaterChargeData,ROW()-14,COLUMN()*2-3)),"",INDEX(Array_WaterChargeData,ROW()-14,COLUMN()*2-3))</f>
        <v/>
      </c>
      <c r="D65" t="str" cm="1">
        <f>IF(ISBLANK(INDEX(Array_WaterChargeData,ROW()-14,COLUMN()*2-3)),"",INDEX(Array_WaterChargeData,ROW()-14,COLUMN()*2-3))</f>
        <v/>
      </c>
      <c r="E65" t="str" cm="1">
        <f>IF(ISBLANK(INDEX(Array_WaterChargeData,ROW()-14,COLUMN()*2-3)),"",INDEX(Array_WaterChargeData,ROW()-14,COLUMN()*2-3))</f>
        <v/>
      </c>
      <c r="F65" t="str" cm="1">
        <f>IF(ISBLANK(INDEX(Array_WaterChargeData,ROW()-14,COLUMN()*2-3)),"",INDEX(Array_WaterChargeData,ROW()-14,COLUMN()*2-3))</f>
        <v/>
      </c>
      <c r="G65" t="str" cm="1">
        <f>IF(ISBLANK(INDEX(Array_WaterChargeData,ROW()-14,COLUMN()*2-3)),"",INDEX(Array_WaterChargeData,ROW()-14,COLUMN()*2-3))</f>
        <v/>
      </c>
      <c r="H65" t="str" cm="1">
        <f>IF(ISBLANK(INDEX(Array_WaterChargeData,ROW()-14,COLUMN()*2-3)),"",INDEX(Array_WaterChargeData,ROW()-14,COLUMN()*2-3))</f>
        <v/>
      </c>
      <c r="I65" t="str" cm="1">
        <f>IF(ISBLANK(INDEX(Array_WaterChargeData,ROW()-14,COLUMN()*2-3)),"",INDEX(Array_WaterChargeData,ROW()-14,COLUMN()*2-3))</f>
        <v/>
      </c>
      <c r="J65" t="str" cm="1">
        <f>IF(ISBLANK(INDEX(Array_WaterChargeData,ROW()-14,COLUMN()*2-3)),"",INDEX(Array_WaterChargeData,ROW()-14,COLUMN()*2-3))</f>
        <v/>
      </c>
      <c r="K65" t="str" cm="1">
        <f>IF(ISBLANK(INDEX(Array_WaterChargeData,ROW()-14,COLUMN()*2-3)),"",INDEX(Array_WaterChargeData,ROW()-14,COLUMN()*2-3))</f>
        <v/>
      </c>
    </row>
    <row r="66" spans="1:11" x14ac:dyDescent="0.35">
      <c r="A66" t="str">
        <f>IF('Water Meters'!B54="",A65,'Water Meters'!B54)</f>
        <v>Meter Numbers</v>
      </c>
      <c r="B66" t="str" cm="1">
        <f>IF(ISBLANK(INDEX(Array_WaterChargeData,ROW()-14,COLUMN()*2-3)),"",INDEX(Array_WaterChargeData,ROW()-14,COLUMN()*2-3))</f>
        <v/>
      </c>
      <c r="C66" t="str" cm="1">
        <f>IF(ISBLANK(INDEX(Array_WaterChargeData,ROW()-14,COLUMN()*2-3)),"",INDEX(Array_WaterChargeData,ROW()-14,COLUMN()*2-3))</f>
        <v/>
      </c>
      <c r="D66" t="str" cm="1">
        <f>IF(ISBLANK(INDEX(Array_WaterChargeData,ROW()-14,COLUMN()*2-3)),"",INDEX(Array_WaterChargeData,ROW()-14,COLUMN()*2-3))</f>
        <v/>
      </c>
      <c r="E66" t="str" cm="1">
        <f>IF(ISBLANK(INDEX(Array_WaterChargeData,ROW()-14,COLUMN()*2-3)),"",INDEX(Array_WaterChargeData,ROW()-14,COLUMN()*2-3))</f>
        <v/>
      </c>
      <c r="F66" t="str" cm="1">
        <f>IF(ISBLANK(INDEX(Array_WaterChargeData,ROW()-14,COLUMN()*2-3)),"",INDEX(Array_WaterChargeData,ROW()-14,COLUMN()*2-3))</f>
        <v/>
      </c>
      <c r="G66" t="str" cm="1">
        <f>IF(ISBLANK(INDEX(Array_WaterChargeData,ROW()-14,COLUMN()*2-3)),"",INDEX(Array_WaterChargeData,ROW()-14,COLUMN()*2-3))</f>
        <v/>
      </c>
      <c r="H66" t="str" cm="1">
        <f>IF(ISBLANK(INDEX(Array_WaterChargeData,ROW()-14,COLUMN()*2-3)),"",INDEX(Array_WaterChargeData,ROW()-14,COLUMN()*2-3))</f>
        <v/>
      </c>
      <c r="I66" t="str" cm="1">
        <f>IF(ISBLANK(INDEX(Array_WaterChargeData,ROW()-14,COLUMN()*2-3)),"",INDEX(Array_WaterChargeData,ROW()-14,COLUMN()*2-3))</f>
        <v/>
      </c>
      <c r="J66" t="str" cm="1">
        <f>IF(ISBLANK(INDEX(Array_WaterChargeData,ROW()-14,COLUMN()*2-3)),"",INDEX(Array_WaterChargeData,ROW()-14,COLUMN()*2-3))</f>
        <v/>
      </c>
      <c r="K66" t="str" cm="1">
        <f>IF(ISBLANK(INDEX(Array_WaterChargeData,ROW()-14,COLUMN()*2-3)),"",INDEX(Array_WaterChargeData,ROW()-14,COLUMN()*2-3))</f>
        <v/>
      </c>
    </row>
    <row r="67" spans="1:11" x14ac:dyDescent="0.35">
      <c r="A67" t="str">
        <f>IF('Water Meters'!B55="",A66,'Water Meters'!B55)</f>
        <v>Meter Numbers</v>
      </c>
      <c r="B67" t="str" cm="1">
        <f>IF(ISBLANK(INDEX(Array_WaterChargeData,ROW()-14,COLUMN()*2-3)),"",INDEX(Array_WaterChargeData,ROW()-14,COLUMN()*2-3))</f>
        <v/>
      </c>
      <c r="C67" t="str" cm="1">
        <f>IF(ISBLANK(INDEX(Array_WaterChargeData,ROW()-14,COLUMN()*2-3)),"",INDEX(Array_WaterChargeData,ROW()-14,COLUMN()*2-3))</f>
        <v/>
      </c>
      <c r="D67" t="str" cm="1">
        <f>IF(ISBLANK(INDEX(Array_WaterChargeData,ROW()-14,COLUMN()*2-3)),"",INDEX(Array_WaterChargeData,ROW()-14,COLUMN()*2-3))</f>
        <v/>
      </c>
      <c r="E67" t="str" cm="1">
        <f>IF(ISBLANK(INDEX(Array_WaterChargeData,ROW()-14,COLUMN()*2-3)),"",INDEX(Array_WaterChargeData,ROW()-14,COLUMN()*2-3))</f>
        <v/>
      </c>
      <c r="F67" t="str" cm="1">
        <f>IF(ISBLANK(INDEX(Array_WaterChargeData,ROW()-14,COLUMN()*2-3)),"",INDEX(Array_WaterChargeData,ROW()-14,COLUMN()*2-3))</f>
        <v/>
      </c>
      <c r="G67" t="str" cm="1">
        <f>IF(ISBLANK(INDEX(Array_WaterChargeData,ROW()-14,COLUMN()*2-3)),"",INDEX(Array_WaterChargeData,ROW()-14,COLUMN()*2-3))</f>
        <v/>
      </c>
      <c r="H67" t="str" cm="1">
        <f>IF(ISBLANK(INDEX(Array_WaterChargeData,ROW()-14,COLUMN()*2-3)),"",INDEX(Array_WaterChargeData,ROW()-14,COLUMN()*2-3))</f>
        <v/>
      </c>
      <c r="I67" t="str" cm="1">
        <f>IF(ISBLANK(INDEX(Array_WaterChargeData,ROW()-14,COLUMN()*2-3)),"",INDEX(Array_WaterChargeData,ROW()-14,COLUMN()*2-3))</f>
        <v/>
      </c>
      <c r="J67" t="str" cm="1">
        <f>IF(ISBLANK(INDEX(Array_WaterChargeData,ROW()-14,COLUMN()*2-3)),"",INDEX(Array_WaterChargeData,ROW()-14,COLUMN()*2-3))</f>
        <v/>
      </c>
      <c r="K67" t="str" cm="1">
        <f>IF(ISBLANK(INDEX(Array_WaterChargeData,ROW()-14,COLUMN()*2-3)),"",INDEX(Array_WaterChargeData,ROW()-14,COLUMN()*2-3))</f>
        <v/>
      </c>
    </row>
    <row r="68" spans="1:11" x14ac:dyDescent="0.35">
      <c r="A68" t="str">
        <f>IF('Water Meters'!B56="",A67,'Water Meters'!B56)</f>
        <v>Meter Numbers</v>
      </c>
      <c r="B68" t="str" cm="1">
        <f>IF(ISBLANK(INDEX(Array_WaterChargeData,ROW()-14,COLUMN()*2-3)),"",INDEX(Array_WaterChargeData,ROW()-14,COLUMN()*2-3))</f>
        <v/>
      </c>
      <c r="C68" t="str" cm="1">
        <f>IF(ISBLANK(INDEX(Array_WaterChargeData,ROW()-14,COLUMN()*2-3)),"",INDEX(Array_WaterChargeData,ROW()-14,COLUMN()*2-3))</f>
        <v/>
      </c>
      <c r="D68" t="str" cm="1">
        <f>IF(ISBLANK(INDEX(Array_WaterChargeData,ROW()-14,COLUMN()*2-3)),"",INDEX(Array_WaterChargeData,ROW()-14,COLUMN()*2-3))</f>
        <v/>
      </c>
      <c r="E68" t="str" cm="1">
        <f>IF(ISBLANK(INDEX(Array_WaterChargeData,ROW()-14,COLUMN()*2-3)),"",INDEX(Array_WaterChargeData,ROW()-14,COLUMN()*2-3))</f>
        <v/>
      </c>
      <c r="F68" t="str" cm="1">
        <f>IF(ISBLANK(INDEX(Array_WaterChargeData,ROW()-14,COLUMN()*2-3)),"",INDEX(Array_WaterChargeData,ROW()-14,COLUMN()*2-3))</f>
        <v/>
      </c>
      <c r="G68" t="str" cm="1">
        <f>IF(ISBLANK(INDEX(Array_WaterChargeData,ROW()-14,COLUMN()*2-3)),"",INDEX(Array_WaterChargeData,ROW()-14,COLUMN()*2-3))</f>
        <v/>
      </c>
      <c r="H68" t="str" cm="1">
        <f>IF(ISBLANK(INDEX(Array_WaterChargeData,ROW()-14,COLUMN()*2-3)),"",INDEX(Array_WaterChargeData,ROW()-14,COLUMN()*2-3))</f>
        <v/>
      </c>
      <c r="I68" t="str" cm="1">
        <f>IF(ISBLANK(INDEX(Array_WaterChargeData,ROW()-14,COLUMN()*2-3)),"",INDEX(Array_WaterChargeData,ROW()-14,COLUMN()*2-3))</f>
        <v/>
      </c>
      <c r="J68" t="str" cm="1">
        <f>IF(ISBLANK(INDEX(Array_WaterChargeData,ROW()-14,COLUMN()*2-3)),"",INDEX(Array_WaterChargeData,ROW()-14,COLUMN()*2-3))</f>
        <v/>
      </c>
      <c r="K68" t="str" cm="1">
        <f>IF(ISBLANK(INDEX(Array_WaterChargeData,ROW()-14,COLUMN()*2-3)),"",INDEX(Array_WaterChargeData,ROW()-14,COLUMN()*2-3))</f>
        <v/>
      </c>
    </row>
    <row r="69" spans="1:11" x14ac:dyDescent="0.35">
      <c r="A69" t="str">
        <f>IF('Water Meters'!B57="",A68,'Water Meters'!B57)</f>
        <v>Meter Numbers</v>
      </c>
      <c r="B69" t="str" cm="1">
        <f>IF(ISBLANK(INDEX(Array_WaterChargeData,ROW()-14,COLUMN()*2-3)),"",INDEX(Array_WaterChargeData,ROW()-14,COLUMN()*2-3))</f>
        <v/>
      </c>
      <c r="C69" t="str" cm="1">
        <f>IF(ISBLANK(INDEX(Array_WaterChargeData,ROW()-14,COLUMN()*2-3)),"",INDEX(Array_WaterChargeData,ROW()-14,COLUMN()*2-3))</f>
        <v/>
      </c>
      <c r="D69" t="str" cm="1">
        <f>IF(ISBLANK(INDEX(Array_WaterChargeData,ROW()-14,COLUMN()*2-3)),"",INDEX(Array_WaterChargeData,ROW()-14,COLUMN()*2-3))</f>
        <v/>
      </c>
      <c r="E69" t="str" cm="1">
        <f>IF(ISBLANK(INDEX(Array_WaterChargeData,ROW()-14,COLUMN()*2-3)),"",INDEX(Array_WaterChargeData,ROW()-14,COLUMN()*2-3))</f>
        <v/>
      </c>
      <c r="F69" t="str" cm="1">
        <f>IF(ISBLANK(INDEX(Array_WaterChargeData,ROW()-14,COLUMN()*2-3)),"",INDEX(Array_WaterChargeData,ROW()-14,COLUMN()*2-3))</f>
        <v/>
      </c>
      <c r="G69" t="str" cm="1">
        <f>IF(ISBLANK(INDEX(Array_WaterChargeData,ROW()-14,COLUMN()*2-3)),"",INDEX(Array_WaterChargeData,ROW()-14,COLUMN()*2-3))</f>
        <v/>
      </c>
      <c r="H69" t="str" cm="1">
        <f>IF(ISBLANK(INDEX(Array_WaterChargeData,ROW()-14,COLUMN()*2-3)),"",INDEX(Array_WaterChargeData,ROW()-14,COLUMN()*2-3))</f>
        <v/>
      </c>
      <c r="I69" t="str" cm="1">
        <f>IF(ISBLANK(INDEX(Array_WaterChargeData,ROW()-14,COLUMN()*2-3)),"",INDEX(Array_WaterChargeData,ROW()-14,COLUMN()*2-3))</f>
        <v/>
      </c>
      <c r="J69" t="str" cm="1">
        <f>IF(ISBLANK(INDEX(Array_WaterChargeData,ROW()-14,COLUMN()*2-3)),"",INDEX(Array_WaterChargeData,ROW()-14,COLUMN()*2-3))</f>
        <v/>
      </c>
      <c r="K69" t="str" cm="1">
        <f>IF(ISBLANK(INDEX(Array_WaterChargeData,ROW()-14,COLUMN()*2-3)),"",INDEX(Array_WaterChargeData,ROW()-14,COLUMN()*2-3))</f>
        <v/>
      </c>
    </row>
    <row r="70" spans="1:11" x14ac:dyDescent="0.35">
      <c r="A70" t="str">
        <f>IF('Water Meters'!B58="",A69,'Water Meters'!B58)</f>
        <v>Meter Numbers</v>
      </c>
      <c r="B70" t="str" cm="1">
        <f>IF(ISBLANK(INDEX(Array_WaterChargeData,ROW()-14,COLUMN()*2-3)),"",INDEX(Array_WaterChargeData,ROW()-14,COLUMN()*2-3))</f>
        <v/>
      </c>
      <c r="C70" t="str" cm="1">
        <f>IF(ISBLANK(INDEX(Array_WaterChargeData,ROW()-14,COLUMN()*2-3)),"",INDEX(Array_WaterChargeData,ROW()-14,COLUMN()*2-3))</f>
        <v/>
      </c>
      <c r="D70" t="str" cm="1">
        <f>IF(ISBLANK(INDEX(Array_WaterChargeData,ROW()-14,COLUMN()*2-3)),"",INDEX(Array_WaterChargeData,ROW()-14,COLUMN()*2-3))</f>
        <v/>
      </c>
      <c r="E70" t="str" cm="1">
        <f>IF(ISBLANK(INDEX(Array_WaterChargeData,ROW()-14,COLUMN()*2-3)),"",INDEX(Array_WaterChargeData,ROW()-14,COLUMN()*2-3))</f>
        <v/>
      </c>
      <c r="F70" t="str" cm="1">
        <f>IF(ISBLANK(INDEX(Array_WaterChargeData,ROW()-14,COLUMN()*2-3)),"",INDEX(Array_WaterChargeData,ROW()-14,COLUMN()*2-3))</f>
        <v/>
      </c>
      <c r="G70" t="str" cm="1">
        <f>IF(ISBLANK(INDEX(Array_WaterChargeData,ROW()-14,COLUMN()*2-3)),"",INDEX(Array_WaterChargeData,ROW()-14,COLUMN()*2-3))</f>
        <v/>
      </c>
      <c r="H70" t="str" cm="1">
        <f>IF(ISBLANK(INDEX(Array_WaterChargeData,ROW()-14,COLUMN()*2-3)),"",INDEX(Array_WaterChargeData,ROW()-14,COLUMN()*2-3))</f>
        <v/>
      </c>
      <c r="I70" t="str" cm="1">
        <f>IF(ISBLANK(INDEX(Array_WaterChargeData,ROW()-14,COLUMN()*2-3)),"",INDEX(Array_WaterChargeData,ROW()-14,COLUMN()*2-3))</f>
        <v/>
      </c>
      <c r="J70" t="str" cm="1">
        <f>IF(ISBLANK(INDEX(Array_WaterChargeData,ROW()-14,COLUMN()*2-3)),"",INDEX(Array_WaterChargeData,ROW()-14,COLUMN()*2-3))</f>
        <v/>
      </c>
      <c r="K70" t="str" cm="1">
        <f>IF(ISBLANK(INDEX(Array_WaterChargeData,ROW()-14,COLUMN()*2-3)),"",INDEX(Array_WaterChargeData,ROW()-14,COLUMN()*2-3))</f>
        <v/>
      </c>
    </row>
    <row r="71" spans="1:11" x14ac:dyDescent="0.35">
      <c r="A71" t="str">
        <f>IF('Water Meters'!B59="",A70,'Water Meters'!B59)</f>
        <v>Meter Numbers</v>
      </c>
      <c r="B71" t="str" cm="1">
        <f>IF(ISBLANK(INDEX(Array_WaterChargeData,ROW()-14,COLUMN()*2-3)),"",INDEX(Array_WaterChargeData,ROW()-14,COLUMN()*2-3))</f>
        <v/>
      </c>
      <c r="C71" t="str" cm="1">
        <f>IF(ISBLANK(INDEX(Array_WaterChargeData,ROW()-14,COLUMN()*2-3)),"",INDEX(Array_WaterChargeData,ROW()-14,COLUMN()*2-3))</f>
        <v/>
      </c>
      <c r="D71" t="str" cm="1">
        <f>IF(ISBLANK(INDEX(Array_WaterChargeData,ROW()-14,COLUMN()*2-3)),"",INDEX(Array_WaterChargeData,ROW()-14,COLUMN()*2-3))</f>
        <v/>
      </c>
      <c r="E71" t="str" cm="1">
        <f>IF(ISBLANK(INDEX(Array_WaterChargeData,ROW()-14,COLUMN()*2-3)),"",INDEX(Array_WaterChargeData,ROW()-14,COLUMN()*2-3))</f>
        <v/>
      </c>
      <c r="F71" t="str" cm="1">
        <f>IF(ISBLANK(INDEX(Array_WaterChargeData,ROW()-14,COLUMN()*2-3)),"",INDEX(Array_WaterChargeData,ROW()-14,COLUMN()*2-3))</f>
        <v/>
      </c>
      <c r="G71" t="str" cm="1">
        <f>IF(ISBLANK(INDEX(Array_WaterChargeData,ROW()-14,COLUMN()*2-3)),"",INDEX(Array_WaterChargeData,ROW()-14,COLUMN()*2-3))</f>
        <v/>
      </c>
      <c r="H71" t="str" cm="1">
        <f>IF(ISBLANK(INDEX(Array_WaterChargeData,ROW()-14,COLUMN()*2-3)),"",INDEX(Array_WaterChargeData,ROW()-14,COLUMN()*2-3))</f>
        <v/>
      </c>
      <c r="I71" t="str" cm="1">
        <f>IF(ISBLANK(INDEX(Array_WaterChargeData,ROW()-14,COLUMN()*2-3)),"",INDEX(Array_WaterChargeData,ROW()-14,COLUMN()*2-3))</f>
        <v/>
      </c>
      <c r="J71" t="str" cm="1">
        <f>IF(ISBLANK(INDEX(Array_WaterChargeData,ROW()-14,COLUMN()*2-3)),"",INDEX(Array_WaterChargeData,ROW()-14,COLUMN()*2-3))</f>
        <v/>
      </c>
      <c r="K71" t="str" cm="1">
        <f>IF(ISBLANK(INDEX(Array_WaterChargeData,ROW()-14,COLUMN()*2-3)),"",INDEX(Array_WaterChargeData,ROW()-14,COLUMN()*2-3))</f>
        <v/>
      </c>
    </row>
    <row r="72" spans="1:11" x14ac:dyDescent="0.35">
      <c r="A72" t="str">
        <f>IF('Water Meters'!B60="",A71,'Water Meters'!B60)</f>
        <v>Meter Numbers</v>
      </c>
      <c r="B72" t="str" cm="1">
        <f>IF(ISBLANK(INDEX(Array_WaterChargeData,ROW()-14,COLUMN()*2-3)),"",INDEX(Array_WaterChargeData,ROW()-14,COLUMN()*2-3))</f>
        <v/>
      </c>
      <c r="C72" t="str" cm="1">
        <f>IF(ISBLANK(INDEX(Array_WaterChargeData,ROW()-14,COLUMN()*2-3)),"",INDEX(Array_WaterChargeData,ROW()-14,COLUMN()*2-3))</f>
        <v/>
      </c>
      <c r="D72" t="str" cm="1">
        <f>IF(ISBLANK(INDEX(Array_WaterChargeData,ROW()-14,COLUMN()*2-3)),"",INDEX(Array_WaterChargeData,ROW()-14,COLUMN()*2-3))</f>
        <v/>
      </c>
      <c r="E72" t="str" cm="1">
        <f>IF(ISBLANK(INDEX(Array_WaterChargeData,ROW()-14,COLUMN()*2-3)),"",INDEX(Array_WaterChargeData,ROW()-14,COLUMN()*2-3))</f>
        <v/>
      </c>
      <c r="F72" t="str" cm="1">
        <f>IF(ISBLANK(INDEX(Array_WaterChargeData,ROW()-14,COLUMN()*2-3)),"",INDEX(Array_WaterChargeData,ROW()-14,COLUMN()*2-3))</f>
        <v/>
      </c>
      <c r="G72" t="str" cm="1">
        <f>IF(ISBLANK(INDEX(Array_WaterChargeData,ROW()-14,COLUMN()*2-3)),"",INDEX(Array_WaterChargeData,ROW()-14,COLUMN()*2-3))</f>
        <v/>
      </c>
      <c r="H72" t="str" cm="1">
        <f>IF(ISBLANK(INDEX(Array_WaterChargeData,ROW()-14,COLUMN()*2-3)),"",INDEX(Array_WaterChargeData,ROW()-14,COLUMN()*2-3))</f>
        <v/>
      </c>
      <c r="I72" t="str" cm="1">
        <f>IF(ISBLANK(INDEX(Array_WaterChargeData,ROW()-14,COLUMN()*2-3)),"",INDEX(Array_WaterChargeData,ROW()-14,COLUMN()*2-3))</f>
        <v/>
      </c>
      <c r="J72" t="str" cm="1">
        <f>IF(ISBLANK(INDEX(Array_WaterChargeData,ROW()-14,COLUMN()*2-3)),"",INDEX(Array_WaterChargeData,ROW()-14,COLUMN()*2-3))</f>
        <v/>
      </c>
      <c r="K72" t="str" cm="1">
        <f>IF(ISBLANK(INDEX(Array_WaterChargeData,ROW()-14,COLUMN()*2-3)),"",INDEX(Array_WaterChargeData,ROW()-14,COLUMN()*2-3))</f>
        <v/>
      </c>
    </row>
    <row r="73" spans="1:11" x14ac:dyDescent="0.35">
      <c r="A73" t="str">
        <f>IF('Water Meters'!B61="",A72,'Water Meters'!B61)</f>
        <v>Meter Numbers</v>
      </c>
      <c r="B73" t="str" cm="1">
        <f>IF(ISBLANK(INDEX(Array_WaterChargeData,ROW()-14,COLUMN()*2-3)),"",INDEX(Array_WaterChargeData,ROW()-14,COLUMN()*2-3))</f>
        <v/>
      </c>
      <c r="C73" t="str" cm="1">
        <f>IF(ISBLANK(INDEX(Array_WaterChargeData,ROW()-14,COLUMN()*2-3)),"",INDEX(Array_WaterChargeData,ROW()-14,COLUMN()*2-3))</f>
        <v/>
      </c>
      <c r="D73" t="str" cm="1">
        <f>IF(ISBLANK(INDEX(Array_WaterChargeData,ROW()-14,COLUMN()*2-3)),"",INDEX(Array_WaterChargeData,ROW()-14,COLUMN()*2-3))</f>
        <v/>
      </c>
      <c r="E73" t="str" cm="1">
        <f>IF(ISBLANK(INDEX(Array_WaterChargeData,ROW()-14,COLUMN()*2-3)),"",INDEX(Array_WaterChargeData,ROW()-14,COLUMN()*2-3))</f>
        <v/>
      </c>
      <c r="F73" t="str" cm="1">
        <f>IF(ISBLANK(INDEX(Array_WaterChargeData,ROW()-14,COLUMN()*2-3)),"",INDEX(Array_WaterChargeData,ROW()-14,COLUMN()*2-3))</f>
        <v/>
      </c>
      <c r="G73" t="str" cm="1">
        <f>IF(ISBLANK(INDEX(Array_WaterChargeData,ROW()-14,COLUMN()*2-3)),"",INDEX(Array_WaterChargeData,ROW()-14,COLUMN()*2-3))</f>
        <v/>
      </c>
      <c r="H73" t="str" cm="1">
        <f>IF(ISBLANK(INDEX(Array_WaterChargeData,ROW()-14,COLUMN()*2-3)),"",INDEX(Array_WaterChargeData,ROW()-14,COLUMN()*2-3))</f>
        <v/>
      </c>
      <c r="I73" t="str" cm="1">
        <f>IF(ISBLANK(INDEX(Array_WaterChargeData,ROW()-14,COLUMN()*2-3)),"",INDEX(Array_WaterChargeData,ROW()-14,COLUMN()*2-3))</f>
        <v/>
      </c>
      <c r="J73" t="str" cm="1">
        <f>IF(ISBLANK(INDEX(Array_WaterChargeData,ROW()-14,COLUMN()*2-3)),"",INDEX(Array_WaterChargeData,ROW()-14,COLUMN()*2-3))</f>
        <v/>
      </c>
      <c r="K73" t="str" cm="1">
        <f>IF(ISBLANK(INDEX(Array_WaterChargeData,ROW()-14,COLUMN()*2-3)),"",INDEX(Array_WaterChargeData,ROW()-14,COLUMN()*2-3))</f>
        <v/>
      </c>
    </row>
    <row r="74" spans="1:11" x14ac:dyDescent="0.35">
      <c r="A74" t="str">
        <f>IF('Water Meters'!B62="",A73,'Water Meters'!B62)</f>
        <v>Meter Numbers</v>
      </c>
      <c r="B74" t="str" cm="1">
        <f>IF(ISBLANK(INDEX(Array_WaterChargeData,ROW()-14,COLUMN()*2-3)),"",INDEX(Array_WaterChargeData,ROW()-14,COLUMN()*2-3))</f>
        <v/>
      </c>
      <c r="C74" t="str" cm="1">
        <f>IF(ISBLANK(INDEX(Array_WaterChargeData,ROW()-14,COLUMN()*2-3)),"",INDEX(Array_WaterChargeData,ROW()-14,COLUMN()*2-3))</f>
        <v/>
      </c>
      <c r="D74" t="str" cm="1">
        <f>IF(ISBLANK(INDEX(Array_WaterChargeData,ROW()-14,COLUMN()*2-3)),"",INDEX(Array_WaterChargeData,ROW()-14,COLUMN()*2-3))</f>
        <v/>
      </c>
      <c r="E74" t="str" cm="1">
        <f>IF(ISBLANK(INDEX(Array_WaterChargeData,ROW()-14,COLUMN()*2-3)),"",INDEX(Array_WaterChargeData,ROW()-14,COLUMN()*2-3))</f>
        <v/>
      </c>
      <c r="F74" t="str" cm="1">
        <f>IF(ISBLANK(INDEX(Array_WaterChargeData,ROW()-14,COLUMN()*2-3)),"",INDEX(Array_WaterChargeData,ROW()-14,COLUMN()*2-3))</f>
        <v/>
      </c>
      <c r="G74" t="str" cm="1">
        <f>IF(ISBLANK(INDEX(Array_WaterChargeData,ROW()-14,COLUMN()*2-3)),"",INDEX(Array_WaterChargeData,ROW()-14,COLUMN()*2-3))</f>
        <v/>
      </c>
      <c r="H74" t="str" cm="1">
        <f>IF(ISBLANK(INDEX(Array_WaterChargeData,ROW()-14,COLUMN()*2-3)),"",INDEX(Array_WaterChargeData,ROW()-14,COLUMN()*2-3))</f>
        <v/>
      </c>
      <c r="I74" t="str" cm="1">
        <f>IF(ISBLANK(INDEX(Array_WaterChargeData,ROW()-14,COLUMN()*2-3)),"",INDEX(Array_WaterChargeData,ROW()-14,COLUMN()*2-3))</f>
        <v/>
      </c>
      <c r="J74" t="str" cm="1">
        <f>IF(ISBLANK(INDEX(Array_WaterChargeData,ROW()-14,COLUMN()*2-3)),"",INDEX(Array_WaterChargeData,ROW()-14,COLUMN()*2-3))</f>
        <v/>
      </c>
      <c r="K74" t="str" cm="1">
        <f>IF(ISBLANK(INDEX(Array_WaterChargeData,ROW()-14,COLUMN()*2-3)),"",INDEX(Array_WaterChargeData,ROW()-14,COLUMN()*2-3))</f>
        <v/>
      </c>
    </row>
    <row r="75" spans="1:11" x14ac:dyDescent="0.35">
      <c r="A75" t="str">
        <f>IF('Water Meters'!B63="",A74,'Water Meters'!B63)</f>
        <v>Meter Numbers</v>
      </c>
      <c r="B75" t="str" cm="1">
        <f>IF(ISBLANK(INDEX(Array_WaterChargeData,ROW()-14,COLUMN()*2-3)),"",INDEX(Array_WaterChargeData,ROW()-14,COLUMN()*2-3))</f>
        <v/>
      </c>
      <c r="C75" t="str" cm="1">
        <f>IF(ISBLANK(INDEX(Array_WaterChargeData,ROW()-14,COLUMN()*2-3)),"",INDEX(Array_WaterChargeData,ROW()-14,COLUMN()*2-3))</f>
        <v/>
      </c>
      <c r="D75" t="str" cm="1">
        <f>IF(ISBLANK(INDEX(Array_WaterChargeData,ROW()-14,COLUMN()*2-3)),"",INDEX(Array_WaterChargeData,ROW()-14,COLUMN()*2-3))</f>
        <v/>
      </c>
      <c r="E75" t="str" cm="1">
        <f>IF(ISBLANK(INDEX(Array_WaterChargeData,ROW()-14,COLUMN()*2-3)),"",INDEX(Array_WaterChargeData,ROW()-14,COLUMN()*2-3))</f>
        <v/>
      </c>
      <c r="F75" t="str" cm="1">
        <f>IF(ISBLANK(INDEX(Array_WaterChargeData,ROW()-14,COLUMN()*2-3)),"",INDEX(Array_WaterChargeData,ROW()-14,COLUMN()*2-3))</f>
        <v/>
      </c>
      <c r="G75" t="str" cm="1">
        <f>IF(ISBLANK(INDEX(Array_WaterChargeData,ROW()-14,COLUMN()*2-3)),"",INDEX(Array_WaterChargeData,ROW()-14,COLUMN()*2-3))</f>
        <v/>
      </c>
      <c r="H75" t="str" cm="1">
        <f>IF(ISBLANK(INDEX(Array_WaterChargeData,ROW()-14,COLUMN()*2-3)),"",INDEX(Array_WaterChargeData,ROW()-14,COLUMN()*2-3))</f>
        <v/>
      </c>
      <c r="I75" t="str" cm="1">
        <f>IF(ISBLANK(INDEX(Array_WaterChargeData,ROW()-14,COLUMN()*2-3)),"",INDEX(Array_WaterChargeData,ROW()-14,COLUMN()*2-3))</f>
        <v/>
      </c>
      <c r="J75" t="str" cm="1">
        <f>IF(ISBLANK(INDEX(Array_WaterChargeData,ROW()-14,COLUMN()*2-3)),"",INDEX(Array_WaterChargeData,ROW()-14,COLUMN()*2-3))</f>
        <v/>
      </c>
      <c r="K75" t="str" cm="1">
        <f>IF(ISBLANK(INDEX(Array_WaterChargeData,ROW()-14,COLUMN()*2-3)),"",INDEX(Array_WaterChargeData,ROW()-14,COLUMN()*2-3))</f>
        <v/>
      </c>
    </row>
    <row r="76" spans="1:11" x14ac:dyDescent="0.35">
      <c r="A76" t="str">
        <f>IF('Water Meters'!B64="",A75,'Water Meters'!B64)</f>
        <v>Meter Numbers</v>
      </c>
      <c r="B76" t="str" cm="1">
        <f>IF(ISBLANK(INDEX(Array_WaterChargeData,ROW()-14,COLUMN()*2-3)),"",INDEX(Array_WaterChargeData,ROW()-14,COLUMN()*2-3))</f>
        <v/>
      </c>
      <c r="C76" t="str" cm="1">
        <f>IF(ISBLANK(INDEX(Array_WaterChargeData,ROW()-14,COLUMN()*2-3)),"",INDEX(Array_WaterChargeData,ROW()-14,COLUMN()*2-3))</f>
        <v/>
      </c>
      <c r="D76" t="str" cm="1">
        <f>IF(ISBLANK(INDEX(Array_WaterChargeData,ROW()-14,COLUMN()*2-3)),"",INDEX(Array_WaterChargeData,ROW()-14,COLUMN()*2-3))</f>
        <v/>
      </c>
      <c r="E76" t="str" cm="1">
        <f>IF(ISBLANK(INDEX(Array_WaterChargeData,ROW()-14,COLUMN()*2-3)),"",INDEX(Array_WaterChargeData,ROW()-14,COLUMN()*2-3))</f>
        <v/>
      </c>
      <c r="F76" t="str" cm="1">
        <f>IF(ISBLANK(INDEX(Array_WaterChargeData,ROW()-14,COLUMN()*2-3)),"",INDEX(Array_WaterChargeData,ROW()-14,COLUMN()*2-3))</f>
        <v/>
      </c>
      <c r="G76" t="str" cm="1">
        <f>IF(ISBLANK(INDEX(Array_WaterChargeData,ROW()-14,COLUMN()*2-3)),"",INDEX(Array_WaterChargeData,ROW()-14,COLUMN()*2-3))</f>
        <v/>
      </c>
      <c r="H76" t="str" cm="1">
        <f>IF(ISBLANK(INDEX(Array_WaterChargeData,ROW()-14,COLUMN()*2-3)),"",INDEX(Array_WaterChargeData,ROW()-14,COLUMN()*2-3))</f>
        <v/>
      </c>
      <c r="I76" t="str" cm="1">
        <f>IF(ISBLANK(INDEX(Array_WaterChargeData,ROW()-14,COLUMN()*2-3)),"",INDEX(Array_WaterChargeData,ROW()-14,COLUMN()*2-3))</f>
        <v/>
      </c>
      <c r="J76" t="str" cm="1">
        <f>IF(ISBLANK(INDEX(Array_WaterChargeData,ROW()-14,COLUMN()*2-3)),"",INDEX(Array_WaterChargeData,ROW()-14,COLUMN()*2-3))</f>
        <v/>
      </c>
      <c r="K76" t="str" cm="1">
        <f>IF(ISBLANK(INDEX(Array_WaterChargeData,ROW()-14,COLUMN()*2-3)),"",INDEX(Array_WaterChargeData,ROW()-14,COLUMN()*2-3))</f>
        <v/>
      </c>
    </row>
    <row r="77" spans="1:11" x14ac:dyDescent="0.35">
      <c r="A77" t="str">
        <f>IF('Water Meters'!B65="",A76,'Water Meters'!B65)</f>
        <v>Meter Numbers</v>
      </c>
      <c r="B77" t="str" cm="1">
        <f>IF(ISBLANK(INDEX(Array_WaterChargeData,ROW()-14,COLUMN()*2-3)),"",INDEX(Array_WaterChargeData,ROW()-14,COLUMN()*2-3))</f>
        <v/>
      </c>
      <c r="C77" t="str" cm="1">
        <f>IF(ISBLANK(INDEX(Array_WaterChargeData,ROW()-14,COLUMN()*2-3)),"",INDEX(Array_WaterChargeData,ROW()-14,COLUMN()*2-3))</f>
        <v/>
      </c>
      <c r="D77" t="str" cm="1">
        <f>IF(ISBLANK(INDEX(Array_WaterChargeData,ROW()-14,COLUMN()*2-3)),"",INDEX(Array_WaterChargeData,ROW()-14,COLUMN()*2-3))</f>
        <v/>
      </c>
      <c r="E77" t="str" cm="1">
        <f>IF(ISBLANK(INDEX(Array_WaterChargeData,ROW()-14,COLUMN()*2-3)),"",INDEX(Array_WaterChargeData,ROW()-14,COLUMN()*2-3))</f>
        <v/>
      </c>
      <c r="F77" t="str" cm="1">
        <f>IF(ISBLANK(INDEX(Array_WaterChargeData,ROW()-14,COLUMN()*2-3)),"",INDEX(Array_WaterChargeData,ROW()-14,COLUMN()*2-3))</f>
        <v/>
      </c>
      <c r="G77" t="str" cm="1">
        <f>IF(ISBLANK(INDEX(Array_WaterChargeData,ROW()-14,COLUMN()*2-3)),"",INDEX(Array_WaterChargeData,ROW()-14,COLUMN()*2-3))</f>
        <v/>
      </c>
      <c r="H77" t="str" cm="1">
        <f>IF(ISBLANK(INDEX(Array_WaterChargeData,ROW()-14,COLUMN()*2-3)),"",INDEX(Array_WaterChargeData,ROW()-14,COLUMN()*2-3))</f>
        <v/>
      </c>
      <c r="I77" t="str" cm="1">
        <f>IF(ISBLANK(INDEX(Array_WaterChargeData,ROW()-14,COLUMN()*2-3)),"",INDEX(Array_WaterChargeData,ROW()-14,COLUMN()*2-3))</f>
        <v/>
      </c>
      <c r="J77" t="str" cm="1">
        <f>IF(ISBLANK(INDEX(Array_WaterChargeData,ROW()-14,COLUMN()*2-3)),"",INDEX(Array_WaterChargeData,ROW()-14,COLUMN()*2-3))</f>
        <v/>
      </c>
      <c r="K77" t="str" cm="1">
        <f>IF(ISBLANK(INDEX(Array_WaterChargeData,ROW()-14,COLUMN()*2-3)),"",INDEX(Array_WaterChargeData,ROW()-14,COLUMN()*2-3))</f>
        <v/>
      </c>
    </row>
    <row r="78" spans="1:11" x14ac:dyDescent="0.35">
      <c r="A78" t="str">
        <f>IF('Water Meters'!B66="",A77,'Water Meters'!B66)</f>
        <v>Meter Numbers</v>
      </c>
      <c r="B78" t="str" cm="1">
        <f>IF(ISBLANK(INDEX(Array_WaterChargeData,ROW()-14,COLUMN()*2-3)),"",INDEX(Array_WaterChargeData,ROW()-14,COLUMN()*2-3))</f>
        <v/>
      </c>
      <c r="C78" t="str" cm="1">
        <f>IF(ISBLANK(INDEX(Array_WaterChargeData,ROW()-14,COLUMN()*2-3)),"",INDEX(Array_WaterChargeData,ROW()-14,COLUMN()*2-3))</f>
        <v/>
      </c>
      <c r="D78" t="str" cm="1">
        <f>IF(ISBLANK(INDEX(Array_WaterChargeData,ROW()-14,COLUMN()*2-3)),"",INDEX(Array_WaterChargeData,ROW()-14,COLUMN()*2-3))</f>
        <v/>
      </c>
      <c r="E78" t="str" cm="1">
        <f>IF(ISBLANK(INDEX(Array_WaterChargeData,ROW()-14,COLUMN()*2-3)),"",INDEX(Array_WaterChargeData,ROW()-14,COLUMN()*2-3))</f>
        <v/>
      </c>
      <c r="F78" t="str" cm="1">
        <f>IF(ISBLANK(INDEX(Array_WaterChargeData,ROW()-14,COLUMN()*2-3)),"",INDEX(Array_WaterChargeData,ROW()-14,COLUMN()*2-3))</f>
        <v/>
      </c>
      <c r="G78" t="str" cm="1">
        <f>IF(ISBLANK(INDEX(Array_WaterChargeData,ROW()-14,COLUMN()*2-3)),"",INDEX(Array_WaterChargeData,ROW()-14,COLUMN()*2-3))</f>
        <v/>
      </c>
      <c r="H78" t="str" cm="1">
        <f>IF(ISBLANK(INDEX(Array_WaterChargeData,ROW()-14,COLUMN()*2-3)),"",INDEX(Array_WaterChargeData,ROW()-14,COLUMN()*2-3))</f>
        <v/>
      </c>
      <c r="I78" t="str" cm="1">
        <f>IF(ISBLANK(INDEX(Array_WaterChargeData,ROW()-14,COLUMN()*2-3)),"",INDEX(Array_WaterChargeData,ROW()-14,COLUMN()*2-3))</f>
        <v/>
      </c>
      <c r="J78" t="str" cm="1">
        <f>IF(ISBLANK(INDEX(Array_WaterChargeData,ROW()-14,COLUMN()*2-3)),"",INDEX(Array_WaterChargeData,ROW()-14,COLUMN()*2-3))</f>
        <v/>
      </c>
      <c r="K78" t="str" cm="1">
        <f>IF(ISBLANK(INDEX(Array_WaterChargeData,ROW()-14,COLUMN()*2-3)),"",INDEX(Array_WaterChargeData,ROW()-14,COLUMN()*2-3))</f>
        <v/>
      </c>
    </row>
    <row r="79" spans="1:11" x14ac:dyDescent="0.35">
      <c r="A79" t="str">
        <f>IF('Water Meters'!B67="",A78,'Water Meters'!B67)</f>
        <v>Meter Numbers</v>
      </c>
      <c r="B79" t="str" cm="1">
        <f>IF(ISBLANK(INDEX(Array_WaterChargeData,ROW()-14,COLUMN()*2-3)),"",INDEX(Array_WaterChargeData,ROW()-14,COLUMN()*2-3))</f>
        <v/>
      </c>
      <c r="C79" t="str" cm="1">
        <f>IF(ISBLANK(INDEX(Array_WaterChargeData,ROW()-14,COLUMN()*2-3)),"",INDEX(Array_WaterChargeData,ROW()-14,COLUMN()*2-3))</f>
        <v/>
      </c>
      <c r="D79" t="str" cm="1">
        <f>IF(ISBLANK(INDEX(Array_WaterChargeData,ROW()-14,COLUMN()*2-3)),"",INDEX(Array_WaterChargeData,ROW()-14,COLUMN()*2-3))</f>
        <v/>
      </c>
      <c r="E79" t="str" cm="1">
        <f>IF(ISBLANK(INDEX(Array_WaterChargeData,ROW()-14,COLUMN()*2-3)),"",INDEX(Array_WaterChargeData,ROW()-14,COLUMN()*2-3))</f>
        <v/>
      </c>
      <c r="F79" t="str" cm="1">
        <f>IF(ISBLANK(INDEX(Array_WaterChargeData,ROW()-14,COLUMN()*2-3)),"",INDEX(Array_WaterChargeData,ROW()-14,COLUMN()*2-3))</f>
        <v/>
      </c>
      <c r="G79" t="str" cm="1">
        <f>IF(ISBLANK(INDEX(Array_WaterChargeData,ROW()-14,COLUMN()*2-3)),"",INDEX(Array_WaterChargeData,ROW()-14,COLUMN()*2-3))</f>
        <v/>
      </c>
      <c r="H79" t="str" cm="1">
        <f>IF(ISBLANK(INDEX(Array_WaterChargeData,ROW()-14,COLUMN()*2-3)),"",INDEX(Array_WaterChargeData,ROW()-14,COLUMN()*2-3))</f>
        <v/>
      </c>
      <c r="I79" t="str" cm="1">
        <f>IF(ISBLANK(INDEX(Array_WaterChargeData,ROW()-14,COLUMN()*2-3)),"",INDEX(Array_WaterChargeData,ROW()-14,COLUMN()*2-3))</f>
        <v/>
      </c>
      <c r="J79" t="str" cm="1">
        <f>IF(ISBLANK(INDEX(Array_WaterChargeData,ROW()-14,COLUMN()*2-3)),"",INDEX(Array_WaterChargeData,ROW()-14,COLUMN()*2-3))</f>
        <v/>
      </c>
      <c r="K79" t="str" cm="1">
        <f>IF(ISBLANK(INDEX(Array_WaterChargeData,ROW()-14,COLUMN()*2-3)),"",INDEX(Array_WaterChargeData,ROW()-14,COLUMN()*2-3))</f>
        <v/>
      </c>
    </row>
    <row r="80" spans="1:11" x14ac:dyDescent="0.35">
      <c r="A80" t="str">
        <f>IF('Water Meters'!B68="",A79,'Water Meters'!B68)</f>
        <v>Meter Numbers</v>
      </c>
      <c r="B80" t="str" cm="1">
        <f>IF(ISBLANK(INDEX(Array_WaterChargeData,ROW()-14,COLUMN()*2-3)),"",INDEX(Array_WaterChargeData,ROW()-14,COLUMN()*2-3))</f>
        <v/>
      </c>
      <c r="C80" t="str" cm="1">
        <f>IF(ISBLANK(INDEX(Array_WaterChargeData,ROW()-14,COLUMN()*2-3)),"",INDEX(Array_WaterChargeData,ROW()-14,COLUMN()*2-3))</f>
        <v/>
      </c>
      <c r="D80" t="str" cm="1">
        <f>IF(ISBLANK(INDEX(Array_WaterChargeData,ROW()-14,COLUMN()*2-3)),"",INDEX(Array_WaterChargeData,ROW()-14,COLUMN()*2-3))</f>
        <v/>
      </c>
      <c r="E80" t="str" cm="1">
        <f>IF(ISBLANK(INDEX(Array_WaterChargeData,ROW()-14,COLUMN()*2-3)),"",INDEX(Array_WaterChargeData,ROW()-14,COLUMN()*2-3))</f>
        <v/>
      </c>
      <c r="F80" t="str" cm="1">
        <f>IF(ISBLANK(INDEX(Array_WaterChargeData,ROW()-14,COLUMN()*2-3)),"",INDEX(Array_WaterChargeData,ROW()-14,COLUMN()*2-3))</f>
        <v/>
      </c>
      <c r="G80" t="str" cm="1">
        <f>IF(ISBLANK(INDEX(Array_WaterChargeData,ROW()-14,COLUMN()*2-3)),"",INDEX(Array_WaterChargeData,ROW()-14,COLUMN()*2-3))</f>
        <v/>
      </c>
      <c r="H80" t="str" cm="1">
        <f>IF(ISBLANK(INDEX(Array_WaterChargeData,ROW()-14,COLUMN()*2-3)),"",INDEX(Array_WaterChargeData,ROW()-14,COLUMN()*2-3))</f>
        <v/>
      </c>
      <c r="I80" t="str" cm="1">
        <f>IF(ISBLANK(INDEX(Array_WaterChargeData,ROW()-14,COLUMN()*2-3)),"",INDEX(Array_WaterChargeData,ROW()-14,COLUMN()*2-3))</f>
        <v/>
      </c>
      <c r="J80" t="str" cm="1">
        <f>IF(ISBLANK(INDEX(Array_WaterChargeData,ROW()-14,COLUMN()*2-3)),"",INDEX(Array_WaterChargeData,ROW()-14,COLUMN()*2-3))</f>
        <v/>
      </c>
      <c r="K80" t="str" cm="1">
        <f>IF(ISBLANK(INDEX(Array_WaterChargeData,ROW()-14,COLUMN()*2-3)),"",INDEX(Array_WaterChargeData,ROW()-14,COLUMN()*2-3))</f>
        <v/>
      </c>
    </row>
    <row r="81" spans="1:11" x14ac:dyDescent="0.35">
      <c r="A81" t="str">
        <f>IF('Water Meters'!B69="",A80,'Water Meters'!B69)</f>
        <v>Meter Numbers</v>
      </c>
      <c r="B81" t="str" cm="1">
        <f>IF(ISBLANK(INDEX(Array_WaterChargeData,ROW()-14,COLUMN()*2-3)),"",INDEX(Array_WaterChargeData,ROW()-14,COLUMN()*2-3))</f>
        <v/>
      </c>
      <c r="C81" t="str" cm="1">
        <f>IF(ISBLANK(INDEX(Array_WaterChargeData,ROW()-14,COLUMN()*2-3)),"",INDEX(Array_WaterChargeData,ROW()-14,COLUMN()*2-3))</f>
        <v/>
      </c>
      <c r="D81" t="str" cm="1">
        <f>IF(ISBLANK(INDEX(Array_WaterChargeData,ROW()-14,COLUMN()*2-3)),"",INDEX(Array_WaterChargeData,ROW()-14,COLUMN()*2-3))</f>
        <v/>
      </c>
      <c r="E81" t="str" cm="1">
        <f>IF(ISBLANK(INDEX(Array_WaterChargeData,ROW()-14,COLUMN()*2-3)),"",INDEX(Array_WaterChargeData,ROW()-14,COLUMN()*2-3))</f>
        <v/>
      </c>
      <c r="F81" t="str" cm="1">
        <f>IF(ISBLANK(INDEX(Array_WaterChargeData,ROW()-14,COLUMN()*2-3)),"",INDEX(Array_WaterChargeData,ROW()-14,COLUMN()*2-3))</f>
        <v/>
      </c>
      <c r="G81" t="str" cm="1">
        <f>IF(ISBLANK(INDEX(Array_WaterChargeData,ROW()-14,COLUMN()*2-3)),"",INDEX(Array_WaterChargeData,ROW()-14,COLUMN()*2-3))</f>
        <v/>
      </c>
      <c r="H81" t="str" cm="1">
        <f>IF(ISBLANK(INDEX(Array_WaterChargeData,ROW()-14,COLUMN()*2-3)),"",INDEX(Array_WaterChargeData,ROW()-14,COLUMN()*2-3))</f>
        <v/>
      </c>
      <c r="I81" t="str" cm="1">
        <f>IF(ISBLANK(INDEX(Array_WaterChargeData,ROW()-14,COLUMN()*2-3)),"",INDEX(Array_WaterChargeData,ROW()-14,COLUMN()*2-3))</f>
        <v/>
      </c>
      <c r="J81" t="str" cm="1">
        <f>IF(ISBLANK(INDEX(Array_WaterChargeData,ROW()-14,COLUMN()*2-3)),"",INDEX(Array_WaterChargeData,ROW()-14,COLUMN()*2-3))</f>
        <v/>
      </c>
      <c r="K81" t="str" cm="1">
        <f>IF(ISBLANK(INDEX(Array_WaterChargeData,ROW()-14,COLUMN()*2-3)),"",INDEX(Array_WaterChargeData,ROW()-14,COLUMN()*2-3))</f>
        <v/>
      </c>
    </row>
    <row r="82" spans="1:11" x14ac:dyDescent="0.35">
      <c r="A82" t="str">
        <f>IF('Water Meters'!B70="",A81,'Water Meters'!B70)</f>
        <v>Meter Numbers</v>
      </c>
      <c r="B82" t="str" cm="1">
        <f>IF(ISBLANK(INDEX(Array_WaterChargeData,ROW()-14,COLUMN()*2-3)),"",INDEX(Array_WaterChargeData,ROW()-14,COLUMN()*2-3))</f>
        <v/>
      </c>
      <c r="C82" t="str" cm="1">
        <f>IF(ISBLANK(INDEX(Array_WaterChargeData,ROW()-14,COLUMN()*2-3)),"",INDEX(Array_WaterChargeData,ROW()-14,COLUMN()*2-3))</f>
        <v/>
      </c>
      <c r="D82" t="str" cm="1">
        <f>IF(ISBLANK(INDEX(Array_WaterChargeData,ROW()-14,COLUMN()*2-3)),"",INDEX(Array_WaterChargeData,ROW()-14,COLUMN()*2-3))</f>
        <v/>
      </c>
      <c r="E82" t="str" cm="1">
        <f>IF(ISBLANK(INDEX(Array_WaterChargeData,ROW()-14,COLUMN()*2-3)),"",INDEX(Array_WaterChargeData,ROW()-14,COLUMN()*2-3))</f>
        <v/>
      </c>
      <c r="F82" t="str" cm="1">
        <f>IF(ISBLANK(INDEX(Array_WaterChargeData,ROW()-14,COLUMN()*2-3)),"",INDEX(Array_WaterChargeData,ROW()-14,COLUMN()*2-3))</f>
        <v/>
      </c>
      <c r="G82" t="str" cm="1">
        <f>IF(ISBLANK(INDEX(Array_WaterChargeData,ROW()-14,COLUMN()*2-3)),"",INDEX(Array_WaterChargeData,ROW()-14,COLUMN()*2-3))</f>
        <v/>
      </c>
      <c r="H82" t="str" cm="1">
        <f>IF(ISBLANK(INDEX(Array_WaterChargeData,ROW()-14,COLUMN()*2-3)),"",INDEX(Array_WaterChargeData,ROW()-14,COLUMN()*2-3))</f>
        <v/>
      </c>
      <c r="I82" t="str" cm="1">
        <f>IF(ISBLANK(INDEX(Array_WaterChargeData,ROW()-14,COLUMN()*2-3)),"",INDEX(Array_WaterChargeData,ROW()-14,COLUMN()*2-3))</f>
        <v/>
      </c>
      <c r="J82" t="str" cm="1">
        <f>IF(ISBLANK(INDEX(Array_WaterChargeData,ROW()-14,COLUMN()*2-3)),"",INDEX(Array_WaterChargeData,ROW()-14,COLUMN()*2-3))</f>
        <v/>
      </c>
      <c r="K82" t="str" cm="1">
        <f>IF(ISBLANK(INDEX(Array_WaterChargeData,ROW()-14,COLUMN()*2-3)),"",INDEX(Array_WaterChargeData,ROW()-14,COLUMN()*2-3))</f>
        <v/>
      </c>
    </row>
    <row r="83" spans="1:11" x14ac:dyDescent="0.35">
      <c r="A83" t="str">
        <f>IF('Water Meters'!B71="",A82,'Water Meters'!B71)</f>
        <v>Meter Numbers</v>
      </c>
      <c r="B83" t="str" cm="1">
        <f>IF(ISBLANK(INDEX(Array_WaterChargeData,ROW()-14,COLUMN()*2-3)),"",INDEX(Array_WaterChargeData,ROW()-14,COLUMN()*2-3))</f>
        <v/>
      </c>
      <c r="C83" t="str" cm="1">
        <f>IF(ISBLANK(INDEX(Array_WaterChargeData,ROW()-14,COLUMN()*2-3)),"",INDEX(Array_WaterChargeData,ROW()-14,COLUMN()*2-3))</f>
        <v/>
      </c>
      <c r="D83" t="str" cm="1">
        <f>IF(ISBLANK(INDEX(Array_WaterChargeData,ROW()-14,COLUMN()*2-3)),"",INDEX(Array_WaterChargeData,ROW()-14,COLUMN()*2-3))</f>
        <v/>
      </c>
      <c r="E83" t="str" cm="1">
        <f>IF(ISBLANK(INDEX(Array_WaterChargeData,ROW()-14,COLUMN()*2-3)),"",INDEX(Array_WaterChargeData,ROW()-14,COLUMN()*2-3))</f>
        <v/>
      </c>
      <c r="F83" t="str" cm="1">
        <f>IF(ISBLANK(INDEX(Array_WaterChargeData,ROW()-14,COLUMN()*2-3)),"",INDEX(Array_WaterChargeData,ROW()-14,COLUMN()*2-3))</f>
        <v/>
      </c>
      <c r="G83" t="str" cm="1">
        <f>IF(ISBLANK(INDEX(Array_WaterChargeData,ROW()-14,COLUMN()*2-3)),"",INDEX(Array_WaterChargeData,ROW()-14,COLUMN()*2-3))</f>
        <v/>
      </c>
      <c r="H83" t="str" cm="1">
        <f>IF(ISBLANK(INDEX(Array_WaterChargeData,ROW()-14,COLUMN()*2-3)),"",INDEX(Array_WaterChargeData,ROW()-14,COLUMN()*2-3))</f>
        <v/>
      </c>
      <c r="I83" t="str" cm="1">
        <f>IF(ISBLANK(INDEX(Array_WaterChargeData,ROW()-14,COLUMN()*2-3)),"",INDEX(Array_WaterChargeData,ROW()-14,COLUMN()*2-3))</f>
        <v/>
      </c>
      <c r="J83" t="str" cm="1">
        <f>IF(ISBLANK(INDEX(Array_WaterChargeData,ROW()-14,COLUMN()*2-3)),"",INDEX(Array_WaterChargeData,ROW()-14,COLUMN()*2-3))</f>
        <v/>
      </c>
      <c r="K83" t="str" cm="1">
        <f>IF(ISBLANK(INDEX(Array_WaterChargeData,ROW()-14,COLUMN()*2-3)),"",INDEX(Array_WaterChargeData,ROW()-14,COLUMN()*2-3))</f>
        <v/>
      </c>
    </row>
    <row r="84" spans="1:11" x14ac:dyDescent="0.35">
      <c r="A84" t="str">
        <f>IF('Water Meters'!B72="",A83,'Water Meters'!B72)</f>
        <v>Meter Numbers</v>
      </c>
      <c r="B84" t="str" cm="1">
        <f>IF(ISBLANK(INDEX(Array_WaterChargeData,ROW()-14,COLUMN()*2-3)),"",INDEX(Array_WaterChargeData,ROW()-14,COLUMN()*2-3))</f>
        <v/>
      </c>
      <c r="C84" t="str" cm="1">
        <f>IF(ISBLANK(INDEX(Array_WaterChargeData,ROW()-14,COLUMN()*2-3)),"",INDEX(Array_WaterChargeData,ROW()-14,COLUMN()*2-3))</f>
        <v/>
      </c>
      <c r="D84" t="str" cm="1">
        <f>IF(ISBLANK(INDEX(Array_WaterChargeData,ROW()-14,COLUMN()*2-3)),"",INDEX(Array_WaterChargeData,ROW()-14,COLUMN()*2-3))</f>
        <v/>
      </c>
      <c r="E84" t="str" cm="1">
        <f>IF(ISBLANK(INDEX(Array_WaterChargeData,ROW()-14,COLUMN()*2-3)),"",INDEX(Array_WaterChargeData,ROW()-14,COLUMN()*2-3))</f>
        <v/>
      </c>
      <c r="F84" t="str" cm="1">
        <f>IF(ISBLANK(INDEX(Array_WaterChargeData,ROW()-14,COLUMN()*2-3)),"",INDEX(Array_WaterChargeData,ROW()-14,COLUMN()*2-3))</f>
        <v/>
      </c>
      <c r="G84" t="str" cm="1">
        <f>IF(ISBLANK(INDEX(Array_WaterChargeData,ROW()-14,COLUMN()*2-3)),"",INDEX(Array_WaterChargeData,ROW()-14,COLUMN()*2-3))</f>
        <v/>
      </c>
      <c r="H84" t="str" cm="1">
        <f>IF(ISBLANK(INDEX(Array_WaterChargeData,ROW()-14,COLUMN()*2-3)),"",INDEX(Array_WaterChargeData,ROW()-14,COLUMN()*2-3))</f>
        <v/>
      </c>
      <c r="I84" t="str" cm="1">
        <f>IF(ISBLANK(INDEX(Array_WaterChargeData,ROW()-14,COLUMN()*2-3)),"",INDEX(Array_WaterChargeData,ROW()-14,COLUMN()*2-3))</f>
        <v/>
      </c>
      <c r="J84" t="str" cm="1">
        <f>IF(ISBLANK(INDEX(Array_WaterChargeData,ROW()-14,COLUMN()*2-3)),"",INDEX(Array_WaterChargeData,ROW()-14,COLUMN()*2-3))</f>
        <v/>
      </c>
      <c r="K84" t="str" cm="1">
        <f>IF(ISBLANK(INDEX(Array_WaterChargeData,ROW()-14,COLUMN()*2-3)),"",INDEX(Array_WaterChargeData,ROW()-14,COLUMN()*2-3))</f>
        <v/>
      </c>
    </row>
    <row r="85" spans="1:11" x14ac:dyDescent="0.35">
      <c r="A85" t="str">
        <f>IF('Water Meters'!B73="",A84,'Water Meters'!B73)</f>
        <v>Meter Numbers</v>
      </c>
      <c r="B85" t="str" cm="1">
        <f>IF(ISBLANK(INDEX(Array_WaterChargeData,ROW()-14,COLUMN()*2-3)),"",INDEX(Array_WaterChargeData,ROW()-14,COLUMN()*2-3))</f>
        <v/>
      </c>
      <c r="C85" t="str" cm="1">
        <f>IF(ISBLANK(INDEX(Array_WaterChargeData,ROW()-14,COLUMN()*2-3)),"",INDEX(Array_WaterChargeData,ROW()-14,COLUMN()*2-3))</f>
        <v/>
      </c>
      <c r="D85" t="str" cm="1">
        <f>IF(ISBLANK(INDEX(Array_WaterChargeData,ROW()-14,COLUMN()*2-3)),"",INDEX(Array_WaterChargeData,ROW()-14,COLUMN()*2-3))</f>
        <v/>
      </c>
      <c r="E85" t="str" cm="1">
        <f>IF(ISBLANK(INDEX(Array_WaterChargeData,ROW()-14,COLUMN()*2-3)),"",INDEX(Array_WaterChargeData,ROW()-14,COLUMN()*2-3))</f>
        <v/>
      </c>
      <c r="F85" t="str" cm="1">
        <f>IF(ISBLANK(INDEX(Array_WaterChargeData,ROW()-14,COLUMN()*2-3)),"",INDEX(Array_WaterChargeData,ROW()-14,COLUMN()*2-3))</f>
        <v/>
      </c>
      <c r="G85" t="str" cm="1">
        <f>IF(ISBLANK(INDEX(Array_WaterChargeData,ROW()-14,COLUMN()*2-3)),"",INDEX(Array_WaterChargeData,ROW()-14,COLUMN()*2-3))</f>
        <v/>
      </c>
      <c r="H85" t="str" cm="1">
        <f>IF(ISBLANK(INDEX(Array_WaterChargeData,ROW()-14,COLUMN()*2-3)),"",INDEX(Array_WaterChargeData,ROW()-14,COLUMN()*2-3))</f>
        <v/>
      </c>
      <c r="I85" t="str" cm="1">
        <f>IF(ISBLANK(INDEX(Array_WaterChargeData,ROW()-14,COLUMN()*2-3)),"",INDEX(Array_WaterChargeData,ROW()-14,COLUMN()*2-3))</f>
        <v/>
      </c>
      <c r="J85" t="str" cm="1">
        <f>IF(ISBLANK(INDEX(Array_WaterChargeData,ROW()-14,COLUMN()*2-3)),"",INDEX(Array_WaterChargeData,ROW()-14,COLUMN()*2-3))</f>
        <v/>
      </c>
      <c r="K85" t="str" cm="1">
        <f>IF(ISBLANK(INDEX(Array_WaterChargeData,ROW()-14,COLUMN()*2-3)),"",INDEX(Array_WaterChargeData,ROW()-14,COLUMN()*2-3))</f>
        <v/>
      </c>
    </row>
    <row r="86" spans="1:11" x14ac:dyDescent="0.35">
      <c r="A86" t="str">
        <f>IF('Water Meters'!B74="",A85,'Water Meters'!B74)</f>
        <v>Meter Numbers</v>
      </c>
      <c r="B86" t="str" cm="1">
        <f>IF(ISBLANK(INDEX(Array_WaterChargeData,ROW()-14,COLUMN()*2-3)),"",INDEX(Array_WaterChargeData,ROW()-14,COLUMN()*2-3))</f>
        <v/>
      </c>
      <c r="C86" t="str" cm="1">
        <f>IF(ISBLANK(INDEX(Array_WaterChargeData,ROW()-14,COLUMN()*2-3)),"",INDEX(Array_WaterChargeData,ROW()-14,COLUMN()*2-3))</f>
        <v/>
      </c>
      <c r="D86" t="str" cm="1">
        <f>IF(ISBLANK(INDEX(Array_WaterChargeData,ROW()-14,COLUMN()*2-3)),"",INDEX(Array_WaterChargeData,ROW()-14,COLUMN()*2-3))</f>
        <v/>
      </c>
      <c r="E86" t="str" cm="1">
        <f>IF(ISBLANK(INDEX(Array_WaterChargeData,ROW()-14,COLUMN()*2-3)),"",INDEX(Array_WaterChargeData,ROW()-14,COLUMN()*2-3))</f>
        <v/>
      </c>
      <c r="F86" t="str" cm="1">
        <f>IF(ISBLANK(INDEX(Array_WaterChargeData,ROW()-14,COLUMN()*2-3)),"",INDEX(Array_WaterChargeData,ROW()-14,COLUMN()*2-3))</f>
        <v/>
      </c>
      <c r="G86" t="str" cm="1">
        <f>IF(ISBLANK(INDEX(Array_WaterChargeData,ROW()-14,COLUMN()*2-3)),"",INDEX(Array_WaterChargeData,ROW()-14,COLUMN()*2-3))</f>
        <v/>
      </c>
      <c r="H86" t="str" cm="1">
        <f>IF(ISBLANK(INDEX(Array_WaterChargeData,ROW()-14,COLUMN()*2-3)),"",INDEX(Array_WaterChargeData,ROW()-14,COLUMN()*2-3))</f>
        <v/>
      </c>
      <c r="I86" t="str" cm="1">
        <f>IF(ISBLANK(INDEX(Array_WaterChargeData,ROW()-14,COLUMN()*2-3)),"",INDEX(Array_WaterChargeData,ROW()-14,COLUMN()*2-3))</f>
        <v/>
      </c>
      <c r="J86" t="str" cm="1">
        <f>IF(ISBLANK(INDEX(Array_WaterChargeData,ROW()-14,COLUMN()*2-3)),"",INDEX(Array_WaterChargeData,ROW()-14,COLUMN()*2-3))</f>
        <v/>
      </c>
      <c r="K86" t="str" cm="1">
        <f>IF(ISBLANK(INDEX(Array_WaterChargeData,ROW()-14,COLUMN()*2-3)),"",INDEX(Array_WaterChargeData,ROW()-14,COLUMN()*2-3))</f>
        <v/>
      </c>
    </row>
    <row r="87" spans="1:11" x14ac:dyDescent="0.35">
      <c r="A87" t="str">
        <f>IF('Water Meters'!B75="",A86,'Water Meters'!B75)</f>
        <v>Meter Numbers</v>
      </c>
      <c r="B87" t="str" cm="1">
        <f>IF(ISBLANK(INDEX(Array_WaterChargeData,ROW()-14,COLUMN()*2-3)),"",INDEX(Array_WaterChargeData,ROW()-14,COLUMN()*2-3))</f>
        <v/>
      </c>
      <c r="C87" t="str" cm="1">
        <f>IF(ISBLANK(INDEX(Array_WaterChargeData,ROW()-14,COLUMN()*2-3)),"",INDEX(Array_WaterChargeData,ROW()-14,COLUMN()*2-3))</f>
        <v/>
      </c>
      <c r="D87" t="str" cm="1">
        <f>IF(ISBLANK(INDEX(Array_WaterChargeData,ROW()-14,COLUMN()*2-3)),"",INDEX(Array_WaterChargeData,ROW()-14,COLUMN()*2-3))</f>
        <v/>
      </c>
      <c r="E87" t="str" cm="1">
        <f>IF(ISBLANK(INDEX(Array_WaterChargeData,ROW()-14,COLUMN()*2-3)),"",INDEX(Array_WaterChargeData,ROW()-14,COLUMN()*2-3))</f>
        <v/>
      </c>
      <c r="F87" t="str" cm="1">
        <f>IF(ISBLANK(INDEX(Array_WaterChargeData,ROW()-14,COLUMN()*2-3)),"",INDEX(Array_WaterChargeData,ROW()-14,COLUMN()*2-3))</f>
        <v/>
      </c>
      <c r="G87" t="str" cm="1">
        <f>IF(ISBLANK(INDEX(Array_WaterChargeData,ROW()-14,COLUMN()*2-3)),"",INDEX(Array_WaterChargeData,ROW()-14,COLUMN()*2-3))</f>
        <v/>
      </c>
      <c r="H87" t="str" cm="1">
        <f>IF(ISBLANK(INDEX(Array_WaterChargeData,ROW()-14,COLUMN()*2-3)),"",INDEX(Array_WaterChargeData,ROW()-14,COLUMN()*2-3))</f>
        <v/>
      </c>
      <c r="I87" t="str" cm="1">
        <f>IF(ISBLANK(INDEX(Array_WaterChargeData,ROW()-14,COLUMN()*2-3)),"",INDEX(Array_WaterChargeData,ROW()-14,COLUMN()*2-3))</f>
        <v/>
      </c>
      <c r="J87" t="str" cm="1">
        <f>IF(ISBLANK(INDEX(Array_WaterChargeData,ROW()-14,COLUMN()*2-3)),"",INDEX(Array_WaterChargeData,ROW()-14,COLUMN()*2-3))</f>
        <v/>
      </c>
      <c r="K87" t="str" cm="1">
        <f>IF(ISBLANK(INDEX(Array_WaterChargeData,ROW()-14,COLUMN()*2-3)),"",INDEX(Array_WaterChargeData,ROW()-14,COLUMN()*2-3))</f>
        <v/>
      </c>
    </row>
    <row r="88" spans="1:11" x14ac:dyDescent="0.35">
      <c r="A88" t="str">
        <f>IF('Water Meters'!B76="",A87,'Water Meters'!B76)</f>
        <v>Meter Numbers</v>
      </c>
      <c r="B88" t="str" cm="1">
        <f>IF(ISBLANK(INDEX(Array_WaterChargeData,ROW()-14,COLUMN()*2-3)),"",INDEX(Array_WaterChargeData,ROW()-14,COLUMN()*2-3))</f>
        <v/>
      </c>
      <c r="C88" t="str" cm="1">
        <f>IF(ISBLANK(INDEX(Array_WaterChargeData,ROW()-14,COLUMN()*2-3)),"",INDEX(Array_WaterChargeData,ROW()-14,COLUMN()*2-3))</f>
        <v/>
      </c>
      <c r="D88" t="str" cm="1">
        <f>IF(ISBLANK(INDEX(Array_WaterChargeData,ROW()-14,COLUMN()*2-3)),"",INDEX(Array_WaterChargeData,ROW()-14,COLUMN()*2-3))</f>
        <v/>
      </c>
      <c r="E88" t="str" cm="1">
        <f>IF(ISBLANK(INDEX(Array_WaterChargeData,ROW()-14,COLUMN()*2-3)),"",INDEX(Array_WaterChargeData,ROW()-14,COLUMN()*2-3))</f>
        <v/>
      </c>
      <c r="F88" t="str" cm="1">
        <f>IF(ISBLANK(INDEX(Array_WaterChargeData,ROW()-14,COLUMN()*2-3)),"",INDEX(Array_WaterChargeData,ROW()-14,COLUMN()*2-3))</f>
        <v/>
      </c>
      <c r="G88" t="str" cm="1">
        <f>IF(ISBLANK(INDEX(Array_WaterChargeData,ROW()-14,COLUMN()*2-3)),"",INDEX(Array_WaterChargeData,ROW()-14,COLUMN()*2-3))</f>
        <v/>
      </c>
      <c r="H88" t="str" cm="1">
        <f>IF(ISBLANK(INDEX(Array_WaterChargeData,ROW()-14,COLUMN()*2-3)),"",INDEX(Array_WaterChargeData,ROW()-14,COLUMN()*2-3))</f>
        <v/>
      </c>
      <c r="I88" t="str" cm="1">
        <f>IF(ISBLANK(INDEX(Array_WaterChargeData,ROW()-14,COLUMN()*2-3)),"",INDEX(Array_WaterChargeData,ROW()-14,COLUMN()*2-3))</f>
        <v/>
      </c>
      <c r="J88" t="str" cm="1">
        <f>IF(ISBLANK(INDEX(Array_WaterChargeData,ROW()-14,COLUMN()*2-3)),"",INDEX(Array_WaterChargeData,ROW()-14,COLUMN()*2-3))</f>
        <v/>
      </c>
      <c r="K88" t="str" cm="1">
        <f>IF(ISBLANK(INDEX(Array_WaterChargeData,ROW()-14,COLUMN()*2-3)),"",INDEX(Array_WaterChargeData,ROW()-14,COLUMN()*2-3))</f>
        <v/>
      </c>
    </row>
    <row r="89" spans="1:11" x14ac:dyDescent="0.35">
      <c r="A89" t="str">
        <f>IF('Water Meters'!B77="",A88,'Water Meters'!B77)</f>
        <v>Meter Numbers</v>
      </c>
      <c r="B89" t="str" cm="1">
        <f>IF(ISBLANK(INDEX(Array_WaterChargeData,ROW()-14,COLUMN()*2-3)),"",INDEX(Array_WaterChargeData,ROW()-14,COLUMN()*2-3))</f>
        <v/>
      </c>
      <c r="C89" t="str" cm="1">
        <f>IF(ISBLANK(INDEX(Array_WaterChargeData,ROW()-14,COLUMN()*2-3)),"",INDEX(Array_WaterChargeData,ROW()-14,COLUMN()*2-3))</f>
        <v/>
      </c>
      <c r="D89" t="str" cm="1">
        <f>IF(ISBLANK(INDEX(Array_WaterChargeData,ROW()-14,COLUMN()*2-3)),"",INDEX(Array_WaterChargeData,ROW()-14,COLUMN()*2-3))</f>
        <v/>
      </c>
      <c r="E89" t="str" cm="1">
        <f>IF(ISBLANK(INDEX(Array_WaterChargeData,ROW()-14,COLUMN()*2-3)),"",INDEX(Array_WaterChargeData,ROW()-14,COLUMN()*2-3))</f>
        <v/>
      </c>
      <c r="F89" t="str" cm="1">
        <f>IF(ISBLANK(INDEX(Array_WaterChargeData,ROW()-14,COLUMN()*2-3)),"",INDEX(Array_WaterChargeData,ROW()-14,COLUMN()*2-3))</f>
        <v/>
      </c>
      <c r="G89" t="str" cm="1">
        <f>IF(ISBLANK(INDEX(Array_WaterChargeData,ROW()-14,COLUMN()*2-3)),"",INDEX(Array_WaterChargeData,ROW()-14,COLUMN()*2-3))</f>
        <v/>
      </c>
      <c r="H89" t="str" cm="1">
        <f>IF(ISBLANK(INDEX(Array_WaterChargeData,ROW()-14,COLUMN()*2-3)),"",INDEX(Array_WaterChargeData,ROW()-14,COLUMN()*2-3))</f>
        <v/>
      </c>
      <c r="I89" t="str" cm="1">
        <f>IF(ISBLANK(INDEX(Array_WaterChargeData,ROW()-14,COLUMN()*2-3)),"",INDEX(Array_WaterChargeData,ROW()-14,COLUMN()*2-3))</f>
        <v/>
      </c>
      <c r="J89" t="str" cm="1">
        <f>IF(ISBLANK(INDEX(Array_WaterChargeData,ROW()-14,COLUMN()*2-3)),"",INDEX(Array_WaterChargeData,ROW()-14,COLUMN()*2-3))</f>
        <v/>
      </c>
      <c r="K89" t="str" cm="1">
        <f>IF(ISBLANK(INDEX(Array_WaterChargeData,ROW()-14,COLUMN()*2-3)),"",INDEX(Array_WaterChargeData,ROW()-14,COLUMN()*2-3))</f>
        <v/>
      </c>
    </row>
    <row r="90" spans="1:11" x14ac:dyDescent="0.35">
      <c r="A90" t="str">
        <f>IF('Water Meters'!B78="",A89,'Water Meters'!B78)</f>
        <v>Meter Numbers</v>
      </c>
      <c r="B90" t="str" cm="1">
        <f>IF(ISBLANK(INDEX(Array_WaterChargeData,ROW()-14,COLUMN()*2-3)),"",INDEX(Array_WaterChargeData,ROW()-14,COLUMN()*2-3))</f>
        <v/>
      </c>
      <c r="C90" t="str" cm="1">
        <f>IF(ISBLANK(INDEX(Array_WaterChargeData,ROW()-14,COLUMN()*2-3)),"",INDEX(Array_WaterChargeData,ROW()-14,COLUMN()*2-3))</f>
        <v/>
      </c>
      <c r="D90" t="str" cm="1">
        <f>IF(ISBLANK(INDEX(Array_WaterChargeData,ROW()-14,COLUMN()*2-3)),"",INDEX(Array_WaterChargeData,ROW()-14,COLUMN()*2-3))</f>
        <v/>
      </c>
      <c r="E90" t="str" cm="1">
        <f>IF(ISBLANK(INDEX(Array_WaterChargeData,ROW()-14,COLUMN()*2-3)),"",INDEX(Array_WaterChargeData,ROW()-14,COLUMN()*2-3))</f>
        <v/>
      </c>
      <c r="F90" t="str" cm="1">
        <f>IF(ISBLANK(INDEX(Array_WaterChargeData,ROW()-14,COLUMN()*2-3)),"",INDEX(Array_WaterChargeData,ROW()-14,COLUMN()*2-3))</f>
        <v/>
      </c>
      <c r="G90" t="str" cm="1">
        <f>IF(ISBLANK(INDEX(Array_WaterChargeData,ROW()-14,COLUMN()*2-3)),"",INDEX(Array_WaterChargeData,ROW()-14,COLUMN()*2-3))</f>
        <v/>
      </c>
      <c r="H90" t="str" cm="1">
        <f>IF(ISBLANK(INDEX(Array_WaterChargeData,ROW()-14,COLUMN()*2-3)),"",INDEX(Array_WaterChargeData,ROW()-14,COLUMN()*2-3))</f>
        <v/>
      </c>
      <c r="I90" t="str" cm="1">
        <f>IF(ISBLANK(INDEX(Array_WaterChargeData,ROW()-14,COLUMN()*2-3)),"",INDEX(Array_WaterChargeData,ROW()-14,COLUMN()*2-3))</f>
        <v/>
      </c>
      <c r="J90" t="str" cm="1">
        <f>IF(ISBLANK(INDEX(Array_WaterChargeData,ROW()-14,COLUMN()*2-3)),"",INDEX(Array_WaterChargeData,ROW()-14,COLUMN()*2-3))</f>
        <v/>
      </c>
      <c r="K90" t="str" cm="1">
        <f>IF(ISBLANK(INDEX(Array_WaterChargeData,ROW()-14,COLUMN()*2-3)),"",INDEX(Array_WaterChargeData,ROW()-14,COLUMN()*2-3))</f>
        <v/>
      </c>
    </row>
    <row r="91" spans="1:11" x14ac:dyDescent="0.35">
      <c r="A91" t="str">
        <f>IF('Water Meters'!B79="",A90,'Water Meters'!B79)</f>
        <v>Meter Numbers</v>
      </c>
      <c r="B91" t="str" cm="1">
        <f>IF(ISBLANK(INDEX(Array_WaterChargeData,ROW()-14,COLUMN()*2-3)),"",INDEX(Array_WaterChargeData,ROW()-14,COLUMN()*2-3))</f>
        <v/>
      </c>
      <c r="C91" t="str" cm="1">
        <f>IF(ISBLANK(INDEX(Array_WaterChargeData,ROW()-14,COLUMN()*2-3)),"",INDEX(Array_WaterChargeData,ROW()-14,COLUMN()*2-3))</f>
        <v/>
      </c>
      <c r="D91" t="str" cm="1">
        <f>IF(ISBLANK(INDEX(Array_WaterChargeData,ROW()-14,COLUMN()*2-3)),"",INDEX(Array_WaterChargeData,ROW()-14,COLUMN()*2-3))</f>
        <v/>
      </c>
      <c r="E91" t="str" cm="1">
        <f>IF(ISBLANK(INDEX(Array_WaterChargeData,ROW()-14,COLUMN()*2-3)),"",INDEX(Array_WaterChargeData,ROW()-14,COLUMN()*2-3))</f>
        <v/>
      </c>
      <c r="F91" t="str" cm="1">
        <f>IF(ISBLANK(INDEX(Array_WaterChargeData,ROW()-14,COLUMN()*2-3)),"",INDEX(Array_WaterChargeData,ROW()-14,COLUMN()*2-3))</f>
        <v/>
      </c>
      <c r="G91" t="str" cm="1">
        <f>IF(ISBLANK(INDEX(Array_WaterChargeData,ROW()-14,COLUMN()*2-3)),"",INDEX(Array_WaterChargeData,ROW()-14,COLUMN()*2-3))</f>
        <v/>
      </c>
      <c r="H91" t="str" cm="1">
        <f>IF(ISBLANK(INDEX(Array_WaterChargeData,ROW()-14,COLUMN()*2-3)),"",INDEX(Array_WaterChargeData,ROW()-14,COLUMN()*2-3))</f>
        <v/>
      </c>
      <c r="I91" t="str" cm="1">
        <f>IF(ISBLANK(INDEX(Array_WaterChargeData,ROW()-14,COLUMN()*2-3)),"",INDEX(Array_WaterChargeData,ROW()-14,COLUMN()*2-3))</f>
        <v/>
      </c>
      <c r="J91" t="str" cm="1">
        <f>IF(ISBLANK(INDEX(Array_WaterChargeData,ROW()-14,COLUMN()*2-3)),"",INDEX(Array_WaterChargeData,ROW()-14,COLUMN()*2-3))</f>
        <v/>
      </c>
      <c r="K91" t="str" cm="1">
        <f>IF(ISBLANK(INDEX(Array_WaterChargeData,ROW()-14,COLUMN()*2-3)),"",INDEX(Array_WaterChargeData,ROW()-14,COLUMN()*2-3))</f>
        <v/>
      </c>
    </row>
    <row r="92" spans="1:11" x14ac:dyDescent="0.35">
      <c r="A92" t="str">
        <f>IF('Water Meters'!B80="",A91,'Water Meters'!B80)</f>
        <v>Meter Numbers</v>
      </c>
      <c r="B92" t="str" cm="1">
        <f>IF(ISBLANK(INDEX(Array_WaterChargeData,ROW()-14,COLUMN()*2-3)),"",INDEX(Array_WaterChargeData,ROW()-14,COLUMN()*2-3))</f>
        <v/>
      </c>
      <c r="C92" t="str" cm="1">
        <f>IF(ISBLANK(INDEX(Array_WaterChargeData,ROW()-14,COLUMN()*2-3)),"",INDEX(Array_WaterChargeData,ROW()-14,COLUMN()*2-3))</f>
        <v/>
      </c>
      <c r="D92" t="str" cm="1">
        <f>IF(ISBLANK(INDEX(Array_WaterChargeData,ROW()-14,COLUMN()*2-3)),"",INDEX(Array_WaterChargeData,ROW()-14,COLUMN()*2-3))</f>
        <v/>
      </c>
      <c r="E92" t="str" cm="1">
        <f>IF(ISBLANK(INDEX(Array_WaterChargeData,ROW()-14,COLUMN()*2-3)),"",INDEX(Array_WaterChargeData,ROW()-14,COLUMN()*2-3))</f>
        <v/>
      </c>
      <c r="F92" t="str" cm="1">
        <f>IF(ISBLANK(INDEX(Array_WaterChargeData,ROW()-14,COLUMN()*2-3)),"",INDEX(Array_WaterChargeData,ROW()-14,COLUMN()*2-3))</f>
        <v/>
      </c>
      <c r="G92" t="str" cm="1">
        <f>IF(ISBLANK(INDEX(Array_WaterChargeData,ROW()-14,COLUMN()*2-3)),"",INDEX(Array_WaterChargeData,ROW()-14,COLUMN()*2-3))</f>
        <v/>
      </c>
      <c r="H92" t="str" cm="1">
        <f>IF(ISBLANK(INDEX(Array_WaterChargeData,ROW()-14,COLUMN()*2-3)),"",INDEX(Array_WaterChargeData,ROW()-14,COLUMN()*2-3))</f>
        <v/>
      </c>
      <c r="I92" t="str" cm="1">
        <f>IF(ISBLANK(INDEX(Array_WaterChargeData,ROW()-14,COLUMN()*2-3)),"",INDEX(Array_WaterChargeData,ROW()-14,COLUMN()*2-3))</f>
        <v/>
      </c>
      <c r="J92" t="str" cm="1">
        <f>IF(ISBLANK(INDEX(Array_WaterChargeData,ROW()-14,COLUMN()*2-3)),"",INDEX(Array_WaterChargeData,ROW()-14,COLUMN()*2-3))</f>
        <v/>
      </c>
      <c r="K92" t="str" cm="1">
        <f>IF(ISBLANK(INDEX(Array_WaterChargeData,ROW()-14,COLUMN()*2-3)),"",INDEX(Array_WaterChargeData,ROW()-14,COLUMN()*2-3))</f>
        <v/>
      </c>
    </row>
    <row r="93" spans="1:11" x14ac:dyDescent="0.35">
      <c r="A93" t="str">
        <f>IF('Water Meters'!B81="",A92,'Water Meters'!B81)</f>
        <v>Meter Numbers</v>
      </c>
      <c r="B93" t="str" cm="1">
        <f>IF(ISBLANK(INDEX(Array_WaterChargeData,ROW()-14,COLUMN()*2-3)),"",INDEX(Array_WaterChargeData,ROW()-14,COLUMN()*2-3))</f>
        <v/>
      </c>
      <c r="C93" t="str" cm="1">
        <f>IF(ISBLANK(INDEX(Array_WaterChargeData,ROW()-14,COLUMN()*2-3)),"",INDEX(Array_WaterChargeData,ROW()-14,COLUMN()*2-3))</f>
        <v/>
      </c>
      <c r="D93" t="str" cm="1">
        <f>IF(ISBLANK(INDEX(Array_WaterChargeData,ROW()-14,COLUMN()*2-3)),"",INDEX(Array_WaterChargeData,ROW()-14,COLUMN()*2-3))</f>
        <v/>
      </c>
      <c r="E93" t="str" cm="1">
        <f>IF(ISBLANK(INDEX(Array_WaterChargeData,ROW()-14,COLUMN()*2-3)),"",INDEX(Array_WaterChargeData,ROW()-14,COLUMN()*2-3))</f>
        <v/>
      </c>
      <c r="F93" t="str" cm="1">
        <f>IF(ISBLANK(INDEX(Array_WaterChargeData,ROW()-14,COLUMN()*2-3)),"",INDEX(Array_WaterChargeData,ROW()-14,COLUMN()*2-3))</f>
        <v/>
      </c>
      <c r="G93" t="str" cm="1">
        <f>IF(ISBLANK(INDEX(Array_WaterChargeData,ROW()-14,COLUMN()*2-3)),"",INDEX(Array_WaterChargeData,ROW()-14,COLUMN()*2-3))</f>
        <v/>
      </c>
      <c r="H93" t="str" cm="1">
        <f>IF(ISBLANK(INDEX(Array_WaterChargeData,ROW()-14,COLUMN()*2-3)),"",INDEX(Array_WaterChargeData,ROW()-14,COLUMN()*2-3))</f>
        <v/>
      </c>
      <c r="I93" t="str" cm="1">
        <f>IF(ISBLANK(INDEX(Array_WaterChargeData,ROW()-14,COLUMN()*2-3)),"",INDEX(Array_WaterChargeData,ROW()-14,COLUMN()*2-3))</f>
        <v/>
      </c>
      <c r="J93" t="str" cm="1">
        <f>IF(ISBLANK(INDEX(Array_WaterChargeData,ROW()-14,COLUMN()*2-3)),"",INDEX(Array_WaterChargeData,ROW()-14,COLUMN()*2-3))</f>
        <v/>
      </c>
      <c r="K93" t="str" cm="1">
        <f>IF(ISBLANK(INDEX(Array_WaterChargeData,ROW()-14,COLUMN()*2-3)),"",INDEX(Array_WaterChargeData,ROW()-14,COLUMN()*2-3))</f>
        <v/>
      </c>
    </row>
    <row r="94" spans="1:11" x14ac:dyDescent="0.35">
      <c r="A94" t="str">
        <f>IF('Water Meters'!B82="",A93,'Water Meters'!B82)</f>
        <v>Meter Numbers</v>
      </c>
      <c r="B94" t="str" cm="1">
        <f>IF(ISBLANK(INDEX(Array_WaterChargeData,ROW()-14,COLUMN()*2-3)),"",INDEX(Array_WaterChargeData,ROW()-14,COLUMN()*2-3))</f>
        <v/>
      </c>
      <c r="C94" t="str" cm="1">
        <f>IF(ISBLANK(INDEX(Array_WaterChargeData,ROW()-14,COLUMN()*2-3)),"",INDEX(Array_WaterChargeData,ROW()-14,COLUMN()*2-3))</f>
        <v/>
      </c>
      <c r="D94" t="str" cm="1">
        <f>IF(ISBLANK(INDEX(Array_WaterChargeData,ROW()-14,COLUMN()*2-3)),"",INDEX(Array_WaterChargeData,ROW()-14,COLUMN()*2-3))</f>
        <v/>
      </c>
      <c r="E94" t="str" cm="1">
        <f>IF(ISBLANK(INDEX(Array_WaterChargeData,ROW()-14,COLUMN()*2-3)),"",INDEX(Array_WaterChargeData,ROW()-14,COLUMN()*2-3))</f>
        <v/>
      </c>
      <c r="F94" t="str" cm="1">
        <f>IF(ISBLANK(INDEX(Array_WaterChargeData,ROW()-14,COLUMN()*2-3)),"",INDEX(Array_WaterChargeData,ROW()-14,COLUMN()*2-3))</f>
        <v/>
      </c>
      <c r="G94" t="str" cm="1">
        <f>IF(ISBLANK(INDEX(Array_WaterChargeData,ROW()-14,COLUMN()*2-3)),"",INDEX(Array_WaterChargeData,ROW()-14,COLUMN()*2-3))</f>
        <v/>
      </c>
      <c r="H94" t="str" cm="1">
        <f>IF(ISBLANK(INDEX(Array_WaterChargeData,ROW()-14,COLUMN()*2-3)),"",INDEX(Array_WaterChargeData,ROW()-14,COLUMN()*2-3))</f>
        <v/>
      </c>
      <c r="I94" t="str" cm="1">
        <f>IF(ISBLANK(INDEX(Array_WaterChargeData,ROW()-14,COLUMN()*2-3)),"",INDEX(Array_WaterChargeData,ROW()-14,COLUMN()*2-3))</f>
        <v/>
      </c>
      <c r="J94" t="str" cm="1">
        <f>IF(ISBLANK(INDEX(Array_WaterChargeData,ROW()-14,COLUMN()*2-3)),"",INDEX(Array_WaterChargeData,ROW()-14,COLUMN()*2-3))</f>
        <v/>
      </c>
      <c r="K94" t="str" cm="1">
        <f>IF(ISBLANK(INDEX(Array_WaterChargeData,ROW()-14,COLUMN()*2-3)),"",INDEX(Array_WaterChargeData,ROW()-14,COLUMN()*2-3))</f>
        <v/>
      </c>
    </row>
    <row r="95" spans="1:11" x14ac:dyDescent="0.35">
      <c r="A95" t="str">
        <f>IF('Water Meters'!B83="",A94,'Water Meters'!B83)</f>
        <v>Meter Numbers</v>
      </c>
      <c r="B95" t="str" cm="1">
        <f>IF(ISBLANK(INDEX(Array_WaterChargeData,ROW()-14,COLUMN()*2-3)),"",INDEX(Array_WaterChargeData,ROW()-14,COLUMN()*2-3))</f>
        <v/>
      </c>
      <c r="C95" t="str" cm="1">
        <f>IF(ISBLANK(INDEX(Array_WaterChargeData,ROW()-14,COLUMN()*2-3)),"",INDEX(Array_WaterChargeData,ROW()-14,COLUMN()*2-3))</f>
        <v/>
      </c>
      <c r="D95" t="str" cm="1">
        <f>IF(ISBLANK(INDEX(Array_WaterChargeData,ROW()-14,COLUMN()*2-3)),"",INDEX(Array_WaterChargeData,ROW()-14,COLUMN()*2-3))</f>
        <v/>
      </c>
      <c r="E95" t="str" cm="1">
        <f>IF(ISBLANK(INDEX(Array_WaterChargeData,ROW()-14,COLUMN()*2-3)),"",INDEX(Array_WaterChargeData,ROW()-14,COLUMN()*2-3))</f>
        <v/>
      </c>
      <c r="F95" t="str" cm="1">
        <f>IF(ISBLANK(INDEX(Array_WaterChargeData,ROW()-14,COLUMN()*2-3)),"",INDEX(Array_WaterChargeData,ROW()-14,COLUMN()*2-3))</f>
        <v/>
      </c>
      <c r="G95" t="str" cm="1">
        <f>IF(ISBLANK(INDEX(Array_WaterChargeData,ROW()-14,COLUMN()*2-3)),"",INDEX(Array_WaterChargeData,ROW()-14,COLUMN()*2-3))</f>
        <v/>
      </c>
      <c r="H95" t="str" cm="1">
        <f>IF(ISBLANK(INDEX(Array_WaterChargeData,ROW()-14,COLUMN()*2-3)),"",INDEX(Array_WaterChargeData,ROW()-14,COLUMN()*2-3))</f>
        <v/>
      </c>
      <c r="I95" t="str" cm="1">
        <f>IF(ISBLANK(INDEX(Array_WaterChargeData,ROW()-14,COLUMN()*2-3)),"",INDEX(Array_WaterChargeData,ROW()-14,COLUMN()*2-3))</f>
        <v/>
      </c>
      <c r="J95" t="str" cm="1">
        <f>IF(ISBLANK(INDEX(Array_WaterChargeData,ROW()-14,COLUMN()*2-3)),"",INDEX(Array_WaterChargeData,ROW()-14,COLUMN()*2-3))</f>
        <v/>
      </c>
      <c r="K95" t="str" cm="1">
        <f>IF(ISBLANK(INDEX(Array_WaterChargeData,ROW()-14,COLUMN()*2-3)),"",INDEX(Array_WaterChargeData,ROW()-14,COLUMN()*2-3))</f>
        <v/>
      </c>
    </row>
    <row r="96" spans="1:11" x14ac:dyDescent="0.35">
      <c r="A96" t="str">
        <f>IF('Water Meters'!B84="",A95,'Water Meters'!B84)</f>
        <v>Meter Numbers</v>
      </c>
      <c r="B96" t="str" cm="1">
        <f>IF(ISBLANK(INDEX(Array_WaterChargeData,ROW()-14,COLUMN()*2-3)),"",INDEX(Array_WaterChargeData,ROW()-14,COLUMN()*2-3))</f>
        <v/>
      </c>
      <c r="C96" t="str" cm="1">
        <f>IF(ISBLANK(INDEX(Array_WaterChargeData,ROW()-14,COLUMN()*2-3)),"",INDEX(Array_WaterChargeData,ROW()-14,COLUMN()*2-3))</f>
        <v/>
      </c>
      <c r="D96" t="str" cm="1">
        <f>IF(ISBLANK(INDEX(Array_WaterChargeData,ROW()-14,COLUMN()*2-3)),"",INDEX(Array_WaterChargeData,ROW()-14,COLUMN()*2-3))</f>
        <v/>
      </c>
      <c r="E96" t="str" cm="1">
        <f>IF(ISBLANK(INDEX(Array_WaterChargeData,ROW()-14,COLUMN()*2-3)),"",INDEX(Array_WaterChargeData,ROW()-14,COLUMN()*2-3))</f>
        <v/>
      </c>
      <c r="F96" t="str" cm="1">
        <f>IF(ISBLANK(INDEX(Array_WaterChargeData,ROW()-14,COLUMN()*2-3)),"",INDEX(Array_WaterChargeData,ROW()-14,COLUMN()*2-3))</f>
        <v/>
      </c>
      <c r="G96" t="str" cm="1">
        <f>IF(ISBLANK(INDEX(Array_WaterChargeData,ROW()-14,COLUMN()*2-3)),"",INDEX(Array_WaterChargeData,ROW()-14,COLUMN()*2-3))</f>
        <v/>
      </c>
      <c r="H96" t="str" cm="1">
        <f>IF(ISBLANK(INDEX(Array_WaterChargeData,ROW()-14,COLUMN()*2-3)),"",INDEX(Array_WaterChargeData,ROW()-14,COLUMN()*2-3))</f>
        <v/>
      </c>
      <c r="I96" t="str" cm="1">
        <f>IF(ISBLANK(INDEX(Array_WaterChargeData,ROW()-14,COLUMN()*2-3)),"",INDEX(Array_WaterChargeData,ROW()-14,COLUMN()*2-3))</f>
        <v/>
      </c>
      <c r="J96" t="str" cm="1">
        <f>IF(ISBLANK(INDEX(Array_WaterChargeData,ROW()-14,COLUMN()*2-3)),"",INDEX(Array_WaterChargeData,ROW()-14,COLUMN()*2-3))</f>
        <v/>
      </c>
      <c r="K96" t="str" cm="1">
        <f>IF(ISBLANK(INDEX(Array_WaterChargeData,ROW()-14,COLUMN()*2-3)),"",INDEX(Array_WaterChargeData,ROW()-14,COLUMN()*2-3))</f>
        <v/>
      </c>
    </row>
    <row r="97" spans="1:11" x14ac:dyDescent="0.35">
      <c r="A97" t="str">
        <f>IF('Water Meters'!B85="",A96,'Water Meters'!B85)</f>
        <v>Meter Numbers</v>
      </c>
      <c r="B97" t="str" cm="1">
        <f>IF(ISBLANK(INDEX(Array_WaterChargeData,ROW()-14,COLUMN()*2-3)),"",INDEX(Array_WaterChargeData,ROW()-14,COLUMN()*2-3))</f>
        <v/>
      </c>
      <c r="C97" t="str" cm="1">
        <f>IF(ISBLANK(INDEX(Array_WaterChargeData,ROW()-14,COLUMN()*2-3)),"",INDEX(Array_WaterChargeData,ROW()-14,COLUMN()*2-3))</f>
        <v/>
      </c>
      <c r="D97" t="str" cm="1">
        <f>IF(ISBLANK(INDEX(Array_WaterChargeData,ROW()-14,COLUMN()*2-3)),"",INDEX(Array_WaterChargeData,ROW()-14,COLUMN()*2-3))</f>
        <v/>
      </c>
      <c r="E97" t="str" cm="1">
        <f>IF(ISBLANK(INDEX(Array_WaterChargeData,ROW()-14,COLUMN()*2-3)),"",INDEX(Array_WaterChargeData,ROW()-14,COLUMN()*2-3))</f>
        <v/>
      </c>
      <c r="F97" t="str" cm="1">
        <f>IF(ISBLANK(INDEX(Array_WaterChargeData,ROW()-14,COLUMN()*2-3)),"",INDEX(Array_WaterChargeData,ROW()-14,COLUMN()*2-3))</f>
        <v/>
      </c>
      <c r="G97" t="str" cm="1">
        <f>IF(ISBLANK(INDEX(Array_WaterChargeData,ROW()-14,COLUMN()*2-3)),"",INDEX(Array_WaterChargeData,ROW()-14,COLUMN()*2-3))</f>
        <v/>
      </c>
      <c r="H97" t="str" cm="1">
        <f>IF(ISBLANK(INDEX(Array_WaterChargeData,ROW()-14,COLUMN()*2-3)),"",INDEX(Array_WaterChargeData,ROW()-14,COLUMN()*2-3))</f>
        <v/>
      </c>
      <c r="I97" t="str" cm="1">
        <f>IF(ISBLANK(INDEX(Array_WaterChargeData,ROW()-14,COLUMN()*2-3)),"",INDEX(Array_WaterChargeData,ROW()-14,COLUMN()*2-3))</f>
        <v/>
      </c>
      <c r="J97" t="str" cm="1">
        <f>IF(ISBLANK(INDEX(Array_WaterChargeData,ROW()-14,COLUMN()*2-3)),"",INDEX(Array_WaterChargeData,ROW()-14,COLUMN()*2-3))</f>
        <v/>
      </c>
      <c r="K97" t="str" cm="1">
        <f>IF(ISBLANK(INDEX(Array_WaterChargeData,ROW()-14,COLUMN()*2-3)),"",INDEX(Array_WaterChargeData,ROW()-14,COLUMN()*2-3))</f>
        <v/>
      </c>
    </row>
    <row r="98" spans="1:11" x14ac:dyDescent="0.35">
      <c r="A98" t="str">
        <f>IF('Water Meters'!B86="",A97,'Water Meters'!B86)</f>
        <v>Meter Numbers</v>
      </c>
      <c r="B98" t="str" cm="1">
        <f>IF(ISBLANK(INDEX(Array_WaterChargeData,ROW()-14,COLUMN()*2-3)),"",INDEX(Array_WaterChargeData,ROW()-14,COLUMN()*2-3))</f>
        <v/>
      </c>
      <c r="C98" t="str" cm="1">
        <f>IF(ISBLANK(INDEX(Array_WaterChargeData,ROW()-14,COLUMN()*2-3)),"",INDEX(Array_WaterChargeData,ROW()-14,COLUMN()*2-3))</f>
        <v/>
      </c>
      <c r="D98" t="str" cm="1">
        <f>IF(ISBLANK(INDEX(Array_WaterChargeData,ROW()-14,COLUMN()*2-3)),"",INDEX(Array_WaterChargeData,ROW()-14,COLUMN()*2-3))</f>
        <v/>
      </c>
      <c r="E98" t="str" cm="1">
        <f>IF(ISBLANK(INDEX(Array_WaterChargeData,ROW()-14,COLUMN()*2-3)),"",INDEX(Array_WaterChargeData,ROW()-14,COLUMN()*2-3))</f>
        <v/>
      </c>
      <c r="F98" t="str" cm="1">
        <f>IF(ISBLANK(INDEX(Array_WaterChargeData,ROW()-14,COLUMN()*2-3)),"",INDEX(Array_WaterChargeData,ROW()-14,COLUMN()*2-3))</f>
        <v/>
      </c>
      <c r="G98" t="str" cm="1">
        <f>IF(ISBLANK(INDEX(Array_WaterChargeData,ROW()-14,COLUMN()*2-3)),"",INDEX(Array_WaterChargeData,ROW()-14,COLUMN()*2-3))</f>
        <v/>
      </c>
      <c r="H98" t="str" cm="1">
        <f>IF(ISBLANK(INDEX(Array_WaterChargeData,ROW()-14,COLUMN()*2-3)),"",INDEX(Array_WaterChargeData,ROW()-14,COLUMN()*2-3))</f>
        <v/>
      </c>
      <c r="I98" t="str" cm="1">
        <f>IF(ISBLANK(INDEX(Array_WaterChargeData,ROW()-14,COLUMN()*2-3)),"",INDEX(Array_WaterChargeData,ROW()-14,COLUMN()*2-3))</f>
        <v/>
      </c>
      <c r="J98" t="str" cm="1">
        <f>IF(ISBLANK(INDEX(Array_WaterChargeData,ROW()-14,COLUMN()*2-3)),"",INDEX(Array_WaterChargeData,ROW()-14,COLUMN()*2-3))</f>
        <v/>
      </c>
      <c r="K98" t="str" cm="1">
        <f>IF(ISBLANK(INDEX(Array_WaterChargeData,ROW()-14,COLUMN()*2-3)),"",INDEX(Array_WaterChargeData,ROW()-14,COLUMN()*2-3))</f>
        <v/>
      </c>
    </row>
    <row r="99" spans="1:11" x14ac:dyDescent="0.35">
      <c r="A99" t="str">
        <f>IF('Water Meters'!B87="",A98,'Water Meters'!B87)</f>
        <v>Meter Numbers</v>
      </c>
      <c r="B99" t="str" cm="1">
        <f>IF(ISBLANK(INDEX(Array_WaterChargeData,ROW()-14,COLUMN()*2-3)),"",INDEX(Array_WaterChargeData,ROW()-14,COLUMN()*2-3))</f>
        <v/>
      </c>
      <c r="C99" t="str" cm="1">
        <f>IF(ISBLANK(INDEX(Array_WaterChargeData,ROW()-14,COLUMN()*2-3)),"",INDEX(Array_WaterChargeData,ROW()-14,COLUMN()*2-3))</f>
        <v/>
      </c>
      <c r="D99" t="str" cm="1">
        <f>IF(ISBLANK(INDEX(Array_WaterChargeData,ROW()-14,COLUMN()*2-3)),"",INDEX(Array_WaterChargeData,ROW()-14,COLUMN()*2-3))</f>
        <v/>
      </c>
      <c r="E99" t="str" cm="1">
        <f>IF(ISBLANK(INDEX(Array_WaterChargeData,ROW()-14,COLUMN()*2-3)),"",INDEX(Array_WaterChargeData,ROW()-14,COLUMN()*2-3))</f>
        <v/>
      </c>
      <c r="F99" t="str" cm="1">
        <f>IF(ISBLANK(INDEX(Array_WaterChargeData,ROW()-14,COLUMN()*2-3)),"",INDEX(Array_WaterChargeData,ROW()-14,COLUMN()*2-3))</f>
        <v/>
      </c>
      <c r="G99" t="str" cm="1">
        <f>IF(ISBLANK(INDEX(Array_WaterChargeData,ROW()-14,COLUMN()*2-3)),"",INDEX(Array_WaterChargeData,ROW()-14,COLUMN()*2-3))</f>
        <v/>
      </c>
      <c r="H99" t="str" cm="1">
        <f>IF(ISBLANK(INDEX(Array_WaterChargeData,ROW()-14,COLUMN()*2-3)),"",INDEX(Array_WaterChargeData,ROW()-14,COLUMN()*2-3))</f>
        <v/>
      </c>
      <c r="I99" t="str" cm="1">
        <f>IF(ISBLANK(INDEX(Array_WaterChargeData,ROW()-14,COLUMN()*2-3)),"",INDEX(Array_WaterChargeData,ROW()-14,COLUMN()*2-3))</f>
        <v/>
      </c>
      <c r="J99" t="str" cm="1">
        <f>IF(ISBLANK(INDEX(Array_WaterChargeData,ROW()-14,COLUMN()*2-3)),"",INDEX(Array_WaterChargeData,ROW()-14,COLUMN()*2-3))</f>
        <v/>
      </c>
      <c r="K99" t="str" cm="1">
        <f>IF(ISBLANK(INDEX(Array_WaterChargeData,ROW()-14,COLUMN()*2-3)),"",INDEX(Array_WaterChargeData,ROW()-14,COLUMN()*2-3))</f>
        <v/>
      </c>
    </row>
    <row r="100" spans="1:11" x14ac:dyDescent="0.35">
      <c r="A100" t="str">
        <f>IF('Water Meters'!B88="",A99,'Water Meters'!B88)</f>
        <v>Meter Numbers</v>
      </c>
      <c r="B100" t="str" cm="1">
        <f>IF(ISBLANK(INDEX(Array_WaterChargeData,ROW()-14,COLUMN()*2-3)),"",INDEX(Array_WaterChargeData,ROW()-14,COLUMN()*2-3))</f>
        <v/>
      </c>
      <c r="C100" t="str" cm="1">
        <f>IF(ISBLANK(INDEX(Array_WaterChargeData,ROW()-14,COLUMN()*2-3)),"",INDEX(Array_WaterChargeData,ROW()-14,COLUMN()*2-3))</f>
        <v/>
      </c>
      <c r="D100" t="str" cm="1">
        <f>IF(ISBLANK(INDEX(Array_WaterChargeData,ROW()-14,COLUMN()*2-3)),"",INDEX(Array_WaterChargeData,ROW()-14,COLUMN()*2-3))</f>
        <v/>
      </c>
      <c r="E100" t="str" cm="1">
        <f>IF(ISBLANK(INDEX(Array_WaterChargeData,ROW()-14,COLUMN()*2-3)),"",INDEX(Array_WaterChargeData,ROW()-14,COLUMN()*2-3))</f>
        <v/>
      </c>
      <c r="F100" t="str" cm="1">
        <f>IF(ISBLANK(INDEX(Array_WaterChargeData,ROW()-14,COLUMN()*2-3)),"",INDEX(Array_WaterChargeData,ROW()-14,COLUMN()*2-3))</f>
        <v/>
      </c>
      <c r="G100" t="str" cm="1">
        <f>IF(ISBLANK(INDEX(Array_WaterChargeData,ROW()-14,COLUMN()*2-3)),"",INDEX(Array_WaterChargeData,ROW()-14,COLUMN()*2-3))</f>
        <v/>
      </c>
      <c r="H100" t="str" cm="1">
        <f>IF(ISBLANK(INDEX(Array_WaterChargeData,ROW()-14,COLUMN()*2-3)),"",INDEX(Array_WaterChargeData,ROW()-14,COLUMN()*2-3))</f>
        <v/>
      </c>
      <c r="I100" t="str" cm="1">
        <f>IF(ISBLANK(INDEX(Array_WaterChargeData,ROW()-14,COLUMN()*2-3)),"",INDEX(Array_WaterChargeData,ROW()-14,COLUMN()*2-3))</f>
        <v/>
      </c>
      <c r="J100" t="str" cm="1">
        <f>IF(ISBLANK(INDEX(Array_WaterChargeData,ROW()-14,COLUMN()*2-3)),"",INDEX(Array_WaterChargeData,ROW()-14,COLUMN()*2-3))</f>
        <v/>
      </c>
      <c r="K100" t="str" cm="1">
        <f>IF(ISBLANK(INDEX(Array_WaterChargeData,ROW()-14,COLUMN()*2-3)),"",INDEX(Array_WaterChargeData,ROW()-14,COLUMN()*2-3))</f>
        <v/>
      </c>
    </row>
    <row r="101" spans="1:11" x14ac:dyDescent="0.35">
      <c r="A101" t="str">
        <f>IF('Water Meters'!B89="",A100,'Water Meters'!B89)</f>
        <v>Meter Numbers</v>
      </c>
      <c r="B101" t="str" cm="1">
        <f>IF(ISBLANK(INDEX(Array_WaterChargeData,ROW()-14,COLUMN()*2-3)),"",INDEX(Array_WaterChargeData,ROW()-14,COLUMN()*2-3))</f>
        <v/>
      </c>
      <c r="C101" t="str" cm="1">
        <f>IF(ISBLANK(INDEX(Array_WaterChargeData,ROW()-14,COLUMN()*2-3)),"",INDEX(Array_WaterChargeData,ROW()-14,COLUMN()*2-3))</f>
        <v/>
      </c>
      <c r="D101" t="str" cm="1">
        <f>IF(ISBLANK(INDEX(Array_WaterChargeData,ROW()-14,COLUMN()*2-3)),"",INDEX(Array_WaterChargeData,ROW()-14,COLUMN()*2-3))</f>
        <v/>
      </c>
      <c r="E101" t="str" cm="1">
        <f>IF(ISBLANK(INDEX(Array_WaterChargeData,ROW()-14,COLUMN()*2-3)),"",INDEX(Array_WaterChargeData,ROW()-14,COLUMN()*2-3))</f>
        <v/>
      </c>
      <c r="F101" t="str" cm="1">
        <f>IF(ISBLANK(INDEX(Array_WaterChargeData,ROW()-14,COLUMN()*2-3)),"",INDEX(Array_WaterChargeData,ROW()-14,COLUMN()*2-3))</f>
        <v/>
      </c>
      <c r="G101" t="str" cm="1">
        <f>IF(ISBLANK(INDEX(Array_WaterChargeData,ROW()-14,COLUMN()*2-3)),"",INDEX(Array_WaterChargeData,ROW()-14,COLUMN()*2-3))</f>
        <v/>
      </c>
      <c r="H101" t="str" cm="1">
        <f>IF(ISBLANK(INDEX(Array_WaterChargeData,ROW()-14,COLUMN()*2-3)),"",INDEX(Array_WaterChargeData,ROW()-14,COLUMN()*2-3))</f>
        <v/>
      </c>
      <c r="I101" t="str" cm="1">
        <f>IF(ISBLANK(INDEX(Array_WaterChargeData,ROW()-14,COLUMN()*2-3)),"",INDEX(Array_WaterChargeData,ROW()-14,COLUMN()*2-3))</f>
        <v/>
      </c>
      <c r="J101" t="str" cm="1">
        <f>IF(ISBLANK(INDEX(Array_WaterChargeData,ROW()-14,COLUMN()*2-3)),"",INDEX(Array_WaterChargeData,ROW()-14,COLUMN()*2-3))</f>
        <v/>
      </c>
      <c r="K101" t="str" cm="1">
        <f>IF(ISBLANK(INDEX(Array_WaterChargeData,ROW()-14,COLUMN()*2-3)),"",INDEX(Array_WaterChargeData,ROW()-14,COLUMN()*2-3))</f>
        <v/>
      </c>
    </row>
    <row r="102" spans="1:11" x14ac:dyDescent="0.35">
      <c r="A102" t="str">
        <f>IF('Water Meters'!B90="",A101,'Water Meters'!B90)</f>
        <v>Meter Numbers</v>
      </c>
      <c r="B102" t="str" cm="1">
        <f>IF(ISBLANK(INDEX(Array_WaterChargeData,ROW()-14,COLUMN()*2-3)),"",INDEX(Array_WaterChargeData,ROW()-14,COLUMN()*2-3))</f>
        <v/>
      </c>
      <c r="C102" t="str" cm="1">
        <f>IF(ISBLANK(INDEX(Array_WaterChargeData,ROW()-14,COLUMN()*2-3)),"",INDEX(Array_WaterChargeData,ROW()-14,COLUMN()*2-3))</f>
        <v/>
      </c>
      <c r="D102" t="str" cm="1">
        <f>IF(ISBLANK(INDEX(Array_WaterChargeData,ROW()-14,COLUMN()*2-3)),"",INDEX(Array_WaterChargeData,ROW()-14,COLUMN()*2-3))</f>
        <v/>
      </c>
      <c r="E102" t="str" cm="1">
        <f>IF(ISBLANK(INDEX(Array_WaterChargeData,ROW()-14,COLUMN()*2-3)),"",INDEX(Array_WaterChargeData,ROW()-14,COLUMN()*2-3))</f>
        <v/>
      </c>
      <c r="F102" t="str" cm="1">
        <f>IF(ISBLANK(INDEX(Array_WaterChargeData,ROW()-14,COLUMN()*2-3)),"",INDEX(Array_WaterChargeData,ROW()-14,COLUMN()*2-3))</f>
        <v/>
      </c>
      <c r="G102" t="str" cm="1">
        <f>IF(ISBLANK(INDEX(Array_WaterChargeData,ROW()-14,COLUMN()*2-3)),"",INDEX(Array_WaterChargeData,ROW()-14,COLUMN()*2-3))</f>
        <v/>
      </c>
      <c r="H102" t="str" cm="1">
        <f>IF(ISBLANK(INDEX(Array_WaterChargeData,ROW()-14,COLUMN()*2-3)),"",INDEX(Array_WaterChargeData,ROW()-14,COLUMN()*2-3))</f>
        <v/>
      </c>
      <c r="I102" t="str" cm="1">
        <f>IF(ISBLANK(INDEX(Array_WaterChargeData,ROW()-14,COLUMN()*2-3)),"",INDEX(Array_WaterChargeData,ROW()-14,COLUMN()*2-3))</f>
        <v/>
      </c>
      <c r="J102" t="str" cm="1">
        <f>IF(ISBLANK(INDEX(Array_WaterChargeData,ROW()-14,COLUMN()*2-3)),"",INDEX(Array_WaterChargeData,ROW()-14,COLUMN()*2-3))</f>
        <v/>
      </c>
      <c r="K102" t="str" cm="1">
        <f>IF(ISBLANK(INDEX(Array_WaterChargeData,ROW()-14,COLUMN()*2-3)),"",INDEX(Array_WaterChargeData,ROW()-14,COLUMN()*2-3))</f>
        <v/>
      </c>
    </row>
    <row r="103" spans="1:11" x14ac:dyDescent="0.35">
      <c r="A103" t="str">
        <f>IF('Water Meters'!B91="",A102,'Water Meters'!B91)</f>
        <v>Meter Numbers</v>
      </c>
      <c r="B103" t="str" cm="1">
        <f>IF(ISBLANK(INDEX(Array_WaterChargeData,ROW()-14,COLUMN()*2-3)),"",INDEX(Array_WaterChargeData,ROW()-14,COLUMN()*2-3))</f>
        <v/>
      </c>
      <c r="C103" t="str" cm="1">
        <f>IF(ISBLANK(INDEX(Array_WaterChargeData,ROW()-14,COLUMN()*2-3)),"",INDEX(Array_WaterChargeData,ROW()-14,COLUMN()*2-3))</f>
        <v/>
      </c>
      <c r="D103" t="str" cm="1">
        <f>IF(ISBLANK(INDEX(Array_WaterChargeData,ROW()-14,COLUMN()*2-3)),"",INDEX(Array_WaterChargeData,ROW()-14,COLUMN()*2-3))</f>
        <v/>
      </c>
      <c r="E103" t="str" cm="1">
        <f>IF(ISBLANK(INDEX(Array_WaterChargeData,ROW()-14,COLUMN()*2-3)),"",INDEX(Array_WaterChargeData,ROW()-14,COLUMN()*2-3))</f>
        <v/>
      </c>
      <c r="F103" t="str" cm="1">
        <f>IF(ISBLANK(INDEX(Array_WaterChargeData,ROW()-14,COLUMN()*2-3)),"",INDEX(Array_WaterChargeData,ROW()-14,COLUMN()*2-3))</f>
        <v/>
      </c>
      <c r="G103" t="str" cm="1">
        <f>IF(ISBLANK(INDEX(Array_WaterChargeData,ROW()-14,COLUMN()*2-3)),"",INDEX(Array_WaterChargeData,ROW()-14,COLUMN()*2-3))</f>
        <v/>
      </c>
      <c r="H103" t="str" cm="1">
        <f>IF(ISBLANK(INDEX(Array_WaterChargeData,ROW()-14,COLUMN()*2-3)),"",INDEX(Array_WaterChargeData,ROW()-14,COLUMN()*2-3))</f>
        <v/>
      </c>
      <c r="I103" t="str" cm="1">
        <f>IF(ISBLANK(INDEX(Array_WaterChargeData,ROW()-14,COLUMN()*2-3)),"",INDEX(Array_WaterChargeData,ROW()-14,COLUMN()*2-3))</f>
        <v/>
      </c>
      <c r="J103" t="str" cm="1">
        <f>IF(ISBLANK(INDEX(Array_WaterChargeData,ROW()-14,COLUMN()*2-3)),"",INDEX(Array_WaterChargeData,ROW()-14,COLUMN()*2-3))</f>
        <v/>
      </c>
      <c r="K103" t="str" cm="1">
        <f>IF(ISBLANK(INDEX(Array_WaterChargeData,ROW()-14,COLUMN()*2-3)),"",INDEX(Array_WaterChargeData,ROW()-14,COLUMN()*2-3))</f>
        <v/>
      </c>
    </row>
    <row r="104" spans="1:11" x14ac:dyDescent="0.35">
      <c r="A104" t="str">
        <f>IF('Water Meters'!B92="",A103,'Water Meters'!B92)</f>
        <v>Meter Numbers</v>
      </c>
      <c r="B104" t="str" cm="1">
        <f>IF(ISBLANK(INDEX(Array_WaterChargeData,ROW()-14,COLUMN()*2-3)),"",INDEX(Array_WaterChargeData,ROW()-14,COLUMN()*2-3))</f>
        <v/>
      </c>
      <c r="C104" t="str" cm="1">
        <f>IF(ISBLANK(INDEX(Array_WaterChargeData,ROW()-14,COLUMN()*2-3)),"",INDEX(Array_WaterChargeData,ROW()-14,COLUMN()*2-3))</f>
        <v/>
      </c>
      <c r="D104" t="str" cm="1">
        <f>IF(ISBLANK(INDEX(Array_WaterChargeData,ROW()-14,COLUMN()*2-3)),"",INDEX(Array_WaterChargeData,ROW()-14,COLUMN()*2-3))</f>
        <v/>
      </c>
      <c r="E104" t="str" cm="1">
        <f>IF(ISBLANK(INDEX(Array_WaterChargeData,ROW()-14,COLUMN()*2-3)),"",INDEX(Array_WaterChargeData,ROW()-14,COLUMN()*2-3))</f>
        <v/>
      </c>
      <c r="F104" t="str" cm="1">
        <f>IF(ISBLANK(INDEX(Array_WaterChargeData,ROW()-14,COLUMN()*2-3)),"",INDEX(Array_WaterChargeData,ROW()-14,COLUMN()*2-3))</f>
        <v/>
      </c>
      <c r="G104" t="str" cm="1">
        <f>IF(ISBLANK(INDEX(Array_WaterChargeData,ROW()-14,COLUMN()*2-3)),"",INDEX(Array_WaterChargeData,ROW()-14,COLUMN()*2-3))</f>
        <v/>
      </c>
      <c r="H104" t="str" cm="1">
        <f>IF(ISBLANK(INDEX(Array_WaterChargeData,ROW()-14,COLUMN()*2-3)),"",INDEX(Array_WaterChargeData,ROW()-14,COLUMN()*2-3))</f>
        <v/>
      </c>
      <c r="I104" t="str" cm="1">
        <f>IF(ISBLANK(INDEX(Array_WaterChargeData,ROW()-14,COLUMN()*2-3)),"",INDEX(Array_WaterChargeData,ROW()-14,COLUMN()*2-3))</f>
        <v/>
      </c>
      <c r="J104" t="str" cm="1">
        <f>IF(ISBLANK(INDEX(Array_WaterChargeData,ROW()-14,COLUMN()*2-3)),"",INDEX(Array_WaterChargeData,ROW()-14,COLUMN()*2-3))</f>
        <v/>
      </c>
      <c r="K104" t="str" cm="1">
        <f>IF(ISBLANK(INDEX(Array_WaterChargeData,ROW()-14,COLUMN()*2-3)),"",INDEX(Array_WaterChargeData,ROW()-14,COLUMN()*2-3))</f>
        <v/>
      </c>
    </row>
    <row r="105" spans="1:11" x14ac:dyDescent="0.35">
      <c r="A105" t="str">
        <f>IF('Water Meters'!B93="",A104,'Water Meters'!B93)</f>
        <v>Meter Numbers</v>
      </c>
      <c r="B105" t="str" cm="1">
        <f>IF(ISBLANK(INDEX(Array_WaterChargeData,ROW()-14,COLUMN()*2-3)),"",INDEX(Array_WaterChargeData,ROW()-14,COLUMN()*2-3))</f>
        <v/>
      </c>
      <c r="C105" t="str" cm="1">
        <f>IF(ISBLANK(INDEX(Array_WaterChargeData,ROW()-14,COLUMN()*2-3)),"",INDEX(Array_WaterChargeData,ROW()-14,COLUMN()*2-3))</f>
        <v/>
      </c>
      <c r="D105" t="str" cm="1">
        <f>IF(ISBLANK(INDEX(Array_WaterChargeData,ROW()-14,COLUMN()*2-3)),"",INDEX(Array_WaterChargeData,ROW()-14,COLUMN()*2-3))</f>
        <v/>
      </c>
      <c r="E105" t="str" cm="1">
        <f>IF(ISBLANK(INDEX(Array_WaterChargeData,ROW()-14,COLUMN()*2-3)),"",INDEX(Array_WaterChargeData,ROW()-14,COLUMN()*2-3))</f>
        <v/>
      </c>
      <c r="F105" t="str" cm="1">
        <f>IF(ISBLANK(INDEX(Array_WaterChargeData,ROW()-14,COLUMN()*2-3)),"",INDEX(Array_WaterChargeData,ROW()-14,COLUMN()*2-3))</f>
        <v/>
      </c>
      <c r="G105" t="str" cm="1">
        <f>IF(ISBLANK(INDEX(Array_WaterChargeData,ROW()-14,COLUMN()*2-3)),"",INDEX(Array_WaterChargeData,ROW()-14,COLUMN()*2-3))</f>
        <v/>
      </c>
      <c r="H105" t="str" cm="1">
        <f>IF(ISBLANK(INDEX(Array_WaterChargeData,ROW()-14,COLUMN()*2-3)),"",INDEX(Array_WaterChargeData,ROW()-14,COLUMN()*2-3))</f>
        <v/>
      </c>
      <c r="I105" t="str" cm="1">
        <f>IF(ISBLANK(INDEX(Array_WaterChargeData,ROW()-14,COLUMN()*2-3)),"",INDEX(Array_WaterChargeData,ROW()-14,COLUMN()*2-3))</f>
        <v/>
      </c>
      <c r="J105" t="str" cm="1">
        <f>IF(ISBLANK(INDEX(Array_WaterChargeData,ROW()-14,COLUMN()*2-3)),"",INDEX(Array_WaterChargeData,ROW()-14,COLUMN()*2-3))</f>
        <v/>
      </c>
      <c r="K105" t="str" cm="1">
        <f>IF(ISBLANK(INDEX(Array_WaterChargeData,ROW()-14,COLUMN()*2-3)),"",INDEX(Array_WaterChargeData,ROW()-14,COLUMN()*2-3))</f>
        <v/>
      </c>
    </row>
    <row r="106" spans="1:11" x14ac:dyDescent="0.35">
      <c r="A106" t="str">
        <f>IF('Water Meters'!B94="",A105,'Water Meters'!B94)</f>
        <v>Meter Numbers</v>
      </c>
      <c r="B106" t="str" cm="1">
        <f>IF(ISBLANK(INDEX(Array_WaterChargeData,ROW()-14,COLUMN()*2-3)),"",INDEX(Array_WaterChargeData,ROW()-14,COLUMN()*2-3))</f>
        <v/>
      </c>
      <c r="C106" t="str" cm="1">
        <f>IF(ISBLANK(INDEX(Array_WaterChargeData,ROW()-14,COLUMN()*2-3)),"",INDEX(Array_WaterChargeData,ROW()-14,COLUMN()*2-3))</f>
        <v/>
      </c>
      <c r="D106" t="str" cm="1">
        <f>IF(ISBLANK(INDEX(Array_WaterChargeData,ROW()-14,COLUMN()*2-3)),"",INDEX(Array_WaterChargeData,ROW()-14,COLUMN()*2-3))</f>
        <v/>
      </c>
      <c r="E106" t="str" cm="1">
        <f>IF(ISBLANK(INDEX(Array_WaterChargeData,ROW()-14,COLUMN()*2-3)),"",INDEX(Array_WaterChargeData,ROW()-14,COLUMN()*2-3))</f>
        <v/>
      </c>
      <c r="F106" t="str" cm="1">
        <f>IF(ISBLANK(INDEX(Array_WaterChargeData,ROW()-14,COLUMN()*2-3)),"",INDEX(Array_WaterChargeData,ROW()-14,COLUMN()*2-3))</f>
        <v/>
      </c>
      <c r="G106" t="str" cm="1">
        <f>IF(ISBLANK(INDEX(Array_WaterChargeData,ROW()-14,COLUMN()*2-3)),"",INDEX(Array_WaterChargeData,ROW()-14,COLUMN()*2-3))</f>
        <v/>
      </c>
      <c r="H106" t="str" cm="1">
        <f>IF(ISBLANK(INDEX(Array_WaterChargeData,ROW()-14,COLUMN()*2-3)),"",INDEX(Array_WaterChargeData,ROW()-14,COLUMN()*2-3))</f>
        <v/>
      </c>
      <c r="I106" t="str" cm="1">
        <f>IF(ISBLANK(INDEX(Array_WaterChargeData,ROW()-14,COLUMN()*2-3)),"",INDEX(Array_WaterChargeData,ROW()-14,COLUMN()*2-3))</f>
        <v/>
      </c>
      <c r="J106" t="str" cm="1">
        <f>IF(ISBLANK(INDEX(Array_WaterChargeData,ROW()-14,COLUMN()*2-3)),"",INDEX(Array_WaterChargeData,ROW()-14,COLUMN()*2-3))</f>
        <v/>
      </c>
      <c r="K106" t="str" cm="1">
        <f>IF(ISBLANK(INDEX(Array_WaterChargeData,ROW()-14,COLUMN()*2-3)),"",INDEX(Array_WaterChargeData,ROW()-14,COLUMN()*2-3))</f>
        <v/>
      </c>
    </row>
    <row r="107" spans="1:11" x14ac:dyDescent="0.35">
      <c r="A107" t="str">
        <f>IF('Water Meters'!B95="",A106,'Water Meters'!B95)</f>
        <v>Meter Numbers</v>
      </c>
      <c r="B107" t="str" cm="1">
        <f>IF(ISBLANK(INDEX(Array_WaterChargeData,ROW()-14,COLUMN()*2-3)),"",INDEX(Array_WaterChargeData,ROW()-14,COLUMN()*2-3))</f>
        <v/>
      </c>
      <c r="C107" t="str" cm="1">
        <f>IF(ISBLANK(INDEX(Array_WaterChargeData,ROW()-14,COLUMN()*2-3)),"",INDEX(Array_WaterChargeData,ROW()-14,COLUMN()*2-3))</f>
        <v/>
      </c>
      <c r="D107" t="str" cm="1">
        <f>IF(ISBLANK(INDEX(Array_WaterChargeData,ROW()-14,COLUMN()*2-3)),"",INDEX(Array_WaterChargeData,ROW()-14,COLUMN()*2-3))</f>
        <v/>
      </c>
      <c r="E107" t="str" cm="1">
        <f>IF(ISBLANK(INDEX(Array_WaterChargeData,ROW()-14,COLUMN()*2-3)),"",INDEX(Array_WaterChargeData,ROW()-14,COLUMN()*2-3))</f>
        <v/>
      </c>
      <c r="F107" t="str" cm="1">
        <f>IF(ISBLANK(INDEX(Array_WaterChargeData,ROW()-14,COLUMN()*2-3)),"",INDEX(Array_WaterChargeData,ROW()-14,COLUMN()*2-3))</f>
        <v/>
      </c>
      <c r="G107" t="str" cm="1">
        <f>IF(ISBLANK(INDEX(Array_WaterChargeData,ROW()-14,COLUMN()*2-3)),"",INDEX(Array_WaterChargeData,ROW()-14,COLUMN()*2-3))</f>
        <v/>
      </c>
      <c r="H107" t="str" cm="1">
        <f>IF(ISBLANK(INDEX(Array_WaterChargeData,ROW()-14,COLUMN()*2-3)),"",INDEX(Array_WaterChargeData,ROW()-14,COLUMN()*2-3))</f>
        <v/>
      </c>
      <c r="I107" t="str" cm="1">
        <f>IF(ISBLANK(INDEX(Array_WaterChargeData,ROW()-14,COLUMN()*2-3)),"",INDEX(Array_WaterChargeData,ROW()-14,COLUMN()*2-3))</f>
        <v/>
      </c>
      <c r="J107" t="str" cm="1">
        <f>IF(ISBLANK(INDEX(Array_WaterChargeData,ROW()-14,COLUMN()*2-3)),"",INDEX(Array_WaterChargeData,ROW()-14,COLUMN()*2-3))</f>
        <v/>
      </c>
      <c r="K107" t="str" cm="1">
        <f>IF(ISBLANK(INDEX(Array_WaterChargeData,ROW()-14,COLUMN()*2-3)),"",INDEX(Array_WaterChargeData,ROW()-14,COLUMN()*2-3))</f>
        <v/>
      </c>
    </row>
    <row r="108" spans="1:11" x14ac:dyDescent="0.35">
      <c r="A108" t="str">
        <f>IF('Water Meters'!B96="",A107,'Water Meters'!B96)</f>
        <v>Meter Numbers</v>
      </c>
      <c r="B108" t="str" cm="1">
        <f>IF(ISBLANK(INDEX(Array_WaterChargeData,ROW()-14,COLUMN()*2-3)),"",INDEX(Array_WaterChargeData,ROW()-14,COLUMN()*2-3))</f>
        <v/>
      </c>
      <c r="C108" t="str" cm="1">
        <f>IF(ISBLANK(INDEX(Array_WaterChargeData,ROW()-14,COLUMN()*2-3)),"",INDEX(Array_WaterChargeData,ROW()-14,COLUMN()*2-3))</f>
        <v/>
      </c>
      <c r="D108" t="str" cm="1">
        <f>IF(ISBLANK(INDEX(Array_WaterChargeData,ROW()-14,COLUMN()*2-3)),"",INDEX(Array_WaterChargeData,ROW()-14,COLUMN()*2-3))</f>
        <v/>
      </c>
      <c r="E108" t="str" cm="1">
        <f>IF(ISBLANK(INDEX(Array_WaterChargeData,ROW()-14,COLUMN()*2-3)),"",INDEX(Array_WaterChargeData,ROW()-14,COLUMN()*2-3))</f>
        <v/>
      </c>
      <c r="F108" t="str" cm="1">
        <f>IF(ISBLANK(INDEX(Array_WaterChargeData,ROW()-14,COLUMN()*2-3)),"",INDEX(Array_WaterChargeData,ROW()-14,COLUMN()*2-3))</f>
        <v/>
      </c>
      <c r="G108" t="str" cm="1">
        <f>IF(ISBLANK(INDEX(Array_WaterChargeData,ROW()-14,COLUMN()*2-3)),"",INDEX(Array_WaterChargeData,ROW()-14,COLUMN()*2-3))</f>
        <v/>
      </c>
      <c r="H108" t="str" cm="1">
        <f>IF(ISBLANK(INDEX(Array_WaterChargeData,ROW()-14,COLUMN()*2-3)),"",INDEX(Array_WaterChargeData,ROW()-14,COLUMN()*2-3))</f>
        <v/>
      </c>
      <c r="I108" t="str" cm="1">
        <f>IF(ISBLANK(INDEX(Array_WaterChargeData,ROW()-14,COLUMN()*2-3)),"",INDEX(Array_WaterChargeData,ROW()-14,COLUMN()*2-3))</f>
        <v/>
      </c>
      <c r="J108" t="str" cm="1">
        <f>IF(ISBLANK(INDEX(Array_WaterChargeData,ROW()-14,COLUMN()*2-3)),"",INDEX(Array_WaterChargeData,ROW()-14,COLUMN()*2-3))</f>
        <v/>
      </c>
      <c r="K108" t="str" cm="1">
        <f>IF(ISBLANK(INDEX(Array_WaterChargeData,ROW()-14,COLUMN()*2-3)),"",INDEX(Array_WaterChargeData,ROW()-14,COLUMN()*2-3))</f>
        <v/>
      </c>
    </row>
    <row r="109" spans="1:11" x14ac:dyDescent="0.35">
      <c r="A109" t="str">
        <f>IF('Water Meters'!B97="",A108,'Water Meters'!B97)</f>
        <v>Meter Numbers</v>
      </c>
      <c r="B109" t="str" cm="1">
        <f>IF(ISBLANK(INDEX(Array_WaterChargeData,ROW()-14,COLUMN()*2-3)),"",INDEX(Array_WaterChargeData,ROW()-14,COLUMN()*2-3))</f>
        <v/>
      </c>
      <c r="C109" t="str" cm="1">
        <f>IF(ISBLANK(INDEX(Array_WaterChargeData,ROW()-14,COLUMN()*2-3)),"",INDEX(Array_WaterChargeData,ROW()-14,COLUMN()*2-3))</f>
        <v/>
      </c>
      <c r="D109" t="str" cm="1">
        <f>IF(ISBLANK(INDEX(Array_WaterChargeData,ROW()-14,COLUMN()*2-3)),"",INDEX(Array_WaterChargeData,ROW()-14,COLUMN()*2-3))</f>
        <v/>
      </c>
      <c r="E109" t="str" cm="1">
        <f>IF(ISBLANK(INDEX(Array_WaterChargeData,ROW()-14,COLUMN()*2-3)),"",INDEX(Array_WaterChargeData,ROW()-14,COLUMN()*2-3))</f>
        <v/>
      </c>
      <c r="F109" t="str" cm="1">
        <f>IF(ISBLANK(INDEX(Array_WaterChargeData,ROW()-14,COLUMN()*2-3)),"",INDEX(Array_WaterChargeData,ROW()-14,COLUMN()*2-3))</f>
        <v/>
      </c>
      <c r="G109" t="str" cm="1">
        <f>IF(ISBLANK(INDEX(Array_WaterChargeData,ROW()-14,COLUMN()*2-3)),"",INDEX(Array_WaterChargeData,ROW()-14,COLUMN()*2-3))</f>
        <v/>
      </c>
      <c r="H109" t="str" cm="1">
        <f>IF(ISBLANK(INDEX(Array_WaterChargeData,ROW()-14,COLUMN()*2-3)),"",INDEX(Array_WaterChargeData,ROW()-14,COLUMN()*2-3))</f>
        <v/>
      </c>
      <c r="I109" t="str" cm="1">
        <f>IF(ISBLANK(INDEX(Array_WaterChargeData,ROW()-14,COLUMN()*2-3)),"",INDEX(Array_WaterChargeData,ROW()-14,COLUMN()*2-3))</f>
        <v/>
      </c>
      <c r="J109" t="str" cm="1">
        <f>IF(ISBLANK(INDEX(Array_WaterChargeData,ROW()-14,COLUMN()*2-3)),"",INDEX(Array_WaterChargeData,ROW()-14,COLUMN()*2-3))</f>
        <v/>
      </c>
      <c r="K109" t="str" cm="1">
        <f>IF(ISBLANK(INDEX(Array_WaterChargeData,ROW()-14,COLUMN()*2-3)),"",INDEX(Array_WaterChargeData,ROW()-14,COLUMN()*2-3))</f>
        <v/>
      </c>
    </row>
    <row r="110" spans="1:11" x14ac:dyDescent="0.35">
      <c r="A110" t="str">
        <f>IF('Water Meters'!B98="",A109,'Water Meters'!B98)</f>
        <v>Meter Numbers</v>
      </c>
      <c r="B110" t="str" cm="1">
        <f>IF(ISBLANK(INDEX(Array_WaterChargeData,ROW()-14,COLUMN()*2-3)),"",INDEX(Array_WaterChargeData,ROW()-14,COLUMN()*2-3))</f>
        <v/>
      </c>
      <c r="C110" t="str" cm="1">
        <f>IF(ISBLANK(INDEX(Array_WaterChargeData,ROW()-14,COLUMN()*2-3)),"",INDEX(Array_WaterChargeData,ROW()-14,COLUMN()*2-3))</f>
        <v/>
      </c>
      <c r="D110" t="str" cm="1">
        <f>IF(ISBLANK(INDEX(Array_WaterChargeData,ROW()-14,COLUMN()*2-3)),"",INDEX(Array_WaterChargeData,ROW()-14,COLUMN()*2-3))</f>
        <v/>
      </c>
      <c r="E110" t="str" cm="1">
        <f>IF(ISBLANK(INDEX(Array_WaterChargeData,ROW()-14,COLUMN()*2-3)),"",INDEX(Array_WaterChargeData,ROW()-14,COLUMN()*2-3))</f>
        <v/>
      </c>
      <c r="F110" t="str" cm="1">
        <f>IF(ISBLANK(INDEX(Array_WaterChargeData,ROW()-14,COLUMN()*2-3)),"",INDEX(Array_WaterChargeData,ROW()-14,COLUMN()*2-3))</f>
        <v/>
      </c>
      <c r="G110" t="str" cm="1">
        <f>IF(ISBLANK(INDEX(Array_WaterChargeData,ROW()-14,COLUMN()*2-3)),"",INDEX(Array_WaterChargeData,ROW()-14,COLUMN()*2-3))</f>
        <v/>
      </c>
      <c r="H110" t="str" cm="1">
        <f>IF(ISBLANK(INDEX(Array_WaterChargeData,ROW()-14,COLUMN()*2-3)),"",INDEX(Array_WaterChargeData,ROW()-14,COLUMN()*2-3))</f>
        <v/>
      </c>
      <c r="I110" t="str" cm="1">
        <f>IF(ISBLANK(INDEX(Array_WaterChargeData,ROW()-14,COLUMN()*2-3)),"",INDEX(Array_WaterChargeData,ROW()-14,COLUMN()*2-3))</f>
        <v/>
      </c>
      <c r="J110" t="str" cm="1">
        <f>IF(ISBLANK(INDEX(Array_WaterChargeData,ROW()-14,COLUMN()*2-3)),"",INDEX(Array_WaterChargeData,ROW()-14,COLUMN()*2-3))</f>
        <v/>
      </c>
      <c r="K110" t="str" cm="1">
        <f>IF(ISBLANK(INDEX(Array_WaterChargeData,ROW()-14,COLUMN()*2-3)),"",INDEX(Array_WaterChargeData,ROW()-14,COLUMN()*2-3))</f>
        <v/>
      </c>
    </row>
    <row r="111" spans="1:11" x14ac:dyDescent="0.35">
      <c r="A111" t="str">
        <f>IF('Water Meters'!B99="",A110,'Water Meters'!B99)</f>
        <v>Meter Numbers</v>
      </c>
      <c r="B111" t="str" cm="1">
        <f>IF(ISBLANK(INDEX(Array_WaterChargeData,ROW()-14,COLUMN()*2-3)),"",INDEX(Array_WaterChargeData,ROW()-14,COLUMN()*2-3))</f>
        <v/>
      </c>
      <c r="C111" t="str" cm="1">
        <f>IF(ISBLANK(INDEX(Array_WaterChargeData,ROW()-14,COLUMN()*2-3)),"",INDEX(Array_WaterChargeData,ROW()-14,COLUMN()*2-3))</f>
        <v/>
      </c>
      <c r="D111" t="str" cm="1">
        <f>IF(ISBLANK(INDEX(Array_WaterChargeData,ROW()-14,COLUMN()*2-3)),"",INDEX(Array_WaterChargeData,ROW()-14,COLUMN()*2-3))</f>
        <v/>
      </c>
      <c r="E111" t="str" cm="1">
        <f>IF(ISBLANK(INDEX(Array_WaterChargeData,ROW()-14,COLUMN()*2-3)),"",INDEX(Array_WaterChargeData,ROW()-14,COLUMN()*2-3))</f>
        <v/>
      </c>
      <c r="F111" t="str" cm="1">
        <f>IF(ISBLANK(INDEX(Array_WaterChargeData,ROW()-14,COLUMN()*2-3)),"",INDEX(Array_WaterChargeData,ROW()-14,COLUMN()*2-3))</f>
        <v/>
      </c>
      <c r="G111" t="str" cm="1">
        <f>IF(ISBLANK(INDEX(Array_WaterChargeData,ROW()-14,COLUMN()*2-3)),"",INDEX(Array_WaterChargeData,ROW()-14,COLUMN()*2-3))</f>
        <v/>
      </c>
      <c r="H111" t="str" cm="1">
        <f>IF(ISBLANK(INDEX(Array_WaterChargeData,ROW()-14,COLUMN()*2-3)),"",INDEX(Array_WaterChargeData,ROW()-14,COLUMN()*2-3))</f>
        <v/>
      </c>
      <c r="I111" t="str" cm="1">
        <f>IF(ISBLANK(INDEX(Array_WaterChargeData,ROW()-14,COLUMN()*2-3)),"",INDEX(Array_WaterChargeData,ROW()-14,COLUMN()*2-3))</f>
        <v/>
      </c>
      <c r="J111" t="str" cm="1">
        <f>IF(ISBLANK(INDEX(Array_WaterChargeData,ROW()-14,COLUMN()*2-3)),"",INDEX(Array_WaterChargeData,ROW()-14,COLUMN()*2-3))</f>
        <v/>
      </c>
      <c r="K111" t="str" cm="1">
        <f>IF(ISBLANK(INDEX(Array_WaterChargeData,ROW()-14,COLUMN()*2-3)),"",INDEX(Array_WaterChargeData,ROW()-14,COLUMN()*2-3))</f>
        <v/>
      </c>
    </row>
    <row r="112" spans="1:11" x14ac:dyDescent="0.35">
      <c r="A112" t="str">
        <f>IF('Water Meters'!B100="",A111,'Water Meters'!B100)</f>
        <v>Meter Numbers</v>
      </c>
      <c r="B112" t="str" cm="1">
        <f>IF(ISBLANK(INDEX(Array_WaterChargeData,ROW()-14,COLUMN()*2-3)),"",INDEX(Array_WaterChargeData,ROW()-14,COLUMN()*2-3))</f>
        <v/>
      </c>
      <c r="C112" t="str" cm="1">
        <f>IF(ISBLANK(INDEX(Array_WaterChargeData,ROW()-14,COLUMN()*2-3)),"",INDEX(Array_WaterChargeData,ROW()-14,COLUMN()*2-3))</f>
        <v/>
      </c>
      <c r="D112" t="str" cm="1">
        <f>IF(ISBLANK(INDEX(Array_WaterChargeData,ROW()-14,COLUMN()*2-3)),"",INDEX(Array_WaterChargeData,ROW()-14,COLUMN()*2-3))</f>
        <v/>
      </c>
      <c r="E112" t="str" cm="1">
        <f>IF(ISBLANK(INDEX(Array_WaterChargeData,ROW()-14,COLUMN()*2-3)),"",INDEX(Array_WaterChargeData,ROW()-14,COLUMN()*2-3))</f>
        <v/>
      </c>
      <c r="F112" t="str" cm="1">
        <f>IF(ISBLANK(INDEX(Array_WaterChargeData,ROW()-14,COLUMN()*2-3)),"",INDEX(Array_WaterChargeData,ROW()-14,COLUMN()*2-3))</f>
        <v/>
      </c>
      <c r="G112" t="str" cm="1">
        <f>IF(ISBLANK(INDEX(Array_WaterChargeData,ROW()-14,COLUMN()*2-3)),"",INDEX(Array_WaterChargeData,ROW()-14,COLUMN()*2-3))</f>
        <v/>
      </c>
      <c r="H112" t="str" cm="1">
        <f>IF(ISBLANK(INDEX(Array_WaterChargeData,ROW()-14,COLUMN()*2-3)),"",INDEX(Array_WaterChargeData,ROW()-14,COLUMN()*2-3))</f>
        <v/>
      </c>
      <c r="I112" t="str" cm="1">
        <f>IF(ISBLANK(INDEX(Array_WaterChargeData,ROW()-14,COLUMN()*2-3)),"",INDEX(Array_WaterChargeData,ROW()-14,COLUMN()*2-3))</f>
        <v/>
      </c>
      <c r="J112" t="str" cm="1">
        <f>IF(ISBLANK(INDEX(Array_WaterChargeData,ROW()-14,COLUMN()*2-3)),"",INDEX(Array_WaterChargeData,ROW()-14,COLUMN()*2-3))</f>
        <v/>
      </c>
      <c r="K112" t="str" cm="1">
        <f>IF(ISBLANK(INDEX(Array_WaterChargeData,ROW()-14,COLUMN()*2-3)),"",INDEX(Array_WaterChargeData,ROW()-14,COLUMN()*2-3))</f>
        <v/>
      </c>
    </row>
    <row r="113" spans="1:11" x14ac:dyDescent="0.35">
      <c r="A113" t="str">
        <f>IF('Water Meters'!B101="",A112,'Water Meters'!B101)</f>
        <v>Meter Numbers</v>
      </c>
      <c r="B113" t="str" cm="1">
        <f>IF(ISBLANK(INDEX(Array_WaterChargeData,ROW()-14,COLUMN()*2-3)),"",INDEX(Array_WaterChargeData,ROW()-14,COLUMN()*2-3))</f>
        <v/>
      </c>
      <c r="C113" t="str" cm="1">
        <f>IF(ISBLANK(INDEX(Array_WaterChargeData,ROW()-14,COLUMN()*2-3)),"",INDEX(Array_WaterChargeData,ROW()-14,COLUMN()*2-3))</f>
        <v/>
      </c>
      <c r="D113" t="str" cm="1">
        <f>IF(ISBLANK(INDEX(Array_WaterChargeData,ROW()-14,COLUMN()*2-3)),"",INDEX(Array_WaterChargeData,ROW()-14,COLUMN()*2-3))</f>
        <v/>
      </c>
      <c r="E113" t="str" cm="1">
        <f>IF(ISBLANK(INDEX(Array_WaterChargeData,ROW()-14,COLUMN()*2-3)),"",INDEX(Array_WaterChargeData,ROW()-14,COLUMN()*2-3))</f>
        <v/>
      </c>
      <c r="F113" t="str" cm="1">
        <f>IF(ISBLANK(INDEX(Array_WaterChargeData,ROW()-14,COLUMN()*2-3)),"",INDEX(Array_WaterChargeData,ROW()-14,COLUMN()*2-3))</f>
        <v/>
      </c>
      <c r="G113" t="str" cm="1">
        <f>IF(ISBLANK(INDEX(Array_WaterChargeData,ROW()-14,COLUMN()*2-3)),"",INDEX(Array_WaterChargeData,ROW()-14,COLUMN()*2-3))</f>
        <v/>
      </c>
      <c r="H113" t="str" cm="1">
        <f>IF(ISBLANK(INDEX(Array_WaterChargeData,ROW()-14,COLUMN()*2-3)),"",INDEX(Array_WaterChargeData,ROW()-14,COLUMN()*2-3))</f>
        <v/>
      </c>
      <c r="I113" t="str" cm="1">
        <f>IF(ISBLANK(INDEX(Array_WaterChargeData,ROW()-14,COLUMN()*2-3)),"",INDEX(Array_WaterChargeData,ROW()-14,COLUMN()*2-3))</f>
        <v/>
      </c>
      <c r="J113" t="str" cm="1">
        <f>IF(ISBLANK(INDEX(Array_WaterChargeData,ROW()-14,COLUMN()*2-3)),"",INDEX(Array_WaterChargeData,ROW()-14,COLUMN()*2-3))</f>
        <v/>
      </c>
      <c r="K113" t="str" cm="1">
        <f>IF(ISBLANK(INDEX(Array_WaterChargeData,ROW()-14,COLUMN()*2-3)),"",INDEX(Array_WaterChargeData,ROW()-14,COLUMN()*2-3))</f>
        <v/>
      </c>
    </row>
    <row r="114" spans="1:11" x14ac:dyDescent="0.35">
      <c r="A114" t="str">
        <f>IF('Water Meters'!B102="",A113,'Water Meters'!B102)</f>
        <v>Meter Numbers</v>
      </c>
      <c r="B114" t="str" cm="1">
        <f>IF(ISBLANK(INDEX(Array_WaterChargeData,ROW()-14,COLUMN()*2-3)),"",INDEX(Array_WaterChargeData,ROW()-14,COLUMN()*2-3))</f>
        <v/>
      </c>
      <c r="C114" t="str" cm="1">
        <f>IF(ISBLANK(INDEX(Array_WaterChargeData,ROW()-14,COLUMN()*2-3)),"",INDEX(Array_WaterChargeData,ROW()-14,COLUMN()*2-3))</f>
        <v/>
      </c>
      <c r="D114" t="str" cm="1">
        <f>IF(ISBLANK(INDEX(Array_WaterChargeData,ROW()-14,COLUMN()*2-3)),"",INDEX(Array_WaterChargeData,ROW()-14,COLUMN()*2-3))</f>
        <v/>
      </c>
      <c r="E114" t="str" cm="1">
        <f>IF(ISBLANK(INDEX(Array_WaterChargeData,ROW()-14,COLUMN()*2-3)),"",INDEX(Array_WaterChargeData,ROW()-14,COLUMN()*2-3))</f>
        <v/>
      </c>
      <c r="F114" t="str" cm="1">
        <f>IF(ISBLANK(INDEX(Array_WaterChargeData,ROW()-14,COLUMN()*2-3)),"",INDEX(Array_WaterChargeData,ROW()-14,COLUMN()*2-3))</f>
        <v/>
      </c>
      <c r="G114" t="str" cm="1">
        <f>IF(ISBLANK(INDEX(Array_WaterChargeData,ROW()-14,COLUMN()*2-3)),"",INDEX(Array_WaterChargeData,ROW()-14,COLUMN()*2-3))</f>
        <v/>
      </c>
      <c r="H114" t="str" cm="1">
        <f>IF(ISBLANK(INDEX(Array_WaterChargeData,ROW()-14,COLUMN()*2-3)),"",INDEX(Array_WaterChargeData,ROW()-14,COLUMN()*2-3))</f>
        <v/>
      </c>
      <c r="I114" t="str" cm="1">
        <f>IF(ISBLANK(INDEX(Array_WaterChargeData,ROW()-14,COLUMN()*2-3)),"",INDEX(Array_WaterChargeData,ROW()-14,COLUMN()*2-3))</f>
        <v/>
      </c>
      <c r="J114" t="str" cm="1">
        <f>IF(ISBLANK(INDEX(Array_WaterChargeData,ROW()-14,COLUMN()*2-3)),"",INDEX(Array_WaterChargeData,ROW()-14,COLUMN()*2-3))</f>
        <v/>
      </c>
      <c r="K114" t="str" cm="1">
        <f>IF(ISBLANK(INDEX(Array_WaterChargeData,ROW()-14,COLUMN()*2-3)),"",INDEX(Array_WaterChargeData,ROW()-14,COLUMN()*2-3))</f>
        <v/>
      </c>
    </row>
    <row r="115" spans="1:11" x14ac:dyDescent="0.35">
      <c r="A115" t="str">
        <f>IF('Water Meters'!B103="",A114,'Water Meters'!B103)</f>
        <v>Meter Numbers</v>
      </c>
      <c r="B115" t="str" cm="1">
        <f>IF(ISBLANK(INDEX(Array_WaterChargeData,ROW()-14,COLUMN()*2-3)),"",INDEX(Array_WaterChargeData,ROW()-14,COLUMN()*2-3))</f>
        <v/>
      </c>
      <c r="C115" t="str" cm="1">
        <f>IF(ISBLANK(INDEX(Array_WaterChargeData,ROW()-14,COLUMN()*2-3)),"",INDEX(Array_WaterChargeData,ROW()-14,COLUMN()*2-3))</f>
        <v/>
      </c>
      <c r="D115" t="str" cm="1">
        <f>IF(ISBLANK(INDEX(Array_WaterChargeData,ROW()-14,COLUMN()*2-3)),"",INDEX(Array_WaterChargeData,ROW()-14,COLUMN()*2-3))</f>
        <v/>
      </c>
      <c r="E115" t="str" cm="1">
        <f>IF(ISBLANK(INDEX(Array_WaterChargeData,ROW()-14,COLUMN()*2-3)),"",INDEX(Array_WaterChargeData,ROW()-14,COLUMN()*2-3))</f>
        <v/>
      </c>
      <c r="F115" t="str" cm="1">
        <f>IF(ISBLANK(INDEX(Array_WaterChargeData,ROW()-14,COLUMN()*2-3)),"",INDEX(Array_WaterChargeData,ROW()-14,COLUMN()*2-3))</f>
        <v/>
      </c>
      <c r="G115" t="str" cm="1">
        <f>IF(ISBLANK(INDEX(Array_WaterChargeData,ROW()-14,COLUMN()*2-3)),"",INDEX(Array_WaterChargeData,ROW()-14,COLUMN()*2-3))</f>
        <v/>
      </c>
      <c r="H115" t="str" cm="1">
        <f>IF(ISBLANK(INDEX(Array_WaterChargeData,ROW()-14,COLUMN()*2-3)),"",INDEX(Array_WaterChargeData,ROW()-14,COLUMN()*2-3))</f>
        <v/>
      </c>
      <c r="I115" t="str" cm="1">
        <f>IF(ISBLANK(INDEX(Array_WaterChargeData,ROW()-14,COLUMN()*2-3)),"",INDEX(Array_WaterChargeData,ROW()-14,COLUMN()*2-3))</f>
        <v/>
      </c>
      <c r="J115" t="str" cm="1">
        <f>IF(ISBLANK(INDEX(Array_WaterChargeData,ROW()-14,COLUMN()*2-3)),"",INDEX(Array_WaterChargeData,ROW()-14,COLUMN()*2-3))</f>
        <v/>
      </c>
      <c r="K115" t="str" cm="1">
        <f>IF(ISBLANK(INDEX(Array_WaterChargeData,ROW()-14,COLUMN()*2-3)),"",INDEX(Array_WaterChargeData,ROW()-14,COLUMN()*2-3))</f>
        <v/>
      </c>
    </row>
    <row r="116" spans="1:11" x14ac:dyDescent="0.35">
      <c r="A116" t="str">
        <f>IF('Water Meters'!B104="",A115,'Water Meters'!B104)</f>
        <v>Meter Numbers</v>
      </c>
      <c r="B116" t="str" cm="1">
        <f>IF(ISBLANK(INDEX(Array_WaterChargeData,ROW()-14,COLUMN()*2-3)),"",INDEX(Array_WaterChargeData,ROW()-14,COLUMN()*2-3))</f>
        <v/>
      </c>
      <c r="C116" t="str" cm="1">
        <f>IF(ISBLANK(INDEX(Array_WaterChargeData,ROW()-14,COLUMN()*2-3)),"",INDEX(Array_WaterChargeData,ROW()-14,COLUMN()*2-3))</f>
        <v/>
      </c>
      <c r="D116" t="str" cm="1">
        <f>IF(ISBLANK(INDEX(Array_WaterChargeData,ROW()-14,COLUMN()*2-3)),"",INDEX(Array_WaterChargeData,ROW()-14,COLUMN()*2-3))</f>
        <v/>
      </c>
      <c r="E116" t="str" cm="1">
        <f>IF(ISBLANK(INDEX(Array_WaterChargeData,ROW()-14,COLUMN()*2-3)),"",INDEX(Array_WaterChargeData,ROW()-14,COLUMN()*2-3))</f>
        <v/>
      </c>
      <c r="F116" t="str" cm="1">
        <f>IF(ISBLANK(INDEX(Array_WaterChargeData,ROW()-14,COLUMN()*2-3)),"",INDEX(Array_WaterChargeData,ROW()-14,COLUMN()*2-3))</f>
        <v/>
      </c>
      <c r="G116" t="str" cm="1">
        <f>IF(ISBLANK(INDEX(Array_WaterChargeData,ROW()-14,COLUMN()*2-3)),"",INDEX(Array_WaterChargeData,ROW()-14,COLUMN()*2-3))</f>
        <v/>
      </c>
      <c r="H116" t="str" cm="1">
        <f>IF(ISBLANK(INDEX(Array_WaterChargeData,ROW()-14,COLUMN()*2-3)),"",INDEX(Array_WaterChargeData,ROW()-14,COLUMN()*2-3))</f>
        <v/>
      </c>
      <c r="I116" t="str" cm="1">
        <f>IF(ISBLANK(INDEX(Array_WaterChargeData,ROW()-14,COLUMN()*2-3)),"",INDEX(Array_WaterChargeData,ROW()-14,COLUMN()*2-3))</f>
        <v/>
      </c>
      <c r="J116" t="str" cm="1">
        <f>IF(ISBLANK(INDEX(Array_WaterChargeData,ROW()-14,COLUMN()*2-3)),"",INDEX(Array_WaterChargeData,ROW()-14,COLUMN()*2-3))</f>
        <v/>
      </c>
      <c r="K116" t="str" cm="1">
        <f>IF(ISBLANK(INDEX(Array_WaterChargeData,ROW()-14,COLUMN()*2-3)),"",INDEX(Array_WaterChargeData,ROW()-14,COLUMN()*2-3))</f>
        <v/>
      </c>
    </row>
    <row r="117" spans="1:11" x14ac:dyDescent="0.35">
      <c r="A117" t="str">
        <f>IF('Water Meters'!B105="",A116,'Water Meters'!B105)</f>
        <v>Meter Numbers</v>
      </c>
      <c r="B117" t="str" cm="1">
        <f>IF(ISBLANK(INDEX(Array_WaterChargeData,ROW()-14,COLUMN()*2-3)),"",INDEX(Array_WaterChargeData,ROW()-14,COLUMN()*2-3))</f>
        <v/>
      </c>
      <c r="C117" t="str" cm="1">
        <f>IF(ISBLANK(INDEX(Array_WaterChargeData,ROW()-14,COLUMN()*2-3)),"",INDEX(Array_WaterChargeData,ROW()-14,COLUMN()*2-3))</f>
        <v/>
      </c>
      <c r="D117" t="str" cm="1">
        <f>IF(ISBLANK(INDEX(Array_WaterChargeData,ROW()-14,COLUMN()*2-3)),"",INDEX(Array_WaterChargeData,ROW()-14,COLUMN()*2-3))</f>
        <v/>
      </c>
      <c r="E117" t="str" cm="1">
        <f>IF(ISBLANK(INDEX(Array_WaterChargeData,ROW()-14,COLUMN()*2-3)),"",INDEX(Array_WaterChargeData,ROW()-14,COLUMN()*2-3))</f>
        <v/>
      </c>
      <c r="F117" t="str" cm="1">
        <f>IF(ISBLANK(INDEX(Array_WaterChargeData,ROW()-14,COLUMN()*2-3)),"",INDEX(Array_WaterChargeData,ROW()-14,COLUMN()*2-3))</f>
        <v/>
      </c>
      <c r="G117" t="str" cm="1">
        <f>IF(ISBLANK(INDEX(Array_WaterChargeData,ROW()-14,COLUMN()*2-3)),"",INDEX(Array_WaterChargeData,ROW()-14,COLUMN()*2-3))</f>
        <v/>
      </c>
      <c r="H117" t="str" cm="1">
        <f>IF(ISBLANK(INDEX(Array_WaterChargeData,ROW()-14,COLUMN()*2-3)),"",INDEX(Array_WaterChargeData,ROW()-14,COLUMN()*2-3))</f>
        <v/>
      </c>
      <c r="I117" t="str" cm="1">
        <f>IF(ISBLANK(INDEX(Array_WaterChargeData,ROW()-14,COLUMN()*2-3)),"",INDEX(Array_WaterChargeData,ROW()-14,COLUMN()*2-3))</f>
        <v/>
      </c>
      <c r="J117" t="str" cm="1">
        <f>IF(ISBLANK(INDEX(Array_WaterChargeData,ROW()-14,COLUMN()*2-3)),"",INDEX(Array_WaterChargeData,ROW()-14,COLUMN()*2-3))</f>
        <v/>
      </c>
      <c r="K117" t="str" cm="1">
        <f>IF(ISBLANK(INDEX(Array_WaterChargeData,ROW()-14,COLUMN()*2-3)),"",INDEX(Array_WaterChargeData,ROW()-14,COLUMN()*2-3))</f>
        <v/>
      </c>
    </row>
    <row r="118" spans="1:11" x14ac:dyDescent="0.35">
      <c r="A118" t="str">
        <f>IF('Water Meters'!B106="",A117,'Water Meters'!B106)</f>
        <v>Meter Numbers</v>
      </c>
      <c r="B118" t="str" cm="1">
        <f>IF(ISBLANK(INDEX(Array_WaterChargeData,ROW()-14,COLUMN()*2-3)),"",INDEX(Array_WaterChargeData,ROW()-14,COLUMN()*2-3))</f>
        <v/>
      </c>
      <c r="C118" t="str" cm="1">
        <f>IF(ISBLANK(INDEX(Array_WaterChargeData,ROW()-14,COLUMN()*2-3)),"",INDEX(Array_WaterChargeData,ROW()-14,COLUMN()*2-3))</f>
        <v/>
      </c>
      <c r="D118" t="str" cm="1">
        <f>IF(ISBLANK(INDEX(Array_WaterChargeData,ROW()-14,COLUMN()*2-3)),"",INDEX(Array_WaterChargeData,ROW()-14,COLUMN()*2-3))</f>
        <v/>
      </c>
      <c r="E118" t="str" cm="1">
        <f>IF(ISBLANK(INDEX(Array_WaterChargeData,ROW()-14,COLUMN()*2-3)),"",INDEX(Array_WaterChargeData,ROW()-14,COLUMN()*2-3))</f>
        <v/>
      </c>
      <c r="F118" t="str" cm="1">
        <f>IF(ISBLANK(INDEX(Array_WaterChargeData,ROW()-14,COLUMN()*2-3)),"",INDEX(Array_WaterChargeData,ROW()-14,COLUMN()*2-3))</f>
        <v/>
      </c>
      <c r="G118" t="str" cm="1">
        <f>IF(ISBLANK(INDEX(Array_WaterChargeData,ROW()-14,COLUMN()*2-3)),"",INDEX(Array_WaterChargeData,ROW()-14,COLUMN()*2-3))</f>
        <v/>
      </c>
      <c r="H118" t="str" cm="1">
        <f>IF(ISBLANK(INDEX(Array_WaterChargeData,ROW()-14,COLUMN()*2-3)),"",INDEX(Array_WaterChargeData,ROW()-14,COLUMN()*2-3))</f>
        <v/>
      </c>
      <c r="I118" t="str" cm="1">
        <f>IF(ISBLANK(INDEX(Array_WaterChargeData,ROW()-14,COLUMN()*2-3)),"",INDEX(Array_WaterChargeData,ROW()-14,COLUMN()*2-3))</f>
        <v/>
      </c>
      <c r="J118" t="str" cm="1">
        <f>IF(ISBLANK(INDEX(Array_WaterChargeData,ROW()-14,COLUMN()*2-3)),"",INDEX(Array_WaterChargeData,ROW()-14,COLUMN()*2-3))</f>
        <v/>
      </c>
      <c r="K118" t="str" cm="1">
        <f>IF(ISBLANK(INDEX(Array_WaterChargeData,ROW()-14,COLUMN()*2-3)),"",INDEX(Array_WaterChargeData,ROW()-14,COLUMN()*2-3))</f>
        <v/>
      </c>
    </row>
    <row r="119" spans="1:11" x14ac:dyDescent="0.35">
      <c r="A119" t="str">
        <f>IF('Water Meters'!B107="",A118,'Water Meters'!B107)</f>
        <v>Meter Numbers</v>
      </c>
      <c r="B119" t="str" cm="1">
        <f>IF(ISBLANK(INDEX(Array_WaterChargeData,ROW()-14,COLUMN()*2-3)),"",INDEX(Array_WaterChargeData,ROW()-14,COLUMN()*2-3))</f>
        <v/>
      </c>
      <c r="C119" t="str" cm="1">
        <f>IF(ISBLANK(INDEX(Array_WaterChargeData,ROW()-14,COLUMN()*2-3)),"",INDEX(Array_WaterChargeData,ROW()-14,COLUMN()*2-3))</f>
        <v/>
      </c>
      <c r="D119" t="str" cm="1">
        <f>IF(ISBLANK(INDEX(Array_WaterChargeData,ROW()-14,COLUMN()*2-3)),"",INDEX(Array_WaterChargeData,ROW()-14,COLUMN()*2-3))</f>
        <v/>
      </c>
      <c r="E119" t="str" cm="1">
        <f>IF(ISBLANK(INDEX(Array_WaterChargeData,ROW()-14,COLUMN()*2-3)),"",INDEX(Array_WaterChargeData,ROW()-14,COLUMN()*2-3))</f>
        <v/>
      </c>
      <c r="F119" t="str" cm="1">
        <f>IF(ISBLANK(INDEX(Array_WaterChargeData,ROW()-14,COLUMN()*2-3)),"",INDEX(Array_WaterChargeData,ROW()-14,COLUMN()*2-3))</f>
        <v/>
      </c>
      <c r="G119" t="str" cm="1">
        <f>IF(ISBLANK(INDEX(Array_WaterChargeData,ROW()-14,COLUMN()*2-3)),"",INDEX(Array_WaterChargeData,ROW()-14,COLUMN()*2-3))</f>
        <v/>
      </c>
      <c r="H119" t="str" cm="1">
        <f>IF(ISBLANK(INDEX(Array_WaterChargeData,ROW()-14,COLUMN()*2-3)),"",INDEX(Array_WaterChargeData,ROW()-14,COLUMN()*2-3))</f>
        <v/>
      </c>
      <c r="I119" t="str" cm="1">
        <f>IF(ISBLANK(INDEX(Array_WaterChargeData,ROW()-14,COLUMN()*2-3)),"",INDEX(Array_WaterChargeData,ROW()-14,COLUMN()*2-3))</f>
        <v/>
      </c>
      <c r="J119" t="str" cm="1">
        <f>IF(ISBLANK(INDEX(Array_WaterChargeData,ROW()-14,COLUMN()*2-3)),"",INDEX(Array_WaterChargeData,ROW()-14,COLUMN()*2-3))</f>
        <v/>
      </c>
      <c r="K119" t="str" cm="1">
        <f>IF(ISBLANK(INDEX(Array_WaterChargeData,ROW()-14,COLUMN()*2-3)),"",INDEX(Array_WaterChargeData,ROW()-14,COLUMN()*2-3))</f>
        <v/>
      </c>
    </row>
    <row r="120" spans="1:11" x14ac:dyDescent="0.35">
      <c r="A120" t="str">
        <f>IF('Water Meters'!B108="",A119,'Water Meters'!B108)</f>
        <v>Meter Numbers</v>
      </c>
      <c r="B120" t="str" cm="1">
        <f>IF(ISBLANK(INDEX(Array_WaterChargeData,ROW()-14,COLUMN()*2-3)),"",INDEX(Array_WaterChargeData,ROW()-14,COLUMN()*2-3))</f>
        <v/>
      </c>
      <c r="C120" t="str" cm="1">
        <f>IF(ISBLANK(INDEX(Array_WaterChargeData,ROW()-14,COLUMN()*2-3)),"",INDEX(Array_WaterChargeData,ROW()-14,COLUMN()*2-3))</f>
        <v/>
      </c>
      <c r="D120" t="str" cm="1">
        <f>IF(ISBLANK(INDEX(Array_WaterChargeData,ROW()-14,COLUMN()*2-3)),"",INDEX(Array_WaterChargeData,ROW()-14,COLUMN()*2-3))</f>
        <v/>
      </c>
      <c r="E120" t="str" cm="1">
        <f>IF(ISBLANK(INDEX(Array_WaterChargeData,ROW()-14,COLUMN()*2-3)),"",INDEX(Array_WaterChargeData,ROW()-14,COLUMN()*2-3))</f>
        <v/>
      </c>
      <c r="F120" t="str" cm="1">
        <f>IF(ISBLANK(INDEX(Array_WaterChargeData,ROW()-14,COLUMN()*2-3)),"",INDEX(Array_WaterChargeData,ROW()-14,COLUMN()*2-3))</f>
        <v/>
      </c>
      <c r="G120" t="str" cm="1">
        <f>IF(ISBLANK(INDEX(Array_WaterChargeData,ROW()-14,COLUMN()*2-3)),"",INDEX(Array_WaterChargeData,ROW()-14,COLUMN()*2-3))</f>
        <v/>
      </c>
      <c r="H120" t="str" cm="1">
        <f>IF(ISBLANK(INDEX(Array_WaterChargeData,ROW()-14,COLUMN()*2-3)),"",INDEX(Array_WaterChargeData,ROW()-14,COLUMN()*2-3))</f>
        <v/>
      </c>
      <c r="I120" t="str" cm="1">
        <f>IF(ISBLANK(INDEX(Array_WaterChargeData,ROW()-14,COLUMN()*2-3)),"",INDEX(Array_WaterChargeData,ROW()-14,COLUMN()*2-3))</f>
        <v/>
      </c>
      <c r="J120" t="str" cm="1">
        <f>IF(ISBLANK(INDEX(Array_WaterChargeData,ROW()-14,COLUMN()*2-3)),"",INDEX(Array_WaterChargeData,ROW()-14,COLUMN()*2-3))</f>
        <v/>
      </c>
      <c r="K120" t="str" cm="1">
        <f>IF(ISBLANK(INDEX(Array_WaterChargeData,ROW()-14,COLUMN()*2-3)),"",INDEX(Array_WaterChargeData,ROW()-14,COLUMN()*2-3))</f>
        <v/>
      </c>
    </row>
    <row r="121" spans="1:11" x14ac:dyDescent="0.35">
      <c r="A121" t="str">
        <f>IF('Water Meters'!B109="",A120,'Water Meters'!B109)</f>
        <v>Meter Numbers</v>
      </c>
      <c r="B121" t="str" cm="1">
        <f>IF(ISBLANK(INDEX(Array_WaterChargeData,ROW()-14,COLUMN()*2-3)),"",INDEX(Array_WaterChargeData,ROW()-14,COLUMN()*2-3))</f>
        <v/>
      </c>
      <c r="C121" t="str" cm="1">
        <f>IF(ISBLANK(INDEX(Array_WaterChargeData,ROW()-14,COLUMN()*2-3)),"",INDEX(Array_WaterChargeData,ROW()-14,COLUMN()*2-3))</f>
        <v/>
      </c>
      <c r="D121" t="str" cm="1">
        <f>IF(ISBLANK(INDEX(Array_WaterChargeData,ROW()-14,COLUMN()*2-3)),"",INDEX(Array_WaterChargeData,ROW()-14,COLUMN()*2-3))</f>
        <v/>
      </c>
      <c r="E121" t="str" cm="1">
        <f>IF(ISBLANK(INDEX(Array_WaterChargeData,ROW()-14,COLUMN()*2-3)),"",INDEX(Array_WaterChargeData,ROW()-14,COLUMN()*2-3))</f>
        <v/>
      </c>
      <c r="F121" t="str" cm="1">
        <f>IF(ISBLANK(INDEX(Array_WaterChargeData,ROW()-14,COLUMN()*2-3)),"",INDEX(Array_WaterChargeData,ROW()-14,COLUMN()*2-3))</f>
        <v/>
      </c>
      <c r="G121" t="str" cm="1">
        <f>IF(ISBLANK(INDEX(Array_WaterChargeData,ROW()-14,COLUMN()*2-3)),"",INDEX(Array_WaterChargeData,ROW()-14,COLUMN()*2-3))</f>
        <v/>
      </c>
      <c r="H121" t="str" cm="1">
        <f>IF(ISBLANK(INDEX(Array_WaterChargeData,ROW()-14,COLUMN()*2-3)),"",INDEX(Array_WaterChargeData,ROW()-14,COLUMN()*2-3))</f>
        <v/>
      </c>
      <c r="I121" t="str" cm="1">
        <f>IF(ISBLANK(INDEX(Array_WaterChargeData,ROW()-14,COLUMN()*2-3)),"",INDEX(Array_WaterChargeData,ROW()-14,COLUMN()*2-3))</f>
        <v/>
      </c>
      <c r="J121" t="str" cm="1">
        <f>IF(ISBLANK(INDEX(Array_WaterChargeData,ROW()-14,COLUMN()*2-3)),"",INDEX(Array_WaterChargeData,ROW()-14,COLUMN()*2-3))</f>
        <v/>
      </c>
      <c r="K121" t="str" cm="1">
        <f>IF(ISBLANK(INDEX(Array_WaterChargeData,ROW()-14,COLUMN()*2-3)),"",INDEX(Array_WaterChargeData,ROW()-14,COLUMN()*2-3))</f>
        <v/>
      </c>
    </row>
    <row r="122" spans="1:11" x14ac:dyDescent="0.35">
      <c r="A122" t="str">
        <f>IF('Water Meters'!B110="",A121,'Water Meters'!B110)</f>
        <v>Meter Numbers</v>
      </c>
      <c r="B122" t="str" cm="1">
        <f>IF(ISBLANK(INDEX(Array_WaterChargeData,ROW()-14,COLUMN()*2-3)),"",INDEX(Array_WaterChargeData,ROW()-14,COLUMN()*2-3))</f>
        <v/>
      </c>
      <c r="C122" t="str" cm="1">
        <f>IF(ISBLANK(INDEX(Array_WaterChargeData,ROW()-14,COLUMN()*2-3)),"",INDEX(Array_WaterChargeData,ROW()-14,COLUMN()*2-3))</f>
        <v/>
      </c>
      <c r="D122" t="str" cm="1">
        <f>IF(ISBLANK(INDEX(Array_WaterChargeData,ROW()-14,COLUMN()*2-3)),"",INDEX(Array_WaterChargeData,ROW()-14,COLUMN()*2-3))</f>
        <v/>
      </c>
      <c r="E122" t="str" cm="1">
        <f>IF(ISBLANK(INDEX(Array_WaterChargeData,ROW()-14,COLUMN()*2-3)),"",INDEX(Array_WaterChargeData,ROW()-14,COLUMN()*2-3))</f>
        <v/>
      </c>
      <c r="F122" t="str" cm="1">
        <f>IF(ISBLANK(INDEX(Array_WaterChargeData,ROW()-14,COLUMN()*2-3)),"",INDEX(Array_WaterChargeData,ROW()-14,COLUMN()*2-3))</f>
        <v/>
      </c>
      <c r="G122" t="str" cm="1">
        <f>IF(ISBLANK(INDEX(Array_WaterChargeData,ROW()-14,COLUMN()*2-3)),"",INDEX(Array_WaterChargeData,ROW()-14,COLUMN()*2-3))</f>
        <v/>
      </c>
      <c r="H122" t="str" cm="1">
        <f>IF(ISBLANK(INDEX(Array_WaterChargeData,ROW()-14,COLUMN()*2-3)),"",INDEX(Array_WaterChargeData,ROW()-14,COLUMN()*2-3))</f>
        <v/>
      </c>
      <c r="I122" t="str" cm="1">
        <f>IF(ISBLANK(INDEX(Array_WaterChargeData,ROW()-14,COLUMN()*2-3)),"",INDEX(Array_WaterChargeData,ROW()-14,COLUMN()*2-3))</f>
        <v/>
      </c>
      <c r="J122" t="str" cm="1">
        <f>IF(ISBLANK(INDEX(Array_WaterChargeData,ROW()-14,COLUMN()*2-3)),"",INDEX(Array_WaterChargeData,ROW()-14,COLUMN()*2-3))</f>
        <v/>
      </c>
      <c r="K122" t="str" cm="1">
        <f>IF(ISBLANK(INDEX(Array_WaterChargeData,ROW()-14,COLUMN()*2-3)),"",INDEX(Array_WaterChargeData,ROW()-14,COLUMN()*2-3))</f>
        <v/>
      </c>
    </row>
    <row r="123" spans="1:11" x14ac:dyDescent="0.35">
      <c r="A123" t="str">
        <f>IF('Water Meters'!B111="",A122,'Water Meters'!B111)</f>
        <v>Meter Numbers</v>
      </c>
      <c r="B123" t="str" cm="1">
        <f>IF(ISBLANK(INDEX(Array_WaterChargeData,ROW()-14,COLUMN()*2-3)),"",INDEX(Array_WaterChargeData,ROW()-14,COLUMN()*2-3))</f>
        <v/>
      </c>
      <c r="C123" t="str" cm="1">
        <f>IF(ISBLANK(INDEX(Array_WaterChargeData,ROW()-14,COLUMN()*2-3)),"",INDEX(Array_WaterChargeData,ROW()-14,COLUMN()*2-3))</f>
        <v/>
      </c>
      <c r="D123" t="str" cm="1">
        <f>IF(ISBLANK(INDEX(Array_WaterChargeData,ROW()-14,COLUMN()*2-3)),"",INDEX(Array_WaterChargeData,ROW()-14,COLUMN()*2-3))</f>
        <v/>
      </c>
      <c r="E123" t="str" cm="1">
        <f>IF(ISBLANK(INDEX(Array_WaterChargeData,ROW()-14,COLUMN()*2-3)),"",INDEX(Array_WaterChargeData,ROW()-14,COLUMN()*2-3))</f>
        <v/>
      </c>
      <c r="F123" t="str" cm="1">
        <f>IF(ISBLANK(INDEX(Array_WaterChargeData,ROW()-14,COLUMN()*2-3)),"",INDEX(Array_WaterChargeData,ROW()-14,COLUMN()*2-3))</f>
        <v/>
      </c>
      <c r="G123" t="str" cm="1">
        <f>IF(ISBLANK(INDEX(Array_WaterChargeData,ROW()-14,COLUMN()*2-3)),"",INDEX(Array_WaterChargeData,ROW()-14,COLUMN()*2-3))</f>
        <v/>
      </c>
      <c r="H123" t="str" cm="1">
        <f>IF(ISBLANK(INDEX(Array_WaterChargeData,ROW()-14,COLUMN()*2-3)),"",INDEX(Array_WaterChargeData,ROW()-14,COLUMN()*2-3))</f>
        <v/>
      </c>
      <c r="I123" t="str" cm="1">
        <f>IF(ISBLANK(INDEX(Array_WaterChargeData,ROW()-14,COLUMN()*2-3)),"",INDEX(Array_WaterChargeData,ROW()-14,COLUMN()*2-3))</f>
        <v/>
      </c>
      <c r="J123" t="str" cm="1">
        <f>IF(ISBLANK(INDEX(Array_WaterChargeData,ROW()-14,COLUMN()*2-3)),"",INDEX(Array_WaterChargeData,ROW()-14,COLUMN()*2-3))</f>
        <v/>
      </c>
      <c r="K123" t="str" cm="1">
        <f>IF(ISBLANK(INDEX(Array_WaterChargeData,ROW()-14,COLUMN()*2-3)),"",INDEX(Array_WaterChargeData,ROW()-14,COLUMN()*2-3))</f>
        <v/>
      </c>
    </row>
    <row r="124" spans="1:11" x14ac:dyDescent="0.35">
      <c r="A124" t="str">
        <f>IF('Water Meters'!B112="",A123,'Water Meters'!B112)</f>
        <v>Meter Numbers</v>
      </c>
      <c r="B124" t="str" cm="1">
        <f>IF(ISBLANK(INDEX(Array_WaterChargeData,ROW()-14,COLUMN()*2-3)),"",INDEX(Array_WaterChargeData,ROW()-14,COLUMN()*2-3))</f>
        <v/>
      </c>
      <c r="C124" t="str" cm="1">
        <f>IF(ISBLANK(INDEX(Array_WaterChargeData,ROW()-14,COLUMN()*2-3)),"",INDEX(Array_WaterChargeData,ROW()-14,COLUMN()*2-3))</f>
        <v/>
      </c>
      <c r="D124" t="str" cm="1">
        <f>IF(ISBLANK(INDEX(Array_WaterChargeData,ROW()-14,COLUMN()*2-3)),"",INDEX(Array_WaterChargeData,ROW()-14,COLUMN()*2-3))</f>
        <v/>
      </c>
      <c r="E124" t="str" cm="1">
        <f>IF(ISBLANK(INDEX(Array_WaterChargeData,ROW()-14,COLUMN()*2-3)),"",INDEX(Array_WaterChargeData,ROW()-14,COLUMN()*2-3))</f>
        <v/>
      </c>
      <c r="F124" t="str" cm="1">
        <f>IF(ISBLANK(INDEX(Array_WaterChargeData,ROW()-14,COLUMN()*2-3)),"",INDEX(Array_WaterChargeData,ROW()-14,COLUMN()*2-3))</f>
        <v/>
      </c>
      <c r="G124" t="str" cm="1">
        <f>IF(ISBLANK(INDEX(Array_WaterChargeData,ROW()-14,COLUMN()*2-3)),"",INDEX(Array_WaterChargeData,ROW()-14,COLUMN()*2-3))</f>
        <v/>
      </c>
      <c r="H124" t="str" cm="1">
        <f>IF(ISBLANK(INDEX(Array_WaterChargeData,ROW()-14,COLUMN()*2-3)),"",INDEX(Array_WaterChargeData,ROW()-14,COLUMN()*2-3))</f>
        <v/>
      </c>
      <c r="I124" t="str" cm="1">
        <f>IF(ISBLANK(INDEX(Array_WaterChargeData,ROW()-14,COLUMN()*2-3)),"",INDEX(Array_WaterChargeData,ROW()-14,COLUMN()*2-3))</f>
        <v/>
      </c>
      <c r="J124" t="str" cm="1">
        <f>IF(ISBLANK(INDEX(Array_WaterChargeData,ROW()-14,COLUMN()*2-3)),"",INDEX(Array_WaterChargeData,ROW()-14,COLUMN()*2-3))</f>
        <v/>
      </c>
      <c r="K124" t="str" cm="1">
        <f>IF(ISBLANK(INDEX(Array_WaterChargeData,ROW()-14,COLUMN()*2-3)),"",INDEX(Array_WaterChargeData,ROW()-14,COLUMN()*2-3))</f>
        <v/>
      </c>
    </row>
    <row r="125" spans="1:11" x14ac:dyDescent="0.35">
      <c r="A125" t="str">
        <f>IF('Water Meters'!B113="",A124,'Water Meters'!B113)</f>
        <v>Meter Numbers</v>
      </c>
      <c r="B125" t="str" cm="1">
        <f>IF(ISBLANK(INDEX(Array_WaterChargeData,ROW()-14,COLUMN()*2-3)),"",INDEX(Array_WaterChargeData,ROW()-14,COLUMN()*2-3))</f>
        <v/>
      </c>
      <c r="C125" t="str" cm="1">
        <f>IF(ISBLANK(INDEX(Array_WaterChargeData,ROW()-14,COLUMN()*2-3)),"",INDEX(Array_WaterChargeData,ROW()-14,COLUMN()*2-3))</f>
        <v/>
      </c>
      <c r="D125" t="str" cm="1">
        <f>IF(ISBLANK(INDEX(Array_WaterChargeData,ROW()-14,COLUMN()*2-3)),"",INDEX(Array_WaterChargeData,ROW()-14,COLUMN()*2-3))</f>
        <v/>
      </c>
      <c r="E125" t="str" cm="1">
        <f>IF(ISBLANK(INDEX(Array_WaterChargeData,ROW()-14,COLUMN()*2-3)),"",INDEX(Array_WaterChargeData,ROW()-14,COLUMN()*2-3))</f>
        <v/>
      </c>
      <c r="F125" t="str" cm="1">
        <f>IF(ISBLANK(INDEX(Array_WaterChargeData,ROW()-14,COLUMN()*2-3)),"",INDEX(Array_WaterChargeData,ROW()-14,COLUMN()*2-3))</f>
        <v/>
      </c>
      <c r="G125" t="str" cm="1">
        <f>IF(ISBLANK(INDEX(Array_WaterChargeData,ROW()-14,COLUMN()*2-3)),"",INDEX(Array_WaterChargeData,ROW()-14,COLUMN()*2-3))</f>
        <v/>
      </c>
      <c r="H125" t="str" cm="1">
        <f>IF(ISBLANK(INDEX(Array_WaterChargeData,ROW()-14,COLUMN()*2-3)),"",INDEX(Array_WaterChargeData,ROW()-14,COLUMN()*2-3))</f>
        <v/>
      </c>
      <c r="I125" t="str" cm="1">
        <f>IF(ISBLANK(INDEX(Array_WaterChargeData,ROW()-14,COLUMN()*2-3)),"",INDEX(Array_WaterChargeData,ROW()-14,COLUMN()*2-3))</f>
        <v/>
      </c>
      <c r="J125" t="str" cm="1">
        <f>IF(ISBLANK(INDEX(Array_WaterChargeData,ROW()-14,COLUMN()*2-3)),"",INDEX(Array_WaterChargeData,ROW()-14,COLUMN()*2-3))</f>
        <v/>
      </c>
      <c r="K125" t="str" cm="1">
        <f>IF(ISBLANK(INDEX(Array_WaterChargeData,ROW()-14,COLUMN()*2-3)),"",INDEX(Array_WaterChargeData,ROW()-14,COLUMN()*2-3))</f>
        <v/>
      </c>
    </row>
    <row r="126" spans="1:11" x14ac:dyDescent="0.35">
      <c r="A126" t="str">
        <f>IF('Water Meters'!B114="",A125,'Water Meters'!B114)</f>
        <v>Meter Numbers</v>
      </c>
      <c r="B126" t="str" cm="1">
        <f>IF(ISBLANK(INDEX(Array_WaterChargeData,ROW()-14,COLUMN()*2-3)),"",INDEX(Array_WaterChargeData,ROW()-14,COLUMN()*2-3))</f>
        <v/>
      </c>
      <c r="C126" t="str" cm="1">
        <f>IF(ISBLANK(INDEX(Array_WaterChargeData,ROW()-14,COLUMN()*2-3)),"",INDEX(Array_WaterChargeData,ROW()-14,COLUMN()*2-3))</f>
        <v/>
      </c>
      <c r="D126" t="str" cm="1">
        <f>IF(ISBLANK(INDEX(Array_WaterChargeData,ROW()-14,COLUMN()*2-3)),"",INDEX(Array_WaterChargeData,ROW()-14,COLUMN()*2-3))</f>
        <v/>
      </c>
      <c r="E126" t="str" cm="1">
        <f>IF(ISBLANK(INDEX(Array_WaterChargeData,ROW()-14,COLUMN()*2-3)),"",INDEX(Array_WaterChargeData,ROW()-14,COLUMN()*2-3))</f>
        <v/>
      </c>
      <c r="F126" t="str" cm="1">
        <f>IF(ISBLANK(INDEX(Array_WaterChargeData,ROW()-14,COLUMN()*2-3)),"",INDEX(Array_WaterChargeData,ROW()-14,COLUMN()*2-3))</f>
        <v/>
      </c>
      <c r="G126" t="str" cm="1">
        <f>IF(ISBLANK(INDEX(Array_WaterChargeData,ROW()-14,COLUMN()*2-3)),"",INDEX(Array_WaterChargeData,ROW()-14,COLUMN()*2-3))</f>
        <v/>
      </c>
      <c r="H126" t="str" cm="1">
        <f>IF(ISBLANK(INDEX(Array_WaterChargeData,ROW()-14,COLUMN()*2-3)),"",INDEX(Array_WaterChargeData,ROW()-14,COLUMN()*2-3))</f>
        <v/>
      </c>
      <c r="I126" t="str" cm="1">
        <f>IF(ISBLANK(INDEX(Array_WaterChargeData,ROW()-14,COLUMN()*2-3)),"",INDEX(Array_WaterChargeData,ROW()-14,COLUMN()*2-3))</f>
        <v/>
      </c>
      <c r="J126" t="str" cm="1">
        <f>IF(ISBLANK(INDEX(Array_WaterChargeData,ROW()-14,COLUMN()*2-3)),"",INDEX(Array_WaterChargeData,ROW()-14,COLUMN()*2-3))</f>
        <v/>
      </c>
      <c r="K126" t="str" cm="1">
        <f>IF(ISBLANK(INDEX(Array_WaterChargeData,ROW()-14,COLUMN()*2-3)),"",INDEX(Array_WaterChargeData,ROW()-14,COLUMN()*2-3))</f>
        <v/>
      </c>
    </row>
    <row r="127" spans="1:11" x14ac:dyDescent="0.35">
      <c r="A127" t="str">
        <f>IF('Water Meters'!B115="",A126,'Water Meters'!B115)</f>
        <v>Meter Numbers</v>
      </c>
      <c r="B127" t="str" cm="1">
        <f>IF(ISBLANK(INDEX(Array_WaterChargeData,ROW()-14,COLUMN()*2-3)),"",INDEX(Array_WaterChargeData,ROW()-14,COLUMN()*2-3))</f>
        <v/>
      </c>
      <c r="C127" t="str" cm="1">
        <f>IF(ISBLANK(INDEX(Array_WaterChargeData,ROW()-14,COLUMN()*2-3)),"",INDEX(Array_WaterChargeData,ROW()-14,COLUMN()*2-3))</f>
        <v/>
      </c>
      <c r="D127" t="str" cm="1">
        <f>IF(ISBLANK(INDEX(Array_WaterChargeData,ROW()-14,COLUMN()*2-3)),"",INDEX(Array_WaterChargeData,ROW()-14,COLUMN()*2-3))</f>
        <v/>
      </c>
      <c r="E127" t="str" cm="1">
        <f>IF(ISBLANK(INDEX(Array_WaterChargeData,ROW()-14,COLUMN()*2-3)),"",INDEX(Array_WaterChargeData,ROW()-14,COLUMN()*2-3))</f>
        <v/>
      </c>
      <c r="F127" t="str" cm="1">
        <f>IF(ISBLANK(INDEX(Array_WaterChargeData,ROW()-14,COLUMN()*2-3)),"",INDEX(Array_WaterChargeData,ROW()-14,COLUMN()*2-3))</f>
        <v/>
      </c>
      <c r="G127" t="str" cm="1">
        <f>IF(ISBLANK(INDEX(Array_WaterChargeData,ROW()-14,COLUMN()*2-3)),"",INDEX(Array_WaterChargeData,ROW()-14,COLUMN()*2-3))</f>
        <v/>
      </c>
      <c r="H127" t="str" cm="1">
        <f>IF(ISBLANK(INDEX(Array_WaterChargeData,ROW()-14,COLUMN()*2-3)),"",INDEX(Array_WaterChargeData,ROW()-14,COLUMN()*2-3))</f>
        <v/>
      </c>
      <c r="I127" t="str" cm="1">
        <f>IF(ISBLANK(INDEX(Array_WaterChargeData,ROW()-14,COLUMN()*2-3)),"",INDEX(Array_WaterChargeData,ROW()-14,COLUMN()*2-3))</f>
        <v/>
      </c>
      <c r="J127" t="str" cm="1">
        <f>IF(ISBLANK(INDEX(Array_WaterChargeData,ROW()-14,COLUMN()*2-3)),"",INDEX(Array_WaterChargeData,ROW()-14,COLUMN()*2-3))</f>
        <v/>
      </c>
      <c r="K127" t="str" cm="1">
        <f>IF(ISBLANK(INDEX(Array_WaterChargeData,ROW()-14,COLUMN()*2-3)),"",INDEX(Array_WaterChargeData,ROW()-14,COLUMN()*2-3))</f>
        <v/>
      </c>
    </row>
    <row r="128" spans="1:11" x14ac:dyDescent="0.35">
      <c r="A128" t="str">
        <f>IF('Water Meters'!B116="",A127,'Water Meters'!B116)</f>
        <v>Meter Numbers</v>
      </c>
      <c r="B128" t="str" cm="1">
        <f>IF(ISBLANK(INDEX(Array_WaterChargeData,ROW()-14,COLUMN()*2-3)),"",INDEX(Array_WaterChargeData,ROW()-14,COLUMN()*2-3))</f>
        <v/>
      </c>
      <c r="C128" t="str" cm="1">
        <f>IF(ISBLANK(INDEX(Array_WaterChargeData,ROW()-14,COLUMN()*2-3)),"",INDEX(Array_WaterChargeData,ROW()-14,COLUMN()*2-3))</f>
        <v/>
      </c>
      <c r="D128" t="str" cm="1">
        <f>IF(ISBLANK(INDEX(Array_WaterChargeData,ROW()-14,COLUMN()*2-3)),"",INDEX(Array_WaterChargeData,ROW()-14,COLUMN()*2-3))</f>
        <v/>
      </c>
      <c r="E128" t="str" cm="1">
        <f>IF(ISBLANK(INDEX(Array_WaterChargeData,ROW()-14,COLUMN()*2-3)),"",INDEX(Array_WaterChargeData,ROW()-14,COLUMN()*2-3))</f>
        <v/>
      </c>
      <c r="F128" t="str" cm="1">
        <f>IF(ISBLANK(INDEX(Array_WaterChargeData,ROW()-14,COLUMN()*2-3)),"",INDEX(Array_WaterChargeData,ROW()-14,COLUMN()*2-3))</f>
        <v/>
      </c>
      <c r="G128" t="str" cm="1">
        <f>IF(ISBLANK(INDEX(Array_WaterChargeData,ROW()-14,COLUMN()*2-3)),"",INDEX(Array_WaterChargeData,ROW()-14,COLUMN()*2-3))</f>
        <v/>
      </c>
      <c r="H128" t="str" cm="1">
        <f>IF(ISBLANK(INDEX(Array_WaterChargeData,ROW()-14,COLUMN()*2-3)),"",INDEX(Array_WaterChargeData,ROW()-14,COLUMN()*2-3))</f>
        <v/>
      </c>
      <c r="I128" t="str" cm="1">
        <f>IF(ISBLANK(INDEX(Array_WaterChargeData,ROW()-14,COLUMN()*2-3)),"",INDEX(Array_WaterChargeData,ROW()-14,COLUMN()*2-3))</f>
        <v/>
      </c>
      <c r="J128" t="str" cm="1">
        <f>IF(ISBLANK(INDEX(Array_WaterChargeData,ROW()-14,COLUMN()*2-3)),"",INDEX(Array_WaterChargeData,ROW()-14,COLUMN()*2-3))</f>
        <v/>
      </c>
      <c r="K128" t="str" cm="1">
        <f>IF(ISBLANK(INDEX(Array_WaterChargeData,ROW()-14,COLUMN()*2-3)),"",INDEX(Array_WaterChargeData,ROW()-14,COLUMN()*2-3))</f>
        <v/>
      </c>
    </row>
    <row r="129" spans="1:11" x14ac:dyDescent="0.35">
      <c r="A129" t="str">
        <f>IF('Water Meters'!B117="",A128,'Water Meters'!B117)</f>
        <v>Meter Numbers</v>
      </c>
      <c r="B129" t="str" cm="1">
        <f>IF(ISBLANK(INDEX(Array_WaterChargeData,ROW()-14,COLUMN()*2-3)),"",INDEX(Array_WaterChargeData,ROW()-14,COLUMN()*2-3))</f>
        <v/>
      </c>
      <c r="C129" t="str" cm="1">
        <f>IF(ISBLANK(INDEX(Array_WaterChargeData,ROW()-14,COLUMN()*2-3)),"",INDEX(Array_WaterChargeData,ROW()-14,COLUMN()*2-3))</f>
        <v/>
      </c>
      <c r="D129" t="str" cm="1">
        <f>IF(ISBLANK(INDEX(Array_WaterChargeData,ROW()-14,COLUMN()*2-3)),"",INDEX(Array_WaterChargeData,ROW()-14,COLUMN()*2-3))</f>
        <v/>
      </c>
      <c r="E129" t="str" cm="1">
        <f>IF(ISBLANK(INDEX(Array_WaterChargeData,ROW()-14,COLUMN()*2-3)),"",INDEX(Array_WaterChargeData,ROW()-14,COLUMN()*2-3))</f>
        <v/>
      </c>
      <c r="F129" t="str" cm="1">
        <f>IF(ISBLANK(INDEX(Array_WaterChargeData,ROW()-14,COLUMN()*2-3)),"",INDEX(Array_WaterChargeData,ROW()-14,COLUMN()*2-3))</f>
        <v/>
      </c>
      <c r="G129" t="str" cm="1">
        <f>IF(ISBLANK(INDEX(Array_WaterChargeData,ROW()-14,COLUMN()*2-3)),"",INDEX(Array_WaterChargeData,ROW()-14,COLUMN()*2-3))</f>
        <v/>
      </c>
      <c r="H129" t="str" cm="1">
        <f>IF(ISBLANK(INDEX(Array_WaterChargeData,ROW()-14,COLUMN()*2-3)),"",INDEX(Array_WaterChargeData,ROW()-14,COLUMN()*2-3))</f>
        <v/>
      </c>
      <c r="I129" t="str" cm="1">
        <f>IF(ISBLANK(INDEX(Array_WaterChargeData,ROW()-14,COLUMN()*2-3)),"",INDEX(Array_WaterChargeData,ROW()-14,COLUMN()*2-3))</f>
        <v/>
      </c>
      <c r="J129" t="str" cm="1">
        <f>IF(ISBLANK(INDEX(Array_WaterChargeData,ROW()-14,COLUMN()*2-3)),"",INDEX(Array_WaterChargeData,ROW()-14,COLUMN()*2-3))</f>
        <v/>
      </c>
      <c r="K129" t="str" cm="1">
        <f>IF(ISBLANK(INDEX(Array_WaterChargeData,ROW()-14,COLUMN()*2-3)),"",INDEX(Array_WaterChargeData,ROW()-14,COLUMN()*2-3))</f>
        <v/>
      </c>
    </row>
    <row r="130" spans="1:11" x14ac:dyDescent="0.35">
      <c r="A130" t="str">
        <f>IF('Water Meters'!B118="",A129,'Water Meters'!B118)</f>
        <v>Meter Numbers</v>
      </c>
      <c r="B130" t="str" cm="1">
        <f>IF(ISBLANK(INDEX(Array_WaterChargeData,ROW()-14,COLUMN()*2-3)),"",INDEX(Array_WaterChargeData,ROW()-14,COLUMN()*2-3))</f>
        <v/>
      </c>
      <c r="C130" t="str" cm="1">
        <f>IF(ISBLANK(INDEX(Array_WaterChargeData,ROW()-14,COLUMN()*2-3)),"",INDEX(Array_WaterChargeData,ROW()-14,COLUMN()*2-3))</f>
        <v/>
      </c>
      <c r="D130" t="str" cm="1">
        <f>IF(ISBLANK(INDEX(Array_WaterChargeData,ROW()-14,COLUMN()*2-3)),"",INDEX(Array_WaterChargeData,ROW()-14,COLUMN()*2-3))</f>
        <v/>
      </c>
      <c r="E130" t="str" cm="1">
        <f>IF(ISBLANK(INDEX(Array_WaterChargeData,ROW()-14,COLUMN()*2-3)),"",INDEX(Array_WaterChargeData,ROW()-14,COLUMN()*2-3))</f>
        <v/>
      </c>
      <c r="F130" t="str" cm="1">
        <f>IF(ISBLANK(INDEX(Array_WaterChargeData,ROW()-14,COLUMN()*2-3)),"",INDEX(Array_WaterChargeData,ROW()-14,COLUMN()*2-3))</f>
        <v/>
      </c>
      <c r="G130" t="str" cm="1">
        <f>IF(ISBLANK(INDEX(Array_WaterChargeData,ROW()-14,COLUMN()*2-3)),"",INDEX(Array_WaterChargeData,ROW()-14,COLUMN()*2-3))</f>
        <v/>
      </c>
      <c r="H130" t="str" cm="1">
        <f>IF(ISBLANK(INDEX(Array_WaterChargeData,ROW()-14,COLUMN()*2-3)),"",INDEX(Array_WaterChargeData,ROW()-14,COLUMN()*2-3))</f>
        <v/>
      </c>
      <c r="I130" t="str" cm="1">
        <f>IF(ISBLANK(INDEX(Array_WaterChargeData,ROW()-14,COLUMN()*2-3)),"",INDEX(Array_WaterChargeData,ROW()-14,COLUMN()*2-3))</f>
        <v/>
      </c>
      <c r="J130" t="str" cm="1">
        <f>IF(ISBLANK(INDEX(Array_WaterChargeData,ROW()-14,COLUMN()*2-3)),"",INDEX(Array_WaterChargeData,ROW()-14,COLUMN()*2-3))</f>
        <v/>
      </c>
      <c r="K130" t="str" cm="1">
        <f>IF(ISBLANK(INDEX(Array_WaterChargeData,ROW()-14,COLUMN()*2-3)),"",INDEX(Array_WaterChargeData,ROW()-14,COLUMN()*2-3))</f>
        <v/>
      </c>
    </row>
    <row r="131" spans="1:11" x14ac:dyDescent="0.35">
      <c r="A131" t="str">
        <f>IF('Water Meters'!B119="",A130,'Water Meters'!B119)</f>
        <v>Meter Numbers</v>
      </c>
      <c r="B131" t="str" cm="1">
        <f>IF(ISBLANK(INDEX(Array_WaterChargeData,ROW()-14,COLUMN()*2-3)),"",INDEX(Array_WaterChargeData,ROW()-14,COLUMN()*2-3))</f>
        <v/>
      </c>
      <c r="C131" t="str" cm="1">
        <f>IF(ISBLANK(INDEX(Array_WaterChargeData,ROW()-14,COLUMN()*2-3)),"",INDEX(Array_WaterChargeData,ROW()-14,COLUMN()*2-3))</f>
        <v/>
      </c>
      <c r="D131" t="str" cm="1">
        <f>IF(ISBLANK(INDEX(Array_WaterChargeData,ROW()-14,COLUMN()*2-3)),"",INDEX(Array_WaterChargeData,ROW()-14,COLUMN()*2-3))</f>
        <v/>
      </c>
      <c r="E131" t="str" cm="1">
        <f>IF(ISBLANK(INDEX(Array_WaterChargeData,ROW()-14,COLUMN()*2-3)),"",INDEX(Array_WaterChargeData,ROW()-14,COLUMN()*2-3))</f>
        <v/>
      </c>
      <c r="F131" t="str" cm="1">
        <f>IF(ISBLANK(INDEX(Array_WaterChargeData,ROW()-14,COLUMN()*2-3)),"",INDEX(Array_WaterChargeData,ROW()-14,COLUMN()*2-3))</f>
        <v/>
      </c>
      <c r="G131" t="str" cm="1">
        <f>IF(ISBLANK(INDEX(Array_WaterChargeData,ROW()-14,COLUMN()*2-3)),"",INDEX(Array_WaterChargeData,ROW()-14,COLUMN()*2-3))</f>
        <v/>
      </c>
      <c r="H131" t="str" cm="1">
        <f>IF(ISBLANK(INDEX(Array_WaterChargeData,ROW()-14,COLUMN()*2-3)),"",INDEX(Array_WaterChargeData,ROW()-14,COLUMN()*2-3))</f>
        <v/>
      </c>
      <c r="I131" t="str" cm="1">
        <f>IF(ISBLANK(INDEX(Array_WaterChargeData,ROW()-14,COLUMN()*2-3)),"",INDEX(Array_WaterChargeData,ROW()-14,COLUMN()*2-3))</f>
        <v/>
      </c>
      <c r="J131" t="str" cm="1">
        <f>IF(ISBLANK(INDEX(Array_WaterChargeData,ROW()-14,COLUMN()*2-3)),"",INDEX(Array_WaterChargeData,ROW()-14,COLUMN()*2-3))</f>
        <v/>
      </c>
      <c r="K131" t="str" cm="1">
        <f>IF(ISBLANK(INDEX(Array_WaterChargeData,ROW()-14,COLUMN()*2-3)),"",INDEX(Array_WaterChargeData,ROW()-14,COLUMN()*2-3))</f>
        <v/>
      </c>
    </row>
    <row r="132" spans="1:11" x14ac:dyDescent="0.35">
      <c r="A132" t="str">
        <f>IF('Water Meters'!B120="",A131,'Water Meters'!B120)</f>
        <v>Meter Numbers</v>
      </c>
      <c r="B132" t="str" cm="1">
        <f>IF(ISBLANK(INDEX(Array_WaterChargeData,ROW()-14,COLUMN()*2-3)),"",INDEX(Array_WaterChargeData,ROW()-14,COLUMN()*2-3))</f>
        <v/>
      </c>
      <c r="C132" t="str" cm="1">
        <f>IF(ISBLANK(INDEX(Array_WaterChargeData,ROW()-14,COLUMN()*2-3)),"",INDEX(Array_WaterChargeData,ROW()-14,COLUMN()*2-3))</f>
        <v/>
      </c>
      <c r="D132" t="str" cm="1">
        <f>IF(ISBLANK(INDEX(Array_WaterChargeData,ROW()-14,COLUMN()*2-3)),"",INDEX(Array_WaterChargeData,ROW()-14,COLUMN()*2-3))</f>
        <v/>
      </c>
      <c r="E132" t="str" cm="1">
        <f>IF(ISBLANK(INDEX(Array_WaterChargeData,ROW()-14,COLUMN()*2-3)),"",INDEX(Array_WaterChargeData,ROW()-14,COLUMN()*2-3))</f>
        <v/>
      </c>
      <c r="F132" t="str" cm="1">
        <f>IF(ISBLANK(INDEX(Array_WaterChargeData,ROW()-14,COLUMN()*2-3)),"",INDEX(Array_WaterChargeData,ROW()-14,COLUMN()*2-3))</f>
        <v/>
      </c>
      <c r="G132" t="str" cm="1">
        <f>IF(ISBLANK(INDEX(Array_WaterChargeData,ROW()-14,COLUMN()*2-3)),"",INDEX(Array_WaterChargeData,ROW()-14,COLUMN()*2-3))</f>
        <v/>
      </c>
      <c r="H132" t="str" cm="1">
        <f>IF(ISBLANK(INDEX(Array_WaterChargeData,ROW()-14,COLUMN()*2-3)),"",INDEX(Array_WaterChargeData,ROW()-14,COLUMN()*2-3))</f>
        <v/>
      </c>
      <c r="I132" t="str" cm="1">
        <f>IF(ISBLANK(INDEX(Array_WaterChargeData,ROW()-14,COLUMN()*2-3)),"",INDEX(Array_WaterChargeData,ROW()-14,COLUMN()*2-3))</f>
        <v/>
      </c>
      <c r="J132" t="str" cm="1">
        <f>IF(ISBLANK(INDEX(Array_WaterChargeData,ROW()-14,COLUMN()*2-3)),"",INDEX(Array_WaterChargeData,ROW()-14,COLUMN()*2-3))</f>
        <v/>
      </c>
      <c r="K132" t="str" cm="1">
        <f>IF(ISBLANK(INDEX(Array_WaterChargeData,ROW()-14,COLUMN()*2-3)),"",INDEX(Array_WaterChargeData,ROW()-14,COLUMN()*2-3))</f>
        <v/>
      </c>
    </row>
    <row r="133" spans="1:11" x14ac:dyDescent="0.35">
      <c r="A133" t="str">
        <f>IF('Water Meters'!B121="",A132,'Water Meters'!B121)</f>
        <v>Meter Numbers</v>
      </c>
      <c r="B133" t="str" cm="1">
        <f>IF(ISBLANK(INDEX(Array_WaterChargeData,ROW()-14,COLUMN()*2-3)),"",INDEX(Array_WaterChargeData,ROW()-14,COLUMN()*2-3))</f>
        <v/>
      </c>
      <c r="C133" t="str" cm="1">
        <f>IF(ISBLANK(INDEX(Array_WaterChargeData,ROW()-14,COLUMN()*2-3)),"",INDEX(Array_WaterChargeData,ROW()-14,COLUMN()*2-3))</f>
        <v/>
      </c>
      <c r="D133" t="str" cm="1">
        <f>IF(ISBLANK(INDEX(Array_WaterChargeData,ROW()-14,COLUMN()*2-3)),"",INDEX(Array_WaterChargeData,ROW()-14,COLUMN()*2-3))</f>
        <v/>
      </c>
      <c r="E133" t="str" cm="1">
        <f>IF(ISBLANK(INDEX(Array_WaterChargeData,ROW()-14,COLUMN()*2-3)),"",INDEX(Array_WaterChargeData,ROW()-14,COLUMN()*2-3))</f>
        <v/>
      </c>
      <c r="F133" t="str" cm="1">
        <f>IF(ISBLANK(INDEX(Array_WaterChargeData,ROW()-14,COLUMN()*2-3)),"",INDEX(Array_WaterChargeData,ROW()-14,COLUMN()*2-3))</f>
        <v/>
      </c>
      <c r="G133" t="str" cm="1">
        <f>IF(ISBLANK(INDEX(Array_WaterChargeData,ROW()-14,COLUMN()*2-3)),"",INDEX(Array_WaterChargeData,ROW()-14,COLUMN()*2-3))</f>
        <v/>
      </c>
      <c r="H133" t="str" cm="1">
        <f>IF(ISBLANK(INDEX(Array_WaterChargeData,ROW()-14,COLUMN()*2-3)),"",INDEX(Array_WaterChargeData,ROW()-14,COLUMN()*2-3))</f>
        <v/>
      </c>
      <c r="I133" t="str" cm="1">
        <f>IF(ISBLANK(INDEX(Array_WaterChargeData,ROW()-14,COLUMN()*2-3)),"",INDEX(Array_WaterChargeData,ROW()-14,COLUMN()*2-3))</f>
        <v/>
      </c>
      <c r="J133" t="str" cm="1">
        <f>IF(ISBLANK(INDEX(Array_WaterChargeData,ROW()-14,COLUMN()*2-3)),"",INDEX(Array_WaterChargeData,ROW()-14,COLUMN()*2-3))</f>
        <v/>
      </c>
      <c r="K133" t="str" cm="1">
        <f>IF(ISBLANK(INDEX(Array_WaterChargeData,ROW()-14,COLUMN()*2-3)),"",INDEX(Array_WaterChargeData,ROW()-14,COLUMN()*2-3))</f>
        <v/>
      </c>
    </row>
    <row r="134" spans="1:11" x14ac:dyDescent="0.35">
      <c r="A134" t="str">
        <f>IF('Water Meters'!B122="",A133,'Water Meters'!B122)</f>
        <v>Meter Numbers</v>
      </c>
      <c r="B134" t="str" cm="1">
        <f>IF(ISBLANK(INDEX(Array_WaterChargeData,ROW()-14,COLUMN()*2-3)),"",INDEX(Array_WaterChargeData,ROW()-14,COLUMN()*2-3))</f>
        <v/>
      </c>
      <c r="C134" t="str" cm="1">
        <f>IF(ISBLANK(INDEX(Array_WaterChargeData,ROW()-14,COLUMN()*2-3)),"",INDEX(Array_WaterChargeData,ROW()-14,COLUMN()*2-3))</f>
        <v/>
      </c>
      <c r="D134" t="str" cm="1">
        <f>IF(ISBLANK(INDEX(Array_WaterChargeData,ROW()-14,COLUMN()*2-3)),"",INDEX(Array_WaterChargeData,ROW()-14,COLUMN()*2-3))</f>
        <v/>
      </c>
      <c r="E134" t="str" cm="1">
        <f>IF(ISBLANK(INDEX(Array_WaterChargeData,ROW()-14,COLUMN()*2-3)),"",INDEX(Array_WaterChargeData,ROW()-14,COLUMN()*2-3))</f>
        <v/>
      </c>
      <c r="F134" t="str" cm="1">
        <f>IF(ISBLANK(INDEX(Array_WaterChargeData,ROW()-14,COLUMN()*2-3)),"",INDEX(Array_WaterChargeData,ROW()-14,COLUMN()*2-3))</f>
        <v/>
      </c>
      <c r="G134" t="str" cm="1">
        <f>IF(ISBLANK(INDEX(Array_WaterChargeData,ROW()-14,COLUMN()*2-3)),"",INDEX(Array_WaterChargeData,ROW()-14,COLUMN()*2-3))</f>
        <v/>
      </c>
      <c r="H134" t="str" cm="1">
        <f>IF(ISBLANK(INDEX(Array_WaterChargeData,ROW()-14,COLUMN()*2-3)),"",INDEX(Array_WaterChargeData,ROW()-14,COLUMN()*2-3))</f>
        <v/>
      </c>
      <c r="I134" t="str" cm="1">
        <f>IF(ISBLANK(INDEX(Array_WaterChargeData,ROW()-14,COLUMN()*2-3)),"",INDEX(Array_WaterChargeData,ROW()-14,COLUMN()*2-3))</f>
        <v/>
      </c>
      <c r="J134" t="str" cm="1">
        <f>IF(ISBLANK(INDEX(Array_WaterChargeData,ROW()-14,COLUMN()*2-3)),"",INDEX(Array_WaterChargeData,ROW()-14,COLUMN()*2-3))</f>
        <v/>
      </c>
      <c r="K134" t="str" cm="1">
        <f>IF(ISBLANK(INDEX(Array_WaterChargeData,ROW()-14,COLUMN()*2-3)),"",INDEX(Array_WaterChargeData,ROW()-14,COLUMN()*2-3))</f>
        <v/>
      </c>
    </row>
    <row r="135" spans="1:11" x14ac:dyDescent="0.35">
      <c r="A135" t="str">
        <f>IF('Water Meters'!B123="",A134,'Water Meters'!B123)</f>
        <v>Meter Numbers</v>
      </c>
      <c r="B135" t="str" cm="1">
        <f>IF(ISBLANK(INDEX(Array_WaterChargeData,ROW()-14,COLUMN()*2-3)),"",INDEX(Array_WaterChargeData,ROW()-14,COLUMN()*2-3))</f>
        <v/>
      </c>
      <c r="C135" t="str" cm="1">
        <f>IF(ISBLANK(INDEX(Array_WaterChargeData,ROW()-14,COLUMN()*2-3)),"",INDEX(Array_WaterChargeData,ROW()-14,COLUMN()*2-3))</f>
        <v/>
      </c>
      <c r="D135" t="str" cm="1">
        <f>IF(ISBLANK(INDEX(Array_WaterChargeData,ROW()-14,COLUMN()*2-3)),"",INDEX(Array_WaterChargeData,ROW()-14,COLUMN()*2-3))</f>
        <v/>
      </c>
      <c r="E135" t="str" cm="1">
        <f>IF(ISBLANK(INDEX(Array_WaterChargeData,ROW()-14,COLUMN()*2-3)),"",INDEX(Array_WaterChargeData,ROW()-14,COLUMN()*2-3))</f>
        <v/>
      </c>
      <c r="F135" t="str" cm="1">
        <f>IF(ISBLANK(INDEX(Array_WaterChargeData,ROW()-14,COLUMN()*2-3)),"",INDEX(Array_WaterChargeData,ROW()-14,COLUMN()*2-3))</f>
        <v/>
      </c>
      <c r="G135" t="str" cm="1">
        <f>IF(ISBLANK(INDEX(Array_WaterChargeData,ROW()-14,COLUMN()*2-3)),"",INDEX(Array_WaterChargeData,ROW()-14,COLUMN()*2-3))</f>
        <v/>
      </c>
      <c r="H135" t="str" cm="1">
        <f>IF(ISBLANK(INDEX(Array_WaterChargeData,ROW()-14,COLUMN()*2-3)),"",INDEX(Array_WaterChargeData,ROW()-14,COLUMN()*2-3))</f>
        <v/>
      </c>
      <c r="I135" t="str" cm="1">
        <f>IF(ISBLANK(INDEX(Array_WaterChargeData,ROW()-14,COLUMN()*2-3)),"",INDEX(Array_WaterChargeData,ROW()-14,COLUMN()*2-3))</f>
        <v/>
      </c>
      <c r="J135" t="str" cm="1">
        <f>IF(ISBLANK(INDEX(Array_WaterChargeData,ROW()-14,COLUMN()*2-3)),"",INDEX(Array_WaterChargeData,ROW()-14,COLUMN()*2-3))</f>
        <v/>
      </c>
      <c r="K135" t="str" cm="1">
        <f>IF(ISBLANK(INDEX(Array_WaterChargeData,ROW()-14,COLUMN()*2-3)),"",INDEX(Array_WaterChargeData,ROW()-14,COLUMN()*2-3))</f>
        <v/>
      </c>
    </row>
    <row r="136" spans="1:11" x14ac:dyDescent="0.35">
      <c r="A136" t="str">
        <f>IF('Water Meters'!B124="",A135,'Water Meters'!B124)</f>
        <v>Meter Numbers</v>
      </c>
      <c r="B136" t="str" cm="1">
        <f>IF(ISBLANK(INDEX(Array_WaterChargeData,ROW()-14,COLUMN()*2-3)),"",INDEX(Array_WaterChargeData,ROW()-14,COLUMN()*2-3))</f>
        <v/>
      </c>
      <c r="C136" t="str" cm="1">
        <f>IF(ISBLANK(INDEX(Array_WaterChargeData,ROW()-14,COLUMN()*2-3)),"",INDEX(Array_WaterChargeData,ROW()-14,COLUMN()*2-3))</f>
        <v/>
      </c>
      <c r="D136" t="str" cm="1">
        <f>IF(ISBLANK(INDEX(Array_WaterChargeData,ROW()-14,COLUMN()*2-3)),"",INDEX(Array_WaterChargeData,ROW()-14,COLUMN()*2-3))</f>
        <v/>
      </c>
      <c r="E136" t="str" cm="1">
        <f>IF(ISBLANK(INDEX(Array_WaterChargeData,ROW()-14,COLUMN()*2-3)),"",INDEX(Array_WaterChargeData,ROW()-14,COLUMN()*2-3))</f>
        <v/>
      </c>
      <c r="F136" t="str" cm="1">
        <f>IF(ISBLANK(INDEX(Array_WaterChargeData,ROW()-14,COLUMN()*2-3)),"",INDEX(Array_WaterChargeData,ROW()-14,COLUMN()*2-3))</f>
        <v/>
      </c>
      <c r="G136" t="str" cm="1">
        <f>IF(ISBLANK(INDEX(Array_WaterChargeData,ROW()-14,COLUMN()*2-3)),"",INDEX(Array_WaterChargeData,ROW()-14,COLUMN()*2-3))</f>
        <v/>
      </c>
      <c r="H136" t="str" cm="1">
        <f>IF(ISBLANK(INDEX(Array_WaterChargeData,ROW()-14,COLUMN()*2-3)),"",INDEX(Array_WaterChargeData,ROW()-14,COLUMN()*2-3))</f>
        <v/>
      </c>
      <c r="I136" t="str" cm="1">
        <f>IF(ISBLANK(INDEX(Array_WaterChargeData,ROW()-14,COLUMN()*2-3)),"",INDEX(Array_WaterChargeData,ROW()-14,COLUMN()*2-3))</f>
        <v/>
      </c>
      <c r="J136" t="str" cm="1">
        <f>IF(ISBLANK(INDEX(Array_WaterChargeData,ROW()-14,COLUMN()*2-3)),"",INDEX(Array_WaterChargeData,ROW()-14,COLUMN()*2-3))</f>
        <v/>
      </c>
      <c r="K136" t="str" cm="1">
        <f>IF(ISBLANK(INDEX(Array_WaterChargeData,ROW()-14,COLUMN()*2-3)),"",INDEX(Array_WaterChargeData,ROW()-14,COLUMN()*2-3))</f>
        <v/>
      </c>
    </row>
    <row r="137" spans="1:11" x14ac:dyDescent="0.35">
      <c r="A137" t="str">
        <f>IF('Water Meters'!B125="",A136,'Water Meters'!B125)</f>
        <v>Meter Numbers</v>
      </c>
      <c r="B137" t="str" cm="1">
        <f>IF(ISBLANK(INDEX(Array_WaterChargeData,ROW()-14,COLUMN()*2-3)),"",INDEX(Array_WaterChargeData,ROW()-14,COLUMN()*2-3))</f>
        <v/>
      </c>
      <c r="C137" t="str" cm="1">
        <f>IF(ISBLANK(INDEX(Array_WaterChargeData,ROW()-14,COLUMN()*2-3)),"",INDEX(Array_WaterChargeData,ROW()-14,COLUMN()*2-3))</f>
        <v/>
      </c>
      <c r="D137" t="str" cm="1">
        <f>IF(ISBLANK(INDEX(Array_WaterChargeData,ROW()-14,COLUMN()*2-3)),"",INDEX(Array_WaterChargeData,ROW()-14,COLUMN()*2-3))</f>
        <v/>
      </c>
      <c r="E137" t="str" cm="1">
        <f>IF(ISBLANK(INDEX(Array_WaterChargeData,ROW()-14,COLUMN()*2-3)),"",INDEX(Array_WaterChargeData,ROW()-14,COLUMN()*2-3))</f>
        <v/>
      </c>
      <c r="F137" t="str" cm="1">
        <f>IF(ISBLANK(INDEX(Array_WaterChargeData,ROW()-14,COLUMN()*2-3)),"",INDEX(Array_WaterChargeData,ROW()-14,COLUMN()*2-3))</f>
        <v/>
      </c>
      <c r="G137" t="str" cm="1">
        <f>IF(ISBLANK(INDEX(Array_WaterChargeData,ROW()-14,COLUMN()*2-3)),"",INDEX(Array_WaterChargeData,ROW()-14,COLUMN()*2-3))</f>
        <v/>
      </c>
      <c r="H137" t="str" cm="1">
        <f>IF(ISBLANK(INDEX(Array_WaterChargeData,ROW()-14,COLUMN()*2-3)),"",INDEX(Array_WaterChargeData,ROW()-14,COLUMN()*2-3))</f>
        <v/>
      </c>
      <c r="I137" t="str" cm="1">
        <f>IF(ISBLANK(INDEX(Array_WaterChargeData,ROW()-14,COLUMN()*2-3)),"",INDEX(Array_WaterChargeData,ROW()-14,COLUMN()*2-3))</f>
        <v/>
      </c>
      <c r="J137" t="str" cm="1">
        <f>IF(ISBLANK(INDEX(Array_WaterChargeData,ROW()-14,COLUMN()*2-3)),"",INDEX(Array_WaterChargeData,ROW()-14,COLUMN()*2-3))</f>
        <v/>
      </c>
      <c r="K137" t="str" cm="1">
        <f>IF(ISBLANK(INDEX(Array_WaterChargeData,ROW()-14,COLUMN()*2-3)),"",INDEX(Array_WaterChargeData,ROW()-14,COLUMN()*2-3))</f>
        <v/>
      </c>
    </row>
    <row r="138" spans="1:11" x14ac:dyDescent="0.35">
      <c r="A138" t="str">
        <f>IF('Water Meters'!B126="",A137,'Water Meters'!B126)</f>
        <v>Meter Numbers</v>
      </c>
      <c r="B138" t="str" cm="1">
        <f>IF(ISBLANK(INDEX(Array_WaterChargeData,ROW()-14,COLUMN()*2-3)),"",INDEX(Array_WaterChargeData,ROW()-14,COLUMN()*2-3))</f>
        <v/>
      </c>
      <c r="C138" t="str" cm="1">
        <f>IF(ISBLANK(INDEX(Array_WaterChargeData,ROW()-14,COLUMN()*2-3)),"",INDEX(Array_WaterChargeData,ROW()-14,COLUMN()*2-3))</f>
        <v/>
      </c>
      <c r="D138" t="str" cm="1">
        <f>IF(ISBLANK(INDEX(Array_WaterChargeData,ROW()-14,COLUMN()*2-3)),"",INDEX(Array_WaterChargeData,ROW()-14,COLUMN()*2-3))</f>
        <v/>
      </c>
      <c r="E138" t="str" cm="1">
        <f>IF(ISBLANK(INDEX(Array_WaterChargeData,ROW()-14,COLUMN()*2-3)),"",INDEX(Array_WaterChargeData,ROW()-14,COLUMN()*2-3))</f>
        <v/>
      </c>
      <c r="F138" t="str" cm="1">
        <f>IF(ISBLANK(INDEX(Array_WaterChargeData,ROW()-14,COLUMN()*2-3)),"",INDEX(Array_WaterChargeData,ROW()-14,COLUMN()*2-3))</f>
        <v/>
      </c>
      <c r="G138" t="str" cm="1">
        <f>IF(ISBLANK(INDEX(Array_WaterChargeData,ROW()-14,COLUMN()*2-3)),"",INDEX(Array_WaterChargeData,ROW()-14,COLUMN()*2-3))</f>
        <v/>
      </c>
      <c r="H138" t="str" cm="1">
        <f>IF(ISBLANK(INDEX(Array_WaterChargeData,ROW()-14,COLUMN()*2-3)),"",INDEX(Array_WaterChargeData,ROW()-14,COLUMN()*2-3))</f>
        <v/>
      </c>
      <c r="I138" t="str" cm="1">
        <f>IF(ISBLANK(INDEX(Array_WaterChargeData,ROW()-14,COLUMN()*2-3)),"",INDEX(Array_WaterChargeData,ROW()-14,COLUMN()*2-3))</f>
        <v/>
      </c>
      <c r="J138" t="str" cm="1">
        <f>IF(ISBLANK(INDEX(Array_WaterChargeData,ROW()-14,COLUMN()*2-3)),"",INDEX(Array_WaterChargeData,ROW()-14,COLUMN()*2-3))</f>
        <v/>
      </c>
      <c r="K138" t="str" cm="1">
        <f>IF(ISBLANK(INDEX(Array_WaterChargeData,ROW()-14,COLUMN()*2-3)),"",INDEX(Array_WaterChargeData,ROW()-14,COLUMN()*2-3))</f>
        <v/>
      </c>
    </row>
    <row r="139" spans="1:11" x14ac:dyDescent="0.35">
      <c r="A139" t="str">
        <f>IF('Water Meters'!B127="",A138,'Water Meters'!B127)</f>
        <v>Meter Numbers</v>
      </c>
      <c r="B139" t="str" cm="1">
        <f>IF(ISBLANK(INDEX(Array_WaterChargeData,ROW()-14,COLUMN()*2-3)),"",INDEX(Array_WaterChargeData,ROW()-14,COLUMN()*2-3))</f>
        <v/>
      </c>
      <c r="C139" t="str" cm="1">
        <f>IF(ISBLANK(INDEX(Array_WaterChargeData,ROW()-14,COLUMN()*2-3)),"",INDEX(Array_WaterChargeData,ROW()-14,COLUMN()*2-3))</f>
        <v/>
      </c>
      <c r="D139" t="str" cm="1">
        <f>IF(ISBLANK(INDEX(Array_WaterChargeData,ROW()-14,COLUMN()*2-3)),"",INDEX(Array_WaterChargeData,ROW()-14,COLUMN()*2-3))</f>
        <v/>
      </c>
      <c r="E139" t="str" cm="1">
        <f>IF(ISBLANK(INDEX(Array_WaterChargeData,ROW()-14,COLUMN()*2-3)),"",INDEX(Array_WaterChargeData,ROW()-14,COLUMN()*2-3))</f>
        <v/>
      </c>
      <c r="F139" t="str" cm="1">
        <f>IF(ISBLANK(INDEX(Array_WaterChargeData,ROW()-14,COLUMN()*2-3)),"",INDEX(Array_WaterChargeData,ROW()-14,COLUMN()*2-3))</f>
        <v/>
      </c>
      <c r="G139" t="str" cm="1">
        <f>IF(ISBLANK(INDEX(Array_WaterChargeData,ROW()-14,COLUMN()*2-3)),"",INDEX(Array_WaterChargeData,ROW()-14,COLUMN()*2-3))</f>
        <v/>
      </c>
      <c r="H139" t="str" cm="1">
        <f>IF(ISBLANK(INDEX(Array_WaterChargeData,ROW()-14,COLUMN()*2-3)),"",INDEX(Array_WaterChargeData,ROW()-14,COLUMN()*2-3))</f>
        <v/>
      </c>
      <c r="I139" t="str" cm="1">
        <f>IF(ISBLANK(INDEX(Array_WaterChargeData,ROW()-14,COLUMN()*2-3)),"",INDEX(Array_WaterChargeData,ROW()-14,COLUMN()*2-3))</f>
        <v/>
      </c>
      <c r="J139" t="str" cm="1">
        <f>IF(ISBLANK(INDEX(Array_WaterChargeData,ROW()-14,COLUMN()*2-3)),"",INDEX(Array_WaterChargeData,ROW()-14,COLUMN()*2-3))</f>
        <v/>
      </c>
      <c r="K139" t="str" cm="1">
        <f>IF(ISBLANK(INDEX(Array_WaterChargeData,ROW()-14,COLUMN()*2-3)),"",INDEX(Array_WaterChargeData,ROW()-14,COLUMN()*2-3))</f>
        <v/>
      </c>
    </row>
    <row r="140" spans="1:11" x14ac:dyDescent="0.35">
      <c r="A140" t="str">
        <f>IF('Water Meters'!B128="",A139,'Water Meters'!B128)</f>
        <v>Meter Numbers</v>
      </c>
      <c r="B140" t="str" cm="1">
        <f>IF(ISBLANK(INDEX(Array_WaterChargeData,ROW()-14,COLUMN()*2-3)),"",INDEX(Array_WaterChargeData,ROW()-14,COLUMN()*2-3))</f>
        <v/>
      </c>
      <c r="C140" t="str" cm="1">
        <f>IF(ISBLANK(INDEX(Array_WaterChargeData,ROW()-14,COLUMN()*2-3)),"",INDEX(Array_WaterChargeData,ROW()-14,COLUMN()*2-3))</f>
        <v/>
      </c>
      <c r="D140" t="str" cm="1">
        <f>IF(ISBLANK(INDEX(Array_WaterChargeData,ROW()-14,COLUMN()*2-3)),"",INDEX(Array_WaterChargeData,ROW()-14,COLUMN()*2-3))</f>
        <v/>
      </c>
      <c r="E140" t="str" cm="1">
        <f>IF(ISBLANK(INDEX(Array_WaterChargeData,ROW()-14,COLUMN()*2-3)),"",INDEX(Array_WaterChargeData,ROW()-14,COLUMN()*2-3))</f>
        <v/>
      </c>
      <c r="F140" t="str" cm="1">
        <f>IF(ISBLANK(INDEX(Array_WaterChargeData,ROW()-14,COLUMN()*2-3)),"",INDEX(Array_WaterChargeData,ROW()-14,COLUMN()*2-3))</f>
        <v/>
      </c>
      <c r="G140" t="str" cm="1">
        <f>IF(ISBLANK(INDEX(Array_WaterChargeData,ROW()-14,COLUMN()*2-3)),"",INDEX(Array_WaterChargeData,ROW()-14,COLUMN()*2-3))</f>
        <v/>
      </c>
      <c r="H140" t="str" cm="1">
        <f>IF(ISBLANK(INDEX(Array_WaterChargeData,ROW()-14,COLUMN()*2-3)),"",INDEX(Array_WaterChargeData,ROW()-14,COLUMN()*2-3))</f>
        <v/>
      </c>
      <c r="I140" t="str" cm="1">
        <f>IF(ISBLANK(INDEX(Array_WaterChargeData,ROW()-14,COLUMN()*2-3)),"",INDEX(Array_WaterChargeData,ROW()-14,COLUMN()*2-3))</f>
        <v/>
      </c>
      <c r="J140" t="str" cm="1">
        <f>IF(ISBLANK(INDEX(Array_WaterChargeData,ROW()-14,COLUMN()*2-3)),"",INDEX(Array_WaterChargeData,ROW()-14,COLUMN()*2-3))</f>
        <v/>
      </c>
      <c r="K140" t="str" cm="1">
        <f>IF(ISBLANK(INDEX(Array_WaterChargeData,ROW()-14,COLUMN()*2-3)),"",INDEX(Array_WaterChargeData,ROW()-14,COLUMN()*2-3))</f>
        <v/>
      </c>
    </row>
    <row r="141" spans="1:11" x14ac:dyDescent="0.35">
      <c r="A141" t="str">
        <f>IF('Water Meters'!B129="",A140,'Water Meters'!B129)</f>
        <v>Meter Numbers</v>
      </c>
      <c r="B141" t="str" cm="1">
        <f>IF(ISBLANK(INDEX(Array_WaterChargeData,ROW()-14,COLUMN()*2-3)),"",INDEX(Array_WaterChargeData,ROW()-14,COLUMN()*2-3))</f>
        <v/>
      </c>
      <c r="C141" t="str" cm="1">
        <f>IF(ISBLANK(INDEX(Array_WaterChargeData,ROW()-14,COLUMN()*2-3)),"",INDEX(Array_WaterChargeData,ROW()-14,COLUMN()*2-3))</f>
        <v/>
      </c>
      <c r="D141" t="str" cm="1">
        <f>IF(ISBLANK(INDEX(Array_WaterChargeData,ROW()-14,COLUMN()*2-3)),"",INDEX(Array_WaterChargeData,ROW()-14,COLUMN()*2-3))</f>
        <v/>
      </c>
      <c r="E141" t="str" cm="1">
        <f>IF(ISBLANK(INDEX(Array_WaterChargeData,ROW()-14,COLUMN()*2-3)),"",INDEX(Array_WaterChargeData,ROW()-14,COLUMN()*2-3))</f>
        <v/>
      </c>
      <c r="F141" t="str" cm="1">
        <f>IF(ISBLANK(INDEX(Array_WaterChargeData,ROW()-14,COLUMN()*2-3)),"",INDEX(Array_WaterChargeData,ROW()-14,COLUMN()*2-3))</f>
        <v/>
      </c>
      <c r="G141" t="str" cm="1">
        <f>IF(ISBLANK(INDEX(Array_WaterChargeData,ROW()-14,COLUMN()*2-3)),"",INDEX(Array_WaterChargeData,ROW()-14,COLUMN()*2-3))</f>
        <v/>
      </c>
      <c r="H141" t="str" cm="1">
        <f>IF(ISBLANK(INDEX(Array_WaterChargeData,ROW()-14,COLUMN()*2-3)),"",INDEX(Array_WaterChargeData,ROW()-14,COLUMN()*2-3))</f>
        <v/>
      </c>
      <c r="I141" t="str" cm="1">
        <f>IF(ISBLANK(INDEX(Array_WaterChargeData,ROW()-14,COLUMN()*2-3)),"",INDEX(Array_WaterChargeData,ROW()-14,COLUMN()*2-3))</f>
        <v/>
      </c>
      <c r="J141" t="str" cm="1">
        <f>IF(ISBLANK(INDEX(Array_WaterChargeData,ROW()-14,COLUMN()*2-3)),"",INDEX(Array_WaterChargeData,ROW()-14,COLUMN()*2-3))</f>
        <v/>
      </c>
      <c r="K141" t="str" cm="1">
        <f>IF(ISBLANK(INDEX(Array_WaterChargeData,ROW()-14,COLUMN()*2-3)),"",INDEX(Array_WaterChargeData,ROW()-14,COLUMN()*2-3))</f>
        <v/>
      </c>
    </row>
    <row r="142" spans="1:11" x14ac:dyDescent="0.35">
      <c r="A142" t="str">
        <f>IF('Water Meters'!B130="",A141,'Water Meters'!B130)</f>
        <v>Meter Numbers</v>
      </c>
      <c r="B142" t="str" cm="1">
        <f>IF(ISBLANK(INDEX(Array_WaterChargeData,ROW()-14,COLUMN()*2-3)),"",INDEX(Array_WaterChargeData,ROW()-14,COLUMN()*2-3))</f>
        <v/>
      </c>
      <c r="C142" t="str" cm="1">
        <f>IF(ISBLANK(INDEX(Array_WaterChargeData,ROW()-14,COLUMN()*2-3)),"",INDEX(Array_WaterChargeData,ROW()-14,COLUMN()*2-3))</f>
        <v/>
      </c>
      <c r="D142" t="str" cm="1">
        <f>IF(ISBLANK(INDEX(Array_WaterChargeData,ROW()-14,COLUMN()*2-3)),"",INDEX(Array_WaterChargeData,ROW()-14,COLUMN()*2-3))</f>
        <v/>
      </c>
      <c r="E142" t="str" cm="1">
        <f>IF(ISBLANK(INDEX(Array_WaterChargeData,ROW()-14,COLUMN()*2-3)),"",INDEX(Array_WaterChargeData,ROW()-14,COLUMN()*2-3))</f>
        <v/>
      </c>
      <c r="F142" t="str" cm="1">
        <f>IF(ISBLANK(INDEX(Array_WaterChargeData,ROW()-14,COLUMN()*2-3)),"",INDEX(Array_WaterChargeData,ROW()-14,COLUMN()*2-3))</f>
        <v/>
      </c>
      <c r="G142" t="str" cm="1">
        <f>IF(ISBLANK(INDEX(Array_WaterChargeData,ROW()-14,COLUMN()*2-3)),"",INDEX(Array_WaterChargeData,ROW()-14,COLUMN()*2-3))</f>
        <v/>
      </c>
      <c r="H142" t="str" cm="1">
        <f>IF(ISBLANK(INDEX(Array_WaterChargeData,ROW()-14,COLUMN()*2-3)),"",INDEX(Array_WaterChargeData,ROW()-14,COLUMN()*2-3))</f>
        <v/>
      </c>
      <c r="I142" t="str" cm="1">
        <f>IF(ISBLANK(INDEX(Array_WaterChargeData,ROW()-14,COLUMN()*2-3)),"",INDEX(Array_WaterChargeData,ROW()-14,COLUMN()*2-3))</f>
        <v/>
      </c>
      <c r="J142" t="str" cm="1">
        <f>IF(ISBLANK(INDEX(Array_WaterChargeData,ROW()-14,COLUMN()*2-3)),"",INDEX(Array_WaterChargeData,ROW()-14,COLUMN()*2-3))</f>
        <v/>
      </c>
      <c r="K142" t="str" cm="1">
        <f>IF(ISBLANK(INDEX(Array_WaterChargeData,ROW()-14,COLUMN()*2-3)),"",INDEX(Array_WaterChargeData,ROW()-14,COLUMN()*2-3))</f>
        <v/>
      </c>
    </row>
    <row r="143" spans="1:11" x14ac:dyDescent="0.35">
      <c r="A143" t="str">
        <f>IF('Water Meters'!B131="",A142,'Water Meters'!B131)</f>
        <v>Meter Numbers</v>
      </c>
      <c r="B143" t="str" cm="1">
        <f>IF(ISBLANK(INDEX(Array_WaterChargeData,ROW()-14,COLUMN()*2-3)),"",INDEX(Array_WaterChargeData,ROW()-14,COLUMN()*2-3))</f>
        <v/>
      </c>
      <c r="C143" t="str" cm="1">
        <f>IF(ISBLANK(INDEX(Array_WaterChargeData,ROW()-14,COLUMN()*2-3)),"",INDEX(Array_WaterChargeData,ROW()-14,COLUMN()*2-3))</f>
        <v/>
      </c>
      <c r="D143" t="str" cm="1">
        <f>IF(ISBLANK(INDEX(Array_WaterChargeData,ROW()-14,COLUMN()*2-3)),"",INDEX(Array_WaterChargeData,ROW()-14,COLUMN()*2-3))</f>
        <v/>
      </c>
      <c r="E143" t="str" cm="1">
        <f>IF(ISBLANK(INDEX(Array_WaterChargeData,ROW()-14,COLUMN()*2-3)),"",INDEX(Array_WaterChargeData,ROW()-14,COLUMN()*2-3))</f>
        <v/>
      </c>
      <c r="F143" t="str" cm="1">
        <f>IF(ISBLANK(INDEX(Array_WaterChargeData,ROW()-14,COLUMN()*2-3)),"",INDEX(Array_WaterChargeData,ROW()-14,COLUMN()*2-3))</f>
        <v/>
      </c>
      <c r="G143" t="str" cm="1">
        <f>IF(ISBLANK(INDEX(Array_WaterChargeData,ROW()-14,COLUMN()*2-3)),"",INDEX(Array_WaterChargeData,ROW()-14,COLUMN()*2-3))</f>
        <v/>
      </c>
      <c r="H143" t="str" cm="1">
        <f>IF(ISBLANK(INDEX(Array_WaterChargeData,ROW()-14,COLUMN()*2-3)),"",INDEX(Array_WaterChargeData,ROW()-14,COLUMN()*2-3))</f>
        <v/>
      </c>
      <c r="I143" t="str" cm="1">
        <f>IF(ISBLANK(INDEX(Array_WaterChargeData,ROW()-14,COLUMN()*2-3)),"",INDEX(Array_WaterChargeData,ROW()-14,COLUMN()*2-3))</f>
        <v/>
      </c>
      <c r="J143" t="str" cm="1">
        <f>IF(ISBLANK(INDEX(Array_WaterChargeData,ROW()-14,COLUMN()*2-3)),"",INDEX(Array_WaterChargeData,ROW()-14,COLUMN()*2-3))</f>
        <v/>
      </c>
      <c r="K143" t="str" cm="1">
        <f>IF(ISBLANK(INDEX(Array_WaterChargeData,ROW()-14,COLUMN()*2-3)),"",INDEX(Array_WaterChargeData,ROW()-14,COLUMN()*2-3))</f>
        <v/>
      </c>
    </row>
    <row r="144" spans="1:11" x14ac:dyDescent="0.35">
      <c r="A144" t="str">
        <f>IF('Water Meters'!B132="",A143,'Water Meters'!B132)</f>
        <v>Meter Numbers</v>
      </c>
      <c r="B144" t="str" cm="1">
        <f>IF(ISBLANK(INDEX(Array_WaterChargeData,ROW()-14,COLUMN()*2-3)),"",INDEX(Array_WaterChargeData,ROW()-14,COLUMN()*2-3))</f>
        <v/>
      </c>
      <c r="C144" t="str" cm="1">
        <f>IF(ISBLANK(INDEX(Array_WaterChargeData,ROW()-14,COLUMN()*2-3)),"",INDEX(Array_WaterChargeData,ROW()-14,COLUMN()*2-3))</f>
        <v/>
      </c>
      <c r="D144" t="str" cm="1">
        <f>IF(ISBLANK(INDEX(Array_WaterChargeData,ROW()-14,COLUMN()*2-3)),"",INDEX(Array_WaterChargeData,ROW()-14,COLUMN()*2-3))</f>
        <v/>
      </c>
      <c r="E144" t="str" cm="1">
        <f>IF(ISBLANK(INDEX(Array_WaterChargeData,ROW()-14,COLUMN()*2-3)),"",INDEX(Array_WaterChargeData,ROW()-14,COLUMN()*2-3))</f>
        <v/>
      </c>
      <c r="F144" t="str" cm="1">
        <f>IF(ISBLANK(INDEX(Array_WaterChargeData,ROW()-14,COLUMN()*2-3)),"",INDEX(Array_WaterChargeData,ROW()-14,COLUMN()*2-3))</f>
        <v/>
      </c>
      <c r="G144" t="str" cm="1">
        <f>IF(ISBLANK(INDEX(Array_WaterChargeData,ROW()-14,COLUMN()*2-3)),"",INDEX(Array_WaterChargeData,ROW()-14,COLUMN()*2-3))</f>
        <v/>
      </c>
      <c r="H144" t="str" cm="1">
        <f>IF(ISBLANK(INDEX(Array_WaterChargeData,ROW()-14,COLUMN()*2-3)),"",INDEX(Array_WaterChargeData,ROW()-14,COLUMN()*2-3))</f>
        <v/>
      </c>
      <c r="I144" t="str" cm="1">
        <f>IF(ISBLANK(INDEX(Array_WaterChargeData,ROW()-14,COLUMN()*2-3)),"",INDEX(Array_WaterChargeData,ROW()-14,COLUMN()*2-3))</f>
        <v/>
      </c>
      <c r="J144" t="str" cm="1">
        <f>IF(ISBLANK(INDEX(Array_WaterChargeData,ROW()-14,COLUMN()*2-3)),"",INDEX(Array_WaterChargeData,ROW()-14,COLUMN()*2-3))</f>
        <v/>
      </c>
      <c r="K144" t="str" cm="1">
        <f>IF(ISBLANK(INDEX(Array_WaterChargeData,ROW()-14,COLUMN()*2-3)),"",INDEX(Array_WaterChargeData,ROW()-14,COLUMN()*2-3))</f>
        <v/>
      </c>
    </row>
    <row r="145" spans="1:11" x14ac:dyDescent="0.35">
      <c r="A145" t="str">
        <f>IF('Water Meters'!B133="",A144,'Water Meters'!B133)</f>
        <v>Meter Numbers</v>
      </c>
      <c r="B145" t="str" cm="1">
        <f>IF(ISBLANK(INDEX(Array_WaterChargeData,ROW()-14,COLUMN()*2-3)),"",INDEX(Array_WaterChargeData,ROW()-14,COLUMN()*2-3))</f>
        <v/>
      </c>
      <c r="C145" t="str" cm="1">
        <f>IF(ISBLANK(INDEX(Array_WaterChargeData,ROW()-14,COLUMN()*2-3)),"",INDEX(Array_WaterChargeData,ROW()-14,COLUMN()*2-3))</f>
        <v/>
      </c>
      <c r="D145" t="str" cm="1">
        <f>IF(ISBLANK(INDEX(Array_WaterChargeData,ROW()-14,COLUMN()*2-3)),"",INDEX(Array_WaterChargeData,ROW()-14,COLUMN()*2-3))</f>
        <v/>
      </c>
      <c r="E145" t="str" cm="1">
        <f>IF(ISBLANK(INDEX(Array_WaterChargeData,ROW()-14,COLUMN()*2-3)),"",INDEX(Array_WaterChargeData,ROW()-14,COLUMN()*2-3))</f>
        <v/>
      </c>
      <c r="F145" t="str" cm="1">
        <f>IF(ISBLANK(INDEX(Array_WaterChargeData,ROW()-14,COLUMN()*2-3)),"",INDEX(Array_WaterChargeData,ROW()-14,COLUMN()*2-3))</f>
        <v/>
      </c>
      <c r="G145" t="str" cm="1">
        <f>IF(ISBLANK(INDEX(Array_WaterChargeData,ROW()-14,COLUMN()*2-3)),"",INDEX(Array_WaterChargeData,ROW()-14,COLUMN()*2-3))</f>
        <v/>
      </c>
      <c r="H145" t="str" cm="1">
        <f>IF(ISBLANK(INDEX(Array_WaterChargeData,ROW()-14,COLUMN()*2-3)),"",INDEX(Array_WaterChargeData,ROW()-14,COLUMN()*2-3))</f>
        <v/>
      </c>
      <c r="I145" t="str" cm="1">
        <f>IF(ISBLANK(INDEX(Array_WaterChargeData,ROW()-14,COLUMN()*2-3)),"",INDEX(Array_WaterChargeData,ROW()-14,COLUMN()*2-3))</f>
        <v/>
      </c>
      <c r="J145" t="str" cm="1">
        <f>IF(ISBLANK(INDEX(Array_WaterChargeData,ROW()-14,COLUMN()*2-3)),"",INDEX(Array_WaterChargeData,ROW()-14,COLUMN()*2-3))</f>
        <v/>
      </c>
      <c r="K145" t="str" cm="1">
        <f>IF(ISBLANK(INDEX(Array_WaterChargeData,ROW()-14,COLUMN()*2-3)),"",INDEX(Array_WaterChargeData,ROW()-14,COLUMN()*2-3))</f>
        <v/>
      </c>
    </row>
    <row r="146" spans="1:11" x14ac:dyDescent="0.35">
      <c r="A146" t="str">
        <f>IF('Water Meters'!B134="",A145,'Water Meters'!B134)</f>
        <v>Meter Numbers</v>
      </c>
      <c r="B146" t="str" cm="1">
        <f>IF(ISBLANK(INDEX(Array_WaterChargeData,ROW()-14,COLUMN()*2-3)),"",INDEX(Array_WaterChargeData,ROW()-14,COLUMN()*2-3))</f>
        <v/>
      </c>
      <c r="C146" t="str" cm="1">
        <f>IF(ISBLANK(INDEX(Array_WaterChargeData,ROW()-14,COLUMN()*2-3)),"",INDEX(Array_WaterChargeData,ROW()-14,COLUMN()*2-3))</f>
        <v/>
      </c>
      <c r="D146" t="str" cm="1">
        <f>IF(ISBLANK(INDEX(Array_WaterChargeData,ROW()-14,COLUMN()*2-3)),"",INDEX(Array_WaterChargeData,ROW()-14,COLUMN()*2-3))</f>
        <v/>
      </c>
      <c r="E146" t="str" cm="1">
        <f>IF(ISBLANK(INDEX(Array_WaterChargeData,ROW()-14,COLUMN()*2-3)),"",INDEX(Array_WaterChargeData,ROW()-14,COLUMN()*2-3))</f>
        <v/>
      </c>
      <c r="F146" t="str" cm="1">
        <f>IF(ISBLANK(INDEX(Array_WaterChargeData,ROW()-14,COLUMN()*2-3)),"",INDEX(Array_WaterChargeData,ROW()-14,COLUMN()*2-3))</f>
        <v/>
      </c>
      <c r="G146" t="str" cm="1">
        <f>IF(ISBLANK(INDEX(Array_WaterChargeData,ROW()-14,COLUMN()*2-3)),"",INDEX(Array_WaterChargeData,ROW()-14,COLUMN()*2-3))</f>
        <v/>
      </c>
      <c r="H146" t="str" cm="1">
        <f>IF(ISBLANK(INDEX(Array_WaterChargeData,ROW()-14,COLUMN()*2-3)),"",INDEX(Array_WaterChargeData,ROW()-14,COLUMN()*2-3))</f>
        <v/>
      </c>
      <c r="I146" t="str" cm="1">
        <f>IF(ISBLANK(INDEX(Array_WaterChargeData,ROW()-14,COLUMN()*2-3)),"",INDEX(Array_WaterChargeData,ROW()-14,COLUMN()*2-3))</f>
        <v/>
      </c>
      <c r="J146" t="str" cm="1">
        <f>IF(ISBLANK(INDEX(Array_WaterChargeData,ROW()-14,COLUMN()*2-3)),"",INDEX(Array_WaterChargeData,ROW()-14,COLUMN()*2-3))</f>
        <v/>
      </c>
      <c r="K146" t="str" cm="1">
        <f>IF(ISBLANK(INDEX(Array_WaterChargeData,ROW()-14,COLUMN()*2-3)),"",INDEX(Array_WaterChargeData,ROW()-14,COLUMN()*2-3))</f>
        <v/>
      </c>
    </row>
    <row r="147" spans="1:11" x14ac:dyDescent="0.35">
      <c r="A147" t="str">
        <f>IF('Water Meters'!B135="",A146,'Water Meters'!B135)</f>
        <v>Meter Numbers</v>
      </c>
      <c r="B147" t="str" cm="1">
        <f>IF(ISBLANK(INDEX(Array_WaterChargeData,ROW()-14,COLUMN()*2-3)),"",INDEX(Array_WaterChargeData,ROW()-14,COLUMN()*2-3))</f>
        <v/>
      </c>
      <c r="C147" t="str" cm="1">
        <f>IF(ISBLANK(INDEX(Array_WaterChargeData,ROW()-14,COLUMN()*2-3)),"",INDEX(Array_WaterChargeData,ROW()-14,COLUMN()*2-3))</f>
        <v/>
      </c>
      <c r="D147" t="str" cm="1">
        <f>IF(ISBLANK(INDEX(Array_WaterChargeData,ROW()-14,COLUMN()*2-3)),"",INDEX(Array_WaterChargeData,ROW()-14,COLUMN()*2-3))</f>
        <v/>
      </c>
      <c r="E147" t="str" cm="1">
        <f>IF(ISBLANK(INDEX(Array_WaterChargeData,ROW()-14,COLUMN()*2-3)),"",INDEX(Array_WaterChargeData,ROW()-14,COLUMN()*2-3))</f>
        <v/>
      </c>
      <c r="F147" t="str" cm="1">
        <f>IF(ISBLANK(INDEX(Array_WaterChargeData,ROW()-14,COLUMN()*2-3)),"",INDEX(Array_WaterChargeData,ROW()-14,COLUMN()*2-3))</f>
        <v/>
      </c>
      <c r="G147" t="str" cm="1">
        <f>IF(ISBLANK(INDEX(Array_WaterChargeData,ROW()-14,COLUMN()*2-3)),"",INDEX(Array_WaterChargeData,ROW()-14,COLUMN()*2-3))</f>
        <v/>
      </c>
      <c r="H147" t="str" cm="1">
        <f>IF(ISBLANK(INDEX(Array_WaterChargeData,ROW()-14,COLUMN()*2-3)),"",INDEX(Array_WaterChargeData,ROW()-14,COLUMN()*2-3))</f>
        <v/>
      </c>
      <c r="I147" t="str" cm="1">
        <f>IF(ISBLANK(INDEX(Array_WaterChargeData,ROW()-14,COLUMN()*2-3)),"",INDEX(Array_WaterChargeData,ROW()-14,COLUMN()*2-3))</f>
        <v/>
      </c>
      <c r="J147" t="str" cm="1">
        <f>IF(ISBLANK(INDEX(Array_WaterChargeData,ROW()-14,COLUMN()*2-3)),"",INDEX(Array_WaterChargeData,ROW()-14,COLUMN()*2-3))</f>
        <v/>
      </c>
      <c r="K147" t="str" cm="1">
        <f>IF(ISBLANK(INDEX(Array_WaterChargeData,ROW()-14,COLUMN()*2-3)),"",INDEX(Array_WaterChargeData,ROW()-14,COLUMN()*2-3))</f>
        <v/>
      </c>
    </row>
    <row r="148" spans="1:11" x14ac:dyDescent="0.35">
      <c r="A148" t="str">
        <f>IF('Water Meters'!B136="",A147,'Water Meters'!B136)</f>
        <v>Meter Numbers</v>
      </c>
      <c r="B148" t="str" cm="1">
        <f>IF(ISBLANK(INDEX(Array_WaterChargeData,ROW()-14,COLUMN()*2-3)),"",INDEX(Array_WaterChargeData,ROW()-14,COLUMN()*2-3))</f>
        <v/>
      </c>
      <c r="C148" t="str" cm="1">
        <f>IF(ISBLANK(INDEX(Array_WaterChargeData,ROW()-14,COLUMN()*2-3)),"",INDEX(Array_WaterChargeData,ROW()-14,COLUMN()*2-3))</f>
        <v/>
      </c>
      <c r="D148" t="str" cm="1">
        <f>IF(ISBLANK(INDEX(Array_WaterChargeData,ROW()-14,COLUMN()*2-3)),"",INDEX(Array_WaterChargeData,ROW()-14,COLUMN()*2-3))</f>
        <v/>
      </c>
      <c r="E148" t="str" cm="1">
        <f>IF(ISBLANK(INDEX(Array_WaterChargeData,ROW()-14,COLUMN()*2-3)),"",INDEX(Array_WaterChargeData,ROW()-14,COLUMN()*2-3))</f>
        <v/>
      </c>
      <c r="F148" t="str" cm="1">
        <f>IF(ISBLANK(INDEX(Array_WaterChargeData,ROW()-14,COLUMN()*2-3)),"",INDEX(Array_WaterChargeData,ROW()-14,COLUMN()*2-3))</f>
        <v/>
      </c>
      <c r="G148" t="str" cm="1">
        <f>IF(ISBLANK(INDEX(Array_WaterChargeData,ROW()-14,COLUMN()*2-3)),"",INDEX(Array_WaterChargeData,ROW()-14,COLUMN()*2-3))</f>
        <v/>
      </c>
      <c r="H148" t="str" cm="1">
        <f>IF(ISBLANK(INDEX(Array_WaterChargeData,ROW()-14,COLUMN()*2-3)),"",INDEX(Array_WaterChargeData,ROW()-14,COLUMN()*2-3))</f>
        <v/>
      </c>
      <c r="I148" t="str" cm="1">
        <f>IF(ISBLANK(INDEX(Array_WaterChargeData,ROW()-14,COLUMN()*2-3)),"",INDEX(Array_WaterChargeData,ROW()-14,COLUMN()*2-3))</f>
        <v/>
      </c>
      <c r="J148" t="str" cm="1">
        <f>IF(ISBLANK(INDEX(Array_WaterChargeData,ROW()-14,COLUMN()*2-3)),"",INDEX(Array_WaterChargeData,ROW()-14,COLUMN()*2-3))</f>
        <v/>
      </c>
      <c r="K148" t="str" cm="1">
        <f>IF(ISBLANK(INDEX(Array_WaterChargeData,ROW()-14,COLUMN()*2-3)),"",INDEX(Array_WaterChargeData,ROW()-14,COLUMN()*2-3))</f>
        <v/>
      </c>
    </row>
    <row r="149" spans="1:11" x14ac:dyDescent="0.35">
      <c r="A149" t="str">
        <f>IF('Water Meters'!B137="",A148,'Water Meters'!B137)</f>
        <v>Meter Numbers</v>
      </c>
      <c r="B149" t="str" cm="1">
        <f>IF(ISBLANK(INDEX(Array_WaterChargeData,ROW()-14,COLUMN()*2-3)),"",INDEX(Array_WaterChargeData,ROW()-14,COLUMN()*2-3))</f>
        <v/>
      </c>
      <c r="C149" t="str" cm="1">
        <f>IF(ISBLANK(INDEX(Array_WaterChargeData,ROW()-14,COLUMN()*2-3)),"",INDEX(Array_WaterChargeData,ROW()-14,COLUMN()*2-3))</f>
        <v/>
      </c>
      <c r="D149" t="str" cm="1">
        <f>IF(ISBLANK(INDEX(Array_WaterChargeData,ROW()-14,COLUMN()*2-3)),"",INDEX(Array_WaterChargeData,ROW()-14,COLUMN()*2-3))</f>
        <v/>
      </c>
      <c r="E149" t="str" cm="1">
        <f>IF(ISBLANK(INDEX(Array_WaterChargeData,ROW()-14,COLUMN()*2-3)),"",INDEX(Array_WaterChargeData,ROW()-14,COLUMN()*2-3))</f>
        <v/>
      </c>
      <c r="F149" t="str" cm="1">
        <f>IF(ISBLANK(INDEX(Array_WaterChargeData,ROW()-14,COLUMN()*2-3)),"",INDEX(Array_WaterChargeData,ROW()-14,COLUMN()*2-3))</f>
        <v/>
      </c>
      <c r="G149" t="str" cm="1">
        <f>IF(ISBLANK(INDEX(Array_WaterChargeData,ROW()-14,COLUMN()*2-3)),"",INDEX(Array_WaterChargeData,ROW()-14,COLUMN()*2-3))</f>
        <v/>
      </c>
      <c r="H149" t="str" cm="1">
        <f>IF(ISBLANK(INDEX(Array_WaterChargeData,ROW()-14,COLUMN()*2-3)),"",INDEX(Array_WaterChargeData,ROW()-14,COLUMN()*2-3))</f>
        <v/>
      </c>
      <c r="I149" t="str" cm="1">
        <f>IF(ISBLANK(INDEX(Array_WaterChargeData,ROW()-14,COLUMN()*2-3)),"",INDEX(Array_WaterChargeData,ROW()-14,COLUMN()*2-3))</f>
        <v/>
      </c>
      <c r="J149" t="str" cm="1">
        <f>IF(ISBLANK(INDEX(Array_WaterChargeData,ROW()-14,COLUMN()*2-3)),"",INDEX(Array_WaterChargeData,ROW()-14,COLUMN()*2-3))</f>
        <v/>
      </c>
      <c r="K149" t="str" cm="1">
        <f>IF(ISBLANK(INDEX(Array_WaterChargeData,ROW()-14,COLUMN()*2-3)),"",INDEX(Array_WaterChargeData,ROW()-14,COLUMN()*2-3))</f>
        <v/>
      </c>
    </row>
    <row r="150" spans="1:11" x14ac:dyDescent="0.35">
      <c r="A150" t="str">
        <f>IF('Water Meters'!B138="",A149,'Water Meters'!B138)</f>
        <v>Meter Numbers</v>
      </c>
      <c r="B150" t="str" cm="1">
        <f>IF(ISBLANK(INDEX(Array_WaterChargeData,ROW()-14,COLUMN()*2-3)),"",INDEX(Array_WaterChargeData,ROW()-14,COLUMN()*2-3))</f>
        <v/>
      </c>
      <c r="C150" t="str" cm="1">
        <f>IF(ISBLANK(INDEX(Array_WaterChargeData,ROW()-14,COLUMN()*2-3)),"",INDEX(Array_WaterChargeData,ROW()-14,COLUMN()*2-3))</f>
        <v/>
      </c>
      <c r="D150" t="str" cm="1">
        <f>IF(ISBLANK(INDEX(Array_WaterChargeData,ROW()-14,COLUMN()*2-3)),"",INDEX(Array_WaterChargeData,ROW()-14,COLUMN()*2-3))</f>
        <v/>
      </c>
      <c r="E150" t="str" cm="1">
        <f>IF(ISBLANK(INDEX(Array_WaterChargeData,ROW()-14,COLUMN()*2-3)),"",INDEX(Array_WaterChargeData,ROW()-14,COLUMN()*2-3))</f>
        <v/>
      </c>
      <c r="F150" t="str" cm="1">
        <f>IF(ISBLANK(INDEX(Array_WaterChargeData,ROW()-14,COLUMN()*2-3)),"",INDEX(Array_WaterChargeData,ROW()-14,COLUMN()*2-3))</f>
        <v/>
      </c>
      <c r="G150" t="str" cm="1">
        <f>IF(ISBLANK(INDEX(Array_WaterChargeData,ROW()-14,COLUMN()*2-3)),"",INDEX(Array_WaterChargeData,ROW()-14,COLUMN()*2-3))</f>
        <v/>
      </c>
      <c r="H150" t="str" cm="1">
        <f>IF(ISBLANK(INDEX(Array_WaterChargeData,ROW()-14,COLUMN()*2-3)),"",INDEX(Array_WaterChargeData,ROW()-14,COLUMN()*2-3))</f>
        <v/>
      </c>
      <c r="I150" t="str" cm="1">
        <f>IF(ISBLANK(INDEX(Array_WaterChargeData,ROW()-14,COLUMN()*2-3)),"",INDEX(Array_WaterChargeData,ROW()-14,COLUMN()*2-3))</f>
        <v/>
      </c>
      <c r="J150" t="str" cm="1">
        <f>IF(ISBLANK(INDEX(Array_WaterChargeData,ROW()-14,COLUMN()*2-3)),"",INDEX(Array_WaterChargeData,ROW()-14,COLUMN()*2-3))</f>
        <v/>
      </c>
      <c r="K150" t="str" cm="1">
        <f>IF(ISBLANK(INDEX(Array_WaterChargeData,ROW()-14,COLUMN()*2-3)),"",INDEX(Array_WaterChargeData,ROW()-14,COLUMN()*2-3))</f>
        <v/>
      </c>
    </row>
    <row r="151" spans="1:11" x14ac:dyDescent="0.35">
      <c r="A151" t="str">
        <f>IF('Water Meters'!B139="",A150,'Water Meters'!B139)</f>
        <v>Meter Numbers</v>
      </c>
      <c r="B151" t="str" cm="1">
        <f>IF(ISBLANK(INDEX(Array_WaterChargeData,ROW()-14,COLUMN()*2-3)),"",INDEX(Array_WaterChargeData,ROW()-14,COLUMN()*2-3))</f>
        <v/>
      </c>
      <c r="C151" t="str" cm="1">
        <f>IF(ISBLANK(INDEX(Array_WaterChargeData,ROW()-14,COLUMN()*2-3)),"",INDEX(Array_WaterChargeData,ROW()-14,COLUMN()*2-3))</f>
        <v/>
      </c>
      <c r="D151" t="str" cm="1">
        <f>IF(ISBLANK(INDEX(Array_WaterChargeData,ROW()-14,COLUMN()*2-3)),"",INDEX(Array_WaterChargeData,ROW()-14,COLUMN()*2-3))</f>
        <v/>
      </c>
      <c r="E151" t="str" cm="1">
        <f>IF(ISBLANK(INDEX(Array_WaterChargeData,ROW()-14,COLUMN()*2-3)),"",INDEX(Array_WaterChargeData,ROW()-14,COLUMN()*2-3))</f>
        <v/>
      </c>
      <c r="F151" t="str" cm="1">
        <f>IF(ISBLANK(INDEX(Array_WaterChargeData,ROW()-14,COLUMN()*2-3)),"",INDEX(Array_WaterChargeData,ROW()-14,COLUMN()*2-3))</f>
        <v/>
      </c>
      <c r="G151" t="str" cm="1">
        <f>IF(ISBLANK(INDEX(Array_WaterChargeData,ROW()-14,COLUMN()*2-3)),"",INDEX(Array_WaterChargeData,ROW()-14,COLUMN()*2-3))</f>
        <v/>
      </c>
      <c r="H151" t="str" cm="1">
        <f>IF(ISBLANK(INDEX(Array_WaterChargeData,ROW()-14,COLUMN()*2-3)),"",INDEX(Array_WaterChargeData,ROW()-14,COLUMN()*2-3))</f>
        <v/>
      </c>
      <c r="I151" t="str" cm="1">
        <f>IF(ISBLANK(INDEX(Array_WaterChargeData,ROW()-14,COLUMN()*2-3)),"",INDEX(Array_WaterChargeData,ROW()-14,COLUMN()*2-3))</f>
        <v/>
      </c>
      <c r="J151" t="str" cm="1">
        <f>IF(ISBLANK(INDEX(Array_WaterChargeData,ROW()-14,COLUMN()*2-3)),"",INDEX(Array_WaterChargeData,ROW()-14,COLUMN()*2-3))</f>
        <v/>
      </c>
      <c r="K151" t="str" cm="1">
        <f>IF(ISBLANK(INDEX(Array_WaterChargeData,ROW()-14,COLUMN()*2-3)),"",INDEX(Array_WaterChargeData,ROW()-14,COLUMN()*2-3))</f>
        <v/>
      </c>
    </row>
    <row r="152" spans="1:11" x14ac:dyDescent="0.35">
      <c r="A152" t="str">
        <f>IF('Water Meters'!B140="",A151,'Water Meters'!B140)</f>
        <v>Meter Numbers</v>
      </c>
      <c r="B152" t="str" cm="1">
        <f>IF(ISBLANK(INDEX(Array_WaterChargeData,ROW()-14,COLUMN()*2-3)),"",INDEX(Array_WaterChargeData,ROW()-14,COLUMN()*2-3))</f>
        <v/>
      </c>
      <c r="C152" t="str" cm="1">
        <f>IF(ISBLANK(INDEX(Array_WaterChargeData,ROW()-14,COLUMN()*2-3)),"",INDEX(Array_WaterChargeData,ROW()-14,COLUMN()*2-3))</f>
        <v/>
      </c>
      <c r="D152" t="str" cm="1">
        <f>IF(ISBLANK(INDEX(Array_WaterChargeData,ROW()-14,COLUMN()*2-3)),"",INDEX(Array_WaterChargeData,ROW()-14,COLUMN()*2-3))</f>
        <v/>
      </c>
      <c r="E152" t="str" cm="1">
        <f>IF(ISBLANK(INDEX(Array_WaterChargeData,ROW()-14,COLUMN()*2-3)),"",INDEX(Array_WaterChargeData,ROW()-14,COLUMN()*2-3))</f>
        <v/>
      </c>
      <c r="F152" t="str" cm="1">
        <f>IF(ISBLANK(INDEX(Array_WaterChargeData,ROW()-14,COLUMN()*2-3)),"",INDEX(Array_WaterChargeData,ROW()-14,COLUMN()*2-3))</f>
        <v/>
      </c>
      <c r="G152" t="str" cm="1">
        <f>IF(ISBLANK(INDEX(Array_WaterChargeData,ROW()-14,COLUMN()*2-3)),"",INDEX(Array_WaterChargeData,ROW()-14,COLUMN()*2-3))</f>
        <v/>
      </c>
      <c r="H152" t="str" cm="1">
        <f>IF(ISBLANK(INDEX(Array_WaterChargeData,ROW()-14,COLUMN()*2-3)),"",INDEX(Array_WaterChargeData,ROW()-14,COLUMN()*2-3))</f>
        <v/>
      </c>
      <c r="I152" t="str" cm="1">
        <f>IF(ISBLANK(INDEX(Array_WaterChargeData,ROW()-14,COLUMN()*2-3)),"",INDEX(Array_WaterChargeData,ROW()-14,COLUMN()*2-3))</f>
        <v/>
      </c>
      <c r="J152" t="str" cm="1">
        <f>IF(ISBLANK(INDEX(Array_WaterChargeData,ROW()-14,COLUMN()*2-3)),"",INDEX(Array_WaterChargeData,ROW()-14,COLUMN()*2-3))</f>
        <v/>
      </c>
      <c r="K152" t="str" cm="1">
        <f>IF(ISBLANK(INDEX(Array_WaterChargeData,ROW()-14,COLUMN()*2-3)),"",INDEX(Array_WaterChargeData,ROW()-14,COLUMN()*2-3))</f>
        <v/>
      </c>
    </row>
    <row r="153" spans="1:11" x14ac:dyDescent="0.35">
      <c r="A153" t="str">
        <f>IF('Water Meters'!B141="",A152,'Water Meters'!B141)</f>
        <v>Meter Numbers</v>
      </c>
      <c r="B153" t="str" cm="1">
        <f>IF(ISBLANK(INDEX(Array_WaterChargeData,ROW()-14,COLUMN()*2-3)),"",INDEX(Array_WaterChargeData,ROW()-14,COLUMN()*2-3))</f>
        <v/>
      </c>
      <c r="C153" t="str" cm="1">
        <f>IF(ISBLANK(INDEX(Array_WaterChargeData,ROW()-14,COLUMN()*2-3)),"",INDEX(Array_WaterChargeData,ROW()-14,COLUMN()*2-3))</f>
        <v/>
      </c>
      <c r="D153" t="str" cm="1">
        <f>IF(ISBLANK(INDEX(Array_WaterChargeData,ROW()-14,COLUMN()*2-3)),"",INDEX(Array_WaterChargeData,ROW()-14,COLUMN()*2-3))</f>
        <v/>
      </c>
      <c r="E153" t="str" cm="1">
        <f>IF(ISBLANK(INDEX(Array_WaterChargeData,ROW()-14,COLUMN()*2-3)),"",INDEX(Array_WaterChargeData,ROW()-14,COLUMN()*2-3))</f>
        <v/>
      </c>
      <c r="F153" t="str" cm="1">
        <f>IF(ISBLANK(INDEX(Array_WaterChargeData,ROW()-14,COLUMN()*2-3)),"",INDEX(Array_WaterChargeData,ROW()-14,COLUMN()*2-3))</f>
        <v/>
      </c>
      <c r="G153" t="str" cm="1">
        <f>IF(ISBLANK(INDEX(Array_WaterChargeData,ROW()-14,COLUMN()*2-3)),"",INDEX(Array_WaterChargeData,ROW()-14,COLUMN()*2-3))</f>
        <v/>
      </c>
      <c r="H153" t="str" cm="1">
        <f>IF(ISBLANK(INDEX(Array_WaterChargeData,ROW()-14,COLUMN()*2-3)),"",INDEX(Array_WaterChargeData,ROW()-14,COLUMN()*2-3))</f>
        <v/>
      </c>
      <c r="I153" t="str" cm="1">
        <f>IF(ISBLANK(INDEX(Array_WaterChargeData,ROW()-14,COLUMN()*2-3)),"",INDEX(Array_WaterChargeData,ROW()-14,COLUMN()*2-3))</f>
        <v/>
      </c>
      <c r="J153" t="str" cm="1">
        <f>IF(ISBLANK(INDEX(Array_WaterChargeData,ROW()-14,COLUMN()*2-3)),"",INDEX(Array_WaterChargeData,ROW()-14,COLUMN()*2-3))</f>
        <v/>
      </c>
      <c r="K153" t="str" cm="1">
        <f>IF(ISBLANK(INDEX(Array_WaterChargeData,ROW()-14,COLUMN()*2-3)),"",INDEX(Array_WaterChargeData,ROW()-14,COLUMN()*2-3))</f>
        <v/>
      </c>
    </row>
    <row r="154" spans="1:11" x14ac:dyDescent="0.35">
      <c r="A154" t="str">
        <f>IF('Water Meters'!B142="",A153,'Water Meters'!B142)</f>
        <v>Meter Numbers</v>
      </c>
      <c r="B154" t="str" cm="1">
        <f>IF(ISBLANK(INDEX(Array_WaterChargeData,ROW()-14,COLUMN()*2-3)),"",INDEX(Array_WaterChargeData,ROW()-14,COLUMN()*2-3))</f>
        <v/>
      </c>
      <c r="C154" t="str" cm="1">
        <f>IF(ISBLANK(INDEX(Array_WaterChargeData,ROW()-14,COLUMN()*2-3)),"",INDEX(Array_WaterChargeData,ROW()-14,COLUMN()*2-3))</f>
        <v/>
      </c>
      <c r="D154" t="str" cm="1">
        <f>IF(ISBLANK(INDEX(Array_WaterChargeData,ROW()-14,COLUMN()*2-3)),"",INDEX(Array_WaterChargeData,ROW()-14,COLUMN()*2-3))</f>
        <v/>
      </c>
      <c r="E154" t="str" cm="1">
        <f>IF(ISBLANK(INDEX(Array_WaterChargeData,ROW()-14,COLUMN()*2-3)),"",INDEX(Array_WaterChargeData,ROW()-14,COLUMN()*2-3))</f>
        <v/>
      </c>
      <c r="F154" t="str" cm="1">
        <f>IF(ISBLANK(INDEX(Array_WaterChargeData,ROW()-14,COLUMN()*2-3)),"",INDEX(Array_WaterChargeData,ROW()-14,COLUMN()*2-3))</f>
        <v/>
      </c>
      <c r="G154" t="str" cm="1">
        <f>IF(ISBLANK(INDEX(Array_WaterChargeData,ROW()-14,COLUMN()*2-3)),"",INDEX(Array_WaterChargeData,ROW()-14,COLUMN()*2-3))</f>
        <v/>
      </c>
      <c r="H154" t="str" cm="1">
        <f>IF(ISBLANK(INDEX(Array_WaterChargeData,ROW()-14,COLUMN()*2-3)),"",INDEX(Array_WaterChargeData,ROW()-14,COLUMN()*2-3))</f>
        <v/>
      </c>
      <c r="I154" t="str" cm="1">
        <f>IF(ISBLANK(INDEX(Array_WaterChargeData,ROW()-14,COLUMN()*2-3)),"",INDEX(Array_WaterChargeData,ROW()-14,COLUMN()*2-3))</f>
        <v/>
      </c>
      <c r="J154" t="str" cm="1">
        <f>IF(ISBLANK(INDEX(Array_WaterChargeData,ROW()-14,COLUMN()*2-3)),"",INDEX(Array_WaterChargeData,ROW()-14,COLUMN()*2-3))</f>
        <v/>
      </c>
      <c r="K154" t="str" cm="1">
        <f>IF(ISBLANK(INDEX(Array_WaterChargeData,ROW()-14,COLUMN()*2-3)),"",INDEX(Array_WaterChargeData,ROW()-14,COLUMN()*2-3))</f>
        <v/>
      </c>
    </row>
    <row r="155" spans="1:11" x14ac:dyDescent="0.35">
      <c r="A155" t="str">
        <f>IF('Water Meters'!B143="",A154,'Water Meters'!B143)</f>
        <v>Meter Numbers</v>
      </c>
      <c r="B155" t="str" cm="1">
        <f>IF(ISBLANK(INDEX(Array_WaterChargeData,ROW()-14,COLUMN()*2-3)),"",INDEX(Array_WaterChargeData,ROW()-14,COLUMN()*2-3))</f>
        <v/>
      </c>
      <c r="C155" t="str" cm="1">
        <f>IF(ISBLANK(INDEX(Array_WaterChargeData,ROW()-14,COLUMN()*2-3)),"",INDEX(Array_WaterChargeData,ROW()-14,COLUMN()*2-3))</f>
        <v/>
      </c>
      <c r="D155" t="str" cm="1">
        <f>IF(ISBLANK(INDEX(Array_WaterChargeData,ROW()-14,COLUMN()*2-3)),"",INDEX(Array_WaterChargeData,ROW()-14,COLUMN()*2-3))</f>
        <v/>
      </c>
      <c r="E155" t="str" cm="1">
        <f>IF(ISBLANK(INDEX(Array_WaterChargeData,ROW()-14,COLUMN()*2-3)),"",INDEX(Array_WaterChargeData,ROW()-14,COLUMN()*2-3))</f>
        <v/>
      </c>
      <c r="F155" t="str" cm="1">
        <f>IF(ISBLANK(INDEX(Array_WaterChargeData,ROW()-14,COLUMN()*2-3)),"",INDEX(Array_WaterChargeData,ROW()-14,COLUMN()*2-3))</f>
        <v/>
      </c>
      <c r="G155" t="str" cm="1">
        <f>IF(ISBLANK(INDEX(Array_WaterChargeData,ROW()-14,COLUMN()*2-3)),"",INDEX(Array_WaterChargeData,ROW()-14,COLUMN()*2-3))</f>
        <v/>
      </c>
      <c r="H155" t="str" cm="1">
        <f>IF(ISBLANK(INDEX(Array_WaterChargeData,ROW()-14,COLUMN()*2-3)),"",INDEX(Array_WaterChargeData,ROW()-14,COLUMN()*2-3))</f>
        <v/>
      </c>
      <c r="I155" t="str" cm="1">
        <f>IF(ISBLANK(INDEX(Array_WaterChargeData,ROW()-14,COLUMN()*2-3)),"",INDEX(Array_WaterChargeData,ROW()-14,COLUMN()*2-3))</f>
        <v/>
      </c>
      <c r="J155" t="str" cm="1">
        <f>IF(ISBLANK(INDEX(Array_WaterChargeData,ROW()-14,COLUMN()*2-3)),"",INDEX(Array_WaterChargeData,ROW()-14,COLUMN()*2-3))</f>
        <v/>
      </c>
      <c r="K155" t="str" cm="1">
        <f>IF(ISBLANK(INDEX(Array_WaterChargeData,ROW()-14,COLUMN()*2-3)),"",INDEX(Array_WaterChargeData,ROW()-14,COLUMN()*2-3))</f>
        <v/>
      </c>
    </row>
    <row r="156" spans="1:11" x14ac:dyDescent="0.35">
      <c r="A156" t="str">
        <f>IF('Water Meters'!B144="",A155,'Water Meters'!B144)</f>
        <v>Meter Numbers</v>
      </c>
      <c r="B156" t="str" cm="1">
        <f>IF(ISBLANK(INDEX(Array_WaterChargeData,ROW()-14,COLUMN()*2-3)),"",INDEX(Array_WaterChargeData,ROW()-14,COLUMN()*2-3))</f>
        <v/>
      </c>
      <c r="C156" t="str" cm="1">
        <f>IF(ISBLANK(INDEX(Array_WaterChargeData,ROW()-14,COLUMN()*2-3)),"",INDEX(Array_WaterChargeData,ROW()-14,COLUMN()*2-3))</f>
        <v/>
      </c>
      <c r="D156" t="str" cm="1">
        <f>IF(ISBLANK(INDEX(Array_WaterChargeData,ROW()-14,COLUMN()*2-3)),"",INDEX(Array_WaterChargeData,ROW()-14,COLUMN()*2-3))</f>
        <v/>
      </c>
      <c r="E156" t="str" cm="1">
        <f>IF(ISBLANK(INDEX(Array_WaterChargeData,ROW()-14,COLUMN()*2-3)),"",INDEX(Array_WaterChargeData,ROW()-14,COLUMN()*2-3))</f>
        <v/>
      </c>
      <c r="F156" t="str" cm="1">
        <f>IF(ISBLANK(INDEX(Array_WaterChargeData,ROW()-14,COLUMN()*2-3)),"",INDEX(Array_WaterChargeData,ROW()-14,COLUMN()*2-3))</f>
        <v/>
      </c>
      <c r="G156" t="str" cm="1">
        <f>IF(ISBLANK(INDEX(Array_WaterChargeData,ROW()-14,COLUMN()*2-3)),"",INDEX(Array_WaterChargeData,ROW()-14,COLUMN()*2-3))</f>
        <v/>
      </c>
      <c r="H156" t="str" cm="1">
        <f>IF(ISBLANK(INDEX(Array_WaterChargeData,ROW()-14,COLUMN()*2-3)),"",INDEX(Array_WaterChargeData,ROW()-14,COLUMN()*2-3))</f>
        <v/>
      </c>
      <c r="I156" t="str" cm="1">
        <f>IF(ISBLANK(INDEX(Array_WaterChargeData,ROW()-14,COLUMN()*2-3)),"",INDEX(Array_WaterChargeData,ROW()-14,COLUMN()*2-3))</f>
        <v/>
      </c>
      <c r="J156" t="str" cm="1">
        <f>IF(ISBLANK(INDEX(Array_WaterChargeData,ROW()-14,COLUMN()*2-3)),"",INDEX(Array_WaterChargeData,ROW()-14,COLUMN()*2-3))</f>
        <v/>
      </c>
      <c r="K156" t="str" cm="1">
        <f>IF(ISBLANK(INDEX(Array_WaterChargeData,ROW()-14,COLUMN()*2-3)),"",INDEX(Array_WaterChargeData,ROW()-14,COLUMN()*2-3))</f>
        <v/>
      </c>
    </row>
    <row r="157" spans="1:11" x14ac:dyDescent="0.35">
      <c r="A157" t="str">
        <f>IF('Water Meters'!B145="",A156,'Water Meters'!B145)</f>
        <v>Meter Numbers</v>
      </c>
      <c r="B157" t="str" cm="1">
        <f>IF(ISBLANK(INDEX(Array_WaterChargeData,ROW()-14,COLUMN()*2-3)),"",INDEX(Array_WaterChargeData,ROW()-14,COLUMN()*2-3))</f>
        <v/>
      </c>
      <c r="C157" t="str" cm="1">
        <f>IF(ISBLANK(INDEX(Array_WaterChargeData,ROW()-14,COLUMN()*2-3)),"",INDEX(Array_WaterChargeData,ROW()-14,COLUMN()*2-3))</f>
        <v/>
      </c>
      <c r="D157" t="str" cm="1">
        <f>IF(ISBLANK(INDEX(Array_WaterChargeData,ROW()-14,COLUMN()*2-3)),"",INDEX(Array_WaterChargeData,ROW()-14,COLUMN()*2-3))</f>
        <v/>
      </c>
      <c r="E157" t="str" cm="1">
        <f>IF(ISBLANK(INDEX(Array_WaterChargeData,ROW()-14,COLUMN()*2-3)),"",INDEX(Array_WaterChargeData,ROW()-14,COLUMN()*2-3))</f>
        <v/>
      </c>
      <c r="F157" t="str" cm="1">
        <f>IF(ISBLANK(INDEX(Array_WaterChargeData,ROW()-14,COLUMN()*2-3)),"",INDEX(Array_WaterChargeData,ROW()-14,COLUMN()*2-3))</f>
        <v/>
      </c>
      <c r="G157" t="str" cm="1">
        <f>IF(ISBLANK(INDEX(Array_WaterChargeData,ROW()-14,COLUMN()*2-3)),"",INDEX(Array_WaterChargeData,ROW()-14,COLUMN()*2-3))</f>
        <v/>
      </c>
      <c r="H157" t="str" cm="1">
        <f>IF(ISBLANK(INDEX(Array_WaterChargeData,ROW()-14,COLUMN()*2-3)),"",INDEX(Array_WaterChargeData,ROW()-14,COLUMN()*2-3))</f>
        <v/>
      </c>
      <c r="I157" t="str" cm="1">
        <f>IF(ISBLANK(INDEX(Array_WaterChargeData,ROW()-14,COLUMN()*2-3)),"",INDEX(Array_WaterChargeData,ROW()-14,COLUMN()*2-3))</f>
        <v/>
      </c>
      <c r="J157" t="str" cm="1">
        <f>IF(ISBLANK(INDEX(Array_WaterChargeData,ROW()-14,COLUMN()*2-3)),"",INDEX(Array_WaterChargeData,ROW()-14,COLUMN()*2-3))</f>
        <v/>
      </c>
      <c r="K157" t="str" cm="1">
        <f>IF(ISBLANK(INDEX(Array_WaterChargeData,ROW()-14,COLUMN()*2-3)),"",INDEX(Array_WaterChargeData,ROW()-14,COLUMN()*2-3))</f>
        <v/>
      </c>
    </row>
    <row r="158" spans="1:11" x14ac:dyDescent="0.35">
      <c r="A158" t="str">
        <f>IF('Water Meters'!B146="",A157,'Water Meters'!B146)</f>
        <v>Meter Numbers</v>
      </c>
      <c r="B158" t="str" cm="1">
        <f>IF(ISBLANK(INDEX(Array_WaterChargeData,ROW()-14,COLUMN()*2-3)),"",INDEX(Array_WaterChargeData,ROW()-14,COLUMN()*2-3))</f>
        <v/>
      </c>
      <c r="C158" t="str" cm="1">
        <f>IF(ISBLANK(INDEX(Array_WaterChargeData,ROW()-14,COLUMN()*2-3)),"",INDEX(Array_WaterChargeData,ROW()-14,COLUMN()*2-3))</f>
        <v/>
      </c>
      <c r="D158" t="str" cm="1">
        <f>IF(ISBLANK(INDEX(Array_WaterChargeData,ROW()-14,COLUMN()*2-3)),"",INDEX(Array_WaterChargeData,ROW()-14,COLUMN()*2-3))</f>
        <v/>
      </c>
      <c r="E158" t="str" cm="1">
        <f>IF(ISBLANK(INDEX(Array_WaterChargeData,ROW()-14,COLUMN()*2-3)),"",INDEX(Array_WaterChargeData,ROW()-14,COLUMN()*2-3))</f>
        <v/>
      </c>
      <c r="F158" t="str" cm="1">
        <f>IF(ISBLANK(INDEX(Array_WaterChargeData,ROW()-14,COLUMN()*2-3)),"",INDEX(Array_WaterChargeData,ROW()-14,COLUMN()*2-3))</f>
        <v/>
      </c>
      <c r="G158" t="str" cm="1">
        <f>IF(ISBLANK(INDEX(Array_WaterChargeData,ROW()-14,COLUMN()*2-3)),"",INDEX(Array_WaterChargeData,ROW()-14,COLUMN()*2-3))</f>
        <v/>
      </c>
      <c r="H158" t="str" cm="1">
        <f>IF(ISBLANK(INDEX(Array_WaterChargeData,ROW()-14,COLUMN()*2-3)),"",INDEX(Array_WaterChargeData,ROW()-14,COLUMN()*2-3))</f>
        <v/>
      </c>
      <c r="I158" t="str" cm="1">
        <f>IF(ISBLANK(INDEX(Array_WaterChargeData,ROW()-14,COLUMN()*2-3)),"",INDEX(Array_WaterChargeData,ROW()-14,COLUMN()*2-3))</f>
        <v/>
      </c>
      <c r="J158" t="str" cm="1">
        <f>IF(ISBLANK(INDEX(Array_WaterChargeData,ROW()-14,COLUMN()*2-3)),"",INDEX(Array_WaterChargeData,ROW()-14,COLUMN()*2-3))</f>
        <v/>
      </c>
      <c r="K158" t="str" cm="1">
        <f>IF(ISBLANK(INDEX(Array_WaterChargeData,ROW()-14,COLUMN()*2-3)),"",INDEX(Array_WaterChargeData,ROW()-14,COLUMN()*2-3))</f>
        <v/>
      </c>
    </row>
    <row r="159" spans="1:11" x14ac:dyDescent="0.35">
      <c r="A159" t="str">
        <f>IF('Water Meters'!B147="",A158,'Water Meters'!B147)</f>
        <v>Meter Numbers</v>
      </c>
      <c r="B159" t="str" cm="1">
        <f>IF(ISBLANK(INDEX(Array_WaterChargeData,ROW()-14,COLUMN()*2-3)),"",INDEX(Array_WaterChargeData,ROW()-14,COLUMN()*2-3))</f>
        <v/>
      </c>
      <c r="C159" t="str" cm="1">
        <f>IF(ISBLANK(INDEX(Array_WaterChargeData,ROW()-14,COLUMN()*2-3)),"",INDEX(Array_WaterChargeData,ROW()-14,COLUMN()*2-3))</f>
        <v/>
      </c>
      <c r="D159" t="str" cm="1">
        <f>IF(ISBLANK(INDEX(Array_WaterChargeData,ROW()-14,COLUMN()*2-3)),"",INDEX(Array_WaterChargeData,ROW()-14,COLUMN()*2-3))</f>
        <v/>
      </c>
      <c r="E159" t="str" cm="1">
        <f>IF(ISBLANK(INDEX(Array_WaterChargeData,ROW()-14,COLUMN()*2-3)),"",INDEX(Array_WaterChargeData,ROW()-14,COLUMN()*2-3))</f>
        <v/>
      </c>
      <c r="F159" t="str" cm="1">
        <f>IF(ISBLANK(INDEX(Array_WaterChargeData,ROW()-14,COLUMN()*2-3)),"",INDEX(Array_WaterChargeData,ROW()-14,COLUMN()*2-3))</f>
        <v/>
      </c>
      <c r="G159" t="str" cm="1">
        <f>IF(ISBLANK(INDEX(Array_WaterChargeData,ROW()-14,COLUMN()*2-3)),"",INDEX(Array_WaterChargeData,ROW()-14,COLUMN()*2-3))</f>
        <v/>
      </c>
      <c r="H159" t="str" cm="1">
        <f>IF(ISBLANK(INDEX(Array_WaterChargeData,ROW()-14,COLUMN()*2-3)),"",INDEX(Array_WaterChargeData,ROW()-14,COLUMN()*2-3))</f>
        <v/>
      </c>
      <c r="I159" t="str" cm="1">
        <f>IF(ISBLANK(INDEX(Array_WaterChargeData,ROW()-14,COLUMN()*2-3)),"",INDEX(Array_WaterChargeData,ROW()-14,COLUMN()*2-3))</f>
        <v/>
      </c>
      <c r="J159" t="str" cm="1">
        <f>IF(ISBLANK(INDEX(Array_WaterChargeData,ROW()-14,COLUMN()*2-3)),"",INDEX(Array_WaterChargeData,ROW()-14,COLUMN()*2-3))</f>
        <v/>
      </c>
      <c r="K159" t="str" cm="1">
        <f>IF(ISBLANK(INDEX(Array_WaterChargeData,ROW()-14,COLUMN()*2-3)),"",INDEX(Array_WaterChargeData,ROW()-14,COLUMN()*2-3))</f>
        <v/>
      </c>
    </row>
    <row r="160" spans="1:11" x14ac:dyDescent="0.35">
      <c r="A160" t="str">
        <f>IF('Water Meters'!B148="",A159,'Water Meters'!B148)</f>
        <v>Meter Numbers</v>
      </c>
      <c r="B160" t="str" cm="1">
        <f>IF(ISBLANK(INDEX(Array_WaterChargeData,ROW()-14,COLUMN()*2-3)),"",INDEX(Array_WaterChargeData,ROW()-14,COLUMN()*2-3))</f>
        <v/>
      </c>
      <c r="C160" t="str" cm="1">
        <f>IF(ISBLANK(INDEX(Array_WaterChargeData,ROW()-14,COLUMN()*2-3)),"",INDEX(Array_WaterChargeData,ROW()-14,COLUMN()*2-3))</f>
        <v/>
      </c>
      <c r="D160" t="str" cm="1">
        <f>IF(ISBLANK(INDEX(Array_WaterChargeData,ROW()-14,COLUMN()*2-3)),"",INDEX(Array_WaterChargeData,ROW()-14,COLUMN()*2-3))</f>
        <v/>
      </c>
      <c r="E160" t="str" cm="1">
        <f>IF(ISBLANK(INDEX(Array_WaterChargeData,ROW()-14,COLUMN()*2-3)),"",INDEX(Array_WaterChargeData,ROW()-14,COLUMN()*2-3))</f>
        <v/>
      </c>
      <c r="F160" t="str" cm="1">
        <f>IF(ISBLANK(INDEX(Array_WaterChargeData,ROW()-14,COLUMN()*2-3)),"",INDEX(Array_WaterChargeData,ROW()-14,COLUMN()*2-3))</f>
        <v/>
      </c>
      <c r="G160" t="str" cm="1">
        <f>IF(ISBLANK(INDEX(Array_WaterChargeData,ROW()-14,COLUMN()*2-3)),"",INDEX(Array_WaterChargeData,ROW()-14,COLUMN()*2-3))</f>
        <v/>
      </c>
      <c r="H160" t="str" cm="1">
        <f>IF(ISBLANK(INDEX(Array_WaterChargeData,ROW()-14,COLUMN()*2-3)),"",INDEX(Array_WaterChargeData,ROW()-14,COLUMN()*2-3))</f>
        <v/>
      </c>
      <c r="I160" t="str" cm="1">
        <f>IF(ISBLANK(INDEX(Array_WaterChargeData,ROW()-14,COLUMN()*2-3)),"",INDEX(Array_WaterChargeData,ROW()-14,COLUMN()*2-3))</f>
        <v/>
      </c>
      <c r="J160" t="str" cm="1">
        <f>IF(ISBLANK(INDEX(Array_WaterChargeData,ROW()-14,COLUMN()*2-3)),"",INDEX(Array_WaterChargeData,ROW()-14,COLUMN()*2-3))</f>
        <v/>
      </c>
      <c r="K160" t="str" cm="1">
        <f>IF(ISBLANK(INDEX(Array_WaterChargeData,ROW()-14,COLUMN()*2-3)),"",INDEX(Array_WaterChargeData,ROW()-14,COLUMN()*2-3))</f>
        <v/>
      </c>
    </row>
    <row r="161" spans="1:11" x14ac:dyDescent="0.35">
      <c r="A161" t="str">
        <f>IF('Water Meters'!B149="",A160,'Water Meters'!B149)</f>
        <v>Meter Numbers</v>
      </c>
      <c r="B161" t="str" cm="1">
        <f>IF(ISBLANK(INDEX(Array_WaterChargeData,ROW()-14,COLUMN()*2-3)),"",INDEX(Array_WaterChargeData,ROW()-14,COLUMN()*2-3))</f>
        <v/>
      </c>
      <c r="C161" t="str" cm="1">
        <f>IF(ISBLANK(INDEX(Array_WaterChargeData,ROW()-14,COLUMN()*2-3)),"",INDEX(Array_WaterChargeData,ROW()-14,COLUMN()*2-3))</f>
        <v/>
      </c>
      <c r="D161" t="str" cm="1">
        <f>IF(ISBLANK(INDEX(Array_WaterChargeData,ROW()-14,COLUMN()*2-3)),"",INDEX(Array_WaterChargeData,ROW()-14,COLUMN()*2-3))</f>
        <v/>
      </c>
      <c r="E161" t="str" cm="1">
        <f>IF(ISBLANK(INDEX(Array_WaterChargeData,ROW()-14,COLUMN()*2-3)),"",INDEX(Array_WaterChargeData,ROW()-14,COLUMN()*2-3))</f>
        <v/>
      </c>
      <c r="F161" t="str" cm="1">
        <f>IF(ISBLANK(INDEX(Array_WaterChargeData,ROW()-14,COLUMN()*2-3)),"",INDEX(Array_WaterChargeData,ROW()-14,COLUMN()*2-3))</f>
        <v/>
      </c>
      <c r="G161" t="str" cm="1">
        <f>IF(ISBLANK(INDEX(Array_WaterChargeData,ROW()-14,COLUMN()*2-3)),"",INDEX(Array_WaterChargeData,ROW()-14,COLUMN()*2-3))</f>
        <v/>
      </c>
      <c r="H161" t="str" cm="1">
        <f>IF(ISBLANK(INDEX(Array_WaterChargeData,ROW()-14,COLUMN()*2-3)),"",INDEX(Array_WaterChargeData,ROW()-14,COLUMN()*2-3))</f>
        <v/>
      </c>
      <c r="I161" t="str" cm="1">
        <f>IF(ISBLANK(INDEX(Array_WaterChargeData,ROW()-14,COLUMN()*2-3)),"",INDEX(Array_WaterChargeData,ROW()-14,COLUMN()*2-3))</f>
        <v/>
      </c>
      <c r="J161" t="str" cm="1">
        <f>IF(ISBLANK(INDEX(Array_WaterChargeData,ROW()-14,COLUMN()*2-3)),"",INDEX(Array_WaterChargeData,ROW()-14,COLUMN()*2-3))</f>
        <v/>
      </c>
      <c r="K161" t="str" cm="1">
        <f>IF(ISBLANK(INDEX(Array_WaterChargeData,ROW()-14,COLUMN()*2-3)),"",INDEX(Array_WaterChargeData,ROW()-14,COLUMN()*2-3))</f>
        <v/>
      </c>
    </row>
    <row r="162" spans="1:11" x14ac:dyDescent="0.35">
      <c r="A162" t="str">
        <f>IF('Water Meters'!B150="",A161,'Water Meters'!B150)</f>
        <v>Meter Numbers</v>
      </c>
      <c r="B162" t="str" cm="1">
        <f>IF(ISBLANK(INDEX(Array_WaterChargeData,ROW()-14,COLUMN()*2-3)),"",INDEX(Array_WaterChargeData,ROW()-14,COLUMN()*2-3))</f>
        <v/>
      </c>
      <c r="C162" t="str" cm="1">
        <f>IF(ISBLANK(INDEX(Array_WaterChargeData,ROW()-14,COLUMN()*2-3)),"",INDEX(Array_WaterChargeData,ROW()-14,COLUMN()*2-3))</f>
        <v/>
      </c>
      <c r="D162" t="str" cm="1">
        <f>IF(ISBLANK(INDEX(Array_WaterChargeData,ROW()-14,COLUMN()*2-3)),"",INDEX(Array_WaterChargeData,ROW()-14,COLUMN()*2-3))</f>
        <v/>
      </c>
      <c r="E162" t="str" cm="1">
        <f>IF(ISBLANK(INDEX(Array_WaterChargeData,ROW()-14,COLUMN()*2-3)),"",INDEX(Array_WaterChargeData,ROW()-14,COLUMN()*2-3))</f>
        <v/>
      </c>
      <c r="F162" t="str" cm="1">
        <f>IF(ISBLANK(INDEX(Array_WaterChargeData,ROW()-14,COLUMN()*2-3)),"",INDEX(Array_WaterChargeData,ROW()-14,COLUMN()*2-3))</f>
        <v/>
      </c>
      <c r="G162" t="str" cm="1">
        <f>IF(ISBLANK(INDEX(Array_WaterChargeData,ROW()-14,COLUMN()*2-3)),"",INDEX(Array_WaterChargeData,ROW()-14,COLUMN()*2-3))</f>
        <v/>
      </c>
      <c r="H162" t="str" cm="1">
        <f>IF(ISBLANK(INDEX(Array_WaterChargeData,ROW()-14,COLUMN()*2-3)),"",INDEX(Array_WaterChargeData,ROW()-14,COLUMN()*2-3))</f>
        <v/>
      </c>
      <c r="I162" t="str" cm="1">
        <f>IF(ISBLANK(INDEX(Array_WaterChargeData,ROW()-14,COLUMN()*2-3)),"",INDEX(Array_WaterChargeData,ROW()-14,COLUMN()*2-3))</f>
        <v/>
      </c>
      <c r="J162" t="str" cm="1">
        <f>IF(ISBLANK(INDEX(Array_WaterChargeData,ROW()-14,COLUMN()*2-3)),"",INDEX(Array_WaterChargeData,ROW()-14,COLUMN()*2-3))</f>
        <v/>
      </c>
      <c r="K162" t="str" cm="1">
        <f>IF(ISBLANK(INDEX(Array_WaterChargeData,ROW()-14,COLUMN()*2-3)),"",INDEX(Array_WaterChargeData,ROW()-14,COLUMN()*2-3))</f>
        <v/>
      </c>
    </row>
    <row r="163" spans="1:11" x14ac:dyDescent="0.35">
      <c r="A163" t="str">
        <f>IF('Water Meters'!B151="",A162,'Water Meters'!B151)</f>
        <v>Meter Numbers</v>
      </c>
      <c r="B163" t="str" cm="1">
        <f>IF(ISBLANK(INDEX(Array_WaterChargeData,ROW()-14,COLUMN()*2-3)),"",INDEX(Array_WaterChargeData,ROW()-14,COLUMN()*2-3))</f>
        <v/>
      </c>
      <c r="C163" t="str" cm="1">
        <f>IF(ISBLANK(INDEX(Array_WaterChargeData,ROW()-14,COLUMN()*2-3)),"",INDEX(Array_WaterChargeData,ROW()-14,COLUMN()*2-3))</f>
        <v/>
      </c>
      <c r="D163" t="str" cm="1">
        <f>IF(ISBLANK(INDEX(Array_WaterChargeData,ROW()-14,COLUMN()*2-3)),"",INDEX(Array_WaterChargeData,ROW()-14,COLUMN()*2-3))</f>
        <v/>
      </c>
      <c r="E163" t="str" cm="1">
        <f>IF(ISBLANK(INDEX(Array_WaterChargeData,ROW()-14,COLUMN()*2-3)),"",INDEX(Array_WaterChargeData,ROW()-14,COLUMN()*2-3))</f>
        <v/>
      </c>
      <c r="F163" t="str" cm="1">
        <f>IF(ISBLANK(INDEX(Array_WaterChargeData,ROW()-14,COLUMN()*2-3)),"",INDEX(Array_WaterChargeData,ROW()-14,COLUMN()*2-3))</f>
        <v/>
      </c>
      <c r="G163" t="str" cm="1">
        <f>IF(ISBLANK(INDEX(Array_WaterChargeData,ROW()-14,COLUMN()*2-3)),"",INDEX(Array_WaterChargeData,ROW()-14,COLUMN()*2-3))</f>
        <v/>
      </c>
      <c r="H163" t="str" cm="1">
        <f>IF(ISBLANK(INDEX(Array_WaterChargeData,ROW()-14,COLUMN()*2-3)),"",INDEX(Array_WaterChargeData,ROW()-14,COLUMN()*2-3))</f>
        <v/>
      </c>
      <c r="I163" t="str" cm="1">
        <f>IF(ISBLANK(INDEX(Array_WaterChargeData,ROW()-14,COLUMN()*2-3)),"",INDEX(Array_WaterChargeData,ROW()-14,COLUMN()*2-3))</f>
        <v/>
      </c>
      <c r="J163" t="str" cm="1">
        <f>IF(ISBLANK(INDEX(Array_WaterChargeData,ROW()-14,COLUMN()*2-3)),"",INDEX(Array_WaterChargeData,ROW()-14,COLUMN()*2-3))</f>
        <v/>
      </c>
      <c r="K163" t="str" cm="1">
        <f>IF(ISBLANK(INDEX(Array_WaterChargeData,ROW()-14,COLUMN()*2-3)),"",INDEX(Array_WaterChargeData,ROW()-14,COLUMN()*2-3))</f>
        <v/>
      </c>
    </row>
    <row r="164" spans="1:11" x14ac:dyDescent="0.35">
      <c r="A164" t="str">
        <f>IF('Water Meters'!B152="",A163,'Water Meters'!B152)</f>
        <v>Meter Numbers</v>
      </c>
      <c r="B164" t="str" cm="1">
        <f>IF(ISBLANK(INDEX(Array_WaterChargeData,ROW()-14,COLUMN()*2-3)),"",INDEX(Array_WaterChargeData,ROW()-14,COLUMN()*2-3))</f>
        <v/>
      </c>
      <c r="C164" t="str" cm="1">
        <f>IF(ISBLANK(INDEX(Array_WaterChargeData,ROW()-14,COLUMN()*2-3)),"",INDEX(Array_WaterChargeData,ROW()-14,COLUMN()*2-3))</f>
        <v/>
      </c>
      <c r="D164" t="str" cm="1">
        <f>IF(ISBLANK(INDEX(Array_WaterChargeData,ROW()-14,COLUMN()*2-3)),"",INDEX(Array_WaterChargeData,ROW()-14,COLUMN()*2-3))</f>
        <v/>
      </c>
      <c r="E164" t="str" cm="1">
        <f>IF(ISBLANK(INDEX(Array_WaterChargeData,ROW()-14,COLUMN()*2-3)),"",INDEX(Array_WaterChargeData,ROW()-14,COLUMN()*2-3))</f>
        <v/>
      </c>
      <c r="F164" t="str" cm="1">
        <f>IF(ISBLANK(INDEX(Array_WaterChargeData,ROW()-14,COLUMN()*2-3)),"",INDEX(Array_WaterChargeData,ROW()-14,COLUMN()*2-3))</f>
        <v/>
      </c>
      <c r="G164" t="str" cm="1">
        <f>IF(ISBLANK(INDEX(Array_WaterChargeData,ROW()-14,COLUMN()*2-3)),"",INDEX(Array_WaterChargeData,ROW()-14,COLUMN()*2-3))</f>
        <v/>
      </c>
      <c r="H164" t="str" cm="1">
        <f>IF(ISBLANK(INDEX(Array_WaterChargeData,ROW()-14,COLUMN()*2-3)),"",INDEX(Array_WaterChargeData,ROW()-14,COLUMN()*2-3))</f>
        <v/>
      </c>
      <c r="I164" t="str" cm="1">
        <f>IF(ISBLANK(INDEX(Array_WaterChargeData,ROW()-14,COLUMN()*2-3)),"",INDEX(Array_WaterChargeData,ROW()-14,COLUMN()*2-3))</f>
        <v/>
      </c>
      <c r="J164" t="str" cm="1">
        <f>IF(ISBLANK(INDEX(Array_WaterChargeData,ROW()-14,COLUMN()*2-3)),"",INDEX(Array_WaterChargeData,ROW()-14,COLUMN()*2-3))</f>
        <v/>
      </c>
      <c r="K164" t="str" cm="1">
        <f>IF(ISBLANK(INDEX(Array_WaterChargeData,ROW()-14,COLUMN()*2-3)),"",INDEX(Array_WaterChargeData,ROW()-14,COLUMN()*2-3))</f>
        <v/>
      </c>
    </row>
    <row r="165" spans="1:11" x14ac:dyDescent="0.35">
      <c r="A165" t="str">
        <f>IF('Water Meters'!B153="",A164,'Water Meters'!B153)</f>
        <v>Meter Numbers</v>
      </c>
      <c r="B165" t="str" cm="1">
        <f>IF(ISBLANK(INDEX(Array_WaterChargeData,ROW()-14,COLUMN()*2-3)),"",INDEX(Array_WaterChargeData,ROW()-14,COLUMN()*2-3))</f>
        <v/>
      </c>
      <c r="C165" t="str" cm="1">
        <f>IF(ISBLANK(INDEX(Array_WaterChargeData,ROW()-14,COLUMN()*2-3)),"",INDEX(Array_WaterChargeData,ROW()-14,COLUMN()*2-3))</f>
        <v/>
      </c>
      <c r="D165" t="str" cm="1">
        <f>IF(ISBLANK(INDEX(Array_WaterChargeData,ROW()-14,COLUMN()*2-3)),"",INDEX(Array_WaterChargeData,ROW()-14,COLUMN()*2-3))</f>
        <v/>
      </c>
      <c r="E165" t="str" cm="1">
        <f>IF(ISBLANK(INDEX(Array_WaterChargeData,ROW()-14,COLUMN()*2-3)),"",INDEX(Array_WaterChargeData,ROW()-14,COLUMN()*2-3))</f>
        <v/>
      </c>
      <c r="F165" t="str" cm="1">
        <f>IF(ISBLANK(INDEX(Array_WaterChargeData,ROW()-14,COLUMN()*2-3)),"",INDEX(Array_WaterChargeData,ROW()-14,COLUMN()*2-3))</f>
        <v/>
      </c>
      <c r="G165" t="str" cm="1">
        <f>IF(ISBLANK(INDEX(Array_WaterChargeData,ROW()-14,COLUMN()*2-3)),"",INDEX(Array_WaterChargeData,ROW()-14,COLUMN()*2-3))</f>
        <v/>
      </c>
      <c r="H165" t="str" cm="1">
        <f>IF(ISBLANK(INDEX(Array_WaterChargeData,ROW()-14,COLUMN()*2-3)),"",INDEX(Array_WaterChargeData,ROW()-14,COLUMN()*2-3))</f>
        <v/>
      </c>
      <c r="I165" t="str" cm="1">
        <f>IF(ISBLANK(INDEX(Array_WaterChargeData,ROW()-14,COLUMN()*2-3)),"",INDEX(Array_WaterChargeData,ROW()-14,COLUMN()*2-3))</f>
        <v/>
      </c>
      <c r="J165" t="str" cm="1">
        <f>IF(ISBLANK(INDEX(Array_WaterChargeData,ROW()-14,COLUMN()*2-3)),"",INDEX(Array_WaterChargeData,ROW()-14,COLUMN()*2-3))</f>
        <v/>
      </c>
      <c r="K165" t="str" cm="1">
        <f>IF(ISBLANK(INDEX(Array_WaterChargeData,ROW()-14,COLUMN()*2-3)),"",INDEX(Array_WaterChargeData,ROW()-14,COLUMN()*2-3))</f>
        <v/>
      </c>
    </row>
    <row r="166" spans="1:11" x14ac:dyDescent="0.35">
      <c r="A166" t="str">
        <f>IF('Water Meters'!B154="",A165,'Water Meters'!B154)</f>
        <v>Meter Numbers</v>
      </c>
      <c r="B166" t="str" cm="1">
        <f>IF(ISBLANK(INDEX(Array_WaterChargeData,ROW()-14,COLUMN()*2-3)),"",INDEX(Array_WaterChargeData,ROW()-14,COLUMN()*2-3))</f>
        <v/>
      </c>
      <c r="C166" t="str" cm="1">
        <f>IF(ISBLANK(INDEX(Array_WaterChargeData,ROW()-14,COLUMN()*2-3)),"",INDEX(Array_WaterChargeData,ROW()-14,COLUMN()*2-3))</f>
        <v/>
      </c>
      <c r="D166" t="str" cm="1">
        <f>IF(ISBLANK(INDEX(Array_WaterChargeData,ROW()-14,COLUMN()*2-3)),"",INDEX(Array_WaterChargeData,ROW()-14,COLUMN()*2-3))</f>
        <v/>
      </c>
      <c r="E166" t="str" cm="1">
        <f>IF(ISBLANK(INDEX(Array_WaterChargeData,ROW()-14,COLUMN()*2-3)),"",INDEX(Array_WaterChargeData,ROW()-14,COLUMN()*2-3))</f>
        <v/>
      </c>
      <c r="F166" t="str" cm="1">
        <f>IF(ISBLANK(INDEX(Array_WaterChargeData,ROW()-14,COLUMN()*2-3)),"",INDEX(Array_WaterChargeData,ROW()-14,COLUMN()*2-3))</f>
        <v/>
      </c>
      <c r="G166" t="str" cm="1">
        <f>IF(ISBLANK(INDEX(Array_WaterChargeData,ROW()-14,COLUMN()*2-3)),"",INDEX(Array_WaterChargeData,ROW()-14,COLUMN()*2-3))</f>
        <v/>
      </c>
      <c r="H166" t="str" cm="1">
        <f>IF(ISBLANK(INDEX(Array_WaterChargeData,ROW()-14,COLUMN()*2-3)),"",INDEX(Array_WaterChargeData,ROW()-14,COLUMN()*2-3))</f>
        <v/>
      </c>
      <c r="I166" t="str" cm="1">
        <f>IF(ISBLANK(INDEX(Array_WaterChargeData,ROW()-14,COLUMN()*2-3)),"",INDEX(Array_WaterChargeData,ROW()-14,COLUMN()*2-3))</f>
        <v/>
      </c>
      <c r="J166" t="str" cm="1">
        <f>IF(ISBLANK(INDEX(Array_WaterChargeData,ROW()-14,COLUMN()*2-3)),"",INDEX(Array_WaterChargeData,ROW()-14,COLUMN()*2-3))</f>
        <v/>
      </c>
      <c r="K166" t="str" cm="1">
        <f>IF(ISBLANK(INDEX(Array_WaterChargeData,ROW()-14,COLUMN()*2-3)),"",INDEX(Array_WaterChargeData,ROW()-14,COLUMN()*2-3))</f>
        <v/>
      </c>
    </row>
    <row r="167" spans="1:11" x14ac:dyDescent="0.35">
      <c r="A167" t="str">
        <f>IF('Water Meters'!B155="",A166,'Water Meters'!B155)</f>
        <v>Meter Numbers</v>
      </c>
      <c r="B167" t="str" cm="1">
        <f>IF(ISBLANK(INDEX(Array_WaterChargeData,ROW()-14,COLUMN()*2-3)),"",INDEX(Array_WaterChargeData,ROW()-14,COLUMN()*2-3))</f>
        <v/>
      </c>
      <c r="C167" t="str" cm="1">
        <f>IF(ISBLANK(INDEX(Array_WaterChargeData,ROW()-14,COLUMN()*2-3)),"",INDEX(Array_WaterChargeData,ROW()-14,COLUMN()*2-3))</f>
        <v/>
      </c>
      <c r="D167" t="str" cm="1">
        <f>IF(ISBLANK(INDEX(Array_WaterChargeData,ROW()-14,COLUMN()*2-3)),"",INDEX(Array_WaterChargeData,ROW()-14,COLUMN()*2-3))</f>
        <v/>
      </c>
      <c r="E167" t="str" cm="1">
        <f>IF(ISBLANK(INDEX(Array_WaterChargeData,ROW()-14,COLUMN()*2-3)),"",INDEX(Array_WaterChargeData,ROW()-14,COLUMN()*2-3))</f>
        <v/>
      </c>
      <c r="F167" t="str" cm="1">
        <f>IF(ISBLANK(INDEX(Array_WaterChargeData,ROW()-14,COLUMN()*2-3)),"",INDEX(Array_WaterChargeData,ROW()-14,COLUMN()*2-3))</f>
        <v/>
      </c>
      <c r="G167" t="str" cm="1">
        <f>IF(ISBLANK(INDEX(Array_WaterChargeData,ROW()-14,COLUMN()*2-3)),"",INDEX(Array_WaterChargeData,ROW()-14,COLUMN()*2-3))</f>
        <v/>
      </c>
      <c r="H167" t="str" cm="1">
        <f>IF(ISBLANK(INDEX(Array_WaterChargeData,ROW()-14,COLUMN()*2-3)),"",INDEX(Array_WaterChargeData,ROW()-14,COLUMN()*2-3))</f>
        <v/>
      </c>
      <c r="I167" t="str" cm="1">
        <f>IF(ISBLANK(INDEX(Array_WaterChargeData,ROW()-14,COLUMN()*2-3)),"",INDEX(Array_WaterChargeData,ROW()-14,COLUMN()*2-3))</f>
        <v/>
      </c>
      <c r="J167" t="str" cm="1">
        <f>IF(ISBLANK(INDEX(Array_WaterChargeData,ROW()-14,COLUMN()*2-3)),"",INDEX(Array_WaterChargeData,ROW()-14,COLUMN()*2-3))</f>
        <v/>
      </c>
      <c r="K167" t="str" cm="1">
        <f>IF(ISBLANK(INDEX(Array_WaterChargeData,ROW()-14,COLUMN()*2-3)),"",INDEX(Array_WaterChargeData,ROW()-14,COLUMN()*2-3))</f>
        <v/>
      </c>
    </row>
    <row r="168" spans="1:11" x14ac:dyDescent="0.35">
      <c r="A168" t="str">
        <f>IF('Water Meters'!B156="",A167,'Water Meters'!B156)</f>
        <v>Meter Numbers</v>
      </c>
      <c r="B168" t="str" cm="1">
        <f>IF(ISBLANK(INDEX(Array_WaterChargeData,ROW()-14,COLUMN()*2-3)),"",INDEX(Array_WaterChargeData,ROW()-14,COLUMN()*2-3))</f>
        <v/>
      </c>
      <c r="C168" t="str" cm="1">
        <f>IF(ISBLANK(INDEX(Array_WaterChargeData,ROW()-14,COLUMN()*2-3)),"",INDEX(Array_WaterChargeData,ROW()-14,COLUMN()*2-3))</f>
        <v/>
      </c>
      <c r="D168" t="str" cm="1">
        <f>IF(ISBLANK(INDEX(Array_WaterChargeData,ROW()-14,COLUMN()*2-3)),"",INDEX(Array_WaterChargeData,ROW()-14,COLUMN()*2-3))</f>
        <v/>
      </c>
      <c r="E168" t="str" cm="1">
        <f>IF(ISBLANK(INDEX(Array_WaterChargeData,ROW()-14,COLUMN()*2-3)),"",INDEX(Array_WaterChargeData,ROW()-14,COLUMN()*2-3))</f>
        <v/>
      </c>
      <c r="F168" t="str" cm="1">
        <f>IF(ISBLANK(INDEX(Array_WaterChargeData,ROW()-14,COLUMN()*2-3)),"",INDEX(Array_WaterChargeData,ROW()-14,COLUMN()*2-3))</f>
        <v/>
      </c>
      <c r="G168" t="str" cm="1">
        <f>IF(ISBLANK(INDEX(Array_WaterChargeData,ROW()-14,COLUMN()*2-3)),"",INDEX(Array_WaterChargeData,ROW()-14,COLUMN()*2-3))</f>
        <v/>
      </c>
      <c r="H168" t="str" cm="1">
        <f>IF(ISBLANK(INDEX(Array_WaterChargeData,ROW()-14,COLUMN()*2-3)),"",INDEX(Array_WaterChargeData,ROW()-14,COLUMN()*2-3))</f>
        <v/>
      </c>
      <c r="I168" t="str" cm="1">
        <f>IF(ISBLANK(INDEX(Array_WaterChargeData,ROW()-14,COLUMN()*2-3)),"",INDEX(Array_WaterChargeData,ROW()-14,COLUMN()*2-3))</f>
        <v/>
      </c>
      <c r="J168" t="str" cm="1">
        <f>IF(ISBLANK(INDEX(Array_WaterChargeData,ROW()-14,COLUMN()*2-3)),"",INDEX(Array_WaterChargeData,ROW()-14,COLUMN()*2-3))</f>
        <v/>
      </c>
      <c r="K168" t="str" cm="1">
        <f>IF(ISBLANK(INDEX(Array_WaterChargeData,ROW()-14,COLUMN()*2-3)),"",INDEX(Array_WaterChargeData,ROW()-14,COLUMN()*2-3))</f>
        <v/>
      </c>
    </row>
    <row r="169" spans="1:11" x14ac:dyDescent="0.35">
      <c r="A169" t="str">
        <f>IF('Water Meters'!B157="",A168,'Water Meters'!B157)</f>
        <v>Meter Numbers</v>
      </c>
      <c r="B169" t="str" cm="1">
        <f>IF(ISBLANK(INDEX(Array_WaterChargeData,ROW()-14,COLUMN()*2-3)),"",INDEX(Array_WaterChargeData,ROW()-14,COLUMN()*2-3))</f>
        <v/>
      </c>
      <c r="C169" t="str" cm="1">
        <f>IF(ISBLANK(INDEX(Array_WaterChargeData,ROW()-14,COLUMN()*2-3)),"",INDEX(Array_WaterChargeData,ROW()-14,COLUMN()*2-3))</f>
        <v/>
      </c>
      <c r="D169" t="str" cm="1">
        <f>IF(ISBLANK(INDEX(Array_WaterChargeData,ROW()-14,COLUMN()*2-3)),"",INDEX(Array_WaterChargeData,ROW()-14,COLUMN()*2-3))</f>
        <v/>
      </c>
      <c r="E169" t="str" cm="1">
        <f>IF(ISBLANK(INDEX(Array_WaterChargeData,ROW()-14,COLUMN()*2-3)),"",INDEX(Array_WaterChargeData,ROW()-14,COLUMN()*2-3))</f>
        <v/>
      </c>
      <c r="F169" t="str" cm="1">
        <f>IF(ISBLANK(INDEX(Array_WaterChargeData,ROW()-14,COLUMN()*2-3)),"",INDEX(Array_WaterChargeData,ROW()-14,COLUMN()*2-3))</f>
        <v/>
      </c>
      <c r="G169" t="str" cm="1">
        <f>IF(ISBLANK(INDEX(Array_WaterChargeData,ROW()-14,COLUMN()*2-3)),"",INDEX(Array_WaterChargeData,ROW()-14,COLUMN()*2-3))</f>
        <v/>
      </c>
      <c r="H169" t="str" cm="1">
        <f>IF(ISBLANK(INDEX(Array_WaterChargeData,ROW()-14,COLUMN()*2-3)),"",INDEX(Array_WaterChargeData,ROW()-14,COLUMN()*2-3))</f>
        <v/>
      </c>
      <c r="I169" t="str" cm="1">
        <f>IF(ISBLANK(INDEX(Array_WaterChargeData,ROW()-14,COLUMN()*2-3)),"",INDEX(Array_WaterChargeData,ROW()-14,COLUMN()*2-3))</f>
        <v/>
      </c>
      <c r="J169" t="str" cm="1">
        <f>IF(ISBLANK(INDEX(Array_WaterChargeData,ROW()-14,COLUMN()*2-3)),"",INDEX(Array_WaterChargeData,ROW()-14,COLUMN()*2-3))</f>
        <v/>
      </c>
      <c r="K169" t="str" cm="1">
        <f>IF(ISBLANK(INDEX(Array_WaterChargeData,ROW()-14,COLUMN()*2-3)),"",INDEX(Array_WaterChargeData,ROW()-14,COLUMN()*2-3))</f>
        <v/>
      </c>
    </row>
    <row r="170" spans="1:11" x14ac:dyDescent="0.35">
      <c r="A170" t="str">
        <f>IF('Water Meters'!B158="",A169,'Water Meters'!B158)</f>
        <v>Meter Numbers</v>
      </c>
      <c r="B170" t="str" cm="1">
        <f>IF(ISBLANK(INDEX(Array_WaterChargeData,ROW()-14,COLUMN()*2-3)),"",INDEX(Array_WaterChargeData,ROW()-14,COLUMN()*2-3))</f>
        <v/>
      </c>
      <c r="C170" t="str" cm="1">
        <f>IF(ISBLANK(INDEX(Array_WaterChargeData,ROW()-14,COLUMN()*2-3)),"",INDEX(Array_WaterChargeData,ROW()-14,COLUMN()*2-3))</f>
        <v/>
      </c>
      <c r="D170" t="str" cm="1">
        <f>IF(ISBLANK(INDEX(Array_WaterChargeData,ROW()-14,COLUMN()*2-3)),"",INDEX(Array_WaterChargeData,ROW()-14,COLUMN()*2-3))</f>
        <v/>
      </c>
      <c r="E170" t="str" cm="1">
        <f>IF(ISBLANK(INDEX(Array_WaterChargeData,ROW()-14,COLUMN()*2-3)),"",INDEX(Array_WaterChargeData,ROW()-14,COLUMN()*2-3))</f>
        <v/>
      </c>
      <c r="F170" t="str" cm="1">
        <f>IF(ISBLANK(INDEX(Array_WaterChargeData,ROW()-14,COLUMN()*2-3)),"",INDEX(Array_WaterChargeData,ROW()-14,COLUMN()*2-3))</f>
        <v/>
      </c>
      <c r="G170" t="str" cm="1">
        <f>IF(ISBLANK(INDEX(Array_WaterChargeData,ROW()-14,COLUMN()*2-3)),"",INDEX(Array_WaterChargeData,ROW()-14,COLUMN()*2-3))</f>
        <v/>
      </c>
      <c r="H170" t="str" cm="1">
        <f>IF(ISBLANK(INDEX(Array_WaterChargeData,ROW()-14,COLUMN()*2-3)),"",INDEX(Array_WaterChargeData,ROW()-14,COLUMN()*2-3))</f>
        <v/>
      </c>
      <c r="I170" t="str" cm="1">
        <f>IF(ISBLANK(INDEX(Array_WaterChargeData,ROW()-14,COLUMN()*2-3)),"",INDEX(Array_WaterChargeData,ROW()-14,COLUMN()*2-3))</f>
        <v/>
      </c>
      <c r="J170" t="str" cm="1">
        <f>IF(ISBLANK(INDEX(Array_WaterChargeData,ROW()-14,COLUMN()*2-3)),"",INDEX(Array_WaterChargeData,ROW()-14,COLUMN()*2-3))</f>
        <v/>
      </c>
      <c r="K170" t="str" cm="1">
        <f>IF(ISBLANK(INDEX(Array_WaterChargeData,ROW()-14,COLUMN()*2-3)),"",INDEX(Array_WaterChargeData,ROW()-14,COLUMN()*2-3))</f>
        <v/>
      </c>
    </row>
    <row r="171" spans="1:11" x14ac:dyDescent="0.35">
      <c r="A171" t="str">
        <f>IF('Water Meters'!B159="",A170,'Water Meters'!B159)</f>
        <v>Meter Numbers</v>
      </c>
      <c r="B171" t="str" cm="1">
        <f>IF(ISBLANK(INDEX(Array_WaterChargeData,ROW()-14,COLUMN()*2-3)),"",INDEX(Array_WaterChargeData,ROW()-14,COLUMN()*2-3))</f>
        <v/>
      </c>
      <c r="C171" t="str" cm="1">
        <f>IF(ISBLANK(INDEX(Array_WaterChargeData,ROW()-14,COLUMN()*2-3)),"",INDEX(Array_WaterChargeData,ROW()-14,COLUMN()*2-3))</f>
        <v/>
      </c>
      <c r="D171" t="str" cm="1">
        <f>IF(ISBLANK(INDEX(Array_WaterChargeData,ROW()-14,COLUMN()*2-3)),"",INDEX(Array_WaterChargeData,ROW()-14,COLUMN()*2-3))</f>
        <v/>
      </c>
      <c r="E171" t="str" cm="1">
        <f>IF(ISBLANK(INDEX(Array_WaterChargeData,ROW()-14,COLUMN()*2-3)),"",INDEX(Array_WaterChargeData,ROW()-14,COLUMN()*2-3))</f>
        <v/>
      </c>
      <c r="F171" t="str" cm="1">
        <f>IF(ISBLANK(INDEX(Array_WaterChargeData,ROW()-14,COLUMN()*2-3)),"",INDEX(Array_WaterChargeData,ROW()-14,COLUMN()*2-3))</f>
        <v/>
      </c>
      <c r="G171" t="str" cm="1">
        <f>IF(ISBLANK(INDEX(Array_WaterChargeData,ROW()-14,COLUMN()*2-3)),"",INDEX(Array_WaterChargeData,ROW()-14,COLUMN()*2-3))</f>
        <v/>
      </c>
      <c r="H171" t="str" cm="1">
        <f>IF(ISBLANK(INDEX(Array_WaterChargeData,ROW()-14,COLUMN()*2-3)),"",INDEX(Array_WaterChargeData,ROW()-14,COLUMN()*2-3))</f>
        <v/>
      </c>
      <c r="I171" t="str" cm="1">
        <f>IF(ISBLANK(INDEX(Array_WaterChargeData,ROW()-14,COLUMN()*2-3)),"",INDEX(Array_WaterChargeData,ROW()-14,COLUMN()*2-3))</f>
        <v/>
      </c>
      <c r="J171" t="str" cm="1">
        <f>IF(ISBLANK(INDEX(Array_WaterChargeData,ROW()-14,COLUMN()*2-3)),"",INDEX(Array_WaterChargeData,ROW()-14,COLUMN()*2-3))</f>
        <v/>
      </c>
      <c r="K171" t="str" cm="1">
        <f>IF(ISBLANK(INDEX(Array_WaterChargeData,ROW()-14,COLUMN()*2-3)),"",INDEX(Array_WaterChargeData,ROW()-14,COLUMN()*2-3))</f>
        <v/>
      </c>
    </row>
    <row r="172" spans="1:11" x14ac:dyDescent="0.35">
      <c r="A172" t="str">
        <f>IF('Water Meters'!B160="",A171,'Water Meters'!B160)</f>
        <v>Meter Numbers</v>
      </c>
      <c r="B172" t="str" cm="1">
        <f>IF(ISBLANK(INDEX(Array_WaterChargeData,ROW()-14,COLUMN()*2-3)),"",INDEX(Array_WaterChargeData,ROW()-14,COLUMN()*2-3))</f>
        <v/>
      </c>
      <c r="C172" t="str" cm="1">
        <f>IF(ISBLANK(INDEX(Array_WaterChargeData,ROW()-14,COLUMN()*2-3)),"",INDEX(Array_WaterChargeData,ROW()-14,COLUMN()*2-3))</f>
        <v/>
      </c>
      <c r="D172" t="str" cm="1">
        <f>IF(ISBLANK(INDEX(Array_WaterChargeData,ROW()-14,COLUMN()*2-3)),"",INDEX(Array_WaterChargeData,ROW()-14,COLUMN()*2-3))</f>
        <v/>
      </c>
      <c r="E172" t="str" cm="1">
        <f>IF(ISBLANK(INDEX(Array_WaterChargeData,ROW()-14,COLUMN()*2-3)),"",INDEX(Array_WaterChargeData,ROW()-14,COLUMN()*2-3))</f>
        <v/>
      </c>
      <c r="F172" t="str" cm="1">
        <f>IF(ISBLANK(INDEX(Array_WaterChargeData,ROW()-14,COLUMN()*2-3)),"",INDEX(Array_WaterChargeData,ROW()-14,COLUMN()*2-3))</f>
        <v/>
      </c>
      <c r="G172" t="str" cm="1">
        <f>IF(ISBLANK(INDEX(Array_WaterChargeData,ROW()-14,COLUMN()*2-3)),"",INDEX(Array_WaterChargeData,ROW()-14,COLUMN()*2-3))</f>
        <v/>
      </c>
      <c r="H172" t="str" cm="1">
        <f>IF(ISBLANK(INDEX(Array_WaterChargeData,ROW()-14,COLUMN()*2-3)),"",INDEX(Array_WaterChargeData,ROW()-14,COLUMN()*2-3))</f>
        <v/>
      </c>
      <c r="I172" t="str" cm="1">
        <f>IF(ISBLANK(INDEX(Array_WaterChargeData,ROW()-14,COLUMN()*2-3)),"",INDEX(Array_WaterChargeData,ROW()-14,COLUMN()*2-3))</f>
        <v/>
      </c>
      <c r="J172" t="str" cm="1">
        <f>IF(ISBLANK(INDEX(Array_WaterChargeData,ROW()-14,COLUMN()*2-3)),"",INDEX(Array_WaterChargeData,ROW()-14,COLUMN()*2-3))</f>
        <v/>
      </c>
      <c r="K172" t="str" cm="1">
        <f>IF(ISBLANK(INDEX(Array_WaterChargeData,ROW()-14,COLUMN()*2-3)),"",INDEX(Array_WaterChargeData,ROW()-14,COLUMN()*2-3))</f>
        <v/>
      </c>
    </row>
    <row r="173" spans="1:11" x14ac:dyDescent="0.35">
      <c r="A173" t="str">
        <f>IF('Water Meters'!B161="",A172,'Water Meters'!B161)</f>
        <v>Meter Numbers</v>
      </c>
      <c r="B173" t="str" cm="1">
        <f>IF(ISBLANK(INDEX(Array_WaterChargeData,ROW()-14,COLUMN()*2-3)),"",INDEX(Array_WaterChargeData,ROW()-14,COLUMN()*2-3))</f>
        <v/>
      </c>
      <c r="C173" t="str" cm="1">
        <f>IF(ISBLANK(INDEX(Array_WaterChargeData,ROW()-14,COLUMN()*2-3)),"",INDEX(Array_WaterChargeData,ROW()-14,COLUMN()*2-3))</f>
        <v/>
      </c>
      <c r="D173" t="str" cm="1">
        <f>IF(ISBLANK(INDEX(Array_WaterChargeData,ROW()-14,COLUMN()*2-3)),"",INDEX(Array_WaterChargeData,ROW()-14,COLUMN()*2-3))</f>
        <v/>
      </c>
      <c r="E173" t="str" cm="1">
        <f>IF(ISBLANK(INDEX(Array_WaterChargeData,ROW()-14,COLUMN()*2-3)),"",INDEX(Array_WaterChargeData,ROW()-14,COLUMN()*2-3))</f>
        <v/>
      </c>
      <c r="F173" t="str" cm="1">
        <f>IF(ISBLANK(INDEX(Array_WaterChargeData,ROW()-14,COLUMN()*2-3)),"",INDEX(Array_WaterChargeData,ROW()-14,COLUMN()*2-3))</f>
        <v/>
      </c>
      <c r="G173" t="str" cm="1">
        <f>IF(ISBLANK(INDEX(Array_WaterChargeData,ROW()-14,COLUMN()*2-3)),"",INDEX(Array_WaterChargeData,ROW()-14,COLUMN()*2-3))</f>
        <v/>
      </c>
      <c r="H173" t="str" cm="1">
        <f>IF(ISBLANK(INDEX(Array_WaterChargeData,ROW()-14,COLUMN()*2-3)),"",INDEX(Array_WaterChargeData,ROW()-14,COLUMN()*2-3))</f>
        <v/>
      </c>
      <c r="I173" t="str" cm="1">
        <f>IF(ISBLANK(INDEX(Array_WaterChargeData,ROW()-14,COLUMN()*2-3)),"",INDEX(Array_WaterChargeData,ROW()-14,COLUMN()*2-3))</f>
        <v/>
      </c>
      <c r="J173" t="str" cm="1">
        <f>IF(ISBLANK(INDEX(Array_WaterChargeData,ROW()-14,COLUMN()*2-3)),"",INDEX(Array_WaterChargeData,ROW()-14,COLUMN()*2-3))</f>
        <v/>
      </c>
      <c r="K173" t="str" cm="1">
        <f>IF(ISBLANK(INDEX(Array_WaterChargeData,ROW()-14,COLUMN()*2-3)),"",INDEX(Array_WaterChargeData,ROW()-14,COLUMN()*2-3))</f>
        <v/>
      </c>
    </row>
    <row r="174" spans="1:11" x14ac:dyDescent="0.35">
      <c r="A174" t="str">
        <f>IF('Water Meters'!B162="",A173,'Water Meters'!B162)</f>
        <v>Meter Numbers</v>
      </c>
      <c r="B174" t="str" cm="1">
        <f>IF(ISBLANK(INDEX(Array_WaterChargeData,ROW()-14,COLUMN()*2-3)),"",INDEX(Array_WaterChargeData,ROW()-14,COLUMN()*2-3))</f>
        <v/>
      </c>
      <c r="C174" t="str" cm="1">
        <f>IF(ISBLANK(INDEX(Array_WaterChargeData,ROW()-14,COLUMN()*2-3)),"",INDEX(Array_WaterChargeData,ROW()-14,COLUMN()*2-3))</f>
        <v/>
      </c>
      <c r="D174" t="str" cm="1">
        <f>IF(ISBLANK(INDEX(Array_WaterChargeData,ROW()-14,COLUMN()*2-3)),"",INDEX(Array_WaterChargeData,ROW()-14,COLUMN()*2-3))</f>
        <v/>
      </c>
      <c r="E174" t="str" cm="1">
        <f>IF(ISBLANK(INDEX(Array_WaterChargeData,ROW()-14,COLUMN()*2-3)),"",INDEX(Array_WaterChargeData,ROW()-14,COLUMN()*2-3))</f>
        <v/>
      </c>
      <c r="F174" t="str" cm="1">
        <f>IF(ISBLANK(INDEX(Array_WaterChargeData,ROW()-14,COLUMN()*2-3)),"",INDEX(Array_WaterChargeData,ROW()-14,COLUMN()*2-3))</f>
        <v/>
      </c>
      <c r="G174" t="str" cm="1">
        <f>IF(ISBLANK(INDEX(Array_WaterChargeData,ROW()-14,COLUMN()*2-3)),"",INDEX(Array_WaterChargeData,ROW()-14,COLUMN()*2-3))</f>
        <v/>
      </c>
      <c r="H174" t="str" cm="1">
        <f>IF(ISBLANK(INDEX(Array_WaterChargeData,ROW()-14,COLUMN()*2-3)),"",INDEX(Array_WaterChargeData,ROW()-14,COLUMN()*2-3))</f>
        <v/>
      </c>
      <c r="I174" t="str" cm="1">
        <f>IF(ISBLANK(INDEX(Array_WaterChargeData,ROW()-14,COLUMN()*2-3)),"",INDEX(Array_WaterChargeData,ROW()-14,COLUMN()*2-3))</f>
        <v/>
      </c>
      <c r="J174" t="str" cm="1">
        <f>IF(ISBLANK(INDEX(Array_WaterChargeData,ROW()-14,COLUMN()*2-3)),"",INDEX(Array_WaterChargeData,ROW()-14,COLUMN()*2-3))</f>
        <v/>
      </c>
      <c r="K174" t="str" cm="1">
        <f>IF(ISBLANK(INDEX(Array_WaterChargeData,ROW()-14,COLUMN()*2-3)),"",INDEX(Array_WaterChargeData,ROW()-14,COLUMN()*2-3))</f>
        <v/>
      </c>
    </row>
    <row r="175" spans="1:11" x14ac:dyDescent="0.35">
      <c r="A175" t="str">
        <f>IF('Water Meters'!B163="",A174,'Water Meters'!B163)</f>
        <v>Meter Numbers</v>
      </c>
      <c r="B175" t="str" cm="1">
        <f>IF(ISBLANK(INDEX(Array_WaterChargeData,ROW()-14,COLUMN()*2-3)),"",INDEX(Array_WaterChargeData,ROW()-14,COLUMN()*2-3))</f>
        <v/>
      </c>
      <c r="C175" t="str" cm="1">
        <f>IF(ISBLANK(INDEX(Array_WaterChargeData,ROW()-14,COLUMN()*2-3)),"",INDEX(Array_WaterChargeData,ROW()-14,COLUMN()*2-3))</f>
        <v/>
      </c>
      <c r="D175" t="str" cm="1">
        <f>IF(ISBLANK(INDEX(Array_WaterChargeData,ROW()-14,COLUMN()*2-3)),"",INDEX(Array_WaterChargeData,ROW()-14,COLUMN()*2-3))</f>
        <v/>
      </c>
      <c r="E175" t="str" cm="1">
        <f>IF(ISBLANK(INDEX(Array_WaterChargeData,ROW()-14,COLUMN()*2-3)),"",INDEX(Array_WaterChargeData,ROW()-14,COLUMN()*2-3))</f>
        <v/>
      </c>
      <c r="F175" t="str" cm="1">
        <f>IF(ISBLANK(INDEX(Array_WaterChargeData,ROW()-14,COLUMN()*2-3)),"",INDEX(Array_WaterChargeData,ROW()-14,COLUMN()*2-3))</f>
        <v/>
      </c>
      <c r="G175" t="str" cm="1">
        <f>IF(ISBLANK(INDEX(Array_WaterChargeData,ROW()-14,COLUMN()*2-3)),"",INDEX(Array_WaterChargeData,ROW()-14,COLUMN()*2-3))</f>
        <v/>
      </c>
      <c r="H175" t="str" cm="1">
        <f>IF(ISBLANK(INDEX(Array_WaterChargeData,ROW()-14,COLUMN()*2-3)),"",INDEX(Array_WaterChargeData,ROW()-14,COLUMN()*2-3))</f>
        <v/>
      </c>
      <c r="I175" t="str" cm="1">
        <f>IF(ISBLANK(INDEX(Array_WaterChargeData,ROW()-14,COLUMN()*2-3)),"",INDEX(Array_WaterChargeData,ROW()-14,COLUMN()*2-3))</f>
        <v/>
      </c>
      <c r="J175" t="str" cm="1">
        <f>IF(ISBLANK(INDEX(Array_WaterChargeData,ROW()-14,COLUMN()*2-3)),"",INDEX(Array_WaterChargeData,ROW()-14,COLUMN()*2-3))</f>
        <v/>
      </c>
      <c r="K175" t="str" cm="1">
        <f>IF(ISBLANK(INDEX(Array_WaterChargeData,ROW()-14,COLUMN()*2-3)),"",INDEX(Array_WaterChargeData,ROW()-14,COLUMN()*2-3))</f>
        <v/>
      </c>
    </row>
    <row r="176" spans="1:11" x14ac:dyDescent="0.35">
      <c r="A176" t="str">
        <f>IF('Water Meters'!B164="",A175,'Water Meters'!B164)</f>
        <v>Meter Numbers</v>
      </c>
      <c r="B176" t="str" cm="1">
        <f>IF(ISBLANK(INDEX(Array_WaterChargeData,ROW()-14,COLUMN()*2-3)),"",INDEX(Array_WaterChargeData,ROW()-14,COLUMN()*2-3))</f>
        <v/>
      </c>
      <c r="C176" t="str" cm="1">
        <f>IF(ISBLANK(INDEX(Array_WaterChargeData,ROW()-14,COLUMN()*2-3)),"",INDEX(Array_WaterChargeData,ROW()-14,COLUMN()*2-3))</f>
        <v/>
      </c>
      <c r="D176" t="str" cm="1">
        <f>IF(ISBLANK(INDEX(Array_WaterChargeData,ROW()-14,COLUMN()*2-3)),"",INDEX(Array_WaterChargeData,ROW()-14,COLUMN()*2-3))</f>
        <v/>
      </c>
      <c r="E176" t="str" cm="1">
        <f>IF(ISBLANK(INDEX(Array_WaterChargeData,ROW()-14,COLUMN()*2-3)),"",INDEX(Array_WaterChargeData,ROW()-14,COLUMN()*2-3))</f>
        <v/>
      </c>
      <c r="F176" t="str" cm="1">
        <f>IF(ISBLANK(INDEX(Array_WaterChargeData,ROW()-14,COLUMN()*2-3)),"",INDEX(Array_WaterChargeData,ROW()-14,COLUMN()*2-3))</f>
        <v/>
      </c>
      <c r="G176" t="str" cm="1">
        <f>IF(ISBLANK(INDEX(Array_WaterChargeData,ROW()-14,COLUMN()*2-3)),"",INDEX(Array_WaterChargeData,ROW()-14,COLUMN()*2-3))</f>
        <v/>
      </c>
      <c r="H176" t="str" cm="1">
        <f>IF(ISBLANK(INDEX(Array_WaterChargeData,ROW()-14,COLUMN()*2-3)),"",INDEX(Array_WaterChargeData,ROW()-14,COLUMN()*2-3))</f>
        <v/>
      </c>
      <c r="I176" t="str" cm="1">
        <f>IF(ISBLANK(INDEX(Array_WaterChargeData,ROW()-14,COLUMN()*2-3)),"",INDEX(Array_WaterChargeData,ROW()-14,COLUMN()*2-3))</f>
        <v/>
      </c>
      <c r="J176" t="str" cm="1">
        <f>IF(ISBLANK(INDEX(Array_WaterChargeData,ROW()-14,COLUMN()*2-3)),"",INDEX(Array_WaterChargeData,ROW()-14,COLUMN()*2-3))</f>
        <v/>
      </c>
      <c r="K176" t="str" cm="1">
        <f>IF(ISBLANK(INDEX(Array_WaterChargeData,ROW()-14,COLUMN()*2-3)),"",INDEX(Array_WaterChargeData,ROW()-14,COLUMN()*2-3))</f>
        <v/>
      </c>
    </row>
    <row r="177" spans="1:11" x14ac:dyDescent="0.35">
      <c r="A177" t="str">
        <f>IF('Water Meters'!B165="",A176,'Water Meters'!B165)</f>
        <v>Meter Numbers</v>
      </c>
      <c r="B177" t="str" cm="1">
        <f>IF(ISBLANK(INDEX(Array_WaterChargeData,ROW()-14,COLUMN()*2-3)),"",INDEX(Array_WaterChargeData,ROW()-14,COLUMN()*2-3))</f>
        <v/>
      </c>
      <c r="C177" t="str" cm="1">
        <f>IF(ISBLANK(INDEX(Array_WaterChargeData,ROW()-14,COLUMN()*2-3)),"",INDEX(Array_WaterChargeData,ROW()-14,COLUMN()*2-3))</f>
        <v/>
      </c>
      <c r="D177" t="str" cm="1">
        <f>IF(ISBLANK(INDEX(Array_WaterChargeData,ROW()-14,COLUMN()*2-3)),"",INDEX(Array_WaterChargeData,ROW()-14,COLUMN()*2-3))</f>
        <v/>
      </c>
      <c r="E177" t="str" cm="1">
        <f>IF(ISBLANK(INDEX(Array_WaterChargeData,ROW()-14,COLUMN()*2-3)),"",INDEX(Array_WaterChargeData,ROW()-14,COLUMN()*2-3))</f>
        <v/>
      </c>
      <c r="F177" t="str" cm="1">
        <f>IF(ISBLANK(INDEX(Array_WaterChargeData,ROW()-14,COLUMN()*2-3)),"",INDEX(Array_WaterChargeData,ROW()-14,COLUMN()*2-3))</f>
        <v/>
      </c>
      <c r="G177" t="str" cm="1">
        <f>IF(ISBLANK(INDEX(Array_WaterChargeData,ROW()-14,COLUMN()*2-3)),"",INDEX(Array_WaterChargeData,ROW()-14,COLUMN()*2-3))</f>
        <v/>
      </c>
      <c r="H177" t="str" cm="1">
        <f>IF(ISBLANK(INDEX(Array_WaterChargeData,ROW()-14,COLUMN()*2-3)),"",INDEX(Array_WaterChargeData,ROW()-14,COLUMN()*2-3))</f>
        <v/>
      </c>
      <c r="I177" t="str" cm="1">
        <f>IF(ISBLANK(INDEX(Array_WaterChargeData,ROW()-14,COLUMN()*2-3)),"",INDEX(Array_WaterChargeData,ROW()-14,COLUMN()*2-3))</f>
        <v/>
      </c>
      <c r="J177" t="str" cm="1">
        <f>IF(ISBLANK(INDEX(Array_WaterChargeData,ROW()-14,COLUMN()*2-3)),"",INDEX(Array_WaterChargeData,ROW()-14,COLUMN()*2-3))</f>
        <v/>
      </c>
      <c r="K177" t="str" cm="1">
        <f>IF(ISBLANK(INDEX(Array_WaterChargeData,ROW()-14,COLUMN()*2-3)),"",INDEX(Array_WaterChargeData,ROW()-14,COLUMN()*2-3))</f>
        <v/>
      </c>
    </row>
    <row r="178" spans="1:11" x14ac:dyDescent="0.35">
      <c r="A178" t="str">
        <f>IF('Water Meters'!B166="",A177,'Water Meters'!B166)</f>
        <v>Meter Numbers</v>
      </c>
      <c r="B178" t="str" cm="1">
        <f>IF(ISBLANK(INDEX(Array_WaterChargeData,ROW()-14,COLUMN()*2-3)),"",INDEX(Array_WaterChargeData,ROW()-14,COLUMN()*2-3))</f>
        <v/>
      </c>
      <c r="C178" t="str" cm="1">
        <f>IF(ISBLANK(INDEX(Array_WaterChargeData,ROW()-14,COLUMN()*2-3)),"",INDEX(Array_WaterChargeData,ROW()-14,COLUMN()*2-3))</f>
        <v/>
      </c>
      <c r="D178" t="str" cm="1">
        <f>IF(ISBLANK(INDEX(Array_WaterChargeData,ROW()-14,COLUMN()*2-3)),"",INDEX(Array_WaterChargeData,ROW()-14,COLUMN()*2-3))</f>
        <v/>
      </c>
      <c r="E178" t="str" cm="1">
        <f>IF(ISBLANK(INDEX(Array_WaterChargeData,ROW()-14,COLUMN()*2-3)),"",INDEX(Array_WaterChargeData,ROW()-14,COLUMN()*2-3))</f>
        <v/>
      </c>
      <c r="F178" t="str" cm="1">
        <f>IF(ISBLANK(INDEX(Array_WaterChargeData,ROW()-14,COLUMN()*2-3)),"",INDEX(Array_WaterChargeData,ROW()-14,COLUMN()*2-3))</f>
        <v/>
      </c>
      <c r="G178" t="str" cm="1">
        <f>IF(ISBLANK(INDEX(Array_WaterChargeData,ROW()-14,COLUMN()*2-3)),"",INDEX(Array_WaterChargeData,ROW()-14,COLUMN()*2-3))</f>
        <v/>
      </c>
      <c r="H178" t="str" cm="1">
        <f>IF(ISBLANK(INDEX(Array_WaterChargeData,ROW()-14,COLUMN()*2-3)),"",INDEX(Array_WaterChargeData,ROW()-14,COLUMN()*2-3))</f>
        <v/>
      </c>
      <c r="I178" t="str" cm="1">
        <f>IF(ISBLANK(INDEX(Array_WaterChargeData,ROW()-14,COLUMN()*2-3)),"",INDEX(Array_WaterChargeData,ROW()-14,COLUMN()*2-3))</f>
        <v/>
      </c>
      <c r="J178" t="str" cm="1">
        <f>IF(ISBLANK(INDEX(Array_WaterChargeData,ROW()-14,COLUMN()*2-3)),"",INDEX(Array_WaterChargeData,ROW()-14,COLUMN()*2-3))</f>
        <v/>
      </c>
      <c r="K178" t="str" cm="1">
        <f>IF(ISBLANK(INDEX(Array_WaterChargeData,ROW()-14,COLUMN()*2-3)),"",INDEX(Array_WaterChargeData,ROW()-14,COLUMN()*2-3))</f>
        <v/>
      </c>
    </row>
    <row r="179" spans="1:11" x14ac:dyDescent="0.35">
      <c r="A179" t="str">
        <f>IF('Water Meters'!B167="",A178,'Water Meters'!B167)</f>
        <v>Meter Numbers</v>
      </c>
      <c r="B179" t="str" cm="1">
        <f>IF(ISBLANK(INDEX(Array_WaterChargeData,ROW()-14,COLUMN()*2-3)),"",INDEX(Array_WaterChargeData,ROW()-14,COLUMN()*2-3))</f>
        <v/>
      </c>
      <c r="C179" t="str" cm="1">
        <f>IF(ISBLANK(INDEX(Array_WaterChargeData,ROW()-14,COLUMN()*2-3)),"",INDEX(Array_WaterChargeData,ROW()-14,COLUMN()*2-3))</f>
        <v/>
      </c>
      <c r="D179" t="str" cm="1">
        <f>IF(ISBLANK(INDEX(Array_WaterChargeData,ROW()-14,COLUMN()*2-3)),"",INDEX(Array_WaterChargeData,ROW()-14,COLUMN()*2-3))</f>
        <v/>
      </c>
      <c r="E179" t="str" cm="1">
        <f>IF(ISBLANK(INDEX(Array_WaterChargeData,ROW()-14,COLUMN()*2-3)),"",INDEX(Array_WaterChargeData,ROW()-14,COLUMN()*2-3))</f>
        <v/>
      </c>
      <c r="F179" t="str" cm="1">
        <f>IF(ISBLANK(INDEX(Array_WaterChargeData,ROW()-14,COLUMN()*2-3)),"",INDEX(Array_WaterChargeData,ROW()-14,COLUMN()*2-3))</f>
        <v/>
      </c>
      <c r="G179" t="str" cm="1">
        <f>IF(ISBLANK(INDEX(Array_WaterChargeData,ROW()-14,COLUMN()*2-3)),"",INDEX(Array_WaterChargeData,ROW()-14,COLUMN()*2-3))</f>
        <v/>
      </c>
      <c r="H179" t="str" cm="1">
        <f>IF(ISBLANK(INDEX(Array_WaterChargeData,ROW()-14,COLUMN()*2-3)),"",INDEX(Array_WaterChargeData,ROW()-14,COLUMN()*2-3))</f>
        <v/>
      </c>
      <c r="I179" t="str" cm="1">
        <f>IF(ISBLANK(INDEX(Array_WaterChargeData,ROW()-14,COLUMN()*2-3)),"",INDEX(Array_WaterChargeData,ROW()-14,COLUMN()*2-3))</f>
        <v/>
      </c>
      <c r="J179" t="str" cm="1">
        <f>IF(ISBLANK(INDEX(Array_WaterChargeData,ROW()-14,COLUMN()*2-3)),"",INDEX(Array_WaterChargeData,ROW()-14,COLUMN()*2-3))</f>
        <v/>
      </c>
      <c r="K179" t="str" cm="1">
        <f>IF(ISBLANK(INDEX(Array_WaterChargeData,ROW()-14,COLUMN()*2-3)),"",INDEX(Array_WaterChargeData,ROW()-14,COLUMN()*2-3))</f>
        <v/>
      </c>
    </row>
    <row r="180" spans="1:11" x14ac:dyDescent="0.35">
      <c r="A180" t="str">
        <f>IF('Water Meters'!B168="",A179,'Water Meters'!B168)</f>
        <v>Meter Numbers</v>
      </c>
      <c r="B180" t="str" cm="1">
        <f>IF(ISBLANK(INDEX(Array_WaterChargeData,ROW()-14,COLUMN()*2-3)),"",INDEX(Array_WaterChargeData,ROW()-14,COLUMN()*2-3))</f>
        <v/>
      </c>
      <c r="C180" t="str" cm="1">
        <f>IF(ISBLANK(INDEX(Array_WaterChargeData,ROW()-14,COLUMN()*2-3)),"",INDEX(Array_WaterChargeData,ROW()-14,COLUMN()*2-3))</f>
        <v/>
      </c>
      <c r="D180" t="str" cm="1">
        <f>IF(ISBLANK(INDEX(Array_WaterChargeData,ROW()-14,COLUMN()*2-3)),"",INDEX(Array_WaterChargeData,ROW()-14,COLUMN()*2-3))</f>
        <v/>
      </c>
      <c r="E180" t="str" cm="1">
        <f>IF(ISBLANK(INDEX(Array_WaterChargeData,ROW()-14,COLUMN()*2-3)),"",INDEX(Array_WaterChargeData,ROW()-14,COLUMN()*2-3))</f>
        <v/>
      </c>
      <c r="F180" t="str" cm="1">
        <f>IF(ISBLANK(INDEX(Array_WaterChargeData,ROW()-14,COLUMN()*2-3)),"",INDEX(Array_WaterChargeData,ROW()-14,COLUMN()*2-3))</f>
        <v/>
      </c>
      <c r="G180" t="str" cm="1">
        <f>IF(ISBLANK(INDEX(Array_WaterChargeData,ROW()-14,COLUMN()*2-3)),"",INDEX(Array_WaterChargeData,ROW()-14,COLUMN()*2-3))</f>
        <v/>
      </c>
      <c r="H180" t="str" cm="1">
        <f>IF(ISBLANK(INDEX(Array_WaterChargeData,ROW()-14,COLUMN()*2-3)),"",INDEX(Array_WaterChargeData,ROW()-14,COLUMN()*2-3))</f>
        <v/>
      </c>
      <c r="I180" t="str" cm="1">
        <f>IF(ISBLANK(INDEX(Array_WaterChargeData,ROW()-14,COLUMN()*2-3)),"",INDEX(Array_WaterChargeData,ROW()-14,COLUMN()*2-3))</f>
        <v/>
      </c>
      <c r="J180" t="str" cm="1">
        <f>IF(ISBLANK(INDEX(Array_WaterChargeData,ROW()-14,COLUMN()*2-3)),"",INDEX(Array_WaterChargeData,ROW()-14,COLUMN()*2-3))</f>
        <v/>
      </c>
      <c r="K180" t="str" cm="1">
        <f>IF(ISBLANK(INDEX(Array_WaterChargeData,ROW()-14,COLUMN()*2-3)),"",INDEX(Array_WaterChargeData,ROW()-14,COLUMN()*2-3))</f>
        <v/>
      </c>
    </row>
    <row r="181" spans="1:11" x14ac:dyDescent="0.35">
      <c r="A181" t="str">
        <f>IF('Water Meters'!B169="",A180,'Water Meters'!B169)</f>
        <v>Meter Numbers</v>
      </c>
      <c r="B181" t="str" cm="1">
        <f>IF(ISBLANK(INDEX(Array_WaterChargeData,ROW()-14,COLUMN()*2-3)),"",INDEX(Array_WaterChargeData,ROW()-14,COLUMN()*2-3))</f>
        <v/>
      </c>
      <c r="C181" t="str" cm="1">
        <f>IF(ISBLANK(INDEX(Array_WaterChargeData,ROW()-14,COLUMN()*2-3)),"",INDEX(Array_WaterChargeData,ROW()-14,COLUMN()*2-3))</f>
        <v/>
      </c>
      <c r="D181" t="str" cm="1">
        <f>IF(ISBLANK(INDEX(Array_WaterChargeData,ROW()-14,COLUMN()*2-3)),"",INDEX(Array_WaterChargeData,ROW()-14,COLUMN()*2-3))</f>
        <v/>
      </c>
      <c r="E181" t="str" cm="1">
        <f>IF(ISBLANK(INDEX(Array_WaterChargeData,ROW()-14,COLUMN()*2-3)),"",INDEX(Array_WaterChargeData,ROW()-14,COLUMN()*2-3))</f>
        <v/>
      </c>
      <c r="F181" t="str" cm="1">
        <f>IF(ISBLANK(INDEX(Array_WaterChargeData,ROW()-14,COLUMN()*2-3)),"",INDEX(Array_WaterChargeData,ROW()-14,COLUMN()*2-3))</f>
        <v/>
      </c>
      <c r="G181" t="str" cm="1">
        <f>IF(ISBLANK(INDEX(Array_WaterChargeData,ROW()-14,COLUMN()*2-3)),"",INDEX(Array_WaterChargeData,ROW()-14,COLUMN()*2-3))</f>
        <v/>
      </c>
      <c r="H181" t="str" cm="1">
        <f>IF(ISBLANK(INDEX(Array_WaterChargeData,ROW()-14,COLUMN()*2-3)),"",INDEX(Array_WaterChargeData,ROW()-14,COLUMN()*2-3))</f>
        <v/>
      </c>
      <c r="I181" t="str" cm="1">
        <f>IF(ISBLANK(INDEX(Array_WaterChargeData,ROW()-14,COLUMN()*2-3)),"",INDEX(Array_WaterChargeData,ROW()-14,COLUMN()*2-3))</f>
        <v/>
      </c>
      <c r="J181" t="str" cm="1">
        <f>IF(ISBLANK(INDEX(Array_WaterChargeData,ROW()-14,COLUMN()*2-3)),"",INDEX(Array_WaterChargeData,ROW()-14,COLUMN()*2-3))</f>
        <v/>
      </c>
      <c r="K181" t="str" cm="1">
        <f>IF(ISBLANK(INDEX(Array_WaterChargeData,ROW()-14,COLUMN()*2-3)),"",INDEX(Array_WaterChargeData,ROW()-14,COLUMN()*2-3))</f>
        <v/>
      </c>
    </row>
    <row r="182" spans="1:11" x14ac:dyDescent="0.35">
      <c r="A182" t="str">
        <f>IF('Water Meters'!B170="",A181,'Water Meters'!B170)</f>
        <v>Meter Numbers</v>
      </c>
      <c r="B182" t="str" cm="1">
        <f>IF(ISBLANK(INDEX(Array_WaterChargeData,ROW()-14,COLUMN()*2-3)),"",INDEX(Array_WaterChargeData,ROW()-14,COLUMN()*2-3))</f>
        <v/>
      </c>
      <c r="C182" t="str" cm="1">
        <f>IF(ISBLANK(INDEX(Array_WaterChargeData,ROW()-14,COLUMN()*2-3)),"",INDEX(Array_WaterChargeData,ROW()-14,COLUMN()*2-3))</f>
        <v/>
      </c>
      <c r="D182" t="str" cm="1">
        <f>IF(ISBLANK(INDEX(Array_WaterChargeData,ROW()-14,COLUMN()*2-3)),"",INDEX(Array_WaterChargeData,ROW()-14,COLUMN()*2-3))</f>
        <v/>
      </c>
      <c r="E182" t="str" cm="1">
        <f>IF(ISBLANK(INDEX(Array_WaterChargeData,ROW()-14,COLUMN()*2-3)),"",INDEX(Array_WaterChargeData,ROW()-14,COLUMN()*2-3))</f>
        <v/>
      </c>
      <c r="F182" t="str" cm="1">
        <f>IF(ISBLANK(INDEX(Array_WaterChargeData,ROW()-14,COLUMN()*2-3)),"",INDEX(Array_WaterChargeData,ROW()-14,COLUMN()*2-3))</f>
        <v/>
      </c>
      <c r="G182" t="str" cm="1">
        <f>IF(ISBLANK(INDEX(Array_WaterChargeData,ROW()-14,COLUMN()*2-3)),"",INDEX(Array_WaterChargeData,ROW()-14,COLUMN()*2-3))</f>
        <v/>
      </c>
      <c r="H182" t="str" cm="1">
        <f>IF(ISBLANK(INDEX(Array_WaterChargeData,ROW()-14,COLUMN()*2-3)),"",INDEX(Array_WaterChargeData,ROW()-14,COLUMN()*2-3))</f>
        <v/>
      </c>
      <c r="I182" t="str" cm="1">
        <f>IF(ISBLANK(INDEX(Array_WaterChargeData,ROW()-14,COLUMN()*2-3)),"",INDEX(Array_WaterChargeData,ROW()-14,COLUMN()*2-3))</f>
        <v/>
      </c>
      <c r="J182" t="str" cm="1">
        <f>IF(ISBLANK(INDEX(Array_WaterChargeData,ROW()-14,COLUMN()*2-3)),"",INDEX(Array_WaterChargeData,ROW()-14,COLUMN()*2-3))</f>
        <v/>
      </c>
      <c r="K182" t="str" cm="1">
        <f>IF(ISBLANK(INDEX(Array_WaterChargeData,ROW()-14,COLUMN()*2-3)),"",INDEX(Array_WaterChargeData,ROW()-14,COLUMN()*2-3))</f>
        <v/>
      </c>
    </row>
    <row r="183" spans="1:11" x14ac:dyDescent="0.35">
      <c r="A183" t="str">
        <f>IF('Water Meters'!B171="",A182,'Water Meters'!B171)</f>
        <v>Meter Numbers</v>
      </c>
      <c r="B183" t="str" cm="1">
        <f>IF(ISBLANK(INDEX(Array_WaterChargeData,ROW()-14,COLUMN()*2-3)),"",INDEX(Array_WaterChargeData,ROW()-14,COLUMN()*2-3))</f>
        <v/>
      </c>
      <c r="C183" t="str" cm="1">
        <f>IF(ISBLANK(INDEX(Array_WaterChargeData,ROW()-14,COLUMN()*2-3)),"",INDEX(Array_WaterChargeData,ROW()-14,COLUMN()*2-3))</f>
        <v/>
      </c>
      <c r="D183" t="str" cm="1">
        <f>IF(ISBLANK(INDEX(Array_WaterChargeData,ROW()-14,COLUMN()*2-3)),"",INDEX(Array_WaterChargeData,ROW()-14,COLUMN()*2-3))</f>
        <v/>
      </c>
      <c r="E183" t="str" cm="1">
        <f>IF(ISBLANK(INDEX(Array_WaterChargeData,ROW()-14,COLUMN()*2-3)),"",INDEX(Array_WaterChargeData,ROW()-14,COLUMN()*2-3))</f>
        <v/>
      </c>
      <c r="F183" t="str" cm="1">
        <f>IF(ISBLANK(INDEX(Array_WaterChargeData,ROW()-14,COLUMN()*2-3)),"",INDEX(Array_WaterChargeData,ROW()-14,COLUMN()*2-3))</f>
        <v/>
      </c>
      <c r="G183" t="str" cm="1">
        <f>IF(ISBLANK(INDEX(Array_WaterChargeData,ROW()-14,COLUMN()*2-3)),"",INDEX(Array_WaterChargeData,ROW()-14,COLUMN()*2-3))</f>
        <v/>
      </c>
      <c r="H183" t="str" cm="1">
        <f>IF(ISBLANK(INDEX(Array_WaterChargeData,ROW()-14,COLUMN()*2-3)),"",INDEX(Array_WaterChargeData,ROW()-14,COLUMN()*2-3))</f>
        <v/>
      </c>
      <c r="I183" t="str" cm="1">
        <f>IF(ISBLANK(INDEX(Array_WaterChargeData,ROW()-14,COLUMN()*2-3)),"",INDEX(Array_WaterChargeData,ROW()-14,COLUMN()*2-3))</f>
        <v/>
      </c>
      <c r="J183" t="str" cm="1">
        <f>IF(ISBLANK(INDEX(Array_WaterChargeData,ROW()-14,COLUMN()*2-3)),"",INDEX(Array_WaterChargeData,ROW()-14,COLUMN()*2-3))</f>
        <v/>
      </c>
      <c r="K183" t="str" cm="1">
        <f>IF(ISBLANK(INDEX(Array_WaterChargeData,ROW()-14,COLUMN()*2-3)),"",INDEX(Array_WaterChargeData,ROW()-14,COLUMN()*2-3))</f>
        <v/>
      </c>
    </row>
    <row r="184" spans="1:11" x14ac:dyDescent="0.35">
      <c r="A184" t="str">
        <f>IF('Water Meters'!B172="",A183,'Water Meters'!B172)</f>
        <v>Meter Numbers</v>
      </c>
      <c r="B184" t="str" cm="1">
        <f>IF(ISBLANK(INDEX(Array_WaterChargeData,ROW()-14,COLUMN()*2-3)),"",INDEX(Array_WaterChargeData,ROW()-14,COLUMN()*2-3))</f>
        <v/>
      </c>
      <c r="C184" t="str" cm="1">
        <f>IF(ISBLANK(INDEX(Array_WaterChargeData,ROW()-14,COLUMN()*2-3)),"",INDEX(Array_WaterChargeData,ROW()-14,COLUMN()*2-3))</f>
        <v/>
      </c>
      <c r="D184" t="str" cm="1">
        <f>IF(ISBLANK(INDEX(Array_WaterChargeData,ROW()-14,COLUMN()*2-3)),"",INDEX(Array_WaterChargeData,ROW()-14,COLUMN()*2-3))</f>
        <v/>
      </c>
      <c r="E184" t="str" cm="1">
        <f>IF(ISBLANK(INDEX(Array_WaterChargeData,ROW()-14,COLUMN()*2-3)),"",INDEX(Array_WaterChargeData,ROW()-14,COLUMN()*2-3))</f>
        <v/>
      </c>
      <c r="F184" t="str" cm="1">
        <f>IF(ISBLANK(INDEX(Array_WaterChargeData,ROW()-14,COLUMN()*2-3)),"",INDEX(Array_WaterChargeData,ROW()-14,COLUMN()*2-3))</f>
        <v/>
      </c>
      <c r="G184" t="str" cm="1">
        <f>IF(ISBLANK(INDEX(Array_WaterChargeData,ROW()-14,COLUMN()*2-3)),"",INDEX(Array_WaterChargeData,ROW()-14,COLUMN()*2-3))</f>
        <v/>
      </c>
      <c r="H184" t="str" cm="1">
        <f>IF(ISBLANK(INDEX(Array_WaterChargeData,ROW()-14,COLUMN()*2-3)),"",INDEX(Array_WaterChargeData,ROW()-14,COLUMN()*2-3))</f>
        <v/>
      </c>
      <c r="I184" t="str" cm="1">
        <f>IF(ISBLANK(INDEX(Array_WaterChargeData,ROW()-14,COLUMN()*2-3)),"",INDEX(Array_WaterChargeData,ROW()-14,COLUMN()*2-3))</f>
        <v/>
      </c>
      <c r="J184" t="str" cm="1">
        <f>IF(ISBLANK(INDEX(Array_WaterChargeData,ROW()-14,COLUMN()*2-3)),"",INDEX(Array_WaterChargeData,ROW()-14,COLUMN()*2-3))</f>
        <v/>
      </c>
      <c r="K184" t="str" cm="1">
        <f>IF(ISBLANK(INDEX(Array_WaterChargeData,ROW()-14,COLUMN()*2-3)),"",INDEX(Array_WaterChargeData,ROW()-14,COLUMN()*2-3))</f>
        <v/>
      </c>
    </row>
    <row r="185" spans="1:11" x14ac:dyDescent="0.35">
      <c r="A185" t="str">
        <f>IF('Water Meters'!B173="",A184,'Water Meters'!B173)</f>
        <v>Meter Numbers</v>
      </c>
      <c r="B185" t="str" cm="1">
        <f>IF(ISBLANK(INDEX(Array_WaterChargeData,ROW()-14,COLUMN()*2-3)),"",INDEX(Array_WaterChargeData,ROW()-14,COLUMN()*2-3))</f>
        <v/>
      </c>
      <c r="C185" t="str" cm="1">
        <f>IF(ISBLANK(INDEX(Array_WaterChargeData,ROW()-14,COLUMN()*2-3)),"",INDEX(Array_WaterChargeData,ROW()-14,COLUMN()*2-3))</f>
        <v/>
      </c>
      <c r="D185" t="str" cm="1">
        <f>IF(ISBLANK(INDEX(Array_WaterChargeData,ROW()-14,COLUMN()*2-3)),"",INDEX(Array_WaterChargeData,ROW()-14,COLUMN()*2-3))</f>
        <v/>
      </c>
      <c r="E185" t="str" cm="1">
        <f>IF(ISBLANK(INDEX(Array_WaterChargeData,ROW()-14,COLUMN()*2-3)),"",INDEX(Array_WaterChargeData,ROW()-14,COLUMN()*2-3))</f>
        <v/>
      </c>
      <c r="F185" t="str" cm="1">
        <f>IF(ISBLANK(INDEX(Array_WaterChargeData,ROW()-14,COLUMN()*2-3)),"",INDEX(Array_WaterChargeData,ROW()-14,COLUMN()*2-3))</f>
        <v/>
      </c>
      <c r="G185" t="str" cm="1">
        <f>IF(ISBLANK(INDEX(Array_WaterChargeData,ROW()-14,COLUMN()*2-3)),"",INDEX(Array_WaterChargeData,ROW()-14,COLUMN()*2-3))</f>
        <v/>
      </c>
      <c r="H185" t="str" cm="1">
        <f>IF(ISBLANK(INDEX(Array_WaterChargeData,ROW()-14,COLUMN()*2-3)),"",INDEX(Array_WaterChargeData,ROW()-14,COLUMN()*2-3))</f>
        <v/>
      </c>
      <c r="I185" t="str" cm="1">
        <f>IF(ISBLANK(INDEX(Array_WaterChargeData,ROW()-14,COLUMN()*2-3)),"",INDEX(Array_WaterChargeData,ROW()-14,COLUMN()*2-3))</f>
        <v/>
      </c>
      <c r="J185" t="str" cm="1">
        <f>IF(ISBLANK(INDEX(Array_WaterChargeData,ROW()-14,COLUMN()*2-3)),"",INDEX(Array_WaterChargeData,ROW()-14,COLUMN()*2-3))</f>
        <v/>
      </c>
      <c r="K185" t="str" cm="1">
        <f>IF(ISBLANK(INDEX(Array_WaterChargeData,ROW()-14,COLUMN()*2-3)),"",INDEX(Array_WaterChargeData,ROW()-14,COLUMN()*2-3))</f>
        <v/>
      </c>
    </row>
    <row r="186" spans="1:11" x14ac:dyDescent="0.35">
      <c r="A186" t="str">
        <f>IF('Water Meters'!B174="",A185,'Water Meters'!B174)</f>
        <v>Meter Numbers</v>
      </c>
      <c r="B186" t="str" cm="1">
        <f>IF(ISBLANK(INDEX(Array_WaterChargeData,ROW()-14,COLUMN()*2-3)),"",INDEX(Array_WaterChargeData,ROW()-14,COLUMN()*2-3))</f>
        <v/>
      </c>
      <c r="C186" t="str" cm="1">
        <f>IF(ISBLANK(INDEX(Array_WaterChargeData,ROW()-14,COLUMN()*2-3)),"",INDEX(Array_WaterChargeData,ROW()-14,COLUMN()*2-3))</f>
        <v/>
      </c>
      <c r="D186" t="str" cm="1">
        <f>IF(ISBLANK(INDEX(Array_WaterChargeData,ROW()-14,COLUMN()*2-3)),"",INDEX(Array_WaterChargeData,ROW()-14,COLUMN()*2-3))</f>
        <v/>
      </c>
      <c r="E186" t="str" cm="1">
        <f>IF(ISBLANK(INDEX(Array_WaterChargeData,ROW()-14,COLUMN()*2-3)),"",INDEX(Array_WaterChargeData,ROW()-14,COLUMN()*2-3))</f>
        <v/>
      </c>
      <c r="F186" t="str" cm="1">
        <f>IF(ISBLANK(INDEX(Array_WaterChargeData,ROW()-14,COLUMN()*2-3)),"",INDEX(Array_WaterChargeData,ROW()-14,COLUMN()*2-3))</f>
        <v/>
      </c>
      <c r="G186" t="str" cm="1">
        <f>IF(ISBLANK(INDEX(Array_WaterChargeData,ROW()-14,COLUMN()*2-3)),"",INDEX(Array_WaterChargeData,ROW()-14,COLUMN()*2-3))</f>
        <v/>
      </c>
      <c r="H186" t="str" cm="1">
        <f>IF(ISBLANK(INDEX(Array_WaterChargeData,ROW()-14,COLUMN()*2-3)),"",INDEX(Array_WaterChargeData,ROW()-14,COLUMN()*2-3))</f>
        <v/>
      </c>
      <c r="I186" t="str" cm="1">
        <f>IF(ISBLANK(INDEX(Array_WaterChargeData,ROW()-14,COLUMN()*2-3)),"",INDEX(Array_WaterChargeData,ROW()-14,COLUMN()*2-3))</f>
        <v/>
      </c>
      <c r="J186" t="str" cm="1">
        <f>IF(ISBLANK(INDEX(Array_WaterChargeData,ROW()-14,COLUMN()*2-3)),"",INDEX(Array_WaterChargeData,ROW()-14,COLUMN()*2-3))</f>
        <v/>
      </c>
      <c r="K186" t="str" cm="1">
        <f>IF(ISBLANK(INDEX(Array_WaterChargeData,ROW()-14,COLUMN()*2-3)),"",INDEX(Array_WaterChargeData,ROW()-14,COLUMN()*2-3))</f>
        <v/>
      </c>
    </row>
    <row r="187" spans="1:11" x14ac:dyDescent="0.35">
      <c r="A187" t="str">
        <f>IF('Water Meters'!B175="",A186,'Water Meters'!B175)</f>
        <v>Meter Numbers</v>
      </c>
      <c r="B187" t="str" cm="1">
        <f>IF(ISBLANK(INDEX(Array_WaterChargeData,ROW()-14,COLUMN()*2-3)),"",INDEX(Array_WaterChargeData,ROW()-14,COLUMN()*2-3))</f>
        <v/>
      </c>
      <c r="C187" t="str" cm="1">
        <f>IF(ISBLANK(INDEX(Array_WaterChargeData,ROW()-14,COLUMN()*2-3)),"",INDEX(Array_WaterChargeData,ROW()-14,COLUMN()*2-3))</f>
        <v/>
      </c>
      <c r="D187" t="str" cm="1">
        <f>IF(ISBLANK(INDEX(Array_WaterChargeData,ROW()-14,COLUMN()*2-3)),"",INDEX(Array_WaterChargeData,ROW()-14,COLUMN()*2-3))</f>
        <v/>
      </c>
      <c r="E187" t="str" cm="1">
        <f>IF(ISBLANK(INDEX(Array_WaterChargeData,ROW()-14,COLUMN()*2-3)),"",INDEX(Array_WaterChargeData,ROW()-14,COLUMN()*2-3))</f>
        <v/>
      </c>
      <c r="F187" t="str" cm="1">
        <f>IF(ISBLANK(INDEX(Array_WaterChargeData,ROW()-14,COLUMN()*2-3)),"",INDEX(Array_WaterChargeData,ROW()-14,COLUMN()*2-3))</f>
        <v/>
      </c>
      <c r="G187" t="str" cm="1">
        <f>IF(ISBLANK(INDEX(Array_WaterChargeData,ROW()-14,COLUMN()*2-3)),"",INDEX(Array_WaterChargeData,ROW()-14,COLUMN()*2-3))</f>
        <v/>
      </c>
      <c r="H187" t="str" cm="1">
        <f>IF(ISBLANK(INDEX(Array_WaterChargeData,ROW()-14,COLUMN()*2-3)),"",INDEX(Array_WaterChargeData,ROW()-14,COLUMN()*2-3))</f>
        <v/>
      </c>
      <c r="I187" t="str" cm="1">
        <f>IF(ISBLANK(INDEX(Array_WaterChargeData,ROW()-14,COLUMN()*2-3)),"",INDEX(Array_WaterChargeData,ROW()-14,COLUMN()*2-3))</f>
        <v/>
      </c>
      <c r="J187" t="str" cm="1">
        <f>IF(ISBLANK(INDEX(Array_WaterChargeData,ROW()-14,COLUMN()*2-3)),"",INDEX(Array_WaterChargeData,ROW()-14,COLUMN()*2-3))</f>
        <v/>
      </c>
      <c r="K187" t="str" cm="1">
        <f>IF(ISBLANK(INDEX(Array_WaterChargeData,ROW()-14,COLUMN()*2-3)),"",INDEX(Array_WaterChargeData,ROW()-14,COLUMN()*2-3))</f>
        <v/>
      </c>
    </row>
    <row r="188" spans="1:11" x14ac:dyDescent="0.35">
      <c r="A188" t="str">
        <f>IF('Water Meters'!B176="",A187,'Water Meters'!B176)</f>
        <v>Meter Numbers</v>
      </c>
      <c r="B188" t="str" cm="1">
        <f>IF(ISBLANK(INDEX(Array_WaterChargeData,ROW()-14,COLUMN()*2-3)),"",INDEX(Array_WaterChargeData,ROW()-14,COLUMN()*2-3))</f>
        <v/>
      </c>
      <c r="C188" t="str" cm="1">
        <f>IF(ISBLANK(INDEX(Array_WaterChargeData,ROW()-14,COLUMN()*2-3)),"",INDEX(Array_WaterChargeData,ROW()-14,COLUMN()*2-3))</f>
        <v/>
      </c>
      <c r="D188" t="str" cm="1">
        <f>IF(ISBLANK(INDEX(Array_WaterChargeData,ROW()-14,COLUMN()*2-3)),"",INDEX(Array_WaterChargeData,ROW()-14,COLUMN()*2-3))</f>
        <v/>
      </c>
      <c r="E188" t="str" cm="1">
        <f>IF(ISBLANK(INDEX(Array_WaterChargeData,ROW()-14,COLUMN()*2-3)),"",INDEX(Array_WaterChargeData,ROW()-14,COLUMN()*2-3))</f>
        <v/>
      </c>
      <c r="F188" t="str" cm="1">
        <f>IF(ISBLANK(INDEX(Array_WaterChargeData,ROW()-14,COLUMN()*2-3)),"",INDEX(Array_WaterChargeData,ROW()-14,COLUMN()*2-3))</f>
        <v/>
      </c>
      <c r="G188" t="str" cm="1">
        <f>IF(ISBLANK(INDEX(Array_WaterChargeData,ROW()-14,COLUMN()*2-3)),"",INDEX(Array_WaterChargeData,ROW()-14,COLUMN()*2-3))</f>
        <v/>
      </c>
      <c r="H188" t="str" cm="1">
        <f>IF(ISBLANK(INDEX(Array_WaterChargeData,ROW()-14,COLUMN()*2-3)),"",INDEX(Array_WaterChargeData,ROW()-14,COLUMN()*2-3))</f>
        <v/>
      </c>
      <c r="I188" t="str" cm="1">
        <f>IF(ISBLANK(INDEX(Array_WaterChargeData,ROW()-14,COLUMN()*2-3)),"",INDEX(Array_WaterChargeData,ROW()-14,COLUMN()*2-3))</f>
        <v/>
      </c>
      <c r="J188" t="str" cm="1">
        <f>IF(ISBLANK(INDEX(Array_WaterChargeData,ROW()-14,COLUMN()*2-3)),"",INDEX(Array_WaterChargeData,ROW()-14,COLUMN()*2-3))</f>
        <v/>
      </c>
      <c r="K188" t="str" cm="1">
        <f>IF(ISBLANK(INDEX(Array_WaterChargeData,ROW()-14,COLUMN()*2-3)),"",INDEX(Array_WaterChargeData,ROW()-14,COLUMN()*2-3))</f>
        <v/>
      </c>
    </row>
    <row r="189" spans="1:11" x14ac:dyDescent="0.35">
      <c r="A189" t="str">
        <f>IF('Water Meters'!B177="",A188,'Water Meters'!B177)</f>
        <v>Meter Numbers</v>
      </c>
      <c r="B189" t="str" cm="1">
        <f>IF(ISBLANK(INDEX(Array_WaterChargeData,ROW()-14,COLUMN()*2-3)),"",INDEX(Array_WaterChargeData,ROW()-14,COLUMN()*2-3))</f>
        <v/>
      </c>
      <c r="C189" t="str" cm="1">
        <f>IF(ISBLANK(INDEX(Array_WaterChargeData,ROW()-14,COLUMN()*2-3)),"",INDEX(Array_WaterChargeData,ROW()-14,COLUMN()*2-3))</f>
        <v/>
      </c>
      <c r="D189" t="str" cm="1">
        <f>IF(ISBLANK(INDEX(Array_WaterChargeData,ROW()-14,COLUMN()*2-3)),"",INDEX(Array_WaterChargeData,ROW()-14,COLUMN()*2-3))</f>
        <v/>
      </c>
      <c r="E189" t="str" cm="1">
        <f>IF(ISBLANK(INDEX(Array_WaterChargeData,ROW()-14,COLUMN()*2-3)),"",INDEX(Array_WaterChargeData,ROW()-14,COLUMN()*2-3))</f>
        <v/>
      </c>
      <c r="F189" t="str" cm="1">
        <f>IF(ISBLANK(INDEX(Array_WaterChargeData,ROW()-14,COLUMN()*2-3)),"",INDEX(Array_WaterChargeData,ROW()-14,COLUMN()*2-3))</f>
        <v/>
      </c>
      <c r="G189" t="str" cm="1">
        <f>IF(ISBLANK(INDEX(Array_WaterChargeData,ROW()-14,COLUMN()*2-3)),"",INDEX(Array_WaterChargeData,ROW()-14,COLUMN()*2-3))</f>
        <v/>
      </c>
      <c r="H189" t="str" cm="1">
        <f>IF(ISBLANK(INDEX(Array_WaterChargeData,ROW()-14,COLUMN()*2-3)),"",INDEX(Array_WaterChargeData,ROW()-14,COLUMN()*2-3))</f>
        <v/>
      </c>
      <c r="I189" t="str" cm="1">
        <f>IF(ISBLANK(INDEX(Array_WaterChargeData,ROW()-14,COLUMN()*2-3)),"",INDEX(Array_WaterChargeData,ROW()-14,COLUMN()*2-3))</f>
        <v/>
      </c>
      <c r="J189" t="str" cm="1">
        <f>IF(ISBLANK(INDEX(Array_WaterChargeData,ROW()-14,COLUMN()*2-3)),"",INDEX(Array_WaterChargeData,ROW()-14,COLUMN()*2-3))</f>
        <v/>
      </c>
      <c r="K189" t="str" cm="1">
        <f>IF(ISBLANK(INDEX(Array_WaterChargeData,ROW()-14,COLUMN()*2-3)),"",INDEX(Array_WaterChargeData,ROW()-14,COLUMN()*2-3))</f>
        <v/>
      </c>
    </row>
    <row r="190" spans="1:11" x14ac:dyDescent="0.35">
      <c r="A190" t="str">
        <f>IF('Water Meters'!B178="",A189,'Water Meters'!B178)</f>
        <v>Meter Numbers</v>
      </c>
      <c r="B190" t="str" cm="1">
        <f>IF(ISBLANK(INDEX(Array_WaterChargeData,ROW()-14,COLUMN()*2-3)),"",INDEX(Array_WaterChargeData,ROW()-14,COLUMN()*2-3))</f>
        <v/>
      </c>
      <c r="C190" t="str" cm="1">
        <f>IF(ISBLANK(INDEX(Array_WaterChargeData,ROW()-14,COLUMN()*2-3)),"",INDEX(Array_WaterChargeData,ROW()-14,COLUMN()*2-3))</f>
        <v/>
      </c>
      <c r="D190" t="str" cm="1">
        <f>IF(ISBLANK(INDEX(Array_WaterChargeData,ROW()-14,COLUMN()*2-3)),"",INDEX(Array_WaterChargeData,ROW()-14,COLUMN()*2-3))</f>
        <v/>
      </c>
      <c r="E190" t="str" cm="1">
        <f>IF(ISBLANK(INDEX(Array_WaterChargeData,ROW()-14,COLUMN()*2-3)),"",INDEX(Array_WaterChargeData,ROW()-14,COLUMN()*2-3))</f>
        <v/>
      </c>
      <c r="F190" t="str" cm="1">
        <f>IF(ISBLANK(INDEX(Array_WaterChargeData,ROW()-14,COLUMN()*2-3)),"",INDEX(Array_WaterChargeData,ROW()-14,COLUMN()*2-3))</f>
        <v/>
      </c>
      <c r="G190" t="str" cm="1">
        <f>IF(ISBLANK(INDEX(Array_WaterChargeData,ROW()-14,COLUMN()*2-3)),"",INDEX(Array_WaterChargeData,ROW()-14,COLUMN()*2-3))</f>
        <v/>
      </c>
      <c r="H190" t="str" cm="1">
        <f>IF(ISBLANK(INDEX(Array_WaterChargeData,ROW()-14,COLUMN()*2-3)),"",INDEX(Array_WaterChargeData,ROW()-14,COLUMN()*2-3))</f>
        <v/>
      </c>
      <c r="I190" t="str" cm="1">
        <f>IF(ISBLANK(INDEX(Array_WaterChargeData,ROW()-14,COLUMN()*2-3)),"",INDEX(Array_WaterChargeData,ROW()-14,COLUMN()*2-3))</f>
        <v/>
      </c>
      <c r="J190" t="str" cm="1">
        <f>IF(ISBLANK(INDEX(Array_WaterChargeData,ROW()-14,COLUMN()*2-3)),"",INDEX(Array_WaterChargeData,ROW()-14,COLUMN()*2-3))</f>
        <v/>
      </c>
      <c r="K190" t="str" cm="1">
        <f>IF(ISBLANK(INDEX(Array_WaterChargeData,ROW()-14,COLUMN()*2-3)),"",INDEX(Array_WaterChargeData,ROW()-14,COLUMN()*2-3))</f>
        <v/>
      </c>
    </row>
    <row r="191" spans="1:11" x14ac:dyDescent="0.35">
      <c r="A191" t="str">
        <f>IF('Water Meters'!B179="",A190,'Water Meters'!B179)</f>
        <v>Meter Numbers</v>
      </c>
      <c r="B191" t="str" cm="1">
        <f>IF(ISBLANK(INDEX(Array_WaterChargeData,ROW()-14,COLUMN()*2-3)),"",INDEX(Array_WaterChargeData,ROW()-14,COLUMN()*2-3))</f>
        <v/>
      </c>
      <c r="C191" t="str" cm="1">
        <f>IF(ISBLANK(INDEX(Array_WaterChargeData,ROW()-14,COLUMN()*2-3)),"",INDEX(Array_WaterChargeData,ROW()-14,COLUMN()*2-3))</f>
        <v/>
      </c>
      <c r="D191" t="str" cm="1">
        <f>IF(ISBLANK(INDEX(Array_WaterChargeData,ROW()-14,COLUMN()*2-3)),"",INDEX(Array_WaterChargeData,ROW()-14,COLUMN()*2-3))</f>
        <v/>
      </c>
      <c r="E191" t="str" cm="1">
        <f>IF(ISBLANK(INDEX(Array_WaterChargeData,ROW()-14,COLUMN()*2-3)),"",INDEX(Array_WaterChargeData,ROW()-14,COLUMN()*2-3))</f>
        <v/>
      </c>
      <c r="F191" t="str" cm="1">
        <f>IF(ISBLANK(INDEX(Array_WaterChargeData,ROW()-14,COLUMN()*2-3)),"",INDEX(Array_WaterChargeData,ROW()-14,COLUMN()*2-3))</f>
        <v/>
      </c>
      <c r="G191" t="str" cm="1">
        <f>IF(ISBLANK(INDEX(Array_WaterChargeData,ROW()-14,COLUMN()*2-3)),"",INDEX(Array_WaterChargeData,ROW()-14,COLUMN()*2-3))</f>
        <v/>
      </c>
      <c r="H191" t="str" cm="1">
        <f>IF(ISBLANK(INDEX(Array_WaterChargeData,ROW()-14,COLUMN()*2-3)),"",INDEX(Array_WaterChargeData,ROW()-14,COLUMN()*2-3))</f>
        <v/>
      </c>
      <c r="I191" t="str" cm="1">
        <f>IF(ISBLANK(INDEX(Array_WaterChargeData,ROW()-14,COLUMN()*2-3)),"",INDEX(Array_WaterChargeData,ROW()-14,COLUMN()*2-3))</f>
        <v/>
      </c>
      <c r="J191" t="str" cm="1">
        <f>IF(ISBLANK(INDEX(Array_WaterChargeData,ROW()-14,COLUMN()*2-3)),"",INDEX(Array_WaterChargeData,ROW()-14,COLUMN()*2-3))</f>
        <v/>
      </c>
      <c r="K191" t="str" cm="1">
        <f>IF(ISBLANK(INDEX(Array_WaterChargeData,ROW()-14,COLUMN()*2-3)),"",INDEX(Array_WaterChargeData,ROW()-14,COLUMN()*2-3))</f>
        <v/>
      </c>
    </row>
    <row r="192" spans="1:11" x14ac:dyDescent="0.35">
      <c r="A192" t="str">
        <f>IF('Water Meters'!B180="",A191,'Water Meters'!B180)</f>
        <v>Meter Numbers</v>
      </c>
      <c r="B192" t="str" cm="1">
        <f>IF(ISBLANK(INDEX(Array_WaterChargeData,ROW()-14,COLUMN()*2-3)),"",INDEX(Array_WaterChargeData,ROW()-14,COLUMN()*2-3))</f>
        <v/>
      </c>
      <c r="C192" t="str" cm="1">
        <f>IF(ISBLANK(INDEX(Array_WaterChargeData,ROW()-14,COLUMN()*2-3)),"",INDEX(Array_WaterChargeData,ROW()-14,COLUMN()*2-3))</f>
        <v/>
      </c>
      <c r="D192" t="str" cm="1">
        <f>IF(ISBLANK(INDEX(Array_WaterChargeData,ROW()-14,COLUMN()*2-3)),"",INDEX(Array_WaterChargeData,ROW()-14,COLUMN()*2-3))</f>
        <v/>
      </c>
      <c r="E192" t="str" cm="1">
        <f>IF(ISBLANK(INDEX(Array_WaterChargeData,ROW()-14,COLUMN()*2-3)),"",INDEX(Array_WaterChargeData,ROW()-14,COLUMN()*2-3))</f>
        <v/>
      </c>
      <c r="F192" t="str" cm="1">
        <f>IF(ISBLANK(INDEX(Array_WaterChargeData,ROW()-14,COLUMN()*2-3)),"",INDEX(Array_WaterChargeData,ROW()-14,COLUMN()*2-3))</f>
        <v/>
      </c>
      <c r="G192" t="str" cm="1">
        <f>IF(ISBLANK(INDEX(Array_WaterChargeData,ROW()-14,COLUMN()*2-3)),"",INDEX(Array_WaterChargeData,ROW()-14,COLUMN()*2-3))</f>
        <v/>
      </c>
      <c r="H192" t="str" cm="1">
        <f>IF(ISBLANK(INDEX(Array_WaterChargeData,ROW()-14,COLUMN()*2-3)),"",INDEX(Array_WaterChargeData,ROW()-14,COLUMN()*2-3))</f>
        <v/>
      </c>
      <c r="I192" t="str" cm="1">
        <f>IF(ISBLANK(INDEX(Array_WaterChargeData,ROW()-14,COLUMN()*2-3)),"",INDEX(Array_WaterChargeData,ROW()-14,COLUMN()*2-3))</f>
        <v/>
      </c>
      <c r="J192" t="str" cm="1">
        <f>IF(ISBLANK(INDEX(Array_WaterChargeData,ROW()-14,COLUMN()*2-3)),"",INDEX(Array_WaterChargeData,ROW()-14,COLUMN()*2-3))</f>
        <v/>
      </c>
      <c r="K192" t="str" cm="1">
        <f>IF(ISBLANK(INDEX(Array_WaterChargeData,ROW()-14,COLUMN()*2-3)),"",INDEX(Array_WaterChargeData,ROW()-14,COLUMN()*2-3))</f>
        <v/>
      </c>
    </row>
    <row r="193" spans="1:11" x14ac:dyDescent="0.35">
      <c r="A193" t="str">
        <f>IF('Water Meters'!B181="",A192,'Water Meters'!B181)</f>
        <v>Meter Numbers</v>
      </c>
      <c r="B193" t="str" cm="1">
        <f>IF(ISBLANK(INDEX(Array_WaterChargeData,ROW()-14,COLUMN()*2-3)),"",INDEX(Array_WaterChargeData,ROW()-14,COLUMN()*2-3))</f>
        <v/>
      </c>
      <c r="C193" t="str" cm="1">
        <f>IF(ISBLANK(INDEX(Array_WaterChargeData,ROW()-14,COLUMN()*2-3)),"",INDEX(Array_WaterChargeData,ROW()-14,COLUMN()*2-3))</f>
        <v/>
      </c>
      <c r="D193" t="str" cm="1">
        <f>IF(ISBLANK(INDEX(Array_WaterChargeData,ROW()-14,COLUMN()*2-3)),"",INDEX(Array_WaterChargeData,ROW()-14,COLUMN()*2-3))</f>
        <v/>
      </c>
      <c r="E193" t="str" cm="1">
        <f>IF(ISBLANK(INDEX(Array_WaterChargeData,ROW()-14,COLUMN()*2-3)),"",INDEX(Array_WaterChargeData,ROW()-14,COLUMN()*2-3))</f>
        <v/>
      </c>
      <c r="F193" t="str" cm="1">
        <f>IF(ISBLANK(INDEX(Array_WaterChargeData,ROW()-14,COLUMN()*2-3)),"",INDEX(Array_WaterChargeData,ROW()-14,COLUMN()*2-3))</f>
        <v/>
      </c>
      <c r="G193" t="str" cm="1">
        <f>IF(ISBLANK(INDEX(Array_WaterChargeData,ROW()-14,COLUMN()*2-3)),"",INDEX(Array_WaterChargeData,ROW()-14,COLUMN()*2-3))</f>
        <v/>
      </c>
      <c r="H193" t="str" cm="1">
        <f>IF(ISBLANK(INDEX(Array_WaterChargeData,ROW()-14,COLUMN()*2-3)),"",INDEX(Array_WaterChargeData,ROW()-14,COLUMN()*2-3))</f>
        <v/>
      </c>
      <c r="I193" t="str" cm="1">
        <f>IF(ISBLANK(INDEX(Array_WaterChargeData,ROW()-14,COLUMN()*2-3)),"",INDEX(Array_WaterChargeData,ROW()-14,COLUMN()*2-3))</f>
        <v/>
      </c>
      <c r="J193" t="str" cm="1">
        <f>IF(ISBLANK(INDEX(Array_WaterChargeData,ROW()-14,COLUMN()*2-3)),"",INDEX(Array_WaterChargeData,ROW()-14,COLUMN()*2-3))</f>
        <v/>
      </c>
      <c r="K193" t="str" cm="1">
        <f>IF(ISBLANK(INDEX(Array_WaterChargeData,ROW()-14,COLUMN()*2-3)),"",INDEX(Array_WaterChargeData,ROW()-14,COLUMN()*2-3))</f>
        <v/>
      </c>
    </row>
    <row r="194" spans="1:11" x14ac:dyDescent="0.35">
      <c r="A194" t="str">
        <f>IF('Water Meters'!B182="",A193,'Water Meters'!B182)</f>
        <v>Meter Numbers</v>
      </c>
      <c r="B194" t="str" cm="1">
        <f>IF(ISBLANK(INDEX(Array_WaterChargeData,ROW()-14,COLUMN()*2-3)),"",INDEX(Array_WaterChargeData,ROW()-14,COLUMN()*2-3))</f>
        <v/>
      </c>
      <c r="C194" t="str" cm="1">
        <f>IF(ISBLANK(INDEX(Array_WaterChargeData,ROW()-14,COLUMN()*2-3)),"",INDEX(Array_WaterChargeData,ROW()-14,COLUMN()*2-3))</f>
        <v/>
      </c>
      <c r="D194" t="str" cm="1">
        <f>IF(ISBLANK(INDEX(Array_WaterChargeData,ROW()-14,COLUMN()*2-3)),"",INDEX(Array_WaterChargeData,ROW()-14,COLUMN()*2-3))</f>
        <v/>
      </c>
      <c r="E194" t="str" cm="1">
        <f>IF(ISBLANK(INDEX(Array_WaterChargeData,ROW()-14,COLUMN()*2-3)),"",INDEX(Array_WaterChargeData,ROW()-14,COLUMN()*2-3))</f>
        <v/>
      </c>
      <c r="F194" t="str" cm="1">
        <f>IF(ISBLANK(INDEX(Array_WaterChargeData,ROW()-14,COLUMN()*2-3)),"",INDEX(Array_WaterChargeData,ROW()-14,COLUMN()*2-3))</f>
        <v/>
      </c>
      <c r="G194" t="str" cm="1">
        <f>IF(ISBLANK(INDEX(Array_WaterChargeData,ROW()-14,COLUMN()*2-3)),"",INDEX(Array_WaterChargeData,ROW()-14,COLUMN()*2-3))</f>
        <v/>
      </c>
      <c r="H194" t="str" cm="1">
        <f>IF(ISBLANK(INDEX(Array_WaterChargeData,ROW()-14,COLUMN()*2-3)),"",INDEX(Array_WaterChargeData,ROW()-14,COLUMN()*2-3))</f>
        <v/>
      </c>
      <c r="I194" t="str" cm="1">
        <f>IF(ISBLANK(INDEX(Array_WaterChargeData,ROW()-14,COLUMN()*2-3)),"",INDEX(Array_WaterChargeData,ROW()-14,COLUMN()*2-3))</f>
        <v/>
      </c>
      <c r="J194" t="str" cm="1">
        <f>IF(ISBLANK(INDEX(Array_WaterChargeData,ROW()-14,COLUMN()*2-3)),"",INDEX(Array_WaterChargeData,ROW()-14,COLUMN()*2-3))</f>
        <v/>
      </c>
      <c r="K194" t="str" cm="1">
        <f>IF(ISBLANK(INDEX(Array_WaterChargeData,ROW()-14,COLUMN()*2-3)),"",INDEX(Array_WaterChargeData,ROW()-14,COLUMN()*2-3))</f>
        <v/>
      </c>
    </row>
    <row r="195" spans="1:11" x14ac:dyDescent="0.35">
      <c r="A195" t="str">
        <f>IF('Water Meters'!B183="",A194,'Water Meters'!B183)</f>
        <v>Meter Numbers</v>
      </c>
      <c r="B195" t="str" cm="1">
        <f>IF(ISBLANK(INDEX(Array_WaterChargeData,ROW()-14,COLUMN()*2-3)),"",INDEX(Array_WaterChargeData,ROW()-14,COLUMN()*2-3))</f>
        <v/>
      </c>
      <c r="C195" t="str" cm="1">
        <f>IF(ISBLANK(INDEX(Array_WaterChargeData,ROW()-14,COLUMN()*2-3)),"",INDEX(Array_WaterChargeData,ROW()-14,COLUMN()*2-3))</f>
        <v/>
      </c>
      <c r="D195" t="str" cm="1">
        <f>IF(ISBLANK(INDEX(Array_WaterChargeData,ROW()-14,COLUMN()*2-3)),"",INDEX(Array_WaterChargeData,ROW()-14,COLUMN()*2-3))</f>
        <v/>
      </c>
      <c r="E195" t="str" cm="1">
        <f>IF(ISBLANK(INDEX(Array_WaterChargeData,ROW()-14,COLUMN()*2-3)),"",INDEX(Array_WaterChargeData,ROW()-14,COLUMN()*2-3))</f>
        <v/>
      </c>
      <c r="F195" t="str" cm="1">
        <f>IF(ISBLANK(INDEX(Array_WaterChargeData,ROW()-14,COLUMN()*2-3)),"",INDEX(Array_WaterChargeData,ROW()-14,COLUMN()*2-3))</f>
        <v/>
      </c>
      <c r="G195" t="str" cm="1">
        <f>IF(ISBLANK(INDEX(Array_WaterChargeData,ROW()-14,COLUMN()*2-3)),"",INDEX(Array_WaterChargeData,ROW()-14,COLUMN()*2-3))</f>
        <v/>
      </c>
      <c r="H195" t="str" cm="1">
        <f>IF(ISBLANK(INDEX(Array_WaterChargeData,ROW()-14,COLUMN()*2-3)),"",INDEX(Array_WaterChargeData,ROW()-14,COLUMN()*2-3))</f>
        <v/>
      </c>
      <c r="I195" t="str" cm="1">
        <f>IF(ISBLANK(INDEX(Array_WaterChargeData,ROW()-14,COLUMN()*2-3)),"",INDEX(Array_WaterChargeData,ROW()-14,COLUMN()*2-3))</f>
        <v/>
      </c>
      <c r="J195" t="str" cm="1">
        <f>IF(ISBLANK(INDEX(Array_WaterChargeData,ROW()-14,COLUMN()*2-3)),"",INDEX(Array_WaterChargeData,ROW()-14,COLUMN()*2-3))</f>
        <v/>
      </c>
      <c r="K195" t="str" cm="1">
        <f>IF(ISBLANK(INDEX(Array_WaterChargeData,ROW()-14,COLUMN()*2-3)),"",INDEX(Array_WaterChargeData,ROW()-14,COLUMN()*2-3))</f>
        <v/>
      </c>
    </row>
    <row r="196" spans="1:11" x14ac:dyDescent="0.35">
      <c r="A196" t="str">
        <f>IF('Water Meters'!B184="",A195,'Water Meters'!B184)</f>
        <v>Meter Numbers</v>
      </c>
      <c r="B196" t="str" cm="1">
        <f>IF(ISBLANK(INDEX(Array_WaterChargeData,ROW()-14,COLUMN()*2-3)),"",INDEX(Array_WaterChargeData,ROW()-14,COLUMN()*2-3))</f>
        <v/>
      </c>
      <c r="C196" t="str" cm="1">
        <f>IF(ISBLANK(INDEX(Array_WaterChargeData,ROW()-14,COLUMN()*2-3)),"",INDEX(Array_WaterChargeData,ROW()-14,COLUMN()*2-3))</f>
        <v/>
      </c>
      <c r="D196" t="str" cm="1">
        <f>IF(ISBLANK(INDEX(Array_WaterChargeData,ROW()-14,COLUMN()*2-3)),"",INDEX(Array_WaterChargeData,ROW()-14,COLUMN()*2-3))</f>
        <v/>
      </c>
      <c r="E196" t="str" cm="1">
        <f>IF(ISBLANK(INDEX(Array_WaterChargeData,ROW()-14,COLUMN()*2-3)),"",INDEX(Array_WaterChargeData,ROW()-14,COLUMN()*2-3))</f>
        <v/>
      </c>
      <c r="F196" t="str" cm="1">
        <f>IF(ISBLANK(INDEX(Array_WaterChargeData,ROW()-14,COLUMN()*2-3)),"",INDEX(Array_WaterChargeData,ROW()-14,COLUMN()*2-3))</f>
        <v/>
      </c>
      <c r="G196" t="str" cm="1">
        <f>IF(ISBLANK(INDEX(Array_WaterChargeData,ROW()-14,COLUMN()*2-3)),"",INDEX(Array_WaterChargeData,ROW()-14,COLUMN()*2-3))</f>
        <v/>
      </c>
      <c r="H196" t="str" cm="1">
        <f>IF(ISBLANK(INDEX(Array_WaterChargeData,ROW()-14,COLUMN()*2-3)),"",INDEX(Array_WaterChargeData,ROW()-14,COLUMN()*2-3))</f>
        <v/>
      </c>
      <c r="I196" t="str" cm="1">
        <f>IF(ISBLANK(INDEX(Array_WaterChargeData,ROW()-14,COLUMN()*2-3)),"",INDEX(Array_WaterChargeData,ROW()-14,COLUMN()*2-3))</f>
        <v/>
      </c>
      <c r="J196" t="str" cm="1">
        <f>IF(ISBLANK(INDEX(Array_WaterChargeData,ROW()-14,COLUMN()*2-3)),"",INDEX(Array_WaterChargeData,ROW()-14,COLUMN()*2-3))</f>
        <v/>
      </c>
      <c r="K196" t="str" cm="1">
        <f>IF(ISBLANK(INDEX(Array_WaterChargeData,ROW()-14,COLUMN()*2-3)),"",INDEX(Array_WaterChargeData,ROW()-14,COLUMN()*2-3))</f>
        <v/>
      </c>
    </row>
    <row r="197" spans="1:11" x14ac:dyDescent="0.35">
      <c r="A197" t="str">
        <f>IF('Water Meters'!B185="",A196,'Water Meters'!B185)</f>
        <v>Meter Numbers</v>
      </c>
      <c r="B197" t="str" cm="1">
        <f>IF(ISBLANK(INDEX(Array_WaterChargeData,ROW()-14,COLUMN()*2-3)),"",INDEX(Array_WaterChargeData,ROW()-14,COLUMN()*2-3))</f>
        <v/>
      </c>
      <c r="C197" t="str" cm="1">
        <f>IF(ISBLANK(INDEX(Array_WaterChargeData,ROW()-14,COLUMN()*2-3)),"",INDEX(Array_WaterChargeData,ROW()-14,COLUMN()*2-3))</f>
        <v/>
      </c>
      <c r="D197" t="str" cm="1">
        <f>IF(ISBLANK(INDEX(Array_WaterChargeData,ROW()-14,COLUMN()*2-3)),"",INDEX(Array_WaterChargeData,ROW()-14,COLUMN()*2-3))</f>
        <v/>
      </c>
      <c r="E197" t="str" cm="1">
        <f>IF(ISBLANK(INDEX(Array_WaterChargeData,ROW()-14,COLUMN()*2-3)),"",INDEX(Array_WaterChargeData,ROW()-14,COLUMN()*2-3))</f>
        <v/>
      </c>
      <c r="F197" t="str" cm="1">
        <f>IF(ISBLANK(INDEX(Array_WaterChargeData,ROW()-14,COLUMN()*2-3)),"",INDEX(Array_WaterChargeData,ROW()-14,COLUMN()*2-3))</f>
        <v/>
      </c>
      <c r="G197" t="str" cm="1">
        <f>IF(ISBLANK(INDEX(Array_WaterChargeData,ROW()-14,COLUMN()*2-3)),"",INDEX(Array_WaterChargeData,ROW()-14,COLUMN()*2-3))</f>
        <v/>
      </c>
      <c r="H197" t="str" cm="1">
        <f>IF(ISBLANK(INDEX(Array_WaterChargeData,ROW()-14,COLUMN()*2-3)),"",INDEX(Array_WaterChargeData,ROW()-14,COLUMN()*2-3))</f>
        <v/>
      </c>
      <c r="I197" t="str" cm="1">
        <f>IF(ISBLANK(INDEX(Array_WaterChargeData,ROW()-14,COLUMN()*2-3)),"",INDEX(Array_WaterChargeData,ROW()-14,COLUMN()*2-3))</f>
        <v/>
      </c>
      <c r="J197" t="str" cm="1">
        <f>IF(ISBLANK(INDEX(Array_WaterChargeData,ROW()-14,COLUMN()*2-3)),"",INDEX(Array_WaterChargeData,ROW()-14,COLUMN()*2-3))</f>
        <v/>
      </c>
      <c r="K197" t="str" cm="1">
        <f>IF(ISBLANK(INDEX(Array_WaterChargeData,ROW()-14,COLUMN()*2-3)),"",INDEX(Array_WaterChargeData,ROW()-14,COLUMN()*2-3))</f>
        <v/>
      </c>
    </row>
    <row r="198" spans="1:11" x14ac:dyDescent="0.35">
      <c r="A198" t="str">
        <f>IF('Water Meters'!B186="",A197,'Water Meters'!B186)</f>
        <v>Meter Numbers</v>
      </c>
      <c r="B198" t="str" cm="1">
        <f>IF(ISBLANK(INDEX(Array_WaterChargeData,ROW()-14,COLUMN()*2-3)),"",INDEX(Array_WaterChargeData,ROW()-14,COLUMN()*2-3))</f>
        <v/>
      </c>
      <c r="C198" t="str" cm="1">
        <f>IF(ISBLANK(INDEX(Array_WaterChargeData,ROW()-14,COLUMN()*2-3)),"",INDEX(Array_WaterChargeData,ROW()-14,COLUMN()*2-3))</f>
        <v/>
      </c>
      <c r="D198" t="str" cm="1">
        <f>IF(ISBLANK(INDEX(Array_WaterChargeData,ROW()-14,COLUMN()*2-3)),"",INDEX(Array_WaterChargeData,ROW()-14,COLUMN()*2-3))</f>
        <v/>
      </c>
      <c r="E198" t="str" cm="1">
        <f>IF(ISBLANK(INDEX(Array_WaterChargeData,ROW()-14,COLUMN()*2-3)),"",INDEX(Array_WaterChargeData,ROW()-14,COLUMN()*2-3))</f>
        <v/>
      </c>
      <c r="F198" t="str" cm="1">
        <f>IF(ISBLANK(INDEX(Array_WaterChargeData,ROW()-14,COLUMN()*2-3)),"",INDEX(Array_WaterChargeData,ROW()-14,COLUMN()*2-3))</f>
        <v/>
      </c>
      <c r="G198" t="str" cm="1">
        <f>IF(ISBLANK(INDEX(Array_WaterChargeData,ROW()-14,COLUMN()*2-3)),"",INDEX(Array_WaterChargeData,ROW()-14,COLUMN()*2-3))</f>
        <v/>
      </c>
      <c r="H198" t="str" cm="1">
        <f>IF(ISBLANK(INDEX(Array_WaterChargeData,ROW()-14,COLUMN()*2-3)),"",INDEX(Array_WaterChargeData,ROW()-14,COLUMN()*2-3))</f>
        <v/>
      </c>
      <c r="I198" t="str" cm="1">
        <f>IF(ISBLANK(INDEX(Array_WaterChargeData,ROW()-14,COLUMN()*2-3)),"",INDEX(Array_WaterChargeData,ROW()-14,COLUMN()*2-3))</f>
        <v/>
      </c>
      <c r="J198" t="str" cm="1">
        <f>IF(ISBLANK(INDEX(Array_WaterChargeData,ROW()-14,COLUMN()*2-3)),"",INDEX(Array_WaterChargeData,ROW()-14,COLUMN()*2-3))</f>
        <v/>
      </c>
      <c r="K198" t="str" cm="1">
        <f>IF(ISBLANK(INDEX(Array_WaterChargeData,ROW()-14,COLUMN()*2-3)),"",INDEX(Array_WaterChargeData,ROW()-14,COLUMN()*2-3))</f>
        <v/>
      </c>
    </row>
    <row r="199" spans="1:11" x14ac:dyDescent="0.35">
      <c r="A199" t="str">
        <f>IF('Water Meters'!B187="",A198,'Water Meters'!B187)</f>
        <v>Meter Numbers</v>
      </c>
      <c r="B199" t="str" cm="1">
        <f>IF(ISBLANK(INDEX(Array_WaterChargeData,ROW()-14,COLUMN()*2-3)),"",INDEX(Array_WaterChargeData,ROW()-14,COLUMN()*2-3))</f>
        <v/>
      </c>
      <c r="C199" t="str" cm="1">
        <f>IF(ISBLANK(INDEX(Array_WaterChargeData,ROW()-14,COLUMN()*2-3)),"",INDEX(Array_WaterChargeData,ROW()-14,COLUMN()*2-3))</f>
        <v/>
      </c>
      <c r="D199" t="str" cm="1">
        <f>IF(ISBLANK(INDEX(Array_WaterChargeData,ROW()-14,COLUMN()*2-3)),"",INDEX(Array_WaterChargeData,ROW()-14,COLUMN()*2-3))</f>
        <v/>
      </c>
      <c r="E199" t="str" cm="1">
        <f>IF(ISBLANK(INDEX(Array_WaterChargeData,ROW()-14,COLUMN()*2-3)),"",INDEX(Array_WaterChargeData,ROW()-14,COLUMN()*2-3))</f>
        <v/>
      </c>
      <c r="F199" t="str" cm="1">
        <f>IF(ISBLANK(INDEX(Array_WaterChargeData,ROW()-14,COLUMN()*2-3)),"",INDEX(Array_WaterChargeData,ROW()-14,COLUMN()*2-3))</f>
        <v/>
      </c>
      <c r="G199" t="str" cm="1">
        <f>IF(ISBLANK(INDEX(Array_WaterChargeData,ROW()-14,COLUMN()*2-3)),"",INDEX(Array_WaterChargeData,ROW()-14,COLUMN()*2-3))</f>
        <v/>
      </c>
      <c r="H199" t="str" cm="1">
        <f>IF(ISBLANK(INDEX(Array_WaterChargeData,ROW()-14,COLUMN()*2-3)),"",INDEX(Array_WaterChargeData,ROW()-14,COLUMN()*2-3))</f>
        <v/>
      </c>
      <c r="I199" t="str" cm="1">
        <f>IF(ISBLANK(INDEX(Array_WaterChargeData,ROW()-14,COLUMN()*2-3)),"",INDEX(Array_WaterChargeData,ROW()-14,COLUMN()*2-3))</f>
        <v/>
      </c>
      <c r="J199" t="str" cm="1">
        <f>IF(ISBLANK(INDEX(Array_WaterChargeData,ROW()-14,COLUMN()*2-3)),"",INDEX(Array_WaterChargeData,ROW()-14,COLUMN()*2-3))</f>
        <v/>
      </c>
      <c r="K199" t="str" cm="1">
        <f>IF(ISBLANK(INDEX(Array_WaterChargeData,ROW()-14,COLUMN()*2-3)),"",INDEX(Array_WaterChargeData,ROW()-14,COLUMN()*2-3))</f>
        <v/>
      </c>
    </row>
    <row r="200" spans="1:11" x14ac:dyDescent="0.35">
      <c r="A200" t="str">
        <f>IF('Water Meters'!B188="",A199,'Water Meters'!B188)</f>
        <v>Meter Numbers</v>
      </c>
      <c r="B200" t="str" cm="1">
        <f>IF(ISBLANK(INDEX(Array_WaterChargeData,ROW()-14,COLUMN()*2-3)),"",INDEX(Array_WaterChargeData,ROW()-14,COLUMN()*2-3))</f>
        <v/>
      </c>
      <c r="C200" t="str" cm="1">
        <f>IF(ISBLANK(INDEX(Array_WaterChargeData,ROW()-14,COLUMN()*2-3)),"",INDEX(Array_WaterChargeData,ROW()-14,COLUMN()*2-3))</f>
        <v/>
      </c>
      <c r="D200" t="str" cm="1">
        <f>IF(ISBLANK(INDEX(Array_WaterChargeData,ROW()-14,COLUMN()*2-3)),"",INDEX(Array_WaterChargeData,ROW()-14,COLUMN()*2-3))</f>
        <v/>
      </c>
      <c r="E200" t="str" cm="1">
        <f>IF(ISBLANK(INDEX(Array_WaterChargeData,ROW()-14,COLUMN()*2-3)),"",INDEX(Array_WaterChargeData,ROW()-14,COLUMN()*2-3))</f>
        <v/>
      </c>
      <c r="F200" t="str" cm="1">
        <f>IF(ISBLANK(INDEX(Array_WaterChargeData,ROW()-14,COLUMN()*2-3)),"",INDEX(Array_WaterChargeData,ROW()-14,COLUMN()*2-3))</f>
        <v/>
      </c>
      <c r="G200" t="str" cm="1">
        <f>IF(ISBLANK(INDEX(Array_WaterChargeData,ROW()-14,COLUMN()*2-3)),"",INDEX(Array_WaterChargeData,ROW()-14,COLUMN()*2-3))</f>
        <v/>
      </c>
      <c r="H200" t="str" cm="1">
        <f>IF(ISBLANK(INDEX(Array_WaterChargeData,ROW()-14,COLUMN()*2-3)),"",INDEX(Array_WaterChargeData,ROW()-14,COLUMN()*2-3))</f>
        <v/>
      </c>
      <c r="I200" t="str" cm="1">
        <f>IF(ISBLANK(INDEX(Array_WaterChargeData,ROW()-14,COLUMN()*2-3)),"",INDEX(Array_WaterChargeData,ROW()-14,COLUMN()*2-3))</f>
        <v/>
      </c>
      <c r="J200" t="str" cm="1">
        <f>IF(ISBLANK(INDEX(Array_WaterChargeData,ROW()-14,COLUMN()*2-3)),"",INDEX(Array_WaterChargeData,ROW()-14,COLUMN()*2-3))</f>
        <v/>
      </c>
      <c r="K200" t="str" cm="1">
        <f>IF(ISBLANK(INDEX(Array_WaterChargeData,ROW()-14,COLUMN()*2-3)),"",INDEX(Array_WaterChargeData,ROW()-14,COLUMN()*2-3))</f>
        <v/>
      </c>
    </row>
    <row r="201" spans="1:11" x14ac:dyDescent="0.35">
      <c r="A201" t="str">
        <f>IF('Water Meters'!B189="",A200,'Water Meters'!B189)</f>
        <v>Meter Numbers</v>
      </c>
      <c r="B201" t="str" cm="1">
        <f>IF(ISBLANK(INDEX(Array_WaterChargeData,ROW()-14,COLUMN()*2-3)),"",INDEX(Array_WaterChargeData,ROW()-14,COLUMN()*2-3))</f>
        <v/>
      </c>
      <c r="C201" t="str" cm="1">
        <f>IF(ISBLANK(INDEX(Array_WaterChargeData,ROW()-14,COLUMN()*2-3)),"",INDEX(Array_WaterChargeData,ROW()-14,COLUMN()*2-3))</f>
        <v/>
      </c>
      <c r="D201" t="str" cm="1">
        <f>IF(ISBLANK(INDEX(Array_WaterChargeData,ROW()-14,COLUMN()*2-3)),"",INDEX(Array_WaterChargeData,ROW()-14,COLUMN()*2-3))</f>
        <v/>
      </c>
      <c r="E201" t="str" cm="1">
        <f>IF(ISBLANK(INDEX(Array_WaterChargeData,ROW()-14,COLUMN()*2-3)),"",INDEX(Array_WaterChargeData,ROW()-14,COLUMN()*2-3))</f>
        <v/>
      </c>
      <c r="F201" t="str" cm="1">
        <f>IF(ISBLANK(INDEX(Array_WaterChargeData,ROW()-14,COLUMN()*2-3)),"",INDEX(Array_WaterChargeData,ROW()-14,COLUMN()*2-3))</f>
        <v/>
      </c>
      <c r="G201" t="str" cm="1">
        <f>IF(ISBLANK(INDEX(Array_WaterChargeData,ROW()-14,COLUMN()*2-3)),"",INDEX(Array_WaterChargeData,ROW()-14,COLUMN()*2-3))</f>
        <v/>
      </c>
      <c r="H201" t="str" cm="1">
        <f>IF(ISBLANK(INDEX(Array_WaterChargeData,ROW()-14,COLUMN()*2-3)),"",INDEX(Array_WaterChargeData,ROW()-14,COLUMN()*2-3))</f>
        <v/>
      </c>
      <c r="I201" t="str" cm="1">
        <f>IF(ISBLANK(INDEX(Array_WaterChargeData,ROW()-14,COLUMN()*2-3)),"",INDEX(Array_WaterChargeData,ROW()-14,COLUMN()*2-3))</f>
        <v/>
      </c>
      <c r="J201" t="str" cm="1">
        <f>IF(ISBLANK(INDEX(Array_WaterChargeData,ROW()-14,COLUMN()*2-3)),"",INDEX(Array_WaterChargeData,ROW()-14,COLUMN()*2-3))</f>
        <v/>
      </c>
      <c r="K201" t="str" cm="1">
        <f>IF(ISBLANK(INDEX(Array_WaterChargeData,ROW()-14,COLUMN()*2-3)),"",INDEX(Array_WaterChargeData,ROW()-14,COLUMN()*2-3))</f>
        <v/>
      </c>
    </row>
    <row r="202" spans="1:11" x14ac:dyDescent="0.35">
      <c r="A202" t="str">
        <f>IF('Water Meters'!B190="",A201,'Water Meters'!B190)</f>
        <v>Meter Numbers</v>
      </c>
      <c r="B202" t="str" cm="1">
        <f>IF(ISBLANK(INDEX(Array_WaterChargeData,ROW()-14,COLUMN()*2-3)),"",INDEX(Array_WaterChargeData,ROW()-14,COLUMN()*2-3))</f>
        <v/>
      </c>
      <c r="C202" t="str" cm="1">
        <f>IF(ISBLANK(INDEX(Array_WaterChargeData,ROW()-14,COLUMN()*2-3)),"",INDEX(Array_WaterChargeData,ROW()-14,COLUMN()*2-3))</f>
        <v/>
      </c>
      <c r="D202" t="str" cm="1">
        <f>IF(ISBLANK(INDEX(Array_WaterChargeData,ROW()-14,COLUMN()*2-3)),"",INDEX(Array_WaterChargeData,ROW()-14,COLUMN()*2-3))</f>
        <v/>
      </c>
      <c r="E202" t="str" cm="1">
        <f>IF(ISBLANK(INDEX(Array_WaterChargeData,ROW()-14,COLUMN()*2-3)),"",INDEX(Array_WaterChargeData,ROW()-14,COLUMN()*2-3))</f>
        <v/>
      </c>
      <c r="F202" t="str" cm="1">
        <f>IF(ISBLANK(INDEX(Array_WaterChargeData,ROW()-14,COLUMN()*2-3)),"",INDEX(Array_WaterChargeData,ROW()-14,COLUMN()*2-3))</f>
        <v/>
      </c>
      <c r="G202" t="str" cm="1">
        <f>IF(ISBLANK(INDEX(Array_WaterChargeData,ROW()-14,COLUMN()*2-3)),"",INDEX(Array_WaterChargeData,ROW()-14,COLUMN()*2-3))</f>
        <v/>
      </c>
      <c r="H202" t="str" cm="1">
        <f>IF(ISBLANK(INDEX(Array_WaterChargeData,ROW()-14,COLUMN()*2-3)),"",INDEX(Array_WaterChargeData,ROW()-14,COLUMN()*2-3))</f>
        <v/>
      </c>
      <c r="I202" t="str" cm="1">
        <f>IF(ISBLANK(INDEX(Array_WaterChargeData,ROW()-14,COLUMN()*2-3)),"",INDEX(Array_WaterChargeData,ROW()-14,COLUMN()*2-3))</f>
        <v/>
      </c>
      <c r="J202" t="str" cm="1">
        <f>IF(ISBLANK(INDEX(Array_WaterChargeData,ROW()-14,COLUMN()*2-3)),"",INDEX(Array_WaterChargeData,ROW()-14,COLUMN()*2-3))</f>
        <v/>
      </c>
      <c r="K202" t="str" cm="1">
        <f>IF(ISBLANK(INDEX(Array_WaterChargeData,ROW()-14,COLUMN()*2-3)),"",INDEX(Array_WaterChargeData,ROW()-14,COLUMN()*2-3))</f>
        <v/>
      </c>
    </row>
    <row r="203" spans="1:11" x14ac:dyDescent="0.35">
      <c r="A203" t="str">
        <f>IF('Water Meters'!B191="",A202,'Water Meters'!B191)</f>
        <v>Meter Numbers</v>
      </c>
      <c r="B203" t="str" cm="1">
        <f>IF(ISBLANK(INDEX(Array_WaterChargeData,ROW()-14,COLUMN()*2-3)),"",INDEX(Array_WaterChargeData,ROW()-14,COLUMN()*2-3))</f>
        <v/>
      </c>
      <c r="C203" t="str" cm="1">
        <f>IF(ISBLANK(INDEX(Array_WaterChargeData,ROW()-14,COLUMN()*2-3)),"",INDEX(Array_WaterChargeData,ROW()-14,COLUMN()*2-3))</f>
        <v/>
      </c>
      <c r="D203" t="str" cm="1">
        <f>IF(ISBLANK(INDEX(Array_WaterChargeData,ROW()-14,COLUMN()*2-3)),"",INDEX(Array_WaterChargeData,ROW()-14,COLUMN()*2-3))</f>
        <v/>
      </c>
      <c r="E203" t="str" cm="1">
        <f>IF(ISBLANK(INDEX(Array_WaterChargeData,ROW()-14,COLUMN()*2-3)),"",INDEX(Array_WaterChargeData,ROW()-14,COLUMN()*2-3))</f>
        <v/>
      </c>
      <c r="F203" t="str" cm="1">
        <f>IF(ISBLANK(INDEX(Array_WaterChargeData,ROW()-14,COLUMN()*2-3)),"",INDEX(Array_WaterChargeData,ROW()-14,COLUMN()*2-3))</f>
        <v/>
      </c>
      <c r="G203" t="str" cm="1">
        <f>IF(ISBLANK(INDEX(Array_WaterChargeData,ROW()-14,COLUMN()*2-3)),"",INDEX(Array_WaterChargeData,ROW()-14,COLUMN()*2-3))</f>
        <v/>
      </c>
      <c r="H203" t="str" cm="1">
        <f>IF(ISBLANK(INDEX(Array_WaterChargeData,ROW()-14,COLUMN()*2-3)),"",INDEX(Array_WaterChargeData,ROW()-14,COLUMN()*2-3))</f>
        <v/>
      </c>
      <c r="I203" t="str" cm="1">
        <f>IF(ISBLANK(INDEX(Array_WaterChargeData,ROW()-14,COLUMN()*2-3)),"",INDEX(Array_WaterChargeData,ROW()-14,COLUMN()*2-3))</f>
        <v/>
      </c>
      <c r="J203" t="str" cm="1">
        <f>IF(ISBLANK(INDEX(Array_WaterChargeData,ROW()-14,COLUMN()*2-3)),"",INDEX(Array_WaterChargeData,ROW()-14,COLUMN()*2-3))</f>
        <v/>
      </c>
      <c r="K203" t="str" cm="1">
        <f>IF(ISBLANK(INDEX(Array_WaterChargeData,ROW()-14,COLUMN()*2-3)),"",INDEX(Array_WaterChargeData,ROW()-14,COLUMN()*2-3))</f>
        <v/>
      </c>
    </row>
    <row r="204" spans="1:11" x14ac:dyDescent="0.35">
      <c r="A204" t="str">
        <f>IF('Water Meters'!B192="",A203,'Water Meters'!B192)</f>
        <v>Meter Numbers</v>
      </c>
      <c r="B204" t="str" cm="1">
        <f>IF(ISBLANK(INDEX(Array_WaterChargeData,ROW()-14,COLUMN()*2-3)),"",INDEX(Array_WaterChargeData,ROW()-14,COLUMN()*2-3))</f>
        <v/>
      </c>
      <c r="C204" t="str" cm="1">
        <f>IF(ISBLANK(INDEX(Array_WaterChargeData,ROW()-14,COLUMN()*2-3)),"",INDEX(Array_WaterChargeData,ROW()-14,COLUMN()*2-3))</f>
        <v/>
      </c>
      <c r="D204" t="str" cm="1">
        <f>IF(ISBLANK(INDEX(Array_WaterChargeData,ROW()-14,COLUMN()*2-3)),"",INDEX(Array_WaterChargeData,ROW()-14,COLUMN()*2-3))</f>
        <v/>
      </c>
      <c r="E204" t="str" cm="1">
        <f>IF(ISBLANK(INDEX(Array_WaterChargeData,ROW()-14,COLUMN()*2-3)),"",INDEX(Array_WaterChargeData,ROW()-14,COLUMN()*2-3))</f>
        <v/>
      </c>
      <c r="F204" t="str" cm="1">
        <f>IF(ISBLANK(INDEX(Array_WaterChargeData,ROW()-14,COLUMN()*2-3)),"",INDEX(Array_WaterChargeData,ROW()-14,COLUMN()*2-3))</f>
        <v/>
      </c>
      <c r="G204" t="str" cm="1">
        <f>IF(ISBLANK(INDEX(Array_WaterChargeData,ROW()-14,COLUMN()*2-3)),"",INDEX(Array_WaterChargeData,ROW()-14,COLUMN()*2-3))</f>
        <v/>
      </c>
      <c r="H204" t="str" cm="1">
        <f>IF(ISBLANK(INDEX(Array_WaterChargeData,ROW()-14,COLUMN()*2-3)),"",INDEX(Array_WaterChargeData,ROW()-14,COLUMN()*2-3))</f>
        <v/>
      </c>
      <c r="I204" t="str" cm="1">
        <f>IF(ISBLANK(INDEX(Array_WaterChargeData,ROW()-14,COLUMN()*2-3)),"",INDEX(Array_WaterChargeData,ROW()-14,COLUMN()*2-3))</f>
        <v/>
      </c>
      <c r="J204" t="str" cm="1">
        <f>IF(ISBLANK(INDEX(Array_WaterChargeData,ROW()-14,COLUMN()*2-3)),"",INDEX(Array_WaterChargeData,ROW()-14,COLUMN()*2-3))</f>
        <v/>
      </c>
      <c r="K204" t="str" cm="1">
        <f>IF(ISBLANK(INDEX(Array_WaterChargeData,ROW()-14,COLUMN()*2-3)),"",INDEX(Array_WaterChargeData,ROW()-14,COLUMN()*2-3))</f>
        <v/>
      </c>
    </row>
    <row r="205" spans="1:11" x14ac:dyDescent="0.35">
      <c r="A205" t="str">
        <f>IF('Water Meters'!B193="",A204,'Water Meters'!B193)</f>
        <v>Meter Numbers</v>
      </c>
      <c r="B205" t="str" cm="1">
        <f>IF(ISBLANK(INDEX(Array_WaterChargeData,ROW()-14,COLUMN()*2-3)),"",INDEX(Array_WaterChargeData,ROW()-14,COLUMN()*2-3))</f>
        <v/>
      </c>
      <c r="C205" t="str" cm="1">
        <f>IF(ISBLANK(INDEX(Array_WaterChargeData,ROW()-14,COLUMN()*2-3)),"",INDEX(Array_WaterChargeData,ROW()-14,COLUMN()*2-3))</f>
        <v/>
      </c>
      <c r="D205" t="str" cm="1">
        <f>IF(ISBLANK(INDEX(Array_WaterChargeData,ROW()-14,COLUMN()*2-3)),"",INDEX(Array_WaterChargeData,ROW()-14,COLUMN()*2-3))</f>
        <v/>
      </c>
      <c r="E205" t="str" cm="1">
        <f>IF(ISBLANK(INDEX(Array_WaterChargeData,ROW()-14,COLUMN()*2-3)),"",INDEX(Array_WaterChargeData,ROW()-14,COLUMN()*2-3))</f>
        <v/>
      </c>
      <c r="F205" t="str" cm="1">
        <f>IF(ISBLANK(INDEX(Array_WaterChargeData,ROW()-14,COLUMN()*2-3)),"",INDEX(Array_WaterChargeData,ROW()-14,COLUMN()*2-3))</f>
        <v/>
      </c>
      <c r="G205" t="str" cm="1">
        <f>IF(ISBLANK(INDEX(Array_WaterChargeData,ROW()-14,COLUMN()*2-3)),"",INDEX(Array_WaterChargeData,ROW()-14,COLUMN()*2-3))</f>
        <v/>
      </c>
      <c r="H205" t="str" cm="1">
        <f>IF(ISBLANK(INDEX(Array_WaterChargeData,ROW()-14,COLUMN()*2-3)),"",INDEX(Array_WaterChargeData,ROW()-14,COLUMN()*2-3))</f>
        <v/>
      </c>
      <c r="I205" t="str" cm="1">
        <f>IF(ISBLANK(INDEX(Array_WaterChargeData,ROW()-14,COLUMN()*2-3)),"",INDEX(Array_WaterChargeData,ROW()-14,COLUMN()*2-3))</f>
        <v/>
      </c>
      <c r="J205" t="str" cm="1">
        <f>IF(ISBLANK(INDEX(Array_WaterChargeData,ROW()-14,COLUMN()*2-3)),"",INDEX(Array_WaterChargeData,ROW()-14,COLUMN()*2-3))</f>
        <v/>
      </c>
      <c r="K205" t="str" cm="1">
        <f>IF(ISBLANK(INDEX(Array_WaterChargeData,ROW()-14,COLUMN()*2-3)),"",INDEX(Array_WaterChargeData,ROW()-14,COLUMN()*2-3))</f>
        <v/>
      </c>
    </row>
    <row r="206" spans="1:11" x14ac:dyDescent="0.35">
      <c r="A206" t="str">
        <f>IF('Water Meters'!B194="",A205,'Water Meters'!B194)</f>
        <v>Meter Numbers</v>
      </c>
      <c r="B206" t="str" cm="1">
        <f>IF(ISBLANK(INDEX(Array_WaterChargeData,ROW()-14,COLUMN()*2-3)),"",INDEX(Array_WaterChargeData,ROW()-14,COLUMN()*2-3))</f>
        <v/>
      </c>
      <c r="C206" t="str" cm="1">
        <f>IF(ISBLANK(INDEX(Array_WaterChargeData,ROW()-14,COLUMN()*2-3)),"",INDEX(Array_WaterChargeData,ROW()-14,COLUMN()*2-3))</f>
        <v/>
      </c>
      <c r="D206" t="str" cm="1">
        <f>IF(ISBLANK(INDEX(Array_WaterChargeData,ROW()-14,COLUMN()*2-3)),"",INDEX(Array_WaterChargeData,ROW()-14,COLUMN()*2-3))</f>
        <v/>
      </c>
      <c r="E206" t="str" cm="1">
        <f>IF(ISBLANK(INDEX(Array_WaterChargeData,ROW()-14,COLUMN()*2-3)),"",INDEX(Array_WaterChargeData,ROW()-14,COLUMN()*2-3))</f>
        <v/>
      </c>
      <c r="F206" t="str" cm="1">
        <f>IF(ISBLANK(INDEX(Array_WaterChargeData,ROW()-14,COLUMN()*2-3)),"",INDEX(Array_WaterChargeData,ROW()-14,COLUMN()*2-3))</f>
        <v/>
      </c>
      <c r="G206" t="str" cm="1">
        <f>IF(ISBLANK(INDEX(Array_WaterChargeData,ROW()-14,COLUMN()*2-3)),"",INDEX(Array_WaterChargeData,ROW()-14,COLUMN()*2-3))</f>
        <v/>
      </c>
      <c r="H206" t="str" cm="1">
        <f>IF(ISBLANK(INDEX(Array_WaterChargeData,ROW()-14,COLUMN()*2-3)),"",INDEX(Array_WaterChargeData,ROW()-14,COLUMN()*2-3))</f>
        <v/>
      </c>
      <c r="I206" t="str" cm="1">
        <f>IF(ISBLANK(INDEX(Array_WaterChargeData,ROW()-14,COLUMN()*2-3)),"",INDEX(Array_WaterChargeData,ROW()-14,COLUMN()*2-3))</f>
        <v/>
      </c>
      <c r="J206" t="str" cm="1">
        <f>IF(ISBLANK(INDEX(Array_WaterChargeData,ROW()-14,COLUMN()*2-3)),"",INDEX(Array_WaterChargeData,ROW()-14,COLUMN()*2-3))</f>
        <v/>
      </c>
      <c r="K206" t="str" cm="1">
        <f>IF(ISBLANK(INDEX(Array_WaterChargeData,ROW()-14,COLUMN()*2-3)),"",INDEX(Array_WaterChargeData,ROW()-14,COLUMN()*2-3))</f>
        <v/>
      </c>
    </row>
    <row r="207" spans="1:11" x14ac:dyDescent="0.35">
      <c r="A207" t="str">
        <f>IF('Water Meters'!B195="",A206,'Water Meters'!B195)</f>
        <v>Meter Numbers</v>
      </c>
      <c r="B207" t="str" cm="1">
        <f>IF(ISBLANK(INDEX(Array_WaterChargeData,ROW()-14,COLUMN()*2-3)),"",INDEX(Array_WaterChargeData,ROW()-14,COLUMN()*2-3))</f>
        <v/>
      </c>
      <c r="C207" t="str" cm="1">
        <f>IF(ISBLANK(INDEX(Array_WaterChargeData,ROW()-14,COLUMN()*2-3)),"",INDEX(Array_WaterChargeData,ROW()-14,COLUMN()*2-3))</f>
        <v/>
      </c>
      <c r="D207" t="str" cm="1">
        <f>IF(ISBLANK(INDEX(Array_WaterChargeData,ROW()-14,COLUMN()*2-3)),"",INDEX(Array_WaterChargeData,ROW()-14,COLUMN()*2-3))</f>
        <v/>
      </c>
      <c r="E207" t="str" cm="1">
        <f>IF(ISBLANK(INDEX(Array_WaterChargeData,ROW()-14,COLUMN()*2-3)),"",INDEX(Array_WaterChargeData,ROW()-14,COLUMN()*2-3))</f>
        <v/>
      </c>
      <c r="F207" t="str" cm="1">
        <f>IF(ISBLANK(INDEX(Array_WaterChargeData,ROW()-14,COLUMN()*2-3)),"",INDEX(Array_WaterChargeData,ROW()-14,COLUMN()*2-3))</f>
        <v/>
      </c>
      <c r="G207" t="str" cm="1">
        <f>IF(ISBLANK(INDEX(Array_WaterChargeData,ROW()-14,COLUMN()*2-3)),"",INDEX(Array_WaterChargeData,ROW()-14,COLUMN()*2-3))</f>
        <v/>
      </c>
      <c r="H207" t="str" cm="1">
        <f>IF(ISBLANK(INDEX(Array_WaterChargeData,ROW()-14,COLUMN()*2-3)),"",INDEX(Array_WaterChargeData,ROW()-14,COLUMN()*2-3))</f>
        <v/>
      </c>
      <c r="I207" t="str" cm="1">
        <f>IF(ISBLANK(INDEX(Array_WaterChargeData,ROW()-14,COLUMN()*2-3)),"",INDEX(Array_WaterChargeData,ROW()-14,COLUMN()*2-3))</f>
        <v/>
      </c>
      <c r="J207" t="str" cm="1">
        <f>IF(ISBLANK(INDEX(Array_WaterChargeData,ROW()-14,COLUMN()*2-3)),"",INDEX(Array_WaterChargeData,ROW()-14,COLUMN()*2-3))</f>
        <v/>
      </c>
      <c r="K207" t="str" cm="1">
        <f>IF(ISBLANK(INDEX(Array_WaterChargeData,ROW()-14,COLUMN()*2-3)),"",INDEX(Array_WaterChargeData,ROW()-14,COLUMN()*2-3))</f>
        <v/>
      </c>
    </row>
    <row r="208" spans="1:11" x14ac:dyDescent="0.35">
      <c r="A208" t="str">
        <f>IF('Water Meters'!B196="",A207,'Water Meters'!B196)</f>
        <v>Meter Numbers</v>
      </c>
      <c r="B208" t="str" cm="1">
        <f>IF(ISBLANK(INDEX(Array_WaterChargeData,ROW()-14,COLUMN()*2-3)),"",INDEX(Array_WaterChargeData,ROW()-14,COLUMN()*2-3))</f>
        <v/>
      </c>
      <c r="C208" t="str" cm="1">
        <f>IF(ISBLANK(INDEX(Array_WaterChargeData,ROW()-14,COLUMN()*2-3)),"",INDEX(Array_WaterChargeData,ROW()-14,COLUMN()*2-3))</f>
        <v/>
      </c>
      <c r="D208" t="str" cm="1">
        <f>IF(ISBLANK(INDEX(Array_WaterChargeData,ROW()-14,COLUMN()*2-3)),"",INDEX(Array_WaterChargeData,ROW()-14,COLUMN()*2-3))</f>
        <v/>
      </c>
      <c r="E208" t="str" cm="1">
        <f>IF(ISBLANK(INDEX(Array_WaterChargeData,ROW()-14,COLUMN()*2-3)),"",INDEX(Array_WaterChargeData,ROW()-14,COLUMN()*2-3))</f>
        <v/>
      </c>
      <c r="F208" t="str" cm="1">
        <f>IF(ISBLANK(INDEX(Array_WaterChargeData,ROW()-14,COLUMN()*2-3)),"",INDEX(Array_WaterChargeData,ROW()-14,COLUMN()*2-3))</f>
        <v/>
      </c>
      <c r="G208" t="str" cm="1">
        <f>IF(ISBLANK(INDEX(Array_WaterChargeData,ROW()-14,COLUMN()*2-3)),"",INDEX(Array_WaterChargeData,ROW()-14,COLUMN()*2-3))</f>
        <v/>
      </c>
      <c r="H208" t="str" cm="1">
        <f>IF(ISBLANK(INDEX(Array_WaterChargeData,ROW()-14,COLUMN()*2-3)),"",INDEX(Array_WaterChargeData,ROW()-14,COLUMN()*2-3))</f>
        <v/>
      </c>
      <c r="I208" t="str" cm="1">
        <f>IF(ISBLANK(INDEX(Array_WaterChargeData,ROW()-14,COLUMN()*2-3)),"",INDEX(Array_WaterChargeData,ROW()-14,COLUMN()*2-3))</f>
        <v/>
      </c>
      <c r="J208" t="str" cm="1">
        <f>IF(ISBLANK(INDEX(Array_WaterChargeData,ROW()-14,COLUMN()*2-3)),"",INDEX(Array_WaterChargeData,ROW()-14,COLUMN()*2-3))</f>
        <v/>
      </c>
      <c r="K208" t="str" cm="1">
        <f>IF(ISBLANK(INDEX(Array_WaterChargeData,ROW()-14,COLUMN()*2-3)),"",INDEX(Array_WaterChargeData,ROW()-14,COLUMN()*2-3))</f>
        <v/>
      </c>
    </row>
    <row r="209" spans="1:11" x14ac:dyDescent="0.35">
      <c r="A209" t="str">
        <f>IF('Water Meters'!B197="",A208,'Water Meters'!B197)</f>
        <v>Meter Numbers</v>
      </c>
      <c r="B209" t="str" cm="1">
        <f>IF(ISBLANK(INDEX(Array_WaterChargeData,ROW()-14,COLUMN()*2-3)),"",INDEX(Array_WaterChargeData,ROW()-14,COLUMN()*2-3))</f>
        <v/>
      </c>
      <c r="C209" t="str" cm="1">
        <f>IF(ISBLANK(INDEX(Array_WaterChargeData,ROW()-14,COLUMN()*2-3)),"",INDEX(Array_WaterChargeData,ROW()-14,COLUMN()*2-3))</f>
        <v/>
      </c>
      <c r="D209" t="str" cm="1">
        <f>IF(ISBLANK(INDEX(Array_WaterChargeData,ROW()-14,COLUMN()*2-3)),"",INDEX(Array_WaterChargeData,ROW()-14,COLUMN()*2-3))</f>
        <v/>
      </c>
      <c r="E209" t="str" cm="1">
        <f>IF(ISBLANK(INDEX(Array_WaterChargeData,ROW()-14,COLUMN()*2-3)),"",INDEX(Array_WaterChargeData,ROW()-14,COLUMN()*2-3))</f>
        <v/>
      </c>
      <c r="F209" t="str" cm="1">
        <f>IF(ISBLANK(INDEX(Array_WaterChargeData,ROW()-14,COLUMN()*2-3)),"",INDEX(Array_WaterChargeData,ROW()-14,COLUMN()*2-3))</f>
        <v/>
      </c>
      <c r="G209" t="str" cm="1">
        <f>IF(ISBLANK(INDEX(Array_WaterChargeData,ROW()-14,COLUMN()*2-3)),"",INDEX(Array_WaterChargeData,ROW()-14,COLUMN()*2-3))</f>
        <v/>
      </c>
      <c r="H209" t="str" cm="1">
        <f>IF(ISBLANK(INDEX(Array_WaterChargeData,ROW()-14,COLUMN()*2-3)),"",INDEX(Array_WaterChargeData,ROW()-14,COLUMN()*2-3))</f>
        <v/>
      </c>
      <c r="I209" t="str" cm="1">
        <f>IF(ISBLANK(INDEX(Array_WaterChargeData,ROW()-14,COLUMN()*2-3)),"",INDEX(Array_WaterChargeData,ROW()-14,COLUMN()*2-3))</f>
        <v/>
      </c>
      <c r="J209" t="str" cm="1">
        <f>IF(ISBLANK(INDEX(Array_WaterChargeData,ROW()-14,COLUMN()*2-3)),"",INDEX(Array_WaterChargeData,ROW()-14,COLUMN()*2-3))</f>
        <v/>
      </c>
      <c r="K209" t="str" cm="1">
        <f>IF(ISBLANK(INDEX(Array_WaterChargeData,ROW()-14,COLUMN()*2-3)),"",INDEX(Array_WaterChargeData,ROW()-14,COLUMN()*2-3))</f>
        <v/>
      </c>
    </row>
    <row r="210" spans="1:11" x14ac:dyDescent="0.35">
      <c r="A210" t="str">
        <f>IF('Water Meters'!B198="",A209,'Water Meters'!B198)</f>
        <v>Meter Numbers</v>
      </c>
      <c r="B210" t="str" cm="1">
        <f>IF(ISBLANK(INDEX(Array_WaterChargeData,ROW()-14,COLUMN()*2-3)),"",INDEX(Array_WaterChargeData,ROW()-14,COLUMN()*2-3))</f>
        <v/>
      </c>
      <c r="C210" t="str" cm="1">
        <f>IF(ISBLANK(INDEX(Array_WaterChargeData,ROW()-14,COLUMN()*2-3)),"",INDEX(Array_WaterChargeData,ROW()-14,COLUMN()*2-3))</f>
        <v/>
      </c>
      <c r="D210" t="str" cm="1">
        <f>IF(ISBLANK(INDEX(Array_WaterChargeData,ROW()-14,COLUMN()*2-3)),"",INDEX(Array_WaterChargeData,ROW()-14,COLUMN()*2-3))</f>
        <v/>
      </c>
      <c r="E210" t="str" cm="1">
        <f>IF(ISBLANK(INDEX(Array_WaterChargeData,ROW()-14,COLUMN()*2-3)),"",INDEX(Array_WaterChargeData,ROW()-14,COLUMN()*2-3))</f>
        <v/>
      </c>
      <c r="F210" t="str" cm="1">
        <f>IF(ISBLANK(INDEX(Array_WaterChargeData,ROW()-14,COLUMN()*2-3)),"",INDEX(Array_WaterChargeData,ROW()-14,COLUMN()*2-3))</f>
        <v/>
      </c>
      <c r="G210" t="str" cm="1">
        <f>IF(ISBLANK(INDEX(Array_WaterChargeData,ROW()-14,COLUMN()*2-3)),"",INDEX(Array_WaterChargeData,ROW()-14,COLUMN()*2-3))</f>
        <v/>
      </c>
      <c r="H210" t="str" cm="1">
        <f>IF(ISBLANK(INDEX(Array_WaterChargeData,ROW()-14,COLUMN()*2-3)),"",INDEX(Array_WaterChargeData,ROW()-14,COLUMN()*2-3))</f>
        <v/>
      </c>
      <c r="I210" t="str" cm="1">
        <f>IF(ISBLANK(INDEX(Array_WaterChargeData,ROW()-14,COLUMN()*2-3)),"",INDEX(Array_WaterChargeData,ROW()-14,COLUMN()*2-3))</f>
        <v/>
      </c>
      <c r="J210" t="str" cm="1">
        <f>IF(ISBLANK(INDEX(Array_WaterChargeData,ROW()-14,COLUMN()*2-3)),"",INDEX(Array_WaterChargeData,ROW()-14,COLUMN()*2-3))</f>
        <v/>
      </c>
      <c r="K210" t="str" cm="1">
        <f>IF(ISBLANK(INDEX(Array_WaterChargeData,ROW()-14,COLUMN()*2-3)),"",INDEX(Array_WaterChargeData,ROW()-14,COLUMN()*2-3))</f>
        <v/>
      </c>
    </row>
    <row r="211" spans="1:11" x14ac:dyDescent="0.35">
      <c r="A211" t="str">
        <f>IF('Water Meters'!B199="",A210,'Water Meters'!B199)</f>
        <v>Meter Numbers</v>
      </c>
      <c r="B211" t="str" cm="1">
        <f>IF(ISBLANK(INDEX(Array_WaterChargeData,ROW()-14,COLUMN()*2-3)),"",INDEX(Array_WaterChargeData,ROW()-14,COLUMN()*2-3))</f>
        <v/>
      </c>
      <c r="C211" t="str" cm="1">
        <f>IF(ISBLANK(INDEX(Array_WaterChargeData,ROW()-14,COLUMN()*2-3)),"",INDEX(Array_WaterChargeData,ROW()-14,COLUMN()*2-3))</f>
        <v/>
      </c>
      <c r="D211" t="str" cm="1">
        <f>IF(ISBLANK(INDEX(Array_WaterChargeData,ROW()-14,COLUMN()*2-3)),"",INDEX(Array_WaterChargeData,ROW()-14,COLUMN()*2-3))</f>
        <v/>
      </c>
      <c r="E211" t="str" cm="1">
        <f>IF(ISBLANK(INDEX(Array_WaterChargeData,ROW()-14,COLUMN()*2-3)),"",INDEX(Array_WaterChargeData,ROW()-14,COLUMN()*2-3))</f>
        <v/>
      </c>
      <c r="F211" t="str" cm="1">
        <f>IF(ISBLANK(INDEX(Array_WaterChargeData,ROW()-14,COLUMN()*2-3)),"",INDEX(Array_WaterChargeData,ROW()-14,COLUMN()*2-3))</f>
        <v/>
      </c>
      <c r="G211" t="str" cm="1">
        <f>IF(ISBLANK(INDEX(Array_WaterChargeData,ROW()-14,COLUMN()*2-3)),"",INDEX(Array_WaterChargeData,ROW()-14,COLUMN()*2-3))</f>
        <v/>
      </c>
      <c r="H211" t="str" cm="1">
        <f>IF(ISBLANK(INDEX(Array_WaterChargeData,ROW()-14,COLUMN()*2-3)),"",INDEX(Array_WaterChargeData,ROW()-14,COLUMN()*2-3))</f>
        <v/>
      </c>
      <c r="I211" t="str" cm="1">
        <f>IF(ISBLANK(INDEX(Array_WaterChargeData,ROW()-14,COLUMN()*2-3)),"",INDEX(Array_WaterChargeData,ROW()-14,COLUMN()*2-3))</f>
        <v/>
      </c>
      <c r="J211" t="str" cm="1">
        <f>IF(ISBLANK(INDEX(Array_WaterChargeData,ROW()-14,COLUMN()*2-3)),"",INDEX(Array_WaterChargeData,ROW()-14,COLUMN()*2-3))</f>
        <v/>
      </c>
      <c r="K211" t="str" cm="1">
        <f>IF(ISBLANK(INDEX(Array_WaterChargeData,ROW()-14,COLUMN()*2-3)),"",INDEX(Array_WaterChargeData,ROW()-14,COLUMN()*2-3))</f>
        <v/>
      </c>
    </row>
    <row r="212" spans="1:11" x14ac:dyDescent="0.35">
      <c r="A212" t="str">
        <f>IF('Water Meters'!B200="",A211,'Water Meters'!B200)</f>
        <v>Meter Numbers</v>
      </c>
      <c r="B212" t="str" cm="1">
        <f>IF(ISBLANK(INDEX(Array_WaterChargeData,ROW()-14,COLUMN()*2-3)),"",INDEX(Array_WaterChargeData,ROW()-14,COLUMN()*2-3))</f>
        <v/>
      </c>
      <c r="C212" t="str" cm="1">
        <f>IF(ISBLANK(INDEX(Array_WaterChargeData,ROW()-14,COLUMN()*2-3)),"",INDEX(Array_WaterChargeData,ROW()-14,COLUMN()*2-3))</f>
        <v/>
      </c>
      <c r="D212" t="str" cm="1">
        <f>IF(ISBLANK(INDEX(Array_WaterChargeData,ROW()-14,COLUMN()*2-3)),"",INDEX(Array_WaterChargeData,ROW()-14,COLUMN()*2-3))</f>
        <v/>
      </c>
      <c r="E212" t="str" cm="1">
        <f>IF(ISBLANK(INDEX(Array_WaterChargeData,ROW()-14,COLUMN()*2-3)),"",INDEX(Array_WaterChargeData,ROW()-14,COLUMN()*2-3))</f>
        <v/>
      </c>
      <c r="F212" t="str" cm="1">
        <f>IF(ISBLANK(INDEX(Array_WaterChargeData,ROW()-14,COLUMN()*2-3)),"",INDEX(Array_WaterChargeData,ROW()-14,COLUMN()*2-3))</f>
        <v/>
      </c>
      <c r="G212" t="str" cm="1">
        <f>IF(ISBLANK(INDEX(Array_WaterChargeData,ROW()-14,COLUMN()*2-3)),"",INDEX(Array_WaterChargeData,ROW()-14,COLUMN()*2-3))</f>
        <v/>
      </c>
      <c r="H212" t="str" cm="1">
        <f>IF(ISBLANK(INDEX(Array_WaterChargeData,ROW()-14,COLUMN()*2-3)),"",INDEX(Array_WaterChargeData,ROW()-14,COLUMN()*2-3))</f>
        <v/>
      </c>
      <c r="I212" t="str" cm="1">
        <f>IF(ISBLANK(INDEX(Array_WaterChargeData,ROW()-14,COLUMN()*2-3)),"",INDEX(Array_WaterChargeData,ROW()-14,COLUMN()*2-3))</f>
        <v/>
      </c>
      <c r="J212" t="str" cm="1">
        <f>IF(ISBLANK(INDEX(Array_WaterChargeData,ROW()-14,COLUMN()*2-3)),"",INDEX(Array_WaterChargeData,ROW()-14,COLUMN()*2-3))</f>
        <v/>
      </c>
      <c r="K212" t="str" cm="1">
        <f>IF(ISBLANK(INDEX(Array_WaterChargeData,ROW()-14,COLUMN()*2-3)),"",INDEX(Array_WaterChargeData,ROW()-14,COLUMN()*2-3))</f>
        <v/>
      </c>
    </row>
    <row r="213" spans="1:11" x14ac:dyDescent="0.35">
      <c r="A213" t="str">
        <f>IF('Water Meters'!B201="",A212,'Water Meters'!B201)</f>
        <v>Meter Numbers</v>
      </c>
      <c r="B213" t="str" cm="1">
        <f>IF(ISBLANK(INDEX(Array_WaterChargeData,ROW()-14,COLUMN()*2-3)),"",INDEX(Array_WaterChargeData,ROW()-14,COLUMN()*2-3))</f>
        <v/>
      </c>
      <c r="C213" t="str" cm="1">
        <f>IF(ISBLANK(INDEX(Array_WaterChargeData,ROW()-14,COLUMN()*2-3)),"",INDEX(Array_WaterChargeData,ROW()-14,COLUMN()*2-3))</f>
        <v/>
      </c>
      <c r="D213" t="str" cm="1">
        <f>IF(ISBLANK(INDEX(Array_WaterChargeData,ROW()-14,COLUMN()*2-3)),"",INDEX(Array_WaterChargeData,ROW()-14,COLUMN()*2-3))</f>
        <v/>
      </c>
      <c r="E213" t="str" cm="1">
        <f>IF(ISBLANK(INDEX(Array_WaterChargeData,ROW()-14,COLUMN()*2-3)),"",INDEX(Array_WaterChargeData,ROW()-14,COLUMN()*2-3))</f>
        <v/>
      </c>
      <c r="F213" t="str" cm="1">
        <f>IF(ISBLANK(INDEX(Array_WaterChargeData,ROW()-14,COLUMN()*2-3)),"",INDEX(Array_WaterChargeData,ROW()-14,COLUMN()*2-3))</f>
        <v/>
      </c>
      <c r="G213" t="str" cm="1">
        <f>IF(ISBLANK(INDEX(Array_WaterChargeData,ROW()-14,COLUMN()*2-3)),"",INDEX(Array_WaterChargeData,ROW()-14,COLUMN()*2-3))</f>
        <v/>
      </c>
      <c r="H213" t="str" cm="1">
        <f>IF(ISBLANK(INDEX(Array_WaterChargeData,ROW()-14,COLUMN()*2-3)),"",INDEX(Array_WaterChargeData,ROW()-14,COLUMN()*2-3))</f>
        <v/>
      </c>
      <c r="I213" t="str" cm="1">
        <f>IF(ISBLANK(INDEX(Array_WaterChargeData,ROW()-14,COLUMN()*2-3)),"",INDEX(Array_WaterChargeData,ROW()-14,COLUMN()*2-3))</f>
        <v/>
      </c>
      <c r="J213" t="str" cm="1">
        <f>IF(ISBLANK(INDEX(Array_WaterChargeData,ROW()-14,COLUMN()*2-3)),"",INDEX(Array_WaterChargeData,ROW()-14,COLUMN()*2-3))</f>
        <v/>
      </c>
      <c r="K213" t="str" cm="1">
        <f>IF(ISBLANK(INDEX(Array_WaterChargeData,ROW()-14,COLUMN()*2-3)),"",INDEX(Array_WaterChargeData,ROW()-14,COLUMN()*2-3))</f>
        <v/>
      </c>
    </row>
    <row r="214" spans="1:11" x14ac:dyDescent="0.35">
      <c r="A214" t="str">
        <f>IF('Water Meters'!B202="",A213,'Water Meters'!B202)</f>
        <v>Meter Numbers</v>
      </c>
      <c r="B214" t="str" cm="1">
        <f>IF(ISBLANK(INDEX(Array_WaterChargeData,ROW()-14,COLUMN()*2-3)),"",INDEX(Array_WaterChargeData,ROW()-14,COLUMN()*2-3))</f>
        <v/>
      </c>
      <c r="C214" t="str" cm="1">
        <f>IF(ISBLANK(INDEX(Array_WaterChargeData,ROW()-14,COLUMN()*2-3)),"",INDEX(Array_WaterChargeData,ROW()-14,COLUMN()*2-3))</f>
        <v/>
      </c>
      <c r="D214" t="str" cm="1">
        <f>IF(ISBLANK(INDEX(Array_WaterChargeData,ROW()-14,COLUMN()*2-3)),"",INDEX(Array_WaterChargeData,ROW()-14,COLUMN()*2-3))</f>
        <v/>
      </c>
      <c r="E214" t="str" cm="1">
        <f>IF(ISBLANK(INDEX(Array_WaterChargeData,ROW()-14,COLUMN()*2-3)),"",INDEX(Array_WaterChargeData,ROW()-14,COLUMN()*2-3))</f>
        <v/>
      </c>
      <c r="F214" t="str" cm="1">
        <f>IF(ISBLANK(INDEX(Array_WaterChargeData,ROW()-14,COLUMN()*2-3)),"",INDEX(Array_WaterChargeData,ROW()-14,COLUMN()*2-3))</f>
        <v/>
      </c>
      <c r="G214" t="str" cm="1">
        <f>IF(ISBLANK(INDEX(Array_WaterChargeData,ROW()-14,COLUMN()*2-3)),"",INDEX(Array_WaterChargeData,ROW()-14,COLUMN()*2-3))</f>
        <v/>
      </c>
      <c r="H214" t="str" cm="1">
        <f>IF(ISBLANK(INDEX(Array_WaterChargeData,ROW()-14,COLUMN()*2-3)),"",INDEX(Array_WaterChargeData,ROW()-14,COLUMN()*2-3))</f>
        <v/>
      </c>
      <c r="I214" t="str" cm="1">
        <f>IF(ISBLANK(INDEX(Array_WaterChargeData,ROW()-14,COLUMN()*2-3)),"",INDEX(Array_WaterChargeData,ROW()-14,COLUMN()*2-3))</f>
        <v/>
      </c>
      <c r="J214" t="str" cm="1">
        <f>IF(ISBLANK(INDEX(Array_WaterChargeData,ROW()-14,COLUMN()*2-3)),"",INDEX(Array_WaterChargeData,ROW()-14,COLUMN()*2-3))</f>
        <v/>
      </c>
      <c r="K214" t="str" cm="1">
        <f>IF(ISBLANK(INDEX(Array_WaterChargeData,ROW()-14,COLUMN()*2-3)),"",INDEX(Array_WaterChargeData,ROW()-14,COLUMN()*2-3))</f>
        <v/>
      </c>
    </row>
  </sheetData>
  <phoneticPr fontId="2"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9E90E-46FB-4F11-B3A9-F4348596C80A}">
  <sheetPr codeName="Sheet21">
    <tabColor rgb="FF17BECF"/>
  </sheetPr>
  <dimension ref="A1:AH502"/>
  <sheetViews>
    <sheetView workbookViewId="0">
      <selection activeCell="B32" sqref="B32:D32"/>
    </sheetView>
  </sheetViews>
  <sheetFormatPr defaultColWidth="0" defaultRowHeight="14" zeroHeight="1" x14ac:dyDescent="0.3"/>
  <cols>
    <col min="1" max="34" width="16.7265625" style="45" customWidth="1"/>
    <col min="35" max="16384" width="9.1796875" style="45" hidden="1"/>
  </cols>
  <sheetData>
    <row r="1" spans="1:34" ht="30" customHeight="1" x14ac:dyDescent="0.3">
      <c r="A1" s="81" t="s">
        <v>831</v>
      </c>
      <c r="B1" s="82"/>
      <c r="C1" s="83"/>
      <c r="D1" s="84"/>
      <c r="E1" s="43" t="s">
        <v>795</v>
      </c>
      <c r="F1" s="44"/>
      <c r="G1" s="44"/>
      <c r="H1" s="44"/>
      <c r="I1" s="44"/>
      <c r="J1" s="44"/>
      <c r="K1" s="44"/>
      <c r="L1" s="44"/>
      <c r="M1" s="44"/>
      <c r="N1" s="44"/>
      <c r="O1" s="44"/>
      <c r="P1" s="44"/>
      <c r="Q1" s="44"/>
      <c r="R1" s="44"/>
      <c r="S1" s="44"/>
      <c r="T1" s="44"/>
      <c r="U1" s="44"/>
      <c r="V1" s="44"/>
      <c r="W1" s="44"/>
      <c r="X1" s="44"/>
      <c r="Y1" s="44"/>
      <c r="Z1" s="44"/>
      <c r="AA1" s="44"/>
      <c r="AB1" s="44"/>
      <c r="AC1" s="44"/>
      <c r="AD1" s="44"/>
      <c r="AE1" s="44"/>
      <c r="AF1" s="44"/>
      <c r="AG1" s="44"/>
      <c r="AH1" s="44"/>
    </row>
    <row r="2" spans="1:34" ht="30" customHeight="1" x14ac:dyDescent="0.3">
      <c r="A2" s="46" t="s">
        <v>22</v>
      </c>
      <c r="B2" s="53" t="s">
        <v>30</v>
      </c>
      <c r="C2" s="47" t="s">
        <v>34</v>
      </c>
      <c r="D2" s="48" t="s">
        <v>33</v>
      </c>
      <c r="E2" s="54" t="str" cm="1">
        <f>IF(INDEX(List_ChargeNumbers_Water, 1, ROUNDUP((COLUMN()+0)/3-0,0)) = 0,"",INDEX(List_ChargeNumbers_Water, 2, ROUNDUP((COLUMN()+0)/3-0,0))&amp;" Name")</f>
        <v/>
      </c>
      <c r="F2" s="55" t="str" cm="1">
        <f>IF(INDEX(List_ChargeNumbers_Water, 1, ROUNDUP((COLUMN()+0)/3-0,0)) = 0,"",INDEX(List_ChargeNumbers_Water, 2, ROUNDUP((COLUMN()+0)/3-0,0))&amp;" Reading")</f>
        <v/>
      </c>
      <c r="G2" s="56" t="str" cm="1">
        <f>IF(INDEX(List_ChargeNumbers_Water, 1, ROUNDUP((COLUMN()+0)/3-1,0)) = 0,"",INDEX(List_ChargeNumbers_Water, 2, ROUNDUP((COLUMN()+0)/3-1,0))&amp;" Cost")</f>
        <v/>
      </c>
      <c r="H2" s="54" t="str" cm="1">
        <f>IF(INDEX(List_ChargeNumbers_Water, 1, ROUNDUP((COLUMN()+0)/3-0,0)) = 0,"",INDEX(List_ChargeNumbers_Water, 2, ROUNDUP((COLUMN()+0)/3-0,0))&amp;" Name")</f>
        <v/>
      </c>
      <c r="I2" s="55" t="str" cm="1">
        <f>IF(INDEX(List_ChargeNumbers_Water, 1, ROUNDUP((COLUMN()+0)/3-0,0)) = 0,"",INDEX(List_ChargeNumbers_Water, 2, ROUNDUP((COLUMN()+0)/3-0,0))&amp;" Reading")</f>
        <v/>
      </c>
      <c r="J2" s="56" t="str" cm="1">
        <f>IF(INDEX(List_ChargeNumbers_Water, 1, ROUNDUP((COLUMN()+0)/3-1,0)) = 0,"",INDEX(List_ChargeNumbers_Water, 2, ROUNDUP((COLUMN()+0)/3-1,0))&amp;" Cost")</f>
        <v/>
      </c>
      <c r="K2" s="54" t="str" cm="1">
        <f>IF(INDEX(List_ChargeNumbers_Water, 1, ROUNDUP((COLUMN()+0)/3-0,0)) = 0,"",INDEX(List_ChargeNumbers_Water, 2, ROUNDUP((COLUMN()+0)/3-0,0))&amp;" Name")</f>
        <v/>
      </c>
      <c r="L2" s="55" t="str" cm="1">
        <f>IF(INDEX(List_ChargeNumbers_Water, 1, ROUNDUP((COLUMN()+0)/3-0,0)) = 0,"",INDEX(List_ChargeNumbers_Water, 2, ROUNDUP((COLUMN()+0)/3-0,0))&amp;" Reading")</f>
        <v/>
      </c>
      <c r="M2" s="56" t="str" cm="1">
        <f>IF(INDEX(List_ChargeNumbers_Water, 1, ROUNDUP((COLUMN()+0)/3-1,0)) = 0,"",INDEX(List_ChargeNumbers_Water, 2, ROUNDUP((COLUMN()+0)/3-1,0))&amp;" Cost")</f>
        <v/>
      </c>
      <c r="N2" s="54" t="str" cm="1">
        <f>IF(INDEX(List_ChargeNumbers_Water, 1, ROUNDUP((COLUMN()+0)/3-0,0)) = 0,"",INDEX(List_ChargeNumbers_Water, 2, ROUNDUP((COLUMN()+0)/3-0,0))&amp;" Name")</f>
        <v/>
      </c>
      <c r="O2" s="55" t="str" cm="1">
        <f>IF(INDEX(List_ChargeNumbers_Water, 1, ROUNDUP((COLUMN()+0)/3-0,0)) = 0,"",INDEX(List_ChargeNumbers_Water, 2, ROUNDUP((COLUMN()+0)/3-0,0))&amp;" Reading")</f>
        <v/>
      </c>
      <c r="P2" s="56" t="str" cm="1">
        <f>IF(INDEX(List_ChargeNumbers_Water, 1, ROUNDUP((COLUMN()+0)/3-1,0)) = 0,"",INDEX(List_ChargeNumbers_Water, 2, ROUNDUP((COLUMN()+0)/3-1,0))&amp;" Cost")</f>
        <v/>
      </c>
      <c r="Q2" s="54" t="str" cm="1">
        <f>IF(INDEX(List_ChargeNumbers_Water, 1, ROUNDUP((COLUMN()+0)/3-0,0)) = 0,"",INDEX(List_ChargeNumbers_Water, 2, ROUNDUP((COLUMN()+0)/3-0,0))&amp;" Name")</f>
        <v/>
      </c>
      <c r="R2" s="55" t="str" cm="1">
        <f>IF(INDEX(List_ChargeNumbers_Water, 1, ROUNDUP((COLUMN()+0)/3-0,0)) = 0,"",INDEX(List_ChargeNumbers_Water, 2, ROUNDUP((COLUMN()+0)/3-0,0))&amp;" Reading")</f>
        <v/>
      </c>
      <c r="S2" s="56" t="str" cm="1">
        <f>IF(INDEX(List_ChargeNumbers_Water, 1, ROUNDUP((COLUMN()+0)/3-1,0)) = 0,"",INDEX(List_ChargeNumbers_Water, 2, ROUNDUP((COLUMN()+0)/3-1,0))&amp;" Cost")</f>
        <v/>
      </c>
      <c r="T2" s="54" t="str" cm="1">
        <f>IF(INDEX(List_ChargeNumbers_Water, 1, ROUNDUP((COLUMN()+0)/3-0,0)) = 0,"",INDEX(List_ChargeNumbers_Water, 2, ROUNDUP((COLUMN()+0)/3-0,0))&amp;" Name")</f>
        <v/>
      </c>
      <c r="U2" s="55" t="str" cm="1">
        <f>IF(INDEX(List_ChargeNumbers_Water, 1, ROUNDUP((COLUMN()+0)/3-0,0)) = 0,"",INDEX(List_ChargeNumbers_Water, 2, ROUNDUP((COLUMN()+0)/3-0,0))&amp;" Reading")</f>
        <v/>
      </c>
      <c r="V2" s="56" t="str" cm="1">
        <f>IF(INDEX(List_ChargeNumbers_Water, 1, ROUNDUP((COLUMN()+0)/3-1,0)) = 0,"",INDEX(List_ChargeNumbers_Water, 2, ROUNDUP((COLUMN()+0)/3-1,0))&amp;" Cost")</f>
        <v/>
      </c>
      <c r="W2" s="54" t="str" cm="1">
        <f>IF(INDEX(List_ChargeNumbers_Water, 1, ROUNDUP((COLUMN()+0)/3-0,0)) = 0,"",INDEX(List_ChargeNumbers_Water, 2, ROUNDUP((COLUMN()+0)/3-0,0))&amp;" Name")</f>
        <v/>
      </c>
      <c r="X2" s="55" t="str" cm="1">
        <f>IF(INDEX(List_ChargeNumbers_Water, 1, ROUNDUP((COLUMN()+0)/3-0,0)) = 0,"",INDEX(List_ChargeNumbers_Water, 2, ROUNDUP((COLUMN()+0)/3-0,0))&amp;" Reading")</f>
        <v/>
      </c>
      <c r="Y2" s="56" t="str" cm="1">
        <f>IF(INDEX(List_ChargeNumbers_Water, 1, ROUNDUP((COLUMN()+0)/3-1,0)) = 0,"",INDEX(List_ChargeNumbers_Water, 2, ROUNDUP((COLUMN()+0)/3-1,0))&amp;" Cost")</f>
        <v/>
      </c>
      <c r="Z2" s="54" t="str" cm="1">
        <f>IF(INDEX(List_ChargeNumbers_Water, 1, ROUNDUP((COLUMN()+0)/3-0,0)) = 0,"",INDEX(List_ChargeNumbers_Water, 2, ROUNDUP((COLUMN()+0)/3-0,0))&amp;" Name")</f>
        <v/>
      </c>
      <c r="AA2" s="55" t="str" cm="1">
        <f>IF(INDEX(List_ChargeNumbers_Water, 1, ROUNDUP((COLUMN()+0)/3-0,0)) = 0,"",INDEX(List_ChargeNumbers_Water, 2, ROUNDUP((COLUMN()+0)/3-0,0))&amp;" Reading")</f>
        <v/>
      </c>
      <c r="AB2" s="56" t="str" cm="1">
        <f>IF(INDEX(List_ChargeNumbers_Water, 1, ROUNDUP((COLUMN()+0)/3-1,0)) = 0,"",INDEX(List_ChargeNumbers_Water, 2, ROUNDUP((COLUMN()+0)/3-1,0))&amp;" Cost")</f>
        <v/>
      </c>
      <c r="AC2" s="54" t="str" cm="1">
        <f>IF(INDEX(List_ChargeNumbers_Water, 1, ROUNDUP((COLUMN()+0)/3-0,0)) = 0,"",INDEX(List_ChargeNumbers_Water, 2, ROUNDUP((COLUMN()+0)/3-0,0))&amp;" Name")</f>
        <v/>
      </c>
      <c r="AD2" s="55" t="str" cm="1">
        <f>IF(INDEX(List_ChargeNumbers_Water, 1, ROUNDUP((COLUMN()+0)/3-0,0)) = 0,"",INDEX(List_ChargeNumbers_Water, 2, ROUNDUP((COLUMN()+0)/3-0,0))&amp;" Reading")</f>
        <v/>
      </c>
      <c r="AE2" s="56" t="str" cm="1">
        <f>IF(INDEX(List_ChargeNumbers_Water, 1, ROUNDUP((COLUMN()+0)/3-1,0)) = 0,"",INDEX(List_ChargeNumbers_Water, 2, ROUNDUP((COLUMN()+0)/3-1,0))&amp;" Cost")</f>
        <v/>
      </c>
      <c r="AF2" s="54" t="str" cm="1">
        <f>IF(INDEX(List_ChargeNumbers_Water, 1, ROUNDUP((COLUMN()+0)/3-0,0)) = 0,"",INDEX(List_ChargeNumbers_Water, 2, ROUNDUP((COLUMN()+0)/3-0,0))&amp;" Name")</f>
        <v/>
      </c>
      <c r="AG2" s="55" t="str" cm="1">
        <f>IF(INDEX(List_ChargeNumbers_Water, 1, ROUNDUP((COLUMN()+0)/3-0,0)) = 0,"",INDEX(List_ChargeNumbers_Water, 2, ROUNDUP((COLUMN()+0)/3-0,0))&amp;" Reading")</f>
        <v/>
      </c>
      <c r="AH2" s="56" t="str" cm="1">
        <f>IF(INDEX(List_ChargeNumbers_Water, 1, ROUNDUP((COLUMN()+0)/3-1,0)) = 0,"",INDEX(List_ChargeNumbers_Water, 2, ROUNDUP((COLUMN()+0)/3-1,0))&amp;" Cost")</f>
        <v/>
      </c>
    </row>
    <row r="3" spans="1:34" x14ac:dyDescent="0.3">
      <c r="A3" s="126"/>
      <c r="B3" s="133"/>
      <c r="C3" s="127"/>
      <c r="D3" s="137"/>
      <c r="E3" s="58" t="str" cm="1">
        <f>IF(ISBLANK($A3),"",INDEX(Array_WaterCharges,MATCH($A3,List_WaterMeters,0),ROUNDUP((COLUMN()+0)/3-1,0)))</f>
        <v/>
      </c>
      <c r="F3" s="127"/>
      <c r="G3" s="137"/>
      <c r="H3" s="58" t="str" cm="1">
        <f>IF(ISBLANK($A3),"",INDEX(Array_WaterCharges,MATCH($A3,List_WaterMeters,0),ROUNDUP((COLUMN()+0)/3-1,0)))</f>
        <v/>
      </c>
      <c r="I3" s="127"/>
      <c r="J3" s="137"/>
      <c r="K3" s="58" t="str" cm="1">
        <f>IF(ISBLANK($A3),"",INDEX(Array_WaterCharges,MATCH($A3,List_WaterMeters,0),ROUNDUP((COLUMN()+0)/3-1,0)))</f>
        <v/>
      </c>
      <c r="L3" s="127"/>
      <c r="M3" s="137"/>
      <c r="N3" s="58" t="str" cm="1">
        <f>IF(ISBLANK($A3),"",INDEX(Array_WaterCharges,MATCH($A3,List_WaterMeters,0),ROUNDUP((COLUMN()+0)/3-1,0)))</f>
        <v/>
      </c>
      <c r="O3" s="127"/>
      <c r="P3" s="137"/>
      <c r="Q3" s="58" t="str" cm="1">
        <f>IF(ISBLANK($A3),"",INDEX(Array_WaterCharges,MATCH($A3,List_WaterMeters,0),ROUNDUP((COLUMN()+0)/3-1,0)))</f>
        <v/>
      </c>
      <c r="R3" s="127"/>
      <c r="S3" s="137"/>
      <c r="T3" s="58" t="str" cm="1">
        <f>IF(ISBLANK($A3),"",INDEX(Array_WaterCharges,MATCH($A3,List_WaterMeters,0),ROUNDUP((COLUMN()+0)/3-1,0)))</f>
        <v/>
      </c>
      <c r="U3" s="127"/>
      <c r="V3" s="137"/>
      <c r="W3" s="58" t="str" cm="1">
        <f>IF(ISBLANK($A3),"",INDEX(Array_WaterCharges,MATCH($A3,List_WaterMeters,0),ROUNDUP((COLUMN()+0)/3-1,0)))</f>
        <v/>
      </c>
      <c r="X3" s="127"/>
      <c r="Y3" s="137"/>
      <c r="Z3" s="58" t="str" cm="1">
        <f>IF(ISBLANK($A3),"",INDEX(Array_WaterCharges,MATCH($A3,List_WaterMeters,0),ROUNDUP((COLUMN()+0)/3-1,0)))</f>
        <v/>
      </c>
      <c r="AA3" s="127"/>
      <c r="AB3" s="137"/>
      <c r="AC3" s="58" t="str" cm="1">
        <f>IF(ISBLANK($A3),"",INDEX(Array_WaterCharges,MATCH($A3,List_WaterMeters,0),ROUNDUP((COLUMN()+0)/3-1,0)))</f>
        <v/>
      </c>
      <c r="AD3" s="127"/>
      <c r="AE3" s="137"/>
      <c r="AF3" s="58" t="str" cm="1">
        <f>IF(ISBLANK($A3),"",INDEX(Array_WaterCharges,MATCH($A3,List_WaterMeters,0),ROUNDUP((COLUMN()+0)/3-1,0)))</f>
        <v/>
      </c>
      <c r="AG3" s="127"/>
      <c r="AH3" s="137"/>
    </row>
    <row r="4" spans="1:34" x14ac:dyDescent="0.3">
      <c r="A4" s="126"/>
      <c r="B4" s="133"/>
      <c r="C4" s="127"/>
      <c r="D4" s="137"/>
      <c r="E4" s="58" t="str" cm="1">
        <f>IF(ISBLANK($A4),"",INDEX(Array_WaterCharges,MATCH($A4,List_WaterMeters,0),ROUNDUP((COLUMN()+0)/3-1,0)))</f>
        <v/>
      </c>
      <c r="F4" s="127"/>
      <c r="G4" s="137"/>
      <c r="H4" s="58" t="str" cm="1">
        <f>IF(ISBLANK($A4),"",INDEX(Array_WaterCharges,MATCH($A4,List_WaterMeters,0),ROUNDUP((COLUMN()+0)/3-1,0)))</f>
        <v/>
      </c>
      <c r="I4" s="127"/>
      <c r="J4" s="137"/>
      <c r="K4" s="58" t="str" cm="1">
        <f>IF(ISBLANK($A4),"",INDEX(Array_WaterCharges,MATCH($A4,List_WaterMeters,0),ROUNDUP((COLUMN()+0)/3-1,0)))</f>
        <v/>
      </c>
      <c r="L4" s="127"/>
      <c r="M4" s="137"/>
      <c r="N4" s="58" t="str" cm="1">
        <f>IF(ISBLANK($A4),"",INDEX(Array_WaterCharges,MATCH($A4,List_WaterMeters,0),ROUNDUP((COLUMN()+0)/3-1,0)))</f>
        <v/>
      </c>
      <c r="O4" s="127"/>
      <c r="P4" s="137"/>
      <c r="Q4" s="58" t="str" cm="1">
        <f>IF(ISBLANK($A4),"",INDEX(Array_WaterCharges,MATCH($A4,List_WaterMeters,0),ROUNDUP((COLUMN()+0)/3-1,0)))</f>
        <v/>
      </c>
      <c r="R4" s="127"/>
      <c r="S4" s="137"/>
      <c r="T4" s="58" t="str" cm="1">
        <f>IF(ISBLANK($A4),"",INDEX(Array_WaterCharges,MATCH($A4,List_WaterMeters,0),ROUNDUP((COLUMN()+0)/3-1,0)))</f>
        <v/>
      </c>
      <c r="U4" s="127"/>
      <c r="V4" s="137"/>
      <c r="W4" s="58" t="str" cm="1">
        <f>IF(ISBLANK($A4),"",INDEX(Array_WaterCharges,MATCH($A4,List_WaterMeters,0),ROUNDUP((COLUMN()+0)/3-1,0)))</f>
        <v/>
      </c>
      <c r="X4" s="127"/>
      <c r="Y4" s="137"/>
      <c r="Z4" s="58" t="str" cm="1">
        <f>IF(ISBLANK($A4),"",INDEX(Array_WaterCharges,MATCH($A4,List_WaterMeters,0),ROUNDUP((COLUMN()+0)/3-1,0)))</f>
        <v/>
      </c>
      <c r="AA4" s="127"/>
      <c r="AB4" s="137"/>
      <c r="AC4" s="58" t="str" cm="1">
        <f>IF(ISBLANK($A4),"",INDEX(Array_WaterCharges,MATCH($A4,List_WaterMeters,0),ROUNDUP((COLUMN()+0)/3-1,0)))</f>
        <v/>
      </c>
      <c r="AD4" s="127"/>
      <c r="AE4" s="137"/>
      <c r="AF4" s="58" t="str" cm="1">
        <f>IF(ISBLANK($A4),"",INDEX(Array_WaterCharges,MATCH($A4,List_WaterMeters,0),ROUNDUP((COLUMN()+0)/3-1,0)))</f>
        <v/>
      </c>
      <c r="AG4" s="127"/>
      <c r="AH4" s="137"/>
    </row>
    <row r="5" spans="1:34" x14ac:dyDescent="0.3">
      <c r="A5" s="126"/>
      <c r="B5" s="133"/>
      <c r="C5" s="127"/>
      <c r="D5" s="137"/>
      <c r="E5" s="58" t="str" cm="1">
        <f>IF(ISBLANK($A5),"",INDEX(Array_WaterCharges,MATCH($A5,List_WaterMeters,0),ROUNDUP((COLUMN()+0)/3-1,0)))</f>
        <v/>
      </c>
      <c r="F5" s="127"/>
      <c r="G5" s="137"/>
      <c r="H5" s="58" t="str" cm="1">
        <f>IF(ISBLANK($A5),"",INDEX(Array_WaterCharges,MATCH($A5,List_WaterMeters,0),ROUNDUP((COLUMN()+0)/3-1,0)))</f>
        <v/>
      </c>
      <c r="I5" s="127"/>
      <c r="J5" s="137"/>
      <c r="K5" s="58" t="str" cm="1">
        <f>IF(ISBLANK($A5),"",INDEX(Array_WaterCharges,MATCH($A5,List_WaterMeters,0),ROUNDUP((COLUMN()+0)/3-1,0)))</f>
        <v/>
      </c>
      <c r="L5" s="127"/>
      <c r="M5" s="137"/>
      <c r="N5" s="58" t="str" cm="1">
        <f>IF(ISBLANK($A5),"",INDEX(Array_WaterCharges,MATCH($A5,List_WaterMeters,0),ROUNDUP((COLUMN()+0)/3-1,0)))</f>
        <v/>
      </c>
      <c r="O5" s="127"/>
      <c r="P5" s="137"/>
      <c r="Q5" s="58" t="str" cm="1">
        <f>IF(ISBLANK($A5),"",INDEX(Array_WaterCharges,MATCH($A5,List_WaterMeters,0),ROUNDUP((COLUMN()+0)/3-1,0)))</f>
        <v/>
      </c>
      <c r="R5" s="127"/>
      <c r="S5" s="137"/>
      <c r="T5" s="58" t="str" cm="1">
        <f>IF(ISBLANK($A5),"",INDEX(Array_WaterCharges,MATCH($A5,List_WaterMeters,0),ROUNDUP((COLUMN()+0)/3-1,0)))</f>
        <v/>
      </c>
      <c r="U5" s="127"/>
      <c r="V5" s="137"/>
      <c r="W5" s="58" t="str" cm="1">
        <f>IF(ISBLANK($A5),"",INDEX(Array_WaterCharges,MATCH($A5,List_WaterMeters,0),ROUNDUP((COLUMN()+0)/3-1,0)))</f>
        <v/>
      </c>
      <c r="X5" s="127"/>
      <c r="Y5" s="137"/>
      <c r="Z5" s="58" t="str" cm="1">
        <f>IF(ISBLANK($A5),"",INDEX(Array_WaterCharges,MATCH($A5,List_WaterMeters,0),ROUNDUP((COLUMN()+0)/3-1,0)))</f>
        <v/>
      </c>
      <c r="AA5" s="127"/>
      <c r="AB5" s="137"/>
      <c r="AC5" s="58" t="str" cm="1">
        <f>IF(ISBLANK($A5),"",INDEX(Array_WaterCharges,MATCH($A5,List_WaterMeters,0),ROUNDUP((COLUMN()+0)/3-1,0)))</f>
        <v/>
      </c>
      <c r="AD5" s="127"/>
      <c r="AE5" s="137"/>
      <c r="AF5" s="58" t="str" cm="1">
        <f>IF(ISBLANK($A5),"",INDEX(Array_WaterCharges,MATCH($A5,List_WaterMeters,0),ROUNDUP((COLUMN()+0)/3-1,0)))</f>
        <v/>
      </c>
      <c r="AG5" s="127"/>
      <c r="AH5" s="137"/>
    </row>
    <row r="6" spans="1:34" x14ac:dyDescent="0.3">
      <c r="A6" s="126"/>
      <c r="B6" s="133"/>
      <c r="C6" s="127"/>
      <c r="D6" s="137"/>
      <c r="E6" s="58" t="str" cm="1">
        <f>IF(ISBLANK($A6),"",INDEX(Array_WaterCharges,MATCH($A6,List_WaterMeters,0),ROUNDUP((COLUMN()+0)/3-1,0)))</f>
        <v/>
      </c>
      <c r="F6" s="127"/>
      <c r="G6" s="137"/>
      <c r="H6" s="58" t="str" cm="1">
        <f>IF(ISBLANK($A6),"",INDEX(Array_WaterCharges,MATCH($A6,List_WaterMeters,0),ROUNDUP((COLUMN()+0)/3-1,0)))</f>
        <v/>
      </c>
      <c r="I6" s="127"/>
      <c r="J6" s="137"/>
      <c r="K6" s="58" t="str" cm="1">
        <f>IF(ISBLANK($A6),"",INDEX(Array_WaterCharges,MATCH($A6,List_WaterMeters,0),ROUNDUP((COLUMN()+0)/3-1,0)))</f>
        <v/>
      </c>
      <c r="L6" s="127"/>
      <c r="M6" s="137"/>
      <c r="N6" s="58" t="str" cm="1">
        <f>IF(ISBLANK($A6),"",INDEX(Array_WaterCharges,MATCH($A6,List_WaterMeters,0),ROUNDUP((COLUMN()+0)/3-1,0)))</f>
        <v/>
      </c>
      <c r="O6" s="127"/>
      <c r="P6" s="137"/>
      <c r="Q6" s="58" t="str" cm="1">
        <f>IF(ISBLANK($A6),"",INDEX(Array_WaterCharges,MATCH($A6,List_WaterMeters,0),ROUNDUP((COLUMN()+0)/3-1,0)))</f>
        <v/>
      </c>
      <c r="R6" s="127"/>
      <c r="S6" s="137"/>
      <c r="T6" s="58" t="str" cm="1">
        <f>IF(ISBLANK($A6),"",INDEX(Array_WaterCharges,MATCH($A6,List_WaterMeters,0),ROUNDUP((COLUMN()+0)/3-1,0)))</f>
        <v/>
      </c>
      <c r="U6" s="127"/>
      <c r="V6" s="137"/>
      <c r="W6" s="58" t="str" cm="1">
        <f>IF(ISBLANK($A6),"",INDEX(Array_WaterCharges,MATCH($A6,List_WaterMeters,0),ROUNDUP((COLUMN()+0)/3-1,0)))</f>
        <v/>
      </c>
      <c r="X6" s="127"/>
      <c r="Y6" s="137"/>
      <c r="Z6" s="58" t="str" cm="1">
        <f>IF(ISBLANK($A6),"",INDEX(Array_WaterCharges,MATCH($A6,List_WaterMeters,0),ROUNDUP((COLUMN()+0)/3-1,0)))</f>
        <v/>
      </c>
      <c r="AA6" s="127"/>
      <c r="AB6" s="137"/>
      <c r="AC6" s="58" t="str" cm="1">
        <f>IF(ISBLANK($A6),"",INDEX(Array_WaterCharges,MATCH($A6,List_WaterMeters,0),ROUNDUP((COLUMN()+0)/3-1,0)))</f>
        <v/>
      </c>
      <c r="AD6" s="127"/>
      <c r="AE6" s="137"/>
      <c r="AF6" s="58" t="str" cm="1">
        <f>IF(ISBLANK($A6),"",INDEX(Array_WaterCharges,MATCH($A6,List_WaterMeters,0),ROUNDUP((COLUMN()+0)/3-1,0)))</f>
        <v/>
      </c>
      <c r="AG6" s="127"/>
      <c r="AH6" s="137"/>
    </row>
    <row r="7" spans="1:34" x14ac:dyDescent="0.3">
      <c r="A7" s="126"/>
      <c r="B7" s="133"/>
      <c r="C7" s="127"/>
      <c r="D7" s="137"/>
      <c r="E7" s="58" t="str" cm="1">
        <f>IF(ISBLANK($A7),"",INDEX(Array_WaterCharges,MATCH($A7,List_WaterMeters,0),ROUNDUP((COLUMN()+0)/3-1,0)))</f>
        <v/>
      </c>
      <c r="F7" s="127"/>
      <c r="G7" s="137"/>
      <c r="H7" s="58" t="str" cm="1">
        <f>IF(ISBLANK($A7),"",INDEX(Array_WaterCharges,MATCH($A7,List_WaterMeters,0),ROUNDUP((COLUMN()+0)/3-1,0)))</f>
        <v/>
      </c>
      <c r="I7" s="127"/>
      <c r="J7" s="137"/>
      <c r="K7" s="58" t="str" cm="1">
        <f>IF(ISBLANK($A7),"",INDEX(Array_WaterCharges,MATCH($A7,List_WaterMeters,0),ROUNDUP((COLUMN()+0)/3-1,0)))</f>
        <v/>
      </c>
      <c r="L7" s="127"/>
      <c r="M7" s="137"/>
      <c r="N7" s="58" t="str" cm="1">
        <f>IF(ISBLANK($A7),"",INDEX(Array_WaterCharges,MATCH($A7,List_WaterMeters,0),ROUNDUP((COLUMN()+0)/3-1,0)))</f>
        <v/>
      </c>
      <c r="O7" s="127"/>
      <c r="P7" s="137"/>
      <c r="Q7" s="58" t="str" cm="1">
        <f>IF(ISBLANK($A7),"",INDEX(Array_WaterCharges,MATCH($A7,List_WaterMeters,0),ROUNDUP((COLUMN()+0)/3-1,0)))</f>
        <v/>
      </c>
      <c r="R7" s="127"/>
      <c r="S7" s="137"/>
      <c r="T7" s="58" t="str" cm="1">
        <f>IF(ISBLANK($A7),"",INDEX(Array_WaterCharges,MATCH($A7,List_WaterMeters,0),ROUNDUP((COLUMN()+0)/3-1,0)))</f>
        <v/>
      </c>
      <c r="U7" s="127"/>
      <c r="V7" s="137"/>
      <c r="W7" s="58" t="str" cm="1">
        <f>IF(ISBLANK($A7),"",INDEX(Array_WaterCharges,MATCH($A7,List_WaterMeters,0),ROUNDUP((COLUMN()+0)/3-1,0)))</f>
        <v/>
      </c>
      <c r="X7" s="127"/>
      <c r="Y7" s="137"/>
      <c r="Z7" s="58" t="str" cm="1">
        <f>IF(ISBLANK($A7),"",INDEX(Array_WaterCharges,MATCH($A7,List_WaterMeters,0),ROUNDUP((COLUMN()+0)/3-1,0)))</f>
        <v/>
      </c>
      <c r="AA7" s="127"/>
      <c r="AB7" s="137"/>
      <c r="AC7" s="58" t="str" cm="1">
        <f>IF(ISBLANK($A7),"",INDEX(Array_WaterCharges,MATCH($A7,List_WaterMeters,0),ROUNDUP((COLUMN()+0)/3-1,0)))</f>
        <v/>
      </c>
      <c r="AD7" s="127"/>
      <c r="AE7" s="137"/>
      <c r="AF7" s="58" t="str" cm="1">
        <f>IF(ISBLANK($A7),"",INDEX(Array_WaterCharges,MATCH($A7,List_WaterMeters,0),ROUNDUP((COLUMN()+0)/3-1,0)))</f>
        <v/>
      </c>
      <c r="AG7" s="127"/>
      <c r="AH7" s="137"/>
    </row>
    <row r="8" spans="1:34" x14ac:dyDescent="0.3">
      <c r="A8" s="126"/>
      <c r="B8" s="133"/>
      <c r="C8" s="127"/>
      <c r="D8" s="137"/>
      <c r="E8" s="58" t="str" cm="1">
        <f>IF(ISBLANK($A8),"",INDEX(Array_WaterCharges,MATCH($A8,List_WaterMeters,0),ROUNDUP((COLUMN()+0)/3-1,0)))</f>
        <v/>
      </c>
      <c r="F8" s="127"/>
      <c r="G8" s="137"/>
      <c r="H8" s="58" t="str" cm="1">
        <f>IF(ISBLANK($A8),"",INDEX(Array_WaterCharges,MATCH($A8,List_WaterMeters,0),ROUNDUP((COLUMN()+0)/3-1,0)))</f>
        <v/>
      </c>
      <c r="I8" s="127"/>
      <c r="J8" s="137"/>
      <c r="K8" s="58" t="str" cm="1">
        <f>IF(ISBLANK($A8),"",INDEX(Array_WaterCharges,MATCH($A8,List_WaterMeters,0),ROUNDUP((COLUMN()+0)/3-1,0)))</f>
        <v/>
      </c>
      <c r="L8" s="127"/>
      <c r="M8" s="137"/>
      <c r="N8" s="58" t="str" cm="1">
        <f>IF(ISBLANK($A8),"",INDEX(Array_WaterCharges,MATCH($A8,List_WaterMeters,0),ROUNDUP((COLUMN()+0)/3-1,0)))</f>
        <v/>
      </c>
      <c r="O8" s="127"/>
      <c r="P8" s="137"/>
      <c r="Q8" s="58" t="str" cm="1">
        <f>IF(ISBLANK($A8),"",INDEX(Array_WaterCharges,MATCH($A8,List_WaterMeters,0),ROUNDUP((COLUMN()+0)/3-1,0)))</f>
        <v/>
      </c>
      <c r="R8" s="127"/>
      <c r="S8" s="137"/>
      <c r="T8" s="58" t="str" cm="1">
        <f>IF(ISBLANK($A8),"",INDEX(Array_WaterCharges,MATCH($A8,List_WaterMeters,0),ROUNDUP((COLUMN()+0)/3-1,0)))</f>
        <v/>
      </c>
      <c r="U8" s="127"/>
      <c r="V8" s="137"/>
      <c r="W8" s="58" t="str" cm="1">
        <f>IF(ISBLANK($A8),"",INDEX(Array_WaterCharges,MATCH($A8,List_WaterMeters,0),ROUNDUP((COLUMN()+0)/3-1,0)))</f>
        <v/>
      </c>
      <c r="X8" s="127"/>
      <c r="Y8" s="137"/>
      <c r="Z8" s="58" t="str" cm="1">
        <f>IF(ISBLANK($A8),"",INDEX(Array_WaterCharges,MATCH($A8,List_WaterMeters,0),ROUNDUP((COLUMN()+0)/3-1,0)))</f>
        <v/>
      </c>
      <c r="AA8" s="127"/>
      <c r="AB8" s="137"/>
      <c r="AC8" s="58" t="str" cm="1">
        <f>IF(ISBLANK($A8),"",INDEX(Array_WaterCharges,MATCH($A8,List_WaterMeters,0),ROUNDUP((COLUMN()+0)/3-1,0)))</f>
        <v/>
      </c>
      <c r="AD8" s="127"/>
      <c r="AE8" s="137"/>
      <c r="AF8" s="58" t="str" cm="1">
        <f>IF(ISBLANK($A8),"",INDEX(Array_WaterCharges,MATCH($A8,List_WaterMeters,0),ROUNDUP((COLUMN()+0)/3-1,0)))</f>
        <v/>
      </c>
      <c r="AG8" s="127"/>
      <c r="AH8" s="137"/>
    </row>
    <row r="9" spans="1:34" x14ac:dyDescent="0.3">
      <c r="A9" s="126"/>
      <c r="B9" s="133"/>
      <c r="C9" s="127"/>
      <c r="D9" s="137"/>
      <c r="E9" s="58" t="str" cm="1">
        <f>IF(ISBLANK($A9),"",INDEX(Array_WaterCharges,MATCH($A9,List_WaterMeters,0),ROUNDUP((COLUMN()+0)/3-1,0)))</f>
        <v/>
      </c>
      <c r="F9" s="127"/>
      <c r="G9" s="137"/>
      <c r="H9" s="58" t="str" cm="1">
        <f>IF(ISBLANK($A9),"",INDEX(Array_WaterCharges,MATCH($A9,List_WaterMeters,0),ROUNDUP((COLUMN()+0)/3-1,0)))</f>
        <v/>
      </c>
      <c r="I9" s="127"/>
      <c r="J9" s="137"/>
      <c r="K9" s="58" t="str" cm="1">
        <f>IF(ISBLANK($A9),"",INDEX(Array_WaterCharges,MATCH($A9,List_WaterMeters,0),ROUNDUP((COLUMN()+0)/3-1,0)))</f>
        <v/>
      </c>
      <c r="L9" s="127"/>
      <c r="M9" s="137"/>
      <c r="N9" s="58" t="str" cm="1">
        <f>IF(ISBLANK($A9),"",INDEX(Array_WaterCharges,MATCH($A9,List_WaterMeters,0),ROUNDUP((COLUMN()+0)/3-1,0)))</f>
        <v/>
      </c>
      <c r="O9" s="127"/>
      <c r="P9" s="137"/>
      <c r="Q9" s="58" t="str" cm="1">
        <f>IF(ISBLANK($A9),"",INDEX(Array_WaterCharges,MATCH($A9,List_WaterMeters,0),ROUNDUP((COLUMN()+0)/3-1,0)))</f>
        <v/>
      </c>
      <c r="R9" s="127"/>
      <c r="S9" s="137"/>
      <c r="T9" s="58" t="str" cm="1">
        <f>IF(ISBLANK($A9),"",INDEX(Array_WaterCharges,MATCH($A9,List_WaterMeters,0),ROUNDUP((COLUMN()+0)/3-1,0)))</f>
        <v/>
      </c>
      <c r="U9" s="127"/>
      <c r="V9" s="137"/>
      <c r="W9" s="58" t="str" cm="1">
        <f>IF(ISBLANK($A9),"",INDEX(Array_WaterCharges,MATCH($A9,List_WaterMeters,0),ROUNDUP((COLUMN()+0)/3-1,0)))</f>
        <v/>
      </c>
      <c r="X9" s="127"/>
      <c r="Y9" s="137"/>
      <c r="Z9" s="58" t="str" cm="1">
        <f>IF(ISBLANK($A9),"",INDEX(Array_WaterCharges,MATCH($A9,List_WaterMeters,0),ROUNDUP((COLUMN()+0)/3-1,0)))</f>
        <v/>
      </c>
      <c r="AA9" s="127"/>
      <c r="AB9" s="137"/>
      <c r="AC9" s="58" t="str" cm="1">
        <f>IF(ISBLANK($A9),"",INDEX(Array_WaterCharges,MATCH($A9,List_WaterMeters,0),ROUNDUP((COLUMN()+0)/3-1,0)))</f>
        <v/>
      </c>
      <c r="AD9" s="127"/>
      <c r="AE9" s="137"/>
      <c r="AF9" s="58" t="str" cm="1">
        <f>IF(ISBLANK($A9),"",INDEX(Array_WaterCharges,MATCH($A9,List_WaterMeters,0),ROUNDUP((COLUMN()+0)/3-1,0)))</f>
        <v/>
      </c>
      <c r="AG9" s="127"/>
      <c r="AH9" s="137"/>
    </row>
    <row r="10" spans="1:34" x14ac:dyDescent="0.3">
      <c r="A10" s="126"/>
      <c r="B10" s="133"/>
      <c r="C10" s="127"/>
      <c r="D10" s="137"/>
      <c r="E10" s="58" t="str" cm="1">
        <f>IF(ISBLANK($A10),"",INDEX(Array_WaterCharges,MATCH($A10,List_WaterMeters,0),ROUNDUP((COLUMN()+0)/3-1,0)))</f>
        <v/>
      </c>
      <c r="F10" s="127"/>
      <c r="G10" s="137"/>
      <c r="H10" s="58" t="str" cm="1">
        <f>IF(ISBLANK($A10),"",INDEX(Array_WaterCharges,MATCH($A10,List_WaterMeters,0),ROUNDUP((COLUMN()+0)/3-1,0)))</f>
        <v/>
      </c>
      <c r="I10" s="127"/>
      <c r="J10" s="137"/>
      <c r="K10" s="58" t="str" cm="1">
        <f>IF(ISBLANK($A10),"",INDEX(Array_WaterCharges,MATCH($A10,List_WaterMeters,0),ROUNDUP((COLUMN()+0)/3-1,0)))</f>
        <v/>
      </c>
      <c r="L10" s="127"/>
      <c r="M10" s="137"/>
      <c r="N10" s="58" t="str" cm="1">
        <f>IF(ISBLANK($A10),"",INDEX(Array_WaterCharges,MATCH($A10,List_WaterMeters,0),ROUNDUP((COLUMN()+0)/3-1,0)))</f>
        <v/>
      </c>
      <c r="O10" s="127"/>
      <c r="P10" s="137"/>
      <c r="Q10" s="58" t="str" cm="1">
        <f>IF(ISBLANK($A10),"",INDEX(Array_WaterCharges,MATCH($A10,List_WaterMeters,0),ROUNDUP((COLUMN()+0)/3-1,0)))</f>
        <v/>
      </c>
      <c r="R10" s="127"/>
      <c r="S10" s="137"/>
      <c r="T10" s="58" t="str" cm="1">
        <f>IF(ISBLANK($A10),"",INDEX(Array_WaterCharges,MATCH($A10,List_WaterMeters,0),ROUNDUP((COLUMN()+0)/3-1,0)))</f>
        <v/>
      </c>
      <c r="U10" s="127"/>
      <c r="V10" s="137"/>
      <c r="W10" s="58" t="str" cm="1">
        <f>IF(ISBLANK($A10),"",INDEX(Array_WaterCharges,MATCH($A10,List_WaterMeters,0),ROUNDUP((COLUMN()+0)/3-1,0)))</f>
        <v/>
      </c>
      <c r="X10" s="127"/>
      <c r="Y10" s="137"/>
      <c r="Z10" s="58" t="str" cm="1">
        <f>IF(ISBLANK($A10),"",INDEX(Array_WaterCharges,MATCH($A10,List_WaterMeters,0),ROUNDUP((COLUMN()+0)/3-1,0)))</f>
        <v/>
      </c>
      <c r="AA10" s="127"/>
      <c r="AB10" s="137"/>
      <c r="AC10" s="58" t="str" cm="1">
        <f>IF(ISBLANK($A10),"",INDEX(Array_WaterCharges,MATCH($A10,List_WaterMeters,0),ROUNDUP((COLUMN()+0)/3-1,0)))</f>
        <v/>
      </c>
      <c r="AD10" s="127"/>
      <c r="AE10" s="137"/>
      <c r="AF10" s="58" t="str" cm="1">
        <f>IF(ISBLANK($A10),"",INDEX(Array_WaterCharges,MATCH($A10,List_WaterMeters,0),ROUNDUP((COLUMN()+0)/3-1,0)))</f>
        <v/>
      </c>
      <c r="AG10" s="127"/>
      <c r="AH10" s="137"/>
    </row>
    <row r="11" spans="1:34" x14ac:dyDescent="0.3">
      <c r="A11" s="126"/>
      <c r="B11" s="133"/>
      <c r="C11" s="127"/>
      <c r="D11" s="137"/>
      <c r="E11" s="58" t="str" cm="1">
        <f>IF(ISBLANK($A11),"",INDEX(Array_WaterCharges,MATCH($A11,List_WaterMeters,0),ROUNDUP((COLUMN()+0)/3-1,0)))</f>
        <v/>
      </c>
      <c r="F11" s="127"/>
      <c r="G11" s="137"/>
      <c r="H11" s="58" t="str" cm="1">
        <f>IF(ISBLANK($A11),"",INDEX(Array_WaterCharges,MATCH($A11,List_WaterMeters,0),ROUNDUP((COLUMN()+0)/3-1,0)))</f>
        <v/>
      </c>
      <c r="I11" s="127"/>
      <c r="J11" s="137"/>
      <c r="K11" s="58" t="str" cm="1">
        <f>IF(ISBLANK($A11),"",INDEX(Array_WaterCharges,MATCH($A11,List_WaterMeters,0),ROUNDUP((COLUMN()+0)/3-1,0)))</f>
        <v/>
      </c>
      <c r="L11" s="127"/>
      <c r="M11" s="137"/>
      <c r="N11" s="58" t="str" cm="1">
        <f>IF(ISBLANK($A11),"",INDEX(Array_WaterCharges,MATCH($A11,List_WaterMeters,0),ROUNDUP((COLUMN()+0)/3-1,0)))</f>
        <v/>
      </c>
      <c r="O11" s="127"/>
      <c r="P11" s="137"/>
      <c r="Q11" s="58" t="str" cm="1">
        <f>IF(ISBLANK($A11),"",INDEX(Array_WaterCharges,MATCH($A11,List_WaterMeters,0),ROUNDUP((COLUMN()+0)/3-1,0)))</f>
        <v/>
      </c>
      <c r="R11" s="127"/>
      <c r="S11" s="137"/>
      <c r="T11" s="58" t="str" cm="1">
        <f>IF(ISBLANK($A11),"",INDEX(Array_WaterCharges,MATCH($A11,List_WaterMeters,0),ROUNDUP((COLUMN()+0)/3-1,0)))</f>
        <v/>
      </c>
      <c r="U11" s="127"/>
      <c r="V11" s="137"/>
      <c r="W11" s="58" t="str" cm="1">
        <f>IF(ISBLANK($A11),"",INDEX(Array_WaterCharges,MATCH($A11,List_WaterMeters,0),ROUNDUP((COLUMN()+0)/3-1,0)))</f>
        <v/>
      </c>
      <c r="X11" s="127"/>
      <c r="Y11" s="137"/>
      <c r="Z11" s="58" t="str" cm="1">
        <f>IF(ISBLANK($A11),"",INDEX(Array_WaterCharges,MATCH($A11,List_WaterMeters,0),ROUNDUP((COLUMN()+0)/3-1,0)))</f>
        <v/>
      </c>
      <c r="AA11" s="127"/>
      <c r="AB11" s="137"/>
      <c r="AC11" s="58" t="str" cm="1">
        <f>IF(ISBLANK($A11),"",INDEX(Array_WaterCharges,MATCH($A11,List_WaterMeters,0),ROUNDUP((COLUMN()+0)/3-1,0)))</f>
        <v/>
      </c>
      <c r="AD11" s="127"/>
      <c r="AE11" s="137"/>
      <c r="AF11" s="58" t="str" cm="1">
        <f>IF(ISBLANK($A11),"",INDEX(Array_WaterCharges,MATCH($A11,List_WaterMeters,0),ROUNDUP((COLUMN()+0)/3-1,0)))</f>
        <v/>
      </c>
      <c r="AG11" s="127"/>
      <c r="AH11" s="137"/>
    </row>
    <row r="12" spans="1:34" x14ac:dyDescent="0.3">
      <c r="A12" s="126"/>
      <c r="B12" s="133"/>
      <c r="C12" s="127"/>
      <c r="D12" s="137"/>
      <c r="E12" s="58" t="str" cm="1">
        <f>IF(ISBLANK($A12),"",INDEX(Array_WaterCharges,MATCH($A12,List_WaterMeters,0),ROUNDUP((COLUMN()+0)/3-1,0)))</f>
        <v/>
      </c>
      <c r="F12" s="127"/>
      <c r="G12" s="137"/>
      <c r="H12" s="58" t="str" cm="1">
        <f>IF(ISBLANK($A12),"",INDEX(Array_WaterCharges,MATCH($A12,List_WaterMeters,0),ROUNDUP((COLUMN()+0)/3-1,0)))</f>
        <v/>
      </c>
      <c r="I12" s="127"/>
      <c r="J12" s="137"/>
      <c r="K12" s="58" t="str" cm="1">
        <f>IF(ISBLANK($A12),"",INDEX(Array_WaterCharges,MATCH($A12,List_WaterMeters,0),ROUNDUP((COLUMN()+0)/3-1,0)))</f>
        <v/>
      </c>
      <c r="L12" s="127"/>
      <c r="M12" s="137"/>
      <c r="N12" s="58" t="str" cm="1">
        <f>IF(ISBLANK($A12),"",INDEX(Array_WaterCharges,MATCH($A12,List_WaterMeters,0),ROUNDUP((COLUMN()+0)/3-1,0)))</f>
        <v/>
      </c>
      <c r="O12" s="127"/>
      <c r="P12" s="137"/>
      <c r="Q12" s="58" t="str" cm="1">
        <f>IF(ISBLANK($A12),"",INDEX(Array_WaterCharges,MATCH($A12,List_WaterMeters,0),ROUNDUP((COLUMN()+0)/3-1,0)))</f>
        <v/>
      </c>
      <c r="R12" s="127"/>
      <c r="S12" s="137"/>
      <c r="T12" s="58" t="str" cm="1">
        <f>IF(ISBLANK($A12),"",INDEX(Array_WaterCharges,MATCH($A12,List_WaterMeters,0),ROUNDUP((COLUMN()+0)/3-1,0)))</f>
        <v/>
      </c>
      <c r="U12" s="127"/>
      <c r="V12" s="137"/>
      <c r="W12" s="58" t="str" cm="1">
        <f>IF(ISBLANK($A12),"",INDEX(Array_WaterCharges,MATCH($A12,List_WaterMeters,0),ROUNDUP((COLUMN()+0)/3-1,0)))</f>
        <v/>
      </c>
      <c r="X12" s="127"/>
      <c r="Y12" s="137"/>
      <c r="Z12" s="58" t="str" cm="1">
        <f>IF(ISBLANK($A12),"",INDEX(Array_WaterCharges,MATCH($A12,List_WaterMeters,0),ROUNDUP((COLUMN()+0)/3-1,0)))</f>
        <v/>
      </c>
      <c r="AA12" s="127"/>
      <c r="AB12" s="137"/>
      <c r="AC12" s="58" t="str" cm="1">
        <f>IF(ISBLANK($A12),"",INDEX(Array_WaterCharges,MATCH($A12,List_WaterMeters,0),ROUNDUP((COLUMN()+0)/3-1,0)))</f>
        <v/>
      </c>
      <c r="AD12" s="127"/>
      <c r="AE12" s="137"/>
      <c r="AF12" s="58" t="str" cm="1">
        <f>IF(ISBLANK($A12),"",INDEX(Array_WaterCharges,MATCH($A12,List_WaterMeters,0),ROUNDUP((COLUMN()+0)/3-1,0)))</f>
        <v/>
      </c>
      <c r="AG12" s="127"/>
      <c r="AH12" s="137"/>
    </row>
    <row r="13" spans="1:34" x14ac:dyDescent="0.3">
      <c r="A13" s="126"/>
      <c r="B13" s="133"/>
      <c r="C13" s="127"/>
      <c r="D13" s="137"/>
      <c r="E13" s="58" t="str" cm="1">
        <f>IF(ISBLANK($A13),"",INDEX(Array_WaterCharges,MATCH($A13,List_WaterMeters,0),ROUNDUP((COLUMN()+0)/3-1,0)))</f>
        <v/>
      </c>
      <c r="F13" s="127"/>
      <c r="G13" s="137"/>
      <c r="H13" s="58" t="str" cm="1">
        <f>IF(ISBLANK($A13),"",INDEX(Array_WaterCharges,MATCH($A13,List_WaterMeters,0),ROUNDUP((COLUMN()+0)/3-1,0)))</f>
        <v/>
      </c>
      <c r="I13" s="127"/>
      <c r="J13" s="137"/>
      <c r="K13" s="58" t="str" cm="1">
        <f>IF(ISBLANK($A13),"",INDEX(Array_WaterCharges,MATCH($A13,List_WaterMeters,0),ROUNDUP((COLUMN()+0)/3-1,0)))</f>
        <v/>
      </c>
      <c r="L13" s="127"/>
      <c r="M13" s="137"/>
      <c r="N13" s="58" t="str" cm="1">
        <f>IF(ISBLANK($A13),"",INDEX(Array_WaterCharges,MATCH($A13,List_WaterMeters,0),ROUNDUP((COLUMN()+0)/3-1,0)))</f>
        <v/>
      </c>
      <c r="O13" s="127"/>
      <c r="P13" s="137"/>
      <c r="Q13" s="58" t="str" cm="1">
        <f>IF(ISBLANK($A13),"",INDEX(Array_WaterCharges,MATCH($A13,List_WaterMeters,0),ROUNDUP((COLUMN()+0)/3-1,0)))</f>
        <v/>
      </c>
      <c r="R13" s="127"/>
      <c r="S13" s="137"/>
      <c r="T13" s="58" t="str" cm="1">
        <f>IF(ISBLANK($A13),"",INDEX(Array_WaterCharges,MATCH($A13,List_WaterMeters,0),ROUNDUP((COLUMN()+0)/3-1,0)))</f>
        <v/>
      </c>
      <c r="U13" s="127"/>
      <c r="V13" s="137"/>
      <c r="W13" s="58" t="str" cm="1">
        <f>IF(ISBLANK($A13),"",INDEX(Array_WaterCharges,MATCH($A13,List_WaterMeters,0),ROUNDUP((COLUMN()+0)/3-1,0)))</f>
        <v/>
      </c>
      <c r="X13" s="127"/>
      <c r="Y13" s="137"/>
      <c r="Z13" s="58" t="str" cm="1">
        <f>IF(ISBLANK($A13),"",INDEX(Array_WaterCharges,MATCH($A13,List_WaterMeters,0),ROUNDUP((COLUMN()+0)/3-1,0)))</f>
        <v/>
      </c>
      <c r="AA13" s="127"/>
      <c r="AB13" s="137"/>
      <c r="AC13" s="58" t="str" cm="1">
        <f>IF(ISBLANK($A13),"",INDEX(Array_WaterCharges,MATCH($A13,List_WaterMeters,0),ROUNDUP((COLUMN()+0)/3-1,0)))</f>
        <v/>
      </c>
      <c r="AD13" s="127"/>
      <c r="AE13" s="137"/>
      <c r="AF13" s="58" t="str" cm="1">
        <f>IF(ISBLANK($A13),"",INDEX(Array_WaterCharges,MATCH($A13,List_WaterMeters,0),ROUNDUP((COLUMN()+0)/3-1,0)))</f>
        <v/>
      </c>
      <c r="AG13" s="127"/>
      <c r="AH13" s="137"/>
    </row>
    <row r="14" spans="1:34" x14ac:dyDescent="0.3">
      <c r="A14" s="126"/>
      <c r="B14" s="133"/>
      <c r="C14" s="127"/>
      <c r="D14" s="137"/>
      <c r="E14" s="58" t="str" cm="1">
        <f>IF(ISBLANK($A14),"",INDEX(Array_WaterCharges,MATCH($A14,List_WaterMeters,0),ROUNDUP((COLUMN()+0)/3-1,0)))</f>
        <v/>
      </c>
      <c r="F14" s="127"/>
      <c r="G14" s="137"/>
      <c r="H14" s="58" t="str" cm="1">
        <f>IF(ISBLANK($A14),"",INDEX(Array_WaterCharges,MATCH($A14,List_WaterMeters,0),ROUNDUP((COLUMN()+0)/3-1,0)))</f>
        <v/>
      </c>
      <c r="I14" s="127"/>
      <c r="J14" s="137"/>
      <c r="K14" s="58" t="str" cm="1">
        <f>IF(ISBLANK($A14),"",INDEX(Array_WaterCharges,MATCH($A14,List_WaterMeters,0),ROUNDUP((COLUMN()+0)/3-1,0)))</f>
        <v/>
      </c>
      <c r="L14" s="127"/>
      <c r="M14" s="137"/>
      <c r="N14" s="58" t="str" cm="1">
        <f>IF(ISBLANK($A14),"",INDEX(Array_WaterCharges,MATCH($A14,List_WaterMeters,0),ROUNDUP((COLUMN()+0)/3-1,0)))</f>
        <v/>
      </c>
      <c r="O14" s="127"/>
      <c r="P14" s="137"/>
      <c r="Q14" s="58" t="str" cm="1">
        <f>IF(ISBLANK($A14),"",INDEX(Array_WaterCharges,MATCH($A14,List_WaterMeters,0),ROUNDUP((COLUMN()+0)/3-1,0)))</f>
        <v/>
      </c>
      <c r="R14" s="127"/>
      <c r="S14" s="137"/>
      <c r="T14" s="58" t="str" cm="1">
        <f>IF(ISBLANK($A14),"",INDEX(Array_WaterCharges,MATCH($A14,List_WaterMeters,0),ROUNDUP((COLUMN()+0)/3-1,0)))</f>
        <v/>
      </c>
      <c r="U14" s="127"/>
      <c r="V14" s="137"/>
      <c r="W14" s="58" t="str" cm="1">
        <f>IF(ISBLANK($A14),"",INDEX(Array_WaterCharges,MATCH($A14,List_WaterMeters,0),ROUNDUP((COLUMN()+0)/3-1,0)))</f>
        <v/>
      </c>
      <c r="X14" s="127"/>
      <c r="Y14" s="137"/>
      <c r="Z14" s="58" t="str" cm="1">
        <f>IF(ISBLANK($A14),"",INDEX(Array_WaterCharges,MATCH($A14,List_WaterMeters,0),ROUNDUP((COLUMN()+0)/3-1,0)))</f>
        <v/>
      </c>
      <c r="AA14" s="127"/>
      <c r="AB14" s="137"/>
      <c r="AC14" s="58" t="str" cm="1">
        <f>IF(ISBLANK($A14),"",INDEX(Array_WaterCharges,MATCH($A14,List_WaterMeters,0),ROUNDUP((COLUMN()+0)/3-1,0)))</f>
        <v/>
      </c>
      <c r="AD14" s="127"/>
      <c r="AE14" s="137"/>
      <c r="AF14" s="58" t="str" cm="1">
        <f>IF(ISBLANK($A14),"",INDEX(Array_WaterCharges,MATCH($A14,List_WaterMeters,0),ROUNDUP((COLUMN()+0)/3-1,0)))</f>
        <v/>
      </c>
      <c r="AG14" s="127"/>
      <c r="AH14" s="137"/>
    </row>
    <row r="15" spans="1:34" x14ac:dyDescent="0.3">
      <c r="A15" s="126"/>
      <c r="B15" s="133"/>
      <c r="C15" s="127"/>
      <c r="D15" s="137"/>
      <c r="E15" s="58" t="str" cm="1">
        <f>IF(ISBLANK($A15),"",INDEX(Array_WaterCharges,MATCH($A15,List_WaterMeters,0),ROUNDUP((COLUMN()+0)/3-1,0)))</f>
        <v/>
      </c>
      <c r="F15" s="127"/>
      <c r="G15" s="137"/>
      <c r="H15" s="58" t="str" cm="1">
        <f>IF(ISBLANK($A15),"",INDEX(Array_WaterCharges,MATCH($A15,List_WaterMeters,0),ROUNDUP((COLUMN()+0)/3-1,0)))</f>
        <v/>
      </c>
      <c r="I15" s="127"/>
      <c r="J15" s="137"/>
      <c r="K15" s="58" t="str" cm="1">
        <f>IF(ISBLANK($A15),"",INDEX(Array_WaterCharges,MATCH($A15,List_WaterMeters,0),ROUNDUP((COLUMN()+0)/3-1,0)))</f>
        <v/>
      </c>
      <c r="L15" s="127"/>
      <c r="M15" s="137"/>
      <c r="N15" s="58" t="str" cm="1">
        <f>IF(ISBLANK($A15),"",INDEX(Array_WaterCharges,MATCH($A15,List_WaterMeters,0),ROUNDUP((COLUMN()+0)/3-1,0)))</f>
        <v/>
      </c>
      <c r="O15" s="127"/>
      <c r="P15" s="137"/>
      <c r="Q15" s="58" t="str" cm="1">
        <f>IF(ISBLANK($A15),"",INDEX(Array_WaterCharges,MATCH($A15,List_WaterMeters,0),ROUNDUP((COLUMN()+0)/3-1,0)))</f>
        <v/>
      </c>
      <c r="R15" s="127"/>
      <c r="S15" s="137"/>
      <c r="T15" s="58" t="str" cm="1">
        <f>IF(ISBLANK($A15),"",INDEX(Array_WaterCharges,MATCH($A15,List_WaterMeters,0),ROUNDUP((COLUMN()+0)/3-1,0)))</f>
        <v/>
      </c>
      <c r="U15" s="127"/>
      <c r="V15" s="137"/>
      <c r="W15" s="58" t="str" cm="1">
        <f>IF(ISBLANK($A15),"",INDEX(Array_WaterCharges,MATCH($A15,List_WaterMeters,0),ROUNDUP((COLUMN()+0)/3-1,0)))</f>
        <v/>
      </c>
      <c r="X15" s="127"/>
      <c r="Y15" s="137"/>
      <c r="Z15" s="58" t="str" cm="1">
        <f>IF(ISBLANK($A15),"",INDEX(Array_WaterCharges,MATCH($A15,List_WaterMeters,0),ROUNDUP((COLUMN()+0)/3-1,0)))</f>
        <v/>
      </c>
      <c r="AA15" s="127"/>
      <c r="AB15" s="137"/>
      <c r="AC15" s="58" t="str" cm="1">
        <f>IF(ISBLANK($A15),"",INDEX(Array_WaterCharges,MATCH($A15,List_WaterMeters,0),ROUNDUP((COLUMN()+0)/3-1,0)))</f>
        <v/>
      </c>
      <c r="AD15" s="127"/>
      <c r="AE15" s="137"/>
      <c r="AF15" s="58" t="str" cm="1">
        <f>IF(ISBLANK($A15),"",INDEX(Array_WaterCharges,MATCH($A15,List_WaterMeters,0),ROUNDUP((COLUMN()+0)/3-1,0)))</f>
        <v/>
      </c>
      <c r="AG15" s="127"/>
      <c r="AH15" s="137"/>
    </row>
    <row r="16" spans="1:34" x14ac:dyDescent="0.3">
      <c r="A16" s="126"/>
      <c r="B16" s="133"/>
      <c r="C16" s="127"/>
      <c r="D16" s="137"/>
      <c r="E16" s="58" t="str" cm="1">
        <f>IF(ISBLANK($A16),"",INDEX(Array_WaterCharges,MATCH($A16,List_WaterMeters,0),ROUNDUP((COLUMN()+0)/3-1,0)))</f>
        <v/>
      </c>
      <c r="F16" s="127"/>
      <c r="G16" s="137"/>
      <c r="H16" s="58" t="str" cm="1">
        <f>IF(ISBLANK($A16),"",INDEX(Array_WaterCharges,MATCH($A16,List_WaterMeters,0),ROUNDUP((COLUMN()+0)/3-1,0)))</f>
        <v/>
      </c>
      <c r="I16" s="127"/>
      <c r="J16" s="137"/>
      <c r="K16" s="58" t="str" cm="1">
        <f>IF(ISBLANK($A16),"",INDEX(Array_WaterCharges,MATCH($A16,List_WaterMeters,0),ROUNDUP((COLUMN()+0)/3-1,0)))</f>
        <v/>
      </c>
      <c r="L16" s="127"/>
      <c r="M16" s="137"/>
      <c r="N16" s="58" t="str" cm="1">
        <f>IF(ISBLANK($A16),"",INDEX(Array_WaterCharges,MATCH($A16,List_WaterMeters,0),ROUNDUP((COLUMN()+0)/3-1,0)))</f>
        <v/>
      </c>
      <c r="O16" s="127"/>
      <c r="P16" s="137"/>
      <c r="Q16" s="58" t="str" cm="1">
        <f>IF(ISBLANK($A16),"",INDEX(Array_WaterCharges,MATCH($A16,List_WaterMeters,0),ROUNDUP((COLUMN()+0)/3-1,0)))</f>
        <v/>
      </c>
      <c r="R16" s="127"/>
      <c r="S16" s="137"/>
      <c r="T16" s="58" t="str" cm="1">
        <f>IF(ISBLANK($A16),"",INDEX(Array_WaterCharges,MATCH($A16,List_WaterMeters,0),ROUNDUP((COLUMN()+0)/3-1,0)))</f>
        <v/>
      </c>
      <c r="U16" s="127"/>
      <c r="V16" s="137"/>
      <c r="W16" s="58" t="str" cm="1">
        <f>IF(ISBLANK($A16),"",INDEX(Array_WaterCharges,MATCH($A16,List_WaterMeters,0),ROUNDUP((COLUMN()+0)/3-1,0)))</f>
        <v/>
      </c>
      <c r="X16" s="127"/>
      <c r="Y16" s="137"/>
      <c r="Z16" s="58" t="str" cm="1">
        <f>IF(ISBLANK($A16),"",INDEX(Array_WaterCharges,MATCH($A16,List_WaterMeters,0),ROUNDUP((COLUMN()+0)/3-1,0)))</f>
        <v/>
      </c>
      <c r="AA16" s="127"/>
      <c r="AB16" s="137"/>
      <c r="AC16" s="58" t="str" cm="1">
        <f>IF(ISBLANK($A16),"",INDEX(Array_WaterCharges,MATCH($A16,List_WaterMeters,0),ROUNDUP((COLUMN()+0)/3-1,0)))</f>
        <v/>
      </c>
      <c r="AD16" s="127"/>
      <c r="AE16" s="137"/>
      <c r="AF16" s="58" t="str" cm="1">
        <f>IF(ISBLANK($A16),"",INDEX(Array_WaterCharges,MATCH($A16,List_WaterMeters,0),ROUNDUP((COLUMN()+0)/3-1,0)))</f>
        <v/>
      </c>
      <c r="AG16" s="127"/>
      <c r="AH16" s="137"/>
    </row>
    <row r="17" spans="1:34" x14ac:dyDescent="0.3">
      <c r="A17" s="126"/>
      <c r="B17" s="133"/>
      <c r="C17" s="127"/>
      <c r="D17" s="137"/>
      <c r="E17" s="58" t="str" cm="1">
        <f>IF(ISBLANK($A17),"",INDEX(Array_WaterCharges,MATCH($A17,List_WaterMeters,0),ROUNDUP((COLUMN()+0)/3-1,0)))</f>
        <v/>
      </c>
      <c r="F17" s="127"/>
      <c r="G17" s="137"/>
      <c r="H17" s="58" t="str" cm="1">
        <f>IF(ISBLANK($A17),"",INDEX(Array_WaterCharges,MATCH($A17,List_WaterMeters,0),ROUNDUP((COLUMN()+0)/3-1,0)))</f>
        <v/>
      </c>
      <c r="I17" s="127"/>
      <c r="J17" s="137"/>
      <c r="K17" s="58" t="str" cm="1">
        <f>IF(ISBLANK($A17),"",INDEX(Array_WaterCharges,MATCH($A17,List_WaterMeters,0),ROUNDUP((COLUMN()+0)/3-1,0)))</f>
        <v/>
      </c>
      <c r="L17" s="127"/>
      <c r="M17" s="137"/>
      <c r="N17" s="58" t="str" cm="1">
        <f>IF(ISBLANK($A17),"",INDEX(Array_WaterCharges,MATCH($A17,List_WaterMeters,0),ROUNDUP((COLUMN()+0)/3-1,0)))</f>
        <v/>
      </c>
      <c r="O17" s="127"/>
      <c r="P17" s="137"/>
      <c r="Q17" s="58" t="str" cm="1">
        <f>IF(ISBLANK($A17),"",INDEX(Array_WaterCharges,MATCH($A17,List_WaterMeters,0),ROUNDUP((COLUMN()+0)/3-1,0)))</f>
        <v/>
      </c>
      <c r="R17" s="127"/>
      <c r="S17" s="137"/>
      <c r="T17" s="58" t="str" cm="1">
        <f>IF(ISBLANK($A17),"",INDEX(Array_WaterCharges,MATCH($A17,List_WaterMeters,0),ROUNDUP((COLUMN()+0)/3-1,0)))</f>
        <v/>
      </c>
      <c r="U17" s="127"/>
      <c r="V17" s="137"/>
      <c r="W17" s="58" t="str" cm="1">
        <f>IF(ISBLANK($A17),"",INDEX(Array_WaterCharges,MATCH($A17,List_WaterMeters,0),ROUNDUP((COLUMN()+0)/3-1,0)))</f>
        <v/>
      </c>
      <c r="X17" s="127"/>
      <c r="Y17" s="137"/>
      <c r="Z17" s="58" t="str" cm="1">
        <f>IF(ISBLANK($A17),"",INDEX(Array_WaterCharges,MATCH($A17,List_WaterMeters,0),ROUNDUP((COLUMN()+0)/3-1,0)))</f>
        <v/>
      </c>
      <c r="AA17" s="127"/>
      <c r="AB17" s="137"/>
      <c r="AC17" s="58" t="str" cm="1">
        <f>IF(ISBLANK($A17),"",INDEX(Array_WaterCharges,MATCH($A17,List_WaterMeters,0),ROUNDUP((COLUMN()+0)/3-1,0)))</f>
        <v/>
      </c>
      <c r="AD17" s="127"/>
      <c r="AE17" s="137"/>
      <c r="AF17" s="58" t="str" cm="1">
        <f>IF(ISBLANK($A17),"",INDEX(Array_WaterCharges,MATCH($A17,List_WaterMeters,0),ROUNDUP((COLUMN()+0)/3-1,0)))</f>
        <v/>
      </c>
      <c r="AG17" s="127"/>
      <c r="AH17" s="137"/>
    </row>
    <row r="18" spans="1:34" x14ac:dyDescent="0.3">
      <c r="A18" s="126"/>
      <c r="B18" s="133"/>
      <c r="C18" s="127"/>
      <c r="D18" s="137"/>
      <c r="E18" s="58" t="str" cm="1">
        <f>IF(ISBLANK($A18),"",INDEX(Array_WaterCharges,MATCH($A18,List_WaterMeters,0),ROUNDUP((COLUMN()+0)/3-1,0)))</f>
        <v/>
      </c>
      <c r="F18" s="127"/>
      <c r="G18" s="137"/>
      <c r="H18" s="58" t="str" cm="1">
        <f>IF(ISBLANK($A18),"",INDEX(Array_WaterCharges,MATCH($A18,List_WaterMeters,0),ROUNDUP((COLUMN()+0)/3-1,0)))</f>
        <v/>
      </c>
      <c r="I18" s="127"/>
      <c r="J18" s="137"/>
      <c r="K18" s="58" t="str" cm="1">
        <f>IF(ISBLANK($A18),"",INDEX(Array_WaterCharges,MATCH($A18,List_WaterMeters,0),ROUNDUP((COLUMN()+0)/3-1,0)))</f>
        <v/>
      </c>
      <c r="L18" s="127"/>
      <c r="M18" s="137"/>
      <c r="N18" s="58" t="str" cm="1">
        <f>IF(ISBLANK($A18),"",INDEX(Array_WaterCharges,MATCH($A18,List_WaterMeters,0),ROUNDUP((COLUMN()+0)/3-1,0)))</f>
        <v/>
      </c>
      <c r="O18" s="127"/>
      <c r="P18" s="137"/>
      <c r="Q18" s="58" t="str" cm="1">
        <f>IF(ISBLANK($A18),"",INDEX(Array_WaterCharges,MATCH($A18,List_WaterMeters,0),ROUNDUP((COLUMN()+0)/3-1,0)))</f>
        <v/>
      </c>
      <c r="R18" s="127"/>
      <c r="S18" s="137"/>
      <c r="T18" s="58" t="str" cm="1">
        <f>IF(ISBLANK($A18),"",INDEX(Array_WaterCharges,MATCH($A18,List_WaterMeters,0),ROUNDUP((COLUMN()+0)/3-1,0)))</f>
        <v/>
      </c>
      <c r="U18" s="127"/>
      <c r="V18" s="137"/>
      <c r="W18" s="58" t="str" cm="1">
        <f>IF(ISBLANK($A18),"",INDEX(Array_WaterCharges,MATCH($A18,List_WaterMeters,0),ROUNDUP((COLUMN()+0)/3-1,0)))</f>
        <v/>
      </c>
      <c r="X18" s="127"/>
      <c r="Y18" s="137"/>
      <c r="Z18" s="58" t="str" cm="1">
        <f>IF(ISBLANK($A18),"",INDEX(Array_WaterCharges,MATCH($A18,List_WaterMeters,0),ROUNDUP((COLUMN()+0)/3-1,0)))</f>
        <v/>
      </c>
      <c r="AA18" s="127"/>
      <c r="AB18" s="137"/>
      <c r="AC18" s="58" t="str" cm="1">
        <f>IF(ISBLANK($A18),"",INDEX(Array_WaterCharges,MATCH($A18,List_WaterMeters,0),ROUNDUP((COLUMN()+0)/3-1,0)))</f>
        <v/>
      </c>
      <c r="AD18" s="127"/>
      <c r="AE18" s="137"/>
      <c r="AF18" s="58" t="str" cm="1">
        <f>IF(ISBLANK($A18),"",INDEX(Array_WaterCharges,MATCH($A18,List_WaterMeters,0),ROUNDUP((COLUMN()+0)/3-1,0)))</f>
        <v/>
      </c>
      <c r="AG18" s="127"/>
      <c r="AH18" s="137"/>
    </row>
    <row r="19" spans="1:34" x14ac:dyDescent="0.3">
      <c r="A19" s="126"/>
      <c r="B19" s="133"/>
      <c r="C19" s="127"/>
      <c r="D19" s="137"/>
      <c r="E19" s="58" t="str" cm="1">
        <f>IF(ISBLANK($A19),"",INDEX(Array_WaterCharges,MATCH($A19,List_WaterMeters,0),ROUNDUP((COLUMN()+0)/3-1,0)))</f>
        <v/>
      </c>
      <c r="F19" s="127"/>
      <c r="G19" s="137"/>
      <c r="H19" s="58" t="str" cm="1">
        <f>IF(ISBLANK($A19),"",INDEX(Array_WaterCharges,MATCH($A19,List_WaterMeters,0),ROUNDUP((COLUMN()+0)/3-1,0)))</f>
        <v/>
      </c>
      <c r="I19" s="127"/>
      <c r="J19" s="137"/>
      <c r="K19" s="58" t="str" cm="1">
        <f>IF(ISBLANK($A19),"",INDEX(Array_WaterCharges,MATCH($A19,List_WaterMeters,0),ROUNDUP((COLUMN()+0)/3-1,0)))</f>
        <v/>
      </c>
      <c r="L19" s="127"/>
      <c r="M19" s="137"/>
      <c r="N19" s="58" t="str" cm="1">
        <f>IF(ISBLANK($A19),"",INDEX(Array_WaterCharges,MATCH($A19,List_WaterMeters,0),ROUNDUP((COLUMN()+0)/3-1,0)))</f>
        <v/>
      </c>
      <c r="O19" s="127"/>
      <c r="P19" s="137"/>
      <c r="Q19" s="58" t="str" cm="1">
        <f>IF(ISBLANK($A19),"",INDEX(Array_WaterCharges,MATCH($A19,List_WaterMeters,0),ROUNDUP((COLUMN()+0)/3-1,0)))</f>
        <v/>
      </c>
      <c r="R19" s="127"/>
      <c r="S19" s="137"/>
      <c r="T19" s="58" t="str" cm="1">
        <f>IF(ISBLANK($A19),"",INDEX(Array_WaterCharges,MATCH($A19,List_WaterMeters,0),ROUNDUP((COLUMN()+0)/3-1,0)))</f>
        <v/>
      </c>
      <c r="U19" s="127"/>
      <c r="V19" s="137"/>
      <c r="W19" s="58" t="str" cm="1">
        <f>IF(ISBLANK($A19),"",INDEX(Array_WaterCharges,MATCH($A19,List_WaterMeters,0),ROUNDUP((COLUMN()+0)/3-1,0)))</f>
        <v/>
      </c>
      <c r="X19" s="127"/>
      <c r="Y19" s="137"/>
      <c r="Z19" s="58" t="str" cm="1">
        <f>IF(ISBLANK($A19),"",INDEX(Array_WaterCharges,MATCH($A19,List_WaterMeters,0),ROUNDUP((COLUMN()+0)/3-1,0)))</f>
        <v/>
      </c>
      <c r="AA19" s="127"/>
      <c r="AB19" s="137"/>
      <c r="AC19" s="58" t="str" cm="1">
        <f>IF(ISBLANK($A19),"",INDEX(Array_WaterCharges,MATCH($A19,List_WaterMeters,0),ROUNDUP((COLUMN()+0)/3-1,0)))</f>
        <v/>
      </c>
      <c r="AD19" s="127"/>
      <c r="AE19" s="137"/>
      <c r="AF19" s="58" t="str" cm="1">
        <f>IF(ISBLANK($A19),"",INDEX(Array_WaterCharges,MATCH($A19,List_WaterMeters,0),ROUNDUP((COLUMN()+0)/3-1,0)))</f>
        <v/>
      </c>
      <c r="AG19" s="127"/>
      <c r="AH19" s="137"/>
    </row>
    <row r="20" spans="1:34" x14ac:dyDescent="0.3">
      <c r="A20" s="126"/>
      <c r="B20" s="133"/>
      <c r="C20" s="127"/>
      <c r="D20" s="137"/>
      <c r="E20" s="58" t="str" cm="1">
        <f>IF(ISBLANK($A20),"",INDEX(Array_WaterCharges,MATCH($A20,List_WaterMeters,0),ROUNDUP((COLUMN()+0)/3-1,0)))</f>
        <v/>
      </c>
      <c r="F20" s="127"/>
      <c r="G20" s="137"/>
      <c r="H20" s="58" t="str" cm="1">
        <f>IF(ISBLANK($A20),"",INDEX(Array_WaterCharges,MATCH($A20,List_WaterMeters,0),ROUNDUP((COLUMN()+0)/3-1,0)))</f>
        <v/>
      </c>
      <c r="I20" s="127"/>
      <c r="J20" s="137"/>
      <c r="K20" s="58" t="str" cm="1">
        <f>IF(ISBLANK($A20),"",INDEX(Array_WaterCharges,MATCH($A20,List_WaterMeters,0),ROUNDUP((COLUMN()+0)/3-1,0)))</f>
        <v/>
      </c>
      <c r="L20" s="127"/>
      <c r="M20" s="137"/>
      <c r="N20" s="58" t="str" cm="1">
        <f>IF(ISBLANK($A20),"",INDEX(Array_WaterCharges,MATCH($A20,List_WaterMeters,0),ROUNDUP((COLUMN()+0)/3-1,0)))</f>
        <v/>
      </c>
      <c r="O20" s="127"/>
      <c r="P20" s="137"/>
      <c r="Q20" s="58" t="str" cm="1">
        <f>IF(ISBLANK($A20),"",INDEX(Array_WaterCharges,MATCH($A20,List_WaterMeters,0),ROUNDUP((COLUMN()+0)/3-1,0)))</f>
        <v/>
      </c>
      <c r="R20" s="127"/>
      <c r="S20" s="137"/>
      <c r="T20" s="58" t="str" cm="1">
        <f>IF(ISBLANK($A20),"",INDEX(Array_WaterCharges,MATCH($A20,List_WaterMeters,0),ROUNDUP((COLUMN()+0)/3-1,0)))</f>
        <v/>
      </c>
      <c r="U20" s="127"/>
      <c r="V20" s="137"/>
      <c r="W20" s="58" t="str" cm="1">
        <f>IF(ISBLANK($A20),"",INDEX(Array_WaterCharges,MATCH($A20,List_WaterMeters,0),ROUNDUP((COLUMN()+0)/3-1,0)))</f>
        <v/>
      </c>
      <c r="X20" s="127"/>
      <c r="Y20" s="137"/>
      <c r="Z20" s="58" t="str" cm="1">
        <f>IF(ISBLANK($A20),"",INDEX(Array_WaterCharges,MATCH($A20,List_WaterMeters,0),ROUNDUP((COLUMN()+0)/3-1,0)))</f>
        <v/>
      </c>
      <c r="AA20" s="127"/>
      <c r="AB20" s="137"/>
      <c r="AC20" s="58" t="str" cm="1">
        <f>IF(ISBLANK($A20),"",INDEX(Array_WaterCharges,MATCH($A20,List_WaterMeters,0),ROUNDUP((COLUMN()+0)/3-1,0)))</f>
        <v/>
      </c>
      <c r="AD20" s="127"/>
      <c r="AE20" s="137"/>
      <c r="AF20" s="58" t="str" cm="1">
        <f>IF(ISBLANK($A20),"",INDEX(Array_WaterCharges,MATCH($A20,List_WaterMeters,0),ROUNDUP((COLUMN()+0)/3-1,0)))</f>
        <v/>
      </c>
      <c r="AG20" s="127"/>
      <c r="AH20" s="137"/>
    </row>
    <row r="21" spans="1:34" x14ac:dyDescent="0.3">
      <c r="A21" s="126"/>
      <c r="B21" s="133"/>
      <c r="C21" s="127"/>
      <c r="D21" s="137"/>
      <c r="E21" s="58" t="str" cm="1">
        <f>IF(ISBLANK($A21),"",INDEX(Array_WaterCharges,MATCH($A21,List_WaterMeters,0),ROUNDUP((COLUMN()+0)/3-1,0)))</f>
        <v/>
      </c>
      <c r="F21" s="127"/>
      <c r="G21" s="137"/>
      <c r="H21" s="58" t="str" cm="1">
        <f>IF(ISBLANK($A21),"",INDEX(Array_WaterCharges,MATCH($A21,List_WaterMeters,0),ROUNDUP((COLUMN()+0)/3-1,0)))</f>
        <v/>
      </c>
      <c r="I21" s="127"/>
      <c r="J21" s="137"/>
      <c r="K21" s="58" t="str" cm="1">
        <f>IF(ISBLANK($A21),"",INDEX(Array_WaterCharges,MATCH($A21,List_WaterMeters,0),ROUNDUP((COLUMN()+0)/3-1,0)))</f>
        <v/>
      </c>
      <c r="L21" s="127"/>
      <c r="M21" s="137"/>
      <c r="N21" s="58" t="str" cm="1">
        <f>IF(ISBLANK($A21),"",INDEX(Array_WaterCharges,MATCH($A21,List_WaterMeters,0),ROUNDUP((COLUMN()+0)/3-1,0)))</f>
        <v/>
      </c>
      <c r="O21" s="127"/>
      <c r="P21" s="137"/>
      <c r="Q21" s="58" t="str" cm="1">
        <f>IF(ISBLANK($A21),"",INDEX(Array_WaterCharges,MATCH($A21,List_WaterMeters,0),ROUNDUP((COLUMN()+0)/3-1,0)))</f>
        <v/>
      </c>
      <c r="R21" s="127"/>
      <c r="S21" s="137"/>
      <c r="T21" s="58" t="str" cm="1">
        <f>IF(ISBLANK($A21),"",INDEX(Array_WaterCharges,MATCH($A21,List_WaterMeters,0),ROUNDUP((COLUMN()+0)/3-1,0)))</f>
        <v/>
      </c>
      <c r="U21" s="127"/>
      <c r="V21" s="137"/>
      <c r="W21" s="58" t="str" cm="1">
        <f>IF(ISBLANK($A21),"",INDEX(Array_WaterCharges,MATCH($A21,List_WaterMeters,0),ROUNDUP((COLUMN()+0)/3-1,0)))</f>
        <v/>
      </c>
      <c r="X21" s="127"/>
      <c r="Y21" s="137"/>
      <c r="Z21" s="58" t="str" cm="1">
        <f>IF(ISBLANK($A21),"",INDEX(Array_WaterCharges,MATCH($A21,List_WaterMeters,0),ROUNDUP((COLUMN()+0)/3-1,0)))</f>
        <v/>
      </c>
      <c r="AA21" s="127"/>
      <c r="AB21" s="137"/>
      <c r="AC21" s="58" t="str" cm="1">
        <f>IF(ISBLANK($A21),"",INDEX(Array_WaterCharges,MATCH($A21,List_WaterMeters,0),ROUNDUP((COLUMN()+0)/3-1,0)))</f>
        <v/>
      </c>
      <c r="AD21" s="127"/>
      <c r="AE21" s="137"/>
      <c r="AF21" s="58" t="str" cm="1">
        <f>IF(ISBLANK($A21),"",INDEX(Array_WaterCharges,MATCH($A21,List_WaterMeters,0),ROUNDUP((COLUMN()+0)/3-1,0)))</f>
        <v/>
      </c>
      <c r="AG21" s="127"/>
      <c r="AH21" s="137"/>
    </row>
    <row r="22" spans="1:34" x14ac:dyDescent="0.3">
      <c r="A22" s="126"/>
      <c r="B22" s="133"/>
      <c r="C22" s="127"/>
      <c r="D22" s="137"/>
      <c r="E22" s="58" t="str" cm="1">
        <f>IF(ISBLANK($A22),"",INDEX(Array_WaterCharges,MATCH($A22,List_WaterMeters,0),ROUNDUP((COLUMN()+0)/3-1,0)))</f>
        <v/>
      </c>
      <c r="F22" s="127"/>
      <c r="G22" s="137"/>
      <c r="H22" s="58" t="str" cm="1">
        <f>IF(ISBLANK($A22),"",INDEX(Array_WaterCharges,MATCH($A22,List_WaterMeters,0),ROUNDUP((COLUMN()+0)/3-1,0)))</f>
        <v/>
      </c>
      <c r="I22" s="127"/>
      <c r="J22" s="137"/>
      <c r="K22" s="58" t="str" cm="1">
        <f>IF(ISBLANK($A22),"",INDEX(Array_WaterCharges,MATCH($A22,List_WaterMeters,0),ROUNDUP((COLUMN()+0)/3-1,0)))</f>
        <v/>
      </c>
      <c r="L22" s="127"/>
      <c r="M22" s="137"/>
      <c r="N22" s="58" t="str" cm="1">
        <f>IF(ISBLANK($A22),"",INDEX(Array_WaterCharges,MATCH($A22,List_WaterMeters,0),ROUNDUP((COLUMN()+0)/3-1,0)))</f>
        <v/>
      </c>
      <c r="O22" s="127"/>
      <c r="P22" s="137"/>
      <c r="Q22" s="58" t="str" cm="1">
        <f>IF(ISBLANK($A22),"",INDEX(Array_WaterCharges,MATCH($A22,List_WaterMeters,0),ROUNDUP((COLUMN()+0)/3-1,0)))</f>
        <v/>
      </c>
      <c r="R22" s="127"/>
      <c r="S22" s="137"/>
      <c r="T22" s="58" t="str" cm="1">
        <f>IF(ISBLANK($A22),"",INDEX(Array_WaterCharges,MATCH($A22,List_WaterMeters,0),ROUNDUP((COLUMN()+0)/3-1,0)))</f>
        <v/>
      </c>
      <c r="U22" s="127"/>
      <c r="V22" s="137"/>
      <c r="W22" s="58" t="str" cm="1">
        <f>IF(ISBLANK($A22),"",INDEX(Array_WaterCharges,MATCH($A22,List_WaterMeters,0),ROUNDUP((COLUMN()+0)/3-1,0)))</f>
        <v/>
      </c>
      <c r="X22" s="127"/>
      <c r="Y22" s="137"/>
      <c r="Z22" s="58" t="str" cm="1">
        <f>IF(ISBLANK($A22),"",INDEX(Array_WaterCharges,MATCH($A22,List_WaterMeters,0),ROUNDUP((COLUMN()+0)/3-1,0)))</f>
        <v/>
      </c>
      <c r="AA22" s="127"/>
      <c r="AB22" s="137"/>
      <c r="AC22" s="58" t="str" cm="1">
        <f>IF(ISBLANK($A22),"",INDEX(Array_WaterCharges,MATCH($A22,List_WaterMeters,0),ROUNDUP((COLUMN()+0)/3-1,0)))</f>
        <v/>
      </c>
      <c r="AD22" s="127"/>
      <c r="AE22" s="137"/>
      <c r="AF22" s="58" t="str" cm="1">
        <f>IF(ISBLANK($A22),"",INDEX(Array_WaterCharges,MATCH($A22,List_WaterMeters,0),ROUNDUP((COLUMN()+0)/3-1,0)))</f>
        <v/>
      </c>
      <c r="AG22" s="127"/>
      <c r="AH22" s="137"/>
    </row>
    <row r="23" spans="1:34" x14ac:dyDescent="0.3">
      <c r="A23" s="126"/>
      <c r="B23" s="133"/>
      <c r="C23" s="127"/>
      <c r="D23" s="137"/>
      <c r="E23" s="58" t="str" cm="1">
        <f>IF(ISBLANK($A23),"",INDEX(Array_WaterCharges,MATCH($A23,List_WaterMeters,0),ROUNDUP((COLUMN()+0)/3-1,0)))</f>
        <v/>
      </c>
      <c r="F23" s="127"/>
      <c r="G23" s="137"/>
      <c r="H23" s="58" t="str" cm="1">
        <f>IF(ISBLANK($A23),"",INDEX(Array_WaterCharges,MATCH($A23,List_WaterMeters,0),ROUNDUP((COLUMN()+0)/3-1,0)))</f>
        <v/>
      </c>
      <c r="I23" s="127"/>
      <c r="J23" s="137"/>
      <c r="K23" s="58" t="str" cm="1">
        <f>IF(ISBLANK($A23),"",INDEX(Array_WaterCharges,MATCH($A23,List_WaterMeters,0),ROUNDUP((COLUMN()+0)/3-1,0)))</f>
        <v/>
      </c>
      <c r="L23" s="127"/>
      <c r="M23" s="137"/>
      <c r="N23" s="58" t="str" cm="1">
        <f>IF(ISBLANK($A23),"",INDEX(Array_WaterCharges,MATCH($A23,List_WaterMeters,0),ROUNDUP((COLUMN()+0)/3-1,0)))</f>
        <v/>
      </c>
      <c r="O23" s="127"/>
      <c r="P23" s="137"/>
      <c r="Q23" s="58" t="str" cm="1">
        <f>IF(ISBLANK($A23),"",INDEX(Array_WaterCharges,MATCH($A23,List_WaterMeters,0),ROUNDUP((COLUMN()+0)/3-1,0)))</f>
        <v/>
      </c>
      <c r="R23" s="127"/>
      <c r="S23" s="137"/>
      <c r="T23" s="58" t="str" cm="1">
        <f>IF(ISBLANK($A23),"",INDEX(Array_WaterCharges,MATCH($A23,List_WaterMeters,0),ROUNDUP((COLUMN()+0)/3-1,0)))</f>
        <v/>
      </c>
      <c r="U23" s="127"/>
      <c r="V23" s="137"/>
      <c r="W23" s="58" t="str" cm="1">
        <f>IF(ISBLANK($A23),"",INDEX(Array_WaterCharges,MATCH($A23,List_WaterMeters,0),ROUNDUP((COLUMN()+0)/3-1,0)))</f>
        <v/>
      </c>
      <c r="X23" s="127"/>
      <c r="Y23" s="137"/>
      <c r="Z23" s="58" t="str" cm="1">
        <f>IF(ISBLANK($A23),"",INDEX(Array_WaterCharges,MATCH($A23,List_WaterMeters,0),ROUNDUP((COLUMN()+0)/3-1,0)))</f>
        <v/>
      </c>
      <c r="AA23" s="127"/>
      <c r="AB23" s="137"/>
      <c r="AC23" s="58" t="str" cm="1">
        <f>IF(ISBLANK($A23),"",INDEX(Array_WaterCharges,MATCH($A23,List_WaterMeters,0),ROUNDUP((COLUMN()+0)/3-1,0)))</f>
        <v/>
      </c>
      <c r="AD23" s="127"/>
      <c r="AE23" s="137"/>
      <c r="AF23" s="58" t="str" cm="1">
        <f>IF(ISBLANK($A23),"",INDEX(Array_WaterCharges,MATCH($A23,List_WaterMeters,0),ROUNDUP((COLUMN()+0)/3-1,0)))</f>
        <v/>
      </c>
      <c r="AG23" s="127"/>
      <c r="AH23" s="137"/>
    </row>
    <row r="24" spans="1:34" x14ac:dyDescent="0.3">
      <c r="A24" s="126"/>
      <c r="B24" s="133"/>
      <c r="C24" s="127"/>
      <c r="D24" s="137"/>
      <c r="E24" s="58" t="str" cm="1">
        <f>IF(ISBLANK($A24),"",INDEX(Array_WaterCharges,MATCH($A24,List_WaterMeters,0),ROUNDUP((COLUMN()+0)/3-1,0)))</f>
        <v/>
      </c>
      <c r="F24" s="127"/>
      <c r="G24" s="137"/>
      <c r="H24" s="58" t="str" cm="1">
        <f>IF(ISBLANK($A24),"",INDEX(Array_WaterCharges,MATCH($A24,List_WaterMeters,0),ROUNDUP((COLUMN()+0)/3-1,0)))</f>
        <v/>
      </c>
      <c r="I24" s="127"/>
      <c r="J24" s="137"/>
      <c r="K24" s="58" t="str" cm="1">
        <f>IF(ISBLANK($A24),"",INDEX(Array_WaterCharges,MATCH($A24,List_WaterMeters,0),ROUNDUP((COLUMN()+0)/3-1,0)))</f>
        <v/>
      </c>
      <c r="L24" s="127"/>
      <c r="M24" s="137"/>
      <c r="N24" s="58" t="str" cm="1">
        <f>IF(ISBLANK($A24),"",INDEX(Array_WaterCharges,MATCH($A24,List_WaterMeters,0),ROUNDUP((COLUMN()+0)/3-1,0)))</f>
        <v/>
      </c>
      <c r="O24" s="127"/>
      <c r="P24" s="137"/>
      <c r="Q24" s="58" t="str" cm="1">
        <f>IF(ISBLANK($A24),"",INDEX(Array_WaterCharges,MATCH($A24,List_WaterMeters,0),ROUNDUP((COLUMN()+0)/3-1,0)))</f>
        <v/>
      </c>
      <c r="R24" s="127"/>
      <c r="S24" s="137"/>
      <c r="T24" s="58" t="str" cm="1">
        <f>IF(ISBLANK($A24),"",INDEX(Array_WaterCharges,MATCH($A24,List_WaterMeters,0),ROUNDUP((COLUMN()+0)/3-1,0)))</f>
        <v/>
      </c>
      <c r="U24" s="127"/>
      <c r="V24" s="137"/>
      <c r="W24" s="58" t="str" cm="1">
        <f>IF(ISBLANK($A24),"",INDEX(Array_WaterCharges,MATCH($A24,List_WaterMeters,0),ROUNDUP((COLUMN()+0)/3-1,0)))</f>
        <v/>
      </c>
      <c r="X24" s="127"/>
      <c r="Y24" s="137"/>
      <c r="Z24" s="58" t="str" cm="1">
        <f>IF(ISBLANK($A24),"",INDEX(Array_WaterCharges,MATCH($A24,List_WaterMeters,0),ROUNDUP((COLUMN()+0)/3-1,0)))</f>
        <v/>
      </c>
      <c r="AA24" s="127"/>
      <c r="AB24" s="137"/>
      <c r="AC24" s="58" t="str" cm="1">
        <f>IF(ISBLANK($A24),"",INDEX(Array_WaterCharges,MATCH($A24,List_WaterMeters,0),ROUNDUP((COLUMN()+0)/3-1,0)))</f>
        <v/>
      </c>
      <c r="AD24" s="127"/>
      <c r="AE24" s="137"/>
      <c r="AF24" s="58" t="str" cm="1">
        <f>IF(ISBLANK($A24),"",INDEX(Array_WaterCharges,MATCH($A24,List_WaterMeters,0),ROUNDUP((COLUMN()+0)/3-1,0)))</f>
        <v/>
      </c>
      <c r="AG24" s="127"/>
      <c r="AH24" s="137"/>
    </row>
    <row r="25" spans="1:34" x14ac:dyDescent="0.3">
      <c r="A25" s="126"/>
      <c r="B25" s="133"/>
      <c r="C25" s="127"/>
      <c r="D25" s="137"/>
      <c r="E25" s="58" t="str" cm="1">
        <f>IF(ISBLANK($A25),"",INDEX(Array_WaterCharges,MATCH($A25,List_WaterMeters,0),ROUNDUP((COLUMN()+0)/3-1,0)))</f>
        <v/>
      </c>
      <c r="F25" s="127"/>
      <c r="G25" s="137"/>
      <c r="H25" s="58" t="str" cm="1">
        <f>IF(ISBLANK($A25),"",INDEX(Array_WaterCharges,MATCH($A25,List_WaterMeters,0),ROUNDUP((COLUMN()+0)/3-1,0)))</f>
        <v/>
      </c>
      <c r="I25" s="127"/>
      <c r="J25" s="137"/>
      <c r="K25" s="58" t="str" cm="1">
        <f>IF(ISBLANK($A25),"",INDEX(Array_WaterCharges,MATCH($A25,List_WaterMeters,0),ROUNDUP((COLUMN()+0)/3-1,0)))</f>
        <v/>
      </c>
      <c r="L25" s="127"/>
      <c r="M25" s="137"/>
      <c r="N25" s="58" t="str" cm="1">
        <f>IF(ISBLANK($A25),"",INDEX(Array_WaterCharges,MATCH($A25,List_WaterMeters,0),ROUNDUP((COLUMN()+0)/3-1,0)))</f>
        <v/>
      </c>
      <c r="O25" s="127"/>
      <c r="P25" s="137"/>
      <c r="Q25" s="58" t="str" cm="1">
        <f>IF(ISBLANK($A25),"",INDEX(Array_WaterCharges,MATCH($A25,List_WaterMeters,0),ROUNDUP((COLUMN()+0)/3-1,0)))</f>
        <v/>
      </c>
      <c r="R25" s="127"/>
      <c r="S25" s="137"/>
      <c r="T25" s="58" t="str" cm="1">
        <f>IF(ISBLANK($A25),"",INDEX(Array_WaterCharges,MATCH($A25,List_WaterMeters,0),ROUNDUP((COLUMN()+0)/3-1,0)))</f>
        <v/>
      </c>
      <c r="U25" s="127"/>
      <c r="V25" s="137"/>
      <c r="W25" s="58" t="str" cm="1">
        <f>IF(ISBLANK($A25),"",INDEX(Array_WaterCharges,MATCH($A25,List_WaterMeters,0),ROUNDUP((COLUMN()+0)/3-1,0)))</f>
        <v/>
      </c>
      <c r="X25" s="127"/>
      <c r="Y25" s="137"/>
      <c r="Z25" s="58" t="str" cm="1">
        <f>IF(ISBLANK($A25),"",INDEX(Array_WaterCharges,MATCH($A25,List_WaterMeters,0),ROUNDUP((COLUMN()+0)/3-1,0)))</f>
        <v/>
      </c>
      <c r="AA25" s="127"/>
      <c r="AB25" s="137"/>
      <c r="AC25" s="58" t="str" cm="1">
        <f>IF(ISBLANK($A25),"",INDEX(Array_WaterCharges,MATCH($A25,List_WaterMeters,0),ROUNDUP((COLUMN()+0)/3-1,0)))</f>
        <v/>
      </c>
      <c r="AD25" s="127"/>
      <c r="AE25" s="137"/>
      <c r="AF25" s="58" t="str" cm="1">
        <f>IF(ISBLANK($A25),"",INDEX(Array_WaterCharges,MATCH($A25,List_WaterMeters,0),ROUNDUP((COLUMN()+0)/3-1,0)))</f>
        <v/>
      </c>
      <c r="AG25" s="127"/>
      <c r="AH25" s="137"/>
    </row>
    <row r="26" spans="1:34" x14ac:dyDescent="0.3">
      <c r="A26" s="126"/>
      <c r="B26" s="133"/>
      <c r="C26" s="127"/>
      <c r="D26" s="137"/>
      <c r="E26" s="58" t="str" cm="1">
        <f>IF(ISBLANK($A26),"",INDEX(Array_WaterCharges,MATCH($A26,List_WaterMeters,0),ROUNDUP((COLUMN()+0)/3-1,0)))</f>
        <v/>
      </c>
      <c r="F26" s="127"/>
      <c r="G26" s="137"/>
      <c r="H26" s="58" t="str" cm="1">
        <f>IF(ISBLANK($A26),"",INDEX(Array_WaterCharges,MATCH($A26,List_WaterMeters,0),ROUNDUP((COLUMN()+0)/3-1,0)))</f>
        <v/>
      </c>
      <c r="I26" s="127"/>
      <c r="J26" s="137"/>
      <c r="K26" s="58" t="str" cm="1">
        <f>IF(ISBLANK($A26),"",INDEX(Array_WaterCharges,MATCH($A26,List_WaterMeters,0),ROUNDUP((COLUMN()+0)/3-1,0)))</f>
        <v/>
      </c>
      <c r="L26" s="127"/>
      <c r="M26" s="137"/>
      <c r="N26" s="58" t="str" cm="1">
        <f>IF(ISBLANK($A26),"",INDEX(Array_WaterCharges,MATCH($A26,List_WaterMeters,0),ROUNDUP((COLUMN()+0)/3-1,0)))</f>
        <v/>
      </c>
      <c r="O26" s="127"/>
      <c r="P26" s="137"/>
      <c r="Q26" s="58" t="str" cm="1">
        <f>IF(ISBLANK($A26),"",INDEX(Array_WaterCharges,MATCH($A26,List_WaterMeters,0),ROUNDUP((COLUMN()+0)/3-1,0)))</f>
        <v/>
      </c>
      <c r="R26" s="127"/>
      <c r="S26" s="137"/>
      <c r="T26" s="58" t="str" cm="1">
        <f>IF(ISBLANK($A26),"",INDEX(Array_WaterCharges,MATCH($A26,List_WaterMeters,0),ROUNDUP((COLUMN()+0)/3-1,0)))</f>
        <v/>
      </c>
      <c r="U26" s="127"/>
      <c r="V26" s="137"/>
      <c r="W26" s="58" t="str" cm="1">
        <f>IF(ISBLANK($A26),"",INDEX(Array_WaterCharges,MATCH($A26,List_WaterMeters,0),ROUNDUP((COLUMN()+0)/3-1,0)))</f>
        <v/>
      </c>
      <c r="X26" s="127"/>
      <c r="Y26" s="137"/>
      <c r="Z26" s="58" t="str" cm="1">
        <f>IF(ISBLANK($A26),"",INDEX(Array_WaterCharges,MATCH($A26,List_WaterMeters,0),ROUNDUP((COLUMN()+0)/3-1,0)))</f>
        <v/>
      </c>
      <c r="AA26" s="127"/>
      <c r="AB26" s="137"/>
      <c r="AC26" s="58" t="str" cm="1">
        <f>IF(ISBLANK($A26),"",INDEX(Array_WaterCharges,MATCH($A26,List_WaterMeters,0),ROUNDUP((COLUMN()+0)/3-1,0)))</f>
        <v/>
      </c>
      <c r="AD26" s="127"/>
      <c r="AE26" s="137"/>
      <c r="AF26" s="58" t="str" cm="1">
        <f>IF(ISBLANK($A26),"",INDEX(Array_WaterCharges,MATCH($A26,List_WaterMeters,0),ROUNDUP((COLUMN()+0)/3-1,0)))</f>
        <v/>
      </c>
      <c r="AG26" s="127"/>
      <c r="AH26" s="137"/>
    </row>
    <row r="27" spans="1:34" x14ac:dyDescent="0.3">
      <c r="A27" s="126"/>
      <c r="B27" s="133"/>
      <c r="C27" s="127"/>
      <c r="D27" s="137"/>
      <c r="E27" s="58" t="str" cm="1">
        <f>IF(ISBLANK($A27),"",INDEX(Array_WaterCharges,MATCH($A27,List_WaterMeters,0),ROUNDUP((COLUMN()+0)/3-1,0)))</f>
        <v/>
      </c>
      <c r="F27" s="127"/>
      <c r="G27" s="137"/>
      <c r="H27" s="58" t="str" cm="1">
        <f>IF(ISBLANK($A27),"",INDEX(Array_WaterCharges,MATCH($A27,List_WaterMeters,0),ROUNDUP((COLUMN()+0)/3-1,0)))</f>
        <v/>
      </c>
      <c r="I27" s="127"/>
      <c r="J27" s="137"/>
      <c r="K27" s="58" t="str" cm="1">
        <f>IF(ISBLANK($A27),"",INDEX(Array_WaterCharges,MATCH($A27,List_WaterMeters,0),ROUNDUP((COLUMN()+0)/3-1,0)))</f>
        <v/>
      </c>
      <c r="L27" s="127"/>
      <c r="M27" s="137"/>
      <c r="N27" s="58" t="str" cm="1">
        <f>IF(ISBLANK($A27),"",INDEX(Array_WaterCharges,MATCH($A27,List_WaterMeters,0),ROUNDUP((COLUMN()+0)/3-1,0)))</f>
        <v/>
      </c>
      <c r="O27" s="127"/>
      <c r="P27" s="137"/>
      <c r="Q27" s="58" t="str" cm="1">
        <f>IF(ISBLANK($A27),"",INDEX(Array_WaterCharges,MATCH($A27,List_WaterMeters,0),ROUNDUP((COLUMN()+0)/3-1,0)))</f>
        <v/>
      </c>
      <c r="R27" s="127"/>
      <c r="S27" s="137"/>
      <c r="T27" s="58" t="str" cm="1">
        <f>IF(ISBLANK($A27),"",INDEX(Array_WaterCharges,MATCH($A27,List_WaterMeters,0),ROUNDUP((COLUMN()+0)/3-1,0)))</f>
        <v/>
      </c>
      <c r="U27" s="127"/>
      <c r="V27" s="137"/>
      <c r="W27" s="58" t="str" cm="1">
        <f>IF(ISBLANK($A27),"",INDEX(Array_WaterCharges,MATCH($A27,List_WaterMeters,0),ROUNDUP((COLUMN()+0)/3-1,0)))</f>
        <v/>
      </c>
      <c r="X27" s="127"/>
      <c r="Y27" s="137"/>
      <c r="Z27" s="58" t="str" cm="1">
        <f>IF(ISBLANK($A27),"",INDEX(Array_WaterCharges,MATCH($A27,List_WaterMeters,0),ROUNDUP((COLUMN()+0)/3-1,0)))</f>
        <v/>
      </c>
      <c r="AA27" s="127"/>
      <c r="AB27" s="137"/>
      <c r="AC27" s="58" t="str" cm="1">
        <f>IF(ISBLANK($A27),"",INDEX(Array_WaterCharges,MATCH($A27,List_WaterMeters,0),ROUNDUP((COLUMN()+0)/3-1,0)))</f>
        <v/>
      </c>
      <c r="AD27" s="127"/>
      <c r="AE27" s="137"/>
      <c r="AF27" s="58" t="str" cm="1">
        <f>IF(ISBLANK($A27),"",INDEX(Array_WaterCharges,MATCH($A27,List_WaterMeters,0),ROUNDUP((COLUMN()+0)/3-1,0)))</f>
        <v/>
      </c>
      <c r="AG27" s="127"/>
      <c r="AH27" s="137"/>
    </row>
    <row r="28" spans="1:34" x14ac:dyDescent="0.3">
      <c r="A28" s="126"/>
      <c r="B28" s="133"/>
      <c r="C28" s="127"/>
      <c r="D28" s="137"/>
      <c r="E28" s="58" t="str" cm="1">
        <f>IF(ISBLANK($A28),"",INDEX(Array_WaterCharges,MATCH($A28,List_WaterMeters,0),ROUNDUP((COLUMN()+0)/3-1,0)))</f>
        <v/>
      </c>
      <c r="F28" s="127"/>
      <c r="G28" s="137"/>
      <c r="H28" s="58" t="str" cm="1">
        <f>IF(ISBLANK($A28),"",INDEX(Array_WaterCharges,MATCH($A28,List_WaterMeters,0),ROUNDUP((COLUMN()+0)/3-1,0)))</f>
        <v/>
      </c>
      <c r="I28" s="127"/>
      <c r="J28" s="137"/>
      <c r="K28" s="58" t="str" cm="1">
        <f>IF(ISBLANK($A28),"",INDEX(Array_WaterCharges,MATCH($A28,List_WaterMeters,0),ROUNDUP((COLUMN()+0)/3-1,0)))</f>
        <v/>
      </c>
      <c r="L28" s="127"/>
      <c r="M28" s="137"/>
      <c r="N28" s="58" t="str" cm="1">
        <f>IF(ISBLANK($A28),"",INDEX(Array_WaterCharges,MATCH($A28,List_WaterMeters,0),ROUNDUP((COLUMN()+0)/3-1,0)))</f>
        <v/>
      </c>
      <c r="O28" s="127"/>
      <c r="P28" s="137"/>
      <c r="Q28" s="58" t="str" cm="1">
        <f>IF(ISBLANK($A28),"",INDEX(Array_WaterCharges,MATCH($A28,List_WaterMeters,0),ROUNDUP((COLUMN()+0)/3-1,0)))</f>
        <v/>
      </c>
      <c r="R28" s="127"/>
      <c r="S28" s="137"/>
      <c r="T28" s="58" t="str" cm="1">
        <f>IF(ISBLANK($A28),"",INDEX(Array_WaterCharges,MATCH($A28,List_WaterMeters,0),ROUNDUP((COLUMN()+0)/3-1,0)))</f>
        <v/>
      </c>
      <c r="U28" s="127"/>
      <c r="V28" s="137"/>
      <c r="W28" s="58" t="str" cm="1">
        <f>IF(ISBLANK($A28),"",INDEX(Array_WaterCharges,MATCH($A28,List_WaterMeters,0),ROUNDUP((COLUMN()+0)/3-1,0)))</f>
        <v/>
      </c>
      <c r="X28" s="127"/>
      <c r="Y28" s="137"/>
      <c r="Z28" s="58" t="str" cm="1">
        <f>IF(ISBLANK($A28),"",INDEX(Array_WaterCharges,MATCH($A28,List_WaterMeters,0),ROUNDUP((COLUMN()+0)/3-1,0)))</f>
        <v/>
      </c>
      <c r="AA28" s="127"/>
      <c r="AB28" s="137"/>
      <c r="AC28" s="58" t="str" cm="1">
        <f>IF(ISBLANK($A28),"",INDEX(Array_WaterCharges,MATCH($A28,List_WaterMeters,0),ROUNDUP((COLUMN()+0)/3-1,0)))</f>
        <v/>
      </c>
      <c r="AD28" s="127"/>
      <c r="AE28" s="137"/>
      <c r="AF28" s="58" t="str" cm="1">
        <f>IF(ISBLANK($A28),"",INDEX(Array_WaterCharges,MATCH($A28,List_WaterMeters,0),ROUNDUP((COLUMN()+0)/3-1,0)))</f>
        <v/>
      </c>
      <c r="AG28" s="127"/>
      <c r="AH28" s="137"/>
    </row>
    <row r="29" spans="1:34" x14ac:dyDescent="0.3">
      <c r="A29" s="126"/>
      <c r="B29" s="133"/>
      <c r="C29" s="127"/>
      <c r="D29" s="137"/>
      <c r="E29" s="58" t="str" cm="1">
        <f>IF(ISBLANK($A29),"",INDEX(Array_WaterCharges,MATCH($A29,List_WaterMeters,0),ROUNDUP((COLUMN()+0)/3-1,0)))</f>
        <v/>
      </c>
      <c r="F29" s="127"/>
      <c r="G29" s="137"/>
      <c r="H29" s="58" t="str" cm="1">
        <f>IF(ISBLANK($A29),"",INDEX(Array_WaterCharges,MATCH($A29,List_WaterMeters,0),ROUNDUP((COLUMN()+0)/3-1,0)))</f>
        <v/>
      </c>
      <c r="I29" s="127"/>
      <c r="J29" s="137"/>
      <c r="K29" s="58" t="str" cm="1">
        <f>IF(ISBLANK($A29),"",INDEX(Array_WaterCharges,MATCH($A29,List_WaterMeters,0),ROUNDUP((COLUMN()+0)/3-1,0)))</f>
        <v/>
      </c>
      <c r="L29" s="127"/>
      <c r="M29" s="137"/>
      <c r="N29" s="58" t="str" cm="1">
        <f>IF(ISBLANK($A29),"",INDEX(Array_WaterCharges,MATCH($A29,List_WaterMeters,0),ROUNDUP((COLUMN()+0)/3-1,0)))</f>
        <v/>
      </c>
      <c r="O29" s="127"/>
      <c r="P29" s="137"/>
      <c r="Q29" s="58" t="str" cm="1">
        <f>IF(ISBLANK($A29),"",INDEX(Array_WaterCharges,MATCH($A29,List_WaterMeters,0),ROUNDUP((COLUMN()+0)/3-1,0)))</f>
        <v/>
      </c>
      <c r="R29" s="127"/>
      <c r="S29" s="137"/>
      <c r="T29" s="58" t="str" cm="1">
        <f>IF(ISBLANK($A29),"",INDEX(Array_WaterCharges,MATCH($A29,List_WaterMeters,0),ROUNDUP((COLUMN()+0)/3-1,0)))</f>
        <v/>
      </c>
      <c r="U29" s="127"/>
      <c r="V29" s="137"/>
      <c r="W29" s="58" t="str" cm="1">
        <f>IF(ISBLANK($A29),"",INDEX(Array_WaterCharges,MATCH($A29,List_WaterMeters,0),ROUNDUP((COLUMN()+0)/3-1,0)))</f>
        <v/>
      </c>
      <c r="X29" s="127"/>
      <c r="Y29" s="137"/>
      <c r="Z29" s="58" t="str" cm="1">
        <f>IF(ISBLANK($A29),"",INDEX(Array_WaterCharges,MATCH($A29,List_WaterMeters,0),ROUNDUP((COLUMN()+0)/3-1,0)))</f>
        <v/>
      </c>
      <c r="AA29" s="127"/>
      <c r="AB29" s="137"/>
      <c r="AC29" s="58" t="str" cm="1">
        <f>IF(ISBLANK($A29),"",INDEX(Array_WaterCharges,MATCH($A29,List_WaterMeters,0),ROUNDUP((COLUMN()+0)/3-1,0)))</f>
        <v/>
      </c>
      <c r="AD29" s="127"/>
      <c r="AE29" s="137"/>
      <c r="AF29" s="58" t="str" cm="1">
        <f>IF(ISBLANK($A29),"",INDEX(Array_WaterCharges,MATCH($A29,List_WaterMeters,0),ROUNDUP((COLUMN()+0)/3-1,0)))</f>
        <v/>
      </c>
      <c r="AG29" s="127"/>
      <c r="AH29" s="137"/>
    </row>
    <row r="30" spans="1:34" x14ac:dyDescent="0.3">
      <c r="A30" s="126"/>
      <c r="B30" s="133"/>
      <c r="C30" s="127"/>
      <c r="D30" s="137"/>
      <c r="E30" s="58" t="str" cm="1">
        <f>IF(ISBLANK($A30),"",INDEX(Array_WaterCharges,MATCH($A30,List_WaterMeters,0),ROUNDUP((COLUMN()+0)/3-1,0)))</f>
        <v/>
      </c>
      <c r="F30" s="127"/>
      <c r="G30" s="137"/>
      <c r="H30" s="58" t="str" cm="1">
        <f>IF(ISBLANK($A30),"",INDEX(Array_WaterCharges,MATCH($A30,List_WaterMeters,0),ROUNDUP((COLUMN()+0)/3-1,0)))</f>
        <v/>
      </c>
      <c r="I30" s="127"/>
      <c r="J30" s="137"/>
      <c r="K30" s="58" t="str" cm="1">
        <f>IF(ISBLANK($A30),"",INDEX(Array_WaterCharges,MATCH($A30,List_WaterMeters,0),ROUNDUP((COLUMN()+0)/3-1,0)))</f>
        <v/>
      </c>
      <c r="L30" s="127"/>
      <c r="M30" s="137"/>
      <c r="N30" s="58" t="str" cm="1">
        <f>IF(ISBLANK($A30),"",INDEX(Array_WaterCharges,MATCH($A30,List_WaterMeters,0),ROUNDUP((COLUMN()+0)/3-1,0)))</f>
        <v/>
      </c>
      <c r="O30" s="127"/>
      <c r="P30" s="137"/>
      <c r="Q30" s="58" t="str" cm="1">
        <f>IF(ISBLANK($A30),"",INDEX(Array_WaterCharges,MATCH($A30,List_WaterMeters,0),ROUNDUP((COLUMN()+0)/3-1,0)))</f>
        <v/>
      </c>
      <c r="R30" s="127"/>
      <c r="S30" s="137"/>
      <c r="T30" s="58" t="str" cm="1">
        <f>IF(ISBLANK($A30),"",INDEX(Array_WaterCharges,MATCH($A30,List_WaterMeters,0),ROUNDUP((COLUMN()+0)/3-1,0)))</f>
        <v/>
      </c>
      <c r="U30" s="127"/>
      <c r="V30" s="137"/>
      <c r="W30" s="58" t="str" cm="1">
        <f>IF(ISBLANK($A30),"",INDEX(Array_WaterCharges,MATCH($A30,List_WaterMeters,0),ROUNDUP((COLUMN()+0)/3-1,0)))</f>
        <v/>
      </c>
      <c r="X30" s="127"/>
      <c r="Y30" s="137"/>
      <c r="Z30" s="58" t="str" cm="1">
        <f>IF(ISBLANK($A30),"",INDEX(Array_WaterCharges,MATCH($A30,List_WaterMeters,0),ROUNDUP((COLUMN()+0)/3-1,0)))</f>
        <v/>
      </c>
      <c r="AA30" s="127"/>
      <c r="AB30" s="137"/>
      <c r="AC30" s="58" t="str" cm="1">
        <f>IF(ISBLANK($A30),"",INDEX(Array_WaterCharges,MATCH($A30,List_WaterMeters,0),ROUNDUP((COLUMN()+0)/3-1,0)))</f>
        <v/>
      </c>
      <c r="AD30" s="127"/>
      <c r="AE30" s="137"/>
      <c r="AF30" s="58" t="str" cm="1">
        <f>IF(ISBLANK($A30),"",INDEX(Array_WaterCharges,MATCH($A30,List_WaterMeters,0),ROUNDUP((COLUMN()+0)/3-1,0)))</f>
        <v/>
      </c>
      <c r="AG30" s="127"/>
      <c r="AH30" s="137"/>
    </row>
    <row r="31" spans="1:34" x14ac:dyDescent="0.3">
      <c r="A31" s="126"/>
      <c r="B31" s="133"/>
      <c r="C31" s="127"/>
      <c r="D31" s="137"/>
      <c r="E31" s="58" t="str" cm="1">
        <f>IF(ISBLANK($A31),"",INDEX(Array_WaterCharges,MATCH($A31,List_WaterMeters,0),ROUNDUP((COLUMN()+0)/3-1,0)))</f>
        <v/>
      </c>
      <c r="F31" s="127"/>
      <c r="G31" s="137"/>
      <c r="H31" s="58" t="str" cm="1">
        <f>IF(ISBLANK($A31),"",INDEX(Array_WaterCharges,MATCH($A31,List_WaterMeters,0),ROUNDUP((COLUMN()+0)/3-1,0)))</f>
        <v/>
      </c>
      <c r="I31" s="127"/>
      <c r="J31" s="137"/>
      <c r="K31" s="58" t="str" cm="1">
        <f>IF(ISBLANK($A31),"",INDEX(Array_WaterCharges,MATCH($A31,List_WaterMeters,0),ROUNDUP((COLUMN()+0)/3-1,0)))</f>
        <v/>
      </c>
      <c r="L31" s="127"/>
      <c r="M31" s="137"/>
      <c r="N31" s="58" t="str" cm="1">
        <f>IF(ISBLANK($A31),"",INDEX(Array_WaterCharges,MATCH($A31,List_WaterMeters,0),ROUNDUP((COLUMN()+0)/3-1,0)))</f>
        <v/>
      </c>
      <c r="O31" s="127"/>
      <c r="P31" s="137"/>
      <c r="Q31" s="58" t="str" cm="1">
        <f>IF(ISBLANK($A31),"",INDEX(Array_WaterCharges,MATCH($A31,List_WaterMeters,0),ROUNDUP((COLUMN()+0)/3-1,0)))</f>
        <v/>
      </c>
      <c r="R31" s="127"/>
      <c r="S31" s="137"/>
      <c r="T31" s="58" t="str" cm="1">
        <f>IF(ISBLANK($A31),"",INDEX(Array_WaterCharges,MATCH($A31,List_WaterMeters,0),ROUNDUP((COLUMN()+0)/3-1,0)))</f>
        <v/>
      </c>
      <c r="U31" s="127"/>
      <c r="V31" s="137"/>
      <c r="W31" s="58" t="str" cm="1">
        <f>IF(ISBLANK($A31),"",INDEX(Array_WaterCharges,MATCH($A31,List_WaterMeters,0),ROUNDUP((COLUMN()+0)/3-1,0)))</f>
        <v/>
      </c>
      <c r="X31" s="127"/>
      <c r="Y31" s="137"/>
      <c r="Z31" s="58" t="str" cm="1">
        <f>IF(ISBLANK($A31),"",INDEX(Array_WaterCharges,MATCH($A31,List_WaterMeters,0),ROUNDUP((COLUMN()+0)/3-1,0)))</f>
        <v/>
      </c>
      <c r="AA31" s="127"/>
      <c r="AB31" s="137"/>
      <c r="AC31" s="58" t="str" cm="1">
        <f>IF(ISBLANK($A31),"",INDEX(Array_WaterCharges,MATCH($A31,List_WaterMeters,0),ROUNDUP((COLUMN()+0)/3-1,0)))</f>
        <v/>
      </c>
      <c r="AD31" s="127"/>
      <c r="AE31" s="137"/>
      <c r="AF31" s="58" t="str" cm="1">
        <f>IF(ISBLANK($A31),"",INDEX(Array_WaterCharges,MATCH($A31,List_WaterMeters,0),ROUNDUP((COLUMN()+0)/3-1,0)))</f>
        <v/>
      </c>
      <c r="AG31" s="127"/>
      <c r="AH31" s="137"/>
    </row>
    <row r="32" spans="1:34" x14ac:dyDescent="0.3">
      <c r="A32" s="126"/>
      <c r="B32" s="133"/>
      <c r="C32" s="127"/>
      <c r="D32" s="137"/>
      <c r="E32" s="58" t="str" cm="1">
        <f>IF(ISBLANK($A32),"",INDEX(Array_WaterCharges,MATCH($A32,List_WaterMeters,0),ROUNDUP((COLUMN()+0)/3-1,0)))</f>
        <v/>
      </c>
      <c r="F32" s="127"/>
      <c r="G32" s="137"/>
      <c r="H32" s="58" t="str" cm="1">
        <f>IF(ISBLANK($A32),"",INDEX(Array_WaterCharges,MATCH($A32,List_WaterMeters,0),ROUNDUP((COLUMN()+0)/3-1,0)))</f>
        <v/>
      </c>
      <c r="I32" s="127"/>
      <c r="J32" s="137"/>
      <c r="K32" s="58" t="str" cm="1">
        <f>IF(ISBLANK($A32),"",INDEX(Array_WaterCharges,MATCH($A32,List_WaterMeters,0),ROUNDUP((COLUMN()+0)/3-1,0)))</f>
        <v/>
      </c>
      <c r="L32" s="127"/>
      <c r="M32" s="137"/>
      <c r="N32" s="58" t="str" cm="1">
        <f>IF(ISBLANK($A32),"",INDEX(Array_WaterCharges,MATCH($A32,List_WaterMeters,0),ROUNDUP((COLUMN()+0)/3-1,0)))</f>
        <v/>
      </c>
      <c r="O32" s="127"/>
      <c r="P32" s="137"/>
      <c r="Q32" s="58" t="str" cm="1">
        <f>IF(ISBLANK($A32),"",INDEX(Array_WaterCharges,MATCH($A32,List_WaterMeters,0),ROUNDUP((COLUMN()+0)/3-1,0)))</f>
        <v/>
      </c>
      <c r="R32" s="127"/>
      <c r="S32" s="137"/>
      <c r="T32" s="58" t="str" cm="1">
        <f>IF(ISBLANK($A32),"",INDEX(Array_WaterCharges,MATCH($A32,List_WaterMeters,0),ROUNDUP((COLUMN()+0)/3-1,0)))</f>
        <v/>
      </c>
      <c r="U32" s="127"/>
      <c r="V32" s="137"/>
      <c r="W32" s="58" t="str" cm="1">
        <f>IF(ISBLANK($A32),"",INDEX(Array_WaterCharges,MATCH($A32,List_WaterMeters,0),ROUNDUP((COLUMN()+0)/3-1,0)))</f>
        <v/>
      </c>
      <c r="X32" s="127"/>
      <c r="Y32" s="137"/>
      <c r="Z32" s="58" t="str" cm="1">
        <f>IF(ISBLANK($A32),"",INDEX(Array_WaterCharges,MATCH($A32,List_WaterMeters,0),ROUNDUP((COLUMN()+0)/3-1,0)))</f>
        <v/>
      </c>
      <c r="AA32" s="127"/>
      <c r="AB32" s="137"/>
      <c r="AC32" s="58" t="str" cm="1">
        <f>IF(ISBLANK($A32),"",INDEX(Array_WaterCharges,MATCH($A32,List_WaterMeters,0),ROUNDUP((COLUMN()+0)/3-1,0)))</f>
        <v/>
      </c>
      <c r="AD32" s="127"/>
      <c r="AE32" s="137"/>
      <c r="AF32" s="58" t="str" cm="1">
        <f>IF(ISBLANK($A32),"",INDEX(Array_WaterCharges,MATCH($A32,List_WaterMeters,0),ROUNDUP((COLUMN()+0)/3-1,0)))</f>
        <v/>
      </c>
      <c r="AG32" s="127"/>
      <c r="AH32" s="137"/>
    </row>
    <row r="33" spans="1:34" x14ac:dyDescent="0.3">
      <c r="A33" s="126"/>
      <c r="B33" s="133"/>
      <c r="C33" s="127"/>
      <c r="D33" s="137"/>
      <c r="E33" s="58" t="str" cm="1">
        <f>IF(ISBLANK($A33),"",INDEX(Array_WaterCharges,MATCH($A33,List_WaterMeters,0),ROUNDUP((COLUMN()+0)/3-1,0)))</f>
        <v/>
      </c>
      <c r="F33" s="127"/>
      <c r="G33" s="137"/>
      <c r="H33" s="58" t="str" cm="1">
        <f>IF(ISBLANK($A33),"",INDEX(Array_WaterCharges,MATCH($A33,List_WaterMeters,0),ROUNDUP((COLUMN()+0)/3-1,0)))</f>
        <v/>
      </c>
      <c r="I33" s="127"/>
      <c r="J33" s="137"/>
      <c r="K33" s="58" t="str" cm="1">
        <f>IF(ISBLANK($A33),"",INDEX(Array_WaterCharges,MATCH($A33,List_WaterMeters,0),ROUNDUP((COLUMN()+0)/3-1,0)))</f>
        <v/>
      </c>
      <c r="L33" s="127"/>
      <c r="M33" s="137"/>
      <c r="N33" s="58" t="str" cm="1">
        <f>IF(ISBLANK($A33),"",INDEX(Array_WaterCharges,MATCH($A33,List_WaterMeters,0),ROUNDUP((COLUMN()+0)/3-1,0)))</f>
        <v/>
      </c>
      <c r="O33" s="127"/>
      <c r="P33" s="137"/>
      <c r="Q33" s="58" t="str" cm="1">
        <f>IF(ISBLANK($A33),"",INDEX(Array_WaterCharges,MATCH($A33,List_WaterMeters,0),ROUNDUP((COLUMN()+0)/3-1,0)))</f>
        <v/>
      </c>
      <c r="R33" s="127"/>
      <c r="S33" s="137"/>
      <c r="T33" s="58" t="str" cm="1">
        <f>IF(ISBLANK($A33),"",INDEX(Array_WaterCharges,MATCH($A33,List_WaterMeters,0),ROUNDUP((COLUMN()+0)/3-1,0)))</f>
        <v/>
      </c>
      <c r="U33" s="127"/>
      <c r="V33" s="137"/>
      <c r="W33" s="58" t="str" cm="1">
        <f>IF(ISBLANK($A33),"",INDEX(Array_WaterCharges,MATCH($A33,List_WaterMeters,0),ROUNDUP((COLUMN()+0)/3-1,0)))</f>
        <v/>
      </c>
      <c r="X33" s="127"/>
      <c r="Y33" s="137"/>
      <c r="Z33" s="58" t="str" cm="1">
        <f>IF(ISBLANK($A33),"",INDEX(Array_WaterCharges,MATCH($A33,List_WaterMeters,0),ROUNDUP((COLUMN()+0)/3-1,0)))</f>
        <v/>
      </c>
      <c r="AA33" s="127"/>
      <c r="AB33" s="137"/>
      <c r="AC33" s="58" t="str" cm="1">
        <f>IF(ISBLANK($A33),"",INDEX(Array_WaterCharges,MATCH($A33,List_WaterMeters,0),ROUNDUP((COLUMN()+0)/3-1,0)))</f>
        <v/>
      </c>
      <c r="AD33" s="127"/>
      <c r="AE33" s="137"/>
      <c r="AF33" s="58" t="str" cm="1">
        <f>IF(ISBLANK($A33),"",INDEX(Array_WaterCharges,MATCH($A33,List_WaterMeters,0),ROUNDUP((COLUMN()+0)/3-1,0)))</f>
        <v/>
      </c>
      <c r="AG33" s="127"/>
      <c r="AH33" s="137"/>
    </row>
    <row r="34" spans="1:34" x14ac:dyDescent="0.3">
      <c r="A34" s="126"/>
      <c r="B34" s="133"/>
      <c r="C34" s="127"/>
      <c r="D34" s="137"/>
      <c r="E34" s="58" t="str" cm="1">
        <f>IF(ISBLANK($A34),"",INDEX(Array_WaterCharges,MATCH($A34,List_WaterMeters,0),ROUNDUP((COLUMN()+0)/3-1,0)))</f>
        <v/>
      </c>
      <c r="F34" s="127"/>
      <c r="G34" s="137"/>
      <c r="H34" s="58" t="str" cm="1">
        <f>IF(ISBLANK($A34),"",INDEX(Array_WaterCharges,MATCH($A34,List_WaterMeters,0),ROUNDUP((COLUMN()+0)/3-1,0)))</f>
        <v/>
      </c>
      <c r="I34" s="127"/>
      <c r="J34" s="137"/>
      <c r="K34" s="58" t="str" cm="1">
        <f>IF(ISBLANK($A34),"",INDEX(Array_WaterCharges,MATCH($A34,List_WaterMeters,0),ROUNDUP((COLUMN()+0)/3-1,0)))</f>
        <v/>
      </c>
      <c r="L34" s="127"/>
      <c r="M34" s="137"/>
      <c r="N34" s="58" t="str" cm="1">
        <f>IF(ISBLANK($A34),"",INDEX(Array_WaterCharges,MATCH($A34,List_WaterMeters,0),ROUNDUP((COLUMN()+0)/3-1,0)))</f>
        <v/>
      </c>
      <c r="O34" s="127"/>
      <c r="P34" s="137"/>
      <c r="Q34" s="58" t="str" cm="1">
        <f>IF(ISBLANK($A34),"",INDEX(Array_WaterCharges,MATCH($A34,List_WaterMeters,0),ROUNDUP((COLUMN()+0)/3-1,0)))</f>
        <v/>
      </c>
      <c r="R34" s="127"/>
      <c r="S34" s="137"/>
      <c r="T34" s="58" t="str" cm="1">
        <f>IF(ISBLANK($A34),"",INDEX(Array_WaterCharges,MATCH($A34,List_WaterMeters,0),ROUNDUP((COLUMN()+0)/3-1,0)))</f>
        <v/>
      </c>
      <c r="U34" s="127"/>
      <c r="V34" s="137"/>
      <c r="W34" s="58" t="str" cm="1">
        <f>IF(ISBLANK($A34),"",INDEX(Array_WaterCharges,MATCH($A34,List_WaterMeters,0),ROUNDUP((COLUMN()+0)/3-1,0)))</f>
        <v/>
      </c>
      <c r="X34" s="127"/>
      <c r="Y34" s="137"/>
      <c r="Z34" s="58" t="str" cm="1">
        <f>IF(ISBLANK($A34),"",INDEX(Array_WaterCharges,MATCH($A34,List_WaterMeters,0),ROUNDUP((COLUMN()+0)/3-1,0)))</f>
        <v/>
      </c>
      <c r="AA34" s="127"/>
      <c r="AB34" s="137"/>
      <c r="AC34" s="58" t="str" cm="1">
        <f>IF(ISBLANK($A34),"",INDEX(Array_WaterCharges,MATCH($A34,List_WaterMeters,0),ROUNDUP((COLUMN()+0)/3-1,0)))</f>
        <v/>
      </c>
      <c r="AD34" s="127"/>
      <c r="AE34" s="137"/>
      <c r="AF34" s="58" t="str" cm="1">
        <f>IF(ISBLANK($A34),"",INDEX(Array_WaterCharges,MATCH($A34,List_WaterMeters,0),ROUNDUP((COLUMN()+0)/3-1,0)))</f>
        <v/>
      </c>
      <c r="AG34" s="127"/>
      <c r="AH34" s="137"/>
    </row>
    <row r="35" spans="1:34" x14ac:dyDescent="0.3">
      <c r="A35" s="126"/>
      <c r="B35" s="133"/>
      <c r="C35" s="127"/>
      <c r="D35" s="137"/>
      <c r="E35" s="58" t="str" cm="1">
        <f>IF(ISBLANK($A35),"",INDEX(Array_WaterCharges,MATCH($A35,List_WaterMeters,0),ROUNDUP((COLUMN()+0)/3-1,0)))</f>
        <v/>
      </c>
      <c r="F35" s="127"/>
      <c r="G35" s="137"/>
      <c r="H35" s="58" t="str" cm="1">
        <f>IF(ISBLANK($A35),"",INDEX(Array_WaterCharges,MATCH($A35,List_WaterMeters,0),ROUNDUP((COLUMN()+0)/3-1,0)))</f>
        <v/>
      </c>
      <c r="I35" s="127"/>
      <c r="J35" s="137"/>
      <c r="K35" s="58" t="str" cm="1">
        <f>IF(ISBLANK($A35),"",INDEX(Array_WaterCharges,MATCH($A35,List_WaterMeters,0),ROUNDUP((COLUMN()+0)/3-1,0)))</f>
        <v/>
      </c>
      <c r="L35" s="127"/>
      <c r="M35" s="137"/>
      <c r="N35" s="58" t="str" cm="1">
        <f>IF(ISBLANK($A35),"",INDEX(Array_WaterCharges,MATCH($A35,List_WaterMeters,0),ROUNDUP((COLUMN()+0)/3-1,0)))</f>
        <v/>
      </c>
      <c r="O35" s="127"/>
      <c r="P35" s="137"/>
      <c r="Q35" s="58" t="str" cm="1">
        <f>IF(ISBLANK($A35),"",INDEX(Array_WaterCharges,MATCH($A35,List_WaterMeters,0),ROUNDUP((COLUMN()+0)/3-1,0)))</f>
        <v/>
      </c>
      <c r="R35" s="127"/>
      <c r="S35" s="137"/>
      <c r="T35" s="58" t="str" cm="1">
        <f>IF(ISBLANK($A35),"",INDEX(Array_WaterCharges,MATCH($A35,List_WaterMeters,0),ROUNDUP((COLUMN()+0)/3-1,0)))</f>
        <v/>
      </c>
      <c r="U35" s="127"/>
      <c r="V35" s="137"/>
      <c r="W35" s="58" t="str" cm="1">
        <f>IF(ISBLANK($A35),"",INDEX(Array_WaterCharges,MATCH($A35,List_WaterMeters,0),ROUNDUP((COLUMN()+0)/3-1,0)))</f>
        <v/>
      </c>
      <c r="X35" s="127"/>
      <c r="Y35" s="137"/>
      <c r="Z35" s="58" t="str" cm="1">
        <f>IF(ISBLANK($A35),"",INDEX(Array_WaterCharges,MATCH($A35,List_WaterMeters,0),ROUNDUP((COLUMN()+0)/3-1,0)))</f>
        <v/>
      </c>
      <c r="AA35" s="127"/>
      <c r="AB35" s="137"/>
      <c r="AC35" s="58" t="str" cm="1">
        <f>IF(ISBLANK($A35),"",INDEX(Array_WaterCharges,MATCH($A35,List_WaterMeters,0),ROUNDUP((COLUMN()+0)/3-1,0)))</f>
        <v/>
      </c>
      <c r="AD35" s="127"/>
      <c r="AE35" s="137"/>
      <c r="AF35" s="58" t="str" cm="1">
        <f>IF(ISBLANK($A35),"",INDEX(Array_WaterCharges,MATCH($A35,List_WaterMeters,0),ROUNDUP((COLUMN()+0)/3-1,0)))</f>
        <v/>
      </c>
      <c r="AG35" s="127"/>
      <c r="AH35" s="137"/>
    </row>
    <row r="36" spans="1:34" x14ac:dyDescent="0.3">
      <c r="A36" s="126"/>
      <c r="B36" s="133"/>
      <c r="C36" s="127"/>
      <c r="D36" s="137"/>
      <c r="E36" s="58" t="str" cm="1">
        <f>IF(ISBLANK($A36),"",INDEX(Array_WaterCharges,MATCH($A36,List_WaterMeters,0),ROUNDUP((COLUMN()+0)/3-1,0)))</f>
        <v/>
      </c>
      <c r="F36" s="127"/>
      <c r="G36" s="137"/>
      <c r="H36" s="58" t="str" cm="1">
        <f>IF(ISBLANK($A36),"",INDEX(Array_WaterCharges,MATCH($A36,List_WaterMeters,0),ROUNDUP((COLUMN()+0)/3-1,0)))</f>
        <v/>
      </c>
      <c r="I36" s="127"/>
      <c r="J36" s="137"/>
      <c r="K36" s="58" t="str" cm="1">
        <f>IF(ISBLANK($A36),"",INDEX(Array_WaterCharges,MATCH($A36,List_WaterMeters,0),ROUNDUP((COLUMN()+0)/3-1,0)))</f>
        <v/>
      </c>
      <c r="L36" s="127"/>
      <c r="M36" s="137"/>
      <c r="N36" s="58" t="str" cm="1">
        <f>IF(ISBLANK($A36),"",INDEX(Array_WaterCharges,MATCH($A36,List_WaterMeters,0),ROUNDUP((COLUMN()+0)/3-1,0)))</f>
        <v/>
      </c>
      <c r="O36" s="127"/>
      <c r="P36" s="137"/>
      <c r="Q36" s="58" t="str" cm="1">
        <f>IF(ISBLANK($A36),"",INDEX(Array_WaterCharges,MATCH($A36,List_WaterMeters,0),ROUNDUP((COLUMN()+0)/3-1,0)))</f>
        <v/>
      </c>
      <c r="R36" s="127"/>
      <c r="S36" s="137"/>
      <c r="T36" s="58" t="str" cm="1">
        <f>IF(ISBLANK($A36),"",INDEX(Array_WaterCharges,MATCH($A36,List_WaterMeters,0),ROUNDUP((COLUMN()+0)/3-1,0)))</f>
        <v/>
      </c>
      <c r="U36" s="127"/>
      <c r="V36" s="137"/>
      <c r="W36" s="58" t="str" cm="1">
        <f>IF(ISBLANK($A36),"",INDEX(Array_WaterCharges,MATCH($A36,List_WaterMeters,0),ROUNDUP((COLUMN()+0)/3-1,0)))</f>
        <v/>
      </c>
      <c r="X36" s="127"/>
      <c r="Y36" s="137"/>
      <c r="Z36" s="58" t="str" cm="1">
        <f>IF(ISBLANK($A36),"",INDEX(Array_WaterCharges,MATCH($A36,List_WaterMeters,0),ROUNDUP((COLUMN()+0)/3-1,0)))</f>
        <v/>
      </c>
      <c r="AA36" s="127"/>
      <c r="AB36" s="137"/>
      <c r="AC36" s="58" t="str" cm="1">
        <f>IF(ISBLANK($A36),"",INDEX(Array_WaterCharges,MATCH($A36,List_WaterMeters,0),ROUNDUP((COLUMN()+0)/3-1,0)))</f>
        <v/>
      </c>
      <c r="AD36" s="127"/>
      <c r="AE36" s="137"/>
      <c r="AF36" s="58" t="str" cm="1">
        <f>IF(ISBLANK($A36),"",INDEX(Array_WaterCharges,MATCH($A36,List_WaterMeters,0),ROUNDUP((COLUMN()+0)/3-1,0)))</f>
        <v/>
      </c>
      <c r="AG36" s="127"/>
      <c r="AH36" s="137"/>
    </row>
    <row r="37" spans="1:34" x14ac:dyDescent="0.3">
      <c r="A37" s="126"/>
      <c r="B37" s="133"/>
      <c r="C37" s="127"/>
      <c r="D37" s="137"/>
      <c r="E37" s="58" t="str" cm="1">
        <f>IF(ISBLANK($A37),"",INDEX(Array_WaterCharges,MATCH($A37,List_WaterMeters,0),ROUNDUP((COLUMN()+0)/3-1,0)))</f>
        <v/>
      </c>
      <c r="F37" s="127"/>
      <c r="G37" s="137"/>
      <c r="H37" s="58" t="str" cm="1">
        <f>IF(ISBLANK($A37),"",INDEX(Array_WaterCharges,MATCH($A37,List_WaterMeters,0),ROUNDUP((COLUMN()+0)/3-1,0)))</f>
        <v/>
      </c>
      <c r="I37" s="127"/>
      <c r="J37" s="137"/>
      <c r="K37" s="58" t="str" cm="1">
        <f>IF(ISBLANK($A37),"",INDEX(Array_WaterCharges,MATCH($A37,List_WaterMeters,0),ROUNDUP((COLUMN()+0)/3-1,0)))</f>
        <v/>
      </c>
      <c r="L37" s="127"/>
      <c r="M37" s="137"/>
      <c r="N37" s="58" t="str" cm="1">
        <f>IF(ISBLANK($A37),"",INDEX(Array_WaterCharges,MATCH($A37,List_WaterMeters,0),ROUNDUP((COLUMN()+0)/3-1,0)))</f>
        <v/>
      </c>
      <c r="O37" s="127"/>
      <c r="P37" s="137"/>
      <c r="Q37" s="58" t="str" cm="1">
        <f>IF(ISBLANK($A37),"",INDEX(Array_WaterCharges,MATCH($A37,List_WaterMeters,0),ROUNDUP((COLUMN()+0)/3-1,0)))</f>
        <v/>
      </c>
      <c r="R37" s="127"/>
      <c r="S37" s="137"/>
      <c r="T37" s="58" t="str" cm="1">
        <f>IF(ISBLANK($A37),"",INDEX(Array_WaterCharges,MATCH($A37,List_WaterMeters,0),ROUNDUP((COLUMN()+0)/3-1,0)))</f>
        <v/>
      </c>
      <c r="U37" s="127"/>
      <c r="V37" s="137"/>
      <c r="W37" s="58" t="str" cm="1">
        <f>IF(ISBLANK($A37),"",INDEX(Array_WaterCharges,MATCH($A37,List_WaterMeters,0),ROUNDUP((COLUMN()+0)/3-1,0)))</f>
        <v/>
      </c>
      <c r="X37" s="127"/>
      <c r="Y37" s="137"/>
      <c r="Z37" s="58" t="str" cm="1">
        <f>IF(ISBLANK($A37),"",INDEX(Array_WaterCharges,MATCH($A37,List_WaterMeters,0),ROUNDUP((COLUMN()+0)/3-1,0)))</f>
        <v/>
      </c>
      <c r="AA37" s="127"/>
      <c r="AB37" s="137"/>
      <c r="AC37" s="58" t="str" cm="1">
        <f>IF(ISBLANK($A37),"",INDEX(Array_WaterCharges,MATCH($A37,List_WaterMeters,0),ROUNDUP((COLUMN()+0)/3-1,0)))</f>
        <v/>
      </c>
      <c r="AD37" s="127"/>
      <c r="AE37" s="137"/>
      <c r="AF37" s="58" t="str" cm="1">
        <f>IF(ISBLANK($A37),"",INDEX(Array_WaterCharges,MATCH($A37,List_WaterMeters,0),ROUNDUP((COLUMN()+0)/3-1,0)))</f>
        <v/>
      </c>
      <c r="AG37" s="127"/>
      <c r="AH37" s="137"/>
    </row>
    <row r="38" spans="1:34" x14ac:dyDescent="0.3">
      <c r="A38" s="126"/>
      <c r="B38" s="133"/>
      <c r="C38" s="127"/>
      <c r="D38" s="137"/>
      <c r="E38" s="58" t="str" cm="1">
        <f>IF(ISBLANK($A38),"",INDEX(Array_WaterCharges,MATCH($A38,List_WaterMeters,0),ROUNDUP((COLUMN()+0)/3-1,0)))</f>
        <v/>
      </c>
      <c r="F38" s="127"/>
      <c r="G38" s="137"/>
      <c r="H38" s="58" t="str" cm="1">
        <f>IF(ISBLANK($A38),"",INDEX(Array_WaterCharges,MATCH($A38,List_WaterMeters,0),ROUNDUP((COLUMN()+0)/3-1,0)))</f>
        <v/>
      </c>
      <c r="I38" s="127"/>
      <c r="J38" s="137"/>
      <c r="K38" s="58" t="str" cm="1">
        <f>IF(ISBLANK($A38),"",INDEX(Array_WaterCharges,MATCH($A38,List_WaterMeters,0),ROUNDUP((COLUMN()+0)/3-1,0)))</f>
        <v/>
      </c>
      <c r="L38" s="127"/>
      <c r="M38" s="137"/>
      <c r="N38" s="58" t="str" cm="1">
        <f>IF(ISBLANK($A38),"",INDEX(Array_WaterCharges,MATCH($A38,List_WaterMeters,0),ROUNDUP((COLUMN()+0)/3-1,0)))</f>
        <v/>
      </c>
      <c r="O38" s="127"/>
      <c r="P38" s="137"/>
      <c r="Q38" s="58" t="str" cm="1">
        <f>IF(ISBLANK($A38),"",INDEX(Array_WaterCharges,MATCH($A38,List_WaterMeters,0),ROUNDUP((COLUMN()+0)/3-1,0)))</f>
        <v/>
      </c>
      <c r="R38" s="127"/>
      <c r="S38" s="137"/>
      <c r="T38" s="58" t="str" cm="1">
        <f>IF(ISBLANK($A38),"",INDEX(Array_WaterCharges,MATCH($A38,List_WaterMeters,0),ROUNDUP((COLUMN()+0)/3-1,0)))</f>
        <v/>
      </c>
      <c r="U38" s="127"/>
      <c r="V38" s="137"/>
      <c r="W38" s="58" t="str" cm="1">
        <f>IF(ISBLANK($A38),"",INDEX(Array_WaterCharges,MATCH($A38,List_WaterMeters,0),ROUNDUP((COLUMN()+0)/3-1,0)))</f>
        <v/>
      </c>
      <c r="X38" s="127"/>
      <c r="Y38" s="137"/>
      <c r="Z38" s="58" t="str" cm="1">
        <f>IF(ISBLANK($A38),"",INDEX(Array_WaterCharges,MATCH($A38,List_WaterMeters,0),ROUNDUP((COLUMN()+0)/3-1,0)))</f>
        <v/>
      </c>
      <c r="AA38" s="127"/>
      <c r="AB38" s="137"/>
      <c r="AC38" s="58" t="str" cm="1">
        <f>IF(ISBLANK($A38),"",INDEX(Array_WaterCharges,MATCH($A38,List_WaterMeters,0),ROUNDUP((COLUMN()+0)/3-1,0)))</f>
        <v/>
      </c>
      <c r="AD38" s="127"/>
      <c r="AE38" s="137"/>
      <c r="AF38" s="58" t="str" cm="1">
        <f>IF(ISBLANK($A38),"",INDEX(Array_WaterCharges,MATCH($A38,List_WaterMeters,0),ROUNDUP((COLUMN()+0)/3-1,0)))</f>
        <v/>
      </c>
      <c r="AG38" s="127"/>
      <c r="AH38" s="137"/>
    </row>
    <row r="39" spans="1:34" x14ac:dyDescent="0.3">
      <c r="A39" s="126"/>
      <c r="B39" s="133"/>
      <c r="C39" s="127"/>
      <c r="D39" s="137"/>
      <c r="E39" s="58" t="str" cm="1">
        <f>IF(ISBLANK($A39),"",INDEX(Array_WaterCharges,MATCH($A39,List_WaterMeters,0),ROUNDUP((COLUMN()+0)/3-1,0)))</f>
        <v/>
      </c>
      <c r="F39" s="127"/>
      <c r="G39" s="137"/>
      <c r="H39" s="58" t="str" cm="1">
        <f>IF(ISBLANK($A39),"",INDEX(Array_WaterCharges,MATCH($A39,List_WaterMeters,0),ROUNDUP((COLUMN()+0)/3-1,0)))</f>
        <v/>
      </c>
      <c r="I39" s="127"/>
      <c r="J39" s="137"/>
      <c r="K39" s="58" t="str" cm="1">
        <f>IF(ISBLANK($A39),"",INDEX(Array_WaterCharges,MATCH($A39,List_WaterMeters,0),ROUNDUP((COLUMN()+0)/3-1,0)))</f>
        <v/>
      </c>
      <c r="L39" s="127"/>
      <c r="M39" s="137"/>
      <c r="N39" s="58" t="str" cm="1">
        <f>IF(ISBLANK($A39),"",INDEX(Array_WaterCharges,MATCH($A39,List_WaterMeters,0),ROUNDUP((COLUMN()+0)/3-1,0)))</f>
        <v/>
      </c>
      <c r="O39" s="127"/>
      <c r="P39" s="137"/>
      <c r="Q39" s="58" t="str" cm="1">
        <f>IF(ISBLANK($A39),"",INDEX(Array_WaterCharges,MATCH($A39,List_WaterMeters,0),ROUNDUP((COLUMN()+0)/3-1,0)))</f>
        <v/>
      </c>
      <c r="R39" s="127"/>
      <c r="S39" s="137"/>
      <c r="T39" s="58" t="str" cm="1">
        <f>IF(ISBLANK($A39),"",INDEX(Array_WaterCharges,MATCH($A39,List_WaterMeters,0),ROUNDUP((COLUMN()+0)/3-1,0)))</f>
        <v/>
      </c>
      <c r="U39" s="127"/>
      <c r="V39" s="137"/>
      <c r="W39" s="58" t="str" cm="1">
        <f>IF(ISBLANK($A39),"",INDEX(Array_WaterCharges,MATCH($A39,List_WaterMeters,0),ROUNDUP((COLUMN()+0)/3-1,0)))</f>
        <v/>
      </c>
      <c r="X39" s="127"/>
      <c r="Y39" s="137"/>
      <c r="Z39" s="58" t="str" cm="1">
        <f>IF(ISBLANK($A39),"",INDEX(Array_WaterCharges,MATCH($A39,List_WaterMeters,0),ROUNDUP((COLUMN()+0)/3-1,0)))</f>
        <v/>
      </c>
      <c r="AA39" s="127"/>
      <c r="AB39" s="137"/>
      <c r="AC39" s="58" t="str" cm="1">
        <f>IF(ISBLANK($A39),"",INDEX(Array_WaterCharges,MATCH($A39,List_WaterMeters,0),ROUNDUP((COLUMN()+0)/3-1,0)))</f>
        <v/>
      </c>
      <c r="AD39" s="127"/>
      <c r="AE39" s="137"/>
      <c r="AF39" s="58" t="str" cm="1">
        <f>IF(ISBLANK($A39),"",INDEX(Array_WaterCharges,MATCH($A39,List_WaterMeters,0),ROUNDUP((COLUMN()+0)/3-1,0)))</f>
        <v/>
      </c>
      <c r="AG39" s="127"/>
      <c r="AH39" s="137"/>
    </row>
    <row r="40" spans="1:34" x14ac:dyDescent="0.3">
      <c r="A40" s="126"/>
      <c r="B40" s="133"/>
      <c r="C40" s="127"/>
      <c r="D40" s="137"/>
      <c r="E40" s="58" t="str" cm="1">
        <f>IF(ISBLANK($A40),"",INDEX(Array_WaterCharges,MATCH($A40,List_WaterMeters,0),ROUNDUP((COLUMN()+0)/3-1,0)))</f>
        <v/>
      </c>
      <c r="F40" s="127"/>
      <c r="G40" s="137"/>
      <c r="H40" s="58" t="str" cm="1">
        <f>IF(ISBLANK($A40),"",INDEX(Array_WaterCharges,MATCH($A40,List_WaterMeters,0),ROUNDUP((COLUMN()+0)/3-1,0)))</f>
        <v/>
      </c>
      <c r="I40" s="127"/>
      <c r="J40" s="137"/>
      <c r="K40" s="58" t="str" cm="1">
        <f>IF(ISBLANK($A40),"",INDEX(Array_WaterCharges,MATCH($A40,List_WaterMeters,0),ROUNDUP((COLUMN()+0)/3-1,0)))</f>
        <v/>
      </c>
      <c r="L40" s="127"/>
      <c r="M40" s="137"/>
      <c r="N40" s="58" t="str" cm="1">
        <f>IF(ISBLANK($A40),"",INDEX(Array_WaterCharges,MATCH($A40,List_WaterMeters,0),ROUNDUP((COLUMN()+0)/3-1,0)))</f>
        <v/>
      </c>
      <c r="O40" s="127"/>
      <c r="P40" s="137"/>
      <c r="Q40" s="58" t="str" cm="1">
        <f>IF(ISBLANK($A40),"",INDEX(Array_WaterCharges,MATCH($A40,List_WaterMeters,0),ROUNDUP((COLUMN()+0)/3-1,0)))</f>
        <v/>
      </c>
      <c r="R40" s="127"/>
      <c r="S40" s="137"/>
      <c r="T40" s="58" t="str" cm="1">
        <f>IF(ISBLANK($A40),"",INDEX(Array_WaterCharges,MATCH($A40,List_WaterMeters,0),ROUNDUP((COLUMN()+0)/3-1,0)))</f>
        <v/>
      </c>
      <c r="U40" s="127"/>
      <c r="V40" s="137"/>
      <c r="W40" s="58" t="str" cm="1">
        <f>IF(ISBLANK($A40),"",INDEX(Array_WaterCharges,MATCH($A40,List_WaterMeters,0),ROUNDUP((COLUMN()+0)/3-1,0)))</f>
        <v/>
      </c>
      <c r="X40" s="127"/>
      <c r="Y40" s="137"/>
      <c r="Z40" s="58" t="str" cm="1">
        <f>IF(ISBLANK($A40),"",INDEX(Array_WaterCharges,MATCH($A40,List_WaterMeters,0),ROUNDUP((COLUMN()+0)/3-1,0)))</f>
        <v/>
      </c>
      <c r="AA40" s="127"/>
      <c r="AB40" s="137"/>
      <c r="AC40" s="58" t="str" cm="1">
        <f>IF(ISBLANK($A40),"",INDEX(Array_WaterCharges,MATCH($A40,List_WaterMeters,0),ROUNDUP((COLUMN()+0)/3-1,0)))</f>
        <v/>
      </c>
      <c r="AD40" s="127"/>
      <c r="AE40" s="137"/>
      <c r="AF40" s="58" t="str" cm="1">
        <f>IF(ISBLANK($A40),"",INDEX(Array_WaterCharges,MATCH($A40,List_WaterMeters,0),ROUNDUP((COLUMN()+0)/3-1,0)))</f>
        <v/>
      </c>
      <c r="AG40" s="127"/>
      <c r="AH40" s="137"/>
    </row>
    <row r="41" spans="1:34" x14ac:dyDescent="0.3">
      <c r="A41" s="126"/>
      <c r="B41" s="133"/>
      <c r="C41" s="127"/>
      <c r="D41" s="137"/>
      <c r="E41" s="58" t="str" cm="1">
        <f>IF(ISBLANK($A41),"",INDEX(Array_WaterCharges,MATCH($A41,List_WaterMeters,0),ROUNDUP((COLUMN()+0)/3-1,0)))</f>
        <v/>
      </c>
      <c r="F41" s="127"/>
      <c r="G41" s="137"/>
      <c r="H41" s="58" t="str" cm="1">
        <f>IF(ISBLANK($A41),"",INDEX(Array_WaterCharges,MATCH($A41,List_WaterMeters,0),ROUNDUP((COLUMN()+0)/3-1,0)))</f>
        <v/>
      </c>
      <c r="I41" s="127"/>
      <c r="J41" s="137"/>
      <c r="K41" s="58" t="str" cm="1">
        <f>IF(ISBLANK($A41),"",INDEX(Array_WaterCharges,MATCH($A41,List_WaterMeters,0),ROUNDUP((COLUMN()+0)/3-1,0)))</f>
        <v/>
      </c>
      <c r="L41" s="127"/>
      <c r="M41" s="137"/>
      <c r="N41" s="58" t="str" cm="1">
        <f>IF(ISBLANK($A41),"",INDEX(Array_WaterCharges,MATCH($A41,List_WaterMeters,0),ROUNDUP((COLUMN()+0)/3-1,0)))</f>
        <v/>
      </c>
      <c r="O41" s="127"/>
      <c r="P41" s="137"/>
      <c r="Q41" s="58" t="str" cm="1">
        <f>IF(ISBLANK($A41),"",INDEX(Array_WaterCharges,MATCH($A41,List_WaterMeters,0),ROUNDUP((COLUMN()+0)/3-1,0)))</f>
        <v/>
      </c>
      <c r="R41" s="127"/>
      <c r="S41" s="137"/>
      <c r="T41" s="58" t="str" cm="1">
        <f>IF(ISBLANK($A41),"",INDEX(Array_WaterCharges,MATCH($A41,List_WaterMeters,0),ROUNDUP((COLUMN()+0)/3-1,0)))</f>
        <v/>
      </c>
      <c r="U41" s="127"/>
      <c r="V41" s="137"/>
      <c r="W41" s="58" t="str" cm="1">
        <f>IF(ISBLANK($A41),"",INDEX(Array_WaterCharges,MATCH($A41,List_WaterMeters,0),ROUNDUP((COLUMN()+0)/3-1,0)))</f>
        <v/>
      </c>
      <c r="X41" s="127"/>
      <c r="Y41" s="137"/>
      <c r="Z41" s="58" t="str" cm="1">
        <f>IF(ISBLANK($A41),"",INDEX(Array_WaterCharges,MATCH($A41,List_WaterMeters,0),ROUNDUP((COLUMN()+0)/3-1,0)))</f>
        <v/>
      </c>
      <c r="AA41" s="127"/>
      <c r="AB41" s="137"/>
      <c r="AC41" s="58" t="str" cm="1">
        <f>IF(ISBLANK($A41),"",INDEX(Array_WaterCharges,MATCH($A41,List_WaterMeters,0),ROUNDUP((COLUMN()+0)/3-1,0)))</f>
        <v/>
      </c>
      <c r="AD41" s="127"/>
      <c r="AE41" s="137"/>
      <c r="AF41" s="58" t="str" cm="1">
        <f>IF(ISBLANK($A41),"",INDEX(Array_WaterCharges,MATCH($A41,List_WaterMeters,0),ROUNDUP((COLUMN()+0)/3-1,0)))</f>
        <v/>
      </c>
      <c r="AG41" s="127"/>
      <c r="AH41" s="137"/>
    </row>
    <row r="42" spans="1:34" x14ac:dyDescent="0.3">
      <c r="A42" s="126"/>
      <c r="B42" s="133"/>
      <c r="C42" s="127"/>
      <c r="D42" s="137"/>
      <c r="E42" s="58" t="str" cm="1">
        <f>IF(ISBLANK($A42),"",INDEX(Array_WaterCharges,MATCH($A42,List_WaterMeters,0),ROUNDUP((COLUMN()+0)/3-1,0)))</f>
        <v/>
      </c>
      <c r="F42" s="127"/>
      <c r="G42" s="137"/>
      <c r="H42" s="58" t="str" cm="1">
        <f>IF(ISBLANK($A42),"",INDEX(Array_WaterCharges,MATCH($A42,List_WaterMeters,0),ROUNDUP((COLUMN()+0)/3-1,0)))</f>
        <v/>
      </c>
      <c r="I42" s="127"/>
      <c r="J42" s="137"/>
      <c r="K42" s="58" t="str" cm="1">
        <f>IF(ISBLANK($A42),"",INDEX(Array_WaterCharges,MATCH($A42,List_WaterMeters,0),ROUNDUP((COLUMN()+0)/3-1,0)))</f>
        <v/>
      </c>
      <c r="L42" s="127"/>
      <c r="M42" s="137"/>
      <c r="N42" s="58" t="str" cm="1">
        <f>IF(ISBLANK($A42),"",INDEX(Array_WaterCharges,MATCH($A42,List_WaterMeters,0),ROUNDUP((COLUMN()+0)/3-1,0)))</f>
        <v/>
      </c>
      <c r="O42" s="127"/>
      <c r="P42" s="137"/>
      <c r="Q42" s="58" t="str" cm="1">
        <f>IF(ISBLANK($A42),"",INDEX(Array_WaterCharges,MATCH($A42,List_WaterMeters,0),ROUNDUP((COLUMN()+0)/3-1,0)))</f>
        <v/>
      </c>
      <c r="R42" s="127"/>
      <c r="S42" s="137"/>
      <c r="T42" s="58" t="str" cm="1">
        <f>IF(ISBLANK($A42),"",INDEX(Array_WaterCharges,MATCH($A42,List_WaterMeters,0),ROUNDUP((COLUMN()+0)/3-1,0)))</f>
        <v/>
      </c>
      <c r="U42" s="127"/>
      <c r="V42" s="137"/>
      <c r="W42" s="58" t="str" cm="1">
        <f>IF(ISBLANK($A42),"",INDEX(Array_WaterCharges,MATCH($A42,List_WaterMeters,0),ROUNDUP((COLUMN()+0)/3-1,0)))</f>
        <v/>
      </c>
      <c r="X42" s="127"/>
      <c r="Y42" s="137"/>
      <c r="Z42" s="58" t="str" cm="1">
        <f>IF(ISBLANK($A42),"",INDEX(Array_WaterCharges,MATCH($A42,List_WaterMeters,0),ROUNDUP((COLUMN()+0)/3-1,0)))</f>
        <v/>
      </c>
      <c r="AA42" s="127"/>
      <c r="AB42" s="137"/>
      <c r="AC42" s="58" t="str" cm="1">
        <f>IF(ISBLANK($A42),"",INDEX(Array_WaterCharges,MATCH($A42,List_WaterMeters,0),ROUNDUP((COLUMN()+0)/3-1,0)))</f>
        <v/>
      </c>
      <c r="AD42" s="127"/>
      <c r="AE42" s="137"/>
      <c r="AF42" s="58" t="str" cm="1">
        <f>IF(ISBLANK($A42),"",INDEX(Array_WaterCharges,MATCH($A42,List_WaterMeters,0),ROUNDUP((COLUMN()+0)/3-1,0)))</f>
        <v/>
      </c>
      <c r="AG42" s="127"/>
      <c r="AH42" s="137"/>
    </row>
    <row r="43" spans="1:34" x14ac:dyDescent="0.3">
      <c r="A43" s="126"/>
      <c r="B43" s="133"/>
      <c r="C43" s="127"/>
      <c r="D43" s="137"/>
      <c r="E43" s="58" t="str" cm="1">
        <f>IF(ISBLANK($A43),"",INDEX(Array_WaterCharges,MATCH($A43,List_WaterMeters,0),ROUNDUP((COLUMN()+0)/3-1,0)))</f>
        <v/>
      </c>
      <c r="F43" s="127"/>
      <c r="G43" s="137"/>
      <c r="H43" s="58" t="str" cm="1">
        <f>IF(ISBLANK($A43),"",INDEX(Array_WaterCharges,MATCH($A43,List_WaterMeters,0),ROUNDUP((COLUMN()+0)/3-1,0)))</f>
        <v/>
      </c>
      <c r="I43" s="127"/>
      <c r="J43" s="137"/>
      <c r="K43" s="58" t="str" cm="1">
        <f>IF(ISBLANK($A43),"",INDEX(Array_WaterCharges,MATCH($A43,List_WaterMeters,0),ROUNDUP((COLUMN()+0)/3-1,0)))</f>
        <v/>
      </c>
      <c r="L43" s="127"/>
      <c r="M43" s="137"/>
      <c r="N43" s="58" t="str" cm="1">
        <f>IF(ISBLANK($A43),"",INDEX(Array_WaterCharges,MATCH($A43,List_WaterMeters,0),ROUNDUP((COLUMN()+0)/3-1,0)))</f>
        <v/>
      </c>
      <c r="O43" s="127"/>
      <c r="P43" s="137"/>
      <c r="Q43" s="58" t="str" cm="1">
        <f>IF(ISBLANK($A43),"",INDEX(Array_WaterCharges,MATCH($A43,List_WaterMeters,0),ROUNDUP((COLUMN()+0)/3-1,0)))</f>
        <v/>
      </c>
      <c r="R43" s="127"/>
      <c r="S43" s="137"/>
      <c r="T43" s="58" t="str" cm="1">
        <f>IF(ISBLANK($A43),"",INDEX(Array_WaterCharges,MATCH($A43,List_WaterMeters,0),ROUNDUP((COLUMN()+0)/3-1,0)))</f>
        <v/>
      </c>
      <c r="U43" s="127"/>
      <c r="V43" s="137"/>
      <c r="W43" s="58" t="str" cm="1">
        <f>IF(ISBLANK($A43),"",INDEX(Array_WaterCharges,MATCH($A43,List_WaterMeters,0),ROUNDUP((COLUMN()+0)/3-1,0)))</f>
        <v/>
      </c>
      <c r="X43" s="127"/>
      <c r="Y43" s="137"/>
      <c r="Z43" s="58" t="str" cm="1">
        <f>IF(ISBLANK($A43),"",INDEX(Array_WaterCharges,MATCH($A43,List_WaterMeters,0),ROUNDUP((COLUMN()+0)/3-1,0)))</f>
        <v/>
      </c>
      <c r="AA43" s="127"/>
      <c r="AB43" s="137"/>
      <c r="AC43" s="58" t="str" cm="1">
        <f>IF(ISBLANK($A43),"",INDEX(Array_WaterCharges,MATCH($A43,List_WaterMeters,0),ROUNDUP((COLUMN()+0)/3-1,0)))</f>
        <v/>
      </c>
      <c r="AD43" s="127"/>
      <c r="AE43" s="137"/>
      <c r="AF43" s="58" t="str" cm="1">
        <f>IF(ISBLANK($A43),"",INDEX(Array_WaterCharges,MATCH($A43,List_WaterMeters,0),ROUNDUP((COLUMN()+0)/3-1,0)))</f>
        <v/>
      </c>
      <c r="AG43" s="127"/>
      <c r="AH43" s="137"/>
    </row>
    <row r="44" spans="1:34" x14ac:dyDescent="0.3">
      <c r="A44" s="126"/>
      <c r="B44" s="133"/>
      <c r="C44" s="127"/>
      <c r="D44" s="137"/>
      <c r="E44" s="58" t="str" cm="1">
        <f>IF(ISBLANK($A44),"",INDEX(Array_WaterCharges,MATCH($A44,List_WaterMeters,0),ROUNDUP((COLUMN()+0)/3-1,0)))</f>
        <v/>
      </c>
      <c r="F44" s="127"/>
      <c r="G44" s="137"/>
      <c r="H44" s="58" t="str" cm="1">
        <f>IF(ISBLANK($A44),"",INDEX(Array_WaterCharges,MATCH($A44,List_WaterMeters,0),ROUNDUP((COLUMN()+0)/3-1,0)))</f>
        <v/>
      </c>
      <c r="I44" s="127"/>
      <c r="J44" s="137"/>
      <c r="K44" s="58" t="str" cm="1">
        <f>IF(ISBLANK($A44),"",INDEX(Array_WaterCharges,MATCH($A44,List_WaterMeters,0),ROUNDUP((COLUMN()+0)/3-1,0)))</f>
        <v/>
      </c>
      <c r="L44" s="127"/>
      <c r="M44" s="137"/>
      <c r="N44" s="58" t="str" cm="1">
        <f>IF(ISBLANK($A44),"",INDEX(Array_WaterCharges,MATCH($A44,List_WaterMeters,0),ROUNDUP((COLUMN()+0)/3-1,0)))</f>
        <v/>
      </c>
      <c r="O44" s="127"/>
      <c r="P44" s="137"/>
      <c r="Q44" s="58" t="str" cm="1">
        <f>IF(ISBLANK($A44),"",INDEX(Array_WaterCharges,MATCH($A44,List_WaterMeters,0),ROUNDUP((COLUMN()+0)/3-1,0)))</f>
        <v/>
      </c>
      <c r="R44" s="127"/>
      <c r="S44" s="137"/>
      <c r="T44" s="58" t="str" cm="1">
        <f>IF(ISBLANK($A44),"",INDEX(Array_WaterCharges,MATCH($A44,List_WaterMeters,0),ROUNDUP((COLUMN()+0)/3-1,0)))</f>
        <v/>
      </c>
      <c r="U44" s="127"/>
      <c r="V44" s="137"/>
      <c r="W44" s="58" t="str" cm="1">
        <f>IF(ISBLANK($A44),"",INDEX(Array_WaterCharges,MATCH($A44,List_WaterMeters,0),ROUNDUP((COLUMN()+0)/3-1,0)))</f>
        <v/>
      </c>
      <c r="X44" s="127"/>
      <c r="Y44" s="137"/>
      <c r="Z44" s="58" t="str" cm="1">
        <f>IF(ISBLANK($A44),"",INDEX(Array_WaterCharges,MATCH($A44,List_WaterMeters,0),ROUNDUP((COLUMN()+0)/3-1,0)))</f>
        <v/>
      </c>
      <c r="AA44" s="127"/>
      <c r="AB44" s="137"/>
      <c r="AC44" s="58" t="str" cm="1">
        <f>IF(ISBLANK($A44),"",INDEX(Array_WaterCharges,MATCH($A44,List_WaterMeters,0),ROUNDUP((COLUMN()+0)/3-1,0)))</f>
        <v/>
      </c>
      <c r="AD44" s="127"/>
      <c r="AE44" s="137"/>
      <c r="AF44" s="58" t="str" cm="1">
        <f>IF(ISBLANK($A44),"",INDEX(Array_WaterCharges,MATCH($A44,List_WaterMeters,0),ROUNDUP((COLUMN()+0)/3-1,0)))</f>
        <v/>
      </c>
      <c r="AG44" s="127"/>
      <c r="AH44" s="137"/>
    </row>
    <row r="45" spans="1:34" x14ac:dyDescent="0.3">
      <c r="A45" s="126"/>
      <c r="B45" s="133"/>
      <c r="C45" s="127"/>
      <c r="D45" s="137"/>
      <c r="E45" s="58" t="str" cm="1">
        <f>IF(ISBLANK($A45),"",INDEX(Array_WaterCharges,MATCH($A45,List_WaterMeters,0),ROUNDUP((COLUMN()+0)/3-1,0)))</f>
        <v/>
      </c>
      <c r="F45" s="127"/>
      <c r="G45" s="137"/>
      <c r="H45" s="58" t="str" cm="1">
        <f>IF(ISBLANK($A45),"",INDEX(Array_WaterCharges,MATCH($A45,List_WaterMeters,0),ROUNDUP((COLUMN()+0)/3-1,0)))</f>
        <v/>
      </c>
      <c r="I45" s="127"/>
      <c r="J45" s="137"/>
      <c r="K45" s="58" t="str" cm="1">
        <f>IF(ISBLANK($A45),"",INDEX(Array_WaterCharges,MATCH($A45,List_WaterMeters,0),ROUNDUP((COLUMN()+0)/3-1,0)))</f>
        <v/>
      </c>
      <c r="L45" s="127"/>
      <c r="M45" s="137"/>
      <c r="N45" s="58" t="str" cm="1">
        <f>IF(ISBLANK($A45),"",INDEX(Array_WaterCharges,MATCH($A45,List_WaterMeters,0),ROUNDUP((COLUMN()+0)/3-1,0)))</f>
        <v/>
      </c>
      <c r="O45" s="127"/>
      <c r="P45" s="137"/>
      <c r="Q45" s="58" t="str" cm="1">
        <f>IF(ISBLANK($A45),"",INDEX(Array_WaterCharges,MATCH($A45,List_WaterMeters,0),ROUNDUP((COLUMN()+0)/3-1,0)))</f>
        <v/>
      </c>
      <c r="R45" s="127"/>
      <c r="S45" s="137"/>
      <c r="T45" s="58" t="str" cm="1">
        <f>IF(ISBLANK($A45),"",INDEX(Array_WaterCharges,MATCH($A45,List_WaterMeters,0),ROUNDUP((COLUMN()+0)/3-1,0)))</f>
        <v/>
      </c>
      <c r="U45" s="127"/>
      <c r="V45" s="137"/>
      <c r="W45" s="58" t="str" cm="1">
        <f>IF(ISBLANK($A45),"",INDEX(Array_WaterCharges,MATCH($A45,List_WaterMeters,0),ROUNDUP((COLUMN()+0)/3-1,0)))</f>
        <v/>
      </c>
      <c r="X45" s="127"/>
      <c r="Y45" s="137"/>
      <c r="Z45" s="58" t="str" cm="1">
        <f>IF(ISBLANK($A45),"",INDEX(Array_WaterCharges,MATCH($A45,List_WaterMeters,0),ROUNDUP((COLUMN()+0)/3-1,0)))</f>
        <v/>
      </c>
      <c r="AA45" s="127"/>
      <c r="AB45" s="137"/>
      <c r="AC45" s="58" t="str" cm="1">
        <f>IF(ISBLANK($A45),"",INDEX(Array_WaterCharges,MATCH($A45,List_WaterMeters,0),ROUNDUP((COLUMN()+0)/3-1,0)))</f>
        <v/>
      </c>
      <c r="AD45" s="127"/>
      <c r="AE45" s="137"/>
      <c r="AF45" s="58" t="str" cm="1">
        <f>IF(ISBLANK($A45),"",INDEX(Array_WaterCharges,MATCH($A45,List_WaterMeters,0),ROUNDUP((COLUMN()+0)/3-1,0)))</f>
        <v/>
      </c>
      <c r="AG45" s="127"/>
      <c r="AH45" s="137"/>
    </row>
    <row r="46" spans="1:34" x14ac:dyDescent="0.3">
      <c r="A46" s="126"/>
      <c r="B46" s="133"/>
      <c r="C46" s="127"/>
      <c r="D46" s="137"/>
      <c r="E46" s="58" t="str" cm="1">
        <f>IF(ISBLANK($A46),"",INDEX(Array_WaterCharges,MATCH($A46,List_WaterMeters,0),ROUNDUP((COLUMN()+0)/3-1,0)))</f>
        <v/>
      </c>
      <c r="F46" s="127"/>
      <c r="G46" s="137"/>
      <c r="H46" s="58" t="str" cm="1">
        <f>IF(ISBLANK($A46),"",INDEX(Array_WaterCharges,MATCH($A46,List_WaterMeters,0),ROUNDUP((COLUMN()+0)/3-1,0)))</f>
        <v/>
      </c>
      <c r="I46" s="127"/>
      <c r="J46" s="137"/>
      <c r="K46" s="58" t="str" cm="1">
        <f>IF(ISBLANK($A46),"",INDEX(Array_WaterCharges,MATCH($A46,List_WaterMeters,0),ROUNDUP((COLUMN()+0)/3-1,0)))</f>
        <v/>
      </c>
      <c r="L46" s="127"/>
      <c r="M46" s="137"/>
      <c r="N46" s="58" t="str" cm="1">
        <f>IF(ISBLANK($A46),"",INDEX(Array_WaterCharges,MATCH($A46,List_WaterMeters,0),ROUNDUP((COLUMN()+0)/3-1,0)))</f>
        <v/>
      </c>
      <c r="O46" s="127"/>
      <c r="P46" s="137"/>
      <c r="Q46" s="58" t="str" cm="1">
        <f>IF(ISBLANK($A46),"",INDEX(Array_WaterCharges,MATCH($A46,List_WaterMeters,0),ROUNDUP((COLUMN()+0)/3-1,0)))</f>
        <v/>
      </c>
      <c r="R46" s="127"/>
      <c r="S46" s="137"/>
      <c r="T46" s="58" t="str" cm="1">
        <f>IF(ISBLANK($A46),"",INDEX(Array_WaterCharges,MATCH($A46,List_WaterMeters,0),ROUNDUP((COLUMN()+0)/3-1,0)))</f>
        <v/>
      </c>
      <c r="U46" s="127"/>
      <c r="V46" s="137"/>
      <c r="W46" s="58" t="str" cm="1">
        <f>IF(ISBLANK($A46),"",INDEX(Array_WaterCharges,MATCH($A46,List_WaterMeters,0),ROUNDUP((COLUMN()+0)/3-1,0)))</f>
        <v/>
      </c>
      <c r="X46" s="127"/>
      <c r="Y46" s="137"/>
      <c r="Z46" s="58" t="str" cm="1">
        <f>IF(ISBLANK($A46),"",INDEX(Array_WaterCharges,MATCH($A46,List_WaterMeters,0),ROUNDUP((COLUMN()+0)/3-1,0)))</f>
        <v/>
      </c>
      <c r="AA46" s="127"/>
      <c r="AB46" s="137"/>
      <c r="AC46" s="58" t="str" cm="1">
        <f>IF(ISBLANK($A46),"",INDEX(Array_WaterCharges,MATCH($A46,List_WaterMeters,0),ROUNDUP((COLUMN()+0)/3-1,0)))</f>
        <v/>
      </c>
      <c r="AD46" s="127"/>
      <c r="AE46" s="137"/>
      <c r="AF46" s="58" t="str" cm="1">
        <f>IF(ISBLANK($A46),"",INDEX(Array_WaterCharges,MATCH($A46,List_WaterMeters,0),ROUNDUP((COLUMN()+0)/3-1,0)))</f>
        <v/>
      </c>
      <c r="AG46" s="127"/>
      <c r="AH46" s="137"/>
    </row>
    <row r="47" spans="1:34" x14ac:dyDescent="0.3">
      <c r="A47" s="126"/>
      <c r="B47" s="133"/>
      <c r="C47" s="127"/>
      <c r="D47" s="137"/>
      <c r="E47" s="58" t="str" cm="1">
        <f>IF(ISBLANK($A47),"",INDEX(Array_WaterCharges,MATCH($A47,List_WaterMeters,0),ROUNDUP((COLUMN()+0)/3-1,0)))</f>
        <v/>
      </c>
      <c r="F47" s="127"/>
      <c r="G47" s="137"/>
      <c r="H47" s="58" t="str" cm="1">
        <f>IF(ISBLANK($A47),"",INDEX(Array_WaterCharges,MATCH($A47,List_WaterMeters,0),ROUNDUP((COLUMN()+0)/3-1,0)))</f>
        <v/>
      </c>
      <c r="I47" s="127"/>
      <c r="J47" s="137"/>
      <c r="K47" s="58" t="str" cm="1">
        <f>IF(ISBLANK($A47),"",INDEX(Array_WaterCharges,MATCH($A47,List_WaterMeters,0),ROUNDUP((COLUMN()+0)/3-1,0)))</f>
        <v/>
      </c>
      <c r="L47" s="127"/>
      <c r="M47" s="137"/>
      <c r="N47" s="58" t="str" cm="1">
        <f>IF(ISBLANK($A47),"",INDEX(Array_WaterCharges,MATCH($A47,List_WaterMeters,0),ROUNDUP((COLUMN()+0)/3-1,0)))</f>
        <v/>
      </c>
      <c r="O47" s="127"/>
      <c r="P47" s="137"/>
      <c r="Q47" s="58" t="str" cm="1">
        <f>IF(ISBLANK($A47),"",INDEX(Array_WaterCharges,MATCH($A47,List_WaterMeters,0),ROUNDUP((COLUMN()+0)/3-1,0)))</f>
        <v/>
      </c>
      <c r="R47" s="127"/>
      <c r="S47" s="137"/>
      <c r="T47" s="58" t="str" cm="1">
        <f>IF(ISBLANK($A47),"",INDEX(Array_WaterCharges,MATCH($A47,List_WaterMeters,0),ROUNDUP((COLUMN()+0)/3-1,0)))</f>
        <v/>
      </c>
      <c r="U47" s="127"/>
      <c r="V47" s="137"/>
      <c r="W47" s="58" t="str" cm="1">
        <f>IF(ISBLANK($A47),"",INDEX(Array_WaterCharges,MATCH($A47,List_WaterMeters,0),ROUNDUP((COLUMN()+0)/3-1,0)))</f>
        <v/>
      </c>
      <c r="X47" s="127"/>
      <c r="Y47" s="137"/>
      <c r="Z47" s="58" t="str" cm="1">
        <f>IF(ISBLANK($A47),"",INDEX(Array_WaterCharges,MATCH($A47,List_WaterMeters,0),ROUNDUP((COLUMN()+0)/3-1,0)))</f>
        <v/>
      </c>
      <c r="AA47" s="127"/>
      <c r="AB47" s="137"/>
      <c r="AC47" s="58" t="str" cm="1">
        <f>IF(ISBLANK($A47),"",INDEX(Array_WaterCharges,MATCH($A47,List_WaterMeters,0),ROUNDUP((COLUMN()+0)/3-1,0)))</f>
        <v/>
      </c>
      <c r="AD47" s="127"/>
      <c r="AE47" s="137"/>
      <c r="AF47" s="58" t="str" cm="1">
        <f>IF(ISBLANK($A47),"",INDEX(Array_WaterCharges,MATCH($A47,List_WaterMeters,0),ROUNDUP((COLUMN()+0)/3-1,0)))</f>
        <v/>
      </c>
      <c r="AG47" s="127"/>
      <c r="AH47" s="137"/>
    </row>
    <row r="48" spans="1:34" x14ac:dyDescent="0.3">
      <c r="A48" s="126"/>
      <c r="B48" s="133"/>
      <c r="C48" s="127"/>
      <c r="D48" s="137"/>
      <c r="E48" s="58" t="str" cm="1">
        <f>IF(ISBLANK($A48),"",INDEX(Array_WaterCharges,MATCH($A48,List_WaterMeters,0),ROUNDUP((COLUMN()+0)/3-1,0)))</f>
        <v/>
      </c>
      <c r="F48" s="127"/>
      <c r="G48" s="137"/>
      <c r="H48" s="58" t="str" cm="1">
        <f>IF(ISBLANK($A48),"",INDEX(Array_WaterCharges,MATCH($A48,List_WaterMeters,0),ROUNDUP((COLUMN()+0)/3-1,0)))</f>
        <v/>
      </c>
      <c r="I48" s="127"/>
      <c r="J48" s="137"/>
      <c r="K48" s="58" t="str" cm="1">
        <f>IF(ISBLANK($A48),"",INDEX(Array_WaterCharges,MATCH($A48,List_WaterMeters,0),ROUNDUP((COLUMN()+0)/3-1,0)))</f>
        <v/>
      </c>
      <c r="L48" s="127"/>
      <c r="M48" s="137"/>
      <c r="N48" s="58" t="str" cm="1">
        <f>IF(ISBLANK($A48),"",INDEX(Array_WaterCharges,MATCH($A48,List_WaterMeters,0),ROUNDUP((COLUMN()+0)/3-1,0)))</f>
        <v/>
      </c>
      <c r="O48" s="127"/>
      <c r="P48" s="137"/>
      <c r="Q48" s="58" t="str" cm="1">
        <f>IF(ISBLANK($A48),"",INDEX(Array_WaterCharges,MATCH($A48,List_WaterMeters,0),ROUNDUP((COLUMN()+0)/3-1,0)))</f>
        <v/>
      </c>
      <c r="R48" s="127"/>
      <c r="S48" s="137"/>
      <c r="T48" s="58" t="str" cm="1">
        <f>IF(ISBLANK($A48),"",INDEX(Array_WaterCharges,MATCH($A48,List_WaterMeters,0),ROUNDUP((COLUMN()+0)/3-1,0)))</f>
        <v/>
      </c>
      <c r="U48" s="127"/>
      <c r="V48" s="137"/>
      <c r="W48" s="58" t="str" cm="1">
        <f>IF(ISBLANK($A48),"",INDEX(Array_WaterCharges,MATCH($A48,List_WaterMeters,0),ROUNDUP((COLUMN()+0)/3-1,0)))</f>
        <v/>
      </c>
      <c r="X48" s="127"/>
      <c r="Y48" s="137"/>
      <c r="Z48" s="58" t="str" cm="1">
        <f>IF(ISBLANK($A48),"",INDEX(Array_WaterCharges,MATCH($A48,List_WaterMeters,0),ROUNDUP((COLUMN()+0)/3-1,0)))</f>
        <v/>
      </c>
      <c r="AA48" s="127"/>
      <c r="AB48" s="137"/>
      <c r="AC48" s="58" t="str" cm="1">
        <f>IF(ISBLANK($A48),"",INDEX(Array_WaterCharges,MATCH($A48,List_WaterMeters,0),ROUNDUP((COLUMN()+0)/3-1,0)))</f>
        <v/>
      </c>
      <c r="AD48" s="127"/>
      <c r="AE48" s="137"/>
      <c r="AF48" s="58" t="str" cm="1">
        <f>IF(ISBLANK($A48),"",INDEX(Array_WaterCharges,MATCH($A48,List_WaterMeters,0),ROUNDUP((COLUMN()+0)/3-1,0)))</f>
        <v/>
      </c>
      <c r="AG48" s="127"/>
      <c r="AH48" s="137"/>
    </row>
    <row r="49" spans="1:34" x14ac:dyDescent="0.3">
      <c r="A49" s="126"/>
      <c r="B49" s="133"/>
      <c r="C49" s="127"/>
      <c r="D49" s="137"/>
      <c r="E49" s="58" t="str" cm="1">
        <f>IF(ISBLANK($A49),"",INDEX(Array_WaterCharges,MATCH($A49,List_WaterMeters,0),ROUNDUP((COLUMN()+0)/3-1,0)))</f>
        <v/>
      </c>
      <c r="F49" s="127"/>
      <c r="G49" s="137"/>
      <c r="H49" s="58" t="str" cm="1">
        <f>IF(ISBLANK($A49),"",INDEX(Array_WaterCharges,MATCH($A49,List_WaterMeters,0),ROUNDUP((COLUMN()+0)/3-1,0)))</f>
        <v/>
      </c>
      <c r="I49" s="127"/>
      <c r="J49" s="137"/>
      <c r="K49" s="58" t="str" cm="1">
        <f>IF(ISBLANK($A49),"",INDEX(Array_WaterCharges,MATCH($A49,List_WaterMeters,0),ROUNDUP((COLUMN()+0)/3-1,0)))</f>
        <v/>
      </c>
      <c r="L49" s="127"/>
      <c r="M49" s="137"/>
      <c r="N49" s="58" t="str" cm="1">
        <f>IF(ISBLANK($A49),"",INDEX(Array_WaterCharges,MATCH($A49,List_WaterMeters,0),ROUNDUP((COLUMN()+0)/3-1,0)))</f>
        <v/>
      </c>
      <c r="O49" s="127"/>
      <c r="P49" s="137"/>
      <c r="Q49" s="58" t="str" cm="1">
        <f>IF(ISBLANK($A49),"",INDEX(Array_WaterCharges,MATCH($A49,List_WaterMeters,0),ROUNDUP((COLUMN()+0)/3-1,0)))</f>
        <v/>
      </c>
      <c r="R49" s="127"/>
      <c r="S49" s="137"/>
      <c r="T49" s="58" t="str" cm="1">
        <f>IF(ISBLANK($A49),"",INDEX(Array_WaterCharges,MATCH($A49,List_WaterMeters,0),ROUNDUP((COLUMN()+0)/3-1,0)))</f>
        <v/>
      </c>
      <c r="U49" s="127"/>
      <c r="V49" s="137"/>
      <c r="W49" s="58" t="str" cm="1">
        <f>IF(ISBLANK($A49),"",INDEX(Array_WaterCharges,MATCH($A49,List_WaterMeters,0),ROUNDUP((COLUMN()+0)/3-1,0)))</f>
        <v/>
      </c>
      <c r="X49" s="127"/>
      <c r="Y49" s="137"/>
      <c r="Z49" s="58" t="str" cm="1">
        <f>IF(ISBLANK($A49),"",INDEX(Array_WaterCharges,MATCH($A49,List_WaterMeters,0),ROUNDUP((COLUMN()+0)/3-1,0)))</f>
        <v/>
      </c>
      <c r="AA49" s="127"/>
      <c r="AB49" s="137"/>
      <c r="AC49" s="58" t="str" cm="1">
        <f>IF(ISBLANK($A49),"",INDEX(Array_WaterCharges,MATCH($A49,List_WaterMeters,0),ROUNDUP((COLUMN()+0)/3-1,0)))</f>
        <v/>
      </c>
      <c r="AD49" s="127"/>
      <c r="AE49" s="137"/>
      <c r="AF49" s="58" t="str" cm="1">
        <f>IF(ISBLANK($A49),"",INDEX(Array_WaterCharges,MATCH($A49,List_WaterMeters,0),ROUNDUP((COLUMN()+0)/3-1,0)))</f>
        <v/>
      </c>
      <c r="AG49" s="127"/>
      <c r="AH49" s="137"/>
    </row>
    <row r="50" spans="1:34" x14ac:dyDescent="0.3">
      <c r="A50" s="126"/>
      <c r="B50" s="133"/>
      <c r="C50" s="127"/>
      <c r="D50" s="137"/>
      <c r="E50" s="58" t="str" cm="1">
        <f>IF(ISBLANK($A50),"",INDEX(Array_WaterCharges,MATCH($A50,List_WaterMeters,0),ROUNDUP((COLUMN()+0)/3-1,0)))</f>
        <v/>
      </c>
      <c r="F50" s="127"/>
      <c r="G50" s="137"/>
      <c r="H50" s="58" t="str" cm="1">
        <f>IF(ISBLANK($A50),"",INDEX(Array_WaterCharges,MATCH($A50,List_WaterMeters,0),ROUNDUP((COLUMN()+0)/3-1,0)))</f>
        <v/>
      </c>
      <c r="I50" s="127"/>
      <c r="J50" s="137"/>
      <c r="K50" s="58" t="str" cm="1">
        <f>IF(ISBLANK($A50),"",INDEX(Array_WaterCharges,MATCH($A50,List_WaterMeters,0),ROUNDUP((COLUMN()+0)/3-1,0)))</f>
        <v/>
      </c>
      <c r="L50" s="127"/>
      <c r="M50" s="137"/>
      <c r="N50" s="58" t="str" cm="1">
        <f>IF(ISBLANK($A50),"",INDEX(Array_WaterCharges,MATCH($A50,List_WaterMeters,0),ROUNDUP((COLUMN()+0)/3-1,0)))</f>
        <v/>
      </c>
      <c r="O50" s="127"/>
      <c r="P50" s="137"/>
      <c r="Q50" s="58" t="str" cm="1">
        <f>IF(ISBLANK($A50),"",INDEX(Array_WaterCharges,MATCH($A50,List_WaterMeters,0),ROUNDUP((COLUMN()+0)/3-1,0)))</f>
        <v/>
      </c>
      <c r="R50" s="127"/>
      <c r="S50" s="137"/>
      <c r="T50" s="58" t="str" cm="1">
        <f>IF(ISBLANK($A50),"",INDEX(Array_WaterCharges,MATCH($A50,List_WaterMeters,0),ROUNDUP((COLUMN()+0)/3-1,0)))</f>
        <v/>
      </c>
      <c r="U50" s="127"/>
      <c r="V50" s="137"/>
      <c r="W50" s="58" t="str" cm="1">
        <f>IF(ISBLANK($A50),"",INDEX(Array_WaterCharges,MATCH($A50,List_WaterMeters,0),ROUNDUP((COLUMN()+0)/3-1,0)))</f>
        <v/>
      </c>
      <c r="X50" s="127"/>
      <c r="Y50" s="137"/>
      <c r="Z50" s="58" t="str" cm="1">
        <f>IF(ISBLANK($A50),"",INDEX(Array_WaterCharges,MATCH($A50,List_WaterMeters,0),ROUNDUP((COLUMN()+0)/3-1,0)))</f>
        <v/>
      </c>
      <c r="AA50" s="127"/>
      <c r="AB50" s="137"/>
      <c r="AC50" s="58" t="str" cm="1">
        <f>IF(ISBLANK($A50),"",INDEX(Array_WaterCharges,MATCH($A50,List_WaterMeters,0),ROUNDUP((COLUMN()+0)/3-1,0)))</f>
        <v/>
      </c>
      <c r="AD50" s="127"/>
      <c r="AE50" s="137"/>
      <c r="AF50" s="58" t="str" cm="1">
        <f>IF(ISBLANK($A50),"",INDEX(Array_WaterCharges,MATCH($A50,List_WaterMeters,0),ROUNDUP((COLUMN()+0)/3-1,0)))</f>
        <v/>
      </c>
      <c r="AG50" s="127"/>
      <c r="AH50" s="137"/>
    </row>
    <row r="51" spans="1:34" x14ac:dyDescent="0.3">
      <c r="A51" s="126"/>
      <c r="B51" s="133"/>
      <c r="C51" s="127"/>
      <c r="D51" s="137"/>
      <c r="E51" s="58" t="str" cm="1">
        <f>IF(ISBLANK($A51),"",INDEX(Array_WaterCharges,MATCH($A51,List_WaterMeters,0),ROUNDUP((COLUMN()+0)/3-1,0)))</f>
        <v/>
      </c>
      <c r="F51" s="127"/>
      <c r="G51" s="137"/>
      <c r="H51" s="58" t="str" cm="1">
        <f>IF(ISBLANK($A51),"",INDEX(Array_WaterCharges,MATCH($A51,List_WaterMeters,0),ROUNDUP((COLUMN()+0)/3-1,0)))</f>
        <v/>
      </c>
      <c r="I51" s="127"/>
      <c r="J51" s="137"/>
      <c r="K51" s="58" t="str" cm="1">
        <f>IF(ISBLANK($A51),"",INDEX(Array_WaterCharges,MATCH($A51,List_WaterMeters,0),ROUNDUP((COLUMN()+0)/3-1,0)))</f>
        <v/>
      </c>
      <c r="L51" s="127"/>
      <c r="M51" s="137"/>
      <c r="N51" s="58" t="str" cm="1">
        <f>IF(ISBLANK($A51),"",INDEX(Array_WaterCharges,MATCH($A51,List_WaterMeters,0),ROUNDUP((COLUMN()+0)/3-1,0)))</f>
        <v/>
      </c>
      <c r="O51" s="127"/>
      <c r="P51" s="137"/>
      <c r="Q51" s="58" t="str" cm="1">
        <f>IF(ISBLANK($A51),"",INDEX(Array_WaterCharges,MATCH($A51,List_WaterMeters,0),ROUNDUP((COLUMN()+0)/3-1,0)))</f>
        <v/>
      </c>
      <c r="R51" s="127"/>
      <c r="S51" s="137"/>
      <c r="T51" s="58" t="str" cm="1">
        <f>IF(ISBLANK($A51),"",INDEX(Array_WaterCharges,MATCH($A51,List_WaterMeters,0),ROUNDUP((COLUMN()+0)/3-1,0)))</f>
        <v/>
      </c>
      <c r="U51" s="127"/>
      <c r="V51" s="137"/>
      <c r="W51" s="58" t="str" cm="1">
        <f>IF(ISBLANK($A51),"",INDEX(Array_WaterCharges,MATCH($A51,List_WaterMeters,0),ROUNDUP((COLUMN()+0)/3-1,0)))</f>
        <v/>
      </c>
      <c r="X51" s="127"/>
      <c r="Y51" s="137"/>
      <c r="Z51" s="58" t="str" cm="1">
        <f>IF(ISBLANK($A51),"",INDEX(Array_WaterCharges,MATCH($A51,List_WaterMeters,0),ROUNDUP((COLUMN()+0)/3-1,0)))</f>
        <v/>
      </c>
      <c r="AA51" s="127"/>
      <c r="AB51" s="137"/>
      <c r="AC51" s="58" t="str" cm="1">
        <f>IF(ISBLANK($A51),"",INDEX(Array_WaterCharges,MATCH($A51,List_WaterMeters,0),ROUNDUP((COLUMN()+0)/3-1,0)))</f>
        <v/>
      </c>
      <c r="AD51" s="127"/>
      <c r="AE51" s="137"/>
      <c r="AF51" s="58" t="str" cm="1">
        <f>IF(ISBLANK($A51),"",INDEX(Array_WaterCharges,MATCH($A51,List_WaterMeters,0),ROUNDUP((COLUMN()+0)/3-1,0)))</f>
        <v/>
      </c>
      <c r="AG51" s="127"/>
      <c r="AH51" s="137"/>
    </row>
    <row r="52" spans="1:34" x14ac:dyDescent="0.3">
      <c r="A52" s="126"/>
      <c r="B52" s="133"/>
      <c r="C52" s="127"/>
      <c r="D52" s="137"/>
      <c r="E52" s="58" t="str" cm="1">
        <f>IF(ISBLANK($A52),"",INDEX(Array_WaterCharges,MATCH($A52,List_WaterMeters,0),ROUNDUP((COLUMN()+0)/3-1,0)))</f>
        <v/>
      </c>
      <c r="F52" s="127"/>
      <c r="G52" s="137"/>
      <c r="H52" s="58" t="str" cm="1">
        <f>IF(ISBLANK($A52),"",INDEX(Array_WaterCharges,MATCH($A52,List_WaterMeters,0),ROUNDUP((COLUMN()+0)/3-1,0)))</f>
        <v/>
      </c>
      <c r="I52" s="127"/>
      <c r="J52" s="137"/>
      <c r="K52" s="58" t="str" cm="1">
        <f>IF(ISBLANK($A52),"",INDEX(Array_WaterCharges,MATCH($A52,List_WaterMeters,0),ROUNDUP((COLUMN()+0)/3-1,0)))</f>
        <v/>
      </c>
      <c r="L52" s="127"/>
      <c r="M52" s="137"/>
      <c r="N52" s="58" t="str" cm="1">
        <f>IF(ISBLANK($A52),"",INDEX(Array_WaterCharges,MATCH($A52,List_WaterMeters,0),ROUNDUP((COLUMN()+0)/3-1,0)))</f>
        <v/>
      </c>
      <c r="O52" s="127"/>
      <c r="P52" s="137"/>
      <c r="Q52" s="58" t="str" cm="1">
        <f>IF(ISBLANK($A52),"",INDEX(Array_WaterCharges,MATCH($A52,List_WaterMeters,0),ROUNDUP((COLUMN()+0)/3-1,0)))</f>
        <v/>
      </c>
      <c r="R52" s="127"/>
      <c r="S52" s="137"/>
      <c r="T52" s="58" t="str" cm="1">
        <f>IF(ISBLANK($A52),"",INDEX(Array_WaterCharges,MATCH($A52,List_WaterMeters,0),ROUNDUP((COLUMN()+0)/3-1,0)))</f>
        <v/>
      </c>
      <c r="U52" s="127"/>
      <c r="V52" s="137"/>
      <c r="W52" s="58" t="str" cm="1">
        <f>IF(ISBLANK($A52),"",INDEX(Array_WaterCharges,MATCH($A52,List_WaterMeters,0),ROUNDUP((COLUMN()+0)/3-1,0)))</f>
        <v/>
      </c>
      <c r="X52" s="127"/>
      <c r="Y52" s="137"/>
      <c r="Z52" s="58" t="str" cm="1">
        <f>IF(ISBLANK($A52),"",INDEX(Array_WaterCharges,MATCH($A52,List_WaterMeters,0),ROUNDUP((COLUMN()+0)/3-1,0)))</f>
        <v/>
      </c>
      <c r="AA52" s="127"/>
      <c r="AB52" s="137"/>
      <c r="AC52" s="58" t="str" cm="1">
        <f>IF(ISBLANK($A52),"",INDEX(Array_WaterCharges,MATCH($A52,List_WaterMeters,0),ROUNDUP((COLUMN()+0)/3-1,0)))</f>
        <v/>
      </c>
      <c r="AD52" s="127"/>
      <c r="AE52" s="137"/>
      <c r="AF52" s="58" t="str" cm="1">
        <f>IF(ISBLANK($A52),"",INDEX(Array_WaterCharges,MATCH($A52,List_WaterMeters,0),ROUNDUP((COLUMN()+0)/3-1,0)))</f>
        <v/>
      </c>
      <c r="AG52" s="127"/>
      <c r="AH52" s="137"/>
    </row>
    <row r="53" spans="1:34" x14ac:dyDescent="0.3">
      <c r="A53" s="126"/>
      <c r="B53" s="133"/>
      <c r="C53" s="127"/>
      <c r="D53" s="137"/>
      <c r="E53" s="58" t="str" cm="1">
        <f>IF(ISBLANK($A53),"",INDEX(Array_WaterCharges,MATCH($A53,List_WaterMeters,0),ROUNDUP((COLUMN()+0)/3-1,0)))</f>
        <v/>
      </c>
      <c r="F53" s="127"/>
      <c r="G53" s="137"/>
      <c r="H53" s="58" t="str" cm="1">
        <f>IF(ISBLANK($A53),"",INDEX(Array_WaterCharges,MATCH($A53,List_WaterMeters,0),ROUNDUP((COLUMN()+0)/3-1,0)))</f>
        <v/>
      </c>
      <c r="I53" s="127"/>
      <c r="J53" s="137"/>
      <c r="K53" s="58" t="str" cm="1">
        <f>IF(ISBLANK($A53),"",INDEX(Array_WaterCharges,MATCH($A53,List_WaterMeters,0),ROUNDUP((COLUMN()+0)/3-1,0)))</f>
        <v/>
      </c>
      <c r="L53" s="127"/>
      <c r="M53" s="137"/>
      <c r="N53" s="58" t="str" cm="1">
        <f>IF(ISBLANK($A53),"",INDEX(Array_WaterCharges,MATCH($A53,List_WaterMeters,0),ROUNDUP((COLUMN()+0)/3-1,0)))</f>
        <v/>
      </c>
      <c r="O53" s="127"/>
      <c r="P53" s="137"/>
      <c r="Q53" s="58" t="str" cm="1">
        <f>IF(ISBLANK($A53),"",INDEX(Array_WaterCharges,MATCH($A53,List_WaterMeters,0),ROUNDUP((COLUMN()+0)/3-1,0)))</f>
        <v/>
      </c>
      <c r="R53" s="127"/>
      <c r="S53" s="137"/>
      <c r="T53" s="58" t="str" cm="1">
        <f>IF(ISBLANK($A53),"",INDEX(Array_WaterCharges,MATCH($A53,List_WaterMeters,0),ROUNDUP((COLUMN()+0)/3-1,0)))</f>
        <v/>
      </c>
      <c r="U53" s="127"/>
      <c r="V53" s="137"/>
      <c r="W53" s="58" t="str" cm="1">
        <f>IF(ISBLANK($A53),"",INDEX(Array_WaterCharges,MATCH($A53,List_WaterMeters,0),ROUNDUP((COLUMN()+0)/3-1,0)))</f>
        <v/>
      </c>
      <c r="X53" s="127"/>
      <c r="Y53" s="137"/>
      <c r="Z53" s="58" t="str" cm="1">
        <f>IF(ISBLANK($A53),"",INDEX(Array_WaterCharges,MATCH($A53,List_WaterMeters,0),ROUNDUP((COLUMN()+0)/3-1,0)))</f>
        <v/>
      </c>
      <c r="AA53" s="127"/>
      <c r="AB53" s="137"/>
      <c r="AC53" s="58" t="str" cm="1">
        <f>IF(ISBLANK($A53),"",INDEX(Array_WaterCharges,MATCH($A53,List_WaterMeters,0),ROUNDUP((COLUMN()+0)/3-1,0)))</f>
        <v/>
      </c>
      <c r="AD53" s="127"/>
      <c r="AE53" s="137"/>
      <c r="AF53" s="58" t="str" cm="1">
        <f>IF(ISBLANK($A53),"",INDEX(Array_WaterCharges,MATCH($A53,List_WaterMeters,0),ROUNDUP((COLUMN()+0)/3-1,0)))</f>
        <v/>
      </c>
      <c r="AG53" s="127"/>
      <c r="AH53" s="137"/>
    </row>
    <row r="54" spans="1:34" x14ac:dyDescent="0.3">
      <c r="A54" s="126"/>
      <c r="B54" s="133"/>
      <c r="C54" s="127"/>
      <c r="D54" s="137"/>
      <c r="E54" s="58" t="str" cm="1">
        <f>IF(ISBLANK($A54),"",INDEX(Array_WaterCharges,MATCH($A54,List_WaterMeters,0),ROUNDUP((COLUMN()+0)/3-1,0)))</f>
        <v/>
      </c>
      <c r="F54" s="127"/>
      <c r="G54" s="137"/>
      <c r="H54" s="58" t="str" cm="1">
        <f>IF(ISBLANK($A54),"",INDEX(Array_WaterCharges,MATCH($A54,List_WaterMeters,0),ROUNDUP((COLUMN()+0)/3-1,0)))</f>
        <v/>
      </c>
      <c r="I54" s="127"/>
      <c r="J54" s="137"/>
      <c r="K54" s="58" t="str" cm="1">
        <f>IF(ISBLANK($A54),"",INDEX(Array_WaterCharges,MATCH($A54,List_WaterMeters,0),ROUNDUP((COLUMN()+0)/3-1,0)))</f>
        <v/>
      </c>
      <c r="L54" s="127"/>
      <c r="M54" s="137"/>
      <c r="N54" s="58" t="str" cm="1">
        <f>IF(ISBLANK($A54),"",INDEX(Array_WaterCharges,MATCH($A54,List_WaterMeters,0),ROUNDUP((COLUMN()+0)/3-1,0)))</f>
        <v/>
      </c>
      <c r="O54" s="127"/>
      <c r="P54" s="137"/>
      <c r="Q54" s="58" t="str" cm="1">
        <f>IF(ISBLANK($A54),"",INDEX(Array_WaterCharges,MATCH($A54,List_WaterMeters,0),ROUNDUP((COLUMN()+0)/3-1,0)))</f>
        <v/>
      </c>
      <c r="R54" s="127"/>
      <c r="S54" s="137"/>
      <c r="T54" s="58" t="str" cm="1">
        <f>IF(ISBLANK($A54),"",INDEX(Array_WaterCharges,MATCH($A54,List_WaterMeters,0),ROUNDUP((COLUMN()+0)/3-1,0)))</f>
        <v/>
      </c>
      <c r="U54" s="127"/>
      <c r="V54" s="137"/>
      <c r="W54" s="58" t="str" cm="1">
        <f>IF(ISBLANK($A54),"",INDEX(Array_WaterCharges,MATCH($A54,List_WaterMeters,0),ROUNDUP((COLUMN()+0)/3-1,0)))</f>
        <v/>
      </c>
      <c r="X54" s="127"/>
      <c r="Y54" s="137"/>
      <c r="Z54" s="58" t="str" cm="1">
        <f>IF(ISBLANK($A54),"",INDEX(Array_WaterCharges,MATCH($A54,List_WaterMeters,0),ROUNDUP((COLUMN()+0)/3-1,0)))</f>
        <v/>
      </c>
      <c r="AA54" s="127"/>
      <c r="AB54" s="137"/>
      <c r="AC54" s="58" t="str" cm="1">
        <f>IF(ISBLANK($A54),"",INDEX(Array_WaterCharges,MATCH($A54,List_WaterMeters,0),ROUNDUP((COLUMN()+0)/3-1,0)))</f>
        <v/>
      </c>
      <c r="AD54" s="127"/>
      <c r="AE54" s="137"/>
      <c r="AF54" s="58" t="str" cm="1">
        <f>IF(ISBLANK($A54),"",INDEX(Array_WaterCharges,MATCH($A54,List_WaterMeters,0),ROUNDUP((COLUMN()+0)/3-1,0)))</f>
        <v/>
      </c>
      <c r="AG54" s="127"/>
      <c r="AH54" s="137"/>
    </row>
    <row r="55" spans="1:34" x14ac:dyDescent="0.3">
      <c r="A55" s="126"/>
      <c r="B55" s="133"/>
      <c r="C55" s="127"/>
      <c r="D55" s="137"/>
      <c r="E55" s="58" t="str" cm="1">
        <f>IF(ISBLANK($A55),"",INDEX(Array_WaterCharges,MATCH($A55,List_WaterMeters,0),ROUNDUP((COLUMN()+0)/3-1,0)))</f>
        <v/>
      </c>
      <c r="F55" s="127"/>
      <c r="G55" s="137"/>
      <c r="H55" s="58" t="str" cm="1">
        <f>IF(ISBLANK($A55),"",INDEX(Array_WaterCharges,MATCH($A55,List_WaterMeters,0),ROUNDUP((COLUMN()+0)/3-1,0)))</f>
        <v/>
      </c>
      <c r="I55" s="127"/>
      <c r="J55" s="137"/>
      <c r="K55" s="58" t="str" cm="1">
        <f>IF(ISBLANK($A55),"",INDEX(Array_WaterCharges,MATCH($A55,List_WaterMeters,0),ROUNDUP((COLUMN()+0)/3-1,0)))</f>
        <v/>
      </c>
      <c r="L55" s="127"/>
      <c r="M55" s="137"/>
      <c r="N55" s="58" t="str" cm="1">
        <f>IF(ISBLANK($A55),"",INDEX(Array_WaterCharges,MATCH($A55,List_WaterMeters,0),ROUNDUP((COLUMN()+0)/3-1,0)))</f>
        <v/>
      </c>
      <c r="O55" s="127"/>
      <c r="P55" s="137"/>
      <c r="Q55" s="58" t="str" cm="1">
        <f>IF(ISBLANK($A55),"",INDEX(Array_WaterCharges,MATCH($A55,List_WaterMeters,0),ROUNDUP((COLUMN()+0)/3-1,0)))</f>
        <v/>
      </c>
      <c r="R55" s="127"/>
      <c r="S55" s="137"/>
      <c r="T55" s="58" t="str" cm="1">
        <f>IF(ISBLANK($A55),"",INDEX(Array_WaterCharges,MATCH($A55,List_WaterMeters,0),ROUNDUP((COLUMN()+0)/3-1,0)))</f>
        <v/>
      </c>
      <c r="U55" s="127"/>
      <c r="V55" s="137"/>
      <c r="W55" s="58" t="str" cm="1">
        <f>IF(ISBLANK($A55),"",INDEX(Array_WaterCharges,MATCH($A55,List_WaterMeters,0),ROUNDUP((COLUMN()+0)/3-1,0)))</f>
        <v/>
      </c>
      <c r="X55" s="127"/>
      <c r="Y55" s="137"/>
      <c r="Z55" s="58" t="str" cm="1">
        <f>IF(ISBLANK($A55),"",INDEX(Array_WaterCharges,MATCH($A55,List_WaterMeters,0),ROUNDUP((COLUMN()+0)/3-1,0)))</f>
        <v/>
      </c>
      <c r="AA55" s="127"/>
      <c r="AB55" s="137"/>
      <c r="AC55" s="58" t="str" cm="1">
        <f>IF(ISBLANK($A55),"",INDEX(Array_WaterCharges,MATCH($A55,List_WaterMeters,0),ROUNDUP((COLUMN()+0)/3-1,0)))</f>
        <v/>
      </c>
      <c r="AD55" s="127"/>
      <c r="AE55" s="137"/>
      <c r="AF55" s="58" t="str" cm="1">
        <f>IF(ISBLANK($A55),"",INDEX(Array_WaterCharges,MATCH($A55,List_WaterMeters,0),ROUNDUP((COLUMN()+0)/3-1,0)))</f>
        <v/>
      </c>
      <c r="AG55" s="127"/>
      <c r="AH55" s="137"/>
    </row>
    <row r="56" spans="1:34" x14ac:dyDescent="0.3">
      <c r="A56" s="126"/>
      <c r="B56" s="133"/>
      <c r="C56" s="127"/>
      <c r="D56" s="137"/>
      <c r="E56" s="58" t="str" cm="1">
        <f>IF(ISBLANK($A56),"",INDEX(Array_WaterCharges,MATCH($A56,List_WaterMeters,0),ROUNDUP((COLUMN()+0)/3-1,0)))</f>
        <v/>
      </c>
      <c r="F56" s="127"/>
      <c r="G56" s="137"/>
      <c r="H56" s="58" t="str" cm="1">
        <f>IF(ISBLANK($A56),"",INDEX(Array_WaterCharges,MATCH($A56,List_WaterMeters,0),ROUNDUP((COLUMN()+0)/3-1,0)))</f>
        <v/>
      </c>
      <c r="I56" s="127"/>
      <c r="J56" s="137"/>
      <c r="K56" s="58" t="str" cm="1">
        <f>IF(ISBLANK($A56),"",INDEX(Array_WaterCharges,MATCH($A56,List_WaterMeters,0),ROUNDUP((COLUMN()+0)/3-1,0)))</f>
        <v/>
      </c>
      <c r="L56" s="127"/>
      <c r="M56" s="137"/>
      <c r="N56" s="58" t="str" cm="1">
        <f>IF(ISBLANK($A56),"",INDEX(Array_WaterCharges,MATCH($A56,List_WaterMeters,0),ROUNDUP((COLUMN()+0)/3-1,0)))</f>
        <v/>
      </c>
      <c r="O56" s="127"/>
      <c r="P56" s="137"/>
      <c r="Q56" s="58" t="str" cm="1">
        <f>IF(ISBLANK($A56),"",INDEX(Array_WaterCharges,MATCH($A56,List_WaterMeters,0),ROUNDUP((COLUMN()+0)/3-1,0)))</f>
        <v/>
      </c>
      <c r="R56" s="127"/>
      <c r="S56" s="137"/>
      <c r="T56" s="58" t="str" cm="1">
        <f>IF(ISBLANK($A56),"",INDEX(Array_WaterCharges,MATCH($A56,List_WaterMeters,0),ROUNDUP((COLUMN()+0)/3-1,0)))</f>
        <v/>
      </c>
      <c r="U56" s="127"/>
      <c r="V56" s="137"/>
      <c r="W56" s="58" t="str" cm="1">
        <f>IF(ISBLANK($A56),"",INDEX(Array_WaterCharges,MATCH($A56,List_WaterMeters,0),ROUNDUP((COLUMN()+0)/3-1,0)))</f>
        <v/>
      </c>
      <c r="X56" s="127"/>
      <c r="Y56" s="137"/>
      <c r="Z56" s="58" t="str" cm="1">
        <f>IF(ISBLANK($A56),"",INDEX(Array_WaterCharges,MATCH($A56,List_WaterMeters,0),ROUNDUP((COLUMN()+0)/3-1,0)))</f>
        <v/>
      </c>
      <c r="AA56" s="127"/>
      <c r="AB56" s="137"/>
      <c r="AC56" s="58" t="str" cm="1">
        <f>IF(ISBLANK($A56),"",INDEX(Array_WaterCharges,MATCH($A56,List_WaterMeters,0),ROUNDUP((COLUMN()+0)/3-1,0)))</f>
        <v/>
      </c>
      <c r="AD56" s="127"/>
      <c r="AE56" s="137"/>
      <c r="AF56" s="58" t="str" cm="1">
        <f>IF(ISBLANK($A56),"",INDEX(Array_WaterCharges,MATCH($A56,List_WaterMeters,0),ROUNDUP((COLUMN()+0)/3-1,0)))</f>
        <v/>
      </c>
      <c r="AG56" s="127"/>
      <c r="AH56" s="137"/>
    </row>
    <row r="57" spans="1:34" x14ac:dyDescent="0.3">
      <c r="A57" s="126"/>
      <c r="B57" s="133"/>
      <c r="C57" s="127"/>
      <c r="D57" s="137"/>
      <c r="E57" s="58" t="str" cm="1">
        <f>IF(ISBLANK($A57),"",INDEX(Array_WaterCharges,MATCH($A57,List_WaterMeters,0),ROUNDUP((COLUMN()+0)/3-1,0)))</f>
        <v/>
      </c>
      <c r="F57" s="127"/>
      <c r="G57" s="137"/>
      <c r="H57" s="58" t="str" cm="1">
        <f>IF(ISBLANK($A57),"",INDEX(Array_WaterCharges,MATCH($A57,List_WaterMeters,0),ROUNDUP((COLUMN()+0)/3-1,0)))</f>
        <v/>
      </c>
      <c r="I57" s="127"/>
      <c r="J57" s="137"/>
      <c r="K57" s="58" t="str" cm="1">
        <f>IF(ISBLANK($A57),"",INDEX(Array_WaterCharges,MATCH($A57,List_WaterMeters,0),ROUNDUP((COLUMN()+0)/3-1,0)))</f>
        <v/>
      </c>
      <c r="L57" s="127"/>
      <c r="M57" s="137"/>
      <c r="N57" s="58" t="str" cm="1">
        <f>IF(ISBLANK($A57),"",INDEX(Array_WaterCharges,MATCH($A57,List_WaterMeters,0),ROUNDUP((COLUMN()+0)/3-1,0)))</f>
        <v/>
      </c>
      <c r="O57" s="127"/>
      <c r="P57" s="137"/>
      <c r="Q57" s="58" t="str" cm="1">
        <f>IF(ISBLANK($A57),"",INDEX(Array_WaterCharges,MATCH($A57,List_WaterMeters,0),ROUNDUP((COLUMN()+0)/3-1,0)))</f>
        <v/>
      </c>
      <c r="R57" s="127"/>
      <c r="S57" s="137"/>
      <c r="T57" s="58" t="str" cm="1">
        <f>IF(ISBLANK($A57),"",INDEX(Array_WaterCharges,MATCH($A57,List_WaterMeters,0),ROUNDUP((COLUMN()+0)/3-1,0)))</f>
        <v/>
      </c>
      <c r="U57" s="127"/>
      <c r="V57" s="137"/>
      <c r="W57" s="58" t="str" cm="1">
        <f>IF(ISBLANK($A57),"",INDEX(Array_WaterCharges,MATCH($A57,List_WaterMeters,0),ROUNDUP((COLUMN()+0)/3-1,0)))</f>
        <v/>
      </c>
      <c r="X57" s="127"/>
      <c r="Y57" s="137"/>
      <c r="Z57" s="58" t="str" cm="1">
        <f>IF(ISBLANK($A57),"",INDEX(Array_WaterCharges,MATCH($A57,List_WaterMeters,0),ROUNDUP((COLUMN()+0)/3-1,0)))</f>
        <v/>
      </c>
      <c r="AA57" s="127"/>
      <c r="AB57" s="137"/>
      <c r="AC57" s="58" t="str" cm="1">
        <f>IF(ISBLANK($A57),"",INDEX(Array_WaterCharges,MATCH($A57,List_WaterMeters,0),ROUNDUP((COLUMN()+0)/3-1,0)))</f>
        <v/>
      </c>
      <c r="AD57" s="127"/>
      <c r="AE57" s="137"/>
      <c r="AF57" s="58" t="str" cm="1">
        <f>IF(ISBLANK($A57),"",INDEX(Array_WaterCharges,MATCH($A57,List_WaterMeters,0),ROUNDUP((COLUMN()+0)/3-1,0)))</f>
        <v/>
      </c>
      <c r="AG57" s="127"/>
      <c r="AH57" s="137"/>
    </row>
    <row r="58" spans="1:34" x14ac:dyDescent="0.3">
      <c r="A58" s="126"/>
      <c r="B58" s="133"/>
      <c r="C58" s="127"/>
      <c r="D58" s="137"/>
      <c r="E58" s="58" t="str" cm="1">
        <f>IF(ISBLANK($A58),"",INDEX(Array_WaterCharges,MATCH($A58,List_WaterMeters,0),ROUNDUP((COLUMN()+0)/3-1,0)))</f>
        <v/>
      </c>
      <c r="F58" s="127"/>
      <c r="G58" s="137"/>
      <c r="H58" s="58" t="str" cm="1">
        <f>IF(ISBLANK($A58),"",INDEX(Array_WaterCharges,MATCH($A58,List_WaterMeters,0),ROUNDUP((COLUMN()+0)/3-1,0)))</f>
        <v/>
      </c>
      <c r="I58" s="127"/>
      <c r="J58" s="137"/>
      <c r="K58" s="58" t="str" cm="1">
        <f>IF(ISBLANK($A58),"",INDEX(Array_WaterCharges,MATCH($A58,List_WaterMeters,0),ROUNDUP((COLUMN()+0)/3-1,0)))</f>
        <v/>
      </c>
      <c r="L58" s="127"/>
      <c r="M58" s="137"/>
      <c r="N58" s="58" t="str" cm="1">
        <f>IF(ISBLANK($A58),"",INDEX(Array_WaterCharges,MATCH($A58,List_WaterMeters,0),ROUNDUP((COLUMN()+0)/3-1,0)))</f>
        <v/>
      </c>
      <c r="O58" s="127"/>
      <c r="P58" s="137"/>
      <c r="Q58" s="58" t="str" cm="1">
        <f>IF(ISBLANK($A58),"",INDEX(Array_WaterCharges,MATCH($A58,List_WaterMeters,0),ROUNDUP((COLUMN()+0)/3-1,0)))</f>
        <v/>
      </c>
      <c r="R58" s="127"/>
      <c r="S58" s="137"/>
      <c r="T58" s="58" t="str" cm="1">
        <f>IF(ISBLANK($A58),"",INDEX(Array_WaterCharges,MATCH($A58,List_WaterMeters,0),ROUNDUP((COLUMN()+0)/3-1,0)))</f>
        <v/>
      </c>
      <c r="U58" s="127"/>
      <c r="V58" s="137"/>
      <c r="W58" s="58" t="str" cm="1">
        <f>IF(ISBLANK($A58),"",INDEX(Array_WaterCharges,MATCH($A58,List_WaterMeters,0),ROUNDUP((COLUMN()+0)/3-1,0)))</f>
        <v/>
      </c>
      <c r="X58" s="127"/>
      <c r="Y58" s="137"/>
      <c r="Z58" s="58" t="str" cm="1">
        <f>IF(ISBLANK($A58),"",INDEX(Array_WaterCharges,MATCH($A58,List_WaterMeters,0),ROUNDUP((COLUMN()+0)/3-1,0)))</f>
        <v/>
      </c>
      <c r="AA58" s="127"/>
      <c r="AB58" s="137"/>
      <c r="AC58" s="58" t="str" cm="1">
        <f>IF(ISBLANK($A58),"",INDEX(Array_WaterCharges,MATCH($A58,List_WaterMeters,0),ROUNDUP((COLUMN()+0)/3-1,0)))</f>
        <v/>
      </c>
      <c r="AD58" s="127"/>
      <c r="AE58" s="137"/>
      <c r="AF58" s="58" t="str" cm="1">
        <f>IF(ISBLANK($A58),"",INDEX(Array_WaterCharges,MATCH($A58,List_WaterMeters,0),ROUNDUP((COLUMN()+0)/3-1,0)))</f>
        <v/>
      </c>
      <c r="AG58" s="127"/>
      <c r="AH58" s="137"/>
    </row>
    <row r="59" spans="1:34" x14ac:dyDescent="0.3">
      <c r="A59" s="126"/>
      <c r="B59" s="133"/>
      <c r="C59" s="127"/>
      <c r="D59" s="137"/>
      <c r="E59" s="58" t="str" cm="1">
        <f>IF(ISBLANK($A59),"",INDEX(Array_WaterCharges,MATCH($A59,List_WaterMeters,0),ROUNDUP((COLUMN()+0)/3-1,0)))</f>
        <v/>
      </c>
      <c r="F59" s="127"/>
      <c r="G59" s="137"/>
      <c r="H59" s="58" t="str" cm="1">
        <f>IF(ISBLANK($A59),"",INDEX(Array_WaterCharges,MATCH($A59,List_WaterMeters,0),ROUNDUP((COLUMN()+0)/3-1,0)))</f>
        <v/>
      </c>
      <c r="I59" s="127"/>
      <c r="J59" s="137"/>
      <c r="K59" s="58" t="str" cm="1">
        <f>IF(ISBLANK($A59),"",INDEX(Array_WaterCharges,MATCH($A59,List_WaterMeters,0),ROUNDUP((COLUMN()+0)/3-1,0)))</f>
        <v/>
      </c>
      <c r="L59" s="127"/>
      <c r="M59" s="137"/>
      <c r="N59" s="58" t="str" cm="1">
        <f>IF(ISBLANK($A59),"",INDEX(Array_WaterCharges,MATCH($A59,List_WaterMeters,0),ROUNDUP((COLUMN()+0)/3-1,0)))</f>
        <v/>
      </c>
      <c r="O59" s="127"/>
      <c r="P59" s="137"/>
      <c r="Q59" s="58" t="str" cm="1">
        <f>IF(ISBLANK($A59),"",INDEX(Array_WaterCharges,MATCH($A59,List_WaterMeters,0),ROUNDUP((COLUMN()+0)/3-1,0)))</f>
        <v/>
      </c>
      <c r="R59" s="127"/>
      <c r="S59" s="137"/>
      <c r="T59" s="58" t="str" cm="1">
        <f>IF(ISBLANK($A59),"",INDEX(Array_WaterCharges,MATCH($A59,List_WaterMeters,0),ROUNDUP((COLUMN()+0)/3-1,0)))</f>
        <v/>
      </c>
      <c r="U59" s="127"/>
      <c r="V59" s="137"/>
      <c r="W59" s="58" t="str" cm="1">
        <f>IF(ISBLANK($A59),"",INDEX(Array_WaterCharges,MATCH($A59,List_WaterMeters,0),ROUNDUP((COLUMN()+0)/3-1,0)))</f>
        <v/>
      </c>
      <c r="X59" s="127"/>
      <c r="Y59" s="137"/>
      <c r="Z59" s="58" t="str" cm="1">
        <f>IF(ISBLANK($A59),"",INDEX(Array_WaterCharges,MATCH($A59,List_WaterMeters,0),ROUNDUP((COLUMN()+0)/3-1,0)))</f>
        <v/>
      </c>
      <c r="AA59" s="127"/>
      <c r="AB59" s="137"/>
      <c r="AC59" s="58" t="str" cm="1">
        <f>IF(ISBLANK($A59),"",INDEX(Array_WaterCharges,MATCH($A59,List_WaterMeters,0),ROUNDUP((COLUMN()+0)/3-1,0)))</f>
        <v/>
      </c>
      <c r="AD59" s="127"/>
      <c r="AE59" s="137"/>
      <c r="AF59" s="58" t="str" cm="1">
        <f>IF(ISBLANK($A59),"",INDEX(Array_WaterCharges,MATCH($A59,List_WaterMeters,0),ROUNDUP((COLUMN()+0)/3-1,0)))</f>
        <v/>
      </c>
      <c r="AG59" s="127"/>
      <c r="AH59" s="137"/>
    </row>
    <row r="60" spans="1:34" x14ac:dyDescent="0.3">
      <c r="A60" s="126"/>
      <c r="B60" s="133"/>
      <c r="C60" s="127"/>
      <c r="D60" s="137"/>
      <c r="E60" s="58" t="str" cm="1">
        <f>IF(ISBLANK($A60),"",INDEX(Array_WaterCharges,MATCH($A60,List_WaterMeters,0),ROUNDUP((COLUMN()+0)/3-1,0)))</f>
        <v/>
      </c>
      <c r="F60" s="127"/>
      <c r="G60" s="137"/>
      <c r="H60" s="58" t="str" cm="1">
        <f>IF(ISBLANK($A60),"",INDEX(Array_WaterCharges,MATCH($A60,List_WaterMeters,0),ROUNDUP((COLUMN()+0)/3-1,0)))</f>
        <v/>
      </c>
      <c r="I60" s="127"/>
      <c r="J60" s="137"/>
      <c r="K60" s="58" t="str" cm="1">
        <f>IF(ISBLANK($A60),"",INDEX(Array_WaterCharges,MATCH($A60,List_WaterMeters,0),ROUNDUP((COLUMN()+0)/3-1,0)))</f>
        <v/>
      </c>
      <c r="L60" s="127"/>
      <c r="M60" s="137"/>
      <c r="N60" s="58" t="str" cm="1">
        <f>IF(ISBLANK($A60),"",INDEX(Array_WaterCharges,MATCH($A60,List_WaterMeters,0),ROUNDUP((COLUMN()+0)/3-1,0)))</f>
        <v/>
      </c>
      <c r="O60" s="127"/>
      <c r="P60" s="137"/>
      <c r="Q60" s="58" t="str" cm="1">
        <f>IF(ISBLANK($A60),"",INDEX(Array_WaterCharges,MATCH($A60,List_WaterMeters,0),ROUNDUP((COLUMN()+0)/3-1,0)))</f>
        <v/>
      </c>
      <c r="R60" s="127"/>
      <c r="S60" s="137"/>
      <c r="T60" s="58" t="str" cm="1">
        <f>IF(ISBLANK($A60),"",INDEX(Array_WaterCharges,MATCH($A60,List_WaterMeters,0),ROUNDUP((COLUMN()+0)/3-1,0)))</f>
        <v/>
      </c>
      <c r="U60" s="127"/>
      <c r="V60" s="137"/>
      <c r="W60" s="58" t="str" cm="1">
        <f>IF(ISBLANK($A60),"",INDEX(Array_WaterCharges,MATCH($A60,List_WaterMeters,0),ROUNDUP((COLUMN()+0)/3-1,0)))</f>
        <v/>
      </c>
      <c r="X60" s="127"/>
      <c r="Y60" s="137"/>
      <c r="Z60" s="58" t="str" cm="1">
        <f>IF(ISBLANK($A60),"",INDEX(Array_WaterCharges,MATCH($A60,List_WaterMeters,0),ROUNDUP((COLUMN()+0)/3-1,0)))</f>
        <v/>
      </c>
      <c r="AA60" s="127"/>
      <c r="AB60" s="137"/>
      <c r="AC60" s="58" t="str" cm="1">
        <f>IF(ISBLANK($A60),"",INDEX(Array_WaterCharges,MATCH($A60,List_WaterMeters,0),ROUNDUP((COLUMN()+0)/3-1,0)))</f>
        <v/>
      </c>
      <c r="AD60" s="127"/>
      <c r="AE60" s="137"/>
      <c r="AF60" s="58" t="str" cm="1">
        <f>IF(ISBLANK($A60),"",INDEX(Array_WaterCharges,MATCH($A60,List_WaterMeters,0),ROUNDUP((COLUMN()+0)/3-1,0)))</f>
        <v/>
      </c>
      <c r="AG60" s="127"/>
      <c r="AH60" s="137"/>
    </row>
    <row r="61" spans="1:34" x14ac:dyDescent="0.3">
      <c r="A61" s="126"/>
      <c r="B61" s="133"/>
      <c r="C61" s="127"/>
      <c r="D61" s="137"/>
      <c r="E61" s="58" t="str" cm="1">
        <f>IF(ISBLANK($A61),"",INDEX(Array_WaterCharges,MATCH($A61,List_WaterMeters,0),ROUNDUP((COLUMN()+0)/3-1,0)))</f>
        <v/>
      </c>
      <c r="F61" s="127"/>
      <c r="G61" s="137"/>
      <c r="H61" s="58" t="str" cm="1">
        <f>IF(ISBLANK($A61),"",INDEX(Array_WaterCharges,MATCH($A61,List_WaterMeters,0),ROUNDUP((COLUMN()+0)/3-1,0)))</f>
        <v/>
      </c>
      <c r="I61" s="127"/>
      <c r="J61" s="137"/>
      <c r="K61" s="58" t="str" cm="1">
        <f>IF(ISBLANK($A61),"",INDEX(Array_WaterCharges,MATCH($A61,List_WaterMeters,0),ROUNDUP((COLUMN()+0)/3-1,0)))</f>
        <v/>
      </c>
      <c r="L61" s="127"/>
      <c r="M61" s="137"/>
      <c r="N61" s="58" t="str" cm="1">
        <f>IF(ISBLANK($A61),"",INDEX(Array_WaterCharges,MATCH($A61,List_WaterMeters,0),ROUNDUP((COLUMN()+0)/3-1,0)))</f>
        <v/>
      </c>
      <c r="O61" s="127"/>
      <c r="P61" s="137"/>
      <c r="Q61" s="58" t="str" cm="1">
        <f>IF(ISBLANK($A61),"",INDEX(Array_WaterCharges,MATCH($A61,List_WaterMeters,0),ROUNDUP((COLUMN()+0)/3-1,0)))</f>
        <v/>
      </c>
      <c r="R61" s="127"/>
      <c r="S61" s="137"/>
      <c r="T61" s="58" t="str" cm="1">
        <f>IF(ISBLANK($A61),"",INDEX(Array_WaterCharges,MATCH($A61,List_WaterMeters,0),ROUNDUP((COLUMN()+0)/3-1,0)))</f>
        <v/>
      </c>
      <c r="U61" s="127"/>
      <c r="V61" s="137"/>
      <c r="W61" s="58" t="str" cm="1">
        <f>IF(ISBLANK($A61),"",INDEX(Array_WaterCharges,MATCH($A61,List_WaterMeters,0),ROUNDUP((COLUMN()+0)/3-1,0)))</f>
        <v/>
      </c>
      <c r="X61" s="127"/>
      <c r="Y61" s="137"/>
      <c r="Z61" s="58" t="str" cm="1">
        <f>IF(ISBLANK($A61),"",INDEX(Array_WaterCharges,MATCH($A61,List_WaterMeters,0),ROUNDUP((COLUMN()+0)/3-1,0)))</f>
        <v/>
      </c>
      <c r="AA61" s="127"/>
      <c r="AB61" s="137"/>
      <c r="AC61" s="58" t="str" cm="1">
        <f>IF(ISBLANK($A61),"",INDEX(Array_WaterCharges,MATCH($A61,List_WaterMeters,0),ROUNDUP((COLUMN()+0)/3-1,0)))</f>
        <v/>
      </c>
      <c r="AD61" s="127"/>
      <c r="AE61" s="137"/>
      <c r="AF61" s="58" t="str" cm="1">
        <f>IF(ISBLANK($A61),"",INDEX(Array_WaterCharges,MATCH($A61,List_WaterMeters,0),ROUNDUP((COLUMN()+0)/3-1,0)))</f>
        <v/>
      </c>
      <c r="AG61" s="127"/>
      <c r="AH61" s="137"/>
    </row>
    <row r="62" spans="1:34" x14ac:dyDescent="0.3">
      <c r="A62" s="126"/>
      <c r="B62" s="133"/>
      <c r="C62" s="127"/>
      <c r="D62" s="137"/>
      <c r="E62" s="58" t="str" cm="1">
        <f>IF(ISBLANK($A62),"",INDEX(Array_WaterCharges,MATCH($A62,List_WaterMeters,0),ROUNDUP((COLUMN()+0)/3-1,0)))</f>
        <v/>
      </c>
      <c r="F62" s="127"/>
      <c r="G62" s="137"/>
      <c r="H62" s="58" t="str" cm="1">
        <f>IF(ISBLANK($A62),"",INDEX(Array_WaterCharges,MATCH($A62,List_WaterMeters,0),ROUNDUP((COLUMN()+0)/3-1,0)))</f>
        <v/>
      </c>
      <c r="I62" s="127"/>
      <c r="J62" s="137"/>
      <c r="K62" s="58" t="str" cm="1">
        <f>IF(ISBLANK($A62),"",INDEX(Array_WaterCharges,MATCH($A62,List_WaterMeters,0),ROUNDUP((COLUMN()+0)/3-1,0)))</f>
        <v/>
      </c>
      <c r="L62" s="127"/>
      <c r="M62" s="137"/>
      <c r="N62" s="58" t="str" cm="1">
        <f>IF(ISBLANK($A62),"",INDEX(Array_WaterCharges,MATCH($A62,List_WaterMeters,0),ROUNDUP((COLUMN()+0)/3-1,0)))</f>
        <v/>
      </c>
      <c r="O62" s="127"/>
      <c r="P62" s="137"/>
      <c r="Q62" s="58" t="str" cm="1">
        <f>IF(ISBLANK($A62),"",INDEX(Array_WaterCharges,MATCH($A62,List_WaterMeters,0),ROUNDUP((COLUMN()+0)/3-1,0)))</f>
        <v/>
      </c>
      <c r="R62" s="127"/>
      <c r="S62" s="137"/>
      <c r="T62" s="58" t="str" cm="1">
        <f>IF(ISBLANK($A62),"",INDEX(Array_WaterCharges,MATCH($A62,List_WaterMeters,0),ROUNDUP((COLUMN()+0)/3-1,0)))</f>
        <v/>
      </c>
      <c r="U62" s="127"/>
      <c r="V62" s="137"/>
      <c r="W62" s="58" t="str" cm="1">
        <f>IF(ISBLANK($A62),"",INDEX(Array_WaterCharges,MATCH($A62,List_WaterMeters,0),ROUNDUP((COLUMN()+0)/3-1,0)))</f>
        <v/>
      </c>
      <c r="X62" s="127"/>
      <c r="Y62" s="137"/>
      <c r="Z62" s="58" t="str" cm="1">
        <f>IF(ISBLANK($A62),"",INDEX(Array_WaterCharges,MATCH($A62,List_WaterMeters,0),ROUNDUP((COLUMN()+0)/3-1,0)))</f>
        <v/>
      </c>
      <c r="AA62" s="127"/>
      <c r="AB62" s="137"/>
      <c r="AC62" s="58" t="str" cm="1">
        <f>IF(ISBLANK($A62),"",INDEX(Array_WaterCharges,MATCH($A62,List_WaterMeters,0),ROUNDUP((COLUMN()+0)/3-1,0)))</f>
        <v/>
      </c>
      <c r="AD62" s="127"/>
      <c r="AE62" s="137"/>
      <c r="AF62" s="58" t="str" cm="1">
        <f>IF(ISBLANK($A62),"",INDEX(Array_WaterCharges,MATCH($A62,List_WaterMeters,0),ROUNDUP((COLUMN()+0)/3-1,0)))</f>
        <v/>
      </c>
      <c r="AG62" s="127"/>
      <c r="AH62" s="137"/>
    </row>
    <row r="63" spans="1:34" x14ac:dyDescent="0.3">
      <c r="A63" s="126"/>
      <c r="B63" s="133"/>
      <c r="C63" s="127"/>
      <c r="D63" s="137"/>
      <c r="E63" s="58" t="str" cm="1">
        <f>IF(ISBLANK($A63),"",INDEX(Array_WaterCharges,MATCH($A63,List_WaterMeters,0),ROUNDUP((COLUMN()+0)/3-1,0)))</f>
        <v/>
      </c>
      <c r="F63" s="127"/>
      <c r="G63" s="137"/>
      <c r="H63" s="58" t="str" cm="1">
        <f>IF(ISBLANK($A63),"",INDEX(Array_WaterCharges,MATCH($A63,List_WaterMeters,0),ROUNDUP((COLUMN()+0)/3-1,0)))</f>
        <v/>
      </c>
      <c r="I63" s="127"/>
      <c r="J63" s="137"/>
      <c r="K63" s="58" t="str" cm="1">
        <f>IF(ISBLANK($A63),"",INDEX(Array_WaterCharges,MATCH($A63,List_WaterMeters,0),ROUNDUP((COLUMN()+0)/3-1,0)))</f>
        <v/>
      </c>
      <c r="L63" s="127"/>
      <c r="M63" s="137"/>
      <c r="N63" s="58" t="str" cm="1">
        <f>IF(ISBLANK($A63),"",INDEX(Array_WaterCharges,MATCH($A63,List_WaterMeters,0),ROUNDUP((COLUMN()+0)/3-1,0)))</f>
        <v/>
      </c>
      <c r="O63" s="127"/>
      <c r="P63" s="137"/>
      <c r="Q63" s="58" t="str" cm="1">
        <f>IF(ISBLANK($A63),"",INDEX(Array_WaterCharges,MATCH($A63,List_WaterMeters,0),ROUNDUP((COLUMN()+0)/3-1,0)))</f>
        <v/>
      </c>
      <c r="R63" s="127"/>
      <c r="S63" s="137"/>
      <c r="T63" s="58" t="str" cm="1">
        <f>IF(ISBLANK($A63),"",INDEX(Array_WaterCharges,MATCH($A63,List_WaterMeters,0),ROUNDUP((COLUMN()+0)/3-1,0)))</f>
        <v/>
      </c>
      <c r="U63" s="127"/>
      <c r="V63" s="137"/>
      <c r="W63" s="58" t="str" cm="1">
        <f>IF(ISBLANK($A63),"",INDEX(Array_WaterCharges,MATCH($A63,List_WaterMeters,0),ROUNDUP((COLUMN()+0)/3-1,0)))</f>
        <v/>
      </c>
      <c r="X63" s="127"/>
      <c r="Y63" s="137"/>
      <c r="Z63" s="58" t="str" cm="1">
        <f>IF(ISBLANK($A63),"",INDEX(Array_WaterCharges,MATCH($A63,List_WaterMeters,0),ROUNDUP((COLUMN()+0)/3-1,0)))</f>
        <v/>
      </c>
      <c r="AA63" s="127"/>
      <c r="AB63" s="137"/>
      <c r="AC63" s="58" t="str" cm="1">
        <f>IF(ISBLANK($A63),"",INDEX(Array_WaterCharges,MATCH($A63,List_WaterMeters,0),ROUNDUP((COLUMN()+0)/3-1,0)))</f>
        <v/>
      </c>
      <c r="AD63" s="127"/>
      <c r="AE63" s="137"/>
      <c r="AF63" s="58" t="str" cm="1">
        <f>IF(ISBLANK($A63),"",INDEX(Array_WaterCharges,MATCH($A63,List_WaterMeters,0),ROUNDUP((COLUMN()+0)/3-1,0)))</f>
        <v/>
      </c>
      <c r="AG63" s="127"/>
      <c r="AH63" s="137"/>
    </row>
    <row r="64" spans="1:34" x14ac:dyDescent="0.3">
      <c r="A64" s="126"/>
      <c r="B64" s="133"/>
      <c r="C64" s="127"/>
      <c r="D64" s="137"/>
      <c r="E64" s="58" t="str" cm="1">
        <f>IF(ISBLANK($A64),"",INDEX(Array_WaterCharges,MATCH($A64,List_WaterMeters,0),ROUNDUP((COLUMN()+0)/3-1,0)))</f>
        <v/>
      </c>
      <c r="F64" s="127"/>
      <c r="G64" s="137"/>
      <c r="H64" s="58" t="str" cm="1">
        <f>IF(ISBLANK($A64),"",INDEX(Array_WaterCharges,MATCH($A64,List_WaterMeters,0),ROUNDUP((COLUMN()+0)/3-1,0)))</f>
        <v/>
      </c>
      <c r="I64" s="127"/>
      <c r="J64" s="137"/>
      <c r="K64" s="58" t="str" cm="1">
        <f>IF(ISBLANK($A64),"",INDEX(Array_WaterCharges,MATCH($A64,List_WaterMeters,0),ROUNDUP((COLUMN()+0)/3-1,0)))</f>
        <v/>
      </c>
      <c r="L64" s="127"/>
      <c r="M64" s="137"/>
      <c r="N64" s="58" t="str" cm="1">
        <f>IF(ISBLANK($A64),"",INDEX(Array_WaterCharges,MATCH($A64,List_WaterMeters,0),ROUNDUP((COLUMN()+0)/3-1,0)))</f>
        <v/>
      </c>
      <c r="O64" s="127"/>
      <c r="P64" s="137"/>
      <c r="Q64" s="58" t="str" cm="1">
        <f>IF(ISBLANK($A64),"",INDEX(Array_WaterCharges,MATCH($A64,List_WaterMeters,0),ROUNDUP((COLUMN()+0)/3-1,0)))</f>
        <v/>
      </c>
      <c r="R64" s="127"/>
      <c r="S64" s="137"/>
      <c r="T64" s="58" t="str" cm="1">
        <f>IF(ISBLANK($A64),"",INDEX(Array_WaterCharges,MATCH($A64,List_WaterMeters,0),ROUNDUP((COLUMN()+0)/3-1,0)))</f>
        <v/>
      </c>
      <c r="U64" s="127"/>
      <c r="V64" s="137"/>
      <c r="W64" s="58" t="str" cm="1">
        <f>IF(ISBLANK($A64),"",INDEX(Array_WaterCharges,MATCH($A64,List_WaterMeters,0),ROUNDUP((COLUMN()+0)/3-1,0)))</f>
        <v/>
      </c>
      <c r="X64" s="127"/>
      <c r="Y64" s="137"/>
      <c r="Z64" s="58" t="str" cm="1">
        <f>IF(ISBLANK($A64),"",INDEX(Array_WaterCharges,MATCH($A64,List_WaterMeters,0),ROUNDUP((COLUMN()+0)/3-1,0)))</f>
        <v/>
      </c>
      <c r="AA64" s="127"/>
      <c r="AB64" s="137"/>
      <c r="AC64" s="58" t="str" cm="1">
        <f>IF(ISBLANK($A64),"",INDEX(Array_WaterCharges,MATCH($A64,List_WaterMeters,0),ROUNDUP((COLUMN()+0)/3-1,0)))</f>
        <v/>
      </c>
      <c r="AD64" s="127"/>
      <c r="AE64" s="137"/>
      <c r="AF64" s="58" t="str" cm="1">
        <f>IF(ISBLANK($A64),"",INDEX(Array_WaterCharges,MATCH($A64,List_WaterMeters,0),ROUNDUP((COLUMN()+0)/3-1,0)))</f>
        <v/>
      </c>
      <c r="AG64" s="127"/>
      <c r="AH64" s="137"/>
    </row>
    <row r="65" spans="1:34" x14ac:dyDescent="0.3">
      <c r="A65" s="126"/>
      <c r="B65" s="133"/>
      <c r="C65" s="127"/>
      <c r="D65" s="137"/>
      <c r="E65" s="58" t="str" cm="1">
        <f>IF(ISBLANK($A65),"",INDEX(Array_WaterCharges,MATCH($A65,List_WaterMeters,0),ROUNDUP((COLUMN()+0)/3-1,0)))</f>
        <v/>
      </c>
      <c r="F65" s="127"/>
      <c r="G65" s="137"/>
      <c r="H65" s="58" t="str" cm="1">
        <f>IF(ISBLANK($A65),"",INDEX(Array_WaterCharges,MATCH($A65,List_WaterMeters,0),ROUNDUP((COLUMN()+0)/3-1,0)))</f>
        <v/>
      </c>
      <c r="I65" s="127"/>
      <c r="J65" s="137"/>
      <c r="K65" s="58" t="str" cm="1">
        <f>IF(ISBLANK($A65),"",INDEX(Array_WaterCharges,MATCH($A65,List_WaterMeters,0),ROUNDUP((COLUMN()+0)/3-1,0)))</f>
        <v/>
      </c>
      <c r="L65" s="127"/>
      <c r="M65" s="137"/>
      <c r="N65" s="58" t="str" cm="1">
        <f>IF(ISBLANK($A65),"",INDEX(Array_WaterCharges,MATCH($A65,List_WaterMeters,0),ROUNDUP((COLUMN()+0)/3-1,0)))</f>
        <v/>
      </c>
      <c r="O65" s="127"/>
      <c r="P65" s="137"/>
      <c r="Q65" s="58" t="str" cm="1">
        <f>IF(ISBLANK($A65),"",INDEX(Array_WaterCharges,MATCH($A65,List_WaterMeters,0),ROUNDUP((COLUMN()+0)/3-1,0)))</f>
        <v/>
      </c>
      <c r="R65" s="127"/>
      <c r="S65" s="137"/>
      <c r="T65" s="58" t="str" cm="1">
        <f>IF(ISBLANK($A65),"",INDEX(Array_WaterCharges,MATCH($A65,List_WaterMeters,0),ROUNDUP((COLUMN()+0)/3-1,0)))</f>
        <v/>
      </c>
      <c r="U65" s="127"/>
      <c r="V65" s="137"/>
      <c r="W65" s="58" t="str" cm="1">
        <f>IF(ISBLANK($A65),"",INDEX(Array_WaterCharges,MATCH($A65,List_WaterMeters,0),ROUNDUP((COLUMN()+0)/3-1,0)))</f>
        <v/>
      </c>
      <c r="X65" s="127"/>
      <c r="Y65" s="137"/>
      <c r="Z65" s="58" t="str" cm="1">
        <f>IF(ISBLANK($A65),"",INDEX(Array_WaterCharges,MATCH($A65,List_WaterMeters,0),ROUNDUP((COLUMN()+0)/3-1,0)))</f>
        <v/>
      </c>
      <c r="AA65" s="127"/>
      <c r="AB65" s="137"/>
      <c r="AC65" s="58" t="str" cm="1">
        <f>IF(ISBLANK($A65),"",INDEX(Array_WaterCharges,MATCH($A65,List_WaterMeters,0),ROUNDUP((COLUMN()+0)/3-1,0)))</f>
        <v/>
      </c>
      <c r="AD65" s="127"/>
      <c r="AE65" s="137"/>
      <c r="AF65" s="58" t="str" cm="1">
        <f>IF(ISBLANK($A65),"",INDEX(Array_WaterCharges,MATCH($A65,List_WaterMeters,0),ROUNDUP((COLUMN()+0)/3-1,0)))</f>
        <v/>
      </c>
      <c r="AG65" s="127"/>
      <c r="AH65" s="137"/>
    </row>
    <row r="66" spans="1:34" x14ac:dyDescent="0.3">
      <c r="A66" s="126"/>
      <c r="B66" s="133"/>
      <c r="C66" s="127"/>
      <c r="D66" s="137"/>
      <c r="E66" s="58" t="str" cm="1">
        <f>IF(ISBLANK($A66),"",INDEX(Array_WaterCharges,MATCH($A66,List_WaterMeters,0),ROUNDUP((COLUMN()+0)/3-1,0)))</f>
        <v/>
      </c>
      <c r="F66" s="127"/>
      <c r="G66" s="137"/>
      <c r="H66" s="58" t="str" cm="1">
        <f>IF(ISBLANK($A66),"",INDEX(Array_WaterCharges,MATCH($A66,List_WaterMeters,0),ROUNDUP((COLUMN()+0)/3-1,0)))</f>
        <v/>
      </c>
      <c r="I66" s="127"/>
      <c r="J66" s="137"/>
      <c r="K66" s="58" t="str" cm="1">
        <f>IF(ISBLANK($A66),"",INDEX(Array_WaterCharges,MATCH($A66,List_WaterMeters,0),ROUNDUP((COLUMN()+0)/3-1,0)))</f>
        <v/>
      </c>
      <c r="L66" s="127"/>
      <c r="M66" s="137"/>
      <c r="N66" s="58" t="str" cm="1">
        <f>IF(ISBLANK($A66),"",INDEX(Array_WaterCharges,MATCH($A66,List_WaterMeters,0),ROUNDUP((COLUMN()+0)/3-1,0)))</f>
        <v/>
      </c>
      <c r="O66" s="127"/>
      <c r="P66" s="137"/>
      <c r="Q66" s="58" t="str" cm="1">
        <f>IF(ISBLANK($A66),"",INDEX(Array_WaterCharges,MATCH($A66,List_WaterMeters,0),ROUNDUP((COLUMN()+0)/3-1,0)))</f>
        <v/>
      </c>
      <c r="R66" s="127"/>
      <c r="S66" s="137"/>
      <c r="T66" s="58" t="str" cm="1">
        <f>IF(ISBLANK($A66),"",INDEX(Array_WaterCharges,MATCH($A66,List_WaterMeters,0),ROUNDUP((COLUMN()+0)/3-1,0)))</f>
        <v/>
      </c>
      <c r="U66" s="127"/>
      <c r="V66" s="137"/>
      <c r="W66" s="58" t="str" cm="1">
        <f>IF(ISBLANK($A66),"",INDEX(Array_WaterCharges,MATCH($A66,List_WaterMeters,0),ROUNDUP((COLUMN()+0)/3-1,0)))</f>
        <v/>
      </c>
      <c r="X66" s="127"/>
      <c r="Y66" s="137"/>
      <c r="Z66" s="58" t="str" cm="1">
        <f>IF(ISBLANK($A66),"",INDEX(Array_WaterCharges,MATCH($A66,List_WaterMeters,0),ROUNDUP((COLUMN()+0)/3-1,0)))</f>
        <v/>
      </c>
      <c r="AA66" s="127"/>
      <c r="AB66" s="137"/>
      <c r="AC66" s="58" t="str" cm="1">
        <f>IF(ISBLANK($A66),"",INDEX(Array_WaterCharges,MATCH($A66,List_WaterMeters,0),ROUNDUP((COLUMN()+0)/3-1,0)))</f>
        <v/>
      </c>
      <c r="AD66" s="127"/>
      <c r="AE66" s="137"/>
      <c r="AF66" s="58" t="str" cm="1">
        <f>IF(ISBLANK($A66),"",INDEX(Array_WaterCharges,MATCH($A66,List_WaterMeters,0),ROUNDUP((COLUMN()+0)/3-1,0)))</f>
        <v/>
      </c>
      <c r="AG66" s="127"/>
      <c r="AH66" s="137"/>
    </row>
    <row r="67" spans="1:34" x14ac:dyDescent="0.3">
      <c r="A67" s="126"/>
      <c r="B67" s="133"/>
      <c r="C67" s="127"/>
      <c r="D67" s="137"/>
      <c r="E67" s="58" t="str" cm="1">
        <f>IF(ISBLANK($A67),"",INDEX(Array_WaterCharges,MATCH($A67,List_WaterMeters,0),ROUNDUP((COLUMN()+0)/3-1,0)))</f>
        <v/>
      </c>
      <c r="F67" s="127"/>
      <c r="G67" s="137"/>
      <c r="H67" s="58" t="str" cm="1">
        <f>IF(ISBLANK($A67),"",INDEX(Array_WaterCharges,MATCH($A67,List_WaterMeters,0),ROUNDUP((COLUMN()+0)/3-1,0)))</f>
        <v/>
      </c>
      <c r="I67" s="127"/>
      <c r="J67" s="137"/>
      <c r="K67" s="58" t="str" cm="1">
        <f>IF(ISBLANK($A67),"",INDEX(Array_WaterCharges,MATCH($A67,List_WaterMeters,0),ROUNDUP((COLUMN()+0)/3-1,0)))</f>
        <v/>
      </c>
      <c r="L67" s="127"/>
      <c r="M67" s="137"/>
      <c r="N67" s="58" t="str" cm="1">
        <f>IF(ISBLANK($A67),"",INDEX(Array_WaterCharges,MATCH($A67,List_WaterMeters,0),ROUNDUP((COLUMN()+0)/3-1,0)))</f>
        <v/>
      </c>
      <c r="O67" s="127"/>
      <c r="P67" s="137"/>
      <c r="Q67" s="58" t="str" cm="1">
        <f>IF(ISBLANK($A67),"",INDEX(Array_WaterCharges,MATCH($A67,List_WaterMeters,0),ROUNDUP((COLUMN()+0)/3-1,0)))</f>
        <v/>
      </c>
      <c r="R67" s="127"/>
      <c r="S67" s="137"/>
      <c r="T67" s="58" t="str" cm="1">
        <f>IF(ISBLANK($A67),"",INDEX(Array_WaterCharges,MATCH($A67,List_WaterMeters,0),ROUNDUP((COLUMN()+0)/3-1,0)))</f>
        <v/>
      </c>
      <c r="U67" s="127"/>
      <c r="V67" s="137"/>
      <c r="W67" s="58" t="str" cm="1">
        <f>IF(ISBLANK($A67),"",INDEX(Array_WaterCharges,MATCH($A67,List_WaterMeters,0),ROUNDUP((COLUMN()+0)/3-1,0)))</f>
        <v/>
      </c>
      <c r="X67" s="127"/>
      <c r="Y67" s="137"/>
      <c r="Z67" s="58" t="str" cm="1">
        <f>IF(ISBLANK($A67),"",INDEX(Array_WaterCharges,MATCH($A67,List_WaterMeters,0),ROUNDUP((COLUMN()+0)/3-1,0)))</f>
        <v/>
      </c>
      <c r="AA67" s="127"/>
      <c r="AB67" s="137"/>
      <c r="AC67" s="58" t="str" cm="1">
        <f>IF(ISBLANK($A67),"",INDEX(Array_WaterCharges,MATCH($A67,List_WaterMeters,0),ROUNDUP((COLUMN()+0)/3-1,0)))</f>
        <v/>
      </c>
      <c r="AD67" s="127"/>
      <c r="AE67" s="137"/>
      <c r="AF67" s="58" t="str" cm="1">
        <f>IF(ISBLANK($A67),"",INDEX(Array_WaterCharges,MATCH($A67,List_WaterMeters,0),ROUNDUP((COLUMN()+0)/3-1,0)))</f>
        <v/>
      </c>
      <c r="AG67" s="127"/>
      <c r="AH67" s="137"/>
    </row>
    <row r="68" spans="1:34" x14ac:dyDescent="0.3">
      <c r="A68" s="126"/>
      <c r="B68" s="133"/>
      <c r="C68" s="127"/>
      <c r="D68" s="137"/>
      <c r="E68" s="58" t="str" cm="1">
        <f>IF(ISBLANK($A68),"",INDEX(Array_WaterCharges,MATCH($A68,List_WaterMeters,0),ROUNDUP((COLUMN()+0)/3-1,0)))</f>
        <v/>
      </c>
      <c r="F68" s="127"/>
      <c r="G68" s="137"/>
      <c r="H68" s="58" t="str" cm="1">
        <f>IF(ISBLANK($A68),"",INDEX(Array_WaterCharges,MATCH($A68,List_WaterMeters,0),ROUNDUP((COLUMN()+0)/3-1,0)))</f>
        <v/>
      </c>
      <c r="I68" s="127"/>
      <c r="J68" s="137"/>
      <c r="K68" s="58" t="str" cm="1">
        <f>IF(ISBLANK($A68),"",INDEX(Array_WaterCharges,MATCH($A68,List_WaterMeters,0),ROUNDUP((COLUMN()+0)/3-1,0)))</f>
        <v/>
      </c>
      <c r="L68" s="127"/>
      <c r="M68" s="137"/>
      <c r="N68" s="58" t="str" cm="1">
        <f>IF(ISBLANK($A68),"",INDEX(Array_WaterCharges,MATCH($A68,List_WaterMeters,0),ROUNDUP((COLUMN()+0)/3-1,0)))</f>
        <v/>
      </c>
      <c r="O68" s="127"/>
      <c r="P68" s="137"/>
      <c r="Q68" s="58" t="str" cm="1">
        <f>IF(ISBLANK($A68),"",INDEX(Array_WaterCharges,MATCH($A68,List_WaterMeters,0),ROUNDUP((COLUMN()+0)/3-1,0)))</f>
        <v/>
      </c>
      <c r="R68" s="127"/>
      <c r="S68" s="137"/>
      <c r="T68" s="58" t="str" cm="1">
        <f>IF(ISBLANK($A68),"",INDEX(Array_WaterCharges,MATCH($A68,List_WaterMeters,0),ROUNDUP((COLUMN()+0)/3-1,0)))</f>
        <v/>
      </c>
      <c r="U68" s="127"/>
      <c r="V68" s="137"/>
      <c r="W68" s="58" t="str" cm="1">
        <f>IF(ISBLANK($A68),"",INDEX(Array_WaterCharges,MATCH($A68,List_WaterMeters,0),ROUNDUP((COLUMN()+0)/3-1,0)))</f>
        <v/>
      </c>
      <c r="X68" s="127"/>
      <c r="Y68" s="137"/>
      <c r="Z68" s="58" t="str" cm="1">
        <f>IF(ISBLANK($A68),"",INDEX(Array_WaterCharges,MATCH($A68,List_WaterMeters,0),ROUNDUP((COLUMN()+0)/3-1,0)))</f>
        <v/>
      </c>
      <c r="AA68" s="127"/>
      <c r="AB68" s="137"/>
      <c r="AC68" s="58" t="str" cm="1">
        <f>IF(ISBLANK($A68),"",INDEX(Array_WaterCharges,MATCH($A68,List_WaterMeters,0),ROUNDUP((COLUMN()+0)/3-1,0)))</f>
        <v/>
      </c>
      <c r="AD68" s="127"/>
      <c r="AE68" s="137"/>
      <c r="AF68" s="58" t="str" cm="1">
        <f>IF(ISBLANK($A68),"",INDEX(Array_WaterCharges,MATCH($A68,List_WaterMeters,0),ROUNDUP((COLUMN()+0)/3-1,0)))</f>
        <v/>
      </c>
      <c r="AG68" s="127"/>
      <c r="AH68" s="137"/>
    </row>
    <row r="69" spans="1:34" x14ac:dyDescent="0.3">
      <c r="A69" s="126"/>
      <c r="B69" s="133"/>
      <c r="C69" s="127"/>
      <c r="D69" s="137"/>
      <c r="E69" s="58" t="str" cm="1">
        <f>IF(ISBLANK($A69),"",INDEX(Array_WaterCharges,MATCH($A69,List_WaterMeters,0),ROUNDUP((COLUMN()+0)/3-1,0)))</f>
        <v/>
      </c>
      <c r="F69" s="127"/>
      <c r="G69" s="137"/>
      <c r="H69" s="58" t="str" cm="1">
        <f>IF(ISBLANK($A69),"",INDEX(Array_WaterCharges,MATCH($A69,List_WaterMeters,0),ROUNDUP((COLUMN()+0)/3-1,0)))</f>
        <v/>
      </c>
      <c r="I69" s="127"/>
      <c r="J69" s="137"/>
      <c r="K69" s="58" t="str" cm="1">
        <f>IF(ISBLANK($A69),"",INDEX(Array_WaterCharges,MATCH($A69,List_WaterMeters,0),ROUNDUP((COLUMN()+0)/3-1,0)))</f>
        <v/>
      </c>
      <c r="L69" s="127"/>
      <c r="M69" s="137"/>
      <c r="N69" s="58" t="str" cm="1">
        <f>IF(ISBLANK($A69),"",INDEX(Array_WaterCharges,MATCH($A69,List_WaterMeters,0),ROUNDUP((COLUMN()+0)/3-1,0)))</f>
        <v/>
      </c>
      <c r="O69" s="127"/>
      <c r="P69" s="137"/>
      <c r="Q69" s="58" t="str" cm="1">
        <f>IF(ISBLANK($A69),"",INDEX(Array_WaterCharges,MATCH($A69,List_WaterMeters,0),ROUNDUP((COLUMN()+0)/3-1,0)))</f>
        <v/>
      </c>
      <c r="R69" s="127"/>
      <c r="S69" s="137"/>
      <c r="T69" s="58" t="str" cm="1">
        <f>IF(ISBLANK($A69),"",INDEX(Array_WaterCharges,MATCH($A69,List_WaterMeters,0),ROUNDUP((COLUMN()+0)/3-1,0)))</f>
        <v/>
      </c>
      <c r="U69" s="127"/>
      <c r="V69" s="137"/>
      <c r="W69" s="58" t="str" cm="1">
        <f>IF(ISBLANK($A69),"",INDEX(Array_WaterCharges,MATCH($A69,List_WaterMeters,0),ROUNDUP((COLUMN()+0)/3-1,0)))</f>
        <v/>
      </c>
      <c r="X69" s="127"/>
      <c r="Y69" s="137"/>
      <c r="Z69" s="58" t="str" cm="1">
        <f>IF(ISBLANK($A69),"",INDEX(Array_WaterCharges,MATCH($A69,List_WaterMeters,0),ROUNDUP((COLUMN()+0)/3-1,0)))</f>
        <v/>
      </c>
      <c r="AA69" s="127"/>
      <c r="AB69" s="137"/>
      <c r="AC69" s="58" t="str" cm="1">
        <f>IF(ISBLANK($A69),"",INDEX(Array_WaterCharges,MATCH($A69,List_WaterMeters,0),ROUNDUP((COLUMN()+0)/3-1,0)))</f>
        <v/>
      </c>
      <c r="AD69" s="127"/>
      <c r="AE69" s="137"/>
      <c r="AF69" s="58" t="str" cm="1">
        <f>IF(ISBLANK($A69),"",INDEX(Array_WaterCharges,MATCH($A69,List_WaterMeters,0),ROUNDUP((COLUMN()+0)/3-1,0)))</f>
        <v/>
      </c>
      <c r="AG69" s="127"/>
      <c r="AH69" s="137"/>
    </row>
    <row r="70" spans="1:34" x14ac:dyDescent="0.3">
      <c r="A70" s="126"/>
      <c r="B70" s="133"/>
      <c r="C70" s="127"/>
      <c r="D70" s="137"/>
      <c r="E70" s="58" t="str" cm="1">
        <f>IF(ISBLANK($A70),"",INDEX(Array_WaterCharges,MATCH($A70,List_WaterMeters,0),ROUNDUP((COLUMN()+0)/3-1,0)))</f>
        <v/>
      </c>
      <c r="F70" s="127"/>
      <c r="G70" s="137"/>
      <c r="H70" s="58" t="str" cm="1">
        <f>IF(ISBLANK($A70),"",INDEX(Array_WaterCharges,MATCH($A70,List_WaterMeters,0),ROUNDUP((COLUMN()+0)/3-1,0)))</f>
        <v/>
      </c>
      <c r="I70" s="127"/>
      <c r="J70" s="137"/>
      <c r="K70" s="58" t="str" cm="1">
        <f>IF(ISBLANK($A70),"",INDEX(Array_WaterCharges,MATCH($A70,List_WaterMeters,0),ROUNDUP((COLUMN()+0)/3-1,0)))</f>
        <v/>
      </c>
      <c r="L70" s="127"/>
      <c r="M70" s="137"/>
      <c r="N70" s="58" t="str" cm="1">
        <f>IF(ISBLANK($A70),"",INDEX(Array_WaterCharges,MATCH($A70,List_WaterMeters,0),ROUNDUP((COLUMN()+0)/3-1,0)))</f>
        <v/>
      </c>
      <c r="O70" s="127"/>
      <c r="P70" s="137"/>
      <c r="Q70" s="58" t="str" cm="1">
        <f>IF(ISBLANK($A70),"",INDEX(Array_WaterCharges,MATCH($A70,List_WaterMeters,0),ROUNDUP((COLUMN()+0)/3-1,0)))</f>
        <v/>
      </c>
      <c r="R70" s="127"/>
      <c r="S70" s="137"/>
      <c r="T70" s="58" t="str" cm="1">
        <f>IF(ISBLANK($A70),"",INDEX(Array_WaterCharges,MATCH($A70,List_WaterMeters,0),ROUNDUP((COLUMN()+0)/3-1,0)))</f>
        <v/>
      </c>
      <c r="U70" s="127"/>
      <c r="V70" s="137"/>
      <c r="W70" s="58" t="str" cm="1">
        <f>IF(ISBLANK($A70),"",INDEX(Array_WaterCharges,MATCH($A70,List_WaterMeters,0),ROUNDUP((COLUMN()+0)/3-1,0)))</f>
        <v/>
      </c>
      <c r="X70" s="127"/>
      <c r="Y70" s="137"/>
      <c r="Z70" s="58" t="str" cm="1">
        <f>IF(ISBLANK($A70),"",INDEX(Array_WaterCharges,MATCH($A70,List_WaterMeters,0),ROUNDUP((COLUMN()+0)/3-1,0)))</f>
        <v/>
      </c>
      <c r="AA70" s="127"/>
      <c r="AB70" s="137"/>
      <c r="AC70" s="58" t="str" cm="1">
        <f>IF(ISBLANK($A70),"",INDEX(Array_WaterCharges,MATCH($A70,List_WaterMeters,0),ROUNDUP((COLUMN()+0)/3-1,0)))</f>
        <v/>
      </c>
      <c r="AD70" s="127"/>
      <c r="AE70" s="137"/>
      <c r="AF70" s="58" t="str" cm="1">
        <f>IF(ISBLANK($A70),"",INDEX(Array_WaterCharges,MATCH($A70,List_WaterMeters,0),ROUNDUP((COLUMN()+0)/3-1,0)))</f>
        <v/>
      </c>
      <c r="AG70" s="127"/>
      <c r="AH70" s="137"/>
    </row>
    <row r="71" spans="1:34" x14ac:dyDescent="0.3">
      <c r="A71" s="126"/>
      <c r="B71" s="133"/>
      <c r="C71" s="127"/>
      <c r="D71" s="137"/>
      <c r="E71" s="58" t="str" cm="1">
        <f>IF(ISBLANK($A71),"",INDEX(Array_WaterCharges,MATCH($A71,List_WaterMeters,0),ROUNDUP((COLUMN()+0)/3-1,0)))</f>
        <v/>
      </c>
      <c r="F71" s="127"/>
      <c r="G71" s="137"/>
      <c r="H71" s="58" t="str" cm="1">
        <f>IF(ISBLANK($A71),"",INDEX(Array_WaterCharges,MATCH($A71,List_WaterMeters,0),ROUNDUP((COLUMN()+0)/3-1,0)))</f>
        <v/>
      </c>
      <c r="I71" s="127"/>
      <c r="J71" s="137"/>
      <c r="K71" s="58" t="str" cm="1">
        <f>IF(ISBLANK($A71),"",INDEX(Array_WaterCharges,MATCH($A71,List_WaterMeters,0),ROUNDUP((COLUMN()+0)/3-1,0)))</f>
        <v/>
      </c>
      <c r="L71" s="127"/>
      <c r="M71" s="137"/>
      <c r="N71" s="58" t="str" cm="1">
        <f>IF(ISBLANK($A71),"",INDEX(Array_WaterCharges,MATCH($A71,List_WaterMeters,0),ROUNDUP((COLUMN()+0)/3-1,0)))</f>
        <v/>
      </c>
      <c r="O71" s="127"/>
      <c r="P71" s="137"/>
      <c r="Q71" s="58" t="str" cm="1">
        <f>IF(ISBLANK($A71),"",INDEX(Array_WaterCharges,MATCH($A71,List_WaterMeters,0),ROUNDUP((COLUMN()+0)/3-1,0)))</f>
        <v/>
      </c>
      <c r="R71" s="127"/>
      <c r="S71" s="137"/>
      <c r="T71" s="58" t="str" cm="1">
        <f>IF(ISBLANK($A71),"",INDEX(Array_WaterCharges,MATCH($A71,List_WaterMeters,0),ROUNDUP((COLUMN()+0)/3-1,0)))</f>
        <v/>
      </c>
      <c r="U71" s="127"/>
      <c r="V71" s="137"/>
      <c r="W71" s="58" t="str" cm="1">
        <f>IF(ISBLANK($A71),"",INDEX(Array_WaterCharges,MATCH($A71,List_WaterMeters,0),ROUNDUP((COLUMN()+0)/3-1,0)))</f>
        <v/>
      </c>
      <c r="X71" s="127"/>
      <c r="Y71" s="137"/>
      <c r="Z71" s="58" t="str" cm="1">
        <f>IF(ISBLANK($A71),"",INDEX(Array_WaterCharges,MATCH($A71,List_WaterMeters,0),ROUNDUP((COLUMN()+0)/3-1,0)))</f>
        <v/>
      </c>
      <c r="AA71" s="127"/>
      <c r="AB71" s="137"/>
      <c r="AC71" s="58" t="str" cm="1">
        <f>IF(ISBLANK($A71),"",INDEX(Array_WaterCharges,MATCH($A71,List_WaterMeters,0),ROUNDUP((COLUMN()+0)/3-1,0)))</f>
        <v/>
      </c>
      <c r="AD71" s="127"/>
      <c r="AE71" s="137"/>
      <c r="AF71" s="58" t="str" cm="1">
        <f>IF(ISBLANK($A71),"",INDEX(Array_WaterCharges,MATCH($A71,List_WaterMeters,0),ROUNDUP((COLUMN()+0)/3-1,0)))</f>
        <v/>
      </c>
      <c r="AG71" s="127"/>
      <c r="AH71" s="137"/>
    </row>
    <row r="72" spans="1:34" x14ac:dyDescent="0.3">
      <c r="A72" s="126"/>
      <c r="B72" s="133"/>
      <c r="C72" s="127"/>
      <c r="D72" s="137"/>
      <c r="E72" s="58" t="str" cm="1">
        <f>IF(ISBLANK($A72),"",INDEX(Array_WaterCharges,MATCH($A72,List_WaterMeters,0),ROUNDUP((COLUMN()+0)/3-1,0)))</f>
        <v/>
      </c>
      <c r="F72" s="127"/>
      <c r="G72" s="137"/>
      <c r="H72" s="58" t="str" cm="1">
        <f>IF(ISBLANK($A72),"",INDEX(Array_WaterCharges,MATCH($A72,List_WaterMeters,0),ROUNDUP((COLUMN()+0)/3-1,0)))</f>
        <v/>
      </c>
      <c r="I72" s="127"/>
      <c r="J72" s="137"/>
      <c r="K72" s="58" t="str" cm="1">
        <f>IF(ISBLANK($A72),"",INDEX(Array_WaterCharges,MATCH($A72,List_WaterMeters,0),ROUNDUP((COLUMN()+0)/3-1,0)))</f>
        <v/>
      </c>
      <c r="L72" s="127"/>
      <c r="M72" s="137"/>
      <c r="N72" s="58" t="str" cm="1">
        <f>IF(ISBLANK($A72),"",INDEX(Array_WaterCharges,MATCH($A72,List_WaterMeters,0),ROUNDUP((COLUMN()+0)/3-1,0)))</f>
        <v/>
      </c>
      <c r="O72" s="127"/>
      <c r="P72" s="137"/>
      <c r="Q72" s="58" t="str" cm="1">
        <f>IF(ISBLANK($A72),"",INDEX(Array_WaterCharges,MATCH($A72,List_WaterMeters,0),ROUNDUP((COLUMN()+0)/3-1,0)))</f>
        <v/>
      </c>
      <c r="R72" s="127"/>
      <c r="S72" s="137"/>
      <c r="T72" s="58" t="str" cm="1">
        <f>IF(ISBLANK($A72),"",INDEX(Array_WaterCharges,MATCH($A72,List_WaterMeters,0),ROUNDUP((COLUMN()+0)/3-1,0)))</f>
        <v/>
      </c>
      <c r="U72" s="127"/>
      <c r="V72" s="137"/>
      <c r="W72" s="58" t="str" cm="1">
        <f>IF(ISBLANK($A72),"",INDEX(Array_WaterCharges,MATCH($A72,List_WaterMeters,0),ROUNDUP((COLUMN()+0)/3-1,0)))</f>
        <v/>
      </c>
      <c r="X72" s="127"/>
      <c r="Y72" s="137"/>
      <c r="Z72" s="58" t="str" cm="1">
        <f>IF(ISBLANK($A72),"",INDEX(Array_WaterCharges,MATCH($A72,List_WaterMeters,0),ROUNDUP((COLUMN()+0)/3-1,0)))</f>
        <v/>
      </c>
      <c r="AA72" s="127"/>
      <c r="AB72" s="137"/>
      <c r="AC72" s="58" t="str" cm="1">
        <f>IF(ISBLANK($A72),"",INDEX(Array_WaterCharges,MATCH($A72,List_WaterMeters,0),ROUNDUP((COLUMN()+0)/3-1,0)))</f>
        <v/>
      </c>
      <c r="AD72" s="127"/>
      <c r="AE72" s="137"/>
      <c r="AF72" s="58" t="str" cm="1">
        <f>IF(ISBLANK($A72),"",INDEX(Array_WaterCharges,MATCH($A72,List_WaterMeters,0),ROUNDUP((COLUMN()+0)/3-1,0)))</f>
        <v/>
      </c>
      <c r="AG72" s="127"/>
      <c r="AH72" s="137"/>
    </row>
    <row r="73" spans="1:34" x14ac:dyDescent="0.3">
      <c r="A73" s="126"/>
      <c r="B73" s="133"/>
      <c r="C73" s="127"/>
      <c r="D73" s="137"/>
      <c r="E73" s="58" t="str" cm="1">
        <f>IF(ISBLANK($A73),"",INDEX(Array_WaterCharges,MATCH($A73,List_WaterMeters,0),ROUNDUP((COLUMN()+0)/3-1,0)))</f>
        <v/>
      </c>
      <c r="F73" s="127"/>
      <c r="G73" s="137"/>
      <c r="H73" s="58" t="str" cm="1">
        <f>IF(ISBLANK($A73),"",INDEX(Array_WaterCharges,MATCH($A73,List_WaterMeters,0),ROUNDUP((COLUMN()+0)/3-1,0)))</f>
        <v/>
      </c>
      <c r="I73" s="127"/>
      <c r="J73" s="137"/>
      <c r="K73" s="58" t="str" cm="1">
        <f>IF(ISBLANK($A73),"",INDEX(Array_WaterCharges,MATCH($A73,List_WaterMeters,0),ROUNDUP((COLUMN()+0)/3-1,0)))</f>
        <v/>
      </c>
      <c r="L73" s="127"/>
      <c r="M73" s="137"/>
      <c r="N73" s="58" t="str" cm="1">
        <f>IF(ISBLANK($A73),"",INDEX(Array_WaterCharges,MATCH($A73,List_WaterMeters,0),ROUNDUP((COLUMN()+0)/3-1,0)))</f>
        <v/>
      </c>
      <c r="O73" s="127"/>
      <c r="P73" s="137"/>
      <c r="Q73" s="58" t="str" cm="1">
        <f>IF(ISBLANK($A73),"",INDEX(Array_WaterCharges,MATCH($A73,List_WaterMeters,0),ROUNDUP((COLUMN()+0)/3-1,0)))</f>
        <v/>
      </c>
      <c r="R73" s="127"/>
      <c r="S73" s="137"/>
      <c r="T73" s="58" t="str" cm="1">
        <f>IF(ISBLANK($A73),"",INDEX(Array_WaterCharges,MATCH($A73,List_WaterMeters,0),ROUNDUP((COLUMN()+0)/3-1,0)))</f>
        <v/>
      </c>
      <c r="U73" s="127"/>
      <c r="V73" s="137"/>
      <c r="W73" s="58" t="str" cm="1">
        <f>IF(ISBLANK($A73),"",INDEX(Array_WaterCharges,MATCH($A73,List_WaterMeters,0),ROUNDUP((COLUMN()+0)/3-1,0)))</f>
        <v/>
      </c>
      <c r="X73" s="127"/>
      <c r="Y73" s="137"/>
      <c r="Z73" s="58" t="str" cm="1">
        <f>IF(ISBLANK($A73),"",INDEX(Array_WaterCharges,MATCH($A73,List_WaterMeters,0),ROUNDUP((COLUMN()+0)/3-1,0)))</f>
        <v/>
      </c>
      <c r="AA73" s="127"/>
      <c r="AB73" s="137"/>
      <c r="AC73" s="58" t="str" cm="1">
        <f>IF(ISBLANK($A73),"",INDEX(Array_WaterCharges,MATCH($A73,List_WaterMeters,0),ROUNDUP((COLUMN()+0)/3-1,0)))</f>
        <v/>
      </c>
      <c r="AD73" s="127"/>
      <c r="AE73" s="137"/>
      <c r="AF73" s="58" t="str" cm="1">
        <f>IF(ISBLANK($A73),"",INDEX(Array_WaterCharges,MATCH($A73,List_WaterMeters,0),ROUNDUP((COLUMN()+0)/3-1,0)))</f>
        <v/>
      </c>
      <c r="AG73" s="127"/>
      <c r="AH73" s="137"/>
    </row>
    <row r="74" spans="1:34" x14ac:dyDescent="0.3">
      <c r="A74" s="126"/>
      <c r="B74" s="133"/>
      <c r="C74" s="127"/>
      <c r="D74" s="137"/>
      <c r="E74" s="58" t="str" cm="1">
        <f>IF(ISBLANK($A74),"",INDEX(Array_WaterCharges,MATCH($A74,List_WaterMeters,0),ROUNDUP((COLUMN()+0)/3-1,0)))</f>
        <v/>
      </c>
      <c r="F74" s="127"/>
      <c r="G74" s="137"/>
      <c r="H74" s="58" t="str" cm="1">
        <f>IF(ISBLANK($A74),"",INDEX(Array_WaterCharges,MATCH($A74,List_WaterMeters,0),ROUNDUP((COLUMN()+0)/3-1,0)))</f>
        <v/>
      </c>
      <c r="I74" s="127"/>
      <c r="J74" s="137"/>
      <c r="K74" s="58" t="str" cm="1">
        <f>IF(ISBLANK($A74),"",INDEX(Array_WaterCharges,MATCH($A74,List_WaterMeters,0),ROUNDUP((COLUMN()+0)/3-1,0)))</f>
        <v/>
      </c>
      <c r="L74" s="127"/>
      <c r="M74" s="137"/>
      <c r="N74" s="58" t="str" cm="1">
        <f>IF(ISBLANK($A74),"",INDEX(Array_WaterCharges,MATCH($A74,List_WaterMeters,0),ROUNDUP((COLUMN()+0)/3-1,0)))</f>
        <v/>
      </c>
      <c r="O74" s="127"/>
      <c r="P74" s="137"/>
      <c r="Q74" s="58" t="str" cm="1">
        <f>IF(ISBLANK($A74),"",INDEX(Array_WaterCharges,MATCH($A74,List_WaterMeters,0),ROUNDUP((COLUMN()+0)/3-1,0)))</f>
        <v/>
      </c>
      <c r="R74" s="127"/>
      <c r="S74" s="137"/>
      <c r="T74" s="58" t="str" cm="1">
        <f>IF(ISBLANK($A74),"",INDEX(Array_WaterCharges,MATCH($A74,List_WaterMeters,0),ROUNDUP((COLUMN()+0)/3-1,0)))</f>
        <v/>
      </c>
      <c r="U74" s="127"/>
      <c r="V74" s="137"/>
      <c r="W74" s="58" t="str" cm="1">
        <f>IF(ISBLANK($A74),"",INDEX(Array_WaterCharges,MATCH($A74,List_WaterMeters,0),ROUNDUP((COLUMN()+0)/3-1,0)))</f>
        <v/>
      </c>
      <c r="X74" s="127"/>
      <c r="Y74" s="137"/>
      <c r="Z74" s="58" t="str" cm="1">
        <f>IF(ISBLANK($A74),"",INDEX(Array_WaterCharges,MATCH($A74,List_WaterMeters,0),ROUNDUP((COLUMN()+0)/3-1,0)))</f>
        <v/>
      </c>
      <c r="AA74" s="127"/>
      <c r="AB74" s="137"/>
      <c r="AC74" s="58" t="str" cm="1">
        <f>IF(ISBLANK($A74),"",INDEX(Array_WaterCharges,MATCH($A74,List_WaterMeters,0),ROUNDUP((COLUMN()+0)/3-1,0)))</f>
        <v/>
      </c>
      <c r="AD74" s="127"/>
      <c r="AE74" s="137"/>
      <c r="AF74" s="58" t="str" cm="1">
        <f>IF(ISBLANK($A74),"",INDEX(Array_WaterCharges,MATCH($A74,List_WaterMeters,0),ROUNDUP((COLUMN()+0)/3-1,0)))</f>
        <v/>
      </c>
      <c r="AG74" s="127"/>
      <c r="AH74" s="137"/>
    </row>
    <row r="75" spans="1:34" x14ac:dyDescent="0.3">
      <c r="A75" s="126"/>
      <c r="B75" s="133"/>
      <c r="C75" s="127"/>
      <c r="D75" s="137"/>
      <c r="E75" s="58" t="str" cm="1">
        <f>IF(ISBLANK($A75),"",INDEX(Array_WaterCharges,MATCH($A75,List_WaterMeters,0),ROUNDUP((COLUMN()+0)/3-1,0)))</f>
        <v/>
      </c>
      <c r="F75" s="127"/>
      <c r="G75" s="137"/>
      <c r="H75" s="58" t="str" cm="1">
        <f>IF(ISBLANK($A75),"",INDEX(Array_WaterCharges,MATCH($A75,List_WaterMeters,0),ROUNDUP((COLUMN()+0)/3-1,0)))</f>
        <v/>
      </c>
      <c r="I75" s="127"/>
      <c r="J75" s="137"/>
      <c r="K75" s="58" t="str" cm="1">
        <f>IF(ISBLANK($A75),"",INDEX(Array_WaterCharges,MATCH($A75,List_WaterMeters,0),ROUNDUP((COLUMN()+0)/3-1,0)))</f>
        <v/>
      </c>
      <c r="L75" s="127"/>
      <c r="M75" s="137"/>
      <c r="N75" s="58" t="str" cm="1">
        <f>IF(ISBLANK($A75),"",INDEX(Array_WaterCharges,MATCH($A75,List_WaterMeters,0),ROUNDUP((COLUMN()+0)/3-1,0)))</f>
        <v/>
      </c>
      <c r="O75" s="127"/>
      <c r="P75" s="137"/>
      <c r="Q75" s="58" t="str" cm="1">
        <f>IF(ISBLANK($A75),"",INDEX(Array_WaterCharges,MATCH($A75,List_WaterMeters,0),ROUNDUP((COLUMN()+0)/3-1,0)))</f>
        <v/>
      </c>
      <c r="R75" s="127"/>
      <c r="S75" s="137"/>
      <c r="T75" s="58" t="str" cm="1">
        <f>IF(ISBLANK($A75),"",INDEX(Array_WaterCharges,MATCH($A75,List_WaterMeters,0),ROUNDUP((COLUMN()+0)/3-1,0)))</f>
        <v/>
      </c>
      <c r="U75" s="127"/>
      <c r="V75" s="137"/>
      <c r="W75" s="58" t="str" cm="1">
        <f>IF(ISBLANK($A75),"",INDEX(Array_WaterCharges,MATCH($A75,List_WaterMeters,0),ROUNDUP((COLUMN()+0)/3-1,0)))</f>
        <v/>
      </c>
      <c r="X75" s="127"/>
      <c r="Y75" s="137"/>
      <c r="Z75" s="58" t="str" cm="1">
        <f>IF(ISBLANK($A75),"",INDEX(Array_WaterCharges,MATCH($A75,List_WaterMeters,0),ROUNDUP((COLUMN()+0)/3-1,0)))</f>
        <v/>
      </c>
      <c r="AA75" s="127"/>
      <c r="AB75" s="137"/>
      <c r="AC75" s="58" t="str" cm="1">
        <f>IF(ISBLANK($A75),"",INDEX(Array_WaterCharges,MATCH($A75,List_WaterMeters,0),ROUNDUP((COLUMN()+0)/3-1,0)))</f>
        <v/>
      </c>
      <c r="AD75" s="127"/>
      <c r="AE75" s="137"/>
      <c r="AF75" s="58" t="str" cm="1">
        <f>IF(ISBLANK($A75),"",INDEX(Array_WaterCharges,MATCH($A75,List_WaterMeters,0),ROUNDUP((COLUMN()+0)/3-1,0)))</f>
        <v/>
      </c>
      <c r="AG75" s="127"/>
      <c r="AH75" s="137"/>
    </row>
    <row r="76" spans="1:34" x14ac:dyDescent="0.3">
      <c r="A76" s="126"/>
      <c r="B76" s="133"/>
      <c r="C76" s="127"/>
      <c r="D76" s="137"/>
      <c r="E76" s="58" t="str" cm="1">
        <f>IF(ISBLANK($A76),"",INDEX(Array_WaterCharges,MATCH($A76,List_WaterMeters,0),ROUNDUP((COLUMN()+0)/3-1,0)))</f>
        <v/>
      </c>
      <c r="F76" s="127"/>
      <c r="G76" s="137"/>
      <c r="H76" s="58" t="str" cm="1">
        <f>IF(ISBLANK($A76),"",INDEX(Array_WaterCharges,MATCH($A76,List_WaterMeters,0),ROUNDUP((COLUMN()+0)/3-1,0)))</f>
        <v/>
      </c>
      <c r="I76" s="127"/>
      <c r="J76" s="137"/>
      <c r="K76" s="58" t="str" cm="1">
        <f>IF(ISBLANK($A76),"",INDEX(Array_WaterCharges,MATCH($A76,List_WaterMeters,0),ROUNDUP((COLUMN()+0)/3-1,0)))</f>
        <v/>
      </c>
      <c r="L76" s="127"/>
      <c r="M76" s="137"/>
      <c r="N76" s="58" t="str" cm="1">
        <f>IF(ISBLANK($A76),"",INDEX(Array_WaterCharges,MATCH($A76,List_WaterMeters,0),ROUNDUP((COLUMN()+0)/3-1,0)))</f>
        <v/>
      </c>
      <c r="O76" s="127"/>
      <c r="P76" s="137"/>
      <c r="Q76" s="58" t="str" cm="1">
        <f>IF(ISBLANK($A76),"",INDEX(Array_WaterCharges,MATCH($A76,List_WaterMeters,0),ROUNDUP((COLUMN()+0)/3-1,0)))</f>
        <v/>
      </c>
      <c r="R76" s="127"/>
      <c r="S76" s="137"/>
      <c r="T76" s="58" t="str" cm="1">
        <f>IF(ISBLANK($A76),"",INDEX(Array_WaterCharges,MATCH($A76,List_WaterMeters,0),ROUNDUP((COLUMN()+0)/3-1,0)))</f>
        <v/>
      </c>
      <c r="U76" s="127"/>
      <c r="V76" s="137"/>
      <c r="W76" s="58" t="str" cm="1">
        <f>IF(ISBLANK($A76),"",INDEX(Array_WaterCharges,MATCH($A76,List_WaterMeters,0),ROUNDUP((COLUMN()+0)/3-1,0)))</f>
        <v/>
      </c>
      <c r="X76" s="127"/>
      <c r="Y76" s="137"/>
      <c r="Z76" s="58" t="str" cm="1">
        <f>IF(ISBLANK($A76),"",INDEX(Array_WaterCharges,MATCH($A76,List_WaterMeters,0),ROUNDUP((COLUMN()+0)/3-1,0)))</f>
        <v/>
      </c>
      <c r="AA76" s="127"/>
      <c r="AB76" s="137"/>
      <c r="AC76" s="58" t="str" cm="1">
        <f>IF(ISBLANK($A76),"",INDEX(Array_WaterCharges,MATCH($A76,List_WaterMeters,0),ROUNDUP((COLUMN()+0)/3-1,0)))</f>
        <v/>
      </c>
      <c r="AD76" s="127"/>
      <c r="AE76" s="137"/>
      <c r="AF76" s="58" t="str" cm="1">
        <f>IF(ISBLANK($A76),"",INDEX(Array_WaterCharges,MATCH($A76,List_WaterMeters,0),ROUNDUP((COLUMN()+0)/3-1,0)))</f>
        <v/>
      </c>
      <c r="AG76" s="127"/>
      <c r="AH76" s="137"/>
    </row>
    <row r="77" spans="1:34" x14ac:dyDescent="0.3">
      <c r="A77" s="126"/>
      <c r="B77" s="133"/>
      <c r="C77" s="127"/>
      <c r="D77" s="137"/>
      <c r="E77" s="58" t="str" cm="1">
        <f>IF(ISBLANK($A77),"",INDEX(Array_WaterCharges,MATCH($A77,List_WaterMeters,0),ROUNDUP((COLUMN()+0)/3-1,0)))</f>
        <v/>
      </c>
      <c r="F77" s="127"/>
      <c r="G77" s="137"/>
      <c r="H77" s="58" t="str" cm="1">
        <f>IF(ISBLANK($A77),"",INDEX(Array_WaterCharges,MATCH($A77,List_WaterMeters,0),ROUNDUP((COLUMN()+0)/3-1,0)))</f>
        <v/>
      </c>
      <c r="I77" s="127"/>
      <c r="J77" s="137"/>
      <c r="K77" s="58" t="str" cm="1">
        <f>IF(ISBLANK($A77),"",INDEX(Array_WaterCharges,MATCH($A77,List_WaterMeters,0),ROUNDUP((COLUMN()+0)/3-1,0)))</f>
        <v/>
      </c>
      <c r="L77" s="127"/>
      <c r="M77" s="137"/>
      <c r="N77" s="58" t="str" cm="1">
        <f>IF(ISBLANK($A77),"",INDEX(Array_WaterCharges,MATCH($A77,List_WaterMeters,0),ROUNDUP((COLUMN()+0)/3-1,0)))</f>
        <v/>
      </c>
      <c r="O77" s="127"/>
      <c r="P77" s="137"/>
      <c r="Q77" s="58" t="str" cm="1">
        <f>IF(ISBLANK($A77),"",INDEX(Array_WaterCharges,MATCH($A77,List_WaterMeters,0),ROUNDUP((COLUMN()+0)/3-1,0)))</f>
        <v/>
      </c>
      <c r="R77" s="127"/>
      <c r="S77" s="137"/>
      <c r="T77" s="58" t="str" cm="1">
        <f>IF(ISBLANK($A77),"",INDEX(Array_WaterCharges,MATCH($A77,List_WaterMeters,0),ROUNDUP((COLUMN()+0)/3-1,0)))</f>
        <v/>
      </c>
      <c r="U77" s="127"/>
      <c r="V77" s="137"/>
      <c r="W77" s="58" t="str" cm="1">
        <f>IF(ISBLANK($A77),"",INDEX(Array_WaterCharges,MATCH($A77,List_WaterMeters,0),ROUNDUP((COLUMN()+0)/3-1,0)))</f>
        <v/>
      </c>
      <c r="X77" s="127"/>
      <c r="Y77" s="137"/>
      <c r="Z77" s="58" t="str" cm="1">
        <f>IF(ISBLANK($A77),"",INDEX(Array_WaterCharges,MATCH($A77,List_WaterMeters,0),ROUNDUP((COLUMN()+0)/3-1,0)))</f>
        <v/>
      </c>
      <c r="AA77" s="127"/>
      <c r="AB77" s="137"/>
      <c r="AC77" s="58" t="str" cm="1">
        <f>IF(ISBLANK($A77),"",INDEX(Array_WaterCharges,MATCH($A77,List_WaterMeters,0),ROUNDUP((COLUMN()+0)/3-1,0)))</f>
        <v/>
      </c>
      <c r="AD77" s="127"/>
      <c r="AE77" s="137"/>
      <c r="AF77" s="58" t="str" cm="1">
        <f>IF(ISBLANK($A77),"",INDEX(Array_WaterCharges,MATCH($A77,List_WaterMeters,0),ROUNDUP((COLUMN()+0)/3-1,0)))</f>
        <v/>
      </c>
      <c r="AG77" s="127"/>
      <c r="AH77" s="137"/>
    </row>
    <row r="78" spans="1:34" x14ac:dyDescent="0.3">
      <c r="A78" s="126"/>
      <c r="B78" s="133"/>
      <c r="C78" s="127"/>
      <c r="D78" s="137"/>
      <c r="E78" s="58" t="str" cm="1">
        <f>IF(ISBLANK($A78),"",INDEX(Array_WaterCharges,MATCH($A78,List_WaterMeters,0),ROUNDUP((COLUMN()+0)/3-1,0)))</f>
        <v/>
      </c>
      <c r="F78" s="127"/>
      <c r="G78" s="137"/>
      <c r="H78" s="58" t="str" cm="1">
        <f>IF(ISBLANK($A78),"",INDEX(Array_WaterCharges,MATCH($A78,List_WaterMeters,0),ROUNDUP((COLUMN()+0)/3-1,0)))</f>
        <v/>
      </c>
      <c r="I78" s="127"/>
      <c r="J78" s="137"/>
      <c r="K78" s="58" t="str" cm="1">
        <f>IF(ISBLANK($A78),"",INDEX(Array_WaterCharges,MATCH($A78,List_WaterMeters,0),ROUNDUP((COLUMN()+0)/3-1,0)))</f>
        <v/>
      </c>
      <c r="L78" s="127"/>
      <c r="M78" s="137"/>
      <c r="N78" s="58" t="str" cm="1">
        <f>IF(ISBLANK($A78),"",INDEX(Array_WaterCharges,MATCH($A78,List_WaterMeters,0),ROUNDUP((COLUMN()+0)/3-1,0)))</f>
        <v/>
      </c>
      <c r="O78" s="127"/>
      <c r="P78" s="137"/>
      <c r="Q78" s="58" t="str" cm="1">
        <f>IF(ISBLANK($A78),"",INDEX(Array_WaterCharges,MATCH($A78,List_WaterMeters,0),ROUNDUP((COLUMN()+0)/3-1,0)))</f>
        <v/>
      </c>
      <c r="R78" s="127"/>
      <c r="S78" s="137"/>
      <c r="T78" s="58" t="str" cm="1">
        <f>IF(ISBLANK($A78),"",INDEX(Array_WaterCharges,MATCH($A78,List_WaterMeters,0),ROUNDUP((COLUMN()+0)/3-1,0)))</f>
        <v/>
      </c>
      <c r="U78" s="127"/>
      <c r="V78" s="137"/>
      <c r="W78" s="58" t="str" cm="1">
        <f>IF(ISBLANK($A78),"",INDEX(Array_WaterCharges,MATCH($A78,List_WaterMeters,0),ROUNDUP((COLUMN()+0)/3-1,0)))</f>
        <v/>
      </c>
      <c r="X78" s="127"/>
      <c r="Y78" s="137"/>
      <c r="Z78" s="58" t="str" cm="1">
        <f>IF(ISBLANK($A78),"",INDEX(Array_WaterCharges,MATCH($A78,List_WaterMeters,0),ROUNDUP((COLUMN()+0)/3-1,0)))</f>
        <v/>
      </c>
      <c r="AA78" s="127"/>
      <c r="AB78" s="137"/>
      <c r="AC78" s="58" t="str" cm="1">
        <f>IF(ISBLANK($A78),"",INDEX(Array_WaterCharges,MATCH($A78,List_WaterMeters,0),ROUNDUP((COLUMN()+0)/3-1,0)))</f>
        <v/>
      </c>
      <c r="AD78" s="127"/>
      <c r="AE78" s="137"/>
      <c r="AF78" s="58" t="str" cm="1">
        <f>IF(ISBLANK($A78),"",INDEX(Array_WaterCharges,MATCH($A78,List_WaterMeters,0),ROUNDUP((COLUMN()+0)/3-1,0)))</f>
        <v/>
      </c>
      <c r="AG78" s="127"/>
      <c r="AH78" s="137"/>
    </row>
    <row r="79" spans="1:34" x14ac:dyDescent="0.3">
      <c r="A79" s="126"/>
      <c r="B79" s="133"/>
      <c r="C79" s="127"/>
      <c r="D79" s="137"/>
      <c r="E79" s="58" t="str" cm="1">
        <f>IF(ISBLANK($A79),"",INDEX(Array_WaterCharges,MATCH($A79,List_WaterMeters,0),ROUNDUP((COLUMN()+0)/3-1,0)))</f>
        <v/>
      </c>
      <c r="F79" s="127"/>
      <c r="G79" s="137"/>
      <c r="H79" s="58" t="str" cm="1">
        <f>IF(ISBLANK($A79),"",INDEX(Array_WaterCharges,MATCH($A79,List_WaterMeters,0),ROUNDUP((COLUMN()+0)/3-1,0)))</f>
        <v/>
      </c>
      <c r="I79" s="127"/>
      <c r="J79" s="137"/>
      <c r="K79" s="58" t="str" cm="1">
        <f>IF(ISBLANK($A79),"",INDEX(Array_WaterCharges,MATCH($A79,List_WaterMeters,0),ROUNDUP((COLUMN()+0)/3-1,0)))</f>
        <v/>
      </c>
      <c r="L79" s="127"/>
      <c r="M79" s="137"/>
      <c r="N79" s="58" t="str" cm="1">
        <f>IF(ISBLANK($A79),"",INDEX(Array_WaterCharges,MATCH($A79,List_WaterMeters,0),ROUNDUP((COLUMN()+0)/3-1,0)))</f>
        <v/>
      </c>
      <c r="O79" s="127"/>
      <c r="P79" s="137"/>
      <c r="Q79" s="58" t="str" cm="1">
        <f>IF(ISBLANK($A79),"",INDEX(Array_WaterCharges,MATCH($A79,List_WaterMeters,0),ROUNDUP((COLUMN()+0)/3-1,0)))</f>
        <v/>
      </c>
      <c r="R79" s="127"/>
      <c r="S79" s="137"/>
      <c r="T79" s="58" t="str" cm="1">
        <f>IF(ISBLANK($A79),"",INDEX(Array_WaterCharges,MATCH($A79,List_WaterMeters,0),ROUNDUP((COLUMN()+0)/3-1,0)))</f>
        <v/>
      </c>
      <c r="U79" s="127"/>
      <c r="V79" s="137"/>
      <c r="W79" s="58" t="str" cm="1">
        <f>IF(ISBLANK($A79),"",INDEX(Array_WaterCharges,MATCH($A79,List_WaterMeters,0),ROUNDUP((COLUMN()+0)/3-1,0)))</f>
        <v/>
      </c>
      <c r="X79" s="127"/>
      <c r="Y79" s="137"/>
      <c r="Z79" s="58" t="str" cm="1">
        <f>IF(ISBLANK($A79),"",INDEX(Array_WaterCharges,MATCH($A79,List_WaterMeters,0),ROUNDUP((COLUMN()+0)/3-1,0)))</f>
        <v/>
      </c>
      <c r="AA79" s="127"/>
      <c r="AB79" s="137"/>
      <c r="AC79" s="58" t="str" cm="1">
        <f>IF(ISBLANK($A79),"",INDEX(Array_WaterCharges,MATCH($A79,List_WaterMeters,0),ROUNDUP((COLUMN()+0)/3-1,0)))</f>
        <v/>
      </c>
      <c r="AD79" s="127"/>
      <c r="AE79" s="137"/>
      <c r="AF79" s="58" t="str" cm="1">
        <f>IF(ISBLANK($A79),"",INDEX(Array_WaterCharges,MATCH($A79,List_WaterMeters,0),ROUNDUP((COLUMN()+0)/3-1,0)))</f>
        <v/>
      </c>
      <c r="AG79" s="127"/>
      <c r="AH79" s="137"/>
    </row>
    <row r="80" spans="1:34" x14ac:dyDescent="0.3">
      <c r="A80" s="126"/>
      <c r="B80" s="133"/>
      <c r="C80" s="127"/>
      <c r="D80" s="137"/>
      <c r="E80" s="58" t="str" cm="1">
        <f>IF(ISBLANK($A80),"",INDEX(Array_WaterCharges,MATCH($A80,List_WaterMeters,0),ROUNDUP((COLUMN()+0)/3-1,0)))</f>
        <v/>
      </c>
      <c r="F80" s="127"/>
      <c r="G80" s="137"/>
      <c r="H80" s="58" t="str" cm="1">
        <f>IF(ISBLANK($A80),"",INDEX(Array_WaterCharges,MATCH($A80,List_WaterMeters,0),ROUNDUP((COLUMN()+0)/3-1,0)))</f>
        <v/>
      </c>
      <c r="I80" s="127"/>
      <c r="J80" s="137"/>
      <c r="K80" s="58" t="str" cm="1">
        <f>IF(ISBLANK($A80),"",INDEX(Array_WaterCharges,MATCH($A80,List_WaterMeters,0),ROUNDUP((COLUMN()+0)/3-1,0)))</f>
        <v/>
      </c>
      <c r="L80" s="127"/>
      <c r="M80" s="137"/>
      <c r="N80" s="58" t="str" cm="1">
        <f>IF(ISBLANK($A80),"",INDEX(Array_WaterCharges,MATCH($A80,List_WaterMeters,0),ROUNDUP((COLUMN()+0)/3-1,0)))</f>
        <v/>
      </c>
      <c r="O80" s="127"/>
      <c r="P80" s="137"/>
      <c r="Q80" s="58" t="str" cm="1">
        <f>IF(ISBLANK($A80),"",INDEX(Array_WaterCharges,MATCH($A80,List_WaterMeters,0),ROUNDUP((COLUMN()+0)/3-1,0)))</f>
        <v/>
      </c>
      <c r="R80" s="127"/>
      <c r="S80" s="137"/>
      <c r="T80" s="58" t="str" cm="1">
        <f>IF(ISBLANK($A80),"",INDEX(Array_WaterCharges,MATCH($A80,List_WaterMeters,0),ROUNDUP((COLUMN()+0)/3-1,0)))</f>
        <v/>
      </c>
      <c r="U80" s="127"/>
      <c r="V80" s="137"/>
      <c r="W80" s="58" t="str" cm="1">
        <f>IF(ISBLANK($A80),"",INDEX(Array_WaterCharges,MATCH($A80,List_WaterMeters,0),ROUNDUP((COLUMN()+0)/3-1,0)))</f>
        <v/>
      </c>
      <c r="X80" s="127"/>
      <c r="Y80" s="137"/>
      <c r="Z80" s="58" t="str" cm="1">
        <f>IF(ISBLANK($A80),"",INDEX(Array_WaterCharges,MATCH($A80,List_WaterMeters,0),ROUNDUP((COLUMN()+0)/3-1,0)))</f>
        <v/>
      </c>
      <c r="AA80" s="127"/>
      <c r="AB80" s="137"/>
      <c r="AC80" s="58" t="str" cm="1">
        <f>IF(ISBLANK($A80),"",INDEX(Array_WaterCharges,MATCH($A80,List_WaterMeters,0),ROUNDUP((COLUMN()+0)/3-1,0)))</f>
        <v/>
      </c>
      <c r="AD80" s="127"/>
      <c r="AE80" s="137"/>
      <c r="AF80" s="58" t="str" cm="1">
        <f>IF(ISBLANK($A80),"",INDEX(Array_WaterCharges,MATCH($A80,List_WaterMeters,0),ROUNDUP((COLUMN()+0)/3-1,0)))</f>
        <v/>
      </c>
      <c r="AG80" s="127"/>
      <c r="AH80" s="137"/>
    </row>
    <row r="81" spans="1:34" x14ac:dyDescent="0.3">
      <c r="A81" s="126"/>
      <c r="B81" s="133"/>
      <c r="C81" s="127"/>
      <c r="D81" s="137"/>
      <c r="E81" s="58" t="str" cm="1">
        <f>IF(ISBLANK($A81),"",INDEX(Array_WaterCharges,MATCH($A81,List_WaterMeters,0),ROUNDUP((COLUMN()+0)/3-1,0)))</f>
        <v/>
      </c>
      <c r="F81" s="127"/>
      <c r="G81" s="137"/>
      <c r="H81" s="58" t="str" cm="1">
        <f>IF(ISBLANK($A81),"",INDEX(Array_WaterCharges,MATCH($A81,List_WaterMeters,0),ROUNDUP((COLUMN()+0)/3-1,0)))</f>
        <v/>
      </c>
      <c r="I81" s="127"/>
      <c r="J81" s="137"/>
      <c r="K81" s="58" t="str" cm="1">
        <f>IF(ISBLANK($A81),"",INDEX(Array_WaterCharges,MATCH($A81,List_WaterMeters,0),ROUNDUP((COLUMN()+0)/3-1,0)))</f>
        <v/>
      </c>
      <c r="L81" s="127"/>
      <c r="M81" s="137"/>
      <c r="N81" s="58" t="str" cm="1">
        <f>IF(ISBLANK($A81),"",INDEX(Array_WaterCharges,MATCH($A81,List_WaterMeters,0),ROUNDUP((COLUMN()+0)/3-1,0)))</f>
        <v/>
      </c>
      <c r="O81" s="127"/>
      <c r="P81" s="137"/>
      <c r="Q81" s="58" t="str" cm="1">
        <f>IF(ISBLANK($A81),"",INDEX(Array_WaterCharges,MATCH($A81,List_WaterMeters,0),ROUNDUP((COLUMN()+0)/3-1,0)))</f>
        <v/>
      </c>
      <c r="R81" s="127"/>
      <c r="S81" s="137"/>
      <c r="T81" s="58" t="str" cm="1">
        <f>IF(ISBLANK($A81),"",INDEX(Array_WaterCharges,MATCH($A81,List_WaterMeters,0),ROUNDUP((COLUMN()+0)/3-1,0)))</f>
        <v/>
      </c>
      <c r="U81" s="127"/>
      <c r="V81" s="137"/>
      <c r="W81" s="58" t="str" cm="1">
        <f>IF(ISBLANK($A81),"",INDEX(Array_WaterCharges,MATCH($A81,List_WaterMeters,0),ROUNDUP((COLUMN()+0)/3-1,0)))</f>
        <v/>
      </c>
      <c r="X81" s="127"/>
      <c r="Y81" s="137"/>
      <c r="Z81" s="58" t="str" cm="1">
        <f>IF(ISBLANK($A81),"",INDEX(Array_WaterCharges,MATCH($A81,List_WaterMeters,0),ROUNDUP((COLUMN()+0)/3-1,0)))</f>
        <v/>
      </c>
      <c r="AA81" s="127"/>
      <c r="AB81" s="137"/>
      <c r="AC81" s="58" t="str" cm="1">
        <f>IF(ISBLANK($A81),"",INDEX(Array_WaterCharges,MATCH($A81,List_WaterMeters,0),ROUNDUP((COLUMN()+0)/3-1,0)))</f>
        <v/>
      </c>
      <c r="AD81" s="127"/>
      <c r="AE81" s="137"/>
      <c r="AF81" s="58" t="str" cm="1">
        <f>IF(ISBLANK($A81),"",INDEX(Array_WaterCharges,MATCH($A81,List_WaterMeters,0),ROUNDUP((COLUMN()+0)/3-1,0)))</f>
        <v/>
      </c>
      <c r="AG81" s="127"/>
      <c r="AH81" s="137"/>
    </row>
    <row r="82" spans="1:34" x14ac:dyDescent="0.3">
      <c r="A82" s="126"/>
      <c r="B82" s="133"/>
      <c r="C82" s="127"/>
      <c r="D82" s="137"/>
      <c r="E82" s="58" t="str" cm="1">
        <f>IF(ISBLANK($A82),"",INDEX(Array_WaterCharges,MATCH($A82,List_WaterMeters,0),ROUNDUP((COLUMN()+0)/3-1,0)))</f>
        <v/>
      </c>
      <c r="F82" s="127"/>
      <c r="G82" s="137"/>
      <c r="H82" s="58" t="str" cm="1">
        <f>IF(ISBLANK($A82),"",INDEX(Array_WaterCharges,MATCH($A82,List_WaterMeters,0),ROUNDUP((COLUMN()+0)/3-1,0)))</f>
        <v/>
      </c>
      <c r="I82" s="127"/>
      <c r="J82" s="137"/>
      <c r="K82" s="58" t="str" cm="1">
        <f>IF(ISBLANK($A82),"",INDEX(Array_WaterCharges,MATCH($A82,List_WaterMeters,0),ROUNDUP((COLUMN()+0)/3-1,0)))</f>
        <v/>
      </c>
      <c r="L82" s="127"/>
      <c r="M82" s="137"/>
      <c r="N82" s="58" t="str" cm="1">
        <f>IF(ISBLANK($A82),"",INDEX(Array_WaterCharges,MATCH($A82,List_WaterMeters,0),ROUNDUP((COLUMN()+0)/3-1,0)))</f>
        <v/>
      </c>
      <c r="O82" s="127"/>
      <c r="P82" s="137"/>
      <c r="Q82" s="58" t="str" cm="1">
        <f>IF(ISBLANK($A82),"",INDEX(Array_WaterCharges,MATCH($A82,List_WaterMeters,0),ROUNDUP((COLUMN()+0)/3-1,0)))</f>
        <v/>
      </c>
      <c r="R82" s="127"/>
      <c r="S82" s="137"/>
      <c r="T82" s="58" t="str" cm="1">
        <f>IF(ISBLANK($A82),"",INDEX(Array_WaterCharges,MATCH($A82,List_WaterMeters,0),ROUNDUP((COLUMN()+0)/3-1,0)))</f>
        <v/>
      </c>
      <c r="U82" s="127"/>
      <c r="V82" s="137"/>
      <c r="W82" s="58" t="str" cm="1">
        <f>IF(ISBLANK($A82),"",INDEX(Array_WaterCharges,MATCH($A82,List_WaterMeters,0),ROUNDUP((COLUMN()+0)/3-1,0)))</f>
        <v/>
      </c>
      <c r="X82" s="127"/>
      <c r="Y82" s="137"/>
      <c r="Z82" s="58" t="str" cm="1">
        <f>IF(ISBLANK($A82),"",INDEX(Array_WaterCharges,MATCH($A82,List_WaterMeters,0),ROUNDUP((COLUMN()+0)/3-1,0)))</f>
        <v/>
      </c>
      <c r="AA82" s="127"/>
      <c r="AB82" s="137"/>
      <c r="AC82" s="58" t="str" cm="1">
        <f>IF(ISBLANK($A82),"",INDEX(Array_WaterCharges,MATCH($A82,List_WaterMeters,0),ROUNDUP((COLUMN()+0)/3-1,0)))</f>
        <v/>
      </c>
      <c r="AD82" s="127"/>
      <c r="AE82" s="137"/>
      <c r="AF82" s="58" t="str" cm="1">
        <f>IF(ISBLANK($A82),"",INDEX(Array_WaterCharges,MATCH($A82,List_WaterMeters,0),ROUNDUP((COLUMN()+0)/3-1,0)))</f>
        <v/>
      </c>
      <c r="AG82" s="127"/>
      <c r="AH82" s="137"/>
    </row>
    <row r="83" spans="1:34" x14ac:dyDescent="0.3">
      <c r="A83" s="126"/>
      <c r="B83" s="133"/>
      <c r="C83" s="127"/>
      <c r="D83" s="137"/>
      <c r="E83" s="58" t="str" cm="1">
        <f>IF(ISBLANK($A83),"",INDEX(Array_WaterCharges,MATCH($A83,List_WaterMeters,0),ROUNDUP((COLUMN()+0)/3-1,0)))</f>
        <v/>
      </c>
      <c r="F83" s="127"/>
      <c r="G83" s="137"/>
      <c r="H83" s="58" t="str" cm="1">
        <f>IF(ISBLANK($A83),"",INDEX(Array_WaterCharges,MATCH($A83,List_WaterMeters,0),ROUNDUP((COLUMN()+0)/3-1,0)))</f>
        <v/>
      </c>
      <c r="I83" s="127"/>
      <c r="J83" s="137"/>
      <c r="K83" s="58" t="str" cm="1">
        <f>IF(ISBLANK($A83),"",INDEX(Array_WaterCharges,MATCH($A83,List_WaterMeters,0),ROUNDUP((COLUMN()+0)/3-1,0)))</f>
        <v/>
      </c>
      <c r="L83" s="127"/>
      <c r="M83" s="137"/>
      <c r="N83" s="58" t="str" cm="1">
        <f>IF(ISBLANK($A83),"",INDEX(Array_WaterCharges,MATCH($A83,List_WaterMeters,0),ROUNDUP((COLUMN()+0)/3-1,0)))</f>
        <v/>
      </c>
      <c r="O83" s="127"/>
      <c r="P83" s="137"/>
      <c r="Q83" s="58" t="str" cm="1">
        <f>IF(ISBLANK($A83),"",INDEX(Array_WaterCharges,MATCH($A83,List_WaterMeters,0),ROUNDUP((COLUMN()+0)/3-1,0)))</f>
        <v/>
      </c>
      <c r="R83" s="127"/>
      <c r="S83" s="137"/>
      <c r="T83" s="58" t="str" cm="1">
        <f>IF(ISBLANK($A83),"",INDEX(Array_WaterCharges,MATCH($A83,List_WaterMeters,0),ROUNDUP((COLUMN()+0)/3-1,0)))</f>
        <v/>
      </c>
      <c r="U83" s="127"/>
      <c r="V83" s="137"/>
      <c r="W83" s="58" t="str" cm="1">
        <f>IF(ISBLANK($A83),"",INDEX(Array_WaterCharges,MATCH($A83,List_WaterMeters,0),ROUNDUP((COLUMN()+0)/3-1,0)))</f>
        <v/>
      </c>
      <c r="X83" s="127"/>
      <c r="Y83" s="137"/>
      <c r="Z83" s="58" t="str" cm="1">
        <f>IF(ISBLANK($A83),"",INDEX(Array_WaterCharges,MATCH($A83,List_WaterMeters,0),ROUNDUP((COLUMN()+0)/3-1,0)))</f>
        <v/>
      </c>
      <c r="AA83" s="127"/>
      <c r="AB83" s="137"/>
      <c r="AC83" s="58" t="str" cm="1">
        <f>IF(ISBLANK($A83),"",INDEX(Array_WaterCharges,MATCH($A83,List_WaterMeters,0),ROUNDUP((COLUMN()+0)/3-1,0)))</f>
        <v/>
      </c>
      <c r="AD83" s="127"/>
      <c r="AE83" s="137"/>
      <c r="AF83" s="58" t="str" cm="1">
        <f>IF(ISBLANK($A83),"",INDEX(Array_WaterCharges,MATCH($A83,List_WaterMeters,0),ROUNDUP((COLUMN()+0)/3-1,0)))</f>
        <v/>
      </c>
      <c r="AG83" s="127"/>
      <c r="AH83" s="137"/>
    </row>
    <row r="84" spans="1:34" x14ac:dyDescent="0.3">
      <c r="A84" s="126"/>
      <c r="B84" s="133"/>
      <c r="C84" s="127"/>
      <c r="D84" s="137"/>
      <c r="E84" s="58" t="str" cm="1">
        <f>IF(ISBLANK($A84),"",INDEX(Array_WaterCharges,MATCH($A84,List_WaterMeters,0),ROUNDUP((COLUMN()+0)/3-1,0)))</f>
        <v/>
      </c>
      <c r="F84" s="127"/>
      <c r="G84" s="137"/>
      <c r="H84" s="58" t="str" cm="1">
        <f>IF(ISBLANK($A84),"",INDEX(Array_WaterCharges,MATCH($A84,List_WaterMeters,0),ROUNDUP((COLUMN()+0)/3-1,0)))</f>
        <v/>
      </c>
      <c r="I84" s="127"/>
      <c r="J84" s="137"/>
      <c r="K84" s="58" t="str" cm="1">
        <f>IF(ISBLANK($A84),"",INDEX(Array_WaterCharges,MATCH($A84,List_WaterMeters,0),ROUNDUP((COLUMN()+0)/3-1,0)))</f>
        <v/>
      </c>
      <c r="L84" s="127"/>
      <c r="M84" s="137"/>
      <c r="N84" s="58" t="str" cm="1">
        <f>IF(ISBLANK($A84),"",INDEX(Array_WaterCharges,MATCH($A84,List_WaterMeters,0),ROUNDUP((COLUMN()+0)/3-1,0)))</f>
        <v/>
      </c>
      <c r="O84" s="127"/>
      <c r="P84" s="137"/>
      <c r="Q84" s="58" t="str" cm="1">
        <f>IF(ISBLANK($A84),"",INDEX(Array_WaterCharges,MATCH($A84,List_WaterMeters,0),ROUNDUP((COLUMN()+0)/3-1,0)))</f>
        <v/>
      </c>
      <c r="R84" s="127"/>
      <c r="S84" s="137"/>
      <c r="T84" s="58" t="str" cm="1">
        <f>IF(ISBLANK($A84),"",INDEX(Array_WaterCharges,MATCH($A84,List_WaterMeters,0),ROUNDUP((COLUMN()+0)/3-1,0)))</f>
        <v/>
      </c>
      <c r="U84" s="127"/>
      <c r="V84" s="137"/>
      <c r="W84" s="58" t="str" cm="1">
        <f>IF(ISBLANK($A84),"",INDEX(Array_WaterCharges,MATCH($A84,List_WaterMeters,0),ROUNDUP((COLUMN()+0)/3-1,0)))</f>
        <v/>
      </c>
      <c r="X84" s="127"/>
      <c r="Y84" s="137"/>
      <c r="Z84" s="58" t="str" cm="1">
        <f>IF(ISBLANK($A84),"",INDEX(Array_WaterCharges,MATCH($A84,List_WaterMeters,0),ROUNDUP((COLUMN()+0)/3-1,0)))</f>
        <v/>
      </c>
      <c r="AA84" s="127"/>
      <c r="AB84" s="137"/>
      <c r="AC84" s="58" t="str" cm="1">
        <f>IF(ISBLANK($A84),"",INDEX(Array_WaterCharges,MATCH($A84,List_WaterMeters,0),ROUNDUP((COLUMN()+0)/3-1,0)))</f>
        <v/>
      </c>
      <c r="AD84" s="127"/>
      <c r="AE84" s="137"/>
      <c r="AF84" s="58" t="str" cm="1">
        <f>IF(ISBLANK($A84),"",INDEX(Array_WaterCharges,MATCH($A84,List_WaterMeters,0),ROUNDUP((COLUMN()+0)/3-1,0)))</f>
        <v/>
      </c>
      <c r="AG84" s="127"/>
      <c r="AH84" s="137"/>
    </row>
    <row r="85" spans="1:34" x14ac:dyDescent="0.3">
      <c r="A85" s="126"/>
      <c r="B85" s="133"/>
      <c r="C85" s="127"/>
      <c r="D85" s="137"/>
      <c r="E85" s="58" t="str" cm="1">
        <f>IF(ISBLANK($A85),"",INDEX(Array_WaterCharges,MATCH($A85,List_WaterMeters,0),ROUNDUP((COLUMN()+0)/3-1,0)))</f>
        <v/>
      </c>
      <c r="F85" s="127"/>
      <c r="G85" s="137"/>
      <c r="H85" s="58" t="str" cm="1">
        <f>IF(ISBLANK($A85),"",INDEX(Array_WaterCharges,MATCH($A85,List_WaterMeters,0),ROUNDUP((COLUMN()+0)/3-1,0)))</f>
        <v/>
      </c>
      <c r="I85" s="127"/>
      <c r="J85" s="137"/>
      <c r="K85" s="58" t="str" cm="1">
        <f>IF(ISBLANK($A85),"",INDEX(Array_WaterCharges,MATCH($A85,List_WaterMeters,0),ROUNDUP((COLUMN()+0)/3-1,0)))</f>
        <v/>
      </c>
      <c r="L85" s="127"/>
      <c r="M85" s="137"/>
      <c r="N85" s="58" t="str" cm="1">
        <f>IF(ISBLANK($A85),"",INDEX(Array_WaterCharges,MATCH($A85,List_WaterMeters,0),ROUNDUP((COLUMN()+0)/3-1,0)))</f>
        <v/>
      </c>
      <c r="O85" s="127"/>
      <c r="P85" s="137"/>
      <c r="Q85" s="58" t="str" cm="1">
        <f>IF(ISBLANK($A85),"",INDEX(Array_WaterCharges,MATCH($A85,List_WaterMeters,0),ROUNDUP((COLUMN()+0)/3-1,0)))</f>
        <v/>
      </c>
      <c r="R85" s="127"/>
      <c r="S85" s="137"/>
      <c r="T85" s="58" t="str" cm="1">
        <f>IF(ISBLANK($A85),"",INDEX(Array_WaterCharges,MATCH($A85,List_WaterMeters,0),ROUNDUP((COLUMN()+0)/3-1,0)))</f>
        <v/>
      </c>
      <c r="U85" s="127"/>
      <c r="V85" s="137"/>
      <c r="W85" s="58" t="str" cm="1">
        <f>IF(ISBLANK($A85),"",INDEX(Array_WaterCharges,MATCH($A85,List_WaterMeters,0),ROUNDUP((COLUMN()+0)/3-1,0)))</f>
        <v/>
      </c>
      <c r="X85" s="127"/>
      <c r="Y85" s="137"/>
      <c r="Z85" s="58" t="str" cm="1">
        <f>IF(ISBLANK($A85),"",INDEX(Array_WaterCharges,MATCH($A85,List_WaterMeters,0),ROUNDUP((COLUMN()+0)/3-1,0)))</f>
        <v/>
      </c>
      <c r="AA85" s="127"/>
      <c r="AB85" s="137"/>
      <c r="AC85" s="58" t="str" cm="1">
        <f>IF(ISBLANK($A85),"",INDEX(Array_WaterCharges,MATCH($A85,List_WaterMeters,0),ROUNDUP((COLUMN()+0)/3-1,0)))</f>
        <v/>
      </c>
      <c r="AD85" s="127"/>
      <c r="AE85" s="137"/>
      <c r="AF85" s="58" t="str" cm="1">
        <f>IF(ISBLANK($A85),"",INDEX(Array_WaterCharges,MATCH($A85,List_WaterMeters,0),ROUNDUP((COLUMN()+0)/3-1,0)))</f>
        <v/>
      </c>
      <c r="AG85" s="127"/>
      <c r="AH85" s="137"/>
    </row>
    <row r="86" spans="1:34" x14ac:dyDescent="0.3">
      <c r="A86" s="126"/>
      <c r="B86" s="133"/>
      <c r="C86" s="127"/>
      <c r="D86" s="137"/>
      <c r="E86" s="58" t="str" cm="1">
        <f>IF(ISBLANK($A86),"",INDEX(Array_WaterCharges,MATCH($A86,List_WaterMeters,0),ROUNDUP((COLUMN()+0)/3-1,0)))</f>
        <v/>
      </c>
      <c r="F86" s="127"/>
      <c r="G86" s="137"/>
      <c r="H86" s="58" t="str" cm="1">
        <f>IF(ISBLANK($A86),"",INDEX(Array_WaterCharges,MATCH($A86,List_WaterMeters,0),ROUNDUP((COLUMN()+0)/3-1,0)))</f>
        <v/>
      </c>
      <c r="I86" s="127"/>
      <c r="J86" s="137"/>
      <c r="K86" s="58" t="str" cm="1">
        <f>IF(ISBLANK($A86),"",INDEX(Array_WaterCharges,MATCH($A86,List_WaterMeters,0),ROUNDUP((COLUMN()+0)/3-1,0)))</f>
        <v/>
      </c>
      <c r="L86" s="127"/>
      <c r="M86" s="137"/>
      <c r="N86" s="58" t="str" cm="1">
        <f>IF(ISBLANK($A86),"",INDEX(Array_WaterCharges,MATCH($A86,List_WaterMeters,0),ROUNDUP((COLUMN()+0)/3-1,0)))</f>
        <v/>
      </c>
      <c r="O86" s="127"/>
      <c r="P86" s="137"/>
      <c r="Q86" s="58" t="str" cm="1">
        <f>IF(ISBLANK($A86),"",INDEX(Array_WaterCharges,MATCH($A86,List_WaterMeters,0),ROUNDUP((COLUMN()+0)/3-1,0)))</f>
        <v/>
      </c>
      <c r="R86" s="127"/>
      <c r="S86" s="137"/>
      <c r="T86" s="58" t="str" cm="1">
        <f>IF(ISBLANK($A86),"",INDEX(Array_WaterCharges,MATCH($A86,List_WaterMeters,0),ROUNDUP((COLUMN()+0)/3-1,0)))</f>
        <v/>
      </c>
      <c r="U86" s="127"/>
      <c r="V86" s="137"/>
      <c r="W86" s="58" t="str" cm="1">
        <f>IF(ISBLANK($A86),"",INDEX(Array_WaterCharges,MATCH($A86,List_WaterMeters,0),ROUNDUP((COLUMN()+0)/3-1,0)))</f>
        <v/>
      </c>
      <c r="X86" s="127"/>
      <c r="Y86" s="137"/>
      <c r="Z86" s="58" t="str" cm="1">
        <f>IF(ISBLANK($A86),"",INDEX(Array_WaterCharges,MATCH($A86,List_WaterMeters,0),ROUNDUP((COLUMN()+0)/3-1,0)))</f>
        <v/>
      </c>
      <c r="AA86" s="127"/>
      <c r="AB86" s="137"/>
      <c r="AC86" s="58" t="str" cm="1">
        <f>IF(ISBLANK($A86),"",INDEX(Array_WaterCharges,MATCH($A86,List_WaterMeters,0),ROUNDUP((COLUMN()+0)/3-1,0)))</f>
        <v/>
      </c>
      <c r="AD86" s="127"/>
      <c r="AE86" s="137"/>
      <c r="AF86" s="58" t="str" cm="1">
        <f>IF(ISBLANK($A86),"",INDEX(Array_WaterCharges,MATCH($A86,List_WaterMeters,0),ROUNDUP((COLUMN()+0)/3-1,0)))</f>
        <v/>
      </c>
      <c r="AG86" s="127"/>
      <c r="AH86" s="137"/>
    </row>
    <row r="87" spans="1:34" x14ac:dyDescent="0.3">
      <c r="A87" s="126"/>
      <c r="B87" s="133"/>
      <c r="C87" s="127"/>
      <c r="D87" s="137"/>
      <c r="E87" s="58" t="str" cm="1">
        <f>IF(ISBLANK($A87),"",INDEX(Array_WaterCharges,MATCH($A87,List_WaterMeters,0),ROUNDUP((COLUMN()+0)/3-1,0)))</f>
        <v/>
      </c>
      <c r="F87" s="127"/>
      <c r="G87" s="137"/>
      <c r="H87" s="58" t="str" cm="1">
        <f>IF(ISBLANK($A87),"",INDEX(Array_WaterCharges,MATCH($A87,List_WaterMeters,0),ROUNDUP((COLUMN()+0)/3-1,0)))</f>
        <v/>
      </c>
      <c r="I87" s="127"/>
      <c r="J87" s="137"/>
      <c r="K87" s="58" t="str" cm="1">
        <f>IF(ISBLANK($A87),"",INDEX(Array_WaterCharges,MATCH($A87,List_WaterMeters,0),ROUNDUP((COLUMN()+0)/3-1,0)))</f>
        <v/>
      </c>
      <c r="L87" s="127"/>
      <c r="M87" s="137"/>
      <c r="N87" s="58" t="str" cm="1">
        <f>IF(ISBLANK($A87),"",INDEX(Array_WaterCharges,MATCH($A87,List_WaterMeters,0),ROUNDUP((COLUMN()+0)/3-1,0)))</f>
        <v/>
      </c>
      <c r="O87" s="127"/>
      <c r="P87" s="137"/>
      <c r="Q87" s="58" t="str" cm="1">
        <f>IF(ISBLANK($A87),"",INDEX(Array_WaterCharges,MATCH($A87,List_WaterMeters,0),ROUNDUP((COLUMN()+0)/3-1,0)))</f>
        <v/>
      </c>
      <c r="R87" s="127"/>
      <c r="S87" s="137"/>
      <c r="T87" s="58" t="str" cm="1">
        <f>IF(ISBLANK($A87),"",INDEX(Array_WaterCharges,MATCH($A87,List_WaterMeters,0),ROUNDUP((COLUMN()+0)/3-1,0)))</f>
        <v/>
      </c>
      <c r="U87" s="127"/>
      <c r="V87" s="137"/>
      <c r="W87" s="58" t="str" cm="1">
        <f>IF(ISBLANK($A87),"",INDEX(Array_WaterCharges,MATCH($A87,List_WaterMeters,0),ROUNDUP((COLUMN()+0)/3-1,0)))</f>
        <v/>
      </c>
      <c r="X87" s="127"/>
      <c r="Y87" s="137"/>
      <c r="Z87" s="58" t="str" cm="1">
        <f>IF(ISBLANK($A87),"",INDEX(Array_WaterCharges,MATCH($A87,List_WaterMeters,0),ROUNDUP((COLUMN()+0)/3-1,0)))</f>
        <v/>
      </c>
      <c r="AA87" s="127"/>
      <c r="AB87" s="137"/>
      <c r="AC87" s="58" t="str" cm="1">
        <f>IF(ISBLANK($A87),"",INDEX(Array_WaterCharges,MATCH($A87,List_WaterMeters,0),ROUNDUP((COLUMN()+0)/3-1,0)))</f>
        <v/>
      </c>
      <c r="AD87" s="127"/>
      <c r="AE87" s="137"/>
      <c r="AF87" s="58" t="str" cm="1">
        <f>IF(ISBLANK($A87),"",INDEX(Array_WaterCharges,MATCH($A87,List_WaterMeters,0),ROUNDUP((COLUMN()+0)/3-1,0)))</f>
        <v/>
      </c>
      <c r="AG87" s="127"/>
      <c r="AH87" s="137"/>
    </row>
    <row r="88" spans="1:34" x14ac:dyDescent="0.3">
      <c r="A88" s="126"/>
      <c r="B88" s="133"/>
      <c r="C88" s="127"/>
      <c r="D88" s="137"/>
      <c r="E88" s="58" t="str" cm="1">
        <f>IF(ISBLANK($A88),"",INDEX(Array_WaterCharges,MATCH($A88,List_WaterMeters,0),ROUNDUP((COLUMN()+0)/3-1,0)))</f>
        <v/>
      </c>
      <c r="F88" s="127"/>
      <c r="G88" s="137"/>
      <c r="H88" s="58" t="str" cm="1">
        <f>IF(ISBLANK($A88),"",INDEX(Array_WaterCharges,MATCH($A88,List_WaterMeters,0),ROUNDUP((COLUMN()+0)/3-1,0)))</f>
        <v/>
      </c>
      <c r="I88" s="127"/>
      <c r="J88" s="137"/>
      <c r="K88" s="58" t="str" cm="1">
        <f>IF(ISBLANK($A88),"",INDEX(Array_WaterCharges,MATCH($A88,List_WaterMeters,0),ROUNDUP((COLUMN()+0)/3-1,0)))</f>
        <v/>
      </c>
      <c r="L88" s="127"/>
      <c r="M88" s="137"/>
      <c r="N88" s="58" t="str" cm="1">
        <f>IF(ISBLANK($A88),"",INDEX(Array_WaterCharges,MATCH($A88,List_WaterMeters,0),ROUNDUP((COLUMN()+0)/3-1,0)))</f>
        <v/>
      </c>
      <c r="O88" s="127"/>
      <c r="P88" s="137"/>
      <c r="Q88" s="58" t="str" cm="1">
        <f>IF(ISBLANK($A88),"",INDEX(Array_WaterCharges,MATCH($A88,List_WaterMeters,0),ROUNDUP((COLUMN()+0)/3-1,0)))</f>
        <v/>
      </c>
      <c r="R88" s="127"/>
      <c r="S88" s="137"/>
      <c r="T88" s="58" t="str" cm="1">
        <f>IF(ISBLANK($A88),"",INDEX(Array_WaterCharges,MATCH($A88,List_WaterMeters,0),ROUNDUP((COLUMN()+0)/3-1,0)))</f>
        <v/>
      </c>
      <c r="U88" s="127"/>
      <c r="V88" s="137"/>
      <c r="W88" s="58" t="str" cm="1">
        <f>IF(ISBLANK($A88),"",INDEX(Array_WaterCharges,MATCH($A88,List_WaterMeters,0),ROUNDUP((COLUMN()+0)/3-1,0)))</f>
        <v/>
      </c>
      <c r="X88" s="127"/>
      <c r="Y88" s="137"/>
      <c r="Z88" s="58" t="str" cm="1">
        <f>IF(ISBLANK($A88),"",INDEX(Array_WaterCharges,MATCH($A88,List_WaterMeters,0),ROUNDUP((COLUMN()+0)/3-1,0)))</f>
        <v/>
      </c>
      <c r="AA88" s="127"/>
      <c r="AB88" s="137"/>
      <c r="AC88" s="58" t="str" cm="1">
        <f>IF(ISBLANK($A88),"",INDEX(Array_WaterCharges,MATCH($A88,List_WaterMeters,0),ROUNDUP((COLUMN()+0)/3-1,0)))</f>
        <v/>
      </c>
      <c r="AD88" s="127"/>
      <c r="AE88" s="137"/>
      <c r="AF88" s="58" t="str" cm="1">
        <f>IF(ISBLANK($A88),"",INDEX(Array_WaterCharges,MATCH($A88,List_WaterMeters,0),ROUNDUP((COLUMN()+0)/3-1,0)))</f>
        <v/>
      </c>
      <c r="AG88" s="127"/>
      <c r="AH88" s="137"/>
    </row>
    <row r="89" spans="1:34" x14ac:dyDescent="0.3">
      <c r="A89" s="126"/>
      <c r="B89" s="133"/>
      <c r="C89" s="127"/>
      <c r="D89" s="137"/>
      <c r="E89" s="58" t="str" cm="1">
        <f>IF(ISBLANK($A89),"",INDEX(Array_WaterCharges,MATCH($A89,List_WaterMeters,0),ROUNDUP((COLUMN()+0)/3-1,0)))</f>
        <v/>
      </c>
      <c r="F89" s="127"/>
      <c r="G89" s="137"/>
      <c r="H89" s="58" t="str" cm="1">
        <f>IF(ISBLANK($A89),"",INDEX(Array_WaterCharges,MATCH($A89,List_WaterMeters,0),ROUNDUP((COLUMN()+0)/3-1,0)))</f>
        <v/>
      </c>
      <c r="I89" s="127"/>
      <c r="J89" s="137"/>
      <c r="K89" s="58" t="str" cm="1">
        <f>IF(ISBLANK($A89),"",INDEX(Array_WaterCharges,MATCH($A89,List_WaterMeters,0),ROUNDUP((COLUMN()+0)/3-1,0)))</f>
        <v/>
      </c>
      <c r="L89" s="127"/>
      <c r="M89" s="137"/>
      <c r="N89" s="58" t="str" cm="1">
        <f>IF(ISBLANK($A89),"",INDEX(Array_WaterCharges,MATCH($A89,List_WaterMeters,0),ROUNDUP((COLUMN()+0)/3-1,0)))</f>
        <v/>
      </c>
      <c r="O89" s="127"/>
      <c r="P89" s="137"/>
      <c r="Q89" s="58" t="str" cm="1">
        <f>IF(ISBLANK($A89),"",INDEX(Array_WaterCharges,MATCH($A89,List_WaterMeters,0),ROUNDUP((COLUMN()+0)/3-1,0)))</f>
        <v/>
      </c>
      <c r="R89" s="127"/>
      <c r="S89" s="137"/>
      <c r="T89" s="58" t="str" cm="1">
        <f>IF(ISBLANK($A89),"",INDEX(Array_WaterCharges,MATCH($A89,List_WaterMeters,0),ROUNDUP((COLUMN()+0)/3-1,0)))</f>
        <v/>
      </c>
      <c r="U89" s="127"/>
      <c r="V89" s="137"/>
      <c r="W89" s="58" t="str" cm="1">
        <f>IF(ISBLANK($A89),"",INDEX(Array_WaterCharges,MATCH($A89,List_WaterMeters,0),ROUNDUP((COLUMN()+0)/3-1,0)))</f>
        <v/>
      </c>
      <c r="X89" s="127"/>
      <c r="Y89" s="137"/>
      <c r="Z89" s="58" t="str" cm="1">
        <f>IF(ISBLANK($A89),"",INDEX(Array_WaterCharges,MATCH($A89,List_WaterMeters,0),ROUNDUP((COLUMN()+0)/3-1,0)))</f>
        <v/>
      </c>
      <c r="AA89" s="127"/>
      <c r="AB89" s="137"/>
      <c r="AC89" s="58" t="str" cm="1">
        <f>IF(ISBLANK($A89),"",INDEX(Array_WaterCharges,MATCH($A89,List_WaterMeters,0),ROUNDUP((COLUMN()+0)/3-1,0)))</f>
        <v/>
      </c>
      <c r="AD89" s="127"/>
      <c r="AE89" s="137"/>
      <c r="AF89" s="58" t="str" cm="1">
        <f>IF(ISBLANK($A89),"",INDEX(Array_WaterCharges,MATCH($A89,List_WaterMeters,0),ROUNDUP((COLUMN()+0)/3-1,0)))</f>
        <v/>
      </c>
      <c r="AG89" s="127"/>
      <c r="AH89" s="137"/>
    </row>
    <row r="90" spans="1:34" x14ac:dyDescent="0.3">
      <c r="A90" s="126"/>
      <c r="B90" s="133"/>
      <c r="C90" s="127"/>
      <c r="D90" s="137"/>
      <c r="E90" s="58" t="str" cm="1">
        <f>IF(ISBLANK($A90),"",INDEX(Array_WaterCharges,MATCH($A90,List_WaterMeters,0),ROUNDUP((COLUMN()+0)/3-1,0)))</f>
        <v/>
      </c>
      <c r="F90" s="127"/>
      <c r="G90" s="137"/>
      <c r="H90" s="58" t="str" cm="1">
        <f>IF(ISBLANK($A90),"",INDEX(Array_WaterCharges,MATCH($A90,List_WaterMeters,0),ROUNDUP((COLUMN()+0)/3-1,0)))</f>
        <v/>
      </c>
      <c r="I90" s="127"/>
      <c r="J90" s="137"/>
      <c r="K90" s="58" t="str" cm="1">
        <f>IF(ISBLANK($A90),"",INDEX(Array_WaterCharges,MATCH($A90,List_WaterMeters,0),ROUNDUP((COLUMN()+0)/3-1,0)))</f>
        <v/>
      </c>
      <c r="L90" s="127"/>
      <c r="M90" s="137"/>
      <c r="N90" s="58" t="str" cm="1">
        <f>IF(ISBLANK($A90),"",INDEX(Array_WaterCharges,MATCH($A90,List_WaterMeters,0),ROUNDUP((COLUMN()+0)/3-1,0)))</f>
        <v/>
      </c>
      <c r="O90" s="127"/>
      <c r="P90" s="137"/>
      <c r="Q90" s="58" t="str" cm="1">
        <f>IF(ISBLANK($A90),"",INDEX(Array_WaterCharges,MATCH($A90,List_WaterMeters,0),ROUNDUP((COLUMN()+0)/3-1,0)))</f>
        <v/>
      </c>
      <c r="R90" s="127"/>
      <c r="S90" s="137"/>
      <c r="T90" s="58" t="str" cm="1">
        <f>IF(ISBLANK($A90),"",INDEX(Array_WaterCharges,MATCH($A90,List_WaterMeters,0),ROUNDUP((COLUMN()+0)/3-1,0)))</f>
        <v/>
      </c>
      <c r="U90" s="127"/>
      <c r="V90" s="137"/>
      <c r="W90" s="58" t="str" cm="1">
        <f>IF(ISBLANK($A90),"",INDEX(Array_WaterCharges,MATCH($A90,List_WaterMeters,0),ROUNDUP((COLUMN()+0)/3-1,0)))</f>
        <v/>
      </c>
      <c r="X90" s="127"/>
      <c r="Y90" s="137"/>
      <c r="Z90" s="58" t="str" cm="1">
        <f>IF(ISBLANK($A90),"",INDEX(Array_WaterCharges,MATCH($A90,List_WaterMeters,0),ROUNDUP((COLUMN()+0)/3-1,0)))</f>
        <v/>
      </c>
      <c r="AA90" s="127"/>
      <c r="AB90" s="137"/>
      <c r="AC90" s="58" t="str" cm="1">
        <f>IF(ISBLANK($A90),"",INDEX(Array_WaterCharges,MATCH($A90,List_WaterMeters,0),ROUNDUP((COLUMN()+0)/3-1,0)))</f>
        <v/>
      </c>
      <c r="AD90" s="127"/>
      <c r="AE90" s="137"/>
      <c r="AF90" s="58" t="str" cm="1">
        <f>IF(ISBLANK($A90),"",INDEX(Array_WaterCharges,MATCH($A90,List_WaterMeters,0),ROUNDUP((COLUMN()+0)/3-1,0)))</f>
        <v/>
      </c>
      <c r="AG90" s="127"/>
      <c r="AH90" s="137"/>
    </row>
    <row r="91" spans="1:34" x14ac:dyDescent="0.3">
      <c r="A91" s="126"/>
      <c r="B91" s="133"/>
      <c r="C91" s="127"/>
      <c r="D91" s="137"/>
      <c r="E91" s="58" t="str" cm="1">
        <f>IF(ISBLANK($A91),"",INDEX(Array_WaterCharges,MATCH($A91,List_WaterMeters,0),ROUNDUP((COLUMN()+0)/3-1,0)))</f>
        <v/>
      </c>
      <c r="F91" s="127"/>
      <c r="G91" s="137"/>
      <c r="H91" s="58" t="str" cm="1">
        <f>IF(ISBLANK($A91),"",INDEX(Array_WaterCharges,MATCH($A91,List_WaterMeters,0),ROUNDUP((COLUMN()+0)/3-1,0)))</f>
        <v/>
      </c>
      <c r="I91" s="127"/>
      <c r="J91" s="137"/>
      <c r="K91" s="58" t="str" cm="1">
        <f>IF(ISBLANK($A91),"",INDEX(Array_WaterCharges,MATCH($A91,List_WaterMeters,0),ROUNDUP((COLUMN()+0)/3-1,0)))</f>
        <v/>
      </c>
      <c r="L91" s="127"/>
      <c r="M91" s="137"/>
      <c r="N91" s="58" t="str" cm="1">
        <f>IF(ISBLANK($A91),"",INDEX(Array_WaterCharges,MATCH($A91,List_WaterMeters,0),ROUNDUP((COLUMN()+0)/3-1,0)))</f>
        <v/>
      </c>
      <c r="O91" s="127"/>
      <c r="P91" s="137"/>
      <c r="Q91" s="58" t="str" cm="1">
        <f>IF(ISBLANK($A91),"",INDEX(Array_WaterCharges,MATCH($A91,List_WaterMeters,0),ROUNDUP((COLUMN()+0)/3-1,0)))</f>
        <v/>
      </c>
      <c r="R91" s="127"/>
      <c r="S91" s="137"/>
      <c r="T91" s="58" t="str" cm="1">
        <f>IF(ISBLANK($A91),"",INDEX(Array_WaterCharges,MATCH($A91,List_WaterMeters,0),ROUNDUP((COLUMN()+0)/3-1,0)))</f>
        <v/>
      </c>
      <c r="U91" s="127"/>
      <c r="V91" s="137"/>
      <c r="W91" s="58" t="str" cm="1">
        <f>IF(ISBLANK($A91),"",INDEX(Array_WaterCharges,MATCH($A91,List_WaterMeters,0),ROUNDUP((COLUMN()+0)/3-1,0)))</f>
        <v/>
      </c>
      <c r="X91" s="127"/>
      <c r="Y91" s="137"/>
      <c r="Z91" s="58" t="str" cm="1">
        <f>IF(ISBLANK($A91),"",INDEX(Array_WaterCharges,MATCH($A91,List_WaterMeters,0),ROUNDUP((COLUMN()+0)/3-1,0)))</f>
        <v/>
      </c>
      <c r="AA91" s="127"/>
      <c r="AB91" s="137"/>
      <c r="AC91" s="58" t="str" cm="1">
        <f>IF(ISBLANK($A91),"",INDEX(Array_WaterCharges,MATCH($A91,List_WaterMeters,0),ROUNDUP((COLUMN()+0)/3-1,0)))</f>
        <v/>
      </c>
      <c r="AD91" s="127"/>
      <c r="AE91" s="137"/>
      <c r="AF91" s="58" t="str" cm="1">
        <f>IF(ISBLANK($A91),"",INDEX(Array_WaterCharges,MATCH($A91,List_WaterMeters,0),ROUNDUP((COLUMN()+0)/3-1,0)))</f>
        <v/>
      </c>
      <c r="AG91" s="127"/>
      <c r="AH91" s="137"/>
    </row>
    <row r="92" spans="1:34" x14ac:dyDescent="0.3">
      <c r="A92" s="126"/>
      <c r="B92" s="133"/>
      <c r="C92" s="127"/>
      <c r="D92" s="137"/>
      <c r="E92" s="58" t="str" cm="1">
        <f>IF(ISBLANK($A92),"",INDEX(Array_WaterCharges,MATCH($A92,List_WaterMeters,0),ROUNDUP((COLUMN()+0)/3-1,0)))</f>
        <v/>
      </c>
      <c r="F92" s="127"/>
      <c r="G92" s="137"/>
      <c r="H92" s="58" t="str" cm="1">
        <f>IF(ISBLANK($A92),"",INDEX(Array_WaterCharges,MATCH($A92,List_WaterMeters,0),ROUNDUP((COLUMN()+0)/3-1,0)))</f>
        <v/>
      </c>
      <c r="I92" s="127"/>
      <c r="J92" s="137"/>
      <c r="K92" s="58" t="str" cm="1">
        <f>IF(ISBLANK($A92),"",INDEX(Array_WaterCharges,MATCH($A92,List_WaterMeters,0),ROUNDUP((COLUMN()+0)/3-1,0)))</f>
        <v/>
      </c>
      <c r="L92" s="127"/>
      <c r="M92" s="137"/>
      <c r="N92" s="58" t="str" cm="1">
        <f>IF(ISBLANK($A92),"",INDEX(Array_WaterCharges,MATCH($A92,List_WaterMeters,0),ROUNDUP((COLUMN()+0)/3-1,0)))</f>
        <v/>
      </c>
      <c r="O92" s="127"/>
      <c r="P92" s="137"/>
      <c r="Q92" s="58" t="str" cm="1">
        <f>IF(ISBLANK($A92),"",INDEX(Array_WaterCharges,MATCH($A92,List_WaterMeters,0),ROUNDUP((COLUMN()+0)/3-1,0)))</f>
        <v/>
      </c>
      <c r="R92" s="127"/>
      <c r="S92" s="137"/>
      <c r="T92" s="58" t="str" cm="1">
        <f>IF(ISBLANK($A92),"",INDEX(Array_WaterCharges,MATCH($A92,List_WaterMeters,0),ROUNDUP((COLUMN()+0)/3-1,0)))</f>
        <v/>
      </c>
      <c r="U92" s="127"/>
      <c r="V92" s="137"/>
      <c r="W92" s="58" t="str" cm="1">
        <f>IF(ISBLANK($A92),"",INDEX(Array_WaterCharges,MATCH($A92,List_WaterMeters,0),ROUNDUP((COLUMN()+0)/3-1,0)))</f>
        <v/>
      </c>
      <c r="X92" s="127"/>
      <c r="Y92" s="137"/>
      <c r="Z92" s="58" t="str" cm="1">
        <f>IF(ISBLANK($A92),"",INDEX(Array_WaterCharges,MATCH($A92,List_WaterMeters,0),ROUNDUP((COLUMN()+0)/3-1,0)))</f>
        <v/>
      </c>
      <c r="AA92" s="127"/>
      <c r="AB92" s="137"/>
      <c r="AC92" s="58" t="str" cm="1">
        <f>IF(ISBLANK($A92),"",INDEX(Array_WaterCharges,MATCH($A92,List_WaterMeters,0),ROUNDUP((COLUMN()+0)/3-1,0)))</f>
        <v/>
      </c>
      <c r="AD92" s="127"/>
      <c r="AE92" s="137"/>
      <c r="AF92" s="58" t="str" cm="1">
        <f>IF(ISBLANK($A92),"",INDEX(Array_WaterCharges,MATCH($A92,List_WaterMeters,0),ROUNDUP((COLUMN()+0)/3-1,0)))</f>
        <v/>
      </c>
      <c r="AG92" s="127"/>
      <c r="AH92" s="137"/>
    </row>
    <row r="93" spans="1:34" x14ac:dyDescent="0.3">
      <c r="A93" s="126"/>
      <c r="B93" s="133"/>
      <c r="C93" s="127"/>
      <c r="D93" s="137"/>
      <c r="E93" s="58" t="str" cm="1">
        <f>IF(ISBLANK($A93),"",INDEX(Array_WaterCharges,MATCH($A93,List_WaterMeters,0),ROUNDUP((COLUMN()+0)/3-1,0)))</f>
        <v/>
      </c>
      <c r="F93" s="127"/>
      <c r="G93" s="137"/>
      <c r="H93" s="58" t="str" cm="1">
        <f>IF(ISBLANK($A93),"",INDEX(Array_WaterCharges,MATCH($A93,List_WaterMeters,0),ROUNDUP((COLUMN()+0)/3-1,0)))</f>
        <v/>
      </c>
      <c r="I93" s="127"/>
      <c r="J93" s="137"/>
      <c r="K93" s="58" t="str" cm="1">
        <f>IF(ISBLANK($A93),"",INDEX(Array_WaterCharges,MATCH($A93,List_WaterMeters,0),ROUNDUP((COLUMN()+0)/3-1,0)))</f>
        <v/>
      </c>
      <c r="L93" s="127"/>
      <c r="M93" s="137"/>
      <c r="N93" s="58" t="str" cm="1">
        <f>IF(ISBLANK($A93),"",INDEX(Array_WaterCharges,MATCH($A93,List_WaterMeters,0),ROUNDUP((COLUMN()+0)/3-1,0)))</f>
        <v/>
      </c>
      <c r="O93" s="127"/>
      <c r="P93" s="137"/>
      <c r="Q93" s="58" t="str" cm="1">
        <f>IF(ISBLANK($A93),"",INDEX(Array_WaterCharges,MATCH($A93,List_WaterMeters,0),ROUNDUP((COLUMN()+0)/3-1,0)))</f>
        <v/>
      </c>
      <c r="R93" s="127"/>
      <c r="S93" s="137"/>
      <c r="T93" s="58" t="str" cm="1">
        <f>IF(ISBLANK($A93),"",INDEX(Array_WaterCharges,MATCH($A93,List_WaterMeters,0),ROUNDUP((COLUMN()+0)/3-1,0)))</f>
        <v/>
      </c>
      <c r="U93" s="127"/>
      <c r="V93" s="137"/>
      <c r="W93" s="58" t="str" cm="1">
        <f>IF(ISBLANK($A93),"",INDEX(Array_WaterCharges,MATCH($A93,List_WaterMeters,0),ROUNDUP((COLUMN()+0)/3-1,0)))</f>
        <v/>
      </c>
      <c r="X93" s="127"/>
      <c r="Y93" s="137"/>
      <c r="Z93" s="58" t="str" cm="1">
        <f>IF(ISBLANK($A93),"",INDEX(Array_WaterCharges,MATCH($A93,List_WaterMeters,0),ROUNDUP((COLUMN()+0)/3-1,0)))</f>
        <v/>
      </c>
      <c r="AA93" s="127"/>
      <c r="AB93" s="137"/>
      <c r="AC93" s="58" t="str" cm="1">
        <f>IF(ISBLANK($A93),"",INDEX(Array_WaterCharges,MATCH($A93,List_WaterMeters,0),ROUNDUP((COLUMN()+0)/3-1,0)))</f>
        <v/>
      </c>
      <c r="AD93" s="127"/>
      <c r="AE93" s="137"/>
      <c r="AF93" s="58" t="str" cm="1">
        <f>IF(ISBLANK($A93),"",INDEX(Array_WaterCharges,MATCH($A93,List_WaterMeters,0),ROUNDUP((COLUMN()+0)/3-1,0)))</f>
        <v/>
      </c>
      <c r="AG93" s="127"/>
      <c r="AH93" s="137"/>
    </row>
    <row r="94" spans="1:34" x14ac:dyDescent="0.3">
      <c r="A94" s="126"/>
      <c r="B94" s="133"/>
      <c r="C94" s="127"/>
      <c r="D94" s="137"/>
      <c r="E94" s="58" t="str" cm="1">
        <f>IF(ISBLANK($A94),"",INDEX(Array_WaterCharges,MATCH($A94,List_WaterMeters,0),ROUNDUP((COLUMN()+0)/3-1,0)))</f>
        <v/>
      </c>
      <c r="F94" s="127"/>
      <c r="G94" s="137"/>
      <c r="H94" s="58" t="str" cm="1">
        <f>IF(ISBLANK($A94),"",INDEX(Array_WaterCharges,MATCH($A94,List_WaterMeters,0),ROUNDUP((COLUMN()+0)/3-1,0)))</f>
        <v/>
      </c>
      <c r="I94" s="127"/>
      <c r="J94" s="137"/>
      <c r="K94" s="58" t="str" cm="1">
        <f>IF(ISBLANK($A94),"",INDEX(Array_WaterCharges,MATCH($A94,List_WaterMeters,0),ROUNDUP((COLUMN()+0)/3-1,0)))</f>
        <v/>
      </c>
      <c r="L94" s="127"/>
      <c r="M94" s="137"/>
      <c r="N94" s="58" t="str" cm="1">
        <f>IF(ISBLANK($A94),"",INDEX(Array_WaterCharges,MATCH($A94,List_WaterMeters,0),ROUNDUP((COLUMN()+0)/3-1,0)))</f>
        <v/>
      </c>
      <c r="O94" s="127"/>
      <c r="P94" s="137"/>
      <c r="Q94" s="58" t="str" cm="1">
        <f>IF(ISBLANK($A94),"",INDEX(Array_WaterCharges,MATCH($A94,List_WaterMeters,0),ROUNDUP((COLUMN()+0)/3-1,0)))</f>
        <v/>
      </c>
      <c r="R94" s="127"/>
      <c r="S94" s="137"/>
      <c r="T94" s="58" t="str" cm="1">
        <f>IF(ISBLANK($A94),"",INDEX(Array_WaterCharges,MATCH($A94,List_WaterMeters,0),ROUNDUP((COLUMN()+0)/3-1,0)))</f>
        <v/>
      </c>
      <c r="U94" s="127"/>
      <c r="V94" s="137"/>
      <c r="W94" s="58" t="str" cm="1">
        <f>IF(ISBLANK($A94),"",INDEX(Array_WaterCharges,MATCH($A94,List_WaterMeters,0),ROUNDUP((COLUMN()+0)/3-1,0)))</f>
        <v/>
      </c>
      <c r="X94" s="127"/>
      <c r="Y94" s="137"/>
      <c r="Z94" s="58" t="str" cm="1">
        <f>IF(ISBLANK($A94),"",INDEX(Array_WaterCharges,MATCH($A94,List_WaterMeters,0),ROUNDUP((COLUMN()+0)/3-1,0)))</f>
        <v/>
      </c>
      <c r="AA94" s="127"/>
      <c r="AB94" s="137"/>
      <c r="AC94" s="58" t="str" cm="1">
        <f>IF(ISBLANK($A94),"",INDEX(Array_WaterCharges,MATCH($A94,List_WaterMeters,0),ROUNDUP((COLUMN()+0)/3-1,0)))</f>
        <v/>
      </c>
      <c r="AD94" s="127"/>
      <c r="AE94" s="137"/>
      <c r="AF94" s="58" t="str" cm="1">
        <f>IF(ISBLANK($A94),"",INDEX(Array_WaterCharges,MATCH($A94,List_WaterMeters,0),ROUNDUP((COLUMN()+0)/3-1,0)))</f>
        <v/>
      </c>
      <c r="AG94" s="127"/>
      <c r="AH94" s="137"/>
    </row>
    <row r="95" spans="1:34" x14ac:dyDescent="0.3">
      <c r="A95" s="126"/>
      <c r="B95" s="133"/>
      <c r="C95" s="127"/>
      <c r="D95" s="137"/>
      <c r="E95" s="58" t="str" cm="1">
        <f>IF(ISBLANK($A95),"",INDEX(Array_WaterCharges,MATCH($A95,List_WaterMeters,0),ROUNDUP((COLUMN()+0)/3-1,0)))</f>
        <v/>
      </c>
      <c r="F95" s="127"/>
      <c r="G95" s="137"/>
      <c r="H95" s="58" t="str" cm="1">
        <f>IF(ISBLANK($A95),"",INDEX(Array_WaterCharges,MATCH($A95,List_WaterMeters,0),ROUNDUP((COLUMN()+0)/3-1,0)))</f>
        <v/>
      </c>
      <c r="I95" s="127"/>
      <c r="J95" s="137"/>
      <c r="K95" s="58" t="str" cm="1">
        <f>IF(ISBLANK($A95),"",INDEX(Array_WaterCharges,MATCH($A95,List_WaterMeters,0),ROUNDUP((COLUMN()+0)/3-1,0)))</f>
        <v/>
      </c>
      <c r="L95" s="127"/>
      <c r="M95" s="137"/>
      <c r="N95" s="58" t="str" cm="1">
        <f>IF(ISBLANK($A95),"",INDEX(Array_WaterCharges,MATCH($A95,List_WaterMeters,0),ROUNDUP((COLUMN()+0)/3-1,0)))</f>
        <v/>
      </c>
      <c r="O95" s="127"/>
      <c r="P95" s="137"/>
      <c r="Q95" s="58" t="str" cm="1">
        <f>IF(ISBLANK($A95),"",INDEX(Array_WaterCharges,MATCH($A95,List_WaterMeters,0),ROUNDUP((COLUMN()+0)/3-1,0)))</f>
        <v/>
      </c>
      <c r="R95" s="127"/>
      <c r="S95" s="137"/>
      <c r="T95" s="58" t="str" cm="1">
        <f>IF(ISBLANK($A95),"",INDEX(Array_WaterCharges,MATCH($A95,List_WaterMeters,0),ROUNDUP((COLUMN()+0)/3-1,0)))</f>
        <v/>
      </c>
      <c r="U95" s="127"/>
      <c r="V95" s="137"/>
      <c r="W95" s="58" t="str" cm="1">
        <f>IF(ISBLANK($A95),"",INDEX(Array_WaterCharges,MATCH($A95,List_WaterMeters,0),ROUNDUP((COLUMN()+0)/3-1,0)))</f>
        <v/>
      </c>
      <c r="X95" s="127"/>
      <c r="Y95" s="137"/>
      <c r="Z95" s="58" t="str" cm="1">
        <f>IF(ISBLANK($A95),"",INDEX(Array_WaterCharges,MATCH($A95,List_WaterMeters,0),ROUNDUP((COLUMN()+0)/3-1,0)))</f>
        <v/>
      </c>
      <c r="AA95" s="127"/>
      <c r="AB95" s="137"/>
      <c r="AC95" s="58" t="str" cm="1">
        <f>IF(ISBLANK($A95),"",INDEX(Array_WaterCharges,MATCH($A95,List_WaterMeters,0),ROUNDUP((COLUMN()+0)/3-1,0)))</f>
        <v/>
      </c>
      <c r="AD95" s="127"/>
      <c r="AE95" s="137"/>
      <c r="AF95" s="58" t="str" cm="1">
        <f>IF(ISBLANK($A95),"",INDEX(Array_WaterCharges,MATCH($A95,List_WaterMeters,0),ROUNDUP((COLUMN()+0)/3-1,0)))</f>
        <v/>
      </c>
      <c r="AG95" s="127"/>
      <c r="AH95" s="137"/>
    </row>
    <row r="96" spans="1:34" x14ac:dyDescent="0.3">
      <c r="A96" s="126"/>
      <c r="B96" s="133"/>
      <c r="C96" s="127"/>
      <c r="D96" s="137"/>
      <c r="E96" s="58" t="str" cm="1">
        <f>IF(ISBLANK($A96),"",INDEX(Array_WaterCharges,MATCH($A96,List_WaterMeters,0),ROUNDUP((COLUMN()+0)/3-1,0)))</f>
        <v/>
      </c>
      <c r="F96" s="127"/>
      <c r="G96" s="137"/>
      <c r="H96" s="58" t="str" cm="1">
        <f>IF(ISBLANK($A96),"",INDEX(Array_WaterCharges,MATCH($A96,List_WaterMeters,0),ROUNDUP((COLUMN()+0)/3-1,0)))</f>
        <v/>
      </c>
      <c r="I96" s="127"/>
      <c r="J96" s="137"/>
      <c r="K96" s="58" t="str" cm="1">
        <f>IF(ISBLANK($A96),"",INDEX(Array_WaterCharges,MATCH($A96,List_WaterMeters,0),ROUNDUP((COLUMN()+0)/3-1,0)))</f>
        <v/>
      </c>
      <c r="L96" s="127"/>
      <c r="M96" s="137"/>
      <c r="N96" s="58" t="str" cm="1">
        <f>IF(ISBLANK($A96),"",INDEX(Array_WaterCharges,MATCH($A96,List_WaterMeters,0),ROUNDUP((COLUMN()+0)/3-1,0)))</f>
        <v/>
      </c>
      <c r="O96" s="127"/>
      <c r="P96" s="137"/>
      <c r="Q96" s="58" t="str" cm="1">
        <f>IF(ISBLANK($A96),"",INDEX(Array_WaterCharges,MATCH($A96,List_WaterMeters,0),ROUNDUP((COLUMN()+0)/3-1,0)))</f>
        <v/>
      </c>
      <c r="R96" s="127"/>
      <c r="S96" s="137"/>
      <c r="T96" s="58" t="str" cm="1">
        <f>IF(ISBLANK($A96),"",INDEX(Array_WaterCharges,MATCH($A96,List_WaterMeters,0),ROUNDUP((COLUMN()+0)/3-1,0)))</f>
        <v/>
      </c>
      <c r="U96" s="127"/>
      <c r="V96" s="137"/>
      <c r="W96" s="58" t="str" cm="1">
        <f>IF(ISBLANK($A96),"",INDEX(Array_WaterCharges,MATCH($A96,List_WaterMeters,0),ROUNDUP((COLUMN()+0)/3-1,0)))</f>
        <v/>
      </c>
      <c r="X96" s="127"/>
      <c r="Y96" s="137"/>
      <c r="Z96" s="58" t="str" cm="1">
        <f>IF(ISBLANK($A96),"",INDEX(Array_WaterCharges,MATCH($A96,List_WaterMeters,0),ROUNDUP((COLUMN()+0)/3-1,0)))</f>
        <v/>
      </c>
      <c r="AA96" s="127"/>
      <c r="AB96" s="137"/>
      <c r="AC96" s="58" t="str" cm="1">
        <f>IF(ISBLANK($A96),"",INDEX(Array_WaterCharges,MATCH($A96,List_WaterMeters,0),ROUNDUP((COLUMN()+0)/3-1,0)))</f>
        <v/>
      </c>
      <c r="AD96" s="127"/>
      <c r="AE96" s="137"/>
      <c r="AF96" s="58" t="str" cm="1">
        <f>IF(ISBLANK($A96),"",INDEX(Array_WaterCharges,MATCH($A96,List_WaterMeters,0),ROUNDUP((COLUMN()+0)/3-1,0)))</f>
        <v/>
      </c>
      <c r="AG96" s="127"/>
      <c r="AH96" s="137"/>
    </row>
    <row r="97" spans="1:34" x14ac:dyDescent="0.3">
      <c r="A97" s="126"/>
      <c r="B97" s="133"/>
      <c r="C97" s="127"/>
      <c r="D97" s="137"/>
      <c r="E97" s="58" t="str" cm="1">
        <f>IF(ISBLANK($A97),"",INDEX(Array_WaterCharges,MATCH($A97,List_WaterMeters,0),ROUNDUP((COLUMN()+0)/3-1,0)))</f>
        <v/>
      </c>
      <c r="F97" s="127"/>
      <c r="G97" s="137"/>
      <c r="H97" s="58" t="str" cm="1">
        <f>IF(ISBLANK($A97),"",INDEX(Array_WaterCharges,MATCH($A97,List_WaterMeters,0),ROUNDUP((COLUMN()+0)/3-1,0)))</f>
        <v/>
      </c>
      <c r="I97" s="127"/>
      <c r="J97" s="137"/>
      <c r="K97" s="58" t="str" cm="1">
        <f>IF(ISBLANK($A97),"",INDEX(Array_WaterCharges,MATCH($A97,List_WaterMeters,0),ROUNDUP((COLUMN()+0)/3-1,0)))</f>
        <v/>
      </c>
      <c r="L97" s="127"/>
      <c r="M97" s="137"/>
      <c r="N97" s="58" t="str" cm="1">
        <f>IF(ISBLANK($A97),"",INDEX(Array_WaterCharges,MATCH($A97,List_WaterMeters,0),ROUNDUP((COLUMN()+0)/3-1,0)))</f>
        <v/>
      </c>
      <c r="O97" s="127"/>
      <c r="P97" s="137"/>
      <c r="Q97" s="58" t="str" cm="1">
        <f>IF(ISBLANK($A97),"",INDEX(Array_WaterCharges,MATCH($A97,List_WaterMeters,0),ROUNDUP((COLUMN()+0)/3-1,0)))</f>
        <v/>
      </c>
      <c r="R97" s="127"/>
      <c r="S97" s="137"/>
      <c r="T97" s="58" t="str" cm="1">
        <f>IF(ISBLANK($A97),"",INDEX(Array_WaterCharges,MATCH($A97,List_WaterMeters,0),ROUNDUP((COLUMN()+0)/3-1,0)))</f>
        <v/>
      </c>
      <c r="U97" s="127"/>
      <c r="V97" s="137"/>
      <c r="W97" s="58" t="str" cm="1">
        <f>IF(ISBLANK($A97),"",INDEX(Array_WaterCharges,MATCH($A97,List_WaterMeters,0),ROUNDUP((COLUMN()+0)/3-1,0)))</f>
        <v/>
      </c>
      <c r="X97" s="127"/>
      <c r="Y97" s="137"/>
      <c r="Z97" s="58" t="str" cm="1">
        <f>IF(ISBLANK($A97),"",INDEX(Array_WaterCharges,MATCH($A97,List_WaterMeters,0),ROUNDUP((COLUMN()+0)/3-1,0)))</f>
        <v/>
      </c>
      <c r="AA97" s="127"/>
      <c r="AB97" s="137"/>
      <c r="AC97" s="58" t="str" cm="1">
        <f>IF(ISBLANK($A97),"",INDEX(Array_WaterCharges,MATCH($A97,List_WaterMeters,0),ROUNDUP((COLUMN()+0)/3-1,0)))</f>
        <v/>
      </c>
      <c r="AD97" s="127"/>
      <c r="AE97" s="137"/>
      <c r="AF97" s="58" t="str" cm="1">
        <f>IF(ISBLANK($A97),"",INDEX(Array_WaterCharges,MATCH($A97,List_WaterMeters,0),ROUNDUP((COLUMN()+0)/3-1,0)))</f>
        <v/>
      </c>
      <c r="AG97" s="127"/>
      <c r="AH97" s="137"/>
    </row>
    <row r="98" spans="1:34" x14ac:dyDescent="0.3">
      <c r="A98" s="126"/>
      <c r="B98" s="133"/>
      <c r="C98" s="127"/>
      <c r="D98" s="137"/>
      <c r="E98" s="58" t="str" cm="1">
        <f>IF(ISBLANK($A98),"",INDEX(Array_WaterCharges,MATCH($A98,List_WaterMeters,0),ROUNDUP((COLUMN()+0)/3-1,0)))</f>
        <v/>
      </c>
      <c r="F98" s="127"/>
      <c r="G98" s="137"/>
      <c r="H98" s="58" t="str" cm="1">
        <f>IF(ISBLANK($A98),"",INDEX(Array_WaterCharges,MATCH($A98,List_WaterMeters,0),ROUNDUP((COLUMN()+0)/3-1,0)))</f>
        <v/>
      </c>
      <c r="I98" s="127"/>
      <c r="J98" s="137"/>
      <c r="K98" s="58" t="str" cm="1">
        <f>IF(ISBLANK($A98),"",INDEX(Array_WaterCharges,MATCH($A98,List_WaterMeters,0),ROUNDUP((COLUMN()+0)/3-1,0)))</f>
        <v/>
      </c>
      <c r="L98" s="127"/>
      <c r="M98" s="137"/>
      <c r="N98" s="58" t="str" cm="1">
        <f>IF(ISBLANK($A98),"",INDEX(Array_WaterCharges,MATCH($A98,List_WaterMeters,0),ROUNDUP((COLUMN()+0)/3-1,0)))</f>
        <v/>
      </c>
      <c r="O98" s="127"/>
      <c r="P98" s="137"/>
      <c r="Q98" s="58" t="str" cm="1">
        <f>IF(ISBLANK($A98),"",INDEX(Array_WaterCharges,MATCH($A98,List_WaterMeters,0),ROUNDUP((COLUMN()+0)/3-1,0)))</f>
        <v/>
      </c>
      <c r="R98" s="127"/>
      <c r="S98" s="137"/>
      <c r="T98" s="58" t="str" cm="1">
        <f>IF(ISBLANK($A98),"",INDEX(Array_WaterCharges,MATCH($A98,List_WaterMeters,0),ROUNDUP((COLUMN()+0)/3-1,0)))</f>
        <v/>
      </c>
      <c r="U98" s="127"/>
      <c r="V98" s="137"/>
      <c r="W98" s="58" t="str" cm="1">
        <f>IF(ISBLANK($A98),"",INDEX(Array_WaterCharges,MATCH($A98,List_WaterMeters,0),ROUNDUP((COLUMN()+0)/3-1,0)))</f>
        <v/>
      </c>
      <c r="X98" s="127"/>
      <c r="Y98" s="137"/>
      <c r="Z98" s="58" t="str" cm="1">
        <f>IF(ISBLANK($A98),"",INDEX(Array_WaterCharges,MATCH($A98,List_WaterMeters,0),ROUNDUP((COLUMN()+0)/3-1,0)))</f>
        <v/>
      </c>
      <c r="AA98" s="127"/>
      <c r="AB98" s="137"/>
      <c r="AC98" s="58" t="str" cm="1">
        <f>IF(ISBLANK($A98),"",INDEX(Array_WaterCharges,MATCH($A98,List_WaterMeters,0),ROUNDUP((COLUMN()+0)/3-1,0)))</f>
        <v/>
      </c>
      <c r="AD98" s="127"/>
      <c r="AE98" s="137"/>
      <c r="AF98" s="58" t="str" cm="1">
        <f>IF(ISBLANK($A98),"",INDEX(Array_WaterCharges,MATCH($A98,List_WaterMeters,0),ROUNDUP((COLUMN()+0)/3-1,0)))</f>
        <v/>
      </c>
      <c r="AG98" s="127"/>
      <c r="AH98" s="137"/>
    </row>
    <row r="99" spans="1:34" x14ac:dyDescent="0.3">
      <c r="A99" s="126"/>
      <c r="B99" s="133"/>
      <c r="C99" s="127"/>
      <c r="D99" s="137"/>
      <c r="E99" s="58" t="str" cm="1">
        <f>IF(ISBLANK($A99),"",INDEX(Array_WaterCharges,MATCH($A99,List_WaterMeters,0),ROUNDUP((COLUMN()+0)/3-1,0)))</f>
        <v/>
      </c>
      <c r="F99" s="127"/>
      <c r="G99" s="137"/>
      <c r="H99" s="58" t="str" cm="1">
        <f>IF(ISBLANK($A99),"",INDEX(Array_WaterCharges,MATCH($A99,List_WaterMeters,0),ROUNDUP((COLUMN()+0)/3-1,0)))</f>
        <v/>
      </c>
      <c r="I99" s="127"/>
      <c r="J99" s="137"/>
      <c r="K99" s="58" t="str" cm="1">
        <f>IF(ISBLANK($A99),"",INDEX(Array_WaterCharges,MATCH($A99,List_WaterMeters,0),ROUNDUP((COLUMN()+0)/3-1,0)))</f>
        <v/>
      </c>
      <c r="L99" s="127"/>
      <c r="M99" s="137"/>
      <c r="N99" s="58" t="str" cm="1">
        <f>IF(ISBLANK($A99),"",INDEX(Array_WaterCharges,MATCH($A99,List_WaterMeters,0),ROUNDUP((COLUMN()+0)/3-1,0)))</f>
        <v/>
      </c>
      <c r="O99" s="127"/>
      <c r="P99" s="137"/>
      <c r="Q99" s="58" t="str" cm="1">
        <f>IF(ISBLANK($A99),"",INDEX(Array_WaterCharges,MATCH($A99,List_WaterMeters,0),ROUNDUP((COLUMN()+0)/3-1,0)))</f>
        <v/>
      </c>
      <c r="R99" s="127"/>
      <c r="S99" s="137"/>
      <c r="T99" s="58" t="str" cm="1">
        <f>IF(ISBLANK($A99),"",INDEX(Array_WaterCharges,MATCH($A99,List_WaterMeters,0),ROUNDUP((COLUMN()+0)/3-1,0)))</f>
        <v/>
      </c>
      <c r="U99" s="127"/>
      <c r="V99" s="137"/>
      <c r="W99" s="58" t="str" cm="1">
        <f>IF(ISBLANK($A99),"",INDEX(Array_WaterCharges,MATCH($A99,List_WaterMeters,0),ROUNDUP((COLUMN()+0)/3-1,0)))</f>
        <v/>
      </c>
      <c r="X99" s="127"/>
      <c r="Y99" s="137"/>
      <c r="Z99" s="58" t="str" cm="1">
        <f>IF(ISBLANK($A99),"",INDEX(Array_WaterCharges,MATCH($A99,List_WaterMeters,0),ROUNDUP((COLUMN()+0)/3-1,0)))</f>
        <v/>
      </c>
      <c r="AA99" s="127"/>
      <c r="AB99" s="137"/>
      <c r="AC99" s="58" t="str" cm="1">
        <f>IF(ISBLANK($A99),"",INDEX(Array_WaterCharges,MATCH($A99,List_WaterMeters,0),ROUNDUP((COLUMN()+0)/3-1,0)))</f>
        <v/>
      </c>
      <c r="AD99" s="127"/>
      <c r="AE99" s="137"/>
      <c r="AF99" s="58" t="str" cm="1">
        <f>IF(ISBLANK($A99),"",INDEX(Array_WaterCharges,MATCH($A99,List_WaterMeters,0),ROUNDUP((COLUMN()+0)/3-1,0)))</f>
        <v/>
      </c>
      <c r="AG99" s="127"/>
      <c r="AH99" s="137"/>
    </row>
    <row r="100" spans="1:34" x14ac:dyDescent="0.3">
      <c r="A100" s="126"/>
      <c r="B100" s="133"/>
      <c r="C100" s="127"/>
      <c r="D100" s="137"/>
      <c r="E100" s="58" t="str" cm="1">
        <f>IF(ISBLANK($A100),"",INDEX(Array_WaterCharges,MATCH($A100,List_WaterMeters,0),ROUNDUP((COLUMN()+0)/3-1,0)))</f>
        <v/>
      </c>
      <c r="F100" s="127"/>
      <c r="G100" s="137"/>
      <c r="H100" s="58" t="str" cm="1">
        <f>IF(ISBLANK($A100),"",INDEX(Array_WaterCharges,MATCH($A100,List_WaterMeters,0),ROUNDUP((COLUMN()+0)/3-1,0)))</f>
        <v/>
      </c>
      <c r="I100" s="127"/>
      <c r="J100" s="137"/>
      <c r="K100" s="58" t="str" cm="1">
        <f>IF(ISBLANK($A100),"",INDEX(Array_WaterCharges,MATCH($A100,List_WaterMeters,0),ROUNDUP((COLUMN()+0)/3-1,0)))</f>
        <v/>
      </c>
      <c r="L100" s="127"/>
      <c r="M100" s="137"/>
      <c r="N100" s="58" t="str" cm="1">
        <f>IF(ISBLANK($A100),"",INDEX(Array_WaterCharges,MATCH($A100,List_WaterMeters,0),ROUNDUP((COLUMN()+0)/3-1,0)))</f>
        <v/>
      </c>
      <c r="O100" s="127"/>
      <c r="P100" s="137"/>
      <c r="Q100" s="58" t="str" cm="1">
        <f>IF(ISBLANK($A100),"",INDEX(Array_WaterCharges,MATCH($A100,List_WaterMeters,0),ROUNDUP((COLUMN()+0)/3-1,0)))</f>
        <v/>
      </c>
      <c r="R100" s="127"/>
      <c r="S100" s="137"/>
      <c r="T100" s="58" t="str" cm="1">
        <f>IF(ISBLANK($A100),"",INDEX(Array_WaterCharges,MATCH($A100,List_WaterMeters,0),ROUNDUP((COLUMN()+0)/3-1,0)))</f>
        <v/>
      </c>
      <c r="U100" s="127"/>
      <c r="V100" s="137"/>
      <c r="W100" s="58" t="str" cm="1">
        <f>IF(ISBLANK($A100),"",INDEX(Array_WaterCharges,MATCH($A100,List_WaterMeters,0),ROUNDUP((COLUMN()+0)/3-1,0)))</f>
        <v/>
      </c>
      <c r="X100" s="127"/>
      <c r="Y100" s="137"/>
      <c r="Z100" s="58" t="str" cm="1">
        <f>IF(ISBLANK($A100),"",INDEX(Array_WaterCharges,MATCH($A100,List_WaterMeters,0),ROUNDUP((COLUMN()+0)/3-1,0)))</f>
        <v/>
      </c>
      <c r="AA100" s="127"/>
      <c r="AB100" s="137"/>
      <c r="AC100" s="58" t="str" cm="1">
        <f>IF(ISBLANK($A100),"",INDEX(Array_WaterCharges,MATCH($A100,List_WaterMeters,0),ROUNDUP((COLUMN()+0)/3-1,0)))</f>
        <v/>
      </c>
      <c r="AD100" s="127"/>
      <c r="AE100" s="137"/>
      <c r="AF100" s="58" t="str" cm="1">
        <f>IF(ISBLANK($A100),"",INDEX(Array_WaterCharges,MATCH($A100,List_WaterMeters,0),ROUNDUP((COLUMN()+0)/3-1,0)))</f>
        <v/>
      </c>
      <c r="AG100" s="127"/>
      <c r="AH100" s="137"/>
    </row>
    <row r="101" spans="1:34" x14ac:dyDescent="0.3">
      <c r="A101" s="126"/>
      <c r="B101" s="133"/>
      <c r="C101" s="127"/>
      <c r="D101" s="137"/>
      <c r="E101" s="58" t="str" cm="1">
        <f>IF(ISBLANK($A101),"",INDEX(Array_WaterCharges,MATCH($A101,List_WaterMeters,0),ROUNDUP((COLUMN()+0)/3-1,0)))</f>
        <v/>
      </c>
      <c r="F101" s="127"/>
      <c r="G101" s="137"/>
      <c r="H101" s="58" t="str" cm="1">
        <f>IF(ISBLANK($A101),"",INDEX(Array_WaterCharges,MATCH($A101,List_WaterMeters,0),ROUNDUP((COLUMN()+0)/3-1,0)))</f>
        <v/>
      </c>
      <c r="I101" s="127"/>
      <c r="J101" s="137"/>
      <c r="K101" s="58" t="str" cm="1">
        <f>IF(ISBLANK($A101),"",INDEX(Array_WaterCharges,MATCH($A101,List_WaterMeters,0),ROUNDUP((COLUMN()+0)/3-1,0)))</f>
        <v/>
      </c>
      <c r="L101" s="127"/>
      <c r="M101" s="137"/>
      <c r="N101" s="58" t="str" cm="1">
        <f>IF(ISBLANK($A101),"",INDEX(Array_WaterCharges,MATCH($A101,List_WaterMeters,0),ROUNDUP((COLUMN()+0)/3-1,0)))</f>
        <v/>
      </c>
      <c r="O101" s="127"/>
      <c r="P101" s="137"/>
      <c r="Q101" s="58" t="str" cm="1">
        <f>IF(ISBLANK($A101),"",INDEX(Array_WaterCharges,MATCH($A101,List_WaterMeters,0),ROUNDUP((COLUMN()+0)/3-1,0)))</f>
        <v/>
      </c>
      <c r="R101" s="127"/>
      <c r="S101" s="137"/>
      <c r="T101" s="58" t="str" cm="1">
        <f>IF(ISBLANK($A101),"",INDEX(Array_WaterCharges,MATCH($A101,List_WaterMeters,0),ROUNDUP((COLUMN()+0)/3-1,0)))</f>
        <v/>
      </c>
      <c r="U101" s="127"/>
      <c r="V101" s="137"/>
      <c r="W101" s="58" t="str" cm="1">
        <f>IF(ISBLANK($A101),"",INDEX(Array_WaterCharges,MATCH($A101,List_WaterMeters,0),ROUNDUP((COLUMN()+0)/3-1,0)))</f>
        <v/>
      </c>
      <c r="X101" s="127"/>
      <c r="Y101" s="137"/>
      <c r="Z101" s="58" t="str" cm="1">
        <f>IF(ISBLANK($A101),"",INDEX(Array_WaterCharges,MATCH($A101,List_WaterMeters,0),ROUNDUP((COLUMN()+0)/3-1,0)))</f>
        <v/>
      </c>
      <c r="AA101" s="127"/>
      <c r="AB101" s="137"/>
      <c r="AC101" s="58" t="str" cm="1">
        <f>IF(ISBLANK($A101),"",INDEX(Array_WaterCharges,MATCH($A101,List_WaterMeters,0),ROUNDUP((COLUMN()+0)/3-1,0)))</f>
        <v/>
      </c>
      <c r="AD101" s="127"/>
      <c r="AE101" s="137"/>
      <c r="AF101" s="58" t="str" cm="1">
        <f>IF(ISBLANK($A101),"",INDEX(Array_WaterCharges,MATCH($A101,List_WaterMeters,0),ROUNDUP((COLUMN()+0)/3-1,0)))</f>
        <v/>
      </c>
      <c r="AG101" s="127"/>
      <c r="AH101" s="137"/>
    </row>
    <row r="102" spans="1:34" x14ac:dyDescent="0.3">
      <c r="A102" s="126"/>
      <c r="B102" s="133"/>
      <c r="C102" s="127"/>
      <c r="D102" s="137"/>
      <c r="E102" s="58" t="str" cm="1">
        <f>IF(ISBLANK($A102),"",INDEX(Array_WaterCharges,MATCH($A102,List_WaterMeters,0),ROUNDUP((COLUMN()+0)/3-1,0)))</f>
        <v/>
      </c>
      <c r="F102" s="127"/>
      <c r="G102" s="137"/>
      <c r="H102" s="58" t="str" cm="1">
        <f>IF(ISBLANK($A102),"",INDEX(Array_WaterCharges,MATCH($A102,List_WaterMeters,0),ROUNDUP((COLUMN()+0)/3-1,0)))</f>
        <v/>
      </c>
      <c r="I102" s="127"/>
      <c r="J102" s="137"/>
      <c r="K102" s="58" t="str" cm="1">
        <f>IF(ISBLANK($A102),"",INDEX(Array_WaterCharges,MATCH($A102,List_WaterMeters,0),ROUNDUP((COLUMN()+0)/3-1,0)))</f>
        <v/>
      </c>
      <c r="L102" s="127"/>
      <c r="M102" s="137"/>
      <c r="N102" s="58" t="str" cm="1">
        <f>IF(ISBLANK($A102),"",INDEX(Array_WaterCharges,MATCH($A102,List_WaterMeters,0),ROUNDUP((COLUMN()+0)/3-1,0)))</f>
        <v/>
      </c>
      <c r="O102" s="127"/>
      <c r="P102" s="137"/>
      <c r="Q102" s="58" t="str" cm="1">
        <f>IF(ISBLANK($A102),"",INDEX(Array_WaterCharges,MATCH($A102,List_WaterMeters,0),ROUNDUP((COLUMN()+0)/3-1,0)))</f>
        <v/>
      </c>
      <c r="R102" s="127"/>
      <c r="S102" s="137"/>
      <c r="T102" s="58" t="str" cm="1">
        <f>IF(ISBLANK($A102),"",INDEX(Array_WaterCharges,MATCH($A102,List_WaterMeters,0),ROUNDUP((COLUMN()+0)/3-1,0)))</f>
        <v/>
      </c>
      <c r="U102" s="127"/>
      <c r="V102" s="137"/>
      <c r="W102" s="58" t="str" cm="1">
        <f>IF(ISBLANK($A102),"",INDEX(Array_WaterCharges,MATCH($A102,List_WaterMeters,0),ROUNDUP((COLUMN()+0)/3-1,0)))</f>
        <v/>
      </c>
      <c r="X102" s="127"/>
      <c r="Y102" s="137"/>
      <c r="Z102" s="58" t="str" cm="1">
        <f>IF(ISBLANK($A102),"",INDEX(Array_WaterCharges,MATCH($A102,List_WaterMeters,0),ROUNDUP((COLUMN()+0)/3-1,0)))</f>
        <v/>
      </c>
      <c r="AA102" s="127"/>
      <c r="AB102" s="137"/>
      <c r="AC102" s="58" t="str" cm="1">
        <f>IF(ISBLANK($A102),"",INDEX(Array_WaterCharges,MATCH($A102,List_WaterMeters,0),ROUNDUP((COLUMN()+0)/3-1,0)))</f>
        <v/>
      </c>
      <c r="AD102" s="127"/>
      <c r="AE102" s="137"/>
      <c r="AF102" s="58" t="str" cm="1">
        <f>IF(ISBLANK($A102),"",INDEX(Array_WaterCharges,MATCH($A102,List_WaterMeters,0),ROUNDUP((COLUMN()+0)/3-1,0)))</f>
        <v/>
      </c>
      <c r="AG102" s="127"/>
      <c r="AH102" s="137"/>
    </row>
    <row r="103" spans="1:34" x14ac:dyDescent="0.3">
      <c r="A103" s="126"/>
      <c r="B103" s="133"/>
      <c r="C103" s="127"/>
      <c r="D103" s="137"/>
      <c r="E103" s="58" t="str" cm="1">
        <f>IF(ISBLANK($A103),"",INDEX(Array_WaterCharges,MATCH($A103,List_WaterMeters,0),ROUNDUP((COLUMN()+0)/3-1,0)))</f>
        <v/>
      </c>
      <c r="F103" s="127"/>
      <c r="G103" s="137"/>
      <c r="H103" s="58" t="str" cm="1">
        <f>IF(ISBLANK($A103),"",INDEX(Array_WaterCharges,MATCH($A103,List_WaterMeters,0),ROUNDUP((COLUMN()+0)/3-1,0)))</f>
        <v/>
      </c>
      <c r="I103" s="127"/>
      <c r="J103" s="137"/>
      <c r="K103" s="58" t="str" cm="1">
        <f>IF(ISBLANK($A103),"",INDEX(Array_WaterCharges,MATCH($A103,List_WaterMeters,0),ROUNDUP((COLUMN()+0)/3-1,0)))</f>
        <v/>
      </c>
      <c r="L103" s="127"/>
      <c r="M103" s="137"/>
      <c r="N103" s="58" t="str" cm="1">
        <f>IF(ISBLANK($A103),"",INDEX(Array_WaterCharges,MATCH($A103,List_WaterMeters,0),ROUNDUP((COLUMN()+0)/3-1,0)))</f>
        <v/>
      </c>
      <c r="O103" s="127"/>
      <c r="P103" s="137"/>
      <c r="Q103" s="58" t="str" cm="1">
        <f>IF(ISBLANK($A103),"",INDEX(Array_WaterCharges,MATCH($A103,List_WaterMeters,0),ROUNDUP((COLUMN()+0)/3-1,0)))</f>
        <v/>
      </c>
      <c r="R103" s="127"/>
      <c r="S103" s="137"/>
      <c r="T103" s="58" t="str" cm="1">
        <f>IF(ISBLANK($A103),"",INDEX(Array_WaterCharges,MATCH($A103,List_WaterMeters,0),ROUNDUP((COLUMN()+0)/3-1,0)))</f>
        <v/>
      </c>
      <c r="U103" s="127"/>
      <c r="V103" s="137"/>
      <c r="W103" s="58" t="str" cm="1">
        <f>IF(ISBLANK($A103),"",INDEX(Array_WaterCharges,MATCH($A103,List_WaterMeters,0),ROUNDUP((COLUMN()+0)/3-1,0)))</f>
        <v/>
      </c>
      <c r="X103" s="127"/>
      <c r="Y103" s="137"/>
      <c r="Z103" s="58" t="str" cm="1">
        <f>IF(ISBLANK($A103),"",INDEX(Array_WaterCharges,MATCH($A103,List_WaterMeters,0),ROUNDUP((COLUMN()+0)/3-1,0)))</f>
        <v/>
      </c>
      <c r="AA103" s="127"/>
      <c r="AB103" s="137"/>
      <c r="AC103" s="58" t="str" cm="1">
        <f>IF(ISBLANK($A103),"",INDEX(Array_WaterCharges,MATCH($A103,List_WaterMeters,0),ROUNDUP((COLUMN()+0)/3-1,0)))</f>
        <v/>
      </c>
      <c r="AD103" s="127"/>
      <c r="AE103" s="137"/>
      <c r="AF103" s="58" t="str" cm="1">
        <f>IF(ISBLANK($A103),"",INDEX(Array_WaterCharges,MATCH($A103,List_WaterMeters,0),ROUNDUP((COLUMN()+0)/3-1,0)))</f>
        <v/>
      </c>
      <c r="AG103" s="127"/>
      <c r="AH103" s="137"/>
    </row>
    <row r="104" spans="1:34" x14ac:dyDescent="0.3">
      <c r="A104" s="126"/>
      <c r="B104" s="133"/>
      <c r="C104" s="127"/>
      <c r="D104" s="137"/>
      <c r="E104" s="58" t="str" cm="1">
        <f>IF(ISBLANK($A104),"",INDEX(Array_WaterCharges,MATCH($A104,List_WaterMeters,0),ROUNDUP((COLUMN()+0)/3-1,0)))</f>
        <v/>
      </c>
      <c r="F104" s="127"/>
      <c r="G104" s="137"/>
      <c r="H104" s="58" t="str" cm="1">
        <f>IF(ISBLANK($A104),"",INDEX(Array_WaterCharges,MATCH($A104,List_WaterMeters,0),ROUNDUP((COLUMN()+0)/3-1,0)))</f>
        <v/>
      </c>
      <c r="I104" s="127"/>
      <c r="J104" s="137"/>
      <c r="K104" s="58" t="str" cm="1">
        <f>IF(ISBLANK($A104),"",INDEX(Array_WaterCharges,MATCH($A104,List_WaterMeters,0),ROUNDUP((COLUMN()+0)/3-1,0)))</f>
        <v/>
      </c>
      <c r="L104" s="127"/>
      <c r="M104" s="137"/>
      <c r="N104" s="58" t="str" cm="1">
        <f>IF(ISBLANK($A104),"",INDEX(Array_WaterCharges,MATCH($A104,List_WaterMeters,0),ROUNDUP((COLUMN()+0)/3-1,0)))</f>
        <v/>
      </c>
      <c r="O104" s="127"/>
      <c r="P104" s="137"/>
      <c r="Q104" s="58" t="str" cm="1">
        <f>IF(ISBLANK($A104),"",INDEX(Array_WaterCharges,MATCH($A104,List_WaterMeters,0),ROUNDUP((COLUMN()+0)/3-1,0)))</f>
        <v/>
      </c>
      <c r="R104" s="127"/>
      <c r="S104" s="137"/>
      <c r="T104" s="58" t="str" cm="1">
        <f>IF(ISBLANK($A104),"",INDEX(Array_WaterCharges,MATCH($A104,List_WaterMeters,0),ROUNDUP((COLUMN()+0)/3-1,0)))</f>
        <v/>
      </c>
      <c r="U104" s="127"/>
      <c r="V104" s="137"/>
      <c r="W104" s="58" t="str" cm="1">
        <f>IF(ISBLANK($A104),"",INDEX(Array_WaterCharges,MATCH($A104,List_WaterMeters,0),ROUNDUP((COLUMN()+0)/3-1,0)))</f>
        <v/>
      </c>
      <c r="X104" s="127"/>
      <c r="Y104" s="137"/>
      <c r="Z104" s="58" t="str" cm="1">
        <f>IF(ISBLANK($A104),"",INDEX(Array_WaterCharges,MATCH($A104,List_WaterMeters,0),ROUNDUP((COLUMN()+0)/3-1,0)))</f>
        <v/>
      </c>
      <c r="AA104" s="127"/>
      <c r="AB104" s="137"/>
      <c r="AC104" s="58" t="str" cm="1">
        <f>IF(ISBLANK($A104),"",INDEX(Array_WaterCharges,MATCH($A104,List_WaterMeters,0),ROUNDUP((COLUMN()+0)/3-1,0)))</f>
        <v/>
      </c>
      <c r="AD104" s="127"/>
      <c r="AE104" s="137"/>
      <c r="AF104" s="58" t="str" cm="1">
        <f>IF(ISBLANK($A104),"",INDEX(Array_WaterCharges,MATCH($A104,List_WaterMeters,0),ROUNDUP((COLUMN()+0)/3-1,0)))</f>
        <v/>
      </c>
      <c r="AG104" s="127"/>
      <c r="AH104" s="137"/>
    </row>
    <row r="105" spans="1:34" x14ac:dyDescent="0.3">
      <c r="A105" s="126"/>
      <c r="B105" s="133"/>
      <c r="C105" s="127"/>
      <c r="D105" s="137"/>
      <c r="E105" s="58" t="str" cm="1">
        <f>IF(ISBLANK($A105),"",INDEX(Array_WaterCharges,MATCH($A105,List_WaterMeters,0),ROUNDUP((COLUMN()+0)/3-1,0)))</f>
        <v/>
      </c>
      <c r="F105" s="127"/>
      <c r="G105" s="137"/>
      <c r="H105" s="58" t="str" cm="1">
        <f>IF(ISBLANK($A105),"",INDEX(Array_WaterCharges,MATCH($A105,List_WaterMeters,0),ROUNDUP((COLUMN()+0)/3-1,0)))</f>
        <v/>
      </c>
      <c r="I105" s="127"/>
      <c r="J105" s="137"/>
      <c r="K105" s="58" t="str" cm="1">
        <f>IF(ISBLANK($A105),"",INDEX(Array_WaterCharges,MATCH($A105,List_WaterMeters,0),ROUNDUP((COLUMN()+0)/3-1,0)))</f>
        <v/>
      </c>
      <c r="L105" s="127"/>
      <c r="M105" s="137"/>
      <c r="N105" s="58" t="str" cm="1">
        <f>IF(ISBLANK($A105),"",INDEX(Array_WaterCharges,MATCH($A105,List_WaterMeters,0),ROUNDUP((COLUMN()+0)/3-1,0)))</f>
        <v/>
      </c>
      <c r="O105" s="127"/>
      <c r="P105" s="137"/>
      <c r="Q105" s="58" t="str" cm="1">
        <f>IF(ISBLANK($A105),"",INDEX(Array_WaterCharges,MATCH($A105,List_WaterMeters,0),ROUNDUP((COLUMN()+0)/3-1,0)))</f>
        <v/>
      </c>
      <c r="R105" s="127"/>
      <c r="S105" s="137"/>
      <c r="T105" s="58" t="str" cm="1">
        <f>IF(ISBLANK($A105),"",INDEX(Array_WaterCharges,MATCH($A105,List_WaterMeters,0),ROUNDUP((COLUMN()+0)/3-1,0)))</f>
        <v/>
      </c>
      <c r="U105" s="127"/>
      <c r="V105" s="137"/>
      <c r="W105" s="58" t="str" cm="1">
        <f>IF(ISBLANK($A105),"",INDEX(Array_WaterCharges,MATCH($A105,List_WaterMeters,0),ROUNDUP((COLUMN()+0)/3-1,0)))</f>
        <v/>
      </c>
      <c r="X105" s="127"/>
      <c r="Y105" s="137"/>
      <c r="Z105" s="58" t="str" cm="1">
        <f>IF(ISBLANK($A105),"",INDEX(Array_WaterCharges,MATCH($A105,List_WaterMeters,0),ROUNDUP((COLUMN()+0)/3-1,0)))</f>
        <v/>
      </c>
      <c r="AA105" s="127"/>
      <c r="AB105" s="137"/>
      <c r="AC105" s="58" t="str" cm="1">
        <f>IF(ISBLANK($A105),"",INDEX(Array_WaterCharges,MATCH($A105,List_WaterMeters,0),ROUNDUP((COLUMN()+0)/3-1,0)))</f>
        <v/>
      </c>
      <c r="AD105" s="127"/>
      <c r="AE105" s="137"/>
      <c r="AF105" s="58" t="str" cm="1">
        <f>IF(ISBLANK($A105),"",INDEX(Array_WaterCharges,MATCH($A105,List_WaterMeters,0),ROUNDUP((COLUMN()+0)/3-1,0)))</f>
        <v/>
      </c>
      <c r="AG105" s="127"/>
      <c r="AH105" s="137"/>
    </row>
    <row r="106" spans="1:34" x14ac:dyDescent="0.3">
      <c r="A106" s="126"/>
      <c r="B106" s="133"/>
      <c r="C106" s="127"/>
      <c r="D106" s="137"/>
      <c r="E106" s="58" t="str" cm="1">
        <f>IF(ISBLANK($A106),"",INDEX(Array_WaterCharges,MATCH($A106,List_WaterMeters,0),ROUNDUP((COLUMN()+0)/3-1,0)))</f>
        <v/>
      </c>
      <c r="F106" s="127"/>
      <c r="G106" s="137"/>
      <c r="H106" s="58" t="str" cm="1">
        <f>IF(ISBLANK($A106),"",INDEX(Array_WaterCharges,MATCH($A106,List_WaterMeters,0),ROUNDUP((COLUMN()+0)/3-1,0)))</f>
        <v/>
      </c>
      <c r="I106" s="127"/>
      <c r="J106" s="137"/>
      <c r="K106" s="58" t="str" cm="1">
        <f>IF(ISBLANK($A106),"",INDEX(Array_WaterCharges,MATCH($A106,List_WaterMeters,0),ROUNDUP((COLUMN()+0)/3-1,0)))</f>
        <v/>
      </c>
      <c r="L106" s="127"/>
      <c r="M106" s="137"/>
      <c r="N106" s="58" t="str" cm="1">
        <f>IF(ISBLANK($A106),"",INDEX(Array_WaterCharges,MATCH($A106,List_WaterMeters,0),ROUNDUP((COLUMN()+0)/3-1,0)))</f>
        <v/>
      </c>
      <c r="O106" s="127"/>
      <c r="P106" s="137"/>
      <c r="Q106" s="58" t="str" cm="1">
        <f>IF(ISBLANK($A106),"",INDEX(Array_WaterCharges,MATCH($A106,List_WaterMeters,0),ROUNDUP((COLUMN()+0)/3-1,0)))</f>
        <v/>
      </c>
      <c r="R106" s="127"/>
      <c r="S106" s="137"/>
      <c r="T106" s="58" t="str" cm="1">
        <f>IF(ISBLANK($A106),"",INDEX(Array_WaterCharges,MATCH($A106,List_WaterMeters,0),ROUNDUP((COLUMN()+0)/3-1,0)))</f>
        <v/>
      </c>
      <c r="U106" s="127"/>
      <c r="V106" s="137"/>
      <c r="W106" s="58" t="str" cm="1">
        <f>IF(ISBLANK($A106),"",INDEX(Array_WaterCharges,MATCH($A106,List_WaterMeters,0),ROUNDUP((COLUMN()+0)/3-1,0)))</f>
        <v/>
      </c>
      <c r="X106" s="127"/>
      <c r="Y106" s="137"/>
      <c r="Z106" s="58" t="str" cm="1">
        <f>IF(ISBLANK($A106),"",INDEX(Array_WaterCharges,MATCH($A106,List_WaterMeters,0),ROUNDUP((COLUMN()+0)/3-1,0)))</f>
        <v/>
      </c>
      <c r="AA106" s="127"/>
      <c r="AB106" s="137"/>
      <c r="AC106" s="58" t="str" cm="1">
        <f>IF(ISBLANK($A106),"",INDEX(Array_WaterCharges,MATCH($A106,List_WaterMeters,0),ROUNDUP((COLUMN()+0)/3-1,0)))</f>
        <v/>
      </c>
      <c r="AD106" s="127"/>
      <c r="AE106" s="137"/>
      <c r="AF106" s="58" t="str" cm="1">
        <f>IF(ISBLANK($A106),"",INDEX(Array_WaterCharges,MATCH($A106,List_WaterMeters,0),ROUNDUP((COLUMN()+0)/3-1,0)))</f>
        <v/>
      </c>
      <c r="AG106" s="127"/>
      <c r="AH106" s="137"/>
    </row>
    <row r="107" spans="1:34" x14ac:dyDescent="0.3">
      <c r="A107" s="126"/>
      <c r="B107" s="133"/>
      <c r="C107" s="127"/>
      <c r="D107" s="137"/>
      <c r="E107" s="58" t="str" cm="1">
        <f>IF(ISBLANK($A107),"",INDEX(Array_WaterCharges,MATCH($A107,List_WaterMeters,0),ROUNDUP((COLUMN()+0)/3-1,0)))</f>
        <v/>
      </c>
      <c r="F107" s="127"/>
      <c r="G107" s="137"/>
      <c r="H107" s="58" t="str" cm="1">
        <f>IF(ISBLANK($A107),"",INDEX(Array_WaterCharges,MATCH($A107,List_WaterMeters,0),ROUNDUP((COLUMN()+0)/3-1,0)))</f>
        <v/>
      </c>
      <c r="I107" s="127"/>
      <c r="J107" s="137"/>
      <c r="K107" s="58" t="str" cm="1">
        <f>IF(ISBLANK($A107),"",INDEX(Array_WaterCharges,MATCH($A107,List_WaterMeters,0),ROUNDUP((COLUMN()+0)/3-1,0)))</f>
        <v/>
      </c>
      <c r="L107" s="127"/>
      <c r="M107" s="137"/>
      <c r="N107" s="58" t="str" cm="1">
        <f>IF(ISBLANK($A107),"",INDEX(Array_WaterCharges,MATCH($A107,List_WaterMeters,0),ROUNDUP((COLUMN()+0)/3-1,0)))</f>
        <v/>
      </c>
      <c r="O107" s="127"/>
      <c r="P107" s="137"/>
      <c r="Q107" s="58" t="str" cm="1">
        <f>IF(ISBLANK($A107),"",INDEX(Array_WaterCharges,MATCH($A107,List_WaterMeters,0),ROUNDUP((COLUMN()+0)/3-1,0)))</f>
        <v/>
      </c>
      <c r="R107" s="127"/>
      <c r="S107" s="137"/>
      <c r="T107" s="58" t="str" cm="1">
        <f>IF(ISBLANK($A107),"",INDEX(Array_WaterCharges,MATCH($A107,List_WaterMeters,0),ROUNDUP((COLUMN()+0)/3-1,0)))</f>
        <v/>
      </c>
      <c r="U107" s="127"/>
      <c r="V107" s="137"/>
      <c r="W107" s="58" t="str" cm="1">
        <f>IF(ISBLANK($A107),"",INDEX(Array_WaterCharges,MATCH($A107,List_WaterMeters,0),ROUNDUP((COLUMN()+0)/3-1,0)))</f>
        <v/>
      </c>
      <c r="X107" s="127"/>
      <c r="Y107" s="137"/>
      <c r="Z107" s="58" t="str" cm="1">
        <f>IF(ISBLANK($A107),"",INDEX(Array_WaterCharges,MATCH($A107,List_WaterMeters,0),ROUNDUP((COLUMN()+0)/3-1,0)))</f>
        <v/>
      </c>
      <c r="AA107" s="127"/>
      <c r="AB107" s="137"/>
      <c r="AC107" s="58" t="str" cm="1">
        <f>IF(ISBLANK($A107),"",INDEX(Array_WaterCharges,MATCH($A107,List_WaterMeters,0),ROUNDUP((COLUMN()+0)/3-1,0)))</f>
        <v/>
      </c>
      <c r="AD107" s="127"/>
      <c r="AE107" s="137"/>
      <c r="AF107" s="58" t="str" cm="1">
        <f>IF(ISBLANK($A107),"",INDEX(Array_WaterCharges,MATCH($A107,List_WaterMeters,0),ROUNDUP((COLUMN()+0)/3-1,0)))</f>
        <v/>
      </c>
      <c r="AG107" s="127"/>
      <c r="AH107" s="137"/>
    </row>
    <row r="108" spans="1:34" x14ac:dyDescent="0.3">
      <c r="A108" s="126"/>
      <c r="B108" s="133"/>
      <c r="C108" s="127"/>
      <c r="D108" s="137"/>
      <c r="E108" s="58" t="str" cm="1">
        <f>IF(ISBLANK($A108),"",INDEX(Array_WaterCharges,MATCH($A108,List_WaterMeters,0),ROUNDUP((COLUMN()+0)/3-1,0)))</f>
        <v/>
      </c>
      <c r="F108" s="127"/>
      <c r="G108" s="137"/>
      <c r="H108" s="58" t="str" cm="1">
        <f>IF(ISBLANK($A108),"",INDEX(Array_WaterCharges,MATCH($A108,List_WaterMeters,0),ROUNDUP((COLUMN()+0)/3-1,0)))</f>
        <v/>
      </c>
      <c r="I108" s="127"/>
      <c r="J108" s="137"/>
      <c r="K108" s="58" t="str" cm="1">
        <f>IF(ISBLANK($A108),"",INDEX(Array_WaterCharges,MATCH($A108,List_WaterMeters,0),ROUNDUP((COLUMN()+0)/3-1,0)))</f>
        <v/>
      </c>
      <c r="L108" s="127"/>
      <c r="M108" s="137"/>
      <c r="N108" s="58" t="str" cm="1">
        <f>IF(ISBLANK($A108),"",INDEX(Array_WaterCharges,MATCH($A108,List_WaterMeters,0),ROUNDUP((COLUMN()+0)/3-1,0)))</f>
        <v/>
      </c>
      <c r="O108" s="127"/>
      <c r="P108" s="137"/>
      <c r="Q108" s="58" t="str" cm="1">
        <f>IF(ISBLANK($A108),"",INDEX(Array_WaterCharges,MATCH($A108,List_WaterMeters,0),ROUNDUP((COLUMN()+0)/3-1,0)))</f>
        <v/>
      </c>
      <c r="R108" s="127"/>
      <c r="S108" s="137"/>
      <c r="T108" s="58" t="str" cm="1">
        <f>IF(ISBLANK($A108),"",INDEX(Array_WaterCharges,MATCH($A108,List_WaterMeters,0),ROUNDUP((COLUMN()+0)/3-1,0)))</f>
        <v/>
      </c>
      <c r="U108" s="127"/>
      <c r="V108" s="137"/>
      <c r="W108" s="58" t="str" cm="1">
        <f>IF(ISBLANK($A108),"",INDEX(Array_WaterCharges,MATCH($A108,List_WaterMeters,0),ROUNDUP((COLUMN()+0)/3-1,0)))</f>
        <v/>
      </c>
      <c r="X108" s="127"/>
      <c r="Y108" s="137"/>
      <c r="Z108" s="58" t="str" cm="1">
        <f>IF(ISBLANK($A108),"",INDEX(Array_WaterCharges,MATCH($A108,List_WaterMeters,0),ROUNDUP((COLUMN()+0)/3-1,0)))</f>
        <v/>
      </c>
      <c r="AA108" s="127"/>
      <c r="AB108" s="137"/>
      <c r="AC108" s="58" t="str" cm="1">
        <f>IF(ISBLANK($A108),"",INDEX(Array_WaterCharges,MATCH($A108,List_WaterMeters,0),ROUNDUP((COLUMN()+0)/3-1,0)))</f>
        <v/>
      </c>
      <c r="AD108" s="127"/>
      <c r="AE108" s="137"/>
      <c r="AF108" s="58" t="str" cm="1">
        <f>IF(ISBLANK($A108),"",INDEX(Array_WaterCharges,MATCH($A108,List_WaterMeters,0),ROUNDUP((COLUMN()+0)/3-1,0)))</f>
        <v/>
      </c>
      <c r="AG108" s="127"/>
      <c r="AH108" s="137"/>
    </row>
    <row r="109" spans="1:34" x14ac:dyDescent="0.3">
      <c r="A109" s="126"/>
      <c r="B109" s="133"/>
      <c r="C109" s="127"/>
      <c r="D109" s="137"/>
      <c r="E109" s="58" t="str" cm="1">
        <f>IF(ISBLANK($A109),"",INDEX(Array_WaterCharges,MATCH($A109,List_WaterMeters,0),ROUNDUP((COLUMN()+0)/3-1,0)))</f>
        <v/>
      </c>
      <c r="F109" s="127"/>
      <c r="G109" s="137"/>
      <c r="H109" s="58" t="str" cm="1">
        <f>IF(ISBLANK($A109),"",INDEX(Array_WaterCharges,MATCH($A109,List_WaterMeters,0),ROUNDUP((COLUMN()+0)/3-1,0)))</f>
        <v/>
      </c>
      <c r="I109" s="127"/>
      <c r="J109" s="137"/>
      <c r="K109" s="58" t="str" cm="1">
        <f>IF(ISBLANK($A109),"",INDEX(Array_WaterCharges,MATCH($A109,List_WaterMeters,0),ROUNDUP((COLUMN()+0)/3-1,0)))</f>
        <v/>
      </c>
      <c r="L109" s="127"/>
      <c r="M109" s="137"/>
      <c r="N109" s="58" t="str" cm="1">
        <f>IF(ISBLANK($A109),"",INDEX(Array_WaterCharges,MATCH($A109,List_WaterMeters,0),ROUNDUP((COLUMN()+0)/3-1,0)))</f>
        <v/>
      </c>
      <c r="O109" s="127"/>
      <c r="P109" s="137"/>
      <c r="Q109" s="58" t="str" cm="1">
        <f>IF(ISBLANK($A109),"",INDEX(Array_WaterCharges,MATCH($A109,List_WaterMeters,0),ROUNDUP((COLUMN()+0)/3-1,0)))</f>
        <v/>
      </c>
      <c r="R109" s="127"/>
      <c r="S109" s="137"/>
      <c r="T109" s="58" t="str" cm="1">
        <f>IF(ISBLANK($A109),"",INDEX(Array_WaterCharges,MATCH($A109,List_WaterMeters,0),ROUNDUP((COLUMN()+0)/3-1,0)))</f>
        <v/>
      </c>
      <c r="U109" s="127"/>
      <c r="V109" s="137"/>
      <c r="W109" s="58" t="str" cm="1">
        <f>IF(ISBLANK($A109),"",INDEX(Array_WaterCharges,MATCH($A109,List_WaterMeters,0),ROUNDUP((COLUMN()+0)/3-1,0)))</f>
        <v/>
      </c>
      <c r="X109" s="127"/>
      <c r="Y109" s="137"/>
      <c r="Z109" s="58" t="str" cm="1">
        <f>IF(ISBLANK($A109),"",INDEX(Array_WaterCharges,MATCH($A109,List_WaterMeters,0),ROUNDUP((COLUMN()+0)/3-1,0)))</f>
        <v/>
      </c>
      <c r="AA109" s="127"/>
      <c r="AB109" s="137"/>
      <c r="AC109" s="58" t="str" cm="1">
        <f>IF(ISBLANK($A109),"",INDEX(Array_WaterCharges,MATCH($A109,List_WaterMeters,0),ROUNDUP((COLUMN()+0)/3-1,0)))</f>
        <v/>
      </c>
      <c r="AD109" s="127"/>
      <c r="AE109" s="137"/>
      <c r="AF109" s="58" t="str" cm="1">
        <f>IF(ISBLANK($A109),"",INDEX(Array_WaterCharges,MATCH($A109,List_WaterMeters,0),ROUNDUP((COLUMN()+0)/3-1,0)))</f>
        <v/>
      </c>
      <c r="AG109" s="127"/>
      <c r="AH109" s="137"/>
    </row>
    <row r="110" spans="1:34" x14ac:dyDescent="0.3">
      <c r="A110" s="126"/>
      <c r="B110" s="133"/>
      <c r="C110" s="127"/>
      <c r="D110" s="137"/>
      <c r="E110" s="58" t="str" cm="1">
        <f>IF(ISBLANK($A110),"",INDEX(Array_WaterCharges,MATCH($A110,List_WaterMeters,0),ROUNDUP((COLUMN()+0)/3-1,0)))</f>
        <v/>
      </c>
      <c r="F110" s="127"/>
      <c r="G110" s="137"/>
      <c r="H110" s="58" t="str" cm="1">
        <f>IF(ISBLANK($A110),"",INDEX(Array_WaterCharges,MATCH($A110,List_WaterMeters,0),ROUNDUP((COLUMN()+0)/3-1,0)))</f>
        <v/>
      </c>
      <c r="I110" s="127"/>
      <c r="J110" s="137"/>
      <c r="K110" s="58" t="str" cm="1">
        <f>IF(ISBLANK($A110),"",INDEX(Array_WaterCharges,MATCH($A110,List_WaterMeters,0),ROUNDUP((COLUMN()+0)/3-1,0)))</f>
        <v/>
      </c>
      <c r="L110" s="127"/>
      <c r="M110" s="137"/>
      <c r="N110" s="58" t="str" cm="1">
        <f>IF(ISBLANK($A110),"",INDEX(Array_WaterCharges,MATCH($A110,List_WaterMeters,0),ROUNDUP((COLUMN()+0)/3-1,0)))</f>
        <v/>
      </c>
      <c r="O110" s="127"/>
      <c r="P110" s="137"/>
      <c r="Q110" s="58" t="str" cm="1">
        <f>IF(ISBLANK($A110),"",INDEX(Array_WaterCharges,MATCH($A110,List_WaterMeters,0),ROUNDUP((COLUMN()+0)/3-1,0)))</f>
        <v/>
      </c>
      <c r="R110" s="127"/>
      <c r="S110" s="137"/>
      <c r="T110" s="58" t="str" cm="1">
        <f>IF(ISBLANK($A110),"",INDEX(Array_WaterCharges,MATCH($A110,List_WaterMeters,0),ROUNDUP((COLUMN()+0)/3-1,0)))</f>
        <v/>
      </c>
      <c r="U110" s="127"/>
      <c r="V110" s="137"/>
      <c r="W110" s="58" t="str" cm="1">
        <f>IF(ISBLANK($A110),"",INDEX(Array_WaterCharges,MATCH($A110,List_WaterMeters,0),ROUNDUP((COLUMN()+0)/3-1,0)))</f>
        <v/>
      </c>
      <c r="X110" s="127"/>
      <c r="Y110" s="137"/>
      <c r="Z110" s="58" t="str" cm="1">
        <f>IF(ISBLANK($A110),"",INDEX(Array_WaterCharges,MATCH($A110,List_WaterMeters,0),ROUNDUP((COLUMN()+0)/3-1,0)))</f>
        <v/>
      </c>
      <c r="AA110" s="127"/>
      <c r="AB110" s="137"/>
      <c r="AC110" s="58" t="str" cm="1">
        <f>IF(ISBLANK($A110),"",INDEX(Array_WaterCharges,MATCH($A110,List_WaterMeters,0),ROUNDUP((COLUMN()+0)/3-1,0)))</f>
        <v/>
      </c>
      <c r="AD110" s="127"/>
      <c r="AE110" s="137"/>
      <c r="AF110" s="58" t="str" cm="1">
        <f>IF(ISBLANK($A110),"",INDEX(Array_WaterCharges,MATCH($A110,List_WaterMeters,0),ROUNDUP((COLUMN()+0)/3-1,0)))</f>
        <v/>
      </c>
      <c r="AG110" s="127"/>
      <c r="AH110" s="137"/>
    </row>
    <row r="111" spans="1:34" x14ac:dyDescent="0.3">
      <c r="A111" s="126"/>
      <c r="B111" s="133"/>
      <c r="C111" s="127"/>
      <c r="D111" s="137"/>
      <c r="E111" s="58" t="str" cm="1">
        <f>IF(ISBLANK($A111),"",INDEX(Array_WaterCharges,MATCH($A111,List_WaterMeters,0),ROUNDUP((COLUMN()+0)/3-1,0)))</f>
        <v/>
      </c>
      <c r="F111" s="127"/>
      <c r="G111" s="137"/>
      <c r="H111" s="58" t="str" cm="1">
        <f>IF(ISBLANK($A111),"",INDEX(Array_WaterCharges,MATCH($A111,List_WaterMeters,0),ROUNDUP((COLUMN()+0)/3-1,0)))</f>
        <v/>
      </c>
      <c r="I111" s="127"/>
      <c r="J111" s="137"/>
      <c r="K111" s="58" t="str" cm="1">
        <f>IF(ISBLANK($A111),"",INDEX(Array_WaterCharges,MATCH($A111,List_WaterMeters,0),ROUNDUP((COLUMN()+0)/3-1,0)))</f>
        <v/>
      </c>
      <c r="L111" s="127"/>
      <c r="M111" s="137"/>
      <c r="N111" s="58" t="str" cm="1">
        <f>IF(ISBLANK($A111),"",INDEX(Array_WaterCharges,MATCH($A111,List_WaterMeters,0),ROUNDUP((COLUMN()+0)/3-1,0)))</f>
        <v/>
      </c>
      <c r="O111" s="127"/>
      <c r="P111" s="137"/>
      <c r="Q111" s="58" t="str" cm="1">
        <f>IF(ISBLANK($A111),"",INDEX(Array_WaterCharges,MATCH($A111,List_WaterMeters,0),ROUNDUP((COLUMN()+0)/3-1,0)))</f>
        <v/>
      </c>
      <c r="R111" s="127"/>
      <c r="S111" s="137"/>
      <c r="T111" s="58" t="str" cm="1">
        <f>IF(ISBLANK($A111),"",INDEX(Array_WaterCharges,MATCH($A111,List_WaterMeters,0),ROUNDUP((COLUMN()+0)/3-1,0)))</f>
        <v/>
      </c>
      <c r="U111" s="127"/>
      <c r="V111" s="137"/>
      <c r="W111" s="58" t="str" cm="1">
        <f>IF(ISBLANK($A111),"",INDEX(Array_WaterCharges,MATCH($A111,List_WaterMeters,0),ROUNDUP((COLUMN()+0)/3-1,0)))</f>
        <v/>
      </c>
      <c r="X111" s="127"/>
      <c r="Y111" s="137"/>
      <c r="Z111" s="58" t="str" cm="1">
        <f>IF(ISBLANK($A111),"",INDEX(Array_WaterCharges,MATCH($A111,List_WaterMeters,0),ROUNDUP((COLUMN()+0)/3-1,0)))</f>
        <v/>
      </c>
      <c r="AA111" s="127"/>
      <c r="AB111" s="137"/>
      <c r="AC111" s="58" t="str" cm="1">
        <f>IF(ISBLANK($A111),"",INDEX(Array_WaterCharges,MATCH($A111,List_WaterMeters,0),ROUNDUP((COLUMN()+0)/3-1,0)))</f>
        <v/>
      </c>
      <c r="AD111" s="127"/>
      <c r="AE111" s="137"/>
      <c r="AF111" s="58" t="str" cm="1">
        <f>IF(ISBLANK($A111),"",INDEX(Array_WaterCharges,MATCH($A111,List_WaterMeters,0),ROUNDUP((COLUMN()+0)/3-1,0)))</f>
        <v/>
      </c>
      <c r="AG111" s="127"/>
      <c r="AH111" s="137"/>
    </row>
    <row r="112" spans="1:34" x14ac:dyDescent="0.3">
      <c r="A112" s="126"/>
      <c r="B112" s="133"/>
      <c r="C112" s="127"/>
      <c r="D112" s="137"/>
      <c r="E112" s="58" t="str" cm="1">
        <f>IF(ISBLANK($A112),"",INDEX(Array_WaterCharges,MATCH($A112,List_WaterMeters,0),ROUNDUP((COLUMN()+0)/3-1,0)))</f>
        <v/>
      </c>
      <c r="F112" s="127"/>
      <c r="G112" s="137"/>
      <c r="H112" s="58" t="str" cm="1">
        <f>IF(ISBLANK($A112),"",INDEX(Array_WaterCharges,MATCH($A112,List_WaterMeters,0),ROUNDUP((COLUMN()+0)/3-1,0)))</f>
        <v/>
      </c>
      <c r="I112" s="127"/>
      <c r="J112" s="137"/>
      <c r="K112" s="58" t="str" cm="1">
        <f>IF(ISBLANK($A112),"",INDEX(Array_WaterCharges,MATCH($A112,List_WaterMeters,0),ROUNDUP((COLUMN()+0)/3-1,0)))</f>
        <v/>
      </c>
      <c r="L112" s="127"/>
      <c r="M112" s="137"/>
      <c r="N112" s="58" t="str" cm="1">
        <f>IF(ISBLANK($A112),"",INDEX(Array_WaterCharges,MATCH($A112,List_WaterMeters,0),ROUNDUP((COLUMN()+0)/3-1,0)))</f>
        <v/>
      </c>
      <c r="O112" s="127"/>
      <c r="P112" s="137"/>
      <c r="Q112" s="58" t="str" cm="1">
        <f>IF(ISBLANK($A112),"",INDEX(Array_WaterCharges,MATCH($A112,List_WaterMeters,0),ROUNDUP((COLUMN()+0)/3-1,0)))</f>
        <v/>
      </c>
      <c r="R112" s="127"/>
      <c r="S112" s="137"/>
      <c r="T112" s="58" t="str" cm="1">
        <f>IF(ISBLANK($A112),"",INDEX(Array_WaterCharges,MATCH($A112,List_WaterMeters,0),ROUNDUP((COLUMN()+0)/3-1,0)))</f>
        <v/>
      </c>
      <c r="U112" s="127"/>
      <c r="V112" s="137"/>
      <c r="W112" s="58" t="str" cm="1">
        <f>IF(ISBLANK($A112),"",INDEX(Array_WaterCharges,MATCH($A112,List_WaterMeters,0),ROUNDUP((COLUMN()+0)/3-1,0)))</f>
        <v/>
      </c>
      <c r="X112" s="127"/>
      <c r="Y112" s="137"/>
      <c r="Z112" s="58" t="str" cm="1">
        <f>IF(ISBLANK($A112),"",INDEX(Array_WaterCharges,MATCH($A112,List_WaterMeters,0),ROUNDUP((COLUMN()+0)/3-1,0)))</f>
        <v/>
      </c>
      <c r="AA112" s="127"/>
      <c r="AB112" s="137"/>
      <c r="AC112" s="58" t="str" cm="1">
        <f>IF(ISBLANK($A112),"",INDEX(Array_WaterCharges,MATCH($A112,List_WaterMeters,0),ROUNDUP((COLUMN()+0)/3-1,0)))</f>
        <v/>
      </c>
      <c r="AD112" s="127"/>
      <c r="AE112" s="137"/>
      <c r="AF112" s="58" t="str" cm="1">
        <f>IF(ISBLANK($A112),"",INDEX(Array_WaterCharges,MATCH($A112,List_WaterMeters,0),ROUNDUP((COLUMN()+0)/3-1,0)))</f>
        <v/>
      </c>
      <c r="AG112" s="127"/>
      <c r="AH112" s="137"/>
    </row>
    <row r="113" spans="1:34" x14ac:dyDescent="0.3">
      <c r="A113" s="126"/>
      <c r="B113" s="133"/>
      <c r="C113" s="127"/>
      <c r="D113" s="137"/>
      <c r="E113" s="58" t="str" cm="1">
        <f>IF(ISBLANK($A113),"",INDEX(Array_WaterCharges,MATCH($A113,List_WaterMeters,0),ROUNDUP((COLUMN()+0)/3-1,0)))</f>
        <v/>
      </c>
      <c r="F113" s="127"/>
      <c r="G113" s="137"/>
      <c r="H113" s="58" t="str" cm="1">
        <f>IF(ISBLANK($A113),"",INDEX(Array_WaterCharges,MATCH($A113,List_WaterMeters,0),ROUNDUP((COLUMN()+0)/3-1,0)))</f>
        <v/>
      </c>
      <c r="I113" s="127"/>
      <c r="J113" s="137"/>
      <c r="K113" s="58" t="str" cm="1">
        <f>IF(ISBLANK($A113),"",INDEX(Array_WaterCharges,MATCH($A113,List_WaterMeters,0),ROUNDUP((COLUMN()+0)/3-1,0)))</f>
        <v/>
      </c>
      <c r="L113" s="127"/>
      <c r="M113" s="137"/>
      <c r="N113" s="58" t="str" cm="1">
        <f>IF(ISBLANK($A113),"",INDEX(Array_WaterCharges,MATCH($A113,List_WaterMeters,0),ROUNDUP((COLUMN()+0)/3-1,0)))</f>
        <v/>
      </c>
      <c r="O113" s="127"/>
      <c r="P113" s="137"/>
      <c r="Q113" s="58" t="str" cm="1">
        <f>IF(ISBLANK($A113),"",INDEX(Array_WaterCharges,MATCH($A113,List_WaterMeters,0),ROUNDUP((COLUMN()+0)/3-1,0)))</f>
        <v/>
      </c>
      <c r="R113" s="127"/>
      <c r="S113" s="137"/>
      <c r="T113" s="58" t="str" cm="1">
        <f>IF(ISBLANK($A113),"",INDEX(Array_WaterCharges,MATCH($A113,List_WaterMeters,0),ROUNDUP((COLUMN()+0)/3-1,0)))</f>
        <v/>
      </c>
      <c r="U113" s="127"/>
      <c r="V113" s="137"/>
      <c r="W113" s="58" t="str" cm="1">
        <f>IF(ISBLANK($A113),"",INDEX(Array_WaterCharges,MATCH($A113,List_WaterMeters,0),ROUNDUP((COLUMN()+0)/3-1,0)))</f>
        <v/>
      </c>
      <c r="X113" s="127"/>
      <c r="Y113" s="137"/>
      <c r="Z113" s="58" t="str" cm="1">
        <f>IF(ISBLANK($A113),"",INDEX(Array_WaterCharges,MATCH($A113,List_WaterMeters,0),ROUNDUP((COLUMN()+0)/3-1,0)))</f>
        <v/>
      </c>
      <c r="AA113" s="127"/>
      <c r="AB113" s="137"/>
      <c r="AC113" s="58" t="str" cm="1">
        <f>IF(ISBLANK($A113),"",INDEX(Array_WaterCharges,MATCH($A113,List_WaterMeters,0),ROUNDUP((COLUMN()+0)/3-1,0)))</f>
        <v/>
      </c>
      <c r="AD113" s="127"/>
      <c r="AE113" s="137"/>
      <c r="AF113" s="58" t="str" cm="1">
        <f>IF(ISBLANK($A113),"",INDEX(Array_WaterCharges,MATCH($A113,List_WaterMeters,0),ROUNDUP((COLUMN()+0)/3-1,0)))</f>
        <v/>
      </c>
      <c r="AG113" s="127"/>
      <c r="AH113" s="137"/>
    </row>
    <row r="114" spans="1:34" x14ac:dyDescent="0.3">
      <c r="A114" s="126"/>
      <c r="B114" s="133"/>
      <c r="C114" s="127"/>
      <c r="D114" s="137"/>
      <c r="E114" s="58" t="str" cm="1">
        <f>IF(ISBLANK($A114),"",INDEX(Array_WaterCharges,MATCH($A114,List_WaterMeters,0),ROUNDUP((COLUMN()+0)/3-1,0)))</f>
        <v/>
      </c>
      <c r="F114" s="127"/>
      <c r="G114" s="137"/>
      <c r="H114" s="58" t="str" cm="1">
        <f>IF(ISBLANK($A114),"",INDEX(Array_WaterCharges,MATCH($A114,List_WaterMeters,0),ROUNDUP((COLUMN()+0)/3-1,0)))</f>
        <v/>
      </c>
      <c r="I114" s="127"/>
      <c r="J114" s="137"/>
      <c r="K114" s="58" t="str" cm="1">
        <f>IF(ISBLANK($A114),"",INDEX(Array_WaterCharges,MATCH($A114,List_WaterMeters,0),ROUNDUP((COLUMN()+0)/3-1,0)))</f>
        <v/>
      </c>
      <c r="L114" s="127"/>
      <c r="M114" s="137"/>
      <c r="N114" s="58" t="str" cm="1">
        <f>IF(ISBLANK($A114),"",INDEX(Array_WaterCharges,MATCH($A114,List_WaterMeters,0),ROUNDUP((COLUMN()+0)/3-1,0)))</f>
        <v/>
      </c>
      <c r="O114" s="127"/>
      <c r="P114" s="137"/>
      <c r="Q114" s="58" t="str" cm="1">
        <f>IF(ISBLANK($A114),"",INDEX(Array_WaterCharges,MATCH($A114,List_WaterMeters,0),ROUNDUP((COLUMN()+0)/3-1,0)))</f>
        <v/>
      </c>
      <c r="R114" s="127"/>
      <c r="S114" s="137"/>
      <c r="T114" s="58" t="str" cm="1">
        <f>IF(ISBLANK($A114),"",INDEX(Array_WaterCharges,MATCH($A114,List_WaterMeters,0),ROUNDUP((COLUMN()+0)/3-1,0)))</f>
        <v/>
      </c>
      <c r="U114" s="127"/>
      <c r="V114" s="137"/>
      <c r="W114" s="58" t="str" cm="1">
        <f>IF(ISBLANK($A114),"",INDEX(Array_WaterCharges,MATCH($A114,List_WaterMeters,0),ROUNDUP((COLUMN()+0)/3-1,0)))</f>
        <v/>
      </c>
      <c r="X114" s="127"/>
      <c r="Y114" s="137"/>
      <c r="Z114" s="58" t="str" cm="1">
        <f>IF(ISBLANK($A114),"",INDEX(Array_WaterCharges,MATCH($A114,List_WaterMeters,0),ROUNDUP((COLUMN()+0)/3-1,0)))</f>
        <v/>
      </c>
      <c r="AA114" s="127"/>
      <c r="AB114" s="137"/>
      <c r="AC114" s="58" t="str" cm="1">
        <f>IF(ISBLANK($A114),"",INDEX(Array_WaterCharges,MATCH($A114,List_WaterMeters,0),ROUNDUP((COLUMN()+0)/3-1,0)))</f>
        <v/>
      </c>
      <c r="AD114" s="127"/>
      <c r="AE114" s="137"/>
      <c r="AF114" s="58" t="str" cm="1">
        <f>IF(ISBLANK($A114),"",INDEX(Array_WaterCharges,MATCH($A114,List_WaterMeters,0),ROUNDUP((COLUMN()+0)/3-1,0)))</f>
        <v/>
      </c>
      <c r="AG114" s="127"/>
      <c r="AH114" s="137"/>
    </row>
    <row r="115" spans="1:34" x14ac:dyDescent="0.3">
      <c r="A115" s="126"/>
      <c r="B115" s="133"/>
      <c r="C115" s="127"/>
      <c r="D115" s="137"/>
      <c r="E115" s="58" t="str" cm="1">
        <f>IF(ISBLANK($A115),"",INDEX(Array_WaterCharges,MATCH($A115,List_WaterMeters,0),ROUNDUP((COLUMN()+0)/3-1,0)))</f>
        <v/>
      </c>
      <c r="F115" s="127"/>
      <c r="G115" s="137"/>
      <c r="H115" s="58" t="str" cm="1">
        <f>IF(ISBLANK($A115),"",INDEX(Array_WaterCharges,MATCH($A115,List_WaterMeters,0),ROUNDUP((COLUMN()+0)/3-1,0)))</f>
        <v/>
      </c>
      <c r="I115" s="127"/>
      <c r="J115" s="137"/>
      <c r="K115" s="58" t="str" cm="1">
        <f>IF(ISBLANK($A115),"",INDEX(Array_WaterCharges,MATCH($A115,List_WaterMeters,0),ROUNDUP((COLUMN()+0)/3-1,0)))</f>
        <v/>
      </c>
      <c r="L115" s="127"/>
      <c r="M115" s="137"/>
      <c r="N115" s="58" t="str" cm="1">
        <f>IF(ISBLANK($A115),"",INDEX(Array_WaterCharges,MATCH($A115,List_WaterMeters,0),ROUNDUP((COLUMN()+0)/3-1,0)))</f>
        <v/>
      </c>
      <c r="O115" s="127"/>
      <c r="P115" s="137"/>
      <c r="Q115" s="58" t="str" cm="1">
        <f>IF(ISBLANK($A115),"",INDEX(Array_WaterCharges,MATCH($A115,List_WaterMeters,0),ROUNDUP((COLUMN()+0)/3-1,0)))</f>
        <v/>
      </c>
      <c r="R115" s="127"/>
      <c r="S115" s="137"/>
      <c r="T115" s="58" t="str" cm="1">
        <f>IF(ISBLANK($A115),"",INDEX(Array_WaterCharges,MATCH($A115,List_WaterMeters,0),ROUNDUP((COLUMN()+0)/3-1,0)))</f>
        <v/>
      </c>
      <c r="U115" s="127"/>
      <c r="V115" s="137"/>
      <c r="W115" s="58" t="str" cm="1">
        <f>IF(ISBLANK($A115),"",INDEX(Array_WaterCharges,MATCH($A115,List_WaterMeters,0),ROUNDUP((COLUMN()+0)/3-1,0)))</f>
        <v/>
      </c>
      <c r="X115" s="127"/>
      <c r="Y115" s="137"/>
      <c r="Z115" s="58" t="str" cm="1">
        <f>IF(ISBLANK($A115),"",INDEX(Array_WaterCharges,MATCH($A115,List_WaterMeters,0),ROUNDUP((COLUMN()+0)/3-1,0)))</f>
        <v/>
      </c>
      <c r="AA115" s="127"/>
      <c r="AB115" s="137"/>
      <c r="AC115" s="58" t="str" cm="1">
        <f>IF(ISBLANK($A115),"",INDEX(Array_WaterCharges,MATCH($A115,List_WaterMeters,0),ROUNDUP((COLUMN()+0)/3-1,0)))</f>
        <v/>
      </c>
      <c r="AD115" s="127"/>
      <c r="AE115" s="137"/>
      <c r="AF115" s="58" t="str" cm="1">
        <f>IF(ISBLANK($A115),"",INDEX(Array_WaterCharges,MATCH($A115,List_WaterMeters,0),ROUNDUP((COLUMN()+0)/3-1,0)))</f>
        <v/>
      </c>
      <c r="AG115" s="127"/>
      <c r="AH115" s="137"/>
    </row>
    <row r="116" spans="1:34" x14ac:dyDescent="0.3">
      <c r="A116" s="126"/>
      <c r="B116" s="133"/>
      <c r="C116" s="127"/>
      <c r="D116" s="137"/>
      <c r="E116" s="58" t="str" cm="1">
        <f>IF(ISBLANK($A116),"",INDEX(Array_WaterCharges,MATCH($A116,List_WaterMeters,0),ROUNDUP((COLUMN()+0)/3-1,0)))</f>
        <v/>
      </c>
      <c r="F116" s="127"/>
      <c r="G116" s="137"/>
      <c r="H116" s="58" t="str" cm="1">
        <f>IF(ISBLANK($A116),"",INDEX(Array_WaterCharges,MATCH($A116,List_WaterMeters,0),ROUNDUP((COLUMN()+0)/3-1,0)))</f>
        <v/>
      </c>
      <c r="I116" s="127"/>
      <c r="J116" s="137"/>
      <c r="K116" s="58" t="str" cm="1">
        <f>IF(ISBLANK($A116),"",INDEX(Array_WaterCharges,MATCH($A116,List_WaterMeters,0),ROUNDUP((COLUMN()+0)/3-1,0)))</f>
        <v/>
      </c>
      <c r="L116" s="127"/>
      <c r="M116" s="137"/>
      <c r="N116" s="58" t="str" cm="1">
        <f>IF(ISBLANK($A116),"",INDEX(Array_WaterCharges,MATCH($A116,List_WaterMeters,0),ROUNDUP((COLUMN()+0)/3-1,0)))</f>
        <v/>
      </c>
      <c r="O116" s="127"/>
      <c r="P116" s="137"/>
      <c r="Q116" s="58" t="str" cm="1">
        <f>IF(ISBLANK($A116),"",INDEX(Array_WaterCharges,MATCH($A116,List_WaterMeters,0),ROUNDUP((COLUMN()+0)/3-1,0)))</f>
        <v/>
      </c>
      <c r="R116" s="127"/>
      <c r="S116" s="137"/>
      <c r="T116" s="58" t="str" cm="1">
        <f>IF(ISBLANK($A116),"",INDEX(Array_WaterCharges,MATCH($A116,List_WaterMeters,0),ROUNDUP((COLUMN()+0)/3-1,0)))</f>
        <v/>
      </c>
      <c r="U116" s="127"/>
      <c r="V116" s="137"/>
      <c r="W116" s="58" t="str" cm="1">
        <f>IF(ISBLANK($A116),"",INDEX(Array_WaterCharges,MATCH($A116,List_WaterMeters,0),ROUNDUP((COLUMN()+0)/3-1,0)))</f>
        <v/>
      </c>
      <c r="X116" s="127"/>
      <c r="Y116" s="137"/>
      <c r="Z116" s="58" t="str" cm="1">
        <f>IF(ISBLANK($A116),"",INDEX(Array_WaterCharges,MATCH($A116,List_WaterMeters,0),ROUNDUP((COLUMN()+0)/3-1,0)))</f>
        <v/>
      </c>
      <c r="AA116" s="127"/>
      <c r="AB116" s="137"/>
      <c r="AC116" s="58" t="str" cm="1">
        <f>IF(ISBLANK($A116),"",INDEX(Array_WaterCharges,MATCH($A116,List_WaterMeters,0),ROUNDUP((COLUMN()+0)/3-1,0)))</f>
        <v/>
      </c>
      <c r="AD116" s="127"/>
      <c r="AE116" s="137"/>
      <c r="AF116" s="58" t="str" cm="1">
        <f>IF(ISBLANK($A116),"",INDEX(Array_WaterCharges,MATCH($A116,List_WaterMeters,0),ROUNDUP((COLUMN()+0)/3-1,0)))</f>
        <v/>
      </c>
      <c r="AG116" s="127"/>
      <c r="AH116" s="137"/>
    </row>
    <row r="117" spans="1:34" x14ac:dyDescent="0.3">
      <c r="A117" s="126"/>
      <c r="B117" s="133"/>
      <c r="C117" s="127"/>
      <c r="D117" s="137"/>
      <c r="E117" s="58" t="str" cm="1">
        <f>IF(ISBLANK($A117),"",INDEX(Array_WaterCharges,MATCH($A117,List_WaterMeters,0),ROUNDUP((COLUMN()+0)/3-1,0)))</f>
        <v/>
      </c>
      <c r="F117" s="127"/>
      <c r="G117" s="137"/>
      <c r="H117" s="58" t="str" cm="1">
        <f>IF(ISBLANK($A117),"",INDEX(Array_WaterCharges,MATCH($A117,List_WaterMeters,0),ROUNDUP((COLUMN()+0)/3-1,0)))</f>
        <v/>
      </c>
      <c r="I117" s="127"/>
      <c r="J117" s="137"/>
      <c r="K117" s="58" t="str" cm="1">
        <f>IF(ISBLANK($A117),"",INDEX(Array_WaterCharges,MATCH($A117,List_WaterMeters,0),ROUNDUP((COLUMN()+0)/3-1,0)))</f>
        <v/>
      </c>
      <c r="L117" s="127"/>
      <c r="M117" s="137"/>
      <c r="N117" s="58" t="str" cm="1">
        <f>IF(ISBLANK($A117),"",INDEX(Array_WaterCharges,MATCH($A117,List_WaterMeters,0),ROUNDUP((COLUMN()+0)/3-1,0)))</f>
        <v/>
      </c>
      <c r="O117" s="127"/>
      <c r="P117" s="137"/>
      <c r="Q117" s="58" t="str" cm="1">
        <f>IF(ISBLANK($A117),"",INDEX(Array_WaterCharges,MATCH($A117,List_WaterMeters,0),ROUNDUP((COLUMN()+0)/3-1,0)))</f>
        <v/>
      </c>
      <c r="R117" s="127"/>
      <c r="S117" s="137"/>
      <c r="T117" s="58" t="str" cm="1">
        <f>IF(ISBLANK($A117),"",INDEX(Array_WaterCharges,MATCH($A117,List_WaterMeters,0),ROUNDUP((COLUMN()+0)/3-1,0)))</f>
        <v/>
      </c>
      <c r="U117" s="127"/>
      <c r="V117" s="137"/>
      <c r="W117" s="58" t="str" cm="1">
        <f>IF(ISBLANK($A117),"",INDEX(Array_WaterCharges,MATCH($A117,List_WaterMeters,0),ROUNDUP((COLUMN()+0)/3-1,0)))</f>
        <v/>
      </c>
      <c r="X117" s="127"/>
      <c r="Y117" s="137"/>
      <c r="Z117" s="58" t="str" cm="1">
        <f>IF(ISBLANK($A117),"",INDEX(Array_WaterCharges,MATCH($A117,List_WaterMeters,0),ROUNDUP((COLUMN()+0)/3-1,0)))</f>
        <v/>
      </c>
      <c r="AA117" s="127"/>
      <c r="AB117" s="137"/>
      <c r="AC117" s="58" t="str" cm="1">
        <f>IF(ISBLANK($A117),"",INDEX(Array_WaterCharges,MATCH($A117,List_WaterMeters,0),ROUNDUP((COLUMN()+0)/3-1,0)))</f>
        <v/>
      </c>
      <c r="AD117" s="127"/>
      <c r="AE117" s="137"/>
      <c r="AF117" s="58" t="str" cm="1">
        <f>IF(ISBLANK($A117),"",INDEX(Array_WaterCharges,MATCH($A117,List_WaterMeters,0),ROUNDUP((COLUMN()+0)/3-1,0)))</f>
        <v/>
      </c>
      <c r="AG117" s="127"/>
      <c r="AH117" s="137"/>
    </row>
    <row r="118" spans="1:34" x14ac:dyDescent="0.3">
      <c r="A118" s="126"/>
      <c r="B118" s="133"/>
      <c r="C118" s="127"/>
      <c r="D118" s="137"/>
      <c r="E118" s="58" t="str" cm="1">
        <f>IF(ISBLANK($A118),"",INDEX(Array_WaterCharges,MATCH($A118,List_WaterMeters,0),ROUNDUP((COLUMN()+0)/3-1,0)))</f>
        <v/>
      </c>
      <c r="F118" s="127"/>
      <c r="G118" s="137"/>
      <c r="H118" s="58" t="str" cm="1">
        <f>IF(ISBLANK($A118),"",INDEX(Array_WaterCharges,MATCH($A118,List_WaterMeters,0),ROUNDUP((COLUMN()+0)/3-1,0)))</f>
        <v/>
      </c>
      <c r="I118" s="127"/>
      <c r="J118" s="137"/>
      <c r="K118" s="58" t="str" cm="1">
        <f>IF(ISBLANK($A118),"",INDEX(Array_WaterCharges,MATCH($A118,List_WaterMeters,0),ROUNDUP((COLUMN()+0)/3-1,0)))</f>
        <v/>
      </c>
      <c r="L118" s="127"/>
      <c r="M118" s="137"/>
      <c r="N118" s="58" t="str" cm="1">
        <f>IF(ISBLANK($A118),"",INDEX(Array_WaterCharges,MATCH($A118,List_WaterMeters,0),ROUNDUP((COLUMN()+0)/3-1,0)))</f>
        <v/>
      </c>
      <c r="O118" s="127"/>
      <c r="P118" s="137"/>
      <c r="Q118" s="58" t="str" cm="1">
        <f>IF(ISBLANK($A118),"",INDEX(Array_WaterCharges,MATCH($A118,List_WaterMeters,0),ROUNDUP((COLUMN()+0)/3-1,0)))</f>
        <v/>
      </c>
      <c r="R118" s="127"/>
      <c r="S118" s="137"/>
      <c r="T118" s="58" t="str" cm="1">
        <f>IF(ISBLANK($A118),"",INDEX(Array_WaterCharges,MATCH($A118,List_WaterMeters,0),ROUNDUP((COLUMN()+0)/3-1,0)))</f>
        <v/>
      </c>
      <c r="U118" s="127"/>
      <c r="V118" s="137"/>
      <c r="W118" s="58" t="str" cm="1">
        <f>IF(ISBLANK($A118),"",INDEX(Array_WaterCharges,MATCH($A118,List_WaterMeters,0),ROUNDUP((COLUMN()+0)/3-1,0)))</f>
        <v/>
      </c>
      <c r="X118" s="127"/>
      <c r="Y118" s="137"/>
      <c r="Z118" s="58" t="str" cm="1">
        <f>IF(ISBLANK($A118),"",INDEX(Array_WaterCharges,MATCH($A118,List_WaterMeters,0),ROUNDUP((COLUMN()+0)/3-1,0)))</f>
        <v/>
      </c>
      <c r="AA118" s="127"/>
      <c r="AB118" s="137"/>
      <c r="AC118" s="58" t="str" cm="1">
        <f>IF(ISBLANK($A118),"",INDEX(Array_WaterCharges,MATCH($A118,List_WaterMeters,0),ROUNDUP((COLUMN()+0)/3-1,0)))</f>
        <v/>
      </c>
      <c r="AD118" s="127"/>
      <c r="AE118" s="137"/>
      <c r="AF118" s="58" t="str" cm="1">
        <f>IF(ISBLANK($A118),"",INDEX(Array_WaterCharges,MATCH($A118,List_WaterMeters,0),ROUNDUP((COLUMN()+0)/3-1,0)))</f>
        <v/>
      </c>
      <c r="AG118" s="127"/>
      <c r="AH118" s="137"/>
    </row>
    <row r="119" spans="1:34" x14ac:dyDescent="0.3">
      <c r="A119" s="126"/>
      <c r="B119" s="133"/>
      <c r="C119" s="127"/>
      <c r="D119" s="137"/>
      <c r="E119" s="58" t="str" cm="1">
        <f>IF(ISBLANK($A119),"",INDEX(Array_WaterCharges,MATCH($A119,List_WaterMeters,0),ROUNDUP((COLUMN()+0)/3-1,0)))</f>
        <v/>
      </c>
      <c r="F119" s="127"/>
      <c r="G119" s="137"/>
      <c r="H119" s="58" t="str" cm="1">
        <f>IF(ISBLANK($A119),"",INDEX(Array_WaterCharges,MATCH($A119,List_WaterMeters,0),ROUNDUP((COLUMN()+0)/3-1,0)))</f>
        <v/>
      </c>
      <c r="I119" s="127"/>
      <c r="J119" s="137"/>
      <c r="K119" s="58" t="str" cm="1">
        <f>IF(ISBLANK($A119),"",INDEX(Array_WaterCharges,MATCH($A119,List_WaterMeters,0),ROUNDUP((COLUMN()+0)/3-1,0)))</f>
        <v/>
      </c>
      <c r="L119" s="127"/>
      <c r="M119" s="137"/>
      <c r="N119" s="58" t="str" cm="1">
        <f>IF(ISBLANK($A119),"",INDEX(Array_WaterCharges,MATCH($A119,List_WaterMeters,0),ROUNDUP((COLUMN()+0)/3-1,0)))</f>
        <v/>
      </c>
      <c r="O119" s="127"/>
      <c r="P119" s="137"/>
      <c r="Q119" s="58" t="str" cm="1">
        <f>IF(ISBLANK($A119),"",INDEX(Array_WaterCharges,MATCH($A119,List_WaterMeters,0),ROUNDUP((COLUMN()+0)/3-1,0)))</f>
        <v/>
      </c>
      <c r="R119" s="127"/>
      <c r="S119" s="137"/>
      <c r="T119" s="58" t="str" cm="1">
        <f>IF(ISBLANK($A119),"",INDEX(Array_WaterCharges,MATCH($A119,List_WaterMeters,0),ROUNDUP((COLUMN()+0)/3-1,0)))</f>
        <v/>
      </c>
      <c r="U119" s="127"/>
      <c r="V119" s="137"/>
      <c r="W119" s="58" t="str" cm="1">
        <f>IF(ISBLANK($A119),"",INDEX(Array_WaterCharges,MATCH($A119,List_WaterMeters,0),ROUNDUP((COLUMN()+0)/3-1,0)))</f>
        <v/>
      </c>
      <c r="X119" s="127"/>
      <c r="Y119" s="137"/>
      <c r="Z119" s="58" t="str" cm="1">
        <f>IF(ISBLANK($A119),"",INDEX(Array_WaterCharges,MATCH($A119,List_WaterMeters,0),ROUNDUP((COLUMN()+0)/3-1,0)))</f>
        <v/>
      </c>
      <c r="AA119" s="127"/>
      <c r="AB119" s="137"/>
      <c r="AC119" s="58" t="str" cm="1">
        <f>IF(ISBLANK($A119),"",INDEX(Array_WaterCharges,MATCH($A119,List_WaterMeters,0),ROUNDUP((COLUMN()+0)/3-1,0)))</f>
        <v/>
      </c>
      <c r="AD119" s="127"/>
      <c r="AE119" s="137"/>
      <c r="AF119" s="58" t="str" cm="1">
        <f>IF(ISBLANK($A119),"",INDEX(Array_WaterCharges,MATCH($A119,List_WaterMeters,0),ROUNDUP((COLUMN()+0)/3-1,0)))</f>
        <v/>
      </c>
      <c r="AG119" s="127"/>
      <c r="AH119" s="137"/>
    </row>
    <row r="120" spans="1:34" x14ac:dyDescent="0.3">
      <c r="A120" s="126"/>
      <c r="B120" s="133"/>
      <c r="C120" s="127"/>
      <c r="D120" s="137"/>
      <c r="E120" s="58" t="str" cm="1">
        <f>IF(ISBLANK($A120),"",INDEX(Array_WaterCharges,MATCH($A120,List_WaterMeters,0),ROUNDUP((COLUMN()+0)/3-1,0)))</f>
        <v/>
      </c>
      <c r="F120" s="127"/>
      <c r="G120" s="137"/>
      <c r="H120" s="58" t="str" cm="1">
        <f>IF(ISBLANK($A120),"",INDEX(Array_WaterCharges,MATCH($A120,List_WaterMeters,0),ROUNDUP((COLUMN()+0)/3-1,0)))</f>
        <v/>
      </c>
      <c r="I120" s="127"/>
      <c r="J120" s="137"/>
      <c r="K120" s="58" t="str" cm="1">
        <f>IF(ISBLANK($A120),"",INDEX(Array_WaterCharges,MATCH($A120,List_WaterMeters,0),ROUNDUP((COLUMN()+0)/3-1,0)))</f>
        <v/>
      </c>
      <c r="L120" s="127"/>
      <c r="M120" s="137"/>
      <c r="N120" s="58" t="str" cm="1">
        <f>IF(ISBLANK($A120),"",INDEX(Array_WaterCharges,MATCH($A120,List_WaterMeters,0),ROUNDUP((COLUMN()+0)/3-1,0)))</f>
        <v/>
      </c>
      <c r="O120" s="127"/>
      <c r="P120" s="137"/>
      <c r="Q120" s="58" t="str" cm="1">
        <f>IF(ISBLANK($A120),"",INDEX(Array_WaterCharges,MATCH($A120,List_WaterMeters,0),ROUNDUP((COLUMN()+0)/3-1,0)))</f>
        <v/>
      </c>
      <c r="R120" s="127"/>
      <c r="S120" s="137"/>
      <c r="T120" s="58" t="str" cm="1">
        <f>IF(ISBLANK($A120),"",INDEX(Array_WaterCharges,MATCH($A120,List_WaterMeters,0),ROUNDUP((COLUMN()+0)/3-1,0)))</f>
        <v/>
      </c>
      <c r="U120" s="127"/>
      <c r="V120" s="137"/>
      <c r="W120" s="58" t="str" cm="1">
        <f>IF(ISBLANK($A120),"",INDEX(Array_WaterCharges,MATCH($A120,List_WaterMeters,0),ROUNDUP((COLUMN()+0)/3-1,0)))</f>
        <v/>
      </c>
      <c r="X120" s="127"/>
      <c r="Y120" s="137"/>
      <c r="Z120" s="58" t="str" cm="1">
        <f>IF(ISBLANK($A120),"",INDEX(Array_WaterCharges,MATCH($A120,List_WaterMeters,0),ROUNDUP((COLUMN()+0)/3-1,0)))</f>
        <v/>
      </c>
      <c r="AA120" s="127"/>
      <c r="AB120" s="137"/>
      <c r="AC120" s="58" t="str" cm="1">
        <f>IF(ISBLANK($A120),"",INDEX(Array_WaterCharges,MATCH($A120,List_WaterMeters,0),ROUNDUP((COLUMN()+0)/3-1,0)))</f>
        <v/>
      </c>
      <c r="AD120" s="127"/>
      <c r="AE120" s="137"/>
      <c r="AF120" s="58" t="str" cm="1">
        <f>IF(ISBLANK($A120),"",INDEX(Array_WaterCharges,MATCH($A120,List_WaterMeters,0),ROUNDUP((COLUMN()+0)/3-1,0)))</f>
        <v/>
      </c>
      <c r="AG120" s="127"/>
      <c r="AH120" s="137"/>
    </row>
    <row r="121" spans="1:34" x14ac:dyDescent="0.3">
      <c r="A121" s="126"/>
      <c r="B121" s="133"/>
      <c r="C121" s="127"/>
      <c r="D121" s="137"/>
      <c r="E121" s="58" t="str" cm="1">
        <f>IF(ISBLANK($A121),"",INDEX(Array_WaterCharges,MATCH($A121,List_WaterMeters,0),ROUNDUP((COLUMN()+0)/3-1,0)))</f>
        <v/>
      </c>
      <c r="F121" s="127"/>
      <c r="G121" s="137"/>
      <c r="H121" s="58" t="str" cm="1">
        <f>IF(ISBLANK($A121),"",INDEX(Array_WaterCharges,MATCH($A121,List_WaterMeters,0),ROUNDUP((COLUMN()+0)/3-1,0)))</f>
        <v/>
      </c>
      <c r="I121" s="127"/>
      <c r="J121" s="137"/>
      <c r="K121" s="58" t="str" cm="1">
        <f>IF(ISBLANK($A121),"",INDEX(Array_WaterCharges,MATCH($A121,List_WaterMeters,0),ROUNDUP((COLUMN()+0)/3-1,0)))</f>
        <v/>
      </c>
      <c r="L121" s="127"/>
      <c r="M121" s="137"/>
      <c r="N121" s="58" t="str" cm="1">
        <f>IF(ISBLANK($A121),"",INDEX(Array_WaterCharges,MATCH($A121,List_WaterMeters,0),ROUNDUP((COLUMN()+0)/3-1,0)))</f>
        <v/>
      </c>
      <c r="O121" s="127"/>
      <c r="P121" s="137"/>
      <c r="Q121" s="58" t="str" cm="1">
        <f>IF(ISBLANK($A121),"",INDEX(Array_WaterCharges,MATCH($A121,List_WaterMeters,0),ROUNDUP((COLUMN()+0)/3-1,0)))</f>
        <v/>
      </c>
      <c r="R121" s="127"/>
      <c r="S121" s="137"/>
      <c r="T121" s="58" t="str" cm="1">
        <f>IF(ISBLANK($A121),"",INDEX(Array_WaterCharges,MATCH($A121,List_WaterMeters,0),ROUNDUP((COLUMN()+0)/3-1,0)))</f>
        <v/>
      </c>
      <c r="U121" s="127"/>
      <c r="V121" s="137"/>
      <c r="W121" s="58" t="str" cm="1">
        <f>IF(ISBLANK($A121),"",INDEX(Array_WaterCharges,MATCH($A121,List_WaterMeters,0),ROUNDUP((COLUMN()+0)/3-1,0)))</f>
        <v/>
      </c>
      <c r="X121" s="127"/>
      <c r="Y121" s="137"/>
      <c r="Z121" s="58" t="str" cm="1">
        <f>IF(ISBLANK($A121),"",INDEX(Array_WaterCharges,MATCH($A121,List_WaterMeters,0),ROUNDUP((COLUMN()+0)/3-1,0)))</f>
        <v/>
      </c>
      <c r="AA121" s="127"/>
      <c r="AB121" s="137"/>
      <c r="AC121" s="58" t="str" cm="1">
        <f>IF(ISBLANK($A121),"",INDEX(Array_WaterCharges,MATCH($A121,List_WaterMeters,0),ROUNDUP((COLUMN()+0)/3-1,0)))</f>
        <v/>
      </c>
      <c r="AD121" s="127"/>
      <c r="AE121" s="137"/>
      <c r="AF121" s="58" t="str" cm="1">
        <f>IF(ISBLANK($A121),"",INDEX(Array_WaterCharges,MATCH($A121,List_WaterMeters,0),ROUNDUP((COLUMN()+0)/3-1,0)))</f>
        <v/>
      </c>
      <c r="AG121" s="127"/>
      <c r="AH121" s="137"/>
    </row>
    <row r="122" spans="1:34" x14ac:dyDescent="0.3">
      <c r="A122" s="126"/>
      <c r="B122" s="133"/>
      <c r="C122" s="127"/>
      <c r="D122" s="137"/>
      <c r="E122" s="58" t="str" cm="1">
        <f>IF(ISBLANK($A122),"",INDEX(Array_WaterCharges,MATCH($A122,List_WaterMeters,0),ROUNDUP((COLUMN()+0)/3-1,0)))</f>
        <v/>
      </c>
      <c r="F122" s="127"/>
      <c r="G122" s="137"/>
      <c r="H122" s="58" t="str" cm="1">
        <f>IF(ISBLANK($A122),"",INDEX(Array_WaterCharges,MATCH($A122,List_WaterMeters,0),ROUNDUP((COLUMN()+0)/3-1,0)))</f>
        <v/>
      </c>
      <c r="I122" s="127"/>
      <c r="J122" s="137"/>
      <c r="K122" s="58" t="str" cm="1">
        <f>IF(ISBLANK($A122),"",INDEX(Array_WaterCharges,MATCH($A122,List_WaterMeters,0),ROUNDUP((COLUMN()+0)/3-1,0)))</f>
        <v/>
      </c>
      <c r="L122" s="127"/>
      <c r="M122" s="137"/>
      <c r="N122" s="58" t="str" cm="1">
        <f>IF(ISBLANK($A122),"",INDEX(Array_WaterCharges,MATCH($A122,List_WaterMeters,0),ROUNDUP((COLUMN()+0)/3-1,0)))</f>
        <v/>
      </c>
      <c r="O122" s="127"/>
      <c r="P122" s="137"/>
      <c r="Q122" s="58" t="str" cm="1">
        <f>IF(ISBLANK($A122),"",INDEX(Array_WaterCharges,MATCH($A122,List_WaterMeters,0),ROUNDUP((COLUMN()+0)/3-1,0)))</f>
        <v/>
      </c>
      <c r="R122" s="127"/>
      <c r="S122" s="137"/>
      <c r="T122" s="58" t="str" cm="1">
        <f>IF(ISBLANK($A122),"",INDEX(Array_WaterCharges,MATCH($A122,List_WaterMeters,0),ROUNDUP((COLUMN()+0)/3-1,0)))</f>
        <v/>
      </c>
      <c r="U122" s="127"/>
      <c r="V122" s="137"/>
      <c r="W122" s="58" t="str" cm="1">
        <f>IF(ISBLANK($A122),"",INDEX(Array_WaterCharges,MATCH($A122,List_WaterMeters,0),ROUNDUP((COLUMN()+0)/3-1,0)))</f>
        <v/>
      </c>
      <c r="X122" s="127"/>
      <c r="Y122" s="137"/>
      <c r="Z122" s="58" t="str" cm="1">
        <f>IF(ISBLANK($A122),"",INDEX(Array_WaterCharges,MATCH($A122,List_WaterMeters,0),ROUNDUP((COLUMN()+0)/3-1,0)))</f>
        <v/>
      </c>
      <c r="AA122" s="127"/>
      <c r="AB122" s="137"/>
      <c r="AC122" s="58" t="str" cm="1">
        <f>IF(ISBLANK($A122),"",INDEX(Array_WaterCharges,MATCH($A122,List_WaterMeters,0),ROUNDUP((COLUMN()+0)/3-1,0)))</f>
        <v/>
      </c>
      <c r="AD122" s="127"/>
      <c r="AE122" s="137"/>
      <c r="AF122" s="58" t="str" cm="1">
        <f>IF(ISBLANK($A122),"",INDEX(Array_WaterCharges,MATCH($A122,List_WaterMeters,0),ROUNDUP((COLUMN()+0)/3-1,0)))</f>
        <v/>
      </c>
      <c r="AG122" s="127"/>
      <c r="AH122" s="137"/>
    </row>
    <row r="123" spans="1:34" x14ac:dyDescent="0.3">
      <c r="A123" s="126"/>
      <c r="B123" s="133"/>
      <c r="C123" s="127"/>
      <c r="D123" s="137"/>
      <c r="E123" s="58" t="str" cm="1">
        <f>IF(ISBLANK($A123),"",INDEX(Array_WaterCharges,MATCH($A123,List_WaterMeters,0),ROUNDUP((COLUMN()+0)/3-1,0)))</f>
        <v/>
      </c>
      <c r="F123" s="127"/>
      <c r="G123" s="137"/>
      <c r="H123" s="58" t="str" cm="1">
        <f>IF(ISBLANK($A123),"",INDEX(Array_WaterCharges,MATCH($A123,List_WaterMeters,0),ROUNDUP((COLUMN()+0)/3-1,0)))</f>
        <v/>
      </c>
      <c r="I123" s="127"/>
      <c r="J123" s="137"/>
      <c r="K123" s="58" t="str" cm="1">
        <f>IF(ISBLANK($A123),"",INDEX(Array_WaterCharges,MATCH($A123,List_WaterMeters,0),ROUNDUP((COLUMN()+0)/3-1,0)))</f>
        <v/>
      </c>
      <c r="L123" s="127"/>
      <c r="M123" s="137"/>
      <c r="N123" s="58" t="str" cm="1">
        <f>IF(ISBLANK($A123),"",INDEX(Array_WaterCharges,MATCH($A123,List_WaterMeters,0),ROUNDUP((COLUMN()+0)/3-1,0)))</f>
        <v/>
      </c>
      <c r="O123" s="127"/>
      <c r="P123" s="137"/>
      <c r="Q123" s="58" t="str" cm="1">
        <f>IF(ISBLANK($A123),"",INDEX(Array_WaterCharges,MATCH($A123,List_WaterMeters,0),ROUNDUP((COLUMN()+0)/3-1,0)))</f>
        <v/>
      </c>
      <c r="R123" s="127"/>
      <c r="S123" s="137"/>
      <c r="T123" s="58" t="str" cm="1">
        <f>IF(ISBLANK($A123),"",INDEX(Array_WaterCharges,MATCH($A123,List_WaterMeters,0),ROUNDUP((COLUMN()+0)/3-1,0)))</f>
        <v/>
      </c>
      <c r="U123" s="127"/>
      <c r="V123" s="137"/>
      <c r="W123" s="58" t="str" cm="1">
        <f>IF(ISBLANK($A123),"",INDEX(Array_WaterCharges,MATCH($A123,List_WaterMeters,0),ROUNDUP((COLUMN()+0)/3-1,0)))</f>
        <v/>
      </c>
      <c r="X123" s="127"/>
      <c r="Y123" s="137"/>
      <c r="Z123" s="58" t="str" cm="1">
        <f>IF(ISBLANK($A123),"",INDEX(Array_WaterCharges,MATCH($A123,List_WaterMeters,0),ROUNDUP((COLUMN()+0)/3-1,0)))</f>
        <v/>
      </c>
      <c r="AA123" s="127"/>
      <c r="AB123" s="137"/>
      <c r="AC123" s="58" t="str" cm="1">
        <f>IF(ISBLANK($A123),"",INDEX(Array_WaterCharges,MATCH($A123,List_WaterMeters,0),ROUNDUP((COLUMN()+0)/3-1,0)))</f>
        <v/>
      </c>
      <c r="AD123" s="127"/>
      <c r="AE123" s="137"/>
      <c r="AF123" s="58" t="str" cm="1">
        <f>IF(ISBLANK($A123),"",INDEX(Array_WaterCharges,MATCH($A123,List_WaterMeters,0),ROUNDUP((COLUMN()+0)/3-1,0)))</f>
        <v/>
      </c>
      <c r="AG123" s="127"/>
      <c r="AH123" s="137"/>
    </row>
    <row r="124" spans="1:34" x14ac:dyDescent="0.3">
      <c r="A124" s="126"/>
      <c r="B124" s="133"/>
      <c r="C124" s="127"/>
      <c r="D124" s="137"/>
      <c r="E124" s="58" t="str" cm="1">
        <f>IF(ISBLANK($A124),"",INDEX(Array_WaterCharges,MATCH($A124,List_WaterMeters,0),ROUNDUP((COLUMN()+0)/3-1,0)))</f>
        <v/>
      </c>
      <c r="F124" s="127"/>
      <c r="G124" s="137"/>
      <c r="H124" s="58" t="str" cm="1">
        <f>IF(ISBLANK($A124),"",INDEX(Array_WaterCharges,MATCH($A124,List_WaterMeters,0),ROUNDUP((COLUMN()+0)/3-1,0)))</f>
        <v/>
      </c>
      <c r="I124" s="127"/>
      <c r="J124" s="137"/>
      <c r="K124" s="58" t="str" cm="1">
        <f>IF(ISBLANK($A124),"",INDEX(Array_WaterCharges,MATCH($A124,List_WaterMeters,0),ROUNDUP((COLUMN()+0)/3-1,0)))</f>
        <v/>
      </c>
      <c r="L124" s="127"/>
      <c r="M124" s="137"/>
      <c r="N124" s="58" t="str" cm="1">
        <f>IF(ISBLANK($A124),"",INDEX(Array_WaterCharges,MATCH($A124,List_WaterMeters,0),ROUNDUP((COLUMN()+0)/3-1,0)))</f>
        <v/>
      </c>
      <c r="O124" s="127"/>
      <c r="P124" s="137"/>
      <c r="Q124" s="58" t="str" cm="1">
        <f>IF(ISBLANK($A124),"",INDEX(Array_WaterCharges,MATCH($A124,List_WaterMeters,0),ROUNDUP((COLUMN()+0)/3-1,0)))</f>
        <v/>
      </c>
      <c r="R124" s="127"/>
      <c r="S124" s="137"/>
      <c r="T124" s="58" t="str" cm="1">
        <f>IF(ISBLANK($A124),"",INDEX(Array_WaterCharges,MATCH($A124,List_WaterMeters,0),ROUNDUP((COLUMN()+0)/3-1,0)))</f>
        <v/>
      </c>
      <c r="U124" s="127"/>
      <c r="V124" s="137"/>
      <c r="W124" s="58" t="str" cm="1">
        <f>IF(ISBLANK($A124),"",INDEX(Array_WaterCharges,MATCH($A124,List_WaterMeters,0),ROUNDUP((COLUMN()+0)/3-1,0)))</f>
        <v/>
      </c>
      <c r="X124" s="127"/>
      <c r="Y124" s="137"/>
      <c r="Z124" s="58" t="str" cm="1">
        <f>IF(ISBLANK($A124),"",INDEX(Array_WaterCharges,MATCH($A124,List_WaterMeters,0),ROUNDUP((COLUMN()+0)/3-1,0)))</f>
        <v/>
      </c>
      <c r="AA124" s="127"/>
      <c r="AB124" s="137"/>
      <c r="AC124" s="58" t="str" cm="1">
        <f>IF(ISBLANK($A124),"",INDEX(Array_WaterCharges,MATCH($A124,List_WaterMeters,0),ROUNDUP((COLUMN()+0)/3-1,0)))</f>
        <v/>
      </c>
      <c r="AD124" s="127"/>
      <c r="AE124" s="137"/>
      <c r="AF124" s="58" t="str" cm="1">
        <f>IF(ISBLANK($A124),"",INDEX(Array_WaterCharges,MATCH($A124,List_WaterMeters,0),ROUNDUP((COLUMN()+0)/3-1,0)))</f>
        <v/>
      </c>
      <c r="AG124" s="127"/>
      <c r="AH124" s="137"/>
    </row>
    <row r="125" spans="1:34" x14ac:dyDescent="0.3">
      <c r="A125" s="126"/>
      <c r="B125" s="133"/>
      <c r="C125" s="127"/>
      <c r="D125" s="137"/>
      <c r="E125" s="58" t="str" cm="1">
        <f>IF(ISBLANK($A125),"",INDEX(Array_WaterCharges,MATCH($A125,List_WaterMeters,0),ROUNDUP((COLUMN()+0)/3-1,0)))</f>
        <v/>
      </c>
      <c r="F125" s="127"/>
      <c r="G125" s="137"/>
      <c r="H125" s="58" t="str" cm="1">
        <f>IF(ISBLANK($A125),"",INDEX(Array_WaterCharges,MATCH($A125,List_WaterMeters,0),ROUNDUP((COLUMN()+0)/3-1,0)))</f>
        <v/>
      </c>
      <c r="I125" s="127"/>
      <c r="J125" s="137"/>
      <c r="K125" s="58" t="str" cm="1">
        <f>IF(ISBLANK($A125),"",INDEX(Array_WaterCharges,MATCH($A125,List_WaterMeters,0),ROUNDUP((COLUMN()+0)/3-1,0)))</f>
        <v/>
      </c>
      <c r="L125" s="127"/>
      <c r="M125" s="137"/>
      <c r="N125" s="58" t="str" cm="1">
        <f>IF(ISBLANK($A125),"",INDEX(Array_WaterCharges,MATCH($A125,List_WaterMeters,0),ROUNDUP((COLUMN()+0)/3-1,0)))</f>
        <v/>
      </c>
      <c r="O125" s="127"/>
      <c r="P125" s="137"/>
      <c r="Q125" s="58" t="str" cm="1">
        <f>IF(ISBLANK($A125),"",INDEX(Array_WaterCharges,MATCH($A125,List_WaterMeters,0),ROUNDUP((COLUMN()+0)/3-1,0)))</f>
        <v/>
      </c>
      <c r="R125" s="127"/>
      <c r="S125" s="137"/>
      <c r="T125" s="58" t="str" cm="1">
        <f>IF(ISBLANK($A125),"",INDEX(Array_WaterCharges,MATCH($A125,List_WaterMeters,0),ROUNDUP((COLUMN()+0)/3-1,0)))</f>
        <v/>
      </c>
      <c r="U125" s="127"/>
      <c r="V125" s="137"/>
      <c r="W125" s="58" t="str" cm="1">
        <f>IF(ISBLANK($A125),"",INDEX(Array_WaterCharges,MATCH($A125,List_WaterMeters,0),ROUNDUP((COLUMN()+0)/3-1,0)))</f>
        <v/>
      </c>
      <c r="X125" s="127"/>
      <c r="Y125" s="137"/>
      <c r="Z125" s="58" t="str" cm="1">
        <f>IF(ISBLANK($A125),"",INDEX(Array_WaterCharges,MATCH($A125,List_WaterMeters,0),ROUNDUP((COLUMN()+0)/3-1,0)))</f>
        <v/>
      </c>
      <c r="AA125" s="127"/>
      <c r="AB125" s="137"/>
      <c r="AC125" s="58" t="str" cm="1">
        <f>IF(ISBLANK($A125),"",INDEX(Array_WaterCharges,MATCH($A125,List_WaterMeters,0),ROUNDUP((COLUMN()+0)/3-1,0)))</f>
        <v/>
      </c>
      <c r="AD125" s="127"/>
      <c r="AE125" s="137"/>
      <c r="AF125" s="58" t="str" cm="1">
        <f>IF(ISBLANK($A125),"",INDEX(Array_WaterCharges,MATCH($A125,List_WaterMeters,0),ROUNDUP((COLUMN()+0)/3-1,0)))</f>
        <v/>
      </c>
      <c r="AG125" s="127"/>
      <c r="AH125" s="137"/>
    </row>
    <row r="126" spans="1:34" x14ac:dyDescent="0.3">
      <c r="A126" s="126"/>
      <c r="B126" s="133"/>
      <c r="C126" s="127"/>
      <c r="D126" s="137"/>
      <c r="E126" s="58" t="str" cm="1">
        <f>IF(ISBLANK($A126),"",INDEX(Array_WaterCharges,MATCH($A126,List_WaterMeters,0),ROUNDUP((COLUMN()+0)/3-1,0)))</f>
        <v/>
      </c>
      <c r="F126" s="127"/>
      <c r="G126" s="137"/>
      <c r="H126" s="58" t="str" cm="1">
        <f>IF(ISBLANK($A126),"",INDEX(Array_WaterCharges,MATCH($A126,List_WaterMeters,0),ROUNDUP((COLUMN()+0)/3-1,0)))</f>
        <v/>
      </c>
      <c r="I126" s="127"/>
      <c r="J126" s="137"/>
      <c r="K126" s="58" t="str" cm="1">
        <f>IF(ISBLANK($A126),"",INDEX(Array_WaterCharges,MATCH($A126,List_WaterMeters,0),ROUNDUP((COLUMN()+0)/3-1,0)))</f>
        <v/>
      </c>
      <c r="L126" s="127"/>
      <c r="M126" s="137"/>
      <c r="N126" s="58" t="str" cm="1">
        <f>IF(ISBLANK($A126),"",INDEX(Array_WaterCharges,MATCH($A126,List_WaterMeters,0),ROUNDUP((COLUMN()+0)/3-1,0)))</f>
        <v/>
      </c>
      <c r="O126" s="127"/>
      <c r="P126" s="137"/>
      <c r="Q126" s="58" t="str" cm="1">
        <f>IF(ISBLANK($A126),"",INDEX(Array_WaterCharges,MATCH($A126,List_WaterMeters,0),ROUNDUP((COLUMN()+0)/3-1,0)))</f>
        <v/>
      </c>
      <c r="R126" s="127"/>
      <c r="S126" s="137"/>
      <c r="T126" s="58" t="str" cm="1">
        <f>IF(ISBLANK($A126),"",INDEX(Array_WaterCharges,MATCH($A126,List_WaterMeters,0),ROUNDUP((COLUMN()+0)/3-1,0)))</f>
        <v/>
      </c>
      <c r="U126" s="127"/>
      <c r="V126" s="137"/>
      <c r="W126" s="58" t="str" cm="1">
        <f>IF(ISBLANK($A126),"",INDEX(Array_WaterCharges,MATCH($A126,List_WaterMeters,0),ROUNDUP((COLUMN()+0)/3-1,0)))</f>
        <v/>
      </c>
      <c r="X126" s="127"/>
      <c r="Y126" s="137"/>
      <c r="Z126" s="58" t="str" cm="1">
        <f>IF(ISBLANK($A126),"",INDEX(Array_WaterCharges,MATCH($A126,List_WaterMeters,0),ROUNDUP((COLUMN()+0)/3-1,0)))</f>
        <v/>
      </c>
      <c r="AA126" s="127"/>
      <c r="AB126" s="137"/>
      <c r="AC126" s="58" t="str" cm="1">
        <f>IF(ISBLANK($A126),"",INDEX(Array_WaterCharges,MATCH($A126,List_WaterMeters,0),ROUNDUP((COLUMN()+0)/3-1,0)))</f>
        <v/>
      </c>
      <c r="AD126" s="127"/>
      <c r="AE126" s="137"/>
      <c r="AF126" s="58" t="str" cm="1">
        <f>IF(ISBLANK($A126),"",INDEX(Array_WaterCharges,MATCH($A126,List_WaterMeters,0),ROUNDUP((COLUMN()+0)/3-1,0)))</f>
        <v/>
      </c>
      <c r="AG126" s="127"/>
      <c r="AH126" s="137"/>
    </row>
    <row r="127" spans="1:34" x14ac:dyDescent="0.3">
      <c r="A127" s="126"/>
      <c r="B127" s="133"/>
      <c r="C127" s="127"/>
      <c r="D127" s="137"/>
      <c r="E127" s="58" t="str" cm="1">
        <f>IF(ISBLANK($A127),"",INDEX(Array_WaterCharges,MATCH($A127,List_WaterMeters,0),ROUNDUP((COLUMN()+0)/3-1,0)))</f>
        <v/>
      </c>
      <c r="F127" s="127"/>
      <c r="G127" s="137"/>
      <c r="H127" s="58" t="str" cm="1">
        <f>IF(ISBLANK($A127),"",INDEX(Array_WaterCharges,MATCH($A127,List_WaterMeters,0),ROUNDUP((COLUMN()+0)/3-1,0)))</f>
        <v/>
      </c>
      <c r="I127" s="127"/>
      <c r="J127" s="137"/>
      <c r="K127" s="58" t="str" cm="1">
        <f>IF(ISBLANK($A127),"",INDEX(Array_WaterCharges,MATCH($A127,List_WaterMeters,0),ROUNDUP((COLUMN()+0)/3-1,0)))</f>
        <v/>
      </c>
      <c r="L127" s="127"/>
      <c r="M127" s="137"/>
      <c r="N127" s="58" t="str" cm="1">
        <f>IF(ISBLANK($A127),"",INDEX(Array_WaterCharges,MATCH($A127,List_WaterMeters,0),ROUNDUP((COLUMN()+0)/3-1,0)))</f>
        <v/>
      </c>
      <c r="O127" s="127"/>
      <c r="P127" s="137"/>
      <c r="Q127" s="58" t="str" cm="1">
        <f>IF(ISBLANK($A127),"",INDEX(Array_WaterCharges,MATCH($A127,List_WaterMeters,0),ROUNDUP((COLUMN()+0)/3-1,0)))</f>
        <v/>
      </c>
      <c r="R127" s="127"/>
      <c r="S127" s="137"/>
      <c r="T127" s="58" t="str" cm="1">
        <f>IF(ISBLANK($A127),"",INDEX(Array_WaterCharges,MATCH($A127,List_WaterMeters,0),ROUNDUP((COLUMN()+0)/3-1,0)))</f>
        <v/>
      </c>
      <c r="U127" s="127"/>
      <c r="V127" s="137"/>
      <c r="W127" s="58" t="str" cm="1">
        <f>IF(ISBLANK($A127),"",INDEX(Array_WaterCharges,MATCH($A127,List_WaterMeters,0),ROUNDUP((COLUMN()+0)/3-1,0)))</f>
        <v/>
      </c>
      <c r="X127" s="127"/>
      <c r="Y127" s="137"/>
      <c r="Z127" s="58" t="str" cm="1">
        <f>IF(ISBLANK($A127),"",INDEX(Array_WaterCharges,MATCH($A127,List_WaterMeters,0),ROUNDUP((COLUMN()+0)/3-1,0)))</f>
        <v/>
      </c>
      <c r="AA127" s="127"/>
      <c r="AB127" s="137"/>
      <c r="AC127" s="58" t="str" cm="1">
        <f>IF(ISBLANK($A127),"",INDEX(Array_WaterCharges,MATCH($A127,List_WaterMeters,0),ROUNDUP((COLUMN()+0)/3-1,0)))</f>
        <v/>
      </c>
      <c r="AD127" s="127"/>
      <c r="AE127" s="137"/>
      <c r="AF127" s="58" t="str" cm="1">
        <f>IF(ISBLANK($A127),"",INDEX(Array_WaterCharges,MATCH($A127,List_WaterMeters,0),ROUNDUP((COLUMN()+0)/3-1,0)))</f>
        <v/>
      </c>
      <c r="AG127" s="127"/>
      <c r="AH127" s="137"/>
    </row>
    <row r="128" spans="1:34" x14ac:dyDescent="0.3">
      <c r="A128" s="126"/>
      <c r="B128" s="133"/>
      <c r="C128" s="127"/>
      <c r="D128" s="137"/>
      <c r="E128" s="58" t="str" cm="1">
        <f>IF(ISBLANK($A128),"",INDEX(Array_WaterCharges,MATCH($A128,List_WaterMeters,0),ROUNDUP((COLUMN()+0)/3-1,0)))</f>
        <v/>
      </c>
      <c r="F128" s="127"/>
      <c r="G128" s="137"/>
      <c r="H128" s="58" t="str" cm="1">
        <f>IF(ISBLANK($A128),"",INDEX(Array_WaterCharges,MATCH($A128,List_WaterMeters,0),ROUNDUP((COLUMN()+0)/3-1,0)))</f>
        <v/>
      </c>
      <c r="I128" s="127"/>
      <c r="J128" s="137"/>
      <c r="K128" s="58" t="str" cm="1">
        <f>IF(ISBLANK($A128),"",INDEX(Array_WaterCharges,MATCH($A128,List_WaterMeters,0),ROUNDUP((COLUMN()+0)/3-1,0)))</f>
        <v/>
      </c>
      <c r="L128" s="127"/>
      <c r="M128" s="137"/>
      <c r="N128" s="58" t="str" cm="1">
        <f>IF(ISBLANK($A128),"",INDEX(Array_WaterCharges,MATCH($A128,List_WaterMeters,0),ROUNDUP((COLUMN()+0)/3-1,0)))</f>
        <v/>
      </c>
      <c r="O128" s="127"/>
      <c r="P128" s="137"/>
      <c r="Q128" s="58" t="str" cm="1">
        <f>IF(ISBLANK($A128),"",INDEX(Array_WaterCharges,MATCH($A128,List_WaterMeters,0),ROUNDUP((COLUMN()+0)/3-1,0)))</f>
        <v/>
      </c>
      <c r="R128" s="127"/>
      <c r="S128" s="137"/>
      <c r="T128" s="58" t="str" cm="1">
        <f>IF(ISBLANK($A128),"",INDEX(Array_WaterCharges,MATCH($A128,List_WaterMeters,0),ROUNDUP((COLUMN()+0)/3-1,0)))</f>
        <v/>
      </c>
      <c r="U128" s="127"/>
      <c r="V128" s="137"/>
      <c r="W128" s="58" t="str" cm="1">
        <f>IF(ISBLANK($A128),"",INDEX(Array_WaterCharges,MATCH($A128,List_WaterMeters,0),ROUNDUP((COLUMN()+0)/3-1,0)))</f>
        <v/>
      </c>
      <c r="X128" s="127"/>
      <c r="Y128" s="137"/>
      <c r="Z128" s="58" t="str" cm="1">
        <f>IF(ISBLANK($A128),"",INDEX(Array_WaterCharges,MATCH($A128,List_WaterMeters,0),ROUNDUP((COLUMN()+0)/3-1,0)))</f>
        <v/>
      </c>
      <c r="AA128" s="127"/>
      <c r="AB128" s="137"/>
      <c r="AC128" s="58" t="str" cm="1">
        <f>IF(ISBLANK($A128),"",INDEX(Array_WaterCharges,MATCH($A128,List_WaterMeters,0),ROUNDUP((COLUMN()+0)/3-1,0)))</f>
        <v/>
      </c>
      <c r="AD128" s="127"/>
      <c r="AE128" s="137"/>
      <c r="AF128" s="58" t="str" cm="1">
        <f>IF(ISBLANK($A128),"",INDEX(Array_WaterCharges,MATCH($A128,List_WaterMeters,0),ROUNDUP((COLUMN()+0)/3-1,0)))</f>
        <v/>
      </c>
      <c r="AG128" s="127"/>
      <c r="AH128" s="137"/>
    </row>
    <row r="129" spans="1:34" x14ac:dyDescent="0.3">
      <c r="A129" s="126"/>
      <c r="B129" s="133"/>
      <c r="C129" s="127"/>
      <c r="D129" s="137"/>
      <c r="E129" s="58" t="str" cm="1">
        <f>IF(ISBLANK($A129),"",INDEX(Array_WaterCharges,MATCH($A129,List_WaterMeters,0),ROUNDUP((COLUMN()+0)/3-1,0)))</f>
        <v/>
      </c>
      <c r="F129" s="127"/>
      <c r="G129" s="137"/>
      <c r="H129" s="58" t="str" cm="1">
        <f>IF(ISBLANK($A129),"",INDEX(Array_WaterCharges,MATCH($A129,List_WaterMeters,0),ROUNDUP((COLUMN()+0)/3-1,0)))</f>
        <v/>
      </c>
      <c r="I129" s="127"/>
      <c r="J129" s="137"/>
      <c r="K129" s="58" t="str" cm="1">
        <f>IF(ISBLANK($A129),"",INDEX(Array_WaterCharges,MATCH($A129,List_WaterMeters,0),ROUNDUP((COLUMN()+0)/3-1,0)))</f>
        <v/>
      </c>
      <c r="L129" s="127"/>
      <c r="M129" s="137"/>
      <c r="N129" s="58" t="str" cm="1">
        <f>IF(ISBLANK($A129),"",INDEX(Array_WaterCharges,MATCH($A129,List_WaterMeters,0),ROUNDUP((COLUMN()+0)/3-1,0)))</f>
        <v/>
      </c>
      <c r="O129" s="127"/>
      <c r="P129" s="137"/>
      <c r="Q129" s="58" t="str" cm="1">
        <f>IF(ISBLANK($A129),"",INDEX(Array_WaterCharges,MATCH($A129,List_WaterMeters,0),ROUNDUP((COLUMN()+0)/3-1,0)))</f>
        <v/>
      </c>
      <c r="R129" s="127"/>
      <c r="S129" s="137"/>
      <c r="T129" s="58" t="str" cm="1">
        <f>IF(ISBLANK($A129),"",INDEX(Array_WaterCharges,MATCH($A129,List_WaterMeters,0),ROUNDUP((COLUMN()+0)/3-1,0)))</f>
        <v/>
      </c>
      <c r="U129" s="127"/>
      <c r="V129" s="137"/>
      <c r="W129" s="58" t="str" cm="1">
        <f>IF(ISBLANK($A129),"",INDEX(Array_WaterCharges,MATCH($A129,List_WaterMeters,0),ROUNDUP((COLUMN()+0)/3-1,0)))</f>
        <v/>
      </c>
      <c r="X129" s="127"/>
      <c r="Y129" s="137"/>
      <c r="Z129" s="58" t="str" cm="1">
        <f>IF(ISBLANK($A129),"",INDEX(Array_WaterCharges,MATCH($A129,List_WaterMeters,0),ROUNDUP((COLUMN()+0)/3-1,0)))</f>
        <v/>
      </c>
      <c r="AA129" s="127"/>
      <c r="AB129" s="137"/>
      <c r="AC129" s="58" t="str" cm="1">
        <f>IF(ISBLANK($A129),"",INDEX(Array_WaterCharges,MATCH($A129,List_WaterMeters,0),ROUNDUP((COLUMN()+0)/3-1,0)))</f>
        <v/>
      </c>
      <c r="AD129" s="127"/>
      <c r="AE129" s="137"/>
      <c r="AF129" s="58" t="str" cm="1">
        <f>IF(ISBLANK($A129),"",INDEX(Array_WaterCharges,MATCH($A129,List_WaterMeters,0),ROUNDUP((COLUMN()+0)/3-1,0)))</f>
        <v/>
      </c>
      <c r="AG129" s="127"/>
      <c r="AH129" s="137"/>
    </row>
    <row r="130" spans="1:34" x14ac:dyDescent="0.3">
      <c r="A130" s="126"/>
      <c r="B130" s="133"/>
      <c r="C130" s="127"/>
      <c r="D130" s="137"/>
      <c r="E130" s="58" t="str" cm="1">
        <f>IF(ISBLANK($A130),"",INDEX(Array_WaterCharges,MATCH($A130,List_WaterMeters,0),ROUNDUP((COLUMN()+0)/3-1,0)))</f>
        <v/>
      </c>
      <c r="F130" s="127"/>
      <c r="G130" s="137"/>
      <c r="H130" s="58" t="str" cm="1">
        <f>IF(ISBLANK($A130),"",INDEX(Array_WaterCharges,MATCH($A130,List_WaterMeters,0),ROUNDUP((COLUMN()+0)/3-1,0)))</f>
        <v/>
      </c>
      <c r="I130" s="127"/>
      <c r="J130" s="137"/>
      <c r="K130" s="58" t="str" cm="1">
        <f>IF(ISBLANK($A130),"",INDEX(Array_WaterCharges,MATCH($A130,List_WaterMeters,0),ROUNDUP((COLUMN()+0)/3-1,0)))</f>
        <v/>
      </c>
      <c r="L130" s="127"/>
      <c r="M130" s="137"/>
      <c r="N130" s="58" t="str" cm="1">
        <f>IF(ISBLANK($A130),"",INDEX(Array_WaterCharges,MATCH($A130,List_WaterMeters,0),ROUNDUP((COLUMN()+0)/3-1,0)))</f>
        <v/>
      </c>
      <c r="O130" s="127"/>
      <c r="P130" s="137"/>
      <c r="Q130" s="58" t="str" cm="1">
        <f>IF(ISBLANK($A130),"",INDEX(Array_WaterCharges,MATCH($A130,List_WaterMeters,0),ROUNDUP((COLUMN()+0)/3-1,0)))</f>
        <v/>
      </c>
      <c r="R130" s="127"/>
      <c r="S130" s="137"/>
      <c r="T130" s="58" t="str" cm="1">
        <f>IF(ISBLANK($A130),"",INDEX(Array_WaterCharges,MATCH($A130,List_WaterMeters,0),ROUNDUP((COLUMN()+0)/3-1,0)))</f>
        <v/>
      </c>
      <c r="U130" s="127"/>
      <c r="V130" s="137"/>
      <c r="W130" s="58" t="str" cm="1">
        <f>IF(ISBLANK($A130),"",INDEX(Array_WaterCharges,MATCH($A130,List_WaterMeters,0),ROUNDUP((COLUMN()+0)/3-1,0)))</f>
        <v/>
      </c>
      <c r="X130" s="127"/>
      <c r="Y130" s="137"/>
      <c r="Z130" s="58" t="str" cm="1">
        <f>IF(ISBLANK($A130),"",INDEX(Array_WaterCharges,MATCH($A130,List_WaterMeters,0),ROUNDUP((COLUMN()+0)/3-1,0)))</f>
        <v/>
      </c>
      <c r="AA130" s="127"/>
      <c r="AB130" s="137"/>
      <c r="AC130" s="58" t="str" cm="1">
        <f>IF(ISBLANK($A130),"",INDEX(Array_WaterCharges,MATCH($A130,List_WaterMeters,0),ROUNDUP((COLUMN()+0)/3-1,0)))</f>
        <v/>
      </c>
      <c r="AD130" s="127"/>
      <c r="AE130" s="137"/>
      <c r="AF130" s="58" t="str" cm="1">
        <f>IF(ISBLANK($A130),"",INDEX(Array_WaterCharges,MATCH($A130,List_WaterMeters,0),ROUNDUP((COLUMN()+0)/3-1,0)))</f>
        <v/>
      </c>
      <c r="AG130" s="127"/>
      <c r="AH130" s="137"/>
    </row>
    <row r="131" spans="1:34" x14ac:dyDescent="0.3">
      <c r="A131" s="126"/>
      <c r="B131" s="133"/>
      <c r="C131" s="127"/>
      <c r="D131" s="137"/>
      <c r="E131" s="58" t="str" cm="1">
        <f>IF(ISBLANK($A131),"",INDEX(Array_WaterCharges,MATCH($A131,List_WaterMeters,0),ROUNDUP((COLUMN()+0)/3-1,0)))</f>
        <v/>
      </c>
      <c r="F131" s="127"/>
      <c r="G131" s="137"/>
      <c r="H131" s="58" t="str" cm="1">
        <f>IF(ISBLANK($A131),"",INDEX(Array_WaterCharges,MATCH($A131,List_WaterMeters,0),ROUNDUP((COLUMN()+0)/3-1,0)))</f>
        <v/>
      </c>
      <c r="I131" s="127"/>
      <c r="J131" s="137"/>
      <c r="K131" s="58" t="str" cm="1">
        <f>IF(ISBLANK($A131),"",INDEX(Array_WaterCharges,MATCH($A131,List_WaterMeters,0),ROUNDUP((COLUMN()+0)/3-1,0)))</f>
        <v/>
      </c>
      <c r="L131" s="127"/>
      <c r="M131" s="137"/>
      <c r="N131" s="58" t="str" cm="1">
        <f>IF(ISBLANK($A131),"",INDEX(Array_WaterCharges,MATCH($A131,List_WaterMeters,0),ROUNDUP((COLUMN()+0)/3-1,0)))</f>
        <v/>
      </c>
      <c r="O131" s="127"/>
      <c r="P131" s="137"/>
      <c r="Q131" s="58" t="str" cm="1">
        <f>IF(ISBLANK($A131),"",INDEX(Array_WaterCharges,MATCH($A131,List_WaterMeters,0),ROUNDUP((COLUMN()+0)/3-1,0)))</f>
        <v/>
      </c>
      <c r="R131" s="127"/>
      <c r="S131" s="137"/>
      <c r="T131" s="58" t="str" cm="1">
        <f>IF(ISBLANK($A131),"",INDEX(Array_WaterCharges,MATCH($A131,List_WaterMeters,0),ROUNDUP((COLUMN()+0)/3-1,0)))</f>
        <v/>
      </c>
      <c r="U131" s="127"/>
      <c r="V131" s="137"/>
      <c r="W131" s="58" t="str" cm="1">
        <f>IF(ISBLANK($A131),"",INDEX(Array_WaterCharges,MATCH($A131,List_WaterMeters,0),ROUNDUP((COLUMN()+0)/3-1,0)))</f>
        <v/>
      </c>
      <c r="X131" s="127"/>
      <c r="Y131" s="137"/>
      <c r="Z131" s="58" t="str" cm="1">
        <f>IF(ISBLANK($A131),"",INDEX(Array_WaterCharges,MATCH($A131,List_WaterMeters,0),ROUNDUP((COLUMN()+0)/3-1,0)))</f>
        <v/>
      </c>
      <c r="AA131" s="127"/>
      <c r="AB131" s="137"/>
      <c r="AC131" s="58" t="str" cm="1">
        <f>IF(ISBLANK($A131),"",INDEX(Array_WaterCharges,MATCH($A131,List_WaterMeters,0),ROUNDUP((COLUMN()+0)/3-1,0)))</f>
        <v/>
      </c>
      <c r="AD131" s="127"/>
      <c r="AE131" s="137"/>
      <c r="AF131" s="58" t="str" cm="1">
        <f>IF(ISBLANK($A131),"",INDEX(Array_WaterCharges,MATCH($A131,List_WaterMeters,0),ROUNDUP((COLUMN()+0)/3-1,0)))</f>
        <v/>
      </c>
      <c r="AG131" s="127"/>
      <c r="AH131" s="137"/>
    </row>
    <row r="132" spans="1:34" x14ac:dyDescent="0.3">
      <c r="A132" s="126"/>
      <c r="B132" s="133"/>
      <c r="C132" s="127"/>
      <c r="D132" s="137"/>
      <c r="E132" s="58" t="str" cm="1">
        <f>IF(ISBLANK($A132),"",INDEX(Array_WaterCharges,MATCH($A132,List_WaterMeters,0),ROUNDUP((COLUMN()+0)/3-1,0)))</f>
        <v/>
      </c>
      <c r="F132" s="127"/>
      <c r="G132" s="137"/>
      <c r="H132" s="58" t="str" cm="1">
        <f>IF(ISBLANK($A132),"",INDEX(Array_WaterCharges,MATCH($A132,List_WaterMeters,0),ROUNDUP((COLUMN()+0)/3-1,0)))</f>
        <v/>
      </c>
      <c r="I132" s="127"/>
      <c r="J132" s="137"/>
      <c r="K132" s="58" t="str" cm="1">
        <f>IF(ISBLANK($A132),"",INDEX(Array_WaterCharges,MATCH($A132,List_WaterMeters,0),ROUNDUP((COLUMN()+0)/3-1,0)))</f>
        <v/>
      </c>
      <c r="L132" s="127"/>
      <c r="M132" s="137"/>
      <c r="N132" s="58" t="str" cm="1">
        <f>IF(ISBLANK($A132),"",INDEX(Array_WaterCharges,MATCH($A132,List_WaterMeters,0),ROUNDUP((COLUMN()+0)/3-1,0)))</f>
        <v/>
      </c>
      <c r="O132" s="127"/>
      <c r="P132" s="137"/>
      <c r="Q132" s="58" t="str" cm="1">
        <f>IF(ISBLANK($A132),"",INDEX(Array_WaterCharges,MATCH($A132,List_WaterMeters,0),ROUNDUP((COLUMN()+0)/3-1,0)))</f>
        <v/>
      </c>
      <c r="R132" s="127"/>
      <c r="S132" s="137"/>
      <c r="T132" s="58" t="str" cm="1">
        <f>IF(ISBLANK($A132),"",INDEX(Array_WaterCharges,MATCH($A132,List_WaterMeters,0),ROUNDUP((COLUMN()+0)/3-1,0)))</f>
        <v/>
      </c>
      <c r="U132" s="127"/>
      <c r="V132" s="137"/>
      <c r="W132" s="58" t="str" cm="1">
        <f>IF(ISBLANK($A132),"",INDEX(Array_WaterCharges,MATCH($A132,List_WaterMeters,0),ROUNDUP((COLUMN()+0)/3-1,0)))</f>
        <v/>
      </c>
      <c r="X132" s="127"/>
      <c r="Y132" s="137"/>
      <c r="Z132" s="58" t="str" cm="1">
        <f>IF(ISBLANK($A132),"",INDEX(Array_WaterCharges,MATCH($A132,List_WaterMeters,0),ROUNDUP((COLUMN()+0)/3-1,0)))</f>
        <v/>
      </c>
      <c r="AA132" s="127"/>
      <c r="AB132" s="137"/>
      <c r="AC132" s="58" t="str" cm="1">
        <f>IF(ISBLANK($A132),"",INDEX(Array_WaterCharges,MATCH($A132,List_WaterMeters,0),ROUNDUP((COLUMN()+0)/3-1,0)))</f>
        <v/>
      </c>
      <c r="AD132" s="127"/>
      <c r="AE132" s="137"/>
      <c r="AF132" s="58" t="str" cm="1">
        <f>IF(ISBLANK($A132),"",INDEX(Array_WaterCharges,MATCH($A132,List_WaterMeters,0),ROUNDUP((COLUMN()+0)/3-1,0)))</f>
        <v/>
      </c>
      <c r="AG132" s="127"/>
      <c r="AH132" s="137"/>
    </row>
    <row r="133" spans="1:34" x14ac:dyDescent="0.3">
      <c r="A133" s="126"/>
      <c r="B133" s="133"/>
      <c r="C133" s="127"/>
      <c r="D133" s="137"/>
      <c r="E133" s="58" t="str" cm="1">
        <f>IF(ISBLANK($A133),"",INDEX(Array_WaterCharges,MATCH($A133,List_WaterMeters,0),ROUNDUP((COLUMN()+0)/3-1,0)))</f>
        <v/>
      </c>
      <c r="F133" s="127"/>
      <c r="G133" s="137"/>
      <c r="H133" s="58" t="str" cm="1">
        <f>IF(ISBLANK($A133),"",INDEX(Array_WaterCharges,MATCH($A133,List_WaterMeters,0),ROUNDUP((COLUMN()+0)/3-1,0)))</f>
        <v/>
      </c>
      <c r="I133" s="127"/>
      <c r="J133" s="137"/>
      <c r="K133" s="58" t="str" cm="1">
        <f>IF(ISBLANK($A133),"",INDEX(Array_WaterCharges,MATCH($A133,List_WaterMeters,0),ROUNDUP((COLUMN()+0)/3-1,0)))</f>
        <v/>
      </c>
      <c r="L133" s="127"/>
      <c r="M133" s="137"/>
      <c r="N133" s="58" t="str" cm="1">
        <f>IF(ISBLANK($A133),"",INDEX(Array_WaterCharges,MATCH($A133,List_WaterMeters,0),ROUNDUP((COLUMN()+0)/3-1,0)))</f>
        <v/>
      </c>
      <c r="O133" s="127"/>
      <c r="P133" s="137"/>
      <c r="Q133" s="58" t="str" cm="1">
        <f>IF(ISBLANK($A133),"",INDEX(Array_WaterCharges,MATCH($A133,List_WaterMeters,0),ROUNDUP((COLUMN()+0)/3-1,0)))</f>
        <v/>
      </c>
      <c r="R133" s="127"/>
      <c r="S133" s="137"/>
      <c r="T133" s="58" t="str" cm="1">
        <f>IF(ISBLANK($A133),"",INDEX(Array_WaterCharges,MATCH($A133,List_WaterMeters,0),ROUNDUP((COLUMN()+0)/3-1,0)))</f>
        <v/>
      </c>
      <c r="U133" s="127"/>
      <c r="V133" s="137"/>
      <c r="W133" s="58" t="str" cm="1">
        <f>IF(ISBLANK($A133),"",INDEX(Array_WaterCharges,MATCH($A133,List_WaterMeters,0),ROUNDUP((COLUMN()+0)/3-1,0)))</f>
        <v/>
      </c>
      <c r="X133" s="127"/>
      <c r="Y133" s="137"/>
      <c r="Z133" s="58" t="str" cm="1">
        <f>IF(ISBLANK($A133),"",INDEX(Array_WaterCharges,MATCH($A133,List_WaterMeters,0),ROUNDUP((COLUMN()+0)/3-1,0)))</f>
        <v/>
      </c>
      <c r="AA133" s="127"/>
      <c r="AB133" s="137"/>
      <c r="AC133" s="58" t="str" cm="1">
        <f>IF(ISBLANK($A133),"",INDEX(Array_WaterCharges,MATCH($A133,List_WaterMeters,0),ROUNDUP((COLUMN()+0)/3-1,0)))</f>
        <v/>
      </c>
      <c r="AD133" s="127"/>
      <c r="AE133" s="137"/>
      <c r="AF133" s="58" t="str" cm="1">
        <f>IF(ISBLANK($A133),"",INDEX(Array_WaterCharges,MATCH($A133,List_WaterMeters,0),ROUNDUP((COLUMN()+0)/3-1,0)))</f>
        <v/>
      </c>
      <c r="AG133" s="127"/>
      <c r="AH133" s="137"/>
    </row>
    <row r="134" spans="1:34" x14ac:dyDescent="0.3">
      <c r="A134" s="126"/>
      <c r="B134" s="133"/>
      <c r="C134" s="127"/>
      <c r="D134" s="137"/>
      <c r="E134" s="58" t="str" cm="1">
        <f>IF(ISBLANK($A134),"",INDEX(Array_WaterCharges,MATCH($A134,List_WaterMeters,0),ROUNDUP((COLUMN()+0)/3-1,0)))</f>
        <v/>
      </c>
      <c r="F134" s="127"/>
      <c r="G134" s="137"/>
      <c r="H134" s="58" t="str" cm="1">
        <f>IF(ISBLANK($A134),"",INDEX(Array_WaterCharges,MATCH($A134,List_WaterMeters,0),ROUNDUP((COLUMN()+0)/3-1,0)))</f>
        <v/>
      </c>
      <c r="I134" s="127"/>
      <c r="J134" s="137"/>
      <c r="K134" s="58" t="str" cm="1">
        <f>IF(ISBLANK($A134),"",INDEX(Array_WaterCharges,MATCH($A134,List_WaterMeters,0),ROUNDUP((COLUMN()+0)/3-1,0)))</f>
        <v/>
      </c>
      <c r="L134" s="127"/>
      <c r="M134" s="137"/>
      <c r="N134" s="58" t="str" cm="1">
        <f>IF(ISBLANK($A134),"",INDEX(Array_WaterCharges,MATCH($A134,List_WaterMeters,0),ROUNDUP((COLUMN()+0)/3-1,0)))</f>
        <v/>
      </c>
      <c r="O134" s="127"/>
      <c r="P134" s="137"/>
      <c r="Q134" s="58" t="str" cm="1">
        <f>IF(ISBLANK($A134),"",INDEX(Array_WaterCharges,MATCH($A134,List_WaterMeters,0),ROUNDUP((COLUMN()+0)/3-1,0)))</f>
        <v/>
      </c>
      <c r="R134" s="127"/>
      <c r="S134" s="137"/>
      <c r="T134" s="58" t="str" cm="1">
        <f>IF(ISBLANK($A134),"",INDEX(Array_WaterCharges,MATCH($A134,List_WaterMeters,0),ROUNDUP((COLUMN()+0)/3-1,0)))</f>
        <v/>
      </c>
      <c r="U134" s="127"/>
      <c r="V134" s="137"/>
      <c r="W134" s="58" t="str" cm="1">
        <f>IF(ISBLANK($A134),"",INDEX(Array_WaterCharges,MATCH($A134,List_WaterMeters,0),ROUNDUP((COLUMN()+0)/3-1,0)))</f>
        <v/>
      </c>
      <c r="X134" s="127"/>
      <c r="Y134" s="137"/>
      <c r="Z134" s="58" t="str" cm="1">
        <f>IF(ISBLANK($A134),"",INDEX(Array_WaterCharges,MATCH($A134,List_WaterMeters,0),ROUNDUP((COLUMN()+0)/3-1,0)))</f>
        <v/>
      </c>
      <c r="AA134" s="127"/>
      <c r="AB134" s="137"/>
      <c r="AC134" s="58" t="str" cm="1">
        <f>IF(ISBLANK($A134),"",INDEX(Array_WaterCharges,MATCH($A134,List_WaterMeters,0),ROUNDUP((COLUMN()+0)/3-1,0)))</f>
        <v/>
      </c>
      <c r="AD134" s="127"/>
      <c r="AE134" s="137"/>
      <c r="AF134" s="58" t="str" cm="1">
        <f>IF(ISBLANK($A134),"",INDEX(Array_WaterCharges,MATCH($A134,List_WaterMeters,0),ROUNDUP((COLUMN()+0)/3-1,0)))</f>
        <v/>
      </c>
      <c r="AG134" s="127"/>
      <c r="AH134" s="137"/>
    </row>
    <row r="135" spans="1:34" x14ac:dyDescent="0.3">
      <c r="A135" s="126"/>
      <c r="B135" s="133"/>
      <c r="C135" s="127"/>
      <c r="D135" s="137"/>
      <c r="E135" s="58" t="str" cm="1">
        <f>IF(ISBLANK($A135),"",INDEX(Array_WaterCharges,MATCH($A135,List_WaterMeters,0),ROUNDUP((COLUMN()+0)/3-1,0)))</f>
        <v/>
      </c>
      <c r="F135" s="127"/>
      <c r="G135" s="137"/>
      <c r="H135" s="58" t="str" cm="1">
        <f>IF(ISBLANK($A135),"",INDEX(Array_WaterCharges,MATCH($A135,List_WaterMeters,0),ROUNDUP((COLUMN()+0)/3-1,0)))</f>
        <v/>
      </c>
      <c r="I135" s="127"/>
      <c r="J135" s="137"/>
      <c r="K135" s="58" t="str" cm="1">
        <f>IF(ISBLANK($A135),"",INDEX(Array_WaterCharges,MATCH($A135,List_WaterMeters,0),ROUNDUP((COLUMN()+0)/3-1,0)))</f>
        <v/>
      </c>
      <c r="L135" s="127"/>
      <c r="M135" s="137"/>
      <c r="N135" s="58" t="str" cm="1">
        <f>IF(ISBLANK($A135),"",INDEX(Array_WaterCharges,MATCH($A135,List_WaterMeters,0),ROUNDUP((COLUMN()+0)/3-1,0)))</f>
        <v/>
      </c>
      <c r="O135" s="127"/>
      <c r="P135" s="137"/>
      <c r="Q135" s="58" t="str" cm="1">
        <f>IF(ISBLANK($A135),"",INDEX(Array_WaterCharges,MATCH($A135,List_WaterMeters,0),ROUNDUP((COLUMN()+0)/3-1,0)))</f>
        <v/>
      </c>
      <c r="R135" s="127"/>
      <c r="S135" s="137"/>
      <c r="T135" s="58" t="str" cm="1">
        <f>IF(ISBLANK($A135),"",INDEX(Array_WaterCharges,MATCH($A135,List_WaterMeters,0),ROUNDUP((COLUMN()+0)/3-1,0)))</f>
        <v/>
      </c>
      <c r="U135" s="127"/>
      <c r="V135" s="137"/>
      <c r="W135" s="58" t="str" cm="1">
        <f>IF(ISBLANK($A135),"",INDEX(Array_WaterCharges,MATCH($A135,List_WaterMeters,0),ROUNDUP((COLUMN()+0)/3-1,0)))</f>
        <v/>
      </c>
      <c r="X135" s="127"/>
      <c r="Y135" s="137"/>
      <c r="Z135" s="58" t="str" cm="1">
        <f>IF(ISBLANK($A135),"",INDEX(Array_WaterCharges,MATCH($A135,List_WaterMeters,0),ROUNDUP((COLUMN()+0)/3-1,0)))</f>
        <v/>
      </c>
      <c r="AA135" s="127"/>
      <c r="AB135" s="137"/>
      <c r="AC135" s="58" t="str" cm="1">
        <f>IF(ISBLANK($A135),"",INDEX(Array_WaterCharges,MATCH($A135,List_WaterMeters,0),ROUNDUP((COLUMN()+0)/3-1,0)))</f>
        <v/>
      </c>
      <c r="AD135" s="127"/>
      <c r="AE135" s="137"/>
      <c r="AF135" s="58" t="str" cm="1">
        <f>IF(ISBLANK($A135),"",INDEX(Array_WaterCharges,MATCH($A135,List_WaterMeters,0),ROUNDUP((COLUMN()+0)/3-1,0)))</f>
        <v/>
      </c>
      <c r="AG135" s="127"/>
      <c r="AH135" s="137"/>
    </row>
    <row r="136" spans="1:34" x14ac:dyDescent="0.3">
      <c r="A136" s="126"/>
      <c r="B136" s="133"/>
      <c r="C136" s="127"/>
      <c r="D136" s="137"/>
      <c r="E136" s="58" t="str" cm="1">
        <f>IF(ISBLANK($A136),"",INDEX(Array_WaterCharges,MATCH($A136,List_WaterMeters,0),ROUNDUP((COLUMN()+0)/3-1,0)))</f>
        <v/>
      </c>
      <c r="F136" s="127"/>
      <c r="G136" s="137"/>
      <c r="H136" s="58" t="str" cm="1">
        <f>IF(ISBLANK($A136),"",INDEX(Array_WaterCharges,MATCH($A136,List_WaterMeters,0),ROUNDUP((COLUMN()+0)/3-1,0)))</f>
        <v/>
      </c>
      <c r="I136" s="127"/>
      <c r="J136" s="137"/>
      <c r="K136" s="58" t="str" cm="1">
        <f>IF(ISBLANK($A136),"",INDEX(Array_WaterCharges,MATCH($A136,List_WaterMeters,0),ROUNDUP((COLUMN()+0)/3-1,0)))</f>
        <v/>
      </c>
      <c r="L136" s="127"/>
      <c r="M136" s="137"/>
      <c r="N136" s="58" t="str" cm="1">
        <f>IF(ISBLANK($A136),"",INDEX(Array_WaterCharges,MATCH($A136,List_WaterMeters,0),ROUNDUP((COLUMN()+0)/3-1,0)))</f>
        <v/>
      </c>
      <c r="O136" s="127"/>
      <c r="P136" s="137"/>
      <c r="Q136" s="58" t="str" cm="1">
        <f>IF(ISBLANK($A136),"",INDEX(Array_WaterCharges,MATCH($A136,List_WaterMeters,0),ROUNDUP((COLUMN()+0)/3-1,0)))</f>
        <v/>
      </c>
      <c r="R136" s="127"/>
      <c r="S136" s="137"/>
      <c r="T136" s="58" t="str" cm="1">
        <f>IF(ISBLANK($A136),"",INDEX(Array_WaterCharges,MATCH($A136,List_WaterMeters,0),ROUNDUP((COLUMN()+0)/3-1,0)))</f>
        <v/>
      </c>
      <c r="U136" s="127"/>
      <c r="V136" s="137"/>
      <c r="W136" s="58" t="str" cm="1">
        <f>IF(ISBLANK($A136),"",INDEX(Array_WaterCharges,MATCH($A136,List_WaterMeters,0),ROUNDUP((COLUMN()+0)/3-1,0)))</f>
        <v/>
      </c>
      <c r="X136" s="127"/>
      <c r="Y136" s="137"/>
      <c r="Z136" s="58" t="str" cm="1">
        <f>IF(ISBLANK($A136),"",INDEX(Array_WaterCharges,MATCH($A136,List_WaterMeters,0),ROUNDUP((COLUMN()+0)/3-1,0)))</f>
        <v/>
      </c>
      <c r="AA136" s="127"/>
      <c r="AB136" s="137"/>
      <c r="AC136" s="58" t="str" cm="1">
        <f>IF(ISBLANK($A136),"",INDEX(Array_WaterCharges,MATCH($A136,List_WaterMeters,0),ROUNDUP((COLUMN()+0)/3-1,0)))</f>
        <v/>
      </c>
      <c r="AD136" s="127"/>
      <c r="AE136" s="137"/>
      <c r="AF136" s="58" t="str" cm="1">
        <f>IF(ISBLANK($A136),"",INDEX(Array_WaterCharges,MATCH($A136,List_WaterMeters,0),ROUNDUP((COLUMN()+0)/3-1,0)))</f>
        <v/>
      </c>
      <c r="AG136" s="127"/>
      <c r="AH136" s="137"/>
    </row>
    <row r="137" spans="1:34" x14ac:dyDescent="0.3">
      <c r="A137" s="126"/>
      <c r="B137" s="133"/>
      <c r="C137" s="127"/>
      <c r="D137" s="137"/>
      <c r="E137" s="58" t="str" cm="1">
        <f>IF(ISBLANK($A137),"",INDEX(Array_WaterCharges,MATCH($A137,List_WaterMeters,0),ROUNDUP((COLUMN()+0)/3-1,0)))</f>
        <v/>
      </c>
      <c r="F137" s="127"/>
      <c r="G137" s="137"/>
      <c r="H137" s="58" t="str" cm="1">
        <f>IF(ISBLANK($A137),"",INDEX(Array_WaterCharges,MATCH($A137,List_WaterMeters,0),ROUNDUP((COLUMN()+0)/3-1,0)))</f>
        <v/>
      </c>
      <c r="I137" s="127"/>
      <c r="J137" s="137"/>
      <c r="K137" s="58" t="str" cm="1">
        <f>IF(ISBLANK($A137),"",INDEX(Array_WaterCharges,MATCH($A137,List_WaterMeters,0),ROUNDUP((COLUMN()+0)/3-1,0)))</f>
        <v/>
      </c>
      <c r="L137" s="127"/>
      <c r="M137" s="137"/>
      <c r="N137" s="58" t="str" cm="1">
        <f>IF(ISBLANK($A137),"",INDEX(Array_WaterCharges,MATCH($A137,List_WaterMeters,0),ROUNDUP((COLUMN()+0)/3-1,0)))</f>
        <v/>
      </c>
      <c r="O137" s="127"/>
      <c r="P137" s="137"/>
      <c r="Q137" s="58" t="str" cm="1">
        <f>IF(ISBLANK($A137),"",INDEX(Array_WaterCharges,MATCH($A137,List_WaterMeters,0),ROUNDUP((COLUMN()+0)/3-1,0)))</f>
        <v/>
      </c>
      <c r="R137" s="127"/>
      <c r="S137" s="137"/>
      <c r="T137" s="58" t="str" cm="1">
        <f>IF(ISBLANK($A137),"",INDEX(Array_WaterCharges,MATCH($A137,List_WaterMeters,0),ROUNDUP((COLUMN()+0)/3-1,0)))</f>
        <v/>
      </c>
      <c r="U137" s="127"/>
      <c r="V137" s="137"/>
      <c r="W137" s="58" t="str" cm="1">
        <f>IF(ISBLANK($A137),"",INDEX(Array_WaterCharges,MATCH($A137,List_WaterMeters,0),ROUNDUP((COLUMN()+0)/3-1,0)))</f>
        <v/>
      </c>
      <c r="X137" s="127"/>
      <c r="Y137" s="137"/>
      <c r="Z137" s="58" t="str" cm="1">
        <f>IF(ISBLANK($A137),"",INDEX(Array_WaterCharges,MATCH($A137,List_WaterMeters,0),ROUNDUP((COLUMN()+0)/3-1,0)))</f>
        <v/>
      </c>
      <c r="AA137" s="127"/>
      <c r="AB137" s="137"/>
      <c r="AC137" s="58" t="str" cm="1">
        <f>IF(ISBLANK($A137),"",INDEX(Array_WaterCharges,MATCH($A137,List_WaterMeters,0),ROUNDUP((COLUMN()+0)/3-1,0)))</f>
        <v/>
      </c>
      <c r="AD137" s="127"/>
      <c r="AE137" s="137"/>
      <c r="AF137" s="58" t="str" cm="1">
        <f>IF(ISBLANK($A137),"",INDEX(Array_WaterCharges,MATCH($A137,List_WaterMeters,0),ROUNDUP((COLUMN()+0)/3-1,0)))</f>
        <v/>
      </c>
      <c r="AG137" s="127"/>
      <c r="AH137" s="137"/>
    </row>
    <row r="138" spans="1:34" x14ac:dyDescent="0.3">
      <c r="A138" s="126"/>
      <c r="B138" s="133"/>
      <c r="C138" s="127"/>
      <c r="D138" s="137"/>
      <c r="E138" s="58" t="str" cm="1">
        <f>IF(ISBLANK($A138),"",INDEX(Array_WaterCharges,MATCH($A138,List_WaterMeters,0),ROUNDUP((COLUMN()+0)/3-1,0)))</f>
        <v/>
      </c>
      <c r="F138" s="127"/>
      <c r="G138" s="137"/>
      <c r="H138" s="58" t="str" cm="1">
        <f>IF(ISBLANK($A138),"",INDEX(Array_WaterCharges,MATCH($A138,List_WaterMeters,0),ROUNDUP((COLUMN()+0)/3-1,0)))</f>
        <v/>
      </c>
      <c r="I138" s="127"/>
      <c r="J138" s="137"/>
      <c r="K138" s="58" t="str" cm="1">
        <f>IF(ISBLANK($A138),"",INDEX(Array_WaterCharges,MATCH($A138,List_WaterMeters,0),ROUNDUP((COLUMN()+0)/3-1,0)))</f>
        <v/>
      </c>
      <c r="L138" s="127"/>
      <c r="M138" s="137"/>
      <c r="N138" s="58" t="str" cm="1">
        <f>IF(ISBLANK($A138),"",INDEX(Array_WaterCharges,MATCH($A138,List_WaterMeters,0),ROUNDUP((COLUMN()+0)/3-1,0)))</f>
        <v/>
      </c>
      <c r="O138" s="127"/>
      <c r="P138" s="137"/>
      <c r="Q138" s="58" t="str" cm="1">
        <f>IF(ISBLANK($A138),"",INDEX(Array_WaterCharges,MATCH($A138,List_WaterMeters,0),ROUNDUP((COLUMN()+0)/3-1,0)))</f>
        <v/>
      </c>
      <c r="R138" s="127"/>
      <c r="S138" s="137"/>
      <c r="T138" s="58" t="str" cm="1">
        <f>IF(ISBLANK($A138),"",INDEX(Array_WaterCharges,MATCH($A138,List_WaterMeters,0),ROUNDUP((COLUMN()+0)/3-1,0)))</f>
        <v/>
      </c>
      <c r="U138" s="127"/>
      <c r="V138" s="137"/>
      <c r="W138" s="58" t="str" cm="1">
        <f>IF(ISBLANK($A138),"",INDEX(Array_WaterCharges,MATCH($A138,List_WaterMeters,0),ROUNDUP((COLUMN()+0)/3-1,0)))</f>
        <v/>
      </c>
      <c r="X138" s="127"/>
      <c r="Y138" s="137"/>
      <c r="Z138" s="58" t="str" cm="1">
        <f>IF(ISBLANK($A138),"",INDEX(Array_WaterCharges,MATCH($A138,List_WaterMeters,0),ROUNDUP((COLUMN()+0)/3-1,0)))</f>
        <v/>
      </c>
      <c r="AA138" s="127"/>
      <c r="AB138" s="137"/>
      <c r="AC138" s="58" t="str" cm="1">
        <f>IF(ISBLANK($A138),"",INDEX(Array_WaterCharges,MATCH($A138,List_WaterMeters,0),ROUNDUP((COLUMN()+0)/3-1,0)))</f>
        <v/>
      </c>
      <c r="AD138" s="127"/>
      <c r="AE138" s="137"/>
      <c r="AF138" s="58" t="str" cm="1">
        <f>IF(ISBLANK($A138),"",INDEX(Array_WaterCharges,MATCH($A138,List_WaterMeters,0),ROUNDUP((COLUMN()+0)/3-1,0)))</f>
        <v/>
      </c>
      <c r="AG138" s="127"/>
      <c r="AH138" s="137"/>
    </row>
    <row r="139" spans="1:34" x14ac:dyDescent="0.3">
      <c r="A139" s="126"/>
      <c r="B139" s="133"/>
      <c r="C139" s="127"/>
      <c r="D139" s="137"/>
      <c r="E139" s="58" t="str" cm="1">
        <f>IF(ISBLANK($A139),"",INDEX(Array_WaterCharges,MATCH($A139,List_WaterMeters,0),ROUNDUP((COLUMN()+0)/3-1,0)))</f>
        <v/>
      </c>
      <c r="F139" s="127"/>
      <c r="G139" s="137"/>
      <c r="H139" s="58" t="str" cm="1">
        <f>IF(ISBLANK($A139),"",INDEX(Array_WaterCharges,MATCH($A139,List_WaterMeters,0),ROUNDUP((COLUMN()+0)/3-1,0)))</f>
        <v/>
      </c>
      <c r="I139" s="127"/>
      <c r="J139" s="137"/>
      <c r="K139" s="58" t="str" cm="1">
        <f>IF(ISBLANK($A139),"",INDEX(Array_WaterCharges,MATCH($A139,List_WaterMeters,0),ROUNDUP((COLUMN()+0)/3-1,0)))</f>
        <v/>
      </c>
      <c r="L139" s="127"/>
      <c r="M139" s="137"/>
      <c r="N139" s="58" t="str" cm="1">
        <f>IF(ISBLANK($A139),"",INDEX(Array_WaterCharges,MATCH($A139,List_WaterMeters,0),ROUNDUP((COLUMN()+0)/3-1,0)))</f>
        <v/>
      </c>
      <c r="O139" s="127"/>
      <c r="P139" s="137"/>
      <c r="Q139" s="58" t="str" cm="1">
        <f>IF(ISBLANK($A139),"",INDEX(Array_WaterCharges,MATCH($A139,List_WaterMeters,0),ROUNDUP((COLUMN()+0)/3-1,0)))</f>
        <v/>
      </c>
      <c r="R139" s="127"/>
      <c r="S139" s="137"/>
      <c r="T139" s="58" t="str" cm="1">
        <f>IF(ISBLANK($A139),"",INDEX(Array_WaterCharges,MATCH($A139,List_WaterMeters,0),ROUNDUP((COLUMN()+0)/3-1,0)))</f>
        <v/>
      </c>
      <c r="U139" s="127"/>
      <c r="V139" s="137"/>
      <c r="W139" s="58" t="str" cm="1">
        <f>IF(ISBLANK($A139),"",INDEX(Array_WaterCharges,MATCH($A139,List_WaterMeters,0),ROUNDUP((COLUMN()+0)/3-1,0)))</f>
        <v/>
      </c>
      <c r="X139" s="127"/>
      <c r="Y139" s="137"/>
      <c r="Z139" s="58" t="str" cm="1">
        <f>IF(ISBLANK($A139),"",INDEX(Array_WaterCharges,MATCH($A139,List_WaterMeters,0),ROUNDUP((COLUMN()+0)/3-1,0)))</f>
        <v/>
      </c>
      <c r="AA139" s="127"/>
      <c r="AB139" s="137"/>
      <c r="AC139" s="58" t="str" cm="1">
        <f>IF(ISBLANK($A139),"",INDEX(Array_WaterCharges,MATCH($A139,List_WaterMeters,0),ROUNDUP((COLUMN()+0)/3-1,0)))</f>
        <v/>
      </c>
      <c r="AD139" s="127"/>
      <c r="AE139" s="137"/>
      <c r="AF139" s="58" t="str" cm="1">
        <f>IF(ISBLANK($A139),"",INDEX(Array_WaterCharges,MATCH($A139,List_WaterMeters,0),ROUNDUP((COLUMN()+0)/3-1,0)))</f>
        <v/>
      </c>
      <c r="AG139" s="127"/>
      <c r="AH139" s="137"/>
    </row>
    <row r="140" spans="1:34" x14ac:dyDescent="0.3">
      <c r="A140" s="126"/>
      <c r="B140" s="133"/>
      <c r="C140" s="127"/>
      <c r="D140" s="137"/>
      <c r="E140" s="58" t="str" cm="1">
        <f>IF(ISBLANK($A140),"",INDEX(Array_WaterCharges,MATCH($A140,List_WaterMeters,0),ROUNDUP((COLUMN()+0)/3-1,0)))</f>
        <v/>
      </c>
      <c r="F140" s="127"/>
      <c r="G140" s="137"/>
      <c r="H140" s="58" t="str" cm="1">
        <f>IF(ISBLANK($A140),"",INDEX(Array_WaterCharges,MATCH($A140,List_WaterMeters,0),ROUNDUP((COLUMN()+0)/3-1,0)))</f>
        <v/>
      </c>
      <c r="I140" s="127"/>
      <c r="J140" s="137"/>
      <c r="K140" s="58" t="str" cm="1">
        <f>IF(ISBLANK($A140),"",INDEX(Array_WaterCharges,MATCH($A140,List_WaterMeters,0),ROUNDUP((COLUMN()+0)/3-1,0)))</f>
        <v/>
      </c>
      <c r="L140" s="127"/>
      <c r="M140" s="137"/>
      <c r="N140" s="58" t="str" cm="1">
        <f>IF(ISBLANK($A140),"",INDEX(Array_WaterCharges,MATCH($A140,List_WaterMeters,0),ROUNDUP((COLUMN()+0)/3-1,0)))</f>
        <v/>
      </c>
      <c r="O140" s="127"/>
      <c r="P140" s="137"/>
      <c r="Q140" s="58" t="str" cm="1">
        <f>IF(ISBLANK($A140),"",INDEX(Array_WaterCharges,MATCH($A140,List_WaterMeters,0),ROUNDUP((COLUMN()+0)/3-1,0)))</f>
        <v/>
      </c>
      <c r="R140" s="127"/>
      <c r="S140" s="137"/>
      <c r="T140" s="58" t="str" cm="1">
        <f>IF(ISBLANK($A140),"",INDEX(Array_WaterCharges,MATCH($A140,List_WaterMeters,0),ROUNDUP((COLUMN()+0)/3-1,0)))</f>
        <v/>
      </c>
      <c r="U140" s="127"/>
      <c r="V140" s="137"/>
      <c r="W140" s="58" t="str" cm="1">
        <f>IF(ISBLANK($A140),"",INDEX(Array_WaterCharges,MATCH($A140,List_WaterMeters,0),ROUNDUP((COLUMN()+0)/3-1,0)))</f>
        <v/>
      </c>
      <c r="X140" s="127"/>
      <c r="Y140" s="137"/>
      <c r="Z140" s="58" t="str" cm="1">
        <f>IF(ISBLANK($A140),"",INDEX(Array_WaterCharges,MATCH($A140,List_WaterMeters,0),ROUNDUP((COLUMN()+0)/3-1,0)))</f>
        <v/>
      </c>
      <c r="AA140" s="127"/>
      <c r="AB140" s="137"/>
      <c r="AC140" s="58" t="str" cm="1">
        <f>IF(ISBLANK($A140),"",INDEX(Array_WaterCharges,MATCH($A140,List_WaterMeters,0),ROUNDUP((COLUMN()+0)/3-1,0)))</f>
        <v/>
      </c>
      <c r="AD140" s="127"/>
      <c r="AE140" s="137"/>
      <c r="AF140" s="58" t="str" cm="1">
        <f>IF(ISBLANK($A140),"",INDEX(Array_WaterCharges,MATCH($A140,List_WaterMeters,0),ROUNDUP((COLUMN()+0)/3-1,0)))</f>
        <v/>
      </c>
      <c r="AG140" s="127"/>
      <c r="AH140" s="137"/>
    </row>
    <row r="141" spans="1:34" x14ac:dyDescent="0.3">
      <c r="A141" s="126"/>
      <c r="B141" s="133"/>
      <c r="C141" s="127"/>
      <c r="D141" s="137"/>
      <c r="E141" s="58" t="str" cm="1">
        <f>IF(ISBLANK($A141),"",INDEX(Array_WaterCharges,MATCH($A141,List_WaterMeters,0),ROUNDUP((COLUMN()+0)/3-1,0)))</f>
        <v/>
      </c>
      <c r="F141" s="127"/>
      <c r="G141" s="137"/>
      <c r="H141" s="58" t="str" cm="1">
        <f>IF(ISBLANK($A141),"",INDEX(Array_WaterCharges,MATCH($A141,List_WaterMeters,0),ROUNDUP((COLUMN()+0)/3-1,0)))</f>
        <v/>
      </c>
      <c r="I141" s="127"/>
      <c r="J141" s="137"/>
      <c r="K141" s="58" t="str" cm="1">
        <f>IF(ISBLANK($A141),"",INDEX(Array_WaterCharges,MATCH($A141,List_WaterMeters,0),ROUNDUP((COLUMN()+0)/3-1,0)))</f>
        <v/>
      </c>
      <c r="L141" s="127"/>
      <c r="M141" s="137"/>
      <c r="N141" s="58" t="str" cm="1">
        <f>IF(ISBLANK($A141),"",INDEX(Array_WaterCharges,MATCH($A141,List_WaterMeters,0),ROUNDUP((COLUMN()+0)/3-1,0)))</f>
        <v/>
      </c>
      <c r="O141" s="127"/>
      <c r="P141" s="137"/>
      <c r="Q141" s="58" t="str" cm="1">
        <f>IF(ISBLANK($A141),"",INDEX(Array_WaterCharges,MATCH($A141,List_WaterMeters,0),ROUNDUP((COLUMN()+0)/3-1,0)))</f>
        <v/>
      </c>
      <c r="R141" s="127"/>
      <c r="S141" s="137"/>
      <c r="T141" s="58" t="str" cm="1">
        <f>IF(ISBLANK($A141),"",INDEX(Array_WaterCharges,MATCH($A141,List_WaterMeters,0),ROUNDUP((COLUMN()+0)/3-1,0)))</f>
        <v/>
      </c>
      <c r="U141" s="127"/>
      <c r="V141" s="137"/>
      <c r="W141" s="58" t="str" cm="1">
        <f>IF(ISBLANK($A141),"",INDEX(Array_WaterCharges,MATCH($A141,List_WaterMeters,0),ROUNDUP((COLUMN()+0)/3-1,0)))</f>
        <v/>
      </c>
      <c r="X141" s="127"/>
      <c r="Y141" s="137"/>
      <c r="Z141" s="58" t="str" cm="1">
        <f>IF(ISBLANK($A141),"",INDEX(Array_WaterCharges,MATCH($A141,List_WaterMeters,0),ROUNDUP((COLUMN()+0)/3-1,0)))</f>
        <v/>
      </c>
      <c r="AA141" s="127"/>
      <c r="AB141" s="137"/>
      <c r="AC141" s="58" t="str" cm="1">
        <f>IF(ISBLANK($A141),"",INDEX(Array_WaterCharges,MATCH($A141,List_WaterMeters,0),ROUNDUP((COLUMN()+0)/3-1,0)))</f>
        <v/>
      </c>
      <c r="AD141" s="127"/>
      <c r="AE141" s="137"/>
      <c r="AF141" s="58" t="str" cm="1">
        <f>IF(ISBLANK($A141),"",INDEX(Array_WaterCharges,MATCH($A141,List_WaterMeters,0),ROUNDUP((COLUMN()+0)/3-1,0)))</f>
        <v/>
      </c>
      <c r="AG141" s="127"/>
      <c r="AH141" s="137"/>
    </row>
    <row r="142" spans="1:34" x14ac:dyDescent="0.3">
      <c r="A142" s="126"/>
      <c r="B142" s="133"/>
      <c r="C142" s="127"/>
      <c r="D142" s="137"/>
      <c r="E142" s="58" t="str" cm="1">
        <f>IF(ISBLANK($A142),"",INDEX(Array_WaterCharges,MATCH($A142,List_WaterMeters,0),ROUNDUP((COLUMN()+0)/3-1,0)))</f>
        <v/>
      </c>
      <c r="F142" s="127"/>
      <c r="G142" s="137"/>
      <c r="H142" s="58" t="str" cm="1">
        <f>IF(ISBLANK($A142),"",INDEX(Array_WaterCharges,MATCH($A142,List_WaterMeters,0),ROUNDUP((COLUMN()+0)/3-1,0)))</f>
        <v/>
      </c>
      <c r="I142" s="127"/>
      <c r="J142" s="137"/>
      <c r="K142" s="58" t="str" cm="1">
        <f>IF(ISBLANK($A142),"",INDEX(Array_WaterCharges,MATCH($A142,List_WaterMeters,0),ROUNDUP((COLUMN()+0)/3-1,0)))</f>
        <v/>
      </c>
      <c r="L142" s="127"/>
      <c r="M142" s="137"/>
      <c r="N142" s="58" t="str" cm="1">
        <f>IF(ISBLANK($A142),"",INDEX(Array_WaterCharges,MATCH($A142,List_WaterMeters,0),ROUNDUP((COLUMN()+0)/3-1,0)))</f>
        <v/>
      </c>
      <c r="O142" s="127"/>
      <c r="P142" s="137"/>
      <c r="Q142" s="58" t="str" cm="1">
        <f>IF(ISBLANK($A142),"",INDEX(Array_WaterCharges,MATCH($A142,List_WaterMeters,0),ROUNDUP((COLUMN()+0)/3-1,0)))</f>
        <v/>
      </c>
      <c r="R142" s="127"/>
      <c r="S142" s="137"/>
      <c r="T142" s="58" t="str" cm="1">
        <f>IF(ISBLANK($A142),"",INDEX(Array_WaterCharges,MATCH($A142,List_WaterMeters,0),ROUNDUP((COLUMN()+0)/3-1,0)))</f>
        <v/>
      </c>
      <c r="U142" s="127"/>
      <c r="V142" s="137"/>
      <c r="W142" s="58" t="str" cm="1">
        <f>IF(ISBLANK($A142),"",INDEX(Array_WaterCharges,MATCH($A142,List_WaterMeters,0),ROUNDUP((COLUMN()+0)/3-1,0)))</f>
        <v/>
      </c>
      <c r="X142" s="127"/>
      <c r="Y142" s="137"/>
      <c r="Z142" s="58" t="str" cm="1">
        <f>IF(ISBLANK($A142),"",INDEX(Array_WaterCharges,MATCH($A142,List_WaterMeters,0),ROUNDUP((COLUMN()+0)/3-1,0)))</f>
        <v/>
      </c>
      <c r="AA142" s="127"/>
      <c r="AB142" s="137"/>
      <c r="AC142" s="58" t="str" cm="1">
        <f>IF(ISBLANK($A142),"",INDEX(Array_WaterCharges,MATCH($A142,List_WaterMeters,0),ROUNDUP((COLUMN()+0)/3-1,0)))</f>
        <v/>
      </c>
      <c r="AD142" s="127"/>
      <c r="AE142" s="137"/>
      <c r="AF142" s="58" t="str" cm="1">
        <f>IF(ISBLANK($A142),"",INDEX(Array_WaterCharges,MATCH($A142,List_WaterMeters,0),ROUNDUP((COLUMN()+0)/3-1,0)))</f>
        <v/>
      </c>
      <c r="AG142" s="127"/>
      <c r="AH142" s="137"/>
    </row>
    <row r="143" spans="1:34" x14ac:dyDescent="0.3">
      <c r="A143" s="126"/>
      <c r="B143" s="133"/>
      <c r="C143" s="127"/>
      <c r="D143" s="137"/>
      <c r="E143" s="58" t="str" cm="1">
        <f>IF(ISBLANK($A143),"",INDEX(Array_WaterCharges,MATCH($A143,List_WaterMeters,0),ROUNDUP((COLUMN()+0)/3-1,0)))</f>
        <v/>
      </c>
      <c r="F143" s="127"/>
      <c r="G143" s="137"/>
      <c r="H143" s="58" t="str" cm="1">
        <f>IF(ISBLANK($A143),"",INDEX(Array_WaterCharges,MATCH($A143,List_WaterMeters,0),ROUNDUP((COLUMN()+0)/3-1,0)))</f>
        <v/>
      </c>
      <c r="I143" s="127"/>
      <c r="J143" s="137"/>
      <c r="K143" s="58" t="str" cm="1">
        <f>IF(ISBLANK($A143),"",INDEX(Array_WaterCharges,MATCH($A143,List_WaterMeters,0),ROUNDUP((COLUMN()+0)/3-1,0)))</f>
        <v/>
      </c>
      <c r="L143" s="127"/>
      <c r="M143" s="137"/>
      <c r="N143" s="58" t="str" cm="1">
        <f>IF(ISBLANK($A143),"",INDEX(Array_WaterCharges,MATCH($A143,List_WaterMeters,0),ROUNDUP((COLUMN()+0)/3-1,0)))</f>
        <v/>
      </c>
      <c r="O143" s="127"/>
      <c r="P143" s="137"/>
      <c r="Q143" s="58" t="str" cm="1">
        <f>IF(ISBLANK($A143),"",INDEX(Array_WaterCharges,MATCH($A143,List_WaterMeters,0),ROUNDUP((COLUMN()+0)/3-1,0)))</f>
        <v/>
      </c>
      <c r="R143" s="127"/>
      <c r="S143" s="137"/>
      <c r="T143" s="58" t="str" cm="1">
        <f>IF(ISBLANK($A143),"",INDEX(Array_WaterCharges,MATCH($A143,List_WaterMeters,0),ROUNDUP((COLUMN()+0)/3-1,0)))</f>
        <v/>
      </c>
      <c r="U143" s="127"/>
      <c r="V143" s="137"/>
      <c r="W143" s="58" t="str" cm="1">
        <f>IF(ISBLANK($A143),"",INDEX(Array_WaterCharges,MATCH($A143,List_WaterMeters,0),ROUNDUP((COLUMN()+0)/3-1,0)))</f>
        <v/>
      </c>
      <c r="X143" s="127"/>
      <c r="Y143" s="137"/>
      <c r="Z143" s="58" t="str" cm="1">
        <f>IF(ISBLANK($A143),"",INDEX(Array_WaterCharges,MATCH($A143,List_WaterMeters,0),ROUNDUP((COLUMN()+0)/3-1,0)))</f>
        <v/>
      </c>
      <c r="AA143" s="127"/>
      <c r="AB143" s="137"/>
      <c r="AC143" s="58" t="str" cm="1">
        <f>IF(ISBLANK($A143),"",INDEX(Array_WaterCharges,MATCH($A143,List_WaterMeters,0),ROUNDUP((COLUMN()+0)/3-1,0)))</f>
        <v/>
      </c>
      <c r="AD143" s="127"/>
      <c r="AE143" s="137"/>
      <c r="AF143" s="58" t="str" cm="1">
        <f>IF(ISBLANK($A143),"",INDEX(Array_WaterCharges,MATCH($A143,List_WaterMeters,0),ROUNDUP((COLUMN()+0)/3-1,0)))</f>
        <v/>
      </c>
      <c r="AG143" s="127"/>
      <c r="AH143" s="137"/>
    </row>
    <row r="144" spans="1:34" x14ac:dyDescent="0.3">
      <c r="A144" s="126"/>
      <c r="B144" s="133"/>
      <c r="C144" s="127"/>
      <c r="D144" s="137"/>
      <c r="E144" s="58" t="str" cm="1">
        <f>IF(ISBLANK($A144),"",INDEX(Array_WaterCharges,MATCH($A144,List_WaterMeters,0),ROUNDUP((COLUMN()+0)/3-1,0)))</f>
        <v/>
      </c>
      <c r="F144" s="127"/>
      <c r="G144" s="137"/>
      <c r="H144" s="58" t="str" cm="1">
        <f>IF(ISBLANK($A144),"",INDEX(Array_WaterCharges,MATCH($A144,List_WaterMeters,0),ROUNDUP((COLUMN()+0)/3-1,0)))</f>
        <v/>
      </c>
      <c r="I144" s="127"/>
      <c r="J144" s="137"/>
      <c r="K144" s="58" t="str" cm="1">
        <f>IF(ISBLANK($A144),"",INDEX(Array_WaterCharges,MATCH($A144,List_WaterMeters,0),ROUNDUP((COLUMN()+0)/3-1,0)))</f>
        <v/>
      </c>
      <c r="L144" s="127"/>
      <c r="M144" s="137"/>
      <c r="N144" s="58" t="str" cm="1">
        <f>IF(ISBLANK($A144),"",INDEX(Array_WaterCharges,MATCH($A144,List_WaterMeters,0),ROUNDUP((COLUMN()+0)/3-1,0)))</f>
        <v/>
      </c>
      <c r="O144" s="127"/>
      <c r="P144" s="137"/>
      <c r="Q144" s="58" t="str" cm="1">
        <f>IF(ISBLANK($A144),"",INDEX(Array_WaterCharges,MATCH($A144,List_WaterMeters,0),ROUNDUP((COLUMN()+0)/3-1,0)))</f>
        <v/>
      </c>
      <c r="R144" s="127"/>
      <c r="S144" s="137"/>
      <c r="T144" s="58" t="str" cm="1">
        <f>IF(ISBLANK($A144),"",INDEX(Array_WaterCharges,MATCH($A144,List_WaterMeters,0),ROUNDUP((COLUMN()+0)/3-1,0)))</f>
        <v/>
      </c>
      <c r="U144" s="127"/>
      <c r="V144" s="137"/>
      <c r="W144" s="58" t="str" cm="1">
        <f>IF(ISBLANK($A144),"",INDEX(Array_WaterCharges,MATCH($A144,List_WaterMeters,0),ROUNDUP((COLUMN()+0)/3-1,0)))</f>
        <v/>
      </c>
      <c r="X144" s="127"/>
      <c r="Y144" s="137"/>
      <c r="Z144" s="58" t="str" cm="1">
        <f>IF(ISBLANK($A144),"",INDEX(Array_WaterCharges,MATCH($A144,List_WaterMeters,0),ROUNDUP((COLUMN()+0)/3-1,0)))</f>
        <v/>
      </c>
      <c r="AA144" s="127"/>
      <c r="AB144" s="137"/>
      <c r="AC144" s="58" t="str" cm="1">
        <f>IF(ISBLANK($A144),"",INDEX(Array_WaterCharges,MATCH($A144,List_WaterMeters,0),ROUNDUP((COLUMN()+0)/3-1,0)))</f>
        <v/>
      </c>
      <c r="AD144" s="127"/>
      <c r="AE144" s="137"/>
      <c r="AF144" s="58" t="str" cm="1">
        <f>IF(ISBLANK($A144),"",INDEX(Array_WaterCharges,MATCH($A144,List_WaterMeters,0),ROUNDUP((COLUMN()+0)/3-1,0)))</f>
        <v/>
      </c>
      <c r="AG144" s="127"/>
      <c r="AH144" s="137"/>
    </row>
    <row r="145" spans="1:34" x14ac:dyDescent="0.3">
      <c r="A145" s="126"/>
      <c r="B145" s="133"/>
      <c r="C145" s="127"/>
      <c r="D145" s="137"/>
      <c r="E145" s="58" t="str" cm="1">
        <f>IF(ISBLANK($A145),"",INDEX(Array_WaterCharges,MATCH($A145,List_WaterMeters,0),ROUNDUP((COLUMN()+0)/3-1,0)))</f>
        <v/>
      </c>
      <c r="F145" s="127"/>
      <c r="G145" s="137"/>
      <c r="H145" s="58" t="str" cm="1">
        <f>IF(ISBLANK($A145),"",INDEX(Array_WaterCharges,MATCH($A145,List_WaterMeters,0),ROUNDUP((COLUMN()+0)/3-1,0)))</f>
        <v/>
      </c>
      <c r="I145" s="127"/>
      <c r="J145" s="137"/>
      <c r="K145" s="58" t="str" cm="1">
        <f>IF(ISBLANK($A145),"",INDEX(Array_WaterCharges,MATCH($A145,List_WaterMeters,0),ROUNDUP((COLUMN()+0)/3-1,0)))</f>
        <v/>
      </c>
      <c r="L145" s="127"/>
      <c r="M145" s="137"/>
      <c r="N145" s="58" t="str" cm="1">
        <f>IF(ISBLANK($A145),"",INDEX(Array_WaterCharges,MATCH($A145,List_WaterMeters,0),ROUNDUP((COLUMN()+0)/3-1,0)))</f>
        <v/>
      </c>
      <c r="O145" s="127"/>
      <c r="P145" s="137"/>
      <c r="Q145" s="58" t="str" cm="1">
        <f>IF(ISBLANK($A145),"",INDEX(Array_WaterCharges,MATCH($A145,List_WaterMeters,0),ROUNDUP((COLUMN()+0)/3-1,0)))</f>
        <v/>
      </c>
      <c r="R145" s="127"/>
      <c r="S145" s="137"/>
      <c r="T145" s="58" t="str" cm="1">
        <f>IF(ISBLANK($A145),"",INDEX(Array_WaterCharges,MATCH($A145,List_WaterMeters,0),ROUNDUP((COLUMN()+0)/3-1,0)))</f>
        <v/>
      </c>
      <c r="U145" s="127"/>
      <c r="V145" s="137"/>
      <c r="W145" s="58" t="str" cm="1">
        <f>IF(ISBLANK($A145),"",INDEX(Array_WaterCharges,MATCH($A145,List_WaterMeters,0),ROUNDUP((COLUMN()+0)/3-1,0)))</f>
        <v/>
      </c>
      <c r="X145" s="127"/>
      <c r="Y145" s="137"/>
      <c r="Z145" s="58" t="str" cm="1">
        <f>IF(ISBLANK($A145),"",INDEX(Array_WaterCharges,MATCH($A145,List_WaterMeters,0),ROUNDUP((COLUMN()+0)/3-1,0)))</f>
        <v/>
      </c>
      <c r="AA145" s="127"/>
      <c r="AB145" s="137"/>
      <c r="AC145" s="58" t="str" cm="1">
        <f>IF(ISBLANK($A145),"",INDEX(Array_WaterCharges,MATCH($A145,List_WaterMeters,0),ROUNDUP((COLUMN()+0)/3-1,0)))</f>
        <v/>
      </c>
      <c r="AD145" s="127"/>
      <c r="AE145" s="137"/>
      <c r="AF145" s="58" t="str" cm="1">
        <f>IF(ISBLANK($A145),"",INDEX(Array_WaterCharges,MATCH($A145,List_WaterMeters,0),ROUNDUP((COLUMN()+0)/3-1,0)))</f>
        <v/>
      </c>
      <c r="AG145" s="127"/>
      <c r="AH145" s="137"/>
    </row>
    <row r="146" spans="1:34" x14ac:dyDescent="0.3">
      <c r="A146" s="126"/>
      <c r="B146" s="133"/>
      <c r="C146" s="127"/>
      <c r="D146" s="137"/>
      <c r="E146" s="58" t="str" cm="1">
        <f>IF(ISBLANK($A146),"",INDEX(Array_WaterCharges,MATCH($A146,List_WaterMeters,0),ROUNDUP((COLUMN()+0)/3-1,0)))</f>
        <v/>
      </c>
      <c r="F146" s="127"/>
      <c r="G146" s="137"/>
      <c r="H146" s="58" t="str" cm="1">
        <f>IF(ISBLANK($A146),"",INDEX(Array_WaterCharges,MATCH($A146,List_WaterMeters,0),ROUNDUP((COLUMN()+0)/3-1,0)))</f>
        <v/>
      </c>
      <c r="I146" s="127"/>
      <c r="J146" s="137"/>
      <c r="K146" s="58" t="str" cm="1">
        <f>IF(ISBLANK($A146),"",INDEX(Array_WaterCharges,MATCH($A146,List_WaterMeters,0),ROUNDUP((COLUMN()+0)/3-1,0)))</f>
        <v/>
      </c>
      <c r="L146" s="127"/>
      <c r="M146" s="137"/>
      <c r="N146" s="58" t="str" cm="1">
        <f>IF(ISBLANK($A146),"",INDEX(Array_WaterCharges,MATCH($A146,List_WaterMeters,0),ROUNDUP((COLUMN()+0)/3-1,0)))</f>
        <v/>
      </c>
      <c r="O146" s="127"/>
      <c r="P146" s="137"/>
      <c r="Q146" s="58" t="str" cm="1">
        <f>IF(ISBLANK($A146),"",INDEX(Array_WaterCharges,MATCH($A146,List_WaterMeters,0),ROUNDUP((COLUMN()+0)/3-1,0)))</f>
        <v/>
      </c>
      <c r="R146" s="127"/>
      <c r="S146" s="137"/>
      <c r="T146" s="58" t="str" cm="1">
        <f>IF(ISBLANK($A146),"",INDEX(Array_WaterCharges,MATCH($A146,List_WaterMeters,0),ROUNDUP((COLUMN()+0)/3-1,0)))</f>
        <v/>
      </c>
      <c r="U146" s="127"/>
      <c r="V146" s="137"/>
      <c r="W146" s="58" t="str" cm="1">
        <f>IF(ISBLANK($A146),"",INDEX(Array_WaterCharges,MATCH($A146,List_WaterMeters,0),ROUNDUP((COLUMN()+0)/3-1,0)))</f>
        <v/>
      </c>
      <c r="X146" s="127"/>
      <c r="Y146" s="137"/>
      <c r="Z146" s="58" t="str" cm="1">
        <f>IF(ISBLANK($A146),"",INDEX(Array_WaterCharges,MATCH($A146,List_WaterMeters,0),ROUNDUP((COLUMN()+0)/3-1,0)))</f>
        <v/>
      </c>
      <c r="AA146" s="127"/>
      <c r="AB146" s="137"/>
      <c r="AC146" s="58" t="str" cm="1">
        <f>IF(ISBLANK($A146),"",INDEX(Array_WaterCharges,MATCH($A146,List_WaterMeters,0),ROUNDUP((COLUMN()+0)/3-1,0)))</f>
        <v/>
      </c>
      <c r="AD146" s="127"/>
      <c r="AE146" s="137"/>
      <c r="AF146" s="58" t="str" cm="1">
        <f>IF(ISBLANK($A146),"",INDEX(Array_WaterCharges,MATCH($A146,List_WaterMeters,0),ROUNDUP((COLUMN()+0)/3-1,0)))</f>
        <v/>
      </c>
      <c r="AG146" s="127"/>
      <c r="AH146" s="137"/>
    </row>
    <row r="147" spans="1:34" x14ac:dyDescent="0.3">
      <c r="A147" s="126"/>
      <c r="B147" s="133"/>
      <c r="C147" s="127"/>
      <c r="D147" s="137"/>
      <c r="E147" s="58" t="str" cm="1">
        <f>IF(ISBLANK($A147),"",INDEX(Array_WaterCharges,MATCH($A147,List_WaterMeters,0),ROUNDUP((COLUMN()+0)/3-1,0)))</f>
        <v/>
      </c>
      <c r="F147" s="127"/>
      <c r="G147" s="137"/>
      <c r="H147" s="58" t="str" cm="1">
        <f>IF(ISBLANK($A147),"",INDEX(Array_WaterCharges,MATCH($A147,List_WaterMeters,0),ROUNDUP((COLUMN()+0)/3-1,0)))</f>
        <v/>
      </c>
      <c r="I147" s="127"/>
      <c r="J147" s="137"/>
      <c r="K147" s="58" t="str" cm="1">
        <f>IF(ISBLANK($A147),"",INDEX(Array_WaterCharges,MATCH($A147,List_WaterMeters,0),ROUNDUP((COLUMN()+0)/3-1,0)))</f>
        <v/>
      </c>
      <c r="L147" s="127"/>
      <c r="M147" s="137"/>
      <c r="N147" s="58" t="str" cm="1">
        <f>IF(ISBLANK($A147),"",INDEX(Array_WaterCharges,MATCH($A147,List_WaterMeters,0),ROUNDUP((COLUMN()+0)/3-1,0)))</f>
        <v/>
      </c>
      <c r="O147" s="127"/>
      <c r="P147" s="137"/>
      <c r="Q147" s="58" t="str" cm="1">
        <f>IF(ISBLANK($A147),"",INDEX(Array_WaterCharges,MATCH($A147,List_WaterMeters,0),ROUNDUP((COLUMN()+0)/3-1,0)))</f>
        <v/>
      </c>
      <c r="R147" s="127"/>
      <c r="S147" s="137"/>
      <c r="T147" s="58" t="str" cm="1">
        <f>IF(ISBLANK($A147),"",INDEX(Array_WaterCharges,MATCH($A147,List_WaterMeters,0),ROUNDUP((COLUMN()+0)/3-1,0)))</f>
        <v/>
      </c>
      <c r="U147" s="127"/>
      <c r="V147" s="137"/>
      <c r="W147" s="58" t="str" cm="1">
        <f>IF(ISBLANK($A147),"",INDEX(Array_WaterCharges,MATCH($A147,List_WaterMeters,0),ROUNDUP((COLUMN()+0)/3-1,0)))</f>
        <v/>
      </c>
      <c r="X147" s="127"/>
      <c r="Y147" s="137"/>
      <c r="Z147" s="58" t="str" cm="1">
        <f>IF(ISBLANK($A147),"",INDEX(Array_WaterCharges,MATCH($A147,List_WaterMeters,0),ROUNDUP((COLUMN()+0)/3-1,0)))</f>
        <v/>
      </c>
      <c r="AA147" s="127"/>
      <c r="AB147" s="137"/>
      <c r="AC147" s="58" t="str" cm="1">
        <f>IF(ISBLANK($A147),"",INDEX(Array_WaterCharges,MATCH($A147,List_WaterMeters,0),ROUNDUP((COLUMN()+0)/3-1,0)))</f>
        <v/>
      </c>
      <c r="AD147" s="127"/>
      <c r="AE147" s="137"/>
      <c r="AF147" s="58" t="str" cm="1">
        <f>IF(ISBLANK($A147),"",INDEX(Array_WaterCharges,MATCH($A147,List_WaterMeters,0),ROUNDUP((COLUMN()+0)/3-1,0)))</f>
        <v/>
      </c>
      <c r="AG147" s="127"/>
      <c r="AH147" s="137"/>
    </row>
    <row r="148" spans="1:34" x14ac:dyDescent="0.3">
      <c r="A148" s="126"/>
      <c r="B148" s="133"/>
      <c r="C148" s="127"/>
      <c r="D148" s="137"/>
      <c r="E148" s="58" t="str" cm="1">
        <f>IF(ISBLANK($A148),"",INDEX(Array_WaterCharges,MATCH($A148,List_WaterMeters,0),ROUNDUP((COLUMN()+0)/3-1,0)))</f>
        <v/>
      </c>
      <c r="F148" s="127"/>
      <c r="G148" s="137"/>
      <c r="H148" s="58" t="str" cm="1">
        <f>IF(ISBLANK($A148),"",INDEX(Array_WaterCharges,MATCH($A148,List_WaterMeters,0),ROUNDUP((COLUMN()+0)/3-1,0)))</f>
        <v/>
      </c>
      <c r="I148" s="127"/>
      <c r="J148" s="137"/>
      <c r="K148" s="58" t="str" cm="1">
        <f>IF(ISBLANK($A148),"",INDEX(Array_WaterCharges,MATCH($A148,List_WaterMeters,0),ROUNDUP((COLUMN()+0)/3-1,0)))</f>
        <v/>
      </c>
      <c r="L148" s="127"/>
      <c r="M148" s="137"/>
      <c r="N148" s="58" t="str" cm="1">
        <f>IF(ISBLANK($A148),"",INDEX(Array_WaterCharges,MATCH($A148,List_WaterMeters,0),ROUNDUP((COLUMN()+0)/3-1,0)))</f>
        <v/>
      </c>
      <c r="O148" s="127"/>
      <c r="P148" s="137"/>
      <c r="Q148" s="58" t="str" cm="1">
        <f>IF(ISBLANK($A148),"",INDEX(Array_WaterCharges,MATCH($A148,List_WaterMeters,0),ROUNDUP((COLUMN()+0)/3-1,0)))</f>
        <v/>
      </c>
      <c r="R148" s="127"/>
      <c r="S148" s="137"/>
      <c r="T148" s="58" t="str" cm="1">
        <f>IF(ISBLANK($A148),"",INDEX(Array_WaterCharges,MATCH($A148,List_WaterMeters,0),ROUNDUP((COLUMN()+0)/3-1,0)))</f>
        <v/>
      </c>
      <c r="U148" s="127"/>
      <c r="V148" s="137"/>
      <c r="W148" s="58" t="str" cm="1">
        <f>IF(ISBLANK($A148),"",INDEX(Array_WaterCharges,MATCH($A148,List_WaterMeters,0),ROUNDUP((COLUMN()+0)/3-1,0)))</f>
        <v/>
      </c>
      <c r="X148" s="127"/>
      <c r="Y148" s="137"/>
      <c r="Z148" s="58" t="str" cm="1">
        <f>IF(ISBLANK($A148),"",INDEX(Array_WaterCharges,MATCH($A148,List_WaterMeters,0),ROUNDUP((COLUMN()+0)/3-1,0)))</f>
        <v/>
      </c>
      <c r="AA148" s="127"/>
      <c r="AB148" s="137"/>
      <c r="AC148" s="58" t="str" cm="1">
        <f>IF(ISBLANK($A148),"",INDEX(Array_WaterCharges,MATCH($A148,List_WaterMeters,0),ROUNDUP((COLUMN()+0)/3-1,0)))</f>
        <v/>
      </c>
      <c r="AD148" s="127"/>
      <c r="AE148" s="137"/>
      <c r="AF148" s="58" t="str" cm="1">
        <f>IF(ISBLANK($A148),"",INDEX(Array_WaterCharges,MATCH($A148,List_WaterMeters,0),ROUNDUP((COLUMN()+0)/3-1,0)))</f>
        <v/>
      </c>
      <c r="AG148" s="127"/>
      <c r="AH148" s="137"/>
    </row>
    <row r="149" spans="1:34" x14ac:dyDescent="0.3">
      <c r="A149" s="126"/>
      <c r="B149" s="133"/>
      <c r="C149" s="127"/>
      <c r="D149" s="137"/>
      <c r="E149" s="58" t="str" cm="1">
        <f>IF(ISBLANK($A149),"",INDEX(Array_WaterCharges,MATCH($A149,List_WaterMeters,0),ROUNDUP((COLUMN()+0)/3-1,0)))</f>
        <v/>
      </c>
      <c r="F149" s="127"/>
      <c r="G149" s="137"/>
      <c r="H149" s="58" t="str" cm="1">
        <f>IF(ISBLANK($A149),"",INDEX(Array_WaterCharges,MATCH($A149,List_WaterMeters,0),ROUNDUP((COLUMN()+0)/3-1,0)))</f>
        <v/>
      </c>
      <c r="I149" s="127"/>
      <c r="J149" s="137"/>
      <c r="K149" s="58" t="str" cm="1">
        <f>IF(ISBLANK($A149),"",INDEX(Array_WaterCharges,MATCH($A149,List_WaterMeters,0),ROUNDUP((COLUMN()+0)/3-1,0)))</f>
        <v/>
      </c>
      <c r="L149" s="127"/>
      <c r="M149" s="137"/>
      <c r="N149" s="58" t="str" cm="1">
        <f>IF(ISBLANK($A149),"",INDEX(Array_WaterCharges,MATCH($A149,List_WaterMeters,0),ROUNDUP((COLUMN()+0)/3-1,0)))</f>
        <v/>
      </c>
      <c r="O149" s="127"/>
      <c r="P149" s="137"/>
      <c r="Q149" s="58" t="str" cm="1">
        <f>IF(ISBLANK($A149),"",INDEX(Array_WaterCharges,MATCH($A149,List_WaterMeters,0),ROUNDUP((COLUMN()+0)/3-1,0)))</f>
        <v/>
      </c>
      <c r="R149" s="127"/>
      <c r="S149" s="137"/>
      <c r="T149" s="58" t="str" cm="1">
        <f>IF(ISBLANK($A149),"",INDEX(Array_WaterCharges,MATCH($A149,List_WaterMeters,0),ROUNDUP((COLUMN()+0)/3-1,0)))</f>
        <v/>
      </c>
      <c r="U149" s="127"/>
      <c r="V149" s="137"/>
      <c r="W149" s="58" t="str" cm="1">
        <f>IF(ISBLANK($A149),"",INDEX(Array_WaterCharges,MATCH($A149,List_WaterMeters,0),ROUNDUP((COLUMN()+0)/3-1,0)))</f>
        <v/>
      </c>
      <c r="X149" s="127"/>
      <c r="Y149" s="137"/>
      <c r="Z149" s="58" t="str" cm="1">
        <f>IF(ISBLANK($A149),"",INDEX(Array_WaterCharges,MATCH($A149,List_WaterMeters,0),ROUNDUP((COLUMN()+0)/3-1,0)))</f>
        <v/>
      </c>
      <c r="AA149" s="127"/>
      <c r="AB149" s="137"/>
      <c r="AC149" s="58" t="str" cm="1">
        <f>IF(ISBLANK($A149),"",INDEX(Array_WaterCharges,MATCH($A149,List_WaterMeters,0),ROUNDUP((COLUMN()+0)/3-1,0)))</f>
        <v/>
      </c>
      <c r="AD149" s="127"/>
      <c r="AE149" s="137"/>
      <c r="AF149" s="58" t="str" cm="1">
        <f>IF(ISBLANK($A149),"",INDEX(Array_WaterCharges,MATCH($A149,List_WaterMeters,0),ROUNDUP((COLUMN()+0)/3-1,0)))</f>
        <v/>
      </c>
      <c r="AG149" s="127"/>
      <c r="AH149" s="137"/>
    </row>
    <row r="150" spans="1:34" x14ac:dyDescent="0.3">
      <c r="A150" s="126"/>
      <c r="B150" s="133"/>
      <c r="C150" s="127"/>
      <c r="D150" s="137"/>
      <c r="E150" s="58" t="str" cm="1">
        <f>IF(ISBLANK($A150),"",INDEX(Array_WaterCharges,MATCH($A150,List_WaterMeters,0),ROUNDUP((COLUMN()+0)/3-1,0)))</f>
        <v/>
      </c>
      <c r="F150" s="127"/>
      <c r="G150" s="137"/>
      <c r="H150" s="58" t="str" cm="1">
        <f>IF(ISBLANK($A150),"",INDEX(Array_WaterCharges,MATCH($A150,List_WaterMeters,0),ROUNDUP((COLUMN()+0)/3-1,0)))</f>
        <v/>
      </c>
      <c r="I150" s="127"/>
      <c r="J150" s="137"/>
      <c r="K150" s="58" t="str" cm="1">
        <f>IF(ISBLANK($A150),"",INDEX(Array_WaterCharges,MATCH($A150,List_WaterMeters,0),ROUNDUP((COLUMN()+0)/3-1,0)))</f>
        <v/>
      </c>
      <c r="L150" s="127"/>
      <c r="M150" s="137"/>
      <c r="N150" s="58" t="str" cm="1">
        <f>IF(ISBLANK($A150),"",INDEX(Array_WaterCharges,MATCH($A150,List_WaterMeters,0),ROUNDUP((COLUMN()+0)/3-1,0)))</f>
        <v/>
      </c>
      <c r="O150" s="127"/>
      <c r="P150" s="137"/>
      <c r="Q150" s="58" t="str" cm="1">
        <f>IF(ISBLANK($A150),"",INDEX(Array_WaterCharges,MATCH($A150,List_WaterMeters,0),ROUNDUP((COLUMN()+0)/3-1,0)))</f>
        <v/>
      </c>
      <c r="R150" s="127"/>
      <c r="S150" s="137"/>
      <c r="T150" s="58" t="str" cm="1">
        <f>IF(ISBLANK($A150),"",INDEX(Array_WaterCharges,MATCH($A150,List_WaterMeters,0),ROUNDUP((COLUMN()+0)/3-1,0)))</f>
        <v/>
      </c>
      <c r="U150" s="127"/>
      <c r="V150" s="137"/>
      <c r="W150" s="58" t="str" cm="1">
        <f>IF(ISBLANK($A150),"",INDEX(Array_WaterCharges,MATCH($A150,List_WaterMeters,0),ROUNDUP((COLUMN()+0)/3-1,0)))</f>
        <v/>
      </c>
      <c r="X150" s="127"/>
      <c r="Y150" s="137"/>
      <c r="Z150" s="58" t="str" cm="1">
        <f>IF(ISBLANK($A150),"",INDEX(Array_WaterCharges,MATCH($A150,List_WaterMeters,0),ROUNDUP((COLUMN()+0)/3-1,0)))</f>
        <v/>
      </c>
      <c r="AA150" s="127"/>
      <c r="AB150" s="137"/>
      <c r="AC150" s="58" t="str" cm="1">
        <f>IF(ISBLANK($A150),"",INDEX(Array_WaterCharges,MATCH($A150,List_WaterMeters,0),ROUNDUP((COLUMN()+0)/3-1,0)))</f>
        <v/>
      </c>
      <c r="AD150" s="127"/>
      <c r="AE150" s="137"/>
      <c r="AF150" s="58" t="str" cm="1">
        <f>IF(ISBLANK($A150),"",INDEX(Array_WaterCharges,MATCH($A150,List_WaterMeters,0),ROUNDUP((COLUMN()+0)/3-1,0)))</f>
        <v/>
      </c>
      <c r="AG150" s="127"/>
      <c r="AH150" s="137"/>
    </row>
    <row r="151" spans="1:34" x14ac:dyDescent="0.3">
      <c r="A151" s="126"/>
      <c r="B151" s="133"/>
      <c r="C151" s="127"/>
      <c r="D151" s="137"/>
      <c r="E151" s="58" t="str" cm="1">
        <f>IF(ISBLANK($A151),"",INDEX(Array_WaterCharges,MATCH($A151,List_WaterMeters,0),ROUNDUP((COLUMN()+0)/3-1,0)))</f>
        <v/>
      </c>
      <c r="F151" s="127"/>
      <c r="G151" s="137"/>
      <c r="H151" s="58" t="str" cm="1">
        <f>IF(ISBLANK($A151),"",INDEX(Array_WaterCharges,MATCH($A151,List_WaterMeters,0),ROUNDUP((COLUMN()+0)/3-1,0)))</f>
        <v/>
      </c>
      <c r="I151" s="127"/>
      <c r="J151" s="137"/>
      <c r="K151" s="58" t="str" cm="1">
        <f>IF(ISBLANK($A151),"",INDEX(Array_WaterCharges,MATCH($A151,List_WaterMeters,0),ROUNDUP((COLUMN()+0)/3-1,0)))</f>
        <v/>
      </c>
      <c r="L151" s="127"/>
      <c r="M151" s="137"/>
      <c r="N151" s="58" t="str" cm="1">
        <f>IF(ISBLANK($A151),"",INDEX(Array_WaterCharges,MATCH($A151,List_WaterMeters,0),ROUNDUP((COLUMN()+0)/3-1,0)))</f>
        <v/>
      </c>
      <c r="O151" s="127"/>
      <c r="P151" s="137"/>
      <c r="Q151" s="58" t="str" cm="1">
        <f>IF(ISBLANK($A151),"",INDEX(Array_WaterCharges,MATCH($A151,List_WaterMeters,0),ROUNDUP((COLUMN()+0)/3-1,0)))</f>
        <v/>
      </c>
      <c r="R151" s="127"/>
      <c r="S151" s="137"/>
      <c r="T151" s="58" t="str" cm="1">
        <f>IF(ISBLANK($A151),"",INDEX(Array_WaterCharges,MATCH($A151,List_WaterMeters,0),ROUNDUP((COLUMN()+0)/3-1,0)))</f>
        <v/>
      </c>
      <c r="U151" s="127"/>
      <c r="V151" s="137"/>
      <c r="W151" s="58" t="str" cm="1">
        <f>IF(ISBLANK($A151),"",INDEX(Array_WaterCharges,MATCH($A151,List_WaterMeters,0),ROUNDUP((COLUMN()+0)/3-1,0)))</f>
        <v/>
      </c>
      <c r="X151" s="127"/>
      <c r="Y151" s="137"/>
      <c r="Z151" s="58" t="str" cm="1">
        <f>IF(ISBLANK($A151),"",INDEX(Array_WaterCharges,MATCH($A151,List_WaterMeters,0),ROUNDUP((COLUMN()+0)/3-1,0)))</f>
        <v/>
      </c>
      <c r="AA151" s="127"/>
      <c r="AB151" s="137"/>
      <c r="AC151" s="58" t="str" cm="1">
        <f>IF(ISBLANK($A151),"",INDEX(Array_WaterCharges,MATCH($A151,List_WaterMeters,0),ROUNDUP((COLUMN()+0)/3-1,0)))</f>
        <v/>
      </c>
      <c r="AD151" s="127"/>
      <c r="AE151" s="137"/>
      <c r="AF151" s="58" t="str" cm="1">
        <f>IF(ISBLANK($A151),"",INDEX(Array_WaterCharges,MATCH($A151,List_WaterMeters,0),ROUNDUP((COLUMN()+0)/3-1,0)))</f>
        <v/>
      </c>
      <c r="AG151" s="127"/>
      <c r="AH151" s="137"/>
    </row>
    <row r="152" spans="1:34" x14ac:dyDescent="0.3">
      <c r="A152" s="126"/>
      <c r="B152" s="133"/>
      <c r="C152" s="127"/>
      <c r="D152" s="137"/>
      <c r="E152" s="58" t="str" cm="1">
        <f>IF(ISBLANK($A152),"",INDEX(Array_WaterCharges,MATCH($A152,List_WaterMeters,0),ROUNDUP((COLUMN()+0)/3-1,0)))</f>
        <v/>
      </c>
      <c r="F152" s="127"/>
      <c r="G152" s="137"/>
      <c r="H152" s="58" t="str" cm="1">
        <f>IF(ISBLANK($A152),"",INDEX(Array_WaterCharges,MATCH($A152,List_WaterMeters,0),ROUNDUP((COLUMN()+0)/3-1,0)))</f>
        <v/>
      </c>
      <c r="I152" s="127"/>
      <c r="J152" s="137"/>
      <c r="K152" s="58" t="str" cm="1">
        <f>IF(ISBLANK($A152),"",INDEX(Array_WaterCharges,MATCH($A152,List_WaterMeters,0),ROUNDUP((COLUMN()+0)/3-1,0)))</f>
        <v/>
      </c>
      <c r="L152" s="127"/>
      <c r="M152" s="137"/>
      <c r="N152" s="58" t="str" cm="1">
        <f>IF(ISBLANK($A152),"",INDEX(Array_WaterCharges,MATCH($A152,List_WaterMeters,0),ROUNDUP((COLUMN()+0)/3-1,0)))</f>
        <v/>
      </c>
      <c r="O152" s="127"/>
      <c r="P152" s="137"/>
      <c r="Q152" s="58" t="str" cm="1">
        <f>IF(ISBLANK($A152),"",INDEX(Array_WaterCharges,MATCH($A152,List_WaterMeters,0),ROUNDUP((COLUMN()+0)/3-1,0)))</f>
        <v/>
      </c>
      <c r="R152" s="127"/>
      <c r="S152" s="137"/>
      <c r="T152" s="58" t="str" cm="1">
        <f>IF(ISBLANK($A152),"",INDEX(Array_WaterCharges,MATCH($A152,List_WaterMeters,0),ROUNDUP((COLUMN()+0)/3-1,0)))</f>
        <v/>
      </c>
      <c r="U152" s="127"/>
      <c r="V152" s="137"/>
      <c r="W152" s="58" t="str" cm="1">
        <f>IF(ISBLANK($A152),"",INDEX(Array_WaterCharges,MATCH($A152,List_WaterMeters,0),ROUNDUP((COLUMN()+0)/3-1,0)))</f>
        <v/>
      </c>
      <c r="X152" s="127"/>
      <c r="Y152" s="137"/>
      <c r="Z152" s="58" t="str" cm="1">
        <f>IF(ISBLANK($A152),"",INDEX(Array_WaterCharges,MATCH($A152,List_WaterMeters,0),ROUNDUP((COLUMN()+0)/3-1,0)))</f>
        <v/>
      </c>
      <c r="AA152" s="127"/>
      <c r="AB152" s="137"/>
      <c r="AC152" s="58" t="str" cm="1">
        <f>IF(ISBLANK($A152),"",INDEX(Array_WaterCharges,MATCH($A152,List_WaterMeters,0),ROUNDUP((COLUMN()+0)/3-1,0)))</f>
        <v/>
      </c>
      <c r="AD152" s="127"/>
      <c r="AE152" s="137"/>
      <c r="AF152" s="58" t="str" cm="1">
        <f>IF(ISBLANK($A152),"",INDEX(Array_WaterCharges,MATCH($A152,List_WaterMeters,0),ROUNDUP((COLUMN()+0)/3-1,0)))</f>
        <v/>
      </c>
      <c r="AG152" s="127"/>
      <c r="AH152" s="137"/>
    </row>
    <row r="153" spans="1:34" x14ac:dyDescent="0.3">
      <c r="A153" s="126"/>
      <c r="B153" s="133"/>
      <c r="C153" s="127"/>
      <c r="D153" s="137"/>
      <c r="E153" s="58" t="str" cm="1">
        <f>IF(ISBLANK($A153),"",INDEX(Array_WaterCharges,MATCH($A153,List_WaterMeters,0),ROUNDUP((COLUMN()+0)/3-1,0)))</f>
        <v/>
      </c>
      <c r="F153" s="127"/>
      <c r="G153" s="137"/>
      <c r="H153" s="58" t="str" cm="1">
        <f>IF(ISBLANK($A153),"",INDEX(Array_WaterCharges,MATCH($A153,List_WaterMeters,0),ROUNDUP((COLUMN()+0)/3-1,0)))</f>
        <v/>
      </c>
      <c r="I153" s="127"/>
      <c r="J153" s="137"/>
      <c r="K153" s="58" t="str" cm="1">
        <f>IF(ISBLANK($A153),"",INDEX(Array_WaterCharges,MATCH($A153,List_WaterMeters,0),ROUNDUP((COLUMN()+0)/3-1,0)))</f>
        <v/>
      </c>
      <c r="L153" s="127"/>
      <c r="M153" s="137"/>
      <c r="N153" s="58" t="str" cm="1">
        <f>IF(ISBLANK($A153),"",INDEX(Array_WaterCharges,MATCH($A153,List_WaterMeters,0),ROUNDUP((COLUMN()+0)/3-1,0)))</f>
        <v/>
      </c>
      <c r="O153" s="127"/>
      <c r="P153" s="137"/>
      <c r="Q153" s="58" t="str" cm="1">
        <f>IF(ISBLANK($A153),"",INDEX(Array_WaterCharges,MATCH($A153,List_WaterMeters,0),ROUNDUP((COLUMN()+0)/3-1,0)))</f>
        <v/>
      </c>
      <c r="R153" s="127"/>
      <c r="S153" s="137"/>
      <c r="T153" s="58" t="str" cm="1">
        <f>IF(ISBLANK($A153),"",INDEX(Array_WaterCharges,MATCH($A153,List_WaterMeters,0),ROUNDUP((COLUMN()+0)/3-1,0)))</f>
        <v/>
      </c>
      <c r="U153" s="127"/>
      <c r="V153" s="137"/>
      <c r="W153" s="58" t="str" cm="1">
        <f>IF(ISBLANK($A153),"",INDEX(Array_WaterCharges,MATCH($A153,List_WaterMeters,0),ROUNDUP((COLUMN()+0)/3-1,0)))</f>
        <v/>
      </c>
      <c r="X153" s="127"/>
      <c r="Y153" s="137"/>
      <c r="Z153" s="58" t="str" cm="1">
        <f>IF(ISBLANK($A153),"",INDEX(Array_WaterCharges,MATCH($A153,List_WaterMeters,0),ROUNDUP((COLUMN()+0)/3-1,0)))</f>
        <v/>
      </c>
      <c r="AA153" s="127"/>
      <c r="AB153" s="137"/>
      <c r="AC153" s="58" t="str" cm="1">
        <f>IF(ISBLANK($A153),"",INDEX(Array_WaterCharges,MATCH($A153,List_WaterMeters,0),ROUNDUP((COLUMN()+0)/3-1,0)))</f>
        <v/>
      </c>
      <c r="AD153" s="127"/>
      <c r="AE153" s="137"/>
      <c r="AF153" s="58" t="str" cm="1">
        <f>IF(ISBLANK($A153),"",INDEX(Array_WaterCharges,MATCH($A153,List_WaterMeters,0),ROUNDUP((COLUMN()+0)/3-1,0)))</f>
        <v/>
      </c>
      <c r="AG153" s="127"/>
      <c r="AH153" s="137"/>
    </row>
    <row r="154" spans="1:34" x14ac:dyDescent="0.3">
      <c r="A154" s="126"/>
      <c r="B154" s="133"/>
      <c r="C154" s="127"/>
      <c r="D154" s="137"/>
      <c r="E154" s="58" t="str" cm="1">
        <f>IF(ISBLANK($A154),"",INDEX(Array_WaterCharges,MATCH($A154,List_WaterMeters,0),ROUNDUP((COLUMN()+0)/3-1,0)))</f>
        <v/>
      </c>
      <c r="F154" s="127"/>
      <c r="G154" s="137"/>
      <c r="H154" s="58" t="str" cm="1">
        <f>IF(ISBLANK($A154),"",INDEX(Array_WaterCharges,MATCH($A154,List_WaterMeters,0),ROUNDUP((COLUMN()+0)/3-1,0)))</f>
        <v/>
      </c>
      <c r="I154" s="127"/>
      <c r="J154" s="137"/>
      <c r="K154" s="58" t="str" cm="1">
        <f>IF(ISBLANK($A154),"",INDEX(Array_WaterCharges,MATCH($A154,List_WaterMeters,0),ROUNDUP((COLUMN()+0)/3-1,0)))</f>
        <v/>
      </c>
      <c r="L154" s="127"/>
      <c r="M154" s="137"/>
      <c r="N154" s="58" t="str" cm="1">
        <f>IF(ISBLANK($A154),"",INDEX(Array_WaterCharges,MATCH($A154,List_WaterMeters,0),ROUNDUP((COLUMN()+0)/3-1,0)))</f>
        <v/>
      </c>
      <c r="O154" s="127"/>
      <c r="P154" s="137"/>
      <c r="Q154" s="58" t="str" cm="1">
        <f>IF(ISBLANK($A154),"",INDEX(Array_WaterCharges,MATCH($A154,List_WaterMeters,0),ROUNDUP((COLUMN()+0)/3-1,0)))</f>
        <v/>
      </c>
      <c r="R154" s="127"/>
      <c r="S154" s="137"/>
      <c r="T154" s="58" t="str" cm="1">
        <f>IF(ISBLANK($A154),"",INDEX(Array_WaterCharges,MATCH($A154,List_WaterMeters,0),ROUNDUP((COLUMN()+0)/3-1,0)))</f>
        <v/>
      </c>
      <c r="U154" s="127"/>
      <c r="V154" s="137"/>
      <c r="W154" s="58" t="str" cm="1">
        <f>IF(ISBLANK($A154),"",INDEX(Array_WaterCharges,MATCH($A154,List_WaterMeters,0),ROUNDUP((COLUMN()+0)/3-1,0)))</f>
        <v/>
      </c>
      <c r="X154" s="127"/>
      <c r="Y154" s="137"/>
      <c r="Z154" s="58" t="str" cm="1">
        <f>IF(ISBLANK($A154),"",INDEX(Array_WaterCharges,MATCH($A154,List_WaterMeters,0),ROUNDUP((COLUMN()+0)/3-1,0)))</f>
        <v/>
      </c>
      <c r="AA154" s="127"/>
      <c r="AB154" s="137"/>
      <c r="AC154" s="58" t="str" cm="1">
        <f>IF(ISBLANK($A154),"",INDEX(Array_WaterCharges,MATCH($A154,List_WaterMeters,0),ROUNDUP((COLUMN()+0)/3-1,0)))</f>
        <v/>
      </c>
      <c r="AD154" s="127"/>
      <c r="AE154" s="137"/>
      <c r="AF154" s="58" t="str" cm="1">
        <f>IF(ISBLANK($A154),"",INDEX(Array_WaterCharges,MATCH($A154,List_WaterMeters,0),ROUNDUP((COLUMN()+0)/3-1,0)))</f>
        <v/>
      </c>
      <c r="AG154" s="127"/>
      <c r="AH154" s="137"/>
    </row>
    <row r="155" spans="1:34" x14ac:dyDescent="0.3">
      <c r="A155" s="126"/>
      <c r="B155" s="133"/>
      <c r="C155" s="127"/>
      <c r="D155" s="137"/>
      <c r="E155" s="58" t="str" cm="1">
        <f>IF(ISBLANK($A155),"",INDEX(Array_WaterCharges,MATCH($A155,List_WaterMeters,0),ROUNDUP((COLUMN()+0)/3-1,0)))</f>
        <v/>
      </c>
      <c r="F155" s="127"/>
      <c r="G155" s="137"/>
      <c r="H155" s="58" t="str" cm="1">
        <f>IF(ISBLANK($A155),"",INDEX(Array_WaterCharges,MATCH($A155,List_WaterMeters,0),ROUNDUP((COLUMN()+0)/3-1,0)))</f>
        <v/>
      </c>
      <c r="I155" s="127"/>
      <c r="J155" s="137"/>
      <c r="K155" s="58" t="str" cm="1">
        <f>IF(ISBLANK($A155),"",INDEX(Array_WaterCharges,MATCH($A155,List_WaterMeters,0),ROUNDUP((COLUMN()+0)/3-1,0)))</f>
        <v/>
      </c>
      <c r="L155" s="127"/>
      <c r="M155" s="137"/>
      <c r="N155" s="58" t="str" cm="1">
        <f>IF(ISBLANK($A155),"",INDEX(Array_WaterCharges,MATCH($A155,List_WaterMeters,0),ROUNDUP((COLUMN()+0)/3-1,0)))</f>
        <v/>
      </c>
      <c r="O155" s="127"/>
      <c r="P155" s="137"/>
      <c r="Q155" s="58" t="str" cm="1">
        <f>IF(ISBLANK($A155),"",INDEX(Array_WaterCharges,MATCH($A155,List_WaterMeters,0),ROUNDUP((COLUMN()+0)/3-1,0)))</f>
        <v/>
      </c>
      <c r="R155" s="127"/>
      <c r="S155" s="137"/>
      <c r="T155" s="58" t="str" cm="1">
        <f>IF(ISBLANK($A155),"",INDEX(Array_WaterCharges,MATCH($A155,List_WaterMeters,0),ROUNDUP((COLUMN()+0)/3-1,0)))</f>
        <v/>
      </c>
      <c r="U155" s="127"/>
      <c r="V155" s="137"/>
      <c r="W155" s="58" t="str" cm="1">
        <f>IF(ISBLANK($A155),"",INDEX(Array_WaterCharges,MATCH($A155,List_WaterMeters,0),ROUNDUP((COLUMN()+0)/3-1,0)))</f>
        <v/>
      </c>
      <c r="X155" s="127"/>
      <c r="Y155" s="137"/>
      <c r="Z155" s="58" t="str" cm="1">
        <f>IF(ISBLANK($A155),"",INDEX(Array_WaterCharges,MATCH($A155,List_WaterMeters,0),ROUNDUP((COLUMN()+0)/3-1,0)))</f>
        <v/>
      </c>
      <c r="AA155" s="127"/>
      <c r="AB155" s="137"/>
      <c r="AC155" s="58" t="str" cm="1">
        <f>IF(ISBLANK($A155),"",INDEX(Array_WaterCharges,MATCH($A155,List_WaterMeters,0),ROUNDUP((COLUMN()+0)/3-1,0)))</f>
        <v/>
      </c>
      <c r="AD155" s="127"/>
      <c r="AE155" s="137"/>
      <c r="AF155" s="58" t="str" cm="1">
        <f>IF(ISBLANK($A155),"",INDEX(Array_WaterCharges,MATCH($A155,List_WaterMeters,0),ROUNDUP((COLUMN()+0)/3-1,0)))</f>
        <v/>
      </c>
      <c r="AG155" s="127"/>
      <c r="AH155" s="137"/>
    </row>
    <row r="156" spans="1:34" x14ac:dyDescent="0.3">
      <c r="A156" s="126"/>
      <c r="B156" s="133"/>
      <c r="C156" s="127"/>
      <c r="D156" s="137"/>
      <c r="E156" s="58" t="str" cm="1">
        <f>IF(ISBLANK($A156),"",INDEX(Array_WaterCharges,MATCH($A156,List_WaterMeters,0),ROUNDUP((COLUMN()+0)/3-1,0)))</f>
        <v/>
      </c>
      <c r="F156" s="127"/>
      <c r="G156" s="137"/>
      <c r="H156" s="58" t="str" cm="1">
        <f>IF(ISBLANK($A156),"",INDEX(Array_WaterCharges,MATCH($A156,List_WaterMeters,0),ROUNDUP((COLUMN()+0)/3-1,0)))</f>
        <v/>
      </c>
      <c r="I156" s="127"/>
      <c r="J156" s="137"/>
      <c r="K156" s="58" t="str" cm="1">
        <f>IF(ISBLANK($A156),"",INDEX(Array_WaterCharges,MATCH($A156,List_WaterMeters,0),ROUNDUP((COLUMN()+0)/3-1,0)))</f>
        <v/>
      </c>
      <c r="L156" s="127"/>
      <c r="M156" s="137"/>
      <c r="N156" s="58" t="str" cm="1">
        <f>IF(ISBLANK($A156),"",INDEX(Array_WaterCharges,MATCH($A156,List_WaterMeters,0),ROUNDUP((COLUMN()+0)/3-1,0)))</f>
        <v/>
      </c>
      <c r="O156" s="127"/>
      <c r="P156" s="137"/>
      <c r="Q156" s="58" t="str" cm="1">
        <f>IF(ISBLANK($A156),"",INDEX(Array_WaterCharges,MATCH($A156,List_WaterMeters,0),ROUNDUP((COLUMN()+0)/3-1,0)))</f>
        <v/>
      </c>
      <c r="R156" s="127"/>
      <c r="S156" s="137"/>
      <c r="T156" s="58" t="str" cm="1">
        <f>IF(ISBLANK($A156),"",INDEX(Array_WaterCharges,MATCH($A156,List_WaterMeters,0),ROUNDUP((COLUMN()+0)/3-1,0)))</f>
        <v/>
      </c>
      <c r="U156" s="127"/>
      <c r="V156" s="137"/>
      <c r="W156" s="58" t="str" cm="1">
        <f>IF(ISBLANK($A156),"",INDEX(Array_WaterCharges,MATCH($A156,List_WaterMeters,0),ROUNDUP((COLUMN()+0)/3-1,0)))</f>
        <v/>
      </c>
      <c r="X156" s="127"/>
      <c r="Y156" s="137"/>
      <c r="Z156" s="58" t="str" cm="1">
        <f>IF(ISBLANK($A156),"",INDEX(Array_WaterCharges,MATCH($A156,List_WaterMeters,0),ROUNDUP((COLUMN()+0)/3-1,0)))</f>
        <v/>
      </c>
      <c r="AA156" s="127"/>
      <c r="AB156" s="137"/>
      <c r="AC156" s="58" t="str" cm="1">
        <f>IF(ISBLANK($A156),"",INDEX(Array_WaterCharges,MATCH($A156,List_WaterMeters,0),ROUNDUP((COLUMN()+0)/3-1,0)))</f>
        <v/>
      </c>
      <c r="AD156" s="127"/>
      <c r="AE156" s="137"/>
      <c r="AF156" s="58" t="str" cm="1">
        <f>IF(ISBLANK($A156),"",INDEX(Array_WaterCharges,MATCH($A156,List_WaterMeters,0),ROUNDUP((COLUMN()+0)/3-1,0)))</f>
        <v/>
      </c>
      <c r="AG156" s="127"/>
      <c r="AH156" s="137"/>
    </row>
    <row r="157" spans="1:34" x14ac:dyDescent="0.3">
      <c r="A157" s="126"/>
      <c r="B157" s="133"/>
      <c r="C157" s="127"/>
      <c r="D157" s="137"/>
      <c r="E157" s="58" t="str" cm="1">
        <f>IF(ISBLANK($A157),"",INDEX(Array_WaterCharges,MATCH($A157,List_WaterMeters,0),ROUNDUP((COLUMN()+0)/3-1,0)))</f>
        <v/>
      </c>
      <c r="F157" s="127"/>
      <c r="G157" s="137"/>
      <c r="H157" s="58" t="str" cm="1">
        <f>IF(ISBLANK($A157),"",INDEX(Array_WaterCharges,MATCH($A157,List_WaterMeters,0),ROUNDUP((COLUMN()+0)/3-1,0)))</f>
        <v/>
      </c>
      <c r="I157" s="127"/>
      <c r="J157" s="137"/>
      <c r="K157" s="58" t="str" cm="1">
        <f>IF(ISBLANK($A157),"",INDEX(Array_WaterCharges,MATCH($A157,List_WaterMeters,0),ROUNDUP((COLUMN()+0)/3-1,0)))</f>
        <v/>
      </c>
      <c r="L157" s="127"/>
      <c r="M157" s="137"/>
      <c r="N157" s="58" t="str" cm="1">
        <f>IF(ISBLANK($A157),"",INDEX(Array_WaterCharges,MATCH($A157,List_WaterMeters,0),ROUNDUP((COLUMN()+0)/3-1,0)))</f>
        <v/>
      </c>
      <c r="O157" s="127"/>
      <c r="P157" s="137"/>
      <c r="Q157" s="58" t="str" cm="1">
        <f>IF(ISBLANK($A157),"",INDEX(Array_WaterCharges,MATCH($A157,List_WaterMeters,0),ROUNDUP((COLUMN()+0)/3-1,0)))</f>
        <v/>
      </c>
      <c r="R157" s="127"/>
      <c r="S157" s="137"/>
      <c r="T157" s="58" t="str" cm="1">
        <f>IF(ISBLANK($A157),"",INDEX(Array_WaterCharges,MATCH($A157,List_WaterMeters,0),ROUNDUP((COLUMN()+0)/3-1,0)))</f>
        <v/>
      </c>
      <c r="U157" s="127"/>
      <c r="V157" s="137"/>
      <c r="W157" s="58" t="str" cm="1">
        <f>IF(ISBLANK($A157),"",INDEX(Array_WaterCharges,MATCH($A157,List_WaterMeters,0),ROUNDUP((COLUMN()+0)/3-1,0)))</f>
        <v/>
      </c>
      <c r="X157" s="127"/>
      <c r="Y157" s="137"/>
      <c r="Z157" s="58" t="str" cm="1">
        <f>IF(ISBLANK($A157),"",INDEX(Array_WaterCharges,MATCH($A157,List_WaterMeters,0),ROUNDUP((COLUMN()+0)/3-1,0)))</f>
        <v/>
      </c>
      <c r="AA157" s="127"/>
      <c r="AB157" s="137"/>
      <c r="AC157" s="58" t="str" cm="1">
        <f>IF(ISBLANK($A157),"",INDEX(Array_WaterCharges,MATCH($A157,List_WaterMeters,0),ROUNDUP((COLUMN()+0)/3-1,0)))</f>
        <v/>
      </c>
      <c r="AD157" s="127"/>
      <c r="AE157" s="137"/>
      <c r="AF157" s="58" t="str" cm="1">
        <f>IF(ISBLANK($A157),"",INDEX(Array_WaterCharges,MATCH($A157,List_WaterMeters,0),ROUNDUP((COLUMN()+0)/3-1,0)))</f>
        <v/>
      </c>
      <c r="AG157" s="127"/>
      <c r="AH157" s="137"/>
    </row>
    <row r="158" spans="1:34" x14ac:dyDescent="0.3">
      <c r="A158" s="126"/>
      <c r="B158" s="133"/>
      <c r="C158" s="127"/>
      <c r="D158" s="137"/>
      <c r="E158" s="58" t="str" cm="1">
        <f>IF(ISBLANK($A158),"",INDEX(Array_WaterCharges,MATCH($A158,List_WaterMeters,0),ROUNDUP((COLUMN()+0)/3-1,0)))</f>
        <v/>
      </c>
      <c r="F158" s="127"/>
      <c r="G158" s="137"/>
      <c r="H158" s="58" t="str" cm="1">
        <f>IF(ISBLANK($A158),"",INDEX(Array_WaterCharges,MATCH($A158,List_WaterMeters,0),ROUNDUP((COLUMN()+0)/3-1,0)))</f>
        <v/>
      </c>
      <c r="I158" s="127"/>
      <c r="J158" s="137"/>
      <c r="K158" s="58" t="str" cm="1">
        <f>IF(ISBLANK($A158),"",INDEX(Array_WaterCharges,MATCH($A158,List_WaterMeters,0),ROUNDUP((COLUMN()+0)/3-1,0)))</f>
        <v/>
      </c>
      <c r="L158" s="127"/>
      <c r="M158" s="137"/>
      <c r="N158" s="58" t="str" cm="1">
        <f>IF(ISBLANK($A158),"",INDEX(Array_WaterCharges,MATCH($A158,List_WaterMeters,0),ROUNDUP((COLUMN()+0)/3-1,0)))</f>
        <v/>
      </c>
      <c r="O158" s="127"/>
      <c r="P158" s="137"/>
      <c r="Q158" s="58" t="str" cm="1">
        <f>IF(ISBLANK($A158),"",INDEX(Array_WaterCharges,MATCH($A158,List_WaterMeters,0),ROUNDUP((COLUMN()+0)/3-1,0)))</f>
        <v/>
      </c>
      <c r="R158" s="127"/>
      <c r="S158" s="137"/>
      <c r="T158" s="58" t="str" cm="1">
        <f>IF(ISBLANK($A158),"",INDEX(Array_WaterCharges,MATCH($A158,List_WaterMeters,0),ROUNDUP((COLUMN()+0)/3-1,0)))</f>
        <v/>
      </c>
      <c r="U158" s="127"/>
      <c r="V158" s="137"/>
      <c r="W158" s="58" t="str" cm="1">
        <f>IF(ISBLANK($A158),"",INDEX(Array_WaterCharges,MATCH($A158,List_WaterMeters,0),ROUNDUP((COLUMN()+0)/3-1,0)))</f>
        <v/>
      </c>
      <c r="X158" s="127"/>
      <c r="Y158" s="137"/>
      <c r="Z158" s="58" t="str" cm="1">
        <f>IF(ISBLANK($A158),"",INDEX(Array_WaterCharges,MATCH($A158,List_WaterMeters,0),ROUNDUP((COLUMN()+0)/3-1,0)))</f>
        <v/>
      </c>
      <c r="AA158" s="127"/>
      <c r="AB158" s="137"/>
      <c r="AC158" s="58" t="str" cm="1">
        <f>IF(ISBLANK($A158),"",INDEX(Array_WaterCharges,MATCH($A158,List_WaterMeters,0),ROUNDUP((COLUMN()+0)/3-1,0)))</f>
        <v/>
      </c>
      <c r="AD158" s="127"/>
      <c r="AE158" s="137"/>
      <c r="AF158" s="58" t="str" cm="1">
        <f>IF(ISBLANK($A158),"",INDEX(Array_WaterCharges,MATCH($A158,List_WaterMeters,0),ROUNDUP((COLUMN()+0)/3-1,0)))</f>
        <v/>
      </c>
      <c r="AG158" s="127"/>
      <c r="AH158" s="137"/>
    </row>
    <row r="159" spans="1:34" x14ac:dyDescent="0.3">
      <c r="A159" s="126"/>
      <c r="B159" s="133"/>
      <c r="C159" s="127"/>
      <c r="D159" s="137"/>
      <c r="E159" s="58" t="str" cm="1">
        <f>IF(ISBLANK($A159),"",INDEX(Array_WaterCharges,MATCH($A159,List_WaterMeters,0),ROUNDUP((COLUMN()+0)/3-1,0)))</f>
        <v/>
      </c>
      <c r="F159" s="127"/>
      <c r="G159" s="137"/>
      <c r="H159" s="58" t="str" cm="1">
        <f>IF(ISBLANK($A159),"",INDEX(Array_WaterCharges,MATCH($A159,List_WaterMeters,0),ROUNDUP((COLUMN()+0)/3-1,0)))</f>
        <v/>
      </c>
      <c r="I159" s="127"/>
      <c r="J159" s="137"/>
      <c r="K159" s="58" t="str" cm="1">
        <f>IF(ISBLANK($A159),"",INDEX(Array_WaterCharges,MATCH($A159,List_WaterMeters,0),ROUNDUP((COLUMN()+0)/3-1,0)))</f>
        <v/>
      </c>
      <c r="L159" s="127"/>
      <c r="M159" s="137"/>
      <c r="N159" s="58" t="str" cm="1">
        <f>IF(ISBLANK($A159),"",INDEX(Array_WaterCharges,MATCH($A159,List_WaterMeters,0),ROUNDUP((COLUMN()+0)/3-1,0)))</f>
        <v/>
      </c>
      <c r="O159" s="127"/>
      <c r="P159" s="137"/>
      <c r="Q159" s="58" t="str" cm="1">
        <f>IF(ISBLANK($A159),"",INDEX(Array_WaterCharges,MATCH($A159,List_WaterMeters,0),ROUNDUP((COLUMN()+0)/3-1,0)))</f>
        <v/>
      </c>
      <c r="R159" s="127"/>
      <c r="S159" s="137"/>
      <c r="T159" s="58" t="str" cm="1">
        <f>IF(ISBLANK($A159),"",INDEX(Array_WaterCharges,MATCH($A159,List_WaterMeters,0),ROUNDUP((COLUMN()+0)/3-1,0)))</f>
        <v/>
      </c>
      <c r="U159" s="127"/>
      <c r="V159" s="137"/>
      <c r="W159" s="58" t="str" cm="1">
        <f>IF(ISBLANK($A159),"",INDEX(Array_WaterCharges,MATCH($A159,List_WaterMeters,0),ROUNDUP((COLUMN()+0)/3-1,0)))</f>
        <v/>
      </c>
      <c r="X159" s="127"/>
      <c r="Y159" s="137"/>
      <c r="Z159" s="58" t="str" cm="1">
        <f>IF(ISBLANK($A159),"",INDEX(Array_WaterCharges,MATCH($A159,List_WaterMeters,0),ROUNDUP((COLUMN()+0)/3-1,0)))</f>
        <v/>
      </c>
      <c r="AA159" s="127"/>
      <c r="AB159" s="137"/>
      <c r="AC159" s="58" t="str" cm="1">
        <f>IF(ISBLANK($A159),"",INDEX(Array_WaterCharges,MATCH($A159,List_WaterMeters,0),ROUNDUP((COLUMN()+0)/3-1,0)))</f>
        <v/>
      </c>
      <c r="AD159" s="127"/>
      <c r="AE159" s="137"/>
      <c r="AF159" s="58" t="str" cm="1">
        <f>IF(ISBLANK($A159),"",INDEX(Array_WaterCharges,MATCH($A159,List_WaterMeters,0),ROUNDUP((COLUMN()+0)/3-1,0)))</f>
        <v/>
      </c>
      <c r="AG159" s="127"/>
      <c r="AH159" s="137"/>
    </row>
    <row r="160" spans="1:34" x14ac:dyDescent="0.3">
      <c r="A160" s="126"/>
      <c r="B160" s="133"/>
      <c r="C160" s="127"/>
      <c r="D160" s="137"/>
      <c r="E160" s="58" t="str" cm="1">
        <f>IF(ISBLANK($A160),"",INDEX(Array_WaterCharges,MATCH($A160,List_WaterMeters,0),ROUNDUP((COLUMN()+0)/3-1,0)))</f>
        <v/>
      </c>
      <c r="F160" s="127"/>
      <c r="G160" s="137"/>
      <c r="H160" s="58" t="str" cm="1">
        <f>IF(ISBLANK($A160),"",INDEX(Array_WaterCharges,MATCH($A160,List_WaterMeters,0),ROUNDUP((COLUMN()+0)/3-1,0)))</f>
        <v/>
      </c>
      <c r="I160" s="127"/>
      <c r="J160" s="137"/>
      <c r="K160" s="58" t="str" cm="1">
        <f>IF(ISBLANK($A160),"",INDEX(Array_WaterCharges,MATCH($A160,List_WaterMeters,0),ROUNDUP((COLUMN()+0)/3-1,0)))</f>
        <v/>
      </c>
      <c r="L160" s="127"/>
      <c r="M160" s="137"/>
      <c r="N160" s="58" t="str" cm="1">
        <f>IF(ISBLANK($A160),"",INDEX(Array_WaterCharges,MATCH($A160,List_WaterMeters,0),ROUNDUP((COLUMN()+0)/3-1,0)))</f>
        <v/>
      </c>
      <c r="O160" s="127"/>
      <c r="P160" s="137"/>
      <c r="Q160" s="58" t="str" cm="1">
        <f>IF(ISBLANK($A160),"",INDEX(Array_WaterCharges,MATCH($A160,List_WaterMeters,0),ROUNDUP((COLUMN()+0)/3-1,0)))</f>
        <v/>
      </c>
      <c r="R160" s="127"/>
      <c r="S160" s="137"/>
      <c r="T160" s="58" t="str" cm="1">
        <f>IF(ISBLANK($A160),"",INDEX(Array_WaterCharges,MATCH($A160,List_WaterMeters,0),ROUNDUP((COLUMN()+0)/3-1,0)))</f>
        <v/>
      </c>
      <c r="U160" s="127"/>
      <c r="V160" s="137"/>
      <c r="W160" s="58" t="str" cm="1">
        <f>IF(ISBLANK($A160),"",INDEX(Array_WaterCharges,MATCH($A160,List_WaterMeters,0),ROUNDUP((COLUMN()+0)/3-1,0)))</f>
        <v/>
      </c>
      <c r="X160" s="127"/>
      <c r="Y160" s="137"/>
      <c r="Z160" s="58" t="str" cm="1">
        <f>IF(ISBLANK($A160),"",INDEX(Array_WaterCharges,MATCH($A160,List_WaterMeters,0),ROUNDUP((COLUMN()+0)/3-1,0)))</f>
        <v/>
      </c>
      <c r="AA160" s="127"/>
      <c r="AB160" s="137"/>
      <c r="AC160" s="58" t="str" cm="1">
        <f>IF(ISBLANK($A160),"",INDEX(Array_WaterCharges,MATCH($A160,List_WaterMeters,0),ROUNDUP((COLUMN()+0)/3-1,0)))</f>
        <v/>
      </c>
      <c r="AD160" s="127"/>
      <c r="AE160" s="137"/>
      <c r="AF160" s="58" t="str" cm="1">
        <f>IF(ISBLANK($A160),"",INDEX(Array_WaterCharges,MATCH($A160,List_WaterMeters,0),ROUNDUP((COLUMN()+0)/3-1,0)))</f>
        <v/>
      </c>
      <c r="AG160" s="127"/>
      <c r="AH160" s="137"/>
    </row>
    <row r="161" spans="1:34" x14ac:dyDescent="0.3">
      <c r="A161" s="126"/>
      <c r="B161" s="133"/>
      <c r="C161" s="127"/>
      <c r="D161" s="137"/>
      <c r="E161" s="58" t="str" cm="1">
        <f>IF(ISBLANK($A161),"",INDEX(Array_WaterCharges,MATCH($A161,List_WaterMeters,0),ROUNDUP((COLUMN()+0)/3-1,0)))</f>
        <v/>
      </c>
      <c r="F161" s="127"/>
      <c r="G161" s="137"/>
      <c r="H161" s="58" t="str" cm="1">
        <f>IF(ISBLANK($A161),"",INDEX(Array_WaterCharges,MATCH($A161,List_WaterMeters,0),ROUNDUP((COLUMN()+0)/3-1,0)))</f>
        <v/>
      </c>
      <c r="I161" s="127"/>
      <c r="J161" s="137"/>
      <c r="K161" s="58" t="str" cm="1">
        <f>IF(ISBLANK($A161),"",INDEX(Array_WaterCharges,MATCH($A161,List_WaterMeters,0),ROUNDUP((COLUMN()+0)/3-1,0)))</f>
        <v/>
      </c>
      <c r="L161" s="127"/>
      <c r="M161" s="137"/>
      <c r="N161" s="58" t="str" cm="1">
        <f>IF(ISBLANK($A161),"",INDEX(Array_WaterCharges,MATCH($A161,List_WaterMeters,0),ROUNDUP((COLUMN()+0)/3-1,0)))</f>
        <v/>
      </c>
      <c r="O161" s="127"/>
      <c r="P161" s="137"/>
      <c r="Q161" s="58" t="str" cm="1">
        <f>IF(ISBLANK($A161),"",INDEX(Array_WaterCharges,MATCH($A161,List_WaterMeters,0),ROUNDUP((COLUMN()+0)/3-1,0)))</f>
        <v/>
      </c>
      <c r="R161" s="127"/>
      <c r="S161" s="137"/>
      <c r="T161" s="58" t="str" cm="1">
        <f>IF(ISBLANK($A161),"",INDEX(Array_WaterCharges,MATCH($A161,List_WaterMeters,0),ROUNDUP((COLUMN()+0)/3-1,0)))</f>
        <v/>
      </c>
      <c r="U161" s="127"/>
      <c r="V161" s="137"/>
      <c r="W161" s="58" t="str" cm="1">
        <f>IF(ISBLANK($A161),"",INDEX(Array_WaterCharges,MATCH($A161,List_WaterMeters,0),ROUNDUP((COLUMN()+0)/3-1,0)))</f>
        <v/>
      </c>
      <c r="X161" s="127"/>
      <c r="Y161" s="137"/>
      <c r="Z161" s="58" t="str" cm="1">
        <f>IF(ISBLANK($A161),"",INDEX(Array_WaterCharges,MATCH($A161,List_WaterMeters,0),ROUNDUP((COLUMN()+0)/3-1,0)))</f>
        <v/>
      </c>
      <c r="AA161" s="127"/>
      <c r="AB161" s="137"/>
      <c r="AC161" s="58" t="str" cm="1">
        <f>IF(ISBLANK($A161),"",INDEX(Array_WaterCharges,MATCH($A161,List_WaterMeters,0),ROUNDUP((COLUMN()+0)/3-1,0)))</f>
        <v/>
      </c>
      <c r="AD161" s="127"/>
      <c r="AE161" s="137"/>
      <c r="AF161" s="58" t="str" cm="1">
        <f>IF(ISBLANK($A161),"",INDEX(Array_WaterCharges,MATCH($A161,List_WaterMeters,0),ROUNDUP((COLUMN()+0)/3-1,0)))</f>
        <v/>
      </c>
      <c r="AG161" s="127"/>
      <c r="AH161" s="137"/>
    </row>
    <row r="162" spans="1:34" x14ac:dyDescent="0.3">
      <c r="A162" s="126"/>
      <c r="B162" s="133"/>
      <c r="C162" s="127"/>
      <c r="D162" s="137"/>
      <c r="E162" s="58" t="str" cm="1">
        <f>IF(ISBLANK($A162),"",INDEX(Array_WaterCharges,MATCH($A162,List_WaterMeters,0),ROUNDUP((COLUMN()+0)/3-1,0)))</f>
        <v/>
      </c>
      <c r="F162" s="127"/>
      <c r="G162" s="137"/>
      <c r="H162" s="58" t="str" cm="1">
        <f>IF(ISBLANK($A162),"",INDEX(Array_WaterCharges,MATCH($A162,List_WaterMeters,0),ROUNDUP((COLUMN()+0)/3-1,0)))</f>
        <v/>
      </c>
      <c r="I162" s="127"/>
      <c r="J162" s="137"/>
      <c r="K162" s="58" t="str" cm="1">
        <f>IF(ISBLANK($A162),"",INDEX(Array_WaterCharges,MATCH($A162,List_WaterMeters,0),ROUNDUP((COLUMN()+0)/3-1,0)))</f>
        <v/>
      </c>
      <c r="L162" s="127"/>
      <c r="M162" s="137"/>
      <c r="N162" s="58" t="str" cm="1">
        <f>IF(ISBLANK($A162),"",INDEX(Array_WaterCharges,MATCH($A162,List_WaterMeters,0),ROUNDUP((COLUMN()+0)/3-1,0)))</f>
        <v/>
      </c>
      <c r="O162" s="127"/>
      <c r="P162" s="137"/>
      <c r="Q162" s="58" t="str" cm="1">
        <f>IF(ISBLANK($A162),"",INDEX(Array_WaterCharges,MATCH($A162,List_WaterMeters,0),ROUNDUP((COLUMN()+0)/3-1,0)))</f>
        <v/>
      </c>
      <c r="R162" s="127"/>
      <c r="S162" s="137"/>
      <c r="T162" s="58" t="str" cm="1">
        <f>IF(ISBLANK($A162),"",INDEX(Array_WaterCharges,MATCH($A162,List_WaterMeters,0),ROUNDUP((COLUMN()+0)/3-1,0)))</f>
        <v/>
      </c>
      <c r="U162" s="127"/>
      <c r="V162" s="137"/>
      <c r="W162" s="58" t="str" cm="1">
        <f>IF(ISBLANK($A162),"",INDEX(Array_WaterCharges,MATCH($A162,List_WaterMeters,0),ROUNDUP((COLUMN()+0)/3-1,0)))</f>
        <v/>
      </c>
      <c r="X162" s="127"/>
      <c r="Y162" s="137"/>
      <c r="Z162" s="58" t="str" cm="1">
        <f>IF(ISBLANK($A162),"",INDEX(Array_WaterCharges,MATCH($A162,List_WaterMeters,0),ROUNDUP((COLUMN()+0)/3-1,0)))</f>
        <v/>
      </c>
      <c r="AA162" s="127"/>
      <c r="AB162" s="137"/>
      <c r="AC162" s="58" t="str" cm="1">
        <f>IF(ISBLANK($A162),"",INDEX(Array_WaterCharges,MATCH($A162,List_WaterMeters,0),ROUNDUP((COLUMN()+0)/3-1,0)))</f>
        <v/>
      </c>
      <c r="AD162" s="127"/>
      <c r="AE162" s="137"/>
      <c r="AF162" s="58" t="str" cm="1">
        <f>IF(ISBLANK($A162),"",INDEX(Array_WaterCharges,MATCH($A162,List_WaterMeters,0),ROUNDUP((COLUMN()+0)/3-1,0)))</f>
        <v/>
      </c>
      <c r="AG162" s="127"/>
      <c r="AH162" s="137"/>
    </row>
    <row r="163" spans="1:34" x14ac:dyDescent="0.3">
      <c r="A163" s="126"/>
      <c r="B163" s="133"/>
      <c r="C163" s="127"/>
      <c r="D163" s="137"/>
      <c r="E163" s="58" t="str" cm="1">
        <f>IF(ISBLANK($A163),"",INDEX(Array_WaterCharges,MATCH($A163,List_WaterMeters,0),ROUNDUP((COLUMN()+0)/3-1,0)))</f>
        <v/>
      </c>
      <c r="F163" s="127"/>
      <c r="G163" s="137"/>
      <c r="H163" s="58" t="str" cm="1">
        <f>IF(ISBLANK($A163),"",INDEX(Array_WaterCharges,MATCH($A163,List_WaterMeters,0),ROUNDUP((COLUMN()+0)/3-1,0)))</f>
        <v/>
      </c>
      <c r="I163" s="127"/>
      <c r="J163" s="137"/>
      <c r="K163" s="58" t="str" cm="1">
        <f>IF(ISBLANK($A163),"",INDEX(Array_WaterCharges,MATCH($A163,List_WaterMeters,0),ROUNDUP((COLUMN()+0)/3-1,0)))</f>
        <v/>
      </c>
      <c r="L163" s="127"/>
      <c r="M163" s="137"/>
      <c r="N163" s="58" t="str" cm="1">
        <f>IF(ISBLANK($A163),"",INDEX(Array_WaterCharges,MATCH($A163,List_WaterMeters,0),ROUNDUP((COLUMN()+0)/3-1,0)))</f>
        <v/>
      </c>
      <c r="O163" s="127"/>
      <c r="P163" s="137"/>
      <c r="Q163" s="58" t="str" cm="1">
        <f>IF(ISBLANK($A163),"",INDEX(Array_WaterCharges,MATCH($A163,List_WaterMeters,0),ROUNDUP((COLUMN()+0)/3-1,0)))</f>
        <v/>
      </c>
      <c r="R163" s="127"/>
      <c r="S163" s="137"/>
      <c r="T163" s="58" t="str" cm="1">
        <f>IF(ISBLANK($A163),"",INDEX(Array_WaterCharges,MATCH($A163,List_WaterMeters,0),ROUNDUP((COLUMN()+0)/3-1,0)))</f>
        <v/>
      </c>
      <c r="U163" s="127"/>
      <c r="V163" s="137"/>
      <c r="W163" s="58" t="str" cm="1">
        <f>IF(ISBLANK($A163),"",INDEX(Array_WaterCharges,MATCH($A163,List_WaterMeters,0),ROUNDUP((COLUMN()+0)/3-1,0)))</f>
        <v/>
      </c>
      <c r="X163" s="127"/>
      <c r="Y163" s="137"/>
      <c r="Z163" s="58" t="str" cm="1">
        <f>IF(ISBLANK($A163),"",INDEX(Array_WaterCharges,MATCH($A163,List_WaterMeters,0),ROUNDUP((COLUMN()+0)/3-1,0)))</f>
        <v/>
      </c>
      <c r="AA163" s="127"/>
      <c r="AB163" s="137"/>
      <c r="AC163" s="58" t="str" cm="1">
        <f>IF(ISBLANK($A163),"",INDEX(Array_WaterCharges,MATCH($A163,List_WaterMeters,0),ROUNDUP((COLUMN()+0)/3-1,0)))</f>
        <v/>
      </c>
      <c r="AD163" s="127"/>
      <c r="AE163" s="137"/>
      <c r="AF163" s="58" t="str" cm="1">
        <f>IF(ISBLANK($A163),"",INDEX(Array_WaterCharges,MATCH($A163,List_WaterMeters,0),ROUNDUP((COLUMN()+0)/3-1,0)))</f>
        <v/>
      </c>
      <c r="AG163" s="127"/>
      <c r="AH163" s="137"/>
    </row>
    <row r="164" spans="1:34" x14ac:dyDescent="0.3">
      <c r="A164" s="126"/>
      <c r="B164" s="133"/>
      <c r="C164" s="127"/>
      <c r="D164" s="137"/>
      <c r="E164" s="58" t="str" cm="1">
        <f>IF(ISBLANK($A164),"",INDEX(Array_WaterCharges,MATCH($A164,List_WaterMeters,0),ROUNDUP((COLUMN()+0)/3-1,0)))</f>
        <v/>
      </c>
      <c r="F164" s="127"/>
      <c r="G164" s="137"/>
      <c r="H164" s="58" t="str" cm="1">
        <f>IF(ISBLANK($A164),"",INDEX(Array_WaterCharges,MATCH($A164,List_WaterMeters,0),ROUNDUP((COLUMN()+0)/3-1,0)))</f>
        <v/>
      </c>
      <c r="I164" s="127"/>
      <c r="J164" s="137"/>
      <c r="K164" s="58" t="str" cm="1">
        <f>IF(ISBLANK($A164),"",INDEX(Array_WaterCharges,MATCH($A164,List_WaterMeters,0),ROUNDUP((COLUMN()+0)/3-1,0)))</f>
        <v/>
      </c>
      <c r="L164" s="127"/>
      <c r="M164" s="137"/>
      <c r="N164" s="58" t="str" cm="1">
        <f>IF(ISBLANK($A164),"",INDEX(Array_WaterCharges,MATCH($A164,List_WaterMeters,0),ROUNDUP((COLUMN()+0)/3-1,0)))</f>
        <v/>
      </c>
      <c r="O164" s="127"/>
      <c r="P164" s="137"/>
      <c r="Q164" s="58" t="str" cm="1">
        <f>IF(ISBLANK($A164),"",INDEX(Array_WaterCharges,MATCH($A164,List_WaterMeters,0),ROUNDUP((COLUMN()+0)/3-1,0)))</f>
        <v/>
      </c>
      <c r="R164" s="127"/>
      <c r="S164" s="137"/>
      <c r="T164" s="58" t="str" cm="1">
        <f>IF(ISBLANK($A164),"",INDEX(Array_WaterCharges,MATCH($A164,List_WaterMeters,0),ROUNDUP((COLUMN()+0)/3-1,0)))</f>
        <v/>
      </c>
      <c r="U164" s="127"/>
      <c r="V164" s="137"/>
      <c r="W164" s="58" t="str" cm="1">
        <f>IF(ISBLANK($A164),"",INDEX(Array_WaterCharges,MATCH($A164,List_WaterMeters,0),ROUNDUP((COLUMN()+0)/3-1,0)))</f>
        <v/>
      </c>
      <c r="X164" s="127"/>
      <c r="Y164" s="137"/>
      <c r="Z164" s="58" t="str" cm="1">
        <f>IF(ISBLANK($A164),"",INDEX(Array_WaterCharges,MATCH($A164,List_WaterMeters,0),ROUNDUP((COLUMN()+0)/3-1,0)))</f>
        <v/>
      </c>
      <c r="AA164" s="127"/>
      <c r="AB164" s="137"/>
      <c r="AC164" s="58" t="str" cm="1">
        <f>IF(ISBLANK($A164),"",INDEX(Array_WaterCharges,MATCH($A164,List_WaterMeters,0),ROUNDUP((COLUMN()+0)/3-1,0)))</f>
        <v/>
      </c>
      <c r="AD164" s="127"/>
      <c r="AE164" s="137"/>
      <c r="AF164" s="58" t="str" cm="1">
        <f>IF(ISBLANK($A164),"",INDEX(Array_WaterCharges,MATCH($A164,List_WaterMeters,0),ROUNDUP((COLUMN()+0)/3-1,0)))</f>
        <v/>
      </c>
      <c r="AG164" s="127"/>
      <c r="AH164" s="137"/>
    </row>
    <row r="165" spans="1:34" x14ac:dyDescent="0.3">
      <c r="A165" s="126"/>
      <c r="B165" s="133"/>
      <c r="C165" s="127"/>
      <c r="D165" s="137"/>
      <c r="E165" s="58" t="str" cm="1">
        <f>IF(ISBLANK($A165),"",INDEX(Array_WaterCharges,MATCH($A165,List_WaterMeters,0),ROUNDUP((COLUMN()+0)/3-1,0)))</f>
        <v/>
      </c>
      <c r="F165" s="127"/>
      <c r="G165" s="137"/>
      <c r="H165" s="58" t="str" cm="1">
        <f>IF(ISBLANK($A165),"",INDEX(Array_WaterCharges,MATCH($A165,List_WaterMeters,0),ROUNDUP((COLUMN()+0)/3-1,0)))</f>
        <v/>
      </c>
      <c r="I165" s="127"/>
      <c r="J165" s="137"/>
      <c r="K165" s="58" t="str" cm="1">
        <f>IF(ISBLANK($A165),"",INDEX(Array_WaterCharges,MATCH($A165,List_WaterMeters,0),ROUNDUP((COLUMN()+0)/3-1,0)))</f>
        <v/>
      </c>
      <c r="L165" s="127"/>
      <c r="M165" s="137"/>
      <c r="N165" s="58" t="str" cm="1">
        <f>IF(ISBLANK($A165),"",INDEX(Array_WaterCharges,MATCH($A165,List_WaterMeters,0),ROUNDUP((COLUMN()+0)/3-1,0)))</f>
        <v/>
      </c>
      <c r="O165" s="127"/>
      <c r="P165" s="137"/>
      <c r="Q165" s="58" t="str" cm="1">
        <f>IF(ISBLANK($A165),"",INDEX(Array_WaterCharges,MATCH($A165,List_WaterMeters,0),ROUNDUP((COLUMN()+0)/3-1,0)))</f>
        <v/>
      </c>
      <c r="R165" s="127"/>
      <c r="S165" s="137"/>
      <c r="T165" s="58" t="str" cm="1">
        <f>IF(ISBLANK($A165),"",INDEX(Array_WaterCharges,MATCH($A165,List_WaterMeters,0),ROUNDUP((COLUMN()+0)/3-1,0)))</f>
        <v/>
      </c>
      <c r="U165" s="127"/>
      <c r="V165" s="137"/>
      <c r="W165" s="58" t="str" cm="1">
        <f>IF(ISBLANK($A165),"",INDEX(Array_WaterCharges,MATCH($A165,List_WaterMeters,0),ROUNDUP((COLUMN()+0)/3-1,0)))</f>
        <v/>
      </c>
      <c r="X165" s="127"/>
      <c r="Y165" s="137"/>
      <c r="Z165" s="58" t="str" cm="1">
        <f>IF(ISBLANK($A165),"",INDEX(Array_WaterCharges,MATCH($A165,List_WaterMeters,0),ROUNDUP((COLUMN()+0)/3-1,0)))</f>
        <v/>
      </c>
      <c r="AA165" s="127"/>
      <c r="AB165" s="137"/>
      <c r="AC165" s="58" t="str" cm="1">
        <f>IF(ISBLANK($A165),"",INDEX(Array_WaterCharges,MATCH($A165,List_WaterMeters,0),ROUNDUP((COLUMN()+0)/3-1,0)))</f>
        <v/>
      </c>
      <c r="AD165" s="127"/>
      <c r="AE165" s="137"/>
      <c r="AF165" s="58" t="str" cm="1">
        <f>IF(ISBLANK($A165),"",INDEX(Array_WaterCharges,MATCH($A165,List_WaterMeters,0),ROUNDUP((COLUMN()+0)/3-1,0)))</f>
        <v/>
      </c>
      <c r="AG165" s="127"/>
      <c r="AH165" s="137"/>
    </row>
    <row r="166" spans="1:34" x14ac:dyDescent="0.3">
      <c r="A166" s="126"/>
      <c r="B166" s="133"/>
      <c r="C166" s="127"/>
      <c r="D166" s="137"/>
      <c r="E166" s="58" t="str" cm="1">
        <f>IF(ISBLANK($A166),"",INDEX(Array_WaterCharges,MATCH($A166,List_WaterMeters,0),ROUNDUP((COLUMN()+0)/3-1,0)))</f>
        <v/>
      </c>
      <c r="F166" s="127"/>
      <c r="G166" s="137"/>
      <c r="H166" s="58" t="str" cm="1">
        <f>IF(ISBLANK($A166),"",INDEX(Array_WaterCharges,MATCH($A166,List_WaterMeters,0),ROUNDUP((COLUMN()+0)/3-1,0)))</f>
        <v/>
      </c>
      <c r="I166" s="127"/>
      <c r="J166" s="137"/>
      <c r="K166" s="58" t="str" cm="1">
        <f>IF(ISBLANK($A166),"",INDEX(Array_WaterCharges,MATCH($A166,List_WaterMeters,0),ROUNDUP((COLUMN()+0)/3-1,0)))</f>
        <v/>
      </c>
      <c r="L166" s="127"/>
      <c r="M166" s="137"/>
      <c r="N166" s="58" t="str" cm="1">
        <f>IF(ISBLANK($A166),"",INDEX(Array_WaterCharges,MATCH($A166,List_WaterMeters,0),ROUNDUP((COLUMN()+0)/3-1,0)))</f>
        <v/>
      </c>
      <c r="O166" s="127"/>
      <c r="P166" s="137"/>
      <c r="Q166" s="58" t="str" cm="1">
        <f>IF(ISBLANK($A166),"",INDEX(Array_WaterCharges,MATCH($A166,List_WaterMeters,0),ROUNDUP((COLUMN()+0)/3-1,0)))</f>
        <v/>
      </c>
      <c r="R166" s="127"/>
      <c r="S166" s="137"/>
      <c r="T166" s="58" t="str" cm="1">
        <f>IF(ISBLANK($A166),"",INDEX(Array_WaterCharges,MATCH($A166,List_WaterMeters,0),ROUNDUP((COLUMN()+0)/3-1,0)))</f>
        <v/>
      </c>
      <c r="U166" s="127"/>
      <c r="V166" s="137"/>
      <c r="W166" s="58" t="str" cm="1">
        <f>IF(ISBLANK($A166),"",INDEX(Array_WaterCharges,MATCH($A166,List_WaterMeters,0),ROUNDUP((COLUMN()+0)/3-1,0)))</f>
        <v/>
      </c>
      <c r="X166" s="127"/>
      <c r="Y166" s="137"/>
      <c r="Z166" s="58" t="str" cm="1">
        <f>IF(ISBLANK($A166),"",INDEX(Array_WaterCharges,MATCH($A166,List_WaterMeters,0),ROUNDUP((COLUMN()+0)/3-1,0)))</f>
        <v/>
      </c>
      <c r="AA166" s="127"/>
      <c r="AB166" s="137"/>
      <c r="AC166" s="58" t="str" cm="1">
        <f>IF(ISBLANK($A166),"",INDEX(Array_WaterCharges,MATCH($A166,List_WaterMeters,0),ROUNDUP((COLUMN()+0)/3-1,0)))</f>
        <v/>
      </c>
      <c r="AD166" s="127"/>
      <c r="AE166" s="137"/>
      <c r="AF166" s="58" t="str" cm="1">
        <f>IF(ISBLANK($A166),"",INDEX(Array_WaterCharges,MATCH($A166,List_WaterMeters,0),ROUNDUP((COLUMN()+0)/3-1,0)))</f>
        <v/>
      </c>
      <c r="AG166" s="127"/>
      <c r="AH166" s="137"/>
    </row>
    <row r="167" spans="1:34" x14ac:dyDescent="0.3">
      <c r="A167" s="126"/>
      <c r="B167" s="133"/>
      <c r="C167" s="127"/>
      <c r="D167" s="137"/>
      <c r="E167" s="58" t="str" cm="1">
        <f>IF(ISBLANK($A167),"",INDEX(Array_WaterCharges,MATCH($A167,List_WaterMeters,0),ROUNDUP((COLUMN()+0)/3-1,0)))</f>
        <v/>
      </c>
      <c r="F167" s="127"/>
      <c r="G167" s="137"/>
      <c r="H167" s="58" t="str" cm="1">
        <f>IF(ISBLANK($A167),"",INDEX(Array_WaterCharges,MATCH($A167,List_WaterMeters,0),ROUNDUP((COLUMN()+0)/3-1,0)))</f>
        <v/>
      </c>
      <c r="I167" s="127"/>
      <c r="J167" s="137"/>
      <c r="K167" s="58" t="str" cm="1">
        <f>IF(ISBLANK($A167),"",INDEX(Array_WaterCharges,MATCH($A167,List_WaterMeters,0),ROUNDUP((COLUMN()+0)/3-1,0)))</f>
        <v/>
      </c>
      <c r="L167" s="127"/>
      <c r="M167" s="137"/>
      <c r="N167" s="58" t="str" cm="1">
        <f>IF(ISBLANK($A167),"",INDEX(Array_WaterCharges,MATCH($A167,List_WaterMeters,0),ROUNDUP((COLUMN()+0)/3-1,0)))</f>
        <v/>
      </c>
      <c r="O167" s="127"/>
      <c r="P167" s="137"/>
      <c r="Q167" s="58" t="str" cm="1">
        <f>IF(ISBLANK($A167),"",INDEX(Array_WaterCharges,MATCH($A167,List_WaterMeters,0),ROUNDUP((COLUMN()+0)/3-1,0)))</f>
        <v/>
      </c>
      <c r="R167" s="127"/>
      <c r="S167" s="137"/>
      <c r="T167" s="58" t="str" cm="1">
        <f>IF(ISBLANK($A167),"",INDEX(Array_WaterCharges,MATCH($A167,List_WaterMeters,0),ROUNDUP((COLUMN()+0)/3-1,0)))</f>
        <v/>
      </c>
      <c r="U167" s="127"/>
      <c r="V167" s="137"/>
      <c r="W167" s="58" t="str" cm="1">
        <f>IF(ISBLANK($A167),"",INDEX(Array_WaterCharges,MATCH($A167,List_WaterMeters,0),ROUNDUP((COLUMN()+0)/3-1,0)))</f>
        <v/>
      </c>
      <c r="X167" s="127"/>
      <c r="Y167" s="137"/>
      <c r="Z167" s="58" t="str" cm="1">
        <f>IF(ISBLANK($A167),"",INDEX(Array_WaterCharges,MATCH($A167,List_WaterMeters,0),ROUNDUP((COLUMN()+0)/3-1,0)))</f>
        <v/>
      </c>
      <c r="AA167" s="127"/>
      <c r="AB167" s="137"/>
      <c r="AC167" s="58" t="str" cm="1">
        <f>IF(ISBLANK($A167),"",INDEX(Array_WaterCharges,MATCH($A167,List_WaterMeters,0),ROUNDUP((COLUMN()+0)/3-1,0)))</f>
        <v/>
      </c>
      <c r="AD167" s="127"/>
      <c r="AE167" s="137"/>
      <c r="AF167" s="58" t="str" cm="1">
        <f>IF(ISBLANK($A167),"",INDEX(Array_WaterCharges,MATCH($A167,List_WaterMeters,0),ROUNDUP((COLUMN()+0)/3-1,0)))</f>
        <v/>
      </c>
      <c r="AG167" s="127"/>
      <c r="AH167" s="137"/>
    </row>
    <row r="168" spans="1:34" x14ac:dyDescent="0.3">
      <c r="A168" s="126"/>
      <c r="B168" s="133"/>
      <c r="C168" s="127"/>
      <c r="D168" s="137"/>
      <c r="E168" s="58" t="str" cm="1">
        <f>IF(ISBLANK($A168),"",INDEX(Array_WaterCharges,MATCH($A168,List_WaterMeters,0),ROUNDUP((COLUMN()+0)/3-1,0)))</f>
        <v/>
      </c>
      <c r="F168" s="127"/>
      <c r="G168" s="137"/>
      <c r="H168" s="58" t="str" cm="1">
        <f>IF(ISBLANK($A168),"",INDEX(Array_WaterCharges,MATCH($A168,List_WaterMeters,0),ROUNDUP((COLUMN()+0)/3-1,0)))</f>
        <v/>
      </c>
      <c r="I168" s="127"/>
      <c r="J168" s="137"/>
      <c r="K168" s="58" t="str" cm="1">
        <f>IF(ISBLANK($A168),"",INDEX(Array_WaterCharges,MATCH($A168,List_WaterMeters,0),ROUNDUP((COLUMN()+0)/3-1,0)))</f>
        <v/>
      </c>
      <c r="L168" s="127"/>
      <c r="M168" s="137"/>
      <c r="N168" s="58" t="str" cm="1">
        <f>IF(ISBLANK($A168),"",INDEX(Array_WaterCharges,MATCH($A168,List_WaterMeters,0),ROUNDUP((COLUMN()+0)/3-1,0)))</f>
        <v/>
      </c>
      <c r="O168" s="127"/>
      <c r="P168" s="137"/>
      <c r="Q168" s="58" t="str" cm="1">
        <f>IF(ISBLANK($A168),"",INDEX(Array_WaterCharges,MATCH($A168,List_WaterMeters,0),ROUNDUP((COLUMN()+0)/3-1,0)))</f>
        <v/>
      </c>
      <c r="R168" s="127"/>
      <c r="S168" s="137"/>
      <c r="T168" s="58" t="str" cm="1">
        <f>IF(ISBLANK($A168),"",INDEX(Array_WaterCharges,MATCH($A168,List_WaterMeters,0),ROUNDUP((COLUMN()+0)/3-1,0)))</f>
        <v/>
      </c>
      <c r="U168" s="127"/>
      <c r="V168" s="137"/>
      <c r="W168" s="58" t="str" cm="1">
        <f>IF(ISBLANK($A168),"",INDEX(Array_WaterCharges,MATCH($A168,List_WaterMeters,0),ROUNDUP((COLUMN()+0)/3-1,0)))</f>
        <v/>
      </c>
      <c r="X168" s="127"/>
      <c r="Y168" s="137"/>
      <c r="Z168" s="58" t="str" cm="1">
        <f>IF(ISBLANK($A168),"",INDEX(Array_WaterCharges,MATCH($A168,List_WaterMeters,0),ROUNDUP((COLUMN()+0)/3-1,0)))</f>
        <v/>
      </c>
      <c r="AA168" s="127"/>
      <c r="AB168" s="137"/>
      <c r="AC168" s="58" t="str" cm="1">
        <f>IF(ISBLANK($A168),"",INDEX(Array_WaterCharges,MATCH($A168,List_WaterMeters,0),ROUNDUP((COLUMN()+0)/3-1,0)))</f>
        <v/>
      </c>
      <c r="AD168" s="127"/>
      <c r="AE168" s="137"/>
      <c r="AF168" s="58" t="str" cm="1">
        <f>IF(ISBLANK($A168),"",INDEX(Array_WaterCharges,MATCH($A168,List_WaterMeters,0),ROUNDUP((COLUMN()+0)/3-1,0)))</f>
        <v/>
      </c>
      <c r="AG168" s="127"/>
      <c r="AH168" s="137"/>
    </row>
    <row r="169" spans="1:34" x14ac:dyDescent="0.3">
      <c r="A169" s="126"/>
      <c r="B169" s="133"/>
      <c r="C169" s="127"/>
      <c r="D169" s="137"/>
      <c r="E169" s="58" t="str" cm="1">
        <f>IF(ISBLANK($A169),"",INDEX(Array_WaterCharges,MATCH($A169,List_WaterMeters,0),ROUNDUP((COLUMN()+0)/3-1,0)))</f>
        <v/>
      </c>
      <c r="F169" s="127"/>
      <c r="G169" s="137"/>
      <c r="H169" s="58" t="str" cm="1">
        <f>IF(ISBLANK($A169),"",INDEX(Array_WaterCharges,MATCH($A169,List_WaterMeters,0),ROUNDUP((COLUMN()+0)/3-1,0)))</f>
        <v/>
      </c>
      <c r="I169" s="127"/>
      <c r="J169" s="137"/>
      <c r="K169" s="58" t="str" cm="1">
        <f>IF(ISBLANK($A169),"",INDEX(Array_WaterCharges,MATCH($A169,List_WaterMeters,0),ROUNDUP((COLUMN()+0)/3-1,0)))</f>
        <v/>
      </c>
      <c r="L169" s="127"/>
      <c r="M169" s="137"/>
      <c r="N169" s="58" t="str" cm="1">
        <f>IF(ISBLANK($A169),"",INDEX(Array_WaterCharges,MATCH($A169,List_WaterMeters,0),ROUNDUP((COLUMN()+0)/3-1,0)))</f>
        <v/>
      </c>
      <c r="O169" s="127"/>
      <c r="P169" s="137"/>
      <c r="Q169" s="58" t="str" cm="1">
        <f>IF(ISBLANK($A169),"",INDEX(Array_WaterCharges,MATCH($A169,List_WaterMeters,0),ROUNDUP((COLUMN()+0)/3-1,0)))</f>
        <v/>
      </c>
      <c r="R169" s="127"/>
      <c r="S169" s="137"/>
      <c r="T169" s="58" t="str" cm="1">
        <f>IF(ISBLANK($A169),"",INDEX(Array_WaterCharges,MATCH($A169,List_WaterMeters,0),ROUNDUP((COLUMN()+0)/3-1,0)))</f>
        <v/>
      </c>
      <c r="U169" s="127"/>
      <c r="V169" s="137"/>
      <c r="W169" s="58" t="str" cm="1">
        <f>IF(ISBLANK($A169),"",INDEX(Array_WaterCharges,MATCH($A169,List_WaterMeters,0),ROUNDUP((COLUMN()+0)/3-1,0)))</f>
        <v/>
      </c>
      <c r="X169" s="127"/>
      <c r="Y169" s="137"/>
      <c r="Z169" s="58" t="str" cm="1">
        <f>IF(ISBLANK($A169),"",INDEX(Array_WaterCharges,MATCH($A169,List_WaterMeters,0),ROUNDUP((COLUMN()+0)/3-1,0)))</f>
        <v/>
      </c>
      <c r="AA169" s="127"/>
      <c r="AB169" s="137"/>
      <c r="AC169" s="58" t="str" cm="1">
        <f>IF(ISBLANK($A169),"",INDEX(Array_WaterCharges,MATCH($A169,List_WaterMeters,0),ROUNDUP((COLUMN()+0)/3-1,0)))</f>
        <v/>
      </c>
      <c r="AD169" s="127"/>
      <c r="AE169" s="137"/>
      <c r="AF169" s="58" t="str" cm="1">
        <f>IF(ISBLANK($A169),"",INDEX(Array_WaterCharges,MATCH($A169,List_WaterMeters,0),ROUNDUP((COLUMN()+0)/3-1,0)))</f>
        <v/>
      </c>
      <c r="AG169" s="127"/>
      <c r="AH169" s="137"/>
    </row>
    <row r="170" spans="1:34" x14ac:dyDescent="0.3">
      <c r="A170" s="126"/>
      <c r="B170" s="133"/>
      <c r="C170" s="127"/>
      <c r="D170" s="137"/>
      <c r="E170" s="58" t="str" cm="1">
        <f>IF(ISBLANK($A170),"",INDEX(Array_WaterCharges,MATCH($A170,List_WaterMeters,0),ROUNDUP((COLUMN()+0)/3-1,0)))</f>
        <v/>
      </c>
      <c r="F170" s="127"/>
      <c r="G170" s="137"/>
      <c r="H170" s="58" t="str" cm="1">
        <f>IF(ISBLANK($A170),"",INDEX(Array_WaterCharges,MATCH($A170,List_WaterMeters,0),ROUNDUP((COLUMN()+0)/3-1,0)))</f>
        <v/>
      </c>
      <c r="I170" s="127"/>
      <c r="J170" s="137"/>
      <c r="K170" s="58" t="str" cm="1">
        <f>IF(ISBLANK($A170),"",INDEX(Array_WaterCharges,MATCH($A170,List_WaterMeters,0),ROUNDUP((COLUMN()+0)/3-1,0)))</f>
        <v/>
      </c>
      <c r="L170" s="127"/>
      <c r="M170" s="137"/>
      <c r="N170" s="58" t="str" cm="1">
        <f>IF(ISBLANK($A170),"",INDEX(Array_WaterCharges,MATCH($A170,List_WaterMeters,0),ROUNDUP((COLUMN()+0)/3-1,0)))</f>
        <v/>
      </c>
      <c r="O170" s="127"/>
      <c r="P170" s="137"/>
      <c r="Q170" s="58" t="str" cm="1">
        <f>IF(ISBLANK($A170),"",INDEX(Array_WaterCharges,MATCH($A170,List_WaterMeters,0),ROUNDUP((COLUMN()+0)/3-1,0)))</f>
        <v/>
      </c>
      <c r="R170" s="127"/>
      <c r="S170" s="137"/>
      <c r="T170" s="58" t="str" cm="1">
        <f>IF(ISBLANK($A170),"",INDEX(Array_WaterCharges,MATCH($A170,List_WaterMeters,0),ROUNDUP((COLUMN()+0)/3-1,0)))</f>
        <v/>
      </c>
      <c r="U170" s="127"/>
      <c r="V170" s="137"/>
      <c r="W170" s="58" t="str" cm="1">
        <f>IF(ISBLANK($A170),"",INDEX(Array_WaterCharges,MATCH($A170,List_WaterMeters,0),ROUNDUP((COLUMN()+0)/3-1,0)))</f>
        <v/>
      </c>
      <c r="X170" s="127"/>
      <c r="Y170" s="137"/>
      <c r="Z170" s="58" t="str" cm="1">
        <f>IF(ISBLANK($A170),"",INDEX(Array_WaterCharges,MATCH($A170,List_WaterMeters,0),ROUNDUP((COLUMN()+0)/3-1,0)))</f>
        <v/>
      </c>
      <c r="AA170" s="127"/>
      <c r="AB170" s="137"/>
      <c r="AC170" s="58" t="str" cm="1">
        <f>IF(ISBLANK($A170),"",INDEX(Array_WaterCharges,MATCH($A170,List_WaterMeters,0),ROUNDUP((COLUMN()+0)/3-1,0)))</f>
        <v/>
      </c>
      <c r="AD170" s="127"/>
      <c r="AE170" s="137"/>
      <c r="AF170" s="58" t="str" cm="1">
        <f>IF(ISBLANK($A170),"",INDEX(Array_WaterCharges,MATCH($A170,List_WaterMeters,0),ROUNDUP((COLUMN()+0)/3-1,0)))</f>
        <v/>
      </c>
      <c r="AG170" s="127"/>
      <c r="AH170" s="137"/>
    </row>
    <row r="171" spans="1:34" x14ac:dyDescent="0.3">
      <c r="A171" s="126"/>
      <c r="B171" s="133"/>
      <c r="C171" s="127"/>
      <c r="D171" s="137"/>
      <c r="E171" s="58" t="str" cm="1">
        <f>IF(ISBLANK($A171),"",INDEX(Array_WaterCharges,MATCH($A171,List_WaterMeters,0),ROUNDUP((COLUMN()+0)/3-1,0)))</f>
        <v/>
      </c>
      <c r="F171" s="127"/>
      <c r="G171" s="137"/>
      <c r="H171" s="58" t="str" cm="1">
        <f>IF(ISBLANK($A171),"",INDEX(Array_WaterCharges,MATCH($A171,List_WaterMeters,0),ROUNDUP((COLUMN()+0)/3-1,0)))</f>
        <v/>
      </c>
      <c r="I171" s="127"/>
      <c r="J171" s="137"/>
      <c r="K171" s="58" t="str" cm="1">
        <f>IF(ISBLANK($A171),"",INDEX(Array_WaterCharges,MATCH($A171,List_WaterMeters,0),ROUNDUP((COLUMN()+0)/3-1,0)))</f>
        <v/>
      </c>
      <c r="L171" s="127"/>
      <c r="M171" s="137"/>
      <c r="N171" s="58" t="str" cm="1">
        <f>IF(ISBLANK($A171),"",INDEX(Array_WaterCharges,MATCH($A171,List_WaterMeters,0),ROUNDUP((COLUMN()+0)/3-1,0)))</f>
        <v/>
      </c>
      <c r="O171" s="127"/>
      <c r="P171" s="137"/>
      <c r="Q171" s="58" t="str" cm="1">
        <f>IF(ISBLANK($A171),"",INDEX(Array_WaterCharges,MATCH($A171,List_WaterMeters,0),ROUNDUP((COLUMN()+0)/3-1,0)))</f>
        <v/>
      </c>
      <c r="R171" s="127"/>
      <c r="S171" s="137"/>
      <c r="T171" s="58" t="str" cm="1">
        <f>IF(ISBLANK($A171),"",INDEX(Array_WaterCharges,MATCH($A171,List_WaterMeters,0),ROUNDUP((COLUMN()+0)/3-1,0)))</f>
        <v/>
      </c>
      <c r="U171" s="127"/>
      <c r="V171" s="137"/>
      <c r="W171" s="58" t="str" cm="1">
        <f>IF(ISBLANK($A171),"",INDEX(Array_WaterCharges,MATCH($A171,List_WaterMeters,0),ROUNDUP((COLUMN()+0)/3-1,0)))</f>
        <v/>
      </c>
      <c r="X171" s="127"/>
      <c r="Y171" s="137"/>
      <c r="Z171" s="58" t="str" cm="1">
        <f>IF(ISBLANK($A171),"",INDEX(Array_WaterCharges,MATCH($A171,List_WaterMeters,0),ROUNDUP((COLUMN()+0)/3-1,0)))</f>
        <v/>
      </c>
      <c r="AA171" s="127"/>
      <c r="AB171" s="137"/>
      <c r="AC171" s="58" t="str" cm="1">
        <f>IF(ISBLANK($A171),"",INDEX(Array_WaterCharges,MATCH($A171,List_WaterMeters,0),ROUNDUP((COLUMN()+0)/3-1,0)))</f>
        <v/>
      </c>
      <c r="AD171" s="127"/>
      <c r="AE171" s="137"/>
      <c r="AF171" s="58" t="str" cm="1">
        <f>IF(ISBLANK($A171),"",INDEX(Array_WaterCharges,MATCH($A171,List_WaterMeters,0),ROUNDUP((COLUMN()+0)/3-1,0)))</f>
        <v/>
      </c>
      <c r="AG171" s="127"/>
      <c r="AH171" s="137"/>
    </row>
    <row r="172" spans="1:34" x14ac:dyDescent="0.3">
      <c r="A172" s="126"/>
      <c r="B172" s="133"/>
      <c r="C172" s="127"/>
      <c r="D172" s="137"/>
      <c r="E172" s="58" t="str" cm="1">
        <f>IF(ISBLANK($A172),"",INDEX(Array_WaterCharges,MATCH($A172,List_WaterMeters,0),ROUNDUP((COLUMN()+0)/3-1,0)))</f>
        <v/>
      </c>
      <c r="F172" s="127"/>
      <c r="G172" s="137"/>
      <c r="H172" s="58" t="str" cm="1">
        <f>IF(ISBLANK($A172),"",INDEX(Array_WaterCharges,MATCH($A172,List_WaterMeters,0),ROUNDUP((COLUMN()+0)/3-1,0)))</f>
        <v/>
      </c>
      <c r="I172" s="127"/>
      <c r="J172" s="137"/>
      <c r="K172" s="58" t="str" cm="1">
        <f>IF(ISBLANK($A172),"",INDEX(Array_WaterCharges,MATCH($A172,List_WaterMeters,0),ROUNDUP((COLUMN()+0)/3-1,0)))</f>
        <v/>
      </c>
      <c r="L172" s="127"/>
      <c r="M172" s="137"/>
      <c r="N172" s="58" t="str" cm="1">
        <f>IF(ISBLANK($A172),"",INDEX(Array_WaterCharges,MATCH($A172,List_WaterMeters,0),ROUNDUP((COLUMN()+0)/3-1,0)))</f>
        <v/>
      </c>
      <c r="O172" s="127"/>
      <c r="P172" s="137"/>
      <c r="Q172" s="58" t="str" cm="1">
        <f>IF(ISBLANK($A172),"",INDEX(Array_WaterCharges,MATCH($A172,List_WaterMeters,0),ROUNDUP((COLUMN()+0)/3-1,0)))</f>
        <v/>
      </c>
      <c r="R172" s="127"/>
      <c r="S172" s="137"/>
      <c r="T172" s="58" t="str" cm="1">
        <f>IF(ISBLANK($A172),"",INDEX(Array_WaterCharges,MATCH($A172,List_WaterMeters,0),ROUNDUP((COLUMN()+0)/3-1,0)))</f>
        <v/>
      </c>
      <c r="U172" s="127"/>
      <c r="V172" s="137"/>
      <c r="W172" s="58" t="str" cm="1">
        <f>IF(ISBLANK($A172),"",INDEX(Array_WaterCharges,MATCH($A172,List_WaterMeters,0),ROUNDUP((COLUMN()+0)/3-1,0)))</f>
        <v/>
      </c>
      <c r="X172" s="127"/>
      <c r="Y172" s="137"/>
      <c r="Z172" s="58" t="str" cm="1">
        <f>IF(ISBLANK($A172),"",INDEX(Array_WaterCharges,MATCH($A172,List_WaterMeters,0),ROUNDUP((COLUMN()+0)/3-1,0)))</f>
        <v/>
      </c>
      <c r="AA172" s="127"/>
      <c r="AB172" s="137"/>
      <c r="AC172" s="58" t="str" cm="1">
        <f>IF(ISBLANK($A172),"",INDEX(Array_WaterCharges,MATCH($A172,List_WaterMeters,0),ROUNDUP((COLUMN()+0)/3-1,0)))</f>
        <v/>
      </c>
      <c r="AD172" s="127"/>
      <c r="AE172" s="137"/>
      <c r="AF172" s="58" t="str" cm="1">
        <f>IF(ISBLANK($A172),"",INDEX(Array_WaterCharges,MATCH($A172,List_WaterMeters,0),ROUNDUP((COLUMN()+0)/3-1,0)))</f>
        <v/>
      </c>
      <c r="AG172" s="127"/>
      <c r="AH172" s="137"/>
    </row>
    <row r="173" spans="1:34" x14ac:dyDescent="0.3">
      <c r="A173" s="126"/>
      <c r="B173" s="133"/>
      <c r="C173" s="127"/>
      <c r="D173" s="137"/>
      <c r="E173" s="58" t="str" cm="1">
        <f>IF(ISBLANK($A173),"",INDEX(Array_WaterCharges,MATCH($A173,List_WaterMeters,0),ROUNDUP((COLUMN()+0)/3-1,0)))</f>
        <v/>
      </c>
      <c r="F173" s="127"/>
      <c r="G173" s="137"/>
      <c r="H173" s="58" t="str" cm="1">
        <f>IF(ISBLANK($A173),"",INDEX(Array_WaterCharges,MATCH($A173,List_WaterMeters,0),ROUNDUP((COLUMN()+0)/3-1,0)))</f>
        <v/>
      </c>
      <c r="I173" s="127"/>
      <c r="J173" s="137"/>
      <c r="K173" s="58" t="str" cm="1">
        <f>IF(ISBLANK($A173),"",INDEX(Array_WaterCharges,MATCH($A173,List_WaterMeters,0),ROUNDUP((COLUMN()+0)/3-1,0)))</f>
        <v/>
      </c>
      <c r="L173" s="127"/>
      <c r="M173" s="137"/>
      <c r="N173" s="58" t="str" cm="1">
        <f>IF(ISBLANK($A173),"",INDEX(Array_WaterCharges,MATCH($A173,List_WaterMeters,0),ROUNDUP((COLUMN()+0)/3-1,0)))</f>
        <v/>
      </c>
      <c r="O173" s="127"/>
      <c r="P173" s="137"/>
      <c r="Q173" s="58" t="str" cm="1">
        <f>IF(ISBLANK($A173),"",INDEX(Array_WaterCharges,MATCH($A173,List_WaterMeters,0),ROUNDUP((COLUMN()+0)/3-1,0)))</f>
        <v/>
      </c>
      <c r="R173" s="127"/>
      <c r="S173" s="137"/>
      <c r="T173" s="58" t="str" cm="1">
        <f>IF(ISBLANK($A173),"",INDEX(Array_WaterCharges,MATCH($A173,List_WaterMeters,0),ROUNDUP((COLUMN()+0)/3-1,0)))</f>
        <v/>
      </c>
      <c r="U173" s="127"/>
      <c r="V173" s="137"/>
      <c r="W173" s="58" t="str" cm="1">
        <f>IF(ISBLANK($A173),"",INDEX(Array_WaterCharges,MATCH($A173,List_WaterMeters,0),ROUNDUP((COLUMN()+0)/3-1,0)))</f>
        <v/>
      </c>
      <c r="X173" s="127"/>
      <c r="Y173" s="137"/>
      <c r="Z173" s="58" t="str" cm="1">
        <f>IF(ISBLANK($A173),"",INDEX(Array_WaterCharges,MATCH($A173,List_WaterMeters,0),ROUNDUP((COLUMN()+0)/3-1,0)))</f>
        <v/>
      </c>
      <c r="AA173" s="127"/>
      <c r="AB173" s="137"/>
      <c r="AC173" s="58" t="str" cm="1">
        <f>IF(ISBLANK($A173),"",INDEX(Array_WaterCharges,MATCH($A173,List_WaterMeters,0),ROUNDUP((COLUMN()+0)/3-1,0)))</f>
        <v/>
      </c>
      <c r="AD173" s="127"/>
      <c r="AE173" s="137"/>
      <c r="AF173" s="58" t="str" cm="1">
        <f>IF(ISBLANK($A173),"",INDEX(Array_WaterCharges,MATCH($A173,List_WaterMeters,0),ROUNDUP((COLUMN()+0)/3-1,0)))</f>
        <v/>
      </c>
      <c r="AG173" s="127"/>
      <c r="AH173" s="137"/>
    </row>
    <row r="174" spans="1:34" x14ac:dyDescent="0.3">
      <c r="A174" s="126"/>
      <c r="B174" s="133"/>
      <c r="C174" s="127"/>
      <c r="D174" s="137"/>
      <c r="E174" s="58" t="str" cm="1">
        <f>IF(ISBLANK($A174),"",INDEX(Array_WaterCharges,MATCH($A174,List_WaterMeters,0),ROUNDUP((COLUMN()+0)/3-1,0)))</f>
        <v/>
      </c>
      <c r="F174" s="127"/>
      <c r="G174" s="137"/>
      <c r="H174" s="58" t="str" cm="1">
        <f>IF(ISBLANK($A174),"",INDEX(Array_WaterCharges,MATCH($A174,List_WaterMeters,0),ROUNDUP((COLUMN()+0)/3-1,0)))</f>
        <v/>
      </c>
      <c r="I174" s="127"/>
      <c r="J174" s="137"/>
      <c r="K174" s="58" t="str" cm="1">
        <f>IF(ISBLANK($A174),"",INDEX(Array_WaterCharges,MATCH($A174,List_WaterMeters,0),ROUNDUP((COLUMN()+0)/3-1,0)))</f>
        <v/>
      </c>
      <c r="L174" s="127"/>
      <c r="M174" s="137"/>
      <c r="N174" s="58" t="str" cm="1">
        <f>IF(ISBLANK($A174),"",INDEX(Array_WaterCharges,MATCH($A174,List_WaterMeters,0),ROUNDUP((COLUMN()+0)/3-1,0)))</f>
        <v/>
      </c>
      <c r="O174" s="127"/>
      <c r="P174" s="137"/>
      <c r="Q174" s="58" t="str" cm="1">
        <f>IF(ISBLANK($A174),"",INDEX(Array_WaterCharges,MATCH($A174,List_WaterMeters,0),ROUNDUP((COLUMN()+0)/3-1,0)))</f>
        <v/>
      </c>
      <c r="R174" s="127"/>
      <c r="S174" s="137"/>
      <c r="T174" s="58" t="str" cm="1">
        <f>IF(ISBLANK($A174),"",INDEX(Array_WaterCharges,MATCH($A174,List_WaterMeters,0),ROUNDUP((COLUMN()+0)/3-1,0)))</f>
        <v/>
      </c>
      <c r="U174" s="127"/>
      <c r="V174" s="137"/>
      <c r="W174" s="58" t="str" cm="1">
        <f>IF(ISBLANK($A174),"",INDEX(Array_WaterCharges,MATCH($A174,List_WaterMeters,0),ROUNDUP((COLUMN()+0)/3-1,0)))</f>
        <v/>
      </c>
      <c r="X174" s="127"/>
      <c r="Y174" s="137"/>
      <c r="Z174" s="58" t="str" cm="1">
        <f>IF(ISBLANK($A174),"",INDEX(Array_WaterCharges,MATCH($A174,List_WaterMeters,0),ROUNDUP((COLUMN()+0)/3-1,0)))</f>
        <v/>
      </c>
      <c r="AA174" s="127"/>
      <c r="AB174" s="137"/>
      <c r="AC174" s="58" t="str" cm="1">
        <f>IF(ISBLANK($A174),"",INDEX(Array_WaterCharges,MATCH($A174,List_WaterMeters,0),ROUNDUP((COLUMN()+0)/3-1,0)))</f>
        <v/>
      </c>
      <c r="AD174" s="127"/>
      <c r="AE174" s="137"/>
      <c r="AF174" s="58" t="str" cm="1">
        <f>IF(ISBLANK($A174),"",INDEX(Array_WaterCharges,MATCH($A174,List_WaterMeters,0),ROUNDUP((COLUMN()+0)/3-1,0)))</f>
        <v/>
      </c>
      <c r="AG174" s="127"/>
      <c r="AH174" s="137"/>
    </row>
    <row r="175" spans="1:34" x14ac:dyDescent="0.3">
      <c r="A175" s="126"/>
      <c r="B175" s="133"/>
      <c r="C175" s="127"/>
      <c r="D175" s="137"/>
      <c r="E175" s="58" t="str" cm="1">
        <f>IF(ISBLANK($A175),"",INDEX(Array_WaterCharges,MATCH($A175,List_WaterMeters,0),ROUNDUP((COLUMN()+0)/3-1,0)))</f>
        <v/>
      </c>
      <c r="F175" s="127"/>
      <c r="G175" s="137"/>
      <c r="H175" s="58" t="str" cm="1">
        <f>IF(ISBLANK($A175),"",INDEX(Array_WaterCharges,MATCH($A175,List_WaterMeters,0),ROUNDUP((COLUMN()+0)/3-1,0)))</f>
        <v/>
      </c>
      <c r="I175" s="127"/>
      <c r="J175" s="137"/>
      <c r="K175" s="58" t="str" cm="1">
        <f>IF(ISBLANK($A175),"",INDEX(Array_WaterCharges,MATCH($A175,List_WaterMeters,0),ROUNDUP((COLUMN()+0)/3-1,0)))</f>
        <v/>
      </c>
      <c r="L175" s="127"/>
      <c r="M175" s="137"/>
      <c r="N175" s="58" t="str" cm="1">
        <f>IF(ISBLANK($A175),"",INDEX(Array_WaterCharges,MATCH($A175,List_WaterMeters,0),ROUNDUP((COLUMN()+0)/3-1,0)))</f>
        <v/>
      </c>
      <c r="O175" s="127"/>
      <c r="P175" s="137"/>
      <c r="Q175" s="58" t="str" cm="1">
        <f>IF(ISBLANK($A175),"",INDEX(Array_WaterCharges,MATCH($A175,List_WaterMeters,0),ROUNDUP((COLUMN()+0)/3-1,0)))</f>
        <v/>
      </c>
      <c r="R175" s="127"/>
      <c r="S175" s="137"/>
      <c r="T175" s="58" t="str" cm="1">
        <f>IF(ISBLANK($A175),"",INDEX(Array_WaterCharges,MATCH($A175,List_WaterMeters,0),ROUNDUP((COLUMN()+0)/3-1,0)))</f>
        <v/>
      </c>
      <c r="U175" s="127"/>
      <c r="V175" s="137"/>
      <c r="W175" s="58" t="str" cm="1">
        <f>IF(ISBLANK($A175),"",INDEX(Array_WaterCharges,MATCH($A175,List_WaterMeters,0),ROUNDUP((COLUMN()+0)/3-1,0)))</f>
        <v/>
      </c>
      <c r="X175" s="127"/>
      <c r="Y175" s="137"/>
      <c r="Z175" s="58" t="str" cm="1">
        <f>IF(ISBLANK($A175),"",INDEX(Array_WaterCharges,MATCH($A175,List_WaterMeters,0),ROUNDUP((COLUMN()+0)/3-1,0)))</f>
        <v/>
      </c>
      <c r="AA175" s="127"/>
      <c r="AB175" s="137"/>
      <c r="AC175" s="58" t="str" cm="1">
        <f>IF(ISBLANK($A175),"",INDEX(Array_WaterCharges,MATCH($A175,List_WaterMeters,0),ROUNDUP((COLUMN()+0)/3-1,0)))</f>
        <v/>
      </c>
      <c r="AD175" s="127"/>
      <c r="AE175" s="137"/>
      <c r="AF175" s="58" t="str" cm="1">
        <f>IF(ISBLANK($A175),"",INDEX(Array_WaterCharges,MATCH($A175,List_WaterMeters,0),ROUNDUP((COLUMN()+0)/3-1,0)))</f>
        <v/>
      </c>
      <c r="AG175" s="127"/>
      <c r="AH175" s="137"/>
    </row>
    <row r="176" spans="1:34" x14ac:dyDescent="0.3">
      <c r="A176" s="126"/>
      <c r="B176" s="133"/>
      <c r="C176" s="127"/>
      <c r="D176" s="137"/>
      <c r="E176" s="58" t="str" cm="1">
        <f>IF(ISBLANK($A176),"",INDEX(Array_WaterCharges,MATCH($A176,List_WaterMeters,0),ROUNDUP((COLUMN()+0)/3-1,0)))</f>
        <v/>
      </c>
      <c r="F176" s="127"/>
      <c r="G176" s="137"/>
      <c r="H176" s="58" t="str" cm="1">
        <f>IF(ISBLANK($A176),"",INDEX(Array_WaterCharges,MATCH($A176,List_WaterMeters,0),ROUNDUP((COLUMN()+0)/3-1,0)))</f>
        <v/>
      </c>
      <c r="I176" s="127"/>
      <c r="J176" s="137"/>
      <c r="K176" s="58" t="str" cm="1">
        <f>IF(ISBLANK($A176),"",INDEX(Array_WaterCharges,MATCH($A176,List_WaterMeters,0),ROUNDUP((COLUMN()+0)/3-1,0)))</f>
        <v/>
      </c>
      <c r="L176" s="127"/>
      <c r="M176" s="137"/>
      <c r="N176" s="58" t="str" cm="1">
        <f>IF(ISBLANK($A176),"",INDEX(Array_WaterCharges,MATCH($A176,List_WaterMeters,0),ROUNDUP((COLUMN()+0)/3-1,0)))</f>
        <v/>
      </c>
      <c r="O176" s="127"/>
      <c r="P176" s="137"/>
      <c r="Q176" s="58" t="str" cm="1">
        <f>IF(ISBLANK($A176),"",INDEX(Array_WaterCharges,MATCH($A176,List_WaterMeters,0),ROUNDUP((COLUMN()+0)/3-1,0)))</f>
        <v/>
      </c>
      <c r="R176" s="127"/>
      <c r="S176" s="137"/>
      <c r="T176" s="58" t="str" cm="1">
        <f>IF(ISBLANK($A176),"",INDEX(Array_WaterCharges,MATCH($A176,List_WaterMeters,0),ROUNDUP((COLUMN()+0)/3-1,0)))</f>
        <v/>
      </c>
      <c r="U176" s="127"/>
      <c r="V176" s="137"/>
      <c r="W176" s="58" t="str" cm="1">
        <f>IF(ISBLANK($A176),"",INDEX(Array_WaterCharges,MATCH($A176,List_WaterMeters,0),ROUNDUP((COLUMN()+0)/3-1,0)))</f>
        <v/>
      </c>
      <c r="X176" s="127"/>
      <c r="Y176" s="137"/>
      <c r="Z176" s="58" t="str" cm="1">
        <f>IF(ISBLANK($A176),"",INDEX(Array_WaterCharges,MATCH($A176,List_WaterMeters,0),ROUNDUP((COLUMN()+0)/3-1,0)))</f>
        <v/>
      </c>
      <c r="AA176" s="127"/>
      <c r="AB176" s="137"/>
      <c r="AC176" s="58" t="str" cm="1">
        <f>IF(ISBLANK($A176),"",INDEX(Array_WaterCharges,MATCH($A176,List_WaterMeters,0),ROUNDUP((COLUMN()+0)/3-1,0)))</f>
        <v/>
      </c>
      <c r="AD176" s="127"/>
      <c r="AE176" s="137"/>
      <c r="AF176" s="58" t="str" cm="1">
        <f>IF(ISBLANK($A176),"",INDEX(Array_WaterCharges,MATCH($A176,List_WaterMeters,0),ROUNDUP((COLUMN()+0)/3-1,0)))</f>
        <v/>
      </c>
      <c r="AG176" s="127"/>
      <c r="AH176" s="137"/>
    </row>
    <row r="177" spans="1:34" x14ac:dyDescent="0.3">
      <c r="A177" s="126"/>
      <c r="B177" s="133"/>
      <c r="C177" s="127"/>
      <c r="D177" s="137"/>
      <c r="E177" s="58" t="str" cm="1">
        <f>IF(ISBLANK($A177),"",INDEX(Array_WaterCharges,MATCH($A177,List_WaterMeters,0),ROUNDUP((COLUMN()+0)/3-1,0)))</f>
        <v/>
      </c>
      <c r="F177" s="127"/>
      <c r="G177" s="137"/>
      <c r="H177" s="58" t="str" cm="1">
        <f>IF(ISBLANK($A177),"",INDEX(Array_WaterCharges,MATCH($A177,List_WaterMeters,0),ROUNDUP((COLUMN()+0)/3-1,0)))</f>
        <v/>
      </c>
      <c r="I177" s="127"/>
      <c r="J177" s="137"/>
      <c r="K177" s="58" t="str" cm="1">
        <f>IF(ISBLANK($A177),"",INDEX(Array_WaterCharges,MATCH($A177,List_WaterMeters,0),ROUNDUP((COLUMN()+0)/3-1,0)))</f>
        <v/>
      </c>
      <c r="L177" s="127"/>
      <c r="M177" s="137"/>
      <c r="N177" s="58" t="str" cm="1">
        <f>IF(ISBLANK($A177),"",INDEX(Array_WaterCharges,MATCH($A177,List_WaterMeters,0),ROUNDUP((COLUMN()+0)/3-1,0)))</f>
        <v/>
      </c>
      <c r="O177" s="127"/>
      <c r="P177" s="137"/>
      <c r="Q177" s="58" t="str" cm="1">
        <f>IF(ISBLANK($A177),"",INDEX(Array_WaterCharges,MATCH($A177,List_WaterMeters,0),ROUNDUP((COLUMN()+0)/3-1,0)))</f>
        <v/>
      </c>
      <c r="R177" s="127"/>
      <c r="S177" s="137"/>
      <c r="T177" s="58" t="str" cm="1">
        <f>IF(ISBLANK($A177),"",INDEX(Array_WaterCharges,MATCH($A177,List_WaterMeters,0),ROUNDUP((COLUMN()+0)/3-1,0)))</f>
        <v/>
      </c>
      <c r="U177" s="127"/>
      <c r="V177" s="137"/>
      <c r="W177" s="58" t="str" cm="1">
        <f>IF(ISBLANK($A177),"",INDEX(Array_WaterCharges,MATCH($A177,List_WaterMeters,0),ROUNDUP((COLUMN()+0)/3-1,0)))</f>
        <v/>
      </c>
      <c r="X177" s="127"/>
      <c r="Y177" s="137"/>
      <c r="Z177" s="58" t="str" cm="1">
        <f>IF(ISBLANK($A177),"",INDEX(Array_WaterCharges,MATCH($A177,List_WaterMeters,0),ROUNDUP((COLUMN()+0)/3-1,0)))</f>
        <v/>
      </c>
      <c r="AA177" s="127"/>
      <c r="AB177" s="137"/>
      <c r="AC177" s="58" t="str" cm="1">
        <f>IF(ISBLANK($A177),"",INDEX(Array_WaterCharges,MATCH($A177,List_WaterMeters,0),ROUNDUP((COLUMN()+0)/3-1,0)))</f>
        <v/>
      </c>
      <c r="AD177" s="127"/>
      <c r="AE177" s="137"/>
      <c r="AF177" s="58" t="str" cm="1">
        <f>IF(ISBLANK($A177),"",INDEX(Array_WaterCharges,MATCH($A177,List_WaterMeters,0),ROUNDUP((COLUMN()+0)/3-1,0)))</f>
        <v/>
      </c>
      <c r="AG177" s="127"/>
      <c r="AH177" s="137"/>
    </row>
    <row r="178" spans="1:34" x14ac:dyDescent="0.3">
      <c r="A178" s="126"/>
      <c r="B178" s="133"/>
      <c r="C178" s="127"/>
      <c r="D178" s="137"/>
      <c r="E178" s="58" t="str" cm="1">
        <f>IF(ISBLANK($A178),"",INDEX(Array_WaterCharges,MATCH($A178,List_WaterMeters,0),ROUNDUP((COLUMN()+0)/3-1,0)))</f>
        <v/>
      </c>
      <c r="F178" s="127"/>
      <c r="G178" s="137"/>
      <c r="H178" s="58" t="str" cm="1">
        <f>IF(ISBLANK($A178),"",INDEX(Array_WaterCharges,MATCH($A178,List_WaterMeters,0),ROUNDUP((COLUMN()+0)/3-1,0)))</f>
        <v/>
      </c>
      <c r="I178" s="127"/>
      <c r="J178" s="137"/>
      <c r="K178" s="58" t="str" cm="1">
        <f>IF(ISBLANK($A178),"",INDEX(Array_WaterCharges,MATCH($A178,List_WaterMeters,0),ROUNDUP((COLUMN()+0)/3-1,0)))</f>
        <v/>
      </c>
      <c r="L178" s="127"/>
      <c r="M178" s="137"/>
      <c r="N178" s="58" t="str" cm="1">
        <f>IF(ISBLANK($A178),"",INDEX(Array_WaterCharges,MATCH($A178,List_WaterMeters,0),ROUNDUP((COLUMN()+0)/3-1,0)))</f>
        <v/>
      </c>
      <c r="O178" s="127"/>
      <c r="P178" s="137"/>
      <c r="Q178" s="58" t="str" cm="1">
        <f>IF(ISBLANK($A178),"",INDEX(Array_WaterCharges,MATCH($A178,List_WaterMeters,0),ROUNDUP((COLUMN()+0)/3-1,0)))</f>
        <v/>
      </c>
      <c r="R178" s="127"/>
      <c r="S178" s="137"/>
      <c r="T178" s="58" t="str" cm="1">
        <f>IF(ISBLANK($A178),"",INDEX(Array_WaterCharges,MATCH($A178,List_WaterMeters,0),ROUNDUP((COLUMN()+0)/3-1,0)))</f>
        <v/>
      </c>
      <c r="U178" s="127"/>
      <c r="V178" s="137"/>
      <c r="W178" s="58" t="str" cm="1">
        <f>IF(ISBLANK($A178),"",INDEX(Array_WaterCharges,MATCH($A178,List_WaterMeters,0),ROUNDUP((COLUMN()+0)/3-1,0)))</f>
        <v/>
      </c>
      <c r="X178" s="127"/>
      <c r="Y178" s="137"/>
      <c r="Z178" s="58" t="str" cm="1">
        <f>IF(ISBLANK($A178),"",INDEX(Array_WaterCharges,MATCH($A178,List_WaterMeters,0),ROUNDUP((COLUMN()+0)/3-1,0)))</f>
        <v/>
      </c>
      <c r="AA178" s="127"/>
      <c r="AB178" s="137"/>
      <c r="AC178" s="58" t="str" cm="1">
        <f>IF(ISBLANK($A178),"",INDEX(Array_WaterCharges,MATCH($A178,List_WaterMeters,0),ROUNDUP((COLUMN()+0)/3-1,0)))</f>
        <v/>
      </c>
      <c r="AD178" s="127"/>
      <c r="AE178" s="137"/>
      <c r="AF178" s="58" t="str" cm="1">
        <f>IF(ISBLANK($A178),"",INDEX(Array_WaterCharges,MATCH($A178,List_WaterMeters,0),ROUNDUP((COLUMN()+0)/3-1,0)))</f>
        <v/>
      </c>
      <c r="AG178" s="127"/>
      <c r="AH178" s="137"/>
    </row>
    <row r="179" spans="1:34" x14ac:dyDescent="0.3">
      <c r="A179" s="126"/>
      <c r="B179" s="133"/>
      <c r="C179" s="127"/>
      <c r="D179" s="137"/>
      <c r="E179" s="58" t="str" cm="1">
        <f>IF(ISBLANK($A179),"",INDEX(Array_WaterCharges,MATCH($A179,List_WaterMeters,0),ROUNDUP((COLUMN()+0)/3-1,0)))</f>
        <v/>
      </c>
      <c r="F179" s="127"/>
      <c r="G179" s="137"/>
      <c r="H179" s="58" t="str" cm="1">
        <f>IF(ISBLANK($A179),"",INDEX(Array_WaterCharges,MATCH($A179,List_WaterMeters,0),ROUNDUP((COLUMN()+0)/3-1,0)))</f>
        <v/>
      </c>
      <c r="I179" s="127"/>
      <c r="J179" s="137"/>
      <c r="K179" s="58" t="str" cm="1">
        <f>IF(ISBLANK($A179),"",INDEX(Array_WaterCharges,MATCH($A179,List_WaterMeters,0),ROUNDUP((COLUMN()+0)/3-1,0)))</f>
        <v/>
      </c>
      <c r="L179" s="127"/>
      <c r="M179" s="137"/>
      <c r="N179" s="58" t="str" cm="1">
        <f>IF(ISBLANK($A179),"",INDEX(Array_WaterCharges,MATCH($A179,List_WaterMeters,0),ROUNDUP((COLUMN()+0)/3-1,0)))</f>
        <v/>
      </c>
      <c r="O179" s="127"/>
      <c r="P179" s="137"/>
      <c r="Q179" s="58" t="str" cm="1">
        <f>IF(ISBLANK($A179),"",INDEX(Array_WaterCharges,MATCH($A179,List_WaterMeters,0),ROUNDUP((COLUMN()+0)/3-1,0)))</f>
        <v/>
      </c>
      <c r="R179" s="127"/>
      <c r="S179" s="137"/>
      <c r="T179" s="58" t="str" cm="1">
        <f>IF(ISBLANK($A179),"",INDEX(Array_WaterCharges,MATCH($A179,List_WaterMeters,0),ROUNDUP((COLUMN()+0)/3-1,0)))</f>
        <v/>
      </c>
      <c r="U179" s="127"/>
      <c r="V179" s="137"/>
      <c r="W179" s="58" t="str" cm="1">
        <f>IF(ISBLANK($A179),"",INDEX(Array_WaterCharges,MATCH($A179,List_WaterMeters,0),ROUNDUP((COLUMN()+0)/3-1,0)))</f>
        <v/>
      </c>
      <c r="X179" s="127"/>
      <c r="Y179" s="137"/>
      <c r="Z179" s="58" t="str" cm="1">
        <f>IF(ISBLANK($A179),"",INDEX(Array_WaterCharges,MATCH($A179,List_WaterMeters,0),ROUNDUP((COLUMN()+0)/3-1,0)))</f>
        <v/>
      </c>
      <c r="AA179" s="127"/>
      <c r="AB179" s="137"/>
      <c r="AC179" s="58" t="str" cm="1">
        <f>IF(ISBLANK($A179),"",INDEX(Array_WaterCharges,MATCH($A179,List_WaterMeters,0),ROUNDUP((COLUMN()+0)/3-1,0)))</f>
        <v/>
      </c>
      <c r="AD179" s="127"/>
      <c r="AE179" s="137"/>
      <c r="AF179" s="58" t="str" cm="1">
        <f>IF(ISBLANK($A179),"",INDEX(Array_WaterCharges,MATCH($A179,List_WaterMeters,0),ROUNDUP((COLUMN()+0)/3-1,0)))</f>
        <v/>
      </c>
      <c r="AG179" s="127"/>
      <c r="AH179" s="137"/>
    </row>
    <row r="180" spans="1:34" x14ac:dyDescent="0.3">
      <c r="A180" s="126"/>
      <c r="B180" s="133"/>
      <c r="C180" s="127"/>
      <c r="D180" s="137"/>
      <c r="E180" s="58" t="str" cm="1">
        <f>IF(ISBLANK($A180),"",INDEX(Array_WaterCharges,MATCH($A180,List_WaterMeters,0),ROUNDUP((COLUMN()+0)/3-1,0)))</f>
        <v/>
      </c>
      <c r="F180" s="127"/>
      <c r="G180" s="137"/>
      <c r="H180" s="58" t="str" cm="1">
        <f>IF(ISBLANK($A180),"",INDEX(Array_WaterCharges,MATCH($A180,List_WaterMeters,0),ROUNDUP((COLUMN()+0)/3-1,0)))</f>
        <v/>
      </c>
      <c r="I180" s="127"/>
      <c r="J180" s="137"/>
      <c r="K180" s="58" t="str" cm="1">
        <f>IF(ISBLANK($A180),"",INDEX(Array_WaterCharges,MATCH($A180,List_WaterMeters,0),ROUNDUP((COLUMN()+0)/3-1,0)))</f>
        <v/>
      </c>
      <c r="L180" s="127"/>
      <c r="M180" s="137"/>
      <c r="N180" s="58" t="str" cm="1">
        <f>IF(ISBLANK($A180),"",INDEX(Array_WaterCharges,MATCH($A180,List_WaterMeters,0),ROUNDUP((COLUMN()+0)/3-1,0)))</f>
        <v/>
      </c>
      <c r="O180" s="127"/>
      <c r="P180" s="137"/>
      <c r="Q180" s="58" t="str" cm="1">
        <f>IF(ISBLANK($A180),"",INDEX(Array_WaterCharges,MATCH($A180,List_WaterMeters,0),ROUNDUP((COLUMN()+0)/3-1,0)))</f>
        <v/>
      </c>
      <c r="R180" s="127"/>
      <c r="S180" s="137"/>
      <c r="T180" s="58" t="str" cm="1">
        <f>IF(ISBLANK($A180),"",INDEX(Array_WaterCharges,MATCH($A180,List_WaterMeters,0),ROUNDUP((COLUMN()+0)/3-1,0)))</f>
        <v/>
      </c>
      <c r="U180" s="127"/>
      <c r="V180" s="137"/>
      <c r="W180" s="58" t="str" cm="1">
        <f>IF(ISBLANK($A180),"",INDEX(Array_WaterCharges,MATCH($A180,List_WaterMeters,0),ROUNDUP((COLUMN()+0)/3-1,0)))</f>
        <v/>
      </c>
      <c r="X180" s="127"/>
      <c r="Y180" s="137"/>
      <c r="Z180" s="58" t="str" cm="1">
        <f>IF(ISBLANK($A180),"",INDEX(Array_WaterCharges,MATCH($A180,List_WaterMeters,0),ROUNDUP((COLUMN()+0)/3-1,0)))</f>
        <v/>
      </c>
      <c r="AA180" s="127"/>
      <c r="AB180" s="137"/>
      <c r="AC180" s="58" t="str" cm="1">
        <f>IF(ISBLANK($A180),"",INDEX(Array_WaterCharges,MATCH($A180,List_WaterMeters,0),ROUNDUP((COLUMN()+0)/3-1,0)))</f>
        <v/>
      </c>
      <c r="AD180" s="127"/>
      <c r="AE180" s="137"/>
      <c r="AF180" s="58" t="str" cm="1">
        <f>IF(ISBLANK($A180),"",INDEX(Array_WaterCharges,MATCH($A180,List_WaterMeters,0),ROUNDUP((COLUMN()+0)/3-1,0)))</f>
        <v/>
      </c>
      <c r="AG180" s="127"/>
      <c r="AH180" s="137"/>
    </row>
    <row r="181" spans="1:34" x14ac:dyDescent="0.3">
      <c r="A181" s="126"/>
      <c r="B181" s="133"/>
      <c r="C181" s="127"/>
      <c r="D181" s="137"/>
      <c r="E181" s="58" t="str" cm="1">
        <f>IF(ISBLANK($A181),"",INDEX(Array_WaterCharges,MATCH($A181,List_WaterMeters,0),ROUNDUP((COLUMN()+0)/3-1,0)))</f>
        <v/>
      </c>
      <c r="F181" s="127"/>
      <c r="G181" s="137"/>
      <c r="H181" s="58" t="str" cm="1">
        <f>IF(ISBLANK($A181),"",INDEX(Array_WaterCharges,MATCH($A181,List_WaterMeters,0),ROUNDUP((COLUMN()+0)/3-1,0)))</f>
        <v/>
      </c>
      <c r="I181" s="127"/>
      <c r="J181" s="137"/>
      <c r="K181" s="58" t="str" cm="1">
        <f>IF(ISBLANK($A181),"",INDEX(Array_WaterCharges,MATCH($A181,List_WaterMeters,0),ROUNDUP((COLUMN()+0)/3-1,0)))</f>
        <v/>
      </c>
      <c r="L181" s="127"/>
      <c r="M181" s="137"/>
      <c r="N181" s="58" t="str" cm="1">
        <f>IF(ISBLANK($A181),"",INDEX(Array_WaterCharges,MATCH($A181,List_WaterMeters,0),ROUNDUP((COLUMN()+0)/3-1,0)))</f>
        <v/>
      </c>
      <c r="O181" s="127"/>
      <c r="P181" s="137"/>
      <c r="Q181" s="58" t="str" cm="1">
        <f>IF(ISBLANK($A181),"",INDEX(Array_WaterCharges,MATCH($A181,List_WaterMeters,0),ROUNDUP((COLUMN()+0)/3-1,0)))</f>
        <v/>
      </c>
      <c r="R181" s="127"/>
      <c r="S181" s="137"/>
      <c r="T181" s="58" t="str" cm="1">
        <f>IF(ISBLANK($A181),"",INDEX(Array_WaterCharges,MATCH($A181,List_WaterMeters,0),ROUNDUP((COLUMN()+0)/3-1,0)))</f>
        <v/>
      </c>
      <c r="U181" s="127"/>
      <c r="V181" s="137"/>
      <c r="W181" s="58" t="str" cm="1">
        <f>IF(ISBLANK($A181),"",INDEX(Array_WaterCharges,MATCH($A181,List_WaterMeters,0),ROUNDUP((COLUMN()+0)/3-1,0)))</f>
        <v/>
      </c>
      <c r="X181" s="127"/>
      <c r="Y181" s="137"/>
      <c r="Z181" s="58" t="str" cm="1">
        <f>IF(ISBLANK($A181),"",INDEX(Array_WaterCharges,MATCH($A181,List_WaterMeters,0),ROUNDUP((COLUMN()+0)/3-1,0)))</f>
        <v/>
      </c>
      <c r="AA181" s="127"/>
      <c r="AB181" s="137"/>
      <c r="AC181" s="58" t="str" cm="1">
        <f>IF(ISBLANK($A181),"",INDEX(Array_WaterCharges,MATCH($A181,List_WaterMeters,0),ROUNDUP((COLUMN()+0)/3-1,0)))</f>
        <v/>
      </c>
      <c r="AD181" s="127"/>
      <c r="AE181" s="137"/>
      <c r="AF181" s="58" t="str" cm="1">
        <f>IF(ISBLANK($A181),"",INDEX(Array_WaterCharges,MATCH($A181,List_WaterMeters,0),ROUNDUP((COLUMN()+0)/3-1,0)))</f>
        <v/>
      </c>
      <c r="AG181" s="127"/>
      <c r="AH181" s="137"/>
    </row>
    <row r="182" spans="1:34" x14ac:dyDescent="0.3">
      <c r="A182" s="126"/>
      <c r="B182" s="133"/>
      <c r="C182" s="127"/>
      <c r="D182" s="137"/>
      <c r="E182" s="58" t="str" cm="1">
        <f>IF(ISBLANK($A182),"",INDEX(Array_WaterCharges,MATCH($A182,List_WaterMeters,0),ROUNDUP((COLUMN()+0)/3-1,0)))</f>
        <v/>
      </c>
      <c r="F182" s="127"/>
      <c r="G182" s="137"/>
      <c r="H182" s="58" t="str" cm="1">
        <f>IF(ISBLANK($A182),"",INDEX(Array_WaterCharges,MATCH($A182,List_WaterMeters,0),ROUNDUP((COLUMN()+0)/3-1,0)))</f>
        <v/>
      </c>
      <c r="I182" s="127"/>
      <c r="J182" s="137"/>
      <c r="K182" s="58" t="str" cm="1">
        <f>IF(ISBLANK($A182),"",INDEX(Array_WaterCharges,MATCH($A182,List_WaterMeters,0),ROUNDUP((COLUMN()+0)/3-1,0)))</f>
        <v/>
      </c>
      <c r="L182" s="127"/>
      <c r="M182" s="137"/>
      <c r="N182" s="58" t="str" cm="1">
        <f>IF(ISBLANK($A182),"",INDEX(Array_WaterCharges,MATCH($A182,List_WaterMeters,0),ROUNDUP((COLUMN()+0)/3-1,0)))</f>
        <v/>
      </c>
      <c r="O182" s="127"/>
      <c r="P182" s="137"/>
      <c r="Q182" s="58" t="str" cm="1">
        <f>IF(ISBLANK($A182),"",INDEX(Array_WaterCharges,MATCH($A182,List_WaterMeters,0),ROUNDUP((COLUMN()+0)/3-1,0)))</f>
        <v/>
      </c>
      <c r="R182" s="127"/>
      <c r="S182" s="137"/>
      <c r="T182" s="58" t="str" cm="1">
        <f>IF(ISBLANK($A182),"",INDEX(Array_WaterCharges,MATCH($A182,List_WaterMeters,0),ROUNDUP((COLUMN()+0)/3-1,0)))</f>
        <v/>
      </c>
      <c r="U182" s="127"/>
      <c r="V182" s="137"/>
      <c r="W182" s="58" t="str" cm="1">
        <f>IF(ISBLANK($A182),"",INDEX(Array_WaterCharges,MATCH($A182,List_WaterMeters,0),ROUNDUP((COLUMN()+0)/3-1,0)))</f>
        <v/>
      </c>
      <c r="X182" s="127"/>
      <c r="Y182" s="137"/>
      <c r="Z182" s="58" t="str" cm="1">
        <f>IF(ISBLANK($A182),"",INDEX(Array_WaterCharges,MATCH($A182,List_WaterMeters,0),ROUNDUP((COLUMN()+0)/3-1,0)))</f>
        <v/>
      </c>
      <c r="AA182" s="127"/>
      <c r="AB182" s="137"/>
      <c r="AC182" s="58" t="str" cm="1">
        <f>IF(ISBLANK($A182),"",INDEX(Array_WaterCharges,MATCH($A182,List_WaterMeters,0),ROUNDUP((COLUMN()+0)/3-1,0)))</f>
        <v/>
      </c>
      <c r="AD182" s="127"/>
      <c r="AE182" s="137"/>
      <c r="AF182" s="58" t="str" cm="1">
        <f>IF(ISBLANK($A182),"",INDEX(Array_WaterCharges,MATCH($A182,List_WaterMeters,0),ROUNDUP((COLUMN()+0)/3-1,0)))</f>
        <v/>
      </c>
      <c r="AG182" s="127"/>
      <c r="AH182" s="137"/>
    </row>
    <row r="183" spans="1:34" x14ac:dyDescent="0.3">
      <c r="A183" s="126"/>
      <c r="B183" s="133"/>
      <c r="C183" s="127"/>
      <c r="D183" s="137"/>
      <c r="E183" s="58" t="str" cm="1">
        <f>IF(ISBLANK($A183),"",INDEX(Array_WaterCharges,MATCH($A183,List_WaterMeters,0),ROUNDUP((COLUMN()+0)/3-1,0)))</f>
        <v/>
      </c>
      <c r="F183" s="127"/>
      <c r="G183" s="137"/>
      <c r="H183" s="58" t="str" cm="1">
        <f>IF(ISBLANK($A183),"",INDEX(Array_WaterCharges,MATCH($A183,List_WaterMeters,0),ROUNDUP((COLUMN()+0)/3-1,0)))</f>
        <v/>
      </c>
      <c r="I183" s="127"/>
      <c r="J183" s="137"/>
      <c r="K183" s="58" t="str" cm="1">
        <f>IF(ISBLANK($A183),"",INDEX(Array_WaterCharges,MATCH($A183,List_WaterMeters,0),ROUNDUP((COLUMN()+0)/3-1,0)))</f>
        <v/>
      </c>
      <c r="L183" s="127"/>
      <c r="M183" s="137"/>
      <c r="N183" s="58" t="str" cm="1">
        <f>IF(ISBLANK($A183),"",INDEX(Array_WaterCharges,MATCH($A183,List_WaterMeters,0),ROUNDUP((COLUMN()+0)/3-1,0)))</f>
        <v/>
      </c>
      <c r="O183" s="127"/>
      <c r="P183" s="137"/>
      <c r="Q183" s="58" t="str" cm="1">
        <f>IF(ISBLANK($A183),"",INDEX(Array_WaterCharges,MATCH($A183,List_WaterMeters,0),ROUNDUP((COLUMN()+0)/3-1,0)))</f>
        <v/>
      </c>
      <c r="R183" s="127"/>
      <c r="S183" s="137"/>
      <c r="T183" s="58" t="str" cm="1">
        <f>IF(ISBLANK($A183),"",INDEX(Array_WaterCharges,MATCH($A183,List_WaterMeters,0),ROUNDUP((COLUMN()+0)/3-1,0)))</f>
        <v/>
      </c>
      <c r="U183" s="127"/>
      <c r="V183" s="137"/>
      <c r="W183" s="58" t="str" cm="1">
        <f>IF(ISBLANK($A183),"",INDEX(Array_WaterCharges,MATCH($A183,List_WaterMeters,0),ROUNDUP((COLUMN()+0)/3-1,0)))</f>
        <v/>
      </c>
      <c r="X183" s="127"/>
      <c r="Y183" s="137"/>
      <c r="Z183" s="58" t="str" cm="1">
        <f>IF(ISBLANK($A183),"",INDEX(Array_WaterCharges,MATCH($A183,List_WaterMeters,0),ROUNDUP((COLUMN()+0)/3-1,0)))</f>
        <v/>
      </c>
      <c r="AA183" s="127"/>
      <c r="AB183" s="137"/>
      <c r="AC183" s="58" t="str" cm="1">
        <f>IF(ISBLANK($A183),"",INDEX(Array_WaterCharges,MATCH($A183,List_WaterMeters,0),ROUNDUP((COLUMN()+0)/3-1,0)))</f>
        <v/>
      </c>
      <c r="AD183" s="127"/>
      <c r="AE183" s="137"/>
      <c r="AF183" s="58" t="str" cm="1">
        <f>IF(ISBLANK($A183),"",INDEX(Array_WaterCharges,MATCH($A183,List_WaterMeters,0),ROUNDUP((COLUMN()+0)/3-1,0)))</f>
        <v/>
      </c>
      <c r="AG183" s="127"/>
      <c r="AH183" s="137"/>
    </row>
    <row r="184" spans="1:34" x14ac:dyDescent="0.3">
      <c r="A184" s="126"/>
      <c r="B184" s="133"/>
      <c r="C184" s="127"/>
      <c r="D184" s="137"/>
      <c r="E184" s="58" t="str" cm="1">
        <f>IF(ISBLANK($A184),"",INDEX(Array_WaterCharges,MATCH($A184,List_WaterMeters,0),ROUNDUP((COLUMN()+0)/3-1,0)))</f>
        <v/>
      </c>
      <c r="F184" s="127"/>
      <c r="G184" s="137"/>
      <c r="H184" s="58" t="str" cm="1">
        <f>IF(ISBLANK($A184),"",INDEX(Array_WaterCharges,MATCH($A184,List_WaterMeters,0),ROUNDUP((COLUMN()+0)/3-1,0)))</f>
        <v/>
      </c>
      <c r="I184" s="127"/>
      <c r="J184" s="137"/>
      <c r="K184" s="58" t="str" cm="1">
        <f>IF(ISBLANK($A184),"",INDEX(Array_WaterCharges,MATCH($A184,List_WaterMeters,0),ROUNDUP((COLUMN()+0)/3-1,0)))</f>
        <v/>
      </c>
      <c r="L184" s="127"/>
      <c r="M184" s="137"/>
      <c r="N184" s="58" t="str" cm="1">
        <f>IF(ISBLANK($A184),"",INDEX(Array_WaterCharges,MATCH($A184,List_WaterMeters,0),ROUNDUP((COLUMN()+0)/3-1,0)))</f>
        <v/>
      </c>
      <c r="O184" s="127"/>
      <c r="P184" s="137"/>
      <c r="Q184" s="58" t="str" cm="1">
        <f>IF(ISBLANK($A184),"",INDEX(Array_WaterCharges,MATCH($A184,List_WaterMeters,0),ROUNDUP((COLUMN()+0)/3-1,0)))</f>
        <v/>
      </c>
      <c r="R184" s="127"/>
      <c r="S184" s="137"/>
      <c r="T184" s="58" t="str" cm="1">
        <f>IF(ISBLANK($A184),"",INDEX(Array_WaterCharges,MATCH($A184,List_WaterMeters,0),ROUNDUP((COLUMN()+0)/3-1,0)))</f>
        <v/>
      </c>
      <c r="U184" s="127"/>
      <c r="V184" s="137"/>
      <c r="W184" s="58" t="str" cm="1">
        <f>IF(ISBLANK($A184),"",INDEX(Array_WaterCharges,MATCH($A184,List_WaterMeters,0),ROUNDUP((COLUMN()+0)/3-1,0)))</f>
        <v/>
      </c>
      <c r="X184" s="127"/>
      <c r="Y184" s="137"/>
      <c r="Z184" s="58" t="str" cm="1">
        <f>IF(ISBLANK($A184),"",INDEX(Array_WaterCharges,MATCH($A184,List_WaterMeters,0),ROUNDUP((COLUMN()+0)/3-1,0)))</f>
        <v/>
      </c>
      <c r="AA184" s="127"/>
      <c r="AB184" s="137"/>
      <c r="AC184" s="58" t="str" cm="1">
        <f>IF(ISBLANK($A184),"",INDEX(Array_WaterCharges,MATCH($A184,List_WaterMeters,0),ROUNDUP((COLUMN()+0)/3-1,0)))</f>
        <v/>
      </c>
      <c r="AD184" s="127"/>
      <c r="AE184" s="137"/>
      <c r="AF184" s="58" t="str" cm="1">
        <f>IF(ISBLANK($A184),"",INDEX(Array_WaterCharges,MATCH($A184,List_WaterMeters,0),ROUNDUP((COLUMN()+0)/3-1,0)))</f>
        <v/>
      </c>
      <c r="AG184" s="127"/>
      <c r="AH184" s="137"/>
    </row>
    <row r="185" spans="1:34" x14ac:dyDescent="0.3">
      <c r="A185" s="126"/>
      <c r="B185" s="133"/>
      <c r="C185" s="127"/>
      <c r="D185" s="137"/>
      <c r="E185" s="58" t="str" cm="1">
        <f>IF(ISBLANK($A185),"",INDEX(Array_WaterCharges,MATCH($A185,List_WaterMeters,0),ROUNDUP((COLUMN()+0)/3-1,0)))</f>
        <v/>
      </c>
      <c r="F185" s="127"/>
      <c r="G185" s="137"/>
      <c r="H185" s="58" t="str" cm="1">
        <f>IF(ISBLANK($A185),"",INDEX(Array_WaterCharges,MATCH($A185,List_WaterMeters,0),ROUNDUP((COLUMN()+0)/3-1,0)))</f>
        <v/>
      </c>
      <c r="I185" s="127"/>
      <c r="J185" s="137"/>
      <c r="K185" s="58" t="str" cm="1">
        <f>IF(ISBLANK($A185),"",INDEX(Array_WaterCharges,MATCH($A185,List_WaterMeters,0),ROUNDUP((COLUMN()+0)/3-1,0)))</f>
        <v/>
      </c>
      <c r="L185" s="127"/>
      <c r="M185" s="137"/>
      <c r="N185" s="58" t="str" cm="1">
        <f>IF(ISBLANK($A185),"",INDEX(Array_WaterCharges,MATCH($A185,List_WaterMeters,0),ROUNDUP((COLUMN()+0)/3-1,0)))</f>
        <v/>
      </c>
      <c r="O185" s="127"/>
      <c r="P185" s="137"/>
      <c r="Q185" s="58" t="str" cm="1">
        <f>IF(ISBLANK($A185),"",INDEX(Array_WaterCharges,MATCH($A185,List_WaterMeters,0),ROUNDUP((COLUMN()+0)/3-1,0)))</f>
        <v/>
      </c>
      <c r="R185" s="127"/>
      <c r="S185" s="137"/>
      <c r="T185" s="58" t="str" cm="1">
        <f>IF(ISBLANK($A185),"",INDEX(Array_WaterCharges,MATCH($A185,List_WaterMeters,0),ROUNDUP((COLUMN()+0)/3-1,0)))</f>
        <v/>
      </c>
      <c r="U185" s="127"/>
      <c r="V185" s="137"/>
      <c r="W185" s="58" t="str" cm="1">
        <f>IF(ISBLANK($A185),"",INDEX(Array_WaterCharges,MATCH($A185,List_WaterMeters,0),ROUNDUP((COLUMN()+0)/3-1,0)))</f>
        <v/>
      </c>
      <c r="X185" s="127"/>
      <c r="Y185" s="137"/>
      <c r="Z185" s="58" t="str" cm="1">
        <f>IF(ISBLANK($A185),"",INDEX(Array_WaterCharges,MATCH($A185,List_WaterMeters,0),ROUNDUP((COLUMN()+0)/3-1,0)))</f>
        <v/>
      </c>
      <c r="AA185" s="127"/>
      <c r="AB185" s="137"/>
      <c r="AC185" s="58" t="str" cm="1">
        <f>IF(ISBLANK($A185),"",INDEX(Array_WaterCharges,MATCH($A185,List_WaterMeters,0),ROUNDUP((COLUMN()+0)/3-1,0)))</f>
        <v/>
      </c>
      <c r="AD185" s="127"/>
      <c r="AE185" s="137"/>
      <c r="AF185" s="58" t="str" cm="1">
        <f>IF(ISBLANK($A185),"",INDEX(Array_WaterCharges,MATCH($A185,List_WaterMeters,0),ROUNDUP((COLUMN()+0)/3-1,0)))</f>
        <v/>
      </c>
      <c r="AG185" s="127"/>
      <c r="AH185" s="137"/>
    </row>
    <row r="186" spans="1:34" x14ac:dyDescent="0.3">
      <c r="A186" s="126"/>
      <c r="B186" s="133"/>
      <c r="C186" s="127"/>
      <c r="D186" s="137"/>
      <c r="E186" s="58" t="str" cm="1">
        <f>IF(ISBLANK($A186),"",INDEX(Array_WaterCharges,MATCH($A186,List_WaterMeters,0),ROUNDUP((COLUMN()+0)/3-1,0)))</f>
        <v/>
      </c>
      <c r="F186" s="127"/>
      <c r="G186" s="137"/>
      <c r="H186" s="58" t="str" cm="1">
        <f>IF(ISBLANK($A186),"",INDEX(Array_WaterCharges,MATCH($A186,List_WaterMeters,0),ROUNDUP((COLUMN()+0)/3-1,0)))</f>
        <v/>
      </c>
      <c r="I186" s="127"/>
      <c r="J186" s="137"/>
      <c r="K186" s="58" t="str" cm="1">
        <f>IF(ISBLANK($A186),"",INDEX(Array_WaterCharges,MATCH($A186,List_WaterMeters,0),ROUNDUP((COLUMN()+0)/3-1,0)))</f>
        <v/>
      </c>
      <c r="L186" s="127"/>
      <c r="M186" s="137"/>
      <c r="N186" s="58" t="str" cm="1">
        <f>IF(ISBLANK($A186),"",INDEX(Array_WaterCharges,MATCH($A186,List_WaterMeters,0),ROUNDUP((COLUMN()+0)/3-1,0)))</f>
        <v/>
      </c>
      <c r="O186" s="127"/>
      <c r="P186" s="137"/>
      <c r="Q186" s="58" t="str" cm="1">
        <f>IF(ISBLANK($A186),"",INDEX(Array_WaterCharges,MATCH($A186,List_WaterMeters,0),ROUNDUP((COLUMN()+0)/3-1,0)))</f>
        <v/>
      </c>
      <c r="R186" s="127"/>
      <c r="S186" s="137"/>
      <c r="T186" s="58" t="str" cm="1">
        <f>IF(ISBLANK($A186),"",INDEX(Array_WaterCharges,MATCH($A186,List_WaterMeters,0),ROUNDUP((COLUMN()+0)/3-1,0)))</f>
        <v/>
      </c>
      <c r="U186" s="127"/>
      <c r="V186" s="137"/>
      <c r="W186" s="58" t="str" cm="1">
        <f>IF(ISBLANK($A186),"",INDEX(Array_WaterCharges,MATCH($A186,List_WaterMeters,0),ROUNDUP((COLUMN()+0)/3-1,0)))</f>
        <v/>
      </c>
      <c r="X186" s="127"/>
      <c r="Y186" s="137"/>
      <c r="Z186" s="58" t="str" cm="1">
        <f>IF(ISBLANK($A186),"",INDEX(Array_WaterCharges,MATCH($A186,List_WaterMeters,0),ROUNDUP((COLUMN()+0)/3-1,0)))</f>
        <v/>
      </c>
      <c r="AA186" s="127"/>
      <c r="AB186" s="137"/>
      <c r="AC186" s="58" t="str" cm="1">
        <f>IF(ISBLANK($A186),"",INDEX(Array_WaterCharges,MATCH($A186,List_WaterMeters,0),ROUNDUP((COLUMN()+0)/3-1,0)))</f>
        <v/>
      </c>
      <c r="AD186" s="127"/>
      <c r="AE186" s="137"/>
      <c r="AF186" s="58" t="str" cm="1">
        <f>IF(ISBLANK($A186),"",INDEX(Array_WaterCharges,MATCH($A186,List_WaterMeters,0),ROUNDUP((COLUMN()+0)/3-1,0)))</f>
        <v/>
      </c>
      <c r="AG186" s="127"/>
      <c r="AH186" s="137"/>
    </row>
    <row r="187" spans="1:34" x14ac:dyDescent="0.3">
      <c r="A187" s="126"/>
      <c r="B187" s="133"/>
      <c r="C187" s="127"/>
      <c r="D187" s="137"/>
      <c r="E187" s="58" t="str" cm="1">
        <f>IF(ISBLANK($A187),"",INDEX(Array_WaterCharges,MATCH($A187,List_WaterMeters,0),ROUNDUP((COLUMN()+0)/3-1,0)))</f>
        <v/>
      </c>
      <c r="F187" s="127"/>
      <c r="G187" s="137"/>
      <c r="H187" s="58" t="str" cm="1">
        <f>IF(ISBLANK($A187),"",INDEX(Array_WaterCharges,MATCH($A187,List_WaterMeters,0),ROUNDUP((COLUMN()+0)/3-1,0)))</f>
        <v/>
      </c>
      <c r="I187" s="127"/>
      <c r="J187" s="137"/>
      <c r="K187" s="58" t="str" cm="1">
        <f>IF(ISBLANK($A187),"",INDEX(Array_WaterCharges,MATCH($A187,List_WaterMeters,0),ROUNDUP((COLUMN()+0)/3-1,0)))</f>
        <v/>
      </c>
      <c r="L187" s="127"/>
      <c r="M187" s="137"/>
      <c r="N187" s="58" t="str" cm="1">
        <f>IF(ISBLANK($A187),"",INDEX(Array_WaterCharges,MATCH($A187,List_WaterMeters,0),ROUNDUP((COLUMN()+0)/3-1,0)))</f>
        <v/>
      </c>
      <c r="O187" s="127"/>
      <c r="P187" s="137"/>
      <c r="Q187" s="58" t="str" cm="1">
        <f>IF(ISBLANK($A187),"",INDEX(Array_WaterCharges,MATCH($A187,List_WaterMeters,0),ROUNDUP((COLUMN()+0)/3-1,0)))</f>
        <v/>
      </c>
      <c r="R187" s="127"/>
      <c r="S187" s="137"/>
      <c r="T187" s="58" t="str" cm="1">
        <f>IF(ISBLANK($A187),"",INDEX(Array_WaterCharges,MATCH($A187,List_WaterMeters,0),ROUNDUP((COLUMN()+0)/3-1,0)))</f>
        <v/>
      </c>
      <c r="U187" s="127"/>
      <c r="V187" s="137"/>
      <c r="W187" s="58" t="str" cm="1">
        <f>IF(ISBLANK($A187),"",INDEX(Array_WaterCharges,MATCH($A187,List_WaterMeters,0),ROUNDUP((COLUMN()+0)/3-1,0)))</f>
        <v/>
      </c>
      <c r="X187" s="127"/>
      <c r="Y187" s="137"/>
      <c r="Z187" s="58" t="str" cm="1">
        <f>IF(ISBLANK($A187),"",INDEX(Array_WaterCharges,MATCH($A187,List_WaterMeters,0),ROUNDUP((COLUMN()+0)/3-1,0)))</f>
        <v/>
      </c>
      <c r="AA187" s="127"/>
      <c r="AB187" s="137"/>
      <c r="AC187" s="58" t="str" cm="1">
        <f>IF(ISBLANK($A187),"",INDEX(Array_WaterCharges,MATCH($A187,List_WaterMeters,0),ROUNDUP((COLUMN()+0)/3-1,0)))</f>
        <v/>
      </c>
      <c r="AD187" s="127"/>
      <c r="AE187" s="137"/>
      <c r="AF187" s="58" t="str" cm="1">
        <f>IF(ISBLANK($A187),"",INDEX(Array_WaterCharges,MATCH($A187,List_WaterMeters,0),ROUNDUP((COLUMN()+0)/3-1,0)))</f>
        <v/>
      </c>
      <c r="AG187" s="127"/>
      <c r="AH187" s="137"/>
    </row>
    <row r="188" spans="1:34" x14ac:dyDescent="0.3">
      <c r="A188" s="126"/>
      <c r="B188" s="133"/>
      <c r="C188" s="127"/>
      <c r="D188" s="137"/>
      <c r="E188" s="58" t="str" cm="1">
        <f>IF(ISBLANK($A188),"",INDEX(Array_WaterCharges,MATCH($A188,List_WaterMeters,0),ROUNDUP((COLUMN()+0)/3-1,0)))</f>
        <v/>
      </c>
      <c r="F188" s="127"/>
      <c r="G188" s="137"/>
      <c r="H188" s="58" t="str" cm="1">
        <f>IF(ISBLANK($A188),"",INDEX(Array_WaterCharges,MATCH($A188,List_WaterMeters,0),ROUNDUP((COLUMN()+0)/3-1,0)))</f>
        <v/>
      </c>
      <c r="I188" s="127"/>
      <c r="J188" s="137"/>
      <c r="K188" s="58" t="str" cm="1">
        <f>IF(ISBLANK($A188),"",INDEX(Array_WaterCharges,MATCH($A188,List_WaterMeters,0),ROUNDUP((COLUMN()+0)/3-1,0)))</f>
        <v/>
      </c>
      <c r="L188" s="127"/>
      <c r="M188" s="137"/>
      <c r="N188" s="58" t="str" cm="1">
        <f>IF(ISBLANK($A188),"",INDEX(Array_WaterCharges,MATCH($A188,List_WaterMeters,0),ROUNDUP((COLUMN()+0)/3-1,0)))</f>
        <v/>
      </c>
      <c r="O188" s="127"/>
      <c r="P188" s="137"/>
      <c r="Q188" s="58" t="str" cm="1">
        <f>IF(ISBLANK($A188),"",INDEX(Array_WaterCharges,MATCH($A188,List_WaterMeters,0),ROUNDUP((COLUMN()+0)/3-1,0)))</f>
        <v/>
      </c>
      <c r="R188" s="127"/>
      <c r="S188" s="137"/>
      <c r="T188" s="58" t="str" cm="1">
        <f>IF(ISBLANK($A188),"",INDEX(Array_WaterCharges,MATCH($A188,List_WaterMeters,0),ROUNDUP((COLUMN()+0)/3-1,0)))</f>
        <v/>
      </c>
      <c r="U188" s="127"/>
      <c r="V188" s="137"/>
      <c r="W188" s="58" t="str" cm="1">
        <f>IF(ISBLANK($A188),"",INDEX(Array_WaterCharges,MATCH($A188,List_WaterMeters,0),ROUNDUP((COLUMN()+0)/3-1,0)))</f>
        <v/>
      </c>
      <c r="X188" s="127"/>
      <c r="Y188" s="137"/>
      <c r="Z188" s="58" t="str" cm="1">
        <f>IF(ISBLANK($A188),"",INDEX(Array_WaterCharges,MATCH($A188,List_WaterMeters,0),ROUNDUP((COLUMN()+0)/3-1,0)))</f>
        <v/>
      </c>
      <c r="AA188" s="127"/>
      <c r="AB188" s="137"/>
      <c r="AC188" s="58" t="str" cm="1">
        <f>IF(ISBLANK($A188),"",INDEX(Array_WaterCharges,MATCH($A188,List_WaterMeters,0),ROUNDUP((COLUMN()+0)/3-1,0)))</f>
        <v/>
      </c>
      <c r="AD188" s="127"/>
      <c r="AE188" s="137"/>
      <c r="AF188" s="58" t="str" cm="1">
        <f>IF(ISBLANK($A188),"",INDEX(Array_WaterCharges,MATCH($A188,List_WaterMeters,0),ROUNDUP((COLUMN()+0)/3-1,0)))</f>
        <v/>
      </c>
      <c r="AG188" s="127"/>
      <c r="AH188" s="137"/>
    </row>
    <row r="189" spans="1:34" x14ac:dyDescent="0.3">
      <c r="A189" s="126"/>
      <c r="B189" s="133"/>
      <c r="C189" s="127"/>
      <c r="D189" s="137"/>
      <c r="E189" s="58" t="str" cm="1">
        <f>IF(ISBLANK($A189),"",INDEX(Array_WaterCharges,MATCH($A189,List_WaterMeters,0),ROUNDUP((COLUMN()+0)/3-1,0)))</f>
        <v/>
      </c>
      <c r="F189" s="127"/>
      <c r="G189" s="137"/>
      <c r="H189" s="58" t="str" cm="1">
        <f>IF(ISBLANK($A189),"",INDEX(Array_WaterCharges,MATCH($A189,List_WaterMeters,0),ROUNDUP((COLUMN()+0)/3-1,0)))</f>
        <v/>
      </c>
      <c r="I189" s="127"/>
      <c r="J189" s="137"/>
      <c r="K189" s="58" t="str" cm="1">
        <f>IF(ISBLANK($A189),"",INDEX(Array_WaterCharges,MATCH($A189,List_WaterMeters,0),ROUNDUP((COLUMN()+0)/3-1,0)))</f>
        <v/>
      </c>
      <c r="L189" s="127"/>
      <c r="M189" s="137"/>
      <c r="N189" s="58" t="str" cm="1">
        <f>IF(ISBLANK($A189),"",INDEX(Array_WaterCharges,MATCH($A189,List_WaterMeters,0),ROUNDUP((COLUMN()+0)/3-1,0)))</f>
        <v/>
      </c>
      <c r="O189" s="127"/>
      <c r="P189" s="137"/>
      <c r="Q189" s="58" t="str" cm="1">
        <f>IF(ISBLANK($A189),"",INDEX(Array_WaterCharges,MATCH($A189,List_WaterMeters,0),ROUNDUP((COLUMN()+0)/3-1,0)))</f>
        <v/>
      </c>
      <c r="R189" s="127"/>
      <c r="S189" s="137"/>
      <c r="T189" s="58" t="str" cm="1">
        <f>IF(ISBLANK($A189),"",INDEX(Array_WaterCharges,MATCH($A189,List_WaterMeters,0),ROUNDUP((COLUMN()+0)/3-1,0)))</f>
        <v/>
      </c>
      <c r="U189" s="127"/>
      <c r="V189" s="137"/>
      <c r="W189" s="58" t="str" cm="1">
        <f>IF(ISBLANK($A189),"",INDEX(Array_WaterCharges,MATCH($A189,List_WaterMeters,0),ROUNDUP((COLUMN()+0)/3-1,0)))</f>
        <v/>
      </c>
      <c r="X189" s="127"/>
      <c r="Y189" s="137"/>
      <c r="Z189" s="58" t="str" cm="1">
        <f>IF(ISBLANK($A189),"",INDEX(Array_WaterCharges,MATCH($A189,List_WaterMeters,0),ROUNDUP((COLUMN()+0)/3-1,0)))</f>
        <v/>
      </c>
      <c r="AA189" s="127"/>
      <c r="AB189" s="137"/>
      <c r="AC189" s="58" t="str" cm="1">
        <f>IF(ISBLANK($A189),"",INDEX(Array_WaterCharges,MATCH($A189,List_WaterMeters,0),ROUNDUP((COLUMN()+0)/3-1,0)))</f>
        <v/>
      </c>
      <c r="AD189" s="127"/>
      <c r="AE189" s="137"/>
      <c r="AF189" s="58" t="str" cm="1">
        <f>IF(ISBLANK($A189),"",INDEX(Array_WaterCharges,MATCH($A189,List_WaterMeters,0),ROUNDUP((COLUMN()+0)/3-1,0)))</f>
        <v/>
      </c>
      <c r="AG189" s="127"/>
      <c r="AH189" s="137"/>
    </row>
    <row r="190" spans="1:34" x14ac:dyDescent="0.3">
      <c r="A190" s="126"/>
      <c r="B190" s="133"/>
      <c r="C190" s="127"/>
      <c r="D190" s="137"/>
      <c r="E190" s="58" t="str" cm="1">
        <f>IF(ISBLANK($A190),"",INDEX(Array_WaterCharges,MATCH($A190,List_WaterMeters,0),ROUNDUP((COLUMN()+0)/3-1,0)))</f>
        <v/>
      </c>
      <c r="F190" s="127"/>
      <c r="G190" s="137"/>
      <c r="H190" s="58" t="str" cm="1">
        <f>IF(ISBLANK($A190),"",INDEX(Array_WaterCharges,MATCH($A190,List_WaterMeters,0),ROUNDUP((COLUMN()+0)/3-1,0)))</f>
        <v/>
      </c>
      <c r="I190" s="127"/>
      <c r="J190" s="137"/>
      <c r="K190" s="58" t="str" cm="1">
        <f>IF(ISBLANK($A190),"",INDEX(Array_WaterCharges,MATCH($A190,List_WaterMeters,0),ROUNDUP((COLUMN()+0)/3-1,0)))</f>
        <v/>
      </c>
      <c r="L190" s="127"/>
      <c r="M190" s="137"/>
      <c r="N190" s="58" t="str" cm="1">
        <f>IF(ISBLANK($A190),"",INDEX(Array_WaterCharges,MATCH($A190,List_WaterMeters,0),ROUNDUP((COLUMN()+0)/3-1,0)))</f>
        <v/>
      </c>
      <c r="O190" s="127"/>
      <c r="P190" s="137"/>
      <c r="Q190" s="58" t="str" cm="1">
        <f>IF(ISBLANK($A190),"",INDEX(Array_WaterCharges,MATCH($A190,List_WaterMeters,0),ROUNDUP((COLUMN()+0)/3-1,0)))</f>
        <v/>
      </c>
      <c r="R190" s="127"/>
      <c r="S190" s="137"/>
      <c r="T190" s="58" t="str" cm="1">
        <f>IF(ISBLANK($A190),"",INDEX(Array_WaterCharges,MATCH($A190,List_WaterMeters,0),ROUNDUP((COLUMN()+0)/3-1,0)))</f>
        <v/>
      </c>
      <c r="U190" s="127"/>
      <c r="V190" s="137"/>
      <c r="W190" s="58" t="str" cm="1">
        <f>IF(ISBLANK($A190),"",INDEX(Array_WaterCharges,MATCH($A190,List_WaterMeters,0),ROUNDUP((COLUMN()+0)/3-1,0)))</f>
        <v/>
      </c>
      <c r="X190" s="127"/>
      <c r="Y190" s="137"/>
      <c r="Z190" s="58" t="str" cm="1">
        <f>IF(ISBLANK($A190),"",INDEX(Array_WaterCharges,MATCH($A190,List_WaterMeters,0),ROUNDUP((COLUMN()+0)/3-1,0)))</f>
        <v/>
      </c>
      <c r="AA190" s="127"/>
      <c r="AB190" s="137"/>
      <c r="AC190" s="58" t="str" cm="1">
        <f>IF(ISBLANK($A190),"",INDEX(Array_WaterCharges,MATCH($A190,List_WaterMeters,0),ROUNDUP((COLUMN()+0)/3-1,0)))</f>
        <v/>
      </c>
      <c r="AD190" s="127"/>
      <c r="AE190" s="137"/>
      <c r="AF190" s="58" t="str" cm="1">
        <f>IF(ISBLANK($A190),"",INDEX(Array_WaterCharges,MATCH($A190,List_WaterMeters,0),ROUNDUP((COLUMN()+0)/3-1,0)))</f>
        <v/>
      </c>
      <c r="AG190" s="127"/>
      <c r="AH190" s="137"/>
    </row>
    <row r="191" spans="1:34" x14ac:dyDescent="0.3">
      <c r="A191" s="126"/>
      <c r="B191" s="133"/>
      <c r="C191" s="127"/>
      <c r="D191" s="137"/>
      <c r="E191" s="58" t="str" cm="1">
        <f>IF(ISBLANK($A191),"",INDEX(Array_WaterCharges,MATCH($A191,List_WaterMeters,0),ROUNDUP((COLUMN()+0)/3-1,0)))</f>
        <v/>
      </c>
      <c r="F191" s="127"/>
      <c r="G191" s="137"/>
      <c r="H191" s="58" t="str" cm="1">
        <f>IF(ISBLANK($A191),"",INDEX(Array_WaterCharges,MATCH($A191,List_WaterMeters,0),ROUNDUP((COLUMN()+0)/3-1,0)))</f>
        <v/>
      </c>
      <c r="I191" s="127"/>
      <c r="J191" s="137"/>
      <c r="K191" s="58" t="str" cm="1">
        <f>IF(ISBLANK($A191),"",INDEX(Array_WaterCharges,MATCH($A191,List_WaterMeters,0),ROUNDUP((COLUMN()+0)/3-1,0)))</f>
        <v/>
      </c>
      <c r="L191" s="127"/>
      <c r="M191" s="137"/>
      <c r="N191" s="58" t="str" cm="1">
        <f>IF(ISBLANK($A191),"",INDEX(Array_WaterCharges,MATCH($A191,List_WaterMeters,0),ROUNDUP((COLUMN()+0)/3-1,0)))</f>
        <v/>
      </c>
      <c r="O191" s="127"/>
      <c r="P191" s="137"/>
      <c r="Q191" s="58" t="str" cm="1">
        <f>IF(ISBLANK($A191),"",INDEX(Array_WaterCharges,MATCH($A191,List_WaterMeters,0),ROUNDUP((COLUMN()+0)/3-1,0)))</f>
        <v/>
      </c>
      <c r="R191" s="127"/>
      <c r="S191" s="137"/>
      <c r="T191" s="58" t="str" cm="1">
        <f>IF(ISBLANK($A191),"",INDEX(Array_WaterCharges,MATCH($A191,List_WaterMeters,0),ROUNDUP((COLUMN()+0)/3-1,0)))</f>
        <v/>
      </c>
      <c r="U191" s="127"/>
      <c r="V191" s="137"/>
      <c r="W191" s="58" t="str" cm="1">
        <f>IF(ISBLANK($A191),"",INDEX(Array_WaterCharges,MATCH($A191,List_WaterMeters,0),ROUNDUP((COLUMN()+0)/3-1,0)))</f>
        <v/>
      </c>
      <c r="X191" s="127"/>
      <c r="Y191" s="137"/>
      <c r="Z191" s="58" t="str" cm="1">
        <f>IF(ISBLANK($A191),"",INDEX(Array_WaterCharges,MATCH($A191,List_WaterMeters,0),ROUNDUP((COLUMN()+0)/3-1,0)))</f>
        <v/>
      </c>
      <c r="AA191" s="127"/>
      <c r="AB191" s="137"/>
      <c r="AC191" s="58" t="str" cm="1">
        <f>IF(ISBLANK($A191),"",INDEX(Array_WaterCharges,MATCH($A191,List_WaterMeters,0),ROUNDUP((COLUMN()+0)/3-1,0)))</f>
        <v/>
      </c>
      <c r="AD191" s="127"/>
      <c r="AE191" s="137"/>
      <c r="AF191" s="58" t="str" cm="1">
        <f>IF(ISBLANK($A191),"",INDEX(Array_WaterCharges,MATCH($A191,List_WaterMeters,0),ROUNDUP((COLUMN()+0)/3-1,0)))</f>
        <v/>
      </c>
      <c r="AG191" s="127"/>
      <c r="AH191" s="137"/>
    </row>
    <row r="192" spans="1:34" x14ac:dyDescent="0.3">
      <c r="A192" s="126"/>
      <c r="B192" s="133"/>
      <c r="C192" s="127"/>
      <c r="D192" s="137"/>
      <c r="E192" s="58" t="str" cm="1">
        <f>IF(ISBLANK($A192),"",INDEX(Array_WaterCharges,MATCH($A192,List_WaterMeters,0),ROUNDUP((COLUMN()+0)/3-1,0)))</f>
        <v/>
      </c>
      <c r="F192" s="127"/>
      <c r="G192" s="137"/>
      <c r="H192" s="58" t="str" cm="1">
        <f>IF(ISBLANK($A192),"",INDEX(Array_WaterCharges,MATCH($A192,List_WaterMeters,0),ROUNDUP((COLUMN()+0)/3-1,0)))</f>
        <v/>
      </c>
      <c r="I192" s="127"/>
      <c r="J192" s="137"/>
      <c r="K192" s="58" t="str" cm="1">
        <f>IF(ISBLANK($A192),"",INDEX(Array_WaterCharges,MATCH($A192,List_WaterMeters,0),ROUNDUP((COLUMN()+0)/3-1,0)))</f>
        <v/>
      </c>
      <c r="L192" s="127"/>
      <c r="M192" s="137"/>
      <c r="N192" s="58" t="str" cm="1">
        <f>IF(ISBLANK($A192),"",INDEX(Array_WaterCharges,MATCH($A192,List_WaterMeters,0),ROUNDUP((COLUMN()+0)/3-1,0)))</f>
        <v/>
      </c>
      <c r="O192" s="127"/>
      <c r="P192" s="137"/>
      <c r="Q192" s="58" t="str" cm="1">
        <f>IF(ISBLANK($A192),"",INDEX(Array_WaterCharges,MATCH($A192,List_WaterMeters,0),ROUNDUP((COLUMN()+0)/3-1,0)))</f>
        <v/>
      </c>
      <c r="R192" s="127"/>
      <c r="S192" s="137"/>
      <c r="T192" s="58" t="str" cm="1">
        <f>IF(ISBLANK($A192),"",INDEX(Array_WaterCharges,MATCH($A192,List_WaterMeters,0),ROUNDUP((COLUMN()+0)/3-1,0)))</f>
        <v/>
      </c>
      <c r="U192" s="127"/>
      <c r="V192" s="137"/>
      <c r="W192" s="58" t="str" cm="1">
        <f>IF(ISBLANK($A192),"",INDEX(Array_WaterCharges,MATCH($A192,List_WaterMeters,0),ROUNDUP((COLUMN()+0)/3-1,0)))</f>
        <v/>
      </c>
      <c r="X192" s="127"/>
      <c r="Y192" s="137"/>
      <c r="Z192" s="58" t="str" cm="1">
        <f>IF(ISBLANK($A192),"",INDEX(Array_WaterCharges,MATCH($A192,List_WaterMeters,0),ROUNDUP((COLUMN()+0)/3-1,0)))</f>
        <v/>
      </c>
      <c r="AA192" s="127"/>
      <c r="AB192" s="137"/>
      <c r="AC192" s="58" t="str" cm="1">
        <f>IF(ISBLANK($A192),"",INDEX(Array_WaterCharges,MATCH($A192,List_WaterMeters,0),ROUNDUP((COLUMN()+0)/3-1,0)))</f>
        <v/>
      </c>
      <c r="AD192" s="127"/>
      <c r="AE192" s="137"/>
      <c r="AF192" s="58" t="str" cm="1">
        <f>IF(ISBLANK($A192),"",INDEX(Array_WaterCharges,MATCH($A192,List_WaterMeters,0),ROUNDUP((COLUMN()+0)/3-1,0)))</f>
        <v/>
      </c>
      <c r="AG192" s="127"/>
      <c r="AH192" s="137"/>
    </row>
    <row r="193" spans="1:34" x14ac:dyDescent="0.3">
      <c r="A193" s="126"/>
      <c r="B193" s="133"/>
      <c r="C193" s="127"/>
      <c r="D193" s="137"/>
      <c r="E193" s="58" t="str" cm="1">
        <f>IF(ISBLANK($A193),"",INDEX(Array_WaterCharges,MATCH($A193,List_WaterMeters,0),ROUNDUP((COLUMN()+0)/3-1,0)))</f>
        <v/>
      </c>
      <c r="F193" s="127"/>
      <c r="G193" s="137"/>
      <c r="H193" s="58" t="str" cm="1">
        <f>IF(ISBLANK($A193),"",INDEX(Array_WaterCharges,MATCH($A193,List_WaterMeters,0),ROUNDUP((COLUMN()+0)/3-1,0)))</f>
        <v/>
      </c>
      <c r="I193" s="127"/>
      <c r="J193" s="137"/>
      <c r="K193" s="58" t="str" cm="1">
        <f>IF(ISBLANK($A193),"",INDEX(Array_WaterCharges,MATCH($A193,List_WaterMeters,0),ROUNDUP((COLUMN()+0)/3-1,0)))</f>
        <v/>
      </c>
      <c r="L193" s="127"/>
      <c r="M193" s="137"/>
      <c r="N193" s="58" t="str" cm="1">
        <f>IF(ISBLANK($A193),"",INDEX(Array_WaterCharges,MATCH($A193,List_WaterMeters,0),ROUNDUP((COLUMN()+0)/3-1,0)))</f>
        <v/>
      </c>
      <c r="O193" s="127"/>
      <c r="P193" s="137"/>
      <c r="Q193" s="58" t="str" cm="1">
        <f>IF(ISBLANK($A193),"",INDEX(Array_WaterCharges,MATCH($A193,List_WaterMeters,0),ROUNDUP((COLUMN()+0)/3-1,0)))</f>
        <v/>
      </c>
      <c r="R193" s="127"/>
      <c r="S193" s="137"/>
      <c r="T193" s="58" t="str" cm="1">
        <f>IF(ISBLANK($A193),"",INDEX(Array_WaterCharges,MATCH($A193,List_WaterMeters,0),ROUNDUP((COLUMN()+0)/3-1,0)))</f>
        <v/>
      </c>
      <c r="U193" s="127"/>
      <c r="V193" s="137"/>
      <c r="W193" s="58" t="str" cm="1">
        <f>IF(ISBLANK($A193),"",INDEX(Array_WaterCharges,MATCH($A193,List_WaterMeters,0),ROUNDUP((COLUMN()+0)/3-1,0)))</f>
        <v/>
      </c>
      <c r="X193" s="127"/>
      <c r="Y193" s="137"/>
      <c r="Z193" s="58" t="str" cm="1">
        <f>IF(ISBLANK($A193),"",INDEX(Array_WaterCharges,MATCH($A193,List_WaterMeters,0),ROUNDUP((COLUMN()+0)/3-1,0)))</f>
        <v/>
      </c>
      <c r="AA193" s="127"/>
      <c r="AB193" s="137"/>
      <c r="AC193" s="58" t="str" cm="1">
        <f>IF(ISBLANK($A193),"",INDEX(Array_WaterCharges,MATCH($A193,List_WaterMeters,0),ROUNDUP((COLUMN()+0)/3-1,0)))</f>
        <v/>
      </c>
      <c r="AD193" s="127"/>
      <c r="AE193" s="137"/>
      <c r="AF193" s="58" t="str" cm="1">
        <f>IF(ISBLANK($A193),"",INDEX(Array_WaterCharges,MATCH($A193,List_WaterMeters,0),ROUNDUP((COLUMN()+0)/3-1,0)))</f>
        <v/>
      </c>
      <c r="AG193" s="127"/>
      <c r="AH193" s="137"/>
    </row>
    <row r="194" spans="1:34" x14ac:dyDescent="0.3">
      <c r="A194" s="126"/>
      <c r="B194" s="133"/>
      <c r="C194" s="127"/>
      <c r="D194" s="137"/>
      <c r="E194" s="58" t="str" cm="1">
        <f>IF(ISBLANK($A194),"",INDEX(Array_WaterCharges,MATCH($A194,List_WaterMeters,0),ROUNDUP((COLUMN()+0)/3-1,0)))</f>
        <v/>
      </c>
      <c r="F194" s="127"/>
      <c r="G194" s="137"/>
      <c r="H194" s="58" t="str" cm="1">
        <f>IF(ISBLANK($A194),"",INDEX(Array_WaterCharges,MATCH($A194,List_WaterMeters,0),ROUNDUP((COLUMN()+0)/3-1,0)))</f>
        <v/>
      </c>
      <c r="I194" s="127"/>
      <c r="J194" s="137"/>
      <c r="K194" s="58" t="str" cm="1">
        <f>IF(ISBLANK($A194),"",INDEX(Array_WaterCharges,MATCH($A194,List_WaterMeters,0),ROUNDUP((COLUMN()+0)/3-1,0)))</f>
        <v/>
      </c>
      <c r="L194" s="127"/>
      <c r="M194" s="137"/>
      <c r="N194" s="58" t="str" cm="1">
        <f>IF(ISBLANK($A194),"",INDEX(Array_WaterCharges,MATCH($A194,List_WaterMeters,0),ROUNDUP((COLUMN()+0)/3-1,0)))</f>
        <v/>
      </c>
      <c r="O194" s="127"/>
      <c r="P194" s="137"/>
      <c r="Q194" s="58" t="str" cm="1">
        <f>IF(ISBLANK($A194),"",INDEX(Array_WaterCharges,MATCH($A194,List_WaterMeters,0),ROUNDUP((COLUMN()+0)/3-1,0)))</f>
        <v/>
      </c>
      <c r="R194" s="127"/>
      <c r="S194" s="137"/>
      <c r="T194" s="58" t="str" cm="1">
        <f>IF(ISBLANK($A194),"",INDEX(Array_WaterCharges,MATCH($A194,List_WaterMeters,0),ROUNDUP((COLUMN()+0)/3-1,0)))</f>
        <v/>
      </c>
      <c r="U194" s="127"/>
      <c r="V194" s="137"/>
      <c r="W194" s="58" t="str" cm="1">
        <f>IF(ISBLANK($A194),"",INDEX(Array_WaterCharges,MATCH($A194,List_WaterMeters,0),ROUNDUP((COLUMN()+0)/3-1,0)))</f>
        <v/>
      </c>
      <c r="X194" s="127"/>
      <c r="Y194" s="137"/>
      <c r="Z194" s="58" t="str" cm="1">
        <f>IF(ISBLANK($A194),"",INDEX(Array_WaterCharges,MATCH($A194,List_WaterMeters,0),ROUNDUP((COLUMN()+0)/3-1,0)))</f>
        <v/>
      </c>
      <c r="AA194" s="127"/>
      <c r="AB194" s="137"/>
      <c r="AC194" s="58" t="str" cm="1">
        <f>IF(ISBLANK($A194),"",INDEX(Array_WaterCharges,MATCH($A194,List_WaterMeters,0),ROUNDUP((COLUMN()+0)/3-1,0)))</f>
        <v/>
      </c>
      <c r="AD194" s="127"/>
      <c r="AE194" s="137"/>
      <c r="AF194" s="58" t="str" cm="1">
        <f>IF(ISBLANK($A194),"",INDEX(Array_WaterCharges,MATCH($A194,List_WaterMeters,0),ROUNDUP((COLUMN()+0)/3-1,0)))</f>
        <v/>
      </c>
      <c r="AG194" s="127"/>
      <c r="AH194" s="137"/>
    </row>
    <row r="195" spans="1:34" x14ac:dyDescent="0.3">
      <c r="A195" s="126"/>
      <c r="B195" s="133"/>
      <c r="C195" s="127"/>
      <c r="D195" s="137"/>
      <c r="E195" s="58" t="str" cm="1">
        <f>IF(ISBLANK($A195),"",INDEX(Array_WaterCharges,MATCH($A195,List_WaterMeters,0),ROUNDUP((COLUMN()+0)/3-1,0)))</f>
        <v/>
      </c>
      <c r="F195" s="127"/>
      <c r="G195" s="137"/>
      <c r="H195" s="58" t="str" cm="1">
        <f>IF(ISBLANK($A195),"",INDEX(Array_WaterCharges,MATCH($A195,List_WaterMeters,0),ROUNDUP((COLUMN()+0)/3-1,0)))</f>
        <v/>
      </c>
      <c r="I195" s="127"/>
      <c r="J195" s="137"/>
      <c r="K195" s="58" t="str" cm="1">
        <f>IF(ISBLANK($A195),"",INDEX(Array_WaterCharges,MATCH($A195,List_WaterMeters,0),ROUNDUP((COLUMN()+0)/3-1,0)))</f>
        <v/>
      </c>
      <c r="L195" s="127"/>
      <c r="M195" s="137"/>
      <c r="N195" s="58" t="str" cm="1">
        <f>IF(ISBLANK($A195),"",INDEX(Array_WaterCharges,MATCH($A195,List_WaterMeters,0),ROUNDUP((COLUMN()+0)/3-1,0)))</f>
        <v/>
      </c>
      <c r="O195" s="127"/>
      <c r="P195" s="137"/>
      <c r="Q195" s="58" t="str" cm="1">
        <f>IF(ISBLANK($A195),"",INDEX(Array_WaterCharges,MATCH($A195,List_WaterMeters,0),ROUNDUP((COLUMN()+0)/3-1,0)))</f>
        <v/>
      </c>
      <c r="R195" s="127"/>
      <c r="S195" s="137"/>
      <c r="T195" s="58" t="str" cm="1">
        <f>IF(ISBLANK($A195),"",INDEX(Array_WaterCharges,MATCH($A195,List_WaterMeters,0),ROUNDUP((COLUMN()+0)/3-1,0)))</f>
        <v/>
      </c>
      <c r="U195" s="127"/>
      <c r="V195" s="137"/>
      <c r="W195" s="58" t="str" cm="1">
        <f>IF(ISBLANK($A195),"",INDEX(Array_WaterCharges,MATCH($A195,List_WaterMeters,0),ROUNDUP((COLUMN()+0)/3-1,0)))</f>
        <v/>
      </c>
      <c r="X195" s="127"/>
      <c r="Y195" s="137"/>
      <c r="Z195" s="58" t="str" cm="1">
        <f>IF(ISBLANK($A195),"",INDEX(Array_WaterCharges,MATCH($A195,List_WaterMeters,0),ROUNDUP((COLUMN()+0)/3-1,0)))</f>
        <v/>
      </c>
      <c r="AA195" s="127"/>
      <c r="AB195" s="137"/>
      <c r="AC195" s="58" t="str" cm="1">
        <f>IF(ISBLANK($A195),"",INDEX(Array_WaterCharges,MATCH($A195,List_WaterMeters,0),ROUNDUP((COLUMN()+0)/3-1,0)))</f>
        <v/>
      </c>
      <c r="AD195" s="127"/>
      <c r="AE195" s="137"/>
      <c r="AF195" s="58" t="str" cm="1">
        <f>IF(ISBLANK($A195),"",INDEX(Array_WaterCharges,MATCH($A195,List_WaterMeters,0),ROUNDUP((COLUMN()+0)/3-1,0)))</f>
        <v/>
      </c>
      <c r="AG195" s="127"/>
      <c r="AH195" s="137"/>
    </row>
    <row r="196" spans="1:34" x14ac:dyDescent="0.3">
      <c r="A196" s="126"/>
      <c r="B196" s="133"/>
      <c r="C196" s="127"/>
      <c r="D196" s="137"/>
      <c r="E196" s="58" t="str" cm="1">
        <f>IF(ISBLANK($A196),"",INDEX(Array_WaterCharges,MATCH($A196,List_WaterMeters,0),ROUNDUP((COLUMN()+0)/3-1,0)))</f>
        <v/>
      </c>
      <c r="F196" s="127"/>
      <c r="G196" s="137"/>
      <c r="H196" s="58" t="str" cm="1">
        <f>IF(ISBLANK($A196),"",INDEX(Array_WaterCharges,MATCH($A196,List_WaterMeters,0),ROUNDUP((COLUMN()+0)/3-1,0)))</f>
        <v/>
      </c>
      <c r="I196" s="127"/>
      <c r="J196" s="137"/>
      <c r="K196" s="58" t="str" cm="1">
        <f>IF(ISBLANK($A196),"",INDEX(Array_WaterCharges,MATCH($A196,List_WaterMeters,0),ROUNDUP((COLUMN()+0)/3-1,0)))</f>
        <v/>
      </c>
      <c r="L196" s="127"/>
      <c r="M196" s="137"/>
      <c r="N196" s="58" t="str" cm="1">
        <f>IF(ISBLANK($A196),"",INDEX(Array_WaterCharges,MATCH($A196,List_WaterMeters,0),ROUNDUP((COLUMN()+0)/3-1,0)))</f>
        <v/>
      </c>
      <c r="O196" s="127"/>
      <c r="P196" s="137"/>
      <c r="Q196" s="58" t="str" cm="1">
        <f>IF(ISBLANK($A196),"",INDEX(Array_WaterCharges,MATCH($A196,List_WaterMeters,0),ROUNDUP((COLUMN()+0)/3-1,0)))</f>
        <v/>
      </c>
      <c r="R196" s="127"/>
      <c r="S196" s="137"/>
      <c r="T196" s="58" t="str" cm="1">
        <f>IF(ISBLANK($A196),"",INDEX(Array_WaterCharges,MATCH($A196,List_WaterMeters,0),ROUNDUP((COLUMN()+0)/3-1,0)))</f>
        <v/>
      </c>
      <c r="U196" s="127"/>
      <c r="V196" s="137"/>
      <c r="W196" s="58" t="str" cm="1">
        <f>IF(ISBLANK($A196),"",INDEX(Array_WaterCharges,MATCH($A196,List_WaterMeters,0),ROUNDUP((COLUMN()+0)/3-1,0)))</f>
        <v/>
      </c>
      <c r="X196" s="127"/>
      <c r="Y196" s="137"/>
      <c r="Z196" s="58" t="str" cm="1">
        <f>IF(ISBLANK($A196),"",INDEX(Array_WaterCharges,MATCH($A196,List_WaterMeters,0),ROUNDUP((COLUMN()+0)/3-1,0)))</f>
        <v/>
      </c>
      <c r="AA196" s="127"/>
      <c r="AB196" s="137"/>
      <c r="AC196" s="58" t="str" cm="1">
        <f>IF(ISBLANK($A196),"",INDEX(Array_WaterCharges,MATCH($A196,List_WaterMeters,0),ROUNDUP((COLUMN()+0)/3-1,0)))</f>
        <v/>
      </c>
      <c r="AD196" s="127"/>
      <c r="AE196" s="137"/>
      <c r="AF196" s="58" t="str" cm="1">
        <f>IF(ISBLANK($A196),"",INDEX(Array_WaterCharges,MATCH($A196,List_WaterMeters,0),ROUNDUP((COLUMN()+0)/3-1,0)))</f>
        <v/>
      </c>
      <c r="AG196" s="127"/>
      <c r="AH196" s="137"/>
    </row>
    <row r="197" spans="1:34" x14ac:dyDescent="0.3">
      <c r="A197" s="126"/>
      <c r="B197" s="133"/>
      <c r="C197" s="127"/>
      <c r="D197" s="137"/>
      <c r="E197" s="58" t="str" cm="1">
        <f>IF(ISBLANK($A197),"",INDEX(Array_WaterCharges,MATCH($A197,List_WaterMeters,0),ROUNDUP((COLUMN()+0)/3-1,0)))</f>
        <v/>
      </c>
      <c r="F197" s="127"/>
      <c r="G197" s="137"/>
      <c r="H197" s="58" t="str" cm="1">
        <f>IF(ISBLANK($A197),"",INDEX(Array_WaterCharges,MATCH($A197,List_WaterMeters,0),ROUNDUP((COLUMN()+0)/3-1,0)))</f>
        <v/>
      </c>
      <c r="I197" s="127"/>
      <c r="J197" s="137"/>
      <c r="K197" s="58" t="str" cm="1">
        <f>IF(ISBLANK($A197),"",INDEX(Array_WaterCharges,MATCH($A197,List_WaterMeters,0),ROUNDUP((COLUMN()+0)/3-1,0)))</f>
        <v/>
      </c>
      <c r="L197" s="127"/>
      <c r="M197" s="137"/>
      <c r="N197" s="58" t="str" cm="1">
        <f>IF(ISBLANK($A197),"",INDEX(Array_WaterCharges,MATCH($A197,List_WaterMeters,0),ROUNDUP((COLUMN()+0)/3-1,0)))</f>
        <v/>
      </c>
      <c r="O197" s="127"/>
      <c r="P197" s="137"/>
      <c r="Q197" s="58" t="str" cm="1">
        <f>IF(ISBLANK($A197),"",INDEX(Array_WaterCharges,MATCH($A197,List_WaterMeters,0),ROUNDUP((COLUMN()+0)/3-1,0)))</f>
        <v/>
      </c>
      <c r="R197" s="127"/>
      <c r="S197" s="137"/>
      <c r="T197" s="58" t="str" cm="1">
        <f>IF(ISBLANK($A197),"",INDEX(Array_WaterCharges,MATCH($A197,List_WaterMeters,0),ROUNDUP((COLUMN()+0)/3-1,0)))</f>
        <v/>
      </c>
      <c r="U197" s="127"/>
      <c r="V197" s="137"/>
      <c r="W197" s="58" t="str" cm="1">
        <f>IF(ISBLANK($A197),"",INDEX(Array_WaterCharges,MATCH($A197,List_WaterMeters,0),ROUNDUP((COLUMN()+0)/3-1,0)))</f>
        <v/>
      </c>
      <c r="X197" s="127"/>
      <c r="Y197" s="137"/>
      <c r="Z197" s="58" t="str" cm="1">
        <f>IF(ISBLANK($A197),"",INDEX(Array_WaterCharges,MATCH($A197,List_WaterMeters,0),ROUNDUP((COLUMN()+0)/3-1,0)))</f>
        <v/>
      </c>
      <c r="AA197" s="127"/>
      <c r="AB197" s="137"/>
      <c r="AC197" s="58" t="str" cm="1">
        <f>IF(ISBLANK($A197),"",INDEX(Array_WaterCharges,MATCH($A197,List_WaterMeters,0),ROUNDUP((COLUMN()+0)/3-1,0)))</f>
        <v/>
      </c>
      <c r="AD197" s="127"/>
      <c r="AE197" s="137"/>
      <c r="AF197" s="58" t="str" cm="1">
        <f>IF(ISBLANK($A197),"",INDEX(Array_WaterCharges,MATCH($A197,List_WaterMeters,0),ROUNDUP((COLUMN()+0)/3-1,0)))</f>
        <v/>
      </c>
      <c r="AG197" s="127"/>
      <c r="AH197" s="137"/>
    </row>
    <row r="198" spans="1:34" x14ac:dyDescent="0.3">
      <c r="A198" s="126"/>
      <c r="B198" s="133"/>
      <c r="C198" s="127"/>
      <c r="D198" s="137"/>
      <c r="E198" s="58" t="str" cm="1">
        <f>IF(ISBLANK($A198),"",INDEX(Array_WaterCharges,MATCH($A198,List_WaterMeters,0),ROUNDUP((COLUMN()+0)/3-1,0)))</f>
        <v/>
      </c>
      <c r="F198" s="127"/>
      <c r="G198" s="137"/>
      <c r="H198" s="58" t="str" cm="1">
        <f>IF(ISBLANK($A198),"",INDEX(Array_WaterCharges,MATCH($A198,List_WaterMeters,0),ROUNDUP((COLUMN()+0)/3-1,0)))</f>
        <v/>
      </c>
      <c r="I198" s="127"/>
      <c r="J198" s="137"/>
      <c r="K198" s="58" t="str" cm="1">
        <f>IF(ISBLANK($A198),"",INDEX(Array_WaterCharges,MATCH($A198,List_WaterMeters,0),ROUNDUP((COLUMN()+0)/3-1,0)))</f>
        <v/>
      </c>
      <c r="L198" s="127"/>
      <c r="M198" s="137"/>
      <c r="N198" s="58" t="str" cm="1">
        <f>IF(ISBLANK($A198),"",INDEX(Array_WaterCharges,MATCH($A198,List_WaterMeters,0),ROUNDUP((COLUMN()+0)/3-1,0)))</f>
        <v/>
      </c>
      <c r="O198" s="127"/>
      <c r="P198" s="137"/>
      <c r="Q198" s="58" t="str" cm="1">
        <f>IF(ISBLANK($A198),"",INDEX(Array_WaterCharges,MATCH($A198,List_WaterMeters,0),ROUNDUP((COLUMN()+0)/3-1,0)))</f>
        <v/>
      </c>
      <c r="R198" s="127"/>
      <c r="S198" s="137"/>
      <c r="T198" s="58" t="str" cm="1">
        <f>IF(ISBLANK($A198),"",INDEX(Array_WaterCharges,MATCH($A198,List_WaterMeters,0),ROUNDUP((COLUMN()+0)/3-1,0)))</f>
        <v/>
      </c>
      <c r="U198" s="127"/>
      <c r="V198" s="137"/>
      <c r="W198" s="58" t="str" cm="1">
        <f>IF(ISBLANK($A198),"",INDEX(Array_WaterCharges,MATCH($A198,List_WaterMeters,0),ROUNDUP((COLUMN()+0)/3-1,0)))</f>
        <v/>
      </c>
      <c r="X198" s="127"/>
      <c r="Y198" s="137"/>
      <c r="Z198" s="58" t="str" cm="1">
        <f>IF(ISBLANK($A198),"",INDEX(Array_WaterCharges,MATCH($A198,List_WaterMeters,0),ROUNDUP((COLUMN()+0)/3-1,0)))</f>
        <v/>
      </c>
      <c r="AA198" s="127"/>
      <c r="AB198" s="137"/>
      <c r="AC198" s="58" t="str" cm="1">
        <f>IF(ISBLANK($A198),"",INDEX(Array_WaterCharges,MATCH($A198,List_WaterMeters,0),ROUNDUP((COLUMN()+0)/3-1,0)))</f>
        <v/>
      </c>
      <c r="AD198" s="127"/>
      <c r="AE198" s="137"/>
      <c r="AF198" s="58" t="str" cm="1">
        <f>IF(ISBLANK($A198),"",INDEX(Array_WaterCharges,MATCH($A198,List_WaterMeters,0),ROUNDUP((COLUMN()+0)/3-1,0)))</f>
        <v/>
      </c>
      <c r="AG198" s="127"/>
      <c r="AH198" s="137"/>
    </row>
    <row r="199" spans="1:34" x14ac:dyDescent="0.3">
      <c r="A199" s="126"/>
      <c r="B199" s="133"/>
      <c r="C199" s="127"/>
      <c r="D199" s="137"/>
      <c r="E199" s="58" t="str" cm="1">
        <f>IF(ISBLANK($A199),"",INDEX(Array_WaterCharges,MATCH($A199,List_WaterMeters,0),ROUNDUP((COLUMN()+0)/3-1,0)))</f>
        <v/>
      </c>
      <c r="F199" s="127"/>
      <c r="G199" s="137"/>
      <c r="H199" s="58" t="str" cm="1">
        <f>IF(ISBLANK($A199),"",INDEX(Array_WaterCharges,MATCH($A199,List_WaterMeters,0),ROUNDUP((COLUMN()+0)/3-1,0)))</f>
        <v/>
      </c>
      <c r="I199" s="127"/>
      <c r="J199" s="137"/>
      <c r="K199" s="58" t="str" cm="1">
        <f>IF(ISBLANK($A199),"",INDEX(Array_WaterCharges,MATCH($A199,List_WaterMeters,0),ROUNDUP((COLUMN()+0)/3-1,0)))</f>
        <v/>
      </c>
      <c r="L199" s="127"/>
      <c r="M199" s="137"/>
      <c r="N199" s="58" t="str" cm="1">
        <f>IF(ISBLANK($A199),"",INDEX(Array_WaterCharges,MATCH($A199,List_WaterMeters,0),ROUNDUP((COLUMN()+0)/3-1,0)))</f>
        <v/>
      </c>
      <c r="O199" s="127"/>
      <c r="P199" s="137"/>
      <c r="Q199" s="58" t="str" cm="1">
        <f>IF(ISBLANK($A199),"",INDEX(Array_WaterCharges,MATCH($A199,List_WaterMeters,0),ROUNDUP((COLUMN()+0)/3-1,0)))</f>
        <v/>
      </c>
      <c r="R199" s="127"/>
      <c r="S199" s="137"/>
      <c r="T199" s="58" t="str" cm="1">
        <f>IF(ISBLANK($A199),"",INDEX(Array_WaterCharges,MATCH($A199,List_WaterMeters,0),ROUNDUP((COLUMN()+0)/3-1,0)))</f>
        <v/>
      </c>
      <c r="U199" s="127"/>
      <c r="V199" s="137"/>
      <c r="W199" s="58" t="str" cm="1">
        <f>IF(ISBLANK($A199),"",INDEX(Array_WaterCharges,MATCH($A199,List_WaterMeters,0),ROUNDUP((COLUMN()+0)/3-1,0)))</f>
        <v/>
      </c>
      <c r="X199" s="127"/>
      <c r="Y199" s="137"/>
      <c r="Z199" s="58" t="str" cm="1">
        <f>IF(ISBLANK($A199),"",INDEX(Array_WaterCharges,MATCH($A199,List_WaterMeters,0),ROUNDUP((COLUMN()+0)/3-1,0)))</f>
        <v/>
      </c>
      <c r="AA199" s="127"/>
      <c r="AB199" s="137"/>
      <c r="AC199" s="58" t="str" cm="1">
        <f>IF(ISBLANK($A199),"",INDEX(Array_WaterCharges,MATCH($A199,List_WaterMeters,0),ROUNDUP((COLUMN()+0)/3-1,0)))</f>
        <v/>
      </c>
      <c r="AD199" s="127"/>
      <c r="AE199" s="137"/>
      <c r="AF199" s="58" t="str" cm="1">
        <f>IF(ISBLANK($A199),"",INDEX(Array_WaterCharges,MATCH($A199,List_WaterMeters,0),ROUNDUP((COLUMN()+0)/3-1,0)))</f>
        <v/>
      </c>
      <c r="AG199" s="127"/>
      <c r="AH199" s="137"/>
    </row>
    <row r="200" spans="1:34" x14ac:dyDescent="0.3">
      <c r="A200" s="126"/>
      <c r="B200" s="133"/>
      <c r="C200" s="127"/>
      <c r="D200" s="137"/>
      <c r="E200" s="58" t="str" cm="1">
        <f>IF(ISBLANK($A200),"",INDEX(Array_WaterCharges,MATCH($A200,List_WaterMeters,0),ROUNDUP((COLUMN()+0)/3-1,0)))</f>
        <v/>
      </c>
      <c r="F200" s="127"/>
      <c r="G200" s="137"/>
      <c r="H200" s="58" t="str" cm="1">
        <f>IF(ISBLANK($A200),"",INDEX(Array_WaterCharges,MATCH($A200,List_WaterMeters,0),ROUNDUP((COLUMN()+0)/3-1,0)))</f>
        <v/>
      </c>
      <c r="I200" s="127"/>
      <c r="J200" s="137"/>
      <c r="K200" s="58" t="str" cm="1">
        <f>IF(ISBLANK($A200),"",INDEX(Array_WaterCharges,MATCH($A200,List_WaterMeters,0),ROUNDUP((COLUMN()+0)/3-1,0)))</f>
        <v/>
      </c>
      <c r="L200" s="127"/>
      <c r="M200" s="137"/>
      <c r="N200" s="58" t="str" cm="1">
        <f>IF(ISBLANK($A200),"",INDEX(Array_WaterCharges,MATCH($A200,List_WaterMeters,0),ROUNDUP((COLUMN()+0)/3-1,0)))</f>
        <v/>
      </c>
      <c r="O200" s="127"/>
      <c r="P200" s="137"/>
      <c r="Q200" s="58" t="str" cm="1">
        <f>IF(ISBLANK($A200),"",INDEX(Array_WaterCharges,MATCH($A200,List_WaterMeters,0),ROUNDUP((COLUMN()+0)/3-1,0)))</f>
        <v/>
      </c>
      <c r="R200" s="127"/>
      <c r="S200" s="137"/>
      <c r="T200" s="58" t="str" cm="1">
        <f>IF(ISBLANK($A200),"",INDEX(Array_WaterCharges,MATCH($A200,List_WaterMeters,0),ROUNDUP((COLUMN()+0)/3-1,0)))</f>
        <v/>
      </c>
      <c r="U200" s="127"/>
      <c r="V200" s="137"/>
      <c r="W200" s="58" t="str" cm="1">
        <f>IF(ISBLANK($A200),"",INDEX(Array_WaterCharges,MATCH($A200,List_WaterMeters,0),ROUNDUP((COLUMN()+0)/3-1,0)))</f>
        <v/>
      </c>
      <c r="X200" s="127"/>
      <c r="Y200" s="137"/>
      <c r="Z200" s="58" t="str" cm="1">
        <f>IF(ISBLANK($A200),"",INDEX(Array_WaterCharges,MATCH($A200,List_WaterMeters,0),ROUNDUP((COLUMN()+0)/3-1,0)))</f>
        <v/>
      </c>
      <c r="AA200" s="127"/>
      <c r="AB200" s="137"/>
      <c r="AC200" s="58" t="str" cm="1">
        <f>IF(ISBLANK($A200),"",INDEX(Array_WaterCharges,MATCH($A200,List_WaterMeters,0),ROUNDUP((COLUMN()+0)/3-1,0)))</f>
        <v/>
      </c>
      <c r="AD200" s="127"/>
      <c r="AE200" s="137"/>
      <c r="AF200" s="58" t="str" cm="1">
        <f>IF(ISBLANK($A200),"",INDEX(Array_WaterCharges,MATCH($A200,List_WaterMeters,0),ROUNDUP((COLUMN()+0)/3-1,0)))</f>
        <v/>
      </c>
      <c r="AG200" s="127"/>
      <c r="AH200" s="137"/>
    </row>
    <row r="201" spans="1:34" x14ac:dyDescent="0.3">
      <c r="A201" s="126"/>
      <c r="B201" s="133"/>
      <c r="C201" s="127"/>
      <c r="D201" s="137"/>
      <c r="E201" s="58" t="str" cm="1">
        <f>IF(ISBLANK($A201),"",INDEX(Array_WaterCharges,MATCH($A201,List_WaterMeters,0),ROUNDUP((COLUMN()+0)/3-1,0)))</f>
        <v/>
      </c>
      <c r="F201" s="127"/>
      <c r="G201" s="137"/>
      <c r="H201" s="58" t="str" cm="1">
        <f>IF(ISBLANK($A201),"",INDEX(Array_WaterCharges,MATCH($A201,List_WaterMeters,0),ROUNDUP((COLUMN()+0)/3-1,0)))</f>
        <v/>
      </c>
      <c r="I201" s="127"/>
      <c r="J201" s="137"/>
      <c r="K201" s="58" t="str" cm="1">
        <f>IF(ISBLANK($A201),"",INDEX(Array_WaterCharges,MATCH($A201,List_WaterMeters,0),ROUNDUP((COLUMN()+0)/3-1,0)))</f>
        <v/>
      </c>
      <c r="L201" s="127"/>
      <c r="M201" s="137"/>
      <c r="N201" s="58" t="str" cm="1">
        <f>IF(ISBLANK($A201),"",INDEX(Array_WaterCharges,MATCH($A201,List_WaterMeters,0),ROUNDUP((COLUMN()+0)/3-1,0)))</f>
        <v/>
      </c>
      <c r="O201" s="127"/>
      <c r="P201" s="137"/>
      <c r="Q201" s="58" t="str" cm="1">
        <f>IF(ISBLANK($A201),"",INDEX(Array_WaterCharges,MATCH($A201,List_WaterMeters,0),ROUNDUP((COLUMN()+0)/3-1,0)))</f>
        <v/>
      </c>
      <c r="R201" s="127"/>
      <c r="S201" s="137"/>
      <c r="T201" s="58" t="str" cm="1">
        <f>IF(ISBLANK($A201),"",INDEX(Array_WaterCharges,MATCH($A201,List_WaterMeters,0),ROUNDUP((COLUMN()+0)/3-1,0)))</f>
        <v/>
      </c>
      <c r="U201" s="127"/>
      <c r="V201" s="137"/>
      <c r="W201" s="58" t="str" cm="1">
        <f>IF(ISBLANK($A201),"",INDEX(Array_WaterCharges,MATCH($A201,List_WaterMeters,0),ROUNDUP((COLUMN()+0)/3-1,0)))</f>
        <v/>
      </c>
      <c r="X201" s="127"/>
      <c r="Y201" s="137"/>
      <c r="Z201" s="58" t="str" cm="1">
        <f>IF(ISBLANK($A201),"",INDEX(Array_WaterCharges,MATCH($A201,List_WaterMeters,0),ROUNDUP((COLUMN()+0)/3-1,0)))</f>
        <v/>
      </c>
      <c r="AA201" s="127"/>
      <c r="AB201" s="137"/>
      <c r="AC201" s="58" t="str" cm="1">
        <f>IF(ISBLANK($A201),"",INDEX(Array_WaterCharges,MATCH($A201,List_WaterMeters,0),ROUNDUP((COLUMN()+0)/3-1,0)))</f>
        <v/>
      </c>
      <c r="AD201" s="127"/>
      <c r="AE201" s="137"/>
      <c r="AF201" s="58" t="str" cm="1">
        <f>IF(ISBLANK($A201),"",INDEX(Array_WaterCharges,MATCH($A201,List_WaterMeters,0),ROUNDUP((COLUMN()+0)/3-1,0)))</f>
        <v/>
      </c>
      <c r="AG201" s="127"/>
      <c r="AH201" s="137"/>
    </row>
    <row r="202" spans="1:34" x14ac:dyDescent="0.3">
      <c r="A202" s="126"/>
      <c r="B202" s="133"/>
      <c r="C202" s="127"/>
      <c r="D202" s="137"/>
      <c r="E202" s="58" t="str" cm="1">
        <f>IF(ISBLANK($A202),"",INDEX(Array_WaterCharges,MATCH($A202,List_WaterMeters,0),ROUNDUP((COLUMN()+0)/3-1,0)))</f>
        <v/>
      </c>
      <c r="F202" s="127"/>
      <c r="G202" s="137"/>
      <c r="H202" s="58" t="str" cm="1">
        <f>IF(ISBLANK($A202),"",INDEX(Array_WaterCharges,MATCH($A202,List_WaterMeters,0),ROUNDUP((COLUMN()+0)/3-1,0)))</f>
        <v/>
      </c>
      <c r="I202" s="127"/>
      <c r="J202" s="137"/>
      <c r="K202" s="58" t="str" cm="1">
        <f>IF(ISBLANK($A202),"",INDEX(Array_WaterCharges,MATCH($A202,List_WaterMeters,0),ROUNDUP((COLUMN()+0)/3-1,0)))</f>
        <v/>
      </c>
      <c r="L202" s="127"/>
      <c r="M202" s="137"/>
      <c r="N202" s="58" t="str" cm="1">
        <f>IF(ISBLANK($A202),"",INDEX(Array_WaterCharges,MATCH($A202,List_WaterMeters,0),ROUNDUP((COLUMN()+0)/3-1,0)))</f>
        <v/>
      </c>
      <c r="O202" s="127"/>
      <c r="P202" s="137"/>
      <c r="Q202" s="58" t="str" cm="1">
        <f>IF(ISBLANK($A202),"",INDEX(Array_WaterCharges,MATCH($A202,List_WaterMeters,0),ROUNDUP((COLUMN()+0)/3-1,0)))</f>
        <v/>
      </c>
      <c r="R202" s="127"/>
      <c r="S202" s="137"/>
      <c r="T202" s="58" t="str" cm="1">
        <f>IF(ISBLANK($A202),"",INDEX(Array_WaterCharges,MATCH($A202,List_WaterMeters,0),ROUNDUP((COLUMN()+0)/3-1,0)))</f>
        <v/>
      </c>
      <c r="U202" s="127"/>
      <c r="V202" s="137"/>
      <c r="W202" s="58" t="str" cm="1">
        <f>IF(ISBLANK($A202),"",INDEX(Array_WaterCharges,MATCH($A202,List_WaterMeters,0),ROUNDUP((COLUMN()+0)/3-1,0)))</f>
        <v/>
      </c>
      <c r="X202" s="127"/>
      <c r="Y202" s="137"/>
      <c r="Z202" s="58" t="str" cm="1">
        <f>IF(ISBLANK($A202),"",INDEX(Array_WaterCharges,MATCH($A202,List_WaterMeters,0),ROUNDUP((COLUMN()+0)/3-1,0)))</f>
        <v/>
      </c>
      <c r="AA202" s="127"/>
      <c r="AB202" s="137"/>
      <c r="AC202" s="58" t="str" cm="1">
        <f>IF(ISBLANK($A202),"",INDEX(Array_WaterCharges,MATCH($A202,List_WaterMeters,0),ROUNDUP((COLUMN()+0)/3-1,0)))</f>
        <v/>
      </c>
      <c r="AD202" s="127"/>
      <c r="AE202" s="137"/>
      <c r="AF202" s="58" t="str" cm="1">
        <f>IF(ISBLANK($A202),"",INDEX(Array_WaterCharges,MATCH($A202,List_WaterMeters,0),ROUNDUP((COLUMN()+0)/3-1,0)))</f>
        <v/>
      </c>
      <c r="AG202" s="127"/>
      <c r="AH202" s="137"/>
    </row>
    <row r="203" spans="1:34" x14ac:dyDescent="0.3">
      <c r="A203" s="126"/>
      <c r="B203" s="133"/>
      <c r="C203" s="127"/>
      <c r="D203" s="137"/>
      <c r="E203" s="58" t="str" cm="1">
        <f>IF(ISBLANK($A203),"",INDEX(Array_WaterCharges,MATCH($A203,List_WaterMeters,0),ROUNDUP((COLUMN()+0)/3-1,0)))</f>
        <v/>
      </c>
      <c r="F203" s="127"/>
      <c r="G203" s="137"/>
      <c r="H203" s="58" t="str" cm="1">
        <f>IF(ISBLANK($A203),"",INDEX(Array_WaterCharges,MATCH($A203,List_WaterMeters,0),ROUNDUP((COLUMN()+0)/3-1,0)))</f>
        <v/>
      </c>
      <c r="I203" s="127"/>
      <c r="J203" s="137"/>
      <c r="K203" s="58" t="str" cm="1">
        <f>IF(ISBLANK($A203),"",INDEX(Array_WaterCharges,MATCH($A203,List_WaterMeters,0),ROUNDUP((COLUMN()+0)/3-1,0)))</f>
        <v/>
      </c>
      <c r="L203" s="127"/>
      <c r="M203" s="137"/>
      <c r="N203" s="58" t="str" cm="1">
        <f>IF(ISBLANK($A203),"",INDEX(Array_WaterCharges,MATCH($A203,List_WaterMeters,0),ROUNDUP((COLUMN()+0)/3-1,0)))</f>
        <v/>
      </c>
      <c r="O203" s="127"/>
      <c r="P203" s="137"/>
      <c r="Q203" s="58" t="str" cm="1">
        <f>IF(ISBLANK($A203),"",INDEX(Array_WaterCharges,MATCH($A203,List_WaterMeters,0),ROUNDUP((COLUMN()+0)/3-1,0)))</f>
        <v/>
      </c>
      <c r="R203" s="127"/>
      <c r="S203" s="137"/>
      <c r="T203" s="58" t="str" cm="1">
        <f>IF(ISBLANK($A203),"",INDEX(Array_WaterCharges,MATCH($A203,List_WaterMeters,0),ROUNDUP((COLUMN()+0)/3-1,0)))</f>
        <v/>
      </c>
      <c r="U203" s="127"/>
      <c r="V203" s="137"/>
      <c r="W203" s="58" t="str" cm="1">
        <f>IF(ISBLANK($A203),"",INDEX(Array_WaterCharges,MATCH($A203,List_WaterMeters,0),ROUNDUP((COLUMN()+0)/3-1,0)))</f>
        <v/>
      </c>
      <c r="X203" s="127"/>
      <c r="Y203" s="137"/>
      <c r="Z203" s="58" t="str" cm="1">
        <f>IF(ISBLANK($A203),"",INDEX(Array_WaterCharges,MATCH($A203,List_WaterMeters,0),ROUNDUP((COLUMN()+0)/3-1,0)))</f>
        <v/>
      </c>
      <c r="AA203" s="127"/>
      <c r="AB203" s="137"/>
      <c r="AC203" s="58" t="str" cm="1">
        <f>IF(ISBLANK($A203),"",INDEX(Array_WaterCharges,MATCH($A203,List_WaterMeters,0),ROUNDUP((COLUMN()+0)/3-1,0)))</f>
        <v/>
      </c>
      <c r="AD203" s="127"/>
      <c r="AE203" s="137"/>
      <c r="AF203" s="58" t="str" cm="1">
        <f>IF(ISBLANK($A203),"",INDEX(Array_WaterCharges,MATCH($A203,List_WaterMeters,0),ROUNDUP((COLUMN()+0)/3-1,0)))</f>
        <v/>
      </c>
      <c r="AG203" s="127"/>
      <c r="AH203" s="137"/>
    </row>
    <row r="204" spans="1:34" x14ac:dyDescent="0.3">
      <c r="A204" s="126"/>
      <c r="B204" s="133"/>
      <c r="C204" s="127"/>
      <c r="D204" s="137"/>
      <c r="E204" s="58" t="str" cm="1">
        <f>IF(ISBLANK($A204),"",INDEX(Array_WaterCharges,MATCH($A204,List_WaterMeters,0),ROUNDUP((COLUMN()+0)/3-1,0)))</f>
        <v/>
      </c>
      <c r="F204" s="127"/>
      <c r="G204" s="137"/>
      <c r="H204" s="58" t="str" cm="1">
        <f>IF(ISBLANK($A204),"",INDEX(Array_WaterCharges,MATCH($A204,List_WaterMeters,0),ROUNDUP((COLUMN()+0)/3-1,0)))</f>
        <v/>
      </c>
      <c r="I204" s="127"/>
      <c r="J204" s="137"/>
      <c r="K204" s="58" t="str" cm="1">
        <f>IF(ISBLANK($A204),"",INDEX(Array_WaterCharges,MATCH($A204,List_WaterMeters,0),ROUNDUP((COLUMN()+0)/3-1,0)))</f>
        <v/>
      </c>
      <c r="L204" s="127"/>
      <c r="M204" s="137"/>
      <c r="N204" s="58" t="str" cm="1">
        <f>IF(ISBLANK($A204),"",INDEX(Array_WaterCharges,MATCH($A204,List_WaterMeters,0),ROUNDUP((COLUMN()+0)/3-1,0)))</f>
        <v/>
      </c>
      <c r="O204" s="127"/>
      <c r="P204" s="137"/>
      <c r="Q204" s="58" t="str" cm="1">
        <f>IF(ISBLANK($A204),"",INDEX(Array_WaterCharges,MATCH($A204,List_WaterMeters,0),ROUNDUP((COLUMN()+0)/3-1,0)))</f>
        <v/>
      </c>
      <c r="R204" s="127"/>
      <c r="S204" s="137"/>
      <c r="T204" s="58" t="str" cm="1">
        <f>IF(ISBLANK($A204),"",INDEX(Array_WaterCharges,MATCH($A204,List_WaterMeters,0),ROUNDUP((COLUMN()+0)/3-1,0)))</f>
        <v/>
      </c>
      <c r="U204" s="127"/>
      <c r="V204" s="137"/>
      <c r="W204" s="58" t="str" cm="1">
        <f>IF(ISBLANK($A204),"",INDEX(Array_WaterCharges,MATCH($A204,List_WaterMeters,0),ROUNDUP((COLUMN()+0)/3-1,0)))</f>
        <v/>
      </c>
      <c r="X204" s="127"/>
      <c r="Y204" s="137"/>
      <c r="Z204" s="58" t="str" cm="1">
        <f>IF(ISBLANK($A204),"",INDEX(Array_WaterCharges,MATCH($A204,List_WaterMeters,0),ROUNDUP((COLUMN()+0)/3-1,0)))</f>
        <v/>
      </c>
      <c r="AA204" s="127"/>
      <c r="AB204" s="137"/>
      <c r="AC204" s="58" t="str" cm="1">
        <f>IF(ISBLANK($A204),"",INDEX(Array_WaterCharges,MATCH($A204,List_WaterMeters,0),ROUNDUP((COLUMN()+0)/3-1,0)))</f>
        <v/>
      </c>
      <c r="AD204" s="127"/>
      <c r="AE204" s="137"/>
      <c r="AF204" s="58" t="str" cm="1">
        <f>IF(ISBLANK($A204),"",INDEX(Array_WaterCharges,MATCH($A204,List_WaterMeters,0),ROUNDUP((COLUMN()+0)/3-1,0)))</f>
        <v/>
      </c>
      <c r="AG204" s="127"/>
      <c r="AH204" s="137"/>
    </row>
    <row r="205" spans="1:34" x14ac:dyDescent="0.3">
      <c r="A205" s="126"/>
      <c r="B205" s="133"/>
      <c r="C205" s="127"/>
      <c r="D205" s="137"/>
      <c r="E205" s="58" t="str" cm="1">
        <f>IF(ISBLANK($A205),"",INDEX(Array_WaterCharges,MATCH($A205,List_WaterMeters,0),ROUNDUP((COLUMN()+0)/3-1,0)))</f>
        <v/>
      </c>
      <c r="F205" s="127"/>
      <c r="G205" s="137"/>
      <c r="H205" s="58" t="str" cm="1">
        <f>IF(ISBLANK($A205),"",INDEX(Array_WaterCharges,MATCH($A205,List_WaterMeters,0),ROUNDUP((COLUMN()+0)/3-1,0)))</f>
        <v/>
      </c>
      <c r="I205" s="127"/>
      <c r="J205" s="137"/>
      <c r="K205" s="58" t="str" cm="1">
        <f>IF(ISBLANK($A205),"",INDEX(Array_WaterCharges,MATCH($A205,List_WaterMeters,0),ROUNDUP((COLUMN()+0)/3-1,0)))</f>
        <v/>
      </c>
      <c r="L205" s="127"/>
      <c r="M205" s="137"/>
      <c r="N205" s="58" t="str" cm="1">
        <f>IF(ISBLANK($A205),"",INDEX(Array_WaterCharges,MATCH($A205,List_WaterMeters,0),ROUNDUP((COLUMN()+0)/3-1,0)))</f>
        <v/>
      </c>
      <c r="O205" s="127"/>
      <c r="P205" s="137"/>
      <c r="Q205" s="58" t="str" cm="1">
        <f>IF(ISBLANK($A205),"",INDEX(Array_WaterCharges,MATCH($A205,List_WaterMeters,0),ROUNDUP((COLUMN()+0)/3-1,0)))</f>
        <v/>
      </c>
      <c r="R205" s="127"/>
      <c r="S205" s="137"/>
      <c r="T205" s="58" t="str" cm="1">
        <f>IF(ISBLANK($A205),"",INDEX(Array_WaterCharges,MATCH($A205,List_WaterMeters,0),ROUNDUP((COLUMN()+0)/3-1,0)))</f>
        <v/>
      </c>
      <c r="U205" s="127"/>
      <c r="V205" s="137"/>
      <c r="W205" s="58" t="str" cm="1">
        <f>IF(ISBLANK($A205),"",INDEX(Array_WaterCharges,MATCH($A205,List_WaterMeters,0),ROUNDUP((COLUMN()+0)/3-1,0)))</f>
        <v/>
      </c>
      <c r="X205" s="127"/>
      <c r="Y205" s="137"/>
      <c r="Z205" s="58" t="str" cm="1">
        <f>IF(ISBLANK($A205),"",INDEX(Array_WaterCharges,MATCH($A205,List_WaterMeters,0),ROUNDUP((COLUMN()+0)/3-1,0)))</f>
        <v/>
      </c>
      <c r="AA205" s="127"/>
      <c r="AB205" s="137"/>
      <c r="AC205" s="58" t="str" cm="1">
        <f>IF(ISBLANK($A205),"",INDEX(Array_WaterCharges,MATCH($A205,List_WaterMeters,0),ROUNDUP((COLUMN()+0)/3-1,0)))</f>
        <v/>
      </c>
      <c r="AD205" s="127"/>
      <c r="AE205" s="137"/>
      <c r="AF205" s="58" t="str" cm="1">
        <f>IF(ISBLANK($A205),"",INDEX(Array_WaterCharges,MATCH($A205,List_WaterMeters,0),ROUNDUP((COLUMN()+0)/3-1,0)))</f>
        <v/>
      </c>
      <c r="AG205" s="127"/>
      <c r="AH205" s="137"/>
    </row>
    <row r="206" spans="1:34" x14ac:dyDescent="0.3">
      <c r="A206" s="126"/>
      <c r="B206" s="133"/>
      <c r="C206" s="127"/>
      <c r="D206" s="137"/>
      <c r="E206" s="58" t="str" cm="1">
        <f>IF(ISBLANK($A206),"",INDEX(Array_WaterCharges,MATCH($A206,List_WaterMeters,0),ROUNDUP((COLUMN()+0)/3-1,0)))</f>
        <v/>
      </c>
      <c r="F206" s="127"/>
      <c r="G206" s="137"/>
      <c r="H206" s="58" t="str" cm="1">
        <f>IF(ISBLANK($A206),"",INDEX(Array_WaterCharges,MATCH($A206,List_WaterMeters,0),ROUNDUP((COLUMN()+0)/3-1,0)))</f>
        <v/>
      </c>
      <c r="I206" s="127"/>
      <c r="J206" s="137"/>
      <c r="K206" s="58" t="str" cm="1">
        <f>IF(ISBLANK($A206),"",INDEX(Array_WaterCharges,MATCH($A206,List_WaterMeters,0),ROUNDUP((COLUMN()+0)/3-1,0)))</f>
        <v/>
      </c>
      <c r="L206" s="127"/>
      <c r="M206" s="137"/>
      <c r="N206" s="58" t="str" cm="1">
        <f>IF(ISBLANK($A206),"",INDEX(Array_WaterCharges,MATCH($A206,List_WaterMeters,0),ROUNDUP((COLUMN()+0)/3-1,0)))</f>
        <v/>
      </c>
      <c r="O206" s="127"/>
      <c r="P206" s="137"/>
      <c r="Q206" s="58" t="str" cm="1">
        <f>IF(ISBLANK($A206),"",INDEX(Array_WaterCharges,MATCH($A206,List_WaterMeters,0),ROUNDUP((COLUMN()+0)/3-1,0)))</f>
        <v/>
      </c>
      <c r="R206" s="127"/>
      <c r="S206" s="137"/>
      <c r="T206" s="58" t="str" cm="1">
        <f>IF(ISBLANK($A206),"",INDEX(Array_WaterCharges,MATCH($A206,List_WaterMeters,0),ROUNDUP((COLUMN()+0)/3-1,0)))</f>
        <v/>
      </c>
      <c r="U206" s="127"/>
      <c r="V206" s="137"/>
      <c r="W206" s="58" t="str" cm="1">
        <f>IF(ISBLANK($A206),"",INDEX(Array_WaterCharges,MATCH($A206,List_WaterMeters,0),ROUNDUP((COLUMN()+0)/3-1,0)))</f>
        <v/>
      </c>
      <c r="X206" s="127"/>
      <c r="Y206" s="137"/>
      <c r="Z206" s="58" t="str" cm="1">
        <f>IF(ISBLANK($A206),"",INDEX(Array_WaterCharges,MATCH($A206,List_WaterMeters,0),ROUNDUP((COLUMN()+0)/3-1,0)))</f>
        <v/>
      </c>
      <c r="AA206" s="127"/>
      <c r="AB206" s="137"/>
      <c r="AC206" s="58" t="str" cm="1">
        <f>IF(ISBLANK($A206),"",INDEX(Array_WaterCharges,MATCH($A206,List_WaterMeters,0),ROUNDUP((COLUMN()+0)/3-1,0)))</f>
        <v/>
      </c>
      <c r="AD206" s="127"/>
      <c r="AE206" s="137"/>
      <c r="AF206" s="58" t="str" cm="1">
        <f>IF(ISBLANK($A206),"",INDEX(Array_WaterCharges,MATCH($A206,List_WaterMeters,0),ROUNDUP((COLUMN()+0)/3-1,0)))</f>
        <v/>
      </c>
      <c r="AG206" s="127"/>
      <c r="AH206" s="137"/>
    </row>
    <row r="207" spans="1:34" x14ac:dyDescent="0.3">
      <c r="A207" s="126"/>
      <c r="B207" s="133"/>
      <c r="C207" s="127"/>
      <c r="D207" s="137"/>
      <c r="E207" s="58" t="str" cm="1">
        <f>IF(ISBLANK($A207),"",INDEX(Array_WaterCharges,MATCH($A207,List_WaterMeters,0),ROUNDUP((COLUMN()+0)/3-1,0)))</f>
        <v/>
      </c>
      <c r="F207" s="127"/>
      <c r="G207" s="137"/>
      <c r="H207" s="58" t="str" cm="1">
        <f>IF(ISBLANK($A207),"",INDEX(Array_WaterCharges,MATCH($A207,List_WaterMeters,0),ROUNDUP((COLUMN()+0)/3-1,0)))</f>
        <v/>
      </c>
      <c r="I207" s="127"/>
      <c r="J207" s="137"/>
      <c r="K207" s="58" t="str" cm="1">
        <f>IF(ISBLANK($A207),"",INDEX(Array_WaterCharges,MATCH($A207,List_WaterMeters,0),ROUNDUP((COLUMN()+0)/3-1,0)))</f>
        <v/>
      </c>
      <c r="L207" s="127"/>
      <c r="M207" s="137"/>
      <c r="N207" s="58" t="str" cm="1">
        <f>IF(ISBLANK($A207),"",INDEX(Array_WaterCharges,MATCH($A207,List_WaterMeters,0),ROUNDUP((COLUMN()+0)/3-1,0)))</f>
        <v/>
      </c>
      <c r="O207" s="127"/>
      <c r="P207" s="137"/>
      <c r="Q207" s="58" t="str" cm="1">
        <f>IF(ISBLANK($A207),"",INDEX(Array_WaterCharges,MATCH($A207,List_WaterMeters,0),ROUNDUP((COLUMN()+0)/3-1,0)))</f>
        <v/>
      </c>
      <c r="R207" s="127"/>
      <c r="S207" s="137"/>
      <c r="T207" s="58" t="str" cm="1">
        <f>IF(ISBLANK($A207),"",INDEX(Array_WaterCharges,MATCH($A207,List_WaterMeters,0),ROUNDUP((COLUMN()+0)/3-1,0)))</f>
        <v/>
      </c>
      <c r="U207" s="127"/>
      <c r="V207" s="137"/>
      <c r="W207" s="58" t="str" cm="1">
        <f>IF(ISBLANK($A207),"",INDEX(Array_WaterCharges,MATCH($A207,List_WaterMeters,0),ROUNDUP((COLUMN()+0)/3-1,0)))</f>
        <v/>
      </c>
      <c r="X207" s="127"/>
      <c r="Y207" s="137"/>
      <c r="Z207" s="58" t="str" cm="1">
        <f>IF(ISBLANK($A207),"",INDEX(Array_WaterCharges,MATCH($A207,List_WaterMeters,0),ROUNDUP((COLUMN()+0)/3-1,0)))</f>
        <v/>
      </c>
      <c r="AA207" s="127"/>
      <c r="AB207" s="137"/>
      <c r="AC207" s="58" t="str" cm="1">
        <f>IF(ISBLANK($A207),"",INDEX(Array_WaterCharges,MATCH($A207,List_WaterMeters,0),ROUNDUP((COLUMN()+0)/3-1,0)))</f>
        <v/>
      </c>
      <c r="AD207" s="127"/>
      <c r="AE207" s="137"/>
      <c r="AF207" s="58" t="str" cm="1">
        <f>IF(ISBLANK($A207),"",INDEX(Array_WaterCharges,MATCH($A207,List_WaterMeters,0),ROUNDUP((COLUMN()+0)/3-1,0)))</f>
        <v/>
      </c>
      <c r="AG207" s="127"/>
      <c r="AH207" s="137"/>
    </row>
    <row r="208" spans="1:34" x14ac:dyDescent="0.3">
      <c r="A208" s="126"/>
      <c r="B208" s="133"/>
      <c r="C208" s="127"/>
      <c r="D208" s="137"/>
      <c r="E208" s="58" t="str" cm="1">
        <f>IF(ISBLANK($A208),"",INDEX(Array_WaterCharges,MATCH($A208,List_WaterMeters,0),ROUNDUP((COLUMN()+0)/3-1,0)))</f>
        <v/>
      </c>
      <c r="F208" s="127"/>
      <c r="G208" s="137"/>
      <c r="H208" s="58" t="str" cm="1">
        <f>IF(ISBLANK($A208),"",INDEX(Array_WaterCharges,MATCH($A208,List_WaterMeters,0),ROUNDUP((COLUMN()+0)/3-1,0)))</f>
        <v/>
      </c>
      <c r="I208" s="127"/>
      <c r="J208" s="137"/>
      <c r="K208" s="58" t="str" cm="1">
        <f>IF(ISBLANK($A208),"",INDEX(Array_WaterCharges,MATCH($A208,List_WaterMeters,0),ROUNDUP((COLUMN()+0)/3-1,0)))</f>
        <v/>
      </c>
      <c r="L208" s="127"/>
      <c r="M208" s="137"/>
      <c r="N208" s="58" t="str" cm="1">
        <f>IF(ISBLANK($A208),"",INDEX(Array_WaterCharges,MATCH($A208,List_WaterMeters,0),ROUNDUP((COLUMN()+0)/3-1,0)))</f>
        <v/>
      </c>
      <c r="O208" s="127"/>
      <c r="P208" s="137"/>
      <c r="Q208" s="58" t="str" cm="1">
        <f>IF(ISBLANK($A208),"",INDEX(Array_WaterCharges,MATCH($A208,List_WaterMeters,0),ROUNDUP((COLUMN()+0)/3-1,0)))</f>
        <v/>
      </c>
      <c r="R208" s="127"/>
      <c r="S208" s="137"/>
      <c r="T208" s="58" t="str" cm="1">
        <f>IF(ISBLANK($A208),"",INDEX(Array_WaterCharges,MATCH($A208,List_WaterMeters,0),ROUNDUP((COLUMN()+0)/3-1,0)))</f>
        <v/>
      </c>
      <c r="U208" s="127"/>
      <c r="V208" s="137"/>
      <c r="W208" s="58" t="str" cm="1">
        <f>IF(ISBLANK($A208),"",INDEX(Array_WaterCharges,MATCH($A208,List_WaterMeters,0),ROUNDUP((COLUMN()+0)/3-1,0)))</f>
        <v/>
      </c>
      <c r="X208" s="127"/>
      <c r="Y208" s="137"/>
      <c r="Z208" s="58" t="str" cm="1">
        <f>IF(ISBLANK($A208),"",INDEX(Array_WaterCharges,MATCH($A208,List_WaterMeters,0),ROUNDUP((COLUMN()+0)/3-1,0)))</f>
        <v/>
      </c>
      <c r="AA208" s="127"/>
      <c r="AB208" s="137"/>
      <c r="AC208" s="58" t="str" cm="1">
        <f>IF(ISBLANK($A208),"",INDEX(Array_WaterCharges,MATCH($A208,List_WaterMeters,0),ROUNDUP((COLUMN()+0)/3-1,0)))</f>
        <v/>
      </c>
      <c r="AD208" s="127"/>
      <c r="AE208" s="137"/>
      <c r="AF208" s="58" t="str" cm="1">
        <f>IF(ISBLANK($A208),"",INDEX(Array_WaterCharges,MATCH($A208,List_WaterMeters,0),ROUNDUP((COLUMN()+0)/3-1,0)))</f>
        <v/>
      </c>
      <c r="AG208" s="127"/>
      <c r="AH208" s="137"/>
    </row>
    <row r="209" spans="1:34" x14ac:dyDescent="0.3">
      <c r="A209" s="126"/>
      <c r="B209" s="133"/>
      <c r="C209" s="127"/>
      <c r="D209" s="137"/>
      <c r="E209" s="58" t="str" cm="1">
        <f>IF(ISBLANK($A209),"",INDEX(Array_WaterCharges,MATCH($A209,List_WaterMeters,0),ROUNDUP((COLUMN()+0)/3-1,0)))</f>
        <v/>
      </c>
      <c r="F209" s="127"/>
      <c r="G209" s="137"/>
      <c r="H209" s="58" t="str" cm="1">
        <f>IF(ISBLANK($A209),"",INDEX(Array_WaterCharges,MATCH($A209,List_WaterMeters,0),ROUNDUP((COLUMN()+0)/3-1,0)))</f>
        <v/>
      </c>
      <c r="I209" s="127"/>
      <c r="J209" s="137"/>
      <c r="K209" s="58" t="str" cm="1">
        <f>IF(ISBLANK($A209),"",INDEX(Array_WaterCharges,MATCH($A209,List_WaterMeters,0),ROUNDUP((COLUMN()+0)/3-1,0)))</f>
        <v/>
      </c>
      <c r="L209" s="127"/>
      <c r="M209" s="137"/>
      <c r="N209" s="58" t="str" cm="1">
        <f>IF(ISBLANK($A209),"",INDEX(Array_WaterCharges,MATCH($A209,List_WaterMeters,0),ROUNDUP((COLUMN()+0)/3-1,0)))</f>
        <v/>
      </c>
      <c r="O209" s="127"/>
      <c r="P209" s="137"/>
      <c r="Q209" s="58" t="str" cm="1">
        <f>IF(ISBLANK($A209),"",INDEX(Array_WaterCharges,MATCH($A209,List_WaterMeters,0),ROUNDUP((COLUMN()+0)/3-1,0)))</f>
        <v/>
      </c>
      <c r="R209" s="127"/>
      <c r="S209" s="137"/>
      <c r="T209" s="58" t="str" cm="1">
        <f>IF(ISBLANK($A209),"",INDEX(Array_WaterCharges,MATCH($A209,List_WaterMeters,0),ROUNDUP((COLUMN()+0)/3-1,0)))</f>
        <v/>
      </c>
      <c r="U209" s="127"/>
      <c r="V209" s="137"/>
      <c r="W209" s="58" t="str" cm="1">
        <f>IF(ISBLANK($A209),"",INDEX(Array_WaterCharges,MATCH($A209,List_WaterMeters,0),ROUNDUP((COLUMN()+0)/3-1,0)))</f>
        <v/>
      </c>
      <c r="X209" s="127"/>
      <c r="Y209" s="137"/>
      <c r="Z209" s="58" t="str" cm="1">
        <f>IF(ISBLANK($A209),"",INDEX(Array_WaterCharges,MATCH($A209,List_WaterMeters,0),ROUNDUP((COLUMN()+0)/3-1,0)))</f>
        <v/>
      </c>
      <c r="AA209" s="127"/>
      <c r="AB209" s="137"/>
      <c r="AC209" s="58" t="str" cm="1">
        <f>IF(ISBLANK($A209),"",INDEX(Array_WaterCharges,MATCH($A209,List_WaterMeters,0),ROUNDUP((COLUMN()+0)/3-1,0)))</f>
        <v/>
      </c>
      <c r="AD209" s="127"/>
      <c r="AE209" s="137"/>
      <c r="AF209" s="58" t="str" cm="1">
        <f>IF(ISBLANK($A209),"",INDEX(Array_WaterCharges,MATCH($A209,List_WaterMeters,0),ROUNDUP((COLUMN()+0)/3-1,0)))</f>
        <v/>
      </c>
      <c r="AG209" s="127"/>
      <c r="AH209" s="137"/>
    </row>
    <row r="210" spans="1:34" x14ac:dyDescent="0.3">
      <c r="A210" s="126"/>
      <c r="B210" s="133"/>
      <c r="C210" s="127"/>
      <c r="D210" s="137"/>
      <c r="E210" s="58" t="str" cm="1">
        <f>IF(ISBLANK($A210),"",INDEX(Array_WaterCharges,MATCH($A210,List_WaterMeters,0),ROUNDUP((COLUMN()+0)/3-1,0)))</f>
        <v/>
      </c>
      <c r="F210" s="127"/>
      <c r="G210" s="137"/>
      <c r="H210" s="58" t="str" cm="1">
        <f>IF(ISBLANK($A210),"",INDEX(Array_WaterCharges,MATCH($A210,List_WaterMeters,0),ROUNDUP((COLUMN()+0)/3-1,0)))</f>
        <v/>
      </c>
      <c r="I210" s="127"/>
      <c r="J210" s="137"/>
      <c r="K210" s="58" t="str" cm="1">
        <f>IF(ISBLANK($A210),"",INDEX(Array_WaterCharges,MATCH($A210,List_WaterMeters,0),ROUNDUP((COLUMN()+0)/3-1,0)))</f>
        <v/>
      </c>
      <c r="L210" s="127"/>
      <c r="M210" s="137"/>
      <c r="N210" s="58" t="str" cm="1">
        <f>IF(ISBLANK($A210),"",INDEX(Array_WaterCharges,MATCH($A210,List_WaterMeters,0),ROUNDUP((COLUMN()+0)/3-1,0)))</f>
        <v/>
      </c>
      <c r="O210" s="127"/>
      <c r="P210" s="137"/>
      <c r="Q210" s="58" t="str" cm="1">
        <f>IF(ISBLANK($A210),"",INDEX(Array_WaterCharges,MATCH($A210,List_WaterMeters,0),ROUNDUP((COLUMN()+0)/3-1,0)))</f>
        <v/>
      </c>
      <c r="R210" s="127"/>
      <c r="S210" s="137"/>
      <c r="T210" s="58" t="str" cm="1">
        <f>IF(ISBLANK($A210),"",INDEX(Array_WaterCharges,MATCH($A210,List_WaterMeters,0),ROUNDUP((COLUMN()+0)/3-1,0)))</f>
        <v/>
      </c>
      <c r="U210" s="127"/>
      <c r="V210" s="137"/>
      <c r="W210" s="58" t="str" cm="1">
        <f>IF(ISBLANK($A210),"",INDEX(Array_WaterCharges,MATCH($A210,List_WaterMeters,0),ROUNDUP((COLUMN()+0)/3-1,0)))</f>
        <v/>
      </c>
      <c r="X210" s="127"/>
      <c r="Y210" s="137"/>
      <c r="Z210" s="58" t="str" cm="1">
        <f>IF(ISBLANK($A210),"",INDEX(Array_WaterCharges,MATCH($A210,List_WaterMeters,0),ROUNDUP((COLUMN()+0)/3-1,0)))</f>
        <v/>
      </c>
      <c r="AA210" s="127"/>
      <c r="AB210" s="137"/>
      <c r="AC210" s="58" t="str" cm="1">
        <f>IF(ISBLANK($A210),"",INDEX(Array_WaterCharges,MATCH($A210,List_WaterMeters,0),ROUNDUP((COLUMN()+0)/3-1,0)))</f>
        <v/>
      </c>
      <c r="AD210" s="127"/>
      <c r="AE210" s="137"/>
      <c r="AF210" s="58" t="str" cm="1">
        <f>IF(ISBLANK($A210),"",INDEX(Array_WaterCharges,MATCH($A210,List_WaterMeters,0),ROUNDUP((COLUMN()+0)/3-1,0)))</f>
        <v/>
      </c>
      <c r="AG210" s="127"/>
      <c r="AH210" s="137"/>
    </row>
    <row r="211" spans="1:34" x14ac:dyDescent="0.3">
      <c r="A211" s="126"/>
      <c r="B211" s="133"/>
      <c r="C211" s="127"/>
      <c r="D211" s="137"/>
      <c r="E211" s="58" t="str" cm="1">
        <f>IF(ISBLANK($A211),"",INDEX(Array_WaterCharges,MATCH($A211,List_WaterMeters,0),ROUNDUP((COLUMN()+0)/3-1,0)))</f>
        <v/>
      </c>
      <c r="F211" s="127"/>
      <c r="G211" s="137"/>
      <c r="H211" s="58" t="str" cm="1">
        <f>IF(ISBLANK($A211),"",INDEX(Array_WaterCharges,MATCH($A211,List_WaterMeters,0),ROUNDUP((COLUMN()+0)/3-1,0)))</f>
        <v/>
      </c>
      <c r="I211" s="127"/>
      <c r="J211" s="137"/>
      <c r="K211" s="58" t="str" cm="1">
        <f>IF(ISBLANK($A211),"",INDEX(Array_WaterCharges,MATCH($A211,List_WaterMeters,0),ROUNDUP((COLUMN()+0)/3-1,0)))</f>
        <v/>
      </c>
      <c r="L211" s="127"/>
      <c r="M211" s="137"/>
      <c r="N211" s="58" t="str" cm="1">
        <f>IF(ISBLANK($A211),"",INDEX(Array_WaterCharges,MATCH($A211,List_WaterMeters,0),ROUNDUP((COLUMN()+0)/3-1,0)))</f>
        <v/>
      </c>
      <c r="O211" s="127"/>
      <c r="P211" s="137"/>
      <c r="Q211" s="58" t="str" cm="1">
        <f>IF(ISBLANK($A211),"",INDEX(Array_WaterCharges,MATCH($A211,List_WaterMeters,0),ROUNDUP((COLUMN()+0)/3-1,0)))</f>
        <v/>
      </c>
      <c r="R211" s="127"/>
      <c r="S211" s="137"/>
      <c r="T211" s="58" t="str" cm="1">
        <f>IF(ISBLANK($A211),"",INDEX(Array_WaterCharges,MATCH($A211,List_WaterMeters,0),ROUNDUP((COLUMN()+0)/3-1,0)))</f>
        <v/>
      </c>
      <c r="U211" s="127"/>
      <c r="V211" s="137"/>
      <c r="W211" s="58" t="str" cm="1">
        <f>IF(ISBLANK($A211),"",INDEX(Array_WaterCharges,MATCH($A211,List_WaterMeters,0),ROUNDUP((COLUMN()+0)/3-1,0)))</f>
        <v/>
      </c>
      <c r="X211" s="127"/>
      <c r="Y211" s="137"/>
      <c r="Z211" s="58" t="str" cm="1">
        <f>IF(ISBLANK($A211),"",INDEX(Array_WaterCharges,MATCH($A211,List_WaterMeters,0),ROUNDUP((COLUMN()+0)/3-1,0)))</f>
        <v/>
      </c>
      <c r="AA211" s="127"/>
      <c r="AB211" s="137"/>
      <c r="AC211" s="58" t="str" cm="1">
        <f>IF(ISBLANK($A211),"",INDEX(Array_WaterCharges,MATCH($A211,List_WaterMeters,0),ROUNDUP((COLUMN()+0)/3-1,0)))</f>
        <v/>
      </c>
      <c r="AD211" s="127"/>
      <c r="AE211" s="137"/>
      <c r="AF211" s="58" t="str" cm="1">
        <f>IF(ISBLANK($A211),"",INDEX(Array_WaterCharges,MATCH($A211,List_WaterMeters,0),ROUNDUP((COLUMN()+0)/3-1,0)))</f>
        <v/>
      </c>
      <c r="AG211" s="127"/>
      <c r="AH211" s="137"/>
    </row>
    <row r="212" spans="1:34" x14ac:dyDescent="0.3">
      <c r="A212" s="126"/>
      <c r="B212" s="133"/>
      <c r="C212" s="127"/>
      <c r="D212" s="137"/>
      <c r="E212" s="58" t="str" cm="1">
        <f>IF(ISBLANK($A212),"",INDEX(Array_WaterCharges,MATCH($A212,List_WaterMeters,0),ROUNDUP((COLUMN()+0)/3-1,0)))</f>
        <v/>
      </c>
      <c r="F212" s="127"/>
      <c r="G212" s="137"/>
      <c r="H212" s="58" t="str" cm="1">
        <f>IF(ISBLANK($A212),"",INDEX(Array_WaterCharges,MATCH($A212,List_WaterMeters,0),ROUNDUP((COLUMN()+0)/3-1,0)))</f>
        <v/>
      </c>
      <c r="I212" s="127"/>
      <c r="J212" s="137"/>
      <c r="K212" s="58" t="str" cm="1">
        <f>IF(ISBLANK($A212),"",INDEX(Array_WaterCharges,MATCH($A212,List_WaterMeters,0),ROUNDUP((COLUMN()+0)/3-1,0)))</f>
        <v/>
      </c>
      <c r="L212" s="127"/>
      <c r="M212" s="137"/>
      <c r="N212" s="58" t="str" cm="1">
        <f>IF(ISBLANK($A212),"",INDEX(Array_WaterCharges,MATCH($A212,List_WaterMeters,0),ROUNDUP((COLUMN()+0)/3-1,0)))</f>
        <v/>
      </c>
      <c r="O212" s="127"/>
      <c r="P212" s="137"/>
      <c r="Q212" s="58" t="str" cm="1">
        <f>IF(ISBLANK($A212),"",INDEX(Array_WaterCharges,MATCH($A212,List_WaterMeters,0),ROUNDUP((COLUMN()+0)/3-1,0)))</f>
        <v/>
      </c>
      <c r="R212" s="127"/>
      <c r="S212" s="137"/>
      <c r="T212" s="58" t="str" cm="1">
        <f>IF(ISBLANK($A212),"",INDEX(Array_WaterCharges,MATCH($A212,List_WaterMeters,0),ROUNDUP((COLUMN()+0)/3-1,0)))</f>
        <v/>
      </c>
      <c r="U212" s="127"/>
      <c r="V212" s="137"/>
      <c r="W212" s="58" t="str" cm="1">
        <f>IF(ISBLANK($A212),"",INDEX(Array_WaterCharges,MATCH($A212,List_WaterMeters,0),ROUNDUP((COLUMN()+0)/3-1,0)))</f>
        <v/>
      </c>
      <c r="X212" s="127"/>
      <c r="Y212" s="137"/>
      <c r="Z212" s="58" t="str" cm="1">
        <f>IF(ISBLANK($A212),"",INDEX(Array_WaterCharges,MATCH($A212,List_WaterMeters,0),ROUNDUP((COLUMN()+0)/3-1,0)))</f>
        <v/>
      </c>
      <c r="AA212" s="127"/>
      <c r="AB212" s="137"/>
      <c r="AC212" s="58" t="str" cm="1">
        <f>IF(ISBLANK($A212),"",INDEX(Array_WaterCharges,MATCH($A212,List_WaterMeters,0),ROUNDUP((COLUMN()+0)/3-1,0)))</f>
        <v/>
      </c>
      <c r="AD212" s="127"/>
      <c r="AE212" s="137"/>
      <c r="AF212" s="58" t="str" cm="1">
        <f>IF(ISBLANK($A212),"",INDEX(Array_WaterCharges,MATCH($A212,List_WaterMeters,0),ROUNDUP((COLUMN()+0)/3-1,0)))</f>
        <v/>
      </c>
      <c r="AG212" s="127"/>
      <c r="AH212" s="137"/>
    </row>
    <row r="213" spans="1:34" x14ac:dyDescent="0.3">
      <c r="A213" s="126"/>
      <c r="B213" s="133"/>
      <c r="C213" s="127"/>
      <c r="D213" s="137"/>
      <c r="E213" s="58" t="str" cm="1">
        <f>IF(ISBLANK($A213),"",INDEX(Array_WaterCharges,MATCH($A213,List_WaterMeters,0),ROUNDUP((COLUMN()+0)/3-1,0)))</f>
        <v/>
      </c>
      <c r="F213" s="127"/>
      <c r="G213" s="137"/>
      <c r="H213" s="58" t="str" cm="1">
        <f>IF(ISBLANK($A213),"",INDEX(Array_WaterCharges,MATCH($A213,List_WaterMeters,0),ROUNDUP((COLUMN()+0)/3-1,0)))</f>
        <v/>
      </c>
      <c r="I213" s="127"/>
      <c r="J213" s="137"/>
      <c r="K213" s="58" t="str" cm="1">
        <f>IF(ISBLANK($A213),"",INDEX(Array_WaterCharges,MATCH($A213,List_WaterMeters,0),ROUNDUP((COLUMN()+0)/3-1,0)))</f>
        <v/>
      </c>
      <c r="L213" s="127"/>
      <c r="M213" s="137"/>
      <c r="N213" s="58" t="str" cm="1">
        <f>IF(ISBLANK($A213),"",INDEX(Array_WaterCharges,MATCH($A213,List_WaterMeters,0),ROUNDUP((COLUMN()+0)/3-1,0)))</f>
        <v/>
      </c>
      <c r="O213" s="127"/>
      <c r="P213" s="137"/>
      <c r="Q213" s="58" t="str" cm="1">
        <f>IF(ISBLANK($A213),"",INDEX(Array_WaterCharges,MATCH($A213,List_WaterMeters,0),ROUNDUP((COLUMN()+0)/3-1,0)))</f>
        <v/>
      </c>
      <c r="R213" s="127"/>
      <c r="S213" s="137"/>
      <c r="T213" s="58" t="str" cm="1">
        <f>IF(ISBLANK($A213),"",INDEX(Array_WaterCharges,MATCH($A213,List_WaterMeters,0),ROUNDUP((COLUMN()+0)/3-1,0)))</f>
        <v/>
      </c>
      <c r="U213" s="127"/>
      <c r="V213" s="137"/>
      <c r="W213" s="58" t="str" cm="1">
        <f>IF(ISBLANK($A213),"",INDEX(Array_WaterCharges,MATCH($A213,List_WaterMeters,0),ROUNDUP((COLUMN()+0)/3-1,0)))</f>
        <v/>
      </c>
      <c r="X213" s="127"/>
      <c r="Y213" s="137"/>
      <c r="Z213" s="58" t="str" cm="1">
        <f>IF(ISBLANK($A213),"",INDEX(Array_WaterCharges,MATCH($A213,List_WaterMeters,0),ROUNDUP((COLUMN()+0)/3-1,0)))</f>
        <v/>
      </c>
      <c r="AA213" s="127"/>
      <c r="AB213" s="137"/>
      <c r="AC213" s="58" t="str" cm="1">
        <f>IF(ISBLANK($A213),"",INDEX(Array_WaterCharges,MATCH($A213,List_WaterMeters,0),ROUNDUP((COLUMN()+0)/3-1,0)))</f>
        <v/>
      </c>
      <c r="AD213" s="127"/>
      <c r="AE213" s="137"/>
      <c r="AF213" s="58" t="str" cm="1">
        <f>IF(ISBLANK($A213),"",INDEX(Array_WaterCharges,MATCH($A213,List_WaterMeters,0),ROUNDUP((COLUMN()+0)/3-1,0)))</f>
        <v/>
      </c>
      <c r="AG213" s="127"/>
      <c r="AH213" s="137"/>
    </row>
    <row r="214" spans="1:34" x14ac:dyDescent="0.3">
      <c r="A214" s="126"/>
      <c r="B214" s="133"/>
      <c r="C214" s="127"/>
      <c r="D214" s="137"/>
      <c r="E214" s="58" t="str" cm="1">
        <f>IF(ISBLANK($A214),"",INDEX(Array_WaterCharges,MATCH($A214,List_WaterMeters,0),ROUNDUP((COLUMN()+0)/3-1,0)))</f>
        <v/>
      </c>
      <c r="F214" s="127"/>
      <c r="G214" s="137"/>
      <c r="H214" s="58" t="str" cm="1">
        <f>IF(ISBLANK($A214),"",INDEX(Array_WaterCharges,MATCH($A214,List_WaterMeters,0),ROUNDUP((COLUMN()+0)/3-1,0)))</f>
        <v/>
      </c>
      <c r="I214" s="127"/>
      <c r="J214" s="137"/>
      <c r="K214" s="58" t="str" cm="1">
        <f>IF(ISBLANK($A214),"",INDEX(Array_WaterCharges,MATCH($A214,List_WaterMeters,0),ROUNDUP((COLUMN()+0)/3-1,0)))</f>
        <v/>
      </c>
      <c r="L214" s="127"/>
      <c r="M214" s="137"/>
      <c r="N214" s="58" t="str" cm="1">
        <f>IF(ISBLANK($A214),"",INDEX(Array_WaterCharges,MATCH($A214,List_WaterMeters,0),ROUNDUP((COLUMN()+0)/3-1,0)))</f>
        <v/>
      </c>
      <c r="O214" s="127"/>
      <c r="P214" s="137"/>
      <c r="Q214" s="58" t="str" cm="1">
        <f>IF(ISBLANK($A214),"",INDEX(Array_WaterCharges,MATCH($A214,List_WaterMeters,0),ROUNDUP((COLUMN()+0)/3-1,0)))</f>
        <v/>
      </c>
      <c r="R214" s="127"/>
      <c r="S214" s="137"/>
      <c r="T214" s="58" t="str" cm="1">
        <f>IF(ISBLANK($A214),"",INDEX(Array_WaterCharges,MATCH($A214,List_WaterMeters,0),ROUNDUP((COLUMN()+0)/3-1,0)))</f>
        <v/>
      </c>
      <c r="U214" s="127"/>
      <c r="V214" s="137"/>
      <c r="W214" s="58" t="str" cm="1">
        <f>IF(ISBLANK($A214),"",INDEX(Array_WaterCharges,MATCH($A214,List_WaterMeters,0),ROUNDUP((COLUMN()+0)/3-1,0)))</f>
        <v/>
      </c>
      <c r="X214" s="127"/>
      <c r="Y214" s="137"/>
      <c r="Z214" s="58" t="str" cm="1">
        <f>IF(ISBLANK($A214),"",INDEX(Array_WaterCharges,MATCH($A214,List_WaterMeters,0),ROUNDUP((COLUMN()+0)/3-1,0)))</f>
        <v/>
      </c>
      <c r="AA214" s="127"/>
      <c r="AB214" s="137"/>
      <c r="AC214" s="58" t="str" cm="1">
        <f>IF(ISBLANK($A214),"",INDEX(Array_WaterCharges,MATCH($A214,List_WaterMeters,0),ROUNDUP((COLUMN()+0)/3-1,0)))</f>
        <v/>
      </c>
      <c r="AD214" s="127"/>
      <c r="AE214" s="137"/>
      <c r="AF214" s="58" t="str" cm="1">
        <f>IF(ISBLANK($A214),"",INDEX(Array_WaterCharges,MATCH($A214,List_WaterMeters,0),ROUNDUP((COLUMN()+0)/3-1,0)))</f>
        <v/>
      </c>
      <c r="AG214" s="127"/>
      <c r="AH214" s="137"/>
    </row>
    <row r="215" spans="1:34" x14ac:dyDescent="0.3">
      <c r="A215" s="126"/>
      <c r="B215" s="133"/>
      <c r="C215" s="127"/>
      <c r="D215" s="137"/>
      <c r="E215" s="58" t="str" cm="1">
        <f>IF(ISBLANK($A215),"",INDEX(Array_WaterCharges,MATCH($A215,List_WaterMeters,0),ROUNDUP((COLUMN()+0)/3-1,0)))</f>
        <v/>
      </c>
      <c r="F215" s="127"/>
      <c r="G215" s="137"/>
      <c r="H215" s="58" t="str" cm="1">
        <f>IF(ISBLANK($A215),"",INDEX(Array_WaterCharges,MATCH($A215,List_WaterMeters,0),ROUNDUP((COLUMN()+0)/3-1,0)))</f>
        <v/>
      </c>
      <c r="I215" s="127"/>
      <c r="J215" s="137"/>
      <c r="K215" s="58" t="str" cm="1">
        <f>IF(ISBLANK($A215),"",INDEX(Array_WaterCharges,MATCH($A215,List_WaterMeters,0),ROUNDUP((COLUMN()+0)/3-1,0)))</f>
        <v/>
      </c>
      <c r="L215" s="127"/>
      <c r="M215" s="137"/>
      <c r="N215" s="58" t="str" cm="1">
        <f>IF(ISBLANK($A215),"",INDEX(Array_WaterCharges,MATCH($A215,List_WaterMeters,0),ROUNDUP((COLUMN()+0)/3-1,0)))</f>
        <v/>
      </c>
      <c r="O215" s="127"/>
      <c r="P215" s="137"/>
      <c r="Q215" s="58" t="str" cm="1">
        <f>IF(ISBLANK($A215),"",INDEX(Array_WaterCharges,MATCH($A215,List_WaterMeters,0),ROUNDUP((COLUMN()+0)/3-1,0)))</f>
        <v/>
      </c>
      <c r="R215" s="127"/>
      <c r="S215" s="137"/>
      <c r="T215" s="58" t="str" cm="1">
        <f>IF(ISBLANK($A215),"",INDEX(Array_WaterCharges,MATCH($A215,List_WaterMeters,0),ROUNDUP((COLUMN()+0)/3-1,0)))</f>
        <v/>
      </c>
      <c r="U215" s="127"/>
      <c r="V215" s="137"/>
      <c r="W215" s="58" t="str" cm="1">
        <f>IF(ISBLANK($A215),"",INDEX(Array_WaterCharges,MATCH($A215,List_WaterMeters,0),ROUNDUP((COLUMN()+0)/3-1,0)))</f>
        <v/>
      </c>
      <c r="X215" s="127"/>
      <c r="Y215" s="137"/>
      <c r="Z215" s="58" t="str" cm="1">
        <f>IF(ISBLANK($A215),"",INDEX(Array_WaterCharges,MATCH($A215,List_WaterMeters,0),ROUNDUP((COLUMN()+0)/3-1,0)))</f>
        <v/>
      </c>
      <c r="AA215" s="127"/>
      <c r="AB215" s="137"/>
      <c r="AC215" s="58" t="str" cm="1">
        <f>IF(ISBLANK($A215),"",INDEX(Array_WaterCharges,MATCH($A215,List_WaterMeters,0),ROUNDUP((COLUMN()+0)/3-1,0)))</f>
        <v/>
      </c>
      <c r="AD215" s="127"/>
      <c r="AE215" s="137"/>
      <c r="AF215" s="58" t="str" cm="1">
        <f>IF(ISBLANK($A215),"",INDEX(Array_WaterCharges,MATCH($A215,List_WaterMeters,0),ROUNDUP((COLUMN()+0)/3-1,0)))</f>
        <v/>
      </c>
      <c r="AG215" s="127"/>
      <c r="AH215" s="137"/>
    </row>
    <row r="216" spans="1:34" x14ac:dyDescent="0.3">
      <c r="A216" s="126"/>
      <c r="B216" s="133"/>
      <c r="C216" s="127"/>
      <c r="D216" s="137"/>
      <c r="E216" s="58" t="str" cm="1">
        <f>IF(ISBLANK($A216),"",INDEX(Array_WaterCharges,MATCH($A216,List_WaterMeters,0),ROUNDUP((COLUMN()+0)/3-1,0)))</f>
        <v/>
      </c>
      <c r="F216" s="127"/>
      <c r="G216" s="137"/>
      <c r="H216" s="58" t="str" cm="1">
        <f>IF(ISBLANK($A216),"",INDEX(Array_WaterCharges,MATCH($A216,List_WaterMeters,0),ROUNDUP((COLUMN()+0)/3-1,0)))</f>
        <v/>
      </c>
      <c r="I216" s="127"/>
      <c r="J216" s="137"/>
      <c r="K216" s="58" t="str" cm="1">
        <f>IF(ISBLANK($A216),"",INDEX(Array_WaterCharges,MATCH($A216,List_WaterMeters,0),ROUNDUP((COLUMN()+0)/3-1,0)))</f>
        <v/>
      </c>
      <c r="L216" s="127"/>
      <c r="M216" s="137"/>
      <c r="N216" s="58" t="str" cm="1">
        <f>IF(ISBLANK($A216),"",INDEX(Array_WaterCharges,MATCH($A216,List_WaterMeters,0),ROUNDUP((COLUMN()+0)/3-1,0)))</f>
        <v/>
      </c>
      <c r="O216" s="127"/>
      <c r="P216" s="137"/>
      <c r="Q216" s="58" t="str" cm="1">
        <f>IF(ISBLANK($A216),"",INDEX(Array_WaterCharges,MATCH($A216,List_WaterMeters,0),ROUNDUP((COLUMN()+0)/3-1,0)))</f>
        <v/>
      </c>
      <c r="R216" s="127"/>
      <c r="S216" s="137"/>
      <c r="T216" s="58" t="str" cm="1">
        <f>IF(ISBLANK($A216),"",INDEX(Array_WaterCharges,MATCH($A216,List_WaterMeters,0),ROUNDUP((COLUMN()+0)/3-1,0)))</f>
        <v/>
      </c>
      <c r="U216" s="127"/>
      <c r="V216" s="137"/>
      <c r="W216" s="58" t="str" cm="1">
        <f>IF(ISBLANK($A216),"",INDEX(Array_WaterCharges,MATCH($A216,List_WaterMeters,0),ROUNDUP((COLUMN()+0)/3-1,0)))</f>
        <v/>
      </c>
      <c r="X216" s="127"/>
      <c r="Y216" s="137"/>
      <c r="Z216" s="58" t="str" cm="1">
        <f>IF(ISBLANK($A216),"",INDEX(Array_WaterCharges,MATCH($A216,List_WaterMeters,0),ROUNDUP((COLUMN()+0)/3-1,0)))</f>
        <v/>
      </c>
      <c r="AA216" s="127"/>
      <c r="AB216" s="137"/>
      <c r="AC216" s="58" t="str" cm="1">
        <f>IF(ISBLANK($A216),"",INDEX(Array_WaterCharges,MATCH($A216,List_WaterMeters,0),ROUNDUP((COLUMN()+0)/3-1,0)))</f>
        <v/>
      </c>
      <c r="AD216" s="127"/>
      <c r="AE216" s="137"/>
      <c r="AF216" s="58" t="str" cm="1">
        <f>IF(ISBLANK($A216),"",INDEX(Array_WaterCharges,MATCH($A216,List_WaterMeters,0),ROUNDUP((COLUMN()+0)/3-1,0)))</f>
        <v/>
      </c>
      <c r="AG216" s="127"/>
      <c r="AH216" s="137"/>
    </row>
    <row r="217" spans="1:34" x14ac:dyDescent="0.3">
      <c r="A217" s="126"/>
      <c r="B217" s="133"/>
      <c r="C217" s="127"/>
      <c r="D217" s="137"/>
      <c r="E217" s="58" t="str" cm="1">
        <f>IF(ISBLANK($A217),"",INDEX(Array_WaterCharges,MATCH($A217,List_WaterMeters,0),ROUNDUP((COLUMN()+0)/3-1,0)))</f>
        <v/>
      </c>
      <c r="F217" s="127"/>
      <c r="G217" s="137"/>
      <c r="H217" s="58" t="str" cm="1">
        <f>IF(ISBLANK($A217),"",INDEX(Array_WaterCharges,MATCH($A217,List_WaterMeters,0),ROUNDUP((COLUMN()+0)/3-1,0)))</f>
        <v/>
      </c>
      <c r="I217" s="127"/>
      <c r="J217" s="137"/>
      <c r="K217" s="58" t="str" cm="1">
        <f>IF(ISBLANK($A217),"",INDEX(Array_WaterCharges,MATCH($A217,List_WaterMeters,0),ROUNDUP((COLUMN()+0)/3-1,0)))</f>
        <v/>
      </c>
      <c r="L217" s="127"/>
      <c r="M217" s="137"/>
      <c r="N217" s="58" t="str" cm="1">
        <f>IF(ISBLANK($A217),"",INDEX(Array_WaterCharges,MATCH($A217,List_WaterMeters,0),ROUNDUP((COLUMN()+0)/3-1,0)))</f>
        <v/>
      </c>
      <c r="O217" s="127"/>
      <c r="P217" s="137"/>
      <c r="Q217" s="58" t="str" cm="1">
        <f>IF(ISBLANK($A217),"",INDEX(Array_WaterCharges,MATCH($A217,List_WaterMeters,0),ROUNDUP((COLUMN()+0)/3-1,0)))</f>
        <v/>
      </c>
      <c r="R217" s="127"/>
      <c r="S217" s="137"/>
      <c r="T217" s="58" t="str" cm="1">
        <f>IF(ISBLANK($A217),"",INDEX(Array_WaterCharges,MATCH($A217,List_WaterMeters,0),ROUNDUP((COLUMN()+0)/3-1,0)))</f>
        <v/>
      </c>
      <c r="U217" s="127"/>
      <c r="V217" s="137"/>
      <c r="W217" s="58" t="str" cm="1">
        <f>IF(ISBLANK($A217),"",INDEX(Array_WaterCharges,MATCH($A217,List_WaterMeters,0),ROUNDUP((COLUMN()+0)/3-1,0)))</f>
        <v/>
      </c>
      <c r="X217" s="127"/>
      <c r="Y217" s="137"/>
      <c r="Z217" s="58" t="str" cm="1">
        <f>IF(ISBLANK($A217),"",INDEX(Array_WaterCharges,MATCH($A217,List_WaterMeters,0),ROUNDUP((COLUMN()+0)/3-1,0)))</f>
        <v/>
      </c>
      <c r="AA217" s="127"/>
      <c r="AB217" s="137"/>
      <c r="AC217" s="58" t="str" cm="1">
        <f>IF(ISBLANK($A217),"",INDEX(Array_WaterCharges,MATCH($A217,List_WaterMeters,0),ROUNDUP((COLUMN()+0)/3-1,0)))</f>
        <v/>
      </c>
      <c r="AD217" s="127"/>
      <c r="AE217" s="137"/>
      <c r="AF217" s="58" t="str" cm="1">
        <f>IF(ISBLANK($A217),"",INDEX(Array_WaterCharges,MATCH($A217,List_WaterMeters,0),ROUNDUP((COLUMN()+0)/3-1,0)))</f>
        <v/>
      </c>
      <c r="AG217" s="127"/>
      <c r="AH217" s="137"/>
    </row>
    <row r="218" spans="1:34" x14ac:dyDescent="0.3">
      <c r="A218" s="126"/>
      <c r="B218" s="133"/>
      <c r="C218" s="127"/>
      <c r="D218" s="137"/>
      <c r="E218" s="58" t="str" cm="1">
        <f>IF(ISBLANK($A218),"",INDEX(Array_WaterCharges,MATCH($A218,List_WaterMeters,0),ROUNDUP((COLUMN()+0)/3-1,0)))</f>
        <v/>
      </c>
      <c r="F218" s="127"/>
      <c r="G218" s="137"/>
      <c r="H218" s="58" t="str" cm="1">
        <f>IF(ISBLANK($A218),"",INDEX(Array_WaterCharges,MATCH($A218,List_WaterMeters,0),ROUNDUP((COLUMN()+0)/3-1,0)))</f>
        <v/>
      </c>
      <c r="I218" s="127"/>
      <c r="J218" s="137"/>
      <c r="K218" s="58" t="str" cm="1">
        <f>IF(ISBLANK($A218),"",INDEX(Array_WaterCharges,MATCH($A218,List_WaterMeters,0),ROUNDUP((COLUMN()+0)/3-1,0)))</f>
        <v/>
      </c>
      <c r="L218" s="127"/>
      <c r="M218" s="137"/>
      <c r="N218" s="58" t="str" cm="1">
        <f>IF(ISBLANK($A218),"",INDEX(Array_WaterCharges,MATCH($A218,List_WaterMeters,0),ROUNDUP((COLUMN()+0)/3-1,0)))</f>
        <v/>
      </c>
      <c r="O218" s="127"/>
      <c r="P218" s="137"/>
      <c r="Q218" s="58" t="str" cm="1">
        <f>IF(ISBLANK($A218),"",INDEX(Array_WaterCharges,MATCH($A218,List_WaterMeters,0),ROUNDUP((COLUMN()+0)/3-1,0)))</f>
        <v/>
      </c>
      <c r="R218" s="127"/>
      <c r="S218" s="137"/>
      <c r="T218" s="58" t="str" cm="1">
        <f>IF(ISBLANK($A218),"",INDEX(Array_WaterCharges,MATCH($A218,List_WaterMeters,0),ROUNDUP((COLUMN()+0)/3-1,0)))</f>
        <v/>
      </c>
      <c r="U218" s="127"/>
      <c r="V218" s="137"/>
      <c r="W218" s="58" t="str" cm="1">
        <f>IF(ISBLANK($A218),"",INDEX(Array_WaterCharges,MATCH($A218,List_WaterMeters,0),ROUNDUP((COLUMN()+0)/3-1,0)))</f>
        <v/>
      </c>
      <c r="X218" s="127"/>
      <c r="Y218" s="137"/>
      <c r="Z218" s="58" t="str" cm="1">
        <f>IF(ISBLANK($A218),"",INDEX(Array_WaterCharges,MATCH($A218,List_WaterMeters,0),ROUNDUP((COLUMN()+0)/3-1,0)))</f>
        <v/>
      </c>
      <c r="AA218" s="127"/>
      <c r="AB218" s="137"/>
      <c r="AC218" s="58" t="str" cm="1">
        <f>IF(ISBLANK($A218),"",INDEX(Array_WaterCharges,MATCH($A218,List_WaterMeters,0),ROUNDUP((COLUMN()+0)/3-1,0)))</f>
        <v/>
      </c>
      <c r="AD218" s="127"/>
      <c r="AE218" s="137"/>
      <c r="AF218" s="58" t="str" cm="1">
        <f>IF(ISBLANK($A218),"",INDEX(Array_WaterCharges,MATCH($A218,List_WaterMeters,0),ROUNDUP((COLUMN()+0)/3-1,0)))</f>
        <v/>
      </c>
      <c r="AG218" s="127"/>
      <c r="AH218" s="137"/>
    </row>
    <row r="219" spans="1:34" x14ac:dyDescent="0.3">
      <c r="A219" s="126"/>
      <c r="B219" s="133"/>
      <c r="C219" s="127"/>
      <c r="D219" s="137"/>
      <c r="E219" s="58" t="str" cm="1">
        <f>IF(ISBLANK($A219),"",INDEX(Array_WaterCharges,MATCH($A219,List_WaterMeters,0),ROUNDUP((COLUMN()+0)/3-1,0)))</f>
        <v/>
      </c>
      <c r="F219" s="127"/>
      <c r="G219" s="137"/>
      <c r="H219" s="58" t="str" cm="1">
        <f>IF(ISBLANK($A219),"",INDEX(Array_WaterCharges,MATCH($A219,List_WaterMeters,0),ROUNDUP((COLUMN()+0)/3-1,0)))</f>
        <v/>
      </c>
      <c r="I219" s="127"/>
      <c r="J219" s="137"/>
      <c r="K219" s="58" t="str" cm="1">
        <f>IF(ISBLANK($A219),"",INDEX(Array_WaterCharges,MATCH($A219,List_WaterMeters,0),ROUNDUP((COLUMN()+0)/3-1,0)))</f>
        <v/>
      </c>
      <c r="L219" s="127"/>
      <c r="M219" s="137"/>
      <c r="N219" s="58" t="str" cm="1">
        <f>IF(ISBLANK($A219),"",INDEX(Array_WaterCharges,MATCH($A219,List_WaterMeters,0),ROUNDUP((COLUMN()+0)/3-1,0)))</f>
        <v/>
      </c>
      <c r="O219" s="127"/>
      <c r="P219" s="137"/>
      <c r="Q219" s="58" t="str" cm="1">
        <f>IF(ISBLANK($A219),"",INDEX(Array_WaterCharges,MATCH($A219,List_WaterMeters,0),ROUNDUP((COLUMN()+0)/3-1,0)))</f>
        <v/>
      </c>
      <c r="R219" s="127"/>
      <c r="S219" s="137"/>
      <c r="T219" s="58" t="str" cm="1">
        <f>IF(ISBLANK($A219),"",INDEX(Array_WaterCharges,MATCH($A219,List_WaterMeters,0),ROUNDUP((COLUMN()+0)/3-1,0)))</f>
        <v/>
      </c>
      <c r="U219" s="127"/>
      <c r="V219" s="137"/>
      <c r="W219" s="58" t="str" cm="1">
        <f>IF(ISBLANK($A219),"",INDEX(Array_WaterCharges,MATCH($A219,List_WaterMeters,0),ROUNDUP((COLUMN()+0)/3-1,0)))</f>
        <v/>
      </c>
      <c r="X219" s="127"/>
      <c r="Y219" s="137"/>
      <c r="Z219" s="58" t="str" cm="1">
        <f>IF(ISBLANK($A219),"",INDEX(Array_WaterCharges,MATCH($A219,List_WaterMeters,0),ROUNDUP((COLUMN()+0)/3-1,0)))</f>
        <v/>
      </c>
      <c r="AA219" s="127"/>
      <c r="AB219" s="137"/>
      <c r="AC219" s="58" t="str" cm="1">
        <f>IF(ISBLANK($A219),"",INDEX(Array_WaterCharges,MATCH($A219,List_WaterMeters,0),ROUNDUP((COLUMN()+0)/3-1,0)))</f>
        <v/>
      </c>
      <c r="AD219" s="127"/>
      <c r="AE219" s="137"/>
      <c r="AF219" s="58" t="str" cm="1">
        <f>IF(ISBLANK($A219),"",INDEX(Array_WaterCharges,MATCH($A219,List_WaterMeters,0),ROUNDUP((COLUMN()+0)/3-1,0)))</f>
        <v/>
      </c>
      <c r="AG219" s="127"/>
      <c r="AH219" s="137"/>
    </row>
    <row r="220" spans="1:34" x14ac:dyDescent="0.3">
      <c r="A220" s="126"/>
      <c r="B220" s="133"/>
      <c r="C220" s="127"/>
      <c r="D220" s="137"/>
      <c r="E220" s="58" t="str" cm="1">
        <f>IF(ISBLANK($A220),"",INDEX(Array_WaterCharges,MATCH($A220,List_WaterMeters,0),ROUNDUP((COLUMN()+0)/3-1,0)))</f>
        <v/>
      </c>
      <c r="F220" s="127"/>
      <c r="G220" s="137"/>
      <c r="H220" s="58" t="str" cm="1">
        <f>IF(ISBLANK($A220),"",INDEX(Array_WaterCharges,MATCH($A220,List_WaterMeters,0),ROUNDUP((COLUMN()+0)/3-1,0)))</f>
        <v/>
      </c>
      <c r="I220" s="127"/>
      <c r="J220" s="137"/>
      <c r="K220" s="58" t="str" cm="1">
        <f>IF(ISBLANK($A220),"",INDEX(Array_WaterCharges,MATCH($A220,List_WaterMeters,0),ROUNDUP((COLUMN()+0)/3-1,0)))</f>
        <v/>
      </c>
      <c r="L220" s="127"/>
      <c r="M220" s="137"/>
      <c r="N220" s="58" t="str" cm="1">
        <f>IF(ISBLANK($A220),"",INDEX(Array_WaterCharges,MATCH($A220,List_WaterMeters,0),ROUNDUP((COLUMN()+0)/3-1,0)))</f>
        <v/>
      </c>
      <c r="O220" s="127"/>
      <c r="P220" s="137"/>
      <c r="Q220" s="58" t="str" cm="1">
        <f>IF(ISBLANK($A220),"",INDEX(Array_WaterCharges,MATCH($A220,List_WaterMeters,0),ROUNDUP((COLUMN()+0)/3-1,0)))</f>
        <v/>
      </c>
      <c r="R220" s="127"/>
      <c r="S220" s="137"/>
      <c r="T220" s="58" t="str" cm="1">
        <f>IF(ISBLANK($A220),"",INDEX(Array_WaterCharges,MATCH($A220,List_WaterMeters,0),ROUNDUP((COLUMN()+0)/3-1,0)))</f>
        <v/>
      </c>
      <c r="U220" s="127"/>
      <c r="V220" s="137"/>
      <c r="W220" s="58" t="str" cm="1">
        <f>IF(ISBLANK($A220),"",INDEX(Array_WaterCharges,MATCH($A220,List_WaterMeters,0),ROUNDUP((COLUMN()+0)/3-1,0)))</f>
        <v/>
      </c>
      <c r="X220" s="127"/>
      <c r="Y220" s="137"/>
      <c r="Z220" s="58" t="str" cm="1">
        <f>IF(ISBLANK($A220),"",INDEX(Array_WaterCharges,MATCH($A220,List_WaterMeters,0),ROUNDUP((COLUMN()+0)/3-1,0)))</f>
        <v/>
      </c>
      <c r="AA220" s="127"/>
      <c r="AB220" s="137"/>
      <c r="AC220" s="58" t="str" cm="1">
        <f>IF(ISBLANK($A220),"",INDEX(Array_WaterCharges,MATCH($A220,List_WaterMeters,0),ROUNDUP((COLUMN()+0)/3-1,0)))</f>
        <v/>
      </c>
      <c r="AD220" s="127"/>
      <c r="AE220" s="137"/>
      <c r="AF220" s="58" t="str" cm="1">
        <f>IF(ISBLANK($A220),"",INDEX(Array_WaterCharges,MATCH($A220,List_WaterMeters,0),ROUNDUP((COLUMN()+0)/3-1,0)))</f>
        <v/>
      </c>
      <c r="AG220" s="127"/>
      <c r="AH220" s="137"/>
    </row>
    <row r="221" spans="1:34" x14ac:dyDescent="0.3">
      <c r="A221" s="126"/>
      <c r="B221" s="133"/>
      <c r="C221" s="127"/>
      <c r="D221" s="137"/>
      <c r="E221" s="58" t="str" cm="1">
        <f>IF(ISBLANK($A221),"",INDEX(Array_WaterCharges,MATCH($A221,List_WaterMeters,0),ROUNDUP((COLUMN()+0)/3-1,0)))</f>
        <v/>
      </c>
      <c r="F221" s="127"/>
      <c r="G221" s="137"/>
      <c r="H221" s="58" t="str" cm="1">
        <f>IF(ISBLANK($A221),"",INDEX(Array_WaterCharges,MATCH($A221,List_WaterMeters,0),ROUNDUP((COLUMN()+0)/3-1,0)))</f>
        <v/>
      </c>
      <c r="I221" s="127"/>
      <c r="J221" s="137"/>
      <c r="K221" s="58" t="str" cm="1">
        <f>IF(ISBLANK($A221),"",INDEX(Array_WaterCharges,MATCH($A221,List_WaterMeters,0),ROUNDUP((COLUMN()+0)/3-1,0)))</f>
        <v/>
      </c>
      <c r="L221" s="127"/>
      <c r="M221" s="137"/>
      <c r="N221" s="58" t="str" cm="1">
        <f>IF(ISBLANK($A221),"",INDEX(Array_WaterCharges,MATCH($A221,List_WaterMeters,0),ROUNDUP((COLUMN()+0)/3-1,0)))</f>
        <v/>
      </c>
      <c r="O221" s="127"/>
      <c r="P221" s="137"/>
      <c r="Q221" s="58" t="str" cm="1">
        <f>IF(ISBLANK($A221),"",INDEX(Array_WaterCharges,MATCH($A221,List_WaterMeters,0),ROUNDUP((COLUMN()+0)/3-1,0)))</f>
        <v/>
      </c>
      <c r="R221" s="127"/>
      <c r="S221" s="137"/>
      <c r="T221" s="58" t="str" cm="1">
        <f>IF(ISBLANK($A221),"",INDEX(Array_WaterCharges,MATCH($A221,List_WaterMeters,0),ROUNDUP((COLUMN()+0)/3-1,0)))</f>
        <v/>
      </c>
      <c r="U221" s="127"/>
      <c r="V221" s="137"/>
      <c r="W221" s="58" t="str" cm="1">
        <f>IF(ISBLANK($A221),"",INDEX(Array_WaterCharges,MATCH($A221,List_WaterMeters,0),ROUNDUP((COLUMN()+0)/3-1,0)))</f>
        <v/>
      </c>
      <c r="X221" s="127"/>
      <c r="Y221" s="137"/>
      <c r="Z221" s="58" t="str" cm="1">
        <f>IF(ISBLANK($A221),"",INDEX(Array_WaterCharges,MATCH($A221,List_WaterMeters,0),ROUNDUP((COLUMN()+0)/3-1,0)))</f>
        <v/>
      </c>
      <c r="AA221" s="127"/>
      <c r="AB221" s="137"/>
      <c r="AC221" s="58" t="str" cm="1">
        <f>IF(ISBLANK($A221),"",INDEX(Array_WaterCharges,MATCH($A221,List_WaterMeters,0),ROUNDUP((COLUMN()+0)/3-1,0)))</f>
        <v/>
      </c>
      <c r="AD221" s="127"/>
      <c r="AE221" s="137"/>
      <c r="AF221" s="58" t="str" cm="1">
        <f>IF(ISBLANK($A221),"",INDEX(Array_WaterCharges,MATCH($A221,List_WaterMeters,0),ROUNDUP((COLUMN()+0)/3-1,0)))</f>
        <v/>
      </c>
      <c r="AG221" s="127"/>
      <c r="AH221" s="137"/>
    </row>
    <row r="222" spans="1:34" x14ac:dyDescent="0.3">
      <c r="A222" s="126"/>
      <c r="B222" s="133"/>
      <c r="C222" s="127"/>
      <c r="D222" s="137"/>
      <c r="E222" s="58" t="str" cm="1">
        <f>IF(ISBLANK($A222),"",INDEX(Array_WaterCharges,MATCH($A222,List_WaterMeters,0),ROUNDUP((COLUMN()+0)/3-1,0)))</f>
        <v/>
      </c>
      <c r="F222" s="127"/>
      <c r="G222" s="137"/>
      <c r="H222" s="58" t="str" cm="1">
        <f>IF(ISBLANK($A222),"",INDEX(Array_WaterCharges,MATCH($A222,List_WaterMeters,0),ROUNDUP((COLUMN()+0)/3-1,0)))</f>
        <v/>
      </c>
      <c r="I222" s="127"/>
      <c r="J222" s="137"/>
      <c r="K222" s="58" t="str" cm="1">
        <f>IF(ISBLANK($A222),"",INDEX(Array_WaterCharges,MATCH($A222,List_WaterMeters,0),ROUNDUP((COLUMN()+0)/3-1,0)))</f>
        <v/>
      </c>
      <c r="L222" s="127"/>
      <c r="M222" s="137"/>
      <c r="N222" s="58" t="str" cm="1">
        <f>IF(ISBLANK($A222),"",INDEX(Array_WaterCharges,MATCH($A222,List_WaterMeters,0),ROUNDUP((COLUMN()+0)/3-1,0)))</f>
        <v/>
      </c>
      <c r="O222" s="127"/>
      <c r="P222" s="137"/>
      <c r="Q222" s="58" t="str" cm="1">
        <f>IF(ISBLANK($A222),"",INDEX(Array_WaterCharges,MATCH($A222,List_WaterMeters,0),ROUNDUP((COLUMN()+0)/3-1,0)))</f>
        <v/>
      </c>
      <c r="R222" s="127"/>
      <c r="S222" s="137"/>
      <c r="T222" s="58" t="str" cm="1">
        <f>IF(ISBLANK($A222),"",INDEX(Array_WaterCharges,MATCH($A222,List_WaterMeters,0),ROUNDUP((COLUMN()+0)/3-1,0)))</f>
        <v/>
      </c>
      <c r="U222" s="127"/>
      <c r="V222" s="137"/>
      <c r="W222" s="58" t="str" cm="1">
        <f>IF(ISBLANK($A222),"",INDEX(Array_WaterCharges,MATCH($A222,List_WaterMeters,0),ROUNDUP((COLUMN()+0)/3-1,0)))</f>
        <v/>
      </c>
      <c r="X222" s="127"/>
      <c r="Y222" s="137"/>
      <c r="Z222" s="58" t="str" cm="1">
        <f>IF(ISBLANK($A222),"",INDEX(Array_WaterCharges,MATCH($A222,List_WaterMeters,0),ROUNDUP((COLUMN()+0)/3-1,0)))</f>
        <v/>
      </c>
      <c r="AA222" s="127"/>
      <c r="AB222" s="137"/>
      <c r="AC222" s="58" t="str" cm="1">
        <f>IF(ISBLANK($A222),"",INDEX(Array_WaterCharges,MATCH($A222,List_WaterMeters,0),ROUNDUP((COLUMN()+0)/3-1,0)))</f>
        <v/>
      </c>
      <c r="AD222" s="127"/>
      <c r="AE222" s="137"/>
      <c r="AF222" s="58" t="str" cm="1">
        <f>IF(ISBLANK($A222),"",INDEX(Array_WaterCharges,MATCH($A222,List_WaterMeters,0),ROUNDUP((COLUMN()+0)/3-1,0)))</f>
        <v/>
      </c>
      <c r="AG222" s="127"/>
      <c r="AH222" s="137"/>
    </row>
    <row r="223" spans="1:34" x14ac:dyDescent="0.3">
      <c r="A223" s="126"/>
      <c r="B223" s="133"/>
      <c r="C223" s="127"/>
      <c r="D223" s="137"/>
      <c r="E223" s="58" t="str" cm="1">
        <f>IF(ISBLANK($A223),"",INDEX(Array_WaterCharges,MATCH($A223,List_WaterMeters,0),ROUNDUP((COLUMN()+0)/3-1,0)))</f>
        <v/>
      </c>
      <c r="F223" s="127"/>
      <c r="G223" s="137"/>
      <c r="H223" s="58" t="str" cm="1">
        <f>IF(ISBLANK($A223),"",INDEX(Array_WaterCharges,MATCH($A223,List_WaterMeters,0),ROUNDUP((COLUMN()+0)/3-1,0)))</f>
        <v/>
      </c>
      <c r="I223" s="127"/>
      <c r="J223" s="137"/>
      <c r="K223" s="58" t="str" cm="1">
        <f>IF(ISBLANK($A223),"",INDEX(Array_WaterCharges,MATCH($A223,List_WaterMeters,0),ROUNDUP((COLUMN()+0)/3-1,0)))</f>
        <v/>
      </c>
      <c r="L223" s="127"/>
      <c r="M223" s="137"/>
      <c r="N223" s="58" t="str" cm="1">
        <f>IF(ISBLANK($A223),"",INDEX(Array_WaterCharges,MATCH($A223,List_WaterMeters,0),ROUNDUP((COLUMN()+0)/3-1,0)))</f>
        <v/>
      </c>
      <c r="O223" s="127"/>
      <c r="P223" s="137"/>
      <c r="Q223" s="58" t="str" cm="1">
        <f>IF(ISBLANK($A223),"",INDEX(Array_WaterCharges,MATCH($A223,List_WaterMeters,0),ROUNDUP((COLUMN()+0)/3-1,0)))</f>
        <v/>
      </c>
      <c r="R223" s="127"/>
      <c r="S223" s="137"/>
      <c r="T223" s="58" t="str" cm="1">
        <f>IF(ISBLANK($A223),"",INDEX(Array_WaterCharges,MATCH($A223,List_WaterMeters,0),ROUNDUP((COLUMN()+0)/3-1,0)))</f>
        <v/>
      </c>
      <c r="U223" s="127"/>
      <c r="V223" s="137"/>
      <c r="W223" s="58" t="str" cm="1">
        <f>IF(ISBLANK($A223),"",INDEX(Array_WaterCharges,MATCH($A223,List_WaterMeters,0),ROUNDUP((COLUMN()+0)/3-1,0)))</f>
        <v/>
      </c>
      <c r="X223" s="127"/>
      <c r="Y223" s="137"/>
      <c r="Z223" s="58" t="str" cm="1">
        <f>IF(ISBLANK($A223),"",INDEX(Array_WaterCharges,MATCH($A223,List_WaterMeters,0),ROUNDUP((COLUMN()+0)/3-1,0)))</f>
        <v/>
      </c>
      <c r="AA223" s="127"/>
      <c r="AB223" s="137"/>
      <c r="AC223" s="58" t="str" cm="1">
        <f>IF(ISBLANK($A223),"",INDEX(Array_WaterCharges,MATCH($A223,List_WaterMeters,0),ROUNDUP((COLUMN()+0)/3-1,0)))</f>
        <v/>
      </c>
      <c r="AD223" s="127"/>
      <c r="AE223" s="137"/>
      <c r="AF223" s="58" t="str" cm="1">
        <f>IF(ISBLANK($A223),"",INDEX(Array_WaterCharges,MATCH($A223,List_WaterMeters,0),ROUNDUP((COLUMN()+0)/3-1,0)))</f>
        <v/>
      </c>
      <c r="AG223" s="127"/>
      <c r="AH223" s="137"/>
    </row>
    <row r="224" spans="1:34" x14ac:dyDescent="0.3">
      <c r="A224" s="126"/>
      <c r="B224" s="133"/>
      <c r="C224" s="127"/>
      <c r="D224" s="137"/>
      <c r="E224" s="58" t="str" cm="1">
        <f>IF(ISBLANK($A224),"",INDEX(Array_WaterCharges,MATCH($A224,List_WaterMeters,0),ROUNDUP((COLUMN()+0)/3-1,0)))</f>
        <v/>
      </c>
      <c r="F224" s="127"/>
      <c r="G224" s="137"/>
      <c r="H224" s="58" t="str" cm="1">
        <f>IF(ISBLANK($A224),"",INDEX(Array_WaterCharges,MATCH($A224,List_WaterMeters,0),ROUNDUP((COLUMN()+0)/3-1,0)))</f>
        <v/>
      </c>
      <c r="I224" s="127"/>
      <c r="J224" s="137"/>
      <c r="K224" s="58" t="str" cm="1">
        <f>IF(ISBLANK($A224),"",INDEX(Array_WaterCharges,MATCH($A224,List_WaterMeters,0),ROUNDUP((COLUMN()+0)/3-1,0)))</f>
        <v/>
      </c>
      <c r="L224" s="127"/>
      <c r="M224" s="137"/>
      <c r="N224" s="58" t="str" cm="1">
        <f>IF(ISBLANK($A224),"",INDEX(Array_WaterCharges,MATCH($A224,List_WaterMeters,0),ROUNDUP((COLUMN()+0)/3-1,0)))</f>
        <v/>
      </c>
      <c r="O224" s="127"/>
      <c r="P224" s="137"/>
      <c r="Q224" s="58" t="str" cm="1">
        <f>IF(ISBLANK($A224),"",INDEX(Array_WaterCharges,MATCH($A224,List_WaterMeters,0),ROUNDUP((COLUMN()+0)/3-1,0)))</f>
        <v/>
      </c>
      <c r="R224" s="127"/>
      <c r="S224" s="137"/>
      <c r="T224" s="58" t="str" cm="1">
        <f>IF(ISBLANK($A224),"",INDEX(Array_WaterCharges,MATCH($A224,List_WaterMeters,0),ROUNDUP((COLUMN()+0)/3-1,0)))</f>
        <v/>
      </c>
      <c r="U224" s="127"/>
      <c r="V224" s="137"/>
      <c r="W224" s="58" t="str" cm="1">
        <f>IF(ISBLANK($A224),"",INDEX(Array_WaterCharges,MATCH($A224,List_WaterMeters,0),ROUNDUP((COLUMN()+0)/3-1,0)))</f>
        <v/>
      </c>
      <c r="X224" s="127"/>
      <c r="Y224" s="137"/>
      <c r="Z224" s="58" t="str" cm="1">
        <f>IF(ISBLANK($A224),"",INDEX(Array_WaterCharges,MATCH($A224,List_WaterMeters,0),ROUNDUP((COLUMN()+0)/3-1,0)))</f>
        <v/>
      </c>
      <c r="AA224" s="127"/>
      <c r="AB224" s="137"/>
      <c r="AC224" s="58" t="str" cm="1">
        <f>IF(ISBLANK($A224),"",INDEX(Array_WaterCharges,MATCH($A224,List_WaterMeters,0),ROUNDUP((COLUMN()+0)/3-1,0)))</f>
        <v/>
      </c>
      <c r="AD224" s="127"/>
      <c r="AE224" s="137"/>
      <c r="AF224" s="58" t="str" cm="1">
        <f>IF(ISBLANK($A224),"",INDEX(Array_WaterCharges,MATCH($A224,List_WaterMeters,0),ROUNDUP((COLUMN()+0)/3-1,0)))</f>
        <v/>
      </c>
      <c r="AG224" s="127"/>
      <c r="AH224" s="137"/>
    </row>
    <row r="225" spans="1:34" x14ac:dyDescent="0.3">
      <c r="A225" s="126"/>
      <c r="B225" s="133"/>
      <c r="C225" s="127"/>
      <c r="D225" s="137"/>
      <c r="E225" s="58" t="str" cm="1">
        <f>IF(ISBLANK($A225),"",INDEX(Array_WaterCharges,MATCH($A225,List_WaterMeters,0),ROUNDUP((COLUMN()+0)/3-1,0)))</f>
        <v/>
      </c>
      <c r="F225" s="127"/>
      <c r="G225" s="137"/>
      <c r="H225" s="58" t="str" cm="1">
        <f>IF(ISBLANK($A225),"",INDEX(Array_WaterCharges,MATCH($A225,List_WaterMeters,0),ROUNDUP((COLUMN()+0)/3-1,0)))</f>
        <v/>
      </c>
      <c r="I225" s="127"/>
      <c r="J225" s="137"/>
      <c r="K225" s="58" t="str" cm="1">
        <f>IF(ISBLANK($A225),"",INDEX(Array_WaterCharges,MATCH($A225,List_WaterMeters,0),ROUNDUP((COLUMN()+0)/3-1,0)))</f>
        <v/>
      </c>
      <c r="L225" s="127"/>
      <c r="M225" s="137"/>
      <c r="N225" s="58" t="str" cm="1">
        <f>IF(ISBLANK($A225),"",INDEX(Array_WaterCharges,MATCH($A225,List_WaterMeters,0),ROUNDUP((COLUMN()+0)/3-1,0)))</f>
        <v/>
      </c>
      <c r="O225" s="127"/>
      <c r="P225" s="137"/>
      <c r="Q225" s="58" t="str" cm="1">
        <f>IF(ISBLANK($A225),"",INDEX(Array_WaterCharges,MATCH($A225,List_WaterMeters,0),ROUNDUP((COLUMN()+0)/3-1,0)))</f>
        <v/>
      </c>
      <c r="R225" s="127"/>
      <c r="S225" s="137"/>
      <c r="T225" s="58" t="str" cm="1">
        <f>IF(ISBLANK($A225),"",INDEX(Array_WaterCharges,MATCH($A225,List_WaterMeters,0),ROUNDUP((COLUMN()+0)/3-1,0)))</f>
        <v/>
      </c>
      <c r="U225" s="127"/>
      <c r="V225" s="137"/>
      <c r="W225" s="58" t="str" cm="1">
        <f>IF(ISBLANK($A225),"",INDEX(Array_WaterCharges,MATCH($A225,List_WaterMeters,0),ROUNDUP((COLUMN()+0)/3-1,0)))</f>
        <v/>
      </c>
      <c r="X225" s="127"/>
      <c r="Y225" s="137"/>
      <c r="Z225" s="58" t="str" cm="1">
        <f>IF(ISBLANK($A225),"",INDEX(Array_WaterCharges,MATCH($A225,List_WaterMeters,0),ROUNDUP((COLUMN()+0)/3-1,0)))</f>
        <v/>
      </c>
      <c r="AA225" s="127"/>
      <c r="AB225" s="137"/>
      <c r="AC225" s="58" t="str" cm="1">
        <f>IF(ISBLANK($A225),"",INDEX(Array_WaterCharges,MATCH($A225,List_WaterMeters,0),ROUNDUP((COLUMN()+0)/3-1,0)))</f>
        <v/>
      </c>
      <c r="AD225" s="127"/>
      <c r="AE225" s="137"/>
      <c r="AF225" s="58" t="str" cm="1">
        <f>IF(ISBLANK($A225),"",INDEX(Array_WaterCharges,MATCH($A225,List_WaterMeters,0),ROUNDUP((COLUMN()+0)/3-1,0)))</f>
        <v/>
      </c>
      <c r="AG225" s="127"/>
      <c r="AH225" s="137"/>
    </row>
    <row r="226" spans="1:34" x14ac:dyDescent="0.3">
      <c r="A226" s="126"/>
      <c r="B226" s="133"/>
      <c r="C226" s="127"/>
      <c r="D226" s="137"/>
      <c r="E226" s="58" t="str" cm="1">
        <f>IF(ISBLANK($A226),"",INDEX(Array_WaterCharges,MATCH($A226,List_WaterMeters,0),ROUNDUP((COLUMN()+0)/3-1,0)))</f>
        <v/>
      </c>
      <c r="F226" s="127"/>
      <c r="G226" s="137"/>
      <c r="H226" s="58" t="str" cm="1">
        <f>IF(ISBLANK($A226),"",INDEX(Array_WaterCharges,MATCH($A226,List_WaterMeters,0),ROUNDUP((COLUMN()+0)/3-1,0)))</f>
        <v/>
      </c>
      <c r="I226" s="127"/>
      <c r="J226" s="137"/>
      <c r="K226" s="58" t="str" cm="1">
        <f>IF(ISBLANK($A226),"",INDEX(Array_WaterCharges,MATCH($A226,List_WaterMeters,0),ROUNDUP((COLUMN()+0)/3-1,0)))</f>
        <v/>
      </c>
      <c r="L226" s="127"/>
      <c r="M226" s="137"/>
      <c r="N226" s="58" t="str" cm="1">
        <f>IF(ISBLANK($A226),"",INDEX(Array_WaterCharges,MATCH($A226,List_WaterMeters,0),ROUNDUP((COLUMN()+0)/3-1,0)))</f>
        <v/>
      </c>
      <c r="O226" s="127"/>
      <c r="P226" s="137"/>
      <c r="Q226" s="58" t="str" cm="1">
        <f>IF(ISBLANK($A226),"",INDEX(Array_WaterCharges,MATCH($A226,List_WaterMeters,0),ROUNDUP((COLUMN()+0)/3-1,0)))</f>
        <v/>
      </c>
      <c r="R226" s="127"/>
      <c r="S226" s="137"/>
      <c r="T226" s="58" t="str" cm="1">
        <f>IF(ISBLANK($A226),"",INDEX(Array_WaterCharges,MATCH($A226,List_WaterMeters,0),ROUNDUP((COLUMN()+0)/3-1,0)))</f>
        <v/>
      </c>
      <c r="U226" s="127"/>
      <c r="V226" s="137"/>
      <c r="W226" s="58" t="str" cm="1">
        <f>IF(ISBLANK($A226),"",INDEX(Array_WaterCharges,MATCH($A226,List_WaterMeters,0),ROUNDUP((COLUMN()+0)/3-1,0)))</f>
        <v/>
      </c>
      <c r="X226" s="127"/>
      <c r="Y226" s="137"/>
      <c r="Z226" s="58" t="str" cm="1">
        <f>IF(ISBLANK($A226),"",INDEX(Array_WaterCharges,MATCH($A226,List_WaterMeters,0),ROUNDUP((COLUMN()+0)/3-1,0)))</f>
        <v/>
      </c>
      <c r="AA226" s="127"/>
      <c r="AB226" s="137"/>
      <c r="AC226" s="58" t="str" cm="1">
        <f>IF(ISBLANK($A226),"",INDEX(Array_WaterCharges,MATCH($A226,List_WaterMeters,0),ROUNDUP((COLUMN()+0)/3-1,0)))</f>
        <v/>
      </c>
      <c r="AD226" s="127"/>
      <c r="AE226" s="137"/>
      <c r="AF226" s="58" t="str" cm="1">
        <f>IF(ISBLANK($A226),"",INDEX(Array_WaterCharges,MATCH($A226,List_WaterMeters,0),ROUNDUP((COLUMN()+0)/3-1,0)))</f>
        <v/>
      </c>
      <c r="AG226" s="127"/>
      <c r="AH226" s="137"/>
    </row>
    <row r="227" spans="1:34" x14ac:dyDescent="0.3">
      <c r="A227" s="126"/>
      <c r="B227" s="133"/>
      <c r="C227" s="127"/>
      <c r="D227" s="137"/>
      <c r="E227" s="58" t="str" cm="1">
        <f>IF(ISBLANK($A227),"",INDEX(Array_WaterCharges,MATCH($A227,List_WaterMeters,0),ROUNDUP((COLUMN()+0)/3-1,0)))</f>
        <v/>
      </c>
      <c r="F227" s="127"/>
      <c r="G227" s="137"/>
      <c r="H227" s="58" t="str" cm="1">
        <f>IF(ISBLANK($A227),"",INDEX(Array_WaterCharges,MATCH($A227,List_WaterMeters,0),ROUNDUP((COLUMN()+0)/3-1,0)))</f>
        <v/>
      </c>
      <c r="I227" s="127"/>
      <c r="J227" s="137"/>
      <c r="K227" s="58" t="str" cm="1">
        <f>IF(ISBLANK($A227),"",INDEX(Array_WaterCharges,MATCH($A227,List_WaterMeters,0),ROUNDUP((COLUMN()+0)/3-1,0)))</f>
        <v/>
      </c>
      <c r="L227" s="127"/>
      <c r="M227" s="137"/>
      <c r="N227" s="58" t="str" cm="1">
        <f>IF(ISBLANK($A227),"",INDEX(Array_WaterCharges,MATCH($A227,List_WaterMeters,0),ROUNDUP((COLUMN()+0)/3-1,0)))</f>
        <v/>
      </c>
      <c r="O227" s="127"/>
      <c r="P227" s="137"/>
      <c r="Q227" s="58" t="str" cm="1">
        <f>IF(ISBLANK($A227),"",INDEX(Array_WaterCharges,MATCH($A227,List_WaterMeters,0),ROUNDUP((COLUMN()+0)/3-1,0)))</f>
        <v/>
      </c>
      <c r="R227" s="127"/>
      <c r="S227" s="137"/>
      <c r="T227" s="58" t="str" cm="1">
        <f>IF(ISBLANK($A227),"",INDEX(Array_WaterCharges,MATCH($A227,List_WaterMeters,0),ROUNDUP((COLUMN()+0)/3-1,0)))</f>
        <v/>
      </c>
      <c r="U227" s="127"/>
      <c r="V227" s="137"/>
      <c r="W227" s="58" t="str" cm="1">
        <f>IF(ISBLANK($A227),"",INDEX(Array_WaterCharges,MATCH($A227,List_WaterMeters,0),ROUNDUP((COLUMN()+0)/3-1,0)))</f>
        <v/>
      </c>
      <c r="X227" s="127"/>
      <c r="Y227" s="137"/>
      <c r="Z227" s="58" t="str" cm="1">
        <f>IF(ISBLANK($A227),"",INDEX(Array_WaterCharges,MATCH($A227,List_WaterMeters,0),ROUNDUP((COLUMN()+0)/3-1,0)))</f>
        <v/>
      </c>
      <c r="AA227" s="127"/>
      <c r="AB227" s="137"/>
      <c r="AC227" s="58" t="str" cm="1">
        <f>IF(ISBLANK($A227),"",INDEX(Array_WaterCharges,MATCH($A227,List_WaterMeters,0),ROUNDUP((COLUMN()+0)/3-1,0)))</f>
        <v/>
      </c>
      <c r="AD227" s="127"/>
      <c r="AE227" s="137"/>
      <c r="AF227" s="58" t="str" cm="1">
        <f>IF(ISBLANK($A227),"",INDEX(Array_WaterCharges,MATCH($A227,List_WaterMeters,0),ROUNDUP((COLUMN()+0)/3-1,0)))</f>
        <v/>
      </c>
      <c r="AG227" s="127"/>
      <c r="AH227" s="137"/>
    </row>
    <row r="228" spans="1:34" x14ac:dyDescent="0.3">
      <c r="A228" s="126"/>
      <c r="B228" s="133"/>
      <c r="C228" s="127"/>
      <c r="D228" s="137"/>
      <c r="E228" s="58" t="str" cm="1">
        <f>IF(ISBLANK($A228),"",INDEX(Array_WaterCharges,MATCH($A228,List_WaterMeters,0),ROUNDUP((COLUMN()+0)/3-1,0)))</f>
        <v/>
      </c>
      <c r="F228" s="127"/>
      <c r="G228" s="137"/>
      <c r="H228" s="58" t="str" cm="1">
        <f>IF(ISBLANK($A228),"",INDEX(Array_WaterCharges,MATCH($A228,List_WaterMeters,0),ROUNDUP((COLUMN()+0)/3-1,0)))</f>
        <v/>
      </c>
      <c r="I228" s="127"/>
      <c r="J228" s="137"/>
      <c r="K228" s="58" t="str" cm="1">
        <f>IF(ISBLANK($A228),"",INDEX(Array_WaterCharges,MATCH($A228,List_WaterMeters,0),ROUNDUP((COLUMN()+0)/3-1,0)))</f>
        <v/>
      </c>
      <c r="L228" s="127"/>
      <c r="M228" s="137"/>
      <c r="N228" s="58" t="str" cm="1">
        <f>IF(ISBLANK($A228),"",INDEX(Array_WaterCharges,MATCH($A228,List_WaterMeters,0),ROUNDUP((COLUMN()+0)/3-1,0)))</f>
        <v/>
      </c>
      <c r="O228" s="127"/>
      <c r="P228" s="137"/>
      <c r="Q228" s="58" t="str" cm="1">
        <f>IF(ISBLANK($A228),"",INDEX(Array_WaterCharges,MATCH($A228,List_WaterMeters,0),ROUNDUP((COLUMN()+0)/3-1,0)))</f>
        <v/>
      </c>
      <c r="R228" s="127"/>
      <c r="S228" s="137"/>
      <c r="T228" s="58" t="str" cm="1">
        <f>IF(ISBLANK($A228),"",INDEX(Array_WaterCharges,MATCH($A228,List_WaterMeters,0),ROUNDUP((COLUMN()+0)/3-1,0)))</f>
        <v/>
      </c>
      <c r="U228" s="127"/>
      <c r="V228" s="137"/>
      <c r="W228" s="58" t="str" cm="1">
        <f>IF(ISBLANK($A228),"",INDEX(Array_WaterCharges,MATCH($A228,List_WaterMeters,0),ROUNDUP((COLUMN()+0)/3-1,0)))</f>
        <v/>
      </c>
      <c r="X228" s="127"/>
      <c r="Y228" s="137"/>
      <c r="Z228" s="58" t="str" cm="1">
        <f>IF(ISBLANK($A228),"",INDEX(Array_WaterCharges,MATCH($A228,List_WaterMeters,0),ROUNDUP((COLUMN()+0)/3-1,0)))</f>
        <v/>
      </c>
      <c r="AA228" s="127"/>
      <c r="AB228" s="137"/>
      <c r="AC228" s="58" t="str" cm="1">
        <f>IF(ISBLANK($A228),"",INDEX(Array_WaterCharges,MATCH($A228,List_WaterMeters,0),ROUNDUP((COLUMN()+0)/3-1,0)))</f>
        <v/>
      </c>
      <c r="AD228" s="127"/>
      <c r="AE228" s="137"/>
      <c r="AF228" s="58" t="str" cm="1">
        <f>IF(ISBLANK($A228),"",INDEX(Array_WaterCharges,MATCH($A228,List_WaterMeters,0),ROUNDUP((COLUMN()+0)/3-1,0)))</f>
        <v/>
      </c>
      <c r="AG228" s="127"/>
      <c r="AH228" s="137"/>
    </row>
    <row r="229" spans="1:34" x14ac:dyDescent="0.3">
      <c r="A229" s="126"/>
      <c r="B229" s="133"/>
      <c r="C229" s="127"/>
      <c r="D229" s="137"/>
      <c r="E229" s="58" t="str" cm="1">
        <f>IF(ISBLANK($A229),"",INDEX(Array_WaterCharges,MATCH($A229,List_WaterMeters,0),ROUNDUP((COLUMN()+0)/3-1,0)))</f>
        <v/>
      </c>
      <c r="F229" s="127"/>
      <c r="G229" s="137"/>
      <c r="H229" s="58" t="str" cm="1">
        <f>IF(ISBLANK($A229),"",INDEX(Array_WaterCharges,MATCH($A229,List_WaterMeters,0),ROUNDUP((COLUMN()+0)/3-1,0)))</f>
        <v/>
      </c>
      <c r="I229" s="127"/>
      <c r="J229" s="137"/>
      <c r="K229" s="58" t="str" cm="1">
        <f>IF(ISBLANK($A229),"",INDEX(Array_WaterCharges,MATCH($A229,List_WaterMeters,0),ROUNDUP((COLUMN()+0)/3-1,0)))</f>
        <v/>
      </c>
      <c r="L229" s="127"/>
      <c r="M229" s="137"/>
      <c r="N229" s="58" t="str" cm="1">
        <f>IF(ISBLANK($A229),"",INDEX(Array_WaterCharges,MATCH($A229,List_WaterMeters,0),ROUNDUP((COLUMN()+0)/3-1,0)))</f>
        <v/>
      </c>
      <c r="O229" s="127"/>
      <c r="P229" s="137"/>
      <c r="Q229" s="58" t="str" cm="1">
        <f>IF(ISBLANK($A229),"",INDEX(Array_WaterCharges,MATCH($A229,List_WaterMeters,0),ROUNDUP((COLUMN()+0)/3-1,0)))</f>
        <v/>
      </c>
      <c r="R229" s="127"/>
      <c r="S229" s="137"/>
      <c r="T229" s="58" t="str" cm="1">
        <f>IF(ISBLANK($A229),"",INDEX(Array_WaterCharges,MATCH($A229,List_WaterMeters,0),ROUNDUP((COLUMN()+0)/3-1,0)))</f>
        <v/>
      </c>
      <c r="U229" s="127"/>
      <c r="V229" s="137"/>
      <c r="W229" s="58" t="str" cm="1">
        <f>IF(ISBLANK($A229),"",INDEX(Array_WaterCharges,MATCH($A229,List_WaterMeters,0),ROUNDUP((COLUMN()+0)/3-1,0)))</f>
        <v/>
      </c>
      <c r="X229" s="127"/>
      <c r="Y229" s="137"/>
      <c r="Z229" s="58" t="str" cm="1">
        <f>IF(ISBLANK($A229),"",INDEX(Array_WaterCharges,MATCH($A229,List_WaterMeters,0),ROUNDUP((COLUMN()+0)/3-1,0)))</f>
        <v/>
      </c>
      <c r="AA229" s="127"/>
      <c r="AB229" s="137"/>
      <c r="AC229" s="58" t="str" cm="1">
        <f>IF(ISBLANK($A229),"",INDEX(Array_WaterCharges,MATCH($A229,List_WaterMeters,0),ROUNDUP((COLUMN()+0)/3-1,0)))</f>
        <v/>
      </c>
      <c r="AD229" s="127"/>
      <c r="AE229" s="137"/>
      <c r="AF229" s="58" t="str" cm="1">
        <f>IF(ISBLANK($A229),"",INDEX(Array_WaterCharges,MATCH($A229,List_WaterMeters,0),ROUNDUP((COLUMN()+0)/3-1,0)))</f>
        <v/>
      </c>
      <c r="AG229" s="127"/>
      <c r="AH229" s="137"/>
    </row>
    <row r="230" spans="1:34" x14ac:dyDescent="0.3">
      <c r="A230" s="126"/>
      <c r="B230" s="133"/>
      <c r="C230" s="127"/>
      <c r="D230" s="137"/>
      <c r="E230" s="58" t="str" cm="1">
        <f>IF(ISBLANK($A230),"",INDEX(Array_WaterCharges,MATCH($A230,List_WaterMeters,0),ROUNDUP((COLUMN()+0)/3-1,0)))</f>
        <v/>
      </c>
      <c r="F230" s="127"/>
      <c r="G230" s="137"/>
      <c r="H230" s="58" t="str" cm="1">
        <f>IF(ISBLANK($A230),"",INDEX(Array_WaterCharges,MATCH($A230,List_WaterMeters,0),ROUNDUP((COLUMN()+0)/3-1,0)))</f>
        <v/>
      </c>
      <c r="I230" s="127"/>
      <c r="J230" s="137"/>
      <c r="K230" s="58" t="str" cm="1">
        <f>IF(ISBLANK($A230),"",INDEX(Array_WaterCharges,MATCH($A230,List_WaterMeters,0),ROUNDUP((COLUMN()+0)/3-1,0)))</f>
        <v/>
      </c>
      <c r="L230" s="127"/>
      <c r="M230" s="137"/>
      <c r="N230" s="58" t="str" cm="1">
        <f>IF(ISBLANK($A230),"",INDEX(Array_WaterCharges,MATCH($A230,List_WaterMeters,0),ROUNDUP((COLUMN()+0)/3-1,0)))</f>
        <v/>
      </c>
      <c r="O230" s="127"/>
      <c r="P230" s="137"/>
      <c r="Q230" s="58" t="str" cm="1">
        <f>IF(ISBLANK($A230),"",INDEX(Array_WaterCharges,MATCH($A230,List_WaterMeters,0),ROUNDUP((COLUMN()+0)/3-1,0)))</f>
        <v/>
      </c>
      <c r="R230" s="127"/>
      <c r="S230" s="137"/>
      <c r="T230" s="58" t="str" cm="1">
        <f>IF(ISBLANK($A230),"",INDEX(Array_WaterCharges,MATCH($A230,List_WaterMeters,0),ROUNDUP((COLUMN()+0)/3-1,0)))</f>
        <v/>
      </c>
      <c r="U230" s="127"/>
      <c r="V230" s="137"/>
      <c r="W230" s="58" t="str" cm="1">
        <f>IF(ISBLANK($A230),"",INDEX(Array_WaterCharges,MATCH($A230,List_WaterMeters,0),ROUNDUP((COLUMN()+0)/3-1,0)))</f>
        <v/>
      </c>
      <c r="X230" s="127"/>
      <c r="Y230" s="137"/>
      <c r="Z230" s="58" t="str" cm="1">
        <f>IF(ISBLANK($A230),"",INDEX(Array_WaterCharges,MATCH($A230,List_WaterMeters,0),ROUNDUP((COLUMN()+0)/3-1,0)))</f>
        <v/>
      </c>
      <c r="AA230" s="127"/>
      <c r="AB230" s="137"/>
      <c r="AC230" s="58" t="str" cm="1">
        <f>IF(ISBLANK($A230),"",INDEX(Array_WaterCharges,MATCH($A230,List_WaterMeters,0),ROUNDUP((COLUMN()+0)/3-1,0)))</f>
        <v/>
      </c>
      <c r="AD230" s="127"/>
      <c r="AE230" s="137"/>
      <c r="AF230" s="58" t="str" cm="1">
        <f>IF(ISBLANK($A230),"",INDEX(Array_WaterCharges,MATCH($A230,List_WaterMeters,0),ROUNDUP((COLUMN()+0)/3-1,0)))</f>
        <v/>
      </c>
      <c r="AG230" s="127"/>
      <c r="AH230" s="137"/>
    </row>
    <row r="231" spans="1:34" x14ac:dyDescent="0.3">
      <c r="A231" s="126"/>
      <c r="B231" s="133"/>
      <c r="C231" s="127"/>
      <c r="D231" s="137"/>
      <c r="E231" s="58" t="str" cm="1">
        <f>IF(ISBLANK($A231),"",INDEX(Array_WaterCharges,MATCH($A231,List_WaterMeters,0),ROUNDUP((COLUMN()+0)/3-1,0)))</f>
        <v/>
      </c>
      <c r="F231" s="127"/>
      <c r="G231" s="137"/>
      <c r="H231" s="58" t="str" cm="1">
        <f>IF(ISBLANK($A231),"",INDEX(Array_WaterCharges,MATCH($A231,List_WaterMeters,0),ROUNDUP((COLUMN()+0)/3-1,0)))</f>
        <v/>
      </c>
      <c r="I231" s="127"/>
      <c r="J231" s="137"/>
      <c r="K231" s="58" t="str" cm="1">
        <f>IF(ISBLANK($A231),"",INDEX(Array_WaterCharges,MATCH($A231,List_WaterMeters,0),ROUNDUP((COLUMN()+0)/3-1,0)))</f>
        <v/>
      </c>
      <c r="L231" s="127"/>
      <c r="M231" s="137"/>
      <c r="N231" s="58" t="str" cm="1">
        <f>IF(ISBLANK($A231),"",INDEX(Array_WaterCharges,MATCH($A231,List_WaterMeters,0),ROUNDUP((COLUMN()+0)/3-1,0)))</f>
        <v/>
      </c>
      <c r="O231" s="127"/>
      <c r="P231" s="137"/>
      <c r="Q231" s="58" t="str" cm="1">
        <f>IF(ISBLANK($A231),"",INDEX(Array_WaterCharges,MATCH($A231,List_WaterMeters,0),ROUNDUP((COLUMN()+0)/3-1,0)))</f>
        <v/>
      </c>
      <c r="R231" s="127"/>
      <c r="S231" s="137"/>
      <c r="T231" s="58" t="str" cm="1">
        <f>IF(ISBLANK($A231),"",INDEX(Array_WaterCharges,MATCH($A231,List_WaterMeters,0),ROUNDUP((COLUMN()+0)/3-1,0)))</f>
        <v/>
      </c>
      <c r="U231" s="127"/>
      <c r="V231" s="137"/>
      <c r="W231" s="58" t="str" cm="1">
        <f>IF(ISBLANK($A231),"",INDEX(Array_WaterCharges,MATCH($A231,List_WaterMeters,0),ROUNDUP((COLUMN()+0)/3-1,0)))</f>
        <v/>
      </c>
      <c r="X231" s="127"/>
      <c r="Y231" s="137"/>
      <c r="Z231" s="58" t="str" cm="1">
        <f>IF(ISBLANK($A231),"",INDEX(Array_WaterCharges,MATCH($A231,List_WaterMeters,0),ROUNDUP((COLUMN()+0)/3-1,0)))</f>
        <v/>
      </c>
      <c r="AA231" s="127"/>
      <c r="AB231" s="137"/>
      <c r="AC231" s="58" t="str" cm="1">
        <f>IF(ISBLANK($A231),"",INDEX(Array_WaterCharges,MATCH($A231,List_WaterMeters,0),ROUNDUP((COLUMN()+0)/3-1,0)))</f>
        <v/>
      </c>
      <c r="AD231" s="127"/>
      <c r="AE231" s="137"/>
      <c r="AF231" s="58" t="str" cm="1">
        <f>IF(ISBLANK($A231),"",INDEX(Array_WaterCharges,MATCH($A231,List_WaterMeters,0),ROUNDUP((COLUMN()+0)/3-1,0)))</f>
        <v/>
      </c>
      <c r="AG231" s="127"/>
      <c r="AH231" s="137"/>
    </row>
    <row r="232" spans="1:34" x14ac:dyDescent="0.3">
      <c r="A232" s="126"/>
      <c r="B232" s="133"/>
      <c r="C232" s="127"/>
      <c r="D232" s="137"/>
      <c r="E232" s="58" t="str" cm="1">
        <f>IF(ISBLANK($A232),"",INDEX(Array_WaterCharges,MATCH($A232,List_WaterMeters,0),ROUNDUP((COLUMN()+0)/3-1,0)))</f>
        <v/>
      </c>
      <c r="F232" s="127"/>
      <c r="G232" s="137"/>
      <c r="H232" s="58" t="str" cm="1">
        <f>IF(ISBLANK($A232),"",INDEX(Array_WaterCharges,MATCH($A232,List_WaterMeters,0),ROUNDUP((COLUMN()+0)/3-1,0)))</f>
        <v/>
      </c>
      <c r="I232" s="127"/>
      <c r="J232" s="137"/>
      <c r="K232" s="58" t="str" cm="1">
        <f>IF(ISBLANK($A232),"",INDEX(Array_WaterCharges,MATCH($A232,List_WaterMeters,0),ROUNDUP((COLUMN()+0)/3-1,0)))</f>
        <v/>
      </c>
      <c r="L232" s="127"/>
      <c r="M232" s="137"/>
      <c r="N232" s="58" t="str" cm="1">
        <f>IF(ISBLANK($A232),"",INDEX(Array_WaterCharges,MATCH($A232,List_WaterMeters,0),ROUNDUP((COLUMN()+0)/3-1,0)))</f>
        <v/>
      </c>
      <c r="O232" s="127"/>
      <c r="P232" s="137"/>
      <c r="Q232" s="58" t="str" cm="1">
        <f>IF(ISBLANK($A232),"",INDEX(Array_WaterCharges,MATCH($A232,List_WaterMeters,0),ROUNDUP((COLUMN()+0)/3-1,0)))</f>
        <v/>
      </c>
      <c r="R232" s="127"/>
      <c r="S232" s="137"/>
      <c r="T232" s="58" t="str" cm="1">
        <f>IF(ISBLANK($A232),"",INDEX(Array_WaterCharges,MATCH($A232,List_WaterMeters,0),ROUNDUP((COLUMN()+0)/3-1,0)))</f>
        <v/>
      </c>
      <c r="U232" s="127"/>
      <c r="V232" s="137"/>
      <c r="W232" s="58" t="str" cm="1">
        <f>IF(ISBLANK($A232),"",INDEX(Array_WaterCharges,MATCH($A232,List_WaterMeters,0),ROUNDUP((COLUMN()+0)/3-1,0)))</f>
        <v/>
      </c>
      <c r="X232" s="127"/>
      <c r="Y232" s="137"/>
      <c r="Z232" s="58" t="str" cm="1">
        <f>IF(ISBLANK($A232),"",INDEX(Array_WaterCharges,MATCH($A232,List_WaterMeters,0),ROUNDUP((COLUMN()+0)/3-1,0)))</f>
        <v/>
      </c>
      <c r="AA232" s="127"/>
      <c r="AB232" s="137"/>
      <c r="AC232" s="58" t="str" cm="1">
        <f>IF(ISBLANK($A232),"",INDEX(Array_WaterCharges,MATCH($A232,List_WaterMeters,0),ROUNDUP((COLUMN()+0)/3-1,0)))</f>
        <v/>
      </c>
      <c r="AD232" s="127"/>
      <c r="AE232" s="137"/>
      <c r="AF232" s="58" t="str" cm="1">
        <f>IF(ISBLANK($A232),"",INDEX(Array_WaterCharges,MATCH($A232,List_WaterMeters,0),ROUNDUP((COLUMN()+0)/3-1,0)))</f>
        <v/>
      </c>
      <c r="AG232" s="127"/>
      <c r="AH232" s="137"/>
    </row>
    <row r="233" spans="1:34" x14ac:dyDescent="0.3">
      <c r="A233" s="126"/>
      <c r="B233" s="133"/>
      <c r="C233" s="127"/>
      <c r="D233" s="137"/>
      <c r="E233" s="58" t="str" cm="1">
        <f>IF(ISBLANK($A233),"",INDEX(Array_WaterCharges,MATCH($A233,List_WaterMeters,0),ROUNDUP((COLUMN()+0)/3-1,0)))</f>
        <v/>
      </c>
      <c r="F233" s="127"/>
      <c r="G233" s="137"/>
      <c r="H233" s="58" t="str" cm="1">
        <f>IF(ISBLANK($A233),"",INDEX(Array_WaterCharges,MATCH($A233,List_WaterMeters,0),ROUNDUP((COLUMN()+0)/3-1,0)))</f>
        <v/>
      </c>
      <c r="I233" s="127"/>
      <c r="J233" s="137"/>
      <c r="K233" s="58" t="str" cm="1">
        <f>IF(ISBLANK($A233),"",INDEX(Array_WaterCharges,MATCH($A233,List_WaterMeters,0),ROUNDUP((COLUMN()+0)/3-1,0)))</f>
        <v/>
      </c>
      <c r="L233" s="127"/>
      <c r="M233" s="137"/>
      <c r="N233" s="58" t="str" cm="1">
        <f>IF(ISBLANK($A233),"",INDEX(Array_WaterCharges,MATCH($A233,List_WaterMeters,0),ROUNDUP((COLUMN()+0)/3-1,0)))</f>
        <v/>
      </c>
      <c r="O233" s="127"/>
      <c r="P233" s="137"/>
      <c r="Q233" s="58" t="str" cm="1">
        <f>IF(ISBLANK($A233),"",INDEX(Array_WaterCharges,MATCH($A233,List_WaterMeters,0),ROUNDUP((COLUMN()+0)/3-1,0)))</f>
        <v/>
      </c>
      <c r="R233" s="127"/>
      <c r="S233" s="137"/>
      <c r="T233" s="58" t="str" cm="1">
        <f>IF(ISBLANK($A233),"",INDEX(Array_WaterCharges,MATCH($A233,List_WaterMeters,0),ROUNDUP((COLUMN()+0)/3-1,0)))</f>
        <v/>
      </c>
      <c r="U233" s="127"/>
      <c r="V233" s="137"/>
      <c r="W233" s="58" t="str" cm="1">
        <f>IF(ISBLANK($A233),"",INDEX(Array_WaterCharges,MATCH($A233,List_WaterMeters,0),ROUNDUP((COLUMN()+0)/3-1,0)))</f>
        <v/>
      </c>
      <c r="X233" s="127"/>
      <c r="Y233" s="137"/>
      <c r="Z233" s="58" t="str" cm="1">
        <f>IF(ISBLANK($A233),"",INDEX(Array_WaterCharges,MATCH($A233,List_WaterMeters,0),ROUNDUP((COLUMN()+0)/3-1,0)))</f>
        <v/>
      </c>
      <c r="AA233" s="127"/>
      <c r="AB233" s="137"/>
      <c r="AC233" s="58" t="str" cm="1">
        <f>IF(ISBLANK($A233),"",INDEX(Array_WaterCharges,MATCH($A233,List_WaterMeters,0),ROUNDUP((COLUMN()+0)/3-1,0)))</f>
        <v/>
      </c>
      <c r="AD233" s="127"/>
      <c r="AE233" s="137"/>
      <c r="AF233" s="58" t="str" cm="1">
        <f>IF(ISBLANK($A233),"",INDEX(Array_WaterCharges,MATCH($A233,List_WaterMeters,0),ROUNDUP((COLUMN()+0)/3-1,0)))</f>
        <v/>
      </c>
      <c r="AG233" s="127"/>
      <c r="AH233" s="137"/>
    </row>
    <row r="234" spans="1:34" x14ac:dyDescent="0.3">
      <c r="A234" s="126"/>
      <c r="B234" s="133"/>
      <c r="C234" s="127"/>
      <c r="D234" s="137"/>
      <c r="E234" s="58" t="str" cm="1">
        <f>IF(ISBLANK($A234),"",INDEX(Array_WaterCharges,MATCH($A234,List_WaterMeters,0),ROUNDUP((COLUMN()+0)/3-1,0)))</f>
        <v/>
      </c>
      <c r="F234" s="127"/>
      <c r="G234" s="137"/>
      <c r="H234" s="58" t="str" cm="1">
        <f>IF(ISBLANK($A234),"",INDEX(Array_WaterCharges,MATCH($A234,List_WaterMeters,0),ROUNDUP((COLUMN()+0)/3-1,0)))</f>
        <v/>
      </c>
      <c r="I234" s="127"/>
      <c r="J234" s="137"/>
      <c r="K234" s="58" t="str" cm="1">
        <f>IF(ISBLANK($A234),"",INDEX(Array_WaterCharges,MATCH($A234,List_WaterMeters,0),ROUNDUP((COLUMN()+0)/3-1,0)))</f>
        <v/>
      </c>
      <c r="L234" s="127"/>
      <c r="M234" s="137"/>
      <c r="N234" s="58" t="str" cm="1">
        <f>IF(ISBLANK($A234),"",INDEX(Array_WaterCharges,MATCH($A234,List_WaterMeters,0),ROUNDUP((COLUMN()+0)/3-1,0)))</f>
        <v/>
      </c>
      <c r="O234" s="127"/>
      <c r="P234" s="137"/>
      <c r="Q234" s="58" t="str" cm="1">
        <f>IF(ISBLANK($A234),"",INDEX(Array_WaterCharges,MATCH($A234,List_WaterMeters,0),ROUNDUP((COLUMN()+0)/3-1,0)))</f>
        <v/>
      </c>
      <c r="R234" s="127"/>
      <c r="S234" s="137"/>
      <c r="T234" s="58" t="str" cm="1">
        <f>IF(ISBLANK($A234),"",INDEX(Array_WaterCharges,MATCH($A234,List_WaterMeters,0),ROUNDUP((COLUMN()+0)/3-1,0)))</f>
        <v/>
      </c>
      <c r="U234" s="127"/>
      <c r="V234" s="137"/>
      <c r="W234" s="58" t="str" cm="1">
        <f>IF(ISBLANK($A234),"",INDEX(Array_WaterCharges,MATCH($A234,List_WaterMeters,0),ROUNDUP((COLUMN()+0)/3-1,0)))</f>
        <v/>
      </c>
      <c r="X234" s="127"/>
      <c r="Y234" s="137"/>
      <c r="Z234" s="58" t="str" cm="1">
        <f>IF(ISBLANK($A234),"",INDEX(Array_WaterCharges,MATCH($A234,List_WaterMeters,0),ROUNDUP((COLUMN()+0)/3-1,0)))</f>
        <v/>
      </c>
      <c r="AA234" s="127"/>
      <c r="AB234" s="137"/>
      <c r="AC234" s="58" t="str" cm="1">
        <f>IF(ISBLANK($A234),"",INDEX(Array_WaterCharges,MATCH($A234,List_WaterMeters,0),ROUNDUP((COLUMN()+0)/3-1,0)))</f>
        <v/>
      </c>
      <c r="AD234" s="127"/>
      <c r="AE234" s="137"/>
      <c r="AF234" s="58" t="str" cm="1">
        <f>IF(ISBLANK($A234),"",INDEX(Array_WaterCharges,MATCH($A234,List_WaterMeters,0),ROUNDUP((COLUMN()+0)/3-1,0)))</f>
        <v/>
      </c>
      <c r="AG234" s="127"/>
      <c r="AH234" s="137"/>
    </row>
    <row r="235" spans="1:34" x14ac:dyDescent="0.3">
      <c r="A235" s="126"/>
      <c r="B235" s="133"/>
      <c r="C235" s="127"/>
      <c r="D235" s="137"/>
      <c r="E235" s="58" t="str" cm="1">
        <f>IF(ISBLANK($A235),"",INDEX(Array_WaterCharges,MATCH($A235,List_WaterMeters,0),ROUNDUP((COLUMN()+0)/3-1,0)))</f>
        <v/>
      </c>
      <c r="F235" s="127"/>
      <c r="G235" s="137"/>
      <c r="H235" s="58" t="str" cm="1">
        <f>IF(ISBLANK($A235),"",INDEX(Array_WaterCharges,MATCH($A235,List_WaterMeters,0),ROUNDUP((COLUMN()+0)/3-1,0)))</f>
        <v/>
      </c>
      <c r="I235" s="127"/>
      <c r="J235" s="137"/>
      <c r="K235" s="58" t="str" cm="1">
        <f>IF(ISBLANK($A235),"",INDEX(Array_WaterCharges,MATCH($A235,List_WaterMeters,0),ROUNDUP((COLUMN()+0)/3-1,0)))</f>
        <v/>
      </c>
      <c r="L235" s="127"/>
      <c r="M235" s="137"/>
      <c r="N235" s="58" t="str" cm="1">
        <f>IF(ISBLANK($A235),"",INDEX(Array_WaterCharges,MATCH($A235,List_WaterMeters,0),ROUNDUP((COLUMN()+0)/3-1,0)))</f>
        <v/>
      </c>
      <c r="O235" s="127"/>
      <c r="P235" s="137"/>
      <c r="Q235" s="58" t="str" cm="1">
        <f>IF(ISBLANK($A235),"",INDEX(Array_WaterCharges,MATCH($A235,List_WaterMeters,0),ROUNDUP((COLUMN()+0)/3-1,0)))</f>
        <v/>
      </c>
      <c r="R235" s="127"/>
      <c r="S235" s="137"/>
      <c r="T235" s="58" t="str" cm="1">
        <f>IF(ISBLANK($A235),"",INDEX(Array_WaterCharges,MATCH($A235,List_WaterMeters,0),ROUNDUP((COLUMN()+0)/3-1,0)))</f>
        <v/>
      </c>
      <c r="U235" s="127"/>
      <c r="V235" s="137"/>
      <c r="W235" s="58" t="str" cm="1">
        <f>IF(ISBLANK($A235),"",INDEX(Array_WaterCharges,MATCH($A235,List_WaterMeters,0),ROUNDUP((COLUMN()+0)/3-1,0)))</f>
        <v/>
      </c>
      <c r="X235" s="127"/>
      <c r="Y235" s="137"/>
      <c r="Z235" s="58" t="str" cm="1">
        <f>IF(ISBLANK($A235),"",INDEX(Array_WaterCharges,MATCH($A235,List_WaterMeters,0),ROUNDUP((COLUMN()+0)/3-1,0)))</f>
        <v/>
      </c>
      <c r="AA235" s="127"/>
      <c r="AB235" s="137"/>
      <c r="AC235" s="58" t="str" cm="1">
        <f>IF(ISBLANK($A235),"",INDEX(Array_WaterCharges,MATCH($A235,List_WaterMeters,0),ROUNDUP((COLUMN()+0)/3-1,0)))</f>
        <v/>
      </c>
      <c r="AD235" s="127"/>
      <c r="AE235" s="137"/>
      <c r="AF235" s="58" t="str" cm="1">
        <f>IF(ISBLANK($A235),"",INDEX(Array_WaterCharges,MATCH($A235,List_WaterMeters,0),ROUNDUP((COLUMN()+0)/3-1,0)))</f>
        <v/>
      </c>
      <c r="AG235" s="127"/>
      <c r="AH235" s="137"/>
    </row>
    <row r="236" spans="1:34" x14ac:dyDescent="0.3">
      <c r="A236" s="126"/>
      <c r="B236" s="133"/>
      <c r="C236" s="127"/>
      <c r="D236" s="137"/>
      <c r="E236" s="58" t="str" cm="1">
        <f>IF(ISBLANK($A236),"",INDEX(Array_WaterCharges,MATCH($A236,List_WaterMeters,0),ROUNDUP((COLUMN()+0)/3-1,0)))</f>
        <v/>
      </c>
      <c r="F236" s="127"/>
      <c r="G236" s="137"/>
      <c r="H236" s="58" t="str" cm="1">
        <f>IF(ISBLANK($A236),"",INDEX(Array_WaterCharges,MATCH($A236,List_WaterMeters,0),ROUNDUP((COLUMN()+0)/3-1,0)))</f>
        <v/>
      </c>
      <c r="I236" s="127"/>
      <c r="J236" s="137"/>
      <c r="K236" s="58" t="str" cm="1">
        <f>IF(ISBLANK($A236),"",INDEX(Array_WaterCharges,MATCH($A236,List_WaterMeters,0),ROUNDUP((COLUMN()+0)/3-1,0)))</f>
        <v/>
      </c>
      <c r="L236" s="127"/>
      <c r="M236" s="137"/>
      <c r="N236" s="58" t="str" cm="1">
        <f>IF(ISBLANK($A236),"",INDEX(Array_WaterCharges,MATCH($A236,List_WaterMeters,0),ROUNDUP((COLUMN()+0)/3-1,0)))</f>
        <v/>
      </c>
      <c r="O236" s="127"/>
      <c r="P236" s="137"/>
      <c r="Q236" s="58" t="str" cm="1">
        <f>IF(ISBLANK($A236),"",INDEX(Array_WaterCharges,MATCH($A236,List_WaterMeters,0),ROUNDUP((COLUMN()+0)/3-1,0)))</f>
        <v/>
      </c>
      <c r="R236" s="127"/>
      <c r="S236" s="137"/>
      <c r="T236" s="58" t="str" cm="1">
        <f>IF(ISBLANK($A236),"",INDEX(Array_WaterCharges,MATCH($A236,List_WaterMeters,0),ROUNDUP((COLUMN()+0)/3-1,0)))</f>
        <v/>
      </c>
      <c r="U236" s="127"/>
      <c r="V236" s="137"/>
      <c r="W236" s="58" t="str" cm="1">
        <f>IF(ISBLANK($A236),"",INDEX(Array_WaterCharges,MATCH($A236,List_WaterMeters,0),ROUNDUP((COLUMN()+0)/3-1,0)))</f>
        <v/>
      </c>
      <c r="X236" s="127"/>
      <c r="Y236" s="137"/>
      <c r="Z236" s="58" t="str" cm="1">
        <f>IF(ISBLANK($A236),"",INDEX(Array_WaterCharges,MATCH($A236,List_WaterMeters,0),ROUNDUP((COLUMN()+0)/3-1,0)))</f>
        <v/>
      </c>
      <c r="AA236" s="127"/>
      <c r="AB236" s="137"/>
      <c r="AC236" s="58" t="str" cm="1">
        <f>IF(ISBLANK($A236),"",INDEX(Array_WaterCharges,MATCH($A236,List_WaterMeters,0),ROUNDUP((COLUMN()+0)/3-1,0)))</f>
        <v/>
      </c>
      <c r="AD236" s="127"/>
      <c r="AE236" s="137"/>
      <c r="AF236" s="58" t="str" cm="1">
        <f>IF(ISBLANK($A236),"",INDEX(Array_WaterCharges,MATCH($A236,List_WaterMeters,0),ROUNDUP((COLUMN()+0)/3-1,0)))</f>
        <v/>
      </c>
      <c r="AG236" s="127"/>
      <c r="AH236" s="137"/>
    </row>
    <row r="237" spans="1:34" x14ac:dyDescent="0.3">
      <c r="A237" s="126"/>
      <c r="B237" s="133"/>
      <c r="C237" s="127"/>
      <c r="D237" s="137"/>
      <c r="E237" s="58" t="str" cm="1">
        <f>IF(ISBLANK($A237),"",INDEX(Array_WaterCharges,MATCH($A237,List_WaterMeters,0),ROUNDUP((COLUMN()+0)/3-1,0)))</f>
        <v/>
      </c>
      <c r="F237" s="127"/>
      <c r="G237" s="137"/>
      <c r="H237" s="58" t="str" cm="1">
        <f>IF(ISBLANK($A237),"",INDEX(Array_WaterCharges,MATCH($A237,List_WaterMeters,0),ROUNDUP((COLUMN()+0)/3-1,0)))</f>
        <v/>
      </c>
      <c r="I237" s="127"/>
      <c r="J237" s="137"/>
      <c r="K237" s="58" t="str" cm="1">
        <f>IF(ISBLANK($A237),"",INDEX(Array_WaterCharges,MATCH($A237,List_WaterMeters,0),ROUNDUP((COLUMN()+0)/3-1,0)))</f>
        <v/>
      </c>
      <c r="L237" s="127"/>
      <c r="M237" s="137"/>
      <c r="N237" s="58" t="str" cm="1">
        <f>IF(ISBLANK($A237),"",INDEX(Array_WaterCharges,MATCH($A237,List_WaterMeters,0),ROUNDUP((COLUMN()+0)/3-1,0)))</f>
        <v/>
      </c>
      <c r="O237" s="127"/>
      <c r="P237" s="137"/>
      <c r="Q237" s="58" t="str" cm="1">
        <f>IF(ISBLANK($A237),"",INDEX(Array_WaterCharges,MATCH($A237,List_WaterMeters,0),ROUNDUP((COLUMN()+0)/3-1,0)))</f>
        <v/>
      </c>
      <c r="R237" s="127"/>
      <c r="S237" s="137"/>
      <c r="T237" s="58" t="str" cm="1">
        <f>IF(ISBLANK($A237),"",INDEX(Array_WaterCharges,MATCH($A237,List_WaterMeters,0),ROUNDUP((COLUMN()+0)/3-1,0)))</f>
        <v/>
      </c>
      <c r="U237" s="127"/>
      <c r="V237" s="137"/>
      <c r="W237" s="58" t="str" cm="1">
        <f>IF(ISBLANK($A237),"",INDEX(Array_WaterCharges,MATCH($A237,List_WaterMeters,0),ROUNDUP((COLUMN()+0)/3-1,0)))</f>
        <v/>
      </c>
      <c r="X237" s="127"/>
      <c r="Y237" s="137"/>
      <c r="Z237" s="58" t="str" cm="1">
        <f>IF(ISBLANK($A237),"",INDEX(Array_WaterCharges,MATCH($A237,List_WaterMeters,0),ROUNDUP((COLUMN()+0)/3-1,0)))</f>
        <v/>
      </c>
      <c r="AA237" s="127"/>
      <c r="AB237" s="137"/>
      <c r="AC237" s="58" t="str" cm="1">
        <f>IF(ISBLANK($A237),"",INDEX(Array_WaterCharges,MATCH($A237,List_WaterMeters,0),ROUNDUP((COLUMN()+0)/3-1,0)))</f>
        <v/>
      </c>
      <c r="AD237" s="127"/>
      <c r="AE237" s="137"/>
      <c r="AF237" s="58" t="str" cm="1">
        <f>IF(ISBLANK($A237),"",INDEX(Array_WaterCharges,MATCH($A237,List_WaterMeters,0),ROUNDUP((COLUMN()+0)/3-1,0)))</f>
        <v/>
      </c>
      <c r="AG237" s="127"/>
      <c r="AH237" s="137"/>
    </row>
    <row r="238" spans="1:34" x14ac:dyDescent="0.3">
      <c r="A238" s="126"/>
      <c r="B238" s="133"/>
      <c r="C238" s="127"/>
      <c r="D238" s="137"/>
      <c r="E238" s="58" t="str" cm="1">
        <f>IF(ISBLANK($A238),"",INDEX(Array_WaterCharges,MATCH($A238,List_WaterMeters,0),ROUNDUP((COLUMN()+0)/3-1,0)))</f>
        <v/>
      </c>
      <c r="F238" s="127"/>
      <c r="G238" s="137"/>
      <c r="H238" s="58" t="str" cm="1">
        <f>IF(ISBLANK($A238),"",INDEX(Array_WaterCharges,MATCH($A238,List_WaterMeters,0),ROUNDUP((COLUMN()+0)/3-1,0)))</f>
        <v/>
      </c>
      <c r="I238" s="127"/>
      <c r="J238" s="137"/>
      <c r="K238" s="58" t="str" cm="1">
        <f>IF(ISBLANK($A238),"",INDEX(Array_WaterCharges,MATCH($A238,List_WaterMeters,0),ROUNDUP((COLUMN()+0)/3-1,0)))</f>
        <v/>
      </c>
      <c r="L238" s="127"/>
      <c r="M238" s="137"/>
      <c r="N238" s="58" t="str" cm="1">
        <f>IF(ISBLANK($A238),"",INDEX(Array_WaterCharges,MATCH($A238,List_WaterMeters,0),ROUNDUP((COLUMN()+0)/3-1,0)))</f>
        <v/>
      </c>
      <c r="O238" s="127"/>
      <c r="P238" s="137"/>
      <c r="Q238" s="58" t="str" cm="1">
        <f>IF(ISBLANK($A238),"",INDEX(Array_WaterCharges,MATCH($A238,List_WaterMeters,0),ROUNDUP((COLUMN()+0)/3-1,0)))</f>
        <v/>
      </c>
      <c r="R238" s="127"/>
      <c r="S238" s="137"/>
      <c r="T238" s="58" t="str" cm="1">
        <f>IF(ISBLANK($A238),"",INDEX(Array_WaterCharges,MATCH($A238,List_WaterMeters,0),ROUNDUP((COLUMN()+0)/3-1,0)))</f>
        <v/>
      </c>
      <c r="U238" s="127"/>
      <c r="V238" s="137"/>
      <c r="W238" s="58" t="str" cm="1">
        <f>IF(ISBLANK($A238),"",INDEX(Array_WaterCharges,MATCH($A238,List_WaterMeters,0),ROUNDUP((COLUMN()+0)/3-1,0)))</f>
        <v/>
      </c>
      <c r="X238" s="127"/>
      <c r="Y238" s="137"/>
      <c r="Z238" s="58" t="str" cm="1">
        <f>IF(ISBLANK($A238),"",INDEX(Array_WaterCharges,MATCH($A238,List_WaterMeters,0),ROUNDUP((COLUMN()+0)/3-1,0)))</f>
        <v/>
      </c>
      <c r="AA238" s="127"/>
      <c r="AB238" s="137"/>
      <c r="AC238" s="58" t="str" cm="1">
        <f>IF(ISBLANK($A238),"",INDEX(Array_WaterCharges,MATCH($A238,List_WaterMeters,0),ROUNDUP((COLUMN()+0)/3-1,0)))</f>
        <v/>
      </c>
      <c r="AD238" s="127"/>
      <c r="AE238" s="137"/>
      <c r="AF238" s="58" t="str" cm="1">
        <f>IF(ISBLANK($A238),"",INDEX(Array_WaterCharges,MATCH($A238,List_WaterMeters,0),ROUNDUP((COLUMN()+0)/3-1,0)))</f>
        <v/>
      </c>
      <c r="AG238" s="127"/>
      <c r="AH238" s="137"/>
    </row>
    <row r="239" spans="1:34" x14ac:dyDescent="0.3">
      <c r="A239" s="126"/>
      <c r="B239" s="133"/>
      <c r="C239" s="127"/>
      <c r="D239" s="137"/>
      <c r="E239" s="58" t="str" cm="1">
        <f>IF(ISBLANK($A239),"",INDEX(Array_WaterCharges,MATCH($A239,List_WaterMeters,0),ROUNDUP((COLUMN()+0)/3-1,0)))</f>
        <v/>
      </c>
      <c r="F239" s="127"/>
      <c r="G239" s="137"/>
      <c r="H239" s="58" t="str" cm="1">
        <f>IF(ISBLANK($A239),"",INDEX(Array_WaterCharges,MATCH($A239,List_WaterMeters,0),ROUNDUP((COLUMN()+0)/3-1,0)))</f>
        <v/>
      </c>
      <c r="I239" s="127"/>
      <c r="J239" s="137"/>
      <c r="K239" s="58" t="str" cm="1">
        <f>IF(ISBLANK($A239),"",INDEX(Array_WaterCharges,MATCH($A239,List_WaterMeters,0),ROUNDUP((COLUMN()+0)/3-1,0)))</f>
        <v/>
      </c>
      <c r="L239" s="127"/>
      <c r="M239" s="137"/>
      <c r="N239" s="58" t="str" cm="1">
        <f>IF(ISBLANK($A239),"",INDEX(Array_WaterCharges,MATCH($A239,List_WaterMeters,0),ROUNDUP((COLUMN()+0)/3-1,0)))</f>
        <v/>
      </c>
      <c r="O239" s="127"/>
      <c r="P239" s="137"/>
      <c r="Q239" s="58" t="str" cm="1">
        <f>IF(ISBLANK($A239),"",INDEX(Array_WaterCharges,MATCH($A239,List_WaterMeters,0),ROUNDUP((COLUMN()+0)/3-1,0)))</f>
        <v/>
      </c>
      <c r="R239" s="127"/>
      <c r="S239" s="137"/>
      <c r="T239" s="58" t="str" cm="1">
        <f>IF(ISBLANK($A239),"",INDEX(Array_WaterCharges,MATCH($A239,List_WaterMeters,0),ROUNDUP((COLUMN()+0)/3-1,0)))</f>
        <v/>
      </c>
      <c r="U239" s="127"/>
      <c r="V239" s="137"/>
      <c r="W239" s="58" t="str" cm="1">
        <f>IF(ISBLANK($A239),"",INDEX(Array_WaterCharges,MATCH($A239,List_WaterMeters,0),ROUNDUP((COLUMN()+0)/3-1,0)))</f>
        <v/>
      </c>
      <c r="X239" s="127"/>
      <c r="Y239" s="137"/>
      <c r="Z239" s="58" t="str" cm="1">
        <f>IF(ISBLANK($A239),"",INDEX(Array_WaterCharges,MATCH($A239,List_WaterMeters,0),ROUNDUP((COLUMN()+0)/3-1,0)))</f>
        <v/>
      </c>
      <c r="AA239" s="127"/>
      <c r="AB239" s="137"/>
      <c r="AC239" s="58" t="str" cm="1">
        <f>IF(ISBLANK($A239),"",INDEX(Array_WaterCharges,MATCH($A239,List_WaterMeters,0),ROUNDUP((COLUMN()+0)/3-1,0)))</f>
        <v/>
      </c>
      <c r="AD239" s="127"/>
      <c r="AE239" s="137"/>
      <c r="AF239" s="58" t="str" cm="1">
        <f>IF(ISBLANK($A239),"",INDEX(Array_WaterCharges,MATCH($A239,List_WaterMeters,0),ROUNDUP((COLUMN()+0)/3-1,0)))</f>
        <v/>
      </c>
      <c r="AG239" s="127"/>
      <c r="AH239" s="137"/>
    </row>
    <row r="240" spans="1:34" x14ac:dyDescent="0.3">
      <c r="A240" s="126"/>
      <c r="B240" s="133"/>
      <c r="C240" s="127"/>
      <c r="D240" s="137"/>
      <c r="E240" s="58" t="str" cm="1">
        <f>IF(ISBLANK($A240),"",INDEX(Array_WaterCharges,MATCH($A240,List_WaterMeters,0),ROUNDUP((COLUMN()+0)/3-1,0)))</f>
        <v/>
      </c>
      <c r="F240" s="127"/>
      <c r="G240" s="137"/>
      <c r="H240" s="58" t="str" cm="1">
        <f>IF(ISBLANK($A240),"",INDEX(Array_WaterCharges,MATCH($A240,List_WaterMeters,0),ROUNDUP((COLUMN()+0)/3-1,0)))</f>
        <v/>
      </c>
      <c r="I240" s="127"/>
      <c r="J240" s="137"/>
      <c r="K240" s="58" t="str" cm="1">
        <f>IF(ISBLANK($A240),"",INDEX(Array_WaterCharges,MATCH($A240,List_WaterMeters,0),ROUNDUP((COLUMN()+0)/3-1,0)))</f>
        <v/>
      </c>
      <c r="L240" s="127"/>
      <c r="M240" s="137"/>
      <c r="N240" s="58" t="str" cm="1">
        <f>IF(ISBLANK($A240),"",INDEX(Array_WaterCharges,MATCH($A240,List_WaterMeters,0),ROUNDUP((COLUMN()+0)/3-1,0)))</f>
        <v/>
      </c>
      <c r="O240" s="127"/>
      <c r="P240" s="137"/>
      <c r="Q240" s="58" t="str" cm="1">
        <f>IF(ISBLANK($A240),"",INDEX(Array_WaterCharges,MATCH($A240,List_WaterMeters,0),ROUNDUP((COLUMN()+0)/3-1,0)))</f>
        <v/>
      </c>
      <c r="R240" s="127"/>
      <c r="S240" s="137"/>
      <c r="T240" s="58" t="str" cm="1">
        <f>IF(ISBLANK($A240),"",INDEX(Array_WaterCharges,MATCH($A240,List_WaterMeters,0),ROUNDUP((COLUMN()+0)/3-1,0)))</f>
        <v/>
      </c>
      <c r="U240" s="127"/>
      <c r="V240" s="137"/>
      <c r="W240" s="58" t="str" cm="1">
        <f>IF(ISBLANK($A240),"",INDEX(Array_WaterCharges,MATCH($A240,List_WaterMeters,0),ROUNDUP((COLUMN()+0)/3-1,0)))</f>
        <v/>
      </c>
      <c r="X240" s="127"/>
      <c r="Y240" s="137"/>
      <c r="Z240" s="58" t="str" cm="1">
        <f>IF(ISBLANK($A240),"",INDEX(Array_WaterCharges,MATCH($A240,List_WaterMeters,0),ROUNDUP((COLUMN()+0)/3-1,0)))</f>
        <v/>
      </c>
      <c r="AA240" s="127"/>
      <c r="AB240" s="137"/>
      <c r="AC240" s="58" t="str" cm="1">
        <f>IF(ISBLANK($A240),"",INDEX(Array_WaterCharges,MATCH($A240,List_WaterMeters,0),ROUNDUP((COLUMN()+0)/3-1,0)))</f>
        <v/>
      </c>
      <c r="AD240" s="127"/>
      <c r="AE240" s="137"/>
      <c r="AF240" s="58" t="str" cm="1">
        <f>IF(ISBLANK($A240),"",INDEX(Array_WaterCharges,MATCH($A240,List_WaterMeters,0),ROUNDUP((COLUMN()+0)/3-1,0)))</f>
        <v/>
      </c>
      <c r="AG240" s="127"/>
      <c r="AH240" s="137"/>
    </row>
    <row r="241" spans="1:34" x14ac:dyDescent="0.3">
      <c r="A241" s="126"/>
      <c r="B241" s="133"/>
      <c r="C241" s="127"/>
      <c r="D241" s="137"/>
      <c r="E241" s="58" t="str" cm="1">
        <f>IF(ISBLANK($A241),"",INDEX(Array_WaterCharges,MATCH($A241,List_WaterMeters,0),ROUNDUP((COLUMN()+0)/3-1,0)))</f>
        <v/>
      </c>
      <c r="F241" s="127"/>
      <c r="G241" s="137"/>
      <c r="H241" s="58" t="str" cm="1">
        <f>IF(ISBLANK($A241),"",INDEX(Array_WaterCharges,MATCH($A241,List_WaterMeters,0),ROUNDUP((COLUMN()+0)/3-1,0)))</f>
        <v/>
      </c>
      <c r="I241" s="127"/>
      <c r="J241" s="137"/>
      <c r="K241" s="58" t="str" cm="1">
        <f>IF(ISBLANK($A241),"",INDEX(Array_WaterCharges,MATCH($A241,List_WaterMeters,0),ROUNDUP((COLUMN()+0)/3-1,0)))</f>
        <v/>
      </c>
      <c r="L241" s="127"/>
      <c r="M241" s="137"/>
      <c r="N241" s="58" t="str" cm="1">
        <f>IF(ISBLANK($A241),"",INDEX(Array_WaterCharges,MATCH($A241,List_WaterMeters,0),ROUNDUP((COLUMN()+0)/3-1,0)))</f>
        <v/>
      </c>
      <c r="O241" s="127"/>
      <c r="P241" s="137"/>
      <c r="Q241" s="58" t="str" cm="1">
        <f>IF(ISBLANK($A241),"",INDEX(Array_WaterCharges,MATCH($A241,List_WaterMeters,0),ROUNDUP((COLUMN()+0)/3-1,0)))</f>
        <v/>
      </c>
      <c r="R241" s="127"/>
      <c r="S241" s="137"/>
      <c r="T241" s="58" t="str" cm="1">
        <f>IF(ISBLANK($A241),"",INDEX(Array_WaterCharges,MATCH($A241,List_WaterMeters,0),ROUNDUP((COLUMN()+0)/3-1,0)))</f>
        <v/>
      </c>
      <c r="U241" s="127"/>
      <c r="V241" s="137"/>
      <c r="W241" s="58" t="str" cm="1">
        <f>IF(ISBLANK($A241),"",INDEX(Array_WaterCharges,MATCH($A241,List_WaterMeters,0),ROUNDUP((COLUMN()+0)/3-1,0)))</f>
        <v/>
      </c>
      <c r="X241" s="127"/>
      <c r="Y241" s="137"/>
      <c r="Z241" s="58" t="str" cm="1">
        <f>IF(ISBLANK($A241),"",INDEX(Array_WaterCharges,MATCH($A241,List_WaterMeters,0),ROUNDUP((COLUMN()+0)/3-1,0)))</f>
        <v/>
      </c>
      <c r="AA241" s="127"/>
      <c r="AB241" s="137"/>
      <c r="AC241" s="58" t="str" cm="1">
        <f>IF(ISBLANK($A241),"",INDEX(Array_WaterCharges,MATCH($A241,List_WaterMeters,0),ROUNDUP((COLUMN()+0)/3-1,0)))</f>
        <v/>
      </c>
      <c r="AD241" s="127"/>
      <c r="AE241" s="137"/>
      <c r="AF241" s="58" t="str" cm="1">
        <f>IF(ISBLANK($A241),"",INDEX(Array_WaterCharges,MATCH($A241,List_WaterMeters,0),ROUNDUP((COLUMN()+0)/3-1,0)))</f>
        <v/>
      </c>
      <c r="AG241" s="127"/>
      <c r="AH241" s="137"/>
    </row>
    <row r="242" spans="1:34" x14ac:dyDescent="0.3">
      <c r="A242" s="126"/>
      <c r="B242" s="133"/>
      <c r="C242" s="127"/>
      <c r="D242" s="137"/>
      <c r="E242" s="58" t="str" cm="1">
        <f>IF(ISBLANK($A242),"",INDEX(Array_WaterCharges,MATCH($A242,List_WaterMeters,0),ROUNDUP((COLUMN()+0)/3-1,0)))</f>
        <v/>
      </c>
      <c r="F242" s="127"/>
      <c r="G242" s="137"/>
      <c r="H242" s="58" t="str" cm="1">
        <f>IF(ISBLANK($A242),"",INDEX(Array_WaterCharges,MATCH($A242,List_WaterMeters,0),ROUNDUP((COLUMN()+0)/3-1,0)))</f>
        <v/>
      </c>
      <c r="I242" s="127"/>
      <c r="J242" s="137"/>
      <c r="K242" s="58" t="str" cm="1">
        <f>IF(ISBLANK($A242),"",INDEX(Array_WaterCharges,MATCH($A242,List_WaterMeters,0),ROUNDUP((COLUMN()+0)/3-1,0)))</f>
        <v/>
      </c>
      <c r="L242" s="127"/>
      <c r="M242" s="137"/>
      <c r="N242" s="58" t="str" cm="1">
        <f>IF(ISBLANK($A242),"",INDEX(Array_WaterCharges,MATCH($A242,List_WaterMeters,0),ROUNDUP((COLUMN()+0)/3-1,0)))</f>
        <v/>
      </c>
      <c r="O242" s="127"/>
      <c r="P242" s="137"/>
      <c r="Q242" s="58" t="str" cm="1">
        <f>IF(ISBLANK($A242),"",INDEX(Array_WaterCharges,MATCH($A242,List_WaterMeters,0),ROUNDUP((COLUMN()+0)/3-1,0)))</f>
        <v/>
      </c>
      <c r="R242" s="127"/>
      <c r="S242" s="137"/>
      <c r="T242" s="58" t="str" cm="1">
        <f>IF(ISBLANK($A242),"",INDEX(Array_WaterCharges,MATCH($A242,List_WaterMeters,0),ROUNDUP((COLUMN()+0)/3-1,0)))</f>
        <v/>
      </c>
      <c r="U242" s="127"/>
      <c r="V242" s="137"/>
      <c r="W242" s="58" t="str" cm="1">
        <f>IF(ISBLANK($A242),"",INDEX(Array_WaterCharges,MATCH($A242,List_WaterMeters,0),ROUNDUP((COLUMN()+0)/3-1,0)))</f>
        <v/>
      </c>
      <c r="X242" s="127"/>
      <c r="Y242" s="137"/>
      <c r="Z242" s="58" t="str" cm="1">
        <f>IF(ISBLANK($A242),"",INDEX(Array_WaterCharges,MATCH($A242,List_WaterMeters,0),ROUNDUP((COLUMN()+0)/3-1,0)))</f>
        <v/>
      </c>
      <c r="AA242" s="127"/>
      <c r="AB242" s="137"/>
      <c r="AC242" s="58" t="str" cm="1">
        <f>IF(ISBLANK($A242),"",INDEX(Array_WaterCharges,MATCH($A242,List_WaterMeters,0),ROUNDUP((COLUMN()+0)/3-1,0)))</f>
        <v/>
      </c>
      <c r="AD242" s="127"/>
      <c r="AE242" s="137"/>
      <c r="AF242" s="58" t="str" cm="1">
        <f>IF(ISBLANK($A242),"",INDEX(Array_WaterCharges,MATCH($A242,List_WaterMeters,0),ROUNDUP((COLUMN()+0)/3-1,0)))</f>
        <v/>
      </c>
      <c r="AG242" s="127"/>
      <c r="AH242" s="137"/>
    </row>
    <row r="243" spans="1:34" x14ac:dyDescent="0.3">
      <c r="A243" s="126"/>
      <c r="B243" s="133"/>
      <c r="C243" s="127"/>
      <c r="D243" s="137"/>
      <c r="E243" s="58" t="str" cm="1">
        <f>IF(ISBLANK($A243),"",INDEX(Array_WaterCharges,MATCH($A243,List_WaterMeters,0),ROUNDUP((COLUMN()+0)/3-1,0)))</f>
        <v/>
      </c>
      <c r="F243" s="127"/>
      <c r="G243" s="137"/>
      <c r="H243" s="58" t="str" cm="1">
        <f>IF(ISBLANK($A243),"",INDEX(Array_WaterCharges,MATCH($A243,List_WaterMeters,0),ROUNDUP((COLUMN()+0)/3-1,0)))</f>
        <v/>
      </c>
      <c r="I243" s="127"/>
      <c r="J243" s="137"/>
      <c r="K243" s="58" t="str" cm="1">
        <f>IF(ISBLANK($A243),"",INDEX(Array_WaterCharges,MATCH($A243,List_WaterMeters,0),ROUNDUP((COLUMN()+0)/3-1,0)))</f>
        <v/>
      </c>
      <c r="L243" s="127"/>
      <c r="M243" s="137"/>
      <c r="N243" s="58" t="str" cm="1">
        <f>IF(ISBLANK($A243),"",INDEX(Array_WaterCharges,MATCH($A243,List_WaterMeters,0),ROUNDUP((COLUMN()+0)/3-1,0)))</f>
        <v/>
      </c>
      <c r="O243" s="127"/>
      <c r="P243" s="137"/>
      <c r="Q243" s="58" t="str" cm="1">
        <f>IF(ISBLANK($A243),"",INDEX(Array_WaterCharges,MATCH($A243,List_WaterMeters,0),ROUNDUP((COLUMN()+0)/3-1,0)))</f>
        <v/>
      </c>
      <c r="R243" s="127"/>
      <c r="S243" s="137"/>
      <c r="T243" s="58" t="str" cm="1">
        <f>IF(ISBLANK($A243),"",INDEX(Array_WaterCharges,MATCH($A243,List_WaterMeters,0),ROUNDUP((COLUMN()+0)/3-1,0)))</f>
        <v/>
      </c>
      <c r="U243" s="127"/>
      <c r="V243" s="137"/>
      <c r="W243" s="58" t="str" cm="1">
        <f>IF(ISBLANK($A243),"",INDEX(Array_WaterCharges,MATCH($A243,List_WaterMeters,0),ROUNDUP((COLUMN()+0)/3-1,0)))</f>
        <v/>
      </c>
      <c r="X243" s="127"/>
      <c r="Y243" s="137"/>
      <c r="Z243" s="58" t="str" cm="1">
        <f>IF(ISBLANK($A243),"",INDEX(Array_WaterCharges,MATCH($A243,List_WaterMeters,0),ROUNDUP((COLUMN()+0)/3-1,0)))</f>
        <v/>
      </c>
      <c r="AA243" s="127"/>
      <c r="AB243" s="137"/>
      <c r="AC243" s="58" t="str" cm="1">
        <f>IF(ISBLANK($A243),"",INDEX(Array_WaterCharges,MATCH($A243,List_WaterMeters,0),ROUNDUP((COLUMN()+0)/3-1,0)))</f>
        <v/>
      </c>
      <c r="AD243" s="127"/>
      <c r="AE243" s="137"/>
      <c r="AF243" s="58" t="str" cm="1">
        <f>IF(ISBLANK($A243),"",INDEX(Array_WaterCharges,MATCH($A243,List_WaterMeters,0),ROUNDUP((COLUMN()+0)/3-1,0)))</f>
        <v/>
      </c>
      <c r="AG243" s="127"/>
      <c r="AH243" s="137"/>
    </row>
    <row r="244" spans="1:34" x14ac:dyDescent="0.3">
      <c r="A244" s="126"/>
      <c r="B244" s="133"/>
      <c r="C244" s="127"/>
      <c r="D244" s="137"/>
      <c r="E244" s="58" t="str" cm="1">
        <f>IF(ISBLANK($A244),"",INDEX(Array_WaterCharges,MATCH($A244,List_WaterMeters,0),ROUNDUP((COLUMN()+0)/3-1,0)))</f>
        <v/>
      </c>
      <c r="F244" s="127"/>
      <c r="G244" s="137"/>
      <c r="H244" s="58" t="str" cm="1">
        <f>IF(ISBLANK($A244),"",INDEX(Array_WaterCharges,MATCH($A244,List_WaterMeters,0),ROUNDUP((COLUMN()+0)/3-1,0)))</f>
        <v/>
      </c>
      <c r="I244" s="127"/>
      <c r="J244" s="137"/>
      <c r="K244" s="58" t="str" cm="1">
        <f>IF(ISBLANK($A244),"",INDEX(Array_WaterCharges,MATCH($A244,List_WaterMeters,0),ROUNDUP((COLUMN()+0)/3-1,0)))</f>
        <v/>
      </c>
      <c r="L244" s="127"/>
      <c r="M244" s="137"/>
      <c r="N244" s="58" t="str" cm="1">
        <f>IF(ISBLANK($A244),"",INDEX(Array_WaterCharges,MATCH($A244,List_WaterMeters,0),ROUNDUP((COLUMN()+0)/3-1,0)))</f>
        <v/>
      </c>
      <c r="O244" s="127"/>
      <c r="P244" s="137"/>
      <c r="Q244" s="58" t="str" cm="1">
        <f>IF(ISBLANK($A244),"",INDEX(Array_WaterCharges,MATCH($A244,List_WaterMeters,0),ROUNDUP((COLUMN()+0)/3-1,0)))</f>
        <v/>
      </c>
      <c r="R244" s="127"/>
      <c r="S244" s="137"/>
      <c r="T244" s="58" t="str" cm="1">
        <f>IF(ISBLANK($A244),"",INDEX(Array_WaterCharges,MATCH($A244,List_WaterMeters,0),ROUNDUP((COLUMN()+0)/3-1,0)))</f>
        <v/>
      </c>
      <c r="U244" s="127"/>
      <c r="V244" s="137"/>
      <c r="W244" s="58" t="str" cm="1">
        <f>IF(ISBLANK($A244),"",INDEX(Array_WaterCharges,MATCH($A244,List_WaterMeters,0),ROUNDUP((COLUMN()+0)/3-1,0)))</f>
        <v/>
      </c>
      <c r="X244" s="127"/>
      <c r="Y244" s="137"/>
      <c r="Z244" s="58" t="str" cm="1">
        <f>IF(ISBLANK($A244),"",INDEX(Array_WaterCharges,MATCH($A244,List_WaterMeters,0),ROUNDUP((COLUMN()+0)/3-1,0)))</f>
        <v/>
      </c>
      <c r="AA244" s="127"/>
      <c r="AB244" s="137"/>
      <c r="AC244" s="58" t="str" cm="1">
        <f>IF(ISBLANK($A244),"",INDEX(Array_WaterCharges,MATCH($A244,List_WaterMeters,0),ROUNDUP((COLUMN()+0)/3-1,0)))</f>
        <v/>
      </c>
      <c r="AD244" s="127"/>
      <c r="AE244" s="137"/>
      <c r="AF244" s="58" t="str" cm="1">
        <f>IF(ISBLANK($A244),"",INDEX(Array_WaterCharges,MATCH($A244,List_WaterMeters,0),ROUNDUP((COLUMN()+0)/3-1,0)))</f>
        <v/>
      </c>
      <c r="AG244" s="127"/>
      <c r="AH244" s="137"/>
    </row>
    <row r="245" spans="1:34" x14ac:dyDescent="0.3">
      <c r="A245" s="126"/>
      <c r="B245" s="133"/>
      <c r="C245" s="127"/>
      <c r="D245" s="137"/>
      <c r="E245" s="58" t="str" cm="1">
        <f>IF(ISBLANK($A245),"",INDEX(Array_WaterCharges,MATCH($A245,List_WaterMeters,0),ROUNDUP((COLUMN()+0)/3-1,0)))</f>
        <v/>
      </c>
      <c r="F245" s="127"/>
      <c r="G245" s="137"/>
      <c r="H245" s="58" t="str" cm="1">
        <f>IF(ISBLANK($A245),"",INDEX(Array_WaterCharges,MATCH($A245,List_WaterMeters,0),ROUNDUP((COLUMN()+0)/3-1,0)))</f>
        <v/>
      </c>
      <c r="I245" s="127"/>
      <c r="J245" s="137"/>
      <c r="K245" s="58" t="str" cm="1">
        <f>IF(ISBLANK($A245),"",INDEX(Array_WaterCharges,MATCH($A245,List_WaterMeters,0),ROUNDUP((COLUMN()+0)/3-1,0)))</f>
        <v/>
      </c>
      <c r="L245" s="127"/>
      <c r="M245" s="137"/>
      <c r="N245" s="58" t="str" cm="1">
        <f>IF(ISBLANK($A245),"",INDEX(Array_WaterCharges,MATCH($A245,List_WaterMeters,0),ROUNDUP((COLUMN()+0)/3-1,0)))</f>
        <v/>
      </c>
      <c r="O245" s="127"/>
      <c r="P245" s="137"/>
      <c r="Q245" s="58" t="str" cm="1">
        <f>IF(ISBLANK($A245),"",INDEX(Array_WaterCharges,MATCH($A245,List_WaterMeters,0),ROUNDUP((COLUMN()+0)/3-1,0)))</f>
        <v/>
      </c>
      <c r="R245" s="127"/>
      <c r="S245" s="137"/>
      <c r="T245" s="58" t="str" cm="1">
        <f>IF(ISBLANK($A245),"",INDEX(Array_WaterCharges,MATCH($A245,List_WaterMeters,0),ROUNDUP((COLUMN()+0)/3-1,0)))</f>
        <v/>
      </c>
      <c r="U245" s="127"/>
      <c r="V245" s="137"/>
      <c r="W245" s="58" t="str" cm="1">
        <f>IF(ISBLANK($A245),"",INDEX(Array_WaterCharges,MATCH($A245,List_WaterMeters,0),ROUNDUP((COLUMN()+0)/3-1,0)))</f>
        <v/>
      </c>
      <c r="X245" s="127"/>
      <c r="Y245" s="137"/>
      <c r="Z245" s="58" t="str" cm="1">
        <f>IF(ISBLANK($A245),"",INDEX(Array_WaterCharges,MATCH($A245,List_WaterMeters,0),ROUNDUP((COLUMN()+0)/3-1,0)))</f>
        <v/>
      </c>
      <c r="AA245" s="127"/>
      <c r="AB245" s="137"/>
      <c r="AC245" s="58" t="str" cm="1">
        <f>IF(ISBLANK($A245),"",INDEX(Array_WaterCharges,MATCH($A245,List_WaterMeters,0),ROUNDUP((COLUMN()+0)/3-1,0)))</f>
        <v/>
      </c>
      <c r="AD245" s="127"/>
      <c r="AE245" s="137"/>
      <c r="AF245" s="58" t="str" cm="1">
        <f>IF(ISBLANK($A245),"",INDEX(Array_WaterCharges,MATCH($A245,List_WaterMeters,0),ROUNDUP((COLUMN()+0)/3-1,0)))</f>
        <v/>
      </c>
      <c r="AG245" s="127"/>
      <c r="AH245" s="137"/>
    </row>
    <row r="246" spans="1:34" x14ac:dyDescent="0.3">
      <c r="A246" s="126"/>
      <c r="B246" s="133"/>
      <c r="C246" s="127"/>
      <c r="D246" s="137"/>
      <c r="E246" s="58" t="str" cm="1">
        <f>IF(ISBLANK($A246),"",INDEX(Array_WaterCharges,MATCH($A246,List_WaterMeters,0),ROUNDUP((COLUMN()+0)/3-1,0)))</f>
        <v/>
      </c>
      <c r="F246" s="127"/>
      <c r="G246" s="137"/>
      <c r="H246" s="58" t="str" cm="1">
        <f>IF(ISBLANK($A246),"",INDEX(Array_WaterCharges,MATCH($A246,List_WaterMeters,0),ROUNDUP((COLUMN()+0)/3-1,0)))</f>
        <v/>
      </c>
      <c r="I246" s="127"/>
      <c r="J246" s="137"/>
      <c r="K246" s="58" t="str" cm="1">
        <f>IF(ISBLANK($A246),"",INDEX(Array_WaterCharges,MATCH($A246,List_WaterMeters,0),ROUNDUP((COLUMN()+0)/3-1,0)))</f>
        <v/>
      </c>
      <c r="L246" s="127"/>
      <c r="M246" s="137"/>
      <c r="N246" s="58" t="str" cm="1">
        <f>IF(ISBLANK($A246),"",INDEX(Array_WaterCharges,MATCH($A246,List_WaterMeters,0),ROUNDUP((COLUMN()+0)/3-1,0)))</f>
        <v/>
      </c>
      <c r="O246" s="127"/>
      <c r="P246" s="137"/>
      <c r="Q246" s="58" t="str" cm="1">
        <f>IF(ISBLANK($A246),"",INDEX(Array_WaterCharges,MATCH($A246,List_WaterMeters,0),ROUNDUP((COLUMN()+0)/3-1,0)))</f>
        <v/>
      </c>
      <c r="R246" s="127"/>
      <c r="S246" s="137"/>
      <c r="T246" s="58" t="str" cm="1">
        <f>IF(ISBLANK($A246),"",INDEX(Array_WaterCharges,MATCH($A246,List_WaterMeters,0),ROUNDUP((COLUMN()+0)/3-1,0)))</f>
        <v/>
      </c>
      <c r="U246" s="127"/>
      <c r="V246" s="137"/>
      <c r="W246" s="58" t="str" cm="1">
        <f>IF(ISBLANK($A246),"",INDEX(Array_WaterCharges,MATCH($A246,List_WaterMeters,0),ROUNDUP((COLUMN()+0)/3-1,0)))</f>
        <v/>
      </c>
      <c r="X246" s="127"/>
      <c r="Y246" s="137"/>
      <c r="Z246" s="58" t="str" cm="1">
        <f>IF(ISBLANK($A246),"",INDEX(Array_WaterCharges,MATCH($A246,List_WaterMeters,0),ROUNDUP((COLUMN()+0)/3-1,0)))</f>
        <v/>
      </c>
      <c r="AA246" s="127"/>
      <c r="AB246" s="137"/>
      <c r="AC246" s="58" t="str" cm="1">
        <f>IF(ISBLANK($A246),"",INDEX(Array_WaterCharges,MATCH($A246,List_WaterMeters,0),ROUNDUP((COLUMN()+0)/3-1,0)))</f>
        <v/>
      </c>
      <c r="AD246" s="127"/>
      <c r="AE246" s="137"/>
      <c r="AF246" s="58" t="str" cm="1">
        <f>IF(ISBLANK($A246),"",INDEX(Array_WaterCharges,MATCH($A246,List_WaterMeters,0),ROUNDUP((COLUMN()+0)/3-1,0)))</f>
        <v/>
      </c>
      <c r="AG246" s="127"/>
      <c r="AH246" s="137"/>
    </row>
    <row r="247" spans="1:34" x14ac:dyDescent="0.3">
      <c r="A247" s="126"/>
      <c r="B247" s="133"/>
      <c r="C247" s="127"/>
      <c r="D247" s="137"/>
      <c r="E247" s="58" t="str" cm="1">
        <f>IF(ISBLANK($A247),"",INDEX(Array_WaterCharges,MATCH($A247,List_WaterMeters,0),ROUNDUP((COLUMN()+0)/3-1,0)))</f>
        <v/>
      </c>
      <c r="F247" s="127"/>
      <c r="G247" s="137"/>
      <c r="H247" s="58" t="str" cm="1">
        <f>IF(ISBLANK($A247),"",INDEX(Array_WaterCharges,MATCH($A247,List_WaterMeters,0),ROUNDUP((COLUMN()+0)/3-1,0)))</f>
        <v/>
      </c>
      <c r="I247" s="127"/>
      <c r="J247" s="137"/>
      <c r="K247" s="58" t="str" cm="1">
        <f>IF(ISBLANK($A247),"",INDEX(Array_WaterCharges,MATCH($A247,List_WaterMeters,0),ROUNDUP((COLUMN()+0)/3-1,0)))</f>
        <v/>
      </c>
      <c r="L247" s="127"/>
      <c r="M247" s="137"/>
      <c r="N247" s="58" t="str" cm="1">
        <f>IF(ISBLANK($A247),"",INDEX(Array_WaterCharges,MATCH($A247,List_WaterMeters,0),ROUNDUP((COLUMN()+0)/3-1,0)))</f>
        <v/>
      </c>
      <c r="O247" s="127"/>
      <c r="P247" s="137"/>
      <c r="Q247" s="58" t="str" cm="1">
        <f>IF(ISBLANK($A247),"",INDEX(Array_WaterCharges,MATCH($A247,List_WaterMeters,0),ROUNDUP((COLUMN()+0)/3-1,0)))</f>
        <v/>
      </c>
      <c r="R247" s="127"/>
      <c r="S247" s="137"/>
      <c r="T247" s="58" t="str" cm="1">
        <f>IF(ISBLANK($A247),"",INDEX(Array_WaterCharges,MATCH($A247,List_WaterMeters,0),ROUNDUP((COLUMN()+0)/3-1,0)))</f>
        <v/>
      </c>
      <c r="U247" s="127"/>
      <c r="V247" s="137"/>
      <c r="W247" s="58" t="str" cm="1">
        <f>IF(ISBLANK($A247),"",INDEX(Array_WaterCharges,MATCH($A247,List_WaterMeters,0),ROUNDUP((COLUMN()+0)/3-1,0)))</f>
        <v/>
      </c>
      <c r="X247" s="127"/>
      <c r="Y247" s="137"/>
      <c r="Z247" s="58" t="str" cm="1">
        <f>IF(ISBLANK($A247),"",INDEX(Array_WaterCharges,MATCH($A247,List_WaterMeters,0),ROUNDUP((COLUMN()+0)/3-1,0)))</f>
        <v/>
      </c>
      <c r="AA247" s="127"/>
      <c r="AB247" s="137"/>
      <c r="AC247" s="58" t="str" cm="1">
        <f>IF(ISBLANK($A247),"",INDEX(Array_WaterCharges,MATCH($A247,List_WaterMeters,0),ROUNDUP((COLUMN()+0)/3-1,0)))</f>
        <v/>
      </c>
      <c r="AD247" s="127"/>
      <c r="AE247" s="137"/>
      <c r="AF247" s="58" t="str" cm="1">
        <f>IF(ISBLANK($A247),"",INDEX(Array_WaterCharges,MATCH($A247,List_WaterMeters,0),ROUNDUP((COLUMN()+0)/3-1,0)))</f>
        <v/>
      </c>
      <c r="AG247" s="127"/>
      <c r="AH247" s="137"/>
    </row>
    <row r="248" spans="1:34" x14ac:dyDescent="0.3">
      <c r="A248" s="126"/>
      <c r="B248" s="133"/>
      <c r="C248" s="127"/>
      <c r="D248" s="137"/>
      <c r="E248" s="58" t="str" cm="1">
        <f>IF(ISBLANK($A248),"",INDEX(Array_WaterCharges,MATCH($A248,List_WaterMeters,0),ROUNDUP((COLUMN()+0)/3-1,0)))</f>
        <v/>
      </c>
      <c r="F248" s="127"/>
      <c r="G248" s="137"/>
      <c r="H248" s="58" t="str" cm="1">
        <f>IF(ISBLANK($A248),"",INDEX(Array_WaterCharges,MATCH($A248,List_WaterMeters,0),ROUNDUP((COLUMN()+0)/3-1,0)))</f>
        <v/>
      </c>
      <c r="I248" s="127"/>
      <c r="J248" s="137"/>
      <c r="K248" s="58" t="str" cm="1">
        <f>IF(ISBLANK($A248),"",INDEX(Array_WaterCharges,MATCH($A248,List_WaterMeters,0),ROUNDUP((COLUMN()+0)/3-1,0)))</f>
        <v/>
      </c>
      <c r="L248" s="127"/>
      <c r="M248" s="137"/>
      <c r="N248" s="58" t="str" cm="1">
        <f>IF(ISBLANK($A248),"",INDEX(Array_WaterCharges,MATCH($A248,List_WaterMeters,0),ROUNDUP((COLUMN()+0)/3-1,0)))</f>
        <v/>
      </c>
      <c r="O248" s="127"/>
      <c r="P248" s="137"/>
      <c r="Q248" s="58" t="str" cm="1">
        <f>IF(ISBLANK($A248),"",INDEX(Array_WaterCharges,MATCH($A248,List_WaterMeters,0),ROUNDUP((COLUMN()+0)/3-1,0)))</f>
        <v/>
      </c>
      <c r="R248" s="127"/>
      <c r="S248" s="137"/>
      <c r="T248" s="58" t="str" cm="1">
        <f>IF(ISBLANK($A248),"",INDEX(Array_WaterCharges,MATCH($A248,List_WaterMeters,0),ROUNDUP((COLUMN()+0)/3-1,0)))</f>
        <v/>
      </c>
      <c r="U248" s="127"/>
      <c r="V248" s="137"/>
      <c r="W248" s="58" t="str" cm="1">
        <f>IF(ISBLANK($A248),"",INDEX(Array_WaterCharges,MATCH($A248,List_WaterMeters,0),ROUNDUP((COLUMN()+0)/3-1,0)))</f>
        <v/>
      </c>
      <c r="X248" s="127"/>
      <c r="Y248" s="137"/>
      <c r="Z248" s="58" t="str" cm="1">
        <f>IF(ISBLANK($A248),"",INDEX(Array_WaterCharges,MATCH($A248,List_WaterMeters,0),ROUNDUP((COLUMN()+0)/3-1,0)))</f>
        <v/>
      </c>
      <c r="AA248" s="127"/>
      <c r="AB248" s="137"/>
      <c r="AC248" s="58" t="str" cm="1">
        <f>IF(ISBLANK($A248),"",INDEX(Array_WaterCharges,MATCH($A248,List_WaterMeters,0),ROUNDUP((COLUMN()+0)/3-1,0)))</f>
        <v/>
      </c>
      <c r="AD248" s="127"/>
      <c r="AE248" s="137"/>
      <c r="AF248" s="58" t="str" cm="1">
        <f>IF(ISBLANK($A248),"",INDEX(Array_WaterCharges,MATCH($A248,List_WaterMeters,0),ROUNDUP((COLUMN()+0)/3-1,0)))</f>
        <v/>
      </c>
      <c r="AG248" s="127"/>
      <c r="AH248" s="137"/>
    </row>
    <row r="249" spans="1:34" x14ac:dyDescent="0.3">
      <c r="A249" s="126"/>
      <c r="B249" s="133"/>
      <c r="C249" s="127"/>
      <c r="D249" s="137"/>
      <c r="E249" s="58" t="str" cm="1">
        <f>IF(ISBLANK($A249),"",INDEX(Array_WaterCharges,MATCH($A249,List_WaterMeters,0),ROUNDUP((COLUMN()+0)/3-1,0)))</f>
        <v/>
      </c>
      <c r="F249" s="127"/>
      <c r="G249" s="137"/>
      <c r="H249" s="58" t="str" cm="1">
        <f>IF(ISBLANK($A249),"",INDEX(Array_WaterCharges,MATCH($A249,List_WaterMeters,0),ROUNDUP((COLUMN()+0)/3-1,0)))</f>
        <v/>
      </c>
      <c r="I249" s="127"/>
      <c r="J249" s="137"/>
      <c r="K249" s="58" t="str" cm="1">
        <f>IF(ISBLANK($A249),"",INDEX(Array_WaterCharges,MATCH($A249,List_WaterMeters,0),ROUNDUP((COLUMN()+0)/3-1,0)))</f>
        <v/>
      </c>
      <c r="L249" s="127"/>
      <c r="M249" s="137"/>
      <c r="N249" s="58" t="str" cm="1">
        <f>IF(ISBLANK($A249),"",INDEX(Array_WaterCharges,MATCH($A249,List_WaterMeters,0),ROUNDUP((COLUMN()+0)/3-1,0)))</f>
        <v/>
      </c>
      <c r="O249" s="127"/>
      <c r="P249" s="137"/>
      <c r="Q249" s="58" t="str" cm="1">
        <f>IF(ISBLANK($A249),"",INDEX(Array_WaterCharges,MATCH($A249,List_WaterMeters,0),ROUNDUP((COLUMN()+0)/3-1,0)))</f>
        <v/>
      </c>
      <c r="R249" s="127"/>
      <c r="S249" s="137"/>
      <c r="T249" s="58" t="str" cm="1">
        <f>IF(ISBLANK($A249),"",INDEX(Array_WaterCharges,MATCH($A249,List_WaterMeters,0),ROUNDUP((COLUMN()+0)/3-1,0)))</f>
        <v/>
      </c>
      <c r="U249" s="127"/>
      <c r="V249" s="137"/>
      <c r="W249" s="58" t="str" cm="1">
        <f>IF(ISBLANK($A249),"",INDEX(Array_WaterCharges,MATCH($A249,List_WaterMeters,0),ROUNDUP((COLUMN()+0)/3-1,0)))</f>
        <v/>
      </c>
      <c r="X249" s="127"/>
      <c r="Y249" s="137"/>
      <c r="Z249" s="58" t="str" cm="1">
        <f>IF(ISBLANK($A249),"",INDEX(Array_WaterCharges,MATCH($A249,List_WaterMeters,0),ROUNDUP((COLUMN()+0)/3-1,0)))</f>
        <v/>
      </c>
      <c r="AA249" s="127"/>
      <c r="AB249" s="137"/>
      <c r="AC249" s="58" t="str" cm="1">
        <f>IF(ISBLANK($A249),"",INDEX(Array_WaterCharges,MATCH($A249,List_WaterMeters,0),ROUNDUP((COLUMN()+0)/3-1,0)))</f>
        <v/>
      </c>
      <c r="AD249" s="127"/>
      <c r="AE249" s="137"/>
      <c r="AF249" s="58" t="str" cm="1">
        <f>IF(ISBLANK($A249),"",INDEX(Array_WaterCharges,MATCH($A249,List_WaterMeters,0),ROUNDUP((COLUMN()+0)/3-1,0)))</f>
        <v/>
      </c>
      <c r="AG249" s="127"/>
      <c r="AH249" s="137"/>
    </row>
    <row r="250" spans="1:34" x14ac:dyDescent="0.3">
      <c r="A250" s="126"/>
      <c r="B250" s="133"/>
      <c r="C250" s="127"/>
      <c r="D250" s="137"/>
      <c r="E250" s="58" t="str" cm="1">
        <f>IF(ISBLANK($A250),"",INDEX(Array_WaterCharges,MATCH($A250,List_WaterMeters,0),ROUNDUP((COLUMN()+0)/3-1,0)))</f>
        <v/>
      </c>
      <c r="F250" s="127"/>
      <c r="G250" s="137"/>
      <c r="H250" s="58" t="str" cm="1">
        <f>IF(ISBLANK($A250),"",INDEX(Array_WaterCharges,MATCH($A250,List_WaterMeters,0),ROUNDUP((COLUMN()+0)/3-1,0)))</f>
        <v/>
      </c>
      <c r="I250" s="127"/>
      <c r="J250" s="137"/>
      <c r="K250" s="58" t="str" cm="1">
        <f>IF(ISBLANK($A250),"",INDEX(Array_WaterCharges,MATCH($A250,List_WaterMeters,0),ROUNDUP((COLUMN()+0)/3-1,0)))</f>
        <v/>
      </c>
      <c r="L250" s="127"/>
      <c r="M250" s="137"/>
      <c r="N250" s="58" t="str" cm="1">
        <f>IF(ISBLANK($A250),"",INDEX(Array_WaterCharges,MATCH($A250,List_WaterMeters,0),ROUNDUP((COLUMN()+0)/3-1,0)))</f>
        <v/>
      </c>
      <c r="O250" s="127"/>
      <c r="P250" s="137"/>
      <c r="Q250" s="58" t="str" cm="1">
        <f>IF(ISBLANK($A250),"",INDEX(Array_WaterCharges,MATCH($A250,List_WaterMeters,0),ROUNDUP((COLUMN()+0)/3-1,0)))</f>
        <v/>
      </c>
      <c r="R250" s="127"/>
      <c r="S250" s="137"/>
      <c r="T250" s="58" t="str" cm="1">
        <f>IF(ISBLANK($A250),"",INDEX(Array_WaterCharges,MATCH($A250,List_WaterMeters,0),ROUNDUP((COLUMN()+0)/3-1,0)))</f>
        <v/>
      </c>
      <c r="U250" s="127"/>
      <c r="V250" s="137"/>
      <c r="W250" s="58" t="str" cm="1">
        <f>IF(ISBLANK($A250),"",INDEX(Array_WaterCharges,MATCH($A250,List_WaterMeters,0),ROUNDUP((COLUMN()+0)/3-1,0)))</f>
        <v/>
      </c>
      <c r="X250" s="127"/>
      <c r="Y250" s="137"/>
      <c r="Z250" s="58" t="str" cm="1">
        <f>IF(ISBLANK($A250),"",INDEX(Array_WaterCharges,MATCH($A250,List_WaterMeters,0),ROUNDUP((COLUMN()+0)/3-1,0)))</f>
        <v/>
      </c>
      <c r="AA250" s="127"/>
      <c r="AB250" s="137"/>
      <c r="AC250" s="58" t="str" cm="1">
        <f>IF(ISBLANK($A250),"",INDEX(Array_WaterCharges,MATCH($A250,List_WaterMeters,0),ROUNDUP((COLUMN()+0)/3-1,0)))</f>
        <v/>
      </c>
      <c r="AD250" s="127"/>
      <c r="AE250" s="137"/>
      <c r="AF250" s="58" t="str" cm="1">
        <f>IF(ISBLANK($A250),"",INDEX(Array_WaterCharges,MATCH($A250,List_WaterMeters,0),ROUNDUP((COLUMN()+0)/3-1,0)))</f>
        <v/>
      </c>
      <c r="AG250" s="127"/>
      <c r="AH250" s="137"/>
    </row>
    <row r="251" spans="1:34" x14ac:dyDescent="0.3">
      <c r="A251" s="126"/>
      <c r="B251" s="133"/>
      <c r="C251" s="127"/>
      <c r="D251" s="137"/>
      <c r="E251" s="58" t="str" cm="1">
        <f>IF(ISBLANK($A251),"",INDEX(Array_WaterCharges,MATCH($A251,List_WaterMeters,0),ROUNDUP((COLUMN()+0)/3-1,0)))</f>
        <v/>
      </c>
      <c r="F251" s="127"/>
      <c r="G251" s="137"/>
      <c r="H251" s="58" t="str" cm="1">
        <f>IF(ISBLANK($A251),"",INDEX(Array_WaterCharges,MATCH($A251,List_WaterMeters,0),ROUNDUP((COLUMN()+0)/3-1,0)))</f>
        <v/>
      </c>
      <c r="I251" s="127"/>
      <c r="J251" s="137"/>
      <c r="K251" s="58" t="str" cm="1">
        <f>IF(ISBLANK($A251),"",INDEX(Array_WaterCharges,MATCH($A251,List_WaterMeters,0),ROUNDUP((COLUMN()+0)/3-1,0)))</f>
        <v/>
      </c>
      <c r="L251" s="127"/>
      <c r="M251" s="137"/>
      <c r="N251" s="58" t="str" cm="1">
        <f>IF(ISBLANK($A251),"",INDEX(Array_WaterCharges,MATCH($A251,List_WaterMeters,0),ROUNDUP((COLUMN()+0)/3-1,0)))</f>
        <v/>
      </c>
      <c r="O251" s="127"/>
      <c r="P251" s="137"/>
      <c r="Q251" s="58" t="str" cm="1">
        <f>IF(ISBLANK($A251),"",INDEX(Array_WaterCharges,MATCH($A251,List_WaterMeters,0),ROUNDUP((COLUMN()+0)/3-1,0)))</f>
        <v/>
      </c>
      <c r="R251" s="127"/>
      <c r="S251" s="137"/>
      <c r="T251" s="58" t="str" cm="1">
        <f>IF(ISBLANK($A251),"",INDEX(Array_WaterCharges,MATCH($A251,List_WaterMeters,0),ROUNDUP((COLUMN()+0)/3-1,0)))</f>
        <v/>
      </c>
      <c r="U251" s="127"/>
      <c r="V251" s="137"/>
      <c r="W251" s="58" t="str" cm="1">
        <f>IF(ISBLANK($A251),"",INDEX(Array_WaterCharges,MATCH($A251,List_WaterMeters,0),ROUNDUP((COLUMN()+0)/3-1,0)))</f>
        <v/>
      </c>
      <c r="X251" s="127"/>
      <c r="Y251" s="137"/>
      <c r="Z251" s="58" t="str" cm="1">
        <f>IF(ISBLANK($A251),"",INDEX(Array_WaterCharges,MATCH($A251,List_WaterMeters,0),ROUNDUP((COLUMN()+0)/3-1,0)))</f>
        <v/>
      </c>
      <c r="AA251" s="127"/>
      <c r="AB251" s="137"/>
      <c r="AC251" s="58" t="str" cm="1">
        <f>IF(ISBLANK($A251),"",INDEX(Array_WaterCharges,MATCH($A251,List_WaterMeters,0),ROUNDUP((COLUMN()+0)/3-1,0)))</f>
        <v/>
      </c>
      <c r="AD251" s="127"/>
      <c r="AE251" s="137"/>
      <c r="AF251" s="58" t="str" cm="1">
        <f>IF(ISBLANK($A251),"",INDEX(Array_WaterCharges,MATCH($A251,List_WaterMeters,0),ROUNDUP((COLUMN()+0)/3-1,0)))</f>
        <v/>
      </c>
      <c r="AG251" s="127"/>
      <c r="AH251" s="137"/>
    </row>
    <row r="252" spans="1:34" x14ac:dyDescent="0.3">
      <c r="A252" s="126"/>
      <c r="B252" s="133"/>
      <c r="C252" s="127"/>
      <c r="D252" s="137"/>
      <c r="E252" s="58" t="str" cm="1">
        <f>IF(ISBLANK($A252),"",INDEX(Array_WaterCharges,MATCH($A252,List_WaterMeters,0),ROUNDUP((COLUMN()+0)/3-1,0)))</f>
        <v/>
      </c>
      <c r="F252" s="127"/>
      <c r="G252" s="137"/>
      <c r="H252" s="58" t="str" cm="1">
        <f>IF(ISBLANK($A252),"",INDEX(Array_WaterCharges,MATCH($A252,List_WaterMeters,0),ROUNDUP((COLUMN()+0)/3-1,0)))</f>
        <v/>
      </c>
      <c r="I252" s="127"/>
      <c r="J252" s="137"/>
      <c r="K252" s="58" t="str" cm="1">
        <f>IF(ISBLANK($A252),"",INDEX(Array_WaterCharges,MATCH($A252,List_WaterMeters,0),ROUNDUP((COLUMN()+0)/3-1,0)))</f>
        <v/>
      </c>
      <c r="L252" s="127"/>
      <c r="M252" s="137"/>
      <c r="N252" s="58" t="str" cm="1">
        <f>IF(ISBLANK($A252),"",INDEX(Array_WaterCharges,MATCH($A252,List_WaterMeters,0),ROUNDUP((COLUMN()+0)/3-1,0)))</f>
        <v/>
      </c>
      <c r="O252" s="127"/>
      <c r="P252" s="137"/>
      <c r="Q252" s="58" t="str" cm="1">
        <f>IF(ISBLANK($A252),"",INDEX(Array_WaterCharges,MATCH($A252,List_WaterMeters,0),ROUNDUP((COLUMN()+0)/3-1,0)))</f>
        <v/>
      </c>
      <c r="R252" s="127"/>
      <c r="S252" s="137"/>
      <c r="T252" s="58" t="str" cm="1">
        <f>IF(ISBLANK($A252),"",INDEX(Array_WaterCharges,MATCH($A252,List_WaterMeters,0),ROUNDUP((COLUMN()+0)/3-1,0)))</f>
        <v/>
      </c>
      <c r="U252" s="127"/>
      <c r="V252" s="137"/>
      <c r="W252" s="58" t="str" cm="1">
        <f>IF(ISBLANK($A252),"",INDEX(Array_WaterCharges,MATCH($A252,List_WaterMeters,0),ROUNDUP((COLUMN()+0)/3-1,0)))</f>
        <v/>
      </c>
      <c r="X252" s="127"/>
      <c r="Y252" s="137"/>
      <c r="Z252" s="58" t="str" cm="1">
        <f>IF(ISBLANK($A252),"",INDEX(Array_WaterCharges,MATCH($A252,List_WaterMeters,0),ROUNDUP((COLUMN()+0)/3-1,0)))</f>
        <v/>
      </c>
      <c r="AA252" s="127"/>
      <c r="AB252" s="137"/>
      <c r="AC252" s="58" t="str" cm="1">
        <f>IF(ISBLANK($A252),"",INDEX(Array_WaterCharges,MATCH($A252,List_WaterMeters,0),ROUNDUP((COLUMN()+0)/3-1,0)))</f>
        <v/>
      </c>
      <c r="AD252" s="127"/>
      <c r="AE252" s="137"/>
      <c r="AF252" s="58" t="str" cm="1">
        <f>IF(ISBLANK($A252),"",INDEX(Array_WaterCharges,MATCH($A252,List_WaterMeters,0),ROUNDUP((COLUMN()+0)/3-1,0)))</f>
        <v/>
      </c>
      <c r="AG252" s="127"/>
      <c r="AH252" s="137"/>
    </row>
    <row r="253" spans="1:34" x14ac:dyDescent="0.3">
      <c r="A253" s="126"/>
      <c r="B253" s="133"/>
      <c r="C253" s="127"/>
      <c r="D253" s="137"/>
      <c r="E253" s="58" t="str" cm="1">
        <f>IF(ISBLANK($A253),"",INDEX(Array_WaterCharges,MATCH($A253,List_WaterMeters,0),ROUNDUP((COLUMN()+0)/3-1,0)))</f>
        <v/>
      </c>
      <c r="F253" s="127"/>
      <c r="G253" s="137"/>
      <c r="H253" s="58" t="str" cm="1">
        <f>IF(ISBLANK($A253),"",INDEX(Array_WaterCharges,MATCH($A253,List_WaterMeters,0),ROUNDUP((COLUMN()+0)/3-1,0)))</f>
        <v/>
      </c>
      <c r="I253" s="127"/>
      <c r="J253" s="137"/>
      <c r="K253" s="58" t="str" cm="1">
        <f>IF(ISBLANK($A253),"",INDEX(Array_WaterCharges,MATCH($A253,List_WaterMeters,0),ROUNDUP((COLUMN()+0)/3-1,0)))</f>
        <v/>
      </c>
      <c r="L253" s="127"/>
      <c r="M253" s="137"/>
      <c r="N253" s="58" t="str" cm="1">
        <f>IF(ISBLANK($A253),"",INDEX(Array_WaterCharges,MATCH($A253,List_WaterMeters,0),ROUNDUP((COLUMN()+0)/3-1,0)))</f>
        <v/>
      </c>
      <c r="O253" s="127"/>
      <c r="P253" s="137"/>
      <c r="Q253" s="58" t="str" cm="1">
        <f>IF(ISBLANK($A253),"",INDEX(Array_WaterCharges,MATCH($A253,List_WaterMeters,0),ROUNDUP((COLUMN()+0)/3-1,0)))</f>
        <v/>
      </c>
      <c r="R253" s="127"/>
      <c r="S253" s="137"/>
      <c r="T253" s="58" t="str" cm="1">
        <f>IF(ISBLANK($A253),"",INDEX(Array_WaterCharges,MATCH($A253,List_WaterMeters,0),ROUNDUP((COLUMN()+0)/3-1,0)))</f>
        <v/>
      </c>
      <c r="U253" s="127"/>
      <c r="V253" s="137"/>
      <c r="W253" s="58" t="str" cm="1">
        <f>IF(ISBLANK($A253),"",INDEX(Array_WaterCharges,MATCH($A253,List_WaterMeters,0),ROUNDUP((COLUMN()+0)/3-1,0)))</f>
        <v/>
      </c>
      <c r="X253" s="127"/>
      <c r="Y253" s="137"/>
      <c r="Z253" s="58" t="str" cm="1">
        <f>IF(ISBLANK($A253),"",INDEX(Array_WaterCharges,MATCH($A253,List_WaterMeters,0),ROUNDUP((COLUMN()+0)/3-1,0)))</f>
        <v/>
      </c>
      <c r="AA253" s="127"/>
      <c r="AB253" s="137"/>
      <c r="AC253" s="58" t="str" cm="1">
        <f>IF(ISBLANK($A253),"",INDEX(Array_WaterCharges,MATCH($A253,List_WaterMeters,0),ROUNDUP((COLUMN()+0)/3-1,0)))</f>
        <v/>
      </c>
      <c r="AD253" s="127"/>
      <c r="AE253" s="137"/>
      <c r="AF253" s="58" t="str" cm="1">
        <f>IF(ISBLANK($A253),"",INDEX(Array_WaterCharges,MATCH($A253,List_WaterMeters,0),ROUNDUP((COLUMN()+0)/3-1,0)))</f>
        <v/>
      </c>
      <c r="AG253" s="127"/>
      <c r="AH253" s="137"/>
    </row>
    <row r="254" spans="1:34" x14ac:dyDescent="0.3">
      <c r="A254" s="126"/>
      <c r="B254" s="133"/>
      <c r="C254" s="127"/>
      <c r="D254" s="137"/>
      <c r="E254" s="58" t="str" cm="1">
        <f>IF(ISBLANK($A254),"",INDEX(Array_WaterCharges,MATCH($A254,List_WaterMeters,0),ROUNDUP((COLUMN()+0)/3-1,0)))</f>
        <v/>
      </c>
      <c r="F254" s="127"/>
      <c r="G254" s="137"/>
      <c r="H254" s="58" t="str" cm="1">
        <f>IF(ISBLANK($A254),"",INDEX(Array_WaterCharges,MATCH($A254,List_WaterMeters,0),ROUNDUP((COLUMN()+0)/3-1,0)))</f>
        <v/>
      </c>
      <c r="I254" s="127"/>
      <c r="J254" s="137"/>
      <c r="K254" s="58" t="str" cm="1">
        <f>IF(ISBLANK($A254),"",INDEX(Array_WaterCharges,MATCH($A254,List_WaterMeters,0),ROUNDUP((COLUMN()+0)/3-1,0)))</f>
        <v/>
      </c>
      <c r="L254" s="127"/>
      <c r="M254" s="137"/>
      <c r="N254" s="58" t="str" cm="1">
        <f>IF(ISBLANK($A254),"",INDEX(Array_WaterCharges,MATCH($A254,List_WaterMeters,0),ROUNDUP((COLUMN()+0)/3-1,0)))</f>
        <v/>
      </c>
      <c r="O254" s="127"/>
      <c r="P254" s="137"/>
      <c r="Q254" s="58" t="str" cm="1">
        <f>IF(ISBLANK($A254),"",INDEX(Array_WaterCharges,MATCH($A254,List_WaterMeters,0),ROUNDUP((COLUMN()+0)/3-1,0)))</f>
        <v/>
      </c>
      <c r="R254" s="127"/>
      <c r="S254" s="137"/>
      <c r="T254" s="58" t="str" cm="1">
        <f>IF(ISBLANK($A254),"",INDEX(Array_WaterCharges,MATCH($A254,List_WaterMeters,0),ROUNDUP((COLUMN()+0)/3-1,0)))</f>
        <v/>
      </c>
      <c r="U254" s="127"/>
      <c r="V254" s="137"/>
      <c r="W254" s="58" t="str" cm="1">
        <f>IF(ISBLANK($A254),"",INDEX(Array_WaterCharges,MATCH($A254,List_WaterMeters,0),ROUNDUP((COLUMN()+0)/3-1,0)))</f>
        <v/>
      </c>
      <c r="X254" s="127"/>
      <c r="Y254" s="137"/>
      <c r="Z254" s="58" t="str" cm="1">
        <f>IF(ISBLANK($A254),"",INDEX(Array_WaterCharges,MATCH($A254,List_WaterMeters,0),ROUNDUP((COLUMN()+0)/3-1,0)))</f>
        <v/>
      </c>
      <c r="AA254" s="127"/>
      <c r="AB254" s="137"/>
      <c r="AC254" s="58" t="str" cm="1">
        <f>IF(ISBLANK($A254),"",INDEX(Array_WaterCharges,MATCH($A254,List_WaterMeters,0),ROUNDUP((COLUMN()+0)/3-1,0)))</f>
        <v/>
      </c>
      <c r="AD254" s="127"/>
      <c r="AE254" s="137"/>
      <c r="AF254" s="58" t="str" cm="1">
        <f>IF(ISBLANK($A254),"",INDEX(Array_WaterCharges,MATCH($A254,List_WaterMeters,0),ROUNDUP((COLUMN()+0)/3-1,0)))</f>
        <v/>
      </c>
      <c r="AG254" s="127"/>
      <c r="AH254" s="137"/>
    </row>
    <row r="255" spans="1:34" x14ac:dyDescent="0.3">
      <c r="A255" s="126"/>
      <c r="B255" s="133"/>
      <c r="C255" s="127"/>
      <c r="D255" s="137"/>
      <c r="E255" s="58" t="str" cm="1">
        <f>IF(ISBLANK($A255),"",INDEX(Array_WaterCharges,MATCH($A255,List_WaterMeters,0),ROUNDUP((COLUMN()+0)/3-1,0)))</f>
        <v/>
      </c>
      <c r="F255" s="127"/>
      <c r="G255" s="137"/>
      <c r="H255" s="58" t="str" cm="1">
        <f>IF(ISBLANK($A255),"",INDEX(Array_WaterCharges,MATCH($A255,List_WaterMeters,0),ROUNDUP((COLUMN()+0)/3-1,0)))</f>
        <v/>
      </c>
      <c r="I255" s="127"/>
      <c r="J255" s="137"/>
      <c r="K255" s="58" t="str" cm="1">
        <f>IF(ISBLANK($A255),"",INDEX(Array_WaterCharges,MATCH($A255,List_WaterMeters,0),ROUNDUP((COLUMN()+0)/3-1,0)))</f>
        <v/>
      </c>
      <c r="L255" s="127"/>
      <c r="M255" s="137"/>
      <c r="N255" s="58" t="str" cm="1">
        <f>IF(ISBLANK($A255),"",INDEX(Array_WaterCharges,MATCH($A255,List_WaterMeters,0),ROUNDUP((COLUMN()+0)/3-1,0)))</f>
        <v/>
      </c>
      <c r="O255" s="127"/>
      <c r="P255" s="137"/>
      <c r="Q255" s="58" t="str" cm="1">
        <f>IF(ISBLANK($A255),"",INDEX(Array_WaterCharges,MATCH($A255,List_WaterMeters,0),ROUNDUP((COLUMN()+0)/3-1,0)))</f>
        <v/>
      </c>
      <c r="R255" s="127"/>
      <c r="S255" s="137"/>
      <c r="T255" s="58" t="str" cm="1">
        <f>IF(ISBLANK($A255),"",INDEX(Array_WaterCharges,MATCH($A255,List_WaterMeters,0),ROUNDUP((COLUMN()+0)/3-1,0)))</f>
        <v/>
      </c>
      <c r="U255" s="127"/>
      <c r="V255" s="137"/>
      <c r="W255" s="58" t="str" cm="1">
        <f>IF(ISBLANK($A255),"",INDEX(Array_WaterCharges,MATCH($A255,List_WaterMeters,0),ROUNDUP((COLUMN()+0)/3-1,0)))</f>
        <v/>
      </c>
      <c r="X255" s="127"/>
      <c r="Y255" s="137"/>
      <c r="Z255" s="58" t="str" cm="1">
        <f>IF(ISBLANK($A255),"",INDEX(Array_WaterCharges,MATCH($A255,List_WaterMeters,0),ROUNDUP((COLUMN()+0)/3-1,0)))</f>
        <v/>
      </c>
      <c r="AA255" s="127"/>
      <c r="AB255" s="137"/>
      <c r="AC255" s="58" t="str" cm="1">
        <f>IF(ISBLANK($A255),"",INDEX(Array_WaterCharges,MATCH($A255,List_WaterMeters,0),ROUNDUP((COLUMN()+0)/3-1,0)))</f>
        <v/>
      </c>
      <c r="AD255" s="127"/>
      <c r="AE255" s="137"/>
      <c r="AF255" s="58" t="str" cm="1">
        <f>IF(ISBLANK($A255),"",INDEX(Array_WaterCharges,MATCH($A255,List_WaterMeters,0),ROUNDUP((COLUMN()+0)/3-1,0)))</f>
        <v/>
      </c>
      <c r="AG255" s="127"/>
      <c r="AH255" s="137"/>
    </row>
    <row r="256" spans="1:34" x14ac:dyDescent="0.3">
      <c r="A256" s="126"/>
      <c r="B256" s="133"/>
      <c r="C256" s="127"/>
      <c r="D256" s="137"/>
      <c r="E256" s="58" t="str" cm="1">
        <f>IF(ISBLANK($A256),"",INDEX(Array_WaterCharges,MATCH($A256,List_WaterMeters,0),ROUNDUP((COLUMN()+0)/3-1,0)))</f>
        <v/>
      </c>
      <c r="F256" s="127"/>
      <c r="G256" s="137"/>
      <c r="H256" s="58" t="str" cm="1">
        <f>IF(ISBLANK($A256),"",INDEX(Array_WaterCharges,MATCH($A256,List_WaterMeters,0),ROUNDUP((COLUMN()+0)/3-1,0)))</f>
        <v/>
      </c>
      <c r="I256" s="127"/>
      <c r="J256" s="137"/>
      <c r="K256" s="58" t="str" cm="1">
        <f>IF(ISBLANK($A256),"",INDEX(Array_WaterCharges,MATCH($A256,List_WaterMeters,0),ROUNDUP((COLUMN()+0)/3-1,0)))</f>
        <v/>
      </c>
      <c r="L256" s="127"/>
      <c r="M256" s="137"/>
      <c r="N256" s="58" t="str" cm="1">
        <f>IF(ISBLANK($A256),"",INDEX(Array_WaterCharges,MATCH($A256,List_WaterMeters,0),ROUNDUP((COLUMN()+0)/3-1,0)))</f>
        <v/>
      </c>
      <c r="O256" s="127"/>
      <c r="P256" s="137"/>
      <c r="Q256" s="58" t="str" cm="1">
        <f>IF(ISBLANK($A256),"",INDEX(Array_WaterCharges,MATCH($A256,List_WaterMeters,0),ROUNDUP((COLUMN()+0)/3-1,0)))</f>
        <v/>
      </c>
      <c r="R256" s="127"/>
      <c r="S256" s="137"/>
      <c r="T256" s="58" t="str" cm="1">
        <f>IF(ISBLANK($A256),"",INDEX(Array_WaterCharges,MATCH($A256,List_WaterMeters,0),ROUNDUP((COLUMN()+0)/3-1,0)))</f>
        <v/>
      </c>
      <c r="U256" s="127"/>
      <c r="V256" s="137"/>
      <c r="W256" s="58" t="str" cm="1">
        <f>IF(ISBLANK($A256),"",INDEX(Array_WaterCharges,MATCH($A256,List_WaterMeters,0),ROUNDUP((COLUMN()+0)/3-1,0)))</f>
        <v/>
      </c>
      <c r="X256" s="127"/>
      <c r="Y256" s="137"/>
      <c r="Z256" s="58" t="str" cm="1">
        <f>IF(ISBLANK($A256),"",INDEX(Array_WaterCharges,MATCH($A256,List_WaterMeters,0),ROUNDUP((COLUMN()+0)/3-1,0)))</f>
        <v/>
      </c>
      <c r="AA256" s="127"/>
      <c r="AB256" s="137"/>
      <c r="AC256" s="58" t="str" cm="1">
        <f>IF(ISBLANK($A256),"",INDEX(Array_WaterCharges,MATCH($A256,List_WaterMeters,0),ROUNDUP((COLUMN()+0)/3-1,0)))</f>
        <v/>
      </c>
      <c r="AD256" s="127"/>
      <c r="AE256" s="137"/>
      <c r="AF256" s="58" t="str" cm="1">
        <f>IF(ISBLANK($A256),"",INDEX(Array_WaterCharges,MATCH($A256,List_WaterMeters,0),ROUNDUP((COLUMN()+0)/3-1,0)))</f>
        <v/>
      </c>
      <c r="AG256" s="127"/>
      <c r="AH256" s="137"/>
    </row>
    <row r="257" spans="1:34" x14ac:dyDescent="0.3">
      <c r="A257" s="126"/>
      <c r="B257" s="133"/>
      <c r="C257" s="127"/>
      <c r="D257" s="137"/>
      <c r="E257" s="58" t="str" cm="1">
        <f>IF(ISBLANK($A257),"",INDEX(Array_WaterCharges,MATCH($A257,List_WaterMeters,0),ROUNDUP((COLUMN()+0)/3-1,0)))</f>
        <v/>
      </c>
      <c r="F257" s="127"/>
      <c r="G257" s="137"/>
      <c r="H257" s="58" t="str" cm="1">
        <f>IF(ISBLANK($A257),"",INDEX(Array_WaterCharges,MATCH($A257,List_WaterMeters,0),ROUNDUP((COLUMN()+0)/3-1,0)))</f>
        <v/>
      </c>
      <c r="I257" s="127"/>
      <c r="J257" s="137"/>
      <c r="K257" s="58" t="str" cm="1">
        <f>IF(ISBLANK($A257),"",INDEX(Array_WaterCharges,MATCH($A257,List_WaterMeters,0),ROUNDUP((COLUMN()+0)/3-1,0)))</f>
        <v/>
      </c>
      <c r="L257" s="127"/>
      <c r="M257" s="137"/>
      <c r="N257" s="58" t="str" cm="1">
        <f>IF(ISBLANK($A257),"",INDEX(Array_WaterCharges,MATCH($A257,List_WaterMeters,0),ROUNDUP((COLUMN()+0)/3-1,0)))</f>
        <v/>
      </c>
      <c r="O257" s="127"/>
      <c r="P257" s="137"/>
      <c r="Q257" s="58" t="str" cm="1">
        <f>IF(ISBLANK($A257),"",INDEX(Array_WaterCharges,MATCH($A257,List_WaterMeters,0),ROUNDUP((COLUMN()+0)/3-1,0)))</f>
        <v/>
      </c>
      <c r="R257" s="127"/>
      <c r="S257" s="137"/>
      <c r="T257" s="58" t="str" cm="1">
        <f>IF(ISBLANK($A257),"",INDEX(Array_WaterCharges,MATCH($A257,List_WaterMeters,0),ROUNDUP((COLUMN()+0)/3-1,0)))</f>
        <v/>
      </c>
      <c r="U257" s="127"/>
      <c r="V257" s="137"/>
      <c r="W257" s="58" t="str" cm="1">
        <f>IF(ISBLANK($A257),"",INDEX(Array_WaterCharges,MATCH($A257,List_WaterMeters,0),ROUNDUP((COLUMN()+0)/3-1,0)))</f>
        <v/>
      </c>
      <c r="X257" s="127"/>
      <c r="Y257" s="137"/>
      <c r="Z257" s="58" t="str" cm="1">
        <f>IF(ISBLANK($A257),"",INDEX(Array_WaterCharges,MATCH($A257,List_WaterMeters,0),ROUNDUP((COLUMN()+0)/3-1,0)))</f>
        <v/>
      </c>
      <c r="AA257" s="127"/>
      <c r="AB257" s="137"/>
      <c r="AC257" s="58" t="str" cm="1">
        <f>IF(ISBLANK($A257),"",INDEX(Array_WaterCharges,MATCH($A257,List_WaterMeters,0),ROUNDUP((COLUMN()+0)/3-1,0)))</f>
        <v/>
      </c>
      <c r="AD257" s="127"/>
      <c r="AE257" s="137"/>
      <c r="AF257" s="58" t="str" cm="1">
        <f>IF(ISBLANK($A257),"",INDEX(Array_WaterCharges,MATCH($A257,List_WaterMeters,0),ROUNDUP((COLUMN()+0)/3-1,0)))</f>
        <v/>
      </c>
      <c r="AG257" s="127"/>
      <c r="AH257" s="137"/>
    </row>
    <row r="258" spans="1:34" x14ac:dyDescent="0.3">
      <c r="A258" s="126"/>
      <c r="B258" s="133"/>
      <c r="C258" s="127"/>
      <c r="D258" s="137"/>
      <c r="E258" s="58" t="str" cm="1">
        <f>IF(ISBLANK($A258),"",INDEX(Array_WaterCharges,MATCH($A258,List_WaterMeters,0),ROUNDUP((COLUMN()+0)/3-1,0)))</f>
        <v/>
      </c>
      <c r="F258" s="127"/>
      <c r="G258" s="137"/>
      <c r="H258" s="58" t="str" cm="1">
        <f>IF(ISBLANK($A258),"",INDEX(Array_WaterCharges,MATCH($A258,List_WaterMeters,0),ROUNDUP((COLUMN()+0)/3-1,0)))</f>
        <v/>
      </c>
      <c r="I258" s="127"/>
      <c r="J258" s="137"/>
      <c r="K258" s="58" t="str" cm="1">
        <f>IF(ISBLANK($A258),"",INDEX(Array_WaterCharges,MATCH($A258,List_WaterMeters,0),ROUNDUP((COLUMN()+0)/3-1,0)))</f>
        <v/>
      </c>
      <c r="L258" s="127"/>
      <c r="M258" s="137"/>
      <c r="N258" s="58" t="str" cm="1">
        <f>IF(ISBLANK($A258),"",INDEX(Array_WaterCharges,MATCH($A258,List_WaterMeters,0),ROUNDUP((COLUMN()+0)/3-1,0)))</f>
        <v/>
      </c>
      <c r="O258" s="127"/>
      <c r="P258" s="137"/>
      <c r="Q258" s="58" t="str" cm="1">
        <f>IF(ISBLANK($A258),"",INDEX(Array_WaterCharges,MATCH($A258,List_WaterMeters,0),ROUNDUP((COLUMN()+0)/3-1,0)))</f>
        <v/>
      </c>
      <c r="R258" s="127"/>
      <c r="S258" s="137"/>
      <c r="T258" s="58" t="str" cm="1">
        <f>IF(ISBLANK($A258),"",INDEX(Array_WaterCharges,MATCH($A258,List_WaterMeters,0),ROUNDUP((COLUMN()+0)/3-1,0)))</f>
        <v/>
      </c>
      <c r="U258" s="127"/>
      <c r="V258" s="137"/>
      <c r="W258" s="58" t="str" cm="1">
        <f>IF(ISBLANK($A258),"",INDEX(Array_WaterCharges,MATCH($A258,List_WaterMeters,0),ROUNDUP((COLUMN()+0)/3-1,0)))</f>
        <v/>
      </c>
      <c r="X258" s="127"/>
      <c r="Y258" s="137"/>
      <c r="Z258" s="58" t="str" cm="1">
        <f>IF(ISBLANK($A258),"",INDEX(Array_WaterCharges,MATCH($A258,List_WaterMeters,0),ROUNDUP((COLUMN()+0)/3-1,0)))</f>
        <v/>
      </c>
      <c r="AA258" s="127"/>
      <c r="AB258" s="137"/>
      <c r="AC258" s="58" t="str" cm="1">
        <f>IF(ISBLANK($A258),"",INDEX(Array_WaterCharges,MATCH($A258,List_WaterMeters,0),ROUNDUP((COLUMN()+0)/3-1,0)))</f>
        <v/>
      </c>
      <c r="AD258" s="127"/>
      <c r="AE258" s="137"/>
      <c r="AF258" s="58" t="str" cm="1">
        <f>IF(ISBLANK($A258),"",INDEX(Array_WaterCharges,MATCH($A258,List_WaterMeters,0),ROUNDUP((COLUMN()+0)/3-1,0)))</f>
        <v/>
      </c>
      <c r="AG258" s="127"/>
      <c r="AH258" s="137"/>
    </row>
    <row r="259" spans="1:34" x14ac:dyDescent="0.3">
      <c r="A259" s="126"/>
      <c r="B259" s="133"/>
      <c r="C259" s="127"/>
      <c r="D259" s="137"/>
      <c r="E259" s="58" t="str" cm="1">
        <f>IF(ISBLANK($A259),"",INDEX(Array_WaterCharges,MATCH($A259,List_WaterMeters,0),ROUNDUP((COLUMN()+0)/3-1,0)))</f>
        <v/>
      </c>
      <c r="F259" s="127"/>
      <c r="G259" s="137"/>
      <c r="H259" s="58" t="str" cm="1">
        <f>IF(ISBLANK($A259),"",INDEX(Array_WaterCharges,MATCH($A259,List_WaterMeters,0),ROUNDUP((COLUMN()+0)/3-1,0)))</f>
        <v/>
      </c>
      <c r="I259" s="127"/>
      <c r="J259" s="137"/>
      <c r="K259" s="58" t="str" cm="1">
        <f>IF(ISBLANK($A259),"",INDEX(Array_WaterCharges,MATCH($A259,List_WaterMeters,0),ROUNDUP((COLUMN()+0)/3-1,0)))</f>
        <v/>
      </c>
      <c r="L259" s="127"/>
      <c r="M259" s="137"/>
      <c r="N259" s="58" t="str" cm="1">
        <f>IF(ISBLANK($A259),"",INDEX(Array_WaterCharges,MATCH($A259,List_WaterMeters,0),ROUNDUP((COLUMN()+0)/3-1,0)))</f>
        <v/>
      </c>
      <c r="O259" s="127"/>
      <c r="P259" s="137"/>
      <c r="Q259" s="58" t="str" cm="1">
        <f>IF(ISBLANK($A259),"",INDEX(Array_WaterCharges,MATCH($A259,List_WaterMeters,0),ROUNDUP((COLUMN()+0)/3-1,0)))</f>
        <v/>
      </c>
      <c r="R259" s="127"/>
      <c r="S259" s="137"/>
      <c r="T259" s="58" t="str" cm="1">
        <f>IF(ISBLANK($A259),"",INDEX(Array_WaterCharges,MATCH($A259,List_WaterMeters,0),ROUNDUP((COLUMN()+0)/3-1,0)))</f>
        <v/>
      </c>
      <c r="U259" s="127"/>
      <c r="V259" s="137"/>
      <c r="W259" s="58" t="str" cm="1">
        <f>IF(ISBLANK($A259),"",INDEX(Array_WaterCharges,MATCH($A259,List_WaterMeters,0),ROUNDUP((COLUMN()+0)/3-1,0)))</f>
        <v/>
      </c>
      <c r="X259" s="127"/>
      <c r="Y259" s="137"/>
      <c r="Z259" s="58" t="str" cm="1">
        <f>IF(ISBLANK($A259),"",INDEX(Array_WaterCharges,MATCH($A259,List_WaterMeters,0),ROUNDUP((COLUMN()+0)/3-1,0)))</f>
        <v/>
      </c>
      <c r="AA259" s="127"/>
      <c r="AB259" s="137"/>
      <c r="AC259" s="58" t="str" cm="1">
        <f>IF(ISBLANK($A259),"",INDEX(Array_WaterCharges,MATCH($A259,List_WaterMeters,0),ROUNDUP((COLUMN()+0)/3-1,0)))</f>
        <v/>
      </c>
      <c r="AD259" s="127"/>
      <c r="AE259" s="137"/>
      <c r="AF259" s="58" t="str" cm="1">
        <f>IF(ISBLANK($A259),"",INDEX(Array_WaterCharges,MATCH($A259,List_WaterMeters,0),ROUNDUP((COLUMN()+0)/3-1,0)))</f>
        <v/>
      </c>
      <c r="AG259" s="127"/>
      <c r="AH259" s="137"/>
    </row>
    <row r="260" spans="1:34" x14ac:dyDescent="0.3">
      <c r="A260" s="126"/>
      <c r="B260" s="133"/>
      <c r="C260" s="127"/>
      <c r="D260" s="137"/>
      <c r="E260" s="58" t="str" cm="1">
        <f>IF(ISBLANK($A260),"",INDEX(Array_WaterCharges,MATCH($A260,List_WaterMeters,0),ROUNDUP((COLUMN()+0)/3-1,0)))</f>
        <v/>
      </c>
      <c r="F260" s="127"/>
      <c r="G260" s="137"/>
      <c r="H260" s="58" t="str" cm="1">
        <f>IF(ISBLANK($A260),"",INDEX(Array_WaterCharges,MATCH($A260,List_WaterMeters,0),ROUNDUP((COLUMN()+0)/3-1,0)))</f>
        <v/>
      </c>
      <c r="I260" s="127"/>
      <c r="J260" s="137"/>
      <c r="K260" s="58" t="str" cm="1">
        <f>IF(ISBLANK($A260),"",INDEX(Array_WaterCharges,MATCH($A260,List_WaterMeters,0),ROUNDUP((COLUMN()+0)/3-1,0)))</f>
        <v/>
      </c>
      <c r="L260" s="127"/>
      <c r="M260" s="137"/>
      <c r="N260" s="58" t="str" cm="1">
        <f>IF(ISBLANK($A260),"",INDEX(Array_WaterCharges,MATCH($A260,List_WaterMeters,0),ROUNDUP((COLUMN()+0)/3-1,0)))</f>
        <v/>
      </c>
      <c r="O260" s="127"/>
      <c r="P260" s="137"/>
      <c r="Q260" s="58" t="str" cm="1">
        <f>IF(ISBLANK($A260),"",INDEX(Array_WaterCharges,MATCH($A260,List_WaterMeters,0),ROUNDUP((COLUMN()+0)/3-1,0)))</f>
        <v/>
      </c>
      <c r="R260" s="127"/>
      <c r="S260" s="137"/>
      <c r="T260" s="58" t="str" cm="1">
        <f>IF(ISBLANK($A260),"",INDEX(Array_WaterCharges,MATCH($A260,List_WaterMeters,0),ROUNDUP((COLUMN()+0)/3-1,0)))</f>
        <v/>
      </c>
      <c r="U260" s="127"/>
      <c r="V260" s="137"/>
      <c r="W260" s="58" t="str" cm="1">
        <f>IF(ISBLANK($A260),"",INDEX(Array_WaterCharges,MATCH($A260,List_WaterMeters,0),ROUNDUP((COLUMN()+0)/3-1,0)))</f>
        <v/>
      </c>
      <c r="X260" s="127"/>
      <c r="Y260" s="137"/>
      <c r="Z260" s="58" t="str" cm="1">
        <f>IF(ISBLANK($A260),"",INDEX(Array_WaterCharges,MATCH($A260,List_WaterMeters,0),ROUNDUP((COLUMN()+0)/3-1,0)))</f>
        <v/>
      </c>
      <c r="AA260" s="127"/>
      <c r="AB260" s="137"/>
      <c r="AC260" s="58" t="str" cm="1">
        <f>IF(ISBLANK($A260),"",INDEX(Array_WaterCharges,MATCH($A260,List_WaterMeters,0),ROUNDUP((COLUMN()+0)/3-1,0)))</f>
        <v/>
      </c>
      <c r="AD260" s="127"/>
      <c r="AE260" s="137"/>
      <c r="AF260" s="58" t="str" cm="1">
        <f>IF(ISBLANK($A260),"",INDEX(Array_WaterCharges,MATCH($A260,List_WaterMeters,0),ROUNDUP((COLUMN()+0)/3-1,0)))</f>
        <v/>
      </c>
      <c r="AG260" s="127"/>
      <c r="AH260" s="137"/>
    </row>
    <row r="261" spans="1:34" x14ac:dyDescent="0.3">
      <c r="A261" s="126"/>
      <c r="B261" s="133"/>
      <c r="C261" s="127"/>
      <c r="D261" s="137"/>
      <c r="E261" s="58" t="str" cm="1">
        <f>IF(ISBLANK($A261),"",INDEX(Array_WaterCharges,MATCH($A261,List_WaterMeters,0),ROUNDUP((COLUMN()+0)/3-1,0)))</f>
        <v/>
      </c>
      <c r="F261" s="127"/>
      <c r="G261" s="137"/>
      <c r="H261" s="58" t="str" cm="1">
        <f>IF(ISBLANK($A261),"",INDEX(Array_WaterCharges,MATCH($A261,List_WaterMeters,0),ROUNDUP((COLUMN()+0)/3-1,0)))</f>
        <v/>
      </c>
      <c r="I261" s="127"/>
      <c r="J261" s="137"/>
      <c r="K261" s="58" t="str" cm="1">
        <f>IF(ISBLANK($A261),"",INDEX(Array_WaterCharges,MATCH($A261,List_WaterMeters,0),ROUNDUP((COLUMN()+0)/3-1,0)))</f>
        <v/>
      </c>
      <c r="L261" s="127"/>
      <c r="M261" s="137"/>
      <c r="N261" s="58" t="str" cm="1">
        <f>IF(ISBLANK($A261),"",INDEX(Array_WaterCharges,MATCH($A261,List_WaterMeters,0),ROUNDUP((COLUMN()+0)/3-1,0)))</f>
        <v/>
      </c>
      <c r="O261" s="127"/>
      <c r="P261" s="137"/>
      <c r="Q261" s="58" t="str" cm="1">
        <f>IF(ISBLANK($A261),"",INDEX(Array_WaterCharges,MATCH($A261,List_WaterMeters,0),ROUNDUP((COLUMN()+0)/3-1,0)))</f>
        <v/>
      </c>
      <c r="R261" s="127"/>
      <c r="S261" s="137"/>
      <c r="T261" s="58" t="str" cm="1">
        <f>IF(ISBLANK($A261),"",INDEX(Array_WaterCharges,MATCH($A261,List_WaterMeters,0),ROUNDUP((COLUMN()+0)/3-1,0)))</f>
        <v/>
      </c>
      <c r="U261" s="127"/>
      <c r="V261" s="137"/>
      <c r="W261" s="58" t="str" cm="1">
        <f>IF(ISBLANK($A261),"",INDEX(Array_WaterCharges,MATCH($A261,List_WaterMeters,0),ROUNDUP((COLUMN()+0)/3-1,0)))</f>
        <v/>
      </c>
      <c r="X261" s="127"/>
      <c r="Y261" s="137"/>
      <c r="Z261" s="58" t="str" cm="1">
        <f>IF(ISBLANK($A261),"",INDEX(Array_WaterCharges,MATCH($A261,List_WaterMeters,0),ROUNDUP((COLUMN()+0)/3-1,0)))</f>
        <v/>
      </c>
      <c r="AA261" s="127"/>
      <c r="AB261" s="137"/>
      <c r="AC261" s="58" t="str" cm="1">
        <f>IF(ISBLANK($A261),"",INDEX(Array_WaterCharges,MATCH($A261,List_WaterMeters,0),ROUNDUP((COLUMN()+0)/3-1,0)))</f>
        <v/>
      </c>
      <c r="AD261" s="127"/>
      <c r="AE261" s="137"/>
      <c r="AF261" s="58" t="str" cm="1">
        <f>IF(ISBLANK($A261),"",INDEX(Array_WaterCharges,MATCH($A261,List_WaterMeters,0),ROUNDUP((COLUMN()+0)/3-1,0)))</f>
        <v/>
      </c>
      <c r="AG261" s="127"/>
      <c r="AH261" s="137"/>
    </row>
    <row r="262" spans="1:34" x14ac:dyDescent="0.3">
      <c r="A262" s="126"/>
      <c r="B262" s="133"/>
      <c r="C262" s="127"/>
      <c r="D262" s="137"/>
      <c r="E262" s="58" t="str" cm="1">
        <f>IF(ISBLANK($A262),"",INDEX(Array_WaterCharges,MATCH($A262,List_WaterMeters,0),ROUNDUP((COLUMN()+0)/3-1,0)))</f>
        <v/>
      </c>
      <c r="F262" s="127"/>
      <c r="G262" s="137"/>
      <c r="H262" s="58" t="str" cm="1">
        <f>IF(ISBLANK($A262),"",INDEX(Array_WaterCharges,MATCH($A262,List_WaterMeters,0),ROUNDUP((COLUMN()+0)/3-1,0)))</f>
        <v/>
      </c>
      <c r="I262" s="127"/>
      <c r="J262" s="137"/>
      <c r="K262" s="58" t="str" cm="1">
        <f>IF(ISBLANK($A262),"",INDEX(Array_WaterCharges,MATCH($A262,List_WaterMeters,0),ROUNDUP((COLUMN()+0)/3-1,0)))</f>
        <v/>
      </c>
      <c r="L262" s="127"/>
      <c r="M262" s="137"/>
      <c r="N262" s="58" t="str" cm="1">
        <f>IF(ISBLANK($A262),"",INDEX(Array_WaterCharges,MATCH($A262,List_WaterMeters,0),ROUNDUP((COLUMN()+0)/3-1,0)))</f>
        <v/>
      </c>
      <c r="O262" s="127"/>
      <c r="P262" s="137"/>
      <c r="Q262" s="58" t="str" cm="1">
        <f>IF(ISBLANK($A262),"",INDEX(Array_WaterCharges,MATCH($A262,List_WaterMeters,0),ROUNDUP((COLUMN()+0)/3-1,0)))</f>
        <v/>
      </c>
      <c r="R262" s="127"/>
      <c r="S262" s="137"/>
      <c r="T262" s="58" t="str" cm="1">
        <f>IF(ISBLANK($A262),"",INDEX(Array_WaterCharges,MATCH($A262,List_WaterMeters,0),ROUNDUP((COLUMN()+0)/3-1,0)))</f>
        <v/>
      </c>
      <c r="U262" s="127"/>
      <c r="V262" s="137"/>
      <c r="W262" s="58" t="str" cm="1">
        <f>IF(ISBLANK($A262),"",INDEX(Array_WaterCharges,MATCH($A262,List_WaterMeters,0),ROUNDUP((COLUMN()+0)/3-1,0)))</f>
        <v/>
      </c>
      <c r="X262" s="127"/>
      <c r="Y262" s="137"/>
      <c r="Z262" s="58" t="str" cm="1">
        <f>IF(ISBLANK($A262),"",INDEX(Array_WaterCharges,MATCH($A262,List_WaterMeters,0),ROUNDUP((COLUMN()+0)/3-1,0)))</f>
        <v/>
      </c>
      <c r="AA262" s="127"/>
      <c r="AB262" s="137"/>
      <c r="AC262" s="58" t="str" cm="1">
        <f>IF(ISBLANK($A262),"",INDEX(Array_WaterCharges,MATCH($A262,List_WaterMeters,0),ROUNDUP((COLUMN()+0)/3-1,0)))</f>
        <v/>
      </c>
      <c r="AD262" s="127"/>
      <c r="AE262" s="137"/>
      <c r="AF262" s="58" t="str" cm="1">
        <f>IF(ISBLANK($A262),"",INDEX(Array_WaterCharges,MATCH($A262,List_WaterMeters,0),ROUNDUP((COLUMN()+0)/3-1,0)))</f>
        <v/>
      </c>
      <c r="AG262" s="127"/>
      <c r="AH262" s="137"/>
    </row>
    <row r="263" spans="1:34" x14ac:dyDescent="0.3">
      <c r="A263" s="126"/>
      <c r="B263" s="133"/>
      <c r="C263" s="127"/>
      <c r="D263" s="137"/>
      <c r="E263" s="58" t="str" cm="1">
        <f>IF(ISBLANK($A263),"",INDEX(Array_WaterCharges,MATCH($A263,List_WaterMeters,0),ROUNDUP((COLUMN()+0)/3-1,0)))</f>
        <v/>
      </c>
      <c r="F263" s="127"/>
      <c r="G263" s="137"/>
      <c r="H263" s="58" t="str" cm="1">
        <f>IF(ISBLANK($A263),"",INDEX(Array_WaterCharges,MATCH($A263,List_WaterMeters,0),ROUNDUP((COLUMN()+0)/3-1,0)))</f>
        <v/>
      </c>
      <c r="I263" s="127"/>
      <c r="J263" s="137"/>
      <c r="K263" s="58" t="str" cm="1">
        <f>IF(ISBLANK($A263),"",INDEX(Array_WaterCharges,MATCH($A263,List_WaterMeters,0),ROUNDUP((COLUMN()+0)/3-1,0)))</f>
        <v/>
      </c>
      <c r="L263" s="127"/>
      <c r="M263" s="137"/>
      <c r="N263" s="58" t="str" cm="1">
        <f>IF(ISBLANK($A263),"",INDEX(Array_WaterCharges,MATCH($A263,List_WaterMeters,0),ROUNDUP((COLUMN()+0)/3-1,0)))</f>
        <v/>
      </c>
      <c r="O263" s="127"/>
      <c r="P263" s="137"/>
      <c r="Q263" s="58" t="str" cm="1">
        <f>IF(ISBLANK($A263),"",INDEX(Array_WaterCharges,MATCH($A263,List_WaterMeters,0),ROUNDUP((COLUMN()+0)/3-1,0)))</f>
        <v/>
      </c>
      <c r="R263" s="127"/>
      <c r="S263" s="137"/>
      <c r="T263" s="58" t="str" cm="1">
        <f>IF(ISBLANK($A263),"",INDEX(Array_WaterCharges,MATCH($A263,List_WaterMeters,0),ROUNDUP((COLUMN()+0)/3-1,0)))</f>
        <v/>
      </c>
      <c r="U263" s="127"/>
      <c r="V263" s="137"/>
      <c r="W263" s="58" t="str" cm="1">
        <f>IF(ISBLANK($A263),"",INDEX(Array_WaterCharges,MATCH($A263,List_WaterMeters,0),ROUNDUP((COLUMN()+0)/3-1,0)))</f>
        <v/>
      </c>
      <c r="X263" s="127"/>
      <c r="Y263" s="137"/>
      <c r="Z263" s="58" t="str" cm="1">
        <f>IF(ISBLANK($A263),"",INDEX(Array_WaterCharges,MATCH($A263,List_WaterMeters,0),ROUNDUP((COLUMN()+0)/3-1,0)))</f>
        <v/>
      </c>
      <c r="AA263" s="127"/>
      <c r="AB263" s="137"/>
      <c r="AC263" s="58" t="str" cm="1">
        <f>IF(ISBLANK($A263),"",INDEX(Array_WaterCharges,MATCH($A263,List_WaterMeters,0),ROUNDUP((COLUMN()+0)/3-1,0)))</f>
        <v/>
      </c>
      <c r="AD263" s="127"/>
      <c r="AE263" s="137"/>
      <c r="AF263" s="58" t="str" cm="1">
        <f>IF(ISBLANK($A263),"",INDEX(Array_WaterCharges,MATCH($A263,List_WaterMeters,0),ROUNDUP((COLUMN()+0)/3-1,0)))</f>
        <v/>
      </c>
      <c r="AG263" s="127"/>
      <c r="AH263" s="137"/>
    </row>
    <row r="264" spans="1:34" x14ac:dyDescent="0.3">
      <c r="A264" s="126"/>
      <c r="B264" s="133"/>
      <c r="C264" s="127"/>
      <c r="D264" s="137"/>
      <c r="E264" s="58" t="str" cm="1">
        <f>IF(ISBLANK($A264),"",INDEX(Array_WaterCharges,MATCH($A264,List_WaterMeters,0),ROUNDUP((COLUMN()+0)/3-1,0)))</f>
        <v/>
      </c>
      <c r="F264" s="127"/>
      <c r="G264" s="137"/>
      <c r="H264" s="58" t="str" cm="1">
        <f>IF(ISBLANK($A264),"",INDEX(Array_WaterCharges,MATCH($A264,List_WaterMeters,0),ROUNDUP((COLUMN()+0)/3-1,0)))</f>
        <v/>
      </c>
      <c r="I264" s="127"/>
      <c r="J264" s="137"/>
      <c r="K264" s="58" t="str" cm="1">
        <f>IF(ISBLANK($A264),"",INDEX(Array_WaterCharges,MATCH($A264,List_WaterMeters,0),ROUNDUP((COLUMN()+0)/3-1,0)))</f>
        <v/>
      </c>
      <c r="L264" s="127"/>
      <c r="M264" s="137"/>
      <c r="N264" s="58" t="str" cm="1">
        <f>IF(ISBLANK($A264),"",INDEX(Array_WaterCharges,MATCH($A264,List_WaterMeters,0),ROUNDUP((COLUMN()+0)/3-1,0)))</f>
        <v/>
      </c>
      <c r="O264" s="127"/>
      <c r="P264" s="137"/>
      <c r="Q264" s="58" t="str" cm="1">
        <f>IF(ISBLANK($A264),"",INDEX(Array_WaterCharges,MATCH($A264,List_WaterMeters,0),ROUNDUP((COLUMN()+0)/3-1,0)))</f>
        <v/>
      </c>
      <c r="R264" s="127"/>
      <c r="S264" s="137"/>
      <c r="T264" s="58" t="str" cm="1">
        <f>IF(ISBLANK($A264),"",INDEX(Array_WaterCharges,MATCH($A264,List_WaterMeters,0),ROUNDUP((COLUMN()+0)/3-1,0)))</f>
        <v/>
      </c>
      <c r="U264" s="127"/>
      <c r="V264" s="137"/>
      <c r="W264" s="58" t="str" cm="1">
        <f>IF(ISBLANK($A264),"",INDEX(Array_WaterCharges,MATCH($A264,List_WaterMeters,0),ROUNDUP((COLUMN()+0)/3-1,0)))</f>
        <v/>
      </c>
      <c r="X264" s="127"/>
      <c r="Y264" s="137"/>
      <c r="Z264" s="58" t="str" cm="1">
        <f>IF(ISBLANK($A264),"",INDEX(Array_WaterCharges,MATCH($A264,List_WaterMeters,0),ROUNDUP((COLUMN()+0)/3-1,0)))</f>
        <v/>
      </c>
      <c r="AA264" s="127"/>
      <c r="AB264" s="137"/>
      <c r="AC264" s="58" t="str" cm="1">
        <f>IF(ISBLANK($A264),"",INDEX(Array_WaterCharges,MATCH($A264,List_WaterMeters,0),ROUNDUP((COLUMN()+0)/3-1,0)))</f>
        <v/>
      </c>
      <c r="AD264" s="127"/>
      <c r="AE264" s="137"/>
      <c r="AF264" s="58" t="str" cm="1">
        <f>IF(ISBLANK($A264),"",INDEX(Array_WaterCharges,MATCH($A264,List_WaterMeters,0),ROUNDUP((COLUMN()+0)/3-1,0)))</f>
        <v/>
      </c>
      <c r="AG264" s="127"/>
      <c r="AH264" s="137"/>
    </row>
    <row r="265" spans="1:34" x14ac:dyDescent="0.3">
      <c r="A265" s="126"/>
      <c r="B265" s="133"/>
      <c r="C265" s="127"/>
      <c r="D265" s="137"/>
      <c r="E265" s="58" t="str" cm="1">
        <f>IF(ISBLANK($A265),"",INDEX(Array_WaterCharges,MATCH($A265,List_WaterMeters,0),ROUNDUP((COLUMN()+0)/3-1,0)))</f>
        <v/>
      </c>
      <c r="F265" s="127"/>
      <c r="G265" s="137"/>
      <c r="H265" s="58" t="str" cm="1">
        <f>IF(ISBLANK($A265),"",INDEX(Array_WaterCharges,MATCH($A265,List_WaterMeters,0),ROUNDUP((COLUMN()+0)/3-1,0)))</f>
        <v/>
      </c>
      <c r="I265" s="127"/>
      <c r="J265" s="137"/>
      <c r="K265" s="58" t="str" cm="1">
        <f>IF(ISBLANK($A265),"",INDEX(Array_WaterCharges,MATCH($A265,List_WaterMeters,0),ROUNDUP((COLUMN()+0)/3-1,0)))</f>
        <v/>
      </c>
      <c r="L265" s="127"/>
      <c r="M265" s="137"/>
      <c r="N265" s="58" t="str" cm="1">
        <f>IF(ISBLANK($A265),"",INDEX(Array_WaterCharges,MATCH($A265,List_WaterMeters,0),ROUNDUP((COLUMN()+0)/3-1,0)))</f>
        <v/>
      </c>
      <c r="O265" s="127"/>
      <c r="P265" s="137"/>
      <c r="Q265" s="58" t="str" cm="1">
        <f>IF(ISBLANK($A265),"",INDEX(Array_WaterCharges,MATCH($A265,List_WaterMeters,0),ROUNDUP((COLUMN()+0)/3-1,0)))</f>
        <v/>
      </c>
      <c r="R265" s="127"/>
      <c r="S265" s="137"/>
      <c r="T265" s="58" t="str" cm="1">
        <f>IF(ISBLANK($A265),"",INDEX(Array_WaterCharges,MATCH($A265,List_WaterMeters,0),ROUNDUP((COLUMN()+0)/3-1,0)))</f>
        <v/>
      </c>
      <c r="U265" s="127"/>
      <c r="V265" s="137"/>
      <c r="W265" s="58" t="str" cm="1">
        <f>IF(ISBLANK($A265),"",INDEX(Array_WaterCharges,MATCH($A265,List_WaterMeters,0),ROUNDUP((COLUMN()+0)/3-1,0)))</f>
        <v/>
      </c>
      <c r="X265" s="127"/>
      <c r="Y265" s="137"/>
      <c r="Z265" s="58" t="str" cm="1">
        <f>IF(ISBLANK($A265),"",INDEX(Array_WaterCharges,MATCH($A265,List_WaterMeters,0),ROUNDUP((COLUMN()+0)/3-1,0)))</f>
        <v/>
      </c>
      <c r="AA265" s="127"/>
      <c r="AB265" s="137"/>
      <c r="AC265" s="58" t="str" cm="1">
        <f>IF(ISBLANK($A265),"",INDEX(Array_WaterCharges,MATCH($A265,List_WaterMeters,0),ROUNDUP((COLUMN()+0)/3-1,0)))</f>
        <v/>
      </c>
      <c r="AD265" s="127"/>
      <c r="AE265" s="137"/>
      <c r="AF265" s="58" t="str" cm="1">
        <f>IF(ISBLANK($A265),"",INDEX(Array_WaterCharges,MATCH($A265,List_WaterMeters,0),ROUNDUP((COLUMN()+0)/3-1,0)))</f>
        <v/>
      </c>
      <c r="AG265" s="127"/>
      <c r="AH265" s="137"/>
    </row>
    <row r="266" spans="1:34" x14ac:dyDescent="0.3">
      <c r="A266" s="126"/>
      <c r="B266" s="133"/>
      <c r="C266" s="127"/>
      <c r="D266" s="137"/>
      <c r="E266" s="58" t="str" cm="1">
        <f>IF(ISBLANK($A266),"",INDEX(Array_WaterCharges,MATCH($A266,List_WaterMeters,0),ROUNDUP((COLUMN()+0)/3-1,0)))</f>
        <v/>
      </c>
      <c r="F266" s="127"/>
      <c r="G266" s="137"/>
      <c r="H266" s="58" t="str" cm="1">
        <f>IF(ISBLANK($A266),"",INDEX(Array_WaterCharges,MATCH($A266,List_WaterMeters,0),ROUNDUP((COLUMN()+0)/3-1,0)))</f>
        <v/>
      </c>
      <c r="I266" s="127"/>
      <c r="J266" s="137"/>
      <c r="K266" s="58" t="str" cm="1">
        <f>IF(ISBLANK($A266),"",INDEX(Array_WaterCharges,MATCH($A266,List_WaterMeters,0),ROUNDUP((COLUMN()+0)/3-1,0)))</f>
        <v/>
      </c>
      <c r="L266" s="127"/>
      <c r="M266" s="137"/>
      <c r="N266" s="58" t="str" cm="1">
        <f>IF(ISBLANK($A266),"",INDEX(Array_WaterCharges,MATCH($A266,List_WaterMeters,0),ROUNDUP((COLUMN()+0)/3-1,0)))</f>
        <v/>
      </c>
      <c r="O266" s="127"/>
      <c r="P266" s="137"/>
      <c r="Q266" s="58" t="str" cm="1">
        <f>IF(ISBLANK($A266),"",INDEX(Array_WaterCharges,MATCH($A266,List_WaterMeters,0),ROUNDUP((COLUMN()+0)/3-1,0)))</f>
        <v/>
      </c>
      <c r="R266" s="127"/>
      <c r="S266" s="137"/>
      <c r="T266" s="58" t="str" cm="1">
        <f>IF(ISBLANK($A266),"",INDEX(Array_WaterCharges,MATCH($A266,List_WaterMeters,0),ROUNDUP((COLUMN()+0)/3-1,0)))</f>
        <v/>
      </c>
      <c r="U266" s="127"/>
      <c r="V266" s="137"/>
      <c r="W266" s="58" t="str" cm="1">
        <f>IF(ISBLANK($A266),"",INDEX(Array_WaterCharges,MATCH($A266,List_WaterMeters,0),ROUNDUP((COLUMN()+0)/3-1,0)))</f>
        <v/>
      </c>
      <c r="X266" s="127"/>
      <c r="Y266" s="137"/>
      <c r="Z266" s="58" t="str" cm="1">
        <f>IF(ISBLANK($A266),"",INDEX(Array_WaterCharges,MATCH($A266,List_WaterMeters,0),ROUNDUP((COLUMN()+0)/3-1,0)))</f>
        <v/>
      </c>
      <c r="AA266" s="127"/>
      <c r="AB266" s="137"/>
      <c r="AC266" s="58" t="str" cm="1">
        <f>IF(ISBLANK($A266),"",INDEX(Array_WaterCharges,MATCH($A266,List_WaterMeters,0),ROUNDUP((COLUMN()+0)/3-1,0)))</f>
        <v/>
      </c>
      <c r="AD266" s="127"/>
      <c r="AE266" s="137"/>
      <c r="AF266" s="58" t="str" cm="1">
        <f>IF(ISBLANK($A266),"",INDEX(Array_WaterCharges,MATCH($A266,List_WaterMeters,0),ROUNDUP((COLUMN()+0)/3-1,0)))</f>
        <v/>
      </c>
      <c r="AG266" s="127"/>
      <c r="AH266" s="137"/>
    </row>
    <row r="267" spans="1:34" x14ac:dyDescent="0.3">
      <c r="A267" s="126"/>
      <c r="B267" s="133"/>
      <c r="C267" s="127"/>
      <c r="D267" s="137"/>
      <c r="E267" s="58" t="str" cm="1">
        <f>IF(ISBLANK($A267),"",INDEX(Array_WaterCharges,MATCH($A267,List_WaterMeters,0),ROUNDUP((COLUMN()+0)/3-1,0)))</f>
        <v/>
      </c>
      <c r="F267" s="127"/>
      <c r="G267" s="137"/>
      <c r="H267" s="58" t="str" cm="1">
        <f>IF(ISBLANK($A267),"",INDEX(Array_WaterCharges,MATCH($A267,List_WaterMeters,0),ROUNDUP((COLUMN()+0)/3-1,0)))</f>
        <v/>
      </c>
      <c r="I267" s="127"/>
      <c r="J267" s="137"/>
      <c r="K267" s="58" t="str" cm="1">
        <f>IF(ISBLANK($A267),"",INDEX(Array_WaterCharges,MATCH($A267,List_WaterMeters,0),ROUNDUP((COLUMN()+0)/3-1,0)))</f>
        <v/>
      </c>
      <c r="L267" s="127"/>
      <c r="M267" s="137"/>
      <c r="N267" s="58" t="str" cm="1">
        <f>IF(ISBLANK($A267),"",INDEX(Array_WaterCharges,MATCH($A267,List_WaterMeters,0),ROUNDUP((COLUMN()+0)/3-1,0)))</f>
        <v/>
      </c>
      <c r="O267" s="127"/>
      <c r="P267" s="137"/>
      <c r="Q267" s="58" t="str" cm="1">
        <f>IF(ISBLANK($A267),"",INDEX(Array_WaterCharges,MATCH($A267,List_WaterMeters,0),ROUNDUP((COLUMN()+0)/3-1,0)))</f>
        <v/>
      </c>
      <c r="R267" s="127"/>
      <c r="S267" s="137"/>
      <c r="T267" s="58" t="str" cm="1">
        <f>IF(ISBLANK($A267),"",INDEX(Array_WaterCharges,MATCH($A267,List_WaterMeters,0),ROUNDUP((COLUMN()+0)/3-1,0)))</f>
        <v/>
      </c>
      <c r="U267" s="127"/>
      <c r="V267" s="137"/>
      <c r="W267" s="58" t="str" cm="1">
        <f>IF(ISBLANK($A267),"",INDEX(Array_WaterCharges,MATCH($A267,List_WaterMeters,0),ROUNDUP((COLUMN()+0)/3-1,0)))</f>
        <v/>
      </c>
      <c r="X267" s="127"/>
      <c r="Y267" s="137"/>
      <c r="Z267" s="58" t="str" cm="1">
        <f>IF(ISBLANK($A267),"",INDEX(Array_WaterCharges,MATCH($A267,List_WaterMeters,0),ROUNDUP((COLUMN()+0)/3-1,0)))</f>
        <v/>
      </c>
      <c r="AA267" s="127"/>
      <c r="AB267" s="137"/>
      <c r="AC267" s="58" t="str" cm="1">
        <f>IF(ISBLANK($A267),"",INDEX(Array_WaterCharges,MATCH($A267,List_WaterMeters,0),ROUNDUP((COLUMN()+0)/3-1,0)))</f>
        <v/>
      </c>
      <c r="AD267" s="127"/>
      <c r="AE267" s="137"/>
      <c r="AF267" s="58" t="str" cm="1">
        <f>IF(ISBLANK($A267),"",INDEX(Array_WaterCharges,MATCH($A267,List_WaterMeters,0),ROUNDUP((COLUMN()+0)/3-1,0)))</f>
        <v/>
      </c>
      <c r="AG267" s="127"/>
      <c r="AH267" s="137"/>
    </row>
    <row r="268" spans="1:34" x14ac:dyDescent="0.3">
      <c r="A268" s="126"/>
      <c r="B268" s="133"/>
      <c r="C268" s="127"/>
      <c r="D268" s="137"/>
      <c r="E268" s="58" t="str" cm="1">
        <f>IF(ISBLANK($A268),"",INDEX(Array_WaterCharges,MATCH($A268,List_WaterMeters,0),ROUNDUP((COLUMN()+0)/3-1,0)))</f>
        <v/>
      </c>
      <c r="F268" s="127"/>
      <c r="G268" s="137"/>
      <c r="H268" s="58" t="str" cm="1">
        <f>IF(ISBLANK($A268),"",INDEX(Array_WaterCharges,MATCH($A268,List_WaterMeters,0),ROUNDUP((COLUMN()+0)/3-1,0)))</f>
        <v/>
      </c>
      <c r="I268" s="127"/>
      <c r="J268" s="137"/>
      <c r="K268" s="58" t="str" cm="1">
        <f>IF(ISBLANK($A268),"",INDEX(Array_WaterCharges,MATCH($A268,List_WaterMeters,0),ROUNDUP((COLUMN()+0)/3-1,0)))</f>
        <v/>
      </c>
      <c r="L268" s="127"/>
      <c r="M268" s="137"/>
      <c r="N268" s="58" t="str" cm="1">
        <f>IF(ISBLANK($A268),"",INDEX(Array_WaterCharges,MATCH($A268,List_WaterMeters,0),ROUNDUP((COLUMN()+0)/3-1,0)))</f>
        <v/>
      </c>
      <c r="O268" s="127"/>
      <c r="P268" s="137"/>
      <c r="Q268" s="58" t="str" cm="1">
        <f>IF(ISBLANK($A268),"",INDEX(Array_WaterCharges,MATCH($A268,List_WaterMeters,0),ROUNDUP((COLUMN()+0)/3-1,0)))</f>
        <v/>
      </c>
      <c r="R268" s="127"/>
      <c r="S268" s="137"/>
      <c r="T268" s="58" t="str" cm="1">
        <f>IF(ISBLANK($A268),"",INDEX(Array_WaterCharges,MATCH($A268,List_WaterMeters,0),ROUNDUP((COLUMN()+0)/3-1,0)))</f>
        <v/>
      </c>
      <c r="U268" s="127"/>
      <c r="V268" s="137"/>
      <c r="W268" s="58" t="str" cm="1">
        <f>IF(ISBLANK($A268),"",INDEX(Array_WaterCharges,MATCH($A268,List_WaterMeters,0),ROUNDUP((COLUMN()+0)/3-1,0)))</f>
        <v/>
      </c>
      <c r="X268" s="127"/>
      <c r="Y268" s="137"/>
      <c r="Z268" s="58" t="str" cm="1">
        <f>IF(ISBLANK($A268),"",INDEX(Array_WaterCharges,MATCH($A268,List_WaterMeters,0),ROUNDUP((COLUMN()+0)/3-1,0)))</f>
        <v/>
      </c>
      <c r="AA268" s="127"/>
      <c r="AB268" s="137"/>
      <c r="AC268" s="58" t="str" cm="1">
        <f>IF(ISBLANK($A268),"",INDEX(Array_WaterCharges,MATCH($A268,List_WaterMeters,0),ROUNDUP((COLUMN()+0)/3-1,0)))</f>
        <v/>
      </c>
      <c r="AD268" s="127"/>
      <c r="AE268" s="137"/>
      <c r="AF268" s="58" t="str" cm="1">
        <f>IF(ISBLANK($A268),"",INDEX(Array_WaterCharges,MATCH($A268,List_WaterMeters,0),ROUNDUP((COLUMN()+0)/3-1,0)))</f>
        <v/>
      </c>
      <c r="AG268" s="127"/>
      <c r="AH268" s="137"/>
    </row>
    <row r="269" spans="1:34" x14ac:dyDescent="0.3">
      <c r="A269" s="126"/>
      <c r="B269" s="133"/>
      <c r="C269" s="127"/>
      <c r="D269" s="137"/>
      <c r="E269" s="58" t="str" cm="1">
        <f>IF(ISBLANK($A269),"",INDEX(Array_WaterCharges,MATCH($A269,List_WaterMeters,0),ROUNDUP((COLUMN()+0)/3-1,0)))</f>
        <v/>
      </c>
      <c r="F269" s="127"/>
      <c r="G269" s="137"/>
      <c r="H269" s="58" t="str" cm="1">
        <f>IF(ISBLANK($A269),"",INDEX(Array_WaterCharges,MATCH($A269,List_WaterMeters,0),ROUNDUP((COLUMN()+0)/3-1,0)))</f>
        <v/>
      </c>
      <c r="I269" s="127"/>
      <c r="J269" s="137"/>
      <c r="K269" s="58" t="str" cm="1">
        <f>IF(ISBLANK($A269),"",INDEX(Array_WaterCharges,MATCH($A269,List_WaterMeters,0),ROUNDUP((COLUMN()+0)/3-1,0)))</f>
        <v/>
      </c>
      <c r="L269" s="127"/>
      <c r="M269" s="137"/>
      <c r="N269" s="58" t="str" cm="1">
        <f>IF(ISBLANK($A269),"",INDEX(Array_WaterCharges,MATCH($A269,List_WaterMeters,0),ROUNDUP((COLUMN()+0)/3-1,0)))</f>
        <v/>
      </c>
      <c r="O269" s="127"/>
      <c r="P269" s="137"/>
      <c r="Q269" s="58" t="str" cm="1">
        <f>IF(ISBLANK($A269),"",INDEX(Array_WaterCharges,MATCH($A269,List_WaterMeters,0),ROUNDUP((COLUMN()+0)/3-1,0)))</f>
        <v/>
      </c>
      <c r="R269" s="127"/>
      <c r="S269" s="137"/>
      <c r="T269" s="58" t="str" cm="1">
        <f>IF(ISBLANK($A269),"",INDEX(Array_WaterCharges,MATCH($A269,List_WaterMeters,0),ROUNDUP((COLUMN()+0)/3-1,0)))</f>
        <v/>
      </c>
      <c r="U269" s="127"/>
      <c r="V269" s="137"/>
      <c r="W269" s="58" t="str" cm="1">
        <f>IF(ISBLANK($A269),"",INDEX(Array_WaterCharges,MATCH($A269,List_WaterMeters,0),ROUNDUP((COLUMN()+0)/3-1,0)))</f>
        <v/>
      </c>
      <c r="X269" s="127"/>
      <c r="Y269" s="137"/>
      <c r="Z269" s="58" t="str" cm="1">
        <f>IF(ISBLANK($A269),"",INDEX(Array_WaterCharges,MATCH($A269,List_WaterMeters,0),ROUNDUP((COLUMN()+0)/3-1,0)))</f>
        <v/>
      </c>
      <c r="AA269" s="127"/>
      <c r="AB269" s="137"/>
      <c r="AC269" s="58" t="str" cm="1">
        <f>IF(ISBLANK($A269),"",INDEX(Array_WaterCharges,MATCH($A269,List_WaterMeters,0),ROUNDUP((COLUMN()+0)/3-1,0)))</f>
        <v/>
      </c>
      <c r="AD269" s="127"/>
      <c r="AE269" s="137"/>
      <c r="AF269" s="58" t="str" cm="1">
        <f>IF(ISBLANK($A269),"",INDEX(Array_WaterCharges,MATCH($A269,List_WaterMeters,0),ROUNDUP((COLUMN()+0)/3-1,0)))</f>
        <v/>
      </c>
      <c r="AG269" s="127"/>
      <c r="AH269" s="137"/>
    </row>
    <row r="270" spans="1:34" x14ac:dyDescent="0.3">
      <c r="A270" s="126"/>
      <c r="B270" s="133"/>
      <c r="C270" s="127"/>
      <c r="D270" s="137"/>
      <c r="E270" s="58" t="str" cm="1">
        <f>IF(ISBLANK($A270),"",INDEX(Array_WaterCharges,MATCH($A270,List_WaterMeters,0),ROUNDUP((COLUMN()+0)/3-1,0)))</f>
        <v/>
      </c>
      <c r="F270" s="127"/>
      <c r="G270" s="137"/>
      <c r="H270" s="58" t="str" cm="1">
        <f>IF(ISBLANK($A270),"",INDEX(Array_WaterCharges,MATCH($A270,List_WaterMeters,0),ROUNDUP((COLUMN()+0)/3-1,0)))</f>
        <v/>
      </c>
      <c r="I270" s="127"/>
      <c r="J270" s="137"/>
      <c r="K270" s="58" t="str" cm="1">
        <f>IF(ISBLANK($A270),"",INDEX(Array_WaterCharges,MATCH($A270,List_WaterMeters,0),ROUNDUP((COLUMN()+0)/3-1,0)))</f>
        <v/>
      </c>
      <c r="L270" s="127"/>
      <c r="M270" s="137"/>
      <c r="N270" s="58" t="str" cm="1">
        <f>IF(ISBLANK($A270),"",INDEX(Array_WaterCharges,MATCH($A270,List_WaterMeters,0),ROUNDUP((COLUMN()+0)/3-1,0)))</f>
        <v/>
      </c>
      <c r="O270" s="127"/>
      <c r="P270" s="137"/>
      <c r="Q270" s="58" t="str" cm="1">
        <f>IF(ISBLANK($A270),"",INDEX(Array_WaterCharges,MATCH($A270,List_WaterMeters,0),ROUNDUP((COLUMN()+0)/3-1,0)))</f>
        <v/>
      </c>
      <c r="R270" s="127"/>
      <c r="S270" s="137"/>
      <c r="T270" s="58" t="str" cm="1">
        <f>IF(ISBLANK($A270),"",INDEX(Array_WaterCharges,MATCH($A270,List_WaterMeters,0),ROUNDUP((COLUMN()+0)/3-1,0)))</f>
        <v/>
      </c>
      <c r="U270" s="127"/>
      <c r="V270" s="137"/>
      <c r="W270" s="58" t="str" cm="1">
        <f>IF(ISBLANK($A270),"",INDEX(Array_WaterCharges,MATCH($A270,List_WaterMeters,0),ROUNDUP((COLUMN()+0)/3-1,0)))</f>
        <v/>
      </c>
      <c r="X270" s="127"/>
      <c r="Y270" s="137"/>
      <c r="Z270" s="58" t="str" cm="1">
        <f>IF(ISBLANK($A270),"",INDEX(Array_WaterCharges,MATCH($A270,List_WaterMeters,0),ROUNDUP((COLUMN()+0)/3-1,0)))</f>
        <v/>
      </c>
      <c r="AA270" s="127"/>
      <c r="AB270" s="137"/>
      <c r="AC270" s="58" t="str" cm="1">
        <f>IF(ISBLANK($A270),"",INDEX(Array_WaterCharges,MATCH($A270,List_WaterMeters,0),ROUNDUP((COLUMN()+0)/3-1,0)))</f>
        <v/>
      </c>
      <c r="AD270" s="127"/>
      <c r="AE270" s="137"/>
      <c r="AF270" s="58" t="str" cm="1">
        <f>IF(ISBLANK($A270),"",INDEX(Array_WaterCharges,MATCH($A270,List_WaterMeters,0),ROUNDUP((COLUMN()+0)/3-1,0)))</f>
        <v/>
      </c>
      <c r="AG270" s="127"/>
      <c r="AH270" s="137"/>
    </row>
    <row r="271" spans="1:34" x14ac:dyDescent="0.3">
      <c r="A271" s="126"/>
      <c r="B271" s="133"/>
      <c r="C271" s="127"/>
      <c r="D271" s="137"/>
      <c r="E271" s="58" t="str" cm="1">
        <f>IF(ISBLANK($A271),"",INDEX(Array_WaterCharges,MATCH($A271,List_WaterMeters,0),ROUNDUP((COLUMN()+0)/3-1,0)))</f>
        <v/>
      </c>
      <c r="F271" s="127"/>
      <c r="G271" s="137"/>
      <c r="H271" s="58" t="str" cm="1">
        <f>IF(ISBLANK($A271),"",INDEX(Array_WaterCharges,MATCH($A271,List_WaterMeters,0),ROUNDUP((COLUMN()+0)/3-1,0)))</f>
        <v/>
      </c>
      <c r="I271" s="127"/>
      <c r="J271" s="137"/>
      <c r="K271" s="58" t="str" cm="1">
        <f>IF(ISBLANK($A271),"",INDEX(Array_WaterCharges,MATCH($A271,List_WaterMeters,0),ROUNDUP((COLUMN()+0)/3-1,0)))</f>
        <v/>
      </c>
      <c r="L271" s="127"/>
      <c r="M271" s="137"/>
      <c r="N271" s="58" t="str" cm="1">
        <f>IF(ISBLANK($A271),"",INDEX(Array_WaterCharges,MATCH($A271,List_WaterMeters,0),ROUNDUP((COLUMN()+0)/3-1,0)))</f>
        <v/>
      </c>
      <c r="O271" s="127"/>
      <c r="P271" s="137"/>
      <c r="Q271" s="58" t="str" cm="1">
        <f>IF(ISBLANK($A271),"",INDEX(Array_WaterCharges,MATCH($A271,List_WaterMeters,0),ROUNDUP((COLUMN()+0)/3-1,0)))</f>
        <v/>
      </c>
      <c r="R271" s="127"/>
      <c r="S271" s="137"/>
      <c r="T271" s="58" t="str" cm="1">
        <f>IF(ISBLANK($A271),"",INDEX(Array_WaterCharges,MATCH($A271,List_WaterMeters,0),ROUNDUP((COLUMN()+0)/3-1,0)))</f>
        <v/>
      </c>
      <c r="U271" s="127"/>
      <c r="V271" s="137"/>
      <c r="W271" s="58" t="str" cm="1">
        <f>IF(ISBLANK($A271),"",INDEX(Array_WaterCharges,MATCH($A271,List_WaterMeters,0),ROUNDUP((COLUMN()+0)/3-1,0)))</f>
        <v/>
      </c>
      <c r="X271" s="127"/>
      <c r="Y271" s="137"/>
      <c r="Z271" s="58" t="str" cm="1">
        <f>IF(ISBLANK($A271),"",INDEX(Array_WaterCharges,MATCH($A271,List_WaterMeters,0),ROUNDUP((COLUMN()+0)/3-1,0)))</f>
        <v/>
      </c>
      <c r="AA271" s="127"/>
      <c r="AB271" s="137"/>
      <c r="AC271" s="58" t="str" cm="1">
        <f>IF(ISBLANK($A271),"",INDEX(Array_WaterCharges,MATCH($A271,List_WaterMeters,0),ROUNDUP((COLUMN()+0)/3-1,0)))</f>
        <v/>
      </c>
      <c r="AD271" s="127"/>
      <c r="AE271" s="137"/>
      <c r="AF271" s="58" t="str" cm="1">
        <f>IF(ISBLANK($A271),"",INDEX(Array_WaterCharges,MATCH($A271,List_WaterMeters,0),ROUNDUP((COLUMN()+0)/3-1,0)))</f>
        <v/>
      </c>
      <c r="AG271" s="127"/>
      <c r="AH271" s="137"/>
    </row>
    <row r="272" spans="1:34" x14ac:dyDescent="0.3">
      <c r="A272" s="126"/>
      <c r="B272" s="133"/>
      <c r="C272" s="127"/>
      <c r="D272" s="137"/>
      <c r="E272" s="58" t="str" cm="1">
        <f>IF(ISBLANK($A272),"",INDEX(Array_WaterCharges,MATCH($A272,List_WaterMeters,0),ROUNDUP((COLUMN()+0)/3-1,0)))</f>
        <v/>
      </c>
      <c r="F272" s="127"/>
      <c r="G272" s="137"/>
      <c r="H272" s="58" t="str" cm="1">
        <f>IF(ISBLANK($A272),"",INDEX(Array_WaterCharges,MATCH($A272,List_WaterMeters,0),ROUNDUP((COLUMN()+0)/3-1,0)))</f>
        <v/>
      </c>
      <c r="I272" s="127"/>
      <c r="J272" s="137"/>
      <c r="K272" s="58" t="str" cm="1">
        <f>IF(ISBLANK($A272),"",INDEX(Array_WaterCharges,MATCH($A272,List_WaterMeters,0),ROUNDUP((COLUMN()+0)/3-1,0)))</f>
        <v/>
      </c>
      <c r="L272" s="127"/>
      <c r="M272" s="137"/>
      <c r="N272" s="58" t="str" cm="1">
        <f>IF(ISBLANK($A272),"",INDEX(Array_WaterCharges,MATCH($A272,List_WaterMeters,0),ROUNDUP((COLUMN()+0)/3-1,0)))</f>
        <v/>
      </c>
      <c r="O272" s="127"/>
      <c r="P272" s="137"/>
      <c r="Q272" s="58" t="str" cm="1">
        <f>IF(ISBLANK($A272),"",INDEX(Array_WaterCharges,MATCH($A272,List_WaterMeters,0),ROUNDUP((COLUMN()+0)/3-1,0)))</f>
        <v/>
      </c>
      <c r="R272" s="127"/>
      <c r="S272" s="137"/>
      <c r="T272" s="58" t="str" cm="1">
        <f>IF(ISBLANK($A272),"",INDEX(Array_WaterCharges,MATCH($A272,List_WaterMeters,0),ROUNDUP((COLUMN()+0)/3-1,0)))</f>
        <v/>
      </c>
      <c r="U272" s="127"/>
      <c r="V272" s="137"/>
      <c r="W272" s="58" t="str" cm="1">
        <f>IF(ISBLANK($A272),"",INDEX(Array_WaterCharges,MATCH($A272,List_WaterMeters,0),ROUNDUP((COLUMN()+0)/3-1,0)))</f>
        <v/>
      </c>
      <c r="X272" s="127"/>
      <c r="Y272" s="137"/>
      <c r="Z272" s="58" t="str" cm="1">
        <f>IF(ISBLANK($A272),"",INDEX(Array_WaterCharges,MATCH($A272,List_WaterMeters,0),ROUNDUP((COLUMN()+0)/3-1,0)))</f>
        <v/>
      </c>
      <c r="AA272" s="127"/>
      <c r="AB272" s="137"/>
      <c r="AC272" s="58" t="str" cm="1">
        <f>IF(ISBLANK($A272),"",INDEX(Array_WaterCharges,MATCH($A272,List_WaterMeters,0),ROUNDUP((COLUMN()+0)/3-1,0)))</f>
        <v/>
      </c>
      <c r="AD272" s="127"/>
      <c r="AE272" s="137"/>
      <c r="AF272" s="58" t="str" cm="1">
        <f>IF(ISBLANK($A272),"",INDEX(Array_WaterCharges,MATCH($A272,List_WaterMeters,0),ROUNDUP((COLUMN()+0)/3-1,0)))</f>
        <v/>
      </c>
      <c r="AG272" s="127"/>
      <c r="AH272" s="137"/>
    </row>
    <row r="273" spans="1:34" x14ac:dyDescent="0.3">
      <c r="A273" s="126"/>
      <c r="B273" s="133"/>
      <c r="C273" s="127"/>
      <c r="D273" s="137"/>
      <c r="E273" s="58" t="str" cm="1">
        <f>IF(ISBLANK($A273),"",INDEX(Array_WaterCharges,MATCH($A273,List_WaterMeters,0),ROUNDUP((COLUMN()+0)/3-1,0)))</f>
        <v/>
      </c>
      <c r="F273" s="127"/>
      <c r="G273" s="137"/>
      <c r="H273" s="58" t="str" cm="1">
        <f>IF(ISBLANK($A273),"",INDEX(Array_WaterCharges,MATCH($A273,List_WaterMeters,0),ROUNDUP((COLUMN()+0)/3-1,0)))</f>
        <v/>
      </c>
      <c r="I273" s="127"/>
      <c r="J273" s="137"/>
      <c r="K273" s="58" t="str" cm="1">
        <f>IF(ISBLANK($A273),"",INDEX(Array_WaterCharges,MATCH($A273,List_WaterMeters,0),ROUNDUP((COLUMN()+0)/3-1,0)))</f>
        <v/>
      </c>
      <c r="L273" s="127"/>
      <c r="M273" s="137"/>
      <c r="N273" s="58" t="str" cm="1">
        <f>IF(ISBLANK($A273),"",INDEX(Array_WaterCharges,MATCH($A273,List_WaterMeters,0),ROUNDUP((COLUMN()+0)/3-1,0)))</f>
        <v/>
      </c>
      <c r="O273" s="127"/>
      <c r="P273" s="137"/>
      <c r="Q273" s="58" t="str" cm="1">
        <f>IF(ISBLANK($A273),"",INDEX(Array_WaterCharges,MATCH($A273,List_WaterMeters,0),ROUNDUP((COLUMN()+0)/3-1,0)))</f>
        <v/>
      </c>
      <c r="R273" s="127"/>
      <c r="S273" s="137"/>
      <c r="T273" s="58" t="str" cm="1">
        <f>IF(ISBLANK($A273),"",INDEX(Array_WaterCharges,MATCH($A273,List_WaterMeters,0),ROUNDUP((COLUMN()+0)/3-1,0)))</f>
        <v/>
      </c>
      <c r="U273" s="127"/>
      <c r="V273" s="137"/>
      <c r="W273" s="58" t="str" cm="1">
        <f>IF(ISBLANK($A273),"",INDEX(Array_WaterCharges,MATCH($A273,List_WaterMeters,0),ROUNDUP((COLUMN()+0)/3-1,0)))</f>
        <v/>
      </c>
      <c r="X273" s="127"/>
      <c r="Y273" s="137"/>
      <c r="Z273" s="58" t="str" cm="1">
        <f>IF(ISBLANK($A273),"",INDEX(Array_WaterCharges,MATCH($A273,List_WaterMeters,0),ROUNDUP((COLUMN()+0)/3-1,0)))</f>
        <v/>
      </c>
      <c r="AA273" s="127"/>
      <c r="AB273" s="137"/>
      <c r="AC273" s="58" t="str" cm="1">
        <f>IF(ISBLANK($A273),"",INDEX(Array_WaterCharges,MATCH($A273,List_WaterMeters,0),ROUNDUP((COLUMN()+0)/3-1,0)))</f>
        <v/>
      </c>
      <c r="AD273" s="127"/>
      <c r="AE273" s="137"/>
      <c r="AF273" s="58" t="str" cm="1">
        <f>IF(ISBLANK($A273),"",INDEX(Array_WaterCharges,MATCH($A273,List_WaterMeters,0),ROUNDUP((COLUMN()+0)/3-1,0)))</f>
        <v/>
      </c>
      <c r="AG273" s="127"/>
      <c r="AH273" s="137"/>
    </row>
    <row r="274" spans="1:34" x14ac:dyDescent="0.3">
      <c r="A274" s="126"/>
      <c r="B274" s="133"/>
      <c r="C274" s="127"/>
      <c r="D274" s="137"/>
      <c r="E274" s="58" t="str" cm="1">
        <f>IF(ISBLANK($A274),"",INDEX(Array_WaterCharges,MATCH($A274,List_WaterMeters,0),ROUNDUP((COLUMN()+0)/3-1,0)))</f>
        <v/>
      </c>
      <c r="F274" s="127"/>
      <c r="G274" s="137"/>
      <c r="H274" s="58" t="str" cm="1">
        <f>IF(ISBLANK($A274),"",INDEX(Array_WaterCharges,MATCH($A274,List_WaterMeters,0),ROUNDUP((COLUMN()+0)/3-1,0)))</f>
        <v/>
      </c>
      <c r="I274" s="127"/>
      <c r="J274" s="137"/>
      <c r="K274" s="58" t="str" cm="1">
        <f>IF(ISBLANK($A274),"",INDEX(Array_WaterCharges,MATCH($A274,List_WaterMeters,0),ROUNDUP((COLUMN()+0)/3-1,0)))</f>
        <v/>
      </c>
      <c r="L274" s="127"/>
      <c r="M274" s="137"/>
      <c r="N274" s="58" t="str" cm="1">
        <f>IF(ISBLANK($A274),"",INDEX(Array_WaterCharges,MATCH($A274,List_WaterMeters,0),ROUNDUP((COLUMN()+0)/3-1,0)))</f>
        <v/>
      </c>
      <c r="O274" s="127"/>
      <c r="P274" s="137"/>
      <c r="Q274" s="58" t="str" cm="1">
        <f>IF(ISBLANK($A274),"",INDEX(Array_WaterCharges,MATCH($A274,List_WaterMeters,0),ROUNDUP((COLUMN()+0)/3-1,0)))</f>
        <v/>
      </c>
      <c r="R274" s="127"/>
      <c r="S274" s="137"/>
      <c r="T274" s="58" t="str" cm="1">
        <f>IF(ISBLANK($A274),"",INDEX(Array_WaterCharges,MATCH($A274,List_WaterMeters,0),ROUNDUP((COLUMN()+0)/3-1,0)))</f>
        <v/>
      </c>
      <c r="U274" s="127"/>
      <c r="V274" s="137"/>
      <c r="W274" s="58" t="str" cm="1">
        <f>IF(ISBLANK($A274),"",INDEX(Array_WaterCharges,MATCH($A274,List_WaterMeters,0),ROUNDUP((COLUMN()+0)/3-1,0)))</f>
        <v/>
      </c>
      <c r="X274" s="127"/>
      <c r="Y274" s="137"/>
      <c r="Z274" s="58" t="str" cm="1">
        <f>IF(ISBLANK($A274),"",INDEX(Array_WaterCharges,MATCH($A274,List_WaterMeters,0),ROUNDUP((COLUMN()+0)/3-1,0)))</f>
        <v/>
      </c>
      <c r="AA274" s="127"/>
      <c r="AB274" s="137"/>
      <c r="AC274" s="58" t="str" cm="1">
        <f>IF(ISBLANK($A274),"",INDEX(Array_WaterCharges,MATCH($A274,List_WaterMeters,0),ROUNDUP((COLUMN()+0)/3-1,0)))</f>
        <v/>
      </c>
      <c r="AD274" s="127"/>
      <c r="AE274" s="137"/>
      <c r="AF274" s="58" t="str" cm="1">
        <f>IF(ISBLANK($A274),"",INDEX(Array_WaterCharges,MATCH($A274,List_WaterMeters,0),ROUNDUP((COLUMN()+0)/3-1,0)))</f>
        <v/>
      </c>
      <c r="AG274" s="127"/>
      <c r="AH274" s="137"/>
    </row>
    <row r="275" spans="1:34" x14ac:dyDescent="0.3">
      <c r="A275" s="126"/>
      <c r="B275" s="133"/>
      <c r="C275" s="127"/>
      <c r="D275" s="137"/>
      <c r="E275" s="58" t="str" cm="1">
        <f>IF(ISBLANK($A275),"",INDEX(Array_WaterCharges,MATCH($A275,List_WaterMeters,0),ROUNDUP((COLUMN()+0)/3-1,0)))</f>
        <v/>
      </c>
      <c r="F275" s="127"/>
      <c r="G275" s="137"/>
      <c r="H275" s="58" t="str" cm="1">
        <f>IF(ISBLANK($A275),"",INDEX(Array_WaterCharges,MATCH($A275,List_WaterMeters,0),ROUNDUP((COLUMN()+0)/3-1,0)))</f>
        <v/>
      </c>
      <c r="I275" s="127"/>
      <c r="J275" s="137"/>
      <c r="K275" s="58" t="str" cm="1">
        <f>IF(ISBLANK($A275),"",INDEX(Array_WaterCharges,MATCH($A275,List_WaterMeters,0),ROUNDUP((COLUMN()+0)/3-1,0)))</f>
        <v/>
      </c>
      <c r="L275" s="127"/>
      <c r="M275" s="137"/>
      <c r="N275" s="58" t="str" cm="1">
        <f>IF(ISBLANK($A275),"",INDEX(Array_WaterCharges,MATCH($A275,List_WaterMeters,0),ROUNDUP((COLUMN()+0)/3-1,0)))</f>
        <v/>
      </c>
      <c r="O275" s="127"/>
      <c r="P275" s="137"/>
      <c r="Q275" s="58" t="str" cm="1">
        <f>IF(ISBLANK($A275),"",INDEX(Array_WaterCharges,MATCH($A275,List_WaterMeters,0),ROUNDUP((COLUMN()+0)/3-1,0)))</f>
        <v/>
      </c>
      <c r="R275" s="127"/>
      <c r="S275" s="137"/>
      <c r="T275" s="58" t="str" cm="1">
        <f>IF(ISBLANK($A275),"",INDEX(Array_WaterCharges,MATCH($A275,List_WaterMeters,0),ROUNDUP((COLUMN()+0)/3-1,0)))</f>
        <v/>
      </c>
      <c r="U275" s="127"/>
      <c r="V275" s="137"/>
      <c r="W275" s="58" t="str" cm="1">
        <f>IF(ISBLANK($A275),"",INDEX(Array_WaterCharges,MATCH($A275,List_WaterMeters,0),ROUNDUP((COLUMN()+0)/3-1,0)))</f>
        <v/>
      </c>
      <c r="X275" s="127"/>
      <c r="Y275" s="137"/>
      <c r="Z275" s="58" t="str" cm="1">
        <f>IF(ISBLANK($A275),"",INDEX(Array_WaterCharges,MATCH($A275,List_WaterMeters,0),ROUNDUP((COLUMN()+0)/3-1,0)))</f>
        <v/>
      </c>
      <c r="AA275" s="127"/>
      <c r="AB275" s="137"/>
      <c r="AC275" s="58" t="str" cm="1">
        <f>IF(ISBLANK($A275),"",INDEX(Array_WaterCharges,MATCH($A275,List_WaterMeters,0),ROUNDUP((COLUMN()+0)/3-1,0)))</f>
        <v/>
      </c>
      <c r="AD275" s="127"/>
      <c r="AE275" s="137"/>
      <c r="AF275" s="58" t="str" cm="1">
        <f>IF(ISBLANK($A275),"",INDEX(Array_WaterCharges,MATCH($A275,List_WaterMeters,0),ROUNDUP((COLUMN()+0)/3-1,0)))</f>
        <v/>
      </c>
      <c r="AG275" s="127"/>
      <c r="AH275" s="137"/>
    </row>
    <row r="276" spans="1:34" x14ac:dyDescent="0.3">
      <c r="A276" s="126"/>
      <c r="B276" s="133"/>
      <c r="C276" s="127"/>
      <c r="D276" s="137"/>
      <c r="E276" s="58" t="str" cm="1">
        <f>IF(ISBLANK($A276),"",INDEX(Array_WaterCharges,MATCH($A276,List_WaterMeters,0),ROUNDUP((COLUMN()+0)/3-1,0)))</f>
        <v/>
      </c>
      <c r="F276" s="127"/>
      <c r="G276" s="137"/>
      <c r="H276" s="58" t="str" cm="1">
        <f>IF(ISBLANK($A276),"",INDEX(Array_WaterCharges,MATCH($A276,List_WaterMeters,0),ROUNDUP((COLUMN()+0)/3-1,0)))</f>
        <v/>
      </c>
      <c r="I276" s="127"/>
      <c r="J276" s="137"/>
      <c r="K276" s="58" t="str" cm="1">
        <f>IF(ISBLANK($A276),"",INDEX(Array_WaterCharges,MATCH($A276,List_WaterMeters,0),ROUNDUP((COLUMN()+0)/3-1,0)))</f>
        <v/>
      </c>
      <c r="L276" s="127"/>
      <c r="M276" s="137"/>
      <c r="N276" s="58" t="str" cm="1">
        <f>IF(ISBLANK($A276),"",INDEX(Array_WaterCharges,MATCH($A276,List_WaterMeters,0),ROUNDUP((COLUMN()+0)/3-1,0)))</f>
        <v/>
      </c>
      <c r="O276" s="127"/>
      <c r="P276" s="137"/>
      <c r="Q276" s="58" t="str" cm="1">
        <f>IF(ISBLANK($A276),"",INDEX(Array_WaterCharges,MATCH($A276,List_WaterMeters,0),ROUNDUP((COLUMN()+0)/3-1,0)))</f>
        <v/>
      </c>
      <c r="R276" s="127"/>
      <c r="S276" s="137"/>
      <c r="T276" s="58" t="str" cm="1">
        <f>IF(ISBLANK($A276),"",INDEX(Array_WaterCharges,MATCH($A276,List_WaterMeters,0),ROUNDUP((COLUMN()+0)/3-1,0)))</f>
        <v/>
      </c>
      <c r="U276" s="127"/>
      <c r="V276" s="137"/>
      <c r="W276" s="58" t="str" cm="1">
        <f>IF(ISBLANK($A276),"",INDEX(Array_WaterCharges,MATCH($A276,List_WaterMeters,0),ROUNDUP((COLUMN()+0)/3-1,0)))</f>
        <v/>
      </c>
      <c r="X276" s="127"/>
      <c r="Y276" s="137"/>
      <c r="Z276" s="58" t="str" cm="1">
        <f>IF(ISBLANK($A276),"",INDEX(Array_WaterCharges,MATCH($A276,List_WaterMeters,0),ROUNDUP((COLUMN()+0)/3-1,0)))</f>
        <v/>
      </c>
      <c r="AA276" s="127"/>
      <c r="AB276" s="137"/>
      <c r="AC276" s="58" t="str" cm="1">
        <f>IF(ISBLANK($A276),"",INDEX(Array_WaterCharges,MATCH($A276,List_WaterMeters,0),ROUNDUP((COLUMN()+0)/3-1,0)))</f>
        <v/>
      </c>
      <c r="AD276" s="127"/>
      <c r="AE276" s="137"/>
      <c r="AF276" s="58" t="str" cm="1">
        <f>IF(ISBLANK($A276),"",INDEX(Array_WaterCharges,MATCH($A276,List_WaterMeters,0),ROUNDUP((COLUMN()+0)/3-1,0)))</f>
        <v/>
      </c>
      <c r="AG276" s="127"/>
      <c r="AH276" s="137"/>
    </row>
    <row r="277" spans="1:34" x14ac:dyDescent="0.3">
      <c r="A277" s="126"/>
      <c r="B277" s="133"/>
      <c r="C277" s="127"/>
      <c r="D277" s="137"/>
      <c r="E277" s="58" t="str" cm="1">
        <f>IF(ISBLANK($A277),"",INDEX(Array_WaterCharges,MATCH($A277,List_WaterMeters,0),ROUNDUP((COLUMN()+0)/3-1,0)))</f>
        <v/>
      </c>
      <c r="F277" s="127"/>
      <c r="G277" s="137"/>
      <c r="H277" s="58" t="str" cm="1">
        <f>IF(ISBLANK($A277),"",INDEX(Array_WaterCharges,MATCH($A277,List_WaterMeters,0),ROUNDUP((COLUMN()+0)/3-1,0)))</f>
        <v/>
      </c>
      <c r="I277" s="127"/>
      <c r="J277" s="137"/>
      <c r="K277" s="58" t="str" cm="1">
        <f>IF(ISBLANK($A277),"",INDEX(Array_WaterCharges,MATCH($A277,List_WaterMeters,0),ROUNDUP((COLUMN()+0)/3-1,0)))</f>
        <v/>
      </c>
      <c r="L277" s="127"/>
      <c r="M277" s="137"/>
      <c r="N277" s="58" t="str" cm="1">
        <f>IF(ISBLANK($A277),"",INDEX(Array_WaterCharges,MATCH($A277,List_WaterMeters,0),ROUNDUP((COLUMN()+0)/3-1,0)))</f>
        <v/>
      </c>
      <c r="O277" s="127"/>
      <c r="P277" s="137"/>
      <c r="Q277" s="58" t="str" cm="1">
        <f>IF(ISBLANK($A277),"",INDEX(Array_WaterCharges,MATCH($A277,List_WaterMeters,0),ROUNDUP((COLUMN()+0)/3-1,0)))</f>
        <v/>
      </c>
      <c r="R277" s="127"/>
      <c r="S277" s="137"/>
      <c r="T277" s="58" t="str" cm="1">
        <f>IF(ISBLANK($A277),"",INDEX(Array_WaterCharges,MATCH($A277,List_WaterMeters,0),ROUNDUP((COLUMN()+0)/3-1,0)))</f>
        <v/>
      </c>
      <c r="U277" s="127"/>
      <c r="V277" s="137"/>
      <c r="W277" s="58" t="str" cm="1">
        <f>IF(ISBLANK($A277),"",INDEX(Array_WaterCharges,MATCH($A277,List_WaterMeters,0),ROUNDUP((COLUMN()+0)/3-1,0)))</f>
        <v/>
      </c>
      <c r="X277" s="127"/>
      <c r="Y277" s="137"/>
      <c r="Z277" s="58" t="str" cm="1">
        <f>IF(ISBLANK($A277),"",INDEX(Array_WaterCharges,MATCH($A277,List_WaterMeters,0),ROUNDUP((COLUMN()+0)/3-1,0)))</f>
        <v/>
      </c>
      <c r="AA277" s="127"/>
      <c r="AB277" s="137"/>
      <c r="AC277" s="58" t="str" cm="1">
        <f>IF(ISBLANK($A277),"",INDEX(Array_WaterCharges,MATCH($A277,List_WaterMeters,0),ROUNDUP((COLUMN()+0)/3-1,0)))</f>
        <v/>
      </c>
      <c r="AD277" s="127"/>
      <c r="AE277" s="137"/>
      <c r="AF277" s="58" t="str" cm="1">
        <f>IF(ISBLANK($A277),"",INDEX(Array_WaterCharges,MATCH($A277,List_WaterMeters,0),ROUNDUP((COLUMN()+0)/3-1,0)))</f>
        <v/>
      </c>
      <c r="AG277" s="127"/>
      <c r="AH277" s="137"/>
    </row>
    <row r="278" spans="1:34" x14ac:dyDescent="0.3">
      <c r="A278" s="126"/>
      <c r="B278" s="133"/>
      <c r="C278" s="127"/>
      <c r="D278" s="137"/>
      <c r="E278" s="58" t="str" cm="1">
        <f>IF(ISBLANK($A278),"",INDEX(Array_WaterCharges,MATCH($A278,List_WaterMeters,0),ROUNDUP((COLUMN()+0)/3-1,0)))</f>
        <v/>
      </c>
      <c r="F278" s="127"/>
      <c r="G278" s="137"/>
      <c r="H278" s="58" t="str" cm="1">
        <f>IF(ISBLANK($A278),"",INDEX(Array_WaterCharges,MATCH($A278,List_WaterMeters,0),ROUNDUP((COLUMN()+0)/3-1,0)))</f>
        <v/>
      </c>
      <c r="I278" s="127"/>
      <c r="J278" s="137"/>
      <c r="K278" s="58" t="str" cm="1">
        <f>IF(ISBLANK($A278),"",INDEX(Array_WaterCharges,MATCH($A278,List_WaterMeters,0),ROUNDUP((COLUMN()+0)/3-1,0)))</f>
        <v/>
      </c>
      <c r="L278" s="127"/>
      <c r="M278" s="137"/>
      <c r="N278" s="58" t="str" cm="1">
        <f>IF(ISBLANK($A278),"",INDEX(Array_WaterCharges,MATCH($A278,List_WaterMeters,0),ROUNDUP((COLUMN()+0)/3-1,0)))</f>
        <v/>
      </c>
      <c r="O278" s="127"/>
      <c r="P278" s="137"/>
      <c r="Q278" s="58" t="str" cm="1">
        <f>IF(ISBLANK($A278),"",INDEX(Array_WaterCharges,MATCH($A278,List_WaterMeters,0),ROUNDUP((COLUMN()+0)/3-1,0)))</f>
        <v/>
      </c>
      <c r="R278" s="127"/>
      <c r="S278" s="137"/>
      <c r="T278" s="58" t="str" cm="1">
        <f>IF(ISBLANK($A278),"",INDEX(Array_WaterCharges,MATCH($A278,List_WaterMeters,0),ROUNDUP((COLUMN()+0)/3-1,0)))</f>
        <v/>
      </c>
      <c r="U278" s="127"/>
      <c r="V278" s="137"/>
      <c r="W278" s="58" t="str" cm="1">
        <f>IF(ISBLANK($A278),"",INDEX(Array_WaterCharges,MATCH($A278,List_WaterMeters,0),ROUNDUP((COLUMN()+0)/3-1,0)))</f>
        <v/>
      </c>
      <c r="X278" s="127"/>
      <c r="Y278" s="137"/>
      <c r="Z278" s="58" t="str" cm="1">
        <f>IF(ISBLANK($A278),"",INDEX(Array_WaterCharges,MATCH($A278,List_WaterMeters,0),ROUNDUP((COLUMN()+0)/3-1,0)))</f>
        <v/>
      </c>
      <c r="AA278" s="127"/>
      <c r="AB278" s="137"/>
      <c r="AC278" s="58" t="str" cm="1">
        <f>IF(ISBLANK($A278),"",INDEX(Array_WaterCharges,MATCH($A278,List_WaterMeters,0),ROUNDUP((COLUMN()+0)/3-1,0)))</f>
        <v/>
      </c>
      <c r="AD278" s="127"/>
      <c r="AE278" s="137"/>
      <c r="AF278" s="58" t="str" cm="1">
        <f>IF(ISBLANK($A278),"",INDEX(Array_WaterCharges,MATCH($A278,List_WaterMeters,0),ROUNDUP((COLUMN()+0)/3-1,0)))</f>
        <v/>
      </c>
      <c r="AG278" s="127"/>
      <c r="AH278" s="137"/>
    </row>
    <row r="279" spans="1:34" x14ac:dyDescent="0.3">
      <c r="A279" s="126"/>
      <c r="B279" s="133"/>
      <c r="C279" s="127"/>
      <c r="D279" s="137"/>
      <c r="E279" s="58" t="str" cm="1">
        <f>IF(ISBLANK($A279),"",INDEX(Array_WaterCharges,MATCH($A279,List_WaterMeters,0),ROUNDUP((COLUMN()+0)/3-1,0)))</f>
        <v/>
      </c>
      <c r="F279" s="127"/>
      <c r="G279" s="137"/>
      <c r="H279" s="58" t="str" cm="1">
        <f>IF(ISBLANK($A279),"",INDEX(Array_WaterCharges,MATCH($A279,List_WaterMeters,0),ROUNDUP((COLUMN()+0)/3-1,0)))</f>
        <v/>
      </c>
      <c r="I279" s="127"/>
      <c r="J279" s="137"/>
      <c r="K279" s="58" t="str" cm="1">
        <f>IF(ISBLANK($A279),"",INDEX(Array_WaterCharges,MATCH($A279,List_WaterMeters,0),ROUNDUP((COLUMN()+0)/3-1,0)))</f>
        <v/>
      </c>
      <c r="L279" s="127"/>
      <c r="M279" s="137"/>
      <c r="N279" s="58" t="str" cm="1">
        <f>IF(ISBLANK($A279),"",INDEX(Array_WaterCharges,MATCH($A279,List_WaterMeters,0),ROUNDUP((COLUMN()+0)/3-1,0)))</f>
        <v/>
      </c>
      <c r="O279" s="127"/>
      <c r="P279" s="137"/>
      <c r="Q279" s="58" t="str" cm="1">
        <f>IF(ISBLANK($A279),"",INDEX(Array_WaterCharges,MATCH($A279,List_WaterMeters,0),ROUNDUP((COLUMN()+0)/3-1,0)))</f>
        <v/>
      </c>
      <c r="R279" s="127"/>
      <c r="S279" s="137"/>
      <c r="T279" s="58" t="str" cm="1">
        <f>IF(ISBLANK($A279),"",INDEX(Array_WaterCharges,MATCH($A279,List_WaterMeters,0),ROUNDUP((COLUMN()+0)/3-1,0)))</f>
        <v/>
      </c>
      <c r="U279" s="127"/>
      <c r="V279" s="137"/>
      <c r="W279" s="58" t="str" cm="1">
        <f>IF(ISBLANK($A279),"",INDEX(Array_WaterCharges,MATCH($A279,List_WaterMeters,0),ROUNDUP((COLUMN()+0)/3-1,0)))</f>
        <v/>
      </c>
      <c r="X279" s="127"/>
      <c r="Y279" s="137"/>
      <c r="Z279" s="58" t="str" cm="1">
        <f>IF(ISBLANK($A279),"",INDEX(Array_WaterCharges,MATCH($A279,List_WaterMeters,0),ROUNDUP((COLUMN()+0)/3-1,0)))</f>
        <v/>
      </c>
      <c r="AA279" s="127"/>
      <c r="AB279" s="137"/>
      <c r="AC279" s="58" t="str" cm="1">
        <f>IF(ISBLANK($A279),"",INDEX(Array_WaterCharges,MATCH($A279,List_WaterMeters,0),ROUNDUP((COLUMN()+0)/3-1,0)))</f>
        <v/>
      </c>
      <c r="AD279" s="127"/>
      <c r="AE279" s="137"/>
      <c r="AF279" s="58" t="str" cm="1">
        <f>IF(ISBLANK($A279),"",INDEX(Array_WaterCharges,MATCH($A279,List_WaterMeters,0),ROUNDUP((COLUMN()+0)/3-1,0)))</f>
        <v/>
      </c>
      <c r="AG279" s="127"/>
      <c r="AH279" s="137"/>
    </row>
    <row r="280" spans="1:34" x14ac:dyDescent="0.3">
      <c r="A280" s="126"/>
      <c r="B280" s="133"/>
      <c r="C280" s="127"/>
      <c r="D280" s="137"/>
      <c r="E280" s="58" t="str" cm="1">
        <f>IF(ISBLANK($A280),"",INDEX(Array_WaterCharges,MATCH($A280,List_WaterMeters,0),ROUNDUP((COLUMN()+0)/3-1,0)))</f>
        <v/>
      </c>
      <c r="F280" s="127"/>
      <c r="G280" s="137"/>
      <c r="H280" s="58" t="str" cm="1">
        <f>IF(ISBLANK($A280),"",INDEX(Array_WaterCharges,MATCH($A280,List_WaterMeters,0),ROUNDUP((COLUMN()+0)/3-1,0)))</f>
        <v/>
      </c>
      <c r="I280" s="127"/>
      <c r="J280" s="137"/>
      <c r="K280" s="58" t="str" cm="1">
        <f>IF(ISBLANK($A280),"",INDEX(Array_WaterCharges,MATCH($A280,List_WaterMeters,0),ROUNDUP((COLUMN()+0)/3-1,0)))</f>
        <v/>
      </c>
      <c r="L280" s="127"/>
      <c r="M280" s="137"/>
      <c r="N280" s="58" t="str" cm="1">
        <f>IF(ISBLANK($A280),"",INDEX(Array_WaterCharges,MATCH($A280,List_WaterMeters,0),ROUNDUP((COLUMN()+0)/3-1,0)))</f>
        <v/>
      </c>
      <c r="O280" s="127"/>
      <c r="P280" s="137"/>
      <c r="Q280" s="58" t="str" cm="1">
        <f>IF(ISBLANK($A280),"",INDEX(Array_WaterCharges,MATCH($A280,List_WaterMeters,0),ROUNDUP((COLUMN()+0)/3-1,0)))</f>
        <v/>
      </c>
      <c r="R280" s="127"/>
      <c r="S280" s="137"/>
      <c r="T280" s="58" t="str" cm="1">
        <f>IF(ISBLANK($A280),"",INDEX(Array_WaterCharges,MATCH($A280,List_WaterMeters,0),ROUNDUP((COLUMN()+0)/3-1,0)))</f>
        <v/>
      </c>
      <c r="U280" s="127"/>
      <c r="V280" s="137"/>
      <c r="W280" s="58" t="str" cm="1">
        <f>IF(ISBLANK($A280),"",INDEX(Array_WaterCharges,MATCH($A280,List_WaterMeters,0),ROUNDUP((COLUMN()+0)/3-1,0)))</f>
        <v/>
      </c>
      <c r="X280" s="127"/>
      <c r="Y280" s="137"/>
      <c r="Z280" s="58" t="str" cm="1">
        <f>IF(ISBLANK($A280),"",INDEX(Array_WaterCharges,MATCH($A280,List_WaterMeters,0),ROUNDUP((COLUMN()+0)/3-1,0)))</f>
        <v/>
      </c>
      <c r="AA280" s="127"/>
      <c r="AB280" s="137"/>
      <c r="AC280" s="58" t="str" cm="1">
        <f>IF(ISBLANK($A280),"",INDEX(Array_WaterCharges,MATCH($A280,List_WaterMeters,0),ROUNDUP((COLUMN()+0)/3-1,0)))</f>
        <v/>
      </c>
      <c r="AD280" s="127"/>
      <c r="AE280" s="137"/>
      <c r="AF280" s="58" t="str" cm="1">
        <f>IF(ISBLANK($A280),"",INDEX(Array_WaterCharges,MATCH($A280,List_WaterMeters,0),ROUNDUP((COLUMN()+0)/3-1,0)))</f>
        <v/>
      </c>
      <c r="AG280" s="127"/>
      <c r="AH280" s="137"/>
    </row>
    <row r="281" spans="1:34" x14ac:dyDescent="0.3">
      <c r="A281" s="126"/>
      <c r="B281" s="133"/>
      <c r="C281" s="127"/>
      <c r="D281" s="137"/>
      <c r="E281" s="58" t="str" cm="1">
        <f>IF(ISBLANK($A281),"",INDEX(Array_WaterCharges,MATCH($A281,List_WaterMeters,0),ROUNDUP((COLUMN()+0)/3-1,0)))</f>
        <v/>
      </c>
      <c r="F281" s="127"/>
      <c r="G281" s="137"/>
      <c r="H281" s="58" t="str" cm="1">
        <f>IF(ISBLANK($A281),"",INDEX(Array_WaterCharges,MATCH($A281,List_WaterMeters,0),ROUNDUP((COLUMN()+0)/3-1,0)))</f>
        <v/>
      </c>
      <c r="I281" s="127"/>
      <c r="J281" s="137"/>
      <c r="K281" s="58" t="str" cm="1">
        <f>IF(ISBLANK($A281),"",INDEX(Array_WaterCharges,MATCH($A281,List_WaterMeters,0),ROUNDUP((COLUMN()+0)/3-1,0)))</f>
        <v/>
      </c>
      <c r="L281" s="127"/>
      <c r="M281" s="137"/>
      <c r="N281" s="58" t="str" cm="1">
        <f>IF(ISBLANK($A281),"",INDEX(Array_WaterCharges,MATCH($A281,List_WaterMeters,0),ROUNDUP((COLUMN()+0)/3-1,0)))</f>
        <v/>
      </c>
      <c r="O281" s="127"/>
      <c r="P281" s="137"/>
      <c r="Q281" s="58" t="str" cm="1">
        <f>IF(ISBLANK($A281),"",INDEX(Array_WaterCharges,MATCH($A281,List_WaterMeters,0),ROUNDUP((COLUMN()+0)/3-1,0)))</f>
        <v/>
      </c>
      <c r="R281" s="127"/>
      <c r="S281" s="137"/>
      <c r="T281" s="58" t="str" cm="1">
        <f>IF(ISBLANK($A281),"",INDEX(Array_WaterCharges,MATCH($A281,List_WaterMeters,0),ROUNDUP((COLUMN()+0)/3-1,0)))</f>
        <v/>
      </c>
      <c r="U281" s="127"/>
      <c r="V281" s="137"/>
      <c r="W281" s="58" t="str" cm="1">
        <f>IF(ISBLANK($A281),"",INDEX(Array_WaterCharges,MATCH($A281,List_WaterMeters,0),ROUNDUP((COLUMN()+0)/3-1,0)))</f>
        <v/>
      </c>
      <c r="X281" s="127"/>
      <c r="Y281" s="137"/>
      <c r="Z281" s="58" t="str" cm="1">
        <f>IF(ISBLANK($A281),"",INDEX(Array_WaterCharges,MATCH($A281,List_WaterMeters,0),ROUNDUP((COLUMN()+0)/3-1,0)))</f>
        <v/>
      </c>
      <c r="AA281" s="127"/>
      <c r="AB281" s="137"/>
      <c r="AC281" s="58" t="str" cm="1">
        <f>IF(ISBLANK($A281),"",INDEX(Array_WaterCharges,MATCH($A281,List_WaterMeters,0),ROUNDUP((COLUMN()+0)/3-1,0)))</f>
        <v/>
      </c>
      <c r="AD281" s="127"/>
      <c r="AE281" s="137"/>
      <c r="AF281" s="58" t="str" cm="1">
        <f>IF(ISBLANK($A281),"",INDEX(Array_WaterCharges,MATCH($A281,List_WaterMeters,0),ROUNDUP((COLUMN()+0)/3-1,0)))</f>
        <v/>
      </c>
      <c r="AG281" s="127"/>
      <c r="AH281" s="137"/>
    </row>
    <row r="282" spans="1:34" x14ac:dyDescent="0.3">
      <c r="A282" s="126"/>
      <c r="B282" s="133"/>
      <c r="C282" s="127"/>
      <c r="D282" s="137"/>
      <c r="E282" s="58" t="str" cm="1">
        <f>IF(ISBLANK($A282),"",INDEX(Array_WaterCharges,MATCH($A282,List_WaterMeters,0),ROUNDUP((COLUMN()+0)/3-1,0)))</f>
        <v/>
      </c>
      <c r="F282" s="127"/>
      <c r="G282" s="137"/>
      <c r="H282" s="58" t="str" cm="1">
        <f>IF(ISBLANK($A282),"",INDEX(Array_WaterCharges,MATCH($A282,List_WaterMeters,0),ROUNDUP((COLUMN()+0)/3-1,0)))</f>
        <v/>
      </c>
      <c r="I282" s="127"/>
      <c r="J282" s="137"/>
      <c r="K282" s="58" t="str" cm="1">
        <f>IF(ISBLANK($A282),"",INDEX(Array_WaterCharges,MATCH($A282,List_WaterMeters,0),ROUNDUP((COLUMN()+0)/3-1,0)))</f>
        <v/>
      </c>
      <c r="L282" s="127"/>
      <c r="M282" s="137"/>
      <c r="N282" s="58" t="str" cm="1">
        <f>IF(ISBLANK($A282),"",INDEX(Array_WaterCharges,MATCH($A282,List_WaterMeters,0),ROUNDUP((COLUMN()+0)/3-1,0)))</f>
        <v/>
      </c>
      <c r="O282" s="127"/>
      <c r="P282" s="137"/>
      <c r="Q282" s="58" t="str" cm="1">
        <f>IF(ISBLANK($A282),"",INDEX(Array_WaterCharges,MATCH($A282,List_WaterMeters,0),ROUNDUP((COLUMN()+0)/3-1,0)))</f>
        <v/>
      </c>
      <c r="R282" s="127"/>
      <c r="S282" s="137"/>
      <c r="T282" s="58" t="str" cm="1">
        <f>IF(ISBLANK($A282),"",INDEX(Array_WaterCharges,MATCH($A282,List_WaterMeters,0),ROUNDUP((COLUMN()+0)/3-1,0)))</f>
        <v/>
      </c>
      <c r="U282" s="127"/>
      <c r="V282" s="137"/>
      <c r="W282" s="58" t="str" cm="1">
        <f>IF(ISBLANK($A282),"",INDEX(Array_WaterCharges,MATCH($A282,List_WaterMeters,0),ROUNDUP((COLUMN()+0)/3-1,0)))</f>
        <v/>
      </c>
      <c r="X282" s="127"/>
      <c r="Y282" s="137"/>
      <c r="Z282" s="58" t="str" cm="1">
        <f>IF(ISBLANK($A282),"",INDEX(Array_WaterCharges,MATCH($A282,List_WaterMeters,0),ROUNDUP((COLUMN()+0)/3-1,0)))</f>
        <v/>
      </c>
      <c r="AA282" s="127"/>
      <c r="AB282" s="137"/>
      <c r="AC282" s="58" t="str" cm="1">
        <f>IF(ISBLANK($A282),"",INDEX(Array_WaterCharges,MATCH($A282,List_WaterMeters,0),ROUNDUP((COLUMN()+0)/3-1,0)))</f>
        <v/>
      </c>
      <c r="AD282" s="127"/>
      <c r="AE282" s="137"/>
      <c r="AF282" s="58" t="str" cm="1">
        <f>IF(ISBLANK($A282),"",INDEX(Array_WaterCharges,MATCH($A282,List_WaterMeters,0),ROUNDUP((COLUMN()+0)/3-1,0)))</f>
        <v/>
      </c>
      <c r="AG282" s="127"/>
      <c r="AH282" s="137"/>
    </row>
    <row r="283" spans="1:34" x14ac:dyDescent="0.3">
      <c r="A283" s="126"/>
      <c r="B283" s="133"/>
      <c r="C283" s="127"/>
      <c r="D283" s="137"/>
      <c r="E283" s="58" t="str" cm="1">
        <f>IF(ISBLANK($A283),"",INDEX(Array_WaterCharges,MATCH($A283,List_WaterMeters,0),ROUNDUP((COLUMN()+0)/3-1,0)))</f>
        <v/>
      </c>
      <c r="F283" s="127"/>
      <c r="G283" s="137"/>
      <c r="H283" s="58" t="str" cm="1">
        <f>IF(ISBLANK($A283),"",INDEX(Array_WaterCharges,MATCH($A283,List_WaterMeters,0),ROUNDUP((COLUMN()+0)/3-1,0)))</f>
        <v/>
      </c>
      <c r="I283" s="127"/>
      <c r="J283" s="137"/>
      <c r="K283" s="58" t="str" cm="1">
        <f>IF(ISBLANK($A283),"",INDEX(Array_WaterCharges,MATCH($A283,List_WaterMeters,0),ROUNDUP((COLUMN()+0)/3-1,0)))</f>
        <v/>
      </c>
      <c r="L283" s="127"/>
      <c r="M283" s="137"/>
      <c r="N283" s="58" t="str" cm="1">
        <f>IF(ISBLANK($A283),"",INDEX(Array_WaterCharges,MATCH($A283,List_WaterMeters,0),ROUNDUP((COLUMN()+0)/3-1,0)))</f>
        <v/>
      </c>
      <c r="O283" s="127"/>
      <c r="P283" s="137"/>
      <c r="Q283" s="58" t="str" cm="1">
        <f>IF(ISBLANK($A283),"",INDEX(Array_WaterCharges,MATCH($A283,List_WaterMeters,0),ROUNDUP((COLUMN()+0)/3-1,0)))</f>
        <v/>
      </c>
      <c r="R283" s="127"/>
      <c r="S283" s="137"/>
      <c r="T283" s="58" t="str" cm="1">
        <f>IF(ISBLANK($A283),"",INDEX(Array_WaterCharges,MATCH($A283,List_WaterMeters,0),ROUNDUP((COLUMN()+0)/3-1,0)))</f>
        <v/>
      </c>
      <c r="U283" s="127"/>
      <c r="V283" s="137"/>
      <c r="W283" s="58" t="str" cm="1">
        <f>IF(ISBLANK($A283),"",INDEX(Array_WaterCharges,MATCH($A283,List_WaterMeters,0),ROUNDUP((COLUMN()+0)/3-1,0)))</f>
        <v/>
      </c>
      <c r="X283" s="127"/>
      <c r="Y283" s="137"/>
      <c r="Z283" s="58" t="str" cm="1">
        <f>IF(ISBLANK($A283),"",INDEX(Array_WaterCharges,MATCH($A283,List_WaterMeters,0),ROUNDUP((COLUMN()+0)/3-1,0)))</f>
        <v/>
      </c>
      <c r="AA283" s="127"/>
      <c r="AB283" s="137"/>
      <c r="AC283" s="58" t="str" cm="1">
        <f>IF(ISBLANK($A283),"",INDEX(Array_WaterCharges,MATCH($A283,List_WaterMeters,0),ROUNDUP((COLUMN()+0)/3-1,0)))</f>
        <v/>
      </c>
      <c r="AD283" s="127"/>
      <c r="AE283" s="137"/>
      <c r="AF283" s="58" t="str" cm="1">
        <f>IF(ISBLANK($A283),"",INDEX(Array_WaterCharges,MATCH($A283,List_WaterMeters,0),ROUNDUP((COLUMN()+0)/3-1,0)))</f>
        <v/>
      </c>
      <c r="AG283" s="127"/>
      <c r="AH283" s="137"/>
    </row>
    <row r="284" spans="1:34" x14ac:dyDescent="0.3">
      <c r="A284" s="126"/>
      <c r="B284" s="133"/>
      <c r="C284" s="127"/>
      <c r="D284" s="137"/>
      <c r="E284" s="58" t="str" cm="1">
        <f>IF(ISBLANK($A284),"",INDEX(Array_WaterCharges,MATCH($A284,List_WaterMeters,0),ROUNDUP((COLUMN()+0)/3-1,0)))</f>
        <v/>
      </c>
      <c r="F284" s="127"/>
      <c r="G284" s="137"/>
      <c r="H284" s="58" t="str" cm="1">
        <f>IF(ISBLANK($A284),"",INDEX(Array_WaterCharges,MATCH($A284,List_WaterMeters,0),ROUNDUP((COLUMN()+0)/3-1,0)))</f>
        <v/>
      </c>
      <c r="I284" s="127"/>
      <c r="J284" s="137"/>
      <c r="K284" s="58" t="str" cm="1">
        <f>IF(ISBLANK($A284),"",INDEX(Array_WaterCharges,MATCH($A284,List_WaterMeters,0),ROUNDUP((COLUMN()+0)/3-1,0)))</f>
        <v/>
      </c>
      <c r="L284" s="127"/>
      <c r="M284" s="137"/>
      <c r="N284" s="58" t="str" cm="1">
        <f>IF(ISBLANK($A284),"",INDEX(Array_WaterCharges,MATCH($A284,List_WaterMeters,0),ROUNDUP((COLUMN()+0)/3-1,0)))</f>
        <v/>
      </c>
      <c r="O284" s="127"/>
      <c r="P284" s="137"/>
      <c r="Q284" s="58" t="str" cm="1">
        <f>IF(ISBLANK($A284),"",INDEX(Array_WaterCharges,MATCH($A284,List_WaterMeters,0),ROUNDUP((COLUMN()+0)/3-1,0)))</f>
        <v/>
      </c>
      <c r="R284" s="127"/>
      <c r="S284" s="137"/>
      <c r="T284" s="58" t="str" cm="1">
        <f>IF(ISBLANK($A284),"",INDEX(Array_WaterCharges,MATCH($A284,List_WaterMeters,0),ROUNDUP((COLUMN()+0)/3-1,0)))</f>
        <v/>
      </c>
      <c r="U284" s="127"/>
      <c r="V284" s="137"/>
      <c r="W284" s="58" t="str" cm="1">
        <f>IF(ISBLANK($A284),"",INDEX(Array_WaterCharges,MATCH($A284,List_WaterMeters,0),ROUNDUP((COLUMN()+0)/3-1,0)))</f>
        <v/>
      </c>
      <c r="X284" s="127"/>
      <c r="Y284" s="137"/>
      <c r="Z284" s="58" t="str" cm="1">
        <f>IF(ISBLANK($A284),"",INDEX(Array_WaterCharges,MATCH($A284,List_WaterMeters,0),ROUNDUP((COLUMN()+0)/3-1,0)))</f>
        <v/>
      </c>
      <c r="AA284" s="127"/>
      <c r="AB284" s="137"/>
      <c r="AC284" s="58" t="str" cm="1">
        <f>IF(ISBLANK($A284),"",INDEX(Array_WaterCharges,MATCH($A284,List_WaterMeters,0),ROUNDUP((COLUMN()+0)/3-1,0)))</f>
        <v/>
      </c>
      <c r="AD284" s="127"/>
      <c r="AE284" s="137"/>
      <c r="AF284" s="58" t="str" cm="1">
        <f>IF(ISBLANK($A284),"",INDEX(Array_WaterCharges,MATCH($A284,List_WaterMeters,0),ROUNDUP((COLUMN()+0)/3-1,0)))</f>
        <v/>
      </c>
      <c r="AG284" s="127"/>
      <c r="AH284" s="137"/>
    </row>
    <row r="285" spans="1:34" x14ac:dyDescent="0.3">
      <c r="A285" s="126"/>
      <c r="B285" s="133"/>
      <c r="C285" s="127"/>
      <c r="D285" s="137"/>
      <c r="E285" s="58" t="str" cm="1">
        <f>IF(ISBLANK($A285),"",INDEX(Array_WaterCharges,MATCH($A285,List_WaterMeters,0),ROUNDUP((COLUMN()+0)/3-1,0)))</f>
        <v/>
      </c>
      <c r="F285" s="127"/>
      <c r="G285" s="137"/>
      <c r="H285" s="58" t="str" cm="1">
        <f>IF(ISBLANK($A285),"",INDEX(Array_WaterCharges,MATCH($A285,List_WaterMeters,0),ROUNDUP((COLUMN()+0)/3-1,0)))</f>
        <v/>
      </c>
      <c r="I285" s="127"/>
      <c r="J285" s="137"/>
      <c r="K285" s="58" t="str" cm="1">
        <f>IF(ISBLANK($A285),"",INDEX(Array_WaterCharges,MATCH($A285,List_WaterMeters,0),ROUNDUP((COLUMN()+0)/3-1,0)))</f>
        <v/>
      </c>
      <c r="L285" s="127"/>
      <c r="M285" s="137"/>
      <c r="N285" s="58" t="str" cm="1">
        <f>IF(ISBLANK($A285),"",INDEX(Array_WaterCharges,MATCH($A285,List_WaterMeters,0),ROUNDUP((COLUMN()+0)/3-1,0)))</f>
        <v/>
      </c>
      <c r="O285" s="127"/>
      <c r="P285" s="137"/>
      <c r="Q285" s="58" t="str" cm="1">
        <f>IF(ISBLANK($A285),"",INDEX(Array_WaterCharges,MATCH($A285,List_WaterMeters,0),ROUNDUP((COLUMN()+0)/3-1,0)))</f>
        <v/>
      </c>
      <c r="R285" s="127"/>
      <c r="S285" s="137"/>
      <c r="T285" s="58" t="str" cm="1">
        <f>IF(ISBLANK($A285),"",INDEX(Array_WaterCharges,MATCH($A285,List_WaterMeters,0),ROUNDUP((COLUMN()+0)/3-1,0)))</f>
        <v/>
      </c>
      <c r="U285" s="127"/>
      <c r="V285" s="137"/>
      <c r="W285" s="58" t="str" cm="1">
        <f>IF(ISBLANK($A285),"",INDEX(Array_WaterCharges,MATCH($A285,List_WaterMeters,0),ROUNDUP((COLUMN()+0)/3-1,0)))</f>
        <v/>
      </c>
      <c r="X285" s="127"/>
      <c r="Y285" s="137"/>
      <c r="Z285" s="58" t="str" cm="1">
        <f>IF(ISBLANK($A285),"",INDEX(Array_WaterCharges,MATCH($A285,List_WaterMeters,0),ROUNDUP((COLUMN()+0)/3-1,0)))</f>
        <v/>
      </c>
      <c r="AA285" s="127"/>
      <c r="AB285" s="137"/>
      <c r="AC285" s="58" t="str" cm="1">
        <f>IF(ISBLANK($A285),"",INDEX(Array_WaterCharges,MATCH($A285,List_WaterMeters,0),ROUNDUP((COLUMN()+0)/3-1,0)))</f>
        <v/>
      </c>
      <c r="AD285" s="127"/>
      <c r="AE285" s="137"/>
      <c r="AF285" s="58" t="str" cm="1">
        <f>IF(ISBLANK($A285),"",INDEX(Array_WaterCharges,MATCH($A285,List_WaterMeters,0),ROUNDUP((COLUMN()+0)/3-1,0)))</f>
        <v/>
      </c>
      <c r="AG285" s="127"/>
      <c r="AH285" s="137"/>
    </row>
    <row r="286" spans="1:34" x14ac:dyDescent="0.3">
      <c r="A286" s="126"/>
      <c r="B286" s="133"/>
      <c r="C286" s="127"/>
      <c r="D286" s="137"/>
      <c r="E286" s="58" t="str" cm="1">
        <f>IF(ISBLANK($A286),"",INDEX(Array_WaterCharges,MATCH($A286,List_WaterMeters,0),ROUNDUP((COLUMN()+0)/3-1,0)))</f>
        <v/>
      </c>
      <c r="F286" s="127"/>
      <c r="G286" s="137"/>
      <c r="H286" s="58" t="str" cm="1">
        <f>IF(ISBLANK($A286),"",INDEX(Array_WaterCharges,MATCH($A286,List_WaterMeters,0),ROUNDUP((COLUMN()+0)/3-1,0)))</f>
        <v/>
      </c>
      <c r="I286" s="127"/>
      <c r="J286" s="137"/>
      <c r="K286" s="58" t="str" cm="1">
        <f>IF(ISBLANK($A286),"",INDEX(Array_WaterCharges,MATCH($A286,List_WaterMeters,0),ROUNDUP((COLUMN()+0)/3-1,0)))</f>
        <v/>
      </c>
      <c r="L286" s="127"/>
      <c r="M286" s="137"/>
      <c r="N286" s="58" t="str" cm="1">
        <f>IF(ISBLANK($A286),"",INDEX(Array_WaterCharges,MATCH($A286,List_WaterMeters,0),ROUNDUP((COLUMN()+0)/3-1,0)))</f>
        <v/>
      </c>
      <c r="O286" s="127"/>
      <c r="P286" s="137"/>
      <c r="Q286" s="58" t="str" cm="1">
        <f>IF(ISBLANK($A286),"",INDEX(Array_WaterCharges,MATCH($A286,List_WaterMeters,0),ROUNDUP((COLUMN()+0)/3-1,0)))</f>
        <v/>
      </c>
      <c r="R286" s="127"/>
      <c r="S286" s="137"/>
      <c r="T286" s="58" t="str" cm="1">
        <f>IF(ISBLANK($A286),"",INDEX(Array_WaterCharges,MATCH($A286,List_WaterMeters,0),ROUNDUP((COLUMN()+0)/3-1,0)))</f>
        <v/>
      </c>
      <c r="U286" s="127"/>
      <c r="V286" s="137"/>
      <c r="W286" s="58" t="str" cm="1">
        <f>IF(ISBLANK($A286),"",INDEX(Array_WaterCharges,MATCH($A286,List_WaterMeters,0),ROUNDUP((COLUMN()+0)/3-1,0)))</f>
        <v/>
      </c>
      <c r="X286" s="127"/>
      <c r="Y286" s="137"/>
      <c r="Z286" s="58" t="str" cm="1">
        <f>IF(ISBLANK($A286),"",INDEX(Array_WaterCharges,MATCH($A286,List_WaterMeters,0),ROUNDUP((COLUMN()+0)/3-1,0)))</f>
        <v/>
      </c>
      <c r="AA286" s="127"/>
      <c r="AB286" s="137"/>
      <c r="AC286" s="58" t="str" cm="1">
        <f>IF(ISBLANK($A286),"",INDEX(Array_WaterCharges,MATCH($A286,List_WaterMeters,0),ROUNDUP((COLUMN()+0)/3-1,0)))</f>
        <v/>
      </c>
      <c r="AD286" s="127"/>
      <c r="AE286" s="137"/>
      <c r="AF286" s="58" t="str" cm="1">
        <f>IF(ISBLANK($A286),"",INDEX(Array_WaterCharges,MATCH($A286,List_WaterMeters,0),ROUNDUP((COLUMN()+0)/3-1,0)))</f>
        <v/>
      </c>
      <c r="AG286" s="127"/>
      <c r="AH286" s="137"/>
    </row>
    <row r="287" spans="1:34" x14ac:dyDescent="0.3">
      <c r="A287" s="126"/>
      <c r="B287" s="133"/>
      <c r="C287" s="127"/>
      <c r="D287" s="137"/>
      <c r="E287" s="58" t="str" cm="1">
        <f>IF(ISBLANK($A287),"",INDEX(Array_WaterCharges,MATCH($A287,List_WaterMeters,0),ROUNDUP((COLUMN()+0)/3-1,0)))</f>
        <v/>
      </c>
      <c r="F287" s="127"/>
      <c r="G287" s="137"/>
      <c r="H287" s="58" t="str" cm="1">
        <f>IF(ISBLANK($A287),"",INDEX(Array_WaterCharges,MATCH($A287,List_WaterMeters,0),ROUNDUP((COLUMN()+0)/3-1,0)))</f>
        <v/>
      </c>
      <c r="I287" s="127"/>
      <c r="J287" s="137"/>
      <c r="K287" s="58" t="str" cm="1">
        <f>IF(ISBLANK($A287),"",INDEX(Array_WaterCharges,MATCH($A287,List_WaterMeters,0),ROUNDUP((COLUMN()+0)/3-1,0)))</f>
        <v/>
      </c>
      <c r="L287" s="127"/>
      <c r="M287" s="137"/>
      <c r="N287" s="58" t="str" cm="1">
        <f>IF(ISBLANK($A287),"",INDEX(Array_WaterCharges,MATCH($A287,List_WaterMeters,0),ROUNDUP((COLUMN()+0)/3-1,0)))</f>
        <v/>
      </c>
      <c r="O287" s="127"/>
      <c r="P287" s="137"/>
      <c r="Q287" s="58" t="str" cm="1">
        <f>IF(ISBLANK($A287),"",INDEX(Array_WaterCharges,MATCH($A287,List_WaterMeters,0),ROUNDUP((COLUMN()+0)/3-1,0)))</f>
        <v/>
      </c>
      <c r="R287" s="127"/>
      <c r="S287" s="137"/>
      <c r="T287" s="58" t="str" cm="1">
        <f>IF(ISBLANK($A287),"",INDEX(Array_WaterCharges,MATCH($A287,List_WaterMeters,0),ROUNDUP((COLUMN()+0)/3-1,0)))</f>
        <v/>
      </c>
      <c r="U287" s="127"/>
      <c r="V287" s="137"/>
      <c r="W287" s="58" t="str" cm="1">
        <f>IF(ISBLANK($A287),"",INDEX(Array_WaterCharges,MATCH($A287,List_WaterMeters,0),ROUNDUP((COLUMN()+0)/3-1,0)))</f>
        <v/>
      </c>
      <c r="X287" s="127"/>
      <c r="Y287" s="137"/>
      <c r="Z287" s="58" t="str" cm="1">
        <f>IF(ISBLANK($A287),"",INDEX(Array_WaterCharges,MATCH($A287,List_WaterMeters,0),ROUNDUP((COLUMN()+0)/3-1,0)))</f>
        <v/>
      </c>
      <c r="AA287" s="127"/>
      <c r="AB287" s="137"/>
      <c r="AC287" s="58" t="str" cm="1">
        <f>IF(ISBLANK($A287),"",INDEX(Array_WaterCharges,MATCH($A287,List_WaterMeters,0),ROUNDUP((COLUMN()+0)/3-1,0)))</f>
        <v/>
      </c>
      <c r="AD287" s="127"/>
      <c r="AE287" s="137"/>
      <c r="AF287" s="58" t="str" cm="1">
        <f>IF(ISBLANK($A287),"",INDEX(Array_WaterCharges,MATCH($A287,List_WaterMeters,0),ROUNDUP((COLUMN()+0)/3-1,0)))</f>
        <v/>
      </c>
      <c r="AG287" s="127"/>
      <c r="AH287" s="137"/>
    </row>
    <row r="288" spans="1:34" x14ac:dyDescent="0.3">
      <c r="A288" s="126"/>
      <c r="B288" s="133"/>
      <c r="C288" s="127"/>
      <c r="D288" s="137"/>
      <c r="E288" s="58" t="str" cm="1">
        <f>IF(ISBLANK($A288),"",INDEX(Array_WaterCharges,MATCH($A288,List_WaterMeters,0),ROUNDUP((COLUMN()+0)/3-1,0)))</f>
        <v/>
      </c>
      <c r="F288" s="127"/>
      <c r="G288" s="137"/>
      <c r="H288" s="58" t="str" cm="1">
        <f>IF(ISBLANK($A288),"",INDEX(Array_WaterCharges,MATCH($A288,List_WaterMeters,0),ROUNDUP((COLUMN()+0)/3-1,0)))</f>
        <v/>
      </c>
      <c r="I288" s="127"/>
      <c r="J288" s="137"/>
      <c r="K288" s="58" t="str" cm="1">
        <f>IF(ISBLANK($A288),"",INDEX(Array_WaterCharges,MATCH($A288,List_WaterMeters,0),ROUNDUP((COLUMN()+0)/3-1,0)))</f>
        <v/>
      </c>
      <c r="L288" s="127"/>
      <c r="M288" s="137"/>
      <c r="N288" s="58" t="str" cm="1">
        <f>IF(ISBLANK($A288),"",INDEX(Array_WaterCharges,MATCH($A288,List_WaterMeters,0),ROUNDUP((COLUMN()+0)/3-1,0)))</f>
        <v/>
      </c>
      <c r="O288" s="127"/>
      <c r="P288" s="137"/>
      <c r="Q288" s="58" t="str" cm="1">
        <f>IF(ISBLANK($A288),"",INDEX(Array_WaterCharges,MATCH($A288,List_WaterMeters,0),ROUNDUP((COLUMN()+0)/3-1,0)))</f>
        <v/>
      </c>
      <c r="R288" s="127"/>
      <c r="S288" s="137"/>
      <c r="T288" s="58" t="str" cm="1">
        <f>IF(ISBLANK($A288),"",INDEX(Array_WaterCharges,MATCH($A288,List_WaterMeters,0),ROUNDUP((COLUMN()+0)/3-1,0)))</f>
        <v/>
      </c>
      <c r="U288" s="127"/>
      <c r="V288" s="137"/>
      <c r="W288" s="58" t="str" cm="1">
        <f>IF(ISBLANK($A288),"",INDEX(Array_WaterCharges,MATCH($A288,List_WaterMeters,0),ROUNDUP((COLUMN()+0)/3-1,0)))</f>
        <v/>
      </c>
      <c r="X288" s="127"/>
      <c r="Y288" s="137"/>
      <c r="Z288" s="58" t="str" cm="1">
        <f>IF(ISBLANK($A288),"",INDEX(Array_WaterCharges,MATCH($A288,List_WaterMeters,0),ROUNDUP((COLUMN()+0)/3-1,0)))</f>
        <v/>
      </c>
      <c r="AA288" s="127"/>
      <c r="AB288" s="137"/>
      <c r="AC288" s="58" t="str" cm="1">
        <f>IF(ISBLANK($A288),"",INDEX(Array_WaterCharges,MATCH($A288,List_WaterMeters,0),ROUNDUP((COLUMN()+0)/3-1,0)))</f>
        <v/>
      </c>
      <c r="AD288" s="127"/>
      <c r="AE288" s="137"/>
      <c r="AF288" s="58" t="str" cm="1">
        <f>IF(ISBLANK($A288),"",INDEX(Array_WaterCharges,MATCH($A288,List_WaterMeters,0),ROUNDUP((COLUMN()+0)/3-1,0)))</f>
        <v/>
      </c>
      <c r="AG288" s="127"/>
      <c r="AH288" s="137"/>
    </row>
    <row r="289" spans="1:34" x14ac:dyDescent="0.3">
      <c r="A289" s="126"/>
      <c r="B289" s="133"/>
      <c r="C289" s="127"/>
      <c r="D289" s="137"/>
      <c r="E289" s="58" t="str" cm="1">
        <f>IF(ISBLANK($A289),"",INDEX(Array_WaterCharges,MATCH($A289,List_WaterMeters,0),ROUNDUP((COLUMN()+0)/3-1,0)))</f>
        <v/>
      </c>
      <c r="F289" s="127"/>
      <c r="G289" s="137"/>
      <c r="H289" s="58" t="str" cm="1">
        <f>IF(ISBLANK($A289),"",INDEX(Array_WaterCharges,MATCH($A289,List_WaterMeters,0),ROUNDUP((COLUMN()+0)/3-1,0)))</f>
        <v/>
      </c>
      <c r="I289" s="127"/>
      <c r="J289" s="137"/>
      <c r="K289" s="58" t="str" cm="1">
        <f>IF(ISBLANK($A289),"",INDEX(Array_WaterCharges,MATCH($A289,List_WaterMeters,0),ROUNDUP((COLUMN()+0)/3-1,0)))</f>
        <v/>
      </c>
      <c r="L289" s="127"/>
      <c r="M289" s="137"/>
      <c r="N289" s="58" t="str" cm="1">
        <f>IF(ISBLANK($A289),"",INDEX(Array_WaterCharges,MATCH($A289,List_WaterMeters,0),ROUNDUP((COLUMN()+0)/3-1,0)))</f>
        <v/>
      </c>
      <c r="O289" s="127"/>
      <c r="P289" s="137"/>
      <c r="Q289" s="58" t="str" cm="1">
        <f>IF(ISBLANK($A289),"",INDEX(Array_WaterCharges,MATCH($A289,List_WaterMeters,0),ROUNDUP((COLUMN()+0)/3-1,0)))</f>
        <v/>
      </c>
      <c r="R289" s="127"/>
      <c r="S289" s="137"/>
      <c r="T289" s="58" t="str" cm="1">
        <f>IF(ISBLANK($A289),"",INDEX(Array_WaterCharges,MATCH($A289,List_WaterMeters,0),ROUNDUP((COLUMN()+0)/3-1,0)))</f>
        <v/>
      </c>
      <c r="U289" s="127"/>
      <c r="V289" s="137"/>
      <c r="W289" s="58" t="str" cm="1">
        <f>IF(ISBLANK($A289),"",INDEX(Array_WaterCharges,MATCH($A289,List_WaterMeters,0),ROUNDUP((COLUMN()+0)/3-1,0)))</f>
        <v/>
      </c>
      <c r="X289" s="127"/>
      <c r="Y289" s="137"/>
      <c r="Z289" s="58" t="str" cm="1">
        <f>IF(ISBLANK($A289),"",INDEX(Array_WaterCharges,MATCH($A289,List_WaterMeters,0),ROUNDUP((COLUMN()+0)/3-1,0)))</f>
        <v/>
      </c>
      <c r="AA289" s="127"/>
      <c r="AB289" s="137"/>
      <c r="AC289" s="58" t="str" cm="1">
        <f>IF(ISBLANK($A289),"",INDEX(Array_WaterCharges,MATCH($A289,List_WaterMeters,0),ROUNDUP((COLUMN()+0)/3-1,0)))</f>
        <v/>
      </c>
      <c r="AD289" s="127"/>
      <c r="AE289" s="137"/>
      <c r="AF289" s="58" t="str" cm="1">
        <f>IF(ISBLANK($A289),"",INDEX(Array_WaterCharges,MATCH($A289,List_WaterMeters,0),ROUNDUP((COLUMN()+0)/3-1,0)))</f>
        <v/>
      </c>
      <c r="AG289" s="127"/>
      <c r="AH289" s="137"/>
    </row>
    <row r="290" spans="1:34" x14ac:dyDescent="0.3">
      <c r="A290" s="126"/>
      <c r="B290" s="133"/>
      <c r="C290" s="127"/>
      <c r="D290" s="137"/>
      <c r="E290" s="58" t="str" cm="1">
        <f>IF(ISBLANK($A290),"",INDEX(Array_WaterCharges,MATCH($A290,List_WaterMeters,0),ROUNDUP((COLUMN()+0)/3-1,0)))</f>
        <v/>
      </c>
      <c r="F290" s="127"/>
      <c r="G290" s="137"/>
      <c r="H290" s="58" t="str" cm="1">
        <f>IF(ISBLANK($A290),"",INDEX(Array_WaterCharges,MATCH($A290,List_WaterMeters,0),ROUNDUP((COLUMN()+0)/3-1,0)))</f>
        <v/>
      </c>
      <c r="I290" s="127"/>
      <c r="J290" s="137"/>
      <c r="K290" s="58" t="str" cm="1">
        <f>IF(ISBLANK($A290),"",INDEX(Array_WaterCharges,MATCH($A290,List_WaterMeters,0),ROUNDUP((COLUMN()+0)/3-1,0)))</f>
        <v/>
      </c>
      <c r="L290" s="127"/>
      <c r="M290" s="137"/>
      <c r="N290" s="58" t="str" cm="1">
        <f>IF(ISBLANK($A290),"",INDEX(Array_WaterCharges,MATCH($A290,List_WaterMeters,0),ROUNDUP((COLUMN()+0)/3-1,0)))</f>
        <v/>
      </c>
      <c r="O290" s="127"/>
      <c r="P290" s="137"/>
      <c r="Q290" s="58" t="str" cm="1">
        <f>IF(ISBLANK($A290),"",INDEX(Array_WaterCharges,MATCH($A290,List_WaterMeters,0),ROUNDUP((COLUMN()+0)/3-1,0)))</f>
        <v/>
      </c>
      <c r="R290" s="127"/>
      <c r="S290" s="137"/>
      <c r="T290" s="58" t="str" cm="1">
        <f>IF(ISBLANK($A290),"",INDEX(Array_WaterCharges,MATCH($A290,List_WaterMeters,0),ROUNDUP((COLUMN()+0)/3-1,0)))</f>
        <v/>
      </c>
      <c r="U290" s="127"/>
      <c r="V290" s="137"/>
      <c r="W290" s="58" t="str" cm="1">
        <f>IF(ISBLANK($A290),"",INDEX(Array_WaterCharges,MATCH($A290,List_WaterMeters,0),ROUNDUP((COLUMN()+0)/3-1,0)))</f>
        <v/>
      </c>
      <c r="X290" s="127"/>
      <c r="Y290" s="137"/>
      <c r="Z290" s="58" t="str" cm="1">
        <f>IF(ISBLANK($A290),"",INDEX(Array_WaterCharges,MATCH($A290,List_WaterMeters,0),ROUNDUP((COLUMN()+0)/3-1,0)))</f>
        <v/>
      </c>
      <c r="AA290" s="127"/>
      <c r="AB290" s="137"/>
      <c r="AC290" s="58" t="str" cm="1">
        <f>IF(ISBLANK($A290),"",INDEX(Array_WaterCharges,MATCH($A290,List_WaterMeters,0),ROUNDUP((COLUMN()+0)/3-1,0)))</f>
        <v/>
      </c>
      <c r="AD290" s="127"/>
      <c r="AE290" s="137"/>
      <c r="AF290" s="58" t="str" cm="1">
        <f>IF(ISBLANK($A290),"",INDEX(Array_WaterCharges,MATCH($A290,List_WaterMeters,0),ROUNDUP((COLUMN()+0)/3-1,0)))</f>
        <v/>
      </c>
      <c r="AG290" s="127"/>
      <c r="AH290" s="137"/>
    </row>
    <row r="291" spans="1:34" x14ac:dyDescent="0.3">
      <c r="A291" s="126"/>
      <c r="B291" s="133"/>
      <c r="C291" s="127"/>
      <c r="D291" s="137"/>
      <c r="E291" s="58" t="str" cm="1">
        <f>IF(ISBLANK($A291),"",INDEX(Array_WaterCharges,MATCH($A291,List_WaterMeters,0),ROUNDUP((COLUMN()+0)/3-1,0)))</f>
        <v/>
      </c>
      <c r="F291" s="127"/>
      <c r="G291" s="137"/>
      <c r="H291" s="58" t="str" cm="1">
        <f>IF(ISBLANK($A291),"",INDEX(Array_WaterCharges,MATCH($A291,List_WaterMeters,0),ROUNDUP((COLUMN()+0)/3-1,0)))</f>
        <v/>
      </c>
      <c r="I291" s="127"/>
      <c r="J291" s="137"/>
      <c r="K291" s="58" t="str" cm="1">
        <f>IF(ISBLANK($A291),"",INDEX(Array_WaterCharges,MATCH($A291,List_WaterMeters,0),ROUNDUP((COLUMN()+0)/3-1,0)))</f>
        <v/>
      </c>
      <c r="L291" s="127"/>
      <c r="M291" s="137"/>
      <c r="N291" s="58" t="str" cm="1">
        <f>IF(ISBLANK($A291),"",INDEX(Array_WaterCharges,MATCH($A291,List_WaterMeters,0),ROUNDUP((COLUMN()+0)/3-1,0)))</f>
        <v/>
      </c>
      <c r="O291" s="127"/>
      <c r="P291" s="137"/>
      <c r="Q291" s="58" t="str" cm="1">
        <f>IF(ISBLANK($A291),"",INDEX(Array_WaterCharges,MATCH($A291,List_WaterMeters,0),ROUNDUP((COLUMN()+0)/3-1,0)))</f>
        <v/>
      </c>
      <c r="R291" s="127"/>
      <c r="S291" s="137"/>
      <c r="T291" s="58" t="str" cm="1">
        <f>IF(ISBLANK($A291),"",INDEX(Array_WaterCharges,MATCH($A291,List_WaterMeters,0),ROUNDUP((COLUMN()+0)/3-1,0)))</f>
        <v/>
      </c>
      <c r="U291" s="127"/>
      <c r="V291" s="137"/>
      <c r="W291" s="58" t="str" cm="1">
        <f>IF(ISBLANK($A291),"",INDEX(Array_WaterCharges,MATCH($A291,List_WaterMeters,0),ROUNDUP((COLUMN()+0)/3-1,0)))</f>
        <v/>
      </c>
      <c r="X291" s="127"/>
      <c r="Y291" s="137"/>
      <c r="Z291" s="58" t="str" cm="1">
        <f>IF(ISBLANK($A291),"",INDEX(Array_WaterCharges,MATCH($A291,List_WaterMeters,0),ROUNDUP((COLUMN()+0)/3-1,0)))</f>
        <v/>
      </c>
      <c r="AA291" s="127"/>
      <c r="AB291" s="137"/>
      <c r="AC291" s="58" t="str" cm="1">
        <f>IF(ISBLANK($A291),"",INDEX(Array_WaterCharges,MATCH($A291,List_WaterMeters,0),ROUNDUP((COLUMN()+0)/3-1,0)))</f>
        <v/>
      </c>
      <c r="AD291" s="127"/>
      <c r="AE291" s="137"/>
      <c r="AF291" s="58" t="str" cm="1">
        <f>IF(ISBLANK($A291),"",INDEX(Array_WaterCharges,MATCH($A291,List_WaterMeters,0),ROUNDUP((COLUMN()+0)/3-1,0)))</f>
        <v/>
      </c>
      <c r="AG291" s="127"/>
      <c r="AH291" s="137"/>
    </row>
    <row r="292" spans="1:34" x14ac:dyDescent="0.3">
      <c r="A292" s="126"/>
      <c r="B292" s="133"/>
      <c r="C292" s="127"/>
      <c r="D292" s="137"/>
      <c r="E292" s="58" t="str" cm="1">
        <f>IF(ISBLANK($A292),"",INDEX(Array_WaterCharges,MATCH($A292,List_WaterMeters,0),ROUNDUP((COLUMN()+0)/3-1,0)))</f>
        <v/>
      </c>
      <c r="F292" s="127"/>
      <c r="G292" s="137"/>
      <c r="H292" s="58" t="str" cm="1">
        <f>IF(ISBLANK($A292),"",INDEX(Array_WaterCharges,MATCH($A292,List_WaterMeters,0),ROUNDUP((COLUMN()+0)/3-1,0)))</f>
        <v/>
      </c>
      <c r="I292" s="127"/>
      <c r="J292" s="137"/>
      <c r="K292" s="58" t="str" cm="1">
        <f>IF(ISBLANK($A292),"",INDEX(Array_WaterCharges,MATCH($A292,List_WaterMeters,0),ROUNDUP((COLUMN()+0)/3-1,0)))</f>
        <v/>
      </c>
      <c r="L292" s="127"/>
      <c r="M292" s="137"/>
      <c r="N292" s="58" t="str" cm="1">
        <f>IF(ISBLANK($A292),"",INDEX(Array_WaterCharges,MATCH($A292,List_WaterMeters,0),ROUNDUP((COLUMN()+0)/3-1,0)))</f>
        <v/>
      </c>
      <c r="O292" s="127"/>
      <c r="P292" s="137"/>
      <c r="Q292" s="58" t="str" cm="1">
        <f>IF(ISBLANK($A292),"",INDEX(Array_WaterCharges,MATCH($A292,List_WaterMeters,0),ROUNDUP((COLUMN()+0)/3-1,0)))</f>
        <v/>
      </c>
      <c r="R292" s="127"/>
      <c r="S292" s="137"/>
      <c r="T292" s="58" t="str" cm="1">
        <f>IF(ISBLANK($A292),"",INDEX(Array_WaterCharges,MATCH($A292,List_WaterMeters,0),ROUNDUP((COLUMN()+0)/3-1,0)))</f>
        <v/>
      </c>
      <c r="U292" s="127"/>
      <c r="V292" s="137"/>
      <c r="W292" s="58" t="str" cm="1">
        <f>IF(ISBLANK($A292),"",INDEX(Array_WaterCharges,MATCH($A292,List_WaterMeters,0),ROUNDUP((COLUMN()+0)/3-1,0)))</f>
        <v/>
      </c>
      <c r="X292" s="127"/>
      <c r="Y292" s="137"/>
      <c r="Z292" s="58" t="str" cm="1">
        <f>IF(ISBLANK($A292),"",INDEX(Array_WaterCharges,MATCH($A292,List_WaterMeters,0),ROUNDUP((COLUMN()+0)/3-1,0)))</f>
        <v/>
      </c>
      <c r="AA292" s="127"/>
      <c r="AB292" s="137"/>
      <c r="AC292" s="58" t="str" cm="1">
        <f>IF(ISBLANK($A292),"",INDEX(Array_WaterCharges,MATCH($A292,List_WaterMeters,0),ROUNDUP((COLUMN()+0)/3-1,0)))</f>
        <v/>
      </c>
      <c r="AD292" s="127"/>
      <c r="AE292" s="137"/>
      <c r="AF292" s="58" t="str" cm="1">
        <f>IF(ISBLANK($A292),"",INDEX(Array_WaterCharges,MATCH($A292,List_WaterMeters,0),ROUNDUP((COLUMN()+0)/3-1,0)))</f>
        <v/>
      </c>
      <c r="AG292" s="127"/>
      <c r="AH292" s="137"/>
    </row>
    <row r="293" spans="1:34" x14ac:dyDescent="0.3">
      <c r="A293" s="126"/>
      <c r="B293" s="133"/>
      <c r="C293" s="127"/>
      <c r="D293" s="137"/>
      <c r="E293" s="58" t="str" cm="1">
        <f>IF(ISBLANK($A293),"",INDEX(Array_WaterCharges,MATCH($A293,List_WaterMeters,0),ROUNDUP((COLUMN()+0)/3-1,0)))</f>
        <v/>
      </c>
      <c r="F293" s="127"/>
      <c r="G293" s="137"/>
      <c r="H293" s="58" t="str" cm="1">
        <f>IF(ISBLANK($A293),"",INDEX(Array_WaterCharges,MATCH($A293,List_WaterMeters,0),ROUNDUP((COLUMN()+0)/3-1,0)))</f>
        <v/>
      </c>
      <c r="I293" s="127"/>
      <c r="J293" s="137"/>
      <c r="K293" s="58" t="str" cm="1">
        <f>IF(ISBLANK($A293),"",INDEX(Array_WaterCharges,MATCH($A293,List_WaterMeters,0),ROUNDUP((COLUMN()+0)/3-1,0)))</f>
        <v/>
      </c>
      <c r="L293" s="127"/>
      <c r="M293" s="137"/>
      <c r="N293" s="58" t="str" cm="1">
        <f>IF(ISBLANK($A293),"",INDEX(Array_WaterCharges,MATCH($A293,List_WaterMeters,0),ROUNDUP((COLUMN()+0)/3-1,0)))</f>
        <v/>
      </c>
      <c r="O293" s="127"/>
      <c r="P293" s="137"/>
      <c r="Q293" s="58" t="str" cm="1">
        <f>IF(ISBLANK($A293),"",INDEX(Array_WaterCharges,MATCH($A293,List_WaterMeters,0),ROUNDUP((COLUMN()+0)/3-1,0)))</f>
        <v/>
      </c>
      <c r="R293" s="127"/>
      <c r="S293" s="137"/>
      <c r="T293" s="58" t="str" cm="1">
        <f>IF(ISBLANK($A293),"",INDEX(Array_WaterCharges,MATCH($A293,List_WaterMeters,0),ROUNDUP((COLUMN()+0)/3-1,0)))</f>
        <v/>
      </c>
      <c r="U293" s="127"/>
      <c r="V293" s="137"/>
      <c r="W293" s="58" t="str" cm="1">
        <f>IF(ISBLANK($A293),"",INDEX(Array_WaterCharges,MATCH($A293,List_WaterMeters,0),ROUNDUP((COLUMN()+0)/3-1,0)))</f>
        <v/>
      </c>
      <c r="X293" s="127"/>
      <c r="Y293" s="137"/>
      <c r="Z293" s="58" t="str" cm="1">
        <f>IF(ISBLANK($A293),"",INDEX(Array_WaterCharges,MATCH($A293,List_WaterMeters,0),ROUNDUP((COLUMN()+0)/3-1,0)))</f>
        <v/>
      </c>
      <c r="AA293" s="127"/>
      <c r="AB293" s="137"/>
      <c r="AC293" s="58" t="str" cm="1">
        <f>IF(ISBLANK($A293),"",INDEX(Array_WaterCharges,MATCH($A293,List_WaterMeters,0),ROUNDUP((COLUMN()+0)/3-1,0)))</f>
        <v/>
      </c>
      <c r="AD293" s="127"/>
      <c r="AE293" s="137"/>
      <c r="AF293" s="58" t="str" cm="1">
        <f>IF(ISBLANK($A293),"",INDEX(Array_WaterCharges,MATCH($A293,List_WaterMeters,0),ROUNDUP((COLUMN()+0)/3-1,0)))</f>
        <v/>
      </c>
      <c r="AG293" s="127"/>
      <c r="AH293" s="137"/>
    </row>
    <row r="294" spans="1:34" x14ac:dyDescent="0.3">
      <c r="A294" s="126"/>
      <c r="B294" s="133"/>
      <c r="C294" s="127"/>
      <c r="D294" s="137"/>
      <c r="E294" s="58" t="str" cm="1">
        <f>IF(ISBLANK($A294),"",INDEX(Array_WaterCharges,MATCH($A294,List_WaterMeters,0),ROUNDUP((COLUMN()+0)/3-1,0)))</f>
        <v/>
      </c>
      <c r="F294" s="127"/>
      <c r="G294" s="137"/>
      <c r="H294" s="58" t="str" cm="1">
        <f>IF(ISBLANK($A294),"",INDEX(Array_WaterCharges,MATCH($A294,List_WaterMeters,0),ROUNDUP((COLUMN()+0)/3-1,0)))</f>
        <v/>
      </c>
      <c r="I294" s="127"/>
      <c r="J294" s="137"/>
      <c r="K294" s="58" t="str" cm="1">
        <f>IF(ISBLANK($A294),"",INDEX(Array_WaterCharges,MATCH($A294,List_WaterMeters,0),ROUNDUP((COLUMN()+0)/3-1,0)))</f>
        <v/>
      </c>
      <c r="L294" s="127"/>
      <c r="M294" s="137"/>
      <c r="N294" s="58" t="str" cm="1">
        <f>IF(ISBLANK($A294),"",INDEX(Array_WaterCharges,MATCH($A294,List_WaterMeters,0),ROUNDUP((COLUMN()+0)/3-1,0)))</f>
        <v/>
      </c>
      <c r="O294" s="127"/>
      <c r="P294" s="137"/>
      <c r="Q294" s="58" t="str" cm="1">
        <f>IF(ISBLANK($A294),"",INDEX(Array_WaterCharges,MATCH($A294,List_WaterMeters,0),ROUNDUP((COLUMN()+0)/3-1,0)))</f>
        <v/>
      </c>
      <c r="R294" s="127"/>
      <c r="S294" s="137"/>
      <c r="T294" s="58" t="str" cm="1">
        <f>IF(ISBLANK($A294),"",INDEX(Array_WaterCharges,MATCH($A294,List_WaterMeters,0),ROUNDUP((COLUMN()+0)/3-1,0)))</f>
        <v/>
      </c>
      <c r="U294" s="127"/>
      <c r="V294" s="137"/>
      <c r="W294" s="58" t="str" cm="1">
        <f>IF(ISBLANK($A294),"",INDEX(Array_WaterCharges,MATCH($A294,List_WaterMeters,0),ROUNDUP((COLUMN()+0)/3-1,0)))</f>
        <v/>
      </c>
      <c r="X294" s="127"/>
      <c r="Y294" s="137"/>
      <c r="Z294" s="58" t="str" cm="1">
        <f>IF(ISBLANK($A294),"",INDEX(Array_WaterCharges,MATCH($A294,List_WaterMeters,0),ROUNDUP((COLUMN()+0)/3-1,0)))</f>
        <v/>
      </c>
      <c r="AA294" s="127"/>
      <c r="AB294" s="137"/>
      <c r="AC294" s="58" t="str" cm="1">
        <f>IF(ISBLANK($A294),"",INDEX(Array_WaterCharges,MATCH($A294,List_WaterMeters,0),ROUNDUP((COLUMN()+0)/3-1,0)))</f>
        <v/>
      </c>
      <c r="AD294" s="127"/>
      <c r="AE294" s="137"/>
      <c r="AF294" s="58" t="str" cm="1">
        <f>IF(ISBLANK($A294),"",INDEX(Array_WaterCharges,MATCH($A294,List_WaterMeters,0),ROUNDUP((COLUMN()+0)/3-1,0)))</f>
        <v/>
      </c>
      <c r="AG294" s="127"/>
      <c r="AH294" s="137"/>
    </row>
    <row r="295" spans="1:34" x14ac:dyDescent="0.3">
      <c r="A295" s="126"/>
      <c r="B295" s="133"/>
      <c r="C295" s="127"/>
      <c r="D295" s="137"/>
      <c r="E295" s="58" t="str" cm="1">
        <f>IF(ISBLANK($A295),"",INDEX(Array_WaterCharges,MATCH($A295,List_WaterMeters,0),ROUNDUP((COLUMN()+0)/3-1,0)))</f>
        <v/>
      </c>
      <c r="F295" s="127"/>
      <c r="G295" s="137"/>
      <c r="H295" s="58" t="str" cm="1">
        <f>IF(ISBLANK($A295),"",INDEX(Array_WaterCharges,MATCH($A295,List_WaterMeters,0),ROUNDUP((COLUMN()+0)/3-1,0)))</f>
        <v/>
      </c>
      <c r="I295" s="127"/>
      <c r="J295" s="137"/>
      <c r="K295" s="58" t="str" cm="1">
        <f>IF(ISBLANK($A295),"",INDEX(Array_WaterCharges,MATCH($A295,List_WaterMeters,0),ROUNDUP((COLUMN()+0)/3-1,0)))</f>
        <v/>
      </c>
      <c r="L295" s="127"/>
      <c r="M295" s="137"/>
      <c r="N295" s="58" t="str" cm="1">
        <f>IF(ISBLANK($A295),"",INDEX(Array_WaterCharges,MATCH($A295,List_WaterMeters,0),ROUNDUP((COLUMN()+0)/3-1,0)))</f>
        <v/>
      </c>
      <c r="O295" s="127"/>
      <c r="P295" s="137"/>
      <c r="Q295" s="58" t="str" cm="1">
        <f>IF(ISBLANK($A295),"",INDEX(Array_WaterCharges,MATCH($A295,List_WaterMeters,0),ROUNDUP((COLUMN()+0)/3-1,0)))</f>
        <v/>
      </c>
      <c r="R295" s="127"/>
      <c r="S295" s="137"/>
      <c r="T295" s="58" t="str" cm="1">
        <f>IF(ISBLANK($A295),"",INDEX(Array_WaterCharges,MATCH($A295,List_WaterMeters,0),ROUNDUP((COLUMN()+0)/3-1,0)))</f>
        <v/>
      </c>
      <c r="U295" s="127"/>
      <c r="V295" s="137"/>
      <c r="W295" s="58" t="str" cm="1">
        <f>IF(ISBLANK($A295),"",INDEX(Array_WaterCharges,MATCH($A295,List_WaterMeters,0),ROUNDUP((COLUMN()+0)/3-1,0)))</f>
        <v/>
      </c>
      <c r="X295" s="127"/>
      <c r="Y295" s="137"/>
      <c r="Z295" s="58" t="str" cm="1">
        <f>IF(ISBLANK($A295),"",INDEX(Array_WaterCharges,MATCH($A295,List_WaterMeters,0),ROUNDUP((COLUMN()+0)/3-1,0)))</f>
        <v/>
      </c>
      <c r="AA295" s="127"/>
      <c r="AB295" s="137"/>
      <c r="AC295" s="58" t="str" cm="1">
        <f>IF(ISBLANK($A295),"",INDEX(Array_WaterCharges,MATCH($A295,List_WaterMeters,0),ROUNDUP((COLUMN()+0)/3-1,0)))</f>
        <v/>
      </c>
      <c r="AD295" s="127"/>
      <c r="AE295" s="137"/>
      <c r="AF295" s="58" t="str" cm="1">
        <f>IF(ISBLANK($A295),"",INDEX(Array_WaterCharges,MATCH($A295,List_WaterMeters,0),ROUNDUP((COLUMN()+0)/3-1,0)))</f>
        <v/>
      </c>
      <c r="AG295" s="127"/>
      <c r="AH295" s="137"/>
    </row>
    <row r="296" spans="1:34" x14ac:dyDescent="0.3">
      <c r="A296" s="126"/>
      <c r="B296" s="133"/>
      <c r="C296" s="127"/>
      <c r="D296" s="137"/>
      <c r="E296" s="58" t="str" cm="1">
        <f>IF(ISBLANK($A296),"",INDEX(Array_WaterCharges,MATCH($A296,List_WaterMeters,0),ROUNDUP((COLUMN()+0)/3-1,0)))</f>
        <v/>
      </c>
      <c r="F296" s="127"/>
      <c r="G296" s="137"/>
      <c r="H296" s="58" t="str" cm="1">
        <f>IF(ISBLANK($A296),"",INDEX(Array_WaterCharges,MATCH($A296,List_WaterMeters,0),ROUNDUP((COLUMN()+0)/3-1,0)))</f>
        <v/>
      </c>
      <c r="I296" s="127"/>
      <c r="J296" s="137"/>
      <c r="K296" s="58" t="str" cm="1">
        <f>IF(ISBLANK($A296),"",INDEX(Array_WaterCharges,MATCH($A296,List_WaterMeters,0),ROUNDUP((COLUMN()+0)/3-1,0)))</f>
        <v/>
      </c>
      <c r="L296" s="127"/>
      <c r="M296" s="137"/>
      <c r="N296" s="58" t="str" cm="1">
        <f>IF(ISBLANK($A296),"",INDEX(Array_WaterCharges,MATCH($A296,List_WaterMeters,0),ROUNDUP((COLUMN()+0)/3-1,0)))</f>
        <v/>
      </c>
      <c r="O296" s="127"/>
      <c r="P296" s="137"/>
      <c r="Q296" s="58" t="str" cm="1">
        <f>IF(ISBLANK($A296),"",INDEX(Array_WaterCharges,MATCH($A296,List_WaterMeters,0),ROUNDUP((COLUMN()+0)/3-1,0)))</f>
        <v/>
      </c>
      <c r="R296" s="127"/>
      <c r="S296" s="137"/>
      <c r="T296" s="58" t="str" cm="1">
        <f>IF(ISBLANK($A296),"",INDEX(Array_WaterCharges,MATCH($A296,List_WaterMeters,0),ROUNDUP((COLUMN()+0)/3-1,0)))</f>
        <v/>
      </c>
      <c r="U296" s="127"/>
      <c r="V296" s="137"/>
      <c r="W296" s="58" t="str" cm="1">
        <f>IF(ISBLANK($A296),"",INDEX(Array_WaterCharges,MATCH($A296,List_WaterMeters,0),ROUNDUP((COLUMN()+0)/3-1,0)))</f>
        <v/>
      </c>
      <c r="X296" s="127"/>
      <c r="Y296" s="137"/>
      <c r="Z296" s="58" t="str" cm="1">
        <f>IF(ISBLANK($A296),"",INDEX(Array_WaterCharges,MATCH($A296,List_WaterMeters,0),ROUNDUP((COLUMN()+0)/3-1,0)))</f>
        <v/>
      </c>
      <c r="AA296" s="127"/>
      <c r="AB296" s="137"/>
      <c r="AC296" s="58" t="str" cm="1">
        <f>IF(ISBLANK($A296),"",INDEX(Array_WaterCharges,MATCH($A296,List_WaterMeters,0),ROUNDUP((COLUMN()+0)/3-1,0)))</f>
        <v/>
      </c>
      <c r="AD296" s="127"/>
      <c r="AE296" s="137"/>
      <c r="AF296" s="58" t="str" cm="1">
        <f>IF(ISBLANK($A296),"",INDEX(Array_WaterCharges,MATCH($A296,List_WaterMeters,0),ROUNDUP((COLUMN()+0)/3-1,0)))</f>
        <v/>
      </c>
      <c r="AG296" s="127"/>
      <c r="AH296" s="137"/>
    </row>
    <row r="297" spans="1:34" x14ac:dyDescent="0.3">
      <c r="A297" s="126"/>
      <c r="B297" s="133"/>
      <c r="C297" s="127"/>
      <c r="D297" s="137"/>
      <c r="E297" s="58" t="str" cm="1">
        <f>IF(ISBLANK($A297),"",INDEX(Array_WaterCharges,MATCH($A297,List_WaterMeters,0),ROUNDUP((COLUMN()+0)/3-1,0)))</f>
        <v/>
      </c>
      <c r="F297" s="127"/>
      <c r="G297" s="137"/>
      <c r="H297" s="58" t="str" cm="1">
        <f>IF(ISBLANK($A297),"",INDEX(Array_WaterCharges,MATCH($A297,List_WaterMeters,0),ROUNDUP((COLUMN()+0)/3-1,0)))</f>
        <v/>
      </c>
      <c r="I297" s="127"/>
      <c r="J297" s="137"/>
      <c r="K297" s="58" t="str" cm="1">
        <f>IF(ISBLANK($A297),"",INDEX(Array_WaterCharges,MATCH($A297,List_WaterMeters,0),ROUNDUP((COLUMN()+0)/3-1,0)))</f>
        <v/>
      </c>
      <c r="L297" s="127"/>
      <c r="M297" s="137"/>
      <c r="N297" s="58" t="str" cm="1">
        <f>IF(ISBLANK($A297),"",INDEX(Array_WaterCharges,MATCH($A297,List_WaterMeters,0),ROUNDUP((COLUMN()+0)/3-1,0)))</f>
        <v/>
      </c>
      <c r="O297" s="127"/>
      <c r="P297" s="137"/>
      <c r="Q297" s="58" t="str" cm="1">
        <f>IF(ISBLANK($A297),"",INDEX(Array_WaterCharges,MATCH($A297,List_WaterMeters,0),ROUNDUP((COLUMN()+0)/3-1,0)))</f>
        <v/>
      </c>
      <c r="R297" s="127"/>
      <c r="S297" s="137"/>
      <c r="T297" s="58" t="str" cm="1">
        <f>IF(ISBLANK($A297),"",INDEX(Array_WaterCharges,MATCH($A297,List_WaterMeters,0),ROUNDUP((COLUMN()+0)/3-1,0)))</f>
        <v/>
      </c>
      <c r="U297" s="127"/>
      <c r="V297" s="137"/>
      <c r="W297" s="58" t="str" cm="1">
        <f>IF(ISBLANK($A297),"",INDEX(Array_WaterCharges,MATCH($A297,List_WaterMeters,0),ROUNDUP((COLUMN()+0)/3-1,0)))</f>
        <v/>
      </c>
      <c r="X297" s="127"/>
      <c r="Y297" s="137"/>
      <c r="Z297" s="58" t="str" cm="1">
        <f>IF(ISBLANK($A297),"",INDEX(Array_WaterCharges,MATCH($A297,List_WaterMeters,0),ROUNDUP((COLUMN()+0)/3-1,0)))</f>
        <v/>
      </c>
      <c r="AA297" s="127"/>
      <c r="AB297" s="137"/>
      <c r="AC297" s="58" t="str" cm="1">
        <f>IF(ISBLANK($A297),"",INDEX(Array_WaterCharges,MATCH($A297,List_WaterMeters,0),ROUNDUP((COLUMN()+0)/3-1,0)))</f>
        <v/>
      </c>
      <c r="AD297" s="127"/>
      <c r="AE297" s="137"/>
      <c r="AF297" s="58" t="str" cm="1">
        <f>IF(ISBLANK($A297),"",INDEX(Array_WaterCharges,MATCH($A297,List_WaterMeters,0),ROUNDUP((COLUMN()+0)/3-1,0)))</f>
        <v/>
      </c>
      <c r="AG297" s="127"/>
      <c r="AH297" s="137"/>
    </row>
    <row r="298" spans="1:34" x14ac:dyDescent="0.3">
      <c r="A298" s="126"/>
      <c r="B298" s="133"/>
      <c r="C298" s="127"/>
      <c r="D298" s="137"/>
      <c r="E298" s="58" t="str" cm="1">
        <f>IF(ISBLANK($A298),"",INDEX(Array_WaterCharges,MATCH($A298,List_WaterMeters,0),ROUNDUP((COLUMN()+0)/3-1,0)))</f>
        <v/>
      </c>
      <c r="F298" s="127"/>
      <c r="G298" s="137"/>
      <c r="H298" s="58" t="str" cm="1">
        <f>IF(ISBLANK($A298),"",INDEX(Array_WaterCharges,MATCH($A298,List_WaterMeters,0),ROUNDUP((COLUMN()+0)/3-1,0)))</f>
        <v/>
      </c>
      <c r="I298" s="127"/>
      <c r="J298" s="137"/>
      <c r="K298" s="58" t="str" cm="1">
        <f>IF(ISBLANK($A298),"",INDEX(Array_WaterCharges,MATCH($A298,List_WaterMeters,0),ROUNDUP((COLUMN()+0)/3-1,0)))</f>
        <v/>
      </c>
      <c r="L298" s="127"/>
      <c r="M298" s="137"/>
      <c r="N298" s="58" t="str" cm="1">
        <f>IF(ISBLANK($A298),"",INDEX(Array_WaterCharges,MATCH($A298,List_WaterMeters,0),ROUNDUP((COLUMN()+0)/3-1,0)))</f>
        <v/>
      </c>
      <c r="O298" s="127"/>
      <c r="P298" s="137"/>
      <c r="Q298" s="58" t="str" cm="1">
        <f>IF(ISBLANK($A298),"",INDEX(Array_WaterCharges,MATCH($A298,List_WaterMeters,0),ROUNDUP((COLUMN()+0)/3-1,0)))</f>
        <v/>
      </c>
      <c r="R298" s="127"/>
      <c r="S298" s="137"/>
      <c r="T298" s="58" t="str" cm="1">
        <f>IF(ISBLANK($A298),"",INDEX(Array_WaterCharges,MATCH($A298,List_WaterMeters,0),ROUNDUP((COLUMN()+0)/3-1,0)))</f>
        <v/>
      </c>
      <c r="U298" s="127"/>
      <c r="V298" s="137"/>
      <c r="W298" s="58" t="str" cm="1">
        <f>IF(ISBLANK($A298),"",INDEX(Array_WaterCharges,MATCH($A298,List_WaterMeters,0),ROUNDUP((COLUMN()+0)/3-1,0)))</f>
        <v/>
      </c>
      <c r="X298" s="127"/>
      <c r="Y298" s="137"/>
      <c r="Z298" s="58" t="str" cm="1">
        <f>IF(ISBLANK($A298),"",INDEX(Array_WaterCharges,MATCH($A298,List_WaterMeters,0),ROUNDUP((COLUMN()+0)/3-1,0)))</f>
        <v/>
      </c>
      <c r="AA298" s="127"/>
      <c r="AB298" s="137"/>
      <c r="AC298" s="58" t="str" cm="1">
        <f>IF(ISBLANK($A298),"",INDEX(Array_WaterCharges,MATCH($A298,List_WaterMeters,0),ROUNDUP((COLUMN()+0)/3-1,0)))</f>
        <v/>
      </c>
      <c r="AD298" s="127"/>
      <c r="AE298" s="137"/>
      <c r="AF298" s="58" t="str" cm="1">
        <f>IF(ISBLANK($A298),"",INDEX(Array_WaterCharges,MATCH($A298,List_WaterMeters,0),ROUNDUP((COLUMN()+0)/3-1,0)))</f>
        <v/>
      </c>
      <c r="AG298" s="127"/>
      <c r="AH298" s="137"/>
    </row>
    <row r="299" spans="1:34" x14ac:dyDescent="0.3">
      <c r="A299" s="126"/>
      <c r="B299" s="133"/>
      <c r="C299" s="127"/>
      <c r="D299" s="137"/>
      <c r="E299" s="58" t="str" cm="1">
        <f>IF(ISBLANK($A299),"",INDEX(Array_WaterCharges,MATCH($A299,List_WaterMeters,0),ROUNDUP((COLUMN()+0)/3-1,0)))</f>
        <v/>
      </c>
      <c r="F299" s="127"/>
      <c r="G299" s="137"/>
      <c r="H299" s="58" t="str" cm="1">
        <f>IF(ISBLANK($A299),"",INDEX(Array_WaterCharges,MATCH($A299,List_WaterMeters,0),ROUNDUP((COLUMN()+0)/3-1,0)))</f>
        <v/>
      </c>
      <c r="I299" s="127"/>
      <c r="J299" s="137"/>
      <c r="K299" s="58" t="str" cm="1">
        <f>IF(ISBLANK($A299),"",INDEX(Array_WaterCharges,MATCH($A299,List_WaterMeters,0),ROUNDUP((COLUMN()+0)/3-1,0)))</f>
        <v/>
      </c>
      <c r="L299" s="127"/>
      <c r="M299" s="137"/>
      <c r="N299" s="58" t="str" cm="1">
        <f>IF(ISBLANK($A299),"",INDEX(Array_WaterCharges,MATCH($A299,List_WaterMeters,0),ROUNDUP((COLUMN()+0)/3-1,0)))</f>
        <v/>
      </c>
      <c r="O299" s="127"/>
      <c r="P299" s="137"/>
      <c r="Q299" s="58" t="str" cm="1">
        <f>IF(ISBLANK($A299),"",INDEX(Array_WaterCharges,MATCH($A299,List_WaterMeters,0),ROUNDUP((COLUMN()+0)/3-1,0)))</f>
        <v/>
      </c>
      <c r="R299" s="127"/>
      <c r="S299" s="137"/>
      <c r="T299" s="58" t="str" cm="1">
        <f>IF(ISBLANK($A299),"",INDEX(Array_WaterCharges,MATCH($A299,List_WaterMeters,0),ROUNDUP((COLUMN()+0)/3-1,0)))</f>
        <v/>
      </c>
      <c r="U299" s="127"/>
      <c r="V299" s="137"/>
      <c r="W299" s="58" t="str" cm="1">
        <f>IF(ISBLANK($A299),"",INDEX(Array_WaterCharges,MATCH($A299,List_WaterMeters,0),ROUNDUP((COLUMN()+0)/3-1,0)))</f>
        <v/>
      </c>
      <c r="X299" s="127"/>
      <c r="Y299" s="137"/>
      <c r="Z299" s="58" t="str" cm="1">
        <f>IF(ISBLANK($A299),"",INDEX(Array_WaterCharges,MATCH($A299,List_WaterMeters,0),ROUNDUP((COLUMN()+0)/3-1,0)))</f>
        <v/>
      </c>
      <c r="AA299" s="127"/>
      <c r="AB299" s="137"/>
      <c r="AC299" s="58" t="str" cm="1">
        <f>IF(ISBLANK($A299),"",INDEX(Array_WaterCharges,MATCH($A299,List_WaterMeters,0),ROUNDUP((COLUMN()+0)/3-1,0)))</f>
        <v/>
      </c>
      <c r="AD299" s="127"/>
      <c r="AE299" s="137"/>
      <c r="AF299" s="58" t="str" cm="1">
        <f>IF(ISBLANK($A299),"",INDEX(Array_WaterCharges,MATCH($A299,List_WaterMeters,0),ROUNDUP((COLUMN()+0)/3-1,0)))</f>
        <v/>
      </c>
      <c r="AG299" s="127"/>
      <c r="AH299" s="137"/>
    </row>
    <row r="300" spans="1:34" x14ac:dyDescent="0.3">
      <c r="A300" s="126"/>
      <c r="B300" s="133"/>
      <c r="C300" s="127"/>
      <c r="D300" s="137"/>
      <c r="E300" s="58" t="str" cm="1">
        <f>IF(ISBLANK($A300),"",INDEX(Array_WaterCharges,MATCH($A300,List_WaterMeters,0),ROUNDUP((COLUMN()+0)/3-1,0)))</f>
        <v/>
      </c>
      <c r="F300" s="127"/>
      <c r="G300" s="137"/>
      <c r="H300" s="58" t="str" cm="1">
        <f>IF(ISBLANK($A300),"",INDEX(Array_WaterCharges,MATCH($A300,List_WaterMeters,0),ROUNDUP((COLUMN()+0)/3-1,0)))</f>
        <v/>
      </c>
      <c r="I300" s="127"/>
      <c r="J300" s="137"/>
      <c r="K300" s="58" t="str" cm="1">
        <f>IF(ISBLANK($A300),"",INDEX(Array_WaterCharges,MATCH($A300,List_WaterMeters,0),ROUNDUP((COLUMN()+0)/3-1,0)))</f>
        <v/>
      </c>
      <c r="L300" s="127"/>
      <c r="M300" s="137"/>
      <c r="N300" s="58" t="str" cm="1">
        <f>IF(ISBLANK($A300),"",INDEX(Array_WaterCharges,MATCH($A300,List_WaterMeters,0),ROUNDUP((COLUMN()+0)/3-1,0)))</f>
        <v/>
      </c>
      <c r="O300" s="127"/>
      <c r="P300" s="137"/>
      <c r="Q300" s="58" t="str" cm="1">
        <f>IF(ISBLANK($A300),"",INDEX(Array_WaterCharges,MATCH($A300,List_WaterMeters,0),ROUNDUP((COLUMN()+0)/3-1,0)))</f>
        <v/>
      </c>
      <c r="R300" s="127"/>
      <c r="S300" s="137"/>
      <c r="T300" s="58" t="str" cm="1">
        <f>IF(ISBLANK($A300),"",INDEX(Array_WaterCharges,MATCH($A300,List_WaterMeters,0),ROUNDUP((COLUMN()+0)/3-1,0)))</f>
        <v/>
      </c>
      <c r="U300" s="127"/>
      <c r="V300" s="137"/>
      <c r="W300" s="58" t="str" cm="1">
        <f>IF(ISBLANK($A300),"",INDEX(Array_WaterCharges,MATCH($A300,List_WaterMeters,0),ROUNDUP((COLUMN()+0)/3-1,0)))</f>
        <v/>
      </c>
      <c r="X300" s="127"/>
      <c r="Y300" s="137"/>
      <c r="Z300" s="58" t="str" cm="1">
        <f>IF(ISBLANK($A300),"",INDEX(Array_WaterCharges,MATCH($A300,List_WaterMeters,0),ROUNDUP((COLUMN()+0)/3-1,0)))</f>
        <v/>
      </c>
      <c r="AA300" s="127"/>
      <c r="AB300" s="137"/>
      <c r="AC300" s="58" t="str" cm="1">
        <f>IF(ISBLANK($A300),"",INDEX(Array_WaterCharges,MATCH($A300,List_WaterMeters,0),ROUNDUP((COLUMN()+0)/3-1,0)))</f>
        <v/>
      </c>
      <c r="AD300" s="127"/>
      <c r="AE300" s="137"/>
      <c r="AF300" s="58" t="str" cm="1">
        <f>IF(ISBLANK($A300),"",INDEX(Array_WaterCharges,MATCH($A300,List_WaterMeters,0),ROUNDUP((COLUMN()+0)/3-1,0)))</f>
        <v/>
      </c>
      <c r="AG300" s="127"/>
      <c r="AH300" s="137"/>
    </row>
    <row r="301" spans="1:34" x14ac:dyDescent="0.3">
      <c r="A301" s="126"/>
      <c r="B301" s="133"/>
      <c r="C301" s="127"/>
      <c r="D301" s="137"/>
      <c r="E301" s="58" t="str" cm="1">
        <f>IF(ISBLANK($A301),"",INDEX(Array_WaterCharges,MATCH($A301,List_WaterMeters,0),ROUNDUP((COLUMN()+0)/3-1,0)))</f>
        <v/>
      </c>
      <c r="F301" s="127"/>
      <c r="G301" s="137"/>
      <c r="H301" s="58" t="str" cm="1">
        <f>IF(ISBLANK($A301),"",INDEX(Array_WaterCharges,MATCH($A301,List_WaterMeters,0),ROUNDUP((COLUMN()+0)/3-1,0)))</f>
        <v/>
      </c>
      <c r="I301" s="127"/>
      <c r="J301" s="137"/>
      <c r="K301" s="58" t="str" cm="1">
        <f>IF(ISBLANK($A301),"",INDEX(Array_WaterCharges,MATCH($A301,List_WaterMeters,0),ROUNDUP((COLUMN()+0)/3-1,0)))</f>
        <v/>
      </c>
      <c r="L301" s="127"/>
      <c r="M301" s="137"/>
      <c r="N301" s="58" t="str" cm="1">
        <f>IF(ISBLANK($A301),"",INDEX(Array_WaterCharges,MATCH($A301,List_WaterMeters,0),ROUNDUP((COLUMN()+0)/3-1,0)))</f>
        <v/>
      </c>
      <c r="O301" s="127"/>
      <c r="P301" s="137"/>
      <c r="Q301" s="58" t="str" cm="1">
        <f>IF(ISBLANK($A301),"",INDEX(Array_WaterCharges,MATCH($A301,List_WaterMeters,0),ROUNDUP((COLUMN()+0)/3-1,0)))</f>
        <v/>
      </c>
      <c r="R301" s="127"/>
      <c r="S301" s="137"/>
      <c r="T301" s="58" t="str" cm="1">
        <f>IF(ISBLANK($A301),"",INDEX(Array_WaterCharges,MATCH($A301,List_WaterMeters,0),ROUNDUP((COLUMN()+0)/3-1,0)))</f>
        <v/>
      </c>
      <c r="U301" s="127"/>
      <c r="V301" s="137"/>
      <c r="W301" s="58" t="str" cm="1">
        <f>IF(ISBLANK($A301),"",INDEX(Array_WaterCharges,MATCH($A301,List_WaterMeters,0),ROUNDUP((COLUMN()+0)/3-1,0)))</f>
        <v/>
      </c>
      <c r="X301" s="127"/>
      <c r="Y301" s="137"/>
      <c r="Z301" s="58" t="str" cm="1">
        <f>IF(ISBLANK($A301),"",INDEX(Array_WaterCharges,MATCH($A301,List_WaterMeters,0),ROUNDUP((COLUMN()+0)/3-1,0)))</f>
        <v/>
      </c>
      <c r="AA301" s="127"/>
      <c r="AB301" s="137"/>
      <c r="AC301" s="58" t="str" cm="1">
        <f>IF(ISBLANK($A301),"",INDEX(Array_WaterCharges,MATCH($A301,List_WaterMeters,0),ROUNDUP((COLUMN()+0)/3-1,0)))</f>
        <v/>
      </c>
      <c r="AD301" s="127"/>
      <c r="AE301" s="137"/>
      <c r="AF301" s="58" t="str" cm="1">
        <f>IF(ISBLANK($A301),"",INDEX(Array_WaterCharges,MATCH($A301,List_WaterMeters,0),ROUNDUP((COLUMN()+0)/3-1,0)))</f>
        <v/>
      </c>
      <c r="AG301" s="127"/>
      <c r="AH301" s="137"/>
    </row>
    <row r="302" spans="1:34" x14ac:dyDescent="0.3">
      <c r="A302" s="126"/>
      <c r="B302" s="133"/>
      <c r="C302" s="127"/>
      <c r="D302" s="137"/>
      <c r="E302" s="58" t="str" cm="1">
        <f>IF(ISBLANK($A302),"",INDEX(Array_WaterCharges,MATCH($A302,List_WaterMeters,0),ROUNDUP((COLUMN()+0)/3-1,0)))</f>
        <v/>
      </c>
      <c r="F302" s="127"/>
      <c r="G302" s="137"/>
      <c r="H302" s="58" t="str" cm="1">
        <f>IF(ISBLANK($A302),"",INDEX(Array_WaterCharges,MATCH($A302,List_WaterMeters,0),ROUNDUP((COLUMN()+0)/3-1,0)))</f>
        <v/>
      </c>
      <c r="I302" s="127"/>
      <c r="J302" s="137"/>
      <c r="K302" s="58" t="str" cm="1">
        <f>IF(ISBLANK($A302),"",INDEX(Array_WaterCharges,MATCH($A302,List_WaterMeters,0),ROUNDUP((COLUMN()+0)/3-1,0)))</f>
        <v/>
      </c>
      <c r="L302" s="127"/>
      <c r="M302" s="137"/>
      <c r="N302" s="58" t="str" cm="1">
        <f>IF(ISBLANK($A302),"",INDEX(Array_WaterCharges,MATCH($A302,List_WaterMeters,0),ROUNDUP((COLUMN()+0)/3-1,0)))</f>
        <v/>
      </c>
      <c r="O302" s="127"/>
      <c r="P302" s="137"/>
      <c r="Q302" s="58" t="str" cm="1">
        <f>IF(ISBLANK($A302),"",INDEX(Array_WaterCharges,MATCH($A302,List_WaterMeters,0),ROUNDUP((COLUMN()+0)/3-1,0)))</f>
        <v/>
      </c>
      <c r="R302" s="127"/>
      <c r="S302" s="137"/>
      <c r="T302" s="58" t="str" cm="1">
        <f>IF(ISBLANK($A302),"",INDEX(Array_WaterCharges,MATCH($A302,List_WaterMeters,0),ROUNDUP((COLUMN()+0)/3-1,0)))</f>
        <v/>
      </c>
      <c r="U302" s="127"/>
      <c r="V302" s="137"/>
      <c r="W302" s="58" t="str" cm="1">
        <f>IF(ISBLANK($A302),"",INDEX(Array_WaterCharges,MATCH($A302,List_WaterMeters,0),ROUNDUP((COLUMN()+0)/3-1,0)))</f>
        <v/>
      </c>
      <c r="X302" s="127"/>
      <c r="Y302" s="137"/>
      <c r="Z302" s="58" t="str" cm="1">
        <f>IF(ISBLANK($A302),"",INDEX(Array_WaterCharges,MATCH($A302,List_WaterMeters,0),ROUNDUP((COLUMN()+0)/3-1,0)))</f>
        <v/>
      </c>
      <c r="AA302" s="127"/>
      <c r="AB302" s="137"/>
      <c r="AC302" s="58" t="str" cm="1">
        <f>IF(ISBLANK($A302),"",INDEX(Array_WaterCharges,MATCH($A302,List_WaterMeters,0),ROUNDUP((COLUMN()+0)/3-1,0)))</f>
        <v/>
      </c>
      <c r="AD302" s="127"/>
      <c r="AE302" s="137"/>
      <c r="AF302" s="58" t="str" cm="1">
        <f>IF(ISBLANK($A302),"",INDEX(Array_WaterCharges,MATCH($A302,List_WaterMeters,0),ROUNDUP((COLUMN()+0)/3-1,0)))</f>
        <v/>
      </c>
      <c r="AG302" s="127"/>
      <c r="AH302" s="137"/>
    </row>
    <row r="303" spans="1:34" x14ac:dyDescent="0.3">
      <c r="A303" s="126"/>
      <c r="B303" s="133"/>
      <c r="C303" s="127"/>
      <c r="D303" s="137"/>
      <c r="E303" s="58" t="str" cm="1">
        <f>IF(ISBLANK($A303),"",INDEX(Array_WaterCharges,MATCH($A303,List_WaterMeters,0),ROUNDUP((COLUMN()+0)/3-1,0)))</f>
        <v/>
      </c>
      <c r="F303" s="127"/>
      <c r="G303" s="137"/>
      <c r="H303" s="58" t="str" cm="1">
        <f>IF(ISBLANK($A303),"",INDEX(Array_WaterCharges,MATCH($A303,List_WaterMeters,0),ROUNDUP((COLUMN()+0)/3-1,0)))</f>
        <v/>
      </c>
      <c r="I303" s="127"/>
      <c r="J303" s="137"/>
      <c r="K303" s="58" t="str" cm="1">
        <f>IF(ISBLANK($A303),"",INDEX(Array_WaterCharges,MATCH($A303,List_WaterMeters,0),ROUNDUP((COLUMN()+0)/3-1,0)))</f>
        <v/>
      </c>
      <c r="L303" s="127"/>
      <c r="M303" s="137"/>
      <c r="N303" s="58" t="str" cm="1">
        <f>IF(ISBLANK($A303),"",INDEX(Array_WaterCharges,MATCH($A303,List_WaterMeters,0),ROUNDUP((COLUMN()+0)/3-1,0)))</f>
        <v/>
      </c>
      <c r="O303" s="127"/>
      <c r="P303" s="137"/>
      <c r="Q303" s="58" t="str" cm="1">
        <f>IF(ISBLANK($A303),"",INDEX(Array_WaterCharges,MATCH($A303,List_WaterMeters,0),ROUNDUP((COLUMN()+0)/3-1,0)))</f>
        <v/>
      </c>
      <c r="R303" s="127"/>
      <c r="S303" s="137"/>
      <c r="T303" s="58" t="str" cm="1">
        <f>IF(ISBLANK($A303),"",INDEX(Array_WaterCharges,MATCH($A303,List_WaterMeters,0),ROUNDUP((COLUMN()+0)/3-1,0)))</f>
        <v/>
      </c>
      <c r="U303" s="127"/>
      <c r="V303" s="137"/>
      <c r="W303" s="58" t="str" cm="1">
        <f>IF(ISBLANK($A303),"",INDEX(Array_WaterCharges,MATCH($A303,List_WaterMeters,0),ROUNDUP((COLUMN()+0)/3-1,0)))</f>
        <v/>
      </c>
      <c r="X303" s="127"/>
      <c r="Y303" s="137"/>
      <c r="Z303" s="58" t="str" cm="1">
        <f>IF(ISBLANK($A303),"",INDEX(Array_WaterCharges,MATCH($A303,List_WaterMeters,0),ROUNDUP((COLUMN()+0)/3-1,0)))</f>
        <v/>
      </c>
      <c r="AA303" s="127"/>
      <c r="AB303" s="137"/>
      <c r="AC303" s="58" t="str" cm="1">
        <f>IF(ISBLANK($A303),"",INDEX(Array_WaterCharges,MATCH($A303,List_WaterMeters,0),ROUNDUP((COLUMN()+0)/3-1,0)))</f>
        <v/>
      </c>
      <c r="AD303" s="127"/>
      <c r="AE303" s="137"/>
      <c r="AF303" s="58" t="str" cm="1">
        <f>IF(ISBLANK($A303),"",INDEX(Array_WaterCharges,MATCH($A303,List_WaterMeters,0),ROUNDUP((COLUMN()+0)/3-1,0)))</f>
        <v/>
      </c>
      <c r="AG303" s="127"/>
      <c r="AH303" s="137"/>
    </row>
    <row r="304" spans="1:34" x14ac:dyDescent="0.3">
      <c r="A304" s="126"/>
      <c r="B304" s="133"/>
      <c r="C304" s="127"/>
      <c r="D304" s="137"/>
      <c r="E304" s="58" t="str" cm="1">
        <f>IF(ISBLANK($A304),"",INDEX(Array_WaterCharges,MATCH($A304,List_WaterMeters,0),ROUNDUP((COLUMN()+0)/3-1,0)))</f>
        <v/>
      </c>
      <c r="F304" s="127"/>
      <c r="G304" s="137"/>
      <c r="H304" s="58" t="str" cm="1">
        <f>IF(ISBLANK($A304),"",INDEX(Array_WaterCharges,MATCH($A304,List_WaterMeters,0),ROUNDUP((COLUMN()+0)/3-1,0)))</f>
        <v/>
      </c>
      <c r="I304" s="127"/>
      <c r="J304" s="137"/>
      <c r="K304" s="58" t="str" cm="1">
        <f>IF(ISBLANK($A304),"",INDEX(Array_WaterCharges,MATCH($A304,List_WaterMeters,0),ROUNDUP((COLUMN()+0)/3-1,0)))</f>
        <v/>
      </c>
      <c r="L304" s="127"/>
      <c r="M304" s="137"/>
      <c r="N304" s="58" t="str" cm="1">
        <f>IF(ISBLANK($A304),"",INDEX(Array_WaterCharges,MATCH($A304,List_WaterMeters,0),ROUNDUP((COLUMN()+0)/3-1,0)))</f>
        <v/>
      </c>
      <c r="O304" s="127"/>
      <c r="P304" s="137"/>
      <c r="Q304" s="58" t="str" cm="1">
        <f>IF(ISBLANK($A304),"",INDEX(Array_WaterCharges,MATCH($A304,List_WaterMeters,0),ROUNDUP((COLUMN()+0)/3-1,0)))</f>
        <v/>
      </c>
      <c r="R304" s="127"/>
      <c r="S304" s="137"/>
      <c r="T304" s="58" t="str" cm="1">
        <f>IF(ISBLANK($A304),"",INDEX(Array_WaterCharges,MATCH($A304,List_WaterMeters,0),ROUNDUP((COLUMN()+0)/3-1,0)))</f>
        <v/>
      </c>
      <c r="U304" s="127"/>
      <c r="V304" s="137"/>
      <c r="W304" s="58" t="str" cm="1">
        <f>IF(ISBLANK($A304),"",INDEX(Array_WaterCharges,MATCH($A304,List_WaterMeters,0),ROUNDUP((COLUMN()+0)/3-1,0)))</f>
        <v/>
      </c>
      <c r="X304" s="127"/>
      <c r="Y304" s="137"/>
      <c r="Z304" s="58" t="str" cm="1">
        <f>IF(ISBLANK($A304),"",INDEX(Array_WaterCharges,MATCH($A304,List_WaterMeters,0),ROUNDUP((COLUMN()+0)/3-1,0)))</f>
        <v/>
      </c>
      <c r="AA304" s="127"/>
      <c r="AB304" s="137"/>
      <c r="AC304" s="58" t="str" cm="1">
        <f>IF(ISBLANK($A304),"",INDEX(Array_WaterCharges,MATCH($A304,List_WaterMeters,0),ROUNDUP((COLUMN()+0)/3-1,0)))</f>
        <v/>
      </c>
      <c r="AD304" s="127"/>
      <c r="AE304" s="137"/>
      <c r="AF304" s="58" t="str" cm="1">
        <f>IF(ISBLANK($A304),"",INDEX(Array_WaterCharges,MATCH($A304,List_WaterMeters,0),ROUNDUP((COLUMN()+0)/3-1,0)))</f>
        <v/>
      </c>
      <c r="AG304" s="127"/>
      <c r="AH304" s="137"/>
    </row>
    <row r="305" spans="1:34" x14ac:dyDescent="0.3">
      <c r="A305" s="126"/>
      <c r="B305" s="133"/>
      <c r="C305" s="127"/>
      <c r="D305" s="137"/>
      <c r="E305" s="58" t="str" cm="1">
        <f>IF(ISBLANK($A305),"",INDEX(Array_WaterCharges,MATCH($A305,List_WaterMeters,0),ROUNDUP((COLUMN()+0)/3-1,0)))</f>
        <v/>
      </c>
      <c r="F305" s="127"/>
      <c r="G305" s="137"/>
      <c r="H305" s="58" t="str" cm="1">
        <f>IF(ISBLANK($A305),"",INDEX(Array_WaterCharges,MATCH($A305,List_WaterMeters,0),ROUNDUP((COLUMN()+0)/3-1,0)))</f>
        <v/>
      </c>
      <c r="I305" s="127"/>
      <c r="J305" s="137"/>
      <c r="K305" s="58" t="str" cm="1">
        <f>IF(ISBLANK($A305),"",INDEX(Array_WaterCharges,MATCH($A305,List_WaterMeters,0),ROUNDUP((COLUMN()+0)/3-1,0)))</f>
        <v/>
      </c>
      <c r="L305" s="127"/>
      <c r="M305" s="137"/>
      <c r="N305" s="58" t="str" cm="1">
        <f>IF(ISBLANK($A305),"",INDEX(Array_WaterCharges,MATCH($A305,List_WaterMeters,0),ROUNDUP((COLUMN()+0)/3-1,0)))</f>
        <v/>
      </c>
      <c r="O305" s="127"/>
      <c r="P305" s="137"/>
      <c r="Q305" s="58" t="str" cm="1">
        <f>IF(ISBLANK($A305),"",INDEX(Array_WaterCharges,MATCH($A305,List_WaterMeters,0),ROUNDUP((COLUMN()+0)/3-1,0)))</f>
        <v/>
      </c>
      <c r="R305" s="127"/>
      <c r="S305" s="137"/>
      <c r="T305" s="58" t="str" cm="1">
        <f>IF(ISBLANK($A305),"",INDEX(Array_WaterCharges,MATCH($A305,List_WaterMeters,0),ROUNDUP((COLUMN()+0)/3-1,0)))</f>
        <v/>
      </c>
      <c r="U305" s="127"/>
      <c r="V305" s="137"/>
      <c r="W305" s="58" t="str" cm="1">
        <f>IF(ISBLANK($A305),"",INDEX(Array_WaterCharges,MATCH($A305,List_WaterMeters,0),ROUNDUP((COLUMN()+0)/3-1,0)))</f>
        <v/>
      </c>
      <c r="X305" s="127"/>
      <c r="Y305" s="137"/>
      <c r="Z305" s="58" t="str" cm="1">
        <f>IF(ISBLANK($A305),"",INDEX(Array_WaterCharges,MATCH($A305,List_WaterMeters,0),ROUNDUP((COLUMN()+0)/3-1,0)))</f>
        <v/>
      </c>
      <c r="AA305" s="127"/>
      <c r="AB305" s="137"/>
      <c r="AC305" s="58" t="str" cm="1">
        <f>IF(ISBLANK($A305),"",INDEX(Array_WaterCharges,MATCH($A305,List_WaterMeters,0),ROUNDUP((COLUMN()+0)/3-1,0)))</f>
        <v/>
      </c>
      <c r="AD305" s="127"/>
      <c r="AE305" s="137"/>
      <c r="AF305" s="58" t="str" cm="1">
        <f>IF(ISBLANK($A305),"",INDEX(Array_WaterCharges,MATCH($A305,List_WaterMeters,0),ROUNDUP((COLUMN()+0)/3-1,0)))</f>
        <v/>
      </c>
      <c r="AG305" s="127"/>
      <c r="AH305" s="137"/>
    </row>
    <row r="306" spans="1:34" x14ac:dyDescent="0.3">
      <c r="A306" s="126"/>
      <c r="B306" s="133"/>
      <c r="C306" s="127"/>
      <c r="D306" s="137"/>
      <c r="E306" s="58" t="str" cm="1">
        <f>IF(ISBLANK($A306),"",INDEX(Array_WaterCharges,MATCH($A306,List_WaterMeters,0),ROUNDUP((COLUMN()+0)/3-1,0)))</f>
        <v/>
      </c>
      <c r="F306" s="127"/>
      <c r="G306" s="137"/>
      <c r="H306" s="58" t="str" cm="1">
        <f>IF(ISBLANK($A306),"",INDEX(Array_WaterCharges,MATCH($A306,List_WaterMeters,0),ROUNDUP((COLUMN()+0)/3-1,0)))</f>
        <v/>
      </c>
      <c r="I306" s="127"/>
      <c r="J306" s="137"/>
      <c r="K306" s="58" t="str" cm="1">
        <f>IF(ISBLANK($A306),"",INDEX(Array_WaterCharges,MATCH($A306,List_WaterMeters,0),ROUNDUP((COLUMN()+0)/3-1,0)))</f>
        <v/>
      </c>
      <c r="L306" s="127"/>
      <c r="M306" s="137"/>
      <c r="N306" s="58" t="str" cm="1">
        <f>IF(ISBLANK($A306),"",INDEX(Array_WaterCharges,MATCH($A306,List_WaterMeters,0),ROUNDUP((COLUMN()+0)/3-1,0)))</f>
        <v/>
      </c>
      <c r="O306" s="127"/>
      <c r="P306" s="137"/>
      <c r="Q306" s="58" t="str" cm="1">
        <f>IF(ISBLANK($A306),"",INDEX(Array_WaterCharges,MATCH($A306,List_WaterMeters,0),ROUNDUP((COLUMN()+0)/3-1,0)))</f>
        <v/>
      </c>
      <c r="R306" s="127"/>
      <c r="S306" s="137"/>
      <c r="T306" s="58" t="str" cm="1">
        <f>IF(ISBLANK($A306),"",INDEX(Array_WaterCharges,MATCH($A306,List_WaterMeters,0),ROUNDUP((COLUMN()+0)/3-1,0)))</f>
        <v/>
      </c>
      <c r="U306" s="127"/>
      <c r="V306" s="137"/>
      <c r="W306" s="58" t="str" cm="1">
        <f>IF(ISBLANK($A306),"",INDEX(Array_WaterCharges,MATCH($A306,List_WaterMeters,0),ROUNDUP((COLUMN()+0)/3-1,0)))</f>
        <v/>
      </c>
      <c r="X306" s="127"/>
      <c r="Y306" s="137"/>
      <c r="Z306" s="58" t="str" cm="1">
        <f>IF(ISBLANK($A306),"",INDEX(Array_WaterCharges,MATCH($A306,List_WaterMeters,0),ROUNDUP((COLUMN()+0)/3-1,0)))</f>
        <v/>
      </c>
      <c r="AA306" s="127"/>
      <c r="AB306" s="137"/>
      <c r="AC306" s="58" t="str" cm="1">
        <f>IF(ISBLANK($A306),"",INDEX(Array_WaterCharges,MATCH($A306,List_WaterMeters,0),ROUNDUP((COLUMN()+0)/3-1,0)))</f>
        <v/>
      </c>
      <c r="AD306" s="127"/>
      <c r="AE306" s="137"/>
      <c r="AF306" s="58" t="str" cm="1">
        <f>IF(ISBLANK($A306),"",INDEX(Array_WaterCharges,MATCH($A306,List_WaterMeters,0),ROUNDUP((COLUMN()+0)/3-1,0)))</f>
        <v/>
      </c>
      <c r="AG306" s="127"/>
      <c r="AH306" s="137"/>
    </row>
    <row r="307" spans="1:34" x14ac:dyDescent="0.3">
      <c r="A307" s="126"/>
      <c r="B307" s="133"/>
      <c r="C307" s="127"/>
      <c r="D307" s="137"/>
      <c r="E307" s="58" t="str" cm="1">
        <f>IF(ISBLANK($A307),"",INDEX(Array_WaterCharges,MATCH($A307,List_WaterMeters,0),ROUNDUP((COLUMN()+0)/3-1,0)))</f>
        <v/>
      </c>
      <c r="F307" s="127"/>
      <c r="G307" s="137"/>
      <c r="H307" s="58" t="str" cm="1">
        <f>IF(ISBLANK($A307),"",INDEX(Array_WaterCharges,MATCH($A307,List_WaterMeters,0),ROUNDUP((COLUMN()+0)/3-1,0)))</f>
        <v/>
      </c>
      <c r="I307" s="127"/>
      <c r="J307" s="137"/>
      <c r="K307" s="58" t="str" cm="1">
        <f>IF(ISBLANK($A307),"",INDEX(Array_WaterCharges,MATCH($A307,List_WaterMeters,0),ROUNDUP((COLUMN()+0)/3-1,0)))</f>
        <v/>
      </c>
      <c r="L307" s="127"/>
      <c r="M307" s="137"/>
      <c r="N307" s="58" t="str" cm="1">
        <f>IF(ISBLANK($A307),"",INDEX(Array_WaterCharges,MATCH($A307,List_WaterMeters,0),ROUNDUP((COLUMN()+0)/3-1,0)))</f>
        <v/>
      </c>
      <c r="O307" s="127"/>
      <c r="P307" s="137"/>
      <c r="Q307" s="58" t="str" cm="1">
        <f>IF(ISBLANK($A307),"",INDEX(Array_WaterCharges,MATCH($A307,List_WaterMeters,0),ROUNDUP((COLUMN()+0)/3-1,0)))</f>
        <v/>
      </c>
      <c r="R307" s="127"/>
      <c r="S307" s="137"/>
      <c r="T307" s="58" t="str" cm="1">
        <f>IF(ISBLANK($A307),"",INDEX(Array_WaterCharges,MATCH($A307,List_WaterMeters,0),ROUNDUP((COLUMN()+0)/3-1,0)))</f>
        <v/>
      </c>
      <c r="U307" s="127"/>
      <c r="V307" s="137"/>
      <c r="W307" s="58" t="str" cm="1">
        <f>IF(ISBLANK($A307),"",INDEX(Array_WaterCharges,MATCH($A307,List_WaterMeters,0),ROUNDUP((COLUMN()+0)/3-1,0)))</f>
        <v/>
      </c>
      <c r="X307" s="127"/>
      <c r="Y307" s="137"/>
      <c r="Z307" s="58" t="str" cm="1">
        <f>IF(ISBLANK($A307),"",INDEX(Array_WaterCharges,MATCH($A307,List_WaterMeters,0),ROUNDUP((COLUMN()+0)/3-1,0)))</f>
        <v/>
      </c>
      <c r="AA307" s="127"/>
      <c r="AB307" s="137"/>
      <c r="AC307" s="58" t="str" cm="1">
        <f>IF(ISBLANK($A307),"",INDEX(Array_WaterCharges,MATCH($A307,List_WaterMeters,0),ROUNDUP((COLUMN()+0)/3-1,0)))</f>
        <v/>
      </c>
      <c r="AD307" s="127"/>
      <c r="AE307" s="137"/>
      <c r="AF307" s="58" t="str" cm="1">
        <f>IF(ISBLANK($A307),"",INDEX(Array_WaterCharges,MATCH($A307,List_WaterMeters,0),ROUNDUP((COLUMN()+0)/3-1,0)))</f>
        <v/>
      </c>
      <c r="AG307" s="127"/>
      <c r="AH307" s="137"/>
    </row>
    <row r="308" spans="1:34" x14ac:dyDescent="0.3">
      <c r="A308" s="126"/>
      <c r="B308" s="133"/>
      <c r="C308" s="127"/>
      <c r="D308" s="137"/>
      <c r="E308" s="58" t="str" cm="1">
        <f>IF(ISBLANK($A308),"",INDEX(Array_WaterCharges,MATCH($A308,List_WaterMeters,0),ROUNDUP((COLUMN()+0)/3-1,0)))</f>
        <v/>
      </c>
      <c r="F308" s="127"/>
      <c r="G308" s="137"/>
      <c r="H308" s="58" t="str" cm="1">
        <f>IF(ISBLANK($A308),"",INDEX(Array_WaterCharges,MATCH($A308,List_WaterMeters,0),ROUNDUP((COLUMN()+0)/3-1,0)))</f>
        <v/>
      </c>
      <c r="I308" s="127"/>
      <c r="J308" s="137"/>
      <c r="K308" s="58" t="str" cm="1">
        <f>IF(ISBLANK($A308),"",INDEX(Array_WaterCharges,MATCH($A308,List_WaterMeters,0),ROUNDUP((COLUMN()+0)/3-1,0)))</f>
        <v/>
      </c>
      <c r="L308" s="127"/>
      <c r="M308" s="137"/>
      <c r="N308" s="58" t="str" cm="1">
        <f>IF(ISBLANK($A308),"",INDEX(Array_WaterCharges,MATCH($A308,List_WaterMeters,0),ROUNDUP((COLUMN()+0)/3-1,0)))</f>
        <v/>
      </c>
      <c r="O308" s="127"/>
      <c r="P308" s="137"/>
      <c r="Q308" s="58" t="str" cm="1">
        <f>IF(ISBLANK($A308),"",INDEX(Array_WaterCharges,MATCH($A308,List_WaterMeters,0),ROUNDUP((COLUMN()+0)/3-1,0)))</f>
        <v/>
      </c>
      <c r="R308" s="127"/>
      <c r="S308" s="137"/>
      <c r="T308" s="58" t="str" cm="1">
        <f>IF(ISBLANK($A308),"",INDEX(Array_WaterCharges,MATCH($A308,List_WaterMeters,0),ROUNDUP((COLUMN()+0)/3-1,0)))</f>
        <v/>
      </c>
      <c r="U308" s="127"/>
      <c r="V308" s="137"/>
      <c r="W308" s="58" t="str" cm="1">
        <f>IF(ISBLANK($A308),"",INDEX(Array_WaterCharges,MATCH($A308,List_WaterMeters,0),ROUNDUP((COLUMN()+0)/3-1,0)))</f>
        <v/>
      </c>
      <c r="X308" s="127"/>
      <c r="Y308" s="137"/>
      <c r="Z308" s="58" t="str" cm="1">
        <f>IF(ISBLANK($A308),"",INDEX(Array_WaterCharges,MATCH($A308,List_WaterMeters,0),ROUNDUP((COLUMN()+0)/3-1,0)))</f>
        <v/>
      </c>
      <c r="AA308" s="127"/>
      <c r="AB308" s="137"/>
      <c r="AC308" s="58" t="str" cm="1">
        <f>IF(ISBLANK($A308),"",INDEX(Array_WaterCharges,MATCH($A308,List_WaterMeters,0),ROUNDUP((COLUMN()+0)/3-1,0)))</f>
        <v/>
      </c>
      <c r="AD308" s="127"/>
      <c r="AE308" s="137"/>
      <c r="AF308" s="58" t="str" cm="1">
        <f>IF(ISBLANK($A308),"",INDEX(Array_WaterCharges,MATCH($A308,List_WaterMeters,0),ROUNDUP((COLUMN()+0)/3-1,0)))</f>
        <v/>
      </c>
      <c r="AG308" s="127"/>
      <c r="AH308" s="137"/>
    </row>
    <row r="309" spans="1:34" x14ac:dyDescent="0.3">
      <c r="A309" s="126"/>
      <c r="B309" s="133"/>
      <c r="C309" s="127"/>
      <c r="D309" s="137"/>
      <c r="E309" s="58" t="str" cm="1">
        <f>IF(ISBLANK($A309),"",INDEX(Array_WaterCharges,MATCH($A309,List_WaterMeters,0),ROUNDUP((COLUMN()+0)/3-1,0)))</f>
        <v/>
      </c>
      <c r="F309" s="127"/>
      <c r="G309" s="137"/>
      <c r="H309" s="58" t="str" cm="1">
        <f>IF(ISBLANK($A309),"",INDEX(Array_WaterCharges,MATCH($A309,List_WaterMeters,0),ROUNDUP((COLUMN()+0)/3-1,0)))</f>
        <v/>
      </c>
      <c r="I309" s="127"/>
      <c r="J309" s="137"/>
      <c r="K309" s="58" t="str" cm="1">
        <f>IF(ISBLANK($A309),"",INDEX(Array_WaterCharges,MATCH($A309,List_WaterMeters,0),ROUNDUP((COLUMN()+0)/3-1,0)))</f>
        <v/>
      </c>
      <c r="L309" s="127"/>
      <c r="M309" s="137"/>
      <c r="N309" s="58" t="str" cm="1">
        <f>IF(ISBLANK($A309),"",INDEX(Array_WaterCharges,MATCH($A309,List_WaterMeters,0),ROUNDUP((COLUMN()+0)/3-1,0)))</f>
        <v/>
      </c>
      <c r="O309" s="127"/>
      <c r="P309" s="137"/>
      <c r="Q309" s="58" t="str" cm="1">
        <f>IF(ISBLANK($A309),"",INDEX(Array_WaterCharges,MATCH($A309,List_WaterMeters,0),ROUNDUP((COLUMN()+0)/3-1,0)))</f>
        <v/>
      </c>
      <c r="R309" s="127"/>
      <c r="S309" s="137"/>
      <c r="T309" s="58" t="str" cm="1">
        <f>IF(ISBLANK($A309),"",INDEX(Array_WaterCharges,MATCH($A309,List_WaterMeters,0),ROUNDUP((COLUMN()+0)/3-1,0)))</f>
        <v/>
      </c>
      <c r="U309" s="127"/>
      <c r="V309" s="137"/>
      <c r="W309" s="58" t="str" cm="1">
        <f>IF(ISBLANK($A309),"",INDEX(Array_WaterCharges,MATCH($A309,List_WaterMeters,0),ROUNDUP((COLUMN()+0)/3-1,0)))</f>
        <v/>
      </c>
      <c r="X309" s="127"/>
      <c r="Y309" s="137"/>
      <c r="Z309" s="58" t="str" cm="1">
        <f>IF(ISBLANK($A309),"",INDEX(Array_WaterCharges,MATCH($A309,List_WaterMeters,0),ROUNDUP((COLUMN()+0)/3-1,0)))</f>
        <v/>
      </c>
      <c r="AA309" s="127"/>
      <c r="AB309" s="137"/>
      <c r="AC309" s="58" t="str" cm="1">
        <f>IF(ISBLANK($A309),"",INDEX(Array_WaterCharges,MATCH($A309,List_WaterMeters,0),ROUNDUP((COLUMN()+0)/3-1,0)))</f>
        <v/>
      </c>
      <c r="AD309" s="127"/>
      <c r="AE309" s="137"/>
      <c r="AF309" s="58" t="str" cm="1">
        <f>IF(ISBLANK($A309),"",INDEX(Array_WaterCharges,MATCH($A309,List_WaterMeters,0),ROUNDUP((COLUMN()+0)/3-1,0)))</f>
        <v/>
      </c>
      <c r="AG309" s="127"/>
      <c r="AH309" s="137"/>
    </row>
    <row r="310" spans="1:34" x14ac:dyDescent="0.3">
      <c r="A310" s="126"/>
      <c r="B310" s="133"/>
      <c r="C310" s="127"/>
      <c r="D310" s="137"/>
      <c r="E310" s="58" t="str" cm="1">
        <f>IF(ISBLANK($A310),"",INDEX(Array_WaterCharges,MATCH($A310,List_WaterMeters,0),ROUNDUP((COLUMN()+0)/3-1,0)))</f>
        <v/>
      </c>
      <c r="F310" s="127"/>
      <c r="G310" s="137"/>
      <c r="H310" s="58" t="str" cm="1">
        <f>IF(ISBLANK($A310),"",INDEX(Array_WaterCharges,MATCH($A310,List_WaterMeters,0),ROUNDUP((COLUMN()+0)/3-1,0)))</f>
        <v/>
      </c>
      <c r="I310" s="127"/>
      <c r="J310" s="137"/>
      <c r="K310" s="58" t="str" cm="1">
        <f>IF(ISBLANK($A310),"",INDEX(Array_WaterCharges,MATCH($A310,List_WaterMeters,0),ROUNDUP((COLUMN()+0)/3-1,0)))</f>
        <v/>
      </c>
      <c r="L310" s="127"/>
      <c r="M310" s="137"/>
      <c r="N310" s="58" t="str" cm="1">
        <f>IF(ISBLANK($A310),"",INDEX(Array_WaterCharges,MATCH($A310,List_WaterMeters,0),ROUNDUP((COLUMN()+0)/3-1,0)))</f>
        <v/>
      </c>
      <c r="O310" s="127"/>
      <c r="P310" s="137"/>
      <c r="Q310" s="58" t="str" cm="1">
        <f>IF(ISBLANK($A310),"",INDEX(Array_WaterCharges,MATCH($A310,List_WaterMeters,0),ROUNDUP((COLUMN()+0)/3-1,0)))</f>
        <v/>
      </c>
      <c r="R310" s="127"/>
      <c r="S310" s="137"/>
      <c r="T310" s="58" t="str" cm="1">
        <f>IF(ISBLANK($A310),"",INDEX(Array_WaterCharges,MATCH($A310,List_WaterMeters,0),ROUNDUP((COLUMN()+0)/3-1,0)))</f>
        <v/>
      </c>
      <c r="U310" s="127"/>
      <c r="V310" s="137"/>
      <c r="W310" s="58" t="str" cm="1">
        <f>IF(ISBLANK($A310),"",INDEX(Array_WaterCharges,MATCH($A310,List_WaterMeters,0),ROUNDUP((COLUMN()+0)/3-1,0)))</f>
        <v/>
      </c>
      <c r="X310" s="127"/>
      <c r="Y310" s="137"/>
      <c r="Z310" s="58" t="str" cm="1">
        <f>IF(ISBLANK($A310),"",INDEX(Array_WaterCharges,MATCH($A310,List_WaterMeters,0),ROUNDUP((COLUMN()+0)/3-1,0)))</f>
        <v/>
      </c>
      <c r="AA310" s="127"/>
      <c r="AB310" s="137"/>
      <c r="AC310" s="58" t="str" cm="1">
        <f>IF(ISBLANK($A310),"",INDEX(Array_WaterCharges,MATCH($A310,List_WaterMeters,0),ROUNDUP((COLUMN()+0)/3-1,0)))</f>
        <v/>
      </c>
      <c r="AD310" s="127"/>
      <c r="AE310" s="137"/>
      <c r="AF310" s="58" t="str" cm="1">
        <f>IF(ISBLANK($A310),"",INDEX(Array_WaterCharges,MATCH($A310,List_WaterMeters,0),ROUNDUP((COLUMN()+0)/3-1,0)))</f>
        <v/>
      </c>
      <c r="AG310" s="127"/>
      <c r="AH310" s="137"/>
    </row>
    <row r="311" spans="1:34" x14ac:dyDescent="0.3">
      <c r="A311" s="126"/>
      <c r="B311" s="133"/>
      <c r="C311" s="127"/>
      <c r="D311" s="137"/>
      <c r="E311" s="58" t="str" cm="1">
        <f>IF(ISBLANK($A311),"",INDEX(Array_WaterCharges,MATCH($A311,List_WaterMeters,0),ROUNDUP((COLUMN()+0)/3-1,0)))</f>
        <v/>
      </c>
      <c r="F311" s="127"/>
      <c r="G311" s="137"/>
      <c r="H311" s="58" t="str" cm="1">
        <f>IF(ISBLANK($A311),"",INDEX(Array_WaterCharges,MATCH($A311,List_WaterMeters,0),ROUNDUP((COLUMN()+0)/3-1,0)))</f>
        <v/>
      </c>
      <c r="I311" s="127"/>
      <c r="J311" s="137"/>
      <c r="K311" s="58" t="str" cm="1">
        <f>IF(ISBLANK($A311),"",INDEX(Array_WaterCharges,MATCH($A311,List_WaterMeters,0),ROUNDUP((COLUMN()+0)/3-1,0)))</f>
        <v/>
      </c>
      <c r="L311" s="127"/>
      <c r="M311" s="137"/>
      <c r="N311" s="58" t="str" cm="1">
        <f>IF(ISBLANK($A311),"",INDEX(Array_WaterCharges,MATCH($A311,List_WaterMeters,0),ROUNDUP((COLUMN()+0)/3-1,0)))</f>
        <v/>
      </c>
      <c r="O311" s="127"/>
      <c r="P311" s="137"/>
      <c r="Q311" s="58" t="str" cm="1">
        <f>IF(ISBLANK($A311),"",INDEX(Array_WaterCharges,MATCH($A311,List_WaterMeters,0),ROUNDUP((COLUMN()+0)/3-1,0)))</f>
        <v/>
      </c>
      <c r="R311" s="127"/>
      <c r="S311" s="137"/>
      <c r="T311" s="58" t="str" cm="1">
        <f>IF(ISBLANK($A311),"",INDEX(Array_WaterCharges,MATCH($A311,List_WaterMeters,0),ROUNDUP((COLUMN()+0)/3-1,0)))</f>
        <v/>
      </c>
      <c r="U311" s="127"/>
      <c r="V311" s="137"/>
      <c r="W311" s="58" t="str" cm="1">
        <f>IF(ISBLANK($A311),"",INDEX(Array_WaterCharges,MATCH($A311,List_WaterMeters,0),ROUNDUP((COLUMN()+0)/3-1,0)))</f>
        <v/>
      </c>
      <c r="X311" s="127"/>
      <c r="Y311" s="137"/>
      <c r="Z311" s="58" t="str" cm="1">
        <f>IF(ISBLANK($A311),"",INDEX(Array_WaterCharges,MATCH($A311,List_WaterMeters,0),ROUNDUP((COLUMN()+0)/3-1,0)))</f>
        <v/>
      </c>
      <c r="AA311" s="127"/>
      <c r="AB311" s="137"/>
      <c r="AC311" s="58" t="str" cm="1">
        <f>IF(ISBLANK($A311),"",INDEX(Array_WaterCharges,MATCH($A311,List_WaterMeters,0),ROUNDUP((COLUMN()+0)/3-1,0)))</f>
        <v/>
      </c>
      <c r="AD311" s="127"/>
      <c r="AE311" s="137"/>
      <c r="AF311" s="58" t="str" cm="1">
        <f>IF(ISBLANK($A311),"",INDEX(Array_WaterCharges,MATCH($A311,List_WaterMeters,0),ROUNDUP((COLUMN()+0)/3-1,0)))</f>
        <v/>
      </c>
      <c r="AG311" s="127"/>
      <c r="AH311" s="137"/>
    </row>
    <row r="312" spans="1:34" x14ac:dyDescent="0.3">
      <c r="A312" s="126"/>
      <c r="B312" s="133"/>
      <c r="C312" s="127"/>
      <c r="D312" s="137"/>
      <c r="E312" s="58" t="str" cm="1">
        <f>IF(ISBLANK($A312),"",INDEX(Array_WaterCharges,MATCH($A312,List_WaterMeters,0),ROUNDUP((COLUMN()+0)/3-1,0)))</f>
        <v/>
      </c>
      <c r="F312" s="127"/>
      <c r="G312" s="137"/>
      <c r="H312" s="58" t="str" cm="1">
        <f>IF(ISBLANK($A312),"",INDEX(Array_WaterCharges,MATCH($A312,List_WaterMeters,0),ROUNDUP((COLUMN()+0)/3-1,0)))</f>
        <v/>
      </c>
      <c r="I312" s="127"/>
      <c r="J312" s="137"/>
      <c r="K312" s="58" t="str" cm="1">
        <f>IF(ISBLANK($A312),"",INDEX(Array_WaterCharges,MATCH($A312,List_WaterMeters,0),ROUNDUP((COLUMN()+0)/3-1,0)))</f>
        <v/>
      </c>
      <c r="L312" s="127"/>
      <c r="M312" s="137"/>
      <c r="N312" s="58" t="str" cm="1">
        <f>IF(ISBLANK($A312),"",INDEX(Array_WaterCharges,MATCH($A312,List_WaterMeters,0),ROUNDUP((COLUMN()+0)/3-1,0)))</f>
        <v/>
      </c>
      <c r="O312" s="127"/>
      <c r="P312" s="137"/>
      <c r="Q312" s="58" t="str" cm="1">
        <f>IF(ISBLANK($A312),"",INDEX(Array_WaterCharges,MATCH($A312,List_WaterMeters,0),ROUNDUP((COLUMN()+0)/3-1,0)))</f>
        <v/>
      </c>
      <c r="R312" s="127"/>
      <c r="S312" s="137"/>
      <c r="T312" s="58" t="str" cm="1">
        <f>IF(ISBLANK($A312),"",INDEX(Array_WaterCharges,MATCH($A312,List_WaterMeters,0),ROUNDUP((COLUMN()+0)/3-1,0)))</f>
        <v/>
      </c>
      <c r="U312" s="127"/>
      <c r="V312" s="137"/>
      <c r="W312" s="58" t="str" cm="1">
        <f>IF(ISBLANK($A312),"",INDEX(Array_WaterCharges,MATCH($A312,List_WaterMeters,0),ROUNDUP((COLUMN()+0)/3-1,0)))</f>
        <v/>
      </c>
      <c r="X312" s="127"/>
      <c r="Y312" s="137"/>
      <c r="Z312" s="58" t="str" cm="1">
        <f>IF(ISBLANK($A312),"",INDEX(Array_WaterCharges,MATCH($A312,List_WaterMeters,0),ROUNDUP((COLUMN()+0)/3-1,0)))</f>
        <v/>
      </c>
      <c r="AA312" s="127"/>
      <c r="AB312" s="137"/>
      <c r="AC312" s="58" t="str" cm="1">
        <f>IF(ISBLANK($A312),"",INDEX(Array_WaterCharges,MATCH($A312,List_WaterMeters,0),ROUNDUP((COLUMN()+0)/3-1,0)))</f>
        <v/>
      </c>
      <c r="AD312" s="127"/>
      <c r="AE312" s="137"/>
      <c r="AF312" s="58" t="str" cm="1">
        <f>IF(ISBLANK($A312),"",INDEX(Array_WaterCharges,MATCH($A312,List_WaterMeters,0),ROUNDUP((COLUMN()+0)/3-1,0)))</f>
        <v/>
      </c>
      <c r="AG312" s="127"/>
      <c r="AH312" s="137"/>
    </row>
    <row r="313" spans="1:34" x14ac:dyDescent="0.3">
      <c r="A313" s="126"/>
      <c r="B313" s="133"/>
      <c r="C313" s="127"/>
      <c r="D313" s="137"/>
      <c r="E313" s="58" t="str" cm="1">
        <f>IF(ISBLANK($A313),"",INDEX(Array_WaterCharges,MATCH($A313,List_WaterMeters,0),ROUNDUP((COLUMN()+0)/3-1,0)))</f>
        <v/>
      </c>
      <c r="F313" s="127"/>
      <c r="G313" s="137"/>
      <c r="H313" s="58" t="str" cm="1">
        <f>IF(ISBLANK($A313),"",INDEX(Array_WaterCharges,MATCH($A313,List_WaterMeters,0),ROUNDUP((COLUMN()+0)/3-1,0)))</f>
        <v/>
      </c>
      <c r="I313" s="127"/>
      <c r="J313" s="137"/>
      <c r="K313" s="58" t="str" cm="1">
        <f>IF(ISBLANK($A313),"",INDEX(Array_WaterCharges,MATCH($A313,List_WaterMeters,0),ROUNDUP((COLUMN()+0)/3-1,0)))</f>
        <v/>
      </c>
      <c r="L313" s="127"/>
      <c r="M313" s="137"/>
      <c r="N313" s="58" t="str" cm="1">
        <f>IF(ISBLANK($A313),"",INDEX(Array_WaterCharges,MATCH($A313,List_WaterMeters,0),ROUNDUP((COLUMN()+0)/3-1,0)))</f>
        <v/>
      </c>
      <c r="O313" s="127"/>
      <c r="P313" s="137"/>
      <c r="Q313" s="58" t="str" cm="1">
        <f>IF(ISBLANK($A313),"",INDEX(Array_WaterCharges,MATCH($A313,List_WaterMeters,0),ROUNDUP((COLUMN()+0)/3-1,0)))</f>
        <v/>
      </c>
      <c r="R313" s="127"/>
      <c r="S313" s="137"/>
      <c r="T313" s="58" t="str" cm="1">
        <f>IF(ISBLANK($A313),"",INDEX(Array_WaterCharges,MATCH($A313,List_WaterMeters,0),ROUNDUP((COLUMN()+0)/3-1,0)))</f>
        <v/>
      </c>
      <c r="U313" s="127"/>
      <c r="V313" s="137"/>
      <c r="W313" s="58" t="str" cm="1">
        <f>IF(ISBLANK($A313),"",INDEX(Array_WaterCharges,MATCH($A313,List_WaterMeters,0),ROUNDUP((COLUMN()+0)/3-1,0)))</f>
        <v/>
      </c>
      <c r="X313" s="127"/>
      <c r="Y313" s="137"/>
      <c r="Z313" s="58" t="str" cm="1">
        <f>IF(ISBLANK($A313),"",INDEX(Array_WaterCharges,MATCH($A313,List_WaterMeters,0),ROUNDUP((COLUMN()+0)/3-1,0)))</f>
        <v/>
      </c>
      <c r="AA313" s="127"/>
      <c r="AB313" s="137"/>
      <c r="AC313" s="58" t="str" cm="1">
        <f>IF(ISBLANK($A313),"",INDEX(Array_WaterCharges,MATCH($A313,List_WaterMeters,0),ROUNDUP((COLUMN()+0)/3-1,0)))</f>
        <v/>
      </c>
      <c r="AD313" s="127"/>
      <c r="AE313" s="137"/>
      <c r="AF313" s="58" t="str" cm="1">
        <f>IF(ISBLANK($A313),"",INDEX(Array_WaterCharges,MATCH($A313,List_WaterMeters,0),ROUNDUP((COLUMN()+0)/3-1,0)))</f>
        <v/>
      </c>
      <c r="AG313" s="127"/>
      <c r="AH313" s="137"/>
    </row>
    <row r="314" spans="1:34" x14ac:dyDescent="0.3">
      <c r="A314" s="126"/>
      <c r="B314" s="133"/>
      <c r="C314" s="127"/>
      <c r="D314" s="137"/>
      <c r="E314" s="58" t="str" cm="1">
        <f>IF(ISBLANK($A314),"",INDEX(Array_WaterCharges,MATCH($A314,List_WaterMeters,0),ROUNDUP((COLUMN()+0)/3-1,0)))</f>
        <v/>
      </c>
      <c r="F314" s="127"/>
      <c r="G314" s="137"/>
      <c r="H314" s="58" t="str" cm="1">
        <f>IF(ISBLANK($A314),"",INDEX(Array_WaterCharges,MATCH($A314,List_WaterMeters,0),ROUNDUP((COLUMN()+0)/3-1,0)))</f>
        <v/>
      </c>
      <c r="I314" s="127"/>
      <c r="J314" s="137"/>
      <c r="K314" s="58" t="str" cm="1">
        <f>IF(ISBLANK($A314),"",INDEX(Array_WaterCharges,MATCH($A314,List_WaterMeters,0),ROUNDUP((COLUMN()+0)/3-1,0)))</f>
        <v/>
      </c>
      <c r="L314" s="127"/>
      <c r="M314" s="137"/>
      <c r="N314" s="58" t="str" cm="1">
        <f>IF(ISBLANK($A314),"",INDEX(Array_WaterCharges,MATCH($A314,List_WaterMeters,0),ROUNDUP((COLUMN()+0)/3-1,0)))</f>
        <v/>
      </c>
      <c r="O314" s="127"/>
      <c r="P314" s="137"/>
      <c r="Q314" s="58" t="str" cm="1">
        <f>IF(ISBLANK($A314),"",INDEX(Array_WaterCharges,MATCH($A314,List_WaterMeters,0),ROUNDUP((COLUMN()+0)/3-1,0)))</f>
        <v/>
      </c>
      <c r="R314" s="127"/>
      <c r="S314" s="137"/>
      <c r="T314" s="58" t="str" cm="1">
        <f>IF(ISBLANK($A314),"",INDEX(Array_WaterCharges,MATCH($A314,List_WaterMeters,0),ROUNDUP((COLUMN()+0)/3-1,0)))</f>
        <v/>
      </c>
      <c r="U314" s="127"/>
      <c r="V314" s="137"/>
      <c r="W314" s="58" t="str" cm="1">
        <f>IF(ISBLANK($A314),"",INDEX(Array_WaterCharges,MATCH($A314,List_WaterMeters,0),ROUNDUP((COLUMN()+0)/3-1,0)))</f>
        <v/>
      </c>
      <c r="X314" s="127"/>
      <c r="Y314" s="137"/>
      <c r="Z314" s="58" t="str" cm="1">
        <f>IF(ISBLANK($A314),"",INDEX(Array_WaterCharges,MATCH($A314,List_WaterMeters,0),ROUNDUP((COLUMN()+0)/3-1,0)))</f>
        <v/>
      </c>
      <c r="AA314" s="127"/>
      <c r="AB314" s="137"/>
      <c r="AC314" s="58" t="str" cm="1">
        <f>IF(ISBLANK($A314),"",INDEX(Array_WaterCharges,MATCH($A314,List_WaterMeters,0),ROUNDUP((COLUMN()+0)/3-1,0)))</f>
        <v/>
      </c>
      <c r="AD314" s="127"/>
      <c r="AE314" s="137"/>
      <c r="AF314" s="58" t="str" cm="1">
        <f>IF(ISBLANK($A314),"",INDEX(Array_WaterCharges,MATCH($A314,List_WaterMeters,0),ROUNDUP((COLUMN()+0)/3-1,0)))</f>
        <v/>
      </c>
      <c r="AG314" s="127"/>
      <c r="AH314" s="137"/>
    </row>
    <row r="315" spans="1:34" x14ac:dyDescent="0.3">
      <c r="A315" s="126"/>
      <c r="B315" s="133"/>
      <c r="C315" s="127"/>
      <c r="D315" s="137"/>
      <c r="E315" s="58" t="str" cm="1">
        <f>IF(ISBLANK($A315),"",INDEX(Array_WaterCharges,MATCH($A315,List_WaterMeters,0),ROUNDUP((COLUMN()+0)/3-1,0)))</f>
        <v/>
      </c>
      <c r="F315" s="127"/>
      <c r="G315" s="137"/>
      <c r="H315" s="58" t="str" cm="1">
        <f>IF(ISBLANK($A315),"",INDEX(Array_WaterCharges,MATCH($A315,List_WaterMeters,0),ROUNDUP((COLUMN()+0)/3-1,0)))</f>
        <v/>
      </c>
      <c r="I315" s="127"/>
      <c r="J315" s="137"/>
      <c r="K315" s="58" t="str" cm="1">
        <f>IF(ISBLANK($A315),"",INDEX(Array_WaterCharges,MATCH($A315,List_WaterMeters,0),ROUNDUP((COLUMN()+0)/3-1,0)))</f>
        <v/>
      </c>
      <c r="L315" s="127"/>
      <c r="M315" s="137"/>
      <c r="N315" s="58" t="str" cm="1">
        <f>IF(ISBLANK($A315),"",INDEX(Array_WaterCharges,MATCH($A315,List_WaterMeters,0),ROUNDUP((COLUMN()+0)/3-1,0)))</f>
        <v/>
      </c>
      <c r="O315" s="127"/>
      <c r="P315" s="137"/>
      <c r="Q315" s="58" t="str" cm="1">
        <f>IF(ISBLANK($A315),"",INDEX(Array_WaterCharges,MATCH($A315,List_WaterMeters,0),ROUNDUP((COLUMN()+0)/3-1,0)))</f>
        <v/>
      </c>
      <c r="R315" s="127"/>
      <c r="S315" s="137"/>
      <c r="T315" s="58" t="str" cm="1">
        <f>IF(ISBLANK($A315),"",INDEX(Array_WaterCharges,MATCH($A315,List_WaterMeters,0),ROUNDUP((COLUMN()+0)/3-1,0)))</f>
        <v/>
      </c>
      <c r="U315" s="127"/>
      <c r="V315" s="137"/>
      <c r="W315" s="58" t="str" cm="1">
        <f>IF(ISBLANK($A315),"",INDEX(Array_WaterCharges,MATCH($A315,List_WaterMeters,0),ROUNDUP((COLUMN()+0)/3-1,0)))</f>
        <v/>
      </c>
      <c r="X315" s="127"/>
      <c r="Y315" s="137"/>
      <c r="Z315" s="58" t="str" cm="1">
        <f>IF(ISBLANK($A315),"",INDEX(Array_WaterCharges,MATCH($A315,List_WaterMeters,0),ROUNDUP((COLUMN()+0)/3-1,0)))</f>
        <v/>
      </c>
      <c r="AA315" s="127"/>
      <c r="AB315" s="137"/>
      <c r="AC315" s="58" t="str" cm="1">
        <f>IF(ISBLANK($A315),"",INDEX(Array_WaterCharges,MATCH($A315,List_WaterMeters,0),ROUNDUP((COLUMN()+0)/3-1,0)))</f>
        <v/>
      </c>
      <c r="AD315" s="127"/>
      <c r="AE315" s="137"/>
      <c r="AF315" s="58" t="str" cm="1">
        <f>IF(ISBLANK($A315),"",INDEX(Array_WaterCharges,MATCH($A315,List_WaterMeters,0),ROUNDUP((COLUMN()+0)/3-1,0)))</f>
        <v/>
      </c>
      <c r="AG315" s="127"/>
      <c r="AH315" s="137"/>
    </row>
    <row r="316" spans="1:34" x14ac:dyDescent="0.3">
      <c r="A316" s="126"/>
      <c r="B316" s="133"/>
      <c r="C316" s="127"/>
      <c r="D316" s="137"/>
      <c r="E316" s="58" t="str" cm="1">
        <f>IF(ISBLANK($A316),"",INDEX(Array_WaterCharges,MATCH($A316,List_WaterMeters,0),ROUNDUP((COLUMN()+0)/3-1,0)))</f>
        <v/>
      </c>
      <c r="F316" s="127"/>
      <c r="G316" s="137"/>
      <c r="H316" s="58" t="str" cm="1">
        <f>IF(ISBLANK($A316),"",INDEX(Array_WaterCharges,MATCH($A316,List_WaterMeters,0),ROUNDUP((COLUMN()+0)/3-1,0)))</f>
        <v/>
      </c>
      <c r="I316" s="127"/>
      <c r="J316" s="137"/>
      <c r="K316" s="58" t="str" cm="1">
        <f>IF(ISBLANK($A316),"",INDEX(Array_WaterCharges,MATCH($A316,List_WaterMeters,0),ROUNDUP((COLUMN()+0)/3-1,0)))</f>
        <v/>
      </c>
      <c r="L316" s="127"/>
      <c r="M316" s="137"/>
      <c r="N316" s="58" t="str" cm="1">
        <f>IF(ISBLANK($A316),"",INDEX(Array_WaterCharges,MATCH($A316,List_WaterMeters,0),ROUNDUP((COLUMN()+0)/3-1,0)))</f>
        <v/>
      </c>
      <c r="O316" s="127"/>
      <c r="P316" s="137"/>
      <c r="Q316" s="58" t="str" cm="1">
        <f>IF(ISBLANK($A316),"",INDEX(Array_WaterCharges,MATCH($A316,List_WaterMeters,0),ROUNDUP((COLUMN()+0)/3-1,0)))</f>
        <v/>
      </c>
      <c r="R316" s="127"/>
      <c r="S316" s="137"/>
      <c r="T316" s="58" t="str" cm="1">
        <f>IF(ISBLANK($A316),"",INDEX(Array_WaterCharges,MATCH($A316,List_WaterMeters,0),ROUNDUP((COLUMN()+0)/3-1,0)))</f>
        <v/>
      </c>
      <c r="U316" s="127"/>
      <c r="V316" s="137"/>
      <c r="W316" s="58" t="str" cm="1">
        <f>IF(ISBLANK($A316),"",INDEX(Array_WaterCharges,MATCH($A316,List_WaterMeters,0),ROUNDUP((COLUMN()+0)/3-1,0)))</f>
        <v/>
      </c>
      <c r="X316" s="127"/>
      <c r="Y316" s="137"/>
      <c r="Z316" s="58" t="str" cm="1">
        <f>IF(ISBLANK($A316),"",INDEX(Array_WaterCharges,MATCH($A316,List_WaterMeters,0),ROUNDUP((COLUMN()+0)/3-1,0)))</f>
        <v/>
      </c>
      <c r="AA316" s="127"/>
      <c r="AB316" s="137"/>
      <c r="AC316" s="58" t="str" cm="1">
        <f>IF(ISBLANK($A316),"",INDEX(Array_WaterCharges,MATCH($A316,List_WaterMeters,0),ROUNDUP((COLUMN()+0)/3-1,0)))</f>
        <v/>
      </c>
      <c r="AD316" s="127"/>
      <c r="AE316" s="137"/>
      <c r="AF316" s="58" t="str" cm="1">
        <f>IF(ISBLANK($A316),"",INDEX(Array_WaterCharges,MATCH($A316,List_WaterMeters,0),ROUNDUP((COLUMN()+0)/3-1,0)))</f>
        <v/>
      </c>
      <c r="AG316" s="127"/>
      <c r="AH316" s="137"/>
    </row>
    <row r="317" spans="1:34" x14ac:dyDescent="0.3">
      <c r="A317" s="126"/>
      <c r="B317" s="133"/>
      <c r="C317" s="127"/>
      <c r="D317" s="137"/>
      <c r="E317" s="58" t="str" cm="1">
        <f>IF(ISBLANK($A317),"",INDEX(Array_WaterCharges,MATCH($A317,List_WaterMeters,0),ROUNDUP((COLUMN()+0)/3-1,0)))</f>
        <v/>
      </c>
      <c r="F317" s="127"/>
      <c r="G317" s="137"/>
      <c r="H317" s="58" t="str" cm="1">
        <f>IF(ISBLANK($A317),"",INDEX(Array_WaterCharges,MATCH($A317,List_WaterMeters,0),ROUNDUP((COLUMN()+0)/3-1,0)))</f>
        <v/>
      </c>
      <c r="I317" s="127"/>
      <c r="J317" s="137"/>
      <c r="K317" s="58" t="str" cm="1">
        <f>IF(ISBLANK($A317),"",INDEX(Array_WaterCharges,MATCH($A317,List_WaterMeters,0),ROUNDUP((COLUMN()+0)/3-1,0)))</f>
        <v/>
      </c>
      <c r="L317" s="127"/>
      <c r="M317" s="137"/>
      <c r="N317" s="58" t="str" cm="1">
        <f>IF(ISBLANK($A317),"",INDEX(Array_WaterCharges,MATCH($A317,List_WaterMeters,0),ROUNDUP((COLUMN()+0)/3-1,0)))</f>
        <v/>
      </c>
      <c r="O317" s="127"/>
      <c r="P317" s="137"/>
      <c r="Q317" s="58" t="str" cm="1">
        <f>IF(ISBLANK($A317),"",INDEX(Array_WaterCharges,MATCH($A317,List_WaterMeters,0),ROUNDUP((COLUMN()+0)/3-1,0)))</f>
        <v/>
      </c>
      <c r="R317" s="127"/>
      <c r="S317" s="137"/>
      <c r="T317" s="58" t="str" cm="1">
        <f>IF(ISBLANK($A317),"",INDEX(Array_WaterCharges,MATCH($A317,List_WaterMeters,0),ROUNDUP((COLUMN()+0)/3-1,0)))</f>
        <v/>
      </c>
      <c r="U317" s="127"/>
      <c r="V317" s="137"/>
      <c r="W317" s="58" t="str" cm="1">
        <f>IF(ISBLANK($A317),"",INDEX(Array_WaterCharges,MATCH($A317,List_WaterMeters,0),ROUNDUP((COLUMN()+0)/3-1,0)))</f>
        <v/>
      </c>
      <c r="X317" s="127"/>
      <c r="Y317" s="137"/>
      <c r="Z317" s="58" t="str" cm="1">
        <f>IF(ISBLANK($A317),"",INDEX(Array_WaterCharges,MATCH($A317,List_WaterMeters,0),ROUNDUP((COLUMN()+0)/3-1,0)))</f>
        <v/>
      </c>
      <c r="AA317" s="127"/>
      <c r="AB317" s="137"/>
      <c r="AC317" s="58" t="str" cm="1">
        <f>IF(ISBLANK($A317),"",INDEX(Array_WaterCharges,MATCH($A317,List_WaterMeters,0),ROUNDUP((COLUMN()+0)/3-1,0)))</f>
        <v/>
      </c>
      <c r="AD317" s="127"/>
      <c r="AE317" s="137"/>
      <c r="AF317" s="58" t="str" cm="1">
        <f>IF(ISBLANK($A317),"",INDEX(Array_WaterCharges,MATCH($A317,List_WaterMeters,0),ROUNDUP((COLUMN()+0)/3-1,0)))</f>
        <v/>
      </c>
      <c r="AG317" s="127"/>
      <c r="AH317" s="137"/>
    </row>
    <row r="318" spans="1:34" x14ac:dyDescent="0.3">
      <c r="A318" s="126"/>
      <c r="B318" s="133"/>
      <c r="C318" s="127"/>
      <c r="D318" s="137"/>
      <c r="E318" s="58" t="str" cm="1">
        <f>IF(ISBLANK($A318),"",INDEX(Array_WaterCharges,MATCH($A318,List_WaterMeters,0),ROUNDUP((COLUMN()+0)/3-1,0)))</f>
        <v/>
      </c>
      <c r="F318" s="127"/>
      <c r="G318" s="137"/>
      <c r="H318" s="58" t="str" cm="1">
        <f>IF(ISBLANK($A318),"",INDEX(Array_WaterCharges,MATCH($A318,List_WaterMeters,0),ROUNDUP((COLUMN()+0)/3-1,0)))</f>
        <v/>
      </c>
      <c r="I318" s="127"/>
      <c r="J318" s="137"/>
      <c r="K318" s="58" t="str" cm="1">
        <f>IF(ISBLANK($A318),"",INDEX(Array_WaterCharges,MATCH($A318,List_WaterMeters,0),ROUNDUP((COLUMN()+0)/3-1,0)))</f>
        <v/>
      </c>
      <c r="L318" s="127"/>
      <c r="M318" s="137"/>
      <c r="N318" s="58" t="str" cm="1">
        <f>IF(ISBLANK($A318),"",INDEX(Array_WaterCharges,MATCH($A318,List_WaterMeters,0),ROUNDUP((COLUMN()+0)/3-1,0)))</f>
        <v/>
      </c>
      <c r="O318" s="127"/>
      <c r="P318" s="137"/>
      <c r="Q318" s="58" t="str" cm="1">
        <f>IF(ISBLANK($A318),"",INDEX(Array_WaterCharges,MATCH($A318,List_WaterMeters,0),ROUNDUP((COLUMN()+0)/3-1,0)))</f>
        <v/>
      </c>
      <c r="R318" s="127"/>
      <c r="S318" s="137"/>
      <c r="T318" s="58" t="str" cm="1">
        <f>IF(ISBLANK($A318),"",INDEX(Array_WaterCharges,MATCH($A318,List_WaterMeters,0),ROUNDUP((COLUMN()+0)/3-1,0)))</f>
        <v/>
      </c>
      <c r="U318" s="127"/>
      <c r="V318" s="137"/>
      <c r="W318" s="58" t="str" cm="1">
        <f>IF(ISBLANK($A318),"",INDEX(Array_WaterCharges,MATCH($A318,List_WaterMeters,0),ROUNDUP((COLUMN()+0)/3-1,0)))</f>
        <v/>
      </c>
      <c r="X318" s="127"/>
      <c r="Y318" s="137"/>
      <c r="Z318" s="58" t="str" cm="1">
        <f>IF(ISBLANK($A318),"",INDEX(Array_WaterCharges,MATCH($A318,List_WaterMeters,0),ROUNDUP((COLUMN()+0)/3-1,0)))</f>
        <v/>
      </c>
      <c r="AA318" s="127"/>
      <c r="AB318" s="137"/>
      <c r="AC318" s="58" t="str" cm="1">
        <f>IF(ISBLANK($A318),"",INDEX(Array_WaterCharges,MATCH($A318,List_WaterMeters,0),ROUNDUP((COLUMN()+0)/3-1,0)))</f>
        <v/>
      </c>
      <c r="AD318" s="127"/>
      <c r="AE318" s="137"/>
      <c r="AF318" s="58" t="str" cm="1">
        <f>IF(ISBLANK($A318),"",INDEX(Array_WaterCharges,MATCH($A318,List_WaterMeters,0),ROUNDUP((COLUMN()+0)/3-1,0)))</f>
        <v/>
      </c>
      <c r="AG318" s="127"/>
      <c r="AH318" s="137"/>
    </row>
    <row r="319" spans="1:34" x14ac:dyDescent="0.3">
      <c r="A319" s="126"/>
      <c r="B319" s="133"/>
      <c r="C319" s="127"/>
      <c r="D319" s="137"/>
      <c r="E319" s="58" t="str" cm="1">
        <f>IF(ISBLANK($A319),"",INDEX(Array_WaterCharges,MATCH($A319,List_WaterMeters,0),ROUNDUP((COLUMN()+0)/3-1,0)))</f>
        <v/>
      </c>
      <c r="F319" s="127"/>
      <c r="G319" s="137"/>
      <c r="H319" s="58" t="str" cm="1">
        <f>IF(ISBLANK($A319),"",INDEX(Array_WaterCharges,MATCH($A319,List_WaterMeters,0),ROUNDUP((COLUMN()+0)/3-1,0)))</f>
        <v/>
      </c>
      <c r="I319" s="127"/>
      <c r="J319" s="137"/>
      <c r="K319" s="58" t="str" cm="1">
        <f>IF(ISBLANK($A319),"",INDEX(Array_WaterCharges,MATCH($A319,List_WaterMeters,0),ROUNDUP((COLUMN()+0)/3-1,0)))</f>
        <v/>
      </c>
      <c r="L319" s="127"/>
      <c r="M319" s="137"/>
      <c r="N319" s="58" t="str" cm="1">
        <f>IF(ISBLANK($A319),"",INDEX(Array_WaterCharges,MATCH($A319,List_WaterMeters,0),ROUNDUP((COLUMN()+0)/3-1,0)))</f>
        <v/>
      </c>
      <c r="O319" s="127"/>
      <c r="P319" s="137"/>
      <c r="Q319" s="58" t="str" cm="1">
        <f>IF(ISBLANK($A319),"",INDEX(Array_WaterCharges,MATCH($A319,List_WaterMeters,0),ROUNDUP((COLUMN()+0)/3-1,0)))</f>
        <v/>
      </c>
      <c r="R319" s="127"/>
      <c r="S319" s="137"/>
      <c r="T319" s="58" t="str" cm="1">
        <f>IF(ISBLANK($A319),"",INDEX(Array_WaterCharges,MATCH($A319,List_WaterMeters,0),ROUNDUP((COLUMN()+0)/3-1,0)))</f>
        <v/>
      </c>
      <c r="U319" s="127"/>
      <c r="V319" s="137"/>
      <c r="W319" s="58" t="str" cm="1">
        <f>IF(ISBLANK($A319),"",INDEX(Array_WaterCharges,MATCH($A319,List_WaterMeters,0),ROUNDUP((COLUMN()+0)/3-1,0)))</f>
        <v/>
      </c>
      <c r="X319" s="127"/>
      <c r="Y319" s="137"/>
      <c r="Z319" s="58" t="str" cm="1">
        <f>IF(ISBLANK($A319),"",INDEX(Array_WaterCharges,MATCH($A319,List_WaterMeters,0),ROUNDUP((COLUMN()+0)/3-1,0)))</f>
        <v/>
      </c>
      <c r="AA319" s="127"/>
      <c r="AB319" s="137"/>
      <c r="AC319" s="58" t="str" cm="1">
        <f>IF(ISBLANK($A319),"",INDEX(Array_WaterCharges,MATCH($A319,List_WaterMeters,0),ROUNDUP((COLUMN()+0)/3-1,0)))</f>
        <v/>
      </c>
      <c r="AD319" s="127"/>
      <c r="AE319" s="137"/>
      <c r="AF319" s="58" t="str" cm="1">
        <f>IF(ISBLANK($A319),"",INDEX(Array_WaterCharges,MATCH($A319,List_WaterMeters,0),ROUNDUP((COLUMN()+0)/3-1,0)))</f>
        <v/>
      </c>
      <c r="AG319" s="127"/>
      <c r="AH319" s="137"/>
    </row>
    <row r="320" spans="1:34" x14ac:dyDescent="0.3">
      <c r="A320" s="126"/>
      <c r="B320" s="133"/>
      <c r="C320" s="127"/>
      <c r="D320" s="137"/>
      <c r="E320" s="58" t="str" cm="1">
        <f>IF(ISBLANK($A320),"",INDEX(Array_WaterCharges,MATCH($A320,List_WaterMeters,0),ROUNDUP((COLUMN()+0)/3-1,0)))</f>
        <v/>
      </c>
      <c r="F320" s="127"/>
      <c r="G320" s="137"/>
      <c r="H320" s="58" t="str" cm="1">
        <f>IF(ISBLANK($A320),"",INDEX(Array_WaterCharges,MATCH($A320,List_WaterMeters,0),ROUNDUP((COLUMN()+0)/3-1,0)))</f>
        <v/>
      </c>
      <c r="I320" s="127"/>
      <c r="J320" s="137"/>
      <c r="K320" s="58" t="str" cm="1">
        <f>IF(ISBLANK($A320),"",INDEX(Array_WaterCharges,MATCH($A320,List_WaterMeters,0),ROUNDUP((COLUMN()+0)/3-1,0)))</f>
        <v/>
      </c>
      <c r="L320" s="127"/>
      <c r="M320" s="137"/>
      <c r="N320" s="58" t="str" cm="1">
        <f>IF(ISBLANK($A320),"",INDEX(Array_WaterCharges,MATCH($A320,List_WaterMeters,0),ROUNDUP((COLUMN()+0)/3-1,0)))</f>
        <v/>
      </c>
      <c r="O320" s="127"/>
      <c r="P320" s="137"/>
      <c r="Q320" s="58" t="str" cm="1">
        <f>IF(ISBLANK($A320),"",INDEX(Array_WaterCharges,MATCH($A320,List_WaterMeters,0),ROUNDUP((COLUMN()+0)/3-1,0)))</f>
        <v/>
      </c>
      <c r="R320" s="127"/>
      <c r="S320" s="137"/>
      <c r="T320" s="58" t="str" cm="1">
        <f>IF(ISBLANK($A320),"",INDEX(Array_WaterCharges,MATCH($A320,List_WaterMeters,0),ROUNDUP((COLUMN()+0)/3-1,0)))</f>
        <v/>
      </c>
      <c r="U320" s="127"/>
      <c r="V320" s="137"/>
      <c r="W320" s="58" t="str" cm="1">
        <f>IF(ISBLANK($A320),"",INDEX(Array_WaterCharges,MATCH($A320,List_WaterMeters,0),ROUNDUP((COLUMN()+0)/3-1,0)))</f>
        <v/>
      </c>
      <c r="X320" s="127"/>
      <c r="Y320" s="137"/>
      <c r="Z320" s="58" t="str" cm="1">
        <f>IF(ISBLANK($A320),"",INDEX(Array_WaterCharges,MATCH($A320,List_WaterMeters,0),ROUNDUP((COLUMN()+0)/3-1,0)))</f>
        <v/>
      </c>
      <c r="AA320" s="127"/>
      <c r="AB320" s="137"/>
      <c r="AC320" s="58" t="str" cm="1">
        <f>IF(ISBLANK($A320),"",INDEX(Array_WaterCharges,MATCH($A320,List_WaterMeters,0),ROUNDUP((COLUMN()+0)/3-1,0)))</f>
        <v/>
      </c>
      <c r="AD320" s="127"/>
      <c r="AE320" s="137"/>
      <c r="AF320" s="58" t="str" cm="1">
        <f>IF(ISBLANK($A320),"",INDEX(Array_WaterCharges,MATCH($A320,List_WaterMeters,0),ROUNDUP((COLUMN()+0)/3-1,0)))</f>
        <v/>
      </c>
      <c r="AG320" s="127"/>
      <c r="AH320" s="137"/>
    </row>
    <row r="321" spans="1:34" x14ac:dyDescent="0.3">
      <c r="A321" s="126"/>
      <c r="B321" s="133"/>
      <c r="C321" s="127"/>
      <c r="D321" s="137"/>
      <c r="E321" s="58" t="str" cm="1">
        <f>IF(ISBLANK($A321),"",INDEX(Array_WaterCharges,MATCH($A321,List_WaterMeters,0),ROUNDUP((COLUMN()+0)/3-1,0)))</f>
        <v/>
      </c>
      <c r="F321" s="127"/>
      <c r="G321" s="137"/>
      <c r="H321" s="58" t="str" cm="1">
        <f>IF(ISBLANK($A321),"",INDEX(Array_WaterCharges,MATCH($A321,List_WaterMeters,0),ROUNDUP((COLUMN()+0)/3-1,0)))</f>
        <v/>
      </c>
      <c r="I321" s="127"/>
      <c r="J321" s="137"/>
      <c r="K321" s="58" t="str" cm="1">
        <f>IF(ISBLANK($A321),"",INDEX(Array_WaterCharges,MATCH($A321,List_WaterMeters,0),ROUNDUP((COLUMN()+0)/3-1,0)))</f>
        <v/>
      </c>
      <c r="L321" s="127"/>
      <c r="M321" s="137"/>
      <c r="N321" s="58" t="str" cm="1">
        <f>IF(ISBLANK($A321),"",INDEX(Array_WaterCharges,MATCH($A321,List_WaterMeters,0),ROUNDUP((COLUMN()+0)/3-1,0)))</f>
        <v/>
      </c>
      <c r="O321" s="127"/>
      <c r="P321" s="137"/>
      <c r="Q321" s="58" t="str" cm="1">
        <f>IF(ISBLANK($A321),"",INDEX(Array_WaterCharges,MATCH($A321,List_WaterMeters,0),ROUNDUP((COLUMN()+0)/3-1,0)))</f>
        <v/>
      </c>
      <c r="R321" s="127"/>
      <c r="S321" s="137"/>
      <c r="T321" s="58" t="str" cm="1">
        <f>IF(ISBLANK($A321),"",INDEX(Array_WaterCharges,MATCH($A321,List_WaterMeters,0),ROUNDUP((COLUMN()+0)/3-1,0)))</f>
        <v/>
      </c>
      <c r="U321" s="127"/>
      <c r="V321" s="137"/>
      <c r="W321" s="58" t="str" cm="1">
        <f>IF(ISBLANK($A321),"",INDEX(Array_WaterCharges,MATCH($A321,List_WaterMeters,0),ROUNDUP((COLUMN()+0)/3-1,0)))</f>
        <v/>
      </c>
      <c r="X321" s="127"/>
      <c r="Y321" s="137"/>
      <c r="Z321" s="58" t="str" cm="1">
        <f>IF(ISBLANK($A321),"",INDEX(Array_WaterCharges,MATCH($A321,List_WaterMeters,0),ROUNDUP((COLUMN()+0)/3-1,0)))</f>
        <v/>
      </c>
      <c r="AA321" s="127"/>
      <c r="AB321" s="137"/>
      <c r="AC321" s="58" t="str" cm="1">
        <f>IF(ISBLANK($A321),"",INDEX(Array_WaterCharges,MATCH($A321,List_WaterMeters,0),ROUNDUP((COLUMN()+0)/3-1,0)))</f>
        <v/>
      </c>
      <c r="AD321" s="127"/>
      <c r="AE321" s="137"/>
      <c r="AF321" s="58" t="str" cm="1">
        <f>IF(ISBLANK($A321),"",INDEX(Array_WaterCharges,MATCH($A321,List_WaterMeters,0),ROUNDUP((COLUMN()+0)/3-1,0)))</f>
        <v/>
      </c>
      <c r="AG321" s="127"/>
      <c r="AH321" s="137"/>
    </row>
    <row r="322" spans="1:34" x14ac:dyDescent="0.3">
      <c r="A322" s="126"/>
      <c r="B322" s="133"/>
      <c r="C322" s="127"/>
      <c r="D322" s="137"/>
      <c r="E322" s="58" t="str" cm="1">
        <f>IF(ISBLANK($A322),"",INDEX(Array_WaterCharges,MATCH($A322,List_WaterMeters,0),ROUNDUP((COLUMN()+0)/3-1,0)))</f>
        <v/>
      </c>
      <c r="F322" s="127"/>
      <c r="G322" s="137"/>
      <c r="H322" s="58" t="str" cm="1">
        <f>IF(ISBLANK($A322),"",INDEX(Array_WaterCharges,MATCH($A322,List_WaterMeters,0),ROUNDUP((COLUMN()+0)/3-1,0)))</f>
        <v/>
      </c>
      <c r="I322" s="127"/>
      <c r="J322" s="137"/>
      <c r="K322" s="58" t="str" cm="1">
        <f>IF(ISBLANK($A322),"",INDEX(Array_WaterCharges,MATCH($A322,List_WaterMeters,0),ROUNDUP((COLUMN()+0)/3-1,0)))</f>
        <v/>
      </c>
      <c r="L322" s="127"/>
      <c r="M322" s="137"/>
      <c r="N322" s="58" t="str" cm="1">
        <f>IF(ISBLANK($A322),"",INDEX(Array_WaterCharges,MATCH($A322,List_WaterMeters,0),ROUNDUP((COLUMN()+0)/3-1,0)))</f>
        <v/>
      </c>
      <c r="O322" s="127"/>
      <c r="P322" s="137"/>
      <c r="Q322" s="58" t="str" cm="1">
        <f>IF(ISBLANK($A322),"",INDEX(Array_WaterCharges,MATCH($A322,List_WaterMeters,0),ROUNDUP((COLUMN()+0)/3-1,0)))</f>
        <v/>
      </c>
      <c r="R322" s="127"/>
      <c r="S322" s="137"/>
      <c r="T322" s="58" t="str" cm="1">
        <f>IF(ISBLANK($A322),"",INDEX(Array_WaterCharges,MATCH($A322,List_WaterMeters,0),ROUNDUP((COLUMN()+0)/3-1,0)))</f>
        <v/>
      </c>
      <c r="U322" s="127"/>
      <c r="V322" s="137"/>
      <c r="W322" s="58" t="str" cm="1">
        <f>IF(ISBLANK($A322),"",INDEX(Array_WaterCharges,MATCH($A322,List_WaterMeters,0),ROUNDUP((COLUMN()+0)/3-1,0)))</f>
        <v/>
      </c>
      <c r="X322" s="127"/>
      <c r="Y322" s="137"/>
      <c r="Z322" s="58" t="str" cm="1">
        <f>IF(ISBLANK($A322),"",INDEX(Array_WaterCharges,MATCH($A322,List_WaterMeters,0),ROUNDUP((COLUMN()+0)/3-1,0)))</f>
        <v/>
      </c>
      <c r="AA322" s="127"/>
      <c r="AB322" s="137"/>
      <c r="AC322" s="58" t="str" cm="1">
        <f>IF(ISBLANK($A322),"",INDEX(Array_WaterCharges,MATCH($A322,List_WaterMeters,0),ROUNDUP((COLUMN()+0)/3-1,0)))</f>
        <v/>
      </c>
      <c r="AD322" s="127"/>
      <c r="AE322" s="137"/>
      <c r="AF322" s="58" t="str" cm="1">
        <f>IF(ISBLANK($A322),"",INDEX(Array_WaterCharges,MATCH($A322,List_WaterMeters,0),ROUNDUP((COLUMN()+0)/3-1,0)))</f>
        <v/>
      </c>
      <c r="AG322" s="127"/>
      <c r="AH322" s="137"/>
    </row>
    <row r="323" spans="1:34" x14ac:dyDescent="0.3">
      <c r="A323" s="126"/>
      <c r="B323" s="133"/>
      <c r="C323" s="127"/>
      <c r="D323" s="137"/>
      <c r="E323" s="58" t="str" cm="1">
        <f>IF(ISBLANK($A323),"",INDEX(Array_WaterCharges,MATCH($A323,List_WaterMeters,0),ROUNDUP((COLUMN()+0)/3-1,0)))</f>
        <v/>
      </c>
      <c r="F323" s="127"/>
      <c r="G323" s="137"/>
      <c r="H323" s="58" t="str" cm="1">
        <f>IF(ISBLANK($A323),"",INDEX(Array_WaterCharges,MATCH($A323,List_WaterMeters,0),ROUNDUP((COLUMN()+0)/3-1,0)))</f>
        <v/>
      </c>
      <c r="I323" s="127"/>
      <c r="J323" s="137"/>
      <c r="K323" s="58" t="str" cm="1">
        <f>IF(ISBLANK($A323),"",INDEX(Array_WaterCharges,MATCH($A323,List_WaterMeters,0),ROUNDUP((COLUMN()+0)/3-1,0)))</f>
        <v/>
      </c>
      <c r="L323" s="127"/>
      <c r="M323" s="137"/>
      <c r="N323" s="58" t="str" cm="1">
        <f>IF(ISBLANK($A323),"",INDEX(Array_WaterCharges,MATCH($A323,List_WaterMeters,0),ROUNDUP((COLUMN()+0)/3-1,0)))</f>
        <v/>
      </c>
      <c r="O323" s="127"/>
      <c r="P323" s="137"/>
      <c r="Q323" s="58" t="str" cm="1">
        <f>IF(ISBLANK($A323),"",INDEX(Array_WaterCharges,MATCH($A323,List_WaterMeters,0),ROUNDUP((COLUMN()+0)/3-1,0)))</f>
        <v/>
      </c>
      <c r="R323" s="127"/>
      <c r="S323" s="137"/>
      <c r="T323" s="58" t="str" cm="1">
        <f>IF(ISBLANK($A323),"",INDEX(Array_WaterCharges,MATCH($A323,List_WaterMeters,0),ROUNDUP((COLUMN()+0)/3-1,0)))</f>
        <v/>
      </c>
      <c r="U323" s="127"/>
      <c r="V323" s="137"/>
      <c r="W323" s="58" t="str" cm="1">
        <f>IF(ISBLANK($A323),"",INDEX(Array_WaterCharges,MATCH($A323,List_WaterMeters,0),ROUNDUP((COLUMN()+0)/3-1,0)))</f>
        <v/>
      </c>
      <c r="X323" s="127"/>
      <c r="Y323" s="137"/>
      <c r="Z323" s="58" t="str" cm="1">
        <f>IF(ISBLANK($A323),"",INDEX(Array_WaterCharges,MATCH($A323,List_WaterMeters,0),ROUNDUP((COLUMN()+0)/3-1,0)))</f>
        <v/>
      </c>
      <c r="AA323" s="127"/>
      <c r="AB323" s="137"/>
      <c r="AC323" s="58" t="str" cm="1">
        <f>IF(ISBLANK($A323),"",INDEX(Array_WaterCharges,MATCH($A323,List_WaterMeters,0),ROUNDUP((COLUMN()+0)/3-1,0)))</f>
        <v/>
      </c>
      <c r="AD323" s="127"/>
      <c r="AE323" s="137"/>
      <c r="AF323" s="58" t="str" cm="1">
        <f>IF(ISBLANK($A323),"",INDEX(Array_WaterCharges,MATCH($A323,List_WaterMeters,0),ROUNDUP((COLUMN()+0)/3-1,0)))</f>
        <v/>
      </c>
      <c r="AG323" s="127"/>
      <c r="AH323" s="137"/>
    </row>
    <row r="324" spans="1:34" x14ac:dyDescent="0.3">
      <c r="A324" s="126"/>
      <c r="B324" s="133"/>
      <c r="C324" s="127"/>
      <c r="D324" s="137"/>
      <c r="E324" s="58" t="str" cm="1">
        <f>IF(ISBLANK($A324),"",INDEX(Array_WaterCharges,MATCH($A324,List_WaterMeters,0),ROUNDUP((COLUMN()+0)/3-1,0)))</f>
        <v/>
      </c>
      <c r="F324" s="127"/>
      <c r="G324" s="137"/>
      <c r="H324" s="58" t="str" cm="1">
        <f>IF(ISBLANK($A324),"",INDEX(Array_WaterCharges,MATCH($A324,List_WaterMeters,0),ROUNDUP((COLUMN()+0)/3-1,0)))</f>
        <v/>
      </c>
      <c r="I324" s="127"/>
      <c r="J324" s="137"/>
      <c r="K324" s="58" t="str" cm="1">
        <f>IF(ISBLANK($A324),"",INDEX(Array_WaterCharges,MATCH($A324,List_WaterMeters,0),ROUNDUP((COLUMN()+0)/3-1,0)))</f>
        <v/>
      </c>
      <c r="L324" s="127"/>
      <c r="M324" s="137"/>
      <c r="N324" s="58" t="str" cm="1">
        <f>IF(ISBLANK($A324),"",INDEX(Array_WaterCharges,MATCH($A324,List_WaterMeters,0),ROUNDUP((COLUMN()+0)/3-1,0)))</f>
        <v/>
      </c>
      <c r="O324" s="127"/>
      <c r="P324" s="137"/>
      <c r="Q324" s="58" t="str" cm="1">
        <f>IF(ISBLANK($A324),"",INDEX(Array_WaterCharges,MATCH($A324,List_WaterMeters,0),ROUNDUP((COLUMN()+0)/3-1,0)))</f>
        <v/>
      </c>
      <c r="R324" s="127"/>
      <c r="S324" s="137"/>
      <c r="T324" s="58" t="str" cm="1">
        <f>IF(ISBLANK($A324),"",INDEX(Array_WaterCharges,MATCH($A324,List_WaterMeters,0),ROUNDUP((COLUMN()+0)/3-1,0)))</f>
        <v/>
      </c>
      <c r="U324" s="127"/>
      <c r="V324" s="137"/>
      <c r="W324" s="58" t="str" cm="1">
        <f>IF(ISBLANK($A324),"",INDEX(Array_WaterCharges,MATCH($A324,List_WaterMeters,0),ROUNDUP((COLUMN()+0)/3-1,0)))</f>
        <v/>
      </c>
      <c r="X324" s="127"/>
      <c r="Y324" s="137"/>
      <c r="Z324" s="58" t="str" cm="1">
        <f>IF(ISBLANK($A324),"",INDEX(Array_WaterCharges,MATCH($A324,List_WaterMeters,0),ROUNDUP((COLUMN()+0)/3-1,0)))</f>
        <v/>
      </c>
      <c r="AA324" s="127"/>
      <c r="AB324" s="137"/>
      <c r="AC324" s="58" t="str" cm="1">
        <f>IF(ISBLANK($A324),"",INDEX(Array_WaterCharges,MATCH($A324,List_WaterMeters,0),ROUNDUP((COLUMN()+0)/3-1,0)))</f>
        <v/>
      </c>
      <c r="AD324" s="127"/>
      <c r="AE324" s="137"/>
      <c r="AF324" s="58" t="str" cm="1">
        <f>IF(ISBLANK($A324),"",INDEX(Array_WaterCharges,MATCH($A324,List_WaterMeters,0),ROUNDUP((COLUMN()+0)/3-1,0)))</f>
        <v/>
      </c>
      <c r="AG324" s="127"/>
      <c r="AH324" s="137"/>
    </row>
    <row r="325" spans="1:34" x14ac:dyDescent="0.3">
      <c r="A325" s="126"/>
      <c r="B325" s="133"/>
      <c r="C325" s="127"/>
      <c r="D325" s="137"/>
      <c r="E325" s="58" t="str" cm="1">
        <f>IF(ISBLANK($A325),"",INDEX(Array_WaterCharges,MATCH($A325,List_WaterMeters,0),ROUNDUP((COLUMN()+0)/3-1,0)))</f>
        <v/>
      </c>
      <c r="F325" s="127"/>
      <c r="G325" s="137"/>
      <c r="H325" s="58" t="str" cm="1">
        <f>IF(ISBLANK($A325),"",INDEX(Array_WaterCharges,MATCH($A325,List_WaterMeters,0),ROUNDUP((COLUMN()+0)/3-1,0)))</f>
        <v/>
      </c>
      <c r="I325" s="127"/>
      <c r="J325" s="137"/>
      <c r="K325" s="58" t="str" cm="1">
        <f>IF(ISBLANK($A325),"",INDEX(Array_WaterCharges,MATCH($A325,List_WaterMeters,0),ROUNDUP((COLUMN()+0)/3-1,0)))</f>
        <v/>
      </c>
      <c r="L325" s="127"/>
      <c r="M325" s="137"/>
      <c r="N325" s="58" t="str" cm="1">
        <f>IF(ISBLANK($A325),"",INDEX(Array_WaterCharges,MATCH($A325,List_WaterMeters,0),ROUNDUP((COLUMN()+0)/3-1,0)))</f>
        <v/>
      </c>
      <c r="O325" s="127"/>
      <c r="P325" s="137"/>
      <c r="Q325" s="58" t="str" cm="1">
        <f>IF(ISBLANK($A325),"",INDEX(Array_WaterCharges,MATCH($A325,List_WaterMeters,0),ROUNDUP((COLUMN()+0)/3-1,0)))</f>
        <v/>
      </c>
      <c r="R325" s="127"/>
      <c r="S325" s="137"/>
      <c r="T325" s="58" t="str" cm="1">
        <f>IF(ISBLANK($A325),"",INDEX(Array_WaterCharges,MATCH($A325,List_WaterMeters,0),ROUNDUP((COLUMN()+0)/3-1,0)))</f>
        <v/>
      </c>
      <c r="U325" s="127"/>
      <c r="V325" s="137"/>
      <c r="W325" s="58" t="str" cm="1">
        <f>IF(ISBLANK($A325),"",INDEX(Array_WaterCharges,MATCH($A325,List_WaterMeters,0),ROUNDUP((COLUMN()+0)/3-1,0)))</f>
        <v/>
      </c>
      <c r="X325" s="127"/>
      <c r="Y325" s="137"/>
      <c r="Z325" s="58" t="str" cm="1">
        <f>IF(ISBLANK($A325),"",INDEX(Array_WaterCharges,MATCH($A325,List_WaterMeters,0),ROUNDUP((COLUMN()+0)/3-1,0)))</f>
        <v/>
      </c>
      <c r="AA325" s="127"/>
      <c r="AB325" s="137"/>
      <c r="AC325" s="58" t="str" cm="1">
        <f>IF(ISBLANK($A325),"",INDEX(Array_WaterCharges,MATCH($A325,List_WaterMeters,0),ROUNDUP((COLUMN()+0)/3-1,0)))</f>
        <v/>
      </c>
      <c r="AD325" s="127"/>
      <c r="AE325" s="137"/>
      <c r="AF325" s="58" t="str" cm="1">
        <f>IF(ISBLANK($A325),"",INDEX(Array_WaterCharges,MATCH($A325,List_WaterMeters,0),ROUNDUP((COLUMN()+0)/3-1,0)))</f>
        <v/>
      </c>
      <c r="AG325" s="127"/>
      <c r="AH325" s="137"/>
    </row>
    <row r="326" spans="1:34" x14ac:dyDescent="0.3">
      <c r="A326" s="126"/>
      <c r="B326" s="133"/>
      <c r="C326" s="127"/>
      <c r="D326" s="137"/>
      <c r="E326" s="58" t="str" cm="1">
        <f>IF(ISBLANK($A326),"",INDEX(Array_WaterCharges,MATCH($A326,List_WaterMeters,0),ROUNDUP((COLUMN()+0)/3-1,0)))</f>
        <v/>
      </c>
      <c r="F326" s="127"/>
      <c r="G326" s="137"/>
      <c r="H326" s="58" t="str" cm="1">
        <f>IF(ISBLANK($A326),"",INDEX(Array_WaterCharges,MATCH($A326,List_WaterMeters,0),ROUNDUP((COLUMN()+0)/3-1,0)))</f>
        <v/>
      </c>
      <c r="I326" s="127"/>
      <c r="J326" s="137"/>
      <c r="K326" s="58" t="str" cm="1">
        <f>IF(ISBLANK($A326),"",INDEX(Array_WaterCharges,MATCH($A326,List_WaterMeters,0),ROUNDUP((COLUMN()+0)/3-1,0)))</f>
        <v/>
      </c>
      <c r="L326" s="127"/>
      <c r="M326" s="137"/>
      <c r="N326" s="58" t="str" cm="1">
        <f>IF(ISBLANK($A326),"",INDEX(Array_WaterCharges,MATCH($A326,List_WaterMeters,0),ROUNDUP((COLUMN()+0)/3-1,0)))</f>
        <v/>
      </c>
      <c r="O326" s="127"/>
      <c r="P326" s="137"/>
      <c r="Q326" s="58" t="str" cm="1">
        <f>IF(ISBLANK($A326),"",INDEX(Array_WaterCharges,MATCH($A326,List_WaterMeters,0),ROUNDUP((COLUMN()+0)/3-1,0)))</f>
        <v/>
      </c>
      <c r="R326" s="127"/>
      <c r="S326" s="137"/>
      <c r="T326" s="58" t="str" cm="1">
        <f>IF(ISBLANK($A326),"",INDEX(Array_WaterCharges,MATCH($A326,List_WaterMeters,0),ROUNDUP((COLUMN()+0)/3-1,0)))</f>
        <v/>
      </c>
      <c r="U326" s="127"/>
      <c r="V326" s="137"/>
      <c r="W326" s="58" t="str" cm="1">
        <f>IF(ISBLANK($A326),"",INDEX(Array_WaterCharges,MATCH($A326,List_WaterMeters,0),ROUNDUP((COLUMN()+0)/3-1,0)))</f>
        <v/>
      </c>
      <c r="X326" s="127"/>
      <c r="Y326" s="137"/>
      <c r="Z326" s="58" t="str" cm="1">
        <f>IF(ISBLANK($A326),"",INDEX(Array_WaterCharges,MATCH($A326,List_WaterMeters,0),ROUNDUP((COLUMN()+0)/3-1,0)))</f>
        <v/>
      </c>
      <c r="AA326" s="127"/>
      <c r="AB326" s="137"/>
      <c r="AC326" s="58" t="str" cm="1">
        <f>IF(ISBLANK($A326),"",INDEX(Array_WaterCharges,MATCH($A326,List_WaterMeters,0),ROUNDUP((COLUMN()+0)/3-1,0)))</f>
        <v/>
      </c>
      <c r="AD326" s="127"/>
      <c r="AE326" s="137"/>
      <c r="AF326" s="58" t="str" cm="1">
        <f>IF(ISBLANK($A326),"",INDEX(Array_WaterCharges,MATCH($A326,List_WaterMeters,0),ROUNDUP((COLUMN()+0)/3-1,0)))</f>
        <v/>
      </c>
      <c r="AG326" s="127"/>
      <c r="AH326" s="137"/>
    </row>
    <row r="327" spans="1:34" x14ac:dyDescent="0.3">
      <c r="A327" s="126"/>
      <c r="B327" s="133"/>
      <c r="C327" s="127"/>
      <c r="D327" s="137"/>
      <c r="E327" s="58" t="str" cm="1">
        <f>IF(ISBLANK($A327),"",INDEX(Array_WaterCharges,MATCH($A327,List_WaterMeters,0),ROUNDUP((COLUMN()+0)/3-1,0)))</f>
        <v/>
      </c>
      <c r="F327" s="127"/>
      <c r="G327" s="137"/>
      <c r="H327" s="58" t="str" cm="1">
        <f>IF(ISBLANK($A327),"",INDEX(Array_WaterCharges,MATCH($A327,List_WaterMeters,0),ROUNDUP((COLUMN()+0)/3-1,0)))</f>
        <v/>
      </c>
      <c r="I327" s="127"/>
      <c r="J327" s="137"/>
      <c r="K327" s="58" t="str" cm="1">
        <f>IF(ISBLANK($A327),"",INDEX(Array_WaterCharges,MATCH($A327,List_WaterMeters,0),ROUNDUP((COLUMN()+0)/3-1,0)))</f>
        <v/>
      </c>
      <c r="L327" s="127"/>
      <c r="M327" s="137"/>
      <c r="N327" s="58" t="str" cm="1">
        <f>IF(ISBLANK($A327),"",INDEX(Array_WaterCharges,MATCH($A327,List_WaterMeters,0),ROUNDUP((COLUMN()+0)/3-1,0)))</f>
        <v/>
      </c>
      <c r="O327" s="127"/>
      <c r="P327" s="137"/>
      <c r="Q327" s="58" t="str" cm="1">
        <f>IF(ISBLANK($A327),"",INDEX(Array_WaterCharges,MATCH($A327,List_WaterMeters,0),ROUNDUP((COLUMN()+0)/3-1,0)))</f>
        <v/>
      </c>
      <c r="R327" s="127"/>
      <c r="S327" s="137"/>
      <c r="T327" s="58" t="str" cm="1">
        <f>IF(ISBLANK($A327),"",INDEX(Array_WaterCharges,MATCH($A327,List_WaterMeters,0),ROUNDUP((COLUMN()+0)/3-1,0)))</f>
        <v/>
      </c>
      <c r="U327" s="127"/>
      <c r="V327" s="137"/>
      <c r="W327" s="58" t="str" cm="1">
        <f>IF(ISBLANK($A327),"",INDEX(Array_WaterCharges,MATCH($A327,List_WaterMeters,0),ROUNDUP((COLUMN()+0)/3-1,0)))</f>
        <v/>
      </c>
      <c r="X327" s="127"/>
      <c r="Y327" s="137"/>
      <c r="Z327" s="58" t="str" cm="1">
        <f>IF(ISBLANK($A327),"",INDEX(Array_WaterCharges,MATCH($A327,List_WaterMeters,0),ROUNDUP((COLUMN()+0)/3-1,0)))</f>
        <v/>
      </c>
      <c r="AA327" s="127"/>
      <c r="AB327" s="137"/>
      <c r="AC327" s="58" t="str" cm="1">
        <f>IF(ISBLANK($A327),"",INDEX(Array_WaterCharges,MATCH($A327,List_WaterMeters,0),ROUNDUP((COLUMN()+0)/3-1,0)))</f>
        <v/>
      </c>
      <c r="AD327" s="127"/>
      <c r="AE327" s="137"/>
      <c r="AF327" s="58" t="str" cm="1">
        <f>IF(ISBLANK($A327),"",INDEX(Array_WaterCharges,MATCH($A327,List_WaterMeters,0),ROUNDUP((COLUMN()+0)/3-1,0)))</f>
        <v/>
      </c>
      <c r="AG327" s="127"/>
      <c r="AH327" s="137"/>
    </row>
    <row r="328" spans="1:34" x14ac:dyDescent="0.3">
      <c r="A328" s="126"/>
      <c r="B328" s="133"/>
      <c r="C328" s="127"/>
      <c r="D328" s="137"/>
      <c r="E328" s="58" t="str" cm="1">
        <f>IF(ISBLANK($A328),"",INDEX(Array_WaterCharges,MATCH($A328,List_WaterMeters,0),ROUNDUP((COLUMN()+0)/3-1,0)))</f>
        <v/>
      </c>
      <c r="F328" s="127"/>
      <c r="G328" s="137"/>
      <c r="H328" s="58" t="str" cm="1">
        <f>IF(ISBLANK($A328),"",INDEX(Array_WaterCharges,MATCH($A328,List_WaterMeters,0),ROUNDUP((COLUMN()+0)/3-1,0)))</f>
        <v/>
      </c>
      <c r="I328" s="127"/>
      <c r="J328" s="137"/>
      <c r="K328" s="58" t="str" cm="1">
        <f>IF(ISBLANK($A328),"",INDEX(Array_WaterCharges,MATCH($A328,List_WaterMeters,0),ROUNDUP((COLUMN()+0)/3-1,0)))</f>
        <v/>
      </c>
      <c r="L328" s="127"/>
      <c r="M328" s="137"/>
      <c r="N328" s="58" t="str" cm="1">
        <f>IF(ISBLANK($A328),"",INDEX(Array_WaterCharges,MATCH($A328,List_WaterMeters,0),ROUNDUP((COLUMN()+0)/3-1,0)))</f>
        <v/>
      </c>
      <c r="O328" s="127"/>
      <c r="P328" s="137"/>
      <c r="Q328" s="58" t="str" cm="1">
        <f>IF(ISBLANK($A328),"",INDEX(Array_WaterCharges,MATCH($A328,List_WaterMeters,0),ROUNDUP((COLUMN()+0)/3-1,0)))</f>
        <v/>
      </c>
      <c r="R328" s="127"/>
      <c r="S328" s="137"/>
      <c r="T328" s="58" t="str" cm="1">
        <f>IF(ISBLANK($A328),"",INDEX(Array_WaterCharges,MATCH($A328,List_WaterMeters,0),ROUNDUP((COLUMN()+0)/3-1,0)))</f>
        <v/>
      </c>
      <c r="U328" s="127"/>
      <c r="V328" s="137"/>
      <c r="W328" s="58" t="str" cm="1">
        <f>IF(ISBLANK($A328),"",INDEX(Array_WaterCharges,MATCH($A328,List_WaterMeters,0),ROUNDUP((COLUMN()+0)/3-1,0)))</f>
        <v/>
      </c>
      <c r="X328" s="127"/>
      <c r="Y328" s="137"/>
      <c r="Z328" s="58" t="str" cm="1">
        <f>IF(ISBLANK($A328),"",INDEX(Array_WaterCharges,MATCH($A328,List_WaterMeters,0),ROUNDUP((COLUMN()+0)/3-1,0)))</f>
        <v/>
      </c>
      <c r="AA328" s="127"/>
      <c r="AB328" s="137"/>
      <c r="AC328" s="58" t="str" cm="1">
        <f>IF(ISBLANK($A328),"",INDEX(Array_WaterCharges,MATCH($A328,List_WaterMeters,0),ROUNDUP((COLUMN()+0)/3-1,0)))</f>
        <v/>
      </c>
      <c r="AD328" s="127"/>
      <c r="AE328" s="137"/>
      <c r="AF328" s="58" t="str" cm="1">
        <f>IF(ISBLANK($A328),"",INDEX(Array_WaterCharges,MATCH($A328,List_WaterMeters,0),ROUNDUP((COLUMN()+0)/3-1,0)))</f>
        <v/>
      </c>
      <c r="AG328" s="127"/>
      <c r="AH328" s="137"/>
    </row>
    <row r="329" spans="1:34" x14ac:dyDescent="0.3">
      <c r="A329" s="126"/>
      <c r="B329" s="133"/>
      <c r="C329" s="127"/>
      <c r="D329" s="137"/>
      <c r="E329" s="58" t="str" cm="1">
        <f>IF(ISBLANK($A329),"",INDEX(Array_WaterCharges,MATCH($A329,List_WaterMeters,0),ROUNDUP((COLUMN()+0)/3-1,0)))</f>
        <v/>
      </c>
      <c r="F329" s="127"/>
      <c r="G329" s="137"/>
      <c r="H329" s="58" t="str" cm="1">
        <f>IF(ISBLANK($A329),"",INDEX(Array_WaterCharges,MATCH($A329,List_WaterMeters,0),ROUNDUP((COLUMN()+0)/3-1,0)))</f>
        <v/>
      </c>
      <c r="I329" s="127"/>
      <c r="J329" s="137"/>
      <c r="K329" s="58" t="str" cm="1">
        <f>IF(ISBLANK($A329),"",INDEX(Array_WaterCharges,MATCH($A329,List_WaterMeters,0),ROUNDUP((COLUMN()+0)/3-1,0)))</f>
        <v/>
      </c>
      <c r="L329" s="127"/>
      <c r="M329" s="137"/>
      <c r="N329" s="58" t="str" cm="1">
        <f>IF(ISBLANK($A329),"",INDEX(Array_WaterCharges,MATCH($A329,List_WaterMeters,0),ROUNDUP((COLUMN()+0)/3-1,0)))</f>
        <v/>
      </c>
      <c r="O329" s="127"/>
      <c r="P329" s="137"/>
      <c r="Q329" s="58" t="str" cm="1">
        <f>IF(ISBLANK($A329),"",INDEX(Array_WaterCharges,MATCH($A329,List_WaterMeters,0),ROUNDUP((COLUMN()+0)/3-1,0)))</f>
        <v/>
      </c>
      <c r="R329" s="127"/>
      <c r="S329" s="137"/>
      <c r="T329" s="58" t="str" cm="1">
        <f>IF(ISBLANK($A329),"",INDEX(Array_WaterCharges,MATCH($A329,List_WaterMeters,0),ROUNDUP((COLUMN()+0)/3-1,0)))</f>
        <v/>
      </c>
      <c r="U329" s="127"/>
      <c r="V329" s="137"/>
      <c r="W329" s="58" t="str" cm="1">
        <f>IF(ISBLANK($A329),"",INDEX(Array_WaterCharges,MATCH($A329,List_WaterMeters,0),ROUNDUP((COLUMN()+0)/3-1,0)))</f>
        <v/>
      </c>
      <c r="X329" s="127"/>
      <c r="Y329" s="137"/>
      <c r="Z329" s="58" t="str" cm="1">
        <f>IF(ISBLANK($A329),"",INDEX(Array_WaterCharges,MATCH($A329,List_WaterMeters,0),ROUNDUP((COLUMN()+0)/3-1,0)))</f>
        <v/>
      </c>
      <c r="AA329" s="127"/>
      <c r="AB329" s="137"/>
      <c r="AC329" s="58" t="str" cm="1">
        <f>IF(ISBLANK($A329),"",INDEX(Array_WaterCharges,MATCH($A329,List_WaterMeters,0),ROUNDUP((COLUMN()+0)/3-1,0)))</f>
        <v/>
      </c>
      <c r="AD329" s="127"/>
      <c r="AE329" s="137"/>
      <c r="AF329" s="58" t="str" cm="1">
        <f>IF(ISBLANK($A329),"",INDEX(Array_WaterCharges,MATCH($A329,List_WaterMeters,0),ROUNDUP((COLUMN()+0)/3-1,0)))</f>
        <v/>
      </c>
      <c r="AG329" s="127"/>
      <c r="AH329" s="137"/>
    </row>
    <row r="330" spans="1:34" x14ac:dyDescent="0.3">
      <c r="A330" s="126"/>
      <c r="B330" s="133"/>
      <c r="C330" s="127"/>
      <c r="D330" s="137"/>
      <c r="E330" s="58" t="str" cm="1">
        <f>IF(ISBLANK($A330),"",INDEX(Array_WaterCharges,MATCH($A330,List_WaterMeters,0),ROUNDUP((COLUMN()+0)/3-1,0)))</f>
        <v/>
      </c>
      <c r="F330" s="127"/>
      <c r="G330" s="137"/>
      <c r="H330" s="58" t="str" cm="1">
        <f>IF(ISBLANK($A330),"",INDEX(Array_WaterCharges,MATCH($A330,List_WaterMeters,0),ROUNDUP((COLUMN()+0)/3-1,0)))</f>
        <v/>
      </c>
      <c r="I330" s="127"/>
      <c r="J330" s="137"/>
      <c r="K330" s="58" t="str" cm="1">
        <f>IF(ISBLANK($A330),"",INDEX(Array_WaterCharges,MATCH($A330,List_WaterMeters,0),ROUNDUP((COLUMN()+0)/3-1,0)))</f>
        <v/>
      </c>
      <c r="L330" s="127"/>
      <c r="M330" s="137"/>
      <c r="N330" s="58" t="str" cm="1">
        <f>IF(ISBLANK($A330),"",INDEX(Array_WaterCharges,MATCH($A330,List_WaterMeters,0),ROUNDUP((COLUMN()+0)/3-1,0)))</f>
        <v/>
      </c>
      <c r="O330" s="127"/>
      <c r="P330" s="137"/>
      <c r="Q330" s="58" t="str" cm="1">
        <f>IF(ISBLANK($A330),"",INDEX(Array_WaterCharges,MATCH($A330,List_WaterMeters,0),ROUNDUP((COLUMN()+0)/3-1,0)))</f>
        <v/>
      </c>
      <c r="R330" s="127"/>
      <c r="S330" s="137"/>
      <c r="T330" s="58" t="str" cm="1">
        <f>IF(ISBLANK($A330),"",INDEX(Array_WaterCharges,MATCH($A330,List_WaterMeters,0),ROUNDUP((COLUMN()+0)/3-1,0)))</f>
        <v/>
      </c>
      <c r="U330" s="127"/>
      <c r="V330" s="137"/>
      <c r="W330" s="58" t="str" cm="1">
        <f>IF(ISBLANK($A330),"",INDEX(Array_WaterCharges,MATCH($A330,List_WaterMeters,0),ROUNDUP((COLUMN()+0)/3-1,0)))</f>
        <v/>
      </c>
      <c r="X330" s="127"/>
      <c r="Y330" s="137"/>
      <c r="Z330" s="58" t="str" cm="1">
        <f>IF(ISBLANK($A330),"",INDEX(Array_WaterCharges,MATCH($A330,List_WaterMeters,0),ROUNDUP((COLUMN()+0)/3-1,0)))</f>
        <v/>
      </c>
      <c r="AA330" s="127"/>
      <c r="AB330" s="137"/>
      <c r="AC330" s="58" t="str" cm="1">
        <f>IF(ISBLANK($A330),"",INDEX(Array_WaterCharges,MATCH($A330,List_WaterMeters,0),ROUNDUP((COLUMN()+0)/3-1,0)))</f>
        <v/>
      </c>
      <c r="AD330" s="127"/>
      <c r="AE330" s="137"/>
      <c r="AF330" s="58" t="str" cm="1">
        <f>IF(ISBLANK($A330),"",INDEX(Array_WaterCharges,MATCH($A330,List_WaterMeters,0),ROUNDUP((COLUMN()+0)/3-1,0)))</f>
        <v/>
      </c>
      <c r="AG330" s="127"/>
      <c r="AH330" s="137"/>
    </row>
    <row r="331" spans="1:34" x14ac:dyDescent="0.3">
      <c r="A331" s="126"/>
      <c r="B331" s="133"/>
      <c r="C331" s="127"/>
      <c r="D331" s="137"/>
      <c r="E331" s="58" t="str" cm="1">
        <f>IF(ISBLANK($A331),"",INDEX(Array_WaterCharges,MATCH($A331,List_WaterMeters,0),ROUNDUP((COLUMN()+0)/3-1,0)))</f>
        <v/>
      </c>
      <c r="F331" s="127"/>
      <c r="G331" s="137"/>
      <c r="H331" s="58" t="str" cm="1">
        <f>IF(ISBLANK($A331),"",INDEX(Array_WaterCharges,MATCH($A331,List_WaterMeters,0),ROUNDUP((COLUMN()+0)/3-1,0)))</f>
        <v/>
      </c>
      <c r="I331" s="127"/>
      <c r="J331" s="137"/>
      <c r="K331" s="58" t="str" cm="1">
        <f>IF(ISBLANK($A331),"",INDEX(Array_WaterCharges,MATCH($A331,List_WaterMeters,0),ROUNDUP((COLUMN()+0)/3-1,0)))</f>
        <v/>
      </c>
      <c r="L331" s="127"/>
      <c r="M331" s="137"/>
      <c r="N331" s="58" t="str" cm="1">
        <f>IF(ISBLANK($A331),"",INDEX(Array_WaterCharges,MATCH($A331,List_WaterMeters,0),ROUNDUP((COLUMN()+0)/3-1,0)))</f>
        <v/>
      </c>
      <c r="O331" s="127"/>
      <c r="P331" s="137"/>
      <c r="Q331" s="58" t="str" cm="1">
        <f>IF(ISBLANK($A331),"",INDEX(Array_WaterCharges,MATCH($A331,List_WaterMeters,0),ROUNDUP((COLUMN()+0)/3-1,0)))</f>
        <v/>
      </c>
      <c r="R331" s="127"/>
      <c r="S331" s="137"/>
      <c r="T331" s="58" t="str" cm="1">
        <f>IF(ISBLANK($A331),"",INDEX(Array_WaterCharges,MATCH($A331,List_WaterMeters,0),ROUNDUP((COLUMN()+0)/3-1,0)))</f>
        <v/>
      </c>
      <c r="U331" s="127"/>
      <c r="V331" s="137"/>
      <c r="W331" s="58" t="str" cm="1">
        <f>IF(ISBLANK($A331),"",INDEX(Array_WaterCharges,MATCH($A331,List_WaterMeters,0),ROUNDUP((COLUMN()+0)/3-1,0)))</f>
        <v/>
      </c>
      <c r="X331" s="127"/>
      <c r="Y331" s="137"/>
      <c r="Z331" s="58" t="str" cm="1">
        <f>IF(ISBLANK($A331),"",INDEX(Array_WaterCharges,MATCH($A331,List_WaterMeters,0),ROUNDUP((COLUMN()+0)/3-1,0)))</f>
        <v/>
      </c>
      <c r="AA331" s="127"/>
      <c r="AB331" s="137"/>
      <c r="AC331" s="58" t="str" cm="1">
        <f>IF(ISBLANK($A331),"",INDEX(Array_WaterCharges,MATCH($A331,List_WaterMeters,0),ROUNDUP((COLUMN()+0)/3-1,0)))</f>
        <v/>
      </c>
      <c r="AD331" s="127"/>
      <c r="AE331" s="137"/>
      <c r="AF331" s="58" t="str" cm="1">
        <f>IF(ISBLANK($A331),"",INDEX(Array_WaterCharges,MATCH($A331,List_WaterMeters,0),ROUNDUP((COLUMN()+0)/3-1,0)))</f>
        <v/>
      </c>
      <c r="AG331" s="127"/>
      <c r="AH331" s="137"/>
    </row>
    <row r="332" spans="1:34" x14ac:dyDescent="0.3">
      <c r="A332" s="126"/>
      <c r="B332" s="133"/>
      <c r="C332" s="127"/>
      <c r="D332" s="137"/>
      <c r="E332" s="58" t="str" cm="1">
        <f>IF(ISBLANK($A332),"",INDEX(Array_WaterCharges,MATCH($A332,List_WaterMeters,0),ROUNDUP((COLUMN()+0)/3-1,0)))</f>
        <v/>
      </c>
      <c r="F332" s="127"/>
      <c r="G332" s="137"/>
      <c r="H332" s="58" t="str" cm="1">
        <f>IF(ISBLANK($A332),"",INDEX(Array_WaterCharges,MATCH($A332,List_WaterMeters,0),ROUNDUP((COLUMN()+0)/3-1,0)))</f>
        <v/>
      </c>
      <c r="I332" s="127"/>
      <c r="J332" s="137"/>
      <c r="K332" s="58" t="str" cm="1">
        <f>IF(ISBLANK($A332),"",INDEX(Array_WaterCharges,MATCH($A332,List_WaterMeters,0),ROUNDUP((COLUMN()+0)/3-1,0)))</f>
        <v/>
      </c>
      <c r="L332" s="127"/>
      <c r="M332" s="137"/>
      <c r="N332" s="58" t="str" cm="1">
        <f>IF(ISBLANK($A332),"",INDEX(Array_WaterCharges,MATCH($A332,List_WaterMeters,0),ROUNDUP((COLUMN()+0)/3-1,0)))</f>
        <v/>
      </c>
      <c r="O332" s="127"/>
      <c r="P332" s="137"/>
      <c r="Q332" s="58" t="str" cm="1">
        <f>IF(ISBLANK($A332),"",INDEX(Array_WaterCharges,MATCH($A332,List_WaterMeters,0),ROUNDUP((COLUMN()+0)/3-1,0)))</f>
        <v/>
      </c>
      <c r="R332" s="127"/>
      <c r="S332" s="137"/>
      <c r="T332" s="58" t="str" cm="1">
        <f>IF(ISBLANK($A332),"",INDEX(Array_WaterCharges,MATCH($A332,List_WaterMeters,0),ROUNDUP((COLUMN()+0)/3-1,0)))</f>
        <v/>
      </c>
      <c r="U332" s="127"/>
      <c r="V332" s="137"/>
      <c r="W332" s="58" t="str" cm="1">
        <f>IF(ISBLANK($A332),"",INDEX(Array_WaterCharges,MATCH($A332,List_WaterMeters,0),ROUNDUP((COLUMN()+0)/3-1,0)))</f>
        <v/>
      </c>
      <c r="X332" s="127"/>
      <c r="Y332" s="137"/>
      <c r="Z332" s="58" t="str" cm="1">
        <f>IF(ISBLANK($A332),"",INDEX(Array_WaterCharges,MATCH($A332,List_WaterMeters,0),ROUNDUP((COLUMN()+0)/3-1,0)))</f>
        <v/>
      </c>
      <c r="AA332" s="127"/>
      <c r="AB332" s="137"/>
      <c r="AC332" s="58" t="str" cm="1">
        <f>IF(ISBLANK($A332),"",INDEX(Array_WaterCharges,MATCH($A332,List_WaterMeters,0),ROUNDUP((COLUMN()+0)/3-1,0)))</f>
        <v/>
      </c>
      <c r="AD332" s="127"/>
      <c r="AE332" s="137"/>
      <c r="AF332" s="58" t="str" cm="1">
        <f>IF(ISBLANK($A332),"",INDEX(Array_WaterCharges,MATCH($A332,List_WaterMeters,0),ROUNDUP((COLUMN()+0)/3-1,0)))</f>
        <v/>
      </c>
      <c r="AG332" s="127"/>
      <c r="AH332" s="137"/>
    </row>
    <row r="333" spans="1:34" x14ac:dyDescent="0.3">
      <c r="A333" s="126"/>
      <c r="B333" s="133"/>
      <c r="C333" s="127"/>
      <c r="D333" s="137"/>
      <c r="E333" s="58" t="str" cm="1">
        <f>IF(ISBLANK($A333),"",INDEX(Array_WaterCharges,MATCH($A333,List_WaterMeters,0),ROUNDUP((COLUMN()+0)/3-1,0)))</f>
        <v/>
      </c>
      <c r="F333" s="127"/>
      <c r="G333" s="137"/>
      <c r="H333" s="58" t="str" cm="1">
        <f>IF(ISBLANK($A333),"",INDEX(Array_WaterCharges,MATCH($A333,List_WaterMeters,0),ROUNDUP((COLUMN()+0)/3-1,0)))</f>
        <v/>
      </c>
      <c r="I333" s="127"/>
      <c r="J333" s="137"/>
      <c r="K333" s="58" t="str" cm="1">
        <f>IF(ISBLANK($A333),"",INDEX(Array_WaterCharges,MATCH($A333,List_WaterMeters,0),ROUNDUP((COLUMN()+0)/3-1,0)))</f>
        <v/>
      </c>
      <c r="L333" s="127"/>
      <c r="M333" s="137"/>
      <c r="N333" s="58" t="str" cm="1">
        <f>IF(ISBLANK($A333),"",INDEX(Array_WaterCharges,MATCH($A333,List_WaterMeters,0),ROUNDUP((COLUMN()+0)/3-1,0)))</f>
        <v/>
      </c>
      <c r="O333" s="127"/>
      <c r="P333" s="137"/>
      <c r="Q333" s="58" t="str" cm="1">
        <f>IF(ISBLANK($A333),"",INDEX(Array_WaterCharges,MATCH($A333,List_WaterMeters,0),ROUNDUP((COLUMN()+0)/3-1,0)))</f>
        <v/>
      </c>
      <c r="R333" s="127"/>
      <c r="S333" s="137"/>
      <c r="T333" s="58" t="str" cm="1">
        <f>IF(ISBLANK($A333),"",INDEX(Array_WaterCharges,MATCH($A333,List_WaterMeters,0),ROUNDUP((COLUMN()+0)/3-1,0)))</f>
        <v/>
      </c>
      <c r="U333" s="127"/>
      <c r="V333" s="137"/>
      <c r="W333" s="58" t="str" cm="1">
        <f>IF(ISBLANK($A333),"",INDEX(Array_WaterCharges,MATCH($A333,List_WaterMeters,0),ROUNDUP((COLUMN()+0)/3-1,0)))</f>
        <v/>
      </c>
      <c r="X333" s="127"/>
      <c r="Y333" s="137"/>
      <c r="Z333" s="58" t="str" cm="1">
        <f>IF(ISBLANK($A333),"",INDEX(Array_WaterCharges,MATCH($A333,List_WaterMeters,0),ROUNDUP((COLUMN()+0)/3-1,0)))</f>
        <v/>
      </c>
      <c r="AA333" s="127"/>
      <c r="AB333" s="137"/>
      <c r="AC333" s="58" t="str" cm="1">
        <f>IF(ISBLANK($A333),"",INDEX(Array_WaterCharges,MATCH($A333,List_WaterMeters,0),ROUNDUP((COLUMN()+0)/3-1,0)))</f>
        <v/>
      </c>
      <c r="AD333" s="127"/>
      <c r="AE333" s="137"/>
      <c r="AF333" s="58" t="str" cm="1">
        <f>IF(ISBLANK($A333),"",INDEX(Array_WaterCharges,MATCH($A333,List_WaterMeters,0),ROUNDUP((COLUMN()+0)/3-1,0)))</f>
        <v/>
      </c>
      <c r="AG333" s="127"/>
      <c r="AH333" s="137"/>
    </row>
    <row r="334" spans="1:34" x14ac:dyDescent="0.3">
      <c r="A334" s="126"/>
      <c r="B334" s="133"/>
      <c r="C334" s="127"/>
      <c r="D334" s="137"/>
      <c r="E334" s="58" t="str" cm="1">
        <f>IF(ISBLANK($A334),"",INDEX(Array_WaterCharges,MATCH($A334,List_WaterMeters,0),ROUNDUP((COLUMN()+0)/3-1,0)))</f>
        <v/>
      </c>
      <c r="F334" s="127"/>
      <c r="G334" s="137"/>
      <c r="H334" s="58" t="str" cm="1">
        <f>IF(ISBLANK($A334),"",INDEX(Array_WaterCharges,MATCH($A334,List_WaterMeters,0),ROUNDUP((COLUMN()+0)/3-1,0)))</f>
        <v/>
      </c>
      <c r="I334" s="127"/>
      <c r="J334" s="137"/>
      <c r="K334" s="58" t="str" cm="1">
        <f>IF(ISBLANK($A334),"",INDEX(Array_WaterCharges,MATCH($A334,List_WaterMeters,0),ROUNDUP((COLUMN()+0)/3-1,0)))</f>
        <v/>
      </c>
      <c r="L334" s="127"/>
      <c r="M334" s="137"/>
      <c r="N334" s="58" t="str" cm="1">
        <f>IF(ISBLANK($A334),"",INDEX(Array_WaterCharges,MATCH($A334,List_WaterMeters,0),ROUNDUP((COLUMN()+0)/3-1,0)))</f>
        <v/>
      </c>
      <c r="O334" s="127"/>
      <c r="P334" s="137"/>
      <c r="Q334" s="58" t="str" cm="1">
        <f>IF(ISBLANK($A334),"",INDEX(Array_WaterCharges,MATCH($A334,List_WaterMeters,0),ROUNDUP((COLUMN()+0)/3-1,0)))</f>
        <v/>
      </c>
      <c r="R334" s="127"/>
      <c r="S334" s="137"/>
      <c r="T334" s="58" t="str" cm="1">
        <f>IF(ISBLANK($A334),"",INDEX(Array_WaterCharges,MATCH($A334,List_WaterMeters,0),ROUNDUP((COLUMN()+0)/3-1,0)))</f>
        <v/>
      </c>
      <c r="U334" s="127"/>
      <c r="V334" s="137"/>
      <c r="W334" s="58" t="str" cm="1">
        <f>IF(ISBLANK($A334),"",INDEX(Array_WaterCharges,MATCH($A334,List_WaterMeters,0),ROUNDUP((COLUMN()+0)/3-1,0)))</f>
        <v/>
      </c>
      <c r="X334" s="127"/>
      <c r="Y334" s="137"/>
      <c r="Z334" s="58" t="str" cm="1">
        <f>IF(ISBLANK($A334),"",INDEX(Array_WaterCharges,MATCH($A334,List_WaterMeters,0),ROUNDUP((COLUMN()+0)/3-1,0)))</f>
        <v/>
      </c>
      <c r="AA334" s="127"/>
      <c r="AB334" s="137"/>
      <c r="AC334" s="58" t="str" cm="1">
        <f>IF(ISBLANK($A334),"",INDEX(Array_WaterCharges,MATCH($A334,List_WaterMeters,0),ROUNDUP((COLUMN()+0)/3-1,0)))</f>
        <v/>
      </c>
      <c r="AD334" s="127"/>
      <c r="AE334" s="137"/>
      <c r="AF334" s="58" t="str" cm="1">
        <f>IF(ISBLANK($A334),"",INDEX(Array_WaterCharges,MATCH($A334,List_WaterMeters,0),ROUNDUP((COLUMN()+0)/3-1,0)))</f>
        <v/>
      </c>
      <c r="AG334" s="127"/>
      <c r="AH334" s="137"/>
    </row>
    <row r="335" spans="1:34" x14ac:dyDescent="0.3">
      <c r="A335" s="126"/>
      <c r="B335" s="133"/>
      <c r="C335" s="127"/>
      <c r="D335" s="137"/>
      <c r="E335" s="58" t="str" cm="1">
        <f>IF(ISBLANK($A335),"",INDEX(Array_WaterCharges,MATCH($A335,List_WaterMeters,0),ROUNDUP((COLUMN()+0)/3-1,0)))</f>
        <v/>
      </c>
      <c r="F335" s="127"/>
      <c r="G335" s="137"/>
      <c r="H335" s="58" t="str" cm="1">
        <f>IF(ISBLANK($A335),"",INDEX(Array_WaterCharges,MATCH($A335,List_WaterMeters,0),ROUNDUP((COLUMN()+0)/3-1,0)))</f>
        <v/>
      </c>
      <c r="I335" s="127"/>
      <c r="J335" s="137"/>
      <c r="K335" s="58" t="str" cm="1">
        <f>IF(ISBLANK($A335),"",INDEX(Array_WaterCharges,MATCH($A335,List_WaterMeters,0),ROUNDUP((COLUMN()+0)/3-1,0)))</f>
        <v/>
      </c>
      <c r="L335" s="127"/>
      <c r="M335" s="137"/>
      <c r="N335" s="58" t="str" cm="1">
        <f>IF(ISBLANK($A335),"",INDEX(Array_WaterCharges,MATCH($A335,List_WaterMeters,0),ROUNDUP((COLUMN()+0)/3-1,0)))</f>
        <v/>
      </c>
      <c r="O335" s="127"/>
      <c r="P335" s="137"/>
      <c r="Q335" s="58" t="str" cm="1">
        <f>IF(ISBLANK($A335),"",INDEX(Array_WaterCharges,MATCH($A335,List_WaterMeters,0),ROUNDUP((COLUMN()+0)/3-1,0)))</f>
        <v/>
      </c>
      <c r="R335" s="127"/>
      <c r="S335" s="137"/>
      <c r="T335" s="58" t="str" cm="1">
        <f>IF(ISBLANK($A335),"",INDEX(Array_WaterCharges,MATCH($A335,List_WaterMeters,0),ROUNDUP((COLUMN()+0)/3-1,0)))</f>
        <v/>
      </c>
      <c r="U335" s="127"/>
      <c r="V335" s="137"/>
      <c r="W335" s="58" t="str" cm="1">
        <f>IF(ISBLANK($A335),"",INDEX(Array_WaterCharges,MATCH($A335,List_WaterMeters,0),ROUNDUP((COLUMN()+0)/3-1,0)))</f>
        <v/>
      </c>
      <c r="X335" s="127"/>
      <c r="Y335" s="137"/>
      <c r="Z335" s="58" t="str" cm="1">
        <f>IF(ISBLANK($A335),"",INDEX(Array_WaterCharges,MATCH($A335,List_WaterMeters,0),ROUNDUP((COLUMN()+0)/3-1,0)))</f>
        <v/>
      </c>
      <c r="AA335" s="127"/>
      <c r="AB335" s="137"/>
      <c r="AC335" s="58" t="str" cm="1">
        <f>IF(ISBLANK($A335),"",INDEX(Array_WaterCharges,MATCH($A335,List_WaterMeters,0),ROUNDUP((COLUMN()+0)/3-1,0)))</f>
        <v/>
      </c>
      <c r="AD335" s="127"/>
      <c r="AE335" s="137"/>
      <c r="AF335" s="58" t="str" cm="1">
        <f>IF(ISBLANK($A335),"",INDEX(Array_WaterCharges,MATCH($A335,List_WaterMeters,0),ROUNDUP((COLUMN()+0)/3-1,0)))</f>
        <v/>
      </c>
      <c r="AG335" s="127"/>
      <c r="AH335" s="137"/>
    </row>
    <row r="336" spans="1:34" x14ac:dyDescent="0.3">
      <c r="A336" s="126"/>
      <c r="B336" s="133"/>
      <c r="C336" s="127"/>
      <c r="D336" s="137"/>
      <c r="E336" s="58" t="str" cm="1">
        <f>IF(ISBLANK($A336),"",INDEX(Array_WaterCharges,MATCH($A336,List_WaterMeters,0),ROUNDUP((COLUMN()+0)/3-1,0)))</f>
        <v/>
      </c>
      <c r="F336" s="127"/>
      <c r="G336" s="137"/>
      <c r="H336" s="58" t="str" cm="1">
        <f>IF(ISBLANK($A336),"",INDEX(Array_WaterCharges,MATCH($A336,List_WaterMeters,0),ROUNDUP((COLUMN()+0)/3-1,0)))</f>
        <v/>
      </c>
      <c r="I336" s="127"/>
      <c r="J336" s="137"/>
      <c r="K336" s="58" t="str" cm="1">
        <f>IF(ISBLANK($A336),"",INDEX(Array_WaterCharges,MATCH($A336,List_WaterMeters,0),ROUNDUP((COLUMN()+0)/3-1,0)))</f>
        <v/>
      </c>
      <c r="L336" s="127"/>
      <c r="M336" s="137"/>
      <c r="N336" s="58" t="str" cm="1">
        <f>IF(ISBLANK($A336),"",INDEX(Array_WaterCharges,MATCH($A336,List_WaterMeters,0),ROUNDUP((COLUMN()+0)/3-1,0)))</f>
        <v/>
      </c>
      <c r="O336" s="127"/>
      <c r="P336" s="137"/>
      <c r="Q336" s="58" t="str" cm="1">
        <f>IF(ISBLANK($A336),"",INDEX(Array_WaterCharges,MATCH($A336,List_WaterMeters,0),ROUNDUP((COLUMN()+0)/3-1,0)))</f>
        <v/>
      </c>
      <c r="R336" s="127"/>
      <c r="S336" s="137"/>
      <c r="T336" s="58" t="str" cm="1">
        <f>IF(ISBLANK($A336),"",INDEX(Array_WaterCharges,MATCH($A336,List_WaterMeters,0),ROUNDUP((COLUMN()+0)/3-1,0)))</f>
        <v/>
      </c>
      <c r="U336" s="127"/>
      <c r="V336" s="137"/>
      <c r="W336" s="58" t="str" cm="1">
        <f>IF(ISBLANK($A336),"",INDEX(Array_WaterCharges,MATCH($A336,List_WaterMeters,0),ROUNDUP((COLUMN()+0)/3-1,0)))</f>
        <v/>
      </c>
      <c r="X336" s="127"/>
      <c r="Y336" s="137"/>
      <c r="Z336" s="58" t="str" cm="1">
        <f>IF(ISBLANK($A336),"",INDEX(Array_WaterCharges,MATCH($A336,List_WaterMeters,0),ROUNDUP((COLUMN()+0)/3-1,0)))</f>
        <v/>
      </c>
      <c r="AA336" s="127"/>
      <c r="AB336" s="137"/>
      <c r="AC336" s="58" t="str" cm="1">
        <f>IF(ISBLANK($A336),"",INDEX(Array_WaterCharges,MATCH($A336,List_WaterMeters,0),ROUNDUP((COLUMN()+0)/3-1,0)))</f>
        <v/>
      </c>
      <c r="AD336" s="127"/>
      <c r="AE336" s="137"/>
      <c r="AF336" s="58" t="str" cm="1">
        <f>IF(ISBLANK($A336),"",INDEX(Array_WaterCharges,MATCH($A336,List_WaterMeters,0),ROUNDUP((COLUMN()+0)/3-1,0)))</f>
        <v/>
      </c>
      <c r="AG336" s="127"/>
      <c r="AH336" s="137"/>
    </row>
    <row r="337" spans="1:34" x14ac:dyDescent="0.3">
      <c r="A337" s="126"/>
      <c r="B337" s="133"/>
      <c r="C337" s="127"/>
      <c r="D337" s="137"/>
      <c r="E337" s="58" t="str" cm="1">
        <f>IF(ISBLANK($A337),"",INDEX(Array_WaterCharges,MATCH($A337,List_WaterMeters,0),ROUNDUP((COLUMN()+0)/3-1,0)))</f>
        <v/>
      </c>
      <c r="F337" s="127"/>
      <c r="G337" s="137"/>
      <c r="H337" s="58" t="str" cm="1">
        <f>IF(ISBLANK($A337),"",INDEX(Array_WaterCharges,MATCH($A337,List_WaterMeters,0),ROUNDUP((COLUMN()+0)/3-1,0)))</f>
        <v/>
      </c>
      <c r="I337" s="127"/>
      <c r="J337" s="137"/>
      <c r="K337" s="58" t="str" cm="1">
        <f>IF(ISBLANK($A337),"",INDEX(Array_WaterCharges,MATCH($A337,List_WaterMeters,0),ROUNDUP((COLUMN()+0)/3-1,0)))</f>
        <v/>
      </c>
      <c r="L337" s="127"/>
      <c r="M337" s="137"/>
      <c r="N337" s="58" t="str" cm="1">
        <f>IF(ISBLANK($A337),"",INDEX(Array_WaterCharges,MATCH($A337,List_WaterMeters,0),ROUNDUP((COLUMN()+0)/3-1,0)))</f>
        <v/>
      </c>
      <c r="O337" s="127"/>
      <c r="P337" s="137"/>
      <c r="Q337" s="58" t="str" cm="1">
        <f>IF(ISBLANK($A337),"",INDEX(Array_WaterCharges,MATCH($A337,List_WaterMeters,0),ROUNDUP((COLUMN()+0)/3-1,0)))</f>
        <v/>
      </c>
      <c r="R337" s="127"/>
      <c r="S337" s="137"/>
      <c r="T337" s="58" t="str" cm="1">
        <f>IF(ISBLANK($A337),"",INDEX(Array_WaterCharges,MATCH($A337,List_WaterMeters,0),ROUNDUP((COLUMN()+0)/3-1,0)))</f>
        <v/>
      </c>
      <c r="U337" s="127"/>
      <c r="V337" s="137"/>
      <c r="W337" s="58" t="str" cm="1">
        <f>IF(ISBLANK($A337),"",INDEX(Array_WaterCharges,MATCH($A337,List_WaterMeters,0),ROUNDUP((COLUMN()+0)/3-1,0)))</f>
        <v/>
      </c>
      <c r="X337" s="127"/>
      <c r="Y337" s="137"/>
      <c r="Z337" s="58" t="str" cm="1">
        <f>IF(ISBLANK($A337),"",INDEX(Array_WaterCharges,MATCH($A337,List_WaterMeters,0),ROUNDUP((COLUMN()+0)/3-1,0)))</f>
        <v/>
      </c>
      <c r="AA337" s="127"/>
      <c r="AB337" s="137"/>
      <c r="AC337" s="58" t="str" cm="1">
        <f>IF(ISBLANK($A337),"",INDEX(Array_WaterCharges,MATCH($A337,List_WaterMeters,0),ROUNDUP((COLUMN()+0)/3-1,0)))</f>
        <v/>
      </c>
      <c r="AD337" s="127"/>
      <c r="AE337" s="137"/>
      <c r="AF337" s="58" t="str" cm="1">
        <f>IF(ISBLANK($A337),"",INDEX(Array_WaterCharges,MATCH($A337,List_WaterMeters,0),ROUNDUP((COLUMN()+0)/3-1,0)))</f>
        <v/>
      </c>
      <c r="AG337" s="127"/>
      <c r="AH337" s="137"/>
    </row>
    <row r="338" spans="1:34" x14ac:dyDescent="0.3">
      <c r="A338" s="126"/>
      <c r="B338" s="133"/>
      <c r="C338" s="127"/>
      <c r="D338" s="137"/>
      <c r="E338" s="58" t="str" cm="1">
        <f>IF(ISBLANK($A338),"",INDEX(Array_WaterCharges,MATCH($A338,List_WaterMeters,0),ROUNDUP((COLUMN()+0)/3-1,0)))</f>
        <v/>
      </c>
      <c r="F338" s="127"/>
      <c r="G338" s="137"/>
      <c r="H338" s="58" t="str" cm="1">
        <f>IF(ISBLANK($A338),"",INDEX(Array_WaterCharges,MATCH($A338,List_WaterMeters,0),ROUNDUP((COLUMN()+0)/3-1,0)))</f>
        <v/>
      </c>
      <c r="I338" s="127"/>
      <c r="J338" s="137"/>
      <c r="K338" s="58" t="str" cm="1">
        <f>IF(ISBLANK($A338),"",INDEX(Array_WaterCharges,MATCH($A338,List_WaterMeters,0),ROUNDUP((COLUMN()+0)/3-1,0)))</f>
        <v/>
      </c>
      <c r="L338" s="127"/>
      <c r="M338" s="137"/>
      <c r="N338" s="58" t="str" cm="1">
        <f>IF(ISBLANK($A338),"",INDEX(Array_WaterCharges,MATCH($A338,List_WaterMeters,0),ROUNDUP((COLUMN()+0)/3-1,0)))</f>
        <v/>
      </c>
      <c r="O338" s="127"/>
      <c r="P338" s="137"/>
      <c r="Q338" s="58" t="str" cm="1">
        <f>IF(ISBLANK($A338),"",INDEX(Array_WaterCharges,MATCH($A338,List_WaterMeters,0),ROUNDUP((COLUMN()+0)/3-1,0)))</f>
        <v/>
      </c>
      <c r="R338" s="127"/>
      <c r="S338" s="137"/>
      <c r="T338" s="58" t="str" cm="1">
        <f>IF(ISBLANK($A338),"",INDEX(Array_WaterCharges,MATCH($A338,List_WaterMeters,0),ROUNDUP((COLUMN()+0)/3-1,0)))</f>
        <v/>
      </c>
      <c r="U338" s="127"/>
      <c r="V338" s="137"/>
      <c r="W338" s="58" t="str" cm="1">
        <f>IF(ISBLANK($A338),"",INDEX(Array_WaterCharges,MATCH($A338,List_WaterMeters,0),ROUNDUP((COLUMN()+0)/3-1,0)))</f>
        <v/>
      </c>
      <c r="X338" s="127"/>
      <c r="Y338" s="137"/>
      <c r="Z338" s="58" t="str" cm="1">
        <f>IF(ISBLANK($A338),"",INDEX(Array_WaterCharges,MATCH($A338,List_WaterMeters,0),ROUNDUP((COLUMN()+0)/3-1,0)))</f>
        <v/>
      </c>
      <c r="AA338" s="127"/>
      <c r="AB338" s="137"/>
      <c r="AC338" s="58" t="str" cm="1">
        <f>IF(ISBLANK($A338),"",INDEX(Array_WaterCharges,MATCH($A338,List_WaterMeters,0),ROUNDUP((COLUMN()+0)/3-1,0)))</f>
        <v/>
      </c>
      <c r="AD338" s="127"/>
      <c r="AE338" s="137"/>
      <c r="AF338" s="58" t="str" cm="1">
        <f>IF(ISBLANK($A338),"",INDEX(Array_WaterCharges,MATCH($A338,List_WaterMeters,0),ROUNDUP((COLUMN()+0)/3-1,0)))</f>
        <v/>
      </c>
      <c r="AG338" s="127"/>
      <c r="AH338" s="137"/>
    </row>
    <row r="339" spans="1:34" x14ac:dyDescent="0.3">
      <c r="A339" s="126"/>
      <c r="B339" s="133"/>
      <c r="C339" s="127"/>
      <c r="D339" s="137"/>
      <c r="E339" s="58" t="str" cm="1">
        <f>IF(ISBLANK($A339),"",INDEX(Array_WaterCharges,MATCH($A339,List_WaterMeters,0),ROUNDUP((COLUMN()+0)/3-1,0)))</f>
        <v/>
      </c>
      <c r="F339" s="127"/>
      <c r="G339" s="137"/>
      <c r="H339" s="58" t="str" cm="1">
        <f>IF(ISBLANK($A339),"",INDEX(Array_WaterCharges,MATCH($A339,List_WaterMeters,0),ROUNDUP((COLUMN()+0)/3-1,0)))</f>
        <v/>
      </c>
      <c r="I339" s="127"/>
      <c r="J339" s="137"/>
      <c r="K339" s="58" t="str" cm="1">
        <f>IF(ISBLANK($A339),"",INDEX(Array_WaterCharges,MATCH($A339,List_WaterMeters,0),ROUNDUP((COLUMN()+0)/3-1,0)))</f>
        <v/>
      </c>
      <c r="L339" s="127"/>
      <c r="M339" s="137"/>
      <c r="N339" s="58" t="str" cm="1">
        <f>IF(ISBLANK($A339),"",INDEX(Array_WaterCharges,MATCH($A339,List_WaterMeters,0),ROUNDUP((COLUMN()+0)/3-1,0)))</f>
        <v/>
      </c>
      <c r="O339" s="127"/>
      <c r="P339" s="137"/>
      <c r="Q339" s="58" t="str" cm="1">
        <f>IF(ISBLANK($A339),"",INDEX(Array_WaterCharges,MATCH($A339,List_WaterMeters,0),ROUNDUP((COLUMN()+0)/3-1,0)))</f>
        <v/>
      </c>
      <c r="R339" s="127"/>
      <c r="S339" s="137"/>
      <c r="T339" s="58" t="str" cm="1">
        <f>IF(ISBLANK($A339),"",INDEX(Array_WaterCharges,MATCH($A339,List_WaterMeters,0),ROUNDUP((COLUMN()+0)/3-1,0)))</f>
        <v/>
      </c>
      <c r="U339" s="127"/>
      <c r="V339" s="137"/>
      <c r="W339" s="58" t="str" cm="1">
        <f>IF(ISBLANK($A339),"",INDEX(Array_WaterCharges,MATCH($A339,List_WaterMeters,0),ROUNDUP((COLUMN()+0)/3-1,0)))</f>
        <v/>
      </c>
      <c r="X339" s="127"/>
      <c r="Y339" s="137"/>
      <c r="Z339" s="58" t="str" cm="1">
        <f>IF(ISBLANK($A339),"",INDEX(Array_WaterCharges,MATCH($A339,List_WaterMeters,0),ROUNDUP((COLUMN()+0)/3-1,0)))</f>
        <v/>
      </c>
      <c r="AA339" s="127"/>
      <c r="AB339" s="137"/>
      <c r="AC339" s="58" t="str" cm="1">
        <f>IF(ISBLANK($A339),"",INDEX(Array_WaterCharges,MATCH($A339,List_WaterMeters,0),ROUNDUP((COLUMN()+0)/3-1,0)))</f>
        <v/>
      </c>
      <c r="AD339" s="127"/>
      <c r="AE339" s="137"/>
      <c r="AF339" s="58" t="str" cm="1">
        <f>IF(ISBLANK($A339),"",INDEX(Array_WaterCharges,MATCH($A339,List_WaterMeters,0),ROUNDUP((COLUMN()+0)/3-1,0)))</f>
        <v/>
      </c>
      <c r="AG339" s="127"/>
      <c r="AH339" s="137"/>
    </row>
    <row r="340" spans="1:34" x14ac:dyDescent="0.3">
      <c r="A340" s="126"/>
      <c r="B340" s="133"/>
      <c r="C340" s="127"/>
      <c r="D340" s="137"/>
      <c r="E340" s="58" t="str" cm="1">
        <f>IF(ISBLANK($A340),"",INDEX(Array_WaterCharges,MATCH($A340,List_WaterMeters,0),ROUNDUP((COLUMN()+0)/3-1,0)))</f>
        <v/>
      </c>
      <c r="F340" s="127"/>
      <c r="G340" s="137"/>
      <c r="H340" s="58" t="str" cm="1">
        <f>IF(ISBLANK($A340),"",INDEX(Array_WaterCharges,MATCH($A340,List_WaterMeters,0),ROUNDUP((COLUMN()+0)/3-1,0)))</f>
        <v/>
      </c>
      <c r="I340" s="127"/>
      <c r="J340" s="137"/>
      <c r="K340" s="58" t="str" cm="1">
        <f>IF(ISBLANK($A340),"",INDEX(Array_WaterCharges,MATCH($A340,List_WaterMeters,0),ROUNDUP((COLUMN()+0)/3-1,0)))</f>
        <v/>
      </c>
      <c r="L340" s="127"/>
      <c r="M340" s="137"/>
      <c r="N340" s="58" t="str" cm="1">
        <f>IF(ISBLANK($A340),"",INDEX(Array_WaterCharges,MATCH($A340,List_WaterMeters,0),ROUNDUP((COLUMN()+0)/3-1,0)))</f>
        <v/>
      </c>
      <c r="O340" s="127"/>
      <c r="P340" s="137"/>
      <c r="Q340" s="58" t="str" cm="1">
        <f>IF(ISBLANK($A340),"",INDEX(Array_WaterCharges,MATCH($A340,List_WaterMeters,0),ROUNDUP((COLUMN()+0)/3-1,0)))</f>
        <v/>
      </c>
      <c r="R340" s="127"/>
      <c r="S340" s="137"/>
      <c r="T340" s="58" t="str" cm="1">
        <f>IF(ISBLANK($A340),"",INDEX(Array_WaterCharges,MATCH($A340,List_WaterMeters,0),ROUNDUP((COLUMN()+0)/3-1,0)))</f>
        <v/>
      </c>
      <c r="U340" s="127"/>
      <c r="V340" s="137"/>
      <c r="W340" s="58" t="str" cm="1">
        <f>IF(ISBLANK($A340),"",INDEX(Array_WaterCharges,MATCH($A340,List_WaterMeters,0),ROUNDUP((COLUMN()+0)/3-1,0)))</f>
        <v/>
      </c>
      <c r="X340" s="127"/>
      <c r="Y340" s="137"/>
      <c r="Z340" s="58" t="str" cm="1">
        <f>IF(ISBLANK($A340),"",INDEX(Array_WaterCharges,MATCH($A340,List_WaterMeters,0),ROUNDUP((COLUMN()+0)/3-1,0)))</f>
        <v/>
      </c>
      <c r="AA340" s="127"/>
      <c r="AB340" s="137"/>
      <c r="AC340" s="58" t="str" cm="1">
        <f>IF(ISBLANK($A340),"",INDEX(Array_WaterCharges,MATCH($A340,List_WaterMeters,0),ROUNDUP((COLUMN()+0)/3-1,0)))</f>
        <v/>
      </c>
      <c r="AD340" s="127"/>
      <c r="AE340" s="137"/>
      <c r="AF340" s="58" t="str" cm="1">
        <f>IF(ISBLANK($A340),"",INDEX(Array_WaterCharges,MATCH($A340,List_WaterMeters,0),ROUNDUP((COLUMN()+0)/3-1,0)))</f>
        <v/>
      </c>
      <c r="AG340" s="127"/>
      <c r="AH340" s="137"/>
    </row>
    <row r="341" spans="1:34" x14ac:dyDescent="0.3">
      <c r="A341" s="126"/>
      <c r="B341" s="133"/>
      <c r="C341" s="127"/>
      <c r="D341" s="137"/>
      <c r="E341" s="58" t="str" cm="1">
        <f>IF(ISBLANK($A341),"",INDEX(Array_WaterCharges,MATCH($A341,List_WaterMeters,0),ROUNDUP((COLUMN()+0)/3-1,0)))</f>
        <v/>
      </c>
      <c r="F341" s="127"/>
      <c r="G341" s="137"/>
      <c r="H341" s="58" t="str" cm="1">
        <f>IF(ISBLANK($A341),"",INDEX(Array_WaterCharges,MATCH($A341,List_WaterMeters,0),ROUNDUP((COLUMN()+0)/3-1,0)))</f>
        <v/>
      </c>
      <c r="I341" s="127"/>
      <c r="J341" s="137"/>
      <c r="K341" s="58" t="str" cm="1">
        <f>IF(ISBLANK($A341),"",INDEX(Array_WaterCharges,MATCH($A341,List_WaterMeters,0),ROUNDUP((COLUMN()+0)/3-1,0)))</f>
        <v/>
      </c>
      <c r="L341" s="127"/>
      <c r="M341" s="137"/>
      <c r="N341" s="58" t="str" cm="1">
        <f>IF(ISBLANK($A341),"",INDEX(Array_WaterCharges,MATCH($A341,List_WaterMeters,0),ROUNDUP((COLUMN()+0)/3-1,0)))</f>
        <v/>
      </c>
      <c r="O341" s="127"/>
      <c r="P341" s="137"/>
      <c r="Q341" s="58" t="str" cm="1">
        <f>IF(ISBLANK($A341),"",INDEX(Array_WaterCharges,MATCH($A341,List_WaterMeters,0),ROUNDUP((COLUMN()+0)/3-1,0)))</f>
        <v/>
      </c>
      <c r="R341" s="127"/>
      <c r="S341" s="137"/>
      <c r="T341" s="58" t="str" cm="1">
        <f>IF(ISBLANK($A341),"",INDEX(Array_WaterCharges,MATCH($A341,List_WaterMeters,0),ROUNDUP((COLUMN()+0)/3-1,0)))</f>
        <v/>
      </c>
      <c r="U341" s="127"/>
      <c r="V341" s="137"/>
      <c r="W341" s="58" t="str" cm="1">
        <f>IF(ISBLANK($A341),"",INDEX(Array_WaterCharges,MATCH($A341,List_WaterMeters,0),ROUNDUP((COLUMN()+0)/3-1,0)))</f>
        <v/>
      </c>
      <c r="X341" s="127"/>
      <c r="Y341" s="137"/>
      <c r="Z341" s="58" t="str" cm="1">
        <f>IF(ISBLANK($A341),"",INDEX(Array_WaterCharges,MATCH($A341,List_WaterMeters,0),ROUNDUP((COLUMN()+0)/3-1,0)))</f>
        <v/>
      </c>
      <c r="AA341" s="127"/>
      <c r="AB341" s="137"/>
      <c r="AC341" s="58" t="str" cm="1">
        <f>IF(ISBLANK($A341),"",INDEX(Array_WaterCharges,MATCH($A341,List_WaterMeters,0),ROUNDUP((COLUMN()+0)/3-1,0)))</f>
        <v/>
      </c>
      <c r="AD341" s="127"/>
      <c r="AE341" s="137"/>
      <c r="AF341" s="58" t="str" cm="1">
        <f>IF(ISBLANK($A341),"",INDEX(Array_WaterCharges,MATCH($A341,List_WaterMeters,0),ROUNDUP((COLUMN()+0)/3-1,0)))</f>
        <v/>
      </c>
      <c r="AG341" s="127"/>
      <c r="AH341" s="137"/>
    </row>
    <row r="342" spans="1:34" x14ac:dyDescent="0.3">
      <c r="A342" s="126"/>
      <c r="B342" s="133"/>
      <c r="C342" s="127"/>
      <c r="D342" s="137"/>
      <c r="E342" s="58" t="str" cm="1">
        <f>IF(ISBLANK($A342),"",INDEX(Array_WaterCharges,MATCH($A342,List_WaterMeters,0),ROUNDUP((COLUMN()+0)/3-1,0)))</f>
        <v/>
      </c>
      <c r="F342" s="127"/>
      <c r="G342" s="137"/>
      <c r="H342" s="58" t="str" cm="1">
        <f>IF(ISBLANK($A342),"",INDEX(Array_WaterCharges,MATCH($A342,List_WaterMeters,0),ROUNDUP((COLUMN()+0)/3-1,0)))</f>
        <v/>
      </c>
      <c r="I342" s="127"/>
      <c r="J342" s="137"/>
      <c r="K342" s="58" t="str" cm="1">
        <f>IF(ISBLANK($A342),"",INDEX(Array_WaterCharges,MATCH($A342,List_WaterMeters,0),ROUNDUP((COLUMN()+0)/3-1,0)))</f>
        <v/>
      </c>
      <c r="L342" s="127"/>
      <c r="M342" s="137"/>
      <c r="N342" s="58" t="str" cm="1">
        <f>IF(ISBLANK($A342),"",INDEX(Array_WaterCharges,MATCH($A342,List_WaterMeters,0),ROUNDUP((COLUMN()+0)/3-1,0)))</f>
        <v/>
      </c>
      <c r="O342" s="127"/>
      <c r="P342" s="137"/>
      <c r="Q342" s="58" t="str" cm="1">
        <f>IF(ISBLANK($A342),"",INDEX(Array_WaterCharges,MATCH($A342,List_WaterMeters,0),ROUNDUP((COLUMN()+0)/3-1,0)))</f>
        <v/>
      </c>
      <c r="R342" s="127"/>
      <c r="S342" s="137"/>
      <c r="T342" s="58" t="str" cm="1">
        <f>IF(ISBLANK($A342),"",INDEX(Array_WaterCharges,MATCH($A342,List_WaterMeters,0),ROUNDUP((COLUMN()+0)/3-1,0)))</f>
        <v/>
      </c>
      <c r="U342" s="127"/>
      <c r="V342" s="137"/>
      <c r="W342" s="58" t="str" cm="1">
        <f>IF(ISBLANK($A342),"",INDEX(Array_WaterCharges,MATCH($A342,List_WaterMeters,0),ROUNDUP((COLUMN()+0)/3-1,0)))</f>
        <v/>
      </c>
      <c r="X342" s="127"/>
      <c r="Y342" s="137"/>
      <c r="Z342" s="58" t="str" cm="1">
        <f>IF(ISBLANK($A342),"",INDEX(Array_WaterCharges,MATCH($A342,List_WaterMeters,0),ROUNDUP((COLUMN()+0)/3-1,0)))</f>
        <v/>
      </c>
      <c r="AA342" s="127"/>
      <c r="AB342" s="137"/>
      <c r="AC342" s="58" t="str" cm="1">
        <f>IF(ISBLANK($A342),"",INDEX(Array_WaterCharges,MATCH($A342,List_WaterMeters,0),ROUNDUP((COLUMN()+0)/3-1,0)))</f>
        <v/>
      </c>
      <c r="AD342" s="127"/>
      <c r="AE342" s="137"/>
      <c r="AF342" s="58" t="str" cm="1">
        <f>IF(ISBLANK($A342),"",INDEX(Array_WaterCharges,MATCH($A342,List_WaterMeters,0),ROUNDUP((COLUMN()+0)/3-1,0)))</f>
        <v/>
      </c>
      <c r="AG342" s="127"/>
      <c r="AH342" s="137"/>
    </row>
    <row r="343" spans="1:34" x14ac:dyDescent="0.3">
      <c r="A343" s="126"/>
      <c r="B343" s="133"/>
      <c r="C343" s="127"/>
      <c r="D343" s="137"/>
      <c r="E343" s="58" t="str" cm="1">
        <f>IF(ISBLANK($A343),"",INDEX(Array_WaterCharges,MATCH($A343,List_WaterMeters,0),ROUNDUP((COLUMN()+0)/3-1,0)))</f>
        <v/>
      </c>
      <c r="F343" s="127"/>
      <c r="G343" s="137"/>
      <c r="H343" s="58" t="str" cm="1">
        <f>IF(ISBLANK($A343),"",INDEX(Array_WaterCharges,MATCH($A343,List_WaterMeters,0),ROUNDUP((COLUMN()+0)/3-1,0)))</f>
        <v/>
      </c>
      <c r="I343" s="127"/>
      <c r="J343" s="137"/>
      <c r="K343" s="58" t="str" cm="1">
        <f>IF(ISBLANK($A343),"",INDEX(Array_WaterCharges,MATCH($A343,List_WaterMeters,0),ROUNDUP((COLUMN()+0)/3-1,0)))</f>
        <v/>
      </c>
      <c r="L343" s="127"/>
      <c r="M343" s="137"/>
      <c r="N343" s="58" t="str" cm="1">
        <f>IF(ISBLANK($A343),"",INDEX(Array_WaterCharges,MATCH($A343,List_WaterMeters,0),ROUNDUP((COLUMN()+0)/3-1,0)))</f>
        <v/>
      </c>
      <c r="O343" s="127"/>
      <c r="P343" s="137"/>
      <c r="Q343" s="58" t="str" cm="1">
        <f>IF(ISBLANK($A343),"",INDEX(Array_WaterCharges,MATCH($A343,List_WaterMeters,0),ROUNDUP((COLUMN()+0)/3-1,0)))</f>
        <v/>
      </c>
      <c r="R343" s="127"/>
      <c r="S343" s="137"/>
      <c r="T343" s="58" t="str" cm="1">
        <f>IF(ISBLANK($A343),"",INDEX(Array_WaterCharges,MATCH($A343,List_WaterMeters,0),ROUNDUP((COLUMN()+0)/3-1,0)))</f>
        <v/>
      </c>
      <c r="U343" s="127"/>
      <c r="V343" s="137"/>
      <c r="W343" s="58" t="str" cm="1">
        <f>IF(ISBLANK($A343),"",INDEX(Array_WaterCharges,MATCH($A343,List_WaterMeters,0),ROUNDUP((COLUMN()+0)/3-1,0)))</f>
        <v/>
      </c>
      <c r="X343" s="127"/>
      <c r="Y343" s="137"/>
      <c r="Z343" s="58" t="str" cm="1">
        <f>IF(ISBLANK($A343),"",INDEX(Array_WaterCharges,MATCH($A343,List_WaterMeters,0),ROUNDUP((COLUMN()+0)/3-1,0)))</f>
        <v/>
      </c>
      <c r="AA343" s="127"/>
      <c r="AB343" s="137"/>
      <c r="AC343" s="58" t="str" cm="1">
        <f>IF(ISBLANK($A343),"",INDEX(Array_WaterCharges,MATCH($A343,List_WaterMeters,0),ROUNDUP((COLUMN()+0)/3-1,0)))</f>
        <v/>
      </c>
      <c r="AD343" s="127"/>
      <c r="AE343" s="137"/>
      <c r="AF343" s="58" t="str" cm="1">
        <f>IF(ISBLANK($A343),"",INDEX(Array_WaterCharges,MATCH($A343,List_WaterMeters,0),ROUNDUP((COLUMN()+0)/3-1,0)))</f>
        <v/>
      </c>
      <c r="AG343" s="127"/>
      <c r="AH343" s="137"/>
    </row>
    <row r="344" spans="1:34" x14ac:dyDescent="0.3">
      <c r="A344" s="126"/>
      <c r="B344" s="133"/>
      <c r="C344" s="127"/>
      <c r="D344" s="137"/>
      <c r="E344" s="58" t="str" cm="1">
        <f>IF(ISBLANK($A344),"",INDEX(Array_WaterCharges,MATCH($A344,List_WaterMeters,0),ROUNDUP((COLUMN()+0)/3-1,0)))</f>
        <v/>
      </c>
      <c r="F344" s="127"/>
      <c r="G344" s="137"/>
      <c r="H344" s="58" t="str" cm="1">
        <f>IF(ISBLANK($A344),"",INDEX(Array_WaterCharges,MATCH($A344,List_WaterMeters,0),ROUNDUP((COLUMN()+0)/3-1,0)))</f>
        <v/>
      </c>
      <c r="I344" s="127"/>
      <c r="J344" s="137"/>
      <c r="K344" s="58" t="str" cm="1">
        <f>IF(ISBLANK($A344),"",INDEX(Array_WaterCharges,MATCH($A344,List_WaterMeters,0),ROUNDUP((COLUMN()+0)/3-1,0)))</f>
        <v/>
      </c>
      <c r="L344" s="127"/>
      <c r="M344" s="137"/>
      <c r="N344" s="58" t="str" cm="1">
        <f>IF(ISBLANK($A344),"",INDEX(Array_WaterCharges,MATCH($A344,List_WaterMeters,0),ROUNDUP((COLUMN()+0)/3-1,0)))</f>
        <v/>
      </c>
      <c r="O344" s="127"/>
      <c r="P344" s="137"/>
      <c r="Q344" s="58" t="str" cm="1">
        <f>IF(ISBLANK($A344),"",INDEX(Array_WaterCharges,MATCH($A344,List_WaterMeters,0),ROUNDUP((COLUMN()+0)/3-1,0)))</f>
        <v/>
      </c>
      <c r="R344" s="127"/>
      <c r="S344" s="137"/>
      <c r="T344" s="58" t="str" cm="1">
        <f>IF(ISBLANK($A344),"",INDEX(Array_WaterCharges,MATCH($A344,List_WaterMeters,0),ROUNDUP((COLUMN()+0)/3-1,0)))</f>
        <v/>
      </c>
      <c r="U344" s="127"/>
      <c r="V344" s="137"/>
      <c r="W344" s="58" t="str" cm="1">
        <f>IF(ISBLANK($A344),"",INDEX(Array_WaterCharges,MATCH($A344,List_WaterMeters,0),ROUNDUP((COLUMN()+0)/3-1,0)))</f>
        <v/>
      </c>
      <c r="X344" s="127"/>
      <c r="Y344" s="137"/>
      <c r="Z344" s="58" t="str" cm="1">
        <f>IF(ISBLANK($A344),"",INDEX(Array_WaterCharges,MATCH($A344,List_WaterMeters,0),ROUNDUP((COLUMN()+0)/3-1,0)))</f>
        <v/>
      </c>
      <c r="AA344" s="127"/>
      <c r="AB344" s="137"/>
      <c r="AC344" s="58" t="str" cm="1">
        <f>IF(ISBLANK($A344),"",INDEX(Array_WaterCharges,MATCH($A344,List_WaterMeters,0),ROUNDUP((COLUMN()+0)/3-1,0)))</f>
        <v/>
      </c>
      <c r="AD344" s="127"/>
      <c r="AE344" s="137"/>
      <c r="AF344" s="58" t="str" cm="1">
        <f>IF(ISBLANK($A344),"",INDEX(Array_WaterCharges,MATCH($A344,List_WaterMeters,0),ROUNDUP((COLUMN()+0)/3-1,0)))</f>
        <v/>
      </c>
      <c r="AG344" s="127"/>
      <c r="AH344" s="137"/>
    </row>
    <row r="345" spans="1:34" x14ac:dyDescent="0.3">
      <c r="A345" s="126"/>
      <c r="B345" s="133"/>
      <c r="C345" s="127"/>
      <c r="D345" s="137"/>
      <c r="E345" s="58" t="str" cm="1">
        <f>IF(ISBLANK($A345),"",INDEX(Array_WaterCharges,MATCH($A345,List_WaterMeters,0),ROUNDUP((COLUMN()+0)/3-1,0)))</f>
        <v/>
      </c>
      <c r="F345" s="127"/>
      <c r="G345" s="137"/>
      <c r="H345" s="58" t="str" cm="1">
        <f>IF(ISBLANK($A345),"",INDEX(Array_WaterCharges,MATCH($A345,List_WaterMeters,0),ROUNDUP((COLUMN()+0)/3-1,0)))</f>
        <v/>
      </c>
      <c r="I345" s="127"/>
      <c r="J345" s="137"/>
      <c r="K345" s="58" t="str" cm="1">
        <f>IF(ISBLANK($A345),"",INDEX(Array_WaterCharges,MATCH($A345,List_WaterMeters,0),ROUNDUP((COLUMN()+0)/3-1,0)))</f>
        <v/>
      </c>
      <c r="L345" s="127"/>
      <c r="M345" s="137"/>
      <c r="N345" s="58" t="str" cm="1">
        <f>IF(ISBLANK($A345),"",INDEX(Array_WaterCharges,MATCH($A345,List_WaterMeters,0),ROUNDUP((COLUMN()+0)/3-1,0)))</f>
        <v/>
      </c>
      <c r="O345" s="127"/>
      <c r="P345" s="137"/>
      <c r="Q345" s="58" t="str" cm="1">
        <f>IF(ISBLANK($A345),"",INDEX(Array_WaterCharges,MATCH($A345,List_WaterMeters,0),ROUNDUP((COLUMN()+0)/3-1,0)))</f>
        <v/>
      </c>
      <c r="R345" s="127"/>
      <c r="S345" s="137"/>
      <c r="T345" s="58" t="str" cm="1">
        <f>IF(ISBLANK($A345),"",INDEX(Array_WaterCharges,MATCH($A345,List_WaterMeters,0),ROUNDUP((COLUMN()+0)/3-1,0)))</f>
        <v/>
      </c>
      <c r="U345" s="127"/>
      <c r="V345" s="137"/>
      <c r="W345" s="58" t="str" cm="1">
        <f>IF(ISBLANK($A345),"",INDEX(Array_WaterCharges,MATCH($A345,List_WaterMeters,0),ROUNDUP((COLUMN()+0)/3-1,0)))</f>
        <v/>
      </c>
      <c r="X345" s="127"/>
      <c r="Y345" s="137"/>
      <c r="Z345" s="58" t="str" cm="1">
        <f>IF(ISBLANK($A345),"",INDEX(Array_WaterCharges,MATCH($A345,List_WaterMeters,0),ROUNDUP((COLUMN()+0)/3-1,0)))</f>
        <v/>
      </c>
      <c r="AA345" s="127"/>
      <c r="AB345" s="137"/>
      <c r="AC345" s="58" t="str" cm="1">
        <f>IF(ISBLANK($A345),"",INDEX(Array_WaterCharges,MATCH($A345,List_WaterMeters,0),ROUNDUP((COLUMN()+0)/3-1,0)))</f>
        <v/>
      </c>
      <c r="AD345" s="127"/>
      <c r="AE345" s="137"/>
      <c r="AF345" s="58" t="str" cm="1">
        <f>IF(ISBLANK($A345),"",INDEX(Array_WaterCharges,MATCH($A345,List_WaterMeters,0),ROUNDUP((COLUMN()+0)/3-1,0)))</f>
        <v/>
      </c>
      <c r="AG345" s="127"/>
      <c r="AH345" s="137"/>
    </row>
    <row r="346" spans="1:34" x14ac:dyDescent="0.3">
      <c r="A346" s="126"/>
      <c r="B346" s="133"/>
      <c r="C346" s="127"/>
      <c r="D346" s="137"/>
      <c r="E346" s="58" t="str" cm="1">
        <f>IF(ISBLANK($A346),"",INDEX(Array_WaterCharges,MATCH($A346,List_WaterMeters,0),ROUNDUP((COLUMN()+0)/3-1,0)))</f>
        <v/>
      </c>
      <c r="F346" s="127"/>
      <c r="G346" s="137"/>
      <c r="H346" s="58" t="str" cm="1">
        <f>IF(ISBLANK($A346),"",INDEX(Array_WaterCharges,MATCH($A346,List_WaterMeters,0),ROUNDUP((COLUMN()+0)/3-1,0)))</f>
        <v/>
      </c>
      <c r="I346" s="127"/>
      <c r="J346" s="137"/>
      <c r="K346" s="58" t="str" cm="1">
        <f>IF(ISBLANK($A346),"",INDEX(Array_WaterCharges,MATCH($A346,List_WaterMeters,0),ROUNDUP((COLUMN()+0)/3-1,0)))</f>
        <v/>
      </c>
      <c r="L346" s="127"/>
      <c r="M346" s="137"/>
      <c r="N346" s="58" t="str" cm="1">
        <f>IF(ISBLANK($A346),"",INDEX(Array_WaterCharges,MATCH($A346,List_WaterMeters,0),ROUNDUP((COLUMN()+0)/3-1,0)))</f>
        <v/>
      </c>
      <c r="O346" s="127"/>
      <c r="P346" s="137"/>
      <c r="Q346" s="58" t="str" cm="1">
        <f>IF(ISBLANK($A346),"",INDEX(Array_WaterCharges,MATCH($A346,List_WaterMeters,0),ROUNDUP((COLUMN()+0)/3-1,0)))</f>
        <v/>
      </c>
      <c r="R346" s="127"/>
      <c r="S346" s="137"/>
      <c r="T346" s="58" t="str" cm="1">
        <f>IF(ISBLANK($A346),"",INDEX(Array_WaterCharges,MATCH($A346,List_WaterMeters,0),ROUNDUP((COLUMN()+0)/3-1,0)))</f>
        <v/>
      </c>
      <c r="U346" s="127"/>
      <c r="V346" s="137"/>
      <c r="W346" s="58" t="str" cm="1">
        <f>IF(ISBLANK($A346),"",INDEX(Array_WaterCharges,MATCH($A346,List_WaterMeters,0),ROUNDUP((COLUMN()+0)/3-1,0)))</f>
        <v/>
      </c>
      <c r="X346" s="127"/>
      <c r="Y346" s="137"/>
      <c r="Z346" s="58" t="str" cm="1">
        <f>IF(ISBLANK($A346),"",INDEX(Array_WaterCharges,MATCH($A346,List_WaterMeters,0),ROUNDUP((COLUMN()+0)/3-1,0)))</f>
        <v/>
      </c>
      <c r="AA346" s="127"/>
      <c r="AB346" s="137"/>
      <c r="AC346" s="58" t="str" cm="1">
        <f>IF(ISBLANK($A346),"",INDEX(Array_WaterCharges,MATCH($A346,List_WaterMeters,0),ROUNDUP((COLUMN()+0)/3-1,0)))</f>
        <v/>
      </c>
      <c r="AD346" s="127"/>
      <c r="AE346" s="137"/>
      <c r="AF346" s="58" t="str" cm="1">
        <f>IF(ISBLANK($A346),"",INDEX(Array_WaterCharges,MATCH($A346,List_WaterMeters,0),ROUNDUP((COLUMN()+0)/3-1,0)))</f>
        <v/>
      </c>
      <c r="AG346" s="127"/>
      <c r="AH346" s="137"/>
    </row>
    <row r="347" spans="1:34" x14ac:dyDescent="0.3">
      <c r="A347" s="126"/>
      <c r="B347" s="133"/>
      <c r="C347" s="127"/>
      <c r="D347" s="137"/>
      <c r="E347" s="58" t="str" cm="1">
        <f>IF(ISBLANK($A347),"",INDEX(Array_WaterCharges,MATCH($A347,List_WaterMeters,0),ROUNDUP((COLUMN()+0)/3-1,0)))</f>
        <v/>
      </c>
      <c r="F347" s="127"/>
      <c r="G347" s="137"/>
      <c r="H347" s="58" t="str" cm="1">
        <f>IF(ISBLANK($A347),"",INDEX(Array_WaterCharges,MATCH($A347,List_WaterMeters,0),ROUNDUP((COLUMN()+0)/3-1,0)))</f>
        <v/>
      </c>
      <c r="I347" s="127"/>
      <c r="J347" s="137"/>
      <c r="K347" s="58" t="str" cm="1">
        <f>IF(ISBLANK($A347),"",INDEX(Array_WaterCharges,MATCH($A347,List_WaterMeters,0),ROUNDUP((COLUMN()+0)/3-1,0)))</f>
        <v/>
      </c>
      <c r="L347" s="127"/>
      <c r="M347" s="137"/>
      <c r="N347" s="58" t="str" cm="1">
        <f>IF(ISBLANK($A347),"",INDEX(Array_WaterCharges,MATCH($A347,List_WaterMeters,0),ROUNDUP((COLUMN()+0)/3-1,0)))</f>
        <v/>
      </c>
      <c r="O347" s="127"/>
      <c r="P347" s="137"/>
      <c r="Q347" s="58" t="str" cm="1">
        <f>IF(ISBLANK($A347),"",INDEX(Array_WaterCharges,MATCH($A347,List_WaterMeters,0),ROUNDUP((COLUMN()+0)/3-1,0)))</f>
        <v/>
      </c>
      <c r="R347" s="127"/>
      <c r="S347" s="137"/>
      <c r="T347" s="58" t="str" cm="1">
        <f>IF(ISBLANK($A347),"",INDEX(Array_WaterCharges,MATCH($A347,List_WaterMeters,0),ROUNDUP((COLUMN()+0)/3-1,0)))</f>
        <v/>
      </c>
      <c r="U347" s="127"/>
      <c r="V347" s="137"/>
      <c r="W347" s="58" t="str" cm="1">
        <f>IF(ISBLANK($A347),"",INDEX(Array_WaterCharges,MATCH($A347,List_WaterMeters,0),ROUNDUP((COLUMN()+0)/3-1,0)))</f>
        <v/>
      </c>
      <c r="X347" s="127"/>
      <c r="Y347" s="137"/>
      <c r="Z347" s="58" t="str" cm="1">
        <f>IF(ISBLANK($A347),"",INDEX(Array_WaterCharges,MATCH($A347,List_WaterMeters,0),ROUNDUP((COLUMN()+0)/3-1,0)))</f>
        <v/>
      </c>
      <c r="AA347" s="127"/>
      <c r="AB347" s="137"/>
      <c r="AC347" s="58" t="str" cm="1">
        <f>IF(ISBLANK($A347),"",INDEX(Array_WaterCharges,MATCH($A347,List_WaterMeters,0),ROUNDUP((COLUMN()+0)/3-1,0)))</f>
        <v/>
      </c>
      <c r="AD347" s="127"/>
      <c r="AE347" s="137"/>
      <c r="AF347" s="58" t="str" cm="1">
        <f>IF(ISBLANK($A347),"",INDEX(Array_WaterCharges,MATCH($A347,List_WaterMeters,0),ROUNDUP((COLUMN()+0)/3-1,0)))</f>
        <v/>
      </c>
      <c r="AG347" s="127"/>
      <c r="AH347" s="137"/>
    </row>
    <row r="348" spans="1:34" x14ac:dyDescent="0.3">
      <c r="A348" s="126"/>
      <c r="B348" s="133"/>
      <c r="C348" s="127"/>
      <c r="D348" s="137"/>
      <c r="E348" s="58" t="str" cm="1">
        <f>IF(ISBLANK($A348),"",INDEX(Array_WaterCharges,MATCH($A348,List_WaterMeters,0),ROUNDUP((COLUMN()+0)/3-1,0)))</f>
        <v/>
      </c>
      <c r="F348" s="127"/>
      <c r="G348" s="137"/>
      <c r="H348" s="58" t="str" cm="1">
        <f>IF(ISBLANK($A348),"",INDEX(Array_WaterCharges,MATCH($A348,List_WaterMeters,0),ROUNDUP((COLUMN()+0)/3-1,0)))</f>
        <v/>
      </c>
      <c r="I348" s="127"/>
      <c r="J348" s="137"/>
      <c r="K348" s="58" t="str" cm="1">
        <f>IF(ISBLANK($A348),"",INDEX(Array_WaterCharges,MATCH($A348,List_WaterMeters,0),ROUNDUP((COLUMN()+0)/3-1,0)))</f>
        <v/>
      </c>
      <c r="L348" s="127"/>
      <c r="M348" s="137"/>
      <c r="N348" s="58" t="str" cm="1">
        <f>IF(ISBLANK($A348),"",INDEX(Array_WaterCharges,MATCH($A348,List_WaterMeters,0),ROUNDUP((COLUMN()+0)/3-1,0)))</f>
        <v/>
      </c>
      <c r="O348" s="127"/>
      <c r="P348" s="137"/>
      <c r="Q348" s="58" t="str" cm="1">
        <f>IF(ISBLANK($A348),"",INDEX(Array_WaterCharges,MATCH($A348,List_WaterMeters,0),ROUNDUP((COLUMN()+0)/3-1,0)))</f>
        <v/>
      </c>
      <c r="R348" s="127"/>
      <c r="S348" s="137"/>
      <c r="T348" s="58" t="str" cm="1">
        <f>IF(ISBLANK($A348),"",INDEX(Array_WaterCharges,MATCH($A348,List_WaterMeters,0),ROUNDUP((COLUMN()+0)/3-1,0)))</f>
        <v/>
      </c>
      <c r="U348" s="127"/>
      <c r="V348" s="137"/>
      <c r="W348" s="58" t="str" cm="1">
        <f>IF(ISBLANK($A348),"",INDEX(Array_WaterCharges,MATCH($A348,List_WaterMeters,0),ROUNDUP((COLUMN()+0)/3-1,0)))</f>
        <v/>
      </c>
      <c r="X348" s="127"/>
      <c r="Y348" s="137"/>
      <c r="Z348" s="58" t="str" cm="1">
        <f>IF(ISBLANK($A348),"",INDEX(Array_WaterCharges,MATCH($A348,List_WaterMeters,0),ROUNDUP((COLUMN()+0)/3-1,0)))</f>
        <v/>
      </c>
      <c r="AA348" s="127"/>
      <c r="AB348" s="137"/>
      <c r="AC348" s="58" t="str" cm="1">
        <f>IF(ISBLANK($A348),"",INDEX(Array_WaterCharges,MATCH($A348,List_WaterMeters,0),ROUNDUP((COLUMN()+0)/3-1,0)))</f>
        <v/>
      </c>
      <c r="AD348" s="127"/>
      <c r="AE348" s="137"/>
      <c r="AF348" s="58" t="str" cm="1">
        <f>IF(ISBLANK($A348),"",INDEX(Array_WaterCharges,MATCH($A348,List_WaterMeters,0),ROUNDUP((COLUMN()+0)/3-1,0)))</f>
        <v/>
      </c>
      <c r="AG348" s="127"/>
      <c r="AH348" s="137"/>
    </row>
    <row r="349" spans="1:34" x14ac:dyDescent="0.3">
      <c r="A349" s="126"/>
      <c r="B349" s="133"/>
      <c r="C349" s="127"/>
      <c r="D349" s="137"/>
      <c r="E349" s="58" t="str" cm="1">
        <f>IF(ISBLANK($A349),"",INDEX(Array_WaterCharges,MATCH($A349,List_WaterMeters,0),ROUNDUP((COLUMN()+0)/3-1,0)))</f>
        <v/>
      </c>
      <c r="F349" s="127"/>
      <c r="G349" s="137"/>
      <c r="H349" s="58" t="str" cm="1">
        <f>IF(ISBLANK($A349),"",INDEX(Array_WaterCharges,MATCH($A349,List_WaterMeters,0),ROUNDUP((COLUMN()+0)/3-1,0)))</f>
        <v/>
      </c>
      <c r="I349" s="127"/>
      <c r="J349" s="137"/>
      <c r="K349" s="58" t="str" cm="1">
        <f>IF(ISBLANK($A349),"",INDEX(Array_WaterCharges,MATCH($A349,List_WaterMeters,0),ROUNDUP((COLUMN()+0)/3-1,0)))</f>
        <v/>
      </c>
      <c r="L349" s="127"/>
      <c r="M349" s="137"/>
      <c r="N349" s="58" t="str" cm="1">
        <f>IF(ISBLANK($A349),"",INDEX(Array_WaterCharges,MATCH($A349,List_WaterMeters,0),ROUNDUP((COLUMN()+0)/3-1,0)))</f>
        <v/>
      </c>
      <c r="O349" s="127"/>
      <c r="P349" s="137"/>
      <c r="Q349" s="58" t="str" cm="1">
        <f>IF(ISBLANK($A349),"",INDEX(Array_WaterCharges,MATCH($A349,List_WaterMeters,0),ROUNDUP((COLUMN()+0)/3-1,0)))</f>
        <v/>
      </c>
      <c r="R349" s="127"/>
      <c r="S349" s="137"/>
      <c r="T349" s="58" t="str" cm="1">
        <f>IF(ISBLANK($A349),"",INDEX(Array_WaterCharges,MATCH($A349,List_WaterMeters,0),ROUNDUP((COLUMN()+0)/3-1,0)))</f>
        <v/>
      </c>
      <c r="U349" s="127"/>
      <c r="V349" s="137"/>
      <c r="W349" s="58" t="str" cm="1">
        <f>IF(ISBLANK($A349),"",INDEX(Array_WaterCharges,MATCH($A349,List_WaterMeters,0),ROUNDUP((COLUMN()+0)/3-1,0)))</f>
        <v/>
      </c>
      <c r="X349" s="127"/>
      <c r="Y349" s="137"/>
      <c r="Z349" s="58" t="str" cm="1">
        <f>IF(ISBLANK($A349),"",INDEX(Array_WaterCharges,MATCH($A349,List_WaterMeters,0),ROUNDUP((COLUMN()+0)/3-1,0)))</f>
        <v/>
      </c>
      <c r="AA349" s="127"/>
      <c r="AB349" s="137"/>
      <c r="AC349" s="58" t="str" cm="1">
        <f>IF(ISBLANK($A349),"",INDEX(Array_WaterCharges,MATCH($A349,List_WaterMeters,0),ROUNDUP((COLUMN()+0)/3-1,0)))</f>
        <v/>
      </c>
      <c r="AD349" s="127"/>
      <c r="AE349" s="137"/>
      <c r="AF349" s="58" t="str" cm="1">
        <f>IF(ISBLANK($A349),"",INDEX(Array_WaterCharges,MATCH($A349,List_WaterMeters,0),ROUNDUP((COLUMN()+0)/3-1,0)))</f>
        <v/>
      </c>
      <c r="AG349" s="127"/>
      <c r="AH349" s="137"/>
    </row>
    <row r="350" spans="1:34" x14ac:dyDescent="0.3">
      <c r="A350" s="126"/>
      <c r="B350" s="133"/>
      <c r="C350" s="127"/>
      <c r="D350" s="137"/>
      <c r="E350" s="58" t="str" cm="1">
        <f>IF(ISBLANK($A350),"",INDEX(Array_WaterCharges,MATCH($A350,List_WaterMeters,0),ROUNDUP((COLUMN()+0)/3-1,0)))</f>
        <v/>
      </c>
      <c r="F350" s="127"/>
      <c r="G350" s="137"/>
      <c r="H350" s="58" t="str" cm="1">
        <f>IF(ISBLANK($A350),"",INDEX(Array_WaterCharges,MATCH($A350,List_WaterMeters,0),ROUNDUP((COLUMN()+0)/3-1,0)))</f>
        <v/>
      </c>
      <c r="I350" s="127"/>
      <c r="J350" s="137"/>
      <c r="K350" s="58" t="str" cm="1">
        <f>IF(ISBLANK($A350),"",INDEX(Array_WaterCharges,MATCH($A350,List_WaterMeters,0),ROUNDUP((COLUMN()+0)/3-1,0)))</f>
        <v/>
      </c>
      <c r="L350" s="127"/>
      <c r="M350" s="137"/>
      <c r="N350" s="58" t="str" cm="1">
        <f>IF(ISBLANK($A350),"",INDEX(Array_WaterCharges,MATCH($A350,List_WaterMeters,0),ROUNDUP((COLUMN()+0)/3-1,0)))</f>
        <v/>
      </c>
      <c r="O350" s="127"/>
      <c r="P350" s="137"/>
      <c r="Q350" s="58" t="str" cm="1">
        <f>IF(ISBLANK($A350),"",INDEX(Array_WaterCharges,MATCH($A350,List_WaterMeters,0),ROUNDUP((COLUMN()+0)/3-1,0)))</f>
        <v/>
      </c>
      <c r="R350" s="127"/>
      <c r="S350" s="137"/>
      <c r="T350" s="58" t="str" cm="1">
        <f>IF(ISBLANK($A350),"",INDEX(Array_WaterCharges,MATCH($A350,List_WaterMeters,0),ROUNDUP((COLUMN()+0)/3-1,0)))</f>
        <v/>
      </c>
      <c r="U350" s="127"/>
      <c r="V350" s="137"/>
      <c r="W350" s="58" t="str" cm="1">
        <f>IF(ISBLANK($A350),"",INDEX(Array_WaterCharges,MATCH($A350,List_WaterMeters,0),ROUNDUP((COLUMN()+0)/3-1,0)))</f>
        <v/>
      </c>
      <c r="X350" s="127"/>
      <c r="Y350" s="137"/>
      <c r="Z350" s="58" t="str" cm="1">
        <f>IF(ISBLANK($A350),"",INDEX(Array_WaterCharges,MATCH($A350,List_WaterMeters,0),ROUNDUP((COLUMN()+0)/3-1,0)))</f>
        <v/>
      </c>
      <c r="AA350" s="127"/>
      <c r="AB350" s="137"/>
      <c r="AC350" s="58" t="str" cm="1">
        <f>IF(ISBLANK($A350),"",INDEX(Array_WaterCharges,MATCH($A350,List_WaterMeters,0),ROUNDUP((COLUMN()+0)/3-1,0)))</f>
        <v/>
      </c>
      <c r="AD350" s="127"/>
      <c r="AE350" s="137"/>
      <c r="AF350" s="58" t="str" cm="1">
        <f>IF(ISBLANK($A350),"",INDEX(Array_WaterCharges,MATCH($A350,List_WaterMeters,0),ROUNDUP((COLUMN()+0)/3-1,0)))</f>
        <v/>
      </c>
      <c r="AG350" s="127"/>
      <c r="AH350" s="137"/>
    </row>
    <row r="351" spans="1:34" x14ac:dyDescent="0.3">
      <c r="A351" s="126"/>
      <c r="B351" s="133"/>
      <c r="C351" s="127"/>
      <c r="D351" s="137"/>
      <c r="E351" s="58" t="str" cm="1">
        <f>IF(ISBLANK($A351),"",INDEX(Array_WaterCharges,MATCH($A351,List_WaterMeters,0),ROUNDUP((COLUMN()+0)/3-1,0)))</f>
        <v/>
      </c>
      <c r="F351" s="127"/>
      <c r="G351" s="137"/>
      <c r="H351" s="58" t="str" cm="1">
        <f>IF(ISBLANK($A351),"",INDEX(Array_WaterCharges,MATCH($A351,List_WaterMeters,0),ROUNDUP((COLUMN()+0)/3-1,0)))</f>
        <v/>
      </c>
      <c r="I351" s="127"/>
      <c r="J351" s="137"/>
      <c r="K351" s="58" t="str" cm="1">
        <f>IF(ISBLANK($A351),"",INDEX(Array_WaterCharges,MATCH($A351,List_WaterMeters,0),ROUNDUP((COLUMN()+0)/3-1,0)))</f>
        <v/>
      </c>
      <c r="L351" s="127"/>
      <c r="M351" s="137"/>
      <c r="N351" s="58" t="str" cm="1">
        <f>IF(ISBLANK($A351),"",INDEX(Array_WaterCharges,MATCH($A351,List_WaterMeters,0),ROUNDUP((COLUMN()+0)/3-1,0)))</f>
        <v/>
      </c>
      <c r="O351" s="127"/>
      <c r="P351" s="137"/>
      <c r="Q351" s="58" t="str" cm="1">
        <f>IF(ISBLANK($A351),"",INDEX(Array_WaterCharges,MATCH($A351,List_WaterMeters,0),ROUNDUP((COLUMN()+0)/3-1,0)))</f>
        <v/>
      </c>
      <c r="R351" s="127"/>
      <c r="S351" s="137"/>
      <c r="T351" s="58" t="str" cm="1">
        <f>IF(ISBLANK($A351),"",INDEX(Array_WaterCharges,MATCH($A351,List_WaterMeters,0),ROUNDUP((COLUMN()+0)/3-1,0)))</f>
        <v/>
      </c>
      <c r="U351" s="127"/>
      <c r="V351" s="137"/>
      <c r="W351" s="58" t="str" cm="1">
        <f>IF(ISBLANK($A351),"",INDEX(Array_WaterCharges,MATCH($A351,List_WaterMeters,0),ROUNDUP((COLUMN()+0)/3-1,0)))</f>
        <v/>
      </c>
      <c r="X351" s="127"/>
      <c r="Y351" s="137"/>
      <c r="Z351" s="58" t="str" cm="1">
        <f>IF(ISBLANK($A351),"",INDEX(Array_WaterCharges,MATCH($A351,List_WaterMeters,0),ROUNDUP((COLUMN()+0)/3-1,0)))</f>
        <v/>
      </c>
      <c r="AA351" s="127"/>
      <c r="AB351" s="137"/>
      <c r="AC351" s="58" t="str" cm="1">
        <f>IF(ISBLANK($A351),"",INDEX(Array_WaterCharges,MATCH($A351,List_WaterMeters,0),ROUNDUP((COLUMN()+0)/3-1,0)))</f>
        <v/>
      </c>
      <c r="AD351" s="127"/>
      <c r="AE351" s="137"/>
      <c r="AF351" s="58" t="str" cm="1">
        <f>IF(ISBLANK($A351),"",INDEX(Array_WaterCharges,MATCH($A351,List_WaterMeters,0),ROUNDUP((COLUMN()+0)/3-1,0)))</f>
        <v/>
      </c>
      <c r="AG351" s="127"/>
      <c r="AH351" s="137"/>
    </row>
    <row r="352" spans="1:34" x14ac:dyDescent="0.3">
      <c r="A352" s="126"/>
      <c r="B352" s="133"/>
      <c r="C352" s="127"/>
      <c r="D352" s="137"/>
      <c r="E352" s="58" t="str" cm="1">
        <f>IF(ISBLANK($A352),"",INDEX(Array_WaterCharges,MATCH($A352,List_WaterMeters,0),ROUNDUP((COLUMN()+0)/3-1,0)))</f>
        <v/>
      </c>
      <c r="F352" s="127"/>
      <c r="G352" s="137"/>
      <c r="H352" s="58" t="str" cm="1">
        <f>IF(ISBLANK($A352),"",INDEX(Array_WaterCharges,MATCH($A352,List_WaterMeters,0),ROUNDUP((COLUMN()+0)/3-1,0)))</f>
        <v/>
      </c>
      <c r="I352" s="127"/>
      <c r="J352" s="137"/>
      <c r="K352" s="58" t="str" cm="1">
        <f>IF(ISBLANK($A352),"",INDEX(Array_WaterCharges,MATCH($A352,List_WaterMeters,0),ROUNDUP((COLUMN()+0)/3-1,0)))</f>
        <v/>
      </c>
      <c r="L352" s="127"/>
      <c r="M352" s="137"/>
      <c r="N352" s="58" t="str" cm="1">
        <f>IF(ISBLANK($A352),"",INDEX(Array_WaterCharges,MATCH($A352,List_WaterMeters,0),ROUNDUP((COLUMN()+0)/3-1,0)))</f>
        <v/>
      </c>
      <c r="O352" s="127"/>
      <c r="P352" s="137"/>
      <c r="Q352" s="58" t="str" cm="1">
        <f>IF(ISBLANK($A352),"",INDEX(Array_WaterCharges,MATCH($A352,List_WaterMeters,0),ROUNDUP((COLUMN()+0)/3-1,0)))</f>
        <v/>
      </c>
      <c r="R352" s="127"/>
      <c r="S352" s="137"/>
      <c r="T352" s="58" t="str" cm="1">
        <f>IF(ISBLANK($A352),"",INDEX(Array_WaterCharges,MATCH($A352,List_WaterMeters,0),ROUNDUP((COLUMN()+0)/3-1,0)))</f>
        <v/>
      </c>
      <c r="U352" s="127"/>
      <c r="V352" s="137"/>
      <c r="W352" s="58" t="str" cm="1">
        <f>IF(ISBLANK($A352),"",INDEX(Array_WaterCharges,MATCH($A352,List_WaterMeters,0),ROUNDUP((COLUMN()+0)/3-1,0)))</f>
        <v/>
      </c>
      <c r="X352" s="127"/>
      <c r="Y352" s="137"/>
      <c r="Z352" s="58" t="str" cm="1">
        <f>IF(ISBLANK($A352),"",INDEX(Array_WaterCharges,MATCH($A352,List_WaterMeters,0),ROUNDUP((COLUMN()+0)/3-1,0)))</f>
        <v/>
      </c>
      <c r="AA352" s="127"/>
      <c r="AB352" s="137"/>
      <c r="AC352" s="58" t="str" cm="1">
        <f>IF(ISBLANK($A352),"",INDEX(Array_WaterCharges,MATCH($A352,List_WaterMeters,0),ROUNDUP((COLUMN()+0)/3-1,0)))</f>
        <v/>
      </c>
      <c r="AD352" s="127"/>
      <c r="AE352" s="137"/>
      <c r="AF352" s="58" t="str" cm="1">
        <f>IF(ISBLANK($A352),"",INDEX(Array_WaterCharges,MATCH($A352,List_WaterMeters,0),ROUNDUP((COLUMN()+0)/3-1,0)))</f>
        <v/>
      </c>
      <c r="AG352" s="127"/>
      <c r="AH352" s="137"/>
    </row>
    <row r="353" spans="1:34" x14ac:dyDescent="0.3">
      <c r="A353" s="126"/>
      <c r="B353" s="133"/>
      <c r="C353" s="127"/>
      <c r="D353" s="137"/>
      <c r="E353" s="58" t="str" cm="1">
        <f>IF(ISBLANK($A353),"",INDEX(Array_WaterCharges,MATCH($A353,List_WaterMeters,0),ROUNDUP((COLUMN()+0)/3-1,0)))</f>
        <v/>
      </c>
      <c r="F353" s="127"/>
      <c r="G353" s="137"/>
      <c r="H353" s="58" t="str" cm="1">
        <f>IF(ISBLANK($A353),"",INDEX(Array_WaterCharges,MATCH($A353,List_WaterMeters,0),ROUNDUP((COLUMN()+0)/3-1,0)))</f>
        <v/>
      </c>
      <c r="I353" s="127"/>
      <c r="J353" s="137"/>
      <c r="K353" s="58" t="str" cm="1">
        <f>IF(ISBLANK($A353),"",INDEX(Array_WaterCharges,MATCH($A353,List_WaterMeters,0),ROUNDUP((COLUMN()+0)/3-1,0)))</f>
        <v/>
      </c>
      <c r="L353" s="127"/>
      <c r="M353" s="137"/>
      <c r="N353" s="58" t="str" cm="1">
        <f>IF(ISBLANK($A353),"",INDEX(Array_WaterCharges,MATCH($A353,List_WaterMeters,0),ROUNDUP((COLUMN()+0)/3-1,0)))</f>
        <v/>
      </c>
      <c r="O353" s="127"/>
      <c r="P353" s="137"/>
      <c r="Q353" s="58" t="str" cm="1">
        <f>IF(ISBLANK($A353),"",INDEX(Array_WaterCharges,MATCH($A353,List_WaterMeters,0),ROUNDUP((COLUMN()+0)/3-1,0)))</f>
        <v/>
      </c>
      <c r="R353" s="127"/>
      <c r="S353" s="137"/>
      <c r="T353" s="58" t="str" cm="1">
        <f>IF(ISBLANK($A353),"",INDEX(Array_WaterCharges,MATCH($A353,List_WaterMeters,0),ROUNDUP((COLUMN()+0)/3-1,0)))</f>
        <v/>
      </c>
      <c r="U353" s="127"/>
      <c r="V353" s="137"/>
      <c r="W353" s="58" t="str" cm="1">
        <f>IF(ISBLANK($A353),"",INDEX(Array_WaterCharges,MATCH($A353,List_WaterMeters,0),ROUNDUP((COLUMN()+0)/3-1,0)))</f>
        <v/>
      </c>
      <c r="X353" s="127"/>
      <c r="Y353" s="137"/>
      <c r="Z353" s="58" t="str" cm="1">
        <f>IF(ISBLANK($A353),"",INDEX(Array_WaterCharges,MATCH($A353,List_WaterMeters,0),ROUNDUP((COLUMN()+0)/3-1,0)))</f>
        <v/>
      </c>
      <c r="AA353" s="127"/>
      <c r="AB353" s="137"/>
      <c r="AC353" s="58" t="str" cm="1">
        <f>IF(ISBLANK($A353),"",INDEX(Array_WaterCharges,MATCH($A353,List_WaterMeters,0),ROUNDUP((COLUMN()+0)/3-1,0)))</f>
        <v/>
      </c>
      <c r="AD353" s="127"/>
      <c r="AE353" s="137"/>
      <c r="AF353" s="58" t="str" cm="1">
        <f>IF(ISBLANK($A353),"",INDEX(Array_WaterCharges,MATCH($A353,List_WaterMeters,0),ROUNDUP((COLUMN()+0)/3-1,0)))</f>
        <v/>
      </c>
      <c r="AG353" s="127"/>
      <c r="AH353" s="137"/>
    </row>
    <row r="354" spans="1:34" x14ac:dyDescent="0.3">
      <c r="A354" s="126"/>
      <c r="B354" s="133"/>
      <c r="C354" s="127"/>
      <c r="D354" s="137"/>
      <c r="E354" s="58" t="str" cm="1">
        <f>IF(ISBLANK($A354),"",INDEX(Array_WaterCharges,MATCH($A354,List_WaterMeters,0),ROUNDUP((COLUMN()+0)/3-1,0)))</f>
        <v/>
      </c>
      <c r="F354" s="127"/>
      <c r="G354" s="137"/>
      <c r="H354" s="58" t="str" cm="1">
        <f>IF(ISBLANK($A354),"",INDEX(Array_WaterCharges,MATCH($A354,List_WaterMeters,0),ROUNDUP((COLUMN()+0)/3-1,0)))</f>
        <v/>
      </c>
      <c r="I354" s="127"/>
      <c r="J354" s="137"/>
      <c r="K354" s="58" t="str" cm="1">
        <f>IF(ISBLANK($A354),"",INDEX(Array_WaterCharges,MATCH($A354,List_WaterMeters,0),ROUNDUP((COLUMN()+0)/3-1,0)))</f>
        <v/>
      </c>
      <c r="L354" s="127"/>
      <c r="M354" s="137"/>
      <c r="N354" s="58" t="str" cm="1">
        <f>IF(ISBLANK($A354),"",INDEX(Array_WaterCharges,MATCH($A354,List_WaterMeters,0),ROUNDUP((COLUMN()+0)/3-1,0)))</f>
        <v/>
      </c>
      <c r="O354" s="127"/>
      <c r="P354" s="137"/>
      <c r="Q354" s="58" t="str" cm="1">
        <f>IF(ISBLANK($A354),"",INDEX(Array_WaterCharges,MATCH($A354,List_WaterMeters,0),ROUNDUP((COLUMN()+0)/3-1,0)))</f>
        <v/>
      </c>
      <c r="R354" s="127"/>
      <c r="S354" s="137"/>
      <c r="T354" s="58" t="str" cm="1">
        <f>IF(ISBLANK($A354),"",INDEX(Array_WaterCharges,MATCH($A354,List_WaterMeters,0),ROUNDUP((COLUMN()+0)/3-1,0)))</f>
        <v/>
      </c>
      <c r="U354" s="127"/>
      <c r="V354" s="137"/>
      <c r="W354" s="58" t="str" cm="1">
        <f>IF(ISBLANK($A354),"",INDEX(Array_WaterCharges,MATCH($A354,List_WaterMeters,0),ROUNDUP((COLUMN()+0)/3-1,0)))</f>
        <v/>
      </c>
      <c r="X354" s="127"/>
      <c r="Y354" s="137"/>
      <c r="Z354" s="58" t="str" cm="1">
        <f>IF(ISBLANK($A354),"",INDEX(Array_WaterCharges,MATCH($A354,List_WaterMeters,0),ROUNDUP((COLUMN()+0)/3-1,0)))</f>
        <v/>
      </c>
      <c r="AA354" s="127"/>
      <c r="AB354" s="137"/>
      <c r="AC354" s="58" t="str" cm="1">
        <f>IF(ISBLANK($A354),"",INDEX(Array_WaterCharges,MATCH($A354,List_WaterMeters,0),ROUNDUP((COLUMN()+0)/3-1,0)))</f>
        <v/>
      </c>
      <c r="AD354" s="127"/>
      <c r="AE354" s="137"/>
      <c r="AF354" s="58" t="str" cm="1">
        <f>IF(ISBLANK($A354),"",INDEX(Array_WaterCharges,MATCH($A354,List_WaterMeters,0),ROUNDUP((COLUMN()+0)/3-1,0)))</f>
        <v/>
      </c>
      <c r="AG354" s="127"/>
      <c r="AH354" s="137"/>
    </row>
    <row r="355" spans="1:34" x14ac:dyDescent="0.3">
      <c r="A355" s="126"/>
      <c r="B355" s="133"/>
      <c r="C355" s="127"/>
      <c r="D355" s="137"/>
      <c r="E355" s="58" t="str" cm="1">
        <f>IF(ISBLANK($A355),"",INDEX(Array_WaterCharges,MATCH($A355,List_WaterMeters,0),ROUNDUP((COLUMN()+0)/3-1,0)))</f>
        <v/>
      </c>
      <c r="F355" s="127"/>
      <c r="G355" s="137"/>
      <c r="H355" s="58" t="str" cm="1">
        <f>IF(ISBLANK($A355),"",INDEX(Array_WaterCharges,MATCH($A355,List_WaterMeters,0),ROUNDUP((COLUMN()+0)/3-1,0)))</f>
        <v/>
      </c>
      <c r="I355" s="127"/>
      <c r="J355" s="137"/>
      <c r="K355" s="58" t="str" cm="1">
        <f>IF(ISBLANK($A355),"",INDEX(Array_WaterCharges,MATCH($A355,List_WaterMeters,0),ROUNDUP((COLUMN()+0)/3-1,0)))</f>
        <v/>
      </c>
      <c r="L355" s="127"/>
      <c r="M355" s="137"/>
      <c r="N355" s="58" t="str" cm="1">
        <f>IF(ISBLANK($A355),"",INDEX(Array_WaterCharges,MATCH($A355,List_WaterMeters,0),ROUNDUP((COLUMN()+0)/3-1,0)))</f>
        <v/>
      </c>
      <c r="O355" s="127"/>
      <c r="P355" s="137"/>
      <c r="Q355" s="58" t="str" cm="1">
        <f>IF(ISBLANK($A355),"",INDEX(Array_WaterCharges,MATCH($A355,List_WaterMeters,0),ROUNDUP((COLUMN()+0)/3-1,0)))</f>
        <v/>
      </c>
      <c r="R355" s="127"/>
      <c r="S355" s="137"/>
      <c r="T355" s="58" t="str" cm="1">
        <f>IF(ISBLANK($A355),"",INDEX(Array_WaterCharges,MATCH($A355,List_WaterMeters,0),ROUNDUP((COLUMN()+0)/3-1,0)))</f>
        <v/>
      </c>
      <c r="U355" s="127"/>
      <c r="V355" s="137"/>
      <c r="W355" s="58" t="str" cm="1">
        <f>IF(ISBLANK($A355),"",INDEX(Array_WaterCharges,MATCH($A355,List_WaterMeters,0),ROUNDUP((COLUMN()+0)/3-1,0)))</f>
        <v/>
      </c>
      <c r="X355" s="127"/>
      <c r="Y355" s="137"/>
      <c r="Z355" s="58" t="str" cm="1">
        <f>IF(ISBLANK($A355),"",INDEX(Array_WaterCharges,MATCH($A355,List_WaterMeters,0),ROUNDUP((COLUMN()+0)/3-1,0)))</f>
        <v/>
      </c>
      <c r="AA355" s="127"/>
      <c r="AB355" s="137"/>
      <c r="AC355" s="58" t="str" cm="1">
        <f>IF(ISBLANK($A355),"",INDEX(Array_WaterCharges,MATCH($A355,List_WaterMeters,0),ROUNDUP((COLUMN()+0)/3-1,0)))</f>
        <v/>
      </c>
      <c r="AD355" s="127"/>
      <c r="AE355" s="137"/>
      <c r="AF355" s="58" t="str" cm="1">
        <f>IF(ISBLANK($A355),"",INDEX(Array_WaterCharges,MATCH($A355,List_WaterMeters,0),ROUNDUP((COLUMN()+0)/3-1,0)))</f>
        <v/>
      </c>
      <c r="AG355" s="127"/>
      <c r="AH355" s="137"/>
    </row>
    <row r="356" spans="1:34" x14ac:dyDescent="0.3">
      <c r="A356" s="126"/>
      <c r="B356" s="133"/>
      <c r="C356" s="127"/>
      <c r="D356" s="137"/>
      <c r="E356" s="58" t="str" cm="1">
        <f>IF(ISBLANK($A356),"",INDEX(Array_WaterCharges,MATCH($A356,List_WaterMeters,0),ROUNDUP((COLUMN()+0)/3-1,0)))</f>
        <v/>
      </c>
      <c r="F356" s="127"/>
      <c r="G356" s="137"/>
      <c r="H356" s="58" t="str" cm="1">
        <f>IF(ISBLANK($A356),"",INDEX(Array_WaterCharges,MATCH($A356,List_WaterMeters,0),ROUNDUP((COLUMN()+0)/3-1,0)))</f>
        <v/>
      </c>
      <c r="I356" s="127"/>
      <c r="J356" s="137"/>
      <c r="K356" s="58" t="str" cm="1">
        <f>IF(ISBLANK($A356),"",INDEX(Array_WaterCharges,MATCH($A356,List_WaterMeters,0),ROUNDUP((COLUMN()+0)/3-1,0)))</f>
        <v/>
      </c>
      <c r="L356" s="127"/>
      <c r="M356" s="137"/>
      <c r="N356" s="58" t="str" cm="1">
        <f>IF(ISBLANK($A356),"",INDEX(Array_WaterCharges,MATCH($A356,List_WaterMeters,0),ROUNDUP((COLUMN()+0)/3-1,0)))</f>
        <v/>
      </c>
      <c r="O356" s="127"/>
      <c r="P356" s="137"/>
      <c r="Q356" s="58" t="str" cm="1">
        <f>IF(ISBLANK($A356),"",INDEX(Array_WaterCharges,MATCH($A356,List_WaterMeters,0),ROUNDUP((COLUMN()+0)/3-1,0)))</f>
        <v/>
      </c>
      <c r="R356" s="127"/>
      <c r="S356" s="137"/>
      <c r="T356" s="58" t="str" cm="1">
        <f>IF(ISBLANK($A356),"",INDEX(Array_WaterCharges,MATCH($A356,List_WaterMeters,0),ROUNDUP((COLUMN()+0)/3-1,0)))</f>
        <v/>
      </c>
      <c r="U356" s="127"/>
      <c r="V356" s="137"/>
      <c r="W356" s="58" t="str" cm="1">
        <f>IF(ISBLANK($A356),"",INDEX(Array_WaterCharges,MATCH($A356,List_WaterMeters,0),ROUNDUP((COLUMN()+0)/3-1,0)))</f>
        <v/>
      </c>
      <c r="X356" s="127"/>
      <c r="Y356" s="137"/>
      <c r="Z356" s="58" t="str" cm="1">
        <f>IF(ISBLANK($A356),"",INDEX(Array_WaterCharges,MATCH($A356,List_WaterMeters,0),ROUNDUP((COLUMN()+0)/3-1,0)))</f>
        <v/>
      </c>
      <c r="AA356" s="127"/>
      <c r="AB356" s="137"/>
      <c r="AC356" s="58" t="str" cm="1">
        <f>IF(ISBLANK($A356),"",INDEX(Array_WaterCharges,MATCH($A356,List_WaterMeters,0),ROUNDUP((COLUMN()+0)/3-1,0)))</f>
        <v/>
      </c>
      <c r="AD356" s="127"/>
      <c r="AE356" s="137"/>
      <c r="AF356" s="58" t="str" cm="1">
        <f>IF(ISBLANK($A356),"",INDEX(Array_WaterCharges,MATCH($A356,List_WaterMeters,0),ROUNDUP((COLUMN()+0)/3-1,0)))</f>
        <v/>
      </c>
      <c r="AG356" s="127"/>
      <c r="AH356" s="137"/>
    </row>
    <row r="357" spans="1:34" x14ac:dyDescent="0.3">
      <c r="A357" s="126"/>
      <c r="B357" s="133"/>
      <c r="C357" s="127"/>
      <c r="D357" s="137"/>
      <c r="E357" s="58" t="str" cm="1">
        <f>IF(ISBLANK($A357),"",INDEX(Array_WaterCharges,MATCH($A357,List_WaterMeters,0),ROUNDUP((COLUMN()+0)/3-1,0)))</f>
        <v/>
      </c>
      <c r="F357" s="127"/>
      <c r="G357" s="137"/>
      <c r="H357" s="58" t="str" cm="1">
        <f>IF(ISBLANK($A357),"",INDEX(Array_WaterCharges,MATCH($A357,List_WaterMeters,0),ROUNDUP((COLUMN()+0)/3-1,0)))</f>
        <v/>
      </c>
      <c r="I357" s="127"/>
      <c r="J357" s="137"/>
      <c r="K357" s="58" t="str" cm="1">
        <f>IF(ISBLANK($A357),"",INDEX(Array_WaterCharges,MATCH($A357,List_WaterMeters,0),ROUNDUP((COLUMN()+0)/3-1,0)))</f>
        <v/>
      </c>
      <c r="L357" s="127"/>
      <c r="M357" s="137"/>
      <c r="N357" s="58" t="str" cm="1">
        <f>IF(ISBLANK($A357),"",INDEX(Array_WaterCharges,MATCH($A357,List_WaterMeters,0),ROUNDUP((COLUMN()+0)/3-1,0)))</f>
        <v/>
      </c>
      <c r="O357" s="127"/>
      <c r="P357" s="137"/>
      <c r="Q357" s="58" t="str" cm="1">
        <f>IF(ISBLANK($A357),"",INDEX(Array_WaterCharges,MATCH($A357,List_WaterMeters,0),ROUNDUP((COLUMN()+0)/3-1,0)))</f>
        <v/>
      </c>
      <c r="R357" s="127"/>
      <c r="S357" s="137"/>
      <c r="T357" s="58" t="str" cm="1">
        <f>IF(ISBLANK($A357),"",INDEX(Array_WaterCharges,MATCH($A357,List_WaterMeters,0),ROUNDUP((COLUMN()+0)/3-1,0)))</f>
        <v/>
      </c>
      <c r="U357" s="127"/>
      <c r="V357" s="137"/>
      <c r="W357" s="58" t="str" cm="1">
        <f>IF(ISBLANK($A357),"",INDEX(Array_WaterCharges,MATCH($A357,List_WaterMeters,0),ROUNDUP((COLUMN()+0)/3-1,0)))</f>
        <v/>
      </c>
      <c r="X357" s="127"/>
      <c r="Y357" s="137"/>
      <c r="Z357" s="58" t="str" cm="1">
        <f>IF(ISBLANK($A357),"",INDEX(Array_WaterCharges,MATCH($A357,List_WaterMeters,0),ROUNDUP((COLUMN()+0)/3-1,0)))</f>
        <v/>
      </c>
      <c r="AA357" s="127"/>
      <c r="AB357" s="137"/>
      <c r="AC357" s="58" t="str" cm="1">
        <f>IF(ISBLANK($A357),"",INDEX(Array_WaterCharges,MATCH($A357,List_WaterMeters,0),ROUNDUP((COLUMN()+0)/3-1,0)))</f>
        <v/>
      </c>
      <c r="AD357" s="127"/>
      <c r="AE357" s="137"/>
      <c r="AF357" s="58" t="str" cm="1">
        <f>IF(ISBLANK($A357),"",INDEX(Array_WaterCharges,MATCH($A357,List_WaterMeters,0),ROUNDUP((COLUMN()+0)/3-1,0)))</f>
        <v/>
      </c>
      <c r="AG357" s="127"/>
      <c r="AH357" s="137"/>
    </row>
    <row r="358" spans="1:34" x14ac:dyDescent="0.3">
      <c r="A358" s="126"/>
      <c r="B358" s="133"/>
      <c r="C358" s="127"/>
      <c r="D358" s="137"/>
      <c r="E358" s="58" t="str" cm="1">
        <f>IF(ISBLANK($A358),"",INDEX(Array_WaterCharges,MATCH($A358,List_WaterMeters,0),ROUNDUP((COLUMN()+0)/3-1,0)))</f>
        <v/>
      </c>
      <c r="F358" s="127"/>
      <c r="G358" s="137"/>
      <c r="H358" s="58" t="str" cm="1">
        <f>IF(ISBLANK($A358),"",INDEX(Array_WaterCharges,MATCH($A358,List_WaterMeters,0),ROUNDUP((COLUMN()+0)/3-1,0)))</f>
        <v/>
      </c>
      <c r="I358" s="127"/>
      <c r="J358" s="137"/>
      <c r="K358" s="58" t="str" cm="1">
        <f>IF(ISBLANK($A358),"",INDEX(Array_WaterCharges,MATCH($A358,List_WaterMeters,0),ROUNDUP((COLUMN()+0)/3-1,0)))</f>
        <v/>
      </c>
      <c r="L358" s="127"/>
      <c r="M358" s="137"/>
      <c r="N358" s="58" t="str" cm="1">
        <f>IF(ISBLANK($A358),"",INDEX(Array_WaterCharges,MATCH($A358,List_WaterMeters,0),ROUNDUP((COLUMN()+0)/3-1,0)))</f>
        <v/>
      </c>
      <c r="O358" s="127"/>
      <c r="P358" s="137"/>
      <c r="Q358" s="58" t="str" cm="1">
        <f>IF(ISBLANK($A358),"",INDEX(Array_WaterCharges,MATCH($A358,List_WaterMeters,0),ROUNDUP((COLUMN()+0)/3-1,0)))</f>
        <v/>
      </c>
      <c r="R358" s="127"/>
      <c r="S358" s="137"/>
      <c r="T358" s="58" t="str" cm="1">
        <f>IF(ISBLANK($A358),"",INDEX(Array_WaterCharges,MATCH($A358,List_WaterMeters,0),ROUNDUP((COLUMN()+0)/3-1,0)))</f>
        <v/>
      </c>
      <c r="U358" s="127"/>
      <c r="V358" s="137"/>
      <c r="W358" s="58" t="str" cm="1">
        <f>IF(ISBLANK($A358),"",INDEX(Array_WaterCharges,MATCH($A358,List_WaterMeters,0),ROUNDUP((COLUMN()+0)/3-1,0)))</f>
        <v/>
      </c>
      <c r="X358" s="127"/>
      <c r="Y358" s="137"/>
      <c r="Z358" s="58" t="str" cm="1">
        <f>IF(ISBLANK($A358),"",INDEX(Array_WaterCharges,MATCH($A358,List_WaterMeters,0),ROUNDUP((COLUMN()+0)/3-1,0)))</f>
        <v/>
      </c>
      <c r="AA358" s="127"/>
      <c r="AB358" s="137"/>
      <c r="AC358" s="58" t="str" cm="1">
        <f>IF(ISBLANK($A358),"",INDEX(Array_WaterCharges,MATCH($A358,List_WaterMeters,0),ROUNDUP((COLUMN()+0)/3-1,0)))</f>
        <v/>
      </c>
      <c r="AD358" s="127"/>
      <c r="AE358" s="137"/>
      <c r="AF358" s="58" t="str" cm="1">
        <f>IF(ISBLANK($A358),"",INDEX(Array_WaterCharges,MATCH($A358,List_WaterMeters,0),ROUNDUP((COLUMN()+0)/3-1,0)))</f>
        <v/>
      </c>
      <c r="AG358" s="127"/>
      <c r="AH358" s="137"/>
    </row>
    <row r="359" spans="1:34" x14ac:dyDescent="0.3">
      <c r="A359" s="126"/>
      <c r="B359" s="133"/>
      <c r="C359" s="127"/>
      <c r="D359" s="137"/>
      <c r="E359" s="58" t="str" cm="1">
        <f>IF(ISBLANK($A359),"",INDEX(Array_WaterCharges,MATCH($A359,List_WaterMeters,0),ROUNDUP((COLUMN()+0)/3-1,0)))</f>
        <v/>
      </c>
      <c r="F359" s="127"/>
      <c r="G359" s="137"/>
      <c r="H359" s="58" t="str" cm="1">
        <f>IF(ISBLANK($A359),"",INDEX(Array_WaterCharges,MATCH($A359,List_WaterMeters,0),ROUNDUP((COLUMN()+0)/3-1,0)))</f>
        <v/>
      </c>
      <c r="I359" s="127"/>
      <c r="J359" s="137"/>
      <c r="K359" s="58" t="str" cm="1">
        <f>IF(ISBLANK($A359),"",INDEX(Array_WaterCharges,MATCH($A359,List_WaterMeters,0),ROUNDUP((COLUMN()+0)/3-1,0)))</f>
        <v/>
      </c>
      <c r="L359" s="127"/>
      <c r="M359" s="137"/>
      <c r="N359" s="58" t="str" cm="1">
        <f>IF(ISBLANK($A359),"",INDEX(Array_WaterCharges,MATCH($A359,List_WaterMeters,0),ROUNDUP((COLUMN()+0)/3-1,0)))</f>
        <v/>
      </c>
      <c r="O359" s="127"/>
      <c r="P359" s="137"/>
      <c r="Q359" s="58" t="str" cm="1">
        <f>IF(ISBLANK($A359),"",INDEX(Array_WaterCharges,MATCH($A359,List_WaterMeters,0),ROUNDUP((COLUMN()+0)/3-1,0)))</f>
        <v/>
      </c>
      <c r="R359" s="127"/>
      <c r="S359" s="137"/>
      <c r="T359" s="58" t="str" cm="1">
        <f>IF(ISBLANK($A359),"",INDEX(Array_WaterCharges,MATCH($A359,List_WaterMeters,0),ROUNDUP((COLUMN()+0)/3-1,0)))</f>
        <v/>
      </c>
      <c r="U359" s="127"/>
      <c r="V359" s="137"/>
      <c r="W359" s="58" t="str" cm="1">
        <f>IF(ISBLANK($A359),"",INDEX(Array_WaterCharges,MATCH($A359,List_WaterMeters,0),ROUNDUP((COLUMN()+0)/3-1,0)))</f>
        <v/>
      </c>
      <c r="X359" s="127"/>
      <c r="Y359" s="137"/>
      <c r="Z359" s="58" t="str" cm="1">
        <f>IF(ISBLANK($A359),"",INDEX(Array_WaterCharges,MATCH($A359,List_WaterMeters,0),ROUNDUP((COLUMN()+0)/3-1,0)))</f>
        <v/>
      </c>
      <c r="AA359" s="127"/>
      <c r="AB359" s="137"/>
      <c r="AC359" s="58" t="str" cm="1">
        <f>IF(ISBLANK($A359),"",INDEX(Array_WaterCharges,MATCH($A359,List_WaterMeters,0),ROUNDUP((COLUMN()+0)/3-1,0)))</f>
        <v/>
      </c>
      <c r="AD359" s="127"/>
      <c r="AE359" s="137"/>
      <c r="AF359" s="58" t="str" cm="1">
        <f>IF(ISBLANK($A359),"",INDEX(Array_WaterCharges,MATCH($A359,List_WaterMeters,0),ROUNDUP((COLUMN()+0)/3-1,0)))</f>
        <v/>
      </c>
      <c r="AG359" s="127"/>
      <c r="AH359" s="137"/>
    </row>
    <row r="360" spans="1:34" x14ac:dyDescent="0.3">
      <c r="A360" s="126"/>
      <c r="B360" s="133"/>
      <c r="C360" s="127"/>
      <c r="D360" s="137"/>
      <c r="E360" s="58" t="str" cm="1">
        <f>IF(ISBLANK($A360),"",INDEX(Array_WaterCharges,MATCH($A360,List_WaterMeters,0),ROUNDUP((COLUMN()+0)/3-1,0)))</f>
        <v/>
      </c>
      <c r="F360" s="127"/>
      <c r="G360" s="137"/>
      <c r="H360" s="58" t="str" cm="1">
        <f>IF(ISBLANK($A360),"",INDEX(Array_WaterCharges,MATCH($A360,List_WaterMeters,0),ROUNDUP((COLUMN()+0)/3-1,0)))</f>
        <v/>
      </c>
      <c r="I360" s="127"/>
      <c r="J360" s="137"/>
      <c r="K360" s="58" t="str" cm="1">
        <f>IF(ISBLANK($A360),"",INDEX(Array_WaterCharges,MATCH($A360,List_WaterMeters,0),ROUNDUP((COLUMN()+0)/3-1,0)))</f>
        <v/>
      </c>
      <c r="L360" s="127"/>
      <c r="M360" s="137"/>
      <c r="N360" s="58" t="str" cm="1">
        <f>IF(ISBLANK($A360),"",INDEX(Array_WaterCharges,MATCH($A360,List_WaterMeters,0),ROUNDUP((COLUMN()+0)/3-1,0)))</f>
        <v/>
      </c>
      <c r="O360" s="127"/>
      <c r="P360" s="137"/>
      <c r="Q360" s="58" t="str" cm="1">
        <f>IF(ISBLANK($A360),"",INDEX(Array_WaterCharges,MATCH($A360,List_WaterMeters,0),ROUNDUP((COLUMN()+0)/3-1,0)))</f>
        <v/>
      </c>
      <c r="R360" s="127"/>
      <c r="S360" s="137"/>
      <c r="T360" s="58" t="str" cm="1">
        <f>IF(ISBLANK($A360),"",INDEX(Array_WaterCharges,MATCH($A360,List_WaterMeters,0),ROUNDUP((COLUMN()+0)/3-1,0)))</f>
        <v/>
      </c>
      <c r="U360" s="127"/>
      <c r="V360" s="137"/>
      <c r="W360" s="58" t="str" cm="1">
        <f>IF(ISBLANK($A360),"",INDEX(Array_WaterCharges,MATCH($A360,List_WaterMeters,0),ROUNDUP((COLUMN()+0)/3-1,0)))</f>
        <v/>
      </c>
      <c r="X360" s="127"/>
      <c r="Y360" s="137"/>
      <c r="Z360" s="58" t="str" cm="1">
        <f>IF(ISBLANK($A360),"",INDEX(Array_WaterCharges,MATCH($A360,List_WaterMeters,0),ROUNDUP((COLUMN()+0)/3-1,0)))</f>
        <v/>
      </c>
      <c r="AA360" s="127"/>
      <c r="AB360" s="137"/>
      <c r="AC360" s="58" t="str" cm="1">
        <f>IF(ISBLANK($A360),"",INDEX(Array_WaterCharges,MATCH($A360,List_WaterMeters,0),ROUNDUP((COLUMN()+0)/3-1,0)))</f>
        <v/>
      </c>
      <c r="AD360" s="127"/>
      <c r="AE360" s="137"/>
      <c r="AF360" s="58" t="str" cm="1">
        <f>IF(ISBLANK($A360),"",INDEX(Array_WaterCharges,MATCH($A360,List_WaterMeters,0),ROUNDUP((COLUMN()+0)/3-1,0)))</f>
        <v/>
      </c>
      <c r="AG360" s="127"/>
      <c r="AH360" s="137"/>
    </row>
    <row r="361" spans="1:34" x14ac:dyDescent="0.3">
      <c r="A361" s="126"/>
      <c r="B361" s="133"/>
      <c r="C361" s="127"/>
      <c r="D361" s="137"/>
      <c r="E361" s="58" t="str" cm="1">
        <f>IF(ISBLANK($A361),"",INDEX(Array_WaterCharges,MATCH($A361,List_WaterMeters,0),ROUNDUP((COLUMN()+0)/3-1,0)))</f>
        <v/>
      </c>
      <c r="F361" s="127"/>
      <c r="G361" s="137"/>
      <c r="H361" s="58" t="str" cm="1">
        <f>IF(ISBLANK($A361),"",INDEX(Array_WaterCharges,MATCH($A361,List_WaterMeters,0),ROUNDUP((COLUMN()+0)/3-1,0)))</f>
        <v/>
      </c>
      <c r="I361" s="127"/>
      <c r="J361" s="137"/>
      <c r="K361" s="58" t="str" cm="1">
        <f>IF(ISBLANK($A361),"",INDEX(Array_WaterCharges,MATCH($A361,List_WaterMeters,0),ROUNDUP((COLUMN()+0)/3-1,0)))</f>
        <v/>
      </c>
      <c r="L361" s="127"/>
      <c r="M361" s="137"/>
      <c r="N361" s="58" t="str" cm="1">
        <f>IF(ISBLANK($A361),"",INDEX(Array_WaterCharges,MATCH($A361,List_WaterMeters,0),ROUNDUP((COLUMN()+0)/3-1,0)))</f>
        <v/>
      </c>
      <c r="O361" s="127"/>
      <c r="P361" s="137"/>
      <c r="Q361" s="58" t="str" cm="1">
        <f>IF(ISBLANK($A361),"",INDEX(Array_WaterCharges,MATCH($A361,List_WaterMeters,0),ROUNDUP((COLUMN()+0)/3-1,0)))</f>
        <v/>
      </c>
      <c r="R361" s="127"/>
      <c r="S361" s="137"/>
      <c r="T361" s="58" t="str" cm="1">
        <f>IF(ISBLANK($A361),"",INDEX(Array_WaterCharges,MATCH($A361,List_WaterMeters,0),ROUNDUP((COLUMN()+0)/3-1,0)))</f>
        <v/>
      </c>
      <c r="U361" s="127"/>
      <c r="V361" s="137"/>
      <c r="W361" s="58" t="str" cm="1">
        <f>IF(ISBLANK($A361),"",INDEX(Array_WaterCharges,MATCH($A361,List_WaterMeters,0),ROUNDUP((COLUMN()+0)/3-1,0)))</f>
        <v/>
      </c>
      <c r="X361" s="127"/>
      <c r="Y361" s="137"/>
      <c r="Z361" s="58" t="str" cm="1">
        <f>IF(ISBLANK($A361),"",INDEX(Array_WaterCharges,MATCH($A361,List_WaterMeters,0),ROUNDUP((COLUMN()+0)/3-1,0)))</f>
        <v/>
      </c>
      <c r="AA361" s="127"/>
      <c r="AB361" s="137"/>
      <c r="AC361" s="58" t="str" cm="1">
        <f>IF(ISBLANK($A361),"",INDEX(Array_WaterCharges,MATCH($A361,List_WaterMeters,0),ROUNDUP((COLUMN()+0)/3-1,0)))</f>
        <v/>
      </c>
      <c r="AD361" s="127"/>
      <c r="AE361" s="137"/>
      <c r="AF361" s="58" t="str" cm="1">
        <f>IF(ISBLANK($A361),"",INDEX(Array_WaterCharges,MATCH($A361,List_WaterMeters,0),ROUNDUP((COLUMN()+0)/3-1,0)))</f>
        <v/>
      </c>
      <c r="AG361" s="127"/>
      <c r="AH361" s="137"/>
    </row>
    <row r="362" spans="1:34" x14ac:dyDescent="0.3">
      <c r="A362" s="126"/>
      <c r="B362" s="133"/>
      <c r="C362" s="127"/>
      <c r="D362" s="137"/>
      <c r="E362" s="58" t="str" cm="1">
        <f>IF(ISBLANK($A362),"",INDEX(Array_WaterCharges,MATCH($A362,List_WaterMeters,0),ROUNDUP((COLUMN()+0)/3-1,0)))</f>
        <v/>
      </c>
      <c r="F362" s="127"/>
      <c r="G362" s="137"/>
      <c r="H362" s="58" t="str" cm="1">
        <f>IF(ISBLANK($A362),"",INDEX(Array_WaterCharges,MATCH($A362,List_WaterMeters,0),ROUNDUP((COLUMN()+0)/3-1,0)))</f>
        <v/>
      </c>
      <c r="I362" s="127"/>
      <c r="J362" s="137"/>
      <c r="K362" s="58" t="str" cm="1">
        <f>IF(ISBLANK($A362),"",INDEX(Array_WaterCharges,MATCH($A362,List_WaterMeters,0),ROUNDUP((COLUMN()+0)/3-1,0)))</f>
        <v/>
      </c>
      <c r="L362" s="127"/>
      <c r="M362" s="137"/>
      <c r="N362" s="58" t="str" cm="1">
        <f>IF(ISBLANK($A362),"",INDEX(Array_WaterCharges,MATCH($A362,List_WaterMeters,0),ROUNDUP((COLUMN()+0)/3-1,0)))</f>
        <v/>
      </c>
      <c r="O362" s="127"/>
      <c r="P362" s="137"/>
      <c r="Q362" s="58" t="str" cm="1">
        <f>IF(ISBLANK($A362),"",INDEX(Array_WaterCharges,MATCH($A362,List_WaterMeters,0),ROUNDUP((COLUMN()+0)/3-1,0)))</f>
        <v/>
      </c>
      <c r="R362" s="127"/>
      <c r="S362" s="137"/>
      <c r="T362" s="58" t="str" cm="1">
        <f>IF(ISBLANK($A362),"",INDEX(Array_WaterCharges,MATCH($A362,List_WaterMeters,0),ROUNDUP((COLUMN()+0)/3-1,0)))</f>
        <v/>
      </c>
      <c r="U362" s="127"/>
      <c r="V362" s="137"/>
      <c r="W362" s="58" t="str" cm="1">
        <f>IF(ISBLANK($A362),"",INDEX(Array_WaterCharges,MATCH($A362,List_WaterMeters,0),ROUNDUP((COLUMN()+0)/3-1,0)))</f>
        <v/>
      </c>
      <c r="X362" s="127"/>
      <c r="Y362" s="137"/>
      <c r="Z362" s="58" t="str" cm="1">
        <f>IF(ISBLANK($A362),"",INDEX(Array_WaterCharges,MATCH($A362,List_WaterMeters,0),ROUNDUP((COLUMN()+0)/3-1,0)))</f>
        <v/>
      </c>
      <c r="AA362" s="127"/>
      <c r="AB362" s="137"/>
      <c r="AC362" s="58" t="str" cm="1">
        <f>IF(ISBLANK($A362),"",INDEX(Array_WaterCharges,MATCH($A362,List_WaterMeters,0),ROUNDUP((COLUMN()+0)/3-1,0)))</f>
        <v/>
      </c>
      <c r="AD362" s="127"/>
      <c r="AE362" s="137"/>
      <c r="AF362" s="58" t="str" cm="1">
        <f>IF(ISBLANK($A362),"",INDEX(Array_WaterCharges,MATCH($A362,List_WaterMeters,0),ROUNDUP((COLUMN()+0)/3-1,0)))</f>
        <v/>
      </c>
      <c r="AG362" s="127"/>
      <c r="AH362" s="137"/>
    </row>
    <row r="363" spans="1:34" x14ac:dyDescent="0.3">
      <c r="A363" s="126"/>
      <c r="B363" s="133"/>
      <c r="C363" s="127"/>
      <c r="D363" s="137"/>
      <c r="E363" s="58" t="str" cm="1">
        <f>IF(ISBLANK($A363),"",INDEX(Array_WaterCharges,MATCH($A363,List_WaterMeters,0),ROUNDUP((COLUMN()+0)/3-1,0)))</f>
        <v/>
      </c>
      <c r="F363" s="127"/>
      <c r="G363" s="137"/>
      <c r="H363" s="58" t="str" cm="1">
        <f>IF(ISBLANK($A363),"",INDEX(Array_WaterCharges,MATCH($A363,List_WaterMeters,0),ROUNDUP((COLUMN()+0)/3-1,0)))</f>
        <v/>
      </c>
      <c r="I363" s="127"/>
      <c r="J363" s="137"/>
      <c r="K363" s="58" t="str" cm="1">
        <f>IF(ISBLANK($A363),"",INDEX(Array_WaterCharges,MATCH($A363,List_WaterMeters,0),ROUNDUP((COLUMN()+0)/3-1,0)))</f>
        <v/>
      </c>
      <c r="L363" s="127"/>
      <c r="M363" s="137"/>
      <c r="N363" s="58" t="str" cm="1">
        <f>IF(ISBLANK($A363),"",INDEX(Array_WaterCharges,MATCH($A363,List_WaterMeters,0),ROUNDUP((COLUMN()+0)/3-1,0)))</f>
        <v/>
      </c>
      <c r="O363" s="127"/>
      <c r="P363" s="137"/>
      <c r="Q363" s="58" t="str" cm="1">
        <f>IF(ISBLANK($A363),"",INDEX(Array_WaterCharges,MATCH($A363,List_WaterMeters,0),ROUNDUP((COLUMN()+0)/3-1,0)))</f>
        <v/>
      </c>
      <c r="R363" s="127"/>
      <c r="S363" s="137"/>
      <c r="T363" s="58" t="str" cm="1">
        <f>IF(ISBLANK($A363),"",INDEX(Array_WaterCharges,MATCH($A363,List_WaterMeters,0),ROUNDUP((COLUMN()+0)/3-1,0)))</f>
        <v/>
      </c>
      <c r="U363" s="127"/>
      <c r="V363" s="137"/>
      <c r="W363" s="58" t="str" cm="1">
        <f>IF(ISBLANK($A363),"",INDEX(Array_WaterCharges,MATCH($A363,List_WaterMeters,0),ROUNDUP((COLUMN()+0)/3-1,0)))</f>
        <v/>
      </c>
      <c r="X363" s="127"/>
      <c r="Y363" s="137"/>
      <c r="Z363" s="58" t="str" cm="1">
        <f>IF(ISBLANK($A363),"",INDEX(Array_WaterCharges,MATCH($A363,List_WaterMeters,0),ROUNDUP((COLUMN()+0)/3-1,0)))</f>
        <v/>
      </c>
      <c r="AA363" s="127"/>
      <c r="AB363" s="137"/>
      <c r="AC363" s="58" t="str" cm="1">
        <f>IF(ISBLANK($A363),"",INDEX(Array_WaterCharges,MATCH($A363,List_WaterMeters,0),ROUNDUP((COLUMN()+0)/3-1,0)))</f>
        <v/>
      </c>
      <c r="AD363" s="127"/>
      <c r="AE363" s="137"/>
      <c r="AF363" s="58" t="str" cm="1">
        <f>IF(ISBLANK($A363),"",INDEX(Array_WaterCharges,MATCH($A363,List_WaterMeters,0),ROUNDUP((COLUMN()+0)/3-1,0)))</f>
        <v/>
      </c>
      <c r="AG363" s="127"/>
      <c r="AH363" s="137"/>
    </row>
    <row r="364" spans="1:34" x14ac:dyDescent="0.3">
      <c r="A364" s="126"/>
      <c r="B364" s="133"/>
      <c r="C364" s="127"/>
      <c r="D364" s="137"/>
      <c r="E364" s="58" t="str" cm="1">
        <f>IF(ISBLANK($A364),"",INDEX(Array_WaterCharges,MATCH($A364,List_WaterMeters,0),ROUNDUP((COLUMN()+0)/3-1,0)))</f>
        <v/>
      </c>
      <c r="F364" s="127"/>
      <c r="G364" s="137"/>
      <c r="H364" s="58" t="str" cm="1">
        <f>IF(ISBLANK($A364),"",INDEX(Array_WaterCharges,MATCH($A364,List_WaterMeters,0),ROUNDUP((COLUMN()+0)/3-1,0)))</f>
        <v/>
      </c>
      <c r="I364" s="127"/>
      <c r="J364" s="137"/>
      <c r="K364" s="58" t="str" cm="1">
        <f>IF(ISBLANK($A364),"",INDEX(Array_WaterCharges,MATCH($A364,List_WaterMeters,0),ROUNDUP((COLUMN()+0)/3-1,0)))</f>
        <v/>
      </c>
      <c r="L364" s="127"/>
      <c r="M364" s="137"/>
      <c r="N364" s="58" t="str" cm="1">
        <f>IF(ISBLANK($A364),"",INDEX(Array_WaterCharges,MATCH($A364,List_WaterMeters,0),ROUNDUP((COLUMN()+0)/3-1,0)))</f>
        <v/>
      </c>
      <c r="O364" s="127"/>
      <c r="P364" s="137"/>
      <c r="Q364" s="58" t="str" cm="1">
        <f>IF(ISBLANK($A364),"",INDEX(Array_WaterCharges,MATCH($A364,List_WaterMeters,0),ROUNDUP((COLUMN()+0)/3-1,0)))</f>
        <v/>
      </c>
      <c r="R364" s="127"/>
      <c r="S364" s="137"/>
      <c r="T364" s="58" t="str" cm="1">
        <f>IF(ISBLANK($A364),"",INDEX(Array_WaterCharges,MATCH($A364,List_WaterMeters,0),ROUNDUP((COLUMN()+0)/3-1,0)))</f>
        <v/>
      </c>
      <c r="U364" s="127"/>
      <c r="V364" s="137"/>
      <c r="W364" s="58" t="str" cm="1">
        <f>IF(ISBLANK($A364),"",INDEX(Array_WaterCharges,MATCH($A364,List_WaterMeters,0),ROUNDUP((COLUMN()+0)/3-1,0)))</f>
        <v/>
      </c>
      <c r="X364" s="127"/>
      <c r="Y364" s="137"/>
      <c r="Z364" s="58" t="str" cm="1">
        <f>IF(ISBLANK($A364),"",INDEX(Array_WaterCharges,MATCH($A364,List_WaterMeters,0),ROUNDUP((COLUMN()+0)/3-1,0)))</f>
        <v/>
      </c>
      <c r="AA364" s="127"/>
      <c r="AB364" s="137"/>
      <c r="AC364" s="58" t="str" cm="1">
        <f>IF(ISBLANK($A364),"",INDEX(Array_WaterCharges,MATCH($A364,List_WaterMeters,0),ROUNDUP((COLUMN()+0)/3-1,0)))</f>
        <v/>
      </c>
      <c r="AD364" s="127"/>
      <c r="AE364" s="137"/>
      <c r="AF364" s="58" t="str" cm="1">
        <f>IF(ISBLANK($A364),"",INDEX(Array_WaterCharges,MATCH($A364,List_WaterMeters,0),ROUNDUP((COLUMN()+0)/3-1,0)))</f>
        <v/>
      </c>
      <c r="AG364" s="127"/>
      <c r="AH364" s="137"/>
    </row>
    <row r="365" spans="1:34" x14ac:dyDescent="0.3">
      <c r="A365" s="126"/>
      <c r="B365" s="133"/>
      <c r="C365" s="127"/>
      <c r="D365" s="137"/>
      <c r="E365" s="58" t="str" cm="1">
        <f>IF(ISBLANK($A365),"",INDEX(Array_WaterCharges,MATCH($A365,List_WaterMeters,0),ROUNDUP((COLUMN()+0)/3-1,0)))</f>
        <v/>
      </c>
      <c r="F365" s="127"/>
      <c r="G365" s="137"/>
      <c r="H365" s="58" t="str" cm="1">
        <f>IF(ISBLANK($A365),"",INDEX(Array_WaterCharges,MATCH($A365,List_WaterMeters,0),ROUNDUP((COLUMN()+0)/3-1,0)))</f>
        <v/>
      </c>
      <c r="I365" s="127"/>
      <c r="J365" s="137"/>
      <c r="K365" s="58" t="str" cm="1">
        <f>IF(ISBLANK($A365),"",INDEX(Array_WaterCharges,MATCH($A365,List_WaterMeters,0),ROUNDUP((COLUMN()+0)/3-1,0)))</f>
        <v/>
      </c>
      <c r="L365" s="127"/>
      <c r="M365" s="137"/>
      <c r="N365" s="58" t="str" cm="1">
        <f>IF(ISBLANK($A365),"",INDEX(Array_WaterCharges,MATCH($A365,List_WaterMeters,0),ROUNDUP((COLUMN()+0)/3-1,0)))</f>
        <v/>
      </c>
      <c r="O365" s="127"/>
      <c r="P365" s="137"/>
      <c r="Q365" s="58" t="str" cm="1">
        <f>IF(ISBLANK($A365),"",INDEX(Array_WaterCharges,MATCH($A365,List_WaterMeters,0),ROUNDUP((COLUMN()+0)/3-1,0)))</f>
        <v/>
      </c>
      <c r="R365" s="127"/>
      <c r="S365" s="137"/>
      <c r="T365" s="58" t="str" cm="1">
        <f>IF(ISBLANK($A365),"",INDEX(Array_WaterCharges,MATCH($A365,List_WaterMeters,0),ROUNDUP((COLUMN()+0)/3-1,0)))</f>
        <v/>
      </c>
      <c r="U365" s="127"/>
      <c r="V365" s="137"/>
      <c r="W365" s="58" t="str" cm="1">
        <f>IF(ISBLANK($A365),"",INDEX(Array_WaterCharges,MATCH($A365,List_WaterMeters,0),ROUNDUP((COLUMN()+0)/3-1,0)))</f>
        <v/>
      </c>
      <c r="X365" s="127"/>
      <c r="Y365" s="137"/>
      <c r="Z365" s="58" t="str" cm="1">
        <f>IF(ISBLANK($A365),"",INDEX(Array_WaterCharges,MATCH($A365,List_WaterMeters,0),ROUNDUP((COLUMN()+0)/3-1,0)))</f>
        <v/>
      </c>
      <c r="AA365" s="127"/>
      <c r="AB365" s="137"/>
      <c r="AC365" s="58" t="str" cm="1">
        <f>IF(ISBLANK($A365),"",INDEX(Array_WaterCharges,MATCH($A365,List_WaterMeters,0),ROUNDUP((COLUMN()+0)/3-1,0)))</f>
        <v/>
      </c>
      <c r="AD365" s="127"/>
      <c r="AE365" s="137"/>
      <c r="AF365" s="58" t="str" cm="1">
        <f>IF(ISBLANK($A365),"",INDEX(Array_WaterCharges,MATCH($A365,List_WaterMeters,0),ROUNDUP((COLUMN()+0)/3-1,0)))</f>
        <v/>
      </c>
      <c r="AG365" s="127"/>
      <c r="AH365" s="137"/>
    </row>
    <row r="366" spans="1:34" x14ac:dyDescent="0.3">
      <c r="A366" s="126"/>
      <c r="B366" s="133"/>
      <c r="C366" s="127"/>
      <c r="D366" s="137"/>
      <c r="E366" s="58" t="str" cm="1">
        <f>IF(ISBLANK($A366),"",INDEX(Array_WaterCharges,MATCH($A366,List_WaterMeters,0),ROUNDUP((COLUMN()+0)/3-1,0)))</f>
        <v/>
      </c>
      <c r="F366" s="127"/>
      <c r="G366" s="137"/>
      <c r="H366" s="58" t="str" cm="1">
        <f>IF(ISBLANK($A366),"",INDEX(Array_WaterCharges,MATCH($A366,List_WaterMeters,0),ROUNDUP((COLUMN()+0)/3-1,0)))</f>
        <v/>
      </c>
      <c r="I366" s="127"/>
      <c r="J366" s="137"/>
      <c r="K366" s="58" t="str" cm="1">
        <f>IF(ISBLANK($A366),"",INDEX(Array_WaterCharges,MATCH($A366,List_WaterMeters,0),ROUNDUP((COLUMN()+0)/3-1,0)))</f>
        <v/>
      </c>
      <c r="L366" s="127"/>
      <c r="M366" s="137"/>
      <c r="N366" s="58" t="str" cm="1">
        <f>IF(ISBLANK($A366),"",INDEX(Array_WaterCharges,MATCH($A366,List_WaterMeters,0),ROUNDUP((COLUMN()+0)/3-1,0)))</f>
        <v/>
      </c>
      <c r="O366" s="127"/>
      <c r="P366" s="137"/>
      <c r="Q366" s="58" t="str" cm="1">
        <f>IF(ISBLANK($A366),"",INDEX(Array_WaterCharges,MATCH($A366,List_WaterMeters,0),ROUNDUP((COLUMN()+0)/3-1,0)))</f>
        <v/>
      </c>
      <c r="R366" s="127"/>
      <c r="S366" s="137"/>
      <c r="T366" s="58" t="str" cm="1">
        <f>IF(ISBLANK($A366),"",INDEX(Array_WaterCharges,MATCH($A366,List_WaterMeters,0),ROUNDUP((COLUMN()+0)/3-1,0)))</f>
        <v/>
      </c>
      <c r="U366" s="127"/>
      <c r="V366" s="137"/>
      <c r="W366" s="58" t="str" cm="1">
        <f>IF(ISBLANK($A366),"",INDEX(Array_WaterCharges,MATCH($A366,List_WaterMeters,0),ROUNDUP((COLUMN()+0)/3-1,0)))</f>
        <v/>
      </c>
      <c r="X366" s="127"/>
      <c r="Y366" s="137"/>
      <c r="Z366" s="58" t="str" cm="1">
        <f>IF(ISBLANK($A366),"",INDEX(Array_WaterCharges,MATCH($A366,List_WaterMeters,0),ROUNDUP((COLUMN()+0)/3-1,0)))</f>
        <v/>
      </c>
      <c r="AA366" s="127"/>
      <c r="AB366" s="137"/>
      <c r="AC366" s="58" t="str" cm="1">
        <f>IF(ISBLANK($A366),"",INDEX(Array_WaterCharges,MATCH($A366,List_WaterMeters,0),ROUNDUP((COLUMN()+0)/3-1,0)))</f>
        <v/>
      </c>
      <c r="AD366" s="127"/>
      <c r="AE366" s="137"/>
      <c r="AF366" s="58" t="str" cm="1">
        <f>IF(ISBLANK($A366),"",INDEX(Array_WaterCharges,MATCH($A366,List_WaterMeters,0),ROUNDUP((COLUMN()+0)/3-1,0)))</f>
        <v/>
      </c>
      <c r="AG366" s="127"/>
      <c r="AH366" s="137"/>
    </row>
    <row r="367" spans="1:34" x14ac:dyDescent="0.3">
      <c r="A367" s="126"/>
      <c r="B367" s="133"/>
      <c r="C367" s="127"/>
      <c r="D367" s="137"/>
      <c r="E367" s="58" t="str" cm="1">
        <f>IF(ISBLANK($A367),"",INDEX(Array_WaterCharges,MATCH($A367,List_WaterMeters,0),ROUNDUP((COLUMN()+0)/3-1,0)))</f>
        <v/>
      </c>
      <c r="F367" s="127"/>
      <c r="G367" s="137"/>
      <c r="H367" s="58" t="str" cm="1">
        <f>IF(ISBLANK($A367),"",INDEX(Array_WaterCharges,MATCH($A367,List_WaterMeters,0),ROUNDUP((COLUMN()+0)/3-1,0)))</f>
        <v/>
      </c>
      <c r="I367" s="127"/>
      <c r="J367" s="137"/>
      <c r="K367" s="58" t="str" cm="1">
        <f>IF(ISBLANK($A367),"",INDEX(Array_WaterCharges,MATCH($A367,List_WaterMeters,0),ROUNDUP((COLUMN()+0)/3-1,0)))</f>
        <v/>
      </c>
      <c r="L367" s="127"/>
      <c r="M367" s="137"/>
      <c r="N367" s="58" t="str" cm="1">
        <f>IF(ISBLANK($A367),"",INDEX(Array_WaterCharges,MATCH($A367,List_WaterMeters,0),ROUNDUP((COLUMN()+0)/3-1,0)))</f>
        <v/>
      </c>
      <c r="O367" s="127"/>
      <c r="P367" s="137"/>
      <c r="Q367" s="58" t="str" cm="1">
        <f>IF(ISBLANK($A367),"",INDEX(Array_WaterCharges,MATCH($A367,List_WaterMeters,0),ROUNDUP((COLUMN()+0)/3-1,0)))</f>
        <v/>
      </c>
      <c r="R367" s="127"/>
      <c r="S367" s="137"/>
      <c r="T367" s="58" t="str" cm="1">
        <f>IF(ISBLANK($A367),"",INDEX(Array_WaterCharges,MATCH($A367,List_WaterMeters,0),ROUNDUP((COLUMN()+0)/3-1,0)))</f>
        <v/>
      </c>
      <c r="U367" s="127"/>
      <c r="V367" s="137"/>
      <c r="W367" s="58" t="str" cm="1">
        <f>IF(ISBLANK($A367),"",INDEX(Array_WaterCharges,MATCH($A367,List_WaterMeters,0),ROUNDUP((COLUMN()+0)/3-1,0)))</f>
        <v/>
      </c>
      <c r="X367" s="127"/>
      <c r="Y367" s="137"/>
      <c r="Z367" s="58" t="str" cm="1">
        <f>IF(ISBLANK($A367),"",INDEX(Array_WaterCharges,MATCH($A367,List_WaterMeters,0),ROUNDUP((COLUMN()+0)/3-1,0)))</f>
        <v/>
      </c>
      <c r="AA367" s="127"/>
      <c r="AB367" s="137"/>
      <c r="AC367" s="58" t="str" cm="1">
        <f>IF(ISBLANK($A367),"",INDEX(Array_WaterCharges,MATCH($A367,List_WaterMeters,0),ROUNDUP((COLUMN()+0)/3-1,0)))</f>
        <v/>
      </c>
      <c r="AD367" s="127"/>
      <c r="AE367" s="137"/>
      <c r="AF367" s="58" t="str" cm="1">
        <f>IF(ISBLANK($A367),"",INDEX(Array_WaterCharges,MATCH($A367,List_WaterMeters,0),ROUNDUP((COLUMN()+0)/3-1,0)))</f>
        <v/>
      </c>
      <c r="AG367" s="127"/>
      <c r="AH367" s="137"/>
    </row>
    <row r="368" spans="1:34" x14ac:dyDescent="0.3">
      <c r="A368" s="126"/>
      <c r="B368" s="133"/>
      <c r="C368" s="127"/>
      <c r="D368" s="137"/>
      <c r="E368" s="58" t="str" cm="1">
        <f>IF(ISBLANK($A368),"",INDEX(Array_WaterCharges,MATCH($A368,List_WaterMeters,0),ROUNDUP((COLUMN()+0)/3-1,0)))</f>
        <v/>
      </c>
      <c r="F368" s="127"/>
      <c r="G368" s="137"/>
      <c r="H368" s="58" t="str" cm="1">
        <f>IF(ISBLANK($A368),"",INDEX(Array_WaterCharges,MATCH($A368,List_WaterMeters,0),ROUNDUP((COLUMN()+0)/3-1,0)))</f>
        <v/>
      </c>
      <c r="I368" s="127"/>
      <c r="J368" s="137"/>
      <c r="K368" s="58" t="str" cm="1">
        <f>IF(ISBLANK($A368),"",INDEX(Array_WaterCharges,MATCH($A368,List_WaterMeters,0),ROUNDUP((COLUMN()+0)/3-1,0)))</f>
        <v/>
      </c>
      <c r="L368" s="127"/>
      <c r="M368" s="137"/>
      <c r="N368" s="58" t="str" cm="1">
        <f>IF(ISBLANK($A368),"",INDEX(Array_WaterCharges,MATCH($A368,List_WaterMeters,0),ROUNDUP((COLUMN()+0)/3-1,0)))</f>
        <v/>
      </c>
      <c r="O368" s="127"/>
      <c r="P368" s="137"/>
      <c r="Q368" s="58" t="str" cm="1">
        <f>IF(ISBLANK($A368),"",INDEX(Array_WaterCharges,MATCH($A368,List_WaterMeters,0),ROUNDUP((COLUMN()+0)/3-1,0)))</f>
        <v/>
      </c>
      <c r="R368" s="127"/>
      <c r="S368" s="137"/>
      <c r="T368" s="58" t="str" cm="1">
        <f>IF(ISBLANK($A368),"",INDEX(Array_WaterCharges,MATCH($A368,List_WaterMeters,0),ROUNDUP((COLUMN()+0)/3-1,0)))</f>
        <v/>
      </c>
      <c r="U368" s="127"/>
      <c r="V368" s="137"/>
      <c r="W368" s="58" t="str" cm="1">
        <f>IF(ISBLANK($A368),"",INDEX(Array_WaterCharges,MATCH($A368,List_WaterMeters,0),ROUNDUP((COLUMN()+0)/3-1,0)))</f>
        <v/>
      </c>
      <c r="X368" s="127"/>
      <c r="Y368" s="137"/>
      <c r="Z368" s="58" t="str" cm="1">
        <f>IF(ISBLANK($A368),"",INDEX(Array_WaterCharges,MATCH($A368,List_WaterMeters,0),ROUNDUP((COLUMN()+0)/3-1,0)))</f>
        <v/>
      </c>
      <c r="AA368" s="127"/>
      <c r="AB368" s="137"/>
      <c r="AC368" s="58" t="str" cm="1">
        <f>IF(ISBLANK($A368),"",INDEX(Array_WaterCharges,MATCH($A368,List_WaterMeters,0),ROUNDUP((COLUMN()+0)/3-1,0)))</f>
        <v/>
      </c>
      <c r="AD368" s="127"/>
      <c r="AE368" s="137"/>
      <c r="AF368" s="58" t="str" cm="1">
        <f>IF(ISBLANK($A368),"",INDEX(Array_WaterCharges,MATCH($A368,List_WaterMeters,0),ROUNDUP((COLUMN()+0)/3-1,0)))</f>
        <v/>
      </c>
      <c r="AG368" s="127"/>
      <c r="AH368" s="137"/>
    </row>
    <row r="369" spans="1:34" x14ac:dyDescent="0.3">
      <c r="A369" s="126"/>
      <c r="B369" s="133"/>
      <c r="C369" s="127"/>
      <c r="D369" s="137"/>
      <c r="E369" s="58" t="str" cm="1">
        <f>IF(ISBLANK($A369),"",INDEX(Array_WaterCharges,MATCH($A369,List_WaterMeters,0),ROUNDUP((COLUMN()+0)/3-1,0)))</f>
        <v/>
      </c>
      <c r="F369" s="127"/>
      <c r="G369" s="137"/>
      <c r="H369" s="58" t="str" cm="1">
        <f>IF(ISBLANK($A369),"",INDEX(Array_WaterCharges,MATCH($A369,List_WaterMeters,0),ROUNDUP((COLUMN()+0)/3-1,0)))</f>
        <v/>
      </c>
      <c r="I369" s="127"/>
      <c r="J369" s="137"/>
      <c r="K369" s="58" t="str" cm="1">
        <f>IF(ISBLANK($A369),"",INDEX(Array_WaterCharges,MATCH($A369,List_WaterMeters,0),ROUNDUP((COLUMN()+0)/3-1,0)))</f>
        <v/>
      </c>
      <c r="L369" s="127"/>
      <c r="M369" s="137"/>
      <c r="N369" s="58" t="str" cm="1">
        <f>IF(ISBLANK($A369),"",INDEX(Array_WaterCharges,MATCH($A369,List_WaterMeters,0),ROUNDUP((COLUMN()+0)/3-1,0)))</f>
        <v/>
      </c>
      <c r="O369" s="127"/>
      <c r="P369" s="137"/>
      <c r="Q369" s="58" t="str" cm="1">
        <f>IF(ISBLANK($A369),"",INDEX(Array_WaterCharges,MATCH($A369,List_WaterMeters,0),ROUNDUP((COLUMN()+0)/3-1,0)))</f>
        <v/>
      </c>
      <c r="R369" s="127"/>
      <c r="S369" s="137"/>
      <c r="T369" s="58" t="str" cm="1">
        <f>IF(ISBLANK($A369),"",INDEX(Array_WaterCharges,MATCH($A369,List_WaterMeters,0),ROUNDUP((COLUMN()+0)/3-1,0)))</f>
        <v/>
      </c>
      <c r="U369" s="127"/>
      <c r="V369" s="137"/>
      <c r="W369" s="58" t="str" cm="1">
        <f>IF(ISBLANK($A369),"",INDEX(Array_WaterCharges,MATCH($A369,List_WaterMeters,0),ROUNDUP((COLUMN()+0)/3-1,0)))</f>
        <v/>
      </c>
      <c r="X369" s="127"/>
      <c r="Y369" s="137"/>
      <c r="Z369" s="58" t="str" cm="1">
        <f>IF(ISBLANK($A369),"",INDEX(Array_WaterCharges,MATCH($A369,List_WaterMeters,0),ROUNDUP((COLUMN()+0)/3-1,0)))</f>
        <v/>
      </c>
      <c r="AA369" s="127"/>
      <c r="AB369" s="137"/>
      <c r="AC369" s="58" t="str" cm="1">
        <f>IF(ISBLANK($A369),"",INDEX(Array_WaterCharges,MATCH($A369,List_WaterMeters,0),ROUNDUP((COLUMN()+0)/3-1,0)))</f>
        <v/>
      </c>
      <c r="AD369" s="127"/>
      <c r="AE369" s="137"/>
      <c r="AF369" s="58" t="str" cm="1">
        <f>IF(ISBLANK($A369),"",INDEX(Array_WaterCharges,MATCH($A369,List_WaterMeters,0),ROUNDUP((COLUMN()+0)/3-1,0)))</f>
        <v/>
      </c>
      <c r="AG369" s="127"/>
      <c r="AH369" s="137"/>
    </row>
    <row r="370" spans="1:34" x14ac:dyDescent="0.3">
      <c r="A370" s="126"/>
      <c r="B370" s="133"/>
      <c r="C370" s="127"/>
      <c r="D370" s="137"/>
      <c r="E370" s="58" t="str" cm="1">
        <f>IF(ISBLANK($A370),"",INDEX(Array_WaterCharges,MATCH($A370,List_WaterMeters,0),ROUNDUP((COLUMN()+0)/3-1,0)))</f>
        <v/>
      </c>
      <c r="F370" s="127"/>
      <c r="G370" s="137"/>
      <c r="H370" s="58" t="str" cm="1">
        <f>IF(ISBLANK($A370),"",INDEX(Array_WaterCharges,MATCH($A370,List_WaterMeters,0),ROUNDUP((COLUMN()+0)/3-1,0)))</f>
        <v/>
      </c>
      <c r="I370" s="127"/>
      <c r="J370" s="137"/>
      <c r="K370" s="58" t="str" cm="1">
        <f>IF(ISBLANK($A370),"",INDEX(Array_WaterCharges,MATCH($A370,List_WaterMeters,0),ROUNDUP((COLUMN()+0)/3-1,0)))</f>
        <v/>
      </c>
      <c r="L370" s="127"/>
      <c r="M370" s="137"/>
      <c r="N370" s="58" t="str" cm="1">
        <f>IF(ISBLANK($A370),"",INDEX(Array_WaterCharges,MATCH($A370,List_WaterMeters,0),ROUNDUP((COLUMN()+0)/3-1,0)))</f>
        <v/>
      </c>
      <c r="O370" s="127"/>
      <c r="P370" s="137"/>
      <c r="Q370" s="58" t="str" cm="1">
        <f>IF(ISBLANK($A370),"",INDEX(Array_WaterCharges,MATCH($A370,List_WaterMeters,0),ROUNDUP((COLUMN()+0)/3-1,0)))</f>
        <v/>
      </c>
      <c r="R370" s="127"/>
      <c r="S370" s="137"/>
      <c r="T370" s="58" t="str" cm="1">
        <f>IF(ISBLANK($A370),"",INDEX(Array_WaterCharges,MATCH($A370,List_WaterMeters,0),ROUNDUP((COLUMN()+0)/3-1,0)))</f>
        <v/>
      </c>
      <c r="U370" s="127"/>
      <c r="V370" s="137"/>
      <c r="W370" s="58" t="str" cm="1">
        <f>IF(ISBLANK($A370),"",INDEX(Array_WaterCharges,MATCH($A370,List_WaterMeters,0),ROUNDUP((COLUMN()+0)/3-1,0)))</f>
        <v/>
      </c>
      <c r="X370" s="127"/>
      <c r="Y370" s="137"/>
      <c r="Z370" s="58" t="str" cm="1">
        <f>IF(ISBLANK($A370),"",INDEX(Array_WaterCharges,MATCH($A370,List_WaterMeters,0),ROUNDUP((COLUMN()+0)/3-1,0)))</f>
        <v/>
      </c>
      <c r="AA370" s="127"/>
      <c r="AB370" s="137"/>
      <c r="AC370" s="58" t="str" cm="1">
        <f>IF(ISBLANK($A370),"",INDEX(Array_WaterCharges,MATCH($A370,List_WaterMeters,0),ROUNDUP((COLUMN()+0)/3-1,0)))</f>
        <v/>
      </c>
      <c r="AD370" s="127"/>
      <c r="AE370" s="137"/>
      <c r="AF370" s="58" t="str" cm="1">
        <f>IF(ISBLANK($A370),"",INDEX(Array_WaterCharges,MATCH($A370,List_WaterMeters,0),ROUNDUP((COLUMN()+0)/3-1,0)))</f>
        <v/>
      </c>
      <c r="AG370" s="127"/>
      <c r="AH370" s="137"/>
    </row>
    <row r="371" spans="1:34" x14ac:dyDescent="0.3">
      <c r="A371" s="126"/>
      <c r="B371" s="133"/>
      <c r="C371" s="127"/>
      <c r="D371" s="137"/>
      <c r="E371" s="58" t="str" cm="1">
        <f>IF(ISBLANK($A371),"",INDEX(Array_WaterCharges,MATCH($A371,List_WaterMeters,0),ROUNDUP((COLUMN()+0)/3-1,0)))</f>
        <v/>
      </c>
      <c r="F371" s="127"/>
      <c r="G371" s="137"/>
      <c r="H371" s="58" t="str" cm="1">
        <f>IF(ISBLANK($A371),"",INDEX(Array_WaterCharges,MATCH($A371,List_WaterMeters,0),ROUNDUP((COLUMN()+0)/3-1,0)))</f>
        <v/>
      </c>
      <c r="I371" s="127"/>
      <c r="J371" s="137"/>
      <c r="K371" s="58" t="str" cm="1">
        <f>IF(ISBLANK($A371),"",INDEX(Array_WaterCharges,MATCH($A371,List_WaterMeters,0),ROUNDUP((COLUMN()+0)/3-1,0)))</f>
        <v/>
      </c>
      <c r="L371" s="127"/>
      <c r="M371" s="137"/>
      <c r="N371" s="58" t="str" cm="1">
        <f>IF(ISBLANK($A371),"",INDEX(Array_WaterCharges,MATCH($A371,List_WaterMeters,0),ROUNDUP((COLUMN()+0)/3-1,0)))</f>
        <v/>
      </c>
      <c r="O371" s="127"/>
      <c r="P371" s="137"/>
      <c r="Q371" s="58" t="str" cm="1">
        <f>IF(ISBLANK($A371),"",INDEX(Array_WaterCharges,MATCH($A371,List_WaterMeters,0),ROUNDUP((COLUMN()+0)/3-1,0)))</f>
        <v/>
      </c>
      <c r="R371" s="127"/>
      <c r="S371" s="137"/>
      <c r="T371" s="58" t="str" cm="1">
        <f>IF(ISBLANK($A371),"",INDEX(Array_WaterCharges,MATCH($A371,List_WaterMeters,0),ROUNDUP((COLUMN()+0)/3-1,0)))</f>
        <v/>
      </c>
      <c r="U371" s="127"/>
      <c r="V371" s="137"/>
      <c r="W371" s="58" t="str" cm="1">
        <f>IF(ISBLANK($A371),"",INDEX(Array_WaterCharges,MATCH($A371,List_WaterMeters,0),ROUNDUP((COLUMN()+0)/3-1,0)))</f>
        <v/>
      </c>
      <c r="X371" s="127"/>
      <c r="Y371" s="137"/>
      <c r="Z371" s="58" t="str" cm="1">
        <f>IF(ISBLANK($A371),"",INDEX(Array_WaterCharges,MATCH($A371,List_WaterMeters,0),ROUNDUP((COLUMN()+0)/3-1,0)))</f>
        <v/>
      </c>
      <c r="AA371" s="127"/>
      <c r="AB371" s="137"/>
      <c r="AC371" s="58" t="str" cm="1">
        <f>IF(ISBLANK($A371),"",INDEX(Array_WaterCharges,MATCH($A371,List_WaterMeters,0),ROUNDUP((COLUMN()+0)/3-1,0)))</f>
        <v/>
      </c>
      <c r="AD371" s="127"/>
      <c r="AE371" s="137"/>
      <c r="AF371" s="58" t="str" cm="1">
        <f>IF(ISBLANK($A371),"",INDEX(Array_WaterCharges,MATCH($A371,List_WaterMeters,0),ROUNDUP((COLUMN()+0)/3-1,0)))</f>
        <v/>
      </c>
      <c r="AG371" s="127"/>
      <c r="AH371" s="137"/>
    </row>
    <row r="372" spans="1:34" x14ac:dyDescent="0.3">
      <c r="A372" s="126"/>
      <c r="B372" s="133"/>
      <c r="C372" s="127"/>
      <c r="D372" s="137"/>
      <c r="E372" s="58" t="str" cm="1">
        <f>IF(ISBLANK($A372),"",INDEX(Array_WaterCharges,MATCH($A372,List_WaterMeters,0),ROUNDUP((COLUMN()+0)/3-1,0)))</f>
        <v/>
      </c>
      <c r="F372" s="127"/>
      <c r="G372" s="137"/>
      <c r="H372" s="58" t="str" cm="1">
        <f>IF(ISBLANK($A372),"",INDEX(Array_WaterCharges,MATCH($A372,List_WaterMeters,0),ROUNDUP((COLUMN()+0)/3-1,0)))</f>
        <v/>
      </c>
      <c r="I372" s="127"/>
      <c r="J372" s="137"/>
      <c r="K372" s="58" t="str" cm="1">
        <f>IF(ISBLANK($A372),"",INDEX(Array_WaterCharges,MATCH($A372,List_WaterMeters,0),ROUNDUP((COLUMN()+0)/3-1,0)))</f>
        <v/>
      </c>
      <c r="L372" s="127"/>
      <c r="M372" s="137"/>
      <c r="N372" s="58" t="str" cm="1">
        <f>IF(ISBLANK($A372),"",INDEX(Array_WaterCharges,MATCH($A372,List_WaterMeters,0),ROUNDUP((COLUMN()+0)/3-1,0)))</f>
        <v/>
      </c>
      <c r="O372" s="127"/>
      <c r="P372" s="137"/>
      <c r="Q372" s="58" t="str" cm="1">
        <f>IF(ISBLANK($A372),"",INDEX(Array_WaterCharges,MATCH($A372,List_WaterMeters,0),ROUNDUP((COLUMN()+0)/3-1,0)))</f>
        <v/>
      </c>
      <c r="R372" s="127"/>
      <c r="S372" s="137"/>
      <c r="T372" s="58" t="str" cm="1">
        <f>IF(ISBLANK($A372),"",INDEX(Array_WaterCharges,MATCH($A372,List_WaterMeters,0),ROUNDUP((COLUMN()+0)/3-1,0)))</f>
        <v/>
      </c>
      <c r="U372" s="127"/>
      <c r="V372" s="137"/>
      <c r="W372" s="58" t="str" cm="1">
        <f>IF(ISBLANK($A372),"",INDEX(Array_WaterCharges,MATCH($A372,List_WaterMeters,0),ROUNDUP((COLUMN()+0)/3-1,0)))</f>
        <v/>
      </c>
      <c r="X372" s="127"/>
      <c r="Y372" s="137"/>
      <c r="Z372" s="58" t="str" cm="1">
        <f>IF(ISBLANK($A372),"",INDEX(Array_WaterCharges,MATCH($A372,List_WaterMeters,0),ROUNDUP((COLUMN()+0)/3-1,0)))</f>
        <v/>
      </c>
      <c r="AA372" s="127"/>
      <c r="AB372" s="137"/>
      <c r="AC372" s="58" t="str" cm="1">
        <f>IF(ISBLANK($A372),"",INDEX(Array_WaterCharges,MATCH($A372,List_WaterMeters,0),ROUNDUP((COLUMN()+0)/3-1,0)))</f>
        <v/>
      </c>
      <c r="AD372" s="127"/>
      <c r="AE372" s="137"/>
      <c r="AF372" s="58" t="str" cm="1">
        <f>IF(ISBLANK($A372),"",INDEX(Array_WaterCharges,MATCH($A372,List_WaterMeters,0),ROUNDUP((COLUMN()+0)/3-1,0)))</f>
        <v/>
      </c>
      <c r="AG372" s="127"/>
      <c r="AH372" s="137"/>
    </row>
    <row r="373" spans="1:34" x14ac:dyDescent="0.3">
      <c r="A373" s="126"/>
      <c r="B373" s="133"/>
      <c r="C373" s="127"/>
      <c r="D373" s="137"/>
      <c r="E373" s="58" t="str" cm="1">
        <f>IF(ISBLANK($A373),"",INDEX(Array_WaterCharges,MATCH($A373,List_WaterMeters,0),ROUNDUP((COLUMN()+0)/3-1,0)))</f>
        <v/>
      </c>
      <c r="F373" s="127"/>
      <c r="G373" s="137"/>
      <c r="H373" s="58" t="str" cm="1">
        <f>IF(ISBLANK($A373),"",INDEX(Array_WaterCharges,MATCH($A373,List_WaterMeters,0),ROUNDUP((COLUMN()+0)/3-1,0)))</f>
        <v/>
      </c>
      <c r="I373" s="127"/>
      <c r="J373" s="137"/>
      <c r="K373" s="58" t="str" cm="1">
        <f>IF(ISBLANK($A373),"",INDEX(Array_WaterCharges,MATCH($A373,List_WaterMeters,0),ROUNDUP((COLUMN()+0)/3-1,0)))</f>
        <v/>
      </c>
      <c r="L373" s="127"/>
      <c r="M373" s="137"/>
      <c r="N373" s="58" t="str" cm="1">
        <f>IF(ISBLANK($A373),"",INDEX(Array_WaterCharges,MATCH($A373,List_WaterMeters,0),ROUNDUP((COLUMN()+0)/3-1,0)))</f>
        <v/>
      </c>
      <c r="O373" s="127"/>
      <c r="P373" s="137"/>
      <c r="Q373" s="58" t="str" cm="1">
        <f>IF(ISBLANK($A373),"",INDEX(Array_WaterCharges,MATCH($A373,List_WaterMeters,0),ROUNDUP((COLUMN()+0)/3-1,0)))</f>
        <v/>
      </c>
      <c r="R373" s="127"/>
      <c r="S373" s="137"/>
      <c r="T373" s="58" t="str" cm="1">
        <f>IF(ISBLANK($A373),"",INDEX(Array_WaterCharges,MATCH($A373,List_WaterMeters,0),ROUNDUP((COLUMN()+0)/3-1,0)))</f>
        <v/>
      </c>
      <c r="U373" s="127"/>
      <c r="V373" s="137"/>
      <c r="W373" s="58" t="str" cm="1">
        <f>IF(ISBLANK($A373),"",INDEX(Array_WaterCharges,MATCH($A373,List_WaterMeters,0),ROUNDUP((COLUMN()+0)/3-1,0)))</f>
        <v/>
      </c>
      <c r="X373" s="127"/>
      <c r="Y373" s="137"/>
      <c r="Z373" s="58" t="str" cm="1">
        <f>IF(ISBLANK($A373),"",INDEX(Array_WaterCharges,MATCH($A373,List_WaterMeters,0),ROUNDUP((COLUMN()+0)/3-1,0)))</f>
        <v/>
      </c>
      <c r="AA373" s="127"/>
      <c r="AB373" s="137"/>
      <c r="AC373" s="58" t="str" cm="1">
        <f>IF(ISBLANK($A373),"",INDEX(Array_WaterCharges,MATCH($A373,List_WaterMeters,0),ROUNDUP((COLUMN()+0)/3-1,0)))</f>
        <v/>
      </c>
      <c r="AD373" s="127"/>
      <c r="AE373" s="137"/>
      <c r="AF373" s="58" t="str" cm="1">
        <f>IF(ISBLANK($A373),"",INDEX(Array_WaterCharges,MATCH($A373,List_WaterMeters,0),ROUNDUP((COLUMN()+0)/3-1,0)))</f>
        <v/>
      </c>
      <c r="AG373" s="127"/>
      <c r="AH373" s="137"/>
    </row>
    <row r="374" spans="1:34" x14ac:dyDescent="0.3">
      <c r="A374" s="126"/>
      <c r="B374" s="133"/>
      <c r="C374" s="127"/>
      <c r="D374" s="137"/>
      <c r="E374" s="58" t="str" cm="1">
        <f>IF(ISBLANK($A374),"",INDEX(Array_WaterCharges,MATCH($A374,List_WaterMeters,0),ROUNDUP((COLUMN()+0)/3-1,0)))</f>
        <v/>
      </c>
      <c r="F374" s="127"/>
      <c r="G374" s="137"/>
      <c r="H374" s="58" t="str" cm="1">
        <f>IF(ISBLANK($A374),"",INDEX(Array_WaterCharges,MATCH($A374,List_WaterMeters,0),ROUNDUP((COLUMN()+0)/3-1,0)))</f>
        <v/>
      </c>
      <c r="I374" s="127"/>
      <c r="J374" s="137"/>
      <c r="K374" s="58" t="str" cm="1">
        <f>IF(ISBLANK($A374),"",INDEX(Array_WaterCharges,MATCH($A374,List_WaterMeters,0),ROUNDUP((COLUMN()+0)/3-1,0)))</f>
        <v/>
      </c>
      <c r="L374" s="127"/>
      <c r="M374" s="137"/>
      <c r="N374" s="58" t="str" cm="1">
        <f>IF(ISBLANK($A374),"",INDEX(Array_WaterCharges,MATCH($A374,List_WaterMeters,0),ROUNDUP((COLUMN()+0)/3-1,0)))</f>
        <v/>
      </c>
      <c r="O374" s="127"/>
      <c r="P374" s="137"/>
      <c r="Q374" s="58" t="str" cm="1">
        <f>IF(ISBLANK($A374),"",INDEX(Array_WaterCharges,MATCH($A374,List_WaterMeters,0),ROUNDUP((COLUMN()+0)/3-1,0)))</f>
        <v/>
      </c>
      <c r="R374" s="127"/>
      <c r="S374" s="137"/>
      <c r="T374" s="58" t="str" cm="1">
        <f>IF(ISBLANK($A374),"",INDEX(Array_WaterCharges,MATCH($A374,List_WaterMeters,0),ROUNDUP((COLUMN()+0)/3-1,0)))</f>
        <v/>
      </c>
      <c r="U374" s="127"/>
      <c r="V374" s="137"/>
      <c r="W374" s="58" t="str" cm="1">
        <f>IF(ISBLANK($A374),"",INDEX(Array_WaterCharges,MATCH($A374,List_WaterMeters,0),ROUNDUP((COLUMN()+0)/3-1,0)))</f>
        <v/>
      </c>
      <c r="X374" s="127"/>
      <c r="Y374" s="137"/>
      <c r="Z374" s="58" t="str" cm="1">
        <f>IF(ISBLANK($A374),"",INDEX(Array_WaterCharges,MATCH($A374,List_WaterMeters,0),ROUNDUP((COLUMN()+0)/3-1,0)))</f>
        <v/>
      </c>
      <c r="AA374" s="127"/>
      <c r="AB374" s="137"/>
      <c r="AC374" s="58" t="str" cm="1">
        <f>IF(ISBLANK($A374),"",INDEX(Array_WaterCharges,MATCH($A374,List_WaterMeters,0),ROUNDUP((COLUMN()+0)/3-1,0)))</f>
        <v/>
      </c>
      <c r="AD374" s="127"/>
      <c r="AE374" s="137"/>
      <c r="AF374" s="58" t="str" cm="1">
        <f>IF(ISBLANK($A374),"",INDEX(Array_WaterCharges,MATCH($A374,List_WaterMeters,0),ROUNDUP((COLUMN()+0)/3-1,0)))</f>
        <v/>
      </c>
      <c r="AG374" s="127"/>
      <c r="AH374" s="137"/>
    </row>
    <row r="375" spans="1:34" x14ac:dyDescent="0.3">
      <c r="A375" s="126"/>
      <c r="B375" s="133"/>
      <c r="C375" s="127"/>
      <c r="D375" s="137"/>
      <c r="E375" s="58" t="str" cm="1">
        <f>IF(ISBLANK($A375),"",INDEX(Array_WaterCharges,MATCH($A375,List_WaterMeters,0),ROUNDUP((COLUMN()+0)/3-1,0)))</f>
        <v/>
      </c>
      <c r="F375" s="127"/>
      <c r="G375" s="137"/>
      <c r="H375" s="58" t="str" cm="1">
        <f>IF(ISBLANK($A375),"",INDEX(Array_WaterCharges,MATCH($A375,List_WaterMeters,0),ROUNDUP((COLUMN()+0)/3-1,0)))</f>
        <v/>
      </c>
      <c r="I375" s="127"/>
      <c r="J375" s="137"/>
      <c r="K375" s="58" t="str" cm="1">
        <f>IF(ISBLANK($A375),"",INDEX(Array_WaterCharges,MATCH($A375,List_WaterMeters,0),ROUNDUP((COLUMN()+0)/3-1,0)))</f>
        <v/>
      </c>
      <c r="L375" s="127"/>
      <c r="M375" s="137"/>
      <c r="N375" s="58" t="str" cm="1">
        <f>IF(ISBLANK($A375),"",INDEX(Array_WaterCharges,MATCH($A375,List_WaterMeters,0),ROUNDUP((COLUMN()+0)/3-1,0)))</f>
        <v/>
      </c>
      <c r="O375" s="127"/>
      <c r="P375" s="137"/>
      <c r="Q375" s="58" t="str" cm="1">
        <f>IF(ISBLANK($A375),"",INDEX(Array_WaterCharges,MATCH($A375,List_WaterMeters,0),ROUNDUP((COLUMN()+0)/3-1,0)))</f>
        <v/>
      </c>
      <c r="R375" s="127"/>
      <c r="S375" s="137"/>
      <c r="T375" s="58" t="str" cm="1">
        <f>IF(ISBLANK($A375),"",INDEX(Array_WaterCharges,MATCH($A375,List_WaterMeters,0),ROUNDUP((COLUMN()+0)/3-1,0)))</f>
        <v/>
      </c>
      <c r="U375" s="127"/>
      <c r="V375" s="137"/>
      <c r="W375" s="58" t="str" cm="1">
        <f>IF(ISBLANK($A375),"",INDEX(Array_WaterCharges,MATCH($A375,List_WaterMeters,0),ROUNDUP((COLUMN()+0)/3-1,0)))</f>
        <v/>
      </c>
      <c r="X375" s="127"/>
      <c r="Y375" s="137"/>
      <c r="Z375" s="58" t="str" cm="1">
        <f>IF(ISBLANK($A375),"",INDEX(Array_WaterCharges,MATCH($A375,List_WaterMeters,0),ROUNDUP((COLUMN()+0)/3-1,0)))</f>
        <v/>
      </c>
      <c r="AA375" s="127"/>
      <c r="AB375" s="137"/>
      <c r="AC375" s="58" t="str" cm="1">
        <f>IF(ISBLANK($A375),"",INDEX(Array_WaterCharges,MATCH($A375,List_WaterMeters,0),ROUNDUP((COLUMN()+0)/3-1,0)))</f>
        <v/>
      </c>
      <c r="AD375" s="127"/>
      <c r="AE375" s="137"/>
      <c r="AF375" s="58" t="str" cm="1">
        <f>IF(ISBLANK($A375),"",INDEX(Array_WaterCharges,MATCH($A375,List_WaterMeters,0),ROUNDUP((COLUMN()+0)/3-1,0)))</f>
        <v/>
      </c>
      <c r="AG375" s="127"/>
      <c r="AH375" s="137"/>
    </row>
    <row r="376" spans="1:34" x14ac:dyDescent="0.3">
      <c r="A376" s="126"/>
      <c r="B376" s="133"/>
      <c r="C376" s="127"/>
      <c r="D376" s="137"/>
      <c r="E376" s="58" t="str" cm="1">
        <f>IF(ISBLANK($A376),"",INDEX(Array_WaterCharges,MATCH($A376,List_WaterMeters,0),ROUNDUP((COLUMN()+0)/3-1,0)))</f>
        <v/>
      </c>
      <c r="F376" s="127"/>
      <c r="G376" s="137"/>
      <c r="H376" s="58" t="str" cm="1">
        <f>IF(ISBLANK($A376),"",INDEX(Array_WaterCharges,MATCH($A376,List_WaterMeters,0),ROUNDUP((COLUMN()+0)/3-1,0)))</f>
        <v/>
      </c>
      <c r="I376" s="127"/>
      <c r="J376" s="137"/>
      <c r="K376" s="58" t="str" cm="1">
        <f>IF(ISBLANK($A376),"",INDEX(Array_WaterCharges,MATCH($A376,List_WaterMeters,0),ROUNDUP((COLUMN()+0)/3-1,0)))</f>
        <v/>
      </c>
      <c r="L376" s="127"/>
      <c r="M376" s="137"/>
      <c r="N376" s="58" t="str" cm="1">
        <f>IF(ISBLANK($A376),"",INDEX(Array_WaterCharges,MATCH($A376,List_WaterMeters,0),ROUNDUP((COLUMN()+0)/3-1,0)))</f>
        <v/>
      </c>
      <c r="O376" s="127"/>
      <c r="P376" s="137"/>
      <c r="Q376" s="58" t="str" cm="1">
        <f>IF(ISBLANK($A376),"",INDEX(Array_WaterCharges,MATCH($A376,List_WaterMeters,0),ROUNDUP((COLUMN()+0)/3-1,0)))</f>
        <v/>
      </c>
      <c r="R376" s="127"/>
      <c r="S376" s="137"/>
      <c r="T376" s="58" t="str" cm="1">
        <f>IF(ISBLANK($A376),"",INDEX(Array_WaterCharges,MATCH($A376,List_WaterMeters,0),ROUNDUP((COLUMN()+0)/3-1,0)))</f>
        <v/>
      </c>
      <c r="U376" s="127"/>
      <c r="V376" s="137"/>
      <c r="W376" s="58" t="str" cm="1">
        <f>IF(ISBLANK($A376),"",INDEX(Array_WaterCharges,MATCH($A376,List_WaterMeters,0),ROUNDUP((COLUMN()+0)/3-1,0)))</f>
        <v/>
      </c>
      <c r="X376" s="127"/>
      <c r="Y376" s="137"/>
      <c r="Z376" s="58" t="str" cm="1">
        <f>IF(ISBLANK($A376),"",INDEX(Array_WaterCharges,MATCH($A376,List_WaterMeters,0),ROUNDUP((COLUMN()+0)/3-1,0)))</f>
        <v/>
      </c>
      <c r="AA376" s="127"/>
      <c r="AB376" s="137"/>
      <c r="AC376" s="58" t="str" cm="1">
        <f>IF(ISBLANK($A376),"",INDEX(Array_WaterCharges,MATCH($A376,List_WaterMeters,0),ROUNDUP((COLUMN()+0)/3-1,0)))</f>
        <v/>
      </c>
      <c r="AD376" s="127"/>
      <c r="AE376" s="137"/>
      <c r="AF376" s="58" t="str" cm="1">
        <f>IF(ISBLANK($A376),"",INDEX(Array_WaterCharges,MATCH($A376,List_WaterMeters,0),ROUNDUP((COLUMN()+0)/3-1,0)))</f>
        <v/>
      </c>
      <c r="AG376" s="127"/>
      <c r="AH376" s="137"/>
    </row>
    <row r="377" spans="1:34" x14ac:dyDescent="0.3">
      <c r="A377" s="126"/>
      <c r="B377" s="133"/>
      <c r="C377" s="127"/>
      <c r="D377" s="137"/>
      <c r="E377" s="58" t="str" cm="1">
        <f>IF(ISBLANK($A377),"",INDEX(Array_WaterCharges,MATCH($A377,List_WaterMeters,0),ROUNDUP((COLUMN()+0)/3-1,0)))</f>
        <v/>
      </c>
      <c r="F377" s="127"/>
      <c r="G377" s="137"/>
      <c r="H377" s="58" t="str" cm="1">
        <f>IF(ISBLANK($A377),"",INDEX(Array_WaterCharges,MATCH($A377,List_WaterMeters,0),ROUNDUP((COLUMN()+0)/3-1,0)))</f>
        <v/>
      </c>
      <c r="I377" s="127"/>
      <c r="J377" s="137"/>
      <c r="K377" s="58" t="str" cm="1">
        <f>IF(ISBLANK($A377),"",INDEX(Array_WaterCharges,MATCH($A377,List_WaterMeters,0),ROUNDUP((COLUMN()+0)/3-1,0)))</f>
        <v/>
      </c>
      <c r="L377" s="127"/>
      <c r="M377" s="137"/>
      <c r="N377" s="58" t="str" cm="1">
        <f>IF(ISBLANK($A377),"",INDEX(Array_WaterCharges,MATCH($A377,List_WaterMeters,0),ROUNDUP((COLUMN()+0)/3-1,0)))</f>
        <v/>
      </c>
      <c r="O377" s="127"/>
      <c r="P377" s="137"/>
      <c r="Q377" s="58" t="str" cm="1">
        <f>IF(ISBLANK($A377),"",INDEX(Array_WaterCharges,MATCH($A377,List_WaterMeters,0),ROUNDUP((COLUMN()+0)/3-1,0)))</f>
        <v/>
      </c>
      <c r="R377" s="127"/>
      <c r="S377" s="137"/>
      <c r="T377" s="58" t="str" cm="1">
        <f>IF(ISBLANK($A377),"",INDEX(Array_WaterCharges,MATCH($A377,List_WaterMeters,0),ROUNDUP((COLUMN()+0)/3-1,0)))</f>
        <v/>
      </c>
      <c r="U377" s="127"/>
      <c r="V377" s="137"/>
      <c r="W377" s="58" t="str" cm="1">
        <f>IF(ISBLANK($A377),"",INDEX(Array_WaterCharges,MATCH($A377,List_WaterMeters,0),ROUNDUP((COLUMN()+0)/3-1,0)))</f>
        <v/>
      </c>
      <c r="X377" s="127"/>
      <c r="Y377" s="137"/>
      <c r="Z377" s="58" t="str" cm="1">
        <f>IF(ISBLANK($A377),"",INDEX(Array_WaterCharges,MATCH($A377,List_WaterMeters,0),ROUNDUP((COLUMN()+0)/3-1,0)))</f>
        <v/>
      </c>
      <c r="AA377" s="127"/>
      <c r="AB377" s="137"/>
      <c r="AC377" s="58" t="str" cm="1">
        <f>IF(ISBLANK($A377),"",INDEX(Array_WaterCharges,MATCH($A377,List_WaterMeters,0),ROUNDUP((COLUMN()+0)/3-1,0)))</f>
        <v/>
      </c>
      <c r="AD377" s="127"/>
      <c r="AE377" s="137"/>
      <c r="AF377" s="58" t="str" cm="1">
        <f>IF(ISBLANK($A377),"",INDEX(Array_WaterCharges,MATCH($A377,List_WaterMeters,0),ROUNDUP((COLUMN()+0)/3-1,0)))</f>
        <v/>
      </c>
      <c r="AG377" s="127"/>
      <c r="AH377" s="137"/>
    </row>
    <row r="378" spans="1:34" x14ac:dyDescent="0.3">
      <c r="A378" s="126"/>
      <c r="B378" s="133"/>
      <c r="C378" s="127"/>
      <c r="D378" s="137"/>
      <c r="E378" s="58" t="str" cm="1">
        <f>IF(ISBLANK($A378),"",INDEX(Array_WaterCharges,MATCH($A378,List_WaterMeters,0),ROUNDUP((COLUMN()+0)/3-1,0)))</f>
        <v/>
      </c>
      <c r="F378" s="127"/>
      <c r="G378" s="137"/>
      <c r="H378" s="58" t="str" cm="1">
        <f>IF(ISBLANK($A378),"",INDEX(Array_WaterCharges,MATCH($A378,List_WaterMeters,0),ROUNDUP((COLUMN()+0)/3-1,0)))</f>
        <v/>
      </c>
      <c r="I378" s="127"/>
      <c r="J378" s="137"/>
      <c r="K378" s="58" t="str" cm="1">
        <f>IF(ISBLANK($A378),"",INDEX(Array_WaterCharges,MATCH($A378,List_WaterMeters,0),ROUNDUP((COLUMN()+0)/3-1,0)))</f>
        <v/>
      </c>
      <c r="L378" s="127"/>
      <c r="M378" s="137"/>
      <c r="N378" s="58" t="str" cm="1">
        <f>IF(ISBLANK($A378),"",INDEX(Array_WaterCharges,MATCH($A378,List_WaterMeters,0),ROUNDUP((COLUMN()+0)/3-1,0)))</f>
        <v/>
      </c>
      <c r="O378" s="127"/>
      <c r="P378" s="137"/>
      <c r="Q378" s="58" t="str" cm="1">
        <f>IF(ISBLANK($A378),"",INDEX(Array_WaterCharges,MATCH($A378,List_WaterMeters,0),ROUNDUP((COLUMN()+0)/3-1,0)))</f>
        <v/>
      </c>
      <c r="R378" s="127"/>
      <c r="S378" s="137"/>
      <c r="T378" s="58" t="str" cm="1">
        <f>IF(ISBLANK($A378),"",INDEX(Array_WaterCharges,MATCH($A378,List_WaterMeters,0),ROUNDUP((COLUMN()+0)/3-1,0)))</f>
        <v/>
      </c>
      <c r="U378" s="127"/>
      <c r="V378" s="137"/>
      <c r="W378" s="58" t="str" cm="1">
        <f>IF(ISBLANK($A378),"",INDEX(Array_WaterCharges,MATCH($A378,List_WaterMeters,0),ROUNDUP((COLUMN()+0)/3-1,0)))</f>
        <v/>
      </c>
      <c r="X378" s="127"/>
      <c r="Y378" s="137"/>
      <c r="Z378" s="58" t="str" cm="1">
        <f>IF(ISBLANK($A378),"",INDEX(Array_WaterCharges,MATCH($A378,List_WaterMeters,0),ROUNDUP((COLUMN()+0)/3-1,0)))</f>
        <v/>
      </c>
      <c r="AA378" s="127"/>
      <c r="AB378" s="137"/>
      <c r="AC378" s="58" t="str" cm="1">
        <f>IF(ISBLANK($A378),"",INDEX(Array_WaterCharges,MATCH($A378,List_WaterMeters,0),ROUNDUP((COLUMN()+0)/3-1,0)))</f>
        <v/>
      </c>
      <c r="AD378" s="127"/>
      <c r="AE378" s="137"/>
      <c r="AF378" s="58" t="str" cm="1">
        <f>IF(ISBLANK($A378),"",INDEX(Array_WaterCharges,MATCH($A378,List_WaterMeters,0),ROUNDUP((COLUMN()+0)/3-1,0)))</f>
        <v/>
      </c>
      <c r="AG378" s="127"/>
      <c r="AH378" s="137"/>
    </row>
    <row r="379" spans="1:34" x14ac:dyDescent="0.3">
      <c r="A379" s="126"/>
      <c r="B379" s="133"/>
      <c r="C379" s="127"/>
      <c r="D379" s="137"/>
      <c r="E379" s="58" t="str" cm="1">
        <f>IF(ISBLANK($A379),"",INDEX(Array_WaterCharges,MATCH($A379,List_WaterMeters,0),ROUNDUP((COLUMN()+0)/3-1,0)))</f>
        <v/>
      </c>
      <c r="F379" s="127"/>
      <c r="G379" s="137"/>
      <c r="H379" s="58" t="str" cm="1">
        <f>IF(ISBLANK($A379),"",INDEX(Array_WaterCharges,MATCH($A379,List_WaterMeters,0),ROUNDUP((COLUMN()+0)/3-1,0)))</f>
        <v/>
      </c>
      <c r="I379" s="127"/>
      <c r="J379" s="137"/>
      <c r="K379" s="58" t="str" cm="1">
        <f>IF(ISBLANK($A379),"",INDEX(Array_WaterCharges,MATCH($A379,List_WaterMeters,0),ROUNDUP((COLUMN()+0)/3-1,0)))</f>
        <v/>
      </c>
      <c r="L379" s="127"/>
      <c r="M379" s="137"/>
      <c r="N379" s="58" t="str" cm="1">
        <f>IF(ISBLANK($A379),"",INDEX(Array_WaterCharges,MATCH($A379,List_WaterMeters,0),ROUNDUP((COLUMN()+0)/3-1,0)))</f>
        <v/>
      </c>
      <c r="O379" s="127"/>
      <c r="P379" s="137"/>
      <c r="Q379" s="58" t="str" cm="1">
        <f>IF(ISBLANK($A379),"",INDEX(Array_WaterCharges,MATCH($A379,List_WaterMeters,0),ROUNDUP((COLUMN()+0)/3-1,0)))</f>
        <v/>
      </c>
      <c r="R379" s="127"/>
      <c r="S379" s="137"/>
      <c r="T379" s="58" t="str" cm="1">
        <f>IF(ISBLANK($A379),"",INDEX(Array_WaterCharges,MATCH($A379,List_WaterMeters,0),ROUNDUP((COLUMN()+0)/3-1,0)))</f>
        <v/>
      </c>
      <c r="U379" s="127"/>
      <c r="V379" s="137"/>
      <c r="W379" s="58" t="str" cm="1">
        <f>IF(ISBLANK($A379),"",INDEX(Array_WaterCharges,MATCH($A379,List_WaterMeters,0),ROUNDUP((COLUMN()+0)/3-1,0)))</f>
        <v/>
      </c>
      <c r="X379" s="127"/>
      <c r="Y379" s="137"/>
      <c r="Z379" s="58" t="str" cm="1">
        <f>IF(ISBLANK($A379),"",INDEX(Array_WaterCharges,MATCH($A379,List_WaterMeters,0),ROUNDUP((COLUMN()+0)/3-1,0)))</f>
        <v/>
      </c>
      <c r="AA379" s="127"/>
      <c r="AB379" s="137"/>
      <c r="AC379" s="58" t="str" cm="1">
        <f>IF(ISBLANK($A379),"",INDEX(Array_WaterCharges,MATCH($A379,List_WaterMeters,0),ROUNDUP((COLUMN()+0)/3-1,0)))</f>
        <v/>
      </c>
      <c r="AD379" s="127"/>
      <c r="AE379" s="137"/>
      <c r="AF379" s="58" t="str" cm="1">
        <f>IF(ISBLANK($A379),"",INDEX(Array_WaterCharges,MATCH($A379,List_WaterMeters,0),ROUNDUP((COLUMN()+0)/3-1,0)))</f>
        <v/>
      </c>
      <c r="AG379" s="127"/>
      <c r="AH379" s="137"/>
    </row>
    <row r="380" spans="1:34" x14ac:dyDescent="0.3">
      <c r="A380" s="126"/>
      <c r="B380" s="133"/>
      <c r="C380" s="127"/>
      <c r="D380" s="137"/>
      <c r="E380" s="58" t="str" cm="1">
        <f>IF(ISBLANK($A380),"",INDEX(Array_WaterCharges,MATCH($A380,List_WaterMeters,0),ROUNDUP((COLUMN()+0)/3-1,0)))</f>
        <v/>
      </c>
      <c r="F380" s="127"/>
      <c r="G380" s="137"/>
      <c r="H380" s="58" t="str" cm="1">
        <f>IF(ISBLANK($A380),"",INDEX(Array_WaterCharges,MATCH($A380,List_WaterMeters,0),ROUNDUP((COLUMN()+0)/3-1,0)))</f>
        <v/>
      </c>
      <c r="I380" s="127"/>
      <c r="J380" s="137"/>
      <c r="K380" s="58" t="str" cm="1">
        <f>IF(ISBLANK($A380),"",INDEX(Array_WaterCharges,MATCH($A380,List_WaterMeters,0),ROUNDUP((COLUMN()+0)/3-1,0)))</f>
        <v/>
      </c>
      <c r="L380" s="127"/>
      <c r="M380" s="137"/>
      <c r="N380" s="58" t="str" cm="1">
        <f>IF(ISBLANK($A380),"",INDEX(Array_WaterCharges,MATCH($A380,List_WaterMeters,0),ROUNDUP((COLUMN()+0)/3-1,0)))</f>
        <v/>
      </c>
      <c r="O380" s="127"/>
      <c r="P380" s="137"/>
      <c r="Q380" s="58" t="str" cm="1">
        <f>IF(ISBLANK($A380),"",INDEX(Array_WaterCharges,MATCH($A380,List_WaterMeters,0),ROUNDUP((COLUMN()+0)/3-1,0)))</f>
        <v/>
      </c>
      <c r="R380" s="127"/>
      <c r="S380" s="137"/>
      <c r="T380" s="58" t="str" cm="1">
        <f>IF(ISBLANK($A380),"",INDEX(Array_WaterCharges,MATCH($A380,List_WaterMeters,0),ROUNDUP((COLUMN()+0)/3-1,0)))</f>
        <v/>
      </c>
      <c r="U380" s="127"/>
      <c r="V380" s="137"/>
      <c r="W380" s="58" t="str" cm="1">
        <f>IF(ISBLANK($A380),"",INDEX(Array_WaterCharges,MATCH($A380,List_WaterMeters,0),ROUNDUP((COLUMN()+0)/3-1,0)))</f>
        <v/>
      </c>
      <c r="X380" s="127"/>
      <c r="Y380" s="137"/>
      <c r="Z380" s="58" t="str" cm="1">
        <f>IF(ISBLANK($A380),"",INDEX(Array_WaterCharges,MATCH($A380,List_WaterMeters,0),ROUNDUP((COLUMN()+0)/3-1,0)))</f>
        <v/>
      </c>
      <c r="AA380" s="127"/>
      <c r="AB380" s="137"/>
      <c r="AC380" s="58" t="str" cm="1">
        <f>IF(ISBLANK($A380),"",INDEX(Array_WaterCharges,MATCH($A380,List_WaterMeters,0),ROUNDUP((COLUMN()+0)/3-1,0)))</f>
        <v/>
      </c>
      <c r="AD380" s="127"/>
      <c r="AE380" s="137"/>
      <c r="AF380" s="58" t="str" cm="1">
        <f>IF(ISBLANK($A380),"",INDEX(Array_WaterCharges,MATCH($A380,List_WaterMeters,0),ROUNDUP((COLUMN()+0)/3-1,0)))</f>
        <v/>
      </c>
      <c r="AG380" s="127"/>
      <c r="AH380" s="137"/>
    </row>
    <row r="381" spans="1:34" x14ac:dyDescent="0.3">
      <c r="A381" s="126"/>
      <c r="B381" s="133"/>
      <c r="C381" s="127"/>
      <c r="D381" s="137"/>
      <c r="E381" s="58" t="str" cm="1">
        <f>IF(ISBLANK($A381),"",INDEX(Array_WaterCharges,MATCH($A381,List_WaterMeters,0),ROUNDUP((COLUMN()+0)/3-1,0)))</f>
        <v/>
      </c>
      <c r="F381" s="127"/>
      <c r="G381" s="137"/>
      <c r="H381" s="58" t="str" cm="1">
        <f>IF(ISBLANK($A381),"",INDEX(Array_WaterCharges,MATCH($A381,List_WaterMeters,0),ROUNDUP((COLUMN()+0)/3-1,0)))</f>
        <v/>
      </c>
      <c r="I381" s="127"/>
      <c r="J381" s="137"/>
      <c r="K381" s="58" t="str" cm="1">
        <f>IF(ISBLANK($A381),"",INDEX(Array_WaterCharges,MATCH($A381,List_WaterMeters,0),ROUNDUP((COLUMN()+0)/3-1,0)))</f>
        <v/>
      </c>
      <c r="L381" s="127"/>
      <c r="M381" s="137"/>
      <c r="N381" s="58" t="str" cm="1">
        <f>IF(ISBLANK($A381),"",INDEX(Array_WaterCharges,MATCH($A381,List_WaterMeters,0),ROUNDUP((COLUMN()+0)/3-1,0)))</f>
        <v/>
      </c>
      <c r="O381" s="127"/>
      <c r="P381" s="137"/>
      <c r="Q381" s="58" t="str" cm="1">
        <f>IF(ISBLANK($A381),"",INDEX(Array_WaterCharges,MATCH($A381,List_WaterMeters,0),ROUNDUP((COLUMN()+0)/3-1,0)))</f>
        <v/>
      </c>
      <c r="R381" s="127"/>
      <c r="S381" s="137"/>
      <c r="T381" s="58" t="str" cm="1">
        <f>IF(ISBLANK($A381),"",INDEX(Array_WaterCharges,MATCH($A381,List_WaterMeters,0),ROUNDUP((COLUMN()+0)/3-1,0)))</f>
        <v/>
      </c>
      <c r="U381" s="127"/>
      <c r="V381" s="137"/>
      <c r="W381" s="58" t="str" cm="1">
        <f>IF(ISBLANK($A381),"",INDEX(Array_WaterCharges,MATCH($A381,List_WaterMeters,0),ROUNDUP((COLUMN()+0)/3-1,0)))</f>
        <v/>
      </c>
      <c r="X381" s="127"/>
      <c r="Y381" s="137"/>
      <c r="Z381" s="58" t="str" cm="1">
        <f>IF(ISBLANK($A381),"",INDEX(Array_WaterCharges,MATCH($A381,List_WaterMeters,0),ROUNDUP((COLUMN()+0)/3-1,0)))</f>
        <v/>
      </c>
      <c r="AA381" s="127"/>
      <c r="AB381" s="137"/>
      <c r="AC381" s="58" t="str" cm="1">
        <f>IF(ISBLANK($A381),"",INDEX(Array_WaterCharges,MATCH($A381,List_WaterMeters,0),ROUNDUP((COLUMN()+0)/3-1,0)))</f>
        <v/>
      </c>
      <c r="AD381" s="127"/>
      <c r="AE381" s="137"/>
      <c r="AF381" s="58" t="str" cm="1">
        <f>IF(ISBLANK($A381),"",INDEX(Array_WaterCharges,MATCH($A381,List_WaterMeters,0),ROUNDUP((COLUMN()+0)/3-1,0)))</f>
        <v/>
      </c>
      <c r="AG381" s="127"/>
      <c r="AH381" s="137"/>
    </row>
    <row r="382" spans="1:34" x14ac:dyDescent="0.3">
      <c r="A382" s="126"/>
      <c r="B382" s="133"/>
      <c r="C382" s="127"/>
      <c r="D382" s="137"/>
      <c r="E382" s="58" t="str" cm="1">
        <f>IF(ISBLANK($A382),"",INDEX(Array_WaterCharges,MATCH($A382,List_WaterMeters,0),ROUNDUP((COLUMN()+0)/3-1,0)))</f>
        <v/>
      </c>
      <c r="F382" s="127"/>
      <c r="G382" s="137"/>
      <c r="H382" s="58" t="str" cm="1">
        <f>IF(ISBLANK($A382),"",INDEX(Array_WaterCharges,MATCH($A382,List_WaterMeters,0),ROUNDUP((COLUMN()+0)/3-1,0)))</f>
        <v/>
      </c>
      <c r="I382" s="127"/>
      <c r="J382" s="137"/>
      <c r="K382" s="58" t="str" cm="1">
        <f>IF(ISBLANK($A382),"",INDEX(Array_WaterCharges,MATCH($A382,List_WaterMeters,0),ROUNDUP((COLUMN()+0)/3-1,0)))</f>
        <v/>
      </c>
      <c r="L382" s="127"/>
      <c r="M382" s="137"/>
      <c r="N382" s="58" t="str" cm="1">
        <f>IF(ISBLANK($A382),"",INDEX(Array_WaterCharges,MATCH($A382,List_WaterMeters,0),ROUNDUP((COLUMN()+0)/3-1,0)))</f>
        <v/>
      </c>
      <c r="O382" s="127"/>
      <c r="P382" s="137"/>
      <c r="Q382" s="58" t="str" cm="1">
        <f>IF(ISBLANK($A382),"",INDEX(Array_WaterCharges,MATCH($A382,List_WaterMeters,0),ROUNDUP((COLUMN()+0)/3-1,0)))</f>
        <v/>
      </c>
      <c r="R382" s="127"/>
      <c r="S382" s="137"/>
      <c r="T382" s="58" t="str" cm="1">
        <f>IF(ISBLANK($A382),"",INDEX(Array_WaterCharges,MATCH($A382,List_WaterMeters,0),ROUNDUP((COLUMN()+0)/3-1,0)))</f>
        <v/>
      </c>
      <c r="U382" s="127"/>
      <c r="V382" s="137"/>
      <c r="W382" s="58" t="str" cm="1">
        <f>IF(ISBLANK($A382),"",INDEX(Array_WaterCharges,MATCH($A382,List_WaterMeters,0),ROUNDUP((COLUMN()+0)/3-1,0)))</f>
        <v/>
      </c>
      <c r="X382" s="127"/>
      <c r="Y382" s="137"/>
      <c r="Z382" s="58" t="str" cm="1">
        <f>IF(ISBLANK($A382),"",INDEX(Array_WaterCharges,MATCH($A382,List_WaterMeters,0),ROUNDUP((COLUMN()+0)/3-1,0)))</f>
        <v/>
      </c>
      <c r="AA382" s="127"/>
      <c r="AB382" s="137"/>
      <c r="AC382" s="58" t="str" cm="1">
        <f>IF(ISBLANK($A382),"",INDEX(Array_WaterCharges,MATCH($A382,List_WaterMeters,0),ROUNDUP((COLUMN()+0)/3-1,0)))</f>
        <v/>
      </c>
      <c r="AD382" s="127"/>
      <c r="AE382" s="137"/>
      <c r="AF382" s="58" t="str" cm="1">
        <f>IF(ISBLANK($A382),"",INDEX(Array_WaterCharges,MATCH($A382,List_WaterMeters,0),ROUNDUP((COLUMN()+0)/3-1,0)))</f>
        <v/>
      </c>
      <c r="AG382" s="127"/>
      <c r="AH382" s="137"/>
    </row>
    <row r="383" spans="1:34" x14ac:dyDescent="0.3">
      <c r="A383" s="126"/>
      <c r="B383" s="133"/>
      <c r="C383" s="127"/>
      <c r="D383" s="137"/>
      <c r="E383" s="58" t="str" cm="1">
        <f>IF(ISBLANK($A383),"",INDEX(Array_WaterCharges,MATCH($A383,List_WaterMeters,0),ROUNDUP((COLUMN()+0)/3-1,0)))</f>
        <v/>
      </c>
      <c r="F383" s="127"/>
      <c r="G383" s="137"/>
      <c r="H383" s="58" t="str" cm="1">
        <f>IF(ISBLANK($A383),"",INDEX(Array_WaterCharges,MATCH($A383,List_WaterMeters,0),ROUNDUP((COLUMN()+0)/3-1,0)))</f>
        <v/>
      </c>
      <c r="I383" s="127"/>
      <c r="J383" s="137"/>
      <c r="K383" s="58" t="str" cm="1">
        <f>IF(ISBLANK($A383),"",INDEX(Array_WaterCharges,MATCH($A383,List_WaterMeters,0),ROUNDUP((COLUMN()+0)/3-1,0)))</f>
        <v/>
      </c>
      <c r="L383" s="127"/>
      <c r="M383" s="137"/>
      <c r="N383" s="58" t="str" cm="1">
        <f>IF(ISBLANK($A383),"",INDEX(Array_WaterCharges,MATCH($A383,List_WaterMeters,0),ROUNDUP((COLUMN()+0)/3-1,0)))</f>
        <v/>
      </c>
      <c r="O383" s="127"/>
      <c r="P383" s="137"/>
      <c r="Q383" s="58" t="str" cm="1">
        <f>IF(ISBLANK($A383),"",INDEX(Array_WaterCharges,MATCH($A383,List_WaterMeters,0),ROUNDUP((COLUMN()+0)/3-1,0)))</f>
        <v/>
      </c>
      <c r="R383" s="127"/>
      <c r="S383" s="137"/>
      <c r="T383" s="58" t="str" cm="1">
        <f>IF(ISBLANK($A383),"",INDEX(Array_WaterCharges,MATCH($A383,List_WaterMeters,0),ROUNDUP((COLUMN()+0)/3-1,0)))</f>
        <v/>
      </c>
      <c r="U383" s="127"/>
      <c r="V383" s="137"/>
      <c r="W383" s="58" t="str" cm="1">
        <f>IF(ISBLANK($A383),"",INDEX(Array_WaterCharges,MATCH($A383,List_WaterMeters,0),ROUNDUP((COLUMN()+0)/3-1,0)))</f>
        <v/>
      </c>
      <c r="X383" s="127"/>
      <c r="Y383" s="137"/>
      <c r="Z383" s="58" t="str" cm="1">
        <f>IF(ISBLANK($A383),"",INDEX(Array_WaterCharges,MATCH($A383,List_WaterMeters,0),ROUNDUP((COLUMN()+0)/3-1,0)))</f>
        <v/>
      </c>
      <c r="AA383" s="127"/>
      <c r="AB383" s="137"/>
      <c r="AC383" s="58" t="str" cm="1">
        <f>IF(ISBLANK($A383),"",INDEX(Array_WaterCharges,MATCH($A383,List_WaterMeters,0),ROUNDUP((COLUMN()+0)/3-1,0)))</f>
        <v/>
      </c>
      <c r="AD383" s="127"/>
      <c r="AE383" s="137"/>
      <c r="AF383" s="58" t="str" cm="1">
        <f>IF(ISBLANK($A383),"",INDEX(Array_WaterCharges,MATCH($A383,List_WaterMeters,0),ROUNDUP((COLUMN()+0)/3-1,0)))</f>
        <v/>
      </c>
      <c r="AG383" s="127"/>
      <c r="AH383" s="137"/>
    </row>
    <row r="384" spans="1:34" x14ac:dyDescent="0.3">
      <c r="A384" s="126"/>
      <c r="B384" s="133"/>
      <c r="C384" s="127"/>
      <c r="D384" s="137"/>
      <c r="E384" s="58" t="str" cm="1">
        <f>IF(ISBLANK($A384),"",INDEX(Array_WaterCharges,MATCH($A384,List_WaterMeters,0),ROUNDUP((COLUMN()+0)/3-1,0)))</f>
        <v/>
      </c>
      <c r="F384" s="127"/>
      <c r="G384" s="137"/>
      <c r="H384" s="58" t="str" cm="1">
        <f>IF(ISBLANK($A384),"",INDEX(Array_WaterCharges,MATCH($A384,List_WaterMeters,0),ROUNDUP((COLUMN()+0)/3-1,0)))</f>
        <v/>
      </c>
      <c r="I384" s="127"/>
      <c r="J384" s="137"/>
      <c r="K384" s="58" t="str" cm="1">
        <f>IF(ISBLANK($A384),"",INDEX(Array_WaterCharges,MATCH($A384,List_WaterMeters,0),ROUNDUP((COLUMN()+0)/3-1,0)))</f>
        <v/>
      </c>
      <c r="L384" s="127"/>
      <c r="M384" s="137"/>
      <c r="N384" s="58" t="str" cm="1">
        <f>IF(ISBLANK($A384),"",INDEX(Array_WaterCharges,MATCH($A384,List_WaterMeters,0),ROUNDUP((COLUMN()+0)/3-1,0)))</f>
        <v/>
      </c>
      <c r="O384" s="127"/>
      <c r="P384" s="137"/>
      <c r="Q384" s="58" t="str" cm="1">
        <f>IF(ISBLANK($A384),"",INDEX(Array_WaterCharges,MATCH($A384,List_WaterMeters,0),ROUNDUP((COLUMN()+0)/3-1,0)))</f>
        <v/>
      </c>
      <c r="R384" s="127"/>
      <c r="S384" s="137"/>
      <c r="T384" s="58" t="str" cm="1">
        <f>IF(ISBLANK($A384),"",INDEX(Array_WaterCharges,MATCH($A384,List_WaterMeters,0),ROUNDUP((COLUMN()+0)/3-1,0)))</f>
        <v/>
      </c>
      <c r="U384" s="127"/>
      <c r="V384" s="137"/>
      <c r="W384" s="58" t="str" cm="1">
        <f>IF(ISBLANK($A384),"",INDEX(Array_WaterCharges,MATCH($A384,List_WaterMeters,0),ROUNDUP((COLUMN()+0)/3-1,0)))</f>
        <v/>
      </c>
      <c r="X384" s="127"/>
      <c r="Y384" s="137"/>
      <c r="Z384" s="58" t="str" cm="1">
        <f>IF(ISBLANK($A384),"",INDEX(Array_WaterCharges,MATCH($A384,List_WaterMeters,0),ROUNDUP((COLUMN()+0)/3-1,0)))</f>
        <v/>
      </c>
      <c r="AA384" s="127"/>
      <c r="AB384" s="137"/>
      <c r="AC384" s="58" t="str" cm="1">
        <f>IF(ISBLANK($A384),"",INDEX(Array_WaterCharges,MATCH($A384,List_WaterMeters,0),ROUNDUP((COLUMN()+0)/3-1,0)))</f>
        <v/>
      </c>
      <c r="AD384" s="127"/>
      <c r="AE384" s="137"/>
      <c r="AF384" s="58" t="str" cm="1">
        <f>IF(ISBLANK($A384),"",INDEX(Array_WaterCharges,MATCH($A384,List_WaterMeters,0),ROUNDUP((COLUMN()+0)/3-1,0)))</f>
        <v/>
      </c>
      <c r="AG384" s="127"/>
      <c r="AH384" s="137"/>
    </row>
    <row r="385" spans="1:34" x14ac:dyDescent="0.3">
      <c r="A385" s="126"/>
      <c r="B385" s="133"/>
      <c r="C385" s="127"/>
      <c r="D385" s="137"/>
      <c r="E385" s="58" t="str" cm="1">
        <f>IF(ISBLANK($A385),"",INDEX(Array_WaterCharges,MATCH($A385,List_WaterMeters,0),ROUNDUP((COLUMN()+0)/3-1,0)))</f>
        <v/>
      </c>
      <c r="F385" s="127"/>
      <c r="G385" s="137"/>
      <c r="H385" s="58" t="str" cm="1">
        <f>IF(ISBLANK($A385),"",INDEX(Array_WaterCharges,MATCH($A385,List_WaterMeters,0),ROUNDUP((COLUMN()+0)/3-1,0)))</f>
        <v/>
      </c>
      <c r="I385" s="127"/>
      <c r="J385" s="137"/>
      <c r="K385" s="58" t="str" cm="1">
        <f>IF(ISBLANK($A385),"",INDEX(Array_WaterCharges,MATCH($A385,List_WaterMeters,0),ROUNDUP((COLUMN()+0)/3-1,0)))</f>
        <v/>
      </c>
      <c r="L385" s="127"/>
      <c r="M385" s="137"/>
      <c r="N385" s="58" t="str" cm="1">
        <f>IF(ISBLANK($A385),"",INDEX(Array_WaterCharges,MATCH($A385,List_WaterMeters,0),ROUNDUP((COLUMN()+0)/3-1,0)))</f>
        <v/>
      </c>
      <c r="O385" s="127"/>
      <c r="P385" s="137"/>
      <c r="Q385" s="58" t="str" cm="1">
        <f>IF(ISBLANK($A385),"",INDEX(Array_WaterCharges,MATCH($A385,List_WaterMeters,0),ROUNDUP((COLUMN()+0)/3-1,0)))</f>
        <v/>
      </c>
      <c r="R385" s="127"/>
      <c r="S385" s="137"/>
      <c r="T385" s="58" t="str" cm="1">
        <f>IF(ISBLANK($A385),"",INDEX(Array_WaterCharges,MATCH($A385,List_WaterMeters,0),ROUNDUP((COLUMN()+0)/3-1,0)))</f>
        <v/>
      </c>
      <c r="U385" s="127"/>
      <c r="V385" s="137"/>
      <c r="W385" s="58" t="str" cm="1">
        <f>IF(ISBLANK($A385),"",INDEX(Array_WaterCharges,MATCH($A385,List_WaterMeters,0),ROUNDUP((COLUMN()+0)/3-1,0)))</f>
        <v/>
      </c>
      <c r="X385" s="127"/>
      <c r="Y385" s="137"/>
      <c r="Z385" s="58" t="str" cm="1">
        <f>IF(ISBLANK($A385),"",INDEX(Array_WaterCharges,MATCH($A385,List_WaterMeters,0),ROUNDUP((COLUMN()+0)/3-1,0)))</f>
        <v/>
      </c>
      <c r="AA385" s="127"/>
      <c r="AB385" s="137"/>
      <c r="AC385" s="58" t="str" cm="1">
        <f>IF(ISBLANK($A385),"",INDEX(Array_WaterCharges,MATCH($A385,List_WaterMeters,0),ROUNDUP((COLUMN()+0)/3-1,0)))</f>
        <v/>
      </c>
      <c r="AD385" s="127"/>
      <c r="AE385" s="137"/>
      <c r="AF385" s="58" t="str" cm="1">
        <f>IF(ISBLANK($A385),"",INDEX(Array_WaterCharges,MATCH($A385,List_WaterMeters,0),ROUNDUP((COLUMN()+0)/3-1,0)))</f>
        <v/>
      </c>
      <c r="AG385" s="127"/>
      <c r="AH385" s="137"/>
    </row>
    <row r="386" spans="1:34" x14ac:dyDescent="0.3">
      <c r="A386" s="126"/>
      <c r="B386" s="133"/>
      <c r="C386" s="127"/>
      <c r="D386" s="137"/>
      <c r="E386" s="58" t="str" cm="1">
        <f>IF(ISBLANK($A386),"",INDEX(Array_WaterCharges,MATCH($A386,List_WaterMeters,0),ROUNDUP((COLUMN()+0)/3-1,0)))</f>
        <v/>
      </c>
      <c r="F386" s="127"/>
      <c r="G386" s="137"/>
      <c r="H386" s="58" t="str" cm="1">
        <f>IF(ISBLANK($A386),"",INDEX(Array_WaterCharges,MATCH($A386,List_WaterMeters,0),ROUNDUP((COLUMN()+0)/3-1,0)))</f>
        <v/>
      </c>
      <c r="I386" s="127"/>
      <c r="J386" s="137"/>
      <c r="K386" s="58" t="str" cm="1">
        <f>IF(ISBLANK($A386),"",INDEX(Array_WaterCharges,MATCH($A386,List_WaterMeters,0),ROUNDUP((COLUMN()+0)/3-1,0)))</f>
        <v/>
      </c>
      <c r="L386" s="127"/>
      <c r="M386" s="137"/>
      <c r="N386" s="58" t="str" cm="1">
        <f>IF(ISBLANK($A386),"",INDEX(Array_WaterCharges,MATCH($A386,List_WaterMeters,0),ROUNDUP((COLUMN()+0)/3-1,0)))</f>
        <v/>
      </c>
      <c r="O386" s="127"/>
      <c r="P386" s="137"/>
      <c r="Q386" s="58" t="str" cm="1">
        <f>IF(ISBLANK($A386),"",INDEX(Array_WaterCharges,MATCH($A386,List_WaterMeters,0),ROUNDUP((COLUMN()+0)/3-1,0)))</f>
        <v/>
      </c>
      <c r="R386" s="127"/>
      <c r="S386" s="137"/>
      <c r="T386" s="58" t="str" cm="1">
        <f>IF(ISBLANK($A386),"",INDEX(Array_WaterCharges,MATCH($A386,List_WaterMeters,0),ROUNDUP((COLUMN()+0)/3-1,0)))</f>
        <v/>
      </c>
      <c r="U386" s="127"/>
      <c r="V386" s="137"/>
      <c r="W386" s="58" t="str" cm="1">
        <f>IF(ISBLANK($A386),"",INDEX(Array_WaterCharges,MATCH($A386,List_WaterMeters,0),ROUNDUP((COLUMN()+0)/3-1,0)))</f>
        <v/>
      </c>
      <c r="X386" s="127"/>
      <c r="Y386" s="137"/>
      <c r="Z386" s="58" t="str" cm="1">
        <f>IF(ISBLANK($A386),"",INDEX(Array_WaterCharges,MATCH($A386,List_WaterMeters,0),ROUNDUP((COLUMN()+0)/3-1,0)))</f>
        <v/>
      </c>
      <c r="AA386" s="127"/>
      <c r="AB386" s="137"/>
      <c r="AC386" s="58" t="str" cm="1">
        <f>IF(ISBLANK($A386),"",INDEX(Array_WaterCharges,MATCH($A386,List_WaterMeters,0),ROUNDUP((COLUMN()+0)/3-1,0)))</f>
        <v/>
      </c>
      <c r="AD386" s="127"/>
      <c r="AE386" s="137"/>
      <c r="AF386" s="58" t="str" cm="1">
        <f>IF(ISBLANK($A386),"",INDEX(Array_WaterCharges,MATCH($A386,List_WaterMeters,0),ROUNDUP((COLUMN()+0)/3-1,0)))</f>
        <v/>
      </c>
      <c r="AG386" s="127"/>
      <c r="AH386" s="137"/>
    </row>
    <row r="387" spans="1:34" x14ac:dyDescent="0.3">
      <c r="A387" s="126"/>
      <c r="B387" s="133"/>
      <c r="C387" s="127"/>
      <c r="D387" s="137"/>
      <c r="E387" s="58" t="str" cm="1">
        <f>IF(ISBLANK($A387),"",INDEX(Array_WaterCharges,MATCH($A387,List_WaterMeters,0),ROUNDUP((COLUMN()+0)/3-1,0)))</f>
        <v/>
      </c>
      <c r="F387" s="127"/>
      <c r="G387" s="137"/>
      <c r="H387" s="58" t="str" cm="1">
        <f>IF(ISBLANK($A387),"",INDEX(Array_WaterCharges,MATCH($A387,List_WaterMeters,0),ROUNDUP((COLUMN()+0)/3-1,0)))</f>
        <v/>
      </c>
      <c r="I387" s="127"/>
      <c r="J387" s="137"/>
      <c r="K387" s="58" t="str" cm="1">
        <f>IF(ISBLANK($A387),"",INDEX(Array_WaterCharges,MATCH($A387,List_WaterMeters,0),ROUNDUP((COLUMN()+0)/3-1,0)))</f>
        <v/>
      </c>
      <c r="L387" s="127"/>
      <c r="M387" s="137"/>
      <c r="N387" s="58" t="str" cm="1">
        <f>IF(ISBLANK($A387),"",INDEX(Array_WaterCharges,MATCH($A387,List_WaterMeters,0),ROUNDUP((COLUMN()+0)/3-1,0)))</f>
        <v/>
      </c>
      <c r="O387" s="127"/>
      <c r="P387" s="137"/>
      <c r="Q387" s="58" t="str" cm="1">
        <f>IF(ISBLANK($A387),"",INDEX(Array_WaterCharges,MATCH($A387,List_WaterMeters,0),ROUNDUP((COLUMN()+0)/3-1,0)))</f>
        <v/>
      </c>
      <c r="R387" s="127"/>
      <c r="S387" s="137"/>
      <c r="T387" s="58" t="str" cm="1">
        <f>IF(ISBLANK($A387),"",INDEX(Array_WaterCharges,MATCH($A387,List_WaterMeters,0),ROUNDUP((COLUMN()+0)/3-1,0)))</f>
        <v/>
      </c>
      <c r="U387" s="127"/>
      <c r="V387" s="137"/>
      <c r="W387" s="58" t="str" cm="1">
        <f>IF(ISBLANK($A387),"",INDEX(Array_WaterCharges,MATCH($A387,List_WaterMeters,0),ROUNDUP((COLUMN()+0)/3-1,0)))</f>
        <v/>
      </c>
      <c r="X387" s="127"/>
      <c r="Y387" s="137"/>
      <c r="Z387" s="58" t="str" cm="1">
        <f>IF(ISBLANK($A387),"",INDEX(Array_WaterCharges,MATCH($A387,List_WaterMeters,0),ROUNDUP((COLUMN()+0)/3-1,0)))</f>
        <v/>
      </c>
      <c r="AA387" s="127"/>
      <c r="AB387" s="137"/>
      <c r="AC387" s="58" t="str" cm="1">
        <f>IF(ISBLANK($A387),"",INDEX(Array_WaterCharges,MATCH($A387,List_WaterMeters,0),ROUNDUP((COLUMN()+0)/3-1,0)))</f>
        <v/>
      </c>
      <c r="AD387" s="127"/>
      <c r="AE387" s="137"/>
      <c r="AF387" s="58" t="str" cm="1">
        <f>IF(ISBLANK($A387),"",INDEX(Array_WaterCharges,MATCH($A387,List_WaterMeters,0),ROUNDUP((COLUMN()+0)/3-1,0)))</f>
        <v/>
      </c>
      <c r="AG387" s="127"/>
      <c r="AH387" s="137"/>
    </row>
    <row r="388" spans="1:34" x14ac:dyDescent="0.3">
      <c r="A388" s="126"/>
      <c r="B388" s="133"/>
      <c r="C388" s="127"/>
      <c r="D388" s="137"/>
      <c r="E388" s="58" t="str" cm="1">
        <f>IF(ISBLANK($A388),"",INDEX(Array_WaterCharges,MATCH($A388,List_WaterMeters,0),ROUNDUP((COLUMN()+0)/3-1,0)))</f>
        <v/>
      </c>
      <c r="F388" s="127"/>
      <c r="G388" s="137"/>
      <c r="H388" s="58" t="str" cm="1">
        <f>IF(ISBLANK($A388),"",INDEX(Array_WaterCharges,MATCH($A388,List_WaterMeters,0),ROUNDUP((COLUMN()+0)/3-1,0)))</f>
        <v/>
      </c>
      <c r="I388" s="127"/>
      <c r="J388" s="137"/>
      <c r="K388" s="58" t="str" cm="1">
        <f>IF(ISBLANK($A388),"",INDEX(Array_WaterCharges,MATCH($A388,List_WaterMeters,0),ROUNDUP((COLUMN()+0)/3-1,0)))</f>
        <v/>
      </c>
      <c r="L388" s="127"/>
      <c r="M388" s="137"/>
      <c r="N388" s="58" t="str" cm="1">
        <f>IF(ISBLANK($A388),"",INDEX(Array_WaterCharges,MATCH($A388,List_WaterMeters,0),ROUNDUP((COLUMN()+0)/3-1,0)))</f>
        <v/>
      </c>
      <c r="O388" s="127"/>
      <c r="P388" s="137"/>
      <c r="Q388" s="58" t="str" cm="1">
        <f>IF(ISBLANK($A388),"",INDEX(Array_WaterCharges,MATCH($A388,List_WaterMeters,0),ROUNDUP((COLUMN()+0)/3-1,0)))</f>
        <v/>
      </c>
      <c r="R388" s="127"/>
      <c r="S388" s="137"/>
      <c r="T388" s="58" t="str" cm="1">
        <f>IF(ISBLANK($A388),"",INDEX(Array_WaterCharges,MATCH($A388,List_WaterMeters,0),ROUNDUP((COLUMN()+0)/3-1,0)))</f>
        <v/>
      </c>
      <c r="U388" s="127"/>
      <c r="V388" s="137"/>
      <c r="W388" s="58" t="str" cm="1">
        <f>IF(ISBLANK($A388),"",INDEX(Array_WaterCharges,MATCH($A388,List_WaterMeters,0),ROUNDUP((COLUMN()+0)/3-1,0)))</f>
        <v/>
      </c>
      <c r="X388" s="127"/>
      <c r="Y388" s="137"/>
      <c r="Z388" s="58" t="str" cm="1">
        <f>IF(ISBLANK($A388),"",INDEX(Array_WaterCharges,MATCH($A388,List_WaterMeters,0),ROUNDUP((COLUMN()+0)/3-1,0)))</f>
        <v/>
      </c>
      <c r="AA388" s="127"/>
      <c r="AB388" s="137"/>
      <c r="AC388" s="58" t="str" cm="1">
        <f>IF(ISBLANK($A388),"",INDEX(Array_WaterCharges,MATCH($A388,List_WaterMeters,0),ROUNDUP((COLUMN()+0)/3-1,0)))</f>
        <v/>
      </c>
      <c r="AD388" s="127"/>
      <c r="AE388" s="137"/>
      <c r="AF388" s="58" t="str" cm="1">
        <f>IF(ISBLANK($A388),"",INDEX(Array_WaterCharges,MATCH($A388,List_WaterMeters,0),ROUNDUP((COLUMN()+0)/3-1,0)))</f>
        <v/>
      </c>
      <c r="AG388" s="127"/>
      <c r="AH388" s="137"/>
    </row>
    <row r="389" spans="1:34" x14ac:dyDescent="0.3">
      <c r="A389" s="126"/>
      <c r="B389" s="133"/>
      <c r="C389" s="127"/>
      <c r="D389" s="137"/>
      <c r="E389" s="58" t="str" cm="1">
        <f>IF(ISBLANK($A389),"",INDEX(Array_WaterCharges,MATCH($A389,List_WaterMeters,0),ROUNDUP((COLUMN()+0)/3-1,0)))</f>
        <v/>
      </c>
      <c r="F389" s="127"/>
      <c r="G389" s="137"/>
      <c r="H389" s="58" t="str" cm="1">
        <f>IF(ISBLANK($A389),"",INDEX(Array_WaterCharges,MATCH($A389,List_WaterMeters,0),ROUNDUP((COLUMN()+0)/3-1,0)))</f>
        <v/>
      </c>
      <c r="I389" s="127"/>
      <c r="J389" s="137"/>
      <c r="K389" s="58" t="str" cm="1">
        <f>IF(ISBLANK($A389),"",INDEX(Array_WaterCharges,MATCH($A389,List_WaterMeters,0),ROUNDUP((COLUMN()+0)/3-1,0)))</f>
        <v/>
      </c>
      <c r="L389" s="127"/>
      <c r="M389" s="137"/>
      <c r="N389" s="58" t="str" cm="1">
        <f>IF(ISBLANK($A389),"",INDEX(Array_WaterCharges,MATCH($A389,List_WaterMeters,0),ROUNDUP((COLUMN()+0)/3-1,0)))</f>
        <v/>
      </c>
      <c r="O389" s="127"/>
      <c r="P389" s="137"/>
      <c r="Q389" s="58" t="str" cm="1">
        <f>IF(ISBLANK($A389),"",INDEX(Array_WaterCharges,MATCH($A389,List_WaterMeters,0),ROUNDUP((COLUMN()+0)/3-1,0)))</f>
        <v/>
      </c>
      <c r="R389" s="127"/>
      <c r="S389" s="137"/>
      <c r="T389" s="58" t="str" cm="1">
        <f>IF(ISBLANK($A389),"",INDEX(Array_WaterCharges,MATCH($A389,List_WaterMeters,0),ROUNDUP((COLUMN()+0)/3-1,0)))</f>
        <v/>
      </c>
      <c r="U389" s="127"/>
      <c r="V389" s="137"/>
      <c r="W389" s="58" t="str" cm="1">
        <f>IF(ISBLANK($A389),"",INDEX(Array_WaterCharges,MATCH($A389,List_WaterMeters,0),ROUNDUP((COLUMN()+0)/3-1,0)))</f>
        <v/>
      </c>
      <c r="X389" s="127"/>
      <c r="Y389" s="137"/>
      <c r="Z389" s="58" t="str" cm="1">
        <f>IF(ISBLANK($A389),"",INDEX(Array_WaterCharges,MATCH($A389,List_WaterMeters,0),ROUNDUP((COLUMN()+0)/3-1,0)))</f>
        <v/>
      </c>
      <c r="AA389" s="127"/>
      <c r="AB389" s="137"/>
      <c r="AC389" s="58" t="str" cm="1">
        <f>IF(ISBLANK($A389),"",INDEX(Array_WaterCharges,MATCH($A389,List_WaterMeters,0),ROUNDUP((COLUMN()+0)/3-1,0)))</f>
        <v/>
      </c>
      <c r="AD389" s="127"/>
      <c r="AE389" s="137"/>
      <c r="AF389" s="58" t="str" cm="1">
        <f>IF(ISBLANK($A389),"",INDEX(Array_WaterCharges,MATCH($A389,List_WaterMeters,0),ROUNDUP((COLUMN()+0)/3-1,0)))</f>
        <v/>
      </c>
      <c r="AG389" s="127"/>
      <c r="AH389" s="137"/>
    </row>
    <row r="390" spans="1:34" x14ac:dyDescent="0.3">
      <c r="A390" s="126"/>
      <c r="B390" s="133"/>
      <c r="C390" s="127"/>
      <c r="D390" s="137"/>
      <c r="E390" s="58" t="str" cm="1">
        <f>IF(ISBLANK($A390),"",INDEX(Array_WaterCharges,MATCH($A390,List_WaterMeters,0),ROUNDUP((COLUMN()+0)/3-1,0)))</f>
        <v/>
      </c>
      <c r="F390" s="127"/>
      <c r="G390" s="137"/>
      <c r="H390" s="58" t="str" cm="1">
        <f>IF(ISBLANK($A390),"",INDEX(Array_WaterCharges,MATCH($A390,List_WaterMeters,0),ROUNDUP((COLUMN()+0)/3-1,0)))</f>
        <v/>
      </c>
      <c r="I390" s="127"/>
      <c r="J390" s="137"/>
      <c r="K390" s="58" t="str" cm="1">
        <f>IF(ISBLANK($A390),"",INDEX(Array_WaterCharges,MATCH($A390,List_WaterMeters,0),ROUNDUP((COLUMN()+0)/3-1,0)))</f>
        <v/>
      </c>
      <c r="L390" s="127"/>
      <c r="M390" s="137"/>
      <c r="N390" s="58" t="str" cm="1">
        <f>IF(ISBLANK($A390),"",INDEX(Array_WaterCharges,MATCH($A390,List_WaterMeters,0),ROUNDUP((COLUMN()+0)/3-1,0)))</f>
        <v/>
      </c>
      <c r="O390" s="127"/>
      <c r="P390" s="137"/>
      <c r="Q390" s="58" t="str" cm="1">
        <f>IF(ISBLANK($A390),"",INDEX(Array_WaterCharges,MATCH($A390,List_WaterMeters,0),ROUNDUP((COLUMN()+0)/3-1,0)))</f>
        <v/>
      </c>
      <c r="R390" s="127"/>
      <c r="S390" s="137"/>
      <c r="T390" s="58" t="str" cm="1">
        <f>IF(ISBLANK($A390),"",INDEX(Array_WaterCharges,MATCH($A390,List_WaterMeters,0),ROUNDUP((COLUMN()+0)/3-1,0)))</f>
        <v/>
      </c>
      <c r="U390" s="127"/>
      <c r="V390" s="137"/>
      <c r="W390" s="58" t="str" cm="1">
        <f>IF(ISBLANK($A390),"",INDEX(Array_WaterCharges,MATCH($A390,List_WaterMeters,0),ROUNDUP((COLUMN()+0)/3-1,0)))</f>
        <v/>
      </c>
      <c r="X390" s="127"/>
      <c r="Y390" s="137"/>
      <c r="Z390" s="58" t="str" cm="1">
        <f>IF(ISBLANK($A390),"",INDEX(Array_WaterCharges,MATCH($A390,List_WaterMeters,0),ROUNDUP((COLUMN()+0)/3-1,0)))</f>
        <v/>
      </c>
      <c r="AA390" s="127"/>
      <c r="AB390" s="137"/>
      <c r="AC390" s="58" t="str" cm="1">
        <f>IF(ISBLANK($A390),"",INDEX(Array_WaterCharges,MATCH($A390,List_WaterMeters,0),ROUNDUP((COLUMN()+0)/3-1,0)))</f>
        <v/>
      </c>
      <c r="AD390" s="127"/>
      <c r="AE390" s="137"/>
      <c r="AF390" s="58" t="str" cm="1">
        <f>IF(ISBLANK($A390),"",INDEX(Array_WaterCharges,MATCH($A390,List_WaterMeters,0),ROUNDUP((COLUMN()+0)/3-1,0)))</f>
        <v/>
      </c>
      <c r="AG390" s="127"/>
      <c r="AH390" s="137"/>
    </row>
    <row r="391" spans="1:34" x14ac:dyDescent="0.3">
      <c r="A391" s="126"/>
      <c r="B391" s="133"/>
      <c r="C391" s="127"/>
      <c r="D391" s="137"/>
      <c r="E391" s="58" t="str" cm="1">
        <f>IF(ISBLANK($A391),"",INDEX(Array_WaterCharges,MATCH($A391,List_WaterMeters,0),ROUNDUP((COLUMN()+0)/3-1,0)))</f>
        <v/>
      </c>
      <c r="F391" s="127"/>
      <c r="G391" s="137"/>
      <c r="H391" s="58" t="str" cm="1">
        <f>IF(ISBLANK($A391),"",INDEX(Array_WaterCharges,MATCH($A391,List_WaterMeters,0),ROUNDUP((COLUMN()+0)/3-1,0)))</f>
        <v/>
      </c>
      <c r="I391" s="127"/>
      <c r="J391" s="137"/>
      <c r="K391" s="58" t="str" cm="1">
        <f>IF(ISBLANK($A391),"",INDEX(Array_WaterCharges,MATCH($A391,List_WaterMeters,0),ROUNDUP((COLUMN()+0)/3-1,0)))</f>
        <v/>
      </c>
      <c r="L391" s="127"/>
      <c r="M391" s="137"/>
      <c r="N391" s="58" t="str" cm="1">
        <f>IF(ISBLANK($A391),"",INDEX(Array_WaterCharges,MATCH($A391,List_WaterMeters,0),ROUNDUP((COLUMN()+0)/3-1,0)))</f>
        <v/>
      </c>
      <c r="O391" s="127"/>
      <c r="P391" s="137"/>
      <c r="Q391" s="58" t="str" cm="1">
        <f>IF(ISBLANK($A391),"",INDEX(Array_WaterCharges,MATCH($A391,List_WaterMeters,0),ROUNDUP((COLUMN()+0)/3-1,0)))</f>
        <v/>
      </c>
      <c r="R391" s="127"/>
      <c r="S391" s="137"/>
      <c r="T391" s="58" t="str" cm="1">
        <f>IF(ISBLANK($A391),"",INDEX(Array_WaterCharges,MATCH($A391,List_WaterMeters,0),ROUNDUP((COLUMN()+0)/3-1,0)))</f>
        <v/>
      </c>
      <c r="U391" s="127"/>
      <c r="V391" s="137"/>
      <c r="W391" s="58" t="str" cm="1">
        <f>IF(ISBLANK($A391),"",INDEX(Array_WaterCharges,MATCH($A391,List_WaterMeters,0),ROUNDUP((COLUMN()+0)/3-1,0)))</f>
        <v/>
      </c>
      <c r="X391" s="127"/>
      <c r="Y391" s="137"/>
      <c r="Z391" s="58" t="str" cm="1">
        <f>IF(ISBLANK($A391),"",INDEX(Array_WaterCharges,MATCH($A391,List_WaterMeters,0),ROUNDUP((COLUMN()+0)/3-1,0)))</f>
        <v/>
      </c>
      <c r="AA391" s="127"/>
      <c r="AB391" s="137"/>
      <c r="AC391" s="58" t="str" cm="1">
        <f>IF(ISBLANK($A391),"",INDEX(Array_WaterCharges,MATCH($A391,List_WaterMeters,0),ROUNDUP((COLUMN()+0)/3-1,0)))</f>
        <v/>
      </c>
      <c r="AD391" s="127"/>
      <c r="AE391" s="137"/>
      <c r="AF391" s="58" t="str" cm="1">
        <f>IF(ISBLANK($A391),"",INDEX(Array_WaterCharges,MATCH($A391,List_WaterMeters,0),ROUNDUP((COLUMN()+0)/3-1,0)))</f>
        <v/>
      </c>
      <c r="AG391" s="127"/>
      <c r="AH391" s="137"/>
    </row>
    <row r="392" spans="1:34" x14ac:dyDescent="0.3">
      <c r="A392" s="126"/>
      <c r="B392" s="133"/>
      <c r="C392" s="127"/>
      <c r="D392" s="137"/>
      <c r="E392" s="58" t="str" cm="1">
        <f>IF(ISBLANK($A392),"",INDEX(Array_WaterCharges,MATCH($A392,List_WaterMeters,0),ROUNDUP((COLUMN()+0)/3-1,0)))</f>
        <v/>
      </c>
      <c r="F392" s="127"/>
      <c r="G392" s="137"/>
      <c r="H392" s="58" t="str" cm="1">
        <f>IF(ISBLANK($A392),"",INDEX(Array_WaterCharges,MATCH($A392,List_WaterMeters,0),ROUNDUP((COLUMN()+0)/3-1,0)))</f>
        <v/>
      </c>
      <c r="I392" s="127"/>
      <c r="J392" s="137"/>
      <c r="K392" s="58" t="str" cm="1">
        <f>IF(ISBLANK($A392),"",INDEX(Array_WaterCharges,MATCH($A392,List_WaterMeters,0),ROUNDUP((COLUMN()+0)/3-1,0)))</f>
        <v/>
      </c>
      <c r="L392" s="127"/>
      <c r="M392" s="137"/>
      <c r="N392" s="58" t="str" cm="1">
        <f>IF(ISBLANK($A392),"",INDEX(Array_WaterCharges,MATCH($A392,List_WaterMeters,0),ROUNDUP((COLUMN()+0)/3-1,0)))</f>
        <v/>
      </c>
      <c r="O392" s="127"/>
      <c r="P392" s="137"/>
      <c r="Q392" s="58" t="str" cm="1">
        <f>IF(ISBLANK($A392),"",INDEX(Array_WaterCharges,MATCH($A392,List_WaterMeters,0),ROUNDUP((COLUMN()+0)/3-1,0)))</f>
        <v/>
      </c>
      <c r="R392" s="127"/>
      <c r="S392" s="137"/>
      <c r="T392" s="58" t="str" cm="1">
        <f>IF(ISBLANK($A392),"",INDEX(Array_WaterCharges,MATCH($A392,List_WaterMeters,0),ROUNDUP((COLUMN()+0)/3-1,0)))</f>
        <v/>
      </c>
      <c r="U392" s="127"/>
      <c r="V392" s="137"/>
      <c r="W392" s="58" t="str" cm="1">
        <f>IF(ISBLANK($A392),"",INDEX(Array_WaterCharges,MATCH($A392,List_WaterMeters,0),ROUNDUP((COLUMN()+0)/3-1,0)))</f>
        <v/>
      </c>
      <c r="X392" s="127"/>
      <c r="Y392" s="137"/>
      <c r="Z392" s="58" t="str" cm="1">
        <f>IF(ISBLANK($A392),"",INDEX(Array_WaterCharges,MATCH($A392,List_WaterMeters,0),ROUNDUP((COLUMN()+0)/3-1,0)))</f>
        <v/>
      </c>
      <c r="AA392" s="127"/>
      <c r="AB392" s="137"/>
      <c r="AC392" s="58" t="str" cm="1">
        <f>IF(ISBLANK($A392),"",INDEX(Array_WaterCharges,MATCH($A392,List_WaterMeters,0),ROUNDUP((COLUMN()+0)/3-1,0)))</f>
        <v/>
      </c>
      <c r="AD392" s="127"/>
      <c r="AE392" s="137"/>
      <c r="AF392" s="58" t="str" cm="1">
        <f>IF(ISBLANK($A392),"",INDEX(Array_WaterCharges,MATCH($A392,List_WaterMeters,0),ROUNDUP((COLUMN()+0)/3-1,0)))</f>
        <v/>
      </c>
      <c r="AG392" s="127"/>
      <c r="AH392" s="137"/>
    </row>
    <row r="393" spans="1:34" x14ac:dyDescent="0.3">
      <c r="A393" s="126"/>
      <c r="B393" s="133"/>
      <c r="C393" s="127"/>
      <c r="D393" s="137"/>
      <c r="E393" s="58" t="str" cm="1">
        <f>IF(ISBLANK($A393),"",INDEX(Array_WaterCharges,MATCH($A393,List_WaterMeters,0),ROUNDUP((COLUMN()+0)/3-1,0)))</f>
        <v/>
      </c>
      <c r="F393" s="127"/>
      <c r="G393" s="137"/>
      <c r="H393" s="58" t="str" cm="1">
        <f>IF(ISBLANK($A393),"",INDEX(Array_WaterCharges,MATCH($A393,List_WaterMeters,0),ROUNDUP((COLUMN()+0)/3-1,0)))</f>
        <v/>
      </c>
      <c r="I393" s="127"/>
      <c r="J393" s="137"/>
      <c r="K393" s="58" t="str" cm="1">
        <f>IF(ISBLANK($A393),"",INDEX(Array_WaterCharges,MATCH($A393,List_WaterMeters,0),ROUNDUP((COLUMN()+0)/3-1,0)))</f>
        <v/>
      </c>
      <c r="L393" s="127"/>
      <c r="M393" s="137"/>
      <c r="N393" s="58" t="str" cm="1">
        <f>IF(ISBLANK($A393),"",INDEX(Array_WaterCharges,MATCH($A393,List_WaterMeters,0),ROUNDUP((COLUMN()+0)/3-1,0)))</f>
        <v/>
      </c>
      <c r="O393" s="127"/>
      <c r="P393" s="137"/>
      <c r="Q393" s="58" t="str" cm="1">
        <f>IF(ISBLANK($A393),"",INDEX(Array_WaterCharges,MATCH($A393,List_WaterMeters,0),ROUNDUP((COLUMN()+0)/3-1,0)))</f>
        <v/>
      </c>
      <c r="R393" s="127"/>
      <c r="S393" s="137"/>
      <c r="T393" s="58" t="str" cm="1">
        <f>IF(ISBLANK($A393),"",INDEX(Array_WaterCharges,MATCH($A393,List_WaterMeters,0),ROUNDUP((COLUMN()+0)/3-1,0)))</f>
        <v/>
      </c>
      <c r="U393" s="127"/>
      <c r="V393" s="137"/>
      <c r="W393" s="58" t="str" cm="1">
        <f>IF(ISBLANK($A393),"",INDEX(Array_WaterCharges,MATCH($A393,List_WaterMeters,0),ROUNDUP((COLUMN()+0)/3-1,0)))</f>
        <v/>
      </c>
      <c r="X393" s="127"/>
      <c r="Y393" s="137"/>
      <c r="Z393" s="58" t="str" cm="1">
        <f>IF(ISBLANK($A393),"",INDEX(Array_WaterCharges,MATCH($A393,List_WaterMeters,0),ROUNDUP((COLUMN()+0)/3-1,0)))</f>
        <v/>
      </c>
      <c r="AA393" s="127"/>
      <c r="AB393" s="137"/>
      <c r="AC393" s="58" t="str" cm="1">
        <f>IF(ISBLANK($A393),"",INDEX(Array_WaterCharges,MATCH($A393,List_WaterMeters,0),ROUNDUP((COLUMN()+0)/3-1,0)))</f>
        <v/>
      </c>
      <c r="AD393" s="127"/>
      <c r="AE393" s="137"/>
      <c r="AF393" s="58" t="str" cm="1">
        <f>IF(ISBLANK($A393),"",INDEX(Array_WaterCharges,MATCH($A393,List_WaterMeters,0),ROUNDUP((COLUMN()+0)/3-1,0)))</f>
        <v/>
      </c>
      <c r="AG393" s="127"/>
      <c r="AH393" s="137"/>
    </row>
    <row r="394" spans="1:34" x14ac:dyDescent="0.3">
      <c r="A394" s="126"/>
      <c r="B394" s="133"/>
      <c r="C394" s="127"/>
      <c r="D394" s="137"/>
      <c r="E394" s="58" t="str" cm="1">
        <f>IF(ISBLANK($A394),"",INDEX(Array_WaterCharges,MATCH($A394,List_WaterMeters,0),ROUNDUP((COLUMN()+0)/3-1,0)))</f>
        <v/>
      </c>
      <c r="F394" s="127"/>
      <c r="G394" s="137"/>
      <c r="H394" s="58" t="str" cm="1">
        <f>IF(ISBLANK($A394),"",INDEX(Array_WaterCharges,MATCH($A394,List_WaterMeters,0),ROUNDUP((COLUMN()+0)/3-1,0)))</f>
        <v/>
      </c>
      <c r="I394" s="127"/>
      <c r="J394" s="137"/>
      <c r="K394" s="58" t="str" cm="1">
        <f>IF(ISBLANK($A394),"",INDEX(Array_WaterCharges,MATCH($A394,List_WaterMeters,0),ROUNDUP((COLUMN()+0)/3-1,0)))</f>
        <v/>
      </c>
      <c r="L394" s="127"/>
      <c r="M394" s="137"/>
      <c r="N394" s="58" t="str" cm="1">
        <f>IF(ISBLANK($A394),"",INDEX(Array_WaterCharges,MATCH($A394,List_WaterMeters,0),ROUNDUP((COLUMN()+0)/3-1,0)))</f>
        <v/>
      </c>
      <c r="O394" s="127"/>
      <c r="P394" s="137"/>
      <c r="Q394" s="58" t="str" cm="1">
        <f>IF(ISBLANK($A394),"",INDEX(Array_WaterCharges,MATCH($A394,List_WaterMeters,0),ROUNDUP((COLUMN()+0)/3-1,0)))</f>
        <v/>
      </c>
      <c r="R394" s="127"/>
      <c r="S394" s="137"/>
      <c r="T394" s="58" t="str" cm="1">
        <f>IF(ISBLANK($A394),"",INDEX(Array_WaterCharges,MATCH($A394,List_WaterMeters,0),ROUNDUP((COLUMN()+0)/3-1,0)))</f>
        <v/>
      </c>
      <c r="U394" s="127"/>
      <c r="V394" s="137"/>
      <c r="W394" s="58" t="str" cm="1">
        <f>IF(ISBLANK($A394),"",INDEX(Array_WaterCharges,MATCH($A394,List_WaterMeters,0),ROUNDUP((COLUMN()+0)/3-1,0)))</f>
        <v/>
      </c>
      <c r="X394" s="127"/>
      <c r="Y394" s="137"/>
      <c r="Z394" s="58" t="str" cm="1">
        <f>IF(ISBLANK($A394),"",INDEX(Array_WaterCharges,MATCH($A394,List_WaterMeters,0),ROUNDUP((COLUMN()+0)/3-1,0)))</f>
        <v/>
      </c>
      <c r="AA394" s="127"/>
      <c r="AB394" s="137"/>
      <c r="AC394" s="58" t="str" cm="1">
        <f>IF(ISBLANK($A394),"",INDEX(Array_WaterCharges,MATCH($A394,List_WaterMeters,0),ROUNDUP((COLUMN()+0)/3-1,0)))</f>
        <v/>
      </c>
      <c r="AD394" s="127"/>
      <c r="AE394" s="137"/>
      <c r="AF394" s="58" t="str" cm="1">
        <f>IF(ISBLANK($A394),"",INDEX(Array_WaterCharges,MATCH($A394,List_WaterMeters,0),ROUNDUP((COLUMN()+0)/3-1,0)))</f>
        <v/>
      </c>
      <c r="AG394" s="127"/>
      <c r="AH394" s="137"/>
    </row>
    <row r="395" spans="1:34" x14ac:dyDescent="0.3">
      <c r="A395" s="126"/>
      <c r="B395" s="133"/>
      <c r="C395" s="127"/>
      <c r="D395" s="137"/>
      <c r="E395" s="58" t="str" cm="1">
        <f>IF(ISBLANK($A395),"",INDEX(Array_WaterCharges,MATCH($A395,List_WaterMeters,0),ROUNDUP((COLUMN()+0)/3-1,0)))</f>
        <v/>
      </c>
      <c r="F395" s="127"/>
      <c r="G395" s="137"/>
      <c r="H395" s="58" t="str" cm="1">
        <f>IF(ISBLANK($A395),"",INDEX(Array_WaterCharges,MATCH($A395,List_WaterMeters,0),ROUNDUP((COLUMN()+0)/3-1,0)))</f>
        <v/>
      </c>
      <c r="I395" s="127"/>
      <c r="J395" s="137"/>
      <c r="K395" s="58" t="str" cm="1">
        <f>IF(ISBLANK($A395),"",INDEX(Array_WaterCharges,MATCH($A395,List_WaterMeters,0),ROUNDUP((COLUMN()+0)/3-1,0)))</f>
        <v/>
      </c>
      <c r="L395" s="127"/>
      <c r="M395" s="137"/>
      <c r="N395" s="58" t="str" cm="1">
        <f>IF(ISBLANK($A395),"",INDEX(Array_WaterCharges,MATCH($A395,List_WaterMeters,0),ROUNDUP((COLUMN()+0)/3-1,0)))</f>
        <v/>
      </c>
      <c r="O395" s="127"/>
      <c r="P395" s="137"/>
      <c r="Q395" s="58" t="str" cm="1">
        <f>IF(ISBLANK($A395),"",INDEX(Array_WaterCharges,MATCH($A395,List_WaterMeters,0),ROUNDUP((COLUMN()+0)/3-1,0)))</f>
        <v/>
      </c>
      <c r="R395" s="127"/>
      <c r="S395" s="137"/>
      <c r="T395" s="58" t="str" cm="1">
        <f>IF(ISBLANK($A395),"",INDEX(Array_WaterCharges,MATCH($A395,List_WaterMeters,0),ROUNDUP((COLUMN()+0)/3-1,0)))</f>
        <v/>
      </c>
      <c r="U395" s="127"/>
      <c r="V395" s="137"/>
      <c r="W395" s="58" t="str" cm="1">
        <f>IF(ISBLANK($A395),"",INDEX(Array_WaterCharges,MATCH($A395,List_WaterMeters,0),ROUNDUP((COLUMN()+0)/3-1,0)))</f>
        <v/>
      </c>
      <c r="X395" s="127"/>
      <c r="Y395" s="137"/>
      <c r="Z395" s="58" t="str" cm="1">
        <f>IF(ISBLANK($A395),"",INDEX(Array_WaterCharges,MATCH($A395,List_WaterMeters,0),ROUNDUP((COLUMN()+0)/3-1,0)))</f>
        <v/>
      </c>
      <c r="AA395" s="127"/>
      <c r="AB395" s="137"/>
      <c r="AC395" s="58" t="str" cm="1">
        <f>IF(ISBLANK($A395),"",INDEX(Array_WaterCharges,MATCH($A395,List_WaterMeters,0),ROUNDUP((COLUMN()+0)/3-1,0)))</f>
        <v/>
      </c>
      <c r="AD395" s="127"/>
      <c r="AE395" s="137"/>
      <c r="AF395" s="58" t="str" cm="1">
        <f>IF(ISBLANK($A395),"",INDEX(Array_WaterCharges,MATCH($A395,List_WaterMeters,0),ROUNDUP((COLUMN()+0)/3-1,0)))</f>
        <v/>
      </c>
      <c r="AG395" s="127"/>
      <c r="AH395" s="137"/>
    </row>
    <row r="396" spans="1:34" x14ac:dyDescent="0.3">
      <c r="A396" s="126"/>
      <c r="B396" s="133"/>
      <c r="C396" s="127"/>
      <c r="D396" s="137"/>
      <c r="E396" s="58" t="str" cm="1">
        <f>IF(ISBLANK($A396),"",INDEX(Array_WaterCharges,MATCH($A396,List_WaterMeters,0),ROUNDUP((COLUMN()+0)/3-1,0)))</f>
        <v/>
      </c>
      <c r="F396" s="127"/>
      <c r="G396" s="137"/>
      <c r="H396" s="58" t="str" cm="1">
        <f>IF(ISBLANK($A396),"",INDEX(Array_WaterCharges,MATCH($A396,List_WaterMeters,0),ROUNDUP((COLUMN()+0)/3-1,0)))</f>
        <v/>
      </c>
      <c r="I396" s="127"/>
      <c r="J396" s="137"/>
      <c r="K396" s="58" t="str" cm="1">
        <f>IF(ISBLANK($A396),"",INDEX(Array_WaterCharges,MATCH($A396,List_WaterMeters,0),ROUNDUP((COLUMN()+0)/3-1,0)))</f>
        <v/>
      </c>
      <c r="L396" s="127"/>
      <c r="M396" s="137"/>
      <c r="N396" s="58" t="str" cm="1">
        <f>IF(ISBLANK($A396),"",INDEX(Array_WaterCharges,MATCH($A396,List_WaterMeters,0),ROUNDUP((COLUMN()+0)/3-1,0)))</f>
        <v/>
      </c>
      <c r="O396" s="127"/>
      <c r="P396" s="137"/>
      <c r="Q396" s="58" t="str" cm="1">
        <f>IF(ISBLANK($A396),"",INDEX(Array_WaterCharges,MATCH($A396,List_WaterMeters,0),ROUNDUP((COLUMN()+0)/3-1,0)))</f>
        <v/>
      </c>
      <c r="R396" s="127"/>
      <c r="S396" s="137"/>
      <c r="T396" s="58" t="str" cm="1">
        <f>IF(ISBLANK($A396),"",INDEX(Array_WaterCharges,MATCH($A396,List_WaterMeters,0),ROUNDUP((COLUMN()+0)/3-1,0)))</f>
        <v/>
      </c>
      <c r="U396" s="127"/>
      <c r="V396" s="137"/>
      <c r="W396" s="58" t="str" cm="1">
        <f>IF(ISBLANK($A396),"",INDEX(Array_WaterCharges,MATCH($A396,List_WaterMeters,0),ROUNDUP((COLUMN()+0)/3-1,0)))</f>
        <v/>
      </c>
      <c r="X396" s="127"/>
      <c r="Y396" s="137"/>
      <c r="Z396" s="58" t="str" cm="1">
        <f>IF(ISBLANK($A396),"",INDEX(Array_WaterCharges,MATCH($A396,List_WaterMeters,0),ROUNDUP((COLUMN()+0)/3-1,0)))</f>
        <v/>
      </c>
      <c r="AA396" s="127"/>
      <c r="AB396" s="137"/>
      <c r="AC396" s="58" t="str" cm="1">
        <f>IF(ISBLANK($A396),"",INDEX(Array_WaterCharges,MATCH($A396,List_WaterMeters,0),ROUNDUP((COLUMN()+0)/3-1,0)))</f>
        <v/>
      </c>
      <c r="AD396" s="127"/>
      <c r="AE396" s="137"/>
      <c r="AF396" s="58" t="str" cm="1">
        <f>IF(ISBLANK($A396),"",INDEX(Array_WaterCharges,MATCH($A396,List_WaterMeters,0),ROUNDUP((COLUMN()+0)/3-1,0)))</f>
        <v/>
      </c>
      <c r="AG396" s="127"/>
      <c r="AH396" s="137"/>
    </row>
    <row r="397" spans="1:34" x14ac:dyDescent="0.3">
      <c r="A397" s="126"/>
      <c r="B397" s="133"/>
      <c r="C397" s="127"/>
      <c r="D397" s="137"/>
      <c r="E397" s="58" t="str" cm="1">
        <f>IF(ISBLANK($A397),"",INDEX(Array_WaterCharges,MATCH($A397,List_WaterMeters,0),ROUNDUP((COLUMN()+0)/3-1,0)))</f>
        <v/>
      </c>
      <c r="F397" s="127"/>
      <c r="G397" s="137"/>
      <c r="H397" s="58" t="str" cm="1">
        <f>IF(ISBLANK($A397),"",INDEX(Array_WaterCharges,MATCH($A397,List_WaterMeters,0),ROUNDUP((COLUMN()+0)/3-1,0)))</f>
        <v/>
      </c>
      <c r="I397" s="127"/>
      <c r="J397" s="137"/>
      <c r="K397" s="58" t="str" cm="1">
        <f>IF(ISBLANK($A397),"",INDEX(Array_WaterCharges,MATCH($A397,List_WaterMeters,0),ROUNDUP((COLUMN()+0)/3-1,0)))</f>
        <v/>
      </c>
      <c r="L397" s="127"/>
      <c r="M397" s="137"/>
      <c r="N397" s="58" t="str" cm="1">
        <f>IF(ISBLANK($A397),"",INDEX(Array_WaterCharges,MATCH($A397,List_WaterMeters,0),ROUNDUP((COLUMN()+0)/3-1,0)))</f>
        <v/>
      </c>
      <c r="O397" s="127"/>
      <c r="P397" s="137"/>
      <c r="Q397" s="58" t="str" cm="1">
        <f>IF(ISBLANK($A397),"",INDEX(Array_WaterCharges,MATCH($A397,List_WaterMeters,0),ROUNDUP((COLUMN()+0)/3-1,0)))</f>
        <v/>
      </c>
      <c r="R397" s="127"/>
      <c r="S397" s="137"/>
      <c r="T397" s="58" t="str" cm="1">
        <f>IF(ISBLANK($A397),"",INDEX(Array_WaterCharges,MATCH($A397,List_WaterMeters,0),ROUNDUP((COLUMN()+0)/3-1,0)))</f>
        <v/>
      </c>
      <c r="U397" s="127"/>
      <c r="V397" s="137"/>
      <c r="W397" s="58" t="str" cm="1">
        <f>IF(ISBLANK($A397),"",INDEX(Array_WaterCharges,MATCH($A397,List_WaterMeters,0),ROUNDUP((COLUMN()+0)/3-1,0)))</f>
        <v/>
      </c>
      <c r="X397" s="127"/>
      <c r="Y397" s="137"/>
      <c r="Z397" s="58" t="str" cm="1">
        <f>IF(ISBLANK($A397),"",INDEX(Array_WaterCharges,MATCH($A397,List_WaterMeters,0),ROUNDUP((COLUMN()+0)/3-1,0)))</f>
        <v/>
      </c>
      <c r="AA397" s="127"/>
      <c r="AB397" s="137"/>
      <c r="AC397" s="58" t="str" cm="1">
        <f>IF(ISBLANK($A397),"",INDEX(Array_WaterCharges,MATCH($A397,List_WaterMeters,0),ROUNDUP((COLUMN()+0)/3-1,0)))</f>
        <v/>
      </c>
      <c r="AD397" s="127"/>
      <c r="AE397" s="137"/>
      <c r="AF397" s="58" t="str" cm="1">
        <f>IF(ISBLANK($A397),"",INDEX(Array_WaterCharges,MATCH($A397,List_WaterMeters,0),ROUNDUP((COLUMN()+0)/3-1,0)))</f>
        <v/>
      </c>
      <c r="AG397" s="127"/>
      <c r="AH397" s="137"/>
    </row>
    <row r="398" spans="1:34" x14ac:dyDescent="0.3">
      <c r="A398" s="126"/>
      <c r="B398" s="133"/>
      <c r="C398" s="127"/>
      <c r="D398" s="137"/>
      <c r="E398" s="58" t="str" cm="1">
        <f>IF(ISBLANK($A398),"",INDEX(Array_WaterCharges,MATCH($A398,List_WaterMeters,0),ROUNDUP((COLUMN()+0)/3-1,0)))</f>
        <v/>
      </c>
      <c r="F398" s="127"/>
      <c r="G398" s="137"/>
      <c r="H398" s="58" t="str" cm="1">
        <f>IF(ISBLANK($A398),"",INDEX(Array_WaterCharges,MATCH($A398,List_WaterMeters,0),ROUNDUP((COLUMN()+0)/3-1,0)))</f>
        <v/>
      </c>
      <c r="I398" s="127"/>
      <c r="J398" s="137"/>
      <c r="K398" s="58" t="str" cm="1">
        <f>IF(ISBLANK($A398),"",INDEX(Array_WaterCharges,MATCH($A398,List_WaterMeters,0),ROUNDUP((COLUMN()+0)/3-1,0)))</f>
        <v/>
      </c>
      <c r="L398" s="127"/>
      <c r="M398" s="137"/>
      <c r="N398" s="58" t="str" cm="1">
        <f>IF(ISBLANK($A398),"",INDEX(Array_WaterCharges,MATCH($A398,List_WaterMeters,0),ROUNDUP((COLUMN()+0)/3-1,0)))</f>
        <v/>
      </c>
      <c r="O398" s="127"/>
      <c r="P398" s="137"/>
      <c r="Q398" s="58" t="str" cm="1">
        <f>IF(ISBLANK($A398),"",INDEX(Array_WaterCharges,MATCH($A398,List_WaterMeters,0),ROUNDUP((COLUMN()+0)/3-1,0)))</f>
        <v/>
      </c>
      <c r="R398" s="127"/>
      <c r="S398" s="137"/>
      <c r="T398" s="58" t="str" cm="1">
        <f>IF(ISBLANK($A398),"",INDEX(Array_WaterCharges,MATCH($A398,List_WaterMeters,0),ROUNDUP((COLUMN()+0)/3-1,0)))</f>
        <v/>
      </c>
      <c r="U398" s="127"/>
      <c r="V398" s="137"/>
      <c r="W398" s="58" t="str" cm="1">
        <f>IF(ISBLANK($A398),"",INDEX(Array_WaterCharges,MATCH($A398,List_WaterMeters,0),ROUNDUP((COLUMN()+0)/3-1,0)))</f>
        <v/>
      </c>
      <c r="X398" s="127"/>
      <c r="Y398" s="137"/>
      <c r="Z398" s="58" t="str" cm="1">
        <f>IF(ISBLANK($A398),"",INDEX(Array_WaterCharges,MATCH($A398,List_WaterMeters,0),ROUNDUP((COLUMN()+0)/3-1,0)))</f>
        <v/>
      </c>
      <c r="AA398" s="127"/>
      <c r="AB398" s="137"/>
      <c r="AC398" s="58" t="str" cm="1">
        <f>IF(ISBLANK($A398),"",INDEX(Array_WaterCharges,MATCH($A398,List_WaterMeters,0),ROUNDUP((COLUMN()+0)/3-1,0)))</f>
        <v/>
      </c>
      <c r="AD398" s="127"/>
      <c r="AE398" s="137"/>
      <c r="AF398" s="58" t="str" cm="1">
        <f>IF(ISBLANK($A398),"",INDEX(Array_WaterCharges,MATCH($A398,List_WaterMeters,0),ROUNDUP((COLUMN()+0)/3-1,0)))</f>
        <v/>
      </c>
      <c r="AG398" s="127"/>
      <c r="AH398" s="137"/>
    </row>
    <row r="399" spans="1:34" x14ac:dyDescent="0.3">
      <c r="A399" s="126"/>
      <c r="B399" s="133"/>
      <c r="C399" s="127"/>
      <c r="D399" s="137"/>
      <c r="E399" s="58" t="str" cm="1">
        <f>IF(ISBLANK($A399),"",INDEX(Array_WaterCharges,MATCH($A399,List_WaterMeters,0),ROUNDUP((COLUMN()+0)/3-1,0)))</f>
        <v/>
      </c>
      <c r="F399" s="127"/>
      <c r="G399" s="137"/>
      <c r="H399" s="58" t="str" cm="1">
        <f>IF(ISBLANK($A399),"",INDEX(Array_WaterCharges,MATCH($A399,List_WaterMeters,0),ROUNDUP((COLUMN()+0)/3-1,0)))</f>
        <v/>
      </c>
      <c r="I399" s="127"/>
      <c r="J399" s="137"/>
      <c r="K399" s="58" t="str" cm="1">
        <f>IF(ISBLANK($A399),"",INDEX(Array_WaterCharges,MATCH($A399,List_WaterMeters,0),ROUNDUP((COLUMN()+0)/3-1,0)))</f>
        <v/>
      </c>
      <c r="L399" s="127"/>
      <c r="M399" s="137"/>
      <c r="N399" s="58" t="str" cm="1">
        <f>IF(ISBLANK($A399),"",INDEX(Array_WaterCharges,MATCH($A399,List_WaterMeters,0),ROUNDUP((COLUMN()+0)/3-1,0)))</f>
        <v/>
      </c>
      <c r="O399" s="127"/>
      <c r="P399" s="137"/>
      <c r="Q399" s="58" t="str" cm="1">
        <f>IF(ISBLANK($A399),"",INDEX(Array_WaterCharges,MATCH($A399,List_WaterMeters,0),ROUNDUP((COLUMN()+0)/3-1,0)))</f>
        <v/>
      </c>
      <c r="R399" s="127"/>
      <c r="S399" s="137"/>
      <c r="T399" s="58" t="str" cm="1">
        <f>IF(ISBLANK($A399),"",INDEX(Array_WaterCharges,MATCH($A399,List_WaterMeters,0),ROUNDUP((COLUMN()+0)/3-1,0)))</f>
        <v/>
      </c>
      <c r="U399" s="127"/>
      <c r="V399" s="137"/>
      <c r="W399" s="58" t="str" cm="1">
        <f>IF(ISBLANK($A399),"",INDEX(Array_WaterCharges,MATCH($A399,List_WaterMeters,0),ROUNDUP((COLUMN()+0)/3-1,0)))</f>
        <v/>
      </c>
      <c r="X399" s="127"/>
      <c r="Y399" s="137"/>
      <c r="Z399" s="58" t="str" cm="1">
        <f>IF(ISBLANK($A399),"",INDEX(Array_WaterCharges,MATCH($A399,List_WaterMeters,0),ROUNDUP((COLUMN()+0)/3-1,0)))</f>
        <v/>
      </c>
      <c r="AA399" s="127"/>
      <c r="AB399" s="137"/>
      <c r="AC399" s="58" t="str" cm="1">
        <f>IF(ISBLANK($A399),"",INDEX(Array_WaterCharges,MATCH($A399,List_WaterMeters,0),ROUNDUP((COLUMN()+0)/3-1,0)))</f>
        <v/>
      </c>
      <c r="AD399" s="127"/>
      <c r="AE399" s="137"/>
      <c r="AF399" s="58" t="str" cm="1">
        <f>IF(ISBLANK($A399),"",INDEX(Array_WaterCharges,MATCH($A399,List_WaterMeters,0),ROUNDUP((COLUMN()+0)/3-1,0)))</f>
        <v/>
      </c>
      <c r="AG399" s="127"/>
      <c r="AH399" s="137"/>
    </row>
    <row r="400" spans="1:34" x14ac:dyDescent="0.3">
      <c r="A400" s="126"/>
      <c r="B400" s="133"/>
      <c r="C400" s="127"/>
      <c r="D400" s="137"/>
      <c r="E400" s="58" t="str" cm="1">
        <f>IF(ISBLANK($A400),"",INDEX(Array_WaterCharges,MATCH($A400,List_WaterMeters,0),ROUNDUP((COLUMN()+0)/3-1,0)))</f>
        <v/>
      </c>
      <c r="F400" s="127"/>
      <c r="G400" s="137"/>
      <c r="H400" s="58" t="str" cm="1">
        <f>IF(ISBLANK($A400),"",INDEX(Array_WaterCharges,MATCH($A400,List_WaterMeters,0),ROUNDUP((COLUMN()+0)/3-1,0)))</f>
        <v/>
      </c>
      <c r="I400" s="127"/>
      <c r="J400" s="137"/>
      <c r="K400" s="58" t="str" cm="1">
        <f>IF(ISBLANK($A400),"",INDEX(Array_WaterCharges,MATCH($A400,List_WaterMeters,0),ROUNDUP((COLUMN()+0)/3-1,0)))</f>
        <v/>
      </c>
      <c r="L400" s="127"/>
      <c r="M400" s="137"/>
      <c r="N400" s="58" t="str" cm="1">
        <f>IF(ISBLANK($A400),"",INDEX(Array_WaterCharges,MATCH($A400,List_WaterMeters,0),ROUNDUP((COLUMN()+0)/3-1,0)))</f>
        <v/>
      </c>
      <c r="O400" s="127"/>
      <c r="P400" s="137"/>
      <c r="Q400" s="58" t="str" cm="1">
        <f>IF(ISBLANK($A400),"",INDEX(Array_WaterCharges,MATCH($A400,List_WaterMeters,0),ROUNDUP((COLUMN()+0)/3-1,0)))</f>
        <v/>
      </c>
      <c r="R400" s="127"/>
      <c r="S400" s="137"/>
      <c r="T400" s="58" t="str" cm="1">
        <f>IF(ISBLANK($A400),"",INDEX(Array_WaterCharges,MATCH($A400,List_WaterMeters,0),ROUNDUP((COLUMN()+0)/3-1,0)))</f>
        <v/>
      </c>
      <c r="U400" s="127"/>
      <c r="V400" s="137"/>
      <c r="W400" s="58" t="str" cm="1">
        <f>IF(ISBLANK($A400),"",INDEX(Array_WaterCharges,MATCH($A400,List_WaterMeters,0),ROUNDUP((COLUMN()+0)/3-1,0)))</f>
        <v/>
      </c>
      <c r="X400" s="127"/>
      <c r="Y400" s="137"/>
      <c r="Z400" s="58" t="str" cm="1">
        <f>IF(ISBLANK($A400),"",INDEX(Array_WaterCharges,MATCH($A400,List_WaterMeters,0),ROUNDUP((COLUMN()+0)/3-1,0)))</f>
        <v/>
      </c>
      <c r="AA400" s="127"/>
      <c r="AB400" s="137"/>
      <c r="AC400" s="58" t="str" cm="1">
        <f>IF(ISBLANK($A400),"",INDEX(Array_WaterCharges,MATCH($A400,List_WaterMeters,0),ROUNDUP((COLUMN()+0)/3-1,0)))</f>
        <v/>
      </c>
      <c r="AD400" s="127"/>
      <c r="AE400" s="137"/>
      <c r="AF400" s="58" t="str" cm="1">
        <f>IF(ISBLANK($A400),"",INDEX(Array_WaterCharges,MATCH($A400,List_WaterMeters,0),ROUNDUP((COLUMN()+0)/3-1,0)))</f>
        <v/>
      </c>
      <c r="AG400" s="127"/>
      <c r="AH400" s="137"/>
    </row>
    <row r="401" spans="1:34" x14ac:dyDescent="0.3">
      <c r="A401" s="126"/>
      <c r="B401" s="133"/>
      <c r="C401" s="127"/>
      <c r="D401" s="137"/>
      <c r="E401" s="58" t="str" cm="1">
        <f>IF(ISBLANK($A401),"",INDEX(Array_WaterCharges,MATCH($A401,List_WaterMeters,0),ROUNDUP((COLUMN()+0)/3-1,0)))</f>
        <v/>
      </c>
      <c r="F401" s="127"/>
      <c r="G401" s="137"/>
      <c r="H401" s="58" t="str" cm="1">
        <f>IF(ISBLANK($A401),"",INDEX(Array_WaterCharges,MATCH($A401,List_WaterMeters,0),ROUNDUP((COLUMN()+0)/3-1,0)))</f>
        <v/>
      </c>
      <c r="I401" s="127"/>
      <c r="J401" s="137"/>
      <c r="K401" s="58" t="str" cm="1">
        <f>IF(ISBLANK($A401),"",INDEX(Array_WaterCharges,MATCH($A401,List_WaterMeters,0),ROUNDUP((COLUMN()+0)/3-1,0)))</f>
        <v/>
      </c>
      <c r="L401" s="127"/>
      <c r="M401" s="137"/>
      <c r="N401" s="58" t="str" cm="1">
        <f>IF(ISBLANK($A401),"",INDEX(Array_WaterCharges,MATCH($A401,List_WaterMeters,0),ROUNDUP((COLUMN()+0)/3-1,0)))</f>
        <v/>
      </c>
      <c r="O401" s="127"/>
      <c r="P401" s="137"/>
      <c r="Q401" s="58" t="str" cm="1">
        <f>IF(ISBLANK($A401),"",INDEX(Array_WaterCharges,MATCH($A401,List_WaterMeters,0),ROUNDUP((COLUMN()+0)/3-1,0)))</f>
        <v/>
      </c>
      <c r="R401" s="127"/>
      <c r="S401" s="137"/>
      <c r="T401" s="58" t="str" cm="1">
        <f>IF(ISBLANK($A401),"",INDEX(Array_WaterCharges,MATCH($A401,List_WaterMeters,0),ROUNDUP((COLUMN()+0)/3-1,0)))</f>
        <v/>
      </c>
      <c r="U401" s="127"/>
      <c r="V401" s="137"/>
      <c r="W401" s="58" t="str" cm="1">
        <f>IF(ISBLANK($A401),"",INDEX(Array_WaterCharges,MATCH($A401,List_WaterMeters,0),ROUNDUP((COLUMN()+0)/3-1,0)))</f>
        <v/>
      </c>
      <c r="X401" s="127"/>
      <c r="Y401" s="137"/>
      <c r="Z401" s="58" t="str" cm="1">
        <f>IF(ISBLANK($A401),"",INDEX(Array_WaterCharges,MATCH($A401,List_WaterMeters,0),ROUNDUP((COLUMN()+0)/3-1,0)))</f>
        <v/>
      </c>
      <c r="AA401" s="127"/>
      <c r="AB401" s="137"/>
      <c r="AC401" s="58" t="str" cm="1">
        <f>IF(ISBLANK($A401),"",INDEX(Array_WaterCharges,MATCH($A401,List_WaterMeters,0),ROUNDUP((COLUMN()+0)/3-1,0)))</f>
        <v/>
      </c>
      <c r="AD401" s="127"/>
      <c r="AE401" s="137"/>
      <c r="AF401" s="58" t="str" cm="1">
        <f>IF(ISBLANK($A401),"",INDEX(Array_WaterCharges,MATCH($A401,List_WaterMeters,0),ROUNDUP((COLUMN()+0)/3-1,0)))</f>
        <v/>
      </c>
      <c r="AG401" s="127"/>
      <c r="AH401" s="137"/>
    </row>
    <row r="402" spans="1:34" x14ac:dyDescent="0.3">
      <c r="A402" s="126"/>
      <c r="B402" s="133"/>
      <c r="C402" s="127"/>
      <c r="D402" s="137"/>
      <c r="E402" s="58" t="str" cm="1">
        <f>IF(ISBLANK($A402),"",INDEX(Array_WaterCharges,MATCH($A402,List_WaterMeters,0),ROUNDUP((COLUMN()+0)/3-1,0)))</f>
        <v/>
      </c>
      <c r="F402" s="127"/>
      <c r="G402" s="137"/>
      <c r="H402" s="58" t="str" cm="1">
        <f>IF(ISBLANK($A402),"",INDEX(Array_WaterCharges,MATCH($A402,List_WaterMeters,0),ROUNDUP((COLUMN()+0)/3-1,0)))</f>
        <v/>
      </c>
      <c r="I402" s="127"/>
      <c r="J402" s="137"/>
      <c r="K402" s="58" t="str" cm="1">
        <f>IF(ISBLANK($A402),"",INDEX(Array_WaterCharges,MATCH($A402,List_WaterMeters,0),ROUNDUP((COLUMN()+0)/3-1,0)))</f>
        <v/>
      </c>
      <c r="L402" s="127"/>
      <c r="M402" s="137"/>
      <c r="N402" s="58" t="str" cm="1">
        <f>IF(ISBLANK($A402),"",INDEX(Array_WaterCharges,MATCH($A402,List_WaterMeters,0),ROUNDUP((COLUMN()+0)/3-1,0)))</f>
        <v/>
      </c>
      <c r="O402" s="127"/>
      <c r="P402" s="137"/>
      <c r="Q402" s="58" t="str" cm="1">
        <f>IF(ISBLANK($A402),"",INDEX(Array_WaterCharges,MATCH($A402,List_WaterMeters,0),ROUNDUP((COLUMN()+0)/3-1,0)))</f>
        <v/>
      </c>
      <c r="R402" s="127"/>
      <c r="S402" s="137"/>
      <c r="T402" s="58" t="str" cm="1">
        <f>IF(ISBLANK($A402),"",INDEX(Array_WaterCharges,MATCH($A402,List_WaterMeters,0),ROUNDUP((COLUMN()+0)/3-1,0)))</f>
        <v/>
      </c>
      <c r="U402" s="127"/>
      <c r="V402" s="137"/>
      <c r="W402" s="58" t="str" cm="1">
        <f>IF(ISBLANK($A402),"",INDEX(Array_WaterCharges,MATCH($A402,List_WaterMeters,0),ROUNDUP((COLUMN()+0)/3-1,0)))</f>
        <v/>
      </c>
      <c r="X402" s="127"/>
      <c r="Y402" s="137"/>
      <c r="Z402" s="58" t="str" cm="1">
        <f>IF(ISBLANK($A402),"",INDEX(Array_WaterCharges,MATCH($A402,List_WaterMeters,0),ROUNDUP((COLUMN()+0)/3-1,0)))</f>
        <v/>
      </c>
      <c r="AA402" s="127"/>
      <c r="AB402" s="137"/>
      <c r="AC402" s="58" t="str" cm="1">
        <f>IF(ISBLANK($A402),"",INDEX(Array_WaterCharges,MATCH($A402,List_WaterMeters,0),ROUNDUP((COLUMN()+0)/3-1,0)))</f>
        <v/>
      </c>
      <c r="AD402" s="127"/>
      <c r="AE402" s="137"/>
      <c r="AF402" s="58" t="str" cm="1">
        <f>IF(ISBLANK($A402),"",INDEX(Array_WaterCharges,MATCH($A402,List_WaterMeters,0),ROUNDUP((COLUMN()+0)/3-1,0)))</f>
        <v/>
      </c>
      <c r="AG402" s="127"/>
      <c r="AH402" s="137"/>
    </row>
    <row r="403" spans="1:34" x14ac:dyDescent="0.3">
      <c r="A403" s="126"/>
      <c r="B403" s="133"/>
      <c r="C403" s="127"/>
      <c r="D403" s="137"/>
      <c r="E403" s="58" t="str" cm="1">
        <f>IF(ISBLANK($A403),"",INDEX(Array_WaterCharges,MATCH($A403,List_WaterMeters,0),ROUNDUP((COLUMN()+0)/3-1,0)))</f>
        <v/>
      </c>
      <c r="F403" s="127"/>
      <c r="G403" s="137"/>
      <c r="H403" s="58" t="str" cm="1">
        <f>IF(ISBLANK($A403),"",INDEX(Array_WaterCharges,MATCH($A403,List_WaterMeters,0),ROUNDUP((COLUMN()+0)/3-1,0)))</f>
        <v/>
      </c>
      <c r="I403" s="127"/>
      <c r="J403" s="137"/>
      <c r="K403" s="58" t="str" cm="1">
        <f>IF(ISBLANK($A403),"",INDEX(Array_WaterCharges,MATCH($A403,List_WaterMeters,0),ROUNDUP((COLUMN()+0)/3-1,0)))</f>
        <v/>
      </c>
      <c r="L403" s="127"/>
      <c r="M403" s="137"/>
      <c r="N403" s="58" t="str" cm="1">
        <f>IF(ISBLANK($A403),"",INDEX(Array_WaterCharges,MATCH($A403,List_WaterMeters,0),ROUNDUP((COLUMN()+0)/3-1,0)))</f>
        <v/>
      </c>
      <c r="O403" s="127"/>
      <c r="P403" s="137"/>
      <c r="Q403" s="58" t="str" cm="1">
        <f>IF(ISBLANK($A403),"",INDEX(Array_WaterCharges,MATCH($A403,List_WaterMeters,0),ROUNDUP((COLUMN()+0)/3-1,0)))</f>
        <v/>
      </c>
      <c r="R403" s="127"/>
      <c r="S403" s="137"/>
      <c r="T403" s="58" t="str" cm="1">
        <f>IF(ISBLANK($A403),"",INDEX(Array_WaterCharges,MATCH($A403,List_WaterMeters,0),ROUNDUP((COLUMN()+0)/3-1,0)))</f>
        <v/>
      </c>
      <c r="U403" s="127"/>
      <c r="V403" s="137"/>
      <c r="W403" s="58" t="str" cm="1">
        <f>IF(ISBLANK($A403),"",INDEX(Array_WaterCharges,MATCH($A403,List_WaterMeters,0),ROUNDUP((COLUMN()+0)/3-1,0)))</f>
        <v/>
      </c>
      <c r="X403" s="127"/>
      <c r="Y403" s="137"/>
      <c r="Z403" s="58" t="str" cm="1">
        <f>IF(ISBLANK($A403),"",INDEX(Array_WaterCharges,MATCH($A403,List_WaterMeters,0),ROUNDUP((COLUMN()+0)/3-1,0)))</f>
        <v/>
      </c>
      <c r="AA403" s="127"/>
      <c r="AB403" s="137"/>
      <c r="AC403" s="58" t="str" cm="1">
        <f>IF(ISBLANK($A403),"",INDEX(Array_WaterCharges,MATCH($A403,List_WaterMeters,0),ROUNDUP((COLUMN()+0)/3-1,0)))</f>
        <v/>
      </c>
      <c r="AD403" s="127"/>
      <c r="AE403" s="137"/>
      <c r="AF403" s="58" t="str" cm="1">
        <f>IF(ISBLANK($A403),"",INDEX(Array_WaterCharges,MATCH($A403,List_WaterMeters,0),ROUNDUP((COLUMN()+0)/3-1,0)))</f>
        <v/>
      </c>
      <c r="AG403" s="127"/>
      <c r="AH403" s="137"/>
    </row>
    <row r="404" spans="1:34" x14ac:dyDescent="0.3">
      <c r="A404" s="126"/>
      <c r="B404" s="133"/>
      <c r="C404" s="127"/>
      <c r="D404" s="137"/>
      <c r="E404" s="58" t="str" cm="1">
        <f>IF(ISBLANK($A404),"",INDEX(Array_WaterCharges,MATCH($A404,List_WaterMeters,0),ROUNDUP((COLUMN()+0)/3-1,0)))</f>
        <v/>
      </c>
      <c r="F404" s="127"/>
      <c r="G404" s="137"/>
      <c r="H404" s="58" t="str" cm="1">
        <f>IF(ISBLANK($A404),"",INDEX(Array_WaterCharges,MATCH($A404,List_WaterMeters,0),ROUNDUP((COLUMN()+0)/3-1,0)))</f>
        <v/>
      </c>
      <c r="I404" s="127"/>
      <c r="J404" s="137"/>
      <c r="K404" s="58" t="str" cm="1">
        <f>IF(ISBLANK($A404),"",INDEX(Array_WaterCharges,MATCH($A404,List_WaterMeters,0),ROUNDUP((COLUMN()+0)/3-1,0)))</f>
        <v/>
      </c>
      <c r="L404" s="127"/>
      <c r="M404" s="137"/>
      <c r="N404" s="58" t="str" cm="1">
        <f>IF(ISBLANK($A404),"",INDEX(Array_WaterCharges,MATCH($A404,List_WaterMeters,0),ROUNDUP((COLUMN()+0)/3-1,0)))</f>
        <v/>
      </c>
      <c r="O404" s="127"/>
      <c r="P404" s="137"/>
      <c r="Q404" s="58" t="str" cm="1">
        <f>IF(ISBLANK($A404),"",INDEX(Array_WaterCharges,MATCH($A404,List_WaterMeters,0),ROUNDUP((COLUMN()+0)/3-1,0)))</f>
        <v/>
      </c>
      <c r="R404" s="127"/>
      <c r="S404" s="137"/>
      <c r="T404" s="58" t="str" cm="1">
        <f>IF(ISBLANK($A404),"",INDEX(Array_WaterCharges,MATCH($A404,List_WaterMeters,0),ROUNDUP((COLUMN()+0)/3-1,0)))</f>
        <v/>
      </c>
      <c r="U404" s="127"/>
      <c r="V404" s="137"/>
      <c r="W404" s="58" t="str" cm="1">
        <f>IF(ISBLANK($A404),"",INDEX(Array_WaterCharges,MATCH($A404,List_WaterMeters,0),ROUNDUP((COLUMN()+0)/3-1,0)))</f>
        <v/>
      </c>
      <c r="X404" s="127"/>
      <c r="Y404" s="137"/>
      <c r="Z404" s="58" t="str" cm="1">
        <f>IF(ISBLANK($A404),"",INDEX(Array_WaterCharges,MATCH($A404,List_WaterMeters,0),ROUNDUP((COLUMN()+0)/3-1,0)))</f>
        <v/>
      </c>
      <c r="AA404" s="127"/>
      <c r="AB404" s="137"/>
      <c r="AC404" s="58" t="str" cm="1">
        <f>IF(ISBLANK($A404),"",INDEX(Array_WaterCharges,MATCH($A404,List_WaterMeters,0),ROUNDUP((COLUMN()+0)/3-1,0)))</f>
        <v/>
      </c>
      <c r="AD404" s="127"/>
      <c r="AE404" s="137"/>
      <c r="AF404" s="58" t="str" cm="1">
        <f>IF(ISBLANK($A404),"",INDEX(Array_WaterCharges,MATCH($A404,List_WaterMeters,0),ROUNDUP((COLUMN()+0)/3-1,0)))</f>
        <v/>
      </c>
      <c r="AG404" s="127"/>
      <c r="AH404" s="137"/>
    </row>
    <row r="405" spans="1:34" x14ac:dyDescent="0.3">
      <c r="A405" s="126"/>
      <c r="B405" s="133"/>
      <c r="C405" s="127"/>
      <c r="D405" s="137"/>
      <c r="E405" s="58" t="str" cm="1">
        <f>IF(ISBLANK($A405),"",INDEX(Array_WaterCharges,MATCH($A405,List_WaterMeters,0),ROUNDUP((COLUMN()+0)/3-1,0)))</f>
        <v/>
      </c>
      <c r="F405" s="127"/>
      <c r="G405" s="137"/>
      <c r="H405" s="58" t="str" cm="1">
        <f>IF(ISBLANK($A405),"",INDEX(Array_WaterCharges,MATCH($A405,List_WaterMeters,0),ROUNDUP((COLUMN()+0)/3-1,0)))</f>
        <v/>
      </c>
      <c r="I405" s="127"/>
      <c r="J405" s="137"/>
      <c r="K405" s="58" t="str" cm="1">
        <f>IF(ISBLANK($A405),"",INDEX(Array_WaterCharges,MATCH($A405,List_WaterMeters,0),ROUNDUP((COLUMN()+0)/3-1,0)))</f>
        <v/>
      </c>
      <c r="L405" s="127"/>
      <c r="M405" s="137"/>
      <c r="N405" s="58" t="str" cm="1">
        <f>IF(ISBLANK($A405),"",INDEX(Array_WaterCharges,MATCH($A405,List_WaterMeters,0),ROUNDUP((COLUMN()+0)/3-1,0)))</f>
        <v/>
      </c>
      <c r="O405" s="127"/>
      <c r="P405" s="137"/>
      <c r="Q405" s="58" t="str" cm="1">
        <f>IF(ISBLANK($A405),"",INDEX(Array_WaterCharges,MATCH($A405,List_WaterMeters,0),ROUNDUP((COLUMN()+0)/3-1,0)))</f>
        <v/>
      </c>
      <c r="R405" s="127"/>
      <c r="S405" s="137"/>
      <c r="T405" s="58" t="str" cm="1">
        <f>IF(ISBLANK($A405),"",INDEX(Array_WaterCharges,MATCH($A405,List_WaterMeters,0),ROUNDUP((COLUMN()+0)/3-1,0)))</f>
        <v/>
      </c>
      <c r="U405" s="127"/>
      <c r="V405" s="137"/>
      <c r="W405" s="58" t="str" cm="1">
        <f>IF(ISBLANK($A405),"",INDEX(Array_WaterCharges,MATCH($A405,List_WaterMeters,0),ROUNDUP((COLUMN()+0)/3-1,0)))</f>
        <v/>
      </c>
      <c r="X405" s="127"/>
      <c r="Y405" s="137"/>
      <c r="Z405" s="58" t="str" cm="1">
        <f>IF(ISBLANK($A405),"",INDEX(Array_WaterCharges,MATCH($A405,List_WaterMeters,0),ROUNDUP((COLUMN()+0)/3-1,0)))</f>
        <v/>
      </c>
      <c r="AA405" s="127"/>
      <c r="AB405" s="137"/>
      <c r="AC405" s="58" t="str" cm="1">
        <f>IF(ISBLANK($A405),"",INDEX(Array_WaterCharges,MATCH($A405,List_WaterMeters,0),ROUNDUP((COLUMN()+0)/3-1,0)))</f>
        <v/>
      </c>
      <c r="AD405" s="127"/>
      <c r="AE405" s="137"/>
      <c r="AF405" s="58" t="str" cm="1">
        <f>IF(ISBLANK($A405),"",INDEX(Array_WaterCharges,MATCH($A405,List_WaterMeters,0),ROUNDUP((COLUMN()+0)/3-1,0)))</f>
        <v/>
      </c>
      <c r="AG405" s="127"/>
      <c r="AH405" s="137"/>
    </row>
    <row r="406" spans="1:34" x14ac:dyDescent="0.3">
      <c r="A406" s="126"/>
      <c r="B406" s="133"/>
      <c r="C406" s="127"/>
      <c r="D406" s="137"/>
      <c r="E406" s="58" t="str" cm="1">
        <f>IF(ISBLANK($A406),"",INDEX(Array_WaterCharges,MATCH($A406,List_WaterMeters,0),ROUNDUP((COLUMN()+0)/3-1,0)))</f>
        <v/>
      </c>
      <c r="F406" s="127"/>
      <c r="G406" s="137"/>
      <c r="H406" s="58" t="str" cm="1">
        <f>IF(ISBLANK($A406),"",INDEX(Array_WaterCharges,MATCH($A406,List_WaterMeters,0),ROUNDUP((COLUMN()+0)/3-1,0)))</f>
        <v/>
      </c>
      <c r="I406" s="127"/>
      <c r="J406" s="137"/>
      <c r="K406" s="58" t="str" cm="1">
        <f>IF(ISBLANK($A406),"",INDEX(Array_WaterCharges,MATCH($A406,List_WaterMeters,0),ROUNDUP((COLUMN()+0)/3-1,0)))</f>
        <v/>
      </c>
      <c r="L406" s="127"/>
      <c r="M406" s="137"/>
      <c r="N406" s="58" t="str" cm="1">
        <f>IF(ISBLANK($A406),"",INDEX(Array_WaterCharges,MATCH($A406,List_WaterMeters,0),ROUNDUP((COLUMN()+0)/3-1,0)))</f>
        <v/>
      </c>
      <c r="O406" s="127"/>
      <c r="P406" s="137"/>
      <c r="Q406" s="58" t="str" cm="1">
        <f>IF(ISBLANK($A406),"",INDEX(Array_WaterCharges,MATCH($A406,List_WaterMeters,0),ROUNDUP((COLUMN()+0)/3-1,0)))</f>
        <v/>
      </c>
      <c r="R406" s="127"/>
      <c r="S406" s="137"/>
      <c r="T406" s="58" t="str" cm="1">
        <f>IF(ISBLANK($A406),"",INDEX(Array_WaterCharges,MATCH($A406,List_WaterMeters,0),ROUNDUP((COLUMN()+0)/3-1,0)))</f>
        <v/>
      </c>
      <c r="U406" s="127"/>
      <c r="V406" s="137"/>
      <c r="W406" s="58" t="str" cm="1">
        <f>IF(ISBLANK($A406),"",INDEX(Array_WaterCharges,MATCH($A406,List_WaterMeters,0),ROUNDUP((COLUMN()+0)/3-1,0)))</f>
        <v/>
      </c>
      <c r="X406" s="127"/>
      <c r="Y406" s="137"/>
      <c r="Z406" s="58" t="str" cm="1">
        <f>IF(ISBLANK($A406),"",INDEX(Array_WaterCharges,MATCH($A406,List_WaterMeters,0),ROUNDUP((COLUMN()+0)/3-1,0)))</f>
        <v/>
      </c>
      <c r="AA406" s="127"/>
      <c r="AB406" s="137"/>
      <c r="AC406" s="58" t="str" cm="1">
        <f>IF(ISBLANK($A406),"",INDEX(Array_WaterCharges,MATCH($A406,List_WaterMeters,0),ROUNDUP((COLUMN()+0)/3-1,0)))</f>
        <v/>
      </c>
      <c r="AD406" s="127"/>
      <c r="AE406" s="137"/>
      <c r="AF406" s="58" t="str" cm="1">
        <f>IF(ISBLANK($A406),"",INDEX(Array_WaterCharges,MATCH($A406,List_WaterMeters,0),ROUNDUP((COLUMN()+0)/3-1,0)))</f>
        <v/>
      </c>
      <c r="AG406" s="127"/>
      <c r="AH406" s="137"/>
    </row>
    <row r="407" spans="1:34" x14ac:dyDescent="0.3">
      <c r="A407" s="126"/>
      <c r="B407" s="133"/>
      <c r="C407" s="127"/>
      <c r="D407" s="137"/>
      <c r="E407" s="58" t="str" cm="1">
        <f>IF(ISBLANK($A407),"",INDEX(Array_WaterCharges,MATCH($A407,List_WaterMeters,0),ROUNDUP((COLUMN()+0)/3-1,0)))</f>
        <v/>
      </c>
      <c r="F407" s="127"/>
      <c r="G407" s="137"/>
      <c r="H407" s="58" t="str" cm="1">
        <f>IF(ISBLANK($A407),"",INDEX(Array_WaterCharges,MATCH($A407,List_WaterMeters,0),ROUNDUP((COLUMN()+0)/3-1,0)))</f>
        <v/>
      </c>
      <c r="I407" s="127"/>
      <c r="J407" s="137"/>
      <c r="K407" s="58" t="str" cm="1">
        <f>IF(ISBLANK($A407),"",INDEX(Array_WaterCharges,MATCH($A407,List_WaterMeters,0),ROUNDUP((COLUMN()+0)/3-1,0)))</f>
        <v/>
      </c>
      <c r="L407" s="127"/>
      <c r="M407" s="137"/>
      <c r="N407" s="58" t="str" cm="1">
        <f>IF(ISBLANK($A407),"",INDEX(Array_WaterCharges,MATCH($A407,List_WaterMeters,0),ROUNDUP((COLUMN()+0)/3-1,0)))</f>
        <v/>
      </c>
      <c r="O407" s="127"/>
      <c r="P407" s="137"/>
      <c r="Q407" s="58" t="str" cm="1">
        <f>IF(ISBLANK($A407),"",INDEX(Array_WaterCharges,MATCH($A407,List_WaterMeters,0),ROUNDUP((COLUMN()+0)/3-1,0)))</f>
        <v/>
      </c>
      <c r="R407" s="127"/>
      <c r="S407" s="137"/>
      <c r="T407" s="58" t="str" cm="1">
        <f>IF(ISBLANK($A407),"",INDEX(Array_WaterCharges,MATCH($A407,List_WaterMeters,0),ROUNDUP((COLUMN()+0)/3-1,0)))</f>
        <v/>
      </c>
      <c r="U407" s="127"/>
      <c r="V407" s="137"/>
      <c r="W407" s="58" t="str" cm="1">
        <f>IF(ISBLANK($A407),"",INDEX(Array_WaterCharges,MATCH($A407,List_WaterMeters,0),ROUNDUP((COLUMN()+0)/3-1,0)))</f>
        <v/>
      </c>
      <c r="X407" s="127"/>
      <c r="Y407" s="137"/>
      <c r="Z407" s="58" t="str" cm="1">
        <f>IF(ISBLANK($A407),"",INDEX(Array_WaterCharges,MATCH($A407,List_WaterMeters,0),ROUNDUP((COLUMN()+0)/3-1,0)))</f>
        <v/>
      </c>
      <c r="AA407" s="127"/>
      <c r="AB407" s="137"/>
      <c r="AC407" s="58" t="str" cm="1">
        <f>IF(ISBLANK($A407),"",INDEX(Array_WaterCharges,MATCH($A407,List_WaterMeters,0),ROUNDUP((COLUMN()+0)/3-1,0)))</f>
        <v/>
      </c>
      <c r="AD407" s="127"/>
      <c r="AE407" s="137"/>
      <c r="AF407" s="58" t="str" cm="1">
        <f>IF(ISBLANK($A407),"",INDEX(Array_WaterCharges,MATCH($A407,List_WaterMeters,0),ROUNDUP((COLUMN()+0)/3-1,0)))</f>
        <v/>
      </c>
      <c r="AG407" s="127"/>
      <c r="AH407" s="137"/>
    </row>
    <row r="408" spans="1:34" x14ac:dyDescent="0.3">
      <c r="A408" s="126"/>
      <c r="B408" s="133"/>
      <c r="C408" s="127"/>
      <c r="D408" s="137"/>
      <c r="E408" s="58" t="str" cm="1">
        <f>IF(ISBLANK($A408),"",INDEX(Array_WaterCharges,MATCH($A408,List_WaterMeters,0),ROUNDUP((COLUMN()+0)/3-1,0)))</f>
        <v/>
      </c>
      <c r="F408" s="127"/>
      <c r="G408" s="137"/>
      <c r="H408" s="58" t="str" cm="1">
        <f>IF(ISBLANK($A408),"",INDEX(Array_WaterCharges,MATCH($A408,List_WaterMeters,0),ROUNDUP((COLUMN()+0)/3-1,0)))</f>
        <v/>
      </c>
      <c r="I408" s="127"/>
      <c r="J408" s="137"/>
      <c r="K408" s="58" t="str" cm="1">
        <f>IF(ISBLANK($A408),"",INDEX(Array_WaterCharges,MATCH($A408,List_WaterMeters,0),ROUNDUP((COLUMN()+0)/3-1,0)))</f>
        <v/>
      </c>
      <c r="L408" s="127"/>
      <c r="M408" s="137"/>
      <c r="N408" s="58" t="str" cm="1">
        <f>IF(ISBLANK($A408),"",INDEX(Array_WaterCharges,MATCH($A408,List_WaterMeters,0),ROUNDUP((COLUMN()+0)/3-1,0)))</f>
        <v/>
      </c>
      <c r="O408" s="127"/>
      <c r="P408" s="137"/>
      <c r="Q408" s="58" t="str" cm="1">
        <f>IF(ISBLANK($A408),"",INDEX(Array_WaterCharges,MATCH($A408,List_WaterMeters,0),ROUNDUP((COLUMN()+0)/3-1,0)))</f>
        <v/>
      </c>
      <c r="R408" s="127"/>
      <c r="S408" s="137"/>
      <c r="T408" s="58" t="str" cm="1">
        <f>IF(ISBLANK($A408),"",INDEX(Array_WaterCharges,MATCH($A408,List_WaterMeters,0),ROUNDUP((COLUMN()+0)/3-1,0)))</f>
        <v/>
      </c>
      <c r="U408" s="127"/>
      <c r="V408" s="137"/>
      <c r="W408" s="58" t="str" cm="1">
        <f>IF(ISBLANK($A408),"",INDEX(Array_WaterCharges,MATCH($A408,List_WaterMeters,0),ROUNDUP((COLUMN()+0)/3-1,0)))</f>
        <v/>
      </c>
      <c r="X408" s="127"/>
      <c r="Y408" s="137"/>
      <c r="Z408" s="58" t="str" cm="1">
        <f>IF(ISBLANK($A408),"",INDEX(Array_WaterCharges,MATCH($A408,List_WaterMeters,0),ROUNDUP((COLUMN()+0)/3-1,0)))</f>
        <v/>
      </c>
      <c r="AA408" s="127"/>
      <c r="AB408" s="137"/>
      <c r="AC408" s="58" t="str" cm="1">
        <f>IF(ISBLANK($A408),"",INDEX(Array_WaterCharges,MATCH($A408,List_WaterMeters,0),ROUNDUP((COLUMN()+0)/3-1,0)))</f>
        <v/>
      </c>
      <c r="AD408" s="127"/>
      <c r="AE408" s="137"/>
      <c r="AF408" s="58" t="str" cm="1">
        <f>IF(ISBLANK($A408),"",INDEX(Array_WaterCharges,MATCH($A408,List_WaterMeters,0),ROUNDUP((COLUMN()+0)/3-1,0)))</f>
        <v/>
      </c>
      <c r="AG408" s="127"/>
      <c r="AH408" s="137"/>
    </row>
    <row r="409" spans="1:34" x14ac:dyDescent="0.3">
      <c r="A409" s="126"/>
      <c r="B409" s="133"/>
      <c r="C409" s="127"/>
      <c r="D409" s="137"/>
      <c r="E409" s="58" t="str" cm="1">
        <f>IF(ISBLANK($A409),"",INDEX(Array_WaterCharges,MATCH($A409,List_WaterMeters,0),ROUNDUP((COLUMN()+0)/3-1,0)))</f>
        <v/>
      </c>
      <c r="F409" s="127"/>
      <c r="G409" s="137"/>
      <c r="H409" s="58" t="str" cm="1">
        <f>IF(ISBLANK($A409),"",INDEX(Array_WaterCharges,MATCH($A409,List_WaterMeters,0),ROUNDUP((COLUMN()+0)/3-1,0)))</f>
        <v/>
      </c>
      <c r="I409" s="127"/>
      <c r="J409" s="137"/>
      <c r="K409" s="58" t="str" cm="1">
        <f>IF(ISBLANK($A409),"",INDEX(Array_WaterCharges,MATCH($A409,List_WaterMeters,0),ROUNDUP((COLUMN()+0)/3-1,0)))</f>
        <v/>
      </c>
      <c r="L409" s="127"/>
      <c r="M409" s="137"/>
      <c r="N409" s="58" t="str" cm="1">
        <f>IF(ISBLANK($A409),"",INDEX(Array_WaterCharges,MATCH($A409,List_WaterMeters,0),ROUNDUP((COLUMN()+0)/3-1,0)))</f>
        <v/>
      </c>
      <c r="O409" s="127"/>
      <c r="P409" s="137"/>
      <c r="Q409" s="58" t="str" cm="1">
        <f>IF(ISBLANK($A409),"",INDEX(Array_WaterCharges,MATCH($A409,List_WaterMeters,0),ROUNDUP((COLUMN()+0)/3-1,0)))</f>
        <v/>
      </c>
      <c r="R409" s="127"/>
      <c r="S409" s="137"/>
      <c r="T409" s="58" t="str" cm="1">
        <f>IF(ISBLANK($A409),"",INDEX(Array_WaterCharges,MATCH($A409,List_WaterMeters,0),ROUNDUP((COLUMN()+0)/3-1,0)))</f>
        <v/>
      </c>
      <c r="U409" s="127"/>
      <c r="V409" s="137"/>
      <c r="W409" s="58" t="str" cm="1">
        <f>IF(ISBLANK($A409),"",INDEX(Array_WaterCharges,MATCH($A409,List_WaterMeters,0),ROUNDUP((COLUMN()+0)/3-1,0)))</f>
        <v/>
      </c>
      <c r="X409" s="127"/>
      <c r="Y409" s="137"/>
      <c r="Z409" s="58" t="str" cm="1">
        <f>IF(ISBLANK($A409),"",INDEX(Array_WaterCharges,MATCH($A409,List_WaterMeters,0),ROUNDUP((COLUMN()+0)/3-1,0)))</f>
        <v/>
      </c>
      <c r="AA409" s="127"/>
      <c r="AB409" s="137"/>
      <c r="AC409" s="58" t="str" cm="1">
        <f>IF(ISBLANK($A409),"",INDEX(Array_WaterCharges,MATCH($A409,List_WaterMeters,0),ROUNDUP((COLUMN()+0)/3-1,0)))</f>
        <v/>
      </c>
      <c r="AD409" s="127"/>
      <c r="AE409" s="137"/>
      <c r="AF409" s="58" t="str" cm="1">
        <f>IF(ISBLANK($A409),"",INDEX(Array_WaterCharges,MATCH($A409,List_WaterMeters,0),ROUNDUP((COLUMN()+0)/3-1,0)))</f>
        <v/>
      </c>
      <c r="AG409" s="127"/>
      <c r="AH409" s="137"/>
    </row>
    <row r="410" spans="1:34" x14ac:dyDescent="0.3">
      <c r="A410" s="126"/>
      <c r="B410" s="133"/>
      <c r="C410" s="127"/>
      <c r="D410" s="137"/>
      <c r="E410" s="58" t="str" cm="1">
        <f>IF(ISBLANK($A410),"",INDEX(Array_WaterCharges,MATCH($A410,List_WaterMeters,0),ROUNDUP((COLUMN()+0)/3-1,0)))</f>
        <v/>
      </c>
      <c r="F410" s="127"/>
      <c r="G410" s="137"/>
      <c r="H410" s="58" t="str" cm="1">
        <f>IF(ISBLANK($A410),"",INDEX(Array_WaterCharges,MATCH($A410,List_WaterMeters,0),ROUNDUP((COLUMN()+0)/3-1,0)))</f>
        <v/>
      </c>
      <c r="I410" s="127"/>
      <c r="J410" s="137"/>
      <c r="K410" s="58" t="str" cm="1">
        <f>IF(ISBLANK($A410),"",INDEX(Array_WaterCharges,MATCH($A410,List_WaterMeters,0),ROUNDUP((COLUMN()+0)/3-1,0)))</f>
        <v/>
      </c>
      <c r="L410" s="127"/>
      <c r="M410" s="137"/>
      <c r="N410" s="58" t="str" cm="1">
        <f>IF(ISBLANK($A410),"",INDEX(Array_WaterCharges,MATCH($A410,List_WaterMeters,0),ROUNDUP((COLUMN()+0)/3-1,0)))</f>
        <v/>
      </c>
      <c r="O410" s="127"/>
      <c r="P410" s="137"/>
      <c r="Q410" s="58" t="str" cm="1">
        <f>IF(ISBLANK($A410),"",INDEX(Array_WaterCharges,MATCH($A410,List_WaterMeters,0),ROUNDUP((COLUMN()+0)/3-1,0)))</f>
        <v/>
      </c>
      <c r="R410" s="127"/>
      <c r="S410" s="137"/>
      <c r="T410" s="58" t="str" cm="1">
        <f>IF(ISBLANK($A410),"",INDEX(Array_WaterCharges,MATCH($A410,List_WaterMeters,0),ROUNDUP((COLUMN()+0)/3-1,0)))</f>
        <v/>
      </c>
      <c r="U410" s="127"/>
      <c r="V410" s="137"/>
      <c r="W410" s="58" t="str" cm="1">
        <f>IF(ISBLANK($A410),"",INDEX(Array_WaterCharges,MATCH($A410,List_WaterMeters,0),ROUNDUP((COLUMN()+0)/3-1,0)))</f>
        <v/>
      </c>
      <c r="X410" s="127"/>
      <c r="Y410" s="137"/>
      <c r="Z410" s="58" t="str" cm="1">
        <f>IF(ISBLANK($A410),"",INDEX(Array_WaterCharges,MATCH($A410,List_WaterMeters,0),ROUNDUP((COLUMN()+0)/3-1,0)))</f>
        <v/>
      </c>
      <c r="AA410" s="127"/>
      <c r="AB410" s="137"/>
      <c r="AC410" s="58" t="str" cm="1">
        <f>IF(ISBLANK($A410),"",INDEX(Array_WaterCharges,MATCH($A410,List_WaterMeters,0),ROUNDUP((COLUMN()+0)/3-1,0)))</f>
        <v/>
      </c>
      <c r="AD410" s="127"/>
      <c r="AE410" s="137"/>
      <c r="AF410" s="58" t="str" cm="1">
        <f>IF(ISBLANK($A410),"",INDEX(Array_WaterCharges,MATCH($A410,List_WaterMeters,0),ROUNDUP((COLUMN()+0)/3-1,0)))</f>
        <v/>
      </c>
      <c r="AG410" s="127"/>
      <c r="AH410" s="137"/>
    </row>
    <row r="411" spans="1:34" x14ac:dyDescent="0.3">
      <c r="A411" s="126"/>
      <c r="B411" s="133"/>
      <c r="C411" s="127"/>
      <c r="D411" s="137"/>
      <c r="E411" s="58" t="str" cm="1">
        <f>IF(ISBLANK($A411),"",INDEX(Array_WaterCharges,MATCH($A411,List_WaterMeters,0),ROUNDUP((COLUMN()+0)/3-1,0)))</f>
        <v/>
      </c>
      <c r="F411" s="127"/>
      <c r="G411" s="137"/>
      <c r="H411" s="58" t="str" cm="1">
        <f>IF(ISBLANK($A411),"",INDEX(Array_WaterCharges,MATCH($A411,List_WaterMeters,0),ROUNDUP((COLUMN()+0)/3-1,0)))</f>
        <v/>
      </c>
      <c r="I411" s="127"/>
      <c r="J411" s="137"/>
      <c r="K411" s="58" t="str" cm="1">
        <f>IF(ISBLANK($A411),"",INDEX(Array_WaterCharges,MATCH($A411,List_WaterMeters,0),ROUNDUP((COLUMN()+0)/3-1,0)))</f>
        <v/>
      </c>
      <c r="L411" s="127"/>
      <c r="M411" s="137"/>
      <c r="N411" s="58" t="str" cm="1">
        <f>IF(ISBLANK($A411),"",INDEX(Array_WaterCharges,MATCH($A411,List_WaterMeters,0),ROUNDUP((COLUMN()+0)/3-1,0)))</f>
        <v/>
      </c>
      <c r="O411" s="127"/>
      <c r="P411" s="137"/>
      <c r="Q411" s="58" t="str" cm="1">
        <f>IF(ISBLANK($A411),"",INDEX(Array_WaterCharges,MATCH($A411,List_WaterMeters,0),ROUNDUP((COLUMN()+0)/3-1,0)))</f>
        <v/>
      </c>
      <c r="R411" s="127"/>
      <c r="S411" s="137"/>
      <c r="T411" s="58" t="str" cm="1">
        <f>IF(ISBLANK($A411),"",INDEX(Array_WaterCharges,MATCH($A411,List_WaterMeters,0),ROUNDUP((COLUMN()+0)/3-1,0)))</f>
        <v/>
      </c>
      <c r="U411" s="127"/>
      <c r="V411" s="137"/>
      <c r="W411" s="58" t="str" cm="1">
        <f>IF(ISBLANK($A411),"",INDEX(Array_WaterCharges,MATCH($A411,List_WaterMeters,0),ROUNDUP((COLUMN()+0)/3-1,0)))</f>
        <v/>
      </c>
      <c r="X411" s="127"/>
      <c r="Y411" s="137"/>
      <c r="Z411" s="58" t="str" cm="1">
        <f>IF(ISBLANK($A411),"",INDEX(Array_WaterCharges,MATCH($A411,List_WaterMeters,0),ROUNDUP((COLUMN()+0)/3-1,0)))</f>
        <v/>
      </c>
      <c r="AA411" s="127"/>
      <c r="AB411" s="137"/>
      <c r="AC411" s="58" t="str" cm="1">
        <f>IF(ISBLANK($A411),"",INDEX(Array_WaterCharges,MATCH($A411,List_WaterMeters,0),ROUNDUP((COLUMN()+0)/3-1,0)))</f>
        <v/>
      </c>
      <c r="AD411" s="127"/>
      <c r="AE411" s="137"/>
      <c r="AF411" s="58" t="str" cm="1">
        <f>IF(ISBLANK($A411),"",INDEX(Array_WaterCharges,MATCH($A411,List_WaterMeters,0),ROUNDUP((COLUMN()+0)/3-1,0)))</f>
        <v/>
      </c>
      <c r="AG411" s="127"/>
      <c r="AH411" s="137"/>
    </row>
    <row r="412" spans="1:34" x14ac:dyDescent="0.3">
      <c r="A412" s="126"/>
      <c r="B412" s="133"/>
      <c r="C412" s="127"/>
      <c r="D412" s="137"/>
      <c r="E412" s="58" t="str" cm="1">
        <f>IF(ISBLANK($A412),"",INDEX(Array_WaterCharges,MATCH($A412,List_WaterMeters,0),ROUNDUP((COLUMN()+0)/3-1,0)))</f>
        <v/>
      </c>
      <c r="F412" s="127"/>
      <c r="G412" s="137"/>
      <c r="H412" s="58" t="str" cm="1">
        <f>IF(ISBLANK($A412),"",INDEX(Array_WaterCharges,MATCH($A412,List_WaterMeters,0),ROUNDUP((COLUMN()+0)/3-1,0)))</f>
        <v/>
      </c>
      <c r="I412" s="127"/>
      <c r="J412" s="137"/>
      <c r="K412" s="58" t="str" cm="1">
        <f>IF(ISBLANK($A412),"",INDEX(Array_WaterCharges,MATCH($A412,List_WaterMeters,0),ROUNDUP((COLUMN()+0)/3-1,0)))</f>
        <v/>
      </c>
      <c r="L412" s="127"/>
      <c r="M412" s="137"/>
      <c r="N412" s="58" t="str" cm="1">
        <f>IF(ISBLANK($A412),"",INDEX(Array_WaterCharges,MATCH($A412,List_WaterMeters,0),ROUNDUP((COLUMN()+0)/3-1,0)))</f>
        <v/>
      </c>
      <c r="O412" s="127"/>
      <c r="P412" s="137"/>
      <c r="Q412" s="58" t="str" cm="1">
        <f>IF(ISBLANK($A412),"",INDEX(Array_WaterCharges,MATCH($A412,List_WaterMeters,0),ROUNDUP((COLUMN()+0)/3-1,0)))</f>
        <v/>
      </c>
      <c r="R412" s="127"/>
      <c r="S412" s="137"/>
      <c r="T412" s="58" t="str" cm="1">
        <f>IF(ISBLANK($A412),"",INDEX(Array_WaterCharges,MATCH($A412,List_WaterMeters,0),ROUNDUP((COLUMN()+0)/3-1,0)))</f>
        <v/>
      </c>
      <c r="U412" s="127"/>
      <c r="V412" s="137"/>
      <c r="W412" s="58" t="str" cm="1">
        <f>IF(ISBLANK($A412),"",INDEX(Array_WaterCharges,MATCH($A412,List_WaterMeters,0),ROUNDUP((COLUMN()+0)/3-1,0)))</f>
        <v/>
      </c>
      <c r="X412" s="127"/>
      <c r="Y412" s="137"/>
      <c r="Z412" s="58" t="str" cm="1">
        <f>IF(ISBLANK($A412),"",INDEX(Array_WaterCharges,MATCH($A412,List_WaterMeters,0),ROUNDUP((COLUMN()+0)/3-1,0)))</f>
        <v/>
      </c>
      <c r="AA412" s="127"/>
      <c r="AB412" s="137"/>
      <c r="AC412" s="58" t="str" cm="1">
        <f>IF(ISBLANK($A412),"",INDEX(Array_WaterCharges,MATCH($A412,List_WaterMeters,0),ROUNDUP((COLUMN()+0)/3-1,0)))</f>
        <v/>
      </c>
      <c r="AD412" s="127"/>
      <c r="AE412" s="137"/>
      <c r="AF412" s="58" t="str" cm="1">
        <f>IF(ISBLANK($A412),"",INDEX(Array_WaterCharges,MATCH($A412,List_WaterMeters,0),ROUNDUP((COLUMN()+0)/3-1,0)))</f>
        <v/>
      </c>
      <c r="AG412" s="127"/>
      <c r="AH412" s="137"/>
    </row>
    <row r="413" spans="1:34" x14ac:dyDescent="0.3">
      <c r="A413" s="126"/>
      <c r="B413" s="133"/>
      <c r="C413" s="127"/>
      <c r="D413" s="137"/>
      <c r="E413" s="58" t="str" cm="1">
        <f>IF(ISBLANK($A413),"",INDEX(Array_WaterCharges,MATCH($A413,List_WaterMeters,0),ROUNDUP((COLUMN()+0)/3-1,0)))</f>
        <v/>
      </c>
      <c r="F413" s="127"/>
      <c r="G413" s="137"/>
      <c r="H413" s="58" t="str" cm="1">
        <f>IF(ISBLANK($A413),"",INDEX(Array_WaterCharges,MATCH($A413,List_WaterMeters,0),ROUNDUP((COLUMN()+0)/3-1,0)))</f>
        <v/>
      </c>
      <c r="I413" s="127"/>
      <c r="J413" s="137"/>
      <c r="K413" s="58" t="str" cm="1">
        <f>IF(ISBLANK($A413),"",INDEX(Array_WaterCharges,MATCH($A413,List_WaterMeters,0),ROUNDUP((COLUMN()+0)/3-1,0)))</f>
        <v/>
      </c>
      <c r="L413" s="127"/>
      <c r="M413" s="137"/>
      <c r="N413" s="58" t="str" cm="1">
        <f>IF(ISBLANK($A413),"",INDEX(Array_WaterCharges,MATCH($A413,List_WaterMeters,0),ROUNDUP((COLUMN()+0)/3-1,0)))</f>
        <v/>
      </c>
      <c r="O413" s="127"/>
      <c r="P413" s="137"/>
      <c r="Q413" s="58" t="str" cm="1">
        <f>IF(ISBLANK($A413),"",INDEX(Array_WaterCharges,MATCH($A413,List_WaterMeters,0),ROUNDUP((COLUMN()+0)/3-1,0)))</f>
        <v/>
      </c>
      <c r="R413" s="127"/>
      <c r="S413" s="137"/>
      <c r="T413" s="58" t="str" cm="1">
        <f>IF(ISBLANK($A413),"",INDEX(Array_WaterCharges,MATCH($A413,List_WaterMeters,0),ROUNDUP((COLUMN()+0)/3-1,0)))</f>
        <v/>
      </c>
      <c r="U413" s="127"/>
      <c r="V413" s="137"/>
      <c r="W413" s="58" t="str" cm="1">
        <f>IF(ISBLANK($A413),"",INDEX(Array_WaterCharges,MATCH($A413,List_WaterMeters,0),ROUNDUP((COLUMN()+0)/3-1,0)))</f>
        <v/>
      </c>
      <c r="X413" s="127"/>
      <c r="Y413" s="137"/>
      <c r="Z413" s="58" t="str" cm="1">
        <f>IF(ISBLANK($A413),"",INDEX(Array_WaterCharges,MATCH($A413,List_WaterMeters,0),ROUNDUP((COLUMN()+0)/3-1,0)))</f>
        <v/>
      </c>
      <c r="AA413" s="127"/>
      <c r="AB413" s="137"/>
      <c r="AC413" s="58" t="str" cm="1">
        <f>IF(ISBLANK($A413),"",INDEX(Array_WaterCharges,MATCH($A413,List_WaterMeters,0),ROUNDUP((COLUMN()+0)/3-1,0)))</f>
        <v/>
      </c>
      <c r="AD413" s="127"/>
      <c r="AE413" s="137"/>
      <c r="AF413" s="58" t="str" cm="1">
        <f>IF(ISBLANK($A413),"",INDEX(Array_WaterCharges,MATCH($A413,List_WaterMeters,0),ROUNDUP((COLUMN()+0)/3-1,0)))</f>
        <v/>
      </c>
      <c r="AG413" s="127"/>
      <c r="AH413" s="137"/>
    </row>
    <row r="414" spans="1:34" x14ac:dyDescent="0.3">
      <c r="A414" s="126"/>
      <c r="B414" s="133"/>
      <c r="C414" s="127"/>
      <c r="D414" s="137"/>
      <c r="E414" s="58" t="str" cm="1">
        <f>IF(ISBLANK($A414),"",INDEX(Array_WaterCharges,MATCH($A414,List_WaterMeters,0),ROUNDUP((COLUMN()+0)/3-1,0)))</f>
        <v/>
      </c>
      <c r="F414" s="127"/>
      <c r="G414" s="137"/>
      <c r="H414" s="58" t="str" cm="1">
        <f>IF(ISBLANK($A414),"",INDEX(Array_WaterCharges,MATCH($A414,List_WaterMeters,0),ROUNDUP((COLUMN()+0)/3-1,0)))</f>
        <v/>
      </c>
      <c r="I414" s="127"/>
      <c r="J414" s="137"/>
      <c r="K414" s="58" t="str" cm="1">
        <f>IF(ISBLANK($A414),"",INDEX(Array_WaterCharges,MATCH($A414,List_WaterMeters,0),ROUNDUP((COLUMN()+0)/3-1,0)))</f>
        <v/>
      </c>
      <c r="L414" s="127"/>
      <c r="M414" s="137"/>
      <c r="N414" s="58" t="str" cm="1">
        <f>IF(ISBLANK($A414),"",INDEX(Array_WaterCharges,MATCH($A414,List_WaterMeters,0),ROUNDUP((COLUMN()+0)/3-1,0)))</f>
        <v/>
      </c>
      <c r="O414" s="127"/>
      <c r="P414" s="137"/>
      <c r="Q414" s="58" t="str" cm="1">
        <f>IF(ISBLANK($A414),"",INDEX(Array_WaterCharges,MATCH($A414,List_WaterMeters,0),ROUNDUP((COLUMN()+0)/3-1,0)))</f>
        <v/>
      </c>
      <c r="R414" s="127"/>
      <c r="S414" s="137"/>
      <c r="T414" s="58" t="str" cm="1">
        <f>IF(ISBLANK($A414),"",INDEX(Array_WaterCharges,MATCH($A414,List_WaterMeters,0),ROUNDUP((COLUMN()+0)/3-1,0)))</f>
        <v/>
      </c>
      <c r="U414" s="127"/>
      <c r="V414" s="137"/>
      <c r="W414" s="58" t="str" cm="1">
        <f>IF(ISBLANK($A414),"",INDEX(Array_WaterCharges,MATCH($A414,List_WaterMeters,0),ROUNDUP((COLUMN()+0)/3-1,0)))</f>
        <v/>
      </c>
      <c r="X414" s="127"/>
      <c r="Y414" s="137"/>
      <c r="Z414" s="58" t="str" cm="1">
        <f>IF(ISBLANK($A414),"",INDEX(Array_WaterCharges,MATCH($A414,List_WaterMeters,0),ROUNDUP((COLUMN()+0)/3-1,0)))</f>
        <v/>
      </c>
      <c r="AA414" s="127"/>
      <c r="AB414" s="137"/>
      <c r="AC414" s="58" t="str" cm="1">
        <f>IF(ISBLANK($A414),"",INDEX(Array_WaterCharges,MATCH($A414,List_WaterMeters,0),ROUNDUP((COLUMN()+0)/3-1,0)))</f>
        <v/>
      </c>
      <c r="AD414" s="127"/>
      <c r="AE414" s="137"/>
      <c r="AF414" s="58" t="str" cm="1">
        <f>IF(ISBLANK($A414),"",INDEX(Array_WaterCharges,MATCH($A414,List_WaterMeters,0),ROUNDUP((COLUMN()+0)/3-1,0)))</f>
        <v/>
      </c>
      <c r="AG414" s="127"/>
      <c r="AH414" s="137"/>
    </row>
    <row r="415" spans="1:34" x14ac:dyDescent="0.3">
      <c r="A415" s="126"/>
      <c r="B415" s="133"/>
      <c r="C415" s="127"/>
      <c r="D415" s="137"/>
      <c r="E415" s="58" t="str" cm="1">
        <f>IF(ISBLANK($A415),"",INDEX(Array_WaterCharges,MATCH($A415,List_WaterMeters,0),ROUNDUP((COLUMN()+0)/3-1,0)))</f>
        <v/>
      </c>
      <c r="F415" s="127"/>
      <c r="G415" s="137"/>
      <c r="H415" s="58" t="str" cm="1">
        <f>IF(ISBLANK($A415),"",INDEX(Array_WaterCharges,MATCH($A415,List_WaterMeters,0),ROUNDUP((COLUMN()+0)/3-1,0)))</f>
        <v/>
      </c>
      <c r="I415" s="127"/>
      <c r="J415" s="137"/>
      <c r="K415" s="58" t="str" cm="1">
        <f>IF(ISBLANK($A415),"",INDEX(Array_WaterCharges,MATCH($A415,List_WaterMeters,0),ROUNDUP((COLUMN()+0)/3-1,0)))</f>
        <v/>
      </c>
      <c r="L415" s="127"/>
      <c r="M415" s="137"/>
      <c r="N415" s="58" t="str" cm="1">
        <f>IF(ISBLANK($A415),"",INDEX(Array_WaterCharges,MATCH($A415,List_WaterMeters,0),ROUNDUP((COLUMN()+0)/3-1,0)))</f>
        <v/>
      </c>
      <c r="O415" s="127"/>
      <c r="P415" s="137"/>
      <c r="Q415" s="58" t="str" cm="1">
        <f>IF(ISBLANK($A415),"",INDEX(Array_WaterCharges,MATCH($A415,List_WaterMeters,0),ROUNDUP((COLUMN()+0)/3-1,0)))</f>
        <v/>
      </c>
      <c r="R415" s="127"/>
      <c r="S415" s="137"/>
      <c r="T415" s="58" t="str" cm="1">
        <f>IF(ISBLANK($A415),"",INDEX(Array_WaterCharges,MATCH($A415,List_WaterMeters,0),ROUNDUP((COLUMN()+0)/3-1,0)))</f>
        <v/>
      </c>
      <c r="U415" s="127"/>
      <c r="V415" s="137"/>
      <c r="W415" s="58" t="str" cm="1">
        <f>IF(ISBLANK($A415),"",INDEX(Array_WaterCharges,MATCH($A415,List_WaterMeters,0),ROUNDUP((COLUMN()+0)/3-1,0)))</f>
        <v/>
      </c>
      <c r="X415" s="127"/>
      <c r="Y415" s="137"/>
      <c r="Z415" s="58" t="str" cm="1">
        <f>IF(ISBLANK($A415),"",INDEX(Array_WaterCharges,MATCH($A415,List_WaterMeters,0),ROUNDUP((COLUMN()+0)/3-1,0)))</f>
        <v/>
      </c>
      <c r="AA415" s="127"/>
      <c r="AB415" s="137"/>
      <c r="AC415" s="58" t="str" cm="1">
        <f>IF(ISBLANK($A415),"",INDEX(Array_WaterCharges,MATCH($A415,List_WaterMeters,0),ROUNDUP((COLUMN()+0)/3-1,0)))</f>
        <v/>
      </c>
      <c r="AD415" s="127"/>
      <c r="AE415" s="137"/>
      <c r="AF415" s="58" t="str" cm="1">
        <f>IF(ISBLANK($A415),"",INDEX(Array_WaterCharges,MATCH($A415,List_WaterMeters,0),ROUNDUP((COLUMN()+0)/3-1,0)))</f>
        <v/>
      </c>
      <c r="AG415" s="127"/>
      <c r="AH415" s="137"/>
    </row>
    <row r="416" spans="1:34" x14ac:dyDescent="0.3">
      <c r="A416" s="126"/>
      <c r="B416" s="133"/>
      <c r="C416" s="127"/>
      <c r="D416" s="137"/>
      <c r="E416" s="58" t="str" cm="1">
        <f>IF(ISBLANK($A416),"",INDEX(Array_WaterCharges,MATCH($A416,List_WaterMeters,0),ROUNDUP((COLUMN()+0)/3-1,0)))</f>
        <v/>
      </c>
      <c r="F416" s="127"/>
      <c r="G416" s="137"/>
      <c r="H416" s="58" t="str" cm="1">
        <f>IF(ISBLANK($A416),"",INDEX(Array_WaterCharges,MATCH($A416,List_WaterMeters,0),ROUNDUP((COLUMN()+0)/3-1,0)))</f>
        <v/>
      </c>
      <c r="I416" s="127"/>
      <c r="J416" s="137"/>
      <c r="K416" s="58" t="str" cm="1">
        <f>IF(ISBLANK($A416),"",INDEX(Array_WaterCharges,MATCH($A416,List_WaterMeters,0),ROUNDUP((COLUMN()+0)/3-1,0)))</f>
        <v/>
      </c>
      <c r="L416" s="127"/>
      <c r="M416" s="137"/>
      <c r="N416" s="58" t="str" cm="1">
        <f>IF(ISBLANK($A416),"",INDEX(Array_WaterCharges,MATCH($A416,List_WaterMeters,0),ROUNDUP((COLUMN()+0)/3-1,0)))</f>
        <v/>
      </c>
      <c r="O416" s="127"/>
      <c r="P416" s="137"/>
      <c r="Q416" s="58" t="str" cm="1">
        <f>IF(ISBLANK($A416),"",INDEX(Array_WaterCharges,MATCH($A416,List_WaterMeters,0),ROUNDUP((COLUMN()+0)/3-1,0)))</f>
        <v/>
      </c>
      <c r="R416" s="127"/>
      <c r="S416" s="137"/>
      <c r="T416" s="58" t="str" cm="1">
        <f>IF(ISBLANK($A416),"",INDEX(Array_WaterCharges,MATCH($A416,List_WaterMeters,0),ROUNDUP((COLUMN()+0)/3-1,0)))</f>
        <v/>
      </c>
      <c r="U416" s="127"/>
      <c r="V416" s="137"/>
      <c r="W416" s="58" t="str" cm="1">
        <f>IF(ISBLANK($A416),"",INDEX(Array_WaterCharges,MATCH($A416,List_WaterMeters,0),ROUNDUP((COLUMN()+0)/3-1,0)))</f>
        <v/>
      </c>
      <c r="X416" s="127"/>
      <c r="Y416" s="137"/>
      <c r="Z416" s="58" t="str" cm="1">
        <f>IF(ISBLANK($A416),"",INDEX(Array_WaterCharges,MATCH($A416,List_WaterMeters,0),ROUNDUP((COLUMN()+0)/3-1,0)))</f>
        <v/>
      </c>
      <c r="AA416" s="127"/>
      <c r="AB416" s="137"/>
      <c r="AC416" s="58" t="str" cm="1">
        <f>IF(ISBLANK($A416),"",INDEX(Array_WaterCharges,MATCH($A416,List_WaterMeters,0),ROUNDUP((COLUMN()+0)/3-1,0)))</f>
        <v/>
      </c>
      <c r="AD416" s="127"/>
      <c r="AE416" s="137"/>
      <c r="AF416" s="58" t="str" cm="1">
        <f>IF(ISBLANK($A416),"",INDEX(Array_WaterCharges,MATCH($A416,List_WaterMeters,0),ROUNDUP((COLUMN()+0)/3-1,0)))</f>
        <v/>
      </c>
      <c r="AG416" s="127"/>
      <c r="AH416" s="137"/>
    </row>
    <row r="417" spans="1:34" x14ac:dyDescent="0.3">
      <c r="A417" s="126"/>
      <c r="B417" s="133"/>
      <c r="C417" s="127"/>
      <c r="D417" s="137"/>
      <c r="E417" s="58" t="str" cm="1">
        <f>IF(ISBLANK($A417),"",INDEX(Array_WaterCharges,MATCH($A417,List_WaterMeters,0),ROUNDUP((COLUMN()+0)/3-1,0)))</f>
        <v/>
      </c>
      <c r="F417" s="127"/>
      <c r="G417" s="137"/>
      <c r="H417" s="58" t="str" cm="1">
        <f>IF(ISBLANK($A417),"",INDEX(Array_WaterCharges,MATCH($A417,List_WaterMeters,0),ROUNDUP((COLUMN()+0)/3-1,0)))</f>
        <v/>
      </c>
      <c r="I417" s="127"/>
      <c r="J417" s="137"/>
      <c r="K417" s="58" t="str" cm="1">
        <f>IF(ISBLANK($A417),"",INDEX(Array_WaterCharges,MATCH($A417,List_WaterMeters,0),ROUNDUP((COLUMN()+0)/3-1,0)))</f>
        <v/>
      </c>
      <c r="L417" s="127"/>
      <c r="M417" s="137"/>
      <c r="N417" s="58" t="str" cm="1">
        <f>IF(ISBLANK($A417),"",INDEX(Array_WaterCharges,MATCH($A417,List_WaterMeters,0),ROUNDUP((COLUMN()+0)/3-1,0)))</f>
        <v/>
      </c>
      <c r="O417" s="127"/>
      <c r="P417" s="137"/>
      <c r="Q417" s="58" t="str" cm="1">
        <f>IF(ISBLANK($A417),"",INDEX(Array_WaterCharges,MATCH($A417,List_WaterMeters,0),ROUNDUP((COLUMN()+0)/3-1,0)))</f>
        <v/>
      </c>
      <c r="R417" s="127"/>
      <c r="S417" s="137"/>
      <c r="T417" s="58" t="str" cm="1">
        <f>IF(ISBLANK($A417),"",INDEX(Array_WaterCharges,MATCH($A417,List_WaterMeters,0),ROUNDUP((COLUMN()+0)/3-1,0)))</f>
        <v/>
      </c>
      <c r="U417" s="127"/>
      <c r="V417" s="137"/>
      <c r="W417" s="58" t="str" cm="1">
        <f>IF(ISBLANK($A417),"",INDEX(Array_WaterCharges,MATCH($A417,List_WaterMeters,0),ROUNDUP((COLUMN()+0)/3-1,0)))</f>
        <v/>
      </c>
      <c r="X417" s="127"/>
      <c r="Y417" s="137"/>
      <c r="Z417" s="58" t="str" cm="1">
        <f>IF(ISBLANK($A417),"",INDEX(Array_WaterCharges,MATCH($A417,List_WaterMeters,0),ROUNDUP((COLUMN()+0)/3-1,0)))</f>
        <v/>
      </c>
      <c r="AA417" s="127"/>
      <c r="AB417" s="137"/>
      <c r="AC417" s="58" t="str" cm="1">
        <f>IF(ISBLANK($A417),"",INDEX(Array_WaterCharges,MATCH($A417,List_WaterMeters,0),ROUNDUP((COLUMN()+0)/3-1,0)))</f>
        <v/>
      </c>
      <c r="AD417" s="127"/>
      <c r="AE417" s="137"/>
      <c r="AF417" s="58" t="str" cm="1">
        <f>IF(ISBLANK($A417),"",INDEX(Array_WaterCharges,MATCH($A417,List_WaterMeters,0),ROUNDUP((COLUMN()+0)/3-1,0)))</f>
        <v/>
      </c>
      <c r="AG417" s="127"/>
      <c r="AH417" s="137"/>
    </row>
    <row r="418" spans="1:34" x14ac:dyDescent="0.3">
      <c r="A418" s="126"/>
      <c r="B418" s="133"/>
      <c r="C418" s="127"/>
      <c r="D418" s="137"/>
      <c r="E418" s="58" t="str" cm="1">
        <f>IF(ISBLANK($A418),"",INDEX(Array_WaterCharges,MATCH($A418,List_WaterMeters,0),ROUNDUP((COLUMN()+0)/3-1,0)))</f>
        <v/>
      </c>
      <c r="F418" s="127"/>
      <c r="G418" s="137"/>
      <c r="H418" s="58" t="str" cm="1">
        <f>IF(ISBLANK($A418),"",INDEX(Array_WaterCharges,MATCH($A418,List_WaterMeters,0),ROUNDUP((COLUMN()+0)/3-1,0)))</f>
        <v/>
      </c>
      <c r="I418" s="127"/>
      <c r="J418" s="137"/>
      <c r="K418" s="58" t="str" cm="1">
        <f>IF(ISBLANK($A418),"",INDEX(Array_WaterCharges,MATCH($A418,List_WaterMeters,0),ROUNDUP((COLUMN()+0)/3-1,0)))</f>
        <v/>
      </c>
      <c r="L418" s="127"/>
      <c r="M418" s="137"/>
      <c r="N418" s="58" t="str" cm="1">
        <f>IF(ISBLANK($A418),"",INDEX(Array_WaterCharges,MATCH($A418,List_WaterMeters,0),ROUNDUP((COLUMN()+0)/3-1,0)))</f>
        <v/>
      </c>
      <c r="O418" s="127"/>
      <c r="P418" s="137"/>
      <c r="Q418" s="58" t="str" cm="1">
        <f>IF(ISBLANK($A418),"",INDEX(Array_WaterCharges,MATCH($A418,List_WaterMeters,0),ROUNDUP((COLUMN()+0)/3-1,0)))</f>
        <v/>
      </c>
      <c r="R418" s="127"/>
      <c r="S418" s="137"/>
      <c r="T418" s="58" t="str" cm="1">
        <f>IF(ISBLANK($A418),"",INDEX(Array_WaterCharges,MATCH($A418,List_WaterMeters,0),ROUNDUP((COLUMN()+0)/3-1,0)))</f>
        <v/>
      </c>
      <c r="U418" s="127"/>
      <c r="V418" s="137"/>
      <c r="W418" s="58" t="str" cm="1">
        <f>IF(ISBLANK($A418),"",INDEX(Array_WaterCharges,MATCH($A418,List_WaterMeters,0),ROUNDUP((COLUMN()+0)/3-1,0)))</f>
        <v/>
      </c>
      <c r="X418" s="127"/>
      <c r="Y418" s="137"/>
      <c r="Z418" s="58" t="str" cm="1">
        <f>IF(ISBLANK($A418),"",INDEX(Array_WaterCharges,MATCH($A418,List_WaterMeters,0),ROUNDUP((COLUMN()+0)/3-1,0)))</f>
        <v/>
      </c>
      <c r="AA418" s="127"/>
      <c r="AB418" s="137"/>
      <c r="AC418" s="58" t="str" cm="1">
        <f>IF(ISBLANK($A418),"",INDEX(Array_WaterCharges,MATCH($A418,List_WaterMeters,0),ROUNDUP((COLUMN()+0)/3-1,0)))</f>
        <v/>
      </c>
      <c r="AD418" s="127"/>
      <c r="AE418" s="137"/>
      <c r="AF418" s="58" t="str" cm="1">
        <f>IF(ISBLANK($A418),"",INDEX(Array_WaterCharges,MATCH($A418,List_WaterMeters,0),ROUNDUP((COLUMN()+0)/3-1,0)))</f>
        <v/>
      </c>
      <c r="AG418" s="127"/>
      <c r="AH418" s="137"/>
    </row>
    <row r="419" spans="1:34" x14ac:dyDescent="0.3">
      <c r="A419" s="126"/>
      <c r="B419" s="133"/>
      <c r="C419" s="127"/>
      <c r="D419" s="137"/>
      <c r="E419" s="58" t="str" cm="1">
        <f>IF(ISBLANK($A419),"",INDEX(Array_WaterCharges,MATCH($A419,List_WaterMeters,0),ROUNDUP((COLUMN()+0)/3-1,0)))</f>
        <v/>
      </c>
      <c r="F419" s="127"/>
      <c r="G419" s="137"/>
      <c r="H419" s="58" t="str" cm="1">
        <f>IF(ISBLANK($A419),"",INDEX(Array_WaterCharges,MATCH($A419,List_WaterMeters,0),ROUNDUP((COLUMN()+0)/3-1,0)))</f>
        <v/>
      </c>
      <c r="I419" s="127"/>
      <c r="J419" s="137"/>
      <c r="K419" s="58" t="str" cm="1">
        <f>IF(ISBLANK($A419),"",INDEX(Array_WaterCharges,MATCH($A419,List_WaterMeters,0),ROUNDUP((COLUMN()+0)/3-1,0)))</f>
        <v/>
      </c>
      <c r="L419" s="127"/>
      <c r="M419" s="137"/>
      <c r="N419" s="58" t="str" cm="1">
        <f>IF(ISBLANK($A419),"",INDEX(Array_WaterCharges,MATCH($A419,List_WaterMeters,0),ROUNDUP((COLUMN()+0)/3-1,0)))</f>
        <v/>
      </c>
      <c r="O419" s="127"/>
      <c r="P419" s="137"/>
      <c r="Q419" s="58" t="str" cm="1">
        <f>IF(ISBLANK($A419),"",INDEX(Array_WaterCharges,MATCH($A419,List_WaterMeters,0),ROUNDUP((COLUMN()+0)/3-1,0)))</f>
        <v/>
      </c>
      <c r="R419" s="127"/>
      <c r="S419" s="137"/>
      <c r="T419" s="58" t="str" cm="1">
        <f>IF(ISBLANK($A419),"",INDEX(Array_WaterCharges,MATCH($A419,List_WaterMeters,0),ROUNDUP((COLUMN()+0)/3-1,0)))</f>
        <v/>
      </c>
      <c r="U419" s="127"/>
      <c r="V419" s="137"/>
      <c r="W419" s="58" t="str" cm="1">
        <f>IF(ISBLANK($A419),"",INDEX(Array_WaterCharges,MATCH($A419,List_WaterMeters,0),ROUNDUP((COLUMN()+0)/3-1,0)))</f>
        <v/>
      </c>
      <c r="X419" s="127"/>
      <c r="Y419" s="137"/>
      <c r="Z419" s="58" t="str" cm="1">
        <f>IF(ISBLANK($A419),"",INDEX(Array_WaterCharges,MATCH($A419,List_WaterMeters,0),ROUNDUP((COLUMN()+0)/3-1,0)))</f>
        <v/>
      </c>
      <c r="AA419" s="127"/>
      <c r="AB419" s="137"/>
      <c r="AC419" s="58" t="str" cm="1">
        <f>IF(ISBLANK($A419),"",INDEX(Array_WaterCharges,MATCH($A419,List_WaterMeters,0),ROUNDUP((COLUMN()+0)/3-1,0)))</f>
        <v/>
      </c>
      <c r="AD419" s="127"/>
      <c r="AE419" s="137"/>
      <c r="AF419" s="58" t="str" cm="1">
        <f>IF(ISBLANK($A419),"",INDEX(Array_WaterCharges,MATCH($A419,List_WaterMeters,0),ROUNDUP((COLUMN()+0)/3-1,0)))</f>
        <v/>
      </c>
      <c r="AG419" s="127"/>
      <c r="AH419" s="137"/>
    </row>
    <row r="420" spans="1:34" x14ac:dyDescent="0.3">
      <c r="A420" s="126"/>
      <c r="B420" s="133"/>
      <c r="C420" s="127"/>
      <c r="D420" s="137"/>
      <c r="E420" s="58" t="str" cm="1">
        <f>IF(ISBLANK($A420),"",INDEX(Array_WaterCharges,MATCH($A420,List_WaterMeters,0),ROUNDUP((COLUMN()+0)/3-1,0)))</f>
        <v/>
      </c>
      <c r="F420" s="127"/>
      <c r="G420" s="137"/>
      <c r="H420" s="58" t="str" cm="1">
        <f>IF(ISBLANK($A420),"",INDEX(Array_WaterCharges,MATCH($A420,List_WaterMeters,0),ROUNDUP((COLUMN()+0)/3-1,0)))</f>
        <v/>
      </c>
      <c r="I420" s="127"/>
      <c r="J420" s="137"/>
      <c r="K420" s="58" t="str" cm="1">
        <f>IF(ISBLANK($A420),"",INDEX(Array_WaterCharges,MATCH($A420,List_WaterMeters,0),ROUNDUP((COLUMN()+0)/3-1,0)))</f>
        <v/>
      </c>
      <c r="L420" s="127"/>
      <c r="M420" s="137"/>
      <c r="N420" s="58" t="str" cm="1">
        <f>IF(ISBLANK($A420),"",INDEX(Array_WaterCharges,MATCH($A420,List_WaterMeters,0),ROUNDUP((COLUMN()+0)/3-1,0)))</f>
        <v/>
      </c>
      <c r="O420" s="127"/>
      <c r="P420" s="137"/>
      <c r="Q420" s="58" t="str" cm="1">
        <f>IF(ISBLANK($A420),"",INDEX(Array_WaterCharges,MATCH($A420,List_WaterMeters,0),ROUNDUP((COLUMN()+0)/3-1,0)))</f>
        <v/>
      </c>
      <c r="R420" s="127"/>
      <c r="S420" s="137"/>
      <c r="T420" s="58" t="str" cm="1">
        <f>IF(ISBLANK($A420),"",INDEX(Array_WaterCharges,MATCH($A420,List_WaterMeters,0),ROUNDUP((COLUMN()+0)/3-1,0)))</f>
        <v/>
      </c>
      <c r="U420" s="127"/>
      <c r="V420" s="137"/>
      <c r="W420" s="58" t="str" cm="1">
        <f>IF(ISBLANK($A420),"",INDEX(Array_WaterCharges,MATCH($A420,List_WaterMeters,0),ROUNDUP((COLUMN()+0)/3-1,0)))</f>
        <v/>
      </c>
      <c r="X420" s="127"/>
      <c r="Y420" s="137"/>
      <c r="Z420" s="58" t="str" cm="1">
        <f>IF(ISBLANK($A420),"",INDEX(Array_WaterCharges,MATCH($A420,List_WaterMeters,0),ROUNDUP((COLUMN()+0)/3-1,0)))</f>
        <v/>
      </c>
      <c r="AA420" s="127"/>
      <c r="AB420" s="137"/>
      <c r="AC420" s="58" t="str" cm="1">
        <f>IF(ISBLANK($A420),"",INDEX(Array_WaterCharges,MATCH($A420,List_WaterMeters,0),ROUNDUP((COLUMN()+0)/3-1,0)))</f>
        <v/>
      </c>
      <c r="AD420" s="127"/>
      <c r="AE420" s="137"/>
      <c r="AF420" s="58" t="str" cm="1">
        <f>IF(ISBLANK($A420),"",INDEX(Array_WaterCharges,MATCH($A420,List_WaterMeters,0),ROUNDUP((COLUMN()+0)/3-1,0)))</f>
        <v/>
      </c>
      <c r="AG420" s="127"/>
      <c r="AH420" s="137"/>
    </row>
    <row r="421" spans="1:34" x14ac:dyDescent="0.3">
      <c r="A421" s="126"/>
      <c r="B421" s="133"/>
      <c r="C421" s="127"/>
      <c r="D421" s="137"/>
      <c r="E421" s="58" t="str" cm="1">
        <f>IF(ISBLANK($A421),"",INDEX(Array_WaterCharges,MATCH($A421,List_WaterMeters,0),ROUNDUP((COLUMN()+0)/3-1,0)))</f>
        <v/>
      </c>
      <c r="F421" s="127"/>
      <c r="G421" s="137"/>
      <c r="H421" s="58" t="str" cm="1">
        <f>IF(ISBLANK($A421),"",INDEX(Array_WaterCharges,MATCH($A421,List_WaterMeters,0),ROUNDUP((COLUMN()+0)/3-1,0)))</f>
        <v/>
      </c>
      <c r="I421" s="127"/>
      <c r="J421" s="137"/>
      <c r="K421" s="58" t="str" cm="1">
        <f>IF(ISBLANK($A421),"",INDEX(Array_WaterCharges,MATCH($A421,List_WaterMeters,0),ROUNDUP((COLUMN()+0)/3-1,0)))</f>
        <v/>
      </c>
      <c r="L421" s="127"/>
      <c r="M421" s="137"/>
      <c r="N421" s="58" t="str" cm="1">
        <f>IF(ISBLANK($A421),"",INDEX(Array_WaterCharges,MATCH($A421,List_WaterMeters,0),ROUNDUP((COLUMN()+0)/3-1,0)))</f>
        <v/>
      </c>
      <c r="O421" s="127"/>
      <c r="P421" s="137"/>
      <c r="Q421" s="58" t="str" cm="1">
        <f>IF(ISBLANK($A421),"",INDEX(Array_WaterCharges,MATCH($A421,List_WaterMeters,0),ROUNDUP((COLUMN()+0)/3-1,0)))</f>
        <v/>
      </c>
      <c r="R421" s="127"/>
      <c r="S421" s="137"/>
      <c r="T421" s="58" t="str" cm="1">
        <f>IF(ISBLANK($A421),"",INDEX(Array_WaterCharges,MATCH($A421,List_WaterMeters,0),ROUNDUP((COLUMN()+0)/3-1,0)))</f>
        <v/>
      </c>
      <c r="U421" s="127"/>
      <c r="V421" s="137"/>
      <c r="W421" s="58" t="str" cm="1">
        <f>IF(ISBLANK($A421),"",INDEX(Array_WaterCharges,MATCH($A421,List_WaterMeters,0),ROUNDUP((COLUMN()+0)/3-1,0)))</f>
        <v/>
      </c>
      <c r="X421" s="127"/>
      <c r="Y421" s="137"/>
      <c r="Z421" s="58" t="str" cm="1">
        <f>IF(ISBLANK($A421),"",INDEX(Array_WaterCharges,MATCH($A421,List_WaterMeters,0),ROUNDUP((COLUMN()+0)/3-1,0)))</f>
        <v/>
      </c>
      <c r="AA421" s="127"/>
      <c r="AB421" s="137"/>
      <c r="AC421" s="58" t="str" cm="1">
        <f>IF(ISBLANK($A421),"",INDEX(Array_WaterCharges,MATCH($A421,List_WaterMeters,0),ROUNDUP((COLUMN()+0)/3-1,0)))</f>
        <v/>
      </c>
      <c r="AD421" s="127"/>
      <c r="AE421" s="137"/>
      <c r="AF421" s="58" t="str" cm="1">
        <f>IF(ISBLANK($A421),"",INDEX(Array_WaterCharges,MATCH($A421,List_WaterMeters,0),ROUNDUP((COLUMN()+0)/3-1,0)))</f>
        <v/>
      </c>
      <c r="AG421" s="127"/>
      <c r="AH421" s="137"/>
    </row>
    <row r="422" spans="1:34" x14ac:dyDescent="0.3">
      <c r="A422" s="126"/>
      <c r="B422" s="133"/>
      <c r="C422" s="127"/>
      <c r="D422" s="137"/>
      <c r="E422" s="58" t="str" cm="1">
        <f>IF(ISBLANK($A422),"",INDEX(Array_WaterCharges,MATCH($A422,List_WaterMeters,0),ROUNDUP((COLUMN()+0)/3-1,0)))</f>
        <v/>
      </c>
      <c r="F422" s="127"/>
      <c r="G422" s="137"/>
      <c r="H422" s="58" t="str" cm="1">
        <f>IF(ISBLANK($A422),"",INDEX(Array_WaterCharges,MATCH($A422,List_WaterMeters,0),ROUNDUP((COLUMN()+0)/3-1,0)))</f>
        <v/>
      </c>
      <c r="I422" s="127"/>
      <c r="J422" s="137"/>
      <c r="K422" s="58" t="str" cm="1">
        <f>IF(ISBLANK($A422),"",INDEX(Array_WaterCharges,MATCH($A422,List_WaterMeters,0),ROUNDUP((COLUMN()+0)/3-1,0)))</f>
        <v/>
      </c>
      <c r="L422" s="127"/>
      <c r="M422" s="137"/>
      <c r="N422" s="58" t="str" cm="1">
        <f>IF(ISBLANK($A422),"",INDEX(Array_WaterCharges,MATCH($A422,List_WaterMeters,0),ROUNDUP((COLUMN()+0)/3-1,0)))</f>
        <v/>
      </c>
      <c r="O422" s="127"/>
      <c r="P422" s="137"/>
      <c r="Q422" s="58" t="str" cm="1">
        <f>IF(ISBLANK($A422),"",INDEX(Array_WaterCharges,MATCH($A422,List_WaterMeters,0),ROUNDUP((COLUMN()+0)/3-1,0)))</f>
        <v/>
      </c>
      <c r="R422" s="127"/>
      <c r="S422" s="137"/>
      <c r="T422" s="58" t="str" cm="1">
        <f>IF(ISBLANK($A422),"",INDEX(Array_WaterCharges,MATCH($A422,List_WaterMeters,0),ROUNDUP((COLUMN()+0)/3-1,0)))</f>
        <v/>
      </c>
      <c r="U422" s="127"/>
      <c r="V422" s="137"/>
      <c r="W422" s="58" t="str" cm="1">
        <f>IF(ISBLANK($A422),"",INDEX(Array_WaterCharges,MATCH($A422,List_WaterMeters,0),ROUNDUP((COLUMN()+0)/3-1,0)))</f>
        <v/>
      </c>
      <c r="X422" s="127"/>
      <c r="Y422" s="137"/>
      <c r="Z422" s="58" t="str" cm="1">
        <f>IF(ISBLANK($A422),"",INDEX(Array_WaterCharges,MATCH($A422,List_WaterMeters,0),ROUNDUP((COLUMN()+0)/3-1,0)))</f>
        <v/>
      </c>
      <c r="AA422" s="127"/>
      <c r="AB422" s="137"/>
      <c r="AC422" s="58" t="str" cm="1">
        <f>IF(ISBLANK($A422),"",INDEX(Array_WaterCharges,MATCH($A422,List_WaterMeters,0),ROUNDUP((COLUMN()+0)/3-1,0)))</f>
        <v/>
      </c>
      <c r="AD422" s="127"/>
      <c r="AE422" s="137"/>
      <c r="AF422" s="58" t="str" cm="1">
        <f>IF(ISBLANK($A422),"",INDEX(Array_WaterCharges,MATCH($A422,List_WaterMeters,0),ROUNDUP((COLUMN()+0)/3-1,0)))</f>
        <v/>
      </c>
      <c r="AG422" s="127"/>
      <c r="AH422" s="137"/>
    </row>
    <row r="423" spans="1:34" x14ac:dyDescent="0.3">
      <c r="A423" s="126"/>
      <c r="B423" s="133"/>
      <c r="C423" s="127"/>
      <c r="D423" s="137"/>
      <c r="E423" s="58" t="str" cm="1">
        <f>IF(ISBLANK($A423),"",INDEX(Array_WaterCharges,MATCH($A423,List_WaterMeters,0),ROUNDUP((COLUMN()+0)/3-1,0)))</f>
        <v/>
      </c>
      <c r="F423" s="127"/>
      <c r="G423" s="137"/>
      <c r="H423" s="58" t="str" cm="1">
        <f>IF(ISBLANK($A423),"",INDEX(Array_WaterCharges,MATCH($A423,List_WaterMeters,0),ROUNDUP((COLUMN()+0)/3-1,0)))</f>
        <v/>
      </c>
      <c r="I423" s="127"/>
      <c r="J423" s="137"/>
      <c r="K423" s="58" t="str" cm="1">
        <f>IF(ISBLANK($A423),"",INDEX(Array_WaterCharges,MATCH($A423,List_WaterMeters,0),ROUNDUP((COLUMN()+0)/3-1,0)))</f>
        <v/>
      </c>
      <c r="L423" s="127"/>
      <c r="M423" s="137"/>
      <c r="N423" s="58" t="str" cm="1">
        <f>IF(ISBLANK($A423),"",INDEX(Array_WaterCharges,MATCH($A423,List_WaterMeters,0),ROUNDUP((COLUMN()+0)/3-1,0)))</f>
        <v/>
      </c>
      <c r="O423" s="127"/>
      <c r="P423" s="137"/>
      <c r="Q423" s="58" t="str" cm="1">
        <f>IF(ISBLANK($A423),"",INDEX(Array_WaterCharges,MATCH($A423,List_WaterMeters,0),ROUNDUP((COLUMN()+0)/3-1,0)))</f>
        <v/>
      </c>
      <c r="R423" s="127"/>
      <c r="S423" s="137"/>
      <c r="T423" s="58" t="str" cm="1">
        <f>IF(ISBLANK($A423),"",INDEX(Array_WaterCharges,MATCH($A423,List_WaterMeters,0),ROUNDUP((COLUMN()+0)/3-1,0)))</f>
        <v/>
      </c>
      <c r="U423" s="127"/>
      <c r="V423" s="137"/>
      <c r="W423" s="58" t="str" cm="1">
        <f>IF(ISBLANK($A423),"",INDEX(Array_WaterCharges,MATCH($A423,List_WaterMeters,0),ROUNDUP((COLUMN()+0)/3-1,0)))</f>
        <v/>
      </c>
      <c r="X423" s="127"/>
      <c r="Y423" s="137"/>
      <c r="Z423" s="58" t="str" cm="1">
        <f>IF(ISBLANK($A423),"",INDEX(Array_WaterCharges,MATCH($A423,List_WaterMeters,0),ROUNDUP((COLUMN()+0)/3-1,0)))</f>
        <v/>
      </c>
      <c r="AA423" s="127"/>
      <c r="AB423" s="137"/>
      <c r="AC423" s="58" t="str" cm="1">
        <f>IF(ISBLANK($A423),"",INDEX(Array_WaterCharges,MATCH($A423,List_WaterMeters,0),ROUNDUP((COLUMN()+0)/3-1,0)))</f>
        <v/>
      </c>
      <c r="AD423" s="127"/>
      <c r="AE423" s="137"/>
      <c r="AF423" s="58" t="str" cm="1">
        <f>IF(ISBLANK($A423),"",INDEX(Array_WaterCharges,MATCH($A423,List_WaterMeters,0),ROUNDUP((COLUMN()+0)/3-1,0)))</f>
        <v/>
      </c>
      <c r="AG423" s="127"/>
      <c r="AH423" s="137"/>
    </row>
    <row r="424" spans="1:34" x14ac:dyDescent="0.3">
      <c r="A424" s="126"/>
      <c r="B424" s="133"/>
      <c r="C424" s="127"/>
      <c r="D424" s="137"/>
      <c r="E424" s="58" t="str" cm="1">
        <f>IF(ISBLANK($A424),"",INDEX(Array_WaterCharges,MATCH($A424,List_WaterMeters,0),ROUNDUP((COLUMN()+0)/3-1,0)))</f>
        <v/>
      </c>
      <c r="F424" s="127"/>
      <c r="G424" s="137"/>
      <c r="H424" s="58" t="str" cm="1">
        <f>IF(ISBLANK($A424),"",INDEX(Array_WaterCharges,MATCH($A424,List_WaterMeters,0),ROUNDUP((COLUMN()+0)/3-1,0)))</f>
        <v/>
      </c>
      <c r="I424" s="127"/>
      <c r="J424" s="137"/>
      <c r="K424" s="58" t="str" cm="1">
        <f>IF(ISBLANK($A424),"",INDEX(Array_WaterCharges,MATCH($A424,List_WaterMeters,0),ROUNDUP((COLUMN()+0)/3-1,0)))</f>
        <v/>
      </c>
      <c r="L424" s="127"/>
      <c r="M424" s="137"/>
      <c r="N424" s="58" t="str" cm="1">
        <f>IF(ISBLANK($A424),"",INDEX(Array_WaterCharges,MATCH($A424,List_WaterMeters,0),ROUNDUP((COLUMN()+0)/3-1,0)))</f>
        <v/>
      </c>
      <c r="O424" s="127"/>
      <c r="P424" s="137"/>
      <c r="Q424" s="58" t="str" cm="1">
        <f>IF(ISBLANK($A424),"",INDEX(Array_WaterCharges,MATCH($A424,List_WaterMeters,0),ROUNDUP((COLUMN()+0)/3-1,0)))</f>
        <v/>
      </c>
      <c r="R424" s="127"/>
      <c r="S424" s="137"/>
      <c r="T424" s="58" t="str" cm="1">
        <f>IF(ISBLANK($A424),"",INDEX(Array_WaterCharges,MATCH($A424,List_WaterMeters,0),ROUNDUP((COLUMN()+0)/3-1,0)))</f>
        <v/>
      </c>
      <c r="U424" s="127"/>
      <c r="V424" s="137"/>
      <c r="W424" s="58" t="str" cm="1">
        <f>IF(ISBLANK($A424),"",INDEX(Array_WaterCharges,MATCH($A424,List_WaterMeters,0),ROUNDUP((COLUMN()+0)/3-1,0)))</f>
        <v/>
      </c>
      <c r="X424" s="127"/>
      <c r="Y424" s="137"/>
      <c r="Z424" s="58" t="str" cm="1">
        <f>IF(ISBLANK($A424),"",INDEX(Array_WaterCharges,MATCH($A424,List_WaterMeters,0),ROUNDUP((COLUMN()+0)/3-1,0)))</f>
        <v/>
      </c>
      <c r="AA424" s="127"/>
      <c r="AB424" s="137"/>
      <c r="AC424" s="58" t="str" cm="1">
        <f>IF(ISBLANK($A424),"",INDEX(Array_WaterCharges,MATCH($A424,List_WaterMeters,0),ROUNDUP((COLUMN()+0)/3-1,0)))</f>
        <v/>
      </c>
      <c r="AD424" s="127"/>
      <c r="AE424" s="137"/>
      <c r="AF424" s="58" t="str" cm="1">
        <f>IF(ISBLANK($A424),"",INDEX(Array_WaterCharges,MATCH($A424,List_WaterMeters,0),ROUNDUP((COLUMN()+0)/3-1,0)))</f>
        <v/>
      </c>
      <c r="AG424" s="127"/>
      <c r="AH424" s="137"/>
    </row>
    <row r="425" spans="1:34" x14ac:dyDescent="0.3">
      <c r="A425" s="126"/>
      <c r="B425" s="133"/>
      <c r="C425" s="127"/>
      <c r="D425" s="137"/>
      <c r="E425" s="58" t="str" cm="1">
        <f>IF(ISBLANK($A425),"",INDEX(Array_WaterCharges,MATCH($A425,List_WaterMeters,0),ROUNDUP((COLUMN()+0)/3-1,0)))</f>
        <v/>
      </c>
      <c r="F425" s="127"/>
      <c r="G425" s="137"/>
      <c r="H425" s="58" t="str" cm="1">
        <f>IF(ISBLANK($A425),"",INDEX(Array_WaterCharges,MATCH($A425,List_WaterMeters,0),ROUNDUP((COLUMN()+0)/3-1,0)))</f>
        <v/>
      </c>
      <c r="I425" s="127"/>
      <c r="J425" s="137"/>
      <c r="K425" s="58" t="str" cm="1">
        <f>IF(ISBLANK($A425),"",INDEX(Array_WaterCharges,MATCH($A425,List_WaterMeters,0),ROUNDUP((COLUMN()+0)/3-1,0)))</f>
        <v/>
      </c>
      <c r="L425" s="127"/>
      <c r="M425" s="137"/>
      <c r="N425" s="58" t="str" cm="1">
        <f>IF(ISBLANK($A425),"",INDEX(Array_WaterCharges,MATCH($A425,List_WaterMeters,0),ROUNDUP((COLUMN()+0)/3-1,0)))</f>
        <v/>
      </c>
      <c r="O425" s="127"/>
      <c r="P425" s="137"/>
      <c r="Q425" s="58" t="str" cm="1">
        <f>IF(ISBLANK($A425),"",INDEX(Array_WaterCharges,MATCH($A425,List_WaterMeters,0),ROUNDUP((COLUMN()+0)/3-1,0)))</f>
        <v/>
      </c>
      <c r="R425" s="127"/>
      <c r="S425" s="137"/>
      <c r="T425" s="58" t="str" cm="1">
        <f>IF(ISBLANK($A425),"",INDEX(Array_WaterCharges,MATCH($A425,List_WaterMeters,0),ROUNDUP((COLUMN()+0)/3-1,0)))</f>
        <v/>
      </c>
      <c r="U425" s="127"/>
      <c r="V425" s="137"/>
      <c r="W425" s="58" t="str" cm="1">
        <f>IF(ISBLANK($A425),"",INDEX(Array_WaterCharges,MATCH($A425,List_WaterMeters,0),ROUNDUP((COLUMN()+0)/3-1,0)))</f>
        <v/>
      </c>
      <c r="X425" s="127"/>
      <c r="Y425" s="137"/>
      <c r="Z425" s="58" t="str" cm="1">
        <f>IF(ISBLANK($A425),"",INDEX(Array_WaterCharges,MATCH($A425,List_WaterMeters,0),ROUNDUP((COLUMN()+0)/3-1,0)))</f>
        <v/>
      </c>
      <c r="AA425" s="127"/>
      <c r="AB425" s="137"/>
      <c r="AC425" s="58" t="str" cm="1">
        <f>IF(ISBLANK($A425),"",INDEX(Array_WaterCharges,MATCH($A425,List_WaterMeters,0),ROUNDUP((COLUMN()+0)/3-1,0)))</f>
        <v/>
      </c>
      <c r="AD425" s="127"/>
      <c r="AE425" s="137"/>
      <c r="AF425" s="58" t="str" cm="1">
        <f>IF(ISBLANK($A425),"",INDEX(Array_WaterCharges,MATCH($A425,List_WaterMeters,0),ROUNDUP((COLUMN()+0)/3-1,0)))</f>
        <v/>
      </c>
      <c r="AG425" s="127"/>
      <c r="AH425" s="137"/>
    </row>
    <row r="426" spans="1:34" x14ac:dyDescent="0.3">
      <c r="A426" s="126"/>
      <c r="B426" s="133"/>
      <c r="C426" s="127"/>
      <c r="D426" s="137"/>
      <c r="E426" s="58" t="str" cm="1">
        <f>IF(ISBLANK($A426),"",INDEX(Array_WaterCharges,MATCH($A426,List_WaterMeters,0),ROUNDUP((COLUMN()+0)/3-1,0)))</f>
        <v/>
      </c>
      <c r="F426" s="127"/>
      <c r="G426" s="137"/>
      <c r="H426" s="58" t="str" cm="1">
        <f>IF(ISBLANK($A426),"",INDEX(Array_WaterCharges,MATCH($A426,List_WaterMeters,0),ROUNDUP((COLUMN()+0)/3-1,0)))</f>
        <v/>
      </c>
      <c r="I426" s="127"/>
      <c r="J426" s="137"/>
      <c r="K426" s="58" t="str" cm="1">
        <f>IF(ISBLANK($A426),"",INDEX(Array_WaterCharges,MATCH($A426,List_WaterMeters,0),ROUNDUP((COLUMN()+0)/3-1,0)))</f>
        <v/>
      </c>
      <c r="L426" s="127"/>
      <c r="M426" s="137"/>
      <c r="N426" s="58" t="str" cm="1">
        <f>IF(ISBLANK($A426),"",INDEX(Array_WaterCharges,MATCH($A426,List_WaterMeters,0),ROUNDUP((COLUMN()+0)/3-1,0)))</f>
        <v/>
      </c>
      <c r="O426" s="127"/>
      <c r="P426" s="137"/>
      <c r="Q426" s="58" t="str" cm="1">
        <f>IF(ISBLANK($A426),"",INDEX(Array_WaterCharges,MATCH($A426,List_WaterMeters,0),ROUNDUP((COLUMN()+0)/3-1,0)))</f>
        <v/>
      </c>
      <c r="R426" s="127"/>
      <c r="S426" s="137"/>
      <c r="T426" s="58" t="str" cm="1">
        <f>IF(ISBLANK($A426),"",INDEX(Array_WaterCharges,MATCH($A426,List_WaterMeters,0),ROUNDUP((COLUMN()+0)/3-1,0)))</f>
        <v/>
      </c>
      <c r="U426" s="127"/>
      <c r="V426" s="137"/>
      <c r="W426" s="58" t="str" cm="1">
        <f>IF(ISBLANK($A426),"",INDEX(Array_WaterCharges,MATCH($A426,List_WaterMeters,0),ROUNDUP((COLUMN()+0)/3-1,0)))</f>
        <v/>
      </c>
      <c r="X426" s="127"/>
      <c r="Y426" s="137"/>
      <c r="Z426" s="58" t="str" cm="1">
        <f>IF(ISBLANK($A426),"",INDEX(Array_WaterCharges,MATCH($A426,List_WaterMeters,0),ROUNDUP((COLUMN()+0)/3-1,0)))</f>
        <v/>
      </c>
      <c r="AA426" s="127"/>
      <c r="AB426" s="137"/>
      <c r="AC426" s="58" t="str" cm="1">
        <f>IF(ISBLANK($A426),"",INDEX(Array_WaterCharges,MATCH($A426,List_WaterMeters,0),ROUNDUP((COLUMN()+0)/3-1,0)))</f>
        <v/>
      </c>
      <c r="AD426" s="127"/>
      <c r="AE426" s="137"/>
      <c r="AF426" s="58" t="str" cm="1">
        <f>IF(ISBLANK($A426),"",INDEX(Array_WaterCharges,MATCH($A426,List_WaterMeters,0),ROUNDUP((COLUMN()+0)/3-1,0)))</f>
        <v/>
      </c>
      <c r="AG426" s="127"/>
      <c r="AH426" s="137"/>
    </row>
    <row r="427" spans="1:34" x14ac:dyDescent="0.3">
      <c r="A427" s="126"/>
      <c r="B427" s="133"/>
      <c r="C427" s="127"/>
      <c r="D427" s="137"/>
      <c r="E427" s="58" t="str" cm="1">
        <f>IF(ISBLANK($A427),"",INDEX(Array_WaterCharges,MATCH($A427,List_WaterMeters,0),ROUNDUP((COLUMN()+0)/3-1,0)))</f>
        <v/>
      </c>
      <c r="F427" s="127"/>
      <c r="G427" s="137"/>
      <c r="H427" s="58" t="str" cm="1">
        <f>IF(ISBLANK($A427),"",INDEX(Array_WaterCharges,MATCH($A427,List_WaterMeters,0),ROUNDUP((COLUMN()+0)/3-1,0)))</f>
        <v/>
      </c>
      <c r="I427" s="127"/>
      <c r="J427" s="137"/>
      <c r="K427" s="58" t="str" cm="1">
        <f>IF(ISBLANK($A427),"",INDEX(Array_WaterCharges,MATCH($A427,List_WaterMeters,0),ROUNDUP((COLUMN()+0)/3-1,0)))</f>
        <v/>
      </c>
      <c r="L427" s="127"/>
      <c r="M427" s="137"/>
      <c r="N427" s="58" t="str" cm="1">
        <f>IF(ISBLANK($A427),"",INDEX(Array_WaterCharges,MATCH($A427,List_WaterMeters,0),ROUNDUP((COLUMN()+0)/3-1,0)))</f>
        <v/>
      </c>
      <c r="O427" s="127"/>
      <c r="P427" s="137"/>
      <c r="Q427" s="58" t="str" cm="1">
        <f>IF(ISBLANK($A427),"",INDEX(Array_WaterCharges,MATCH($A427,List_WaterMeters,0),ROUNDUP((COLUMN()+0)/3-1,0)))</f>
        <v/>
      </c>
      <c r="R427" s="127"/>
      <c r="S427" s="137"/>
      <c r="T427" s="58" t="str" cm="1">
        <f>IF(ISBLANK($A427),"",INDEX(Array_WaterCharges,MATCH($A427,List_WaterMeters,0),ROUNDUP((COLUMN()+0)/3-1,0)))</f>
        <v/>
      </c>
      <c r="U427" s="127"/>
      <c r="V427" s="137"/>
      <c r="W427" s="58" t="str" cm="1">
        <f>IF(ISBLANK($A427),"",INDEX(Array_WaterCharges,MATCH($A427,List_WaterMeters,0),ROUNDUP((COLUMN()+0)/3-1,0)))</f>
        <v/>
      </c>
      <c r="X427" s="127"/>
      <c r="Y427" s="137"/>
      <c r="Z427" s="58" t="str" cm="1">
        <f>IF(ISBLANK($A427),"",INDEX(Array_WaterCharges,MATCH($A427,List_WaterMeters,0),ROUNDUP((COLUMN()+0)/3-1,0)))</f>
        <v/>
      </c>
      <c r="AA427" s="127"/>
      <c r="AB427" s="137"/>
      <c r="AC427" s="58" t="str" cm="1">
        <f>IF(ISBLANK($A427),"",INDEX(Array_WaterCharges,MATCH($A427,List_WaterMeters,0),ROUNDUP((COLUMN()+0)/3-1,0)))</f>
        <v/>
      </c>
      <c r="AD427" s="127"/>
      <c r="AE427" s="137"/>
      <c r="AF427" s="58" t="str" cm="1">
        <f>IF(ISBLANK($A427),"",INDEX(Array_WaterCharges,MATCH($A427,List_WaterMeters,0),ROUNDUP((COLUMN()+0)/3-1,0)))</f>
        <v/>
      </c>
      <c r="AG427" s="127"/>
      <c r="AH427" s="137"/>
    </row>
    <row r="428" spans="1:34" x14ac:dyDescent="0.3">
      <c r="A428" s="126"/>
      <c r="B428" s="133"/>
      <c r="C428" s="127"/>
      <c r="D428" s="137"/>
      <c r="E428" s="58" t="str" cm="1">
        <f>IF(ISBLANK($A428),"",INDEX(Array_WaterCharges,MATCH($A428,List_WaterMeters,0),ROUNDUP((COLUMN()+0)/3-1,0)))</f>
        <v/>
      </c>
      <c r="F428" s="127"/>
      <c r="G428" s="137"/>
      <c r="H428" s="58" t="str" cm="1">
        <f>IF(ISBLANK($A428),"",INDEX(Array_WaterCharges,MATCH($A428,List_WaterMeters,0),ROUNDUP((COLUMN()+0)/3-1,0)))</f>
        <v/>
      </c>
      <c r="I428" s="127"/>
      <c r="J428" s="137"/>
      <c r="K428" s="58" t="str" cm="1">
        <f>IF(ISBLANK($A428),"",INDEX(Array_WaterCharges,MATCH($A428,List_WaterMeters,0),ROUNDUP((COLUMN()+0)/3-1,0)))</f>
        <v/>
      </c>
      <c r="L428" s="127"/>
      <c r="M428" s="137"/>
      <c r="N428" s="58" t="str" cm="1">
        <f>IF(ISBLANK($A428),"",INDEX(Array_WaterCharges,MATCH($A428,List_WaterMeters,0),ROUNDUP((COLUMN()+0)/3-1,0)))</f>
        <v/>
      </c>
      <c r="O428" s="127"/>
      <c r="P428" s="137"/>
      <c r="Q428" s="58" t="str" cm="1">
        <f>IF(ISBLANK($A428),"",INDEX(Array_WaterCharges,MATCH($A428,List_WaterMeters,0),ROUNDUP((COLUMN()+0)/3-1,0)))</f>
        <v/>
      </c>
      <c r="R428" s="127"/>
      <c r="S428" s="137"/>
      <c r="T428" s="58" t="str" cm="1">
        <f>IF(ISBLANK($A428),"",INDEX(Array_WaterCharges,MATCH($A428,List_WaterMeters,0),ROUNDUP((COLUMN()+0)/3-1,0)))</f>
        <v/>
      </c>
      <c r="U428" s="127"/>
      <c r="V428" s="137"/>
      <c r="W428" s="58" t="str" cm="1">
        <f>IF(ISBLANK($A428),"",INDEX(Array_WaterCharges,MATCH($A428,List_WaterMeters,0),ROUNDUP((COLUMN()+0)/3-1,0)))</f>
        <v/>
      </c>
      <c r="X428" s="127"/>
      <c r="Y428" s="137"/>
      <c r="Z428" s="58" t="str" cm="1">
        <f>IF(ISBLANK($A428),"",INDEX(Array_WaterCharges,MATCH($A428,List_WaterMeters,0),ROUNDUP((COLUMN()+0)/3-1,0)))</f>
        <v/>
      </c>
      <c r="AA428" s="127"/>
      <c r="AB428" s="137"/>
      <c r="AC428" s="58" t="str" cm="1">
        <f>IF(ISBLANK($A428),"",INDEX(Array_WaterCharges,MATCH($A428,List_WaterMeters,0),ROUNDUP((COLUMN()+0)/3-1,0)))</f>
        <v/>
      </c>
      <c r="AD428" s="127"/>
      <c r="AE428" s="137"/>
      <c r="AF428" s="58" t="str" cm="1">
        <f>IF(ISBLANK($A428),"",INDEX(Array_WaterCharges,MATCH($A428,List_WaterMeters,0),ROUNDUP((COLUMN()+0)/3-1,0)))</f>
        <v/>
      </c>
      <c r="AG428" s="127"/>
      <c r="AH428" s="137"/>
    </row>
    <row r="429" spans="1:34" x14ac:dyDescent="0.3">
      <c r="A429" s="126"/>
      <c r="B429" s="133"/>
      <c r="C429" s="127"/>
      <c r="D429" s="137"/>
      <c r="E429" s="58" t="str" cm="1">
        <f>IF(ISBLANK($A429),"",INDEX(Array_WaterCharges,MATCH($A429,List_WaterMeters,0),ROUNDUP((COLUMN()+0)/3-1,0)))</f>
        <v/>
      </c>
      <c r="F429" s="127"/>
      <c r="G429" s="137"/>
      <c r="H429" s="58" t="str" cm="1">
        <f>IF(ISBLANK($A429),"",INDEX(Array_WaterCharges,MATCH($A429,List_WaterMeters,0),ROUNDUP((COLUMN()+0)/3-1,0)))</f>
        <v/>
      </c>
      <c r="I429" s="127"/>
      <c r="J429" s="137"/>
      <c r="K429" s="58" t="str" cm="1">
        <f>IF(ISBLANK($A429),"",INDEX(Array_WaterCharges,MATCH($A429,List_WaterMeters,0),ROUNDUP((COLUMN()+0)/3-1,0)))</f>
        <v/>
      </c>
      <c r="L429" s="127"/>
      <c r="M429" s="137"/>
      <c r="N429" s="58" t="str" cm="1">
        <f>IF(ISBLANK($A429),"",INDEX(Array_WaterCharges,MATCH($A429,List_WaterMeters,0),ROUNDUP((COLUMN()+0)/3-1,0)))</f>
        <v/>
      </c>
      <c r="O429" s="127"/>
      <c r="P429" s="137"/>
      <c r="Q429" s="58" t="str" cm="1">
        <f>IF(ISBLANK($A429),"",INDEX(Array_WaterCharges,MATCH($A429,List_WaterMeters,0),ROUNDUP((COLUMN()+0)/3-1,0)))</f>
        <v/>
      </c>
      <c r="R429" s="127"/>
      <c r="S429" s="137"/>
      <c r="T429" s="58" t="str" cm="1">
        <f>IF(ISBLANK($A429),"",INDEX(Array_WaterCharges,MATCH($A429,List_WaterMeters,0),ROUNDUP((COLUMN()+0)/3-1,0)))</f>
        <v/>
      </c>
      <c r="U429" s="127"/>
      <c r="V429" s="137"/>
      <c r="W429" s="58" t="str" cm="1">
        <f>IF(ISBLANK($A429),"",INDEX(Array_WaterCharges,MATCH($A429,List_WaterMeters,0),ROUNDUP((COLUMN()+0)/3-1,0)))</f>
        <v/>
      </c>
      <c r="X429" s="127"/>
      <c r="Y429" s="137"/>
      <c r="Z429" s="58" t="str" cm="1">
        <f>IF(ISBLANK($A429),"",INDEX(Array_WaterCharges,MATCH($A429,List_WaterMeters,0),ROUNDUP((COLUMN()+0)/3-1,0)))</f>
        <v/>
      </c>
      <c r="AA429" s="127"/>
      <c r="AB429" s="137"/>
      <c r="AC429" s="58" t="str" cm="1">
        <f>IF(ISBLANK($A429),"",INDEX(Array_WaterCharges,MATCH($A429,List_WaterMeters,0),ROUNDUP((COLUMN()+0)/3-1,0)))</f>
        <v/>
      </c>
      <c r="AD429" s="127"/>
      <c r="AE429" s="137"/>
      <c r="AF429" s="58" t="str" cm="1">
        <f>IF(ISBLANK($A429),"",INDEX(Array_WaterCharges,MATCH($A429,List_WaterMeters,0),ROUNDUP((COLUMN()+0)/3-1,0)))</f>
        <v/>
      </c>
      <c r="AG429" s="127"/>
      <c r="AH429" s="137"/>
    </row>
    <row r="430" spans="1:34" x14ac:dyDescent="0.3">
      <c r="A430" s="126"/>
      <c r="B430" s="133"/>
      <c r="C430" s="127"/>
      <c r="D430" s="137"/>
      <c r="E430" s="58" t="str" cm="1">
        <f>IF(ISBLANK($A430),"",INDEX(Array_WaterCharges,MATCH($A430,List_WaterMeters,0),ROUNDUP((COLUMN()+0)/3-1,0)))</f>
        <v/>
      </c>
      <c r="F430" s="127"/>
      <c r="G430" s="137"/>
      <c r="H430" s="58" t="str" cm="1">
        <f>IF(ISBLANK($A430),"",INDEX(Array_WaterCharges,MATCH($A430,List_WaterMeters,0),ROUNDUP((COLUMN()+0)/3-1,0)))</f>
        <v/>
      </c>
      <c r="I430" s="127"/>
      <c r="J430" s="137"/>
      <c r="K430" s="58" t="str" cm="1">
        <f>IF(ISBLANK($A430),"",INDEX(Array_WaterCharges,MATCH($A430,List_WaterMeters,0),ROUNDUP((COLUMN()+0)/3-1,0)))</f>
        <v/>
      </c>
      <c r="L430" s="127"/>
      <c r="M430" s="137"/>
      <c r="N430" s="58" t="str" cm="1">
        <f>IF(ISBLANK($A430),"",INDEX(Array_WaterCharges,MATCH($A430,List_WaterMeters,0),ROUNDUP((COLUMN()+0)/3-1,0)))</f>
        <v/>
      </c>
      <c r="O430" s="127"/>
      <c r="P430" s="137"/>
      <c r="Q430" s="58" t="str" cm="1">
        <f>IF(ISBLANK($A430),"",INDEX(Array_WaterCharges,MATCH($A430,List_WaterMeters,0),ROUNDUP((COLUMN()+0)/3-1,0)))</f>
        <v/>
      </c>
      <c r="R430" s="127"/>
      <c r="S430" s="137"/>
      <c r="T430" s="58" t="str" cm="1">
        <f>IF(ISBLANK($A430),"",INDEX(Array_WaterCharges,MATCH($A430,List_WaterMeters,0),ROUNDUP((COLUMN()+0)/3-1,0)))</f>
        <v/>
      </c>
      <c r="U430" s="127"/>
      <c r="V430" s="137"/>
      <c r="W430" s="58" t="str" cm="1">
        <f>IF(ISBLANK($A430),"",INDEX(Array_WaterCharges,MATCH($A430,List_WaterMeters,0),ROUNDUP((COLUMN()+0)/3-1,0)))</f>
        <v/>
      </c>
      <c r="X430" s="127"/>
      <c r="Y430" s="137"/>
      <c r="Z430" s="58" t="str" cm="1">
        <f>IF(ISBLANK($A430),"",INDEX(Array_WaterCharges,MATCH($A430,List_WaterMeters,0),ROUNDUP((COLUMN()+0)/3-1,0)))</f>
        <v/>
      </c>
      <c r="AA430" s="127"/>
      <c r="AB430" s="137"/>
      <c r="AC430" s="58" t="str" cm="1">
        <f>IF(ISBLANK($A430),"",INDEX(Array_WaterCharges,MATCH($A430,List_WaterMeters,0),ROUNDUP((COLUMN()+0)/3-1,0)))</f>
        <v/>
      </c>
      <c r="AD430" s="127"/>
      <c r="AE430" s="137"/>
      <c r="AF430" s="58" t="str" cm="1">
        <f>IF(ISBLANK($A430),"",INDEX(Array_WaterCharges,MATCH($A430,List_WaterMeters,0),ROUNDUP((COLUMN()+0)/3-1,0)))</f>
        <v/>
      </c>
      <c r="AG430" s="127"/>
      <c r="AH430" s="137"/>
    </row>
    <row r="431" spans="1:34" x14ac:dyDescent="0.3">
      <c r="A431" s="126"/>
      <c r="B431" s="133"/>
      <c r="C431" s="127"/>
      <c r="D431" s="137"/>
      <c r="E431" s="58" t="str" cm="1">
        <f>IF(ISBLANK($A431),"",INDEX(Array_WaterCharges,MATCH($A431,List_WaterMeters,0),ROUNDUP((COLUMN()+0)/3-1,0)))</f>
        <v/>
      </c>
      <c r="F431" s="127"/>
      <c r="G431" s="137"/>
      <c r="H431" s="58" t="str" cm="1">
        <f>IF(ISBLANK($A431),"",INDEX(Array_WaterCharges,MATCH($A431,List_WaterMeters,0),ROUNDUP((COLUMN()+0)/3-1,0)))</f>
        <v/>
      </c>
      <c r="I431" s="127"/>
      <c r="J431" s="137"/>
      <c r="K431" s="58" t="str" cm="1">
        <f>IF(ISBLANK($A431),"",INDEX(Array_WaterCharges,MATCH($A431,List_WaterMeters,0),ROUNDUP((COLUMN()+0)/3-1,0)))</f>
        <v/>
      </c>
      <c r="L431" s="127"/>
      <c r="M431" s="137"/>
      <c r="N431" s="58" t="str" cm="1">
        <f>IF(ISBLANK($A431),"",INDEX(Array_WaterCharges,MATCH($A431,List_WaterMeters,0),ROUNDUP((COLUMN()+0)/3-1,0)))</f>
        <v/>
      </c>
      <c r="O431" s="127"/>
      <c r="P431" s="137"/>
      <c r="Q431" s="58" t="str" cm="1">
        <f>IF(ISBLANK($A431),"",INDEX(Array_WaterCharges,MATCH($A431,List_WaterMeters,0),ROUNDUP((COLUMN()+0)/3-1,0)))</f>
        <v/>
      </c>
      <c r="R431" s="127"/>
      <c r="S431" s="137"/>
      <c r="T431" s="58" t="str" cm="1">
        <f>IF(ISBLANK($A431),"",INDEX(Array_WaterCharges,MATCH($A431,List_WaterMeters,0),ROUNDUP((COLUMN()+0)/3-1,0)))</f>
        <v/>
      </c>
      <c r="U431" s="127"/>
      <c r="V431" s="137"/>
      <c r="W431" s="58" t="str" cm="1">
        <f>IF(ISBLANK($A431),"",INDEX(Array_WaterCharges,MATCH($A431,List_WaterMeters,0),ROUNDUP((COLUMN()+0)/3-1,0)))</f>
        <v/>
      </c>
      <c r="X431" s="127"/>
      <c r="Y431" s="137"/>
      <c r="Z431" s="58" t="str" cm="1">
        <f>IF(ISBLANK($A431),"",INDEX(Array_WaterCharges,MATCH($A431,List_WaterMeters,0),ROUNDUP((COLUMN()+0)/3-1,0)))</f>
        <v/>
      </c>
      <c r="AA431" s="127"/>
      <c r="AB431" s="137"/>
      <c r="AC431" s="58" t="str" cm="1">
        <f>IF(ISBLANK($A431),"",INDEX(Array_WaterCharges,MATCH($A431,List_WaterMeters,0),ROUNDUP((COLUMN()+0)/3-1,0)))</f>
        <v/>
      </c>
      <c r="AD431" s="127"/>
      <c r="AE431" s="137"/>
      <c r="AF431" s="58" t="str" cm="1">
        <f>IF(ISBLANK($A431),"",INDEX(Array_WaterCharges,MATCH($A431,List_WaterMeters,0),ROUNDUP((COLUMN()+0)/3-1,0)))</f>
        <v/>
      </c>
      <c r="AG431" s="127"/>
      <c r="AH431" s="137"/>
    </row>
    <row r="432" spans="1:34" x14ac:dyDescent="0.3">
      <c r="A432" s="126"/>
      <c r="B432" s="133"/>
      <c r="C432" s="127"/>
      <c r="D432" s="137"/>
      <c r="E432" s="58" t="str" cm="1">
        <f>IF(ISBLANK($A432),"",INDEX(Array_WaterCharges,MATCH($A432,List_WaterMeters,0),ROUNDUP((COLUMN()+0)/3-1,0)))</f>
        <v/>
      </c>
      <c r="F432" s="127"/>
      <c r="G432" s="137"/>
      <c r="H432" s="58" t="str" cm="1">
        <f>IF(ISBLANK($A432),"",INDEX(Array_WaterCharges,MATCH($A432,List_WaterMeters,0),ROUNDUP((COLUMN()+0)/3-1,0)))</f>
        <v/>
      </c>
      <c r="I432" s="127"/>
      <c r="J432" s="137"/>
      <c r="K432" s="58" t="str" cm="1">
        <f>IF(ISBLANK($A432),"",INDEX(Array_WaterCharges,MATCH($A432,List_WaterMeters,0),ROUNDUP((COLUMN()+0)/3-1,0)))</f>
        <v/>
      </c>
      <c r="L432" s="127"/>
      <c r="M432" s="137"/>
      <c r="N432" s="58" t="str" cm="1">
        <f>IF(ISBLANK($A432),"",INDEX(Array_WaterCharges,MATCH($A432,List_WaterMeters,0),ROUNDUP((COLUMN()+0)/3-1,0)))</f>
        <v/>
      </c>
      <c r="O432" s="127"/>
      <c r="P432" s="137"/>
      <c r="Q432" s="58" t="str" cm="1">
        <f>IF(ISBLANK($A432),"",INDEX(Array_WaterCharges,MATCH($A432,List_WaterMeters,0),ROUNDUP((COLUMN()+0)/3-1,0)))</f>
        <v/>
      </c>
      <c r="R432" s="127"/>
      <c r="S432" s="137"/>
      <c r="T432" s="58" t="str" cm="1">
        <f>IF(ISBLANK($A432),"",INDEX(Array_WaterCharges,MATCH($A432,List_WaterMeters,0),ROUNDUP((COLUMN()+0)/3-1,0)))</f>
        <v/>
      </c>
      <c r="U432" s="127"/>
      <c r="V432" s="137"/>
      <c r="W432" s="58" t="str" cm="1">
        <f>IF(ISBLANK($A432),"",INDEX(Array_WaterCharges,MATCH($A432,List_WaterMeters,0),ROUNDUP((COLUMN()+0)/3-1,0)))</f>
        <v/>
      </c>
      <c r="X432" s="127"/>
      <c r="Y432" s="137"/>
      <c r="Z432" s="58" t="str" cm="1">
        <f>IF(ISBLANK($A432),"",INDEX(Array_WaterCharges,MATCH($A432,List_WaterMeters,0),ROUNDUP((COLUMN()+0)/3-1,0)))</f>
        <v/>
      </c>
      <c r="AA432" s="127"/>
      <c r="AB432" s="137"/>
      <c r="AC432" s="58" t="str" cm="1">
        <f>IF(ISBLANK($A432),"",INDEX(Array_WaterCharges,MATCH($A432,List_WaterMeters,0),ROUNDUP((COLUMN()+0)/3-1,0)))</f>
        <v/>
      </c>
      <c r="AD432" s="127"/>
      <c r="AE432" s="137"/>
      <c r="AF432" s="58" t="str" cm="1">
        <f>IF(ISBLANK($A432),"",INDEX(Array_WaterCharges,MATCH($A432,List_WaterMeters,0),ROUNDUP((COLUMN()+0)/3-1,0)))</f>
        <v/>
      </c>
      <c r="AG432" s="127"/>
      <c r="AH432" s="137"/>
    </row>
    <row r="433" spans="1:34" x14ac:dyDescent="0.3">
      <c r="A433" s="126"/>
      <c r="B433" s="133"/>
      <c r="C433" s="127"/>
      <c r="D433" s="137"/>
      <c r="E433" s="58" t="str" cm="1">
        <f>IF(ISBLANK($A433),"",INDEX(Array_WaterCharges,MATCH($A433,List_WaterMeters,0),ROUNDUP((COLUMN()+0)/3-1,0)))</f>
        <v/>
      </c>
      <c r="F433" s="127"/>
      <c r="G433" s="137"/>
      <c r="H433" s="58" t="str" cm="1">
        <f>IF(ISBLANK($A433),"",INDEX(Array_WaterCharges,MATCH($A433,List_WaterMeters,0),ROUNDUP((COLUMN()+0)/3-1,0)))</f>
        <v/>
      </c>
      <c r="I433" s="127"/>
      <c r="J433" s="137"/>
      <c r="K433" s="58" t="str" cm="1">
        <f>IF(ISBLANK($A433),"",INDEX(Array_WaterCharges,MATCH($A433,List_WaterMeters,0),ROUNDUP((COLUMN()+0)/3-1,0)))</f>
        <v/>
      </c>
      <c r="L433" s="127"/>
      <c r="M433" s="137"/>
      <c r="N433" s="58" t="str" cm="1">
        <f>IF(ISBLANK($A433),"",INDEX(Array_WaterCharges,MATCH($A433,List_WaterMeters,0),ROUNDUP((COLUMN()+0)/3-1,0)))</f>
        <v/>
      </c>
      <c r="O433" s="127"/>
      <c r="P433" s="137"/>
      <c r="Q433" s="58" t="str" cm="1">
        <f>IF(ISBLANK($A433),"",INDEX(Array_WaterCharges,MATCH($A433,List_WaterMeters,0),ROUNDUP((COLUMN()+0)/3-1,0)))</f>
        <v/>
      </c>
      <c r="R433" s="127"/>
      <c r="S433" s="137"/>
      <c r="T433" s="58" t="str" cm="1">
        <f>IF(ISBLANK($A433),"",INDEX(Array_WaterCharges,MATCH($A433,List_WaterMeters,0),ROUNDUP((COLUMN()+0)/3-1,0)))</f>
        <v/>
      </c>
      <c r="U433" s="127"/>
      <c r="V433" s="137"/>
      <c r="W433" s="58" t="str" cm="1">
        <f>IF(ISBLANK($A433),"",INDEX(Array_WaterCharges,MATCH($A433,List_WaterMeters,0),ROUNDUP((COLUMN()+0)/3-1,0)))</f>
        <v/>
      </c>
      <c r="X433" s="127"/>
      <c r="Y433" s="137"/>
      <c r="Z433" s="58" t="str" cm="1">
        <f>IF(ISBLANK($A433),"",INDEX(Array_WaterCharges,MATCH($A433,List_WaterMeters,0),ROUNDUP((COLUMN()+0)/3-1,0)))</f>
        <v/>
      </c>
      <c r="AA433" s="127"/>
      <c r="AB433" s="137"/>
      <c r="AC433" s="58" t="str" cm="1">
        <f>IF(ISBLANK($A433),"",INDEX(Array_WaterCharges,MATCH($A433,List_WaterMeters,0),ROUNDUP((COLUMN()+0)/3-1,0)))</f>
        <v/>
      </c>
      <c r="AD433" s="127"/>
      <c r="AE433" s="137"/>
      <c r="AF433" s="58" t="str" cm="1">
        <f>IF(ISBLANK($A433),"",INDEX(Array_WaterCharges,MATCH($A433,List_WaterMeters,0),ROUNDUP((COLUMN()+0)/3-1,0)))</f>
        <v/>
      </c>
      <c r="AG433" s="127"/>
      <c r="AH433" s="137"/>
    </row>
    <row r="434" spans="1:34" x14ac:dyDescent="0.3">
      <c r="A434" s="126"/>
      <c r="B434" s="133"/>
      <c r="C434" s="127"/>
      <c r="D434" s="137"/>
      <c r="E434" s="58" t="str" cm="1">
        <f>IF(ISBLANK($A434),"",INDEX(Array_WaterCharges,MATCH($A434,List_WaterMeters,0),ROUNDUP((COLUMN()+0)/3-1,0)))</f>
        <v/>
      </c>
      <c r="F434" s="127"/>
      <c r="G434" s="137"/>
      <c r="H434" s="58" t="str" cm="1">
        <f>IF(ISBLANK($A434),"",INDEX(Array_WaterCharges,MATCH($A434,List_WaterMeters,0),ROUNDUP((COLUMN()+0)/3-1,0)))</f>
        <v/>
      </c>
      <c r="I434" s="127"/>
      <c r="J434" s="137"/>
      <c r="K434" s="58" t="str" cm="1">
        <f>IF(ISBLANK($A434),"",INDEX(Array_WaterCharges,MATCH($A434,List_WaterMeters,0),ROUNDUP((COLUMN()+0)/3-1,0)))</f>
        <v/>
      </c>
      <c r="L434" s="127"/>
      <c r="M434" s="137"/>
      <c r="N434" s="58" t="str" cm="1">
        <f>IF(ISBLANK($A434),"",INDEX(Array_WaterCharges,MATCH($A434,List_WaterMeters,0),ROUNDUP((COLUMN()+0)/3-1,0)))</f>
        <v/>
      </c>
      <c r="O434" s="127"/>
      <c r="P434" s="137"/>
      <c r="Q434" s="58" t="str" cm="1">
        <f>IF(ISBLANK($A434),"",INDEX(Array_WaterCharges,MATCH($A434,List_WaterMeters,0),ROUNDUP((COLUMN()+0)/3-1,0)))</f>
        <v/>
      </c>
      <c r="R434" s="127"/>
      <c r="S434" s="137"/>
      <c r="T434" s="58" t="str" cm="1">
        <f>IF(ISBLANK($A434),"",INDEX(Array_WaterCharges,MATCH($A434,List_WaterMeters,0),ROUNDUP((COLUMN()+0)/3-1,0)))</f>
        <v/>
      </c>
      <c r="U434" s="127"/>
      <c r="V434" s="137"/>
      <c r="W434" s="58" t="str" cm="1">
        <f>IF(ISBLANK($A434),"",INDEX(Array_WaterCharges,MATCH($A434,List_WaterMeters,0),ROUNDUP((COLUMN()+0)/3-1,0)))</f>
        <v/>
      </c>
      <c r="X434" s="127"/>
      <c r="Y434" s="137"/>
      <c r="Z434" s="58" t="str" cm="1">
        <f>IF(ISBLANK($A434),"",INDEX(Array_WaterCharges,MATCH($A434,List_WaterMeters,0),ROUNDUP((COLUMN()+0)/3-1,0)))</f>
        <v/>
      </c>
      <c r="AA434" s="127"/>
      <c r="AB434" s="137"/>
      <c r="AC434" s="58" t="str" cm="1">
        <f>IF(ISBLANK($A434),"",INDEX(Array_WaterCharges,MATCH($A434,List_WaterMeters,0),ROUNDUP((COLUMN()+0)/3-1,0)))</f>
        <v/>
      </c>
      <c r="AD434" s="127"/>
      <c r="AE434" s="137"/>
      <c r="AF434" s="58" t="str" cm="1">
        <f>IF(ISBLANK($A434),"",INDEX(Array_WaterCharges,MATCH($A434,List_WaterMeters,0),ROUNDUP((COLUMN()+0)/3-1,0)))</f>
        <v/>
      </c>
      <c r="AG434" s="127"/>
      <c r="AH434" s="137"/>
    </row>
    <row r="435" spans="1:34" x14ac:dyDescent="0.3">
      <c r="A435" s="126"/>
      <c r="B435" s="133"/>
      <c r="C435" s="127"/>
      <c r="D435" s="137"/>
      <c r="E435" s="58" t="str" cm="1">
        <f>IF(ISBLANK($A435),"",INDEX(Array_WaterCharges,MATCH($A435,List_WaterMeters,0),ROUNDUP((COLUMN()+0)/3-1,0)))</f>
        <v/>
      </c>
      <c r="F435" s="127"/>
      <c r="G435" s="137"/>
      <c r="H435" s="58" t="str" cm="1">
        <f>IF(ISBLANK($A435),"",INDEX(Array_WaterCharges,MATCH($A435,List_WaterMeters,0),ROUNDUP((COLUMN()+0)/3-1,0)))</f>
        <v/>
      </c>
      <c r="I435" s="127"/>
      <c r="J435" s="137"/>
      <c r="K435" s="58" t="str" cm="1">
        <f>IF(ISBLANK($A435),"",INDEX(Array_WaterCharges,MATCH($A435,List_WaterMeters,0),ROUNDUP((COLUMN()+0)/3-1,0)))</f>
        <v/>
      </c>
      <c r="L435" s="127"/>
      <c r="M435" s="137"/>
      <c r="N435" s="58" t="str" cm="1">
        <f>IF(ISBLANK($A435),"",INDEX(Array_WaterCharges,MATCH($A435,List_WaterMeters,0),ROUNDUP((COLUMN()+0)/3-1,0)))</f>
        <v/>
      </c>
      <c r="O435" s="127"/>
      <c r="P435" s="137"/>
      <c r="Q435" s="58" t="str" cm="1">
        <f>IF(ISBLANK($A435),"",INDEX(Array_WaterCharges,MATCH($A435,List_WaterMeters,0),ROUNDUP((COLUMN()+0)/3-1,0)))</f>
        <v/>
      </c>
      <c r="R435" s="127"/>
      <c r="S435" s="137"/>
      <c r="T435" s="58" t="str" cm="1">
        <f>IF(ISBLANK($A435),"",INDEX(Array_WaterCharges,MATCH($A435,List_WaterMeters,0),ROUNDUP((COLUMN()+0)/3-1,0)))</f>
        <v/>
      </c>
      <c r="U435" s="127"/>
      <c r="V435" s="137"/>
      <c r="W435" s="58" t="str" cm="1">
        <f>IF(ISBLANK($A435),"",INDEX(Array_WaterCharges,MATCH($A435,List_WaterMeters,0),ROUNDUP((COLUMN()+0)/3-1,0)))</f>
        <v/>
      </c>
      <c r="X435" s="127"/>
      <c r="Y435" s="137"/>
      <c r="Z435" s="58" t="str" cm="1">
        <f>IF(ISBLANK($A435),"",INDEX(Array_WaterCharges,MATCH($A435,List_WaterMeters,0),ROUNDUP((COLUMN()+0)/3-1,0)))</f>
        <v/>
      </c>
      <c r="AA435" s="127"/>
      <c r="AB435" s="137"/>
      <c r="AC435" s="58" t="str" cm="1">
        <f>IF(ISBLANK($A435),"",INDEX(Array_WaterCharges,MATCH($A435,List_WaterMeters,0),ROUNDUP((COLUMN()+0)/3-1,0)))</f>
        <v/>
      </c>
      <c r="AD435" s="127"/>
      <c r="AE435" s="137"/>
      <c r="AF435" s="58" t="str" cm="1">
        <f>IF(ISBLANK($A435),"",INDEX(Array_WaterCharges,MATCH($A435,List_WaterMeters,0),ROUNDUP((COLUMN()+0)/3-1,0)))</f>
        <v/>
      </c>
      <c r="AG435" s="127"/>
      <c r="AH435" s="137"/>
    </row>
    <row r="436" spans="1:34" x14ac:dyDescent="0.3">
      <c r="A436" s="126"/>
      <c r="B436" s="133"/>
      <c r="C436" s="127"/>
      <c r="D436" s="137"/>
      <c r="E436" s="58" t="str" cm="1">
        <f>IF(ISBLANK($A436),"",INDEX(Array_WaterCharges,MATCH($A436,List_WaterMeters,0),ROUNDUP((COLUMN()+0)/3-1,0)))</f>
        <v/>
      </c>
      <c r="F436" s="127"/>
      <c r="G436" s="137"/>
      <c r="H436" s="58" t="str" cm="1">
        <f>IF(ISBLANK($A436),"",INDEX(Array_WaterCharges,MATCH($A436,List_WaterMeters,0),ROUNDUP((COLUMN()+0)/3-1,0)))</f>
        <v/>
      </c>
      <c r="I436" s="127"/>
      <c r="J436" s="137"/>
      <c r="K436" s="58" t="str" cm="1">
        <f>IF(ISBLANK($A436),"",INDEX(Array_WaterCharges,MATCH($A436,List_WaterMeters,0),ROUNDUP((COLUMN()+0)/3-1,0)))</f>
        <v/>
      </c>
      <c r="L436" s="127"/>
      <c r="M436" s="137"/>
      <c r="N436" s="58" t="str" cm="1">
        <f>IF(ISBLANK($A436),"",INDEX(Array_WaterCharges,MATCH($A436,List_WaterMeters,0),ROUNDUP((COLUMN()+0)/3-1,0)))</f>
        <v/>
      </c>
      <c r="O436" s="127"/>
      <c r="P436" s="137"/>
      <c r="Q436" s="58" t="str" cm="1">
        <f>IF(ISBLANK($A436),"",INDEX(Array_WaterCharges,MATCH($A436,List_WaterMeters,0),ROUNDUP((COLUMN()+0)/3-1,0)))</f>
        <v/>
      </c>
      <c r="R436" s="127"/>
      <c r="S436" s="137"/>
      <c r="T436" s="58" t="str" cm="1">
        <f>IF(ISBLANK($A436),"",INDEX(Array_WaterCharges,MATCH($A436,List_WaterMeters,0),ROUNDUP((COLUMN()+0)/3-1,0)))</f>
        <v/>
      </c>
      <c r="U436" s="127"/>
      <c r="V436" s="137"/>
      <c r="W436" s="58" t="str" cm="1">
        <f>IF(ISBLANK($A436),"",INDEX(Array_WaterCharges,MATCH($A436,List_WaterMeters,0),ROUNDUP((COLUMN()+0)/3-1,0)))</f>
        <v/>
      </c>
      <c r="X436" s="127"/>
      <c r="Y436" s="137"/>
      <c r="Z436" s="58" t="str" cm="1">
        <f>IF(ISBLANK($A436),"",INDEX(Array_WaterCharges,MATCH($A436,List_WaterMeters,0),ROUNDUP((COLUMN()+0)/3-1,0)))</f>
        <v/>
      </c>
      <c r="AA436" s="127"/>
      <c r="AB436" s="137"/>
      <c r="AC436" s="58" t="str" cm="1">
        <f>IF(ISBLANK($A436),"",INDEX(Array_WaterCharges,MATCH($A436,List_WaterMeters,0),ROUNDUP((COLUMN()+0)/3-1,0)))</f>
        <v/>
      </c>
      <c r="AD436" s="127"/>
      <c r="AE436" s="137"/>
      <c r="AF436" s="58" t="str" cm="1">
        <f>IF(ISBLANK($A436),"",INDEX(Array_WaterCharges,MATCH($A436,List_WaterMeters,0),ROUNDUP((COLUMN()+0)/3-1,0)))</f>
        <v/>
      </c>
      <c r="AG436" s="127"/>
      <c r="AH436" s="137"/>
    </row>
    <row r="437" spans="1:34" x14ac:dyDescent="0.3">
      <c r="A437" s="126"/>
      <c r="B437" s="133"/>
      <c r="C437" s="127"/>
      <c r="D437" s="137"/>
      <c r="E437" s="58" t="str" cm="1">
        <f>IF(ISBLANK($A437),"",INDEX(Array_WaterCharges,MATCH($A437,List_WaterMeters,0),ROUNDUP((COLUMN()+0)/3-1,0)))</f>
        <v/>
      </c>
      <c r="F437" s="127"/>
      <c r="G437" s="137"/>
      <c r="H437" s="58" t="str" cm="1">
        <f>IF(ISBLANK($A437),"",INDEX(Array_WaterCharges,MATCH($A437,List_WaterMeters,0),ROUNDUP((COLUMN()+0)/3-1,0)))</f>
        <v/>
      </c>
      <c r="I437" s="127"/>
      <c r="J437" s="137"/>
      <c r="K437" s="58" t="str" cm="1">
        <f>IF(ISBLANK($A437),"",INDEX(Array_WaterCharges,MATCH($A437,List_WaterMeters,0),ROUNDUP((COLUMN()+0)/3-1,0)))</f>
        <v/>
      </c>
      <c r="L437" s="127"/>
      <c r="M437" s="137"/>
      <c r="N437" s="58" t="str" cm="1">
        <f>IF(ISBLANK($A437),"",INDEX(Array_WaterCharges,MATCH($A437,List_WaterMeters,0),ROUNDUP((COLUMN()+0)/3-1,0)))</f>
        <v/>
      </c>
      <c r="O437" s="127"/>
      <c r="P437" s="137"/>
      <c r="Q437" s="58" t="str" cm="1">
        <f>IF(ISBLANK($A437),"",INDEX(Array_WaterCharges,MATCH($A437,List_WaterMeters,0),ROUNDUP((COLUMN()+0)/3-1,0)))</f>
        <v/>
      </c>
      <c r="R437" s="127"/>
      <c r="S437" s="137"/>
      <c r="T437" s="58" t="str" cm="1">
        <f>IF(ISBLANK($A437),"",INDEX(Array_WaterCharges,MATCH($A437,List_WaterMeters,0),ROUNDUP((COLUMN()+0)/3-1,0)))</f>
        <v/>
      </c>
      <c r="U437" s="127"/>
      <c r="V437" s="137"/>
      <c r="W437" s="58" t="str" cm="1">
        <f>IF(ISBLANK($A437),"",INDEX(Array_WaterCharges,MATCH($A437,List_WaterMeters,0),ROUNDUP((COLUMN()+0)/3-1,0)))</f>
        <v/>
      </c>
      <c r="X437" s="127"/>
      <c r="Y437" s="137"/>
      <c r="Z437" s="58" t="str" cm="1">
        <f>IF(ISBLANK($A437),"",INDEX(Array_WaterCharges,MATCH($A437,List_WaterMeters,0),ROUNDUP((COLUMN()+0)/3-1,0)))</f>
        <v/>
      </c>
      <c r="AA437" s="127"/>
      <c r="AB437" s="137"/>
      <c r="AC437" s="58" t="str" cm="1">
        <f>IF(ISBLANK($A437),"",INDEX(Array_WaterCharges,MATCH($A437,List_WaterMeters,0),ROUNDUP((COLUMN()+0)/3-1,0)))</f>
        <v/>
      </c>
      <c r="AD437" s="127"/>
      <c r="AE437" s="137"/>
      <c r="AF437" s="58" t="str" cm="1">
        <f>IF(ISBLANK($A437),"",INDEX(Array_WaterCharges,MATCH($A437,List_WaterMeters,0),ROUNDUP((COLUMN()+0)/3-1,0)))</f>
        <v/>
      </c>
      <c r="AG437" s="127"/>
      <c r="AH437" s="137"/>
    </row>
    <row r="438" spans="1:34" x14ac:dyDescent="0.3">
      <c r="A438" s="126"/>
      <c r="B438" s="133"/>
      <c r="C438" s="127"/>
      <c r="D438" s="137"/>
      <c r="E438" s="58" t="str" cm="1">
        <f>IF(ISBLANK($A438),"",INDEX(Array_WaterCharges,MATCH($A438,List_WaterMeters,0),ROUNDUP((COLUMN()+0)/3-1,0)))</f>
        <v/>
      </c>
      <c r="F438" s="127"/>
      <c r="G438" s="137"/>
      <c r="H438" s="58" t="str" cm="1">
        <f>IF(ISBLANK($A438),"",INDEX(Array_WaterCharges,MATCH($A438,List_WaterMeters,0),ROUNDUP((COLUMN()+0)/3-1,0)))</f>
        <v/>
      </c>
      <c r="I438" s="127"/>
      <c r="J438" s="137"/>
      <c r="K438" s="58" t="str" cm="1">
        <f>IF(ISBLANK($A438),"",INDEX(Array_WaterCharges,MATCH($A438,List_WaterMeters,0),ROUNDUP((COLUMN()+0)/3-1,0)))</f>
        <v/>
      </c>
      <c r="L438" s="127"/>
      <c r="M438" s="137"/>
      <c r="N438" s="58" t="str" cm="1">
        <f>IF(ISBLANK($A438),"",INDEX(Array_WaterCharges,MATCH($A438,List_WaterMeters,0),ROUNDUP((COLUMN()+0)/3-1,0)))</f>
        <v/>
      </c>
      <c r="O438" s="127"/>
      <c r="P438" s="137"/>
      <c r="Q438" s="58" t="str" cm="1">
        <f>IF(ISBLANK($A438),"",INDEX(Array_WaterCharges,MATCH($A438,List_WaterMeters,0),ROUNDUP((COLUMN()+0)/3-1,0)))</f>
        <v/>
      </c>
      <c r="R438" s="127"/>
      <c r="S438" s="137"/>
      <c r="T438" s="58" t="str" cm="1">
        <f>IF(ISBLANK($A438),"",INDEX(Array_WaterCharges,MATCH($A438,List_WaterMeters,0),ROUNDUP((COLUMN()+0)/3-1,0)))</f>
        <v/>
      </c>
      <c r="U438" s="127"/>
      <c r="V438" s="137"/>
      <c r="W438" s="58" t="str" cm="1">
        <f>IF(ISBLANK($A438),"",INDEX(Array_WaterCharges,MATCH($A438,List_WaterMeters,0),ROUNDUP((COLUMN()+0)/3-1,0)))</f>
        <v/>
      </c>
      <c r="X438" s="127"/>
      <c r="Y438" s="137"/>
      <c r="Z438" s="58" t="str" cm="1">
        <f>IF(ISBLANK($A438),"",INDEX(Array_WaterCharges,MATCH($A438,List_WaterMeters,0),ROUNDUP((COLUMN()+0)/3-1,0)))</f>
        <v/>
      </c>
      <c r="AA438" s="127"/>
      <c r="AB438" s="137"/>
      <c r="AC438" s="58" t="str" cm="1">
        <f>IF(ISBLANK($A438),"",INDEX(Array_WaterCharges,MATCH($A438,List_WaterMeters,0),ROUNDUP((COLUMN()+0)/3-1,0)))</f>
        <v/>
      </c>
      <c r="AD438" s="127"/>
      <c r="AE438" s="137"/>
      <c r="AF438" s="58" t="str" cm="1">
        <f>IF(ISBLANK($A438),"",INDEX(Array_WaterCharges,MATCH($A438,List_WaterMeters,0),ROUNDUP((COLUMN()+0)/3-1,0)))</f>
        <v/>
      </c>
      <c r="AG438" s="127"/>
      <c r="AH438" s="137"/>
    </row>
    <row r="439" spans="1:34" x14ac:dyDescent="0.3">
      <c r="A439" s="126"/>
      <c r="B439" s="133"/>
      <c r="C439" s="127"/>
      <c r="D439" s="137"/>
      <c r="E439" s="58" t="str" cm="1">
        <f>IF(ISBLANK($A439),"",INDEX(Array_WaterCharges,MATCH($A439,List_WaterMeters,0),ROUNDUP((COLUMN()+0)/3-1,0)))</f>
        <v/>
      </c>
      <c r="F439" s="127"/>
      <c r="G439" s="137"/>
      <c r="H439" s="58" t="str" cm="1">
        <f>IF(ISBLANK($A439),"",INDEX(Array_WaterCharges,MATCH($A439,List_WaterMeters,0),ROUNDUP((COLUMN()+0)/3-1,0)))</f>
        <v/>
      </c>
      <c r="I439" s="127"/>
      <c r="J439" s="137"/>
      <c r="K439" s="58" t="str" cm="1">
        <f>IF(ISBLANK($A439),"",INDEX(Array_WaterCharges,MATCH($A439,List_WaterMeters,0),ROUNDUP((COLUMN()+0)/3-1,0)))</f>
        <v/>
      </c>
      <c r="L439" s="127"/>
      <c r="M439" s="137"/>
      <c r="N439" s="58" t="str" cm="1">
        <f>IF(ISBLANK($A439),"",INDEX(Array_WaterCharges,MATCH($A439,List_WaterMeters,0),ROUNDUP((COLUMN()+0)/3-1,0)))</f>
        <v/>
      </c>
      <c r="O439" s="127"/>
      <c r="P439" s="137"/>
      <c r="Q439" s="58" t="str" cm="1">
        <f>IF(ISBLANK($A439),"",INDEX(Array_WaterCharges,MATCH($A439,List_WaterMeters,0),ROUNDUP((COLUMN()+0)/3-1,0)))</f>
        <v/>
      </c>
      <c r="R439" s="127"/>
      <c r="S439" s="137"/>
      <c r="T439" s="58" t="str" cm="1">
        <f>IF(ISBLANK($A439),"",INDEX(Array_WaterCharges,MATCH($A439,List_WaterMeters,0),ROUNDUP((COLUMN()+0)/3-1,0)))</f>
        <v/>
      </c>
      <c r="U439" s="127"/>
      <c r="V439" s="137"/>
      <c r="W439" s="58" t="str" cm="1">
        <f>IF(ISBLANK($A439),"",INDEX(Array_WaterCharges,MATCH($A439,List_WaterMeters,0),ROUNDUP((COLUMN()+0)/3-1,0)))</f>
        <v/>
      </c>
      <c r="X439" s="127"/>
      <c r="Y439" s="137"/>
      <c r="Z439" s="58" t="str" cm="1">
        <f>IF(ISBLANK($A439),"",INDEX(Array_WaterCharges,MATCH($A439,List_WaterMeters,0),ROUNDUP((COLUMN()+0)/3-1,0)))</f>
        <v/>
      </c>
      <c r="AA439" s="127"/>
      <c r="AB439" s="137"/>
      <c r="AC439" s="58" t="str" cm="1">
        <f>IF(ISBLANK($A439),"",INDEX(Array_WaterCharges,MATCH($A439,List_WaterMeters,0),ROUNDUP((COLUMN()+0)/3-1,0)))</f>
        <v/>
      </c>
      <c r="AD439" s="127"/>
      <c r="AE439" s="137"/>
      <c r="AF439" s="58" t="str" cm="1">
        <f>IF(ISBLANK($A439),"",INDEX(Array_WaterCharges,MATCH($A439,List_WaterMeters,0),ROUNDUP((COLUMN()+0)/3-1,0)))</f>
        <v/>
      </c>
      <c r="AG439" s="127"/>
      <c r="AH439" s="137"/>
    </row>
    <row r="440" spans="1:34" x14ac:dyDescent="0.3">
      <c r="A440" s="126"/>
      <c r="B440" s="133"/>
      <c r="C440" s="127"/>
      <c r="D440" s="137"/>
      <c r="E440" s="58" t="str" cm="1">
        <f>IF(ISBLANK($A440),"",INDEX(Array_WaterCharges,MATCH($A440,List_WaterMeters,0),ROUNDUP((COLUMN()+0)/3-1,0)))</f>
        <v/>
      </c>
      <c r="F440" s="127"/>
      <c r="G440" s="137"/>
      <c r="H440" s="58" t="str" cm="1">
        <f>IF(ISBLANK($A440),"",INDEX(Array_WaterCharges,MATCH($A440,List_WaterMeters,0),ROUNDUP((COLUMN()+0)/3-1,0)))</f>
        <v/>
      </c>
      <c r="I440" s="127"/>
      <c r="J440" s="137"/>
      <c r="K440" s="58" t="str" cm="1">
        <f>IF(ISBLANK($A440),"",INDEX(Array_WaterCharges,MATCH($A440,List_WaterMeters,0),ROUNDUP((COLUMN()+0)/3-1,0)))</f>
        <v/>
      </c>
      <c r="L440" s="127"/>
      <c r="M440" s="137"/>
      <c r="N440" s="58" t="str" cm="1">
        <f>IF(ISBLANK($A440),"",INDEX(Array_WaterCharges,MATCH($A440,List_WaterMeters,0),ROUNDUP((COLUMN()+0)/3-1,0)))</f>
        <v/>
      </c>
      <c r="O440" s="127"/>
      <c r="P440" s="137"/>
      <c r="Q440" s="58" t="str" cm="1">
        <f>IF(ISBLANK($A440),"",INDEX(Array_WaterCharges,MATCH($A440,List_WaterMeters,0),ROUNDUP((COLUMN()+0)/3-1,0)))</f>
        <v/>
      </c>
      <c r="R440" s="127"/>
      <c r="S440" s="137"/>
      <c r="T440" s="58" t="str" cm="1">
        <f>IF(ISBLANK($A440),"",INDEX(Array_WaterCharges,MATCH($A440,List_WaterMeters,0),ROUNDUP((COLUMN()+0)/3-1,0)))</f>
        <v/>
      </c>
      <c r="U440" s="127"/>
      <c r="V440" s="137"/>
      <c r="W440" s="58" t="str" cm="1">
        <f>IF(ISBLANK($A440),"",INDEX(Array_WaterCharges,MATCH($A440,List_WaterMeters,0),ROUNDUP((COLUMN()+0)/3-1,0)))</f>
        <v/>
      </c>
      <c r="X440" s="127"/>
      <c r="Y440" s="137"/>
      <c r="Z440" s="58" t="str" cm="1">
        <f>IF(ISBLANK($A440),"",INDEX(Array_WaterCharges,MATCH($A440,List_WaterMeters,0),ROUNDUP((COLUMN()+0)/3-1,0)))</f>
        <v/>
      </c>
      <c r="AA440" s="127"/>
      <c r="AB440" s="137"/>
      <c r="AC440" s="58" t="str" cm="1">
        <f>IF(ISBLANK($A440),"",INDEX(Array_WaterCharges,MATCH($A440,List_WaterMeters,0),ROUNDUP((COLUMN()+0)/3-1,0)))</f>
        <v/>
      </c>
      <c r="AD440" s="127"/>
      <c r="AE440" s="137"/>
      <c r="AF440" s="58" t="str" cm="1">
        <f>IF(ISBLANK($A440),"",INDEX(Array_WaterCharges,MATCH($A440,List_WaterMeters,0),ROUNDUP((COLUMN()+0)/3-1,0)))</f>
        <v/>
      </c>
      <c r="AG440" s="127"/>
      <c r="AH440" s="137"/>
    </row>
    <row r="441" spans="1:34" x14ac:dyDescent="0.3">
      <c r="A441" s="126"/>
      <c r="B441" s="133"/>
      <c r="C441" s="127"/>
      <c r="D441" s="137"/>
      <c r="E441" s="58" t="str" cm="1">
        <f>IF(ISBLANK($A441),"",INDEX(Array_WaterCharges,MATCH($A441,List_WaterMeters,0),ROUNDUP((COLUMN()+0)/3-1,0)))</f>
        <v/>
      </c>
      <c r="F441" s="127"/>
      <c r="G441" s="137"/>
      <c r="H441" s="58" t="str" cm="1">
        <f>IF(ISBLANK($A441),"",INDEX(Array_WaterCharges,MATCH($A441,List_WaterMeters,0),ROUNDUP((COLUMN()+0)/3-1,0)))</f>
        <v/>
      </c>
      <c r="I441" s="127"/>
      <c r="J441" s="137"/>
      <c r="K441" s="58" t="str" cm="1">
        <f>IF(ISBLANK($A441),"",INDEX(Array_WaterCharges,MATCH($A441,List_WaterMeters,0),ROUNDUP((COLUMN()+0)/3-1,0)))</f>
        <v/>
      </c>
      <c r="L441" s="127"/>
      <c r="M441" s="137"/>
      <c r="N441" s="58" t="str" cm="1">
        <f>IF(ISBLANK($A441),"",INDEX(Array_WaterCharges,MATCH($A441,List_WaterMeters,0),ROUNDUP((COLUMN()+0)/3-1,0)))</f>
        <v/>
      </c>
      <c r="O441" s="127"/>
      <c r="P441" s="137"/>
      <c r="Q441" s="58" t="str" cm="1">
        <f>IF(ISBLANK($A441),"",INDEX(Array_WaterCharges,MATCH($A441,List_WaterMeters,0),ROUNDUP((COLUMN()+0)/3-1,0)))</f>
        <v/>
      </c>
      <c r="R441" s="127"/>
      <c r="S441" s="137"/>
      <c r="T441" s="58" t="str" cm="1">
        <f>IF(ISBLANK($A441),"",INDEX(Array_WaterCharges,MATCH($A441,List_WaterMeters,0),ROUNDUP((COLUMN()+0)/3-1,0)))</f>
        <v/>
      </c>
      <c r="U441" s="127"/>
      <c r="V441" s="137"/>
      <c r="W441" s="58" t="str" cm="1">
        <f>IF(ISBLANK($A441),"",INDEX(Array_WaterCharges,MATCH($A441,List_WaterMeters,0),ROUNDUP((COLUMN()+0)/3-1,0)))</f>
        <v/>
      </c>
      <c r="X441" s="127"/>
      <c r="Y441" s="137"/>
      <c r="Z441" s="58" t="str" cm="1">
        <f>IF(ISBLANK($A441),"",INDEX(Array_WaterCharges,MATCH($A441,List_WaterMeters,0),ROUNDUP((COLUMN()+0)/3-1,0)))</f>
        <v/>
      </c>
      <c r="AA441" s="127"/>
      <c r="AB441" s="137"/>
      <c r="AC441" s="58" t="str" cm="1">
        <f>IF(ISBLANK($A441),"",INDEX(Array_WaterCharges,MATCH($A441,List_WaterMeters,0),ROUNDUP((COLUMN()+0)/3-1,0)))</f>
        <v/>
      </c>
      <c r="AD441" s="127"/>
      <c r="AE441" s="137"/>
      <c r="AF441" s="58" t="str" cm="1">
        <f>IF(ISBLANK($A441),"",INDEX(Array_WaterCharges,MATCH($A441,List_WaterMeters,0),ROUNDUP((COLUMN()+0)/3-1,0)))</f>
        <v/>
      </c>
      <c r="AG441" s="127"/>
      <c r="AH441" s="137"/>
    </row>
    <row r="442" spans="1:34" x14ac:dyDescent="0.3">
      <c r="A442" s="126"/>
      <c r="B442" s="133"/>
      <c r="C442" s="127"/>
      <c r="D442" s="137"/>
      <c r="E442" s="58" t="str" cm="1">
        <f>IF(ISBLANK($A442),"",INDEX(Array_WaterCharges,MATCH($A442,List_WaterMeters,0),ROUNDUP((COLUMN()+0)/3-1,0)))</f>
        <v/>
      </c>
      <c r="F442" s="127"/>
      <c r="G442" s="137"/>
      <c r="H442" s="58" t="str" cm="1">
        <f>IF(ISBLANK($A442),"",INDEX(Array_WaterCharges,MATCH($A442,List_WaterMeters,0),ROUNDUP((COLUMN()+0)/3-1,0)))</f>
        <v/>
      </c>
      <c r="I442" s="127"/>
      <c r="J442" s="137"/>
      <c r="K442" s="58" t="str" cm="1">
        <f>IF(ISBLANK($A442),"",INDEX(Array_WaterCharges,MATCH($A442,List_WaterMeters,0),ROUNDUP((COLUMN()+0)/3-1,0)))</f>
        <v/>
      </c>
      <c r="L442" s="127"/>
      <c r="M442" s="137"/>
      <c r="N442" s="58" t="str" cm="1">
        <f>IF(ISBLANK($A442),"",INDEX(Array_WaterCharges,MATCH($A442,List_WaterMeters,0),ROUNDUP((COLUMN()+0)/3-1,0)))</f>
        <v/>
      </c>
      <c r="O442" s="127"/>
      <c r="P442" s="137"/>
      <c r="Q442" s="58" t="str" cm="1">
        <f>IF(ISBLANK($A442),"",INDEX(Array_WaterCharges,MATCH($A442,List_WaterMeters,0),ROUNDUP((COLUMN()+0)/3-1,0)))</f>
        <v/>
      </c>
      <c r="R442" s="127"/>
      <c r="S442" s="137"/>
      <c r="T442" s="58" t="str" cm="1">
        <f>IF(ISBLANK($A442),"",INDEX(Array_WaterCharges,MATCH($A442,List_WaterMeters,0),ROUNDUP((COLUMN()+0)/3-1,0)))</f>
        <v/>
      </c>
      <c r="U442" s="127"/>
      <c r="V442" s="137"/>
      <c r="W442" s="58" t="str" cm="1">
        <f>IF(ISBLANK($A442),"",INDEX(Array_WaterCharges,MATCH($A442,List_WaterMeters,0),ROUNDUP((COLUMN()+0)/3-1,0)))</f>
        <v/>
      </c>
      <c r="X442" s="127"/>
      <c r="Y442" s="137"/>
      <c r="Z442" s="58" t="str" cm="1">
        <f>IF(ISBLANK($A442),"",INDEX(Array_WaterCharges,MATCH($A442,List_WaterMeters,0),ROUNDUP((COLUMN()+0)/3-1,0)))</f>
        <v/>
      </c>
      <c r="AA442" s="127"/>
      <c r="AB442" s="137"/>
      <c r="AC442" s="58" t="str" cm="1">
        <f>IF(ISBLANK($A442),"",INDEX(Array_WaterCharges,MATCH($A442,List_WaterMeters,0),ROUNDUP((COLUMN()+0)/3-1,0)))</f>
        <v/>
      </c>
      <c r="AD442" s="127"/>
      <c r="AE442" s="137"/>
      <c r="AF442" s="58" t="str" cm="1">
        <f>IF(ISBLANK($A442),"",INDEX(Array_WaterCharges,MATCH($A442,List_WaterMeters,0),ROUNDUP((COLUMN()+0)/3-1,0)))</f>
        <v/>
      </c>
      <c r="AG442" s="127"/>
      <c r="AH442" s="137"/>
    </row>
    <row r="443" spans="1:34" x14ac:dyDescent="0.3">
      <c r="A443" s="126"/>
      <c r="B443" s="133"/>
      <c r="C443" s="127"/>
      <c r="D443" s="137"/>
      <c r="E443" s="58" t="str" cm="1">
        <f>IF(ISBLANK($A443),"",INDEX(Array_WaterCharges,MATCH($A443,List_WaterMeters,0),ROUNDUP((COLUMN()+0)/3-1,0)))</f>
        <v/>
      </c>
      <c r="F443" s="127"/>
      <c r="G443" s="137"/>
      <c r="H443" s="58" t="str" cm="1">
        <f>IF(ISBLANK($A443),"",INDEX(Array_WaterCharges,MATCH($A443,List_WaterMeters,0),ROUNDUP((COLUMN()+0)/3-1,0)))</f>
        <v/>
      </c>
      <c r="I443" s="127"/>
      <c r="J443" s="137"/>
      <c r="K443" s="58" t="str" cm="1">
        <f>IF(ISBLANK($A443),"",INDEX(Array_WaterCharges,MATCH($A443,List_WaterMeters,0),ROUNDUP((COLUMN()+0)/3-1,0)))</f>
        <v/>
      </c>
      <c r="L443" s="127"/>
      <c r="M443" s="137"/>
      <c r="N443" s="58" t="str" cm="1">
        <f>IF(ISBLANK($A443),"",INDEX(Array_WaterCharges,MATCH($A443,List_WaterMeters,0),ROUNDUP((COLUMN()+0)/3-1,0)))</f>
        <v/>
      </c>
      <c r="O443" s="127"/>
      <c r="P443" s="137"/>
      <c r="Q443" s="58" t="str" cm="1">
        <f>IF(ISBLANK($A443),"",INDEX(Array_WaterCharges,MATCH($A443,List_WaterMeters,0),ROUNDUP((COLUMN()+0)/3-1,0)))</f>
        <v/>
      </c>
      <c r="R443" s="127"/>
      <c r="S443" s="137"/>
      <c r="T443" s="58" t="str" cm="1">
        <f>IF(ISBLANK($A443),"",INDEX(Array_WaterCharges,MATCH($A443,List_WaterMeters,0),ROUNDUP((COLUMN()+0)/3-1,0)))</f>
        <v/>
      </c>
      <c r="U443" s="127"/>
      <c r="V443" s="137"/>
      <c r="W443" s="58" t="str" cm="1">
        <f>IF(ISBLANK($A443),"",INDEX(Array_WaterCharges,MATCH($A443,List_WaterMeters,0),ROUNDUP((COLUMN()+0)/3-1,0)))</f>
        <v/>
      </c>
      <c r="X443" s="127"/>
      <c r="Y443" s="137"/>
      <c r="Z443" s="58" t="str" cm="1">
        <f>IF(ISBLANK($A443),"",INDEX(Array_WaterCharges,MATCH($A443,List_WaterMeters,0),ROUNDUP((COLUMN()+0)/3-1,0)))</f>
        <v/>
      </c>
      <c r="AA443" s="127"/>
      <c r="AB443" s="137"/>
      <c r="AC443" s="58" t="str" cm="1">
        <f>IF(ISBLANK($A443),"",INDEX(Array_WaterCharges,MATCH($A443,List_WaterMeters,0),ROUNDUP((COLUMN()+0)/3-1,0)))</f>
        <v/>
      </c>
      <c r="AD443" s="127"/>
      <c r="AE443" s="137"/>
      <c r="AF443" s="58" t="str" cm="1">
        <f>IF(ISBLANK($A443),"",INDEX(Array_WaterCharges,MATCH($A443,List_WaterMeters,0),ROUNDUP((COLUMN()+0)/3-1,0)))</f>
        <v/>
      </c>
      <c r="AG443" s="127"/>
      <c r="AH443" s="137"/>
    </row>
    <row r="444" spans="1:34" x14ac:dyDescent="0.3">
      <c r="A444" s="126"/>
      <c r="B444" s="133"/>
      <c r="C444" s="127"/>
      <c r="D444" s="137"/>
      <c r="E444" s="58" t="str" cm="1">
        <f>IF(ISBLANK($A444),"",INDEX(Array_WaterCharges,MATCH($A444,List_WaterMeters,0),ROUNDUP((COLUMN()+0)/3-1,0)))</f>
        <v/>
      </c>
      <c r="F444" s="127"/>
      <c r="G444" s="137"/>
      <c r="H444" s="58" t="str" cm="1">
        <f>IF(ISBLANK($A444),"",INDEX(Array_WaterCharges,MATCH($A444,List_WaterMeters,0),ROUNDUP((COLUMN()+0)/3-1,0)))</f>
        <v/>
      </c>
      <c r="I444" s="127"/>
      <c r="J444" s="137"/>
      <c r="K444" s="58" t="str" cm="1">
        <f>IF(ISBLANK($A444),"",INDEX(Array_WaterCharges,MATCH($A444,List_WaterMeters,0),ROUNDUP((COLUMN()+0)/3-1,0)))</f>
        <v/>
      </c>
      <c r="L444" s="127"/>
      <c r="M444" s="137"/>
      <c r="N444" s="58" t="str" cm="1">
        <f>IF(ISBLANK($A444),"",INDEX(Array_WaterCharges,MATCH($A444,List_WaterMeters,0),ROUNDUP((COLUMN()+0)/3-1,0)))</f>
        <v/>
      </c>
      <c r="O444" s="127"/>
      <c r="P444" s="137"/>
      <c r="Q444" s="58" t="str" cm="1">
        <f>IF(ISBLANK($A444),"",INDEX(Array_WaterCharges,MATCH($A444,List_WaterMeters,0),ROUNDUP((COLUMN()+0)/3-1,0)))</f>
        <v/>
      </c>
      <c r="R444" s="127"/>
      <c r="S444" s="137"/>
      <c r="T444" s="58" t="str" cm="1">
        <f>IF(ISBLANK($A444),"",INDEX(Array_WaterCharges,MATCH($A444,List_WaterMeters,0),ROUNDUP((COLUMN()+0)/3-1,0)))</f>
        <v/>
      </c>
      <c r="U444" s="127"/>
      <c r="V444" s="137"/>
      <c r="W444" s="58" t="str" cm="1">
        <f>IF(ISBLANK($A444),"",INDEX(Array_WaterCharges,MATCH($A444,List_WaterMeters,0),ROUNDUP((COLUMN()+0)/3-1,0)))</f>
        <v/>
      </c>
      <c r="X444" s="127"/>
      <c r="Y444" s="137"/>
      <c r="Z444" s="58" t="str" cm="1">
        <f>IF(ISBLANK($A444),"",INDEX(Array_WaterCharges,MATCH($A444,List_WaterMeters,0),ROUNDUP((COLUMN()+0)/3-1,0)))</f>
        <v/>
      </c>
      <c r="AA444" s="127"/>
      <c r="AB444" s="137"/>
      <c r="AC444" s="58" t="str" cm="1">
        <f>IF(ISBLANK($A444),"",INDEX(Array_WaterCharges,MATCH($A444,List_WaterMeters,0),ROUNDUP((COLUMN()+0)/3-1,0)))</f>
        <v/>
      </c>
      <c r="AD444" s="127"/>
      <c r="AE444" s="137"/>
      <c r="AF444" s="58" t="str" cm="1">
        <f>IF(ISBLANK($A444),"",INDEX(Array_WaterCharges,MATCH($A444,List_WaterMeters,0),ROUNDUP((COLUMN()+0)/3-1,0)))</f>
        <v/>
      </c>
      <c r="AG444" s="127"/>
      <c r="AH444" s="137"/>
    </row>
    <row r="445" spans="1:34" x14ac:dyDescent="0.3">
      <c r="A445" s="126"/>
      <c r="B445" s="133"/>
      <c r="C445" s="127"/>
      <c r="D445" s="137"/>
      <c r="E445" s="58" t="str" cm="1">
        <f>IF(ISBLANK($A445),"",INDEX(Array_WaterCharges,MATCH($A445,List_WaterMeters,0),ROUNDUP((COLUMN()+0)/3-1,0)))</f>
        <v/>
      </c>
      <c r="F445" s="127"/>
      <c r="G445" s="137"/>
      <c r="H445" s="58" t="str" cm="1">
        <f>IF(ISBLANK($A445),"",INDEX(Array_WaterCharges,MATCH($A445,List_WaterMeters,0),ROUNDUP((COLUMN()+0)/3-1,0)))</f>
        <v/>
      </c>
      <c r="I445" s="127"/>
      <c r="J445" s="137"/>
      <c r="K445" s="58" t="str" cm="1">
        <f>IF(ISBLANK($A445),"",INDEX(Array_WaterCharges,MATCH($A445,List_WaterMeters,0),ROUNDUP((COLUMN()+0)/3-1,0)))</f>
        <v/>
      </c>
      <c r="L445" s="127"/>
      <c r="M445" s="137"/>
      <c r="N445" s="58" t="str" cm="1">
        <f>IF(ISBLANK($A445),"",INDEX(Array_WaterCharges,MATCH($A445,List_WaterMeters,0),ROUNDUP((COLUMN()+0)/3-1,0)))</f>
        <v/>
      </c>
      <c r="O445" s="127"/>
      <c r="P445" s="137"/>
      <c r="Q445" s="58" t="str" cm="1">
        <f>IF(ISBLANK($A445),"",INDEX(Array_WaterCharges,MATCH($A445,List_WaterMeters,0),ROUNDUP((COLUMN()+0)/3-1,0)))</f>
        <v/>
      </c>
      <c r="R445" s="127"/>
      <c r="S445" s="137"/>
      <c r="T445" s="58" t="str" cm="1">
        <f>IF(ISBLANK($A445),"",INDEX(Array_WaterCharges,MATCH($A445,List_WaterMeters,0),ROUNDUP((COLUMN()+0)/3-1,0)))</f>
        <v/>
      </c>
      <c r="U445" s="127"/>
      <c r="V445" s="137"/>
      <c r="W445" s="58" t="str" cm="1">
        <f>IF(ISBLANK($A445),"",INDEX(Array_WaterCharges,MATCH($A445,List_WaterMeters,0),ROUNDUP((COLUMN()+0)/3-1,0)))</f>
        <v/>
      </c>
      <c r="X445" s="127"/>
      <c r="Y445" s="137"/>
      <c r="Z445" s="58" t="str" cm="1">
        <f>IF(ISBLANK($A445),"",INDEX(Array_WaterCharges,MATCH($A445,List_WaterMeters,0),ROUNDUP((COLUMN()+0)/3-1,0)))</f>
        <v/>
      </c>
      <c r="AA445" s="127"/>
      <c r="AB445" s="137"/>
      <c r="AC445" s="58" t="str" cm="1">
        <f>IF(ISBLANK($A445),"",INDEX(Array_WaterCharges,MATCH($A445,List_WaterMeters,0),ROUNDUP((COLUMN()+0)/3-1,0)))</f>
        <v/>
      </c>
      <c r="AD445" s="127"/>
      <c r="AE445" s="137"/>
      <c r="AF445" s="58" t="str" cm="1">
        <f>IF(ISBLANK($A445),"",INDEX(Array_WaterCharges,MATCH($A445,List_WaterMeters,0),ROUNDUP((COLUMN()+0)/3-1,0)))</f>
        <v/>
      </c>
      <c r="AG445" s="127"/>
      <c r="AH445" s="137"/>
    </row>
    <row r="446" spans="1:34" x14ac:dyDescent="0.3">
      <c r="A446" s="126"/>
      <c r="B446" s="133"/>
      <c r="C446" s="127"/>
      <c r="D446" s="137"/>
      <c r="E446" s="58" t="str" cm="1">
        <f>IF(ISBLANK($A446),"",INDEX(Array_WaterCharges,MATCH($A446,List_WaterMeters,0),ROUNDUP((COLUMN()+0)/3-1,0)))</f>
        <v/>
      </c>
      <c r="F446" s="127"/>
      <c r="G446" s="137"/>
      <c r="H446" s="58" t="str" cm="1">
        <f>IF(ISBLANK($A446),"",INDEX(Array_WaterCharges,MATCH($A446,List_WaterMeters,0),ROUNDUP((COLUMN()+0)/3-1,0)))</f>
        <v/>
      </c>
      <c r="I446" s="127"/>
      <c r="J446" s="137"/>
      <c r="K446" s="58" t="str" cm="1">
        <f>IF(ISBLANK($A446),"",INDEX(Array_WaterCharges,MATCH($A446,List_WaterMeters,0),ROUNDUP((COLUMN()+0)/3-1,0)))</f>
        <v/>
      </c>
      <c r="L446" s="127"/>
      <c r="M446" s="137"/>
      <c r="N446" s="58" t="str" cm="1">
        <f>IF(ISBLANK($A446),"",INDEX(Array_WaterCharges,MATCH($A446,List_WaterMeters,0),ROUNDUP((COLUMN()+0)/3-1,0)))</f>
        <v/>
      </c>
      <c r="O446" s="127"/>
      <c r="P446" s="137"/>
      <c r="Q446" s="58" t="str" cm="1">
        <f>IF(ISBLANK($A446),"",INDEX(Array_WaterCharges,MATCH($A446,List_WaterMeters,0),ROUNDUP((COLUMN()+0)/3-1,0)))</f>
        <v/>
      </c>
      <c r="R446" s="127"/>
      <c r="S446" s="137"/>
      <c r="T446" s="58" t="str" cm="1">
        <f>IF(ISBLANK($A446),"",INDEX(Array_WaterCharges,MATCH($A446,List_WaterMeters,0),ROUNDUP((COLUMN()+0)/3-1,0)))</f>
        <v/>
      </c>
      <c r="U446" s="127"/>
      <c r="V446" s="137"/>
      <c r="W446" s="58" t="str" cm="1">
        <f>IF(ISBLANK($A446),"",INDEX(Array_WaterCharges,MATCH($A446,List_WaterMeters,0),ROUNDUP((COLUMN()+0)/3-1,0)))</f>
        <v/>
      </c>
      <c r="X446" s="127"/>
      <c r="Y446" s="137"/>
      <c r="Z446" s="58" t="str" cm="1">
        <f>IF(ISBLANK($A446),"",INDEX(Array_WaterCharges,MATCH($A446,List_WaterMeters,0),ROUNDUP((COLUMN()+0)/3-1,0)))</f>
        <v/>
      </c>
      <c r="AA446" s="127"/>
      <c r="AB446" s="137"/>
      <c r="AC446" s="58" t="str" cm="1">
        <f>IF(ISBLANK($A446),"",INDEX(Array_WaterCharges,MATCH($A446,List_WaterMeters,0),ROUNDUP((COLUMN()+0)/3-1,0)))</f>
        <v/>
      </c>
      <c r="AD446" s="127"/>
      <c r="AE446" s="137"/>
      <c r="AF446" s="58" t="str" cm="1">
        <f>IF(ISBLANK($A446),"",INDEX(Array_WaterCharges,MATCH($A446,List_WaterMeters,0),ROUNDUP((COLUMN()+0)/3-1,0)))</f>
        <v/>
      </c>
      <c r="AG446" s="127"/>
      <c r="AH446" s="137"/>
    </row>
    <row r="447" spans="1:34" x14ac:dyDescent="0.3">
      <c r="A447" s="126"/>
      <c r="B447" s="133"/>
      <c r="C447" s="127"/>
      <c r="D447" s="137"/>
      <c r="E447" s="58" t="str" cm="1">
        <f>IF(ISBLANK($A447),"",INDEX(Array_WaterCharges,MATCH($A447,List_WaterMeters,0),ROUNDUP((COLUMN()+0)/3-1,0)))</f>
        <v/>
      </c>
      <c r="F447" s="127"/>
      <c r="G447" s="137"/>
      <c r="H447" s="58" t="str" cm="1">
        <f>IF(ISBLANK($A447),"",INDEX(Array_WaterCharges,MATCH($A447,List_WaterMeters,0),ROUNDUP((COLUMN()+0)/3-1,0)))</f>
        <v/>
      </c>
      <c r="I447" s="127"/>
      <c r="J447" s="137"/>
      <c r="K447" s="58" t="str" cm="1">
        <f>IF(ISBLANK($A447),"",INDEX(Array_WaterCharges,MATCH($A447,List_WaterMeters,0),ROUNDUP((COLUMN()+0)/3-1,0)))</f>
        <v/>
      </c>
      <c r="L447" s="127"/>
      <c r="M447" s="137"/>
      <c r="N447" s="58" t="str" cm="1">
        <f>IF(ISBLANK($A447),"",INDEX(Array_WaterCharges,MATCH($A447,List_WaterMeters,0),ROUNDUP((COLUMN()+0)/3-1,0)))</f>
        <v/>
      </c>
      <c r="O447" s="127"/>
      <c r="P447" s="137"/>
      <c r="Q447" s="58" t="str" cm="1">
        <f>IF(ISBLANK($A447),"",INDEX(Array_WaterCharges,MATCH($A447,List_WaterMeters,0),ROUNDUP((COLUMN()+0)/3-1,0)))</f>
        <v/>
      </c>
      <c r="R447" s="127"/>
      <c r="S447" s="137"/>
      <c r="T447" s="58" t="str" cm="1">
        <f>IF(ISBLANK($A447),"",INDEX(Array_WaterCharges,MATCH($A447,List_WaterMeters,0),ROUNDUP((COLUMN()+0)/3-1,0)))</f>
        <v/>
      </c>
      <c r="U447" s="127"/>
      <c r="V447" s="137"/>
      <c r="W447" s="58" t="str" cm="1">
        <f>IF(ISBLANK($A447),"",INDEX(Array_WaterCharges,MATCH($A447,List_WaterMeters,0),ROUNDUP((COLUMN()+0)/3-1,0)))</f>
        <v/>
      </c>
      <c r="X447" s="127"/>
      <c r="Y447" s="137"/>
      <c r="Z447" s="58" t="str" cm="1">
        <f>IF(ISBLANK($A447),"",INDEX(Array_WaterCharges,MATCH($A447,List_WaterMeters,0),ROUNDUP((COLUMN()+0)/3-1,0)))</f>
        <v/>
      </c>
      <c r="AA447" s="127"/>
      <c r="AB447" s="137"/>
      <c r="AC447" s="58" t="str" cm="1">
        <f>IF(ISBLANK($A447),"",INDEX(Array_WaterCharges,MATCH($A447,List_WaterMeters,0),ROUNDUP((COLUMN()+0)/3-1,0)))</f>
        <v/>
      </c>
      <c r="AD447" s="127"/>
      <c r="AE447" s="137"/>
      <c r="AF447" s="58" t="str" cm="1">
        <f>IF(ISBLANK($A447),"",INDEX(Array_WaterCharges,MATCH($A447,List_WaterMeters,0),ROUNDUP((COLUMN()+0)/3-1,0)))</f>
        <v/>
      </c>
      <c r="AG447" s="127"/>
      <c r="AH447" s="137"/>
    </row>
    <row r="448" spans="1:34" x14ac:dyDescent="0.3">
      <c r="A448" s="126"/>
      <c r="B448" s="133"/>
      <c r="C448" s="127"/>
      <c r="D448" s="137"/>
      <c r="E448" s="58" t="str" cm="1">
        <f>IF(ISBLANK($A448),"",INDEX(Array_WaterCharges,MATCH($A448,List_WaterMeters,0),ROUNDUP((COLUMN()+0)/3-1,0)))</f>
        <v/>
      </c>
      <c r="F448" s="127"/>
      <c r="G448" s="137"/>
      <c r="H448" s="58" t="str" cm="1">
        <f>IF(ISBLANK($A448),"",INDEX(Array_WaterCharges,MATCH($A448,List_WaterMeters,0),ROUNDUP((COLUMN()+0)/3-1,0)))</f>
        <v/>
      </c>
      <c r="I448" s="127"/>
      <c r="J448" s="137"/>
      <c r="K448" s="58" t="str" cm="1">
        <f>IF(ISBLANK($A448),"",INDEX(Array_WaterCharges,MATCH($A448,List_WaterMeters,0),ROUNDUP((COLUMN()+0)/3-1,0)))</f>
        <v/>
      </c>
      <c r="L448" s="127"/>
      <c r="M448" s="137"/>
      <c r="N448" s="58" t="str" cm="1">
        <f>IF(ISBLANK($A448),"",INDEX(Array_WaterCharges,MATCH($A448,List_WaterMeters,0),ROUNDUP((COLUMN()+0)/3-1,0)))</f>
        <v/>
      </c>
      <c r="O448" s="127"/>
      <c r="P448" s="137"/>
      <c r="Q448" s="58" t="str" cm="1">
        <f>IF(ISBLANK($A448),"",INDEX(Array_WaterCharges,MATCH($A448,List_WaterMeters,0),ROUNDUP((COLUMN()+0)/3-1,0)))</f>
        <v/>
      </c>
      <c r="R448" s="127"/>
      <c r="S448" s="137"/>
      <c r="T448" s="58" t="str" cm="1">
        <f>IF(ISBLANK($A448),"",INDEX(Array_WaterCharges,MATCH($A448,List_WaterMeters,0),ROUNDUP((COLUMN()+0)/3-1,0)))</f>
        <v/>
      </c>
      <c r="U448" s="127"/>
      <c r="V448" s="137"/>
      <c r="W448" s="58" t="str" cm="1">
        <f>IF(ISBLANK($A448),"",INDEX(Array_WaterCharges,MATCH($A448,List_WaterMeters,0),ROUNDUP((COLUMN()+0)/3-1,0)))</f>
        <v/>
      </c>
      <c r="X448" s="127"/>
      <c r="Y448" s="137"/>
      <c r="Z448" s="58" t="str" cm="1">
        <f>IF(ISBLANK($A448),"",INDEX(Array_WaterCharges,MATCH($A448,List_WaterMeters,0),ROUNDUP((COLUMN()+0)/3-1,0)))</f>
        <v/>
      </c>
      <c r="AA448" s="127"/>
      <c r="AB448" s="137"/>
      <c r="AC448" s="58" t="str" cm="1">
        <f>IF(ISBLANK($A448),"",INDEX(Array_WaterCharges,MATCH($A448,List_WaterMeters,0),ROUNDUP((COLUMN()+0)/3-1,0)))</f>
        <v/>
      </c>
      <c r="AD448" s="127"/>
      <c r="AE448" s="137"/>
      <c r="AF448" s="58" t="str" cm="1">
        <f>IF(ISBLANK($A448),"",INDEX(Array_WaterCharges,MATCH($A448,List_WaterMeters,0),ROUNDUP((COLUMN()+0)/3-1,0)))</f>
        <v/>
      </c>
      <c r="AG448" s="127"/>
      <c r="AH448" s="137"/>
    </row>
    <row r="449" spans="1:34" x14ac:dyDescent="0.3">
      <c r="A449" s="126"/>
      <c r="B449" s="133"/>
      <c r="C449" s="127"/>
      <c r="D449" s="137"/>
      <c r="E449" s="58" t="str" cm="1">
        <f>IF(ISBLANK($A449),"",INDEX(Array_WaterCharges,MATCH($A449,List_WaterMeters,0),ROUNDUP((COLUMN()+0)/3-1,0)))</f>
        <v/>
      </c>
      <c r="F449" s="127"/>
      <c r="G449" s="137"/>
      <c r="H449" s="58" t="str" cm="1">
        <f>IF(ISBLANK($A449),"",INDEX(Array_WaterCharges,MATCH($A449,List_WaterMeters,0),ROUNDUP((COLUMN()+0)/3-1,0)))</f>
        <v/>
      </c>
      <c r="I449" s="127"/>
      <c r="J449" s="137"/>
      <c r="K449" s="58" t="str" cm="1">
        <f>IF(ISBLANK($A449),"",INDEX(Array_WaterCharges,MATCH($A449,List_WaterMeters,0),ROUNDUP((COLUMN()+0)/3-1,0)))</f>
        <v/>
      </c>
      <c r="L449" s="127"/>
      <c r="M449" s="137"/>
      <c r="N449" s="58" t="str" cm="1">
        <f>IF(ISBLANK($A449),"",INDEX(Array_WaterCharges,MATCH($A449,List_WaterMeters,0),ROUNDUP((COLUMN()+0)/3-1,0)))</f>
        <v/>
      </c>
      <c r="O449" s="127"/>
      <c r="P449" s="137"/>
      <c r="Q449" s="58" t="str" cm="1">
        <f>IF(ISBLANK($A449),"",INDEX(Array_WaterCharges,MATCH($A449,List_WaterMeters,0),ROUNDUP((COLUMN()+0)/3-1,0)))</f>
        <v/>
      </c>
      <c r="R449" s="127"/>
      <c r="S449" s="137"/>
      <c r="T449" s="58" t="str" cm="1">
        <f>IF(ISBLANK($A449),"",INDEX(Array_WaterCharges,MATCH($A449,List_WaterMeters,0),ROUNDUP((COLUMN()+0)/3-1,0)))</f>
        <v/>
      </c>
      <c r="U449" s="127"/>
      <c r="V449" s="137"/>
      <c r="W449" s="58" t="str" cm="1">
        <f>IF(ISBLANK($A449),"",INDEX(Array_WaterCharges,MATCH($A449,List_WaterMeters,0),ROUNDUP((COLUMN()+0)/3-1,0)))</f>
        <v/>
      </c>
      <c r="X449" s="127"/>
      <c r="Y449" s="137"/>
      <c r="Z449" s="58" t="str" cm="1">
        <f>IF(ISBLANK($A449),"",INDEX(Array_WaterCharges,MATCH($A449,List_WaterMeters,0),ROUNDUP((COLUMN()+0)/3-1,0)))</f>
        <v/>
      </c>
      <c r="AA449" s="127"/>
      <c r="AB449" s="137"/>
      <c r="AC449" s="58" t="str" cm="1">
        <f>IF(ISBLANK($A449),"",INDEX(Array_WaterCharges,MATCH($A449,List_WaterMeters,0),ROUNDUP((COLUMN()+0)/3-1,0)))</f>
        <v/>
      </c>
      <c r="AD449" s="127"/>
      <c r="AE449" s="137"/>
      <c r="AF449" s="58" t="str" cm="1">
        <f>IF(ISBLANK($A449),"",INDEX(Array_WaterCharges,MATCH($A449,List_WaterMeters,0),ROUNDUP((COLUMN()+0)/3-1,0)))</f>
        <v/>
      </c>
      <c r="AG449" s="127"/>
      <c r="AH449" s="137"/>
    </row>
    <row r="450" spans="1:34" x14ac:dyDescent="0.3">
      <c r="A450" s="126"/>
      <c r="B450" s="133"/>
      <c r="C450" s="127"/>
      <c r="D450" s="137"/>
      <c r="E450" s="58" t="str" cm="1">
        <f>IF(ISBLANK($A450),"",INDEX(Array_WaterCharges,MATCH($A450,List_WaterMeters,0),ROUNDUP((COLUMN()+0)/3-1,0)))</f>
        <v/>
      </c>
      <c r="F450" s="127"/>
      <c r="G450" s="137"/>
      <c r="H450" s="58" t="str" cm="1">
        <f>IF(ISBLANK($A450),"",INDEX(Array_WaterCharges,MATCH($A450,List_WaterMeters,0),ROUNDUP((COLUMN()+0)/3-1,0)))</f>
        <v/>
      </c>
      <c r="I450" s="127"/>
      <c r="J450" s="137"/>
      <c r="K450" s="58" t="str" cm="1">
        <f>IF(ISBLANK($A450),"",INDEX(Array_WaterCharges,MATCH($A450,List_WaterMeters,0),ROUNDUP((COLUMN()+0)/3-1,0)))</f>
        <v/>
      </c>
      <c r="L450" s="127"/>
      <c r="M450" s="137"/>
      <c r="N450" s="58" t="str" cm="1">
        <f>IF(ISBLANK($A450),"",INDEX(Array_WaterCharges,MATCH($A450,List_WaterMeters,0),ROUNDUP((COLUMN()+0)/3-1,0)))</f>
        <v/>
      </c>
      <c r="O450" s="127"/>
      <c r="P450" s="137"/>
      <c r="Q450" s="58" t="str" cm="1">
        <f>IF(ISBLANK($A450),"",INDEX(Array_WaterCharges,MATCH($A450,List_WaterMeters,0),ROUNDUP((COLUMN()+0)/3-1,0)))</f>
        <v/>
      </c>
      <c r="R450" s="127"/>
      <c r="S450" s="137"/>
      <c r="T450" s="58" t="str" cm="1">
        <f>IF(ISBLANK($A450),"",INDEX(Array_WaterCharges,MATCH($A450,List_WaterMeters,0),ROUNDUP((COLUMN()+0)/3-1,0)))</f>
        <v/>
      </c>
      <c r="U450" s="127"/>
      <c r="V450" s="137"/>
      <c r="W450" s="58" t="str" cm="1">
        <f>IF(ISBLANK($A450),"",INDEX(Array_WaterCharges,MATCH($A450,List_WaterMeters,0),ROUNDUP((COLUMN()+0)/3-1,0)))</f>
        <v/>
      </c>
      <c r="X450" s="127"/>
      <c r="Y450" s="137"/>
      <c r="Z450" s="58" t="str" cm="1">
        <f>IF(ISBLANK($A450),"",INDEX(Array_WaterCharges,MATCH($A450,List_WaterMeters,0),ROUNDUP((COLUMN()+0)/3-1,0)))</f>
        <v/>
      </c>
      <c r="AA450" s="127"/>
      <c r="AB450" s="137"/>
      <c r="AC450" s="58" t="str" cm="1">
        <f>IF(ISBLANK($A450),"",INDEX(Array_WaterCharges,MATCH($A450,List_WaterMeters,0),ROUNDUP((COLUMN()+0)/3-1,0)))</f>
        <v/>
      </c>
      <c r="AD450" s="127"/>
      <c r="AE450" s="137"/>
      <c r="AF450" s="58" t="str" cm="1">
        <f>IF(ISBLANK($A450),"",INDEX(Array_WaterCharges,MATCH($A450,List_WaterMeters,0),ROUNDUP((COLUMN()+0)/3-1,0)))</f>
        <v/>
      </c>
      <c r="AG450" s="127"/>
      <c r="AH450" s="137"/>
    </row>
    <row r="451" spans="1:34" x14ac:dyDescent="0.3">
      <c r="A451" s="126"/>
      <c r="B451" s="133"/>
      <c r="C451" s="127"/>
      <c r="D451" s="137"/>
      <c r="E451" s="58" t="str" cm="1">
        <f>IF(ISBLANK($A451),"",INDEX(Array_WaterCharges,MATCH($A451,List_WaterMeters,0),ROUNDUP((COLUMN()+0)/3-1,0)))</f>
        <v/>
      </c>
      <c r="F451" s="127"/>
      <c r="G451" s="137"/>
      <c r="H451" s="58" t="str" cm="1">
        <f>IF(ISBLANK($A451),"",INDEX(Array_WaterCharges,MATCH($A451,List_WaterMeters,0),ROUNDUP((COLUMN()+0)/3-1,0)))</f>
        <v/>
      </c>
      <c r="I451" s="127"/>
      <c r="J451" s="137"/>
      <c r="K451" s="58" t="str" cm="1">
        <f>IF(ISBLANK($A451),"",INDEX(Array_WaterCharges,MATCH($A451,List_WaterMeters,0),ROUNDUP((COLUMN()+0)/3-1,0)))</f>
        <v/>
      </c>
      <c r="L451" s="127"/>
      <c r="M451" s="137"/>
      <c r="N451" s="58" t="str" cm="1">
        <f>IF(ISBLANK($A451),"",INDEX(Array_WaterCharges,MATCH($A451,List_WaterMeters,0),ROUNDUP((COLUMN()+0)/3-1,0)))</f>
        <v/>
      </c>
      <c r="O451" s="127"/>
      <c r="P451" s="137"/>
      <c r="Q451" s="58" t="str" cm="1">
        <f>IF(ISBLANK($A451),"",INDEX(Array_WaterCharges,MATCH($A451,List_WaterMeters,0),ROUNDUP((COLUMN()+0)/3-1,0)))</f>
        <v/>
      </c>
      <c r="R451" s="127"/>
      <c r="S451" s="137"/>
      <c r="T451" s="58" t="str" cm="1">
        <f>IF(ISBLANK($A451),"",INDEX(Array_WaterCharges,MATCH($A451,List_WaterMeters,0),ROUNDUP((COLUMN()+0)/3-1,0)))</f>
        <v/>
      </c>
      <c r="U451" s="127"/>
      <c r="V451" s="137"/>
      <c r="W451" s="58" t="str" cm="1">
        <f>IF(ISBLANK($A451),"",INDEX(Array_WaterCharges,MATCH($A451,List_WaterMeters,0),ROUNDUP((COLUMN()+0)/3-1,0)))</f>
        <v/>
      </c>
      <c r="X451" s="127"/>
      <c r="Y451" s="137"/>
      <c r="Z451" s="58" t="str" cm="1">
        <f>IF(ISBLANK($A451),"",INDEX(Array_WaterCharges,MATCH($A451,List_WaterMeters,0),ROUNDUP((COLUMN()+0)/3-1,0)))</f>
        <v/>
      </c>
      <c r="AA451" s="127"/>
      <c r="AB451" s="137"/>
      <c r="AC451" s="58" t="str" cm="1">
        <f>IF(ISBLANK($A451),"",INDEX(Array_WaterCharges,MATCH($A451,List_WaterMeters,0),ROUNDUP((COLUMN()+0)/3-1,0)))</f>
        <v/>
      </c>
      <c r="AD451" s="127"/>
      <c r="AE451" s="137"/>
      <c r="AF451" s="58" t="str" cm="1">
        <f>IF(ISBLANK($A451),"",INDEX(Array_WaterCharges,MATCH($A451,List_WaterMeters,0),ROUNDUP((COLUMN()+0)/3-1,0)))</f>
        <v/>
      </c>
      <c r="AG451" s="127"/>
      <c r="AH451" s="137"/>
    </row>
    <row r="452" spans="1:34" x14ac:dyDescent="0.3">
      <c r="A452" s="126"/>
      <c r="B452" s="133"/>
      <c r="C452" s="127"/>
      <c r="D452" s="137"/>
      <c r="E452" s="58" t="str" cm="1">
        <f>IF(ISBLANK($A452),"",INDEX(Array_WaterCharges,MATCH($A452,List_WaterMeters,0),ROUNDUP((COLUMN()+0)/3-1,0)))</f>
        <v/>
      </c>
      <c r="F452" s="127"/>
      <c r="G452" s="137"/>
      <c r="H452" s="58" t="str" cm="1">
        <f>IF(ISBLANK($A452),"",INDEX(Array_WaterCharges,MATCH($A452,List_WaterMeters,0),ROUNDUP((COLUMN()+0)/3-1,0)))</f>
        <v/>
      </c>
      <c r="I452" s="127"/>
      <c r="J452" s="137"/>
      <c r="K452" s="58" t="str" cm="1">
        <f>IF(ISBLANK($A452),"",INDEX(Array_WaterCharges,MATCH($A452,List_WaterMeters,0),ROUNDUP((COLUMN()+0)/3-1,0)))</f>
        <v/>
      </c>
      <c r="L452" s="127"/>
      <c r="M452" s="137"/>
      <c r="N452" s="58" t="str" cm="1">
        <f>IF(ISBLANK($A452),"",INDEX(Array_WaterCharges,MATCH($A452,List_WaterMeters,0),ROUNDUP((COLUMN()+0)/3-1,0)))</f>
        <v/>
      </c>
      <c r="O452" s="127"/>
      <c r="P452" s="137"/>
      <c r="Q452" s="58" t="str" cm="1">
        <f>IF(ISBLANK($A452),"",INDEX(Array_WaterCharges,MATCH($A452,List_WaterMeters,0),ROUNDUP((COLUMN()+0)/3-1,0)))</f>
        <v/>
      </c>
      <c r="R452" s="127"/>
      <c r="S452" s="137"/>
      <c r="T452" s="58" t="str" cm="1">
        <f>IF(ISBLANK($A452),"",INDEX(Array_WaterCharges,MATCH($A452,List_WaterMeters,0),ROUNDUP((COLUMN()+0)/3-1,0)))</f>
        <v/>
      </c>
      <c r="U452" s="127"/>
      <c r="V452" s="137"/>
      <c r="W452" s="58" t="str" cm="1">
        <f>IF(ISBLANK($A452),"",INDEX(Array_WaterCharges,MATCH($A452,List_WaterMeters,0),ROUNDUP((COLUMN()+0)/3-1,0)))</f>
        <v/>
      </c>
      <c r="X452" s="127"/>
      <c r="Y452" s="137"/>
      <c r="Z452" s="58" t="str" cm="1">
        <f>IF(ISBLANK($A452),"",INDEX(Array_WaterCharges,MATCH($A452,List_WaterMeters,0),ROUNDUP((COLUMN()+0)/3-1,0)))</f>
        <v/>
      </c>
      <c r="AA452" s="127"/>
      <c r="AB452" s="137"/>
      <c r="AC452" s="58" t="str" cm="1">
        <f>IF(ISBLANK($A452),"",INDEX(Array_WaterCharges,MATCH($A452,List_WaterMeters,0),ROUNDUP((COLUMN()+0)/3-1,0)))</f>
        <v/>
      </c>
      <c r="AD452" s="127"/>
      <c r="AE452" s="137"/>
      <c r="AF452" s="58" t="str" cm="1">
        <f>IF(ISBLANK($A452),"",INDEX(Array_WaterCharges,MATCH($A452,List_WaterMeters,0),ROUNDUP((COLUMN()+0)/3-1,0)))</f>
        <v/>
      </c>
      <c r="AG452" s="127"/>
      <c r="AH452" s="137"/>
    </row>
    <row r="453" spans="1:34" x14ac:dyDescent="0.3">
      <c r="A453" s="126"/>
      <c r="B453" s="133"/>
      <c r="C453" s="127"/>
      <c r="D453" s="137"/>
      <c r="E453" s="58" t="str" cm="1">
        <f>IF(ISBLANK($A453),"",INDEX(Array_WaterCharges,MATCH($A453,List_WaterMeters,0),ROUNDUP((COLUMN()+0)/3-1,0)))</f>
        <v/>
      </c>
      <c r="F453" s="127"/>
      <c r="G453" s="137"/>
      <c r="H453" s="58" t="str" cm="1">
        <f>IF(ISBLANK($A453),"",INDEX(Array_WaterCharges,MATCH($A453,List_WaterMeters,0),ROUNDUP((COLUMN()+0)/3-1,0)))</f>
        <v/>
      </c>
      <c r="I453" s="127"/>
      <c r="J453" s="137"/>
      <c r="K453" s="58" t="str" cm="1">
        <f>IF(ISBLANK($A453),"",INDEX(Array_WaterCharges,MATCH($A453,List_WaterMeters,0),ROUNDUP((COLUMN()+0)/3-1,0)))</f>
        <v/>
      </c>
      <c r="L453" s="127"/>
      <c r="M453" s="137"/>
      <c r="N453" s="58" t="str" cm="1">
        <f>IF(ISBLANK($A453),"",INDEX(Array_WaterCharges,MATCH($A453,List_WaterMeters,0),ROUNDUP((COLUMN()+0)/3-1,0)))</f>
        <v/>
      </c>
      <c r="O453" s="127"/>
      <c r="P453" s="137"/>
      <c r="Q453" s="58" t="str" cm="1">
        <f>IF(ISBLANK($A453),"",INDEX(Array_WaterCharges,MATCH($A453,List_WaterMeters,0),ROUNDUP((COLUMN()+0)/3-1,0)))</f>
        <v/>
      </c>
      <c r="R453" s="127"/>
      <c r="S453" s="137"/>
      <c r="T453" s="58" t="str" cm="1">
        <f>IF(ISBLANK($A453),"",INDEX(Array_WaterCharges,MATCH($A453,List_WaterMeters,0),ROUNDUP((COLUMN()+0)/3-1,0)))</f>
        <v/>
      </c>
      <c r="U453" s="127"/>
      <c r="V453" s="137"/>
      <c r="W453" s="58" t="str" cm="1">
        <f>IF(ISBLANK($A453),"",INDEX(Array_WaterCharges,MATCH($A453,List_WaterMeters,0),ROUNDUP((COLUMN()+0)/3-1,0)))</f>
        <v/>
      </c>
      <c r="X453" s="127"/>
      <c r="Y453" s="137"/>
      <c r="Z453" s="58" t="str" cm="1">
        <f>IF(ISBLANK($A453),"",INDEX(Array_WaterCharges,MATCH($A453,List_WaterMeters,0),ROUNDUP((COLUMN()+0)/3-1,0)))</f>
        <v/>
      </c>
      <c r="AA453" s="127"/>
      <c r="AB453" s="137"/>
      <c r="AC453" s="58" t="str" cm="1">
        <f>IF(ISBLANK($A453),"",INDEX(Array_WaterCharges,MATCH($A453,List_WaterMeters,0),ROUNDUP((COLUMN()+0)/3-1,0)))</f>
        <v/>
      </c>
      <c r="AD453" s="127"/>
      <c r="AE453" s="137"/>
      <c r="AF453" s="58" t="str" cm="1">
        <f>IF(ISBLANK($A453),"",INDEX(Array_WaterCharges,MATCH($A453,List_WaterMeters,0),ROUNDUP((COLUMN()+0)/3-1,0)))</f>
        <v/>
      </c>
      <c r="AG453" s="127"/>
      <c r="AH453" s="137"/>
    </row>
    <row r="454" spans="1:34" x14ac:dyDescent="0.3">
      <c r="A454" s="126"/>
      <c r="B454" s="133"/>
      <c r="C454" s="127"/>
      <c r="D454" s="137"/>
      <c r="E454" s="58" t="str" cm="1">
        <f>IF(ISBLANK($A454),"",INDEX(Array_WaterCharges,MATCH($A454,List_WaterMeters,0),ROUNDUP((COLUMN()+0)/3-1,0)))</f>
        <v/>
      </c>
      <c r="F454" s="127"/>
      <c r="G454" s="137"/>
      <c r="H454" s="58" t="str" cm="1">
        <f>IF(ISBLANK($A454),"",INDEX(Array_WaterCharges,MATCH($A454,List_WaterMeters,0),ROUNDUP((COLUMN()+0)/3-1,0)))</f>
        <v/>
      </c>
      <c r="I454" s="127"/>
      <c r="J454" s="137"/>
      <c r="K454" s="58" t="str" cm="1">
        <f>IF(ISBLANK($A454),"",INDEX(Array_WaterCharges,MATCH($A454,List_WaterMeters,0),ROUNDUP((COLUMN()+0)/3-1,0)))</f>
        <v/>
      </c>
      <c r="L454" s="127"/>
      <c r="M454" s="137"/>
      <c r="N454" s="58" t="str" cm="1">
        <f>IF(ISBLANK($A454),"",INDEX(Array_WaterCharges,MATCH($A454,List_WaterMeters,0),ROUNDUP((COLUMN()+0)/3-1,0)))</f>
        <v/>
      </c>
      <c r="O454" s="127"/>
      <c r="P454" s="137"/>
      <c r="Q454" s="58" t="str" cm="1">
        <f>IF(ISBLANK($A454),"",INDEX(Array_WaterCharges,MATCH($A454,List_WaterMeters,0),ROUNDUP((COLUMN()+0)/3-1,0)))</f>
        <v/>
      </c>
      <c r="R454" s="127"/>
      <c r="S454" s="137"/>
      <c r="T454" s="58" t="str" cm="1">
        <f>IF(ISBLANK($A454),"",INDEX(Array_WaterCharges,MATCH($A454,List_WaterMeters,0),ROUNDUP((COLUMN()+0)/3-1,0)))</f>
        <v/>
      </c>
      <c r="U454" s="127"/>
      <c r="V454" s="137"/>
      <c r="W454" s="58" t="str" cm="1">
        <f>IF(ISBLANK($A454),"",INDEX(Array_WaterCharges,MATCH($A454,List_WaterMeters,0),ROUNDUP((COLUMN()+0)/3-1,0)))</f>
        <v/>
      </c>
      <c r="X454" s="127"/>
      <c r="Y454" s="137"/>
      <c r="Z454" s="58" t="str" cm="1">
        <f>IF(ISBLANK($A454),"",INDEX(Array_WaterCharges,MATCH($A454,List_WaterMeters,0),ROUNDUP((COLUMN()+0)/3-1,0)))</f>
        <v/>
      </c>
      <c r="AA454" s="127"/>
      <c r="AB454" s="137"/>
      <c r="AC454" s="58" t="str" cm="1">
        <f>IF(ISBLANK($A454),"",INDEX(Array_WaterCharges,MATCH($A454,List_WaterMeters,0),ROUNDUP((COLUMN()+0)/3-1,0)))</f>
        <v/>
      </c>
      <c r="AD454" s="127"/>
      <c r="AE454" s="137"/>
      <c r="AF454" s="58" t="str" cm="1">
        <f>IF(ISBLANK($A454),"",INDEX(Array_WaterCharges,MATCH($A454,List_WaterMeters,0),ROUNDUP((COLUMN()+0)/3-1,0)))</f>
        <v/>
      </c>
      <c r="AG454" s="127"/>
      <c r="AH454" s="137"/>
    </row>
    <row r="455" spans="1:34" x14ac:dyDescent="0.3">
      <c r="A455" s="126"/>
      <c r="B455" s="133"/>
      <c r="C455" s="127"/>
      <c r="D455" s="137"/>
      <c r="E455" s="58" t="str" cm="1">
        <f>IF(ISBLANK($A455),"",INDEX(Array_WaterCharges,MATCH($A455,List_WaterMeters,0),ROUNDUP((COLUMN()+0)/3-1,0)))</f>
        <v/>
      </c>
      <c r="F455" s="127"/>
      <c r="G455" s="137"/>
      <c r="H455" s="58" t="str" cm="1">
        <f>IF(ISBLANK($A455),"",INDEX(Array_WaterCharges,MATCH($A455,List_WaterMeters,0),ROUNDUP((COLUMN()+0)/3-1,0)))</f>
        <v/>
      </c>
      <c r="I455" s="127"/>
      <c r="J455" s="137"/>
      <c r="K455" s="58" t="str" cm="1">
        <f>IF(ISBLANK($A455),"",INDEX(Array_WaterCharges,MATCH($A455,List_WaterMeters,0),ROUNDUP((COLUMN()+0)/3-1,0)))</f>
        <v/>
      </c>
      <c r="L455" s="127"/>
      <c r="M455" s="137"/>
      <c r="N455" s="58" t="str" cm="1">
        <f>IF(ISBLANK($A455),"",INDEX(Array_WaterCharges,MATCH($A455,List_WaterMeters,0),ROUNDUP((COLUMN()+0)/3-1,0)))</f>
        <v/>
      </c>
      <c r="O455" s="127"/>
      <c r="P455" s="137"/>
      <c r="Q455" s="58" t="str" cm="1">
        <f>IF(ISBLANK($A455),"",INDEX(Array_WaterCharges,MATCH($A455,List_WaterMeters,0),ROUNDUP((COLUMN()+0)/3-1,0)))</f>
        <v/>
      </c>
      <c r="R455" s="127"/>
      <c r="S455" s="137"/>
      <c r="T455" s="58" t="str" cm="1">
        <f>IF(ISBLANK($A455),"",INDEX(Array_WaterCharges,MATCH($A455,List_WaterMeters,0),ROUNDUP((COLUMN()+0)/3-1,0)))</f>
        <v/>
      </c>
      <c r="U455" s="127"/>
      <c r="V455" s="137"/>
      <c r="W455" s="58" t="str" cm="1">
        <f>IF(ISBLANK($A455),"",INDEX(Array_WaterCharges,MATCH($A455,List_WaterMeters,0),ROUNDUP((COLUMN()+0)/3-1,0)))</f>
        <v/>
      </c>
      <c r="X455" s="127"/>
      <c r="Y455" s="137"/>
      <c r="Z455" s="58" t="str" cm="1">
        <f>IF(ISBLANK($A455),"",INDEX(Array_WaterCharges,MATCH($A455,List_WaterMeters,0),ROUNDUP((COLUMN()+0)/3-1,0)))</f>
        <v/>
      </c>
      <c r="AA455" s="127"/>
      <c r="AB455" s="137"/>
      <c r="AC455" s="58" t="str" cm="1">
        <f>IF(ISBLANK($A455),"",INDEX(Array_WaterCharges,MATCH($A455,List_WaterMeters,0),ROUNDUP((COLUMN()+0)/3-1,0)))</f>
        <v/>
      </c>
      <c r="AD455" s="127"/>
      <c r="AE455" s="137"/>
      <c r="AF455" s="58" t="str" cm="1">
        <f>IF(ISBLANK($A455),"",INDEX(Array_WaterCharges,MATCH($A455,List_WaterMeters,0),ROUNDUP((COLUMN()+0)/3-1,0)))</f>
        <v/>
      </c>
      <c r="AG455" s="127"/>
      <c r="AH455" s="137"/>
    </row>
    <row r="456" spans="1:34" x14ac:dyDescent="0.3">
      <c r="A456" s="126"/>
      <c r="B456" s="133"/>
      <c r="C456" s="127"/>
      <c r="D456" s="137"/>
      <c r="E456" s="58" t="str" cm="1">
        <f>IF(ISBLANK($A456),"",INDEX(Array_WaterCharges,MATCH($A456,List_WaterMeters,0),ROUNDUP((COLUMN()+0)/3-1,0)))</f>
        <v/>
      </c>
      <c r="F456" s="127"/>
      <c r="G456" s="137"/>
      <c r="H456" s="58" t="str" cm="1">
        <f>IF(ISBLANK($A456),"",INDEX(Array_WaterCharges,MATCH($A456,List_WaterMeters,0),ROUNDUP((COLUMN()+0)/3-1,0)))</f>
        <v/>
      </c>
      <c r="I456" s="127"/>
      <c r="J456" s="137"/>
      <c r="K456" s="58" t="str" cm="1">
        <f>IF(ISBLANK($A456),"",INDEX(Array_WaterCharges,MATCH($A456,List_WaterMeters,0),ROUNDUP((COLUMN()+0)/3-1,0)))</f>
        <v/>
      </c>
      <c r="L456" s="127"/>
      <c r="M456" s="137"/>
      <c r="N456" s="58" t="str" cm="1">
        <f>IF(ISBLANK($A456),"",INDEX(Array_WaterCharges,MATCH($A456,List_WaterMeters,0),ROUNDUP((COLUMN()+0)/3-1,0)))</f>
        <v/>
      </c>
      <c r="O456" s="127"/>
      <c r="P456" s="137"/>
      <c r="Q456" s="58" t="str" cm="1">
        <f>IF(ISBLANK($A456),"",INDEX(Array_WaterCharges,MATCH($A456,List_WaterMeters,0),ROUNDUP((COLUMN()+0)/3-1,0)))</f>
        <v/>
      </c>
      <c r="R456" s="127"/>
      <c r="S456" s="137"/>
      <c r="T456" s="58" t="str" cm="1">
        <f>IF(ISBLANK($A456),"",INDEX(Array_WaterCharges,MATCH($A456,List_WaterMeters,0),ROUNDUP((COLUMN()+0)/3-1,0)))</f>
        <v/>
      </c>
      <c r="U456" s="127"/>
      <c r="V456" s="137"/>
      <c r="W456" s="58" t="str" cm="1">
        <f>IF(ISBLANK($A456),"",INDEX(Array_WaterCharges,MATCH($A456,List_WaterMeters,0),ROUNDUP((COLUMN()+0)/3-1,0)))</f>
        <v/>
      </c>
      <c r="X456" s="127"/>
      <c r="Y456" s="137"/>
      <c r="Z456" s="58" t="str" cm="1">
        <f>IF(ISBLANK($A456),"",INDEX(Array_WaterCharges,MATCH($A456,List_WaterMeters,0),ROUNDUP((COLUMN()+0)/3-1,0)))</f>
        <v/>
      </c>
      <c r="AA456" s="127"/>
      <c r="AB456" s="137"/>
      <c r="AC456" s="58" t="str" cm="1">
        <f>IF(ISBLANK($A456),"",INDEX(Array_WaterCharges,MATCH($A456,List_WaterMeters,0),ROUNDUP((COLUMN()+0)/3-1,0)))</f>
        <v/>
      </c>
      <c r="AD456" s="127"/>
      <c r="AE456" s="137"/>
      <c r="AF456" s="58" t="str" cm="1">
        <f>IF(ISBLANK($A456),"",INDEX(Array_WaterCharges,MATCH($A456,List_WaterMeters,0),ROUNDUP((COLUMN()+0)/3-1,0)))</f>
        <v/>
      </c>
      <c r="AG456" s="127"/>
      <c r="AH456" s="137"/>
    </row>
    <row r="457" spans="1:34" x14ac:dyDescent="0.3">
      <c r="A457" s="126"/>
      <c r="B457" s="133"/>
      <c r="C457" s="127"/>
      <c r="D457" s="137"/>
      <c r="E457" s="58" t="str" cm="1">
        <f>IF(ISBLANK($A457),"",INDEX(Array_WaterCharges,MATCH($A457,List_WaterMeters,0),ROUNDUP((COLUMN()+0)/3-1,0)))</f>
        <v/>
      </c>
      <c r="F457" s="127"/>
      <c r="G457" s="137"/>
      <c r="H457" s="58" t="str" cm="1">
        <f>IF(ISBLANK($A457),"",INDEX(Array_WaterCharges,MATCH($A457,List_WaterMeters,0),ROUNDUP((COLUMN()+0)/3-1,0)))</f>
        <v/>
      </c>
      <c r="I457" s="127"/>
      <c r="J457" s="137"/>
      <c r="K457" s="58" t="str" cm="1">
        <f>IF(ISBLANK($A457),"",INDEX(Array_WaterCharges,MATCH($A457,List_WaterMeters,0),ROUNDUP((COLUMN()+0)/3-1,0)))</f>
        <v/>
      </c>
      <c r="L457" s="127"/>
      <c r="M457" s="137"/>
      <c r="N457" s="58" t="str" cm="1">
        <f>IF(ISBLANK($A457),"",INDEX(Array_WaterCharges,MATCH($A457,List_WaterMeters,0),ROUNDUP((COLUMN()+0)/3-1,0)))</f>
        <v/>
      </c>
      <c r="O457" s="127"/>
      <c r="P457" s="137"/>
      <c r="Q457" s="58" t="str" cm="1">
        <f>IF(ISBLANK($A457),"",INDEX(Array_WaterCharges,MATCH($A457,List_WaterMeters,0),ROUNDUP((COLUMN()+0)/3-1,0)))</f>
        <v/>
      </c>
      <c r="R457" s="127"/>
      <c r="S457" s="137"/>
      <c r="T457" s="58" t="str" cm="1">
        <f>IF(ISBLANK($A457),"",INDEX(Array_WaterCharges,MATCH($A457,List_WaterMeters,0),ROUNDUP((COLUMN()+0)/3-1,0)))</f>
        <v/>
      </c>
      <c r="U457" s="127"/>
      <c r="V457" s="137"/>
      <c r="W457" s="58" t="str" cm="1">
        <f>IF(ISBLANK($A457),"",INDEX(Array_WaterCharges,MATCH($A457,List_WaterMeters,0),ROUNDUP((COLUMN()+0)/3-1,0)))</f>
        <v/>
      </c>
      <c r="X457" s="127"/>
      <c r="Y457" s="137"/>
      <c r="Z457" s="58" t="str" cm="1">
        <f>IF(ISBLANK($A457),"",INDEX(Array_WaterCharges,MATCH($A457,List_WaterMeters,0),ROUNDUP((COLUMN()+0)/3-1,0)))</f>
        <v/>
      </c>
      <c r="AA457" s="127"/>
      <c r="AB457" s="137"/>
      <c r="AC457" s="58" t="str" cm="1">
        <f>IF(ISBLANK($A457),"",INDEX(Array_WaterCharges,MATCH($A457,List_WaterMeters,0),ROUNDUP((COLUMN()+0)/3-1,0)))</f>
        <v/>
      </c>
      <c r="AD457" s="127"/>
      <c r="AE457" s="137"/>
      <c r="AF457" s="58" t="str" cm="1">
        <f>IF(ISBLANK($A457),"",INDEX(Array_WaterCharges,MATCH($A457,List_WaterMeters,0),ROUNDUP((COLUMN()+0)/3-1,0)))</f>
        <v/>
      </c>
      <c r="AG457" s="127"/>
      <c r="AH457" s="137"/>
    </row>
    <row r="458" spans="1:34" x14ac:dyDescent="0.3">
      <c r="A458" s="126"/>
      <c r="B458" s="133"/>
      <c r="C458" s="127"/>
      <c r="D458" s="137"/>
      <c r="E458" s="58" t="str" cm="1">
        <f>IF(ISBLANK($A458),"",INDEX(Array_WaterCharges,MATCH($A458,List_WaterMeters,0),ROUNDUP((COLUMN()+0)/3-1,0)))</f>
        <v/>
      </c>
      <c r="F458" s="127"/>
      <c r="G458" s="137"/>
      <c r="H458" s="58" t="str" cm="1">
        <f>IF(ISBLANK($A458),"",INDEX(Array_WaterCharges,MATCH($A458,List_WaterMeters,0),ROUNDUP((COLUMN()+0)/3-1,0)))</f>
        <v/>
      </c>
      <c r="I458" s="127"/>
      <c r="J458" s="137"/>
      <c r="K458" s="58" t="str" cm="1">
        <f>IF(ISBLANK($A458),"",INDEX(Array_WaterCharges,MATCH($A458,List_WaterMeters,0),ROUNDUP((COLUMN()+0)/3-1,0)))</f>
        <v/>
      </c>
      <c r="L458" s="127"/>
      <c r="M458" s="137"/>
      <c r="N458" s="58" t="str" cm="1">
        <f>IF(ISBLANK($A458),"",INDEX(Array_WaterCharges,MATCH($A458,List_WaterMeters,0),ROUNDUP((COLUMN()+0)/3-1,0)))</f>
        <v/>
      </c>
      <c r="O458" s="127"/>
      <c r="P458" s="137"/>
      <c r="Q458" s="58" t="str" cm="1">
        <f>IF(ISBLANK($A458),"",INDEX(Array_WaterCharges,MATCH($A458,List_WaterMeters,0),ROUNDUP((COLUMN()+0)/3-1,0)))</f>
        <v/>
      </c>
      <c r="R458" s="127"/>
      <c r="S458" s="137"/>
      <c r="T458" s="58" t="str" cm="1">
        <f>IF(ISBLANK($A458),"",INDEX(Array_WaterCharges,MATCH($A458,List_WaterMeters,0),ROUNDUP((COLUMN()+0)/3-1,0)))</f>
        <v/>
      </c>
      <c r="U458" s="127"/>
      <c r="V458" s="137"/>
      <c r="W458" s="58" t="str" cm="1">
        <f>IF(ISBLANK($A458),"",INDEX(Array_WaterCharges,MATCH($A458,List_WaterMeters,0),ROUNDUP((COLUMN()+0)/3-1,0)))</f>
        <v/>
      </c>
      <c r="X458" s="127"/>
      <c r="Y458" s="137"/>
      <c r="Z458" s="58" t="str" cm="1">
        <f>IF(ISBLANK($A458),"",INDEX(Array_WaterCharges,MATCH($A458,List_WaterMeters,0),ROUNDUP((COLUMN()+0)/3-1,0)))</f>
        <v/>
      </c>
      <c r="AA458" s="127"/>
      <c r="AB458" s="137"/>
      <c r="AC458" s="58" t="str" cm="1">
        <f>IF(ISBLANK($A458),"",INDEX(Array_WaterCharges,MATCH($A458,List_WaterMeters,0),ROUNDUP((COLUMN()+0)/3-1,0)))</f>
        <v/>
      </c>
      <c r="AD458" s="127"/>
      <c r="AE458" s="137"/>
      <c r="AF458" s="58" t="str" cm="1">
        <f>IF(ISBLANK($A458),"",INDEX(Array_WaterCharges,MATCH($A458,List_WaterMeters,0),ROUNDUP((COLUMN()+0)/3-1,0)))</f>
        <v/>
      </c>
      <c r="AG458" s="127"/>
      <c r="AH458" s="137"/>
    </row>
    <row r="459" spans="1:34" x14ac:dyDescent="0.3">
      <c r="A459" s="126"/>
      <c r="B459" s="133"/>
      <c r="C459" s="127"/>
      <c r="D459" s="137"/>
      <c r="E459" s="58" t="str" cm="1">
        <f>IF(ISBLANK($A459),"",INDEX(Array_WaterCharges,MATCH($A459,List_WaterMeters,0),ROUNDUP((COLUMN()+0)/3-1,0)))</f>
        <v/>
      </c>
      <c r="F459" s="127"/>
      <c r="G459" s="137"/>
      <c r="H459" s="58" t="str" cm="1">
        <f>IF(ISBLANK($A459),"",INDEX(Array_WaterCharges,MATCH($A459,List_WaterMeters,0),ROUNDUP((COLUMN()+0)/3-1,0)))</f>
        <v/>
      </c>
      <c r="I459" s="127"/>
      <c r="J459" s="137"/>
      <c r="K459" s="58" t="str" cm="1">
        <f>IF(ISBLANK($A459),"",INDEX(Array_WaterCharges,MATCH($A459,List_WaterMeters,0),ROUNDUP((COLUMN()+0)/3-1,0)))</f>
        <v/>
      </c>
      <c r="L459" s="127"/>
      <c r="M459" s="137"/>
      <c r="N459" s="58" t="str" cm="1">
        <f>IF(ISBLANK($A459),"",INDEX(Array_WaterCharges,MATCH($A459,List_WaterMeters,0),ROUNDUP((COLUMN()+0)/3-1,0)))</f>
        <v/>
      </c>
      <c r="O459" s="127"/>
      <c r="P459" s="137"/>
      <c r="Q459" s="58" t="str" cm="1">
        <f>IF(ISBLANK($A459),"",INDEX(Array_WaterCharges,MATCH($A459,List_WaterMeters,0),ROUNDUP((COLUMN()+0)/3-1,0)))</f>
        <v/>
      </c>
      <c r="R459" s="127"/>
      <c r="S459" s="137"/>
      <c r="T459" s="58" t="str" cm="1">
        <f>IF(ISBLANK($A459),"",INDEX(Array_WaterCharges,MATCH($A459,List_WaterMeters,0),ROUNDUP((COLUMN()+0)/3-1,0)))</f>
        <v/>
      </c>
      <c r="U459" s="127"/>
      <c r="V459" s="137"/>
      <c r="W459" s="58" t="str" cm="1">
        <f>IF(ISBLANK($A459),"",INDEX(Array_WaterCharges,MATCH($A459,List_WaterMeters,0),ROUNDUP((COLUMN()+0)/3-1,0)))</f>
        <v/>
      </c>
      <c r="X459" s="127"/>
      <c r="Y459" s="137"/>
      <c r="Z459" s="58" t="str" cm="1">
        <f>IF(ISBLANK($A459),"",INDEX(Array_WaterCharges,MATCH($A459,List_WaterMeters,0),ROUNDUP((COLUMN()+0)/3-1,0)))</f>
        <v/>
      </c>
      <c r="AA459" s="127"/>
      <c r="AB459" s="137"/>
      <c r="AC459" s="58" t="str" cm="1">
        <f>IF(ISBLANK($A459),"",INDEX(Array_WaterCharges,MATCH($A459,List_WaterMeters,0),ROUNDUP((COLUMN()+0)/3-1,0)))</f>
        <v/>
      </c>
      <c r="AD459" s="127"/>
      <c r="AE459" s="137"/>
      <c r="AF459" s="58" t="str" cm="1">
        <f>IF(ISBLANK($A459),"",INDEX(Array_WaterCharges,MATCH($A459,List_WaterMeters,0),ROUNDUP((COLUMN()+0)/3-1,0)))</f>
        <v/>
      </c>
      <c r="AG459" s="127"/>
      <c r="AH459" s="137"/>
    </row>
    <row r="460" spans="1:34" x14ac:dyDescent="0.3">
      <c r="A460" s="126"/>
      <c r="B460" s="133"/>
      <c r="C460" s="127"/>
      <c r="D460" s="137"/>
      <c r="E460" s="58" t="str" cm="1">
        <f>IF(ISBLANK($A460),"",INDEX(Array_WaterCharges,MATCH($A460,List_WaterMeters,0),ROUNDUP((COLUMN()+0)/3-1,0)))</f>
        <v/>
      </c>
      <c r="F460" s="127"/>
      <c r="G460" s="137"/>
      <c r="H460" s="58" t="str" cm="1">
        <f>IF(ISBLANK($A460),"",INDEX(Array_WaterCharges,MATCH($A460,List_WaterMeters,0),ROUNDUP((COLUMN()+0)/3-1,0)))</f>
        <v/>
      </c>
      <c r="I460" s="127"/>
      <c r="J460" s="137"/>
      <c r="K460" s="58" t="str" cm="1">
        <f>IF(ISBLANK($A460),"",INDEX(Array_WaterCharges,MATCH($A460,List_WaterMeters,0),ROUNDUP((COLUMN()+0)/3-1,0)))</f>
        <v/>
      </c>
      <c r="L460" s="127"/>
      <c r="M460" s="137"/>
      <c r="N460" s="58" t="str" cm="1">
        <f>IF(ISBLANK($A460),"",INDEX(Array_WaterCharges,MATCH($A460,List_WaterMeters,0),ROUNDUP((COLUMN()+0)/3-1,0)))</f>
        <v/>
      </c>
      <c r="O460" s="127"/>
      <c r="P460" s="137"/>
      <c r="Q460" s="58" t="str" cm="1">
        <f>IF(ISBLANK($A460),"",INDEX(Array_WaterCharges,MATCH($A460,List_WaterMeters,0),ROUNDUP((COLUMN()+0)/3-1,0)))</f>
        <v/>
      </c>
      <c r="R460" s="127"/>
      <c r="S460" s="137"/>
      <c r="T460" s="58" t="str" cm="1">
        <f>IF(ISBLANK($A460),"",INDEX(Array_WaterCharges,MATCH($A460,List_WaterMeters,0),ROUNDUP((COLUMN()+0)/3-1,0)))</f>
        <v/>
      </c>
      <c r="U460" s="127"/>
      <c r="V460" s="137"/>
      <c r="W460" s="58" t="str" cm="1">
        <f>IF(ISBLANK($A460),"",INDEX(Array_WaterCharges,MATCH($A460,List_WaterMeters,0),ROUNDUP((COLUMN()+0)/3-1,0)))</f>
        <v/>
      </c>
      <c r="X460" s="127"/>
      <c r="Y460" s="137"/>
      <c r="Z460" s="58" t="str" cm="1">
        <f>IF(ISBLANK($A460),"",INDEX(Array_WaterCharges,MATCH($A460,List_WaterMeters,0),ROUNDUP((COLUMN()+0)/3-1,0)))</f>
        <v/>
      </c>
      <c r="AA460" s="127"/>
      <c r="AB460" s="137"/>
      <c r="AC460" s="58" t="str" cm="1">
        <f>IF(ISBLANK($A460),"",INDEX(Array_WaterCharges,MATCH($A460,List_WaterMeters,0),ROUNDUP((COLUMN()+0)/3-1,0)))</f>
        <v/>
      </c>
      <c r="AD460" s="127"/>
      <c r="AE460" s="137"/>
      <c r="AF460" s="58" t="str" cm="1">
        <f>IF(ISBLANK($A460),"",INDEX(Array_WaterCharges,MATCH($A460,List_WaterMeters,0),ROUNDUP((COLUMN()+0)/3-1,0)))</f>
        <v/>
      </c>
      <c r="AG460" s="127"/>
      <c r="AH460" s="137"/>
    </row>
    <row r="461" spans="1:34" x14ac:dyDescent="0.3">
      <c r="A461" s="126"/>
      <c r="B461" s="133"/>
      <c r="C461" s="127"/>
      <c r="D461" s="137"/>
      <c r="E461" s="58" t="str" cm="1">
        <f>IF(ISBLANK($A461),"",INDEX(Array_WaterCharges,MATCH($A461,List_WaterMeters,0),ROUNDUP((COLUMN()+0)/3-1,0)))</f>
        <v/>
      </c>
      <c r="F461" s="127"/>
      <c r="G461" s="137"/>
      <c r="H461" s="58" t="str" cm="1">
        <f>IF(ISBLANK($A461),"",INDEX(Array_WaterCharges,MATCH($A461,List_WaterMeters,0),ROUNDUP((COLUMN()+0)/3-1,0)))</f>
        <v/>
      </c>
      <c r="I461" s="127"/>
      <c r="J461" s="137"/>
      <c r="K461" s="58" t="str" cm="1">
        <f>IF(ISBLANK($A461),"",INDEX(Array_WaterCharges,MATCH($A461,List_WaterMeters,0),ROUNDUP((COLUMN()+0)/3-1,0)))</f>
        <v/>
      </c>
      <c r="L461" s="127"/>
      <c r="M461" s="137"/>
      <c r="N461" s="58" t="str" cm="1">
        <f>IF(ISBLANK($A461),"",INDEX(Array_WaterCharges,MATCH($A461,List_WaterMeters,0),ROUNDUP((COLUMN()+0)/3-1,0)))</f>
        <v/>
      </c>
      <c r="O461" s="127"/>
      <c r="P461" s="137"/>
      <c r="Q461" s="58" t="str" cm="1">
        <f>IF(ISBLANK($A461),"",INDEX(Array_WaterCharges,MATCH($A461,List_WaterMeters,0),ROUNDUP((COLUMN()+0)/3-1,0)))</f>
        <v/>
      </c>
      <c r="R461" s="127"/>
      <c r="S461" s="137"/>
      <c r="T461" s="58" t="str" cm="1">
        <f>IF(ISBLANK($A461),"",INDEX(Array_WaterCharges,MATCH($A461,List_WaterMeters,0),ROUNDUP((COLUMN()+0)/3-1,0)))</f>
        <v/>
      </c>
      <c r="U461" s="127"/>
      <c r="V461" s="137"/>
      <c r="W461" s="58" t="str" cm="1">
        <f>IF(ISBLANK($A461),"",INDEX(Array_WaterCharges,MATCH($A461,List_WaterMeters,0),ROUNDUP((COLUMN()+0)/3-1,0)))</f>
        <v/>
      </c>
      <c r="X461" s="127"/>
      <c r="Y461" s="137"/>
      <c r="Z461" s="58" t="str" cm="1">
        <f>IF(ISBLANK($A461),"",INDEX(Array_WaterCharges,MATCH($A461,List_WaterMeters,0),ROUNDUP((COLUMN()+0)/3-1,0)))</f>
        <v/>
      </c>
      <c r="AA461" s="127"/>
      <c r="AB461" s="137"/>
      <c r="AC461" s="58" t="str" cm="1">
        <f>IF(ISBLANK($A461),"",INDEX(Array_WaterCharges,MATCH($A461,List_WaterMeters,0),ROUNDUP((COLUMN()+0)/3-1,0)))</f>
        <v/>
      </c>
      <c r="AD461" s="127"/>
      <c r="AE461" s="137"/>
      <c r="AF461" s="58" t="str" cm="1">
        <f>IF(ISBLANK($A461),"",INDEX(Array_WaterCharges,MATCH($A461,List_WaterMeters,0),ROUNDUP((COLUMN()+0)/3-1,0)))</f>
        <v/>
      </c>
      <c r="AG461" s="127"/>
      <c r="AH461" s="137"/>
    </row>
    <row r="462" spans="1:34" x14ac:dyDescent="0.3">
      <c r="A462" s="126"/>
      <c r="B462" s="133"/>
      <c r="C462" s="127"/>
      <c r="D462" s="137"/>
      <c r="E462" s="58" t="str" cm="1">
        <f>IF(ISBLANK($A462),"",INDEX(Array_WaterCharges,MATCH($A462,List_WaterMeters,0),ROUNDUP((COLUMN()+0)/3-1,0)))</f>
        <v/>
      </c>
      <c r="F462" s="127"/>
      <c r="G462" s="137"/>
      <c r="H462" s="58" t="str" cm="1">
        <f>IF(ISBLANK($A462),"",INDEX(Array_WaterCharges,MATCH($A462,List_WaterMeters,0),ROUNDUP((COLUMN()+0)/3-1,0)))</f>
        <v/>
      </c>
      <c r="I462" s="127"/>
      <c r="J462" s="137"/>
      <c r="K462" s="58" t="str" cm="1">
        <f>IF(ISBLANK($A462),"",INDEX(Array_WaterCharges,MATCH($A462,List_WaterMeters,0),ROUNDUP((COLUMN()+0)/3-1,0)))</f>
        <v/>
      </c>
      <c r="L462" s="127"/>
      <c r="M462" s="137"/>
      <c r="N462" s="58" t="str" cm="1">
        <f>IF(ISBLANK($A462),"",INDEX(Array_WaterCharges,MATCH($A462,List_WaterMeters,0),ROUNDUP((COLUMN()+0)/3-1,0)))</f>
        <v/>
      </c>
      <c r="O462" s="127"/>
      <c r="P462" s="137"/>
      <c r="Q462" s="58" t="str" cm="1">
        <f>IF(ISBLANK($A462),"",INDEX(Array_WaterCharges,MATCH($A462,List_WaterMeters,0),ROUNDUP((COLUMN()+0)/3-1,0)))</f>
        <v/>
      </c>
      <c r="R462" s="127"/>
      <c r="S462" s="137"/>
      <c r="T462" s="58" t="str" cm="1">
        <f>IF(ISBLANK($A462),"",INDEX(Array_WaterCharges,MATCH($A462,List_WaterMeters,0),ROUNDUP((COLUMN()+0)/3-1,0)))</f>
        <v/>
      </c>
      <c r="U462" s="127"/>
      <c r="V462" s="137"/>
      <c r="W462" s="58" t="str" cm="1">
        <f>IF(ISBLANK($A462),"",INDEX(Array_WaterCharges,MATCH($A462,List_WaterMeters,0),ROUNDUP((COLUMN()+0)/3-1,0)))</f>
        <v/>
      </c>
      <c r="X462" s="127"/>
      <c r="Y462" s="137"/>
      <c r="Z462" s="58" t="str" cm="1">
        <f>IF(ISBLANK($A462),"",INDEX(Array_WaterCharges,MATCH($A462,List_WaterMeters,0),ROUNDUP((COLUMN()+0)/3-1,0)))</f>
        <v/>
      </c>
      <c r="AA462" s="127"/>
      <c r="AB462" s="137"/>
      <c r="AC462" s="58" t="str" cm="1">
        <f>IF(ISBLANK($A462),"",INDEX(Array_WaterCharges,MATCH($A462,List_WaterMeters,0),ROUNDUP((COLUMN()+0)/3-1,0)))</f>
        <v/>
      </c>
      <c r="AD462" s="127"/>
      <c r="AE462" s="137"/>
      <c r="AF462" s="58" t="str" cm="1">
        <f>IF(ISBLANK($A462),"",INDEX(Array_WaterCharges,MATCH($A462,List_WaterMeters,0),ROUNDUP((COLUMN()+0)/3-1,0)))</f>
        <v/>
      </c>
      <c r="AG462" s="127"/>
      <c r="AH462" s="137"/>
    </row>
    <row r="463" spans="1:34" x14ac:dyDescent="0.3">
      <c r="A463" s="126"/>
      <c r="B463" s="133"/>
      <c r="C463" s="127"/>
      <c r="D463" s="137"/>
      <c r="E463" s="58" t="str" cm="1">
        <f>IF(ISBLANK($A463),"",INDEX(Array_WaterCharges,MATCH($A463,List_WaterMeters,0),ROUNDUP((COLUMN()+0)/3-1,0)))</f>
        <v/>
      </c>
      <c r="F463" s="127"/>
      <c r="G463" s="137"/>
      <c r="H463" s="58" t="str" cm="1">
        <f>IF(ISBLANK($A463),"",INDEX(Array_WaterCharges,MATCH($A463,List_WaterMeters,0),ROUNDUP((COLUMN()+0)/3-1,0)))</f>
        <v/>
      </c>
      <c r="I463" s="127"/>
      <c r="J463" s="137"/>
      <c r="K463" s="58" t="str" cm="1">
        <f>IF(ISBLANK($A463),"",INDEX(Array_WaterCharges,MATCH($A463,List_WaterMeters,0),ROUNDUP((COLUMN()+0)/3-1,0)))</f>
        <v/>
      </c>
      <c r="L463" s="127"/>
      <c r="M463" s="137"/>
      <c r="N463" s="58" t="str" cm="1">
        <f>IF(ISBLANK($A463),"",INDEX(Array_WaterCharges,MATCH($A463,List_WaterMeters,0),ROUNDUP((COLUMN()+0)/3-1,0)))</f>
        <v/>
      </c>
      <c r="O463" s="127"/>
      <c r="P463" s="137"/>
      <c r="Q463" s="58" t="str" cm="1">
        <f>IF(ISBLANK($A463),"",INDEX(Array_WaterCharges,MATCH($A463,List_WaterMeters,0),ROUNDUP((COLUMN()+0)/3-1,0)))</f>
        <v/>
      </c>
      <c r="R463" s="127"/>
      <c r="S463" s="137"/>
      <c r="T463" s="58" t="str" cm="1">
        <f>IF(ISBLANK($A463),"",INDEX(Array_WaterCharges,MATCH($A463,List_WaterMeters,0),ROUNDUP((COLUMN()+0)/3-1,0)))</f>
        <v/>
      </c>
      <c r="U463" s="127"/>
      <c r="V463" s="137"/>
      <c r="W463" s="58" t="str" cm="1">
        <f>IF(ISBLANK($A463),"",INDEX(Array_WaterCharges,MATCH($A463,List_WaterMeters,0),ROUNDUP((COLUMN()+0)/3-1,0)))</f>
        <v/>
      </c>
      <c r="X463" s="127"/>
      <c r="Y463" s="137"/>
      <c r="Z463" s="58" t="str" cm="1">
        <f>IF(ISBLANK($A463),"",INDEX(Array_WaterCharges,MATCH($A463,List_WaterMeters,0),ROUNDUP((COLUMN()+0)/3-1,0)))</f>
        <v/>
      </c>
      <c r="AA463" s="127"/>
      <c r="AB463" s="137"/>
      <c r="AC463" s="58" t="str" cm="1">
        <f>IF(ISBLANK($A463),"",INDEX(Array_WaterCharges,MATCH($A463,List_WaterMeters,0),ROUNDUP((COLUMN()+0)/3-1,0)))</f>
        <v/>
      </c>
      <c r="AD463" s="127"/>
      <c r="AE463" s="137"/>
      <c r="AF463" s="58" t="str" cm="1">
        <f>IF(ISBLANK($A463),"",INDEX(Array_WaterCharges,MATCH($A463,List_WaterMeters,0),ROUNDUP((COLUMN()+0)/3-1,0)))</f>
        <v/>
      </c>
      <c r="AG463" s="127"/>
      <c r="AH463" s="137"/>
    </row>
    <row r="464" spans="1:34" x14ac:dyDescent="0.3">
      <c r="A464" s="126"/>
      <c r="B464" s="133"/>
      <c r="C464" s="127"/>
      <c r="D464" s="137"/>
      <c r="E464" s="58" t="str" cm="1">
        <f>IF(ISBLANK($A464),"",INDEX(Array_WaterCharges,MATCH($A464,List_WaterMeters,0),ROUNDUP((COLUMN()+0)/3-1,0)))</f>
        <v/>
      </c>
      <c r="F464" s="127"/>
      <c r="G464" s="137"/>
      <c r="H464" s="58" t="str" cm="1">
        <f>IF(ISBLANK($A464),"",INDEX(Array_WaterCharges,MATCH($A464,List_WaterMeters,0),ROUNDUP((COLUMN()+0)/3-1,0)))</f>
        <v/>
      </c>
      <c r="I464" s="127"/>
      <c r="J464" s="137"/>
      <c r="K464" s="58" t="str" cm="1">
        <f>IF(ISBLANK($A464),"",INDEX(Array_WaterCharges,MATCH($A464,List_WaterMeters,0),ROUNDUP((COLUMN()+0)/3-1,0)))</f>
        <v/>
      </c>
      <c r="L464" s="127"/>
      <c r="M464" s="137"/>
      <c r="N464" s="58" t="str" cm="1">
        <f>IF(ISBLANK($A464),"",INDEX(Array_WaterCharges,MATCH($A464,List_WaterMeters,0),ROUNDUP((COLUMN()+0)/3-1,0)))</f>
        <v/>
      </c>
      <c r="O464" s="127"/>
      <c r="P464" s="137"/>
      <c r="Q464" s="58" t="str" cm="1">
        <f>IF(ISBLANK($A464),"",INDEX(Array_WaterCharges,MATCH($A464,List_WaterMeters,0),ROUNDUP((COLUMN()+0)/3-1,0)))</f>
        <v/>
      </c>
      <c r="R464" s="127"/>
      <c r="S464" s="137"/>
      <c r="T464" s="58" t="str" cm="1">
        <f>IF(ISBLANK($A464),"",INDEX(Array_WaterCharges,MATCH($A464,List_WaterMeters,0),ROUNDUP((COLUMN()+0)/3-1,0)))</f>
        <v/>
      </c>
      <c r="U464" s="127"/>
      <c r="V464" s="137"/>
      <c r="W464" s="58" t="str" cm="1">
        <f>IF(ISBLANK($A464),"",INDEX(Array_WaterCharges,MATCH($A464,List_WaterMeters,0),ROUNDUP((COLUMN()+0)/3-1,0)))</f>
        <v/>
      </c>
      <c r="X464" s="127"/>
      <c r="Y464" s="137"/>
      <c r="Z464" s="58" t="str" cm="1">
        <f>IF(ISBLANK($A464),"",INDEX(Array_WaterCharges,MATCH($A464,List_WaterMeters,0),ROUNDUP((COLUMN()+0)/3-1,0)))</f>
        <v/>
      </c>
      <c r="AA464" s="127"/>
      <c r="AB464" s="137"/>
      <c r="AC464" s="58" t="str" cm="1">
        <f>IF(ISBLANK($A464),"",INDEX(Array_WaterCharges,MATCH($A464,List_WaterMeters,0),ROUNDUP((COLUMN()+0)/3-1,0)))</f>
        <v/>
      </c>
      <c r="AD464" s="127"/>
      <c r="AE464" s="137"/>
      <c r="AF464" s="58" t="str" cm="1">
        <f>IF(ISBLANK($A464),"",INDEX(Array_WaterCharges,MATCH($A464,List_WaterMeters,0),ROUNDUP((COLUMN()+0)/3-1,0)))</f>
        <v/>
      </c>
      <c r="AG464" s="127"/>
      <c r="AH464" s="137"/>
    </row>
    <row r="465" spans="1:34" x14ac:dyDescent="0.3">
      <c r="A465" s="126"/>
      <c r="B465" s="133"/>
      <c r="C465" s="127"/>
      <c r="D465" s="137"/>
      <c r="E465" s="58" t="str" cm="1">
        <f>IF(ISBLANK($A465),"",INDEX(Array_WaterCharges,MATCH($A465,List_WaterMeters,0),ROUNDUP((COLUMN()+0)/3-1,0)))</f>
        <v/>
      </c>
      <c r="F465" s="127"/>
      <c r="G465" s="137"/>
      <c r="H465" s="58" t="str" cm="1">
        <f>IF(ISBLANK($A465),"",INDEX(Array_WaterCharges,MATCH($A465,List_WaterMeters,0),ROUNDUP((COLUMN()+0)/3-1,0)))</f>
        <v/>
      </c>
      <c r="I465" s="127"/>
      <c r="J465" s="137"/>
      <c r="K465" s="58" t="str" cm="1">
        <f>IF(ISBLANK($A465),"",INDEX(Array_WaterCharges,MATCH($A465,List_WaterMeters,0),ROUNDUP((COLUMN()+0)/3-1,0)))</f>
        <v/>
      </c>
      <c r="L465" s="127"/>
      <c r="M465" s="137"/>
      <c r="N465" s="58" t="str" cm="1">
        <f>IF(ISBLANK($A465),"",INDEX(Array_WaterCharges,MATCH($A465,List_WaterMeters,0),ROUNDUP((COLUMN()+0)/3-1,0)))</f>
        <v/>
      </c>
      <c r="O465" s="127"/>
      <c r="P465" s="137"/>
      <c r="Q465" s="58" t="str" cm="1">
        <f>IF(ISBLANK($A465),"",INDEX(Array_WaterCharges,MATCH($A465,List_WaterMeters,0),ROUNDUP((COLUMN()+0)/3-1,0)))</f>
        <v/>
      </c>
      <c r="R465" s="127"/>
      <c r="S465" s="137"/>
      <c r="T465" s="58" t="str" cm="1">
        <f>IF(ISBLANK($A465),"",INDEX(Array_WaterCharges,MATCH($A465,List_WaterMeters,0),ROUNDUP((COLUMN()+0)/3-1,0)))</f>
        <v/>
      </c>
      <c r="U465" s="127"/>
      <c r="V465" s="137"/>
      <c r="W465" s="58" t="str" cm="1">
        <f>IF(ISBLANK($A465),"",INDEX(Array_WaterCharges,MATCH($A465,List_WaterMeters,0),ROUNDUP((COLUMN()+0)/3-1,0)))</f>
        <v/>
      </c>
      <c r="X465" s="127"/>
      <c r="Y465" s="137"/>
      <c r="Z465" s="58" t="str" cm="1">
        <f>IF(ISBLANK($A465),"",INDEX(Array_WaterCharges,MATCH($A465,List_WaterMeters,0),ROUNDUP((COLUMN()+0)/3-1,0)))</f>
        <v/>
      </c>
      <c r="AA465" s="127"/>
      <c r="AB465" s="137"/>
      <c r="AC465" s="58" t="str" cm="1">
        <f>IF(ISBLANK($A465),"",INDEX(Array_WaterCharges,MATCH($A465,List_WaterMeters,0),ROUNDUP((COLUMN()+0)/3-1,0)))</f>
        <v/>
      </c>
      <c r="AD465" s="127"/>
      <c r="AE465" s="137"/>
      <c r="AF465" s="58" t="str" cm="1">
        <f>IF(ISBLANK($A465),"",INDEX(Array_WaterCharges,MATCH($A465,List_WaterMeters,0),ROUNDUP((COLUMN()+0)/3-1,0)))</f>
        <v/>
      </c>
      <c r="AG465" s="127"/>
      <c r="AH465" s="137"/>
    </row>
    <row r="466" spans="1:34" x14ac:dyDescent="0.3">
      <c r="A466" s="126"/>
      <c r="B466" s="133"/>
      <c r="C466" s="127"/>
      <c r="D466" s="137"/>
      <c r="E466" s="58" t="str" cm="1">
        <f>IF(ISBLANK($A466),"",INDEX(Array_WaterCharges,MATCH($A466,List_WaterMeters,0),ROUNDUP((COLUMN()+0)/3-1,0)))</f>
        <v/>
      </c>
      <c r="F466" s="127"/>
      <c r="G466" s="137"/>
      <c r="H466" s="58" t="str" cm="1">
        <f>IF(ISBLANK($A466),"",INDEX(Array_WaterCharges,MATCH($A466,List_WaterMeters,0),ROUNDUP((COLUMN()+0)/3-1,0)))</f>
        <v/>
      </c>
      <c r="I466" s="127"/>
      <c r="J466" s="137"/>
      <c r="K466" s="58" t="str" cm="1">
        <f>IF(ISBLANK($A466),"",INDEX(Array_WaterCharges,MATCH($A466,List_WaterMeters,0),ROUNDUP((COLUMN()+0)/3-1,0)))</f>
        <v/>
      </c>
      <c r="L466" s="127"/>
      <c r="M466" s="137"/>
      <c r="N466" s="58" t="str" cm="1">
        <f>IF(ISBLANK($A466),"",INDEX(Array_WaterCharges,MATCH($A466,List_WaterMeters,0),ROUNDUP((COLUMN()+0)/3-1,0)))</f>
        <v/>
      </c>
      <c r="O466" s="127"/>
      <c r="P466" s="137"/>
      <c r="Q466" s="58" t="str" cm="1">
        <f>IF(ISBLANK($A466),"",INDEX(Array_WaterCharges,MATCH($A466,List_WaterMeters,0),ROUNDUP((COLUMN()+0)/3-1,0)))</f>
        <v/>
      </c>
      <c r="R466" s="127"/>
      <c r="S466" s="137"/>
      <c r="T466" s="58" t="str" cm="1">
        <f>IF(ISBLANK($A466),"",INDEX(Array_WaterCharges,MATCH($A466,List_WaterMeters,0),ROUNDUP((COLUMN()+0)/3-1,0)))</f>
        <v/>
      </c>
      <c r="U466" s="127"/>
      <c r="V466" s="137"/>
      <c r="W466" s="58" t="str" cm="1">
        <f>IF(ISBLANK($A466),"",INDEX(Array_WaterCharges,MATCH($A466,List_WaterMeters,0),ROUNDUP((COLUMN()+0)/3-1,0)))</f>
        <v/>
      </c>
      <c r="X466" s="127"/>
      <c r="Y466" s="137"/>
      <c r="Z466" s="58" t="str" cm="1">
        <f>IF(ISBLANK($A466),"",INDEX(Array_WaterCharges,MATCH($A466,List_WaterMeters,0),ROUNDUP((COLUMN()+0)/3-1,0)))</f>
        <v/>
      </c>
      <c r="AA466" s="127"/>
      <c r="AB466" s="137"/>
      <c r="AC466" s="58" t="str" cm="1">
        <f>IF(ISBLANK($A466),"",INDEX(Array_WaterCharges,MATCH($A466,List_WaterMeters,0),ROUNDUP((COLUMN()+0)/3-1,0)))</f>
        <v/>
      </c>
      <c r="AD466" s="127"/>
      <c r="AE466" s="137"/>
      <c r="AF466" s="58" t="str" cm="1">
        <f>IF(ISBLANK($A466),"",INDEX(Array_WaterCharges,MATCH($A466,List_WaterMeters,0),ROUNDUP((COLUMN()+0)/3-1,0)))</f>
        <v/>
      </c>
      <c r="AG466" s="127"/>
      <c r="AH466" s="137"/>
    </row>
    <row r="467" spans="1:34" x14ac:dyDescent="0.3">
      <c r="A467" s="126"/>
      <c r="B467" s="133"/>
      <c r="C467" s="127"/>
      <c r="D467" s="137"/>
      <c r="E467" s="58" t="str" cm="1">
        <f>IF(ISBLANK($A467),"",INDEX(Array_WaterCharges,MATCH($A467,List_WaterMeters,0),ROUNDUP((COLUMN()+0)/3-1,0)))</f>
        <v/>
      </c>
      <c r="F467" s="127"/>
      <c r="G467" s="137"/>
      <c r="H467" s="58" t="str" cm="1">
        <f>IF(ISBLANK($A467),"",INDEX(Array_WaterCharges,MATCH($A467,List_WaterMeters,0),ROUNDUP((COLUMN()+0)/3-1,0)))</f>
        <v/>
      </c>
      <c r="I467" s="127"/>
      <c r="J467" s="137"/>
      <c r="K467" s="58" t="str" cm="1">
        <f>IF(ISBLANK($A467),"",INDEX(Array_WaterCharges,MATCH($A467,List_WaterMeters,0),ROUNDUP((COLUMN()+0)/3-1,0)))</f>
        <v/>
      </c>
      <c r="L467" s="127"/>
      <c r="M467" s="137"/>
      <c r="N467" s="58" t="str" cm="1">
        <f>IF(ISBLANK($A467),"",INDEX(Array_WaterCharges,MATCH($A467,List_WaterMeters,0),ROUNDUP((COLUMN()+0)/3-1,0)))</f>
        <v/>
      </c>
      <c r="O467" s="127"/>
      <c r="P467" s="137"/>
      <c r="Q467" s="58" t="str" cm="1">
        <f>IF(ISBLANK($A467),"",INDEX(Array_WaterCharges,MATCH($A467,List_WaterMeters,0),ROUNDUP((COLUMN()+0)/3-1,0)))</f>
        <v/>
      </c>
      <c r="R467" s="127"/>
      <c r="S467" s="137"/>
      <c r="T467" s="58" t="str" cm="1">
        <f>IF(ISBLANK($A467),"",INDEX(Array_WaterCharges,MATCH($A467,List_WaterMeters,0),ROUNDUP((COLUMN()+0)/3-1,0)))</f>
        <v/>
      </c>
      <c r="U467" s="127"/>
      <c r="V467" s="137"/>
      <c r="W467" s="58" t="str" cm="1">
        <f>IF(ISBLANK($A467),"",INDEX(Array_WaterCharges,MATCH($A467,List_WaterMeters,0),ROUNDUP((COLUMN()+0)/3-1,0)))</f>
        <v/>
      </c>
      <c r="X467" s="127"/>
      <c r="Y467" s="137"/>
      <c r="Z467" s="58" t="str" cm="1">
        <f>IF(ISBLANK($A467),"",INDEX(Array_WaterCharges,MATCH($A467,List_WaterMeters,0),ROUNDUP((COLUMN()+0)/3-1,0)))</f>
        <v/>
      </c>
      <c r="AA467" s="127"/>
      <c r="AB467" s="137"/>
      <c r="AC467" s="58" t="str" cm="1">
        <f>IF(ISBLANK($A467),"",INDEX(Array_WaterCharges,MATCH($A467,List_WaterMeters,0),ROUNDUP((COLUMN()+0)/3-1,0)))</f>
        <v/>
      </c>
      <c r="AD467" s="127"/>
      <c r="AE467" s="137"/>
      <c r="AF467" s="58" t="str" cm="1">
        <f>IF(ISBLANK($A467),"",INDEX(Array_WaterCharges,MATCH($A467,List_WaterMeters,0),ROUNDUP((COLUMN()+0)/3-1,0)))</f>
        <v/>
      </c>
      <c r="AG467" s="127"/>
      <c r="AH467" s="137"/>
    </row>
    <row r="468" spans="1:34" x14ac:dyDescent="0.3">
      <c r="A468" s="126"/>
      <c r="B468" s="133"/>
      <c r="C468" s="127"/>
      <c r="D468" s="137"/>
      <c r="E468" s="58" t="str" cm="1">
        <f>IF(ISBLANK($A468),"",INDEX(Array_WaterCharges,MATCH($A468,List_WaterMeters,0),ROUNDUP((COLUMN()+0)/3-1,0)))</f>
        <v/>
      </c>
      <c r="F468" s="127"/>
      <c r="G468" s="137"/>
      <c r="H468" s="58" t="str" cm="1">
        <f>IF(ISBLANK($A468),"",INDEX(Array_WaterCharges,MATCH($A468,List_WaterMeters,0),ROUNDUP((COLUMN()+0)/3-1,0)))</f>
        <v/>
      </c>
      <c r="I468" s="127"/>
      <c r="J468" s="137"/>
      <c r="K468" s="58" t="str" cm="1">
        <f>IF(ISBLANK($A468),"",INDEX(Array_WaterCharges,MATCH($A468,List_WaterMeters,0),ROUNDUP((COLUMN()+0)/3-1,0)))</f>
        <v/>
      </c>
      <c r="L468" s="127"/>
      <c r="M468" s="137"/>
      <c r="N468" s="58" t="str" cm="1">
        <f>IF(ISBLANK($A468),"",INDEX(Array_WaterCharges,MATCH($A468,List_WaterMeters,0),ROUNDUP((COLUMN()+0)/3-1,0)))</f>
        <v/>
      </c>
      <c r="O468" s="127"/>
      <c r="P468" s="137"/>
      <c r="Q468" s="58" t="str" cm="1">
        <f>IF(ISBLANK($A468),"",INDEX(Array_WaterCharges,MATCH($A468,List_WaterMeters,0),ROUNDUP((COLUMN()+0)/3-1,0)))</f>
        <v/>
      </c>
      <c r="R468" s="127"/>
      <c r="S468" s="137"/>
      <c r="T468" s="58" t="str" cm="1">
        <f>IF(ISBLANK($A468),"",INDEX(Array_WaterCharges,MATCH($A468,List_WaterMeters,0),ROUNDUP((COLUMN()+0)/3-1,0)))</f>
        <v/>
      </c>
      <c r="U468" s="127"/>
      <c r="V468" s="137"/>
      <c r="W468" s="58" t="str" cm="1">
        <f>IF(ISBLANK($A468),"",INDEX(Array_WaterCharges,MATCH($A468,List_WaterMeters,0),ROUNDUP((COLUMN()+0)/3-1,0)))</f>
        <v/>
      </c>
      <c r="X468" s="127"/>
      <c r="Y468" s="137"/>
      <c r="Z468" s="58" t="str" cm="1">
        <f>IF(ISBLANK($A468),"",INDEX(Array_WaterCharges,MATCH($A468,List_WaterMeters,0),ROUNDUP((COLUMN()+0)/3-1,0)))</f>
        <v/>
      </c>
      <c r="AA468" s="127"/>
      <c r="AB468" s="137"/>
      <c r="AC468" s="58" t="str" cm="1">
        <f>IF(ISBLANK($A468),"",INDEX(Array_WaterCharges,MATCH($A468,List_WaterMeters,0),ROUNDUP((COLUMN()+0)/3-1,0)))</f>
        <v/>
      </c>
      <c r="AD468" s="127"/>
      <c r="AE468" s="137"/>
      <c r="AF468" s="58" t="str" cm="1">
        <f>IF(ISBLANK($A468),"",INDEX(Array_WaterCharges,MATCH($A468,List_WaterMeters,0),ROUNDUP((COLUMN()+0)/3-1,0)))</f>
        <v/>
      </c>
      <c r="AG468" s="127"/>
      <c r="AH468" s="137"/>
    </row>
    <row r="469" spans="1:34" x14ac:dyDescent="0.3">
      <c r="A469" s="126"/>
      <c r="B469" s="133"/>
      <c r="C469" s="127"/>
      <c r="D469" s="137"/>
      <c r="E469" s="58" t="str" cm="1">
        <f>IF(ISBLANK($A469),"",INDEX(Array_WaterCharges,MATCH($A469,List_WaterMeters,0),ROUNDUP((COLUMN()+0)/3-1,0)))</f>
        <v/>
      </c>
      <c r="F469" s="127"/>
      <c r="G469" s="137"/>
      <c r="H469" s="58" t="str" cm="1">
        <f>IF(ISBLANK($A469),"",INDEX(Array_WaterCharges,MATCH($A469,List_WaterMeters,0),ROUNDUP((COLUMN()+0)/3-1,0)))</f>
        <v/>
      </c>
      <c r="I469" s="127"/>
      <c r="J469" s="137"/>
      <c r="K469" s="58" t="str" cm="1">
        <f>IF(ISBLANK($A469),"",INDEX(Array_WaterCharges,MATCH($A469,List_WaterMeters,0),ROUNDUP((COLUMN()+0)/3-1,0)))</f>
        <v/>
      </c>
      <c r="L469" s="127"/>
      <c r="M469" s="137"/>
      <c r="N469" s="58" t="str" cm="1">
        <f>IF(ISBLANK($A469),"",INDEX(Array_WaterCharges,MATCH($A469,List_WaterMeters,0),ROUNDUP((COLUMN()+0)/3-1,0)))</f>
        <v/>
      </c>
      <c r="O469" s="127"/>
      <c r="P469" s="137"/>
      <c r="Q469" s="58" t="str" cm="1">
        <f>IF(ISBLANK($A469),"",INDEX(Array_WaterCharges,MATCH($A469,List_WaterMeters,0),ROUNDUP((COLUMN()+0)/3-1,0)))</f>
        <v/>
      </c>
      <c r="R469" s="127"/>
      <c r="S469" s="137"/>
      <c r="T469" s="58" t="str" cm="1">
        <f>IF(ISBLANK($A469),"",INDEX(Array_WaterCharges,MATCH($A469,List_WaterMeters,0),ROUNDUP((COLUMN()+0)/3-1,0)))</f>
        <v/>
      </c>
      <c r="U469" s="127"/>
      <c r="V469" s="137"/>
      <c r="W469" s="58" t="str" cm="1">
        <f>IF(ISBLANK($A469),"",INDEX(Array_WaterCharges,MATCH($A469,List_WaterMeters,0),ROUNDUP((COLUMN()+0)/3-1,0)))</f>
        <v/>
      </c>
      <c r="X469" s="127"/>
      <c r="Y469" s="137"/>
      <c r="Z469" s="58" t="str" cm="1">
        <f>IF(ISBLANK($A469),"",INDEX(Array_WaterCharges,MATCH($A469,List_WaterMeters,0),ROUNDUP((COLUMN()+0)/3-1,0)))</f>
        <v/>
      </c>
      <c r="AA469" s="127"/>
      <c r="AB469" s="137"/>
      <c r="AC469" s="58" t="str" cm="1">
        <f>IF(ISBLANK($A469),"",INDEX(Array_WaterCharges,MATCH($A469,List_WaterMeters,0),ROUNDUP((COLUMN()+0)/3-1,0)))</f>
        <v/>
      </c>
      <c r="AD469" s="127"/>
      <c r="AE469" s="137"/>
      <c r="AF469" s="58" t="str" cm="1">
        <f>IF(ISBLANK($A469),"",INDEX(Array_WaterCharges,MATCH($A469,List_WaterMeters,0),ROUNDUP((COLUMN()+0)/3-1,0)))</f>
        <v/>
      </c>
      <c r="AG469" s="127"/>
      <c r="AH469" s="137"/>
    </row>
    <row r="470" spans="1:34" x14ac:dyDescent="0.3">
      <c r="A470" s="126"/>
      <c r="B470" s="133"/>
      <c r="C470" s="127"/>
      <c r="D470" s="137"/>
      <c r="E470" s="58" t="str" cm="1">
        <f>IF(ISBLANK($A470),"",INDEX(Array_WaterCharges,MATCH($A470,List_WaterMeters,0),ROUNDUP((COLUMN()+0)/3-1,0)))</f>
        <v/>
      </c>
      <c r="F470" s="127"/>
      <c r="G470" s="137"/>
      <c r="H470" s="58" t="str" cm="1">
        <f>IF(ISBLANK($A470),"",INDEX(Array_WaterCharges,MATCH($A470,List_WaterMeters,0),ROUNDUP((COLUMN()+0)/3-1,0)))</f>
        <v/>
      </c>
      <c r="I470" s="127"/>
      <c r="J470" s="137"/>
      <c r="K470" s="58" t="str" cm="1">
        <f>IF(ISBLANK($A470),"",INDEX(Array_WaterCharges,MATCH($A470,List_WaterMeters,0),ROUNDUP((COLUMN()+0)/3-1,0)))</f>
        <v/>
      </c>
      <c r="L470" s="127"/>
      <c r="M470" s="137"/>
      <c r="N470" s="58" t="str" cm="1">
        <f>IF(ISBLANK($A470),"",INDEX(Array_WaterCharges,MATCH($A470,List_WaterMeters,0),ROUNDUP((COLUMN()+0)/3-1,0)))</f>
        <v/>
      </c>
      <c r="O470" s="127"/>
      <c r="P470" s="137"/>
      <c r="Q470" s="58" t="str" cm="1">
        <f>IF(ISBLANK($A470),"",INDEX(Array_WaterCharges,MATCH($A470,List_WaterMeters,0),ROUNDUP((COLUMN()+0)/3-1,0)))</f>
        <v/>
      </c>
      <c r="R470" s="127"/>
      <c r="S470" s="137"/>
      <c r="T470" s="58" t="str" cm="1">
        <f>IF(ISBLANK($A470),"",INDEX(Array_WaterCharges,MATCH($A470,List_WaterMeters,0),ROUNDUP((COLUMN()+0)/3-1,0)))</f>
        <v/>
      </c>
      <c r="U470" s="127"/>
      <c r="V470" s="137"/>
      <c r="W470" s="58" t="str" cm="1">
        <f>IF(ISBLANK($A470),"",INDEX(Array_WaterCharges,MATCH($A470,List_WaterMeters,0),ROUNDUP((COLUMN()+0)/3-1,0)))</f>
        <v/>
      </c>
      <c r="X470" s="127"/>
      <c r="Y470" s="137"/>
      <c r="Z470" s="58" t="str" cm="1">
        <f>IF(ISBLANK($A470),"",INDEX(Array_WaterCharges,MATCH($A470,List_WaterMeters,0),ROUNDUP((COLUMN()+0)/3-1,0)))</f>
        <v/>
      </c>
      <c r="AA470" s="127"/>
      <c r="AB470" s="137"/>
      <c r="AC470" s="58" t="str" cm="1">
        <f>IF(ISBLANK($A470),"",INDEX(Array_WaterCharges,MATCH($A470,List_WaterMeters,0),ROUNDUP((COLUMN()+0)/3-1,0)))</f>
        <v/>
      </c>
      <c r="AD470" s="127"/>
      <c r="AE470" s="137"/>
      <c r="AF470" s="58" t="str" cm="1">
        <f>IF(ISBLANK($A470),"",INDEX(Array_WaterCharges,MATCH($A470,List_WaterMeters,0),ROUNDUP((COLUMN()+0)/3-1,0)))</f>
        <v/>
      </c>
      <c r="AG470" s="127"/>
      <c r="AH470" s="137"/>
    </row>
    <row r="471" spans="1:34" x14ac:dyDescent="0.3">
      <c r="A471" s="126"/>
      <c r="B471" s="133"/>
      <c r="C471" s="127"/>
      <c r="D471" s="137"/>
      <c r="E471" s="58" t="str" cm="1">
        <f>IF(ISBLANK($A471),"",INDEX(Array_WaterCharges,MATCH($A471,List_WaterMeters,0),ROUNDUP((COLUMN()+0)/3-1,0)))</f>
        <v/>
      </c>
      <c r="F471" s="127"/>
      <c r="G471" s="137"/>
      <c r="H471" s="58" t="str" cm="1">
        <f>IF(ISBLANK($A471),"",INDEX(Array_WaterCharges,MATCH($A471,List_WaterMeters,0),ROUNDUP((COLUMN()+0)/3-1,0)))</f>
        <v/>
      </c>
      <c r="I471" s="127"/>
      <c r="J471" s="137"/>
      <c r="K471" s="58" t="str" cm="1">
        <f>IF(ISBLANK($A471),"",INDEX(Array_WaterCharges,MATCH($A471,List_WaterMeters,0),ROUNDUP((COLUMN()+0)/3-1,0)))</f>
        <v/>
      </c>
      <c r="L471" s="127"/>
      <c r="M471" s="137"/>
      <c r="N471" s="58" t="str" cm="1">
        <f>IF(ISBLANK($A471),"",INDEX(Array_WaterCharges,MATCH($A471,List_WaterMeters,0),ROUNDUP((COLUMN()+0)/3-1,0)))</f>
        <v/>
      </c>
      <c r="O471" s="127"/>
      <c r="P471" s="137"/>
      <c r="Q471" s="58" t="str" cm="1">
        <f>IF(ISBLANK($A471),"",INDEX(Array_WaterCharges,MATCH($A471,List_WaterMeters,0),ROUNDUP((COLUMN()+0)/3-1,0)))</f>
        <v/>
      </c>
      <c r="R471" s="127"/>
      <c r="S471" s="137"/>
      <c r="T471" s="58" t="str" cm="1">
        <f>IF(ISBLANK($A471),"",INDEX(Array_WaterCharges,MATCH($A471,List_WaterMeters,0),ROUNDUP((COLUMN()+0)/3-1,0)))</f>
        <v/>
      </c>
      <c r="U471" s="127"/>
      <c r="V471" s="137"/>
      <c r="W471" s="58" t="str" cm="1">
        <f>IF(ISBLANK($A471),"",INDEX(Array_WaterCharges,MATCH($A471,List_WaterMeters,0),ROUNDUP((COLUMN()+0)/3-1,0)))</f>
        <v/>
      </c>
      <c r="X471" s="127"/>
      <c r="Y471" s="137"/>
      <c r="Z471" s="58" t="str" cm="1">
        <f>IF(ISBLANK($A471),"",INDEX(Array_WaterCharges,MATCH($A471,List_WaterMeters,0),ROUNDUP((COLUMN()+0)/3-1,0)))</f>
        <v/>
      </c>
      <c r="AA471" s="127"/>
      <c r="AB471" s="137"/>
      <c r="AC471" s="58" t="str" cm="1">
        <f>IF(ISBLANK($A471),"",INDEX(Array_WaterCharges,MATCH($A471,List_WaterMeters,0),ROUNDUP((COLUMN()+0)/3-1,0)))</f>
        <v/>
      </c>
      <c r="AD471" s="127"/>
      <c r="AE471" s="137"/>
      <c r="AF471" s="58" t="str" cm="1">
        <f>IF(ISBLANK($A471),"",INDEX(Array_WaterCharges,MATCH($A471,List_WaterMeters,0),ROUNDUP((COLUMN()+0)/3-1,0)))</f>
        <v/>
      </c>
      <c r="AG471" s="127"/>
      <c r="AH471" s="137"/>
    </row>
    <row r="472" spans="1:34" x14ac:dyDescent="0.3">
      <c r="A472" s="126"/>
      <c r="B472" s="133"/>
      <c r="C472" s="127"/>
      <c r="D472" s="137"/>
      <c r="E472" s="58" t="str" cm="1">
        <f>IF(ISBLANK($A472),"",INDEX(Array_WaterCharges,MATCH($A472,List_WaterMeters,0),ROUNDUP((COLUMN()+0)/3-1,0)))</f>
        <v/>
      </c>
      <c r="F472" s="127"/>
      <c r="G472" s="137"/>
      <c r="H472" s="58" t="str" cm="1">
        <f>IF(ISBLANK($A472),"",INDEX(Array_WaterCharges,MATCH($A472,List_WaterMeters,0),ROUNDUP((COLUMN()+0)/3-1,0)))</f>
        <v/>
      </c>
      <c r="I472" s="127"/>
      <c r="J472" s="137"/>
      <c r="K472" s="58" t="str" cm="1">
        <f>IF(ISBLANK($A472),"",INDEX(Array_WaterCharges,MATCH($A472,List_WaterMeters,0),ROUNDUP((COLUMN()+0)/3-1,0)))</f>
        <v/>
      </c>
      <c r="L472" s="127"/>
      <c r="M472" s="137"/>
      <c r="N472" s="58" t="str" cm="1">
        <f>IF(ISBLANK($A472),"",INDEX(Array_WaterCharges,MATCH($A472,List_WaterMeters,0),ROUNDUP((COLUMN()+0)/3-1,0)))</f>
        <v/>
      </c>
      <c r="O472" s="127"/>
      <c r="P472" s="137"/>
      <c r="Q472" s="58" t="str" cm="1">
        <f>IF(ISBLANK($A472),"",INDEX(Array_WaterCharges,MATCH($A472,List_WaterMeters,0),ROUNDUP((COLUMN()+0)/3-1,0)))</f>
        <v/>
      </c>
      <c r="R472" s="127"/>
      <c r="S472" s="137"/>
      <c r="T472" s="58" t="str" cm="1">
        <f>IF(ISBLANK($A472),"",INDEX(Array_WaterCharges,MATCH($A472,List_WaterMeters,0),ROUNDUP((COLUMN()+0)/3-1,0)))</f>
        <v/>
      </c>
      <c r="U472" s="127"/>
      <c r="V472" s="137"/>
      <c r="W472" s="58" t="str" cm="1">
        <f>IF(ISBLANK($A472),"",INDEX(Array_WaterCharges,MATCH($A472,List_WaterMeters,0),ROUNDUP((COLUMN()+0)/3-1,0)))</f>
        <v/>
      </c>
      <c r="X472" s="127"/>
      <c r="Y472" s="137"/>
      <c r="Z472" s="58" t="str" cm="1">
        <f>IF(ISBLANK($A472),"",INDEX(Array_WaterCharges,MATCH($A472,List_WaterMeters,0),ROUNDUP((COLUMN()+0)/3-1,0)))</f>
        <v/>
      </c>
      <c r="AA472" s="127"/>
      <c r="AB472" s="137"/>
      <c r="AC472" s="58" t="str" cm="1">
        <f>IF(ISBLANK($A472),"",INDEX(Array_WaterCharges,MATCH($A472,List_WaterMeters,0),ROUNDUP((COLUMN()+0)/3-1,0)))</f>
        <v/>
      </c>
      <c r="AD472" s="127"/>
      <c r="AE472" s="137"/>
      <c r="AF472" s="58" t="str" cm="1">
        <f>IF(ISBLANK($A472),"",INDEX(Array_WaterCharges,MATCH($A472,List_WaterMeters,0),ROUNDUP((COLUMN()+0)/3-1,0)))</f>
        <v/>
      </c>
      <c r="AG472" s="127"/>
      <c r="AH472" s="137"/>
    </row>
    <row r="473" spans="1:34" x14ac:dyDescent="0.3">
      <c r="A473" s="126"/>
      <c r="B473" s="133"/>
      <c r="C473" s="127"/>
      <c r="D473" s="137"/>
      <c r="E473" s="58" t="str" cm="1">
        <f>IF(ISBLANK($A473),"",INDEX(Array_WaterCharges,MATCH($A473,List_WaterMeters,0),ROUNDUP((COLUMN()+0)/3-1,0)))</f>
        <v/>
      </c>
      <c r="F473" s="127"/>
      <c r="G473" s="137"/>
      <c r="H473" s="58" t="str" cm="1">
        <f>IF(ISBLANK($A473),"",INDEX(Array_WaterCharges,MATCH($A473,List_WaterMeters,0),ROUNDUP((COLUMN()+0)/3-1,0)))</f>
        <v/>
      </c>
      <c r="I473" s="127"/>
      <c r="J473" s="137"/>
      <c r="K473" s="58" t="str" cm="1">
        <f>IF(ISBLANK($A473),"",INDEX(Array_WaterCharges,MATCH($A473,List_WaterMeters,0),ROUNDUP((COLUMN()+0)/3-1,0)))</f>
        <v/>
      </c>
      <c r="L473" s="127"/>
      <c r="M473" s="137"/>
      <c r="N473" s="58" t="str" cm="1">
        <f>IF(ISBLANK($A473),"",INDEX(Array_WaterCharges,MATCH($A473,List_WaterMeters,0),ROUNDUP((COLUMN()+0)/3-1,0)))</f>
        <v/>
      </c>
      <c r="O473" s="127"/>
      <c r="P473" s="137"/>
      <c r="Q473" s="58" t="str" cm="1">
        <f>IF(ISBLANK($A473),"",INDEX(Array_WaterCharges,MATCH($A473,List_WaterMeters,0),ROUNDUP((COLUMN()+0)/3-1,0)))</f>
        <v/>
      </c>
      <c r="R473" s="127"/>
      <c r="S473" s="137"/>
      <c r="T473" s="58" t="str" cm="1">
        <f>IF(ISBLANK($A473),"",INDEX(Array_WaterCharges,MATCH($A473,List_WaterMeters,0),ROUNDUP((COLUMN()+0)/3-1,0)))</f>
        <v/>
      </c>
      <c r="U473" s="127"/>
      <c r="V473" s="137"/>
      <c r="W473" s="58" t="str" cm="1">
        <f>IF(ISBLANK($A473),"",INDEX(Array_WaterCharges,MATCH($A473,List_WaterMeters,0),ROUNDUP((COLUMN()+0)/3-1,0)))</f>
        <v/>
      </c>
      <c r="X473" s="127"/>
      <c r="Y473" s="137"/>
      <c r="Z473" s="58" t="str" cm="1">
        <f>IF(ISBLANK($A473),"",INDEX(Array_WaterCharges,MATCH($A473,List_WaterMeters,0),ROUNDUP((COLUMN()+0)/3-1,0)))</f>
        <v/>
      </c>
      <c r="AA473" s="127"/>
      <c r="AB473" s="137"/>
      <c r="AC473" s="58" t="str" cm="1">
        <f>IF(ISBLANK($A473),"",INDEX(Array_WaterCharges,MATCH($A473,List_WaterMeters,0),ROUNDUP((COLUMN()+0)/3-1,0)))</f>
        <v/>
      </c>
      <c r="AD473" s="127"/>
      <c r="AE473" s="137"/>
      <c r="AF473" s="58" t="str" cm="1">
        <f>IF(ISBLANK($A473),"",INDEX(Array_WaterCharges,MATCH($A473,List_WaterMeters,0),ROUNDUP((COLUMN()+0)/3-1,0)))</f>
        <v/>
      </c>
      <c r="AG473" s="127"/>
      <c r="AH473" s="137"/>
    </row>
    <row r="474" spans="1:34" x14ac:dyDescent="0.3">
      <c r="A474" s="126"/>
      <c r="B474" s="133"/>
      <c r="C474" s="127"/>
      <c r="D474" s="137"/>
      <c r="E474" s="58" t="str" cm="1">
        <f>IF(ISBLANK($A474),"",INDEX(Array_WaterCharges,MATCH($A474,List_WaterMeters,0),ROUNDUP((COLUMN()+0)/3-1,0)))</f>
        <v/>
      </c>
      <c r="F474" s="127"/>
      <c r="G474" s="137"/>
      <c r="H474" s="58" t="str" cm="1">
        <f>IF(ISBLANK($A474),"",INDEX(Array_WaterCharges,MATCH($A474,List_WaterMeters,0),ROUNDUP((COLUMN()+0)/3-1,0)))</f>
        <v/>
      </c>
      <c r="I474" s="127"/>
      <c r="J474" s="137"/>
      <c r="K474" s="58" t="str" cm="1">
        <f>IF(ISBLANK($A474),"",INDEX(Array_WaterCharges,MATCH($A474,List_WaterMeters,0),ROUNDUP((COLUMN()+0)/3-1,0)))</f>
        <v/>
      </c>
      <c r="L474" s="127"/>
      <c r="M474" s="137"/>
      <c r="N474" s="58" t="str" cm="1">
        <f>IF(ISBLANK($A474),"",INDEX(Array_WaterCharges,MATCH($A474,List_WaterMeters,0),ROUNDUP((COLUMN()+0)/3-1,0)))</f>
        <v/>
      </c>
      <c r="O474" s="127"/>
      <c r="P474" s="137"/>
      <c r="Q474" s="58" t="str" cm="1">
        <f>IF(ISBLANK($A474),"",INDEX(Array_WaterCharges,MATCH($A474,List_WaterMeters,0),ROUNDUP((COLUMN()+0)/3-1,0)))</f>
        <v/>
      </c>
      <c r="R474" s="127"/>
      <c r="S474" s="137"/>
      <c r="T474" s="58" t="str" cm="1">
        <f>IF(ISBLANK($A474),"",INDEX(Array_WaterCharges,MATCH($A474,List_WaterMeters,0),ROUNDUP((COLUMN()+0)/3-1,0)))</f>
        <v/>
      </c>
      <c r="U474" s="127"/>
      <c r="V474" s="137"/>
      <c r="W474" s="58" t="str" cm="1">
        <f>IF(ISBLANK($A474),"",INDEX(Array_WaterCharges,MATCH($A474,List_WaterMeters,0),ROUNDUP((COLUMN()+0)/3-1,0)))</f>
        <v/>
      </c>
      <c r="X474" s="127"/>
      <c r="Y474" s="137"/>
      <c r="Z474" s="58" t="str" cm="1">
        <f>IF(ISBLANK($A474),"",INDEX(Array_WaterCharges,MATCH($A474,List_WaterMeters,0),ROUNDUP((COLUMN()+0)/3-1,0)))</f>
        <v/>
      </c>
      <c r="AA474" s="127"/>
      <c r="AB474" s="137"/>
      <c r="AC474" s="58" t="str" cm="1">
        <f>IF(ISBLANK($A474),"",INDEX(Array_WaterCharges,MATCH($A474,List_WaterMeters,0),ROUNDUP((COLUMN()+0)/3-1,0)))</f>
        <v/>
      </c>
      <c r="AD474" s="127"/>
      <c r="AE474" s="137"/>
      <c r="AF474" s="58" t="str" cm="1">
        <f>IF(ISBLANK($A474),"",INDEX(Array_WaterCharges,MATCH($A474,List_WaterMeters,0),ROUNDUP((COLUMN()+0)/3-1,0)))</f>
        <v/>
      </c>
      <c r="AG474" s="127"/>
      <c r="AH474" s="137"/>
    </row>
    <row r="475" spans="1:34" x14ac:dyDescent="0.3">
      <c r="A475" s="126"/>
      <c r="B475" s="133"/>
      <c r="C475" s="127"/>
      <c r="D475" s="137"/>
      <c r="E475" s="58" t="str" cm="1">
        <f>IF(ISBLANK($A475),"",INDEX(Array_WaterCharges,MATCH($A475,List_WaterMeters,0),ROUNDUP((COLUMN()+0)/3-1,0)))</f>
        <v/>
      </c>
      <c r="F475" s="127"/>
      <c r="G475" s="137"/>
      <c r="H475" s="58" t="str" cm="1">
        <f>IF(ISBLANK($A475),"",INDEX(Array_WaterCharges,MATCH($A475,List_WaterMeters,0),ROUNDUP((COLUMN()+0)/3-1,0)))</f>
        <v/>
      </c>
      <c r="I475" s="127"/>
      <c r="J475" s="137"/>
      <c r="K475" s="58" t="str" cm="1">
        <f>IF(ISBLANK($A475),"",INDEX(Array_WaterCharges,MATCH($A475,List_WaterMeters,0),ROUNDUP((COLUMN()+0)/3-1,0)))</f>
        <v/>
      </c>
      <c r="L475" s="127"/>
      <c r="M475" s="137"/>
      <c r="N475" s="58" t="str" cm="1">
        <f>IF(ISBLANK($A475),"",INDEX(Array_WaterCharges,MATCH($A475,List_WaterMeters,0),ROUNDUP((COLUMN()+0)/3-1,0)))</f>
        <v/>
      </c>
      <c r="O475" s="127"/>
      <c r="P475" s="137"/>
      <c r="Q475" s="58" t="str" cm="1">
        <f>IF(ISBLANK($A475),"",INDEX(Array_WaterCharges,MATCH($A475,List_WaterMeters,0),ROUNDUP((COLUMN()+0)/3-1,0)))</f>
        <v/>
      </c>
      <c r="R475" s="127"/>
      <c r="S475" s="137"/>
      <c r="T475" s="58" t="str" cm="1">
        <f>IF(ISBLANK($A475),"",INDEX(Array_WaterCharges,MATCH($A475,List_WaterMeters,0),ROUNDUP((COLUMN()+0)/3-1,0)))</f>
        <v/>
      </c>
      <c r="U475" s="127"/>
      <c r="V475" s="137"/>
      <c r="W475" s="58" t="str" cm="1">
        <f>IF(ISBLANK($A475),"",INDEX(Array_WaterCharges,MATCH($A475,List_WaterMeters,0),ROUNDUP((COLUMN()+0)/3-1,0)))</f>
        <v/>
      </c>
      <c r="X475" s="127"/>
      <c r="Y475" s="137"/>
      <c r="Z475" s="58" t="str" cm="1">
        <f>IF(ISBLANK($A475),"",INDEX(Array_WaterCharges,MATCH($A475,List_WaterMeters,0),ROUNDUP((COLUMN()+0)/3-1,0)))</f>
        <v/>
      </c>
      <c r="AA475" s="127"/>
      <c r="AB475" s="137"/>
      <c r="AC475" s="58" t="str" cm="1">
        <f>IF(ISBLANK($A475),"",INDEX(Array_WaterCharges,MATCH($A475,List_WaterMeters,0),ROUNDUP((COLUMN()+0)/3-1,0)))</f>
        <v/>
      </c>
      <c r="AD475" s="127"/>
      <c r="AE475" s="137"/>
      <c r="AF475" s="58" t="str" cm="1">
        <f>IF(ISBLANK($A475),"",INDEX(Array_WaterCharges,MATCH($A475,List_WaterMeters,0),ROUNDUP((COLUMN()+0)/3-1,0)))</f>
        <v/>
      </c>
      <c r="AG475" s="127"/>
      <c r="AH475" s="137"/>
    </row>
    <row r="476" spans="1:34" x14ac:dyDescent="0.3">
      <c r="A476" s="126"/>
      <c r="B476" s="133"/>
      <c r="C476" s="127"/>
      <c r="D476" s="137"/>
      <c r="E476" s="58" t="str" cm="1">
        <f>IF(ISBLANK($A476),"",INDEX(Array_WaterCharges,MATCH($A476,List_WaterMeters,0),ROUNDUP((COLUMN()+0)/3-1,0)))</f>
        <v/>
      </c>
      <c r="F476" s="127"/>
      <c r="G476" s="137"/>
      <c r="H476" s="58" t="str" cm="1">
        <f>IF(ISBLANK($A476),"",INDEX(Array_WaterCharges,MATCH($A476,List_WaterMeters,0),ROUNDUP((COLUMN()+0)/3-1,0)))</f>
        <v/>
      </c>
      <c r="I476" s="127"/>
      <c r="J476" s="137"/>
      <c r="K476" s="58" t="str" cm="1">
        <f>IF(ISBLANK($A476),"",INDEX(Array_WaterCharges,MATCH($A476,List_WaterMeters,0),ROUNDUP((COLUMN()+0)/3-1,0)))</f>
        <v/>
      </c>
      <c r="L476" s="127"/>
      <c r="M476" s="137"/>
      <c r="N476" s="58" t="str" cm="1">
        <f>IF(ISBLANK($A476),"",INDEX(Array_WaterCharges,MATCH($A476,List_WaterMeters,0),ROUNDUP((COLUMN()+0)/3-1,0)))</f>
        <v/>
      </c>
      <c r="O476" s="127"/>
      <c r="P476" s="137"/>
      <c r="Q476" s="58" t="str" cm="1">
        <f>IF(ISBLANK($A476),"",INDEX(Array_WaterCharges,MATCH($A476,List_WaterMeters,0),ROUNDUP((COLUMN()+0)/3-1,0)))</f>
        <v/>
      </c>
      <c r="R476" s="127"/>
      <c r="S476" s="137"/>
      <c r="T476" s="58" t="str" cm="1">
        <f>IF(ISBLANK($A476),"",INDEX(Array_WaterCharges,MATCH($A476,List_WaterMeters,0),ROUNDUP((COLUMN()+0)/3-1,0)))</f>
        <v/>
      </c>
      <c r="U476" s="127"/>
      <c r="V476" s="137"/>
      <c r="W476" s="58" t="str" cm="1">
        <f>IF(ISBLANK($A476),"",INDEX(Array_WaterCharges,MATCH($A476,List_WaterMeters,0),ROUNDUP((COLUMN()+0)/3-1,0)))</f>
        <v/>
      </c>
      <c r="X476" s="127"/>
      <c r="Y476" s="137"/>
      <c r="Z476" s="58" t="str" cm="1">
        <f>IF(ISBLANK($A476),"",INDEX(Array_WaterCharges,MATCH($A476,List_WaterMeters,0),ROUNDUP((COLUMN()+0)/3-1,0)))</f>
        <v/>
      </c>
      <c r="AA476" s="127"/>
      <c r="AB476" s="137"/>
      <c r="AC476" s="58" t="str" cm="1">
        <f>IF(ISBLANK($A476),"",INDEX(Array_WaterCharges,MATCH($A476,List_WaterMeters,0),ROUNDUP((COLUMN()+0)/3-1,0)))</f>
        <v/>
      </c>
      <c r="AD476" s="127"/>
      <c r="AE476" s="137"/>
      <c r="AF476" s="58" t="str" cm="1">
        <f>IF(ISBLANK($A476),"",INDEX(Array_WaterCharges,MATCH($A476,List_WaterMeters,0),ROUNDUP((COLUMN()+0)/3-1,0)))</f>
        <v/>
      </c>
      <c r="AG476" s="127"/>
      <c r="AH476" s="137"/>
    </row>
    <row r="477" spans="1:34" x14ac:dyDescent="0.3">
      <c r="A477" s="126"/>
      <c r="B477" s="133"/>
      <c r="C477" s="127"/>
      <c r="D477" s="137"/>
      <c r="E477" s="58" t="str" cm="1">
        <f>IF(ISBLANK($A477),"",INDEX(Array_WaterCharges,MATCH($A477,List_WaterMeters,0),ROUNDUP((COLUMN()+0)/3-1,0)))</f>
        <v/>
      </c>
      <c r="F477" s="127"/>
      <c r="G477" s="137"/>
      <c r="H477" s="58" t="str" cm="1">
        <f>IF(ISBLANK($A477),"",INDEX(Array_WaterCharges,MATCH($A477,List_WaterMeters,0),ROUNDUP((COLUMN()+0)/3-1,0)))</f>
        <v/>
      </c>
      <c r="I477" s="127"/>
      <c r="J477" s="137"/>
      <c r="K477" s="58" t="str" cm="1">
        <f>IF(ISBLANK($A477),"",INDEX(Array_WaterCharges,MATCH($A477,List_WaterMeters,0),ROUNDUP((COLUMN()+0)/3-1,0)))</f>
        <v/>
      </c>
      <c r="L477" s="127"/>
      <c r="M477" s="137"/>
      <c r="N477" s="58" t="str" cm="1">
        <f>IF(ISBLANK($A477),"",INDEX(Array_WaterCharges,MATCH($A477,List_WaterMeters,0),ROUNDUP((COLUMN()+0)/3-1,0)))</f>
        <v/>
      </c>
      <c r="O477" s="127"/>
      <c r="P477" s="137"/>
      <c r="Q477" s="58" t="str" cm="1">
        <f>IF(ISBLANK($A477),"",INDEX(Array_WaterCharges,MATCH($A477,List_WaterMeters,0),ROUNDUP((COLUMN()+0)/3-1,0)))</f>
        <v/>
      </c>
      <c r="R477" s="127"/>
      <c r="S477" s="137"/>
      <c r="T477" s="58" t="str" cm="1">
        <f>IF(ISBLANK($A477),"",INDEX(Array_WaterCharges,MATCH($A477,List_WaterMeters,0),ROUNDUP((COLUMN()+0)/3-1,0)))</f>
        <v/>
      </c>
      <c r="U477" s="127"/>
      <c r="V477" s="137"/>
      <c r="W477" s="58" t="str" cm="1">
        <f>IF(ISBLANK($A477),"",INDEX(Array_WaterCharges,MATCH($A477,List_WaterMeters,0),ROUNDUP((COLUMN()+0)/3-1,0)))</f>
        <v/>
      </c>
      <c r="X477" s="127"/>
      <c r="Y477" s="137"/>
      <c r="Z477" s="58" t="str" cm="1">
        <f>IF(ISBLANK($A477),"",INDEX(Array_WaterCharges,MATCH($A477,List_WaterMeters,0),ROUNDUP((COLUMN()+0)/3-1,0)))</f>
        <v/>
      </c>
      <c r="AA477" s="127"/>
      <c r="AB477" s="137"/>
      <c r="AC477" s="58" t="str" cm="1">
        <f>IF(ISBLANK($A477),"",INDEX(Array_WaterCharges,MATCH($A477,List_WaterMeters,0),ROUNDUP((COLUMN()+0)/3-1,0)))</f>
        <v/>
      </c>
      <c r="AD477" s="127"/>
      <c r="AE477" s="137"/>
      <c r="AF477" s="58" t="str" cm="1">
        <f>IF(ISBLANK($A477),"",INDEX(Array_WaterCharges,MATCH($A477,List_WaterMeters,0),ROUNDUP((COLUMN()+0)/3-1,0)))</f>
        <v/>
      </c>
      <c r="AG477" s="127"/>
      <c r="AH477" s="137"/>
    </row>
    <row r="478" spans="1:34" x14ac:dyDescent="0.3">
      <c r="A478" s="126"/>
      <c r="B478" s="133"/>
      <c r="C478" s="127"/>
      <c r="D478" s="137"/>
      <c r="E478" s="58" t="str" cm="1">
        <f>IF(ISBLANK($A478),"",INDEX(Array_WaterCharges,MATCH($A478,List_WaterMeters,0),ROUNDUP((COLUMN()+0)/3-1,0)))</f>
        <v/>
      </c>
      <c r="F478" s="127"/>
      <c r="G478" s="137"/>
      <c r="H478" s="58" t="str" cm="1">
        <f>IF(ISBLANK($A478),"",INDEX(Array_WaterCharges,MATCH($A478,List_WaterMeters,0),ROUNDUP((COLUMN()+0)/3-1,0)))</f>
        <v/>
      </c>
      <c r="I478" s="127"/>
      <c r="J478" s="137"/>
      <c r="K478" s="58" t="str" cm="1">
        <f>IF(ISBLANK($A478),"",INDEX(Array_WaterCharges,MATCH($A478,List_WaterMeters,0),ROUNDUP((COLUMN()+0)/3-1,0)))</f>
        <v/>
      </c>
      <c r="L478" s="127"/>
      <c r="M478" s="137"/>
      <c r="N478" s="58" t="str" cm="1">
        <f>IF(ISBLANK($A478),"",INDEX(Array_WaterCharges,MATCH($A478,List_WaterMeters,0),ROUNDUP((COLUMN()+0)/3-1,0)))</f>
        <v/>
      </c>
      <c r="O478" s="127"/>
      <c r="P478" s="137"/>
      <c r="Q478" s="58" t="str" cm="1">
        <f>IF(ISBLANK($A478),"",INDEX(Array_WaterCharges,MATCH($A478,List_WaterMeters,0),ROUNDUP((COLUMN()+0)/3-1,0)))</f>
        <v/>
      </c>
      <c r="R478" s="127"/>
      <c r="S478" s="137"/>
      <c r="T478" s="58" t="str" cm="1">
        <f>IF(ISBLANK($A478),"",INDEX(Array_WaterCharges,MATCH($A478,List_WaterMeters,0),ROUNDUP((COLUMN()+0)/3-1,0)))</f>
        <v/>
      </c>
      <c r="U478" s="127"/>
      <c r="V478" s="137"/>
      <c r="W478" s="58" t="str" cm="1">
        <f>IF(ISBLANK($A478),"",INDEX(Array_WaterCharges,MATCH($A478,List_WaterMeters,0),ROUNDUP((COLUMN()+0)/3-1,0)))</f>
        <v/>
      </c>
      <c r="X478" s="127"/>
      <c r="Y478" s="137"/>
      <c r="Z478" s="58" t="str" cm="1">
        <f>IF(ISBLANK($A478),"",INDEX(Array_WaterCharges,MATCH($A478,List_WaterMeters,0),ROUNDUP((COLUMN()+0)/3-1,0)))</f>
        <v/>
      </c>
      <c r="AA478" s="127"/>
      <c r="AB478" s="137"/>
      <c r="AC478" s="58" t="str" cm="1">
        <f>IF(ISBLANK($A478),"",INDEX(Array_WaterCharges,MATCH($A478,List_WaterMeters,0),ROUNDUP((COLUMN()+0)/3-1,0)))</f>
        <v/>
      </c>
      <c r="AD478" s="127"/>
      <c r="AE478" s="137"/>
      <c r="AF478" s="58" t="str" cm="1">
        <f>IF(ISBLANK($A478),"",INDEX(Array_WaterCharges,MATCH($A478,List_WaterMeters,0),ROUNDUP((COLUMN()+0)/3-1,0)))</f>
        <v/>
      </c>
      <c r="AG478" s="127"/>
      <c r="AH478" s="137"/>
    </row>
    <row r="479" spans="1:34" x14ac:dyDescent="0.3">
      <c r="A479" s="126"/>
      <c r="B479" s="133"/>
      <c r="C479" s="127"/>
      <c r="D479" s="137"/>
      <c r="E479" s="58" t="str" cm="1">
        <f>IF(ISBLANK($A479),"",INDEX(Array_WaterCharges,MATCH($A479,List_WaterMeters,0),ROUNDUP((COLUMN()+0)/3-1,0)))</f>
        <v/>
      </c>
      <c r="F479" s="127"/>
      <c r="G479" s="137"/>
      <c r="H479" s="58" t="str" cm="1">
        <f>IF(ISBLANK($A479),"",INDEX(Array_WaterCharges,MATCH($A479,List_WaterMeters,0),ROUNDUP((COLUMN()+0)/3-1,0)))</f>
        <v/>
      </c>
      <c r="I479" s="127"/>
      <c r="J479" s="137"/>
      <c r="K479" s="58" t="str" cm="1">
        <f>IF(ISBLANK($A479),"",INDEX(Array_WaterCharges,MATCH($A479,List_WaterMeters,0),ROUNDUP((COLUMN()+0)/3-1,0)))</f>
        <v/>
      </c>
      <c r="L479" s="127"/>
      <c r="M479" s="137"/>
      <c r="N479" s="58" t="str" cm="1">
        <f>IF(ISBLANK($A479),"",INDEX(Array_WaterCharges,MATCH($A479,List_WaterMeters,0),ROUNDUP((COLUMN()+0)/3-1,0)))</f>
        <v/>
      </c>
      <c r="O479" s="127"/>
      <c r="P479" s="137"/>
      <c r="Q479" s="58" t="str" cm="1">
        <f>IF(ISBLANK($A479),"",INDEX(Array_WaterCharges,MATCH($A479,List_WaterMeters,0),ROUNDUP((COLUMN()+0)/3-1,0)))</f>
        <v/>
      </c>
      <c r="R479" s="127"/>
      <c r="S479" s="137"/>
      <c r="T479" s="58" t="str" cm="1">
        <f>IF(ISBLANK($A479),"",INDEX(Array_WaterCharges,MATCH($A479,List_WaterMeters,0),ROUNDUP((COLUMN()+0)/3-1,0)))</f>
        <v/>
      </c>
      <c r="U479" s="127"/>
      <c r="V479" s="137"/>
      <c r="W479" s="58" t="str" cm="1">
        <f>IF(ISBLANK($A479),"",INDEX(Array_WaterCharges,MATCH($A479,List_WaterMeters,0),ROUNDUP((COLUMN()+0)/3-1,0)))</f>
        <v/>
      </c>
      <c r="X479" s="127"/>
      <c r="Y479" s="137"/>
      <c r="Z479" s="58" t="str" cm="1">
        <f>IF(ISBLANK($A479),"",INDEX(Array_WaterCharges,MATCH($A479,List_WaterMeters,0),ROUNDUP((COLUMN()+0)/3-1,0)))</f>
        <v/>
      </c>
      <c r="AA479" s="127"/>
      <c r="AB479" s="137"/>
      <c r="AC479" s="58" t="str" cm="1">
        <f>IF(ISBLANK($A479),"",INDEX(Array_WaterCharges,MATCH($A479,List_WaterMeters,0),ROUNDUP((COLUMN()+0)/3-1,0)))</f>
        <v/>
      </c>
      <c r="AD479" s="127"/>
      <c r="AE479" s="137"/>
      <c r="AF479" s="58" t="str" cm="1">
        <f>IF(ISBLANK($A479),"",INDEX(Array_WaterCharges,MATCH($A479,List_WaterMeters,0),ROUNDUP((COLUMN()+0)/3-1,0)))</f>
        <v/>
      </c>
      <c r="AG479" s="127"/>
      <c r="AH479" s="137"/>
    </row>
    <row r="480" spans="1:34" x14ac:dyDescent="0.3">
      <c r="A480" s="126"/>
      <c r="B480" s="133"/>
      <c r="C480" s="127"/>
      <c r="D480" s="137"/>
      <c r="E480" s="58" t="str" cm="1">
        <f>IF(ISBLANK($A480),"",INDEX(Array_WaterCharges,MATCH($A480,List_WaterMeters,0),ROUNDUP((COLUMN()+0)/3-1,0)))</f>
        <v/>
      </c>
      <c r="F480" s="127"/>
      <c r="G480" s="137"/>
      <c r="H480" s="58" t="str" cm="1">
        <f>IF(ISBLANK($A480),"",INDEX(Array_WaterCharges,MATCH($A480,List_WaterMeters,0),ROUNDUP((COLUMN()+0)/3-1,0)))</f>
        <v/>
      </c>
      <c r="I480" s="127"/>
      <c r="J480" s="137"/>
      <c r="K480" s="58" t="str" cm="1">
        <f>IF(ISBLANK($A480),"",INDEX(Array_WaterCharges,MATCH($A480,List_WaterMeters,0),ROUNDUP((COLUMN()+0)/3-1,0)))</f>
        <v/>
      </c>
      <c r="L480" s="127"/>
      <c r="M480" s="137"/>
      <c r="N480" s="58" t="str" cm="1">
        <f>IF(ISBLANK($A480),"",INDEX(Array_WaterCharges,MATCH($A480,List_WaterMeters,0),ROUNDUP((COLUMN()+0)/3-1,0)))</f>
        <v/>
      </c>
      <c r="O480" s="127"/>
      <c r="P480" s="137"/>
      <c r="Q480" s="58" t="str" cm="1">
        <f>IF(ISBLANK($A480),"",INDEX(Array_WaterCharges,MATCH($A480,List_WaterMeters,0),ROUNDUP((COLUMN()+0)/3-1,0)))</f>
        <v/>
      </c>
      <c r="R480" s="127"/>
      <c r="S480" s="137"/>
      <c r="T480" s="58" t="str" cm="1">
        <f>IF(ISBLANK($A480),"",INDEX(Array_WaterCharges,MATCH($A480,List_WaterMeters,0),ROUNDUP((COLUMN()+0)/3-1,0)))</f>
        <v/>
      </c>
      <c r="U480" s="127"/>
      <c r="V480" s="137"/>
      <c r="W480" s="58" t="str" cm="1">
        <f>IF(ISBLANK($A480),"",INDEX(Array_WaterCharges,MATCH($A480,List_WaterMeters,0),ROUNDUP((COLUMN()+0)/3-1,0)))</f>
        <v/>
      </c>
      <c r="X480" s="127"/>
      <c r="Y480" s="137"/>
      <c r="Z480" s="58" t="str" cm="1">
        <f>IF(ISBLANK($A480),"",INDEX(Array_WaterCharges,MATCH($A480,List_WaterMeters,0),ROUNDUP((COLUMN()+0)/3-1,0)))</f>
        <v/>
      </c>
      <c r="AA480" s="127"/>
      <c r="AB480" s="137"/>
      <c r="AC480" s="58" t="str" cm="1">
        <f>IF(ISBLANK($A480),"",INDEX(Array_WaterCharges,MATCH($A480,List_WaterMeters,0),ROUNDUP((COLUMN()+0)/3-1,0)))</f>
        <v/>
      </c>
      <c r="AD480" s="127"/>
      <c r="AE480" s="137"/>
      <c r="AF480" s="58" t="str" cm="1">
        <f>IF(ISBLANK($A480),"",INDEX(Array_WaterCharges,MATCH($A480,List_WaterMeters,0),ROUNDUP((COLUMN()+0)/3-1,0)))</f>
        <v/>
      </c>
      <c r="AG480" s="127"/>
      <c r="AH480" s="137"/>
    </row>
    <row r="481" spans="1:34" x14ac:dyDescent="0.3">
      <c r="A481" s="126"/>
      <c r="B481" s="133"/>
      <c r="C481" s="127"/>
      <c r="D481" s="137"/>
      <c r="E481" s="58" t="str" cm="1">
        <f>IF(ISBLANK($A481),"",INDEX(Array_WaterCharges,MATCH($A481,List_WaterMeters,0),ROUNDUP((COLUMN()+0)/3-1,0)))</f>
        <v/>
      </c>
      <c r="F481" s="127"/>
      <c r="G481" s="137"/>
      <c r="H481" s="58" t="str" cm="1">
        <f>IF(ISBLANK($A481),"",INDEX(Array_WaterCharges,MATCH($A481,List_WaterMeters,0),ROUNDUP((COLUMN()+0)/3-1,0)))</f>
        <v/>
      </c>
      <c r="I481" s="127"/>
      <c r="J481" s="137"/>
      <c r="K481" s="58" t="str" cm="1">
        <f>IF(ISBLANK($A481),"",INDEX(Array_WaterCharges,MATCH($A481,List_WaterMeters,0),ROUNDUP((COLUMN()+0)/3-1,0)))</f>
        <v/>
      </c>
      <c r="L481" s="127"/>
      <c r="M481" s="137"/>
      <c r="N481" s="58" t="str" cm="1">
        <f>IF(ISBLANK($A481),"",INDEX(Array_WaterCharges,MATCH($A481,List_WaterMeters,0),ROUNDUP((COLUMN()+0)/3-1,0)))</f>
        <v/>
      </c>
      <c r="O481" s="127"/>
      <c r="P481" s="137"/>
      <c r="Q481" s="58" t="str" cm="1">
        <f>IF(ISBLANK($A481),"",INDEX(Array_WaterCharges,MATCH($A481,List_WaterMeters,0),ROUNDUP((COLUMN()+0)/3-1,0)))</f>
        <v/>
      </c>
      <c r="R481" s="127"/>
      <c r="S481" s="137"/>
      <c r="T481" s="58" t="str" cm="1">
        <f>IF(ISBLANK($A481),"",INDEX(Array_WaterCharges,MATCH($A481,List_WaterMeters,0),ROUNDUP((COLUMN()+0)/3-1,0)))</f>
        <v/>
      </c>
      <c r="U481" s="127"/>
      <c r="V481" s="137"/>
      <c r="W481" s="58" t="str" cm="1">
        <f>IF(ISBLANK($A481),"",INDEX(Array_WaterCharges,MATCH($A481,List_WaterMeters,0),ROUNDUP((COLUMN()+0)/3-1,0)))</f>
        <v/>
      </c>
      <c r="X481" s="127"/>
      <c r="Y481" s="137"/>
      <c r="Z481" s="58" t="str" cm="1">
        <f>IF(ISBLANK($A481),"",INDEX(Array_WaterCharges,MATCH($A481,List_WaterMeters,0),ROUNDUP((COLUMN()+0)/3-1,0)))</f>
        <v/>
      </c>
      <c r="AA481" s="127"/>
      <c r="AB481" s="137"/>
      <c r="AC481" s="58" t="str" cm="1">
        <f>IF(ISBLANK($A481),"",INDEX(Array_WaterCharges,MATCH($A481,List_WaterMeters,0),ROUNDUP((COLUMN()+0)/3-1,0)))</f>
        <v/>
      </c>
      <c r="AD481" s="127"/>
      <c r="AE481" s="137"/>
      <c r="AF481" s="58" t="str" cm="1">
        <f>IF(ISBLANK($A481),"",INDEX(Array_WaterCharges,MATCH($A481,List_WaterMeters,0),ROUNDUP((COLUMN()+0)/3-1,0)))</f>
        <v/>
      </c>
      <c r="AG481" s="127"/>
      <c r="AH481" s="137"/>
    </row>
    <row r="482" spans="1:34" x14ac:dyDescent="0.3">
      <c r="A482" s="126"/>
      <c r="B482" s="133"/>
      <c r="C482" s="127"/>
      <c r="D482" s="137"/>
      <c r="E482" s="58" t="str" cm="1">
        <f>IF(ISBLANK($A482),"",INDEX(Array_WaterCharges,MATCH($A482,List_WaterMeters,0),ROUNDUP((COLUMN()+0)/3-1,0)))</f>
        <v/>
      </c>
      <c r="F482" s="127"/>
      <c r="G482" s="137"/>
      <c r="H482" s="58" t="str" cm="1">
        <f>IF(ISBLANK($A482),"",INDEX(Array_WaterCharges,MATCH($A482,List_WaterMeters,0),ROUNDUP((COLUMN()+0)/3-1,0)))</f>
        <v/>
      </c>
      <c r="I482" s="127"/>
      <c r="J482" s="137"/>
      <c r="K482" s="58" t="str" cm="1">
        <f>IF(ISBLANK($A482),"",INDEX(Array_WaterCharges,MATCH($A482,List_WaterMeters,0),ROUNDUP((COLUMN()+0)/3-1,0)))</f>
        <v/>
      </c>
      <c r="L482" s="127"/>
      <c r="M482" s="137"/>
      <c r="N482" s="58" t="str" cm="1">
        <f>IF(ISBLANK($A482),"",INDEX(Array_WaterCharges,MATCH($A482,List_WaterMeters,0),ROUNDUP((COLUMN()+0)/3-1,0)))</f>
        <v/>
      </c>
      <c r="O482" s="127"/>
      <c r="P482" s="137"/>
      <c r="Q482" s="58" t="str" cm="1">
        <f>IF(ISBLANK($A482),"",INDEX(Array_WaterCharges,MATCH($A482,List_WaterMeters,0),ROUNDUP((COLUMN()+0)/3-1,0)))</f>
        <v/>
      </c>
      <c r="R482" s="127"/>
      <c r="S482" s="137"/>
      <c r="T482" s="58" t="str" cm="1">
        <f>IF(ISBLANK($A482),"",INDEX(Array_WaterCharges,MATCH($A482,List_WaterMeters,0),ROUNDUP((COLUMN()+0)/3-1,0)))</f>
        <v/>
      </c>
      <c r="U482" s="127"/>
      <c r="V482" s="137"/>
      <c r="W482" s="58" t="str" cm="1">
        <f>IF(ISBLANK($A482),"",INDEX(Array_WaterCharges,MATCH($A482,List_WaterMeters,0),ROUNDUP((COLUMN()+0)/3-1,0)))</f>
        <v/>
      </c>
      <c r="X482" s="127"/>
      <c r="Y482" s="137"/>
      <c r="Z482" s="58" t="str" cm="1">
        <f>IF(ISBLANK($A482),"",INDEX(Array_WaterCharges,MATCH($A482,List_WaterMeters,0),ROUNDUP((COLUMN()+0)/3-1,0)))</f>
        <v/>
      </c>
      <c r="AA482" s="127"/>
      <c r="AB482" s="137"/>
      <c r="AC482" s="58" t="str" cm="1">
        <f>IF(ISBLANK($A482),"",INDEX(Array_WaterCharges,MATCH($A482,List_WaterMeters,0),ROUNDUP((COLUMN()+0)/3-1,0)))</f>
        <v/>
      </c>
      <c r="AD482" s="127"/>
      <c r="AE482" s="137"/>
      <c r="AF482" s="58" t="str" cm="1">
        <f>IF(ISBLANK($A482),"",INDEX(Array_WaterCharges,MATCH($A482,List_WaterMeters,0),ROUNDUP((COLUMN()+0)/3-1,0)))</f>
        <v/>
      </c>
      <c r="AG482" s="127"/>
      <c r="AH482" s="137"/>
    </row>
    <row r="483" spans="1:34" x14ac:dyDescent="0.3">
      <c r="A483" s="126"/>
      <c r="B483" s="133"/>
      <c r="C483" s="127"/>
      <c r="D483" s="137"/>
      <c r="E483" s="58" t="str" cm="1">
        <f>IF(ISBLANK($A483),"",INDEX(Array_WaterCharges,MATCH($A483,List_WaterMeters,0),ROUNDUP((COLUMN()+0)/3-1,0)))</f>
        <v/>
      </c>
      <c r="F483" s="127"/>
      <c r="G483" s="137"/>
      <c r="H483" s="58" t="str" cm="1">
        <f>IF(ISBLANK($A483),"",INDEX(Array_WaterCharges,MATCH($A483,List_WaterMeters,0),ROUNDUP((COLUMN()+0)/3-1,0)))</f>
        <v/>
      </c>
      <c r="I483" s="127"/>
      <c r="J483" s="137"/>
      <c r="K483" s="58" t="str" cm="1">
        <f>IF(ISBLANK($A483),"",INDEX(Array_WaterCharges,MATCH($A483,List_WaterMeters,0),ROUNDUP((COLUMN()+0)/3-1,0)))</f>
        <v/>
      </c>
      <c r="L483" s="127"/>
      <c r="M483" s="137"/>
      <c r="N483" s="58" t="str" cm="1">
        <f>IF(ISBLANK($A483),"",INDEX(Array_WaterCharges,MATCH($A483,List_WaterMeters,0),ROUNDUP((COLUMN()+0)/3-1,0)))</f>
        <v/>
      </c>
      <c r="O483" s="127"/>
      <c r="P483" s="137"/>
      <c r="Q483" s="58" t="str" cm="1">
        <f>IF(ISBLANK($A483),"",INDEX(Array_WaterCharges,MATCH($A483,List_WaterMeters,0),ROUNDUP((COLUMN()+0)/3-1,0)))</f>
        <v/>
      </c>
      <c r="R483" s="127"/>
      <c r="S483" s="137"/>
      <c r="T483" s="58" t="str" cm="1">
        <f>IF(ISBLANK($A483),"",INDEX(Array_WaterCharges,MATCH($A483,List_WaterMeters,0),ROUNDUP((COLUMN()+0)/3-1,0)))</f>
        <v/>
      </c>
      <c r="U483" s="127"/>
      <c r="V483" s="137"/>
      <c r="W483" s="58" t="str" cm="1">
        <f>IF(ISBLANK($A483),"",INDEX(Array_WaterCharges,MATCH($A483,List_WaterMeters,0),ROUNDUP((COLUMN()+0)/3-1,0)))</f>
        <v/>
      </c>
      <c r="X483" s="127"/>
      <c r="Y483" s="137"/>
      <c r="Z483" s="58" t="str" cm="1">
        <f>IF(ISBLANK($A483),"",INDEX(Array_WaterCharges,MATCH($A483,List_WaterMeters,0),ROUNDUP((COLUMN()+0)/3-1,0)))</f>
        <v/>
      </c>
      <c r="AA483" s="127"/>
      <c r="AB483" s="137"/>
      <c r="AC483" s="58" t="str" cm="1">
        <f>IF(ISBLANK($A483),"",INDEX(Array_WaterCharges,MATCH($A483,List_WaterMeters,0),ROUNDUP((COLUMN()+0)/3-1,0)))</f>
        <v/>
      </c>
      <c r="AD483" s="127"/>
      <c r="AE483" s="137"/>
      <c r="AF483" s="58" t="str" cm="1">
        <f>IF(ISBLANK($A483),"",INDEX(Array_WaterCharges,MATCH($A483,List_WaterMeters,0),ROUNDUP((COLUMN()+0)/3-1,0)))</f>
        <v/>
      </c>
      <c r="AG483" s="127"/>
      <c r="AH483" s="137"/>
    </row>
    <row r="484" spans="1:34" x14ac:dyDescent="0.3">
      <c r="A484" s="126"/>
      <c r="B484" s="133"/>
      <c r="C484" s="127"/>
      <c r="D484" s="137"/>
      <c r="E484" s="58" t="str" cm="1">
        <f>IF(ISBLANK($A484),"",INDEX(Array_WaterCharges,MATCH($A484,List_WaterMeters,0),ROUNDUP((COLUMN()+0)/3-1,0)))</f>
        <v/>
      </c>
      <c r="F484" s="127"/>
      <c r="G484" s="137"/>
      <c r="H484" s="58" t="str" cm="1">
        <f>IF(ISBLANK($A484),"",INDEX(Array_WaterCharges,MATCH($A484,List_WaterMeters,0),ROUNDUP((COLUMN()+0)/3-1,0)))</f>
        <v/>
      </c>
      <c r="I484" s="127"/>
      <c r="J484" s="137"/>
      <c r="K484" s="58" t="str" cm="1">
        <f>IF(ISBLANK($A484),"",INDEX(Array_WaterCharges,MATCH($A484,List_WaterMeters,0),ROUNDUP((COLUMN()+0)/3-1,0)))</f>
        <v/>
      </c>
      <c r="L484" s="127"/>
      <c r="M484" s="137"/>
      <c r="N484" s="58" t="str" cm="1">
        <f>IF(ISBLANK($A484),"",INDEX(Array_WaterCharges,MATCH($A484,List_WaterMeters,0),ROUNDUP((COLUMN()+0)/3-1,0)))</f>
        <v/>
      </c>
      <c r="O484" s="127"/>
      <c r="P484" s="137"/>
      <c r="Q484" s="58" t="str" cm="1">
        <f>IF(ISBLANK($A484),"",INDEX(Array_WaterCharges,MATCH($A484,List_WaterMeters,0),ROUNDUP((COLUMN()+0)/3-1,0)))</f>
        <v/>
      </c>
      <c r="R484" s="127"/>
      <c r="S484" s="137"/>
      <c r="T484" s="58" t="str" cm="1">
        <f>IF(ISBLANK($A484),"",INDEX(Array_WaterCharges,MATCH($A484,List_WaterMeters,0),ROUNDUP((COLUMN()+0)/3-1,0)))</f>
        <v/>
      </c>
      <c r="U484" s="127"/>
      <c r="V484" s="137"/>
      <c r="W484" s="58" t="str" cm="1">
        <f>IF(ISBLANK($A484),"",INDEX(Array_WaterCharges,MATCH($A484,List_WaterMeters,0),ROUNDUP((COLUMN()+0)/3-1,0)))</f>
        <v/>
      </c>
      <c r="X484" s="127"/>
      <c r="Y484" s="137"/>
      <c r="Z484" s="58" t="str" cm="1">
        <f>IF(ISBLANK($A484),"",INDEX(Array_WaterCharges,MATCH($A484,List_WaterMeters,0),ROUNDUP((COLUMN()+0)/3-1,0)))</f>
        <v/>
      </c>
      <c r="AA484" s="127"/>
      <c r="AB484" s="137"/>
      <c r="AC484" s="58" t="str" cm="1">
        <f>IF(ISBLANK($A484),"",INDEX(Array_WaterCharges,MATCH($A484,List_WaterMeters,0),ROUNDUP((COLUMN()+0)/3-1,0)))</f>
        <v/>
      </c>
      <c r="AD484" s="127"/>
      <c r="AE484" s="137"/>
      <c r="AF484" s="58" t="str" cm="1">
        <f>IF(ISBLANK($A484),"",INDEX(Array_WaterCharges,MATCH($A484,List_WaterMeters,0),ROUNDUP((COLUMN()+0)/3-1,0)))</f>
        <v/>
      </c>
      <c r="AG484" s="127"/>
      <c r="AH484" s="137"/>
    </row>
    <row r="485" spans="1:34" x14ac:dyDescent="0.3">
      <c r="A485" s="126"/>
      <c r="B485" s="133"/>
      <c r="C485" s="127"/>
      <c r="D485" s="137"/>
      <c r="E485" s="58" t="str" cm="1">
        <f>IF(ISBLANK($A485),"",INDEX(Array_WaterCharges,MATCH($A485,List_WaterMeters,0),ROUNDUP((COLUMN()+0)/3-1,0)))</f>
        <v/>
      </c>
      <c r="F485" s="127"/>
      <c r="G485" s="137"/>
      <c r="H485" s="58" t="str" cm="1">
        <f>IF(ISBLANK($A485),"",INDEX(Array_WaterCharges,MATCH($A485,List_WaterMeters,0),ROUNDUP((COLUMN()+0)/3-1,0)))</f>
        <v/>
      </c>
      <c r="I485" s="127"/>
      <c r="J485" s="137"/>
      <c r="K485" s="58" t="str" cm="1">
        <f>IF(ISBLANK($A485),"",INDEX(Array_WaterCharges,MATCH($A485,List_WaterMeters,0),ROUNDUP((COLUMN()+0)/3-1,0)))</f>
        <v/>
      </c>
      <c r="L485" s="127"/>
      <c r="M485" s="137"/>
      <c r="N485" s="58" t="str" cm="1">
        <f>IF(ISBLANK($A485),"",INDEX(Array_WaterCharges,MATCH($A485,List_WaterMeters,0),ROUNDUP((COLUMN()+0)/3-1,0)))</f>
        <v/>
      </c>
      <c r="O485" s="127"/>
      <c r="P485" s="137"/>
      <c r="Q485" s="58" t="str" cm="1">
        <f>IF(ISBLANK($A485),"",INDEX(Array_WaterCharges,MATCH($A485,List_WaterMeters,0),ROUNDUP((COLUMN()+0)/3-1,0)))</f>
        <v/>
      </c>
      <c r="R485" s="127"/>
      <c r="S485" s="137"/>
      <c r="T485" s="58" t="str" cm="1">
        <f>IF(ISBLANK($A485),"",INDEX(Array_WaterCharges,MATCH($A485,List_WaterMeters,0),ROUNDUP((COLUMN()+0)/3-1,0)))</f>
        <v/>
      </c>
      <c r="U485" s="127"/>
      <c r="V485" s="137"/>
      <c r="W485" s="58" t="str" cm="1">
        <f>IF(ISBLANK($A485),"",INDEX(Array_WaterCharges,MATCH($A485,List_WaterMeters,0),ROUNDUP((COLUMN()+0)/3-1,0)))</f>
        <v/>
      </c>
      <c r="X485" s="127"/>
      <c r="Y485" s="137"/>
      <c r="Z485" s="58" t="str" cm="1">
        <f>IF(ISBLANK($A485),"",INDEX(Array_WaterCharges,MATCH($A485,List_WaterMeters,0),ROUNDUP((COLUMN()+0)/3-1,0)))</f>
        <v/>
      </c>
      <c r="AA485" s="127"/>
      <c r="AB485" s="137"/>
      <c r="AC485" s="58" t="str" cm="1">
        <f>IF(ISBLANK($A485),"",INDEX(Array_WaterCharges,MATCH($A485,List_WaterMeters,0),ROUNDUP((COLUMN()+0)/3-1,0)))</f>
        <v/>
      </c>
      <c r="AD485" s="127"/>
      <c r="AE485" s="137"/>
      <c r="AF485" s="58" t="str" cm="1">
        <f>IF(ISBLANK($A485),"",INDEX(Array_WaterCharges,MATCH($A485,List_WaterMeters,0),ROUNDUP((COLUMN()+0)/3-1,0)))</f>
        <v/>
      </c>
      <c r="AG485" s="127"/>
      <c r="AH485" s="137"/>
    </row>
    <row r="486" spans="1:34" x14ac:dyDescent="0.3">
      <c r="A486" s="126"/>
      <c r="B486" s="133"/>
      <c r="C486" s="127"/>
      <c r="D486" s="137"/>
      <c r="E486" s="58" t="str" cm="1">
        <f>IF(ISBLANK($A486),"",INDEX(Array_WaterCharges,MATCH($A486,List_WaterMeters,0),ROUNDUP((COLUMN()+0)/3-1,0)))</f>
        <v/>
      </c>
      <c r="F486" s="127"/>
      <c r="G486" s="137"/>
      <c r="H486" s="58" t="str" cm="1">
        <f>IF(ISBLANK($A486),"",INDEX(Array_WaterCharges,MATCH($A486,List_WaterMeters,0),ROUNDUP((COLUMN()+0)/3-1,0)))</f>
        <v/>
      </c>
      <c r="I486" s="127"/>
      <c r="J486" s="137"/>
      <c r="K486" s="58" t="str" cm="1">
        <f>IF(ISBLANK($A486),"",INDEX(Array_WaterCharges,MATCH($A486,List_WaterMeters,0),ROUNDUP((COLUMN()+0)/3-1,0)))</f>
        <v/>
      </c>
      <c r="L486" s="127"/>
      <c r="M486" s="137"/>
      <c r="N486" s="58" t="str" cm="1">
        <f>IF(ISBLANK($A486),"",INDEX(Array_WaterCharges,MATCH($A486,List_WaterMeters,0),ROUNDUP((COLUMN()+0)/3-1,0)))</f>
        <v/>
      </c>
      <c r="O486" s="127"/>
      <c r="P486" s="137"/>
      <c r="Q486" s="58" t="str" cm="1">
        <f>IF(ISBLANK($A486),"",INDEX(Array_WaterCharges,MATCH($A486,List_WaterMeters,0),ROUNDUP((COLUMN()+0)/3-1,0)))</f>
        <v/>
      </c>
      <c r="R486" s="127"/>
      <c r="S486" s="137"/>
      <c r="T486" s="58" t="str" cm="1">
        <f>IF(ISBLANK($A486),"",INDEX(Array_WaterCharges,MATCH($A486,List_WaterMeters,0),ROUNDUP((COLUMN()+0)/3-1,0)))</f>
        <v/>
      </c>
      <c r="U486" s="127"/>
      <c r="V486" s="137"/>
      <c r="W486" s="58" t="str" cm="1">
        <f>IF(ISBLANK($A486),"",INDEX(Array_WaterCharges,MATCH($A486,List_WaterMeters,0),ROUNDUP((COLUMN()+0)/3-1,0)))</f>
        <v/>
      </c>
      <c r="X486" s="127"/>
      <c r="Y486" s="137"/>
      <c r="Z486" s="58" t="str" cm="1">
        <f>IF(ISBLANK($A486),"",INDEX(Array_WaterCharges,MATCH($A486,List_WaterMeters,0),ROUNDUP((COLUMN()+0)/3-1,0)))</f>
        <v/>
      </c>
      <c r="AA486" s="127"/>
      <c r="AB486" s="137"/>
      <c r="AC486" s="58" t="str" cm="1">
        <f>IF(ISBLANK($A486),"",INDEX(Array_WaterCharges,MATCH($A486,List_WaterMeters,0),ROUNDUP((COLUMN()+0)/3-1,0)))</f>
        <v/>
      </c>
      <c r="AD486" s="127"/>
      <c r="AE486" s="137"/>
      <c r="AF486" s="58" t="str" cm="1">
        <f>IF(ISBLANK($A486),"",INDEX(Array_WaterCharges,MATCH($A486,List_WaterMeters,0),ROUNDUP((COLUMN()+0)/3-1,0)))</f>
        <v/>
      </c>
      <c r="AG486" s="127"/>
      <c r="AH486" s="137"/>
    </row>
    <row r="487" spans="1:34" x14ac:dyDescent="0.3">
      <c r="A487" s="126"/>
      <c r="B487" s="133"/>
      <c r="C487" s="127"/>
      <c r="D487" s="137"/>
      <c r="E487" s="58" t="str" cm="1">
        <f>IF(ISBLANK($A487),"",INDEX(Array_WaterCharges,MATCH($A487,List_WaterMeters,0),ROUNDUP((COLUMN()+0)/3-1,0)))</f>
        <v/>
      </c>
      <c r="F487" s="127"/>
      <c r="G487" s="137"/>
      <c r="H487" s="58" t="str" cm="1">
        <f>IF(ISBLANK($A487),"",INDEX(Array_WaterCharges,MATCH($A487,List_WaterMeters,0),ROUNDUP((COLUMN()+0)/3-1,0)))</f>
        <v/>
      </c>
      <c r="I487" s="127"/>
      <c r="J487" s="137"/>
      <c r="K487" s="58" t="str" cm="1">
        <f>IF(ISBLANK($A487),"",INDEX(Array_WaterCharges,MATCH($A487,List_WaterMeters,0),ROUNDUP((COLUMN()+0)/3-1,0)))</f>
        <v/>
      </c>
      <c r="L487" s="127"/>
      <c r="M487" s="137"/>
      <c r="N487" s="58" t="str" cm="1">
        <f>IF(ISBLANK($A487),"",INDEX(Array_WaterCharges,MATCH($A487,List_WaterMeters,0),ROUNDUP((COLUMN()+0)/3-1,0)))</f>
        <v/>
      </c>
      <c r="O487" s="127"/>
      <c r="P487" s="137"/>
      <c r="Q487" s="58" t="str" cm="1">
        <f>IF(ISBLANK($A487),"",INDEX(Array_WaterCharges,MATCH($A487,List_WaterMeters,0),ROUNDUP((COLUMN()+0)/3-1,0)))</f>
        <v/>
      </c>
      <c r="R487" s="127"/>
      <c r="S487" s="137"/>
      <c r="T487" s="58" t="str" cm="1">
        <f>IF(ISBLANK($A487),"",INDEX(Array_WaterCharges,MATCH($A487,List_WaterMeters,0),ROUNDUP((COLUMN()+0)/3-1,0)))</f>
        <v/>
      </c>
      <c r="U487" s="127"/>
      <c r="V487" s="137"/>
      <c r="W487" s="58" t="str" cm="1">
        <f>IF(ISBLANK($A487),"",INDEX(Array_WaterCharges,MATCH($A487,List_WaterMeters,0),ROUNDUP((COLUMN()+0)/3-1,0)))</f>
        <v/>
      </c>
      <c r="X487" s="127"/>
      <c r="Y487" s="137"/>
      <c r="Z487" s="58" t="str" cm="1">
        <f>IF(ISBLANK($A487),"",INDEX(Array_WaterCharges,MATCH($A487,List_WaterMeters,0),ROUNDUP((COLUMN()+0)/3-1,0)))</f>
        <v/>
      </c>
      <c r="AA487" s="127"/>
      <c r="AB487" s="137"/>
      <c r="AC487" s="58" t="str" cm="1">
        <f>IF(ISBLANK($A487),"",INDEX(Array_WaterCharges,MATCH($A487,List_WaterMeters,0),ROUNDUP((COLUMN()+0)/3-1,0)))</f>
        <v/>
      </c>
      <c r="AD487" s="127"/>
      <c r="AE487" s="137"/>
      <c r="AF487" s="58" t="str" cm="1">
        <f>IF(ISBLANK($A487),"",INDEX(Array_WaterCharges,MATCH($A487,List_WaterMeters,0),ROUNDUP((COLUMN()+0)/3-1,0)))</f>
        <v/>
      </c>
      <c r="AG487" s="127"/>
      <c r="AH487" s="137"/>
    </row>
    <row r="488" spans="1:34" x14ac:dyDescent="0.3">
      <c r="A488" s="126"/>
      <c r="B488" s="133"/>
      <c r="C488" s="127"/>
      <c r="D488" s="137"/>
      <c r="E488" s="58" t="str" cm="1">
        <f>IF(ISBLANK($A488),"",INDEX(Array_WaterCharges,MATCH($A488,List_WaterMeters,0),ROUNDUP((COLUMN()+0)/3-1,0)))</f>
        <v/>
      </c>
      <c r="F488" s="127"/>
      <c r="G488" s="137"/>
      <c r="H488" s="58" t="str" cm="1">
        <f>IF(ISBLANK($A488),"",INDEX(Array_WaterCharges,MATCH($A488,List_WaterMeters,0),ROUNDUP((COLUMN()+0)/3-1,0)))</f>
        <v/>
      </c>
      <c r="I488" s="127"/>
      <c r="J488" s="137"/>
      <c r="K488" s="58" t="str" cm="1">
        <f>IF(ISBLANK($A488),"",INDEX(Array_WaterCharges,MATCH($A488,List_WaterMeters,0),ROUNDUP((COLUMN()+0)/3-1,0)))</f>
        <v/>
      </c>
      <c r="L488" s="127"/>
      <c r="M488" s="137"/>
      <c r="N488" s="58" t="str" cm="1">
        <f>IF(ISBLANK($A488),"",INDEX(Array_WaterCharges,MATCH($A488,List_WaterMeters,0),ROUNDUP((COLUMN()+0)/3-1,0)))</f>
        <v/>
      </c>
      <c r="O488" s="127"/>
      <c r="P488" s="137"/>
      <c r="Q488" s="58" t="str" cm="1">
        <f>IF(ISBLANK($A488),"",INDEX(Array_WaterCharges,MATCH($A488,List_WaterMeters,0),ROUNDUP((COLUMN()+0)/3-1,0)))</f>
        <v/>
      </c>
      <c r="R488" s="127"/>
      <c r="S488" s="137"/>
      <c r="T488" s="58" t="str" cm="1">
        <f>IF(ISBLANK($A488),"",INDEX(Array_WaterCharges,MATCH($A488,List_WaterMeters,0),ROUNDUP((COLUMN()+0)/3-1,0)))</f>
        <v/>
      </c>
      <c r="U488" s="127"/>
      <c r="V488" s="137"/>
      <c r="W488" s="58" t="str" cm="1">
        <f>IF(ISBLANK($A488),"",INDEX(Array_WaterCharges,MATCH($A488,List_WaterMeters,0),ROUNDUP((COLUMN()+0)/3-1,0)))</f>
        <v/>
      </c>
      <c r="X488" s="127"/>
      <c r="Y488" s="137"/>
      <c r="Z488" s="58" t="str" cm="1">
        <f>IF(ISBLANK($A488),"",INDEX(Array_WaterCharges,MATCH($A488,List_WaterMeters,0),ROUNDUP((COLUMN()+0)/3-1,0)))</f>
        <v/>
      </c>
      <c r="AA488" s="127"/>
      <c r="AB488" s="137"/>
      <c r="AC488" s="58" t="str" cm="1">
        <f>IF(ISBLANK($A488),"",INDEX(Array_WaterCharges,MATCH($A488,List_WaterMeters,0),ROUNDUP((COLUMN()+0)/3-1,0)))</f>
        <v/>
      </c>
      <c r="AD488" s="127"/>
      <c r="AE488" s="137"/>
      <c r="AF488" s="58" t="str" cm="1">
        <f>IF(ISBLANK($A488),"",INDEX(Array_WaterCharges,MATCH($A488,List_WaterMeters,0),ROUNDUP((COLUMN()+0)/3-1,0)))</f>
        <v/>
      </c>
      <c r="AG488" s="127"/>
      <c r="AH488" s="137"/>
    </row>
    <row r="489" spans="1:34" x14ac:dyDescent="0.3">
      <c r="A489" s="126"/>
      <c r="B489" s="133"/>
      <c r="C489" s="127"/>
      <c r="D489" s="137"/>
      <c r="E489" s="58" t="str" cm="1">
        <f>IF(ISBLANK($A489),"",INDEX(Array_WaterCharges,MATCH($A489,List_WaterMeters,0),ROUNDUP((COLUMN()+0)/3-1,0)))</f>
        <v/>
      </c>
      <c r="F489" s="127"/>
      <c r="G489" s="137"/>
      <c r="H489" s="58" t="str" cm="1">
        <f>IF(ISBLANK($A489),"",INDEX(Array_WaterCharges,MATCH($A489,List_WaterMeters,0),ROUNDUP((COLUMN()+0)/3-1,0)))</f>
        <v/>
      </c>
      <c r="I489" s="127"/>
      <c r="J489" s="137"/>
      <c r="K489" s="58" t="str" cm="1">
        <f>IF(ISBLANK($A489),"",INDEX(Array_WaterCharges,MATCH($A489,List_WaterMeters,0),ROUNDUP((COLUMN()+0)/3-1,0)))</f>
        <v/>
      </c>
      <c r="L489" s="127"/>
      <c r="M489" s="137"/>
      <c r="N489" s="58" t="str" cm="1">
        <f>IF(ISBLANK($A489),"",INDEX(Array_WaterCharges,MATCH($A489,List_WaterMeters,0),ROUNDUP((COLUMN()+0)/3-1,0)))</f>
        <v/>
      </c>
      <c r="O489" s="127"/>
      <c r="P489" s="137"/>
      <c r="Q489" s="58" t="str" cm="1">
        <f>IF(ISBLANK($A489),"",INDEX(Array_WaterCharges,MATCH($A489,List_WaterMeters,0),ROUNDUP((COLUMN()+0)/3-1,0)))</f>
        <v/>
      </c>
      <c r="R489" s="127"/>
      <c r="S489" s="137"/>
      <c r="T489" s="58" t="str" cm="1">
        <f>IF(ISBLANK($A489),"",INDEX(Array_WaterCharges,MATCH($A489,List_WaterMeters,0),ROUNDUP((COLUMN()+0)/3-1,0)))</f>
        <v/>
      </c>
      <c r="U489" s="127"/>
      <c r="V489" s="137"/>
      <c r="W489" s="58" t="str" cm="1">
        <f>IF(ISBLANK($A489),"",INDEX(Array_WaterCharges,MATCH($A489,List_WaterMeters,0),ROUNDUP((COLUMN()+0)/3-1,0)))</f>
        <v/>
      </c>
      <c r="X489" s="127"/>
      <c r="Y489" s="137"/>
      <c r="Z489" s="58" t="str" cm="1">
        <f>IF(ISBLANK($A489),"",INDEX(Array_WaterCharges,MATCH($A489,List_WaterMeters,0),ROUNDUP((COLUMN()+0)/3-1,0)))</f>
        <v/>
      </c>
      <c r="AA489" s="127"/>
      <c r="AB489" s="137"/>
      <c r="AC489" s="58" t="str" cm="1">
        <f>IF(ISBLANK($A489),"",INDEX(Array_WaterCharges,MATCH($A489,List_WaterMeters,0),ROUNDUP((COLUMN()+0)/3-1,0)))</f>
        <v/>
      </c>
      <c r="AD489" s="127"/>
      <c r="AE489" s="137"/>
      <c r="AF489" s="58" t="str" cm="1">
        <f>IF(ISBLANK($A489),"",INDEX(Array_WaterCharges,MATCH($A489,List_WaterMeters,0),ROUNDUP((COLUMN()+0)/3-1,0)))</f>
        <v/>
      </c>
      <c r="AG489" s="127"/>
      <c r="AH489" s="137"/>
    </row>
    <row r="490" spans="1:34" x14ac:dyDescent="0.3">
      <c r="A490" s="126"/>
      <c r="B490" s="133"/>
      <c r="C490" s="127"/>
      <c r="D490" s="137"/>
      <c r="E490" s="58" t="str" cm="1">
        <f>IF(ISBLANK($A490),"",INDEX(Array_WaterCharges,MATCH($A490,List_WaterMeters,0),ROUNDUP((COLUMN()+0)/3-1,0)))</f>
        <v/>
      </c>
      <c r="F490" s="127"/>
      <c r="G490" s="137"/>
      <c r="H490" s="58" t="str" cm="1">
        <f>IF(ISBLANK($A490),"",INDEX(Array_WaterCharges,MATCH($A490,List_WaterMeters,0),ROUNDUP((COLUMN()+0)/3-1,0)))</f>
        <v/>
      </c>
      <c r="I490" s="127"/>
      <c r="J490" s="137"/>
      <c r="K490" s="58" t="str" cm="1">
        <f>IF(ISBLANK($A490),"",INDEX(Array_WaterCharges,MATCH($A490,List_WaterMeters,0),ROUNDUP((COLUMN()+0)/3-1,0)))</f>
        <v/>
      </c>
      <c r="L490" s="127"/>
      <c r="M490" s="137"/>
      <c r="N490" s="58" t="str" cm="1">
        <f>IF(ISBLANK($A490),"",INDEX(Array_WaterCharges,MATCH($A490,List_WaterMeters,0),ROUNDUP((COLUMN()+0)/3-1,0)))</f>
        <v/>
      </c>
      <c r="O490" s="127"/>
      <c r="P490" s="137"/>
      <c r="Q490" s="58" t="str" cm="1">
        <f>IF(ISBLANK($A490),"",INDEX(Array_WaterCharges,MATCH($A490,List_WaterMeters,0),ROUNDUP((COLUMN()+0)/3-1,0)))</f>
        <v/>
      </c>
      <c r="R490" s="127"/>
      <c r="S490" s="137"/>
      <c r="T490" s="58" t="str" cm="1">
        <f>IF(ISBLANK($A490),"",INDEX(Array_WaterCharges,MATCH($A490,List_WaterMeters,0),ROUNDUP((COLUMN()+0)/3-1,0)))</f>
        <v/>
      </c>
      <c r="U490" s="127"/>
      <c r="V490" s="137"/>
      <c r="W490" s="58" t="str" cm="1">
        <f>IF(ISBLANK($A490),"",INDEX(Array_WaterCharges,MATCH($A490,List_WaterMeters,0),ROUNDUP((COLUMN()+0)/3-1,0)))</f>
        <v/>
      </c>
      <c r="X490" s="127"/>
      <c r="Y490" s="137"/>
      <c r="Z490" s="58" t="str" cm="1">
        <f>IF(ISBLANK($A490),"",INDEX(Array_WaterCharges,MATCH($A490,List_WaterMeters,0),ROUNDUP((COLUMN()+0)/3-1,0)))</f>
        <v/>
      </c>
      <c r="AA490" s="127"/>
      <c r="AB490" s="137"/>
      <c r="AC490" s="58" t="str" cm="1">
        <f>IF(ISBLANK($A490),"",INDEX(Array_WaterCharges,MATCH($A490,List_WaterMeters,0),ROUNDUP((COLUMN()+0)/3-1,0)))</f>
        <v/>
      </c>
      <c r="AD490" s="127"/>
      <c r="AE490" s="137"/>
      <c r="AF490" s="58" t="str" cm="1">
        <f>IF(ISBLANK($A490),"",INDEX(Array_WaterCharges,MATCH($A490,List_WaterMeters,0),ROUNDUP((COLUMN()+0)/3-1,0)))</f>
        <v/>
      </c>
      <c r="AG490" s="127"/>
      <c r="AH490" s="137"/>
    </row>
    <row r="491" spans="1:34" x14ac:dyDescent="0.3">
      <c r="A491" s="126"/>
      <c r="B491" s="133"/>
      <c r="C491" s="127"/>
      <c r="D491" s="137"/>
      <c r="E491" s="58" t="str" cm="1">
        <f>IF(ISBLANK($A491),"",INDEX(Array_WaterCharges,MATCH($A491,List_WaterMeters,0),ROUNDUP((COLUMN()+0)/3-1,0)))</f>
        <v/>
      </c>
      <c r="F491" s="127"/>
      <c r="G491" s="137"/>
      <c r="H491" s="58" t="str" cm="1">
        <f>IF(ISBLANK($A491),"",INDEX(Array_WaterCharges,MATCH($A491,List_WaterMeters,0),ROUNDUP((COLUMN()+0)/3-1,0)))</f>
        <v/>
      </c>
      <c r="I491" s="127"/>
      <c r="J491" s="137"/>
      <c r="K491" s="58" t="str" cm="1">
        <f>IF(ISBLANK($A491),"",INDEX(Array_WaterCharges,MATCH($A491,List_WaterMeters,0),ROUNDUP((COLUMN()+0)/3-1,0)))</f>
        <v/>
      </c>
      <c r="L491" s="127"/>
      <c r="M491" s="137"/>
      <c r="N491" s="58" t="str" cm="1">
        <f>IF(ISBLANK($A491),"",INDEX(Array_WaterCharges,MATCH($A491,List_WaterMeters,0),ROUNDUP((COLUMN()+0)/3-1,0)))</f>
        <v/>
      </c>
      <c r="O491" s="127"/>
      <c r="P491" s="137"/>
      <c r="Q491" s="58" t="str" cm="1">
        <f>IF(ISBLANK($A491),"",INDEX(Array_WaterCharges,MATCH($A491,List_WaterMeters,0),ROUNDUP((COLUMN()+0)/3-1,0)))</f>
        <v/>
      </c>
      <c r="R491" s="127"/>
      <c r="S491" s="137"/>
      <c r="T491" s="58" t="str" cm="1">
        <f>IF(ISBLANK($A491),"",INDEX(Array_WaterCharges,MATCH($A491,List_WaterMeters,0),ROUNDUP((COLUMN()+0)/3-1,0)))</f>
        <v/>
      </c>
      <c r="U491" s="127"/>
      <c r="V491" s="137"/>
      <c r="W491" s="58" t="str" cm="1">
        <f>IF(ISBLANK($A491),"",INDEX(Array_WaterCharges,MATCH($A491,List_WaterMeters,0),ROUNDUP((COLUMN()+0)/3-1,0)))</f>
        <v/>
      </c>
      <c r="X491" s="127"/>
      <c r="Y491" s="137"/>
      <c r="Z491" s="58" t="str" cm="1">
        <f>IF(ISBLANK($A491),"",INDEX(Array_WaterCharges,MATCH($A491,List_WaterMeters,0),ROUNDUP((COLUMN()+0)/3-1,0)))</f>
        <v/>
      </c>
      <c r="AA491" s="127"/>
      <c r="AB491" s="137"/>
      <c r="AC491" s="58" t="str" cm="1">
        <f>IF(ISBLANK($A491),"",INDEX(Array_WaterCharges,MATCH($A491,List_WaterMeters,0),ROUNDUP((COLUMN()+0)/3-1,0)))</f>
        <v/>
      </c>
      <c r="AD491" s="127"/>
      <c r="AE491" s="137"/>
      <c r="AF491" s="58" t="str" cm="1">
        <f>IF(ISBLANK($A491),"",INDEX(Array_WaterCharges,MATCH($A491,List_WaterMeters,0),ROUNDUP((COLUMN()+0)/3-1,0)))</f>
        <v/>
      </c>
      <c r="AG491" s="127"/>
      <c r="AH491" s="137"/>
    </row>
    <row r="492" spans="1:34" x14ac:dyDescent="0.3">
      <c r="A492" s="126"/>
      <c r="B492" s="133"/>
      <c r="C492" s="127"/>
      <c r="D492" s="137"/>
      <c r="E492" s="58" t="str" cm="1">
        <f>IF(ISBLANK($A492),"",INDEX(Array_WaterCharges,MATCH($A492,List_WaterMeters,0),ROUNDUP((COLUMN()+0)/3-1,0)))</f>
        <v/>
      </c>
      <c r="F492" s="127"/>
      <c r="G492" s="137"/>
      <c r="H492" s="58" t="str" cm="1">
        <f>IF(ISBLANK($A492),"",INDEX(Array_WaterCharges,MATCH($A492,List_WaterMeters,0),ROUNDUP((COLUMN()+0)/3-1,0)))</f>
        <v/>
      </c>
      <c r="I492" s="127"/>
      <c r="J492" s="137"/>
      <c r="K492" s="58" t="str" cm="1">
        <f>IF(ISBLANK($A492),"",INDEX(Array_WaterCharges,MATCH($A492,List_WaterMeters,0),ROUNDUP((COLUMN()+0)/3-1,0)))</f>
        <v/>
      </c>
      <c r="L492" s="127"/>
      <c r="M492" s="137"/>
      <c r="N492" s="58" t="str" cm="1">
        <f>IF(ISBLANK($A492),"",INDEX(Array_WaterCharges,MATCH($A492,List_WaterMeters,0),ROUNDUP((COLUMN()+0)/3-1,0)))</f>
        <v/>
      </c>
      <c r="O492" s="127"/>
      <c r="P492" s="137"/>
      <c r="Q492" s="58" t="str" cm="1">
        <f>IF(ISBLANK($A492),"",INDEX(Array_WaterCharges,MATCH($A492,List_WaterMeters,0),ROUNDUP((COLUMN()+0)/3-1,0)))</f>
        <v/>
      </c>
      <c r="R492" s="127"/>
      <c r="S492" s="137"/>
      <c r="T492" s="58" t="str" cm="1">
        <f>IF(ISBLANK($A492),"",INDEX(Array_WaterCharges,MATCH($A492,List_WaterMeters,0),ROUNDUP((COLUMN()+0)/3-1,0)))</f>
        <v/>
      </c>
      <c r="U492" s="127"/>
      <c r="V492" s="137"/>
      <c r="W492" s="58" t="str" cm="1">
        <f>IF(ISBLANK($A492),"",INDEX(Array_WaterCharges,MATCH($A492,List_WaterMeters,0),ROUNDUP((COLUMN()+0)/3-1,0)))</f>
        <v/>
      </c>
      <c r="X492" s="127"/>
      <c r="Y492" s="137"/>
      <c r="Z492" s="58" t="str" cm="1">
        <f>IF(ISBLANK($A492),"",INDEX(Array_WaterCharges,MATCH($A492,List_WaterMeters,0),ROUNDUP((COLUMN()+0)/3-1,0)))</f>
        <v/>
      </c>
      <c r="AA492" s="127"/>
      <c r="AB492" s="137"/>
      <c r="AC492" s="58" t="str" cm="1">
        <f>IF(ISBLANK($A492),"",INDEX(Array_WaterCharges,MATCH($A492,List_WaterMeters,0),ROUNDUP((COLUMN()+0)/3-1,0)))</f>
        <v/>
      </c>
      <c r="AD492" s="127"/>
      <c r="AE492" s="137"/>
      <c r="AF492" s="58" t="str" cm="1">
        <f>IF(ISBLANK($A492),"",INDEX(Array_WaterCharges,MATCH($A492,List_WaterMeters,0),ROUNDUP((COLUMN()+0)/3-1,0)))</f>
        <v/>
      </c>
      <c r="AG492" s="127"/>
      <c r="AH492" s="137"/>
    </row>
    <row r="493" spans="1:34" x14ac:dyDescent="0.3">
      <c r="A493" s="126"/>
      <c r="B493" s="133"/>
      <c r="C493" s="127"/>
      <c r="D493" s="137"/>
      <c r="E493" s="58" t="str" cm="1">
        <f>IF(ISBLANK($A493),"",INDEX(Array_WaterCharges,MATCH($A493,List_WaterMeters,0),ROUNDUP((COLUMN()+0)/3-1,0)))</f>
        <v/>
      </c>
      <c r="F493" s="127"/>
      <c r="G493" s="137"/>
      <c r="H493" s="58" t="str" cm="1">
        <f>IF(ISBLANK($A493),"",INDEX(Array_WaterCharges,MATCH($A493,List_WaterMeters,0),ROUNDUP((COLUMN()+0)/3-1,0)))</f>
        <v/>
      </c>
      <c r="I493" s="127"/>
      <c r="J493" s="137"/>
      <c r="K493" s="58" t="str" cm="1">
        <f>IF(ISBLANK($A493),"",INDEX(Array_WaterCharges,MATCH($A493,List_WaterMeters,0),ROUNDUP((COLUMN()+0)/3-1,0)))</f>
        <v/>
      </c>
      <c r="L493" s="127"/>
      <c r="M493" s="137"/>
      <c r="N493" s="58" t="str" cm="1">
        <f>IF(ISBLANK($A493),"",INDEX(Array_WaterCharges,MATCH($A493,List_WaterMeters,0),ROUNDUP((COLUMN()+0)/3-1,0)))</f>
        <v/>
      </c>
      <c r="O493" s="127"/>
      <c r="P493" s="137"/>
      <c r="Q493" s="58" t="str" cm="1">
        <f>IF(ISBLANK($A493),"",INDEX(Array_WaterCharges,MATCH($A493,List_WaterMeters,0),ROUNDUP((COLUMN()+0)/3-1,0)))</f>
        <v/>
      </c>
      <c r="R493" s="127"/>
      <c r="S493" s="137"/>
      <c r="T493" s="58" t="str" cm="1">
        <f>IF(ISBLANK($A493),"",INDEX(Array_WaterCharges,MATCH($A493,List_WaterMeters,0),ROUNDUP((COLUMN()+0)/3-1,0)))</f>
        <v/>
      </c>
      <c r="U493" s="127"/>
      <c r="V493" s="137"/>
      <c r="W493" s="58" t="str" cm="1">
        <f>IF(ISBLANK($A493),"",INDEX(Array_WaterCharges,MATCH($A493,List_WaterMeters,0),ROUNDUP((COLUMN()+0)/3-1,0)))</f>
        <v/>
      </c>
      <c r="X493" s="127"/>
      <c r="Y493" s="137"/>
      <c r="Z493" s="58" t="str" cm="1">
        <f>IF(ISBLANK($A493),"",INDEX(Array_WaterCharges,MATCH($A493,List_WaterMeters,0),ROUNDUP((COLUMN()+0)/3-1,0)))</f>
        <v/>
      </c>
      <c r="AA493" s="127"/>
      <c r="AB493" s="137"/>
      <c r="AC493" s="58" t="str" cm="1">
        <f>IF(ISBLANK($A493),"",INDEX(Array_WaterCharges,MATCH($A493,List_WaterMeters,0),ROUNDUP((COLUMN()+0)/3-1,0)))</f>
        <v/>
      </c>
      <c r="AD493" s="127"/>
      <c r="AE493" s="137"/>
      <c r="AF493" s="58" t="str" cm="1">
        <f>IF(ISBLANK($A493),"",INDEX(Array_WaterCharges,MATCH($A493,List_WaterMeters,0),ROUNDUP((COLUMN()+0)/3-1,0)))</f>
        <v/>
      </c>
      <c r="AG493" s="127"/>
      <c r="AH493" s="137"/>
    </row>
    <row r="494" spans="1:34" x14ac:dyDescent="0.3">
      <c r="A494" s="126"/>
      <c r="B494" s="133"/>
      <c r="C494" s="127"/>
      <c r="D494" s="137"/>
      <c r="E494" s="58" t="str" cm="1">
        <f>IF(ISBLANK($A494),"",INDEX(Array_WaterCharges,MATCH($A494,List_WaterMeters,0),ROUNDUP((COLUMN()+0)/3-1,0)))</f>
        <v/>
      </c>
      <c r="F494" s="127"/>
      <c r="G494" s="137"/>
      <c r="H494" s="58" t="str" cm="1">
        <f>IF(ISBLANK($A494),"",INDEX(Array_WaterCharges,MATCH($A494,List_WaterMeters,0),ROUNDUP((COLUMN()+0)/3-1,0)))</f>
        <v/>
      </c>
      <c r="I494" s="127"/>
      <c r="J494" s="137"/>
      <c r="K494" s="58" t="str" cm="1">
        <f>IF(ISBLANK($A494),"",INDEX(Array_WaterCharges,MATCH($A494,List_WaterMeters,0),ROUNDUP((COLUMN()+0)/3-1,0)))</f>
        <v/>
      </c>
      <c r="L494" s="127"/>
      <c r="M494" s="137"/>
      <c r="N494" s="58" t="str" cm="1">
        <f>IF(ISBLANK($A494),"",INDEX(Array_WaterCharges,MATCH($A494,List_WaterMeters,0),ROUNDUP((COLUMN()+0)/3-1,0)))</f>
        <v/>
      </c>
      <c r="O494" s="127"/>
      <c r="P494" s="137"/>
      <c r="Q494" s="58" t="str" cm="1">
        <f>IF(ISBLANK($A494),"",INDEX(Array_WaterCharges,MATCH($A494,List_WaterMeters,0),ROUNDUP((COLUMN()+0)/3-1,0)))</f>
        <v/>
      </c>
      <c r="R494" s="127"/>
      <c r="S494" s="137"/>
      <c r="T494" s="58" t="str" cm="1">
        <f>IF(ISBLANK($A494),"",INDEX(Array_WaterCharges,MATCH($A494,List_WaterMeters,0),ROUNDUP((COLUMN()+0)/3-1,0)))</f>
        <v/>
      </c>
      <c r="U494" s="127"/>
      <c r="V494" s="137"/>
      <c r="W494" s="58" t="str" cm="1">
        <f>IF(ISBLANK($A494),"",INDEX(Array_WaterCharges,MATCH($A494,List_WaterMeters,0),ROUNDUP((COLUMN()+0)/3-1,0)))</f>
        <v/>
      </c>
      <c r="X494" s="127"/>
      <c r="Y494" s="137"/>
      <c r="Z494" s="58" t="str" cm="1">
        <f>IF(ISBLANK($A494),"",INDEX(Array_WaterCharges,MATCH($A494,List_WaterMeters,0),ROUNDUP((COLUMN()+0)/3-1,0)))</f>
        <v/>
      </c>
      <c r="AA494" s="127"/>
      <c r="AB494" s="137"/>
      <c r="AC494" s="58" t="str" cm="1">
        <f>IF(ISBLANK($A494),"",INDEX(Array_WaterCharges,MATCH($A494,List_WaterMeters,0),ROUNDUP((COLUMN()+0)/3-1,0)))</f>
        <v/>
      </c>
      <c r="AD494" s="127"/>
      <c r="AE494" s="137"/>
      <c r="AF494" s="58" t="str" cm="1">
        <f>IF(ISBLANK($A494),"",INDEX(Array_WaterCharges,MATCH($A494,List_WaterMeters,0),ROUNDUP((COLUMN()+0)/3-1,0)))</f>
        <v/>
      </c>
      <c r="AG494" s="127"/>
      <c r="AH494" s="137"/>
    </row>
    <row r="495" spans="1:34" x14ac:dyDescent="0.3">
      <c r="A495" s="126"/>
      <c r="B495" s="133"/>
      <c r="C495" s="127"/>
      <c r="D495" s="137"/>
      <c r="E495" s="58" t="str" cm="1">
        <f>IF(ISBLANK($A495),"",INDEX(Array_WaterCharges,MATCH($A495,List_WaterMeters,0),ROUNDUP((COLUMN()+0)/3-1,0)))</f>
        <v/>
      </c>
      <c r="F495" s="127"/>
      <c r="G495" s="137"/>
      <c r="H495" s="58" t="str" cm="1">
        <f>IF(ISBLANK($A495),"",INDEX(Array_WaterCharges,MATCH($A495,List_WaterMeters,0),ROUNDUP((COLUMN()+0)/3-1,0)))</f>
        <v/>
      </c>
      <c r="I495" s="127"/>
      <c r="J495" s="137"/>
      <c r="K495" s="58" t="str" cm="1">
        <f>IF(ISBLANK($A495),"",INDEX(Array_WaterCharges,MATCH($A495,List_WaterMeters,0),ROUNDUP((COLUMN()+0)/3-1,0)))</f>
        <v/>
      </c>
      <c r="L495" s="127"/>
      <c r="M495" s="137"/>
      <c r="N495" s="58" t="str" cm="1">
        <f>IF(ISBLANK($A495),"",INDEX(Array_WaterCharges,MATCH($A495,List_WaterMeters,0),ROUNDUP((COLUMN()+0)/3-1,0)))</f>
        <v/>
      </c>
      <c r="O495" s="127"/>
      <c r="P495" s="137"/>
      <c r="Q495" s="58" t="str" cm="1">
        <f>IF(ISBLANK($A495),"",INDEX(Array_WaterCharges,MATCH($A495,List_WaterMeters,0),ROUNDUP((COLUMN()+0)/3-1,0)))</f>
        <v/>
      </c>
      <c r="R495" s="127"/>
      <c r="S495" s="137"/>
      <c r="T495" s="58" t="str" cm="1">
        <f>IF(ISBLANK($A495),"",INDEX(Array_WaterCharges,MATCH($A495,List_WaterMeters,0),ROUNDUP((COLUMN()+0)/3-1,0)))</f>
        <v/>
      </c>
      <c r="U495" s="127"/>
      <c r="V495" s="137"/>
      <c r="W495" s="58" t="str" cm="1">
        <f>IF(ISBLANK($A495),"",INDEX(Array_WaterCharges,MATCH($A495,List_WaterMeters,0),ROUNDUP((COLUMN()+0)/3-1,0)))</f>
        <v/>
      </c>
      <c r="X495" s="127"/>
      <c r="Y495" s="137"/>
      <c r="Z495" s="58" t="str" cm="1">
        <f>IF(ISBLANK($A495),"",INDEX(Array_WaterCharges,MATCH($A495,List_WaterMeters,0),ROUNDUP((COLUMN()+0)/3-1,0)))</f>
        <v/>
      </c>
      <c r="AA495" s="127"/>
      <c r="AB495" s="137"/>
      <c r="AC495" s="58" t="str" cm="1">
        <f>IF(ISBLANK($A495),"",INDEX(Array_WaterCharges,MATCH($A495,List_WaterMeters,0),ROUNDUP((COLUMN()+0)/3-1,0)))</f>
        <v/>
      </c>
      <c r="AD495" s="127"/>
      <c r="AE495" s="137"/>
      <c r="AF495" s="58" t="str" cm="1">
        <f>IF(ISBLANK($A495),"",INDEX(Array_WaterCharges,MATCH($A495,List_WaterMeters,0),ROUNDUP((COLUMN()+0)/3-1,0)))</f>
        <v/>
      </c>
      <c r="AG495" s="127"/>
      <c r="AH495" s="137"/>
    </row>
    <row r="496" spans="1:34" x14ac:dyDescent="0.3">
      <c r="A496" s="126"/>
      <c r="B496" s="133"/>
      <c r="C496" s="127"/>
      <c r="D496" s="137"/>
      <c r="E496" s="58" t="str" cm="1">
        <f>IF(ISBLANK($A496),"",INDEX(Array_WaterCharges,MATCH($A496,List_WaterMeters,0),ROUNDUP((COLUMN()+0)/3-1,0)))</f>
        <v/>
      </c>
      <c r="F496" s="127"/>
      <c r="G496" s="137"/>
      <c r="H496" s="58" t="str" cm="1">
        <f>IF(ISBLANK($A496),"",INDEX(Array_WaterCharges,MATCH($A496,List_WaterMeters,0),ROUNDUP((COLUMN()+0)/3-1,0)))</f>
        <v/>
      </c>
      <c r="I496" s="127"/>
      <c r="J496" s="137"/>
      <c r="K496" s="58" t="str" cm="1">
        <f>IF(ISBLANK($A496),"",INDEX(Array_WaterCharges,MATCH($A496,List_WaterMeters,0),ROUNDUP((COLUMN()+0)/3-1,0)))</f>
        <v/>
      </c>
      <c r="L496" s="127"/>
      <c r="M496" s="137"/>
      <c r="N496" s="58" t="str" cm="1">
        <f>IF(ISBLANK($A496),"",INDEX(Array_WaterCharges,MATCH($A496,List_WaterMeters,0),ROUNDUP((COLUMN()+0)/3-1,0)))</f>
        <v/>
      </c>
      <c r="O496" s="127"/>
      <c r="P496" s="137"/>
      <c r="Q496" s="58" t="str" cm="1">
        <f>IF(ISBLANK($A496),"",INDEX(Array_WaterCharges,MATCH($A496,List_WaterMeters,0),ROUNDUP((COLUMN()+0)/3-1,0)))</f>
        <v/>
      </c>
      <c r="R496" s="127"/>
      <c r="S496" s="137"/>
      <c r="T496" s="58" t="str" cm="1">
        <f>IF(ISBLANK($A496),"",INDEX(Array_WaterCharges,MATCH($A496,List_WaterMeters,0),ROUNDUP((COLUMN()+0)/3-1,0)))</f>
        <v/>
      </c>
      <c r="U496" s="127"/>
      <c r="V496" s="137"/>
      <c r="W496" s="58" t="str" cm="1">
        <f>IF(ISBLANK($A496),"",INDEX(Array_WaterCharges,MATCH($A496,List_WaterMeters,0),ROUNDUP((COLUMN()+0)/3-1,0)))</f>
        <v/>
      </c>
      <c r="X496" s="127"/>
      <c r="Y496" s="137"/>
      <c r="Z496" s="58" t="str" cm="1">
        <f>IF(ISBLANK($A496),"",INDEX(Array_WaterCharges,MATCH($A496,List_WaterMeters,0),ROUNDUP((COLUMN()+0)/3-1,0)))</f>
        <v/>
      </c>
      <c r="AA496" s="127"/>
      <c r="AB496" s="137"/>
      <c r="AC496" s="58" t="str" cm="1">
        <f>IF(ISBLANK($A496),"",INDEX(Array_WaterCharges,MATCH($A496,List_WaterMeters,0),ROUNDUP((COLUMN()+0)/3-1,0)))</f>
        <v/>
      </c>
      <c r="AD496" s="127"/>
      <c r="AE496" s="137"/>
      <c r="AF496" s="58" t="str" cm="1">
        <f>IF(ISBLANK($A496),"",INDEX(Array_WaterCharges,MATCH($A496,List_WaterMeters,0),ROUNDUP((COLUMN()+0)/3-1,0)))</f>
        <v/>
      </c>
      <c r="AG496" s="127"/>
      <c r="AH496" s="137"/>
    </row>
    <row r="497" spans="1:34" x14ac:dyDescent="0.3">
      <c r="A497" s="126"/>
      <c r="B497" s="133"/>
      <c r="C497" s="127"/>
      <c r="D497" s="137"/>
      <c r="E497" s="58" t="str" cm="1">
        <f>IF(ISBLANK($A497),"",INDEX(Array_WaterCharges,MATCH($A497,List_WaterMeters,0),ROUNDUP((COLUMN()+0)/3-1,0)))</f>
        <v/>
      </c>
      <c r="F497" s="127"/>
      <c r="G497" s="137"/>
      <c r="H497" s="58" t="str" cm="1">
        <f>IF(ISBLANK($A497),"",INDEX(Array_WaterCharges,MATCH($A497,List_WaterMeters,0),ROUNDUP((COLUMN()+0)/3-1,0)))</f>
        <v/>
      </c>
      <c r="I497" s="127"/>
      <c r="J497" s="137"/>
      <c r="K497" s="58" t="str" cm="1">
        <f>IF(ISBLANK($A497),"",INDEX(Array_WaterCharges,MATCH($A497,List_WaterMeters,0),ROUNDUP((COLUMN()+0)/3-1,0)))</f>
        <v/>
      </c>
      <c r="L497" s="127"/>
      <c r="M497" s="137"/>
      <c r="N497" s="58" t="str" cm="1">
        <f>IF(ISBLANK($A497),"",INDEX(Array_WaterCharges,MATCH($A497,List_WaterMeters,0),ROUNDUP((COLUMN()+0)/3-1,0)))</f>
        <v/>
      </c>
      <c r="O497" s="127"/>
      <c r="P497" s="137"/>
      <c r="Q497" s="58" t="str" cm="1">
        <f>IF(ISBLANK($A497),"",INDEX(Array_WaterCharges,MATCH($A497,List_WaterMeters,0),ROUNDUP((COLUMN()+0)/3-1,0)))</f>
        <v/>
      </c>
      <c r="R497" s="127"/>
      <c r="S497" s="137"/>
      <c r="T497" s="58" t="str" cm="1">
        <f>IF(ISBLANK($A497),"",INDEX(Array_WaterCharges,MATCH($A497,List_WaterMeters,0),ROUNDUP((COLUMN()+0)/3-1,0)))</f>
        <v/>
      </c>
      <c r="U497" s="127"/>
      <c r="V497" s="137"/>
      <c r="W497" s="58" t="str" cm="1">
        <f>IF(ISBLANK($A497),"",INDEX(Array_WaterCharges,MATCH($A497,List_WaterMeters,0),ROUNDUP((COLUMN()+0)/3-1,0)))</f>
        <v/>
      </c>
      <c r="X497" s="127"/>
      <c r="Y497" s="137"/>
      <c r="Z497" s="58" t="str" cm="1">
        <f>IF(ISBLANK($A497),"",INDEX(Array_WaterCharges,MATCH($A497,List_WaterMeters,0),ROUNDUP((COLUMN()+0)/3-1,0)))</f>
        <v/>
      </c>
      <c r="AA497" s="127"/>
      <c r="AB497" s="137"/>
      <c r="AC497" s="58" t="str" cm="1">
        <f>IF(ISBLANK($A497),"",INDEX(Array_WaterCharges,MATCH($A497,List_WaterMeters,0),ROUNDUP((COLUMN()+0)/3-1,0)))</f>
        <v/>
      </c>
      <c r="AD497" s="127"/>
      <c r="AE497" s="137"/>
      <c r="AF497" s="58" t="str" cm="1">
        <f>IF(ISBLANK($A497),"",INDEX(Array_WaterCharges,MATCH($A497,List_WaterMeters,0),ROUNDUP((COLUMN()+0)/3-1,0)))</f>
        <v/>
      </c>
      <c r="AG497" s="127"/>
      <c r="AH497" s="137"/>
    </row>
    <row r="498" spans="1:34" x14ac:dyDescent="0.3">
      <c r="A498" s="126"/>
      <c r="B498" s="133"/>
      <c r="C498" s="127"/>
      <c r="D498" s="137"/>
      <c r="E498" s="58" t="str" cm="1">
        <f>IF(ISBLANK($A498),"",INDEX(Array_WaterCharges,MATCH($A498,List_WaterMeters,0),ROUNDUP((COLUMN()+0)/3-1,0)))</f>
        <v/>
      </c>
      <c r="F498" s="127"/>
      <c r="G498" s="137"/>
      <c r="H498" s="58" t="str" cm="1">
        <f>IF(ISBLANK($A498),"",INDEX(Array_WaterCharges,MATCH($A498,List_WaterMeters,0),ROUNDUP((COLUMN()+0)/3-1,0)))</f>
        <v/>
      </c>
      <c r="I498" s="127"/>
      <c r="J498" s="137"/>
      <c r="K498" s="58" t="str" cm="1">
        <f>IF(ISBLANK($A498),"",INDEX(Array_WaterCharges,MATCH($A498,List_WaterMeters,0),ROUNDUP((COLUMN()+0)/3-1,0)))</f>
        <v/>
      </c>
      <c r="L498" s="127"/>
      <c r="M498" s="137"/>
      <c r="N498" s="58" t="str" cm="1">
        <f>IF(ISBLANK($A498),"",INDEX(Array_WaterCharges,MATCH($A498,List_WaterMeters,0),ROUNDUP((COLUMN()+0)/3-1,0)))</f>
        <v/>
      </c>
      <c r="O498" s="127"/>
      <c r="P498" s="137"/>
      <c r="Q498" s="58" t="str" cm="1">
        <f>IF(ISBLANK($A498),"",INDEX(Array_WaterCharges,MATCH($A498,List_WaterMeters,0),ROUNDUP((COLUMN()+0)/3-1,0)))</f>
        <v/>
      </c>
      <c r="R498" s="127"/>
      <c r="S498" s="137"/>
      <c r="T498" s="58" t="str" cm="1">
        <f>IF(ISBLANK($A498),"",INDEX(Array_WaterCharges,MATCH($A498,List_WaterMeters,0),ROUNDUP((COLUMN()+0)/3-1,0)))</f>
        <v/>
      </c>
      <c r="U498" s="127"/>
      <c r="V498" s="137"/>
      <c r="W498" s="58" t="str" cm="1">
        <f>IF(ISBLANK($A498),"",INDEX(Array_WaterCharges,MATCH($A498,List_WaterMeters,0),ROUNDUP((COLUMN()+0)/3-1,0)))</f>
        <v/>
      </c>
      <c r="X498" s="127"/>
      <c r="Y498" s="137"/>
      <c r="Z498" s="58" t="str" cm="1">
        <f>IF(ISBLANK($A498),"",INDEX(Array_WaterCharges,MATCH($A498,List_WaterMeters,0),ROUNDUP((COLUMN()+0)/3-1,0)))</f>
        <v/>
      </c>
      <c r="AA498" s="127"/>
      <c r="AB498" s="137"/>
      <c r="AC498" s="58" t="str" cm="1">
        <f>IF(ISBLANK($A498),"",INDEX(Array_WaterCharges,MATCH($A498,List_WaterMeters,0),ROUNDUP((COLUMN()+0)/3-1,0)))</f>
        <v/>
      </c>
      <c r="AD498" s="127"/>
      <c r="AE498" s="137"/>
      <c r="AF498" s="58" t="str" cm="1">
        <f>IF(ISBLANK($A498),"",INDEX(Array_WaterCharges,MATCH($A498,List_WaterMeters,0),ROUNDUP((COLUMN()+0)/3-1,0)))</f>
        <v/>
      </c>
      <c r="AG498" s="127"/>
      <c r="AH498" s="137"/>
    </row>
    <row r="499" spans="1:34" x14ac:dyDescent="0.3">
      <c r="A499" s="126"/>
      <c r="B499" s="133"/>
      <c r="C499" s="127"/>
      <c r="D499" s="137"/>
      <c r="E499" s="58" t="str" cm="1">
        <f>IF(ISBLANK($A499),"",INDEX(Array_WaterCharges,MATCH($A499,List_WaterMeters,0),ROUNDUP((COLUMN()+0)/3-1,0)))</f>
        <v/>
      </c>
      <c r="F499" s="127"/>
      <c r="G499" s="137"/>
      <c r="H499" s="58" t="str" cm="1">
        <f>IF(ISBLANK($A499),"",INDEX(Array_WaterCharges,MATCH($A499,List_WaterMeters,0),ROUNDUP((COLUMN()+0)/3-1,0)))</f>
        <v/>
      </c>
      <c r="I499" s="127"/>
      <c r="J499" s="137"/>
      <c r="K499" s="58" t="str" cm="1">
        <f>IF(ISBLANK($A499),"",INDEX(Array_WaterCharges,MATCH($A499,List_WaterMeters,0),ROUNDUP((COLUMN()+0)/3-1,0)))</f>
        <v/>
      </c>
      <c r="L499" s="127"/>
      <c r="M499" s="137"/>
      <c r="N499" s="58" t="str" cm="1">
        <f>IF(ISBLANK($A499),"",INDEX(Array_WaterCharges,MATCH($A499,List_WaterMeters,0),ROUNDUP((COLUMN()+0)/3-1,0)))</f>
        <v/>
      </c>
      <c r="O499" s="127"/>
      <c r="P499" s="137"/>
      <c r="Q499" s="58" t="str" cm="1">
        <f>IF(ISBLANK($A499),"",INDEX(Array_WaterCharges,MATCH($A499,List_WaterMeters,0),ROUNDUP((COLUMN()+0)/3-1,0)))</f>
        <v/>
      </c>
      <c r="R499" s="127"/>
      <c r="S499" s="137"/>
      <c r="T499" s="58" t="str" cm="1">
        <f>IF(ISBLANK($A499),"",INDEX(Array_WaterCharges,MATCH($A499,List_WaterMeters,0),ROUNDUP((COLUMN()+0)/3-1,0)))</f>
        <v/>
      </c>
      <c r="U499" s="127"/>
      <c r="V499" s="137"/>
      <c r="W499" s="58" t="str" cm="1">
        <f>IF(ISBLANK($A499),"",INDEX(Array_WaterCharges,MATCH($A499,List_WaterMeters,0),ROUNDUP((COLUMN()+0)/3-1,0)))</f>
        <v/>
      </c>
      <c r="X499" s="127"/>
      <c r="Y499" s="137"/>
      <c r="Z499" s="58" t="str" cm="1">
        <f>IF(ISBLANK($A499),"",INDEX(Array_WaterCharges,MATCH($A499,List_WaterMeters,0),ROUNDUP((COLUMN()+0)/3-1,0)))</f>
        <v/>
      </c>
      <c r="AA499" s="127"/>
      <c r="AB499" s="137"/>
      <c r="AC499" s="58" t="str" cm="1">
        <f>IF(ISBLANK($A499),"",INDEX(Array_WaterCharges,MATCH($A499,List_WaterMeters,0),ROUNDUP((COLUMN()+0)/3-1,0)))</f>
        <v/>
      </c>
      <c r="AD499" s="127"/>
      <c r="AE499" s="137"/>
      <c r="AF499" s="58" t="str" cm="1">
        <f>IF(ISBLANK($A499),"",INDEX(Array_WaterCharges,MATCH($A499,List_WaterMeters,0),ROUNDUP((COLUMN()+0)/3-1,0)))</f>
        <v/>
      </c>
      <c r="AG499" s="127"/>
      <c r="AH499" s="137"/>
    </row>
    <row r="500" spans="1:34" x14ac:dyDescent="0.3">
      <c r="A500" s="126"/>
      <c r="B500" s="133"/>
      <c r="C500" s="127"/>
      <c r="D500" s="137"/>
      <c r="E500" s="58" t="str" cm="1">
        <f>IF(ISBLANK($A500),"",INDEX(Array_WaterCharges,MATCH($A500,List_WaterMeters,0),ROUNDUP((COLUMN()+0)/3-1,0)))</f>
        <v/>
      </c>
      <c r="F500" s="127"/>
      <c r="G500" s="137"/>
      <c r="H500" s="58" t="str" cm="1">
        <f>IF(ISBLANK($A500),"",INDEX(Array_WaterCharges,MATCH($A500,List_WaterMeters,0),ROUNDUP((COLUMN()+0)/3-1,0)))</f>
        <v/>
      </c>
      <c r="I500" s="127"/>
      <c r="J500" s="137"/>
      <c r="K500" s="58" t="str" cm="1">
        <f>IF(ISBLANK($A500),"",INDEX(Array_WaterCharges,MATCH($A500,List_WaterMeters,0),ROUNDUP((COLUMN()+0)/3-1,0)))</f>
        <v/>
      </c>
      <c r="L500" s="127"/>
      <c r="M500" s="137"/>
      <c r="N500" s="58" t="str" cm="1">
        <f>IF(ISBLANK($A500),"",INDEX(Array_WaterCharges,MATCH($A500,List_WaterMeters,0),ROUNDUP((COLUMN()+0)/3-1,0)))</f>
        <v/>
      </c>
      <c r="O500" s="127"/>
      <c r="P500" s="137"/>
      <c r="Q500" s="58" t="str" cm="1">
        <f>IF(ISBLANK($A500),"",INDEX(Array_WaterCharges,MATCH($A500,List_WaterMeters,0),ROUNDUP((COLUMN()+0)/3-1,0)))</f>
        <v/>
      </c>
      <c r="R500" s="127"/>
      <c r="S500" s="137"/>
      <c r="T500" s="58" t="str" cm="1">
        <f>IF(ISBLANK($A500),"",INDEX(Array_WaterCharges,MATCH($A500,List_WaterMeters,0),ROUNDUP((COLUMN()+0)/3-1,0)))</f>
        <v/>
      </c>
      <c r="U500" s="127"/>
      <c r="V500" s="137"/>
      <c r="W500" s="58" t="str" cm="1">
        <f>IF(ISBLANK($A500),"",INDEX(Array_WaterCharges,MATCH($A500,List_WaterMeters,0),ROUNDUP((COLUMN()+0)/3-1,0)))</f>
        <v/>
      </c>
      <c r="X500" s="127"/>
      <c r="Y500" s="137"/>
      <c r="Z500" s="58" t="str" cm="1">
        <f>IF(ISBLANK($A500),"",INDEX(Array_WaterCharges,MATCH($A500,List_WaterMeters,0),ROUNDUP((COLUMN()+0)/3-1,0)))</f>
        <v/>
      </c>
      <c r="AA500" s="127"/>
      <c r="AB500" s="137"/>
      <c r="AC500" s="58" t="str" cm="1">
        <f>IF(ISBLANK($A500),"",INDEX(Array_WaterCharges,MATCH($A500,List_WaterMeters,0),ROUNDUP((COLUMN()+0)/3-1,0)))</f>
        <v/>
      </c>
      <c r="AD500" s="127"/>
      <c r="AE500" s="137"/>
      <c r="AF500" s="58" t="str" cm="1">
        <f>IF(ISBLANK($A500),"",INDEX(Array_WaterCharges,MATCH($A500,List_WaterMeters,0),ROUNDUP((COLUMN()+0)/3-1,0)))</f>
        <v/>
      </c>
      <c r="AG500" s="127"/>
      <c r="AH500" s="137"/>
    </row>
    <row r="501" spans="1:34" x14ac:dyDescent="0.3">
      <c r="A501" s="126"/>
      <c r="B501" s="133"/>
      <c r="C501" s="127"/>
      <c r="D501" s="137"/>
      <c r="E501" s="58" t="str" cm="1">
        <f>IF(ISBLANK($A501),"",INDEX(Array_WaterCharges,MATCH($A501,List_WaterMeters,0),ROUNDUP((COLUMN()+0)/3-1,0)))</f>
        <v/>
      </c>
      <c r="F501" s="127"/>
      <c r="G501" s="137"/>
      <c r="H501" s="58" t="str" cm="1">
        <f>IF(ISBLANK($A501),"",INDEX(Array_WaterCharges,MATCH($A501,List_WaterMeters,0),ROUNDUP((COLUMN()+0)/3-1,0)))</f>
        <v/>
      </c>
      <c r="I501" s="127"/>
      <c r="J501" s="137"/>
      <c r="K501" s="58" t="str" cm="1">
        <f>IF(ISBLANK($A501),"",INDEX(Array_WaterCharges,MATCH($A501,List_WaterMeters,0),ROUNDUP((COLUMN()+0)/3-1,0)))</f>
        <v/>
      </c>
      <c r="L501" s="127"/>
      <c r="M501" s="137"/>
      <c r="N501" s="58" t="str" cm="1">
        <f>IF(ISBLANK($A501),"",INDEX(Array_WaterCharges,MATCH($A501,List_WaterMeters,0),ROUNDUP((COLUMN()+0)/3-1,0)))</f>
        <v/>
      </c>
      <c r="O501" s="127"/>
      <c r="P501" s="137"/>
      <c r="Q501" s="58" t="str" cm="1">
        <f>IF(ISBLANK($A501),"",INDEX(Array_WaterCharges,MATCH($A501,List_WaterMeters,0),ROUNDUP((COLUMN()+0)/3-1,0)))</f>
        <v/>
      </c>
      <c r="R501" s="127"/>
      <c r="S501" s="137"/>
      <c r="T501" s="58" t="str" cm="1">
        <f>IF(ISBLANK($A501),"",INDEX(Array_WaterCharges,MATCH($A501,List_WaterMeters,0),ROUNDUP((COLUMN()+0)/3-1,0)))</f>
        <v/>
      </c>
      <c r="U501" s="127"/>
      <c r="V501" s="137"/>
      <c r="W501" s="58" t="str" cm="1">
        <f>IF(ISBLANK($A501),"",INDEX(Array_WaterCharges,MATCH($A501,List_WaterMeters,0),ROUNDUP((COLUMN()+0)/3-1,0)))</f>
        <v/>
      </c>
      <c r="X501" s="127"/>
      <c r="Y501" s="137"/>
      <c r="Z501" s="58" t="str" cm="1">
        <f>IF(ISBLANK($A501),"",INDEX(Array_WaterCharges,MATCH($A501,List_WaterMeters,0),ROUNDUP((COLUMN()+0)/3-1,0)))</f>
        <v/>
      </c>
      <c r="AA501" s="127"/>
      <c r="AB501" s="137"/>
      <c r="AC501" s="58" t="str" cm="1">
        <f>IF(ISBLANK($A501),"",INDEX(Array_WaterCharges,MATCH($A501,List_WaterMeters,0),ROUNDUP((COLUMN()+0)/3-1,0)))</f>
        <v/>
      </c>
      <c r="AD501" s="127"/>
      <c r="AE501" s="137"/>
      <c r="AF501" s="58" t="str" cm="1">
        <f>IF(ISBLANK($A501),"",INDEX(Array_WaterCharges,MATCH($A501,List_WaterMeters,0),ROUNDUP((COLUMN()+0)/3-1,0)))</f>
        <v/>
      </c>
      <c r="AG501" s="127"/>
      <c r="AH501" s="137"/>
    </row>
    <row r="502" spans="1:34" x14ac:dyDescent="0.3">
      <c r="A502" s="126"/>
      <c r="B502" s="133"/>
      <c r="C502" s="127"/>
      <c r="D502" s="137"/>
      <c r="E502" s="58" t="str" cm="1">
        <f>IF(ISBLANK($A502),"",INDEX(Array_WaterCharges,MATCH($A502,List_WaterMeters,0),ROUNDUP((COLUMN()+0)/3-1,0)))</f>
        <v/>
      </c>
      <c r="F502" s="127"/>
      <c r="G502" s="137"/>
      <c r="H502" s="58" t="str" cm="1">
        <f>IF(ISBLANK($A502),"",INDEX(Array_WaterCharges,MATCH($A502,List_WaterMeters,0),ROUNDUP((COLUMN()+0)/3-1,0)))</f>
        <v/>
      </c>
      <c r="I502" s="127"/>
      <c r="J502" s="137"/>
      <c r="K502" s="58" t="str" cm="1">
        <f>IF(ISBLANK($A502),"",INDEX(Array_WaterCharges,MATCH($A502,List_WaterMeters,0),ROUNDUP((COLUMN()+0)/3-1,0)))</f>
        <v/>
      </c>
      <c r="L502" s="127"/>
      <c r="M502" s="137"/>
      <c r="N502" s="58" t="str" cm="1">
        <f>IF(ISBLANK($A502),"",INDEX(Array_WaterCharges,MATCH($A502,List_WaterMeters,0),ROUNDUP((COLUMN()+0)/3-1,0)))</f>
        <v/>
      </c>
      <c r="O502" s="127"/>
      <c r="P502" s="137"/>
      <c r="Q502" s="58" t="str" cm="1">
        <f>IF(ISBLANK($A502),"",INDEX(Array_WaterCharges,MATCH($A502,List_WaterMeters,0),ROUNDUP((COLUMN()+0)/3-1,0)))</f>
        <v/>
      </c>
      <c r="R502" s="127"/>
      <c r="S502" s="137"/>
      <c r="T502" s="58" t="str" cm="1">
        <f>IF(ISBLANK($A502),"",INDEX(Array_WaterCharges,MATCH($A502,List_WaterMeters,0),ROUNDUP((COLUMN()+0)/3-1,0)))</f>
        <v/>
      </c>
      <c r="U502" s="127"/>
      <c r="V502" s="137"/>
      <c r="W502" s="58" t="str" cm="1">
        <f>IF(ISBLANK($A502),"",INDEX(Array_WaterCharges,MATCH($A502,List_WaterMeters,0),ROUNDUP((COLUMN()+0)/3-1,0)))</f>
        <v/>
      </c>
      <c r="X502" s="127"/>
      <c r="Y502" s="137"/>
      <c r="Z502" s="58" t="str" cm="1">
        <f>IF(ISBLANK($A502),"",INDEX(Array_WaterCharges,MATCH($A502,List_WaterMeters,0),ROUNDUP((COLUMN()+0)/3-1,0)))</f>
        <v/>
      </c>
      <c r="AA502" s="127"/>
      <c r="AB502" s="137"/>
      <c r="AC502" s="58" t="str" cm="1">
        <f>IF(ISBLANK($A502),"",INDEX(Array_WaterCharges,MATCH($A502,List_WaterMeters,0),ROUNDUP((COLUMN()+0)/3-1,0)))</f>
        <v/>
      </c>
      <c r="AD502" s="127"/>
      <c r="AE502" s="137"/>
      <c r="AF502" s="58" t="str" cm="1">
        <f>IF(ISBLANK($A502),"",INDEX(Array_WaterCharges,MATCH($A502,List_WaterMeters,0),ROUNDUP((COLUMN()+0)/3-1,0)))</f>
        <v/>
      </c>
      <c r="AG502" s="127"/>
      <c r="AH502" s="137"/>
    </row>
    <row r="502" spans="1:34" x14ac:dyDescent="0.3">
      <c r="A502" s="126"/>
      <c r="B502" s="133"/>
      <c r="C502" s="127"/>
      <c r="D502" s="137"/>
      <c r="E502" s="58" t="str" cm="1">
        <f>IF(ISBLANK($A502),"",INDEX(Array_WaterCharges,MATCH($A502,List_WaterMeters,0),ROUNDUP((COLUMN()+0)/3-1,0)))</f>
        <v/>
      </c>
      <c r="F502" s="127"/>
      <c r="G502" s="137"/>
      <c r="H502" s="58" t="str" cm="1">
        <f>IF(ISBLANK($A502),"",INDEX(Array_WaterCharges,MATCH($A502,List_WaterMeters,0),ROUNDUP((COLUMN()+0)/3-1,0)))</f>
        <v/>
      </c>
      <c r="I502" s="127"/>
      <c r="J502" s="137"/>
      <c r="K502" s="58" t="str" cm="1">
        <f>IF(ISBLANK($A502),"",INDEX(Array_WaterCharges,MATCH($A502,List_WaterMeters,0),ROUNDUP((COLUMN()+0)/3-1,0)))</f>
        <v/>
      </c>
      <c r="L502" s="127"/>
      <c r="M502" s="137"/>
      <c r="N502" s="58" t="str" cm="1">
        <f>IF(ISBLANK($A502),"",INDEX(Array_WaterCharges,MATCH($A502,List_WaterMeters,0),ROUNDUP((COLUMN()+0)/3-1,0)))</f>
        <v/>
      </c>
      <c r="O502" s="127"/>
      <c r="P502" s="137"/>
      <c r="Q502" s="58" t="str" cm="1">
        <f>IF(ISBLANK($A502),"",INDEX(Array_WaterCharges,MATCH($A502,List_WaterMeters,0),ROUNDUP((COLUMN()+0)/3-1,0)))</f>
        <v/>
      </c>
      <c r="R502" s="127"/>
      <c r="S502" s="137"/>
      <c r="T502" s="58" t="str" cm="1">
        <f>IF(ISBLANK($A502),"",INDEX(Array_WaterCharges,MATCH($A502,List_WaterMeters,0),ROUNDUP((COLUMN()+0)/3-1,0)))</f>
        <v/>
      </c>
      <c r="U502" s="127"/>
      <c r="V502" s="137"/>
      <c r="W502" s="58" t="str" cm="1">
        <f>IF(ISBLANK($A502),"",INDEX(Array_WaterCharges,MATCH($A502,List_WaterMeters,0),ROUNDUP((COLUMN()+0)/3-1,0)))</f>
        <v/>
      </c>
      <c r="X502" s="127"/>
      <c r="Y502" s="137"/>
      <c r="Z502" s="58" t="str" cm="1">
        <f>IF(ISBLANK($A502),"",INDEX(Array_WaterCharges,MATCH($A502,List_WaterMeters,0),ROUNDUP((COLUMN()+0)/3-1,0)))</f>
        <v/>
      </c>
      <c r="AA502" s="127"/>
      <c r="AB502" s="137"/>
      <c r="AC502" s="58" t="str" cm="1">
        <f>IF(ISBLANK($A502),"",INDEX(Array_WaterCharges,MATCH($A502,List_WaterMeters,0),ROUNDUP((COLUMN()+0)/3-1,0)))</f>
        <v/>
      </c>
      <c r="AD502" s="127"/>
      <c r="AE502" s="137"/>
      <c r="AF502" s="58" t="str" cm="1">
        <f>IF(ISBLANK($A502),"",INDEX(Array_WaterCharges,MATCH($A502,List_WaterMeters,0),ROUNDUP((COLUMN()+0)/3-1,0)))</f>
        <v/>
      </c>
      <c r="AG502" s="127"/>
      <c r="AH502" s="137"/>
    </row>
    <row r="502" spans="1:34" x14ac:dyDescent="0.3">
      <c r="A502" s="126"/>
      <c r="B502" s="133"/>
      <c r="C502" s="127"/>
      <c r="D502" s="137"/>
      <c r="E502" s="58" t="str" cm="1">
        <f>IF(ISBLANK($A502),"",INDEX(Array_WaterCharges,MATCH($A502,List_WaterMeters,0),ROUNDUP((COLUMN()+0)/3-1,0)))</f>
        <v/>
      </c>
      <c r="F502" s="127"/>
      <c r="G502" s="137"/>
      <c r="H502" s="58" t="str" cm="1">
        <f>IF(ISBLANK($A502),"",INDEX(Array_WaterCharges,MATCH($A502,List_WaterMeters,0),ROUNDUP((COLUMN()+0)/3-1,0)))</f>
        <v/>
      </c>
      <c r="I502" s="127"/>
      <c r="J502" s="137"/>
      <c r="K502" s="58" t="str" cm="1">
        <f>IF(ISBLANK($A502),"",INDEX(Array_WaterCharges,MATCH($A502,List_WaterMeters,0),ROUNDUP((COLUMN()+0)/3-1,0)))</f>
        <v/>
      </c>
      <c r="L502" s="127"/>
      <c r="M502" s="137"/>
      <c r="N502" s="58" t="str" cm="1">
        <f>IF(ISBLANK($A502),"",INDEX(Array_WaterCharges,MATCH($A502,List_WaterMeters,0),ROUNDUP((COLUMN()+0)/3-1,0)))</f>
        <v/>
      </c>
      <c r="O502" s="127"/>
      <c r="P502" s="137"/>
      <c r="Q502" s="58" t="str" cm="1">
        <f>IF(ISBLANK($A502),"",INDEX(Array_WaterCharges,MATCH($A502,List_WaterMeters,0),ROUNDUP((COLUMN()+0)/3-1,0)))</f>
        <v/>
      </c>
      <c r="R502" s="127"/>
      <c r="S502" s="137"/>
      <c r="T502" s="58" t="str" cm="1">
        <f>IF(ISBLANK($A502),"",INDEX(Array_WaterCharges,MATCH($A502,List_WaterMeters,0),ROUNDUP((COLUMN()+0)/3-1,0)))</f>
        <v/>
      </c>
      <c r="U502" s="127"/>
      <c r="V502" s="137"/>
      <c r="W502" s="58" t="str" cm="1">
        <f>IF(ISBLANK($A502),"",INDEX(Array_WaterCharges,MATCH($A502,List_WaterMeters,0),ROUNDUP((COLUMN()+0)/3-1,0)))</f>
        <v/>
      </c>
      <c r="X502" s="127"/>
      <c r="Y502" s="137"/>
      <c r="Z502" s="58" t="str" cm="1">
        <f>IF(ISBLANK($A502),"",INDEX(Array_WaterCharges,MATCH($A502,List_WaterMeters,0),ROUNDUP((COLUMN()+0)/3-1,0)))</f>
        <v/>
      </c>
      <c r="AA502" s="127"/>
      <c r="AB502" s="137"/>
      <c r="AC502" s="58" t="str" cm="1">
        <f>IF(ISBLANK($A502),"",INDEX(Array_WaterCharges,MATCH($A502,List_WaterMeters,0),ROUNDUP((COLUMN()+0)/3-1,0)))</f>
        <v/>
      </c>
      <c r="AD502" s="127"/>
      <c r="AE502" s="137"/>
      <c r="AF502" s="58" t="str" cm="1">
        <f>IF(ISBLANK($A502),"",INDEX(Array_WaterCharges,MATCH($A502,List_WaterMeters,0),ROUNDUP((COLUMN()+0)/3-1,0)))</f>
        <v/>
      </c>
      <c r="AG502" s="127"/>
      <c r="AH502" s="137"/>
    </row>
  </sheetData>
  <sheetProtection algorithmName="SHA-512" hashValue="RS9mmyMlselqCDnzHfK6381hedu+FxAuA7CoyaeUIv4JLa0lxL96FDTaXbCrEB3SsP/ML/QUBZ4eZhCs626DPQ==" saltValue="pjBDkN+tlpRGfFCHaqGuOg==" spinCount="100000" sheet="1" objects="1" scenarios="1"/>
  <conditionalFormatting sqref="A3:C502">
    <cfRule type="expression" dxfId="31" priority="72">
      <formula>AND(COUNTA($A3:$D3)&gt;0,A3="")</formula>
    </cfRule>
  </conditionalFormatting>
  <conditionalFormatting sqref="A3:D502">
    <cfRule type="expression" dxfId="30" priority="75">
      <formula>AND(COUNTA($A3:$D3)=0,ROW()&lt;&gt;3)</formula>
    </cfRule>
  </conditionalFormatting>
  <conditionalFormatting sqref="E3:G502">
    <cfRule type="expression" dxfId="29" priority="32">
      <formula>$E3=""</formula>
    </cfRule>
  </conditionalFormatting>
  <conditionalFormatting sqref="H3:J502">
    <cfRule type="expression" dxfId="28" priority="31">
      <formula>$H3=""</formula>
    </cfRule>
  </conditionalFormatting>
  <conditionalFormatting sqref="K3:M502">
    <cfRule type="expression" dxfId="27" priority="30">
      <formula>$K3=""</formula>
    </cfRule>
  </conditionalFormatting>
  <conditionalFormatting sqref="N3:P502">
    <cfRule type="expression" dxfId="26" priority="29">
      <formula>$N3=""</formula>
    </cfRule>
  </conditionalFormatting>
  <conditionalFormatting sqref="Q3:S502">
    <cfRule type="expression" dxfId="25" priority="28">
      <formula>$Q3=""</formula>
    </cfRule>
  </conditionalFormatting>
  <conditionalFormatting sqref="T3:V502">
    <cfRule type="expression" dxfId="24" priority="27">
      <formula>$T3=""</formula>
    </cfRule>
  </conditionalFormatting>
  <conditionalFormatting sqref="W3:Y502">
    <cfRule type="expression" dxfId="23" priority="26">
      <formula>$W3=""</formula>
    </cfRule>
  </conditionalFormatting>
  <conditionalFormatting sqref="Z3:AB502">
    <cfRule type="expression" dxfId="22" priority="25">
      <formula>$Z3=""</formula>
    </cfRule>
  </conditionalFormatting>
  <conditionalFormatting sqref="AC3:AE502">
    <cfRule type="expression" dxfId="21" priority="24">
      <formula>$AC3=""</formula>
    </cfRule>
  </conditionalFormatting>
  <conditionalFormatting sqref="AF3:AH502">
    <cfRule type="expression" dxfId="20" priority="16">
      <formula>$AF3=""</formula>
    </cfRule>
  </conditionalFormatting>
  <dataValidations count="1">
    <dataValidation type="list" allowBlank="1" showInputMessage="1" showErrorMessage="1" sqref="A3:A502" xr:uid="{E9D069BD-6B3A-49DB-88C0-BB980E593E25}">
      <formula1>List_WaterMeters</formula1>
    </dataValidation>
  </dataValidation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D4B08-52BE-45A7-825C-81BB0902DD47}">
  <sheetPr codeName="Sheet22">
    <tabColor rgb="FFBCBD22"/>
  </sheetPr>
  <dimension ref="A1:F202"/>
  <sheetViews>
    <sheetView workbookViewId="0">
      <selection activeCell="C3" sqref="C3"/>
    </sheetView>
  </sheetViews>
  <sheetFormatPr defaultColWidth="0" defaultRowHeight="14" zeroHeight="1" x14ac:dyDescent="0.3"/>
  <cols>
    <col min="1" max="5" width="16.7265625" style="45" customWidth="1"/>
    <col min="6" max="6" width="32.7265625" style="45" customWidth="1"/>
    <col min="7" max="16384" width="16.7265625" style="45" hidden="1"/>
  </cols>
  <sheetData>
    <row r="1" spans="1:6" ht="30" customHeight="1" x14ac:dyDescent="0.3">
      <c r="A1" s="85" t="s">
        <v>832</v>
      </c>
      <c r="B1" s="85"/>
      <c r="C1" s="85"/>
      <c r="D1" s="85"/>
      <c r="E1" s="85"/>
      <c r="F1" s="86"/>
    </row>
    <row r="2" spans="1:6" ht="30" customHeight="1" x14ac:dyDescent="0.3">
      <c r="A2" s="99" t="s">
        <v>0</v>
      </c>
      <c r="B2" s="100" t="s">
        <v>752</v>
      </c>
      <c r="C2" s="99" t="s">
        <v>479</v>
      </c>
      <c r="D2" s="99" t="s">
        <v>753</v>
      </c>
      <c r="E2" s="117" t="s">
        <v>754</v>
      </c>
      <c r="F2" s="101" t="s">
        <v>8</v>
      </c>
    </row>
    <row r="3" spans="1:6" x14ac:dyDescent="0.3">
      <c r="A3" s="126"/>
      <c r="B3" s="127"/>
      <c r="C3" s="126"/>
      <c r="D3" s="126"/>
      <c r="E3" s="140"/>
      <c r="F3" s="137"/>
    </row>
    <row r="4" spans="1:6" x14ac:dyDescent="0.3">
      <c r="A4" s="126"/>
      <c r="B4" s="127"/>
      <c r="C4" s="126"/>
      <c r="D4" s="126"/>
      <c r="E4" s="140"/>
      <c r="F4" s="137"/>
    </row>
    <row r="5" spans="1:6" x14ac:dyDescent="0.3">
      <c r="A5" s="126"/>
      <c r="B5" s="127"/>
      <c r="C5" s="126"/>
      <c r="D5" s="126"/>
      <c r="E5" s="140"/>
      <c r="F5" s="137"/>
    </row>
    <row r="6" spans="1:6" x14ac:dyDescent="0.3">
      <c r="A6" s="126"/>
      <c r="B6" s="127"/>
      <c r="C6" s="126"/>
      <c r="D6" s="126"/>
      <c r="E6" s="140"/>
      <c r="F6" s="137"/>
    </row>
    <row r="7" spans="1:6" x14ac:dyDescent="0.3">
      <c r="A7" s="126"/>
      <c r="B7" s="127"/>
      <c r="C7" s="126"/>
      <c r="D7" s="126"/>
      <c r="E7" s="140"/>
      <c r="F7" s="137"/>
    </row>
    <row r="8" spans="1:6" x14ac:dyDescent="0.3">
      <c r="A8" s="126"/>
      <c r="B8" s="127"/>
      <c r="C8" s="126"/>
      <c r="D8" s="126"/>
      <c r="E8" s="140"/>
      <c r="F8" s="137"/>
    </row>
    <row r="9" spans="1:6" x14ac:dyDescent="0.3">
      <c r="A9" s="126"/>
      <c r="B9" s="127"/>
      <c r="C9" s="126"/>
      <c r="D9" s="126"/>
      <c r="E9" s="140"/>
      <c r="F9" s="137"/>
    </row>
    <row r="10" spans="1:6" x14ac:dyDescent="0.3">
      <c r="A10" s="126"/>
      <c r="B10" s="127"/>
      <c r="C10" s="126"/>
      <c r="D10" s="126"/>
      <c r="E10" s="140"/>
      <c r="F10" s="137"/>
    </row>
    <row r="11" spans="1:6" x14ac:dyDescent="0.3">
      <c r="A11" s="126"/>
      <c r="B11" s="127"/>
      <c r="C11" s="126"/>
      <c r="D11" s="126"/>
      <c r="E11" s="140"/>
      <c r="F11" s="137"/>
    </row>
    <row r="12" spans="1:6" x14ac:dyDescent="0.3">
      <c r="A12" s="126"/>
      <c r="B12" s="127"/>
      <c r="C12" s="126"/>
      <c r="D12" s="126"/>
      <c r="E12" s="140"/>
      <c r="F12" s="137"/>
    </row>
    <row r="13" spans="1:6" x14ac:dyDescent="0.3">
      <c r="A13" s="126"/>
      <c r="B13" s="127"/>
      <c r="C13" s="126"/>
      <c r="D13" s="126"/>
      <c r="E13" s="140"/>
      <c r="F13" s="137"/>
    </row>
    <row r="14" spans="1:6" x14ac:dyDescent="0.3">
      <c r="A14" s="126"/>
      <c r="B14" s="127"/>
      <c r="C14" s="126"/>
      <c r="D14" s="126"/>
      <c r="E14" s="140"/>
      <c r="F14" s="137"/>
    </row>
    <row r="15" spans="1:6" x14ac:dyDescent="0.3">
      <c r="A15" s="126"/>
      <c r="B15" s="127"/>
      <c r="C15" s="126"/>
      <c r="D15" s="126"/>
      <c r="E15" s="140"/>
      <c r="F15" s="137"/>
    </row>
    <row r="16" spans="1:6" x14ac:dyDescent="0.3">
      <c r="A16" s="126"/>
      <c r="B16" s="127"/>
      <c r="C16" s="126"/>
      <c r="D16" s="126"/>
      <c r="E16" s="140"/>
      <c r="F16" s="137"/>
    </row>
    <row r="17" spans="1:6" x14ac:dyDescent="0.3">
      <c r="A17" s="126"/>
      <c r="B17" s="127"/>
      <c r="C17" s="126"/>
      <c r="D17" s="126"/>
      <c r="E17" s="140"/>
      <c r="F17" s="137"/>
    </row>
    <row r="18" spans="1:6" x14ac:dyDescent="0.3">
      <c r="A18" s="126"/>
      <c r="B18" s="127"/>
      <c r="C18" s="126"/>
      <c r="D18" s="126"/>
      <c r="E18" s="140"/>
      <c r="F18" s="137"/>
    </row>
    <row r="19" spans="1:6" x14ac:dyDescent="0.3">
      <c r="A19" s="126"/>
      <c r="B19" s="127"/>
      <c r="C19" s="126"/>
      <c r="D19" s="126"/>
      <c r="E19" s="140"/>
      <c r="F19" s="137"/>
    </row>
    <row r="20" spans="1:6" x14ac:dyDescent="0.3">
      <c r="A20" s="126"/>
      <c r="B20" s="127"/>
      <c r="C20" s="126"/>
      <c r="D20" s="126"/>
      <c r="E20" s="140"/>
      <c r="F20" s="137"/>
    </row>
    <row r="21" spans="1:6" x14ac:dyDescent="0.3">
      <c r="A21" s="126"/>
      <c r="B21" s="127"/>
      <c r="C21" s="126"/>
      <c r="D21" s="126"/>
      <c r="E21" s="140"/>
      <c r="F21" s="137"/>
    </row>
    <row r="22" spans="1:6" x14ac:dyDescent="0.3">
      <c r="A22" s="126"/>
      <c r="B22" s="127"/>
      <c r="C22" s="126"/>
      <c r="D22" s="126"/>
      <c r="E22" s="140"/>
      <c r="F22" s="137"/>
    </row>
    <row r="23" spans="1:6" x14ac:dyDescent="0.3">
      <c r="A23" s="126"/>
      <c r="B23" s="127"/>
      <c r="C23" s="126"/>
      <c r="D23" s="126"/>
      <c r="E23" s="140"/>
      <c r="F23" s="137"/>
    </row>
    <row r="24" spans="1:6" x14ac:dyDescent="0.3">
      <c r="A24" s="126"/>
      <c r="B24" s="127"/>
      <c r="C24" s="126"/>
      <c r="D24" s="126"/>
      <c r="E24" s="140"/>
      <c r="F24" s="137"/>
    </row>
    <row r="25" spans="1:6" x14ac:dyDescent="0.3">
      <c r="A25" s="126"/>
      <c r="B25" s="127"/>
      <c r="C25" s="126"/>
      <c r="D25" s="126"/>
      <c r="E25" s="140"/>
      <c r="F25" s="137"/>
    </row>
    <row r="26" spans="1:6" x14ac:dyDescent="0.3">
      <c r="A26" s="126"/>
      <c r="B26" s="127"/>
      <c r="C26" s="126"/>
      <c r="D26" s="126"/>
      <c r="E26" s="140"/>
      <c r="F26" s="137"/>
    </row>
    <row r="27" spans="1:6" x14ac:dyDescent="0.3">
      <c r="A27" s="126"/>
      <c r="B27" s="127"/>
      <c r="C27" s="126"/>
      <c r="D27" s="126"/>
      <c r="E27" s="140"/>
      <c r="F27" s="137"/>
    </row>
    <row r="28" spans="1:6" x14ac:dyDescent="0.3">
      <c r="A28" s="126"/>
      <c r="B28" s="127"/>
      <c r="C28" s="126"/>
      <c r="D28" s="126"/>
      <c r="E28" s="140"/>
      <c r="F28" s="137"/>
    </row>
    <row r="29" spans="1:6" x14ac:dyDescent="0.3">
      <c r="A29" s="126"/>
      <c r="B29" s="127"/>
      <c r="C29" s="126"/>
      <c r="D29" s="126"/>
      <c r="E29" s="140"/>
      <c r="F29" s="137"/>
    </row>
    <row r="30" spans="1:6" x14ac:dyDescent="0.3">
      <c r="A30" s="126"/>
      <c r="B30" s="127"/>
      <c r="C30" s="126"/>
      <c r="D30" s="126"/>
      <c r="E30" s="140"/>
      <c r="F30" s="137"/>
    </row>
    <row r="31" spans="1:6" x14ac:dyDescent="0.3">
      <c r="A31" s="126"/>
      <c r="B31" s="127"/>
      <c r="C31" s="126"/>
      <c r="D31" s="126"/>
      <c r="E31" s="140"/>
      <c r="F31" s="137"/>
    </row>
    <row r="32" spans="1:6" x14ac:dyDescent="0.3">
      <c r="A32" s="126"/>
      <c r="B32" s="127"/>
      <c r="C32" s="126"/>
      <c r="D32" s="126"/>
      <c r="E32" s="140"/>
      <c r="F32" s="137"/>
    </row>
    <row r="33" spans="1:6" x14ac:dyDescent="0.3">
      <c r="A33" s="126"/>
      <c r="B33" s="127"/>
      <c r="C33" s="126"/>
      <c r="D33" s="126"/>
      <c r="E33" s="140"/>
      <c r="F33" s="137"/>
    </row>
    <row r="34" spans="1:6" x14ac:dyDescent="0.3">
      <c r="A34" s="126"/>
      <c r="B34" s="127"/>
      <c r="C34" s="126"/>
      <c r="D34" s="126"/>
      <c r="E34" s="140"/>
      <c r="F34" s="137"/>
    </row>
    <row r="35" spans="1:6" x14ac:dyDescent="0.3">
      <c r="A35" s="126"/>
      <c r="B35" s="127"/>
      <c r="C35" s="126"/>
      <c r="D35" s="126"/>
      <c r="E35" s="140"/>
      <c r="F35" s="137"/>
    </row>
    <row r="36" spans="1:6" x14ac:dyDescent="0.3">
      <c r="A36" s="126"/>
      <c r="B36" s="127"/>
      <c r="C36" s="126"/>
      <c r="D36" s="126"/>
      <c r="E36" s="140"/>
      <c r="F36" s="137"/>
    </row>
    <row r="37" spans="1:6" x14ac:dyDescent="0.3">
      <c r="A37" s="126"/>
      <c r="B37" s="127"/>
      <c r="C37" s="126"/>
      <c r="D37" s="126"/>
      <c r="E37" s="140"/>
      <c r="F37" s="137"/>
    </row>
    <row r="38" spans="1:6" x14ac:dyDescent="0.3">
      <c r="A38" s="126"/>
      <c r="B38" s="127"/>
      <c r="C38" s="126"/>
      <c r="D38" s="126"/>
      <c r="E38" s="140"/>
      <c r="F38" s="137"/>
    </row>
    <row r="39" spans="1:6" x14ac:dyDescent="0.3">
      <c r="A39" s="126"/>
      <c r="B39" s="127"/>
      <c r="C39" s="126"/>
      <c r="D39" s="126"/>
      <c r="E39" s="140"/>
      <c r="F39" s="137"/>
    </row>
    <row r="40" spans="1:6" x14ac:dyDescent="0.3">
      <c r="A40" s="126"/>
      <c r="B40" s="127"/>
      <c r="C40" s="126"/>
      <c r="D40" s="126"/>
      <c r="E40" s="140"/>
      <c r="F40" s="137"/>
    </row>
    <row r="41" spans="1:6" x14ac:dyDescent="0.3">
      <c r="A41" s="126"/>
      <c r="B41" s="127"/>
      <c r="C41" s="126"/>
      <c r="D41" s="126"/>
      <c r="E41" s="140"/>
      <c r="F41" s="137"/>
    </row>
    <row r="42" spans="1:6" x14ac:dyDescent="0.3">
      <c r="A42" s="126"/>
      <c r="B42" s="127"/>
      <c r="C42" s="126"/>
      <c r="D42" s="126"/>
      <c r="E42" s="140"/>
      <c r="F42" s="137"/>
    </row>
    <row r="43" spans="1:6" x14ac:dyDescent="0.3">
      <c r="A43" s="126"/>
      <c r="B43" s="127"/>
      <c r="C43" s="126"/>
      <c r="D43" s="126"/>
      <c r="E43" s="140"/>
      <c r="F43" s="137"/>
    </row>
    <row r="44" spans="1:6" x14ac:dyDescent="0.3">
      <c r="A44" s="126"/>
      <c r="B44" s="127"/>
      <c r="C44" s="126"/>
      <c r="D44" s="126"/>
      <c r="E44" s="140"/>
      <c r="F44" s="137"/>
    </row>
    <row r="45" spans="1:6" x14ac:dyDescent="0.3">
      <c r="A45" s="126"/>
      <c r="B45" s="127"/>
      <c r="C45" s="126"/>
      <c r="D45" s="126"/>
      <c r="E45" s="140"/>
      <c r="F45" s="137"/>
    </row>
    <row r="46" spans="1:6" x14ac:dyDescent="0.3">
      <c r="A46" s="126"/>
      <c r="B46" s="127"/>
      <c r="C46" s="126"/>
      <c r="D46" s="126"/>
      <c r="E46" s="140"/>
      <c r="F46" s="137"/>
    </row>
    <row r="47" spans="1:6" x14ac:dyDescent="0.3">
      <c r="A47" s="126"/>
      <c r="B47" s="127"/>
      <c r="C47" s="126"/>
      <c r="D47" s="126"/>
      <c r="E47" s="140"/>
      <c r="F47" s="137"/>
    </row>
    <row r="48" spans="1:6" x14ac:dyDescent="0.3">
      <c r="A48" s="126"/>
      <c r="B48" s="127"/>
      <c r="C48" s="126"/>
      <c r="D48" s="126"/>
      <c r="E48" s="140"/>
      <c r="F48" s="137"/>
    </row>
    <row r="49" spans="1:6" x14ac:dyDescent="0.3">
      <c r="A49" s="126"/>
      <c r="B49" s="127"/>
      <c r="C49" s="126"/>
      <c r="D49" s="126"/>
      <c r="E49" s="140"/>
      <c r="F49" s="137"/>
    </row>
    <row r="50" spans="1:6" x14ac:dyDescent="0.3">
      <c r="A50" s="126"/>
      <c r="B50" s="127"/>
      <c r="C50" s="126"/>
      <c r="D50" s="126"/>
      <c r="E50" s="140"/>
      <c r="F50" s="137"/>
    </row>
    <row r="51" spans="1:6" x14ac:dyDescent="0.3">
      <c r="A51" s="126"/>
      <c r="B51" s="127"/>
      <c r="C51" s="126"/>
      <c r="D51" s="126"/>
      <c r="E51" s="140"/>
      <c r="F51" s="137"/>
    </row>
    <row r="52" spans="1:6" x14ac:dyDescent="0.3">
      <c r="A52" s="126"/>
      <c r="B52" s="127"/>
      <c r="C52" s="126"/>
      <c r="D52" s="126"/>
      <c r="E52" s="140"/>
      <c r="F52" s="137"/>
    </row>
    <row r="53" spans="1:6" x14ac:dyDescent="0.3">
      <c r="A53" s="126"/>
      <c r="B53" s="127"/>
      <c r="C53" s="126"/>
      <c r="D53" s="126"/>
      <c r="E53" s="140"/>
      <c r="F53" s="137"/>
    </row>
    <row r="54" spans="1:6" x14ac:dyDescent="0.3">
      <c r="A54" s="126"/>
      <c r="B54" s="127"/>
      <c r="C54" s="126"/>
      <c r="D54" s="126"/>
      <c r="E54" s="140"/>
      <c r="F54" s="137"/>
    </row>
    <row r="55" spans="1:6" x14ac:dyDescent="0.3">
      <c r="A55" s="126"/>
      <c r="B55" s="127"/>
      <c r="C55" s="126"/>
      <c r="D55" s="126"/>
      <c r="E55" s="140"/>
      <c r="F55" s="137"/>
    </row>
    <row r="56" spans="1:6" x14ac:dyDescent="0.3">
      <c r="A56" s="126"/>
      <c r="B56" s="127"/>
      <c r="C56" s="126"/>
      <c r="D56" s="126"/>
      <c r="E56" s="140"/>
      <c r="F56" s="137"/>
    </row>
    <row r="57" spans="1:6" x14ac:dyDescent="0.3">
      <c r="A57" s="126"/>
      <c r="B57" s="127"/>
      <c r="C57" s="126"/>
      <c r="D57" s="126"/>
      <c r="E57" s="140"/>
      <c r="F57" s="137"/>
    </row>
    <row r="58" spans="1:6" x14ac:dyDescent="0.3">
      <c r="A58" s="126"/>
      <c r="B58" s="127"/>
      <c r="C58" s="126"/>
      <c r="D58" s="126"/>
      <c r="E58" s="140"/>
      <c r="F58" s="137"/>
    </row>
    <row r="59" spans="1:6" x14ac:dyDescent="0.3">
      <c r="A59" s="126"/>
      <c r="B59" s="127"/>
      <c r="C59" s="126"/>
      <c r="D59" s="126"/>
      <c r="E59" s="140"/>
      <c r="F59" s="137"/>
    </row>
    <row r="60" spans="1:6" x14ac:dyDescent="0.3">
      <c r="A60" s="126"/>
      <c r="B60" s="127"/>
      <c r="C60" s="126"/>
      <c r="D60" s="126"/>
      <c r="E60" s="140"/>
      <c r="F60" s="137"/>
    </row>
    <row r="61" spans="1:6" x14ac:dyDescent="0.3">
      <c r="A61" s="126"/>
      <c r="B61" s="127"/>
      <c r="C61" s="126"/>
      <c r="D61" s="126"/>
      <c r="E61" s="140"/>
      <c r="F61" s="137"/>
    </row>
    <row r="62" spans="1:6" x14ac:dyDescent="0.3">
      <c r="A62" s="126"/>
      <c r="B62" s="127"/>
      <c r="C62" s="126"/>
      <c r="D62" s="126"/>
      <c r="E62" s="140"/>
      <c r="F62" s="137"/>
    </row>
    <row r="63" spans="1:6" x14ac:dyDescent="0.3">
      <c r="A63" s="126"/>
      <c r="B63" s="127"/>
      <c r="C63" s="126"/>
      <c r="D63" s="126"/>
      <c r="E63" s="140"/>
      <c r="F63" s="137"/>
    </row>
    <row r="64" spans="1:6" x14ac:dyDescent="0.3">
      <c r="A64" s="126"/>
      <c r="B64" s="127"/>
      <c r="C64" s="126"/>
      <c r="D64" s="126"/>
      <c r="E64" s="140"/>
      <c r="F64" s="137"/>
    </row>
    <row r="65" spans="1:6" x14ac:dyDescent="0.3">
      <c r="A65" s="126"/>
      <c r="B65" s="127"/>
      <c r="C65" s="126"/>
      <c r="D65" s="126"/>
      <c r="E65" s="140"/>
      <c r="F65" s="137"/>
    </row>
    <row r="66" spans="1:6" x14ac:dyDescent="0.3">
      <c r="A66" s="126"/>
      <c r="B66" s="127"/>
      <c r="C66" s="126"/>
      <c r="D66" s="126"/>
      <c r="E66" s="140"/>
      <c r="F66" s="137"/>
    </row>
    <row r="67" spans="1:6" x14ac:dyDescent="0.3">
      <c r="A67" s="126"/>
      <c r="B67" s="127"/>
      <c r="C67" s="126"/>
      <c r="D67" s="126"/>
      <c r="E67" s="140"/>
      <c r="F67" s="137"/>
    </row>
    <row r="68" spans="1:6" x14ac:dyDescent="0.3">
      <c r="A68" s="126"/>
      <c r="B68" s="127"/>
      <c r="C68" s="126"/>
      <c r="D68" s="126"/>
      <c r="E68" s="140"/>
      <c r="F68" s="137"/>
    </row>
    <row r="69" spans="1:6" x14ac:dyDescent="0.3">
      <c r="A69" s="126"/>
      <c r="B69" s="127"/>
      <c r="C69" s="126"/>
      <c r="D69" s="126"/>
      <c r="E69" s="140"/>
      <c r="F69" s="137"/>
    </row>
    <row r="70" spans="1:6" x14ac:dyDescent="0.3">
      <c r="A70" s="126"/>
      <c r="B70" s="127"/>
      <c r="C70" s="126"/>
      <c r="D70" s="126"/>
      <c r="E70" s="140"/>
      <c r="F70" s="137"/>
    </row>
    <row r="71" spans="1:6" x14ac:dyDescent="0.3">
      <c r="A71" s="126"/>
      <c r="B71" s="127"/>
      <c r="C71" s="126"/>
      <c r="D71" s="126"/>
      <c r="E71" s="140"/>
      <c r="F71" s="137"/>
    </row>
    <row r="72" spans="1:6" x14ac:dyDescent="0.3">
      <c r="A72" s="126"/>
      <c r="B72" s="127"/>
      <c r="C72" s="126"/>
      <c r="D72" s="126"/>
      <c r="E72" s="140"/>
      <c r="F72" s="137"/>
    </row>
    <row r="73" spans="1:6" x14ac:dyDescent="0.3">
      <c r="A73" s="126"/>
      <c r="B73" s="127"/>
      <c r="C73" s="126"/>
      <c r="D73" s="126"/>
      <c r="E73" s="140"/>
      <c r="F73" s="137"/>
    </row>
    <row r="74" spans="1:6" x14ac:dyDescent="0.3">
      <c r="A74" s="126"/>
      <c r="B74" s="127"/>
      <c r="C74" s="126"/>
      <c r="D74" s="126"/>
      <c r="E74" s="140"/>
      <c r="F74" s="137"/>
    </row>
    <row r="75" spans="1:6" x14ac:dyDescent="0.3">
      <c r="A75" s="126"/>
      <c r="B75" s="127"/>
      <c r="C75" s="126"/>
      <c r="D75" s="126"/>
      <c r="E75" s="140"/>
      <c r="F75" s="137"/>
    </row>
    <row r="76" spans="1:6" x14ac:dyDescent="0.3">
      <c r="A76" s="126"/>
      <c r="B76" s="127"/>
      <c r="C76" s="126"/>
      <c r="D76" s="126"/>
      <c r="E76" s="140"/>
      <c r="F76" s="137"/>
    </row>
    <row r="77" spans="1:6" x14ac:dyDescent="0.3">
      <c r="A77" s="126"/>
      <c r="B77" s="127"/>
      <c r="C77" s="126"/>
      <c r="D77" s="126"/>
      <c r="E77" s="140"/>
      <c r="F77" s="137"/>
    </row>
    <row r="78" spans="1:6" x14ac:dyDescent="0.3">
      <c r="A78" s="126"/>
      <c r="B78" s="127"/>
      <c r="C78" s="126"/>
      <c r="D78" s="126"/>
      <c r="E78" s="140"/>
      <c r="F78" s="137"/>
    </row>
    <row r="79" spans="1:6" x14ac:dyDescent="0.3">
      <c r="A79" s="126"/>
      <c r="B79" s="127"/>
      <c r="C79" s="126"/>
      <c r="D79" s="126"/>
      <c r="E79" s="140"/>
      <c r="F79" s="137"/>
    </row>
    <row r="80" spans="1:6" x14ac:dyDescent="0.3">
      <c r="A80" s="126"/>
      <c r="B80" s="127"/>
      <c r="C80" s="126"/>
      <c r="D80" s="126"/>
      <c r="E80" s="140"/>
      <c r="F80" s="137"/>
    </row>
    <row r="81" spans="1:6" x14ac:dyDescent="0.3">
      <c r="A81" s="126"/>
      <c r="B81" s="127"/>
      <c r="C81" s="126"/>
      <c r="D81" s="126"/>
      <c r="E81" s="140"/>
      <c r="F81" s="137"/>
    </row>
    <row r="82" spans="1:6" x14ac:dyDescent="0.3">
      <c r="A82" s="126"/>
      <c r="B82" s="127"/>
      <c r="C82" s="126"/>
      <c r="D82" s="126"/>
      <c r="E82" s="140"/>
      <c r="F82" s="137"/>
    </row>
    <row r="83" spans="1:6" x14ac:dyDescent="0.3">
      <c r="A83" s="126"/>
      <c r="B83" s="127"/>
      <c r="C83" s="126"/>
      <c r="D83" s="126"/>
      <c r="E83" s="140"/>
      <c r="F83" s="137"/>
    </row>
    <row r="84" spans="1:6" x14ac:dyDescent="0.3">
      <c r="A84" s="126"/>
      <c r="B84" s="127"/>
      <c r="C84" s="126"/>
      <c r="D84" s="126"/>
      <c r="E84" s="140"/>
      <c r="F84" s="137"/>
    </row>
    <row r="85" spans="1:6" x14ac:dyDescent="0.3">
      <c r="A85" s="126"/>
      <c r="B85" s="127"/>
      <c r="C85" s="126"/>
      <c r="D85" s="126"/>
      <c r="E85" s="140"/>
      <c r="F85" s="137"/>
    </row>
    <row r="86" spans="1:6" x14ac:dyDescent="0.3">
      <c r="A86" s="126"/>
      <c r="B86" s="127"/>
      <c r="C86" s="126"/>
      <c r="D86" s="126"/>
      <c r="E86" s="140"/>
      <c r="F86" s="137"/>
    </row>
    <row r="87" spans="1:6" x14ac:dyDescent="0.3">
      <c r="A87" s="126"/>
      <c r="B87" s="127"/>
      <c r="C87" s="126"/>
      <c r="D87" s="126"/>
      <c r="E87" s="140"/>
      <c r="F87" s="137"/>
    </row>
    <row r="88" spans="1:6" x14ac:dyDescent="0.3">
      <c r="A88" s="126"/>
      <c r="B88" s="127"/>
      <c r="C88" s="126"/>
      <c r="D88" s="126"/>
      <c r="E88" s="140"/>
      <c r="F88" s="137"/>
    </row>
    <row r="89" spans="1:6" x14ac:dyDescent="0.3">
      <c r="A89" s="126"/>
      <c r="B89" s="127"/>
      <c r="C89" s="126"/>
      <c r="D89" s="126"/>
      <c r="E89" s="140"/>
      <c r="F89" s="137"/>
    </row>
    <row r="90" spans="1:6" x14ac:dyDescent="0.3">
      <c r="A90" s="126"/>
      <c r="B90" s="127"/>
      <c r="C90" s="126"/>
      <c r="D90" s="126"/>
      <c r="E90" s="140"/>
      <c r="F90" s="137"/>
    </row>
    <row r="91" spans="1:6" x14ac:dyDescent="0.3">
      <c r="A91" s="126"/>
      <c r="B91" s="127"/>
      <c r="C91" s="126"/>
      <c r="D91" s="126"/>
      <c r="E91" s="140"/>
      <c r="F91" s="137"/>
    </row>
    <row r="92" spans="1:6" x14ac:dyDescent="0.3">
      <c r="A92" s="126"/>
      <c r="B92" s="127"/>
      <c r="C92" s="126"/>
      <c r="D92" s="126"/>
      <c r="E92" s="140"/>
      <c r="F92" s="137"/>
    </row>
    <row r="93" spans="1:6" x14ac:dyDescent="0.3">
      <c r="A93" s="126"/>
      <c r="B93" s="127"/>
      <c r="C93" s="126"/>
      <c r="D93" s="126"/>
      <c r="E93" s="140"/>
      <c r="F93" s="137"/>
    </row>
    <row r="94" spans="1:6" x14ac:dyDescent="0.3">
      <c r="A94" s="126"/>
      <c r="B94" s="127"/>
      <c r="C94" s="126"/>
      <c r="D94" s="126"/>
      <c r="E94" s="140"/>
      <c r="F94" s="137"/>
    </row>
    <row r="95" spans="1:6" x14ac:dyDescent="0.3">
      <c r="A95" s="126"/>
      <c r="B95" s="127"/>
      <c r="C95" s="126"/>
      <c r="D95" s="126"/>
      <c r="E95" s="140"/>
      <c r="F95" s="137"/>
    </row>
    <row r="96" spans="1:6" x14ac:dyDescent="0.3">
      <c r="A96" s="126"/>
      <c r="B96" s="127"/>
      <c r="C96" s="126"/>
      <c r="D96" s="126"/>
      <c r="E96" s="140"/>
      <c r="F96" s="137"/>
    </row>
    <row r="97" spans="1:6" x14ac:dyDescent="0.3">
      <c r="A97" s="126"/>
      <c r="B97" s="127"/>
      <c r="C97" s="126"/>
      <c r="D97" s="126"/>
      <c r="E97" s="140"/>
      <c r="F97" s="137"/>
    </row>
    <row r="98" spans="1:6" x14ac:dyDescent="0.3">
      <c r="A98" s="126"/>
      <c r="B98" s="127"/>
      <c r="C98" s="126"/>
      <c r="D98" s="126"/>
      <c r="E98" s="140"/>
      <c r="F98" s="137"/>
    </row>
    <row r="99" spans="1:6" x14ac:dyDescent="0.3">
      <c r="A99" s="126"/>
      <c r="B99" s="127"/>
      <c r="C99" s="126"/>
      <c r="D99" s="126"/>
      <c r="E99" s="140"/>
      <c r="F99" s="137"/>
    </row>
    <row r="100" spans="1:6" x14ac:dyDescent="0.3">
      <c r="A100" s="126"/>
      <c r="B100" s="127"/>
      <c r="C100" s="126"/>
      <c r="D100" s="126"/>
      <c r="E100" s="140"/>
      <c r="F100" s="137"/>
    </row>
    <row r="101" spans="1:6" x14ac:dyDescent="0.3">
      <c r="A101" s="126"/>
      <c r="B101" s="127"/>
      <c r="C101" s="126"/>
      <c r="D101" s="126"/>
      <c r="E101" s="140"/>
      <c r="F101" s="137"/>
    </row>
    <row r="102" spans="1:6" x14ac:dyDescent="0.3">
      <c r="A102" s="126"/>
      <c r="B102" s="127"/>
      <c r="C102" s="126"/>
      <c r="D102" s="126"/>
      <c r="E102" s="140"/>
      <c r="F102" s="137"/>
    </row>
    <row r="103" spans="1:6" x14ac:dyDescent="0.3">
      <c r="A103" s="126"/>
      <c r="B103" s="127"/>
      <c r="C103" s="126"/>
      <c r="D103" s="126"/>
      <c r="E103" s="140"/>
      <c r="F103" s="137"/>
    </row>
    <row r="104" spans="1:6" x14ac:dyDescent="0.3">
      <c r="A104" s="126"/>
      <c r="B104" s="127"/>
      <c r="C104" s="126"/>
      <c r="D104" s="126"/>
      <c r="E104" s="140"/>
      <c r="F104" s="137"/>
    </row>
    <row r="105" spans="1:6" x14ac:dyDescent="0.3">
      <c r="A105" s="126"/>
      <c r="B105" s="127"/>
      <c r="C105" s="126"/>
      <c r="D105" s="126"/>
      <c r="E105" s="140"/>
      <c r="F105" s="137"/>
    </row>
    <row r="106" spans="1:6" x14ac:dyDescent="0.3">
      <c r="A106" s="126"/>
      <c r="B106" s="127"/>
      <c r="C106" s="126"/>
      <c r="D106" s="126"/>
      <c r="E106" s="140"/>
      <c r="F106" s="137"/>
    </row>
    <row r="107" spans="1:6" x14ac:dyDescent="0.3">
      <c r="A107" s="126"/>
      <c r="B107" s="127"/>
      <c r="C107" s="126"/>
      <c r="D107" s="126"/>
      <c r="E107" s="140"/>
      <c r="F107" s="137"/>
    </row>
    <row r="108" spans="1:6" x14ac:dyDescent="0.3">
      <c r="A108" s="126"/>
      <c r="B108" s="127"/>
      <c r="C108" s="126"/>
      <c r="D108" s="126"/>
      <c r="E108" s="140"/>
      <c r="F108" s="137"/>
    </row>
    <row r="109" spans="1:6" x14ac:dyDescent="0.3">
      <c r="A109" s="126"/>
      <c r="B109" s="127"/>
      <c r="C109" s="126"/>
      <c r="D109" s="126"/>
      <c r="E109" s="140"/>
      <c r="F109" s="137"/>
    </row>
    <row r="110" spans="1:6" x14ac:dyDescent="0.3">
      <c r="A110" s="126"/>
      <c r="B110" s="127"/>
      <c r="C110" s="126"/>
      <c r="D110" s="126"/>
      <c r="E110" s="140"/>
      <c r="F110" s="137"/>
    </row>
    <row r="111" spans="1:6" x14ac:dyDescent="0.3">
      <c r="A111" s="126"/>
      <c r="B111" s="127"/>
      <c r="C111" s="126"/>
      <c r="D111" s="126"/>
      <c r="E111" s="140"/>
      <c r="F111" s="137"/>
    </row>
    <row r="112" spans="1:6" x14ac:dyDescent="0.3">
      <c r="A112" s="126"/>
      <c r="B112" s="127"/>
      <c r="C112" s="126"/>
      <c r="D112" s="126"/>
      <c r="E112" s="140"/>
      <c r="F112" s="137"/>
    </row>
    <row r="113" spans="1:6" x14ac:dyDescent="0.3">
      <c r="A113" s="126"/>
      <c r="B113" s="127"/>
      <c r="C113" s="126"/>
      <c r="D113" s="126"/>
      <c r="E113" s="140"/>
      <c r="F113" s="137"/>
    </row>
    <row r="114" spans="1:6" x14ac:dyDescent="0.3">
      <c r="A114" s="126"/>
      <c r="B114" s="127"/>
      <c r="C114" s="126"/>
      <c r="D114" s="126"/>
      <c r="E114" s="140"/>
      <c r="F114" s="137"/>
    </row>
    <row r="115" spans="1:6" x14ac:dyDescent="0.3">
      <c r="A115" s="126"/>
      <c r="B115" s="127"/>
      <c r="C115" s="126"/>
      <c r="D115" s="126"/>
      <c r="E115" s="140"/>
      <c r="F115" s="137"/>
    </row>
    <row r="116" spans="1:6" x14ac:dyDescent="0.3">
      <c r="A116" s="126"/>
      <c r="B116" s="127"/>
      <c r="C116" s="126"/>
      <c r="D116" s="126"/>
      <c r="E116" s="140"/>
      <c r="F116" s="137"/>
    </row>
    <row r="117" spans="1:6" x14ac:dyDescent="0.3">
      <c r="A117" s="126"/>
      <c r="B117" s="127"/>
      <c r="C117" s="126"/>
      <c r="D117" s="126"/>
      <c r="E117" s="140"/>
      <c r="F117" s="137"/>
    </row>
    <row r="118" spans="1:6" x14ac:dyDescent="0.3">
      <c r="A118" s="126"/>
      <c r="B118" s="127"/>
      <c r="C118" s="126"/>
      <c r="D118" s="126"/>
      <c r="E118" s="140"/>
      <c r="F118" s="137"/>
    </row>
    <row r="119" spans="1:6" x14ac:dyDescent="0.3">
      <c r="A119" s="126"/>
      <c r="B119" s="127"/>
      <c r="C119" s="126"/>
      <c r="D119" s="126"/>
      <c r="E119" s="140"/>
      <c r="F119" s="137"/>
    </row>
    <row r="120" spans="1:6" x14ac:dyDescent="0.3">
      <c r="A120" s="126"/>
      <c r="B120" s="127"/>
      <c r="C120" s="126"/>
      <c r="D120" s="126"/>
      <c r="E120" s="140"/>
      <c r="F120" s="137"/>
    </row>
    <row r="121" spans="1:6" x14ac:dyDescent="0.3">
      <c r="A121" s="126"/>
      <c r="B121" s="127"/>
      <c r="C121" s="126"/>
      <c r="D121" s="126"/>
      <c r="E121" s="140"/>
      <c r="F121" s="137"/>
    </row>
    <row r="122" spans="1:6" x14ac:dyDescent="0.3">
      <c r="A122" s="126"/>
      <c r="B122" s="127"/>
      <c r="C122" s="126"/>
      <c r="D122" s="126"/>
      <c r="E122" s="140"/>
      <c r="F122" s="137"/>
    </row>
    <row r="123" spans="1:6" x14ac:dyDescent="0.3">
      <c r="A123" s="126"/>
      <c r="B123" s="127"/>
      <c r="C123" s="126"/>
      <c r="D123" s="126"/>
      <c r="E123" s="140"/>
      <c r="F123" s="137"/>
    </row>
    <row r="124" spans="1:6" x14ac:dyDescent="0.3">
      <c r="A124" s="126"/>
      <c r="B124" s="127"/>
      <c r="C124" s="126"/>
      <c r="D124" s="126"/>
      <c r="E124" s="140"/>
      <c r="F124" s="137"/>
    </row>
    <row r="125" spans="1:6" x14ac:dyDescent="0.3">
      <c r="A125" s="126"/>
      <c r="B125" s="127"/>
      <c r="C125" s="126"/>
      <c r="D125" s="126"/>
      <c r="E125" s="140"/>
      <c r="F125" s="137"/>
    </row>
    <row r="126" spans="1:6" x14ac:dyDescent="0.3">
      <c r="A126" s="126"/>
      <c r="B126" s="127"/>
      <c r="C126" s="126"/>
      <c r="D126" s="126"/>
      <c r="E126" s="140"/>
      <c r="F126" s="137"/>
    </row>
    <row r="127" spans="1:6" x14ac:dyDescent="0.3">
      <c r="A127" s="126"/>
      <c r="B127" s="127"/>
      <c r="C127" s="126"/>
      <c r="D127" s="126"/>
      <c r="E127" s="140"/>
      <c r="F127" s="137"/>
    </row>
    <row r="128" spans="1:6" x14ac:dyDescent="0.3">
      <c r="A128" s="126"/>
      <c r="B128" s="127"/>
      <c r="C128" s="126"/>
      <c r="D128" s="126"/>
      <c r="E128" s="140"/>
      <c r="F128" s="137"/>
    </row>
    <row r="129" spans="1:6" x14ac:dyDescent="0.3">
      <c r="A129" s="126"/>
      <c r="B129" s="127"/>
      <c r="C129" s="126"/>
      <c r="D129" s="126"/>
      <c r="E129" s="140"/>
      <c r="F129" s="137"/>
    </row>
    <row r="130" spans="1:6" x14ac:dyDescent="0.3">
      <c r="A130" s="126"/>
      <c r="B130" s="127"/>
      <c r="C130" s="126"/>
      <c r="D130" s="126"/>
      <c r="E130" s="140"/>
      <c r="F130" s="137"/>
    </row>
    <row r="131" spans="1:6" x14ac:dyDescent="0.3">
      <c r="A131" s="126"/>
      <c r="B131" s="127"/>
      <c r="C131" s="126"/>
      <c r="D131" s="126"/>
      <c r="E131" s="140"/>
      <c r="F131" s="137"/>
    </row>
    <row r="132" spans="1:6" x14ac:dyDescent="0.3">
      <c r="A132" s="126"/>
      <c r="B132" s="127"/>
      <c r="C132" s="126"/>
      <c r="D132" s="126"/>
      <c r="E132" s="140"/>
      <c r="F132" s="137"/>
    </row>
    <row r="133" spans="1:6" x14ac:dyDescent="0.3">
      <c r="A133" s="126"/>
      <c r="B133" s="127"/>
      <c r="C133" s="126"/>
      <c r="D133" s="126"/>
      <c r="E133" s="140"/>
      <c r="F133" s="137"/>
    </row>
    <row r="134" spans="1:6" x14ac:dyDescent="0.3">
      <c r="A134" s="126"/>
      <c r="B134" s="127"/>
      <c r="C134" s="126"/>
      <c r="D134" s="126"/>
      <c r="E134" s="140"/>
      <c r="F134" s="137"/>
    </row>
    <row r="135" spans="1:6" x14ac:dyDescent="0.3">
      <c r="A135" s="126"/>
      <c r="B135" s="127"/>
      <c r="C135" s="126"/>
      <c r="D135" s="126"/>
      <c r="E135" s="140"/>
      <c r="F135" s="137"/>
    </row>
    <row r="136" spans="1:6" x14ac:dyDescent="0.3">
      <c r="A136" s="126"/>
      <c r="B136" s="127"/>
      <c r="C136" s="126"/>
      <c r="D136" s="126"/>
      <c r="E136" s="140"/>
      <c r="F136" s="137"/>
    </row>
    <row r="137" spans="1:6" x14ac:dyDescent="0.3">
      <c r="A137" s="126"/>
      <c r="B137" s="127"/>
      <c r="C137" s="126"/>
      <c r="D137" s="126"/>
      <c r="E137" s="140"/>
      <c r="F137" s="137"/>
    </row>
    <row r="138" spans="1:6" x14ac:dyDescent="0.3">
      <c r="A138" s="126"/>
      <c r="B138" s="127"/>
      <c r="C138" s="126"/>
      <c r="D138" s="126"/>
      <c r="E138" s="140"/>
      <c r="F138" s="137"/>
    </row>
    <row r="139" spans="1:6" x14ac:dyDescent="0.3">
      <c r="A139" s="126"/>
      <c r="B139" s="127"/>
      <c r="C139" s="126"/>
      <c r="D139" s="126"/>
      <c r="E139" s="140"/>
      <c r="F139" s="137"/>
    </row>
    <row r="140" spans="1:6" x14ac:dyDescent="0.3">
      <c r="A140" s="126"/>
      <c r="B140" s="127"/>
      <c r="C140" s="126"/>
      <c r="D140" s="126"/>
      <c r="E140" s="140"/>
      <c r="F140" s="137"/>
    </row>
    <row r="141" spans="1:6" x14ac:dyDescent="0.3">
      <c r="A141" s="126"/>
      <c r="B141" s="127"/>
      <c r="C141" s="126"/>
      <c r="D141" s="126"/>
      <c r="E141" s="140"/>
      <c r="F141" s="137"/>
    </row>
    <row r="142" spans="1:6" x14ac:dyDescent="0.3">
      <c r="A142" s="126"/>
      <c r="B142" s="127"/>
      <c r="C142" s="126"/>
      <c r="D142" s="126"/>
      <c r="E142" s="140"/>
      <c r="F142" s="137"/>
    </row>
    <row r="143" spans="1:6" x14ac:dyDescent="0.3">
      <c r="A143" s="126"/>
      <c r="B143" s="127"/>
      <c r="C143" s="126"/>
      <c r="D143" s="126"/>
      <c r="E143" s="140"/>
      <c r="F143" s="137"/>
    </row>
    <row r="144" spans="1:6" x14ac:dyDescent="0.3">
      <c r="A144" s="126"/>
      <c r="B144" s="127"/>
      <c r="C144" s="126"/>
      <c r="D144" s="126"/>
      <c r="E144" s="140"/>
      <c r="F144" s="137"/>
    </row>
    <row r="145" spans="1:6" x14ac:dyDescent="0.3">
      <c r="A145" s="126"/>
      <c r="B145" s="127"/>
      <c r="C145" s="126"/>
      <c r="D145" s="126"/>
      <c r="E145" s="140"/>
      <c r="F145" s="137"/>
    </row>
    <row r="146" spans="1:6" x14ac:dyDescent="0.3">
      <c r="A146" s="126"/>
      <c r="B146" s="127"/>
      <c r="C146" s="126"/>
      <c r="D146" s="126"/>
      <c r="E146" s="140"/>
      <c r="F146" s="137"/>
    </row>
    <row r="147" spans="1:6" x14ac:dyDescent="0.3">
      <c r="A147" s="126"/>
      <c r="B147" s="127"/>
      <c r="C147" s="126"/>
      <c r="D147" s="126"/>
      <c r="E147" s="140"/>
      <c r="F147" s="137"/>
    </row>
    <row r="148" spans="1:6" x14ac:dyDescent="0.3">
      <c r="A148" s="126"/>
      <c r="B148" s="127"/>
      <c r="C148" s="126"/>
      <c r="D148" s="126"/>
      <c r="E148" s="140"/>
      <c r="F148" s="137"/>
    </row>
    <row r="149" spans="1:6" x14ac:dyDescent="0.3">
      <c r="A149" s="126"/>
      <c r="B149" s="127"/>
      <c r="C149" s="126"/>
      <c r="D149" s="126"/>
      <c r="E149" s="140"/>
      <c r="F149" s="137"/>
    </row>
    <row r="150" spans="1:6" x14ac:dyDescent="0.3">
      <c r="A150" s="126"/>
      <c r="B150" s="127"/>
      <c r="C150" s="126"/>
      <c r="D150" s="126"/>
      <c r="E150" s="140"/>
      <c r="F150" s="137"/>
    </row>
    <row r="151" spans="1:6" x14ac:dyDescent="0.3">
      <c r="A151" s="126"/>
      <c r="B151" s="127"/>
      <c r="C151" s="126"/>
      <c r="D151" s="126"/>
      <c r="E151" s="140"/>
      <c r="F151" s="137"/>
    </row>
    <row r="152" spans="1:6" x14ac:dyDescent="0.3">
      <c r="A152" s="126"/>
      <c r="B152" s="127"/>
      <c r="C152" s="126"/>
      <c r="D152" s="126"/>
      <c r="E152" s="140"/>
      <c r="F152" s="137"/>
    </row>
    <row r="153" spans="1:6" x14ac:dyDescent="0.3">
      <c r="A153" s="126"/>
      <c r="B153" s="127"/>
      <c r="C153" s="126"/>
      <c r="D153" s="126"/>
      <c r="E153" s="140"/>
      <c r="F153" s="137"/>
    </row>
    <row r="154" spans="1:6" x14ac:dyDescent="0.3">
      <c r="A154" s="126"/>
      <c r="B154" s="127"/>
      <c r="C154" s="126"/>
      <c r="D154" s="126"/>
      <c r="E154" s="140"/>
      <c r="F154" s="137"/>
    </row>
    <row r="155" spans="1:6" x14ac:dyDescent="0.3">
      <c r="A155" s="126"/>
      <c r="B155" s="127"/>
      <c r="C155" s="126"/>
      <c r="D155" s="126"/>
      <c r="E155" s="140"/>
      <c r="F155" s="137"/>
    </row>
    <row r="156" spans="1:6" x14ac:dyDescent="0.3">
      <c r="A156" s="126"/>
      <c r="B156" s="127"/>
      <c r="C156" s="126"/>
      <c r="D156" s="126"/>
      <c r="E156" s="140"/>
      <c r="F156" s="137"/>
    </row>
    <row r="157" spans="1:6" x14ac:dyDescent="0.3">
      <c r="A157" s="126"/>
      <c r="B157" s="127"/>
      <c r="C157" s="126"/>
      <c r="D157" s="126"/>
      <c r="E157" s="140"/>
      <c r="F157" s="137"/>
    </row>
    <row r="158" spans="1:6" x14ac:dyDescent="0.3">
      <c r="A158" s="126"/>
      <c r="B158" s="127"/>
      <c r="C158" s="126"/>
      <c r="D158" s="126"/>
      <c r="E158" s="140"/>
      <c r="F158" s="137"/>
    </row>
    <row r="159" spans="1:6" x14ac:dyDescent="0.3">
      <c r="A159" s="126"/>
      <c r="B159" s="127"/>
      <c r="C159" s="126"/>
      <c r="D159" s="126"/>
      <c r="E159" s="140"/>
      <c r="F159" s="137"/>
    </row>
    <row r="160" spans="1:6" x14ac:dyDescent="0.3">
      <c r="A160" s="126"/>
      <c r="B160" s="127"/>
      <c r="C160" s="126"/>
      <c r="D160" s="126"/>
      <c r="E160" s="140"/>
      <c r="F160" s="137"/>
    </row>
    <row r="161" spans="1:6" x14ac:dyDescent="0.3">
      <c r="A161" s="126"/>
      <c r="B161" s="127"/>
      <c r="C161" s="126"/>
      <c r="D161" s="126"/>
      <c r="E161" s="140"/>
      <c r="F161" s="137"/>
    </row>
    <row r="162" spans="1:6" x14ac:dyDescent="0.3">
      <c r="A162" s="126"/>
      <c r="B162" s="127"/>
      <c r="C162" s="126"/>
      <c r="D162" s="126"/>
      <c r="E162" s="140"/>
      <c r="F162" s="137"/>
    </row>
    <row r="163" spans="1:6" x14ac:dyDescent="0.3">
      <c r="A163" s="126"/>
      <c r="B163" s="127"/>
      <c r="C163" s="126"/>
      <c r="D163" s="126"/>
      <c r="E163" s="140"/>
      <c r="F163" s="137"/>
    </row>
    <row r="164" spans="1:6" x14ac:dyDescent="0.3">
      <c r="A164" s="126"/>
      <c r="B164" s="127"/>
      <c r="C164" s="126"/>
      <c r="D164" s="126"/>
      <c r="E164" s="140"/>
      <c r="F164" s="137"/>
    </row>
    <row r="165" spans="1:6" x14ac:dyDescent="0.3">
      <c r="A165" s="126"/>
      <c r="B165" s="127"/>
      <c r="C165" s="126"/>
      <c r="D165" s="126"/>
      <c r="E165" s="140"/>
      <c r="F165" s="137"/>
    </row>
    <row r="166" spans="1:6" x14ac:dyDescent="0.3">
      <c r="A166" s="126"/>
      <c r="B166" s="127"/>
      <c r="C166" s="126"/>
      <c r="D166" s="126"/>
      <c r="E166" s="140"/>
      <c r="F166" s="137"/>
    </row>
    <row r="167" spans="1:6" x14ac:dyDescent="0.3">
      <c r="A167" s="126"/>
      <c r="B167" s="127"/>
      <c r="C167" s="126"/>
      <c r="D167" s="126"/>
      <c r="E167" s="140"/>
      <c r="F167" s="137"/>
    </row>
    <row r="168" spans="1:6" x14ac:dyDescent="0.3">
      <c r="A168" s="126"/>
      <c r="B168" s="127"/>
      <c r="C168" s="126"/>
      <c r="D168" s="126"/>
      <c r="E168" s="140"/>
      <c r="F168" s="137"/>
    </row>
    <row r="169" spans="1:6" x14ac:dyDescent="0.3">
      <c r="A169" s="126"/>
      <c r="B169" s="127"/>
      <c r="C169" s="126"/>
      <c r="D169" s="126"/>
      <c r="E169" s="140"/>
      <c r="F169" s="137"/>
    </row>
    <row r="170" spans="1:6" x14ac:dyDescent="0.3">
      <c r="A170" s="126"/>
      <c r="B170" s="127"/>
      <c r="C170" s="126"/>
      <c r="D170" s="126"/>
      <c r="E170" s="140"/>
      <c r="F170" s="137"/>
    </row>
    <row r="171" spans="1:6" x14ac:dyDescent="0.3">
      <c r="A171" s="126"/>
      <c r="B171" s="127"/>
      <c r="C171" s="126"/>
      <c r="D171" s="126"/>
      <c r="E171" s="140"/>
      <c r="F171" s="137"/>
    </row>
    <row r="172" spans="1:6" x14ac:dyDescent="0.3">
      <c r="A172" s="126"/>
      <c r="B172" s="127"/>
      <c r="C172" s="126"/>
      <c r="D172" s="126"/>
      <c r="E172" s="140"/>
      <c r="F172" s="137"/>
    </row>
    <row r="173" spans="1:6" x14ac:dyDescent="0.3">
      <c r="A173" s="126"/>
      <c r="B173" s="127"/>
      <c r="C173" s="126"/>
      <c r="D173" s="126"/>
      <c r="E173" s="140"/>
      <c r="F173" s="137"/>
    </row>
    <row r="174" spans="1:6" x14ac:dyDescent="0.3">
      <c r="A174" s="126"/>
      <c r="B174" s="127"/>
      <c r="C174" s="126"/>
      <c r="D174" s="126"/>
      <c r="E174" s="140"/>
      <c r="F174" s="137"/>
    </row>
    <row r="175" spans="1:6" x14ac:dyDescent="0.3">
      <c r="A175" s="126"/>
      <c r="B175" s="127"/>
      <c r="C175" s="126"/>
      <c r="D175" s="126"/>
      <c r="E175" s="140"/>
      <c r="F175" s="137"/>
    </row>
    <row r="176" spans="1:6" x14ac:dyDescent="0.3">
      <c r="A176" s="126"/>
      <c r="B176" s="127"/>
      <c r="C176" s="126"/>
      <c r="D176" s="126"/>
      <c r="E176" s="140"/>
      <c r="F176" s="137"/>
    </row>
    <row r="177" spans="1:6" x14ac:dyDescent="0.3">
      <c r="A177" s="126"/>
      <c r="B177" s="127"/>
      <c r="C177" s="126"/>
      <c r="D177" s="126"/>
      <c r="E177" s="140"/>
      <c r="F177" s="137"/>
    </row>
    <row r="178" spans="1:6" x14ac:dyDescent="0.3">
      <c r="A178" s="126"/>
      <c r="B178" s="127"/>
      <c r="C178" s="126"/>
      <c r="D178" s="126"/>
      <c r="E178" s="140"/>
      <c r="F178" s="137"/>
    </row>
    <row r="179" spans="1:6" x14ac:dyDescent="0.3">
      <c r="A179" s="126"/>
      <c r="B179" s="127"/>
      <c r="C179" s="126"/>
      <c r="D179" s="126"/>
      <c r="E179" s="140"/>
      <c r="F179" s="137"/>
    </row>
    <row r="180" spans="1:6" x14ac:dyDescent="0.3">
      <c r="A180" s="126"/>
      <c r="B180" s="127"/>
      <c r="C180" s="126"/>
      <c r="D180" s="126"/>
      <c r="E180" s="140"/>
      <c r="F180" s="137"/>
    </row>
    <row r="181" spans="1:6" x14ac:dyDescent="0.3">
      <c r="A181" s="126"/>
      <c r="B181" s="127"/>
      <c r="C181" s="126"/>
      <c r="D181" s="126"/>
      <c r="E181" s="140"/>
      <c r="F181" s="137"/>
    </row>
    <row r="182" spans="1:6" x14ac:dyDescent="0.3">
      <c r="A182" s="126"/>
      <c r="B182" s="127"/>
      <c r="C182" s="126"/>
      <c r="D182" s="126"/>
      <c r="E182" s="140"/>
      <c r="F182" s="137"/>
    </row>
    <row r="183" spans="1:6" x14ac:dyDescent="0.3">
      <c r="A183" s="126"/>
      <c r="B183" s="127"/>
      <c r="C183" s="126"/>
      <c r="D183" s="126"/>
      <c r="E183" s="140"/>
      <c r="F183" s="137"/>
    </row>
    <row r="184" spans="1:6" x14ac:dyDescent="0.3">
      <c r="A184" s="126"/>
      <c r="B184" s="127"/>
      <c r="C184" s="126"/>
      <c r="D184" s="126"/>
      <c r="E184" s="140"/>
      <c r="F184" s="137"/>
    </row>
    <row r="185" spans="1:6" x14ac:dyDescent="0.3">
      <c r="A185" s="126"/>
      <c r="B185" s="127"/>
      <c r="C185" s="126"/>
      <c r="D185" s="126"/>
      <c r="E185" s="140"/>
      <c r="F185" s="137"/>
    </row>
    <row r="186" spans="1:6" x14ac:dyDescent="0.3">
      <c r="A186" s="126"/>
      <c r="B186" s="127"/>
      <c r="C186" s="126"/>
      <c r="D186" s="126"/>
      <c r="E186" s="140"/>
      <c r="F186" s="137"/>
    </row>
    <row r="187" spans="1:6" x14ac:dyDescent="0.3">
      <c r="A187" s="126"/>
      <c r="B187" s="127"/>
      <c r="C187" s="126"/>
      <c r="D187" s="126"/>
      <c r="E187" s="140"/>
      <c r="F187" s="137"/>
    </row>
    <row r="188" spans="1:6" x14ac:dyDescent="0.3">
      <c r="A188" s="126"/>
      <c r="B188" s="127"/>
      <c r="C188" s="126"/>
      <c r="D188" s="126"/>
      <c r="E188" s="140"/>
      <c r="F188" s="137"/>
    </row>
    <row r="189" spans="1:6" x14ac:dyDescent="0.3">
      <c r="A189" s="126"/>
      <c r="B189" s="127"/>
      <c r="C189" s="126"/>
      <c r="D189" s="126"/>
      <c r="E189" s="140"/>
      <c r="F189" s="137"/>
    </row>
    <row r="190" spans="1:6" x14ac:dyDescent="0.3">
      <c r="A190" s="126"/>
      <c r="B190" s="127"/>
      <c r="C190" s="126"/>
      <c r="D190" s="126"/>
      <c r="E190" s="140"/>
      <c r="F190" s="137"/>
    </row>
    <row r="191" spans="1:6" x14ac:dyDescent="0.3">
      <c r="A191" s="126"/>
      <c r="B191" s="127"/>
      <c r="C191" s="126"/>
      <c r="D191" s="126"/>
      <c r="E191" s="140"/>
      <c r="F191" s="137"/>
    </row>
    <row r="192" spans="1:6" x14ac:dyDescent="0.3">
      <c r="A192" s="126"/>
      <c r="B192" s="127"/>
      <c r="C192" s="126"/>
      <c r="D192" s="126"/>
      <c r="E192" s="140"/>
      <c r="F192" s="137"/>
    </row>
    <row r="193" spans="1:6" x14ac:dyDescent="0.3">
      <c r="A193" s="126"/>
      <c r="B193" s="127"/>
      <c r="C193" s="126"/>
      <c r="D193" s="126"/>
      <c r="E193" s="140"/>
      <c r="F193" s="137"/>
    </row>
    <row r="194" spans="1:6" x14ac:dyDescent="0.3">
      <c r="A194" s="126"/>
      <c r="B194" s="127"/>
      <c r="C194" s="126"/>
      <c r="D194" s="126"/>
      <c r="E194" s="140"/>
      <c r="F194" s="137"/>
    </row>
    <row r="195" spans="1:6" x14ac:dyDescent="0.3">
      <c r="A195" s="126"/>
      <c r="B195" s="127"/>
      <c r="C195" s="126"/>
      <c r="D195" s="126"/>
      <c r="E195" s="140"/>
      <c r="F195" s="137"/>
    </row>
    <row r="196" spans="1:6" x14ac:dyDescent="0.3">
      <c r="A196" s="126"/>
      <c r="B196" s="127"/>
      <c r="C196" s="126"/>
      <c r="D196" s="126"/>
      <c r="E196" s="140"/>
      <c r="F196" s="137"/>
    </row>
    <row r="197" spans="1:6" x14ac:dyDescent="0.3">
      <c r="A197" s="126"/>
      <c r="B197" s="127"/>
      <c r="C197" s="126"/>
      <c r="D197" s="126"/>
      <c r="E197" s="140"/>
      <c r="F197" s="137"/>
    </row>
    <row r="198" spans="1:6" x14ac:dyDescent="0.3">
      <c r="A198" s="126"/>
      <c r="B198" s="127"/>
      <c r="C198" s="126"/>
      <c r="D198" s="126"/>
      <c r="E198" s="140"/>
      <c r="F198" s="137"/>
    </row>
    <row r="199" spans="1:6" x14ac:dyDescent="0.3">
      <c r="A199" s="126"/>
      <c r="B199" s="127"/>
      <c r="C199" s="126"/>
      <c r="D199" s="126"/>
      <c r="E199" s="140"/>
      <c r="F199" s="137"/>
    </row>
    <row r="200" spans="1:6" x14ac:dyDescent="0.3">
      <c r="A200" s="126"/>
      <c r="B200" s="127"/>
      <c r="C200" s="126"/>
      <c r="D200" s="126"/>
      <c r="E200" s="140"/>
      <c r="F200" s="137"/>
    </row>
    <row r="201" spans="1:6" x14ac:dyDescent="0.3">
      <c r="A201" s="126"/>
      <c r="B201" s="127"/>
      <c r="C201" s="126"/>
      <c r="D201" s="126"/>
      <c r="E201" s="140"/>
      <c r="F201" s="137"/>
    </row>
    <row r="202" spans="1:6" x14ac:dyDescent="0.3">
      <c r="A202" s="126"/>
      <c r="B202" s="127"/>
      <c r="C202" s="126"/>
      <c r="D202" s="126"/>
      <c r="E202" s="140"/>
      <c r="F202" s="137"/>
    </row>
  </sheetData>
  <sheetProtection algorithmName="SHA-512" hashValue="k08Mw/gNehRD3ej7o3i8NS6GU0IKgpEkwk9xHvtjvabzE8SE5OLKGZh3+s0ulhy7e/DDumF6rI1nCHpAZapORQ==" saltValue="2rCLWGkwQh4GmIogVCgSFg==" spinCount="100000" sheet="1" objects="1" scenarios="1"/>
  <conditionalFormatting sqref="A3:B202">
    <cfRule type="expression" dxfId="19" priority="127">
      <formula>AND(COUNTA($A3:$AD3)&gt;0,A3="")</formula>
    </cfRule>
  </conditionalFormatting>
  <conditionalFormatting sqref="A3:F202">
    <cfRule type="expression" dxfId="18" priority="126">
      <formula>AND(COUNTA($A3:$F3)=0,ROW()&lt;&gt;3)</formula>
    </cfRule>
  </conditionalFormatting>
  <dataValidations count="4">
    <dataValidation type="list" allowBlank="1" showInputMessage="1" showErrorMessage="1" sqref="C3:C202" xr:uid="{877E2D5C-0F01-4B7A-ABDD-95545741BDC7}">
      <formula1>"No"</formula1>
    </dataValidation>
    <dataValidation type="list" allowBlank="1" showInputMessage="1" showErrorMessage="1" sqref="D3:D202" xr:uid="{4D7CA0CE-3C60-4F85-832E-88783B86CFFD}">
      <formula1>"Yes, No"</formula1>
    </dataValidation>
    <dataValidation type="list" allowBlank="1" showInputMessage="1" showErrorMessage="1" sqref="A3:A202" xr:uid="{34A058A8-4210-46CA-B8DA-F7D57DA39547}">
      <formula1>List_Facilities</formula1>
    </dataValidation>
    <dataValidation type="list" allowBlank="1" showInputMessage="1" showErrorMessage="1" sqref="E3:E202" xr:uid="{2469B81D-49C2-44C3-97F1-1011920E6401}">
      <formula1>Units_Predictors</formula1>
    </dataValidation>
  </dataValidation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BCC01-37FF-4B74-A3D6-DF4539802134}">
  <sheetPr codeName="Sheet23">
    <tabColor rgb="FFBCBD22"/>
  </sheetPr>
  <dimension ref="A1:AF502"/>
  <sheetViews>
    <sheetView workbookViewId="0">
      <selection activeCell="C3" sqref="C3"/>
    </sheetView>
  </sheetViews>
  <sheetFormatPr defaultColWidth="0" defaultRowHeight="14" zeroHeight="1" x14ac:dyDescent="0.3"/>
  <cols>
    <col min="1" max="1" width="16.7265625" style="45" customWidth="1"/>
    <col min="2" max="2" width="16.7265625" style="49" customWidth="1"/>
    <col min="3" max="3" width="18.7265625" style="45" customWidth="1"/>
    <col min="4" max="4" width="18.7265625" style="49" customWidth="1"/>
    <col min="5" max="21" width="18.7265625" style="45" customWidth="1"/>
    <col min="22" max="22" width="18.7265625" style="49" customWidth="1"/>
    <col min="23" max="23" width="18.7265625" style="45" customWidth="1"/>
    <col min="24" max="24" width="18.7265625" style="49" customWidth="1"/>
    <col min="25" max="25" width="18.7265625" style="45" customWidth="1"/>
    <col min="26" max="26" width="18.7265625" style="49" customWidth="1"/>
    <col min="27" max="27" width="18.7265625" style="45" customWidth="1"/>
    <col min="28" max="28" width="18.7265625" style="49" customWidth="1"/>
    <col min="29" max="29" width="18.7265625" style="45" customWidth="1"/>
    <col min="30" max="30" width="18.7265625" style="49" customWidth="1"/>
    <col min="31" max="31" width="18.7265625" style="45" customWidth="1"/>
    <col min="32" max="32" width="18.7265625" style="49" customWidth="1"/>
    <col min="33" max="16384" width="18.7265625" style="45" hidden="1"/>
  </cols>
  <sheetData>
    <row r="1" spans="1:32" ht="30" customHeight="1" x14ac:dyDescent="0.3">
      <c r="A1" s="85" t="s">
        <v>832</v>
      </c>
      <c r="B1" s="85"/>
      <c r="C1" s="85"/>
      <c r="D1" s="87"/>
      <c r="E1" s="88"/>
      <c r="F1" s="88"/>
      <c r="G1" s="88"/>
      <c r="H1" s="88"/>
      <c r="I1" s="88"/>
      <c r="J1" s="88"/>
      <c r="K1" s="88"/>
      <c r="L1" s="88"/>
      <c r="M1" s="88"/>
      <c r="N1" s="88"/>
      <c r="O1" s="88"/>
      <c r="P1" s="88"/>
      <c r="Q1" s="88"/>
      <c r="R1" s="88"/>
      <c r="S1" s="88"/>
      <c r="T1" s="88"/>
      <c r="U1" s="88"/>
      <c r="V1" s="87"/>
      <c r="W1" s="88"/>
      <c r="X1" s="87"/>
      <c r="Y1" s="88"/>
      <c r="Z1" s="87"/>
      <c r="AA1" s="88"/>
      <c r="AB1" s="87"/>
      <c r="AC1" s="88"/>
      <c r="AD1" s="87"/>
      <c r="AE1" s="88"/>
      <c r="AF1" s="87"/>
    </row>
    <row r="2" spans="1:32" ht="30" customHeight="1" x14ac:dyDescent="0.3">
      <c r="A2" s="99" t="s">
        <v>0</v>
      </c>
      <c r="B2" s="118" t="s">
        <v>751</v>
      </c>
      <c r="C2" s="89" t="str" cm="1">
        <f>IFERROR(IF(INDEX(List_PredictorNumbers,1,(COLUMN()-1)/2),INDEX(List_PredictorNumbers,2,(COLUMN()-1)/2)&amp;" Name", ""),"")</f>
        <v/>
      </c>
      <c r="D2" s="56" t="str" cm="1">
        <f>IFERROR(IF(INDEX(List_PredictorNumbers,1,(COLUMN()-1)/2),INDEX(List_PredictorNumbers,2,(COLUMN()-1)/2)&amp;" Value", ""),"")</f>
        <v/>
      </c>
      <c r="E2" s="89" t="str" cm="1">
        <f>IF(INDEX(List_PredictorNumbers,1,(COLUMN()-1)/2),INDEX(List_PredictorNumbers,2,(COLUMN()-1)/2)&amp;" Name", "")</f>
        <v/>
      </c>
      <c r="F2" s="56" t="str" cm="1">
        <f>IF(INDEX(List_PredictorNumbers,1,(COLUMN()-1)/2),INDEX(List_PredictorNumbers,2,(COLUMN()-1)/2)&amp;" Value", "")</f>
        <v/>
      </c>
      <c r="G2" s="89" t="str" cm="1">
        <f>IF(INDEX(List_PredictorNumbers,1,(COLUMN()-1)/2),INDEX(List_PredictorNumbers,2,(COLUMN()-1)/2)&amp;" Name", "")</f>
        <v/>
      </c>
      <c r="H2" s="56" t="str" cm="1">
        <f>IF(INDEX(List_PredictorNumbers,1,(COLUMN()-1)/2),INDEX(List_PredictorNumbers,2,(COLUMN()-1)/2)&amp;" Value", "")</f>
        <v/>
      </c>
      <c r="I2" s="89" t="str" cm="1">
        <f>IF(INDEX(List_PredictorNumbers,1,(COLUMN()-1)/2),INDEX(List_PredictorNumbers,2,(COLUMN()-1)/2)&amp;" Name", "")</f>
        <v/>
      </c>
      <c r="J2" s="56" t="str" cm="1">
        <f>IF(INDEX(List_PredictorNumbers,1,(COLUMN()-1)/2),INDEX(List_PredictorNumbers,2,(COLUMN()-1)/2)&amp;" Value", "")</f>
        <v/>
      </c>
      <c r="K2" s="89" t="str" cm="1">
        <f>IF(INDEX(List_PredictorNumbers,1,(COLUMN()-1)/2),INDEX(List_PredictorNumbers,2,(COLUMN()-1)/2)&amp;" Name", "")</f>
        <v/>
      </c>
      <c r="L2" s="56" t="str" cm="1">
        <f>IF(INDEX(List_PredictorNumbers,1,(COLUMN()-1)/2),INDEX(List_PredictorNumbers,2,(COLUMN()-1)/2)&amp;" Value", "")</f>
        <v/>
      </c>
      <c r="M2" s="89" t="str" cm="1">
        <f>IF(INDEX(List_PredictorNumbers,1,(COLUMN()-1)/2),INDEX(List_PredictorNumbers,2,(COLUMN()-1)/2)&amp;" Name", "")</f>
        <v/>
      </c>
      <c r="N2" s="56" t="str" cm="1">
        <f>IF(INDEX(List_PredictorNumbers,1,(COLUMN()-1)/2),INDEX(List_PredictorNumbers,2,(COLUMN()-1)/2)&amp;" Value", "")</f>
        <v/>
      </c>
      <c r="O2" s="89" t="str" cm="1">
        <f>IF(INDEX(List_PredictorNumbers,1,(COLUMN()-1)/2),INDEX(List_PredictorNumbers,2,(COLUMN()-1)/2)&amp;" Name", "")</f>
        <v/>
      </c>
      <c r="P2" s="56" t="str" cm="1">
        <f>IF(INDEX(List_PredictorNumbers,1,(COLUMN()-1)/2),INDEX(List_PredictorNumbers,2,(COLUMN()-1)/2)&amp;" Value", "")</f>
        <v/>
      </c>
      <c r="Q2" s="89" t="str" cm="1">
        <f>IF(INDEX(List_PredictorNumbers,1,(COLUMN()-1)/2),INDEX(List_PredictorNumbers,2,(COLUMN()-1)/2)&amp;" Name", "")</f>
        <v/>
      </c>
      <c r="R2" s="56" t="str" cm="1">
        <f>IF(INDEX(List_PredictorNumbers,1,(COLUMN()-1)/2),INDEX(List_PredictorNumbers,2,(COLUMN()-1)/2)&amp;" Value", "")</f>
        <v/>
      </c>
      <c r="S2" s="89" t="str" cm="1">
        <f>IF(INDEX(List_PredictorNumbers,1,(COLUMN()-1)/2),INDEX(List_PredictorNumbers,2,(COLUMN()-1)/2)&amp;" Name", "")</f>
        <v/>
      </c>
      <c r="T2" s="56" t="str" cm="1">
        <f>IF(INDEX(List_PredictorNumbers,1,(COLUMN()-1)/2),INDEX(List_PredictorNumbers,2,(COLUMN()-1)/2)&amp;" Value", "")</f>
        <v/>
      </c>
      <c r="U2" s="89" t="str" cm="1">
        <f>IF(INDEX(List_PredictorNumbers,1,(COLUMN()-1)/2),INDEX(List_PredictorNumbers,2,(COLUMN()-1)/2)&amp;" Name", "")</f>
        <v/>
      </c>
      <c r="V2" s="56" t="str" cm="1">
        <f>IF(INDEX(List_PredictorNumbers,1,(COLUMN()-1)/2),INDEX(List_PredictorNumbers,2,(COLUMN()-1)/2)&amp;" Value", "")</f>
        <v/>
      </c>
      <c r="W2" s="89" t="str" cm="1">
        <f>IF(INDEX(List_PredictorNumbers,1,(COLUMN()-1)/2),INDEX(List_PredictorNumbers,2,(COLUMN()-1)/2)&amp;" Name", "")</f>
        <v/>
      </c>
      <c r="X2" s="56" t="str" cm="1">
        <f>IF(INDEX(List_PredictorNumbers,1,(COLUMN()-1)/2),INDEX(List_PredictorNumbers,2,(COLUMN()-1)/2)&amp;" Value", "")</f>
        <v/>
      </c>
      <c r="Y2" s="89" t="str" cm="1">
        <f>IF(INDEX(List_PredictorNumbers,1,(COLUMN()-1)/2),INDEX(List_PredictorNumbers,2,(COLUMN()-1)/2)&amp;" Name", "")</f>
        <v/>
      </c>
      <c r="Z2" s="56" t="str" cm="1">
        <f>IF(INDEX(List_PredictorNumbers,1,(COLUMN()-1)/2),INDEX(List_PredictorNumbers,2,(COLUMN()-1)/2)&amp;" Value", "")</f>
        <v/>
      </c>
      <c r="AA2" s="89" t="str" cm="1">
        <f>IF(INDEX(List_PredictorNumbers,1,(COLUMN()-1)/2),INDEX(List_PredictorNumbers,2,(COLUMN()-1)/2)&amp;" Name", "")</f>
        <v/>
      </c>
      <c r="AB2" s="56" t="str" cm="1">
        <f>IF(INDEX(List_PredictorNumbers,1,(COLUMN()-1)/2),INDEX(List_PredictorNumbers,2,(COLUMN()-1)/2)&amp;" Value", "")</f>
        <v/>
      </c>
      <c r="AC2" s="89" t="str" cm="1">
        <f>IF(INDEX(List_PredictorNumbers,1,(COLUMN()-1)/2),INDEX(List_PredictorNumbers,2,(COLUMN()-1)/2)&amp;" Name", "")</f>
        <v/>
      </c>
      <c r="AD2" s="56" t="str" cm="1">
        <f>IF(INDEX(List_PredictorNumbers,1,(COLUMN()-1)/2),INDEX(List_PredictorNumbers,2,(COLUMN()-1)/2)&amp;" Value", "")</f>
        <v/>
      </c>
      <c r="AE2" s="89" t="str" cm="1">
        <f>IF(INDEX(List_PredictorNumbers,1,(COLUMN()-1)/2),INDEX(List_PredictorNumbers,2,(COLUMN()-1)/2)&amp;" Name", "")</f>
        <v/>
      </c>
      <c r="AF2" s="56" t="str" cm="1">
        <f>IF(INDEX(List_PredictorNumbers,1,(COLUMN()-1)/2),INDEX(List_PredictorNumbers,2,(COLUMN()-1)/2)&amp;" Value", "")</f>
        <v/>
      </c>
    </row>
    <row r="3" spans="1:32" x14ac:dyDescent="0.3">
      <c r="A3" s="126"/>
      <c r="B3" s="141"/>
      <c r="C3" s="58" t="str" cm="1">
        <f>IFERROR(INDEX(List_Predictors, INDEX(Array_PredictorsLookup,MATCH($A3,List_PredictorFacilities,0),(COLUMN()-1)/2), 1),"")</f>
        <v/>
      </c>
      <c r="D3" s="137"/>
      <c r="E3" s="58" t="str" cm="1">
        <f>IFERROR(INDEX(List_Predictors, INDEX(Array_PredictorsLookup,MATCH($A3,List_PredictorFacilities,0),(COLUMN()-1)/2), 1),"")</f>
        <v/>
      </c>
      <c r="F3" s="137"/>
      <c r="G3" s="58" t="str" cm="1">
        <f>IFERROR(INDEX(List_Predictors, INDEX(Array_PredictorsLookup,MATCH($A3,List_PredictorFacilities,0),(COLUMN()-1)/2), 1),"")</f>
        <v/>
      </c>
      <c r="H3" s="137"/>
      <c r="I3" s="58" t="str" cm="1">
        <f>IFERROR(INDEX(List_Predictors, INDEX(Array_PredictorsLookup,MATCH($A3,List_PredictorFacilities,0),(COLUMN()-1)/2), 1),"")</f>
        <v/>
      </c>
      <c r="J3" s="137"/>
      <c r="K3" s="58" t="str" cm="1">
        <f>IFERROR(INDEX(List_Predictors, INDEX(Array_PredictorsLookup,MATCH($A3,List_PredictorFacilities,0),(COLUMN()-1)/2), 1),"")</f>
        <v/>
      </c>
      <c r="L3" s="137"/>
      <c r="M3" s="58" t="str" cm="1">
        <f>IFERROR(INDEX(List_Predictors, INDEX(Array_PredictorsLookup,MATCH($A3,List_PredictorFacilities,0),(COLUMN()-1)/2), 1),"")</f>
        <v/>
      </c>
      <c r="N3" s="137"/>
      <c r="O3" s="58" t="str" cm="1">
        <f>IFERROR(INDEX(List_Predictors, INDEX(Array_PredictorsLookup,MATCH($A3,List_PredictorFacilities,0),(COLUMN()-1)/2), 1),"")</f>
        <v/>
      </c>
      <c r="P3" s="137"/>
      <c r="Q3" s="58" t="str" cm="1">
        <f>IFERROR(INDEX(List_Predictors, INDEX(Array_PredictorsLookup,MATCH($A3,List_PredictorFacilities,0),(COLUMN()-1)/2), 1),"")</f>
        <v/>
      </c>
      <c r="R3" s="137"/>
      <c r="S3" s="58" t="str" cm="1">
        <f>IFERROR(INDEX(List_Predictors, INDEX(Array_PredictorsLookup,MATCH($A3,List_PredictorFacilities,0),(COLUMN()-1)/2), 1),"")</f>
        <v/>
      </c>
      <c r="T3" s="137"/>
      <c r="U3" s="58" t="str" cm="1">
        <f>IFERROR(INDEX(List_Predictors, INDEX(Array_PredictorsLookup,MATCH($A3,List_PredictorFacilities,0),(COLUMN()-1)/2), 1),"")</f>
        <v/>
      </c>
      <c r="V3" s="137"/>
      <c r="W3" s="58" t="str" cm="1">
        <f>IFERROR(INDEX(List_Predictors, INDEX(Array_PredictorsLookup,MATCH($A3,List_PredictorFacilities,0),(COLUMN()-1)/2), 1),"")</f>
        <v/>
      </c>
      <c r="X3" s="137"/>
      <c r="Y3" s="58" t="str" cm="1">
        <f>IFERROR(INDEX(List_Predictors, INDEX(Array_PredictorsLookup,MATCH($A3,List_PredictorFacilities,0),(COLUMN()-1)/2), 1),"")</f>
        <v/>
      </c>
      <c r="Z3" s="137"/>
      <c r="AA3" s="58" t="str" cm="1">
        <f>IFERROR(INDEX(List_Predictors, INDEX(Array_PredictorsLookup,MATCH($A3,List_PredictorFacilities,0),(COLUMN()-1)/2), 1),"")</f>
        <v/>
      </c>
      <c r="AB3" s="137"/>
      <c r="AC3" s="58" t="str" cm="1">
        <f>IFERROR(INDEX(List_Predictors, INDEX(Array_PredictorsLookup,MATCH($A3,List_PredictorFacilities,0),(COLUMN()-1)/2), 1),"")</f>
        <v/>
      </c>
      <c r="AD3" s="137"/>
      <c r="AE3" s="58" t="str" cm="1">
        <f>IFERROR(INDEX(List_Predictors, INDEX(Array_PredictorsLookup,MATCH($A3,List_PredictorFacilities,0),(COLUMN()-1)/2), 1),"")</f>
        <v/>
      </c>
      <c r="AF3" s="137"/>
    </row>
    <row r="4" spans="1:32" x14ac:dyDescent="0.3">
      <c r="A4" s="126"/>
      <c r="B4" s="141"/>
      <c r="C4" s="58" t="str" cm="1">
        <f>IFERROR(INDEX(List_Predictors, INDEX(Array_PredictorsLookup,MATCH($A4,List_PredictorFacilities,0),(COLUMN()-1)/2), 1),"")</f>
        <v/>
      </c>
      <c r="D4" s="137"/>
      <c r="E4" s="58" t="str" cm="1">
        <f>IFERROR(INDEX(List_Predictors, INDEX(Array_PredictorsLookup,MATCH($A4,List_PredictorFacilities,0),(COLUMN()-1)/2), 1),"")</f>
        <v/>
      </c>
      <c r="F4" s="137"/>
      <c r="G4" s="58" t="str" cm="1">
        <f>IFERROR(INDEX(List_Predictors, INDEX(Array_PredictorsLookup,MATCH($A4,List_PredictorFacilities,0),(COLUMN()-1)/2), 1),"")</f>
        <v/>
      </c>
      <c r="H4" s="137"/>
      <c r="I4" s="58" t="str" cm="1">
        <f>IFERROR(INDEX(List_Predictors, INDEX(Array_PredictorsLookup,MATCH($A4,List_PredictorFacilities,0),(COLUMN()-1)/2), 1),"")</f>
        <v/>
      </c>
      <c r="J4" s="137"/>
      <c r="K4" s="58" t="str" cm="1">
        <f>IFERROR(INDEX(List_Predictors, INDEX(Array_PredictorsLookup,MATCH($A4,List_PredictorFacilities,0),(COLUMN()-1)/2), 1),"")</f>
        <v/>
      </c>
      <c r="L4" s="137"/>
      <c r="M4" s="58" t="str" cm="1">
        <f>IFERROR(INDEX(List_Predictors, INDEX(Array_PredictorsLookup,MATCH($A4,List_PredictorFacilities,0),(COLUMN()-1)/2), 1),"")</f>
        <v/>
      </c>
      <c r="N4" s="137"/>
      <c r="O4" s="58" t="str" cm="1">
        <f>IFERROR(INDEX(List_Predictors, INDEX(Array_PredictorsLookup,MATCH($A4,List_PredictorFacilities,0),(COLUMN()-1)/2), 1),"")</f>
        <v/>
      </c>
      <c r="P4" s="137"/>
      <c r="Q4" s="58" t="str" cm="1">
        <f>IFERROR(INDEX(List_Predictors, INDEX(Array_PredictorsLookup,MATCH($A4,List_PredictorFacilities,0),(COLUMN()-1)/2), 1),"")</f>
        <v/>
      </c>
      <c r="R4" s="137"/>
      <c r="S4" s="58" t="str" cm="1">
        <f>IFERROR(INDEX(List_Predictors, INDEX(Array_PredictorsLookup,MATCH($A4,List_PredictorFacilities,0),(COLUMN()-1)/2), 1),"")</f>
        <v/>
      </c>
      <c r="T4" s="137"/>
      <c r="U4" s="58" t="str" cm="1">
        <f>IFERROR(INDEX(List_Predictors, INDEX(Array_PredictorsLookup,MATCH($A4,List_PredictorFacilities,0),(COLUMN()-1)/2), 1),"")</f>
        <v/>
      </c>
      <c r="V4" s="137"/>
      <c r="W4" s="58" t="str" cm="1">
        <f>IFERROR(INDEX(List_Predictors, INDEX(Array_PredictorsLookup,MATCH($A4,List_PredictorFacilities,0),(COLUMN()-1)/2), 1),"")</f>
        <v/>
      </c>
      <c r="X4" s="137"/>
      <c r="Y4" s="58" t="str" cm="1">
        <f>IFERROR(INDEX(List_Predictors, INDEX(Array_PredictorsLookup,MATCH($A4,List_PredictorFacilities,0),(COLUMN()-1)/2), 1),"")</f>
        <v/>
      </c>
      <c r="Z4" s="137"/>
      <c r="AA4" s="58" t="str" cm="1">
        <f>IFERROR(INDEX(List_Predictors, INDEX(Array_PredictorsLookup,MATCH($A4,List_PredictorFacilities,0),(COLUMN()-1)/2), 1),"")</f>
        <v/>
      </c>
      <c r="AB4" s="137"/>
      <c r="AC4" s="58" t="str" cm="1">
        <f>IFERROR(INDEX(List_Predictors, INDEX(Array_PredictorsLookup,MATCH($A4,List_PredictorFacilities,0),(COLUMN()-1)/2), 1),"")</f>
        <v/>
      </c>
      <c r="AD4" s="137"/>
      <c r="AE4" s="58" t="str" cm="1">
        <f>IFERROR(INDEX(List_Predictors, INDEX(Array_PredictorsLookup,MATCH($A4,List_PredictorFacilities,0),(COLUMN()-1)/2), 1),"")</f>
        <v/>
      </c>
      <c r="AF4" s="137"/>
    </row>
    <row r="5" spans="1:32" x14ac:dyDescent="0.3">
      <c r="A5" s="126"/>
      <c r="B5" s="141"/>
      <c r="C5" s="58" t="str" cm="1">
        <f>IFERROR(INDEX(List_Predictors, INDEX(Array_PredictorsLookup,MATCH($A5,List_PredictorFacilities,0),(COLUMN()-1)/2), 1),"")</f>
        <v/>
      </c>
      <c r="D5" s="137"/>
      <c r="E5" s="58" t="str" cm="1">
        <f>IFERROR(INDEX(List_Predictors, INDEX(Array_PredictorsLookup,MATCH($A5,List_PredictorFacilities,0),(COLUMN()-1)/2), 1),"")</f>
        <v/>
      </c>
      <c r="F5" s="137"/>
      <c r="G5" s="58" t="str" cm="1">
        <f>IFERROR(INDEX(List_Predictors, INDEX(Array_PredictorsLookup,MATCH($A5,List_PredictorFacilities,0),(COLUMN()-1)/2), 1),"")</f>
        <v/>
      </c>
      <c r="H5" s="137"/>
      <c r="I5" s="58" t="str" cm="1">
        <f>IFERROR(INDEX(List_Predictors, INDEX(Array_PredictorsLookup,MATCH($A5,List_PredictorFacilities,0),(COLUMN()-1)/2), 1),"")</f>
        <v/>
      </c>
      <c r="J5" s="137"/>
      <c r="K5" s="58" t="str" cm="1">
        <f>IFERROR(INDEX(List_Predictors, INDEX(Array_PredictorsLookup,MATCH($A5,List_PredictorFacilities,0),(COLUMN()-1)/2), 1),"")</f>
        <v/>
      </c>
      <c r="L5" s="137"/>
      <c r="M5" s="58" t="str" cm="1">
        <f>IFERROR(INDEX(List_Predictors, INDEX(Array_PredictorsLookup,MATCH($A5,List_PredictorFacilities,0),(COLUMN()-1)/2), 1),"")</f>
        <v/>
      </c>
      <c r="N5" s="137"/>
      <c r="O5" s="58" t="str" cm="1">
        <f>IFERROR(INDEX(List_Predictors, INDEX(Array_PredictorsLookup,MATCH($A5,List_PredictorFacilities,0),(COLUMN()-1)/2), 1),"")</f>
        <v/>
      </c>
      <c r="P5" s="137"/>
      <c r="Q5" s="58" t="str" cm="1">
        <f>IFERROR(INDEX(List_Predictors, INDEX(Array_PredictorsLookup,MATCH($A5,List_PredictorFacilities,0),(COLUMN()-1)/2), 1),"")</f>
        <v/>
      </c>
      <c r="R5" s="137"/>
      <c r="S5" s="58" t="str" cm="1">
        <f>IFERROR(INDEX(List_Predictors, INDEX(Array_PredictorsLookup,MATCH($A5,List_PredictorFacilities,0),(COLUMN()-1)/2), 1),"")</f>
        <v/>
      </c>
      <c r="T5" s="137"/>
      <c r="U5" s="58" t="str" cm="1">
        <f>IFERROR(INDEX(List_Predictors, INDEX(Array_PredictorsLookup,MATCH($A5,List_PredictorFacilities,0),(COLUMN()-1)/2), 1),"")</f>
        <v/>
      </c>
      <c r="V5" s="137"/>
      <c r="W5" s="58" t="str" cm="1">
        <f>IFERROR(INDEX(List_Predictors, INDEX(Array_PredictorsLookup,MATCH($A5,List_PredictorFacilities,0),(COLUMN()-1)/2), 1),"")</f>
        <v/>
      </c>
      <c r="X5" s="137"/>
      <c r="Y5" s="58" t="str" cm="1">
        <f>IFERROR(INDEX(List_Predictors, INDEX(Array_PredictorsLookup,MATCH($A5,List_PredictorFacilities,0),(COLUMN()-1)/2), 1),"")</f>
        <v/>
      </c>
      <c r="Z5" s="137"/>
      <c r="AA5" s="58" t="str" cm="1">
        <f>IFERROR(INDEX(List_Predictors, INDEX(Array_PredictorsLookup,MATCH($A5,List_PredictorFacilities,0),(COLUMN()-1)/2), 1),"")</f>
        <v/>
      </c>
      <c r="AB5" s="137"/>
      <c r="AC5" s="58" t="str" cm="1">
        <f>IFERROR(INDEX(List_Predictors, INDEX(Array_PredictorsLookup,MATCH($A5,List_PredictorFacilities,0),(COLUMN()-1)/2), 1),"")</f>
        <v/>
      </c>
      <c r="AD5" s="137"/>
      <c r="AE5" s="58" t="str" cm="1">
        <f>IFERROR(INDEX(List_Predictors, INDEX(Array_PredictorsLookup,MATCH($A5,List_PredictorFacilities,0),(COLUMN()-1)/2), 1),"")</f>
        <v/>
      </c>
      <c r="AF5" s="137"/>
    </row>
    <row r="6" spans="1:32" x14ac:dyDescent="0.3">
      <c r="A6" s="126"/>
      <c r="B6" s="141"/>
      <c r="C6" s="58" t="str" cm="1">
        <f>IFERROR(INDEX(List_Predictors, INDEX(Array_PredictorsLookup,MATCH($A6,List_PredictorFacilities,0),(COLUMN()-1)/2), 1),"")</f>
        <v/>
      </c>
      <c r="D6" s="137"/>
      <c r="E6" s="58" t="str" cm="1">
        <f>IFERROR(INDEX(List_Predictors, INDEX(Array_PredictorsLookup,MATCH($A6,List_PredictorFacilities,0),(COLUMN()-1)/2), 1),"")</f>
        <v/>
      </c>
      <c r="F6" s="137"/>
      <c r="G6" s="58" t="str" cm="1">
        <f>IFERROR(INDEX(List_Predictors, INDEX(Array_PredictorsLookup,MATCH($A6,List_PredictorFacilities,0),(COLUMN()-1)/2), 1),"")</f>
        <v/>
      </c>
      <c r="H6" s="137"/>
      <c r="I6" s="58" t="str" cm="1">
        <f>IFERROR(INDEX(List_Predictors, INDEX(Array_PredictorsLookup,MATCH($A6,List_PredictorFacilities,0),(COLUMN()-1)/2), 1),"")</f>
        <v/>
      </c>
      <c r="J6" s="137"/>
      <c r="K6" s="58" t="str" cm="1">
        <f>IFERROR(INDEX(List_Predictors, INDEX(Array_PredictorsLookup,MATCH($A6,List_PredictorFacilities,0),(COLUMN()-1)/2), 1),"")</f>
        <v/>
      </c>
      <c r="L6" s="137"/>
      <c r="M6" s="58" t="str" cm="1">
        <f>IFERROR(INDEX(List_Predictors, INDEX(Array_PredictorsLookup,MATCH($A6,List_PredictorFacilities,0),(COLUMN()-1)/2), 1),"")</f>
        <v/>
      </c>
      <c r="N6" s="137"/>
      <c r="O6" s="58" t="str" cm="1">
        <f>IFERROR(INDEX(List_Predictors, INDEX(Array_PredictorsLookup,MATCH($A6,List_PredictorFacilities,0),(COLUMN()-1)/2), 1),"")</f>
        <v/>
      </c>
      <c r="P6" s="137"/>
      <c r="Q6" s="58" t="str" cm="1">
        <f>IFERROR(INDEX(List_Predictors, INDEX(Array_PredictorsLookup,MATCH($A6,List_PredictorFacilities,0),(COLUMN()-1)/2), 1),"")</f>
        <v/>
      </c>
      <c r="R6" s="137"/>
      <c r="S6" s="58" t="str" cm="1">
        <f>IFERROR(INDEX(List_Predictors, INDEX(Array_PredictorsLookup,MATCH($A6,List_PredictorFacilities,0),(COLUMN()-1)/2), 1),"")</f>
        <v/>
      </c>
      <c r="T6" s="137"/>
      <c r="U6" s="58" t="str" cm="1">
        <f>IFERROR(INDEX(List_Predictors, INDEX(Array_PredictorsLookup,MATCH($A6,List_PredictorFacilities,0),(COLUMN()-1)/2), 1),"")</f>
        <v/>
      </c>
      <c r="V6" s="137"/>
      <c r="W6" s="58" t="str" cm="1">
        <f>IFERROR(INDEX(List_Predictors, INDEX(Array_PredictorsLookup,MATCH($A6,List_PredictorFacilities,0),(COLUMN()-1)/2), 1),"")</f>
        <v/>
      </c>
      <c r="X6" s="137"/>
      <c r="Y6" s="58" t="str" cm="1">
        <f>IFERROR(INDEX(List_Predictors, INDEX(Array_PredictorsLookup,MATCH($A6,List_PredictorFacilities,0),(COLUMN()-1)/2), 1),"")</f>
        <v/>
      </c>
      <c r="Z6" s="137"/>
      <c r="AA6" s="58" t="str" cm="1">
        <f>IFERROR(INDEX(List_Predictors, INDEX(Array_PredictorsLookup,MATCH($A6,List_PredictorFacilities,0),(COLUMN()-1)/2), 1),"")</f>
        <v/>
      </c>
      <c r="AB6" s="137"/>
      <c r="AC6" s="58" t="str" cm="1">
        <f>IFERROR(INDEX(List_Predictors, INDEX(Array_PredictorsLookup,MATCH($A6,List_PredictorFacilities,0),(COLUMN()-1)/2), 1),"")</f>
        <v/>
      </c>
      <c r="AD6" s="137"/>
      <c r="AE6" s="58" t="str" cm="1">
        <f>IFERROR(INDEX(List_Predictors, INDEX(Array_PredictorsLookup,MATCH($A6,List_PredictorFacilities,0),(COLUMN()-1)/2), 1),"")</f>
        <v/>
      </c>
      <c r="AF6" s="137"/>
    </row>
    <row r="7" spans="1:32" x14ac:dyDescent="0.3">
      <c r="A7" s="126"/>
      <c r="B7" s="141"/>
      <c r="C7" s="58" t="str" cm="1">
        <f>IFERROR(INDEX(List_Predictors, INDEX(Array_PredictorsLookup,MATCH($A7,List_PredictorFacilities,0),(COLUMN()-1)/2), 1),"")</f>
        <v/>
      </c>
      <c r="D7" s="137"/>
      <c r="E7" s="58" t="str" cm="1">
        <f>IFERROR(INDEX(List_Predictors, INDEX(Array_PredictorsLookup,MATCH($A7,List_PredictorFacilities,0),(COLUMN()-1)/2), 1),"")</f>
        <v/>
      </c>
      <c r="F7" s="137"/>
      <c r="G7" s="58" t="str" cm="1">
        <f>IFERROR(INDEX(List_Predictors, INDEX(Array_PredictorsLookup,MATCH($A7,List_PredictorFacilities,0),(COLUMN()-1)/2), 1),"")</f>
        <v/>
      </c>
      <c r="H7" s="137"/>
      <c r="I7" s="58" t="str" cm="1">
        <f>IFERROR(INDEX(List_Predictors, INDEX(Array_PredictorsLookup,MATCH($A7,List_PredictorFacilities,0),(COLUMN()-1)/2), 1),"")</f>
        <v/>
      </c>
      <c r="J7" s="137"/>
      <c r="K7" s="58" t="str" cm="1">
        <f>IFERROR(INDEX(List_Predictors, INDEX(Array_PredictorsLookup,MATCH($A7,List_PredictorFacilities,0),(COLUMN()-1)/2), 1),"")</f>
        <v/>
      </c>
      <c r="L7" s="137"/>
      <c r="M7" s="58" t="str" cm="1">
        <f>IFERROR(INDEX(List_Predictors, INDEX(Array_PredictorsLookup,MATCH($A7,List_PredictorFacilities,0),(COLUMN()-1)/2), 1),"")</f>
        <v/>
      </c>
      <c r="N7" s="137"/>
      <c r="O7" s="58" t="str" cm="1">
        <f>IFERROR(INDEX(List_Predictors, INDEX(Array_PredictorsLookup,MATCH($A7,List_PredictorFacilities,0),(COLUMN()-1)/2), 1),"")</f>
        <v/>
      </c>
      <c r="P7" s="137"/>
      <c r="Q7" s="58" t="str" cm="1">
        <f>IFERROR(INDEX(List_Predictors, INDEX(Array_PredictorsLookup,MATCH($A7,List_PredictorFacilities,0),(COLUMN()-1)/2), 1),"")</f>
        <v/>
      </c>
      <c r="R7" s="137"/>
      <c r="S7" s="58" t="str" cm="1">
        <f>IFERROR(INDEX(List_Predictors, INDEX(Array_PredictorsLookup,MATCH($A7,List_PredictorFacilities,0),(COLUMN()-1)/2), 1),"")</f>
        <v/>
      </c>
      <c r="T7" s="137"/>
      <c r="U7" s="58" t="str" cm="1">
        <f>IFERROR(INDEX(List_Predictors, INDEX(Array_PredictorsLookup,MATCH($A7,List_PredictorFacilities,0),(COLUMN()-1)/2), 1),"")</f>
        <v/>
      </c>
      <c r="V7" s="137"/>
      <c r="W7" s="58" t="str" cm="1">
        <f>IFERROR(INDEX(List_Predictors, INDEX(Array_PredictorsLookup,MATCH($A7,List_PredictorFacilities,0),(COLUMN()-1)/2), 1),"")</f>
        <v/>
      </c>
      <c r="X7" s="137"/>
      <c r="Y7" s="58" t="str" cm="1">
        <f>IFERROR(INDEX(List_Predictors, INDEX(Array_PredictorsLookup,MATCH($A7,List_PredictorFacilities,0),(COLUMN()-1)/2), 1),"")</f>
        <v/>
      </c>
      <c r="Z7" s="137"/>
      <c r="AA7" s="58" t="str" cm="1">
        <f>IFERROR(INDEX(List_Predictors, INDEX(Array_PredictorsLookup,MATCH($A7,List_PredictorFacilities,0),(COLUMN()-1)/2), 1),"")</f>
        <v/>
      </c>
      <c r="AB7" s="137"/>
      <c r="AC7" s="58" t="str" cm="1">
        <f>IFERROR(INDEX(List_Predictors, INDEX(Array_PredictorsLookup,MATCH($A7,List_PredictorFacilities,0),(COLUMN()-1)/2), 1),"")</f>
        <v/>
      </c>
      <c r="AD7" s="137"/>
      <c r="AE7" s="58" t="str" cm="1">
        <f>IFERROR(INDEX(List_Predictors, INDEX(Array_PredictorsLookup,MATCH($A7,List_PredictorFacilities,0),(COLUMN()-1)/2), 1),"")</f>
        <v/>
      </c>
      <c r="AF7" s="137"/>
    </row>
    <row r="8" spans="1:32" x14ac:dyDescent="0.3">
      <c r="A8" s="126"/>
      <c r="B8" s="141"/>
      <c r="C8" s="58" t="str" cm="1">
        <f>IFERROR(INDEX(List_Predictors, INDEX(Array_PredictorsLookup,MATCH($A8,List_PredictorFacilities,0),(COLUMN()-1)/2), 1),"")</f>
        <v/>
      </c>
      <c r="D8" s="137"/>
      <c r="E8" s="58" t="str" cm="1">
        <f>IFERROR(INDEX(List_Predictors, INDEX(Array_PredictorsLookup,MATCH($A8,List_PredictorFacilities,0),(COLUMN()-1)/2), 1),"")</f>
        <v/>
      </c>
      <c r="F8" s="137"/>
      <c r="G8" s="58" t="str" cm="1">
        <f>IFERROR(INDEX(List_Predictors, INDEX(Array_PredictorsLookup,MATCH($A8,List_PredictorFacilities,0),(COLUMN()-1)/2), 1),"")</f>
        <v/>
      </c>
      <c r="H8" s="137"/>
      <c r="I8" s="58" t="str" cm="1">
        <f>IFERROR(INDEX(List_Predictors, INDEX(Array_PredictorsLookup,MATCH($A8,List_PredictorFacilities,0),(COLUMN()-1)/2), 1),"")</f>
        <v/>
      </c>
      <c r="J8" s="137"/>
      <c r="K8" s="58" t="str" cm="1">
        <f>IFERROR(INDEX(List_Predictors, INDEX(Array_PredictorsLookup,MATCH($A8,List_PredictorFacilities,0),(COLUMN()-1)/2), 1),"")</f>
        <v/>
      </c>
      <c r="L8" s="137"/>
      <c r="M8" s="58" t="str" cm="1">
        <f>IFERROR(INDEX(List_Predictors, INDEX(Array_PredictorsLookup,MATCH($A8,List_PredictorFacilities,0),(COLUMN()-1)/2), 1),"")</f>
        <v/>
      </c>
      <c r="N8" s="137"/>
      <c r="O8" s="58" t="str" cm="1">
        <f>IFERROR(INDEX(List_Predictors, INDEX(Array_PredictorsLookup,MATCH($A8,List_PredictorFacilities,0),(COLUMN()-1)/2), 1),"")</f>
        <v/>
      </c>
      <c r="P8" s="137"/>
      <c r="Q8" s="58" t="str" cm="1">
        <f>IFERROR(INDEX(List_Predictors, INDEX(Array_PredictorsLookup,MATCH($A8,List_PredictorFacilities,0),(COLUMN()-1)/2), 1),"")</f>
        <v/>
      </c>
      <c r="R8" s="137"/>
      <c r="S8" s="58" t="str" cm="1">
        <f>IFERROR(INDEX(List_Predictors, INDEX(Array_PredictorsLookup,MATCH($A8,List_PredictorFacilities,0),(COLUMN()-1)/2), 1),"")</f>
        <v/>
      </c>
      <c r="T8" s="137"/>
      <c r="U8" s="58" t="str" cm="1">
        <f>IFERROR(INDEX(List_Predictors, INDEX(Array_PredictorsLookup,MATCH($A8,List_PredictorFacilities,0),(COLUMN()-1)/2), 1),"")</f>
        <v/>
      </c>
      <c r="V8" s="137"/>
      <c r="W8" s="58" t="str" cm="1">
        <f>IFERROR(INDEX(List_Predictors, INDEX(Array_PredictorsLookup,MATCH($A8,List_PredictorFacilities,0),(COLUMN()-1)/2), 1),"")</f>
        <v/>
      </c>
      <c r="X8" s="137"/>
      <c r="Y8" s="58" t="str" cm="1">
        <f>IFERROR(INDEX(List_Predictors, INDEX(Array_PredictorsLookup,MATCH($A8,List_PredictorFacilities,0),(COLUMN()-1)/2), 1),"")</f>
        <v/>
      </c>
      <c r="Z8" s="137"/>
      <c r="AA8" s="58" t="str" cm="1">
        <f>IFERROR(INDEX(List_Predictors, INDEX(Array_PredictorsLookup,MATCH($A8,List_PredictorFacilities,0),(COLUMN()-1)/2), 1),"")</f>
        <v/>
      </c>
      <c r="AB8" s="137"/>
      <c r="AC8" s="58" t="str" cm="1">
        <f>IFERROR(INDEX(List_Predictors, INDEX(Array_PredictorsLookup,MATCH($A8,List_PredictorFacilities,0),(COLUMN()-1)/2), 1),"")</f>
        <v/>
      </c>
      <c r="AD8" s="137"/>
      <c r="AE8" s="58" t="str" cm="1">
        <f>IFERROR(INDEX(List_Predictors, INDEX(Array_PredictorsLookup,MATCH($A8,List_PredictorFacilities,0),(COLUMN()-1)/2), 1),"")</f>
        <v/>
      </c>
      <c r="AF8" s="137"/>
    </row>
    <row r="9" spans="1:32" x14ac:dyDescent="0.3">
      <c r="A9" s="126"/>
      <c r="B9" s="141"/>
      <c r="C9" s="58" t="str" cm="1">
        <f>IFERROR(INDEX(List_Predictors, INDEX(Array_PredictorsLookup,MATCH($A9,List_PredictorFacilities,0),(COLUMN()-1)/2), 1),"")</f>
        <v/>
      </c>
      <c r="D9" s="137"/>
      <c r="E9" s="58" t="str" cm="1">
        <f>IFERROR(INDEX(List_Predictors, INDEX(Array_PredictorsLookup,MATCH($A9,List_PredictorFacilities,0),(COLUMN()-1)/2), 1),"")</f>
        <v/>
      </c>
      <c r="F9" s="137"/>
      <c r="G9" s="58" t="str" cm="1">
        <f>IFERROR(INDEX(List_Predictors, INDEX(Array_PredictorsLookup,MATCH($A9,List_PredictorFacilities,0),(COLUMN()-1)/2), 1),"")</f>
        <v/>
      </c>
      <c r="H9" s="137"/>
      <c r="I9" s="58" t="str" cm="1">
        <f>IFERROR(INDEX(List_Predictors, INDEX(Array_PredictorsLookup,MATCH($A9,List_PredictorFacilities,0),(COLUMN()-1)/2), 1),"")</f>
        <v/>
      </c>
      <c r="J9" s="137"/>
      <c r="K9" s="58" t="str" cm="1">
        <f>IFERROR(INDEX(List_Predictors, INDEX(Array_PredictorsLookup,MATCH($A9,List_PredictorFacilities,0),(COLUMN()-1)/2), 1),"")</f>
        <v/>
      </c>
      <c r="L9" s="137"/>
      <c r="M9" s="58" t="str" cm="1">
        <f>IFERROR(INDEX(List_Predictors, INDEX(Array_PredictorsLookup,MATCH($A9,List_PredictorFacilities,0),(COLUMN()-1)/2), 1),"")</f>
        <v/>
      </c>
      <c r="N9" s="137"/>
      <c r="O9" s="58" t="str" cm="1">
        <f>IFERROR(INDEX(List_Predictors, INDEX(Array_PredictorsLookup,MATCH($A9,List_PredictorFacilities,0),(COLUMN()-1)/2), 1),"")</f>
        <v/>
      </c>
      <c r="P9" s="137"/>
      <c r="Q9" s="58" t="str" cm="1">
        <f>IFERROR(INDEX(List_Predictors, INDEX(Array_PredictorsLookup,MATCH($A9,List_PredictorFacilities,0),(COLUMN()-1)/2), 1),"")</f>
        <v/>
      </c>
      <c r="R9" s="137"/>
      <c r="S9" s="58" t="str" cm="1">
        <f>IFERROR(INDEX(List_Predictors, INDEX(Array_PredictorsLookup,MATCH($A9,List_PredictorFacilities,0),(COLUMN()-1)/2), 1),"")</f>
        <v/>
      </c>
      <c r="T9" s="137"/>
      <c r="U9" s="58" t="str" cm="1">
        <f>IFERROR(INDEX(List_Predictors, INDEX(Array_PredictorsLookup,MATCH($A9,List_PredictorFacilities,0),(COLUMN()-1)/2), 1),"")</f>
        <v/>
      </c>
      <c r="V9" s="137"/>
      <c r="W9" s="58" t="str" cm="1">
        <f>IFERROR(INDEX(List_Predictors, INDEX(Array_PredictorsLookup,MATCH($A9,List_PredictorFacilities,0),(COLUMN()-1)/2), 1),"")</f>
        <v/>
      </c>
      <c r="X9" s="137"/>
      <c r="Y9" s="58" t="str" cm="1">
        <f>IFERROR(INDEX(List_Predictors, INDEX(Array_PredictorsLookup,MATCH($A9,List_PredictorFacilities,0),(COLUMN()-1)/2), 1),"")</f>
        <v/>
      </c>
      <c r="Z9" s="137"/>
      <c r="AA9" s="58" t="str" cm="1">
        <f>IFERROR(INDEX(List_Predictors, INDEX(Array_PredictorsLookup,MATCH($A9,List_PredictorFacilities,0),(COLUMN()-1)/2), 1),"")</f>
        <v/>
      </c>
      <c r="AB9" s="137"/>
      <c r="AC9" s="58" t="str" cm="1">
        <f>IFERROR(INDEX(List_Predictors, INDEX(Array_PredictorsLookup,MATCH($A9,List_PredictorFacilities,0),(COLUMN()-1)/2), 1),"")</f>
        <v/>
      </c>
      <c r="AD9" s="137"/>
      <c r="AE9" s="58" t="str" cm="1">
        <f>IFERROR(INDEX(List_Predictors, INDEX(Array_PredictorsLookup,MATCH($A9,List_PredictorFacilities,0),(COLUMN()-1)/2), 1),"")</f>
        <v/>
      </c>
      <c r="AF9" s="137"/>
    </row>
    <row r="10" spans="1:32" x14ac:dyDescent="0.3">
      <c r="A10" s="126"/>
      <c r="B10" s="141"/>
      <c r="C10" s="58" t="str" cm="1">
        <f>IFERROR(INDEX(List_Predictors, INDEX(Array_PredictorsLookup,MATCH($A10,List_PredictorFacilities,0),(COLUMN()-1)/2), 1),"")</f>
        <v/>
      </c>
      <c r="D10" s="137"/>
      <c r="E10" s="58" t="str" cm="1">
        <f>IFERROR(INDEX(List_Predictors, INDEX(Array_PredictorsLookup,MATCH($A10,List_PredictorFacilities,0),(COLUMN()-1)/2), 1),"")</f>
        <v/>
      </c>
      <c r="F10" s="137"/>
      <c r="G10" s="58" t="str" cm="1">
        <f>IFERROR(INDEX(List_Predictors, INDEX(Array_PredictorsLookup,MATCH($A10,List_PredictorFacilities,0),(COLUMN()-1)/2), 1),"")</f>
        <v/>
      </c>
      <c r="H10" s="137"/>
      <c r="I10" s="58" t="str" cm="1">
        <f>IFERROR(INDEX(List_Predictors, INDEX(Array_PredictorsLookup,MATCH($A10,List_PredictorFacilities,0),(COLUMN()-1)/2), 1),"")</f>
        <v/>
      </c>
      <c r="J10" s="137"/>
      <c r="K10" s="58" t="str" cm="1">
        <f>IFERROR(INDEX(List_Predictors, INDEX(Array_PredictorsLookup,MATCH($A10,List_PredictorFacilities,0),(COLUMN()-1)/2), 1),"")</f>
        <v/>
      </c>
      <c r="L10" s="137"/>
      <c r="M10" s="58" t="str" cm="1">
        <f>IFERROR(INDEX(List_Predictors, INDEX(Array_PredictorsLookup,MATCH($A10,List_PredictorFacilities,0),(COLUMN()-1)/2), 1),"")</f>
        <v/>
      </c>
      <c r="N10" s="137"/>
      <c r="O10" s="58" t="str" cm="1">
        <f>IFERROR(INDEX(List_Predictors, INDEX(Array_PredictorsLookup,MATCH($A10,List_PredictorFacilities,0),(COLUMN()-1)/2), 1),"")</f>
        <v/>
      </c>
      <c r="P10" s="137"/>
      <c r="Q10" s="58" t="str" cm="1">
        <f>IFERROR(INDEX(List_Predictors, INDEX(Array_PredictorsLookup,MATCH($A10,List_PredictorFacilities,0),(COLUMN()-1)/2), 1),"")</f>
        <v/>
      </c>
      <c r="R10" s="137"/>
      <c r="S10" s="58" t="str" cm="1">
        <f>IFERROR(INDEX(List_Predictors, INDEX(Array_PredictorsLookup,MATCH($A10,List_PredictorFacilities,0),(COLUMN()-1)/2), 1),"")</f>
        <v/>
      </c>
      <c r="T10" s="137"/>
      <c r="U10" s="58" t="str" cm="1">
        <f>IFERROR(INDEX(List_Predictors, INDEX(Array_PredictorsLookup,MATCH($A10,List_PredictorFacilities,0),(COLUMN()-1)/2), 1),"")</f>
        <v/>
      </c>
      <c r="V10" s="137"/>
      <c r="W10" s="58" t="str" cm="1">
        <f>IFERROR(INDEX(List_Predictors, INDEX(Array_PredictorsLookup,MATCH($A10,List_PredictorFacilities,0),(COLUMN()-1)/2), 1),"")</f>
        <v/>
      </c>
      <c r="X10" s="137"/>
      <c r="Y10" s="58" t="str" cm="1">
        <f>IFERROR(INDEX(List_Predictors, INDEX(Array_PredictorsLookup,MATCH($A10,List_PredictorFacilities,0),(COLUMN()-1)/2), 1),"")</f>
        <v/>
      </c>
      <c r="Z10" s="137"/>
      <c r="AA10" s="58" t="str" cm="1">
        <f>IFERROR(INDEX(List_Predictors, INDEX(Array_PredictorsLookup,MATCH($A10,List_PredictorFacilities,0),(COLUMN()-1)/2), 1),"")</f>
        <v/>
      </c>
      <c r="AB10" s="137"/>
      <c r="AC10" s="58" t="str" cm="1">
        <f>IFERROR(INDEX(List_Predictors, INDEX(Array_PredictorsLookup,MATCH($A10,List_PredictorFacilities,0),(COLUMN()-1)/2), 1),"")</f>
        <v/>
      </c>
      <c r="AD10" s="137"/>
      <c r="AE10" s="58" t="str" cm="1">
        <f>IFERROR(INDEX(List_Predictors, INDEX(Array_PredictorsLookup,MATCH($A10,List_PredictorFacilities,0),(COLUMN()-1)/2), 1),"")</f>
        <v/>
      </c>
      <c r="AF10" s="137"/>
    </row>
    <row r="11" spans="1:32" x14ac:dyDescent="0.3">
      <c r="A11" s="126"/>
      <c r="B11" s="141"/>
      <c r="C11" s="58" t="str" cm="1">
        <f>IFERROR(INDEX(List_Predictors, INDEX(Array_PredictorsLookup,MATCH($A11,List_PredictorFacilities,0),(COLUMN()-1)/2), 1),"")</f>
        <v/>
      </c>
      <c r="D11" s="137"/>
      <c r="E11" s="58" t="str" cm="1">
        <f>IFERROR(INDEX(List_Predictors, INDEX(Array_PredictorsLookup,MATCH($A11,List_PredictorFacilities,0),(COLUMN()-1)/2), 1),"")</f>
        <v/>
      </c>
      <c r="F11" s="137"/>
      <c r="G11" s="58" t="str" cm="1">
        <f>IFERROR(INDEX(List_Predictors, INDEX(Array_PredictorsLookup,MATCH($A11,List_PredictorFacilities,0),(COLUMN()-1)/2), 1),"")</f>
        <v/>
      </c>
      <c r="H11" s="137"/>
      <c r="I11" s="58" t="str" cm="1">
        <f>IFERROR(INDEX(List_Predictors, INDEX(Array_PredictorsLookup,MATCH($A11,List_PredictorFacilities,0),(COLUMN()-1)/2), 1),"")</f>
        <v/>
      </c>
      <c r="J11" s="137"/>
      <c r="K11" s="58" t="str" cm="1">
        <f>IFERROR(INDEX(List_Predictors, INDEX(Array_PredictorsLookup,MATCH($A11,List_PredictorFacilities,0),(COLUMN()-1)/2), 1),"")</f>
        <v/>
      </c>
      <c r="L11" s="137"/>
      <c r="M11" s="58" t="str" cm="1">
        <f>IFERROR(INDEX(List_Predictors, INDEX(Array_PredictorsLookup,MATCH($A11,List_PredictorFacilities,0),(COLUMN()-1)/2), 1),"")</f>
        <v/>
      </c>
      <c r="N11" s="137"/>
      <c r="O11" s="58" t="str" cm="1">
        <f>IFERROR(INDEX(List_Predictors, INDEX(Array_PredictorsLookup,MATCH($A11,List_PredictorFacilities,0),(COLUMN()-1)/2), 1),"")</f>
        <v/>
      </c>
      <c r="P11" s="137"/>
      <c r="Q11" s="58" t="str" cm="1">
        <f>IFERROR(INDEX(List_Predictors, INDEX(Array_PredictorsLookup,MATCH($A11,List_PredictorFacilities,0),(COLUMN()-1)/2), 1),"")</f>
        <v/>
      </c>
      <c r="R11" s="137"/>
      <c r="S11" s="58" t="str" cm="1">
        <f>IFERROR(INDEX(List_Predictors, INDEX(Array_PredictorsLookup,MATCH($A11,List_PredictorFacilities,0),(COLUMN()-1)/2), 1),"")</f>
        <v/>
      </c>
      <c r="T11" s="137"/>
      <c r="U11" s="58" t="str" cm="1">
        <f>IFERROR(INDEX(List_Predictors, INDEX(Array_PredictorsLookup,MATCH($A11,List_PredictorFacilities,0),(COLUMN()-1)/2), 1),"")</f>
        <v/>
      </c>
      <c r="V11" s="137"/>
      <c r="W11" s="58" t="str" cm="1">
        <f>IFERROR(INDEX(List_Predictors, INDEX(Array_PredictorsLookup,MATCH($A11,List_PredictorFacilities,0),(COLUMN()-1)/2), 1),"")</f>
        <v/>
      </c>
      <c r="X11" s="137"/>
      <c r="Y11" s="58" t="str" cm="1">
        <f>IFERROR(INDEX(List_Predictors, INDEX(Array_PredictorsLookup,MATCH($A11,List_PredictorFacilities,0),(COLUMN()-1)/2), 1),"")</f>
        <v/>
      </c>
      <c r="Z11" s="137"/>
      <c r="AA11" s="58" t="str" cm="1">
        <f>IFERROR(INDEX(List_Predictors, INDEX(Array_PredictorsLookup,MATCH($A11,List_PredictorFacilities,0),(COLUMN()-1)/2), 1),"")</f>
        <v/>
      </c>
      <c r="AB11" s="137"/>
      <c r="AC11" s="58" t="str" cm="1">
        <f>IFERROR(INDEX(List_Predictors, INDEX(Array_PredictorsLookup,MATCH($A11,List_PredictorFacilities,0),(COLUMN()-1)/2), 1),"")</f>
        <v/>
      </c>
      <c r="AD11" s="137"/>
      <c r="AE11" s="58" t="str" cm="1">
        <f>IFERROR(INDEX(List_Predictors, INDEX(Array_PredictorsLookup,MATCH($A11,List_PredictorFacilities,0),(COLUMN()-1)/2), 1),"")</f>
        <v/>
      </c>
      <c r="AF11" s="137"/>
    </row>
    <row r="12" spans="1:32" x14ac:dyDescent="0.3">
      <c r="A12" s="126"/>
      <c r="B12" s="141"/>
      <c r="C12" s="58" t="str" cm="1">
        <f>IFERROR(INDEX(List_Predictors, INDEX(Array_PredictorsLookup,MATCH($A12,List_PredictorFacilities,0),(COLUMN()-1)/2), 1),"")</f>
        <v/>
      </c>
      <c r="D12" s="137"/>
      <c r="E12" s="58" t="str" cm="1">
        <f>IFERROR(INDEX(List_Predictors, INDEX(Array_PredictorsLookup,MATCH($A12,List_PredictorFacilities,0),(COLUMN()-1)/2), 1),"")</f>
        <v/>
      </c>
      <c r="F12" s="137"/>
      <c r="G12" s="58" t="str" cm="1">
        <f>IFERROR(INDEX(List_Predictors, INDEX(Array_PredictorsLookup,MATCH($A12,List_PredictorFacilities,0),(COLUMN()-1)/2), 1),"")</f>
        <v/>
      </c>
      <c r="H12" s="137"/>
      <c r="I12" s="58" t="str" cm="1">
        <f>IFERROR(INDEX(List_Predictors, INDEX(Array_PredictorsLookup,MATCH($A12,List_PredictorFacilities,0),(COLUMN()-1)/2), 1),"")</f>
        <v/>
      </c>
      <c r="J12" s="137"/>
      <c r="K12" s="58" t="str" cm="1">
        <f>IFERROR(INDEX(List_Predictors, INDEX(Array_PredictorsLookup,MATCH($A12,List_PredictorFacilities,0),(COLUMN()-1)/2), 1),"")</f>
        <v/>
      </c>
      <c r="L12" s="137"/>
      <c r="M12" s="58" t="str" cm="1">
        <f>IFERROR(INDEX(List_Predictors, INDEX(Array_PredictorsLookup,MATCH($A12,List_PredictorFacilities,0),(COLUMN()-1)/2), 1),"")</f>
        <v/>
      </c>
      <c r="N12" s="137"/>
      <c r="O12" s="58" t="str" cm="1">
        <f>IFERROR(INDEX(List_Predictors, INDEX(Array_PredictorsLookup,MATCH($A12,List_PredictorFacilities,0),(COLUMN()-1)/2), 1),"")</f>
        <v/>
      </c>
      <c r="P12" s="137"/>
      <c r="Q12" s="58" t="str" cm="1">
        <f>IFERROR(INDEX(List_Predictors, INDEX(Array_PredictorsLookup,MATCH($A12,List_PredictorFacilities,0),(COLUMN()-1)/2), 1),"")</f>
        <v/>
      </c>
      <c r="R12" s="137"/>
      <c r="S12" s="58" t="str" cm="1">
        <f>IFERROR(INDEX(List_Predictors, INDEX(Array_PredictorsLookup,MATCH($A12,List_PredictorFacilities,0),(COLUMN()-1)/2), 1),"")</f>
        <v/>
      </c>
      <c r="T12" s="137"/>
      <c r="U12" s="58" t="str" cm="1">
        <f>IFERROR(INDEX(List_Predictors, INDEX(Array_PredictorsLookup,MATCH($A12,List_PredictorFacilities,0),(COLUMN()-1)/2), 1),"")</f>
        <v/>
      </c>
      <c r="V12" s="137"/>
      <c r="W12" s="58" t="str" cm="1">
        <f>IFERROR(INDEX(List_Predictors, INDEX(Array_PredictorsLookup,MATCH($A12,List_PredictorFacilities,0),(COLUMN()-1)/2), 1),"")</f>
        <v/>
      </c>
      <c r="X12" s="137"/>
      <c r="Y12" s="58" t="str" cm="1">
        <f>IFERROR(INDEX(List_Predictors, INDEX(Array_PredictorsLookup,MATCH($A12,List_PredictorFacilities,0),(COLUMN()-1)/2), 1),"")</f>
        <v/>
      </c>
      <c r="Z12" s="137"/>
      <c r="AA12" s="58" t="str" cm="1">
        <f>IFERROR(INDEX(List_Predictors, INDEX(Array_PredictorsLookup,MATCH($A12,List_PredictorFacilities,0),(COLUMN()-1)/2), 1),"")</f>
        <v/>
      </c>
      <c r="AB12" s="137"/>
      <c r="AC12" s="58" t="str" cm="1">
        <f>IFERROR(INDEX(List_Predictors, INDEX(Array_PredictorsLookup,MATCH($A12,List_PredictorFacilities,0),(COLUMN()-1)/2), 1),"")</f>
        <v/>
      </c>
      <c r="AD12" s="137"/>
      <c r="AE12" s="58" t="str" cm="1">
        <f>IFERROR(INDEX(List_Predictors, INDEX(Array_PredictorsLookup,MATCH($A12,List_PredictorFacilities,0),(COLUMN()-1)/2), 1),"")</f>
        <v/>
      </c>
      <c r="AF12" s="137"/>
    </row>
    <row r="13" spans="1:32" x14ac:dyDescent="0.3">
      <c r="A13" s="126"/>
      <c r="B13" s="141"/>
      <c r="C13" s="58" t="str" cm="1">
        <f>IFERROR(INDEX(List_Predictors, INDEX(Array_PredictorsLookup,MATCH($A13,List_PredictorFacilities,0),(COLUMN()-1)/2), 1),"")</f>
        <v/>
      </c>
      <c r="D13" s="137"/>
      <c r="E13" s="58" t="str" cm="1">
        <f>IFERROR(INDEX(List_Predictors, INDEX(Array_PredictorsLookup,MATCH($A13,List_PredictorFacilities,0),(COLUMN()-1)/2), 1),"")</f>
        <v/>
      </c>
      <c r="F13" s="137"/>
      <c r="G13" s="58" t="str" cm="1">
        <f>IFERROR(INDEX(List_Predictors, INDEX(Array_PredictorsLookup,MATCH($A13,List_PredictorFacilities,0),(COLUMN()-1)/2), 1),"")</f>
        <v/>
      </c>
      <c r="H13" s="137"/>
      <c r="I13" s="58" t="str" cm="1">
        <f>IFERROR(INDEX(List_Predictors, INDEX(Array_PredictorsLookup,MATCH($A13,List_PredictorFacilities,0),(COLUMN()-1)/2), 1),"")</f>
        <v/>
      </c>
      <c r="J13" s="137"/>
      <c r="K13" s="58" t="str" cm="1">
        <f>IFERROR(INDEX(List_Predictors, INDEX(Array_PredictorsLookup,MATCH($A13,List_PredictorFacilities,0),(COLUMN()-1)/2), 1),"")</f>
        <v/>
      </c>
      <c r="L13" s="137"/>
      <c r="M13" s="58" t="str" cm="1">
        <f>IFERROR(INDEX(List_Predictors, INDEX(Array_PredictorsLookup,MATCH($A13,List_PredictorFacilities,0),(COLUMN()-1)/2), 1),"")</f>
        <v/>
      </c>
      <c r="N13" s="137"/>
      <c r="O13" s="58" t="str" cm="1">
        <f>IFERROR(INDEX(List_Predictors, INDEX(Array_PredictorsLookup,MATCH($A13,List_PredictorFacilities,0),(COLUMN()-1)/2), 1),"")</f>
        <v/>
      </c>
      <c r="P13" s="137"/>
      <c r="Q13" s="58" t="str" cm="1">
        <f>IFERROR(INDEX(List_Predictors, INDEX(Array_PredictorsLookup,MATCH($A13,List_PredictorFacilities,0),(COLUMN()-1)/2), 1),"")</f>
        <v/>
      </c>
      <c r="R13" s="137"/>
      <c r="S13" s="58" t="str" cm="1">
        <f>IFERROR(INDEX(List_Predictors, INDEX(Array_PredictorsLookup,MATCH($A13,List_PredictorFacilities,0),(COLUMN()-1)/2), 1),"")</f>
        <v/>
      </c>
      <c r="T13" s="137"/>
      <c r="U13" s="58" t="str" cm="1">
        <f>IFERROR(INDEX(List_Predictors, INDEX(Array_PredictorsLookup,MATCH($A13,List_PredictorFacilities,0),(COLUMN()-1)/2), 1),"")</f>
        <v/>
      </c>
      <c r="V13" s="137"/>
      <c r="W13" s="58" t="str" cm="1">
        <f>IFERROR(INDEX(List_Predictors, INDEX(Array_PredictorsLookup,MATCH($A13,List_PredictorFacilities,0),(COLUMN()-1)/2), 1),"")</f>
        <v/>
      </c>
      <c r="X13" s="137"/>
      <c r="Y13" s="58" t="str" cm="1">
        <f>IFERROR(INDEX(List_Predictors, INDEX(Array_PredictorsLookup,MATCH($A13,List_PredictorFacilities,0),(COLUMN()-1)/2), 1),"")</f>
        <v/>
      </c>
      <c r="Z13" s="137"/>
      <c r="AA13" s="58" t="str" cm="1">
        <f>IFERROR(INDEX(List_Predictors, INDEX(Array_PredictorsLookup,MATCH($A13,List_PredictorFacilities,0),(COLUMN()-1)/2), 1),"")</f>
        <v/>
      </c>
      <c r="AB13" s="137"/>
      <c r="AC13" s="58" t="str" cm="1">
        <f>IFERROR(INDEX(List_Predictors, INDEX(Array_PredictorsLookup,MATCH($A13,List_PredictorFacilities,0),(COLUMN()-1)/2), 1),"")</f>
        <v/>
      </c>
      <c r="AD13" s="137"/>
      <c r="AE13" s="58" t="str" cm="1">
        <f>IFERROR(INDEX(List_Predictors, INDEX(Array_PredictorsLookup,MATCH($A13,List_PredictorFacilities,0),(COLUMN()-1)/2), 1),"")</f>
        <v/>
      </c>
      <c r="AF13" s="137"/>
    </row>
    <row r="14" spans="1:32" x14ac:dyDescent="0.3">
      <c r="A14" s="126"/>
      <c r="B14" s="141"/>
      <c r="C14" s="58" t="str" cm="1">
        <f>IFERROR(INDEX(List_Predictors, INDEX(Array_PredictorsLookup,MATCH($A14,List_PredictorFacilities,0),(COLUMN()-1)/2), 1),"")</f>
        <v/>
      </c>
      <c r="D14" s="137"/>
      <c r="E14" s="58" t="str" cm="1">
        <f>IFERROR(INDEX(List_Predictors, INDEX(Array_PredictorsLookup,MATCH($A14,List_PredictorFacilities,0),(COLUMN()-1)/2), 1),"")</f>
        <v/>
      </c>
      <c r="F14" s="137"/>
      <c r="G14" s="58" t="str" cm="1">
        <f>IFERROR(INDEX(List_Predictors, INDEX(Array_PredictorsLookup,MATCH($A14,List_PredictorFacilities,0),(COLUMN()-1)/2), 1),"")</f>
        <v/>
      </c>
      <c r="H14" s="137"/>
      <c r="I14" s="58" t="str" cm="1">
        <f>IFERROR(INDEX(List_Predictors, INDEX(Array_PredictorsLookup,MATCH($A14,List_PredictorFacilities,0),(COLUMN()-1)/2), 1),"")</f>
        <v/>
      </c>
      <c r="J14" s="137"/>
      <c r="K14" s="58" t="str" cm="1">
        <f>IFERROR(INDEX(List_Predictors, INDEX(Array_PredictorsLookup,MATCH($A14,List_PredictorFacilities,0),(COLUMN()-1)/2), 1),"")</f>
        <v/>
      </c>
      <c r="L14" s="137"/>
      <c r="M14" s="58" t="str" cm="1">
        <f>IFERROR(INDEX(List_Predictors, INDEX(Array_PredictorsLookup,MATCH($A14,List_PredictorFacilities,0),(COLUMN()-1)/2), 1),"")</f>
        <v/>
      </c>
      <c r="N14" s="137"/>
      <c r="O14" s="58" t="str" cm="1">
        <f>IFERROR(INDEX(List_Predictors, INDEX(Array_PredictorsLookup,MATCH($A14,List_PredictorFacilities,0),(COLUMN()-1)/2), 1),"")</f>
        <v/>
      </c>
      <c r="P14" s="137"/>
      <c r="Q14" s="58" t="str" cm="1">
        <f>IFERROR(INDEX(List_Predictors, INDEX(Array_PredictorsLookup,MATCH($A14,List_PredictorFacilities,0),(COLUMN()-1)/2), 1),"")</f>
        <v/>
      </c>
      <c r="R14" s="137"/>
      <c r="S14" s="58" t="str" cm="1">
        <f>IFERROR(INDEX(List_Predictors, INDEX(Array_PredictorsLookup,MATCH($A14,List_PredictorFacilities,0),(COLUMN()-1)/2), 1),"")</f>
        <v/>
      </c>
      <c r="T14" s="137"/>
      <c r="U14" s="58" t="str" cm="1">
        <f>IFERROR(INDEX(List_Predictors, INDEX(Array_PredictorsLookup,MATCH($A14,List_PredictorFacilities,0),(COLUMN()-1)/2), 1),"")</f>
        <v/>
      </c>
      <c r="V14" s="137"/>
      <c r="W14" s="58" t="str" cm="1">
        <f>IFERROR(INDEX(List_Predictors, INDEX(Array_PredictorsLookup,MATCH($A14,List_PredictorFacilities,0),(COLUMN()-1)/2), 1),"")</f>
        <v/>
      </c>
      <c r="X14" s="137"/>
      <c r="Y14" s="58" t="str" cm="1">
        <f>IFERROR(INDEX(List_Predictors, INDEX(Array_PredictorsLookup,MATCH($A14,List_PredictorFacilities,0),(COLUMN()-1)/2), 1),"")</f>
        <v/>
      </c>
      <c r="Z14" s="137"/>
      <c r="AA14" s="58" t="str" cm="1">
        <f>IFERROR(INDEX(List_Predictors, INDEX(Array_PredictorsLookup,MATCH($A14,List_PredictorFacilities,0),(COLUMN()-1)/2), 1),"")</f>
        <v/>
      </c>
      <c r="AB14" s="137"/>
      <c r="AC14" s="58" t="str" cm="1">
        <f>IFERROR(INDEX(List_Predictors, INDEX(Array_PredictorsLookup,MATCH($A14,List_PredictorFacilities,0),(COLUMN()-1)/2), 1),"")</f>
        <v/>
      </c>
      <c r="AD14" s="137"/>
      <c r="AE14" s="58" t="str" cm="1">
        <f>IFERROR(INDEX(List_Predictors, INDEX(Array_PredictorsLookup,MATCH($A14,List_PredictorFacilities,0),(COLUMN()-1)/2), 1),"")</f>
        <v/>
      </c>
      <c r="AF14" s="137"/>
    </row>
    <row r="15" spans="1:32" x14ac:dyDescent="0.3">
      <c r="A15" s="126"/>
      <c r="B15" s="141"/>
      <c r="C15" s="58" t="str" cm="1">
        <f>IFERROR(INDEX(List_Predictors, INDEX(Array_PredictorsLookup,MATCH($A15,List_PredictorFacilities,0),(COLUMN()-1)/2), 1),"")</f>
        <v/>
      </c>
      <c r="D15" s="137"/>
      <c r="E15" s="58" t="str" cm="1">
        <f>IFERROR(INDEX(List_Predictors, INDEX(Array_PredictorsLookup,MATCH($A15,List_PredictorFacilities,0),(COLUMN()-1)/2), 1),"")</f>
        <v/>
      </c>
      <c r="F15" s="137"/>
      <c r="G15" s="58" t="str" cm="1">
        <f>IFERROR(INDEX(List_Predictors, INDEX(Array_PredictorsLookup,MATCH($A15,List_PredictorFacilities,0),(COLUMN()-1)/2), 1),"")</f>
        <v/>
      </c>
      <c r="H15" s="137"/>
      <c r="I15" s="58" t="str" cm="1">
        <f>IFERROR(INDEX(List_Predictors, INDEX(Array_PredictorsLookup,MATCH($A15,List_PredictorFacilities,0),(COLUMN()-1)/2), 1),"")</f>
        <v/>
      </c>
      <c r="J15" s="137"/>
      <c r="K15" s="58" t="str" cm="1">
        <f>IFERROR(INDEX(List_Predictors, INDEX(Array_PredictorsLookup,MATCH($A15,List_PredictorFacilities,0),(COLUMN()-1)/2), 1),"")</f>
        <v/>
      </c>
      <c r="L15" s="137"/>
      <c r="M15" s="58" t="str" cm="1">
        <f>IFERROR(INDEX(List_Predictors, INDEX(Array_PredictorsLookup,MATCH($A15,List_PredictorFacilities,0),(COLUMN()-1)/2), 1),"")</f>
        <v/>
      </c>
      <c r="N15" s="137"/>
      <c r="O15" s="58" t="str" cm="1">
        <f>IFERROR(INDEX(List_Predictors, INDEX(Array_PredictorsLookup,MATCH($A15,List_PredictorFacilities,0),(COLUMN()-1)/2), 1),"")</f>
        <v/>
      </c>
      <c r="P15" s="137"/>
      <c r="Q15" s="58" t="str" cm="1">
        <f>IFERROR(INDEX(List_Predictors, INDEX(Array_PredictorsLookup,MATCH($A15,List_PredictorFacilities,0),(COLUMN()-1)/2), 1),"")</f>
        <v/>
      </c>
      <c r="R15" s="137"/>
      <c r="S15" s="58" t="str" cm="1">
        <f>IFERROR(INDEX(List_Predictors, INDEX(Array_PredictorsLookup,MATCH($A15,List_PredictorFacilities,0),(COLUMN()-1)/2), 1),"")</f>
        <v/>
      </c>
      <c r="T15" s="137"/>
      <c r="U15" s="58" t="str" cm="1">
        <f>IFERROR(INDEX(List_Predictors, INDEX(Array_PredictorsLookup,MATCH($A15,List_PredictorFacilities,0),(COLUMN()-1)/2), 1),"")</f>
        <v/>
      </c>
      <c r="V15" s="137"/>
      <c r="W15" s="58" t="str" cm="1">
        <f>IFERROR(INDEX(List_Predictors, INDEX(Array_PredictorsLookup,MATCH($A15,List_PredictorFacilities,0),(COLUMN()-1)/2), 1),"")</f>
        <v/>
      </c>
      <c r="X15" s="137"/>
      <c r="Y15" s="58" t="str" cm="1">
        <f>IFERROR(INDEX(List_Predictors, INDEX(Array_PredictorsLookup,MATCH($A15,List_PredictorFacilities,0),(COLUMN()-1)/2), 1),"")</f>
        <v/>
      </c>
      <c r="Z15" s="137"/>
      <c r="AA15" s="58" t="str" cm="1">
        <f>IFERROR(INDEX(List_Predictors, INDEX(Array_PredictorsLookup,MATCH($A15,List_PredictorFacilities,0),(COLUMN()-1)/2), 1),"")</f>
        <v/>
      </c>
      <c r="AB15" s="137"/>
      <c r="AC15" s="58" t="str" cm="1">
        <f>IFERROR(INDEX(List_Predictors, INDEX(Array_PredictorsLookup,MATCH($A15,List_PredictorFacilities,0),(COLUMN()-1)/2), 1),"")</f>
        <v/>
      </c>
      <c r="AD15" s="137"/>
      <c r="AE15" s="58" t="str" cm="1">
        <f>IFERROR(INDEX(List_Predictors, INDEX(Array_PredictorsLookup,MATCH($A15,List_PredictorFacilities,0),(COLUMN()-1)/2), 1),"")</f>
        <v/>
      </c>
      <c r="AF15" s="137"/>
    </row>
    <row r="16" spans="1:32" x14ac:dyDescent="0.3">
      <c r="A16" s="126"/>
      <c r="B16" s="141"/>
      <c r="C16" s="58" t="str" cm="1">
        <f>IFERROR(INDEX(List_Predictors, INDEX(Array_PredictorsLookup,MATCH($A16,List_PredictorFacilities,0),(COLUMN()-1)/2), 1),"")</f>
        <v/>
      </c>
      <c r="D16" s="137"/>
      <c r="E16" s="58" t="str" cm="1">
        <f>IFERROR(INDEX(List_Predictors, INDEX(Array_PredictorsLookup,MATCH($A16,List_PredictorFacilities,0),(COLUMN()-1)/2), 1),"")</f>
        <v/>
      </c>
      <c r="F16" s="137"/>
      <c r="G16" s="58" t="str" cm="1">
        <f>IFERROR(INDEX(List_Predictors, INDEX(Array_PredictorsLookup,MATCH($A16,List_PredictorFacilities,0),(COLUMN()-1)/2), 1),"")</f>
        <v/>
      </c>
      <c r="H16" s="137"/>
      <c r="I16" s="58" t="str" cm="1">
        <f>IFERROR(INDEX(List_Predictors, INDEX(Array_PredictorsLookup,MATCH($A16,List_PredictorFacilities,0),(COLUMN()-1)/2), 1),"")</f>
        <v/>
      </c>
      <c r="J16" s="137"/>
      <c r="K16" s="58" t="str" cm="1">
        <f>IFERROR(INDEX(List_Predictors, INDEX(Array_PredictorsLookup,MATCH($A16,List_PredictorFacilities,0),(COLUMN()-1)/2), 1),"")</f>
        <v/>
      </c>
      <c r="L16" s="137"/>
      <c r="M16" s="58" t="str" cm="1">
        <f>IFERROR(INDEX(List_Predictors, INDEX(Array_PredictorsLookup,MATCH($A16,List_PredictorFacilities,0),(COLUMN()-1)/2), 1),"")</f>
        <v/>
      </c>
      <c r="N16" s="137"/>
      <c r="O16" s="58" t="str" cm="1">
        <f>IFERROR(INDEX(List_Predictors, INDEX(Array_PredictorsLookup,MATCH($A16,List_PredictorFacilities,0),(COLUMN()-1)/2), 1),"")</f>
        <v/>
      </c>
      <c r="P16" s="137"/>
      <c r="Q16" s="58" t="str" cm="1">
        <f>IFERROR(INDEX(List_Predictors, INDEX(Array_PredictorsLookup,MATCH($A16,List_PredictorFacilities,0),(COLUMN()-1)/2), 1),"")</f>
        <v/>
      </c>
      <c r="R16" s="137"/>
      <c r="S16" s="58" t="str" cm="1">
        <f>IFERROR(INDEX(List_Predictors, INDEX(Array_PredictorsLookup,MATCH($A16,List_PredictorFacilities,0),(COLUMN()-1)/2), 1),"")</f>
        <v/>
      </c>
      <c r="T16" s="137"/>
      <c r="U16" s="58" t="str" cm="1">
        <f>IFERROR(INDEX(List_Predictors, INDEX(Array_PredictorsLookup,MATCH($A16,List_PredictorFacilities,0),(COLUMN()-1)/2), 1),"")</f>
        <v/>
      </c>
      <c r="V16" s="137"/>
      <c r="W16" s="58" t="str" cm="1">
        <f>IFERROR(INDEX(List_Predictors, INDEX(Array_PredictorsLookup,MATCH($A16,List_PredictorFacilities,0),(COLUMN()-1)/2), 1),"")</f>
        <v/>
      </c>
      <c r="X16" s="137"/>
      <c r="Y16" s="58" t="str" cm="1">
        <f>IFERROR(INDEX(List_Predictors, INDEX(Array_PredictorsLookup,MATCH($A16,List_PredictorFacilities,0),(COLUMN()-1)/2), 1),"")</f>
        <v/>
      </c>
      <c r="Z16" s="137"/>
      <c r="AA16" s="58" t="str" cm="1">
        <f>IFERROR(INDEX(List_Predictors, INDEX(Array_PredictorsLookup,MATCH($A16,List_PredictorFacilities,0),(COLUMN()-1)/2), 1),"")</f>
        <v/>
      </c>
      <c r="AB16" s="137"/>
      <c r="AC16" s="58" t="str" cm="1">
        <f>IFERROR(INDEX(List_Predictors, INDEX(Array_PredictorsLookup,MATCH($A16,List_PredictorFacilities,0),(COLUMN()-1)/2), 1),"")</f>
        <v/>
      </c>
      <c r="AD16" s="137"/>
      <c r="AE16" s="58" t="str" cm="1">
        <f>IFERROR(INDEX(List_Predictors, INDEX(Array_PredictorsLookup,MATCH($A16,List_PredictorFacilities,0),(COLUMN()-1)/2), 1),"")</f>
        <v/>
      </c>
      <c r="AF16" s="137"/>
    </row>
    <row r="17" spans="1:32" x14ac:dyDescent="0.3">
      <c r="A17" s="126"/>
      <c r="B17" s="141"/>
      <c r="C17" s="58" t="str" cm="1">
        <f>IFERROR(INDEX(List_Predictors, INDEX(Array_PredictorsLookup,MATCH($A17,List_PredictorFacilities,0),(COLUMN()-1)/2), 1),"")</f>
        <v/>
      </c>
      <c r="D17" s="137"/>
      <c r="E17" s="58" t="str" cm="1">
        <f>IFERROR(INDEX(List_Predictors, INDEX(Array_PredictorsLookup,MATCH($A17,List_PredictorFacilities,0),(COLUMN()-1)/2), 1),"")</f>
        <v/>
      </c>
      <c r="F17" s="137"/>
      <c r="G17" s="58" t="str" cm="1">
        <f>IFERROR(INDEX(List_Predictors, INDEX(Array_PredictorsLookup,MATCH($A17,List_PredictorFacilities,0),(COLUMN()-1)/2), 1),"")</f>
        <v/>
      </c>
      <c r="H17" s="137"/>
      <c r="I17" s="58" t="str" cm="1">
        <f>IFERROR(INDEX(List_Predictors, INDEX(Array_PredictorsLookup,MATCH($A17,List_PredictorFacilities,0),(COLUMN()-1)/2), 1),"")</f>
        <v/>
      </c>
      <c r="J17" s="137"/>
      <c r="K17" s="58" t="str" cm="1">
        <f>IFERROR(INDEX(List_Predictors, INDEX(Array_PredictorsLookup,MATCH($A17,List_PredictorFacilities,0),(COLUMN()-1)/2), 1),"")</f>
        <v/>
      </c>
      <c r="L17" s="137"/>
      <c r="M17" s="58" t="str" cm="1">
        <f>IFERROR(INDEX(List_Predictors, INDEX(Array_PredictorsLookup,MATCH($A17,List_PredictorFacilities,0),(COLUMN()-1)/2), 1),"")</f>
        <v/>
      </c>
      <c r="N17" s="137"/>
      <c r="O17" s="58" t="str" cm="1">
        <f>IFERROR(INDEX(List_Predictors, INDEX(Array_PredictorsLookup,MATCH($A17,List_PredictorFacilities,0),(COLUMN()-1)/2), 1),"")</f>
        <v/>
      </c>
      <c r="P17" s="137"/>
      <c r="Q17" s="58" t="str" cm="1">
        <f>IFERROR(INDEX(List_Predictors, INDEX(Array_PredictorsLookup,MATCH($A17,List_PredictorFacilities,0),(COLUMN()-1)/2), 1),"")</f>
        <v/>
      </c>
      <c r="R17" s="137"/>
      <c r="S17" s="58" t="str" cm="1">
        <f>IFERROR(INDEX(List_Predictors, INDEX(Array_PredictorsLookup,MATCH($A17,List_PredictorFacilities,0),(COLUMN()-1)/2), 1),"")</f>
        <v/>
      </c>
      <c r="T17" s="137"/>
      <c r="U17" s="58" t="str" cm="1">
        <f>IFERROR(INDEX(List_Predictors, INDEX(Array_PredictorsLookup,MATCH($A17,List_PredictorFacilities,0),(COLUMN()-1)/2), 1),"")</f>
        <v/>
      </c>
      <c r="V17" s="137"/>
      <c r="W17" s="58" t="str" cm="1">
        <f>IFERROR(INDEX(List_Predictors, INDEX(Array_PredictorsLookup,MATCH($A17,List_PredictorFacilities,0),(COLUMN()-1)/2), 1),"")</f>
        <v/>
      </c>
      <c r="X17" s="137"/>
      <c r="Y17" s="58" t="str" cm="1">
        <f>IFERROR(INDEX(List_Predictors, INDEX(Array_PredictorsLookup,MATCH($A17,List_PredictorFacilities,0),(COLUMN()-1)/2), 1),"")</f>
        <v/>
      </c>
      <c r="Z17" s="137"/>
      <c r="AA17" s="58" t="str" cm="1">
        <f>IFERROR(INDEX(List_Predictors, INDEX(Array_PredictorsLookup,MATCH($A17,List_PredictorFacilities,0),(COLUMN()-1)/2), 1),"")</f>
        <v/>
      </c>
      <c r="AB17" s="137"/>
      <c r="AC17" s="58" t="str" cm="1">
        <f>IFERROR(INDEX(List_Predictors, INDEX(Array_PredictorsLookup,MATCH($A17,List_PredictorFacilities,0),(COLUMN()-1)/2), 1),"")</f>
        <v/>
      </c>
      <c r="AD17" s="137"/>
      <c r="AE17" s="58" t="str" cm="1">
        <f>IFERROR(INDEX(List_Predictors, INDEX(Array_PredictorsLookup,MATCH($A17,List_PredictorFacilities,0),(COLUMN()-1)/2), 1),"")</f>
        <v/>
      </c>
      <c r="AF17" s="137"/>
    </row>
    <row r="18" spans="1:32" x14ac:dyDescent="0.3">
      <c r="A18" s="126"/>
      <c r="B18" s="141"/>
      <c r="C18" s="58" t="str" cm="1">
        <f>IFERROR(INDEX(List_Predictors, INDEX(Array_PredictorsLookup,MATCH($A18,List_PredictorFacilities,0),(COLUMN()-1)/2), 1),"")</f>
        <v/>
      </c>
      <c r="D18" s="137"/>
      <c r="E18" s="58" t="str" cm="1">
        <f>IFERROR(INDEX(List_Predictors, INDEX(Array_PredictorsLookup,MATCH($A18,List_PredictorFacilities,0),(COLUMN()-1)/2), 1),"")</f>
        <v/>
      </c>
      <c r="F18" s="137"/>
      <c r="G18" s="58" t="str" cm="1">
        <f>IFERROR(INDEX(List_Predictors, INDEX(Array_PredictorsLookup,MATCH($A18,List_PredictorFacilities,0),(COLUMN()-1)/2), 1),"")</f>
        <v/>
      </c>
      <c r="H18" s="137"/>
      <c r="I18" s="58" t="str" cm="1">
        <f>IFERROR(INDEX(List_Predictors, INDEX(Array_PredictorsLookup,MATCH($A18,List_PredictorFacilities,0),(COLUMN()-1)/2), 1),"")</f>
        <v/>
      </c>
      <c r="J18" s="137"/>
      <c r="K18" s="58" t="str" cm="1">
        <f>IFERROR(INDEX(List_Predictors, INDEX(Array_PredictorsLookup,MATCH($A18,List_PredictorFacilities,0),(COLUMN()-1)/2), 1),"")</f>
        <v/>
      </c>
      <c r="L18" s="137"/>
      <c r="M18" s="58" t="str" cm="1">
        <f>IFERROR(INDEX(List_Predictors, INDEX(Array_PredictorsLookup,MATCH($A18,List_PredictorFacilities,0),(COLUMN()-1)/2), 1),"")</f>
        <v/>
      </c>
      <c r="N18" s="137"/>
      <c r="O18" s="58" t="str" cm="1">
        <f>IFERROR(INDEX(List_Predictors, INDEX(Array_PredictorsLookup,MATCH($A18,List_PredictorFacilities,0),(COLUMN()-1)/2), 1),"")</f>
        <v/>
      </c>
      <c r="P18" s="137"/>
      <c r="Q18" s="58" t="str" cm="1">
        <f>IFERROR(INDEX(List_Predictors, INDEX(Array_PredictorsLookup,MATCH($A18,List_PredictorFacilities,0),(COLUMN()-1)/2), 1),"")</f>
        <v/>
      </c>
      <c r="R18" s="137"/>
      <c r="S18" s="58" t="str" cm="1">
        <f>IFERROR(INDEX(List_Predictors, INDEX(Array_PredictorsLookup,MATCH($A18,List_PredictorFacilities,0),(COLUMN()-1)/2), 1),"")</f>
        <v/>
      </c>
      <c r="T18" s="137"/>
      <c r="U18" s="58" t="str" cm="1">
        <f>IFERROR(INDEX(List_Predictors, INDEX(Array_PredictorsLookup,MATCH($A18,List_PredictorFacilities,0),(COLUMN()-1)/2), 1),"")</f>
        <v/>
      </c>
      <c r="V18" s="137"/>
      <c r="W18" s="58" t="str" cm="1">
        <f>IFERROR(INDEX(List_Predictors, INDEX(Array_PredictorsLookup,MATCH($A18,List_PredictorFacilities,0),(COLUMN()-1)/2), 1),"")</f>
        <v/>
      </c>
      <c r="X18" s="137"/>
      <c r="Y18" s="58" t="str" cm="1">
        <f>IFERROR(INDEX(List_Predictors, INDEX(Array_PredictorsLookup,MATCH($A18,List_PredictorFacilities,0),(COLUMN()-1)/2), 1),"")</f>
        <v/>
      </c>
      <c r="Z18" s="137"/>
      <c r="AA18" s="58" t="str" cm="1">
        <f>IFERROR(INDEX(List_Predictors, INDEX(Array_PredictorsLookup,MATCH($A18,List_PredictorFacilities,0),(COLUMN()-1)/2), 1),"")</f>
        <v/>
      </c>
      <c r="AB18" s="137"/>
      <c r="AC18" s="58" t="str" cm="1">
        <f>IFERROR(INDEX(List_Predictors, INDEX(Array_PredictorsLookup,MATCH($A18,List_PredictorFacilities,0),(COLUMN()-1)/2), 1),"")</f>
        <v/>
      </c>
      <c r="AD18" s="137"/>
      <c r="AE18" s="58" t="str" cm="1">
        <f>IFERROR(INDEX(List_Predictors, INDEX(Array_PredictorsLookup,MATCH($A18,List_PredictorFacilities,0),(COLUMN()-1)/2), 1),"")</f>
        <v/>
      </c>
      <c r="AF18" s="137"/>
    </row>
    <row r="19" spans="1:32" x14ac:dyDescent="0.3">
      <c r="A19" s="126"/>
      <c r="B19" s="141"/>
      <c r="C19" s="58" t="str" cm="1">
        <f>IFERROR(INDEX(List_Predictors, INDEX(Array_PredictorsLookup,MATCH($A19,List_PredictorFacilities,0),(COLUMN()-1)/2), 1),"")</f>
        <v/>
      </c>
      <c r="D19" s="137"/>
      <c r="E19" s="58" t="str" cm="1">
        <f>IFERROR(INDEX(List_Predictors, INDEX(Array_PredictorsLookup,MATCH($A19,List_PredictorFacilities,0),(COLUMN()-1)/2), 1),"")</f>
        <v/>
      </c>
      <c r="F19" s="137"/>
      <c r="G19" s="58" t="str" cm="1">
        <f>IFERROR(INDEX(List_Predictors, INDEX(Array_PredictorsLookup,MATCH($A19,List_PredictorFacilities,0),(COLUMN()-1)/2), 1),"")</f>
        <v/>
      </c>
      <c r="H19" s="137"/>
      <c r="I19" s="58" t="str" cm="1">
        <f>IFERROR(INDEX(List_Predictors, INDEX(Array_PredictorsLookup,MATCH($A19,List_PredictorFacilities,0),(COLUMN()-1)/2), 1),"")</f>
        <v/>
      </c>
      <c r="J19" s="137"/>
      <c r="K19" s="58" t="str" cm="1">
        <f>IFERROR(INDEX(List_Predictors, INDEX(Array_PredictorsLookup,MATCH($A19,List_PredictorFacilities,0),(COLUMN()-1)/2), 1),"")</f>
        <v/>
      </c>
      <c r="L19" s="137"/>
      <c r="M19" s="58" t="str" cm="1">
        <f>IFERROR(INDEX(List_Predictors, INDEX(Array_PredictorsLookup,MATCH($A19,List_PredictorFacilities,0),(COLUMN()-1)/2), 1),"")</f>
        <v/>
      </c>
      <c r="N19" s="137"/>
      <c r="O19" s="58" t="str" cm="1">
        <f>IFERROR(INDEX(List_Predictors, INDEX(Array_PredictorsLookup,MATCH($A19,List_PredictorFacilities,0),(COLUMN()-1)/2), 1),"")</f>
        <v/>
      </c>
      <c r="P19" s="137"/>
      <c r="Q19" s="58" t="str" cm="1">
        <f>IFERROR(INDEX(List_Predictors, INDEX(Array_PredictorsLookup,MATCH($A19,List_PredictorFacilities,0),(COLUMN()-1)/2), 1),"")</f>
        <v/>
      </c>
      <c r="R19" s="137"/>
      <c r="S19" s="58" t="str" cm="1">
        <f>IFERROR(INDEX(List_Predictors, INDEX(Array_PredictorsLookup,MATCH($A19,List_PredictorFacilities,0),(COLUMN()-1)/2), 1),"")</f>
        <v/>
      </c>
      <c r="T19" s="137"/>
      <c r="U19" s="58" t="str" cm="1">
        <f>IFERROR(INDEX(List_Predictors, INDEX(Array_PredictorsLookup,MATCH($A19,List_PredictorFacilities,0),(COLUMN()-1)/2), 1),"")</f>
        <v/>
      </c>
      <c r="V19" s="137"/>
      <c r="W19" s="58" t="str" cm="1">
        <f>IFERROR(INDEX(List_Predictors, INDEX(Array_PredictorsLookup,MATCH($A19,List_PredictorFacilities,0),(COLUMN()-1)/2), 1),"")</f>
        <v/>
      </c>
      <c r="X19" s="137"/>
      <c r="Y19" s="58" t="str" cm="1">
        <f>IFERROR(INDEX(List_Predictors, INDEX(Array_PredictorsLookup,MATCH($A19,List_PredictorFacilities,0),(COLUMN()-1)/2), 1),"")</f>
        <v/>
      </c>
      <c r="Z19" s="137"/>
      <c r="AA19" s="58" t="str" cm="1">
        <f>IFERROR(INDEX(List_Predictors, INDEX(Array_PredictorsLookup,MATCH($A19,List_PredictorFacilities,0),(COLUMN()-1)/2), 1),"")</f>
        <v/>
      </c>
      <c r="AB19" s="137"/>
      <c r="AC19" s="58" t="str" cm="1">
        <f>IFERROR(INDEX(List_Predictors, INDEX(Array_PredictorsLookup,MATCH($A19,List_PredictorFacilities,0),(COLUMN()-1)/2), 1),"")</f>
        <v/>
      </c>
      <c r="AD19" s="137"/>
      <c r="AE19" s="58" t="str" cm="1">
        <f>IFERROR(INDEX(List_Predictors, INDEX(Array_PredictorsLookup,MATCH($A19,List_PredictorFacilities,0),(COLUMN()-1)/2), 1),"")</f>
        <v/>
      </c>
      <c r="AF19" s="137"/>
    </row>
    <row r="20" spans="1:32" x14ac:dyDescent="0.3">
      <c r="A20" s="126"/>
      <c r="B20" s="141"/>
      <c r="C20" s="58" t="str" cm="1">
        <f>IFERROR(INDEX(List_Predictors, INDEX(Array_PredictorsLookup,MATCH($A20,List_PredictorFacilities,0),(COLUMN()-1)/2), 1),"")</f>
        <v/>
      </c>
      <c r="D20" s="137"/>
      <c r="E20" s="58" t="str" cm="1">
        <f>IFERROR(INDEX(List_Predictors, INDEX(Array_PredictorsLookup,MATCH($A20,List_PredictorFacilities,0),(COLUMN()-1)/2), 1),"")</f>
        <v/>
      </c>
      <c r="F20" s="137"/>
      <c r="G20" s="58" t="str" cm="1">
        <f>IFERROR(INDEX(List_Predictors, INDEX(Array_PredictorsLookup,MATCH($A20,List_PredictorFacilities,0),(COLUMN()-1)/2), 1),"")</f>
        <v/>
      </c>
      <c r="H20" s="137"/>
      <c r="I20" s="58" t="str" cm="1">
        <f>IFERROR(INDEX(List_Predictors, INDEX(Array_PredictorsLookup,MATCH($A20,List_PredictorFacilities,0),(COLUMN()-1)/2), 1),"")</f>
        <v/>
      </c>
      <c r="J20" s="137"/>
      <c r="K20" s="58" t="str" cm="1">
        <f>IFERROR(INDEX(List_Predictors, INDEX(Array_PredictorsLookup,MATCH($A20,List_PredictorFacilities,0),(COLUMN()-1)/2), 1),"")</f>
        <v/>
      </c>
      <c r="L20" s="137"/>
      <c r="M20" s="58" t="str" cm="1">
        <f>IFERROR(INDEX(List_Predictors, INDEX(Array_PredictorsLookup,MATCH($A20,List_PredictorFacilities,0),(COLUMN()-1)/2), 1),"")</f>
        <v/>
      </c>
      <c r="N20" s="137"/>
      <c r="O20" s="58" t="str" cm="1">
        <f>IFERROR(INDEX(List_Predictors, INDEX(Array_PredictorsLookup,MATCH($A20,List_PredictorFacilities,0),(COLUMN()-1)/2), 1),"")</f>
        <v/>
      </c>
      <c r="P20" s="137"/>
      <c r="Q20" s="58" t="str" cm="1">
        <f>IFERROR(INDEX(List_Predictors, INDEX(Array_PredictorsLookup,MATCH($A20,List_PredictorFacilities,0),(COLUMN()-1)/2), 1),"")</f>
        <v/>
      </c>
      <c r="R20" s="137"/>
      <c r="S20" s="58" t="str" cm="1">
        <f>IFERROR(INDEX(List_Predictors, INDEX(Array_PredictorsLookup,MATCH($A20,List_PredictorFacilities,0),(COLUMN()-1)/2), 1),"")</f>
        <v/>
      </c>
      <c r="T20" s="137"/>
      <c r="U20" s="58" t="str" cm="1">
        <f>IFERROR(INDEX(List_Predictors, INDEX(Array_PredictorsLookup,MATCH($A20,List_PredictorFacilities,0),(COLUMN()-1)/2), 1),"")</f>
        <v/>
      </c>
      <c r="V20" s="137"/>
      <c r="W20" s="58" t="str" cm="1">
        <f>IFERROR(INDEX(List_Predictors, INDEX(Array_PredictorsLookup,MATCH($A20,List_PredictorFacilities,0),(COLUMN()-1)/2), 1),"")</f>
        <v/>
      </c>
      <c r="X20" s="137"/>
      <c r="Y20" s="58" t="str" cm="1">
        <f>IFERROR(INDEX(List_Predictors, INDEX(Array_PredictorsLookup,MATCH($A20,List_PredictorFacilities,0),(COLUMN()-1)/2), 1),"")</f>
        <v/>
      </c>
      <c r="Z20" s="137"/>
      <c r="AA20" s="58" t="str" cm="1">
        <f>IFERROR(INDEX(List_Predictors, INDEX(Array_PredictorsLookup,MATCH($A20,List_PredictorFacilities,0),(COLUMN()-1)/2), 1),"")</f>
        <v/>
      </c>
      <c r="AB20" s="137"/>
      <c r="AC20" s="58" t="str" cm="1">
        <f>IFERROR(INDEX(List_Predictors, INDEX(Array_PredictorsLookup,MATCH($A20,List_PredictorFacilities,0),(COLUMN()-1)/2), 1),"")</f>
        <v/>
      </c>
      <c r="AD20" s="137"/>
      <c r="AE20" s="58" t="str" cm="1">
        <f>IFERROR(INDEX(List_Predictors, INDEX(Array_PredictorsLookup,MATCH($A20,List_PredictorFacilities,0),(COLUMN()-1)/2), 1),"")</f>
        <v/>
      </c>
      <c r="AF20" s="137"/>
    </row>
    <row r="21" spans="1:32" x14ac:dyDescent="0.3">
      <c r="A21" s="126"/>
      <c r="B21" s="141"/>
      <c r="C21" s="58" t="str" cm="1">
        <f>IFERROR(INDEX(List_Predictors, INDEX(Array_PredictorsLookup,MATCH($A21,List_PredictorFacilities,0),(COLUMN()-1)/2), 1),"")</f>
        <v/>
      </c>
      <c r="D21" s="137"/>
      <c r="E21" s="58" t="str" cm="1">
        <f>IFERROR(INDEX(List_Predictors, INDEX(Array_PredictorsLookup,MATCH($A21,List_PredictorFacilities,0),(COLUMN()-1)/2), 1),"")</f>
        <v/>
      </c>
      <c r="F21" s="137"/>
      <c r="G21" s="58" t="str" cm="1">
        <f>IFERROR(INDEX(List_Predictors, INDEX(Array_PredictorsLookup,MATCH($A21,List_PredictorFacilities,0),(COLUMN()-1)/2), 1),"")</f>
        <v/>
      </c>
      <c r="H21" s="137"/>
      <c r="I21" s="58" t="str" cm="1">
        <f>IFERROR(INDEX(List_Predictors, INDEX(Array_PredictorsLookup,MATCH($A21,List_PredictorFacilities,0),(COLUMN()-1)/2), 1),"")</f>
        <v/>
      </c>
      <c r="J21" s="137"/>
      <c r="K21" s="58" t="str" cm="1">
        <f>IFERROR(INDEX(List_Predictors, INDEX(Array_PredictorsLookup,MATCH($A21,List_PredictorFacilities,0),(COLUMN()-1)/2), 1),"")</f>
        <v/>
      </c>
      <c r="L21" s="137"/>
      <c r="M21" s="58" t="str" cm="1">
        <f>IFERROR(INDEX(List_Predictors, INDEX(Array_PredictorsLookup,MATCH($A21,List_PredictorFacilities,0),(COLUMN()-1)/2), 1),"")</f>
        <v/>
      </c>
      <c r="N21" s="137"/>
      <c r="O21" s="58" t="str" cm="1">
        <f>IFERROR(INDEX(List_Predictors, INDEX(Array_PredictorsLookup,MATCH($A21,List_PredictorFacilities,0),(COLUMN()-1)/2), 1),"")</f>
        <v/>
      </c>
      <c r="P21" s="137"/>
      <c r="Q21" s="58" t="str" cm="1">
        <f>IFERROR(INDEX(List_Predictors, INDEX(Array_PredictorsLookup,MATCH($A21,List_PredictorFacilities,0),(COLUMN()-1)/2), 1),"")</f>
        <v/>
      </c>
      <c r="R21" s="137"/>
      <c r="S21" s="58" t="str" cm="1">
        <f>IFERROR(INDEX(List_Predictors, INDEX(Array_PredictorsLookup,MATCH($A21,List_PredictorFacilities,0),(COLUMN()-1)/2), 1),"")</f>
        <v/>
      </c>
      <c r="T21" s="137"/>
      <c r="U21" s="58" t="str" cm="1">
        <f>IFERROR(INDEX(List_Predictors, INDEX(Array_PredictorsLookup,MATCH($A21,List_PredictorFacilities,0),(COLUMN()-1)/2), 1),"")</f>
        <v/>
      </c>
      <c r="V21" s="137"/>
      <c r="W21" s="58" t="str" cm="1">
        <f>IFERROR(INDEX(List_Predictors, INDEX(Array_PredictorsLookup,MATCH($A21,List_PredictorFacilities,0),(COLUMN()-1)/2), 1),"")</f>
        <v/>
      </c>
      <c r="X21" s="137"/>
      <c r="Y21" s="58" t="str" cm="1">
        <f>IFERROR(INDEX(List_Predictors, INDEX(Array_PredictorsLookup,MATCH($A21,List_PredictorFacilities,0),(COLUMN()-1)/2), 1),"")</f>
        <v/>
      </c>
      <c r="Z21" s="137"/>
      <c r="AA21" s="58" t="str" cm="1">
        <f>IFERROR(INDEX(List_Predictors, INDEX(Array_PredictorsLookup,MATCH($A21,List_PredictorFacilities,0),(COLUMN()-1)/2), 1),"")</f>
        <v/>
      </c>
      <c r="AB21" s="137"/>
      <c r="AC21" s="58" t="str" cm="1">
        <f>IFERROR(INDEX(List_Predictors, INDEX(Array_PredictorsLookup,MATCH($A21,List_PredictorFacilities,0),(COLUMN()-1)/2), 1),"")</f>
        <v/>
      </c>
      <c r="AD21" s="137"/>
      <c r="AE21" s="58" t="str" cm="1">
        <f>IFERROR(INDEX(List_Predictors, INDEX(Array_PredictorsLookup,MATCH($A21,List_PredictorFacilities,0),(COLUMN()-1)/2), 1),"")</f>
        <v/>
      </c>
      <c r="AF21" s="137"/>
    </row>
    <row r="22" spans="1:32" x14ac:dyDescent="0.3">
      <c r="A22" s="126"/>
      <c r="B22" s="141"/>
      <c r="C22" s="58" t="str" cm="1">
        <f>IFERROR(INDEX(List_Predictors, INDEX(Array_PredictorsLookup,MATCH($A22,List_PredictorFacilities,0),(COLUMN()-1)/2), 1),"")</f>
        <v/>
      </c>
      <c r="D22" s="137"/>
      <c r="E22" s="58" t="str" cm="1">
        <f>IFERROR(INDEX(List_Predictors, INDEX(Array_PredictorsLookup,MATCH($A22,List_PredictorFacilities,0),(COLUMN()-1)/2), 1),"")</f>
        <v/>
      </c>
      <c r="F22" s="137"/>
      <c r="G22" s="58" t="str" cm="1">
        <f>IFERROR(INDEX(List_Predictors, INDEX(Array_PredictorsLookup,MATCH($A22,List_PredictorFacilities,0),(COLUMN()-1)/2), 1),"")</f>
        <v/>
      </c>
      <c r="H22" s="137"/>
      <c r="I22" s="58" t="str" cm="1">
        <f>IFERROR(INDEX(List_Predictors, INDEX(Array_PredictorsLookup,MATCH($A22,List_PredictorFacilities,0),(COLUMN()-1)/2), 1),"")</f>
        <v/>
      </c>
      <c r="J22" s="137"/>
      <c r="K22" s="58" t="str" cm="1">
        <f>IFERROR(INDEX(List_Predictors, INDEX(Array_PredictorsLookup,MATCH($A22,List_PredictorFacilities,0),(COLUMN()-1)/2), 1),"")</f>
        <v/>
      </c>
      <c r="L22" s="137"/>
      <c r="M22" s="58" t="str" cm="1">
        <f>IFERROR(INDEX(List_Predictors, INDEX(Array_PredictorsLookup,MATCH($A22,List_PredictorFacilities,0),(COLUMN()-1)/2), 1),"")</f>
        <v/>
      </c>
      <c r="N22" s="137"/>
      <c r="O22" s="58" t="str" cm="1">
        <f>IFERROR(INDEX(List_Predictors, INDEX(Array_PredictorsLookup,MATCH($A22,List_PredictorFacilities,0),(COLUMN()-1)/2), 1),"")</f>
        <v/>
      </c>
      <c r="P22" s="137"/>
      <c r="Q22" s="58" t="str" cm="1">
        <f>IFERROR(INDEX(List_Predictors, INDEX(Array_PredictorsLookup,MATCH($A22,List_PredictorFacilities,0),(COLUMN()-1)/2), 1),"")</f>
        <v/>
      </c>
      <c r="R22" s="137"/>
      <c r="S22" s="58" t="str" cm="1">
        <f>IFERROR(INDEX(List_Predictors, INDEX(Array_PredictorsLookup,MATCH($A22,List_PredictorFacilities,0),(COLUMN()-1)/2), 1),"")</f>
        <v/>
      </c>
      <c r="T22" s="137"/>
      <c r="U22" s="58" t="str" cm="1">
        <f>IFERROR(INDEX(List_Predictors, INDEX(Array_PredictorsLookup,MATCH($A22,List_PredictorFacilities,0),(COLUMN()-1)/2), 1),"")</f>
        <v/>
      </c>
      <c r="V22" s="137"/>
      <c r="W22" s="58" t="str" cm="1">
        <f>IFERROR(INDEX(List_Predictors, INDEX(Array_PredictorsLookup,MATCH($A22,List_PredictorFacilities,0),(COLUMN()-1)/2), 1),"")</f>
        <v/>
      </c>
      <c r="X22" s="137"/>
      <c r="Y22" s="58" t="str" cm="1">
        <f>IFERROR(INDEX(List_Predictors, INDEX(Array_PredictorsLookup,MATCH($A22,List_PredictorFacilities,0),(COLUMN()-1)/2), 1),"")</f>
        <v/>
      </c>
      <c r="Z22" s="137"/>
      <c r="AA22" s="58" t="str" cm="1">
        <f>IFERROR(INDEX(List_Predictors, INDEX(Array_PredictorsLookup,MATCH($A22,List_PredictorFacilities,0),(COLUMN()-1)/2), 1),"")</f>
        <v/>
      </c>
      <c r="AB22" s="137"/>
      <c r="AC22" s="58" t="str" cm="1">
        <f>IFERROR(INDEX(List_Predictors, INDEX(Array_PredictorsLookup,MATCH($A22,List_PredictorFacilities,0),(COLUMN()-1)/2), 1),"")</f>
        <v/>
      </c>
      <c r="AD22" s="137"/>
      <c r="AE22" s="58" t="str" cm="1">
        <f>IFERROR(INDEX(List_Predictors, INDEX(Array_PredictorsLookup,MATCH($A22,List_PredictorFacilities,0),(COLUMN()-1)/2), 1),"")</f>
        <v/>
      </c>
      <c r="AF22" s="137"/>
    </row>
    <row r="23" spans="1:32" x14ac:dyDescent="0.3">
      <c r="A23" s="126"/>
      <c r="B23" s="141"/>
      <c r="C23" s="58" t="str" cm="1">
        <f>IFERROR(INDEX(List_Predictors, INDEX(Array_PredictorsLookup,MATCH($A23,List_PredictorFacilities,0),(COLUMN()-1)/2), 1),"")</f>
        <v/>
      </c>
      <c r="D23" s="137"/>
      <c r="E23" s="58" t="str" cm="1">
        <f>IFERROR(INDEX(List_Predictors, INDEX(Array_PredictorsLookup,MATCH($A23,List_PredictorFacilities,0),(COLUMN()-1)/2), 1),"")</f>
        <v/>
      </c>
      <c r="F23" s="137"/>
      <c r="G23" s="58" t="str" cm="1">
        <f>IFERROR(INDEX(List_Predictors, INDEX(Array_PredictorsLookup,MATCH($A23,List_PredictorFacilities,0),(COLUMN()-1)/2), 1),"")</f>
        <v/>
      </c>
      <c r="H23" s="137"/>
      <c r="I23" s="58" t="str" cm="1">
        <f>IFERROR(INDEX(List_Predictors, INDEX(Array_PredictorsLookup,MATCH($A23,List_PredictorFacilities,0),(COLUMN()-1)/2), 1),"")</f>
        <v/>
      </c>
      <c r="J23" s="137"/>
      <c r="K23" s="58" t="str" cm="1">
        <f>IFERROR(INDEX(List_Predictors, INDEX(Array_PredictorsLookup,MATCH($A23,List_PredictorFacilities,0),(COLUMN()-1)/2), 1),"")</f>
        <v/>
      </c>
      <c r="L23" s="137"/>
      <c r="M23" s="58" t="str" cm="1">
        <f>IFERROR(INDEX(List_Predictors, INDEX(Array_PredictorsLookup,MATCH($A23,List_PredictorFacilities,0),(COLUMN()-1)/2), 1),"")</f>
        <v/>
      </c>
      <c r="N23" s="137"/>
      <c r="O23" s="58" t="str" cm="1">
        <f>IFERROR(INDEX(List_Predictors, INDEX(Array_PredictorsLookup,MATCH($A23,List_PredictorFacilities,0),(COLUMN()-1)/2), 1),"")</f>
        <v/>
      </c>
      <c r="P23" s="137"/>
      <c r="Q23" s="58" t="str" cm="1">
        <f>IFERROR(INDEX(List_Predictors, INDEX(Array_PredictorsLookup,MATCH($A23,List_PredictorFacilities,0),(COLUMN()-1)/2), 1),"")</f>
        <v/>
      </c>
      <c r="R23" s="137"/>
      <c r="S23" s="58" t="str" cm="1">
        <f>IFERROR(INDEX(List_Predictors, INDEX(Array_PredictorsLookup,MATCH($A23,List_PredictorFacilities,0),(COLUMN()-1)/2), 1),"")</f>
        <v/>
      </c>
      <c r="T23" s="137"/>
      <c r="U23" s="58" t="str" cm="1">
        <f>IFERROR(INDEX(List_Predictors, INDEX(Array_PredictorsLookup,MATCH($A23,List_PredictorFacilities,0),(COLUMN()-1)/2), 1),"")</f>
        <v/>
      </c>
      <c r="V23" s="137"/>
      <c r="W23" s="58" t="str" cm="1">
        <f>IFERROR(INDEX(List_Predictors, INDEX(Array_PredictorsLookup,MATCH($A23,List_PredictorFacilities,0),(COLUMN()-1)/2), 1),"")</f>
        <v/>
      </c>
      <c r="X23" s="137"/>
      <c r="Y23" s="58" t="str" cm="1">
        <f>IFERROR(INDEX(List_Predictors, INDEX(Array_PredictorsLookup,MATCH($A23,List_PredictorFacilities,0),(COLUMN()-1)/2), 1),"")</f>
        <v/>
      </c>
      <c r="Z23" s="137"/>
      <c r="AA23" s="58" t="str" cm="1">
        <f>IFERROR(INDEX(List_Predictors, INDEX(Array_PredictorsLookup,MATCH($A23,List_PredictorFacilities,0),(COLUMN()-1)/2), 1),"")</f>
        <v/>
      </c>
      <c r="AB23" s="137"/>
      <c r="AC23" s="58" t="str" cm="1">
        <f>IFERROR(INDEX(List_Predictors, INDEX(Array_PredictorsLookup,MATCH($A23,List_PredictorFacilities,0),(COLUMN()-1)/2), 1),"")</f>
        <v/>
      </c>
      <c r="AD23" s="137"/>
      <c r="AE23" s="58" t="str" cm="1">
        <f>IFERROR(INDEX(List_Predictors, INDEX(Array_PredictorsLookup,MATCH($A23,List_PredictorFacilities,0),(COLUMN()-1)/2), 1),"")</f>
        <v/>
      </c>
      <c r="AF23" s="137"/>
    </row>
    <row r="24" spans="1:32" x14ac:dyDescent="0.3">
      <c r="A24" s="126"/>
      <c r="B24" s="141"/>
      <c r="C24" s="58" t="str" cm="1">
        <f>IFERROR(INDEX(List_Predictors, INDEX(Array_PredictorsLookup,MATCH($A24,List_PredictorFacilities,0),(COLUMN()-1)/2), 1),"")</f>
        <v/>
      </c>
      <c r="D24" s="137"/>
      <c r="E24" s="58" t="str" cm="1">
        <f>IFERROR(INDEX(List_Predictors, INDEX(Array_PredictorsLookup,MATCH($A24,List_PredictorFacilities,0),(COLUMN()-1)/2), 1),"")</f>
        <v/>
      </c>
      <c r="F24" s="137"/>
      <c r="G24" s="58" t="str" cm="1">
        <f>IFERROR(INDEX(List_Predictors, INDEX(Array_PredictorsLookup,MATCH($A24,List_PredictorFacilities,0),(COLUMN()-1)/2), 1),"")</f>
        <v/>
      </c>
      <c r="H24" s="137"/>
      <c r="I24" s="58" t="str" cm="1">
        <f>IFERROR(INDEX(List_Predictors, INDEX(Array_PredictorsLookup,MATCH($A24,List_PredictorFacilities,0),(COLUMN()-1)/2), 1),"")</f>
        <v/>
      </c>
      <c r="J24" s="137"/>
      <c r="K24" s="58" t="str" cm="1">
        <f>IFERROR(INDEX(List_Predictors, INDEX(Array_PredictorsLookup,MATCH($A24,List_PredictorFacilities,0),(COLUMN()-1)/2), 1),"")</f>
        <v/>
      </c>
      <c r="L24" s="137"/>
      <c r="M24" s="58" t="str" cm="1">
        <f>IFERROR(INDEX(List_Predictors, INDEX(Array_PredictorsLookup,MATCH($A24,List_PredictorFacilities,0),(COLUMN()-1)/2), 1),"")</f>
        <v/>
      </c>
      <c r="N24" s="137"/>
      <c r="O24" s="58" t="str" cm="1">
        <f>IFERROR(INDEX(List_Predictors, INDEX(Array_PredictorsLookup,MATCH($A24,List_PredictorFacilities,0),(COLUMN()-1)/2), 1),"")</f>
        <v/>
      </c>
      <c r="P24" s="137"/>
      <c r="Q24" s="58" t="str" cm="1">
        <f>IFERROR(INDEX(List_Predictors, INDEX(Array_PredictorsLookup,MATCH($A24,List_PredictorFacilities,0),(COLUMN()-1)/2), 1),"")</f>
        <v/>
      </c>
      <c r="R24" s="137"/>
      <c r="S24" s="58" t="str" cm="1">
        <f>IFERROR(INDEX(List_Predictors, INDEX(Array_PredictorsLookup,MATCH($A24,List_PredictorFacilities,0),(COLUMN()-1)/2), 1),"")</f>
        <v/>
      </c>
      <c r="T24" s="137"/>
      <c r="U24" s="58" t="str" cm="1">
        <f>IFERROR(INDEX(List_Predictors, INDEX(Array_PredictorsLookup,MATCH($A24,List_PredictorFacilities,0),(COLUMN()-1)/2), 1),"")</f>
        <v/>
      </c>
      <c r="V24" s="137"/>
      <c r="W24" s="58" t="str" cm="1">
        <f>IFERROR(INDEX(List_Predictors, INDEX(Array_PredictorsLookup,MATCH($A24,List_PredictorFacilities,0),(COLUMN()-1)/2), 1),"")</f>
        <v/>
      </c>
      <c r="X24" s="137"/>
      <c r="Y24" s="58" t="str" cm="1">
        <f>IFERROR(INDEX(List_Predictors, INDEX(Array_PredictorsLookup,MATCH($A24,List_PredictorFacilities,0),(COLUMN()-1)/2), 1),"")</f>
        <v/>
      </c>
      <c r="Z24" s="137"/>
      <c r="AA24" s="58" t="str" cm="1">
        <f>IFERROR(INDEX(List_Predictors, INDEX(Array_PredictorsLookup,MATCH($A24,List_PredictorFacilities,0),(COLUMN()-1)/2), 1),"")</f>
        <v/>
      </c>
      <c r="AB24" s="137"/>
      <c r="AC24" s="58" t="str" cm="1">
        <f>IFERROR(INDEX(List_Predictors, INDEX(Array_PredictorsLookup,MATCH($A24,List_PredictorFacilities,0),(COLUMN()-1)/2), 1),"")</f>
        <v/>
      </c>
      <c r="AD24" s="137"/>
      <c r="AE24" s="58" t="str" cm="1">
        <f>IFERROR(INDEX(List_Predictors, INDEX(Array_PredictorsLookup,MATCH($A24,List_PredictorFacilities,0),(COLUMN()-1)/2), 1),"")</f>
        <v/>
      </c>
      <c r="AF24" s="137"/>
    </row>
    <row r="25" spans="1:32" x14ac:dyDescent="0.3">
      <c r="A25" s="126"/>
      <c r="B25" s="141"/>
      <c r="C25" s="58" t="str" cm="1">
        <f>IFERROR(INDEX(List_Predictors, INDEX(Array_PredictorsLookup,MATCH($A25,List_PredictorFacilities,0),(COLUMN()-1)/2), 1),"")</f>
        <v/>
      </c>
      <c r="D25" s="137"/>
      <c r="E25" s="58" t="str" cm="1">
        <f>IFERROR(INDEX(List_Predictors, INDEX(Array_PredictorsLookup,MATCH($A25,List_PredictorFacilities,0),(COLUMN()-1)/2), 1),"")</f>
        <v/>
      </c>
      <c r="F25" s="137"/>
      <c r="G25" s="58" t="str" cm="1">
        <f>IFERROR(INDEX(List_Predictors, INDEX(Array_PredictorsLookup,MATCH($A25,List_PredictorFacilities,0),(COLUMN()-1)/2), 1),"")</f>
        <v/>
      </c>
      <c r="H25" s="137"/>
      <c r="I25" s="58" t="str" cm="1">
        <f>IFERROR(INDEX(List_Predictors, INDEX(Array_PredictorsLookup,MATCH($A25,List_PredictorFacilities,0),(COLUMN()-1)/2), 1),"")</f>
        <v/>
      </c>
      <c r="J25" s="137"/>
      <c r="K25" s="58" t="str" cm="1">
        <f>IFERROR(INDEX(List_Predictors, INDEX(Array_PredictorsLookup,MATCH($A25,List_PredictorFacilities,0),(COLUMN()-1)/2), 1),"")</f>
        <v/>
      </c>
      <c r="L25" s="137"/>
      <c r="M25" s="58" t="str" cm="1">
        <f>IFERROR(INDEX(List_Predictors, INDEX(Array_PredictorsLookup,MATCH($A25,List_PredictorFacilities,0),(COLUMN()-1)/2), 1),"")</f>
        <v/>
      </c>
      <c r="N25" s="137"/>
      <c r="O25" s="58" t="str" cm="1">
        <f>IFERROR(INDEX(List_Predictors, INDEX(Array_PredictorsLookup,MATCH($A25,List_PredictorFacilities,0),(COLUMN()-1)/2), 1),"")</f>
        <v/>
      </c>
      <c r="P25" s="137"/>
      <c r="Q25" s="58" t="str" cm="1">
        <f>IFERROR(INDEX(List_Predictors, INDEX(Array_PredictorsLookup,MATCH($A25,List_PredictorFacilities,0),(COLUMN()-1)/2), 1),"")</f>
        <v/>
      </c>
      <c r="R25" s="137"/>
      <c r="S25" s="58" t="str" cm="1">
        <f>IFERROR(INDEX(List_Predictors, INDEX(Array_PredictorsLookup,MATCH($A25,List_PredictorFacilities,0),(COLUMN()-1)/2), 1),"")</f>
        <v/>
      </c>
      <c r="T25" s="137"/>
      <c r="U25" s="58" t="str" cm="1">
        <f>IFERROR(INDEX(List_Predictors, INDEX(Array_PredictorsLookup,MATCH($A25,List_PredictorFacilities,0),(COLUMN()-1)/2), 1),"")</f>
        <v/>
      </c>
      <c r="V25" s="137"/>
      <c r="W25" s="58" t="str" cm="1">
        <f>IFERROR(INDEX(List_Predictors, INDEX(Array_PredictorsLookup,MATCH($A25,List_PredictorFacilities,0),(COLUMN()-1)/2), 1),"")</f>
        <v/>
      </c>
      <c r="X25" s="137"/>
      <c r="Y25" s="58" t="str" cm="1">
        <f>IFERROR(INDEX(List_Predictors, INDEX(Array_PredictorsLookup,MATCH($A25,List_PredictorFacilities,0),(COLUMN()-1)/2), 1),"")</f>
        <v/>
      </c>
      <c r="Z25" s="137"/>
      <c r="AA25" s="58" t="str" cm="1">
        <f>IFERROR(INDEX(List_Predictors, INDEX(Array_PredictorsLookup,MATCH($A25,List_PredictorFacilities,0),(COLUMN()-1)/2), 1),"")</f>
        <v/>
      </c>
      <c r="AB25" s="137"/>
      <c r="AC25" s="58" t="str" cm="1">
        <f>IFERROR(INDEX(List_Predictors, INDEX(Array_PredictorsLookup,MATCH($A25,List_PredictorFacilities,0),(COLUMN()-1)/2), 1),"")</f>
        <v/>
      </c>
      <c r="AD25" s="137"/>
      <c r="AE25" s="58" t="str" cm="1">
        <f>IFERROR(INDEX(List_Predictors, INDEX(Array_PredictorsLookup,MATCH($A25,List_PredictorFacilities,0),(COLUMN()-1)/2), 1),"")</f>
        <v/>
      </c>
      <c r="AF25" s="137"/>
    </row>
    <row r="26" spans="1:32" x14ac:dyDescent="0.3">
      <c r="A26" s="126"/>
      <c r="B26" s="141"/>
      <c r="C26" s="58" t="str" cm="1">
        <f>IFERROR(INDEX(List_Predictors, INDEX(Array_PredictorsLookup,MATCH($A26,List_PredictorFacilities,0),(COLUMN()-1)/2), 1),"")</f>
        <v/>
      </c>
      <c r="D26" s="137"/>
      <c r="E26" s="58" t="str" cm="1">
        <f>IFERROR(INDEX(List_Predictors, INDEX(Array_PredictorsLookup,MATCH($A26,List_PredictorFacilities,0),(COLUMN()-1)/2), 1),"")</f>
        <v/>
      </c>
      <c r="F26" s="137"/>
      <c r="G26" s="58" t="str" cm="1">
        <f>IFERROR(INDEX(List_Predictors, INDEX(Array_PredictorsLookup,MATCH($A26,List_PredictorFacilities,0),(COLUMN()-1)/2), 1),"")</f>
        <v/>
      </c>
      <c r="H26" s="137"/>
      <c r="I26" s="58" t="str" cm="1">
        <f>IFERROR(INDEX(List_Predictors, INDEX(Array_PredictorsLookup,MATCH($A26,List_PredictorFacilities,0),(COLUMN()-1)/2), 1),"")</f>
        <v/>
      </c>
      <c r="J26" s="137"/>
      <c r="K26" s="58" t="str" cm="1">
        <f>IFERROR(INDEX(List_Predictors, INDEX(Array_PredictorsLookup,MATCH($A26,List_PredictorFacilities,0),(COLUMN()-1)/2), 1),"")</f>
        <v/>
      </c>
      <c r="L26" s="137"/>
      <c r="M26" s="58" t="str" cm="1">
        <f>IFERROR(INDEX(List_Predictors, INDEX(Array_PredictorsLookup,MATCH($A26,List_PredictorFacilities,0),(COLUMN()-1)/2), 1),"")</f>
        <v/>
      </c>
      <c r="N26" s="137"/>
      <c r="O26" s="58" t="str" cm="1">
        <f>IFERROR(INDEX(List_Predictors, INDEX(Array_PredictorsLookup,MATCH($A26,List_PredictorFacilities,0),(COLUMN()-1)/2), 1),"")</f>
        <v/>
      </c>
      <c r="P26" s="137"/>
      <c r="Q26" s="58" t="str" cm="1">
        <f>IFERROR(INDEX(List_Predictors, INDEX(Array_PredictorsLookup,MATCH($A26,List_PredictorFacilities,0),(COLUMN()-1)/2), 1),"")</f>
        <v/>
      </c>
      <c r="R26" s="137"/>
      <c r="S26" s="58" t="str" cm="1">
        <f>IFERROR(INDEX(List_Predictors, INDEX(Array_PredictorsLookup,MATCH($A26,List_PredictorFacilities,0),(COLUMN()-1)/2), 1),"")</f>
        <v/>
      </c>
      <c r="T26" s="137"/>
      <c r="U26" s="58" t="str" cm="1">
        <f>IFERROR(INDEX(List_Predictors, INDEX(Array_PredictorsLookup,MATCH($A26,List_PredictorFacilities,0),(COLUMN()-1)/2), 1),"")</f>
        <v/>
      </c>
      <c r="V26" s="137"/>
      <c r="W26" s="58" t="str" cm="1">
        <f>IFERROR(INDEX(List_Predictors, INDEX(Array_PredictorsLookup,MATCH($A26,List_PredictorFacilities,0),(COLUMN()-1)/2), 1),"")</f>
        <v/>
      </c>
      <c r="X26" s="137"/>
      <c r="Y26" s="58" t="str" cm="1">
        <f>IFERROR(INDEX(List_Predictors, INDEX(Array_PredictorsLookup,MATCH($A26,List_PredictorFacilities,0),(COLUMN()-1)/2), 1),"")</f>
        <v/>
      </c>
      <c r="Z26" s="137"/>
      <c r="AA26" s="58" t="str" cm="1">
        <f>IFERROR(INDEX(List_Predictors, INDEX(Array_PredictorsLookup,MATCH($A26,List_PredictorFacilities,0),(COLUMN()-1)/2), 1),"")</f>
        <v/>
      </c>
      <c r="AB26" s="137"/>
      <c r="AC26" s="58" t="str" cm="1">
        <f>IFERROR(INDEX(List_Predictors, INDEX(Array_PredictorsLookup,MATCH($A26,List_PredictorFacilities,0),(COLUMN()-1)/2), 1),"")</f>
        <v/>
      </c>
      <c r="AD26" s="137"/>
      <c r="AE26" s="58" t="str" cm="1">
        <f>IFERROR(INDEX(List_Predictors, INDEX(Array_PredictorsLookup,MATCH($A26,List_PredictorFacilities,0),(COLUMN()-1)/2), 1),"")</f>
        <v/>
      </c>
      <c r="AF26" s="137"/>
    </row>
    <row r="27" spans="1:32" x14ac:dyDescent="0.3">
      <c r="A27" s="126"/>
      <c r="B27" s="141"/>
      <c r="C27" s="58" t="str" cm="1">
        <f>IFERROR(INDEX(List_Predictors, INDEX(Array_PredictorsLookup,MATCH($A27,List_PredictorFacilities,0),(COLUMN()-1)/2), 1),"")</f>
        <v/>
      </c>
      <c r="D27" s="137"/>
      <c r="E27" s="58" t="str" cm="1">
        <f>IFERROR(INDEX(List_Predictors, INDEX(Array_PredictorsLookup,MATCH($A27,List_PredictorFacilities,0),(COLUMN()-1)/2), 1),"")</f>
        <v/>
      </c>
      <c r="F27" s="137"/>
      <c r="G27" s="58" t="str" cm="1">
        <f>IFERROR(INDEX(List_Predictors, INDEX(Array_PredictorsLookup,MATCH($A27,List_PredictorFacilities,0),(COLUMN()-1)/2), 1),"")</f>
        <v/>
      </c>
      <c r="H27" s="137"/>
      <c r="I27" s="58" t="str" cm="1">
        <f>IFERROR(INDEX(List_Predictors, INDEX(Array_PredictorsLookup,MATCH($A27,List_PredictorFacilities,0),(COLUMN()-1)/2), 1),"")</f>
        <v/>
      </c>
      <c r="J27" s="137"/>
      <c r="K27" s="58" t="str" cm="1">
        <f>IFERROR(INDEX(List_Predictors, INDEX(Array_PredictorsLookup,MATCH($A27,List_PredictorFacilities,0),(COLUMN()-1)/2), 1),"")</f>
        <v/>
      </c>
      <c r="L27" s="137"/>
      <c r="M27" s="58" t="str" cm="1">
        <f>IFERROR(INDEX(List_Predictors, INDEX(Array_PredictorsLookup,MATCH($A27,List_PredictorFacilities,0),(COLUMN()-1)/2), 1),"")</f>
        <v/>
      </c>
      <c r="N27" s="137"/>
      <c r="O27" s="58" t="str" cm="1">
        <f>IFERROR(INDEX(List_Predictors, INDEX(Array_PredictorsLookup,MATCH($A27,List_PredictorFacilities,0),(COLUMN()-1)/2), 1),"")</f>
        <v/>
      </c>
      <c r="P27" s="137"/>
      <c r="Q27" s="58" t="str" cm="1">
        <f>IFERROR(INDEX(List_Predictors, INDEX(Array_PredictorsLookup,MATCH($A27,List_PredictorFacilities,0),(COLUMN()-1)/2), 1),"")</f>
        <v/>
      </c>
      <c r="R27" s="137"/>
      <c r="S27" s="58" t="str" cm="1">
        <f>IFERROR(INDEX(List_Predictors, INDEX(Array_PredictorsLookup,MATCH($A27,List_PredictorFacilities,0),(COLUMN()-1)/2), 1),"")</f>
        <v/>
      </c>
      <c r="T27" s="137"/>
      <c r="U27" s="58" t="str" cm="1">
        <f>IFERROR(INDEX(List_Predictors, INDEX(Array_PredictorsLookup,MATCH($A27,List_PredictorFacilities,0),(COLUMN()-1)/2), 1),"")</f>
        <v/>
      </c>
      <c r="V27" s="137"/>
      <c r="W27" s="58" t="str" cm="1">
        <f>IFERROR(INDEX(List_Predictors, INDEX(Array_PredictorsLookup,MATCH($A27,List_PredictorFacilities,0),(COLUMN()-1)/2), 1),"")</f>
        <v/>
      </c>
      <c r="X27" s="137"/>
      <c r="Y27" s="58" t="str" cm="1">
        <f>IFERROR(INDEX(List_Predictors, INDEX(Array_PredictorsLookup,MATCH($A27,List_PredictorFacilities,0),(COLUMN()-1)/2), 1),"")</f>
        <v/>
      </c>
      <c r="Z27" s="137"/>
      <c r="AA27" s="58" t="str" cm="1">
        <f>IFERROR(INDEX(List_Predictors, INDEX(Array_PredictorsLookup,MATCH($A27,List_PredictorFacilities,0),(COLUMN()-1)/2), 1),"")</f>
        <v/>
      </c>
      <c r="AB27" s="137"/>
      <c r="AC27" s="58" t="str" cm="1">
        <f>IFERROR(INDEX(List_Predictors, INDEX(Array_PredictorsLookup,MATCH($A27,List_PredictorFacilities,0),(COLUMN()-1)/2), 1),"")</f>
        <v/>
      </c>
      <c r="AD27" s="137"/>
      <c r="AE27" s="58" t="str" cm="1">
        <f>IFERROR(INDEX(List_Predictors, INDEX(Array_PredictorsLookup,MATCH($A27,List_PredictorFacilities,0),(COLUMN()-1)/2), 1),"")</f>
        <v/>
      </c>
      <c r="AF27" s="137"/>
    </row>
    <row r="28" spans="1:32" x14ac:dyDescent="0.3">
      <c r="A28" s="126"/>
      <c r="B28" s="141"/>
      <c r="C28" s="58" t="str" cm="1">
        <f>IFERROR(INDEX(List_Predictors, INDEX(Array_PredictorsLookup,MATCH($A28,List_PredictorFacilities,0),(COLUMN()-1)/2), 1),"")</f>
        <v/>
      </c>
      <c r="D28" s="137"/>
      <c r="E28" s="58" t="str" cm="1">
        <f>IFERROR(INDEX(List_Predictors, INDEX(Array_PredictorsLookup,MATCH($A28,List_PredictorFacilities,0),(COLUMN()-1)/2), 1),"")</f>
        <v/>
      </c>
      <c r="F28" s="137"/>
      <c r="G28" s="58" t="str" cm="1">
        <f>IFERROR(INDEX(List_Predictors, INDEX(Array_PredictorsLookup,MATCH($A28,List_PredictorFacilities,0),(COLUMN()-1)/2), 1),"")</f>
        <v/>
      </c>
      <c r="H28" s="137"/>
      <c r="I28" s="58" t="str" cm="1">
        <f>IFERROR(INDEX(List_Predictors, INDEX(Array_PredictorsLookup,MATCH($A28,List_PredictorFacilities,0),(COLUMN()-1)/2), 1),"")</f>
        <v/>
      </c>
      <c r="J28" s="137"/>
      <c r="K28" s="58" t="str" cm="1">
        <f>IFERROR(INDEX(List_Predictors, INDEX(Array_PredictorsLookup,MATCH($A28,List_PredictorFacilities,0),(COLUMN()-1)/2), 1),"")</f>
        <v/>
      </c>
      <c r="L28" s="137"/>
      <c r="M28" s="58" t="str" cm="1">
        <f>IFERROR(INDEX(List_Predictors, INDEX(Array_PredictorsLookup,MATCH($A28,List_PredictorFacilities,0),(COLUMN()-1)/2), 1),"")</f>
        <v/>
      </c>
      <c r="N28" s="137"/>
      <c r="O28" s="58" t="str" cm="1">
        <f>IFERROR(INDEX(List_Predictors, INDEX(Array_PredictorsLookup,MATCH($A28,List_PredictorFacilities,0),(COLUMN()-1)/2), 1),"")</f>
        <v/>
      </c>
      <c r="P28" s="137"/>
      <c r="Q28" s="58" t="str" cm="1">
        <f>IFERROR(INDEX(List_Predictors, INDEX(Array_PredictorsLookup,MATCH($A28,List_PredictorFacilities,0),(COLUMN()-1)/2), 1),"")</f>
        <v/>
      </c>
      <c r="R28" s="137"/>
      <c r="S28" s="58" t="str" cm="1">
        <f>IFERROR(INDEX(List_Predictors, INDEX(Array_PredictorsLookup,MATCH($A28,List_PredictorFacilities,0),(COLUMN()-1)/2), 1),"")</f>
        <v/>
      </c>
      <c r="T28" s="137"/>
      <c r="U28" s="58" t="str" cm="1">
        <f>IFERROR(INDEX(List_Predictors, INDEX(Array_PredictorsLookup,MATCH($A28,List_PredictorFacilities,0),(COLUMN()-1)/2), 1),"")</f>
        <v/>
      </c>
      <c r="V28" s="137"/>
      <c r="W28" s="58" t="str" cm="1">
        <f>IFERROR(INDEX(List_Predictors, INDEX(Array_PredictorsLookup,MATCH($A28,List_PredictorFacilities,0),(COLUMN()-1)/2), 1),"")</f>
        <v/>
      </c>
      <c r="X28" s="137"/>
      <c r="Y28" s="58" t="str" cm="1">
        <f>IFERROR(INDEX(List_Predictors, INDEX(Array_PredictorsLookup,MATCH($A28,List_PredictorFacilities,0),(COLUMN()-1)/2), 1),"")</f>
        <v/>
      </c>
      <c r="Z28" s="137"/>
      <c r="AA28" s="58" t="str" cm="1">
        <f>IFERROR(INDEX(List_Predictors, INDEX(Array_PredictorsLookup,MATCH($A28,List_PredictorFacilities,0),(COLUMN()-1)/2), 1),"")</f>
        <v/>
      </c>
      <c r="AB28" s="137"/>
      <c r="AC28" s="58" t="str" cm="1">
        <f>IFERROR(INDEX(List_Predictors, INDEX(Array_PredictorsLookup,MATCH($A28,List_PredictorFacilities,0),(COLUMN()-1)/2), 1),"")</f>
        <v/>
      </c>
      <c r="AD28" s="137"/>
      <c r="AE28" s="58" t="str" cm="1">
        <f>IFERROR(INDEX(List_Predictors, INDEX(Array_PredictorsLookup,MATCH($A28,List_PredictorFacilities,0),(COLUMN()-1)/2), 1),"")</f>
        <v/>
      </c>
      <c r="AF28" s="137"/>
    </row>
    <row r="29" spans="1:32" x14ac:dyDescent="0.3">
      <c r="A29" s="126"/>
      <c r="B29" s="141"/>
      <c r="C29" s="58" t="str" cm="1">
        <f>IFERROR(INDEX(List_Predictors, INDEX(Array_PredictorsLookup,MATCH($A29,List_PredictorFacilities,0),(COLUMN()-1)/2), 1),"")</f>
        <v/>
      </c>
      <c r="D29" s="137"/>
      <c r="E29" s="58" t="str" cm="1">
        <f>IFERROR(INDEX(List_Predictors, INDEX(Array_PredictorsLookup,MATCH($A29,List_PredictorFacilities,0),(COLUMN()-1)/2), 1),"")</f>
        <v/>
      </c>
      <c r="F29" s="137"/>
      <c r="G29" s="58" t="str" cm="1">
        <f>IFERROR(INDEX(List_Predictors, INDEX(Array_PredictorsLookup,MATCH($A29,List_PredictorFacilities,0),(COLUMN()-1)/2), 1),"")</f>
        <v/>
      </c>
      <c r="H29" s="137"/>
      <c r="I29" s="58" t="str" cm="1">
        <f>IFERROR(INDEX(List_Predictors, INDEX(Array_PredictorsLookup,MATCH($A29,List_PredictorFacilities,0),(COLUMN()-1)/2), 1),"")</f>
        <v/>
      </c>
      <c r="J29" s="137"/>
      <c r="K29" s="58" t="str" cm="1">
        <f>IFERROR(INDEX(List_Predictors, INDEX(Array_PredictorsLookup,MATCH($A29,List_PredictorFacilities,0),(COLUMN()-1)/2), 1),"")</f>
        <v/>
      </c>
      <c r="L29" s="137"/>
      <c r="M29" s="58" t="str" cm="1">
        <f>IFERROR(INDEX(List_Predictors, INDEX(Array_PredictorsLookup,MATCH($A29,List_PredictorFacilities,0),(COLUMN()-1)/2), 1),"")</f>
        <v/>
      </c>
      <c r="N29" s="137"/>
      <c r="O29" s="58" t="str" cm="1">
        <f>IFERROR(INDEX(List_Predictors, INDEX(Array_PredictorsLookup,MATCH($A29,List_PredictorFacilities,0),(COLUMN()-1)/2), 1),"")</f>
        <v/>
      </c>
      <c r="P29" s="137"/>
      <c r="Q29" s="58" t="str" cm="1">
        <f>IFERROR(INDEX(List_Predictors, INDEX(Array_PredictorsLookup,MATCH($A29,List_PredictorFacilities,0),(COLUMN()-1)/2), 1),"")</f>
        <v/>
      </c>
      <c r="R29" s="137"/>
      <c r="S29" s="58" t="str" cm="1">
        <f>IFERROR(INDEX(List_Predictors, INDEX(Array_PredictorsLookup,MATCH($A29,List_PredictorFacilities,0),(COLUMN()-1)/2), 1),"")</f>
        <v/>
      </c>
      <c r="T29" s="137"/>
      <c r="U29" s="58" t="str" cm="1">
        <f>IFERROR(INDEX(List_Predictors, INDEX(Array_PredictorsLookup,MATCH($A29,List_PredictorFacilities,0),(COLUMN()-1)/2), 1),"")</f>
        <v/>
      </c>
      <c r="V29" s="137"/>
      <c r="W29" s="58" t="str" cm="1">
        <f>IFERROR(INDEX(List_Predictors, INDEX(Array_PredictorsLookup,MATCH($A29,List_PredictorFacilities,0),(COLUMN()-1)/2), 1),"")</f>
        <v/>
      </c>
      <c r="X29" s="137"/>
      <c r="Y29" s="58" t="str" cm="1">
        <f>IFERROR(INDEX(List_Predictors, INDEX(Array_PredictorsLookup,MATCH($A29,List_PredictorFacilities,0),(COLUMN()-1)/2), 1),"")</f>
        <v/>
      </c>
      <c r="Z29" s="137"/>
      <c r="AA29" s="58" t="str" cm="1">
        <f>IFERROR(INDEX(List_Predictors, INDEX(Array_PredictorsLookup,MATCH($A29,List_PredictorFacilities,0),(COLUMN()-1)/2), 1),"")</f>
        <v/>
      </c>
      <c r="AB29" s="137"/>
      <c r="AC29" s="58" t="str" cm="1">
        <f>IFERROR(INDEX(List_Predictors, INDEX(Array_PredictorsLookup,MATCH($A29,List_PredictorFacilities,0),(COLUMN()-1)/2), 1),"")</f>
        <v/>
      </c>
      <c r="AD29" s="137"/>
      <c r="AE29" s="58" t="str" cm="1">
        <f>IFERROR(INDEX(List_Predictors, INDEX(Array_PredictorsLookup,MATCH($A29,List_PredictorFacilities,0),(COLUMN()-1)/2), 1),"")</f>
        <v/>
      </c>
      <c r="AF29" s="137"/>
    </row>
    <row r="30" spans="1:32" x14ac:dyDescent="0.3">
      <c r="A30" s="126"/>
      <c r="B30" s="141"/>
      <c r="C30" s="58" t="str" cm="1">
        <f>IFERROR(INDEX(List_Predictors, INDEX(Array_PredictorsLookup,MATCH($A30,List_PredictorFacilities,0),(COLUMN()-1)/2), 1),"")</f>
        <v/>
      </c>
      <c r="D30" s="137"/>
      <c r="E30" s="58" t="str" cm="1">
        <f>IFERROR(INDEX(List_Predictors, INDEX(Array_PredictorsLookup,MATCH($A30,List_PredictorFacilities,0),(COLUMN()-1)/2), 1),"")</f>
        <v/>
      </c>
      <c r="F30" s="137"/>
      <c r="G30" s="58" t="str" cm="1">
        <f>IFERROR(INDEX(List_Predictors, INDEX(Array_PredictorsLookup,MATCH($A30,List_PredictorFacilities,0),(COLUMN()-1)/2), 1),"")</f>
        <v/>
      </c>
      <c r="H30" s="137"/>
      <c r="I30" s="58" t="str" cm="1">
        <f>IFERROR(INDEX(List_Predictors, INDEX(Array_PredictorsLookup,MATCH($A30,List_PredictorFacilities,0),(COLUMN()-1)/2), 1),"")</f>
        <v/>
      </c>
      <c r="J30" s="137"/>
      <c r="K30" s="58" t="str" cm="1">
        <f>IFERROR(INDEX(List_Predictors, INDEX(Array_PredictorsLookup,MATCH($A30,List_PredictorFacilities,0),(COLUMN()-1)/2), 1),"")</f>
        <v/>
      </c>
      <c r="L30" s="137"/>
      <c r="M30" s="58" t="str" cm="1">
        <f>IFERROR(INDEX(List_Predictors, INDEX(Array_PredictorsLookup,MATCH($A30,List_PredictorFacilities,0),(COLUMN()-1)/2), 1),"")</f>
        <v/>
      </c>
      <c r="N30" s="137"/>
      <c r="O30" s="58" t="str" cm="1">
        <f>IFERROR(INDEX(List_Predictors, INDEX(Array_PredictorsLookup,MATCH($A30,List_PredictorFacilities,0),(COLUMN()-1)/2), 1),"")</f>
        <v/>
      </c>
      <c r="P30" s="137"/>
      <c r="Q30" s="58" t="str" cm="1">
        <f>IFERROR(INDEX(List_Predictors, INDEX(Array_PredictorsLookup,MATCH($A30,List_PredictorFacilities,0),(COLUMN()-1)/2), 1),"")</f>
        <v/>
      </c>
      <c r="R30" s="137"/>
      <c r="S30" s="58" t="str" cm="1">
        <f>IFERROR(INDEX(List_Predictors, INDEX(Array_PredictorsLookup,MATCH($A30,List_PredictorFacilities,0),(COLUMN()-1)/2), 1),"")</f>
        <v/>
      </c>
      <c r="T30" s="137"/>
      <c r="U30" s="58" t="str" cm="1">
        <f>IFERROR(INDEX(List_Predictors, INDEX(Array_PredictorsLookup,MATCH($A30,List_PredictorFacilities,0),(COLUMN()-1)/2), 1),"")</f>
        <v/>
      </c>
      <c r="V30" s="137"/>
      <c r="W30" s="58" t="str" cm="1">
        <f>IFERROR(INDEX(List_Predictors, INDEX(Array_PredictorsLookup,MATCH($A30,List_PredictorFacilities,0),(COLUMN()-1)/2), 1),"")</f>
        <v/>
      </c>
      <c r="X30" s="137"/>
      <c r="Y30" s="58" t="str" cm="1">
        <f>IFERROR(INDEX(List_Predictors, INDEX(Array_PredictorsLookup,MATCH($A30,List_PredictorFacilities,0),(COLUMN()-1)/2), 1),"")</f>
        <v/>
      </c>
      <c r="Z30" s="137"/>
      <c r="AA30" s="58" t="str" cm="1">
        <f>IFERROR(INDEX(List_Predictors, INDEX(Array_PredictorsLookup,MATCH($A30,List_PredictorFacilities,0),(COLUMN()-1)/2), 1),"")</f>
        <v/>
      </c>
      <c r="AB30" s="137"/>
      <c r="AC30" s="58" t="str" cm="1">
        <f>IFERROR(INDEX(List_Predictors, INDEX(Array_PredictorsLookup,MATCH($A30,List_PredictorFacilities,0),(COLUMN()-1)/2), 1),"")</f>
        <v/>
      </c>
      <c r="AD30" s="137"/>
      <c r="AE30" s="58" t="str" cm="1">
        <f>IFERROR(INDEX(List_Predictors, INDEX(Array_PredictorsLookup,MATCH($A30,List_PredictorFacilities,0),(COLUMN()-1)/2), 1),"")</f>
        <v/>
      </c>
      <c r="AF30" s="137"/>
    </row>
    <row r="31" spans="1:32" x14ac:dyDescent="0.3">
      <c r="A31" s="126"/>
      <c r="B31" s="141"/>
      <c r="C31" s="58" t="str" cm="1">
        <f>IFERROR(INDEX(List_Predictors, INDEX(Array_PredictorsLookup,MATCH($A31,List_PredictorFacilities,0),(COLUMN()-1)/2), 1),"")</f>
        <v/>
      </c>
      <c r="D31" s="137"/>
      <c r="E31" s="58" t="str" cm="1">
        <f>IFERROR(INDEX(List_Predictors, INDEX(Array_PredictorsLookup,MATCH($A31,List_PredictorFacilities,0),(COLUMN()-1)/2), 1),"")</f>
        <v/>
      </c>
      <c r="F31" s="137"/>
      <c r="G31" s="58" t="str" cm="1">
        <f>IFERROR(INDEX(List_Predictors, INDEX(Array_PredictorsLookup,MATCH($A31,List_PredictorFacilities,0),(COLUMN()-1)/2), 1),"")</f>
        <v/>
      </c>
      <c r="H31" s="137"/>
      <c r="I31" s="58" t="str" cm="1">
        <f>IFERROR(INDEX(List_Predictors, INDEX(Array_PredictorsLookup,MATCH($A31,List_PredictorFacilities,0),(COLUMN()-1)/2), 1),"")</f>
        <v/>
      </c>
      <c r="J31" s="137"/>
      <c r="K31" s="58" t="str" cm="1">
        <f>IFERROR(INDEX(List_Predictors, INDEX(Array_PredictorsLookup,MATCH($A31,List_PredictorFacilities,0),(COLUMN()-1)/2), 1),"")</f>
        <v/>
      </c>
      <c r="L31" s="137"/>
      <c r="M31" s="58" t="str" cm="1">
        <f>IFERROR(INDEX(List_Predictors, INDEX(Array_PredictorsLookup,MATCH($A31,List_PredictorFacilities,0),(COLUMN()-1)/2), 1),"")</f>
        <v/>
      </c>
      <c r="N31" s="137"/>
      <c r="O31" s="58" t="str" cm="1">
        <f>IFERROR(INDEX(List_Predictors, INDEX(Array_PredictorsLookup,MATCH($A31,List_PredictorFacilities,0),(COLUMN()-1)/2), 1),"")</f>
        <v/>
      </c>
      <c r="P31" s="137"/>
      <c r="Q31" s="58" t="str" cm="1">
        <f>IFERROR(INDEX(List_Predictors, INDEX(Array_PredictorsLookup,MATCH($A31,List_PredictorFacilities,0),(COLUMN()-1)/2), 1),"")</f>
        <v/>
      </c>
      <c r="R31" s="137"/>
      <c r="S31" s="58" t="str" cm="1">
        <f>IFERROR(INDEX(List_Predictors, INDEX(Array_PredictorsLookup,MATCH($A31,List_PredictorFacilities,0),(COLUMN()-1)/2), 1),"")</f>
        <v/>
      </c>
      <c r="T31" s="137"/>
      <c r="U31" s="58" t="str" cm="1">
        <f>IFERROR(INDEX(List_Predictors, INDEX(Array_PredictorsLookup,MATCH($A31,List_PredictorFacilities,0),(COLUMN()-1)/2), 1),"")</f>
        <v/>
      </c>
      <c r="V31" s="137"/>
      <c r="W31" s="58" t="str" cm="1">
        <f>IFERROR(INDEX(List_Predictors, INDEX(Array_PredictorsLookup,MATCH($A31,List_PredictorFacilities,0),(COLUMN()-1)/2), 1),"")</f>
        <v/>
      </c>
      <c r="X31" s="137"/>
      <c r="Y31" s="58" t="str" cm="1">
        <f>IFERROR(INDEX(List_Predictors, INDEX(Array_PredictorsLookup,MATCH($A31,List_PredictorFacilities,0),(COLUMN()-1)/2), 1),"")</f>
        <v/>
      </c>
      <c r="Z31" s="137"/>
      <c r="AA31" s="58" t="str" cm="1">
        <f>IFERROR(INDEX(List_Predictors, INDEX(Array_PredictorsLookup,MATCH($A31,List_PredictorFacilities,0),(COLUMN()-1)/2), 1),"")</f>
        <v/>
      </c>
      <c r="AB31" s="137"/>
      <c r="AC31" s="58" t="str" cm="1">
        <f>IFERROR(INDEX(List_Predictors, INDEX(Array_PredictorsLookup,MATCH($A31,List_PredictorFacilities,0),(COLUMN()-1)/2), 1),"")</f>
        <v/>
      </c>
      <c r="AD31" s="137"/>
      <c r="AE31" s="58" t="str" cm="1">
        <f>IFERROR(INDEX(List_Predictors, INDEX(Array_PredictorsLookup,MATCH($A31,List_PredictorFacilities,0),(COLUMN()-1)/2), 1),"")</f>
        <v/>
      </c>
      <c r="AF31" s="137"/>
    </row>
    <row r="32" spans="1:32" x14ac:dyDescent="0.3">
      <c r="A32" s="126"/>
      <c r="B32" s="141"/>
      <c r="C32" s="58" t="str" cm="1">
        <f>IFERROR(INDEX(List_Predictors, INDEX(Array_PredictorsLookup,MATCH($A32,List_PredictorFacilities,0),(COLUMN()-1)/2), 1),"")</f>
        <v/>
      </c>
      <c r="D32" s="137"/>
      <c r="E32" s="58" t="str" cm="1">
        <f>IFERROR(INDEX(List_Predictors, INDEX(Array_PredictorsLookup,MATCH($A32,List_PredictorFacilities,0),(COLUMN()-1)/2), 1),"")</f>
        <v/>
      </c>
      <c r="F32" s="137"/>
      <c r="G32" s="58" t="str" cm="1">
        <f>IFERROR(INDEX(List_Predictors, INDEX(Array_PredictorsLookup,MATCH($A32,List_PredictorFacilities,0),(COLUMN()-1)/2), 1),"")</f>
        <v/>
      </c>
      <c r="H32" s="137"/>
      <c r="I32" s="58" t="str" cm="1">
        <f>IFERROR(INDEX(List_Predictors, INDEX(Array_PredictorsLookup,MATCH($A32,List_PredictorFacilities,0),(COLUMN()-1)/2), 1),"")</f>
        <v/>
      </c>
      <c r="J32" s="137"/>
      <c r="K32" s="58" t="str" cm="1">
        <f>IFERROR(INDEX(List_Predictors, INDEX(Array_PredictorsLookup,MATCH($A32,List_PredictorFacilities,0),(COLUMN()-1)/2), 1),"")</f>
        <v/>
      </c>
      <c r="L32" s="137"/>
      <c r="M32" s="58" t="str" cm="1">
        <f>IFERROR(INDEX(List_Predictors, INDEX(Array_PredictorsLookup,MATCH($A32,List_PredictorFacilities,0),(COLUMN()-1)/2), 1),"")</f>
        <v/>
      </c>
      <c r="N32" s="137"/>
      <c r="O32" s="58" t="str" cm="1">
        <f>IFERROR(INDEX(List_Predictors, INDEX(Array_PredictorsLookup,MATCH($A32,List_PredictorFacilities,0),(COLUMN()-1)/2), 1),"")</f>
        <v/>
      </c>
      <c r="P32" s="137"/>
      <c r="Q32" s="58" t="str" cm="1">
        <f>IFERROR(INDEX(List_Predictors, INDEX(Array_PredictorsLookup,MATCH($A32,List_PredictorFacilities,0),(COLUMN()-1)/2), 1),"")</f>
        <v/>
      </c>
      <c r="R32" s="137"/>
      <c r="S32" s="58" t="str" cm="1">
        <f>IFERROR(INDEX(List_Predictors, INDEX(Array_PredictorsLookup,MATCH($A32,List_PredictorFacilities,0),(COLUMN()-1)/2), 1),"")</f>
        <v/>
      </c>
      <c r="T32" s="137"/>
      <c r="U32" s="58" t="str" cm="1">
        <f>IFERROR(INDEX(List_Predictors, INDEX(Array_PredictorsLookup,MATCH($A32,List_PredictorFacilities,0),(COLUMN()-1)/2), 1),"")</f>
        <v/>
      </c>
      <c r="V32" s="137"/>
      <c r="W32" s="58" t="str" cm="1">
        <f>IFERROR(INDEX(List_Predictors, INDEX(Array_PredictorsLookup,MATCH($A32,List_PredictorFacilities,0),(COLUMN()-1)/2), 1),"")</f>
        <v/>
      </c>
      <c r="X32" s="137"/>
      <c r="Y32" s="58" t="str" cm="1">
        <f>IFERROR(INDEX(List_Predictors, INDEX(Array_PredictorsLookup,MATCH($A32,List_PredictorFacilities,0),(COLUMN()-1)/2), 1),"")</f>
        <v/>
      </c>
      <c r="Z32" s="137"/>
      <c r="AA32" s="58" t="str" cm="1">
        <f>IFERROR(INDEX(List_Predictors, INDEX(Array_PredictorsLookup,MATCH($A32,List_PredictorFacilities,0),(COLUMN()-1)/2), 1),"")</f>
        <v/>
      </c>
      <c r="AB32" s="137"/>
      <c r="AC32" s="58" t="str" cm="1">
        <f>IFERROR(INDEX(List_Predictors, INDEX(Array_PredictorsLookup,MATCH($A32,List_PredictorFacilities,0),(COLUMN()-1)/2), 1),"")</f>
        <v/>
      </c>
      <c r="AD32" s="137"/>
      <c r="AE32" s="58" t="str" cm="1">
        <f>IFERROR(INDEX(List_Predictors, INDEX(Array_PredictorsLookup,MATCH($A32,List_PredictorFacilities,0),(COLUMN()-1)/2), 1),"")</f>
        <v/>
      </c>
      <c r="AF32" s="137"/>
    </row>
    <row r="33" spans="1:32" x14ac:dyDescent="0.3">
      <c r="A33" s="126"/>
      <c r="B33" s="141"/>
      <c r="C33" s="58" t="str" cm="1">
        <f>IFERROR(INDEX(List_Predictors, INDEX(Array_PredictorsLookup,MATCH($A33,List_PredictorFacilities,0),(COLUMN()-1)/2), 1),"")</f>
        <v/>
      </c>
      <c r="D33" s="137"/>
      <c r="E33" s="58" t="str" cm="1">
        <f>IFERROR(INDEX(List_Predictors, INDEX(Array_PredictorsLookup,MATCH($A33,List_PredictorFacilities,0),(COLUMN()-1)/2), 1),"")</f>
        <v/>
      </c>
      <c r="F33" s="137"/>
      <c r="G33" s="58" t="str" cm="1">
        <f>IFERROR(INDEX(List_Predictors, INDEX(Array_PredictorsLookup,MATCH($A33,List_PredictorFacilities,0),(COLUMN()-1)/2), 1),"")</f>
        <v/>
      </c>
      <c r="H33" s="137"/>
      <c r="I33" s="58" t="str" cm="1">
        <f>IFERROR(INDEX(List_Predictors, INDEX(Array_PredictorsLookup,MATCH($A33,List_PredictorFacilities,0),(COLUMN()-1)/2), 1),"")</f>
        <v/>
      </c>
      <c r="J33" s="137"/>
      <c r="K33" s="58" t="str" cm="1">
        <f>IFERROR(INDEX(List_Predictors, INDEX(Array_PredictorsLookup,MATCH($A33,List_PredictorFacilities,0),(COLUMN()-1)/2), 1),"")</f>
        <v/>
      </c>
      <c r="L33" s="137"/>
      <c r="M33" s="58" t="str" cm="1">
        <f>IFERROR(INDEX(List_Predictors, INDEX(Array_PredictorsLookup,MATCH($A33,List_PredictorFacilities,0),(COLUMN()-1)/2), 1),"")</f>
        <v/>
      </c>
      <c r="N33" s="137"/>
      <c r="O33" s="58" t="str" cm="1">
        <f>IFERROR(INDEX(List_Predictors, INDEX(Array_PredictorsLookup,MATCH($A33,List_PredictorFacilities,0),(COLUMN()-1)/2), 1),"")</f>
        <v/>
      </c>
      <c r="P33" s="137"/>
      <c r="Q33" s="58" t="str" cm="1">
        <f>IFERROR(INDEX(List_Predictors, INDEX(Array_PredictorsLookup,MATCH($A33,List_PredictorFacilities,0),(COLUMN()-1)/2), 1),"")</f>
        <v/>
      </c>
      <c r="R33" s="137"/>
      <c r="S33" s="58" t="str" cm="1">
        <f>IFERROR(INDEX(List_Predictors, INDEX(Array_PredictorsLookup,MATCH($A33,List_PredictorFacilities,0),(COLUMN()-1)/2), 1),"")</f>
        <v/>
      </c>
      <c r="T33" s="137"/>
      <c r="U33" s="58" t="str" cm="1">
        <f>IFERROR(INDEX(List_Predictors, INDEX(Array_PredictorsLookup,MATCH($A33,List_PredictorFacilities,0),(COLUMN()-1)/2), 1),"")</f>
        <v/>
      </c>
      <c r="V33" s="137"/>
      <c r="W33" s="58" t="str" cm="1">
        <f>IFERROR(INDEX(List_Predictors, INDEX(Array_PredictorsLookup,MATCH($A33,List_PredictorFacilities,0),(COLUMN()-1)/2), 1),"")</f>
        <v/>
      </c>
      <c r="X33" s="137"/>
      <c r="Y33" s="58" t="str" cm="1">
        <f>IFERROR(INDEX(List_Predictors, INDEX(Array_PredictorsLookup,MATCH($A33,List_PredictorFacilities,0),(COLUMN()-1)/2), 1),"")</f>
        <v/>
      </c>
      <c r="Z33" s="137"/>
      <c r="AA33" s="58" t="str" cm="1">
        <f>IFERROR(INDEX(List_Predictors, INDEX(Array_PredictorsLookup,MATCH($A33,List_PredictorFacilities,0),(COLUMN()-1)/2), 1),"")</f>
        <v/>
      </c>
      <c r="AB33" s="137"/>
      <c r="AC33" s="58" t="str" cm="1">
        <f>IFERROR(INDEX(List_Predictors, INDEX(Array_PredictorsLookup,MATCH($A33,List_PredictorFacilities,0),(COLUMN()-1)/2), 1),"")</f>
        <v/>
      </c>
      <c r="AD33" s="137"/>
      <c r="AE33" s="58" t="str" cm="1">
        <f>IFERROR(INDEX(List_Predictors, INDEX(Array_PredictorsLookup,MATCH($A33,List_PredictorFacilities,0),(COLUMN()-1)/2), 1),"")</f>
        <v/>
      </c>
      <c r="AF33" s="137"/>
    </row>
    <row r="34" spans="1:32" x14ac:dyDescent="0.3">
      <c r="A34" s="126"/>
      <c r="B34" s="141"/>
      <c r="C34" s="58" t="str" cm="1">
        <f>IFERROR(INDEX(List_Predictors, INDEX(Array_PredictorsLookup,MATCH($A34,List_PredictorFacilities,0),(COLUMN()-1)/2), 1),"")</f>
        <v/>
      </c>
      <c r="D34" s="137"/>
      <c r="E34" s="58" t="str" cm="1">
        <f>IFERROR(INDEX(List_Predictors, INDEX(Array_PredictorsLookup,MATCH($A34,List_PredictorFacilities,0),(COLUMN()-1)/2), 1),"")</f>
        <v/>
      </c>
      <c r="F34" s="137"/>
      <c r="G34" s="58" t="str" cm="1">
        <f>IFERROR(INDEX(List_Predictors, INDEX(Array_PredictorsLookup,MATCH($A34,List_PredictorFacilities,0),(COLUMN()-1)/2), 1),"")</f>
        <v/>
      </c>
      <c r="H34" s="137"/>
      <c r="I34" s="58" t="str" cm="1">
        <f>IFERROR(INDEX(List_Predictors, INDEX(Array_PredictorsLookup,MATCH($A34,List_PredictorFacilities,0),(COLUMN()-1)/2), 1),"")</f>
        <v/>
      </c>
      <c r="J34" s="137"/>
      <c r="K34" s="58" t="str" cm="1">
        <f>IFERROR(INDEX(List_Predictors, INDEX(Array_PredictorsLookup,MATCH($A34,List_PredictorFacilities,0),(COLUMN()-1)/2), 1),"")</f>
        <v/>
      </c>
      <c r="L34" s="137"/>
      <c r="M34" s="58" t="str" cm="1">
        <f>IFERROR(INDEX(List_Predictors, INDEX(Array_PredictorsLookup,MATCH($A34,List_PredictorFacilities,0),(COLUMN()-1)/2), 1),"")</f>
        <v/>
      </c>
      <c r="N34" s="137"/>
      <c r="O34" s="58" t="str" cm="1">
        <f>IFERROR(INDEX(List_Predictors, INDEX(Array_PredictorsLookup,MATCH($A34,List_PredictorFacilities,0),(COLUMN()-1)/2), 1),"")</f>
        <v/>
      </c>
      <c r="P34" s="137"/>
      <c r="Q34" s="58" t="str" cm="1">
        <f>IFERROR(INDEX(List_Predictors, INDEX(Array_PredictorsLookup,MATCH($A34,List_PredictorFacilities,0),(COLUMN()-1)/2), 1),"")</f>
        <v/>
      </c>
      <c r="R34" s="137"/>
      <c r="S34" s="58" t="str" cm="1">
        <f>IFERROR(INDEX(List_Predictors, INDEX(Array_PredictorsLookup,MATCH($A34,List_PredictorFacilities,0),(COLUMN()-1)/2), 1),"")</f>
        <v/>
      </c>
      <c r="T34" s="137"/>
      <c r="U34" s="58" t="str" cm="1">
        <f>IFERROR(INDEX(List_Predictors, INDEX(Array_PredictorsLookup,MATCH($A34,List_PredictorFacilities,0),(COLUMN()-1)/2), 1),"")</f>
        <v/>
      </c>
      <c r="V34" s="137"/>
      <c r="W34" s="58" t="str" cm="1">
        <f>IFERROR(INDEX(List_Predictors, INDEX(Array_PredictorsLookup,MATCH($A34,List_PredictorFacilities,0),(COLUMN()-1)/2), 1),"")</f>
        <v/>
      </c>
      <c r="X34" s="137"/>
      <c r="Y34" s="58" t="str" cm="1">
        <f>IFERROR(INDEX(List_Predictors, INDEX(Array_PredictorsLookup,MATCH($A34,List_PredictorFacilities,0),(COLUMN()-1)/2), 1),"")</f>
        <v/>
      </c>
      <c r="Z34" s="137"/>
      <c r="AA34" s="58" t="str" cm="1">
        <f>IFERROR(INDEX(List_Predictors, INDEX(Array_PredictorsLookup,MATCH($A34,List_PredictorFacilities,0),(COLUMN()-1)/2), 1),"")</f>
        <v/>
      </c>
      <c r="AB34" s="137"/>
      <c r="AC34" s="58" t="str" cm="1">
        <f>IFERROR(INDEX(List_Predictors, INDEX(Array_PredictorsLookup,MATCH($A34,List_PredictorFacilities,0),(COLUMN()-1)/2), 1),"")</f>
        <v/>
      </c>
      <c r="AD34" s="137"/>
      <c r="AE34" s="58" t="str" cm="1">
        <f>IFERROR(INDEX(List_Predictors, INDEX(Array_PredictorsLookup,MATCH($A34,List_PredictorFacilities,0),(COLUMN()-1)/2), 1),"")</f>
        <v/>
      </c>
      <c r="AF34" s="137"/>
    </row>
    <row r="35" spans="1:32" x14ac:dyDescent="0.3">
      <c r="A35" s="126"/>
      <c r="B35" s="141"/>
      <c r="C35" s="58" t="str" cm="1">
        <f>IFERROR(INDEX(List_Predictors, INDEX(Array_PredictorsLookup,MATCH($A35,List_PredictorFacilities,0),(COLUMN()-1)/2), 1),"")</f>
        <v/>
      </c>
      <c r="D35" s="137"/>
      <c r="E35" s="58" t="str" cm="1">
        <f>IFERROR(INDEX(List_Predictors, INDEX(Array_PredictorsLookup,MATCH($A35,List_PredictorFacilities,0),(COLUMN()-1)/2), 1),"")</f>
        <v/>
      </c>
      <c r="F35" s="137"/>
      <c r="G35" s="58" t="str" cm="1">
        <f>IFERROR(INDEX(List_Predictors, INDEX(Array_PredictorsLookup,MATCH($A35,List_PredictorFacilities,0),(COLUMN()-1)/2), 1),"")</f>
        <v/>
      </c>
      <c r="H35" s="137"/>
      <c r="I35" s="58" t="str" cm="1">
        <f>IFERROR(INDEX(List_Predictors, INDEX(Array_PredictorsLookup,MATCH($A35,List_PredictorFacilities,0),(COLUMN()-1)/2), 1),"")</f>
        <v/>
      </c>
      <c r="J35" s="137"/>
      <c r="K35" s="58" t="str" cm="1">
        <f>IFERROR(INDEX(List_Predictors, INDEX(Array_PredictorsLookup,MATCH($A35,List_PredictorFacilities,0),(COLUMN()-1)/2), 1),"")</f>
        <v/>
      </c>
      <c r="L35" s="137"/>
      <c r="M35" s="58" t="str" cm="1">
        <f>IFERROR(INDEX(List_Predictors, INDEX(Array_PredictorsLookup,MATCH($A35,List_PredictorFacilities,0),(COLUMN()-1)/2), 1),"")</f>
        <v/>
      </c>
      <c r="N35" s="137"/>
      <c r="O35" s="58" t="str" cm="1">
        <f>IFERROR(INDEX(List_Predictors, INDEX(Array_PredictorsLookup,MATCH($A35,List_PredictorFacilities,0),(COLUMN()-1)/2), 1),"")</f>
        <v/>
      </c>
      <c r="P35" s="137"/>
      <c r="Q35" s="58" t="str" cm="1">
        <f>IFERROR(INDEX(List_Predictors, INDEX(Array_PredictorsLookup,MATCH($A35,List_PredictorFacilities,0),(COLUMN()-1)/2), 1),"")</f>
        <v/>
      </c>
      <c r="R35" s="137"/>
      <c r="S35" s="58" t="str" cm="1">
        <f>IFERROR(INDEX(List_Predictors, INDEX(Array_PredictorsLookup,MATCH($A35,List_PredictorFacilities,0),(COLUMN()-1)/2), 1),"")</f>
        <v/>
      </c>
      <c r="T35" s="137"/>
      <c r="U35" s="58" t="str" cm="1">
        <f>IFERROR(INDEX(List_Predictors, INDEX(Array_PredictorsLookup,MATCH($A35,List_PredictorFacilities,0),(COLUMN()-1)/2), 1),"")</f>
        <v/>
      </c>
      <c r="V35" s="137"/>
      <c r="W35" s="58" t="str" cm="1">
        <f>IFERROR(INDEX(List_Predictors, INDEX(Array_PredictorsLookup,MATCH($A35,List_PredictorFacilities,0),(COLUMN()-1)/2), 1),"")</f>
        <v/>
      </c>
      <c r="X35" s="137"/>
      <c r="Y35" s="58" t="str" cm="1">
        <f>IFERROR(INDEX(List_Predictors, INDEX(Array_PredictorsLookup,MATCH($A35,List_PredictorFacilities,0),(COLUMN()-1)/2), 1),"")</f>
        <v/>
      </c>
      <c r="Z35" s="137"/>
      <c r="AA35" s="58" t="str" cm="1">
        <f>IFERROR(INDEX(List_Predictors, INDEX(Array_PredictorsLookup,MATCH($A35,List_PredictorFacilities,0),(COLUMN()-1)/2), 1),"")</f>
        <v/>
      </c>
      <c r="AB35" s="137"/>
      <c r="AC35" s="58" t="str" cm="1">
        <f>IFERROR(INDEX(List_Predictors, INDEX(Array_PredictorsLookup,MATCH($A35,List_PredictorFacilities,0),(COLUMN()-1)/2), 1),"")</f>
        <v/>
      </c>
      <c r="AD35" s="137"/>
      <c r="AE35" s="58" t="str" cm="1">
        <f>IFERROR(INDEX(List_Predictors, INDEX(Array_PredictorsLookup,MATCH($A35,List_PredictorFacilities,0),(COLUMN()-1)/2), 1),"")</f>
        <v/>
      </c>
      <c r="AF35" s="137"/>
    </row>
    <row r="36" spans="1:32" x14ac:dyDescent="0.3">
      <c r="A36" s="126"/>
      <c r="B36" s="141"/>
      <c r="C36" s="58" t="str" cm="1">
        <f>IFERROR(INDEX(List_Predictors, INDEX(Array_PredictorsLookup,MATCH($A36,List_PredictorFacilities,0),(COLUMN()-1)/2), 1),"")</f>
        <v/>
      </c>
      <c r="D36" s="137"/>
      <c r="E36" s="58" t="str" cm="1">
        <f>IFERROR(INDEX(List_Predictors, INDEX(Array_PredictorsLookup,MATCH($A36,List_PredictorFacilities,0),(COLUMN()-1)/2), 1),"")</f>
        <v/>
      </c>
      <c r="F36" s="137"/>
      <c r="G36" s="58" t="str" cm="1">
        <f>IFERROR(INDEX(List_Predictors, INDEX(Array_PredictorsLookup,MATCH($A36,List_PredictorFacilities,0),(COLUMN()-1)/2), 1),"")</f>
        <v/>
      </c>
      <c r="H36" s="137"/>
      <c r="I36" s="58" t="str" cm="1">
        <f>IFERROR(INDEX(List_Predictors, INDEX(Array_PredictorsLookup,MATCH($A36,List_PredictorFacilities,0),(COLUMN()-1)/2), 1),"")</f>
        <v/>
      </c>
      <c r="J36" s="137"/>
      <c r="K36" s="58" t="str" cm="1">
        <f>IFERROR(INDEX(List_Predictors, INDEX(Array_PredictorsLookup,MATCH($A36,List_PredictorFacilities,0),(COLUMN()-1)/2), 1),"")</f>
        <v/>
      </c>
      <c r="L36" s="137"/>
      <c r="M36" s="58" t="str" cm="1">
        <f>IFERROR(INDEX(List_Predictors, INDEX(Array_PredictorsLookup,MATCH($A36,List_PredictorFacilities,0),(COLUMN()-1)/2), 1),"")</f>
        <v/>
      </c>
      <c r="N36" s="137"/>
      <c r="O36" s="58" t="str" cm="1">
        <f>IFERROR(INDEX(List_Predictors, INDEX(Array_PredictorsLookup,MATCH($A36,List_PredictorFacilities,0),(COLUMN()-1)/2), 1),"")</f>
        <v/>
      </c>
      <c r="P36" s="137"/>
      <c r="Q36" s="58" t="str" cm="1">
        <f>IFERROR(INDEX(List_Predictors, INDEX(Array_PredictorsLookup,MATCH($A36,List_PredictorFacilities,0),(COLUMN()-1)/2), 1),"")</f>
        <v/>
      </c>
      <c r="R36" s="137"/>
      <c r="S36" s="58" t="str" cm="1">
        <f>IFERROR(INDEX(List_Predictors, INDEX(Array_PredictorsLookup,MATCH($A36,List_PredictorFacilities,0),(COLUMN()-1)/2), 1),"")</f>
        <v/>
      </c>
      <c r="T36" s="137"/>
      <c r="U36" s="58" t="str" cm="1">
        <f>IFERROR(INDEX(List_Predictors, INDEX(Array_PredictorsLookup,MATCH($A36,List_PredictorFacilities,0),(COLUMN()-1)/2), 1),"")</f>
        <v/>
      </c>
      <c r="V36" s="137"/>
      <c r="W36" s="58" t="str" cm="1">
        <f>IFERROR(INDEX(List_Predictors, INDEX(Array_PredictorsLookup,MATCH($A36,List_PredictorFacilities,0),(COLUMN()-1)/2), 1),"")</f>
        <v/>
      </c>
      <c r="X36" s="137"/>
      <c r="Y36" s="58" t="str" cm="1">
        <f>IFERROR(INDEX(List_Predictors, INDEX(Array_PredictorsLookup,MATCH($A36,List_PredictorFacilities,0),(COLUMN()-1)/2), 1),"")</f>
        <v/>
      </c>
      <c r="Z36" s="137"/>
      <c r="AA36" s="58" t="str" cm="1">
        <f>IFERROR(INDEX(List_Predictors, INDEX(Array_PredictorsLookup,MATCH($A36,List_PredictorFacilities,0),(COLUMN()-1)/2), 1),"")</f>
        <v/>
      </c>
      <c r="AB36" s="137"/>
      <c r="AC36" s="58" t="str" cm="1">
        <f>IFERROR(INDEX(List_Predictors, INDEX(Array_PredictorsLookup,MATCH($A36,List_PredictorFacilities,0),(COLUMN()-1)/2), 1),"")</f>
        <v/>
      </c>
      <c r="AD36" s="137"/>
      <c r="AE36" s="58" t="str" cm="1">
        <f>IFERROR(INDEX(List_Predictors, INDEX(Array_PredictorsLookup,MATCH($A36,List_PredictorFacilities,0),(COLUMN()-1)/2), 1),"")</f>
        <v/>
      </c>
      <c r="AF36" s="137"/>
    </row>
    <row r="37" spans="1:32" x14ac:dyDescent="0.3">
      <c r="A37" s="126"/>
      <c r="B37" s="141"/>
      <c r="C37" s="58" t="str" cm="1">
        <f>IFERROR(INDEX(List_Predictors, INDEX(Array_PredictorsLookup,MATCH($A37,List_PredictorFacilities,0),(COLUMN()-1)/2), 1),"")</f>
        <v/>
      </c>
      <c r="D37" s="137"/>
      <c r="E37" s="58" t="str" cm="1">
        <f>IFERROR(INDEX(List_Predictors, INDEX(Array_PredictorsLookup,MATCH($A37,List_PredictorFacilities,0),(COLUMN()-1)/2), 1),"")</f>
        <v/>
      </c>
      <c r="F37" s="137"/>
      <c r="G37" s="58" t="str" cm="1">
        <f>IFERROR(INDEX(List_Predictors, INDEX(Array_PredictorsLookup,MATCH($A37,List_PredictorFacilities,0),(COLUMN()-1)/2), 1),"")</f>
        <v/>
      </c>
      <c r="H37" s="137"/>
      <c r="I37" s="58" t="str" cm="1">
        <f>IFERROR(INDEX(List_Predictors, INDEX(Array_PredictorsLookup,MATCH($A37,List_PredictorFacilities,0),(COLUMN()-1)/2), 1),"")</f>
        <v/>
      </c>
      <c r="J37" s="137"/>
      <c r="K37" s="58" t="str" cm="1">
        <f>IFERROR(INDEX(List_Predictors, INDEX(Array_PredictorsLookup,MATCH($A37,List_PredictorFacilities,0),(COLUMN()-1)/2), 1),"")</f>
        <v/>
      </c>
      <c r="L37" s="137"/>
      <c r="M37" s="58" t="str" cm="1">
        <f>IFERROR(INDEX(List_Predictors, INDEX(Array_PredictorsLookup,MATCH($A37,List_PredictorFacilities,0),(COLUMN()-1)/2), 1),"")</f>
        <v/>
      </c>
      <c r="N37" s="137"/>
      <c r="O37" s="58" t="str" cm="1">
        <f>IFERROR(INDEX(List_Predictors, INDEX(Array_PredictorsLookup,MATCH($A37,List_PredictorFacilities,0),(COLUMN()-1)/2), 1),"")</f>
        <v/>
      </c>
      <c r="P37" s="137"/>
      <c r="Q37" s="58" t="str" cm="1">
        <f>IFERROR(INDEX(List_Predictors, INDEX(Array_PredictorsLookup,MATCH($A37,List_PredictorFacilities,0),(COLUMN()-1)/2), 1),"")</f>
        <v/>
      </c>
      <c r="R37" s="137"/>
      <c r="S37" s="58" t="str" cm="1">
        <f>IFERROR(INDEX(List_Predictors, INDEX(Array_PredictorsLookup,MATCH($A37,List_PredictorFacilities,0),(COLUMN()-1)/2), 1),"")</f>
        <v/>
      </c>
      <c r="T37" s="137"/>
      <c r="U37" s="58" t="str" cm="1">
        <f>IFERROR(INDEX(List_Predictors, INDEX(Array_PredictorsLookup,MATCH($A37,List_PredictorFacilities,0),(COLUMN()-1)/2), 1),"")</f>
        <v/>
      </c>
      <c r="V37" s="137"/>
      <c r="W37" s="58" t="str" cm="1">
        <f>IFERROR(INDEX(List_Predictors, INDEX(Array_PredictorsLookup,MATCH($A37,List_PredictorFacilities,0),(COLUMN()-1)/2), 1),"")</f>
        <v/>
      </c>
      <c r="X37" s="137"/>
      <c r="Y37" s="58" t="str" cm="1">
        <f>IFERROR(INDEX(List_Predictors, INDEX(Array_PredictorsLookup,MATCH($A37,List_PredictorFacilities,0),(COLUMN()-1)/2), 1),"")</f>
        <v/>
      </c>
      <c r="Z37" s="137"/>
      <c r="AA37" s="58" t="str" cm="1">
        <f>IFERROR(INDEX(List_Predictors, INDEX(Array_PredictorsLookup,MATCH($A37,List_PredictorFacilities,0),(COLUMN()-1)/2), 1),"")</f>
        <v/>
      </c>
      <c r="AB37" s="137"/>
      <c r="AC37" s="58" t="str" cm="1">
        <f>IFERROR(INDEX(List_Predictors, INDEX(Array_PredictorsLookup,MATCH($A37,List_PredictorFacilities,0),(COLUMN()-1)/2), 1),"")</f>
        <v/>
      </c>
      <c r="AD37" s="137"/>
      <c r="AE37" s="58" t="str" cm="1">
        <f>IFERROR(INDEX(List_Predictors, INDEX(Array_PredictorsLookup,MATCH($A37,List_PredictorFacilities,0),(COLUMN()-1)/2), 1),"")</f>
        <v/>
      </c>
      <c r="AF37" s="137"/>
    </row>
    <row r="38" spans="1:32" x14ac:dyDescent="0.3">
      <c r="A38" s="126"/>
      <c r="B38" s="141"/>
      <c r="C38" s="58" t="str" cm="1">
        <f>IFERROR(INDEX(List_Predictors, INDEX(Array_PredictorsLookup,MATCH($A38,List_PredictorFacilities,0),(COLUMN()-1)/2), 1),"")</f>
        <v/>
      </c>
      <c r="D38" s="137"/>
      <c r="E38" s="58" t="str" cm="1">
        <f>IFERROR(INDEX(List_Predictors, INDEX(Array_PredictorsLookup,MATCH($A38,List_PredictorFacilities,0),(COLUMN()-1)/2), 1),"")</f>
        <v/>
      </c>
      <c r="F38" s="137"/>
      <c r="G38" s="58" t="str" cm="1">
        <f>IFERROR(INDEX(List_Predictors, INDEX(Array_PredictorsLookup,MATCH($A38,List_PredictorFacilities,0),(COLUMN()-1)/2), 1),"")</f>
        <v/>
      </c>
      <c r="H38" s="137"/>
      <c r="I38" s="58" t="str" cm="1">
        <f>IFERROR(INDEX(List_Predictors, INDEX(Array_PredictorsLookup,MATCH($A38,List_PredictorFacilities,0),(COLUMN()-1)/2), 1),"")</f>
        <v/>
      </c>
      <c r="J38" s="137"/>
      <c r="K38" s="58" t="str" cm="1">
        <f>IFERROR(INDEX(List_Predictors, INDEX(Array_PredictorsLookup,MATCH($A38,List_PredictorFacilities,0),(COLUMN()-1)/2), 1),"")</f>
        <v/>
      </c>
      <c r="L38" s="137"/>
      <c r="M38" s="58" t="str" cm="1">
        <f>IFERROR(INDEX(List_Predictors, INDEX(Array_PredictorsLookup,MATCH($A38,List_PredictorFacilities,0),(COLUMN()-1)/2), 1),"")</f>
        <v/>
      </c>
      <c r="N38" s="137"/>
      <c r="O38" s="58" t="str" cm="1">
        <f>IFERROR(INDEX(List_Predictors, INDEX(Array_PredictorsLookup,MATCH($A38,List_PredictorFacilities,0),(COLUMN()-1)/2), 1),"")</f>
        <v/>
      </c>
      <c r="P38" s="137"/>
      <c r="Q38" s="58" t="str" cm="1">
        <f>IFERROR(INDEX(List_Predictors, INDEX(Array_PredictorsLookup,MATCH($A38,List_PredictorFacilities,0),(COLUMN()-1)/2), 1),"")</f>
        <v/>
      </c>
      <c r="R38" s="137"/>
      <c r="S38" s="58" t="str" cm="1">
        <f>IFERROR(INDEX(List_Predictors, INDEX(Array_PredictorsLookup,MATCH($A38,List_PredictorFacilities,0),(COLUMN()-1)/2), 1),"")</f>
        <v/>
      </c>
      <c r="T38" s="137"/>
      <c r="U38" s="58" t="str" cm="1">
        <f>IFERROR(INDEX(List_Predictors, INDEX(Array_PredictorsLookup,MATCH($A38,List_PredictorFacilities,0),(COLUMN()-1)/2), 1),"")</f>
        <v/>
      </c>
      <c r="V38" s="137"/>
      <c r="W38" s="58" t="str" cm="1">
        <f>IFERROR(INDEX(List_Predictors, INDEX(Array_PredictorsLookup,MATCH($A38,List_PredictorFacilities,0),(COLUMN()-1)/2), 1),"")</f>
        <v/>
      </c>
      <c r="X38" s="137"/>
      <c r="Y38" s="58" t="str" cm="1">
        <f>IFERROR(INDEX(List_Predictors, INDEX(Array_PredictorsLookup,MATCH($A38,List_PredictorFacilities,0),(COLUMN()-1)/2), 1),"")</f>
        <v/>
      </c>
      <c r="Z38" s="137"/>
      <c r="AA38" s="58" t="str" cm="1">
        <f>IFERROR(INDEX(List_Predictors, INDEX(Array_PredictorsLookup,MATCH($A38,List_PredictorFacilities,0),(COLUMN()-1)/2), 1),"")</f>
        <v/>
      </c>
      <c r="AB38" s="137"/>
      <c r="AC38" s="58" t="str" cm="1">
        <f>IFERROR(INDEX(List_Predictors, INDEX(Array_PredictorsLookup,MATCH($A38,List_PredictorFacilities,0),(COLUMN()-1)/2), 1),"")</f>
        <v/>
      </c>
      <c r="AD38" s="137"/>
      <c r="AE38" s="58" t="str" cm="1">
        <f>IFERROR(INDEX(List_Predictors, INDEX(Array_PredictorsLookup,MATCH($A38,List_PredictorFacilities,0),(COLUMN()-1)/2), 1),"")</f>
        <v/>
      </c>
      <c r="AF38" s="137"/>
    </row>
    <row r="39" spans="1:32" x14ac:dyDescent="0.3">
      <c r="A39" s="126"/>
      <c r="B39" s="141"/>
      <c r="C39" s="58" t="str" cm="1">
        <f>IFERROR(INDEX(List_Predictors, INDEX(Array_PredictorsLookup,MATCH($A39,List_PredictorFacilities,0),(COLUMN()-1)/2), 1),"")</f>
        <v/>
      </c>
      <c r="D39" s="137"/>
      <c r="E39" s="58" t="str" cm="1">
        <f>IFERROR(INDEX(List_Predictors, INDEX(Array_PredictorsLookup,MATCH($A39,List_PredictorFacilities,0),(COLUMN()-1)/2), 1),"")</f>
        <v/>
      </c>
      <c r="F39" s="137"/>
      <c r="G39" s="58" t="str" cm="1">
        <f>IFERROR(INDEX(List_Predictors, INDEX(Array_PredictorsLookup,MATCH($A39,List_PredictorFacilities,0),(COLUMN()-1)/2), 1),"")</f>
        <v/>
      </c>
      <c r="H39" s="137"/>
      <c r="I39" s="58" t="str" cm="1">
        <f>IFERROR(INDEX(List_Predictors, INDEX(Array_PredictorsLookup,MATCH($A39,List_PredictorFacilities,0),(COLUMN()-1)/2), 1),"")</f>
        <v/>
      </c>
      <c r="J39" s="137"/>
      <c r="K39" s="58" t="str" cm="1">
        <f>IFERROR(INDEX(List_Predictors, INDEX(Array_PredictorsLookup,MATCH($A39,List_PredictorFacilities,0),(COLUMN()-1)/2), 1),"")</f>
        <v/>
      </c>
      <c r="L39" s="137"/>
      <c r="M39" s="58" t="str" cm="1">
        <f>IFERROR(INDEX(List_Predictors, INDEX(Array_PredictorsLookup,MATCH($A39,List_PredictorFacilities,0),(COLUMN()-1)/2), 1),"")</f>
        <v/>
      </c>
      <c r="N39" s="137"/>
      <c r="O39" s="58" t="str" cm="1">
        <f>IFERROR(INDEX(List_Predictors, INDEX(Array_PredictorsLookup,MATCH($A39,List_PredictorFacilities,0),(COLUMN()-1)/2), 1),"")</f>
        <v/>
      </c>
      <c r="P39" s="137"/>
      <c r="Q39" s="58" t="str" cm="1">
        <f>IFERROR(INDEX(List_Predictors, INDEX(Array_PredictorsLookup,MATCH($A39,List_PredictorFacilities,0),(COLUMN()-1)/2), 1),"")</f>
        <v/>
      </c>
      <c r="R39" s="137"/>
      <c r="S39" s="58" t="str" cm="1">
        <f>IFERROR(INDEX(List_Predictors, INDEX(Array_PredictorsLookup,MATCH($A39,List_PredictorFacilities,0),(COLUMN()-1)/2), 1),"")</f>
        <v/>
      </c>
      <c r="T39" s="137"/>
      <c r="U39" s="58" t="str" cm="1">
        <f>IFERROR(INDEX(List_Predictors, INDEX(Array_PredictorsLookup,MATCH($A39,List_PredictorFacilities,0),(COLUMN()-1)/2), 1),"")</f>
        <v/>
      </c>
      <c r="V39" s="137"/>
      <c r="W39" s="58" t="str" cm="1">
        <f>IFERROR(INDEX(List_Predictors, INDEX(Array_PredictorsLookup,MATCH($A39,List_PredictorFacilities,0),(COLUMN()-1)/2), 1),"")</f>
        <v/>
      </c>
      <c r="X39" s="137"/>
      <c r="Y39" s="58" t="str" cm="1">
        <f>IFERROR(INDEX(List_Predictors, INDEX(Array_PredictorsLookup,MATCH($A39,List_PredictorFacilities,0),(COLUMN()-1)/2), 1),"")</f>
        <v/>
      </c>
      <c r="Z39" s="137"/>
      <c r="AA39" s="58" t="str" cm="1">
        <f>IFERROR(INDEX(List_Predictors, INDEX(Array_PredictorsLookup,MATCH($A39,List_PredictorFacilities,0),(COLUMN()-1)/2), 1),"")</f>
        <v/>
      </c>
      <c r="AB39" s="137"/>
      <c r="AC39" s="58" t="str" cm="1">
        <f>IFERROR(INDEX(List_Predictors, INDEX(Array_PredictorsLookup,MATCH($A39,List_PredictorFacilities,0),(COLUMN()-1)/2), 1),"")</f>
        <v/>
      </c>
      <c r="AD39" s="137"/>
      <c r="AE39" s="58" t="str" cm="1">
        <f>IFERROR(INDEX(List_Predictors, INDEX(Array_PredictorsLookup,MATCH($A39,List_PredictorFacilities,0),(COLUMN()-1)/2), 1),"")</f>
        <v/>
      </c>
      <c r="AF39" s="137"/>
    </row>
    <row r="40" spans="1:32" x14ac:dyDescent="0.3">
      <c r="A40" s="126"/>
      <c r="B40" s="141"/>
      <c r="C40" s="58" t="str" cm="1">
        <f>IFERROR(INDEX(List_Predictors, INDEX(Array_PredictorsLookup,MATCH($A40,List_PredictorFacilities,0),(COLUMN()-1)/2), 1),"")</f>
        <v/>
      </c>
      <c r="D40" s="137"/>
      <c r="E40" s="58" t="str" cm="1">
        <f>IFERROR(INDEX(List_Predictors, INDEX(Array_PredictorsLookup,MATCH($A40,List_PredictorFacilities,0),(COLUMN()-1)/2), 1),"")</f>
        <v/>
      </c>
      <c r="F40" s="137"/>
      <c r="G40" s="58" t="str" cm="1">
        <f>IFERROR(INDEX(List_Predictors, INDEX(Array_PredictorsLookup,MATCH($A40,List_PredictorFacilities,0),(COLUMN()-1)/2), 1),"")</f>
        <v/>
      </c>
      <c r="H40" s="137"/>
      <c r="I40" s="58" t="str" cm="1">
        <f>IFERROR(INDEX(List_Predictors, INDEX(Array_PredictorsLookup,MATCH($A40,List_PredictorFacilities,0),(COLUMN()-1)/2), 1),"")</f>
        <v/>
      </c>
      <c r="J40" s="137"/>
      <c r="K40" s="58" t="str" cm="1">
        <f>IFERROR(INDEX(List_Predictors, INDEX(Array_PredictorsLookup,MATCH($A40,List_PredictorFacilities,0),(COLUMN()-1)/2), 1),"")</f>
        <v/>
      </c>
      <c r="L40" s="137"/>
      <c r="M40" s="58" t="str" cm="1">
        <f>IFERROR(INDEX(List_Predictors, INDEX(Array_PredictorsLookup,MATCH($A40,List_PredictorFacilities,0),(COLUMN()-1)/2), 1),"")</f>
        <v/>
      </c>
      <c r="N40" s="137"/>
      <c r="O40" s="58" t="str" cm="1">
        <f>IFERROR(INDEX(List_Predictors, INDEX(Array_PredictorsLookup,MATCH($A40,List_PredictorFacilities,0),(COLUMN()-1)/2), 1),"")</f>
        <v/>
      </c>
      <c r="P40" s="137"/>
      <c r="Q40" s="58" t="str" cm="1">
        <f>IFERROR(INDEX(List_Predictors, INDEX(Array_PredictorsLookup,MATCH($A40,List_PredictorFacilities,0),(COLUMN()-1)/2), 1),"")</f>
        <v/>
      </c>
      <c r="R40" s="137"/>
      <c r="S40" s="58" t="str" cm="1">
        <f>IFERROR(INDEX(List_Predictors, INDEX(Array_PredictorsLookup,MATCH($A40,List_PredictorFacilities,0),(COLUMN()-1)/2), 1),"")</f>
        <v/>
      </c>
      <c r="T40" s="137"/>
      <c r="U40" s="58" t="str" cm="1">
        <f>IFERROR(INDEX(List_Predictors, INDEX(Array_PredictorsLookup,MATCH($A40,List_PredictorFacilities,0),(COLUMN()-1)/2), 1),"")</f>
        <v/>
      </c>
      <c r="V40" s="137"/>
      <c r="W40" s="58" t="str" cm="1">
        <f>IFERROR(INDEX(List_Predictors, INDEX(Array_PredictorsLookup,MATCH($A40,List_PredictorFacilities,0),(COLUMN()-1)/2), 1),"")</f>
        <v/>
      </c>
      <c r="X40" s="137"/>
      <c r="Y40" s="58" t="str" cm="1">
        <f>IFERROR(INDEX(List_Predictors, INDEX(Array_PredictorsLookup,MATCH($A40,List_PredictorFacilities,0),(COLUMN()-1)/2), 1),"")</f>
        <v/>
      </c>
      <c r="Z40" s="137"/>
      <c r="AA40" s="58" t="str" cm="1">
        <f>IFERROR(INDEX(List_Predictors, INDEX(Array_PredictorsLookup,MATCH($A40,List_PredictorFacilities,0),(COLUMN()-1)/2), 1),"")</f>
        <v/>
      </c>
      <c r="AB40" s="137"/>
      <c r="AC40" s="58" t="str" cm="1">
        <f>IFERROR(INDEX(List_Predictors, INDEX(Array_PredictorsLookup,MATCH($A40,List_PredictorFacilities,0),(COLUMN()-1)/2), 1),"")</f>
        <v/>
      </c>
      <c r="AD40" s="137"/>
      <c r="AE40" s="58" t="str" cm="1">
        <f>IFERROR(INDEX(List_Predictors, INDEX(Array_PredictorsLookup,MATCH($A40,List_PredictorFacilities,0),(COLUMN()-1)/2), 1),"")</f>
        <v/>
      </c>
      <c r="AF40" s="137"/>
    </row>
    <row r="41" spans="1:32" x14ac:dyDescent="0.3">
      <c r="A41" s="126"/>
      <c r="B41" s="141"/>
      <c r="C41" s="58" t="str" cm="1">
        <f>IFERROR(INDEX(List_Predictors, INDEX(Array_PredictorsLookup,MATCH($A41,List_PredictorFacilities,0),(COLUMN()-1)/2), 1),"")</f>
        <v/>
      </c>
      <c r="D41" s="137"/>
      <c r="E41" s="58" t="str" cm="1">
        <f>IFERROR(INDEX(List_Predictors, INDEX(Array_PredictorsLookup,MATCH($A41,List_PredictorFacilities,0),(COLUMN()-1)/2), 1),"")</f>
        <v/>
      </c>
      <c r="F41" s="137"/>
      <c r="G41" s="58" t="str" cm="1">
        <f>IFERROR(INDEX(List_Predictors, INDEX(Array_PredictorsLookup,MATCH($A41,List_PredictorFacilities,0),(COLUMN()-1)/2), 1),"")</f>
        <v/>
      </c>
      <c r="H41" s="137"/>
      <c r="I41" s="58" t="str" cm="1">
        <f>IFERROR(INDEX(List_Predictors, INDEX(Array_PredictorsLookup,MATCH($A41,List_PredictorFacilities,0),(COLUMN()-1)/2), 1),"")</f>
        <v/>
      </c>
      <c r="J41" s="137"/>
      <c r="K41" s="58" t="str" cm="1">
        <f>IFERROR(INDEX(List_Predictors, INDEX(Array_PredictorsLookup,MATCH($A41,List_PredictorFacilities,0),(COLUMN()-1)/2), 1),"")</f>
        <v/>
      </c>
      <c r="L41" s="137"/>
      <c r="M41" s="58" t="str" cm="1">
        <f>IFERROR(INDEX(List_Predictors, INDEX(Array_PredictorsLookup,MATCH($A41,List_PredictorFacilities,0),(COLUMN()-1)/2), 1),"")</f>
        <v/>
      </c>
      <c r="N41" s="137"/>
      <c r="O41" s="58" t="str" cm="1">
        <f>IFERROR(INDEX(List_Predictors, INDEX(Array_PredictorsLookup,MATCH($A41,List_PredictorFacilities,0),(COLUMN()-1)/2), 1),"")</f>
        <v/>
      </c>
      <c r="P41" s="137"/>
      <c r="Q41" s="58" t="str" cm="1">
        <f>IFERROR(INDEX(List_Predictors, INDEX(Array_PredictorsLookup,MATCH($A41,List_PredictorFacilities,0),(COLUMN()-1)/2), 1),"")</f>
        <v/>
      </c>
      <c r="R41" s="137"/>
      <c r="S41" s="58" t="str" cm="1">
        <f>IFERROR(INDEX(List_Predictors, INDEX(Array_PredictorsLookup,MATCH($A41,List_PredictorFacilities,0),(COLUMN()-1)/2), 1),"")</f>
        <v/>
      </c>
      <c r="T41" s="137"/>
      <c r="U41" s="58" t="str" cm="1">
        <f>IFERROR(INDEX(List_Predictors, INDEX(Array_PredictorsLookup,MATCH($A41,List_PredictorFacilities,0),(COLUMN()-1)/2), 1),"")</f>
        <v/>
      </c>
      <c r="V41" s="137"/>
      <c r="W41" s="58" t="str" cm="1">
        <f>IFERROR(INDEX(List_Predictors, INDEX(Array_PredictorsLookup,MATCH($A41,List_PredictorFacilities,0),(COLUMN()-1)/2), 1),"")</f>
        <v/>
      </c>
      <c r="X41" s="137"/>
      <c r="Y41" s="58" t="str" cm="1">
        <f>IFERROR(INDEX(List_Predictors, INDEX(Array_PredictorsLookup,MATCH($A41,List_PredictorFacilities,0),(COLUMN()-1)/2), 1),"")</f>
        <v/>
      </c>
      <c r="Z41" s="137"/>
      <c r="AA41" s="58" t="str" cm="1">
        <f>IFERROR(INDEX(List_Predictors, INDEX(Array_PredictorsLookup,MATCH($A41,List_PredictorFacilities,0),(COLUMN()-1)/2), 1),"")</f>
        <v/>
      </c>
      <c r="AB41" s="137"/>
      <c r="AC41" s="58" t="str" cm="1">
        <f>IFERROR(INDEX(List_Predictors, INDEX(Array_PredictorsLookup,MATCH($A41,List_PredictorFacilities,0),(COLUMN()-1)/2), 1),"")</f>
        <v/>
      </c>
      <c r="AD41" s="137"/>
      <c r="AE41" s="58" t="str" cm="1">
        <f>IFERROR(INDEX(List_Predictors, INDEX(Array_PredictorsLookup,MATCH($A41,List_PredictorFacilities,0),(COLUMN()-1)/2), 1),"")</f>
        <v/>
      </c>
      <c r="AF41" s="137"/>
    </row>
    <row r="42" spans="1:32" x14ac:dyDescent="0.3">
      <c r="A42" s="126"/>
      <c r="B42" s="141"/>
      <c r="C42" s="58" t="str" cm="1">
        <f>IFERROR(INDEX(List_Predictors, INDEX(Array_PredictorsLookup,MATCH($A42,List_PredictorFacilities,0),(COLUMN()-1)/2), 1),"")</f>
        <v/>
      </c>
      <c r="D42" s="137"/>
      <c r="E42" s="58" t="str" cm="1">
        <f>IFERROR(INDEX(List_Predictors, INDEX(Array_PredictorsLookup,MATCH($A42,List_PredictorFacilities,0),(COLUMN()-1)/2), 1),"")</f>
        <v/>
      </c>
      <c r="F42" s="137"/>
      <c r="G42" s="58" t="str" cm="1">
        <f>IFERROR(INDEX(List_Predictors, INDEX(Array_PredictorsLookup,MATCH($A42,List_PredictorFacilities,0),(COLUMN()-1)/2), 1),"")</f>
        <v/>
      </c>
      <c r="H42" s="137"/>
      <c r="I42" s="58" t="str" cm="1">
        <f>IFERROR(INDEX(List_Predictors, INDEX(Array_PredictorsLookup,MATCH($A42,List_PredictorFacilities,0),(COLUMN()-1)/2), 1),"")</f>
        <v/>
      </c>
      <c r="J42" s="137"/>
      <c r="K42" s="58" t="str" cm="1">
        <f>IFERROR(INDEX(List_Predictors, INDEX(Array_PredictorsLookup,MATCH($A42,List_PredictorFacilities,0),(COLUMN()-1)/2), 1),"")</f>
        <v/>
      </c>
      <c r="L42" s="137"/>
      <c r="M42" s="58" t="str" cm="1">
        <f>IFERROR(INDEX(List_Predictors, INDEX(Array_PredictorsLookup,MATCH($A42,List_PredictorFacilities,0),(COLUMN()-1)/2), 1),"")</f>
        <v/>
      </c>
      <c r="N42" s="137"/>
      <c r="O42" s="58" t="str" cm="1">
        <f>IFERROR(INDEX(List_Predictors, INDEX(Array_PredictorsLookup,MATCH($A42,List_PredictorFacilities,0),(COLUMN()-1)/2), 1),"")</f>
        <v/>
      </c>
      <c r="P42" s="137"/>
      <c r="Q42" s="58" t="str" cm="1">
        <f>IFERROR(INDEX(List_Predictors, INDEX(Array_PredictorsLookup,MATCH($A42,List_PredictorFacilities,0),(COLUMN()-1)/2), 1),"")</f>
        <v/>
      </c>
      <c r="R42" s="137"/>
      <c r="S42" s="58" t="str" cm="1">
        <f>IFERROR(INDEX(List_Predictors, INDEX(Array_PredictorsLookup,MATCH($A42,List_PredictorFacilities,0),(COLUMN()-1)/2), 1),"")</f>
        <v/>
      </c>
      <c r="T42" s="137"/>
      <c r="U42" s="58" t="str" cm="1">
        <f>IFERROR(INDEX(List_Predictors, INDEX(Array_PredictorsLookup,MATCH($A42,List_PredictorFacilities,0),(COLUMN()-1)/2), 1),"")</f>
        <v/>
      </c>
      <c r="V42" s="137"/>
      <c r="W42" s="58" t="str" cm="1">
        <f>IFERROR(INDEX(List_Predictors, INDEX(Array_PredictorsLookup,MATCH($A42,List_PredictorFacilities,0),(COLUMN()-1)/2), 1),"")</f>
        <v/>
      </c>
      <c r="X42" s="137"/>
      <c r="Y42" s="58" t="str" cm="1">
        <f>IFERROR(INDEX(List_Predictors, INDEX(Array_PredictorsLookup,MATCH($A42,List_PredictorFacilities,0),(COLUMN()-1)/2), 1),"")</f>
        <v/>
      </c>
      <c r="Z42" s="137"/>
      <c r="AA42" s="58" t="str" cm="1">
        <f>IFERROR(INDEX(List_Predictors, INDEX(Array_PredictorsLookup,MATCH($A42,List_PredictorFacilities,0),(COLUMN()-1)/2), 1),"")</f>
        <v/>
      </c>
      <c r="AB42" s="137"/>
      <c r="AC42" s="58" t="str" cm="1">
        <f>IFERROR(INDEX(List_Predictors, INDEX(Array_PredictorsLookup,MATCH($A42,List_PredictorFacilities,0),(COLUMN()-1)/2), 1),"")</f>
        <v/>
      </c>
      <c r="AD42" s="137"/>
      <c r="AE42" s="58" t="str" cm="1">
        <f>IFERROR(INDEX(List_Predictors, INDEX(Array_PredictorsLookup,MATCH($A42,List_PredictorFacilities,0),(COLUMN()-1)/2), 1),"")</f>
        <v/>
      </c>
      <c r="AF42" s="137"/>
    </row>
    <row r="43" spans="1:32" x14ac:dyDescent="0.3">
      <c r="A43" s="126"/>
      <c r="B43" s="141"/>
      <c r="C43" s="58" t="str" cm="1">
        <f>IFERROR(INDEX(List_Predictors, INDEX(Array_PredictorsLookup,MATCH($A43,List_PredictorFacilities,0),(COLUMN()-1)/2), 1),"")</f>
        <v/>
      </c>
      <c r="D43" s="137"/>
      <c r="E43" s="58" t="str" cm="1">
        <f>IFERROR(INDEX(List_Predictors, INDEX(Array_PredictorsLookup,MATCH($A43,List_PredictorFacilities,0),(COLUMN()-1)/2), 1),"")</f>
        <v/>
      </c>
      <c r="F43" s="137"/>
      <c r="G43" s="58" t="str" cm="1">
        <f>IFERROR(INDEX(List_Predictors, INDEX(Array_PredictorsLookup,MATCH($A43,List_PredictorFacilities,0),(COLUMN()-1)/2), 1),"")</f>
        <v/>
      </c>
      <c r="H43" s="137"/>
      <c r="I43" s="58" t="str" cm="1">
        <f>IFERROR(INDEX(List_Predictors, INDEX(Array_PredictorsLookup,MATCH($A43,List_PredictorFacilities,0),(COLUMN()-1)/2), 1),"")</f>
        <v/>
      </c>
      <c r="J43" s="137"/>
      <c r="K43" s="58" t="str" cm="1">
        <f>IFERROR(INDEX(List_Predictors, INDEX(Array_PredictorsLookup,MATCH($A43,List_PredictorFacilities,0),(COLUMN()-1)/2), 1),"")</f>
        <v/>
      </c>
      <c r="L43" s="137"/>
      <c r="M43" s="58" t="str" cm="1">
        <f>IFERROR(INDEX(List_Predictors, INDEX(Array_PredictorsLookup,MATCH($A43,List_PredictorFacilities,0),(COLUMN()-1)/2), 1),"")</f>
        <v/>
      </c>
      <c r="N43" s="137"/>
      <c r="O43" s="58" t="str" cm="1">
        <f>IFERROR(INDEX(List_Predictors, INDEX(Array_PredictorsLookup,MATCH($A43,List_PredictorFacilities,0),(COLUMN()-1)/2), 1),"")</f>
        <v/>
      </c>
      <c r="P43" s="137"/>
      <c r="Q43" s="58" t="str" cm="1">
        <f>IFERROR(INDEX(List_Predictors, INDEX(Array_PredictorsLookup,MATCH($A43,List_PredictorFacilities,0),(COLUMN()-1)/2), 1),"")</f>
        <v/>
      </c>
      <c r="R43" s="137"/>
      <c r="S43" s="58" t="str" cm="1">
        <f>IFERROR(INDEX(List_Predictors, INDEX(Array_PredictorsLookup,MATCH($A43,List_PredictorFacilities,0),(COLUMN()-1)/2), 1),"")</f>
        <v/>
      </c>
      <c r="T43" s="137"/>
      <c r="U43" s="58" t="str" cm="1">
        <f>IFERROR(INDEX(List_Predictors, INDEX(Array_PredictorsLookup,MATCH($A43,List_PredictorFacilities,0),(COLUMN()-1)/2), 1),"")</f>
        <v/>
      </c>
      <c r="V43" s="137"/>
      <c r="W43" s="58" t="str" cm="1">
        <f>IFERROR(INDEX(List_Predictors, INDEX(Array_PredictorsLookup,MATCH($A43,List_PredictorFacilities,0),(COLUMN()-1)/2), 1),"")</f>
        <v/>
      </c>
      <c r="X43" s="137"/>
      <c r="Y43" s="58" t="str" cm="1">
        <f>IFERROR(INDEX(List_Predictors, INDEX(Array_PredictorsLookup,MATCH($A43,List_PredictorFacilities,0),(COLUMN()-1)/2), 1),"")</f>
        <v/>
      </c>
      <c r="Z43" s="137"/>
      <c r="AA43" s="58" t="str" cm="1">
        <f>IFERROR(INDEX(List_Predictors, INDEX(Array_PredictorsLookup,MATCH($A43,List_PredictorFacilities,0),(COLUMN()-1)/2), 1),"")</f>
        <v/>
      </c>
      <c r="AB43" s="137"/>
      <c r="AC43" s="58" t="str" cm="1">
        <f>IFERROR(INDEX(List_Predictors, INDEX(Array_PredictorsLookup,MATCH($A43,List_PredictorFacilities,0),(COLUMN()-1)/2), 1),"")</f>
        <v/>
      </c>
      <c r="AD43" s="137"/>
      <c r="AE43" s="58" t="str" cm="1">
        <f>IFERROR(INDEX(List_Predictors, INDEX(Array_PredictorsLookup,MATCH($A43,List_PredictorFacilities,0),(COLUMN()-1)/2), 1),"")</f>
        <v/>
      </c>
      <c r="AF43" s="137"/>
    </row>
    <row r="44" spans="1:32" x14ac:dyDescent="0.3">
      <c r="A44" s="126"/>
      <c r="B44" s="141"/>
      <c r="C44" s="58" t="str" cm="1">
        <f>IFERROR(INDEX(List_Predictors, INDEX(Array_PredictorsLookup,MATCH($A44,List_PredictorFacilities,0),(COLUMN()-1)/2), 1),"")</f>
        <v/>
      </c>
      <c r="D44" s="137"/>
      <c r="E44" s="58" t="str" cm="1">
        <f>IFERROR(INDEX(List_Predictors, INDEX(Array_PredictorsLookup,MATCH($A44,List_PredictorFacilities,0),(COLUMN()-1)/2), 1),"")</f>
        <v/>
      </c>
      <c r="F44" s="137"/>
      <c r="G44" s="58" t="str" cm="1">
        <f>IFERROR(INDEX(List_Predictors, INDEX(Array_PredictorsLookup,MATCH($A44,List_PredictorFacilities,0),(COLUMN()-1)/2), 1),"")</f>
        <v/>
      </c>
      <c r="H44" s="137"/>
      <c r="I44" s="58" t="str" cm="1">
        <f>IFERROR(INDEX(List_Predictors, INDEX(Array_PredictorsLookup,MATCH($A44,List_PredictorFacilities,0),(COLUMN()-1)/2), 1),"")</f>
        <v/>
      </c>
      <c r="J44" s="137"/>
      <c r="K44" s="58" t="str" cm="1">
        <f>IFERROR(INDEX(List_Predictors, INDEX(Array_PredictorsLookup,MATCH($A44,List_PredictorFacilities,0),(COLUMN()-1)/2), 1),"")</f>
        <v/>
      </c>
      <c r="L44" s="137"/>
      <c r="M44" s="58" t="str" cm="1">
        <f>IFERROR(INDEX(List_Predictors, INDEX(Array_PredictorsLookup,MATCH($A44,List_PredictorFacilities,0),(COLUMN()-1)/2), 1),"")</f>
        <v/>
      </c>
      <c r="N44" s="137"/>
      <c r="O44" s="58" t="str" cm="1">
        <f>IFERROR(INDEX(List_Predictors, INDEX(Array_PredictorsLookup,MATCH($A44,List_PredictorFacilities,0),(COLUMN()-1)/2), 1),"")</f>
        <v/>
      </c>
      <c r="P44" s="137"/>
      <c r="Q44" s="58" t="str" cm="1">
        <f>IFERROR(INDEX(List_Predictors, INDEX(Array_PredictorsLookup,MATCH($A44,List_PredictorFacilities,0),(COLUMN()-1)/2), 1),"")</f>
        <v/>
      </c>
      <c r="R44" s="137"/>
      <c r="S44" s="58" t="str" cm="1">
        <f>IFERROR(INDEX(List_Predictors, INDEX(Array_PredictorsLookup,MATCH($A44,List_PredictorFacilities,0),(COLUMN()-1)/2), 1),"")</f>
        <v/>
      </c>
      <c r="T44" s="137"/>
      <c r="U44" s="58" t="str" cm="1">
        <f>IFERROR(INDEX(List_Predictors, INDEX(Array_PredictorsLookup,MATCH($A44,List_PredictorFacilities,0),(COLUMN()-1)/2), 1),"")</f>
        <v/>
      </c>
      <c r="V44" s="137"/>
      <c r="W44" s="58" t="str" cm="1">
        <f>IFERROR(INDEX(List_Predictors, INDEX(Array_PredictorsLookup,MATCH($A44,List_PredictorFacilities,0),(COLUMN()-1)/2), 1),"")</f>
        <v/>
      </c>
      <c r="X44" s="137"/>
      <c r="Y44" s="58" t="str" cm="1">
        <f>IFERROR(INDEX(List_Predictors, INDEX(Array_PredictorsLookup,MATCH($A44,List_PredictorFacilities,0),(COLUMN()-1)/2), 1),"")</f>
        <v/>
      </c>
      <c r="Z44" s="137"/>
      <c r="AA44" s="58" t="str" cm="1">
        <f>IFERROR(INDEX(List_Predictors, INDEX(Array_PredictorsLookup,MATCH($A44,List_PredictorFacilities,0),(COLUMN()-1)/2), 1),"")</f>
        <v/>
      </c>
      <c r="AB44" s="137"/>
      <c r="AC44" s="58" t="str" cm="1">
        <f>IFERROR(INDEX(List_Predictors, INDEX(Array_PredictorsLookup,MATCH($A44,List_PredictorFacilities,0),(COLUMN()-1)/2), 1),"")</f>
        <v/>
      </c>
      <c r="AD44" s="137"/>
      <c r="AE44" s="58" t="str" cm="1">
        <f>IFERROR(INDEX(List_Predictors, INDEX(Array_PredictorsLookup,MATCH($A44,List_PredictorFacilities,0),(COLUMN()-1)/2), 1),"")</f>
        <v/>
      </c>
      <c r="AF44" s="137"/>
    </row>
    <row r="45" spans="1:32" x14ac:dyDescent="0.3">
      <c r="A45" s="126"/>
      <c r="B45" s="141"/>
      <c r="C45" s="58" t="str" cm="1">
        <f>IFERROR(INDEX(List_Predictors, INDEX(Array_PredictorsLookup,MATCH($A45,List_PredictorFacilities,0),(COLUMN()-1)/2), 1),"")</f>
        <v/>
      </c>
      <c r="D45" s="137"/>
      <c r="E45" s="58" t="str" cm="1">
        <f>IFERROR(INDEX(List_Predictors, INDEX(Array_PredictorsLookup,MATCH($A45,List_PredictorFacilities,0),(COLUMN()-1)/2), 1),"")</f>
        <v/>
      </c>
      <c r="F45" s="137"/>
      <c r="G45" s="58" t="str" cm="1">
        <f>IFERROR(INDEX(List_Predictors, INDEX(Array_PredictorsLookup,MATCH($A45,List_PredictorFacilities,0),(COLUMN()-1)/2), 1),"")</f>
        <v/>
      </c>
      <c r="H45" s="137"/>
      <c r="I45" s="58" t="str" cm="1">
        <f>IFERROR(INDEX(List_Predictors, INDEX(Array_PredictorsLookup,MATCH($A45,List_PredictorFacilities,0),(COLUMN()-1)/2), 1),"")</f>
        <v/>
      </c>
      <c r="J45" s="137"/>
      <c r="K45" s="58" t="str" cm="1">
        <f>IFERROR(INDEX(List_Predictors, INDEX(Array_PredictorsLookup,MATCH($A45,List_PredictorFacilities,0),(COLUMN()-1)/2), 1),"")</f>
        <v/>
      </c>
      <c r="L45" s="137"/>
      <c r="M45" s="58" t="str" cm="1">
        <f>IFERROR(INDEX(List_Predictors, INDEX(Array_PredictorsLookup,MATCH($A45,List_PredictorFacilities,0),(COLUMN()-1)/2), 1),"")</f>
        <v/>
      </c>
      <c r="N45" s="137"/>
      <c r="O45" s="58" t="str" cm="1">
        <f>IFERROR(INDEX(List_Predictors, INDEX(Array_PredictorsLookup,MATCH($A45,List_PredictorFacilities,0),(COLUMN()-1)/2), 1),"")</f>
        <v/>
      </c>
      <c r="P45" s="137"/>
      <c r="Q45" s="58" t="str" cm="1">
        <f>IFERROR(INDEX(List_Predictors, INDEX(Array_PredictorsLookup,MATCH($A45,List_PredictorFacilities,0),(COLUMN()-1)/2), 1),"")</f>
        <v/>
      </c>
      <c r="R45" s="137"/>
      <c r="S45" s="58" t="str" cm="1">
        <f>IFERROR(INDEX(List_Predictors, INDEX(Array_PredictorsLookup,MATCH($A45,List_PredictorFacilities,0),(COLUMN()-1)/2), 1),"")</f>
        <v/>
      </c>
      <c r="T45" s="137"/>
      <c r="U45" s="58" t="str" cm="1">
        <f>IFERROR(INDEX(List_Predictors, INDEX(Array_PredictorsLookup,MATCH($A45,List_PredictorFacilities,0),(COLUMN()-1)/2), 1),"")</f>
        <v/>
      </c>
      <c r="V45" s="137"/>
      <c r="W45" s="58" t="str" cm="1">
        <f>IFERROR(INDEX(List_Predictors, INDEX(Array_PredictorsLookup,MATCH($A45,List_PredictorFacilities,0),(COLUMN()-1)/2), 1),"")</f>
        <v/>
      </c>
      <c r="X45" s="137"/>
      <c r="Y45" s="58" t="str" cm="1">
        <f>IFERROR(INDEX(List_Predictors, INDEX(Array_PredictorsLookup,MATCH($A45,List_PredictorFacilities,0),(COLUMN()-1)/2), 1),"")</f>
        <v/>
      </c>
      <c r="Z45" s="137"/>
      <c r="AA45" s="58" t="str" cm="1">
        <f>IFERROR(INDEX(List_Predictors, INDEX(Array_PredictorsLookup,MATCH($A45,List_PredictorFacilities,0),(COLUMN()-1)/2), 1),"")</f>
        <v/>
      </c>
      <c r="AB45" s="137"/>
      <c r="AC45" s="58" t="str" cm="1">
        <f>IFERROR(INDEX(List_Predictors, INDEX(Array_PredictorsLookup,MATCH($A45,List_PredictorFacilities,0),(COLUMN()-1)/2), 1),"")</f>
        <v/>
      </c>
      <c r="AD45" s="137"/>
      <c r="AE45" s="58" t="str" cm="1">
        <f>IFERROR(INDEX(List_Predictors, INDEX(Array_PredictorsLookup,MATCH($A45,List_PredictorFacilities,0),(COLUMN()-1)/2), 1),"")</f>
        <v/>
      </c>
      <c r="AF45" s="137"/>
    </row>
    <row r="46" spans="1:32" x14ac:dyDescent="0.3">
      <c r="A46" s="126"/>
      <c r="B46" s="141"/>
      <c r="C46" s="58" t="str" cm="1">
        <f>IFERROR(INDEX(List_Predictors, INDEX(Array_PredictorsLookup,MATCH($A46,List_PredictorFacilities,0),(COLUMN()-1)/2), 1),"")</f>
        <v/>
      </c>
      <c r="D46" s="137"/>
      <c r="E46" s="58" t="str" cm="1">
        <f>IFERROR(INDEX(List_Predictors, INDEX(Array_PredictorsLookup,MATCH($A46,List_PredictorFacilities,0),(COLUMN()-1)/2), 1),"")</f>
        <v/>
      </c>
      <c r="F46" s="137"/>
      <c r="G46" s="58" t="str" cm="1">
        <f>IFERROR(INDEX(List_Predictors, INDEX(Array_PredictorsLookup,MATCH($A46,List_PredictorFacilities,0),(COLUMN()-1)/2), 1),"")</f>
        <v/>
      </c>
      <c r="H46" s="137"/>
      <c r="I46" s="58" t="str" cm="1">
        <f>IFERROR(INDEX(List_Predictors, INDEX(Array_PredictorsLookup,MATCH($A46,List_PredictorFacilities,0),(COLUMN()-1)/2), 1),"")</f>
        <v/>
      </c>
      <c r="J46" s="137"/>
      <c r="K46" s="58" t="str" cm="1">
        <f>IFERROR(INDEX(List_Predictors, INDEX(Array_PredictorsLookup,MATCH($A46,List_PredictorFacilities,0),(COLUMN()-1)/2), 1),"")</f>
        <v/>
      </c>
      <c r="L46" s="137"/>
      <c r="M46" s="58" t="str" cm="1">
        <f>IFERROR(INDEX(List_Predictors, INDEX(Array_PredictorsLookup,MATCH($A46,List_PredictorFacilities,0),(COLUMN()-1)/2), 1),"")</f>
        <v/>
      </c>
      <c r="N46" s="137"/>
      <c r="O46" s="58" t="str" cm="1">
        <f>IFERROR(INDEX(List_Predictors, INDEX(Array_PredictorsLookup,MATCH($A46,List_PredictorFacilities,0),(COLUMN()-1)/2), 1),"")</f>
        <v/>
      </c>
      <c r="P46" s="137"/>
      <c r="Q46" s="58" t="str" cm="1">
        <f>IFERROR(INDEX(List_Predictors, INDEX(Array_PredictorsLookup,MATCH($A46,List_PredictorFacilities,0),(COLUMN()-1)/2), 1),"")</f>
        <v/>
      </c>
      <c r="R46" s="137"/>
      <c r="S46" s="58" t="str" cm="1">
        <f>IFERROR(INDEX(List_Predictors, INDEX(Array_PredictorsLookup,MATCH($A46,List_PredictorFacilities,0),(COLUMN()-1)/2), 1),"")</f>
        <v/>
      </c>
      <c r="T46" s="137"/>
      <c r="U46" s="58" t="str" cm="1">
        <f>IFERROR(INDEX(List_Predictors, INDEX(Array_PredictorsLookup,MATCH($A46,List_PredictorFacilities,0),(COLUMN()-1)/2), 1),"")</f>
        <v/>
      </c>
      <c r="V46" s="137"/>
      <c r="W46" s="58" t="str" cm="1">
        <f>IFERROR(INDEX(List_Predictors, INDEX(Array_PredictorsLookup,MATCH($A46,List_PredictorFacilities,0),(COLUMN()-1)/2), 1),"")</f>
        <v/>
      </c>
      <c r="X46" s="137"/>
      <c r="Y46" s="58" t="str" cm="1">
        <f>IFERROR(INDEX(List_Predictors, INDEX(Array_PredictorsLookup,MATCH($A46,List_PredictorFacilities,0),(COLUMN()-1)/2), 1),"")</f>
        <v/>
      </c>
      <c r="Z46" s="137"/>
      <c r="AA46" s="58" t="str" cm="1">
        <f>IFERROR(INDEX(List_Predictors, INDEX(Array_PredictorsLookup,MATCH($A46,List_PredictorFacilities,0),(COLUMN()-1)/2), 1),"")</f>
        <v/>
      </c>
      <c r="AB46" s="137"/>
      <c r="AC46" s="58" t="str" cm="1">
        <f>IFERROR(INDEX(List_Predictors, INDEX(Array_PredictorsLookup,MATCH($A46,List_PredictorFacilities,0),(COLUMN()-1)/2), 1),"")</f>
        <v/>
      </c>
      <c r="AD46" s="137"/>
      <c r="AE46" s="58" t="str" cm="1">
        <f>IFERROR(INDEX(List_Predictors, INDEX(Array_PredictorsLookup,MATCH($A46,List_PredictorFacilities,0),(COLUMN()-1)/2), 1),"")</f>
        <v/>
      </c>
      <c r="AF46" s="137"/>
    </row>
    <row r="47" spans="1:32" x14ac:dyDescent="0.3">
      <c r="A47" s="126"/>
      <c r="B47" s="141"/>
      <c r="C47" s="58" t="str" cm="1">
        <f>IFERROR(INDEX(List_Predictors, INDEX(Array_PredictorsLookup,MATCH($A47,List_PredictorFacilities,0),(COLUMN()-1)/2), 1),"")</f>
        <v/>
      </c>
      <c r="D47" s="137"/>
      <c r="E47" s="58" t="str" cm="1">
        <f>IFERROR(INDEX(List_Predictors, INDEX(Array_PredictorsLookup,MATCH($A47,List_PredictorFacilities,0),(COLUMN()-1)/2), 1),"")</f>
        <v/>
      </c>
      <c r="F47" s="137"/>
      <c r="G47" s="58" t="str" cm="1">
        <f>IFERROR(INDEX(List_Predictors, INDEX(Array_PredictorsLookup,MATCH($A47,List_PredictorFacilities,0),(COLUMN()-1)/2), 1),"")</f>
        <v/>
      </c>
      <c r="H47" s="137"/>
      <c r="I47" s="58" t="str" cm="1">
        <f>IFERROR(INDEX(List_Predictors, INDEX(Array_PredictorsLookup,MATCH($A47,List_PredictorFacilities,0),(COLUMN()-1)/2), 1),"")</f>
        <v/>
      </c>
      <c r="J47" s="137"/>
      <c r="K47" s="58" t="str" cm="1">
        <f>IFERROR(INDEX(List_Predictors, INDEX(Array_PredictorsLookup,MATCH($A47,List_PredictorFacilities,0),(COLUMN()-1)/2), 1),"")</f>
        <v/>
      </c>
      <c r="L47" s="137"/>
      <c r="M47" s="58" t="str" cm="1">
        <f>IFERROR(INDEX(List_Predictors, INDEX(Array_PredictorsLookup,MATCH($A47,List_PredictorFacilities,0),(COLUMN()-1)/2), 1),"")</f>
        <v/>
      </c>
      <c r="N47" s="137"/>
      <c r="O47" s="58" t="str" cm="1">
        <f>IFERROR(INDEX(List_Predictors, INDEX(Array_PredictorsLookup,MATCH($A47,List_PredictorFacilities,0),(COLUMN()-1)/2), 1),"")</f>
        <v/>
      </c>
      <c r="P47" s="137"/>
      <c r="Q47" s="58" t="str" cm="1">
        <f>IFERROR(INDEX(List_Predictors, INDEX(Array_PredictorsLookup,MATCH($A47,List_PredictorFacilities,0),(COLUMN()-1)/2), 1),"")</f>
        <v/>
      </c>
      <c r="R47" s="137"/>
      <c r="S47" s="58" t="str" cm="1">
        <f>IFERROR(INDEX(List_Predictors, INDEX(Array_PredictorsLookup,MATCH($A47,List_PredictorFacilities,0),(COLUMN()-1)/2), 1),"")</f>
        <v/>
      </c>
      <c r="T47" s="137"/>
      <c r="U47" s="58" t="str" cm="1">
        <f>IFERROR(INDEX(List_Predictors, INDEX(Array_PredictorsLookup,MATCH($A47,List_PredictorFacilities,0),(COLUMN()-1)/2), 1),"")</f>
        <v/>
      </c>
      <c r="V47" s="137"/>
      <c r="W47" s="58" t="str" cm="1">
        <f>IFERROR(INDEX(List_Predictors, INDEX(Array_PredictorsLookup,MATCH($A47,List_PredictorFacilities,0),(COLUMN()-1)/2), 1),"")</f>
        <v/>
      </c>
      <c r="X47" s="137"/>
      <c r="Y47" s="58" t="str" cm="1">
        <f>IFERROR(INDEX(List_Predictors, INDEX(Array_PredictorsLookup,MATCH($A47,List_PredictorFacilities,0),(COLUMN()-1)/2), 1),"")</f>
        <v/>
      </c>
      <c r="Z47" s="137"/>
      <c r="AA47" s="58" t="str" cm="1">
        <f>IFERROR(INDEX(List_Predictors, INDEX(Array_PredictorsLookup,MATCH($A47,List_PredictorFacilities,0),(COLUMN()-1)/2), 1),"")</f>
        <v/>
      </c>
      <c r="AB47" s="137"/>
      <c r="AC47" s="58" t="str" cm="1">
        <f>IFERROR(INDEX(List_Predictors, INDEX(Array_PredictorsLookup,MATCH($A47,List_PredictorFacilities,0),(COLUMN()-1)/2), 1),"")</f>
        <v/>
      </c>
      <c r="AD47" s="137"/>
      <c r="AE47" s="58" t="str" cm="1">
        <f>IFERROR(INDEX(List_Predictors, INDEX(Array_PredictorsLookup,MATCH($A47,List_PredictorFacilities,0),(COLUMN()-1)/2), 1),"")</f>
        <v/>
      </c>
      <c r="AF47" s="137"/>
    </row>
    <row r="48" spans="1:32" x14ac:dyDescent="0.3">
      <c r="A48" s="126"/>
      <c r="B48" s="141"/>
      <c r="C48" s="58" t="str" cm="1">
        <f>IFERROR(INDEX(List_Predictors, INDEX(Array_PredictorsLookup,MATCH($A48,List_PredictorFacilities,0),(COLUMN()-1)/2), 1),"")</f>
        <v/>
      </c>
      <c r="D48" s="137"/>
      <c r="E48" s="58" t="str" cm="1">
        <f>IFERROR(INDEX(List_Predictors, INDEX(Array_PredictorsLookup,MATCH($A48,List_PredictorFacilities,0),(COLUMN()-1)/2), 1),"")</f>
        <v/>
      </c>
      <c r="F48" s="137"/>
      <c r="G48" s="58" t="str" cm="1">
        <f>IFERROR(INDEX(List_Predictors, INDEX(Array_PredictorsLookup,MATCH($A48,List_PredictorFacilities,0),(COLUMN()-1)/2), 1),"")</f>
        <v/>
      </c>
      <c r="H48" s="137"/>
      <c r="I48" s="58" t="str" cm="1">
        <f>IFERROR(INDEX(List_Predictors, INDEX(Array_PredictorsLookup,MATCH($A48,List_PredictorFacilities,0),(COLUMN()-1)/2), 1),"")</f>
        <v/>
      </c>
      <c r="J48" s="137"/>
      <c r="K48" s="58" t="str" cm="1">
        <f>IFERROR(INDEX(List_Predictors, INDEX(Array_PredictorsLookup,MATCH($A48,List_PredictorFacilities,0),(COLUMN()-1)/2), 1),"")</f>
        <v/>
      </c>
      <c r="L48" s="137"/>
      <c r="M48" s="58" t="str" cm="1">
        <f>IFERROR(INDEX(List_Predictors, INDEX(Array_PredictorsLookup,MATCH($A48,List_PredictorFacilities,0),(COLUMN()-1)/2), 1),"")</f>
        <v/>
      </c>
      <c r="N48" s="137"/>
      <c r="O48" s="58" t="str" cm="1">
        <f>IFERROR(INDEX(List_Predictors, INDEX(Array_PredictorsLookup,MATCH($A48,List_PredictorFacilities,0),(COLUMN()-1)/2), 1),"")</f>
        <v/>
      </c>
      <c r="P48" s="137"/>
      <c r="Q48" s="58" t="str" cm="1">
        <f>IFERROR(INDEX(List_Predictors, INDEX(Array_PredictorsLookup,MATCH($A48,List_PredictorFacilities,0),(COLUMN()-1)/2), 1),"")</f>
        <v/>
      </c>
      <c r="R48" s="137"/>
      <c r="S48" s="58" t="str" cm="1">
        <f>IFERROR(INDEX(List_Predictors, INDEX(Array_PredictorsLookup,MATCH($A48,List_PredictorFacilities,0),(COLUMN()-1)/2), 1),"")</f>
        <v/>
      </c>
      <c r="T48" s="137"/>
      <c r="U48" s="58" t="str" cm="1">
        <f>IFERROR(INDEX(List_Predictors, INDEX(Array_PredictorsLookup,MATCH($A48,List_PredictorFacilities,0),(COLUMN()-1)/2), 1),"")</f>
        <v/>
      </c>
      <c r="V48" s="137"/>
      <c r="W48" s="58" t="str" cm="1">
        <f>IFERROR(INDEX(List_Predictors, INDEX(Array_PredictorsLookup,MATCH($A48,List_PredictorFacilities,0),(COLUMN()-1)/2), 1),"")</f>
        <v/>
      </c>
      <c r="X48" s="137"/>
      <c r="Y48" s="58" t="str" cm="1">
        <f>IFERROR(INDEX(List_Predictors, INDEX(Array_PredictorsLookup,MATCH($A48,List_PredictorFacilities,0),(COLUMN()-1)/2), 1),"")</f>
        <v/>
      </c>
      <c r="Z48" s="137"/>
      <c r="AA48" s="58" t="str" cm="1">
        <f>IFERROR(INDEX(List_Predictors, INDEX(Array_PredictorsLookup,MATCH($A48,List_PredictorFacilities,0),(COLUMN()-1)/2), 1),"")</f>
        <v/>
      </c>
      <c r="AB48" s="137"/>
      <c r="AC48" s="58" t="str" cm="1">
        <f>IFERROR(INDEX(List_Predictors, INDEX(Array_PredictorsLookup,MATCH($A48,List_PredictorFacilities,0),(COLUMN()-1)/2), 1),"")</f>
        <v/>
      </c>
      <c r="AD48" s="137"/>
      <c r="AE48" s="58" t="str" cm="1">
        <f>IFERROR(INDEX(List_Predictors, INDEX(Array_PredictorsLookup,MATCH($A48,List_PredictorFacilities,0),(COLUMN()-1)/2), 1),"")</f>
        <v/>
      </c>
      <c r="AF48" s="137"/>
    </row>
    <row r="49" spans="1:32" x14ac:dyDescent="0.3">
      <c r="A49" s="126"/>
      <c r="B49" s="141"/>
      <c r="C49" s="58" t="str" cm="1">
        <f>IFERROR(INDEX(List_Predictors, INDEX(Array_PredictorsLookup,MATCH($A49,List_PredictorFacilities,0),(COLUMN()-1)/2), 1),"")</f>
        <v/>
      </c>
      <c r="D49" s="137"/>
      <c r="E49" s="58" t="str" cm="1">
        <f>IFERROR(INDEX(List_Predictors, INDEX(Array_PredictorsLookup,MATCH($A49,List_PredictorFacilities,0),(COLUMN()-1)/2), 1),"")</f>
        <v/>
      </c>
      <c r="F49" s="137"/>
      <c r="G49" s="58" t="str" cm="1">
        <f>IFERROR(INDEX(List_Predictors, INDEX(Array_PredictorsLookup,MATCH($A49,List_PredictorFacilities,0),(COLUMN()-1)/2), 1),"")</f>
        <v/>
      </c>
      <c r="H49" s="137"/>
      <c r="I49" s="58" t="str" cm="1">
        <f>IFERROR(INDEX(List_Predictors, INDEX(Array_PredictorsLookup,MATCH($A49,List_PredictorFacilities,0),(COLUMN()-1)/2), 1),"")</f>
        <v/>
      </c>
      <c r="J49" s="137"/>
      <c r="K49" s="58" t="str" cm="1">
        <f>IFERROR(INDEX(List_Predictors, INDEX(Array_PredictorsLookup,MATCH($A49,List_PredictorFacilities,0),(COLUMN()-1)/2), 1),"")</f>
        <v/>
      </c>
      <c r="L49" s="137"/>
      <c r="M49" s="58" t="str" cm="1">
        <f>IFERROR(INDEX(List_Predictors, INDEX(Array_PredictorsLookup,MATCH($A49,List_PredictorFacilities,0),(COLUMN()-1)/2), 1),"")</f>
        <v/>
      </c>
      <c r="N49" s="137"/>
      <c r="O49" s="58" t="str" cm="1">
        <f>IFERROR(INDEX(List_Predictors, INDEX(Array_PredictorsLookup,MATCH($A49,List_PredictorFacilities,0),(COLUMN()-1)/2), 1),"")</f>
        <v/>
      </c>
      <c r="P49" s="137"/>
      <c r="Q49" s="58" t="str" cm="1">
        <f>IFERROR(INDEX(List_Predictors, INDEX(Array_PredictorsLookup,MATCH($A49,List_PredictorFacilities,0),(COLUMN()-1)/2), 1),"")</f>
        <v/>
      </c>
      <c r="R49" s="137"/>
      <c r="S49" s="58" t="str" cm="1">
        <f>IFERROR(INDEX(List_Predictors, INDEX(Array_PredictorsLookup,MATCH($A49,List_PredictorFacilities,0),(COLUMN()-1)/2), 1),"")</f>
        <v/>
      </c>
      <c r="T49" s="137"/>
      <c r="U49" s="58" t="str" cm="1">
        <f>IFERROR(INDEX(List_Predictors, INDEX(Array_PredictorsLookup,MATCH($A49,List_PredictorFacilities,0),(COLUMN()-1)/2), 1),"")</f>
        <v/>
      </c>
      <c r="V49" s="137"/>
      <c r="W49" s="58" t="str" cm="1">
        <f>IFERROR(INDEX(List_Predictors, INDEX(Array_PredictorsLookup,MATCH($A49,List_PredictorFacilities,0),(COLUMN()-1)/2), 1),"")</f>
        <v/>
      </c>
      <c r="X49" s="137"/>
      <c r="Y49" s="58" t="str" cm="1">
        <f>IFERROR(INDEX(List_Predictors, INDEX(Array_PredictorsLookup,MATCH($A49,List_PredictorFacilities,0),(COLUMN()-1)/2), 1),"")</f>
        <v/>
      </c>
      <c r="Z49" s="137"/>
      <c r="AA49" s="58" t="str" cm="1">
        <f>IFERROR(INDEX(List_Predictors, INDEX(Array_PredictorsLookup,MATCH($A49,List_PredictorFacilities,0),(COLUMN()-1)/2), 1),"")</f>
        <v/>
      </c>
      <c r="AB49" s="137"/>
      <c r="AC49" s="58" t="str" cm="1">
        <f>IFERROR(INDEX(List_Predictors, INDEX(Array_PredictorsLookup,MATCH($A49,List_PredictorFacilities,0),(COLUMN()-1)/2), 1),"")</f>
        <v/>
      </c>
      <c r="AD49" s="137"/>
      <c r="AE49" s="58" t="str" cm="1">
        <f>IFERROR(INDEX(List_Predictors, INDEX(Array_PredictorsLookup,MATCH($A49,List_PredictorFacilities,0),(COLUMN()-1)/2), 1),"")</f>
        <v/>
      </c>
      <c r="AF49" s="137"/>
    </row>
    <row r="50" spans="1:32" x14ac:dyDescent="0.3">
      <c r="A50" s="126"/>
      <c r="B50" s="141"/>
      <c r="C50" s="58" t="str" cm="1">
        <f>IFERROR(INDEX(List_Predictors, INDEX(Array_PredictorsLookup,MATCH($A50,List_PredictorFacilities,0),(COLUMN()-1)/2), 1),"")</f>
        <v/>
      </c>
      <c r="D50" s="137"/>
      <c r="E50" s="58" t="str" cm="1">
        <f>IFERROR(INDEX(List_Predictors, INDEX(Array_PredictorsLookup,MATCH($A50,List_PredictorFacilities,0),(COLUMN()-1)/2), 1),"")</f>
        <v/>
      </c>
      <c r="F50" s="137"/>
      <c r="G50" s="58" t="str" cm="1">
        <f>IFERROR(INDEX(List_Predictors, INDEX(Array_PredictorsLookup,MATCH($A50,List_PredictorFacilities,0),(COLUMN()-1)/2), 1),"")</f>
        <v/>
      </c>
      <c r="H50" s="137"/>
      <c r="I50" s="58" t="str" cm="1">
        <f>IFERROR(INDEX(List_Predictors, INDEX(Array_PredictorsLookup,MATCH($A50,List_PredictorFacilities,0),(COLUMN()-1)/2), 1),"")</f>
        <v/>
      </c>
      <c r="J50" s="137"/>
      <c r="K50" s="58" t="str" cm="1">
        <f>IFERROR(INDEX(List_Predictors, INDEX(Array_PredictorsLookup,MATCH($A50,List_PredictorFacilities,0),(COLUMN()-1)/2), 1),"")</f>
        <v/>
      </c>
      <c r="L50" s="137"/>
      <c r="M50" s="58" t="str" cm="1">
        <f>IFERROR(INDEX(List_Predictors, INDEX(Array_PredictorsLookup,MATCH($A50,List_PredictorFacilities,0),(COLUMN()-1)/2), 1),"")</f>
        <v/>
      </c>
      <c r="N50" s="137"/>
      <c r="O50" s="58" t="str" cm="1">
        <f>IFERROR(INDEX(List_Predictors, INDEX(Array_PredictorsLookup,MATCH($A50,List_PredictorFacilities,0),(COLUMN()-1)/2), 1),"")</f>
        <v/>
      </c>
      <c r="P50" s="137"/>
      <c r="Q50" s="58" t="str" cm="1">
        <f>IFERROR(INDEX(List_Predictors, INDEX(Array_PredictorsLookup,MATCH($A50,List_PredictorFacilities,0),(COLUMN()-1)/2), 1),"")</f>
        <v/>
      </c>
      <c r="R50" s="137"/>
      <c r="S50" s="58" t="str" cm="1">
        <f>IFERROR(INDEX(List_Predictors, INDEX(Array_PredictorsLookup,MATCH($A50,List_PredictorFacilities,0),(COLUMN()-1)/2), 1),"")</f>
        <v/>
      </c>
      <c r="T50" s="137"/>
      <c r="U50" s="58" t="str" cm="1">
        <f>IFERROR(INDEX(List_Predictors, INDEX(Array_PredictorsLookup,MATCH($A50,List_PredictorFacilities,0),(COLUMN()-1)/2), 1),"")</f>
        <v/>
      </c>
      <c r="V50" s="137"/>
      <c r="W50" s="58" t="str" cm="1">
        <f>IFERROR(INDEX(List_Predictors, INDEX(Array_PredictorsLookup,MATCH($A50,List_PredictorFacilities,0),(COLUMN()-1)/2), 1),"")</f>
        <v/>
      </c>
      <c r="X50" s="137"/>
      <c r="Y50" s="58" t="str" cm="1">
        <f>IFERROR(INDEX(List_Predictors, INDEX(Array_PredictorsLookup,MATCH($A50,List_PredictorFacilities,0),(COLUMN()-1)/2), 1),"")</f>
        <v/>
      </c>
      <c r="Z50" s="137"/>
      <c r="AA50" s="58" t="str" cm="1">
        <f>IFERROR(INDEX(List_Predictors, INDEX(Array_PredictorsLookup,MATCH($A50,List_PredictorFacilities,0),(COLUMN()-1)/2), 1),"")</f>
        <v/>
      </c>
      <c r="AB50" s="137"/>
      <c r="AC50" s="58" t="str" cm="1">
        <f>IFERROR(INDEX(List_Predictors, INDEX(Array_PredictorsLookup,MATCH($A50,List_PredictorFacilities,0),(COLUMN()-1)/2), 1),"")</f>
        <v/>
      </c>
      <c r="AD50" s="137"/>
      <c r="AE50" s="58" t="str" cm="1">
        <f>IFERROR(INDEX(List_Predictors, INDEX(Array_PredictorsLookup,MATCH($A50,List_PredictorFacilities,0),(COLUMN()-1)/2), 1),"")</f>
        <v/>
      </c>
      <c r="AF50" s="137"/>
    </row>
    <row r="51" spans="1:32" x14ac:dyDescent="0.3">
      <c r="A51" s="126"/>
      <c r="B51" s="141"/>
      <c r="C51" s="58" t="str" cm="1">
        <f>IFERROR(INDEX(List_Predictors, INDEX(Array_PredictorsLookup,MATCH($A51,List_PredictorFacilities,0),(COLUMN()-1)/2), 1),"")</f>
        <v/>
      </c>
      <c r="D51" s="137"/>
      <c r="E51" s="58" t="str" cm="1">
        <f>IFERROR(INDEX(List_Predictors, INDEX(Array_PredictorsLookup,MATCH($A51,List_PredictorFacilities,0),(COLUMN()-1)/2), 1),"")</f>
        <v/>
      </c>
      <c r="F51" s="137"/>
      <c r="G51" s="58" t="str" cm="1">
        <f>IFERROR(INDEX(List_Predictors, INDEX(Array_PredictorsLookup,MATCH($A51,List_PredictorFacilities,0),(COLUMN()-1)/2), 1),"")</f>
        <v/>
      </c>
      <c r="H51" s="137"/>
      <c r="I51" s="58" t="str" cm="1">
        <f>IFERROR(INDEX(List_Predictors, INDEX(Array_PredictorsLookup,MATCH($A51,List_PredictorFacilities,0),(COLUMN()-1)/2), 1),"")</f>
        <v/>
      </c>
      <c r="J51" s="137"/>
      <c r="K51" s="58" t="str" cm="1">
        <f>IFERROR(INDEX(List_Predictors, INDEX(Array_PredictorsLookup,MATCH($A51,List_PredictorFacilities,0),(COLUMN()-1)/2), 1),"")</f>
        <v/>
      </c>
      <c r="L51" s="137"/>
      <c r="M51" s="58" t="str" cm="1">
        <f>IFERROR(INDEX(List_Predictors, INDEX(Array_PredictorsLookup,MATCH($A51,List_PredictorFacilities,0),(COLUMN()-1)/2), 1),"")</f>
        <v/>
      </c>
      <c r="N51" s="137"/>
      <c r="O51" s="58" t="str" cm="1">
        <f>IFERROR(INDEX(List_Predictors, INDEX(Array_PredictorsLookup,MATCH($A51,List_PredictorFacilities,0),(COLUMN()-1)/2), 1),"")</f>
        <v/>
      </c>
      <c r="P51" s="137"/>
      <c r="Q51" s="58" t="str" cm="1">
        <f>IFERROR(INDEX(List_Predictors, INDEX(Array_PredictorsLookup,MATCH($A51,List_PredictorFacilities,0),(COLUMN()-1)/2), 1),"")</f>
        <v/>
      </c>
      <c r="R51" s="137"/>
      <c r="S51" s="58" t="str" cm="1">
        <f>IFERROR(INDEX(List_Predictors, INDEX(Array_PredictorsLookup,MATCH($A51,List_PredictorFacilities,0),(COLUMN()-1)/2), 1),"")</f>
        <v/>
      </c>
      <c r="T51" s="137"/>
      <c r="U51" s="58" t="str" cm="1">
        <f>IFERROR(INDEX(List_Predictors, INDEX(Array_PredictorsLookup,MATCH($A51,List_PredictorFacilities,0),(COLUMN()-1)/2), 1),"")</f>
        <v/>
      </c>
      <c r="V51" s="137"/>
      <c r="W51" s="58" t="str" cm="1">
        <f>IFERROR(INDEX(List_Predictors, INDEX(Array_PredictorsLookup,MATCH($A51,List_PredictorFacilities,0),(COLUMN()-1)/2), 1),"")</f>
        <v/>
      </c>
      <c r="X51" s="137"/>
      <c r="Y51" s="58" t="str" cm="1">
        <f>IFERROR(INDEX(List_Predictors, INDEX(Array_PredictorsLookup,MATCH($A51,List_PredictorFacilities,0),(COLUMN()-1)/2), 1),"")</f>
        <v/>
      </c>
      <c r="Z51" s="137"/>
      <c r="AA51" s="58" t="str" cm="1">
        <f>IFERROR(INDEX(List_Predictors, INDEX(Array_PredictorsLookup,MATCH($A51,List_PredictorFacilities,0),(COLUMN()-1)/2), 1),"")</f>
        <v/>
      </c>
      <c r="AB51" s="137"/>
      <c r="AC51" s="58" t="str" cm="1">
        <f>IFERROR(INDEX(List_Predictors, INDEX(Array_PredictorsLookup,MATCH($A51,List_PredictorFacilities,0),(COLUMN()-1)/2), 1),"")</f>
        <v/>
      </c>
      <c r="AD51" s="137"/>
      <c r="AE51" s="58" t="str" cm="1">
        <f>IFERROR(INDEX(List_Predictors, INDEX(Array_PredictorsLookup,MATCH($A51,List_PredictorFacilities,0),(COLUMN()-1)/2), 1),"")</f>
        <v/>
      </c>
      <c r="AF51" s="137"/>
    </row>
    <row r="52" spans="1:32" x14ac:dyDescent="0.3">
      <c r="A52" s="126"/>
      <c r="B52" s="141"/>
      <c r="C52" s="58" t="str" cm="1">
        <f>IFERROR(INDEX(List_Predictors, INDEX(Array_PredictorsLookup,MATCH($A52,List_PredictorFacilities,0),(COLUMN()-1)/2), 1),"")</f>
        <v/>
      </c>
      <c r="D52" s="137"/>
      <c r="E52" s="58" t="str" cm="1">
        <f>IFERROR(INDEX(List_Predictors, INDEX(Array_PredictorsLookup,MATCH($A52,List_PredictorFacilities,0),(COLUMN()-1)/2), 1),"")</f>
        <v/>
      </c>
      <c r="F52" s="137"/>
      <c r="G52" s="58" t="str" cm="1">
        <f>IFERROR(INDEX(List_Predictors, INDEX(Array_PredictorsLookup,MATCH($A52,List_PredictorFacilities,0),(COLUMN()-1)/2), 1),"")</f>
        <v/>
      </c>
      <c r="H52" s="137"/>
      <c r="I52" s="58" t="str" cm="1">
        <f>IFERROR(INDEX(List_Predictors, INDEX(Array_PredictorsLookup,MATCH($A52,List_PredictorFacilities,0),(COLUMN()-1)/2), 1),"")</f>
        <v/>
      </c>
      <c r="J52" s="137"/>
      <c r="K52" s="58" t="str" cm="1">
        <f>IFERROR(INDEX(List_Predictors, INDEX(Array_PredictorsLookup,MATCH($A52,List_PredictorFacilities,0),(COLUMN()-1)/2), 1),"")</f>
        <v/>
      </c>
      <c r="L52" s="137"/>
      <c r="M52" s="58" t="str" cm="1">
        <f>IFERROR(INDEX(List_Predictors, INDEX(Array_PredictorsLookup,MATCH($A52,List_PredictorFacilities,0),(COLUMN()-1)/2), 1),"")</f>
        <v/>
      </c>
      <c r="N52" s="137"/>
      <c r="O52" s="58" t="str" cm="1">
        <f>IFERROR(INDEX(List_Predictors, INDEX(Array_PredictorsLookup,MATCH($A52,List_PredictorFacilities,0),(COLUMN()-1)/2), 1),"")</f>
        <v/>
      </c>
      <c r="P52" s="137"/>
      <c r="Q52" s="58" t="str" cm="1">
        <f>IFERROR(INDEX(List_Predictors, INDEX(Array_PredictorsLookup,MATCH($A52,List_PredictorFacilities,0),(COLUMN()-1)/2), 1),"")</f>
        <v/>
      </c>
      <c r="R52" s="137"/>
      <c r="S52" s="58" t="str" cm="1">
        <f>IFERROR(INDEX(List_Predictors, INDEX(Array_PredictorsLookup,MATCH($A52,List_PredictorFacilities,0),(COLUMN()-1)/2), 1),"")</f>
        <v/>
      </c>
      <c r="T52" s="137"/>
      <c r="U52" s="58" t="str" cm="1">
        <f>IFERROR(INDEX(List_Predictors, INDEX(Array_PredictorsLookup,MATCH($A52,List_PredictorFacilities,0),(COLUMN()-1)/2), 1),"")</f>
        <v/>
      </c>
      <c r="V52" s="137"/>
      <c r="W52" s="58" t="str" cm="1">
        <f>IFERROR(INDEX(List_Predictors, INDEX(Array_PredictorsLookup,MATCH($A52,List_PredictorFacilities,0),(COLUMN()-1)/2), 1),"")</f>
        <v/>
      </c>
      <c r="X52" s="137"/>
      <c r="Y52" s="58" t="str" cm="1">
        <f>IFERROR(INDEX(List_Predictors, INDEX(Array_PredictorsLookup,MATCH($A52,List_PredictorFacilities,0),(COLUMN()-1)/2), 1),"")</f>
        <v/>
      </c>
      <c r="Z52" s="137"/>
      <c r="AA52" s="58" t="str" cm="1">
        <f>IFERROR(INDEX(List_Predictors, INDEX(Array_PredictorsLookup,MATCH($A52,List_PredictorFacilities,0),(COLUMN()-1)/2), 1),"")</f>
        <v/>
      </c>
      <c r="AB52" s="137"/>
      <c r="AC52" s="58" t="str" cm="1">
        <f>IFERROR(INDEX(List_Predictors, INDEX(Array_PredictorsLookup,MATCH($A52,List_PredictorFacilities,0),(COLUMN()-1)/2), 1),"")</f>
        <v/>
      </c>
      <c r="AD52" s="137"/>
      <c r="AE52" s="58" t="str" cm="1">
        <f>IFERROR(INDEX(List_Predictors, INDEX(Array_PredictorsLookup,MATCH($A52,List_PredictorFacilities,0),(COLUMN()-1)/2), 1),"")</f>
        <v/>
      </c>
      <c r="AF52" s="137"/>
    </row>
    <row r="53" spans="1:32" x14ac:dyDescent="0.3">
      <c r="A53" s="126"/>
      <c r="B53" s="141"/>
      <c r="C53" s="58" t="str" cm="1">
        <f>IFERROR(INDEX(List_Predictors, INDEX(Array_PredictorsLookup,MATCH($A53,List_PredictorFacilities,0),(COLUMN()-1)/2), 1),"")</f>
        <v/>
      </c>
      <c r="D53" s="137"/>
      <c r="E53" s="58" t="str" cm="1">
        <f>IFERROR(INDEX(List_Predictors, INDEX(Array_PredictorsLookup,MATCH($A53,List_PredictorFacilities,0),(COLUMN()-1)/2), 1),"")</f>
        <v/>
      </c>
      <c r="F53" s="137"/>
      <c r="G53" s="58" t="str" cm="1">
        <f>IFERROR(INDEX(List_Predictors, INDEX(Array_PredictorsLookup,MATCH($A53,List_PredictorFacilities,0),(COLUMN()-1)/2), 1),"")</f>
        <v/>
      </c>
      <c r="H53" s="137"/>
      <c r="I53" s="58" t="str" cm="1">
        <f>IFERROR(INDEX(List_Predictors, INDEX(Array_PredictorsLookup,MATCH($A53,List_PredictorFacilities,0),(COLUMN()-1)/2), 1),"")</f>
        <v/>
      </c>
      <c r="J53" s="137"/>
      <c r="K53" s="58" t="str" cm="1">
        <f>IFERROR(INDEX(List_Predictors, INDEX(Array_PredictorsLookup,MATCH($A53,List_PredictorFacilities,0),(COLUMN()-1)/2), 1),"")</f>
        <v/>
      </c>
      <c r="L53" s="137"/>
      <c r="M53" s="58" t="str" cm="1">
        <f>IFERROR(INDEX(List_Predictors, INDEX(Array_PredictorsLookup,MATCH($A53,List_PredictorFacilities,0),(COLUMN()-1)/2), 1),"")</f>
        <v/>
      </c>
      <c r="N53" s="137"/>
      <c r="O53" s="58" t="str" cm="1">
        <f>IFERROR(INDEX(List_Predictors, INDEX(Array_PredictorsLookup,MATCH($A53,List_PredictorFacilities,0),(COLUMN()-1)/2), 1),"")</f>
        <v/>
      </c>
      <c r="P53" s="137"/>
      <c r="Q53" s="58" t="str" cm="1">
        <f>IFERROR(INDEX(List_Predictors, INDEX(Array_PredictorsLookup,MATCH($A53,List_PredictorFacilities,0),(COLUMN()-1)/2), 1),"")</f>
        <v/>
      </c>
      <c r="R53" s="137"/>
      <c r="S53" s="58" t="str" cm="1">
        <f>IFERROR(INDEX(List_Predictors, INDEX(Array_PredictorsLookup,MATCH($A53,List_PredictorFacilities,0),(COLUMN()-1)/2), 1),"")</f>
        <v/>
      </c>
      <c r="T53" s="137"/>
      <c r="U53" s="58" t="str" cm="1">
        <f>IFERROR(INDEX(List_Predictors, INDEX(Array_PredictorsLookup,MATCH($A53,List_PredictorFacilities,0),(COLUMN()-1)/2), 1),"")</f>
        <v/>
      </c>
      <c r="V53" s="137"/>
      <c r="W53" s="58" t="str" cm="1">
        <f>IFERROR(INDEX(List_Predictors, INDEX(Array_PredictorsLookup,MATCH($A53,List_PredictorFacilities,0),(COLUMN()-1)/2), 1),"")</f>
        <v/>
      </c>
      <c r="X53" s="137"/>
      <c r="Y53" s="58" t="str" cm="1">
        <f>IFERROR(INDEX(List_Predictors, INDEX(Array_PredictorsLookup,MATCH($A53,List_PredictorFacilities,0),(COLUMN()-1)/2), 1),"")</f>
        <v/>
      </c>
      <c r="Z53" s="137"/>
      <c r="AA53" s="58" t="str" cm="1">
        <f>IFERROR(INDEX(List_Predictors, INDEX(Array_PredictorsLookup,MATCH($A53,List_PredictorFacilities,0),(COLUMN()-1)/2), 1),"")</f>
        <v/>
      </c>
      <c r="AB53" s="137"/>
      <c r="AC53" s="58" t="str" cm="1">
        <f>IFERROR(INDEX(List_Predictors, INDEX(Array_PredictorsLookup,MATCH($A53,List_PredictorFacilities,0),(COLUMN()-1)/2), 1),"")</f>
        <v/>
      </c>
      <c r="AD53" s="137"/>
      <c r="AE53" s="58" t="str" cm="1">
        <f>IFERROR(INDEX(List_Predictors, INDEX(Array_PredictorsLookup,MATCH($A53,List_PredictorFacilities,0),(COLUMN()-1)/2), 1),"")</f>
        <v/>
      </c>
      <c r="AF53" s="137"/>
    </row>
    <row r="54" spans="1:32" x14ac:dyDescent="0.3">
      <c r="A54" s="126"/>
      <c r="B54" s="141"/>
      <c r="C54" s="58" t="str" cm="1">
        <f>IFERROR(INDEX(List_Predictors, INDEX(Array_PredictorsLookup,MATCH($A54,List_PredictorFacilities,0),(COLUMN()-1)/2), 1),"")</f>
        <v/>
      </c>
      <c r="D54" s="137"/>
      <c r="E54" s="58" t="str" cm="1">
        <f>IFERROR(INDEX(List_Predictors, INDEX(Array_PredictorsLookup,MATCH($A54,List_PredictorFacilities,0),(COLUMN()-1)/2), 1),"")</f>
        <v/>
      </c>
      <c r="F54" s="137"/>
      <c r="G54" s="58" t="str" cm="1">
        <f>IFERROR(INDEX(List_Predictors, INDEX(Array_PredictorsLookup,MATCH($A54,List_PredictorFacilities,0),(COLUMN()-1)/2), 1),"")</f>
        <v/>
      </c>
      <c r="H54" s="137"/>
      <c r="I54" s="58" t="str" cm="1">
        <f>IFERROR(INDEX(List_Predictors, INDEX(Array_PredictorsLookup,MATCH($A54,List_PredictorFacilities,0),(COLUMN()-1)/2), 1),"")</f>
        <v/>
      </c>
      <c r="J54" s="137"/>
      <c r="K54" s="58" t="str" cm="1">
        <f>IFERROR(INDEX(List_Predictors, INDEX(Array_PredictorsLookup,MATCH($A54,List_PredictorFacilities,0),(COLUMN()-1)/2), 1),"")</f>
        <v/>
      </c>
      <c r="L54" s="137"/>
      <c r="M54" s="58" t="str" cm="1">
        <f>IFERROR(INDEX(List_Predictors, INDEX(Array_PredictorsLookup,MATCH($A54,List_PredictorFacilities,0),(COLUMN()-1)/2), 1),"")</f>
        <v/>
      </c>
      <c r="N54" s="137"/>
      <c r="O54" s="58" t="str" cm="1">
        <f>IFERROR(INDEX(List_Predictors, INDEX(Array_PredictorsLookup,MATCH($A54,List_PredictorFacilities,0),(COLUMN()-1)/2), 1),"")</f>
        <v/>
      </c>
      <c r="P54" s="137"/>
      <c r="Q54" s="58" t="str" cm="1">
        <f>IFERROR(INDEX(List_Predictors, INDEX(Array_PredictorsLookup,MATCH($A54,List_PredictorFacilities,0),(COLUMN()-1)/2), 1),"")</f>
        <v/>
      </c>
      <c r="R54" s="137"/>
      <c r="S54" s="58" t="str" cm="1">
        <f>IFERROR(INDEX(List_Predictors, INDEX(Array_PredictorsLookup,MATCH($A54,List_PredictorFacilities,0),(COLUMN()-1)/2), 1),"")</f>
        <v/>
      </c>
      <c r="T54" s="137"/>
      <c r="U54" s="58" t="str" cm="1">
        <f>IFERROR(INDEX(List_Predictors, INDEX(Array_PredictorsLookup,MATCH($A54,List_PredictorFacilities,0),(COLUMN()-1)/2), 1),"")</f>
        <v/>
      </c>
      <c r="V54" s="137"/>
      <c r="W54" s="58" t="str" cm="1">
        <f>IFERROR(INDEX(List_Predictors, INDEX(Array_PredictorsLookup,MATCH($A54,List_PredictorFacilities,0),(COLUMN()-1)/2), 1),"")</f>
        <v/>
      </c>
      <c r="X54" s="137"/>
      <c r="Y54" s="58" t="str" cm="1">
        <f>IFERROR(INDEX(List_Predictors, INDEX(Array_PredictorsLookup,MATCH($A54,List_PredictorFacilities,0),(COLUMN()-1)/2), 1),"")</f>
        <v/>
      </c>
      <c r="Z54" s="137"/>
      <c r="AA54" s="58" t="str" cm="1">
        <f>IFERROR(INDEX(List_Predictors, INDEX(Array_PredictorsLookup,MATCH($A54,List_PredictorFacilities,0),(COLUMN()-1)/2), 1),"")</f>
        <v/>
      </c>
      <c r="AB54" s="137"/>
      <c r="AC54" s="58" t="str" cm="1">
        <f>IFERROR(INDEX(List_Predictors, INDEX(Array_PredictorsLookup,MATCH($A54,List_PredictorFacilities,0),(COLUMN()-1)/2), 1),"")</f>
        <v/>
      </c>
      <c r="AD54" s="137"/>
      <c r="AE54" s="58" t="str" cm="1">
        <f>IFERROR(INDEX(List_Predictors, INDEX(Array_PredictorsLookup,MATCH($A54,List_PredictorFacilities,0),(COLUMN()-1)/2), 1),"")</f>
        <v/>
      </c>
      <c r="AF54" s="137"/>
    </row>
    <row r="55" spans="1:32" x14ac:dyDescent="0.3">
      <c r="A55" s="126"/>
      <c r="B55" s="141"/>
      <c r="C55" s="58" t="str" cm="1">
        <f>IFERROR(INDEX(List_Predictors, INDEX(Array_PredictorsLookup,MATCH($A55,List_PredictorFacilities,0),(COLUMN()-1)/2), 1),"")</f>
        <v/>
      </c>
      <c r="D55" s="137"/>
      <c r="E55" s="58" t="str" cm="1">
        <f>IFERROR(INDEX(List_Predictors, INDEX(Array_PredictorsLookup,MATCH($A55,List_PredictorFacilities,0),(COLUMN()-1)/2), 1),"")</f>
        <v/>
      </c>
      <c r="F55" s="137"/>
      <c r="G55" s="58" t="str" cm="1">
        <f>IFERROR(INDEX(List_Predictors, INDEX(Array_PredictorsLookup,MATCH($A55,List_PredictorFacilities,0),(COLUMN()-1)/2), 1),"")</f>
        <v/>
      </c>
      <c r="H55" s="137"/>
      <c r="I55" s="58" t="str" cm="1">
        <f>IFERROR(INDEX(List_Predictors, INDEX(Array_PredictorsLookup,MATCH($A55,List_PredictorFacilities,0),(COLUMN()-1)/2), 1),"")</f>
        <v/>
      </c>
      <c r="J55" s="137"/>
      <c r="K55" s="58" t="str" cm="1">
        <f>IFERROR(INDEX(List_Predictors, INDEX(Array_PredictorsLookup,MATCH($A55,List_PredictorFacilities,0),(COLUMN()-1)/2), 1),"")</f>
        <v/>
      </c>
      <c r="L55" s="137"/>
      <c r="M55" s="58" t="str" cm="1">
        <f>IFERROR(INDEX(List_Predictors, INDEX(Array_PredictorsLookup,MATCH($A55,List_PredictorFacilities,0),(COLUMN()-1)/2), 1),"")</f>
        <v/>
      </c>
      <c r="N55" s="137"/>
      <c r="O55" s="58" t="str" cm="1">
        <f>IFERROR(INDEX(List_Predictors, INDEX(Array_PredictorsLookup,MATCH($A55,List_PredictorFacilities,0),(COLUMN()-1)/2), 1),"")</f>
        <v/>
      </c>
      <c r="P55" s="137"/>
      <c r="Q55" s="58" t="str" cm="1">
        <f>IFERROR(INDEX(List_Predictors, INDEX(Array_PredictorsLookup,MATCH($A55,List_PredictorFacilities,0),(COLUMN()-1)/2), 1),"")</f>
        <v/>
      </c>
      <c r="R55" s="137"/>
      <c r="S55" s="58" t="str" cm="1">
        <f>IFERROR(INDEX(List_Predictors, INDEX(Array_PredictorsLookup,MATCH($A55,List_PredictorFacilities,0),(COLUMN()-1)/2), 1),"")</f>
        <v/>
      </c>
      <c r="T55" s="137"/>
      <c r="U55" s="58" t="str" cm="1">
        <f>IFERROR(INDEX(List_Predictors, INDEX(Array_PredictorsLookup,MATCH($A55,List_PredictorFacilities,0),(COLUMN()-1)/2), 1),"")</f>
        <v/>
      </c>
      <c r="V55" s="137"/>
      <c r="W55" s="58" t="str" cm="1">
        <f>IFERROR(INDEX(List_Predictors, INDEX(Array_PredictorsLookup,MATCH($A55,List_PredictorFacilities,0),(COLUMN()-1)/2), 1),"")</f>
        <v/>
      </c>
      <c r="X55" s="137"/>
      <c r="Y55" s="58" t="str" cm="1">
        <f>IFERROR(INDEX(List_Predictors, INDEX(Array_PredictorsLookup,MATCH($A55,List_PredictorFacilities,0),(COLUMN()-1)/2), 1),"")</f>
        <v/>
      </c>
      <c r="Z55" s="137"/>
      <c r="AA55" s="58" t="str" cm="1">
        <f>IFERROR(INDEX(List_Predictors, INDEX(Array_PredictorsLookup,MATCH($A55,List_PredictorFacilities,0),(COLUMN()-1)/2), 1),"")</f>
        <v/>
      </c>
      <c r="AB55" s="137"/>
      <c r="AC55" s="58" t="str" cm="1">
        <f>IFERROR(INDEX(List_Predictors, INDEX(Array_PredictorsLookup,MATCH($A55,List_PredictorFacilities,0),(COLUMN()-1)/2), 1),"")</f>
        <v/>
      </c>
      <c r="AD55" s="137"/>
      <c r="AE55" s="58" t="str" cm="1">
        <f>IFERROR(INDEX(List_Predictors, INDEX(Array_PredictorsLookup,MATCH($A55,List_PredictorFacilities,0),(COLUMN()-1)/2), 1),"")</f>
        <v/>
      </c>
      <c r="AF55" s="137"/>
    </row>
    <row r="56" spans="1:32" x14ac:dyDescent="0.3">
      <c r="A56" s="126"/>
      <c r="B56" s="141"/>
      <c r="C56" s="58" t="str" cm="1">
        <f>IFERROR(INDEX(List_Predictors, INDEX(Array_PredictorsLookup,MATCH($A56,List_PredictorFacilities,0),(COLUMN()-1)/2), 1),"")</f>
        <v/>
      </c>
      <c r="D56" s="137"/>
      <c r="E56" s="58" t="str" cm="1">
        <f>IFERROR(INDEX(List_Predictors, INDEX(Array_PredictorsLookup,MATCH($A56,List_PredictorFacilities,0),(COLUMN()-1)/2), 1),"")</f>
        <v/>
      </c>
      <c r="F56" s="137"/>
      <c r="G56" s="58" t="str" cm="1">
        <f>IFERROR(INDEX(List_Predictors, INDEX(Array_PredictorsLookup,MATCH($A56,List_PredictorFacilities,0),(COLUMN()-1)/2), 1),"")</f>
        <v/>
      </c>
      <c r="H56" s="137"/>
      <c r="I56" s="58" t="str" cm="1">
        <f>IFERROR(INDEX(List_Predictors, INDEX(Array_PredictorsLookup,MATCH($A56,List_PredictorFacilities,0),(COLUMN()-1)/2), 1),"")</f>
        <v/>
      </c>
      <c r="J56" s="137"/>
      <c r="K56" s="58" t="str" cm="1">
        <f>IFERROR(INDEX(List_Predictors, INDEX(Array_PredictorsLookup,MATCH($A56,List_PredictorFacilities,0),(COLUMN()-1)/2), 1),"")</f>
        <v/>
      </c>
      <c r="L56" s="137"/>
      <c r="M56" s="58" t="str" cm="1">
        <f>IFERROR(INDEX(List_Predictors, INDEX(Array_PredictorsLookup,MATCH($A56,List_PredictorFacilities,0),(COLUMN()-1)/2), 1),"")</f>
        <v/>
      </c>
      <c r="N56" s="137"/>
      <c r="O56" s="58" t="str" cm="1">
        <f>IFERROR(INDEX(List_Predictors, INDEX(Array_PredictorsLookup,MATCH($A56,List_PredictorFacilities,0),(COLUMN()-1)/2), 1),"")</f>
        <v/>
      </c>
      <c r="P56" s="137"/>
      <c r="Q56" s="58" t="str" cm="1">
        <f>IFERROR(INDEX(List_Predictors, INDEX(Array_PredictorsLookup,MATCH($A56,List_PredictorFacilities,0),(COLUMN()-1)/2), 1),"")</f>
        <v/>
      </c>
      <c r="R56" s="137"/>
      <c r="S56" s="58" t="str" cm="1">
        <f>IFERROR(INDEX(List_Predictors, INDEX(Array_PredictorsLookup,MATCH($A56,List_PredictorFacilities,0),(COLUMN()-1)/2), 1),"")</f>
        <v/>
      </c>
      <c r="T56" s="137"/>
      <c r="U56" s="58" t="str" cm="1">
        <f>IFERROR(INDEX(List_Predictors, INDEX(Array_PredictorsLookup,MATCH($A56,List_PredictorFacilities,0),(COLUMN()-1)/2), 1),"")</f>
        <v/>
      </c>
      <c r="V56" s="137"/>
      <c r="W56" s="58" t="str" cm="1">
        <f>IFERROR(INDEX(List_Predictors, INDEX(Array_PredictorsLookup,MATCH($A56,List_PredictorFacilities,0),(COLUMN()-1)/2), 1),"")</f>
        <v/>
      </c>
      <c r="X56" s="137"/>
      <c r="Y56" s="58" t="str" cm="1">
        <f>IFERROR(INDEX(List_Predictors, INDEX(Array_PredictorsLookup,MATCH($A56,List_PredictorFacilities,0),(COLUMN()-1)/2), 1),"")</f>
        <v/>
      </c>
      <c r="Z56" s="137"/>
      <c r="AA56" s="58" t="str" cm="1">
        <f>IFERROR(INDEX(List_Predictors, INDEX(Array_PredictorsLookup,MATCH($A56,List_PredictorFacilities,0),(COLUMN()-1)/2), 1),"")</f>
        <v/>
      </c>
      <c r="AB56" s="137"/>
      <c r="AC56" s="58" t="str" cm="1">
        <f>IFERROR(INDEX(List_Predictors, INDEX(Array_PredictorsLookup,MATCH($A56,List_PredictorFacilities,0),(COLUMN()-1)/2), 1),"")</f>
        <v/>
      </c>
      <c r="AD56" s="137"/>
      <c r="AE56" s="58" t="str" cm="1">
        <f>IFERROR(INDEX(List_Predictors, INDEX(Array_PredictorsLookup,MATCH($A56,List_PredictorFacilities,0),(COLUMN()-1)/2), 1),"")</f>
        <v/>
      </c>
      <c r="AF56" s="137"/>
    </row>
    <row r="57" spans="1:32" x14ac:dyDescent="0.3">
      <c r="A57" s="126"/>
      <c r="B57" s="141"/>
      <c r="C57" s="58" t="str" cm="1">
        <f>IFERROR(INDEX(List_Predictors, INDEX(Array_PredictorsLookup,MATCH($A57,List_PredictorFacilities,0),(COLUMN()-1)/2), 1),"")</f>
        <v/>
      </c>
      <c r="D57" s="137"/>
      <c r="E57" s="58" t="str" cm="1">
        <f>IFERROR(INDEX(List_Predictors, INDEX(Array_PredictorsLookup,MATCH($A57,List_PredictorFacilities,0),(COLUMN()-1)/2), 1),"")</f>
        <v/>
      </c>
      <c r="F57" s="137"/>
      <c r="G57" s="58" t="str" cm="1">
        <f>IFERROR(INDEX(List_Predictors, INDEX(Array_PredictorsLookup,MATCH($A57,List_PredictorFacilities,0),(COLUMN()-1)/2), 1),"")</f>
        <v/>
      </c>
      <c r="H57" s="137"/>
      <c r="I57" s="58" t="str" cm="1">
        <f>IFERROR(INDEX(List_Predictors, INDEX(Array_PredictorsLookup,MATCH($A57,List_PredictorFacilities,0),(COLUMN()-1)/2), 1),"")</f>
        <v/>
      </c>
      <c r="J57" s="137"/>
      <c r="K57" s="58" t="str" cm="1">
        <f>IFERROR(INDEX(List_Predictors, INDEX(Array_PredictorsLookup,MATCH($A57,List_PredictorFacilities,0),(COLUMN()-1)/2), 1),"")</f>
        <v/>
      </c>
      <c r="L57" s="137"/>
      <c r="M57" s="58" t="str" cm="1">
        <f>IFERROR(INDEX(List_Predictors, INDEX(Array_PredictorsLookup,MATCH($A57,List_PredictorFacilities,0),(COLUMN()-1)/2), 1),"")</f>
        <v/>
      </c>
      <c r="N57" s="137"/>
      <c r="O57" s="58" t="str" cm="1">
        <f>IFERROR(INDEX(List_Predictors, INDEX(Array_PredictorsLookup,MATCH($A57,List_PredictorFacilities,0),(COLUMN()-1)/2), 1),"")</f>
        <v/>
      </c>
      <c r="P57" s="137"/>
      <c r="Q57" s="58" t="str" cm="1">
        <f>IFERROR(INDEX(List_Predictors, INDEX(Array_PredictorsLookup,MATCH($A57,List_PredictorFacilities,0),(COLUMN()-1)/2), 1),"")</f>
        <v/>
      </c>
      <c r="R57" s="137"/>
      <c r="S57" s="58" t="str" cm="1">
        <f>IFERROR(INDEX(List_Predictors, INDEX(Array_PredictorsLookup,MATCH($A57,List_PredictorFacilities,0),(COLUMN()-1)/2), 1),"")</f>
        <v/>
      </c>
      <c r="T57" s="137"/>
      <c r="U57" s="58" t="str" cm="1">
        <f>IFERROR(INDEX(List_Predictors, INDEX(Array_PredictorsLookup,MATCH($A57,List_PredictorFacilities,0),(COLUMN()-1)/2), 1),"")</f>
        <v/>
      </c>
      <c r="V57" s="137"/>
      <c r="W57" s="58" t="str" cm="1">
        <f>IFERROR(INDEX(List_Predictors, INDEX(Array_PredictorsLookup,MATCH($A57,List_PredictorFacilities,0),(COLUMN()-1)/2), 1),"")</f>
        <v/>
      </c>
      <c r="X57" s="137"/>
      <c r="Y57" s="58" t="str" cm="1">
        <f>IFERROR(INDEX(List_Predictors, INDEX(Array_PredictorsLookup,MATCH($A57,List_PredictorFacilities,0),(COLUMN()-1)/2), 1),"")</f>
        <v/>
      </c>
      <c r="Z57" s="137"/>
      <c r="AA57" s="58" t="str" cm="1">
        <f>IFERROR(INDEX(List_Predictors, INDEX(Array_PredictorsLookup,MATCH($A57,List_PredictorFacilities,0),(COLUMN()-1)/2), 1),"")</f>
        <v/>
      </c>
      <c r="AB57" s="137"/>
      <c r="AC57" s="58" t="str" cm="1">
        <f>IFERROR(INDEX(List_Predictors, INDEX(Array_PredictorsLookup,MATCH($A57,List_PredictorFacilities,0),(COLUMN()-1)/2), 1),"")</f>
        <v/>
      </c>
      <c r="AD57" s="137"/>
      <c r="AE57" s="58" t="str" cm="1">
        <f>IFERROR(INDEX(List_Predictors, INDEX(Array_PredictorsLookup,MATCH($A57,List_PredictorFacilities,0),(COLUMN()-1)/2), 1),"")</f>
        <v/>
      </c>
      <c r="AF57" s="137"/>
    </row>
    <row r="58" spans="1:32" x14ac:dyDescent="0.3">
      <c r="A58" s="126"/>
      <c r="B58" s="141"/>
      <c r="C58" s="58" t="str" cm="1">
        <f>IFERROR(INDEX(List_Predictors, INDEX(Array_PredictorsLookup,MATCH($A58,List_PredictorFacilities,0),(COLUMN()-1)/2), 1),"")</f>
        <v/>
      </c>
      <c r="D58" s="137"/>
      <c r="E58" s="58" t="str" cm="1">
        <f>IFERROR(INDEX(List_Predictors, INDEX(Array_PredictorsLookup,MATCH($A58,List_PredictorFacilities,0),(COLUMN()-1)/2), 1),"")</f>
        <v/>
      </c>
      <c r="F58" s="137"/>
      <c r="G58" s="58" t="str" cm="1">
        <f>IFERROR(INDEX(List_Predictors, INDEX(Array_PredictorsLookup,MATCH($A58,List_PredictorFacilities,0),(COLUMN()-1)/2), 1),"")</f>
        <v/>
      </c>
      <c r="H58" s="137"/>
      <c r="I58" s="58" t="str" cm="1">
        <f>IFERROR(INDEX(List_Predictors, INDEX(Array_PredictorsLookup,MATCH($A58,List_PredictorFacilities,0),(COLUMN()-1)/2), 1),"")</f>
        <v/>
      </c>
      <c r="J58" s="137"/>
      <c r="K58" s="58" t="str" cm="1">
        <f>IFERROR(INDEX(List_Predictors, INDEX(Array_PredictorsLookup,MATCH($A58,List_PredictorFacilities,0),(COLUMN()-1)/2), 1),"")</f>
        <v/>
      </c>
      <c r="L58" s="137"/>
      <c r="M58" s="58" t="str" cm="1">
        <f>IFERROR(INDEX(List_Predictors, INDEX(Array_PredictorsLookup,MATCH($A58,List_PredictorFacilities,0),(COLUMN()-1)/2), 1),"")</f>
        <v/>
      </c>
      <c r="N58" s="137"/>
      <c r="O58" s="58" t="str" cm="1">
        <f>IFERROR(INDEX(List_Predictors, INDEX(Array_PredictorsLookup,MATCH($A58,List_PredictorFacilities,0),(COLUMN()-1)/2), 1),"")</f>
        <v/>
      </c>
      <c r="P58" s="137"/>
      <c r="Q58" s="58" t="str" cm="1">
        <f>IFERROR(INDEX(List_Predictors, INDEX(Array_PredictorsLookup,MATCH($A58,List_PredictorFacilities,0),(COLUMN()-1)/2), 1),"")</f>
        <v/>
      </c>
      <c r="R58" s="137"/>
      <c r="S58" s="58" t="str" cm="1">
        <f>IFERROR(INDEX(List_Predictors, INDEX(Array_PredictorsLookup,MATCH($A58,List_PredictorFacilities,0),(COLUMN()-1)/2), 1),"")</f>
        <v/>
      </c>
      <c r="T58" s="137"/>
      <c r="U58" s="58" t="str" cm="1">
        <f>IFERROR(INDEX(List_Predictors, INDEX(Array_PredictorsLookup,MATCH($A58,List_PredictorFacilities,0),(COLUMN()-1)/2), 1),"")</f>
        <v/>
      </c>
      <c r="V58" s="137"/>
      <c r="W58" s="58" t="str" cm="1">
        <f>IFERROR(INDEX(List_Predictors, INDEX(Array_PredictorsLookup,MATCH($A58,List_PredictorFacilities,0),(COLUMN()-1)/2), 1),"")</f>
        <v/>
      </c>
      <c r="X58" s="137"/>
      <c r="Y58" s="58" t="str" cm="1">
        <f>IFERROR(INDEX(List_Predictors, INDEX(Array_PredictorsLookup,MATCH($A58,List_PredictorFacilities,0),(COLUMN()-1)/2), 1),"")</f>
        <v/>
      </c>
      <c r="Z58" s="137"/>
      <c r="AA58" s="58" t="str" cm="1">
        <f>IFERROR(INDEX(List_Predictors, INDEX(Array_PredictorsLookup,MATCH($A58,List_PredictorFacilities,0),(COLUMN()-1)/2), 1),"")</f>
        <v/>
      </c>
      <c r="AB58" s="137"/>
      <c r="AC58" s="58" t="str" cm="1">
        <f>IFERROR(INDEX(List_Predictors, INDEX(Array_PredictorsLookup,MATCH($A58,List_PredictorFacilities,0),(COLUMN()-1)/2), 1),"")</f>
        <v/>
      </c>
      <c r="AD58" s="137"/>
      <c r="AE58" s="58" t="str" cm="1">
        <f>IFERROR(INDEX(List_Predictors, INDEX(Array_PredictorsLookup,MATCH($A58,List_PredictorFacilities,0),(COLUMN()-1)/2), 1),"")</f>
        <v/>
      </c>
      <c r="AF58" s="137"/>
    </row>
    <row r="59" spans="1:32" x14ac:dyDescent="0.3">
      <c r="A59" s="126"/>
      <c r="B59" s="141"/>
      <c r="C59" s="58" t="str" cm="1">
        <f>IFERROR(INDEX(List_Predictors, INDEX(Array_PredictorsLookup,MATCH($A59,List_PredictorFacilities,0),(COLUMN()-1)/2), 1),"")</f>
        <v/>
      </c>
      <c r="D59" s="137"/>
      <c r="E59" s="58" t="str" cm="1">
        <f>IFERROR(INDEX(List_Predictors, INDEX(Array_PredictorsLookup,MATCH($A59,List_PredictorFacilities,0),(COLUMN()-1)/2), 1),"")</f>
        <v/>
      </c>
      <c r="F59" s="137"/>
      <c r="G59" s="58" t="str" cm="1">
        <f>IFERROR(INDEX(List_Predictors, INDEX(Array_PredictorsLookup,MATCH($A59,List_PredictorFacilities,0),(COLUMN()-1)/2), 1),"")</f>
        <v/>
      </c>
      <c r="H59" s="137"/>
      <c r="I59" s="58" t="str" cm="1">
        <f>IFERROR(INDEX(List_Predictors, INDEX(Array_PredictorsLookup,MATCH($A59,List_PredictorFacilities,0),(COLUMN()-1)/2), 1),"")</f>
        <v/>
      </c>
      <c r="J59" s="137"/>
      <c r="K59" s="58" t="str" cm="1">
        <f>IFERROR(INDEX(List_Predictors, INDEX(Array_PredictorsLookup,MATCH($A59,List_PredictorFacilities,0),(COLUMN()-1)/2), 1),"")</f>
        <v/>
      </c>
      <c r="L59" s="137"/>
      <c r="M59" s="58" t="str" cm="1">
        <f>IFERROR(INDEX(List_Predictors, INDEX(Array_PredictorsLookup,MATCH($A59,List_PredictorFacilities,0),(COLUMN()-1)/2), 1),"")</f>
        <v/>
      </c>
      <c r="N59" s="137"/>
      <c r="O59" s="58" t="str" cm="1">
        <f>IFERROR(INDEX(List_Predictors, INDEX(Array_PredictorsLookup,MATCH($A59,List_PredictorFacilities,0),(COLUMN()-1)/2), 1),"")</f>
        <v/>
      </c>
      <c r="P59" s="137"/>
      <c r="Q59" s="58" t="str" cm="1">
        <f>IFERROR(INDEX(List_Predictors, INDEX(Array_PredictorsLookup,MATCH($A59,List_PredictorFacilities,0),(COLUMN()-1)/2), 1),"")</f>
        <v/>
      </c>
      <c r="R59" s="137"/>
      <c r="S59" s="58" t="str" cm="1">
        <f>IFERROR(INDEX(List_Predictors, INDEX(Array_PredictorsLookup,MATCH($A59,List_PredictorFacilities,0),(COLUMN()-1)/2), 1),"")</f>
        <v/>
      </c>
      <c r="T59" s="137"/>
      <c r="U59" s="58" t="str" cm="1">
        <f>IFERROR(INDEX(List_Predictors, INDEX(Array_PredictorsLookup,MATCH($A59,List_PredictorFacilities,0),(COLUMN()-1)/2), 1),"")</f>
        <v/>
      </c>
      <c r="V59" s="137"/>
      <c r="W59" s="58" t="str" cm="1">
        <f>IFERROR(INDEX(List_Predictors, INDEX(Array_PredictorsLookup,MATCH($A59,List_PredictorFacilities,0),(COLUMN()-1)/2), 1),"")</f>
        <v/>
      </c>
      <c r="X59" s="137"/>
      <c r="Y59" s="58" t="str" cm="1">
        <f>IFERROR(INDEX(List_Predictors, INDEX(Array_PredictorsLookup,MATCH($A59,List_PredictorFacilities,0),(COLUMN()-1)/2), 1),"")</f>
        <v/>
      </c>
      <c r="Z59" s="137"/>
      <c r="AA59" s="58" t="str" cm="1">
        <f>IFERROR(INDEX(List_Predictors, INDEX(Array_PredictorsLookup,MATCH($A59,List_PredictorFacilities,0),(COLUMN()-1)/2), 1),"")</f>
        <v/>
      </c>
      <c r="AB59" s="137"/>
      <c r="AC59" s="58" t="str" cm="1">
        <f>IFERROR(INDEX(List_Predictors, INDEX(Array_PredictorsLookup,MATCH($A59,List_PredictorFacilities,0),(COLUMN()-1)/2), 1),"")</f>
        <v/>
      </c>
      <c r="AD59" s="137"/>
      <c r="AE59" s="58" t="str" cm="1">
        <f>IFERROR(INDEX(List_Predictors, INDEX(Array_PredictorsLookup,MATCH($A59,List_PredictorFacilities,0),(COLUMN()-1)/2), 1),"")</f>
        <v/>
      </c>
      <c r="AF59" s="137"/>
    </row>
    <row r="60" spans="1:32" x14ac:dyDescent="0.3">
      <c r="A60" s="126"/>
      <c r="B60" s="141"/>
      <c r="C60" s="58" t="str" cm="1">
        <f>IFERROR(INDEX(List_Predictors, INDEX(Array_PredictorsLookup,MATCH($A60,List_PredictorFacilities,0),(COLUMN()-1)/2), 1),"")</f>
        <v/>
      </c>
      <c r="D60" s="137"/>
      <c r="E60" s="58" t="str" cm="1">
        <f>IFERROR(INDEX(List_Predictors, INDEX(Array_PredictorsLookup,MATCH($A60,List_PredictorFacilities,0),(COLUMN()-1)/2), 1),"")</f>
        <v/>
      </c>
      <c r="F60" s="137"/>
      <c r="G60" s="58" t="str" cm="1">
        <f>IFERROR(INDEX(List_Predictors, INDEX(Array_PredictorsLookup,MATCH($A60,List_PredictorFacilities,0),(COLUMN()-1)/2), 1),"")</f>
        <v/>
      </c>
      <c r="H60" s="137"/>
      <c r="I60" s="58" t="str" cm="1">
        <f>IFERROR(INDEX(List_Predictors, INDEX(Array_PredictorsLookup,MATCH($A60,List_PredictorFacilities,0),(COLUMN()-1)/2), 1),"")</f>
        <v/>
      </c>
      <c r="J60" s="137"/>
      <c r="K60" s="58" t="str" cm="1">
        <f>IFERROR(INDEX(List_Predictors, INDEX(Array_PredictorsLookup,MATCH($A60,List_PredictorFacilities,0),(COLUMN()-1)/2), 1),"")</f>
        <v/>
      </c>
      <c r="L60" s="137"/>
      <c r="M60" s="58" t="str" cm="1">
        <f>IFERROR(INDEX(List_Predictors, INDEX(Array_PredictorsLookup,MATCH($A60,List_PredictorFacilities,0),(COLUMN()-1)/2), 1),"")</f>
        <v/>
      </c>
      <c r="N60" s="137"/>
      <c r="O60" s="58" t="str" cm="1">
        <f>IFERROR(INDEX(List_Predictors, INDEX(Array_PredictorsLookup,MATCH($A60,List_PredictorFacilities,0),(COLUMN()-1)/2), 1),"")</f>
        <v/>
      </c>
      <c r="P60" s="137"/>
      <c r="Q60" s="58" t="str" cm="1">
        <f>IFERROR(INDEX(List_Predictors, INDEX(Array_PredictorsLookup,MATCH($A60,List_PredictorFacilities,0),(COLUMN()-1)/2), 1),"")</f>
        <v/>
      </c>
      <c r="R60" s="137"/>
      <c r="S60" s="58" t="str" cm="1">
        <f>IFERROR(INDEX(List_Predictors, INDEX(Array_PredictorsLookup,MATCH($A60,List_PredictorFacilities,0),(COLUMN()-1)/2), 1),"")</f>
        <v/>
      </c>
      <c r="T60" s="137"/>
      <c r="U60" s="58" t="str" cm="1">
        <f>IFERROR(INDEX(List_Predictors, INDEX(Array_PredictorsLookup,MATCH($A60,List_PredictorFacilities,0),(COLUMN()-1)/2), 1),"")</f>
        <v/>
      </c>
      <c r="V60" s="137"/>
      <c r="W60" s="58" t="str" cm="1">
        <f>IFERROR(INDEX(List_Predictors, INDEX(Array_PredictorsLookup,MATCH($A60,List_PredictorFacilities,0),(COLUMN()-1)/2), 1),"")</f>
        <v/>
      </c>
      <c r="X60" s="137"/>
      <c r="Y60" s="58" t="str" cm="1">
        <f>IFERROR(INDEX(List_Predictors, INDEX(Array_PredictorsLookup,MATCH($A60,List_PredictorFacilities,0),(COLUMN()-1)/2), 1),"")</f>
        <v/>
      </c>
      <c r="Z60" s="137"/>
      <c r="AA60" s="58" t="str" cm="1">
        <f>IFERROR(INDEX(List_Predictors, INDEX(Array_PredictorsLookup,MATCH($A60,List_PredictorFacilities,0),(COLUMN()-1)/2), 1),"")</f>
        <v/>
      </c>
      <c r="AB60" s="137"/>
      <c r="AC60" s="58" t="str" cm="1">
        <f>IFERROR(INDEX(List_Predictors, INDEX(Array_PredictorsLookup,MATCH($A60,List_PredictorFacilities,0),(COLUMN()-1)/2), 1),"")</f>
        <v/>
      </c>
      <c r="AD60" s="137"/>
      <c r="AE60" s="58" t="str" cm="1">
        <f>IFERROR(INDEX(List_Predictors, INDEX(Array_PredictorsLookup,MATCH($A60,List_PredictorFacilities,0),(COLUMN()-1)/2), 1),"")</f>
        <v/>
      </c>
      <c r="AF60" s="137"/>
    </row>
    <row r="61" spans="1:32" x14ac:dyDescent="0.3">
      <c r="A61" s="126"/>
      <c r="B61" s="141"/>
      <c r="C61" s="58" t="str" cm="1">
        <f>IFERROR(INDEX(List_Predictors, INDEX(Array_PredictorsLookup,MATCH($A61,List_PredictorFacilities,0),(COLUMN()-1)/2), 1),"")</f>
        <v/>
      </c>
      <c r="D61" s="137"/>
      <c r="E61" s="58" t="str" cm="1">
        <f>IFERROR(INDEX(List_Predictors, INDEX(Array_PredictorsLookup,MATCH($A61,List_PredictorFacilities,0),(COLUMN()-1)/2), 1),"")</f>
        <v/>
      </c>
      <c r="F61" s="137"/>
      <c r="G61" s="58" t="str" cm="1">
        <f>IFERROR(INDEX(List_Predictors, INDEX(Array_PredictorsLookup,MATCH($A61,List_PredictorFacilities,0),(COLUMN()-1)/2), 1),"")</f>
        <v/>
      </c>
      <c r="H61" s="137"/>
      <c r="I61" s="58" t="str" cm="1">
        <f>IFERROR(INDEX(List_Predictors, INDEX(Array_PredictorsLookup,MATCH($A61,List_PredictorFacilities,0),(COLUMN()-1)/2), 1),"")</f>
        <v/>
      </c>
      <c r="J61" s="137"/>
      <c r="K61" s="58" t="str" cm="1">
        <f>IFERROR(INDEX(List_Predictors, INDEX(Array_PredictorsLookup,MATCH($A61,List_PredictorFacilities,0),(COLUMN()-1)/2), 1),"")</f>
        <v/>
      </c>
      <c r="L61" s="137"/>
      <c r="M61" s="58" t="str" cm="1">
        <f>IFERROR(INDEX(List_Predictors, INDEX(Array_PredictorsLookup,MATCH($A61,List_PredictorFacilities,0),(COLUMN()-1)/2), 1),"")</f>
        <v/>
      </c>
      <c r="N61" s="137"/>
      <c r="O61" s="58" t="str" cm="1">
        <f>IFERROR(INDEX(List_Predictors, INDEX(Array_PredictorsLookup,MATCH($A61,List_PredictorFacilities,0),(COLUMN()-1)/2), 1),"")</f>
        <v/>
      </c>
      <c r="P61" s="137"/>
      <c r="Q61" s="58" t="str" cm="1">
        <f>IFERROR(INDEX(List_Predictors, INDEX(Array_PredictorsLookup,MATCH($A61,List_PredictorFacilities,0),(COLUMN()-1)/2), 1),"")</f>
        <v/>
      </c>
      <c r="R61" s="137"/>
      <c r="S61" s="58" t="str" cm="1">
        <f>IFERROR(INDEX(List_Predictors, INDEX(Array_PredictorsLookup,MATCH($A61,List_PredictorFacilities,0),(COLUMN()-1)/2), 1),"")</f>
        <v/>
      </c>
      <c r="T61" s="137"/>
      <c r="U61" s="58" t="str" cm="1">
        <f>IFERROR(INDEX(List_Predictors, INDEX(Array_PredictorsLookup,MATCH($A61,List_PredictorFacilities,0),(COLUMN()-1)/2), 1),"")</f>
        <v/>
      </c>
      <c r="V61" s="137"/>
      <c r="W61" s="58" t="str" cm="1">
        <f>IFERROR(INDEX(List_Predictors, INDEX(Array_PredictorsLookup,MATCH($A61,List_PredictorFacilities,0),(COLUMN()-1)/2), 1),"")</f>
        <v/>
      </c>
      <c r="X61" s="137"/>
      <c r="Y61" s="58" t="str" cm="1">
        <f>IFERROR(INDEX(List_Predictors, INDEX(Array_PredictorsLookup,MATCH($A61,List_PredictorFacilities,0),(COLUMN()-1)/2), 1),"")</f>
        <v/>
      </c>
      <c r="Z61" s="137"/>
      <c r="AA61" s="58" t="str" cm="1">
        <f>IFERROR(INDEX(List_Predictors, INDEX(Array_PredictorsLookup,MATCH($A61,List_PredictorFacilities,0),(COLUMN()-1)/2), 1),"")</f>
        <v/>
      </c>
      <c r="AB61" s="137"/>
      <c r="AC61" s="58" t="str" cm="1">
        <f>IFERROR(INDEX(List_Predictors, INDEX(Array_PredictorsLookup,MATCH($A61,List_PredictorFacilities,0),(COLUMN()-1)/2), 1),"")</f>
        <v/>
      </c>
      <c r="AD61" s="137"/>
      <c r="AE61" s="58" t="str" cm="1">
        <f>IFERROR(INDEX(List_Predictors, INDEX(Array_PredictorsLookup,MATCH($A61,List_PredictorFacilities,0),(COLUMN()-1)/2), 1),"")</f>
        <v/>
      </c>
      <c r="AF61" s="137"/>
    </row>
    <row r="62" spans="1:32" x14ac:dyDescent="0.3">
      <c r="A62" s="126"/>
      <c r="B62" s="141"/>
      <c r="C62" s="58" t="str" cm="1">
        <f>IFERROR(INDEX(List_Predictors, INDEX(Array_PredictorsLookup,MATCH($A62,List_PredictorFacilities,0),(COLUMN()-1)/2), 1),"")</f>
        <v/>
      </c>
      <c r="D62" s="137"/>
      <c r="E62" s="58" t="str" cm="1">
        <f>IFERROR(INDEX(List_Predictors, INDEX(Array_PredictorsLookup,MATCH($A62,List_PredictorFacilities,0),(COLUMN()-1)/2), 1),"")</f>
        <v/>
      </c>
      <c r="F62" s="137"/>
      <c r="G62" s="58" t="str" cm="1">
        <f>IFERROR(INDEX(List_Predictors, INDEX(Array_PredictorsLookup,MATCH($A62,List_PredictorFacilities,0),(COLUMN()-1)/2), 1),"")</f>
        <v/>
      </c>
      <c r="H62" s="137"/>
      <c r="I62" s="58" t="str" cm="1">
        <f>IFERROR(INDEX(List_Predictors, INDEX(Array_PredictorsLookup,MATCH($A62,List_PredictorFacilities,0),(COLUMN()-1)/2), 1),"")</f>
        <v/>
      </c>
      <c r="J62" s="137"/>
      <c r="K62" s="58" t="str" cm="1">
        <f>IFERROR(INDEX(List_Predictors, INDEX(Array_PredictorsLookup,MATCH($A62,List_PredictorFacilities,0),(COLUMN()-1)/2), 1),"")</f>
        <v/>
      </c>
      <c r="L62" s="137"/>
      <c r="M62" s="58" t="str" cm="1">
        <f>IFERROR(INDEX(List_Predictors, INDEX(Array_PredictorsLookup,MATCH($A62,List_PredictorFacilities,0),(COLUMN()-1)/2), 1),"")</f>
        <v/>
      </c>
      <c r="N62" s="137"/>
      <c r="O62" s="58" t="str" cm="1">
        <f>IFERROR(INDEX(List_Predictors, INDEX(Array_PredictorsLookup,MATCH($A62,List_PredictorFacilities,0),(COLUMN()-1)/2), 1),"")</f>
        <v/>
      </c>
      <c r="P62" s="137"/>
      <c r="Q62" s="58" t="str" cm="1">
        <f>IFERROR(INDEX(List_Predictors, INDEX(Array_PredictorsLookup,MATCH($A62,List_PredictorFacilities,0),(COLUMN()-1)/2), 1),"")</f>
        <v/>
      </c>
      <c r="R62" s="137"/>
      <c r="S62" s="58" t="str" cm="1">
        <f>IFERROR(INDEX(List_Predictors, INDEX(Array_PredictorsLookup,MATCH($A62,List_PredictorFacilities,0),(COLUMN()-1)/2), 1),"")</f>
        <v/>
      </c>
      <c r="T62" s="137"/>
      <c r="U62" s="58" t="str" cm="1">
        <f>IFERROR(INDEX(List_Predictors, INDEX(Array_PredictorsLookup,MATCH($A62,List_PredictorFacilities,0),(COLUMN()-1)/2), 1),"")</f>
        <v/>
      </c>
      <c r="V62" s="137"/>
      <c r="W62" s="58" t="str" cm="1">
        <f>IFERROR(INDEX(List_Predictors, INDEX(Array_PredictorsLookup,MATCH($A62,List_PredictorFacilities,0),(COLUMN()-1)/2), 1),"")</f>
        <v/>
      </c>
      <c r="X62" s="137"/>
      <c r="Y62" s="58" t="str" cm="1">
        <f>IFERROR(INDEX(List_Predictors, INDEX(Array_PredictorsLookup,MATCH($A62,List_PredictorFacilities,0),(COLUMN()-1)/2), 1),"")</f>
        <v/>
      </c>
      <c r="Z62" s="137"/>
      <c r="AA62" s="58" t="str" cm="1">
        <f>IFERROR(INDEX(List_Predictors, INDEX(Array_PredictorsLookup,MATCH($A62,List_PredictorFacilities,0),(COLUMN()-1)/2), 1),"")</f>
        <v/>
      </c>
      <c r="AB62" s="137"/>
      <c r="AC62" s="58" t="str" cm="1">
        <f>IFERROR(INDEX(List_Predictors, INDEX(Array_PredictorsLookup,MATCH($A62,List_PredictorFacilities,0),(COLUMN()-1)/2), 1),"")</f>
        <v/>
      </c>
      <c r="AD62" s="137"/>
      <c r="AE62" s="58" t="str" cm="1">
        <f>IFERROR(INDEX(List_Predictors, INDEX(Array_PredictorsLookup,MATCH($A62,List_PredictorFacilities,0),(COLUMN()-1)/2), 1),"")</f>
        <v/>
      </c>
      <c r="AF62" s="137"/>
    </row>
    <row r="63" spans="1:32" x14ac:dyDescent="0.3">
      <c r="A63" s="126"/>
      <c r="B63" s="141"/>
      <c r="C63" s="58" t="str" cm="1">
        <f>IFERROR(INDEX(List_Predictors, INDEX(Array_PredictorsLookup,MATCH($A63,List_PredictorFacilities,0),(COLUMN()-1)/2), 1),"")</f>
        <v/>
      </c>
      <c r="D63" s="137"/>
      <c r="E63" s="58" t="str" cm="1">
        <f>IFERROR(INDEX(List_Predictors, INDEX(Array_PredictorsLookup,MATCH($A63,List_PredictorFacilities,0),(COLUMN()-1)/2), 1),"")</f>
        <v/>
      </c>
      <c r="F63" s="137"/>
      <c r="G63" s="58" t="str" cm="1">
        <f>IFERROR(INDEX(List_Predictors, INDEX(Array_PredictorsLookup,MATCH($A63,List_PredictorFacilities,0),(COLUMN()-1)/2), 1),"")</f>
        <v/>
      </c>
      <c r="H63" s="137"/>
      <c r="I63" s="58" t="str" cm="1">
        <f>IFERROR(INDEX(List_Predictors, INDEX(Array_PredictorsLookup,MATCH($A63,List_PredictorFacilities,0),(COLUMN()-1)/2), 1),"")</f>
        <v/>
      </c>
      <c r="J63" s="137"/>
      <c r="K63" s="58" t="str" cm="1">
        <f>IFERROR(INDEX(List_Predictors, INDEX(Array_PredictorsLookup,MATCH($A63,List_PredictorFacilities,0),(COLUMN()-1)/2), 1),"")</f>
        <v/>
      </c>
      <c r="L63" s="137"/>
      <c r="M63" s="58" t="str" cm="1">
        <f>IFERROR(INDEX(List_Predictors, INDEX(Array_PredictorsLookup,MATCH($A63,List_PredictorFacilities,0),(COLUMN()-1)/2), 1),"")</f>
        <v/>
      </c>
      <c r="N63" s="137"/>
      <c r="O63" s="58" t="str" cm="1">
        <f>IFERROR(INDEX(List_Predictors, INDEX(Array_PredictorsLookup,MATCH($A63,List_PredictorFacilities,0),(COLUMN()-1)/2), 1),"")</f>
        <v/>
      </c>
      <c r="P63" s="137"/>
      <c r="Q63" s="58" t="str" cm="1">
        <f>IFERROR(INDEX(List_Predictors, INDEX(Array_PredictorsLookup,MATCH($A63,List_PredictorFacilities,0),(COLUMN()-1)/2), 1),"")</f>
        <v/>
      </c>
      <c r="R63" s="137"/>
      <c r="S63" s="58" t="str" cm="1">
        <f>IFERROR(INDEX(List_Predictors, INDEX(Array_PredictorsLookup,MATCH($A63,List_PredictorFacilities,0),(COLUMN()-1)/2), 1),"")</f>
        <v/>
      </c>
      <c r="T63" s="137"/>
      <c r="U63" s="58" t="str" cm="1">
        <f>IFERROR(INDEX(List_Predictors, INDEX(Array_PredictorsLookup,MATCH($A63,List_PredictorFacilities,0),(COLUMN()-1)/2), 1),"")</f>
        <v/>
      </c>
      <c r="V63" s="137"/>
      <c r="W63" s="58" t="str" cm="1">
        <f>IFERROR(INDEX(List_Predictors, INDEX(Array_PredictorsLookup,MATCH($A63,List_PredictorFacilities,0),(COLUMN()-1)/2), 1),"")</f>
        <v/>
      </c>
      <c r="X63" s="137"/>
      <c r="Y63" s="58" t="str" cm="1">
        <f>IFERROR(INDEX(List_Predictors, INDEX(Array_PredictorsLookup,MATCH($A63,List_PredictorFacilities,0),(COLUMN()-1)/2), 1),"")</f>
        <v/>
      </c>
      <c r="Z63" s="137"/>
      <c r="AA63" s="58" t="str" cm="1">
        <f>IFERROR(INDEX(List_Predictors, INDEX(Array_PredictorsLookup,MATCH($A63,List_PredictorFacilities,0),(COLUMN()-1)/2), 1),"")</f>
        <v/>
      </c>
      <c r="AB63" s="137"/>
      <c r="AC63" s="58" t="str" cm="1">
        <f>IFERROR(INDEX(List_Predictors, INDEX(Array_PredictorsLookup,MATCH($A63,List_PredictorFacilities,0),(COLUMN()-1)/2), 1),"")</f>
        <v/>
      </c>
      <c r="AD63" s="137"/>
      <c r="AE63" s="58" t="str" cm="1">
        <f>IFERROR(INDEX(List_Predictors, INDEX(Array_PredictorsLookup,MATCH($A63,List_PredictorFacilities,0),(COLUMN()-1)/2), 1),"")</f>
        <v/>
      </c>
      <c r="AF63" s="137"/>
    </row>
    <row r="64" spans="1:32" x14ac:dyDescent="0.3">
      <c r="A64" s="126"/>
      <c r="B64" s="141"/>
      <c r="C64" s="58" t="str" cm="1">
        <f>IFERROR(INDEX(List_Predictors, INDEX(Array_PredictorsLookup,MATCH($A64,List_PredictorFacilities,0),(COLUMN()-1)/2), 1),"")</f>
        <v/>
      </c>
      <c r="D64" s="137"/>
      <c r="E64" s="58" t="str" cm="1">
        <f>IFERROR(INDEX(List_Predictors, INDEX(Array_PredictorsLookup,MATCH($A64,List_PredictorFacilities,0),(COLUMN()-1)/2), 1),"")</f>
        <v/>
      </c>
      <c r="F64" s="137"/>
      <c r="G64" s="58" t="str" cm="1">
        <f>IFERROR(INDEX(List_Predictors, INDEX(Array_PredictorsLookup,MATCH($A64,List_PredictorFacilities,0),(COLUMN()-1)/2), 1),"")</f>
        <v/>
      </c>
      <c r="H64" s="137"/>
      <c r="I64" s="58" t="str" cm="1">
        <f>IFERROR(INDEX(List_Predictors, INDEX(Array_PredictorsLookup,MATCH($A64,List_PredictorFacilities,0),(COLUMN()-1)/2), 1),"")</f>
        <v/>
      </c>
      <c r="J64" s="137"/>
      <c r="K64" s="58" t="str" cm="1">
        <f>IFERROR(INDEX(List_Predictors, INDEX(Array_PredictorsLookup,MATCH($A64,List_PredictorFacilities,0),(COLUMN()-1)/2), 1),"")</f>
        <v/>
      </c>
      <c r="L64" s="137"/>
      <c r="M64" s="58" t="str" cm="1">
        <f>IFERROR(INDEX(List_Predictors, INDEX(Array_PredictorsLookup,MATCH($A64,List_PredictorFacilities,0),(COLUMN()-1)/2), 1),"")</f>
        <v/>
      </c>
      <c r="N64" s="137"/>
      <c r="O64" s="58" t="str" cm="1">
        <f>IFERROR(INDEX(List_Predictors, INDEX(Array_PredictorsLookup,MATCH($A64,List_PredictorFacilities,0),(COLUMN()-1)/2), 1),"")</f>
        <v/>
      </c>
      <c r="P64" s="137"/>
      <c r="Q64" s="58" t="str" cm="1">
        <f>IFERROR(INDEX(List_Predictors, INDEX(Array_PredictorsLookup,MATCH($A64,List_PredictorFacilities,0),(COLUMN()-1)/2), 1),"")</f>
        <v/>
      </c>
      <c r="R64" s="137"/>
      <c r="S64" s="58" t="str" cm="1">
        <f>IFERROR(INDEX(List_Predictors, INDEX(Array_PredictorsLookup,MATCH($A64,List_PredictorFacilities,0),(COLUMN()-1)/2), 1),"")</f>
        <v/>
      </c>
      <c r="T64" s="137"/>
      <c r="U64" s="58" t="str" cm="1">
        <f>IFERROR(INDEX(List_Predictors, INDEX(Array_PredictorsLookup,MATCH($A64,List_PredictorFacilities,0),(COLUMN()-1)/2), 1),"")</f>
        <v/>
      </c>
      <c r="V64" s="137"/>
      <c r="W64" s="58" t="str" cm="1">
        <f>IFERROR(INDEX(List_Predictors, INDEX(Array_PredictorsLookup,MATCH($A64,List_PredictorFacilities,0),(COLUMN()-1)/2), 1),"")</f>
        <v/>
      </c>
      <c r="X64" s="137"/>
      <c r="Y64" s="58" t="str" cm="1">
        <f>IFERROR(INDEX(List_Predictors, INDEX(Array_PredictorsLookup,MATCH($A64,List_PredictorFacilities,0),(COLUMN()-1)/2), 1),"")</f>
        <v/>
      </c>
      <c r="Z64" s="137"/>
      <c r="AA64" s="58" t="str" cm="1">
        <f>IFERROR(INDEX(List_Predictors, INDEX(Array_PredictorsLookup,MATCH($A64,List_PredictorFacilities,0),(COLUMN()-1)/2), 1),"")</f>
        <v/>
      </c>
      <c r="AB64" s="137"/>
      <c r="AC64" s="58" t="str" cm="1">
        <f>IFERROR(INDEX(List_Predictors, INDEX(Array_PredictorsLookup,MATCH($A64,List_PredictorFacilities,0),(COLUMN()-1)/2), 1),"")</f>
        <v/>
      </c>
      <c r="AD64" s="137"/>
      <c r="AE64" s="58" t="str" cm="1">
        <f>IFERROR(INDEX(List_Predictors, INDEX(Array_PredictorsLookup,MATCH($A64,List_PredictorFacilities,0),(COLUMN()-1)/2), 1),"")</f>
        <v/>
      </c>
      <c r="AF64" s="137"/>
    </row>
    <row r="65" spans="1:32" x14ac:dyDescent="0.3">
      <c r="A65" s="126"/>
      <c r="B65" s="141"/>
      <c r="C65" s="58" t="str" cm="1">
        <f>IFERROR(INDEX(List_Predictors, INDEX(Array_PredictorsLookup,MATCH($A65,List_PredictorFacilities,0),(COLUMN()-1)/2), 1),"")</f>
        <v/>
      </c>
      <c r="D65" s="137"/>
      <c r="E65" s="58" t="str" cm="1">
        <f>IFERROR(INDEX(List_Predictors, INDEX(Array_PredictorsLookup,MATCH($A65,List_PredictorFacilities,0),(COLUMN()-1)/2), 1),"")</f>
        <v/>
      </c>
      <c r="F65" s="137"/>
      <c r="G65" s="58" t="str" cm="1">
        <f>IFERROR(INDEX(List_Predictors, INDEX(Array_PredictorsLookup,MATCH($A65,List_PredictorFacilities,0),(COLUMN()-1)/2), 1),"")</f>
        <v/>
      </c>
      <c r="H65" s="137"/>
      <c r="I65" s="58" t="str" cm="1">
        <f>IFERROR(INDEX(List_Predictors, INDEX(Array_PredictorsLookup,MATCH($A65,List_PredictorFacilities,0),(COLUMN()-1)/2), 1),"")</f>
        <v/>
      </c>
      <c r="J65" s="137"/>
      <c r="K65" s="58" t="str" cm="1">
        <f>IFERROR(INDEX(List_Predictors, INDEX(Array_PredictorsLookup,MATCH($A65,List_PredictorFacilities,0),(COLUMN()-1)/2), 1),"")</f>
        <v/>
      </c>
      <c r="L65" s="137"/>
      <c r="M65" s="58" t="str" cm="1">
        <f>IFERROR(INDEX(List_Predictors, INDEX(Array_PredictorsLookup,MATCH($A65,List_PredictorFacilities,0),(COLUMN()-1)/2), 1),"")</f>
        <v/>
      </c>
      <c r="N65" s="137"/>
      <c r="O65" s="58" t="str" cm="1">
        <f>IFERROR(INDEX(List_Predictors, INDEX(Array_PredictorsLookup,MATCH($A65,List_PredictorFacilities,0),(COLUMN()-1)/2), 1),"")</f>
        <v/>
      </c>
      <c r="P65" s="137"/>
      <c r="Q65" s="58" t="str" cm="1">
        <f>IFERROR(INDEX(List_Predictors, INDEX(Array_PredictorsLookup,MATCH($A65,List_PredictorFacilities,0),(COLUMN()-1)/2), 1),"")</f>
        <v/>
      </c>
      <c r="R65" s="137"/>
      <c r="S65" s="58" t="str" cm="1">
        <f>IFERROR(INDEX(List_Predictors, INDEX(Array_PredictorsLookup,MATCH($A65,List_PredictorFacilities,0),(COLUMN()-1)/2), 1),"")</f>
        <v/>
      </c>
      <c r="T65" s="137"/>
      <c r="U65" s="58" t="str" cm="1">
        <f>IFERROR(INDEX(List_Predictors, INDEX(Array_PredictorsLookup,MATCH($A65,List_PredictorFacilities,0),(COLUMN()-1)/2), 1),"")</f>
        <v/>
      </c>
      <c r="V65" s="137"/>
      <c r="W65" s="58" t="str" cm="1">
        <f>IFERROR(INDEX(List_Predictors, INDEX(Array_PredictorsLookup,MATCH($A65,List_PredictorFacilities,0),(COLUMN()-1)/2), 1),"")</f>
        <v/>
      </c>
      <c r="X65" s="137"/>
      <c r="Y65" s="58" t="str" cm="1">
        <f>IFERROR(INDEX(List_Predictors, INDEX(Array_PredictorsLookup,MATCH($A65,List_PredictorFacilities,0),(COLUMN()-1)/2), 1),"")</f>
        <v/>
      </c>
      <c r="Z65" s="137"/>
      <c r="AA65" s="58" t="str" cm="1">
        <f>IFERROR(INDEX(List_Predictors, INDEX(Array_PredictorsLookup,MATCH($A65,List_PredictorFacilities,0),(COLUMN()-1)/2), 1),"")</f>
        <v/>
      </c>
      <c r="AB65" s="137"/>
      <c r="AC65" s="58" t="str" cm="1">
        <f>IFERROR(INDEX(List_Predictors, INDEX(Array_PredictorsLookup,MATCH($A65,List_PredictorFacilities,0),(COLUMN()-1)/2), 1),"")</f>
        <v/>
      </c>
      <c r="AD65" s="137"/>
      <c r="AE65" s="58" t="str" cm="1">
        <f>IFERROR(INDEX(List_Predictors, INDEX(Array_PredictorsLookup,MATCH($A65,List_PredictorFacilities,0),(COLUMN()-1)/2), 1),"")</f>
        <v/>
      </c>
      <c r="AF65" s="137"/>
    </row>
    <row r="66" spans="1:32" x14ac:dyDescent="0.3">
      <c r="A66" s="126"/>
      <c r="B66" s="141"/>
      <c r="C66" s="58" t="str" cm="1">
        <f>IFERROR(INDEX(List_Predictors, INDEX(Array_PredictorsLookup,MATCH($A66,List_PredictorFacilities,0),(COLUMN()-1)/2), 1),"")</f>
        <v/>
      </c>
      <c r="D66" s="137"/>
      <c r="E66" s="58" t="str" cm="1">
        <f>IFERROR(INDEX(List_Predictors, INDEX(Array_PredictorsLookup,MATCH($A66,List_PredictorFacilities,0),(COLUMN()-1)/2), 1),"")</f>
        <v/>
      </c>
      <c r="F66" s="137"/>
      <c r="G66" s="58" t="str" cm="1">
        <f>IFERROR(INDEX(List_Predictors, INDEX(Array_PredictorsLookup,MATCH($A66,List_PredictorFacilities,0),(COLUMN()-1)/2), 1),"")</f>
        <v/>
      </c>
      <c r="H66" s="137"/>
      <c r="I66" s="58" t="str" cm="1">
        <f>IFERROR(INDEX(List_Predictors, INDEX(Array_PredictorsLookup,MATCH($A66,List_PredictorFacilities,0),(COLUMN()-1)/2), 1),"")</f>
        <v/>
      </c>
      <c r="J66" s="137"/>
      <c r="K66" s="58" t="str" cm="1">
        <f>IFERROR(INDEX(List_Predictors, INDEX(Array_PredictorsLookup,MATCH($A66,List_PredictorFacilities,0),(COLUMN()-1)/2), 1),"")</f>
        <v/>
      </c>
      <c r="L66" s="137"/>
      <c r="M66" s="58" t="str" cm="1">
        <f>IFERROR(INDEX(List_Predictors, INDEX(Array_PredictorsLookup,MATCH($A66,List_PredictorFacilities,0),(COLUMN()-1)/2), 1),"")</f>
        <v/>
      </c>
      <c r="N66" s="137"/>
      <c r="O66" s="58" t="str" cm="1">
        <f>IFERROR(INDEX(List_Predictors, INDEX(Array_PredictorsLookup,MATCH($A66,List_PredictorFacilities,0),(COLUMN()-1)/2), 1),"")</f>
        <v/>
      </c>
      <c r="P66" s="137"/>
      <c r="Q66" s="58" t="str" cm="1">
        <f>IFERROR(INDEX(List_Predictors, INDEX(Array_PredictorsLookup,MATCH($A66,List_PredictorFacilities,0),(COLUMN()-1)/2), 1),"")</f>
        <v/>
      </c>
      <c r="R66" s="137"/>
      <c r="S66" s="58" t="str" cm="1">
        <f>IFERROR(INDEX(List_Predictors, INDEX(Array_PredictorsLookup,MATCH($A66,List_PredictorFacilities,0),(COLUMN()-1)/2), 1),"")</f>
        <v/>
      </c>
      <c r="T66" s="137"/>
      <c r="U66" s="58" t="str" cm="1">
        <f>IFERROR(INDEX(List_Predictors, INDEX(Array_PredictorsLookup,MATCH($A66,List_PredictorFacilities,0),(COLUMN()-1)/2), 1),"")</f>
        <v/>
      </c>
      <c r="V66" s="137"/>
      <c r="W66" s="58" t="str" cm="1">
        <f>IFERROR(INDEX(List_Predictors, INDEX(Array_PredictorsLookup,MATCH($A66,List_PredictorFacilities,0),(COLUMN()-1)/2), 1),"")</f>
        <v/>
      </c>
      <c r="X66" s="137"/>
      <c r="Y66" s="58" t="str" cm="1">
        <f>IFERROR(INDEX(List_Predictors, INDEX(Array_PredictorsLookup,MATCH($A66,List_PredictorFacilities,0),(COLUMN()-1)/2), 1),"")</f>
        <v/>
      </c>
      <c r="Z66" s="137"/>
      <c r="AA66" s="58" t="str" cm="1">
        <f>IFERROR(INDEX(List_Predictors, INDEX(Array_PredictorsLookup,MATCH($A66,List_PredictorFacilities,0),(COLUMN()-1)/2), 1),"")</f>
        <v/>
      </c>
      <c r="AB66" s="137"/>
      <c r="AC66" s="58" t="str" cm="1">
        <f>IFERROR(INDEX(List_Predictors, INDEX(Array_PredictorsLookup,MATCH($A66,List_PredictorFacilities,0),(COLUMN()-1)/2), 1),"")</f>
        <v/>
      </c>
      <c r="AD66" s="137"/>
      <c r="AE66" s="58" t="str" cm="1">
        <f>IFERROR(INDEX(List_Predictors, INDEX(Array_PredictorsLookup,MATCH($A66,List_PredictorFacilities,0),(COLUMN()-1)/2), 1),"")</f>
        <v/>
      </c>
      <c r="AF66" s="137"/>
    </row>
    <row r="67" spans="1:32" x14ac:dyDescent="0.3">
      <c r="A67" s="126"/>
      <c r="B67" s="141"/>
      <c r="C67" s="58" t="str" cm="1">
        <f>IFERROR(INDEX(List_Predictors, INDEX(Array_PredictorsLookup,MATCH($A67,List_PredictorFacilities,0),(COLUMN()-1)/2), 1),"")</f>
        <v/>
      </c>
      <c r="D67" s="137"/>
      <c r="E67" s="58" t="str" cm="1">
        <f>IFERROR(INDEX(List_Predictors, INDEX(Array_PredictorsLookup,MATCH($A67,List_PredictorFacilities,0),(COLUMN()-1)/2), 1),"")</f>
        <v/>
      </c>
      <c r="F67" s="137"/>
      <c r="G67" s="58" t="str" cm="1">
        <f>IFERROR(INDEX(List_Predictors, INDEX(Array_PredictorsLookup,MATCH($A67,List_PredictorFacilities,0),(COLUMN()-1)/2), 1),"")</f>
        <v/>
      </c>
      <c r="H67" s="137"/>
      <c r="I67" s="58" t="str" cm="1">
        <f>IFERROR(INDEX(List_Predictors, INDEX(Array_PredictorsLookup,MATCH($A67,List_PredictorFacilities,0),(COLUMN()-1)/2), 1),"")</f>
        <v/>
      </c>
      <c r="J67" s="137"/>
      <c r="K67" s="58" t="str" cm="1">
        <f>IFERROR(INDEX(List_Predictors, INDEX(Array_PredictorsLookup,MATCH($A67,List_PredictorFacilities,0),(COLUMN()-1)/2), 1),"")</f>
        <v/>
      </c>
      <c r="L67" s="137"/>
      <c r="M67" s="58" t="str" cm="1">
        <f>IFERROR(INDEX(List_Predictors, INDEX(Array_PredictorsLookup,MATCH($A67,List_PredictorFacilities,0),(COLUMN()-1)/2), 1),"")</f>
        <v/>
      </c>
      <c r="N67" s="137"/>
      <c r="O67" s="58" t="str" cm="1">
        <f>IFERROR(INDEX(List_Predictors, INDEX(Array_PredictorsLookup,MATCH($A67,List_PredictorFacilities,0),(COLUMN()-1)/2), 1),"")</f>
        <v/>
      </c>
      <c r="P67" s="137"/>
      <c r="Q67" s="58" t="str" cm="1">
        <f>IFERROR(INDEX(List_Predictors, INDEX(Array_PredictorsLookup,MATCH($A67,List_PredictorFacilities,0),(COLUMN()-1)/2), 1),"")</f>
        <v/>
      </c>
      <c r="R67" s="137"/>
      <c r="S67" s="58" t="str" cm="1">
        <f>IFERROR(INDEX(List_Predictors, INDEX(Array_PredictorsLookup,MATCH($A67,List_PredictorFacilities,0),(COLUMN()-1)/2), 1),"")</f>
        <v/>
      </c>
      <c r="T67" s="137"/>
      <c r="U67" s="58" t="str" cm="1">
        <f>IFERROR(INDEX(List_Predictors, INDEX(Array_PredictorsLookup,MATCH($A67,List_PredictorFacilities,0),(COLUMN()-1)/2), 1),"")</f>
        <v/>
      </c>
      <c r="V67" s="137"/>
      <c r="W67" s="58" t="str" cm="1">
        <f>IFERROR(INDEX(List_Predictors, INDEX(Array_PredictorsLookup,MATCH($A67,List_PredictorFacilities,0),(COLUMN()-1)/2), 1),"")</f>
        <v/>
      </c>
      <c r="X67" s="137"/>
      <c r="Y67" s="58" t="str" cm="1">
        <f>IFERROR(INDEX(List_Predictors, INDEX(Array_PredictorsLookup,MATCH($A67,List_PredictorFacilities,0),(COLUMN()-1)/2), 1),"")</f>
        <v/>
      </c>
      <c r="Z67" s="137"/>
      <c r="AA67" s="58" t="str" cm="1">
        <f>IFERROR(INDEX(List_Predictors, INDEX(Array_PredictorsLookup,MATCH($A67,List_PredictorFacilities,0),(COLUMN()-1)/2), 1),"")</f>
        <v/>
      </c>
      <c r="AB67" s="137"/>
      <c r="AC67" s="58" t="str" cm="1">
        <f>IFERROR(INDEX(List_Predictors, INDEX(Array_PredictorsLookup,MATCH($A67,List_PredictorFacilities,0),(COLUMN()-1)/2), 1),"")</f>
        <v/>
      </c>
      <c r="AD67" s="137"/>
      <c r="AE67" s="58" t="str" cm="1">
        <f>IFERROR(INDEX(List_Predictors, INDEX(Array_PredictorsLookup,MATCH($A67,List_PredictorFacilities,0),(COLUMN()-1)/2), 1),"")</f>
        <v/>
      </c>
      <c r="AF67" s="137"/>
    </row>
    <row r="68" spans="1:32" x14ac:dyDescent="0.3">
      <c r="A68" s="126"/>
      <c r="B68" s="141"/>
      <c r="C68" s="58" t="str" cm="1">
        <f>IFERROR(INDEX(List_Predictors, INDEX(Array_PredictorsLookup,MATCH($A68,List_PredictorFacilities,0),(COLUMN()-1)/2), 1),"")</f>
        <v/>
      </c>
      <c r="D68" s="137"/>
      <c r="E68" s="58" t="str" cm="1">
        <f>IFERROR(INDEX(List_Predictors, INDEX(Array_PredictorsLookup,MATCH($A68,List_PredictorFacilities,0),(COLUMN()-1)/2), 1),"")</f>
        <v/>
      </c>
      <c r="F68" s="137"/>
      <c r="G68" s="58" t="str" cm="1">
        <f>IFERROR(INDEX(List_Predictors, INDEX(Array_PredictorsLookup,MATCH($A68,List_PredictorFacilities,0),(COLUMN()-1)/2), 1),"")</f>
        <v/>
      </c>
      <c r="H68" s="137"/>
      <c r="I68" s="58" t="str" cm="1">
        <f>IFERROR(INDEX(List_Predictors, INDEX(Array_PredictorsLookup,MATCH($A68,List_PredictorFacilities,0),(COLUMN()-1)/2), 1),"")</f>
        <v/>
      </c>
      <c r="J68" s="137"/>
      <c r="K68" s="58" t="str" cm="1">
        <f>IFERROR(INDEX(List_Predictors, INDEX(Array_PredictorsLookup,MATCH($A68,List_PredictorFacilities,0),(COLUMN()-1)/2), 1),"")</f>
        <v/>
      </c>
      <c r="L68" s="137"/>
      <c r="M68" s="58" t="str" cm="1">
        <f>IFERROR(INDEX(List_Predictors, INDEX(Array_PredictorsLookup,MATCH($A68,List_PredictorFacilities,0),(COLUMN()-1)/2), 1),"")</f>
        <v/>
      </c>
      <c r="N68" s="137"/>
      <c r="O68" s="58" t="str" cm="1">
        <f>IFERROR(INDEX(List_Predictors, INDEX(Array_PredictorsLookup,MATCH($A68,List_PredictorFacilities,0),(COLUMN()-1)/2), 1),"")</f>
        <v/>
      </c>
      <c r="P68" s="137"/>
      <c r="Q68" s="58" t="str" cm="1">
        <f>IFERROR(INDEX(List_Predictors, INDEX(Array_PredictorsLookup,MATCH($A68,List_PredictorFacilities,0),(COLUMN()-1)/2), 1),"")</f>
        <v/>
      </c>
      <c r="R68" s="137"/>
      <c r="S68" s="58" t="str" cm="1">
        <f>IFERROR(INDEX(List_Predictors, INDEX(Array_PredictorsLookup,MATCH($A68,List_PredictorFacilities,0),(COLUMN()-1)/2), 1),"")</f>
        <v/>
      </c>
      <c r="T68" s="137"/>
      <c r="U68" s="58" t="str" cm="1">
        <f>IFERROR(INDEX(List_Predictors, INDEX(Array_PredictorsLookup,MATCH($A68,List_PredictorFacilities,0),(COLUMN()-1)/2), 1),"")</f>
        <v/>
      </c>
      <c r="V68" s="137"/>
      <c r="W68" s="58" t="str" cm="1">
        <f>IFERROR(INDEX(List_Predictors, INDEX(Array_PredictorsLookup,MATCH($A68,List_PredictorFacilities,0),(COLUMN()-1)/2), 1),"")</f>
        <v/>
      </c>
      <c r="X68" s="137"/>
      <c r="Y68" s="58" t="str" cm="1">
        <f>IFERROR(INDEX(List_Predictors, INDEX(Array_PredictorsLookup,MATCH($A68,List_PredictorFacilities,0),(COLUMN()-1)/2), 1),"")</f>
        <v/>
      </c>
      <c r="Z68" s="137"/>
      <c r="AA68" s="58" t="str" cm="1">
        <f>IFERROR(INDEX(List_Predictors, INDEX(Array_PredictorsLookup,MATCH($A68,List_PredictorFacilities,0),(COLUMN()-1)/2), 1),"")</f>
        <v/>
      </c>
      <c r="AB68" s="137"/>
      <c r="AC68" s="58" t="str" cm="1">
        <f>IFERROR(INDEX(List_Predictors, INDEX(Array_PredictorsLookup,MATCH($A68,List_PredictorFacilities,0),(COLUMN()-1)/2), 1),"")</f>
        <v/>
      </c>
      <c r="AD68" s="137"/>
      <c r="AE68" s="58" t="str" cm="1">
        <f>IFERROR(INDEX(List_Predictors, INDEX(Array_PredictorsLookup,MATCH($A68,List_PredictorFacilities,0),(COLUMN()-1)/2), 1),"")</f>
        <v/>
      </c>
      <c r="AF68" s="137"/>
    </row>
    <row r="69" spans="1:32" x14ac:dyDescent="0.3">
      <c r="A69" s="126"/>
      <c r="B69" s="141"/>
      <c r="C69" s="58" t="str" cm="1">
        <f>IFERROR(INDEX(List_Predictors, INDEX(Array_PredictorsLookup,MATCH($A69,List_PredictorFacilities,0),(COLUMN()-1)/2), 1),"")</f>
        <v/>
      </c>
      <c r="D69" s="137"/>
      <c r="E69" s="58" t="str" cm="1">
        <f>IFERROR(INDEX(List_Predictors, INDEX(Array_PredictorsLookup,MATCH($A69,List_PredictorFacilities,0),(COLUMN()-1)/2), 1),"")</f>
        <v/>
      </c>
      <c r="F69" s="137"/>
      <c r="G69" s="58" t="str" cm="1">
        <f>IFERROR(INDEX(List_Predictors, INDEX(Array_PredictorsLookup,MATCH($A69,List_PredictorFacilities,0),(COLUMN()-1)/2), 1),"")</f>
        <v/>
      </c>
      <c r="H69" s="137"/>
      <c r="I69" s="58" t="str" cm="1">
        <f>IFERROR(INDEX(List_Predictors, INDEX(Array_PredictorsLookup,MATCH($A69,List_PredictorFacilities,0),(COLUMN()-1)/2), 1),"")</f>
        <v/>
      </c>
      <c r="J69" s="137"/>
      <c r="K69" s="58" t="str" cm="1">
        <f>IFERROR(INDEX(List_Predictors, INDEX(Array_PredictorsLookup,MATCH($A69,List_PredictorFacilities,0),(COLUMN()-1)/2), 1),"")</f>
        <v/>
      </c>
      <c r="L69" s="137"/>
      <c r="M69" s="58" t="str" cm="1">
        <f>IFERROR(INDEX(List_Predictors, INDEX(Array_PredictorsLookup,MATCH($A69,List_PredictorFacilities,0),(COLUMN()-1)/2), 1),"")</f>
        <v/>
      </c>
      <c r="N69" s="137"/>
      <c r="O69" s="58" t="str" cm="1">
        <f>IFERROR(INDEX(List_Predictors, INDEX(Array_PredictorsLookup,MATCH($A69,List_PredictorFacilities,0),(COLUMN()-1)/2), 1),"")</f>
        <v/>
      </c>
      <c r="P69" s="137"/>
      <c r="Q69" s="58" t="str" cm="1">
        <f>IFERROR(INDEX(List_Predictors, INDEX(Array_PredictorsLookup,MATCH($A69,List_PredictorFacilities,0),(COLUMN()-1)/2), 1),"")</f>
        <v/>
      </c>
      <c r="R69" s="137"/>
      <c r="S69" s="58" t="str" cm="1">
        <f>IFERROR(INDEX(List_Predictors, INDEX(Array_PredictorsLookup,MATCH($A69,List_PredictorFacilities,0),(COLUMN()-1)/2), 1),"")</f>
        <v/>
      </c>
      <c r="T69" s="137"/>
      <c r="U69" s="58" t="str" cm="1">
        <f>IFERROR(INDEX(List_Predictors, INDEX(Array_PredictorsLookup,MATCH($A69,List_PredictorFacilities,0),(COLUMN()-1)/2), 1),"")</f>
        <v/>
      </c>
      <c r="V69" s="137"/>
      <c r="W69" s="58" t="str" cm="1">
        <f>IFERROR(INDEX(List_Predictors, INDEX(Array_PredictorsLookup,MATCH($A69,List_PredictorFacilities,0),(COLUMN()-1)/2), 1),"")</f>
        <v/>
      </c>
      <c r="X69" s="137"/>
      <c r="Y69" s="58" t="str" cm="1">
        <f>IFERROR(INDEX(List_Predictors, INDEX(Array_PredictorsLookup,MATCH($A69,List_PredictorFacilities,0),(COLUMN()-1)/2), 1),"")</f>
        <v/>
      </c>
      <c r="Z69" s="137"/>
      <c r="AA69" s="58" t="str" cm="1">
        <f>IFERROR(INDEX(List_Predictors, INDEX(Array_PredictorsLookup,MATCH($A69,List_PredictorFacilities,0),(COLUMN()-1)/2), 1),"")</f>
        <v/>
      </c>
      <c r="AB69" s="137"/>
      <c r="AC69" s="58" t="str" cm="1">
        <f>IFERROR(INDEX(List_Predictors, INDEX(Array_PredictorsLookup,MATCH($A69,List_PredictorFacilities,0),(COLUMN()-1)/2), 1),"")</f>
        <v/>
      </c>
      <c r="AD69" s="137"/>
      <c r="AE69" s="58" t="str" cm="1">
        <f>IFERROR(INDEX(List_Predictors, INDEX(Array_PredictorsLookup,MATCH($A69,List_PredictorFacilities,0),(COLUMN()-1)/2), 1),"")</f>
        <v/>
      </c>
      <c r="AF69" s="137"/>
    </row>
    <row r="70" spans="1:32" x14ac:dyDescent="0.3">
      <c r="A70" s="126"/>
      <c r="B70" s="141"/>
      <c r="C70" s="58" t="str" cm="1">
        <f>IFERROR(INDEX(List_Predictors, INDEX(Array_PredictorsLookup,MATCH($A70,List_PredictorFacilities,0),(COLUMN()-1)/2), 1),"")</f>
        <v/>
      </c>
      <c r="D70" s="137"/>
      <c r="E70" s="58" t="str" cm="1">
        <f>IFERROR(INDEX(List_Predictors, INDEX(Array_PredictorsLookup,MATCH($A70,List_PredictorFacilities,0),(COLUMN()-1)/2), 1),"")</f>
        <v/>
      </c>
      <c r="F70" s="137"/>
      <c r="G70" s="58" t="str" cm="1">
        <f>IFERROR(INDEX(List_Predictors, INDEX(Array_PredictorsLookup,MATCH($A70,List_PredictorFacilities,0),(COLUMN()-1)/2), 1),"")</f>
        <v/>
      </c>
      <c r="H70" s="137"/>
      <c r="I70" s="58" t="str" cm="1">
        <f>IFERROR(INDEX(List_Predictors, INDEX(Array_PredictorsLookup,MATCH($A70,List_PredictorFacilities,0),(COLUMN()-1)/2), 1),"")</f>
        <v/>
      </c>
      <c r="J70" s="137"/>
      <c r="K70" s="58" t="str" cm="1">
        <f>IFERROR(INDEX(List_Predictors, INDEX(Array_PredictorsLookup,MATCH($A70,List_PredictorFacilities,0),(COLUMN()-1)/2), 1),"")</f>
        <v/>
      </c>
      <c r="L70" s="137"/>
      <c r="M70" s="58" t="str" cm="1">
        <f>IFERROR(INDEX(List_Predictors, INDEX(Array_PredictorsLookup,MATCH($A70,List_PredictorFacilities,0),(COLUMN()-1)/2), 1),"")</f>
        <v/>
      </c>
      <c r="N70" s="137"/>
      <c r="O70" s="58" t="str" cm="1">
        <f>IFERROR(INDEX(List_Predictors, INDEX(Array_PredictorsLookup,MATCH($A70,List_PredictorFacilities,0),(COLUMN()-1)/2), 1),"")</f>
        <v/>
      </c>
      <c r="P70" s="137"/>
      <c r="Q70" s="58" t="str" cm="1">
        <f>IFERROR(INDEX(List_Predictors, INDEX(Array_PredictorsLookup,MATCH($A70,List_PredictorFacilities,0),(COLUMN()-1)/2), 1),"")</f>
        <v/>
      </c>
      <c r="R70" s="137"/>
      <c r="S70" s="58" t="str" cm="1">
        <f>IFERROR(INDEX(List_Predictors, INDEX(Array_PredictorsLookup,MATCH($A70,List_PredictorFacilities,0),(COLUMN()-1)/2), 1),"")</f>
        <v/>
      </c>
      <c r="T70" s="137"/>
      <c r="U70" s="58" t="str" cm="1">
        <f>IFERROR(INDEX(List_Predictors, INDEX(Array_PredictorsLookup,MATCH($A70,List_PredictorFacilities,0),(COLUMN()-1)/2), 1),"")</f>
        <v/>
      </c>
      <c r="V70" s="137"/>
      <c r="W70" s="58" t="str" cm="1">
        <f>IFERROR(INDEX(List_Predictors, INDEX(Array_PredictorsLookup,MATCH($A70,List_PredictorFacilities,0),(COLUMN()-1)/2), 1),"")</f>
        <v/>
      </c>
      <c r="X70" s="137"/>
      <c r="Y70" s="58" t="str" cm="1">
        <f>IFERROR(INDEX(List_Predictors, INDEX(Array_PredictorsLookup,MATCH($A70,List_PredictorFacilities,0),(COLUMN()-1)/2), 1),"")</f>
        <v/>
      </c>
      <c r="Z70" s="137"/>
      <c r="AA70" s="58" t="str" cm="1">
        <f>IFERROR(INDEX(List_Predictors, INDEX(Array_PredictorsLookup,MATCH($A70,List_PredictorFacilities,0),(COLUMN()-1)/2), 1),"")</f>
        <v/>
      </c>
      <c r="AB70" s="137"/>
      <c r="AC70" s="58" t="str" cm="1">
        <f>IFERROR(INDEX(List_Predictors, INDEX(Array_PredictorsLookup,MATCH($A70,List_PredictorFacilities,0),(COLUMN()-1)/2), 1),"")</f>
        <v/>
      </c>
      <c r="AD70" s="137"/>
      <c r="AE70" s="58" t="str" cm="1">
        <f>IFERROR(INDEX(List_Predictors, INDEX(Array_PredictorsLookup,MATCH($A70,List_PredictorFacilities,0),(COLUMN()-1)/2), 1),"")</f>
        <v/>
      </c>
      <c r="AF70" s="137"/>
    </row>
    <row r="71" spans="1:32" x14ac:dyDescent="0.3">
      <c r="A71" s="126"/>
      <c r="B71" s="141"/>
      <c r="C71" s="58" t="str" cm="1">
        <f>IFERROR(INDEX(List_Predictors, INDEX(Array_PredictorsLookup,MATCH($A71,List_PredictorFacilities,0),(COLUMN()-1)/2), 1),"")</f>
        <v/>
      </c>
      <c r="D71" s="137"/>
      <c r="E71" s="58" t="str" cm="1">
        <f>IFERROR(INDEX(List_Predictors, INDEX(Array_PredictorsLookup,MATCH($A71,List_PredictorFacilities,0),(COLUMN()-1)/2), 1),"")</f>
        <v/>
      </c>
      <c r="F71" s="137"/>
      <c r="G71" s="58" t="str" cm="1">
        <f>IFERROR(INDEX(List_Predictors, INDEX(Array_PredictorsLookup,MATCH($A71,List_PredictorFacilities,0),(COLUMN()-1)/2), 1),"")</f>
        <v/>
      </c>
      <c r="H71" s="137"/>
      <c r="I71" s="58" t="str" cm="1">
        <f>IFERROR(INDEX(List_Predictors, INDEX(Array_PredictorsLookup,MATCH($A71,List_PredictorFacilities,0),(COLUMN()-1)/2), 1),"")</f>
        <v/>
      </c>
      <c r="J71" s="137"/>
      <c r="K71" s="58" t="str" cm="1">
        <f>IFERROR(INDEX(List_Predictors, INDEX(Array_PredictorsLookup,MATCH($A71,List_PredictorFacilities,0),(COLUMN()-1)/2), 1),"")</f>
        <v/>
      </c>
      <c r="L71" s="137"/>
      <c r="M71" s="58" t="str" cm="1">
        <f>IFERROR(INDEX(List_Predictors, INDEX(Array_PredictorsLookup,MATCH($A71,List_PredictorFacilities,0),(COLUMN()-1)/2), 1),"")</f>
        <v/>
      </c>
      <c r="N71" s="137"/>
      <c r="O71" s="58" t="str" cm="1">
        <f>IFERROR(INDEX(List_Predictors, INDEX(Array_PredictorsLookup,MATCH($A71,List_PredictorFacilities,0),(COLUMN()-1)/2), 1),"")</f>
        <v/>
      </c>
      <c r="P71" s="137"/>
      <c r="Q71" s="58" t="str" cm="1">
        <f>IFERROR(INDEX(List_Predictors, INDEX(Array_PredictorsLookup,MATCH($A71,List_PredictorFacilities,0),(COLUMN()-1)/2), 1),"")</f>
        <v/>
      </c>
      <c r="R71" s="137"/>
      <c r="S71" s="58" t="str" cm="1">
        <f>IFERROR(INDEX(List_Predictors, INDEX(Array_PredictorsLookup,MATCH($A71,List_PredictorFacilities,0),(COLUMN()-1)/2), 1),"")</f>
        <v/>
      </c>
      <c r="T71" s="137"/>
      <c r="U71" s="58" t="str" cm="1">
        <f>IFERROR(INDEX(List_Predictors, INDEX(Array_PredictorsLookup,MATCH($A71,List_PredictorFacilities,0),(COLUMN()-1)/2), 1),"")</f>
        <v/>
      </c>
      <c r="V71" s="137"/>
      <c r="W71" s="58" t="str" cm="1">
        <f>IFERROR(INDEX(List_Predictors, INDEX(Array_PredictorsLookup,MATCH($A71,List_PredictorFacilities,0),(COLUMN()-1)/2), 1),"")</f>
        <v/>
      </c>
      <c r="X71" s="137"/>
      <c r="Y71" s="58" t="str" cm="1">
        <f>IFERROR(INDEX(List_Predictors, INDEX(Array_PredictorsLookup,MATCH($A71,List_PredictorFacilities,0),(COLUMN()-1)/2), 1),"")</f>
        <v/>
      </c>
      <c r="Z71" s="137"/>
      <c r="AA71" s="58" t="str" cm="1">
        <f>IFERROR(INDEX(List_Predictors, INDEX(Array_PredictorsLookup,MATCH($A71,List_PredictorFacilities,0),(COLUMN()-1)/2), 1),"")</f>
        <v/>
      </c>
      <c r="AB71" s="137"/>
      <c r="AC71" s="58" t="str" cm="1">
        <f>IFERROR(INDEX(List_Predictors, INDEX(Array_PredictorsLookup,MATCH($A71,List_PredictorFacilities,0),(COLUMN()-1)/2), 1),"")</f>
        <v/>
      </c>
      <c r="AD71" s="137"/>
      <c r="AE71" s="58" t="str" cm="1">
        <f>IFERROR(INDEX(List_Predictors, INDEX(Array_PredictorsLookup,MATCH($A71,List_PredictorFacilities,0),(COLUMN()-1)/2), 1),"")</f>
        <v/>
      </c>
      <c r="AF71" s="137"/>
    </row>
    <row r="72" spans="1:32" x14ac:dyDescent="0.3">
      <c r="A72" s="126"/>
      <c r="B72" s="141"/>
      <c r="C72" s="58" t="str" cm="1">
        <f>IFERROR(INDEX(List_Predictors, INDEX(Array_PredictorsLookup,MATCH($A72,List_PredictorFacilities,0),(COLUMN()-1)/2), 1),"")</f>
        <v/>
      </c>
      <c r="D72" s="137"/>
      <c r="E72" s="58" t="str" cm="1">
        <f>IFERROR(INDEX(List_Predictors, INDEX(Array_PredictorsLookup,MATCH($A72,List_PredictorFacilities,0),(COLUMN()-1)/2), 1),"")</f>
        <v/>
      </c>
      <c r="F72" s="137"/>
      <c r="G72" s="58" t="str" cm="1">
        <f>IFERROR(INDEX(List_Predictors, INDEX(Array_PredictorsLookup,MATCH($A72,List_PredictorFacilities,0),(COLUMN()-1)/2), 1),"")</f>
        <v/>
      </c>
      <c r="H72" s="137"/>
      <c r="I72" s="58" t="str" cm="1">
        <f>IFERROR(INDEX(List_Predictors, INDEX(Array_PredictorsLookup,MATCH($A72,List_PredictorFacilities,0),(COLUMN()-1)/2), 1),"")</f>
        <v/>
      </c>
      <c r="J72" s="137"/>
      <c r="K72" s="58" t="str" cm="1">
        <f>IFERROR(INDEX(List_Predictors, INDEX(Array_PredictorsLookup,MATCH($A72,List_PredictorFacilities,0),(COLUMN()-1)/2), 1),"")</f>
        <v/>
      </c>
      <c r="L72" s="137"/>
      <c r="M72" s="58" t="str" cm="1">
        <f>IFERROR(INDEX(List_Predictors, INDEX(Array_PredictorsLookup,MATCH($A72,List_PredictorFacilities,0),(COLUMN()-1)/2), 1),"")</f>
        <v/>
      </c>
      <c r="N72" s="137"/>
      <c r="O72" s="58" t="str" cm="1">
        <f>IFERROR(INDEX(List_Predictors, INDEX(Array_PredictorsLookup,MATCH($A72,List_PredictorFacilities,0),(COLUMN()-1)/2), 1),"")</f>
        <v/>
      </c>
      <c r="P72" s="137"/>
      <c r="Q72" s="58" t="str" cm="1">
        <f>IFERROR(INDEX(List_Predictors, INDEX(Array_PredictorsLookup,MATCH($A72,List_PredictorFacilities,0),(COLUMN()-1)/2), 1),"")</f>
        <v/>
      </c>
      <c r="R72" s="137"/>
      <c r="S72" s="58" t="str" cm="1">
        <f>IFERROR(INDEX(List_Predictors, INDEX(Array_PredictorsLookup,MATCH($A72,List_PredictorFacilities,0),(COLUMN()-1)/2), 1),"")</f>
        <v/>
      </c>
      <c r="T72" s="137"/>
      <c r="U72" s="58" t="str" cm="1">
        <f>IFERROR(INDEX(List_Predictors, INDEX(Array_PredictorsLookup,MATCH($A72,List_PredictorFacilities,0),(COLUMN()-1)/2), 1),"")</f>
        <v/>
      </c>
      <c r="V72" s="137"/>
      <c r="W72" s="58" t="str" cm="1">
        <f>IFERROR(INDEX(List_Predictors, INDEX(Array_PredictorsLookup,MATCH($A72,List_PredictorFacilities,0),(COLUMN()-1)/2), 1),"")</f>
        <v/>
      </c>
      <c r="X72" s="137"/>
      <c r="Y72" s="58" t="str" cm="1">
        <f>IFERROR(INDEX(List_Predictors, INDEX(Array_PredictorsLookup,MATCH($A72,List_PredictorFacilities,0),(COLUMN()-1)/2), 1),"")</f>
        <v/>
      </c>
      <c r="Z72" s="137"/>
      <c r="AA72" s="58" t="str" cm="1">
        <f>IFERROR(INDEX(List_Predictors, INDEX(Array_PredictorsLookup,MATCH($A72,List_PredictorFacilities,0),(COLUMN()-1)/2), 1),"")</f>
        <v/>
      </c>
      <c r="AB72" s="137"/>
      <c r="AC72" s="58" t="str" cm="1">
        <f>IFERROR(INDEX(List_Predictors, INDEX(Array_PredictorsLookup,MATCH($A72,List_PredictorFacilities,0),(COLUMN()-1)/2), 1),"")</f>
        <v/>
      </c>
      <c r="AD72" s="137"/>
      <c r="AE72" s="58" t="str" cm="1">
        <f>IFERROR(INDEX(List_Predictors, INDEX(Array_PredictorsLookup,MATCH($A72,List_PredictorFacilities,0),(COLUMN()-1)/2), 1),"")</f>
        <v/>
      </c>
      <c r="AF72" s="137"/>
    </row>
    <row r="73" spans="1:32" x14ac:dyDescent="0.3">
      <c r="A73" s="126"/>
      <c r="B73" s="141"/>
      <c r="C73" s="58" t="str" cm="1">
        <f>IFERROR(INDEX(List_Predictors, INDEX(Array_PredictorsLookup,MATCH($A73,List_PredictorFacilities,0),(COLUMN()-1)/2), 1),"")</f>
        <v/>
      </c>
      <c r="D73" s="137"/>
      <c r="E73" s="58" t="str" cm="1">
        <f>IFERROR(INDEX(List_Predictors, INDEX(Array_PredictorsLookup,MATCH($A73,List_PredictorFacilities,0),(COLUMN()-1)/2), 1),"")</f>
        <v/>
      </c>
      <c r="F73" s="137"/>
      <c r="G73" s="58" t="str" cm="1">
        <f>IFERROR(INDEX(List_Predictors, INDEX(Array_PredictorsLookup,MATCH($A73,List_PredictorFacilities,0),(COLUMN()-1)/2), 1),"")</f>
        <v/>
      </c>
      <c r="H73" s="137"/>
      <c r="I73" s="58" t="str" cm="1">
        <f>IFERROR(INDEX(List_Predictors, INDEX(Array_PredictorsLookup,MATCH($A73,List_PredictorFacilities,0),(COLUMN()-1)/2), 1),"")</f>
        <v/>
      </c>
      <c r="J73" s="137"/>
      <c r="K73" s="58" t="str" cm="1">
        <f>IFERROR(INDEX(List_Predictors, INDEX(Array_PredictorsLookup,MATCH($A73,List_PredictorFacilities,0),(COLUMN()-1)/2), 1),"")</f>
        <v/>
      </c>
      <c r="L73" s="137"/>
      <c r="M73" s="58" t="str" cm="1">
        <f>IFERROR(INDEX(List_Predictors, INDEX(Array_PredictorsLookup,MATCH($A73,List_PredictorFacilities,0),(COLUMN()-1)/2), 1),"")</f>
        <v/>
      </c>
      <c r="N73" s="137"/>
      <c r="O73" s="58" t="str" cm="1">
        <f>IFERROR(INDEX(List_Predictors, INDEX(Array_PredictorsLookup,MATCH($A73,List_PredictorFacilities,0),(COLUMN()-1)/2), 1),"")</f>
        <v/>
      </c>
      <c r="P73" s="137"/>
      <c r="Q73" s="58" t="str" cm="1">
        <f>IFERROR(INDEX(List_Predictors, INDEX(Array_PredictorsLookup,MATCH($A73,List_PredictorFacilities,0),(COLUMN()-1)/2), 1),"")</f>
        <v/>
      </c>
      <c r="R73" s="137"/>
      <c r="S73" s="58" t="str" cm="1">
        <f>IFERROR(INDEX(List_Predictors, INDEX(Array_PredictorsLookup,MATCH($A73,List_PredictorFacilities,0),(COLUMN()-1)/2), 1),"")</f>
        <v/>
      </c>
      <c r="T73" s="137"/>
      <c r="U73" s="58" t="str" cm="1">
        <f>IFERROR(INDEX(List_Predictors, INDEX(Array_PredictorsLookup,MATCH($A73,List_PredictorFacilities,0),(COLUMN()-1)/2), 1),"")</f>
        <v/>
      </c>
      <c r="V73" s="137"/>
      <c r="W73" s="58" t="str" cm="1">
        <f>IFERROR(INDEX(List_Predictors, INDEX(Array_PredictorsLookup,MATCH($A73,List_PredictorFacilities,0),(COLUMN()-1)/2), 1),"")</f>
        <v/>
      </c>
      <c r="X73" s="137"/>
      <c r="Y73" s="58" t="str" cm="1">
        <f>IFERROR(INDEX(List_Predictors, INDEX(Array_PredictorsLookup,MATCH($A73,List_PredictorFacilities,0),(COLUMN()-1)/2), 1),"")</f>
        <v/>
      </c>
      <c r="Z73" s="137"/>
      <c r="AA73" s="58" t="str" cm="1">
        <f>IFERROR(INDEX(List_Predictors, INDEX(Array_PredictorsLookup,MATCH($A73,List_PredictorFacilities,0),(COLUMN()-1)/2), 1),"")</f>
        <v/>
      </c>
      <c r="AB73" s="137"/>
      <c r="AC73" s="58" t="str" cm="1">
        <f>IFERROR(INDEX(List_Predictors, INDEX(Array_PredictorsLookup,MATCH($A73,List_PredictorFacilities,0),(COLUMN()-1)/2), 1),"")</f>
        <v/>
      </c>
      <c r="AD73" s="137"/>
      <c r="AE73" s="58" t="str" cm="1">
        <f>IFERROR(INDEX(List_Predictors, INDEX(Array_PredictorsLookup,MATCH($A73,List_PredictorFacilities,0),(COLUMN()-1)/2), 1),"")</f>
        <v/>
      </c>
      <c r="AF73" s="137"/>
    </row>
    <row r="74" spans="1:32" x14ac:dyDescent="0.3">
      <c r="A74" s="126"/>
      <c r="B74" s="141"/>
      <c r="C74" s="58" t="str" cm="1">
        <f>IFERROR(INDEX(List_Predictors, INDEX(Array_PredictorsLookup,MATCH($A74,List_PredictorFacilities,0),(COLUMN()-1)/2), 1),"")</f>
        <v/>
      </c>
      <c r="D74" s="137"/>
      <c r="E74" s="58" t="str" cm="1">
        <f>IFERROR(INDEX(List_Predictors, INDEX(Array_PredictorsLookup,MATCH($A74,List_PredictorFacilities,0),(COLUMN()-1)/2), 1),"")</f>
        <v/>
      </c>
      <c r="F74" s="137"/>
      <c r="G74" s="58" t="str" cm="1">
        <f>IFERROR(INDEX(List_Predictors, INDEX(Array_PredictorsLookup,MATCH($A74,List_PredictorFacilities,0),(COLUMN()-1)/2), 1),"")</f>
        <v/>
      </c>
      <c r="H74" s="137"/>
      <c r="I74" s="58" t="str" cm="1">
        <f>IFERROR(INDEX(List_Predictors, INDEX(Array_PredictorsLookup,MATCH($A74,List_PredictorFacilities,0),(COLUMN()-1)/2), 1),"")</f>
        <v/>
      </c>
      <c r="J74" s="137"/>
      <c r="K74" s="58" t="str" cm="1">
        <f>IFERROR(INDEX(List_Predictors, INDEX(Array_PredictorsLookup,MATCH($A74,List_PredictorFacilities,0),(COLUMN()-1)/2), 1),"")</f>
        <v/>
      </c>
      <c r="L74" s="137"/>
      <c r="M74" s="58" t="str" cm="1">
        <f>IFERROR(INDEX(List_Predictors, INDEX(Array_PredictorsLookup,MATCH($A74,List_PredictorFacilities,0),(COLUMN()-1)/2), 1),"")</f>
        <v/>
      </c>
      <c r="N74" s="137"/>
      <c r="O74" s="58" t="str" cm="1">
        <f>IFERROR(INDEX(List_Predictors, INDEX(Array_PredictorsLookup,MATCH($A74,List_PredictorFacilities,0),(COLUMN()-1)/2), 1),"")</f>
        <v/>
      </c>
      <c r="P74" s="137"/>
      <c r="Q74" s="58" t="str" cm="1">
        <f>IFERROR(INDEX(List_Predictors, INDEX(Array_PredictorsLookup,MATCH($A74,List_PredictorFacilities,0),(COLUMN()-1)/2), 1),"")</f>
        <v/>
      </c>
      <c r="R74" s="137"/>
      <c r="S74" s="58" t="str" cm="1">
        <f>IFERROR(INDEX(List_Predictors, INDEX(Array_PredictorsLookup,MATCH($A74,List_PredictorFacilities,0),(COLUMN()-1)/2), 1),"")</f>
        <v/>
      </c>
      <c r="T74" s="137"/>
      <c r="U74" s="58" t="str" cm="1">
        <f>IFERROR(INDEX(List_Predictors, INDEX(Array_PredictorsLookup,MATCH($A74,List_PredictorFacilities,0),(COLUMN()-1)/2), 1),"")</f>
        <v/>
      </c>
      <c r="V74" s="137"/>
      <c r="W74" s="58" t="str" cm="1">
        <f>IFERROR(INDEX(List_Predictors, INDEX(Array_PredictorsLookup,MATCH($A74,List_PredictorFacilities,0),(COLUMN()-1)/2), 1),"")</f>
        <v/>
      </c>
      <c r="X74" s="137"/>
      <c r="Y74" s="58" t="str" cm="1">
        <f>IFERROR(INDEX(List_Predictors, INDEX(Array_PredictorsLookup,MATCH($A74,List_PredictorFacilities,0),(COLUMN()-1)/2), 1),"")</f>
        <v/>
      </c>
      <c r="Z74" s="137"/>
      <c r="AA74" s="58" t="str" cm="1">
        <f>IFERROR(INDEX(List_Predictors, INDEX(Array_PredictorsLookup,MATCH($A74,List_PredictorFacilities,0),(COLUMN()-1)/2), 1),"")</f>
        <v/>
      </c>
      <c r="AB74" s="137"/>
      <c r="AC74" s="58" t="str" cm="1">
        <f>IFERROR(INDEX(List_Predictors, INDEX(Array_PredictorsLookup,MATCH($A74,List_PredictorFacilities,0),(COLUMN()-1)/2), 1),"")</f>
        <v/>
      </c>
      <c r="AD74" s="137"/>
      <c r="AE74" s="58" t="str" cm="1">
        <f>IFERROR(INDEX(List_Predictors, INDEX(Array_PredictorsLookup,MATCH($A74,List_PredictorFacilities,0),(COLUMN()-1)/2), 1),"")</f>
        <v/>
      </c>
      <c r="AF74" s="137"/>
    </row>
    <row r="75" spans="1:32" x14ac:dyDescent="0.3">
      <c r="A75" s="126"/>
      <c r="B75" s="141"/>
      <c r="C75" s="58" t="str" cm="1">
        <f>IFERROR(INDEX(List_Predictors, INDEX(Array_PredictorsLookup,MATCH($A75,List_PredictorFacilities,0),(COLUMN()-1)/2), 1),"")</f>
        <v/>
      </c>
      <c r="D75" s="137"/>
      <c r="E75" s="58" t="str" cm="1">
        <f>IFERROR(INDEX(List_Predictors, INDEX(Array_PredictorsLookup,MATCH($A75,List_PredictorFacilities,0),(COLUMN()-1)/2), 1),"")</f>
        <v/>
      </c>
      <c r="F75" s="137"/>
      <c r="G75" s="58" t="str" cm="1">
        <f>IFERROR(INDEX(List_Predictors, INDEX(Array_PredictorsLookup,MATCH($A75,List_PredictorFacilities,0),(COLUMN()-1)/2), 1),"")</f>
        <v/>
      </c>
      <c r="H75" s="137"/>
      <c r="I75" s="58" t="str" cm="1">
        <f>IFERROR(INDEX(List_Predictors, INDEX(Array_PredictorsLookup,MATCH($A75,List_PredictorFacilities,0),(COLUMN()-1)/2), 1),"")</f>
        <v/>
      </c>
      <c r="J75" s="137"/>
      <c r="K75" s="58" t="str" cm="1">
        <f>IFERROR(INDEX(List_Predictors, INDEX(Array_PredictorsLookup,MATCH($A75,List_PredictorFacilities,0),(COLUMN()-1)/2), 1),"")</f>
        <v/>
      </c>
      <c r="L75" s="137"/>
      <c r="M75" s="58" t="str" cm="1">
        <f>IFERROR(INDEX(List_Predictors, INDEX(Array_PredictorsLookup,MATCH($A75,List_PredictorFacilities,0),(COLUMN()-1)/2), 1),"")</f>
        <v/>
      </c>
      <c r="N75" s="137"/>
      <c r="O75" s="58" t="str" cm="1">
        <f>IFERROR(INDEX(List_Predictors, INDEX(Array_PredictorsLookup,MATCH($A75,List_PredictorFacilities,0),(COLUMN()-1)/2), 1),"")</f>
        <v/>
      </c>
      <c r="P75" s="137"/>
      <c r="Q75" s="58" t="str" cm="1">
        <f>IFERROR(INDEX(List_Predictors, INDEX(Array_PredictorsLookup,MATCH($A75,List_PredictorFacilities,0),(COLUMN()-1)/2), 1),"")</f>
        <v/>
      </c>
      <c r="R75" s="137"/>
      <c r="S75" s="58" t="str" cm="1">
        <f>IFERROR(INDEX(List_Predictors, INDEX(Array_PredictorsLookup,MATCH($A75,List_PredictorFacilities,0),(COLUMN()-1)/2), 1),"")</f>
        <v/>
      </c>
      <c r="T75" s="137"/>
      <c r="U75" s="58" t="str" cm="1">
        <f>IFERROR(INDEX(List_Predictors, INDEX(Array_PredictorsLookup,MATCH($A75,List_PredictorFacilities,0),(COLUMN()-1)/2), 1),"")</f>
        <v/>
      </c>
      <c r="V75" s="137"/>
      <c r="W75" s="58" t="str" cm="1">
        <f>IFERROR(INDEX(List_Predictors, INDEX(Array_PredictorsLookup,MATCH($A75,List_PredictorFacilities,0),(COLUMN()-1)/2), 1),"")</f>
        <v/>
      </c>
      <c r="X75" s="137"/>
      <c r="Y75" s="58" t="str" cm="1">
        <f>IFERROR(INDEX(List_Predictors, INDEX(Array_PredictorsLookup,MATCH($A75,List_PredictorFacilities,0),(COLUMN()-1)/2), 1),"")</f>
        <v/>
      </c>
      <c r="Z75" s="137"/>
      <c r="AA75" s="58" t="str" cm="1">
        <f>IFERROR(INDEX(List_Predictors, INDEX(Array_PredictorsLookup,MATCH($A75,List_PredictorFacilities,0),(COLUMN()-1)/2), 1),"")</f>
        <v/>
      </c>
      <c r="AB75" s="137"/>
      <c r="AC75" s="58" t="str" cm="1">
        <f>IFERROR(INDEX(List_Predictors, INDEX(Array_PredictorsLookup,MATCH($A75,List_PredictorFacilities,0),(COLUMN()-1)/2), 1),"")</f>
        <v/>
      </c>
      <c r="AD75" s="137"/>
      <c r="AE75" s="58" t="str" cm="1">
        <f>IFERROR(INDEX(List_Predictors, INDEX(Array_PredictorsLookup,MATCH($A75,List_PredictorFacilities,0),(COLUMN()-1)/2), 1),"")</f>
        <v/>
      </c>
      <c r="AF75" s="137"/>
    </row>
    <row r="76" spans="1:32" x14ac:dyDescent="0.3">
      <c r="A76" s="126"/>
      <c r="B76" s="141"/>
      <c r="C76" s="58" t="str" cm="1">
        <f>IFERROR(INDEX(List_Predictors, INDEX(Array_PredictorsLookup,MATCH($A76,List_PredictorFacilities,0),(COLUMN()-1)/2), 1),"")</f>
        <v/>
      </c>
      <c r="D76" s="137"/>
      <c r="E76" s="58" t="str" cm="1">
        <f>IFERROR(INDEX(List_Predictors, INDEX(Array_PredictorsLookup,MATCH($A76,List_PredictorFacilities,0),(COLUMN()-1)/2), 1),"")</f>
        <v/>
      </c>
      <c r="F76" s="137"/>
      <c r="G76" s="58" t="str" cm="1">
        <f>IFERROR(INDEX(List_Predictors, INDEX(Array_PredictorsLookup,MATCH($A76,List_PredictorFacilities,0),(COLUMN()-1)/2), 1),"")</f>
        <v/>
      </c>
      <c r="H76" s="137"/>
      <c r="I76" s="58" t="str" cm="1">
        <f>IFERROR(INDEX(List_Predictors, INDEX(Array_PredictorsLookup,MATCH($A76,List_PredictorFacilities,0),(COLUMN()-1)/2), 1),"")</f>
        <v/>
      </c>
      <c r="J76" s="137"/>
      <c r="K76" s="58" t="str" cm="1">
        <f>IFERROR(INDEX(List_Predictors, INDEX(Array_PredictorsLookup,MATCH($A76,List_PredictorFacilities,0),(COLUMN()-1)/2), 1),"")</f>
        <v/>
      </c>
      <c r="L76" s="137"/>
      <c r="M76" s="58" t="str" cm="1">
        <f>IFERROR(INDEX(List_Predictors, INDEX(Array_PredictorsLookup,MATCH($A76,List_PredictorFacilities,0),(COLUMN()-1)/2), 1),"")</f>
        <v/>
      </c>
      <c r="N76" s="137"/>
      <c r="O76" s="58" t="str" cm="1">
        <f>IFERROR(INDEX(List_Predictors, INDEX(Array_PredictorsLookup,MATCH($A76,List_PredictorFacilities,0),(COLUMN()-1)/2), 1),"")</f>
        <v/>
      </c>
      <c r="P76" s="137"/>
      <c r="Q76" s="58" t="str" cm="1">
        <f>IFERROR(INDEX(List_Predictors, INDEX(Array_PredictorsLookup,MATCH($A76,List_PredictorFacilities,0),(COLUMN()-1)/2), 1),"")</f>
        <v/>
      </c>
      <c r="R76" s="137"/>
      <c r="S76" s="58" t="str" cm="1">
        <f>IFERROR(INDEX(List_Predictors, INDEX(Array_PredictorsLookup,MATCH($A76,List_PredictorFacilities,0),(COLUMN()-1)/2), 1),"")</f>
        <v/>
      </c>
      <c r="T76" s="137"/>
      <c r="U76" s="58" t="str" cm="1">
        <f>IFERROR(INDEX(List_Predictors, INDEX(Array_PredictorsLookup,MATCH($A76,List_PredictorFacilities,0),(COLUMN()-1)/2), 1),"")</f>
        <v/>
      </c>
      <c r="V76" s="137"/>
      <c r="W76" s="58" t="str" cm="1">
        <f>IFERROR(INDEX(List_Predictors, INDEX(Array_PredictorsLookup,MATCH($A76,List_PredictorFacilities,0),(COLUMN()-1)/2), 1),"")</f>
        <v/>
      </c>
      <c r="X76" s="137"/>
      <c r="Y76" s="58" t="str" cm="1">
        <f>IFERROR(INDEX(List_Predictors, INDEX(Array_PredictorsLookup,MATCH($A76,List_PredictorFacilities,0),(COLUMN()-1)/2), 1),"")</f>
        <v/>
      </c>
      <c r="Z76" s="137"/>
      <c r="AA76" s="58" t="str" cm="1">
        <f>IFERROR(INDEX(List_Predictors, INDEX(Array_PredictorsLookup,MATCH($A76,List_PredictorFacilities,0),(COLUMN()-1)/2), 1),"")</f>
        <v/>
      </c>
      <c r="AB76" s="137"/>
      <c r="AC76" s="58" t="str" cm="1">
        <f>IFERROR(INDEX(List_Predictors, INDEX(Array_PredictorsLookup,MATCH($A76,List_PredictorFacilities,0),(COLUMN()-1)/2), 1),"")</f>
        <v/>
      </c>
      <c r="AD76" s="137"/>
      <c r="AE76" s="58" t="str" cm="1">
        <f>IFERROR(INDEX(List_Predictors, INDEX(Array_PredictorsLookup,MATCH($A76,List_PredictorFacilities,0),(COLUMN()-1)/2), 1),"")</f>
        <v/>
      </c>
      <c r="AF76" s="137"/>
    </row>
    <row r="77" spans="1:32" x14ac:dyDescent="0.3">
      <c r="A77" s="126"/>
      <c r="B77" s="141"/>
      <c r="C77" s="58" t="str" cm="1">
        <f>IFERROR(INDEX(List_Predictors, INDEX(Array_PredictorsLookup,MATCH($A77,List_PredictorFacilities,0),(COLUMN()-1)/2), 1),"")</f>
        <v/>
      </c>
      <c r="D77" s="137"/>
      <c r="E77" s="58" t="str" cm="1">
        <f>IFERROR(INDEX(List_Predictors, INDEX(Array_PredictorsLookup,MATCH($A77,List_PredictorFacilities,0),(COLUMN()-1)/2), 1),"")</f>
        <v/>
      </c>
      <c r="F77" s="137"/>
      <c r="G77" s="58" t="str" cm="1">
        <f>IFERROR(INDEX(List_Predictors, INDEX(Array_PredictorsLookup,MATCH($A77,List_PredictorFacilities,0),(COLUMN()-1)/2), 1),"")</f>
        <v/>
      </c>
      <c r="H77" s="137"/>
      <c r="I77" s="58" t="str" cm="1">
        <f>IFERROR(INDEX(List_Predictors, INDEX(Array_PredictorsLookup,MATCH($A77,List_PredictorFacilities,0),(COLUMN()-1)/2), 1),"")</f>
        <v/>
      </c>
      <c r="J77" s="137"/>
      <c r="K77" s="58" t="str" cm="1">
        <f>IFERROR(INDEX(List_Predictors, INDEX(Array_PredictorsLookup,MATCH($A77,List_PredictorFacilities,0),(COLUMN()-1)/2), 1),"")</f>
        <v/>
      </c>
      <c r="L77" s="137"/>
      <c r="M77" s="58" t="str" cm="1">
        <f>IFERROR(INDEX(List_Predictors, INDEX(Array_PredictorsLookup,MATCH($A77,List_PredictorFacilities,0),(COLUMN()-1)/2), 1),"")</f>
        <v/>
      </c>
      <c r="N77" s="137"/>
      <c r="O77" s="58" t="str" cm="1">
        <f>IFERROR(INDEX(List_Predictors, INDEX(Array_PredictorsLookup,MATCH($A77,List_PredictorFacilities,0),(COLUMN()-1)/2), 1),"")</f>
        <v/>
      </c>
      <c r="P77" s="137"/>
      <c r="Q77" s="58" t="str" cm="1">
        <f>IFERROR(INDEX(List_Predictors, INDEX(Array_PredictorsLookup,MATCH($A77,List_PredictorFacilities,0),(COLUMN()-1)/2), 1),"")</f>
        <v/>
      </c>
      <c r="R77" s="137"/>
      <c r="S77" s="58" t="str" cm="1">
        <f>IFERROR(INDEX(List_Predictors, INDEX(Array_PredictorsLookup,MATCH($A77,List_PredictorFacilities,0),(COLUMN()-1)/2), 1),"")</f>
        <v/>
      </c>
      <c r="T77" s="137"/>
      <c r="U77" s="58" t="str" cm="1">
        <f>IFERROR(INDEX(List_Predictors, INDEX(Array_PredictorsLookup,MATCH($A77,List_PredictorFacilities,0),(COLUMN()-1)/2), 1),"")</f>
        <v/>
      </c>
      <c r="V77" s="137"/>
      <c r="W77" s="58" t="str" cm="1">
        <f>IFERROR(INDEX(List_Predictors, INDEX(Array_PredictorsLookup,MATCH($A77,List_PredictorFacilities,0),(COLUMN()-1)/2), 1),"")</f>
        <v/>
      </c>
      <c r="X77" s="137"/>
      <c r="Y77" s="58" t="str" cm="1">
        <f>IFERROR(INDEX(List_Predictors, INDEX(Array_PredictorsLookup,MATCH($A77,List_PredictorFacilities,0),(COLUMN()-1)/2), 1),"")</f>
        <v/>
      </c>
      <c r="Z77" s="137"/>
      <c r="AA77" s="58" t="str" cm="1">
        <f>IFERROR(INDEX(List_Predictors, INDEX(Array_PredictorsLookup,MATCH($A77,List_PredictorFacilities,0),(COLUMN()-1)/2), 1),"")</f>
        <v/>
      </c>
      <c r="AB77" s="137"/>
      <c r="AC77" s="58" t="str" cm="1">
        <f>IFERROR(INDEX(List_Predictors, INDEX(Array_PredictorsLookup,MATCH($A77,List_PredictorFacilities,0),(COLUMN()-1)/2), 1),"")</f>
        <v/>
      </c>
      <c r="AD77" s="137"/>
      <c r="AE77" s="58" t="str" cm="1">
        <f>IFERROR(INDEX(List_Predictors, INDEX(Array_PredictorsLookup,MATCH($A77,List_PredictorFacilities,0),(COLUMN()-1)/2), 1),"")</f>
        <v/>
      </c>
      <c r="AF77" s="137"/>
    </row>
    <row r="78" spans="1:32" x14ac:dyDescent="0.3">
      <c r="A78" s="126"/>
      <c r="B78" s="141"/>
      <c r="C78" s="58" t="str" cm="1">
        <f>IFERROR(INDEX(List_Predictors, INDEX(Array_PredictorsLookup,MATCH($A78,List_PredictorFacilities,0),(COLUMN()-1)/2), 1),"")</f>
        <v/>
      </c>
      <c r="D78" s="137"/>
      <c r="E78" s="58" t="str" cm="1">
        <f>IFERROR(INDEX(List_Predictors, INDEX(Array_PredictorsLookup,MATCH($A78,List_PredictorFacilities,0),(COLUMN()-1)/2), 1),"")</f>
        <v/>
      </c>
      <c r="F78" s="137"/>
      <c r="G78" s="58" t="str" cm="1">
        <f>IFERROR(INDEX(List_Predictors, INDEX(Array_PredictorsLookup,MATCH($A78,List_PredictorFacilities,0),(COLUMN()-1)/2), 1),"")</f>
        <v/>
      </c>
      <c r="H78" s="137"/>
      <c r="I78" s="58" t="str" cm="1">
        <f>IFERROR(INDEX(List_Predictors, INDEX(Array_PredictorsLookup,MATCH($A78,List_PredictorFacilities,0),(COLUMN()-1)/2), 1),"")</f>
        <v/>
      </c>
      <c r="J78" s="137"/>
      <c r="K78" s="58" t="str" cm="1">
        <f>IFERROR(INDEX(List_Predictors, INDEX(Array_PredictorsLookup,MATCH($A78,List_PredictorFacilities,0),(COLUMN()-1)/2), 1),"")</f>
        <v/>
      </c>
      <c r="L78" s="137"/>
      <c r="M78" s="58" t="str" cm="1">
        <f>IFERROR(INDEX(List_Predictors, INDEX(Array_PredictorsLookup,MATCH($A78,List_PredictorFacilities,0),(COLUMN()-1)/2), 1),"")</f>
        <v/>
      </c>
      <c r="N78" s="137"/>
      <c r="O78" s="58" t="str" cm="1">
        <f>IFERROR(INDEX(List_Predictors, INDEX(Array_PredictorsLookup,MATCH($A78,List_PredictorFacilities,0),(COLUMN()-1)/2), 1),"")</f>
        <v/>
      </c>
      <c r="P78" s="137"/>
      <c r="Q78" s="58" t="str" cm="1">
        <f>IFERROR(INDEX(List_Predictors, INDEX(Array_PredictorsLookup,MATCH($A78,List_PredictorFacilities,0),(COLUMN()-1)/2), 1),"")</f>
        <v/>
      </c>
      <c r="R78" s="137"/>
      <c r="S78" s="58" t="str" cm="1">
        <f>IFERROR(INDEX(List_Predictors, INDEX(Array_PredictorsLookup,MATCH($A78,List_PredictorFacilities,0),(COLUMN()-1)/2), 1),"")</f>
        <v/>
      </c>
      <c r="T78" s="137"/>
      <c r="U78" s="58" t="str" cm="1">
        <f>IFERROR(INDEX(List_Predictors, INDEX(Array_PredictorsLookup,MATCH($A78,List_PredictorFacilities,0),(COLUMN()-1)/2), 1),"")</f>
        <v/>
      </c>
      <c r="V78" s="137"/>
      <c r="W78" s="58" t="str" cm="1">
        <f>IFERROR(INDEX(List_Predictors, INDEX(Array_PredictorsLookup,MATCH($A78,List_PredictorFacilities,0),(COLUMN()-1)/2), 1),"")</f>
        <v/>
      </c>
      <c r="X78" s="137"/>
      <c r="Y78" s="58" t="str" cm="1">
        <f>IFERROR(INDEX(List_Predictors, INDEX(Array_PredictorsLookup,MATCH($A78,List_PredictorFacilities,0),(COLUMN()-1)/2), 1),"")</f>
        <v/>
      </c>
      <c r="Z78" s="137"/>
      <c r="AA78" s="58" t="str" cm="1">
        <f>IFERROR(INDEX(List_Predictors, INDEX(Array_PredictorsLookup,MATCH($A78,List_PredictorFacilities,0),(COLUMN()-1)/2), 1),"")</f>
        <v/>
      </c>
      <c r="AB78" s="137"/>
      <c r="AC78" s="58" t="str" cm="1">
        <f>IFERROR(INDEX(List_Predictors, INDEX(Array_PredictorsLookup,MATCH($A78,List_PredictorFacilities,0),(COLUMN()-1)/2), 1),"")</f>
        <v/>
      </c>
      <c r="AD78" s="137"/>
      <c r="AE78" s="58" t="str" cm="1">
        <f>IFERROR(INDEX(List_Predictors, INDEX(Array_PredictorsLookup,MATCH($A78,List_PredictorFacilities,0),(COLUMN()-1)/2), 1),"")</f>
        <v/>
      </c>
      <c r="AF78" s="137"/>
    </row>
    <row r="79" spans="1:32" x14ac:dyDescent="0.3">
      <c r="A79" s="126"/>
      <c r="B79" s="141"/>
      <c r="C79" s="58" t="str" cm="1">
        <f>IFERROR(INDEX(List_Predictors, INDEX(Array_PredictorsLookup,MATCH($A79,List_PredictorFacilities,0),(COLUMN()-1)/2), 1),"")</f>
        <v/>
      </c>
      <c r="D79" s="137"/>
      <c r="E79" s="58" t="str" cm="1">
        <f>IFERROR(INDEX(List_Predictors, INDEX(Array_PredictorsLookup,MATCH($A79,List_PredictorFacilities,0),(COLUMN()-1)/2), 1),"")</f>
        <v/>
      </c>
      <c r="F79" s="137"/>
      <c r="G79" s="58" t="str" cm="1">
        <f>IFERROR(INDEX(List_Predictors, INDEX(Array_PredictorsLookup,MATCH($A79,List_PredictorFacilities,0),(COLUMN()-1)/2), 1),"")</f>
        <v/>
      </c>
      <c r="H79" s="137"/>
      <c r="I79" s="58" t="str" cm="1">
        <f>IFERROR(INDEX(List_Predictors, INDEX(Array_PredictorsLookup,MATCH($A79,List_PredictorFacilities,0),(COLUMN()-1)/2), 1),"")</f>
        <v/>
      </c>
      <c r="J79" s="137"/>
      <c r="K79" s="58" t="str" cm="1">
        <f>IFERROR(INDEX(List_Predictors, INDEX(Array_PredictorsLookup,MATCH($A79,List_PredictorFacilities,0),(COLUMN()-1)/2), 1),"")</f>
        <v/>
      </c>
      <c r="L79" s="137"/>
      <c r="M79" s="58" t="str" cm="1">
        <f>IFERROR(INDEX(List_Predictors, INDEX(Array_PredictorsLookup,MATCH($A79,List_PredictorFacilities,0),(COLUMN()-1)/2), 1),"")</f>
        <v/>
      </c>
      <c r="N79" s="137"/>
      <c r="O79" s="58" t="str" cm="1">
        <f>IFERROR(INDEX(List_Predictors, INDEX(Array_PredictorsLookup,MATCH($A79,List_PredictorFacilities,0),(COLUMN()-1)/2), 1),"")</f>
        <v/>
      </c>
      <c r="P79" s="137"/>
      <c r="Q79" s="58" t="str" cm="1">
        <f>IFERROR(INDEX(List_Predictors, INDEX(Array_PredictorsLookup,MATCH($A79,List_PredictorFacilities,0),(COLUMN()-1)/2), 1),"")</f>
        <v/>
      </c>
      <c r="R79" s="137"/>
      <c r="S79" s="58" t="str" cm="1">
        <f>IFERROR(INDEX(List_Predictors, INDEX(Array_PredictorsLookup,MATCH($A79,List_PredictorFacilities,0),(COLUMN()-1)/2), 1),"")</f>
        <v/>
      </c>
      <c r="T79" s="137"/>
      <c r="U79" s="58" t="str" cm="1">
        <f>IFERROR(INDEX(List_Predictors, INDEX(Array_PredictorsLookup,MATCH($A79,List_PredictorFacilities,0),(COLUMN()-1)/2), 1),"")</f>
        <v/>
      </c>
      <c r="V79" s="137"/>
      <c r="W79" s="58" t="str" cm="1">
        <f>IFERROR(INDEX(List_Predictors, INDEX(Array_PredictorsLookup,MATCH($A79,List_PredictorFacilities,0),(COLUMN()-1)/2), 1),"")</f>
        <v/>
      </c>
      <c r="X79" s="137"/>
      <c r="Y79" s="58" t="str" cm="1">
        <f>IFERROR(INDEX(List_Predictors, INDEX(Array_PredictorsLookup,MATCH($A79,List_PredictorFacilities,0),(COLUMN()-1)/2), 1),"")</f>
        <v/>
      </c>
      <c r="Z79" s="137"/>
      <c r="AA79" s="58" t="str" cm="1">
        <f>IFERROR(INDEX(List_Predictors, INDEX(Array_PredictorsLookup,MATCH($A79,List_PredictorFacilities,0),(COLUMN()-1)/2), 1),"")</f>
        <v/>
      </c>
      <c r="AB79" s="137"/>
      <c r="AC79" s="58" t="str" cm="1">
        <f>IFERROR(INDEX(List_Predictors, INDEX(Array_PredictorsLookup,MATCH($A79,List_PredictorFacilities,0),(COLUMN()-1)/2), 1),"")</f>
        <v/>
      </c>
      <c r="AD79" s="137"/>
      <c r="AE79" s="58" t="str" cm="1">
        <f>IFERROR(INDEX(List_Predictors, INDEX(Array_PredictorsLookup,MATCH($A79,List_PredictorFacilities,0),(COLUMN()-1)/2), 1),"")</f>
        <v/>
      </c>
      <c r="AF79" s="137"/>
    </row>
    <row r="80" spans="1:32" x14ac:dyDescent="0.3">
      <c r="A80" s="126"/>
      <c r="B80" s="141"/>
      <c r="C80" s="58" t="str" cm="1">
        <f>IFERROR(INDEX(List_Predictors, INDEX(Array_PredictorsLookup,MATCH($A80,List_PredictorFacilities,0),(COLUMN()-1)/2), 1),"")</f>
        <v/>
      </c>
      <c r="D80" s="137"/>
      <c r="E80" s="58" t="str" cm="1">
        <f>IFERROR(INDEX(List_Predictors, INDEX(Array_PredictorsLookup,MATCH($A80,List_PredictorFacilities,0),(COLUMN()-1)/2), 1),"")</f>
        <v/>
      </c>
      <c r="F80" s="137"/>
      <c r="G80" s="58" t="str" cm="1">
        <f>IFERROR(INDEX(List_Predictors, INDEX(Array_PredictorsLookup,MATCH($A80,List_PredictorFacilities,0),(COLUMN()-1)/2), 1),"")</f>
        <v/>
      </c>
      <c r="H80" s="137"/>
      <c r="I80" s="58" t="str" cm="1">
        <f>IFERROR(INDEX(List_Predictors, INDEX(Array_PredictorsLookup,MATCH($A80,List_PredictorFacilities,0),(COLUMN()-1)/2), 1),"")</f>
        <v/>
      </c>
      <c r="J80" s="137"/>
      <c r="K80" s="58" t="str" cm="1">
        <f>IFERROR(INDEX(List_Predictors, INDEX(Array_PredictorsLookup,MATCH($A80,List_PredictorFacilities,0),(COLUMN()-1)/2), 1),"")</f>
        <v/>
      </c>
      <c r="L80" s="137"/>
      <c r="M80" s="58" t="str" cm="1">
        <f>IFERROR(INDEX(List_Predictors, INDEX(Array_PredictorsLookup,MATCH($A80,List_PredictorFacilities,0),(COLUMN()-1)/2), 1),"")</f>
        <v/>
      </c>
      <c r="N80" s="137"/>
      <c r="O80" s="58" t="str" cm="1">
        <f>IFERROR(INDEX(List_Predictors, INDEX(Array_PredictorsLookup,MATCH($A80,List_PredictorFacilities,0),(COLUMN()-1)/2), 1),"")</f>
        <v/>
      </c>
      <c r="P80" s="137"/>
      <c r="Q80" s="58" t="str" cm="1">
        <f>IFERROR(INDEX(List_Predictors, INDEX(Array_PredictorsLookup,MATCH($A80,List_PredictorFacilities,0),(COLUMN()-1)/2), 1),"")</f>
        <v/>
      </c>
      <c r="R80" s="137"/>
      <c r="S80" s="58" t="str" cm="1">
        <f>IFERROR(INDEX(List_Predictors, INDEX(Array_PredictorsLookup,MATCH($A80,List_PredictorFacilities,0),(COLUMN()-1)/2), 1),"")</f>
        <v/>
      </c>
      <c r="T80" s="137"/>
      <c r="U80" s="58" t="str" cm="1">
        <f>IFERROR(INDEX(List_Predictors, INDEX(Array_PredictorsLookup,MATCH($A80,List_PredictorFacilities,0),(COLUMN()-1)/2), 1),"")</f>
        <v/>
      </c>
      <c r="V80" s="137"/>
      <c r="W80" s="58" t="str" cm="1">
        <f>IFERROR(INDEX(List_Predictors, INDEX(Array_PredictorsLookup,MATCH($A80,List_PredictorFacilities,0),(COLUMN()-1)/2), 1),"")</f>
        <v/>
      </c>
      <c r="X80" s="137"/>
      <c r="Y80" s="58" t="str" cm="1">
        <f>IFERROR(INDEX(List_Predictors, INDEX(Array_PredictorsLookup,MATCH($A80,List_PredictorFacilities,0),(COLUMN()-1)/2), 1),"")</f>
        <v/>
      </c>
      <c r="Z80" s="137"/>
      <c r="AA80" s="58" t="str" cm="1">
        <f>IFERROR(INDEX(List_Predictors, INDEX(Array_PredictorsLookup,MATCH($A80,List_PredictorFacilities,0),(COLUMN()-1)/2), 1),"")</f>
        <v/>
      </c>
      <c r="AB80" s="137"/>
      <c r="AC80" s="58" t="str" cm="1">
        <f>IFERROR(INDEX(List_Predictors, INDEX(Array_PredictorsLookup,MATCH($A80,List_PredictorFacilities,0),(COLUMN()-1)/2), 1),"")</f>
        <v/>
      </c>
      <c r="AD80" s="137"/>
      <c r="AE80" s="58" t="str" cm="1">
        <f>IFERROR(INDEX(List_Predictors, INDEX(Array_PredictorsLookup,MATCH($A80,List_PredictorFacilities,0),(COLUMN()-1)/2), 1),"")</f>
        <v/>
      </c>
      <c r="AF80" s="137"/>
    </row>
    <row r="81" spans="1:32" x14ac:dyDescent="0.3">
      <c r="A81" s="126"/>
      <c r="B81" s="141"/>
      <c r="C81" s="58" t="str" cm="1">
        <f>IFERROR(INDEX(List_Predictors, INDEX(Array_PredictorsLookup,MATCH($A81,List_PredictorFacilities,0),(COLUMN()-1)/2), 1),"")</f>
        <v/>
      </c>
      <c r="D81" s="137"/>
      <c r="E81" s="58" t="str" cm="1">
        <f>IFERROR(INDEX(List_Predictors, INDEX(Array_PredictorsLookup,MATCH($A81,List_PredictorFacilities,0),(COLUMN()-1)/2), 1),"")</f>
        <v/>
      </c>
      <c r="F81" s="137"/>
      <c r="G81" s="58" t="str" cm="1">
        <f>IFERROR(INDEX(List_Predictors, INDEX(Array_PredictorsLookup,MATCH($A81,List_PredictorFacilities,0),(COLUMN()-1)/2), 1),"")</f>
        <v/>
      </c>
      <c r="H81" s="137"/>
      <c r="I81" s="58" t="str" cm="1">
        <f>IFERROR(INDEX(List_Predictors, INDEX(Array_PredictorsLookup,MATCH($A81,List_PredictorFacilities,0),(COLUMN()-1)/2), 1),"")</f>
        <v/>
      </c>
      <c r="J81" s="137"/>
      <c r="K81" s="58" t="str" cm="1">
        <f>IFERROR(INDEX(List_Predictors, INDEX(Array_PredictorsLookup,MATCH($A81,List_PredictorFacilities,0),(COLUMN()-1)/2), 1),"")</f>
        <v/>
      </c>
      <c r="L81" s="137"/>
      <c r="M81" s="58" t="str" cm="1">
        <f>IFERROR(INDEX(List_Predictors, INDEX(Array_PredictorsLookup,MATCH($A81,List_PredictorFacilities,0),(COLUMN()-1)/2), 1),"")</f>
        <v/>
      </c>
      <c r="N81" s="137"/>
      <c r="O81" s="58" t="str" cm="1">
        <f>IFERROR(INDEX(List_Predictors, INDEX(Array_PredictorsLookup,MATCH($A81,List_PredictorFacilities,0),(COLUMN()-1)/2), 1),"")</f>
        <v/>
      </c>
      <c r="P81" s="137"/>
      <c r="Q81" s="58" t="str" cm="1">
        <f>IFERROR(INDEX(List_Predictors, INDEX(Array_PredictorsLookup,MATCH($A81,List_PredictorFacilities,0),(COLUMN()-1)/2), 1),"")</f>
        <v/>
      </c>
      <c r="R81" s="137"/>
      <c r="S81" s="58" t="str" cm="1">
        <f>IFERROR(INDEX(List_Predictors, INDEX(Array_PredictorsLookup,MATCH($A81,List_PredictorFacilities,0),(COLUMN()-1)/2), 1),"")</f>
        <v/>
      </c>
      <c r="T81" s="137"/>
      <c r="U81" s="58" t="str" cm="1">
        <f>IFERROR(INDEX(List_Predictors, INDEX(Array_PredictorsLookup,MATCH($A81,List_PredictorFacilities,0),(COLUMN()-1)/2), 1),"")</f>
        <v/>
      </c>
      <c r="V81" s="137"/>
      <c r="W81" s="58" t="str" cm="1">
        <f>IFERROR(INDEX(List_Predictors, INDEX(Array_PredictorsLookup,MATCH($A81,List_PredictorFacilities,0),(COLUMN()-1)/2), 1),"")</f>
        <v/>
      </c>
      <c r="X81" s="137"/>
      <c r="Y81" s="58" t="str" cm="1">
        <f>IFERROR(INDEX(List_Predictors, INDEX(Array_PredictorsLookup,MATCH($A81,List_PredictorFacilities,0),(COLUMN()-1)/2), 1),"")</f>
        <v/>
      </c>
      <c r="Z81" s="137"/>
      <c r="AA81" s="58" t="str" cm="1">
        <f>IFERROR(INDEX(List_Predictors, INDEX(Array_PredictorsLookup,MATCH($A81,List_PredictorFacilities,0),(COLUMN()-1)/2), 1),"")</f>
        <v/>
      </c>
      <c r="AB81" s="137"/>
      <c r="AC81" s="58" t="str" cm="1">
        <f>IFERROR(INDEX(List_Predictors, INDEX(Array_PredictorsLookup,MATCH($A81,List_PredictorFacilities,0),(COLUMN()-1)/2), 1),"")</f>
        <v/>
      </c>
      <c r="AD81" s="137"/>
      <c r="AE81" s="58" t="str" cm="1">
        <f>IFERROR(INDEX(List_Predictors, INDEX(Array_PredictorsLookup,MATCH($A81,List_PredictorFacilities,0),(COLUMN()-1)/2), 1),"")</f>
        <v/>
      </c>
      <c r="AF81" s="137"/>
    </row>
    <row r="82" spans="1:32" x14ac:dyDescent="0.3">
      <c r="A82" s="126"/>
      <c r="B82" s="141"/>
      <c r="C82" s="58" t="str" cm="1">
        <f>IFERROR(INDEX(List_Predictors, INDEX(Array_PredictorsLookup,MATCH($A82,List_PredictorFacilities,0),(COLUMN()-1)/2), 1),"")</f>
        <v/>
      </c>
      <c r="D82" s="137"/>
      <c r="E82" s="58" t="str" cm="1">
        <f>IFERROR(INDEX(List_Predictors, INDEX(Array_PredictorsLookup,MATCH($A82,List_PredictorFacilities,0),(COLUMN()-1)/2), 1),"")</f>
        <v/>
      </c>
      <c r="F82" s="137"/>
      <c r="G82" s="58" t="str" cm="1">
        <f>IFERROR(INDEX(List_Predictors, INDEX(Array_PredictorsLookup,MATCH($A82,List_PredictorFacilities,0),(COLUMN()-1)/2), 1),"")</f>
        <v/>
      </c>
      <c r="H82" s="137"/>
      <c r="I82" s="58" t="str" cm="1">
        <f>IFERROR(INDEX(List_Predictors, INDEX(Array_PredictorsLookup,MATCH($A82,List_PredictorFacilities,0),(COLUMN()-1)/2), 1),"")</f>
        <v/>
      </c>
      <c r="J82" s="137"/>
      <c r="K82" s="58" t="str" cm="1">
        <f>IFERROR(INDEX(List_Predictors, INDEX(Array_PredictorsLookup,MATCH($A82,List_PredictorFacilities,0),(COLUMN()-1)/2), 1),"")</f>
        <v/>
      </c>
      <c r="L82" s="137"/>
      <c r="M82" s="58" t="str" cm="1">
        <f>IFERROR(INDEX(List_Predictors, INDEX(Array_PredictorsLookup,MATCH($A82,List_PredictorFacilities,0),(COLUMN()-1)/2), 1),"")</f>
        <v/>
      </c>
      <c r="N82" s="137"/>
      <c r="O82" s="58" t="str" cm="1">
        <f>IFERROR(INDEX(List_Predictors, INDEX(Array_PredictorsLookup,MATCH($A82,List_PredictorFacilities,0),(COLUMN()-1)/2), 1),"")</f>
        <v/>
      </c>
      <c r="P82" s="137"/>
      <c r="Q82" s="58" t="str" cm="1">
        <f>IFERROR(INDEX(List_Predictors, INDEX(Array_PredictorsLookup,MATCH($A82,List_PredictorFacilities,0),(COLUMN()-1)/2), 1),"")</f>
        <v/>
      </c>
      <c r="R82" s="137"/>
      <c r="S82" s="58" t="str" cm="1">
        <f>IFERROR(INDEX(List_Predictors, INDEX(Array_PredictorsLookup,MATCH($A82,List_PredictorFacilities,0),(COLUMN()-1)/2), 1),"")</f>
        <v/>
      </c>
      <c r="T82" s="137"/>
      <c r="U82" s="58" t="str" cm="1">
        <f>IFERROR(INDEX(List_Predictors, INDEX(Array_PredictorsLookup,MATCH($A82,List_PredictorFacilities,0),(COLUMN()-1)/2), 1),"")</f>
        <v/>
      </c>
      <c r="V82" s="137"/>
      <c r="W82" s="58" t="str" cm="1">
        <f>IFERROR(INDEX(List_Predictors, INDEX(Array_PredictorsLookup,MATCH($A82,List_PredictorFacilities,0),(COLUMN()-1)/2), 1),"")</f>
        <v/>
      </c>
      <c r="X82" s="137"/>
      <c r="Y82" s="58" t="str" cm="1">
        <f>IFERROR(INDEX(List_Predictors, INDEX(Array_PredictorsLookup,MATCH($A82,List_PredictorFacilities,0),(COLUMN()-1)/2), 1),"")</f>
        <v/>
      </c>
      <c r="Z82" s="137"/>
      <c r="AA82" s="58" t="str" cm="1">
        <f>IFERROR(INDEX(List_Predictors, INDEX(Array_PredictorsLookup,MATCH($A82,List_PredictorFacilities,0),(COLUMN()-1)/2), 1),"")</f>
        <v/>
      </c>
      <c r="AB82" s="137"/>
      <c r="AC82" s="58" t="str" cm="1">
        <f>IFERROR(INDEX(List_Predictors, INDEX(Array_PredictorsLookup,MATCH($A82,List_PredictorFacilities,0),(COLUMN()-1)/2), 1),"")</f>
        <v/>
      </c>
      <c r="AD82" s="137"/>
      <c r="AE82" s="58" t="str" cm="1">
        <f>IFERROR(INDEX(List_Predictors, INDEX(Array_PredictorsLookup,MATCH($A82,List_PredictorFacilities,0),(COLUMN()-1)/2), 1),"")</f>
        <v/>
      </c>
      <c r="AF82" s="137"/>
    </row>
    <row r="83" spans="1:32" x14ac:dyDescent="0.3">
      <c r="A83" s="126"/>
      <c r="B83" s="141"/>
      <c r="C83" s="58" t="str" cm="1">
        <f>IFERROR(INDEX(List_Predictors, INDEX(Array_PredictorsLookup,MATCH($A83,List_PredictorFacilities,0),(COLUMN()-1)/2), 1),"")</f>
        <v/>
      </c>
      <c r="D83" s="137"/>
      <c r="E83" s="58" t="str" cm="1">
        <f>IFERROR(INDEX(List_Predictors, INDEX(Array_PredictorsLookup,MATCH($A83,List_PredictorFacilities,0),(COLUMN()-1)/2), 1),"")</f>
        <v/>
      </c>
      <c r="F83" s="137"/>
      <c r="G83" s="58" t="str" cm="1">
        <f>IFERROR(INDEX(List_Predictors, INDEX(Array_PredictorsLookup,MATCH($A83,List_PredictorFacilities,0),(COLUMN()-1)/2), 1),"")</f>
        <v/>
      </c>
      <c r="H83" s="137"/>
      <c r="I83" s="58" t="str" cm="1">
        <f>IFERROR(INDEX(List_Predictors, INDEX(Array_PredictorsLookup,MATCH($A83,List_PredictorFacilities,0),(COLUMN()-1)/2), 1),"")</f>
        <v/>
      </c>
      <c r="J83" s="137"/>
      <c r="K83" s="58" t="str" cm="1">
        <f>IFERROR(INDEX(List_Predictors, INDEX(Array_PredictorsLookup,MATCH($A83,List_PredictorFacilities,0),(COLUMN()-1)/2), 1),"")</f>
        <v/>
      </c>
      <c r="L83" s="137"/>
      <c r="M83" s="58" t="str" cm="1">
        <f>IFERROR(INDEX(List_Predictors, INDEX(Array_PredictorsLookup,MATCH($A83,List_PredictorFacilities,0),(COLUMN()-1)/2), 1),"")</f>
        <v/>
      </c>
      <c r="N83" s="137"/>
      <c r="O83" s="58" t="str" cm="1">
        <f>IFERROR(INDEX(List_Predictors, INDEX(Array_PredictorsLookup,MATCH($A83,List_PredictorFacilities,0),(COLUMN()-1)/2), 1),"")</f>
        <v/>
      </c>
      <c r="P83" s="137"/>
      <c r="Q83" s="58" t="str" cm="1">
        <f>IFERROR(INDEX(List_Predictors, INDEX(Array_PredictorsLookup,MATCH($A83,List_PredictorFacilities,0),(COLUMN()-1)/2), 1),"")</f>
        <v/>
      </c>
      <c r="R83" s="137"/>
      <c r="S83" s="58" t="str" cm="1">
        <f>IFERROR(INDEX(List_Predictors, INDEX(Array_PredictorsLookup,MATCH($A83,List_PredictorFacilities,0),(COLUMN()-1)/2), 1),"")</f>
        <v/>
      </c>
      <c r="T83" s="137"/>
      <c r="U83" s="58" t="str" cm="1">
        <f>IFERROR(INDEX(List_Predictors, INDEX(Array_PredictorsLookup,MATCH($A83,List_PredictorFacilities,0),(COLUMN()-1)/2), 1),"")</f>
        <v/>
      </c>
      <c r="V83" s="137"/>
      <c r="W83" s="58" t="str" cm="1">
        <f>IFERROR(INDEX(List_Predictors, INDEX(Array_PredictorsLookup,MATCH($A83,List_PredictorFacilities,0),(COLUMN()-1)/2), 1),"")</f>
        <v/>
      </c>
      <c r="X83" s="137"/>
      <c r="Y83" s="58" t="str" cm="1">
        <f>IFERROR(INDEX(List_Predictors, INDEX(Array_PredictorsLookup,MATCH($A83,List_PredictorFacilities,0),(COLUMN()-1)/2), 1),"")</f>
        <v/>
      </c>
      <c r="Z83" s="137"/>
      <c r="AA83" s="58" t="str" cm="1">
        <f>IFERROR(INDEX(List_Predictors, INDEX(Array_PredictorsLookup,MATCH($A83,List_PredictorFacilities,0),(COLUMN()-1)/2), 1),"")</f>
        <v/>
      </c>
      <c r="AB83" s="137"/>
      <c r="AC83" s="58" t="str" cm="1">
        <f>IFERROR(INDEX(List_Predictors, INDEX(Array_PredictorsLookup,MATCH($A83,List_PredictorFacilities,0),(COLUMN()-1)/2), 1),"")</f>
        <v/>
      </c>
      <c r="AD83" s="137"/>
      <c r="AE83" s="58" t="str" cm="1">
        <f>IFERROR(INDEX(List_Predictors, INDEX(Array_PredictorsLookup,MATCH($A83,List_PredictorFacilities,0),(COLUMN()-1)/2), 1),"")</f>
        <v/>
      </c>
      <c r="AF83" s="137"/>
    </row>
    <row r="84" spans="1:32" x14ac:dyDescent="0.3">
      <c r="A84" s="126"/>
      <c r="B84" s="141"/>
      <c r="C84" s="58" t="str" cm="1">
        <f>IFERROR(INDEX(List_Predictors, INDEX(Array_PredictorsLookup,MATCH($A84,List_PredictorFacilities,0),(COLUMN()-1)/2), 1),"")</f>
        <v/>
      </c>
      <c r="D84" s="137"/>
      <c r="E84" s="58" t="str" cm="1">
        <f>IFERROR(INDEX(List_Predictors, INDEX(Array_PredictorsLookup,MATCH($A84,List_PredictorFacilities,0),(COLUMN()-1)/2), 1),"")</f>
        <v/>
      </c>
      <c r="F84" s="137"/>
      <c r="G84" s="58" t="str" cm="1">
        <f>IFERROR(INDEX(List_Predictors, INDEX(Array_PredictorsLookup,MATCH($A84,List_PredictorFacilities,0),(COLUMN()-1)/2), 1),"")</f>
        <v/>
      </c>
      <c r="H84" s="137"/>
      <c r="I84" s="58" t="str" cm="1">
        <f>IFERROR(INDEX(List_Predictors, INDEX(Array_PredictorsLookup,MATCH($A84,List_PredictorFacilities,0),(COLUMN()-1)/2), 1),"")</f>
        <v/>
      </c>
      <c r="J84" s="137"/>
      <c r="K84" s="58" t="str" cm="1">
        <f>IFERROR(INDEX(List_Predictors, INDEX(Array_PredictorsLookup,MATCH($A84,List_PredictorFacilities,0),(COLUMN()-1)/2), 1),"")</f>
        <v/>
      </c>
      <c r="L84" s="137"/>
      <c r="M84" s="58" t="str" cm="1">
        <f>IFERROR(INDEX(List_Predictors, INDEX(Array_PredictorsLookup,MATCH($A84,List_PredictorFacilities,0),(COLUMN()-1)/2), 1),"")</f>
        <v/>
      </c>
      <c r="N84" s="137"/>
      <c r="O84" s="58" t="str" cm="1">
        <f>IFERROR(INDEX(List_Predictors, INDEX(Array_PredictorsLookup,MATCH($A84,List_PredictorFacilities,0),(COLUMN()-1)/2), 1),"")</f>
        <v/>
      </c>
      <c r="P84" s="137"/>
      <c r="Q84" s="58" t="str" cm="1">
        <f>IFERROR(INDEX(List_Predictors, INDEX(Array_PredictorsLookup,MATCH($A84,List_PredictorFacilities,0),(COLUMN()-1)/2), 1),"")</f>
        <v/>
      </c>
      <c r="R84" s="137"/>
      <c r="S84" s="58" t="str" cm="1">
        <f>IFERROR(INDEX(List_Predictors, INDEX(Array_PredictorsLookup,MATCH($A84,List_PredictorFacilities,0),(COLUMN()-1)/2), 1),"")</f>
        <v/>
      </c>
      <c r="T84" s="137"/>
      <c r="U84" s="58" t="str" cm="1">
        <f>IFERROR(INDEX(List_Predictors, INDEX(Array_PredictorsLookup,MATCH($A84,List_PredictorFacilities,0),(COLUMN()-1)/2), 1),"")</f>
        <v/>
      </c>
      <c r="V84" s="137"/>
      <c r="W84" s="58" t="str" cm="1">
        <f>IFERROR(INDEX(List_Predictors, INDEX(Array_PredictorsLookup,MATCH($A84,List_PredictorFacilities,0),(COLUMN()-1)/2), 1),"")</f>
        <v/>
      </c>
      <c r="X84" s="137"/>
      <c r="Y84" s="58" t="str" cm="1">
        <f>IFERROR(INDEX(List_Predictors, INDEX(Array_PredictorsLookup,MATCH($A84,List_PredictorFacilities,0),(COLUMN()-1)/2), 1),"")</f>
        <v/>
      </c>
      <c r="Z84" s="137"/>
      <c r="AA84" s="58" t="str" cm="1">
        <f>IFERROR(INDEX(List_Predictors, INDEX(Array_PredictorsLookup,MATCH($A84,List_PredictorFacilities,0),(COLUMN()-1)/2), 1),"")</f>
        <v/>
      </c>
      <c r="AB84" s="137"/>
      <c r="AC84" s="58" t="str" cm="1">
        <f>IFERROR(INDEX(List_Predictors, INDEX(Array_PredictorsLookup,MATCH($A84,List_PredictorFacilities,0),(COLUMN()-1)/2), 1),"")</f>
        <v/>
      </c>
      <c r="AD84" s="137"/>
      <c r="AE84" s="58" t="str" cm="1">
        <f>IFERROR(INDEX(List_Predictors, INDEX(Array_PredictorsLookup,MATCH($A84,List_PredictorFacilities,0),(COLUMN()-1)/2), 1),"")</f>
        <v/>
      </c>
      <c r="AF84" s="137"/>
    </row>
    <row r="85" spans="1:32" x14ac:dyDescent="0.3">
      <c r="A85" s="126"/>
      <c r="B85" s="141"/>
      <c r="C85" s="58" t="str" cm="1">
        <f>IFERROR(INDEX(List_Predictors, INDEX(Array_PredictorsLookup,MATCH($A85,List_PredictorFacilities,0),(COLUMN()-1)/2), 1),"")</f>
        <v/>
      </c>
      <c r="D85" s="137"/>
      <c r="E85" s="58" t="str" cm="1">
        <f>IFERROR(INDEX(List_Predictors, INDEX(Array_PredictorsLookup,MATCH($A85,List_PredictorFacilities,0),(COLUMN()-1)/2), 1),"")</f>
        <v/>
      </c>
      <c r="F85" s="137"/>
      <c r="G85" s="58" t="str" cm="1">
        <f>IFERROR(INDEX(List_Predictors, INDEX(Array_PredictorsLookup,MATCH($A85,List_PredictorFacilities,0),(COLUMN()-1)/2), 1),"")</f>
        <v/>
      </c>
      <c r="H85" s="137"/>
      <c r="I85" s="58" t="str" cm="1">
        <f>IFERROR(INDEX(List_Predictors, INDEX(Array_PredictorsLookup,MATCH($A85,List_PredictorFacilities,0),(COLUMN()-1)/2), 1),"")</f>
        <v/>
      </c>
      <c r="J85" s="137"/>
      <c r="K85" s="58" t="str" cm="1">
        <f>IFERROR(INDEX(List_Predictors, INDEX(Array_PredictorsLookup,MATCH($A85,List_PredictorFacilities,0),(COLUMN()-1)/2), 1),"")</f>
        <v/>
      </c>
      <c r="L85" s="137"/>
      <c r="M85" s="58" t="str" cm="1">
        <f>IFERROR(INDEX(List_Predictors, INDEX(Array_PredictorsLookup,MATCH($A85,List_PredictorFacilities,0),(COLUMN()-1)/2), 1),"")</f>
        <v/>
      </c>
      <c r="N85" s="137"/>
      <c r="O85" s="58" t="str" cm="1">
        <f>IFERROR(INDEX(List_Predictors, INDEX(Array_PredictorsLookup,MATCH($A85,List_PredictorFacilities,0),(COLUMN()-1)/2), 1),"")</f>
        <v/>
      </c>
      <c r="P85" s="137"/>
      <c r="Q85" s="58" t="str" cm="1">
        <f>IFERROR(INDEX(List_Predictors, INDEX(Array_PredictorsLookup,MATCH($A85,List_PredictorFacilities,0),(COLUMN()-1)/2), 1),"")</f>
        <v/>
      </c>
      <c r="R85" s="137"/>
      <c r="S85" s="58" t="str" cm="1">
        <f>IFERROR(INDEX(List_Predictors, INDEX(Array_PredictorsLookup,MATCH($A85,List_PredictorFacilities,0),(COLUMN()-1)/2), 1),"")</f>
        <v/>
      </c>
      <c r="T85" s="137"/>
      <c r="U85" s="58" t="str" cm="1">
        <f>IFERROR(INDEX(List_Predictors, INDEX(Array_PredictorsLookup,MATCH($A85,List_PredictorFacilities,0),(COLUMN()-1)/2), 1),"")</f>
        <v/>
      </c>
      <c r="V85" s="137"/>
      <c r="W85" s="58" t="str" cm="1">
        <f>IFERROR(INDEX(List_Predictors, INDEX(Array_PredictorsLookup,MATCH($A85,List_PredictorFacilities,0),(COLUMN()-1)/2), 1),"")</f>
        <v/>
      </c>
      <c r="X85" s="137"/>
      <c r="Y85" s="58" t="str" cm="1">
        <f>IFERROR(INDEX(List_Predictors, INDEX(Array_PredictorsLookup,MATCH($A85,List_PredictorFacilities,0),(COLUMN()-1)/2), 1),"")</f>
        <v/>
      </c>
      <c r="Z85" s="137"/>
      <c r="AA85" s="58" t="str" cm="1">
        <f>IFERROR(INDEX(List_Predictors, INDEX(Array_PredictorsLookup,MATCH($A85,List_PredictorFacilities,0),(COLUMN()-1)/2), 1),"")</f>
        <v/>
      </c>
      <c r="AB85" s="137"/>
      <c r="AC85" s="58" t="str" cm="1">
        <f>IFERROR(INDEX(List_Predictors, INDEX(Array_PredictorsLookup,MATCH($A85,List_PredictorFacilities,0),(COLUMN()-1)/2), 1),"")</f>
        <v/>
      </c>
      <c r="AD85" s="137"/>
      <c r="AE85" s="58" t="str" cm="1">
        <f>IFERROR(INDEX(List_Predictors, INDEX(Array_PredictorsLookup,MATCH($A85,List_PredictorFacilities,0),(COLUMN()-1)/2), 1),"")</f>
        <v/>
      </c>
      <c r="AF85" s="137"/>
    </row>
    <row r="86" spans="1:32" x14ac:dyDescent="0.3">
      <c r="A86" s="126"/>
      <c r="B86" s="141"/>
      <c r="C86" s="58" t="str" cm="1">
        <f>IFERROR(INDEX(List_Predictors, INDEX(Array_PredictorsLookup,MATCH($A86,List_PredictorFacilities,0),(COLUMN()-1)/2), 1),"")</f>
        <v/>
      </c>
      <c r="D86" s="137"/>
      <c r="E86" s="58" t="str" cm="1">
        <f>IFERROR(INDEX(List_Predictors, INDEX(Array_PredictorsLookup,MATCH($A86,List_PredictorFacilities,0),(COLUMN()-1)/2), 1),"")</f>
        <v/>
      </c>
      <c r="F86" s="137"/>
      <c r="G86" s="58" t="str" cm="1">
        <f>IFERROR(INDEX(List_Predictors, INDEX(Array_PredictorsLookup,MATCH($A86,List_PredictorFacilities,0),(COLUMN()-1)/2), 1),"")</f>
        <v/>
      </c>
      <c r="H86" s="137"/>
      <c r="I86" s="58" t="str" cm="1">
        <f>IFERROR(INDEX(List_Predictors, INDEX(Array_PredictorsLookup,MATCH($A86,List_PredictorFacilities,0),(COLUMN()-1)/2), 1),"")</f>
        <v/>
      </c>
      <c r="J86" s="137"/>
      <c r="K86" s="58" t="str" cm="1">
        <f>IFERROR(INDEX(List_Predictors, INDEX(Array_PredictorsLookup,MATCH($A86,List_PredictorFacilities,0),(COLUMN()-1)/2), 1),"")</f>
        <v/>
      </c>
      <c r="L86" s="137"/>
      <c r="M86" s="58" t="str" cm="1">
        <f>IFERROR(INDEX(List_Predictors, INDEX(Array_PredictorsLookup,MATCH($A86,List_PredictorFacilities,0),(COLUMN()-1)/2), 1),"")</f>
        <v/>
      </c>
      <c r="N86" s="137"/>
      <c r="O86" s="58" t="str" cm="1">
        <f>IFERROR(INDEX(List_Predictors, INDEX(Array_PredictorsLookup,MATCH($A86,List_PredictorFacilities,0),(COLUMN()-1)/2), 1),"")</f>
        <v/>
      </c>
      <c r="P86" s="137"/>
      <c r="Q86" s="58" t="str" cm="1">
        <f>IFERROR(INDEX(List_Predictors, INDEX(Array_PredictorsLookup,MATCH($A86,List_PredictorFacilities,0),(COLUMN()-1)/2), 1),"")</f>
        <v/>
      </c>
      <c r="R86" s="137"/>
      <c r="S86" s="58" t="str" cm="1">
        <f>IFERROR(INDEX(List_Predictors, INDEX(Array_PredictorsLookup,MATCH($A86,List_PredictorFacilities,0),(COLUMN()-1)/2), 1),"")</f>
        <v/>
      </c>
      <c r="T86" s="137"/>
      <c r="U86" s="58" t="str" cm="1">
        <f>IFERROR(INDEX(List_Predictors, INDEX(Array_PredictorsLookup,MATCH($A86,List_PredictorFacilities,0),(COLUMN()-1)/2), 1),"")</f>
        <v/>
      </c>
      <c r="V86" s="137"/>
      <c r="W86" s="58" t="str" cm="1">
        <f>IFERROR(INDEX(List_Predictors, INDEX(Array_PredictorsLookup,MATCH($A86,List_PredictorFacilities,0),(COLUMN()-1)/2), 1),"")</f>
        <v/>
      </c>
      <c r="X86" s="137"/>
      <c r="Y86" s="58" t="str" cm="1">
        <f>IFERROR(INDEX(List_Predictors, INDEX(Array_PredictorsLookup,MATCH($A86,List_PredictorFacilities,0),(COLUMN()-1)/2), 1),"")</f>
        <v/>
      </c>
      <c r="Z86" s="137"/>
      <c r="AA86" s="58" t="str" cm="1">
        <f>IFERROR(INDEX(List_Predictors, INDEX(Array_PredictorsLookup,MATCH($A86,List_PredictorFacilities,0),(COLUMN()-1)/2), 1),"")</f>
        <v/>
      </c>
      <c r="AB86" s="137"/>
      <c r="AC86" s="58" t="str" cm="1">
        <f>IFERROR(INDEX(List_Predictors, INDEX(Array_PredictorsLookup,MATCH($A86,List_PredictorFacilities,0),(COLUMN()-1)/2), 1),"")</f>
        <v/>
      </c>
      <c r="AD86" s="137"/>
      <c r="AE86" s="58" t="str" cm="1">
        <f>IFERROR(INDEX(List_Predictors, INDEX(Array_PredictorsLookup,MATCH($A86,List_PredictorFacilities,0),(COLUMN()-1)/2), 1),"")</f>
        <v/>
      </c>
      <c r="AF86" s="137"/>
    </row>
    <row r="87" spans="1:32" x14ac:dyDescent="0.3">
      <c r="A87" s="126"/>
      <c r="B87" s="141"/>
      <c r="C87" s="58" t="str" cm="1">
        <f>IFERROR(INDEX(List_Predictors, INDEX(Array_PredictorsLookup,MATCH($A87,List_PredictorFacilities,0),(COLUMN()-1)/2), 1),"")</f>
        <v/>
      </c>
      <c r="D87" s="137"/>
      <c r="E87" s="58" t="str" cm="1">
        <f>IFERROR(INDEX(List_Predictors, INDEX(Array_PredictorsLookup,MATCH($A87,List_PredictorFacilities,0),(COLUMN()-1)/2), 1),"")</f>
        <v/>
      </c>
      <c r="F87" s="137"/>
      <c r="G87" s="58" t="str" cm="1">
        <f>IFERROR(INDEX(List_Predictors, INDEX(Array_PredictorsLookup,MATCH($A87,List_PredictorFacilities,0),(COLUMN()-1)/2), 1),"")</f>
        <v/>
      </c>
      <c r="H87" s="137"/>
      <c r="I87" s="58" t="str" cm="1">
        <f>IFERROR(INDEX(List_Predictors, INDEX(Array_PredictorsLookup,MATCH($A87,List_PredictorFacilities,0),(COLUMN()-1)/2), 1),"")</f>
        <v/>
      </c>
      <c r="J87" s="137"/>
      <c r="K87" s="58" t="str" cm="1">
        <f>IFERROR(INDEX(List_Predictors, INDEX(Array_PredictorsLookup,MATCH($A87,List_PredictorFacilities,0),(COLUMN()-1)/2), 1),"")</f>
        <v/>
      </c>
      <c r="L87" s="137"/>
      <c r="M87" s="58" t="str" cm="1">
        <f>IFERROR(INDEX(List_Predictors, INDEX(Array_PredictorsLookup,MATCH($A87,List_PredictorFacilities,0),(COLUMN()-1)/2), 1),"")</f>
        <v/>
      </c>
      <c r="N87" s="137"/>
      <c r="O87" s="58" t="str" cm="1">
        <f>IFERROR(INDEX(List_Predictors, INDEX(Array_PredictorsLookup,MATCH($A87,List_PredictorFacilities,0),(COLUMN()-1)/2), 1),"")</f>
        <v/>
      </c>
      <c r="P87" s="137"/>
      <c r="Q87" s="58" t="str" cm="1">
        <f>IFERROR(INDEX(List_Predictors, INDEX(Array_PredictorsLookup,MATCH($A87,List_PredictorFacilities,0),(COLUMN()-1)/2), 1),"")</f>
        <v/>
      </c>
      <c r="R87" s="137"/>
      <c r="S87" s="58" t="str" cm="1">
        <f>IFERROR(INDEX(List_Predictors, INDEX(Array_PredictorsLookup,MATCH($A87,List_PredictorFacilities,0),(COLUMN()-1)/2), 1),"")</f>
        <v/>
      </c>
      <c r="T87" s="137"/>
      <c r="U87" s="58" t="str" cm="1">
        <f>IFERROR(INDEX(List_Predictors, INDEX(Array_PredictorsLookup,MATCH($A87,List_PredictorFacilities,0),(COLUMN()-1)/2), 1),"")</f>
        <v/>
      </c>
      <c r="V87" s="137"/>
      <c r="W87" s="58" t="str" cm="1">
        <f>IFERROR(INDEX(List_Predictors, INDEX(Array_PredictorsLookup,MATCH($A87,List_PredictorFacilities,0),(COLUMN()-1)/2), 1),"")</f>
        <v/>
      </c>
      <c r="X87" s="137"/>
      <c r="Y87" s="58" t="str" cm="1">
        <f>IFERROR(INDEX(List_Predictors, INDEX(Array_PredictorsLookup,MATCH($A87,List_PredictorFacilities,0),(COLUMN()-1)/2), 1),"")</f>
        <v/>
      </c>
      <c r="Z87" s="137"/>
      <c r="AA87" s="58" t="str" cm="1">
        <f>IFERROR(INDEX(List_Predictors, INDEX(Array_PredictorsLookup,MATCH($A87,List_PredictorFacilities,0),(COLUMN()-1)/2), 1),"")</f>
        <v/>
      </c>
      <c r="AB87" s="137"/>
      <c r="AC87" s="58" t="str" cm="1">
        <f>IFERROR(INDEX(List_Predictors, INDEX(Array_PredictorsLookup,MATCH($A87,List_PredictorFacilities,0),(COLUMN()-1)/2), 1),"")</f>
        <v/>
      </c>
      <c r="AD87" s="137"/>
      <c r="AE87" s="58" t="str" cm="1">
        <f>IFERROR(INDEX(List_Predictors, INDEX(Array_PredictorsLookup,MATCH($A87,List_PredictorFacilities,0),(COLUMN()-1)/2), 1),"")</f>
        <v/>
      </c>
      <c r="AF87" s="137"/>
    </row>
    <row r="88" spans="1:32" x14ac:dyDescent="0.3">
      <c r="A88" s="126"/>
      <c r="B88" s="141"/>
      <c r="C88" s="58" t="str" cm="1">
        <f>IFERROR(INDEX(List_Predictors, INDEX(Array_PredictorsLookup,MATCH($A88,List_PredictorFacilities,0),(COLUMN()-1)/2), 1),"")</f>
        <v/>
      </c>
      <c r="D88" s="137"/>
      <c r="E88" s="58" t="str" cm="1">
        <f>IFERROR(INDEX(List_Predictors, INDEX(Array_PredictorsLookup,MATCH($A88,List_PredictorFacilities,0),(COLUMN()-1)/2), 1),"")</f>
        <v/>
      </c>
      <c r="F88" s="137"/>
      <c r="G88" s="58" t="str" cm="1">
        <f>IFERROR(INDEX(List_Predictors, INDEX(Array_PredictorsLookup,MATCH($A88,List_PredictorFacilities,0),(COLUMN()-1)/2), 1),"")</f>
        <v/>
      </c>
      <c r="H88" s="137"/>
      <c r="I88" s="58" t="str" cm="1">
        <f>IFERROR(INDEX(List_Predictors, INDEX(Array_PredictorsLookup,MATCH($A88,List_PredictorFacilities,0),(COLUMN()-1)/2), 1),"")</f>
        <v/>
      </c>
      <c r="J88" s="137"/>
      <c r="K88" s="58" t="str" cm="1">
        <f>IFERROR(INDEX(List_Predictors, INDEX(Array_PredictorsLookup,MATCH($A88,List_PredictorFacilities,0),(COLUMN()-1)/2), 1),"")</f>
        <v/>
      </c>
      <c r="L88" s="137"/>
      <c r="M88" s="58" t="str" cm="1">
        <f>IFERROR(INDEX(List_Predictors, INDEX(Array_PredictorsLookup,MATCH($A88,List_PredictorFacilities,0),(COLUMN()-1)/2), 1),"")</f>
        <v/>
      </c>
      <c r="N88" s="137"/>
      <c r="O88" s="58" t="str" cm="1">
        <f>IFERROR(INDEX(List_Predictors, INDEX(Array_PredictorsLookup,MATCH($A88,List_PredictorFacilities,0),(COLUMN()-1)/2), 1),"")</f>
        <v/>
      </c>
      <c r="P88" s="137"/>
      <c r="Q88" s="58" t="str" cm="1">
        <f>IFERROR(INDEX(List_Predictors, INDEX(Array_PredictorsLookup,MATCH($A88,List_PredictorFacilities,0),(COLUMN()-1)/2), 1),"")</f>
        <v/>
      </c>
      <c r="R88" s="137"/>
      <c r="S88" s="58" t="str" cm="1">
        <f>IFERROR(INDEX(List_Predictors, INDEX(Array_PredictorsLookup,MATCH($A88,List_PredictorFacilities,0),(COLUMN()-1)/2), 1),"")</f>
        <v/>
      </c>
      <c r="T88" s="137"/>
      <c r="U88" s="58" t="str" cm="1">
        <f>IFERROR(INDEX(List_Predictors, INDEX(Array_PredictorsLookup,MATCH($A88,List_PredictorFacilities,0),(COLUMN()-1)/2), 1),"")</f>
        <v/>
      </c>
      <c r="V88" s="137"/>
      <c r="W88" s="58" t="str" cm="1">
        <f>IFERROR(INDEX(List_Predictors, INDEX(Array_PredictorsLookup,MATCH($A88,List_PredictorFacilities,0),(COLUMN()-1)/2), 1),"")</f>
        <v/>
      </c>
      <c r="X88" s="137"/>
      <c r="Y88" s="58" t="str" cm="1">
        <f>IFERROR(INDEX(List_Predictors, INDEX(Array_PredictorsLookup,MATCH($A88,List_PredictorFacilities,0),(COLUMN()-1)/2), 1),"")</f>
        <v/>
      </c>
      <c r="Z88" s="137"/>
      <c r="AA88" s="58" t="str" cm="1">
        <f>IFERROR(INDEX(List_Predictors, INDEX(Array_PredictorsLookup,MATCH($A88,List_PredictorFacilities,0),(COLUMN()-1)/2), 1),"")</f>
        <v/>
      </c>
      <c r="AB88" s="137"/>
      <c r="AC88" s="58" t="str" cm="1">
        <f>IFERROR(INDEX(List_Predictors, INDEX(Array_PredictorsLookup,MATCH($A88,List_PredictorFacilities,0),(COLUMN()-1)/2), 1),"")</f>
        <v/>
      </c>
      <c r="AD88" s="137"/>
      <c r="AE88" s="58" t="str" cm="1">
        <f>IFERROR(INDEX(List_Predictors, INDEX(Array_PredictorsLookup,MATCH($A88,List_PredictorFacilities,0),(COLUMN()-1)/2), 1),"")</f>
        <v/>
      </c>
      <c r="AF88" s="137"/>
    </row>
    <row r="89" spans="1:32" x14ac:dyDescent="0.3">
      <c r="A89" s="126"/>
      <c r="B89" s="141"/>
      <c r="C89" s="58" t="str" cm="1">
        <f>IFERROR(INDEX(List_Predictors, INDEX(Array_PredictorsLookup,MATCH($A89,List_PredictorFacilities,0),(COLUMN()-1)/2), 1),"")</f>
        <v/>
      </c>
      <c r="D89" s="137"/>
      <c r="E89" s="58" t="str" cm="1">
        <f>IFERROR(INDEX(List_Predictors, INDEX(Array_PredictorsLookup,MATCH($A89,List_PredictorFacilities,0),(COLUMN()-1)/2), 1),"")</f>
        <v/>
      </c>
      <c r="F89" s="137"/>
      <c r="G89" s="58" t="str" cm="1">
        <f>IFERROR(INDEX(List_Predictors, INDEX(Array_PredictorsLookup,MATCH($A89,List_PredictorFacilities,0),(COLUMN()-1)/2), 1),"")</f>
        <v/>
      </c>
      <c r="H89" s="137"/>
      <c r="I89" s="58" t="str" cm="1">
        <f>IFERROR(INDEX(List_Predictors, INDEX(Array_PredictorsLookup,MATCH($A89,List_PredictorFacilities,0),(COLUMN()-1)/2), 1),"")</f>
        <v/>
      </c>
      <c r="J89" s="137"/>
      <c r="K89" s="58" t="str" cm="1">
        <f>IFERROR(INDEX(List_Predictors, INDEX(Array_PredictorsLookup,MATCH($A89,List_PredictorFacilities,0),(COLUMN()-1)/2), 1),"")</f>
        <v/>
      </c>
      <c r="L89" s="137"/>
      <c r="M89" s="58" t="str" cm="1">
        <f>IFERROR(INDEX(List_Predictors, INDEX(Array_PredictorsLookup,MATCH($A89,List_PredictorFacilities,0),(COLUMN()-1)/2), 1),"")</f>
        <v/>
      </c>
      <c r="N89" s="137"/>
      <c r="O89" s="58" t="str" cm="1">
        <f>IFERROR(INDEX(List_Predictors, INDEX(Array_PredictorsLookup,MATCH($A89,List_PredictorFacilities,0),(COLUMN()-1)/2), 1),"")</f>
        <v/>
      </c>
      <c r="P89" s="137"/>
      <c r="Q89" s="58" t="str" cm="1">
        <f>IFERROR(INDEX(List_Predictors, INDEX(Array_PredictorsLookup,MATCH($A89,List_PredictorFacilities,0),(COLUMN()-1)/2), 1),"")</f>
        <v/>
      </c>
      <c r="R89" s="137"/>
      <c r="S89" s="58" t="str" cm="1">
        <f>IFERROR(INDEX(List_Predictors, INDEX(Array_PredictorsLookup,MATCH($A89,List_PredictorFacilities,0),(COLUMN()-1)/2), 1),"")</f>
        <v/>
      </c>
      <c r="T89" s="137"/>
      <c r="U89" s="58" t="str" cm="1">
        <f>IFERROR(INDEX(List_Predictors, INDEX(Array_PredictorsLookup,MATCH($A89,List_PredictorFacilities,0),(COLUMN()-1)/2), 1),"")</f>
        <v/>
      </c>
      <c r="V89" s="137"/>
      <c r="W89" s="58" t="str" cm="1">
        <f>IFERROR(INDEX(List_Predictors, INDEX(Array_PredictorsLookup,MATCH($A89,List_PredictorFacilities,0),(COLUMN()-1)/2), 1),"")</f>
        <v/>
      </c>
      <c r="X89" s="137"/>
      <c r="Y89" s="58" t="str" cm="1">
        <f>IFERROR(INDEX(List_Predictors, INDEX(Array_PredictorsLookup,MATCH($A89,List_PredictorFacilities,0),(COLUMN()-1)/2), 1),"")</f>
        <v/>
      </c>
      <c r="Z89" s="137"/>
      <c r="AA89" s="58" t="str" cm="1">
        <f>IFERROR(INDEX(List_Predictors, INDEX(Array_PredictorsLookup,MATCH($A89,List_PredictorFacilities,0),(COLUMN()-1)/2), 1),"")</f>
        <v/>
      </c>
      <c r="AB89" s="137"/>
      <c r="AC89" s="58" t="str" cm="1">
        <f>IFERROR(INDEX(List_Predictors, INDEX(Array_PredictorsLookup,MATCH($A89,List_PredictorFacilities,0),(COLUMN()-1)/2), 1),"")</f>
        <v/>
      </c>
      <c r="AD89" s="137"/>
      <c r="AE89" s="58" t="str" cm="1">
        <f>IFERROR(INDEX(List_Predictors, INDEX(Array_PredictorsLookup,MATCH($A89,List_PredictorFacilities,0),(COLUMN()-1)/2), 1),"")</f>
        <v/>
      </c>
      <c r="AF89" s="137"/>
    </row>
    <row r="90" spans="1:32" x14ac:dyDescent="0.3">
      <c r="A90" s="126"/>
      <c r="B90" s="141"/>
      <c r="C90" s="58" t="str" cm="1">
        <f>IFERROR(INDEX(List_Predictors, INDEX(Array_PredictorsLookup,MATCH($A90,List_PredictorFacilities,0),(COLUMN()-1)/2), 1),"")</f>
        <v/>
      </c>
      <c r="D90" s="137"/>
      <c r="E90" s="58" t="str" cm="1">
        <f>IFERROR(INDEX(List_Predictors, INDEX(Array_PredictorsLookup,MATCH($A90,List_PredictorFacilities,0),(COLUMN()-1)/2), 1),"")</f>
        <v/>
      </c>
      <c r="F90" s="137"/>
      <c r="G90" s="58" t="str" cm="1">
        <f>IFERROR(INDEX(List_Predictors, INDEX(Array_PredictorsLookup,MATCH($A90,List_PredictorFacilities,0),(COLUMN()-1)/2), 1),"")</f>
        <v/>
      </c>
      <c r="H90" s="137"/>
      <c r="I90" s="58" t="str" cm="1">
        <f>IFERROR(INDEX(List_Predictors, INDEX(Array_PredictorsLookup,MATCH($A90,List_PredictorFacilities,0),(COLUMN()-1)/2), 1),"")</f>
        <v/>
      </c>
      <c r="J90" s="137"/>
      <c r="K90" s="58" t="str" cm="1">
        <f>IFERROR(INDEX(List_Predictors, INDEX(Array_PredictorsLookup,MATCH($A90,List_PredictorFacilities,0),(COLUMN()-1)/2), 1),"")</f>
        <v/>
      </c>
      <c r="L90" s="137"/>
      <c r="M90" s="58" t="str" cm="1">
        <f>IFERROR(INDEX(List_Predictors, INDEX(Array_PredictorsLookup,MATCH($A90,List_PredictorFacilities,0),(COLUMN()-1)/2), 1),"")</f>
        <v/>
      </c>
      <c r="N90" s="137"/>
      <c r="O90" s="58" t="str" cm="1">
        <f>IFERROR(INDEX(List_Predictors, INDEX(Array_PredictorsLookup,MATCH($A90,List_PredictorFacilities,0),(COLUMN()-1)/2), 1),"")</f>
        <v/>
      </c>
      <c r="P90" s="137"/>
      <c r="Q90" s="58" t="str" cm="1">
        <f>IFERROR(INDEX(List_Predictors, INDEX(Array_PredictorsLookup,MATCH($A90,List_PredictorFacilities,0),(COLUMN()-1)/2), 1),"")</f>
        <v/>
      </c>
      <c r="R90" s="137"/>
      <c r="S90" s="58" t="str" cm="1">
        <f>IFERROR(INDEX(List_Predictors, INDEX(Array_PredictorsLookup,MATCH($A90,List_PredictorFacilities,0),(COLUMN()-1)/2), 1),"")</f>
        <v/>
      </c>
      <c r="T90" s="137"/>
      <c r="U90" s="58" t="str" cm="1">
        <f>IFERROR(INDEX(List_Predictors, INDEX(Array_PredictorsLookup,MATCH($A90,List_PredictorFacilities,0),(COLUMN()-1)/2), 1),"")</f>
        <v/>
      </c>
      <c r="V90" s="137"/>
      <c r="W90" s="58" t="str" cm="1">
        <f>IFERROR(INDEX(List_Predictors, INDEX(Array_PredictorsLookup,MATCH($A90,List_PredictorFacilities,0),(COLUMN()-1)/2), 1),"")</f>
        <v/>
      </c>
      <c r="X90" s="137"/>
      <c r="Y90" s="58" t="str" cm="1">
        <f>IFERROR(INDEX(List_Predictors, INDEX(Array_PredictorsLookup,MATCH($A90,List_PredictorFacilities,0),(COLUMN()-1)/2), 1),"")</f>
        <v/>
      </c>
      <c r="Z90" s="137"/>
      <c r="AA90" s="58" t="str" cm="1">
        <f>IFERROR(INDEX(List_Predictors, INDEX(Array_PredictorsLookup,MATCH($A90,List_PredictorFacilities,0),(COLUMN()-1)/2), 1),"")</f>
        <v/>
      </c>
      <c r="AB90" s="137"/>
      <c r="AC90" s="58" t="str" cm="1">
        <f>IFERROR(INDEX(List_Predictors, INDEX(Array_PredictorsLookup,MATCH($A90,List_PredictorFacilities,0),(COLUMN()-1)/2), 1),"")</f>
        <v/>
      </c>
      <c r="AD90" s="137"/>
      <c r="AE90" s="58" t="str" cm="1">
        <f>IFERROR(INDEX(List_Predictors, INDEX(Array_PredictorsLookup,MATCH($A90,List_PredictorFacilities,0),(COLUMN()-1)/2), 1),"")</f>
        <v/>
      </c>
      <c r="AF90" s="137"/>
    </row>
    <row r="91" spans="1:32" x14ac:dyDescent="0.3">
      <c r="A91" s="126"/>
      <c r="B91" s="141"/>
      <c r="C91" s="58" t="str" cm="1">
        <f>IFERROR(INDEX(List_Predictors, INDEX(Array_PredictorsLookup,MATCH($A91,List_PredictorFacilities,0),(COLUMN()-1)/2), 1),"")</f>
        <v/>
      </c>
      <c r="D91" s="137"/>
      <c r="E91" s="58" t="str" cm="1">
        <f>IFERROR(INDEX(List_Predictors, INDEX(Array_PredictorsLookup,MATCH($A91,List_PredictorFacilities,0),(COLUMN()-1)/2), 1),"")</f>
        <v/>
      </c>
      <c r="F91" s="137"/>
      <c r="G91" s="58" t="str" cm="1">
        <f>IFERROR(INDEX(List_Predictors, INDEX(Array_PredictorsLookup,MATCH($A91,List_PredictorFacilities,0),(COLUMN()-1)/2), 1),"")</f>
        <v/>
      </c>
      <c r="H91" s="137"/>
      <c r="I91" s="58" t="str" cm="1">
        <f>IFERROR(INDEX(List_Predictors, INDEX(Array_PredictorsLookup,MATCH($A91,List_PredictorFacilities,0),(COLUMN()-1)/2), 1),"")</f>
        <v/>
      </c>
      <c r="J91" s="137"/>
      <c r="K91" s="58" t="str" cm="1">
        <f>IFERROR(INDEX(List_Predictors, INDEX(Array_PredictorsLookup,MATCH($A91,List_PredictorFacilities,0),(COLUMN()-1)/2), 1),"")</f>
        <v/>
      </c>
      <c r="L91" s="137"/>
      <c r="M91" s="58" t="str" cm="1">
        <f>IFERROR(INDEX(List_Predictors, INDEX(Array_PredictorsLookup,MATCH($A91,List_PredictorFacilities,0),(COLUMN()-1)/2), 1),"")</f>
        <v/>
      </c>
      <c r="N91" s="137"/>
      <c r="O91" s="58" t="str" cm="1">
        <f>IFERROR(INDEX(List_Predictors, INDEX(Array_PredictorsLookup,MATCH($A91,List_PredictorFacilities,0),(COLUMN()-1)/2), 1),"")</f>
        <v/>
      </c>
      <c r="P91" s="137"/>
      <c r="Q91" s="58" t="str" cm="1">
        <f>IFERROR(INDEX(List_Predictors, INDEX(Array_PredictorsLookup,MATCH($A91,List_PredictorFacilities,0),(COLUMN()-1)/2), 1),"")</f>
        <v/>
      </c>
      <c r="R91" s="137"/>
      <c r="S91" s="58" t="str" cm="1">
        <f>IFERROR(INDEX(List_Predictors, INDEX(Array_PredictorsLookup,MATCH($A91,List_PredictorFacilities,0),(COLUMN()-1)/2), 1),"")</f>
        <v/>
      </c>
      <c r="T91" s="137"/>
      <c r="U91" s="58" t="str" cm="1">
        <f>IFERROR(INDEX(List_Predictors, INDEX(Array_PredictorsLookup,MATCH($A91,List_PredictorFacilities,0),(COLUMN()-1)/2), 1),"")</f>
        <v/>
      </c>
      <c r="V91" s="137"/>
      <c r="W91" s="58" t="str" cm="1">
        <f>IFERROR(INDEX(List_Predictors, INDEX(Array_PredictorsLookup,MATCH($A91,List_PredictorFacilities,0),(COLUMN()-1)/2), 1),"")</f>
        <v/>
      </c>
      <c r="X91" s="137"/>
      <c r="Y91" s="58" t="str" cm="1">
        <f>IFERROR(INDEX(List_Predictors, INDEX(Array_PredictorsLookup,MATCH($A91,List_PredictorFacilities,0),(COLUMN()-1)/2), 1),"")</f>
        <v/>
      </c>
      <c r="Z91" s="137"/>
      <c r="AA91" s="58" t="str" cm="1">
        <f>IFERROR(INDEX(List_Predictors, INDEX(Array_PredictorsLookup,MATCH($A91,List_PredictorFacilities,0),(COLUMN()-1)/2), 1),"")</f>
        <v/>
      </c>
      <c r="AB91" s="137"/>
      <c r="AC91" s="58" t="str" cm="1">
        <f>IFERROR(INDEX(List_Predictors, INDEX(Array_PredictorsLookup,MATCH($A91,List_PredictorFacilities,0),(COLUMN()-1)/2), 1),"")</f>
        <v/>
      </c>
      <c r="AD91" s="137"/>
      <c r="AE91" s="58" t="str" cm="1">
        <f>IFERROR(INDEX(List_Predictors, INDEX(Array_PredictorsLookup,MATCH($A91,List_PredictorFacilities,0),(COLUMN()-1)/2), 1),"")</f>
        <v/>
      </c>
      <c r="AF91" s="137"/>
    </row>
    <row r="92" spans="1:32" x14ac:dyDescent="0.3">
      <c r="A92" s="126"/>
      <c r="B92" s="141"/>
      <c r="C92" s="58" t="str" cm="1">
        <f>IFERROR(INDEX(List_Predictors, INDEX(Array_PredictorsLookup,MATCH($A92,List_PredictorFacilities,0),(COLUMN()-1)/2), 1),"")</f>
        <v/>
      </c>
      <c r="D92" s="137"/>
      <c r="E92" s="58" t="str" cm="1">
        <f>IFERROR(INDEX(List_Predictors, INDEX(Array_PredictorsLookup,MATCH($A92,List_PredictorFacilities,0),(COLUMN()-1)/2), 1),"")</f>
        <v/>
      </c>
      <c r="F92" s="137"/>
      <c r="G92" s="58" t="str" cm="1">
        <f>IFERROR(INDEX(List_Predictors, INDEX(Array_PredictorsLookup,MATCH($A92,List_PredictorFacilities,0),(COLUMN()-1)/2), 1),"")</f>
        <v/>
      </c>
      <c r="H92" s="137"/>
      <c r="I92" s="58" t="str" cm="1">
        <f>IFERROR(INDEX(List_Predictors, INDEX(Array_PredictorsLookup,MATCH($A92,List_PredictorFacilities,0),(COLUMN()-1)/2), 1),"")</f>
        <v/>
      </c>
      <c r="J92" s="137"/>
      <c r="K92" s="58" t="str" cm="1">
        <f>IFERROR(INDEX(List_Predictors, INDEX(Array_PredictorsLookup,MATCH($A92,List_PredictorFacilities,0),(COLUMN()-1)/2), 1),"")</f>
        <v/>
      </c>
      <c r="L92" s="137"/>
      <c r="M92" s="58" t="str" cm="1">
        <f>IFERROR(INDEX(List_Predictors, INDEX(Array_PredictorsLookup,MATCH($A92,List_PredictorFacilities,0),(COLUMN()-1)/2), 1),"")</f>
        <v/>
      </c>
      <c r="N92" s="137"/>
      <c r="O92" s="58" t="str" cm="1">
        <f>IFERROR(INDEX(List_Predictors, INDEX(Array_PredictorsLookup,MATCH($A92,List_PredictorFacilities,0),(COLUMN()-1)/2), 1),"")</f>
        <v/>
      </c>
      <c r="P92" s="137"/>
      <c r="Q92" s="58" t="str" cm="1">
        <f>IFERROR(INDEX(List_Predictors, INDEX(Array_PredictorsLookup,MATCH($A92,List_PredictorFacilities,0),(COLUMN()-1)/2), 1),"")</f>
        <v/>
      </c>
      <c r="R92" s="137"/>
      <c r="S92" s="58" t="str" cm="1">
        <f>IFERROR(INDEX(List_Predictors, INDEX(Array_PredictorsLookup,MATCH($A92,List_PredictorFacilities,0),(COLUMN()-1)/2), 1),"")</f>
        <v/>
      </c>
      <c r="T92" s="137"/>
      <c r="U92" s="58" t="str" cm="1">
        <f>IFERROR(INDEX(List_Predictors, INDEX(Array_PredictorsLookup,MATCH($A92,List_PredictorFacilities,0),(COLUMN()-1)/2), 1),"")</f>
        <v/>
      </c>
      <c r="V92" s="137"/>
      <c r="W92" s="58" t="str" cm="1">
        <f>IFERROR(INDEX(List_Predictors, INDEX(Array_PredictorsLookup,MATCH($A92,List_PredictorFacilities,0),(COLUMN()-1)/2), 1),"")</f>
        <v/>
      </c>
      <c r="X92" s="137"/>
      <c r="Y92" s="58" t="str" cm="1">
        <f>IFERROR(INDEX(List_Predictors, INDEX(Array_PredictorsLookup,MATCH($A92,List_PredictorFacilities,0),(COLUMN()-1)/2), 1),"")</f>
        <v/>
      </c>
      <c r="Z92" s="137"/>
      <c r="AA92" s="58" t="str" cm="1">
        <f>IFERROR(INDEX(List_Predictors, INDEX(Array_PredictorsLookup,MATCH($A92,List_PredictorFacilities,0),(COLUMN()-1)/2), 1),"")</f>
        <v/>
      </c>
      <c r="AB92" s="137"/>
      <c r="AC92" s="58" t="str" cm="1">
        <f>IFERROR(INDEX(List_Predictors, INDEX(Array_PredictorsLookup,MATCH($A92,List_PredictorFacilities,0),(COLUMN()-1)/2), 1),"")</f>
        <v/>
      </c>
      <c r="AD92" s="137"/>
      <c r="AE92" s="58" t="str" cm="1">
        <f>IFERROR(INDEX(List_Predictors, INDEX(Array_PredictorsLookup,MATCH($A92,List_PredictorFacilities,0),(COLUMN()-1)/2), 1),"")</f>
        <v/>
      </c>
      <c r="AF92" s="137"/>
    </row>
    <row r="93" spans="1:32" x14ac:dyDescent="0.3">
      <c r="A93" s="126"/>
      <c r="B93" s="141"/>
      <c r="C93" s="58" t="str" cm="1">
        <f>IFERROR(INDEX(List_Predictors, INDEX(Array_PredictorsLookup,MATCH($A93,List_PredictorFacilities,0),(COLUMN()-1)/2), 1),"")</f>
        <v/>
      </c>
      <c r="D93" s="137"/>
      <c r="E93" s="58" t="str" cm="1">
        <f>IFERROR(INDEX(List_Predictors, INDEX(Array_PredictorsLookup,MATCH($A93,List_PredictorFacilities,0),(COLUMN()-1)/2), 1),"")</f>
        <v/>
      </c>
      <c r="F93" s="137"/>
      <c r="G93" s="58" t="str" cm="1">
        <f>IFERROR(INDEX(List_Predictors, INDEX(Array_PredictorsLookup,MATCH($A93,List_PredictorFacilities,0),(COLUMN()-1)/2), 1),"")</f>
        <v/>
      </c>
      <c r="H93" s="137"/>
      <c r="I93" s="58" t="str" cm="1">
        <f>IFERROR(INDEX(List_Predictors, INDEX(Array_PredictorsLookup,MATCH($A93,List_PredictorFacilities,0),(COLUMN()-1)/2), 1),"")</f>
        <v/>
      </c>
      <c r="J93" s="137"/>
      <c r="K93" s="58" t="str" cm="1">
        <f>IFERROR(INDEX(List_Predictors, INDEX(Array_PredictorsLookup,MATCH($A93,List_PredictorFacilities,0),(COLUMN()-1)/2), 1),"")</f>
        <v/>
      </c>
      <c r="L93" s="137"/>
      <c r="M93" s="58" t="str" cm="1">
        <f>IFERROR(INDEX(List_Predictors, INDEX(Array_PredictorsLookup,MATCH($A93,List_PredictorFacilities,0),(COLUMN()-1)/2), 1),"")</f>
        <v/>
      </c>
      <c r="N93" s="137"/>
      <c r="O93" s="58" t="str" cm="1">
        <f>IFERROR(INDEX(List_Predictors, INDEX(Array_PredictorsLookup,MATCH($A93,List_PredictorFacilities,0),(COLUMN()-1)/2), 1),"")</f>
        <v/>
      </c>
      <c r="P93" s="137"/>
      <c r="Q93" s="58" t="str" cm="1">
        <f>IFERROR(INDEX(List_Predictors, INDEX(Array_PredictorsLookup,MATCH($A93,List_PredictorFacilities,0),(COLUMN()-1)/2), 1),"")</f>
        <v/>
      </c>
      <c r="R93" s="137"/>
      <c r="S93" s="58" t="str" cm="1">
        <f>IFERROR(INDEX(List_Predictors, INDEX(Array_PredictorsLookup,MATCH($A93,List_PredictorFacilities,0),(COLUMN()-1)/2), 1),"")</f>
        <v/>
      </c>
      <c r="T93" s="137"/>
      <c r="U93" s="58" t="str" cm="1">
        <f>IFERROR(INDEX(List_Predictors, INDEX(Array_PredictorsLookup,MATCH($A93,List_PredictorFacilities,0),(COLUMN()-1)/2), 1),"")</f>
        <v/>
      </c>
      <c r="V93" s="137"/>
      <c r="W93" s="58" t="str" cm="1">
        <f>IFERROR(INDEX(List_Predictors, INDEX(Array_PredictorsLookup,MATCH($A93,List_PredictorFacilities,0),(COLUMN()-1)/2), 1),"")</f>
        <v/>
      </c>
      <c r="X93" s="137"/>
      <c r="Y93" s="58" t="str" cm="1">
        <f>IFERROR(INDEX(List_Predictors, INDEX(Array_PredictorsLookup,MATCH($A93,List_PredictorFacilities,0),(COLUMN()-1)/2), 1),"")</f>
        <v/>
      </c>
      <c r="Z93" s="137"/>
      <c r="AA93" s="58" t="str" cm="1">
        <f>IFERROR(INDEX(List_Predictors, INDEX(Array_PredictorsLookup,MATCH($A93,List_PredictorFacilities,0),(COLUMN()-1)/2), 1),"")</f>
        <v/>
      </c>
      <c r="AB93" s="137"/>
      <c r="AC93" s="58" t="str" cm="1">
        <f>IFERROR(INDEX(List_Predictors, INDEX(Array_PredictorsLookup,MATCH($A93,List_PredictorFacilities,0),(COLUMN()-1)/2), 1),"")</f>
        <v/>
      </c>
      <c r="AD93" s="137"/>
      <c r="AE93" s="58" t="str" cm="1">
        <f>IFERROR(INDEX(List_Predictors, INDEX(Array_PredictorsLookup,MATCH($A93,List_PredictorFacilities,0),(COLUMN()-1)/2), 1),"")</f>
        <v/>
      </c>
      <c r="AF93" s="137"/>
    </row>
    <row r="94" spans="1:32" x14ac:dyDescent="0.3">
      <c r="A94" s="126"/>
      <c r="B94" s="141"/>
      <c r="C94" s="58" t="str" cm="1">
        <f>IFERROR(INDEX(List_Predictors, INDEX(Array_PredictorsLookup,MATCH($A94,List_PredictorFacilities,0),(COLUMN()-1)/2), 1),"")</f>
        <v/>
      </c>
      <c r="D94" s="137"/>
      <c r="E94" s="58" t="str" cm="1">
        <f>IFERROR(INDEX(List_Predictors, INDEX(Array_PredictorsLookup,MATCH($A94,List_PredictorFacilities,0),(COLUMN()-1)/2), 1),"")</f>
        <v/>
      </c>
      <c r="F94" s="137"/>
      <c r="G94" s="58" t="str" cm="1">
        <f>IFERROR(INDEX(List_Predictors, INDEX(Array_PredictorsLookup,MATCH($A94,List_PredictorFacilities,0),(COLUMN()-1)/2), 1),"")</f>
        <v/>
      </c>
      <c r="H94" s="137"/>
      <c r="I94" s="58" t="str" cm="1">
        <f>IFERROR(INDEX(List_Predictors, INDEX(Array_PredictorsLookup,MATCH($A94,List_PredictorFacilities,0),(COLUMN()-1)/2), 1),"")</f>
        <v/>
      </c>
      <c r="J94" s="137"/>
      <c r="K94" s="58" t="str" cm="1">
        <f>IFERROR(INDEX(List_Predictors, INDEX(Array_PredictorsLookup,MATCH($A94,List_PredictorFacilities,0),(COLUMN()-1)/2), 1),"")</f>
        <v/>
      </c>
      <c r="L94" s="137"/>
      <c r="M94" s="58" t="str" cm="1">
        <f>IFERROR(INDEX(List_Predictors, INDEX(Array_PredictorsLookup,MATCH($A94,List_PredictorFacilities,0),(COLUMN()-1)/2), 1),"")</f>
        <v/>
      </c>
      <c r="N94" s="137"/>
      <c r="O94" s="58" t="str" cm="1">
        <f>IFERROR(INDEX(List_Predictors, INDEX(Array_PredictorsLookup,MATCH($A94,List_PredictorFacilities,0),(COLUMN()-1)/2), 1),"")</f>
        <v/>
      </c>
      <c r="P94" s="137"/>
      <c r="Q94" s="58" t="str" cm="1">
        <f>IFERROR(INDEX(List_Predictors, INDEX(Array_PredictorsLookup,MATCH($A94,List_PredictorFacilities,0),(COLUMN()-1)/2), 1),"")</f>
        <v/>
      </c>
      <c r="R94" s="137"/>
      <c r="S94" s="58" t="str" cm="1">
        <f>IFERROR(INDEX(List_Predictors, INDEX(Array_PredictorsLookup,MATCH($A94,List_PredictorFacilities,0),(COLUMN()-1)/2), 1),"")</f>
        <v/>
      </c>
      <c r="T94" s="137"/>
      <c r="U94" s="58" t="str" cm="1">
        <f>IFERROR(INDEX(List_Predictors, INDEX(Array_PredictorsLookup,MATCH($A94,List_PredictorFacilities,0),(COLUMN()-1)/2), 1),"")</f>
        <v/>
      </c>
      <c r="V94" s="137"/>
      <c r="W94" s="58" t="str" cm="1">
        <f>IFERROR(INDEX(List_Predictors, INDEX(Array_PredictorsLookup,MATCH($A94,List_PredictorFacilities,0),(COLUMN()-1)/2), 1),"")</f>
        <v/>
      </c>
      <c r="X94" s="137"/>
      <c r="Y94" s="58" t="str" cm="1">
        <f>IFERROR(INDEX(List_Predictors, INDEX(Array_PredictorsLookup,MATCH($A94,List_PredictorFacilities,0),(COLUMN()-1)/2), 1),"")</f>
        <v/>
      </c>
      <c r="Z94" s="137"/>
      <c r="AA94" s="58" t="str" cm="1">
        <f>IFERROR(INDEX(List_Predictors, INDEX(Array_PredictorsLookup,MATCH($A94,List_PredictorFacilities,0),(COLUMN()-1)/2), 1),"")</f>
        <v/>
      </c>
      <c r="AB94" s="137"/>
      <c r="AC94" s="58" t="str" cm="1">
        <f>IFERROR(INDEX(List_Predictors, INDEX(Array_PredictorsLookup,MATCH($A94,List_PredictorFacilities,0),(COLUMN()-1)/2), 1),"")</f>
        <v/>
      </c>
      <c r="AD94" s="137"/>
      <c r="AE94" s="58" t="str" cm="1">
        <f>IFERROR(INDEX(List_Predictors, INDEX(Array_PredictorsLookup,MATCH($A94,List_PredictorFacilities,0),(COLUMN()-1)/2), 1),"")</f>
        <v/>
      </c>
      <c r="AF94" s="137"/>
    </row>
    <row r="95" spans="1:32" x14ac:dyDescent="0.3">
      <c r="A95" s="126"/>
      <c r="B95" s="141"/>
      <c r="C95" s="58" t="str" cm="1">
        <f>IFERROR(INDEX(List_Predictors, INDEX(Array_PredictorsLookup,MATCH($A95,List_PredictorFacilities,0),(COLUMN()-1)/2), 1),"")</f>
        <v/>
      </c>
      <c r="D95" s="137"/>
      <c r="E95" s="58" t="str" cm="1">
        <f>IFERROR(INDEX(List_Predictors, INDEX(Array_PredictorsLookup,MATCH($A95,List_PredictorFacilities,0),(COLUMN()-1)/2), 1),"")</f>
        <v/>
      </c>
      <c r="F95" s="137"/>
      <c r="G95" s="58" t="str" cm="1">
        <f>IFERROR(INDEX(List_Predictors, INDEX(Array_PredictorsLookup,MATCH($A95,List_PredictorFacilities,0),(COLUMN()-1)/2), 1),"")</f>
        <v/>
      </c>
      <c r="H95" s="137"/>
      <c r="I95" s="58" t="str" cm="1">
        <f>IFERROR(INDEX(List_Predictors, INDEX(Array_PredictorsLookup,MATCH($A95,List_PredictorFacilities,0),(COLUMN()-1)/2), 1),"")</f>
        <v/>
      </c>
      <c r="J95" s="137"/>
      <c r="K95" s="58" t="str" cm="1">
        <f>IFERROR(INDEX(List_Predictors, INDEX(Array_PredictorsLookup,MATCH($A95,List_PredictorFacilities,0),(COLUMN()-1)/2), 1),"")</f>
        <v/>
      </c>
      <c r="L95" s="137"/>
      <c r="M95" s="58" t="str" cm="1">
        <f>IFERROR(INDEX(List_Predictors, INDEX(Array_PredictorsLookup,MATCH($A95,List_PredictorFacilities,0),(COLUMN()-1)/2), 1),"")</f>
        <v/>
      </c>
      <c r="N95" s="137"/>
      <c r="O95" s="58" t="str" cm="1">
        <f>IFERROR(INDEX(List_Predictors, INDEX(Array_PredictorsLookup,MATCH($A95,List_PredictorFacilities,0),(COLUMN()-1)/2), 1),"")</f>
        <v/>
      </c>
      <c r="P95" s="137"/>
      <c r="Q95" s="58" t="str" cm="1">
        <f>IFERROR(INDEX(List_Predictors, INDEX(Array_PredictorsLookup,MATCH($A95,List_PredictorFacilities,0),(COLUMN()-1)/2), 1),"")</f>
        <v/>
      </c>
      <c r="R95" s="137"/>
      <c r="S95" s="58" t="str" cm="1">
        <f>IFERROR(INDEX(List_Predictors, INDEX(Array_PredictorsLookup,MATCH($A95,List_PredictorFacilities,0),(COLUMN()-1)/2), 1),"")</f>
        <v/>
      </c>
      <c r="T95" s="137"/>
      <c r="U95" s="58" t="str" cm="1">
        <f>IFERROR(INDEX(List_Predictors, INDEX(Array_PredictorsLookup,MATCH($A95,List_PredictorFacilities,0),(COLUMN()-1)/2), 1),"")</f>
        <v/>
      </c>
      <c r="V95" s="137"/>
      <c r="W95" s="58" t="str" cm="1">
        <f>IFERROR(INDEX(List_Predictors, INDEX(Array_PredictorsLookup,MATCH($A95,List_PredictorFacilities,0),(COLUMN()-1)/2), 1),"")</f>
        <v/>
      </c>
      <c r="X95" s="137"/>
      <c r="Y95" s="58" t="str" cm="1">
        <f>IFERROR(INDEX(List_Predictors, INDEX(Array_PredictorsLookup,MATCH($A95,List_PredictorFacilities,0),(COLUMN()-1)/2), 1),"")</f>
        <v/>
      </c>
      <c r="Z95" s="137"/>
      <c r="AA95" s="58" t="str" cm="1">
        <f>IFERROR(INDEX(List_Predictors, INDEX(Array_PredictorsLookup,MATCH($A95,List_PredictorFacilities,0),(COLUMN()-1)/2), 1),"")</f>
        <v/>
      </c>
      <c r="AB95" s="137"/>
      <c r="AC95" s="58" t="str" cm="1">
        <f>IFERROR(INDEX(List_Predictors, INDEX(Array_PredictorsLookup,MATCH($A95,List_PredictorFacilities,0),(COLUMN()-1)/2), 1),"")</f>
        <v/>
      </c>
      <c r="AD95" s="137"/>
      <c r="AE95" s="58" t="str" cm="1">
        <f>IFERROR(INDEX(List_Predictors, INDEX(Array_PredictorsLookup,MATCH($A95,List_PredictorFacilities,0),(COLUMN()-1)/2), 1),"")</f>
        <v/>
      </c>
      <c r="AF95" s="137"/>
    </row>
    <row r="96" spans="1:32" x14ac:dyDescent="0.3">
      <c r="A96" s="126"/>
      <c r="B96" s="141"/>
      <c r="C96" s="58" t="str" cm="1">
        <f>IFERROR(INDEX(List_Predictors, INDEX(Array_PredictorsLookup,MATCH($A96,List_PredictorFacilities,0),(COLUMN()-1)/2), 1),"")</f>
        <v/>
      </c>
      <c r="D96" s="137"/>
      <c r="E96" s="58" t="str" cm="1">
        <f>IFERROR(INDEX(List_Predictors, INDEX(Array_PredictorsLookup,MATCH($A96,List_PredictorFacilities,0),(COLUMN()-1)/2), 1),"")</f>
        <v/>
      </c>
      <c r="F96" s="137"/>
      <c r="G96" s="58" t="str" cm="1">
        <f>IFERROR(INDEX(List_Predictors, INDEX(Array_PredictorsLookup,MATCH($A96,List_PredictorFacilities,0),(COLUMN()-1)/2), 1),"")</f>
        <v/>
      </c>
      <c r="H96" s="137"/>
      <c r="I96" s="58" t="str" cm="1">
        <f>IFERROR(INDEX(List_Predictors, INDEX(Array_PredictorsLookup,MATCH($A96,List_PredictorFacilities,0),(COLUMN()-1)/2), 1),"")</f>
        <v/>
      </c>
      <c r="J96" s="137"/>
      <c r="K96" s="58" t="str" cm="1">
        <f>IFERROR(INDEX(List_Predictors, INDEX(Array_PredictorsLookup,MATCH($A96,List_PredictorFacilities,0),(COLUMN()-1)/2), 1),"")</f>
        <v/>
      </c>
      <c r="L96" s="137"/>
      <c r="M96" s="58" t="str" cm="1">
        <f>IFERROR(INDEX(List_Predictors, INDEX(Array_PredictorsLookup,MATCH($A96,List_PredictorFacilities,0),(COLUMN()-1)/2), 1),"")</f>
        <v/>
      </c>
      <c r="N96" s="137"/>
      <c r="O96" s="58" t="str" cm="1">
        <f>IFERROR(INDEX(List_Predictors, INDEX(Array_PredictorsLookup,MATCH($A96,List_PredictorFacilities,0),(COLUMN()-1)/2), 1),"")</f>
        <v/>
      </c>
      <c r="P96" s="137"/>
      <c r="Q96" s="58" t="str" cm="1">
        <f>IFERROR(INDEX(List_Predictors, INDEX(Array_PredictorsLookup,MATCH($A96,List_PredictorFacilities,0),(COLUMN()-1)/2), 1),"")</f>
        <v/>
      </c>
      <c r="R96" s="137"/>
      <c r="S96" s="58" t="str" cm="1">
        <f>IFERROR(INDEX(List_Predictors, INDEX(Array_PredictorsLookup,MATCH($A96,List_PredictorFacilities,0),(COLUMN()-1)/2), 1),"")</f>
        <v/>
      </c>
      <c r="T96" s="137"/>
      <c r="U96" s="58" t="str" cm="1">
        <f>IFERROR(INDEX(List_Predictors, INDEX(Array_PredictorsLookup,MATCH($A96,List_PredictorFacilities,0),(COLUMN()-1)/2), 1),"")</f>
        <v/>
      </c>
      <c r="V96" s="137"/>
      <c r="W96" s="58" t="str" cm="1">
        <f>IFERROR(INDEX(List_Predictors, INDEX(Array_PredictorsLookup,MATCH($A96,List_PredictorFacilities,0),(COLUMN()-1)/2), 1),"")</f>
        <v/>
      </c>
      <c r="X96" s="137"/>
      <c r="Y96" s="58" t="str" cm="1">
        <f>IFERROR(INDEX(List_Predictors, INDEX(Array_PredictorsLookup,MATCH($A96,List_PredictorFacilities,0),(COLUMN()-1)/2), 1),"")</f>
        <v/>
      </c>
      <c r="Z96" s="137"/>
      <c r="AA96" s="58" t="str" cm="1">
        <f>IFERROR(INDEX(List_Predictors, INDEX(Array_PredictorsLookup,MATCH($A96,List_PredictorFacilities,0),(COLUMN()-1)/2), 1),"")</f>
        <v/>
      </c>
      <c r="AB96" s="137"/>
      <c r="AC96" s="58" t="str" cm="1">
        <f>IFERROR(INDEX(List_Predictors, INDEX(Array_PredictorsLookup,MATCH($A96,List_PredictorFacilities,0),(COLUMN()-1)/2), 1),"")</f>
        <v/>
      </c>
      <c r="AD96" s="137"/>
      <c r="AE96" s="58" t="str" cm="1">
        <f>IFERROR(INDEX(List_Predictors, INDEX(Array_PredictorsLookup,MATCH($A96,List_PredictorFacilities,0),(COLUMN()-1)/2), 1),"")</f>
        <v/>
      </c>
      <c r="AF96" s="137"/>
    </row>
    <row r="97" spans="1:32" x14ac:dyDescent="0.3">
      <c r="A97" s="126"/>
      <c r="B97" s="141"/>
      <c r="C97" s="58" t="str" cm="1">
        <f>IFERROR(INDEX(List_Predictors, INDEX(Array_PredictorsLookup,MATCH($A97,List_PredictorFacilities,0),(COLUMN()-1)/2), 1),"")</f>
        <v/>
      </c>
      <c r="D97" s="137"/>
      <c r="E97" s="58" t="str" cm="1">
        <f>IFERROR(INDEX(List_Predictors, INDEX(Array_PredictorsLookup,MATCH($A97,List_PredictorFacilities,0),(COLUMN()-1)/2), 1),"")</f>
        <v/>
      </c>
      <c r="F97" s="137"/>
      <c r="G97" s="58" t="str" cm="1">
        <f>IFERROR(INDEX(List_Predictors, INDEX(Array_PredictorsLookup,MATCH($A97,List_PredictorFacilities,0),(COLUMN()-1)/2), 1),"")</f>
        <v/>
      </c>
      <c r="H97" s="137"/>
      <c r="I97" s="58" t="str" cm="1">
        <f>IFERROR(INDEX(List_Predictors, INDEX(Array_PredictorsLookup,MATCH($A97,List_PredictorFacilities,0),(COLUMN()-1)/2), 1),"")</f>
        <v/>
      </c>
      <c r="J97" s="137"/>
      <c r="K97" s="58" t="str" cm="1">
        <f>IFERROR(INDEX(List_Predictors, INDEX(Array_PredictorsLookup,MATCH($A97,List_PredictorFacilities,0),(COLUMN()-1)/2), 1),"")</f>
        <v/>
      </c>
      <c r="L97" s="137"/>
      <c r="M97" s="58" t="str" cm="1">
        <f>IFERROR(INDEX(List_Predictors, INDEX(Array_PredictorsLookup,MATCH($A97,List_PredictorFacilities,0),(COLUMN()-1)/2), 1),"")</f>
        <v/>
      </c>
      <c r="N97" s="137"/>
      <c r="O97" s="58" t="str" cm="1">
        <f>IFERROR(INDEX(List_Predictors, INDEX(Array_PredictorsLookup,MATCH($A97,List_PredictorFacilities,0),(COLUMN()-1)/2), 1),"")</f>
        <v/>
      </c>
      <c r="P97" s="137"/>
      <c r="Q97" s="58" t="str" cm="1">
        <f>IFERROR(INDEX(List_Predictors, INDEX(Array_PredictorsLookup,MATCH($A97,List_PredictorFacilities,0),(COLUMN()-1)/2), 1),"")</f>
        <v/>
      </c>
      <c r="R97" s="137"/>
      <c r="S97" s="58" t="str" cm="1">
        <f>IFERROR(INDEX(List_Predictors, INDEX(Array_PredictorsLookup,MATCH($A97,List_PredictorFacilities,0),(COLUMN()-1)/2), 1),"")</f>
        <v/>
      </c>
      <c r="T97" s="137"/>
      <c r="U97" s="58" t="str" cm="1">
        <f>IFERROR(INDEX(List_Predictors, INDEX(Array_PredictorsLookup,MATCH($A97,List_PredictorFacilities,0),(COLUMN()-1)/2), 1),"")</f>
        <v/>
      </c>
      <c r="V97" s="137"/>
      <c r="W97" s="58" t="str" cm="1">
        <f>IFERROR(INDEX(List_Predictors, INDEX(Array_PredictorsLookup,MATCH($A97,List_PredictorFacilities,0),(COLUMN()-1)/2), 1),"")</f>
        <v/>
      </c>
      <c r="X97" s="137"/>
      <c r="Y97" s="58" t="str" cm="1">
        <f>IFERROR(INDEX(List_Predictors, INDEX(Array_PredictorsLookup,MATCH($A97,List_PredictorFacilities,0),(COLUMN()-1)/2), 1),"")</f>
        <v/>
      </c>
      <c r="Z97" s="137"/>
      <c r="AA97" s="58" t="str" cm="1">
        <f>IFERROR(INDEX(List_Predictors, INDEX(Array_PredictorsLookup,MATCH($A97,List_PredictorFacilities,0),(COLUMN()-1)/2), 1),"")</f>
        <v/>
      </c>
      <c r="AB97" s="137"/>
      <c r="AC97" s="58" t="str" cm="1">
        <f>IFERROR(INDEX(List_Predictors, INDEX(Array_PredictorsLookup,MATCH($A97,List_PredictorFacilities,0),(COLUMN()-1)/2), 1),"")</f>
        <v/>
      </c>
      <c r="AD97" s="137"/>
      <c r="AE97" s="58" t="str" cm="1">
        <f>IFERROR(INDEX(List_Predictors, INDEX(Array_PredictorsLookup,MATCH($A97,List_PredictorFacilities,0),(COLUMN()-1)/2), 1),"")</f>
        <v/>
      </c>
      <c r="AF97" s="137"/>
    </row>
    <row r="98" spans="1:32" x14ac:dyDescent="0.3">
      <c r="A98" s="126"/>
      <c r="B98" s="141"/>
      <c r="C98" s="58" t="str" cm="1">
        <f>IFERROR(INDEX(List_Predictors, INDEX(Array_PredictorsLookup,MATCH($A98,List_PredictorFacilities,0),(COLUMN()-1)/2), 1),"")</f>
        <v/>
      </c>
      <c r="D98" s="137"/>
      <c r="E98" s="58" t="str" cm="1">
        <f>IFERROR(INDEX(List_Predictors, INDEX(Array_PredictorsLookup,MATCH($A98,List_PredictorFacilities,0),(COLUMN()-1)/2), 1),"")</f>
        <v/>
      </c>
      <c r="F98" s="137"/>
      <c r="G98" s="58" t="str" cm="1">
        <f>IFERROR(INDEX(List_Predictors, INDEX(Array_PredictorsLookup,MATCH($A98,List_PredictorFacilities,0),(COLUMN()-1)/2), 1),"")</f>
        <v/>
      </c>
      <c r="H98" s="137"/>
      <c r="I98" s="58" t="str" cm="1">
        <f>IFERROR(INDEX(List_Predictors, INDEX(Array_PredictorsLookup,MATCH($A98,List_PredictorFacilities,0),(COLUMN()-1)/2), 1),"")</f>
        <v/>
      </c>
      <c r="J98" s="137"/>
      <c r="K98" s="58" t="str" cm="1">
        <f>IFERROR(INDEX(List_Predictors, INDEX(Array_PredictorsLookup,MATCH($A98,List_PredictorFacilities,0),(COLUMN()-1)/2), 1),"")</f>
        <v/>
      </c>
      <c r="L98" s="137"/>
      <c r="M98" s="58" t="str" cm="1">
        <f>IFERROR(INDEX(List_Predictors, INDEX(Array_PredictorsLookup,MATCH($A98,List_PredictorFacilities,0),(COLUMN()-1)/2), 1),"")</f>
        <v/>
      </c>
      <c r="N98" s="137"/>
      <c r="O98" s="58" t="str" cm="1">
        <f>IFERROR(INDEX(List_Predictors, INDEX(Array_PredictorsLookup,MATCH($A98,List_PredictorFacilities,0),(COLUMN()-1)/2), 1),"")</f>
        <v/>
      </c>
      <c r="P98" s="137"/>
      <c r="Q98" s="58" t="str" cm="1">
        <f>IFERROR(INDEX(List_Predictors, INDEX(Array_PredictorsLookup,MATCH($A98,List_PredictorFacilities,0),(COLUMN()-1)/2), 1),"")</f>
        <v/>
      </c>
      <c r="R98" s="137"/>
      <c r="S98" s="58" t="str" cm="1">
        <f>IFERROR(INDEX(List_Predictors, INDEX(Array_PredictorsLookup,MATCH($A98,List_PredictorFacilities,0),(COLUMN()-1)/2), 1),"")</f>
        <v/>
      </c>
      <c r="T98" s="137"/>
      <c r="U98" s="58" t="str" cm="1">
        <f>IFERROR(INDEX(List_Predictors, INDEX(Array_PredictorsLookup,MATCH($A98,List_PredictorFacilities,0),(COLUMN()-1)/2), 1),"")</f>
        <v/>
      </c>
      <c r="V98" s="137"/>
      <c r="W98" s="58" t="str" cm="1">
        <f>IFERROR(INDEX(List_Predictors, INDEX(Array_PredictorsLookup,MATCH($A98,List_PredictorFacilities,0),(COLUMN()-1)/2), 1),"")</f>
        <v/>
      </c>
      <c r="X98" s="137"/>
      <c r="Y98" s="58" t="str" cm="1">
        <f>IFERROR(INDEX(List_Predictors, INDEX(Array_PredictorsLookup,MATCH($A98,List_PredictorFacilities,0),(COLUMN()-1)/2), 1),"")</f>
        <v/>
      </c>
      <c r="Z98" s="137"/>
      <c r="AA98" s="58" t="str" cm="1">
        <f>IFERROR(INDEX(List_Predictors, INDEX(Array_PredictorsLookup,MATCH($A98,List_PredictorFacilities,0),(COLUMN()-1)/2), 1),"")</f>
        <v/>
      </c>
      <c r="AB98" s="137"/>
      <c r="AC98" s="58" t="str" cm="1">
        <f>IFERROR(INDEX(List_Predictors, INDEX(Array_PredictorsLookup,MATCH($A98,List_PredictorFacilities,0),(COLUMN()-1)/2), 1),"")</f>
        <v/>
      </c>
      <c r="AD98" s="137"/>
      <c r="AE98" s="58" t="str" cm="1">
        <f>IFERROR(INDEX(List_Predictors, INDEX(Array_PredictorsLookup,MATCH($A98,List_PredictorFacilities,0),(COLUMN()-1)/2), 1),"")</f>
        <v/>
      </c>
      <c r="AF98" s="137"/>
    </row>
    <row r="99" spans="1:32" x14ac:dyDescent="0.3">
      <c r="A99" s="126"/>
      <c r="B99" s="141"/>
      <c r="C99" s="58" t="str" cm="1">
        <f>IFERROR(INDEX(List_Predictors, INDEX(Array_PredictorsLookup,MATCH($A99,List_PredictorFacilities,0),(COLUMN()-1)/2), 1),"")</f>
        <v/>
      </c>
      <c r="D99" s="137"/>
      <c r="E99" s="58" t="str" cm="1">
        <f>IFERROR(INDEX(List_Predictors, INDEX(Array_PredictorsLookup,MATCH($A99,List_PredictorFacilities,0),(COLUMN()-1)/2), 1),"")</f>
        <v/>
      </c>
      <c r="F99" s="137"/>
      <c r="G99" s="58" t="str" cm="1">
        <f>IFERROR(INDEX(List_Predictors, INDEX(Array_PredictorsLookup,MATCH($A99,List_PredictorFacilities,0),(COLUMN()-1)/2), 1),"")</f>
        <v/>
      </c>
      <c r="H99" s="137"/>
      <c r="I99" s="58" t="str" cm="1">
        <f>IFERROR(INDEX(List_Predictors, INDEX(Array_PredictorsLookup,MATCH($A99,List_PredictorFacilities,0),(COLUMN()-1)/2), 1),"")</f>
        <v/>
      </c>
      <c r="J99" s="137"/>
      <c r="K99" s="58" t="str" cm="1">
        <f>IFERROR(INDEX(List_Predictors, INDEX(Array_PredictorsLookup,MATCH($A99,List_PredictorFacilities,0),(COLUMN()-1)/2), 1),"")</f>
        <v/>
      </c>
      <c r="L99" s="137"/>
      <c r="M99" s="58" t="str" cm="1">
        <f>IFERROR(INDEX(List_Predictors, INDEX(Array_PredictorsLookup,MATCH($A99,List_PredictorFacilities,0),(COLUMN()-1)/2), 1),"")</f>
        <v/>
      </c>
      <c r="N99" s="137"/>
      <c r="O99" s="58" t="str" cm="1">
        <f>IFERROR(INDEX(List_Predictors, INDEX(Array_PredictorsLookup,MATCH($A99,List_PredictorFacilities,0),(COLUMN()-1)/2), 1),"")</f>
        <v/>
      </c>
      <c r="P99" s="137"/>
      <c r="Q99" s="58" t="str" cm="1">
        <f>IFERROR(INDEX(List_Predictors, INDEX(Array_PredictorsLookup,MATCH($A99,List_PredictorFacilities,0),(COLUMN()-1)/2), 1),"")</f>
        <v/>
      </c>
      <c r="R99" s="137"/>
      <c r="S99" s="58" t="str" cm="1">
        <f>IFERROR(INDEX(List_Predictors, INDEX(Array_PredictorsLookup,MATCH($A99,List_PredictorFacilities,0),(COLUMN()-1)/2), 1),"")</f>
        <v/>
      </c>
      <c r="T99" s="137"/>
      <c r="U99" s="58" t="str" cm="1">
        <f>IFERROR(INDEX(List_Predictors, INDEX(Array_PredictorsLookup,MATCH($A99,List_PredictorFacilities,0),(COLUMN()-1)/2), 1),"")</f>
        <v/>
      </c>
      <c r="V99" s="137"/>
      <c r="W99" s="58" t="str" cm="1">
        <f>IFERROR(INDEX(List_Predictors, INDEX(Array_PredictorsLookup,MATCH($A99,List_PredictorFacilities,0),(COLUMN()-1)/2), 1),"")</f>
        <v/>
      </c>
      <c r="X99" s="137"/>
      <c r="Y99" s="58" t="str" cm="1">
        <f>IFERROR(INDEX(List_Predictors, INDEX(Array_PredictorsLookup,MATCH($A99,List_PredictorFacilities,0),(COLUMN()-1)/2), 1),"")</f>
        <v/>
      </c>
      <c r="Z99" s="137"/>
      <c r="AA99" s="58" t="str" cm="1">
        <f>IFERROR(INDEX(List_Predictors, INDEX(Array_PredictorsLookup,MATCH($A99,List_PredictorFacilities,0),(COLUMN()-1)/2), 1),"")</f>
        <v/>
      </c>
      <c r="AB99" s="137"/>
      <c r="AC99" s="58" t="str" cm="1">
        <f>IFERROR(INDEX(List_Predictors, INDEX(Array_PredictorsLookup,MATCH($A99,List_PredictorFacilities,0),(COLUMN()-1)/2), 1),"")</f>
        <v/>
      </c>
      <c r="AD99" s="137"/>
      <c r="AE99" s="58" t="str" cm="1">
        <f>IFERROR(INDEX(List_Predictors, INDEX(Array_PredictorsLookup,MATCH($A99,List_PredictorFacilities,0),(COLUMN()-1)/2), 1),"")</f>
        <v/>
      </c>
      <c r="AF99" s="137"/>
    </row>
    <row r="100" spans="1:32" x14ac:dyDescent="0.3">
      <c r="A100" s="126"/>
      <c r="B100" s="141"/>
      <c r="C100" s="58" t="str" cm="1">
        <f>IFERROR(INDEX(List_Predictors, INDEX(Array_PredictorsLookup,MATCH($A100,List_PredictorFacilities,0),(COLUMN()-1)/2), 1),"")</f>
        <v/>
      </c>
      <c r="D100" s="137"/>
      <c r="E100" s="58" t="str" cm="1">
        <f>IFERROR(INDEX(List_Predictors, INDEX(Array_PredictorsLookup,MATCH($A100,List_PredictorFacilities,0),(COLUMN()-1)/2), 1),"")</f>
        <v/>
      </c>
      <c r="F100" s="137"/>
      <c r="G100" s="58" t="str" cm="1">
        <f>IFERROR(INDEX(List_Predictors, INDEX(Array_PredictorsLookup,MATCH($A100,List_PredictorFacilities,0),(COLUMN()-1)/2), 1),"")</f>
        <v/>
      </c>
      <c r="H100" s="137"/>
      <c r="I100" s="58" t="str" cm="1">
        <f>IFERROR(INDEX(List_Predictors, INDEX(Array_PredictorsLookup,MATCH($A100,List_PredictorFacilities,0),(COLUMN()-1)/2), 1),"")</f>
        <v/>
      </c>
      <c r="J100" s="137"/>
      <c r="K100" s="58" t="str" cm="1">
        <f>IFERROR(INDEX(List_Predictors, INDEX(Array_PredictorsLookup,MATCH($A100,List_PredictorFacilities,0),(COLUMN()-1)/2), 1),"")</f>
        <v/>
      </c>
      <c r="L100" s="137"/>
      <c r="M100" s="58" t="str" cm="1">
        <f>IFERROR(INDEX(List_Predictors, INDEX(Array_PredictorsLookup,MATCH($A100,List_PredictorFacilities,0),(COLUMN()-1)/2), 1),"")</f>
        <v/>
      </c>
      <c r="N100" s="137"/>
      <c r="O100" s="58" t="str" cm="1">
        <f>IFERROR(INDEX(List_Predictors, INDEX(Array_PredictorsLookup,MATCH($A100,List_PredictorFacilities,0),(COLUMN()-1)/2), 1),"")</f>
        <v/>
      </c>
      <c r="P100" s="137"/>
      <c r="Q100" s="58" t="str" cm="1">
        <f>IFERROR(INDEX(List_Predictors, INDEX(Array_PredictorsLookup,MATCH($A100,List_PredictorFacilities,0),(COLUMN()-1)/2), 1),"")</f>
        <v/>
      </c>
      <c r="R100" s="137"/>
      <c r="S100" s="58" t="str" cm="1">
        <f>IFERROR(INDEX(List_Predictors, INDEX(Array_PredictorsLookup,MATCH($A100,List_PredictorFacilities,0),(COLUMN()-1)/2), 1),"")</f>
        <v/>
      </c>
      <c r="T100" s="137"/>
      <c r="U100" s="58" t="str" cm="1">
        <f>IFERROR(INDEX(List_Predictors, INDEX(Array_PredictorsLookup,MATCH($A100,List_PredictorFacilities,0),(COLUMN()-1)/2), 1),"")</f>
        <v/>
      </c>
      <c r="V100" s="137"/>
      <c r="W100" s="58" t="str" cm="1">
        <f>IFERROR(INDEX(List_Predictors, INDEX(Array_PredictorsLookup,MATCH($A100,List_PredictorFacilities,0),(COLUMN()-1)/2), 1),"")</f>
        <v/>
      </c>
      <c r="X100" s="137"/>
      <c r="Y100" s="58" t="str" cm="1">
        <f>IFERROR(INDEX(List_Predictors, INDEX(Array_PredictorsLookup,MATCH($A100,List_PredictorFacilities,0),(COLUMN()-1)/2), 1),"")</f>
        <v/>
      </c>
      <c r="Z100" s="137"/>
      <c r="AA100" s="58" t="str" cm="1">
        <f>IFERROR(INDEX(List_Predictors, INDEX(Array_PredictorsLookup,MATCH($A100,List_PredictorFacilities,0),(COLUMN()-1)/2), 1),"")</f>
        <v/>
      </c>
      <c r="AB100" s="137"/>
      <c r="AC100" s="58" t="str" cm="1">
        <f>IFERROR(INDEX(List_Predictors, INDEX(Array_PredictorsLookup,MATCH($A100,List_PredictorFacilities,0),(COLUMN()-1)/2), 1),"")</f>
        <v/>
      </c>
      <c r="AD100" s="137"/>
      <c r="AE100" s="58" t="str" cm="1">
        <f>IFERROR(INDEX(List_Predictors, INDEX(Array_PredictorsLookup,MATCH($A100,List_PredictorFacilities,0),(COLUMN()-1)/2), 1),"")</f>
        <v/>
      </c>
      <c r="AF100" s="137"/>
    </row>
    <row r="101" spans="1:32" x14ac:dyDescent="0.3">
      <c r="A101" s="126"/>
      <c r="B101" s="141"/>
      <c r="C101" s="58" t="str" cm="1">
        <f>IFERROR(INDEX(List_Predictors, INDEX(Array_PredictorsLookup,MATCH($A101,List_PredictorFacilities,0),(COLUMN()-1)/2), 1),"")</f>
        <v/>
      </c>
      <c r="D101" s="137"/>
      <c r="E101" s="58" t="str" cm="1">
        <f>IFERROR(INDEX(List_Predictors, INDEX(Array_PredictorsLookup,MATCH($A101,List_PredictorFacilities,0),(COLUMN()-1)/2), 1),"")</f>
        <v/>
      </c>
      <c r="F101" s="137"/>
      <c r="G101" s="58" t="str" cm="1">
        <f>IFERROR(INDEX(List_Predictors, INDEX(Array_PredictorsLookup,MATCH($A101,List_PredictorFacilities,0),(COLUMN()-1)/2), 1),"")</f>
        <v/>
      </c>
      <c r="H101" s="137"/>
      <c r="I101" s="58" t="str" cm="1">
        <f>IFERROR(INDEX(List_Predictors, INDEX(Array_PredictorsLookup,MATCH($A101,List_PredictorFacilities,0),(COLUMN()-1)/2), 1),"")</f>
        <v/>
      </c>
      <c r="J101" s="137"/>
      <c r="K101" s="58" t="str" cm="1">
        <f>IFERROR(INDEX(List_Predictors, INDEX(Array_PredictorsLookup,MATCH($A101,List_PredictorFacilities,0),(COLUMN()-1)/2), 1),"")</f>
        <v/>
      </c>
      <c r="L101" s="137"/>
      <c r="M101" s="58" t="str" cm="1">
        <f>IFERROR(INDEX(List_Predictors, INDEX(Array_PredictorsLookup,MATCH($A101,List_PredictorFacilities,0),(COLUMN()-1)/2), 1),"")</f>
        <v/>
      </c>
      <c r="N101" s="137"/>
      <c r="O101" s="58" t="str" cm="1">
        <f>IFERROR(INDEX(List_Predictors, INDEX(Array_PredictorsLookup,MATCH($A101,List_PredictorFacilities,0),(COLUMN()-1)/2), 1),"")</f>
        <v/>
      </c>
      <c r="P101" s="137"/>
      <c r="Q101" s="58" t="str" cm="1">
        <f>IFERROR(INDEX(List_Predictors, INDEX(Array_PredictorsLookup,MATCH($A101,List_PredictorFacilities,0),(COLUMN()-1)/2), 1),"")</f>
        <v/>
      </c>
      <c r="R101" s="137"/>
      <c r="S101" s="58" t="str" cm="1">
        <f>IFERROR(INDEX(List_Predictors, INDEX(Array_PredictorsLookup,MATCH($A101,List_PredictorFacilities,0),(COLUMN()-1)/2), 1),"")</f>
        <v/>
      </c>
      <c r="T101" s="137"/>
      <c r="U101" s="58" t="str" cm="1">
        <f>IFERROR(INDEX(List_Predictors, INDEX(Array_PredictorsLookup,MATCH($A101,List_PredictorFacilities,0),(COLUMN()-1)/2), 1),"")</f>
        <v/>
      </c>
      <c r="V101" s="137"/>
      <c r="W101" s="58" t="str" cm="1">
        <f>IFERROR(INDEX(List_Predictors, INDEX(Array_PredictorsLookup,MATCH($A101,List_PredictorFacilities,0),(COLUMN()-1)/2), 1),"")</f>
        <v/>
      </c>
      <c r="X101" s="137"/>
      <c r="Y101" s="58" t="str" cm="1">
        <f>IFERROR(INDEX(List_Predictors, INDEX(Array_PredictorsLookup,MATCH($A101,List_PredictorFacilities,0),(COLUMN()-1)/2), 1),"")</f>
        <v/>
      </c>
      <c r="Z101" s="137"/>
      <c r="AA101" s="58" t="str" cm="1">
        <f>IFERROR(INDEX(List_Predictors, INDEX(Array_PredictorsLookup,MATCH($A101,List_PredictorFacilities,0),(COLUMN()-1)/2), 1),"")</f>
        <v/>
      </c>
      <c r="AB101" s="137"/>
      <c r="AC101" s="58" t="str" cm="1">
        <f>IFERROR(INDEX(List_Predictors, INDEX(Array_PredictorsLookup,MATCH($A101,List_PredictorFacilities,0),(COLUMN()-1)/2), 1),"")</f>
        <v/>
      </c>
      <c r="AD101" s="137"/>
      <c r="AE101" s="58" t="str" cm="1">
        <f>IFERROR(INDEX(List_Predictors, INDEX(Array_PredictorsLookup,MATCH($A101,List_PredictorFacilities,0),(COLUMN()-1)/2), 1),"")</f>
        <v/>
      </c>
      <c r="AF101" s="137"/>
    </row>
    <row r="102" spans="1:32" x14ac:dyDescent="0.3">
      <c r="A102" s="126"/>
      <c r="B102" s="141"/>
      <c r="C102" s="58" t="str" cm="1">
        <f>IFERROR(INDEX(List_Predictors, INDEX(Array_PredictorsLookup,MATCH($A102,List_PredictorFacilities,0),(COLUMN()-1)/2), 1),"")</f>
        <v/>
      </c>
      <c r="D102" s="137"/>
      <c r="E102" s="58" t="str" cm="1">
        <f>IFERROR(INDEX(List_Predictors, INDEX(Array_PredictorsLookup,MATCH($A102,List_PredictorFacilities,0),(COLUMN()-1)/2), 1),"")</f>
        <v/>
      </c>
      <c r="F102" s="137"/>
      <c r="G102" s="58" t="str" cm="1">
        <f>IFERROR(INDEX(List_Predictors, INDEX(Array_PredictorsLookup,MATCH($A102,List_PredictorFacilities,0),(COLUMN()-1)/2), 1),"")</f>
        <v/>
      </c>
      <c r="H102" s="137"/>
      <c r="I102" s="58" t="str" cm="1">
        <f>IFERROR(INDEX(List_Predictors, INDEX(Array_PredictorsLookup,MATCH($A102,List_PredictorFacilities,0),(COLUMN()-1)/2), 1),"")</f>
        <v/>
      </c>
      <c r="J102" s="137"/>
      <c r="K102" s="58" t="str" cm="1">
        <f>IFERROR(INDEX(List_Predictors, INDEX(Array_PredictorsLookup,MATCH($A102,List_PredictorFacilities,0),(COLUMN()-1)/2), 1),"")</f>
        <v/>
      </c>
      <c r="L102" s="137"/>
      <c r="M102" s="58" t="str" cm="1">
        <f>IFERROR(INDEX(List_Predictors, INDEX(Array_PredictorsLookup,MATCH($A102,List_PredictorFacilities,0),(COLUMN()-1)/2), 1),"")</f>
        <v/>
      </c>
      <c r="N102" s="137"/>
      <c r="O102" s="58" t="str" cm="1">
        <f>IFERROR(INDEX(List_Predictors, INDEX(Array_PredictorsLookup,MATCH($A102,List_PredictorFacilities,0),(COLUMN()-1)/2), 1),"")</f>
        <v/>
      </c>
      <c r="P102" s="137"/>
      <c r="Q102" s="58" t="str" cm="1">
        <f>IFERROR(INDEX(List_Predictors, INDEX(Array_PredictorsLookup,MATCH($A102,List_PredictorFacilities,0),(COLUMN()-1)/2), 1),"")</f>
        <v/>
      </c>
      <c r="R102" s="137"/>
      <c r="S102" s="58" t="str" cm="1">
        <f>IFERROR(INDEX(List_Predictors, INDEX(Array_PredictorsLookup,MATCH($A102,List_PredictorFacilities,0),(COLUMN()-1)/2), 1),"")</f>
        <v/>
      </c>
      <c r="T102" s="137"/>
      <c r="U102" s="58" t="str" cm="1">
        <f>IFERROR(INDEX(List_Predictors, INDEX(Array_PredictorsLookup,MATCH($A102,List_PredictorFacilities,0),(COLUMN()-1)/2), 1),"")</f>
        <v/>
      </c>
      <c r="V102" s="137"/>
      <c r="W102" s="58" t="str" cm="1">
        <f>IFERROR(INDEX(List_Predictors, INDEX(Array_PredictorsLookup,MATCH($A102,List_PredictorFacilities,0),(COLUMN()-1)/2), 1),"")</f>
        <v/>
      </c>
      <c r="X102" s="137"/>
      <c r="Y102" s="58" t="str" cm="1">
        <f>IFERROR(INDEX(List_Predictors, INDEX(Array_PredictorsLookup,MATCH($A102,List_PredictorFacilities,0),(COLUMN()-1)/2), 1),"")</f>
        <v/>
      </c>
      <c r="Z102" s="137"/>
      <c r="AA102" s="58" t="str" cm="1">
        <f>IFERROR(INDEX(List_Predictors, INDEX(Array_PredictorsLookup,MATCH($A102,List_PredictorFacilities,0),(COLUMN()-1)/2), 1),"")</f>
        <v/>
      </c>
      <c r="AB102" s="137"/>
      <c r="AC102" s="58" t="str" cm="1">
        <f>IFERROR(INDEX(List_Predictors, INDEX(Array_PredictorsLookup,MATCH($A102,List_PredictorFacilities,0),(COLUMN()-1)/2), 1),"")</f>
        <v/>
      </c>
      <c r="AD102" s="137"/>
      <c r="AE102" s="58" t="str" cm="1">
        <f>IFERROR(INDEX(List_Predictors, INDEX(Array_PredictorsLookup,MATCH($A102,List_PredictorFacilities,0),(COLUMN()-1)/2), 1),"")</f>
        <v/>
      </c>
      <c r="AF102" s="137"/>
    </row>
    <row r="103" spans="1:32" x14ac:dyDescent="0.3">
      <c r="A103" s="126"/>
      <c r="B103" s="141"/>
      <c r="C103" s="58" t="str" cm="1">
        <f>IFERROR(INDEX(List_Predictors, INDEX(Array_PredictorsLookup,MATCH($A103,List_PredictorFacilities,0),(COLUMN()-1)/2), 1),"")</f>
        <v/>
      </c>
      <c r="D103" s="137"/>
      <c r="E103" s="58" t="str" cm="1">
        <f>IFERROR(INDEX(List_Predictors, INDEX(Array_PredictorsLookup,MATCH($A103,List_PredictorFacilities,0),(COLUMN()-1)/2), 1),"")</f>
        <v/>
      </c>
      <c r="F103" s="137"/>
      <c r="G103" s="58" t="str" cm="1">
        <f>IFERROR(INDEX(List_Predictors, INDEX(Array_PredictorsLookup,MATCH($A103,List_PredictorFacilities,0),(COLUMN()-1)/2), 1),"")</f>
        <v/>
      </c>
      <c r="H103" s="137"/>
      <c r="I103" s="58" t="str" cm="1">
        <f>IFERROR(INDEX(List_Predictors, INDEX(Array_PredictorsLookup,MATCH($A103,List_PredictorFacilities,0),(COLUMN()-1)/2), 1),"")</f>
        <v/>
      </c>
      <c r="J103" s="137"/>
      <c r="K103" s="58" t="str" cm="1">
        <f>IFERROR(INDEX(List_Predictors, INDEX(Array_PredictorsLookup,MATCH($A103,List_PredictorFacilities,0),(COLUMN()-1)/2), 1),"")</f>
        <v/>
      </c>
      <c r="L103" s="137"/>
      <c r="M103" s="58" t="str" cm="1">
        <f>IFERROR(INDEX(List_Predictors, INDEX(Array_PredictorsLookup,MATCH($A103,List_PredictorFacilities,0),(COLUMN()-1)/2), 1),"")</f>
        <v/>
      </c>
      <c r="N103" s="137"/>
      <c r="O103" s="58" t="str" cm="1">
        <f>IFERROR(INDEX(List_Predictors, INDEX(Array_PredictorsLookup,MATCH($A103,List_PredictorFacilities,0),(COLUMN()-1)/2), 1),"")</f>
        <v/>
      </c>
      <c r="P103" s="137"/>
      <c r="Q103" s="58" t="str" cm="1">
        <f>IFERROR(INDEX(List_Predictors, INDEX(Array_PredictorsLookup,MATCH($A103,List_PredictorFacilities,0),(COLUMN()-1)/2), 1),"")</f>
        <v/>
      </c>
      <c r="R103" s="137"/>
      <c r="S103" s="58" t="str" cm="1">
        <f>IFERROR(INDEX(List_Predictors, INDEX(Array_PredictorsLookup,MATCH($A103,List_PredictorFacilities,0),(COLUMN()-1)/2), 1),"")</f>
        <v/>
      </c>
      <c r="T103" s="137"/>
      <c r="U103" s="58" t="str" cm="1">
        <f>IFERROR(INDEX(List_Predictors, INDEX(Array_PredictorsLookup,MATCH($A103,List_PredictorFacilities,0),(COLUMN()-1)/2), 1),"")</f>
        <v/>
      </c>
      <c r="V103" s="137"/>
      <c r="W103" s="58" t="str" cm="1">
        <f>IFERROR(INDEX(List_Predictors, INDEX(Array_PredictorsLookup,MATCH($A103,List_PredictorFacilities,0),(COLUMN()-1)/2), 1),"")</f>
        <v/>
      </c>
      <c r="X103" s="137"/>
      <c r="Y103" s="58" t="str" cm="1">
        <f>IFERROR(INDEX(List_Predictors, INDEX(Array_PredictorsLookup,MATCH($A103,List_PredictorFacilities,0),(COLUMN()-1)/2), 1),"")</f>
        <v/>
      </c>
      <c r="Z103" s="137"/>
      <c r="AA103" s="58" t="str" cm="1">
        <f>IFERROR(INDEX(List_Predictors, INDEX(Array_PredictorsLookup,MATCH($A103,List_PredictorFacilities,0),(COLUMN()-1)/2), 1),"")</f>
        <v/>
      </c>
      <c r="AB103" s="137"/>
      <c r="AC103" s="58" t="str" cm="1">
        <f>IFERROR(INDEX(List_Predictors, INDEX(Array_PredictorsLookup,MATCH($A103,List_PredictorFacilities,0),(COLUMN()-1)/2), 1),"")</f>
        <v/>
      </c>
      <c r="AD103" s="137"/>
      <c r="AE103" s="58" t="str" cm="1">
        <f>IFERROR(INDEX(List_Predictors, INDEX(Array_PredictorsLookup,MATCH($A103,List_PredictorFacilities,0),(COLUMN()-1)/2), 1),"")</f>
        <v/>
      </c>
      <c r="AF103" s="137"/>
    </row>
    <row r="104" spans="1:32" x14ac:dyDescent="0.3">
      <c r="A104" s="126"/>
      <c r="B104" s="141"/>
      <c r="C104" s="58" t="str" cm="1">
        <f>IFERROR(INDEX(List_Predictors, INDEX(Array_PredictorsLookup,MATCH($A104,List_PredictorFacilities,0),(COLUMN()-1)/2), 1),"")</f>
        <v/>
      </c>
      <c r="D104" s="137"/>
      <c r="E104" s="58" t="str" cm="1">
        <f>IFERROR(INDEX(List_Predictors, INDEX(Array_PredictorsLookup,MATCH($A104,List_PredictorFacilities,0),(COLUMN()-1)/2), 1),"")</f>
        <v/>
      </c>
      <c r="F104" s="137"/>
      <c r="G104" s="58" t="str" cm="1">
        <f>IFERROR(INDEX(List_Predictors, INDEX(Array_PredictorsLookup,MATCH($A104,List_PredictorFacilities,0),(COLUMN()-1)/2), 1),"")</f>
        <v/>
      </c>
      <c r="H104" s="137"/>
      <c r="I104" s="58" t="str" cm="1">
        <f>IFERROR(INDEX(List_Predictors, INDEX(Array_PredictorsLookup,MATCH($A104,List_PredictorFacilities,0),(COLUMN()-1)/2), 1),"")</f>
        <v/>
      </c>
      <c r="J104" s="137"/>
      <c r="K104" s="58" t="str" cm="1">
        <f>IFERROR(INDEX(List_Predictors, INDEX(Array_PredictorsLookup,MATCH($A104,List_PredictorFacilities,0),(COLUMN()-1)/2), 1),"")</f>
        <v/>
      </c>
      <c r="L104" s="137"/>
      <c r="M104" s="58" t="str" cm="1">
        <f>IFERROR(INDEX(List_Predictors, INDEX(Array_PredictorsLookup,MATCH($A104,List_PredictorFacilities,0),(COLUMN()-1)/2), 1),"")</f>
        <v/>
      </c>
      <c r="N104" s="137"/>
      <c r="O104" s="58" t="str" cm="1">
        <f>IFERROR(INDEX(List_Predictors, INDEX(Array_PredictorsLookup,MATCH($A104,List_PredictorFacilities,0),(COLUMN()-1)/2), 1),"")</f>
        <v/>
      </c>
      <c r="P104" s="137"/>
      <c r="Q104" s="58" t="str" cm="1">
        <f>IFERROR(INDEX(List_Predictors, INDEX(Array_PredictorsLookup,MATCH($A104,List_PredictorFacilities,0),(COLUMN()-1)/2), 1),"")</f>
        <v/>
      </c>
      <c r="R104" s="137"/>
      <c r="S104" s="58" t="str" cm="1">
        <f>IFERROR(INDEX(List_Predictors, INDEX(Array_PredictorsLookup,MATCH($A104,List_PredictorFacilities,0),(COLUMN()-1)/2), 1),"")</f>
        <v/>
      </c>
      <c r="T104" s="137"/>
      <c r="U104" s="58" t="str" cm="1">
        <f>IFERROR(INDEX(List_Predictors, INDEX(Array_PredictorsLookup,MATCH($A104,List_PredictorFacilities,0),(COLUMN()-1)/2), 1),"")</f>
        <v/>
      </c>
      <c r="V104" s="137"/>
      <c r="W104" s="58" t="str" cm="1">
        <f>IFERROR(INDEX(List_Predictors, INDEX(Array_PredictorsLookup,MATCH($A104,List_PredictorFacilities,0),(COLUMN()-1)/2), 1),"")</f>
        <v/>
      </c>
      <c r="X104" s="137"/>
      <c r="Y104" s="58" t="str" cm="1">
        <f>IFERROR(INDEX(List_Predictors, INDEX(Array_PredictorsLookup,MATCH($A104,List_PredictorFacilities,0),(COLUMN()-1)/2), 1),"")</f>
        <v/>
      </c>
      <c r="Z104" s="137"/>
      <c r="AA104" s="58" t="str" cm="1">
        <f>IFERROR(INDEX(List_Predictors, INDEX(Array_PredictorsLookup,MATCH($A104,List_PredictorFacilities,0),(COLUMN()-1)/2), 1),"")</f>
        <v/>
      </c>
      <c r="AB104" s="137"/>
      <c r="AC104" s="58" t="str" cm="1">
        <f>IFERROR(INDEX(List_Predictors, INDEX(Array_PredictorsLookup,MATCH($A104,List_PredictorFacilities,0),(COLUMN()-1)/2), 1),"")</f>
        <v/>
      </c>
      <c r="AD104" s="137"/>
      <c r="AE104" s="58" t="str" cm="1">
        <f>IFERROR(INDEX(List_Predictors, INDEX(Array_PredictorsLookup,MATCH($A104,List_PredictorFacilities,0),(COLUMN()-1)/2), 1),"")</f>
        <v/>
      </c>
      <c r="AF104" s="137"/>
    </row>
    <row r="105" spans="1:32" x14ac:dyDescent="0.3">
      <c r="A105" s="126"/>
      <c r="B105" s="141"/>
      <c r="C105" s="58" t="str" cm="1">
        <f>IFERROR(INDEX(List_Predictors, INDEX(Array_PredictorsLookup,MATCH($A105,List_PredictorFacilities,0),(COLUMN()-1)/2), 1),"")</f>
        <v/>
      </c>
      <c r="D105" s="137"/>
      <c r="E105" s="58" t="str" cm="1">
        <f>IFERROR(INDEX(List_Predictors, INDEX(Array_PredictorsLookup,MATCH($A105,List_PredictorFacilities,0),(COLUMN()-1)/2), 1),"")</f>
        <v/>
      </c>
      <c r="F105" s="137"/>
      <c r="G105" s="58" t="str" cm="1">
        <f>IFERROR(INDEX(List_Predictors, INDEX(Array_PredictorsLookup,MATCH($A105,List_PredictorFacilities,0),(COLUMN()-1)/2), 1),"")</f>
        <v/>
      </c>
      <c r="H105" s="137"/>
      <c r="I105" s="58" t="str" cm="1">
        <f>IFERROR(INDEX(List_Predictors, INDEX(Array_PredictorsLookup,MATCH($A105,List_PredictorFacilities,0),(COLUMN()-1)/2), 1),"")</f>
        <v/>
      </c>
      <c r="J105" s="137"/>
      <c r="K105" s="58" t="str" cm="1">
        <f>IFERROR(INDEX(List_Predictors, INDEX(Array_PredictorsLookup,MATCH($A105,List_PredictorFacilities,0),(COLUMN()-1)/2), 1),"")</f>
        <v/>
      </c>
      <c r="L105" s="137"/>
      <c r="M105" s="58" t="str" cm="1">
        <f>IFERROR(INDEX(List_Predictors, INDEX(Array_PredictorsLookup,MATCH($A105,List_PredictorFacilities,0),(COLUMN()-1)/2), 1),"")</f>
        <v/>
      </c>
      <c r="N105" s="137"/>
      <c r="O105" s="58" t="str" cm="1">
        <f>IFERROR(INDEX(List_Predictors, INDEX(Array_PredictorsLookup,MATCH($A105,List_PredictorFacilities,0),(COLUMN()-1)/2), 1),"")</f>
        <v/>
      </c>
      <c r="P105" s="137"/>
      <c r="Q105" s="58" t="str" cm="1">
        <f>IFERROR(INDEX(List_Predictors, INDEX(Array_PredictorsLookup,MATCH($A105,List_PredictorFacilities,0),(COLUMN()-1)/2), 1),"")</f>
        <v/>
      </c>
      <c r="R105" s="137"/>
      <c r="S105" s="58" t="str" cm="1">
        <f>IFERROR(INDEX(List_Predictors, INDEX(Array_PredictorsLookup,MATCH($A105,List_PredictorFacilities,0),(COLUMN()-1)/2), 1),"")</f>
        <v/>
      </c>
      <c r="T105" s="137"/>
      <c r="U105" s="58" t="str" cm="1">
        <f>IFERROR(INDEX(List_Predictors, INDEX(Array_PredictorsLookup,MATCH($A105,List_PredictorFacilities,0),(COLUMN()-1)/2), 1),"")</f>
        <v/>
      </c>
      <c r="V105" s="137"/>
      <c r="W105" s="58" t="str" cm="1">
        <f>IFERROR(INDEX(List_Predictors, INDEX(Array_PredictorsLookup,MATCH($A105,List_PredictorFacilities,0),(COLUMN()-1)/2), 1),"")</f>
        <v/>
      </c>
      <c r="X105" s="137"/>
      <c r="Y105" s="58" t="str" cm="1">
        <f>IFERROR(INDEX(List_Predictors, INDEX(Array_PredictorsLookup,MATCH($A105,List_PredictorFacilities,0),(COLUMN()-1)/2), 1),"")</f>
        <v/>
      </c>
      <c r="Z105" s="137"/>
      <c r="AA105" s="58" t="str" cm="1">
        <f>IFERROR(INDEX(List_Predictors, INDEX(Array_PredictorsLookup,MATCH($A105,List_PredictorFacilities,0),(COLUMN()-1)/2), 1),"")</f>
        <v/>
      </c>
      <c r="AB105" s="137"/>
      <c r="AC105" s="58" t="str" cm="1">
        <f>IFERROR(INDEX(List_Predictors, INDEX(Array_PredictorsLookup,MATCH($A105,List_PredictorFacilities,0),(COLUMN()-1)/2), 1),"")</f>
        <v/>
      </c>
      <c r="AD105" s="137"/>
      <c r="AE105" s="58" t="str" cm="1">
        <f>IFERROR(INDEX(List_Predictors, INDEX(Array_PredictorsLookup,MATCH($A105,List_PredictorFacilities,0),(COLUMN()-1)/2), 1),"")</f>
        <v/>
      </c>
      <c r="AF105" s="137"/>
    </row>
    <row r="106" spans="1:32" x14ac:dyDescent="0.3">
      <c r="A106" s="126"/>
      <c r="B106" s="141"/>
      <c r="C106" s="58" t="str" cm="1">
        <f>IFERROR(INDEX(List_Predictors, INDEX(Array_PredictorsLookup,MATCH($A106,List_PredictorFacilities,0),(COLUMN()-1)/2), 1),"")</f>
        <v/>
      </c>
      <c r="D106" s="137"/>
      <c r="E106" s="58" t="str" cm="1">
        <f>IFERROR(INDEX(List_Predictors, INDEX(Array_PredictorsLookup,MATCH($A106,List_PredictorFacilities,0),(COLUMN()-1)/2), 1),"")</f>
        <v/>
      </c>
      <c r="F106" s="137"/>
      <c r="G106" s="58" t="str" cm="1">
        <f>IFERROR(INDEX(List_Predictors, INDEX(Array_PredictorsLookup,MATCH($A106,List_PredictorFacilities,0),(COLUMN()-1)/2), 1),"")</f>
        <v/>
      </c>
      <c r="H106" s="137"/>
      <c r="I106" s="58" t="str" cm="1">
        <f>IFERROR(INDEX(List_Predictors, INDEX(Array_PredictorsLookup,MATCH($A106,List_PredictorFacilities,0),(COLUMN()-1)/2), 1),"")</f>
        <v/>
      </c>
      <c r="J106" s="137"/>
      <c r="K106" s="58" t="str" cm="1">
        <f>IFERROR(INDEX(List_Predictors, INDEX(Array_PredictorsLookup,MATCH($A106,List_PredictorFacilities,0),(COLUMN()-1)/2), 1),"")</f>
        <v/>
      </c>
      <c r="L106" s="137"/>
      <c r="M106" s="58" t="str" cm="1">
        <f>IFERROR(INDEX(List_Predictors, INDEX(Array_PredictorsLookup,MATCH($A106,List_PredictorFacilities,0),(COLUMN()-1)/2), 1),"")</f>
        <v/>
      </c>
      <c r="N106" s="137"/>
      <c r="O106" s="58" t="str" cm="1">
        <f>IFERROR(INDEX(List_Predictors, INDEX(Array_PredictorsLookup,MATCH($A106,List_PredictorFacilities,0),(COLUMN()-1)/2), 1),"")</f>
        <v/>
      </c>
      <c r="P106" s="137"/>
      <c r="Q106" s="58" t="str" cm="1">
        <f>IFERROR(INDEX(List_Predictors, INDEX(Array_PredictorsLookup,MATCH($A106,List_PredictorFacilities,0),(COLUMN()-1)/2), 1),"")</f>
        <v/>
      </c>
      <c r="R106" s="137"/>
      <c r="S106" s="58" t="str" cm="1">
        <f>IFERROR(INDEX(List_Predictors, INDEX(Array_PredictorsLookup,MATCH($A106,List_PredictorFacilities,0),(COLUMN()-1)/2), 1),"")</f>
        <v/>
      </c>
      <c r="T106" s="137"/>
      <c r="U106" s="58" t="str" cm="1">
        <f>IFERROR(INDEX(List_Predictors, INDEX(Array_PredictorsLookup,MATCH($A106,List_PredictorFacilities,0),(COLUMN()-1)/2), 1),"")</f>
        <v/>
      </c>
      <c r="V106" s="137"/>
      <c r="W106" s="58" t="str" cm="1">
        <f>IFERROR(INDEX(List_Predictors, INDEX(Array_PredictorsLookup,MATCH($A106,List_PredictorFacilities,0),(COLUMN()-1)/2), 1),"")</f>
        <v/>
      </c>
      <c r="X106" s="137"/>
      <c r="Y106" s="58" t="str" cm="1">
        <f>IFERROR(INDEX(List_Predictors, INDEX(Array_PredictorsLookup,MATCH($A106,List_PredictorFacilities,0),(COLUMN()-1)/2), 1),"")</f>
        <v/>
      </c>
      <c r="Z106" s="137"/>
      <c r="AA106" s="58" t="str" cm="1">
        <f>IFERROR(INDEX(List_Predictors, INDEX(Array_PredictorsLookup,MATCH($A106,List_PredictorFacilities,0),(COLUMN()-1)/2), 1),"")</f>
        <v/>
      </c>
      <c r="AB106" s="137"/>
      <c r="AC106" s="58" t="str" cm="1">
        <f>IFERROR(INDEX(List_Predictors, INDEX(Array_PredictorsLookup,MATCH($A106,List_PredictorFacilities,0),(COLUMN()-1)/2), 1),"")</f>
        <v/>
      </c>
      <c r="AD106" s="137"/>
      <c r="AE106" s="58" t="str" cm="1">
        <f>IFERROR(INDEX(List_Predictors, INDEX(Array_PredictorsLookup,MATCH($A106,List_PredictorFacilities,0),(COLUMN()-1)/2), 1),"")</f>
        <v/>
      </c>
      <c r="AF106" s="137"/>
    </row>
    <row r="107" spans="1:32" x14ac:dyDescent="0.3">
      <c r="A107" s="126"/>
      <c r="B107" s="141"/>
      <c r="C107" s="58" t="str" cm="1">
        <f>IFERROR(INDEX(List_Predictors, INDEX(Array_PredictorsLookup,MATCH($A107,List_PredictorFacilities,0),(COLUMN()-1)/2), 1),"")</f>
        <v/>
      </c>
      <c r="D107" s="137"/>
      <c r="E107" s="58" t="str" cm="1">
        <f>IFERROR(INDEX(List_Predictors, INDEX(Array_PredictorsLookup,MATCH($A107,List_PredictorFacilities,0),(COLUMN()-1)/2), 1),"")</f>
        <v/>
      </c>
      <c r="F107" s="137"/>
      <c r="G107" s="58" t="str" cm="1">
        <f>IFERROR(INDEX(List_Predictors, INDEX(Array_PredictorsLookup,MATCH($A107,List_PredictorFacilities,0),(COLUMN()-1)/2), 1),"")</f>
        <v/>
      </c>
      <c r="H107" s="137"/>
      <c r="I107" s="58" t="str" cm="1">
        <f>IFERROR(INDEX(List_Predictors, INDEX(Array_PredictorsLookup,MATCH($A107,List_PredictorFacilities,0),(COLUMN()-1)/2), 1),"")</f>
        <v/>
      </c>
      <c r="J107" s="137"/>
      <c r="K107" s="58" t="str" cm="1">
        <f>IFERROR(INDEX(List_Predictors, INDEX(Array_PredictorsLookup,MATCH($A107,List_PredictorFacilities,0),(COLUMN()-1)/2), 1),"")</f>
        <v/>
      </c>
      <c r="L107" s="137"/>
      <c r="M107" s="58" t="str" cm="1">
        <f>IFERROR(INDEX(List_Predictors, INDEX(Array_PredictorsLookup,MATCH($A107,List_PredictorFacilities,0),(COLUMN()-1)/2), 1),"")</f>
        <v/>
      </c>
      <c r="N107" s="137"/>
      <c r="O107" s="58" t="str" cm="1">
        <f>IFERROR(INDEX(List_Predictors, INDEX(Array_PredictorsLookup,MATCH($A107,List_PredictorFacilities,0),(COLUMN()-1)/2), 1),"")</f>
        <v/>
      </c>
      <c r="P107" s="137"/>
      <c r="Q107" s="58" t="str" cm="1">
        <f>IFERROR(INDEX(List_Predictors, INDEX(Array_PredictorsLookup,MATCH($A107,List_PredictorFacilities,0),(COLUMN()-1)/2), 1),"")</f>
        <v/>
      </c>
      <c r="R107" s="137"/>
      <c r="S107" s="58" t="str" cm="1">
        <f>IFERROR(INDEX(List_Predictors, INDEX(Array_PredictorsLookup,MATCH($A107,List_PredictorFacilities,0),(COLUMN()-1)/2), 1),"")</f>
        <v/>
      </c>
      <c r="T107" s="137"/>
      <c r="U107" s="58" t="str" cm="1">
        <f>IFERROR(INDEX(List_Predictors, INDEX(Array_PredictorsLookup,MATCH($A107,List_PredictorFacilities,0),(COLUMN()-1)/2), 1),"")</f>
        <v/>
      </c>
      <c r="V107" s="137"/>
      <c r="W107" s="58" t="str" cm="1">
        <f>IFERROR(INDEX(List_Predictors, INDEX(Array_PredictorsLookup,MATCH($A107,List_PredictorFacilities,0),(COLUMN()-1)/2), 1),"")</f>
        <v/>
      </c>
      <c r="X107" s="137"/>
      <c r="Y107" s="58" t="str" cm="1">
        <f>IFERROR(INDEX(List_Predictors, INDEX(Array_PredictorsLookup,MATCH($A107,List_PredictorFacilities,0),(COLUMN()-1)/2), 1),"")</f>
        <v/>
      </c>
      <c r="Z107" s="137"/>
      <c r="AA107" s="58" t="str" cm="1">
        <f>IFERROR(INDEX(List_Predictors, INDEX(Array_PredictorsLookup,MATCH($A107,List_PredictorFacilities,0),(COLUMN()-1)/2), 1),"")</f>
        <v/>
      </c>
      <c r="AB107" s="137"/>
      <c r="AC107" s="58" t="str" cm="1">
        <f>IFERROR(INDEX(List_Predictors, INDEX(Array_PredictorsLookup,MATCH($A107,List_PredictorFacilities,0),(COLUMN()-1)/2), 1),"")</f>
        <v/>
      </c>
      <c r="AD107" s="137"/>
      <c r="AE107" s="58" t="str" cm="1">
        <f>IFERROR(INDEX(List_Predictors, INDEX(Array_PredictorsLookup,MATCH($A107,List_PredictorFacilities,0),(COLUMN()-1)/2), 1),"")</f>
        <v/>
      </c>
      <c r="AF107" s="137"/>
    </row>
    <row r="108" spans="1:32" x14ac:dyDescent="0.3">
      <c r="A108" s="126"/>
      <c r="B108" s="141"/>
      <c r="C108" s="58" t="str" cm="1">
        <f>IFERROR(INDEX(List_Predictors, INDEX(Array_PredictorsLookup,MATCH($A108,List_PredictorFacilities,0),(COLUMN()-1)/2), 1),"")</f>
        <v/>
      </c>
      <c r="D108" s="137"/>
      <c r="E108" s="58" t="str" cm="1">
        <f>IFERROR(INDEX(List_Predictors, INDEX(Array_PredictorsLookup,MATCH($A108,List_PredictorFacilities,0),(COLUMN()-1)/2), 1),"")</f>
        <v/>
      </c>
      <c r="F108" s="137"/>
      <c r="G108" s="58" t="str" cm="1">
        <f>IFERROR(INDEX(List_Predictors, INDEX(Array_PredictorsLookup,MATCH($A108,List_PredictorFacilities,0),(COLUMN()-1)/2), 1),"")</f>
        <v/>
      </c>
      <c r="H108" s="137"/>
      <c r="I108" s="58" t="str" cm="1">
        <f>IFERROR(INDEX(List_Predictors, INDEX(Array_PredictorsLookup,MATCH($A108,List_PredictorFacilities,0),(COLUMN()-1)/2), 1),"")</f>
        <v/>
      </c>
      <c r="J108" s="137"/>
      <c r="K108" s="58" t="str" cm="1">
        <f>IFERROR(INDEX(List_Predictors, INDEX(Array_PredictorsLookup,MATCH($A108,List_PredictorFacilities,0),(COLUMN()-1)/2), 1),"")</f>
        <v/>
      </c>
      <c r="L108" s="137"/>
      <c r="M108" s="58" t="str" cm="1">
        <f>IFERROR(INDEX(List_Predictors, INDEX(Array_PredictorsLookup,MATCH($A108,List_PredictorFacilities,0),(COLUMN()-1)/2), 1),"")</f>
        <v/>
      </c>
      <c r="N108" s="137"/>
      <c r="O108" s="58" t="str" cm="1">
        <f>IFERROR(INDEX(List_Predictors, INDEX(Array_PredictorsLookup,MATCH($A108,List_PredictorFacilities,0),(COLUMN()-1)/2), 1),"")</f>
        <v/>
      </c>
      <c r="P108" s="137"/>
      <c r="Q108" s="58" t="str" cm="1">
        <f>IFERROR(INDEX(List_Predictors, INDEX(Array_PredictorsLookup,MATCH($A108,List_PredictorFacilities,0),(COLUMN()-1)/2), 1),"")</f>
        <v/>
      </c>
      <c r="R108" s="137"/>
      <c r="S108" s="58" t="str" cm="1">
        <f>IFERROR(INDEX(List_Predictors, INDEX(Array_PredictorsLookup,MATCH($A108,List_PredictorFacilities,0),(COLUMN()-1)/2), 1),"")</f>
        <v/>
      </c>
      <c r="T108" s="137"/>
      <c r="U108" s="58" t="str" cm="1">
        <f>IFERROR(INDEX(List_Predictors, INDEX(Array_PredictorsLookup,MATCH($A108,List_PredictorFacilities,0),(COLUMN()-1)/2), 1),"")</f>
        <v/>
      </c>
      <c r="V108" s="137"/>
      <c r="W108" s="58" t="str" cm="1">
        <f>IFERROR(INDEX(List_Predictors, INDEX(Array_PredictorsLookup,MATCH($A108,List_PredictorFacilities,0),(COLUMN()-1)/2), 1),"")</f>
        <v/>
      </c>
      <c r="X108" s="137"/>
      <c r="Y108" s="58" t="str" cm="1">
        <f>IFERROR(INDEX(List_Predictors, INDEX(Array_PredictorsLookup,MATCH($A108,List_PredictorFacilities,0),(COLUMN()-1)/2), 1),"")</f>
        <v/>
      </c>
      <c r="Z108" s="137"/>
      <c r="AA108" s="58" t="str" cm="1">
        <f>IFERROR(INDEX(List_Predictors, INDEX(Array_PredictorsLookup,MATCH($A108,List_PredictorFacilities,0),(COLUMN()-1)/2), 1),"")</f>
        <v/>
      </c>
      <c r="AB108" s="137"/>
      <c r="AC108" s="58" t="str" cm="1">
        <f>IFERROR(INDEX(List_Predictors, INDEX(Array_PredictorsLookup,MATCH($A108,List_PredictorFacilities,0),(COLUMN()-1)/2), 1),"")</f>
        <v/>
      </c>
      <c r="AD108" s="137"/>
      <c r="AE108" s="58" t="str" cm="1">
        <f>IFERROR(INDEX(List_Predictors, INDEX(Array_PredictorsLookup,MATCH($A108,List_PredictorFacilities,0),(COLUMN()-1)/2), 1),"")</f>
        <v/>
      </c>
      <c r="AF108" s="137"/>
    </row>
    <row r="109" spans="1:32" x14ac:dyDescent="0.3">
      <c r="A109" s="126"/>
      <c r="B109" s="141"/>
      <c r="C109" s="58" t="str" cm="1">
        <f>IFERROR(INDEX(List_Predictors, INDEX(Array_PredictorsLookup,MATCH($A109,List_PredictorFacilities,0),(COLUMN()-1)/2), 1),"")</f>
        <v/>
      </c>
      <c r="D109" s="137"/>
      <c r="E109" s="58" t="str" cm="1">
        <f>IFERROR(INDEX(List_Predictors, INDEX(Array_PredictorsLookup,MATCH($A109,List_PredictorFacilities,0),(COLUMN()-1)/2), 1),"")</f>
        <v/>
      </c>
      <c r="F109" s="137"/>
      <c r="G109" s="58" t="str" cm="1">
        <f>IFERROR(INDEX(List_Predictors, INDEX(Array_PredictorsLookup,MATCH($A109,List_PredictorFacilities,0),(COLUMN()-1)/2), 1),"")</f>
        <v/>
      </c>
      <c r="H109" s="137"/>
      <c r="I109" s="58" t="str" cm="1">
        <f>IFERROR(INDEX(List_Predictors, INDEX(Array_PredictorsLookup,MATCH($A109,List_PredictorFacilities,0),(COLUMN()-1)/2), 1),"")</f>
        <v/>
      </c>
      <c r="J109" s="137"/>
      <c r="K109" s="58" t="str" cm="1">
        <f>IFERROR(INDEX(List_Predictors, INDEX(Array_PredictorsLookup,MATCH($A109,List_PredictorFacilities,0),(COLUMN()-1)/2), 1),"")</f>
        <v/>
      </c>
      <c r="L109" s="137"/>
      <c r="M109" s="58" t="str" cm="1">
        <f>IFERROR(INDEX(List_Predictors, INDEX(Array_PredictorsLookup,MATCH($A109,List_PredictorFacilities,0),(COLUMN()-1)/2), 1),"")</f>
        <v/>
      </c>
      <c r="N109" s="137"/>
      <c r="O109" s="58" t="str" cm="1">
        <f>IFERROR(INDEX(List_Predictors, INDEX(Array_PredictorsLookup,MATCH($A109,List_PredictorFacilities,0),(COLUMN()-1)/2), 1),"")</f>
        <v/>
      </c>
      <c r="P109" s="137"/>
      <c r="Q109" s="58" t="str" cm="1">
        <f>IFERROR(INDEX(List_Predictors, INDEX(Array_PredictorsLookup,MATCH($A109,List_PredictorFacilities,0),(COLUMN()-1)/2), 1),"")</f>
        <v/>
      </c>
      <c r="R109" s="137"/>
      <c r="S109" s="58" t="str" cm="1">
        <f>IFERROR(INDEX(List_Predictors, INDEX(Array_PredictorsLookup,MATCH($A109,List_PredictorFacilities,0),(COLUMN()-1)/2), 1),"")</f>
        <v/>
      </c>
      <c r="T109" s="137"/>
      <c r="U109" s="58" t="str" cm="1">
        <f>IFERROR(INDEX(List_Predictors, INDEX(Array_PredictorsLookup,MATCH($A109,List_PredictorFacilities,0),(COLUMN()-1)/2), 1),"")</f>
        <v/>
      </c>
      <c r="V109" s="137"/>
      <c r="W109" s="58" t="str" cm="1">
        <f>IFERROR(INDEX(List_Predictors, INDEX(Array_PredictorsLookup,MATCH($A109,List_PredictorFacilities,0),(COLUMN()-1)/2), 1),"")</f>
        <v/>
      </c>
      <c r="X109" s="137"/>
      <c r="Y109" s="58" t="str" cm="1">
        <f>IFERROR(INDEX(List_Predictors, INDEX(Array_PredictorsLookup,MATCH($A109,List_PredictorFacilities,0),(COLUMN()-1)/2), 1),"")</f>
        <v/>
      </c>
      <c r="Z109" s="137"/>
      <c r="AA109" s="58" t="str" cm="1">
        <f>IFERROR(INDEX(List_Predictors, INDEX(Array_PredictorsLookup,MATCH($A109,List_PredictorFacilities,0),(COLUMN()-1)/2), 1),"")</f>
        <v/>
      </c>
      <c r="AB109" s="137"/>
      <c r="AC109" s="58" t="str" cm="1">
        <f>IFERROR(INDEX(List_Predictors, INDEX(Array_PredictorsLookup,MATCH($A109,List_PredictorFacilities,0),(COLUMN()-1)/2), 1),"")</f>
        <v/>
      </c>
      <c r="AD109" s="137"/>
      <c r="AE109" s="58" t="str" cm="1">
        <f>IFERROR(INDEX(List_Predictors, INDEX(Array_PredictorsLookup,MATCH($A109,List_PredictorFacilities,0),(COLUMN()-1)/2), 1),"")</f>
        <v/>
      </c>
      <c r="AF109" s="137"/>
    </row>
    <row r="110" spans="1:32" x14ac:dyDescent="0.3">
      <c r="A110" s="126"/>
      <c r="B110" s="141"/>
      <c r="C110" s="58" t="str" cm="1">
        <f>IFERROR(INDEX(List_Predictors, INDEX(Array_PredictorsLookup,MATCH($A110,List_PredictorFacilities,0),(COLUMN()-1)/2), 1),"")</f>
        <v/>
      </c>
      <c r="D110" s="137"/>
      <c r="E110" s="58" t="str" cm="1">
        <f>IFERROR(INDEX(List_Predictors, INDEX(Array_PredictorsLookup,MATCH($A110,List_PredictorFacilities,0),(COLUMN()-1)/2), 1),"")</f>
        <v/>
      </c>
      <c r="F110" s="137"/>
      <c r="G110" s="58" t="str" cm="1">
        <f>IFERROR(INDEX(List_Predictors, INDEX(Array_PredictorsLookup,MATCH($A110,List_PredictorFacilities,0),(COLUMN()-1)/2), 1),"")</f>
        <v/>
      </c>
      <c r="H110" s="137"/>
      <c r="I110" s="58" t="str" cm="1">
        <f>IFERROR(INDEX(List_Predictors, INDEX(Array_PredictorsLookup,MATCH($A110,List_PredictorFacilities,0),(COLUMN()-1)/2), 1),"")</f>
        <v/>
      </c>
      <c r="J110" s="137"/>
      <c r="K110" s="58" t="str" cm="1">
        <f>IFERROR(INDEX(List_Predictors, INDEX(Array_PredictorsLookup,MATCH($A110,List_PredictorFacilities,0),(COLUMN()-1)/2), 1),"")</f>
        <v/>
      </c>
      <c r="L110" s="137"/>
      <c r="M110" s="58" t="str" cm="1">
        <f>IFERROR(INDEX(List_Predictors, INDEX(Array_PredictorsLookup,MATCH($A110,List_PredictorFacilities,0),(COLUMN()-1)/2), 1),"")</f>
        <v/>
      </c>
      <c r="N110" s="137"/>
      <c r="O110" s="58" t="str" cm="1">
        <f>IFERROR(INDEX(List_Predictors, INDEX(Array_PredictorsLookup,MATCH($A110,List_PredictorFacilities,0),(COLUMN()-1)/2), 1),"")</f>
        <v/>
      </c>
      <c r="P110" s="137"/>
      <c r="Q110" s="58" t="str" cm="1">
        <f>IFERROR(INDEX(List_Predictors, INDEX(Array_PredictorsLookup,MATCH($A110,List_PredictorFacilities,0),(COLUMN()-1)/2), 1),"")</f>
        <v/>
      </c>
      <c r="R110" s="137"/>
      <c r="S110" s="58" t="str" cm="1">
        <f>IFERROR(INDEX(List_Predictors, INDEX(Array_PredictorsLookup,MATCH($A110,List_PredictorFacilities,0),(COLUMN()-1)/2), 1),"")</f>
        <v/>
      </c>
      <c r="T110" s="137"/>
      <c r="U110" s="58" t="str" cm="1">
        <f>IFERROR(INDEX(List_Predictors, INDEX(Array_PredictorsLookup,MATCH($A110,List_PredictorFacilities,0),(COLUMN()-1)/2), 1),"")</f>
        <v/>
      </c>
      <c r="V110" s="137"/>
      <c r="W110" s="58" t="str" cm="1">
        <f>IFERROR(INDEX(List_Predictors, INDEX(Array_PredictorsLookup,MATCH($A110,List_PredictorFacilities,0),(COLUMN()-1)/2), 1),"")</f>
        <v/>
      </c>
      <c r="X110" s="137"/>
      <c r="Y110" s="58" t="str" cm="1">
        <f>IFERROR(INDEX(List_Predictors, INDEX(Array_PredictorsLookup,MATCH($A110,List_PredictorFacilities,0),(COLUMN()-1)/2), 1),"")</f>
        <v/>
      </c>
      <c r="Z110" s="137"/>
      <c r="AA110" s="58" t="str" cm="1">
        <f>IFERROR(INDEX(List_Predictors, INDEX(Array_PredictorsLookup,MATCH($A110,List_PredictorFacilities,0),(COLUMN()-1)/2), 1),"")</f>
        <v/>
      </c>
      <c r="AB110" s="137"/>
      <c r="AC110" s="58" t="str" cm="1">
        <f>IFERROR(INDEX(List_Predictors, INDEX(Array_PredictorsLookup,MATCH($A110,List_PredictorFacilities,0),(COLUMN()-1)/2), 1),"")</f>
        <v/>
      </c>
      <c r="AD110" s="137"/>
      <c r="AE110" s="58" t="str" cm="1">
        <f>IFERROR(INDEX(List_Predictors, INDEX(Array_PredictorsLookup,MATCH($A110,List_PredictorFacilities,0),(COLUMN()-1)/2), 1),"")</f>
        <v/>
      </c>
      <c r="AF110" s="137"/>
    </row>
    <row r="111" spans="1:32" x14ac:dyDescent="0.3">
      <c r="A111" s="126"/>
      <c r="B111" s="141"/>
      <c r="C111" s="58" t="str" cm="1">
        <f>IFERROR(INDEX(List_Predictors, INDEX(Array_PredictorsLookup,MATCH($A111,List_PredictorFacilities,0),(COLUMN()-1)/2), 1),"")</f>
        <v/>
      </c>
      <c r="D111" s="137"/>
      <c r="E111" s="58" t="str" cm="1">
        <f>IFERROR(INDEX(List_Predictors, INDEX(Array_PredictorsLookup,MATCH($A111,List_PredictorFacilities,0),(COLUMN()-1)/2), 1),"")</f>
        <v/>
      </c>
      <c r="F111" s="137"/>
      <c r="G111" s="58" t="str" cm="1">
        <f>IFERROR(INDEX(List_Predictors, INDEX(Array_PredictorsLookup,MATCH($A111,List_PredictorFacilities,0),(COLUMN()-1)/2), 1),"")</f>
        <v/>
      </c>
      <c r="H111" s="137"/>
      <c r="I111" s="58" t="str" cm="1">
        <f>IFERROR(INDEX(List_Predictors, INDEX(Array_PredictorsLookup,MATCH($A111,List_PredictorFacilities,0),(COLUMN()-1)/2), 1),"")</f>
        <v/>
      </c>
      <c r="J111" s="137"/>
      <c r="K111" s="58" t="str" cm="1">
        <f>IFERROR(INDEX(List_Predictors, INDEX(Array_PredictorsLookup,MATCH($A111,List_PredictorFacilities,0),(COLUMN()-1)/2), 1),"")</f>
        <v/>
      </c>
      <c r="L111" s="137"/>
      <c r="M111" s="58" t="str" cm="1">
        <f>IFERROR(INDEX(List_Predictors, INDEX(Array_PredictorsLookup,MATCH($A111,List_PredictorFacilities,0),(COLUMN()-1)/2), 1),"")</f>
        <v/>
      </c>
      <c r="N111" s="137"/>
      <c r="O111" s="58" t="str" cm="1">
        <f>IFERROR(INDEX(List_Predictors, INDEX(Array_PredictorsLookup,MATCH($A111,List_PredictorFacilities,0),(COLUMN()-1)/2), 1),"")</f>
        <v/>
      </c>
      <c r="P111" s="137"/>
      <c r="Q111" s="58" t="str" cm="1">
        <f>IFERROR(INDEX(List_Predictors, INDEX(Array_PredictorsLookup,MATCH($A111,List_PredictorFacilities,0),(COLUMN()-1)/2), 1),"")</f>
        <v/>
      </c>
      <c r="R111" s="137"/>
      <c r="S111" s="58" t="str" cm="1">
        <f>IFERROR(INDEX(List_Predictors, INDEX(Array_PredictorsLookup,MATCH($A111,List_PredictorFacilities,0),(COLUMN()-1)/2), 1),"")</f>
        <v/>
      </c>
      <c r="T111" s="137"/>
      <c r="U111" s="58" t="str" cm="1">
        <f>IFERROR(INDEX(List_Predictors, INDEX(Array_PredictorsLookup,MATCH($A111,List_PredictorFacilities,0),(COLUMN()-1)/2), 1),"")</f>
        <v/>
      </c>
      <c r="V111" s="137"/>
      <c r="W111" s="58" t="str" cm="1">
        <f>IFERROR(INDEX(List_Predictors, INDEX(Array_PredictorsLookup,MATCH($A111,List_PredictorFacilities,0),(COLUMN()-1)/2), 1),"")</f>
        <v/>
      </c>
      <c r="X111" s="137"/>
      <c r="Y111" s="58" t="str" cm="1">
        <f>IFERROR(INDEX(List_Predictors, INDEX(Array_PredictorsLookup,MATCH($A111,List_PredictorFacilities,0),(COLUMN()-1)/2), 1),"")</f>
        <v/>
      </c>
      <c r="Z111" s="137"/>
      <c r="AA111" s="58" t="str" cm="1">
        <f>IFERROR(INDEX(List_Predictors, INDEX(Array_PredictorsLookup,MATCH($A111,List_PredictorFacilities,0),(COLUMN()-1)/2), 1),"")</f>
        <v/>
      </c>
      <c r="AB111" s="137"/>
      <c r="AC111" s="58" t="str" cm="1">
        <f>IFERROR(INDEX(List_Predictors, INDEX(Array_PredictorsLookup,MATCH($A111,List_PredictorFacilities,0),(COLUMN()-1)/2), 1),"")</f>
        <v/>
      </c>
      <c r="AD111" s="137"/>
      <c r="AE111" s="58" t="str" cm="1">
        <f>IFERROR(INDEX(List_Predictors, INDEX(Array_PredictorsLookup,MATCH($A111,List_PredictorFacilities,0),(COLUMN()-1)/2), 1),"")</f>
        <v/>
      </c>
      <c r="AF111" s="137"/>
    </row>
    <row r="112" spans="1:32" x14ac:dyDescent="0.3">
      <c r="A112" s="126"/>
      <c r="B112" s="141"/>
      <c r="C112" s="58" t="str" cm="1">
        <f>IFERROR(INDEX(List_Predictors, INDEX(Array_PredictorsLookup,MATCH($A112,List_PredictorFacilities,0),(COLUMN()-1)/2), 1),"")</f>
        <v/>
      </c>
      <c r="D112" s="137"/>
      <c r="E112" s="58" t="str" cm="1">
        <f>IFERROR(INDEX(List_Predictors, INDEX(Array_PredictorsLookup,MATCH($A112,List_PredictorFacilities,0),(COLUMN()-1)/2), 1),"")</f>
        <v/>
      </c>
      <c r="F112" s="137"/>
      <c r="G112" s="58" t="str" cm="1">
        <f>IFERROR(INDEX(List_Predictors, INDEX(Array_PredictorsLookup,MATCH($A112,List_PredictorFacilities,0),(COLUMN()-1)/2), 1),"")</f>
        <v/>
      </c>
      <c r="H112" s="137"/>
      <c r="I112" s="58" t="str" cm="1">
        <f>IFERROR(INDEX(List_Predictors, INDEX(Array_PredictorsLookup,MATCH($A112,List_PredictorFacilities,0),(COLUMN()-1)/2), 1),"")</f>
        <v/>
      </c>
      <c r="J112" s="137"/>
      <c r="K112" s="58" t="str" cm="1">
        <f>IFERROR(INDEX(List_Predictors, INDEX(Array_PredictorsLookup,MATCH($A112,List_PredictorFacilities,0),(COLUMN()-1)/2), 1),"")</f>
        <v/>
      </c>
      <c r="L112" s="137"/>
      <c r="M112" s="58" t="str" cm="1">
        <f>IFERROR(INDEX(List_Predictors, INDEX(Array_PredictorsLookup,MATCH($A112,List_PredictorFacilities,0),(COLUMN()-1)/2), 1),"")</f>
        <v/>
      </c>
      <c r="N112" s="137"/>
      <c r="O112" s="58" t="str" cm="1">
        <f>IFERROR(INDEX(List_Predictors, INDEX(Array_PredictorsLookup,MATCH($A112,List_PredictorFacilities,0),(COLUMN()-1)/2), 1),"")</f>
        <v/>
      </c>
      <c r="P112" s="137"/>
      <c r="Q112" s="58" t="str" cm="1">
        <f>IFERROR(INDEX(List_Predictors, INDEX(Array_PredictorsLookup,MATCH($A112,List_PredictorFacilities,0),(COLUMN()-1)/2), 1),"")</f>
        <v/>
      </c>
      <c r="R112" s="137"/>
      <c r="S112" s="58" t="str" cm="1">
        <f>IFERROR(INDEX(List_Predictors, INDEX(Array_PredictorsLookup,MATCH($A112,List_PredictorFacilities,0),(COLUMN()-1)/2), 1),"")</f>
        <v/>
      </c>
      <c r="T112" s="137"/>
      <c r="U112" s="58" t="str" cm="1">
        <f>IFERROR(INDEX(List_Predictors, INDEX(Array_PredictorsLookup,MATCH($A112,List_PredictorFacilities,0),(COLUMN()-1)/2), 1),"")</f>
        <v/>
      </c>
      <c r="V112" s="137"/>
      <c r="W112" s="58" t="str" cm="1">
        <f>IFERROR(INDEX(List_Predictors, INDEX(Array_PredictorsLookup,MATCH($A112,List_PredictorFacilities,0),(COLUMN()-1)/2), 1),"")</f>
        <v/>
      </c>
      <c r="X112" s="137"/>
      <c r="Y112" s="58" t="str" cm="1">
        <f>IFERROR(INDEX(List_Predictors, INDEX(Array_PredictorsLookup,MATCH($A112,List_PredictorFacilities,0),(COLUMN()-1)/2), 1),"")</f>
        <v/>
      </c>
      <c r="Z112" s="137"/>
      <c r="AA112" s="58" t="str" cm="1">
        <f>IFERROR(INDEX(List_Predictors, INDEX(Array_PredictorsLookup,MATCH($A112,List_PredictorFacilities,0),(COLUMN()-1)/2), 1),"")</f>
        <v/>
      </c>
      <c r="AB112" s="137"/>
      <c r="AC112" s="58" t="str" cm="1">
        <f>IFERROR(INDEX(List_Predictors, INDEX(Array_PredictorsLookup,MATCH($A112,List_PredictorFacilities,0),(COLUMN()-1)/2), 1),"")</f>
        <v/>
      </c>
      <c r="AD112" s="137"/>
      <c r="AE112" s="58" t="str" cm="1">
        <f>IFERROR(INDEX(List_Predictors, INDEX(Array_PredictorsLookup,MATCH($A112,List_PredictorFacilities,0),(COLUMN()-1)/2), 1),"")</f>
        <v/>
      </c>
      <c r="AF112" s="137"/>
    </row>
    <row r="113" spans="1:32" x14ac:dyDescent="0.3">
      <c r="A113" s="126"/>
      <c r="B113" s="141"/>
      <c r="C113" s="58" t="str" cm="1">
        <f>IFERROR(INDEX(List_Predictors, INDEX(Array_PredictorsLookup,MATCH($A113,List_PredictorFacilities,0),(COLUMN()-1)/2), 1),"")</f>
        <v/>
      </c>
      <c r="D113" s="137"/>
      <c r="E113" s="58" t="str" cm="1">
        <f>IFERROR(INDEX(List_Predictors, INDEX(Array_PredictorsLookup,MATCH($A113,List_PredictorFacilities,0),(COLUMN()-1)/2), 1),"")</f>
        <v/>
      </c>
      <c r="F113" s="137"/>
      <c r="G113" s="58" t="str" cm="1">
        <f>IFERROR(INDEX(List_Predictors, INDEX(Array_PredictorsLookup,MATCH($A113,List_PredictorFacilities,0),(COLUMN()-1)/2), 1),"")</f>
        <v/>
      </c>
      <c r="H113" s="137"/>
      <c r="I113" s="58" t="str" cm="1">
        <f>IFERROR(INDEX(List_Predictors, INDEX(Array_PredictorsLookup,MATCH($A113,List_PredictorFacilities,0),(COLUMN()-1)/2), 1),"")</f>
        <v/>
      </c>
      <c r="J113" s="137"/>
      <c r="K113" s="58" t="str" cm="1">
        <f>IFERROR(INDEX(List_Predictors, INDEX(Array_PredictorsLookup,MATCH($A113,List_PredictorFacilities,0),(COLUMN()-1)/2), 1),"")</f>
        <v/>
      </c>
      <c r="L113" s="137"/>
      <c r="M113" s="58" t="str" cm="1">
        <f>IFERROR(INDEX(List_Predictors, INDEX(Array_PredictorsLookup,MATCH($A113,List_PredictorFacilities,0),(COLUMN()-1)/2), 1),"")</f>
        <v/>
      </c>
      <c r="N113" s="137"/>
      <c r="O113" s="58" t="str" cm="1">
        <f>IFERROR(INDEX(List_Predictors, INDEX(Array_PredictorsLookup,MATCH($A113,List_PredictorFacilities,0),(COLUMN()-1)/2), 1),"")</f>
        <v/>
      </c>
      <c r="P113" s="137"/>
      <c r="Q113" s="58" t="str" cm="1">
        <f>IFERROR(INDEX(List_Predictors, INDEX(Array_PredictorsLookup,MATCH($A113,List_PredictorFacilities,0),(COLUMN()-1)/2), 1),"")</f>
        <v/>
      </c>
      <c r="R113" s="137"/>
      <c r="S113" s="58" t="str" cm="1">
        <f>IFERROR(INDEX(List_Predictors, INDEX(Array_PredictorsLookup,MATCH($A113,List_PredictorFacilities,0),(COLUMN()-1)/2), 1),"")</f>
        <v/>
      </c>
      <c r="T113" s="137"/>
      <c r="U113" s="58" t="str" cm="1">
        <f>IFERROR(INDEX(List_Predictors, INDEX(Array_PredictorsLookup,MATCH($A113,List_PredictorFacilities,0),(COLUMN()-1)/2), 1),"")</f>
        <v/>
      </c>
      <c r="V113" s="137"/>
      <c r="W113" s="58" t="str" cm="1">
        <f>IFERROR(INDEX(List_Predictors, INDEX(Array_PredictorsLookup,MATCH($A113,List_PredictorFacilities,0),(COLUMN()-1)/2), 1),"")</f>
        <v/>
      </c>
      <c r="X113" s="137"/>
      <c r="Y113" s="58" t="str" cm="1">
        <f>IFERROR(INDEX(List_Predictors, INDEX(Array_PredictorsLookup,MATCH($A113,List_PredictorFacilities,0),(COLUMN()-1)/2), 1),"")</f>
        <v/>
      </c>
      <c r="Z113" s="137"/>
      <c r="AA113" s="58" t="str" cm="1">
        <f>IFERROR(INDEX(List_Predictors, INDEX(Array_PredictorsLookup,MATCH($A113,List_PredictorFacilities,0),(COLUMN()-1)/2), 1),"")</f>
        <v/>
      </c>
      <c r="AB113" s="137"/>
      <c r="AC113" s="58" t="str" cm="1">
        <f>IFERROR(INDEX(List_Predictors, INDEX(Array_PredictorsLookup,MATCH($A113,List_PredictorFacilities,0),(COLUMN()-1)/2), 1),"")</f>
        <v/>
      </c>
      <c r="AD113" s="137"/>
      <c r="AE113" s="58" t="str" cm="1">
        <f>IFERROR(INDEX(List_Predictors, INDEX(Array_PredictorsLookup,MATCH($A113,List_PredictorFacilities,0),(COLUMN()-1)/2), 1),"")</f>
        <v/>
      </c>
      <c r="AF113" s="137"/>
    </row>
    <row r="114" spans="1:32" x14ac:dyDescent="0.3">
      <c r="A114" s="126"/>
      <c r="B114" s="141"/>
      <c r="C114" s="58" t="str" cm="1">
        <f>IFERROR(INDEX(List_Predictors, INDEX(Array_PredictorsLookup,MATCH($A114,List_PredictorFacilities,0),(COLUMN()-1)/2), 1),"")</f>
        <v/>
      </c>
      <c r="D114" s="137"/>
      <c r="E114" s="58" t="str" cm="1">
        <f>IFERROR(INDEX(List_Predictors, INDEX(Array_PredictorsLookup,MATCH($A114,List_PredictorFacilities,0),(COLUMN()-1)/2), 1),"")</f>
        <v/>
      </c>
      <c r="F114" s="137"/>
      <c r="G114" s="58" t="str" cm="1">
        <f>IFERROR(INDEX(List_Predictors, INDEX(Array_PredictorsLookup,MATCH($A114,List_PredictorFacilities,0),(COLUMN()-1)/2), 1),"")</f>
        <v/>
      </c>
      <c r="H114" s="137"/>
      <c r="I114" s="58" t="str" cm="1">
        <f>IFERROR(INDEX(List_Predictors, INDEX(Array_PredictorsLookup,MATCH($A114,List_PredictorFacilities,0),(COLUMN()-1)/2), 1),"")</f>
        <v/>
      </c>
      <c r="J114" s="137"/>
      <c r="K114" s="58" t="str" cm="1">
        <f>IFERROR(INDEX(List_Predictors, INDEX(Array_PredictorsLookup,MATCH($A114,List_PredictorFacilities,0),(COLUMN()-1)/2), 1),"")</f>
        <v/>
      </c>
      <c r="L114" s="137"/>
      <c r="M114" s="58" t="str" cm="1">
        <f>IFERROR(INDEX(List_Predictors, INDEX(Array_PredictorsLookup,MATCH($A114,List_PredictorFacilities,0),(COLUMN()-1)/2), 1),"")</f>
        <v/>
      </c>
      <c r="N114" s="137"/>
      <c r="O114" s="58" t="str" cm="1">
        <f>IFERROR(INDEX(List_Predictors, INDEX(Array_PredictorsLookup,MATCH($A114,List_PredictorFacilities,0),(COLUMN()-1)/2), 1),"")</f>
        <v/>
      </c>
      <c r="P114" s="137"/>
      <c r="Q114" s="58" t="str" cm="1">
        <f>IFERROR(INDEX(List_Predictors, INDEX(Array_PredictorsLookup,MATCH($A114,List_PredictorFacilities,0),(COLUMN()-1)/2), 1),"")</f>
        <v/>
      </c>
      <c r="R114" s="137"/>
      <c r="S114" s="58" t="str" cm="1">
        <f>IFERROR(INDEX(List_Predictors, INDEX(Array_PredictorsLookup,MATCH($A114,List_PredictorFacilities,0),(COLUMN()-1)/2), 1),"")</f>
        <v/>
      </c>
      <c r="T114" s="137"/>
      <c r="U114" s="58" t="str" cm="1">
        <f>IFERROR(INDEX(List_Predictors, INDEX(Array_PredictorsLookup,MATCH($A114,List_PredictorFacilities,0),(COLUMN()-1)/2), 1),"")</f>
        <v/>
      </c>
      <c r="V114" s="137"/>
      <c r="W114" s="58" t="str" cm="1">
        <f>IFERROR(INDEX(List_Predictors, INDEX(Array_PredictorsLookup,MATCH($A114,List_PredictorFacilities,0),(COLUMN()-1)/2), 1),"")</f>
        <v/>
      </c>
      <c r="X114" s="137"/>
      <c r="Y114" s="58" t="str" cm="1">
        <f>IFERROR(INDEX(List_Predictors, INDEX(Array_PredictorsLookup,MATCH($A114,List_PredictorFacilities,0),(COLUMN()-1)/2), 1),"")</f>
        <v/>
      </c>
      <c r="Z114" s="137"/>
      <c r="AA114" s="58" t="str" cm="1">
        <f>IFERROR(INDEX(List_Predictors, INDEX(Array_PredictorsLookup,MATCH($A114,List_PredictorFacilities,0),(COLUMN()-1)/2), 1),"")</f>
        <v/>
      </c>
      <c r="AB114" s="137"/>
      <c r="AC114" s="58" t="str" cm="1">
        <f>IFERROR(INDEX(List_Predictors, INDEX(Array_PredictorsLookup,MATCH($A114,List_PredictorFacilities,0),(COLUMN()-1)/2), 1),"")</f>
        <v/>
      </c>
      <c r="AD114" s="137"/>
      <c r="AE114" s="58" t="str" cm="1">
        <f>IFERROR(INDEX(List_Predictors, INDEX(Array_PredictorsLookup,MATCH($A114,List_PredictorFacilities,0),(COLUMN()-1)/2), 1),"")</f>
        <v/>
      </c>
      <c r="AF114" s="137"/>
    </row>
    <row r="115" spans="1:32" x14ac:dyDescent="0.3">
      <c r="A115" s="126"/>
      <c r="B115" s="141"/>
      <c r="C115" s="58" t="str" cm="1">
        <f>IFERROR(INDEX(List_Predictors, INDEX(Array_PredictorsLookup,MATCH($A115,List_PredictorFacilities,0),(COLUMN()-1)/2), 1),"")</f>
        <v/>
      </c>
      <c r="D115" s="137"/>
      <c r="E115" s="58" t="str" cm="1">
        <f>IFERROR(INDEX(List_Predictors, INDEX(Array_PredictorsLookup,MATCH($A115,List_PredictorFacilities,0),(COLUMN()-1)/2), 1),"")</f>
        <v/>
      </c>
      <c r="F115" s="137"/>
      <c r="G115" s="58" t="str" cm="1">
        <f>IFERROR(INDEX(List_Predictors, INDEX(Array_PredictorsLookup,MATCH($A115,List_PredictorFacilities,0),(COLUMN()-1)/2), 1),"")</f>
        <v/>
      </c>
      <c r="H115" s="137"/>
      <c r="I115" s="58" t="str" cm="1">
        <f>IFERROR(INDEX(List_Predictors, INDEX(Array_PredictorsLookup,MATCH($A115,List_PredictorFacilities,0),(COLUMN()-1)/2), 1),"")</f>
        <v/>
      </c>
      <c r="J115" s="137"/>
      <c r="K115" s="58" t="str" cm="1">
        <f>IFERROR(INDEX(List_Predictors, INDEX(Array_PredictorsLookup,MATCH($A115,List_PredictorFacilities,0),(COLUMN()-1)/2), 1),"")</f>
        <v/>
      </c>
      <c r="L115" s="137"/>
      <c r="M115" s="58" t="str" cm="1">
        <f>IFERROR(INDEX(List_Predictors, INDEX(Array_PredictorsLookup,MATCH($A115,List_PredictorFacilities,0),(COLUMN()-1)/2), 1),"")</f>
        <v/>
      </c>
      <c r="N115" s="137"/>
      <c r="O115" s="58" t="str" cm="1">
        <f>IFERROR(INDEX(List_Predictors, INDEX(Array_PredictorsLookup,MATCH($A115,List_PredictorFacilities,0),(COLUMN()-1)/2), 1),"")</f>
        <v/>
      </c>
      <c r="P115" s="137"/>
      <c r="Q115" s="58" t="str" cm="1">
        <f>IFERROR(INDEX(List_Predictors, INDEX(Array_PredictorsLookup,MATCH($A115,List_PredictorFacilities,0),(COLUMN()-1)/2), 1),"")</f>
        <v/>
      </c>
      <c r="R115" s="137"/>
      <c r="S115" s="58" t="str" cm="1">
        <f>IFERROR(INDEX(List_Predictors, INDEX(Array_PredictorsLookup,MATCH($A115,List_PredictorFacilities,0),(COLUMN()-1)/2), 1),"")</f>
        <v/>
      </c>
      <c r="T115" s="137"/>
      <c r="U115" s="58" t="str" cm="1">
        <f>IFERROR(INDEX(List_Predictors, INDEX(Array_PredictorsLookup,MATCH($A115,List_PredictorFacilities,0),(COLUMN()-1)/2), 1),"")</f>
        <v/>
      </c>
      <c r="V115" s="137"/>
      <c r="W115" s="58" t="str" cm="1">
        <f>IFERROR(INDEX(List_Predictors, INDEX(Array_PredictorsLookup,MATCH($A115,List_PredictorFacilities,0),(COLUMN()-1)/2), 1),"")</f>
        <v/>
      </c>
      <c r="X115" s="137"/>
      <c r="Y115" s="58" t="str" cm="1">
        <f>IFERROR(INDEX(List_Predictors, INDEX(Array_PredictorsLookup,MATCH($A115,List_PredictorFacilities,0),(COLUMN()-1)/2), 1),"")</f>
        <v/>
      </c>
      <c r="Z115" s="137"/>
      <c r="AA115" s="58" t="str" cm="1">
        <f>IFERROR(INDEX(List_Predictors, INDEX(Array_PredictorsLookup,MATCH($A115,List_PredictorFacilities,0),(COLUMN()-1)/2), 1),"")</f>
        <v/>
      </c>
      <c r="AB115" s="137"/>
      <c r="AC115" s="58" t="str" cm="1">
        <f>IFERROR(INDEX(List_Predictors, INDEX(Array_PredictorsLookup,MATCH($A115,List_PredictorFacilities,0),(COLUMN()-1)/2), 1),"")</f>
        <v/>
      </c>
      <c r="AD115" s="137"/>
      <c r="AE115" s="58" t="str" cm="1">
        <f>IFERROR(INDEX(List_Predictors, INDEX(Array_PredictorsLookup,MATCH($A115,List_PredictorFacilities,0),(COLUMN()-1)/2), 1),"")</f>
        <v/>
      </c>
      <c r="AF115" s="137"/>
    </row>
    <row r="116" spans="1:32" x14ac:dyDescent="0.3">
      <c r="A116" s="126"/>
      <c r="B116" s="141"/>
      <c r="C116" s="58" t="str" cm="1">
        <f>IFERROR(INDEX(List_Predictors, INDEX(Array_PredictorsLookup,MATCH($A116,List_PredictorFacilities,0),(COLUMN()-1)/2), 1),"")</f>
        <v/>
      </c>
      <c r="D116" s="137"/>
      <c r="E116" s="58" t="str" cm="1">
        <f>IFERROR(INDEX(List_Predictors, INDEX(Array_PredictorsLookup,MATCH($A116,List_PredictorFacilities,0),(COLUMN()-1)/2), 1),"")</f>
        <v/>
      </c>
      <c r="F116" s="137"/>
      <c r="G116" s="58" t="str" cm="1">
        <f>IFERROR(INDEX(List_Predictors, INDEX(Array_PredictorsLookup,MATCH($A116,List_PredictorFacilities,0),(COLUMN()-1)/2), 1),"")</f>
        <v/>
      </c>
      <c r="H116" s="137"/>
      <c r="I116" s="58" t="str" cm="1">
        <f>IFERROR(INDEX(List_Predictors, INDEX(Array_PredictorsLookup,MATCH($A116,List_PredictorFacilities,0),(COLUMN()-1)/2), 1),"")</f>
        <v/>
      </c>
      <c r="J116" s="137"/>
      <c r="K116" s="58" t="str" cm="1">
        <f>IFERROR(INDEX(List_Predictors, INDEX(Array_PredictorsLookup,MATCH($A116,List_PredictorFacilities,0),(COLUMN()-1)/2), 1),"")</f>
        <v/>
      </c>
      <c r="L116" s="137"/>
      <c r="M116" s="58" t="str" cm="1">
        <f>IFERROR(INDEX(List_Predictors, INDEX(Array_PredictorsLookup,MATCH($A116,List_PredictorFacilities,0),(COLUMN()-1)/2), 1),"")</f>
        <v/>
      </c>
      <c r="N116" s="137"/>
      <c r="O116" s="58" t="str" cm="1">
        <f>IFERROR(INDEX(List_Predictors, INDEX(Array_PredictorsLookup,MATCH($A116,List_PredictorFacilities,0),(COLUMN()-1)/2), 1),"")</f>
        <v/>
      </c>
      <c r="P116" s="137"/>
      <c r="Q116" s="58" t="str" cm="1">
        <f>IFERROR(INDEX(List_Predictors, INDEX(Array_PredictorsLookup,MATCH($A116,List_PredictorFacilities,0),(COLUMN()-1)/2), 1),"")</f>
        <v/>
      </c>
      <c r="R116" s="137"/>
      <c r="S116" s="58" t="str" cm="1">
        <f>IFERROR(INDEX(List_Predictors, INDEX(Array_PredictorsLookup,MATCH($A116,List_PredictorFacilities,0),(COLUMN()-1)/2), 1),"")</f>
        <v/>
      </c>
      <c r="T116" s="137"/>
      <c r="U116" s="58" t="str" cm="1">
        <f>IFERROR(INDEX(List_Predictors, INDEX(Array_PredictorsLookup,MATCH($A116,List_PredictorFacilities,0),(COLUMN()-1)/2), 1),"")</f>
        <v/>
      </c>
      <c r="V116" s="137"/>
      <c r="W116" s="58" t="str" cm="1">
        <f>IFERROR(INDEX(List_Predictors, INDEX(Array_PredictorsLookup,MATCH($A116,List_PredictorFacilities,0),(COLUMN()-1)/2), 1),"")</f>
        <v/>
      </c>
      <c r="X116" s="137"/>
      <c r="Y116" s="58" t="str" cm="1">
        <f>IFERROR(INDEX(List_Predictors, INDEX(Array_PredictorsLookup,MATCH($A116,List_PredictorFacilities,0),(COLUMN()-1)/2), 1),"")</f>
        <v/>
      </c>
      <c r="Z116" s="137"/>
      <c r="AA116" s="58" t="str" cm="1">
        <f>IFERROR(INDEX(List_Predictors, INDEX(Array_PredictorsLookup,MATCH($A116,List_PredictorFacilities,0),(COLUMN()-1)/2), 1),"")</f>
        <v/>
      </c>
      <c r="AB116" s="137"/>
      <c r="AC116" s="58" t="str" cm="1">
        <f>IFERROR(INDEX(List_Predictors, INDEX(Array_PredictorsLookup,MATCH($A116,List_PredictorFacilities,0),(COLUMN()-1)/2), 1),"")</f>
        <v/>
      </c>
      <c r="AD116" s="137"/>
      <c r="AE116" s="58" t="str" cm="1">
        <f>IFERROR(INDEX(List_Predictors, INDEX(Array_PredictorsLookup,MATCH($A116,List_PredictorFacilities,0),(COLUMN()-1)/2), 1),"")</f>
        <v/>
      </c>
      <c r="AF116" s="137"/>
    </row>
    <row r="117" spans="1:32" x14ac:dyDescent="0.3">
      <c r="A117" s="126"/>
      <c r="B117" s="141"/>
      <c r="C117" s="58" t="str" cm="1">
        <f>IFERROR(INDEX(List_Predictors, INDEX(Array_PredictorsLookup,MATCH($A117,List_PredictorFacilities,0),(COLUMN()-1)/2), 1),"")</f>
        <v/>
      </c>
      <c r="D117" s="137"/>
      <c r="E117" s="58" t="str" cm="1">
        <f>IFERROR(INDEX(List_Predictors, INDEX(Array_PredictorsLookup,MATCH($A117,List_PredictorFacilities,0),(COLUMN()-1)/2), 1),"")</f>
        <v/>
      </c>
      <c r="F117" s="137"/>
      <c r="G117" s="58" t="str" cm="1">
        <f>IFERROR(INDEX(List_Predictors, INDEX(Array_PredictorsLookup,MATCH($A117,List_PredictorFacilities,0),(COLUMN()-1)/2), 1),"")</f>
        <v/>
      </c>
      <c r="H117" s="137"/>
      <c r="I117" s="58" t="str" cm="1">
        <f>IFERROR(INDEX(List_Predictors, INDEX(Array_PredictorsLookup,MATCH($A117,List_PredictorFacilities,0),(COLUMN()-1)/2), 1),"")</f>
        <v/>
      </c>
      <c r="J117" s="137"/>
      <c r="K117" s="58" t="str" cm="1">
        <f>IFERROR(INDEX(List_Predictors, INDEX(Array_PredictorsLookup,MATCH($A117,List_PredictorFacilities,0),(COLUMN()-1)/2), 1),"")</f>
        <v/>
      </c>
      <c r="L117" s="137"/>
      <c r="M117" s="58" t="str" cm="1">
        <f>IFERROR(INDEX(List_Predictors, INDEX(Array_PredictorsLookup,MATCH($A117,List_PredictorFacilities,0),(COLUMN()-1)/2), 1),"")</f>
        <v/>
      </c>
      <c r="N117" s="137"/>
      <c r="O117" s="58" t="str" cm="1">
        <f>IFERROR(INDEX(List_Predictors, INDEX(Array_PredictorsLookup,MATCH($A117,List_PredictorFacilities,0),(COLUMN()-1)/2), 1),"")</f>
        <v/>
      </c>
      <c r="P117" s="137"/>
      <c r="Q117" s="58" t="str" cm="1">
        <f>IFERROR(INDEX(List_Predictors, INDEX(Array_PredictorsLookup,MATCH($A117,List_PredictorFacilities,0),(COLUMN()-1)/2), 1),"")</f>
        <v/>
      </c>
      <c r="R117" s="137"/>
      <c r="S117" s="58" t="str" cm="1">
        <f>IFERROR(INDEX(List_Predictors, INDEX(Array_PredictorsLookup,MATCH($A117,List_PredictorFacilities,0),(COLUMN()-1)/2), 1),"")</f>
        <v/>
      </c>
      <c r="T117" s="137"/>
      <c r="U117" s="58" t="str" cm="1">
        <f>IFERROR(INDEX(List_Predictors, INDEX(Array_PredictorsLookup,MATCH($A117,List_PredictorFacilities,0),(COLUMN()-1)/2), 1),"")</f>
        <v/>
      </c>
      <c r="V117" s="137"/>
      <c r="W117" s="58" t="str" cm="1">
        <f>IFERROR(INDEX(List_Predictors, INDEX(Array_PredictorsLookup,MATCH($A117,List_PredictorFacilities,0),(COLUMN()-1)/2), 1),"")</f>
        <v/>
      </c>
      <c r="X117" s="137"/>
      <c r="Y117" s="58" t="str" cm="1">
        <f>IFERROR(INDEX(List_Predictors, INDEX(Array_PredictorsLookup,MATCH($A117,List_PredictorFacilities,0),(COLUMN()-1)/2), 1),"")</f>
        <v/>
      </c>
      <c r="Z117" s="137"/>
      <c r="AA117" s="58" t="str" cm="1">
        <f>IFERROR(INDEX(List_Predictors, INDEX(Array_PredictorsLookup,MATCH($A117,List_PredictorFacilities,0),(COLUMN()-1)/2), 1),"")</f>
        <v/>
      </c>
      <c r="AB117" s="137"/>
      <c r="AC117" s="58" t="str" cm="1">
        <f>IFERROR(INDEX(List_Predictors, INDEX(Array_PredictorsLookup,MATCH($A117,List_PredictorFacilities,0),(COLUMN()-1)/2), 1),"")</f>
        <v/>
      </c>
      <c r="AD117" s="137"/>
      <c r="AE117" s="58" t="str" cm="1">
        <f>IFERROR(INDEX(List_Predictors, INDEX(Array_PredictorsLookup,MATCH($A117,List_PredictorFacilities,0),(COLUMN()-1)/2), 1),"")</f>
        <v/>
      </c>
      <c r="AF117" s="137"/>
    </row>
    <row r="118" spans="1:32" x14ac:dyDescent="0.3">
      <c r="A118" s="126"/>
      <c r="B118" s="141"/>
      <c r="C118" s="58" t="str" cm="1">
        <f>IFERROR(INDEX(List_Predictors, INDEX(Array_PredictorsLookup,MATCH($A118,List_PredictorFacilities,0),(COLUMN()-1)/2), 1),"")</f>
        <v/>
      </c>
      <c r="D118" s="137"/>
      <c r="E118" s="58" t="str" cm="1">
        <f>IFERROR(INDEX(List_Predictors, INDEX(Array_PredictorsLookup,MATCH($A118,List_PredictorFacilities,0),(COLUMN()-1)/2), 1),"")</f>
        <v/>
      </c>
      <c r="F118" s="137"/>
      <c r="G118" s="58" t="str" cm="1">
        <f>IFERROR(INDEX(List_Predictors, INDEX(Array_PredictorsLookup,MATCH($A118,List_PredictorFacilities,0),(COLUMN()-1)/2), 1),"")</f>
        <v/>
      </c>
      <c r="H118" s="137"/>
      <c r="I118" s="58" t="str" cm="1">
        <f>IFERROR(INDEX(List_Predictors, INDEX(Array_PredictorsLookup,MATCH($A118,List_PredictorFacilities,0),(COLUMN()-1)/2), 1),"")</f>
        <v/>
      </c>
      <c r="J118" s="137"/>
      <c r="K118" s="58" t="str" cm="1">
        <f>IFERROR(INDEX(List_Predictors, INDEX(Array_PredictorsLookup,MATCH($A118,List_PredictorFacilities,0),(COLUMN()-1)/2), 1),"")</f>
        <v/>
      </c>
      <c r="L118" s="137"/>
      <c r="M118" s="58" t="str" cm="1">
        <f>IFERROR(INDEX(List_Predictors, INDEX(Array_PredictorsLookup,MATCH($A118,List_PredictorFacilities,0),(COLUMN()-1)/2), 1),"")</f>
        <v/>
      </c>
      <c r="N118" s="137"/>
      <c r="O118" s="58" t="str" cm="1">
        <f>IFERROR(INDEX(List_Predictors, INDEX(Array_PredictorsLookup,MATCH($A118,List_PredictorFacilities,0),(COLUMN()-1)/2), 1),"")</f>
        <v/>
      </c>
      <c r="P118" s="137"/>
      <c r="Q118" s="58" t="str" cm="1">
        <f>IFERROR(INDEX(List_Predictors, INDEX(Array_PredictorsLookup,MATCH($A118,List_PredictorFacilities,0),(COLUMN()-1)/2), 1),"")</f>
        <v/>
      </c>
      <c r="R118" s="137"/>
      <c r="S118" s="58" t="str" cm="1">
        <f>IFERROR(INDEX(List_Predictors, INDEX(Array_PredictorsLookup,MATCH($A118,List_PredictorFacilities,0),(COLUMN()-1)/2), 1),"")</f>
        <v/>
      </c>
      <c r="T118" s="137"/>
      <c r="U118" s="58" t="str" cm="1">
        <f>IFERROR(INDEX(List_Predictors, INDEX(Array_PredictorsLookup,MATCH($A118,List_PredictorFacilities,0),(COLUMN()-1)/2), 1),"")</f>
        <v/>
      </c>
      <c r="V118" s="137"/>
      <c r="W118" s="58" t="str" cm="1">
        <f>IFERROR(INDEX(List_Predictors, INDEX(Array_PredictorsLookup,MATCH($A118,List_PredictorFacilities,0),(COLUMN()-1)/2), 1),"")</f>
        <v/>
      </c>
      <c r="X118" s="137"/>
      <c r="Y118" s="58" t="str" cm="1">
        <f>IFERROR(INDEX(List_Predictors, INDEX(Array_PredictorsLookup,MATCH($A118,List_PredictorFacilities,0),(COLUMN()-1)/2), 1),"")</f>
        <v/>
      </c>
      <c r="Z118" s="137"/>
      <c r="AA118" s="58" t="str" cm="1">
        <f>IFERROR(INDEX(List_Predictors, INDEX(Array_PredictorsLookup,MATCH($A118,List_PredictorFacilities,0),(COLUMN()-1)/2), 1),"")</f>
        <v/>
      </c>
      <c r="AB118" s="137"/>
      <c r="AC118" s="58" t="str" cm="1">
        <f>IFERROR(INDEX(List_Predictors, INDEX(Array_PredictorsLookup,MATCH($A118,List_PredictorFacilities,0),(COLUMN()-1)/2), 1),"")</f>
        <v/>
      </c>
      <c r="AD118" s="137"/>
      <c r="AE118" s="58" t="str" cm="1">
        <f>IFERROR(INDEX(List_Predictors, INDEX(Array_PredictorsLookup,MATCH($A118,List_PredictorFacilities,0),(COLUMN()-1)/2), 1),"")</f>
        <v/>
      </c>
      <c r="AF118" s="137"/>
    </row>
    <row r="119" spans="1:32" x14ac:dyDescent="0.3">
      <c r="A119" s="126"/>
      <c r="B119" s="141"/>
      <c r="C119" s="58" t="str" cm="1">
        <f>IFERROR(INDEX(List_Predictors, INDEX(Array_PredictorsLookup,MATCH($A119,List_PredictorFacilities,0),(COLUMN()-1)/2), 1),"")</f>
        <v/>
      </c>
      <c r="D119" s="137"/>
      <c r="E119" s="58" t="str" cm="1">
        <f>IFERROR(INDEX(List_Predictors, INDEX(Array_PredictorsLookup,MATCH($A119,List_PredictorFacilities,0),(COLUMN()-1)/2), 1),"")</f>
        <v/>
      </c>
      <c r="F119" s="137"/>
      <c r="G119" s="58" t="str" cm="1">
        <f>IFERROR(INDEX(List_Predictors, INDEX(Array_PredictorsLookup,MATCH($A119,List_PredictorFacilities,0),(COLUMN()-1)/2), 1),"")</f>
        <v/>
      </c>
      <c r="H119" s="137"/>
      <c r="I119" s="58" t="str" cm="1">
        <f>IFERROR(INDEX(List_Predictors, INDEX(Array_PredictorsLookup,MATCH($A119,List_PredictorFacilities,0),(COLUMN()-1)/2), 1),"")</f>
        <v/>
      </c>
      <c r="J119" s="137"/>
      <c r="K119" s="58" t="str" cm="1">
        <f>IFERROR(INDEX(List_Predictors, INDEX(Array_PredictorsLookup,MATCH($A119,List_PredictorFacilities,0),(COLUMN()-1)/2), 1),"")</f>
        <v/>
      </c>
      <c r="L119" s="137"/>
      <c r="M119" s="58" t="str" cm="1">
        <f>IFERROR(INDEX(List_Predictors, INDEX(Array_PredictorsLookup,MATCH($A119,List_PredictorFacilities,0),(COLUMN()-1)/2), 1),"")</f>
        <v/>
      </c>
      <c r="N119" s="137"/>
      <c r="O119" s="58" t="str" cm="1">
        <f>IFERROR(INDEX(List_Predictors, INDEX(Array_PredictorsLookup,MATCH($A119,List_PredictorFacilities,0),(COLUMN()-1)/2), 1),"")</f>
        <v/>
      </c>
      <c r="P119" s="137"/>
      <c r="Q119" s="58" t="str" cm="1">
        <f>IFERROR(INDEX(List_Predictors, INDEX(Array_PredictorsLookup,MATCH($A119,List_PredictorFacilities,0),(COLUMN()-1)/2), 1),"")</f>
        <v/>
      </c>
      <c r="R119" s="137"/>
      <c r="S119" s="58" t="str" cm="1">
        <f>IFERROR(INDEX(List_Predictors, INDEX(Array_PredictorsLookup,MATCH($A119,List_PredictorFacilities,0),(COLUMN()-1)/2), 1),"")</f>
        <v/>
      </c>
      <c r="T119" s="137"/>
      <c r="U119" s="58" t="str" cm="1">
        <f>IFERROR(INDEX(List_Predictors, INDEX(Array_PredictorsLookup,MATCH($A119,List_PredictorFacilities,0),(COLUMN()-1)/2), 1),"")</f>
        <v/>
      </c>
      <c r="V119" s="137"/>
      <c r="W119" s="58" t="str" cm="1">
        <f>IFERROR(INDEX(List_Predictors, INDEX(Array_PredictorsLookup,MATCH($A119,List_PredictorFacilities,0),(COLUMN()-1)/2), 1),"")</f>
        <v/>
      </c>
      <c r="X119" s="137"/>
      <c r="Y119" s="58" t="str" cm="1">
        <f>IFERROR(INDEX(List_Predictors, INDEX(Array_PredictorsLookup,MATCH($A119,List_PredictorFacilities,0),(COLUMN()-1)/2), 1),"")</f>
        <v/>
      </c>
      <c r="Z119" s="137"/>
      <c r="AA119" s="58" t="str" cm="1">
        <f>IFERROR(INDEX(List_Predictors, INDEX(Array_PredictorsLookup,MATCH($A119,List_PredictorFacilities,0),(COLUMN()-1)/2), 1),"")</f>
        <v/>
      </c>
      <c r="AB119" s="137"/>
      <c r="AC119" s="58" t="str" cm="1">
        <f>IFERROR(INDEX(List_Predictors, INDEX(Array_PredictorsLookup,MATCH($A119,List_PredictorFacilities,0),(COLUMN()-1)/2), 1),"")</f>
        <v/>
      </c>
      <c r="AD119" s="137"/>
      <c r="AE119" s="58" t="str" cm="1">
        <f>IFERROR(INDEX(List_Predictors, INDEX(Array_PredictorsLookup,MATCH($A119,List_PredictorFacilities,0),(COLUMN()-1)/2), 1),"")</f>
        <v/>
      </c>
      <c r="AF119" s="137"/>
    </row>
    <row r="120" spans="1:32" x14ac:dyDescent="0.3">
      <c r="A120" s="126"/>
      <c r="B120" s="141"/>
      <c r="C120" s="58" t="str" cm="1">
        <f>IFERROR(INDEX(List_Predictors, INDEX(Array_PredictorsLookup,MATCH($A120,List_PredictorFacilities,0),(COLUMN()-1)/2), 1),"")</f>
        <v/>
      </c>
      <c r="D120" s="137"/>
      <c r="E120" s="58" t="str" cm="1">
        <f>IFERROR(INDEX(List_Predictors, INDEX(Array_PredictorsLookup,MATCH($A120,List_PredictorFacilities,0),(COLUMN()-1)/2), 1),"")</f>
        <v/>
      </c>
      <c r="F120" s="137"/>
      <c r="G120" s="58" t="str" cm="1">
        <f>IFERROR(INDEX(List_Predictors, INDEX(Array_PredictorsLookup,MATCH($A120,List_PredictorFacilities,0),(COLUMN()-1)/2), 1),"")</f>
        <v/>
      </c>
      <c r="H120" s="137"/>
      <c r="I120" s="58" t="str" cm="1">
        <f>IFERROR(INDEX(List_Predictors, INDEX(Array_PredictorsLookup,MATCH($A120,List_PredictorFacilities,0),(COLUMN()-1)/2), 1),"")</f>
        <v/>
      </c>
      <c r="J120" s="137"/>
      <c r="K120" s="58" t="str" cm="1">
        <f>IFERROR(INDEX(List_Predictors, INDEX(Array_PredictorsLookup,MATCH($A120,List_PredictorFacilities,0),(COLUMN()-1)/2), 1),"")</f>
        <v/>
      </c>
      <c r="L120" s="137"/>
      <c r="M120" s="58" t="str" cm="1">
        <f>IFERROR(INDEX(List_Predictors, INDEX(Array_PredictorsLookup,MATCH($A120,List_PredictorFacilities,0),(COLUMN()-1)/2), 1),"")</f>
        <v/>
      </c>
      <c r="N120" s="137"/>
      <c r="O120" s="58" t="str" cm="1">
        <f>IFERROR(INDEX(List_Predictors, INDEX(Array_PredictorsLookup,MATCH($A120,List_PredictorFacilities,0),(COLUMN()-1)/2), 1),"")</f>
        <v/>
      </c>
      <c r="P120" s="137"/>
      <c r="Q120" s="58" t="str" cm="1">
        <f>IFERROR(INDEX(List_Predictors, INDEX(Array_PredictorsLookup,MATCH($A120,List_PredictorFacilities,0),(COLUMN()-1)/2), 1),"")</f>
        <v/>
      </c>
      <c r="R120" s="137"/>
      <c r="S120" s="58" t="str" cm="1">
        <f>IFERROR(INDEX(List_Predictors, INDEX(Array_PredictorsLookup,MATCH($A120,List_PredictorFacilities,0),(COLUMN()-1)/2), 1),"")</f>
        <v/>
      </c>
      <c r="T120" s="137"/>
      <c r="U120" s="58" t="str" cm="1">
        <f>IFERROR(INDEX(List_Predictors, INDEX(Array_PredictorsLookup,MATCH($A120,List_PredictorFacilities,0),(COLUMN()-1)/2), 1),"")</f>
        <v/>
      </c>
      <c r="V120" s="137"/>
      <c r="W120" s="58" t="str" cm="1">
        <f>IFERROR(INDEX(List_Predictors, INDEX(Array_PredictorsLookup,MATCH($A120,List_PredictorFacilities,0),(COLUMN()-1)/2), 1),"")</f>
        <v/>
      </c>
      <c r="X120" s="137"/>
      <c r="Y120" s="58" t="str" cm="1">
        <f>IFERROR(INDEX(List_Predictors, INDEX(Array_PredictorsLookup,MATCH($A120,List_PredictorFacilities,0),(COLUMN()-1)/2), 1),"")</f>
        <v/>
      </c>
      <c r="Z120" s="137"/>
      <c r="AA120" s="58" t="str" cm="1">
        <f>IFERROR(INDEX(List_Predictors, INDEX(Array_PredictorsLookup,MATCH($A120,List_PredictorFacilities,0),(COLUMN()-1)/2), 1),"")</f>
        <v/>
      </c>
      <c r="AB120" s="137"/>
      <c r="AC120" s="58" t="str" cm="1">
        <f>IFERROR(INDEX(List_Predictors, INDEX(Array_PredictorsLookup,MATCH($A120,List_PredictorFacilities,0),(COLUMN()-1)/2), 1),"")</f>
        <v/>
      </c>
      <c r="AD120" s="137"/>
      <c r="AE120" s="58" t="str" cm="1">
        <f>IFERROR(INDEX(List_Predictors, INDEX(Array_PredictorsLookup,MATCH($A120,List_PredictorFacilities,0),(COLUMN()-1)/2), 1),"")</f>
        <v/>
      </c>
      <c r="AF120" s="137"/>
    </row>
    <row r="121" spans="1:32" x14ac:dyDescent="0.3">
      <c r="A121" s="126"/>
      <c r="B121" s="141"/>
      <c r="C121" s="58" t="str" cm="1">
        <f>IFERROR(INDEX(List_Predictors, INDEX(Array_PredictorsLookup,MATCH($A121,List_PredictorFacilities,0),(COLUMN()-1)/2), 1),"")</f>
        <v/>
      </c>
      <c r="D121" s="137"/>
      <c r="E121" s="58" t="str" cm="1">
        <f>IFERROR(INDEX(List_Predictors, INDEX(Array_PredictorsLookup,MATCH($A121,List_PredictorFacilities,0),(COLUMN()-1)/2), 1),"")</f>
        <v/>
      </c>
      <c r="F121" s="137"/>
      <c r="G121" s="58" t="str" cm="1">
        <f>IFERROR(INDEX(List_Predictors, INDEX(Array_PredictorsLookup,MATCH($A121,List_PredictorFacilities,0),(COLUMN()-1)/2), 1),"")</f>
        <v/>
      </c>
      <c r="H121" s="137"/>
      <c r="I121" s="58" t="str" cm="1">
        <f>IFERROR(INDEX(List_Predictors, INDEX(Array_PredictorsLookup,MATCH($A121,List_PredictorFacilities,0),(COLUMN()-1)/2), 1),"")</f>
        <v/>
      </c>
      <c r="J121" s="137"/>
      <c r="K121" s="58" t="str" cm="1">
        <f>IFERROR(INDEX(List_Predictors, INDEX(Array_PredictorsLookup,MATCH($A121,List_PredictorFacilities,0),(COLUMN()-1)/2), 1),"")</f>
        <v/>
      </c>
      <c r="L121" s="137"/>
      <c r="M121" s="58" t="str" cm="1">
        <f>IFERROR(INDEX(List_Predictors, INDEX(Array_PredictorsLookup,MATCH($A121,List_PredictorFacilities,0),(COLUMN()-1)/2), 1),"")</f>
        <v/>
      </c>
      <c r="N121" s="137"/>
      <c r="O121" s="58" t="str" cm="1">
        <f>IFERROR(INDEX(List_Predictors, INDEX(Array_PredictorsLookup,MATCH($A121,List_PredictorFacilities,0),(COLUMN()-1)/2), 1),"")</f>
        <v/>
      </c>
      <c r="P121" s="137"/>
      <c r="Q121" s="58" t="str" cm="1">
        <f>IFERROR(INDEX(List_Predictors, INDEX(Array_PredictorsLookup,MATCH($A121,List_PredictorFacilities,0),(COLUMN()-1)/2), 1),"")</f>
        <v/>
      </c>
      <c r="R121" s="137"/>
      <c r="S121" s="58" t="str" cm="1">
        <f>IFERROR(INDEX(List_Predictors, INDEX(Array_PredictorsLookup,MATCH($A121,List_PredictorFacilities,0),(COLUMN()-1)/2), 1),"")</f>
        <v/>
      </c>
      <c r="T121" s="137"/>
      <c r="U121" s="58" t="str" cm="1">
        <f>IFERROR(INDEX(List_Predictors, INDEX(Array_PredictorsLookup,MATCH($A121,List_PredictorFacilities,0),(COLUMN()-1)/2), 1),"")</f>
        <v/>
      </c>
      <c r="V121" s="137"/>
      <c r="W121" s="58" t="str" cm="1">
        <f>IFERROR(INDEX(List_Predictors, INDEX(Array_PredictorsLookup,MATCH($A121,List_PredictorFacilities,0),(COLUMN()-1)/2), 1),"")</f>
        <v/>
      </c>
      <c r="X121" s="137"/>
      <c r="Y121" s="58" t="str" cm="1">
        <f>IFERROR(INDEX(List_Predictors, INDEX(Array_PredictorsLookup,MATCH($A121,List_PredictorFacilities,0),(COLUMN()-1)/2), 1),"")</f>
        <v/>
      </c>
      <c r="Z121" s="137"/>
      <c r="AA121" s="58" t="str" cm="1">
        <f>IFERROR(INDEX(List_Predictors, INDEX(Array_PredictorsLookup,MATCH($A121,List_PredictorFacilities,0),(COLUMN()-1)/2), 1),"")</f>
        <v/>
      </c>
      <c r="AB121" s="137"/>
      <c r="AC121" s="58" t="str" cm="1">
        <f>IFERROR(INDEX(List_Predictors, INDEX(Array_PredictorsLookup,MATCH($A121,List_PredictorFacilities,0),(COLUMN()-1)/2), 1),"")</f>
        <v/>
      </c>
      <c r="AD121" s="137"/>
      <c r="AE121" s="58" t="str" cm="1">
        <f>IFERROR(INDEX(List_Predictors, INDEX(Array_PredictorsLookup,MATCH($A121,List_PredictorFacilities,0),(COLUMN()-1)/2), 1),"")</f>
        <v/>
      </c>
      <c r="AF121" s="137"/>
    </row>
    <row r="122" spans="1:32" x14ac:dyDescent="0.3">
      <c r="A122" s="126"/>
      <c r="B122" s="141"/>
      <c r="C122" s="58" t="str" cm="1">
        <f>IFERROR(INDEX(List_Predictors, INDEX(Array_PredictorsLookup,MATCH($A122,List_PredictorFacilities,0),(COLUMN()-1)/2), 1),"")</f>
        <v/>
      </c>
      <c r="D122" s="137"/>
      <c r="E122" s="58" t="str" cm="1">
        <f>IFERROR(INDEX(List_Predictors, INDEX(Array_PredictorsLookup,MATCH($A122,List_PredictorFacilities,0),(COLUMN()-1)/2), 1),"")</f>
        <v/>
      </c>
      <c r="F122" s="137"/>
      <c r="G122" s="58" t="str" cm="1">
        <f>IFERROR(INDEX(List_Predictors, INDEX(Array_PredictorsLookup,MATCH($A122,List_PredictorFacilities,0),(COLUMN()-1)/2), 1),"")</f>
        <v/>
      </c>
      <c r="H122" s="137"/>
      <c r="I122" s="58" t="str" cm="1">
        <f>IFERROR(INDEX(List_Predictors, INDEX(Array_PredictorsLookup,MATCH($A122,List_PredictorFacilities,0),(COLUMN()-1)/2), 1),"")</f>
        <v/>
      </c>
      <c r="J122" s="137"/>
      <c r="K122" s="58" t="str" cm="1">
        <f>IFERROR(INDEX(List_Predictors, INDEX(Array_PredictorsLookup,MATCH($A122,List_PredictorFacilities,0),(COLUMN()-1)/2), 1),"")</f>
        <v/>
      </c>
      <c r="L122" s="137"/>
      <c r="M122" s="58" t="str" cm="1">
        <f>IFERROR(INDEX(List_Predictors, INDEX(Array_PredictorsLookup,MATCH($A122,List_PredictorFacilities,0),(COLUMN()-1)/2), 1),"")</f>
        <v/>
      </c>
      <c r="N122" s="137"/>
      <c r="O122" s="58" t="str" cm="1">
        <f>IFERROR(INDEX(List_Predictors, INDEX(Array_PredictorsLookup,MATCH($A122,List_PredictorFacilities,0),(COLUMN()-1)/2), 1),"")</f>
        <v/>
      </c>
      <c r="P122" s="137"/>
      <c r="Q122" s="58" t="str" cm="1">
        <f>IFERROR(INDEX(List_Predictors, INDEX(Array_PredictorsLookup,MATCH($A122,List_PredictorFacilities,0),(COLUMN()-1)/2), 1),"")</f>
        <v/>
      </c>
      <c r="R122" s="137"/>
      <c r="S122" s="58" t="str" cm="1">
        <f>IFERROR(INDEX(List_Predictors, INDEX(Array_PredictorsLookup,MATCH($A122,List_PredictorFacilities,0),(COLUMN()-1)/2), 1),"")</f>
        <v/>
      </c>
      <c r="T122" s="137"/>
      <c r="U122" s="58" t="str" cm="1">
        <f>IFERROR(INDEX(List_Predictors, INDEX(Array_PredictorsLookup,MATCH($A122,List_PredictorFacilities,0),(COLUMN()-1)/2), 1),"")</f>
        <v/>
      </c>
      <c r="V122" s="137"/>
      <c r="W122" s="58" t="str" cm="1">
        <f>IFERROR(INDEX(List_Predictors, INDEX(Array_PredictorsLookup,MATCH($A122,List_PredictorFacilities,0),(COLUMN()-1)/2), 1),"")</f>
        <v/>
      </c>
      <c r="X122" s="137"/>
      <c r="Y122" s="58" t="str" cm="1">
        <f>IFERROR(INDEX(List_Predictors, INDEX(Array_PredictorsLookup,MATCH($A122,List_PredictorFacilities,0),(COLUMN()-1)/2), 1),"")</f>
        <v/>
      </c>
      <c r="Z122" s="137"/>
      <c r="AA122" s="58" t="str" cm="1">
        <f>IFERROR(INDEX(List_Predictors, INDEX(Array_PredictorsLookup,MATCH($A122,List_PredictorFacilities,0),(COLUMN()-1)/2), 1),"")</f>
        <v/>
      </c>
      <c r="AB122" s="137"/>
      <c r="AC122" s="58" t="str" cm="1">
        <f>IFERROR(INDEX(List_Predictors, INDEX(Array_PredictorsLookup,MATCH($A122,List_PredictorFacilities,0),(COLUMN()-1)/2), 1),"")</f>
        <v/>
      </c>
      <c r="AD122" s="137"/>
      <c r="AE122" s="58" t="str" cm="1">
        <f>IFERROR(INDEX(List_Predictors, INDEX(Array_PredictorsLookup,MATCH($A122,List_PredictorFacilities,0),(COLUMN()-1)/2), 1),"")</f>
        <v/>
      </c>
      <c r="AF122" s="137"/>
    </row>
    <row r="123" spans="1:32" x14ac:dyDescent="0.3">
      <c r="A123" s="126"/>
      <c r="B123" s="141"/>
      <c r="C123" s="58" t="str" cm="1">
        <f>IFERROR(INDEX(List_Predictors, INDEX(Array_PredictorsLookup,MATCH($A123,List_PredictorFacilities,0),(COLUMN()-1)/2), 1),"")</f>
        <v/>
      </c>
      <c r="D123" s="137"/>
      <c r="E123" s="58" t="str" cm="1">
        <f>IFERROR(INDEX(List_Predictors, INDEX(Array_PredictorsLookup,MATCH($A123,List_PredictorFacilities,0),(COLUMN()-1)/2), 1),"")</f>
        <v/>
      </c>
      <c r="F123" s="137"/>
      <c r="G123" s="58" t="str" cm="1">
        <f>IFERROR(INDEX(List_Predictors, INDEX(Array_PredictorsLookup,MATCH($A123,List_PredictorFacilities,0),(COLUMN()-1)/2), 1),"")</f>
        <v/>
      </c>
      <c r="H123" s="137"/>
      <c r="I123" s="58" t="str" cm="1">
        <f>IFERROR(INDEX(List_Predictors, INDEX(Array_PredictorsLookup,MATCH($A123,List_PredictorFacilities,0),(COLUMN()-1)/2), 1),"")</f>
        <v/>
      </c>
      <c r="J123" s="137"/>
      <c r="K123" s="58" t="str" cm="1">
        <f>IFERROR(INDEX(List_Predictors, INDEX(Array_PredictorsLookup,MATCH($A123,List_PredictorFacilities,0),(COLUMN()-1)/2), 1),"")</f>
        <v/>
      </c>
      <c r="L123" s="137"/>
      <c r="M123" s="58" t="str" cm="1">
        <f>IFERROR(INDEX(List_Predictors, INDEX(Array_PredictorsLookup,MATCH($A123,List_PredictorFacilities,0),(COLUMN()-1)/2), 1),"")</f>
        <v/>
      </c>
      <c r="N123" s="137"/>
      <c r="O123" s="58" t="str" cm="1">
        <f>IFERROR(INDEX(List_Predictors, INDEX(Array_PredictorsLookup,MATCH($A123,List_PredictorFacilities,0),(COLUMN()-1)/2), 1),"")</f>
        <v/>
      </c>
      <c r="P123" s="137"/>
      <c r="Q123" s="58" t="str" cm="1">
        <f>IFERROR(INDEX(List_Predictors, INDEX(Array_PredictorsLookup,MATCH($A123,List_PredictorFacilities,0),(COLUMN()-1)/2), 1),"")</f>
        <v/>
      </c>
      <c r="R123" s="137"/>
      <c r="S123" s="58" t="str" cm="1">
        <f>IFERROR(INDEX(List_Predictors, INDEX(Array_PredictorsLookup,MATCH($A123,List_PredictorFacilities,0),(COLUMN()-1)/2), 1),"")</f>
        <v/>
      </c>
      <c r="T123" s="137"/>
      <c r="U123" s="58" t="str" cm="1">
        <f>IFERROR(INDEX(List_Predictors, INDEX(Array_PredictorsLookup,MATCH($A123,List_PredictorFacilities,0),(COLUMN()-1)/2), 1),"")</f>
        <v/>
      </c>
      <c r="V123" s="137"/>
      <c r="W123" s="58" t="str" cm="1">
        <f>IFERROR(INDEX(List_Predictors, INDEX(Array_PredictorsLookup,MATCH($A123,List_PredictorFacilities,0),(COLUMN()-1)/2), 1),"")</f>
        <v/>
      </c>
      <c r="X123" s="137"/>
      <c r="Y123" s="58" t="str" cm="1">
        <f>IFERROR(INDEX(List_Predictors, INDEX(Array_PredictorsLookup,MATCH($A123,List_PredictorFacilities,0),(COLUMN()-1)/2), 1),"")</f>
        <v/>
      </c>
      <c r="Z123" s="137"/>
      <c r="AA123" s="58" t="str" cm="1">
        <f>IFERROR(INDEX(List_Predictors, INDEX(Array_PredictorsLookup,MATCH($A123,List_PredictorFacilities,0),(COLUMN()-1)/2), 1),"")</f>
        <v/>
      </c>
      <c r="AB123" s="137"/>
      <c r="AC123" s="58" t="str" cm="1">
        <f>IFERROR(INDEX(List_Predictors, INDEX(Array_PredictorsLookup,MATCH($A123,List_PredictorFacilities,0),(COLUMN()-1)/2), 1),"")</f>
        <v/>
      </c>
      <c r="AD123" s="137"/>
      <c r="AE123" s="58" t="str" cm="1">
        <f>IFERROR(INDEX(List_Predictors, INDEX(Array_PredictorsLookup,MATCH($A123,List_PredictorFacilities,0),(COLUMN()-1)/2), 1),"")</f>
        <v/>
      </c>
      <c r="AF123" s="137"/>
    </row>
    <row r="124" spans="1:32" x14ac:dyDescent="0.3">
      <c r="A124" s="126"/>
      <c r="B124" s="141"/>
      <c r="C124" s="58" t="str" cm="1">
        <f>IFERROR(INDEX(List_Predictors, INDEX(Array_PredictorsLookup,MATCH($A124,List_PredictorFacilities,0),(COLUMN()-1)/2), 1),"")</f>
        <v/>
      </c>
      <c r="D124" s="137"/>
      <c r="E124" s="58" t="str" cm="1">
        <f>IFERROR(INDEX(List_Predictors, INDEX(Array_PredictorsLookup,MATCH($A124,List_PredictorFacilities,0),(COLUMN()-1)/2), 1),"")</f>
        <v/>
      </c>
      <c r="F124" s="137"/>
      <c r="G124" s="58" t="str" cm="1">
        <f>IFERROR(INDEX(List_Predictors, INDEX(Array_PredictorsLookup,MATCH($A124,List_PredictorFacilities,0),(COLUMN()-1)/2), 1),"")</f>
        <v/>
      </c>
      <c r="H124" s="137"/>
      <c r="I124" s="58" t="str" cm="1">
        <f>IFERROR(INDEX(List_Predictors, INDEX(Array_PredictorsLookup,MATCH($A124,List_PredictorFacilities,0),(COLUMN()-1)/2), 1),"")</f>
        <v/>
      </c>
      <c r="J124" s="137"/>
      <c r="K124" s="58" t="str" cm="1">
        <f>IFERROR(INDEX(List_Predictors, INDEX(Array_PredictorsLookup,MATCH($A124,List_PredictorFacilities,0),(COLUMN()-1)/2), 1),"")</f>
        <v/>
      </c>
      <c r="L124" s="137"/>
      <c r="M124" s="58" t="str" cm="1">
        <f>IFERROR(INDEX(List_Predictors, INDEX(Array_PredictorsLookup,MATCH($A124,List_PredictorFacilities,0),(COLUMN()-1)/2), 1),"")</f>
        <v/>
      </c>
      <c r="N124" s="137"/>
      <c r="O124" s="58" t="str" cm="1">
        <f>IFERROR(INDEX(List_Predictors, INDEX(Array_PredictorsLookup,MATCH($A124,List_PredictorFacilities,0),(COLUMN()-1)/2), 1),"")</f>
        <v/>
      </c>
      <c r="P124" s="137"/>
      <c r="Q124" s="58" t="str" cm="1">
        <f>IFERROR(INDEX(List_Predictors, INDEX(Array_PredictorsLookup,MATCH($A124,List_PredictorFacilities,0),(COLUMN()-1)/2), 1),"")</f>
        <v/>
      </c>
      <c r="R124" s="137"/>
      <c r="S124" s="58" t="str" cm="1">
        <f>IFERROR(INDEX(List_Predictors, INDEX(Array_PredictorsLookup,MATCH($A124,List_PredictorFacilities,0),(COLUMN()-1)/2), 1),"")</f>
        <v/>
      </c>
      <c r="T124" s="137"/>
      <c r="U124" s="58" t="str" cm="1">
        <f>IFERROR(INDEX(List_Predictors, INDEX(Array_PredictorsLookup,MATCH($A124,List_PredictorFacilities,0),(COLUMN()-1)/2), 1),"")</f>
        <v/>
      </c>
      <c r="V124" s="137"/>
      <c r="W124" s="58" t="str" cm="1">
        <f>IFERROR(INDEX(List_Predictors, INDEX(Array_PredictorsLookup,MATCH($A124,List_PredictorFacilities,0),(COLUMN()-1)/2), 1),"")</f>
        <v/>
      </c>
      <c r="X124" s="137"/>
      <c r="Y124" s="58" t="str" cm="1">
        <f>IFERROR(INDEX(List_Predictors, INDEX(Array_PredictorsLookup,MATCH($A124,List_PredictorFacilities,0),(COLUMN()-1)/2), 1),"")</f>
        <v/>
      </c>
      <c r="Z124" s="137"/>
      <c r="AA124" s="58" t="str" cm="1">
        <f>IFERROR(INDEX(List_Predictors, INDEX(Array_PredictorsLookup,MATCH($A124,List_PredictorFacilities,0),(COLUMN()-1)/2), 1),"")</f>
        <v/>
      </c>
      <c r="AB124" s="137"/>
      <c r="AC124" s="58" t="str" cm="1">
        <f>IFERROR(INDEX(List_Predictors, INDEX(Array_PredictorsLookup,MATCH($A124,List_PredictorFacilities,0),(COLUMN()-1)/2), 1),"")</f>
        <v/>
      </c>
      <c r="AD124" s="137"/>
      <c r="AE124" s="58" t="str" cm="1">
        <f>IFERROR(INDEX(List_Predictors, INDEX(Array_PredictorsLookup,MATCH($A124,List_PredictorFacilities,0),(COLUMN()-1)/2), 1),"")</f>
        <v/>
      </c>
      <c r="AF124" s="137"/>
    </row>
    <row r="125" spans="1:32" x14ac:dyDescent="0.3">
      <c r="A125" s="126"/>
      <c r="B125" s="141"/>
      <c r="C125" s="58" t="str" cm="1">
        <f>IFERROR(INDEX(List_Predictors, INDEX(Array_PredictorsLookup,MATCH($A125,List_PredictorFacilities,0),(COLUMN()-1)/2), 1),"")</f>
        <v/>
      </c>
      <c r="D125" s="137"/>
      <c r="E125" s="58" t="str" cm="1">
        <f>IFERROR(INDEX(List_Predictors, INDEX(Array_PredictorsLookup,MATCH($A125,List_PredictorFacilities,0),(COLUMN()-1)/2), 1),"")</f>
        <v/>
      </c>
      <c r="F125" s="137"/>
      <c r="G125" s="58" t="str" cm="1">
        <f>IFERROR(INDEX(List_Predictors, INDEX(Array_PredictorsLookup,MATCH($A125,List_PredictorFacilities,0),(COLUMN()-1)/2), 1),"")</f>
        <v/>
      </c>
      <c r="H125" s="137"/>
      <c r="I125" s="58" t="str" cm="1">
        <f>IFERROR(INDEX(List_Predictors, INDEX(Array_PredictorsLookup,MATCH($A125,List_PredictorFacilities,0),(COLUMN()-1)/2), 1),"")</f>
        <v/>
      </c>
      <c r="J125" s="137"/>
      <c r="K125" s="58" t="str" cm="1">
        <f>IFERROR(INDEX(List_Predictors, INDEX(Array_PredictorsLookup,MATCH($A125,List_PredictorFacilities,0),(COLUMN()-1)/2), 1),"")</f>
        <v/>
      </c>
      <c r="L125" s="137"/>
      <c r="M125" s="58" t="str" cm="1">
        <f>IFERROR(INDEX(List_Predictors, INDEX(Array_PredictorsLookup,MATCH($A125,List_PredictorFacilities,0),(COLUMN()-1)/2), 1),"")</f>
        <v/>
      </c>
      <c r="N125" s="137"/>
      <c r="O125" s="58" t="str" cm="1">
        <f>IFERROR(INDEX(List_Predictors, INDEX(Array_PredictorsLookup,MATCH($A125,List_PredictorFacilities,0),(COLUMN()-1)/2), 1),"")</f>
        <v/>
      </c>
      <c r="P125" s="137"/>
      <c r="Q125" s="58" t="str" cm="1">
        <f>IFERROR(INDEX(List_Predictors, INDEX(Array_PredictorsLookup,MATCH($A125,List_PredictorFacilities,0),(COLUMN()-1)/2), 1),"")</f>
        <v/>
      </c>
      <c r="R125" s="137"/>
      <c r="S125" s="58" t="str" cm="1">
        <f>IFERROR(INDEX(List_Predictors, INDEX(Array_PredictorsLookup,MATCH($A125,List_PredictorFacilities,0),(COLUMN()-1)/2), 1),"")</f>
        <v/>
      </c>
      <c r="T125" s="137"/>
      <c r="U125" s="58" t="str" cm="1">
        <f>IFERROR(INDEX(List_Predictors, INDEX(Array_PredictorsLookup,MATCH($A125,List_PredictorFacilities,0),(COLUMN()-1)/2), 1),"")</f>
        <v/>
      </c>
      <c r="V125" s="137"/>
      <c r="W125" s="58" t="str" cm="1">
        <f>IFERROR(INDEX(List_Predictors, INDEX(Array_PredictorsLookup,MATCH($A125,List_PredictorFacilities,0),(COLUMN()-1)/2), 1),"")</f>
        <v/>
      </c>
      <c r="X125" s="137"/>
      <c r="Y125" s="58" t="str" cm="1">
        <f>IFERROR(INDEX(List_Predictors, INDEX(Array_PredictorsLookup,MATCH($A125,List_PredictorFacilities,0),(COLUMN()-1)/2), 1),"")</f>
        <v/>
      </c>
      <c r="Z125" s="137"/>
      <c r="AA125" s="58" t="str" cm="1">
        <f>IFERROR(INDEX(List_Predictors, INDEX(Array_PredictorsLookup,MATCH($A125,List_PredictorFacilities,0),(COLUMN()-1)/2), 1),"")</f>
        <v/>
      </c>
      <c r="AB125" s="137"/>
      <c r="AC125" s="58" t="str" cm="1">
        <f>IFERROR(INDEX(List_Predictors, INDEX(Array_PredictorsLookup,MATCH($A125,List_PredictorFacilities,0),(COLUMN()-1)/2), 1),"")</f>
        <v/>
      </c>
      <c r="AD125" s="137"/>
      <c r="AE125" s="58" t="str" cm="1">
        <f>IFERROR(INDEX(List_Predictors, INDEX(Array_PredictorsLookup,MATCH($A125,List_PredictorFacilities,0),(COLUMN()-1)/2), 1),"")</f>
        <v/>
      </c>
      <c r="AF125" s="137"/>
    </row>
    <row r="126" spans="1:32" x14ac:dyDescent="0.3">
      <c r="A126" s="126"/>
      <c r="B126" s="141"/>
      <c r="C126" s="58" t="str" cm="1">
        <f>IFERROR(INDEX(List_Predictors, INDEX(Array_PredictorsLookup,MATCH($A126,List_PredictorFacilities,0),(COLUMN()-1)/2), 1),"")</f>
        <v/>
      </c>
      <c r="D126" s="137"/>
      <c r="E126" s="58" t="str" cm="1">
        <f>IFERROR(INDEX(List_Predictors, INDEX(Array_PredictorsLookup,MATCH($A126,List_PredictorFacilities,0),(COLUMN()-1)/2), 1),"")</f>
        <v/>
      </c>
      <c r="F126" s="137"/>
      <c r="G126" s="58" t="str" cm="1">
        <f>IFERROR(INDEX(List_Predictors, INDEX(Array_PredictorsLookup,MATCH($A126,List_PredictorFacilities,0),(COLUMN()-1)/2), 1),"")</f>
        <v/>
      </c>
      <c r="H126" s="137"/>
      <c r="I126" s="58" t="str" cm="1">
        <f>IFERROR(INDEX(List_Predictors, INDEX(Array_PredictorsLookup,MATCH($A126,List_PredictorFacilities,0),(COLUMN()-1)/2), 1),"")</f>
        <v/>
      </c>
      <c r="J126" s="137"/>
      <c r="K126" s="58" t="str" cm="1">
        <f>IFERROR(INDEX(List_Predictors, INDEX(Array_PredictorsLookup,MATCH($A126,List_PredictorFacilities,0),(COLUMN()-1)/2), 1),"")</f>
        <v/>
      </c>
      <c r="L126" s="137"/>
      <c r="M126" s="58" t="str" cm="1">
        <f>IFERROR(INDEX(List_Predictors, INDEX(Array_PredictorsLookup,MATCH($A126,List_PredictorFacilities,0),(COLUMN()-1)/2), 1),"")</f>
        <v/>
      </c>
      <c r="N126" s="137"/>
      <c r="O126" s="58" t="str" cm="1">
        <f>IFERROR(INDEX(List_Predictors, INDEX(Array_PredictorsLookup,MATCH($A126,List_PredictorFacilities,0),(COLUMN()-1)/2), 1),"")</f>
        <v/>
      </c>
      <c r="P126" s="137"/>
      <c r="Q126" s="58" t="str" cm="1">
        <f>IFERROR(INDEX(List_Predictors, INDEX(Array_PredictorsLookup,MATCH($A126,List_PredictorFacilities,0),(COLUMN()-1)/2), 1),"")</f>
        <v/>
      </c>
      <c r="R126" s="137"/>
      <c r="S126" s="58" t="str" cm="1">
        <f>IFERROR(INDEX(List_Predictors, INDEX(Array_PredictorsLookup,MATCH($A126,List_PredictorFacilities,0),(COLUMN()-1)/2), 1),"")</f>
        <v/>
      </c>
      <c r="T126" s="137"/>
      <c r="U126" s="58" t="str" cm="1">
        <f>IFERROR(INDEX(List_Predictors, INDEX(Array_PredictorsLookup,MATCH($A126,List_PredictorFacilities,0),(COLUMN()-1)/2), 1),"")</f>
        <v/>
      </c>
      <c r="V126" s="137"/>
      <c r="W126" s="58" t="str" cm="1">
        <f>IFERROR(INDEX(List_Predictors, INDEX(Array_PredictorsLookup,MATCH($A126,List_PredictorFacilities,0),(COLUMN()-1)/2), 1),"")</f>
        <v/>
      </c>
      <c r="X126" s="137"/>
      <c r="Y126" s="58" t="str" cm="1">
        <f>IFERROR(INDEX(List_Predictors, INDEX(Array_PredictorsLookup,MATCH($A126,List_PredictorFacilities,0),(COLUMN()-1)/2), 1),"")</f>
        <v/>
      </c>
      <c r="Z126" s="137"/>
      <c r="AA126" s="58" t="str" cm="1">
        <f>IFERROR(INDEX(List_Predictors, INDEX(Array_PredictorsLookup,MATCH($A126,List_PredictorFacilities,0),(COLUMN()-1)/2), 1),"")</f>
        <v/>
      </c>
      <c r="AB126" s="137"/>
      <c r="AC126" s="58" t="str" cm="1">
        <f>IFERROR(INDEX(List_Predictors, INDEX(Array_PredictorsLookup,MATCH($A126,List_PredictorFacilities,0),(COLUMN()-1)/2), 1),"")</f>
        <v/>
      </c>
      <c r="AD126" s="137"/>
      <c r="AE126" s="58" t="str" cm="1">
        <f>IFERROR(INDEX(List_Predictors, INDEX(Array_PredictorsLookup,MATCH($A126,List_PredictorFacilities,0),(COLUMN()-1)/2), 1),"")</f>
        <v/>
      </c>
      <c r="AF126" s="137"/>
    </row>
    <row r="127" spans="1:32" x14ac:dyDescent="0.3">
      <c r="A127" s="126"/>
      <c r="B127" s="141"/>
      <c r="C127" s="58" t="str" cm="1">
        <f>IFERROR(INDEX(List_Predictors, INDEX(Array_PredictorsLookup,MATCH($A127,List_PredictorFacilities,0),(COLUMN()-1)/2), 1),"")</f>
        <v/>
      </c>
      <c r="D127" s="137"/>
      <c r="E127" s="58" t="str" cm="1">
        <f>IFERROR(INDEX(List_Predictors, INDEX(Array_PredictorsLookup,MATCH($A127,List_PredictorFacilities,0),(COLUMN()-1)/2), 1),"")</f>
        <v/>
      </c>
      <c r="F127" s="137"/>
      <c r="G127" s="58" t="str" cm="1">
        <f>IFERROR(INDEX(List_Predictors, INDEX(Array_PredictorsLookup,MATCH($A127,List_PredictorFacilities,0),(COLUMN()-1)/2), 1),"")</f>
        <v/>
      </c>
      <c r="H127" s="137"/>
      <c r="I127" s="58" t="str" cm="1">
        <f>IFERROR(INDEX(List_Predictors, INDEX(Array_PredictorsLookup,MATCH($A127,List_PredictorFacilities,0),(COLUMN()-1)/2), 1),"")</f>
        <v/>
      </c>
      <c r="J127" s="137"/>
      <c r="K127" s="58" t="str" cm="1">
        <f>IFERROR(INDEX(List_Predictors, INDEX(Array_PredictorsLookup,MATCH($A127,List_PredictorFacilities,0),(COLUMN()-1)/2), 1),"")</f>
        <v/>
      </c>
      <c r="L127" s="137"/>
      <c r="M127" s="58" t="str" cm="1">
        <f>IFERROR(INDEX(List_Predictors, INDEX(Array_PredictorsLookup,MATCH($A127,List_PredictorFacilities,0),(COLUMN()-1)/2), 1),"")</f>
        <v/>
      </c>
      <c r="N127" s="137"/>
      <c r="O127" s="58" t="str" cm="1">
        <f>IFERROR(INDEX(List_Predictors, INDEX(Array_PredictorsLookup,MATCH($A127,List_PredictorFacilities,0),(COLUMN()-1)/2), 1),"")</f>
        <v/>
      </c>
      <c r="P127" s="137"/>
      <c r="Q127" s="58" t="str" cm="1">
        <f>IFERROR(INDEX(List_Predictors, INDEX(Array_PredictorsLookup,MATCH($A127,List_PredictorFacilities,0),(COLUMN()-1)/2), 1),"")</f>
        <v/>
      </c>
      <c r="R127" s="137"/>
      <c r="S127" s="58" t="str" cm="1">
        <f>IFERROR(INDEX(List_Predictors, INDEX(Array_PredictorsLookup,MATCH($A127,List_PredictorFacilities,0),(COLUMN()-1)/2), 1),"")</f>
        <v/>
      </c>
      <c r="T127" s="137"/>
      <c r="U127" s="58" t="str" cm="1">
        <f>IFERROR(INDEX(List_Predictors, INDEX(Array_PredictorsLookup,MATCH($A127,List_PredictorFacilities,0),(COLUMN()-1)/2), 1),"")</f>
        <v/>
      </c>
      <c r="V127" s="137"/>
      <c r="W127" s="58" t="str" cm="1">
        <f>IFERROR(INDEX(List_Predictors, INDEX(Array_PredictorsLookup,MATCH($A127,List_PredictorFacilities,0),(COLUMN()-1)/2), 1),"")</f>
        <v/>
      </c>
      <c r="X127" s="137"/>
      <c r="Y127" s="58" t="str" cm="1">
        <f>IFERROR(INDEX(List_Predictors, INDEX(Array_PredictorsLookup,MATCH($A127,List_PredictorFacilities,0),(COLUMN()-1)/2), 1),"")</f>
        <v/>
      </c>
      <c r="Z127" s="137"/>
      <c r="AA127" s="58" t="str" cm="1">
        <f>IFERROR(INDEX(List_Predictors, INDEX(Array_PredictorsLookup,MATCH($A127,List_PredictorFacilities,0),(COLUMN()-1)/2), 1),"")</f>
        <v/>
      </c>
      <c r="AB127" s="137"/>
      <c r="AC127" s="58" t="str" cm="1">
        <f>IFERROR(INDEX(List_Predictors, INDEX(Array_PredictorsLookup,MATCH($A127,List_PredictorFacilities,0),(COLUMN()-1)/2), 1),"")</f>
        <v/>
      </c>
      <c r="AD127" s="137"/>
      <c r="AE127" s="58" t="str" cm="1">
        <f>IFERROR(INDEX(List_Predictors, INDEX(Array_PredictorsLookup,MATCH($A127,List_PredictorFacilities,0),(COLUMN()-1)/2), 1),"")</f>
        <v/>
      </c>
      <c r="AF127" s="137"/>
    </row>
    <row r="128" spans="1:32" x14ac:dyDescent="0.3">
      <c r="A128" s="126"/>
      <c r="B128" s="141"/>
      <c r="C128" s="58" t="str" cm="1">
        <f>IFERROR(INDEX(List_Predictors, INDEX(Array_PredictorsLookup,MATCH($A128,List_PredictorFacilities,0),(COLUMN()-1)/2), 1),"")</f>
        <v/>
      </c>
      <c r="D128" s="137"/>
      <c r="E128" s="58" t="str" cm="1">
        <f>IFERROR(INDEX(List_Predictors, INDEX(Array_PredictorsLookup,MATCH($A128,List_PredictorFacilities,0),(COLUMN()-1)/2), 1),"")</f>
        <v/>
      </c>
      <c r="F128" s="137"/>
      <c r="G128" s="58" t="str" cm="1">
        <f>IFERROR(INDEX(List_Predictors, INDEX(Array_PredictorsLookup,MATCH($A128,List_PredictorFacilities,0),(COLUMN()-1)/2), 1),"")</f>
        <v/>
      </c>
      <c r="H128" s="137"/>
      <c r="I128" s="58" t="str" cm="1">
        <f>IFERROR(INDEX(List_Predictors, INDEX(Array_PredictorsLookup,MATCH($A128,List_PredictorFacilities,0),(COLUMN()-1)/2), 1),"")</f>
        <v/>
      </c>
      <c r="J128" s="137"/>
      <c r="K128" s="58" t="str" cm="1">
        <f>IFERROR(INDEX(List_Predictors, INDEX(Array_PredictorsLookup,MATCH($A128,List_PredictorFacilities,0),(COLUMN()-1)/2), 1),"")</f>
        <v/>
      </c>
      <c r="L128" s="137"/>
      <c r="M128" s="58" t="str" cm="1">
        <f>IFERROR(INDEX(List_Predictors, INDEX(Array_PredictorsLookup,MATCH($A128,List_PredictorFacilities,0),(COLUMN()-1)/2), 1),"")</f>
        <v/>
      </c>
      <c r="N128" s="137"/>
      <c r="O128" s="58" t="str" cm="1">
        <f>IFERROR(INDEX(List_Predictors, INDEX(Array_PredictorsLookup,MATCH($A128,List_PredictorFacilities,0),(COLUMN()-1)/2), 1),"")</f>
        <v/>
      </c>
      <c r="P128" s="137"/>
      <c r="Q128" s="58" t="str" cm="1">
        <f>IFERROR(INDEX(List_Predictors, INDEX(Array_PredictorsLookup,MATCH($A128,List_PredictorFacilities,0),(COLUMN()-1)/2), 1),"")</f>
        <v/>
      </c>
      <c r="R128" s="137"/>
      <c r="S128" s="58" t="str" cm="1">
        <f>IFERROR(INDEX(List_Predictors, INDEX(Array_PredictorsLookup,MATCH($A128,List_PredictorFacilities,0),(COLUMN()-1)/2), 1),"")</f>
        <v/>
      </c>
      <c r="T128" s="137"/>
      <c r="U128" s="58" t="str" cm="1">
        <f>IFERROR(INDEX(List_Predictors, INDEX(Array_PredictorsLookup,MATCH($A128,List_PredictorFacilities,0),(COLUMN()-1)/2), 1),"")</f>
        <v/>
      </c>
      <c r="V128" s="137"/>
      <c r="W128" s="58" t="str" cm="1">
        <f>IFERROR(INDEX(List_Predictors, INDEX(Array_PredictorsLookup,MATCH($A128,List_PredictorFacilities,0),(COLUMN()-1)/2), 1),"")</f>
        <v/>
      </c>
      <c r="X128" s="137"/>
      <c r="Y128" s="58" t="str" cm="1">
        <f>IFERROR(INDEX(List_Predictors, INDEX(Array_PredictorsLookup,MATCH($A128,List_PredictorFacilities,0),(COLUMN()-1)/2), 1),"")</f>
        <v/>
      </c>
      <c r="Z128" s="137"/>
      <c r="AA128" s="58" t="str" cm="1">
        <f>IFERROR(INDEX(List_Predictors, INDEX(Array_PredictorsLookup,MATCH($A128,List_PredictorFacilities,0),(COLUMN()-1)/2), 1),"")</f>
        <v/>
      </c>
      <c r="AB128" s="137"/>
      <c r="AC128" s="58" t="str" cm="1">
        <f>IFERROR(INDEX(List_Predictors, INDEX(Array_PredictorsLookup,MATCH($A128,List_PredictorFacilities,0),(COLUMN()-1)/2), 1),"")</f>
        <v/>
      </c>
      <c r="AD128" s="137"/>
      <c r="AE128" s="58" t="str" cm="1">
        <f>IFERROR(INDEX(List_Predictors, INDEX(Array_PredictorsLookup,MATCH($A128,List_PredictorFacilities,0),(COLUMN()-1)/2), 1),"")</f>
        <v/>
      </c>
      <c r="AF128" s="137"/>
    </row>
    <row r="129" spans="1:32" x14ac:dyDescent="0.3">
      <c r="A129" s="126"/>
      <c r="B129" s="141"/>
      <c r="C129" s="58" t="str" cm="1">
        <f>IFERROR(INDEX(List_Predictors, INDEX(Array_PredictorsLookup,MATCH($A129,List_PredictorFacilities,0),(COLUMN()-1)/2), 1),"")</f>
        <v/>
      </c>
      <c r="D129" s="137"/>
      <c r="E129" s="58" t="str" cm="1">
        <f>IFERROR(INDEX(List_Predictors, INDEX(Array_PredictorsLookup,MATCH($A129,List_PredictorFacilities,0),(COLUMN()-1)/2), 1),"")</f>
        <v/>
      </c>
      <c r="F129" s="137"/>
      <c r="G129" s="58" t="str" cm="1">
        <f>IFERROR(INDEX(List_Predictors, INDEX(Array_PredictorsLookup,MATCH($A129,List_PredictorFacilities,0),(COLUMN()-1)/2), 1),"")</f>
        <v/>
      </c>
      <c r="H129" s="137"/>
      <c r="I129" s="58" t="str" cm="1">
        <f>IFERROR(INDEX(List_Predictors, INDEX(Array_PredictorsLookup,MATCH($A129,List_PredictorFacilities,0),(COLUMN()-1)/2), 1),"")</f>
        <v/>
      </c>
      <c r="J129" s="137"/>
      <c r="K129" s="58" t="str" cm="1">
        <f>IFERROR(INDEX(List_Predictors, INDEX(Array_PredictorsLookup,MATCH($A129,List_PredictorFacilities,0),(COLUMN()-1)/2), 1),"")</f>
        <v/>
      </c>
      <c r="L129" s="137"/>
      <c r="M129" s="58" t="str" cm="1">
        <f>IFERROR(INDEX(List_Predictors, INDEX(Array_PredictorsLookup,MATCH($A129,List_PredictorFacilities,0),(COLUMN()-1)/2), 1),"")</f>
        <v/>
      </c>
      <c r="N129" s="137"/>
      <c r="O129" s="58" t="str" cm="1">
        <f>IFERROR(INDEX(List_Predictors, INDEX(Array_PredictorsLookup,MATCH($A129,List_PredictorFacilities,0),(COLUMN()-1)/2), 1),"")</f>
        <v/>
      </c>
      <c r="P129" s="137"/>
      <c r="Q129" s="58" t="str" cm="1">
        <f>IFERROR(INDEX(List_Predictors, INDEX(Array_PredictorsLookup,MATCH($A129,List_PredictorFacilities,0),(COLUMN()-1)/2), 1),"")</f>
        <v/>
      </c>
      <c r="R129" s="137"/>
      <c r="S129" s="58" t="str" cm="1">
        <f>IFERROR(INDEX(List_Predictors, INDEX(Array_PredictorsLookup,MATCH($A129,List_PredictorFacilities,0),(COLUMN()-1)/2), 1),"")</f>
        <v/>
      </c>
      <c r="T129" s="137"/>
      <c r="U129" s="58" t="str" cm="1">
        <f>IFERROR(INDEX(List_Predictors, INDEX(Array_PredictorsLookup,MATCH($A129,List_PredictorFacilities,0),(COLUMN()-1)/2), 1),"")</f>
        <v/>
      </c>
      <c r="V129" s="137"/>
      <c r="W129" s="58" t="str" cm="1">
        <f>IFERROR(INDEX(List_Predictors, INDEX(Array_PredictorsLookup,MATCH($A129,List_PredictorFacilities,0),(COLUMN()-1)/2), 1),"")</f>
        <v/>
      </c>
      <c r="X129" s="137"/>
      <c r="Y129" s="58" t="str" cm="1">
        <f>IFERROR(INDEX(List_Predictors, INDEX(Array_PredictorsLookup,MATCH($A129,List_PredictorFacilities,0),(COLUMN()-1)/2), 1),"")</f>
        <v/>
      </c>
      <c r="Z129" s="137"/>
      <c r="AA129" s="58" t="str" cm="1">
        <f>IFERROR(INDEX(List_Predictors, INDEX(Array_PredictorsLookup,MATCH($A129,List_PredictorFacilities,0),(COLUMN()-1)/2), 1),"")</f>
        <v/>
      </c>
      <c r="AB129" s="137"/>
      <c r="AC129" s="58" t="str" cm="1">
        <f>IFERROR(INDEX(List_Predictors, INDEX(Array_PredictorsLookup,MATCH($A129,List_PredictorFacilities,0),(COLUMN()-1)/2), 1),"")</f>
        <v/>
      </c>
      <c r="AD129" s="137"/>
      <c r="AE129" s="58" t="str" cm="1">
        <f>IFERROR(INDEX(List_Predictors, INDEX(Array_PredictorsLookup,MATCH($A129,List_PredictorFacilities,0),(COLUMN()-1)/2), 1),"")</f>
        <v/>
      </c>
      <c r="AF129" s="137"/>
    </row>
    <row r="130" spans="1:32" x14ac:dyDescent="0.3">
      <c r="A130" s="126"/>
      <c r="B130" s="141"/>
      <c r="C130" s="58" t="str" cm="1">
        <f>IFERROR(INDEX(List_Predictors, INDEX(Array_PredictorsLookup,MATCH($A130,List_PredictorFacilities,0),(COLUMN()-1)/2), 1),"")</f>
        <v/>
      </c>
      <c r="D130" s="137"/>
      <c r="E130" s="58" t="str" cm="1">
        <f>IFERROR(INDEX(List_Predictors, INDEX(Array_PredictorsLookup,MATCH($A130,List_PredictorFacilities,0),(COLUMN()-1)/2), 1),"")</f>
        <v/>
      </c>
      <c r="F130" s="137"/>
      <c r="G130" s="58" t="str" cm="1">
        <f>IFERROR(INDEX(List_Predictors, INDEX(Array_PredictorsLookup,MATCH($A130,List_PredictorFacilities,0),(COLUMN()-1)/2), 1),"")</f>
        <v/>
      </c>
      <c r="H130" s="137"/>
      <c r="I130" s="58" t="str" cm="1">
        <f>IFERROR(INDEX(List_Predictors, INDEX(Array_PredictorsLookup,MATCH($A130,List_PredictorFacilities,0),(COLUMN()-1)/2), 1),"")</f>
        <v/>
      </c>
      <c r="J130" s="137"/>
      <c r="K130" s="58" t="str" cm="1">
        <f>IFERROR(INDEX(List_Predictors, INDEX(Array_PredictorsLookup,MATCH($A130,List_PredictorFacilities,0),(COLUMN()-1)/2), 1),"")</f>
        <v/>
      </c>
      <c r="L130" s="137"/>
      <c r="M130" s="58" t="str" cm="1">
        <f>IFERROR(INDEX(List_Predictors, INDEX(Array_PredictorsLookup,MATCH($A130,List_PredictorFacilities,0),(COLUMN()-1)/2), 1),"")</f>
        <v/>
      </c>
      <c r="N130" s="137"/>
      <c r="O130" s="58" t="str" cm="1">
        <f>IFERROR(INDEX(List_Predictors, INDEX(Array_PredictorsLookup,MATCH($A130,List_PredictorFacilities,0),(COLUMN()-1)/2), 1),"")</f>
        <v/>
      </c>
      <c r="P130" s="137"/>
      <c r="Q130" s="58" t="str" cm="1">
        <f>IFERROR(INDEX(List_Predictors, INDEX(Array_PredictorsLookup,MATCH($A130,List_PredictorFacilities,0),(COLUMN()-1)/2), 1),"")</f>
        <v/>
      </c>
      <c r="R130" s="137"/>
      <c r="S130" s="58" t="str" cm="1">
        <f>IFERROR(INDEX(List_Predictors, INDEX(Array_PredictorsLookup,MATCH($A130,List_PredictorFacilities,0),(COLUMN()-1)/2), 1),"")</f>
        <v/>
      </c>
      <c r="T130" s="137"/>
      <c r="U130" s="58" t="str" cm="1">
        <f>IFERROR(INDEX(List_Predictors, INDEX(Array_PredictorsLookup,MATCH($A130,List_PredictorFacilities,0),(COLUMN()-1)/2), 1),"")</f>
        <v/>
      </c>
      <c r="V130" s="137"/>
      <c r="W130" s="58" t="str" cm="1">
        <f>IFERROR(INDEX(List_Predictors, INDEX(Array_PredictorsLookup,MATCH($A130,List_PredictorFacilities,0),(COLUMN()-1)/2), 1),"")</f>
        <v/>
      </c>
      <c r="X130" s="137"/>
      <c r="Y130" s="58" t="str" cm="1">
        <f>IFERROR(INDEX(List_Predictors, INDEX(Array_PredictorsLookup,MATCH($A130,List_PredictorFacilities,0),(COLUMN()-1)/2), 1),"")</f>
        <v/>
      </c>
      <c r="Z130" s="137"/>
      <c r="AA130" s="58" t="str" cm="1">
        <f>IFERROR(INDEX(List_Predictors, INDEX(Array_PredictorsLookup,MATCH($A130,List_PredictorFacilities,0),(COLUMN()-1)/2), 1),"")</f>
        <v/>
      </c>
      <c r="AB130" s="137"/>
      <c r="AC130" s="58" t="str" cm="1">
        <f>IFERROR(INDEX(List_Predictors, INDEX(Array_PredictorsLookup,MATCH($A130,List_PredictorFacilities,0),(COLUMN()-1)/2), 1),"")</f>
        <v/>
      </c>
      <c r="AD130" s="137"/>
      <c r="AE130" s="58" t="str" cm="1">
        <f>IFERROR(INDEX(List_Predictors, INDEX(Array_PredictorsLookup,MATCH($A130,List_PredictorFacilities,0),(COLUMN()-1)/2), 1),"")</f>
        <v/>
      </c>
      <c r="AF130" s="137"/>
    </row>
    <row r="131" spans="1:32" x14ac:dyDescent="0.3">
      <c r="A131" s="126"/>
      <c r="B131" s="141"/>
      <c r="C131" s="58" t="str" cm="1">
        <f>IFERROR(INDEX(List_Predictors, INDEX(Array_PredictorsLookup,MATCH($A131,List_PredictorFacilities,0),(COLUMN()-1)/2), 1),"")</f>
        <v/>
      </c>
      <c r="D131" s="137"/>
      <c r="E131" s="58" t="str" cm="1">
        <f>IFERROR(INDEX(List_Predictors, INDEX(Array_PredictorsLookup,MATCH($A131,List_PredictorFacilities,0),(COLUMN()-1)/2), 1),"")</f>
        <v/>
      </c>
      <c r="F131" s="137"/>
      <c r="G131" s="58" t="str" cm="1">
        <f>IFERROR(INDEX(List_Predictors, INDEX(Array_PredictorsLookup,MATCH($A131,List_PredictorFacilities,0),(COLUMN()-1)/2), 1),"")</f>
        <v/>
      </c>
      <c r="H131" s="137"/>
      <c r="I131" s="58" t="str" cm="1">
        <f>IFERROR(INDEX(List_Predictors, INDEX(Array_PredictorsLookup,MATCH($A131,List_PredictorFacilities,0),(COLUMN()-1)/2), 1),"")</f>
        <v/>
      </c>
      <c r="J131" s="137"/>
      <c r="K131" s="58" t="str" cm="1">
        <f>IFERROR(INDEX(List_Predictors, INDEX(Array_PredictorsLookup,MATCH($A131,List_PredictorFacilities,0),(COLUMN()-1)/2), 1),"")</f>
        <v/>
      </c>
      <c r="L131" s="137"/>
      <c r="M131" s="58" t="str" cm="1">
        <f>IFERROR(INDEX(List_Predictors, INDEX(Array_PredictorsLookup,MATCH($A131,List_PredictorFacilities,0),(COLUMN()-1)/2), 1),"")</f>
        <v/>
      </c>
      <c r="N131" s="137"/>
      <c r="O131" s="58" t="str" cm="1">
        <f>IFERROR(INDEX(List_Predictors, INDEX(Array_PredictorsLookup,MATCH($A131,List_PredictorFacilities,0),(COLUMN()-1)/2), 1),"")</f>
        <v/>
      </c>
      <c r="P131" s="137"/>
      <c r="Q131" s="58" t="str" cm="1">
        <f>IFERROR(INDEX(List_Predictors, INDEX(Array_PredictorsLookup,MATCH($A131,List_PredictorFacilities,0),(COLUMN()-1)/2), 1),"")</f>
        <v/>
      </c>
      <c r="R131" s="137"/>
      <c r="S131" s="58" t="str" cm="1">
        <f>IFERROR(INDEX(List_Predictors, INDEX(Array_PredictorsLookup,MATCH($A131,List_PredictorFacilities,0),(COLUMN()-1)/2), 1),"")</f>
        <v/>
      </c>
      <c r="T131" s="137"/>
      <c r="U131" s="58" t="str" cm="1">
        <f>IFERROR(INDEX(List_Predictors, INDEX(Array_PredictorsLookup,MATCH($A131,List_PredictorFacilities,0),(COLUMN()-1)/2), 1),"")</f>
        <v/>
      </c>
      <c r="V131" s="137"/>
      <c r="W131" s="58" t="str" cm="1">
        <f>IFERROR(INDEX(List_Predictors, INDEX(Array_PredictorsLookup,MATCH($A131,List_PredictorFacilities,0),(COLUMN()-1)/2), 1),"")</f>
        <v/>
      </c>
      <c r="X131" s="137"/>
      <c r="Y131" s="58" t="str" cm="1">
        <f>IFERROR(INDEX(List_Predictors, INDEX(Array_PredictorsLookup,MATCH($A131,List_PredictorFacilities,0),(COLUMN()-1)/2), 1),"")</f>
        <v/>
      </c>
      <c r="Z131" s="137"/>
      <c r="AA131" s="58" t="str" cm="1">
        <f>IFERROR(INDEX(List_Predictors, INDEX(Array_PredictorsLookup,MATCH($A131,List_PredictorFacilities,0),(COLUMN()-1)/2), 1),"")</f>
        <v/>
      </c>
      <c r="AB131" s="137"/>
      <c r="AC131" s="58" t="str" cm="1">
        <f>IFERROR(INDEX(List_Predictors, INDEX(Array_PredictorsLookup,MATCH($A131,List_PredictorFacilities,0),(COLUMN()-1)/2), 1),"")</f>
        <v/>
      </c>
      <c r="AD131" s="137"/>
      <c r="AE131" s="58" t="str" cm="1">
        <f>IFERROR(INDEX(List_Predictors, INDEX(Array_PredictorsLookup,MATCH($A131,List_PredictorFacilities,0),(COLUMN()-1)/2), 1),"")</f>
        <v/>
      </c>
      <c r="AF131" s="137"/>
    </row>
    <row r="132" spans="1:32" x14ac:dyDescent="0.3">
      <c r="A132" s="126"/>
      <c r="B132" s="141"/>
      <c r="C132" s="58" t="str" cm="1">
        <f>IFERROR(INDEX(List_Predictors, INDEX(Array_PredictorsLookup,MATCH($A132,List_PredictorFacilities,0),(COLUMN()-1)/2), 1),"")</f>
        <v/>
      </c>
      <c r="D132" s="137"/>
      <c r="E132" s="58" t="str" cm="1">
        <f>IFERROR(INDEX(List_Predictors, INDEX(Array_PredictorsLookup,MATCH($A132,List_PredictorFacilities,0),(COLUMN()-1)/2), 1),"")</f>
        <v/>
      </c>
      <c r="F132" s="137"/>
      <c r="G132" s="58" t="str" cm="1">
        <f>IFERROR(INDEX(List_Predictors, INDEX(Array_PredictorsLookup,MATCH($A132,List_PredictorFacilities,0),(COLUMN()-1)/2), 1),"")</f>
        <v/>
      </c>
      <c r="H132" s="137"/>
      <c r="I132" s="58" t="str" cm="1">
        <f>IFERROR(INDEX(List_Predictors, INDEX(Array_PredictorsLookup,MATCH($A132,List_PredictorFacilities,0),(COLUMN()-1)/2), 1),"")</f>
        <v/>
      </c>
      <c r="J132" s="137"/>
      <c r="K132" s="58" t="str" cm="1">
        <f>IFERROR(INDEX(List_Predictors, INDEX(Array_PredictorsLookup,MATCH($A132,List_PredictorFacilities,0),(COLUMN()-1)/2), 1),"")</f>
        <v/>
      </c>
      <c r="L132" s="137"/>
      <c r="M132" s="58" t="str" cm="1">
        <f>IFERROR(INDEX(List_Predictors, INDEX(Array_PredictorsLookup,MATCH($A132,List_PredictorFacilities,0),(COLUMN()-1)/2), 1),"")</f>
        <v/>
      </c>
      <c r="N132" s="137"/>
      <c r="O132" s="58" t="str" cm="1">
        <f>IFERROR(INDEX(List_Predictors, INDEX(Array_PredictorsLookup,MATCH($A132,List_PredictorFacilities,0),(COLUMN()-1)/2), 1),"")</f>
        <v/>
      </c>
      <c r="P132" s="137"/>
      <c r="Q132" s="58" t="str" cm="1">
        <f>IFERROR(INDEX(List_Predictors, INDEX(Array_PredictorsLookup,MATCH($A132,List_PredictorFacilities,0),(COLUMN()-1)/2), 1),"")</f>
        <v/>
      </c>
      <c r="R132" s="137"/>
      <c r="S132" s="58" t="str" cm="1">
        <f>IFERROR(INDEX(List_Predictors, INDEX(Array_PredictorsLookup,MATCH($A132,List_PredictorFacilities,0),(COLUMN()-1)/2), 1),"")</f>
        <v/>
      </c>
      <c r="T132" s="137"/>
      <c r="U132" s="58" t="str" cm="1">
        <f>IFERROR(INDEX(List_Predictors, INDEX(Array_PredictorsLookup,MATCH($A132,List_PredictorFacilities,0),(COLUMN()-1)/2), 1),"")</f>
        <v/>
      </c>
      <c r="V132" s="137"/>
      <c r="W132" s="58" t="str" cm="1">
        <f>IFERROR(INDEX(List_Predictors, INDEX(Array_PredictorsLookup,MATCH($A132,List_PredictorFacilities,0),(COLUMN()-1)/2), 1),"")</f>
        <v/>
      </c>
      <c r="X132" s="137"/>
      <c r="Y132" s="58" t="str" cm="1">
        <f>IFERROR(INDEX(List_Predictors, INDEX(Array_PredictorsLookup,MATCH($A132,List_PredictorFacilities,0),(COLUMN()-1)/2), 1),"")</f>
        <v/>
      </c>
      <c r="Z132" s="137"/>
      <c r="AA132" s="58" t="str" cm="1">
        <f>IFERROR(INDEX(List_Predictors, INDEX(Array_PredictorsLookup,MATCH($A132,List_PredictorFacilities,0),(COLUMN()-1)/2), 1),"")</f>
        <v/>
      </c>
      <c r="AB132" s="137"/>
      <c r="AC132" s="58" t="str" cm="1">
        <f>IFERROR(INDEX(List_Predictors, INDEX(Array_PredictorsLookup,MATCH($A132,List_PredictorFacilities,0),(COLUMN()-1)/2), 1),"")</f>
        <v/>
      </c>
      <c r="AD132" s="137"/>
      <c r="AE132" s="58" t="str" cm="1">
        <f>IFERROR(INDEX(List_Predictors, INDEX(Array_PredictorsLookup,MATCH($A132,List_PredictorFacilities,0),(COLUMN()-1)/2), 1),"")</f>
        <v/>
      </c>
      <c r="AF132" s="137"/>
    </row>
    <row r="133" spans="1:32" x14ac:dyDescent="0.3">
      <c r="A133" s="126"/>
      <c r="B133" s="141"/>
      <c r="C133" s="58" t="str" cm="1">
        <f>IFERROR(INDEX(List_Predictors, INDEX(Array_PredictorsLookup,MATCH($A133,List_PredictorFacilities,0),(COLUMN()-1)/2), 1),"")</f>
        <v/>
      </c>
      <c r="D133" s="137"/>
      <c r="E133" s="58" t="str" cm="1">
        <f>IFERROR(INDEX(List_Predictors, INDEX(Array_PredictorsLookup,MATCH($A133,List_PredictorFacilities,0),(COLUMN()-1)/2), 1),"")</f>
        <v/>
      </c>
      <c r="F133" s="137"/>
      <c r="G133" s="58" t="str" cm="1">
        <f>IFERROR(INDEX(List_Predictors, INDEX(Array_PredictorsLookup,MATCH($A133,List_PredictorFacilities,0),(COLUMN()-1)/2), 1),"")</f>
        <v/>
      </c>
      <c r="H133" s="137"/>
      <c r="I133" s="58" t="str" cm="1">
        <f>IFERROR(INDEX(List_Predictors, INDEX(Array_PredictorsLookup,MATCH($A133,List_PredictorFacilities,0),(COLUMN()-1)/2), 1),"")</f>
        <v/>
      </c>
      <c r="J133" s="137"/>
      <c r="K133" s="58" t="str" cm="1">
        <f>IFERROR(INDEX(List_Predictors, INDEX(Array_PredictorsLookup,MATCH($A133,List_PredictorFacilities,0),(COLUMN()-1)/2), 1),"")</f>
        <v/>
      </c>
      <c r="L133" s="137"/>
      <c r="M133" s="58" t="str" cm="1">
        <f>IFERROR(INDEX(List_Predictors, INDEX(Array_PredictorsLookup,MATCH($A133,List_PredictorFacilities,0),(COLUMN()-1)/2), 1),"")</f>
        <v/>
      </c>
      <c r="N133" s="137"/>
      <c r="O133" s="58" t="str" cm="1">
        <f>IFERROR(INDEX(List_Predictors, INDEX(Array_PredictorsLookup,MATCH($A133,List_PredictorFacilities,0),(COLUMN()-1)/2), 1),"")</f>
        <v/>
      </c>
      <c r="P133" s="137"/>
      <c r="Q133" s="58" t="str" cm="1">
        <f>IFERROR(INDEX(List_Predictors, INDEX(Array_PredictorsLookup,MATCH($A133,List_PredictorFacilities,0),(COLUMN()-1)/2), 1),"")</f>
        <v/>
      </c>
      <c r="R133" s="137"/>
      <c r="S133" s="58" t="str" cm="1">
        <f>IFERROR(INDEX(List_Predictors, INDEX(Array_PredictorsLookup,MATCH($A133,List_PredictorFacilities,0),(COLUMN()-1)/2), 1),"")</f>
        <v/>
      </c>
      <c r="T133" s="137"/>
      <c r="U133" s="58" t="str" cm="1">
        <f>IFERROR(INDEX(List_Predictors, INDEX(Array_PredictorsLookup,MATCH($A133,List_PredictorFacilities,0),(COLUMN()-1)/2), 1),"")</f>
        <v/>
      </c>
      <c r="V133" s="137"/>
      <c r="W133" s="58" t="str" cm="1">
        <f>IFERROR(INDEX(List_Predictors, INDEX(Array_PredictorsLookup,MATCH($A133,List_PredictorFacilities,0),(COLUMN()-1)/2), 1),"")</f>
        <v/>
      </c>
      <c r="X133" s="137"/>
      <c r="Y133" s="58" t="str" cm="1">
        <f>IFERROR(INDEX(List_Predictors, INDEX(Array_PredictorsLookup,MATCH($A133,List_PredictorFacilities,0),(COLUMN()-1)/2), 1),"")</f>
        <v/>
      </c>
      <c r="Z133" s="137"/>
      <c r="AA133" s="58" t="str" cm="1">
        <f>IFERROR(INDEX(List_Predictors, INDEX(Array_PredictorsLookup,MATCH($A133,List_PredictorFacilities,0),(COLUMN()-1)/2), 1),"")</f>
        <v/>
      </c>
      <c r="AB133" s="137"/>
      <c r="AC133" s="58" t="str" cm="1">
        <f>IFERROR(INDEX(List_Predictors, INDEX(Array_PredictorsLookup,MATCH($A133,List_PredictorFacilities,0),(COLUMN()-1)/2), 1),"")</f>
        <v/>
      </c>
      <c r="AD133" s="137"/>
      <c r="AE133" s="58" t="str" cm="1">
        <f>IFERROR(INDEX(List_Predictors, INDEX(Array_PredictorsLookup,MATCH($A133,List_PredictorFacilities,0),(COLUMN()-1)/2), 1),"")</f>
        <v/>
      </c>
      <c r="AF133" s="137"/>
    </row>
    <row r="134" spans="1:32" x14ac:dyDescent="0.3">
      <c r="A134" s="126"/>
      <c r="B134" s="141"/>
      <c r="C134" s="58" t="str" cm="1">
        <f>IFERROR(INDEX(List_Predictors, INDEX(Array_PredictorsLookup,MATCH($A134,List_PredictorFacilities,0),(COLUMN()-1)/2), 1),"")</f>
        <v/>
      </c>
      <c r="D134" s="137"/>
      <c r="E134" s="58" t="str" cm="1">
        <f>IFERROR(INDEX(List_Predictors, INDEX(Array_PredictorsLookup,MATCH($A134,List_PredictorFacilities,0),(COLUMN()-1)/2), 1),"")</f>
        <v/>
      </c>
      <c r="F134" s="137"/>
      <c r="G134" s="58" t="str" cm="1">
        <f>IFERROR(INDEX(List_Predictors, INDEX(Array_PredictorsLookup,MATCH($A134,List_PredictorFacilities,0),(COLUMN()-1)/2), 1),"")</f>
        <v/>
      </c>
      <c r="H134" s="137"/>
      <c r="I134" s="58" t="str" cm="1">
        <f>IFERROR(INDEX(List_Predictors, INDEX(Array_PredictorsLookup,MATCH($A134,List_PredictorFacilities,0),(COLUMN()-1)/2), 1),"")</f>
        <v/>
      </c>
      <c r="J134" s="137"/>
      <c r="K134" s="58" t="str" cm="1">
        <f>IFERROR(INDEX(List_Predictors, INDEX(Array_PredictorsLookup,MATCH($A134,List_PredictorFacilities,0),(COLUMN()-1)/2), 1),"")</f>
        <v/>
      </c>
      <c r="L134" s="137"/>
      <c r="M134" s="58" t="str" cm="1">
        <f>IFERROR(INDEX(List_Predictors, INDEX(Array_PredictorsLookup,MATCH($A134,List_PredictorFacilities,0),(COLUMN()-1)/2), 1),"")</f>
        <v/>
      </c>
      <c r="N134" s="137"/>
      <c r="O134" s="58" t="str" cm="1">
        <f>IFERROR(INDEX(List_Predictors, INDEX(Array_PredictorsLookup,MATCH($A134,List_PredictorFacilities,0),(COLUMN()-1)/2), 1),"")</f>
        <v/>
      </c>
      <c r="P134" s="137"/>
      <c r="Q134" s="58" t="str" cm="1">
        <f>IFERROR(INDEX(List_Predictors, INDEX(Array_PredictorsLookup,MATCH($A134,List_PredictorFacilities,0),(COLUMN()-1)/2), 1),"")</f>
        <v/>
      </c>
      <c r="R134" s="137"/>
      <c r="S134" s="58" t="str" cm="1">
        <f>IFERROR(INDEX(List_Predictors, INDEX(Array_PredictorsLookup,MATCH($A134,List_PredictorFacilities,0),(COLUMN()-1)/2), 1),"")</f>
        <v/>
      </c>
      <c r="T134" s="137"/>
      <c r="U134" s="58" t="str" cm="1">
        <f>IFERROR(INDEX(List_Predictors, INDEX(Array_PredictorsLookup,MATCH($A134,List_PredictorFacilities,0),(COLUMN()-1)/2), 1),"")</f>
        <v/>
      </c>
      <c r="V134" s="137"/>
      <c r="W134" s="58" t="str" cm="1">
        <f>IFERROR(INDEX(List_Predictors, INDEX(Array_PredictorsLookup,MATCH($A134,List_PredictorFacilities,0),(COLUMN()-1)/2), 1),"")</f>
        <v/>
      </c>
      <c r="X134" s="137"/>
      <c r="Y134" s="58" t="str" cm="1">
        <f>IFERROR(INDEX(List_Predictors, INDEX(Array_PredictorsLookup,MATCH($A134,List_PredictorFacilities,0),(COLUMN()-1)/2), 1),"")</f>
        <v/>
      </c>
      <c r="Z134" s="137"/>
      <c r="AA134" s="58" t="str" cm="1">
        <f>IFERROR(INDEX(List_Predictors, INDEX(Array_PredictorsLookup,MATCH($A134,List_PredictorFacilities,0),(COLUMN()-1)/2), 1),"")</f>
        <v/>
      </c>
      <c r="AB134" s="137"/>
      <c r="AC134" s="58" t="str" cm="1">
        <f>IFERROR(INDEX(List_Predictors, INDEX(Array_PredictorsLookup,MATCH($A134,List_PredictorFacilities,0),(COLUMN()-1)/2), 1),"")</f>
        <v/>
      </c>
      <c r="AD134" s="137"/>
      <c r="AE134" s="58" t="str" cm="1">
        <f>IFERROR(INDEX(List_Predictors, INDEX(Array_PredictorsLookup,MATCH($A134,List_PredictorFacilities,0),(COLUMN()-1)/2), 1),"")</f>
        <v/>
      </c>
      <c r="AF134" s="137"/>
    </row>
    <row r="135" spans="1:32" x14ac:dyDescent="0.3">
      <c r="A135" s="126"/>
      <c r="B135" s="141"/>
      <c r="C135" s="58" t="str" cm="1">
        <f>IFERROR(INDEX(List_Predictors, INDEX(Array_PredictorsLookup,MATCH($A135,List_PredictorFacilities,0),(COLUMN()-1)/2), 1),"")</f>
        <v/>
      </c>
      <c r="D135" s="137"/>
      <c r="E135" s="58" t="str" cm="1">
        <f>IFERROR(INDEX(List_Predictors, INDEX(Array_PredictorsLookup,MATCH($A135,List_PredictorFacilities,0),(COLUMN()-1)/2), 1),"")</f>
        <v/>
      </c>
      <c r="F135" s="137"/>
      <c r="G135" s="58" t="str" cm="1">
        <f>IFERROR(INDEX(List_Predictors, INDEX(Array_PredictorsLookup,MATCH($A135,List_PredictorFacilities,0),(COLUMN()-1)/2), 1),"")</f>
        <v/>
      </c>
      <c r="H135" s="137"/>
      <c r="I135" s="58" t="str" cm="1">
        <f>IFERROR(INDEX(List_Predictors, INDEX(Array_PredictorsLookup,MATCH($A135,List_PredictorFacilities,0),(COLUMN()-1)/2), 1),"")</f>
        <v/>
      </c>
      <c r="J135" s="137"/>
      <c r="K135" s="58" t="str" cm="1">
        <f>IFERROR(INDEX(List_Predictors, INDEX(Array_PredictorsLookup,MATCH($A135,List_PredictorFacilities,0),(COLUMN()-1)/2), 1),"")</f>
        <v/>
      </c>
      <c r="L135" s="137"/>
      <c r="M135" s="58" t="str" cm="1">
        <f>IFERROR(INDEX(List_Predictors, INDEX(Array_PredictorsLookup,MATCH($A135,List_PredictorFacilities,0),(COLUMN()-1)/2), 1),"")</f>
        <v/>
      </c>
      <c r="N135" s="137"/>
      <c r="O135" s="58" t="str" cm="1">
        <f>IFERROR(INDEX(List_Predictors, INDEX(Array_PredictorsLookup,MATCH($A135,List_PredictorFacilities,0),(COLUMN()-1)/2), 1),"")</f>
        <v/>
      </c>
      <c r="P135" s="137"/>
      <c r="Q135" s="58" t="str" cm="1">
        <f>IFERROR(INDEX(List_Predictors, INDEX(Array_PredictorsLookup,MATCH($A135,List_PredictorFacilities,0),(COLUMN()-1)/2), 1),"")</f>
        <v/>
      </c>
      <c r="R135" s="137"/>
      <c r="S135" s="58" t="str" cm="1">
        <f>IFERROR(INDEX(List_Predictors, INDEX(Array_PredictorsLookup,MATCH($A135,List_PredictorFacilities,0),(COLUMN()-1)/2), 1),"")</f>
        <v/>
      </c>
      <c r="T135" s="137"/>
      <c r="U135" s="58" t="str" cm="1">
        <f>IFERROR(INDEX(List_Predictors, INDEX(Array_PredictorsLookup,MATCH($A135,List_PredictorFacilities,0),(COLUMN()-1)/2), 1),"")</f>
        <v/>
      </c>
      <c r="V135" s="137"/>
      <c r="W135" s="58" t="str" cm="1">
        <f>IFERROR(INDEX(List_Predictors, INDEX(Array_PredictorsLookup,MATCH($A135,List_PredictorFacilities,0),(COLUMN()-1)/2), 1),"")</f>
        <v/>
      </c>
      <c r="X135" s="137"/>
      <c r="Y135" s="58" t="str" cm="1">
        <f>IFERROR(INDEX(List_Predictors, INDEX(Array_PredictorsLookup,MATCH($A135,List_PredictorFacilities,0),(COLUMN()-1)/2), 1),"")</f>
        <v/>
      </c>
      <c r="Z135" s="137"/>
      <c r="AA135" s="58" t="str" cm="1">
        <f>IFERROR(INDEX(List_Predictors, INDEX(Array_PredictorsLookup,MATCH($A135,List_PredictorFacilities,0),(COLUMN()-1)/2), 1),"")</f>
        <v/>
      </c>
      <c r="AB135" s="137"/>
      <c r="AC135" s="58" t="str" cm="1">
        <f>IFERROR(INDEX(List_Predictors, INDEX(Array_PredictorsLookup,MATCH($A135,List_PredictorFacilities,0),(COLUMN()-1)/2), 1),"")</f>
        <v/>
      </c>
      <c r="AD135" s="137"/>
      <c r="AE135" s="58" t="str" cm="1">
        <f>IFERROR(INDEX(List_Predictors, INDEX(Array_PredictorsLookup,MATCH($A135,List_PredictorFacilities,0),(COLUMN()-1)/2), 1),"")</f>
        <v/>
      </c>
      <c r="AF135" s="137"/>
    </row>
    <row r="136" spans="1:32" x14ac:dyDescent="0.3">
      <c r="A136" s="126"/>
      <c r="B136" s="141"/>
      <c r="C136" s="58" t="str" cm="1">
        <f>IFERROR(INDEX(List_Predictors, INDEX(Array_PredictorsLookup,MATCH($A136,List_PredictorFacilities,0),(COLUMN()-1)/2), 1),"")</f>
        <v/>
      </c>
      <c r="D136" s="137"/>
      <c r="E136" s="58" t="str" cm="1">
        <f>IFERROR(INDEX(List_Predictors, INDEX(Array_PredictorsLookup,MATCH($A136,List_PredictorFacilities,0),(COLUMN()-1)/2), 1),"")</f>
        <v/>
      </c>
      <c r="F136" s="137"/>
      <c r="G136" s="58" t="str" cm="1">
        <f>IFERROR(INDEX(List_Predictors, INDEX(Array_PredictorsLookup,MATCH($A136,List_PredictorFacilities,0),(COLUMN()-1)/2), 1),"")</f>
        <v/>
      </c>
      <c r="H136" s="137"/>
      <c r="I136" s="58" t="str" cm="1">
        <f>IFERROR(INDEX(List_Predictors, INDEX(Array_PredictorsLookup,MATCH($A136,List_PredictorFacilities,0),(COLUMN()-1)/2), 1),"")</f>
        <v/>
      </c>
      <c r="J136" s="137"/>
      <c r="K136" s="58" t="str" cm="1">
        <f>IFERROR(INDEX(List_Predictors, INDEX(Array_PredictorsLookup,MATCH($A136,List_PredictorFacilities,0),(COLUMN()-1)/2), 1),"")</f>
        <v/>
      </c>
      <c r="L136" s="137"/>
      <c r="M136" s="58" t="str" cm="1">
        <f>IFERROR(INDEX(List_Predictors, INDEX(Array_PredictorsLookup,MATCH($A136,List_PredictorFacilities,0),(COLUMN()-1)/2), 1),"")</f>
        <v/>
      </c>
      <c r="N136" s="137"/>
      <c r="O136" s="58" t="str" cm="1">
        <f>IFERROR(INDEX(List_Predictors, INDEX(Array_PredictorsLookup,MATCH($A136,List_PredictorFacilities,0),(COLUMN()-1)/2), 1),"")</f>
        <v/>
      </c>
      <c r="P136" s="137"/>
      <c r="Q136" s="58" t="str" cm="1">
        <f>IFERROR(INDEX(List_Predictors, INDEX(Array_PredictorsLookup,MATCH($A136,List_PredictorFacilities,0),(COLUMN()-1)/2), 1),"")</f>
        <v/>
      </c>
      <c r="R136" s="137"/>
      <c r="S136" s="58" t="str" cm="1">
        <f>IFERROR(INDEX(List_Predictors, INDEX(Array_PredictorsLookup,MATCH($A136,List_PredictorFacilities,0),(COLUMN()-1)/2), 1),"")</f>
        <v/>
      </c>
      <c r="T136" s="137"/>
      <c r="U136" s="58" t="str" cm="1">
        <f>IFERROR(INDEX(List_Predictors, INDEX(Array_PredictorsLookup,MATCH($A136,List_PredictorFacilities,0),(COLUMN()-1)/2), 1),"")</f>
        <v/>
      </c>
      <c r="V136" s="137"/>
      <c r="W136" s="58" t="str" cm="1">
        <f>IFERROR(INDEX(List_Predictors, INDEX(Array_PredictorsLookup,MATCH($A136,List_PredictorFacilities,0),(COLUMN()-1)/2), 1),"")</f>
        <v/>
      </c>
      <c r="X136" s="137"/>
      <c r="Y136" s="58" t="str" cm="1">
        <f>IFERROR(INDEX(List_Predictors, INDEX(Array_PredictorsLookup,MATCH($A136,List_PredictorFacilities,0),(COLUMN()-1)/2), 1),"")</f>
        <v/>
      </c>
      <c r="Z136" s="137"/>
      <c r="AA136" s="58" t="str" cm="1">
        <f>IFERROR(INDEX(List_Predictors, INDEX(Array_PredictorsLookup,MATCH($A136,List_PredictorFacilities,0),(COLUMN()-1)/2), 1),"")</f>
        <v/>
      </c>
      <c r="AB136" s="137"/>
      <c r="AC136" s="58" t="str" cm="1">
        <f>IFERROR(INDEX(List_Predictors, INDEX(Array_PredictorsLookup,MATCH($A136,List_PredictorFacilities,0),(COLUMN()-1)/2), 1),"")</f>
        <v/>
      </c>
      <c r="AD136" s="137"/>
      <c r="AE136" s="58" t="str" cm="1">
        <f>IFERROR(INDEX(List_Predictors, INDEX(Array_PredictorsLookup,MATCH($A136,List_PredictorFacilities,0),(COLUMN()-1)/2), 1),"")</f>
        <v/>
      </c>
      <c r="AF136" s="137"/>
    </row>
    <row r="137" spans="1:32" x14ac:dyDescent="0.3">
      <c r="A137" s="126"/>
      <c r="B137" s="141"/>
      <c r="C137" s="58" t="str" cm="1">
        <f>IFERROR(INDEX(List_Predictors, INDEX(Array_PredictorsLookup,MATCH($A137,List_PredictorFacilities,0),(COLUMN()-1)/2), 1),"")</f>
        <v/>
      </c>
      <c r="D137" s="137"/>
      <c r="E137" s="58" t="str" cm="1">
        <f>IFERROR(INDEX(List_Predictors, INDEX(Array_PredictorsLookup,MATCH($A137,List_PredictorFacilities,0),(COLUMN()-1)/2), 1),"")</f>
        <v/>
      </c>
      <c r="F137" s="137"/>
      <c r="G137" s="58" t="str" cm="1">
        <f>IFERROR(INDEX(List_Predictors, INDEX(Array_PredictorsLookup,MATCH($A137,List_PredictorFacilities,0),(COLUMN()-1)/2), 1),"")</f>
        <v/>
      </c>
      <c r="H137" s="137"/>
      <c r="I137" s="58" t="str" cm="1">
        <f>IFERROR(INDEX(List_Predictors, INDEX(Array_PredictorsLookup,MATCH($A137,List_PredictorFacilities,0),(COLUMN()-1)/2), 1),"")</f>
        <v/>
      </c>
      <c r="J137" s="137"/>
      <c r="K137" s="58" t="str" cm="1">
        <f>IFERROR(INDEX(List_Predictors, INDEX(Array_PredictorsLookup,MATCH($A137,List_PredictorFacilities,0),(COLUMN()-1)/2), 1),"")</f>
        <v/>
      </c>
      <c r="L137" s="137"/>
      <c r="M137" s="58" t="str" cm="1">
        <f>IFERROR(INDEX(List_Predictors, INDEX(Array_PredictorsLookup,MATCH($A137,List_PredictorFacilities,0),(COLUMN()-1)/2), 1),"")</f>
        <v/>
      </c>
      <c r="N137" s="137"/>
      <c r="O137" s="58" t="str" cm="1">
        <f>IFERROR(INDEX(List_Predictors, INDEX(Array_PredictorsLookup,MATCH($A137,List_PredictorFacilities,0),(COLUMN()-1)/2), 1),"")</f>
        <v/>
      </c>
      <c r="P137" s="137"/>
      <c r="Q137" s="58" t="str" cm="1">
        <f>IFERROR(INDEX(List_Predictors, INDEX(Array_PredictorsLookup,MATCH($A137,List_PredictorFacilities,0),(COLUMN()-1)/2), 1),"")</f>
        <v/>
      </c>
      <c r="R137" s="137"/>
      <c r="S137" s="58" t="str" cm="1">
        <f>IFERROR(INDEX(List_Predictors, INDEX(Array_PredictorsLookup,MATCH($A137,List_PredictorFacilities,0),(COLUMN()-1)/2), 1),"")</f>
        <v/>
      </c>
      <c r="T137" s="137"/>
      <c r="U137" s="58" t="str" cm="1">
        <f>IFERROR(INDEX(List_Predictors, INDEX(Array_PredictorsLookup,MATCH($A137,List_PredictorFacilities,0),(COLUMN()-1)/2), 1),"")</f>
        <v/>
      </c>
      <c r="V137" s="137"/>
      <c r="W137" s="58" t="str" cm="1">
        <f>IFERROR(INDEX(List_Predictors, INDEX(Array_PredictorsLookup,MATCH($A137,List_PredictorFacilities,0),(COLUMN()-1)/2), 1),"")</f>
        <v/>
      </c>
      <c r="X137" s="137"/>
      <c r="Y137" s="58" t="str" cm="1">
        <f>IFERROR(INDEX(List_Predictors, INDEX(Array_PredictorsLookup,MATCH($A137,List_PredictorFacilities,0),(COLUMN()-1)/2), 1),"")</f>
        <v/>
      </c>
      <c r="Z137" s="137"/>
      <c r="AA137" s="58" t="str" cm="1">
        <f>IFERROR(INDEX(List_Predictors, INDEX(Array_PredictorsLookup,MATCH($A137,List_PredictorFacilities,0),(COLUMN()-1)/2), 1),"")</f>
        <v/>
      </c>
      <c r="AB137" s="137"/>
      <c r="AC137" s="58" t="str" cm="1">
        <f>IFERROR(INDEX(List_Predictors, INDEX(Array_PredictorsLookup,MATCH($A137,List_PredictorFacilities,0),(COLUMN()-1)/2), 1),"")</f>
        <v/>
      </c>
      <c r="AD137" s="137"/>
      <c r="AE137" s="58" t="str" cm="1">
        <f>IFERROR(INDEX(List_Predictors, INDEX(Array_PredictorsLookup,MATCH($A137,List_PredictorFacilities,0),(COLUMN()-1)/2), 1),"")</f>
        <v/>
      </c>
      <c r="AF137" s="137"/>
    </row>
    <row r="138" spans="1:32" x14ac:dyDescent="0.3">
      <c r="A138" s="126"/>
      <c r="B138" s="141"/>
      <c r="C138" s="58" t="str" cm="1">
        <f>IFERROR(INDEX(List_Predictors, INDEX(Array_PredictorsLookup,MATCH($A138,List_PredictorFacilities,0),(COLUMN()-1)/2), 1),"")</f>
        <v/>
      </c>
      <c r="D138" s="137"/>
      <c r="E138" s="58" t="str" cm="1">
        <f>IFERROR(INDEX(List_Predictors, INDEX(Array_PredictorsLookup,MATCH($A138,List_PredictorFacilities,0),(COLUMN()-1)/2), 1),"")</f>
        <v/>
      </c>
      <c r="F138" s="137"/>
      <c r="G138" s="58" t="str" cm="1">
        <f>IFERROR(INDEX(List_Predictors, INDEX(Array_PredictorsLookup,MATCH($A138,List_PredictorFacilities,0),(COLUMN()-1)/2), 1),"")</f>
        <v/>
      </c>
      <c r="H138" s="137"/>
      <c r="I138" s="58" t="str" cm="1">
        <f>IFERROR(INDEX(List_Predictors, INDEX(Array_PredictorsLookup,MATCH($A138,List_PredictorFacilities,0),(COLUMN()-1)/2), 1),"")</f>
        <v/>
      </c>
      <c r="J138" s="137"/>
      <c r="K138" s="58" t="str" cm="1">
        <f>IFERROR(INDEX(List_Predictors, INDEX(Array_PredictorsLookup,MATCH($A138,List_PredictorFacilities,0),(COLUMN()-1)/2), 1),"")</f>
        <v/>
      </c>
      <c r="L138" s="137"/>
      <c r="M138" s="58" t="str" cm="1">
        <f>IFERROR(INDEX(List_Predictors, INDEX(Array_PredictorsLookup,MATCH($A138,List_PredictorFacilities,0),(COLUMN()-1)/2), 1),"")</f>
        <v/>
      </c>
      <c r="N138" s="137"/>
      <c r="O138" s="58" t="str" cm="1">
        <f>IFERROR(INDEX(List_Predictors, INDEX(Array_PredictorsLookup,MATCH($A138,List_PredictorFacilities,0),(COLUMN()-1)/2), 1),"")</f>
        <v/>
      </c>
      <c r="P138" s="137"/>
      <c r="Q138" s="58" t="str" cm="1">
        <f>IFERROR(INDEX(List_Predictors, INDEX(Array_PredictorsLookup,MATCH($A138,List_PredictorFacilities,0),(COLUMN()-1)/2), 1),"")</f>
        <v/>
      </c>
      <c r="R138" s="137"/>
      <c r="S138" s="58" t="str" cm="1">
        <f>IFERROR(INDEX(List_Predictors, INDEX(Array_PredictorsLookup,MATCH($A138,List_PredictorFacilities,0),(COLUMN()-1)/2), 1),"")</f>
        <v/>
      </c>
      <c r="T138" s="137"/>
      <c r="U138" s="58" t="str" cm="1">
        <f>IFERROR(INDEX(List_Predictors, INDEX(Array_PredictorsLookup,MATCH($A138,List_PredictorFacilities,0),(COLUMN()-1)/2), 1),"")</f>
        <v/>
      </c>
      <c r="V138" s="137"/>
      <c r="W138" s="58" t="str" cm="1">
        <f>IFERROR(INDEX(List_Predictors, INDEX(Array_PredictorsLookup,MATCH($A138,List_PredictorFacilities,0),(COLUMN()-1)/2), 1),"")</f>
        <v/>
      </c>
      <c r="X138" s="137"/>
      <c r="Y138" s="58" t="str" cm="1">
        <f>IFERROR(INDEX(List_Predictors, INDEX(Array_PredictorsLookup,MATCH($A138,List_PredictorFacilities,0),(COLUMN()-1)/2), 1),"")</f>
        <v/>
      </c>
      <c r="Z138" s="137"/>
      <c r="AA138" s="58" t="str" cm="1">
        <f>IFERROR(INDEX(List_Predictors, INDEX(Array_PredictorsLookup,MATCH($A138,List_PredictorFacilities,0),(COLUMN()-1)/2), 1),"")</f>
        <v/>
      </c>
      <c r="AB138" s="137"/>
      <c r="AC138" s="58" t="str" cm="1">
        <f>IFERROR(INDEX(List_Predictors, INDEX(Array_PredictorsLookup,MATCH($A138,List_PredictorFacilities,0),(COLUMN()-1)/2), 1),"")</f>
        <v/>
      </c>
      <c r="AD138" s="137"/>
      <c r="AE138" s="58" t="str" cm="1">
        <f>IFERROR(INDEX(List_Predictors, INDEX(Array_PredictorsLookup,MATCH($A138,List_PredictorFacilities,0),(COLUMN()-1)/2), 1),"")</f>
        <v/>
      </c>
      <c r="AF138" s="137"/>
    </row>
    <row r="139" spans="1:32" x14ac:dyDescent="0.3">
      <c r="A139" s="126"/>
      <c r="B139" s="141"/>
      <c r="C139" s="58" t="str" cm="1">
        <f>IFERROR(INDEX(List_Predictors, INDEX(Array_PredictorsLookup,MATCH($A139,List_PredictorFacilities,0),(COLUMN()-1)/2), 1),"")</f>
        <v/>
      </c>
      <c r="D139" s="137"/>
      <c r="E139" s="58" t="str" cm="1">
        <f>IFERROR(INDEX(List_Predictors, INDEX(Array_PredictorsLookup,MATCH($A139,List_PredictorFacilities,0),(COLUMN()-1)/2), 1),"")</f>
        <v/>
      </c>
      <c r="F139" s="137"/>
      <c r="G139" s="58" t="str" cm="1">
        <f>IFERROR(INDEX(List_Predictors, INDEX(Array_PredictorsLookup,MATCH($A139,List_PredictorFacilities,0),(COLUMN()-1)/2), 1),"")</f>
        <v/>
      </c>
      <c r="H139" s="137"/>
      <c r="I139" s="58" t="str" cm="1">
        <f>IFERROR(INDEX(List_Predictors, INDEX(Array_PredictorsLookup,MATCH($A139,List_PredictorFacilities,0),(COLUMN()-1)/2), 1),"")</f>
        <v/>
      </c>
      <c r="J139" s="137"/>
      <c r="K139" s="58" t="str" cm="1">
        <f>IFERROR(INDEX(List_Predictors, INDEX(Array_PredictorsLookup,MATCH($A139,List_PredictorFacilities,0),(COLUMN()-1)/2), 1),"")</f>
        <v/>
      </c>
      <c r="L139" s="137"/>
      <c r="M139" s="58" t="str" cm="1">
        <f>IFERROR(INDEX(List_Predictors, INDEX(Array_PredictorsLookup,MATCH($A139,List_PredictorFacilities,0),(COLUMN()-1)/2), 1),"")</f>
        <v/>
      </c>
      <c r="N139" s="137"/>
      <c r="O139" s="58" t="str" cm="1">
        <f>IFERROR(INDEX(List_Predictors, INDEX(Array_PredictorsLookup,MATCH($A139,List_PredictorFacilities,0),(COLUMN()-1)/2), 1),"")</f>
        <v/>
      </c>
      <c r="P139" s="137"/>
      <c r="Q139" s="58" t="str" cm="1">
        <f>IFERROR(INDEX(List_Predictors, INDEX(Array_PredictorsLookup,MATCH($A139,List_PredictorFacilities,0),(COLUMN()-1)/2), 1),"")</f>
        <v/>
      </c>
      <c r="R139" s="137"/>
      <c r="S139" s="58" t="str" cm="1">
        <f>IFERROR(INDEX(List_Predictors, INDEX(Array_PredictorsLookup,MATCH($A139,List_PredictorFacilities,0),(COLUMN()-1)/2), 1),"")</f>
        <v/>
      </c>
      <c r="T139" s="137"/>
      <c r="U139" s="58" t="str" cm="1">
        <f>IFERROR(INDEX(List_Predictors, INDEX(Array_PredictorsLookup,MATCH($A139,List_PredictorFacilities,0),(COLUMN()-1)/2), 1),"")</f>
        <v/>
      </c>
      <c r="V139" s="137"/>
      <c r="W139" s="58" t="str" cm="1">
        <f>IFERROR(INDEX(List_Predictors, INDEX(Array_PredictorsLookup,MATCH($A139,List_PredictorFacilities,0),(COLUMN()-1)/2), 1),"")</f>
        <v/>
      </c>
      <c r="X139" s="137"/>
      <c r="Y139" s="58" t="str" cm="1">
        <f>IFERROR(INDEX(List_Predictors, INDEX(Array_PredictorsLookup,MATCH($A139,List_PredictorFacilities,0),(COLUMN()-1)/2), 1),"")</f>
        <v/>
      </c>
      <c r="Z139" s="137"/>
      <c r="AA139" s="58" t="str" cm="1">
        <f>IFERROR(INDEX(List_Predictors, INDEX(Array_PredictorsLookup,MATCH($A139,List_PredictorFacilities,0),(COLUMN()-1)/2), 1),"")</f>
        <v/>
      </c>
      <c r="AB139" s="137"/>
      <c r="AC139" s="58" t="str" cm="1">
        <f>IFERROR(INDEX(List_Predictors, INDEX(Array_PredictorsLookup,MATCH($A139,List_PredictorFacilities,0),(COLUMN()-1)/2), 1),"")</f>
        <v/>
      </c>
      <c r="AD139" s="137"/>
      <c r="AE139" s="58" t="str" cm="1">
        <f>IFERROR(INDEX(List_Predictors, INDEX(Array_PredictorsLookup,MATCH($A139,List_PredictorFacilities,0),(COLUMN()-1)/2), 1),"")</f>
        <v/>
      </c>
      <c r="AF139" s="137"/>
    </row>
    <row r="140" spans="1:32" x14ac:dyDescent="0.3">
      <c r="A140" s="126"/>
      <c r="B140" s="141"/>
      <c r="C140" s="58" t="str" cm="1">
        <f>IFERROR(INDEX(List_Predictors, INDEX(Array_PredictorsLookup,MATCH($A140,List_PredictorFacilities,0),(COLUMN()-1)/2), 1),"")</f>
        <v/>
      </c>
      <c r="D140" s="137"/>
      <c r="E140" s="58" t="str" cm="1">
        <f>IFERROR(INDEX(List_Predictors, INDEX(Array_PredictorsLookup,MATCH($A140,List_PredictorFacilities,0),(COLUMN()-1)/2), 1),"")</f>
        <v/>
      </c>
      <c r="F140" s="137"/>
      <c r="G140" s="58" t="str" cm="1">
        <f>IFERROR(INDEX(List_Predictors, INDEX(Array_PredictorsLookup,MATCH($A140,List_PredictorFacilities,0),(COLUMN()-1)/2), 1),"")</f>
        <v/>
      </c>
      <c r="H140" s="137"/>
      <c r="I140" s="58" t="str" cm="1">
        <f>IFERROR(INDEX(List_Predictors, INDEX(Array_PredictorsLookup,MATCH($A140,List_PredictorFacilities,0),(COLUMN()-1)/2), 1),"")</f>
        <v/>
      </c>
      <c r="J140" s="137"/>
      <c r="K140" s="58" t="str" cm="1">
        <f>IFERROR(INDEX(List_Predictors, INDEX(Array_PredictorsLookup,MATCH($A140,List_PredictorFacilities,0),(COLUMN()-1)/2), 1),"")</f>
        <v/>
      </c>
      <c r="L140" s="137"/>
      <c r="M140" s="58" t="str" cm="1">
        <f>IFERROR(INDEX(List_Predictors, INDEX(Array_PredictorsLookup,MATCH($A140,List_PredictorFacilities,0),(COLUMN()-1)/2), 1),"")</f>
        <v/>
      </c>
      <c r="N140" s="137"/>
      <c r="O140" s="58" t="str" cm="1">
        <f>IFERROR(INDEX(List_Predictors, INDEX(Array_PredictorsLookup,MATCH($A140,List_PredictorFacilities,0),(COLUMN()-1)/2), 1),"")</f>
        <v/>
      </c>
      <c r="P140" s="137"/>
      <c r="Q140" s="58" t="str" cm="1">
        <f>IFERROR(INDEX(List_Predictors, INDEX(Array_PredictorsLookup,MATCH($A140,List_PredictorFacilities,0),(COLUMN()-1)/2), 1),"")</f>
        <v/>
      </c>
      <c r="R140" s="137"/>
      <c r="S140" s="58" t="str" cm="1">
        <f>IFERROR(INDEX(List_Predictors, INDEX(Array_PredictorsLookup,MATCH($A140,List_PredictorFacilities,0),(COLUMN()-1)/2), 1),"")</f>
        <v/>
      </c>
      <c r="T140" s="137"/>
      <c r="U140" s="58" t="str" cm="1">
        <f>IFERROR(INDEX(List_Predictors, INDEX(Array_PredictorsLookup,MATCH($A140,List_PredictorFacilities,0),(COLUMN()-1)/2), 1),"")</f>
        <v/>
      </c>
      <c r="V140" s="137"/>
      <c r="W140" s="58" t="str" cm="1">
        <f>IFERROR(INDEX(List_Predictors, INDEX(Array_PredictorsLookup,MATCH($A140,List_PredictorFacilities,0),(COLUMN()-1)/2), 1),"")</f>
        <v/>
      </c>
      <c r="X140" s="137"/>
      <c r="Y140" s="58" t="str" cm="1">
        <f>IFERROR(INDEX(List_Predictors, INDEX(Array_PredictorsLookup,MATCH($A140,List_PredictorFacilities,0),(COLUMN()-1)/2), 1),"")</f>
        <v/>
      </c>
      <c r="Z140" s="137"/>
      <c r="AA140" s="58" t="str" cm="1">
        <f>IFERROR(INDEX(List_Predictors, INDEX(Array_PredictorsLookup,MATCH($A140,List_PredictorFacilities,0),(COLUMN()-1)/2), 1),"")</f>
        <v/>
      </c>
      <c r="AB140" s="137"/>
      <c r="AC140" s="58" t="str" cm="1">
        <f>IFERROR(INDEX(List_Predictors, INDEX(Array_PredictorsLookup,MATCH($A140,List_PredictorFacilities,0),(COLUMN()-1)/2), 1),"")</f>
        <v/>
      </c>
      <c r="AD140" s="137"/>
      <c r="AE140" s="58" t="str" cm="1">
        <f>IFERROR(INDEX(List_Predictors, INDEX(Array_PredictorsLookup,MATCH($A140,List_PredictorFacilities,0),(COLUMN()-1)/2), 1),"")</f>
        <v/>
      </c>
      <c r="AF140" s="137"/>
    </row>
    <row r="141" spans="1:32" x14ac:dyDescent="0.3">
      <c r="A141" s="126"/>
      <c r="B141" s="141"/>
      <c r="C141" s="58" t="str" cm="1">
        <f>IFERROR(INDEX(List_Predictors, INDEX(Array_PredictorsLookup,MATCH($A141,List_PredictorFacilities,0),(COLUMN()-1)/2), 1),"")</f>
        <v/>
      </c>
      <c r="D141" s="137"/>
      <c r="E141" s="58" t="str" cm="1">
        <f>IFERROR(INDEX(List_Predictors, INDEX(Array_PredictorsLookup,MATCH($A141,List_PredictorFacilities,0),(COLUMN()-1)/2), 1),"")</f>
        <v/>
      </c>
      <c r="F141" s="137"/>
      <c r="G141" s="58" t="str" cm="1">
        <f>IFERROR(INDEX(List_Predictors, INDEX(Array_PredictorsLookup,MATCH($A141,List_PredictorFacilities,0),(COLUMN()-1)/2), 1),"")</f>
        <v/>
      </c>
      <c r="H141" s="137"/>
      <c r="I141" s="58" t="str" cm="1">
        <f>IFERROR(INDEX(List_Predictors, INDEX(Array_PredictorsLookup,MATCH($A141,List_PredictorFacilities,0),(COLUMN()-1)/2), 1),"")</f>
        <v/>
      </c>
      <c r="J141" s="137"/>
      <c r="K141" s="58" t="str" cm="1">
        <f>IFERROR(INDEX(List_Predictors, INDEX(Array_PredictorsLookup,MATCH($A141,List_PredictorFacilities,0),(COLUMN()-1)/2), 1),"")</f>
        <v/>
      </c>
      <c r="L141" s="137"/>
      <c r="M141" s="58" t="str" cm="1">
        <f>IFERROR(INDEX(List_Predictors, INDEX(Array_PredictorsLookup,MATCH($A141,List_PredictorFacilities,0),(COLUMN()-1)/2), 1),"")</f>
        <v/>
      </c>
      <c r="N141" s="137"/>
      <c r="O141" s="58" t="str" cm="1">
        <f>IFERROR(INDEX(List_Predictors, INDEX(Array_PredictorsLookup,MATCH($A141,List_PredictorFacilities,0),(COLUMN()-1)/2), 1),"")</f>
        <v/>
      </c>
      <c r="P141" s="137"/>
      <c r="Q141" s="58" t="str" cm="1">
        <f>IFERROR(INDEX(List_Predictors, INDEX(Array_PredictorsLookup,MATCH($A141,List_PredictorFacilities,0),(COLUMN()-1)/2), 1),"")</f>
        <v/>
      </c>
      <c r="R141" s="137"/>
      <c r="S141" s="58" t="str" cm="1">
        <f>IFERROR(INDEX(List_Predictors, INDEX(Array_PredictorsLookup,MATCH($A141,List_PredictorFacilities,0),(COLUMN()-1)/2), 1),"")</f>
        <v/>
      </c>
      <c r="T141" s="137"/>
      <c r="U141" s="58" t="str" cm="1">
        <f>IFERROR(INDEX(List_Predictors, INDEX(Array_PredictorsLookup,MATCH($A141,List_PredictorFacilities,0),(COLUMN()-1)/2), 1),"")</f>
        <v/>
      </c>
      <c r="V141" s="137"/>
      <c r="W141" s="58" t="str" cm="1">
        <f>IFERROR(INDEX(List_Predictors, INDEX(Array_PredictorsLookup,MATCH($A141,List_PredictorFacilities,0),(COLUMN()-1)/2), 1),"")</f>
        <v/>
      </c>
      <c r="X141" s="137"/>
      <c r="Y141" s="58" t="str" cm="1">
        <f>IFERROR(INDEX(List_Predictors, INDEX(Array_PredictorsLookup,MATCH($A141,List_PredictorFacilities,0),(COLUMN()-1)/2), 1),"")</f>
        <v/>
      </c>
      <c r="Z141" s="137"/>
      <c r="AA141" s="58" t="str" cm="1">
        <f>IFERROR(INDEX(List_Predictors, INDEX(Array_PredictorsLookup,MATCH($A141,List_PredictorFacilities,0),(COLUMN()-1)/2), 1),"")</f>
        <v/>
      </c>
      <c r="AB141" s="137"/>
      <c r="AC141" s="58" t="str" cm="1">
        <f>IFERROR(INDEX(List_Predictors, INDEX(Array_PredictorsLookup,MATCH($A141,List_PredictorFacilities,0),(COLUMN()-1)/2), 1),"")</f>
        <v/>
      </c>
      <c r="AD141" s="137"/>
      <c r="AE141" s="58" t="str" cm="1">
        <f>IFERROR(INDEX(List_Predictors, INDEX(Array_PredictorsLookup,MATCH($A141,List_PredictorFacilities,0),(COLUMN()-1)/2), 1),"")</f>
        <v/>
      </c>
      <c r="AF141" s="137"/>
    </row>
    <row r="142" spans="1:32" x14ac:dyDescent="0.3">
      <c r="A142" s="126"/>
      <c r="B142" s="141"/>
      <c r="C142" s="58" t="str" cm="1">
        <f>IFERROR(INDEX(List_Predictors, INDEX(Array_PredictorsLookup,MATCH($A142,List_PredictorFacilities,0),(COLUMN()-1)/2), 1),"")</f>
        <v/>
      </c>
      <c r="D142" s="137"/>
      <c r="E142" s="58" t="str" cm="1">
        <f>IFERROR(INDEX(List_Predictors, INDEX(Array_PredictorsLookup,MATCH($A142,List_PredictorFacilities,0),(COLUMN()-1)/2), 1),"")</f>
        <v/>
      </c>
      <c r="F142" s="137"/>
      <c r="G142" s="58" t="str" cm="1">
        <f>IFERROR(INDEX(List_Predictors, INDEX(Array_PredictorsLookup,MATCH($A142,List_PredictorFacilities,0),(COLUMN()-1)/2), 1),"")</f>
        <v/>
      </c>
      <c r="H142" s="137"/>
      <c r="I142" s="58" t="str" cm="1">
        <f>IFERROR(INDEX(List_Predictors, INDEX(Array_PredictorsLookup,MATCH($A142,List_PredictorFacilities,0),(COLUMN()-1)/2), 1),"")</f>
        <v/>
      </c>
      <c r="J142" s="137"/>
      <c r="K142" s="58" t="str" cm="1">
        <f>IFERROR(INDEX(List_Predictors, INDEX(Array_PredictorsLookup,MATCH($A142,List_PredictorFacilities,0),(COLUMN()-1)/2), 1),"")</f>
        <v/>
      </c>
      <c r="L142" s="137"/>
      <c r="M142" s="58" t="str" cm="1">
        <f>IFERROR(INDEX(List_Predictors, INDEX(Array_PredictorsLookup,MATCH($A142,List_PredictorFacilities,0),(COLUMN()-1)/2), 1),"")</f>
        <v/>
      </c>
      <c r="N142" s="137"/>
      <c r="O142" s="58" t="str" cm="1">
        <f>IFERROR(INDEX(List_Predictors, INDEX(Array_PredictorsLookup,MATCH($A142,List_PredictorFacilities,0),(COLUMN()-1)/2), 1),"")</f>
        <v/>
      </c>
      <c r="P142" s="137"/>
      <c r="Q142" s="58" t="str" cm="1">
        <f>IFERROR(INDEX(List_Predictors, INDEX(Array_PredictorsLookup,MATCH($A142,List_PredictorFacilities,0),(COLUMN()-1)/2), 1),"")</f>
        <v/>
      </c>
      <c r="R142" s="137"/>
      <c r="S142" s="58" t="str" cm="1">
        <f>IFERROR(INDEX(List_Predictors, INDEX(Array_PredictorsLookup,MATCH($A142,List_PredictorFacilities,0),(COLUMN()-1)/2), 1),"")</f>
        <v/>
      </c>
      <c r="T142" s="137"/>
      <c r="U142" s="58" t="str" cm="1">
        <f>IFERROR(INDEX(List_Predictors, INDEX(Array_PredictorsLookup,MATCH($A142,List_PredictorFacilities,0),(COLUMN()-1)/2), 1),"")</f>
        <v/>
      </c>
      <c r="V142" s="137"/>
      <c r="W142" s="58" t="str" cm="1">
        <f>IFERROR(INDEX(List_Predictors, INDEX(Array_PredictorsLookup,MATCH($A142,List_PredictorFacilities,0),(COLUMN()-1)/2), 1),"")</f>
        <v/>
      </c>
      <c r="X142" s="137"/>
      <c r="Y142" s="58" t="str" cm="1">
        <f>IFERROR(INDEX(List_Predictors, INDEX(Array_PredictorsLookup,MATCH($A142,List_PredictorFacilities,0),(COLUMN()-1)/2), 1),"")</f>
        <v/>
      </c>
      <c r="Z142" s="137"/>
      <c r="AA142" s="58" t="str" cm="1">
        <f>IFERROR(INDEX(List_Predictors, INDEX(Array_PredictorsLookup,MATCH($A142,List_PredictorFacilities,0),(COLUMN()-1)/2), 1),"")</f>
        <v/>
      </c>
      <c r="AB142" s="137"/>
      <c r="AC142" s="58" t="str" cm="1">
        <f>IFERROR(INDEX(List_Predictors, INDEX(Array_PredictorsLookup,MATCH($A142,List_PredictorFacilities,0),(COLUMN()-1)/2), 1),"")</f>
        <v/>
      </c>
      <c r="AD142" s="137"/>
      <c r="AE142" s="58" t="str" cm="1">
        <f>IFERROR(INDEX(List_Predictors, INDEX(Array_PredictorsLookup,MATCH($A142,List_PredictorFacilities,0),(COLUMN()-1)/2), 1),"")</f>
        <v/>
      </c>
      <c r="AF142" s="137"/>
    </row>
    <row r="143" spans="1:32" x14ac:dyDescent="0.3">
      <c r="A143" s="126"/>
      <c r="B143" s="141"/>
      <c r="C143" s="58" t="str" cm="1">
        <f>IFERROR(INDEX(List_Predictors, INDEX(Array_PredictorsLookup,MATCH($A143,List_PredictorFacilities,0),(COLUMN()-1)/2), 1),"")</f>
        <v/>
      </c>
      <c r="D143" s="137"/>
      <c r="E143" s="58" t="str" cm="1">
        <f>IFERROR(INDEX(List_Predictors, INDEX(Array_PredictorsLookup,MATCH($A143,List_PredictorFacilities,0),(COLUMN()-1)/2), 1),"")</f>
        <v/>
      </c>
      <c r="F143" s="137"/>
      <c r="G143" s="58" t="str" cm="1">
        <f>IFERROR(INDEX(List_Predictors, INDEX(Array_PredictorsLookup,MATCH($A143,List_PredictorFacilities,0),(COLUMN()-1)/2), 1),"")</f>
        <v/>
      </c>
      <c r="H143" s="137"/>
      <c r="I143" s="58" t="str" cm="1">
        <f>IFERROR(INDEX(List_Predictors, INDEX(Array_PredictorsLookup,MATCH($A143,List_PredictorFacilities,0),(COLUMN()-1)/2), 1),"")</f>
        <v/>
      </c>
      <c r="J143" s="137"/>
      <c r="K143" s="58" t="str" cm="1">
        <f>IFERROR(INDEX(List_Predictors, INDEX(Array_PredictorsLookup,MATCH($A143,List_PredictorFacilities,0),(COLUMN()-1)/2), 1),"")</f>
        <v/>
      </c>
      <c r="L143" s="137"/>
      <c r="M143" s="58" t="str" cm="1">
        <f>IFERROR(INDEX(List_Predictors, INDEX(Array_PredictorsLookup,MATCH($A143,List_PredictorFacilities,0),(COLUMN()-1)/2), 1),"")</f>
        <v/>
      </c>
      <c r="N143" s="137"/>
      <c r="O143" s="58" t="str" cm="1">
        <f>IFERROR(INDEX(List_Predictors, INDEX(Array_PredictorsLookup,MATCH($A143,List_PredictorFacilities,0),(COLUMN()-1)/2), 1),"")</f>
        <v/>
      </c>
      <c r="P143" s="137"/>
      <c r="Q143" s="58" t="str" cm="1">
        <f>IFERROR(INDEX(List_Predictors, INDEX(Array_PredictorsLookup,MATCH($A143,List_PredictorFacilities,0),(COLUMN()-1)/2), 1),"")</f>
        <v/>
      </c>
      <c r="R143" s="137"/>
      <c r="S143" s="58" t="str" cm="1">
        <f>IFERROR(INDEX(List_Predictors, INDEX(Array_PredictorsLookup,MATCH($A143,List_PredictorFacilities,0),(COLUMN()-1)/2), 1),"")</f>
        <v/>
      </c>
      <c r="T143" s="137"/>
      <c r="U143" s="58" t="str" cm="1">
        <f>IFERROR(INDEX(List_Predictors, INDEX(Array_PredictorsLookup,MATCH($A143,List_PredictorFacilities,0),(COLUMN()-1)/2), 1),"")</f>
        <v/>
      </c>
      <c r="V143" s="137"/>
      <c r="W143" s="58" t="str" cm="1">
        <f>IFERROR(INDEX(List_Predictors, INDEX(Array_PredictorsLookup,MATCH($A143,List_PredictorFacilities,0),(COLUMN()-1)/2), 1),"")</f>
        <v/>
      </c>
      <c r="X143" s="137"/>
      <c r="Y143" s="58" t="str" cm="1">
        <f>IFERROR(INDEX(List_Predictors, INDEX(Array_PredictorsLookup,MATCH($A143,List_PredictorFacilities,0),(COLUMN()-1)/2), 1),"")</f>
        <v/>
      </c>
      <c r="Z143" s="137"/>
      <c r="AA143" s="58" t="str" cm="1">
        <f>IFERROR(INDEX(List_Predictors, INDEX(Array_PredictorsLookup,MATCH($A143,List_PredictorFacilities,0),(COLUMN()-1)/2), 1),"")</f>
        <v/>
      </c>
      <c r="AB143" s="137"/>
      <c r="AC143" s="58" t="str" cm="1">
        <f>IFERROR(INDEX(List_Predictors, INDEX(Array_PredictorsLookup,MATCH($A143,List_PredictorFacilities,0),(COLUMN()-1)/2), 1),"")</f>
        <v/>
      </c>
      <c r="AD143" s="137"/>
      <c r="AE143" s="58" t="str" cm="1">
        <f>IFERROR(INDEX(List_Predictors, INDEX(Array_PredictorsLookup,MATCH($A143,List_PredictorFacilities,0),(COLUMN()-1)/2), 1),"")</f>
        <v/>
      </c>
      <c r="AF143" s="137"/>
    </row>
    <row r="144" spans="1:32" x14ac:dyDescent="0.3">
      <c r="A144" s="126"/>
      <c r="B144" s="141"/>
      <c r="C144" s="58" t="str" cm="1">
        <f>IFERROR(INDEX(List_Predictors, INDEX(Array_PredictorsLookup,MATCH($A144,List_PredictorFacilities,0),(COLUMN()-1)/2), 1),"")</f>
        <v/>
      </c>
      <c r="D144" s="137"/>
      <c r="E144" s="58" t="str" cm="1">
        <f>IFERROR(INDEX(List_Predictors, INDEX(Array_PredictorsLookup,MATCH($A144,List_PredictorFacilities,0),(COLUMN()-1)/2), 1),"")</f>
        <v/>
      </c>
      <c r="F144" s="137"/>
      <c r="G144" s="58" t="str" cm="1">
        <f>IFERROR(INDEX(List_Predictors, INDEX(Array_PredictorsLookup,MATCH($A144,List_PredictorFacilities,0),(COLUMN()-1)/2), 1),"")</f>
        <v/>
      </c>
      <c r="H144" s="137"/>
      <c r="I144" s="58" t="str" cm="1">
        <f>IFERROR(INDEX(List_Predictors, INDEX(Array_PredictorsLookup,MATCH($A144,List_PredictorFacilities,0),(COLUMN()-1)/2), 1),"")</f>
        <v/>
      </c>
      <c r="J144" s="137"/>
      <c r="K144" s="58" t="str" cm="1">
        <f>IFERROR(INDEX(List_Predictors, INDEX(Array_PredictorsLookup,MATCH($A144,List_PredictorFacilities,0),(COLUMN()-1)/2), 1),"")</f>
        <v/>
      </c>
      <c r="L144" s="137"/>
      <c r="M144" s="58" t="str" cm="1">
        <f>IFERROR(INDEX(List_Predictors, INDEX(Array_PredictorsLookup,MATCH($A144,List_PredictorFacilities,0),(COLUMN()-1)/2), 1),"")</f>
        <v/>
      </c>
      <c r="N144" s="137"/>
      <c r="O144" s="58" t="str" cm="1">
        <f>IFERROR(INDEX(List_Predictors, INDEX(Array_PredictorsLookup,MATCH($A144,List_PredictorFacilities,0),(COLUMN()-1)/2), 1),"")</f>
        <v/>
      </c>
      <c r="P144" s="137"/>
      <c r="Q144" s="58" t="str" cm="1">
        <f>IFERROR(INDEX(List_Predictors, INDEX(Array_PredictorsLookup,MATCH($A144,List_PredictorFacilities,0),(COLUMN()-1)/2), 1),"")</f>
        <v/>
      </c>
      <c r="R144" s="137"/>
      <c r="S144" s="58" t="str" cm="1">
        <f>IFERROR(INDEX(List_Predictors, INDEX(Array_PredictorsLookup,MATCH($A144,List_PredictorFacilities,0),(COLUMN()-1)/2), 1),"")</f>
        <v/>
      </c>
      <c r="T144" s="137"/>
      <c r="U144" s="58" t="str" cm="1">
        <f>IFERROR(INDEX(List_Predictors, INDEX(Array_PredictorsLookup,MATCH($A144,List_PredictorFacilities,0),(COLUMN()-1)/2), 1),"")</f>
        <v/>
      </c>
      <c r="V144" s="137"/>
      <c r="W144" s="58" t="str" cm="1">
        <f>IFERROR(INDEX(List_Predictors, INDEX(Array_PredictorsLookup,MATCH($A144,List_PredictorFacilities,0),(COLUMN()-1)/2), 1),"")</f>
        <v/>
      </c>
      <c r="X144" s="137"/>
      <c r="Y144" s="58" t="str" cm="1">
        <f>IFERROR(INDEX(List_Predictors, INDEX(Array_PredictorsLookup,MATCH($A144,List_PredictorFacilities,0),(COLUMN()-1)/2), 1),"")</f>
        <v/>
      </c>
      <c r="Z144" s="137"/>
      <c r="AA144" s="58" t="str" cm="1">
        <f>IFERROR(INDEX(List_Predictors, INDEX(Array_PredictorsLookup,MATCH($A144,List_PredictorFacilities,0),(COLUMN()-1)/2), 1),"")</f>
        <v/>
      </c>
      <c r="AB144" s="137"/>
      <c r="AC144" s="58" t="str" cm="1">
        <f>IFERROR(INDEX(List_Predictors, INDEX(Array_PredictorsLookup,MATCH($A144,List_PredictorFacilities,0),(COLUMN()-1)/2), 1),"")</f>
        <v/>
      </c>
      <c r="AD144" s="137"/>
      <c r="AE144" s="58" t="str" cm="1">
        <f>IFERROR(INDEX(List_Predictors, INDEX(Array_PredictorsLookup,MATCH($A144,List_PredictorFacilities,0),(COLUMN()-1)/2), 1),"")</f>
        <v/>
      </c>
      <c r="AF144" s="137"/>
    </row>
    <row r="145" spans="1:32" x14ac:dyDescent="0.3">
      <c r="A145" s="126"/>
      <c r="B145" s="141"/>
      <c r="C145" s="58" t="str" cm="1">
        <f>IFERROR(INDEX(List_Predictors, INDEX(Array_PredictorsLookup,MATCH($A145,List_PredictorFacilities,0),(COLUMN()-1)/2), 1),"")</f>
        <v/>
      </c>
      <c r="D145" s="137"/>
      <c r="E145" s="58" t="str" cm="1">
        <f>IFERROR(INDEX(List_Predictors, INDEX(Array_PredictorsLookup,MATCH($A145,List_PredictorFacilities,0),(COLUMN()-1)/2), 1),"")</f>
        <v/>
      </c>
      <c r="F145" s="137"/>
      <c r="G145" s="58" t="str" cm="1">
        <f>IFERROR(INDEX(List_Predictors, INDEX(Array_PredictorsLookup,MATCH($A145,List_PredictorFacilities,0),(COLUMN()-1)/2), 1),"")</f>
        <v/>
      </c>
      <c r="H145" s="137"/>
      <c r="I145" s="58" t="str" cm="1">
        <f>IFERROR(INDEX(List_Predictors, INDEX(Array_PredictorsLookup,MATCH($A145,List_PredictorFacilities,0),(COLUMN()-1)/2), 1),"")</f>
        <v/>
      </c>
      <c r="J145" s="137"/>
      <c r="K145" s="58" t="str" cm="1">
        <f>IFERROR(INDEX(List_Predictors, INDEX(Array_PredictorsLookup,MATCH($A145,List_PredictorFacilities,0),(COLUMN()-1)/2), 1),"")</f>
        <v/>
      </c>
      <c r="L145" s="137"/>
      <c r="M145" s="58" t="str" cm="1">
        <f>IFERROR(INDEX(List_Predictors, INDEX(Array_PredictorsLookup,MATCH($A145,List_PredictorFacilities,0),(COLUMN()-1)/2), 1),"")</f>
        <v/>
      </c>
      <c r="N145" s="137"/>
      <c r="O145" s="58" t="str" cm="1">
        <f>IFERROR(INDEX(List_Predictors, INDEX(Array_PredictorsLookup,MATCH($A145,List_PredictorFacilities,0),(COLUMN()-1)/2), 1),"")</f>
        <v/>
      </c>
      <c r="P145" s="137"/>
      <c r="Q145" s="58" t="str" cm="1">
        <f>IFERROR(INDEX(List_Predictors, INDEX(Array_PredictorsLookup,MATCH($A145,List_PredictorFacilities,0),(COLUMN()-1)/2), 1),"")</f>
        <v/>
      </c>
      <c r="R145" s="137"/>
      <c r="S145" s="58" t="str" cm="1">
        <f>IFERROR(INDEX(List_Predictors, INDEX(Array_PredictorsLookup,MATCH($A145,List_PredictorFacilities,0),(COLUMN()-1)/2), 1),"")</f>
        <v/>
      </c>
      <c r="T145" s="137"/>
      <c r="U145" s="58" t="str" cm="1">
        <f>IFERROR(INDEX(List_Predictors, INDEX(Array_PredictorsLookup,MATCH($A145,List_PredictorFacilities,0),(COLUMN()-1)/2), 1),"")</f>
        <v/>
      </c>
      <c r="V145" s="137"/>
      <c r="W145" s="58" t="str" cm="1">
        <f>IFERROR(INDEX(List_Predictors, INDEX(Array_PredictorsLookup,MATCH($A145,List_PredictorFacilities,0),(COLUMN()-1)/2), 1),"")</f>
        <v/>
      </c>
      <c r="X145" s="137"/>
      <c r="Y145" s="58" t="str" cm="1">
        <f>IFERROR(INDEX(List_Predictors, INDEX(Array_PredictorsLookup,MATCH($A145,List_PredictorFacilities,0),(COLUMN()-1)/2), 1),"")</f>
        <v/>
      </c>
      <c r="Z145" s="137"/>
      <c r="AA145" s="58" t="str" cm="1">
        <f>IFERROR(INDEX(List_Predictors, INDEX(Array_PredictorsLookup,MATCH($A145,List_PredictorFacilities,0),(COLUMN()-1)/2), 1),"")</f>
        <v/>
      </c>
      <c r="AB145" s="137"/>
      <c r="AC145" s="58" t="str" cm="1">
        <f>IFERROR(INDEX(List_Predictors, INDEX(Array_PredictorsLookup,MATCH($A145,List_PredictorFacilities,0),(COLUMN()-1)/2), 1),"")</f>
        <v/>
      </c>
      <c r="AD145" s="137"/>
      <c r="AE145" s="58" t="str" cm="1">
        <f>IFERROR(INDEX(List_Predictors, INDEX(Array_PredictorsLookup,MATCH($A145,List_PredictorFacilities,0),(COLUMN()-1)/2), 1),"")</f>
        <v/>
      </c>
      <c r="AF145" s="137"/>
    </row>
    <row r="146" spans="1:32" x14ac:dyDescent="0.3">
      <c r="A146" s="126"/>
      <c r="B146" s="141"/>
      <c r="C146" s="58" t="str" cm="1">
        <f>IFERROR(INDEX(List_Predictors, INDEX(Array_PredictorsLookup,MATCH($A146,List_PredictorFacilities,0),(COLUMN()-1)/2), 1),"")</f>
        <v/>
      </c>
      <c r="D146" s="137"/>
      <c r="E146" s="58" t="str" cm="1">
        <f>IFERROR(INDEX(List_Predictors, INDEX(Array_PredictorsLookup,MATCH($A146,List_PredictorFacilities,0),(COLUMN()-1)/2), 1),"")</f>
        <v/>
      </c>
      <c r="F146" s="137"/>
      <c r="G146" s="58" t="str" cm="1">
        <f>IFERROR(INDEX(List_Predictors, INDEX(Array_PredictorsLookup,MATCH($A146,List_PredictorFacilities,0),(COLUMN()-1)/2), 1),"")</f>
        <v/>
      </c>
      <c r="H146" s="137"/>
      <c r="I146" s="58" t="str" cm="1">
        <f>IFERROR(INDEX(List_Predictors, INDEX(Array_PredictorsLookup,MATCH($A146,List_PredictorFacilities,0),(COLUMN()-1)/2), 1),"")</f>
        <v/>
      </c>
      <c r="J146" s="137"/>
      <c r="K146" s="58" t="str" cm="1">
        <f>IFERROR(INDEX(List_Predictors, INDEX(Array_PredictorsLookup,MATCH($A146,List_PredictorFacilities,0),(COLUMN()-1)/2), 1),"")</f>
        <v/>
      </c>
      <c r="L146" s="137"/>
      <c r="M146" s="58" t="str" cm="1">
        <f>IFERROR(INDEX(List_Predictors, INDEX(Array_PredictorsLookup,MATCH($A146,List_PredictorFacilities,0),(COLUMN()-1)/2), 1),"")</f>
        <v/>
      </c>
      <c r="N146" s="137"/>
      <c r="O146" s="58" t="str" cm="1">
        <f>IFERROR(INDEX(List_Predictors, INDEX(Array_PredictorsLookup,MATCH($A146,List_PredictorFacilities,0),(COLUMN()-1)/2), 1),"")</f>
        <v/>
      </c>
      <c r="P146" s="137"/>
      <c r="Q146" s="58" t="str" cm="1">
        <f>IFERROR(INDEX(List_Predictors, INDEX(Array_PredictorsLookup,MATCH($A146,List_PredictorFacilities,0),(COLUMN()-1)/2), 1),"")</f>
        <v/>
      </c>
      <c r="R146" s="137"/>
      <c r="S146" s="58" t="str" cm="1">
        <f>IFERROR(INDEX(List_Predictors, INDEX(Array_PredictorsLookup,MATCH($A146,List_PredictorFacilities,0),(COLUMN()-1)/2), 1),"")</f>
        <v/>
      </c>
      <c r="T146" s="137"/>
      <c r="U146" s="58" t="str" cm="1">
        <f>IFERROR(INDEX(List_Predictors, INDEX(Array_PredictorsLookup,MATCH($A146,List_PredictorFacilities,0),(COLUMN()-1)/2), 1),"")</f>
        <v/>
      </c>
      <c r="V146" s="137"/>
      <c r="W146" s="58" t="str" cm="1">
        <f>IFERROR(INDEX(List_Predictors, INDEX(Array_PredictorsLookup,MATCH($A146,List_PredictorFacilities,0),(COLUMN()-1)/2), 1),"")</f>
        <v/>
      </c>
      <c r="X146" s="137"/>
      <c r="Y146" s="58" t="str" cm="1">
        <f>IFERROR(INDEX(List_Predictors, INDEX(Array_PredictorsLookup,MATCH($A146,List_PredictorFacilities,0),(COLUMN()-1)/2), 1),"")</f>
        <v/>
      </c>
      <c r="Z146" s="137"/>
      <c r="AA146" s="58" t="str" cm="1">
        <f>IFERROR(INDEX(List_Predictors, INDEX(Array_PredictorsLookup,MATCH($A146,List_PredictorFacilities,0),(COLUMN()-1)/2), 1),"")</f>
        <v/>
      </c>
      <c r="AB146" s="137"/>
      <c r="AC146" s="58" t="str" cm="1">
        <f>IFERROR(INDEX(List_Predictors, INDEX(Array_PredictorsLookup,MATCH($A146,List_PredictorFacilities,0),(COLUMN()-1)/2), 1),"")</f>
        <v/>
      </c>
      <c r="AD146" s="137"/>
      <c r="AE146" s="58" t="str" cm="1">
        <f>IFERROR(INDEX(List_Predictors, INDEX(Array_PredictorsLookup,MATCH($A146,List_PredictorFacilities,0),(COLUMN()-1)/2), 1),"")</f>
        <v/>
      </c>
      <c r="AF146" s="137"/>
    </row>
    <row r="147" spans="1:32" x14ac:dyDescent="0.3">
      <c r="A147" s="126"/>
      <c r="B147" s="141"/>
      <c r="C147" s="58" t="str" cm="1">
        <f>IFERROR(INDEX(List_Predictors, INDEX(Array_PredictorsLookup,MATCH($A147,List_PredictorFacilities,0),(COLUMN()-1)/2), 1),"")</f>
        <v/>
      </c>
      <c r="D147" s="137"/>
      <c r="E147" s="58" t="str" cm="1">
        <f>IFERROR(INDEX(List_Predictors, INDEX(Array_PredictorsLookup,MATCH($A147,List_PredictorFacilities,0),(COLUMN()-1)/2), 1),"")</f>
        <v/>
      </c>
      <c r="F147" s="137"/>
      <c r="G147" s="58" t="str" cm="1">
        <f>IFERROR(INDEX(List_Predictors, INDEX(Array_PredictorsLookup,MATCH($A147,List_PredictorFacilities,0),(COLUMN()-1)/2), 1),"")</f>
        <v/>
      </c>
      <c r="H147" s="137"/>
      <c r="I147" s="58" t="str" cm="1">
        <f>IFERROR(INDEX(List_Predictors, INDEX(Array_PredictorsLookup,MATCH($A147,List_PredictorFacilities,0),(COLUMN()-1)/2), 1),"")</f>
        <v/>
      </c>
      <c r="J147" s="137"/>
      <c r="K147" s="58" t="str" cm="1">
        <f>IFERROR(INDEX(List_Predictors, INDEX(Array_PredictorsLookup,MATCH($A147,List_PredictorFacilities,0),(COLUMN()-1)/2), 1),"")</f>
        <v/>
      </c>
      <c r="L147" s="137"/>
      <c r="M147" s="58" t="str" cm="1">
        <f>IFERROR(INDEX(List_Predictors, INDEX(Array_PredictorsLookup,MATCH($A147,List_PredictorFacilities,0),(COLUMN()-1)/2), 1),"")</f>
        <v/>
      </c>
      <c r="N147" s="137"/>
      <c r="O147" s="58" t="str" cm="1">
        <f>IFERROR(INDEX(List_Predictors, INDEX(Array_PredictorsLookup,MATCH($A147,List_PredictorFacilities,0),(COLUMN()-1)/2), 1),"")</f>
        <v/>
      </c>
      <c r="P147" s="137"/>
      <c r="Q147" s="58" t="str" cm="1">
        <f>IFERROR(INDEX(List_Predictors, INDEX(Array_PredictorsLookup,MATCH($A147,List_PredictorFacilities,0),(COLUMN()-1)/2), 1),"")</f>
        <v/>
      </c>
      <c r="R147" s="137"/>
      <c r="S147" s="58" t="str" cm="1">
        <f>IFERROR(INDEX(List_Predictors, INDEX(Array_PredictorsLookup,MATCH($A147,List_PredictorFacilities,0),(COLUMN()-1)/2), 1),"")</f>
        <v/>
      </c>
      <c r="T147" s="137"/>
      <c r="U147" s="58" t="str" cm="1">
        <f>IFERROR(INDEX(List_Predictors, INDEX(Array_PredictorsLookup,MATCH($A147,List_PredictorFacilities,0),(COLUMN()-1)/2), 1),"")</f>
        <v/>
      </c>
      <c r="V147" s="137"/>
      <c r="W147" s="58" t="str" cm="1">
        <f>IFERROR(INDEX(List_Predictors, INDEX(Array_PredictorsLookup,MATCH($A147,List_PredictorFacilities,0),(COLUMN()-1)/2), 1),"")</f>
        <v/>
      </c>
      <c r="X147" s="137"/>
      <c r="Y147" s="58" t="str" cm="1">
        <f>IFERROR(INDEX(List_Predictors, INDEX(Array_PredictorsLookup,MATCH($A147,List_PredictorFacilities,0),(COLUMN()-1)/2), 1),"")</f>
        <v/>
      </c>
      <c r="Z147" s="137"/>
      <c r="AA147" s="58" t="str" cm="1">
        <f>IFERROR(INDEX(List_Predictors, INDEX(Array_PredictorsLookup,MATCH($A147,List_PredictorFacilities,0),(COLUMN()-1)/2), 1),"")</f>
        <v/>
      </c>
      <c r="AB147" s="137"/>
      <c r="AC147" s="58" t="str" cm="1">
        <f>IFERROR(INDEX(List_Predictors, INDEX(Array_PredictorsLookup,MATCH($A147,List_PredictorFacilities,0),(COLUMN()-1)/2), 1),"")</f>
        <v/>
      </c>
      <c r="AD147" s="137"/>
      <c r="AE147" s="58" t="str" cm="1">
        <f>IFERROR(INDEX(List_Predictors, INDEX(Array_PredictorsLookup,MATCH($A147,List_PredictorFacilities,0),(COLUMN()-1)/2), 1),"")</f>
        <v/>
      </c>
      <c r="AF147" s="137"/>
    </row>
    <row r="148" spans="1:32" x14ac:dyDescent="0.3">
      <c r="A148" s="126"/>
      <c r="B148" s="141"/>
      <c r="C148" s="58" t="str" cm="1">
        <f>IFERROR(INDEX(List_Predictors, INDEX(Array_PredictorsLookup,MATCH($A148,List_PredictorFacilities,0),(COLUMN()-1)/2), 1),"")</f>
        <v/>
      </c>
      <c r="D148" s="137"/>
      <c r="E148" s="58" t="str" cm="1">
        <f>IFERROR(INDEX(List_Predictors, INDEX(Array_PredictorsLookup,MATCH($A148,List_PredictorFacilities,0),(COLUMN()-1)/2), 1),"")</f>
        <v/>
      </c>
      <c r="F148" s="137"/>
      <c r="G148" s="58" t="str" cm="1">
        <f>IFERROR(INDEX(List_Predictors, INDEX(Array_PredictorsLookup,MATCH($A148,List_PredictorFacilities,0),(COLUMN()-1)/2), 1),"")</f>
        <v/>
      </c>
      <c r="H148" s="137"/>
      <c r="I148" s="58" t="str" cm="1">
        <f>IFERROR(INDEX(List_Predictors, INDEX(Array_PredictorsLookup,MATCH($A148,List_PredictorFacilities,0),(COLUMN()-1)/2), 1),"")</f>
        <v/>
      </c>
      <c r="J148" s="137"/>
      <c r="K148" s="58" t="str" cm="1">
        <f>IFERROR(INDEX(List_Predictors, INDEX(Array_PredictorsLookup,MATCH($A148,List_PredictorFacilities,0),(COLUMN()-1)/2), 1),"")</f>
        <v/>
      </c>
      <c r="L148" s="137"/>
      <c r="M148" s="58" t="str" cm="1">
        <f>IFERROR(INDEX(List_Predictors, INDEX(Array_PredictorsLookup,MATCH($A148,List_PredictorFacilities,0),(COLUMN()-1)/2), 1),"")</f>
        <v/>
      </c>
      <c r="N148" s="137"/>
      <c r="O148" s="58" t="str" cm="1">
        <f>IFERROR(INDEX(List_Predictors, INDEX(Array_PredictorsLookup,MATCH($A148,List_PredictorFacilities,0),(COLUMN()-1)/2), 1),"")</f>
        <v/>
      </c>
      <c r="P148" s="137"/>
      <c r="Q148" s="58" t="str" cm="1">
        <f>IFERROR(INDEX(List_Predictors, INDEX(Array_PredictorsLookup,MATCH($A148,List_PredictorFacilities,0),(COLUMN()-1)/2), 1),"")</f>
        <v/>
      </c>
      <c r="R148" s="137"/>
      <c r="S148" s="58" t="str" cm="1">
        <f>IFERROR(INDEX(List_Predictors, INDEX(Array_PredictorsLookup,MATCH($A148,List_PredictorFacilities,0),(COLUMN()-1)/2), 1),"")</f>
        <v/>
      </c>
      <c r="T148" s="137"/>
      <c r="U148" s="58" t="str" cm="1">
        <f>IFERROR(INDEX(List_Predictors, INDEX(Array_PredictorsLookup,MATCH($A148,List_PredictorFacilities,0),(COLUMN()-1)/2), 1),"")</f>
        <v/>
      </c>
      <c r="V148" s="137"/>
      <c r="W148" s="58" t="str" cm="1">
        <f>IFERROR(INDEX(List_Predictors, INDEX(Array_PredictorsLookup,MATCH($A148,List_PredictorFacilities,0),(COLUMN()-1)/2), 1),"")</f>
        <v/>
      </c>
      <c r="X148" s="137"/>
      <c r="Y148" s="58" t="str" cm="1">
        <f>IFERROR(INDEX(List_Predictors, INDEX(Array_PredictorsLookup,MATCH($A148,List_PredictorFacilities,0),(COLUMN()-1)/2), 1),"")</f>
        <v/>
      </c>
      <c r="Z148" s="137"/>
      <c r="AA148" s="58" t="str" cm="1">
        <f>IFERROR(INDEX(List_Predictors, INDEX(Array_PredictorsLookup,MATCH($A148,List_PredictorFacilities,0),(COLUMN()-1)/2), 1),"")</f>
        <v/>
      </c>
      <c r="AB148" s="137"/>
      <c r="AC148" s="58" t="str" cm="1">
        <f>IFERROR(INDEX(List_Predictors, INDEX(Array_PredictorsLookup,MATCH($A148,List_PredictorFacilities,0),(COLUMN()-1)/2), 1),"")</f>
        <v/>
      </c>
      <c r="AD148" s="137"/>
      <c r="AE148" s="58" t="str" cm="1">
        <f>IFERROR(INDEX(List_Predictors, INDEX(Array_PredictorsLookup,MATCH($A148,List_PredictorFacilities,0),(COLUMN()-1)/2), 1),"")</f>
        <v/>
      </c>
      <c r="AF148" s="137"/>
    </row>
    <row r="149" spans="1:32" x14ac:dyDescent="0.3">
      <c r="A149" s="126"/>
      <c r="B149" s="141"/>
      <c r="C149" s="58" t="str" cm="1">
        <f>IFERROR(INDEX(List_Predictors, INDEX(Array_PredictorsLookup,MATCH($A149,List_PredictorFacilities,0),(COLUMN()-1)/2), 1),"")</f>
        <v/>
      </c>
      <c r="D149" s="137"/>
      <c r="E149" s="58" t="str" cm="1">
        <f>IFERROR(INDEX(List_Predictors, INDEX(Array_PredictorsLookup,MATCH($A149,List_PredictorFacilities,0),(COLUMN()-1)/2), 1),"")</f>
        <v/>
      </c>
      <c r="F149" s="137"/>
      <c r="G149" s="58" t="str" cm="1">
        <f>IFERROR(INDEX(List_Predictors, INDEX(Array_PredictorsLookup,MATCH($A149,List_PredictorFacilities,0),(COLUMN()-1)/2), 1),"")</f>
        <v/>
      </c>
      <c r="H149" s="137"/>
      <c r="I149" s="58" t="str" cm="1">
        <f>IFERROR(INDEX(List_Predictors, INDEX(Array_PredictorsLookup,MATCH($A149,List_PredictorFacilities,0),(COLUMN()-1)/2), 1),"")</f>
        <v/>
      </c>
      <c r="J149" s="137"/>
      <c r="K149" s="58" t="str" cm="1">
        <f>IFERROR(INDEX(List_Predictors, INDEX(Array_PredictorsLookup,MATCH($A149,List_PredictorFacilities,0),(COLUMN()-1)/2), 1),"")</f>
        <v/>
      </c>
      <c r="L149" s="137"/>
      <c r="M149" s="58" t="str" cm="1">
        <f>IFERROR(INDEX(List_Predictors, INDEX(Array_PredictorsLookup,MATCH($A149,List_PredictorFacilities,0),(COLUMN()-1)/2), 1),"")</f>
        <v/>
      </c>
      <c r="N149" s="137"/>
      <c r="O149" s="58" t="str" cm="1">
        <f>IFERROR(INDEX(List_Predictors, INDEX(Array_PredictorsLookup,MATCH($A149,List_PredictorFacilities,0),(COLUMN()-1)/2), 1),"")</f>
        <v/>
      </c>
      <c r="P149" s="137"/>
      <c r="Q149" s="58" t="str" cm="1">
        <f>IFERROR(INDEX(List_Predictors, INDEX(Array_PredictorsLookup,MATCH($A149,List_PredictorFacilities,0),(COLUMN()-1)/2), 1),"")</f>
        <v/>
      </c>
      <c r="R149" s="137"/>
      <c r="S149" s="58" t="str" cm="1">
        <f>IFERROR(INDEX(List_Predictors, INDEX(Array_PredictorsLookup,MATCH($A149,List_PredictorFacilities,0),(COLUMN()-1)/2), 1),"")</f>
        <v/>
      </c>
      <c r="T149" s="137"/>
      <c r="U149" s="58" t="str" cm="1">
        <f>IFERROR(INDEX(List_Predictors, INDEX(Array_PredictorsLookup,MATCH($A149,List_PredictorFacilities,0),(COLUMN()-1)/2), 1),"")</f>
        <v/>
      </c>
      <c r="V149" s="137"/>
      <c r="W149" s="58" t="str" cm="1">
        <f>IFERROR(INDEX(List_Predictors, INDEX(Array_PredictorsLookup,MATCH($A149,List_PredictorFacilities,0),(COLUMN()-1)/2), 1),"")</f>
        <v/>
      </c>
      <c r="X149" s="137"/>
      <c r="Y149" s="58" t="str" cm="1">
        <f>IFERROR(INDEX(List_Predictors, INDEX(Array_PredictorsLookup,MATCH($A149,List_PredictorFacilities,0),(COLUMN()-1)/2), 1),"")</f>
        <v/>
      </c>
      <c r="Z149" s="137"/>
      <c r="AA149" s="58" t="str" cm="1">
        <f>IFERROR(INDEX(List_Predictors, INDEX(Array_PredictorsLookup,MATCH($A149,List_PredictorFacilities,0),(COLUMN()-1)/2), 1),"")</f>
        <v/>
      </c>
      <c r="AB149" s="137"/>
      <c r="AC149" s="58" t="str" cm="1">
        <f>IFERROR(INDEX(List_Predictors, INDEX(Array_PredictorsLookup,MATCH($A149,List_PredictorFacilities,0),(COLUMN()-1)/2), 1),"")</f>
        <v/>
      </c>
      <c r="AD149" s="137"/>
      <c r="AE149" s="58" t="str" cm="1">
        <f>IFERROR(INDEX(List_Predictors, INDEX(Array_PredictorsLookup,MATCH($A149,List_PredictorFacilities,0),(COLUMN()-1)/2), 1),"")</f>
        <v/>
      </c>
      <c r="AF149" s="137"/>
    </row>
    <row r="150" spans="1:32" x14ac:dyDescent="0.3">
      <c r="A150" s="126"/>
      <c r="B150" s="141"/>
      <c r="C150" s="58" t="str" cm="1">
        <f>IFERROR(INDEX(List_Predictors, INDEX(Array_PredictorsLookup,MATCH($A150,List_PredictorFacilities,0),(COLUMN()-1)/2), 1),"")</f>
        <v/>
      </c>
      <c r="D150" s="137"/>
      <c r="E150" s="58" t="str" cm="1">
        <f>IFERROR(INDEX(List_Predictors, INDEX(Array_PredictorsLookup,MATCH($A150,List_PredictorFacilities,0),(COLUMN()-1)/2), 1),"")</f>
        <v/>
      </c>
      <c r="F150" s="137"/>
      <c r="G150" s="58" t="str" cm="1">
        <f>IFERROR(INDEX(List_Predictors, INDEX(Array_PredictorsLookup,MATCH($A150,List_PredictorFacilities,0),(COLUMN()-1)/2), 1),"")</f>
        <v/>
      </c>
      <c r="H150" s="137"/>
      <c r="I150" s="58" t="str" cm="1">
        <f>IFERROR(INDEX(List_Predictors, INDEX(Array_PredictorsLookup,MATCH($A150,List_PredictorFacilities,0),(COLUMN()-1)/2), 1),"")</f>
        <v/>
      </c>
      <c r="J150" s="137"/>
      <c r="K150" s="58" t="str" cm="1">
        <f>IFERROR(INDEX(List_Predictors, INDEX(Array_PredictorsLookup,MATCH($A150,List_PredictorFacilities,0),(COLUMN()-1)/2), 1),"")</f>
        <v/>
      </c>
      <c r="L150" s="137"/>
      <c r="M150" s="58" t="str" cm="1">
        <f>IFERROR(INDEX(List_Predictors, INDEX(Array_PredictorsLookup,MATCH($A150,List_PredictorFacilities,0),(COLUMN()-1)/2), 1),"")</f>
        <v/>
      </c>
      <c r="N150" s="137"/>
      <c r="O150" s="58" t="str" cm="1">
        <f>IFERROR(INDEX(List_Predictors, INDEX(Array_PredictorsLookup,MATCH($A150,List_PredictorFacilities,0),(COLUMN()-1)/2), 1),"")</f>
        <v/>
      </c>
      <c r="P150" s="137"/>
      <c r="Q150" s="58" t="str" cm="1">
        <f>IFERROR(INDEX(List_Predictors, INDEX(Array_PredictorsLookup,MATCH($A150,List_PredictorFacilities,0),(COLUMN()-1)/2), 1),"")</f>
        <v/>
      </c>
      <c r="R150" s="137"/>
      <c r="S150" s="58" t="str" cm="1">
        <f>IFERROR(INDEX(List_Predictors, INDEX(Array_PredictorsLookup,MATCH($A150,List_PredictorFacilities,0),(COLUMN()-1)/2), 1),"")</f>
        <v/>
      </c>
      <c r="T150" s="137"/>
      <c r="U150" s="58" t="str" cm="1">
        <f>IFERROR(INDEX(List_Predictors, INDEX(Array_PredictorsLookup,MATCH($A150,List_PredictorFacilities,0),(COLUMN()-1)/2), 1),"")</f>
        <v/>
      </c>
      <c r="V150" s="137"/>
      <c r="W150" s="58" t="str" cm="1">
        <f>IFERROR(INDEX(List_Predictors, INDEX(Array_PredictorsLookup,MATCH($A150,List_PredictorFacilities,0),(COLUMN()-1)/2), 1),"")</f>
        <v/>
      </c>
      <c r="X150" s="137"/>
      <c r="Y150" s="58" t="str" cm="1">
        <f>IFERROR(INDEX(List_Predictors, INDEX(Array_PredictorsLookup,MATCH($A150,List_PredictorFacilities,0),(COLUMN()-1)/2), 1),"")</f>
        <v/>
      </c>
      <c r="Z150" s="137"/>
      <c r="AA150" s="58" t="str" cm="1">
        <f>IFERROR(INDEX(List_Predictors, INDEX(Array_PredictorsLookup,MATCH($A150,List_PredictorFacilities,0),(COLUMN()-1)/2), 1),"")</f>
        <v/>
      </c>
      <c r="AB150" s="137"/>
      <c r="AC150" s="58" t="str" cm="1">
        <f>IFERROR(INDEX(List_Predictors, INDEX(Array_PredictorsLookup,MATCH($A150,List_PredictorFacilities,0),(COLUMN()-1)/2), 1),"")</f>
        <v/>
      </c>
      <c r="AD150" s="137"/>
      <c r="AE150" s="58" t="str" cm="1">
        <f>IFERROR(INDEX(List_Predictors, INDEX(Array_PredictorsLookup,MATCH($A150,List_PredictorFacilities,0),(COLUMN()-1)/2), 1),"")</f>
        <v/>
      </c>
      <c r="AF150" s="137"/>
    </row>
    <row r="151" spans="1:32" x14ac:dyDescent="0.3">
      <c r="A151" s="126"/>
      <c r="B151" s="141"/>
      <c r="C151" s="58" t="str" cm="1">
        <f>IFERROR(INDEX(List_Predictors, INDEX(Array_PredictorsLookup,MATCH($A151,List_PredictorFacilities,0),(COLUMN()-1)/2), 1),"")</f>
        <v/>
      </c>
      <c r="D151" s="137"/>
      <c r="E151" s="58" t="str" cm="1">
        <f>IFERROR(INDEX(List_Predictors, INDEX(Array_PredictorsLookup,MATCH($A151,List_PredictorFacilities,0),(COLUMN()-1)/2), 1),"")</f>
        <v/>
      </c>
      <c r="F151" s="137"/>
      <c r="G151" s="58" t="str" cm="1">
        <f>IFERROR(INDEX(List_Predictors, INDEX(Array_PredictorsLookup,MATCH($A151,List_PredictorFacilities,0),(COLUMN()-1)/2), 1),"")</f>
        <v/>
      </c>
      <c r="H151" s="137"/>
      <c r="I151" s="58" t="str" cm="1">
        <f>IFERROR(INDEX(List_Predictors, INDEX(Array_PredictorsLookup,MATCH($A151,List_PredictorFacilities,0),(COLUMN()-1)/2), 1),"")</f>
        <v/>
      </c>
      <c r="J151" s="137"/>
      <c r="K151" s="58" t="str" cm="1">
        <f>IFERROR(INDEX(List_Predictors, INDEX(Array_PredictorsLookup,MATCH($A151,List_PredictorFacilities,0),(COLUMN()-1)/2), 1),"")</f>
        <v/>
      </c>
      <c r="L151" s="137"/>
      <c r="M151" s="58" t="str" cm="1">
        <f>IFERROR(INDEX(List_Predictors, INDEX(Array_PredictorsLookup,MATCH($A151,List_PredictorFacilities,0),(COLUMN()-1)/2), 1),"")</f>
        <v/>
      </c>
      <c r="N151" s="137"/>
      <c r="O151" s="58" t="str" cm="1">
        <f>IFERROR(INDEX(List_Predictors, INDEX(Array_PredictorsLookup,MATCH($A151,List_PredictorFacilities,0),(COLUMN()-1)/2), 1),"")</f>
        <v/>
      </c>
      <c r="P151" s="137"/>
      <c r="Q151" s="58" t="str" cm="1">
        <f>IFERROR(INDEX(List_Predictors, INDEX(Array_PredictorsLookup,MATCH($A151,List_PredictorFacilities,0),(COLUMN()-1)/2), 1),"")</f>
        <v/>
      </c>
      <c r="R151" s="137"/>
      <c r="S151" s="58" t="str" cm="1">
        <f>IFERROR(INDEX(List_Predictors, INDEX(Array_PredictorsLookup,MATCH($A151,List_PredictorFacilities,0),(COLUMN()-1)/2), 1),"")</f>
        <v/>
      </c>
      <c r="T151" s="137"/>
      <c r="U151" s="58" t="str" cm="1">
        <f>IFERROR(INDEX(List_Predictors, INDEX(Array_PredictorsLookup,MATCH($A151,List_PredictorFacilities,0),(COLUMN()-1)/2), 1),"")</f>
        <v/>
      </c>
      <c r="V151" s="137"/>
      <c r="W151" s="58" t="str" cm="1">
        <f>IFERROR(INDEX(List_Predictors, INDEX(Array_PredictorsLookup,MATCH($A151,List_PredictorFacilities,0),(COLUMN()-1)/2), 1),"")</f>
        <v/>
      </c>
      <c r="X151" s="137"/>
      <c r="Y151" s="58" t="str" cm="1">
        <f>IFERROR(INDEX(List_Predictors, INDEX(Array_PredictorsLookup,MATCH($A151,List_PredictorFacilities,0),(COLUMN()-1)/2), 1),"")</f>
        <v/>
      </c>
      <c r="Z151" s="137"/>
      <c r="AA151" s="58" t="str" cm="1">
        <f>IFERROR(INDEX(List_Predictors, INDEX(Array_PredictorsLookup,MATCH($A151,List_PredictorFacilities,0),(COLUMN()-1)/2), 1),"")</f>
        <v/>
      </c>
      <c r="AB151" s="137"/>
      <c r="AC151" s="58" t="str" cm="1">
        <f>IFERROR(INDEX(List_Predictors, INDEX(Array_PredictorsLookup,MATCH($A151,List_PredictorFacilities,0),(COLUMN()-1)/2), 1),"")</f>
        <v/>
      </c>
      <c r="AD151" s="137"/>
      <c r="AE151" s="58" t="str" cm="1">
        <f>IFERROR(INDEX(List_Predictors, INDEX(Array_PredictorsLookup,MATCH($A151,List_PredictorFacilities,0),(COLUMN()-1)/2), 1),"")</f>
        <v/>
      </c>
      <c r="AF151" s="137"/>
    </row>
    <row r="152" spans="1:32" x14ac:dyDescent="0.3">
      <c r="A152" s="126"/>
      <c r="B152" s="141"/>
      <c r="C152" s="58" t="str" cm="1">
        <f>IFERROR(INDEX(List_Predictors, INDEX(Array_PredictorsLookup,MATCH($A152,List_PredictorFacilities,0),(COLUMN()-1)/2), 1),"")</f>
        <v/>
      </c>
      <c r="D152" s="137"/>
      <c r="E152" s="58" t="str" cm="1">
        <f>IFERROR(INDEX(List_Predictors, INDEX(Array_PredictorsLookup,MATCH($A152,List_PredictorFacilities,0),(COLUMN()-1)/2), 1),"")</f>
        <v/>
      </c>
      <c r="F152" s="137"/>
      <c r="G152" s="58" t="str" cm="1">
        <f>IFERROR(INDEX(List_Predictors, INDEX(Array_PredictorsLookup,MATCH($A152,List_PredictorFacilities,0),(COLUMN()-1)/2), 1),"")</f>
        <v/>
      </c>
      <c r="H152" s="137"/>
      <c r="I152" s="58" t="str" cm="1">
        <f>IFERROR(INDEX(List_Predictors, INDEX(Array_PredictorsLookup,MATCH($A152,List_PredictorFacilities,0),(COLUMN()-1)/2), 1),"")</f>
        <v/>
      </c>
      <c r="J152" s="137"/>
      <c r="K152" s="58" t="str" cm="1">
        <f>IFERROR(INDEX(List_Predictors, INDEX(Array_PredictorsLookup,MATCH($A152,List_PredictorFacilities,0),(COLUMN()-1)/2), 1),"")</f>
        <v/>
      </c>
      <c r="L152" s="137"/>
      <c r="M152" s="58" t="str" cm="1">
        <f>IFERROR(INDEX(List_Predictors, INDEX(Array_PredictorsLookup,MATCH($A152,List_PredictorFacilities,0),(COLUMN()-1)/2), 1),"")</f>
        <v/>
      </c>
      <c r="N152" s="137"/>
      <c r="O152" s="58" t="str" cm="1">
        <f>IFERROR(INDEX(List_Predictors, INDEX(Array_PredictorsLookup,MATCH($A152,List_PredictorFacilities,0),(COLUMN()-1)/2), 1),"")</f>
        <v/>
      </c>
      <c r="P152" s="137"/>
      <c r="Q152" s="58" t="str" cm="1">
        <f>IFERROR(INDEX(List_Predictors, INDEX(Array_PredictorsLookup,MATCH($A152,List_PredictorFacilities,0),(COLUMN()-1)/2), 1),"")</f>
        <v/>
      </c>
      <c r="R152" s="137"/>
      <c r="S152" s="58" t="str" cm="1">
        <f>IFERROR(INDEX(List_Predictors, INDEX(Array_PredictorsLookup,MATCH($A152,List_PredictorFacilities,0),(COLUMN()-1)/2), 1),"")</f>
        <v/>
      </c>
      <c r="T152" s="137"/>
      <c r="U152" s="58" t="str" cm="1">
        <f>IFERROR(INDEX(List_Predictors, INDEX(Array_PredictorsLookup,MATCH($A152,List_PredictorFacilities,0),(COLUMN()-1)/2), 1),"")</f>
        <v/>
      </c>
      <c r="V152" s="137"/>
      <c r="W152" s="58" t="str" cm="1">
        <f>IFERROR(INDEX(List_Predictors, INDEX(Array_PredictorsLookup,MATCH($A152,List_PredictorFacilities,0),(COLUMN()-1)/2), 1),"")</f>
        <v/>
      </c>
      <c r="X152" s="137"/>
      <c r="Y152" s="58" t="str" cm="1">
        <f>IFERROR(INDEX(List_Predictors, INDEX(Array_PredictorsLookup,MATCH($A152,List_PredictorFacilities,0),(COLUMN()-1)/2), 1),"")</f>
        <v/>
      </c>
      <c r="Z152" s="137"/>
      <c r="AA152" s="58" t="str" cm="1">
        <f>IFERROR(INDEX(List_Predictors, INDEX(Array_PredictorsLookup,MATCH($A152,List_PredictorFacilities,0),(COLUMN()-1)/2), 1),"")</f>
        <v/>
      </c>
      <c r="AB152" s="137"/>
      <c r="AC152" s="58" t="str" cm="1">
        <f>IFERROR(INDEX(List_Predictors, INDEX(Array_PredictorsLookup,MATCH($A152,List_PredictorFacilities,0),(COLUMN()-1)/2), 1),"")</f>
        <v/>
      </c>
      <c r="AD152" s="137"/>
      <c r="AE152" s="58" t="str" cm="1">
        <f>IFERROR(INDEX(List_Predictors, INDEX(Array_PredictorsLookup,MATCH($A152,List_PredictorFacilities,0),(COLUMN()-1)/2), 1),"")</f>
        <v/>
      </c>
      <c r="AF152" s="137"/>
    </row>
    <row r="153" spans="1:32" x14ac:dyDescent="0.3">
      <c r="A153" s="126"/>
      <c r="B153" s="141"/>
      <c r="C153" s="58" t="str" cm="1">
        <f>IFERROR(INDEX(List_Predictors, INDEX(Array_PredictorsLookup,MATCH($A153,List_PredictorFacilities,0),(COLUMN()-1)/2), 1),"")</f>
        <v/>
      </c>
      <c r="D153" s="137"/>
      <c r="E153" s="58" t="str" cm="1">
        <f>IFERROR(INDEX(List_Predictors, INDEX(Array_PredictorsLookup,MATCH($A153,List_PredictorFacilities,0),(COLUMN()-1)/2), 1),"")</f>
        <v/>
      </c>
      <c r="F153" s="137"/>
      <c r="G153" s="58" t="str" cm="1">
        <f>IFERROR(INDEX(List_Predictors, INDEX(Array_PredictorsLookup,MATCH($A153,List_PredictorFacilities,0),(COLUMN()-1)/2), 1),"")</f>
        <v/>
      </c>
      <c r="H153" s="137"/>
      <c r="I153" s="58" t="str" cm="1">
        <f>IFERROR(INDEX(List_Predictors, INDEX(Array_PredictorsLookup,MATCH($A153,List_PredictorFacilities,0),(COLUMN()-1)/2), 1),"")</f>
        <v/>
      </c>
      <c r="J153" s="137"/>
      <c r="K153" s="58" t="str" cm="1">
        <f>IFERROR(INDEX(List_Predictors, INDEX(Array_PredictorsLookup,MATCH($A153,List_PredictorFacilities,0),(COLUMN()-1)/2), 1),"")</f>
        <v/>
      </c>
      <c r="L153" s="137"/>
      <c r="M153" s="58" t="str" cm="1">
        <f>IFERROR(INDEX(List_Predictors, INDEX(Array_PredictorsLookup,MATCH($A153,List_PredictorFacilities,0),(COLUMN()-1)/2), 1),"")</f>
        <v/>
      </c>
      <c r="N153" s="137"/>
      <c r="O153" s="58" t="str" cm="1">
        <f>IFERROR(INDEX(List_Predictors, INDEX(Array_PredictorsLookup,MATCH($A153,List_PredictorFacilities,0),(COLUMN()-1)/2), 1),"")</f>
        <v/>
      </c>
      <c r="P153" s="137"/>
      <c r="Q153" s="58" t="str" cm="1">
        <f>IFERROR(INDEX(List_Predictors, INDEX(Array_PredictorsLookup,MATCH($A153,List_PredictorFacilities,0),(COLUMN()-1)/2), 1),"")</f>
        <v/>
      </c>
      <c r="R153" s="137"/>
      <c r="S153" s="58" t="str" cm="1">
        <f>IFERROR(INDEX(List_Predictors, INDEX(Array_PredictorsLookup,MATCH($A153,List_PredictorFacilities,0),(COLUMN()-1)/2), 1),"")</f>
        <v/>
      </c>
      <c r="T153" s="137"/>
      <c r="U153" s="58" t="str" cm="1">
        <f>IFERROR(INDEX(List_Predictors, INDEX(Array_PredictorsLookup,MATCH($A153,List_PredictorFacilities,0),(COLUMN()-1)/2), 1),"")</f>
        <v/>
      </c>
      <c r="V153" s="137"/>
      <c r="W153" s="58" t="str" cm="1">
        <f>IFERROR(INDEX(List_Predictors, INDEX(Array_PredictorsLookup,MATCH($A153,List_PredictorFacilities,0),(COLUMN()-1)/2), 1),"")</f>
        <v/>
      </c>
      <c r="X153" s="137"/>
      <c r="Y153" s="58" t="str" cm="1">
        <f>IFERROR(INDEX(List_Predictors, INDEX(Array_PredictorsLookup,MATCH($A153,List_PredictorFacilities,0),(COLUMN()-1)/2), 1),"")</f>
        <v/>
      </c>
      <c r="Z153" s="137"/>
      <c r="AA153" s="58" t="str" cm="1">
        <f>IFERROR(INDEX(List_Predictors, INDEX(Array_PredictorsLookup,MATCH($A153,List_PredictorFacilities,0),(COLUMN()-1)/2), 1),"")</f>
        <v/>
      </c>
      <c r="AB153" s="137"/>
      <c r="AC153" s="58" t="str" cm="1">
        <f>IFERROR(INDEX(List_Predictors, INDEX(Array_PredictorsLookup,MATCH($A153,List_PredictorFacilities,0),(COLUMN()-1)/2), 1),"")</f>
        <v/>
      </c>
      <c r="AD153" s="137"/>
      <c r="AE153" s="58" t="str" cm="1">
        <f>IFERROR(INDEX(List_Predictors, INDEX(Array_PredictorsLookup,MATCH($A153,List_PredictorFacilities,0),(COLUMN()-1)/2), 1),"")</f>
        <v/>
      </c>
      <c r="AF153" s="137"/>
    </row>
    <row r="154" spans="1:32" x14ac:dyDescent="0.3">
      <c r="A154" s="126"/>
      <c r="B154" s="141"/>
      <c r="C154" s="58" t="str" cm="1">
        <f>IFERROR(INDEX(List_Predictors, INDEX(Array_PredictorsLookup,MATCH($A154,List_PredictorFacilities,0),(COLUMN()-1)/2), 1),"")</f>
        <v/>
      </c>
      <c r="D154" s="137"/>
      <c r="E154" s="58" t="str" cm="1">
        <f>IFERROR(INDEX(List_Predictors, INDEX(Array_PredictorsLookup,MATCH($A154,List_PredictorFacilities,0),(COLUMN()-1)/2), 1),"")</f>
        <v/>
      </c>
      <c r="F154" s="137"/>
      <c r="G154" s="58" t="str" cm="1">
        <f>IFERROR(INDEX(List_Predictors, INDEX(Array_PredictorsLookup,MATCH($A154,List_PredictorFacilities,0),(COLUMN()-1)/2), 1),"")</f>
        <v/>
      </c>
      <c r="H154" s="137"/>
      <c r="I154" s="58" t="str" cm="1">
        <f>IFERROR(INDEX(List_Predictors, INDEX(Array_PredictorsLookup,MATCH($A154,List_PredictorFacilities,0),(COLUMN()-1)/2), 1),"")</f>
        <v/>
      </c>
      <c r="J154" s="137"/>
      <c r="K154" s="58" t="str" cm="1">
        <f>IFERROR(INDEX(List_Predictors, INDEX(Array_PredictorsLookup,MATCH($A154,List_PredictorFacilities,0),(COLUMN()-1)/2), 1),"")</f>
        <v/>
      </c>
      <c r="L154" s="137"/>
      <c r="M154" s="58" t="str" cm="1">
        <f>IFERROR(INDEX(List_Predictors, INDEX(Array_PredictorsLookup,MATCH($A154,List_PredictorFacilities,0),(COLUMN()-1)/2), 1),"")</f>
        <v/>
      </c>
      <c r="N154" s="137"/>
      <c r="O154" s="58" t="str" cm="1">
        <f>IFERROR(INDEX(List_Predictors, INDEX(Array_PredictorsLookup,MATCH($A154,List_PredictorFacilities,0),(COLUMN()-1)/2), 1),"")</f>
        <v/>
      </c>
      <c r="P154" s="137"/>
      <c r="Q154" s="58" t="str" cm="1">
        <f>IFERROR(INDEX(List_Predictors, INDEX(Array_PredictorsLookup,MATCH($A154,List_PredictorFacilities,0),(COLUMN()-1)/2), 1),"")</f>
        <v/>
      </c>
      <c r="R154" s="137"/>
      <c r="S154" s="58" t="str" cm="1">
        <f>IFERROR(INDEX(List_Predictors, INDEX(Array_PredictorsLookup,MATCH($A154,List_PredictorFacilities,0),(COLUMN()-1)/2), 1),"")</f>
        <v/>
      </c>
      <c r="T154" s="137"/>
      <c r="U154" s="58" t="str" cm="1">
        <f>IFERROR(INDEX(List_Predictors, INDEX(Array_PredictorsLookup,MATCH($A154,List_PredictorFacilities,0),(COLUMN()-1)/2), 1),"")</f>
        <v/>
      </c>
      <c r="V154" s="137"/>
      <c r="W154" s="58" t="str" cm="1">
        <f>IFERROR(INDEX(List_Predictors, INDEX(Array_PredictorsLookup,MATCH($A154,List_PredictorFacilities,0),(COLUMN()-1)/2), 1),"")</f>
        <v/>
      </c>
      <c r="X154" s="137"/>
      <c r="Y154" s="58" t="str" cm="1">
        <f>IFERROR(INDEX(List_Predictors, INDEX(Array_PredictorsLookup,MATCH($A154,List_PredictorFacilities,0),(COLUMN()-1)/2), 1),"")</f>
        <v/>
      </c>
      <c r="Z154" s="137"/>
      <c r="AA154" s="58" t="str" cm="1">
        <f>IFERROR(INDEX(List_Predictors, INDEX(Array_PredictorsLookup,MATCH($A154,List_PredictorFacilities,0),(COLUMN()-1)/2), 1),"")</f>
        <v/>
      </c>
      <c r="AB154" s="137"/>
      <c r="AC154" s="58" t="str" cm="1">
        <f>IFERROR(INDEX(List_Predictors, INDEX(Array_PredictorsLookup,MATCH($A154,List_PredictorFacilities,0),(COLUMN()-1)/2), 1),"")</f>
        <v/>
      </c>
      <c r="AD154" s="137"/>
      <c r="AE154" s="58" t="str" cm="1">
        <f>IFERROR(INDEX(List_Predictors, INDEX(Array_PredictorsLookup,MATCH($A154,List_PredictorFacilities,0),(COLUMN()-1)/2), 1),"")</f>
        <v/>
      </c>
      <c r="AF154" s="137"/>
    </row>
    <row r="155" spans="1:32" x14ac:dyDescent="0.3">
      <c r="A155" s="126"/>
      <c r="B155" s="141"/>
      <c r="C155" s="58" t="str" cm="1">
        <f>IFERROR(INDEX(List_Predictors, INDEX(Array_PredictorsLookup,MATCH($A155,List_PredictorFacilities,0),(COLUMN()-1)/2), 1),"")</f>
        <v/>
      </c>
      <c r="D155" s="137"/>
      <c r="E155" s="58" t="str" cm="1">
        <f>IFERROR(INDEX(List_Predictors, INDEX(Array_PredictorsLookup,MATCH($A155,List_PredictorFacilities,0),(COLUMN()-1)/2), 1),"")</f>
        <v/>
      </c>
      <c r="F155" s="137"/>
      <c r="G155" s="58" t="str" cm="1">
        <f>IFERROR(INDEX(List_Predictors, INDEX(Array_PredictorsLookup,MATCH($A155,List_PredictorFacilities,0),(COLUMN()-1)/2), 1),"")</f>
        <v/>
      </c>
      <c r="H155" s="137"/>
      <c r="I155" s="58" t="str" cm="1">
        <f>IFERROR(INDEX(List_Predictors, INDEX(Array_PredictorsLookup,MATCH($A155,List_PredictorFacilities,0),(COLUMN()-1)/2), 1),"")</f>
        <v/>
      </c>
      <c r="J155" s="137"/>
      <c r="K155" s="58" t="str" cm="1">
        <f>IFERROR(INDEX(List_Predictors, INDEX(Array_PredictorsLookup,MATCH($A155,List_PredictorFacilities,0),(COLUMN()-1)/2), 1),"")</f>
        <v/>
      </c>
      <c r="L155" s="137"/>
      <c r="M155" s="58" t="str" cm="1">
        <f>IFERROR(INDEX(List_Predictors, INDEX(Array_PredictorsLookup,MATCH($A155,List_PredictorFacilities,0),(COLUMN()-1)/2), 1),"")</f>
        <v/>
      </c>
      <c r="N155" s="137"/>
      <c r="O155" s="58" t="str" cm="1">
        <f>IFERROR(INDEX(List_Predictors, INDEX(Array_PredictorsLookup,MATCH($A155,List_PredictorFacilities,0),(COLUMN()-1)/2), 1),"")</f>
        <v/>
      </c>
      <c r="P155" s="137"/>
      <c r="Q155" s="58" t="str" cm="1">
        <f>IFERROR(INDEX(List_Predictors, INDEX(Array_PredictorsLookup,MATCH($A155,List_PredictorFacilities,0),(COLUMN()-1)/2), 1),"")</f>
        <v/>
      </c>
      <c r="R155" s="137"/>
      <c r="S155" s="58" t="str" cm="1">
        <f>IFERROR(INDEX(List_Predictors, INDEX(Array_PredictorsLookup,MATCH($A155,List_PredictorFacilities,0),(COLUMN()-1)/2), 1),"")</f>
        <v/>
      </c>
      <c r="T155" s="137"/>
      <c r="U155" s="58" t="str" cm="1">
        <f>IFERROR(INDEX(List_Predictors, INDEX(Array_PredictorsLookup,MATCH($A155,List_PredictorFacilities,0),(COLUMN()-1)/2), 1),"")</f>
        <v/>
      </c>
      <c r="V155" s="137"/>
      <c r="W155" s="58" t="str" cm="1">
        <f>IFERROR(INDEX(List_Predictors, INDEX(Array_PredictorsLookup,MATCH($A155,List_PredictorFacilities,0),(COLUMN()-1)/2), 1),"")</f>
        <v/>
      </c>
      <c r="X155" s="137"/>
      <c r="Y155" s="58" t="str" cm="1">
        <f>IFERROR(INDEX(List_Predictors, INDEX(Array_PredictorsLookup,MATCH($A155,List_PredictorFacilities,0),(COLUMN()-1)/2), 1),"")</f>
        <v/>
      </c>
      <c r="Z155" s="137"/>
      <c r="AA155" s="58" t="str" cm="1">
        <f>IFERROR(INDEX(List_Predictors, INDEX(Array_PredictorsLookup,MATCH($A155,List_PredictorFacilities,0),(COLUMN()-1)/2), 1),"")</f>
        <v/>
      </c>
      <c r="AB155" s="137"/>
      <c r="AC155" s="58" t="str" cm="1">
        <f>IFERROR(INDEX(List_Predictors, INDEX(Array_PredictorsLookup,MATCH($A155,List_PredictorFacilities,0),(COLUMN()-1)/2), 1),"")</f>
        <v/>
      </c>
      <c r="AD155" s="137"/>
      <c r="AE155" s="58" t="str" cm="1">
        <f>IFERROR(INDEX(List_Predictors, INDEX(Array_PredictorsLookup,MATCH($A155,List_PredictorFacilities,0),(COLUMN()-1)/2), 1),"")</f>
        <v/>
      </c>
      <c r="AF155" s="137"/>
    </row>
    <row r="156" spans="1:32" x14ac:dyDescent="0.3">
      <c r="A156" s="126"/>
      <c r="B156" s="141"/>
      <c r="C156" s="58" t="str" cm="1">
        <f>IFERROR(INDEX(List_Predictors, INDEX(Array_PredictorsLookup,MATCH($A156,List_PredictorFacilities,0),(COLUMN()-1)/2), 1),"")</f>
        <v/>
      </c>
      <c r="D156" s="137"/>
      <c r="E156" s="58" t="str" cm="1">
        <f>IFERROR(INDEX(List_Predictors, INDEX(Array_PredictorsLookup,MATCH($A156,List_PredictorFacilities,0),(COLUMN()-1)/2), 1),"")</f>
        <v/>
      </c>
      <c r="F156" s="137"/>
      <c r="G156" s="58" t="str" cm="1">
        <f>IFERROR(INDEX(List_Predictors, INDEX(Array_PredictorsLookup,MATCH($A156,List_PredictorFacilities,0),(COLUMN()-1)/2), 1),"")</f>
        <v/>
      </c>
      <c r="H156" s="137"/>
      <c r="I156" s="58" t="str" cm="1">
        <f>IFERROR(INDEX(List_Predictors, INDEX(Array_PredictorsLookup,MATCH($A156,List_PredictorFacilities,0),(COLUMN()-1)/2), 1),"")</f>
        <v/>
      </c>
      <c r="J156" s="137"/>
      <c r="K156" s="58" t="str" cm="1">
        <f>IFERROR(INDEX(List_Predictors, INDEX(Array_PredictorsLookup,MATCH($A156,List_PredictorFacilities,0),(COLUMN()-1)/2), 1),"")</f>
        <v/>
      </c>
      <c r="L156" s="137"/>
      <c r="M156" s="58" t="str" cm="1">
        <f>IFERROR(INDEX(List_Predictors, INDEX(Array_PredictorsLookup,MATCH($A156,List_PredictorFacilities,0),(COLUMN()-1)/2), 1),"")</f>
        <v/>
      </c>
      <c r="N156" s="137"/>
      <c r="O156" s="58" t="str" cm="1">
        <f>IFERROR(INDEX(List_Predictors, INDEX(Array_PredictorsLookup,MATCH($A156,List_PredictorFacilities,0),(COLUMN()-1)/2), 1),"")</f>
        <v/>
      </c>
      <c r="P156" s="137"/>
      <c r="Q156" s="58" t="str" cm="1">
        <f>IFERROR(INDEX(List_Predictors, INDEX(Array_PredictorsLookup,MATCH($A156,List_PredictorFacilities,0),(COLUMN()-1)/2), 1),"")</f>
        <v/>
      </c>
      <c r="R156" s="137"/>
      <c r="S156" s="58" t="str" cm="1">
        <f>IFERROR(INDEX(List_Predictors, INDEX(Array_PredictorsLookup,MATCH($A156,List_PredictorFacilities,0),(COLUMN()-1)/2), 1),"")</f>
        <v/>
      </c>
      <c r="T156" s="137"/>
      <c r="U156" s="58" t="str" cm="1">
        <f>IFERROR(INDEX(List_Predictors, INDEX(Array_PredictorsLookup,MATCH($A156,List_PredictorFacilities,0),(COLUMN()-1)/2), 1),"")</f>
        <v/>
      </c>
      <c r="V156" s="137"/>
      <c r="W156" s="58" t="str" cm="1">
        <f>IFERROR(INDEX(List_Predictors, INDEX(Array_PredictorsLookup,MATCH($A156,List_PredictorFacilities,0),(COLUMN()-1)/2), 1),"")</f>
        <v/>
      </c>
      <c r="X156" s="137"/>
      <c r="Y156" s="58" t="str" cm="1">
        <f>IFERROR(INDEX(List_Predictors, INDEX(Array_PredictorsLookup,MATCH($A156,List_PredictorFacilities,0),(COLUMN()-1)/2), 1),"")</f>
        <v/>
      </c>
      <c r="Z156" s="137"/>
      <c r="AA156" s="58" t="str" cm="1">
        <f>IFERROR(INDEX(List_Predictors, INDEX(Array_PredictorsLookup,MATCH($A156,List_PredictorFacilities,0),(COLUMN()-1)/2), 1),"")</f>
        <v/>
      </c>
      <c r="AB156" s="137"/>
      <c r="AC156" s="58" t="str" cm="1">
        <f>IFERROR(INDEX(List_Predictors, INDEX(Array_PredictorsLookup,MATCH($A156,List_PredictorFacilities,0),(COLUMN()-1)/2), 1),"")</f>
        <v/>
      </c>
      <c r="AD156" s="137"/>
      <c r="AE156" s="58" t="str" cm="1">
        <f>IFERROR(INDEX(List_Predictors, INDEX(Array_PredictorsLookup,MATCH($A156,List_PredictorFacilities,0),(COLUMN()-1)/2), 1),"")</f>
        <v/>
      </c>
      <c r="AF156" s="137"/>
    </row>
    <row r="157" spans="1:32" x14ac:dyDescent="0.3">
      <c r="A157" s="126"/>
      <c r="B157" s="141"/>
      <c r="C157" s="58" t="str" cm="1">
        <f>IFERROR(INDEX(List_Predictors, INDEX(Array_PredictorsLookup,MATCH($A157,List_PredictorFacilities,0),(COLUMN()-1)/2), 1),"")</f>
        <v/>
      </c>
      <c r="D157" s="137"/>
      <c r="E157" s="58" t="str" cm="1">
        <f>IFERROR(INDEX(List_Predictors, INDEX(Array_PredictorsLookup,MATCH($A157,List_PredictorFacilities,0),(COLUMN()-1)/2), 1),"")</f>
        <v/>
      </c>
      <c r="F157" s="137"/>
      <c r="G157" s="58" t="str" cm="1">
        <f>IFERROR(INDEX(List_Predictors, INDEX(Array_PredictorsLookup,MATCH($A157,List_PredictorFacilities,0),(COLUMN()-1)/2), 1),"")</f>
        <v/>
      </c>
      <c r="H157" s="137"/>
      <c r="I157" s="58" t="str" cm="1">
        <f>IFERROR(INDEX(List_Predictors, INDEX(Array_PredictorsLookup,MATCH($A157,List_PredictorFacilities,0),(COLUMN()-1)/2), 1),"")</f>
        <v/>
      </c>
      <c r="J157" s="137"/>
      <c r="K157" s="58" t="str" cm="1">
        <f>IFERROR(INDEX(List_Predictors, INDEX(Array_PredictorsLookup,MATCH($A157,List_PredictorFacilities,0),(COLUMN()-1)/2), 1),"")</f>
        <v/>
      </c>
      <c r="L157" s="137"/>
      <c r="M157" s="58" t="str" cm="1">
        <f>IFERROR(INDEX(List_Predictors, INDEX(Array_PredictorsLookup,MATCH($A157,List_PredictorFacilities,0),(COLUMN()-1)/2), 1),"")</f>
        <v/>
      </c>
      <c r="N157" s="137"/>
      <c r="O157" s="58" t="str" cm="1">
        <f>IFERROR(INDEX(List_Predictors, INDEX(Array_PredictorsLookup,MATCH($A157,List_PredictorFacilities,0),(COLUMN()-1)/2), 1),"")</f>
        <v/>
      </c>
      <c r="P157" s="137"/>
      <c r="Q157" s="58" t="str" cm="1">
        <f>IFERROR(INDEX(List_Predictors, INDEX(Array_PredictorsLookup,MATCH($A157,List_PredictorFacilities,0),(COLUMN()-1)/2), 1),"")</f>
        <v/>
      </c>
      <c r="R157" s="137"/>
      <c r="S157" s="58" t="str" cm="1">
        <f>IFERROR(INDEX(List_Predictors, INDEX(Array_PredictorsLookup,MATCH($A157,List_PredictorFacilities,0),(COLUMN()-1)/2), 1),"")</f>
        <v/>
      </c>
      <c r="T157" s="137"/>
      <c r="U157" s="58" t="str" cm="1">
        <f>IFERROR(INDEX(List_Predictors, INDEX(Array_PredictorsLookup,MATCH($A157,List_PredictorFacilities,0),(COLUMN()-1)/2), 1),"")</f>
        <v/>
      </c>
      <c r="V157" s="137"/>
      <c r="W157" s="58" t="str" cm="1">
        <f>IFERROR(INDEX(List_Predictors, INDEX(Array_PredictorsLookup,MATCH($A157,List_PredictorFacilities,0),(COLUMN()-1)/2), 1),"")</f>
        <v/>
      </c>
      <c r="X157" s="137"/>
      <c r="Y157" s="58" t="str" cm="1">
        <f>IFERROR(INDEX(List_Predictors, INDEX(Array_PredictorsLookup,MATCH($A157,List_PredictorFacilities,0),(COLUMN()-1)/2), 1),"")</f>
        <v/>
      </c>
      <c r="Z157" s="137"/>
      <c r="AA157" s="58" t="str" cm="1">
        <f>IFERROR(INDEX(List_Predictors, INDEX(Array_PredictorsLookup,MATCH($A157,List_PredictorFacilities,0),(COLUMN()-1)/2), 1),"")</f>
        <v/>
      </c>
      <c r="AB157" s="137"/>
      <c r="AC157" s="58" t="str" cm="1">
        <f>IFERROR(INDEX(List_Predictors, INDEX(Array_PredictorsLookup,MATCH($A157,List_PredictorFacilities,0),(COLUMN()-1)/2), 1),"")</f>
        <v/>
      </c>
      <c r="AD157" s="137"/>
      <c r="AE157" s="58" t="str" cm="1">
        <f>IFERROR(INDEX(List_Predictors, INDEX(Array_PredictorsLookup,MATCH($A157,List_PredictorFacilities,0),(COLUMN()-1)/2), 1),"")</f>
        <v/>
      </c>
      <c r="AF157" s="137"/>
    </row>
    <row r="158" spans="1:32" x14ac:dyDescent="0.3">
      <c r="A158" s="126"/>
      <c r="B158" s="141"/>
      <c r="C158" s="58" t="str" cm="1">
        <f>IFERROR(INDEX(List_Predictors, INDEX(Array_PredictorsLookup,MATCH($A158,List_PredictorFacilities,0),(COLUMN()-1)/2), 1),"")</f>
        <v/>
      </c>
      <c r="D158" s="137"/>
      <c r="E158" s="58" t="str" cm="1">
        <f>IFERROR(INDEX(List_Predictors, INDEX(Array_PredictorsLookup,MATCH($A158,List_PredictorFacilities,0),(COLUMN()-1)/2), 1),"")</f>
        <v/>
      </c>
      <c r="F158" s="137"/>
      <c r="G158" s="58" t="str" cm="1">
        <f>IFERROR(INDEX(List_Predictors, INDEX(Array_PredictorsLookup,MATCH($A158,List_PredictorFacilities,0),(COLUMN()-1)/2), 1),"")</f>
        <v/>
      </c>
      <c r="H158" s="137"/>
      <c r="I158" s="58" t="str" cm="1">
        <f>IFERROR(INDEX(List_Predictors, INDEX(Array_PredictorsLookup,MATCH($A158,List_PredictorFacilities,0),(COLUMN()-1)/2), 1),"")</f>
        <v/>
      </c>
      <c r="J158" s="137"/>
      <c r="K158" s="58" t="str" cm="1">
        <f>IFERROR(INDEX(List_Predictors, INDEX(Array_PredictorsLookup,MATCH($A158,List_PredictorFacilities,0),(COLUMN()-1)/2), 1),"")</f>
        <v/>
      </c>
      <c r="L158" s="137"/>
      <c r="M158" s="58" t="str" cm="1">
        <f>IFERROR(INDEX(List_Predictors, INDEX(Array_PredictorsLookup,MATCH($A158,List_PredictorFacilities,0),(COLUMN()-1)/2), 1),"")</f>
        <v/>
      </c>
      <c r="N158" s="137"/>
      <c r="O158" s="58" t="str" cm="1">
        <f>IFERROR(INDEX(List_Predictors, INDEX(Array_PredictorsLookup,MATCH($A158,List_PredictorFacilities,0),(COLUMN()-1)/2), 1),"")</f>
        <v/>
      </c>
      <c r="P158" s="137"/>
      <c r="Q158" s="58" t="str" cm="1">
        <f>IFERROR(INDEX(List_Predictors, INDEX(Array_PredictorsLookup,MATCH($A158,List_PredictorFacilities,0),(COLUMN()-1)/2), 1),"")</f>
        <v/>
      </c>
      <c r="R158" s="137"/>
      <c r="S158" s="58" t="str" cm="1">
        <f>IFERROR(INDEX(List_Predictors, INDEX(Array_PredictorsLookup,MATCH($A158,List_PredictorFacilities,0),(COLUMN()-1)/2), 1),"")</f>
        <v/>
      </c>
      <c r="T158" s="137"/>
      <c r="U158" s="58" t="str" cm="1">
        <f>IFERROR(INDEX(List_Predictors, INDEX(Array_PredictorsLookup,MATCH($A158,List_PredictorFacilities,0),(COLUMN()-1)/2), 1),"")</f>
        <v/>
      </c>
      <c r="V158" s="137"/>
      <c r="W158" s="58" t="str" cm="1">
        <f>IFERROR(INDEX(List_Predictors, INDEX(Array_PredictorsLookup,MATCH($A158,List_PredictorFacilities,0),(COLUMN()-1)/2), 1),"")</f>
        <v/>
      </c>
      <c r="X158" s="137"/>
      <c r="Y158" s="58" t="str" cm="1">
        <f>IFERROR(INDEX(List_Predictors, INDEX(Array_PredictorsLookup,MATCH($A158,List_PredictorFacilities,0),(COLUMN()-1)/2), 1),"")</f>
        <v/>
      </c>
      <c r="Z158" s="137"/>
      <c r="AA158" s="58" t="str" cm="1">
        <f>IFERROR(INDEX(List_Predictors, INDEX(Array_PredictorsLookup,MATCH($A158,List_PredictorFacilities,0),(COLUMN()-1)/2), 1),"")</f>
        <v/>
      </c>
      <c r="AB158" s="137"/>
      <c r="AC158" s="58" t="str" cm="1">
        <f>IFERROR(INDEX(List_Predictors, INDEX(Array_PredictorsLookup,MATCH($A158,List_PredictorFacilities,0),(COLUMN()-1)/2), 1),"")</f>
        <v/>
      </c>
      <c r="AD158" s="137"/>
      <c r="AE158" s="58" t="str" cm="1">
        <f>IFERROR(INDEX(List_Predictors, INDEX(Array_PredictorsLookup,MATCH($A158,List_PredictorFacilities,0),(COLUMN()-1)/2), 1),"")</f>
        <v/>
      </c>
      <c r="AF158" s="137"/>
    </row>
    <row r="159" spans="1:32" x14ac:dyDescent="0.3">
      <c r="A159" s="126"/>
      <c r="B159" s="141"/>
      <c r="C159" s="58" t="str" cm="1">
        <f>IFERROR(INDEX(List_Predictors, INDEX(Array_PredictorsLookup,MATCH($A159,List_PredictorFacilities,0),(COLUMN()-1)/2), 1),"")</f>
        <v/>
      </c>
      <c r="D159" s="137"/>
      <c r="E159" s="58" t="str" cm="1">
        <f>IFERROR(INDEX(List_Predictors, INDEX(Array_PredictorsLookup,MATCH($A159,List_PredictorFacilities,0),(COLUMN()-1)/2), 1),"")</f>
        <v/>
      </c>
      <c r="F159" s="137"/>
      <c r="G159" s="58" t="str" cm="1">
        <f>IFERROR(INDEX(List_Predictors, INDEX(Array_PredictorsLookup,MATCH($A159,List_PredictorFacilities,0),(COLUMN()-1)/2), 1),"")</f>
        <v/>
      </c>
      <c r="H159" s="137"/>
      <c r="I159" s="58" t="str" cm="1">
        <f>IFERROR(INDEX(List_Predictors, INDEX(Array_PredictorsLookup,MATCH($A159,List_PredictorFacilities,0),(COLUMN()-1)/2), 1),"")</f>
        <v/>
      </c>
      <c r="J159" s="137"/>
      <c r="K159" s="58" t="str" cm="1">
        <f>IFERROR(INDEX(List_Predictors, INDEX(Array_PredictorsLookup,MATCH($A159,List_PredictorFacilities,0),(COLUMN()-1)/2), 1),"")</f>
        <v/>
      </c>
      <c r="L159" s="137"/>
      <c r="M159" s="58" t="str" cm="1">
        <f>IFERROR(INDEX(List_Predictors, INDEX(Array_PredictorsLookup,MATCH($A159,List_PredictorFacilities,0),(COLUMN()-1)/2), 1),"")</f>
        <v/>
      </c>
      <c r="N159" s="137"/>
      <c r="O159" s="58" t="str" cm="1">
        <f>IFERROR(INDEX(List_Predictors, INDEX(Array_PredictorsLookup,MATCH($A159,List_PredictorFacilities,0),(COLUMN()-1)/2), 1),"")</f>
        <v/>
      </c>
      <c r="P159" s="137"/>
      <c r="Q159" s="58" t="str" cm="1">
        <f>IFERROR(INDEX(List_Predictors, INDEX(Array_PredictorsLookup,MATCH($A159,List_PredictorFacilities,0),(COLUMN()-1)/2), 1),"")</f>
        <v/>
      </c>
      <c r="R159" s="137"/>
      <c r="S159" s="58" t="str" cm="1">
        <f>IFERROR(INDEX(List_Predictors, INDEX(Array_PredictorsLookup,MATCH($A159,List_PredictorFacilities,0),(COLUMN()-1)/2), 1),"")</f>
        <v/>
      </c>
      <c r="T159" s="137"/>
      <c r="U159" s="58" t="str" cm="1">
        <f>IFERROR(INDEX(List_Predictors, INDEX(Array_PredictorsLookup,MATCH($A159,List_PredictorFacilities,0),(COLUMN()-1)/2), 1),"")</f>
        <v/>
      </c>
      <c r="V159" s="137"/>
      <c r="W159" s="58" t="str" cm="1">
        <f>IFERROR(INDEX(List_Predictors, INDEX(Array_PredictorsLookup,MATCH($A159,List_PredictorFacilities,0),(COLUMN()-1)/2), 1),"")</f>
        <v/>
      </c>
      <c r="X159" s="137"/>
      <c r="Y159" s="58" t="str" cm="1">
        <f>IFERROR(INDEX(List_Predictors, INDEX(Array_PredictorsLookup,MATCH($A159,List_PredictorFacilities,0),(COLUMN()-1)/2), 1),"")</f>
        <v/>
      </c>
      <c r="Z159" s="137"/>
      <c r="AA159" s="58" t="str" cm="1">
        <f>IFERROR(INDEX(List_Predictors, INDEX(Array_PredictorsLookup,MATCH($A159,List_PredictorFacilities,0),(COLUMN()-1)/2), 1),"")</f>
        <v/>
      </c>
      <c r="AB159" s="137"/>
      <c r="AC159" s="58" t="str" cm="1">
        <f>IFERROR(INDEX(List_Predictors, INDEX(Array_PredictorsLookup,MATCH($A159,List_PredictorFacilities,0),(COLUMN()-1)/2), 1),"")</f>
        <v/>
      </c>
      <c r="AD159" s="137"/>
      <c r="AE159" s="58" t="str" cm="1">
        <f>IFERROR(INDEX(List_Predictors, INDEX(Array_PredictorsLookup,MATCH($A159,List_PredictorFacilities,0),(COLUMN()-1)/2), 1),"")</f>
        <v/>
      </c>
      <c r="AF159" s="137"/>
    </row>
    <row r="160" spans="1:32" x14ac:dyDescent="0.3">
      <c r="A160" s="126"/>
      <c r="B160" s="141"/>
      <c r="C160" s="58" t="str" cm="1">
        <f>IFERROR(INDEX(List_Predictors, INDEX(Array_PredictorsLookup,MATCH($A160,List_PredictorFacilities,0),(COLUMN()-1)/2), 1),"")</f>
        <v/>
      </c>
      <c r="D160" s="137"/>
      <c r="E160" s="58" t="str" cm="1">
        <f>IFERROR(INDEX(List_Predictors, INDEX(Array_PredictorsLookup,MATCH($A160,List_PredictorFacilities,0),(COLUMN()-1)/2), 1),"")</f>
        <v/>
      </c>
      <c r="F160" s="137"/>
      <c r="G160" s="58" t="str" cm="1">
        <f>IFERROR(INDEX(List_Predictors, INDEX(Array_PredictorsLookup,MATCH($A160,List_PredictorFacilities,0),(COLUMN()-1)/2), 1),"")</f>
        <v/>
      </c>
      <c r="H160" s="137"/>
      <c r="I160" s="58" t="str" cm="1">
        <f>IFERROR(INDEX(List_Predictors, INDEX(Array_PredictorsLookup,MATCH($A160,List_PredictorFacilities,0),(COLUMN()-1)/2), 1),"")</f>
        <v/>
      </c>
      <c r="J160" s="137"/>
      <c r="K160" s="58" t="str" cm="1">
        <f>IFERROR(INDEX(List_Predictors, INDEX(Array_PredictorsLookup,MATCH($A160,List_PredictorFacilities,0),(COLUMN()-1)/2), 1),"")</f>
        <v/>
      </c>
      <c r="L160" s="137"/>
      <c r="M160" s="58" t="str" cm="1">
        <f>IFERROR(INDEX(List_Predictors, INDEX(Array_PredictorsLookup,MATCH($A160,List_PredictorFacilities,0),(COLUMN()-1)/2), 1),"")</f>
        <v/>
      </c>
      <c r="N160" s="137"/>
      <c r="O160" s="58" t="str" cm="1">
        <f>IFERROR(INDEX(List_Predictors, INDEX(Array_PredictorsLookup,MATCH($A160,List_PredictorFacilities,0),(COLUMN()-1)/2), 1),"")</f>
        <v/>
      </c>
      <c r="P160" s="137"/>
      <c r="Q160" s="58" t="str" cm="1">
        <f>IFERROR(INDEX(List_Predictors, INDEX(Array_PredictorsLookup,MATCH($A160,List_PredictorFacilities,0),(COLUMN()-1)/2), 1),"")</f>
        <v/>
      </c>
      <c r="R160" s="137"/>
      <c r="S160" s="58" t="str" cm="1">
        <f>IFERROR(INDEX(List_Predictors, INDEX(Array_PredictorsLookup,MATCH($A160,List_PredictorFacilities,0),(COLUMN()-1)/2), 1),"")</f>
        <v/>
      </c>
      <c r="T160" s="137"/>
      <c r="U160" s="58" t="str" cm="1">
        <f>IFERROR(INDEX(List_Predictors, INDEX(Array_PredictorsLookup,MATCH($A160,List_PredictorFacilities,0),(COLUMN()-1)/2), 1),"")</f>
        <v/>
      </c>
      <c r="V160" s="137"/>
      <c r="W160" s="58" t="str" cm="1">
        <f>IFERROR(INDEX(List_Predictors, INDEX(Array_PredictorsLookup,MATCH($A160,List_PredictorFacilities,0),(COLUMN()-1)/2), 1),"")</f>
        <v/>
      </c>
      <c r="X160" s="137"/>
      <c r="Y160" s="58" t="str" cm="1">
        <f>IFERROR(INDEX(List_Predictors, INDEX(Array_PredictorsLookup,MATCH($A160,List_PredictorFacilities,0),(COLUMN()-1)/2), 1),"")</f>
        <v/>
      </c>
      <c r="Z160" s="137"/>
      <c r="AA160" s="58" t="str" cm="1">
        <f>IFERROR(INDEX(List_Predictors, INDEX(Array_PredictorsLookup,MATCH($A160,List_PredictorFacilities,0),(COLUMN()-1)/2), 1),"")</f>
        <v/>
      </c>
      <c r="AB160" s="137"/>
      <c r="AC160" s="58" t="str" cm="1">
        <f>IFERROR(INDEX(List_Predictors, INDEX(Array_PredictorsLookup,MATCH($A160,List_PredictorFacilities,0),(COLUMN()-1)/2), 1),"")</f>
        <v/>
      </c>
      <c r="AD160" s="137"/>
      <c r="AE160" s="58" t="str" cm="1">
        <f>IFERROR(INDEX(List_Predictors, INDEX(Array_PredictorsLookup,MATCH($A160,List_PredictorFacilities,0),(COLUMN()-1)/2), 1),"")</f>
        <v/>
      </c>
      <c r="AF160" s="137"/>
    </row>
    <row r="161" spans="1:32" x14ac:dyDescent="0.3">
      <c r="A161" s="126"/>
      <c r="B161" s="141"/>
      <c r="C161" s="58" t="str" cm="1">
        <f>IFERROR(INDEX(List_Predictors, INDEX(Array_PredictorsLookup,MATCH($A161,List_PredictorFacilities,0),(COLUMN()-1)/2), 1),"")</f>
        <v/>
      </c>
      <c r="D161" s="137"/>
      <c r="E161" s="58" t="str" cm="1">
        <f>IFERROR(INDEX(List_Predictors, INDEX(Array_PredictorsLookup,MATCH($A161,List_PredictorFacilities,0),(COLUMN()-1)/2), 1),"")</f>
        <v/>
      </c>
      <c r="F161" s="137"/>
      <c r="G161" s="58" t="str" cm="1">
        <f>IFERROR(INDEX(List_Predictors, INDEX(Array_PredictorsLookup,MATCH($A161,List_PredictorFacilities,0),(COLUMN()-1)/2), 1),"")</f>
        <v/>
      </c>
      <c r="H161" s="137"/>
      <c r="I161" s="58" t="str" cm="1">
        <f>IFERROR(INDEX(List_Predictors, INDEX(Array_PredictorsLookup,MATCH($A161,List_PredictorFacilities,0),(COLUMN()-1)/2), 1),"")</f>
        <v/>
      </c>
      <c r="J161" s="137"/>
      <c r="K161" s="58" t="str" cm="1">
        <f>IFERROR(INDEX(List_Predictors, INDEX(Array_PredictorsLookup,MATCH($A161,List_PredictorFacilities,0),(COLUMN()-1)/2), 1),"")</f>
        <v/>
      </c>
      <c r="L161" s="137"/>
      <c r="M161" s="58" t="str" cm="1">
        <f>IFERROR(INDEX(List_Predictors, INDEX(Array_PredictorsLookup,MATCH($A161,List_PredictorFacilities,0),(COLUMN()-1)/2), 1),"")</f>
        <v/>
      </c>
      <c r="N161" s="137"/>
      <c r="O161" s="58" t="str" cm="1">
        <f>IFERROR(INDEX(List_Predictors, INDEX(Array_PredictorsLookup,MATCH($A161,List_PredictorFacilities,0),(COLUMN()-1)/2), 1),"")</f>
        <v/>
      </c>
      <c r="P161" s="137"/>
      <c r="Q161" s="58" t="str" cm="1">
        <f>IFERROR(INDEX(List_Predictors, INDEX(Array_PredictorsLookup,MATCH($A161,List_PredictorFacilities,0),(COLUMN()-1)/2), 1),"")</f>
        <v/>
      </c>
      <c r="R161" s="137"/>
      <c r="S161" s="58" t="str" cm="1">
        <f>IFERROR(INDEX(List_Predictors, INDEX(Array_PredictorsLookup,MATCH($A161,List_PredictorFacilities,0),(COLUMN()-1)/2), 1),"")</f>
        <v/>
      </c>
      <c r="T161" s="137"/>
      <c r="U161" s="58" t="str" cm="1">
        <f>IFERROR(INDEX(List_Predictors, INDEX(Array_PredictorsLookup,MATCH($A161,List_PredictorFacilities,0),(COLUMN()-1)/2), 1),"")</f>
        <v/>
      </c>
      <c r="V161" s="137"/>
      <c r="W161" s="58" t="str" cm="1">
        <f>IFERROR(INDEX(List_Predictors, INDEX(Array_PredictorsLookup,MATCH($A161,List_PredictorFacilities,0),(COLUMN()-1)/2), 1),"")</f>
        <v/>
      </c>
      <c r="X161" s="137"/>
      <c r="Y161" s="58" t="str" cm="1">
        <f>IFERROR(INDEX(List_Predictors, INDEX(Array_PredictorsLookup,MATCH($A161,List_PredictorFacilities,0),(COLUMN()-1)/2), 1),"")</f>
        <v/>
      </c>
      <c r="Z161" s="137"/>
      <c r="AA161" s="58" t="str" cm="1">
        <f>IFERROR(INDEX(List_Predictors, INDEX(Array_PredictorsLookup,MATCH($A161,List_PredictorFacilities,0),(COLUMN()-1)/2), 1),"")</f>
        <v/>
      </c>
      <c r="AB161" s="137"/>
      <c r="AC161" s="58" t="str" cm="1">
        <f>IFERROR(INDEX(List_Predictors, INDEX(Array_PredictorsLookup,MATCH($A161,List_PredictorFacilities,0),(COLUMN()-1)/2), 1),"")</f>
        <v/>
      </c>
      <c r="AD161" s="137"/>
      <c r="AE161" s="58" t="str" cm="1">
        <f>IFERROR(INDEX(List_Predictors, INDEX(Array_PredictorsLookup,MATCH($A161,List_PredictorFacilities,0),(COLUMN()-1)/2), 1),"")</f>
        <v/>
      </c>
      <c r="AF161" s="137"/>
    </row>
    <row r="162" spans="1:32" x14ac:dyDescent="0.3">
      <c r="A162" s="126"/>
      <c r="B162" s="141"/>
      <c r="C162" s="58" t="str" cm="1">
        <f>IFERROR(INDEX(List_Predictors, INDEX(Array_PredictorsLookup,MATCH($A162,List_PredictorFacilities,0),(COLUMN()-1)/2), 1),"")</f>
        <v/>
      </c>
      <c r="D162" s="137"/>
      <c r="E162" s="58" t="str" cm="1">
        <f>IFERROR(INDEX(List_Predictors, INDEX(Array_PredictorsLookup,MATCH($A162,List_PredictorFacilities,0),(COLUMN()-1)/2), 1),"")</f>
        <v/>
      </c>
      <c r="F162" s="137"/>
      <c r="G162" s="58" t="str" cm="1">
        <f>IFERROR(INDEX(List_Predictors, INDEX(Array_PredictorsLookup,MATCH($A162,List_PredictorFacilities,0),(COLUMN()-1)/2), 1),"")</f>
        <v/>
      </c>
      <c r="H162" s="137"/>
      <c r="I162" s="58" t="str" cm="1">
        <f>IFERROR(INDEX(List_Predictors, INDEX(Array_PredictorsLookup,MATCH($A162,List_PredictorFacilities,0),(COLUMN()-1)/2), 1),"")</f>
        <v/>
      </c>
      <c r="J162" s="137"/>
      <c r="K162" s="58" t="str" cm="1">
        <f>IFERROR(INDEX(List_Predictors, INDEX(Array_PredictorsLookup,MATCH($A162,List_PredictorFacilities,0),(COLUMN()-1)/2), 1),"")</f>
        <v/>
      </c>
      <c r="L162" s="137"/>
      <c r="M162" s="58" t="str" cm="1">
        <f>IFERROR(INDEX(List_Predictors, INDEX(Array_PredictorsLookup,MATCH($A162,List_PredictorFacilities,0),(COLUMN()-1)/2), 1),"")</f>
        <v/>
      </c>
      <c r="N162" s="137"/>
      <c r="O162" s="58" t="str" cm="1">
        <f>IFERROR(INDEX(List_Predictors, INDEX(Array_PredictorsLookup,MATCH($A162,List_PredictorFacilities,0),(COLUMN()-1)/2), 1),"")</f>
        <v/>
      </c>
      <c r="P162" s="137"/>
      <c r="Q162" s="58" t="str" cm="1">
        <f>IFERROR(INDEX(List_Predictors, INDEX(Array_PredictorsLookup,MATCH($A162,List_PredictorFacilities,0),(COLUMN()-1)/2), 1),"")</f>
        <v/>
      </c>
      <c r="R162" s="137"/>
      <c r="S162" s="58" t="str" cm="1">
        <f>IFERROR(INDEX(List_Predictors, INDEX(Array_PredictorsLookup,MATCH($A162,List_PredictorFacilities,0),(COLUMN()-1)/2), 1),"")</f>
        <v/>
      </c>
      <c r="T162" s="137"/>
      <c r="U162" s="58" t="str" cm="1">
        <f>IFERROR(INDEX(List_Predictors, INDEX(Array_PredictorsLookup,MATCH($A162,List_PredictorFacilities,0),(COLUMN()-1)/2), 1),"")</f>
        <v/>
      </c>
      <c r="V162" s="137"/>
      <c r="W162" s="58" t="str" cm="1">
        <f>IFERROR(INDEX(List_Predictors, INDEX(Array_PredictorsLookup,MATCH($A162,List_PredictorFacilities,0),(COLUMN()-1)/2), 1),"")</f>
        <v/>
      </c>
      <c r="X162" s="137"/>
      <c r="Y162" s="58" t="str" cm="1">
        <f>IFERROR(INDEX(List_Predictors, INDEX(Array_PredictorsLookup,MATCH($A162,List_PredictorFacilities,0),(COLUMN()-1)/2), 1),"")</f>
        <v/>
      </c>
      <c r="Z162" s="137"/>
      <c r="AA162" s="58" t="str" cm="1">
        <f>IFERROR(INDEX(List_Predictors, INDEX(Array_PredictorsLookup,MATCH($A162,List_PredictorFacilities,0),(COLUMN()-1)/2), 1),"")</f>
        <v/>
      </c>
      <c r="AB162" s="137"/>
      <c r="AC162" s="58" t="str" cm="1">
        <f>IFERROR(INDEX(List_Predictors, INDEX(Array_PredictorsLookup,MATCH($A162,List_PredictorFacilities,0),(COLUMN()-1)/2), 1),"")</f>
        <v/>
      </c>
      <c r="AD162" s="137"/>
      <c r="AE162" s="58" t="str" cm="1">
        <f>IFERROR(INDEX(List_Predictors, INDEX(Array_PredictorsLookup,MATCH($A162,List_PredictorFacilities,0),(COLUMN()-1)/2), 1),"")</f>
        <v/>
      </c>
      <c r="AF162" s="137"/>
    </row>
    <row r="163" spans="1:32" x14ac:dyDescent="0.3">
      <c r="A163" s="126"/>
      <c r="B163" s="141"/>
      <c r="C163" s="58" t="str" cm="1">
        <f>IFERROR(INDEX(List_Predictors, INDEX(Array_PredictorsLookup,MATCH($A163,List_PredictorFacilities,0),(COLUMN()-1)/2), 1),"")</f>
        <v/>
      </c>
      <c r="D163" s="137"/>
      <c r="E163" s="58" t="str" cm="1">
        <f>IFERROR(INDEX(List_Predictors, INDEX(Array_PredictorsLookup,MATCH($A163,List_PredictorFacilities,0),(COLUMN()-1)/2), 1),"")</f>
        <v/>
      </c>
      <c r="F163" s="137"/>
      <c r="G163" s="58" t="str" cm="1">
        <f>IFERROR(INDEX(List_Predictors, INDEX(Array_PredictorsLookup,MATCH($A163,List_PredictorFacilities,0),(COLUMN()-1)/2), 1),"")</f>
        <v/>
      </c>
      <c r="H163" s="137"/>
      <c r="I163" s="58" t="str" cm="1">
        <f>IFERROR(INDEX(List_Predictors, INDEX(Array_PredictorsLookup,MATCH($A163,List_PredictorFacilities,0),(COLUMN()-1)/2), 1),"")</f>
        <v/>
      </c>
      <c r="J163" s="137"/>
      <c r="K163" s="58" t="str" cm="1">
        <f>IFERROR(INDEX(List_Predictors, INDEX(Array_PredictorsLookup,MATCH($A163,List_PredictorFacilities,0),(COLUMN()-1)/2), 1),"")</f>
        <v/>
      </c>
      <c r="L163" s="137"/>
      <c r="M163" s="58" t="str" cm="1">
        <f>IFERROR(INDEX(List_Predictors, INDEX(Array_PredictorsLookup,MATCH($A163,List_PredictorFacilities,0),(COLUMN()-1)/2), 1),"")</f>
        <v/>
      </c>
      <c r="N163" s="137"/>
      <c r="O163" s="58" t="str" cm="1">
        <f>IFERROR(INDEX(List_Predictors, INDEX(Array_PredictorsLookup,MATCH($A163,List_PredictorFacilities,0),(COLUMN()-1)/2), 1),"")</f>
        <v/>
      </c>
      <c r="P163" s="137"/>
      <c r="Q163" s="58" t="str" cm="1">
        <f>IFERROR(INDEX(List_Predictors, INDEX(Array_PredictorsLookup,MATCH($A163,List_PredictorFacilities,0),(COLUMN()-1)/2), 1),"")</f>
        <v/>
      </c>
      <c r="R163" s="137"/>
      <c r="S163" s="58" t="str" cm="1">
        <f>IFERROR(INDEX(List_Predictors, INDEX(Array_PredictorsLookup,MATCH($A163,List_PredictorFacilities,0),(COLUMN()-1)/2), 1),"")</f>
        <v/>
      </c>
      <c r="T163" s="137"/>
      <c r="U163" s="58" t="str" cm="1">
        <f>IFERROR(INDEX(List_Predictors, INDEX(Array_PredictorsLookup,MATCH($A163,List_PredictorFacilities,0),(COLUMN()-1)/2), 1),"")</f>
        <v/>
      </c>
      <c r="V163" s="137"/>
      <c r="W163" s="58" t="str" cm="1">
        <f>IFERROR(INDEX(List_Predictors, INDEX(Array_PredictorsLookup,MATCH($A163,List_PredictorFacilities,0),(COLUMN()-1)/2), 1),"")</f>
        <v/>
      </c>
      <c r="X163" s="137"/>
      <c r="Y163" s="58" t="str" cm="1">
        <f>IFERROR(INDEX(List_Predictors, INDEX(Array_PredictorsLookup,MATCH($A163,List_PredictorFacilities,0),(COLUMN()-1)/2), 1),"")</f>
        <v/>
      </c>
      <c r="Z163" s="137"/>
      <c r="AA163" s="58" t="str" cm="1">
        <f>IFERROR(INDEX(List_Predictors, INDEX(Array_PredictorsLookup,MATCH($A163,List_PredictorFacilities,0),(COLUMN()-1)/2), 1),"")</f>
        <v/>
      </c>
      <c r="AB163" s="137"/>
      <c r="AC163" s="58" t="str" cm="1">
        <f>IFERROR(INDEX(List_Predictors, INDEX(Array_PredictorsLookup,MATCH($A163,List_PredictorFacilities,0),(COLUMN()-1)/2), 1),"")</f>
        <v/>
      </c>
      <c r="AD163" s="137"/>
      <c r="AE163" s="58" t="str" cm="1">
        <f>IFERROR(INDEX(List_Predictors, INDEX(Array_PredictorsLookup,MATCH($A163,List_PredictorFacilities,0),(COLUMN()-1)/2), 1),"")</f>
        <v/>
      </c>
      <c r="AF163" s="137"/>
    </row>
    <row r="164" spans="1:32" x14ac:dyDescent="0.3">
      <c r="A164" s="126"/>
      <c r="B164" s="141"/>
      <c r="C164" s="58" t="str" cm="1">
        <f>IFERROR(INDEX(List_Predictors, INDEX(Array_PredictorsLookup,MATCH($A164,List_PredictorFacilities,0),(COLUMN()-1)/2), 1),"")</f>
        <v/>
      </c>
      <c r="D164" s="137"/>
      <c r="E164" s="58" t="str" cm="1">
        <f>IFERROR(INDEX(List_Predictors, INDEX(Array_PredictorsLookup,MATCH($A164,List_PredictorFacilities,0),(COLUMN()-1)/2), 1),"")</f>
        <v/>
      </c>
      <c r="F164" s="137"/>
      <c r="G164" s="58" t="str" cm="1">
        <f>IFERROR(INDEX(List_Predictors, INDEX(Array_PredictorsLookup,MATCH($A164,List_PredictorFacilities,0),(COLUMN()-1)/2), 1),"")</f>
        <v/>
      </c>
      <c r="H164" s="137"/>
      <c r="I164" s="58" t="str" cm="1">
        <f>IFERROR(INDEX(List_Predictors, INDEX(Array_PredictorsLookup,MATCH($A164,List_PredictorFacilities,0),(COLUMN()-1)/2), 1),"")</f>
        <v/>
      </c>
      <c r="J164" s="137"/>
      <c r="K164" s="58" t="str" cm="1">
        <f>IFERROR(INDEX(List_Predictors, INDEX(Array_PredictorsLookup,MATCH($A164,List_PredictorFacilities,0),(COLUMN()-1)/2), 1),"")</f>
        <v/>
      </c>
      <c r="L164" s="137"/>
      <c r="M164" s="58" t="str" cm="1">
        <f>IFERROR(INDEX(List_Predictors, INDEX(Array_PredictorsLookup,MATCH($A164,List_PredictorFacilities,0),(COLUMN()-1)/2), 1),"")</f>
        <v/>
      </c>
      <c r="N164" s="137"/>
      <c r="O164" s="58" t="str" cm="1">
        <f>IFERROR(INDEX(List_Predictors, INDEX(Array_PredictorsLookup,MATCH($A164,List_PredictorFacilities,0),(COLUMN()-1)/2), 1),"")</f>
        <v/>
      </c>
      <c r="P164" s="137"/>
      <c r="Q164" s="58" t="str" cm="1">
        <f>IFERROR(INDEX(List_Predictors, INDEX(Array_PredictorsLookup,MATCH($A164,List_PredictorFacilities,0),(COLUMN()-1)/2), 1),"")</f>
        <v/>
      </c>
      <c r="R164" s="137"/>
      <c r="S164" s="58" t="str" cm="1">
        <f>IFERROR(INDEX(List_Predictors, INDEX(Array_PredictorsLookup,MATCH($A164,List_PredictorFacilities,0),(COLUMN()-1)/2), 1),"")</f>
        <v/>
      </c>
      <c r="T164" s="137"/>
      <c r="U164" s="58" t="str" cm="1">
        <f>IFERROR(INDEX(List_Predictors, INDEX(Array_PredictorsLookup,MATCH($A164,List_PredictorFacilities,0),(COLUMN()-1)/2), 1),"")</f>
        <v/>
      </c>
      <c r="V164" s="137"/>
      <c r="W164" s="58" t="str" cm="1">
        <f>IFERROR(INDEX(List_Predictors, INDEX(Array_PredictorsLookup,MATCH($A164,List_PredictorFacilities,0),(COLUMN()-1)/2), 1),"")</f>
        <v/>
      </c>
      <c r="X164" s="137"/>
      <c r="Y164" s="58" t="str" cm="1">
        <f>IFERROR(INDEX(List_Predictors, INDEX(Array_PredictorsLookup,MATCH($A164,List_PredictorFacilities,0),(COLUMN()-1)/2), 1),"")</f>
        <v/>
      </c>
      <c r="Z164" s="137"/>
      <c r="AA164" s="58" t="str" cm="1">
        <f>IFERROR(INDEX(List_Predictors, INDEX(Array_PredictorsLookup,MATCH($A164,List_PredictorFacilities,0),(COLUMN()-1)/2), 1),"")</f>
        <v/>
      </c>
      <c r="AB164" s="137"/>
      <c r="AC164" s="58" t="str" cm="1">
        <f>IFERROR(INDEX(List_Predictors, INDEX(Array_PredictorsLookup,MATCH($A164,List_PredictorFacilities,0),(COLUMN()-1)/2), 1),"")</f>
        <v/>
      </c>
      <c r="AD164" s="137"/>
      <c r="AE164" s="58" t="str" cm="1">
        <f>IFERROR(INDEX(List_Predictors, INDEX(Array_PredictorsLookup,MATCH($A164,List_PredictorFacilities,0),(COLUMN()-1)/2), 1),"")</f>
        <v/>
      </c>
      <c r="AF164" s="137"/>
    </row>
    <row r="165" spans="1:32" x14ac:dyDescent="0.3">
      <c r="A165" s="126"/>
      <c r="B165" s="141"/>
      <c r="C165" s="58" t="str" cm="1">
        <f>IFERROR(INDEX(List_Predictors, INDEX(Array_PredictorsLookup,MATCH($A165,List_PredictorFacilities,0),(COLUMN()-1)/2), 1),"")</f>
        <v/>
      </c>
      <c r="D165" s="137"/>
      <c r="E165" s="58" t="str" cm="1">
        <f>IFERROR(INDEX(List_Predictors, INDEX(Array_PredictorsLookup,MATCH($A165,List_PredictorFacilities,0),(COLUMN()-1)/2), 1),"")</f>
        <v/>
      </c>
      <c r="F165" s="137"/>
      <c r="G165" s="58" t="str" cm="1">
        <f>IFERROR(INDEX(List_Predictors, INDEX(Array_PredictorsLookup,MATCH($A165,List_PredictorFacilities,0),(COLUMN()-1)/2), 1),"")</f>
        <v/>
      </c>
      <c r="H165" s="137"/>
      <c r="I165" s="58" t="str" cm="1">
        <f>IFERROR(INDEX(List_Predictors, INDEX(Array_PredictorsLookup,MATCH($A165,List_PredictorFacilities,0),(COLUMN()-1)/2), 1),"")</f>
        <v/>
      </c>
      <c r="J165" s="137"/>
      <c r="K165" s="58" t="str" cm="1">
        <f>IFERROR(INDEX(List_Predictors, INDEX(Array_PredictorsLookup,MATCH($A165,List_PredictorFacilities,0),(COLUMN()-1)/2), 1),"")</f>
        <v/>
      </c>
      <c r="L165" s="137"/>
      <c r="M165" s="58" t="str" cm="1">
        <f>IFERROR(INDEX(List_Predictors, INDEX(Array_PredictorsLookup,MATCH($A165,List_PredictorFacilities,0),(COLUMN()-1)/2), 1),"")</f>
        <v/>
      </c>
      <c r="N165" s="137"/>
      <c r="O165" s="58" t="str" cm="1">
        <f>IFERROR(INDEX(List_Predictors, INDEX(Array_PredictorsLookup,MATCH($A165,List_PredictorFacilities,0),(COLUMN()-1)/2), 1),"")</f>
        <v/>
      </c>
      <c r="P165" s="137"/>
      <c r="Q165" s="58" t="str" cm="1">
        <f>IFERROR(INDEX(List_Predictors, INDEX(Array_PredictorsLookup,MATCH($A165,List_PredictorFacilities,0),(COLUMN()-1)/2), 1),"")</f>
        <v/>
      </c>
      <c r="R165" s="137"/>
      <c r="S165" s="58" t="str" cm="1">
        <f>IFERROR(INDEX(List_Predictors, INDEX(Array_PredictorsLookup,MATCH($A165,List_PredictorFacilities,0),(COLUMN()-1)/2), 1),"")</f>
        <v/>
      </c>
      <c r="T165" s="137"/>
      <c r="U165" s="58" t="str" cm="1">
        <f>IFERROR(INDEX(List_Predictors, INDEX(Array_PredictorsLookup,MATCH($A165,List_PredictorFacilities,0),(COLUMN()-1)/2), 1),"")</f>
        <v/>
      </c>
      <c r="V165" s="137"/>
      <c r="W165" s="58" t="str" cm="1">
        <f>IFERROR(INDEX(List_Predictors, INDEX(Array_PredictorsLookup,MATCH($A165,List_PredictorFacilities,0),(COLUMN()-1)/2), 1),"")</f>
        <v/>
      </c>
      <c r="X165" s="137"/>
      <c r="Y165" s="58" t="str" cm="1">
        <f>IFERROR(INDEX(List_Predictors, INDEX(Array_PredictorsLookup,MATCH($A165,List_PredictorFacilities,0),(COLUMN()-1)/2), 1),"")</f>
        <v/>
      </c>
      <c r="Z165" s="137"/>
      <c r="AA165" s="58" t="str" cm="1">
        <f>IFERROR(INDEX(List_Predictors, INDEX(Array_PredictorsLookup,MATCH($A165,List_PredictorFacilities,0),(COLUMN()-1)/2), 1),"")</f>
        <v/>
      </c>
      <c r="AB165" s="137"/>
      <c r="AC165" s="58" t="str" cm="1">
        <f>IFERROR(INDEX(List_Predictors, INDEX(Array_PredictorsLookup,MATCH($A165,List_PredictorFacilities,0),(COLUMN()-1)/2), 1),"")</f>
        <v/>
      </c>
      <c r="AD165" s="137"/>
      <c r="AE165" s="58" t="str" cm="1">
        <f>IFERROR(INDEX(List_Predictors, INDEX(Array_PredictorsLookup,MATCH($A165,List_PredictorFacilities,0),(COLUMN()-1)/2), 1),"")</f>
        <v/>
      </c>
      <c r="AF165" s="137"/>
    </row>
    <row r="166" spans="1:32" x14ac:dyDescent="0.3">
      <c r="A166" s="126"/>
      <c r="B166" s="141"/>
      <c r="C166" s="58" t="str" cm="1">
        <f>IFERROR(INDEX(List_Predictors, INDEX(Array_PredictorsLookup,MATCH($A166,List_PredictorFacilities,0),(COLUMN()-1)/2), 1),"")</f>
        <v/>
      </c>
      <c r="D166" s="137"/>
      <c r="E166" s="58" t="str" cm="1">
        <f>IFERROR(INDEX(List_Predictors, INDEX(Array_PredictorsLookup,MATCH($A166,List_PredictorFacilities,0),(COLUMN()-1)/2), 1),"")</f>
        <v/>
      </c>
      <c r="F166" s="137"/>
      <c r="G166" s="58" t="str" cm="1">
        <f>IFERROR(INDEX(List_Predictors, INDEX(Array_PredictorsLookup,MATCH($A166,List_PredictorFacilities,0),(COLUMN()-1)/2), 1),"")</f>
        <v/>
      </c>
      <c r="H166" s="137"/>
      <c r="I166" s="58" t="str" cm="1">
        <f>IFERROR(INDEX(List_Predictors, INDEX(Array_PredictorsLookup,MATCH($A166,List_PredictorFacilities,0),(COLUMN()-1)/2), 1),"")</f>
        <v/>
      </c>
      <c r="J166" s="137"/>
      <c r="K166" s="58" t="str" cm="1">
        <f>IFERROR(INDEX(List_Predictors, INDEX(Array_PredictorsLookup,MATCH($A166,List_PredictorFacilities,0),(COLUMN()-1)/2), 1),"")</f>
        <v/>
      </c>
      <c r="L166" s="137"/>
      <c r="M166" s="58" t="str" cm="1">
        <f>IFERROR(INDEX(List_Predictors, INDEX(Array_PredictorsLookup,MATCH($A166,List_PredictorFacilities,0),(COLUMN()-1)/2), 1),"")</f>
        <v/>
      </c>
      <c r="N166" s="137"/>
      <c r="O166" s="58" t="str" cm="1">
        <f>IFERROR(INDEX(List_Predictors, INDEX(Array_PredictorsLookup,MATCH($A166,List_PredictorFacilities,0),(COLUMN()-1)/2), 1),"")</f>
        <v/>
      </c>
      <c r="P166" s="137"/>
      <c r="Q166" s="58" t="str" cm="1">
        <f>IFERROR(INDEX(List_Predictors, INDEX(Array_PredictorsLookup,MATCH($A166,List_PredictorFacilities,0),(COLUMN()-1)/2), 1),"")</f>
        <v/>
      </c>
      <c r="R166" s="137"/>
      <c r="S166" s="58" t="str" cm="1">
        <f>IFERROR(INDEX(List_Predictors, INDEX(Array_PredictorsLookup,MATCH($A166,List_PredictorFacilities,0),(COLUMN()-1)/2), 1),"")</f>
        <v/>
      </c>
      <c r="T166" s="137"/>
      <c r="U166" s="58" t="str" cm="1">
        <f>IFERROR(INDEX(List_Predictors, INDEX(Array_PredictorsLookup,MATCH($A166,List_PredictorFacilities,0),(COLUMN()-1)/2), 1),"")</f>
        <v/>
      </c>
      <c r="V166" s="137"/>
      <c r="W166" s="58" t="str" cm="1">
        <f>IFERROR(INDEX(List_Predictors, INDEX(Array_PredictorsLookup,MATCH($A166,List_PredictorFacilities,0),(COLUMN()-1)/2), 1),"")</f>
        <v/>
      </c>
      <c r="X166" s="137"/>
      <c r="Y166" s="58" t="str" cm="1">
        <f>IFERROR(INDEX(List_Predictors, INDEX(Array_PredictorsLookup,MATCH($A166,List_PredictorFacilities,0),(COLUMN()-1)/2), 1),"")</f>
        <v/>
      </c>
      <c r="Z166" s="137"/>
      <c r="AA166" s="58" t="str" cm="1">
        <f>IFERROR(INDEX(List_Predictors, INDEX(Array_PredictorsLookup,MATCH($A166,List_PredictorFacilities,0),(COLUMN()-1)/2), 1),"")</f>
        <v/>
      </c>
      <c r="AB166" s="137"/>
      <c r="AC166" s="58" t="str" cm="1">
        <f>IFERROR(INDEX(List_Predictors, INDEX(Array_PredictorsLookup,MATCH($A166,List_PredictorFacilities,0),(COLUMN()-1)/2), 1),"")</f>
        <v/>
      </c>
      <c r="AD166" s="137"/>
      <c r="AE166" s="58" t="str" cm="1">
        <f>IFERROR(INDEX(List_Predictors, INDEX(Array_PredictorsLookup,MATCH($A166,List_PredictorFacilities,0),(COLUMN()-1)/2), 1),"")</f>
        <v/>
      </c>
      <c r="AF166" s="137"/>
    </row>
    <row r="167" spans="1:32" x14ac:dyDescent="0.3">
      <c r="A167" s="126"/>
      <c r="B167" s="141"/>
      <c r="C167" s="58" t="str" cm="1">
        <f>IFERROR(INDEX(List_Predictors, INDEX(Array_PredictorsLookup,MATCH($A167,List_PredictorFacilities,0),(COLUMN()-1)/2), 1),"")</f>
        <v/>
      </c>
      <c r="D167" s="137"/>
      <c r="E167" s="58" t="str" cm="1">
        <f>IFERROR(INDEX(List_Predictors, INDEX(Array_PredictorsLookup,MATCH($A167,List_PredictorFacilities,0),(COLUMN()-1)/2), 1),"")</f>
        <v/>
      </c>
      <c r="F167" s="137"/>
      <c r="G167" s="58" t="str" cm="1">
        <f>IFERROR(INDEX(List_Predictors, INDEX(Array_PredictorsLookup,MATCH($A167,List_PredictorFacilities,0),(COLUMN()-1)/2), 1),"")</f>
        <v/>
      </c>
      <c r="H167" s="137"/>
      <c r="I167" s="58" t="str" cm="1">
        <f>IFERROR(INDEX(List_Predictors, INDEX(Array_PredictorsLookup,MATCH($A167,List_PredictorFacilities,0),(COLUMN()-1)/2), 1),"")</f>
        <v/>
      </c>
      <c r="J167" s="137"/>
      <c r="K167" s="58" t="str" cm="1">
        <f>IFERROR(INDEX(List_Predictors, INDEX(Array_PredictorsLookup,MATCH($A167,List_PredictorFacilities,0),(COLUMN()-1)/2), 1),"")</f>
        <v/>
      </c>
      <c r="L167" s="137"/>
      <c r="M167" s="58" t="str" cm="1">
        <f>IFERROR(INDEX(List_Predictors, INDEX(Array_PredictorsLookup,MATCH($A167,List_PredictorFacilities,0),(COLUMN()-1)/2), 1),"")</f>
        <v/>
      </c>
      <c r="N167" s="137"/>
      <c r="O167" s="58" t="str" cm="1">
        <f>IFERROR(INDEX(List_Predictors, INDEX(Array_PredictorsLookup,MATCH($A167,List_PredictorFacilities,0),(COLUMN()-1)/2), 1),"")</f>
        <v/>
      </c>
      <c r="P167" s="137"/>
      <c r="Q167" s="58" t="str" cm="1">
        <f>IFERROR(INDEX(List_Predictors, INDEX(Array_PredictorsLookup,MATCH($A167,List_PredictorFacilities,0),(COLUMN()-1)/2), 1),"")</f>
        <v/>
      </c>
      <c r="R167" s="137"/>
      <c r="S167" s="58" t="str" cm="1">
        <f>IFERROR(INDEX(List_Predictors, INDEX(Array_PredictorsLookup,MATCH($A167,List_PredictorFacilities,0),(COLUMN()-1)/2), 1),"")</f>
        <v/>
      </c>
      <c r="T167" s="137"/>
      <c r="U167" s="58" t="str" cm="1">
        <f>IFERROR(INDEX(List_Predictors, INDEX(Array_PredictorsLookup,MATCH($A167,List_PredictorFacilities,0),(COLUMN()-1)/2), 1),"")</f>
        <v/>
      </c>
      <c r="V167" s="137"/>
      <c r="W167" s="58" t="str" cm="1">
        <f>IFERROR(INDEX(List_Predictors, INDEX(Array_PredictorsLookup,MATCH($A167,List_PredictorFacilities,0),(COLUMN()-1)/2), 1),"")</f>
        <v/>
      </c>
      <c r="X167" s="137"/>
      <c r="Y167" s="58" t="str" cm="1">
        <f>IFERROR(INDEX(List_Predictors, INDEX(Array_PredictorsLookup,MATCH($A167,List_PredictorFacilities,0),(COLUMN()-1)/2), 1),"")</f>
        <v/>
      </c>
      <c r="Z167" s="137"/>
      <c r="AA167" s="58" t="str" cm="1">
        <f>IFERROR(INDEX(List_Predictors, INDEX(Array_PredictorsLookup,MATCH($A167,List_PredictorFacilities,0),(COLUMN()-1)/2), 1),"")</f>
        <v/>
      </c>
      <c r="AB167" s="137"/>
      <c r="AC167" s="58" t="str" cm="1">
        <f>IFERROR(INDEX(List_Predictors, INDEX(Array_PredictorsLookup,MATCH($A167,List_PredictorFacilities,0),(COLUMN()-1)/2), 1),"")</f>
        <v/>
      </c>
      <c r="AD167" s="137"/>
      <c r="AE167" s="58" t="str" cm="1">
        <f>IFERROR(INDEX(List_Predictors, INDEX(Array_PredictorsLookup,MATCH($A167,List_PredictorFacilities,0),(COLUMN()-1)/2), 1),"")</f>
        <v/>
      </c>
      <c r="AF167" s="137"/>
    </row>
    <row r="168" spans="1:32" x14ac:dyDescent="0.3">
      <c r="A168" s="126"/>
      <c r="B168" s="141"/>
      <c r="C168" s="58" t="str" cm="1">
        <f>IFERROR(INDEX(List_Predictors, INDEX(Array_PredictorsLookup,MATCH($A168,List_PredictorFacilities,0),(COLUMN()-1)/2), 1),"")</f>
        <v/>
      </c>
      <c r="D168" s="137"/>
      <c r="E168" s="58" t="str" cm="1">
        <f>IFERROR(INDEX(List_Predictors, INDEX(Array_PredictorsLookup,MATCH($A168,List_PredictorFacilities,0),(COLUMN()-1)/2), 1),"")</f>
        <v/>
      </c>
      <c r="F168" s="137"/>
      <c r="G168" s="58" t="str" cm="1">
        <f>IFERROR(INDEX(List_Predictors, INDEX(Array_PredictorsLookup,MATCH($A168,List_PredictorFacilities,0),(COLUMN()-1)/2), 1),"")</f>
        <v/>
      </c>
      <c r="H168" s="137"/>
      <c r="I168" s="58" t="str" cm="1">
        <f>IFERROR(INDEX(List_Predictors, INDEX(Array_PredictorsLookup,MATCH($A168,List_PredictorFacilities,0),(COLUMN()-1)/2), 1),"")</f>
        <v/>
      </c>
      <c r="J168" s="137"/>
      <c r="K168" s="58" t="str" cm="1">
        <f>IFERROR(INDEX(List_Predictors, INDEX(Array_PredictorsLookup,MATCH($A168,List_PredictorFacilities,0),(COLUMN()-1)/2), 1),"")</f>
        <v/>
      </c>
      <c r="L168" s="137"/>
      <c r="M168" s="58" t="str" cm="1">
        <f>IFERROR(INDEX(List_Predictors, INDEX(Array_PredictorsLookup,MATCH($A168,List_PredictorFacilities,0),(COLUMN()-1)/2), 1),"")</f>
        <v/>
      </c>
      <c r="N168" s="137"/>
      <c r="O168" s="58" t="str" cm="1">
        <f>IFERROR(INDEX(List_Predictors, INDEX(Array_PredictorsLookup,MATCH($A168,List_PredictorFacilities,0),(COLUMN()-1)/2), 1),"")</f>
        <v/>
      </c>
      <c r="P168" s="137"/>
      <c r="Q168" s="58" t="str" cm="1">
        <f>IFERROR(INDEX(List_Predictors, INDEX(Array_PredictorsLookup,MATCH($A168,List_PredictorFacilities,0),(COLUMN()-1)/2), 1),"")</f>
        <v/>
      </c>
      <c r="R168" s="137"/>
      <c r="S168" s="58" t="str" cm="1">
        <f>IFERROR(INDEX(List_Predictors, INDEX(Array_PredictorsLookup,MATCH($A168,List_PredictorFacilities,0),(COLUMN()-1)/2), 1),"")</f>
        <v/>
      </c>
      <c r="T168" s="137"/>
      <c r="U168" s="58" t="str" cm="1">
        <f>IFERROR(INDEX(List_Predictors, INDEX(Array_PredictorsLookup,MATCH($A168,List_PredictorFacilities,0),(COLUMN()-1)/2), 1),"")</f>
        <v/>
      </c>
      <c r="V168" s="137"/>
      <c r="W168" s="58" t="str" cm="1">
        <f>IFERROR(INDEX(List_Predictors, INDEX(Array_PredictorsLookup,MATCH($A168,List_PredictorFacilities,0),(COLUMN()-1)/2), 1),"")</f>
        <v/>
      </c>
      <c r="X168" s="137"/>
      <c r="Y168" s="58" t="str" cm="1">
        <f>IFERROR(INDEX(List_Predictors, INDEX(Array_PredictorsLookup,MATCH($A168,List_PredictorFacilities,0),(COLUMN()-1)/2), 1),"")</f>
        <v/>
      </c>
      <c r="Z168" s="137"/>
      <c r="AA168" s="58" t="str" cm="1">
        <f>IFERROR(INDEX(List_Predictors, INDEX(Array_PredictorsLookup,MATCH($A168,List_PredictorFacilities,0),(COLUMN()-1)/2), 1),"")</f>
        <v/>
      </c>
      <c r="AB168" s="137"/>
      <c r="AC168" s="58" t="str" cm="1">
        <f>IFERROR(INDEX(List_Predictors, INDEX(Array_PredictorsLookup,MATCH($A168,List_PredictorFacilities,0),(COLUMN()-1)/2), 1),"")</f>
        <v/>
      </c>
      <c r="AD168" s="137"/>
      <c r="AE168" s="58" t="str" cm="1">
        <f>IFERROR(INDEX(List_Predictors, INDEX(Array_PredictorsLookup,MATCH($A168,List_PredictorFacilities,0),(COLUMN()-1)/2), 1),"")</f>
        <v/>
      </c>
      <c r="AF168" s="137"/>
    </row>
    <row r="169" spans="1:32" x14ac:dyDescent="0.3">
      <c r="A169" s="126"/>
      <c r="B169" s="141"/>
      <c r="C169" s="58" t="str" cm="1">
        <f>IFERROR(INDEX(List_Predictors, INDEX(Array_PredictorsLookup,MATCH($A169,List_PredictorFacilities,0),(COLUMN()-1)/2), 1),"")</f>
        <v/>
      </c>
      <c r="D169" s="137"/>
      <c r="E169" s="58" t="str" cm="1">
        <f>IFERROR(INDEX(List_Predictors, INDEX(Array_PredictorsLookup,MATCH($A169,List_PredictorFacilities,0),(COLUMN()-1)/2), 1),"")</f>
        <v/>
      </c>
      <c r="F169" s="137"/>
      <c r="G169" s="58" t="str" cm="1">
        <f>IFERROR(INDEX(List_Predictors, INDEX(Array_PredictorsLookup,MATCH($A169,List_PredictorFacilities,0),(COLUMN()-1)/2), 1),"")</f>
        <v/>
      </c>
      <c r="H169" s="137"/>
      <c r="I169" s="58" t="str" cm="1">
        <f>IFERROR(INDEX(List_Predictors, INDEX(Array_PredictorsLookup,MATCH($A169,List_PredictorFacilities,0),(COLUMN()-1)/2), 1),"")</f>
        <v/>
      </c>
      <c r="J169" s="137"/>
      <c r="K169" s="58" t="str" cm="1">
        <f>IFERROR(INDEX(List_Predictors, INDEX(Array_PredictorsLookup,MATCH($A169,List_PredictorFacilities,0),(COLUMN()-1)/2), 1),"")</f>
        <v/>
      </c>
      <c r="L169" s="137"/>
      <c r="M169" s="58" t="str" cm="1">
        <f>IFERROR(INDEX(List_Predictors, INDEX(Array_PredictorsLookup,MATCH($A169,List_PredictorFacilities,0),(COLUMN()-1)/2), 1),"")</f>
        <v/>
      </c>
      <c r="N169" s="137"/>
      <c r="O169" s="58" t="str" cm="1">
        <f>IFERROR(INDEX(List_Predictors, INDEX(Array_PredictorsLookup,MATCH($A169,List_PredictorFacilities,0),(COLUMN()-1)/2), 1),"")</f>
        <v/>
      </c>
      <c r="P169" s="137"/>
      <c r="Q169" s="58" t="str" cm="1">
        <f>IFERROR(INDEX(List_Predictors, INDEX(Array_PredictorsLookup,MATCH($A169,List_PredictorFacilities,0),(COLUMN()-1)/2), 1),"")</f>
        <v/>
      </c>
      <c r="R169" s="137"/>
      <c r="S169" s="58" t="str" cm="1">
        <f>IFERROR(INDEX(List_Predictors, INDEX(Array_PredictorsLookup,MATCH($A169,List_PredictorFacilities,0),(COLUMN()-1)/2), 1),"")</f>
        <v/>
      </c>
      <c r="T169" s="137"/>
      <c r="U169" s="58" t="str" cm="1">
        <f>IFERROR(INDEX(List_Predictors, INDEX(Array_PredictorsLookup,MATCH($A169,List_PredictorFacilities,0),(COLUMN()-1)/2), 1),"")</f>
        <v/>
      </c>
      <c r="V169" s="137"/>
      <c r="W169" s="58" t="str" cm="1">
        <f>IFERROR(INDEX(List_Predictors, INDEX(Array_PredictorsLookup,MATCH($A169,List_PredictorFacilities,0),(COLUMN()-1)/2), 1),"")</f>
        <v/>
      </c>
      <c r="X169" s="137"/>
      <c r="Y169" s="58" t="str" cm="1">
        <f>IFERROR(INDEX(List_Predictors, INDEX(Array_PredictorsLookup,MATCH($A169,List_PredictorFacilities,0),(COLUMN()-1)/2), 1),"")</f>
        <v/>
      </c>
      <c r="Z169" s="137"/>
      <c r="AA169" s="58" t="str" cm="1">
        <f>IFERROR(INDEX(List_Predictors, INDEX(Array_PredictorsLookup,MATCH($A169,List_PredictorFacilities,0),(COLUMN()-1)/2), 1),"")</f>
        <v/>
      </c>
      <c r="AB169" s="137"/>
      <c r="AC169" s="58" t="str" cm="1">
        <f>IFERROR(INDEX(List_Predictors, INDEX(Array_PredictorsLookup,MATCH($A169,List_PredictorFacilities,0),(COLUMN()-1)/2), 1),"")</f>
        <v/>
      </c>
      <c r="AD169" s="137"/>
      <c r="AE169" s="58" t="str" cm="1">
        <f>IFERROR(INDEX(List_Predictors, INDEX(Array_PredictorsLookup,MATCH($A169,List_PredictorFacilities,0),(COLUMN()-1)/2), 1),"")</f>
        <v/>
      </c>
      <c r="AF169" s="137"/>
    </row>
    <row r="170" spans="1:32" x14ac:dyDescent="0.3">
      <c r="A170" s="126"/>
      <c r="B170" s="141"/>
      <c r="C170" s="58" t="str" cm="1">
        <f>IFERROR(INDEX(List_Predictors, INDEX(Array_PredictorsLookup,MATCH($A170,List_PredictorFacilities,0),(COLUMN()-1)/2), 1),"")</f>
        <v/>
      </c>
      <c r="D170" s="137"/>
      <c r="E170" s="58" t="str" cm="1">
        <f>IFERROR(INDEX(List_Predictors, INDEX(Array_PredictorsLookup,MATCH($A170,List_PredictorFacilities,0),(COLUMN()-1)/2), 1),"")</f>
        <v/>
      </c>
      <c r="F170" s="137"/>
      <c r="G170" s="58" t="str" cm="1">
        <f>IFERROR(INDEX(List_Predictors, INDEX(Array_PredictorsLookup,MATCH($A170,List_PredictorFacilities,0),(COLUMN()-1)/2), 1),"")</f>
        <v/>
      </c>
      <c r="H170" s="137"/>
      <c r="I170" s="58" t="str" cm="1">
        <f>IFERROR(INDEX(List_Predictors, INDEX(Array_PredictorsLookup,MATCH($A170,List_PredictorFacilities,0),(COLUMN()-1)/2), 1),"")</f>
        <v/>
      </c>
      <c r="J170" s="137"/>
      <c r="K170" s="58" t="str" cm="1">
        <f>IFERROR(INDEX(List_Predictors, INDEX(Array_PredictorsLookup,MATCH($A170,List_PredictorFacilities,0),(COLUMN()-1)/2), 1),"")</f>
        <v/>
      </c>
      <c r="L170" s="137"/>
      <c r="M170" s="58" t="str" cm="1">
        <f>IFERROR(INDEX(List_Predictors, INDEX(Array_PredictorsLookup,MATCH($A170,List_PredictorFacilities,0),(COLUMN()-1)/2), 1),"")</f>
        <v/>
      </c>
      <c r="N170" s="137"/>
      <c r="O170" s="58" t="str" cm="1">
        <f>IFERROR(INDEX(List_Predictors, INDEX(Array_PredictorsLookup,MATCH($A170,List_PredictorFacilities,0),(COLUMN()-1)/2), 1),"")</f>
        <v/>
      </c>
      <c r="P170" s="137"/>
      <c r="Q170" s="58" t="str" cm="1">
        <f>IFERROR(INDEX(List_Predictors, INDEX(Array_PredictorsLookup,MATCH($A170,List_PredictorFacilities,0),(COLUMN()-1)/2), 1),"")</f>
        <v/>
      </c>
      <c r="R170" s="137"/>
      <c r="S170" s="58" t="str" cm="1">
        <f>IFERROR(INDEX(List_Predictors, INDEX(Array_PredictorsLookup,MATCH($A170,List_PredictorFacilities,0),(COLUMN()-1)/2), 1),"")</f>
        <v/>
      </c>
      <c r="T170" s="137"/>
      <c r="U170" s="58" t="str" cm="1">
        <f>IFERROR(INDEX(List_Predictors, INDEX(Array_PredictorsLookup,MATCH($A170,List_PredictorFacilities,0),(COLUMN()-1)/2), 1),"")</f>
        <v/>
      </c>
      <c r="V170" s="137"/>
      <c r="W170" s="58" t="str" cm="1">
        <f>IFERROR(INDEX(List_Predictors, INDEX(Array_PredictorsLookup,MATCH($A170,List_PredictorFacilities,0),(COLUMN()-1)/2), 1),"")</f>
        <v/>
      </c>
      <c r="X170" s="137"/>
      <c r="Y170" s="58" t="str" cm="1">
        <f>IFERROR(INDEX(List_Predictors, INDEX(Array_PredictorsLookup,MATCH($A170,List_PredictorFacilities,0),(COLUMN()-1)/2), 1),"")</f>
        <v/>
      </c>
      <c r="Z170" s="137"/>
      <c r="AA170" s="58" t="str" cm="1">
        <f>IFERROR(INDEX(List_Predictors, INDEX(Array_PredictorsLookup,MATCH($A170,List_PredictorFacilities,0),(COLUMN()-1)/2), 1),"")</f>
        <v/>
      </c>
      <c r="AB170" s="137"/>
      <c r="AC170" s="58" t="str" cm="1">
        <f>IFERROR(INDEX(List_Predictors, INDEX(Array_PredictorsLookup,MATCH($A170,List_PredictorFacilities,0),(COLUMN()-1)/2), 1),"")</f>
        <v/>
      </c>
      <c r="AD170" s="137"/>
      <c r="AE170" s="58" t="str" cm="1">
        <f>IFERROR(INDEX(List_Predictors, INDEX(Array_PredictorsLookup,MATCH($A170,List_PredictorFacilities,0),(COLUMN()-1)/2), 1),"")</f>
        <v/>
      </c>
      <c r="AF170" s="137"/>
    </row>
    <row r="171" spans="1:32" x14ac:dyDescent="0.3">
      <c r="A171" s="126"/>
      <c r="B171" s="141"/>
      <c r="C171" s="58" t="str" cm="1">
        <f>IFERROR(INDEX(List_Predictors, INDEX(Array_PredictorsLookup,MATCH($A171,List_PredictorFacilities,0),(COLUMN()-1)/2), 1),"")</f>
        <v/>
      </c>
      <c r="D171" s="137"/>
      <c r="E171" s="58" t="str" cm="1">
        <f>IFERROR(INDEX(List_Predictors, INDEX(Array_PredictorsLookup,MATCH($A171,List_PredictorFacilities,0),(COLUMN()-1)/2), 1),"")</f>
        <v/>
      </c>
      <c r="F171" s="137"/>
      <c r="G171" s="58" t="str" cm="1">
        <f>IFERROR(INDEX(List_Predictors, INDEX(Array_PredictorsLookup,MATCH($A171,List_PredictorFacilities,0),(COLUMN()-1)/2), 1),"")</f>
        <v/>
      </c>
      <c r="H171" s="137"/>
      <c r="I171" s="58" t="str" cm="1">
        <f>IFERROR(INDEX(List_Predictors, INDEX(Array_PredictorsLookup,MATCH($A171,List_PredictorFacilities,0),(COLUMN()-1)/2), 1),"")</f>
        <v/>
      </c>
      <c r="J171" s="137"/>
      <c r="K171" s="58" t="str" cm="1">
        <f>IFERROR(INDEX(List_Predictors, INDEX(Array_PredictorsLookup,MATCH($A171,List_PredictorFacilities,0),(COLUMN()-1)/2), 1),"")</f>
        <v/>
      </c>
      <c r="L171" s="137"/>
      <c r="M171" s="58" t="str" cm="1">
        <f>IFERROR(INDEX(List_Predictors, INDEX(Array_PredictorsLookup,MATCH($A171,List_PredictorFacilities,0),(COLUMN()-1)/2), 1),"")</f>
        <v/>
      </c>
      <c r="N171" s="137"/>
      <c r="O171" s="58" t="str" cm="1">
        <f>IFERROR(INDEX(List_Predictors, INDEX(Array_PredictorsLookup,MATCH($A171,List_PredictorFacilities,0),(COLUMN()-1)/2), 1),"")</f>
        <v/>
      </c>
      <c r="P171" s="137"/>
      <c r="Q171" s="58" t="str" cm="1">
        <f>IFERROR(INDEX(List_Predictors, INDEX(Array_PredictorsLookup,MATCH($A171,List_PredictorFacilities,0),(COLUMN()-1)/2), 1),"")</f>
        <v/>
      </c>
      <c r="R171" s="137"/>
      <c r="S171" s="58" t="str" cm="1">
        <f>IFERROR(INDEX(List_Predictors, INDEX(Array_PredictorsLookup,MATCH($A171,List_PredictorFacilities,0),(COLUMN()-1)/2), 1),"")</f>
        <v/>
      </c>
      <c r="T171" s="137"/>
      <c r="U171" s="58" t="str" cm="1">
        <f>IFERROR(INDEX(List_Predictors, INDEX(Array_PredictorsLookup,MATCH($A171,List_PredictorFacilities,0),(COLUMN()-1)/2), 1),"")</f>
        <v/>
      </c>
      <c r="V171" s="137"/>
      <c r="W171" s="58" t="str" cm="1">
        <f>IFERROR(INDEX(List_Predictors, INDEX(Array_PredictorsLookup,MATCH($A171,List_PredictorFacilities,0),(COLUMN()-1)/2), 1),"")</f>
        <v/>
      </c>
      <c r="X171" s="137"/>
      <c r="Y171" s="58" t="str" cm="1">
        <f>IFERROR(INDEX(List_Predictors, INDEX(Array_PredictorsLookup,MATCH($A171,List_PredictorFacilities,0),(COLUMN()-1)/2), 1),"")</f>
        <v/>
      </c>
      <c r="Z171" s="137"/>
      <c r="AA171" s="58" t="str" cm="1">
        <f>IFERROR(INDEX(List_Predictors, INDEX(Array_PredictorsLookup,MATCH($A171,List_PredictorFacilities,0),(COLUMN()-1)/2), 1),"")</f>
        <v/>
      </c>
      <c r="AB171" s="137"/>
      <c r="AC171" s="58" t="str" cm="1">
        <f>IFERROR(INDEX(List_Predictors, INDEX(Array_PredictorsLookup,MATCH($A171,List_PredictorFacilities,0),(COLUMN()-1)/2), 1),"")</f>
        <v/>
      </c>
      <c r="AD171" s="137"/>
      <c r="AE171" s="58" t="str" cm="1">
        <f>IFERROR(INDEX(List_Predictors, INDEX(Array_PredictorsLookup,MATCH($A171,List_PredictorFacilities,0),(COLUMN()-1)/2), 1),"")</f>
        <v/>
      </c>
      <c r="AF171" s="137"/>
    </row>
    <row r="172" spans="1:32" x14ac:dyDescent="0.3">
      <c r="A172" s="126"/>
      <c r="B172" s="141"/>
      <c r="C172" s="58" t="str" cm="1">
        <f>IFERROR(INDEX(List_Predictors, INDEX(Array_PredictorsLookup,MATCH($A172,List_PredictorFacilities,0),(COLUMN()-1)/2), 1),"")</f>
        <v/>
      </c>
      <c r="D172" s="137"/>
      <c r="E172" s="58" t="str" cm="1">
        <f>IFERROR(INDEX(List_Predictors, INDEX(Array_PredictorsLookup,MATCH($A172,List_PredictorFacilities,0),(COLUMN()-1)/2), 1),"")</f>
        <v/>
      </c>
      <c r="F172" s="137"/>
      <c r="G172" s="58" t="str" cm="1">
        <f>IFERROR(INDEX(List_Predictors, INDEX(Array_PredictorsLookup,MATCH($A172,List_PredictorFacilities,0),(COLUMN()-1)/2), 1),"")</f>
        <v/>
      </c>
      <c r="H172" s="137"/>
      <c r="I172" s="58" t="str" cm="1">
        <f>IFERROR(INDEX(List_Predictors, INDEX(Array_PredictorsLookup,MATCH($A172,List_PredictorFacilities,0),(COLUMN()-1)/2), 1),"")</f>
        <v/>
      </c>
      <c r="J172" s="137"/>
      <c r="K172" s="58" t="str" cm="1">
        <f>IFERROR(INDEX(List_Predictors, INDEX(Array_PredictorsLookup,MATCH($A172,List_PredictorFacilities,0),(COLUMN()-1)/2), 1),"")</f>
        <v/>
      </c>
      <c r="L172" s="137"/>
      <c r="M172" s="58" t="str" cm="1">
        <f>IFERROR(INDEX(List_Predictors, INDEX(Array_PredictorsLookup,MATCH($A172,List_PredictorFacilities,0),(COLUMN()-1)/2), 1),"")</f>
        <v/>
      </c>
      <c r="N172" s="137"/>
      <c r="O172" s="58" t="str" cm="1">
        <f>IFERROR(INDEX(List_Predictors, INDEX(Array_PredictorsLookup,MATCH($A172,List_PredictorFacilities,0),(COLUMN()-1)/2), 1),"")</f>
        <v/>
      </c>
      <c r="P172" s="137"/>
      <c r="Q172" s="58" t="str" cm="1">
        <f>IFERROR(INDEX(List_Predictors, INDEX(Array_PredictorsLookup,MATCH($A172,List_PredictorFacilities,0),(COLUMN()-1)/2), 1),"")</f>
        <v/>
      </c>
      <c r="R172" s="137"/>
      <c r="S172" s="58" t="str" cm="1">
        <f>IFERROR(INDEX(List_Predictors, INDEX(Array_PredictorsLookup,MATCH($A172,List_PredictorFacilities,0),(COLUMN()-1)/2), 1),"")</f>
        <v/>
      </c>
      <c r="T172" s="137"/>
      <c r="U172" s="58" t="str" cm="1">
        <f>IFERROR(INDEX(List_Predictors, INDEX(Array_PredictorsLookup,MATCH($A172,List_PredictorFacilities,0),(COLUMN()-1)/2), 1),"")</f>
        <v/>
      </c>
      <c r="V172" s="137"/>
      <c r="W172" s="58" t="str" cm="1">
        <f>IFERROR(INDEX(List_Predictors, INDEX(Array_PredictorsLookup,MATCH($A172,List_PredictorFacilities,0),(COLUMN()-1)/2), 1),"")</f>
        <v/>
      </c>
      <c r="X172" s="137"/>
      <c r="Y172" s="58" t="str" cm="1">
        <f>IFERROR(INDEX(List_Predictors, INDEX(Array_PredictorsLookup,MATCH($A172,List_PredictorFacilities,0),(COLUMN()-1)/2), 1),"")</f>
        <v/>
      </c>
      <c r="Z172" s="137"/>
      <c r="AA172" s="58" t="str" cm="1">
        <f>IFERROR(INDEX(List_Predictors, INDEX(Array_PredictorsLookup,MATCH($A172,List_PredictorFacilities,0),(COLUMN()-1)/2), 1),"")</f>
        <v/>
      </c>
      <c r="AB172" s="137"/>
      <c r="AC172" s="58" t="str" cm="1">
        <f>IFERROR(INDEX(List_Predictors, INDEX(Array_PredictorsLookup,MATCH($A172,List_PredictorFacilities,0),(COLUMN()-1)/2), 1),"")</f>
        <v/>
      </c>
      <c r="AD172" s="137"/>
      <c r="AE172" s="58" t="str" cm="1">
        <f>IFERROR(INDEX(List_Predictors, INDEX(Array_PredictorsLookup,MATCH($A172,List_PredictorFacilities,0),(COLUMN()-1)/2), 1),"")</f>
        <v/>
      </c>
      <c r="AF172" s="137"/>
    </row>
    <row r="173" spans="1:32" x14ac:dyDescent="0.3">
      <c r="A173" s="126"/>
      <c r="B173" s="141"/>
      <c r="C173" s="58" t="str" cm="1">
        <f>IFERROR(INDEX(List_Predictors, INDEX(Array_PredictorsLookup,MATCH($A173,List_PredictorFacilities,0),(COLUMN()-1)/2), 1),"")</f>
        <v/>
      </c>
      <c r="D173" s="137"/>
      <c r="E173" s="58" t="str" cm="1">
        <f>IFERROR(INDEX(List_Predictors, INDEX(Array_PredictorsLookup,MATCH($A173,List_PredictorFacilities,0),(COLUMN()-1)/2), 1),"")</f>
        <v/>
      </c>
      <c r="F173" s="137"/>
      <c r="G173" s="58" t="str" cm="1">
        <f>IFERROR(INDEX(List_Predictors, INDEX(Array_PredictorsLookup,MATCH($A173,List_PredictorFacilities,0),(COLUMN()-1)/2), 1),"")</f>
        <v/>
      </c>
      <c r="H173" s="137"/>
      <c r="I173" s="58" t="str" cm="1">
        <f>IFERROR(INDEX(List_Predictors, INDEX(Array_PredictorsLookup,MATCH($A173,List_PredictorFacilities,0),(COLUMN()-1)/2), 1),"")</f>
        <v/>
      </c>
      <c r="J173" s="137"/>
      <c r="K173" s="58" t="str" cm="1">
        <f>IFERROR(INDEX(List_Predictors, INDEX(Array_PredictorsLookup,MATCH($A173,List_PredictorFacilities,0),(COLUMN()-1)/2), 1),"")</f>
        <v/>
      </c>
      <c r="L173" s="137"/>
      <c r="M173" s="58" t="str" cm="1">
        <f>IFERROR(INDEX(List_Predictors, INDEX(Array_PredictorsLookup,MATCH($A173,List_PredictorFacilities,0),(COLUMN()-1)/2), 1),"")</f>
        <v/>
      </c>
      <c r="N173" s="137"/>
      <c r="O173" s="58" t="str" cm="1">
        <f>IFERROR(INDEX(List_Predictors, INDEX(Array_PredictorsLookup,MATCH($A173,List_PredictorFacilities,0),(COLUMN()-1)/2), 1),"")</f>
        <v/>
      </c>
      <c r="P173" s="137"/>
      <c r="Q173" s="58" t="str" cm="1">
        <f>IFERROR(INDEX(List_Predictors, INDEX(Array_PredictorsLookup,MATCH($A173,List_PredictorFacilities,0),(COLUMN()-1)/2), 1),"")</f>
        <v/>
      </c>
      <c r="R173" s="137"/>
      <c r="S173" s="58" t="str" cm="1">
        <f>IFERROR(INDEX(List_Predictors, INDEX(Array_PredictorsLookup,MATCH($A173,List_PredictorFacilities,0),(COLUMN()-1)/2), 1),"")</f>
        <v/>
      </c>
      <c r="T173" s="137"/>
      <c r="U173" s="58" t="str" cm="1">
        <f>IFERROR(INDEX(List_Predictors, INDEX(Array_PredictorsLookup,MATCH($A173,List_PredictorFacilities,0),(COLUMN()-1)/2), 1),"")</f>
        <v/>
      </c>
      <c r="V173" s="137"/>
      <c r="W173" s="58" t="str" cm="1">
        <f>IFERROR(INDEX(List_Predictors, INDEX(Array_PredictorsLookup,MATCH($A173,List_PredictorFacilities,0),(COLUMN()-1)/2), 1),"")</f>
        <v/>
      </c>
      <c r="X173" s="137"/>
      <c r="Y173" s="58" t="str" cm="1">
        <f>IFERROR(INDEX(List_Predictors, INDEX(Array_PredictorsLookup,MATCH($A173,List_PredictorFacilities,0),(COLUMN()-1)/2), 1),"")</f>
        <v/>
      </c>
      <c r="Z173" s="137"/>
      <c r="AA173" s="58" t="str" cm="1">
        <f>IFERROR(INDEX(List_Predictors, INDEX(Array_PredictorsLookup,MATCH($A173,List_PredictorFacilities,0),(COLUMN()-1)/2), 1),"")</f>
        <v/>
      </c>
      <c r="AB173" s="137"/>
      <c r="AC173" s="58" t="str" cm="1">
        <f>IFERROR(INDEX(List_Predictors, INDEX(Array_PredictorsLookup,MATCH($A173,List_PredictorFacilities,0),(COLUMN()-1)/2), 1),"")</f>
        <v/>
      </c>
      <c r="AD173" s="137"/>
      <c r="AE173" s="58" t="str" cm="1">
        <f>IFERROR(INDEX(List_Predictors, INDEX(Array_PredictorsLookup,MATCH($A173,List_PredictorFacilities,0),(COLUMN()-1)/2), 1),"")</f>
        <v/>
      </c>
      <c r="AF173" s="137"/>
    </row>
    <row r="174" spans="1:32" x14ac:dyDescent="0.3">
      <c r="A174" s="126"/>
      <c r="B174" s="141"/>
      <c r="C174" s="58" t="str" cm="1">
        <f>IFERROR(INDEX(List_Predictors, INDEX(Array_PredictorsLookup,MATCH($A174,List_PredictorFacilities,0),(COLUMN()-1)/2), 1),"")</f>
        <v/>
      </c>
      <c r="D174" s="137"/>
      <c r="E174" s="58" t="str" cm="1">
        <f>IFERROR(INDEX(List_Predictors, INDEX(Array_PredictorsLookup,MATCH($A174,List_PredictorFacilities,0),(COLUMN()-1)/2), 1),"")</f>
        <v/>
      </c>
      <c r="F174" s="137"/>
      <c r="G174" s="58" t="str" cm="1">
        <f>IFERROR(INDEX(List_Predictors, INDEX(Array_PredictorsLookup,MATCH($A174,List_PredictorFacilities,0),(COLUMN()-1)/2), 1),"")</f>
        <v/>
      </c>
      <c r="H174" s="137"/>
      <c r="I174" s="58" t="str" cm="1">
        <f>IFERROR(INDEX(List_Predictors, INDEX(Array_PredictorsLookup,MATCH($A174,List_PredictorFacilities,0),(COLUMN()-1)/2), 1),"")</f>
        <v/>
      </c>
      <c r="J174" s="137"/>
      <c r="K174" s="58" t="str" cm="1">
        <f>IFERROR(INDEX(List_Predictors, INDEX(Array_PredictorsLookup,MATCH($A174,List_PredictorFacilities,0),(COLUMN()-1)/2), 1),"")</f>
        <v/>
      </c>
      <c r="L174" s="137"/>
      <c r="M174" s="58" t="str" cm="1">
        <f>IFERROR(INDEX(List_Predictors, INDEX(Array_PredictorsLookup,MATCH($A174,List_PredictorFacilities,0),(COLUMN()-1)/2), 1),"")</f>
        <v/>
      </c>
      <c r="N174" s="137"/>
      <c r="O174" s="58" t="str" cm="1">
        <f>IFERROR(INDEX(List_Predictors, INDEX(Array_PredictorsLookup,MATCH($A174,List_PredictorFacilities,0),(COLUMN()-1)/2), 1),"")</f>
        <v/>
      </c>
      <c r="P174" s="137"/>
      <c r="Q174" s="58" t="str" cm="1">
        <f>IFERROR(INDEX(List_Predictors, INDEX(Array_PredictorsLookup,MATCH($A174,List_PredictorFacilities,0),(COLUMN()-1)/2), 1),"")</f>
        <v/>
      </c>
      <c r="R174" s="137"/>
      <c r="S174" s="58" t="str" cm="1">
        <f>IFERROR(INDEX(List_Predictors, INDEX(Array_PredictorsLookup,MATCH($A174,List_PredictorFacilities,0),(COLUMN()-1)/2), 1),"")</f>
        <v/>
      </c>
      <c r="T174" s="137"/>
      <c r="U174" s="58" t="str" cm="1">
        <f>IFERROR(INDEX(List_Predictors, INDEX(Array_PredictorsLookup,MATCH($A174,List_PredictorFacilities,0),(COLUMN()-1)/2), 1),"")</f>
        <v/>
      </c>
      <c r="V174" s="137"/>
      <c r="W174" s="58" t="str" cm="1">
        <f>IFERROR(INDEX(List_Predictors, INDEX(Array_PredictorsLookup,MATCH($A174,List_PredictorFacilities,0),(COLUMN()-1)/2), 1),"")</f>
        <v/>
      </c>
      <c r="X174" s="137"/>
      <c r="Y174" s="58" t="str" cm="1">
        <f>IFERROR(INDEX(List_Predictors, INDEX(Array_PredictorsLookup,MATCH($A174,List_PredictorFacilities,0),(COLUMN()-1)/2), 1),"")</f>
        <v/>
      </c>
      <c r="Z174" s="137"/>
      <c r="AA174" s="58" t="str" cm="1">
        <f>IFERROR(INDEX(List_Predictors, INDEX(Array_PredictorsLookup,MATCH($A174,List_PredictorFacilities,0),(COLUMN()-1)/2), 1),"")</f>
        <v/>
      </c>
      <c r="AB174" s="137"/>
      <c r="AC174" s="58" t="str" cm="1">
        <f>IFERROR(INDEX(List_Predictors, INDEX(Array_PredictorsLookup,MATCH($A174,List_PredictorFacilities,0),(COLUMN()-1)/2), 1),"")</f>
        <v/>
      </c>
      <c r="AD174" s="137"/>
      <c r="AE174" s="58" t="str" cm="1">
        <f>IFERROR(INDEX(List_Predictors, INDEX(Array_PredictorsLookup,MATCH($A174,List_PredictorFacilities,0),(COLUMN()-1)/2), 1),"")</f>
        <v/>
      </c>
      <c r="AF174" s="137"/>
    </row>
    <row r="175" spans="1:32" x14ac:dyDescent="0.3">
      <c r="A175" s="126"/>
      <c r="B175" s="141"/>
      <c r="C175" s="58" t="str" cm="1">
        <f>IFERROR(INDEX(List_Predictors, INDEX(Array_PredictorsLookup,MATCH($A175,List_PredictorFacilities,0),(COLUMN()-1)/2), 1),"")</f>
        <v/>
      </c>
      <c r="D175" s="137"/>
      <c r="E175" s="58" t="str" cm="1">
        <f>IFERROR(INDEX(List_Predictors, INDEX(Array_PredictorsLookup,MATCH($A175,List_PredictorFacilities,0),(COLUMN()-1)/2), 1),"")</f>
        <v/>
      </c>
      <c r="F175" s="137"/>
      <c r="G175" s="58" t="str" cm="1">
        <f>IFERROR(INDEX(List_Predictors, INDEX(Array_PredictorsLookup,MATCH($A175,List_PredictorFacilities,0),(COLUMN()-1)/2), 1),"")</f>
        <v/>
      </c>
      <c r="H175" s="137"/>
      <c r="I175" s="58" t="str" cm="1">
        <f>IFERROR(INDEX(List_Predictors, INDEX(Array_PredictorsLookup,MATCH($A175,List_PredictorFacilities,0),(COLUMN()-1)/2), 1),"")</f>
        <v/>
      </c>
      <c r="J175" s="137"/>
      <c r="K175" s="58" t="str" cm="1">
        <f>IFERROR(INDEX(List_Predictors, INDEX(Array_PredictorsLookup,MATCH($A175,List_PredictorFacilities,0),(COLUMN()-1)/2), 1),"")</f>
        <v/>
      </c>
      <c r="L175" s="137"/>
      <c r="M175" s="58" t="str" cm="1">
        <f>IFERROR(INDEX(List_Predictors, INDEX(Array_PredictorsLookup,MATCH($A175,List_PredictorFacilities,0),(COLUMN()-1)/2), 1),"")</f>
        <v/>
      </c>
      <c r="N175" s="137"/>
      <c r="O175" s="58" t="str" cm="1">
        <f>IFERROR(INDEX(List_Predictors, INDEX(Array_PredictorsLookup,MATCH($A175,List_PredictorFacilities,0),(COLUMN()-1)/2), 1),"")</f>
        <v/>
      </c>
      <c r="P175" s="137"/>
      <c r="Q175" s="58" t="str" cm="1">
        <f>IFERROR(INDEX(List_Predictors, INDEX(Array_PredictorsLookup,MATCH($A175,List_PredictorFacilities,0),(COLUMN()-1)/2), 1),"")</f>
        <v/>
      </c>
      <c r="R175" s="137"/>
      <c r="S175" s="58" t="str" cm="1">
        <f>IFERROR(INDEX(List_Predictors, INDEX(Array_PredictorsLookup,MATCH($A175,List_PredictorFacilities,0),(COLUMN()-1)/2), 1),"")</f>
        <v/>
      </c>
      <c r="T175" s="137"/>
      <c r="U175" s="58" t="str" cm="1">
        <f>IFERROR(INDEX(List_Predictors, INDEX(Array_PredictorsLookup,MATCH($A175,List_PredictorFacilities,0),(COLUMN()-1)/2), 1),"")</f>
        <v/>
      </c>
      <c r="V175" s="137"/>
      <c r="W175" s="58" t="str" cm="1">
        <f>IFERROR(INDEX(List_Predictors, INDEX(Array_PredictorsLookup,MATCH($A175,List_PredictorFacilities,0),(COLUMN()-1)/2), 1),"")</f>
        <v/>
      </c>
      <c r="X175" s="137"/>
      <c r="Y175" s="58" t="str" cm="1">
        <f>IFERROR(INDEX(List_Predictors, INDEX(Array_PredictorsLookup,MATCH($A175,List_PredictorFacilities,0),(COLUMN()-1)/2), 1),"")</f>
        <v/>
      </c>
      <c r="Z175" s="137"/>
      <c r="AA175" s="58" t="str" cm="1">
        <f>IFERROR(INDEX(List_Predictors, INDEX(Array_PredictorsLookup,MATCH($A175,List_PredictorFacilities,0),(COLUMN()-1)/2), 1),"")</f>
        <v/>
      </c>
      <c r="AB175" s="137"/>
      <c r="AC175" s="58" t="str" cm="1">
        <f>IFERROR(INDEX(List_Predictors, INDEX(Array_PredictorsLookup,MATCH($A175,List_PredictorFacilities,0),(COLUMN()-1)/2), 1),"")</f>
        <v/>
      </c>
      <c r="AD175" s="137"/>
      <c r="AE175" s="58" t="str" cm="1">
        <f>IFERROR(INDEX(List_Predictors, INDEX(Array_PredictorsLookup,MATCH($A175,List_PredictorFacilities,0),(COLUMN()-1)/2), 1),"")</f>
        <v/>
      </c>
      <c r="AF175" s="137"/>
    </row>
    <row r="176" spans="1:32" x14ac:dyDescent="0.3">
      <c r="A176" s="126"/>
      <c r="B176" s="141"/>
      <c r="C176" s="58" t="str" cm="1">
        <f>IFERROR(INDEX(List_Predictors, INDEX(Array_PredictorsLookup,MATCH($A176,List_PredictorFacilities,0),(COLUMN()-1)/2), 1),"")</f>
        <v/>
      </c>
      <c r="D176" s="137"/>
      <c r="E176" s="58" t="str" cm="1">
        <f>IFERROR(INDEX(List_Predictors, INDEX(Array_PredictorsLookup,MATCH($A176,List_PredictorFacilities,0),(COLUMN()-1)/2), 1),"")</f>
        <v/>
      </c>
      <c r="F176" s="137"/>
      <c r="G176" s="58" t="str" cm="1">
        <f>IFERROR(INDEX(List_Predictors, INDEX(Array_PredictorsLookup,MATCH($A176,List_PredictorFacilities,0),(COLUMN()-1)/2), 1),"")</f>
        <v/>
      </c>
      <c r="H176" s="137"/>
      <c r="I176" s="58" t="str" cm="1">
        <f>IFERROR(INDEX(List_Predictors, INDEX(Array_PredictorsLookup,MATCH($A176,List_PredictorFacilities,0),(COLUMN()-1)/2), 1),"")</f>
        <v/>
      </c>
      <c r="J176" s="137"/>
      <c r="K176" s="58" t="str" cm="1">
        <f>IFERROR(INDEX(List_Predictors, INDEX(Array_PredictorsLookup,MATCH($A176,List_PredictorFacilities,0),(COLUMN()-1)/2), 1),"")</f>
        <v/>
      </c>
      <c r="L176" s="137"/>
      <c r="M176" s="58" t="str" cm="1">
        <f>IFERROR(INDEX(List_Predictors, INDEX(Array_PredictorsLookup,MATCH($A176,List_PredictorFacilities,0),(COLUMN()-1)/2), 1),"")</f>
        <v/>
      </c>
      <c r="N176" s="137"/>
      <c r="O176" s="58" t="str" cm="1">
        <f>IFERROR(INDEX(List_Predictors, INDEX(Array_PredictorsLookup,MATCH($A176,List_PredictorFacilities,0),(COLUMN()-1)/2), 1),"")</f>
        <v/>
      </c>
      <c r="P176" s="137"/>
      <c r="Q176" s="58" t="str" cm="1">
        <f>IFERROR(INDEX(List_Predictors, INDEX(Array_PredictorsLookup,MATCH($A176,List_PredictorFacilities,0),(COLUMN()-1)/2), 1),"")</f>
        <v/>
      </c>
      <c r="R176" s="137"/>
      <c r="S176" s="58" t="str" cm="1">
        <f>IFERROR(INDEX(List_Predictors, INDEX(Array_PredictorsLookup,MATCH($A176,List_PredictorFacilities,0),(COLUMN()-1)/2), 1),"")</f>
        <v/>
      </c>
      <c r="T176" s="137"/>
      <c r="U176" s="58" t="str" cm="1">
        <f>IFERROR(INDEX(List_Predictors, INDEX(Array_PredictorsLookup,MATCH($A176,List_PredictorFacilities,0),(COLUMN()-1)/2), 1),"")</f>
        <v/>
      </c>
      <c r="V176" s="137"/>
      <c r="W176" s="58" t="str" cm="1">
        <f>IFERROR(INDEX(List_Predictors, INDEX(Array_PredictorsLookup,MATCH($A176,List_PredictorFacilities,0),(COLUMN()-1)/2), 1),"")</f>
        <v/>
      </c>
      <c r="X176" s="137"/>
      <c r="Y176" s="58" t="str" cm="1">
        <f>IFERROR(INDEX(List_Predictors, INDEX(Array_PredictorsLookup,MATCH($A176,List_PredictorFacilities,0),(COLUMN()-1)/2), 1),"")</f>
        <v/>
      </c>
      <c r="Z176" s="137"/>
      <c r="AA176" s="58" t="str" cm="1">
        <f>IFERROR(INDEX(List_Predictors, INDEX(Array_PredictorsLookup,MATCH($A176,List_PredictorFacilities,0),(COLUMN()-1)/2), 1),"")</f>
        <v/>
      </c>
      <c r="AB176" s="137"/>
      <c r="AC176" s="58" t="str" cm="1">
        <f>IFERROR(INDEX(List_Predictors, INDEX(Array_PredictorsLookup,MATCH($A176,List_PredictorFacilities,0),(COLUMN()-1)/2), 1),"")</f>
        <v/>
      </c>
      <c r="AD176" s="137"/>
      <c r="AE176" s="58" t="str" cm="1">
        <f>IFERROR(INDEX(List_Predictors, INDEX(Array_PredictorsLookup,MATCH($A176,List_PredictorFacilities,0),(COLUMN()-1)/2), 1),"")</f>
        <v/>
      </c>
      <c r="AF176" s="137"/>
    </row>
    <row r="177" spans="1:32" x14ac:dyDescent="0.3">
      <c r="A177" s="126"/>
      <c r="B177" s="141"/>
      <c r="C177" s="58" t="str" cm="1">
        <f>IFERROR(INDEX(List_Predictors, INDEX(Array_PredictorsLookup,MATCH($A177,List_PredictorFacilities,0),(COLUMN()-1)/2), 1),"")</f>
        <v/>
      </c>
      <c r="D177" s="137"/>
      <c r="E177" s="58" t="str" cm="1">
        <f>IFERROR(INDEX(List_Predictors, INDEX(Array_PredictorsLookup,MATCH($A177,List_PredictorFacilities,0),(COLUMN()-1)/2), 1),"")</f>
        <v/>
      </c>
      <c r="F177" s="137"/>
      <c r="G177" s="58" t="str" cm="1">
        <f>IFERROR(INDEX(List_Predictors, INDEX(Array_PredictorsLookup,MATCH($A177,List_PredictorFacilities,0),(COLUMN()-1)/2), 1),"")</f>
        <v/>
      </c>
      <c r="H177" s="137"/>
      <c r="I177" s="58" t="str" cm="1">
        <f>IFERROR(INDEX(List_Predictors, INDEX(Array_PredictorsLookup,MATCH($A177,List_PredictorFacilities,0),(COLUMN()-1)/2), 1),"")</f>
        <v/>
      </c>
      <c r="J177" s="137"/>
      <c r="K177" s="58" t="str" cm="1">
        <f>IFERROR(INDEX(List_Predictors, INDEX(Array_PredictorsLookup,MATCH($A177,List_PredictorFacilities,0),(COLUMN()-1)/2), 1),"")</f>
        <v/>
      </c>
      <c r="L177" s="137"/>
      <c r="M177" s="58" t="str" cm="1">
        <f>IFERROR(INDEX(List_Predictors, INDEX(Array_PredictorsLookup,MATCH($A177,List_PredictorFacilities,0),(COLUMN()-1)/2), 1),"")</f>
        <v/>
      </c>
      <c r="N177" s="137"/>
      <c r="O177" s="58" t="str" cm="1">
        <f>IFERROR(INDEX(List_Predictors, INDEX(Array_PredictorsLookup,MATCH($A177,List_PredictorFacilities,0),(COLUMN()-1)/2), 1),"")</f>
        <v/>
      </c>
      <c r="P177" s="137"/>
      <c r="Q177" s="58" t="str" cm="1">
        <f>IFERROR(INDEX(List_Predictors, INDEX(Array_PredictorsLookup,MATCH($A177,List_PredictorFacilities,0),(COLUMN()-1)/2), 1),"")</f>
        <v/>
      </c>
      <c r="R177" s="137"/>
      <c r="S177" s="58" t="str" cm="1">
        <f>IFERROR(INDEX(List_Predictors, INDEX(Array_PredictorsLookup,MATCH($A177,List_PredictorFacilities,0),(COLUMN()-1)/2), 1),"")</f>
        <v/>
      </c>
      <c r="T177" s="137"/>
      <c r="U177" s="58" t="str" cm="1">
        <f>IFERROR(INDEX(List_Predictors, INDEX(Array_PredictorsLookup,MATCH($A177,List_PredictorFacilities,0),(COLUMN()-1)/2), 1),"")</f>
        <v/>
      </c>
      <c r="V177" s="137"/>
      <c r="W177" s="58" t="str" cm="1">
        <f>IFERROR(INDEX(List_Predictors, INDEX(Array_PredictorsLookup,MATCH($A177,List_PredictorFacilities,0),(COLUMN()-1)/2), 1),"")</f>
        <v/>
      </c>
      <c r="X177" s="137"/>
      <c r="Y177" s="58" t="str" cm="1">
        <f>IFERROR(INDEX(List_Predictors, INDEX(Array_PredictorsLookup,MATCH($A177,List_PredictorFacilities,0),(COLUMN()-1)/2), 1),"")</f>
        <v/>
      </c>
      <c r="Z177" s="137"/>
      <c r="AA177" s="58" t="str" cm="1">
        <f>IFERROR(INDEX(List_Predictors, INDEX(Array_PredictorsLookup,MATCH($A177,List_PredictorFacilities,0),(COLUMN()-1)/2), 1),"")</f>
        <v/>
      </c>
      <c r="AB177" s="137"/>
      <c r="AC177" s="58" t="str" cm="1">
        <f>IFERROR(INDEX(List_Predictors, INDEX(Array_PredictorsLookup,MATCH($A177,List_PredictorFacilities,0),(COLUMN()-1)/2), 1),"")</f>
        <v/>
      </c>
      <c r="AD177" s="137"/>
      <c r="AE177" s="58" t="str" cm="1">
        <f>IFERROR(INDEX(List_Predictors, INDEX(Array_PredictorsLookup,MATCH($A177,List_PredictorFacilities,0),(COLUMN()-1)/2), 1),"")</f>
        <v/>
      </c>
      <c r="AF177" s="137"/>
    </row>
    <row r="178" spans="1:32" x14ac:dyDescent="0.3">
      <c r="A178" s="126"/>
      <c r="B178" s="141"/>
      <c r="C178" s="58" t="str" cm="1">
        <f>IFERROR(INDEX(List_Predictors, INDEX(Array_PredictorsLookup,MATCH($A178,List_PredictorFacilities,0),(COLUMN()-1)/2), 1),"")</f>
        <v/>
      </c>
      <c r="D178" s="137"/>
      <c r="E178" s="58" t="str" cm="1">
        <f>IFERROR(INDEX(List_Predictors, INDEX(Array_PredictorsLookup,MATCH($A178,List_PredictorFacilities,0),(COLUMN()-1)/2), 1),"")</f>
        <v/>
      </c>
      <c r="F178" s="137"/>
      <c r="G178" s="58" t="str" cm="1">
        <f>IFERROR(INDEX(List_Predictors, INDEX(Array_PredictorsLookup,MATCH($A178,List_PredictorFacilities,0),(COLUMN()-1)/2), 1),"")</f>
        <v/>
      </c>
      <c r="H178" s="137"/>
      <c r="I178" s="58" t="str" cm="1">
        <f>IFERROR(INDEX(List_Predictors, INDEX(Array_PredictorsLookup,MATCH($A178,List_PredictorFacilities,0),(COLUMN()-1)/2), 1),"")</f>
        <v/>
      </c>
      <c r="J178" s="137"/>
      <c r="K178" s="58" t="str" cm="1">
        <f>IFERROR(INDEX(List_Predictors, INDEX(Array_PredictorsLookup,MATCH($A178,List_PredictorFacilities,0),(COLUMN()-1)/2), 1),"")</f>
        <v/>
      </c>
      <c r="L178" s="137"/>
      <c r="M178" s="58" t="str" cm="1">
        <f>IFERROR(INDEX(List_Predictors, INDEX(Array_PredictorsLookup,MATCH($A178,List_PredictorFacilities,0),(COLUMN()-1)/2), 1),"")</f>
        <v/>
      </c>
      <c r="N178" s="137"/>
      <c r="O178" s="58" t="str" cm="1">
        <f>IFERROR(INDEX(List_Predictors, INDEX(Array_PredictorsLookup,MATCH($A178,List_PredictorFacilities,0),(COLUMN()-1)/2), 1),"")</f>
        <v/>
      </c>
      <c r="P178" s="137"/>
      <c r="Q178" s="58" t="str" cm="1">
        <f>IFERROR(INDEX(List_Predictors, INDEX(Array_PredictorsLookup,MATCH($A178,List_PredictorFacilities,0),(COLUMN()-1)/2), 1),"")</f>
        <v/>
      </c>
      <c r="R178" s="137"/>
      <c r="S178" s="58" t="str" cm="1">
        <f>IFERROR(INDEX(List_Predictors, INDEX(Array_PredictorsLookup,MATCH($A178,List_PredictorFacilities,0),(COLUMN()-1)/2), 1),"")</f>
        <v/>
      </c>
      <c r="T178" s="137"/>
      <c r="U178" s="58" t="str" cm="1">
        <f>IFERROR(INDEX(List_Predictors, INDEX(Array_PredictorsLookup,MATCH($A178,List_PredictorFacilities,0),(COLUMN()-1)/2), 1),"")</f>
        <v/>
      </c>
      <c r="V178" s="137"/>
      <c r="W178" s="58" t="str" cm="1">
        <f>IFERROR(INDEX(List_Predictors, INDEX(Array_PredictorsLookup,MATCH($A178,List_PredictorFacilities,0),(COLUMN()-1)/2), 1),"")</f>
        <v/>
      </c>
      <c r="X178" s="137"/>
      <c r="Y178" s="58" t="str" cm="1">
        <f>IFERROR(INDEX(List_Predictors, INDEX(Array_PredictorsLookup,MATCH($A178,List_PredictorFacilities,0),(COLUMN()-1)/2), 1),"")</f>
        <v/>
      </c>
      <c r="Z178" s="137"/>
      <c r="AA178" s="58" t="str" cm="1">
        <f>IFERROR(INDEX(List_Predictors, INDEX(Array_PredictorsLookup,MATCH($A178,List_PredictorFacilities,0),(COLUMN()-1)/2), 1),"")</f>
        <v/>
      </c>
      <c r="AB178" s="137"/>
      <c r="AC178" s="58" t="str" cm="1">
        <f>IFERROR(INDEX(List_Predictors, INDEX(Array_PredictorsLookup,MATCH($A178,List_PredictorFacilities,0),(COLUMN()-1)/2), 1),"")</f>
        <v/>
      </c>
      <c r="AD178" s="137"/>
      <c r="AE178" s="58" t="str" cm="1">
        <f>IFERROR(INDEX(List_Predictors, INDEX(Array_PredictorsLookup,MATCH($A178,List_PredictorFacilities,0),(COLUMN()-1)/2), 1),"")</f>
        <v/>
      </c>
      <c r="AF178" s="137"/>
    </row>
    <row r="179" spans="1:32" x14ac:dyDescent="0.3">
      <c r="A179" s="126"/>
      <c r="B179" s="141"/>
      <c r="C179" s="58" t="str" cm="1">
        <f>IFERROR(INDEX(List_Predictors, INDEX(Array_PredictorsLookup,MATCH($A179,List_PredictorFacilities,0),(COLUMN()-1)/2), 1),"")</f>
        <v/>
      </c>
      <c r="D179" s="137"/>
      <c r="E179" s="58" t="str" cm="1">
        <f>IFERROR(INDEX(List_Predictors, INDEX(Array_PredictorsLookup,MATCH($A179,List_PredictorFacilities,0),(COLUMN()-1)/2), 1),"")</f>
        <v/>
      </c>
      <c r="F179" s="137"/>
      <c r="G179" s="58" t="str" cm="1">
        <f>IFERROR(INDEX(List_Predictors, INDEX(Array_PredictorsLookup,MATCH($A179,List_PredictorFacilities,0),(COLUMN()-1)/2), 1),"")</f>
        <v/>
      </c>
      <c r="H179" s="137"/>
      <c r="I179" s="58" t="str" cm="1">
        <f>IFERROR(INDEX(List_Predictors, INDEX(Array_PredictorsLookup,MATCH($A179,List_PredictorFacilities,0),(COLUMN()-1)/2), 1),"")</f>
        <v/>
      </c>
      <c r="J179" s="137"/>
      <c r="K179" s="58" t="str" cm="1">
        <f>IFERROR(INDEX(List_Predictors, INDEX(Array_PredictorsLookup,MATCH($A179,List_PredictorFacilities,0),(COLUMN()-1)/2), 1),"")</f>
        <v/>
      </c>
      <c r="L179" s="137"/>
      <c r="M179" s="58" t="str" cm="1">
        <f>IFERROR(INDEX(List_Predictors, INDEX(Array_PredictorsLookup,MATCH($A179,List_PredictorFacilities,0),(COLUMN()-1)/2), 1),"")</f>
        <v/>
      </c>
      <c r="N179" s="137"/>
      <c r="O179" s="58" t="str" cm="1">
        <f>IFERROR(INDEX(List_Predictors, INDEX(Array_PredictorsLookup,MATCH($A179,List_PredictorFacilities,0),(COLUMN()-1)/2), 1),"")</f>
        <v/>
      </c>
      <c r="P179" s="137"/>
      <c r="Q179" s="58" t="str" cm="1">
        <f>IFERROR(INDEX(List_Predictors, INDEX(Array_PredictorsLookup,MATCH($A179,List_PredictorFacilities,0),(COLUMN()-1)/2), 1),"")</f>
        <v/>
      </c>
      <c r="R179" s="137"/>
      <c r="S179" s="58" t="str" cm="1">
        <f>IFERROR(INDEX(List_Predictors, INDEX(Array_PredictorsLookup,MATCH($A179,List_PredictorFacilities,0),(COLUMN()-1)/2), 1),"")</f>
        <v/>
      </c>
      <c r="T179" s="137"/>
      <c r="U179" s="58" t="str" cm="1">
        <f>IFERROR(INDEX(List_Predictors, INDEX(Array_PredictorsLookup,MATCH($A179,List_PredictorFacilities,0),(COLUMN()-1)/2), 1),"")</f>
        <v/>
      </c>
      <c r="V179" s="137"/>
      <c r="W179" s="58" t="str" cm="1">
        <f>IFERROR(INDEX(List_Predictors, INDEX(Array_PredictorsLookup,MATCH($A179,List_PredictorFacilities,0),(COLUMN()-1)/2), 1),"")</f>
        <v/>
      </c>
      <c r="X179" s="137"/>
      <c r="Y179" s="58" t="str" cm="1">
        <f>IFERROR(INDEX(List_Predictors, INDEX(Array_PredictorsLookup,MATCH($A179,List_PredictorFacilities,0),(COLUMN()-1)/2), 1),"")</f>
        <v/>
      </c>
      <c r="Z179" s="137"/>
      <c r="AA179" s="58" t="str" cm="1">
        <f>IFERROR(INDEX(List_Predictors, INDEX(Array_PredictorsLookup,MATCH($A179,List_PredictorFacilities,0),(COLUMN()-1)/2), 1),"")</f>
        <v/>
      </c>
      <c r="AB179" s="137"/>
      <c r="AC179" s="58" t="str" cm="1">
        <f>IFERROR(INDEX(List_Predictors, INDEX(Array_PredictorsLookup,MATCH($A179,List_PredictorFacilities,0),(COLUMN()-1)/2), 1),"")</f>
        <v/>
      </c>
      <c r="AD179" s="137"/>
      <c r="AE179" s="58" t="str" cm="1">
        <f>IFERROR(INDEX(List_Predictors, INDEX(Array_PredictorsLookup,MATCH($A179,List_PredictorFacilities,0),(COLUMN()-1)/2), 1),"")</f>
        <v/>
      </c>
      <c r="AF179" s="137"/>
    </row>
    <row r="180" spans="1:32" x14ac:dyDescent="0.3">
      <c r="A180" s="126"/>
      <c r="B180" s="141"/>
      <c r="C180" s="58" t="str" cm="1">
        <f>IFERROR(INDEX(List_Predictors, INDEX(Array_PredictorsLookup,MATCH($A180,List_PredictorFacilities,0),(COLUMN()-1)/2), 1),"")</f>
        <v/>
      </c>
      <c r="D180" s="137"/>
      <c r="E180" s="58" t="str" cm="1">
        <f>IFERROR(INDEX(List_Predictors, INDEX(Array_PredictorsLookup,MATCH($A180,List_PredictorFacilities,0),(COLUMN()-1)/2), 1),"")</f>
        <v/>
      </c>
      <c r="F180" s="137"/>
      <c r="G180" s="58" t="str" cm="1">
        <f>IFERROR(INDEX(List_Predictors, INDEX(Array_PredictorsLookup,MATCH($A180,List_PredictorFacilities,0),(COLUMN()-1)/2), 1),"")</f>
        <v/>
      </c>
      <c r="H180" s="137"/>
      <c r="I180" s="58" t="str" cm="1">
        <f>IFERROR(INDEX(List_Predictors, INDEX(Array_PredictorsLookup,MATCH($A180,List_PredictorFacilities,0),(COLUMN()-1)/2), 1),"")</f>
        <v/>
      </c>
      <c r="J180" s="137"/>
      <c r="K180" s="58" t="str" cm="1">
        <f>IFERROR(INDEX(List_Predictors, INDEX(Array_PredictorsLookup,MATCH($A180,List_PredictorFacilities,0),(COLUMN()-1)/2), 1),"")</f>
        <v/>
      </c>
      <c r="L180" s="137"/>
      <c r="M180" s="58" t="str" cm="1">
        <f>IFERROR(INDEX(List_Predictors, INDEX(Array_PredictorsLookup,MATCH($A180,List_PredictorFacilities,0),(COLUMN()-1)/2), 1),"")</f>
        <v/>
      </c>
      <c r="N180" s="137"/>
      <c r="O180" s="58" t="str" cm="1">
        <f>IFERROR(INDEX(List_Predictors, INDEX(Array_PredictorsLookup,MATCH($A180,List_PredictorFacilities,0),(COLUMN()-1)/2), 1),"")</f>
        <v/>
      </c>
      <c r="P180" s="137"/>
      <c r="Q180" s="58" t="str" cm="1">
        <f>IFERROR(INDEX(List_Predictors, INDEX(Array_PredictorsLookup,MATCH($A180,List_PredictorFacilities,0),(COLUMN()-1)/2), 1),"")</f>
        <v/>
      </c>
      <c r="R180" s="137"/>
      <c r="S180" s="58" t="str" cm="1">
        <f>IFERROR(INDEX(List_Predictors, INDEX(Array_PredictorsLookup,MATCH($A180,List_PredictorFacilities,0),(COLUMN()-1)/2), 1),"")</f>
        <v/>
      </c>
      <c r="T180" s="137"/>
      <c r="U180" s="58" t="str" cm="1">
        <f>IFERROR(INDEX(List_Predictors, INDEX(Array_PredictorsLookup,MATCH($A180,List_PredictorFacilities,0),(COLUMN()-1)/2), 1),"")</f>
        <v/>
      </c>
      <c r="V180" s="137"/>
      <c r="W180" s="58" t="str" cm="1">
        <f>IFERROR(INDEX(List_Predictors, INDEX(Array_PredictorsLookup,MATCH($A180,List_PredictorFacilities,0),(COLUMN()-1)/2), 1),"")</f>
        <v/>
      </c>
      <c r="X180" s="137"/>
      <c r="Y180" s="58" t="str" cm="1">
        <f>IFERROR(INDEX(List_Predictors, INDEX(Array_PredictorsLookup,MATCH($A180,List_PredictorFacilities,0),(COLUMN()-1)/2), 1),"")</f>
        <v/>
      </c>
      <c r="Z180" s="137"/>
      <c r="AA180" s="58" t="str" cm="1">
        <f>IFERROR(INDEX(List_Predictors, INDEX(Array_PredictorsLookup,MATCH($A180,List_PredictorFacilities,0),(COLUMN()-1)/2), 1),"")</f>
        <v/>
      </c>
      <c r="AB180" s="137"/>
      <c r="AC180" s="58" t="str" cm="1">
        <f>IFERROR(INDEX(List_Predictors, INDEX(Array_PredictorsLookup,MATCH($A180,List_PredictorFacilities,0),(COLUMN()-1)/2), 1),"")</f>
        <v/>
      </c>
      <c r="AD180" s="137"/>
      <c r="AE180" s="58" t="str" cm="1">
        <f>IFERROR(INDEX(List_Predictors, INDEX(Array_PredictorsLookup,MATCH($A180,List_PredictorFacilities,0),(COLUMN()-1)/2), 1),"")</f>
        <v/>
      </c>
      <c r="AF180" s="137"/>
    </row>
    <row r="181" spans="1:32" x14ac:dyDescent="0.3">
      <c r="A181" s="126"/>
      <c r="B181" s="141"/>
      <c r="C181" s="58" t="str" cm="1">
        <f>IFERROR(INDEX(List_Predictors, INDEX(Array_PredictorsLookup,MATCH($A181,List_PredictorFacilities,0),(COLUMN()-1)/2), 1),"")</f>
        <v/>
      </c>
      <c r="D181" s="137"/>
      <c r="E181" s="58" t="str" cm="1">
        <f>IFERROR(INDEX(List_Predictors, INDEX(Array_PredictorsLookup,MATCH($A181,List_PredictorFacilities,0),(COLUMN()-1)/2), 1),"")</f>
        <v/>
      </c>
      <c r="F181" s="137"/>
      <c r="G181" s="58" t="str" cm="1">
        <f>IFERROR(INDEX(List_Predictors, INDEX(Array_PredictorsLookup,MATCH($A181,List_PredictorFacilities,0),(COLUMN()-1)/2), 1),"")</f>
        <v/>
      </c>
      <c r="H181" s="137"/>
      <c r="I181" s="58" t="str" cm="1">
        <f>IFERROR(INDEX(List_Predictors, INDEX(Array_PredictorsLookup,MATCH($A181,List_PredictorFacilities,0),(COLUMN()-1)/2), 1),"")</f>
        <v/>
      </c>
      <c r="J181" s="137"/>
      <c r="K181" s="58" t="str" cm="1">
        <f>IFERROR(INDEX(List_Predictors, INDEX(Array_PredictorsLookup,MATCH($A181,List_PredictorFacilities,0),(COLUMN()-1)/2), 1),"")</f>
        <v/>
      </c>
      <c r="L181" s="137"/>
      <c r="M181" s="58" t="str" cm="1">
        <f>IFERROR(INDEX(List_Predictors, INDEX(Array_PredictorsLookup,MATCH($A181,List_PredictorFacilities,0),(COLUMN()-1)/2), 1),"")</f>
        <v/>
      </c>
      <c r="N181" s="137"/>
      <c r="O181" s="58" t="str" cm="1">
        <f>IFERROR(INDEX(List_Predictors, INDEX(Array_PredictorsLookup,MATCH($A181,List_PredictorFacilities,0),(COLUMN()-1)/2), 1),"")</f>
        <v/>
      </c>
      <c r="P181" s="137"/>
      <c r="Q181" s="58" t="str" cm="1">
        <f>IFERROR(INDEX(List_Predictors, INDEX(Array_PredictorsLookup,MATCH($A181,List_PredictorFacilities,0),(COLUMN()-1)/2), 1),"")</f>
        <v/>
      </c>
      <c r="R181" s="137"/>
      <c r="S181" s="58" t="str" cm="1">
        <f>IFERROR(INDEX(List_Predictors, INDEX(Array_PredictorsLookup,MATCH($A181,List_PredictorFacilities,0),(COLUMN()-1)/2), 1),"")</f>
        <v/>
      </c>
      <c r="T181" s="137"/>
      <c r="U181" s="58" t="str" cm="1">
        <f>IFERROR(INDEX(List_Predictors, INDEX(Array_PredictorsLookup,MATCH($A181,List_PredictorFacilities,0),(COLUMN()-1)/2), 1),"")</f>
        <v/>
      </c>
      <c r="V181" s="137"/>
      <c r="W181" s="58" t="str" cm="1">
        <f>IFERROR(INDEX(List_Predictors, INDEX(Array_PredictorsLookup,MATCH($A181,List_PredictorFacilities,0),(COLUMN()-1)/2), 1),"")</f>
        <v/>
      </c>
      <c r="X181" s="137"/>
      <c r="Y181" s="58" t="str" cm="1">
        <f>IFERROR(INDEX(List_Predictors, INDEX(Array_PredictorsLookup,MATCH($A181,List_PredictorFacilities,0),(COLUMN()-1)/2), 1),"")</f>
        <v/>
      </c>
      <c r="Z181" s="137"/>
      <c r="AA181" s="58" t="str" cm="1">
        <f>IFERROR(INDEX(List_Predictors, INDEX(Array_PredictorsLookup,MATCH($A181,List_PredictorFacilities,0),(COLUMN()-1)/2), 1),"")</f>
        <v/>
      </c>
      <c r="AB181" s="137"/>
      <c r="AC181" s="58" t="str" cm="1">
        <f>IFERROR(INDEX(List_Predictors, INDEX(Array_PredictorsLookup,MATCH($A181,List_PredictorFacilities,0),(COLUMN()-1)/2), 1),"")</f>
        <v/>
      </c>
      <c r="AD181" s="137"/>
      <c r="AE181" s="58" t="str" cm="1">
        <f>IFERROR(INDEX(List_Predictors, INDEX(Array_PredictorsLookup,MATCH($A181,List_PredictorFacilities,0),(COLUMN()-1)/2), 1),"")</f>
        <v/>
      </c>
      <c r="AF181" s="137"/>
    </row>
    <row r="182" spans="1:32" x14ac:dyDescent="0.3">
      <c r="A182" s="126"/>
      <c r="B182" s="141"/>
      <c r="C182" s="58" t="str" cm="1">
        <f>IFERROR(INDEX(List_Predictors, INDEX(Array_PredictorsLookup,MATCH($A182,List_PredictorFacilities,0),(COLUMN()-1)/2), 1),"")</f>
        <v/>
      </c>
      <c r="D182" s="137"/>
      <c r="E182" s="58" t="str" cm="1">
        <f>IFERROR(INDEX(List_Predictors, INDEX(Array_PredictorsLookup,MATCH($A182,List_PredictorFacilities,0),(COLUMN()-1)/2), 1),"")</f>
        <v/>
      </c>
      <c r="F182" s="137"/>
      <c r="G182" s="58" t="str" cm="1">
        <f>IFERROR(INDEX(List_Predictors, INDEX(Array_PredictorsLookup,MATCH($A182,List_PredictorFacilities,0),(COLUMN()-1)/2), 1),"")</f>
        <v/>
      </c>
      <c r="H182" s="137"/>
      <c r="I182" s="58" t="str" cm="1">
        <f>IFERROR(INDEX(List_Predictors, INDEX(Array_PredictorsLookup,MATCH($A182,List_PredictorFacilities,0),(COLUMN()-1)/2), 1),"")</f>
        <v/>
      </c>
      <c r="J182" s="137"/>
      <c r="K182" s="58" t="str" cm="1">
        <f>IFERROR(INDEX(List_Predictors, INDEX(Array_PredictorsLookup,MATCH($A182,List_PredictorFacilities,0),(COLUMN()-1)/2), 1),"")</f>
        <v/>
      </c>
      <c r="L182" s="137"/>
      <c r="M182" s="58" t="str" cm="1">
        <f>IFERROR(INDEX(List_Predictors, INDEX(Array_PredictorsLookup,MATCH($A182,List_PredictorFacilities,0),(COLUMN()-1)/2), 1),"")</f>
        <v/>
      </c>
      <c r="N182" s="137"/>
      <c r="O182" s="58" t="str" cm="1">
        <f>IFERROR(INDEX(List_Predictors, INDEX(Array_PredictorsLookup,MATCH($A182,List_PredictorFacilities,0),(COLUMN()-1)/2), 1),"")</f>
        <v/>
      </c>
      <c r="P182" s="137"/>
      <c r="Q182" s="58" t="str" cm="1">
        <f>IFERROR(INDEX(List_Predictors, INDEX(Array_PredictorsLookup,MATCH($A182,List_PredictorFacilities,0),(COLUMN()-1)/2), 1),"")</f>
        <v/>
      </c>
      <c r="R182" s="137"/>
      <c r="S182" s="58" t="str" cm="1">
        <f>IFERROR(INDEX(List_Predictors, INDEX(Array_PredictorsLookup,MATCH($A182,List_PredictorFacilities,0),(COLUMN()-1)/2), 1),"")</f>
        <v/>
      </c>
      <c r="T182" s="137"/>
      <c r="U182" s="58" t="str" cm="1">
        <f>IFERROR(INDEX(List_Predictors, INDEX(Array_PredictorsLookup,MATCH($A182,List_PredictorFacilities,0),(COLUMN()-1)/2), 1),"")</f>
        <v/>
      </c>
      <c r="V182" s="137"/>
      <c r="W182" s="58" t="str" cm="1">
        <f>IFERROR(INDEX(List_Predictors, INDEX(Array_PredictorsLookup,MATCH($A182,List_PredictorFacilities,0),(COLUMN()-1)/2), 1),"")</f>
        <v/>
      </c>
      <c r="X182" s="137"/>
      <c r="Y182" s="58" t="str" cm="1">
        <f>IFERROR(INDEX(List_Predictors, INDEX(Array_PredictorsLookup,MATCH($A182,List_PredictorFacilities,0),(COLUMN()-1)/2), 1),"")</f>
        <v/>
      </c>
      <c r="Z182" s="137"/>
      <c r="AA182" s="58" t="str" cm="1">
        <f>IFERROR(INDEX(List_Predictors, INDEX(Array_PredictorsLookup,MATCH($A182,List_PredictorFacilities,0),(COLUMN()-1)/2), 1),"")</f>
        <v/>
      </c>
      <c r="AB182" s="137"/>
      <c r="AC182" s="58" t="str" cm="1">
        <f>IFERROR(INDEX(List_Predictors, INDEX(Array_PredictorsLookup,MATCH($A182,List_PredictorFacilities,0),(COLUMN()-1)/2), 1),"")</f>
        <v/>
      </c>
      <c r="AD182" s="137"/>
      <c r="AE182" s="58" t="str" cm="1">
        <f>IFERROR(INDEX(List_Predictors, INDEX(Array_PredictorsLookup,MATCH($A182,List_PredictorFacilities,0),(COLUMN()-1)/2), 1),"")</f>
        <v/>
      </c>
      <c r="AF182" s="137"/>
    </row>
    <row r="183" spans="1:32" x14ac:dyDescent="0.3">
      <c r="A183" s="126"/>
      <c r="B183" s="141"/>
      <c r="C183" s="58" t="str" cm="1">
        <f>IFERROR(INDEX(List_Predictors, INDEX(Array_PredictorsLookup,MATCH($A183,List_PredictorFacilities,0),(COLUMN()-1)/2), 1),"")</f>
        <v/>
      </c>
      <c r="D183" s="137"/>
      <c r="E183" s="58" t="str" cm="1">
        <f>IFERROR(INDEX(List_Predictors, INDEX(Array_PredictorsLookup,MATCH($A183,List_PredictorFacilities,0),(COLUMN()-1)/2), 1),"")</f>
        <v/>
      </c>
      <c r="F183" s="137"/>
      <c r="G183" s="58" t="str" cm="1">
        <f>IFERROR(INDEX(List_Predictors, INDEX(Array_PredictorsLookup,MATCH($A183,List_PredictorFacilities,0),(COLUMN()-1)/2), 1),"")</f>
        <v/>
      </c>
      <c r="H183" s="137"/>
      <c r="I183" s="58" t="str" cm="1">
        <f>IFERROR(INDEX(List_Predictors, INDEX(Array_PredictorsLookup,MATCH($A183,List_PredictorFacilities,0),(COLUMN()-1)/2), 1),"")</f>
        <v/>
      </c>
      <c r="J183" s="137"/>
      <c r="K183" s="58" t="str" cm="1">
        <f>IFERROR(INDEX(List_Predictors, INDEX(Array_PredictorsLookup,MATCH($A183,List_PredictorFacilities,0),(COLUMN()-1)/2), 1),"")</f>
        <v/>
      </c>
      <c r="L183" s="137"/>
      <c r="M183" s="58" t="str" cm="1">
        <f>IFERROR(INDEX(List_Predictors, INDEX(Array_PredictorsLookup,MATCH($A183,List_PredictorFacilities,0),(COLUMN()-1)/2), 1),"")</f>
        <v/>
      </c>
      <c r="N183" s="137"/>
      <c r="O183" s="58" t="str" cm="1">
        <f>IFERROR(INDEX(List_Predictors, INDEX(Array_PredictorsLookup,MATCH($A183,List_PredictorFacilities,0),(COLUMN()-1)/2), 1),"")</f>
        <v/>
      </c>
      <c r="P183" s="137"/>
      <c r="Q183" s="58" t="str" cm="1">
        <f>IFERROR(INDEX(List_Predictors, INDEX(Array_PredictorsLookup,MATCH($A183,List_PredictorFacilities,0),(COLUMN()-1)/2), 1),"")</f>
        <v/>
      </c>
      <c r="R183" s="137"/>
      <c r="S183" s="58" t="str" cm="1">
        <f>IFERROR(INDEX(List_Predictors, INDEX(Array_PredictorsLookup,MATCH($A183,List_PredictorFacilities,0),(COLUMN()-1)/2), 1),"")</f>
        <v/>
      </c>
      <c r="T183" s="137"/>
      <c r="U183" s="58" t="str" cm="1">
        <f>IFERROR(INDEX(List_Predictors, INDEX(Array_PredictorsLookup,MATCH($A183,List_PredictorFacilities,0),(COLUMN()-1)/2), 1),"")</f>
        <v/>
      </c>
      <c r="V183" s="137"/>
      <c r="W183" s="58" t="str" cm="1">
        <f>IFERROR(INDEX(List_Predictors, INDEX(Array_PredictorsLookup,MATCH($A183,List_PredictorFacilities,0),(COLUMN()-1)/2), 1),"")</f>
        <v/>
      </c>
      <c r="X183" s="137"/>
      <c r="Y183" s="58" t="str" cm="1">
        <f>IFERROR(INDEX(List_Predictors, INDEX(Array_PredictorsLookup,MATCH($A183,List_PredictorFacilities,0),(COLUMN()-1)/2), 1),"")</f>
        <v/>
      </c>
      <c r="Z183" s="137"/>
      <c r="AA183" s="58" t="str" cm="1">
        <f>IFERROR(INDEX(List_Predictors, INDEX(Array_PredictorsLookup,MATCH($A183,List_PredictorFacilities,0),(COLUMN()-1)/2), 1),"")</f>
        <v/>
      </c>
      <c r="AB183" s="137"/>
      <c r="AC183" s="58" t="str" cm="1">
        <f>IFERROR(INDEX(List_Predictors, INDEX(Array_PredictorsLookup,MATCH($A183,List_PredictorFacilities,0),(COLUMN()-1)/2), 1),"")</f>
        <v/>
      </c>
      <c r="AD183" s="137"/>
      <c r="AE183" s="58" t="str" cm="1">
        <f>IFERROR(INDEX(List_Predictors, INDEX(Array_PredictorsLookup,MATCH($A183,List_PredictorFacilities,0),(COLUMN()-1)/2), 1),"")</f>
        <v/>
      </c>
      <c r="AF183" s="137"/>
    </row>
    <row r="184" spans="1:32" x14ac:dyDescent="0.3">
      <c r="A184" s="126"/>
      <c r="B184" s="141"/>
      <c r="C184" s="58" t="str" cm="1">
        <f>IFERROR(INDEX(List_Predictors, INDEX(Array_PredictorsLookup,MATCH($A184,List_PredictorFacilities,0),(COLUMN()-1)/2), 1),"")</f>
        <v/>
      </c>
      <c r="D184" s="137"/>
      <c r="E184" s="58" t="str" cm="1">
        <f>IFERROR(INDEX(List_Predictors, INDEX(Array_PredictorsLookup,MATCH($A184,List_PredictorFacilities,0),(COLUMN()-1)/2), 1),"")</f>
        <v/>
      </c>
      <c r="F184" s="137"/>
      <c r="G184" s="58" t="str" cm="1">
        <f>IFERROR(INDEX(List_Predictors, INDEX(Array_PredictorsLookup,MATCH($A184,List_PredictorFacilities,0),(COLUMN()-1)/2), 1),"")</f>
        <v/>
      </c>
      <c r="H184" s="137"/>
      <c r="I184" s="58" t="str" cm="1">
        <f>IFERROR(INDEX(List_Predictors, INDEX(Array_PredictorsLookup,MATCH($A184,List_PredictorFacilities,0),(COLUMN()-1)/2), 1),"")</f>
        <v/>
      </c>
      <c r="J184" s="137"/>
      <c r="K184" s="58" t="str" cm="1">
        <f>IFERROR(INDEX(List_Predictors, INDEX(Array_PredictorsLookup,MATCH($A184,List_PredictorFacilities,0),(COLUMN()-1)/2), 1),"")</f>
        <v/>
      </c>
      <c r="L184" s="137"/>
      <c r="M184" s="58" t="str" cm="1">
        <f>IFERROR(INDEX(List_Predictors, INDEX(Array_PredictorsLookup,MATCH($A184,List_PredictorFacilities,0),(COLUMN()-1)/2), 1),"")</f>
        <v/>
      </c>
      <c r="N184" s="137"/>
      <c r="O184" s="58" t="str" cm="1">
        <f>IFERROR(INDEX(List_Predictors, INDEX(Array_PredictorsLookup,MATCH($A184,List_PredictorFacilities,0),(COLUMN()-1)/2), 1),"")</f>
        <v/>
      </c>
      <c r="P184" s="137"/>
      <c r="Q184" s="58" t="str" cm="1">
        <f>IFERROR(INDEX(List_Predictors, INDEX(Array_PredictorsLookup,MATCH($A184,List_PredictorFacilities,0),(COLUMN()-1)/2), 1),"")</f>
        <v/>
      </c>
      <c r="R184" s="137"/>
      <c r="S184" s="58" t="str" cm="1">
        <f>IFERROR(INDEX(List_Predictors, INDEX(Array_PredictorsLookup,MATCH($A184,List_PredictorFacilities,0),(COLUMN()-1)/2), 1),"")</f>
        <v/>
      </c>
      <c r="T184" s="137"/>
      <c r="U184" s="58" t="str" cm="1">
        <f>IFERROR(INDEX(List_Predictors, INDEX(Array_PredictorsLookup,MATCH($A184,List_PredictorFacilities,0),(COLUMN()-1)/2), 1),"")</f>
        <v/>
      </c>
      <c r="V184" s="137"/>
      <c r="W184" s="58" t="str" cm="1">
        <f>IFERROR(INDEX(List_Predictors, INDEX(Array_PredictorsLookup,MATCH($A184,List_PredictorFacilities,0),(COLUMN()-1)/2), 1),"")</f>
        <v/>
      </c>
      <c r="X184" s="137"/>
      <c r="Y184" s="58" t="str" cm="1">
        <f>IFERROR(INDEX(List_Predictors, INDEX(Array_PredictorsLookup,MATCH($A184,List_PredictorFacilities,0),(COLUMN()-1)/2), 1),"")</f>
        <v/>
      </c>
      <c r="Z184" s="137"/>
      <c r="AA184" s="58" t="str" cm="1">
        <f>IFERROR(INDEX(List_Predictors, INDEX(Array_PredictorsLookup,MATCH($A184,List_PredictorFacilities,0),(COLUMN()-1)/2), 1),"")</f>
        <v/>
      </c>
      <c r="AB184" s="137"/>
      <c r="AC184" s="58" t="str" cm="1">
        <f>IFERROR(INDEX(List_Predictors, INDEX(Array_PredictorsLookup,MATCH($A184,List_PredictorFacilities,0),(COLUMN()-1)/2), 1),"")</f>
        <v/>
      </c>
      <c r="AD184" s="137"/>
      <c r="AE184" s="58" t="str" cm="1">
        <f>IFERROR(INDEX(List_Predictors, INDEX(Array_PredictorsLookup,MATCH($A184,List_PredictorFacilities,0),(COLUMN()-1)/2), 1),"")</f>
        <v/>
      </c>
      <c r="AF184" s="137"/>
    </row>
    <row r="185" spans="1:32" x14ac:dyDescent="0.3">
      <c r="A185" s="126"/>
      <c r="B185" s="141"/>
      <c r="C185" s="58" t="str" cm="1">
        <f>IFERROR(INDEX(List_Predictors, INDEX(Array_PredictorsLookup,MATCH($A185,List_PredictorFacilities,0),(COLUMN()-1)/2), 1),"")</f>
        <v/>
      </c>
      <c r="D185" s="137"/>
      <c r="E185" s="58" t="str" cm="1">
        <f>IFERROR(INDEX(List_Predictors, INDEX(Array_PredictorsLookup,MATCH($A185,List_PredictorFacilities,0),(COLUMN()-1)/2), 1),"")</f>
        <v/>
      </c>
      <c r="F185" s="137"/>
      <c r="G185" s="58" t="str" cm="1">
        <f>IFERROR(INDEX(List_Predictors, INDEX(Array_PredictorsLookup,MATCH($A185,List_PredictorFacilities,0),(COLUMN()-1)/2), 1),"")</f>
        <v/>
      </c>
      <c r="H185" s="137"/>
      <c r="I185" s="58" t="str" cm="1">
        <f>IFERROR(INDEX(List_Predictors, INDEX(Array_PredictorsLookup,MATCH($A185,List_PredictorFacilities,0),(COLUMN()-1)/2), 1),"")</f>
        <v/>
      </c>
      <c r="J185" s="137"/>
      <c r="K185" s="58" t="str" cm="1">
        <f>IFERROR(INDEX(List_Predictors, INDEX(Array_PredictorsLookup,MATCH($A185,List_PredictorFacilities,0),(COLUMN()-1)/2), 1),"")</f>
        <v/>
      </c>
      <c r="L185" s="137"/>
      <c r="M185" s="58" t="str" cm="1">
        <f>IFERROR(INDEX(List_Predictors, INDEX(Array_PredictorsLookup,MATCH($A185,List_PredictorFacilities,0),(COLUMN()-1)/2), 1),"")</f>
        <v/>
      </c>
      <c r="N185" s="137"/>
      <c r="O185" s="58" t="str" cm="1">
        <f>IFERROR(INDEX(List_Predictors, INDEX(Array_PredictorsLookup,MATCH($A185,List_PredictorFacilities,0),(COLUMN()-1)/2), 1),"")</f>
        <v/>
      </c>
      <c r="P185" s="137"/>
      <c r="Q185" s="58" t="str" cm="1">
        <f>IFERROR(INDEX(List_Predictors, INDEX(Array_PredictorsLookup,MATCH($A185,List_PredictorFacilities,0),(COLUMN()-1)/2), 1),"")</f>
        <v/>
      </c>
      <c r="R185" s="137"/>
      <c r="S185" s="58" t="str" cm="1">
        <f>IFERROR(INDEX(List_Predictors, INDEX(Array_PredictorsLookup,MATCH($A185,List_PredictorFacilities,0),(COLUMN()-1)/2), 1),"")</f>
        <v/>
      </c>
      <c r="T185" s="137"/>
      <c r="U185" s="58" t="str" cm="1">
        <f>IFERROR(INDEX(List_Predictors, INDEX(Array_PredictorsLookup,MATCH($A185,List_PredictorFacilities,0),(COLUMN()-1)/2), 1),"")</f>
        <v/>
      </c>
      <c r="V185" s="137"/>
      <c r="W185" s="58" t="str" cm="1">
        <f>IFERROR(INDEX(List_Predictors, INDEX(Array_PredictorsLookup,MATCH($A185,List_PredictorFacilities,0),(COLUMN()-1)/2), 1),"")</f>
        <v/>
      </c>
      <c r="X185" s="137"/>
      <c r="Y185" s="58" t="str" cm="1">
        <f>IFERROR(INDEX(List_Predictors, INDEX(Array_PredictorsLookup,MATCH($A185,List_PredictorFacilities,0),(COLUMN()-1)/2), 1),"")</f>
        <v/>
      </c>
      <c r="Z185" s="137"/>
      <c r="AA185" s="58" t="str" cm="1">
        <f>IFERROR(INDEX(List_Predictors, INDEX(Array_PredictorsLookup,MATCH($A185,List_PredictorFacilities,0),(COLUMN()-1)/2), 1),"")</f>
        <v/>
      </c>
      <c r="AB185" s="137"/>
      <c r="AC185" s="58" t="str" cm="1">
        <f>IFERROR(INDEX(List_Predictors, INDEX(Array_PredictorsLookup,MATCH($A185,List_PredictorFacilities,0),(COLUMN()-1)/2), 1),"")</f>
        <v/>
      </c>
      <c r="AD185" s="137"/>
      <c r="AE185" s="58" t="str" cm="1">
        <f>IFERROR(INDEX(List_Predictors, INDEX(Array_PredictorsLookup,MATCH($A185,List_PredictorFacilities,0),(COLUMN()-1)/2), 1),"")</f>
        <v/>
      </c>
      <c r="AF185" s="137"/>
    </row>
    <row r="186" spans="1:32" x14ac:dyDescent="0.3">
      <c r="A186" s="126"/>
      <c r="B186" s="141"/>
      <c r="C186" s="58" t="str" cm="1">
        <f>IFERROR(INDEX(List_Predictors, INDEX(Array_PredictorsLookup,MATCH($A186,List_PredictorFacilities,0),(COLUMN()-1)/2), 1),"")</f>
        <v/>
      </c>
      <c r="D186" s="137"/>
      <c r="E186" s="58" t="str" cm="1">
        <f>IFERROR(INDEX(List_Predictors, INDEX(Array_PredictorsLookup,MATCH($A186,List_PredictorFacilities,0),(COLUMN()-1)/2), 1),"")</f>
        <v/>
      </c>
      <c r="F186" s="137"/>
      <c r="G186" s="58" t="str" cm="1">
        <f>IFERROR(INDEX(List_Predictors, INDEX(Array_PredictorsLookup,MATCH($A186,List_PredictorFacilities,0),(COLUMN()-1)/2), 1),"")</f>
        <v/>
      </c>
      <c r="H186" s="137"/>
      <c r="I186" s="58" t="str" cm="1">
        <f>IFERROR(INDEX(List_Predictors, INDEX(Array_PredictorsLookup,MATCH($A186,List_PredictorFacilities,0),(COLUMN()-1)/2), 1),"")</f>
        <v/>
      </c>
      <c r="J186" s="137"/>
      <c r="K186" s="58" t="str" cm="1">
        <f>IFERROR(INDEX(List_Predictors, INDEX(Array_PredictorsLookup,MATCH($A186,List_PredictorFacilities,0),(COLUMN()-1)/2), 1),"")</f>
        <v/>
      </c>
      <c r="L186" s="137"/>
      <c r="M186" s="58" t="str" cm="1">
        <f>IFERROR(INDEX(List_Predictors, INDEX(Array_PredictorsLookup,MATCH($A186,List_PredictorFacilities,0),(COLUMN()-1)/2), 1),"")</f>
        <v/>
      </c>
      <c r="N186" s="137"/>
      <c r="O186" s="58" t="str" cm="1">
        <f>IFERROR(INDEX(List_Predictors, INDEX(Array_PredictorsLookup,MATCH($A186,List_PredictorFacilities,0),(COLUMN()-1)/2), 1),"")</f>
        <v/>
      </c>
      <c r="P186" s="137"/>
      <c r="Q186" s="58" t="str" cm="1">
        <f>IFERROR(INDEX(List_Predictors, INDEX(Array_PredictorsLookup,MATCH($A186,List_PredictorFacilities,0),(COLUMN()-1)/2), 1),"")</f>
        <v/>
      </c>
      <c r="R186" s="137"/>
      <c r="S186" s="58" t="str" cm="1">
        <f>IFERROR(INDEX(List_Predictors, INDEX(Array_PredictorsLookup,MATCH($A186,List_PredictorFacilities,0),(COLUMN()-1)/2), 1),"")</f>
        <v/>
      </c>
      <c r="T186" s="137"/>
      <c r="U186" s="58" t="str" cm="1">
        <f>IFERROR(INDEX(List_Predictors, INDEX(Array_PredictorsLookup,MATCH($A186,List_PredictorFacilities,0),(COLUMN()-1)/2), 1),"")</f>
        <v/>
      </c>
      <c r="V186" s="137"/>
      <c r="W186" s="58" t="str" cm="1">
        <f>IFERROR(INDEX(List_Predictors, INDEX(Array_PredictorsLookup,MATCH($A186,List_PredictorFacilities,0),(COLUMN()-1)/2), 1),"")</f>
        <v/>
      </c>
      <c r="X186" s="137"/>
      <c r="Y186" s="58" t="str" cm="1">
        <f>IFERROR(INDEX(List_Predictors, INDEX(Array_PredictorsLookup,MATCH($A186,List_PredictorFacilities,0),(COLUMN()-1)/2), 1),"")</f>
        <v/>
      </c>
      <c r="Z186" s="137"/>
      <c r="AA186" s="58" t="str" cm="1">
        <f>IFERROR(INDEX(List_Predictors, INDEX(Array_PredictorsLookup,MATCH($A186,List_PredictorFacilities,0),(COLUMN()-1)/2), 1),"")</f>
        <v/>
      </c>
      <c r="AB186" s="137"/>
      <c r="AC186" s="58" t="str" cm="1">
        <f>IFERROR(INDEX(List_Predictors, INDEX(Array_PredictorsLookup,MATCH($A186,List_PredictorFacilities,0),(COLUMN()-1)/2), 1),"")</f>
        <v/>
      </c>
      <c r="AD186" s="137"/>
      <c r="AE186" s="58" t="str" cm="1">
        <f>IFERROR(INDEX(List_Predictors, INDEX(Array_PredictorsLookup,MATCH($A186,List_PredictorFacilities,0),(COLUMN()-1)/2), 1),"")</f>
        <v/>
      </c>
      <c r="AF186" s="137"/>
    </row>
    <row r="187" spans="1:32" x14ac:dyDescent="0.3">
      <c r="A187" s="126"/>
      <c r="B187" s="141"/>
      <c r="C187" s="58" t="str" cm="1">
        <f>IFERROR(INDEX(List_Predictors, INDEX(Array_PredictorsLookup,MATCH($A187,List_PredictorFacilities,0),(COLUMN()-1)/2), 1),"")</f>
        <v/>
      </c>
      <c r="D187" s="137"/>
      <c r="E187" s="58" t="str" cm="1">
        <f>IFERROR(INDEX(List_Predictors, INDEX(Array_PredictorsLookup,MATCH($A187,List_PredictorFacilities,0),(COLUMN()-1)/2), 1),"")</f>
        <v/>
      </c>
      <c r="F187" s="137"/>
      <c r="G187" s="58" t="str" cm="1">
        <f>IFERROR(INDEX(List_Predictors, INDEX(Array_PredictorsLookup,MATCH($A187,List_PredictorFacilities,0),(COLUMN()-1)/2), 1),"")</f>
        <v/>
      </c>
      <c r="H187" s="137"/>
      <c r="I187" s="58" t="str" cm="1">
        <f>IFERROR(INDEX(List_Predictors, INDEX(Array_PredictorsLookup,MATCH($A187,List_PredictorFacilities,0),(COLUMN()-1)/2), 1),"")</f>
        <v/>
      </c>
      <c r="J187" s="137"/>
      <c r="K187" s="58" t="str" cm="1">
        <f>IFERROR(INDEX(List_Predictors, INDEX(Array_PredictorsLookup,MATCH($A187,List_PredictorFacilities,0),(COLUMN()-1)/2), 1),"")</f>
        <v/>
      </c>
      <c r="L187" s="137"/>
      <c r="M187" s="58" t="str" cm="1">
        <f>IFERROR(INDEX(List_Predictors, INDEX(Array_PredictorsLookup,MATCH($A187,List_PredictorFacilities,0),(COLUMN()-1)/2), 1),"")</f>
        <v/>
      </c>
      <c r="N187" s="137"/>
      <c r="O187" s="58" t="str" cm="1">
        <f>IFERROR(INDEX(List_Predictors, INDEX(Array_PredictorsLookup,MATCH($A187,List_PredictorFacilities,0),(COLUMN()-1)/2), 1),"")</f>
        <v/>
      </c>
      <c r="P187" s="137"/>
      <c r="Q187" s="58" t="str" cm="1">
        <f>IFERROR(INDEX(List_Predictors, INDEX(Array_PredictorsLookup,MATCH($A187,List_PredictorFacilities,0),(COLUMN()-1)/2), 1),"")</f>
        <v/>
      </c>
      <c r="R187" s="137"/>
      <c r="S187" s="58" t="str" cm="1">
        <f>IFERROR(INDEX(List_Predictors, INDEX(Array_PredictorsLookup,MATCH($A187,List_PredictorFacilities,0),(COLUMN()-1)/2), 1),"")</f>
        <v/>
      </c>
      <c r="T187" s="137"/>
      <c r="U187" s="58" t="str" cm="1">
        <f>IFERROR(INDEX(List_Predictors, INDEX(Array_PredictorsLookup,MATCH($A187,List_PredictorFacilities,0),(COLUMN()-1)/2), 1),"")</f>
        <v/>
      </c>
      <c r="V187" s="137"/>
      <c r="W187" s="58" t="str" cm="1">
        <f>IFERROR(INDEX(List_Predictors, INDEX(Array_PredictorsLookup,MATCH($A187,List_PredictorFacilities,0),(COLUMN()-1)/2), 1),"")</f>
        <v/>
      </c>
      <c r="X187" s="137"/>
      <c r="Y187" s="58" t="str" cm="1">
        <f>IFERROR(INDEX(List_Predictors, INDEX(Array_PredictorsLookup,MATCH($A187,List_PredictorFacilities,0),(COLUMN()-1)/2), 1),"")</f>
        <v/>
      </c>
      <c r="Z187" s="137"/>
      <c r="AA187" s="58" t="str" cm="1">
        <f>IFERROR(INDEX(List_Predictors, INDEX(Array_PredictorsLookup,MATCH($A187,List_PredictorFacilities,0),(COLUMN()-1)/2), 1),"")</f>
        <v/>
      </c>
      <c r="AB187" s="137"/>
      <c r="AC187" s="58" t="str" cm="1">
        <f>IFERROR(INDEX(List_Predictors, INDEX(Array_PredictorsLookup,MATCH($A187,List_PredictorFacilities,0),(COLUMN()-1)/2), 1),"")</f>
        <v/>
      </c>
      <c r="AD187" s="137"/>
      <c r="AE187" s="58" t="str" cm="1">
        <f>IFERROR(INDEX(List_Predictors, INDEX(Array_PredictorsLookup,MATCH($A187,List_PredictorFacilities,0),(COLUMN()-1)/2), 1),"")</f>
        <v/>
      </c>
      <c r="AF187" s="137"/>
    </row>
    <row r="188" spans="1:32" x14ac:dyDescent="0.3">
      <c r="A188" s="126"/>
      <c r="B188" s="141"/>
      <c r="C188" s="58" t="str" cm="1">
        <f>IFERROR(INDEX(List_Predictors, INDEX(Array_PredictorsLookup,MATCH($A188,List_PredictorFacilities,0),(COLUMN()-1)/2), 1),"")</f>
        <v/>
      </c>
      <c r="D188" s="137"/>
      <c r="E188" s="58" t="str" cm="1">
        <f>IFERROR(INDEX(List_Predictors, INDEX(Array_PredictorsLookup,MATCH($A188,List_PredictorFacilities,0),(COLUMN()-1)/2), 1),"")</f>
        <v/>
      </c>
      <c r="F188" s="137"/>
      <c r="G188" s="58" t="str" cm="1">
        <f>IFERROR(INDEX(List_Predictors, INDEX(Array_PredictorsLookup,MATCH($A188,List_PredictorFacilities,0),(COLUMN()-1)/2), 1),"")</f>
        <v/>
      </c>
      <c r="H188" s="137"/>
      <c r="I188" s="58" t="str" cm="1">
        <f>IFERROR(INDEX(List_Predictors, INDEX(Array_PredictorsLookup,MATCH($A188,List_PredictorFacilities,0),(COLUMN()-1)/2), 1),"")</f>
        <v/>
      </c>
      <c r="J188" s="137"/>
      <c r="K188" s="58" t="str" cm="1">
        <f>IFERROR(INDEX(List_Predictors, INDEX(Array_PredictorsLookup,MATCH($A188,List_PredictorFacilities,0),(COLUMN()-1)/2), 1),"")</f>
        <v/>
      </c>
      <c r="L188" s="137"/>
      <c r="M188" s="58" t="str" cm="1">
        <f>IFERROR(INDEX(List_Predictors, INDEX(Array_PredictorsLookup,MATCH($A188,List_PredictorFacilities,0),(COLUMN()-1)/2), 1),"")</f>
        <v/>
      </c>
      <c r="N188" s="137"/>
      <c r="O188" s="58" t="str" cm="1">
        <f>IFERROR(INDEX(List_Predictors, INDEX(Array_PredictorsLookup,MATCH($A188,List_PredictorFacilities,0),(COLUMN()-1)/2), 1),"")</f>
        <v/>
      </c>
      <c r="P188" s="137"/>
      <c r="Q188" s="58" t="str" cm="1">
        <f>IFERROR(INDEX(List_Predictors, INDEX(Array_PredictorsLookup,MATCH($A188,List_PredictorFacilities,0),(COLUMN()-1)/2), 1),"")</f>
        <v/>
      </c>
      <c r="R188" s="137"/>
      <c r="S188" s="58" t="str" cm="1">
        <f>IFERROR(INDEX(List_Predictors, INDEX(Array_PredictorsLookup,MATCH($A188,List_PredictorFacilities,0),(COLUMN()-1)/2), 1),"")</f>
        <v/>
      </c>
      <c r="T188" s="137"/>
      <c r="U188" s="58" t="str" cm="1">
        <f>IFERROR(INDEX(List_Predictors, INDEX(Array_PredictorsLookup,MATCH($A188,List_PredictorFacilities,0),(COLUMN()-1)/2), 1),"")</f>
        <v/>
      </c>
      <c r="V188" s="137"/>
      <c r="W188" s="58" t="str" cm="1">
        <f>IFERROR(INDEX(List_Predictors, INDEX(Array_PredictorsLookup,MATCH($A188,List_PredictorFacilities,0),(COLUMN()-1)/2), 1),"")</f>
        <v/>
      </c>
      <c r="X188" s="137"/>
      <c r="Y188" s="58" t="str" cm="1">
        <f>IFERROR(INDEX(List_Predictors, INDEX(Array_PredictorsLookup,MATCH($A188,List_PredictorFacilities,0),(COLUMN()-1)/2), 1),"")</f>
        <v/>
      </c>
      <c r="Z188" s="137"/>
      <c r="AA188" s="58" t="str" cm="1">
        <f>IFERROR(INDEX(List_Predictors, INDEX(Array_PredictorsLookup,MATCH($A188,List_PredictorFacilities,0),(COLUMN()-1)/2), 1),"")</f>
        <v/>
      </c>
      <c r="AB188" s="137"/>
      <c r="AC188" s="58" t="str" cm="1">
        <f>IFERROR(INDEX(List_Predictors, INDEX(Array_PredictorsLookup,MATCH($A188,List_PredictorFacilities,0),(COLUMN()-1)/2), 1),"")</f>
        <v/>
      </c>
      <c r="AD188" s="137"/>
      <c r="AE188" s="58" t="str" cm="1">
        <f>IFERROR(INDEX(List_Predictors, INDEX(Array_PredictorsLookup,MATCH($A188,List_PredictorFacilities,0),(COLUMN()-1)/2), 1),"")</f>
        <v/>
      </c>
      <c r="AF188" s="137"/>
    </row>
    <row r="189" spans="1:32" x14ac:dyDescent="0.3">
      <c r="A189" s="126"/>
      <c r="B189" s="141"/>
      <c r="C189" s="58" t="str" cm="1">
        <f>IFERROR(INDEX(List_Predictors, INDEX(Array_PredictorsLookup,MATCH($A189,List_PredictorFacilities,0),(COLUMN()-1)/2), 1),"")</f>
        <v/>
      </c>
      <c r="D189" s="137"/>
      <c r="E189" s="58" t="str" cm="1">
        <f>IFERROR(INDEX(List_Predictors, INDEX(Array_PredictorsLookup,MATCH($A189,List_PredictorFacilities,0),(COLUMN()-1)/2), 1),"")</f>
        <v/>
      </c>
      <c r="F189" s="137"/>
      <c r="G189" s="58" t="str" cm="1">
        <f>IFERROR(INDEX(List_Predictors, INDEX(Array_PredictorsLookup,MATCH($A189,List_PredictorFacilities,0),(COLUMN()-1)/2), 1),"")</f>
        <v/>
      </c>
      <c r="H189" s="137"/>
      <c r="I189" s="58" t="str" cm="1">
        <f>IFERROR(INDEX(List_Predictors, INDEX(Array_PredictorsLookup,MATCH($A189,List_PredictorFacilities,0),(COLUMN()-1)/2), 1),"")</f>
        <v/>
      </c>
      <c r="J189" s="137"/>
      <c r="K189" s="58" t="str" cm="1">
        <f>IFERROR(INDEX(List_Predictors, INDEX(Array_PredictorsLookup,MATCH($A189,List_PredictorFacilities,0),(COLUMN()-1)/2), 1),"")</f>
        <v/>
      </c>
      <c r="L189" s="137"/>
      <c r="M189" s="58" t="str" cm="1">
        <f>IFERROR(INDEX(List_Predictors, INDEX(Array_PredictorsLookup,MATCH($A189,List_PredictorFacilities,0),(COLUMN()-1)/2), 1),"")</f>
        <v/>
      </c>
      <c r="N189" s="137"/>
      <c r="O189" s="58" t="str" cm="1">
        <f>IFERROR(INDEX(List_Predictors, INDEX(Array_PredictorsLookup,MATCH($A189,List_PredictorFacilities,0),(COLUMN()-1)/2), 1),"")</f>
        <v/>
      </c>
      <c r="P189" s="137"/>
      <c r="Q189" s="58" t="str" cm="1">
        <f>IFERROR(INDEX(List_Predictors, INDEX(Array_PredictorsLookup,MATCH($A189,List_PredictorFacilities,0),(COLUMN()-1)/2), 1),"")</f>
        <v/>
      </c>
      <c r="R189" s="137"/>
      <c r="S189" s="58" t="str" cm="1">
        <f>IFERROR(INDEX(List_Predictors, INDEX(Array_PredictorsLookup,MATCH($A189,List_PredictorFacilities,0),(COLUMN()-1)/2), 1),"")</f>
        <v/>
      </c>
      <c r="T189" s="137"/>
      <c r="U189" s="58" t="str" cm="1">
        <f>IFERROR(INDEX(List_Predictors, INDEX(Array_PredictorsLookup,MATCH($A189,List_PredictorFacilities,0),(COLUMN()-1)/2), 1),"")</f>
        <v/>
      </c>
      <c r="V189" s="137"/>
      <c r="W189" s="58" t="str" cm="1">
        <f>IFERROR(INDEX(List_Predictors, INDEX(Array_PredictorsLookup,MATCH($A189,List_PredictorFacilities,0),(COLUMN()-1)/2), 1),"")</f>
        <v/>
      </c>
      <c r="X189" s="137"/>
      <c r="Y189" s="58" t="str" cm="1">
        <f>IFERROR(INDEX(List_Predictors, INDEX(Array_PredictorsLookup,MATCH($A189,List_PredictorFacilities,0),(COLUMN()-1)/2), 1),"")</f>
        <v/>
      </c>
      <c r="Z189" s="137"/>
      <c r="AA189" s="58" t="str" cm="1">
        <f>IFERROR(INDEX(List_Predictors, INDEX(Array_PredictorsLookup,MATCH($A189,List_PredictorFacilities,0),(COLUMN()-1)/2), 1),"")</f>
        <v/>
      </c>
      <c r="AB189" s="137"/>
      <c r="AC189" s="58" t="str" cm="1">
        <f>IFERROR(INDEX(List_Predictors, INDEX(Array_PredictorsLookup,MATCH($A189,List_PredictorFacilities,0),(COLUMN()-1)/2), 1),"")</f>
        <v/>
      </c>
      <c r="AD189" s="137"/>
      <c r="AE189" s="58" t="str" cm="1">
        <f>IFERROR(INDEX(List_Predictors, INDEX(Array_PredictorsLookup,MATCH($A189,List_PredictorFacilities,0),(COLUMN()-1)/2), 1),"")</f>
        <v/>
      </c>
      <c r="AF189" s="137"/>
    </row>
    <row r="190" spans="1:32" x14ac:dyDescent="0.3">
      <c r="A190" s="126"/>
      <c r="B190" s="141"/>
      <c r="C190" s="58" t="str" cm="1">
        <f>IFERROR(INDEX(List_Predictors, INDEX(Array_PredictorsLookup,MATCH($A190,List_PredictorFacilities,0),(COLUMN()-1)/2), 1),"")</f>
        <v/>
      </c>
      <c r="D190" s="137"/>
      <c r="E190" s="58" t="str" cm="1">
        <f>IFERROR(INDEX(List_Predictors, INDEX(Array_PredictorsLookup,MATCH($A190,List_PredictorFacilities,0),(COLUMN()-1)/2), 1),"")</f>
        <v/>
      </c>
      <c r="F190" s="137"/>
      <c r="G190" s="58" t="str" cm="1">
        <f>IFERROR(INDEX(List_Predictors, INDEX(Array_PredictorsLookup,MATCH($A190,List_PredictorFacilities,0),(COLUMN()-1)/2), 1),"")</f>
        <v/>
      </c>
      <c r="H190" s="137"/>
      <c r="I190" s="58" t="str" cm="1">
        <f>IFERROR(INDEX(List_Predictors, INDEX(Array_PredictorsLookup,MATCH($A190,List_PredictorFacilities,0),(COLUMN()-1)/2), 1),"")</f>
        <v/>
      </c>
      <c r="J190" s="137"/>
      <c r="K190" s="58" t="str" cm="1">
        <f>IFERROR(INDEX(List_Predictors, INDEX(Array_PredictorsLookup,MATCH($A190,List_PredictorFacilities,0),(COLUMN()-1)/2), 1),"")</f>
        <v/>
      </c>
      <c r="L190" s="137"/>
      <c r="M190" s="58" t="str" cm="1">
        <f>IFERROR(INDEX(List_Predictors, INDEX(Array_PredictorsLookup,MATCH($A190,List_PredictorFacilities,0),(COLUMN()-1)/2), 1),"")</f>
        <v/>
      </c>
      <c r="N190" s="137"/>
      <c r="O190" s="58" t="str" cm="1">
        <f>IFERROR(INDEX(List_Predictors, INDEX(Array_PredictorsLookup,MATCH($A190,List_PredictorFacilities,0),(COLUMN()-1)/2), 1),"")</f>
        <v/>
      </c>
      <c r="P190" s="137"/>
      <c r="Q190" s="58" t="str" cm="1">
        <f>IFERROR(INDEX(List_Predictors, INDEX(Array_PredictorsLookup,MATCH($A190,List_PredictorFacilities,0),(COLUMN()-1)/2), 1),"")</f>
        <v/>
      </c>
      <c r="R190" s="137"/>
      <c r="S190" s="58" t="str" cm="1">
        <f>IFERROR(INDEX(List_Predictors, INDEX(Array_PredictorsLookup,MATCH($A190,List_PredictorFacilities,0),(COLUMN()-1)/2), 1),"")</f>
        <v/>
      </c>
      <c r="T190" s="137"/>
      <c r="U190" s="58" t="str" cm="1">
        <f>IFERROR(INDEX(List_Predictors, INDEX(Array_PredictorsLookup,MATCH($A190,List_PredictorFacilities,0),(COLUMN()-1)/2), 1),"")</f>
        <v/>
      </c>
      <c r="V190" s="137"/>
      <c r="W190" s="58" t="str" cm="1">
        <f>IFERROR(INDEX(List_Predictors, INDEX(Array_PredictorsLookup,MATCH($A190,List_PredictorFacilities,0),(COLUMN()-1)/2), 1),"")</f>
        <v/>
      </c>
      <c r="X190" s="137"/>
      <c r="Y190" s="58" t="str" cm="1">
        <f>IFERROR(INDEX(List_Predictors, INDEX(Array_PredictorsLookup,MATCH($A190,List_PredictorFacilities,0),(COLUMN()-1)/2), 1),"")</f>
        <v/>
      </c>
      <c r="Z190" s="137"/>
      <c r="AA190" s="58" t="str" cm="1">
        <f>IFERROR(INDEX(List_Predictors, INDEX(Array_PredictorsLookup,MATCH($A190,List_PredictorFacilities,0),(COLUMN()-1)/2), 1),"")</f>
        <v/>
      </c>
      <c r="AB190" s="137"/>
      <c r="AC190" s="58" t="str" cm="1">
        <f>IFERROR(INDEX(List_Predictors, INDEX(Array_PredictorsLookup,MATCH($A190,List_PredictorFacilities,0),(COLUMN()-1)/2), 1),"")</f>
        <v/>
      </c>
      <c r="AD190" s="137"/>
      <c r="AE190" s="58" t="str" cm="1">
        <f>IFERROR(INDEX(List_Predictors, INDEX(Array_PredictorsLookup,MATCH($A190,List_PredictorFacilities,0),(COLUMN()-1)/2), 1),"")</f>
        <v/>
      </c>
      <c r="AF190" s="137"/>
    </row>
    <row r="191" spans="1:32" x14ac:dyDescent="0.3">
      <c r="A191" s="126"/>
      <c r="B191" s="141"/>
      <c r="C191" s="58" t="str" cm="1">
        <f>IFERROR(INDEX(List_Predictors, INDEX(Array_PredictorsLookup,MATCH($A191,List_PredictorFacilities,0),(COLUMN()-1)/2), 1),"")</f>
        <v/>
      </c>
      <c r="D191" s="137"/>
      <c r="E191" s="58" t="str" cm="1">
        <f>IFERROR(INDEX(List_Predictors, INDEX(Array_PredictorsLookup,MATCH($A191,List_PredictorFacilities,0),(COLUMN()-1)/2), 1),"")</f>
        <v/>
      </c>
      <c r="F191" s="137"/>
      <c r="G191" s="58" t="str" cm="1">
        <f>IFERROR(INDEX(List_Predictors, INDEX(Array_PredictorsLookup,MATCH($A191,List_PredictorFacilities,0),(COLUMN()-1)/2), 1),"")</f>
        <v/>
      </c>
      <c r="H191" s="137"/>
      <c r="I191" s="58" t="str" cm="1">
        <f>IFERROR(INDEX(List_Predictors, INDEX(Array_PredictorsLookup,MATCH($A191,List_PredictorFacilities,0),(COLUMN()-1)/2), 1),"")</f>
        <v/>
      </c>
      <c r="J191" s="137"/>
      <c r="K191" s="58" t="str" cm="1">
        <f>IFERROR(INDEX(List_Predictors, INDEX(Array_PredictorsLookup,MATCH($A191,List_PredictorFacilities,0),(COLUMN()-1)/2), 1),"")</f>
        <v/>
      </c>
      <c r="L191" s="137"/>
      <c r="M191" s="58" t="str" cm="1">
        <f>IFERROR(INDEX(List_Predictors, INDEX(Array_PredictorsLookup,MATCH($A191,List_PredictorFacilities,0),(COLUMN()-1)/2), 1),"")</f>
        <v/>
      </c>
      <c r="N191" s="137"/>
      <c r="O191" s="58" t="str" cm="1">
        <f>IFERROR(INDEX(List_Predictors, INDEX(Array_PredictorsLookup,MATCH($A191,List_PredictorFacilities,0),(COLUMN()-1)/2), 1),"")</f>
        <v/>
      </c>
      <c r="P191" s="137"/>
      <c r="Q191" s="58" t="str" cm="1">
        <f>IFERROR(INDEX(List_Predictors, INDEX(Array_PredictorsLookup,MATCH($A191,List_PredictorFacilities,0),(COLUMN()-1)/2), 1),"")</f>
        <v/>
      </c>
      <c r="R191" s="137"/>
      <c r="S191" s="58" t="str" cm="1">
        <f>IFERROR(INDEX(List_Predictors, INDEX(Array_PredictorsLookup,MATCH($A191,List_PredictorFacilities,0),(COLUMN()-1)/2), 1),"")</f>
        <v/>
      </c>
      <c r="T191" s="137"/>
      <c r="U191" s="58" t="str" cm="1">
        <f>IFERROR(INDEX(List_Predictors, INDEX(Array_PredictorsLookup,MATCH($A191,List_PredictorFacilities,0),(COLUMN()-1)/2), 1),"")</f>
        <v/>
      </c>
      <c r="V191" s="137"/>
      <c r="W191" s="58" t="str" cm="1">
        <f>IFERROR(INDEX(List_Predictors, INDEX(Array_PredictorsLookup,MATCH($A191,List_PredictorFacilities,0),(COLUMN()-1)/2), 1),"")</f>
        <v/>
      </c>
      <c r="X191" s="137"/>
      <c r="Y191" s="58" t="str" cm="1">
        <f>IFERROR(INDEX(List_Predictors, INDEX(Array_PredictorsLookup,MATCH($A191,List_PredictorFacilities,0),(COLUMN()-1)/2), 1),"")</f>
        <v/>
      </c>
      <c r="Z191" s="137"/>
      <c r="AA191" s="58" t="str" cm="1">
        <f>IFERROR(INDEX(List_Predictors, INDEX(Array_PredictorsLookup,MATCH($A191,List_PredictorFacilities,0),(COLUMN()-1)/2), 1),"")</f>
        <v/>
      </c>
      <c r="AB191" s="137"/>
      <c r="AC191" s="58" t="str" cm="1">
        <f>IFERROR(INDEX(List_Predictors, INDEX(Array_PredictorsLookup,MATCH($A191,List_PredictorFacilities,0),(COLUMN()-1)/2), 1),"")</f>
        <v/>
      </c>
      <c r="AD191" s="137"/>
      <c r="AE191" s="58" t="str" cm="1">
        <f>IFERROR(INDEX(List_Predictors, INDEX(Array_PredictorsLookup,MATCH($A191,List_PredictorFacilities,0),(COLUMN()-1)/2), 1),"")</f>
        <v/>
      </c>
      <c r="AF191" s="137"/>
    </row>
    <row r="192" spans="1:32" x14ac:dyDescent="0.3">
      <c r="A192" s="126"/>
      <c r="B192" s="141"/>
      <c r="C192" s="58" t="str" cm="1">
        <f>IFERROR(INDEX(List_Predictors, INDEX(Array_PredictorsLookup,MATCH($A192,List_PredictorFacilities,0),(COLUMN()-1)/2), 1),"")</f>
        <v/>
      </c>
      <c r="D192" s="137"/>
      <c r="E192" s="58" t="str" cm="1">
        <f>IFERROR(INDEX(List_Predictors, INDEX(Array_PredictorsLookup,MATCH($A192,List_PredictorFacilities,0),(COLUMN()-1)/2), 1),"")</f>
        <v/>
      </c>
      <c r="F192" s="137"/>
      <c r="G192" s="58" t="str" cm="1">
        <f>IFERROR(INDEX(List_Predictors, INDEX(Array_PredictorsLookup,MATCH($A192,List_PredictorFacilities,0),(COLUMN()-1)/2), 1),"")</f>
        <v/>
      </c>
      <c r="H192" s="137"/>
      <c r="I192" s="58" t="str" cm="1">
        <f>IFERROR(INDEX(List_Predictors, INDEX(Array_PredictorsLookup,MATCH($A192,List_PredictorFacilities,0),(COLUMN()-1)/2), 1),"")</f>
        <v/>
      </c>
      <c r="J192" s="137"/>
      <c r="K192" s="58" t="str" cm="1">
        <f>IFERROR(INDEX(List_Predictors, INDEX(Array_PredictorsLookup,MATCH($A192,List_PredictorFacilities,0),(COLUMN()-1)/2), 1),"")</f>
        <v/>
      </c>
      <c r="L192" s="137"/>
      <c r="M192" s="58" t="str" cm="1">
        <f>IFERROR(INDEX(List_Predictors, INDEX(Array_PredictorsLookup,MATCH($A192,List_PredictorFacilities,0),(COLUMN()-1)/2), 1),"")</f>
        <v/>
      </c>
      <c r="N192" s="137"/>
      <c r="O192" s="58" t="str" cm="1">
        <f>IFERROR(INDEX(List_Predictors, INDEX(Array_PredictorsLookup,MATCH($A192,List_PredictorFacilities,0),(COLUMN()-1)/2), 1),"")</f>
        <v/>
      </c>
      <c r="P192" s="137"/>
      <c r="Q192" s="58" t="str" cm="1">
        <f>IFERROR(INDEX(List_Predictors, INDEX(Array_PredictorsLookup,MATCH($A192,List_PredictorFacilities,0),(COLUMN()-1)/2), 1),"")</f>
        <v/>
      </c>
      <c r="R192" s="137"/>
      <c r="S192" s="58" t="str" cm="1">
        <f>IFERROR(INDEX(List_Predictors, INDEX(Array_PredictorsLookup,MATCH($A192,List_PredictorFacilities,0),(COLUMN()-1)/2), 1),"")</f>
        <v/>
      </c>
      <c r="T192" s="137"/>
      <c r="U192" s="58" t="str" cm="1">
        <f>IFERROR(INDEX(List_Predictors, INDEX(Array_PredictorsLookup,MATCH($A192,List_PredictorFacilities,0),(COLUMN()-1)/2), 1),"")</f>
        <v/>
      </c>
      <c r="V192" s="137"/>
      <c r="W192" s="58" t="str" cm="1">
        <f>IFERROR(INDEX(List_Predictors, INDEX(Array_PredictorsLookup,MATCH($A192,List_PredictorFacilities,0),(COLUMN()-1)/2), 1),"")</f>
        <v/>
      </c>
      <c r="X192" s="137"/>
      <c r="Y192" s="58" t="str" cm="1">
        <f>IFERROR(INDEX(List_Predictors, INDEX(Array_PredictorsLookup,MATCH($A192,List_PredictorFacilities,0),(COLUMN()-1)/2), 1),"")</f>
        <v/>
      </c>
      <c r="Z192" s="137"/>
      <c r="AA192" s="58" t="str" cm="1">
        <f>IFERROR(INDEX(List_Predictors, INDEX(Array_PredictorsLookup,MATCH($A192,List_PredictorFacilities,0),(COLUMN()-1)/2), 1),"")</f>
        <v/>
      </c>
      <c r="AB192" s="137"/>
      <c r="AC192" s="58" t="str" cm="1">
        <f>IFERROR(INDEX(List_Predictors, INDEX(Array_PredictorsLookup,MATCH($A192,List_PredictorFacilities,0),(COLUMN()-1)/2), 1),"")</f>
        <v/>
      </c>
      <c r="AD192" s="137"/>
      <c r="AE192" s="58" t="str" cm="1">
        <f>IFERROR(INDEX(List_Predictors, INDEX(Array_PredictorsLookup,MATCH($A192,List_PredictorFacilities,0),(COLUMN()-1)/2), 1),"")</f>
        <v/>
      </c>
      <c r="AF192" s="137"/>
    </row>
    <row r="193" spans="1:32" x14ac:dyDescent="0.3">
      <c r="A193" s="126"/>
      <c r="B193" s="141"/>
      <c r="C193" s="58" t="str" cm="1">
        <f>IFERROR(INDEX(List_Predictors, INDEX(Array_PredictorsLookup,MATCH($A193,List_PredictorFacilities,0),(COLUMN()-1)/2), 1),"")</f>
        <v/>
      </c>
      <c r="D193" s="137"/>
      <c r="E193" s="58" t="str" cm="1">
        <f>IFERROR(INDEX(List_Predictors, INDEX(Array_PredictorsLookup,MATCH($A193,List_PredictorFacilities,0),(COLUMN()-1)/2), 1),"")</f>
        <v/>
      </c>
      <c r="F193" s="137"/>
      <c r="G193" s="58" t="str" cm="1">
        <f>IFERROR(INDEX(List_Predictors, INDEX(Array_PredictorsLookup,MATCH($A193,List_PredictorFacilities,0),(COLUMN()-1)/2), 1),"")</f>
        <v/>
      </c>
      <c r="H193" s="137"/>
      <c r="I193" s="58" t="str" cm="1">
        <f>IFERROR(INDEX(List_Predictors, INDEX(Array_PredictorsLookup,MATCH($A193,List_PredictorFacilities,0),(COLUMN()-1)/2), 1),"")</f>
        <v/>
      </c>
      <c r="J193" s="137"/>
      <c r="K193" s="58" t="str" cm="1">
        <f>IFERROR(INDEX(List_Predictors, INDEX(Array_PredictorsLookup,MATCH($A193,List_PredictorFacilities,0),(COLUMN()-1)/2), 1),"")</f>
        <v/>
      </c>
      <c r="L193" s="137"/>
      <c r="M193" s="58" t="str" cm="1">
        <f>IFERROR(INDEX(List_Predictors, INDEX(Array_PredictorsLookup,MATCH($A193,List_PredictorFacilities,0),(COLUMN()-1)/2), 1),"")</f>
        <v/>
      </c>
      <c r="N193" s="137"/>
      <c r="O193" s="58" t="str" cm="1">
        <f>IFERROR(INDEX(List_Predictors, INDEX(Array_PredictorsLookup,MATCH($A193,List_PredictorFacilities,0),(COLUMN()-1)/2), 1),"")</f>
        <v/>
      </c>
      <c r="P193" s="137"/>
      <c r="Q193" s="58" t="str" cm="1">
        <f>IFERROR(INDEX(List_Predictors, INDEX(Array_PredictorsLookup,MATCH($A193,List_PredictorFacilities,0),(COLUMN()-1)/2), 1),"")</f>
        <v/>
      </c>
      <c r="R193" s="137"/>
      <c r="S193" s="58" t="str" cm="1">
        <f>IFERROR(INDEX(List_Predictors, INDEX(Array_PredictorsLookup,MATCH($A193,List_PredictorFacilities,0),(COLUMN()-1)/2), 1),"")</f>
        <v/>
      </c>
      <c r="T193" s="137"/>
      <c r="U193" s="58" t="str" cm="1">
        <f>IFERROR(INDEX(List_Predictors, INDEX(Array_PredictorsLookup,MATCH($A193,List_PredictorFacilities,0),(COLUMN()-1)/2), 1),"")</f>
        <v/>
      </c>
      <c r="V193" s="137"/>
      <c r="W193" s="58" t="str" cm="1">
        <f>IFERROR(INDEX(List_Predictors, INDEX(Array_PredictorsLookup,MATCH($A193,List_PredictorFacilities,0),(COLUMN()-1)/2), 1),"")</f>
        <v/>
      </c>
      <c r="X193" s="137"/>
      <c r="Y193" s="58" t="str" cm="1">
        <f>IFERROR(INDEX(List_Predictors, INDEX(Array_PredictorsLookup,MATCH($A193,List_PredictorFacilities,0),(COLUMN()-1)/2), 1),"")</f>
        <v/>
      </c>
      <c r="Z193" s="137"/>
      <c r="AA193" s="58" t="str" cm="1">
        <f>IFERROR(INDEX(List_Predictors, INDEX(Array_PredictorsLookup,MATCH($A193,List_PredictorFacilities,0),(COLUMN()-1)/2), 1),"")</f>
        <v/>
      </c>
      <c r="AB193" s="137"/>
      <c r="AC193" s="58" t="str" cm="1">
        <f>IFERROR(INDEX(List_Predictors, INDEX(Array_PredictorsLookup,MATCH($A193,List_PredictorFacilities,0),(COLUMN()-1)/2), 1),"")</f>
        <v/>
      </c>
      <c r="AD193" s="137"/>
      <c r="AE193" s="58" t="str" cm="1">
        <f>IFERROR(INDEX(List_Predictors, INDEX(Array_PredictorsLookup,MATCH($A193,List_PredictorFacilities,0),(COLUMN()-1)/2), 1),"")</f>
        <v/>
      </c>
      <c r="AF193" s="137"/>
    </row>
    <row r="194" spans="1:32" x14ac:dyDescent="0.3">
      <c r="A194" s="126"/>
      <c r="B194" s="141"/>
      <c r="C194" s="58" t="str" cm="1">
        <f>IFERROR(INDEX(List_Predictors, INDEX(Array_PredictorsLookup,MATCH($A194,List_PredictorFacilities,0),(COLUMN()-1)/2), 1),"")</f>
        <v/>
      </c>
      <c r="D194" s="137"/>
      <c r="E194" s="58" t="str" cm="1">
        <f>IFERROR(INDEX(List_Predictors, INDEX(Array_PredictorsLookup,MATCH($A194,List_PredictorFacilities,0),(COLUMN()-1)/2), 1),"")</f>
        <v/>
      </c>
      <c r="F194" s="137"/>
      <c r="G194" s="58" t="str" cm="1">
        <f>IFERROR(INDEX(List_Predictors, INDEX(Array_PredictorsLookup,MATCH($A194,List_PredictorFacilities,0),(COLUMN()-1)/2), 1),"")</f>
        <v/>
      </c>
      <c r="H194" s="137"/>
      <c r="I194" s="58" t="str" cm="1">
        <f>IFERROR(INDEX(List_Predictors, INDEX(Array_PredictorsLookup,MATCH($A194,List_PredictorFacilities,0),(COLUMN()-1)/2), 1),"")</f>
        <v/>
      </c>
      <c r="J194" s="137"/>
      <c r="K194" s="58" t="str" cm="1">
        <f>IFERROR(INDEX(List_Predictors, INDEX(Array_PredictorsLookup,MATCH($A194,List_PredictorFacilities,0),(COLUMN()-1)/2), 1),"")</f>
        <v/>
      </c>
      <c r="L194" s="137"/>
      <c r="M194" s="58" t="str" cm="1">
        <f>IFERROR(INDEX(List_Predictors, INDEX(Array_PredictorsLookup,MATCH($A194,List_PredictorFacilities,0),(COLUMN()-1)/2), 1),"")</f>
        <v/>
      </c>
      <c r="N194" s="137"/>
      <c r="O194" s="58" t="str" cm="1">
        <f>IFERROR(INDEX(List_Predictors, INDEX(Array_PredictorsLookup,MATCH($A194,List_PredictorFacilities,0),(COLUMN()-1)/2), 1),"")</f>
        <v/>
      </c>
      <c r="P194" s="137"/>
      <c r="Q194" s="58" t="str" cm="1">
        <f>IFERROR(INDEX(List_Predictors, INDEX(Array_PredictorsLookup,MATCH($A194,List_PredictorFacilities,0),(COLUMN()-1)/2), 1),"")</f>
        <v/>
      </c>
      <c r="R194" s="137"/>
      <c r="S194" s="58" t="str" cm="1">
        <f>IFERROR(INDEX(List_Predictors, INDEX(Array_PredictorsLookup,MATCH($A194,List_PredictorFacilities,0),(COLUMN()-1)/2), 1),"")</f>
        <v/>
      </c>
      <c r="T194" s="137"/>
      <c r="U194" s="58" t="str" cm="1">
        <f>IFERROR(INDEX(List_Predictors, INDEX(Array_PredictorsLookup,MATCH($A194,List_PredictorFacilities,0),(COLUMN()-1)/2), 1),"")</f>
        <v/>
      </c>
      <c r="V194" s="137"/>
      <c r="W194" s="58" t="str" cm="1">
        <f>IFERROR(INDEX(List_Predictors, INDEX(Array_PredictorsLookup,MATCH($A194,List_PredictorFacilities,0),(COLUMN()-1)/2), 1),"")</f>
        <v/>
      </c>
      <c r="X194" s="137"/>
      <c r="Y194" s="58" t="str" cm="1">
        <f>IFERROR(INDEX(List_Predictors, INDEX(Array_PredictorsLookup,MATCH($A194,List_PredictorFacilities,0),(COLUMN()-1)/2), 1),"")</f>
        <v/>
      </c>
      <c r="Z194" s="137"/>
      <c r="AA194" s="58" t="str" cm="1">
        <f>IFERROR(INDEX(List_Predictors, INDEX(Array_PredictorsLookup,MATCH($A194,List_PredictorFacilities,0),(COLUMN()-1)/2), 1),"")</f>
        <v/>
      </c>
      <c r="AB194" s="137"/>
      <c r="AC194" s="58" t="str" cm="1">
        <f>IFERROR(INDEX(List_Predictors, INDEX(Array_PredictorsLookup,MATCH($A194,List_PredictorFacilities,0),(COLUMN()-1)/2), 1),"")</f>
        <v/>
      </c>
      <c r="AD194" s="137"/>
      <c r="AE194" s="58" t="str" cm="1">
        <f>IFERROR(INDEX(List_Predictors, INDEX(Array_PredictorsLookup,MATCH($A194,List_PredictorFacilities,0),(COLUMN()-1)/2), 1),"")</f>
        <v/>
      </c>
      <c r="AF194" s="137"/>
    </row>
    <row r="195" spans="1:32" x14ac:dyDescent="0.3">
      <c r="A195" s="126"/>
      <c r="B195" s="141"/>
      <c r="C195" s="58" t="str" cm="1">
        <f>IFERROR(INDEX(List_Predictors, INDEX(Array_PredictorsLookup,MATCH($A195,List_PredictorFacilities,0),(COLUMN()-1)/2), 1),"")</f>
        <v/>
      </c>
      <c r="D195" s="137"/>
      <c r="E195" s="58" t="str" cm="1">
        <f>IFERROR(INDEX(List_Predictors, INDEX(Array_PredictorsLookup,MATCH($A195,List_PredictorFacilities,0),(COLUMN()-1)/2), 1),"")</f>
        <v/>
      </c>
      <c r="F195" s="137"/>
      <c r="G195" s="58" t="str" cm="1">
        <f>IFERROR(INDEX(List_Predictors, INDEX(Array_PredictorsLookup,MATCH($A195,List_PredictorFacilities,0),(COLUMN()-1)/2), 1),"")</f>
        <v/>
      </c>
      <c r="H195" s="137"/>
      <c r="I195" s="58" t="str" cm="1">
        <f>IFERROR(INDEX(List_Predictors, INDEX(Array_PredictorsLookup,MATCH($A195,List_PredictorFacilities,0),(COLUMN()-1)/2), 1),"")</f>
        <v/>
      </c>
      <c r="J195" s="137"/>
      <c r="K195" s="58" t="str" cm="1">
        <f>IFERROR(INDEX(List_Predictors, INDEX(Array_PredictorsLookup,MATCH($A195,List_PredictorFacilities,0),(COLUMN()-1)/2), 1),"")</f>
        <v/>
      </c>
      <c r="L195" s="137"/>
      <c r="M195" s="58" t="str" cm="1">
        <f>IFERROR(INDEX(List_Predictors, INDEX(Array_PredictorsLookup,MATCH($A195,List_PredictorFacilities,0),(COLUMN()-1)/2), 1),"")</f>
        <v/>
      </c>
      <c r="N195" s="137"/>
      <c r="O195" s="58" t="str" cm="1">
        <f>IFERROR(INDEX(List_Predictors, INDEX(Array_PredictorsLookup,MATCH($A195,List_PredictorFacilities,0),(COLUMN()-1)/2), 1),"")</f>
        <v/>
      </c>
      <c r="P195" s="137"/>
      <c r="Q195" s="58" t="str" cm="1">
        <f>IFERROR(INDEX(List_Predictors, INDEX(Array_PredictorsLookup,MATCH($A195,List_PredictorFacilities,0),(COLUMN()-1)/2), 1),"")</f>
        <v/>
      </c>
      <c r="R195" s="137"/>
      <c r="S195" s="58" t="str" cm="1">
        <f>IFERROR(INDEX(List_Predictors, INDEX(Array_PredictorsLookup,MATCH($A195,List_PredictorFacilities,0),(COLUMN()-1)/2), 1),"")</f>
        <v/>
      </c>
      <c r="T195" s="137"/>
      <c r="U195" s="58" t="str" cm="1">
        <f>IFERROR(INDEX(List_Predictors, INDEX(Array_PredictorsLookup,MATCH($A195,List_PredictorFacilities,0),(COLUMN()-1)/2), 1),"")</f>
        <v/>
      </c>
      <c r="V195" s="137"/>
      <c r="W195" s="58" t="str" cm="1">
        <f>IFERROR(INDEX(List_Predictors, INDEX(Array_PredictorsLookup,MATCH($A195,List_PredictorFacilities,0),(COLUMN()-1)/2), 1),"")</f>
        <v/>
      </c>
      <c r="X195" s="137"/>
      <c r="Y195" s="58" t="str" cm="1">
        <f>IFERROR(INDEX(List_Predictors, INDEX(Array_PredictorsLookup,MATCH($A195,List_PredictorFacilities,0),(COLUMN()-1)/2), 1),"")</f>
        <v/>
      </c>
      <c r="Z195" s="137"/>
      <c r="AA195" s="58" t="str" cm="1">
        <f>IFERROR(INDEX(List_Predictors, INDEX(Array_PredictorsLookup,MATCH($A195,List_PredictorFacilities,0),(COLUMN()-1)/2), 1),"")</f>
        <v/>
      </c>
      <c r="AB195" s="137"/>
      <c r="AC195" s="58" t="str" cm="1">
        <f>IFERROR(INDEX(List_Predictors, INDEX(Array_PredictorsLookup,MATCH($A195,List_PredictorFacilities,0),(COLUMN()-1)/2), 1),"")</f>
        <v/>
      </c>
      <c r="AD195" s="137"/>
      <c r="AE195" s="58" t="str" cm="1">
        <f>IFERROR(INDEX(List_Predictors, INDEX(Array_PredictorsLookup,MATCH($A195,List_PredictorFacilities,0),(COLUMN()-1)/2), 1),"")</f>
        <v/>
      </c>
      <c r="AF195" s="137"/>
    </row>
    <row r="196" spans="1:32" x14ac:dyDescent="0.3">
      <c r="A196" s="126"/>
      <c r="B196" s="141"/>
      <c r="C196" s="58" t="str" cm="1">
        <f>IFERROR(INDEX(List_Predictors, INDEX(Array_PredictorsLookup,MATCH($A196,List_PredictorFacilities,0),(COLUMN()-1)/2), 1),"")</f>
        <v/>
      </c>
      <c r="D196" s="137"/>
      <c r="E196" s="58" t="str" cm="1">
        <f>IFERROR(INDEX(List_Predictors, INDEX(Array_PredictorsLookup,MATCH($A196,List_PredictorFacilities,0),(COLUMN()-1)/2), 1),"")</f>
        <v/>
      </c>
      <c r="F196" s="137"/>
      <c r="G196" s="58" t="str" cm="1">
        <f>IFERROR(INDEX(List_Predictors, INDEX(Array_PredictorsLookup,MATCH($A196,List_PredictorFacilities,0),(COLUMN()-1)/2), 1),"")</f>
        <v/>
      </c>
      <c r="H196" s="137"/>
      <c r="I196" s="58" t="str" cm="1">
        <f>IFERROR(INDEX(List_Predictors, INDEX(Array_PredictorsLookup,MATCH($A196,List_PredictorFacilities,0),(COLUMN()-1)/2), 1),"")</f>
        <v/>
      </c>
      <c r="J196" s="137"/>
      <c r="K196" s="58" t="str" cm="1">
        <f>IFERROR(INDEX(List_Predictors, INDEX(Array_PredictorsLookup,MATCH($A196,List_PredictorFacilities,0),(COLUMN()-1)/2), 1),"")</f>
        <v/>
      </c>
      <c r="L196" s="137"/>
      <c r="M196" s="58" t="str" cm="1">
        <f>IFERROR(INDEX(List_Predictors, INDEX(Array_PredictorsLookup,MATCH($A196,List_PredictorFacilities,0),(COLUMN()-1)/2), 1),"")</f>
        <v/>
      </c>
      <c r="N196" s="137"/>
      <c r="O196" s="58" t="str" cm="1">
        <f>IFERROR(INDEX(List_Predictors, INDEX(Array_PredictorsLookup,MATCH($A196,List_PredictorFacilities,0),(COLUMN()-1)/2), 1),"")</f>
        <v/>
      </c>
      <c r="P196" s="137"/>
      <c r="Q196" s="58" t="str" cm="1">
        <f>IFERROR(INDEX(List_Predictors, INDEX(Array_PredictorsLookup,MATCH($A196,List_PredictorFacilities,0),(COLUMN()-1)/2), 1),"")</f>
        <v/>
      </c>
      <c r="R196" s="137"/>
      <c r="S196" s="58" t="str" cm="1">
        <f>IFERROR(INDEX(List_Predictors, INDEX(Array_PredictorsLookup,MATCH($A196,List_PredictorFacilities,0),(COLUMN()-1)/2), 1),"")</f>
        <v/>
      </c>
      <c r="T196" s="137"/>
      <c r="U196" s="58" t="str" cm="1">
        <f>IFERROR(INDEX(List_Predictors, INDEX(Array_PredictorsLookup,MATCH($A196,List_PredictorFacilities,0),(COLUMN()-1)/2), 1),"")</f>
        <v/>
      </c>
      <c r="V196" s="137"/>
      <c r="W196" s="58" t="str" cm="1">
        <f>IFERROR(INDEX(List_Predictors, INDEX(Array_PredictorsLookup,MATCH($A196,List_PredictorFacilities,0),(COLUMN()-1)/2), 1),"")</f>
        <v/>
      </c>
      <c r="X196" s="137"/>
      <c r="Y196" s="58" t="str" cm="1">
        <f>IFERROR(INDEX(List_Predictors, INDEX(Array_PredictorsLookup,MATCH($A196,List_PredictorFacilities,0),(COLUMN()-1)/2), 1),"")</f>
        <v/>
      </c>
      <c r="Z196" s="137"/>
      <c r="AA196" s="58" t="str" cm="1">
        <f>IFERROR(INDEX(List_Predictors, INDEX(Array_PredictorsLookup,MATCH($A196,List_PredictorFacilities,0),(COLUMN()-1)/2), 1),"")</f>
        <v/>
      </c>
      <c r="AB196" s="137"/>
      <c r="AC196" s="58" t="str" cm="1">
        <f>IFERROR(INDEX(List_Predictors, INDEX(Array_PredictorsLookup,MATCH($A196,List_PredictorFacilities,0),(COLUMN()-1)/2), 1),"")</f>
        <v/>
      </c>
      <c r="AD196" s="137"/>
      <c r="AE196" s="58" t="str" cm="1">
        <f>IFERROR(INDEX(List_Predictors, INDEX(Array_PredictorsLookup,MATCH($A196,List_PredictorFacilities,0),(COLUMN()-1)/2), 1),"")</f>
        <v/>
      </c>
      <c r="AF196" s="137"/>
    </row>
    <row r="197" spans="1:32" x14ac:dyDescent="0.3">
      <c r="A197" s="126"/>
      <c r="B197" s="141"/>
      <c r="C197" s="58" t="str" cm="1">
        <f>IFERROR(INDEX(List_Predictors, INDEX(Array_PredictorsLookup,MATCH($A197,List_PredictorFacilities,0),(COLUMN()-1)/2), 1),"")</f>
        <v/>
      </c>
      <c r="D197" s="137"/>
      <c r="E197" s="58" t="str" cm="1">
        <f>IFERROR(INDEX(List_Predictors, INDEX(Array_PredictorsLookup,MATCH($A197,List_PredictorFacilities,0),(COLUMN()-1)/2), 1),"")</f>
        <v/>
      </c>
      <c r="F197" s="137"/>
      <c r="G197" s="58" t="str" cm="1">
        <f>IFERROR(INDEX(List_Predictors, INDEX(Array_PredictorsLookup,MATCH($A197,List_PredictorFacilities,0),(COLUMN()-1)/2), 1),"")</f>
        <v/>
      </c>
      <c r="H197" s="137"/>
      <c r="I197" s="58" t="str" cm="1">
        <f>IFERROR(INDEX(List_Predictors, INDEX(Array_PredictorsLookup,MATCH($A197,List_PredictorFacilities,0),(COLUMN()-1)/2), 1),"")</f>
        <v/>
      </c>
      <c r="J197" s="137"/>
      <c r="K197" s="58" t="str" cm="1">
        <f>IFERROR(INDEX(List_Predictors, INDEX(Array_PredictorsLookup,MATCH($A197,List_PredictorFacilities,0),(COLUMN()-1)/2), 1),"")</f>
        <v/>
      </c>
      <c r="L197" s="137"/>
      <c r="M197" s="58" t="str" cm="1">
        <f>IFERROR(INDEX(List_Predictors, INDEX(Array_PredictorsLookup,MATCH($A197,List_PredictorFacilities,0),(COLUMN()-1)/2), 1),"")</f>
        <v/>
      </c>
      <c r="N197" s="137"/>
      <c r="O197" s="58" t="str" cm="1">
        <f>IFERROR(INDEX(List_Predictors, INDEX(Array_PredictorsLookup,MATCH($A197,List_PredictorFacilities,0),(COLUMN()-1)/2), 1),"")</f>
        <v/>
      </c>
      <c r="P197" s="137"/>
      <c r="Q197" s="58" t="str" cm="1">
        <f>IFERROR(INDEX(List_Predictors, INDEX(Array_PredictorsLookup,MATCH($A197,List_PredictorFacilities,0),(COLUMN()-1)/2), 1),"")</f>
        <v/>
      </c>
      <c r="R197" s="137"/>
      <c r="S197" s="58" t="str" cm="1">
        <f>IFERROR(INDEX(List_Predictors, INDEX(Array_PredictorsLookup,MATCH($A197,List_PredictorFacilities,0),(COLUMN()-1)/2), 1),"")</f>
        <v/>
      </c>
      <c r="T197" s="137"/>
      <c r="U197" s="58" t="str" cm="1">
        <f>IFERROR(INDEX(List_Predictors, INDEX(Array_PredictorsLookup,MATCH($A197,List_PredictorFacilities,0),(COLUMN()-1)/2), 1),"")</f>
        <v/>
      </c>
      <c r="V197" s="137"/>
      <c r="W197" s="58" t="str" cm="1">
        <f>IFERROR(INDEX(List_Predictors, INDEX(Array_PredictorsLookup,MATCH($A197,List_PredictorFacilities,0),(COLUMN()-1)/2), 1),"")</f>
        <v/>
      </c>
      <c r="X197" s="137"/>
      <c r="Y197" s="58" t="str" cm="1">
        <f>IFERROR(INDEX(List_Predictors, INDEX(Array_PredictorsLookup,MATCH($A197,List_PredictorFacilities,0),(COLUMN()-1)/2), 1),"")</f>
        <v/>
      </c>
      <c r="Z197" s="137"/>
      <c r="AA197" s="58" t="str" cm="1">
        <f>IFERROR(INDEX(List_Predictors, INDEX(Array_PredictorsLookup,MATCH($A197,List_PredictorFacilities,0),(COLUMN()-1)/2), 1),"")</f>
        <v/>
      </c>
      <c r="AB197" s="137"/>
      <c r="AC197" s="58" t="str" cm="1">
        <f>IFERROR(INDEX(List_Predictors, INDEX(Array_PredictorsLookup,MATCH($A197,List_PredictorFacilities,0),(COLUMN()-1)/2), 1),"")</f>
        <v/>
      </c>
      <c r="AD197" s="137"/>
      <c r="AE197" s="58" t="str" cm="1">
        <f>IFERROR(INDEX(List_Predictors, INDEX(Array_PredictorsLookup,MATCH($A197,List_PredictorFacilities,0),(COLUMN()-1)/2), 1),"")</f>
        <v/>
      </c>
      <c r="AF197" s="137"/>
    </row>
    <row r="198" spans="1:32" x14ac:dyDescent="0.3">
      <c r="A198" s="126"/>
      <c r="B198" s="141"/>
      <c r="C198" s="58" t="str" cm="1">
        <f>IFERROR(INDEX(List_Predictors, INDEX(Array_PredictorsLookup,MATCH($A198,List_PredictorFacilities,0),(COLUMN()-1)/2), 1),"")</f>
        <v/>
      </c>
      <c r="D198" s="137"/>
      <c r="E198" s="58" t="str" cm="1">
        <f>IFERROR(INDEX(List_Predictors, INDEX(Array_PredictorsLookup,MATCH($A198,List_PredictorFacilities,0),(COLUMN()-1)/2), 1),"")</f>
        <v/>
      </c>
      <c r="F198" s="137"/>
      <c r="G198" s="58" t="str" cm="1">
        <f>IFERROR(INDEX(List_Predictors, INDEX(Array_PredictorsLookup,MATCH($A198,List_PredictorFacilities,0),(COLUMN()-1)/2), 1),"")</f>
        <v/>
      </c>
      <c r="H198" s="137"/>
      <c r="I198" s="58" t="str" cm="1">
        <f>IFERROR(INDEX(List_Predictors, INDEX(Array_PredictorsLookup,MATCH($A198,List_PredictorFacilities,0),(COLUMN()-1)/2), 1),"")</f>
        <v/>
      </c>
      <c r="J198" s="137"/>
      <c r="K198" s="58" t="str" cm="1">
        <f>IFERROR(INDEX(List_Predictors, INDEX(Array_PredictorsLookup,MATCH($A198,List_PredictorFacilities,0),(COLUMN()-1)/2), 1),"")</f>
        <v/>
      </c>
      <c r="L198" s="137"/>
      <c r="M198" s="58" t="str" cm="1">
        <f>IFERROR(INDEX(List_Predictors, INDEX(Array_PredictorsLookup,MATCH($A198,List_PredictorFacilities,0),(COLUMN()-1)/2), 1),"")</f>
        <v/>
      </c>
      <c r="N198" s="137"/>
      <c r="O198" s="58" t="str" cm="1">
        <f>IFERROR(INDEX(List_Predictors, INDEX(Array_PredictorsLookup,MATCH($A198,List_PredictorFacilities,0),(COLUMN()-1)/2), 1),"")</f>
        <v/>
      </c>
      <c r="P198" s="137"/>
      <c r="Q198" s="58" t="str" cm="1">
        <f>IFERROR(INDEX(List_Predictors, INDEX(Array_PredictorsLookup,MATCH($A198,List_PredictorFacilities,0),(COLUMN()-1)/2), 1),"")</f>
        <v/>
      </c>
      <c r="R198" s="137"/>
      <c r="S198" s="58" t="str" cm="1">
        <f>IFERROR(INDEX(List_Predictors, INDEX(Array_PredictorsLookup,MATCH($A198,List_PredictorFacilities,0),(COLUMN()-1)/2), 1),"")</f>
        <v/>
      </c>
      <c r="T198" s="137"/>
      <c r="U198" s="58" t="str" cm="1">
        <f>IFERROR(INDEX(List_Predictors, INDEX(Array_PredictorsLookup,MATCH($A198,List_PredictorFacilities,0),(COLUMN()-1)/2), 1),"")</f>
        <v/>
      </c>
      <c r="V198" s="137"/>
      <c r="W198" s="58" t="str" cm="1">
        <f>IFERROR(INDEX(List_Predictors, INDEX(Array_PredictorsLookup,MATCH($A198,List_PredictorFacilities,0),(COLUMN()-1)/2), 1),"")</f>
        <v/>
      </c>
      <c r="X198" s="137"/>
      <c r="Y198" s="58" t="str" cm="1">
        <f>IFERROR(INDEX(List_Predictors, INDEX(Array_PredictorsLookup,MATCH($A198,List_PredictorFacilities,0),(COLUMN()-1)/2), 1),"")</f>
        <v/>
      </c>
      <c r="Z198" s="137"/>
      <c r="AA198" s="58" t="str" cm="1">
        <f>IFERROR(INDEX(List_Predictors, INDEX(Array_PredictorsLookup,MATCH($A198,List_PredictorFacilities,0),(COLUMN()-1)/2), 1),"")</f>
        <v/>
      </c>
      <c r="AB198" s="137"/>
      <c r="AC198" s="58" t="str" cm="1">
        <f>IFERROR(INDEX(List_Predictors, INDEX(Array_PredictorsLookup,MATCH($A198,List_PredictorFacilities,0),(COLUMN()-1)/2), 1),"")</f>
        <v/>
      </c>
      <c r="AD198" s="137"/>
      <c r="AE198" s="58" t="str" cm="1">
        <f>IFERROR(INDEX(List_Predictors, INDEX(Array_PredictorsLookup,MATCH($A198,List_PredictorFacilities,0),(COLUMN()-1)/2), 1),"")</f>
        <v/>
      </c>
      <c r="AF198" s="137"/>
    </row>
    <row r="199" spans="1:32" x14ac:dyDescent="0.3">
      <c r="A199" s="126"/>
      <c r="B199" s="141"/>
      <c r="C199" s="58" t="str" cm="1">
        <f>IFERROR(INDEX(List_Predictors, INDEX(Array_PredictorsLookup,MATCH($A199,List_PredictorFacilities,0),(COLUMN()-1)/2), 1),"")</f>
        <v/>
      </c>
      <c r="D199" s="137"/>
      <c r="E199" s="58" t="str" cm="1">
        <f>IFERROR(INDEX(List_Predictors, INDEX(Array_PredictorsLookup,MATCH($A199,List_PredictorFacilities,0),(COLUMN()-1)/2), 1),"")</f>
        <v/>
      </c>
      <c r="F199" s="137"/>
      <c r="G199" s="58" t="str" cm="1">
        <f>IFERROR(INDEX(List_Predictors, INDEX(Array_PredictorsLookup,MATCH($A199,List_PredictorFacilities,0),(COLUMN()-1)/2), 1),"")</f>
        <v/>
      </c>
      <c r="H199" s="137"/>
      <c r="I199" s="58" t="str" cm="1">
        <f>IFERROR(INDEX(List_Predictors, INDEX(Array_PredictorsLookup,MATCH($A199,List_PredictorFacilities,0),(COLUMN()-1)/2), 1),"")</f>
        <v/>
      </c>
      <c r="J199" s="137"/>
      <c r="K199" s="58" t="str" cm="1">
        <f>IFERROR(INDEX(List_Predictors, INDEX(Array_PredictorsLookup,MATCH($A199,List_PredictorFacilities,0),(COLUMN()-1)/2), 1),"")</f>
        <v/>
      </c>
      <c r="L199" s="137"/>
      <c r="M199" s="58" t="str" cm="1">
        <f>IFERROR(INDEX(List_Predictors, INDEX(Array_PredictorsLookup,MATCH($A199,List_PredictorFacilities,0),(COLUMN()-1)/2), 1),"")</f>
        <v/>
      </c>
      <c r="N199" s="137"/>
      <c r="O199" s="58" t="str" cm="1">
        <f>IFERROR(INDEX(List_Predictors, INDEX(Array_PredictorsLookup,MATCH($A199,List_PredictorFacilities,0),(COLUMN()-1)/2), 1),"")</f>
        <v/>
      </c>
      <c r="P199" s="137"/>
      <c r="Q199" s="58" t="str" cm="1">
        <f>IFERROR(INDEX(List_Predictors, INDEX(Array_PredictorsLookup,MATCH($A199,List_PredictorFacilities,0),(COLUMN()-1)/2), 1),"")</f>
        <v/>
      </c>
      <c r="R199" s="137"/>
      <c r="S199" s="58" t="str" cm="1">
        <f>IFERROR(INDEX(List_Predictors, INDEX(Array_PredictorsLookup,MATCH($A199,List_PredictorFacilities,0),(COLUMN()-1)/2), 1),"")</f>
        <v/>
      </c>
      <c r="T199" s="137"/>
      <c r="U199" s="58" t="str" cm="1">
        <f>IFERROR(INDEX(List_Predictors, INDEX(Array_PredictorsLookup,MATCH($A199,List_PredictorFacilities,0),(COLUMN()-1)/2), 1),"")</f>
        <v/>
      </c>
      <c r="V199" s="137"/>
      <c r="W199" s="58" t="str" cm="1">
        <f>IFERROR(INDEX(List_Predictors, INDEX(Array_PredictorsLookup,MATCH($A199,List_PredictorFacilities,0),(COLUMN()-1)/2), 1),"")</f>
        <v/>
      </c>
      <c r="X199" s="137"/>
      <c r="Y199" s="58" t="str" cm="1">
        <f>IFERROR(INDEX(List_Predictors, INDEX(Array_PredictorsLookup,MATCH($A199,List_PredictorFacilities,0),(COLUMN()-1)/2), 1),"")</f>
        <v/>
      </c>
      <c r="Z199" s="137"/>
      <c r="AA199" s="58" t="str" cm="1">
        <f>IFERROR(INDEX(List_Predictors, INDEX(Array_PredictorsLookup,MATCH($A199,List_PredictorFacilities,0),(COLUMN()-1)/2), 1),"")</f>
        <v/>
      </c>
      <c r="AB199" s="137"/>
      <c r="AC199" s="58" t="str" cm="1">
        <f>IFERROR(INDEX(List_Predictors, INDEX(Array_PredictorsLookup,MATCH($A199,List_PredictorFacilities,0),(COLUMN()-1)/2), 1),"")</f>
        <v/>
      </c>
      <c r="AD199" s="137"/>
      <c r="AE199" s="58" t="str" cm="1">
        <f>IFERROR(INDEX(List_Predictors, INDEX(Array_PredictorsLookup,MATCH($A199,List_PredictorFacilities,0),(COLUMN()-1)/2), 1),"")</f>
        <v/>
      </c>
      <c r="AF199" s="137"/>
    </row>
    <row r="200" spans="1:32" x14ac:dyDescent="0.3">
      <c r="A200" s="126"/>
      <c r="B200" s="141"/>
      <c r="C200" s="58" t="str" cm="1">
        <f>IFERROR(INDEX(List_Predictors, INDEX(Array_PredictorsLookup,MATCH($A200,List_PredictorFacilities,0),(COLUMN()-1)/2), 1),"")</f>
        <v/>
      </c>
      <c r="D200" s="137"/>
      <c r="E200" s="58" t="str" cm="1">
        <f>IFERROR(INDEX(List_Predictors, INDEX(Array_PredictorsLookup,MATCH($A200,List_PredictorFacilities,0),(COLUMN()-1)/2), 1),"")</f>
        <v/>
      </c>
      <c r="F200" s="137"/>
      <c r="G200" s="58" t="str" cm="1">
        <f>IFERROR(INDEX(List_Predictors, INDEX(Array_PredictorsLookup,MATCH($A200,List_PredictorFacilities,0),(COLUMN()-1)/2), 1),"")</f>
        <v/>
      </c>
      <c r="H200" s="137"/>
      <c r="I200" s="58" t="str" cm="1">
        <f>IFERROR(INDEX(List_Predictors, INDEX(Array_PredictorsLookup,MATCH($A200,List_PredictorFacilities,0),(COLUMN()-1)/2), 1),"")</f>
        <v/>
      </c>
      <c r="J200" s="137"/>
      <c r="K200" s="58" t="str" cm="1">
        <f>IFERROR(INDEX(List_Predictors, INDEX(Array_PredictorsLookup,MATCH($A200,List_PredictorFacilities,0),(COLUMN()-1)/2), 1),"")</f>
        <v/>
      </c>
      <c r="L200" s="137"/>
      <c r="M200" s="58" t="str" cm="1">
        <f>IFERROR(INDEX(List_Predictors, INDEX(Array_PredictorsLookup,MATCH($A200,List_PredictorFacilities,0),(COLUMN()-1)/2), 1),"")</f>
        <v/>
      </c>
      <c r="N200" s="137"/>
      <c r="O200" s="58" t="str" cm="1">
        <f>IFERROR(INDEX(List_Predictors, INDEX(Array_PredictorsLookup,MATCH($A200,List_PredictorFacilities,0),(COLUMN()-1)/2), 1),"")</f>
        <v/>
      </c>
      <c r="P200" s="137"/>
      <c r="Q200" s="58" t="str" cm="1">
        <f>IFERROR(INDEX(List_Predictors, INDEX(Array_PredictorsLookup,MATCH($A200,List_PredictorFacilities,0),(COLUMN()-1)/2), 1),"")</f>
        <v/>
      </c>
      <c r="R200" s="137"/>
      <c r="S200" s="58" t="str" cm="1">
        <f>IFERROR(INDEX(List_Predictors, INDEX(Array_PredictorsLookup,MATCH($A200,List_PredictorFacilities,0),(COLUMN()-1)/2), 1),"")</f>
        <v/>
      </c>
      <c r="T200" s="137"/>
      <c r="U200" s="58" t="str" cm="1">
        <f>IFERROR(INDEX(List_Predictors, INDEX(Array_PredictorsLookup,MATCH($A200,List_PredictorFacilities,0),(COLUMN()-1)/2), 1),"")</f>
        <v/>
      </c>
      <c r="V200" s="137"/>
      <c r="W200" s="58" t="str" cm="1">
        <f>IFERROR(INDEX(List_Predictors, INDEX(Array_PredictorsLookup,MATCH($A200,List_PredictorFacilities,0),(COLUMN()-1)/2), 1),"")</f>
        <v/>
      </c>
      <c r="X200" s="137"/>
      <c r="Y200" s="58" t="str" cm="1">
        <f>IFERROR(INDEX(List_Predictors, INDEX(Array_PredictorsLookup,MATCH($A200,List_PredictorFacilities,0),(COLUMN()-1)/2), 1),"")</f>
        <v/>
      </c>
      <c r="Z200" s="137"/>
      <c r="AA200" s="58" t="str" cm="1">
        <f>IFERROR(INDEX(List_Predictors, INDEX(Array_PredictorsLookup,MATCH($A200,List_PredictorFacilities,0),(COLUMN()-1)/2), 1),"")</f>
        <v/>
      </c>
      <c r="AB200" s="137"/>
      <c r="AC200" s="58" t="str" cm="1">
        <f>IFERROR(INDEX(List_Predictors, INDEX(Array_PredictorsLookup,MATCH($A200,List_PredictorFacilities,0),(COLUMN()-1)/2), 1),"")</f>
        <v/>
      </c>
      <c r="AD200" s="137"/>
      <c r="AE200" s="58" t="str" cm="1">
        <f>IFERROR(INDEX(List_Predictors, INDEX(Array_PredictorsLookup,MATCH($A200,List_PredictorFacilities,0),(COLUMN()-1)/2), 1),"")</f>
        <v/>
      </c>
      <c r="AF200" s="137"/>
    </row>
    <row r="201" spans="1:32" x14ac:dyDescent="0.3">
      <c r="A201" s="126"/>
      <c r="B201" s="141"/>
      <c r="C201" s="58" t="str" cm="1">
        <f>IFERROR(INDEX(List_Predictors, INDEX(Array_PredictorsLookup,MATCH($A201,List_PredictorFacilities,0),(COLUMN()-1)/2), 1),"")</f>
        <v/>
      </c>
      <c r="D201" s="137"/>
      <c r="E201" s="58" t="str" cm="1">
        <f>IFERROR(INDEX(List_Predictors, INDEX(Array_PredictorsLookup,MATCH($A201,List_PredictorFacilities,0),(COLUMN()-1)/2), 1),"")</f>
        <v/>
      </c>
      <c r="F201" s="137"/>
      <c r="G201" s="58" t="str" cm="1">
        <f>IFERROR(INDEX(List_Predictors, INDEX(Array_PredictorsLookup,MATCH($A201,List_PredictorFacilities,0),(COLUMN()-1)/2), 1),"")</f>
        <v/>
      </c>
      <c r="H201" s="137"/>
      <c r="I201" s="58" t="str" cm="1">
        <f>IFERROR(INDEX(List_Predictors, INDEX(Array_PredictorsLookup,MATCH($A201,List_PredictorFacilities,0),(COLUMN()-1)/2), 1),"")</f>
        <v/>
      </c>
      <c r="J201" s="137"/>
      <c r="K201" s="58" t="str" cm="1">
        <f>IFERROR(INDEX(List_Predictors, INDEX(Array_PredictorsLookup,MATCH($A201,List_PredictorFacilities,0),(COLUMN()-1)/2), 1),"")</f>
        <v/>
      </c>
      <c r="L201" s="137"/>
      <c r="M201" s="58" t="str" cm="1">
        <f>IFERROR(INDEX(List_Predictors, INDEX(Array_PredictorsLookup,MATCH($A201,List_PredictorFacilities,0),(COLUMN()-1)/2), 1),"")</f>
        <v/>
      </c>
      <c r="N201" s="137"/>
      <c r="O201" s="58" t="str" cm="1">
        <f>IFERROR(INDEX(List_Predictors, INDEX(Array_PredictorsLookup,MATCH($A201,List_PredictorFacilities,0),(COLUMN()-1)/2), 1),"")</f>
        <v/>
      </c>
      <c r="P201" s="137"/>
      <c r="Q201" s="58" t="str" cm="1">
        <f>IFERROR(INDEX(List_Predictors, INDEX(Array_PredictorsLookup,MATCH($A201,List_PredictorFacilities,0),(COLUMN()-1)/2), 1),"")</f>
        <v/>
      </c>
      <c r="R201" s="137"/>
      <c r="S201" s="58" t="str" cm="1">
        <f>IFERROR(INDEX(List_Predictors, INDEX(Array_PredictorsLookup,MATCH($A201,List_PredictorFacilities,0),(COLUMN()-1)/2), 1),"")</f>
        <v/>
      </c>
      <c r="T201" s="137"/>
      <c r="U201" s="58" t="str" cm="1">
        <f>IFERROR(INDEX(List_Predictors, INDEX(Array_PredictorsLookup,MATCH($A201,List_PredictorFacilities,0),(COLUMN()-1)/2), 1),"")</f>
        <v/>
      </c>
      <c r="V201" s="137"/>
      <c r="W201" s="58" t="str" cm="1">
        <f>IFERROR(INDEX(List_Predictors, INDEX(Array_PredictorsLookup,MATCH($A201,List_PredictorFacilities,0),(COLUMN()-1)/2), 1),"")</f>
        <v/>
      </c>
      <c r="X201" s="137"/>
      <c r="Y201" s="58" t="str" cm="1">
        <f>IFERROR(INDEX(List_Predictors, INDEX(Array_PredictorsLookup,MATCH($A201,List_PredictorFacilities,0),(COLUMN()-1)/2), 1),"")</f>
        <v/>
      </c>
      <c r="Z201" s="137"/>
      <c r="AA201" s="58" t="str" cm="1">
        <f>IFERROR(INDEX(List_Predictors, INDEX(Array_PredictorsLookup,MATCH($A201,List_PredictorFacilities,0),(COLUMN()-1)/2), 1),"")</f>
        <v/>
      </c>
      <c r="AB201" s="137"/>
      <c r="AC201" s="58" t="str" cm="1">
        <f>IFERROR(INDEX(List_Predictors, INDEX(Array_PredictorsLookup,MATCH($A201,List_PredictorFacilities,0),(COLUMN()-1)/2), 1),"")</f>
        <v/>
      </c>
      <c r="AD201" s="137"/>
      <c r="AE201" s="58" t="str" cm="1">
        <f>IFERROR(INDEX(List_Predictors, INDEX(Array_PredictorsLookup,MATCH($A201,List_PredictorFacilities,0),(COLUMN()-1)/2), 1),"")</f>
        <v/>
      </c>
      <c r="AF201" s="137"/>
    </row>
    <row r="202" spans="1:32" x14ac:dyDescent="0.3">
      <c r="A202" s="126"/>
      <c r="B202" s="141"/>
      <c r="C202" s="58" t="str" cm="1">
        <f>IFERROR(INDEX(List_Predictors, INDEX(Array_PredictorsLookup,MATCH($A202,List_PredictorFacilities,0),(COLUMN()-1)/2), 1),"")</f>
        <v/>
      </c>
      <c r="D202" s="137"/>
      <c r="E202" s="58" t="str" cm="1">
        <f>IFERROR(INDEX(List_Predictors, INDEX(Array_PredictorsLookup,MATCH($A202,List_PredictorFacilities,0),(COLUMN()-1)/2), 1),"")</f>
        <v/>
      </c>
      <c r="F202" s="137"/>
      <c r="G202" s="58" t="str" cm="1">
        <f>IFERROR(INDEX(List_Predictors, INDEX(Array_PredictorsLookup,MATCH($A202,List_PredictorFacilities,0),(COLUMN()-1)/2), 1),"")</f>
        <v/>
      </c>
      <c r="H202" s="137"/>
      <c r="I202" s="58" t="str" cm="1">
        <f>IFERROR(INDEX(List_Predictors, INDEX(Array_PredictorsLookup,MATCH($A202,List_PredictorFacilities,0),(COLUMN()-1)/2), 1),"")</f>
        <v/>
      </c>
      <c r="J202" s="137"/>
      <c r="K202" s="58" t="str" cm="1">
        <f>IFERROR(INDEX(List_Predictors, INDEX(Array_PredictorsLookup,MATCH($A202,List_PredictorFacilities,0),(COLUMN()-1)/2), 1),"")</f>
        <v/>
      </c>
      <c r="L202" s="137"/>
      <c r="M202" s="58" t="str" cm="1">
        <f>IFERROR(INDEX(List_Predictors, INDEX(Array_PredictorsLookup,MATCH($A202,List_PredictorFacilities,0),(COLUMN()-1)/2), 1),"")</f>
        <v/>
      </c>
      <c r="N202" s="137"/>
      <c r="O202" s="58" t="str" cm="1">
        <f>IFERROR(INDEX(List_Predictors, INDEX(Array_PredictorsLookup,MATCH($A202,List_PredictorFacilities,0),(COLUMN()-1)/2), 1),"")</f>
        <v/>
      </c>
      <c r="P202" s="137"/>
      <c r="Q202" s="58" t="str" cm="1">
        <f>IFERROR(INDEX(List_Predictors, INDEX(Array_PredictorsLookup,MATCH($A202,List_PredictorFacilities,0),(COLUMN()-1)/2), 1),"")</f>
        <v/>
      </c>
      <c r="R202" s="137"/>
      <c r="S202" s="58" t="str" cm="1">
        <f>IFERROR(INDEX(List_Predictors, INDEX(Array_PredictorsLookup,MATCH($A202,List_PredictorFacilities,0),(COLUMN()-1)/2), 1),"")</f>
        <v/>
      </c>
      <c r="T202" s="137"/>
      <c r="U202" s="58" t="str" cm="1">
        <f>IFERROR(INDEX(List_Predictors, INDEX(Array_PredictorsLookup,MATCH($A202,List_PredictorFacilities,0),(COLUMN()-1)/2), 1),"")</f>
        <v/>
      </c>
      <c r="V202" s="137"/>
      <c r="W202" s="58" t="str" cm="1">
        <f>IFERROR(INDEX(List_Predictors, INDEX(Array_PredictorsLookup,MATCH($A202,List_PredictorFacilities,0),(COLUMN()-1)/2), 1),"")</f>
        <v/>
      </c>
      <c r="X202" s="137"/>
      <c r="Y202" s="58" t="str" cm="1">
        <f>IFERROR(INDEX(List_Predictors, INDEX(Array_PredictorsLookup,MATCH($A202,List_PredictorFacilities,0),(COLUMN()-1)/2), 1),"")</f>
        <v/>
      </c>
      <c r="Z202" s="137"/>
      <c r="AA202" s="58" t="str" cm="1">
        <f>IFERROR(INDEX(List_Predictors, INDEX(Array_PredictorsLookup,MATCH($A202,List_PredictorFacilities,0),(COLUMN()-1)/2), 1),"")</f>
        <v/>
      </c>
      <c r="AB202" s="137"/>
      <c r="AC202" s="58" t="str" cm="1">
        <f>IFERROR(INDEX(List_Predictors, INDEX(Array_PredictorsLookup,MATCH($A202,List_PredictorFacilities,0),(COLUMN()-1)/2), 1),"")</f>
        <v/>
      </c>
      <c r="AD202" s="137"/>
      <c r="AE202" s="58" t="str" cm="1">
        <f>IFERROR(INDEX(List_Predictors, INDEX(Array_PredictorsLookup,MATCH($A202,List_PredictorFacilities,0),(COLUMN()-1)/2), 1),"")</f>
        <v/>
      </c>
      <c r="AF202" s="137"/>
    </row>
    <row r="203" spans="1:32" x14ac:dyDescent="0.3">
      <c r="A203" s="126"/>
      <c r="B203" s="141"/>
      <c r="C203" s="58" t="str" cm="1">
        <f>IFERROR(INDEX(List_Predictors, INDEX(Array_PredictorsLookup,MATCH($A203,List_PredictorFacilities,0),(COLUMN()-1)/2), 1),"")</f>
        <v/>
      </c>
      <c r="D203" s="137"/>
      <c r="E203" s="58" t="str" cm="1">
        <f>IFERROR(INDEX(List_Predictors, INDEX(Array_PredictorsLookup,MATCH($A203,List_PredictorFacilities,0),(COLUMN()-1)/2), 1),"")</f>
        <v/>
      </c>
      <c r="F203" s="137"/>
      <c r="G203" s="58" t="str" cm="1">
        <f>IFERROR(INDEX(List_Predictors, INDEX(Array_PredictorsLookup,MATCH($A203,List_PredictorFacilities,0),(COLUMN()-1)/2), 1),"")</f>
        <v/>
      </c>
      <c r="H203" s="137"/>
      <c r="I203" s="58" t="str" cm="1">
        <f>IFERROR(INDEX(List_Predictors, INDEX(Array_PredictorsLookup,MATCH($A203,List_PredictorFacilities,0),(COLUMN()-1)/2), 1),"")</f>
        <v/>
      </c>
      <c r="J203" s="137"/>
      <c r="K203" s="58" t="str" cm="1">
        <f>IFERROR(INDEX(List_Predictors, INDEX(Array_PredictorsLookup,MATCH($A203,List_PredictorFacilities,0),(COLUMN()-1)/2), 1),"")</f>
        <v/>
      </c>
      <c r="L203" s="137"/>
      <c r="M203" s="58" t="str" cm="1">
        <f>IFERROR(INDEX(List_Predictors, INDEX(Array_PredictorsLookup,MATCH($A203,List_PredictorFacilities,0),(COLUMN()-1)/2), 1),"")</f>
        <v/>
      </c>
      <c r="N203" s="137"/>
      <c r="O203" s="58" t="str" cm="1">
        <f>IFERROR(INDEX(List_Predictors, INDEX(Array_PredictorsLookup,MATCH($A203,List_PredictorFacilities,0),(COLUMN()-1)/2), 1),"")</f>
        <v/>
      </c>
      <c r="P203" s="137"/>
      <c r="Q203" s="58" t="str" cm="1">
        <f>IFERROR(INDEX(List_Predictors, INDEX(Array_PredictorsLookup,MATCH($A203,List_PredictorFacilities,0),(COLUMN()-1)/2), 1),"")</f>
        <v/>
      </c>
      <c r="R203" s="137"/>
      <c r="S203" s="58" t="str" cm="1">
        <f>IFERROR(INDEX(List_Predictors, INDEX(Array_PredictorsLookup,MATCH($A203,List_PredictorFacilities,0),(COLUMN()-1)/2), 1),"")</f>
        <v/>
      </c>
      <c r="T203" s="137"/>
      <c r="U203" s="58" t="str" cm="1">
        <f>IFERROR(INDEX(List_Predictors, INDEX(Array_PredictorsLookup,MATCH($A203,List_PredictorFacilities,0),(COLUMN()-1)/2), 1),"")</f>
        <v/>
      </c>
      <c r="V203" s="137"/>
      <c r="W203" s="58" t="str" cm="1">
        <f>IFERROR(INDEX(List_Predictors, INDEX(Array_PredictorsLookup,MATCH($A203,List_PredictorFacilities,0),(COLUMN()-1)/2), 1),"")</f>
        <v/>
      </c>
      <c r="X203" s="137"/>
      <c r="Y203" s="58" t="str" cm="1">
        <f>IFERROR(INDEX(List_Predictors, INDEX(Array_PredictorsLookup,MATCH($A203,List_PredictorFacilities,0),(COLUMN()-1)/2), 1),"")</f>
        <v/>
      </c>
      <c r="Z203" s="137"/>
      <c r="AA203" s="58" t="str" cm="1">
        <f>IFERROR(INDEX(List_Predictors, INDEX(Array_PredictorsLookup,MATCH($A203,List_PredictorFacilities,0),(COLUMN()-1)/2), 1),"")</f>
        <v/>
      </c>
      <c r="AB203" s="137"/>
      <c r="AC203" s="58" t="str" cm="1">
        <f>IFERROR(INDEX(List_Predictors, INDEX(Array_PredictorsLookup,MATCH($A203,List_PredictorFacilities,0),(COLUMN()-1)/2), 1),"")</f>
        <v/>
      </c>
      <c r="AD203" s="137"/>
      <c r="AE203" s="58" t="str" cm="1">
        <f>IFERROR(INDEX(List_Predictors, INDEX(Array_PredictorsLookup,MATCH($A203,List_PredictorFacilities,0),(COLUMN()-1)/2), 1),"")</f>
        <v/>
      </c>
      <c r="AF203" s="137"/>
    </row>
    <row r="204" spans="1:32" x14ac:dyDescent="0.3">
      <c r="A204" s="126"/>
      <c r="B204" s="141"/>
      <c r="C204" s="58" t="str" cm="1">
        <f>IFERROR(INDEX(List_Predictors, INDEX(Array_PredictorsLookup,MATCH($A204,List_PredictorFacilities,0),(COLUMN()-1)/2), 1),"")</f>
        <v/>
      </c>
      <c r="D204" s="137"/>
      <c r="E204" s="58" t="str" cm="1">
        <f>IFERROR(INDEX(List_Predictors, INDEX(Array_PredictorsLookup,MATCH($A204,List_PredictorFacilities,0),(COLUMN()-1)/2), 1),"")</f>
        <v/>
      </c>
      <c r="F204" s="137"/>
      <c r="G204" s="58" t="str" cm="1">
        <f>IFERROR(INDEX(List_Predictors, INDEX(Array_PredictorsLookup,MATCH($A204,List_PredictorFacilities,0),(COLUMN()-1)/2), 1),"")</f>
        <v/>
      </c>
      <c r="H204" s="137"/>
      <c r="I204" s="58" t="str" cm="1">
        <f>IFERROR(INDEX(List_Predictors, INDEX(Array_PredictorsLookup,MATCH($A204,List_PredictorFacilities,0),(COLUMN()-1)/2), 1),"")</f>
        <v/>
      </c>
      <c r="J204" s="137"/>
      <c r="K204" s="58" t="str" cm="1">
        <f>IFERROR(INDEX(List_Predictors, INDEX(Array_PredictorsLookup,MATCH($A204,List_PredictorFacilities,0),(COLUMN()-1)/2), 1),"")</f>
        <v/>
      </c>
      <c r="L204" s="137"/>
      <c r="M204" s="58" t="str" cm="1">
        <f>IFERROR(INDEX(List_Predictors, INDEX(Array_PredictorsLookup,MATCH($A204,List_PredictorFacilities,0),(COLUMN()-1)/2), 1),"")</f>
        <v/>
      </c>
      <c r="N204" s="137"/>
      <c r="O204" s="58" t="str" cm="1">
        <f>IFERROR(INDEX(List_Predictors, INDEX(Array_PredictorsLookup,MATCH($A204,List_PredictorFacilities,0),(COLUMN()-1)/2), 1),"")</f>
        <v/>
      </c>
      <c r="P204" s="137"/>
      <c r="Q204" s="58" t="str" cm="1">
        <f>IFERROR(INDEX(List_Predictors, INDEX(Array_PredictorsLookup,MATCH($A204,List_PredictorFacilities,0),(COLUMN()-1)/2), 1),"")</f>
        <v/>
      </c>
      <c r="R204" s="137"/>
      <c r="S204" s="58" t="str" cm="1">
        <f>IFERROR(INDEX(List_Predictors, INDEX(Array_PredictorsLookup,MATCH($A204,List_PredictorFacilities,0),(COLUMN()-1)/2), 1),"")</f>
        <v/>
      </c>
      <c r="T204" s="137"/>
      <c r="U204" s="58" t="str" cm="1">
        <f>IFERROR(INDEX(List_Predictors, INDEX(Array_PredictorsLookup,MATCH($A204,List_PredictorFacilities,0),(COLUMN()-1)/2), 1),"")</f>
        <v/>
      </c>
      <c r="V204" s="137"/>
      <c r="W204" s="58" t="str" cm="1">
        <f>IFERROR(INDEX(List_Predictors, INDEX(Array_PredictorsLookup,MATCH($A204,List_PredictorFacilities,0),(COLUMN()-1)/2), 1),"")</f>
        <v/>
      </c>
      <c r="X204" s="137"/>
      <c r="Y204" s="58" t="str" cm="1">
        <f>IFERROR(INDEX(List_Predictors, INDEX(Array_PredictorsLookup,MATCH($A204,List_PredictorFacilities,0),(COLUMN()-1)/2), 1),"")</f>
        <v/>
      </c>
      <c r="Z204" s="137"/>
      <c r="AA204" s="58" t="str" cm="1">
        <f>IFERROR(INDEX(List_Predictors, INDEX(Array_PredictorsLookup,MATCH($A204,List_PredictorFacilities,0),(COLUMN()-1)/2), 1),"")</f>
        <v/>
      </c>
      <c r="AB204" s="137"/>
      <c r="AC204" s="58" t="str" cm="1">
        <f>IFERROR(INDEX(List_Predictors, INDEX(Array_PredictorsLookup,MATCH($A204,List_PredictorFacilities,0),(COLUMN()-1)/2), 1),"")</f>
        <v/>
      </c>
      <c r="AD204" s="137"/>
      <c r="AE204" s="58" t="str" cm="1">
        <f>IFERROR(INDEX(List_Predictors, INDEX(Array_PredictorsLookup,MATCH($A204,List_PredictorFacilities,0),(COLUMN()-1)/2), 1),"")</f>
        <v/>
      </c>
      <c r="AF204" s="137"/>
    </row>
    <row r="205" spans="1:32" x14ac:dyDescent="0.3">
      <c r="A205" s="126"/>
      <c r="B205" s="141"/>
      <c r="C205" s="58" t="str" cm="1">
        <f>IFERROR(INDEX(List_Predictors, INDEX(Array_PredictorsLookup,MATCH($A205,List_PredictorFacilities,0),(COLUMN()-1)/2), 1),"")</f>
        <v/>
      </c>
      <c r="D205" s="137"/>
      <c r="E205" s="58" t="str" cm="1">
        <f>IFERROR(INDEX(List_Predictors, INDEX(Array_PredictorsLookup,MATCH($A205,List_PredictorFacilities,0),(COLUMN()-1)/2), 1),"")</f>
        <v/>
      </c>
      <c r="F205" s="137"/>
      <c r="G205" s="58" t="str" cm="1">
        <f>IFERROR(INDEX(List_Predictors, INDEX(Array_PredictorsLookup,MATCH($A205,List_PredictorFacilities,0),(COLUMN()-1)/2), 1),"")</f>
        <v/>
      </c>
      <c r="H205" s="137"/>
      <c r="I205" s="58" t="str" cm="1">
        <f>IFERROR(INDEX(List_Predictors, INDEX(Array_PredictorsLookup,MATCH($A205,List_PredictorFacilities,0),(COLUMN()-1)/2), 1),"")</f>
        <v/>
      </c>
      <c r="J205" s="137"/>
      <c r="K205" s="58" t="str" cm="1">
        <f>IFERROR(INDEX(List_Predictors, INDEX(Array_PredictorsLookup,MATCH($A205,List_PredictorFacilities,0),(COLUMN()-1)/2), 1),"")</f>
        <v/>
      </c>
      <c r="L205" s="137"/>
      <c r="M205" s="58" t="str" cm="1">
        <f>IFERROR(INDEX(List_Predictors, INDEX(Array_PredictorsLookup,MATCH($A205,List_PredictorFacilities,0),(COLUMN()-1)/2), 1),"")</f>
        <v/>
      </c>
      <c r="N205" s="137"/>
      <c r="O205" s="58" t="str" cm="1">
        <f>IFERROR(INDEX(List_Predictors, INDEX(Array_PredictorsLookup,MATCH($A205,List_PredictorFacilities,0),(COLUMN()-1)/2), 1),"")</f>
        <v/>
      </c>
      <c r="P205" s="137"/>
      <c r="Q205" s="58" t="str" cm="1">
        <f>IFERROR(INDEX(List_Predictors, INDEX(Array_PredictorsLookup,MATCH($A205,List_PredictorFacilities,0),(COLUMN()-1)/2), 1),"")</f>
        <v/>
      </c>
      <c r="R205" s="137"/>
      <c r="S205" s="58" t="str" cm="1">
        <f>IFERROR(INDEX(List_Predictors, INDEX(Array_PredictorsLookup,MATCH($A205,List_PredictorFacilities,0),(COLUMN()-1)/2), 1),"")</f>
        <v/>
      </c>
      <c r="T205" s="137"/>
      <c r="U205" s="58" t="str" cm="1">
        <f>IFERROR(INDEX(List_Predictors, INDEX(Array_PredictorsLookup,MATCH($A205,List_PredictorFacilities,0),(COLUMN()-1)/2), 1),"")</f>
        <v/>
      </c>
      <c r="V205" s="137"/>
      <c r="W205" s="58" t="str" cm="1">
        <f>IFERROR(INDEX(List_Predictors, INDEX(Array_PredictorsLookup,MATCH($A205,List_PredictorFacilities,0),(COLUMN()-1)/2), 1),"")</f>
        <v/>
      </c>
      <c r="X205" s="137"/>
      <c r="Y205" s="58" t="str" cm="1">
        <f>IFERROR(INDEX(List_Predictors, INDEX(Array_PredictorsLookup,MATCH($A205,List_PredictorFacilities,0),(COLUMN()-1)/2), 1),"")</f>
        <v/>
      </c>
      <c r="Z205" s="137"/>
      <c r="AA205" s="58" t="str" cm="1">
        <f>IFERROR(INDEX(List_Predictors, INDEX(Array_PredictorsLookup,MATCH($A205,List_PredictorFacilities,0),(COLUMN()-1)/2), 1),"")</f>
        <v/>
      </c>
      <c r="AB205" s="137"/>
      <c r="AC205" s="58" t="str" cm="1">
        <f>IFERROR(INDEX(List_Predictors, INDEX(Array_PredictorsLookup,MATCH($A205,List_PredictorFacilities,0),(COLUMN()-1)/2), 1),"")</f>
        <v/>
      </c>
      <c r="AD205" s="137"/>
      <c r="AE205" s="58" t="str" cm="1">
        <f>IFERROR(INDEX(List_Predictors, INDEX(Array_PredictorsLookup,MATCH($A205,List_PredictorFacilities,0),(COLUMN()-1)/2), 1),"")</f>
        <v/>
      </c>
      <c r="AF205" s="137"/>
    </row>
    <row r="206" spans="1:32" x14ac:dyDescent="0.3">
      <c r="A206" s="126"/>
      <c r="B206" s="141"/>
      <c r="C206" s="58" t="str" cm="1">
        <f>IFERROR(INDEX(List_Predictors, INDEX(Array_PredictorsLookup,MATCH($A206,List_PredictorFacilities,0),(COLUMN()-1)/2), 1),"")</f>
        <v/>
      </c>
      <c r="D206" s="137"/>
      <c r="E206" s="58" t="str" cm="1">
        <f>IFERROR(INDEX(List_Predictors, INDEX(Array_PredictorsLookup,MATCH($A206,List_PredictorFacilities,0),(COLUMN()-1)/2), 1),"")</f>
        <v/>
      </c>
      <c r="F206" s="137"/>
      <c r="G206" s="58" t="str" cm="1">
        <f>IFERROR(INDEX(List_Predictors, INDEX(Array_PredictorsLookup,MATCH($A206,List_PredictorFacilities,0),(COLUMN()-1)/2), 1),"")</f>
        <v/>
      </c>
      <c r="H206" s="137"/>
      <c r="I206" s="58" t="str" cm="1">
        <f>IFERROR(INDEX(List_Predictors, INDEX(Array_PredictorsLookup,MATCH($A206,List_PredictorFacilities,0),(COLUMN()-1)/2), 1),"")</f>
        <v/>
      </c>
      <c r="J206" s="137"/>
      <c r="K206" s="58" t="str" cm="1">
        <f>IFERROR(INDEX(List_Predictors, INDEX(Array_PredictorsLookup,MATCH($A206,List_PredictorFacilities,0),(COLUMN()-1)/2), 1),"")</f>
        <v/>
      </c>
      <c r="L206" s="137"/>
      <c r="M206" s="58" t="str" cm="1">
        <f>IFERROR(INDEX(List_Predictors, INDEX(Array_PredictorsLookup,MATCH($A206,List_PredictorFacilities,0),(COLUMN()-1)/2), 1),"")</f>
        <v/>
      </c>
      <c r="N206" s="137"/>
      <c r="O206" s="58" t="str" cm="1">
        <f>IFERROR(INDEX(List_Predictors, INDEX(Array_PredictorsLookup,MATCH($A206,List_PredictorFacilities,0),(COLUMN()-1)/2), 1),"")</f>
        <v/>
      </c>
      <c r="P206" s="137"/>
      <c r="Q206" s="58" t="str" cm="1">
        <f>IFERROR(INDEX(List_Predictors, INDEX(Array_PredictorsLookup,MATCH($A206,List_PredictorFacilities,0),(COLUMN()-1)/2), 1),"")</f>
        <v/>
      </c>
      <c r="R206" s="137"/>
      <c r="S206" s="58" t="str" cm="1">
        <f>IFERROR(INDEX(List_Predictors, INDEX(Array_PredictorsLookup,MATCH($A206,List_PredictorFacilities,0),(COLUMN()-1)/2), 1),"")</f>
        <v/>
      </c>
      <c r="T206" s="137"/>
      <c r="U206" s="58" t="str" cm="1">
        <f>IFERROR(INDEX(List_Predictors, INDEX(Array_PredictorsLookup,MATCH($A206,List_PredictorFacilities,0),(COLUMN()-1)/2), 1),"")</f>
        <v/>
      </c>
      <c r="V206" s="137"/>
      <c r="W206" s="58" t="str" cm="1">
        <f>IFERROR(INDEX(List_Predictors, INDEX(Array_PredictorsLookup,MATCH($A206,List_PredictorFacilities,0),(COLUMN()-1)/2), 1),"")</f>
        <v/>
      </c>
      <c r="X206" s="137"/>
      <c r="Y206" s="58" t="str" cm="1">
        <f>IFERROR(INDEX(List_Predictors, INDEX(Array_PredictorsLookup,MATCH($A206,List_PredictorFacilities,0),(COLUMN()-1)/2), 1),"")</f>
        <v/>
      </c>
      <c r="Z206" s="137"/>
      <c r="AA206" s="58" t="str" cm="1">
        <f>IFERROR(INDEX(List_Predictors, INDEX(Array_PredictorsLookup,MATCH($A206,List_PredictorFacilities,0),(COLUMN()-1)/2), 1),"")</f>
        <v/>
      </c>
      <c r="AB206" s="137"/>
      <c r="AC206" s="58" t="str" cm="1">
        <f>IFERROR(INDEX(List_Predictors, INDEX(Array_PredictorsLookup,MATCH($A206,List_PredictorFacilities,0),(COLUMN()-1)/2), 1),"")</f>
        <v/>
      </c>
      <c r="AD206" s="137"/>
      <c r="AE206" s="58" t="str" cm="1">
        <f>IFERROR(INDEX(List_Predictors, INDEX(Array_PredictorsLookup,MATCH($A206,List_PredictorFacilities,0),(COLUMN()-1)/2), 1),"")</f>
        <v/>
      </c>
      <c r="AF206" s="137"/>
    </row>
    <row r="207" spans="1:32" x14ac:dyDescent="0.3">
      <c r="A207" s="126"/>
      <c r="B207" s="141"/>
      <c r="C207" s="58" t="str" cm="1">
        <f>IFERROR(INDEX(List_Predictors, INDEX(Array_PredictorsLookup,MATCH($A207,List_PredictorFacilities,0),(COLUMN()-1)/2), 1),"")</f>
        <v/>
      </c>
      <c r="D207" s="137"/>
      <c r="E207" s="58" t="str" cm="1">
        <f>IFERROR(INDEX(List_Predictors, INDEX(Array_PredictorsLookup,MATCH($A207,List_PredictorFacilities,0),(COLUMN()-1)/2), 1),"")</f>
        <v/>
      </c>
      <c r="F207" s="137"/>
      <c r="G207" s="58" t="str" cm="1">
        <f>IFERROR(INDEX(List_Predictors, INDEX(Array_PredictorsLookup,MATCH($A207,List_PredictorFacilities,0),(COLUMN()-1)/2), 1),"")</f>
        <v/>
      </c>
      <c r="H207" s="137"/>
      <c r="I207" s="58" t="str" cm="1">
        <f>IFERROR(INDEX(List_Predictors, INDEX(Array_PredictorsLookup,MATCH($A207,List_PredictorFacilities,0),(COLUMN()-1)/2), 1),"")</f>
        <v/>
      </c>
      <c r="J207" s="137"/>
      <c r="K207" s="58" t="str" cm="1">
        <f>IFERROR(INDEX(List_Predictors, INDEX(Array_PredictorsLookup,MATCH($A207,List_PredictorFacilities,0),(COLUMN()-1)/2), 1),"")</f>
        <v/>
      </c>
      <c r="L207" s="137"/>
      <c r="M207" s="58" t="str" cm="1">
        <f>IFERROR(INDEX(List_Predictors, INDEX(Array_PredictorsLookup,MATCH($A207,List_PredictorFacilities,0),(COLUMN()-1)/2), 1),"")</f>
        <v/>
      </c>
      <c r="N207" s="137"/>
      <c r="O207" s="58" t="str" cm="1">
        <f>IFERROR(INDEX(List_Predictors, INDEX(Array_PredictorsLookup,MATCH($A207,List_PredictorFacilities,0),(COLUMN()-1)/2), 1),"")</f>
        <v/>
      </c>
      <c r="P207" s="137"/>
      <c r="Q207" s="58" t="str" cm="1">
        <f>IFERROR(INDEX(List_Predictors, INDEX(Array_PredictorsLookup,MATCH($A207,List_PredictorFacilities,0),(COLUMN()-1)/2), 1),"")</f>
        <v/>
      </c>
      <c r="R207" s="137"/>
      <c r="S207" s="58" t="str" cm="1">
        <f>IFERROR(INDEX(List_Predictors, INDEX(Array_PredictorsLookup,MATCH($A207,List_PredictorFacilities,0),(COLUMN()-1)/2), 1),"")</f>
        <v/>
      </c>
      <c r="T207" s="137"/>
      <c r="U207" s="58" t="str" cm="1">
        <f>IFERROR(INDEX(List_Predictors, INDEX(Array_PredictorsLookup,MATCH($A207,List_PredictorFacilities,0),(COLUMN()-1)/2), 1),"")</f>
        <v/>
      </c>
      <c r="V207" s="137"/>
      <c r="W207" s="58" t="str" cm="1">
        <f>IFERROR(INDEX(List_Predictors, INDEX(Array_PredictorsLookup,MATCH($A207,List_PredictorFacilities,0),(COLUMN()-1)/2), 1),"")</f>
        <v/>
      </c>
      <c r="X207" s="137"/>
      <c r="Y207" s="58" t="str" cm="1">
        <f>IFERROR(INDEX(List_Predictors, INDEX(Array_PredictorsLookup,MATCH($A207,List_PredictorFacilities,0),(COLUMN()-1)/2), 1),"")</f>
        <v/>
      </c>
      <c r="Z207" s="137"/>
      <c r="AA207" s="58" t="str" cm="1">
        <f>IFERROR(INDEX(List_Predictors, INDEX(Array_PredictorsLookup,MATCH($A207,List_PredictorFacilities,0),(COLUMN()-1)/2), 1),"")</f>
        <v/>
      </c>
      <c r="AB207" s="137"/>
      <c r="AC207" s="58" t="str" cm="1">
        <f>IFERROR(INDEX(List_Predictors, INDEX(Array_PredictorsLookup,MATCH($A207,List_PredictorFacilities,0),(COLUMN()-1)/2), 1),"")</f>
        <v/>
      </c>
      <c r="AD207" s="137"/>
      <c r="AE207" s="58" t="str" cm="1">
        <f>IFERROR(INDEX(List_Predictors, INDEX(Array_PredictorsLookup,MATCH($A207,List_PredictorFacilities,0),(COLUMN()-1)/2), 1),"")</f>
        <v/>
      </c>
      <c r="AF207" s="137"/>
    </row>
    <row r="208" spans="1:32" x14ac:dyDescent="0.3">
      <c r="A208" s="126"/>
      <c r="B208" s="141"/>
      <c r="C208" s="58" t="str" cm="1">
        <f>IFERROR(INDEX(List_Predictors, INDEX(Array_PredictorsLookup,MATCH($A208,List_PredictorFacilities,0),(COLUMN()-1)/2), 1),"")</f>
        <v/>
      </c>
      <c r="D208" s="137"/>
      <c r="E208" s="58" t="str" cm="1">
        <f>IFERROR(INDEX(List_Predictors, INDEX(Array_PredictorsLookup,MATCH($A208,List_PredictorFacilities,0),(COLUMN()-1)/2), 1),"")</f>
        <v/>
      </c>
      <c r="F208" s="137"/>
      <c r="G208" s="58" t="str" cm="1">
        <f>IFERROR(INDEX(List_Predictors, INDEX(Array_PredictorsLookup,MATCH($A208,List_PredictorFacilities,0),(COLUMN()-1)/2), 1),"")</f>
        <v/>
      </c>
      <c r="H208" s="137"/>
      <c r="I208" s="58" t="str" cm="1">
        <f>IFERROR(INDEX(List_Predictors, INDEX(Array_PredictorsLookup,MATCH($A208,List_PredictorFacilities,0),(COLUMN()-1)/2), 1),"")</f>
        <v/>
      </c>
      <c r="J208" s="137"/>
      <c r="K208" s="58" t="str" cm="1">
        <f>IFERROR(INDEX(List_Predictors, INDEX(Array_PredictorsLookup,MATCH($A208,List_PredictorFacilities,0),(COLUMN()-1)/2), 1),"")</f>
        <v/>
      </c>
      <c r="L208" s="137"/>
      <c r="M208" s="58" t="str" cm="1">
        <f>IFERROR(INDEX(List_Predictors, INDEX(Array_PredictorsLookup,MATCH($A208,List_PredictorFacilities,0),(COLUMN()-1)/2), 1),"")</f>
        <v/>
      </c>
      <c r="N208" s="137"/>
      <c r="O208" s="58" t="str" cm="1">
        <f>IFERROR(INDEX(List_Predictors, INDEX(Array_PredictorsLookup,MATCH($A208,List_PredictorFacilities,0),(COLUMN()-1)/2), 1),"")</f>
        <v/>
      </c>
      <c r="P208" s="137"/>
      <c r="Q208" s="58" t="str" cm="1">
        <f>IFERROR(INDEX(List_Predictors, INDEX(Array_PredictorsLookup,MATCH($A208,List_PredictorFacilities,0),(COLUMN()-1)/2), 1),"")</f>
        <v/>
      </c>
      <c r="R208" s="137"/>
      <c r="S208" s="58" t="str" cm="1">
        <f>IFERROR(INDEX(List_Predictors, INDEX(Array_PredictorsLookup,MATCH($A208,List_PredictorFacilities,0),(COLUMN()-1)/2), 1),"")</f>
        <v/>
      </c>
      <c r="T208" s="137"/>
      <c r="U208" s="58" t="str" cm="1">
        <f>IFERROR(INDEX(List_Predictors, INDEX(Array_PredictorsLookup,MATCH($A208,List_PredictorFacilities,0),(COLUMN()-1)/2), 1),"")</f>
        <v/>
      </c>
      <c r="V208" s="137"/>
      <c r="W208" s="58" t="str" cm="1">
        <f>IFERROR(INDEX(List_Predictors, INDEX(Array_PredictorsLookup,MATCH($A208,List_PredictorFacilities,0),(COLUMN()-1)/2), 1),"")</f>
        <v/>
      </c>
      <c r="X208" s="137"/>
      <c r="Y208" s="58" t="str" cm="1">
        <f>IFERROR(INDEX(List_Predictors, INDEX(Array_PredictorsLookup,MATCH($A208,List_PredictorFacilities,0),(COLUMN()-1)/2), 1),"")</f>
        <v/>
      </c>
      <c r="Z208" s="137"/>
      <c r="AA208" s="58" t="str" cm="1">
        <f>IFERROR(INDEX(List_Predictors, INDEX(Array_PredictorsLookup,MATCH($A208,List_PredictorFacilities,0),(COLUMN()-1)/2), 1),"")</f>
        <v/>
      </c>
      <c r="AB208" s="137"/>
      <c r="AC208" s="58" t="str" cm="1">
        <f>IFERROR(INDEX(List_Predictors, INDEX(Array_PredictorsLookup,MATCH($A208,List_PredictorFacilities,0),(COLUMN()-1)/2), 1),"")</f>
        <v/>
      </c>
      <c r="AD208" s="137"/>
      <c r="AE208" s="58" t="str" cm="1">
        <f>IFERROR(INDEX(List_Predictors, INDEX(Array_PredictorsLookup,MATCH($A208,List_PredictorFacilities,0),(COLUMN()-1)/2), 1),"")</f>
        <v/>
      </c>
      <c r="AF208" s="137"/>
    </row>
    <row r="209" spans="1:32" x14ac:dyDescent="0.3">
      <c r="A209" s="126"/>
      <c r="B209" s="141"/>
      <c r="C209" s="58" t="str" cm="1">
        <f>IFERROR(INDEX(List_Predictors, INDEX(Array_PredictorsLookup,MATCH($A209,List_PredictorFacilities,0),(COLUMN()-1)/2), 1),"")</f>
        <v/>
      </c>
      <c r="D209" s="137"/>
      <c r="E209" s="58" t="str" cm="1">
        <f>IFERROR(INDEX(List_Predictors, INDEX(Array_PredictorsLookup,MATCH($A209,List_PredictorFacilities,0),(COLUMN()-1)/2), 1),"")</f>
        <v/>
      </c>
      <c r="F209" s="137"/>
      <c r="G209" s="58" t="str" cm="1">
        <f>IFERROR(INDEX(List_Predictors, INDEX(Array_PredictorsLookup,MATCH($A209,List_PredictorFacilities,0),(COLUMN()-1)/2), 1),"")</f>
        <v/>
      </c>
      <c r="H209" s="137"/>
      <c r="I209" s="58" t="str" cm="1">
        <f>IFERROR(INDEX(List_Predictors, INDEX(Array_PredictorsLookup,MATCH($A209,List_PredictorFacilities,0),(COLUMN()-1)/2), 1),"")</f>
        <v/>
      </c>
      <c r="J209" s="137"/>
      <c r="K209" s="58" t="str" cm="1">
        <f>IFERROR(INDEX(List_Predictors, INDEX(Array_PredictorsLookup,MATCH($A209,List_PredictorFacilities,0),(COLUMN()-1)/2), 1),"")</f>
        <v/>
      </c>
      <c r="L209" s="137"/>
      <c r="M209" s="58" t="str" cm="1">
        <f>IFERROR(INDEX(List_Predictors, INDEX(Array_PredictorsLookup,MATCH($A209,List_PredictorFacilities,0),(COLUMN()-1)/2), 1),"")</f>
        <v/>
      </c>
      <c r="N209" s="137"/>
      <c r="O209" s="58" t="str" cm="1">
        <f>IFERROR(INDEX(List_Predictors, INDEX(Array_PredictorsLookup,MATCH($A209,List_PredictorFacilities,0),(COLUMN()-1)/2), 1),"")</f>
        <v/>
      </c>
      <c r="P209" s="137"/>
      <c r="Q209" s="58" t="str" cm="1">
        <f>IFERROR(INDEX(List_Predictors, INDEX(Array_PredictorsLookup,MATCH($A209,List_PredictorFacilities,0),(COLUMN()-1)/2), 1),"")</f>
        <v/>
      </c>
      <c r="R209" s="137"/>
      <c r="S209" s="58" t="str" cm="1">
        <f>IFERROR(INDEX(List_Predictors, INDEX(Array_PredictorsLookup,MATCH($A209,List_PredictorFacilities,0),(COLUMN()-1)/2), 1),"")</f>
        <v/>
      </c>
      <c r="T209" s="137"/>
      <c r="U209" s="58" t="str" cm="1">
        <f>IFERROR(INDEX(List_Predictors, INDEX(Array_PredictorsLookup,MATCH($A209,List_PredictorFacilities,0),(COLUMN()-1)/2), 1),"")</f>
        <v/>
      </c>
      <c r="V209" s="137"/>
      <c r="W209" s="58" t="str" cm="1">
        <f>IFERROR(INDEX(List_Predictors, INDEX(Array_PredictorsLookup,MATCH($A209,List_PredictorFacilities,0),(COLUMN()-1)/2), 1),"")</f>
        <v/>
      </c>
      <c r="X209" s="137"/>
      <c r="Y209" s="58" t="str" cm="1">
        <f>IFERROR(INDEX(List_Predictors, INDEX(Array_PredictorsLookup,MATCH($A209,List_PredictorFacilities,0),(COLUMN()-1)/2), 1),"")</f>
        <v/>
      </c>
      <c r="Z209" s="137"/>
      <c r="AA209" s="58" t="str" cm="1">
        <f>IFERROR(INDEX(List_Predictors, INDEX(Array_PredictorsLookup,MATCH($A209,List_PredictorFacilities,0),(COLUMN()-1)/2), 1),"")</f>
        <v/>
      </c>
      <c r="AB209" s="137"/>
      <c r="AC209" s="58" t="str" cm="1">
        <f>IFERROR(INDEX(List_Predictors, INDEX(Array_PredictorsLookup,MATCH($A209,List_PredictorFacilities,0),(COLUMN()-1)/2), 1),"")</f>
        <v/>
      </c>
      <c r="AD209" s="137"/>
      <c r="AE209" s="58" t="str" cm="1">
        <f>IFERROR(INDEX(List_Predictors, INDEX(Array_PredictorsLookup,MATCH($A209,List_PredictorFacilities,0),(COLUMN()-1)/2), 1),"")</f>
        <v/>
      </c>
      <c r="AF209" s="137"/>
    </row>
    <row r="210" spans="1:32" x14ac:dyDescent="0.3">
      <c r="A210" s="126"/>
      <c r="B210" s="141"/>
      <c r="C210" s="58" t="str" cm="1">
        <f>IFERROR(INDEX(List_Predictors, INDEX(Array_PredictorsLookup,MATCH($A210,List_PredictorFacilities,0),(COLUMN()-1)/2), 1),"")</f>
        <v/>
      </c>
      <c r="D210" s="137"/>
      <c r="E210" s="58" t="str" cm="1">
        <f>IFERROR(INDEX(List_Predictors, INDEX(Array_PredictorsLookup,MATCH($A210,List_PredictorFacilities,0),(COLUMN()-1)/2), 1),"")</f>
        <v/>
      </c>
      <c r="F210" s="137"/>
      <c r="G210" s="58" t="str" cm="1">
        <f>IFERROR(INDEX(List_Predictors, INDEX(Array_PredictorsLookup,MATCH($A210,List_PredictorFacilities,0),(COLUMN()-1)/2), 1),"")</f>
        <v/>
      </c>
      <c r="H210" s="137"/>
      <c r="I210" s="58" t="str" cm="1">
        <f>IFERROR(INDEX(List_Predictors, INDEX(Array_PredictorsLookup,MATCH($A210,List_PredictorFacilities,0),(COLUMN()-1)/2), 1),"")</f>
        <v/>
      </c>
      <c r="J210" s="137"/>
      <c r="K210" s="58" t="str" cm="1">
        <f>IFERROR(INDEX(List_Predictors, INDEX(Array_PredictorsLookup,MATCH($A210,List_PredictorFacilities,0),(COLUMN()-1)/2), 1),"")</f>
        <v/>
      </c>
      <c r="L210" s="137"/>
      <c r="M210" s="58" t="str" cm="1">
        <f>IFERROR(INDEX(List_Predictors, INDEX(Array_PredictorsLookup,MATCH($A210,List_PredictorFacilities,0),(COLUMN()-1)/2), 1),"")</f>
        <v/>
      </c>
      <c r="N210" s="137"/>
      <c r="O210" s="58" t="str" cm="1">
        <f>IFERROR(INDEX(List_Predictors, INDEX(Array_PredictorsLookup,MATCH($A210,List_PredictorFacilities,0),(COLUMN()-1)/2), 1),"")</f>
        <v/>
      </c>
      <c r="P210" s="137"/>
      <c r="Q210" s="58" t="str" cm="1">
        <f>IFERROR(INDEX(List_Predictors, INDEX(Array_PredictorsLookup,MATCH($A210,List_PredictorFacilities,0),(COLUMN()-1)/2), 1),"")</f>
        <v/>
      </c>
      <c r="R210" s="137"/>
      <c r="S210" s="58" t="str" cm="1">
        <f>IFERROR(INDEX(List_Predictors, INDEX(Array_PredictorsLookup,MATCH($A210,List_PredictorFacilities,0),(COLUMN()-1)/2), 1),"")</f>
        <v/>
      </c>
      <c r="T210" s="137"/>
      <c r="U210" s="58" t="str" cm="1">
        <f>IFERROR(INDEX(List_Predictors, INDEX(Array_PredictorsLookup,MATCH($A210,List_PredictorFacilities,0),(COLUMN()-1)/2), 1),"")</f>
        <v/>
      </c>
      <c r="V210" s="137"/>
      <c r="W210" s="58" t="str" cm="1">
        <f>IFERROR(INDEX(List_Predictors, INDEX(Array_PredictorsLookup,MATCH($A210,List_PredictorFacilities,0),(COLUMN()-1)/2), 1),"")</f>
        <v/>
      </c>
      <c r="X210" s="137"/>
      <c r="Y210" s="58" t="str" cm="1">
        <f>IFERROR(INDEX(List_Predictors, INDEX(Array_PredictorsLookup,MATCH($A210,List_PredictorFacilities,0),(COLUMN()-1)/2), 1),"")</f>
        <v/>
      </c>
      <c r="Z210" s="137"/>
      <c r="AA210" s="58" t="str" cm="1">
        <f>IFERROR(INDEX(List_Predictors, INDEX(Array_PredictorsLookup,MATCH($A210,List_PredictorFacilities,0),(COLUMN()-1)/2), 1),"")</f>
        <v/>
      </c>
      <c r="AB210" s="137"/>
      <c r="AC210" s="58" t="str" cm="1">
        <f>IFERROR(INDEX(List_Predictors, INDEX(Array_PredictorsLookup,MATCH($A210,List_PredictorFacilities,0),(COLUMN()-1)/2), 1),"")</f>
        <v/>
      </c>
      <c r="AD210" s="137"/>
      <c r="AE210" s="58" t="str" cm="1">
        <f>IFERROR(INDEX(List_Predictors, INDEX(Array_PredictorsLookup,MATCH($A210,List_PredictorFacilities,0),(COLUMN()-1)/2), 1),"")</f>
        <v/>
      </c>
      <c r="AF210" s="137"/>
    </row>
    <row r="211" spans="1:32" x14ac:dyDescent="0.3">
      <c r="A211" s="126"/>
      <c r="B211" s="141"/>
      <c r="C211" s="58" t="str" cm="1">
        <f>IFERROR(INDEX(List_Predictors, INDEX(Array_PredictorsLookup,MATCH($A211,List_PredictorFacilities,0),(COLUMN()-1)/2), 1),"")</f>
        <v/>
      </c>
      <c r="D211" s="137"/>
      <c r="E211" s="58" t="str" cm="1">
        <f>IFERROR(INDEX(List_Predictors, INDEX(Array_PredictorsLookup,MATCH($A211,List_PredictorFacilities,0),(COLUMN()-1)/2), 1),"")</f>
        <v/>
      </c>
      <c r="F211" s="137"/>
      <c r="G211" s="58" t="str" cm="1">
        <f>IFERROR(INDEX(List_Predictors, INDEX(Array_PredictorsLookup,MATCH($A211,List_PredictorFacilities,0),(COLUMN()-1)/2), 1),"")</f>
        <v/>
      </c>
      <c r="H211" s="137"/>
      <c r="I211" s="58" t="str" cm="1">
        <f>IFERROR(INDEX(List_Predictors, INDEX(Array_PredictorsLookup,MATCH($A211,List_PredictorFacilities,0),(COLUMN()-1)/2), 1),"")</f>
        <v/>
      </c>
      <c r="J211" s="137"/>
      <c r="K211" s="58" t="str" cm="1">
        <f>IFERROR(INDEX(List_Predictors, INDEX(Array_PredictorsLookup,MATCH($A211,List_PredictorFacilities,0),(COLUMN()-1)/2), 1),"")</f>
        <v/>
      </c>
      <c r="L211" s="137"/>
      <c r="M211" s="58" t="str" cm="1">
        <f>IFERROR(INDEX(List_Predictors, INDEX(Array_PredictorsLookup,MATCH($A211,List_PredictorFacilities,0),(COLUMN()-1)/2), 1),"")</f>
        <v/>
      </c>
      <c r="N211" s="137"/>
      <c r="O211" s="58" t="str" cm="1">
        <f>IFERROR(INDEX(List_Predictors, INDEX(Array_PredictorsLookup,MATCH($A211,List_PredictorFacilities,0),(COLUMN()-1)/2), 1),"")</f>
        <v/>
      </c>
      <c r="P211" s="137"/>
      <c r="Q211" s="58" t="str" cm="1">
        <f>IFERROR(INDEX(List_Predictors, INDEX(Array_PredictorsLookup,MATCH($A211,List_PredictorFacilities,0),(COLUMN()-1)/2), 1),"")</f>
        <v/>
      </c>
      <c r="R211" s="137"/>
      <c r="S211" s="58" t="str" cm="1">
        <f>IFERROR(INDEX(List_Predictors, INDEX(Array_PredictorsLookup,MATCH($A211,List_PredictorFacilities,0),(COLUMN()-1)/2), 1),"")</f>
        <v/>
      </c>
      <c r="T211" s="137"/>
      <c r="U211" s="58" t="str" cm="1">
        <f>IFERROR(INDEX(List_Predictors, INDEX(Array_PredictorsLookup,MATCH($A211,List_PredictorFacilities,0),(COLUMN()-1)/2), 1),"")</f>
        <v/>
      </c>
      <c r="V211" s="137"/>
      <c r="W211" s="58" t="str" cm="1">
        <f>IFERROR(INDEX(List_Predictors, INDEX(Array_PredictorsLookup,MATCH($A211,List_PredictorFacilities,0),(COLUMN()-1)/2), 1),"")</f>
        <v/>
      </c>
      <c r="X211" s="137"/>
      <c r="Y211" s="58" t="str" cm="1">
        <f>IFERROR(INDEX(List_Predictors, INDEX(Array_PredictorsLookup,MATCH($A211,List_PredictorFacilities,0),(COLUMN()-1)/2), 1),"")</f>
        <v/>
      </c>
      <c r="Z211" s="137"/>
      <c r="AA211" s="58" t="str" cm="1">
        <f>IFERROR(INDEX(List_Predictors, INDEX(Array_PredictorsLookup,MATCH($A211,List_PredictorFacilities,0),(COLUMN()-1)/2), 1),"")</f>
        <v/>
      </c>
      <c r="AB211" s="137"/>
      <c r="AC211" s="58" t="str" cm="1">
        <f>IFERROR(INDEX(List_Predictors, INDEX(Array_PredictorsLookup,MATCH($A211,List_PredictorFacilities,0),(COLUMN()-1)/2), 1),"")</f>
        <v/>
      </c>
      <c r="AD211" s="137"/>
      <c r="AE211" s="58" t="str" cm="1">
        <f>IFERROR(INDEX(List_Predictors, INDEX(Array_PredictorsLookup,MATCH($A211,List_PredictorFacilities,0),(COLUMN()-1)/2), 1),"")</f>
        <v/>
      </c>
      <c r="AF211" s="137"/>
    </row>
    <row r="212" spans="1:32" x14ac:dyDescent="0.3">
      <c r="A212" s="126"/>
      <c r="B212" s="141"/>
      <c r="C212" s="58" t="str" cm="1">
        <f>IFERROR(INDEX(List_Predictors, INDEX(Array_PredictorsLookup,MATCH($A212,List_PredictorFacilities,0),(COLUMN()-1)/2), 1),"")</f>
        <v/>
      </c>
      <c r="D212" s="137"/>
      <c r="E212" s="58" t="str" cm="1">
        <f>IFERROR(INDEX(List_Predictors, INDEX(Array_PredictorsLookup,MATCH($A212,List_PredictorFacilities,0),(COLUMN()-1)/2), 1),"")</f>
        <v/>
      </c>
      <c r="F212" s="137"/>
      <c r="G212" s="58" t="str" cm="1">
        <f>IFERROR(INDEX(List_Predictors, INDEX(Array_PredictorsLookup,MATCH($A212,List_PredictorFacilities,0),(COLUMN()-1)/2), 1),"")</f>
        <v/>
      </c>
      <c r="H212" s="137"/>
      <c r="I212" s="58" t="str" cm="1">
        <f>IFERROR(INDEX(List_Predictors, INDEX(Array_PredictorsLookup,MATCH($A212,List_PredictorFacilities,0),(COLUMN()-1)/2), 1),"")</f>
        <v/>
      </c>
      <c r="J212" s="137"/>
      <c r="K212" s="58" t="str" cm="1">
        <f>IFERROR(INDEX(List_Predictors, INDEX(Array_PredictorsLookup,MATCH($A212,List_PredictorFacilities,0),(COLUMN()-1)/2), 1),"")</f>
        <v/>
      </c>
      <c r="L212" s="137"/>
      <c r="M212" s="58" t="str" cm="1">
        <f>IFERROR(INDEX(List_Predictors, INDEX(Array_PredictorsLookup,MATCH($A212,List_PredictorFacilities,0),(COLUMN()-1)/2), 1),"")</f>
        <v/>
      </c>
      <c r="N212" s="137"/>
      <c r="O212" s="58" t="str" cm="1">
        <f>IFERROR(INDEX(List_Predictors, INDEX(Array_PredictorsLookup,MATCH($A212,List_PredictorFacilities,0),(COLUMN()-1)/2), 1),"")</f>
        <v/>
      </c>
      <c r="P212" s="137"/>
      <c r="Q212" s="58" t="str" cm="1">
        <f>IFERROR(INDEX(List_Predictors, INDEX(Array_PredictorsLookup,MATCH($A212,List_PredictorFacilities,0),(COLUMN()-1)/2), 1),"")</f>
        <v/>
      </c>
      <c r="R212" s="137"/>
      <c r="S212" s="58" t="str" cm="1">
        <f>IFERROR(INDEX(List_Predictors, INDEX(Array_PredictorsLookup,MATCH($A212,List_PredictorFacilities,0),(COLUMN()-1)/2), 1),"")</f>
        <v/>
      </c>
      <c r="T212" s="137"/>
      <c r="U212" s="58" t="str" cm="1">
        <f>IFERROR(INDEX(List_Predictors, INDEX(Array_PredictorsLookup,MATCH($A212,List_PredictorFacilities,0),(COLUMN()-1)/2), 1),"")</f>
        <v/>
      </c>
      <c r="V212" s="137"/>
      <c r="W212" s="58" t="str" cm="1">
        <f>IFERROR(INDEX(List_Predictors, INDEX(Array_PredictorsLookup,MATCH($A212,List_PredictorFacilities,0),(COLUMN()-1)/2), 1),"")</f>
        <v/>
      </c>
      <c r="X212" s="137"/>
      <c r="Y212" s="58" t="str" cm="1">
        <f>IFERROR(INDEX(List_Predictors, INDEX(Array_PredictorsLookup,MATCH($A212,List_PredictorFacilities,0),(COLUMN()-1)/2), 1),"")</f>
        <v/>
      </c>
      <c r="Z212" s="137"/>
      <c r="AA212" s="58" t="str" cm="1">
        <f>IFERROR(INDEX(List_Predictors, INDEX(Array_PredictorsLookup,MATCH($A212,List_PredictorFacilities,0),(COLUMN()-1)/2), 1),"")</f>
        <v/>
      </c>
      <c r="AB212" s="137"/>
      <c r="AC212" s="58" t="str" cm="1">
        <f>IFERROR(INDEX(List_Predictors, INDEX(Array_PredictorsLookup,MATCH($A212,List_PredictorFacilities,0),(COLUMN()-1)/2), 1),"")</f>
        <v/>
      </c>
      <c r="AD212" s="137"/>
      <c r="AE212" s="58" t="str" cm="1">
        <f>IFERROR(INDEX(List_Predictors, INDEX(Array_PredictorsLookup,MATCH($A212,List_PredictorFacilities,0),(COLUMN()-1)/2), 1),"")</f>
        <v/>
      </c>
      <c r="AF212" s="137"/>
    </row>
    <row r="213" spans="1:32" x14ac:dyDescent="0.3">
      <c r="A213" s="126"/>
      <c r="B213" s="141"/>
      <c r="C213" s="58" t="str" cm="1">
        <f>IFERROR(INDEX(List_Predictors, INDEX(Array_PredictorsLookup,MATCH($A213,List_PredictorFacilities,0),(COLUMN()-1)/2), 1),"")</f>
        <v/>
      </c>
      <c r="D213" s="137"/>
      <c r="E213" s="58" t="str" cm="1">
        <f>IFERROR(INDEX(List_Predictors, INDEX(Array_PredictorsLookup,MATCH($A213,List_PredictorFacilities,0),(COLUMN()-1)/2), 1),"")</f>
        <v/>
      </c>
      <c r="F213" s="137"/>
      <c r="G213" s="58" t="str" cm="1">
        <f>IFERROR(INDEX(List_Predictors, INDEX(Array_PredictorsLookup,MATCH($A213,List_PredictorFacilities,0),(COLUMN()-1)/2), 1),"")</f>
        <v/>
      </c>
      <c r="H213" s="137"/>
      <c r="I213" s="58" t="str" cm="1">
        <f>IFERROR(INDEX(List_Predictors, INDEX(Array_PredictorsLookup,MATCH($A213,List_PredictorFacilities,0),(COLUMN()-1)/2), 1),"")</f>
        <v/>
      </c>
      <c r="J213" s="137"/>
      <c r="K213" s="58" t="str" cm="1">
        <f>IFERROR(INDEX(List_Predictors, INDEX(Array_PredictorsLookup,MATCH($A213,List_PredictorFacilities,0),(COLUMN()-1)/2), 1),"")</f>
        <v/>
      </c>
      <c r="L213" s="137"/>
      <c r="M213" s="58" t="str" cm="1">
        <f>IFERROR(INDEX(List_Predictors, INDEX(Array_PredictorsLookup,MATCH($A213,List_PredictorFacilities,0),(COLUMN()-1)/2), 1),"")</f>
        <v/>
      </c>
      <c r="N213" s="137"/>
      <c r="O213" s="58" t="str" cm="1">
        <f>IFERROR(INDEX(List_Predictors, INDEX(Array_PredictorsLookup,MATCH($A213,List_PredictorFacilities,0),(COLUMN()-1)/2), 1),"")</f>
        <v/>
      </c>
      <c r="P213" s="137"/>
      <c r="Q213" s="58" t="str" cm="1">
        <f>IFERROR(INDEX(List_Predictors, INDEX(Array_PredictorsLookup,MATCH($A213,List_PredictorFacilities,0),(COLUMN()-1)/2), 1),"")</f>
        <v/>
      </c>
      <c r="R213" s="137"/>
      <c r="S213" s="58" t="str" cm="1">
        <f>IFERROR(INDEX(List_Predictors, INDEX(Array_PredictorsLookup,MATCH($A213,List_PredictorFacilities,0),(COLUMN()-1)/2), 1),"")</f>
        <v/>
      </c>
      <c r="T213" s="137"/>
      <c r="U213" s="58" t="str" cm="1">
        <f>IFERROR(INDEX(List_Predictors, INDEX(Array_PredictorsLookup,MATCH($A213,List_PredictorFacilities,0),(COLUMN()-1)/2), 1),"")</f>
        <v/>
      </c>
      <c r="V213" s="137"/>
      <c r="W213" s="58" t="str" cm="1">
        <f>IFERROR(INDEX(List_Predictors, INDEX(Array_PredictorsLookup,MATCH($A213,List_PredictorFacilities,0),(COLUMN()-1)/2), 1),"")</f>
        <v/>
      </c>
      <c r="X213" s="137"/>
      <c r="Y213" s="58" t="str" cm="1">
        <f>IFERROR(INDEX(List_Predictors, INDEX(Array_PredictorsLookup,MATCH($A213,List_PredictorFacilities,0),(COLUMN()-1)/2), 1),"")</f>
        <v/>
      </c>
      <c r="Z213" s="137"/>
      <c r="AA213" s="58" t="str" cm="1">
        <f>IFERROR(INDEX(List_Predictors, INDEX(Array_PredictorsLookup,MATCH($A213,List_PredictorFacilities,0),(COLUMN()-1)/2), 1),"")</f>
        <v/>
      </c>
      <c r="AB213" s="137"/>
      <c r="AC213" s="58" t="str" cm="1">
        <f>IFERROR(INDEX(List_Predictors, INDEX(Array_PredictorsLookup,MATCH($A213,List_PredictorFacilities,0),(COLUMN()-1)/2), 1),"")</f>
        <v/>
      </c>
      <c r="AD213" s="137"/>
      <c r="AE213" s="58" t="str" cm="1">
        <f>IFERROR(INDEX(List_Predictors, INDEX(Array_PredictorsLookup,MATCH($A213,List_PredictorFacilities,0),(COLUMN()-1)/2), 1),"")</f>
        <v/>
      </c>
      <c r="AF213" s="137"/>
    </row>
    <row r="214" spans="1:32" x14ac:dyDescent="0.3">
      <c r="A214" s="126"/>
      <c r="B214" s="141"/>
      <c r="C214" s="58" t="str" cm="1">
        <f>IFERROR(INDEX(List_Predictors, INDEX(Array_PredictorsLookup,MATCH($A214,List_PredictorFacilities,0),(COLUMN()-1)/2), 1),"")</f>
        <v/>
      </c>
      <c r="D214" s="137"/>
      <c r="E214" s="58" t="str" cm="1">
        <f>IFERROR(INDEX(List_Predictors, INDEX(Array_PredictorsLookup,MATCH($A214,List_PredictorFacilities,0),(COLUMN()-1)/2), 1),"")</f>
        <v/>
      </c>
      <c r="F214" s="137"/>
      <c r="G214" s="58" t="str" cm="1">
        <f>IFERROR(INDEX(List_Predictors, INDEX(Array_PredictorsLookup,MATCH($A214,List_PredictorFacilities,0),(COLUMN()-1)/2), 1),"")</f>
        <v/>
      </c>
      <c r="H214" s="137"/>
      <c r="I214" s="58" t="str" cm="1">
        <f>IFERROR(INDEX(List_Predictors, INDEX(Array_PredictorsLookup,MATCH($A214,List_PredictorFacilities,0),(COLUMN()-1)/2), 1),"")</f>
        <v/>
      </c>
      <c r="J214" s="137"/>
      <c r="K214" s="58" t="str" cm="1">
        <f>IFERROR(INDEX(List_Predictors, INDEX(Array_PredictorsLookup,MATCH($A214,List_PredictorFacilities,0),(COLUMN()-1)/2), 1),"")</f>
        <v/>
      </c>
      <c r="L214" s="137"/>
      <c r="M214" s="58" t="str" cm="1">
        <f>IFERROR(INDEX(List_Predictors, INDEX(Array_PredictorsLookup,MATCH($A214,List_PredictorFacilities,0),(COLUMN()-1)/2), 1),"")</f>
        <v/>
      </c>
      <c r="N214" s="137"/>
      <c r="O214" s="58" t="str" cm="1">
        <f>IFERROR(INDEX(List_Predictors, INDEX(Array_PredictorsLookup,MATCH($A214,List_PredictorFacilities,0),(COLUMN()-1)/2), 1),"")</f>
        <v/>
      </c>
      <c r="P214" s="137"/>
      <c r="Q214" s="58" t="str" cm="1">
        <f>IFERROR(INDEX(List_Predictors, INDEX(Array_PredictorsLookup,MATCH($A214,List_PredictorFacilities,0),(COLUMN()-1)/2), 1),"")</f>
        <v/>
      </c>
      <c r="R214" s="137"/>
      <c r="S214" s="58" t="str" cm="1">
        <f>IFERROR(INDEX(List_Predictors, INDEX(Array_PredictorsLookup,MATCH($A214,List_PredictorFacilities,0),(COLUMN()-1)/2), 1),"")</f>
        <v/>
      </c>
      <c r="T214" s="137"/>
      <c r="U214" s="58" t="str" cm="1">
        <f>IFERROR(INDEX(List_Predictors, INDEX(Array_PredictorsLookup,MATCH($A214,List_PredictorFacilities,0),(COLUMN()-1)/2), 1),"")</f>
        <v/>
      </c>
      <c r="V214" s="137"/>
      <c r="W214" s="58" t="str" cm="1">
        <f>IFERROR(INDEX(List_Predictors, INDEX(Array_PredictorsLookup,MATCH($A214,List_PredictorFacilities,0),(COLUMN()-1)/2), 1),"")</f>
        <v/>
      </c>
      <c r="X214" s="137"/>
      <c r="Y214" s="58" t="str" cm="1">
        <f>IFERROR(INDEX(List_Predictors, INDEX(Array_PredictorsLookup,MATCH($A214,List_PredictorFacilities,0),(COLUMN()-1)/2), 1),"")</f>
        <v/>
      </c>
      <c r="Z214" s="137"/>
      <c r="AA214" s="58" t="str" cm="1">
        <f>IFERROR(INDEX(List_Predictors, INDEX(Array_PredictorsLookup,MATCH($A214,List_PredictorFacilities,0),(COLUMN()-1)/2), 1),"")</f>
        <v/>
      </c>
      <c r="AB214" s="137"/>
      <c r="AC214" s="58" t="str" cm="1">
        <f>IFERROR(INDEX(List_Predictors, INDEX(Array_PredictorsLookup,MATCH($A214,List_PredictorFacilities,0),(COLUMN()-1)/2), 1),"")</f>
        <v/>
      </c>
      <c r="AD214" s="137"/>
      <c r="AE214" s="58" t="str" cm="1">
        <f>IFERROR(INDEX(List_Predictors, INDEX(Array_PredictorsLookup,MATCH($A214,List_PredictorFacilities,0),(COLUMN()-1)/2), 1),"")</f>
        <v/>
      </c>
      <c r="AF214" s="137"/>
    </row>
    <row r="215" spans="1:32" x14ac:dyDescent="0.3">
      <c r="A215" s="126"/>
      <c r="B215" s="141"/>
      <c r="C215" s="58" t="str" cm="1">
        <f>IFERROR(INDEX(List_Predictors, INDEX(Array_PredictorsLookup,MATCH($A215,List_PredictorFacilities,0),(COLUMN()-1)/2), 1),"")</f>
        <v/>
      </c>
      <c r="D215" s="137"/>
      <c r="E215" s="58" t="str" cm="1">
        <f>IFERROR(INDEX(List_Predictors, INDEX(Array_PredictorsLookup,MATCH($A215,List_PredictorFacilities,0),(COLUMN()-1)/2), 1),"")</f>
        <v/>
      </c>
      <c r="F215" s="137"/>
      <c r="G215" s="58" t="str" cm="1">
        <f>IFERROR(INDEX(List_Predictors, INDEX(Array_PredictorsLookup,MATCH($A215,List_PredictorFacilities,0),(COLUMN()-1)/2), 1),"")</f>
        <v/>
      </c>
      <c r="H215" s="137"/>
      <c r="I215" s="58" t="str" cm="1">
        <f>IFERROR(INDEX(List_Predictors, INDEX(Array_PredictorsLookup,MATCH($A215,List_PredictorFacilities,0),(COLUMN()-1)/2), 1),"")</f>
        <v/>
      </c>
      <c r="J215" s="137"/>
      <c r="K215" s="58" t="str" cm="1">
        <f>IFERROR(INDEX(List_Predictors, INDEX(Array_PredictorsLookup,MATCH($A215,List_PredictorFacilities,0),(COLUMN()-1)/2), 1),"")</f>
        <v/>
      </c>
      <c r="L215" s="137"/>
      <c r="M215" s="58" t="str" cm="1">
        <f>IFERROR(INDEX(List_Predictors, INDEX(Array_PredictorsLookup,MATCH($A215,List_PredictorFacilities,0),(COLUMN()-1)/2), 1),"")</f>
        <v/>
      </c>
      <c r="N215" s="137"/>
      <c r="O215" s="58" t="str" cm="1">
        <f>IFERROR(INDEX(List_Predictors, INDEX(Array_PredictorsLookup,MATCH($A215,List_PredictorFacilities,0),(COLUMN()-1)/2), 1),"")</f>
        <v/>
      </c>
      <c r="P215" s="137"/>
      <c r="Q215" s="58" t="str" cm="1">
        <f>IFERROR(INDEX(List_Predictors, INDEX(Array_PredictorsLookup,MATCH($A215,List_PredictorFacilities,0),(COLUMN()-1)/2), 1),"")</f>
        <v/>
      </c>
      <c r="R215" s="137"/>
      <c r="S215" s="58" t="str" cm="1">
        <f>IFERROR(INDEX(List_Predictors, INDEX(Array_PredictorsLookup,MATCH($A215,List_PredictorFacilities,0),(COLUMN()-1)/2), 1),"")</f>
        <v/>
      </c>
      <c r="T215" s="137"/>
      <c r="U215" s="58" t="str" cm="1">
        <f>IFERROR(INDEX(List_Predictors, INDEX(Array_PredictorsLookup,MATCH($A215,List_PredictorFacilities,0),(COLUMN()-1)/2), 1),"")</f>
        <v/>
      </c>
      <c r="V215" s="137"/>
      <c r="W215" s="58" t="str" cm="1">
        <f>IFERROR(INDEX(List_Predictors, INDEX(Array_PredictorsLookup,MATCH($A215,List_PredictorFacilities,0),(COLUMN()-1)/2), 1),"")</f>
        <v/>
      </c>
      <c r="X215" s="137"/>
      <c r="Y215" s="58" t="str" cm="1">
        <f>IFERROR(INDEX(List_Predictors, INDEX(Array_PredictorsLookup,MATCH($A215,List_PredictorFacilities,0),(COLUMN()-1)/2), 1),"")</f>
        <v/>
      </c>
      <c r="Z215" s="137"/>
      <c r="AA215" s="58" t="str" cm="1">
        <f>IFERROR(INDEX(List_Predictors, INDEX(Array_PredictorsLookup,MATCH($A215,List_PredictorFacilities,0),(COLUMN()-1)/2), 1),"")</f>
        <v/>
      </c>
      <c r="AB215" s="137"/>
      <c r="AC215" s="58" t="str" cm="1">
        <f>IFERROR(INDEX(List_Predictors, INDEX(Array_PredictorsLookup,MATCH($A215,List_PredictorFacilities,0),(COLUMN()-1)/2), 1),"")</f>
        <v/>
      </c>
      <c r="AD215" s="137"/>
      <c r="AE215" s="58" t="str" cm="1">
        <f>IFERROR(INDEX(List_Predictors, INDEX(Array_PredictorsLookup,MATCH($A215,List_PredictorFacilities,0),(COLUMN()-1)/2), 1),"")</f>
        <v/>
      </c>
      <c r="AF215" s="137"/>
    </row>
    <row r="216" spans="1:32" x14ac:dyDescent="0.3">
      <c r="A216" s="126"/>
      <c r="B216" s="141"/>
      <c r="C216" s="58" t="str" cm="1">
        <f>IFERROR(INDEX(List_Predictors, INDEX(Array_PredictorsLookup,MATCH($A216,List_PredictorFacilities,0),(COLUMN()-1)/2), 1),"")</f>
        <v/>
      </c>
      <c r="D216" s="137"/>
      <c r="E216" s="58" t="str" cm="1">
        <f>IFERROR(INDEX(List_Predictors, INDEX(Array_PredictorsLookup,MATCH($A216,List_PredictorFacilities,0),(COLUMN()-1)/2), 1),"")</f>
        <v/>
      </c>
      <c r="F216" s="137"/>
      <c r="G216" s="58" t="str" cm="1">
        <f>IFERROR(INDEX(List_Predictors, INDEX(Array_PredictorsLookup,MATCH($A216,List_PredictorFacilities,0),(COLUMN()-1)/2), 1),"")</f>
        <v/>
      </c>
      <c r="H216" s="137"/>
      <c r="I216" s="58" t="str" cm="1">
        <f>IFERROR(INDEX(List_Predictors, INDEX(Array_PredictorsLookup,MATCH($A216,List_PredictorFacilities,0),(COLUMN()-1)/2), 1),"")</f>
        <v/>
      </c>
      <c r="J216" s="137"/>
      <c r="K216" s="58" t="str" cm="1">
        <f>IFERROR(INDEX(List_Predictors, INDEX(Array_PredictorsLookup,MATCH($A216,List_PredictorFacilities,0),(COLUMN()-1)/2), 1),"")</f>
        <v/>
      </c>
      <c r="L216" s="137"/>
      <c r="M216" s="58" t="str" cm="1">
        <f>IFERROR(INDEX(List_Predictors, INDEX(Array_PredictorsLookup,MATCH($A216,List_PredictorFacilities,0),(COLUMN()-1)/2), 1),"")</f>
        <v/>
      </c>
      <c r="N216" s="137"/>
      <c r="O216" s="58" t="str" cm="1">
        <f>IFERROR(INDEX(List_Predictors, INDEX(Array_PredictorsLookup,MATCH($A216,List_PredictorFacilities,0),(COLUMN()-1)/2), 1),"")</f>
        <v/>
      </c>
      <c r="P216" s="137"/>
      <c r="Q216" s="58" t="str" cm="1">
        <f>IFERROR(INDEX(List_Predictors, INDEX(Array_PredictorsLookup,MATCH($A216,List_PredictorFacilities,0),(COLUMN()-1)/2), 1),"")</f>
        <v/>
      </c>
      <c r="R216" s="137"/>
      <c r="S216" s="58" t="str" cm="1">
        <f>IFERROR(INDEX(List_Predictors, INDEX(Array_PredictorsLookup,MATCH($A216,List_PredictorFacilities,0),(COLUMN()-1)/2), 1),"")</f>
        <v/>
      </c>
      <c r="T216" s="137"/>
      <c r="U216" s="58" t="str" cm="1">
        <f>IFERROR(INDEX(List_Predictors, INDEX(Array_PredictorsLookup,MATCH($A216,List_PredictorFacilities,0),(COLUMN()-1)/2), 1),"")</f>
        <v/>
      </c>
      <c r="V216" s="137"/>
      <c r="W216" s="58" t="str" cm="1">
        <f>IFERROR(INDEX(List_Predictors, INDEX(Array_PredictorsLookup,MATCH($A216,List_PredictorFacilities,0),(COLUMN()-1)/2), 1),"")</f>
        <v/>
      </c>
      <c r="X216" s="137"/>
      <c r="Y216" s="58" t="str" cm="1">
        <f>IFERROR(INDEX(List_Predictors, INDEX(Array_PredictorsLookup,MATCH($A216,List_PredictorFacilities,0),(COLUMN()-1)/2), 1),"")</f>
        <v/>
      </c>
      <c r="Z216" s="137"/>
      <c r="AA216" s="58" t="str" cm="1">
        <f>IFERROR(INDEX(List_Predictors, INDEX(Array_PredictorsLookup,MATCH($A216,List_PredictorFacilities,0),(COLUMN()-1)/2), 1),"")</f>
        <v/>
      </c>
      <c r="AB216" s="137"/>
      <c r="AC216" s="58" t="str" cm="1">
        <f>IFERROR(INDEX(List_Predictors, INDEX(Array_PredictorsLookup,MATCH($A216,List_PredictorFacilities,0),(COLUMN()-1)/2), 1),"")</f>
        <v/>
      </c>
      <c r="AD216" s="137"/>
      <c r="AE216" s="58" t="str" cm="1">
        <f>IFERROR(INDEX(List_Predictors, INDEX(Array_PredictorsLookup,MATCH($A216,List_PredictorFacilities,0),(COLUMN()-1)/2), 1),"")</f>
        <v/>
      </c>
      <c r="AF216" s="137"/>
    </row>
    <row r="217" spans="1:32" x14ac:dyDescent="0.3">
      <c r="A217" s="126"/>
      <c r="B217" s="141"/>
      <c r="C217" s="58" t="str" cm="1">
        <f>IFERROR(INDEX(List_Predictors, INDEX(Array_PredictorsLookup,MATCH($A217,List_PredictorFacilities,0),(COLUMN()-1)/2), 1),"")</f>
        <v/>
      </c>
      <c r="D217" s="137"/>
      <c r="E217" s="58" t="str" cm="1">
        <f>IFERROR(INDEX(List_Predictors, INDEX(Array_PredictorsLookup,MATCH($A217,List_PredictorFacilities,0),(COLUMN()-1)/2), 1),"")</f>
        <v/>
      </c>
      <c r="F217" s="137"/>
      <c r="G217" s="58" t="str" cm="1">
        <f>IFERROR(INDEX(List_Predictors, INDEX(Array_PredictorsLookup,MATCH($A217,List_PredictorFacilities,0),(COLUMN()-1)/2), 1),"")</f>
        <v/>
      </c>
      <c r="H217" s="137"/>
      <c r="I217" s="58" t="str" cm="1">
        <f>IFERROR(INDEX(List_Predictors, INDEX(Array_PredictorsLookup,MATCH($A217,List_PredictorFacilities,0),(COLUMN()-1)/2), 1),"")</f>
        <v/>
      </c>
      <c r="J217" s="137"/>
      <c r="K217" s="58" t="str" cm="1">
        <f>IFERROR(INDEX(List_Predictors, INDEX(Array_PredictorsLookup,MATCH($A217,List_PredictorFacilities,0),(COLUMN()-1)/2), 1),"")</f>
        <v/>
      </c>
      <c r="L217" s="137"/>
      <c r="M217" s="58" t="str" cm="1">
        <f>IFERROR(INDEX(List_Predictors, INDEX(Array_PredictorsLookup,MATCH($A217,List_PredictorFacilities,0),(COLUMN()-1)/2), 1),"")</f>
        <v/>
      </c>
      <c r="N217" s="137"/>
      <c r="O217" s="58" t="str" cm="1">
        <f>IFERROR(INDEX(List_Predictors, INDEX(Array_PredictorsLookup,MATCH($A217,List_PredictorFacilities,0),(COLUMN()-1)/2), 1),"")</f>
        <v/>
      </c>
      <c r="P217" s="137"/>
      <c r="Q217" s="58" t="str" cm="1">
        <f>IFERROR(INDEX(List_Predictors, INDEX(Array_PredictorsLookup,MATCH($A217,List_PredictorFacilities,0),(COLUMN()-1)/2), 1),"")</f>
        <v/>
      </c>
      <c r="R217" s="137"/>
      <c r="S217" s="58" t="str" cm="1">
        <f>IFERROR(INDEX(List_Predictors, INDEX(Array_PredictorsLookup,MATCH($A217,List_PredictorFacilities,0),(COLUMN()-1)/2), 1),"")</f>
        <v/>
      </c>
      <c r="T217" s="137"/>
      <c r="U217" s="58" t="str" cm="1">
        <f>IFERROR(INDEX(List_Predictors, INDEX(Array_PredictorsLookup,MATCH($A217,List_PredictorFacilities,0),(COLUMN()-1)/2), 1),"")</f>
        <v/>
      </c>
      <c r="V217" s="137"/>
      <c r="W217" s="58" t="str" cm="1">
        <f>IFERROR(INDEX(List_Predictors, INDEX(Array_PredictorsLookup,MATCH($A217,List_PredictorFacilities,0),(COLUMN()-1)/2), 1),"")</f>
        <v/>
      </c>
      <c r="X217" s="137"/>
      <c r="Y217" s="58" t="str" cm="1">
        <f>IFERROR(INDEX(List_Predictors, INDEX(Array_PredictorsLookup,MATCH($A217,List_PredictorFacilities,0),(COLUMN()-1)/2), 1),"")</f>
        <v/>
      </c>
      <c r="Z217" s="137"/>
      <c r="AA217" s="58" t="str" cm="1">
        <f>IFERROR(INDEX(List_Predictors, INDEX(Array_PredictorsLookup,MATCH($A217,List_PredictorFacilities,0),(COLUMN()-1)/2), 1),"")</f>
        <v/>
      </c>
      <c r="AB217" s="137"/>
      <c r="AC217" s="58" t="str" cm="1">
        <f>IFERROR(INDEX(List_Predictors, INDEX(Array_PredictorsLookup,MATCH($A217,List_PredictorFacilities,0),(COLUMN()-1)/2), 1),"")</f>
        <v/>
      </c>
      <c r="AD217" s="137"/>
      <c r="AE217" s="58" t="str" cm="1">
        <f>IFERROR(INDEX(List_Predictors, INDEX(Array_PredictorsLookup,MATCH($A217,List_PredictorFacilities,0),(COLUMN()-1)/2), 1),"")</f>
        <v/>
      </c>
      <c r="AF217" s="137"/>
    </row>
    <row r="218" spans="1:32" x14ac:dyDescent="0.3">
      <c r="A218" s="126"/>
      <c r="B218" s="141"/>
      <c r="C218" s="58" t="str" cm="1">
        <f>IFERROR(INDEX(List_Predictors, INDEX(Array_PredictorsLookup,MATCH($A218,List_PredictorFacilities,0),(COLUMN()-1)/2), 1),"")</f>
        <v/>
      </c>
      <c r="D218" s="137"/>
      <c r="E218" s="58" t="str" cm="1">
        <f>IFERROR(INDEX(List_Predictors, INDEX(Array_PredictorsLookup,MATCH($A218,List_PredictorFacilities,0),(COLUMN()-1)/2), 1),"")</f>
        <v/>
      </c>
      <c r="F218" s="137"/>
      <c r="G218" s="58" t="str" cm="1">
        <f>IFERROR(INDEX(List_Predictors, INDEX(Array_PredictorsLookup,MATCH($A218,List_PredictorFacilities,0),(COLUMN()-1)/2), 1),"")</f>
        <v/>
      </c>
      <c r="H218" s="137"/>
      <c r="I218" s="58" t="str" cm="1">
        <f>IFERROR(INDEX(List_Predictors, INDEX(Array_PredictorsLookup,MATCH($A218,List_PredictorFacilities,0),(COLUMN()-1)/2), 1),"")</f>
        <v/>
      </c>
      <c r="J218" s="137"/>
      <c r="K218" s="58" t="str" cm="1">
        <f>IFERROR(INDEX(List_Predictors, INDEX(Array_PredictorsLookup,MATCH($A218,List_PredictorFacilities,0),(COLUMN()-1)/2), 1),"")</f>
        <v/>
      </c>
      <c r="L218" s="137"/>
      <c r="M218" s="58" t="str" cm="1">
        <f>IFERROR(INDEX(List_Predictors, INDEX(Array_PredictorsLookup,MATCH($A218,List_PredictorFacilities,0),(COLUMN()-1)/2), 1),"")</f>
        <v/>
      </c>
      <c r="N218" s="137"/>
      <c r="O218" s="58" t="str" cm="1">
        <f>IFERROR(INDEX(List_Predictors, INDEX(Array_PredictorsLookup,MATCH($A218,List_PredictorFacilities,0),(COLUMN()-1)/2), 1),"")</f>
        <v/>
      </c>
      <c r="P218" s="137"/>
      <c r="Q218" s="58" t="str" cm="1">
        <f>IFERROR(INDEX(List_Predictors, INDEX(Array_PredictorsLookup,MATCH($A218,List_PredictorFacilities,0),(COLUMN()-1)/2), 1),"")</f>
        <v/>
      </c>
      <c r="R218" s="137"/>
      <c r="S218" s="58" t="str" cm="1">
        <f>IFERROR(INDEX(List_Predictors, INDEX(Array_PredictorsLookup,MATCH($A218,List_PredictorFacilities,0),(COLUMN()-1)/2), 1),"")</f>
        <v/>
      </c>
      <c r="T218" s="137"/>
      <c r="U218" s="58" t="str" cm="1">
        <f>IFERROR(INDEX(List_Predictors, INDEX(Array_PredictorsLookup,MATCH($A218,List_PredictorFacilities,0),(COLUMN()-1)/2), 1),"")</f>
        <v/>
      </c>
      <c r="V218" s="137"/>
      <c r="W218" s="58" t="str" cm="1">
        <f>IFERROR(INDEX(List_Predictors, INDEX(Array_PredictorsLookup,MATCH($A218,List_PredictorFacilities,0),(COLUMN()-1)/2), 1),"")</f>
        <v/>
      </c>
      <c r="X218" s="137"/>
      <c r="Y218" s="58" t="str" cm="1">
        <f>IFERROR(INDEX(List_Predictors, INDEX(Array_PredictorsLookup,MATCH($A218,List_PredictorFacilities,0),(COLUMN()-1)/2), 1),"")</f>
        <v/>
      </c>
      <c r="Z218" s="137"/>
      <c r="AA218" s="58" t="str" cm="1">
        <f>IFERROR(INDEX(List_Predictors, INDEX(Array_PredictorsLookup,MATCH($A218,List_PredictorFacilities,0),(COLUMN()-1)/2), 1),"")</f>
        <v/>
      </c>
      <c r="AB218" s="137"/>
      <c r="AC218" s="58" t="str" cm="1">
        <f>IFERROR(INDEX(List_Predictors, INDEX(Array_PredictorsLookup,MATCH($A218,List_PredictorFacilities,0),(COLUMN()-1)/2), 1),"")</f>
        <v/>
      </c>
      <c r="AD218" s="137"/>
      <c r="AE218" s="58" t="str" cm="1">
        <f>IFERROR(INDEX(List_Predictors, INDEX(Array_PredictorsLookup,MATCH($A218,List_PredictorFacilities,0),(COLUMN()-1)/2), 1),"")</f>
        <v/>
      </c>
      <c r="AF218" s="137"/>
    </row>
    <row r="219" spans="1:32" x14ac:dyDescent="0.3">
      <c r="A219" s="126"/>
      <c r="B219" s="141"/>
      <c r="C219" s="58" t="str" cm="1">
        <f>IFERROR(INDEX(List_Predictors, INDEX(Array_PredictorsLookup,MATCH($A219,List_PredictorFacilities,0),(COLUMN()-1)/2), 1),"")</f>
        <v/>
      </c>
      <c r="D219" s="137"/>
      <c r="E219" s="58" t="str" cm="1">
        <f>IFERROR(INDEX(List_Predictors, INDEX(Array_PredictorsLookup,MATCH($A219,List_PredictorFacilities,0),(COLUMN()-1)/2), 1),"")</f>
        <v/>
      </c>
      <c r="F219" s="137"/>
      <c r="G219" s="58" t="str" cm="1">
        <f>IFERROR(INDEX(List_Predictors, INDEX(Array_PredictorsLookup,MATCH($A219,List_PredictorFacilities,0),(COLUMN()-1)/2), 1),"")</f>
        <v/>
      </c>
      <c r="H219" s="137"/>
      <c r="I219" s="58" t="str" cm="1">
        <f>IFERROR(INDEX(List_Predictors, INDEX(Array_PredictorsLookup,MATCH($A219,List_PredictorFacilities,0),(COLUMN()-1)/2), 1),"")</f>
        <v/>
      </c>
      <c r="J219" s="137"/>
      <c r="K219" s="58" t="str" cm="1">
        <f>IFERROR(INDEX(List_Predictors, INDEX(Array_PredictorsLookup,MATCH($A219,List_PredictorFacilities,0),(COLUMN()-1)/2), 1),"")</f>
        <v/>
      </c>
      <c r="L219" s="137"/>
      <c r="M219" s="58" t="str" cm="1">
        <f>IFERROR(INDEX(List_Predictors, INDEX(Array_PredictorsLookup,MATCH($A219,List_PredictorFacilities,0),(COLUMN()-1)/2), 1),"")</f>
        <v/>
      </c>
      <c r="N219" s="137"/>
      <c r="O219" s="58" t="str" cm="1">
        <f>IFERROR(INDEX(List_Predictors, INDEX(Array_PredictorsLookup,MATCH($A219,List_PredictorFacilities,0),(COLUMN()-1)/2), 1),"")</f>
        <v/>
      </c>
      <c r="P219" s="137"/>
      <c r="Q219" s="58" t="str" cm="1">
        <f>IFERROR(INDEX(List_Predictors, INDEX(Array_PredictorsLookup,MATCH($A219,List_PredictorFacilities,0),(COLUMN()-1)/2), 1),"")</f>
        <v/>
      </c>
      <c r="R219" s="137"/>
      <c r="S219" s="58" t="str" cm="1">
        <f>IFERROR(INDEX(List_Predictors, INDEX(Array_PredictorsLookup,MATCH($A219,List_PredictorFacilities,0),(COLUMN()-1)/2), 1),"")</f>
        <v/>
      </c>
      <c r="T219" s="137"/>
      <c r="U219" s="58" t="str" cm="1">
        <f>IFERROR(INDEX(List_Predictors, INDEX(Array_PredictorsLookup,MATCH($A219,List_PredictorFacilities,0),(COLUMN()-1)/2), 1),"")</f>
        <v/>
      </c>
      <c r="V219" s="137"/>
      <c r="W219" s="58" t="str" cm="1">
        <f>IFERROR(INDEX(List_Predictors, INDEX(Array_PredictorsLookup,MATCH($A219,List_PredictorFacilities,0),(COLUMN()-1)/2), 1),"")</f>
        <v/>
      </c>
      <c r="X219" s="137"/>
      <c r="Y219" s="58" t="str" cm="1">
        <f>IFERROR(INDEX(List_Predictors, INDEX(Array_PredictorsLookup,MATCH($A219,List_PredictorFacilities,0),(COLUMN()-1)/2), 1),"")</f>
        <v/>
      </c>
      <c r="Z219" s="137"/>
      <c r="AA219" s="58" t="str" cm="1">
        <f>IFERROR(INDEX(List_Predictors, INDEX(Array_PredictorsLookup,MATCH($A219,List_PredictorFacilities,0),(COLUMN()-1)/2), 1),"")</f>
        <v/>
      </c>
      <c r="AB219" s="137"/>
      <c r="AC219" s="58" t="str" cm="1">
        <f>IFERROR(INDEX(List_Predictors, INDEX(Array_PredictorsLookup,MATCH($A219,List_PredictorFacilities,0),(COLUMN()-1)/2), 1),"")</f>
        <v/>
      </c>
      <c r="AD219" s="137"/>
      <c r="AE219" s="58" t="str" cm="1">
        <f>IFERROR(INDEX(List_Predictors, INDEX(Array_PredictorsLookup,MATCH($A219,List_PredictorFacilities,0),(COLUMN()-1)/2), 1),"")</f>
        <v/>
      </c>
      <c r="AF219" s="137"/>
    </row>
    <row r="220" spans="1:32" x14ac:dyDescent="0.3">
      <c r="A220" s="126"/>
      <c r="B220" s="141"/>
      <c r="C220" s="58" t="str" cm="1">
        <f>IFERROR(INDEX(List_Predictors, INDEX(Array_PredictorsLookup,MATCH($A220,List_PredictorFacilities,0),(COLUMN()-1)/2), 1),"")</f>
        <v/>
      </c>
      <c r="D220" s="137"/>
      <c r="E220" s="58" t="str" cm="1">
        <f>IFERROR(INDEX(List_Predictors, INDEX(Array_PredictorsLookup,MATCH($A220,List_PredictorFacilities,0),(COLUMN()-1)/2), 1),"")</f>
        <v/>
      </c>
      <c r="F220" s="137"/>
      <c r="G220" s="58" t="str" cm="1">
        <f>IFERROR(INDEX(List_Predictors, INDEX(Array_PredictorsLookup,MATCH($A220,List_PredictorFacilities,0),(COLUMN()-1)/2), 1),"")</f>
        <v/>
      </c>
      <c r="H220" s="137"/>
      <c r="I220" s="58" t="str" cm="1">
        <f>IFERROR(INDEX(List_Predictors, INDEX(Array_PredictorsLookup,MATCH($A220,List_PredictorFacilities,0),(COLUMN()-1)/2), 1),"")</f>
        <v/>
      </c>
      <c r="J220" s="137"/>
      <c r="K220" s="58" t="str" cm="1">
        <f>IFERROR(INDEX(List_Predictors, INDEX(Array_PredictorsLookup,MATCH($A220,List_PredictorFacilities,0),(COLUMN()-1)/2), 1),"")</f>
        <v/>
      </c>
      <c r="L220" s="137"/>
      <c r="M220" s="58" t="str" cm="1">
        <f>IFERROR(INDEX(List_Predictors, INDEX(Array_PredictorsLookup,MATCH($A220,List_PredictorFacilities,0),(COLUMN()-1)/2), 1),"")</f>
        <v/>
      </c>
      <c r="N220" s="137"/>
      <c r="O220" s="58" t="str" cm="1">
        <f>IFERROR(INDEX(List_Predictors, INDEX(Array_PredictorsLookup,MATCH($A220,List_PredictorFacilities,0),(COLUMN()-1)/2), 1),"")</f>
        <v/>
      </c>
      <c r="P220" s="137"/>
      <c r="Q220" s="58" t="str" cm="1">
        <f>IFERROR(INDEX(List_Predictors, INDEX(Array_PredictorsLookup,MATCH($A220,List_PredictorFacilities,0),(COLUMN()-1)/2), 1),"")</f>
        <v/>
      </c>
      <c r="R220" s="137"/>
      <c r="S220" s="58" t="str" cm="1">
        <f>IFERROR(INDEX(List_Predictors, INDEX(Array_PredictorsLookup,MATCH($A220,List_PredictorFacilities,0),(COLUMN()-1)/2), 1),"")</f>
        <v/>
      </c>
      <c r="T220" s="137"/>
      <c r="U220" s="58" t="str" cm="1">
        <f>IFERROR(INDEX(List_Predictors, INDEX(Array_PredictorsLookup,MATCH($A220,List_PredictorFacilities,0),(COLUMN()-1)/2), 1),"")</f>
        <v/>
      </c>
      <c r="V220" s="137"/>
      <c r="W220" s="58" t="str" cm="1">
        <f>IFERROR(INDEX(List_Predictors, INDEX(Array_PredictorsLookup,MATCH($A220,List_PredictorFacilities,0),(COLUMN()-1)/2), 1),"")</f>
        <v/>
      </c>
      <c r="X220" s="137"/>
      <c r="Y220" s="58" t="str" cm="1">
        <f>IFERROR(INDEX(List_Predictors, INDEX(Array_PredictorsLookup,MATCH($A220,List_PredictorFacilities,0),(COLUMN()-1)/2), 1),"")</f>
        <v/>
      </c>
      <c r="Z220" s="137"/>
      <c r="AA220" s="58" t="str" cm="1">
        <f>IFERROR(INDEX(List_Predictors, INDEX(Array_PredictorsLookup,MATCH($A220,List_PredictorFacilities,0),(COLUMN()-1)/2), 1),"")</f>
        <v/>
      </c>
      <c r="AB220" s="137"/>
      <c r="AC220" s="58" t="str" cm="1">
        <f>IFERROR(INDEX(List_Predictors, INDEX(Array_PredictorsLookup,MATCH($A220,List_PredictorFacilities,0),(COLUMN()-1)/2), 1),"")</f>
        <v/>
      </c>
      <c r="AD220" s="137"/>
      <c r="AE220" s="58" t="str" cm="1">
        <f>IFERROR(INDEX(List_Predictors, INDEX(Array_PredictorsLookup,MATCH($A220,List_PredictorFacilities,0),(COLUMN()-1)/2), 1),"")</f>
        <v/>
      </c>
      <c r="AF220" s="137"/>
    </row>
    <row r="221" spans="1:32" x14ac:dyDescent="0.3">
      <c r="A221" s="126"/>
      <c r="B221" s="141"/>
      <c r="C221" s="58" t="str" cm="1">
        <f>IFERROR(INDEX(List_Predictors, INDEX(Array_PredictorsLookup,MATCH($A221,List_PredictorFacilities,0),(COLUMN()-1)/2), 1),"")</f>
        <v/>
      </c>
      <c r="D221" s="137"/>
      <c r="E221" s="58" t="str" cm="1">
        <f>IFERROR(INDEX(List_Predictors, INDEX(Array_PredictorsLookup,MATCH($A221,List_PredictorFacilities,0),(COLUMN()-1)/2), 1),"")</f>
        <v/>
      </c>
      <c r="F221" s="137"/>
      <c r="G221" s="58" t="str" cm="1">
        <f>IFERROR(INDEX(List_Predictors, INDEX(Array_PredictorsLookup,MATCH($A221,List_PredictorFacilities,0),(COLUMN()-1)/2), 1),"")</f>
        <v/>
      </c>
      <c r="H221" s="137"/>
      <c r="I221" s="58" t="str" cm="1">
        <f>IFERROR(INDEX(List_Predictors, INDEX(Array_PredictorsLookup,MATCH($A221,List_PredictorFacilities,0),(COLUMN()-1)/2), 1),"")</f>
        <v/>
      </c>
      <c r="J221" s="137"/>
      <c r="K221" s="58" t="str" cm="1">
        <f>IFERROR(INDEX(List_Predictors, INDEX(Array_PredictorsLookup,MATCH($A221,List_PredictorFacilities,0),(COLUMN()-1)/2), 1),"")</f>
        <v/>
      </c>
      <c r="L221" s="137"/>
      <c r="M221" s="58" t="str" cm="1">
        <f>IFERROR(INDEX(List_Predictors, INDEX(Array_PredictorsLookup,MATCH($A221,List_PredictorFacilities,0),(COLUMN()-1)/2), 1),"")</f>
        <v/>
      </c>
      <c r="N221" s="137"/>
      <c r="O221" s="58" t="str" cm="1">
        <f>IFERROR(INDEX(List_Predictors, INDEX(Array_PredictorsLookup,MATCH($A221,List_PredictorFacilities,0),(COLUMN()-1)/2), 1),"")</f>
        <v/>
      </c>
      <c r="P221" s="137"/>
      <c r="Q221" s="58" t="str" cm="1">
        <f>IFERROR(INDEX(List_Predictors, INDEX(Array_PredictorsLookup,MATCH($A221,List_PredictorFacilities,0),(COLUMN()-1)/2), 1),"")</f>
        <v/>
      </c>
      <c r="R221" s="137"/>
      <c r="S221" s="58" t="str" cm="1">
        <f>IFERROR(INDEX(List_Predictors, INDEX(Array_PredictorsLookup,MATCH($A221,List_PredictorFacilities,0),(COLUMN()-1)/2), 1),"")</f>
        <v/>
      </c>
      <c r="T221" s="137"/>
      <c r="U221" s="58" t="str" cm="1">
        <f>IFERROR(INDEX(List_Predictors, INDEX(Array_PredictorsLookup,MATCH($A221,List_PredictorFacilities,0),(COLUMN()-1)/2), 1),"")</f>
        <v/>
      </c>
      <c r="V221" s="137"/>
      <c r="W221" s="58" t="str" cm="1">
        <f>IFERROR(INDEX(List_Predictors, INDEX(Array_PredictorsLookup,MATCH($A221,List_PredictorFacilities,0),(COLUMN()-1)/2), 1),"")</f>
        <v/>
      </c>
      <c r="X221" s="137"/>
      <c r="Y221" s="58" t="str" cm="1">
        <f>IFERROR(INDEX(List_Predictors, INDEX(Array_PredictorsLookup,MATCH($A221,List_PredictorFacilities,0),(COLUMN()-1)/2), 1),"")</f>
        <v/>
      </c>
      <c r="Z221" s="137"/>
      <c r="AA221" s="58" t="str" cm="1">
        <f>IFERROR(INDEX(List_Predictors, INDEX(Array_PredictorsLookup,MATCH($A221,List_PredictorFacilities,0),(COLUMN()-1)/2), 1),"")</f>
        <v/>
      </c>
      <c r="AB221" s="137"/>
      <c r="AC221" s="58" t="str" cm="1">
        <f>IFERROR(INDEX(List_Predictors, INDEX(Array_PredictorsLookup,MATCH($A221,List_PredictorFacilities,0),(COLUMN()-1)/2), 1),"")</f>
        <v/>
      </c>
      <c r="AD221" s="137"/>
      <c r="AE221" s="58" t="str" cm="1">
        <f>IFERROR(INDEX(List_Predictors, INDEX(Array_PredictorsLookup,MATCH($A221,List_PredictorFacilities,0),(COLUMN()-1)/2), 1),"")</f>
        <v/>
      </c>
      <c r="AF221" s="137"/>
    </row>
    <row r="222" spans="1:32" x14ac:dyDescent="0.3">
      <c r="A222" s="126"/>
      <c r="B222" s="141"/>
      <c r="C222" s="58" t="str" cm="1">
        <f>IFERROR(INDEX(List_Predictors, INDEX(Array_PredictorsLookup,MATCH($A222,List_PredictorFacilities,0),(COLUMN()-1)/2), 1),"")</f>
        <v/>
      </c>
      <c r="D222" s="137"/>
      <c r="E222" s="58" t="str" cm="1">
        <f>IFERROR(INDEX(List_Predictors, INDEX(Array_PredictorsLookup,MATCH($A222,List_PredictorFacilities,0),(COLUMN()-1)/2), 1),"")</f>
        <v/>
      </c>
      <c r="F222" s="137"/>
      <c r="G222" s="58" t="str" cm="1">
        <f>IFERROR(INDEX(List_Predictors, INDEX(Array_PredictorsLookup,MATCH($A222,List_PredictorFacilities,0),(COLUMN()-1)/2), 1),"")</f>
        <v/>
      </c>
      <c r="H222" s="137"/>
      <c r="I222" s="58" t="str" cm="1">
        <f>IFERROR(INDEX(List_Predictors, INDEX(Array_PredictorsLookup,MATCH($A222,List_PredictorFacilities,0),(COLUMN()-1)/2), 1),"")</f>
        <v/>
      </c>
      <c r="J222" s="137"/>
      <c r="K222" s="58" t="str" cm="1">
        <f>IFERROR(INDEX(List_Predictors, INDEX(Array_PredictorsLookup,MATCH($A222,List_PredictorFacilities,0),(COLUMN()-1)/2), 1),"")</f>
        <v/>
      </c>
      <c r="L222" s="137"/>
      <c r="M222" s="58" t="str" cm="1">
        <f>IFERROR(INDEX(List_Predictors, INDEX(Array_PredictorsLookup,MATCH($A222,List_PredictorFacilities,0),(COLUMN()-1)/2), 1),"")</f>
        <v/>
      </c>
      <c r="N222" s="137"/>
      <c r="O222" s="58" t="str" cm="1">
        <f>IFERROR(INDEX(List_Predictors, INDEX(Array_PredictorsLookup,MATCH($A222,List_PredictorFacilities,0),(COLUMN()-1)/2), 1),"")</f>
        <v/>
      </c>
      <c r="P222" s="137"/>
      <c r="Q222" s="58" t="str" cm="1">
        <f>IFERROR(INDEX(List_Predictors, INDEX(Array_PredictorsLookup,MATCH($A222,List_PredictorFacilities,0),(COLUMN()-1)/2), 1),"")</f>
        <v/>
      </c>
      <c r="R222" s="137"/>
      <c r="S222" s="58" t="str" cm="1">
        <f>IFERROR(INDEX(List_Predictors, INDEX(Array_PredictorsLookup,MATCH($A222,List_PredictorFacilities,0),(COLUMN()-1)/2), 1),"")</f>
        <v/>
      </c>
      <c r="T222" s="137"/>
      <c r="U222" s="58" t="str" cm="1">
        <f>IFERROR(INDEX(List_Predictors, INDEX(Array_PredictorsLookup,MATCH($A222,List_PredictorFacilities,0),(COLUMN()-1)/2), 1),"")</f>
        <v/>
      </c>
      <c r="V222" s="137"/>
      <c r="W222" s="58" t="str" cm="1">
        <f>IFERROR(INDEX(List_Predictors, INDEX(Array_PredictorsLookup,MATCH($A222,List_PredictorFacilities,0),(COLUMN()-1)/2), 1),"")</f>
        <v/>
      </c>
      <c r="X222" s="137"/>
      <c r="Y222" s="58" t="str" cm="1">
        <f>IFERROR(INDEX(List_Predictors, INDEX(Array_PredictorsLookup,MATCH($A222,List_PredictorFacilities,0),(COLUMN()-1)/2), 1),"")</f>
        <v/>
      </c>
      <c r="Z222" s="137"/>
      <c r="AA222" s="58" t="str" cm="1">
        <f>IFERROR(INDEX(List_Predictors, INDEX(Array_PredictorsLookup,MATCH($A222,List_PredictorFacilities,0),(COLUMN()-1)/2), 1),"")</f>
        <v/>
      </c>
      <c r="AB222" s="137"/>
      <c r="AC222" s="58" t="str" cm="1">
        <f>IFERROR(INDEX(List_Predictors, INDEX(Array_PredictorsLookup,MATCH($A222,List_PredictorFacilities,0),(COLUMN()-1)/2), 1),"")</f>
        <v/>
      </c>
      <c r="AD222" s="137"/>
      <c r="AE222" s="58" t="str" cm="1">
        <f>IFERROR(INDEX(List_Predictors, INDEX(Array_PredictorsLookup,MATCH($A222,List_PredictorFacilities,0),(COLUMN()-1)/2), 1),"")</f>
        <v/>
      </c>
      <c r="AF222" s="137"/>
    </row>
    <row r="223" spans="1:32" x14ac:dyDescent="0.3">
      <c r="A223" s="126"/>
      <c r="B223" s="141"/>
      <c r="C223" s="58" t="str" cm="1">
        <f>IFERROR(INDEX(List_Predictors, INDEX(Array_PredictorsLookup,MATCH($A223,List_PredictorFacilities,0),(COLUMN()-1)/2), 1),"")</f>
        <v/>
      </c>
      <c r="D223" s="137"/>
      <c r="E223" s="58" t="str" cm="1">
        <f>IFERROR(INDEX(List_Predictors, INDEX(Array_PredictorsLookup,MATCH($A223,List_PredictorFacilities,0),(COLUMN()-1)/2), 1),"")</f>
        <v/>
      </c>
      <c r="F223" s="137"/>
      <c r="G223" s="58" t="str" cm="1">
        <f>IFERROR(INDEX(List_Predictors, INDEX(Array_PredictorsLookup,MATCH($A223,List_PredictorFacilities,0),(COLUMN()-1)/2), 1),"")</f>
        <v/>
      </c>
      <c r="H223" s="137"/>
      <c r="I223" s="58" t="str" cm="1">
        <f>IFERROR(INDEX(List_Predictors, INDEX(Array_PredictorsLookup,MATCH($A223,List_PredictorFacilities,0),(COLUMN()-1)/2), 1),"")</f>
        <v/>
      </c>
      <c r="J223" s="137"/>
      <c r="K223" s="58" t="str" cm="1">
        <f>IFERROR(INDEX(List_Predictors, INDEX(Array_PredictorsLookup,MATCH($A223,List_PredictorFacilities,0),(COLUMN()-1)/2), 1),"")</f>
        <v/>
      </c>
      <c r="L223" s="137"/>
      <c r="M223" s="58" t="str" cm="1">
        <f>IFERROR(INDEX(List_Predictors, INDEX(Array_PredictorsLookup,MATCH($A223,List_PredictorFacilities,0),(COLUMN()-1)/2), 1),"")</f>
        <v/>
      </c>
      <c r="N223" s="137"/>
      <c r="O223" s="58" t="str" cm="1">
        <f>IFERROR(INDEX(List_Predictors, INDEX(Array_PredictorsLookup,MATCH($A223,List_PredictorFacilities,0),(COLUMN()-1)/2), 1),"")</f>
        <v/>
      </c>
      <c r="P223" s="137"/>
      <c r="Q223" s="58" t="str" cm="1">
        <f>IFERROR(INDEX(List_Predictors, INDEX(Array_PredictorsLookup,MATCH($A223,List_PredictorFacilities,0),(COLUMN()-1)/2), 1),"")</f>
        <v/>
      </c>
      <c r="R223" s="137"/>
      <c r="S223" s="58" t="str" cm="1">
        <f>IFERROR(INDEX(List_Predictors, INDEX(Array_PredictorsLookup,MATCH($A223,List_PredictorFacilities,0),(COLUMN()-1)/2), 1),"")</f>
        <v/>
      </c>
      <c r="T223" s="137"/>
      <c r="U223" s="58" t="str" cm="1">
        <f>IFERROR(INDEX(List_Predictors, INDEX(Array_PredictorsLookup,MATCH($A223,List_PredictorFacilities,0),(COLUMN()-1)/2), 1),"")</f>
        <v/>
      </c>
      <c r="V223" s="137"/>
      <c r="W223" s="58" t="str" cm="1">
        <f>IFERROR(INDEX(List_Predictors, INDEX(Array_PredictorsLookup,MATCH($A223,List_PredictorFacilities,0),(COLUMN()-1)/2), 1),"")</f>
        <v/>
      </c>
      <c r="X223" s="137"/>
      <c r="Y223" s="58" t="str" cm="1">
        <f>IFERROR(INDEX(List_Predictors, INDEX(Array_PredictorsLookup,MATCH($A223,List_PredictorFacilities,0),(COLUMN()-1)/2), 1),"")</f>
        <v/>
      </c>
      <c r="Z223" s="137"/>
      <c r="AA223" s="58" t="str" cm="1">
        <f>IFERROR(INDEX(List_Predictors, INDEX(Array_PredictorsLookup,MATCH($A223,List_PredictorFacilities,0),(COLUMN()-1)/2), 1),"")</f>
        <v/>
      </c>
      <c r="AB223" s="137"/>
      <c r="AC223" s="58" t="str" cm="1">
        <f>IFERROR(INDEX(List_Predictors, INDEX(Array_PredictorsLookup,MATCH($A223,List_PredictorFacilities,0),(COLUMN()-1)/2), 1),"")</f>
        <v/>
      </c>
      <c r="AD223" s="137"/>
      <c r="AE223" s="58" t="str" cm="1">
        <f>IFERROR(INDEX(List_Predictors, INDEX(Array_PredictorsLookup,MATCH($A223,List_PredictorFacilities,0),(COLUMN()-1)/2), 1),"")</f>
        <v/>
      </c>
      <c r="AF223" s="137"/>
    </row>
    <row r="224" spans="1:32" x14ac:dyDescent="0.3">
      <c r="A224" s="126"/>
      <c r="B224" s="141"/>
      <c r="C224" s="58" t="str" cm="1">
        <f>IFERROR(INDEX(List_Predictors, INDEX(Array_PredictorsLookup,MATCH($A224,List_PredictorFacilities,0),(COLUMN()-1)/2), 1),"")</f>
        <v/>
      </c>
      <c r="D224" s="137"/>
      <c r="E224" s="58" t="str" cm="1">
        <f>IFERROR(INDEX(List_Predictors, INDEX(Array_PredictorsLookup,MATCH($A224,List_PredictorFacilities,0),(COLUMN()-1)/2), 1),"")</f>
        <v/>
      </c>
      <c r="F224" s="137"/>
      <c r="G224" s="58" t="str" cm="1">
        <f>IFERROR(INDEX(List_Predictors, INDEX(Array_PredictorsLookup,MATCH($A224,List_PredictorFacilities,0),(COLUMN()-1)/2), 1),"")</f>
        <v/>
      </c>
      <c r="H224" s="137"/>
      <c r="I224" s="58" t="str" cm="1">
        <f>IFERROR(INDEX(List_Predictors, INDEX(Array_PredictorsLookup,MATCH($A224,List_PredictorFacilities,0),(COLUMN()-1)/2), 1),"")</f>
        <v/>
      </c>
      <c r="J224" s="137"/>
      <c r="K224" s="58" t="str" cm="1">
        <f>IFERROR(INDEX(List_Predictors, INDEX(Array_PredictorsLookup,MATCH($A224,List_PredictorFacilities,0),(COLUMN()-1)/2), 1),"")</f>
        <v/>
      </c>
      <c r="L224" s="137"/>
      <c r="M224" s="58" t="str" cm="1">
        <f>IFERROR(INDEX(List_Predictors, INDEX(Array_PredictorsLookup,MATCH($A224,List_PredictorFacilities,0),(COLUMN()-1)/2), 1),"")</f>
        <v/>
      </c>
      <c r="N224" s="137"/>
      <c r="O224" s="58" t="str" cm="1">
        <f>IFERROR(INDEX(List_Predictors, INDEX(Array_PredictorsLookup,MATCH($A224,List_PredictorFacilities,0),(COLUMN()-1)/2), 1),"")</f>
        <v/>
      </c>
      <c r="P224" s="137"/>
      <c r="Q224" s="58" t="str" cm="1">
        <f>IFERROR(INDEX(List_Predictors, INDEX(Array_PredictorsLookup,MATCH($A224,List_PredictorFacilities,0),(COLUMN()-1)/2), 1),"")</f>
        <v/>
      </c>
      <c r="R224" s="137"/>
      <c r="S224" s="58" t="str" cm="1">
        <f>IFERROR(INDEX(List_Predictors, INDEX(Array_PredictorsLookup,MATCH($A224,List_PredictorFacilities,0),(COLUMN()-1)/2), 1),"")</f>
        <v/>
      </c>
      <c r="T224" s="137"/>
      <c r="U224" s="58" t="str" cm="1">
        <f>IFERROR(INDEX(List_Predictors, INDEX(Array_PredictorsLookup,MATCH($A224,List_PredictorFacilities,0),(COLUMN()-1)/2), 1),"")</f>
        <v/>
      </c>
      <c r="V224" s="137"/>
      <c r="W224" s="58" t="str" cm="1">
        <f>IFERROR(INDEX(List_Predictors, INDEX(Array_PredictorsLookup,MATCH($A224,List_PredictorFacilities,0),(COLUMN()-1)/2), 1),"")</f>
        <v/>
      </c>
      <c r="X224" s="137"/>
      <c r="Y224" s="58" t="str" cm="1">
        <f>IFERROR(INDEX(List_Predictors, INDEX(Array_PredictorsLookup,MATCH($A224,List_PredictorFacilities,0),(COLUMN()-1)/2), 1),"")</f>
        <v/>
      </c>
      <c r="Z224" s="137"/>
      <c r="AA224" s="58" t="str" cm="1">
        <f>IFERROR(INDEX(List_Predictors, INDEX(Array_PredictorsLookup,MATCH($A224,List_PredictorFacilities,0),(COLUMN()-1)/2), 1),"")</f>
        <v/>
      </c>
      <c r="AB224" s="137"/>
      <c r="AC224" s="58" t="str" cm="1">
        <f>IFERROR(INDEX(List_Predictors, INDEX(Array_PredictorsLookup,MATCH($A224,List_PredictorFacilities,0),(COLUMN()-1)/2), 1),"")</f>
        <v/>
      </c>
      <c r="AD224" s="137"/>
      <c r="AE224" s="58" t="str" cm="1">
        <f>IFERROR(INDEX(List_Predictors, INDEX(Array_PredictorsLookup,MATCH($A224,List_PredictorFacilities,0),(COLUMN()-1)/2), 1),"")</f>
        <v/>
      </c>
      <c r="AF224" s="137"/>
    </row>
    <row r="225" spans="1:32" x14ac:dyDescent="0.3">
      <c r="A225" s="126"/>
      <c r="B225" s="141"/>
      <c r="C225" s="58" t="str" cm="1">
        <f>IFERROR(INDEX(List_Predictors, INDEX(Array_PredictorsLookup,MATCH($A225,List_PredictorFacilities,0),(COLUMN()-1)/2), 1),"")</f>
        <v/>
      </c>
      <c r="D225" s="137"/>
      <c r="E225" s="58" t="str" cm="1">
        <f>IFERROR(INDEX(List_Predictors, INDEX(Array_PredictorsLookup,MATCH($A225,List_PredictorFacilities,0),(COLUMN()-1)/2), 1),"")</f>
        <v/>
      </c>
      <c r="F225" s="137"/>
      <c r="G225" s="58" t="str" cm="1">
        <f>IFERROR(INDEX(List_Predictors, INDEX(Array_PredictorsLookup,MATCH($A225,List_PredictorFacilities,0),(COLUMN()-1)/2), 1),"")</f>
        <v/>
      </c>
      <c r="H225" s="137"/>
      <c r="I225" s="58" t="str" cm="1">
        <f>IFERROR(INDEX(List_Predictors, INDEX(Array_PredictorsLookup,MATCH($A225,List_PredictorFacilities,0),(COLUMN()-1)/2), 1),"")</f>
        <v/>
      </c>
      <c r="J225" s="137"/>
      <c r="K225" s="58" t="str" cm="1">
        <f>IFERROR(INDEX(List_Predictors, INDEX(Array_PredictorsLookup,MATCH($A225,List_PredictorFacilities,0),(COLUMN()-1)/2), 1),"")</f>
        <v/>
      </c>
      <c r="L225" s="137"/>
      <c r="M225" s="58" t="str" cm="1">
        <f>IFERROR(INDEX(List_Predictors, INDEX(Array_PredictorsLookup,MATCH($A225,List_PredictorFacilities,0),(COLUMN()-1)/2), 1),"")</f>
        <v/>
      </c>
      <c r="N225" s="137"/>
      <c r="O225" s="58" t="str" cm="1">
        <f>IFERROR(INDEX(List_Predictors, INDEX(Array_PredictorsLookup,MATCH($A225,List_PredictorFacilities,0),(COLUMN()-1)/2), 1),"")</f>
        <v/>
      </c>
      <c r="P225" s="137"/>
      <c r="Q225" s="58" t="str" cm="1">
        <f>IFERROR(INDEX(List_Predictors, INDEX(Array_PredictorsLookup,MATCH($A225,List_PredictorFacilities,0),(COLUMN()-1)/2), 1),"")</f>
        <v/>
      </c>
      <c r="R225" s="137"/>
      <c r="S225" s="58" t="str" cm="1">
        <f>IFERROR(INDEX(List_Predictors, INDEX(Array_PredictorsLookup,MATCH($A225,List_PredictorFacilities,0),(COLUMN()-1)/2), 1),"")</f>
        <v/>
      </c>
      <c r="T225" s="137"/>
      <c r="U225" s="58" t="str" cm="1">
        <f>IFERROR(INDEX(List_Predictors, INDEX(Array_PredictorsLookup,MATCH($A225,List_PredictorFacilities,0),(COLUMN()-1)/2), 1),"")</f>
        <v/>
      </c>
      <c r="V225" s="137"/>
      <c r="W225" s="58" t="str" cm="1">
        <f>IFERROR(INDEX(List_Predictors, INDEX(Array_PredictorsLookup,MATCH($A225,List_PredictorFacilities,0),(COLUMN()-1)/2), 1),"")</f>
        <v/>
      </c>
      <c r="X225" s="137"/>
      <c r="Y225" s="58" t="str" cm="1">
        <f>IFERROR(INDEX(List_Predictors, INDEX(Array_PredictorsLookup,MATCH($A225,List_PredictorFacilities,0),(COLUMN()-1)/2), 1),"")</f>
        <v/>
      </c>
      <c r="Z225" s="137"/>
      <c r="AA225" s="58" t="str" cm="1">
        <f>IFERROR(INDEX(List_Predictors, INDEX(Array_PredictorsLookup,MATCH($A225,List_PredictorFacilities,0),(COLUMN()-1)/2), 1),"")</f>
        <v/>
      </c>
      <c r="AB225" s="137"/>
      <c r="AC225" s="58" t="str" cm="1">
        <f>IFERROR(INDEX(List_Predictors, INDEX(Array_PredictorsLookup,MATCH($A225,List_PredictorFacilities,0),(COLUMN()-1)/2), 1),"")</f>
        <v/>
      </c>
      <c r="AD225" s="137"/>
      <c r="AE225" s="58" t="str" cm="1">
        <f>IFERROR(INDEX(List_Predictors, INDEX(Array_PredictorsLookup,MATCH($A225,List_PredictorFacilities,0),(COLUMN()-1)/2), 1),"")</f>
        <v/>
      </c>
      <c r="AF225" s="137"/>
    </row>
    <row r="226" spans="1:32" x14ac:dyDescent="0.3">
      <c r="A226" s="126"/>
      <c r="B226" s="141"/>
      <c r="C226" s="58" t="str" cm="1">
        <f>IFERROR(INDEX(List_Predictors, INDEX(Array_PredictorsLookup,MATCH($A226,List_PredictorFacilities,0),(COLUMN()-1)/2), 1),"")</f>
        <v/>
      </c>
      <c r="D226" s="137"/>
      <c r="E226" s="58" t="str" cm="1">
        <f>IFERROR(INDEX(List_Predictors, INDEX(Array_PredictorsLookup,MATCH($A226,List_PredictorFacilities,0),(COLUMN()-1)/2), 1),"")</f>
        <v/>
      </c>
      <c r="F226" s="137"/>
      <c r="G226" s="58" t="str" cm="1">
        <f>IFERROR(INDEX(List_Predictors, INDEX(Array_PredictorsLookup,MATCH($A226,List_PredictorFacilities,0),(COLUMN()-1)/2), 1),"")</f>
        <v/>
      </c>
      <c r="H226" s="137"/>
      <c r="I226" s="58" t="str" cm="1">
        <f>IFERROR(INDEX(List_Predictors, INDEX(Array_PredictorsLookup,MATCH($A226,List_PredictorFacilities,0),(COLUMN()-1)/2), 1),"")</f>
        <v/>
      </c>
      <c r="J226" s="137"/>
      <c r="K226" s="58" t="str" cm="1">
        <f>IFERROR(INDEX(List_Predictors, INDEX(Array_PredictorsLookup,MATCH($A226,List_PredictorFacilities,0),(COLUMN()-1)/2), 1),"")</f>
        <v/>
      </c>
      <c r="L226" s="137"/>
      <c r="M226" s="58" t="str" cm="1">
        <f>IFERROR(INDEX(List_Predictors, INDEX(Array_PredictorsLookup,MATCH($A226,List_PredictorFacilities,0),(COLUMN()-1)/2), 1),"")</f>
        <v/>
      </c>
      <c r="N226" s="137"/>
      <c r="O226" s="58" t="str" cm="1">
        <f>IFERROR(INDEX(List_Predictors, INDEX(Array_PredictorsLookup,MATCH($A226,List_PredictorFacilities,0),(COLUMN()-1)/2), 1),"")</f>
        <v/>
      </c>
      <c r="P226" s="137"/>
      <c r="Q226" s="58" t="str" cm="1">
        <f>IFERROR(INDEX(List_Predictors, INDEX(Array_PredictorsLookup,MATCH($A226,List_PredictorFacilities,0),(COLUMN()-1)/2), 1),"")</f>
        <v/>
      </c>
      <c r="R226" s="137"/>
      <c r="S226" s="58" t="str" cm="1">
        <f>IFERROR(INDEX(List_Predictors, INDEX(Array_PredictorsLookup,MATCH($A226,List_PredictorFacilities,0),(COLUMN()-1)/2), 1),"")</f>
        <v/>
      </c>
      <c r="T226" s="137"/>
      <c r="U226" s="58" t="str" cm="1">
        <f>IFERROR(INDEX(List_Predictors, INDEX(Array_PredictorsLookup,MATCH($A226,List_PredictorFacilities,0),(COLUMN()-1)/2), 1),"")</f>
        <v/>
      </c>
      <c r="V226" s="137"/>
      <c r="W226" s="58" t="str" cm="1">
        <f>IFERROR(INDEX(List_Predictors, INDEX(Array_PredictorsLookup,MATCH($A226,List_PredictorFacilities,0),(COLUMN()-1)/2), 1),"")</f>
        <v/>
      </c>
      <c r="X226" s="137"/>
      <c r="Y226" s="58" t="str" cm="1">
        <f>IFERROR(INDEX(List_Predictors, INDEX(Array_PredictorsLookup,MATCH($A226,List_PredictorFacilities,0),(COLUMN()-1)/2), 1),"")</f>
        <v/>
      </c>
      <c r="Z226" s="137"/>
      <c r="AA226" s="58" t="str" cm="1">
        <f>IFERROR(INDEX(List_Predictors, INDEX(Array_PredictorsLookup,MATCH($A226,List_PredictorFacilities,0),(COLUMN()-1)/2), 1),"")</f>
        <v/>
      </c>
      <c r="AB226" s="137"/>
      <c r="AC226" s="58" t="str" cm="1">
        <f>IFERROR(INDEX(List_Predictors, INDEX(Array_PredictorsLookup,MATCH($A226,List_PredictorFacilities,0),(COLUMN()-1)/2), 1),"")</f>
        <v/>
      </c>
      <c r="AD226" s="137"/>
      <c r="AE226" s="58" t="str" cm="1">
        <f>IFERROR(INDEX(List_Predictors, INDEX(Array_PredictorsLookup,MATCH($A226,List_PredictorFacilities,0),(COLUMN()-1)/2), 1),"")</f>
        <v/>
      </c>
      <c r="AF226" s="137"/>
    </row>
    <row r="227" spans="1:32" x14ac:dyDescent="0.3">
      <c r="A227" s="126"/>
      <c r="B227" s="141"/>
      <c r="C227" s="58" t="str" cm="1">
        <f>IFERROR(INDEX(List_Predictors, INDEX(Array_PredictorsLookup,MATCH($A227,List_PredictorFacilities,0),(COLUMN()-1)/2), 1),"")</f>
        <v/>
      </c>
      <c r="D227" s="137"/>
      <c r="E227" s="58" t="str" cm="1">
        <f>IFERROR(INDEX(List_Predictors, INDEX(Array_PredictorsLookup,MATCH($A227,List_PredictorFacilities,0),(COLUMN()-1)/2), 1),"")</f>
        <v/>
      </c>
      <c r="F227" s="137"/>
      <c r="G227" s="58" t="str" cm="1">
        <f>IFERROR(INDEX(List_Predictors, INDEX(Array_PredictorsLookup,MATCH($A227,List_PredictorFacilities,0),(COLUMN()-1)/2), 1),"")</f>
        <v/>
      </c>
      <c r="H227" s="137"/>
      <c r="I227" s="58" t="str" cm="1">
        <f>IFERROR(INDEX(List_Predictors, INDEX(Array_PredictorsLookup,MATCH($A227,List_PredictorFacilities,0),(COLUMN()-1)/2), 1),"")</f>
        <v/>
      </c>
      <c r="J227" s="137"/>
      <c r="K227" s="58" t="str" cm="1">
        <f>IFERROR(INDEX(List_Predictors, INDEX(Array_PredictorsLookup,MATCH($A227,List_PredictorFacilities,0),(COLUMN()-1)/2), 1),"")</f>
        <v/>
      </c>
      <c r="L227" s="137"/>
      <c r="M227" s="58" t="str" cm="1">
        <f>IFERROR(INDEX(List_Predictors, INDEX(Array_PredictorsLookup,MATCH($A227,List_PredictorFacilities,0),(COLUMN()-1)/2), 1),"")</f>
        <v/>
      </c>
      <c r="N227" s="137"/>
      <c r="O227" s="58" t="str" cm="1">
        <f>IFERROR(INDEX(List_Predictors, INDEX(Array_PredictorsLookup,MATCH($A227,List_PredictorFacilities,0),(COLUMN()-1)/2), 1),"")</f>
        <v/>
      </c>
      <c r="P227" s="137"/>
      <c r="Q227" s="58" t="str" cm="1">
        <f>IFERROR(INDEX(List_Predictors, INDEX(Array_PredictorsLookup,MATCH($A227,List_PredictorFacilities,0),(COLUMN()-1)/2), 1),"")</f>
        <v/>
      </c>
      <c r="R227" s="137"/>
      <c r="S227" s="58" t="str" cm="1">
        <f>IFERROR(INDEX(List_Predictors, INDEX(Array_PredictorsLookup,MATCH($A227,List_PredictorFacilities,0),(COLUMN()-1)/2), 1),"")</f>
        <v/>
      </c>
      <c r="T227" s="137"/>
      <c r="U227" s="58" t="str" cm="1">
        <f>IFERROR(INDEX(List_Predictors, INDEX(Array_PredictorsLookup,MATCH($A227,List_PredictorFacilities,0),(COLUMN()-1)/2), 1),"")</f>
        <v/>
      </c>
      <c r="V227" s="137"/>
      <c r="W227" s="58" t="str" cm="1">
        <f>IFERROR(INDEX(List_Predictors, INDEX(Array_PredictorsLookup,MATCH($A227,List_PredictorFacilities,0),(COLUMN()-1)/2), 1),"")</f>
        <v/>
      </c>
      <c r="X227" s="137"/>
      <c r="Y227" s="58" t="str" cm="1">
        <f>IFERROR(INDEX(List_Predictors, INDEX(Array_PredictorsLookup,MATCH($A227,List_PredictorFacilities,0),(COLUMN()-1)/2), 1),"")</f>
        <v/>
      </c>
      <c r="Z227" s="137"/>
      <c r="AA227" s="58" t="str" cm="1">
        <f>IFERROR(INDEX(List_Predictors, INDEX(Array_PredictorsLookup,MATCH($A227,List_PredictorFacilities,0),(COLUMN()-1)/2), 1),"")</f>
        <v/>
      </c>
      <c r="AB227" s="137"/>
      <c r="AC227" s="58" t="str" cm="1">
        <f>IFERROR(INDEX(List_Predictors, INDEX(Array_PredictorsLookup,MATCH($A227,List_PredictorFacilities,0),(COLUMN()-1)/2), 1),"")</f>
        <v/>
      </c>
      <c r="AD227" s="137"/>
      <c r="AE227" s="58" t="str" cm="1">
        <f>IFERROR(INDEX(List_Predictors, INDEX(Array_PredictorsLookup,MATCH($A227,List_PredictorFacilities,0),(COLUMN()-1)/2), 1),"")</f>
        <v/>
      </c>
      <c r="AF227" s="137"/>
    </row>
    <row r="228" spans="1:32" x14ac:dyDescent="0.3">
      <c r="A228" s="126"/>
      <c r="B228" s="141"/>
      <c r="C228" s="58" t="str" cm="1">
        <f>IFERROR(INDEX(List_Predictors, INDEX(Array_PredictorsLookup,MATCH($A228,List_PredictorFacilities,0),(COLUMN()-1)/2), 1),"")</f>
        <v/>
      </c>
      <c r="D228" s="137"/>
      <c r="E228" s="58" t="str" cm="1">
        <f>IFERROR(INDEX(List_Predictors, INDEX(Array_PredictorsLookup,MATCH($A228,List_PredictorFacilities,0),(COLUMN()-1)/2), 1),"")</f>
        <v/>
      </c>
      <c r="F228" s="137"/>
      <c r="G228" s="58" t="str" cm="1">
        <f>IFERROR(INDEX(List_Predictors, INDEX(Array_PredictorsLookup,MATCH($A228,List_PredictorFacilities,0),(COLUMN()-1)/2), 1),"")</f>
        <v/>
      </c>
      <c r="H228" s="137"/>
      <c r="I228" s="58" t="str" cm="1">
        <f>IFERROR(INDEX(List_Predictors, INDEX(Array_PredictorsLookup,MATCH($A228,List_PredictorFacilities,0),(COLUMN()-1)/2), 1),"")</f>
        <v/>
      </c>
      <c r="J228" s="137"/>
      <c r="K228" s="58" t="str" cm="1">
        <f>IFERROR(INDEX(List_Predictors, INDEX(Array_PredictorsLookup,MATCH($A228,List_PredictorFacilities,0),(COLUMN()-1)/2), 1),"")</f>
        <v/>
      </c>
      <c r="L228" s="137"/>
      <c r="M228" s="58" t="str" cm="1">
        <f>IFERROR(INDEX(List_Predictors, INDEX(Array_PredictorsLookup,MATCH($A228,List_PredictorFacilities,0),(COLUMN()-1)/2), 1),"")</f>
        <v/>
      </c>
      <c r="N228" s="137"/>
      <c r="O228" s="58" t="str" cm="1">
        <f>IFERROR(INDEX(List_Predictors, INDEX(Array_PredictorsLookup,MATCH($A228,List_PredictorFacilities,0),(COLUMN()-1)/2), 1),"")</f>
        <v/>
      </c>
      <c r="P228" s="137"/>
      <c r="Q228" s="58" t="str" cm="1">
        <f>IFERROR(INDEX(List_Predictors, INDEX(Array_PredictorsLookup,MATCH($A228,List_PredictorFacilities,0),(COLUMN()-1)/2), 1),"")</f>
        <v/>
      </c>
      <c r="R228" s="137"/>
      <c r="S228" s="58" t="str" cm="1">
        <f>IFERROR(INDEX(List_Predictors, INDEX(Array_PredictorsLookup,MATCH($A228,List_PredictorFacilities,0),(COLUMN()-1)/2), 1),"")</f>
        <v/>
      </c>
      <c r="T228" s="137"/>
      <c r="U228" s="58" t="str" cm="1">
        <f>IFERROR(INDEX(List_Predictors, INDEX(Array_PredictorsLookup,MATCH($A228,List_PredictorFacilities,0),(COLUMN()-1)/2), 1),"")</f>
        <v/>
      </c>
      <c r="V228" s="137"/>
      <c r="W228" s="58" t="str" cm="1">
        <f>IFERROR(INDEX(List_Predictors, INDEX(Array_PredictorsLookup,MATCH($A228,List_PredictorFacilities,0),(COLUMN()-1)/2), 1),"")</f>
        <v/>
      </c>
      <c r="X228" s="137"/>
      <c r="Y228" s="58" t="str" cm="1">
        <f>IFERROR(INDEX(List_Predictors, INDEX(Array_PredictorsLookup,MATCH($A228,List_PredictorFacilities,0),(COLUMN()-1)/2), 1),"")</f>
        <v/>
      </c>
      <c r="Z228" s="137"/>
      <c r="AA228" s="58" t="str" cm="1">
        <f>IFERROR(INDEX(List_Predictors, INDEX(Array_PredictorsLookup,MATCH($A228,List_PredictorFacilities,0),(COLUMN()-1)/2), 1),"")</f>
        <v/>
      </c>
      <c r="AB228" s="137"/>
      <c r="AC228" s="58" t="str" cm="1">
        <f>IFERROR(INDEX(List_Predictors, INDEX(Array_PredictorsLookup,MATCH($A228,List_PredictorFacilities,0),(COLUMN()-1)/2), 1),"")</f>
        <v/>
      </c>
      <c r="AD228" s="137"/>
      <c r="AE228" s="58" t="str" cm="1">
        <f>IFERROR(INDEX(List_Predictors, INDEX(Array_PredictorsLookup,MATCH($A228,List_PredictorFacilities,0),(COLUMN()-1)/2), 1),"")</f>
        <v/>
      </c>
      <c r="AF228" s="137"/>
    </row>
    <row r="229" spans="1:32" x14ac:dyDescent="0.3">
      <c r="A229" s="126"/>
      <c r="B229" s="141"/>
      <c r="C229" s="58" t="str" cm="1">
        <f>IFERROR(INDEX(List_Predictors, INDEX(Array_PredictorsLookup,MATCH($A229,List_PredictorFacilities,0),(COLUMN()-1)/2), 1),"")</f>
        <v/>
      </c>
      <c r="D229" s="137"/>
      <c r="E229" s="58" t="str" cm="1">
        <f>IFERROR(INDEX(List_Predictors, INDEX(Array_PredictorsLookup,MATCH($A229,List_PredictorFacilities,0),(COLUMN()-1)/2), 1),"")</f>
        <v/>
      </c>
      <c r="F229" s="137"/>
      <c r="G229" s="58" t="str" cm="1">
        <f>IFERROR(INDEX(List_Predictors, INDEX(Array_PredictorsLookup,MATCH($A229,List_PredictorFacilities,0),(COLUMN()-1)/2), 1),"")</f>
        <v/>
      </c>
      <c r="H229" s="137"/>
      <c r="I229" s="58" t="str" cm="1">
        <f>IFERROR(INDEX(List_Predictors, INDEX(Array_PredictorsLookup,MATCH($A229,List_PredictorFacilities,0),(COLUMN()-1)/2), 1),"")</f>
        <v/>
      </c>
      <c r="J229" s="137"/>
      <c r="K229" s="58" t="str" cm="1">
        <f>IFERROR(INDEX(List_Predictors, INDEX(Array_PredictorsLookup,MATCH($A229,List_PredictorFacilities,0),(COLUMN()-1)/2), 1),"")</f>
        <v/>
      </c>
      <c r="L229" s="137"/>
      <c r="M229" s="58" t="str" cm="1">
        <f>IFERROR(INDEX(List_Predictors, INDEX(Array_PredictorsLookup,MATCH($A229,List_PredictorFacilities,0),(COLUMN()-1)/2), 1),"")</f>
        <v/>
      </c>
      <c r="N229" s="137"/>
      <c r="O229" s="58" t="str" cm="1">
        <f>IFERROR(INDEX(List_Predictors, INDEX(Array_PredictorsLookup,MATCH($A229,List_PredictorFacilities,0),(COLUMN()-1)/2), 1),"")</f>
        <v/>
      </c>
      <c r="P229" s="137"/>
      <c r="Q229" s="58" t="str" cm="1">
        <f>IFERROR(INDEX(List_Predictors, INDEX(Array_PredictorsLookup,MATCH($A229,List_PredictorFacilities,0),(COLUMN()-1)/2), 1),"")</f>
        <v/>
      </c>
      <c r="R229" s="137"/>
      <c r="S229" s="58" t="str" cm="1">
        <f>IFERROR(INDEX(List_Predictors, INDEX(Array_PredictorsLookup,MATCH($A229,List_PredictorFacilities,0),(COLUMN()-1)/2), 1),"")</f>
        <v/>
      </c>
      <c r="T229" s="137"/>
      <c r="U229" s="58" t="str" cm="1">
        <f>IFERROR(INDEX(List_Predictors, INDEX(Array_PredictorsLookup,MATCH($A229,List_PredictorFacilities,0),(COLUMN()-1)/2), 1),"")</f>
        <v/>
      </c>
      <c r="V229" s="137"/>
      <c r="W229" s="58" t="str" cm="1">
        <f>IFERROR(INDEX(List_Predictors, INDEX(Array_PredictorsLookup,MATCH($A229,List_PredictorFacilities,0),(COLUMN()-1)/2), 1),"")</f>
        <v/>
      </c>
      <c r="X229" s="137"/>
      <c r="Y229" s="58" t="str" cm="1">
        <f>IFERROR(INDEX(List_Predictors, INDEX(Array_PredictorsLookup,MATCH($A229,List_PredictorFacilities,0),(COLUMN()-1)/2), 1),"")</f>
        <v/>
      </c>
      <c r="Z229" s="137"/>
      <c r="AA229" s="58" t="str" cm="1">
        <f>IFERROR(INDEX(List_Predictors, INDEX(Array_PredictorsLookup,MATCH($A229,List_PredictorFacilities,0),(COLUMN()-1)/2), 1),"")</f>
        <v/>
      </c>
      <c r="AB229" s="137"/>
      <c r="AC229" s="58" t="str" cm="1">
        <f>IFERROR(INDEX(List_Predictors, INDEX(Array_PredictorsLookup,MATCH($A229,List_PredictorFacilities,0),(COLUMN()-1)/2), 1),"")</f>
        <v/>
      </c>
      <c r="AD229" s="137"/>
      <c r="AE229" s="58" t="str" cm="1">
        <f>IFERROR(INDEX(List_Predictors, INDEX(Array_PredictorsLookup,MATCH($A229,List_PredictorFacilities,0),(COLUMN()-1)/2), 1),"")</f>
        <v/>
      </c>
      <c r="AF229" s="137"/>
    </row>
    <row r="230" spans="1:32" x14ac:dyDescent="0.3">
      <c r="A230" s="126"/>
      <c r="B230" s="141"/>
      <c r="C230" s="58" t="str" cm="1">
        <f>IFERROR(INDEX(List_Predictors, INDEX(Array_PredictorsLookup,MATCH($A230,List_PredictorFacilities,0),(COLUMN()-1)/2), 1),"")</f>
        <v/>
      </c>
      <c r="D230" s="137"/>
      <c r="E230" s="58" t="str" cm="1">
        <f>IFERROR(INDEX(List_Predictors, INDEX(Array_PredictorsLookup,MATCH($A230,List_PredictorFacilities,0),(COLUMN()-1)/2), 1),"")</f>
        <v/>
      </c>
      <c r="F230" s="137"/>
      <c r="G230" s="58" t="str" cm="1">
        <f>IFERROR(INDEX(List_Predictors, INDEX(Array_PredictorsLookup,MATCH($A230,List_PredictorFacilities,0),(COLUMN()-1)/2), 1),"")</f>
        <v/>
      </c>
      <c r="H230" s="137"/>
      <c r="I230" s="58" t="str" cm="1">
        <f>IFERROR(INDEX(List_Predictors, INDEX(Array_PredictorsLookup,MATCH($A230,List_PredictorFacilities,0),(COLUMN()-1)/2), 1),"")</f>
        <v/>
      </c>
      <c r="J230" s="137"/>
      <c r="K230" s="58" t="str" cm="1">
        <f>IFERROR(INDEX(List_Predictors, INDEX(Array_PredictorsLookup,MATCH($A230,List_PredictorFacilities,0),(COLUMN()-1)/2), 1),"")</f>
        <v/>
      </c>
      <c r="L230" s="137"/>
      <c r="M230" s="58" t="str" cm="1">
        <f>IFERROR(INDEX(List_Predictors, INDEX(Array_PredictorsLookup,MATCH($A230,List_PredictorFacilities,0),(COLUMN()-1)/2), 1),"")</f>
        <v/>
      </c>
      <c r="N230" s="137"/>
      <c r="O230" s="58" t="str" cm="1">
        <f>IFERROR(INDEX(List_Predictors, INDEX(Array_PredictorsLookup,MATCH($A230,List_PredictorFacilities,0),(COLUMN()-1)/2), 1),"")</f>
        <v/>
      </c>
      <c r="P230" s="137"/>
      <c r="Q230" s="58" t="str" cm="1">
        <f>IFERROR(INDEX(List_Predictors, INDEX(Array_PredictorsLookup,MATCH($A230,List_PredictorFacilities,0),(COLUMN()-1)/2), 1),"")</f>
        <v/>
      </c>
      <c r="R230" s="137"/>
      <c r="S230" s="58" t="str" cm="1">
        <f>IFERROR(INDEX(List_Predictors, INDEX(Array_PredictorsLookup,MATCH($A230,List_PredictorFacilities,0),(COLUMN()-1)/2), 1),"")</f>
        <v/>
      </c>
      <c r="T230" s="137"/>
      <c r="U230" s="58" t="str" cm="1">
        <f>IFERROR(INDEX(List_Predictors, INDEX(Array_PredictorsLookup,MATCH($A230,List_PredictorFacilities,0),(COLUMN()-1)/2), 1),"")</f>
        <v/>
      </c>
      <c r="V230" s="137"/>
      <c r="W230" s="58" t="str" cm="1">
        <f>IFERROR(INDEX(List_Predictors, INDEX(Array_PredictorsLookup,MATCH($A230,List_PredictorFacilities,0),(COLUMN()-1)/2), 1),"")</f>
        <v/>
      </c>
      <c r="X230" s="137"/>
      <c r="Y230" s="58" t="str" cm="1">
        <f>IFERROR(INDEX(List_Predictors, INDEX(Array_PredictorsLookup,MATCH($A230,List_PredictorFacilities,0),(COLUMN()-1)/2), 1),"")</f>
        <v/>
      </c>
      <c r="Z230" s="137"/>
      <c r="AA230" s="58" t="str" cm="1">
        <f>IFERROR(INDEX(List_Predictors, INDEX(Array_PredictorsLookup,MATCH($A230,List_PredictorFacilities,0),(COLUMN()-1)/2), 1),"")</f>
        <v/>
      </c>
      <c r="AB230" s="137"/>
      <c r="AC230" s="58" t="str" cm="1">
        <f>IFERROR(INDEX(List_Predictors, INDEX(Array_PredictorsLookup,MATCH($A230,List_PredictorFacilities,0),(COLUMN()-1)/2), 1),"")</f>
        <v/>
      </c>
      <c r="AD230" s="137"/>
      <c r="AE230" s="58" t="str" cm="1">
        <f>IFERROR(INDEX(List_Predictors, INDEX(Array_PredictorsLookup,MATCH($A230,List_PredictorFacilities,0),(COLUMN()-1)/2), 1),"")</f>
        <v/>
      </c>
      <c r="AF230" s="137"/>
    </row>
    <row r="231" spans="1:32" x14ac:dyDescent="0.3">
      <c r="A231" s="126"/>
      <c r="B231" s="141"/>
      <c r="C231" s="58" t="str" cm="1">
        <f>IFERROR(INDEX(List_Predictors, INDEX(Array_PredictorsLookup,MATCH($A231,List_PredictorFacilities,0),(COLUMN()-1)/2), 1),"")</f>
        <v/>
      </c>
      <c r="D231" s="137"/>
      <c r="E231" s="58" t="str" cm="1">
        <f>IFERROR(INDEX(List_Predictors, INDEX(Array_PredictorsLookup,MATCH($A231,List_PredictorFacilities,0),(COLUMN()-1)/2), 1),"")</f>
        <v/>
      </c>
      <c r="F231" s="137"/>
      <c r="G231" s="58" t="str" cm="1">
        <f>IFERROR(INDEX(List_Predictors, INDEX(Array_PredictorsLookup,MATCH($A231,List_PredictorFacilities,0),(COLUMN()-1)/2), 1),"")</f>
        <v/>
      </c>
      <c r="H231" s="137"/>
      <c r="I231" s="58" t="str" cm="1">
        <f>IFERROR(INDEX(List_Predictors, INDEX(Array_PredictorsLookup,MATCH($A231,List_PredictorFacilities,0),(COLUMN()-1)/2), 1),"")</f>
        <v/>
      </c>
      <c r="J231" s="137"/>
      <c r="K231" s="58" t="str" cm="1">
        <f>IFERROR(INDEX(List_Predictors, INDEX(Array_PredictorsLookup,MATCH($A231,List_PredictorFacilities,0),(COLUMN()-1)/2), 1),"")</f>
        <v/>
      </c>
      <c r="L231" s="137"/>
      <c r="M231" s="58" t="str" cm="1">
        <f>IFERROR(INDEX(List_Predictors, INDEX(Array_PredictorsLookup,MATCH($A231,List_PredictorFacilities,0),(COLUMN()-1)/2), 1),"")</f>
        <v/>
      </c>
      <c r="N231" s="137"/>
      <c r="O231" s="58" t="str" cm="1">
        <f>IFERROR(INDEX(List_Predictors, INDEX(Array_PredictorsLookup,MATCH($A231,List_PredictorFacilities,0),(COLUMN()-1)/2), 1),"")</f>
        <v/>
      </c>
      <c r="P231" s="137"/>
      <c r="Q231" s="58" t="str" cm="1">
        <f>IFERROR(INDEX(List_Predictors, INDEX(Array_PredictorsLookup,MATCH($A231,List_PredictorFacilities,0),(COLUMN()-1)/2), 1),"")</f>
        <v/>
      </c>
      <c r="R231" s="137"/>
      <c r="S231" s="58" t="str" cm="1">
        <f>IFERROR(INDEX(List_Predictors, INDEX(Array_PredictorsLookup,MATCH($A231,List_PredictorFacilities,0),(COLUMN()-1)/2), 1),"")</f>
        <v/>
      </c>
      <c r="T231" s="137"/>
      <c r="U231" s="58" t="str" cm="1">
        <f>IFERROR(INDEX(List_Predictors, INDEX(Array_PredictorsLookup,MATCH($A231,List_PredictorFacilities,0),(COLUMN()-1)/2), 1),"")</f>
        <v/>
      </c>
      <c r="V231" s="137"/>
      <c r="W231" s="58" t="str" cm="1">
        <f>IFERROR(INDEX(List_Predictors, INDEX(Array_PredictorsLookup,MATCH($A231,List_PredictorFacilities,0),(COLUMN()-1)/2), 1),"")</f>
        <v/>
      </c>
      <c r="X231" s="137"/>
      <c r="Y231" s="58" t="str" cm="1">
        <f>IFERROR(INDEX(List_Predictors, INDEX(Array_PredictorsLookup,MATCH($A231,List_PredictorFacilities,0),(COLUMN()-1)/2), 1),"")</f>
        <v/>
      </c>
      <c r="Z231" s="137"/>
      <c r="AA231" s="58" t="str" cm="1">
        <f>IFERROR(INDEX(List_Predictors, INDEX(Array_PredictorsLookup,MATCH($A231,List_PredictorFacilities,0),(COLUMN()-1)/2), 1),"")</f>
        <v/>
      </c>
      <c r="AB231" s="137"/>
      <c r="AC231" s="58" t="str" cm="1">
        <f>IFERROR(INDEX(List_Predictors, INDEX(Array_PredictorsLookup,MATCH($A231,List_PredictorFacilities,0),(COLUMN()-1)/2), 1),"")</f>
        <v/>
      </c>
      <c r="AD231" s="137"/>
      <c r="AE231" s="58" t="str" cm="1">
        <f>IFERROR(INDEX(List_Predictors, INDEX(Array_PredictorsLookup,MATCH($A231,List_PredictorFacilities,0),(COLUMN()-1)/2), 1),"")</f>
        <v/>
      </c>
      <c r="AF231" s="137"/>
    </row>
    <row r="232" spans="1:32" x14ac:dyDescent="0.3">
      <c r="A232" s="126"/>
      <c r="B232" s="141"/>
      <c r="C232" s="58" t="str" cm="1">
        <f>IFERROR(INDEX(List_Predictors, INDEX(Array_PredictorsLookup,MATCH($A232,List_PredictorFacilities,0),(COLUMN()-1)/2), 1),"")</f>
        <v/>
      </c>
      <c r="D232" s="137"/>
      <c r="E232" s="58" t="str" cm="1">
        <f>IFERROR(INDEX(List_Predictors, INDEX(Array_PredictorsLookup,MATCH($A232,List_PredictorFacilities,0),(COLUMN()-1)/2), 1),"")</f>
        <v/>
      </c>
      <c r="F232" s="137"/>
      <c r="G232" s="58" t="str" cm="1">
        <f>IFERROR(INDEX(List_Predictors, INDEX(Array_PredictorsLookup,MATCH($A232,List_PredictorFacilities,0),(COLUMN()-1)/2), 1),"")</f>
        <v/>
      </c>
      <c r="H232" s="137"/>
      <c r="I232" s="58" t="str" cm="1">
        <f>IFERROR(INDEX(List_Predictors, INDEX(Array_PredictorsLookup,MATCH($A232,List_PredictorFacilities,0),(COLUMN()-1)/2), 1),"")</f>
        <v/>
      </c>
      <c r="J232" s="137"/>
      <c r="K232" s="58" t="str" cm="1">
        <f>IFERROR(INDEX(List_Predictors, INDEX(Array_PredictorsLookup,MATCH($A232,List_PredictorFacilities,0),(COLUMN()-1)/2), 1),"")</f>
        <v/>
      </c>
      <c r="L232" s="137"/>
      <c r="M232" s="58" t="str" cm="1">
        <f>IFERROR(INDEX(List_Predictors, INDEX(Array_PredictorsLookup,MATCH($A232,List_PredictorFacilities,0),(COLUMN()-1)/2), 1),"")</f>
        <v/>
      </c>
      <c r="N232" s="137"/>
      <c r="O232" s="58" t="str" cm="1">
        <f>IFERROR(INDEX(List_Predictors, INDEX(Array_PredictorsLookup,MATCH($A232,List_PredictorFacilities,0),(COLUMN()-1)/2), 1),"")</f>
        <v/>
      </c>
      <c r="P232" s="137"/>
      <c r="Q232" s="58" t="str" cm="1">
        <f>IFERROR(INDEX(List_Predictors, INDEX(Array_PredictorsLookup,MATCH($A232,List_PredictorFacilities,0),(COLUMN()-1)/2), 1),"")</f>
        <v/>
      </c>
      <c r="R232" s="137"/>
      <c r="S232" s="58" t="str" cm="1">
        <f>IFERROR(INDEX(List_Predictors, INDEX(Array_PredictorsLookup,MATCH($A232,List_PredictorFacilities,0),(COLUMN()-1)/2), 1),"")</f>
        <v/>
      </c>
      <c r="T232" s="137"/>
      <c r="U232" s="58" t="str" cm="1">
        <f>IFERROR(INDEX(List_Predictors, INDEX(Array_PredictorsLookup,MATCH($A232,List_PredictorFacilities,0),(COLUMN()-1)/2), 1),"")</f>
        <v/>
      </c>
      <c r="V232" s="137"/>
      <c r="W232" s="58" t="str" cm="1">
        <f>IFERROR(INDEX(List_Predictors, INDEX(Array_PredictorsLookup,MATCH($A232,List_PredictorFacilities,0),(COLUMN()-1)/2), 1),"")</f>
        <v/>
      </c>
      <c r="X232" s="137"/>
      <c r="Y232" s="58" t="str" cm="1">
        <f>IFERROR(INDEX(List_Predictors, INDEX(Array_PredictorsLookup,MATCH($A232,List_PredictorFacilities,0),(COLUMN()-1)/2), 1),"")</f>
        <v/>
      </c>
      <c r="Z232" s="137"/>
      <c r="AA232" s="58" t="str" cm="1">
        <f>IFERROR(INDEX(List_Predictors, INDEX(Array_PredictorsLookup,MATCH($A232,List_PredictorFacilities,0),(COLUMN()-1)/2), 1),"")</f>
        <v/>
      </c>
      <c r="AB232" s="137"/>
      <c r="AC232" s="58" t="str" cm="1">
        <f>IFERROR(INDEX(List_Predictors, INDEX(Array_PredictorsLookup,MATCH($A232,List_PredictorFacilities,0),(COLUMN()-1)/2), 1),"")</f>
        <v/>
      </c>
      <c r="AD232" s="137"/>
      <c r="AE232" s="58" t="str" cm="1">
        <f>IFERROR(INDEX(List_Predictors, INDEX(Array_PredictorsLookup,MATCH($A232,List_PredictorFacilities,0),(COLUMN()-1)/2), 1),"")</f>
        <v/>
      </c>
      <c r="AF232" s="137"/>
    </row>
    <row r="233" spans="1:32" x14ac:dyDescent="0.3">
      <c r="A233" s="126"/>
      <c r="B233" s="141"/>
      <c r="C233" s="58" t="str" cm="1">
        <f>IFERROR(INDEX(List_Predictors, INDEX(Array_PredictorsLookup,MATCH($A233,List_PredictorFacilities,0),(COLUMN()-1)/2), 1),"")</f>
        <v/>
      </c>
      <c r="D233" s="137"/>
      <c r="E233" s="58" t="str" cm="1">
        <f>IFERROR(INDEX(List_Predictors, INDEX(Array_PredictorsLookup,MATCH($A233,List_PredictorFacilities,0),(COLUMN()-1)/2), 1),"")</f>
        <v/>
      </c>
      <c r="F233" s="137"/>
      <c r="G233" s="58" t="str" cm="1">
        <f>IFERROR(INDEX(List_Predictors, INDEX(Array_PredictorsLookup,MATCH($A233,List_PredictorFacilities,0),(COLUMN()-1)/2), 1),"")</f>
        <v/>
      </c>
      <c r="H233" s="137"/>
      <c r="I233" s="58" t="str" cm="1">
        <f>IFERROR(INDEX(List_Predictors, INDEX(Array_PredictorsLookup,MATCH($A233,List_PredictorFacilities,0),(COLUMN()-1)/2), 1),"")</f>
        <v/>
      </c>
      <c r="J233" s="137"/>
      <c r="K233" s="58" t="str" cm="1">
        <f>IFERROR(INDEX(List_Predictors, INDEX(Array_PredictorsLookup,MATCH($A233,List_PredictorFacilities,0),(COLUMN()-1)/2), 1),"")</f>
        <v/>
      </c>
      <c r="L233" s="137"/>
      <c r="M233" s="58" t="str" cm="1">
        <f>IFERROR(INDEX(List_Predictors, INDEX(Array_PredictorsLookup,MATCH($A233,List_PredictorFacilities,0),(COLUMN()-1)/2), 1),"")</f>
        <v/>
      </c>
      <c r="N233" s="137"/>
      <c r="O233" s="58" t="str" cm="1">
        <f>IFERROR(INDEX(List_Predictors, INDEX(Array_PredictorsLookup,MATCH($A233,List_PredictorFacilities,0),(COLUMN()-1)/2), 1),"")</f>
        <v/>
      </c>
      <c r="P233" s="137"/>
      <c r="Q233" s="58" t="str" cm="1">
        <f>IFERROR(INDEX(List_Predictors, INDEX(Array_PredictorsLookup,MATCH($A233,List_PredictorFacilities,0),(COLUMN()-1)/2), 1),"")</f>
        <v/>
      </c>
      <c r="R233" s="137"/>
      <c r="S233" s="58" t="str" cm="1">
        <f>IFERROR(INDEX(List_Predictors, INDEX(Array_PredictorsLookup,MATCH($A233,List_PredictorFacilities,0),(COLUMN()-1)/2), 1),"")</f>
        <v/>
      </c>
      <c r="T233" s="137"/>
      <c r="U233" s="58" t="str" cm="1">
        <f>IFERROR(INDEX(List_Predictors, INDEX(Array_PredictorsLookup,MATCH($A233,List_PredictorFacilities,0),(COLUMN()-1)/2), 1),"")</f>
        <v/>
      </c>
      <c r="V233" s="137"/>
      <c r="W233" s="58" t="str" cm="1">
        <f>IFERROR(INDEX(List_Predictors, INDEX(Array_PredictorsLookup,MATCH($A233,List_PredictorFacilities,0),(COLUMN()-1)/2), 1),"")</f>
        <v/>
      </c>
      <c r="X233" s="137"/>
      <c r="Y233" s="58" t="str" cm="1">
        <f>IFERROR(INDEX(List_Predictors, INDEX(Array_PredictorsLookup,MATCH($A233,List_PredictorFacilities,0),(COLUMN()-1)/2), 1),"")</f>
        <v/>
      </c>
      <c r="Z233" s="137"/>
      <c r="AA233" s="58" t="str" cm="1">
        <f>IFERROR(INDEX(List_Predictors, INDEX(Array_PredictorsLookup,MATCH($A233,List_PredictorFacilities,0),(COLUMN()-1)/2), 1),"")</f>
        <v/>
      </c>
      <c r="AB233" s="137"/>
      <c r="AC233" s="58" t="str" cm="1">
        <f>IFERROR(INDEX(List_Predictors, INDEX(Array_PredictorsLookup,MATCH($A233,List_PredictorFacilities,0),(COLUMN()-1)/2), 1),"")</f>
        <v/>
      </c>
      <c r="AD233" s="137"/>
      <c r="AE233" s="58" t="str" cm="1">
        <f>IFERROR(INDEX(List_Predictors, INDEX(Array_PredictorsLookup,MATCH($A233,List_PredictorFacilities,0),(COLUMN()-1)/2), 1),"")</f>
        <v/>
      </c>
      <c r="AF233" s="137"/>
    </row>
    <row r="234" spans="1:32" x14ac:dyDescent="0.3">
      <c r="A234" s="126"/>
      <c r="B234" s="141"/>
      <c r="C234" s="58" t="str" cm="1">
        <f>IFERROR(INDEX(List_Predictors, INDEX(Array_PredictorsLookup,MATCH($A234,List_PredictorFacilities,0),(COLUMN()-1)/2), 1),"")</f>
        <v/>
      </c>
      <c r="D234" s="137"/>
      <c r="E234" s="58" t="str" cm="1">
        <f>IFERROR(INDEX(List_Predictors, INDEX(Array_PredictorsLookup,MATCH($A234,List_PredictorFacilities,0),(COLUMN()-1)/2), 1),"")</f>
        <v/>
      </c>
      <c r="F234" s="137"/>
      <c r="G234" s="58" t="str" cm="1">
        <f>IFERROR(INDEX(List_Predictors, INDEX(Array_PredictorsLookup,MATCH($A234,List_PredictorFacilities,0),(COLUMN()-1)/2), 1),"")</f>
        <v/>
      </c>
      <c r="H234" s="137"/>
      <c r="I234" s="58" t="str" cm="1">
        <f>IFERROR(INDEX(List_Predictors, INDEX(Array_PredictorsLookup,MATCH($A234,List_PredictorFacilities,0),(COLUMN()-1)/2), 1),"")</f>
        <v/>
      </c>
      <c r="J234" s="137"/>
      <c r="K234" s="58" t="str" cm="1">
        <f>IFERROR(INDEX(List_Predictors, INDEX(Array_PredictorsLookup,MATCH($A234,List_PredictorFacilities,0),(COLUMN()-1)/2), 1),"")</f>
        <v/>
      </c>
      <c r="L234" s="137"/>
      <c r="M234" s="58" t="str" cm="1">
        <f>IFERROR(INDEX(List_Predictors, INDEX(Array_PredictorsLookup,MATCH($A234,List_PredictorFacilities,0),(COLUMN()-1)/2), 1),"")</f>
        <v/>
      </c>
      <c r="N234" s="137"/>
      <c r="O234" s="58" t="str" cm="1">
        <f>IFERROR(INDEX(List_Predictors, INDEX(Array_PredictorsLookup,MATCH($A234,List_PredictorFacilities,0),(COLUMN()-1)/2), 1),"")</f>
        <v/>
      </c>
      <c r="P234" s="137"/>
      <c r="Q234" s="58" t="str" cm="1">
        <f>IFERROR(INDEX(List_Predictors, INDEX(Array_PredictorsLookup,MATCH($A234,List_PredictorFacilities,0),(COLUMN()-1)/2), 1),"")</f>
        <v/>
      </c>
      <c r="R234" s="137"/>
      <c r="S234" s="58" t="str" cm="1">
        <f>IFERROR(INDEX(List_Predictors, INDEX(Array_PredictorsLookup,MATCH($A234,List_PredictorFacilities,0),(COLUMN()-1)/2), 1),"")</f>
        <v/>
      </c>
      <c r="T234" s="137"/>
      <c r="U234" s="58" t="str" cm="1">
        <f>IFERROR(INDEX(List_Predictors, INDEX(Array_PredictorsLookup,MATCH($A234,List_PredictorFacilities,0),(COLUMN()-1)/2), 1),"")</f>
        <v/>
      </c>
      <c r="V234" s="137"/>
      <c r="W234" s="58" t="str" cm="1">
        <f>IFERROR(INDEX(List_Predictors, INDEX(Array_PredictorsLookup,MATCH($A234,List_PredictorFacilities,0),(COLUMN()-1)/2), 1),"")</f>
        <v/>
      </c>
      <c r="X234" s="137"/>
      <c r="Y234" s="58" t="str" cm="1">
        <f>IFERROR(INDEX(List_Predictors, INDEX(Array_PredictorsLookup,MATCH($A234,List_PredictorFacilities,0),(COLUMN()-1)/2), 1),"")</f>
        <v/>
      </c>
      <c r="Z234" s="137"/>
      <c r="AA234" s="58" t="str" cm="1">
        <f>IFERROR(INDEX(List_Predictors, INDEX(Array_PredictorsLookup,MATCH($A234,List_PredictorFacilities,0),(COLUMN()-1)/2), 1),"")</f>
        <v/>
      </c>
      <c r="AB234" s="137"/>
      <c r="AC234" s="58" t="str" cm="1">
        <f>IFERROR(INDEX(List_Predictors, INDEX(Array_PredictorsLookup,MATCH($A234,List_PredictorFacilities,0),(COLUMN()-1)/2), 1),"")</f>
        <v/>
      </c>
      <c r="AD234" s="137"/>
      <c r="AE234" s="58" t="str" cm="1">
        <f>IFERROR(INDEX(List_Predictors, INDEX(Array_PredictorsLookup,MATCH($A234,List_PredictorFacilities,0),(COLUMN()-1)/2), 1),"")</f>
        <v/>
      </c>
      <c r="AF234" s="137"/>
    </row>
    <row r="235" spans="1:32" x14ac:dyDescent="0.3">
      <c r="A235" s="126"/>
      <c r="B235" s="141"/>
      <c r="C235" s="58" t="str" cm="1">
        <f>IFERROR(INDEX(List_Predictors, INDEX(Array_PredictorsLookup,MATCH($A235,List_PredictorFacilities,0),(COLUMN()-1)/2), 1),"")</f>
        <v/>
      </c>
      <c r="D235" s="137"/>
      <c r="E235" s="58" t="str" cm="1">
        <f>IFERROR(INDEX(List_Predictors, INDEX(Array_PredictorsLookup,MATCH($A235,List_PredictorFacilities,0),(COLUMN()-1)/2), 1),"")</f>
        <v/>
      </c>
      <c r="F235" s="137"/>
      <c r="G235" s="58" t="str" cm="1">
        <f>IFERROR(INDEX(List_Predictors, INDEX(Array_PredictorsLookup,MATCH($A235,List_PredictorFacilities,0),(COLUMN()-1)/2), 1),"")</f>
        <v/>
      </c>
      <c r="H235" s="137"/>
      <c r="I235" s="58" t="str" cm="1">
        <f>IFERROR(INDEX(List_Predictors, INDEX(Array_PredictorsLookup,MATCH($A235,List_PredictorFacilities,0),(COLUMN()-1)/2), 1),"")</f>
        <v/>
      </c>
      <c r="J235" s="137"/>
      <c r="K235" s="58" t="str" cm="1">
        <f>IFERROR(INDEX(List_Predictors, INDEX(Array_PredictorsLookup,MATCH($A235,List_PredictorFacilities,0),(COLUMN()-1)/2), 1),"")</f>
        <v/>
      </c>
      <c r="L235" s="137"/>
      <c r="M235" s="58" t="str" cm="1">
        <f>IFERROR(INDEX(List_Predictors, INDEX(Array_PredictorsLookup,MATCH($A235,List_PredictorFacilities,0),(COLUMN()-1)/2), 1),"")</f>
        <v/>
      </c>
      <c r="N235" s="137"/>
      <c r="O235" s="58" t="str" cm="1">
        <f>IFERROR(INDEX(List_Predictors, INDEX(Array_PredictorsLookup,MATCH($A235,List_PredictorFacilities,0),(COLUMN()-1)/2), 1),"")</f>
        <v/>
      </c>
      <c r="P235" s="137"/>
      <c r="Q235" s="58" t="str" cm="1">
        <f>IFERROR(INDEX(List_Predictors, INDEX(Array_PredictorsLookup,MATCH($A235,List_PredictorFacilities,0),(COLUMN()-1)/2), 1),"")</f>
        <v/>
      </c>
      <c r="R235" s="137"/>
      <c r="S235" s="58" t="str" cm="1">
        <f>IFERROR(INDEX(List_Predictors, INDEX(Array_PredictorsLookup,MATCH($A235,List_PredictorFacilities,0),(COLUMN()-1)/2), 1),"")</f>
        <v/>
      </c>
      <c r="T235" s="137"/>
      <c r="U235" s="58" t="str" cm="1">
        <f>IFERROR(INDEX(List_Predictors, INDEX(Array_PredictorsLookup,MATCH($A235,List_PredictorFacilities,0),(COLUMN()-1)/2), 1),"")</f>
        <v/>
      </c>
      <c r="V235" s="137"/>
      <c r="W235" s="58" t="str" cm="1">
        <f>IFERROR(INDEX(List_Predictors, INDEX(Array_PredictorsLookup,MATCH($A235,List_PredictorFacilities,0),(COLUMN()-1)/2), 1),"")</f>
        <v/>
      </c>
      <c r="X235" s="137"/>
      <c r="Y235" s="58" t="str" cm="1">
        <f>IFERROR(INDEX(List_Predictors, INDEX(Array_PredictorsLookup,MATCH($A235,List_PredictorFacilities,0),(COLUMN()-1)/2), 1),"")</f>
        <v/>
      </c>
      <c r="Z235" s="137"/>
      <c r="AA235" s="58" t="str" cm="1">
        <f>IFERROR(INDEX(List_Predictors, INDEX(Array_PredictorsLookup,MATCH($A235,List_PredictorFacilities,0),(COLUMN()-1)/2), 1),"")</f>
        <v/>
      </c>
      <c r="AB235" s="137"/>
      <c r="AC235" s="58" t="str" cm="1">
        <f>IFERROR(INDEX(List_Predictors, INDEX(Array_PredictorsLookup,MATCH($A235,List_PredictorFacilities,0),(COLUMN()-1)/2), 1),"")</f>
        <v/>
      </c>
      <c r="AD235" s="137"/>
      <c r="AE235" s="58" t="str" cm="1">
        <f>IFERROR(INDEX(List_Predictors, INDEX(Array_PredictorsLookup,MATCH($A235,List_PredictorFacilities,0),(COLUMN()-1)/2), 1),"")</f>
        <v/>
      </c>
      <c r="AF235" s="137"/>
    </row>
    <row r="236" spans="1:32" x14ac:dyDescent="0.3">
      <c r="A236" s="126"/>
      <c r="B236" s="141"/>
      <c r="C236" s="58" t="str" cm="1">
        <f>IFERROR(INDEX(List_Predictors, INDEX(Array_PredictorsLookup,MATCH($A236,List_PredictorFacilities,0),(COLUMN()-1)/2), 1),"")</f>
        <v/>
      </c>
      <c r="D236" s="137"/>
      <c r="E236" s="58" t="str" cm="1">
        <f>IFERROR(INDEX(List_Predictors, INDEX(Array_PredictorsLookup,MATCH($A236,List_PredictorFacilities,0),(COLUMN()-1)/2), 1),"")</f>
        <v/>
      </c>
      <c r="F236" s="137"/>
      <c r="G236" s="58" t="str" cm="1">
        <f>IFERROR(INDEX(List_Predictors, INDEX(Array_PredictorsLookup,MATCH($A236,List_PredictorFacilities,0),(COLUMN()-1)/2), 1),"")</f>
        <v/>
      </c>
      <c r="H236" s="137"/>
      <c r="I236" s="58" t="str" cm="1">
        <f>IFERROR(INDEX(List_Predictors, INDEX(Array_PredictorsLookup,MATCH($A236,List_PredictorFacilities,0),(COLUMN()-1)/2), 1),"")</f>
        <v/>
      </c>
      <c r="J236" s="137"/>
      <c r="K236" s="58" t="str" cm="1">
        <f>IFERROR(INDEX(List_Predictors, INDEX(Array_PredictorsLookup,MATCH($A236,List_PredictorFacilities,0),(COLUMN()-1)/2), 1),"")</f>
        <v/>
      </c>
      <c r="L236" s="137"/>
      <c r="M236" s="58" t="str" cm="1">
        <f>IFERROR(INDEX(List_Predictors, INDEX(Array_PredictorsLookup,MATCH($A236,List_PredictorFacilities,0),(COLUMN()-1)/2), 1),"")</f>
        <v/>
      </c>
      <c r="N236" s="137"/>
      <c r="O236" s="58" t="str" cm="1">
        <f>IFERROR(INDEX(List_Predictors, INDEX(Array_PredictorsLookup,MATCH($A236,List_PredictorFacilities,0),(COLUMN()-1)/2), 1),"")</f>
        <v/>
      </c>
      <c r="P236" s="137"/>
      <c r="Q236" s="58" t="str" cm="1">
        <f>IFERROR(INDEX(List_Predictors, INDEX(Array_PredictorsLookup,MATCH($A236,List_PredictorFacilities,0),(COLUMN()-1)/2), 1),"")</f>
        <v/>
      </c>
      <c r="R236" s="137"/>
      <c r="S236" s="58" t="str" cm="1">
        <f>IFERROR(INDEX(List_Predictors, INDEX(Array_PredictorsLookup,MATCH($A236,List_PredictorFacilities,0),(COLUMN()-1)/2), 1),"")</f>
        <v/>
      </c>
      <c r="T236" s="137"/>
      <c r="U236" s="58" t="str" cm="1">
        <f>IFERROR(INDEX(List_Predictors, INDEX(Array_PredictorsLookup,MATCH($A236,List_PredictorFacilities,0),(COLUMN()-1)/2), 1),"")</f>
        <v/>
      </c>
      <c r="V236" s="137"/>
      <c r="W236" s="58" t="str" cm="1">
        <f>IFERROR(INDEX(List_Predictors, INDEX(Array_PredictorsLookup,MATCH($A236,List_PredictorFacilities,0),(COLUMN()-1)/2), 1),"")</f>
        <v/>
      </c>
      <c r="X236" s="137"/>
      <c r="Y236" s="58" t="str" cm="1">
        <f>IFERROR(INDEX(List_Predictors, INDEX(Array_PredictorsLookup,MATCH($A236,List_PredictorFacilities,0),(COLUMN()-1)/2), 1),"")</f>
        <v/>
      </c>
      <c r="Z236" s="137"/>
      <c r="AA236" s="58" t="str" cm="1">
        <f>IFERROR(INDEX(List_Predictors, INDEX(Array_PredictorsLookup,MATCH($A236,List_PredictorFacilities,0),(COLUMN()-1)/2), 1),"")</f>
        <v/>
      </c>
      <c r="AB236" s="137"/>
      <c r="AC236" s="58" t="str" cm="1">
        <f>IFERROR(INDEX(List_Predictors, INDEX(Array_PredictorsLookup,MATCH($A236,List_PredictorFacilities,0),(COLUMN()-1)/2), 1),"")</f>
        <v/>
      </c>
      <c r="AD236" s="137"/>
      <c r="AE236" s="58" t="str" cm="1">
        <f>IFERROR(INDEX(List_Predictors, INDEX(Array_PredictorsLookup,MATCH($A236,List_PredictorFacilities,0),(COLUMN()-1)/2), 1),"")</f>
        <v/>
      </c>
      <c r="AF236" s="137"/>
    </row>
    <row r="237" spans="1:32" x14ac:dyDescent="0.3">
      <c r="A237" s="126"/>
      <c r="B237" s="141"/>
      <c r="C237" s="58" t="str" cm="1">
        <f>IFERROR(INDEX(List_Predictors, INDEX(Array_PredictorsLookup,MATCH($A237,List_PredictorFacilities,0),(COLUMN()-1)/2), 1),"")</f>
        <v/>
      </c>
      <c r="D237" s="137"/>
      <c r="E237" s="58" t="str" cm="1">
        <f>IFERROR(INDEX(List_Predictors, INDEX(Array_PredictorsLookup,MATCH($A237,List_PredictorFacilities,0),(COLUMN()-1)/2), 1),"")</f>
        <v/>
      </c>
      <c r="F237" s="137"/>
      <c r="G237" s="58" t="str" cm="1">
        <f>IFERROR(INDEX(List_Predictors, INDEX(Array_PredictorsLookup,MATCH($A237,List_PredictorFacilities,0),(COLUMN()-1)/2), 1),"")</f>
        <v/>
      </c>
      <c r="H237" s="137"/>
      <c r="I237" s="58" t="str" cm="1">
        <f>IFERROR(INDEX(List_Predictors, INDEX(Array_PredictorsLookup,MATCH($A237,List_PredictorFacilities,0),(COLUMN()-1)/2), 1),"")</f>
        <v/>
      </c>
      <c r="J237" s="137"/>
      <c r="K237" s="58" t="str" cm="1">
        <f>IFERROR(INDEX(List_Predictors, INDEX(Array_PredictorsLookup,MATCH($A237,List_PredictorFacilities,0),(COLUMN()-1)/2), 1),"")</f>
        <v/>
      </c>
      <c r="L237" s="137"/>
      <c r="M237" s="58" t="str" cm="1">
        <f>IFERROR(INDEX(List_Predictors, INDEX(Array_PredictorsLookup,MATCH($A237,List_PredictorFacilities,0),(COLUMN()-1)/2), 1),"")</f>
        <v/>
      </c>
      <c r="N237" s="137"/>
      <c r="O237" s="58" t="str" cm="1">
        <f>IFERROR(INDEX(List_Predictors, INDEX(Array_PredictorsLookup,MATCH($A237,List_PredictorFacilities,0),(COLUMN()-1)/2), 1),"")</f>
        <v/>
      </c>
      <c r="P237" s="137"/>
      <c r="Q237" s="58" t="str" cm="1">
        <f>IFERROR(INDEX(List_Predictors, INDEX(Array_PredictorsLookup,MATCH($A237,List_PredictorFacilities,0),(COLUMN()-1)/2), 1),"")</f>
        <v/>
      </c>
      <c r="R237" s="137"/>
      <c r="S237" s="58" t="str" cm="1">
        <f>IFERROR(INDEX(List_Predictors, INDEX(Array_PredictorsLookup,MATCH($A237,List_PredictorFacilities,0),(COLUMN()-1)/2), 1),"")</f>
        <v/>
      </c>
      <c r="T237" s="137"/>
      <c r="U237" s="58" t="str" cm="1">
        <f>IFERROR(INDEX(List_Predictors, INDEX(Array_PredictorsLookup,MATCH($A237,List_PredictorFacilities,0),(COLUMN()-1)/2), 1),"")</f>
        <v/>
      </c>
      <c r="V237" s="137"/>
      <c r="W237" s="58" t="str" cm="1">
        <f>IFERROR(INDEX(List_Predictors, INDEX(Array_PredictorsLookup,MATCH($A237,List_PredictorFacilities,0),(COLUMN()-1)/2), 1),"")</f>
        <v/>
      </c>
      <c r="X237" s="137"/>
      <c r="Y237" s="58" t="str" cm="1">
        <f>IFERROR(INDEX(List_Predictors, INDEX(Array_PredictorsLookup,MATCH($A237,List_PredictorFacilities,0),(COLUMN()-1)/2), 1),"")</f>
        <v/>
      </c>
      <c r="Z237" s="137"/>
      <c r="AA237" s="58" t="str" cm="1">
        <f>IFERROR(INDEX(List_Predictors, INDEX(Array_PredictorsLookup,MATCH($A237,List_PredictorFacilities,0),(COLUMN()-1)/2), 1),"")</f>
        <v/>
      </c>
      <c r="AB237" s="137"/>
      <c r="AC237" s="58" t="str" cm="1">
        <f>IFERROR(INDEX(List_Predictors, INDEX(Array_PredictorsLookup,MATCH($A237,List_PredictorFacilities,0),(COLUMN()-1)/2), 1),"")</f>
        <v/>
      </c>
      <c r="AD237" s="137"/>
      <c r="AE237" s="58" t="str" cm="1">
        <f>IFERROR(INDEX(List_Predictors, INDEX(Array_PredictorsLookup,MATCH($A237,List_PredictorFacilities,0),(COLUMN()-1)/2), 1),"")</f>
        <v/>
      </c>
      <c r="AF237" s="137"/>
    </row>
    <row r="238" spans="1:32" x14ac:dyDescent="0.3">
      <c r="A238" s="126"/>
      <c r="B238" s="141"/>
      <c r="C238" s="58" t="str" cm="1">
        <f>IFERROR(INDEX(List_Predictors, INDEX(Array_PredictorsLookup,MATCH($A238,List_PredictorFacilities,0),(COLUMN()-1)/2), 1),"")</f>
        <v/>
      </c>
      <c r="D238" s="137"/>
      <c r="E238" s="58" t="str" cm="1">
        <f>IFERROR(INDEX(List_Predictors, INDEX(Array_PredictorsLookup,MATCH($A238,List_PredictorFacilities,0),(COLUMN()-1)/2), 1),"")</f>
        <v/>
      </c>
      <c r="F238" s="137"/>
      <c r="G238" s="58" t="str" cm="1">
        <f>IFERROR(INDEX(List_Predictors, INDEX(Array_PredictorsLookup,MATCH($A238,List_PredictorFacilities,0),(COLUMN()-1)/2), 1),"")</f>
        <v/>
      </c>
      <c r="H238" s="137"/>
      <c r="I238" s="58" t="str" cm="1">
        <f>IFERROR(INDEX(List_Predictors, INDEX(Array_PredictorsLookup,MATCH($A238,List_PredictorFacilities,0),(COLUMN()-1)/2), 1),"")</f>
        <v/>
      </c>
      <c r="J238" s="137"/>
      <c r="K238" s="58" t="str" cm="1">
        <f>IFERROR(INDEX(List_Predictors, INDEX(Array_PredictorsLookup,MATCH($A238,List_PredictorFacilities,0),(COLUMN()-1)/2), 1),"")</f>
        <v/>
      </c>
      <c r="L238" s="137"/>
      <c r="M238" s="58" t="str" cm="1">
        <f>IFERROR(INDEX(List_Predictors, INDEX(Array_PredictorsLookup,MATCH($A238,List_PredictorFacilities,0),(COLUMN()-1)/2), 1),"")</f>
        <v/>
      </c>
      <c r="N238" s="137"/>
      <c r="O238" s="58" t="str" cm="1">
        <f>IFERROR(INDEX(List_Predictors, INDEX(Array_PredictorsLookup,MATCH($A238,List_PredictorFacilities,0),(COLUMN()-1)/2), 1),"")</f>
        <v/>
      </c>
      <c r="P238" s="137"/>
      <c r="Q238" s="58" t="str" cm="1">
        <f>IFERROR(INDEX(List_Predictors, INDEX(Array_PredictorsLookup,MATCH($A238,List_PredictorFacilities,0),(COLUMN()-1)/2), 1),"")</f>
        <v/>
      </c>
      <c r="R238" s="137"/>
      <c r="S238" s="58" t="str" cm="1">
        <f>IFERROR(INDEX(List_Predictors, INDEX(Array_PredictorsLookup,MATCH($A238,List_PredictorFacilities,0),(COLUMN()-1)/2), 1),"")</f>
        <v/>
      </c>
      <c r="T238" s="137"/>
      <c r="U238" s="58" t="str" cm="1">
        <f>IFERROR(INDEX(List_Predictors, INDEX(Array_PredictorsLookup,MATCH($A238,List_PredictorFacilities,0),(COLUMN()-1)/2), 1),"")</f>
        <v/>
      </c>
      <c r="V238" s="137"/>
      <c r="W238" s="58" t="str" cm="1">
        <f>IFERROR(INDEX(List_Predictors, INDEX(Array_PredictorsLookup,MATCH($A238,List_PredictorFacilities,0),(COLUMN()-1)/2), 1),"")</f>
        <v/>
      </c>
      <c r="X238" s="137"/>
      <c r="Y238" s="58" t="str" cm="1">
        <f>IFERROR(INDEX(List_Predictors, INDEX(Array_PredictorsLookup,MATCH($A238,List_PredictorFacilities,0),(COLUMN()-1)/2), 1),"")</f>
        <v/>
      </c>
      <c r="Z238" s="137"/>
      <c r="AA238" s="58" t="str" cm="1">
        <f>IFERROR(INDEX(List_Predictors, INDEX(Array_PredictorsLookup,MATCH($A238,List_PredictorFacilities,0),(COLUMN()-1)/2), 1),"")</f>
        <v/>
      </c>
      <c r="AB238" s="137"/>
      <c r="AC238" s="58" t="str" cm="1">
        <f>IFERROR(INDEX(List_Predictors, INDEX(Array_PredictorsLookup,MATCH($A238,List_PredictorFacilities,0),(COLUMN()-1)/2), 1),"")</f>
        <v/>
      </c>
      <c r="AD238" s="137"/>
      <c r="AE238" s="58" t="str" cm="1">
        <f>IFERROR(INDEX(List_Predictors, INDEX(Array_PredictorsLookup,MATCH($A238,List_PredictorFacilities,0),(COLUMN()-1)/2), 1),"")</f>
        <v/>
      </c>
      <c r="AF238" s="137"/>
    </row>
    <row r="239" spans="1:32" x14ac:dyDescent="0.3">
      <c r="A239" s="126"/>
      <c r="B239" s="141"/>
      <c r="C239" s="58" t="str" cm="1">
        <f>IFERROR(INDEX(List_Predictors, INDEX(Array_PredictorsLookup,MATCH($A239,List_PredictorFacilities,0),(COLUMN()-1)/2), 1),"")</f>
        <v/>
      </c>
      <c r="D239" s="137"/>
      <c r="E239" s="58" t="str" cm="1">
        <f>IFERROR(INDEX(List_Predictors, INDEX(Array_PredictorsLookup,MATCH($A239,List_PredictorFacilities,0),(COLUMN()-1)/2), 1),"")</f>
        <v/>
      </c>
      <c r="F239" s="137"/>
      <c r="G239" s="58" t="str" cm="1">
        <f>IFERROR(INDEX(List_Predictors, INDEX(Array_PredictorsLookup,MATCH($A239,List_PredictorFacilities,0),(COLUMN()-1)/2), 1),"")</f>
        <v/>
      </c>
      <c r="H239" s="137"/>
      <c r="I239" s="58" t="str" cm="1">
        <f>IFERROR(INDEX(List_Predictors, INDEX(Array_PredictorsLookup,MATCH($A239,List_PredictorFacilities,0),(COLUMN()-1)/2), 1),"")</f>
        <v/>
      </c>
      <c r="J239" s="137"/>
      <c r="K239" s="58" t="str" cm="1">
        <f>IFERROR(INDEX(List_Predictors, INDEX(Array_PredictorsLookup,MATCH($A239,List_PredictorFacilities,0),(COLUMN()-1)/2), 1),"")</f>
        <v/>
      </c>
      <c r="L239" s="137"/>
      <c r="M239" s="58" t="str" cm="1">
        <f>IFERROR(INDEX(List_Predictors, INDEX(Array_PredictorsLookup,MATCH($A239,List_PredictorFacilities,0),(COLUMN()-1)/2), 1),"")</f>
        <v/>
      </c>
      <c r="N239" s="137"/>
      <c r="O239" s="58" t="str" cm="1">
        <f>IFERROR(INDEX(List_Predictors, INDEX(Array_PredictorsLookup,MATCH($A239,List_PredictorFacilities,0),(COLUMN()-1)/2), 1),"")</f>
        <v/>
      </c>
      <c r="P239" s="137"/>
      <c r="Q239" s="58" t="str" cm="1">
        <f>IFERROR(INDEX(List_Predictors, INDEX(Array_PredictorsLookup,MATCH($A239,List_PredictorFacilities,0),(COLUMN()-1)/2), 1),"")</f>
        <v/>
      </c>
      <c r="R239" s="137"/>
      <c r="S239" s="58" t="str" cm="1">
        <f>IFERROR(INDEX(List_Predictors, INDEX(Array_PredictorsLookup,MATCH($A239,List_PredictorFacilities,0),(COLUMN()-1)/2), 1),"")</f>
        <v/>
      </c>
      <c r="T239" s="137"/>
      <c r="U239" s="58" t="str" cm="1">
        <f>IFERROR(INDEX(List_Predictors, INDEX(Array_PredictorsLookup,MATCH($A239,List_PredictorFacilities,0),(COLUMN()-1)/2), 1),"")</f>
        <v/>
      </c>
      <c r="V239" s="137"/>
      <c r="W239" s="58" t="str" cm="1">
        <f>IFERROR(INDEX(List_Predictors, INDEX(Array_PredictorsLookup,MATCH($A239,List_PredictorFacilities,0),(COLUMN()-1)/2), 1),"")</f>
        <v/>
      </c>
      <c r="X239" s="137"/>
      <c r="Y239" s="58" t="str" cm="1">
        <f>IFERROR(INDEX(List_Predictors, INDEX(Array_PredictorsLookup,MATCH($A239,List_PredictorFacilities,0),(COLUMN()-1)/2), 1),"")</f>
        <v/>
      </c>
      <c r="Z239" s="137"/>
      <c r="AA239" s="58" t="str" cm="1">
        <f>IFERROR(INDEX(List_Predictors, INDEX(Array_PredictorsLookup,MATCH($A239,List_PredictorFacilities,0),(COLUMN()-1)/2), 1),"")</f>
        <v/>
      </c>
      <c r="AB239" s="137"/>
      <c r="AC239" s="58" t="str" cm="1">
        <f>IFERROR(INDEX(List_Predictors, INDEX(Array_PredictorsLookup,MATCH($A239,List_PredictorFacilities,0),(COLUMN()-1)/2), 1),"")</f>
        <v/>
      </c>
      <c r="AD239" s="137"/>
      <c r="AE239" s="58" t="str" cm="1">
        <f>IFERROR(INDEX(List_Predictors, INDEX(Array_PredictorsLookup,MATCH($A239,List_PredictorFacilities,0),(COLUMN()-1)/2), 1),"")</f>
        <v/>
      </c>
      <c r="AF239" s="137"/>
    </row>
    <row r="240" spans="1:32" x14ac:dyDescent="0.3">
      <c r="A240" s="126"/>
      <c r="B240" s="141"/>
      <c r="C240" s="58" t="str" cm="1">
        <f>IFERROR(INDEX(List_Predictors, INDEX(Array_PredictorsLookup,MATCH($A240,List_PredictorFacilities,0),(COLUMN()-1)/2), 1),"")</f>
        <v/>
      </c>
      <c r="D240" s="137"/>
      <c r="E240" s="58" t="str" cm="1">
        <f>IFERROR(INDEX(List_Predictors, INDEX(Array_PredictorsLookup,MATCH($A240,List_PredictorFacilities,0),(COLUMN()-1)/2), 1),"")</f>
        <v/>
      </c>
      <c r="F240" s="137"/>
      <c r="G240" s="58" t="str" cm="1">
        <f>IFERROR(INDEX(List_Predictors, INDEX(Array_PredictorsLookup,MATCH($A240,List_PredictorFacilities,0),(COLUMN()-1)/2), 1),"")</f>
        <v/>
      </c>
      <c r="H240" s="137"/>
      <c r="I240" s="58" t="str" cm="1">
        <f>IFERROR(INDEX(List_Predictors, INDEX(Array_PredictorsLookup,MATCH($A240,List_PredictorFacilities,0),(COLUMN()-1)/2), 1),"")</f>
        <v/>
      </c>
      <c r="J240" s="137"/>
      <c r="K240" s="58" t="str" cm="1">
        <f>IFERROR(INDEX(List_Predictors, INDEX(Array_PredictorsLookup,MATCH($A240,List_PredictorFacilities,0),(COLUMN()-1)/2), 1),"")</f>
        <v/>
      </c>
      <c r="L240" s="137"/>
      <c r="M240" s="58" t="str" cm="1">
        <f>IFERROR(INDEX(List_Predictors, INDEX(Array_PredictorsLookup,MATCH($A240,List_PredictorFacilities,0),(COLUMN()-1)/2), 1),"")</f>
        <v/>
      </c>
      <c r="N240" s="137"/>
      <c r="O240" s="58" t="str" cm="1">
        <f>IFERROR(INDEX(List_Predictors, INDEX(Array_PredictorsLookup,MATCH($A240,List_PredictorFacilities,0),(COLUMN()-1)/2), 1),"")</f>
        <v/>
      </c>
      <c r="P240" s="137"/>
      <c r="Q240" s="58" t="str" cm="1">
        <f>IFERROR(INDEX(List_Predictors, INDEX(Array_PredictorsLookup,MATCH($A240,List_PredictorFacilities,0),(COLUMN()-1)/2), 1),"")</f>
        <v/>
      </c>
      <c r="R240" s="137"/>
      <c r="S240" s="58" t="str" cm="1">
        <f>IFERROR(INDEX(List_Predictors, INDEX(Array_PredictorsLookup,MATCH($A240,List_PredictorFacilities,0),(COLUMN()-1)/2), 1),"")</f>
        <v/>
      </c>
      <c r="T240" s="137"/>
      <c r="U240" s="58" t="str" cm="1">
        <f>IFERROR(INDEX(List_Predictors, INDEX(Array_PredictorsLookup,MATCH($A240,List_PredictorFacilities,0),(COLUMN()-1)/2), 1),"")</f>
        <v/>
      </c>
      <c r="V240" s="137"/>
      <c r="W240" s="58" t="str" cm="1">
        <f>IFERROR(INDEX(List_Predictors, INDEX(Array_PredictorsLookup,MATCH($A240,List_PredictorFacilities,0),(COLUMN()-1)/2), 1),"")</f>
        <v/>
      </c>
      <c r="X240" s="137"/>
      <c r="Y240" s="58" t="str" cm="1">
        <f>IFERROR(INDEX(List_Predictors, INDEX(Array_PredictorsLookup,MATCH($A240,List_PredictorFacilities,0),(COLUMN()-1)/2), 1),"")</f>
        <v/>
      </c>
      <c r="Z240" s="137"/>
      <c r="AA240" s="58" t="str" cm="1">
        <f>IFERROR(INDEX(List_Predictors, INDEX(Array_PredictorsLookup,MATCH($A240,List_PredictorFacilities,0),(COLUMN()-1)/2), 1),"")</f>
        <v/>
      </c>
      <c r="AB240" s="137"/>
      <c r="AC240" s="58" t="str" cm="1">
        <f>IFERROR(INDEX(List_Predictors, INDEX(Array_PredictorsLookup,MATCH($A240,List_PredictorFacilities,0),(COLUMN()-1)/2), 1),"")</f>
        <v/>
      </c>
      <c r="AD240" s="137"/>
      <c r="AE240" s="58" t="str" cm="1">
        <f>IFERROR(INDEX(List_Predictors, INDEX(Array_PredictorsLookup,MATCH($A240,List_PredictorFacilities,0),(COLUMN()-1)/2), 1),"")</f>
        <v/>
      </c>
      <c r="AF240" s="137"/>
    </row>
    <row r="241" spans="1:32" x14ac:dyDescent="0.3">
      <c r="A241" s="126"/>
      <c r="B241" s="141"/>
      <c r="C241" s="58" t="str" cm="1">
        <f>IFERROR(INDEX(List_Predictors, INDEX(Array_PredictorsLookup,MATCH($A241,List_PredictorFacilities,0),(COLUMN()-1)/2), 1),"")</f>
        <v/>
      </c>
      <c r="D241" s="137"/>
      <c r="E241" s="58" t="str" cm="1">
        <f>IFERROR(INDEX(List_Predictors, INDEX(Array_PredictorsLookup,MATCH($A241,List_PredictorFacilities,0),(COLUMN()-1)/2), 1),"")</f>
        <v/>
      </c>
      <c r="F241" s="137"/>
      <c r="G241" s="58" t="str" cm="1">
        <f>IFERROR(INDEX(List_Predictors, INDEX(Array_PredictorsLookup,MATCH($A241,List_PredictorFacilities,0),(COLUMN()-1)/2), 1),"")</f>
        <v/>
      </c>
      <c r="H241" s="137"/>
      <c r="I241" s="58" t="str" cm="1">
        <f>IFERROR(INDEX(List_Predictors, INDEX(Array_PredictorsLookup,MATCH($A241,List_PredictorFacilities,0),(COLUMN()-1)/2), 1),"")</f>
        <v/>
      </c>
      <c r="J241" s="137"/>
      <c r="K241" s="58" t="str" cm="1">
        <f>IFERROR(INDEX(List_Predictors, INDEX(Array_PredictorsLookup,MATCH($A241,List_PredictorFacilities,0),(COLUMN()-1)/2), 1),"")</f>
        <v/>
      </c>
      <c r="L241" s="137"/>
      <c r="M241" s="58" t="str" cm="1">
        <f>IFERROR(INDEX(List_Predictors, INDEX(Array_PredictorsLookup,MATCH($A241,List_PredictorFacilities,0),(COLUMN()-1)/2), 1),"")</f>
        <v/>
      </c>
      <c r="N241" s="137"/>
      <c r="O241" s="58" t="str" cm="1">
        <f>IFERROR(INDEX(List_Predictors, INDEX(Array_PredictorsLookup,MATCH($A241,List_PredictorFacilities,0),(COLUMN()-1)/2), 1),"")</f>
        <v/>
      </c>
      <c r="P241" s="137"/>
      <c r="Q241" s="58" t="str" cm="1">
        <f>IFERROR(INDEX(List_Predictors, INDEX(Array_PredictorsLookup,MATCH($A241,List_PredictorFacilities,0),(COLUMN()-1)/2), 1),"")</f>
        <v/>
      </c>
      <c r="R241" s="137"/>
      <c r="S241" s="58" t="str" cm="1">
        <f>IFERROR(INDEX(List_Predictors, INDEX(Array_PredictorsLookup,MATCH($A241,List_PredictorFacilities,0),(COLUMN()-1)/2), 1),"")</f>
        <v/>
      </c>
      <c r="T241" s="137"/>
      <c r="U241" s="58" t="str" cm="1">
        <f>IFERROR(INDEX(List_Predictors, INDEX(Array_PredictorsLookup,MATCH($A241,List_PredictorFacilities,0),(COLUMN()-1)/2), 1),"")</f>
        <v/>
      </c>
      <c r="V241" s="137"/>
      <c r="W241" s="58" t="str" cm="1">
        <f>IFERROR(INDEX(List_Predictors, INDEX(Array_PredictorsLookup,MATCH($A241,List_PredictorFacilities,0),(COLUMN()-1)/2), 1),"")</f>
        <v/>
      </c>
      <c r="X241" s="137"/>
      <c r="Y241" s="58" t="str" cm="1">
        <f>IFERROR(INDEX(List_Predictors, INDEX(Array_PredictorsLookup,MATCH($A241,List_PredictorFacilities,0),(COLUMN()-1)/2), 1),"")</f>
        <v/>
      </c>
      <c r="Z241" s="137"/>
      <c r="AA241" s="58" t="str" cm="1">
        <f>IFERROR(INDEX(List_Predictors, INDEX(Array_PredictorsLookup,MATCH($A241,List_PredictorFacilities,0),(COLUMN()-1)/2), 1),"")</f>
        <v/>
      </c>
      <c r="AB241" s="137"/>
      <c r="AC241" s="58" t="str" cm="1">
        <f>IFERROR(INDEX(List_Predictors, INDEX(Array_PredictorsLookup,MATCH($A241,List_PredictorFacilities,0),(COLUMN()-1)/2), 1),"")</f>
        <v/>
      </c>
      <c r="AD241" s="137"/>
      <c r="AE241" s="58" t="str" cm="1">
        <f>IFERROR(INDEX(List_Predictors, INDEX(Array_PredictorsLookup,MATCH($A241,List_PredictorFacilities,0),(COLUMN()-1)/2), 1),"")</f>
        <v/>
      </c>
      <c r="AF241" s="137"/>
    </row>
    <row r="242" spans="1:32" x14ac:dyDescent="0.3">
      <c r="A242" s="126"/>
      <c r="B242" s="141"/>
      <c r="C242" s="58" t="str" cm="1">
        <f>IFERROR(INDEX(List_Predictors, INDEX(Array_PredictorsLookup,MATCH($A242,List_PredictorFacilities,0),(COLUMN()-1)/2), 1),"")</f>
        <v/>
      </c>
      <c r="D242" s="137"/>
      <c r="E242" s="58" t="str" cm="1">
        <f>IFERROR(INDEX(List_Predictors, INDEX(Array_PredictorsLookup,MATCH($A242,List_PredictorFacilities,0),(COLUMN()-1)/2), 1),"")</f>
        <v/>
      </c>
      <c r="F242" s="137"/>
      <c r="G242" s="58" t="str" cm="1">
        <f>IFERROR(INDEX(List_Predictors, INDEX(Array_PredictorsLookup,MATCH($A242,List_PredictorFacilities,0),(COLUMN()-1)/2), 1),"")</f>
        <v/>
      </c>
      <c r="H242" s="137"/>
      <c r="I242" s="58" t="str" cm="1">
        <f>IFERROR(INDEX(List_Predictors, INDEX(Array_PredictorsLookup,MATCH($A242,List_PredictorFacilities,0),(COLUMN()-1)/2), 1),"")</f>
        <v/>
      </c>
      <c r="J242" s="137"/>
      <c r="K242" s="58" t="str" cm="1">
        <f>IFERROR(INDEX(List_Predictors, INDEX(Array_PredictorsLookup,MATCH($A242,List_PredictorFacilities,0),(COLUMN()-1)/2), 1),"")</f>
        <v/>
      </c>
      <c r="L242" s="137"/>
      <c r="M242" s="58" t="str" cm="1">
        <f>IFERROR(INDEX(List_Predictors, INDEX(Array_PredictorsLookup,MATCH($A242,List_PredictorFacilities,0),(COLUMN()-1)/2), 1),"")</f>
        <v/>
      </c>
      <c r="N242" s="137"/>
      <c r="O242" s="58" t="str" cm="1">
        <f>IFERROR(INDEX(List_Predictors, INDEX(Array_PredictorsLookup,MATCH($A242,List_PredictorFacilities,0),(COLUMN()-1)/2), 1),"")</f>
        <v/>
      </c>
      <c r="P242" s="137"/>
      <c r="Q242" s="58" t="str" cm="1">
        <f>IFERROR(INDEX(List_Predictors, INDEX(Array_PredictorsLookup,MATCH($A242,List_PredictorFacilities,0),(COLUMN()-1)/2), 1),"")</f>
        <v/>
      </c>
      <c r="R242" s="137"/>
      <c r="S242" s="58" t="str" cm="1">
        <f>IFERROR(INDEX(List_Predictors, INDEX(Array_PredictorsLookup,MATCH($A242,List_PredictorFacilities,0),(COLUMN()-1)/2), 1),"")</f>
        <v/>
      </c>
      <c r="T242" s="137"/>
      <c r="U242" s="58" t="str" cm="1">
        <f>IFERROR(INDEX(List_Predictors, INDEX(Array_PredictorsLookup,MATCH($A242,List_PredictorFacilities,0),(COLUMN()-1)/2), 1),"")</f>
        <v/>
      </c>
      <c r="V242" s="137"/>
      <c r="W242" s="58" t="str" cm="1">
        <f>IFERROR(INDEX(List_Predictors, INDEX(Array_PredictorsLookup,MATCH($A242,List_PredictorFacilities,0),(COLUMN()-1)/2), 1),"")</f>
        <v/>
      </c>
      <c r="X242" s="137"/>
      <c r="Y242" s="58" t="str" cm="1">
        <f>IFERROR(INDEX(List_Predictors, INDEX(Array_PredictorsLookup,MATCH($A242,List_PredictorFacilities,0),(COLUMN()-1)/2), 1),"")</f>
        <v/>
      </c>
      <c r="Z242" s="137"/>
      <c r="AA242" s="58" t="str" cm="1">
        <f>IFERROR(INDEX(List_Predictors, INDEX(Array_PredictorsLookup,MATCH($A242,List_PredictorFacilities,0),(COLUMN()-1)/2), 1),"")</f>
        <v/>
      </c>
      <c r="AB242" s="137"/>
      <c r="AC242" s="58" t="str" cm="1">
        <f>IFERROR(INDEX(List_Predictors, INDEX(Array_PredictorsLookup,MATCH($A242,List_PredictorFacilities,0),(COLUMN()-1)/2), 1),"")</f>
        <v/>
      </c>
      <c r="AD242" s="137"/>
      <c r="AE242" s="58" t="str" cm="1">
        <f>IFERROR(INDEX(List_Predictors, INDEX(Array_PredictorsLookup,MATCH($A242,List_PredictorFacilities,0),(COLUMN()-1)/2), 1),"")</f>
        <v/>
      </c>
      <c r="AF242" s="137"/>
    </row>
    <row r="243" spans="1:32" x14ac:dyDescent="0.3">
      <c r="A243" s="126"/>
      <c r="B243" s="141"/>
      <c r="C243" s="58" t="str" cm="1">
        <f>IFERROR(INDEX(List_Predictors, INDEX(Array_PredictorsLookup,MATCH($A243,List_PredictorFacilities,0),(COLUMN()-1)/2), 1),"")</f>
        <v/>
      </c>
      <c r="D243" s="137"/>
      <c r="E243" s="58" t="str" cm="1">
        <f>IFERROR(INDEX(List_Predictors, INDEX(Array_PredictorsLookup,MATCH($A243,List_PredictorFacilities,0),(COLUMN()-1)/2), 1),"")</f>
        <v/>
      </c>
      <c r="F243" s="137"/>
      <c r="G243" s="58" t="str" cm="1">
        <f>IFERROR(INDEX(List_Predictors, INDEX(Array_PredictorsLookup,MATCH($A243,List_PredictorFacilities,0),(COLUMN()-1)/2), 1),"")</f>
        <v/>
      </c>
      <c r="H243" s="137"/>
      <c r="I243" s="58" t="str" cm="1">
        <f>IFERROR(INDEX(List_Predictors, INDEX(Array_PredictorsLookup,MATCH($A243,List_PredictorFacilities,0),(COLUMN()-1)/2), 1),"")</f>
        <v/>
      </c>
      <c r="J243" s="137"/>
      <c r="K243" s="58" t="str" cm="1">
        <f>IFERROR(INDEX(List_Predictors, INDEX(Array_PredictorsLookup,MATCH($A243,List_PredictorFacilities,0),(COLUMN()-1)/2), 1),"")</f>
        <v/>
      </c>
      <c r="L243" s="137"/>
      <c r="M243" s="58" t="str" cm="1">
        <f>IFERROR(INDEX(List_Predictors, INDEX(Array_PredictorsLookup,MATCH($A243,List_PredictorFacilities,0),(COLUMN()-1)/2), 1),"")</f>
        <v/>
      </c>
      <c r="N243" s="137"/>
      <c r="O243" s="58" t="str" cm="1">
        <f>IFERROR(INDEX(List_Predictors, INDEX(Array_PredictorsLookup,MATCH($A243,List_PredictorFacilities,0),(COLUMN()-1)/2), 1),"")</f>
        <v/>
      </c>
      <c r="P243" s="137"/>
      <c r="Q243" s="58" t="str" cm="1">
        <f>IFERROR(INDEX(List_Predictors, INDEX(Array_PredictorsLookup,MATCH($A243,List_PredictorFacilities,0),(COLUMN()-1)/2), 1),"")</f>
        <v/>
      </c>
      <c r="R243" s="137"/>
      <c r="S243" s="58" t="str" cm="1">
        <f>IFERROR(INDEX(List_Predictors, INDEX(Array_PredictorsLookup,MATCH($A243,List_PredictorFacilities,0),(COLUMN()-1)/2), 1),"")</f>
        <v/>
      </c>
      <c r="T243" s="137"/>
      <c r="U243" s="58" t="str" cm="1">
        <f>IFERROR(INDEX(List_Predictors, INDEX(Array_PredictorsLookup,MATCH($A243,List_PredictorFacilities,0),(COLUMN()-1)/2), 1),"")</f>
        <v/>
      </c>
      <c r="V243" s="137"/>
      <c r="W243" s="58" t="str" cm="1">
        <f>IFERROR(INDEX(List_Predictors, INDEX(Array_PredictorsLookup,MATCH($A243,List_PredictorFacilities,0),(COLUMN()-1)/2), 1),"")</f>
        <v/>
      </c>
      <c r="X243" s="137"/>
      <c r="Y243" s="58" t="str" cm="1">
        <f>IFERROR(INDEX(List_Predictors, INDEX(Array_PredictorsLookup,MATCH($A243,List_PredictorFacilities,0),(COLUMN()-1)/2), 1),"")</f>
        <v/>
      </c>
      <c r="Z243" s="137"/>
      <c r="AA243" s="58" t="str" cm="1">
        <f>IFERROR(INDEX(List_Predictors, INDEX(Array_PredictorsLookup,MATCH($A243,List_PredictorFacilities,0),(COLUMN()-1)/2), 1),"")</f>
        <v/>
      </c>
      <c r="AB243" s="137"/>
      <c r="AC243" s="58" t="str" cm="1">
        <f>IFERROR(INDEX(List_Predictors, INDEX(Array_PredictorsLookup,MATCH($A243,List_PredictorFacilities,0),(COLUMN()-1)/2), 1),"")</f>
        <v/>
      </c>
      <c r="AD243" s="137"/>
      <c r="AE243" s="58" t="str" cm="1">
        <f>IFERROR(INDEX(List_Predictors, INDEX(Array_PredictorsLookup,MATCH($A243,List_PredictorFacilities,0),(COLUMN()-1)/2), 1),"")</f>
        <v/>
      </c>
      <c r="AF243" s="137"/>
    </row>
    <row r="244" spans="1:32" x14ac:dyDescent="0.3">
      <c r="A244" s="126"/>
      <c r="B244" s="141"/>
      <c r="C244" s="58" t="str" cm="1">
        <f>IFERROR(INDEX(List_Predictors, INDEX(Array_PredictorsLookup,MATCH($A244,List_PredictorFacilities,0),(COLUMN()-1)/2), 1),"")</f>
        <v/>
      </c>
      <c r="D244" s="137"/>
      <c r="E244" s="58" t="str" cm="1">
        <f>IFERROR(INDEX(List_Predictors, INDEX(Array_PredictorsLookup,MATCH($A244,List_PredictorFacilities,0),(COLUMN()-1)/2), 1),"")</f>
        <v/>
      </c>
      <c r="F244" s="137"/>
      <c r="G244" s="58" t="str" cm="1">
        <f>IFERROR(INDEX(List_Predictors, INDEX(Array_PredictorsLookup,MATCH($A244,List_PredictorFacilities,0),(COLUMN()-1)/2), 1),"")</f>
        <v/>
      </c>
      <c r="H244" s="137"/>
      <c r="I244" s="58" t="str" cm="1">
        <f>IFERROR(INDEX(List_Predictors, INDEX(Array_PredictorsLookup,MATCH($A244,List_PredictorFacilities,0),(COLUMN()-1)/2), 1),"")</f>
        <v/>
      </c>
      <c r="J244" s="137"/>
      <c r="K244" s="58" t="str" cm="1">
        <f>IFERROR(INDEX(List_Predictors, INDEX(Array_PredictorsLookup,MATCH($A244,List_PredictorFacilities,0),(COLUMN()-1)/2), 1),"")</f>
        <v/>
      </c>
      <c r="L244" s="137"/>
      <c r="M244" s="58" t="str" cm="1">
        <f>IFERROR(INDEX(List_Predictors, INDEX(Array_PredictorsLookup,MATCH($A244,List_PredictorFacilities,0),(COLUMN()-1)/2), 1),"")</f>
        <v/>
      </c>
      <c r="N244" s="137"/>
      <c r="O244" s="58" t="str" cm="1">
        <f>IFERROR(INDEX(List_Predictors, INDEX(Array_PredictorsLookup,MATCH($A244,List_PredictorFacilities,0),(COLUMN()-1)/2), 1),"")</f>
        <v/>
      </c>
      <c r="P244" s="137"/>
      <c r="Q244" s="58" t="str" cm="1">
        <f>IFERROR(INDEX(List_Predictors, INDEX(Array_PredictorsLookup,MATCH($A244,List_PredictorFacilities,0),(COLUMN()-1)/2), 1),"")</f>
        <v/>
      </c>
      <c r="R244" s="137"/>
      <c r="S244" s="58" t="str" cm="1">
        <f>IFERROR(INDEX(List_Predictors, INDEX(Array_PredictorsLookup,MATCH($A244,List_PredictorFacilities,0),(COLUMN()-1)/2), 1),"")</f>
        <v/>
      </c>
      <c r="T244" s="137"/>
      <c r="U244" s="58" t="str" cm="1">
        <f>IFERROR(INDEX(List_Predictors, INDEX(Array_PredictorsLookup,MATCH($A244,List_PredictorFacilities,0),(COLUMN()-1)/2), 1),"")</f>
        <v/>
      </c>
      <c r="V244" s="137"/>
      <c r="W244" s="58" t="str" cm="1">
        <f>IFERROR(INDEX(List_Predictors, INDEX(Array_PredictorsLookup,MATCH($A244,List_PredictorFacilities,0),(COLUMN()-1)/2), 1),"")</f>
        <v/>
      </c>
      <c r="X244" s="137"/>
      <c r="Y244" s="58" t="str" cm="1">
        <f>IFERROR(INDEX(List_Predictors, INDEX(Array_PredictorsLookup,MATCH($A244,List_PredictorFacilities,0),(COLUMN()-1)/2), 1),"")</f>
        <v/>
      </c>
      <c r="Z244" s="137"/>
      <c r="AA244" s="58" t="str" cm="1">
        <f>IFERROR(INDEX(List_Predictors, INDEX(Array_PredictorsLookup,MATCH($A244,List_PredictorFacilities,0),(COLUMN()-1)/2), 1),"")</f>
        <v/>
      </c>
      <c r="AB244" s="137"/>
      <c r="AC244" s="58" t="str" cm="1">
        <f>IFERROR(INDEX(List_Predictors, INDEX(Array_PredictorsLookup,MATCH($A244,List_PredictorFacilities,0),(COLUMN()-1)/2), 1),"")</f>
        <v/>
      </c>
      <c r="AD244" s="137"/>
      <c r="AE244" s="58" t="str" cm="1">
        <f>IFERROR(INDEX(List_Predictors, INDEX(Array_PredictorsLookup,MATCH($A244,List_PredictorFacilities,0),(COLUMN()-1)/2), 1),"")</f>
        <v/>
      </c>
      <c r="AF244" s="137"/>
    </row>
    <row r="245" spans="1:32" x14ac:dyDescent="0.3">
      <c r="A245" s="126"/>
      <c r="B245" s="141"/>
      <c r="C245" s="58" t="str" cm="1">
        <f>IFERROR(INDEX(List_Predictors, INDEX(Array_PredictorsLookup,MATCH($A245,List_PredictorFacilities,0),(COLUMN()-1)/2), 1),"")</f>
        <v/>
      </c>
      <c r="D245" s="137"/>
      <c r="E245" s="58" t="str" cm="1">
        <f>IFERROR(INDEX(List_Predictors, INDEX(Array_PredictorsLookup,MATCH($A245,List_PredictorFacilities,0),(COLUMN()-1)/2), 1),"")</f>
        <v/>
      </c>
      <c r="F245" s="137"/>
      <c r="G245" s="58" t="str" cm="1">
        <f>IFERROR(INDEX(List_Predictors, INDEX(Array_PredictorsLookup,MATCH($A245,List_PredictorFacilities,0),(COLUMN()-1)/2), 1),"")</f>
        <v/>
      </c>
      <c r="H245" s="137"/>
      <c r="I245" s="58" t="str" cm="1">
        <f>IFERROR(INDEX(List_Predictors, INDEX(Array_PredictorsLookup,MATCH($A245,List_PredictorFacilities,0),(COLUMN()-1)/2), 1),"")</f>
        <v/>
      </c>
      <c r="J245" s="137"/>
      <c r="K245" s="58" t="str" cm="1">
        <f>IFERROR(INDEX(List_Predictors, INDEX(Array_PredictorsLookup,MATCH($A245,List_PredictorFacilities,0),(COLUMN()-1)/2), 1),"")</f>
        <v/>
      </c>
      <c r="L245" s="137"/>
      <c r="M245" s="58" t="str" cm="1">
        <f>IFERROR(INDEX(List_Predictors, INDEX(Array_PredictorsLookup,MATCH($A245,List_PredictorFacilities,0),(COLUMN()-1)/2), 1),"")</f>
        <v/>
      </c>
      <c r="N245" s="137"/>
      <c r="O245" s="58" t="str" cm="1">
        <f>IFERROR(INDEX(List_Predictors, INDEX(Array_PredictorsLookup,MATCH($A245,List_PredictorFacilities,0),(COLUMN()-1)/2), 1),"")</f>
        <v/>
      </c>
      <c r="P245" s="137"/>
      <c r="Q245" s="58" t="str" cm="1">
        <f>IFERROR(INDEX(List_Predictors, INDEX(Array_PredictorsLookup,MATCH($A245,List_PredictorFacilities,0),(COLUMN()-1)/2), 1),"")</f>
        <v/>
      </c>
      <c r="R245" s="137"/>
      <c r="S245" s="58" t="str" cm="1">
        <f>IFERROR(INDEX(List_Predictors, INDEX(Array_PredictorsLookup,MATCH($A245,List_PredictorFacilities,0),(COLUMN()-1)/2), 1),"")</f>
        <v/>
      </c>
      <c r="T245" s="137"/>
      <c r="U245" s="58" t="str" cm="1">
        <f>IFERROR(INDEX(List_Predictors, INDEX(Array_PredictorsLookup,MATCH($A245,List_PredictorFacilities,0),(COLUMN()-1)/2), 1),"")</f>
        <v/>
      </c>
      <c r="V245" s="137"/>
      <c r="W245" s="58" t="str" cm="1">
        <f>IFERROR(INDEX(List_Predictors, INDEX(Array_PredictorsLookup,MATCH($A245,List_PredictorFacilities,0),(COLUMN()-1)/2), 1),"")</f>
        <v/>
      </c>
      <c r="X245" s="137"/>
      <c r="Y245" s="58" t="str" cm="1">
        <f>IFERROR(INDEX(List_Predictors, INDEX(Array_PredictorsLookup,MATCH($A245,List_PredictorFacilities,0),(COLUMN()-1)/2), 1),"")</f>
        <v/>
      </c>
      <c r="Z245" s="137"/>
      <c r="AA245" s="58" t="str" cm="1">
        <f>IFERROR(INDEX(List_Predictors, INDEX(Array_PredictorsLookup,MATCH($A245,List_PredictorFacilities,0),(COLUMN()-1)/2), 1),"")</f>
        <v/>
      </c>
      <c r="AB245" s="137"/>
      <c r="AC245" s="58" t="str" cm="1">
        <f>IFERROR(INDEX(List_Predictors, INDEX(Array_PredictorsLookup,MATCH($A245,List_PredictorFacilities,0),(COLUMN()-1)/2), 1),"")</f>
        <v/>
      </c>
      <c r="AD245" s="137"/>
      <c r="AE245" s="58" t="str" cm="1">
        <f>IFERROR(INDEX(List_Predictors, INDEX(Array_PredictorsLookup,MATCH($A245,List_PredictorFacilities,0),(COLUMN()-1)/2), 1),"")</f>
        <v/>
      </c>
      <c r="AF245" s="137"/>
    </row>
    <row r="246" spans="1:32" x14ac:dyDescent="0.3">
      <c r="A246" s="126"/>
      <c r="B246" s="141"/>
      <c r="C246" s="58" t="str" cm="1">
        <f>IFERROR(INDEX(List_Predictors, INDEX(Array_PredictorsLookup,MATCH($A246,List_PredictorFacilities,0),(COLUMN()-1)/2), 1),"")</f>
        <v/>
      </c>
      <c r="D246" s="137"/>
      <c r="E246" s="58" t="str" cm="1">
        <f>IFERROR(INDEX(List_Predictors, INDEX(Array_PredictorsLookup,MATCH($A246,List_PredictorFacilities,0),(COLUMN()-1)/2), 1),"")</f>
        <v/>
      </c>
      <c r="F246" s="137"/>
      <c r="G246" s="58" t="str" cm="1">
        <f>IFERROR(INDEX(List_Predictors, INDEX(Array_PredictorsLookup,MATCH($A246,List_PredictorFacilities,0),(COLUMN()-1)/2), 1),"")</f>
        <v/>
      </c>
      <c r="H246" s="137"/>
      <c r="I246" s="58" t="str" cm="1">
        <f>IFERROR(INDEX(List_Predictors, INDEX(Array_PredictorsLookup,MATCH($A246,List_PredictorFacilities,0),(COLUMN()-1)/2), 1),"")</f>
        <v/>
      </c>
      <c r="J246" s="137"/>
      <c r="K246" s="58" t="str" cm="1">
        <f>IFERROR(INDEX(List_Predictors, INDEX(Array_PredictorsLookup,MATCH($A246,List_PredictorFacilities,0),(COLUMN()-1)/2), 1),"")</f>
        <v/>
      </c>
      <c r="L246" s="137"/>
      <c r="M246" s="58" t="str" cm="1">
        <f>IFERROR(INDEX(List_Predictors, INDEX(Array_PredictorsLookup,MATCH($A246,List_PredictorFacilities,0),(COLUMN()-1)/2), 1),"")</f>
        <v/>
      </c>
      <c r="N246" s="137"/>
      <c r="O246" s="58" t="str" cm="1">
        <f>IFERROR(INDEX(List_Predictors, INDEX(Array_PredictorsLookup,MATCH($A246,List_PredictorFacilities,0),(COLUMN()-1)/2), 1),"")</f>
        <v/>
      </c>
      <c r="P246" s="137"/>
      <c r="Q246" s="58" t="str" cm="1">
        <f>IFERROR(INDEX(List_Predictors, INDEX(Array_PredictorsLookup,MATCH($A246,List_PredictorFacilities,0),(COLUMN()-1)/2), 1),"")</f>
        <v/>
      </c>
      <c r="R246" s="137"/>
      <c r="S246" s="58" t="str" cm="1">
        <f>IFERROR(INDEX(List_Predictors, INDEX(Array_PredictorsLookup,MATCH($A246,List_PredictorFacilities,0),(COLUMN()-1)/2), 1),"")</f>
        <v/>
      </c>
      <c r="T246" s="137"/>
      <c r="U246" s="58" t="str" cm="1">
        <f>IFERROR(INDEX(List_Predictors, INDEX(Array_PredictorsLookup,MATCH($A246,List_PredictorFacilities,0),(COLUMN()-1)/2), 1),"")</f>
        <v/>
      </c>
      <c r="V246" s="137"/>
      <c r="W246" s="58" t="str" cm="1">
        <f>IFERROR(INDEX(List_Predictors, INDEX(Array_PredictorsLookup,MATCH($A246,List_PredictorFacilities,0),(COLUMN()-1)/2), 1),"")</f>
        <v/>
      </c>
      <c r="X246" s="137"/>
      <c r="Y246" s="58" t="str" cm="1">
        <f>IFERROR(INDEX(List_Predictors, INDEX(Array_PredictorsLookup,MATCH($A246,List_PredictorFacilities,0),(COLUMN()-1)/2), 1),"")</f>
        <v/>
      </c>
      <c r="Z246" s="137"/>
      <c r="AA246" s="58" t="str" cm="1">
        <f>IFERROR(INDEX(List_Predictors, INDEX(Array_PredictorsLookup,MATCH($A246,List_PredictorFacilities,0),(COLUMN()-1)/2), 1),"")</f>
        <v/>
      </c>
      <c r="AB246" s="137"/>
      <c r="AC246" s="58" t="str" cm="1">
        <f>IFERROR(INDEX(List_Predictors, INDEX(Array_PredictorsLookup,MATCH($A246,List_PredictorFacilities,0),(COLUMN()-1)/2), 1),"")</f>
        <v/>
      </c>
      <c r="AD246" s="137"/>
      <c r="AE246" s="58" t="str" cm="1">
        <f>IFERROR(INDEX(List_Predictors, INDEX(Array_PredictorsLookup,MATCH($A246,List_PredictorFacilities,0),(COLUMN()-1)/2), 1),"")</f>
        <v/>
      </c>
      <c r="AF246" s="137"/>
    </row>
    <row r="247" spans="1:32" x14ac:dyDescent="0.3">
      <c r="A247" s="126"/>
      <c r="B247" s="141"/>
      <c r="C247" s="58" t="str" cm="1">
        <f>IFERROR(INDEX(List_Predictors, INDEX(Array_PredictorsLookup,MATCH($A247,List_PredictorFacilities,0),(COLUMN()-1)/2), 1),"")</f>
        <v/>
      </c>
      <c r="D247" s="137"/>
      <c r="E247" s="58" t="str" cm="1">
        <f>IFERROR(INDEX(List_Predictors, INDEX(Array_PredictorsLookup,MATCH($A247,List_PredictorFacilities,0),(COLUMN()-1)/2), 1),"")</f>
        <v/>
      </c>
      <c r="F247" s="137"/>
      <c r="G247" s="58" t="str" cm="1">
        <f>IFERROR(INDEX(List_Predictors, INDEX(Array_PredictorsLookup,MATCH($A247,List_PredictorFacilities,0),(COLUMN()-1)/2), 1),"")</f>
        <v/>
      </c>
      <c r="H247" s="137"/>
      <c r="I247" s="58" t="str" cm="1">
        <f>IFERROR(INDEX(List_Predictors, INDEX(Array_PredictorsLookup,MATCH($A247,List_PredictorFacilities,0),(COLUMN()-1)/2), 1),"")</f>
        <v/>
      </c>
      <c r="J247" s="137"/>
      <c r="K247" s="58" t="str" cm="1">
        <f>IFERROR(INDEX(List_Predictors, INDEX(Array_PredictorsLookup,MATCH($A247,List_PredictorFacilities,0),(COLUMN()-1)/2), 1),"")</f>
        <v/>
      </c>
      <c r="L247" s="137"/>
      <c r="M247" s="58" t="str" cm="1">
        <f>IFERROR(INDEX(List_Predictors, INDEX(Array_PredictorsLookup,MATCH($A247,List_PredictorFacilities,0),(COLUMN()-1)/2), 1),"")</f>
        <v/>
      </c>
      <c r="N247" s="137"/>
      <c r="O247" s="58" t="str" cm="1">
        <f>IFERROR(INDEX(List_Predictors, INDEX(Array_PredictorsLookup,MATCH($A247,List_PredictorFacilities,0),(COLUMN()-1)/2), 1),"")</f>
        <v/>
      </c>
      <c r="P247" s="137"/>
      <c r="Q247" s="58" t="str" cm="1">
        <f>IFERROR(INDEX(List_Predictors, INDEX(Array_PredictorsLookup,MATCH($A247,List_PredictorFacilities,0),(COLUMN()-1)/2), 1),"")</f>
        <v/>
      </c>
      <c r="R247" s="137"/>
      <c r="S247" s="58" t="str" cm="1">
        <f>IFERROR(INDEX(List_Predictors, INDEX(Array_PredictorsLookup,MATCH($A247,List_PredictorFacilities,0),(COLUMN()-1)/2), 1),"")</f>
        <v/>
      </c>
      <c r="T247" s="137"/>
      <c r="U247" s="58" t="str" cm="1">
        <f>IFERROR(INDEX(List_Predictors, INDEX(Array_PredictorsLookup,MATCH($A247,List_PredictorFacilities,0),(COLUMN()-1)/2), 1),"")</f>
        <v/>
      </c>
      <c r="V247" s="137"/>
      <c r="W247" s="58" t="str" cm="1">
        <f>IFERROR(INDEX(List_Predictors, INDEX(Array_PredictorsLookup,MATCH($A247,List_PredictorFacilities,0),(COLUMN()-1)/2), 1),"")</f>
        <v/>
      </c>
      <c r="X247" s="137"/>
      <c r="Y247" s="58" t="str" cm="1">
        <f>IFERROR(INDEX(List_Predictors, INDEX(Array_PredictorsLookup,MATCH($A247,List_PredictorFacilities,0),(COLUMN()-1)/2), 1),"")</f>
        <v/>
      </c>
      <c r="Z247" s="137"/>
      <c r="AA247" s="58" t="str" cm="1">
        <f>IFERROR(INDEX(List_Predictors, INDEX(Array_PredictorsLookup,MATCH($A247,List_PredictorFacilities,0),(COLUMN()-1)/2), 1),"")</f>
        <v/>
      </c>
      <c r="AB247" s="137"/>
      <c r="AC247" s="58" t="str" cm="1">
        <f>IFERROR(INDEX(List_Predictors, INDEX(Array_PredictorsLookup,MATCH($A247,List_PredictorFacilities,0),(COLUMN()-1)/2), 1),"")</f>
        <v/>
      </c>
      <c r="AD247" s="137"/>
      <c r="AE247" s="58" t="str" cm="1">
        <f>IFERROR(INDEX(List_Predictors, INDEX(Array_PredictorsLookup,MATCH($A247,List_PredictorFacilities,0),(COLUMN()-1)/2), 1),"")</f>
        <v/>
      </c>
      <c r="AF247" s="137"/>
    </row>
    <row r="248" spans="1:32" x14ac:dyDescent="0.3">
      <c r="A248" s="126"/>
      <c r="B248" s="141"/>
      <c r="C248" s="58" t="str" cm="1">
        <f>IFERROR(INDEX(List_Predictors, INDEX(Array_PredictorsLookup,MATCH($A248,List_PredictorFacilities,0),(COLUMN()-1)/2), 1),"")</f>
        <v/>
      </c>
      <c r="D248" s="137"/>
      <c r="E248" s="58" t="str" cm="1">
        <f>IFERROR(INDEX(List_Predictors, INDEX(Array_PredictorsLookup,MATCH($A248,List_PredictorFacilities,0),(COLUMN()-1)/2), 1),"")</f>
        <v/>
      </c>
      <c r="F248" s="137"/>
      <c r="G248" s="58" t="str" cm="1">
        <f>IFERROR(INDEX(List_Predictors, INDEX(Array_PredictorsLookup,MATCH($A248,List_PredictorFacilities,0),(COLUMN()-1)/2), 1),"")</f>
        <v/>
      </c>
      <c r="H248" s="137"/>
      <c r="I248" s="58" t="str" cm="1">
        <f>IFERROR(INDEX(List_Predictors, INDEX(Array_PredictorsLookup,MATCH($A248,List_PredictorFacilities,0),(COLUMN()-1)/2), 1),"")</f>
        <v/>
      </c>
      <c r="J248" s="137"/>
      <c r="K248" s="58" t="str" cm="1">
        <f>IFERROR(INDEX(List_Predictors, INDEX(Array_PredictorsLookup,MATCH($A248,List_PredictorFacilities,0),(COLUMN()-1)/2), 1),"")</f>
        <v/>
      </c>
      <c r="L248" s="137"/>
      <c r="M248" s="58" t="str" cm="1">
        <f>IFERROR(INDEX(List_Predictors, INDEX(Array_PredictorsLookup,MATCH($A248,List_PredictorFacilities,0),(COLUMN()-1)/2), 1),"")</f>
        <v/>
      </c>
      <c r="N248" s="137"/>
      <c r="O248" s="58" t="str" cm="1">
        <f>IFERROR(INDEX(List_Predictors, INDEX(Array_PredictorsLookup,MATCH($A248,List_PredictorFacilities,0),(COLUMN()-1)/2), 1),"")</f>
        <v/>
      </c>
      <c r="P248" s="137"/>
      <c r="Q248" s="58" t="str" cm="1">
        <f>IFERROR(INDEX(List_Predictors, INDEX(Array_PredictorsLookup,MATCH($A248,List_PredictorFacilities,0),(COLUMN()-1)/2), 1),"")</f>
        <v/>
      </c>
      <c r="R248" s="137"/>
      <c r="S248" s="58" t="str" cm="1">
        <f>IFERROR(INDEX(List_Predictors, INDEX(Array_PredictorsLookup,MATCH($A248,List_PredictorFacilities,0),(COLUMN()-1)/2), 1),"")</f>
        <v/>
      </c>
      <c r="T248" s="137"/>
      <c r="U248" s="58" t="str" cm="1">
        <f>IFERROR(INDEX(List_Predictors, INDEX(Array_PredictorsLookup,MATCH($A248,List_PredictorFacilities,0),(COLUMN()-1)/2), 1),"")</f>
        <v/>
      </c>
      <c r="V248" s="137"/>
      <c r="W248" s="58" t="str" cm="1">
        <f>IFERROR(INDEX(List_Predictors, INDEX(Array_PredictorsLookup,MATCH($A248,List_PredictorFacilities,0),(COLUMN()-1)/2), 1),"")</f>
        <v/>
      </c>
      <c r="X248" s="137"/>
      <c r="Y248" s="58" t="str" cm="1">
        <f>IFERROR(INDEX(List_Predictors, INDEX(Array_PredictorsLookup,MATCH($A248,List_PredictorFacilities,0),(COLUMN()-1)/2), 1),"")</f>
        <v/>
      </c>
      <c r="Z248" s="137"/>
      <c r="AA248" s="58" t="str" cm="1">
        <f>IFERROR(INDEX(List_Predictors, INDEX(Array_PredictorsLookup,MATCH($A248,List_PredictorFacilities,0),(COLUMN()-1)/2), 1),"")</f>
        <v/>
      </c>
      <c r="AB248" s="137"/>
      <c r="AC248" s="58" t="str" cm="1">
        <f>IFERROR(INDEX(List_Predictors, INDEX(Array_PredictorsLookup,MATCH($A248,List_PredictorFacilities,0),(COLUMN()-1)/2), 1),"")</f>
        <v/>
      </c>
      <c r="AD248" s="137"/>
      <c r="AE248" s="58" t="str" cm="1">
        <f>IFERROR(INDEX(List_Predictors, INDEX(Array_PredictorsLookup,MATCH($A248,List_PredictorFacilities,0),(COLUMN()-1)/2), 1),"")</f>
        <v/>
      </c>
      <c r="AF248" s="137"/>
    </row>
    <row r="249" spans="1:32" x14ac:dyDescent="0.3">
      <c r="A249" s="126"/>
      <c r="B249" s="141"/>
      <c r="C249" s="58" t="str" cm="1">
        <f>IFERROR(INDEX(List_Predictors, INDEX(Array_PredictorsLookup,MATCH($A249,List_PredictorFacilities,0),(COLUMN()-1)/2), 1),"")</f>
        <v/>
      </c>
      <c r="D249" s="137"/>
      <c r="E249" s="58" t="str" cm="1">
        <f>IFERROR(INDEX(List_Predictors, INDEX(Array_PredictorsLookup,MATCH($A249,List_PredictorFacilities,0),(COLUMN()-1)/2), 1),"")</f>
        <v/>
      </c>
      <c r="F249" s="137"/>
      <c r="G249" s="58" t="str" cm="1">
        <f>IFERROR(INDEX(List_Predictors, INDEX(Array_PredictorsLookup,MATCH($A249,List_PredictorFacilities,0),(COLUMN()-1)/2), 1),"")</f>
        <v/>
      </c>
      <c r="H249" s="137"/>
      <c r="I249" s="58" t="str" cm="1">
        <f>IFERROR(INDEX(List_Predictors, INDEX(Array_PredictorsLookup,MATCH($A249,List_PredictorFacilities,0),(COLUMN()-1)/2), 1),"")</f>
        <v/>
      </c>
      <c r="J249" s="137"/>
      <c r="K249" s="58" t="str" cm="1">
        <f>IFERROR(INDEX(List_Predictors, INDEX(Array_PredictorsLookup,MATCH($A249,List_PredictorFacilities,0),(COLUMN()-1)/2), 1),"")</f>
        <v/>
      </c>
      <c r="L249" s="137"/>
      <c r="M249" s="58" t="str" cm="1">
        <f>IFERROR(INDEX(List_Predictors, INDEX(Array_PredictorsLookup,MATCH($A249,List_PredictorFacilities,0),(COLUMN()-1)/2), 1),"")</f>
        <v/>
      </c>
      <c r="N249" s="137"/>
      <c r="O249" s="58" t="str" cm="1">
        <f>IFERROR(INDEX(List_Predictors, INDEX(Array_PredictorsLookup,MATCH($A249,List_PredictorFacilities,0),(COLUMN()-1)/2), 1),"")</f>
        <v/>
      </c>
      <c r="P249" s="137"/>
      <c r="Q249" s="58" t="str" cm="1">
        <f>IFERROR(INDEX(List_Predictors, INDEX(Array_PredictorsLookup,MATCH($A249,List_PredictorFacilities,0),(COLUMN()-1)/2), 1),"")</f>
        <v/>
      </c>
      <c r="R249" s="137"/>
      <c r="S249" s="58" t="str" cm="1">
        <f>IFERROR(INDEX(List_Predictors, INDEX(Array_PredictorsLookup,MATCH($A249,List_PredictorFacilities,0),(COLUMN()-1)/2), 1),"")</f>
        <v/>
      </c>
      <c r="T249" s="137"/>
      <c r="U249" s="58" t="str" cm="1">
        <f>IFERROR(INDEX(List_Predictors, INDEX(Array_PredictorsLookup,MATCH($A249,List_PredictorFacilities,0),(COLUMN()-1)/2), 1),"")</f>
        <v/>
      </c>
      <c r="V249" s="137"/>
      <c r="W249" s="58" t="str" cm="1">
        <f>IFERROR(INDEX(List_Predictors, INDEX(Array_PredictorsLookup,MATCH($A249,List_PredictorFacilities,0),(COLUMN()-1)/2), 1),"")</f>
        <v/>
      </c>
      <c r="X249" s="137"/>
      <c r="Y249" s="58" t="str" cm="1">
        <f>IFERROR(INDEX(List_Predictors, INDEX(Array_PredictorsLookup,MATCH($A249,List_PredictorFacilities,0),(COLUMN()-1)/2), 1),"")</f>
        <v/>
      </c>
      <c r="Z249" s="137"/>
      <c r="AA249" s="58" t="str" cm="1">
        <f>IFERROR(INDEX(List_Predictors, INDEX(Array_PredictorsLookup,MATCH($A249,List_PredictorFacilities,0),(COLUMN()-1)/2), 1),"")</f>
        <v/>
      </c>
      <c r="AB249" s="137"/>
      <c r="AC249" s="58" t="str" cm="1">
        <f>IFERROR(INDEX(List_Predictors, INDEX(Array_PredictorsLookup,MATCH($A249,List_PredictorFacilities,0),(COLUMN()-1)/2), 1),"")</f>
        <v/>
      </c>
      <c r="AD249" s="137"/>
      <c r="AE249" s="58" t="str" cm="1">
        <f>IFERROR(INDEX(List_Predictors, INDEX(Array_PredictorsLookup,MATCH($A249,List_PredictorFacilities,0),(COLUMN()-1)/2), 1),"")</f>
        <v/>
      </c>
      <c r="AF249" s="137"/>
    </row>
    <row r="250" spans="1:32" x14ac:dyDescent="0.3">
      <c r="A250" s="126"/>
      <c r="B250" s="141"/>
      <c r="C250" s="58" t="str" cm="1">
        <f>IFERROR(INDEX(List_Predictors, INDEX(Array_PredictorsLookup,MATCH($A250,List_PredictorFacilities,0),(COLUMN()-1)/2), 1),"")</f>
        <v/>
      </c>
      <c r="D250" s="137"/>
      <c r="E250" s="58" t="str" cm="1">
        <f>IFERROR(INDEX(List_Predictors, INDEX(Array_PredictorsLookup,MATCH($A250,List_PredictorFacilities,0),(COLUMN()-1)/2), 1),"")</f>
        <v/>
      </c>
      <c r="F250" s="137"/>
      <c r="G250" s="58" t="str" cm="1">
        <f>IFERROR(INDEX(List_Predictors, INDEX(Array_PredictorsLookup,MATCH($A250,List_PredictorFacilities,0),(COLUMN()-1)/2), 1),"")</f>
        <v/>
      </c>
      <c r="H250" s="137"/>
      <c r="I250" s="58" t="str" cm="1">
        <f>IFERROR(INDEX(List_Predictors, INDEX(Array_PredictorsLookup,MATCH($A250,List_PredictorFacilities,0),(COLUMN()-1)/2), 1),"")</f>
        <v/>
      </c>
      <c r="J250" s="137"/>
      <c r="K250" s="58" t="str" cm="1">
        <f>IFERROR(INDEX(List_Predictors, INDEX(Array_PredictorsLookup,MATCH($A250,List_PredictorFacilities,0),(COLUMN()-1)/2), 1),"")</f>
        <v/>
      </c>
      <c r="L250" s="137"/>
      <c r="M250" s="58" t="str" cm="1">
        <f>IFERROR(INDEX(List_Predictors, INDEX(Array_PredictorsLookup,MATCH($A250,List_PredictorFacilities,0),(COLUMN()-1)/2), 1),"")</f>
        <v/>
      </c>
      <c r="N250" s="137"/>
      <c r="O250" s="58" t="str" cm="1">
        <f>IFERROR(INDEX(List_Predictors, INDEX(Array_PredictorsLookup,MATCH($A250,List_PredictorFacilities,0),(COLUMN()-1)/2), 1),"")</f>
        <v/>
      </c>
      <c r="P250" s="137"/>
      <c r="Q250" s="58" t="str" cm="1">
        <f>IFERROR(INDEX(List_Predictors, INDEX(Array_PredictorsLookup,MATCH($A250,List_PredictorFacilities,0),(COLUMN()-1)/2), 1),"")</f>
        <v/>
      </c>
      <c r="R250" s="137"/>
      <c r="S250" s="58" t="str" cm="1">
        <f>IFERROR(INDEX(List_Predictors, INDEX(Array_PredictorsLookup,MATCH($A250,List_PredictorFacilities,0),(COLUMN()-1)/2), 1),"")</f>
        <v/>
      </c>
      <c r="T250" s="137"/>
      <c r="U250" s="58" t="str" cm="1">
        <f>IFERROR(INDEX(List_Predictors, INDEX(Array_PredictorsLookup,MATCH($A250,List_PredictorFacilities,0),(COLUMN()-1)/2), 1),"")</f>
        <v/>
      </c>
      <c r="V250" s="137"/>
      <c r="W250" s="58" t="str" cm="1">
        <f>IFERROR(INDEX(List_Predictors, INDEX(Array_PredictorsLookup,MATCH($A250,List_PredictorFacilities,0),(COLUMN()-1)/2), 1),"")</f>
        <v/>
      </c>
      <c r="X250" s="137"/>
      <c r="Y250" s="58" t="str" cm="1">
        <f>IFERROR(INDEX(List_Predictors, INDEX(Array_PredictorsLookup,MATCH($A250,List_PredictorFacilities,0),(COLUMN()-1)/2), 1),"")</f>
        <v/>
      </c>
      <c r="Z250" s="137"/>
      <c r="AA250" s="58" t="str" cm="1">
        <f>IFERROR(INDEX(List_Predictors, INDEX(Array_PredictorsLookup,MATCH($A250,List_PredictorFacilities,0),(COLUMN()-1)/2), 1),"")</f>
        <v/>
      </c>
      <c r="AB250" s="137"/>
      <c r="AC250" s="58" t="str" cm="1">
        <f>IFERROR(INDEX(List_Predictors, INDEX(Array_PredictorsLookup,MATCH($A250,List_PredictorFacilities,0),(COLUMN()-1)/2), 1),"")</f>
        <v/>
      </c>
      <c r="AD250" s="137"/>
      <c r="AE250" s="58" t="str" cm="1">
        <f>IFERROR(INDEX(List_Predictors, INDEX(Array_PredictorsLookup,MATCH($A250,List_PredictorFacilities,0),(COLUMN()-1)/2), 1),"")</f>
        <v/>
      </c>
      <c r="AF250" s="137"/>
    </row>
    <row r="251" spans="1:32" x14ac:dyDescent="0.3">
      <c r="A251" s="126"/>
      <c r="B251" s="141"/>
      <c r="C251" s="58" t="str" cm="1">
        <f>IFERROR(INDEX(List_Predictors, INDEX(Array_PredictorsLookup,MATCH($A251,List_PredictorFacilities,0),(COLUMN()-1)/2), 1),"")</f>
        <v/>
      </c>
      <c r="D251" s="137"/>
      <c r="E251" s="58" t="str" cm="1">
        <f>IFERROR(INDEX(List_Predictors, INDEX(Array_PredictorsLookup,MATCH($A251,List_PredictorFacilities,0),(COLUMN()-1)/2), 1),"")</f>
        <v/>
      </c>
      <c r="F251" s="137"/>
      <c r="G251" s="58" t="str" cm="1">
        <f>IFERROR(INDEX(List_Predictors, INDEX(Array_PredictorsLookup,MATCH($A251,List_PredictorFacilities,0),(COLUMN()-1)/2), 1),"")</f>
        <v/>
      </c>
      <c r="H251" s="137"/>
      <c r="I251" s="58" t="str" cm="1">
        <f>IFERROR(INDEX(List_Predictors, INDEX(Array_PredictorsLookup,MATCH($A251,List_PredictorFacilities,0),(COLUMN()-1)/2), 1),"")</f>
        <v/>
      </c>
      <c r="J251" s="137"/>
      <c r="K251" s="58" t="str" cm="1">
        <f>IFERROR(INDEX(List_Predictors, INDEX(Array_PredictorsLookup,MATCH($A251,List_PredictorFacilities,0),(COLUMN()-1)/2), 1),"")</f>
        <v/>
      </c>
      <c r="L251" s="137"/>
      <c r="M251" s="58" t="str" cm="1">
        <f>IFERROR(INDEX(List_Predictors, INDEX(Array_PredictorsLookup,MATCH($A251,List_PredictorFacilities,0),(COLUMN()-1)/2), 1),"")</f>
        <v/>
      </c>
      <c r="N251" s="137"/>
      <c r="O251" s="58" t="str" cm="1">
        <f>IFERROR(INDEX(List_Predictors, INDEX(Array_PredictorsLookup,MATCH($A251,List_PredictorFacilities,0),(COLUMN()-1)/2), 1),"")</f>
        <v/>
      </c>
      <c r="P251" s="137"/>
      <c r="Q251" s="58" t="str" cm="1">
        <f>IFERROR(INDEX(List_Predictors, INDEX(Array_PredictorsLookup,MATCH($A251,List_PredictorFacilities,0),(COLUMN()-1)/2), 1),"")</f>
        <v/>
      </c>
      <c r="R251" s="137"/>
      <c r="S251" s="58" t="str" cm="1">
        <f>IFERROR(INDEX(List_Predictors, INDEX(Array_PredictorsLookup,MATCH($A251,List_PredictorFacilities,0),(COLUMN()-1)/2), 1),"")</f>
        <v/>
      </c>
      <c r="T251" s="137"/>
      <c r="U251" s="58" t="str" cm="1">
        <f>IFERROR(INDEX(List_Predictors, INDEX(Array_PredictorsLookup,MATCH($A251,List_PredictorFacilities,0),(COLUMN()-1)/2), 1),"")</f>
        <v/>
      </c>
      <c r="V251" s="137"/>
      <c r="W251" s="58" t="str" cm="1">
        <f>IFERROR(INDEX(List_Predictors, INDEX(Array_PredictorsLookup,MATCH($A251,List_PredictorFacilities,0),(COLUMN()-1)/2), 1),"")</f>
        <v/>
      </c>
      <c r="X251" s="137"/>
      <c r="Y251" s="58" t="str" cm="1">
        <f>IFERROR(INDEX(List_Predictors, INDEX(Array_PredictorsLookup,MATCH($A251,List_PredictorFacilities,0),(COLUMN()-1)/2), 1),"")</f>
        <v/>
      </c>
      <c r="Z251" s="137"/>
      <c r="AA251" s="58" t="str" cm="1">
        <f>IFERROR(INDEX(List_Predictors, INDEX(Array_PredictorsLookup,MATCH($A251,List_PredictorFacilities,0),(COLUMN()-1)/2), 1),"")</f>
        <v/>
      </c>
      <c r="AB251" s="137"/>
      <c r="AC251" s="58" t="str" cm="1">
        <f>IFERROR(INDEX(List_Predictors, INDEX(Array_PredictorsLookup,MATCH($A251,List_PredictorFacilities,0),(COLUMN()-1)/2), 1),"")</f>
        <v/>
      </c>
      <c r="AD251" s="137"/>
      <c r="AE251" s="58" t="str" cm="1">
        <f>IFERROR(INDEX(List_Predictors, INDEX(Array_PredictorsLookup,MATCH($A251,List_PredictorFacilities,0),(COLUMN()-1)/2), 1),"")</f>
        <v/>
      </c>
      <c r="AF251" s="137"/>
    </row>
    <row r="252" spans="1:32" x14ac:dyDescent="0.3">
      <c r="A252" s="126"/>
      <c r="B252" s="141"/>
      <c r="C252" s="58" t="str" cm="1">
        <f>IFERROR(INDEX(List_Predictors, INDEX(Array_PredictorsLookup,MATCH($A252,List_PredictorFacilities,0),(COLUMN()-1)/2), 1),"")</f>
        <v/>
      </c>
      <c r="D252" s="137"/>
      <c r="E252" s="58" t="str" cm="1">
        <f>IFERROR(INDEX(List_Predictors, INDEX(Array_PredictorsLookup,MATCH($A252,List_PredictorFacilities,0),(COLUMN()-1)/2), 1),"")</f>
        <v/>
      </c>
      <c r="F252" s="137"/>
      <c r="G252" s="58" t="str" cm="1">
        <f>IFERROR(INDEX(List_Predictors, INDEX(Array_PredictorsLookup,MATCH($A252,List_PredictorFacilities,0),(COLUMN()-1)/2), 1),"")</f>
        <v/>
      </c>
      <c r="H252" s="137"/>
      <c r="I252" s="58" t="str" cm="1">
        <f>IFERROR(INDEX(List_Predictors, INDEX(Array_PredictorsLookup,MATCH($A252,List_PredictorFacilities,0),(COLUMN()-1)/2), 1),"")</f>
        <v/>
      </c>
      <c r="J252" s="137"/>
      <c r="K252" s="58" t="str" cm="1">
        <f>IFERROR(INDEX(List_Predictors, INDEX(Array_PredictorsLookup,MATCH($A252,List_PredictorFacilities,0),(COLUMN()-1)/2), 1),"")</f>
        <v/>
      </c>
      <c r="L252" s="137"/>
      <c r="M252" s="58" t="str" cm="1">
        <f>IFERROR(INDEX(List_Predictors, INDEX(Array_PredictorsLookup,MATCH($A252,List_PredictorFacilities,0),(COLUMN()-1)/2), 1),"")</f>
        <v/>
      </c>
      <c r="N252" s="137"/>
      <c r="O252" s="58" t="str" cm="1">
        <f>IFERROR(INDEX(List_Predictors, INDEX(Array_PredictorsLookup,MATCH($A252,List_PredictorFacilities,0),(COLUMN()-1)/2), 1),"")</f>
        <v/>
      </c>
      <c r="P252" s="137"/>
      <c r="Q252" s="58" t="str" cm="1">
        <f>IFERROR(INDEX(List_Predictors, INDEX(Array_PredictorsLookup,MATCH($A252,List_PredictorFacilities,0),(COLUMN()-1)/2), 1),"")</f>
        <v/>
      </c>
      <c r="R252" s="137"/>
      <c r="S252" s="58" t="str" cm="1">
        <f>IFERROR(INDEX(List_Predictors, INDEX(Array_PredictorsLookup,MATCH($A252,List_PredictorFacilities,0),(COLUMN()-1)/2), 1),"")</f>
        <v/>
      </c>
      <c r="T252" s="137"/>
      <c r="U252" s="58" t="str" cm="1">
        <f>IFERROR(INDEX(List_Predictors, INDEX(Array_PredictorsLookup,MATCH($A252,List_PredictorFacilities,0),(COLUMN()-1)/2), 1),"")</f>
        <v/>
      </c>
      <c r="V252" s="137"/>
      <c r="W252" s="58" t="str" cm="1">
        <f>IFERROR(INDEX(List_Predictors, INDEX(Array_PredictorsLookup,MATCH($A252,List_PredictorFacilities,0),(COLUMN()-1)/2), 1),"")</f>
        <v/>
      </c>
      <c r="X252" s="137"/>
      <c r="Y252" s="58" t="str" cm="1">
        <f>IFERROR(INDEX(List_Predictors, INDEX(Array_PredictorsLookup,MATCH($A252,List_PredictorFacilities,0),(COLUMN()-1)/2), 1),"")</f>
        <v/>
      </c>
      <c r="Z252" s="137"/>
      <c r="AA252" s="58" t="str" cm="1">
        <f>IFERROR(INDEX(List_Predictors, INDEX(Array_PredictorsLookup,MATCH($A252,List_PredictorFacilities,0),(COLUMN()-1)/2), 1),"")</f>
        <v/>
      </c>
      <c r="AB252" s="137"/>
      <c r="AC252" s="58" t="str" cm="1">
        <f>IFERROR(INDEX(List_Predictors, INDEX(Array_PredictorsLookup,MATCH($A252,List_PredictorFacilities,0),(COLUMN()-1)/2), 1),"")</f>
        <v/>
      </c>
      <c r="AD252" s="137"/>
      <c r="AE252" s="58" t="str" cm="1">
        <f>IFERROR(INDEX(List_Predictors, INDEX(Array_PredictorsLookup,MATCH($A252,List_PredictorFacilities,0),(COLUMN()-1)/2), 1),"")</f>
        <v/>
      </c>
      <c r="AF252" s="137"/>
    </row>
    <row r="253" spans="1:32" x14ac:dyDescent="0.3">
      <c r="A253" s="126"/>
      <c r="B253" s="141"/>
      <c r="C253" s="58" t="str" cm="1">
        <f>IFERROR(INDEX(List_Predictors, INDEX(Array_PredictorsLookup,MATCH($A253,List_PredictorFacilities,0),(COLUMN()-1)/2), 1),"")</f>
        <v/>
      </c>
      <c r="D253" s="137"/>
      <c r="E253" s="58" t="str" cm="1">
        <f>IFERROR(INDEX(List_Predictors, INDEX(Array_PredictorsLookup,MATCH($A253,List_PredictorFacilities,0),(COLUMN()-1)/2), 1),"")</f>
        <v/>
      </c>
      <c r="F253" s="137"/>
      <c r="G253" s="58" t="str" cm="1">
        <f>IFERROR(INDEX(List_Predictors, INDEX(Array_PredictorsLookup,MATCH($A253,List_PredictorFacilities,0),(COLUMN()-1)/2), 1),"")</f>
        <v/>
      </c>
      <c r="H253" s="137"/>
      <c r="I253" s="58" t="str" cm="1">
        <f>IFERROR(INDEX(List_Predictors, INDEX(Array_PredictorsLookup,MATCH($A253,List_PredictorFacilities,0),(COLUMN()-1)/2), 1),"")</f>
        <v/>
      </c>
      <c r="J253" s="137"/>
      <c r="K253" s="58" t="str" cm="1">
        <f>IFERROR(INDEX(List_Predictors, INDEX(Array_PredictorsLookup,MATCH($A253,List_PredictorFacilities,0),(COLUMN()-1)/2), 1),"")</f>
        <v/>
      </c>
      <c r="L253" s="137"/>
      <c r="M253" s="58" t="str" cm="1">
        <f>IFERROR(INDEX(List_Predictors, INDEX(Array_PredictorsLookup,MATCH($A253,List_PredictorFacilities,0),(COLUMN()-1)/2), 1),"")</f>
        <v/>
      </c>
      <c r="N253" s="137"/>
      <c r="O253" s="58" t="str" cm="1">
        <f>IFERROR(INDEX(List_Predictors, INDEX(Array_PredictorsLookup,MATCH($A253,List_PredictorFacilities,0),(COLUMN()-1)/2), 1),"")</f>
        <v/>
      </c>
      <c r="P253" s="137"/>
      <c r="Q253" s="58" t="str" cm="1">
        <f>IFERROR(INDEX(List_Predictors, INDEX(Array_PredictorsLookup,MATCH($A253,List_PredictorFacilities,0),(COLUMN()-1)/2), 1),"")</f>
        <v/>
      </c>
      <c r="R253" s="137"/>
      <c r="S253" s="58" t="str" cm="1">
        <f>IFERROR(INDEX(List_Predictors, INDEX(Array_PredictorsLookup,MATCH($A253,List_PredictorFacilities,0),(COLUMN()-1)/2), 1),"")</f>
        <v/>
      </c>
      <c r="T253" s="137"/>
      <c r="U253" s="58" t="str" cm="1">
        <f>IFERROR(INDEX(List_Predictors, INDEX(Array_PredictorsLookup,MATCH($A253,List_PredictorFacilities,0),(COLUMN()-1)/2), 1),"")</f>
        <v/>
      </c>
      <c r="V253" s="137"/>
      <c r="W253" s="58" t="str" cm="1">
        <f>IFERROR(INDEX(List_Predictors, INDEX(Array_PredictorsLookup,MATCH($A253,List_PredictorFacilities,0),(COLUMN()-1)/2), 1),"")</f>
        <v/>
      </c>
      <c r="X253" s="137"/>
      <c r="Y253" s="58" t="str" cm="1">
        <f>IFERROR(INDEX(List_Predictors, INDEX(Array_PredictorsLookup,MATCH($A253,List_PredictorFacilities,0),(COLUMN()-1)/2), 1),"")</f>
        <v/>
      </c>
      <c r="Z253" s="137"/>
      <c r="AA253" s="58" t="str" cm="1">
        <f>IFERROR(INDEX(List_Predictors, INDEX(Array_PredictorsLookup,MATCH($A253,List_PredictorFacilities,0),(COLUMN()-1)/2), 1),"")</f>
        <v/>
      </c>
      <c r="AB253" s="137"/>
      <c r="AC253" s="58" t="str" cm="1">
        <f>IFERROR(INDEX(List_Predictors, INDEX(Array_PredictorsLookup,MATCH($A253,List_PredictorFacilities,0),(COLUMN()-1)/2), 1),"")</f>
        <v/>
      </c>
      <c r="AD253" s="137"/>
      <c r="AE253" s="58" t="str" cm="1">
        <f>IFERROR(INDEX(List_Predictors, INDEX(Array_PredictorsLookup,MATCH($A253,List_PredictorFacilities,0),(COLUMN()-1)/2), 1),"")</f>
        <v/>
      </c>
      <c r="AF253" s="137"/>
    </row>
    <row r="254" spans="1:32" x14ac:dyDescent="0.3">
      <c r="A254" s="126"/>
      <c r="B254" s="141"/>
      <c r="C254" s="58" t="str" cm="1">
        <f>IFERROR(INDEX(List_Predictors, INDEX(Array_PredictorsLookup,MATCH($A254,List_PredictorFacilities,0),(COLUMN()-1)/2), 1),"")</f>
        <v/>
      </c>
      <c r="D254" s="137"/>
      <c r="E254" s="58" t="str" cm="1">
        <f>IFERROR(INDEX(List_Predictors, INDEX(Array_PredictorsLookup,MATCH($A254,List_PredictorFacilities,0),(COLUMN()-1)/2), 1),"")</f>
        <v/>
      </c>
      <c r="F254" s="137"/>
      <c r="G254" s="58" t="str" cm="1">
        <f>IFERROR(INDEX(List_Predictors, INDEX(Array_PredictorsLookup,MATCH($A254,List_PredictorFacilities,0),(COLUMN()-1)/2), 1),"")</f>
        <v/>
      </c>
      <c r="H254" s="137"/>
      <c r="I254" s="58" t="str" cm="1">
        <f>IFERROR(INDEX(List_Predictors, INDEX(Array_PredictorsLookup,MATCH($A254,List_PredictorFacilities,0),(COLUMN()-1)/2), 1),"")</f>
        <v/>
      </c>
      <c r="J254" s="137"/>
      <c r="K254" s="58" t="str" cm="1">
        <f>IFERROR(INDEX(List_Predictors, INDEX(Array_PredictorsLookup,MATCH($A254,List_PredictorFacilities,0),(COLUMN()-1)/2), 1),"")</f>
        <v/>
      </c>
      <c r="L254" s="137"/>
      <c r="M254" s="58" t="str" cm="1">
        <f>IFERROR(INDEX(List_Predictors, INDEX(Array_PredictorsLookup,MATCH($A254,List_PredictorFacilities,0),(COLUMN()-1)/2), 1),"")</f>
        <v/>
      </c>
      <c r="N254" s="137"/>
      <c r="O254" s="58" t="str" cm="1">
        <f>IFERROR(INDEX(List_Predictors, INDEX(Array_PredictorsLookup,MATCH($A254,List_PredictorFacilities,0),(COLUMN()-1)/2), 1),"")</f>
        <v/>
      </c>
      <c r="P254" s="137"/>
      <c r="Q254" s="58" t="str" cm="1">
        <f>IFERROR(INDEX(List_Predictors, INDEX(Array_PredictorsLookup,MATCH($A254,List_PredictorFacilities,0),(COLUMN()-1)/2), 1),"")</f>
        <v/>
      </c>
      <c r="R254" s="137"/>
      <c r="S254" s="58" t="str" cm="1">
        <f>IFERROR(INDEX(List_Predictors, INDEX(Array_PredictorsLookup,MATCH($A254,List_PredictorFacilities,0),(COLUMN()-1)/2), 1),"")</f>
        <v/>
      </c>
      <c r="T254" s="137"/>
      <c r="U254" s="58" t="str" cm="1">
        <f>IFERROR(INDEX(List_Predictors, INDEX(Array_PredictorsLookup,MATCH($A254,List_PredictorFacilities,0),(COLUMN()-1)/2), 1),"")</f>
        <v/>
      </c>
      <c r="V254" s="137"/>
      <c r="W254" s="58" t="str" cm="1">
        <f>IFERROR(INDEX(List_Predictors, INDEX(Array_PredictorsLookup,MATCH($A254,List_PredictorFacilities,0),(COLUMN()-1)/2), 1),"")</f>
        <v/>
      </c>
      <c r="X254" s="137"/>
      <c r="Y254" s="58" t="str" cm="1">
        <f>IFERROR(INDEX(List_Predictors, INDEX(Array_PredictorsLookup,MATCH($A254,List_PredictorFacilities,0),(COLUMN()-1)/2), 1),"")</f>
        <v/>
      </c>
      <c r="Z254" s="137"/>
      <c r="AA254" s="58" t="str" cm="1">
        <f>IFERROR(INDEX(List_Predictors, INDEX(Array_PredictorsLookup,MATCH($A254,List_PredictorFacilities,0),(COLUMN()-1)/2), 1),"")</f>
        <v/>
      </c>
      <c r="AB254" s="137"/>
      <c r="AC254" s="58" t="str" cm="1">
        <f>IFERROR(INDEX(List_Predictors, INDEX(Array_PredictorsLookup,MATCH($A254,List_PredictorFacilities,0),(COLUMN()-1)/2), 1),"")</f>
        <v/>
      </c>
      <c r="AD254" s="137"/>
      <c r="AE254" s="58" t="str" cm="1">
        <f>IFERROR(INDEX(List_Predictors, INDEX(Array_PredictorsLookup,MATCH($A254,List_PredictorFacilities,0),(COLUMN()-1)/2), 1),"")</f>
        <v/>
      </c>
      <c r="AF254" s="137"/>
    </row>
    <row r="255" spans="1:32" x14ac:dyDescent="0.3">
      <c r="A255" s="126"/>
      <c r="B255" s="141"/>
      <c r="C255" s="58" t="str" cm="1">
        <f>IFERROR(INDEX(List_Predictors, INDEX(Array_PredictorsLookup,MATCH($A255,List_PredictorFacilities,0),(COLUMN()-1)/2), 1),"")</f>
        <v/>
      </c>
      <c r="D255" s="137"/>
      <c r="E255" s="58" t="str" cm="1">
        <f>IFERROR(INDEX(List_Predictors, INDEX(Array_PredictorsLookup,MATCH($A255,List_PredictorFacilities,0),(COLUMN()-1)/2), 1),"")</f>
        <v/>
      </c>
      <c r="F255" s="137"/>
      <c r="G255" s="58" t="str" cm="1">
        <f>IFERROR(INDEX(List_Predictors, INDEX(Array_PredictorsLookup,MATCH($A255,List_PredictorFacilities,0),(COLUMN()-1)/2), 1),"")</f>
        <v/>
      </c>
      <c r="H255" s="137"/>
      <c r="I255" s="58" t="str" cm="1">
        <f>IFERROR(INDEX(List_Predictors, INDEX(Array_PredictorsLookup,MATCH($A255,List_PredictorFacilities,0),(COLUMN()-1)/2), 1),"")</f>
        <v/>
      </c>
      <c r="J255" s="137"/>
      <c r="K255" s="58" t="str" cm="1">
        <f>IFERROR(INDEX(List_Predictors, INDEX(Array_PredictorsLookup,MATCH($A255,List_PredictorFacilities,0),(COLUMN()-1)/2), 1),"")</f>
        <v/>
      </c>
      <c r="L255" s="137"/>
      <c r="M255" s="58" t="str" cm="1">
        <f>IFERROR(INDEX(List_Predictors, INDEX(Array_PredictorsLookup,MATCH($A255,List_PredictorFacilities,0),(COLUMN()-1)/2), 1),"")</f>
        <v/>
      </c>
      <c r="N255" s="137"/>
      <c r="O255" s="58" t="str" cm="1">
        <f>IFERROR(INDEX(List_Predictors, INDEX(Array_PredictorsLookup,MATCH($A255,List_PredictorFacilities,0),(COLUMN()-1)/2), 1),"")</f>
        <v/>
      </c>
      <c r="P255" s="137"/>
      <c r="Q255" s="58" t="str" cm="1">
        <f>IFERROR(INDEX(List_Predictors, INDEX(Array_PredictorsLookup,MATCH($A255,List_PredictorFacilities,0),(COLUMN()-1)/2), 1),"")</f>
        <v/>
      </c>
      <c r="R255" s="137"/>
      <c r="S255" s="58" t="str" cm="1">
        <f>IFERROR(INDEX(List_Predictors, INDEX(Array_PredictorsLookup,MATCH($A255,List_PredictorFacilities,0),(COLUMN()-1)/2), 1),"")</f>
        <v/>
      </c>
      <c r="T255" s="137"/>
      <c r="U255" s="58" t="str" cm="1">
        <f>IFERROR(INDEX(List_Predictors, INDEX(Array_PredictorsLookup,MATCH($A255,List_PredictorFacilities,0),(COLUMN()-1)/2), 1),"")</f>
        <v/>
      </c>
      <c r="V255" s="137"/>
      <c r="W255" s="58" t="str" cm="1">
        <f>IFERROR(INDEX(List_Predictors, INDEX(Array_PredictorsLookup,MATCH($A255,List_PredictorFacilities,0),(COLUMN()-1)/2), 1),"")</f>
        <v/>
      </c>
      <c r="X255" s="137"/>
      <c r="Y255" s="58" t="str" cm="1">
        <f>IFERROR(INDEX(List_Predictors, INDEX(Array_PredictorsLookup,MATCH($A255,List_PredictorFacilities,0),(COLUMN()-1)/2), 1),"")</f>
        <v/>
      </c>
      <c r="Z255" s="137"/>
      <c r="AA255" s="58" t="str" cm="1">
        <f>IFERROR(INDEX(List_Predictors, INDEX(Array_PredictorsLookup,MATCH($A255,List_PredictorFacilities,0),(COLUMN()-1)/2), 1),"")</f>
        <v/>
      </c>
      <c r="AB255" s="137"/>
      <c r="AC255" s="58" t="str" cm="1">
        <f>IFERROR(INDEX(List_Predictors, INDEX(Array_PredictorsLookup,MATCH($A255,List_PredictorFacilities,0),(COLUMN()-1)/2), 1),"")</f>
        <v/>
      </c>
      <c r="AD255" s="137"/>
      <c r="AE255" s="58" t="str" cm="1">
        <f>IFERROR(INDEX(List_Predictors, INDEX(Array_PredictorsLookup,MATCH($A255,List_PredictorFacilities,0),(COLUMN()-1)/2), 1),"")</f>
        <v/>
      </c>
      <c r="AF255" s="137"/>
    </row>
    <row r="256" spans="1:32" x14ac:dyDescent="0.3">
      <c r="A256" s="126"/>
      <c r="B256" s="141"/>
      <c r="C256" s="58" t="str" cm="1">
        <f>IFERROR(INDEX(List_Predictors, INDEX(Array_PredictorsLookup,MATCH($A256,List_PredictorFacilities,0),(COLUMN()-1)/2), 1),"")</f>
        <v/>
      </c>
      <c r="D256" s="137"/>
      <c r="E256" s="58" t="str" cm="1">
        <f>IFERROR(INDEX(List_Predictors, INDEX(Array_PredictorsLookup,MATCH($A256,List_PredictorFacilities,0),(COLUMN()-1)/2), 1),"")</f>
        <v/>
      </c>
      <c r="F256" s="137"/>
      <c r="G256" s="58" t="str" cm="1">
        <f>IFERROR(INDEX(List_Predictors, INDEX(Array_PredictorsLookup,MATCH($A256,List_PredictorFacilities,0),(COLUMN()-1)/2), 1),"")</f>
        <v/>
      </c>
      <c r="H256" s="137"/>
      <c r="I256" s="58" t="str" cm="1">
        <f>IFERROR(INDEX(List_Predictors, INDEX(Array_PredictorsLookup,MATCH($A256,List_PredictorFacilities,0),(COLUMN()-1)/2), 1),"")</f>
        <v/>
      </c>
      <c r="J256" s="137"/>
      <c r="K256" s="58" t="str" cm="1">
        <f>IFERROR(INDEX(List_Predictors, INDEX(Array_PredictorsLookup,MATCH($A256,List_PredictorFacilities,0),(COLUMN()-1)/2), 1),"")</f>
        <v/>
      </c>
      <c r="L256" s="137"/>
      <c r="M256" s="58" t="str" cm="1">
        <f>IFERROR(INDEX(List_Predictors, INDEX(Array_PredictorsLookup,MATCH($A256,List_PredictorFacilities,0),(COLUMN()-1)/2), 1),"")</f>
        <v/>
      </c>
      <c r="N256" s="137"/>
      <c r="O256" s="58" t="str" cm="1">
        <f>IFERROR(INDEX(List_Predictors, INDEX(Array_PredictorsLookup,MATCH($A256,List_PredictorFacilities,0),(COLUMN()-1)/2), 1),"")</f>
        <v/>
      </c>
      <c r="P256" s="137"/>
      <c r="Q256" s="58" t="str" cm="1">
        <f>IFERROR(INDEX(List_Predictors, INDEX(Array_PredictorsLookup,MATCH($A256,List_PredictorFacilities,0),(COLUMN()-1)/2), 1),"")</f>
        <v/>
      </c>
      <c r="R256" s="137"/>
      <c r="S256" s="58" t="str" cm="1">
        <f>IFERROR(INDEX(List_Predictors, INDEX(Array_PredictorsLookup,MATCH($A256,List_PredictorFacilities,0),(COLUMN()-1)/2), 1),"")</f>
        <v/>
      </c>
      <c r="T256" s="137"/>
      <c r="U256" s="58" t="str" cm="1">
        <f>IFERROR(INDEX(List_Predictors, INDEX(Array_PredictorsLookup,MATCH($A256,List_PredictorFacilities,0),(COLUMN()-1)/2), 1),"")</f>
        <v/>
      </c>
      <c r="V256" s="137"/>
      <c r="W256" s="58" t="str" cm="1">
        <f>IFERROR(INDEX(List_Predictors, INDEX(Array_PredictorsLookup,MATCH($A256,List_PredictorFacilities,0),(COLUMN()-1)/2), 1),"")</f>
        <v/>
      </c>
      <c r="X256" s="137"/>
      <c r="Y256" s="58" t="str" cm="1">
        <f>IFERROR(INDEX(List_Predictors, INDEX(Array_PredictorsLookup,MATCH($A256,List_PredictorFacilities,0),(COLUMN()-1)/2), 1),"")</f>
        <v/>
      </c>
      <c r="Z256" s="137"/>
      <c r="AA256" s="58" t="str" cm="1">
        <f>IFERROR(INDEX(List_Predictors, INDEX(Array_PredictorsLookup,MATCH($A256,List_PredictorFacilities,0),(COLUMN()-1)/2), 1),"")</f>
        <v/>
      </c>
      <c r="AB256" s="137"/>
      <c r="AC256" s="58" t="str" cm="1">
        <f>IFERROR(INDEX(List_Predictors, INDEX(Array_PredictorsLookup,MATCH($A256,List_PredictorFacilities,0),(COLUMN()-1)/2), 1),"")</f>
        <v/>
      </c>
      <c r="AD256" s="137"/>
      <c r="AE256" s="58" t="str" cm="1">
        <f>IFERROR(INDEX(List_Predictors, INDEX(Array_PredictorsLookup,MATCH($A256,List_PredictorFacilities,0),(COLUMN()-1)/2), 1),"")</f>
        <v/>
      </c>
      <c r="AF256" s="137"/>
    </row>
    <row r="257" spans="1:32" x14ac:dyDescent="0.3">
      <c r="A257" s="126"/>
      <c r="B257" s="141"/>
      <c r="C257" s="58" t="str" cm="1">
        <f>IFERROR(INDEX(List_Predictors, INDEX(Array_PredictorsLookup,MATCH($A257,List_PredictorFacilities,0),(COLUMN()-1)/2), 1),"")</f>
        <v/>
      </c>
      <c r="D257" s="137"/>
      <c r="E257" s="58" t="str" cm="1">
        <f>IFERROR(INDEX(List_Predictors, INDEX(Array_PredictorsLookup,MATCH($A257,List_PredictorFacilities,0),(COLUMN()-1)/2), 1),"")</f>
        <v/>
      </c>
      <c r="F257" s="137"/>
      <c r="G257" s="58" t="str" cm="1">
        <f>IFERROR(INDEX(List_Predictors, INDEX(Array_PredictorsLookup,MATCH($A257,List_PredictorFacilities,0),(COLUMN()-1)/2), 1),"")</f>
        <v/>
      </c>
      <c r="H257" s="137"/>
      <c r="I257" s="58" t="str" cm="1">
        <f>IFERROR(INDEX(List_Predictors, INDEX(Array_PredictorsLookup,MATCH($A257,List_PredictorFacilities,0),(COLUMN()-1)/2), 1),"")</f>
        <v/>
      </c>
      <c r="J257" s="137"/>
      <c r="K257" s="58" t="str" cm="1">
        <f>IFERROR(INDEX(List_Predictors, INDEX(Array_PredictorsLookup,MATCH($A257,List_PredictorFacilities,0),(COLUMN()-1)/2), 1),"")</f>
        <v/>
      </c>
      <c r="L257" s="137"/>
      <c r="M257" s="58" t="str" cm="1">
        <f>IFERROR(INDEX(List_Predictors, INDEX(Array_PredictorsLookup,MATCH($A257,List_PredictorFacilities,0),(COLUMN()-1)/2), 1),"")</f>
        <v/>
      </c>
      <c r="N257" s="137"/>
      <c r="O257" s="58" t="str" cm="1">
        <f>IFERROR(INDEX(List_Predictors, INDEX(Array_PredictorsLookup,MATCH($A257,List_PredictorFacilities,0),(COLUMN()-1)/2), 1),"")</f>
        <v/>
      </c>
      <c r="P257" s="137"/>
      <c r="Q257" s="58" t="str" cm="1">
        <f>IFERROR(INDEX(List_Predictors, INDEX(Array_PredictorsLookup,MATCH($A257,List_PredictorFacilities,0),(COLUMN()-1)/2), 1),"")</f>
        <v/>
      </c>
      <c r="R257" s="137"/>
      <c r="S257" s="58" t="str" cm="1">
        <f>IFERROR(INDEX(List_Predictors, INDEX(Array_PredictorsLookup,MATCH($A257,List_PredictorFacilities,0),(COLUMN()-1)/2), 1),"")</f>
        <v/>
      </c>
      <c r="T257" s="137"/>
      <c r="U257" s="58" t="str" cm="1">
        <f>IFERROR(INDEX(List_Predictors, INDEX(Array_PredictorsLookup,MATCH($A257,List_PredictorFacilities,0),(COLUMN()-1)/2), 1),"")</f>
        <v/>
      </c>
      <c r="V257" s="137"/>
      <c r="W257" s="58" t="str" cm="1">
        <f>IFERROR(INDEX(List_Predictors, INDEX(Array_PredictorsLookup,MATCH($A257,List_PredictorFacilities,0),(COLUMN()-1)/2), 1),"")</f>
        <v/>
      </c>
      <c r="X257" s="137"/>
      <c r="Y257" s="58" t="str" cm="1">
        <f>IFERROR(INDEX(List_Predictors, INDEX(Array_PredictorsLookup,MATCH($A257,List_PredictorFacilities,0),(COLUMN()-1)/2), 1),"")</f>
        <v/>
      </c>
      <c r="Z257" s="137"/>
      <c r="AA257" s="58" t="str" cm="1">
        <f>IFERROR(INDEX(List_Predictors, INDEX(Array_PredictorsLookup,MATCH($A257,List_PredictorFacilities,0),(COLUMN()-1)/2), 1),"")</f>
        <v/>
      </c>
      <c r="AB257" s="137"/>
      <c r="AC257" s="58" t="str" cm="1">
        <f>IFERROR(INDEX(List_Predictors, INDEX(Array_PredictorsLookup,MATCH($A257,List_PredictorFacilities,0),(COLUMN()-1)/2), 1),"")</f>
        <v/>
      </c>
      <c r="AD257" s="137"/>
      <c r="AE257" s="58" t="str" cm="1">
        <f>IFERROR(INDEX(List_Predictors, INDEX(Array_PredictorsLookup,MATCH($A257,List_PredictorFacilities,0),(COLUMN()-1)/2), 1),"")</f>
        <v/>
      </c>
      <c r="AF257" s="137"/>
    </row>
    <row r="258" spans="1:32" x14ac:dyDescent="0.3">
      <c r="A258" s="126"/>
      <c r="B258" s="141"/>
      <c r="C258" s="58" t="str" cm="1">
        <f>IFERROR(INDEX(List_Predictors, INDEX(Array_PredictorsLookup,MATCH($A258,List_PredictorFacilities,0),(COLUMN()-1)/2), 1),"")</f>
        <v/>
      </c>
      <c r="D258" s="137"/>
      <c r="E258" s="58" t="str" cm="1">
        <f>IFERROR(INDEX(List_Predictors, INDEX(Array_PredictorsLookup,MATCH($A258,List_PredictorFacilities,0),(COLUMN()-1)/2), 1),"")</f>
        <v/>
      </c>
      <c r="F258" s="137"/>
      <c r="G258" s="58" t="str" cm="1">
        <f>IFERROR(INDEX(List_Predictors, INDEX(Array_PredictorsLookup,MATCH($A258,List_PredictorFacilities,0),(COLUMN()-1)/2), 1),"")</f>
        <v/>
      </c>
      <c r="H258" s="137"/>
      <c r="I258" s="58" t="str" cm="1">
        <f>IFERROR(INDEX(List_Predictors, INDEX(Array_PredictorsLookup,MATCH($A258,List_PredictorFacilities,0),(COLUMN()-1)/2), 1),"")</f>
        <v/>
      </c>
      <c r="J258" s="137"/>
      <c r="K258" s="58" t="str" cm="1">
        <f>IFERROR(INDEX(List_Predictors, INDEX(Array_PredictorsLookup,MATCH($A258,List_PredictorFacilities,0),(COLUMN()-1)/2), 1),"")</f>
        <v/>
      </c>
      <c r="L258" s="137"/>
      <c r="M258" s="58" t="str" cm="1">
        <f>IFERROR(INDEX(List_Predictors, INDEX(Array_PredictorsLookup,MATCH($A258,List_PredictorFacilities,0),(COLUMN()-1)/2), 1),"")</f>
        <v/>
      </c>
      <c r="N258" s="137"/>
      <c r="O258" s="58" t="str" cm="1">
        <f>IFERROR(INDEX(List_Predictors, INDEX(Array_PredictorsLookup,MATCH($A258,List_PredictorFacilities,0),(COLUMN()-1)/2), 1),"")</f>
        <v/>
      </c>
      <c r="P258" s="137"/>
      <c r="Q258" s="58" t="str" cm="1">
        <f>IFERROR(INDEX(List_Predictors, INDEX(Array_PredictorsLookup,MATCH($A258,List_PredictorFacilities,0),(COLUMN()-1)/2), 1),"")</f>
        <v/>
      </c>
      <c r="R258" s="137"/>
      <c r="S258" s="58" t="str" cm="1">
        <f>IFERROR(INDEX(List_Predictors, INDEX(Array_PredictorsLookup,MATCH($A258,List_PredictorFacilities,0),(COLUMN()-1)/2), 1),"")</f>
        <v/>
      </c>
      <c r="T258" s="137"/>
      <c r="U258" s="58" t="str" cm="1">
        <f>IFERROR(INDEX(List_Predictors, INDEX(Array_PredictorsLookup,MATCH($A258,List_PredictorFacilities,0),(COLUMN()-1)/2), 1),"")</f>
        <v/>
      </c>
      <c r="V258" s="137"/>
      <c r="W258" s="58" t="str" cm="1">
        <f>IFERROR(INDEX(List_Predictors, INDEX(Array_PredictorsLookup,MATCH($A258,List_PredictorFacilities,0),(COLUMN()-1)/2), 1),"")</f>
        <v/>
      </c>
      <c r="X258" s="137"/>
      <c r="Y258" s="58" t="str" cm="1">
        <f>IFERROR(INDEX(List_Predictors, INDEX(Array_PredictorsLookup,MATCH($A258,List_PredictorFacilities,0),(COLUMN()-1)/2), 1),"")</f>
        <v/>
      </c>
      <c r="Z258" s="137"/>
      <c r="AA258" s="58" t="str" cm="1">
        <f>IFERROR(INDEX(List_Predictors, INDEX(Array_PredictorsLookup,MATCH($A258,List_PredictorFacilities,0),(COLUMN()-1)/2), 1),"")</f>
        <v/>
      </c>
      <c r="AB258" s="137"/>
      <c r="AC258" s="58" t="str" cm="1">
        <f>IFERROR(INDEX(List_Predictors, INDEX(Array_PredictorsLookup,MATCH($A258,List_PredictorFacilities,0),(COLUMN()-1)/2), 1),"")</f>
        <v/>
      </c>
      <c r="AD258" s="137"/>
      <c r="AE258" s="58" t="str" cm="1">
        <f>IFERROR(INDEX(List_Predictors, INDEX(Array_PredictorsLookup,MATCH($A258,List_PredictorFacilities,0),(COLUMN()-1)/2), 1),"")</f>
        <v/>
      </c>
      <c r="AF258" s="137"/>
    </row>
    <row r="259" spans="1:32" x14ac:dyDescent="0.3">
      <c r="A259" s="126"/>
      <c r="B259" s="141"/>
      <c r="C259" s="58" t="str" cm="1">
        <f>IFERROR(INDEX(List_Predictors, INDEX(Array_PredictorsLookup,MATCH($A259,List_PredictorFacilities,0),(COLUMN()-1)/2), 1),"")</f>
        <v/>
      </c>
      <c r="D259" s="137"/>
      <c r="E259" s="58" t="str" cm="1">
        <f>IFERROR(INDEX(List_Predictors, INDEX(Array_PredictorsLookup,MATCH($A259,List_PredictorFacilities,0),(COLUMN()-1)/2), 1),"")</f>
        <v/>
      </c>
      <c r="F259" s="137"/>
      <c r="G259" s="58" t="str" cm="1">
        <f>IFERROR(INDEX(List_Predictors, INDEX(Array_PredictorsLookup,MATCH($A259,List_PredictorFacilities,0),(COLUMN()-1)/2), 1),"")</f>
        <v/>
      </c>
      <c r="H259" s="137"/>
      <c r="I259" s="58" t="str" cm="1">
        <f>IFERROR(INDEX(List_Predictors, INDEX(Array_PredictorsLookup,MATCH($A259,List_PredictorFacilities,0),(COLUMN()-1)/2), 1),"")</f>
        <v/>
      </c>
      <c r="J259" s="137"/>
      <c r="K259" s="58" t="str" cm="1">
        <f>IFERROR(INDEX(List_Predictors, INDEX(Array_PredictorsLookup,MATCH($A259,List_PredictorFacilities,0),(COLUMN()-1)/2), 1),"")</f>
        <v/>
      </c>
      <c r="L259" s="137"/>
      <c r="M259" s="58" t="str" cm="1">
        <f>IFERROR(INDEX(List_Predictors, INDEX(Array_PredictorsLookup,MATCH($A259,List_PredictorFacilities,0),(COLUMN()-1)/2), 1),"")</f>
        <v/>
      </c>
      <c r="N259" s="137"/>
      <c r="O259" s="58" t="str" cm="1">
        <f>IFERROR(INDEX(List_Predictors, INDEX(Array_PredictorsLookup,MATCH($A259,List_PredictorFacilities,0),(COLUMN()-1)/2), 1),"")</f>
        <v/>
      </c>
      <c r="P259" s="137"/>
      <c r="Q259" s="58" t="str" cm="1">
        <f>IFERROR(INDEX(List_Predictors, INDEX(Array_PredictorsLookup,MATCH($A259,List_PredictorFacilities,0),(COLUMN()-1)/2), 1),"")</f>
        <v/>
      </c>
      <c r="R259" s="137"/>
      <c r="S259" s="58" t="str" cm="1">
        <f>IFERROR(INDEX(List_Predictors, INDEX(Array_PredictorsLookup,MATCH($A259,List_PredictorFacilities,0),(COLUMN()-1)/2), 1),"")</f>
        <v/>
      </c>
      <c r="T259" s="137"/>
      <c r="U259" s="58" t="str" cm="1">
        <f>IFERROR(INDEX(List_Predictors, INDEX(Array_PredictorsLookup,MATCH($A259,List_PredictorFacilities,0),(COLUMN()-1)/2), 1),"")</f>
        <v/>
      </c>
      <c r="V259" s="137"/>
      <c r="W259" s="58" t="str" cm="1">
        <f>IFERROR(INDEX(List_Predictors, INDEX(Array_PredictorsLookup,MATCH($A259,List_PredictorFacilities,0),(COLUMN()-1)/2), 1),"")</f>
        <v/>
      </c>
      <c r="X259" s="137"/>
      <c r="Y259" s="58" t="str" cm="1">
        <f>IFERROR(INDEX(List_Predictors, INDEX(Array_PredictorsLookup,MATCH($A259,List_PredictorFacilities,0),(COLUMN()-1)/2), 1),"")</f>
        <v/>
      </c>
      <c r="Z259" s="137"/>
      <c r="AA259" s="58" t="str" cm="1">
        <f>IFERROR(INDEX(List_Predictors, INDEX(Array_PredictorsLookup,MATCH($A259,List_PredictorFacilities,0),(COLUMN()-1)/2), 1),"")</f>
        <v/>
      </c>
      <c r="AB259" s="137"/>
      <c r="AC259" s="58" t="str" cm="1">
        <f>IFERROR(INDEX(List_Predictors, INDEX(Array_PredictorsLookup,MATCH($A259,List_PredictorFacilities,0),(COLUMN()-1)/2), 1),"")</f>
        <v/>
      </c>
      <c r="AD259" s="137"/>
      <c r="AE259" s="58" t="str" cm="1">
        <f>IFERROR(INDEX(List_Predictors, INDEX(Array_PredictorsLookup,MATCH($A259,List_PredictorFacilities,0),(COLUMN()-1)/2), 1),"")</f>
        <v/>
      </c>
      <c r="AF259" s="137"/>
    </row>
    <row r="260" spans="1:32" x14ac:dyDescent="0.3">
      <c r="A260" s="126"/>
      <c r="B260" s="141"/>
      <c r="C260" s="58" t="str" cm="1">
        <f>IFERROR(INDEX(List_Predictors, INDEX(Array_PredictorsLookup,MATCH($A260,List_PredictorFacilities,0),(COLUMN()-1)/2), 1),"")</f>
        <v/>
      </c>
      <c r="D260" s="137"/>
      <c r="E260" s="58" t="str" cm="1">
        <f>IFERROR(INDEX(List_Predictors, INDEX(Array_PredictorsLookup,MATCH($A260,List_PredictorFacilities,0),(COLUMN()-1)/2), 1),"")</f>
        <v/>
      </c>
      <c r="F260" s="137"/>
      <c r="G260" s="58" t="str" cm="1">
        <f>IFERROR(INDEX(List_Predictors, INDEX(Array_PredictorsLookup,MATCH($A260,List_PredictorFacilities,0),(COLUMN()-1)/2), 1),"")</f>
        <v/>
      </c>
      <c r="H260" s="137"/>
      <c r="I260" s="58" t="str" cm="1">
        <f>IFERROR(INDEX(List_Predictors, INDEX(Array_PredictorsLookup,MATCH($A260,List_PredictorFacilities,0),(COLUMN()-1)/2), 1),"")</f>
        <v/>
      </c>
      <c r="J260" s="137"/>
      <c r="K260" s="58" t="str" cm="1">
        <f>IFERROR(INDEX(List_Predictors, INDEX(Array_PredictorsLookup,MATCH($A260,List_PredictorFacilities,0),(COLUMN()-1)/2), 1),"")</f>
        <v/>
      </c>
      <c r="L260" s="137"/>
      <c r="M260" s="58" t="str" cm="1">
        <f>IFERROR(INDEX(List_Predictors, INDEX(Array_PredictorsLookup,MATCH($A260,List_PredictorFacilities,0),(COLUMN()-1)/2), 1),"")</f>
        <v/>
      </c>
      <c r="N260" s="137"/>
      <c r="O260" s="58" t="str" cm="1">
        <f>IFERROR(INDEX(List_Predictors, INDEX(Array_PredictorsLookup,MATCH($A260,List_PredictorFacilities,0),(COLUMN()-1)/2), 1),"")</f>
        <v/>
      </c>
      <c r="P260" s="137"/>
      <c r="Q260" s="58" t="str" cm="1">
        <f>IFERROR(INDEX(List_Predictors, INDEX(Array_PredictorsLookup,MATCH($A260,List_PredictorFacilities,0),(COLUMN()-1)/2), 1),"")</f>
        <v/>
      </c>
      <c r="R260" s="137"/>
      <c r="S260" s="58" t="str" cm="1">
        <f>IFERROR(INDEX(List_Predictors, INDEX(Array_PredictorsLookup,MATCH($A260,List_PredictorFacilities,0),(COLUMN()-1)/2), 1),"")</f>
        <v/>
      </c>
      <c r="T260" s="137"/>
      <c r="U260" s="58" t="str" cm="1">
        <f>IFERROR(INDEX(List_Predictors, INDEX(Array_PredictorsLookup,MATCH($A260,List_PredictorFacilities,0),(COLUMN()-1)/2), 1),"")</f>
        <v/>
      </c>
      <c r="V260" s="137"/>
      <c r="W260" s="58" t="str" cm="1">
        <f>IFERROR(INDEX(List_Predictors, INDEX(Array_PredictorsLookup,MATCH($A260,List_PredictorFacilities,0),(COLUMN()-1)/2), 1),"")</f>
        <v/>
      </c>
      <c r="X260" s="137"/>
      <c r="Y260" s="58" t="str" cm="1">
        <f>IFERROR(INDEX(List_Predictors, INDEX(Array_PredictorsLookup,MATCH($A260,List_PredictorFacilities,0),(COLUMN()-1)/2), 1),"")</f>
        <v/>
      </c>
      <c r="Z260" s="137"/>
      <c r="AA260" s="58" t="str" cm="1">
        <f>IFERROR(INDEX(List_Predictors, INDEX(Array_PredictorsLookup,MATCH($A260,List_PredictorFacilities,0),(COLUMN()-1)/2), 1),"")</f>
        <v/>
      </c>
      <c r="AB260" s="137"/>
      <c r="AC260" s="58" t="str" cm="1">
        <f>IFERROR(INDEX(List_Predictors, INDEX(Array_PredictorsLookup,MATCH($A260,List_PredictorFacilities,0),(COLUMN()-1)/2), 1),"")</f>
        <v/>
      </c>
      <c r="AD260" s="137"/>
      <c r="AE260" s="58" t="str" cm="1">
        <f>IFERROR(INDEX(List_Predictors, INDEX(Array_PredictorsLookup,MATCH($A260,List_PredictorFacilities,0),(COLUMN()-1)/2), 1),"")</f>
        <v/>
      </c>
      <c r="AF260" s="137"/>
    </row>
    <row r="261" spans="1:32" x14ac:dyDescent="0.3">
      <c r="A261" s="126"/>
      <c r="B261" s="141"/>
      <c r="C261" s="58" t="str" cm="1">
        <f>IFERROR(INDEX(List_Predictors, INDEX(Array_PredictorsLookup,MATCH($A261,List_PredictorFacilities,0),(COLUMN()-1)/2), 1),"")</f>
        <v/>
      </c>
      <c r="D261" s="137"/>
      <c r="E261" s="58" t="str" cm="1">
        <f>IFERROR(INDEX(List_Predictors, INDEX(Array_PredictorsLookup,MATCH($A261,List_PredictorFacilities,0),(COLUMN()-1)/2), 1),"")</f>
        <v/>
      </c>
      <c r="F261" s="137"/>
      <c r="G261" s="58" t="str" cm="1">
        <f>IFERROR(INDEX(List_Predictors, INDEX(Array_PredictorsLookup,MATCH($A261,List_PredictorFacilities,0),(COLUMN()-1)/2), 1),"")</f>
        <v/>
      </c>
      <c r="H261" s="137"/>
      <c r="I261" s="58" t="str" cm="1">
        <f>IFERROR(INDEX(List_Predictors, INDEX(Array_PredictorsLookup,MATCH($A261,List_PredictorFacilities,0),(COLUMN()-1)/2), 1),"")</f>
        <v/>
      </c>
      <c r="J261" s="137"/>
      <c r="K261" s="58" t="str" cm="1">
        <f>IFERROR(INDEX(List_Predictors, INDEX(Array_PredictorsLookup,MATCH($A261,List_PredictorFacilities,0),(COLUMN()-1)/2), 1),"")</f>
        <v/>
      </c>
      <c r="L261" s="137"/>
      <c r="M261" s="58" t="str" cm="1">
        <f>IFERROR(INDEX(List_Predictors, INDEX(Array_PredictorsLookup,MATCH($A261,List_PredictorFacilities,0),(COLUMN()-1)/2), 1),"")</f>
        <v/>
      </c>
      <c r="N261" s="137"/>
      <c r="O261" s="58" t="str" cm="1">
        <f>IFERROR(INDEX(List_Predictors, INDEX(Array_PredictorsLookup,MATCH($A261,List_PredictorFacilities,0),(COLUMN()-1)/2), 1),"")</f>
        <v/>
      </c>
      <c r="P261" s="137"/>
      <c r="Q261" s="58" t="str" cm="1">
        <f>IFERROR(INDEX(List_Predictors, INDEX(Array_PredictorsLookup,MATCH($A261,List_PredictorFacilities,0),(COLUMN()-1)/2), 1),"")</f>
        <v/>
      </c>
      <c r="R261" s="137"/>
      <c r="S261" s="58" t="str" cm="1">
        <f>IFERROR(INDEX(List_Predictors, INDEX(Array_PredictorsLookup,MATCH($A261,List_PredictorFacilities,0),(COLUMN()-1)/2), 1),"")</f>
        <v/>
      </c>
      <c r="T261" s="137"/>
      <c r="U261" s="58" t="str" cm="1">
        <f>IFERROR(INDEX(List_Predictors, INDEX(Array_PredictorsLookup,MATCH($A261,List_PredictorFacilities,0),(COLUMN()-1)/2), 1),"")</f>
        <v/>
      </c>
      <c r="V261" s="137"/>
      <c r="W261" s="58" t="str" cm="1">
        <f>IFERROR(INDEX(List_Predictors, INDEX(Array_PredictorsLookup,MATCH($A261,List_PredictorFacilities,0),(COLUMN()-1)/2), 1),"")</f>
        <v/>
      </c>
      <c r="X261" s="137"/>
      <c r="Y261" s="58" t="str" cm="1">
        <f>IFERROR(INDEX(List_Predictors, INDEX(Array_PredictorsLookup,MATCH($A261,List_PredictorFacilities,0),(COLUMN()-1)/2), 1),"")</f>
        <v/>
      </c>
      <c r="Z261" s="137"/>
      <c r="AA261" s="58" t="str" cm="1">
        <f>IFERROR(INDEX(List_Predictors, INDEX(Array_PredictorsLookup,MATCH($A261,List_PredictorFacilities,0),(COLUMN()-1)/2), 1),"")</f>
        <v/>
      </c>
      <c r="AB261" s="137"/>
      <c r="AC261" s="58" t="str" cm="1">
        <f>IFERROR(INDEX(List_Predictors, INDEX(Array_PredictorsLookup,MATCH($A261,List_PredictorFacilities,0),(COLUMN()-1)/2), 1),"")</f>
        <v/>
      </c>
      <c r="AD261" s="137"/>
      <c r="AE261" s="58" t="str" cm="1">
        <f>IFERROR(INDEX(List_Predictors, INDEX(Array_PredictorsLookup,MATCH($A261,List_PredictorFacilities,0),(COLUMN()-1)/2), 1),"")</f>
        <v/>
      </c>
      <c r="AF261" s="137"/>
    </row>
    <row r="262" spans="1:32" x14ac:dyDescent="0.3">
      <c r="A262" s="126"/>
      <c r="B262" s="141"/>
      <c r="C262" s="58" t="str" cm="1">
        <f>IFERROR(INDEX(List_Predictors, INDEX(Array_PredictorsLookup,MATCH($A262,List_PredictorFacilities,0),(COLUMN()-1)/2), 1),"")</f>
        <v/>
      </c>
      <c r="D262" s="137"/>
      <c r="E262" s="58" t="str" cm="1">
        <f>IFERROR(INDEX(List_Predictors, INDEX(Array_PredictorsLookup,MATCH($A262,List_PredictorFacilities,0),(COLUMN()-1)/2), 1),"")</f>
        <v/>
      </c>
      <c r="F262" s="137"/>
      <c r="G262" s="58" t="str" cm="1">
        <f>IFERROR(INDEX(List_Predictors, INDEX(Array_PredictorsLookup,MATCH($A262,List_PredictorFacilities,0),(COLUMN()-1)/2), 1),"")</f>
        <v/>
      </c>
      <c r="H262" s="137"/>
      <c r="I262" s="58" t="str" cm="1">
        <f>IFERROR(INDEX(List_Predictors, INDEX(Array_PredictorsLookup,MATCH($A262,List_PredictorFacilities,0),(COLUMN()-1)/2), 1),"")</f>
        <v/>
      </c>
      <c r="J262" s="137"/>
      <c r="K262" s="58" t="str" cm="1">
        <f>IFERROR(INDEX(List_Predictors, INDEX(Array_PredictorsLookup,MATCH($A262,List_PredictorFacilities,0),(COLUMN()-1)/2), 1),"")</f>
        <v/>
      </c>
      <c r="L262" s="137"/>
      <c r="M262" s="58" t="str" cm="1">
        <f>IFERROR(INDEX(List_Predictors, INDEX(Array_PredictorsLookup,MATCH($A262,List_PredictorFacilities,0),(COLUMN()-1)/2), 1),"")</f>
        <v/>
      </c>
      <c r="N262" s="137"/>
      <c r="O262" s="58" t="str" cm="1">
        <f>IFERROR(INDEX(List_Predictors, INDEX(Array_PredictorsLookup,MATCH($A262,List_PredictorFacilities,0),(COLUMN()-1)/2), 1),"")</f>
        <v/>
      </c>
      <c r="P262" s="137"/>
      <c r="Q262" s="58" t="str" cm="1">
        <f>IFERROR(INDEX(List_Predictors, INDEX(Array_PredictorsLookup,MATCH($A262,List_PredictorFacilities,0),(COLUMN()-1)/2), 1),"")</f>
        <v/>
      </c>
      <c r="R262" s="137"/>
      <c r="S262" s="58" t="str" cm="1">
        <f>IFERROR(INDEX(List_Predictors, INDEX(Array_PredictorsLookup,MATCH($A262,List_PredictorFacilities,0),(COLUMN()-1)/2), 1),"")</f>
        <v/>
      </c>
      <c r="T262" s="137"/>
      <c r="U262" s="58" t="str" cm="1">
        <f>IFERROR(INDEX(List_Predictors, INDEX(Array_PredictorsLookup,MATCH($A262,List_PredictorFacilities,0),(COLUMN()-1)/2), 1),"")</f>
        <v/>
      </c>
      <c r="V262" s="137"/>
      <c r="W262" s="58" t="str" cm="1">
        <f>IFERROR(INDEX(List_Predictors, INDEX(Array_PredictorsLookup,MATCH($A262,List_PredictorFacilities,0),(COLUMN()-1)/2), 1),"")</f>
        <v/>
      </c>
      <c r="X262" s="137"/>
      <c r="Y262" s="58" t="str" cm="1">
        <f>IFERROR(INDEX(List_Predictors, INDEX(Array_PredictorsLookup,MATCH($A262,List_PredictorFacilities,0),(COLUMN()-1)/2), 1),"")</f>
        <v/>
      </c>
      <c r="Z262" s="137"/>
      <c r="AA262" s="58" t="str" cm="1">
        <f>IFERROR(INDEX(List_Predictors, INDEX(Array_PredictorsLookup,MATCH($A262,List_PredictorFacilities,0),(COLUMN()-1)/2), 1),"")</f>
        <v/>
      </c>
      <c r="AB262" s="137"/>
      <c r="AC262" s="58" t="str" cm="1">
        <f>IFERROR(INDEX(List_Predictors, INDEX(Array_PredictorsLookup,MATCH($A262,List_PredictorFacilities,0),(COLUMN()-1)/2), 1),"")</f>
        <v/>
      </c>
      <c r="AD262" s="137"/>
      <c r="AE262" s="58" t="str" cm="1">
        <f>IFERROR(INDEX(List_Predictors, INDEX(Array_PredictorsLookup,MATCH($A262,List_PredictorFacilities,0),(COLUMN()-1)/2), 1),"")</f>
        <v/>
      </c>
      <c r="AF262" s="137"/>
    </row>
    <row r="263" spans="1:32" x14ac:dyDescent="0.3">
      <c r="A263" s="126"/>
      <c r="B263" s="141"/>
      <c r="C263" s="58" t="str" cm="1">
        <f>IFERROR(INDEX(List_Predictors, INDEX(Array_PredictorsLookup,MATCH($A263,List_PredictorFacilities,0),(COLUMN()-1)/2), 1),"")</f>
        <v/>
      </c>
      <c r="D263" s="137"/>
      <c r="E263" s="58" t="str" cm="1">
        <f>IFERROR(INDEX(List_Predictors, INDEX(Array_PredictorsLookup,MATCH($A263,List_PredictorFacilities,0),(COLUMN()-1)/2), 1),"")</f>
        <v/>
      </c>
      <c r="F263" s="137"/>
      <c r="G263" s="58" t="str" cm="1">
        <f>IFERROR(INDEX(List_Predictors, INDEX(Array_PredictorsLookup,MATCH($A263,List_PredictorFacilities,0),(COLUMN()-1)/2), 1),"")</f>
        <v/>
      </c>
      <c r="H263" s="137"/>
      <c r="I263" s="58" t="str" cm="1">
        <f>IFERROR(INDEX(List_Predictors, INDEX(Array_PredictorsLookup,MATCH($A263,List_PredictorFacilities,0),(COLUMN()-1)/2), 1),"")</f>
        <v/>
      </c>
      <c r="J263" s="137"/>
      <c r="K263" s="58" t="str" cm="1">
        <f>IFERROR(INDEX(List_Predictors, INDEX(Array_PredictorsLookup,MATCH($A263,List_PredictorFacilities,0),(COLUMN()-1)/2), 1),"")</f>
        <v/>
      </c>
      <c r="L263" s="137"/>
      <c r="M263" s="58" t="str" cm="1">
        <f>IFERROR(INDEX(List_Predictors, INDEX(Array_PredictorsLookup,MATCH($A263,List_PredictorFacilities,0),(COLUMN()-1)/2), 1),"")</f>
        <v/>
      </c>
      <c r="N263" s="137"/>
      <c r="O263" s="58" t="str" cm="1">
        <f>IFERROR(INDEX(List_Predictors, INDEX(Array_PredictorsLookup,MATCH($A263,List_PredictorFacilities,0),(COLUMN()-1)/2), 1),"")</f>
        <v/>
      </c>
      <c r="P263" s="137"/>
      <c r="Q263" s="58" t="str" cm="1">
        <f>IFERROR(INDEX(List_Predictors, INDEX(Array_PredictorsLookup,MATCH($A263,List_PredictorFacilities,0),(COLUMN()-1)/2), 1),"")</f>
        <v/>
      </c>
      <c r="R263" s="137"/>
      <c r="S263" s="58" t="str" cm="1">
        <f>IFERROR(INDEX(List_Predictors, INDEX(Array_PredictorsLookup,MATCH($A263,List_PredictorFacilities,0),(COLUMN()-1)/2), 1),"")</f>
        <v/>
      </c>
      <c r="T263" s="137"/>
      <c r="U263" s="58" t="str" cm="1">
        <f>IFERROR(INDEX(List_Predictors, INDEX(Array_PredictorsLookup,MATCH($A263,List_PredictorFacilities,0),(COLUMN()-1)/2), 1),"")</f>
        <v/>
      </c>
      <c r="V263" s="137"/>
      <c r="W263" s="58" t="str" cm="1">
        <f>IFERROR(INDEX(List_Predictors, INDEX(Array_PredictorsLookup,MATCH($A263,List_PredictorFacilities,0),(COLUMN()-1)/2), 1),"")</f>
        <v/>
      </c>
      <c r="X263" s="137"/>
      <c r="Y263" s="58" t="str" cm="1">
        <f>IFERROR(INDEX(List_Predictors, INDEX(Array_PredictorsLookup,MATCH($A263,List_PredictorFacilities,0),(COLUMN()-1)/2), 1),"")</f>
        <v/>
      </c>
      <c r="Z263" s="137"/>
      <c r="AA263" s="58" t="str" cm="1">
        <f>IFERROR(INDEX(List_Predictors, INDEX(Array_PredictorsLookup,MATCH($A263,List_PredictorFacilities,0),(COLUMN()-1)/2), 1),"")</f>
        <v/>
      </c>
      <c r="AB263" s="137"/>
      <c r="AC263" s="58" t="str" cm="1">
        <f>IFERROR(INDEX(List_Predictors, INDEX(Array_PredictorsLookup,MATCH($A263,List_PredictorFacilities,0),(COLUMN()-1)/2), 1),"")</f>
        <v/>
      </c>
      <c r="AD263" s="137"/>
      <c r="AE263" s="58" t="str" cm="1">
        <f>IFERROR(INDEX(List_Predictors, INDEX(Array_PredictorsLookup,MATCH($A263,List_PredictorFacilities,0),(COLUMN()-1)/2), 1),"")</f>
        <v/>
      </c>
      <c r="AF263" s="137"/>
    </row>
    <row r="264" spans="1:32" x14ac:dyDescent="0.3">
      <c r="A264" s="126"/>
      <c r="B264" s="141"/>
      <c r="C264" s="58" t="str" cm="1">
        <f>IFERROR(INDEX(List_Predictors, INDEX(Array_PredictorsLookup,MATCH($A264,List_PredictorFacilities,0),(COLUMN()-1)/2), 1),"")</f>
        <v/>
      </c>
      <c r="D264" s="137"/>
      <c r="E264" s="58" t="str" cm="1">
        <f>IFERROR(INDEX(List_Predictors, INDEX(Array_PredictorsLookup,MATCH($A264,List_PredictorFacilities,0),(COLUMN()-1)/2), 1),"")</f>
        <v/>
      </c>
      <c r="F264" s="137"/>
      <c r="G264" s="58" t="str" cm="1">
        <f>IFERROR(INDEX(List_Predictors, INDEX(Array_PredictorsLookup,MATCH($A264,List_PredictorFacilities,0),(COLUMN()-1)/2), 1),"")</f>
        <v/>
      </c>
      <c r="H264" s="137"/>
      <c r="I264" s="58" t="str" cm="1">
        <f>IFERROR(INDEX(List_Predictors, INDEX(Array_PredictorsLookup,MATCH($A264,List_PredictorFacilities,0),(COLUMN()-1)/2), 1),"")</f>
        <v/>
      </c>
      <c r="J264" s="137"/>
      <c r="K264" s="58" t="str" cm="1">
        <f>IFERROR(INDEX(List_Predictors, INDEX(Array_PredictorsLookup,MATCH($A264,List_PredictorFacilities,0),(COLUMN()-1)/2), 1),"")</f>
        <v/>
      </c>
      <c r="L264" s="137"/>
      <c r="M264" s="58" t="str" cm="1">
        <f>IFERROR(INDEX(List_Predictors, INDEX(Array_PredictorsLookup,MATCH($A264,List_PredictorFacilities,0),(COLUMN()-1)/2), 1),"")</f>
        <v/>
      </c>
      <c r="N264" s="137"/>
      <c r="O264" s="58" t="str" cm="1">
        <f>IFERROR(INDEX(List_Predictors, INDEX(Array_PredictorsLookup,MATCH($A264,List_PredictorFacilities,0),(COLUMN()-1)/2), 1),"")</f>
        <v/>
      </c>
      <c r="P264" s="137"/>
      <c r="Q264" s="58" t="str" cm="1">
        <f>IFERROR(INDEX(List_Predictors, INDEX(Array_PredictorsLookup,MATCH($A264,List_PredictorFacilities,0),(COLUMN()-1)/2), 1),"")</f>
        <v/>
      </c>
      <c r="R264" s="137"/>
      <c r="S264" s="58" t="str" cm="1">
        <f>IFERROR(INDEX(List_Predictors, INDEX(Array_PredictorsLookup,MATCH($A264,List_PredictorFacilities,0),(COLUMN()-1)/2), 1),"")</f>
        <v/>
      </c>
      <c r="T264" s="137"/>
      <c r="U264" s="58" t="str" cm="1">
        <f>IFERROR(INDEX(List_Predictors, INDEX(Array_PredictorsLookup,MATCH($A264,List_PredictorFacilities,0),(COLUMN()-1)/2), 1),"")</f>
        <v/>
      </c>
      <c r="V264" s="137"/>
      <c r="W264" s="58" t="str" cm="1">
        <f>IFERROR(INDEX(List_Predictors, INDEX(Array_PredictorsLookup,MATCH($A264,List_PredictorFacilities,0),(COLUMN()-1)/2), 1),"")</f>
        <v/>
      </c>
      <c r="X264" s="137"/>
      <c r="Y264" s="58" t="str" cm="1">
        <f>IFERROR(INDEX(List_Predictors, INDEX(Array_PredictorsLookup,MATCH($A264,List_PredictorFacilities,0),(COLUMN()-1)/2), 1),"")</f>
        <v/>
      </c>
      <c r="Z264" s="137"/>
      <c r="AA264" s="58" t="str" cm="1">
        <f>IFERROR(INDEX(List_Predictors, INDEX(Array_PredictorsLookup,MATCH($A264,List_PredictorFacilities,0),(COLUMN()-1)/2), 1),"")</f>
        <v/>
      </c>
      <c r="AB264" s="137"/>
      <c r="AC264" s="58" t="str" cm="1">
        <f>IFERROR(INDEX(List_Predictors, INDEX(Array_PredictorsLookup,MATCH($A264,List_PredictorFacilities,0),(COLUMN()-1)/2), 1),"")</f>
        <v/>
      </c>
      <c r="AD264" s="137"/>
      <c r="AE264" s="58" t="str" cm="1">
        <f>IFERROR(INDEX(List_Predictors, INDEX(Array_PredictorsLookup,MATCH($A264,List_PredictorFacilities,0),(COLUMN()-1)/2), 1),"")</f>
        <v/>
      </c>
      <c r="AF264" s="137"/>
    </row>
    <row r="265" spans="1:32" x14ac:dyDescent="0.3">
      <c r="A265" s="126"/>
      <c r="B265" s="141"/>
      <c r="C265" s="58" t="str" cm="1">
        <f>IFERROR(INDEX(List_Predictors, INDEX(Array_PredictorsLookup,MATCH($A265,List_PredictorFacilities,0),(COLUMN()-1)/2), 1),"")</f>
        <v/>
      </c>
      <c r="D265" s="137"/>
      <c r="E265" s="58" t="str" cm="1">
        <f>IFERROR(INDEX(List_Predictors, INDEX(Array_PredictorsLookup,MATCH($A265,List_PredictorFacilities,0),(COLUMN()-1)/2), 1),"")</f>
        <v/>
      </c>
      <c r="F265" s="137"/>
      <c r="G265" s="58" t="str" cm="1">
        <f>IFERROR(INDEX(List_Predictors, INDEX(Array_PredictorsLookup,MATCH($A265,List_PredictorFacilities,0),(COLUMN()-1)/2), 1),"")</f>
        <v/>
      </c>
      <c r="H265" s="137"/>
      <c r="I265" s="58" t="str" cm="1">
        <f>IFERROR(INDEX(List_Predictors, INDEX(Array_PredictorsLookup,MATCH($A265,List_PredictorFacilities,0),(COLUMN()-1)/2), 1),"")</f>
        <v/>
      </c>
      <c r="J265" s="137"/>
      <c r="K265" s="58" t="str" cm="1">
        <f>IFERROR(INDEX(List_Predictors, INDEX(Array_PredictorsLookup,MATCH($A265,List_PredictorFacilities,0),(COLUMN()-1)/2), 1),"")</f>
        <v/>
      </c>
      <c r="L265" s="137"/>
      <c r="M265" s="58" t="str" cm="1">
        <f>IFERROR(INDEX(List_Predictors, INDEX(Array_PredictorsLookup,MATCH($A265,List_PredictorFacilities,0),(COLUMN()-1)/2), 1),"")</f>
        <v/>
      </c>
      <c r="N265" s="137"/>
      <c r="O265" s="58" t="str" cm="1">
        <f>IFERROR(INDEX(List_Predictors, INDEX(Array_PredictorsLookup,MATCH($A265,List_PredictorFacilities,0),(COLUMN()-1)/2), 1),"")</f>
        <v/>
      </c>
      <c r="P265" s="137"/>
      <c r="Q265" s="58" t="str" cm="1">
        <f>IFERROR(INDEX(List_Predictors, INDEX(Array_PredictorsLookup,MATCH($A265,List_PredictorFacilities,0),(COLUMN()-1)/2), 1),"")</f>
        <v/>
      </c>
      <c r="R265" s="137"/>
      <c r="S265" s="58" t="str" cm="1">
        <f>IFERROR(INDEX(List_Predictors, INDEX(Array_PredictorsLookup,MATCH($A265,List_PredictorFacilities,0),(COLUMN()-1)/2), 1),"")</f>
        <v/>
      </c>
      <c r="T265" s="137"/>
      <c r="U265" s="58" t="str" cm="1">
        <f>IFERROR(INDEX(List_Predictors, INDEX(Array_PredictorsLookup,MATCH($A265,List_PredictorFacilities,0),(COLUMN()-1)/2), 1),"")</f>
        <v/>
      </c>
      <c r="V265" s="137"/>
      <c r="W265" s="58" t="str" cm="1">
        <f>IFERROR(INDEX(List_Predictors, INDEX(Array_PredictorsLookup,MATCH($A265,List_PredictorFacilities,0),(COLUMN()-1)/2), 1),"")</f>
        <v/>
      </c>
      <c r="X265" s="137"/>
      <c r="Y265" s="58" t="str" cm="1">
        <f>IFERROR(INDEX(List_Predictors, INDEX(Array_PredictorsLookup,MATCH($A265,List_PredictorFacilities,0),(COLUMN()-1)/2), 1),"")</f>
        <v/>
      </c>
      <c r="Z265" s="137"/>
      <c r="AA265" s="58" t="str" cm="1">
        <f>IFERROR(INDEX(List_Predictors, INDEX(Array_PredictorsLookup,MATCH($A265,List_PredictorFacilities,0),(COLUMN()-1)/2), 1),"")</f>
        <v/>
      </c>
      <c r="AB265" s="137"/>
      <c r="AC265" s="58" t="str" cm="1">
        <f>IFERROR(INDEX(List_Predictors, INDEX(Array_PredictorsLookup,MATCH($A265,List_PredictorFacilities,0),(COLUMN()-1)/2), 1),"")</f>
        <v/>
      </c>
      <c r="AD265" s="137"/>
      <c r="AE265" s="58" t="str" cm="1">
        <f>IFERROR(INDEX(List_Predictors, INDEX(Array_PredictorsLookup,MATCH($A265,List_PredictorFacilities,0),(COLUMN()-1)/2), 1),"")</f>
        <v/>
      </c>
      <c r="AF265" s="137"/>
    </row>
    <row r="266" spans="1:32" x14ac:dyDescent="0.3">
      <c r="A266" s="126"/>
      <c r="B266" s="141"/>
      <c r="C266" s="58" t="str" cm="1">
        <f>IFERROR(INDEX(List_Predictors, INDEX(Array_PredictorsLookup,MATCH($A266,List_PredictorFacilities,0),(COLUMN()-1)/2), 1),"")</f>
        <v/>
      </c>
      <c r="D266" s="137"/>
      <c r="E266" s="58" t="str" cm="1">
        <f>IFERROR(INDEX(List_Predictors, INDEX(Array_PredictorsLookup,MATCH($A266,List_PredictorFacilities,0),(COLUMN()-1)/2), 1),"")</f>
        <v/>
      </c>
      <c r="F266" s="137"/>
      <c r="G266" s="58" t="str" cm="1">
        <f>IFERROR(INDEX(List_Predictors, INDEX(Array_PredictorsLookup,MATCH($A266,List_PredictorFacilities,0),(COLUMN()-1)/2), 1),"")</f>
        <v/>
      </c>
      <c r="H266" s="137"/>
      <c r="I266" s="58" t="str" cm="1">
        <f>IFERROR(INDEX(List_Predictors, INDEX(Array_PredictorsLookup,MATCH($A266,List_PredictorFacilities,0),(COLUMN()-1)/2), 1),"")</f>
        <v/>
      </c>
      <c r="J266" s="137"/>
      <c r="K266" s="58" t="str" cm="1">
        <f>IFERROR(INDEX(List_Predictors, INDEX(Array_PredictorsLookup,MATCH($A266,List_PredictorFacilities,0),(COLUMN()-1)/2), 1),"")</f>
        <v/>
      </c>
      <c r="L266" s="137"/>
      <c r="M266" s="58" t="str" cm="1">
        <f>IFERROR(INDEX(List_Predictors, INDEX(Array_PredictorsLookup,MATCH($A266,List_PredictorFacilities,0),(COLUMN()-1)/2), 1),"")</f>
        <v/>
      </c>
      <c r="N266" s="137"/>
      <c r="O266" s="58" t="str" cm="1">
        <f>IFERROR(INDEX(List_Predictors, INDEX(Array_PredictorsLookup,MATCH($A266,List_PredictorFacilities,0),(COLUMN()-1)/2), 1),"")</f>
        <v/>
      </c>
      <c r="P266" s="137"/>
      <c r="Q266" s="58" t="str" cm="1">
        <f>IFERROR(INDEX(List_Predictors, INDEX(Array_PredictorsLookup,MATCH($A266,List_PredictorFacilities,0),(COLUMN()-1)/2), 1),"")</f>
        <v/>
      </c>
      <c r="R266" s="137"/>
      <c r="S266" s="58" t="str" cm="1">
        <f>IFERROR(INDEX(List_Predictors, INDEX(Array_PredictorsLookup,MATCH($A266,List_PredictorFacilities,0),(COLUMN()-1)/2), 1),"")</f>
        <v/>
      </c>
      <c r="T266" s="137"/>
      <c r="U266" s="58" t="str" cm="1">
        <f>IFERROR(INDEX(List_Predictors, INDEX(Array_PredictorsLookup,MATCH($A266,List_PredictorFacilities,0),(COLUMN()-1)/2), 1),"")</f>
        <v/>
      </c>
      <c r="V266" s="137"/>
      <c r="W266" s="58" t="str" cm="1">
        <f>IFERROR(INDEX(List_Predictors, INDEX(Array_PredictorsLookup,MATCH($A266,List_PredictorFacilities,0),(COLUMN()-1)/2), 1),"")</f>
        <v/>
      </c>
      <c r="X266" s="137"/>
      <c r="Y266" s="58" t="str" cm="1">
        <f>IFERROR(INDEX(List_Predictors, INDEX(Array_PredictorsLookup,MATCH($A266,List_PredictorFacilities,0),(COLUMN()-1)/2), 1),"")</f>
        <v/>
      </c>
      <c r="Z266" s="137"/>
      <c r="AA266" s="58" t="str" cm="1">
        <f>IFERROR(INDEX(List_Predictors, INDEX(Array_PredictorsLookup,MATCH($A266,List_PredictorFacilities,0),(COLUMN()-1)/2), 1),"")</f>
        <v/>
      </c>
      <c r="AB266" s="137"/>
      <c r="AC266" s="58" t="str" cm="1">
        <f>IFERROR(INDEX(List_Predictors, INDEX(Array_PredictorsLookup,MATCH($A266,List_PredictorFacilities,0),(COLUMN()-1)/2), 1),"")</f>
        <v/>
      </c>
      <c r="AD266" s="137"/>
      <c r="AE266" s="58" t="str" cm="1">
        <f>IFERROR(INDEX(List_Predictors, INDEX(Array_PredictorsLookup,MATCH($A266,List_PredictorFacilities,0),(COLUMN()-1)/2), 1),"")</f>
        <v/>
      </c>
      <c r="AF266" s="137"/>
    </row>
    <row r="267" spans="1:32" x14ac:dyDescent="0.3">
      <c r="A267" s="126"/>
      <c r="B267" s="141"/>
      <c r="C267" s="58" t="str" cm="1">
        <f>IFERROR(INDEX(List_Predictors, INDEX(Array_PredictorsLookup,MATCH($A267,List_PredictorFacilities,0),(COLUMN()-1)/2), 1),"")</f>
        <v/>
      </c>
      <c r="D267" s="137"/>
      <c r="E267" s="58" t="str" cm="1">
        <f>IFERROR(INDEX(List_Predictors, INDEX(Array_PredictorsLookup,MATCH($A267,List_PredictorFacilities,0),(COLUMN()-1)/2), 1),"")</f>
        <v/>
      </c>
      <c r="F267" s="137"/>
      <c r="G267" s="58" t="str" cm="1">
        <f>IFERROR(INDEX(List_Predictors, INDEX(Array_PredictorsLookup,MATCH($A267,List_PredictorFacilities,0),(COLUMN()-1)/2), 1),"")</f>
        <v/>
      </c>
      <c r="H267" s="137"/>
      <c r="I267" s="58" t="str" cm="1">
        <f>IFERROR(INDEX(List_Predictors, INDEX(Array_PredictorsLookup,MATCH($A267,List_PredictorFacilities,0),(COLUMN()-1)/2), 1),"")</f>
        <v/>
      </c>
      <c r="J267" s="137"/>
      <c r="K267" s="58" t="str" cm="1">
        <f>IFERROR(INDEX(List_Predictors, INDEX(Array_PredictorsLookup,MATCH($A267,List_PredictorFacilities,0),(COLUMN()-1)/2), 1),"")</f>
        <v/>
      </c>
      <c r="L267" s="137"/>
      <c r="M267" s="58" t="str" cm="1">
        <f>IFERROR(INDEX(List_Predictors, INDEX(Array_PredictorsLookup,MATCH($A267,List_PredictorFacilities,0),(COLUMN()-1)/2), 1),"")</f>
        <v/>
      </c>
      <c r="N267" s="137"/>
      <c r="O267" s="58" t="str" cm="1">
        <f>IFERROR(INDEX(List_Predictors, INDEX(Array_PredictorsLookup,MATCH($A267,List_PredictorFacilities,0),(COLUMN()-1)/2), 1),"")</f>
        <v/>
      </c>
      <c r="P267" s="137"/>
      <c r="Q267" s="58" t="str" cm="1">
        <f>IFERROR(INDEX(List_Predictors, INDEX(Array_PredictorsLookup,MATCH($A267,List_PredictorFacilities,0),(COLUMN()-1)/2), 1),"")</f>
        <v/>
      </c>
      <c r="R267" s="137"/>
      <c r="S267" s="58" t="str" cm="1">
        <f>IFERROR(INDEX(List_Predictors, INDEX(Array_PredictorsLookup,MATCH($A267,List_PredictorFacilities,0),(COLUMN()-1)/2), 1),"")</f>
        <v/>
      </c>
      <c r="T267" s="137"/>
      <c r="U267" s="58" t="str" cm="1">
        <f>IFERROR(INDEX(List_Predictors, INDEX(Array_PredictorsLookup,MATCH($A267,List_PredictorFacilities,0),(COLUMN()-1)/2), 1),"")</f>
        <v/>
      </c>
      <c r="V267" s="137"/>
      <c r="W267" s="58" t="str" cm="1">
        <f>IFERROR(INDEX(List_Predictors, INDEX(Array_PredictorsLookup,MATCH($A267,List_PredictorFacilities,0),(COLUMN()-1)/2), 1),"")</f>
        <v/>
      </c>
      <c r="X267" s="137"/>
      <c r="Y267" s="58" t="str" cm="1">
        <f>IFERROR(INDEX(List_Predictors, INDEX(Array_PredictorsLookup,MATCH($A267,List_PredictorFacilities,0),(COLUMN()-1)/2), 1),"")</f>
        <v/>
      </c>
      <c r="Z267" s="137"/>
      <c r="AA267" s="58" t="str" cm="1">
        <f>IFERROR(INDEX(List_Predictors, INDEX(Array_PredictorsLookup,MATCH($A267,List_PredictorFacilities,0),(COLUMN()-1)/2), 1),"")</f>
        <v/>
      </c>
      <c r="AB267" s="137"/>
      <c r="AC267" s="58" t="str" cm="1">
        <f>IFERROR(INDEX(List_Predictors, INDEX(Array_PredictorsLookup,MATCH($A267,List_PredictorFacilities,0),(COLUMN()-1)/2), 1),"")</f>
        <v/>
      </c>
      <c r="AD267" s="137"/>
      <c r="AE267" s="58" t="str" cm="1">
        <f>IFERROR(INDEX(List_Predictors, INDEX(Array_PredictorsLookup,MATCH($A267,List_PredictorFacilities,0),(COLUMN()-1)/2), 1),"")</f>
        <v/>
      </c>
      <c r="AF267" s="137"/>
    </row>
    <row r="268" spans="1:32" x14ac:dyDescent="0.3">
      <c r="A268" s="126"/>
      <c r="B268" s="141"/>
      <c r="C268" s="58" t="str" cm="1">
        <f>IFERROR(INDEX(List_Predictors, INDEX(Array_PredictorsLookup,MATCH($A268,List_PredictorFacilities,0),(COLUMN()-1)/2), 1),"")</f>
        <v/>
      </c>
      <c r="D268" s="137"/>
      <c r="E268" s="58" t="str" cm="1">
        <f>IFERROR(INDEX(List_Predictors, INDEX(Array_PredictorsLookup,MATCH($A268,List_PredictorFacilities,0),(COLUMN()-1)/2), 1),"")</f>
        <v/>
      </c>
      <c r="F268" s="137"/>
      <c r="G268" s="58" t="str" cm="1">
        <f>IFERROR(INDEX(List_Predictors, INDEX(Array_PredictorsLookup,MATCH($A268,List_PredictorFacilities,0),(COLUMN()-1)/2), 1),"")</f>
        <v/>
      </c>
      <c r="H268" s="137"/>
      <c r="I268" s="58" t="str" cm="1">
        <f>IFERROR(INDEX(List_Predictors, INDEX(Array_PredictorsLookup,MATCH($A268,List_PredictorFacilities,0),(COLUMN()-1)/2), 1),"")</f>
        <v/>
      </c>
      <c r="J268" s="137"/>
      <c r="K268" s="58" t="str" cm="1">
        <f>IFERROR(INDEX(List_Predictors, INDEX(Array_PredictorsLookup,MATCH($A268,List_PredictorFacilities,0),(COLUMN()-1)/2), 1),"")</f>
        <v/>
      </c>
      <c r="L268" s="137"/>
      <c r="M268" s="58" t="str" cm="1">
        <f>IFERROR(INDEX(List_Predictors, INDEX(Array_PredictorsLookup,MATCH($A268,List_PredictorFacilities,0),(COLUMN()-1)/2), 1),"")</f>
        <v/>
      </c>
      <c r="N268" s="137"/>
      <c r="O268" s="58" t="str" cm="1">
        <f>IFERROR(INDEX(List_Predictors, INDEX(Array_PredictorsLookup,MATCH($A268,List_PredictorFacilities,0),(COLUMN()-1)/2), 1),"")</f>
        <v/>
      </c>
      <c r="P268" s="137"/>
      <c r="Q268" s="58" t="str" cm="1">
        <f>IFERROR(INDEX(List_Predictors, INDEX(Array_PredictorsLookup,MATCH($A268,List_PredictorFacilities,0),(COLUMN()-1)/2), 1),"")</f>
        <v/>
      </c>
      <c r="R268" s="137"/>
      <c r="S268" s="58" t="str" cm="1">
        <f>IFERROR(INDEX(List_Predictors, INDEX(Array_PredictorsLookup,MATCH($A268,List_PredictorFacilities,0),(COLUMN()-1)/2), 1),"")</f>
        <v/>
      </c>
      <c r="T268" s="137"/>
      <c r="U268" s="58" t="str" cm="1">
        <f>IFERROR(INDEX(List_Predictors, INDEX(Array_PredictorsLookup,MATCH($A268,List_PredictorFacilities,0),(COLUMN()-1)/2), 1),"")</f>
        <v/>
      </c>
      <c r="V268" s="137"/>
      <c r="W268" s="58" t="str" cm="1">
        <f>IFERROR(INDEX(List_Predictors, INDEX(Array_PredictorsLookup,MATCH($A268,List_PredictorFacilities,0),(COLUMN()-1)/2), 1),"")</f>
        <v/>
      </c>
      <c r="X268" s="137"/>
      <c r="Y268" s="58" t="str" cm="1">
        <f>IFERROR(INDEX(List_Predictors, INDEX(Array_PredictorsLookup,MATCH($A268,List_PredictorFacilities,0),(COLUMN()-1)/2), 1),"")</f>
        <v/>
      </c>
      <c r="Z268" s="137"/>
      <c r="AA268" s="58" t="str" cm="1">
        <f>IFERROR(INDEX(List_Predictors, INDEX(Array_PredictorsLookup,MATCH($A268,List_PredictorFacilities,0),(COLUMN()-1)/2), 1),"")</f>
        <v/>
      </c>
      <c r="AB268" s="137"/>
      <c r="AC268" s="58" t="str" cm="1">
        <f>IFERROR(INDEX(List_Predictors, INDEX(Array_PredictorsLookup,MATCH($A268,List_PredictorFacilities,0),(COLUMN()-1)/2), 1),"")</f>
        <v/>
      </c>
      <c r="AD268" s="137"/>
      <c r="AE268" s="58" t="str" cm="1">
        <f>IFERROR(INDEX(List_Predictors, INDEX(Array_PredictorsLookup,MATCH($A268,List_PredictorFacilities,0),(COLUMN()-1)/2), 1),"")</f>
        <v/>
      </c>
      <c r="AF268" s="137"/>
    </row>
    <row r="269" spans="1:32" x14ac:dyDescent="0.3">
      <c r="A269" s="126"/>
      <c r="B269" s="141"/>
      <c r="C269" s="58" t="str" cm="1">
        <f>IFERROR(INDEX(List_Predictors, INDEX(Array_PredictorsLookup,MATCH($A269,List_PredictorFacilities,0),(COLUMN()-1)/2), 1),"")</f>
        <v/>
      </c>
      <c r="D269" s="137"/>
      <c r="E269" s="58" t="str" cm="1">
        <f>IFERROR(INDEX(List_Predictors, INDEX(Array_PredictorsLookup,MATCH($A269,List_PredictorFacilities,0),(COLUMN()-1)/2), 1),"")</f>
        <v/>
      </c>
      <c r="F269" s="137"/>
      <c r="G269" s="58" t="str" cm="1">
        <f>IFERROR(INDEX(List_Predictors, INDEX(Array_PredictorsLookup,MATCH($A269,List_PredictorFacilities,0),(COLUMN()-1)/2), 1),"")</f>
        <v/>
      </c>
      <c r="H269" s="137"/>
      <c r="I269" s="58" t="str" cm="1">
        <f>IFERROR(INDEX(List_Predictors, INDEX(Array_PredictorsLookup,MATCH($A269,List_PredictorFacilities,0),(COLUMN()-1)/2), 1),"")</f>
        <v/>
      </c>
      <c r="J269" s="137"/>
      <c r="K269" s="58" t="str" cm="1">
        <f>IFERROR(INDEX(List_Predictors, INDEX(Array_PredictorsLookup,MATCH($A269,List_PredictorFacilities,0),(COLUMN()-1)/2), 1),"")</f>
        <v/>
      </c>
      <c r="L269" s="137"/>
      <c r="M269" s="58" t="str" cm="1">
        <f>IFERROR(INDEX(List_Predictors, INDEX(Array_PredictorsLookup,MATCH($A269,List_PredictorFacilities,0),(COLUMN()-1)/2), 1),"")</f>
        <v/>
      </c>
      <c r="N269" s="137"/>
      <c r="O269" s="58" t="str" cm="1">
        <f>IFERROR(INDEX(List_Predictors, INDEX(Array_PredictorsLookup,MATCH($A269,List_PredictorFacilities,0),(COLUMN()-1)/2), 1),"")</f>
        <v/>
      </c>
      <c r="P269" s="137"/>
      <c r="Q269" s="58" t="str" cm="1">
        <f>IFERROR(INDEX(List_Predictors, INDEX(Array_PredictorsLookup,MATCH($A269,List_PredictorFacilities,0),(COLUMN()-1)/2), 1),"")</f>
        <v/>
      </c>
      <c r="R269" s="137"/>
      <c r="S269" s="58" t="str" cm="1">
        <f>IFERROR(INDEX(List_Predictors, INDEX(Array_PredictorsLookup,MATCH($A269,List_PredictorFacilities,0),(COLUMN()-1)/2), 1),"")</f>
        <v/>
      </c>
      <c r="T269" s="137"/>
      <c r="U269" s="58" t="str" cm="1">
        <f>IFERROR(INDEX(List_Predictors, INDEX(Array_PredictorsLookup,MATCH($A269,List_PredictorFacilities,0),(COLUMN()-1)/2), 1),"")</f>
        <v/>
      </c>
      <c r="V269" s="137"/>
      <c r="W269" s="58" t="str" cm="1">
        <f>IFERROR(INDEX(List_Predictors, INDEX(Array_PredictorsLookup,MATCH($A269,List_PredictorFacilities,0),(COLUMN()-1)/2), 1),"")</f>
        <v/>
      </c>
      <c r="X269" s="137"/>
      <c r="Y269" s="58" t="str" cm="1">
        <f>IFERROR(INDEX(List_Predictors, INDEX(Array_PredictorsLookup,MATCH($A269,List_PredictorFacilities,0),(COLUMN()-1)/2), 1),"")</f>
        <v/>
      </c>
      <c r="Z269" s="137"/>
      <c r="AA269" s="58" t="str" cm="1">
        <f>IFERROR(INDEX(List_Predictors, INDEX(Array_PredictorsLookup,MATCH($A269,List_PredictorFacilities,0),(COLUMN()-1)/2), 1),"")</f>
        <v/>
      </c>
      <c r="AB269" s="137"/>
      <c r="AC269" s="58" t="str" cm="1">
        <f>IFERROR(INDEX(List_Predictors, INDEX(Array_PredictorsLookup,MATCH($A269,List_PredictorFacilities,0),(COLUMN()-1)/2), 1),"")</f>
        <v/>
      </c>
      <c r="AD269" s="137"/>
      <c r="AE269" s="58" t="str" cm="1">
        <f>IFERROR(INDEX(List_Predictors, INDEX(Array_PredictorsLookup,MATCH($A269,List_PredictorFacilities,0),(COLUMN()-1)/2), 1),"")</f>
        <v/>
      </c>
      <c r="AF269" s="137"/>
    </row>
    <row r="270" spans="1:32" x14ac:dyDescent="0.3">
      <c r="A270" s="126"/>
      <c r="B270" s="141"/>
      <c r="C270" s="58" t="str" cm="1">
        <f>IFERROR(INDEX(List_Predictors, INDEX(Array_PredictorsLookup,MATCH($A270,List_PredictorFacilities,0),(COLUMN()-1)/2), 1),"")</f>
        <v/>
      </c>
      <c r="D270" s="137"/>
      <c r="E270" s="58" t="str" cm="1">
        <f>IFERROR(INDEX(List_Predictors, INDEX(Array_PredictorsLookup,MATCH($A270,List_PredictorFacilities,0),(COLUMN()-1)/2), 1),"")</f>
        <v/>
      </c>
      <c r="F270" s="137"/>
      <c r="G270" s="58" t="str" cm="1">
        <f>IFERROR(INDEX(List_Predictors, INDEX(Array_PredictorsLookup,MATCH($A270,List_PredictorFacilities,0),(COLUMN()-1)/2), 1),"")</f>
        <v/>
      </c>
      <c r="H270" s="137"/>
      <c r="I270" s="58" t="str" cm="1">
        <f>IFERROR(INDEX(List_Predictors, INDEX(Array_PredictorsLookup,MATCH($A270,List_PredictorFacilities,0),(COLUMN()-1)/2), 1),"")</f>
        <v/>
      </c>
      <c r="J270" s="137"/>
      <c r="K270" s="58" t="str" cm="1">
        <f>IFERROR(INDEX(List_Predictors, INDEX(Array_PredictorsLookup,MATCH($A270,List_PredictorFacilities,0),(COLUMN()-1)/2), 1),"")</f>
        <v/>
      </c>
      <c r="L270" s="137"/>
      <c r="M270" s="58" t="str" cm="1">
        <f>IFERROR(INDEX(List_Predictors, INDEX(Array_PredictorsLookup,MATCH($A270,List_PredictorFacilities,0),(COLUMN()-1)/2), 1),"")</f>
        <v/>
      </c>
      <c r="N270" s="137"/>
      <c r="O270" s="58" t="str" cm="1">
        <f>IFERROR(INDEX(List_Predictors, INDEX(Array_PredictorsLookup,MATCH($A270,List_PredictorFacilities,0),(COLUMN()-1)/2), 1),"")</f>
        <v/>
      </c>
      <c r="P270" s="137"/>
      <c r="Q270" s="58" t="str" cm="1">
        <f>IFERROR(INDEX(List_Predictors, INDEX(Array_PredictorsLookup,MATCH($A270,List_PredictorFacilities,0),(COLUMN()-1)/2), 1),"")</f>
        <v/>
      </c>
      <c r="R270" s="137"/>
      <c r="S270" s="58" t="str" cm="1">
        <f>IFERROR(INDEX(List_Predictors, INDEX(Array_PredictorsLookup,MATCH($A270,List_PredictorFacilities,0),(COLUMN()-1)/2), 1),"")</f>
        <v/>
      </c>
      <c r="T270" s="137"/>
      <c r="U270" s="58" t="str" cm="1">
        <f>IFERROR(INDEX(List_Predictors, INDEX(Array_PredictorsLookup,MATCH($A270,List_PredictorFacilities,0),(COLUMN()-1)/2), 1),"")</f>
        <v/>
      </c>
      <c r="V270" s="137"/>
      <c r="W270" s="58" t="str" cm="1">
        <f>IFERROR(INDEX(List_Predictors, INDEX(Array_PredictorsLookup,MATCH($A270,List_PredictorFacilities,0),(COLUMN()-1)/2), 1),"")</f>
        <v/>
      </c>
      <c r="X270" s="137"/>
      <c r="Y270" s="58" t="str" cm="1">
        <f>IFERROR(INDEX(List_Predictors, INDEX(Array_PredictorsLookup,MATCH($A270,List_PredictorFacilities,0),(COLUMN()-1)/2), 1),"")</f>
        <v/>
      </c>
      <c r="Z270" s="137"/>
      <c r="AA270" s="58" t="str" cm="1">
        <f>IFERROR(INDEX(List_Predictors, INDEX(Array_PredictorsLookup,MATCH($A270,List_PredictorFacilities,0),(COLUMN()-1)/2), 1),"")</f>
        <v/>
      </c>
      <c r="AB270" s="137"/>
      <c r="AC270" s="58" t="str" cm="1">
        <f>IFERROR(INDEX(List_Predictors, INDEX(Array_PredictorsLookup,MATCH($A270,List_PredictorFacilities,0),(COLUMN()-1)/2), 1),"")</f>
        <v/>
      </c>
      <c r="AD270" s="137"/>
      <c r="AE270" s="58" t="str" cm="1">
        <f>IFERROR(INDEX(List_Predictors, INDEX(Array_PredictorsLookup,MATCH($A270,List_PredictorFacilities,0),(COLUMN()-1)/2), 1),"")</f>
        <v/>
      </c>
      <c r="AF270" s="137"/>
    </row>
    <row r="271" spans="1:32" x14ac:dyDescent="0.3">
      <c r="A271" s="126"/>
      <c r="B271" s="141"/>
      <c r="C271" s="58" t="str" cm="1">
        <f>IFERROR(INDEX(List_Predictors, INDEX(Array_PredictorsLookup,MATCH($A271,List_PredictorFacilities,0),(COLUMN()-1)/2), 1),"")</f>
        <v/>
      </c>
      <c r="D271" s="137"/>
      <c r="E271" s="58" t="str" cm="1">
        <f>IFERROR(INDEX(List_Predictors, INDEX(Array_PredictorsLookup,MATCH($A271,List_PredictorFacilities,0),(COLUMN()-1)/2), 1),"")</f>
        <v/>
      </c>
      <c r="F271" s="137"/>
      <c r="G271" s="58" t="str" cm="1">
        <f>IFERROR(INDEX(List_Predictors, INDEX(Array_PredictorsLookup,MATCH($A271,List_PredictorFacilities,0),(COLUMN()-1)/2), 1),"")</f>
        <v/>
      </c>
      <c r="H271" s="137"/>
      <c r="I271" s="58" t="str" cm="1">
        <f>IFERROR(INDEX(List_Predictors, INDEX(Array_PredictorsLookup,MATCH($A271,List_PredictorFacilities,0),(COLUMN()-1)/2), 1),"")</f>
        <v/>
      </c>
      <c r="J271" s="137"/>
      <c r="K271" s="58" t="str" cm="1">
        <f>IFERROR(INDEX(List_Predictors, INDEX(Array_PredictorsLookup,MATCH($A271,List_PredictorFacilities,0),(COLUMN()-1)/2), 1),"")</f>
        <v/>
      </c>
      <c r="L271" s="137"/>
      <c r="M271" s="58" t="str" cm="1">
        <f>IFERROR(INDEX(List_Predictors, INDEX(Array_PredictorsLookup,MATCH($A271,List_PredictorFacilities,0),(COLUMN()-1)/2), 1),"")</f>
        <v/>
      </c>
      <c r="N271" s="137"/>
      <c r="O271" s="58" t="str" cm="1">
        <f>IFERROR(INDEX(List_Predictors, INDEX(Array_PredictorsLookup,MATCH($A271,List_PredictorFacilities,0),(COLUMN()-1)/2), 1),"")</f>
        <v/>
      </c>
      <c r="P271" s="137"/>
      <c r="Q271" s="58" t="str" cm="1">
        <f>IFERROR(INDEX(List_Predictors, INDEX(Array_PredictorsLookup,MATCH($A271,List_PredictorFacilities,0),(COLUMN()-1)/2), 1),"")</f>
        <v/>
      </c>
      <c r="R271" s="137"/>
      <c r="S271" s="58" t="str" cm="1">
        <f>IFERROR(INDEX(List_Predictors, INDEX(Array_PredictorsLookup,MATCH($A271,List_PredictorFacilities,0),(COLUMN()-1)/2), 1),"")</f>
        <v/>
      </c>
      <c r="T271" s="137"/>
      <c r="U271" s="58" t="str" cm="1">
        <f>IFERROR(INDEX(List_Predictors, INDEX(Array_PredictorsLookup,MATCH($A271,List_PredictorFacilities,0),(COLUMN()-1)/2), 1),"")</f>
        <v/>
      </c>
      <c r="V271" s="137"/>
      <c r="W271" s="58" t="str" cm="1">
        <f>IFERROR(INDEX(List_Predictors, INDEX(Array_PredictorsLookup,MATCH($A271,List_PredictorFacilities,0),(COLUMN()-1)/2), 1),"")</f>
        <v/>
      </c>
      <c r="X271" s="137"/>
      <c r="Y271" s="58" t="str" cm="1">
        <f>IFERROR(INDEX(List_Predictors, INDEX(Array_PredictorsLookup,MATCH($A271,List_PredictorFacilities,0),(COLUMN()-1)/2), 1),"")</f>
        <v/>
      </c>
      <c r="Z271" s="137"/>
      <c r="AA271" s="58" t="str" cm="1">
        <f>IFERROR(INDEX(List_Predictors, INDEX(Array_PredictorsLookup,MATCH($A271,List_PredictorFacilities,0),(COLUMN()-1)/2), 1),"")</f>
        <v/>
      </c>
      <c r="AB271" s="137"/>
      <c r="AC271" s="58" t="str" cm="1">
        <f>IFERROR(INDEX(List_Predictors, INDEX(Array_PredictorsLookup,MATCH($A271,List_PredictorFacilities,0),(COLUMN()-1)/2), 1),"")</f>
        <v/>
      </c>
      <c r="AD271" s="137"/>
      <c r="AE271" s="58" t="str" cm="1">
        <f>IFERROR(INDEX(List_Predictors, INDEX(Array_PredictorsLookup,MATCH($A271,List_PredictorFacilities,0),(COLUMN()-1)/2), 1),"")</f>
        <v/>
      </c>
      <c r="AF271" s="137"/>
    </row>
    <row r="272" spans="1:32" x14ac:dyDescent="0.3">
      <c r="A272" s="126"/>
      <c r="B272" s="141"/>
      <c r="C272" s="58" t="str" cm="1">
        <f>IFERROR(INDEX(List_Predictors, INDEX(Array_PredictorsLookup,MATCH($A272,List_PredictorFacilities,0),(COLUMN()-1)/2), 1),"")</f>
        <v/>
      </c>
      <c r="D272" s="137"/>
      <c r="E272" s="58" t="str" cm="1">
        <f>IFERROR(INDEX(List_Predictors, INDEX(Array_PredictorsLookup,MATCH($A272,List_PredictorFacilities,0),(COLUMN()-1)/2), 1),"")</f>
        <v/>
      </c>
      <c r="F272" s="137"/>
      <c r="G272" s="58" t="str" cm="1">
        <f>IFERROR(INDEX(List_Predictors, INDEX(Array_PredictorsLookup,MATCH($A272,List_PredictorFacilities,0),(COLUMN()-1)/2), 1),"")</f>
        <v/>
      </c>
      <c r="H272" s="137"/>
      <c r="I272" s="58" t="str" cm="1">
        <f>IFERROR(INDEX(List_Predictors, INDEX(Array_PredictorsLookup,MATCH($A272,List_PredictorFacilities,0),(COLUMN()-1)/2), 1),"")</f>
        <v/>
      </c>
      <c r="J272" s="137"/>
      <c r="K272" s="58" t="str" cm="1">
        <f>IFERROR(INDEX(List_Predictors, INDEX(Array_PredictorsLookup,MATCH($A272,List_PredictorFacilities,0),(COLUMN()-1)/2), 1),"")</f>
        <v/>
      </c>
      <c r="L272" s="137"/>
      <c r="M272" s="58" t="str" cm="1">
        <f>IFERROR(INDEX(List_Predictors, INDEX(Array_PredictorsLookup,MATCH($A272,List_PredictorFacilities,0),(COLUMN()-1)/2), 1),"")</f>
        <v/>
      </c>
      <c r="N272" s="137"/>
      <c r="O272" s="58" t="str" cm="1">
        <f>IFERROR(INDEX(List_Predictors, INDEX(Array_PredictorsLookup,MATCH($A272,List_PredictorFacilities,0),(COLUMN()-1)/2), 1),"")</f>
        <v/>
      </c>
      <c r="P272" s="137"/>
      <c r="Q272" s="58" t="str" cm="1">
        <f>IFERROR(INDEX(List_Predictors, INDEX(Array_PredictorsLookup,MATCH($A272,List_PredictorFacilities,0),(COLUMN()-1)/2), 1),"")</f>
        <v/>
      </c>
      <c r="R272" s="137"/>
      <c r="S272" s="58" t="str" cm="1">
        <f>IFERROR(INDEX(List_Predictors, INDEX(Array_PredictorsLookup,MATCH($A272,List_PredictorFacilities,0),(COLUMN()-1)/2), 1),"")</f>
        <v/>
      </c>
      <c r="T272" s="137"/>
      <c r="U272" s="58" t="str" cm="1">
        <f>IFERROR(INDEX(List_Predictors, INDEX(Array_PredictorsLookup,MATCH($A272,List_PredictorFacilities,0),(COLUMN()-1)/2), 1),"")</f>
        <v/>
      </c>
      <c r="V272" s="137"/>
      <c r="W272" s="58" t="str" cm="1">
        <f>IFERROR(INDEX(List_Predictors, INDEX(Array_PredictorsLookup,MATCH($A272,List_PredictorFacilities,0),(COLUMN()-1)/2), 1),"")</f>
        <v/>
      </c>
      <c r="X272" s="137"/>
      <c r="Y272" s="58" t="str" cm="1">
        <f>IFERROR(INDEX(List_Predictors, INDEX(Array_PredictorsLookup,MATCH($A272,List_PredictorFacilities,0),(COLUMN()-1)/2), 1),"")</f>
        <v/>
      </c>
      <c r="Z272" s="137"/>
      <c r="AA272" s="58" t="str" cm="1">
        <f>IFERROR(INDEX(List_Predictors, INDEX(Array_PredictorsLookup,MATCH($A272,List_PredictorFacilities,0),(COLUMN()-1)/2), 1),"")</f>
        <v/>
      </c>
      <c r="AB272" s="137"/>
      <c r="AC272" s="58" t="str" cm="1">
        <f>IFERROR(INDEX(List_Predictors, INDEX(Array_PredictorsLookup,MATCH($A272,List_PredictorFacilities,0),(COLUMN()-1)/2), 1),"")</f>
        <v/>
      </c>
      <c r="AD272" s="137"/>
      <c r="AE272" s="58" t="str" cm="1">
        <f>IFERROR(INDEX(List_Predictors, INDEX(Array_PredictorsLookup,MATCH($A272,List_PredictorFacilities,0),(COLUMN()-1)/2), 1),"")</f>
        <v/>
      </c>
      <c r="AF272" s="137"/>
    </row>
    <row r="273" spans="1:32" x14ac:dyDescent="0.3">
      <c r="A273" s="126"/>
      <c r="B273" s="141"/>
      <c r="C273" s="58" t="str" cm="1">
        <f>IFERROR(INDEX(List_Predictors, INDEX(Array_PredictorsLookup,MATCH($A273,List_PredictorFacilities,0),(COLUMN()-1)/2), 1),"")</f>
        <v/>
      </c>
      <c r="D273" s="137"/>
      <c r="E273" s="58" t="str" cm="1">
        <f>IFERROR(INDEX(List_Predictors, INDEX(Array_PredictorsLookup,MATCH($A273,List_PredictorFacilities,0),(COLUMN()-1)/2), 1),"")</f>
        <v/>
      </c>
      <c r="F273" s="137"/>
      <c r="G273" s="58" t="str" cm="1">
        <f>IFERROR(INDEX(List_Predictors, INDEX(Array_PredictorsLookup,MATCH($A273,List_PredictorFacilities,0),(COLUMN()-1)/2), 1),"")</f>
        <v/>
      </c>
      <c r="H273" s="137"/>
      <c r="I273" s="58" t="str" cm="1">
        <f>IFERROR(INDEX(List_Predictors, INDEX(Array_PredictorsLookup,MATCH($A273,List_PredictorFacilities,0),(COLUMN()-1)/2), 1),"")</f>
        <v/>
      </c>
      <c r="J273" s="137"/>
      <c r="K273" s="58" t="str" cm="1">
        <f>IFERROR(INDEX(List_Predictors, INDEX(Array_PredictorsLookup,MATCH($A273,List_PredictorFacilities,0),(COLUMN()-1)/2), 1),"")</f>
        <v/>
      </c>
      <c r="L273" s="137"/>
      <c r="M273" s="58" t="str" cm="1">
        <f>IFERROR(INDEX(List_Predictors, INDEX(Array_PredictorsLookup,MATCH($A273,List_PredictorFacilities,0),(COLUMN()-1)/2), 1),"")</f>
        <v/>
      </c>
      <c r="N273" s="137"/>
      <c r="O273" s="58" t="str" cm="1">
        <f>IFERROR(INDEX(List_Predictors, INDEX(Array_PredictorsLookup,MATCH($A273,List_PredictorFacilities,0),(COLUMN()-1)/2), 1),"")</f>
        <v/>
      </c>
      <c r="P273" s="137"/>
      <c r="Q273" s="58" t="str" cm="1">
        <f>IFERROR(INDEX(List_Predictors, INDEX(Array_PredictorsLookup,MATCH($A273,List_PredictorFacilities,0),(COLUMN()-1)/2), 1),"")</f>
        <v/>
      </c>
      <c r="R273" s="137"/>
      <c r="S273" s="58" t="str" cm="1">
        <f>IFERROR(INDEX(List_Predictors, INDEX(Array_PredictorsLookup,MATCH($A273,List_PredictorFacilities,0),(COLUMN()-1)/2), 1),"")</f>
        <v/>
      </c>
      <c r="T273" s="137"/>
      <c r="U273" s="58" t="str" cm="1">
        <f>IFERROR(INDEX(List_Predictors, INDEX(Array_PredictorsLookup,MATCH($A273,List_PredictorFacilities,0),(COLUMN()-1)/2), 1),"")</f>
        <v/>
      </c>
      <c r="V273" s="137"/>
      <c r="W273" s="58" t="str" cm="1">
        <f>IFERROR(INDEX(List_Predictors, INDEX(Array_PredictorsLookup,MATCH($A273,List_PredictorFacilities,0),(COLUMN()-1)/2), 1),"")</f>
        <v/>
      </c>
      <c r="X273" s="137"/>
      <c r="Y273" s="58" t="str" cm="1">
        <f>IFERROR(INDEX(List_Predictors, INDEX(Array_PredictorsLookup,MATCH($A273,List_PredictorFacilities,0),(COLUMN()-1)/2), 1),"")</f>
        <v/>
      </c>
      <c r="Z273" s="137"/>
      <c r="AA273" s="58" t="str" cm="1">
        <f>IFERROR(INDEX(List_Predictors, INDEX(Array_PredictorsLookup,MATCH($A273,List_PredictorFacilities,0),(COLUMN()-1)/2), 1),"")</f>
        <v/>
      </c>
      <c r="AB273" s="137"/>
      <c r="AC273" s="58" t="str" cm="1">
        <f>IFERROR(INDEX(List_Predictors, INDEX(Array_PredictorsLookup,MATCH($A273,List_PredictorFacilities,0),(COLUMN()-1)/2), 1),"")</f>
        <v/>
      </c>
      <c r="AD273" s="137"/>
      <c r="AE273" s="58" t="str" cm="1">
        <f>IFERROR(INDEX(List_Predictors, INDEX(Array_PredictorsLookup,MATCH($A273,List_PredictorFacilities,0),(COLUMN()-1)/2), 1),"")</f>
        <v/>
      </c>
      <c r="AF273" s="137"/>
    </row>
    <row r="274" spans="1:32" x14ac:dyDescent="0.3">
      <c r="A274" s="126"/>
      <c r="B274" s="141"/>
      <c r="C274" s="58" t="str" cm="1">
        <f>IFERROR(INDEX(List_Predictors, INDEX(Array_PredictorsLookup,MATCH($A274,List_PredictorFacilities,0),(COLUMN()-1)/2), 1),"")</f>
        <v/>
      </c>
      <c r="D274" s="137"/>
      <c r="E274" s="58" t="str" cm="1">
        <f>IFERROR(INDEX(List_Predictors, INDEX(Array_PredictorsLookup,MATCH($A274,List_PredictorFacilities,0),(COLUMN()-1)/2), 1),"")</f>
        <v/>
      </c>
      <c r="F274" s="137"/>
      <c r="G274" s="58" t="str" cm="1">
        <f>IFERROR(INDEX(List_Predictors, INDEX(Array_PredictorsLookup,MATCH($A274,List_PredictorFacilities,0),(COLUMN()-1)/2), 1),"")</f>
        <v/>
      </c>
      <c r="H274" s="137"/>
      <c r="I274" s="58" t="str" cm="1">
        <f>IFERROR(INDEX(List_Predictors, INDEX(Array_PredictorsLookup,MATCH($A274,List_PredictorFacilities,0),(COLUMN()-1)/2), 1),"")</f>
        <v/>
      </c>
      <c r="J274" s="137"/>
      <c r="K274" s="58" t="str" cm="1">
        <f>IFERROR(INDEX(List_Predictors, INDEX(Array_PredictorsLookup,MATCH($A274,List_PredictorFacilities,0),(COLUMN()-1)/2), 1),"")</f>
        <v/>
      </c>
      <c r="L274" s="137"/>
      <c r="M274" s="58" t="str" cm="1">
        <f>IFERROR(INDEX(List_Predictors, INDEX(Array_PredictorsLookup,MATCH($A274,List_PredictorFacilities,0),(COLUMN()-1)/2), 1),"")</f>
        <v/>
      </c>
      <c r="N274" s="137"/>
      <c r="O274" s="58" t="str" cm="1">
        <f>IFERROR(INDEX(List_Predictors, INDEX(Array_PredictorsLookup,MATCH($A274,List_PredictorFacilities,0),(COLUMN()-1)/2), 1),"")</f>
        <v/>
      </c>
      <c r="P274" s="137"/>
      <c r="Q274" s="58" t="str" cm="1">
        <f>IFERROR(INDEX(List_Predictors, INDEX(Array_PredictorsLookup,MATCH($A274,List_PredictorFacilities,0),(COLUMN()-1)/2), 1),"")</f>
        <v/>
      </c>
      <c r="R274" s="137"/>
      <c r="S274" s="58" t="str" cm="1">
        <f>IFERROR(INDEX(List_Predictors, INDEX(Array_PredictorsLookup,MATCH($A274,List_PredictorFacilities,0),(COLUMN()-1)/2), 1),"")</f>
        <v/>
      </c>
      <c r="T274" s="137"/>
      <c r="U274" s="58" t="str" cm="1">
        <f>IFERROR(INDEX(List_Predictors, INDEX(Array_PredictorsLookup,MATCH($A274,List_PredictorFacilities,0),(COLUMN()-1)/2), 1),"")</f>
        <v/>
      </c>
      <c r="V274" s="137"/>
      <c r="W274" s="58" t="str" cm="1">
        <f>IFERROR(INDEX(List_Predictors, INDEX(Array_PredictorsLookup,MATCH($A274,List_PredictorFacilities,0),(COLUMN()-1)/2), 1),"")</f>
        <v/>
      </c>
      <c r="X274" s="137"/>
      <c r="Y274" s="58" t="str" cm="1">
        <f>IFERROR(INDEX(List_Predictors, INDEX(Array_PredictorsLookup,MATCH($A274,List_PredictorFacilities,0),(COLUMN()-1)/2), 1),"")</f>
        <v/>
      </c>
      <c r="Z274" s="137"/>
      <c r="AA274" s="58" t="str" cm="1">
        <f>IFERROR(INDEX(List_Predictors, INDEX(Array_PredictorsLookup,MATCH($A274,List_PredictorFacilities,0),(COLUMN()-1)/2), 1),"")</f>
        <v/>
      </c>
      <c r="AB274" s="137"/>
      <c r="AC274" s="58" t="str" cm="1">
        <f>IFERROR(INDEX(List_Predictors, INDEX(Array_PredictorsLookup,MATCH($A274,List_PredictorFacilities,0),(COLUMN()-1)/2), 1),"")</f>
        <v/>
      </c>
      <c r="AD274" s="137"/>
      <c r="AE274" s="58" t="str" cm="1">
        <f>IFERROR(INDEX(List_Predictors, INDEX(Array_PredictorsLookup,MATCH($A274,List_PredictorFacilities,0),(COLUMN()-1)/2), 1),"")</f>
        <v/>
      </c>
      <c r="AF274" s="137"/>
    </row>
    <row r="275" spans="1:32" x14ac:dyDescent="0.3">
      <c r="A275" s="126"/>
      <c r="B275" s="141"/>
      <c r="C275" s="58" t="str" cm="1">
        <f>IFERROR(INDEX(List_Predictors, INDEX(Array_PredictorsLookup,MATCH($A275,List_PredictorFacilities,0),(COLUMN()-1)/2), 1),"")</f>
        <v/>
      </c>
      <c r="D275" s="137"/>
      <c r="E275" s="58" t="str" cm="1">
        <f>IFERROR(INDEX(List_Predictors, INDEX(Array_PredictorsLookup,MATCH($A275,List_PredictorFacilities,0),(COLUMN()-1)/2), 1),"")</f>
        <v/>
      </c>
      <c r="F275" s="137"/>
      <c r="G275" s="58" t="str" cm="1">
        <f>IFERROR(INDEX(List_Predictors, INDEX(Array_PredictorsLookup,MATCH($A275,List_PredictorFacilities,0),(COLUMN()-1)/2), 1),"")</f>
        <v/>
      </c>
      <c r="H275" s="137"/>
      <c r="I275" s="58" t="str" cm="1">
        <f>IFERROR(INDEX(List_Predictors, INDEX(Array_PredictorsLookup,MATCH($A275,List_PredictorFacilities,0),(COLUMN()-1)/2), 1),"")</f>
        <v/>
      </c>
      <c r="J275" s="137"/>
      <c r="K275" s="58" t="str" cm="1">
        <f>IFERROR(INDEX(List_Predictors, INDEX(Array_PredictorsLookup,MATCH($A275,List_PredictorFacilities,0),(COLUMN()-1)/2), 1),"")</f>
        <v/>
      </c>
      <c r="L275" s="137"/>
      <c r="M275" s="58" t="str" cm="1">
        <f>IFERROR(INDEX(List_Predictors, INDEX(Array_PredictorsLookup,MATCH($A275,List_PredictorFacilities,0),(COLUMN()-1)/2), 1),"")</f>
        <v/>
      </c>
      <c r="N275" s="137"/>
      <c r="O275" s="58" t="str" cm="1">
        <f>IFERROR(INDEX(List_Predictors, INDEX(Array_PredictorsLookup,MATCH($A275,List_PredictorFacilities,0),(COLUMN()-1)/2), 1),"")</f>
        <v/>
      </c>
      <c r="P275" s="137"/>
      <c r="Q275" s="58" t="str" cm="1">
        <f>IFERROR(INDEX(List_Predictors, INDEX(Array_PredictorsLookup,MATCH($A275,List_PredictorFacilities,0),(COLUMN()-1)/2), 1),"")</f>
        <v/>
      </c>
      <c r="R275" s="137"/>
      <c r="S275" s="58" t="str" cm="1">
        <f>IFERROR(INDEX(List_Predictors, INDEX(Array_PredictorsLookup,MATCH($A275,List_PredictorFacilities,0),(COLUMN()-1)/2), 1),"")</f>
        <v/>
      </c>
      <c r="T275" s="137"/>
      <c r="U275" s="58" t="str" cm="1">
        <f>IFERROR(INDEX(List_Predictors, INDEX(Array_PredictorsLookup,MATCH($A275,List_PredictorFacilities,0),(COLUMN()-1)/2), 1),"")</f>
        <v/>
      </c>
      <c r="V275" s="137"/>
      <c r="W275" s="58" t="str" cm="1">
        <f>IFERROR(INDEX(List_Predictors, INDEX(Array_PredictorsLookup,MATCH($A275,List_PredictorFacilities,0),(COLUMN()-1)/2), 1),"")</f>
        <v/>
      </c>
      <c r="X275" s="137"/>
      <c r="Y275" s="58" t="str" cm="1">
        <f>IFERROR(INDEX(List_Predictors, INDEX(Array_PredictorsLookup,MATCH($A275,List_PredictorFacilities,0),(COLUMN()-1)/2), 1),"")</f>
        <v/>
      </c>
      <c r="Z275" s="137"/>
      <c r="AA275" s="58" t="str" cm="1">
        <f>IFERROR(INDEX(List_Predictors, INDEX(Array_PredictorsLookup,MATCH($A275,List_PredictorFacilities,0),(COLUMN()-1)/2), 1),"")</f>
        <v/>
      </c>
      <c r="AB275" s="137"/>
      <c r="AC275" s="58" t="str" cm="1">
        <f>IFERROR(INDEX(List_Predictors, INDEX(Array_PredictorsLookup,MATCH($A275,List_PredictorFacilities,0),(COLUMN()-1)/2), 1),"")</f>
        <v/>
      </c>
      <c r="AD275" s="137"/>
      <c r="AE275" s="58" t="str" cm="1">
        <f>IFERROR(INDEX(List_Predictors, INDEX(Array_PredictorsLookup,MATCH($A275,List_PredictorFacilities,0),(COLUMN()-1)/2), 1),"")</f>
        <v/>
      </c>
      <c r="AF275" s="137"/>
    </row>
    <row r="276" spans="1:32" x14ac:dyDescent="0.3">
      <c r="A276" s="126"/>
      <c r="B276" s="141"/>
      <c r="C276" s="58" t="str" cm="1">
        <f>IFERROR(INDEX(List_Predictors, INDEX(Array_PredictorsLookup,MATCH($A276,List_PredictorFacilities,0),(COLUMN()-1)/2), 1),"")</f>
        <v/>
      </c>
      <c r="D276" s="137"/>
      <c r="E276" s="58" t="str" cm="1">
        <f>IFERROR(INDEX(List_Predictors, INDEX(Array_PredictorsLookup,MATCH($A276,List_PredictorFacilities,0),(COLUMN()-1)/2), 1),"")</f>
        <v/>
      </c>
      <c r="F276" s="137"/>
      <c r="G276" s="58" t="str" cm="1">
        <f>IFERROR(INDEX(List_Predictors, INDEX(Array_PredictorsLookup,MATCH($A276,List_PredictorFacilities,0),(COLUMN()-1)/2), 1),"")</f>
        <v/>
      </c>
      <c r="H276" s="137"/>
      <c r="I276" s="58" t="str" cm="1">
        <f>IFERROR(INDEX(List_Predictors, INDEX(Array_PredictorsLookup,MATCH($A276,List_PredictorFacilities,0),(COLUMN()-1)/2), 1),"")</f>
        <v/>
      </c>
      <c r="J276" s="137"/>
      <c r="K276" s="58" t="str" cm="1">
        <f>IFERROR(INDEX(List_Predictors, INDEX(Array_PredictorsLookup,MATCH($A276,List_PredictorFacilities,0),(COLUMN()-1)/2), 1),"")</f>
        <v/>
      </c>
      <c r="L276" s="137"/>
      <c r="M276" s="58" t="str" cm="1">
        <f>IFERROR(INDEX(List_Predictors, INDEX(Array_PredictorsLookup,MATCH($A276,List_PredictorFacilities,0),(COLUMN()-1)/2), 1),"")</f>
        <v/>
      </c>
      <c r="N276" s="137"/>
      <c r="O276" s="58" t="str" cm="1">
        <f>IFERROR(INDEX(List_Predictors, INDEX(Array_PredictorsLookup,MATCH($A276,List_PredictorFacilities,0),(COLUMN()-1)/2), 1),"")</f>
        <v/>
      </c>
      <c r="P276" s="137"/>
      <c r="Q276" s="58" t="str" cm="1">
        <f>IFERROR(INDEX(List_Predictors, INDEX(Array_PredictorsLookup,MATCH($A276,List_PredictorFacilities,0),(COLUMN()-1)/2), 1),"")</f>
        <v/>
      </c>
      <c r="R276" s="137"/>
      <c r="S276" s="58" t="str" cm="1">
        <f>IFERROR(INDEX(List_Predictors, INDEX(Array_PredictorsLookup,MATCH($A276,List_PredictorFacilities,0),(COLUMN()-1)/2), 1),"")</f>
        <v/>
      </c>
      <c r="T276" s="137"/>
      <c r="U276" s="58" t="str" cm="1">
        <f>IFERROR(INDEX(List_Predictors, INDEX(Array_PredictorsLookup,MATCH($A276,List_PredictorFacilities,0),(COLUMN()-1)/2), 1),"")</f>
        <v/>
      </c>
      <c r="V276" s="137"/>
      <c r="W276" s="58" t="str" cm="1">
        <f>IFERROR(INDEX(List_Predictors, INDEX(Array_PredictorsLookup,MATCH($A276,List_PredictorFacilities,0),(COLUMN()-1)/2), 1),"")</f>
        <v/>
      </c>
      <c r="X276" s="137"/>
      <c r="Y276" s="58" t="str" cm="1">
        <f>IFERROR(INDEX(List_Predictors, INDEX(Array_PredictorsLookup,MATCH($A276,List_PredictorFacilities,0),(COLUMN()-1)/2), 1),"")</f>
        <v/>
      </c>
      <c r="Z276" s="137"/>
      <c r="AA276" s="58" t="str" cm="1">
        <f>IFERROR(INDEX(List_Predictors, INDEX(Array_PredictorsLookup,MATCH($A276,List_PredictorFacilities,0),(COLUMN()-1)/2), 1),"")</f>
        <v/>
      </c>
      <c r="AB276" s="137"/>
      <c r="AC276" s="58" t="str" cm="1">
        <f>IFERROR(INDEX(List_Predictors, INDEX(Array_PredictorsLookup,MATCH($A276,List_PredictorFacilities,0),(COLUMN()-1)/2), 1),"")</f>
        <v/>
      </c>
      <c r="AD276" s="137"/>
      <c r="AE276" s="58" t="str" cm="1">
        <f>IFERROR(INDEX(List_Predictors, INDEX(Array_PredictorsLookup,MATCH($A276,List_PredictorFacilities,0),(COLUMN()-1)/2), 1),"")</f>
        <v/>
      </c>
      <c r="AF276" s="137"/>
    </row>
    <row r="277" spans="1:32" x14ac:dyDescent="0.3">
      <c r="A277" s="126"/>
      <c r="B277" s="141"/>
      <c r="C277" s="58" t="str" cm="1">
        <f>IFERROR(INDEX(List_Predictors, INDEX(Array_PredictorsLookup,MATCH($A277,List_PredictorFacilities,0),(COLUMN()-1)/2), 1),"")</f>
        <v/>
      </c>
      <c r="D277" s="137"/>
      <c r="E277" s="58" t="str" cm="1">
        <f>IFERROR(INDEX(List_Predictors, INDEX(Array_PredictorsLookup,MATCH($A277,List_PredictorFacilities,0),(COLUMN()-1)/2), 1),"")</f>
        <v/>
      </c>
      <c r="F277" s="137"/>
      <c r="G277" s="58" t="str" cm="1">
        <f>IFERROR(INDEX(List_Predictors, INDEX(Array_PredictorsLookup,MATCH($A277,List_PredictorFacilities,0),(COLUMN()-1)/2), 1),"")</f>
        <v/>
      </c>
      <c r="H277" s="137"/>
      <c r="I277" s="58" t="str" cm="1">
        <f>IFERROR(INDEX(List_Predictors, INDEX(Array_PredictorsLookup,MATCH($A277,List_PredictorFacilities,0),(COLUMN()-1)/2), 1),"")</f>
        <v/>
      </c>
      <c r="J277" s="137"/>
      <c r="K277" s="58" t="str" cm="1">
        <f>IFERROR(INDEX(List_Predictors, INDEX(Array_PredictorsLookup,MATCH($A277,List_PredictorFacilities,0),(COLUMN()-1)/2), 1),"")</f>
        <v/>
      </c>
      <c r="L277" s="137"/>
      <c r="M277" s="58" t="str" cm="1">
        <f>IFERROR(INDEX(List_Predictors, INDEX(Array_PredictorsLookup,MATCH($A277,List_PredictorFacilities,0),(COLUMN()-1)/2), 1),"")</f>
        <v/>
      </c>
      <c r="N277" s="137"/>
      <c r="O277" s="58" t="str" cm="1">
        <f>IFERROR(INDEX(List_Predictors, INDEX(Array_PredictorsLookup,MATCH($A277,List_PredictorFacilities,0),(COLUMN()-1)/2), 1),"")</f>
        <v/>
      </c>
      <c r="P277" s="137"/>
      <c r="Q277" s="58" t="str" cm="1">
        <f>IFERROR(INDEX(List_Predictors, INDEX(Array_PredictorsLookup,MATCH($A277,List_PredictorFacilities,0),(COLUMN()-1)/2), 1),"")</f>
        <v/>
      </c>
      <c r="R277" s="137"/>
      <c r="S277" s="58" t="str" cm="1">
        <f>IFERROR(INDEX(List_Predictors, INDEX(Array_PredictorsLookup,MATCH($A277,List_PredictorFacilities,0),(COLUMN()-1)/2), 1),"")</f>
        <v/>
      </c>
      <c r="T277" s="137"/>
      <c r="U277" s="58" t="str" cm="1">
        <f>IFERROR(INDEX(List_Predictors, INDEX(Array_PredictorsLookup,MATCH($A277,List_PredictorFacilities,0),(COLUMN()-1)/2), 1),"")</f>
        <v/>
      </c>
      <c r="V277" s="137"/>
      <c r="W277" s="58" t="str" cm="1">
        <f>IFERROR(INDEX(List_Predictors, INDEX(Array_PredictorsLookup,MATCH($A277,List_PredictorFacilities,0),(COLUMN()-1)/2), 1),"")</f>
        <v/>
      </c>
      <c r="X277" s="137"/>
      <c r="Y277" s="58" t="str" cm="1">
        <f>IFERROR(INDEX(List_Predictors, INDEX(Array_PredictorsLookup,MATCH($A277,List_PredictorFacilities,0),(COLUMN()-1)/2), 1),"")</f>
        <v/>
      </c>
      <c r="Z277" s="137"/>
      <c r="AA277" s="58" t="str" cm="1">
        <f>IFERROR(INDEX(List_Predictors, INDEX(Array_PredictorsLookup,MATCH($A277,List_PredictorFacilities,0),(COLUMN()-1)/2), 1),"")</f>
        <v/>
      </c>
      <c r="AB277" s="137"/>
      <c r="AC277" s="58" t="str" cm="1">
        <f>IFERROR(INDEX(List_Predictors, INDEX(Array_PredictorsLookup,MATCH($A277,List_PredictorFacilities,0),(COLUMN()-1)/2), 1),"")</f>
        <v/>
      </c>
      <c r="AD277" s="137"/>
      <c r="AE277" s="58" t="str" cm="1">
        <f>IFERROR(INDEX(List_Predictors, INDEX(Array_PredictorsLookup,MATCH($A277,List_PredictorFacilities,0),(COLUMN()-1)/2), 1),"")</f>
        <v/>
      </c>
      <c r="AF277" s="137"/>
    </row>
    <row r="278" spans="1:32" x14ac:dyDescent="0.3">
      <c r="A278" s="126"/>
      <c r="B278" s="141"/>
      <c r="C278" s="58" t="str" cm="1">
        <f>IFERROR(INDEX(List_Predictors, INDEX(Array_PredictorsLookup,MATCH($A278,List_PredictorFacilities,0),(COLUMN()-1)/2), 1),"")</f>
        <v/>
      </c>
      <c r="D278" s="137"/>
      <c r="E278" s="58" t="str" cm="1">
        <f>IFERROR(INDEX(List_Predictors, INDEX(Array_PredictorsLookup,MATCH($A278,List_PredictorFacilities,0),(COLUMN()-1)/2), 1),"")</f>
        <v/>
      </c>
      <c r="F278" s="137"/>
      <c r="G278" s="58" t="str" cm="1">
        <f>IFERROR(INDEX(List_Predictors, INDEX(Array_PredictorsLookup,MATCH($A278,List_PredictorFacilities,0),(COLUMN()-1)/2), 1),"")</f>
        <v/>
      </c>
      <c r="H278" s="137"/>
      <c r="I278" s="58" t="str" cm="1">
        <f>IFERROR(INDEX(List_Predictors, INDEX(Array_PredictorsLookup,MATCH($A278,List_PredictorFacilities,0),(COLUMN()-1)/2), 1),"")</f>
        <v/>
      </c>
      <c r="J278" s="137"/>
      <c r="K278" s="58" t="str" cm="1">
        <f>IFERROR(INDEX(List_Predictors, INDEX(Array_PredictorsLookup,MATCH($A278,List_PredictorFacilities,0),(COLUMN()-1)/2), 1),"")</f>
        <v/>
      </c>
      <c r="L278" s="137"/>
      <c r="M278" s="58" t="str" cm="1">
        <f>IFERROR(INDEX(List_Predictors, INDEX(Array_PredictorsLookup,MATCH($A278,List_PredictorFacilities,0),(COLUMN()-1)/2), 1),"")</f>
        <v/>
      </c>
      <c r="N278" s="137"/>
      <c r="O278" s="58" t="str" cm="1">
        <f>IFERROR(INDEX(List_Predictors, INDEX(Array_PredictorsLookup,MATCH($A278,List_PredictorFacilities,0),(COLUMN()-1)/2), 1),"")</f>
        <v/>
      </c>
      <c r="P278" s="137"/>
      <c r="Q278" s="58" t="str" cm="1">
        <f>IFERROR(INDEX(List_Predictors, INDEX(Array_PredictorsLookup,MATCH($A278,List_PredictorFacilities,0),(COLUMN()-1)/2), 1),"")</f>
        <v/>
      </c>
      <c r="R278" s="137"/>
      <c r="S278" s="58" t="str" cm="1">
        <f>IFERROR(INDEX(List_Predictors, INDEX(Array_PredictorsLookup,MATCH($A278,List_PredictorFacilities,0),(COLUMN()-1)/2), 1),"")</f>
        <v/>
      </c>
      <c r="T278" s="137"/>
      <c r="U278" s="58" t="str" cm="1">
        <f>IFERROR(INDEX(List_Predictors, INDEX(Array_PredictorsLookup,MATCH($A278,List_PredictorFacilities,0),(COLUMN()-1)/2), 1),"")</f>
        <v/>
      </c>
      <c r="V278" s="137"/>
      <c r="W278" s="58" t="str" cm="1">
        <f>IFERROR(INDEX(List_Predictors, INDEX(Array_PredictorsLookup,MATCH($A278,List_PredictorFacilities,0),(COLUMN()-1)/2), 1),"")</f>
        <v/>
      </c>
      <c r="X278" s="137"/>
      <c r="Y278" s="58" t="str" cm="1">
        <f>IFERROR(INDEX(List_Predictors, INDEX(Array_PredictorsLookup,MATCH($A278,List_PredictorFacilities,0),(COLUMN()-1)/2), 1),"")</f>
        <v/>
      </c>
      <c r="Z278" s="137"/>
      <c r="AA278" s="58" t="str" cm="1">
        <f>IFERROR(INDEX(List_Predictors, INDEX(Array_PredictorsLookup,MATCH($A278,List_PredictorFacilities,0),(COLUMN()-1)/2), 1),"")</f>
        <v/>
      </c>
      <c r="AB278" s="137"/>
      <c r="AC278" s="58" t="str" cm="1">
        <f>IFERROR(INDEX(List_Predictors, INDEX(Array_PredictorsLookup,MATCH($A278,List_PredictorFacilities,0),(COLUMN()-1)/2), 1),"")</f>
        <v/>
      </c>
      <c r="AD278" s="137"/>
      <c r="AE278" s="58" t="str" cm="1">
        <f>IFERROR(INDEX(List_Predictors, INDEX(Array_PredictorsLookup,MATCH($A278,List_PredictorFacilities,0),(COLUMN()-1)/2), 1),"")</f>
        <v/>
      </c>
      <c r="AF278" s="137"/>
    </row>
    <row r="279" spans="1:32" x14ac:dyDescent="0.3">
      <c r="A279" s="126"/>
      <c r="B279" s="141"/>
      <c r="C279" s="58" t="str" cm="1">
        <f>IFERROR(INDEX(List_Predictors, INDEX(Array_PredictorsLookup,MATCH($A279,List_PredictorFacilities,0),(COLUMN()-1)/2), 1),"")</f>
        <v/>
      </c>
      <c r="D279" s="137"/>
      <c r="E279" s="58" t="str" cm="1">
        <f>IFERROR(INDEX(List_Predictors, INDEX(Array_PredictorsLookup,MATCH($A279,List_PredictorFacilities,0),(COLUMN()-1)/2), 1),"")</f>
        <v/>
      </c>
      <c r="F279" s="137"/>
      <c r="G279" s="58" t="str" cm="1">
        <f>IFERROR(INDEX(List_Predictors, INDEX(Array_PredictorsLookup,MATCH($A279,List_PredictorFacilities,0),(COLUMN()-1)/2), 1),"")</f>
        <v/>
      </c>
      <c r="H279" s="137"/>
      <c r="I279" s="58" t="str" cm="1">
        <f>IFERROR(INDEX(List_Predictors, INDEX(Array_PredictorsLookup,MATCH($A279,List_PredictorFacilities,0),(COLUMN()-1)/2), 1),"")</f>
        <v/>
      </c>
      <c r="J279" s="137"/>
      <c r="K279" s="58" t="str" cm="1">
        <f>IFERROR(INDEX(List_Predictors, INDEX(Array_PredictorsLookup,MATCH($A279,List_PredictorFacilities,0),(COLUMN()-1)/2), 1),"")</f>
        <v/>
      </c>
      <c r="L279" s="137"/>
      <c r="M279" s="58" t="str" cm="1">
        <f>IFERROR(INDEX(List_Predictors, INDEX(Array_PredictorsLookup,MATCH($A279,List_PredictorFacilities,0),(COLUMN()-1)/2), 1),"")</f>
        <v/>
      </c>
      <c r="N279" s="137"/>
      <c r="O279" s="58" t="str" cm="1">
        <f>IFERROR(INDEX(List_Predictors, INDEX(Array_PredictorsLookup,MATCH($A279,List_PredictorFacilities,0),(COLUMN()-1)/2), 1),"")</f>
        <v/>
      </c>
      <c r="P279" s="137"/>
      <c r="Q279" s="58" t="str" cm="1">
        <f>IFERROR(INDEX(List_Predictors, INDEX(Array_PredictorsLookup,MATCH($A279,List_PredictorFacilities,0),(COLUMN()-1)/2), 1),"")</f>
        <v/>
      </c>
      <c r="R279" s="137"/>
      <c r="S279" s="58" t="str" cm="1">
        <f>IFERROR(INDEX(List_Predictors, INDEX(Array_PredictorsLookup,MATCH($A279,List_PredictorFacilities,0),(COLUMN()-1)/2), 1),"")</f>
        <v/>
      </c>
      <c r="T279" s="137"/>
      <c r="U279" s="58" t="str" cm="1">
        <f>IFERROR(INDEX(List_Predictors, INDEX(Array_PredictorsLookup,MATCH($A279,List_PredictorFacilities,0),(COLUMN()-1)/2), 1),"")</f>
        <v/>
      </c>
      <c r="V279" s="137"/>
      <c r="W279" s="58" t="str" cm="1">
        <f>IFERROR(INDEX(List_Predictors, INDEX(Array_PredictorsLookup,MATCH($A279,List_PredictorFacilities,0),(COLUMN()-1)/2), 1),"")</f>
        <v/>
      </c>
      <c r="X279" s="137"/>
      <c r="Y279" s="58" t="str" cm="1">
        <f>IFERROR(INDEX(List_Predictors, INDEX(Array_PredictorsLookup,MATCH($A279,List_PredictorFacilities,0),(COLUMN()-1)/2), 1),"")</f>
        <v/>
      </c>
      <c r="Z279" s="137"/>
      <c r="AA279" s="58" t="str" cm="1">
        <f>IFERROR(INDEX(List_Predictors, INDEX(Array_PredictorsLookup,MATCH($A279,List_PredictorFacilities,0),(COLUMN()-1)/2), 1),"")</f>
        <v/>
      </c>
      <c r="AB279" s="137"/>
      <c r="AC279" s="58" t="str" cm="1">
        <f>IFERROR(INDEX(List_Predictors, INDEX(Array_PredictorsLookup,MATCH($A279,List_PredictorFacilities,0),(COLUMN()-1)/2), 1),"")</f>
        <v/>
      </c>
      <c r="AD279" s="137"/>
      <c r="AE279" s="58" t="str" cm="1">
        <f>IFERROR(INDEX(List_Predictors, INDEX(Array_PredictorsLookup,MATCH($A279,List_PredictorFacilities,0),(COLUMN()-1)/2), 1),"")</f>
        <v/>
      </c>
      <c r="AF279" s="137"/>
    </row>
    <row r="280" spans="1:32" x14ac:dyDescent="0.3">
      <c r="A280" s="126"/>
      <c r="B280" s="141"/>
      <c r="C280" s="58" t="str" cm="1">
        <f>IFERROR(INDEX(List_Predictors, INDEX(Array_PredictorsLookup,MATCH($A280,List_PredictorFacilities,0),(COLUMN()-1)/2), 1),"")</f>
        <v/>
      </c>
      <c r="D280" s="137"/>
      <c r="E280" s="58" t="str" cm="1">
        <f>IFERROR(INDEX(List_Predictors, INDEX(Array_PredictorsLookup,MATCH($A280,List_PredictorFacilities,0),(COLUMN()-1)/2), 1),"")</f>
        <v/>
      </c>
      <c r="F280" s="137"/>
      <c r="G280" s="58" t="str" cm="1">
        <f>IFERROR(INDEX(List_Predictors, INDEX(Array_PredictorsLookup,MATCH($A280,List_PredictorFacilities,0),(COLUMN()-1)/2), 1),"")</f>
        <v/>
      </c>
      <c r="H280" s="137"/>
      <c r="I280" s="58" t="str" cm="1">
        <f>IFERROR(INDEX(List_Predictors, INDEX(Array_PredictorsLookup,MATCH($A280,List_PredictorFacilities,0),(COLUMN()-1)/2), 1),"")</f>
        <v/>
      </c>
      <c r="J280" s="137"/>
      <c r="K280" s="58" t="str" cm="1">
        <f>IFERROR(INDEX(List_Predictors, INDEX(Array_PredictorsLookup,MATCH($A280,List_PredictorFacilities,0),(COLUMN()-1)/2), 1),"")</f>
        <v/>
      </c>
      <c r="L280" s="137"/>
      <c r="M280" s="58" t="str" cm="1">
        <f>IFERROR(INDEX(List_Predictors, INDEX(Array_PredictorsLookup,MATCH($A280,List_PredictorFacilities,0),(COLUMN()-1)/2), 1),"")</f>
        <v/>
      </c>
      <c r="N280" s="137"/>
      <c r="O280" s="58" t="str" cm="1">
        <f>IFERROR(INDEX(List_Predictors, INDEX(Array_PredictorsLookup,MATCH($A280,List_PredictorFacilities,0),(COLUMN()-1)/2), 1),"")</f>
        <v/>
      </c>
      <c r="P280" s="137"/>
      <c r="Q280" s="58" t="str" cm="1">
        <f>IFERROR(INDEX(List_Predictors, INDEX(Array_PredictorsLookup,MATCH($A280,List_PredictorFacilities,0),(COLUMN()-1)/2), 1),"")</f>
        <v/>
      </c>
      <c r="R280" s="137"/>
      <c r="S280" s="58" t="str" cm="1">
        <f>IFERROR(INDEX(List_Predictors, INDEX(Array_PredictorsLookup,MATCH($A280,List_PredictorFacilities,0),(COLUMN()-1)/2), 1),"")</f>
        <v/>
      </c>
      <c r="T280" s="137"/>
      <c r="U280" s="58" t="str" cm="1">
        <f>IFERROR(INDEX(List_Predictors, INDEX(Array_PredictorsLookup,MATCH($A280,List_PredictorFacilities,0),(COLUMN()-1)/2), 1),"")</f>
        <v/>
      </c>
      <c r="V280" s="137"/>
      <c r="W280" s="58" t="str" cm="1">
        <f>IFERROR(INDEX(List_Predictors, INDEX(Array_PredictorsLookup,MATCH($A280,List_PredictorFacilities,0),(COLUMN()-1)/2), 1),"")</f>
        <v/>
      </c>
      <c r="X280" s="137"/>
      <c r="Y280" s="58" t="str" cm="1">
        <f>IFERROR(INDEX(List_Predictors, INDEX(Array_PredictorsLookup,MATCH($A280,List_PredictorFacilities,0),(COLUMN()-1)/2), 1),"")</f>
        <v/>
      </c>
      <c r="Z280" s="137"/>
      <c r="AA280" s="58" t="str" cm="1">
        <f>IFERROR(INDEX(List_Predictors, INDEX(Array_PredictorsLookup,MATCH($A280,List_PredictorFacilities,0),(COLUMN()-1)/2), 1),"")</f>
        <v/>
      </c>
      <c r="AB280" s="137"/>
      <c r="AC280" s="58" t="str" cm="1">
        <f>IFERROR(INDEX(List_Predictors, INDEX(Array_PredictorsLookup,MATCH($A280,List_PredictorFacilities,0),(COLUMN()-1)/2), 1),"")</f>
        <v/>
      </c>
      <c r="AD280" s="137"/>
      <c r="AE280" s="58" t="str" cm="1">
        <f>IFERROR(INDEX(List_Predictors, INDEX(Array_PredictorsLookup,MATCH($A280,List_PredictorFacilities,0),(COLUMN()-1)/2), 1),"")</f>
        <v/>
      </c>
      <c r="AF280" s="137"/>
    </row>
    <row r="281" spans="1:32" x14ac:dyDescent="0.3">
      <c r="A281" s="126"/>
      <c r="B281" s="141"/>
      <c r="C281" s="58" t="str" cm="1">
        <f>IFERROR(INDEX(List_Predictors, INDEX(Array_PredictorsLookup,MATCH($A281,List_PredictorFacilities,0),(COLUMN()-1)/2), 1),"")</f>
        <v/>
      </c>
      <c r="D281" s="137"/>
      <c r="E281" s="58" t="str" cm="1">
        <f>IFERROR(INDEX(List_Predictors, INDEX(Array_PredictorsLookup,MATCH($A281,List_PredictorFacilities,0),(COLUMN()-1)/2), 1),"")</f>
        <v/>
      </c>
      <c r="F281" s="137"/>
      <c r="G281" s="58" t="str" cm="1">
        <f>IFERROR(INDEX(List_Predictors, INDEX(Array_PredictorsLookup,MATCH($A281,List_PredictorFacilities,0),(COLUMN()-1)/2), 1),"")</f>
        <v/>
      </c>
      <c r="H281" s="137"/>
      <c r="I281" s="58" t="str" cm="1">
        <f>IFERROR(INDEX(List_Predictors, INDEX(Array_PredictorsLookup,MATCH($A281,List_PredictorFacilities,0),(COLUMN()-1)/2), 1),"")</f>
        <v/>
      </c>
      <c r="J281" s="137"/>
      <c r="K281" s="58" t="str" cm="1">
        <f>IFERROR(INDEX(List_Predictors, INDEX(Array_PredictorsLookup,MATCH($A281,List_PredictorFacilities,0),(COLUMN()-1)/2), 1),"")</f>
        <v/>
      </c>
      <c r="L281" s="137"/>
      <c r="M281" s="58" t="str" cm="1">
        <f>IFERROR(INDEX(List_Predictors, INDEX(Array_PredictorsLookup,MATCH($A281,List_PredictorFacilities,0),(COLUMN()-1)/2), 1),"")</f>
        <v/>
      </c>
      <c r="N281" s="137"/>
      <c r="O281" s="58" t="str" cm="1">
        <f>IFERROR(INDEX(List_Predictors, INDEX(Array_PredictorsLookup,MATCH($A281,List_PredictorFacilities,0),(COLUMN()-1)/2), 1),"")</f>
        <v/>
      </c>
      <c r="P281" s="137"/>
      <c r="Q281" s="58" t="str" cm="1">
        <f>IFERROR(INDEX(List_Predictors, INDEX(Array_PredictorsLookup,MATCH($A281,List_PredictorFacilities,0),(COLUMN()-1)/2), 1),"")</f>
        <v/>
      </c>
      <c r="R281" s="137"/>
      <c r="S281" s="58" t="str" cm="1">
        <f>IFERROR(INDEX(List_Predictors, INDEX(Array_PredictorsLookup,MATCH($A281,List_PredictorFacilities,0),(COLUMN()-1)/2), 1),"")</f>
        <v/>
      </c>
      <c r="T281" s="137"/>
      <c r="U281" s="58" t="str" cm="1">
        <f>IFERROR(INDEX(List_Predictors, INDEX(Array_PredictorsLookup,MATCH($A281,List_PredictorFacilities,0),(COLUMN()-1)/2), 1),"")</f>
        <v/>
      </c>
      <c r="V281" s="137"/>
      <c r="W281" s="58" t="str" cm="1">
        <f>IFERROR(INDEX(List_Predictors, INDEX(Array_PredictorsLookup,MATCH($A281,List_PredictorFacilities,0),(COLUMN()-1)/2), 1),"")</f>
        <v/>
      </c>
      <c r="X281" s="137"/>
      <c r="Y281" s="58" t="str" cm="1">
        <f>IFERROR(INDEX(List_Predictors, INDEX(Array_PredictorsLookup,MATCH($A281,List_PredictorFacilities,0),(COLUMN()-1)/2), 1),"")</f>
        <v/>
      </c>
      <c r="Z281" s="137"/>
      <c r="AA281" s="58" t="str" cm="1">
        <f>IFERROR(INDEX(List_Predictors, INDEX(Array_PredictorsLookup,MATCH($A281,List_PredictorFacilities,0),(COLUMN()-1)/2), 1),"")</f>
        <v/>
      </c>
      <c r="AB281" s="137"/>
      <c r="AC281" s="58" t="str" cm="1">
        <f>IFERROR(INDEX(List_Predictors, INDEX(Array_PredictorsLookup,MATCH($A281,List_PredictorFacilities,0),(COLUMN()-1)/2), 1),"")</f>
        <v/>
      </c>
      <c r="AD281" s="137"/>
      <c r="AE281" s="58" t="str" cm="1">
        <f>IFERROR(INDEX(List_Predictors, INDEX(Array_PredictorsLookup,MATCH($A281,List_PredictorFacilities,0),(COLUMN()-1)/2), 1),"")</f>
        <v/>
      </c>
      <c r="AF281" s="137"/>
    </row>
    <row r="282" spans="1:32" x14ac:dyDescent="0.3">
      <c r="A282" s="126"/>
      <c r="B282" s="141"/>
      <c r="C282" s="58" t="str" cm="1">
        <f>IFERROR(INDEX(List_Predictors, INDEX(Array_PredictorsLookup,MATCH($A282,List_PredictorFacilities,0),(COLUMN()-1)/2), 1),"")</f>
        <v/>
      </c>
      <c r="D282" s="137"/>
      <c r="E282" s="58" t="str" cm="1">
        <f>IFERROR(INDEX(List_Predictors, INDEX(Array_PredictorsLookup,MATCH($A282,List_PredictorFacilities,0),(COLUMN()-1)/2), 1),"")</f>
        <v/>
      </c>
      <c r="F282" s="137"/>
      <c r="G282" s="58" t="str" cm="1">
        <f>IFERROR(INDEX(List_Predictors, INDEX(Array_PredictorsLookup,MATCH($A282,List_PredictorFacilities,0),(COLUMN()-1)/2), 1),"")</f>
        <v/>
      </c>
      <c r="H282" s="137"/>
      <c r="I282" s="58" t="str" cm="1">
        <f>IFERROR(INDEX(List_Predictors, INDEX(Array_PredictorsLookup,MATCH($A282,List_PredictorFacilities,0),(COLUMN()-1)/2), 1),"")</f>
        <v/>
      </c>
      <c r="J282" s="137"/>
      <c r="K282" s="58" t="str" cm="1">
        <f>IFERROR(INDEX(List_Predictors, INDEX(Array_PredictorsLookup,MATCH($A282,List_PredictorFacilities,0),(COLUMN()-1)/2), 1),"")</f>
        <v/>
      </c>
      <c r="L282" s="137"/>
      <c r="M282" s="58" t="str" cm="1">
        <f>IFERROR(INDEX(List_Predictors, INDEX(Array_PredictorsLookup,MATCH($A282,List_PredictorFacilities,0),(COLUMN()-1)/2), 1),"")</f>
        <v/>
      </c>
      <c r="N282" s="137"/>
      <c r="O282" s="58" t="str" cm="1">
        <f>IFERROR(INDEX(List_Predictors, INDEX(Array_PredictorsLookup,MATCH($A282,List_PredictorFacilities,0),(COLUMN()-1)/2), 1),"")</f>
        <v/>
      </c>
      <c r="P282" s="137"/>
      <c r="Q282" s="58" t="str" cm="1">
        <f>IFERROR(INDEX(List_Predictors, INDEX(Array_PredictorsLookup,MATCH($A282,List_PredictorFacilities,0),(COLUMN()-1)/2), 1),"")</f>
        <v/>
      </c>
      <c r="R282" s="137"/>
      <c r="S282" s="58" t="str" cm="1">
        <f>IFERROR(INDEX(List_Predictors, INDEX(Array_PredictorsLookup,MATCH($A282,List_PredictorFacilities,0),(COLUMN()-1)/2), 1),"")</f>
        <v/>
      </c>
      <c r="T282" s="137"/>
      <c r="U282" s="58" t="str" cm="1">
        <f>IFERROR(INDEX(List_Predictors, INDEX(Array_PredictorsLookup,MATCH($A282,List_PredictorFacilities,0),(COLUMN()-1)/2), 1),"")</f>
        <v/>
      </c>
      <c r="V282" s="137"/>
      <c r="W282" s="58" t="str" cm="1">
        <f>IFERROR(INDEX(List_Predictors, INDEX(Array_PredictorsLookup,MATCH($A282,List_PredictorFacilities,0),(COLUMN()-1)/2), 1),"")</f>
        <v/>
      </c>
      <c r="X282" s="137"/>
      <c r="Y282" s="58" t="str" cm="1">
        <f>IFERROR(INDEX(List_Predictors, INDEX(Array_PredictorsLookup,MATCH($A282,List_PredictorFacilities,0),(COLUMN()-1)/2), 1),"")</f>
        <v/>
      </c>
      <c r="Z282" s="137"/>
      <c r="AA282" s="58" t="str" cm="1">
        <f>IFERROR(INDEX(List_Predictors, INDEX(Array_PredictorsLookup,MATCH($A282,List_PredictorFacilities,0),(COLUMN()-1)/2), 1),"")</f>
        <v/>
      </c>
      <c r="AB282" s="137"/>
      <c r="AC282" s="58" t="str" cm="1">
        <f>IFERROR(INDEX(List_Predictors, INDEX(Array_PredictorsLookup,MATCH($A282,List_PredictorFacilities,0),(COLUMN()-1)/2), 1),"")</f>
        <v/>
      </c>
      <c r="AD282" s="137"/>
      <c r="AE282" s="58" t="str" cm="1">
        <f>IFERROR(INDEX(List_Predictors, INDEX(Array_PredictorsLookup,MATCH($A282,List_PredictorFacilities,0),(COLUMN()-1)/2), 1),"")</f>
        <v/>
      </c>
      <c r="AF282" s="137"/>
    </row>
    <row r="283" spans="1:32" x14ac:dyDescent="0.3">
      <c r="A283" s="126"/>
      <c r="B283" s="141"/>
      <c r="C283" s="58" t="str" cm="1">
        <f>IFERROR(INDEX(List_Predictors, INDEX(Array_PredictorsLookup,MATCH($A283,List_PredictorFacilities,0),(COLUMN()-1)/2), 1),"")</f>
        <v/>
      </c>
      <c r="D283" s="137"/>
      <c r="E283" s="58" t="str" cm="1">
        <f>IFERROR(INDEX(List_Predictors, INDEX(Array_PredictorsLookup,MATCH($A283,List_PredictorFacilities,0),(COLUMN()-1)/2), 1),"")</f>
        <v/>
      </c>
      <c r="F283" s="137"/>
      <c r="G283" s="58" t="str" cm="1">
        <f>IFERROR(INDEX(List_Predictors, INDEX(Array_PredictorsLookup,MATCH($A283,List_PredictorFacilities,0),(COLUMN()-1)/2), 1),"")</f>
        <v/>
      </c>
      <c r="H283" s="137"/>
      <c r="I283" s="58" t="str" cm="1">
        <f>IFERROR(INDEX(List_Predictors, INDEX(Array_PredictorsLookup,MATCH($A283,List_PredictorFacilities,0),(COLUMN()-1)/2), 1),"")</f>
        <v/>
      </c>
      <c r="J283" s="137"/>
      <c r="K283" s="58" t="str" cm="1">
        <f>IFERROR(INDEX(List_Predictors, INDEX(Array_PredictorsLookup,MATCH($A283,List_PredictorFacilities,0),(COLUMN()-1)/2), 1),"")</f>
        <v/>
      </c>
      <c r="L283" s="137"/>
      <c r="M283" s="58" t="str" cm="1">
        <f>IFERROR(INDEX(List_Predictors, INDEX(Array_PredictorsLookup,MATCH($A283,List_PredictorFacilities,0),(COLUMN()-1)/2), 1),"")</f>
        <v/>
      </c>
      <c r="N283" s="137"/>
      <c r="O283" s="58" t="str" cm="1">
        <f>IFERROR(INDEX(List_Predictors, INDEX(Array_PredictorsLookup,MATCH($A283,List_PredictorFacilities,0),(COLUMN()-1)/2), 1),"")</f>
        <v/>
      </c>
      <c r="P283" s="137"/>
      <c r="Q283" s="58" t="str" cm="1">
        <f>IFERROR(INDEX(List_Predictors, INDEX(Array_PredictorsLookup,MATCH($A283,List_PredictorFacilities,0),(COLUMN()-1)/2), 1),"")</f>
        <v/>
      </c>
      <c r="R283" s="137"/>
      <c r="S283" s="58" t="str" cm="1">
        <f>IFERROR(INDEX(List_Predictors, INDEX(Array_PredictorsLookup,MATCH($A283,List_PredictorFacilities,0),(COLUMN()-1)/2), 1),"")</f>
        <v/>
      </c>
      <c r="T283" s="137"/>
      <c r="U283" s="58" t="str" cm="1">
        <f>IFERROR(INDEX(List_Predictors, INDEX(Array_PredictorsLookup,MATCH($A283,List_PredictorFacilities,0),(COLUMN()-1)/2), 1),"")</f>
        <v/>
      </c>
      <c r="V283" s="137"/>
      <c r="W283" s="58" t="str" cm="1">
        <f>IFERROR(INDEX(List_Predictors, INDEX(Array_PredictorsLookup,MATCH($A283,List_PredictorFacilities,0),(COLUMN()-1)/2), 1),"")</f>
        <v/>
      </c>
      <c r="X283" s="137"/>
      <c r="Y283" s="58" t="str" cm="1">
        <f>IFERROR(INDEX(List_Predictors, INDEX(Array_PredictorsLookup,MATCH($A283,List_PredictorFacilities,0),(COLUMN()-1)/2), 1),"")</f>
        <v/>
      </c>
      <c r="Z283" s="137"/>
      <c r="AA283" s="58" t="str" cm="1">
        <f>IFERROR(INDEX(List_Predictors, INDEX(Array_PredictorsLookup,MATCH($A283,List_PredictorFacilities,0),(COLUMN()-1)/2), 1),"")</f>
        <v/>
      </c>
      <c r="AB283" s="137"/>
      <c r="AC283" s="58" t="str" cm="1">
        <f>IFERROR(INDEX(List_Predictors, INDEX(Array_PredictorsLookup,MATCH($A283,List_PredictorFacilities,0),(COLUMN()-1)/2), 1),"")</f>
        <v/>
      </c>
      <c r="AD283" s="137"/>
      <c r="AE283" s="58" t="str" cm="1">
        <f>IFERROR(INDEX(List_Predictors, INDEX(Array_PredictorsLookup,MATCH($A283,List_PredictorFacilities,0),(COLUMN()-1)/2), 1),"")</f>
        <v/>
      </c>
      <c r="AF283" s="137"/>
    </row>
    <row r="284" spans="1:32" x14ac:dyDescent="0.3">
      <c r="A284" s="126"/>
      <c r="B284" s="141"/>
      <c r="C284" s="58" t="str" cm="1">
        <f>IFERROR(INDEX(List_Predictors, INDEX(Array_PredictorsLookup,MATCH($A284,List_PredictorFacilities,0),(COLUMN()-1)/2), 1),"")</f>
        <v/>
      </c>
      <c r="D284" s="137"/>
      <c r="E284" s="58" t="str" cm="1">
        <f>IFERROR(INDEX(List_Predictors, INDEX(Array_PredictorsLookup,MATCH($A284,List_PredictorFacilities,0),(COLUMN()-1)/2), 1),"")</f>
        <v/>
      </c>
      <c r="F284" s="137"/>
      <c r="G284" s="58" t="str" cm="1">
        <f>IFERROR(INDEX(List_Predictors, INDEX(Array_PredictorsLookup,MATCH($A284,List_PredictorFacilities,0),(COLUMN()-1)/2), 1),"")</f>
        <v/>
      </c>
      <c r="H284" s="137"/>
      <c r="I284" s="58" t="str" cm="1">
        <f>IFERROR(INDEX(List_Predictors, INDEX(Array_PredictorsLookup,MATCH($A284,List_PredictorFacilities,0),(COLUMN()-1)/2), 1),"")</f>
        <v/>
      </c>
      <c r="J284" s="137"/>
      <c r="K284" s="58" t="str" cm="1">
        <f>IFERROR(INDEX(List_Predictors, INDEX(Array_PredictorsLookup,MATCH($A284,List_PredictorFacilities,0),(COLUMN()-1)/2), 1),"")</f>
        <v/>
      </c>
      <c r="L284" s="137"/>
      <c r="M284" s="58" t="str" cm="1">
        <f>IFERROR(INDEX(List_Predictors, INDEX(Array_PredictorsLookup,MATCH($A284,List_PredictorFacilities,0),(COLUMN()-1)/2), 1),"")</f>
        <v/>
      </c>
      <c r="N284" s="137"/>
      <c r="O284" s="58" t="str" cm="1">
        <f>IFERROR(INDEX(List_Predictors, INDEX(Array_PredictorsLookup,MATCH($A284,List_PredictorFacilities,0),(COLUMN()-1)/2), 1),"")</f>
        <v/>
      </c>
      <c r="P284" s="137"/>
      <c r="Q284" s="58" t="str" cm="1">
        <f>IFERROR(INDEX(List_Predictors, INDEX(Array_PredictorsLookup,MATCH($A284,List_PredictorFacilities,0),(COLUMN()-1)/2), 1),"")</f>
        <v/>
      </c>
      <c r="R284" s="137"/>
      <c r="S284" s="58" t="str" cm="1">
        <f>IFERROR(INDEX(List_Predictors, INDEX(Array_PredictorsLookup,MATCH($A284,List_PredictorFacilities,0),(COLUMN()-1)/2), 1),"")</f>
        <v/>
      </c>
      <c r="T284" s="137"/>
      <c r="U284" s="58" t="str" cm="1">
        <f>IFERROR(INDEX(List_Predictors, INDEX(Array_PredictorsLookup,MATCH($A284,List_PredictorFacilities,0),(COLUMN()-1)/2), 1),"")</f>
        <v/>
      </c>
      <c r="V284" s="137"/>
      <c r="W284" s="58" t="str" cm="1">
        <f>IFERROR(INDEX(List_Predictors, INDEX(Array_PredictorsLookup,MATCH($A284,List_PredictorFacilities,0),(COLUMN()-1)/2), 1),"")</f>
        <v/>
      </c>
      <c r="X284" s="137"/>
      <c r="Y284" s="58" t="str" cm="1">
        <f>IFERROR(INDEX(List_Predictors, INDEX(Array_PredictorsLookup,MATCH($A284,List_PredictorFacilities,0),(COLUMN()-1)/2), 1),"")</f>
        <v/>
      </c>
      <c r="Z284" s="137"/>
      <c r="AA284" s="58" t="str" cm="1">
        <f>IFERROR(INDEX(List_Predictors, INDEX(Array_PredictorsLookup,MATCH($A284,List_PredictorFacilities,0),(COLUMN()-1)/2), 1),"")</f>
        <v/>
      </c>
      <c r="AB284" s="137"/>
      <c r="AC284" s="58" t="str" cm="1">
        <f>IFERROR(INDEX(List_Predictors, INDEX(Array_PredictorsLookup,MATCH($A284,List_PredictorFacilities,0),(COLUMN()-1)/2), 1),"")</f>
        <v/>
      </c>
      <c r="AD284" s="137"/>
      <c r="AE284" s="58" t="str" cm="1">
        <f>IFERROR(INDEX(List_Predictors, INDEX(Array_PredictorsLookup,MATCH($A284,List_PredictorFacilities,0),(COLUMN()-1)/2), 1),"")</f>
        <v/>
      </c>
      <c r="AF284" s="137"/>
    </row>
    <row r="285" spans="1:32" x14ac:dyDescent="0.3">
      <c r="A285" s="126"/>
      <c r="B285" s="141"/>
      <c r="C285" s="58" t="str" cm="1">
        <f>IFERROR(INDEX(List_Predictors, INDEX(Array_PredictorsLookup,MATCH($A285,List_PredictorFacilities,0),(COLUMN()-1)/2), 1),"")</f>
        <v/>
      </c>
      <c r="D285" s="137"/>
      <c r="E285" s="58" t="str" cm="1">
        <f>IFERROR(INDEX(List_Predictors, INDEX(Array_PredictorsLookup,MATCH($A285,List_PredictorFacilities,0),(COLUMN()-1)/2), 1),"")</f>
        <v/>
      </c>
      <c r="F285" s="137"/>
      <c r="G285" s="58" t="str" cm="1">
        <f>IFERROR(INDEX(List_Predictors, INDEX(Array_PredictorsLookup,MATCH($A285,List_PredictorFacilities,0),(COLUMN()-1)/2), 1),"")</f>
        <v/>
      </c>
      <c r="H285" s="137"/>
      <c r="I285" s="58" t="str" cm="1">
        <f>IFERROR(INDEX(List_Predictors, INDEX(Array_PredictorsLookup,MATCH($A285,List_PredictorFacilities,0),(COLUMN()-1)/2), 1),"")</f>
        <v/>
      </c>
      <c r="J285" s="137"/>
      <c r="K285" s="58" t="str" cm="1">
        <f>IFERROR(INDEX(List_Predictors, INDEX(Array_PredictorsLookup,MATCH($A285,List_PredictorFacilities,0),(COLUMN()-1)/2), 1),"")</f>
        <v/>
      </c>
      <c r="L285" s="137"/>
      <c r="M285" s="58" t="str" cm="1">
        <f>IFERROR(INDEX(List_Predictors, INDEX(Array_PredictorsLookup,MATCH($A285,List_PredictorFacilities,0),(COLUMN()-1)/2), 1),"")</f>
        <v/>
      </c>
      <c r="N285" s="137"/>
      <c r="O285" s="58" t="str" cm="1">
        <f>IFERROR(INDEX(List_Predictors, INDEX(Array_PredictorsLookup,MATCH($A285,List_PredictorFacilities,0),(COLUMN()-1)/2), 1),"")</f>
        <v/>
      </c>
      <c r="P285" s="137"/>
      <c r="Q285" s="58" t="str" cm="1">
        <f>IFERROR(INDEX(List_Predictors, INDEX(Array_PredictorsLookup,MATCH($A285,List_PredictorFacilities,0),(COLUMN()-1)/2), 1),"")</f>
        <v/>
      </c>
      <c r="R285" s="137"/>
      <c r="S285" s="58" t="str" cm="1">
        <f>IFERROR(INDEX(List_Predictors, INDEX(Array_PredictorsLookup,MATCH($A285,List_PredictorFacilities,0),(COLUMN()-1)/2), 1),"")</f>
        <v/>
      </c>
      <c r="T285" s="137"/>
      <c r="U285" s="58" t="str" cm="1">
        <f>IFERROR(INDEX(List_Predictors, INDEX(Array_PredictorsLookup,MATCH($A285,List_PredictorFacilities,0),(COLUMN()-1)/2), 1),"")</f>
        <v/>
      </c>
      <c r="V285" s="137"/>
      <c r="W285" s="58" t="str" cm="1">
        <f>IFERROR(INDEX(List_Predictors, INDEX(Array_PredictorsLookup,MATCH($A285,List_PredictorFacilities,0),(COLUMN()-1)/2), 1),"")</f>
        <v/>
      </c>
      <c r="X285" s="137"/>
      <c r="Y285" s="58" t="str" cm="1">
        <f>IFERROR(INDEX(List_Predictors, INDEX(Array_PredictorsLookup,MATCH($A285,List_PredictorFacilities,0),(COLUMN()-1)/2), 1),"")</f>
        <v/>
      </c>
      <c r="Z285" s="137"/>
      <c r="AA285" s="58" t="str" cm="1">
        <f>IFERROR(INDEX(List_Predictors, INDEX(Array_PredictorsLookup,MATCH($A285,List_PredictorFacilities,0),(COLUMN()-1)/2), 1),"")</f>
        <v/>
      </c>
      <c r="AB285" s="137"/>
      <c r="AC285" s="58" t="str" cm="1">
        <f>IFERROR(INDEX(List_Predictors, INDEX(Array_PredictorsLookup,MATCH($A285,List_PredictorFacilities,0),(COLUMN()-1)/2), 1),"")</f>
        <v/>
      </c>
      <c r="AD285" s="137"/>
      <c r="AE285" s="58" t="str" cm="1">
        <f>IFERROR(INDEX(List_Predictors, INDEX(Array_PredictorsLookup,MATCH($A285,List_PredictorFacilities,0),(COLUMN()-1)/2), 1),"")</f>
        <v/>
      </c>
      <c r="AF285" s="137"/>
    </row>
    <row r="286" spans="1:32" x14ac:dyDescent="0.3">
      <c r="A286" s="126"/>
      <c r="B286" s="141"/>
      <c r="C286" s="58" t="str" cm="1">
        <f>IFERROR(INDEX(List_Predictors, INDEX(Array_PredictorsLookup,MATCH($A286,List_PredictorFacilities,0),(COLUMN()-1)/2), 1),"")</f>
        <v/>
      </c>
      <c r="D286" s="137"/>
      <c r="E286" s="58" t="str" cm="1">
        <f>IFERROR(INDEX(List_Predictors, INDEX(Array_PredictorsLookup,MATCH($A286,List_PredictorFacilities,0),(COLUMN()-1)/2), 1),"")</f>
        <v/>
      </c>
      <c r="F286" s="137"/>
      <c r="G286" s="58" t="str" cm="1">
        <f>IFERROR(INDEX(List_Predictors, INDEX(Array_PredictorsLookup,MATCH($A286,List_PredictorFacilities,0),(COLUMN()-1)/2), 1),"")</f>
        <v/>
      </c>
      <c r="H286" s="137"/>
      <c r="I286" s="58" t="str" cm="1">
        <f>IFERROR(INDEX(List_Predictors, INDEX(Array_PredictorsLookup,MATCH($A286,List_PredictorFacilities,0),(COLUMN()-1)/2), 1),"")</f>
        <v/>
      </c>
      <c r="J286" s="137"/>
      <c r="K286" s="58" t="str" cm="1">
        <f>IFERROR(INDEX(List_Predictors, INDEX(Array_PredictorsLookup,MATCH($A286,List_PredictorFacilities,0),(COLUMN()-1)/2), 1),"")</f>
        <v/>
      </c>
      <c r="L286" s="137"/>
      <c r="M286" s="58" t="str" cm="1">
        <f>IFERROR(INDEX(List_Predictors, INDEX(Array_PredictorsLookup,MATCH($A286,List_PredictorFacilities,0),(COLUMN()-1)/2), 1),"")</f>
        <v/>
      </c>
      <c r="N286" s="137"/>
      <c r="O286" s="58" t="str" cm="1">
        <f>IFERROR(INDEX(List_Predictors, INDEX(Array_PredictorsLookup,MATCH($A286,List_PredictorFacilities,0),(COLUMN()-1)/2), 1),"")</f>
        <v/>
      </c>
      <c r="P286" s="137"/>
      <c r="Q286" s="58" t="str" cm="1">
        <f>IFERROR(INDEX(List_Predictors, INDEX(Array_PredictorsLookup,MATCH($A286,List_PredictorFacilities,0),(COLUMN()-1)/2), 1),"")</f>
        <v/>
      </c>
      <c r="R286" s="137"/>
      <c r="S286" s="58" t="str" cm="1">
        <f>IFERROR(INDEX(List_Predictors, INDEX(Array_PredictorsLookup,MATCH($A286,List_PredictorFacilities,0),(COLUMN()-1)/2), 1),"")</f>
        <v/>
      </c>
      <c r="T286" s="137"/>
      <c r="U286" s="58" t="str" cm="1">
        <f>IFERROR(INDEX(List_Predictors, INDEX(Array_PredictorsLookup,MATCH($A286,List_PredictorFacilities,0),(COLUMN()-1)/2), 1),"")</f>
        <v/>
      </c>
      <c r="V286" s="137"/>
      <c r="W286" s="58" t="str" cm="1">
        <f>IFERROR(INDEX(List_Predictors, INDEX(Array_PredictorsLookup,MATCH($A286,List_PredictorFacilities,0),(COLUMN()-1)/2), 1),"")</f>
        <v/>
      </c>
      <c r="X286" s="137"/>
      <c r="Y286" s="58" t="str" cm="1">
        <f>IFERROR(INDEX(List_Predictors, INDEX(Array_PredictorsLookup,MATCH($A286,List_PredictorFacilities,0),(COLUMN()-1)/2), 1),"")</f>
        <v/>
      </c>
      <c r="Z286" s="137"/>
      <c r="AA286" s="58" t="str" cm="1">
        <f>IFERROR(INDEX(List_Predictors, INDEX(Array_PredictorsLookup,MATCH($A286,List_PredictorFacilities,0),(COLUMN()-1)/2), 1),"")</f>
        <v/>
      </c>
      <c r="AB286" s="137"/>
      <c r="AC286" s="58" t="str" cm="1">
        <f>IFERROR(INDEX(List_Predictors, INDEX(Array_PredictorsLookup,MATCH($A286,List_PredictorFacilities,0),(COLUMN()-1)/2), 1),"")</f>
        <v/>
      </c>
      <c r="AD286" s="137"/>
      <c r="AE286" s="58" t="str" cm="1">
        <f>IFERROR(INDEX(List_Predictors, INDEX(Array_PredictorsLookup,MATCH($A286,List_PredictorFacilities,0),(COLUMN()-1)/2), 1),"")</f>
        <v/>
      </c>
      <c r="AF286" s="137"/>
    </row>
    <row r="287" spans="1:32" x14ac:dyDescent="0.3">
      <c r="A287" s="126"/>
      <c r="B287" s="141"/>
      <c r="C287" s="58" t="str" cm="1">
        <f>IFERROR(INDEX(List_Predictors, INDEX(Array_PredictorsLookup,MATCH($A287,List_PredictorFacilities,0),(COLUMN()-1)/2), 1),"")</f>
        <v/>
      </c>
      <c r="D287" s="137"/>
      <c r="E287" s="58" t="str" cm="1">
        <f>IFERROR(INDEX(List_Predictors, INDEX(Array_PredictorsLookup,MATCH($A287,List_PredictorFacilities,0),(COLUMN()-1)/2), 1),"")</f>
        <v/>
      </c>
      <c r="F287" s="137"/>
      <c r="G287" s="58" t="str" cm="1">
        <f>IFERROR(INDEX(List_Predictors, INDEX(Array_PredictorsLookup,MATCH($A287,List_PredictorFacilities,0),(COLUMN()-1)/2), 1),"")</f>
        <v/>
      </c>
      <c r="H287" s="137"/>
      <c r="I287" s="58" t="str" cm="1">
        <f>IFERROR(INDEX(List_Predictors, INDEX(Array_PredictorsLookup,MATCH($A287,List_PredictorFacilities,0),(COLUMN()-1)/2), 1),"")</f>
        <v/>
      </c>
      <c r="J287" s="137"/>
      <c r="K287" s="58" t="str" cm="1">
        <f>IFERROR(INDEX(List_Predictors, INDEX(Array_PredictorsLookup,MATCH($A287,List_PredictorFacilities,0),(COLUMN()-1)/2), 1),"")</f>
        <v/>
      </c>
      <c r="L287" s="137"/>
      <c r="M287" s="58" t="str" cm="1">
        <f>IFERROR(INDEX(List_Predictors, INDEX(Array_PredictorsLookup,MATCH($A287,List_PredictorFacilities,0),(COLUMN()-1)/2), 1),"")</f>
        <v/>
      </c>
      <c r="N287" s="137"/>
      <c r="O287" s="58" t="str" cm="1">
        <f>IFERROR(INDEX(List_Predictors, INDEX(Array_PredictorsLookup,MATCH($A287,List_PredictorFacilities,0),(COLUMN()-1)/2), 1),"")</f>
        <v/>
      </c>
      <c r="P287" s="137"/>
      <c r="Q287" s="58" t="str" cm="1">
        <f>IFERROR(INDEX(List_Predictors, INDEX(Array_PredictorsLookup,MATCH($A287,List_PredictorFacilities,0),(COLUMN()-1)/2), 1),"")</f>
        <v/>
      </c>
      <c r="R287" s="137"/>
      <c r="S287" s="58" t="str" cm="1">
        <f>IFERROR(INDEX(List_Predictors, INDEX(Array_PredictorsLookup,MATCH($A287,List_PredictorFacilities,0),(COLUMN()-1)/2), 1),"")</f>
        <v/>
      </c>
      <c r="T287" s="137"/>
      <c r="U287" s="58" t="str" cm="1">
        <f>IFERROR(INDEX(List_Predictors, INDEX(Array_PredictorsLookup,MATCH($A287,List_PredictorFacilities,0),(COLUMN()-1)/2), 1),"")</f>
        <v/>
      </c>
      <c r="V287" s="137"/>
      <c r="W287" s="58" t="str" cm="1">
        <f>IFERROR(INDEX(List_Predictors, INDEX(Array_PredictorsLookup,MATCH($A287,List_PredictorFacilities,0),(COLUMN()-1)/2), 1),"")</f>
        <v/>
      </c>
      <c r="X287" s="137"/>
      <c r="Y287" s="58" t="str" cm="1">
        <f>IFERROR(INDEX(List_Predictors, INDEX(Array_PredictorsLookup,MATCH($A287,List_PredictorFacilities,0),(COLUMN()-1)/2), 1),"")</f>
        <v/>
      </c>
      <c r="Z287" s="137"/>
      <c r="AA287" s="58" t="str" cm="1">
        <f>IFERROR(INDEX(List_Predictors, INDEX(Array_PredictorsLookup,MATCH($A287,List_PredictorFacilities,0),(COLUMN()-1)/2), 1),"")</f>
        <v/>
      </c>
      <c r="AB287" s="137"/>
      <c r="AC287" s="58" t="str" cm="1">
        <f>IFERROR(INDEX(List_Predictors, INDEX(Array_PredictorsLookup,MATCH($A287,List_PredictorFacilities,0),(COLUMN()-1)/2), 1),"")</f>
        <v/>
      </c>
      <c r="AD287" s="137"/>
      <c r="AE287" s="58" t="str" cm="1">
        <f>IFERROR(INDEX(List_Predictors, INDEX(Array_PredictorsLookup,MATCH($A287,List_PredictorFacilities,0),(COLUMN()-1)/2), 1),"")</f>
        <v/>
      </c>
      <c r="AF287" s="137"/>
    </row>
    <row r="288" spans="1:32" x14ac:dyDescent="0.3">
      <c r="A288" s="126"/>
      <c r="B288" s="141"/>
      <c r="C288" s="58" t="str" cm="1">
        <f>IFERROR(INDEX(List_Predictors, INDEX(Array_PredictorsLookup,MATCH($A288,List_PredictorFacilities,0),(COLUMN()-1)/2), 1),"")</f>
        <v/>
      </c>
      <c r="D288" s="137"/>
      <c r="E288" s="58" t="str" cm="1">
        <f>IFERROR(INDEX(List_Predictors, INDEX(Array_PredictorsLookup,MATCH($A288,List_PredictorFacilities,0),(COLUMN()-1)/2), 1),"")</f>
        <v/>
      </c>
      <c r="F288" s="137"/>
      <c r="G288" s="58" t="str" cm="1">
        <f>IFERROR(INDEX(List_Predictors, INDEX(Array_PredictorsLookup,MATCH($A288,List_PredictorFacilities,0),(COLUMN()-1)/2), 1),"")</f>
        <v/>
      </c>
      <c r="H288" s="137"/>
      <c r="I288" s="58" t="str" cm="1">
        <f>IFERROR(INDEX(List_Predictors, INDEX(Array_PredictorsLookup,MATCH($A288,List_PredictorFacilities,0),(COLUMN()-1)/2), 1),"")</f>
        <v/>
      </c>
      <c r="J288" s="137"/>
      <c r="K288" s="58" t="str" cm="1">
        <f>IFERROR(INDEX(List_Predictors, INDEX(Array_PredictorsLookup,MATCH($A288,List_PredictorFacilities,0),(COLUMN()-1)/2), 1),"")</f>
        <v/>
      </c>
      <c r="L288" s="137"/>
      <c r="M288" s="58" t="str" cm="1">
        <f>IFERROR(INDEX(List_Predictors, INDEX(Array_PredictorsLookup,MATCH($A288,List_PredictorFacilities,0),(COLUMN()-1)/2), 1),"")</f>
        <v/>
      </c>
      <c r="N288" s="137"/>
      <c r="O288" s="58" t="str" cm="1">
        <f>IFERROR(INDEX(List_Predictors, INDEX(Array_PredictorsLookup,MATCH($A288,List_PredictorFacilities,0),(COLUMN()-1)/2), 1),"")</f>
        <v/>
      </c>
      <c r="P288" s="137"/>
      <c r="Q288" s="58" t="str" cm="1">
        <f>IFERROR(INDEX(List_Predictors, INDEX(Array_PredictorsLookup,MATCH($A288,List_PredictorFacilities,0),(COLUMN()-1)/2), 1),"")</f>
        <v/>
      </c>
      <c r="R288" s="137"/>
      <c r="S288" s="58" t="str" cm="1">
        <f>IFERROR(INDEX(List_Predictors, INDEX(Array_PredictorsLookup,MATCH($A288,List_PredictorFacilities,0),(COLUMN()-1)/2), 1),"")</f>
        <v/>
      </c>
      <c r="T288" s="137"/>
      <c r="U288" s="58" t="str" cm="1">
        <f>IFERROR(INDEX(List_Predictors, INDEX(Array_PredictorsLookup,MATCH($A288,List_PredictorFacilities,0),(COLUMN()-1)/2), 1),"")</f>
        <v/>
      </c>
      <c r="V288" s="137"/>
      <c r="W288" s="58" t="str" cm="1">
        <f>IFERROR(INDEX(List_Predictors, INDEX(Array_PredictorsLookup,MATCH($A288,List_PredictorFacilities,0),(COLUMN()-1)/2), 1),"")</f>
        <v/>
      </c>
      <c r="X288" s="137"/>
      <c r="Y288" s="58" t="str" cm="1">
        <f>IFERROR(INDEX(List_Predictors, INDEX(Array_PredictorsLookup,MATCH($A288,List_PredictorFacilities,0),(COLUMN()-1)/2), 1),"")</f>
        <v/>
      </c>
      <c r="Z288" s="137"/>
      <c r="AA288" s="58" t="str" cm="1">
        <f>IFERROR(INDEX(List_Predictors, INDEX(Array_PredictorsLookup,MATCH($A288,List_PredictorFacilities,0),(COLUMN()-1)/2), 1),"")</f>
        <v/>
      </c>
      <c r="AB288" s="137"/>
      <c r="AC288" s="58" t="str" cm="1">
        <f>IFERROR(INDEX(List_Predictors, INDEX(Array_PredictorsLookup,MATCH($A288,List_PredictorFacilities,0),(COLUMN()-1)/2), 1),"")</f>
        <v/>
      </c>
      <c r="AD288" s="137"/>
      <c r="AE288" s="58" t="str" cm="1">
        <f>IFERROR(INDEX(List_Predictors, INDEX(Array_PredictorsLookup,MATCH($A288,List_PredictorFacilities,0),(COLUMN()-1)/2), 1),"")</f>
        <v/>
      </c>
      <c r="AF288" s="137"/>
    </row>
    <row r="289" spans="1:32" x14ac:dyDescent="0.3">
      <c r="A289" s="126"/>
      <c r="B289" s="141"/>
      <c r="C289" s="58" t="str" cm="1">
        <f>IFERROR(INDEX(List_Predictors, INDEX(Array_PredictorsLookup,MATCH($A289,List_PredictorFacilities,0),(COLUMN()-1)/2), 1),"")</f>
        <v/>
      </c>
      <c r="D289" s="137"/>
      <c r="E289" s="58" t="str" cm="1">
        <f>IFERROR(INDEX(List_Predictors, INDEX(Array_PredictorsLookup,MATCH($A289,List_PredictorFacilities,0),(COLUMN()-1)/2), 1),"")</f>
        <v/>
      </c>
      <c r="F289" s="137"/>
      <c r="G289" s="58" t="str" cm="1">
        <f>IFERROR(INDEX(List_Predictors, INDEX(Array_PredictorsLookup,MATCH($A289,List_PredictorFacilities,0),(COLUMN()-1)/2), 1),"")</f>
        <v/>
      </c>
      <c r="H289" s="137"/>
      <c r="I289" s="58" t="str" cm="1">
        <f>IFERROR(INDEX(List_Predictors, INDEX(Array_PredictorsLookup,MATCH($A289,List_PredictorFacilities,0),(COLUMN()-1)/2), 1),"")</f>
        <v/>
      </c>
      <c r="J289" s="137"/>
      <c r="K289" s="58" t="str" cm="1">
        <f>IFERROR(INDEX(List_Predictors, INDEX(Array_PredictorsLookup,MATCH($A289,List_PredictorFacilities,0),(COLUMN()-1)/2), 1),"")</f>
        <v/>
      </c>
      <c r="L289" s="137"/>
      <c r="M289" s="58" t="str" cm="1">
        <f>IFERROR(INDEX(List_Predictors, INDEX(Array_PredictorsLookup,MATCH($A289,List_PredictorFacilities,0),(COLUMN()-1)/2), 1),"")</f>
        <v/>
      </c>
      <c r="N289" s="137"/>
      <c r="O289" s="58" t="str" cm="1">
        <f>IFERROR(INDEX(List_Predictors, INDEX(Array_PredictorsLookup,MATCH($A289,List_PredictorFacilities,0),(COLUMN()-1)/2), 1),"")</f>
        <v/>
      </c>
      <c r="P289" s="137"/>
      <c r="Q289" s="58" t="str" cm="1">
        <f>IFERROR(INDEX(List_Predictors, INDEX(Array_PredictorsLookup,MATCH($A289,List_PredictorFacilities,0),(COLUMN()-1)/2), 1),"")</f>
        <v/>
      </c>
      <c r="R289" s="137"/>
      <c r="S289" s="58" t="str" cm="1">
        <f>IFERROR(INDEX(List_Predictors, INDEX(Array_PredictorsLookup,MATCH($A289,List_PredictorFacilities,0),(COLUMN()-1)/2), 1),"")</f>
        <v/>
      </c>
      <c r="T289" s="137"/>
      <c r="U289" s="58" t="str" cm="1">
        <f>IFERROR(INDEX(List_Predictors, INDEX(Array_PredictorsLookup,MATCH($A289,List_PredictorFacilities,0),(COLUMN()-1)/2), 1),"")</f>
        <v/>
      </c>
      <c r="V289" s="137"/>
      <c r="W289" s="58" t="str" cm="1">
        <f>IFERROR(INDEX(List_Predictors, INDEX(Array_PredictorsLookup,MATCH($A289,List_PredictorFacilities,0),(COLUMN()-1)/2), 1),"")</f>
        <v/>
      </c>
      <c r="X289" s="137"/>
      <c r="Y289" s="58" t="str" cm="1">
        <f>IFERROR(INDEX(List_Predictors, INDEX(Array_PredictorsLookup,MATCH($A289,List_PredictorFacilities,0),(COLUMN()-1)/2), 1),"")</f>
        <v/>
      </c>
      <c r="Z289" s="137"/>
      <c r="AA289" s="58" t="str" cm="1">
        <f>IFERROR(INDEX(List_Predictors, INDEX(Array_PredictorsLookup,MATCH($A289,List_PredictorFacilities,0),(COLUMN()-1)/2), 1),"")</f>
        <v/>
      </c>
      <c r="AB289" s="137"/>
      <c r="AC289" s="58" t="str" cm="1">
        <f>IFERROR(INDEX(List_Predictors, INDEX(Array_PredictorsLookup,MATCH($A289,List_PredictorFacilities,0),(COLUMN()-1)/2), 1),"")</f>
        <v/>
      </c>
      <c r="AD289" s="137"/>
      <c r="AE289" s="58" t="str" cm="1">
        <f>IFERROR(INDEX(List_Predictors, INDEX(Array_PredictorsLookup,MATCH($A289,List_PredictorFacilities,0),(COLUMN()-1)/2), 1),"")</f>
        <v/>
      </c>
      <c r="AF289" s="137"/>
    </row>
    <row r="290" spans="1:32" x14ac:dyDescent="0.3">
      <c r="A290" s="126"/>
      <c r="B290" s="141"/>
      <c r="C290" s="58" t="str" cm="1">
        <f>IFERROR(INDEX(List_Predictors, INDEX(Array_PredictorsLookup,MATCH($A290,List_PredictorFacilities,0),(COLUMN()-1)/2), 1),"")</f>
        <v/>
      </c>
      <c r="D290" s="137"/>
      <c r="E290" s="58" t="str" cm="1">
        <f>IFERROR(INDEX(List_Predictors, INDEX(Array_PredictorsLookup,MATCH($A290,List_PredictorFacilities,0),(COLUMN()-1)/2), 1),"")</f>
        <v/>
      </c>
      <c r="F290" s="137"/>
      <c r="G290" s="58" t="str" cm="1">
        <f>IFERROR(INDEX(List_Predictors, INDEX(Array_PredictorsLookup,MATCH($A290,List_PredictorFacilities,0),(COLUMN()-1)/2), 1),"")</f>
        <v/>
      </c>
      <c r="H290" s="137"/>
      <c r="I290" s="58" t="str" cm="1">
        <f>IFERROR(INDEX(List_Predictors, INDEX(Array_PredictorsLookup,MATCH($A290,List_PredictorFacilities,0),(COLUMN()-1)/2), 1),"")</f>
        <v/>
      </c>
      <c r="J290" s="137"/>
      <c r="K290" s="58" t="str" cm="1">
        <f>IFERROR(INDEX(List_Predictors, INDEX(Array_PredictorsLookup,MATCH($A290,List_PredictorFacilities,0),(COLUMN()-1)/2), 1),"")</f>
        <v/>
      </c>
      <c r="L290" s="137"/>
      <c r="M290" s="58" t="str" cm="1">
        <f>IFERROR(INDEX(List_Predictors, INDEX(Array_PredictorsLookup,MATCH($A290,List_PredictorFacilities,0),(COLUMN()-1)/2), 1),"")</f>
        <v/>
      </c>
      <c r="N290" s="137"/>
      <c r="O290" s="58" t="str" cm="1">
        <f>IFERROR(INDEX(List_Predictors, INDEX(Array_PredictorsLookup,MATCH($A290,List_PredictorFacilities,0),(COLUMN()-1)/2), 1),"")</f>
        <v/>
      </c>
      <c r="P290" s="137"/>
      <c r="Q290" s="58" t="str" cm="1">
        <f>IFERROR(INDEX(List_Predictors, INDEX(Array_PredictorsLookup,MATCH($A290,List_PredictorFacilities,0),(COLUMN()-1)/2), 1),"")</f>
        <v/>
      </c>
      <c r="R290" s="137"/>
      <c r="S290" s="58" t="str" cm="1">
        <f>IFERROR(INDEX(List_Predictors, INDEX(Array_PredictorsLookup,MATCH($A290,List_PredictorFacilities,0),(COLUMN()-1)/2), 1),"")</f>
        <v/>
      </c>
      <c r="T290" s="137"/>
      <c r="U290" s="58" t="str" cm="1">
        <f>IFERROR(INDEX(List_Predictors, INDEX(Array_PredictorsLookup,MATCH($A290,List_PredictorFacilities,0),(COLUMN()-1)/2), 1),"")</f>
        <v/>
      </c>
      <c r="V290" s="137"/>
      <c r="W290" s="58" t="str" cm="1">
        <f>IFERROR(INDEX(List_Predictors, INDEX(Array_PredictorsLookup,MATCH($A290,List_PredictorFacilities,0),(COLUMN()-1)/2), 1),"")</f>
        <v/>
      </c>
      <c r="X290" s="137"/>
      <c r="Y290" s="58" t="str" cm="1">
        <f>IFERROR(INDEX(List_Predictors, INDEX(Array_PredictorsLookup,MATCH($A290,List_PredictorFacilities,0),(COLUMN()-1)/2), 1),"")</f>
        <v/>
      </c>
      <c r="Z290" s="137"/>
      <c r="AA290" s="58" t="str" cm="1">
        <f>IFERROR(INDEX(List_Predictors, INDEX(Array_PredictorsLookup,MATCH($A290,List_PredictorFacilities,0),(COLUMN()-1)/2), 1),"")</f>
        <v/>
      </c>
      <c r="AB290" s="137"/>
      <c r="AC290" s="58" t="str" cm="1">
        <f>IFERROR(INDEX(List_Predictors, INDEX(Array_PredictorsLookup,MATCH($A290,List_PredictorFacilities,0),(COLUMN()-1)/2), 1),"")</f>
        <v/>
      </c>
      <c r="AD290" s="137"/>
      <c r="AE290" s="58" t="str" cm="1">
        <f>IFERROR(INDEX(List_Predictors, INDEX(Array_PredictorsLookup,MATCH($A290,List_PredictorFacilities,0),(COLUMN()-1)/2), 1),"")</f>
        <v/>
      </c>
      <c r="AF290" s="137"/>
    </row>
    <row r="291" spans="1:32" x14ac:dyDescent="0.3">
      <c r="A291" s="126"/>
      <c r="B291" s="141"/>
      <c r="C291" s="58" t="str" cm="1">
        <f>IFERROR(INDEX(List_Predictors, INDEX(Array_PredictorsLookup,MATCH($A291,List_PredictorFacilities,0),(COLUMN()-1)/2), 1),"")</f>
        <v/>
      </c>
      <c r="D291" s="137"/>
      <c r="E291" s="58" t="str" cm="1">
        <f>IFERROR(INDEX(List_Predictors, INDEX(Array_PredictorsLookup,MATCH($A291,List_PredictorFacilities,0),(COLUMN()-1)/2), 1),"")</f>
        <v/>
      </c>
      <c r="F291" s="137"/>
      <c r="G291" s="58" t="str" cm="1">
        <f>IFERROR(INDEX(List_Predictors, INDEX(Array_PredictorsLookup,MATCH($A291,List_PredictorFacilities,0),(COLUMN()-1)/2), 1),"")</f>
        <v/>
      </c>
      <c r="H291" s="137"/>
      <c r="I291" s="58" t="str" cm="1">
        <f>IFERROR(INDEX(List_Predictors, INDEX(Array_PredictorsLookup,MATCH($A291,List_PredictorFacilities,0),(COLUMN()-1)/2), 1),"")</f>
        <v/>
      </c>
      <c r="J291" s="137"/>
      <c r="K291" s="58" t="str" cm="1">
        <f>IFERROR(INDEX(List_Predictors, INDEX(Array_PredictorsLookup,MATCH($A291,List_PredictorFacilities,0),(COLUMN()-1)/2), 1),"")</f>
        <v/>
      </c>
      <c r="L291" s="137"/>
      <c r="M291" s="58" t="str" cm="1">
        <f>IFERROR(INDEX(List_Predictors, INDEX(Array_PredictorsLookup,MATCH($A291,List_PredictorFacilities,0),(COLUMN()-1)/2), 1),"")</f>
        <v/>
      </c>
      <c r="N291" s="137"/>
      <c r="O291" s="58" t="str" cm="1">
        <f>IFERROR(INDEX(List_Predictors, INDEX(Array_PredictorsLookup,MATCH($A291,List_PredictorFacilities,0),(COLUMN()-1)/2), 1),"")</f>
        <v/>
      </c>
      <c r="P291" s="137"/>
      <c r="Q291" s="58" t="str" cm="1">
        <f>IFERROR(INDEX(List_Predictors, INDEX(Array_PredictorsLookup,MATCH($A291,List_PredictorFacilities,0),(COLUMN()-1)/2), 1),"")</f>
        <v/>
      </c>
      <c r="R291" s="137"/>
      <c r="S291" s="58" t="str" cm="1">
        <f>IFERROR(INDEX(List_Predictors, INDEX(Array_PredictorsLookup,MATCH($A291,List_PredictorFacilities,0),(COLUMN()-1)/2), 1),"")</f>
        <v/>
      </c>
      <c r="T291" s="137"/>
      <c r="U291" s="58" t="str" cm="1">
        <f>IFERROR(INDEX(List_Predictors, INDEX(Array_PredictorsLookup,MATCH($A291,List_PredictorFacilities,0),(COLUMN()-1)/2), 1),"")</f>
        <v/>
      </c>
      <c r="V291" s="137"/>
      <c r="W291" s="58" t="str" cm="1">
        <f>IFERROR(INDEX(List_Predictors, INDEX(Array_PredictorsLookup,MATCH($A291,List_PredictorFacilities,0),(COLUMN()-1)/2), 1),"")</f>
        <v/>
      </c>
      <c r="X291" s="137"/>
      <c r="Y291" s="58" t="str" cm="1">
        <f>IFERROR(INDEX(List_Predictors, INDEX(Array_PredictorsLookup,MATCH($A291,List_PredictorFacilities,0),(COLUMN()-1)/2), 1),"")</f>
        <v/>
      </c>
      <c r="Z291" s="137"/>
      <c r="AA291" s="58" t="str" cm="1">
        <f>IFERROR(INDEX(List_Predictors, INDEX(Array_PredictorsLookup,MATCH($A291,List_PredictorFacilities,0),(COLUMN()-1)/2), 1),"")</f>
        <v/>
      </c>
      <c r="AB291" s="137"/>
      <c r="AC291" s="58" t="str" cm="1">
        <f>IFERROR(INDEX(List_Predictors, INDEX(Array_PredictorsLookup,MATCH($A291,List_PredictorFacilities,0),(COLUMN()-1)/2), 1),"")</f>
        <v/>
      </c>
      <c r="AD291" s="137"/>
      <c r="AE291" s="58" t="str" cm="1">
        <f>IFERROR(INDEX(List_Predictors, INDEX(Array_PredictorsLookup,MATCH($A291,List_PredictorFacilities,0),(COLUMN()-1)/2), 1),"")</f>
        <v/>
      </c>
      <c r="AF291" s="137"/>
    </row>
    <row r="292" spans="1:32" x14ac:dyDescent="0.3">
      <c r="A292" s="126"/>
      <c r="B292" s="141"/>
      <c r="C292" s="58" t="str" cm="1">
        <f>IFERROR(INDEX(List_Predictors, INDEX(Array_PredictorsLookup,MATCH($A292,List_PredictorFacilities,0),(COLUMN()-1)/2), 1),"")</f>
        <v/>
      </c>
      <c r="D292" s="137"/>
      <c r="E292" s="58" t="str" cm="1">
        <f>IFERROR(INDEX(List_Predictors, INDEX(Array_PredictorsLookup,MATCH($A292,List_PredictorFacilities,0),(COLUMN()-1)/2), 1),"")</f>
        <v/>
      </c>
      <c r="F292" s="137"/>
      <c r="G292" s="58" t="str" cm="1">
        <f>IFERROR(INDEX(List_Predictors, INDEX(Array_PredictorsLookup,MATCH($A292,List_PredictorFacilities,0),(COLUMN()-1)/2), 1),"")</f>
        <v/>
      </c>
      <c r="H292" s="137"/>
      <c r="I292" s="58" t="str" cm="1">
        <f>IFERROR(INDEX(List_Predictors, INDEX(Array_PredictorsLookup,MATCH($A292,List_PredictorFacilities,0),(COLUMN()-1)/2), 1),"")</f>
        <v/>
      </c>
      <c r="J292" s="137"/>
      <c r="K292" s="58" t="str" cm="1">
        <f>IFERROR(INDEX(List_Predictors, INDEX(Array_PredictorsLookup,MATCH($A292,List_PredictorFacilities,0),(COLUMN()-1)/2), 1),"")</f>
        <v/>
      </c>
      <c r="L292" s="137"/>
      <c r="M292" s="58" t="str" cm="1">
        <f>IFERROR(INDEX(List_Predictors, INDEX(Array_PredictorsLookup,MATCH($A292,List_PredictorFacilities,0),(COLUMN()-1)/2), 1),"")</f>
        <v/>
      </c>
      <c r="N292" s="137"/>
      <c r="O292" s="58" t="str" cm="1">
        <f>IFERROR(INDEX(List_Predictors, INDEX(Array_PredictorsLookup,MATCH($A292,List_PredictorFacilities,0),(COLUMN()-1)/2), 1),"")</f>
        <v/>
      </c>
      <c r="P292" s="137"/>
      <c r="Q292" s="58" t="str" cm="1">
        <f>IFERROR(INDEX(List_Predictors, INDEX(Array_PredictorsLookup,MATCH($A292,List_PredictorFacilities,0),(COLUMN()-1)/2), 1),"")</f>
        <v/>
      </c>
      <c r="R292" s="137"/>
      <c r="S292" s="58" t="str" cm="1">
        <f>IFERROR(INDEX(List_Predictors, INDEX(Array_PredictorsLookup,MATCH($A292,List_PredictorFacilities,0),(COLUMN()-1)/2), 1),"")</f>
        <v/>
      </c>
      <c r="T292" s="137"/>
      <c r="U292" s="58" t="str" cm="1">
        <f>IFERROR(INDEX(List_Predictors, INDEX(Array_PredictorsLookup,MATCH($A292,List_PredictorFacilities,0),(COLUMN()-1)/2), 1),"")</f>
        <v/>
      </c>
      <c r="V292" s="137"/>
      <c r="W292" s="58" t="str" cm="1">
        <f>IFERROR(INDEX(List_Predictors, INDEX(Array_PredictorsLookup,MATCH($A292,List_PredictorFacilities,0),(COLUMN()-1)/2), 1),"")</f>
        <v/>
      </c>
      <c r="X292" s="137"/>
      <c r="Y292" s="58" t="str" cm="1">
        <f>IFERROR(INDEX(List_Predictors, INDEX(Array_PredictorsLookup,MATCH($A292,List_PredictorFacilities,0),(COLUMN()-1)/2), 1),"")</f>
        <v/>
      </c>
      <c r="Z292" s="137"/>
      <c r="AA292" s="58" t="str" cm="1">
        <f>IFERROR(INDEX(List_Predictors, INDEX(Array_PredictorsLookup,MATCH($A292,List_PredictorFacilities,0),(COLUMN()-1)/2), 1),"")</f>
        <v/>
      </c>
      <c r="AB292" s="137"/>
      <c r="AC292" s="58" t="str" cm="1">
        <f>IFERROR(INDEX(List_Predictors, INDEX(Array_PredictorsLookup,MATCH($A292,List_PredictorFacilities,0),(COLUMN()-1)/2), 1),"")</f>
        <v/>
      </c>
      <c r="AD292" s="137"/>
      <c r="AE292" s="58" t="str" cm="1">
        <f>IFERROR(INDEX(List_Predictors, INDEX(Array_PredictorsLookup,MATCH($A292,List_PredictorFacilities,0),(COLUMN()-1)/2), 1),"")</f>
        <v/>
      </c>
      <c r="AF292" s="137"/>
    </row>
    <row r="293" spans="1:32" x14ac:dyDescent="0.3">
      <c r="A293" s="126"/>
      <c r="B293" s="141"/>
      <c r="C293" s="58" t="str" cm="1">
        <f>IFERROR(INDEX(List_Predictors, INDEX(Array_PredictorsLookup,MATCH($A293,List_PredictorFacilities,0),(COLUMN()-1)/2), 1),"")</f>
        <v/>
      </c>
      <c r="D293" s="137"/>
      <c r="E293" s="58" t="str" cm="1">
        <f>IFERROR(INDEX(List_Predictors, INDEX(Array_PredictorsLookup,MATCH($A293,List_PredictorFacilities,0),(COLUMN()-1)/2), 1),"")</f>
        <v/>
      </c>
      <c r="F293" s="137"/>
      <c r="G293" s="58" t="str" cm="1">
        <f>IFERROR(INDEX(List_Predictors, INDEX(Array_PredictorsLookup,MATCH($A293,List_PredictorFacilities,0),(COLUMN()-1)/2), 1),"")</f>
        <v/>
      </c>
      <c r="H293" s="137"/>
      <c r="I293" s="58" t="str" cm="1">
        <f>IFERROR(INDEX(List_Predictors, INDEX(Array_PredictorsLookup,MATCH($A293,List_PredictorFacilities,0),(COLUMN()-1)/2), 1),"")</f>
        <v/>
      </c>
      <c r="J293" s="137"/>
      <c r="K293" s="58" t="str" cm="1">
        <f>IFERROR(INDEX(List_Predictors, INDEX(Array_PredictorsLookup,MATCH($A293,List_PredictorFacilities,0),(COLUMN()-1)/2), 1),"")</f>
        <v/>
      </c>
      <c r="L293" s="137"/>
      <c r="M293" s="58" t="str" cm="1">
        <f>IFERROR(INDEX(List_Predictors, INDEX(Array_PredictorsLookup,MATCH($A293,List_PredictorFacilities,0),(COLUMN()-1)/2), 1),"")</f>
        <v/>
      </c>
      <c r="N293" s="137"/>
      <c r="O293" s="58" t="str" cm="1">
        <f>IFERROR(INDEX(List_Predictors, INDEX(Array_PredictorsLookup,MATCH($A293,List_PredictorFacilities,0),(COLUMN()-1)/2), 1),"")</f>
        <v/>
      </c>
      <c r="P293" s="137"/>
      <c r="Q293" s="58" t="str" cm="1">
        <f>IFERROR(INDEX(List_Predictors, INDEX(Array_PredictorsLookup,MATCH($A293,List_PredictorFacilities,0),(COLUMN()-1)/2), 1),"")</f>
        <v/>
      </c>
      <c r="R293" s="137"/>
      <c r="S293" s="58" t="str" cm="1">
        <f>IFERROR(INDEX(List_Predictors, INDEX(Array_PredictorsLookup,MATCH($A293,List_PredictorFacilities,0),(COLUMN()-1)/2), 1),"")</f>
        <v/>
      </c>
      <c r="T293" s="137"/>
      <c r="U293" s="58" t="str" cm="1">
        <f>IFERROR(INDEX(List_Predictors, INDEX(Array_PredictorsLookup,MATCH($A293,List_PredictorFacilities,0),(COLUMN()-1)/2), 1),"")</f>
        <v/>
      </c>
      <c r="V293" s="137"/>
      <c r="W293" s="58" t="str" cm="1">
        <f>IFERROR(INDEX(List_Predictors, INDEX(Array_PredictorsLookup,MATCH($A293,List_PredictorFacilities,0),(COLUMN()-1)/2), 1),"")</f>
        <v/>
      </c>
      <c r="X293" s="137"/>
      <c r="Y293" s="58" t="str" cm="1">
        <f>IFERROR(INDEX(List_Predictors, INDEX(Array_PredictorsLookup,MATCH($A293,List_PredictorFacilities,0),(COLUMN()-1)/2), 1),"")</f>
        <v/>
      </c>
      <c r="Z293" s="137"/>
      <c r="AA293" s="58" t="str" cm="1">
        <f>IFERROR(INDEX(List_Predictors, INDEX(Array_PredictorsLookup,MATCH($A293,List_PredictorFacilities,0),(COLUMN()-1)/2), 1),"")</f>
        <v/>
      </c>
      <c r="AB293" s="137"/>
      <c r="AC293" s="58" t="str" cm="1">
        <f>IFERROR(INDEX(List_Predictors, INDEX(Array_PredictorsLookup,MATCH($A293,List_PredictorFacilities,0),(COLUMN()-1)/2), 1),"")</f>
        <v/>
      </c>
      <c r="AD293" s="137"/>
      <c r="AE293" s="58" t="str" cm="1">
        <f>IFERROR(INDEX(List_Predictors, INDEX(Array_PredictorsLookup,MATCH($A293,List_PredictorFacilities,0),(COLUMN()-1)/2), 1),"")</f>
        <v/>
      </c>
      <c r="AF293" s="137"/>
    </row>
    <row r="294" spans="1:32" x14ac:dyDescent="0.3">
      <c r="A294" s="126"/>
      <c r="B294" s="141"/>
      <c r="C294" s="58" t="str" cm="1">
        <f>IFERROR(INDEX(List_Predictors, INDEX(Array_PredictorsLookup,MATCH($A294,List_PredictorFacilities,0),(COLUMN()-1)/2), 1),"")</f>
        <v/>
      </c>
      <c r="D294" s="137"/>
      <c r="E294" s="58" t="str" cm="1">
        <f>IFERROR(INDEX(List_Predictors, INDEX(Array_PredictorsLookup,MATCH($A294,List_PredictorFacilities,0),(COLUMN()-1)/2), 1),"")</f>
        <v/>
      </c>
      <c r="F294" s="137"/>
      <c r="G294" s="58" t="str" cm="1">
        <f>IFERROR(INDEX(List_Predictors, INDEX(Array_PredictorsLookup,MATCH($A294,List_PredictorFacilities,0),(COLUMN()-1)/2), 1),"")</f>
        <v/>
      </c>
      <c r="H294" s="137"/>
      <c r="I294" s="58" t="str" cm="1">
        <f>IFERROR(INDEX(List_Predictors, INDEX(Array_PredictorsLookup,MATCH($A294,List_PredictorFacilities,0),(COLUMN()-1)/2), 1),"")</f>
        <v/>
      </c>
      <c r="J294" s="137"/>
      <c r="K294" s="58" t="str" cm="1">
        <f>IFERROR(INDEX(List_Predictors, INDEX(Array_PredictorsLookup,MATCH($A294,List_PredictorFacilities,0),(COLUMN()-1)/2), 1),"")</f>
        <v/>
      </c>
      <c r="L294" s="137"/>
      <c r="M294" s="58" t="str" cm="1">
        <f>IFERROR(INDEX(List_Predictors, INDEX(Array_PredictorsLookup,MATCH($A294,List_PredictorFacilities,0),(COLUMN()-1)/2), 1),"")</f>
        <v/>
      </c>
      <c r="N294" s="137"/>
      <c r="O294" s="58" t="str" cm="1">
        <f>IFERROR(INDEX(List_Predictors, INDEX(Array_PredictorsLookup,MATCH($A294,List_PredictorFacilities,0),(COLUMN()-1)/2), 1),"")</f>
        <v/>
      </c>
      <c r="P294" s="137"/>
      <c r="Q294" s="58" t="str" cm="1">
        <f>IFERROR(INDEX(List_Predictors, INDEX(Array_PredictorsLookup,MATCH($A294,List_PredictorFacilities,0),(COLUMN()-1)/2), 1),"")</f>
        <v/>
      </c>
      <c r="R294" s="137"/>
      <c r="S294" s="58" t="str" cm="1">
        <f>IFERROR(INDEX(List_Predictors, INDEX(Array_PredictorsLookup,MATCH($A294,List_PredictorFacilities,0),(COLUMN()-1)/2), 1),"")</f>
        <v/>
      </c>
      <c r="T294" s="137"/>
      <c r="U294" s="58" t="str" cm="1">
        <f>IFERROR(INDEX(List_Predictors, INDEX(Array_PredictorsLookup,MATCH($A294,List_PredictorFacilities,0),(COLUMN()-1)/2), 1),"")</f>
        <v/>
      </c>
      <c r="V294" s="137"/>
      <c r="W294" s="58" t="str" cm="1">
        <f>IFERROR(INDEX(List_Predictors, INDEX(Array_PredictorsLookup,MATCH($A294,List_PredictorFacilities,0),(COLUMN()-1)/2), 1),"")</f>
        <v/>
      </c>
      <c r="X294" s="137"/>
      <c r="Y294" s="58" t="str" cm="1">
        <f>IFERROR(INDEX(List_Predictors, INDEX(Array_PredictorsLookup,MATCH($A294,List_PredictorFacilities,0),(COLUMN()-1)/2), 1),"")</f>
        <v/>
      </c>
      <c r="Z294" s="137"/>
      <c r="AA294" s="58" t="str" cm="1">
        <f>IFERROR(INDEX(List_Predictors, INDEX(Array_PredictorsLookup,MATCH($A294,List_PredictorFacilities,0),(COLUMN()-1)/2), 1),"")</f>
        <v/>
      </c>
      <c r="AB294" s="137"/>
      <c r="AC294" s="58" t="str" cm="1">
        <f>IFERROR(INDEX(List_Predictors, INDEX(Array_PredictorsLookup,MATCH($A294,List_PredictorFacilities,0),(COLUMN()-1)/2), 1),"")</f>
        <v/>
      </c>
      <c r="AD294" s="137"/>
      <c r="AE294" s="58" t="str" cm="1">
        <f>IFERROR(INDEX(List_Predictors, INDEX(Array_PredictorsLookup,MATCH($A294,List_PredictorFacilities,0),(COLUMN()-1)/2), 1),"")</f>
        <v/>
      </c>
      <c r="AF294" s="137"/>
    </row>
    <row r="295" spans="1:32" x14ac:dyDescent="0.3">
      <c r="A295" s="126"/>
      <c r="B295" s="141"/>
      <c r="C295" s="58" t="str" cm="1">
        <f>IFERROR(INDEX(List_Predictors, INDEX(Array_PredictorsLookup,MATCH($A295,List_PredictorFacilities,0),(COLUMN()-1)/2), 1),"")</f>
        <v/>
      </c>
      <c r="D295" s="137"/>
      <c r="E295" s="58" t="str" cm="1">
        <f>IFERROR(INDEX(List_Predictors, INDEX(Array_PredictorsLookup,MATCH($A295,List_PredictorFacilities,0),(COLUMN()-1)/2), 1),"")</f>
        <v/>
      </c>
      <c r="F295" s="137"/>
      <c r="G295" s="58" t="str" cm="1">
        <f>IFERROR(INDEX(List_Predictors, INDEX(Array_PredictorsLookup,MATCH($A295,List_PredictorFacilities,0),(COLUMN()-1)/2), 1),"")</f>
        <v/>
      </c>
      <c r="H295" s="137"/>
      <c r="I295" s="58" t="str" cm="1">
        <f>IFERROR(INDEX(List_Predictors, INDEX(Array_PredictorsLookup,MATCH($A295,List_PredictorFacilities,0),(COLUMN()-1)/2), 1),"")</f>
        <v/>
      </c>
      <c r="J295" s="137"/>
      <c r="K295" s="58" t="str" cm="1">
        <f>IFERROR(INDEX(List_Predictors, INDEX(Array_PredictorsLookup,MATCH($A295,List_PredictorFacilities,0),(COLUMN()-1)/2), 1),"")</f>
        <v/>
      </c>
      <c r="L295" s="137"/>
      <c r="M295" s="58" t="str" cm="1">
        <f>IFERROR(INDEX(List_Predictors, INDEX(Array_PredictorsLookup,MATCH($A295,List_PredictorFacilities,0),(COLUMN()-1)/2), 1),"")</f>
        <v/>
      </c>
      <c r="N295" s="137"/>
      <c r="O295" s="58" t="str" cm="1">
        <f>IFERROR(INDEX(List_Predictors, INDEX(Array_PredictorsLookup,MATCH($A295,List_PredictorFacilities,0),(COLUMN()-1)/2), 1),"")</f>
        <v/>
      </c>
      <c r="P295" s="137"/>
      <c r="Q295" s="58" t="str" cm="1">
        <f>IFERROR(INDEX(List_Predictors, INDEX(Array_PredictorsLookup,MATCH($A295,List_PredictorFacilities,0),(COLUMN()-1)/2), 1),"")</f>
        <v/>
      </c>
      <c r="R295" s="137"/>
      <c r="S295" s="58" t="str" cm="1">
        <f>IFERROR(INDEX(List_Predictors, INDEX(Array_PredictorsLookup,MATCH($A295,List_PredictorFacilities,0),(COLUMN()-1)/2), 1),"")</f>
        <v/>
      </c>
      <c r="T295" s="137"/>
      <c r="U295" s="58" t="str" cm="1">
        <f>IFERROR(INDEX(List_Predictors, INDEX(Array_PredictorsLookup,MATCH($A295,List_PredictorFacilities,0),(COLUMN()-1)/2), 1),"")</f>
        <v/>
      </c>
      <c r="V295" s="137"/>
      <c r="W295" s="58" t="str" cm="1">
        <f>IFERROR(INDEX(List_Predictors, INDEX(Array_PredictorsLookup,MATCH($A295,List_PredictorFacilities,0),(COLUMN()-1)/2), 1),"")</f>
        <v/>
      </c>
      <c r="X295" s="137"/>
      <c r="Y295" s="58" t="str" cm="1">
        <f>IFERROR(INDEX(List_Predictors, INDEX(Array_PredictorsLookup,MATCH($A295,List_PredictorFacilities,0),(COLUMN()-1)/2), 1),"")</f>
        <v/>
      </c>
      <c r="Z295" s="137"/>
      <c r="AA295" s="58" t="str" cm="1">
        <f>IFERROR(INDEX(List_Predictors, INDEX(Array_PredictorsLookup,MATCH($A295,List_PredictorFacilities,0),(COLUMN()-1)/2), 1),"")</f>
        <v/>
      </c>
      <c r="AB295" s="137"/>
      <c r="AC295" s="58" t="str" cm="1">
        <f>IFERROR(INDEX(List_Predictors, INDEX(Array_PredictorsLookup,MATCH($A295,List_PredictorFacilities,0),(COLUMN()-1)/2), 1),"")</f>
        <v/>
      </c>
      <c r="AD295" s="137"/>
      <c r="AE295" s="58" t="str" cm="1">
        <f>IFERROR(INDEX(List_Predictors, INDEX(Array_PredictorsLookup,MATCH($A295,List_PredictorFacilities,0),(COLUMN()-1)/2), 1),"")</f>
        <v/>
      </c>
      <c r="AF295" s="137"/>
    </row>
    <row r="296" spans="1:32" x14ac:dyDescent="0.3">
      <c r="A296" s="126"/>
      <c r="B296" s="141"/>
      <c r="C296" s="58" t="str" cm="1">
        <f>IFERROR(INDEX(List_Predictors, INDEX(Array_PredictorsLookup,MATCH($A296,List_PredictorFacilities,0),(COLUMN()-1)/2), 1),"")</f>
        <v/>
      </c>
      <c r="D296" s="137"/>
      <c r="E296" s="58" t="str" cm="1">
        <f>IFERROR(INDEX(List_Predictors, INDEX(Array_PredictorsLookup,MATCH($A296,List_PredictorFacilities,0),(COLUMN()-1)/2), 1),"")</f>
        <v/>
      </c>
      <c r="F296" s="137"/>
      <c r="G296" s="58" t="str" cm="1">
        <f>IFERROR(INDEX(List_Predictors, INDEX(Array_PredictorsLookup,MATCH($A296,List_PredictorFacilities,0),(COLUMN()-1)/2), 1),"")</f>
        <v/>
      </c>
      <c r="H296" s="137"/>
      <c r="I296" s="58" t="str" cm="1">
        <f>IFERROR(INDEX(List_Predictors, INDEX(Array_PredictorsLookup,MATCH($A296,List_PredictorFacilities,0),(COLUMN()-1)/2), 1),"")</f>
        <v/>
      </c>
      <c r="J296" s="137"/>
      <c r="K296" s="58" t="str" cm="1">
        <f>IFERROR(INDEX(List_Predictors, INDEX(Array_PredictorsLookup,MATCH($A296,List_PredictorFacilities,0),(COLUMN()-1)/2), 1),"")</f>
        <v/>
      </c>
      <c r="L296" s="137"/>
      <c r="M296" s="58" t="str" cm="1">
        <f>IFERROR(INDEX(List_Predictors, INDEX(Array_PredictorsLookup,MATCH($A296,List_PredictorFacilities,0),(COLUMN()-1)/2), 1),"")</f>
        <v/>
      </c>
      <c r="N296" s="137"/>
      <c r="O296" s="58" t="str" cm="1">
        <f>IFERROR(INDEX(List_Predictors, INDEX(Array_PredictorsLookup,MATCH($A296,List_PredictorFacilities,0),(COLUMN()-1)/2), 1),"")</f>
        <v/>
      </c>
      <c r="P296" s="137"/>
      <c r="Q296" s="58" t="str" cm="1">
        <f>IFERROR(INDEX(List_Predictors, INDEX(Array_PredictorsLookup,MATCH($A296,List_PredictorFacilities,0),(COLUMN()-1)/2), 1),"")</f>
        <v/>
      </c>
      <c r="R296" s="137"/>
      <c r="S296" s="58" t="str" cm="1">
        <f>IFERROR(INDEX(List_Predictors, INDEX(Array_PredictorsLookup,MATCH($A296,List_PredictorFacilities,0),(COLUMN()-1)/2), 1),"")</f>
        <v/>
      </c>
      <c r="T296" s="137"/>
      <c r="U296" s="58" t="str" cm="1">
        <f>IFERROR(INDEX(List_Predictors, INDEX(Array_PredictorsLookup,MATCH($A296,List_PredictorFacilities,0),(COLUMN()-1)/2), 1),"")</f>
        <v/>
      </c>
      <c r="V296" s="137"/>
      <c r="W296" s="58" t="str" cm="1">
        <f>IFERROR(INDEX(List_Predictors, INDEX(Array_PredictorsLookup,MATCH($A296,List_PredictorFacilities,0),(COLUMN()-1)/2), 1),"")</f>
        <v/>
      </c>
      <c r="X296" s="137"/>
      <c r="Y296" s="58" t="str" cm="1">
        <f>IFERROR(INDEX(List_Predictors, INDEX(Array_PredictorsLookup,MATCH($A296,List_PredictorFacilities,0),(COLUMN()-1)/2), 1),"")</f>
        <v/>
      </c>
      <c r="Z296" s="137"/>
      <c r="AA296" s="58" t="str" cm="1">
        <f>IFERROR(INDEX(List_Predictors, INDEX(Array_PredictorsLookup,MATCH($A296,List_PredictorFacilities,0),(COLUMN()-1)/2), 1),"")</f>
        <v/>
      </c>
      <c r="AB296" s="137"/>
      <c r="AC296" s="58" t="str" cm="1">
        <f>IFERROR(INDEX(List_Predictors, INDEX(Array_PredictorsLookup,MATCH($A296,List_PredictorFacilities,0),(COLUMN()-1)/2), 1),"")</f>
        <v/>
      </c>
      <c r="AD296" s="137"/>
      <c r="AE296" s="58" t="str" cm="1">
        <f>IFERROR(INDEX(List_Predictors, INDEX(Array_PredictorsLookup,MATCH($A296,List_PredictorFacilities,0),(COLUMN()-1)/2), 1),"")</f>
        <v/>
      </c>
      <c r="AF296" s="137"/>
    </row>
    <row r="297" spans="1:32" x14ac:dyDescent="0.3">
      <c r="A297" s="126"/>
      <c r="B297" s="141"/>
      <c r="C297" s="58" t="str" cm="1">
        <f>IFERROR(INDEX(List_Predictors, INDEX(Array_PredictorsLookup,MATCH($A297,List_PredictorFacilities,0),(COLUMN()-1)/2), 1),"")</f>
        <v/>
      </c>
      <c r="D297" s="137"/>
      <c r="E297" s="58" t="str" cm="1">
        <f>IFERROR(INDEX(List_Predictors, INDEX(Array_PredictorsLookup,MATCH($A297,List_PredictorFacilities,0),(COLUMN()-1)/2), 1),"")</f>
        <v/>
      </c>
      <c r="F297" s="137"/>
      <c r="G297" s="58" t="str" cm="1">
        <f>IFERROR(INDEX(List_Predictors, INDEX(Array_PredictorsLookup,MATCH($A297,List_PredictorFacilities,0),(COLUMN()-1)/2), 1),"")</f>
        <v/>
      </c>
      <c r="H297" s="137"/>
      <c r="I297" s="58" t="str" cm="1">
        <f>IFERROR(INDEX(List_Predictors, INDEX(Array_PredictorsLookup,MATCH($A297,List_PredictorFacilities,0),(COLUMN()-1)/2), 1),"")</f>
        <v/>
      </c>
      <c r="J297" s="137"/>
      <c r="K297" s="58" t="str" cm="1">
        <f>IFERROR(INDEX(List_Predictors, INDEX(Array_PredictorsLookup,MATCH($A297,List_PredictorFacilities,0),(COLUMN()-1)/2), 1),"")</f>
        <v/>
      </c>
      <c r="L297" s="137"/>
      <c r="M297" s="58" t="str" cm="1">
        <f>IFERROR(INDEX(List_Predictors, INDEX(Array_PredictorsLookup,MATCH($A297,List_PredictorFacilities,0),(COLUMN()-1)/2), 1),"")</f>
        <v/>
      </c>
      <c r="N297" s="137"/>
      <c r="O297" s="58" t="str" cm="1">
        <f>IFERROR(INDEX(List_Predictors, INDEX(Array_PredictorsLookup,MATCH($A297,List_PredictorFacilities,0),(COLUMN()-1)/2), 1),"")</f>
        <v/>
      </c>
      <c r="P297" s="137"/>
      <c r="Q297" s="58" t="str" cm="1">
        <f>IFERROR(INDEX(List_Predictors, INDEX(Array_PredictorsLookup,MATCH($A297,List_PredictorFacilities,0),(COLUMN()-1)/2), 1),"")</f>
        <v/>
      </c>
      <c r="R297" s="137"/>
      <c r="S297" s="58" t="str" cm="1">
        <f>IFERROR(INDEX(List_Predictors, INDEX(Array_PredictorsLookup,MATCH($A297,List_PredictorFacilities,0),(COLUMN()-1)/2), 1),"")</f>
        <v/>
      </c>
      <c r="T297" s="137"/>
      <c r="U297" s="58" t="str" cm="1">
        <f>IFERROR(INDEX(List_Predictors, INDEX(Array_PredictorsLookup,MATCH($A297,List_PredictorFacilities,0),(COLUMN()-1)/2), 1),"")</f>
        <v/>
      </c>
      <c r="V297" s="137"/>
      <c r="W297" s="58" t="str" cm="1">
        <f>IFERROR(INDEX(List_Predictors, INDEX(Array_PredictorsLookup,MATCH($A297,List_PredictorFacilities,0),(COLUMN()-1)/2), 1),"")</f>
        <v/>
      </c>
      <c r="X297" s="137"/>
      <c r="Y297" s="58" t="str" cm="1">
        <f>IFERROR(INDEX(List_Predictors, INDEX(Array_PredictorsLookup,MATCH($A297,List_PredictorFacilities,0),(COLUMN()-1)/2), 1),"")</f>
        <v/>
      </c>
      <c r="Z297" s="137"/>
      <c r="AA297" s="58" t="str" cm="1">
        <f>IFERROR(INDEX(List_Predictors, INDEX(Array_PredictorsLookup,MATCH($A297,List_PredictorFacilities,0),(COLUMN()-1)/2), 1),"")</f>
        <v/>
      </c>
      <c r="AB297" s="137"/>
      <c r="AC297" s="58" t="str" cm="1">
        <f>IFERROR(INDEX(List_Predictors, INDEX(Array_PredictorsLookup,MATCH($A297,List_PredictorFacilities,0),(COLUMN()-1)/2), 1),"")</f>
        <v/>
      </c>
      <c r="AD297" s="137"/>
      <c r="AE297" s="58" t="str" cm="1">
        <f>IFERROR(INDEX(List_Predictors, INDEX(Array_PredictorsLookup,MATCH($A297,List_PredictorFacilities,0),(COLUMN()-1)/2), 1),"")</f>
        <v/>
      </c>
      <c r="AF297" s="137"/>
    </row>
    <row r="298" spans="1:32" x14ac:dyDescent="0.3">
      <c r="A298" s="126"/>
      <c r="B298" s="141"/>
      <c r="C298" s="58" t="str" cm="1">
        <f>IFERROR(INDEX(List_Predictors, INDEX(Array_PredictorsLookup,MATCH($A298,List_PredictorFacilities,0),(COLUMN()-1)/2), 1),"")</f>
        <v/>
      </c>
      <c r="D298" s="137"/>
      <c r="E298" s="58" t="str" cm="1">
        <f>IFERROR(INDEX(List_Predictors, INDEX(Array_PredictorsLookup,MATCH($A298,List_PredictorFacilities,0),(COLUMN()-1)/2), 1),"")</f>
        <v/>
      </c>
      <c r="F298" s="137"/>
      <c r="G298" s="58" t="str" cm="1">
        <f>IFERROR(INDEX(List_Predictors, INDEX(Array_PredictorsLookup,MATCH($A298,List_PredictorFacilities,0),(COLUMN()-1)/2), 1),"")</f>
        <v/>
      </c>
      <c r="H298" s="137"/>
      <c r="I298" s="58" t="str" cm="1">
        <f>IFERROR(INDEX(List_Predictors, INDEX(Array_PredictorsLookup,MATCH($A298,List_PredictorFacilities,0),(COLUMN()-1)/2), 1),"")</f>
        <v/>
      </c>
      <c r="J298" s="137"/>
      <c r="K298" s="58" t="str" cm="1">
        <f>IFERROR(INDEX(List_Predictors, INDEX(Array_PredictorsLookup,MATCH($A298,List_PredictorFacilities,0),(COLUMN()-1)/2), 1),"")</f>
        <v/>
      </c>
      <c r="L298" s="137"/>
      <c r="M298" s="58" t="str" cm="1">
        <f>IFERROR(INDEX(List_Predictors, INDEX(Array_PredictorsLookup,MATCH($A298,List_PredictorFacilities,0),(COLUMN()-1)/2), 1),"")</f>
        <v/>
      </c>
      <c r="N298" s="137"/>
      <c r="O298" s="58" t="str" cm="1">
        <f>IFERROR(INDEX(List_Predictors, INDEX(Array_PredictorsLookup,MATCH($A298,List_PredictorFacilities,0),(COLUMN()-1)/2), 1),"")</f>
        <v/>
      </c>
      <c r="P298" s="137"/>
      <c r="Q298" s="58" t="str" cm="1">
        <f>IFERROR(INDEX(List_Predictors, INDEX(Array_PredictorsLookup,MATCH($A298,List_PredictorFacilities,0),(COLUMN()-1)/2), 1),"")</f>
        <v/>
      </c>
      <c r="R298" s="137"/>
      <c r="S298" s="58" t="str" cm="1">
        <f>IFERROR(INDEX(List_Predictors, INDEX(Array_PredictorsLookup,MATCH($A298,List_PredictorFacilities,0),(COLUMN()-1)/2), 1),"")</f>
        <v/>
      </c>
      <c r="T298" s="137"/>
      <c r="U298" s="58" t="str" cm="1">
        <f>IFERROR(INDEX(List_Predictors, INDEX(Array_PredictorsLookup,MATCH($A298,List_PredictorFacilities,0),(COLUMN()-1)/2), 1),"")</f>
        <v/>
      </c>
      <c r="V298" s="137"/>
      <c r="W298" s="58" t="str" cm="1">
        <f>IFERROR(INDEX(List_Predictors, INDEX(Array_PredictorsLookup,MATCH($A298,List_PredictorFacilities,0),(COLUMN()-1)/2), 1),"")</f>
        <v/>
      </c>
      <c r="X298" s="137"/>
      <c r="Y298" s="58" t="str" cm="1">
        <f>IFERROR(INDEX(List_Predictors, INDEX(Array_PredictorsLookup,MATCH($A298,List_PredictorFacilities,0),(COLUMN()-1)/2), 1),"")</f>
        <v/>
      </c>
      <c r="Z298" s="137"/>
      <c r="AA298" s="58" t="str" cm="1">
        <f>IFERROR(INDEX(List_Predictors, INDEX(Array_PredictorsLookup,MATCH($A298,List_PredictorFacilities,0),(COLUMN()-1)/2), 1),"")</f>
        <v/>
      </c>
      <c r="AB298" s="137"/>
      <c r="AC298" s="58" t="str" cm="1">
        <f>IFERROR(INDEX(List_Predictors, INDEX(Array_PredictorsLookup,MATCH($A298,List_PredictorFacilities,0),(COLUMN()-1)/2), 1),"")</f>
        <v/>
      </c>
      <c r="AD298" s="137"/>
      <c r="AE298" s="58" t="str" cm="1">
        <f>IFERROR(INDEX(List_Predictors, INDEX(Array_PredictorsLookup,MATCH($A298,List_PredictorFacilities,0),(COLUMN()-1)/2), 1),"")</f>
        <v/>
      </c>
      <c r="AF298" s="137"/>
    </row>
    <row r="299" spans="1:32" x14ac:dyDescent="0.3">
      <c r="A299" s="126"/>
      <c r="B299" s="141"/>
      <c r="C299" s="58" t="str" cm="1">
        <f>IFERROR(INDEX(List_Predictors, INDEX(Array_PredictorsLookup,MATCH($A299,List_PredictorFacilities,0),(COLUMN()-1)/2), 1),"")</f>
        <v/>
      </c>
      <c r="D299" s="137"/>
      <c r="E299" s="58" t="str" cm="1">
        <f>IFERROR(INDEX(List_Predictors, INDEX(Array_PredictorsLookup,MATCH($A299,List_PredictorFacilities,0),(COLUMN()-1)/2), 1),"")</f>
        <v/>
      </c>
      <c r="F299" s="137"/>
      <c r="G299" s="58" t="str" cm="1">
        <f>IFERROR(INDEX(List_Predictors, INDEX(Array_PredictorsLookup,MATCH($A299,List_PredictorFacilities,0),(COLUMN()-1)/2), 1),"")</f>
        <v/>
      </c>
      <c r="H299" s="137"/>
      <c r="I299" s="58" t="str" cm="1">
        <f>IFERROR(INDEX(List_Predictors, INDEX(Array_PredictorsLookup,MATCH($A299,List_PredictorFacilities,0),(COLUMN()-1)/2), 1),"")</f>
        <v/>
      </c>
      <c r="J299" s="137"/>
      <c r="K299" s="58" t="str" cm="1">
        <f>IFERROR(INDEX(List_Predictors, INDEX(Array_PredictorsLookup,MATCH($A299,List_PredictorFacilities,0),(COLUMN()-1)/2), 1),"")</f>
        <v/>
      </c>
      <c r="L299" s="137"/>
      <c r="M299" s="58" t="str" cm="1">
        <f>IFERROR(INDEX(List_Predictors, INDEX(Array_PredictorsLookup,MATCH($A299,List_PredictorFacilities,0),(COLUMN()-1)/2), 1),"")</f>
        <v/>
      </c>
      <c r="N299" s="137"/>
      <c r="O299" s="58" t="str" cm="1">
        <f>IFERROR(INDEX(List_Predictors, INDEX(Array_PredictorsLookup,MATCH($A299,List_PredictorFacilities,0),(COLUMN()-1)/2), 1),"")</f>
        <v/>
      </c>
      <c r="P299" s="137"/>
      <c r="Q299" s="58" t="str" cm="1">
        <f>IFERROR(INDEX(List_Predictors, INDEX(Array_PredictorsLookup,MATCH($A299,List_PredictorFacilities,0),(COLUMN()-1)/2), 1),"")</f>
        <v/>
      </c>
      <c r="R299" s="137"/>
      <c r="S299" s="58" t="str" cm="1">
        <f>IFERROR(INDEX(List_Predictors, INDEX(Array_PredictorsLookup,MATCH($A299,List_PredictorFacilities,0),(COLUMN()-1)/2), 1),"")</f>
        <v/>
      </c>
      <c r="T299" s="137"/>
      <c r="U299" s="58" t="str" cm="1">
        <f>IFERROR(INDEX(List_Predictors, INDEX(Array_PredictorsLookup,MATCH($A299,List_PredictorFacilities,0),(COLUMN()-1)/2), 1),"")</f>
        <v/>
      </c>
      <c r="V299" s="137"/>
      <c r="W299" s="58" t="str" cm="1">
        <f>IFERROR(INDEX(List_Predictors, INDEX(Array_PredictorsLookup,MATCH($A299,List_PredictorFacilities,0),(COLUMN()-1)/2), 1),"")</f>
        <v/>
      </c>
      <c r="X299" s="137"/>
      <c r="Y299" s="58" t="str" cm="1">
        <f>IFERROR(INDEX(List_Predictors, INDEX(Array_PredictorsLookup,MATCH($A299,List_PredictorFacilities,0),(COLUMN()-1)/2), 1),"")</f>
        <v/>
      </c>
      <c r="Z299" s="137"/>
      <c r="AA299" s="58" t="str" cm="1">
        <f>IFERROR(INDEX(List_Predictors, INDEX(Array_PredictorsLookup,MATCH($A299,List_PredictorFacilities,0),(COLUMN()-1)/2), 1),"")</f>
        <v/>
      </c>
      <c r="AB299" s="137"/>
      <c r="AC299" s="58" t="str" cm="1">
        <f>IFERROR(INDEX(List_Predictors, INDEX(Array_PredictorsLookup,MATCH($A299,List_PredictorFacilities,0),(COLUMN()-1)/2), 1),"")</f>
        <v/>
      </c>
      <c r="AD299" s="137"/>
      <c r="AE299" s="58" t="str" cm="1">
        <f>IFERROR(INDEX(List_Predictors, INDEX(Array_PredictorsLookup,MATCH($A299,List_PredictorFacilities,0),(COLUMN()-1)/2), 1),"")</f>
        <v/>
      </c>
      <c r="AF299" s="137"/>
    </row>
    <row r="300" spans="1:32" x14ac:dyDescent="0.3">
      <c r="A300" s="126"/>
      <c r="B300" s="141"/>
      <c r="C300" s="58" t="str" cm="1">
        <f>IFERROR(INDEX(List_Predictors, INDEX(Array_PredictorsLookup,MATCH($A300,List_PredictorFacilities,0),(COLUMN()-1)/2), 1),"")</f>
        <v/>
      </c>
      <c r="D300" s="137"/>
      <c r="E300" s="58" t="str" cm="1">
        <f>IFERROR(INDEX(List_Predictors, INDEX(Array_PredictorsLookup,MATCH($A300,List_PredictorFacilities,0),(COLUMN()-1)/2), 1),"")</f>
        <v/>
      </c>
      <c r="F300" s="137"/>
      <c r="G300" s="58" t="str" cm="1">
        <f>IFERROR(INDEX(List_Predictors, INDEX(Array_PredictorsLookup,MATCH($A300,List_PredictorFacilities,0),(COLUMN()-1)/2), 1),"")</f>
        <v/>
      </c>
      <c r="H300" s="137"/>
      <c r="I300" s="58" t="str" cm="1">
        <f>IFERROR(INDEX(List_Predictors, INDEX(Array_PredictorsLookup,MATCH($A300,List_PredictorFacilities,0),(COLUMN()-1)/2), 1),"")</f>
        <v/>
      </c>
      <c r="J300" s="137"/>
      <c r="K300" s="58" t="str" cm="1">
        <f>IFERROR(INDEX(List_Predictors, INDEX(Array_PredictorsLookup,MATCH($A300,List_PredictorFacilities,0),(COLUMN()-1)/2), 1),"")</f>
        <v/>
      </c>
      <c r="L300" s="137"/>
      <c r="M300" s="58" t="str" cm="1">
        <f>IFERROR(INDEX(List_Predictors, INDEX(Array_PredictorsLookup,MATCH($A300,List_PredictorFacilities,0),(COLUMN()-1)/2), 1),"")</f>
        <v/>
      </c>
      <c r="N300" s="137"/>
      <c r="O300" s="58" t="str" cm="1">
        <f>IFERROR(INDEX(List_Predictors, INDEX(Array_PredictorsLookup,MATCH($A300,List_PredictorFacilities,0),(COLUMN()-1)/2), 1),"")</f>
        <v/>
      </c>
      <c r="P300" s="137"/>
      <c r="Q300" s="58" t="str" cm="1">
        <f>IFERROR(INDEX(List_Predictors, INDEX(Array_PredictorsLookup,MATCH($A300,List_PredictorFacilities,0),(COLUMN()-1)/2), 1),"")</f>
        <v/>
      </c>
      <c r="R300" s="137"/>
      <c r="S300" s="58" t="str" cm="1">
        <f>IFERROR(INDEX(List_Predictors, INDEX(Array_PredictorsLookup,MATCH($A300,List_PredictorFacilities,0),(COLUMN()-1)/2), 1),"")</f>
        <v/>
      </c>
      <c r="T300" s="137"/>
      <c r="U300" s="58" t="str" cm="1">
        <f>IFERROR(INDEX(List_Predictors, INDEX(Array_PredictorsLookup,MATCH($A300,List_PredictorFacilities,0),(COLUMN()-1)/2), 1),"")</f>
        <v/>
      </c>
      <c r="V300" s="137"/>
      <c r="W300" s="58" t="str" cm="1">
        <f>IFERROR(INDEX(List_Predictors, INDEX(Array_PredictorsLookup,MATCH($A300,List_PredictorFacilities,0),(COLUMN()-1)/2), 1),"")</f>
        <v/>
      </c>
      <c r="X300" s="137"/>
      <c r="Y300" s="58" t="str" cm="1">
        <f>IFERROR(INDEX(List_Predictors, INDEX(Array_PredictorsLookup,MATCH($A300,List_PredictorFacilities,0),(COLUMN()-1)/2), 1),"")</f>
        <v/>
      </c>
      <c r="Z300" s="137"/>
      <c r="AA300" s="58" t="str" cm="1">
        <f>IFERROR(INDEX(List_Predictors, INDEX(Array_PredictorsLookup,MATCH($A300,List_PredictorFacilities,0),(COLUMN()-1)/2), 1),"")</f>
        <v/>
      </c>
      <c r="AB300" s="137"/>
      <c r="AC300" s="58" t="str" cm="1">
        <f>IFERROR(INDEX(List_Predictors, INDEX(Array_PredictorsLookup,MATCH($A300,List_PredictorFacilities,0),(COLUMN()-1)/2), 1),"")</f>
        <v/>
      </c>
      <c r="AD300" s="137"/>
      <c r="AE300" s="58" t="str" cm="1">
        <f>IFERROR(INDEX(List_Predictors, INDEX(Array_PredictorsLookup,MATCH($A300,List_PredictorFacilities,0),(COLUMN()-1)/2), 1),"")</f>
        <v/>
      </c>
      <c r="AF300" s="137"/>
    </row>
    <row r="301" spans="1:32" x14ac:dyDescent="0.3">
      <c r="A301" s="126"/>
      <c r="B301" s="141"/>
      <c r="C301" s="58" t="str" cm="1">
        <f>IFERROR(INDEX(List_Predictors, INDEX(Array_PredictorsLookup,MATCH($A301,List_PredictorFacilities,0),(COLUMN()-1)/2), 1),"")</f>
        <v/>
      </c>
      <c r="D301" s="137"/>
      <c r="E301" s="58" t="str" cm="1">
        <f>IFERROR(INDEX(List_Predictors, INDEX(Array_PredictorsLookup,MATCH($A301,List_PredictorFacilities,0),(COLUMN()-1)/2), 1),"")</f>
        <v/>
      </c>
      <c r="F301" s="137"/>
      <c r="G301" s="58" t="str" cm="1">
        <f>IFERROR(INDEX(List_Predictors, INDEX(Array_PredictorsLookup,MATCH($A301,List_PredictorFacilities,0),(COLUMN()-1)/2), 1),"")</f>
        <v/>
      </c>
      <c r="H301" s="137"/>
      <c r="I301" s="58" t="str" cm="1">
        <f>IFERROR(INDEX(List_Predictors, INDEX(Array_PredictorsLookup,MATCH($A301,List_PredictorFacilities,0),(COLUMN()-1)/2), 1),"")</f>
        <v/>
      </c>
      <c r="J301" s="137"/>
      <c r="K301" s="58" t="str" cm="1">
        <f>IFERROR(INDEX(List_Predictors, INDEX(Array_PredictorsLookup,MATCH($A301,List_PredictorFacilities,0),(COLUMN()-1)/2), 1),"")</f>
        <v/>
      </c>
      <c r="L301" s="137"/>
      <c r="M301" s="58" t="str" cm="1">
        <f>IFERROR(INDEX(List_Predictors, INDEX(Array_PredictorsLookup,MATCH($A301,List_PredictorFacilities,0),(COLUMN()-1)/2), 1),"")</f>
        <v/>
      </c>
      <c r="N301" s="137"/>
      <c r="O301" s="58" t="str" cm="1">
        <f>IFERROR(INDEX(List_Predictors, INDEX(Array_PredictorsLookup,MATCH($A301,List_PredictorFacilities,0),(COLUMN()-1)/2), 1),"")</f>
        <v/>
      </c>
      <c r="P301" s="137"/>
      <c r="Q301" s="58" t="str" cm="1">
        <f>IFERROR(INDEX(List_Predictors, INDEX(Array_PredictorsLookup,MATCH($A301,List_PredictorFacilities,0),(COLUMN()-1)/2), 1),"")</f>
        <v/>
      </c>
      <c r="R301" s="137"/>
      <c r="S301" s="58" t="str" cm="1">
        <f>IFERROR(INDEX(List_Predictors, INDEX(Array_PredictorsLookup,MATCH($A301,List_PredictorFacilities,0),(COLUMN()-1)/2), 1),"")</f>
        <v/>
      </c>
      <c r="T301" s="137"/>
      <c r="U301" s="58" t="str" cm="1">
        <f>IFERROR(INDEX(List_Predictors, INDEX(Array_PredictorsLookup,MATCH($A301,List_PredictorFacilities,0),(COLUMN()-1)/2), 1),"")</f>
        <v/>
      </c>
      <c r="V301" s="137"/>
      <c r="W301" s="58" t="str" cm="1">
        <f>IFERROR(INDEX(List_Predictors, INDEX(Array_PredictorsLookup,MATCH($A301,List_PredictorFacilities,0),(COLUMN()-1)/2), 1),"")</f>
        <v/>
      </c>
      <c r="X301" s="137"/>
      <c r="Y301" s="58" t="str" cm="1">
        <f>IFERROR(INDEX(List_Predictors, INDEX(Array_PredictorsLookup,MATCH($A301,List_PredictorFacilities,0),(COLUMN()-1)/2), 1),"")</f>
        <v/>
      </c>
      <c r="Z301" s="137"/>
      <c r="AA301" s="58" t="str" cm="1">
        <f>IFERROR(INDEX(List_Predictors, INDEX(Array_PredictorsLookup,MATCH($A301,List_PredictorFacilities,0),(COLUMN()-1)/2), 1),"")</f>
        <v/>
      </c>
      <c r="AB301" s="137"/>
      <c r="AC301" s="58" t="str" cm="1">
        <f>IFERROR(INDEX(List_Predictors, INDEX(Array_PredictorsLookup,MATCH($A301,List_PredictorFacilities,0),(COLUMN()-1)/2), 1),"")</f>
        <v/>
      </c>
      <c r="AD301" s="137"/>
      <c r="AE301" s="58" t="str" cm="1">
        <f>IFERROR(INDEX(List_Predictors, INDEX(Array_PredictorsLookup,MATCH($A301,List_PredictorFacilities,0),(COLUMN()-1)/2), 1),"")</f>
        <v/>
      </c>
      <c r="AF301" s="137"/>
    </row>
    <row r="302" spans="1:32" x14ac:dyDescent="0.3">
      <c r="A302" s="126"/>
      <c r="B302" s="141"/>
      <c r="C302" s="58" t="str" cm="1">
        <f>IFERROR(INDEX(List_Predictors, INDEX(Array_PredictorsLookup,MATCH($A302,List_PredictorFacilities,0),(COLUMN()-1)/2), 1),"")</f>
        <v/>
      </c>
      <c r="D302" s="137"/>
      <c r="E302" s="58" t="str" cm="1">
        <f>IFERROR(INDEX(List_Predictors, INDEX(Array_PredictorsLookup,MATCH($A302,List_PredictorFacilities,0),(COLUMN()-1)/2), 1),"")</f>
        <v/>
      </c>
      <c r="F302" s="137"/>
      <c r="G302" s="58" t="str" cm="1">
        <f>IFERROR(INDEX(List_Predictors, INDEX(Array_PredictorsLookup,MATCH($A302,List_PredictorFacilities,0),(COLUMN()-1)/2), 1),"")</f>
        <v/>
      </c>
      <c r="H302" s="137"/>
      <c r="I302" s="58" t="str" cm="1">
        <f>IFERROR(INDEX(List_Predictors, INDEX(Array_PredictorsLookup,MATCH($A302,List_PredictorFacilities,0),(COLUMN()-1)/2), 1),"")</f>
        <v/>
      </c>
      <c r="J302" s="137"/>
      <c r="K302" s="58" t="str" cm="1">
        <f>IFERROR(INDEX(List_Predictors, INDEX(Array_PredictorsLookup,MATCH($A302,List_PredictorFacilities,0),(COLUMN()-1)/2), 1),"")</f>
        <v/>
      </c>
      <c r="L302" s="137"/>
      <c r="M302" s="58" t="str" cm="1">
        <f>IFERROR(INDEX(List_Predictors, INDEX(Array_PredictorsLookup,MATCH($A302,List_PredictorFacilities,0),(COLUMN()-1)/2), 1),"")</f>
        <v/>
      </c>
      <c r="N302" s="137"/>
      <c r="O302" s="58" t="str" cm="1">
        <f>IFERROR(INDEX(List_Predictors, INDEX(Array_PredictorsLookup,MATCH($A302,List_PredictorFacilities,0),(COLUMN()-1)/2), 1),"")</f>
        <v/>
      </c>
      <c r="P302" s="137"/>
      <c r="Q302" s="58" t="str" cm="1">
        <f>IFERROR(INDEX(List_Predictors, INDEX(Array_PredictorsLookup,MATCH($A302,List_PredictorFacilities,0),(COLUMN()-1)/2), 1),"")</f>
        <v/>
      </c>
      <c r="R302" s="137"/>
      <c r="S302" s="58" t="str" cm="1">
        <f>IFERROR(INDEX(List_Predictors, INDEX(Array_PredictorsLookup,MATCH($A302,List_PredictorFacilities,0),(COLUMN()-1)/2), 1),"")</f>
        <v/>
      </c>
      <c r="T302" s="137"/>
      <c r="U302" s="58" t="str" cm="1">
        <f>IFERROR(INDEX(List_Predictors, INDEX(Array_PredictorsLookup,MATCH($A302,List_PredictorFacilities,0),(COLUMN()-1)/2), 1),"")</f>
        <v/>
      </c>
      <c r="V302" s="137"/>
      <c r="W302" s="58" t="str" cm="1">
        <f>IFERROR(INDEX(List_Predictors, INDEX(Array_PredictorsLookup,MATCH($A302,List_PredictorFacilities,0),(COLUMN()-1)/2), 1),"")</f>
        <v/>
      </c>
      <c r="X302" s="137"/>
      <c r="Y302" s="58" t="str" cm="1">
        <f>IFERROR(INDEX(List_Predictors, INDEX(Array_PredictorsLookup,MATCH($A302,List_PredictorFacilities,0),(COLUMN()-1)/2), 1),"")</f>
        <v/>
      </c>
      <c r="Z302" s="137"/>
      <c r="AA302" s="58" t="str" cm="1">
        <f>IFERROR(INDEX(List_Predictors, INDEX(Array_PredictorsLookup,MATCH($A302,List_PredictorFacilities,0),(COLUMN()-1)/2), 1),"")</f>
        <v/>
      </c>
      <c r="AB302" s="137"/>
      <c r="AC302" s="58" t="str" cm="1">
        <f>IFERROR(INDEX(List_Predictors, INDEX(Array_PredictorsLookup,MATCH($A302,List_PredictorFacilities,0),(COLUMN()-1)/2), 1),"")</f>
        <v/>
      </c>
      <c r="AD302" s="137"/>
      <c r="AE302" s="58" t="str" cm="1">
        <f>IFERROR(INDEX(List_Predictors, INDEX(Array_PredictorsLookup,MATCH($A302,List_PredictorFacilities,0),(COLUMN()-1)/2), 1),"")</f>
        <v/>
      </c>
      <c r="AF302" s="137"/>
    </row>
    <row r="303" spans="1:32" x14ac:dyDescent="0.3">
      <c r="A303" s="126"/>
      <c r="B303" s="141"/>
      <c r="C303" s="58" t="str" cm="1">
        <f>IFERROR(INDEX(List_Predictors, INDEX(Array_PredictorsLookup,MATCH($A303,List_PredictorFacilities,0),(COLUMN()-1)/2), 1),"")</f>
        <v/>
      </c>
      <c r="D303" s="137"/>
      <c r="E303" s="58" t="str" cm="1">
        <f>IFERROR(INDEX(List_Predictors, INDEX(Array_PredictorsLookup,MATCH($A303,List_PredictorFacilities,0),(COLUMN()-1)/2), 1),"")</f>
        <v/>
      </c>
      <c r="F303" s="137"/>
      <c r="G303" s="58" t="str" cm="1">
        <f>IFERROR(INDEX(List_Predictors, INDEX(Array_PredictorsLookup,MATCH($A303,List_PredictorFacilities,0),(COLUMN()-1)/2), 1),"")</f>
        <v/>
      </c>
      <c r="H303" s="137"/>
      <c r="I303" s="58" t="str" cm="1">
        <f>IFERROR(INDEX(List_Predictors, INDEX(Array_PredictorsLookup,MATCH($A303,List_PredictorFacilities,0),(COLUMN()-1)/2), 1),"")</f>
        <v/>
      </c>
      <c r="J303" s="137"/>
      <c r="K303" s="58" t="str" cm="1">
        <f>IFERROR(INDEX(List_Predictors, INDEX(Array_PredictorsLookup,MATCH($A303,List_PredictorFacilities,0),(COLUMN()-1)/2), 1),"")</f>
        <v/>
      </c>
      <c r="L303" s="137"/>
      <c r="M303" s="58" t="str" cm="1">
        <f>IFERROR(INDEX(List_Predictors, INDEX(Array_PredictorsLookup,MATCH($A303,List_PredictorFacilities,0),(COLUMN()-1)/2), 1),"")</f>
        <v/>
      </c>
      <c r="N303" s="137"/>
      <c r="O303" s="58" t="str" cm="1">
        <f>IFERROR(INDEX(List_Predictors, INDEX(Array_PredictorsLookup,MATCH($A303,List_PredictorFacilities,0),(COLUMN()-1)/2), 1),"")</f>
        <v/>
      </c>
      <c r="P303" s="137"/>
      <c r="Q303" s="58" t="str" cm="1">
        <f>IFERROR(INDEX(List_Predictors, INDEX(Array_PredictorsLookup,MATCH($A303,List_PredictorFacilities,0),(COLUMN()-1)/2), 1),"")</f>
        <v/>
      </c>
      <c r="R303" s="137"/>
      <c r="S303" s="58" t="str" cm="1">
        <f>IFERROR(INDEX(List_Predictors, INDEX(Array_PredictorsLookup,MATCH($A303,List_PredictorFacilities,0),(COLUMN()-1)/2), 1),"")</f>
        <v/>
      </c>
      <c r="T303" s="137"/>
      <c r="U303" s="58" t="str" cm="1">
        <f>IFERROR(INDEX(List_Predictors, INDEX(Array_PredictorsLookup,MATCH($A303,List_PredictorFacilities,0),(COLUMN()-1)/2), 1),"")</f>
        <v/>
      </c>
      <c r="V303" s="137"/>
      <c r="W303" s="58" t="str" cm="1">
        <f>IFERROR(INDEX(List_Predictors, INDEX(Array_PredictorsLookup,MATCH($A303,List_PredictorFacilities,0),(COLUMN()-1)/2), 1),"")</f>
        <v/>
      </c>
      <c r="X303" s="137"/>
      <c r="Y303" s="58" t="str" cm="1">
        <f>IFERROR(INDEX(List_Predictors, INDEX(Array_PredictorsLookup,MATCH($A303,List_PredictorFacilities,0),(COLUMN()-1)/2), 1),"")</f>
        <v/>
      </c>
      <c r="Z303" s="137"/>
      <c r="AA303" s="58" t="str" cm="1">
        <f>IFERROR(INDEX(List_Predictors, INDEX(Array_PredictorsLookup,MATCH($A303,List_PredictorFacilities,0),(COLUMN()-1)/2), 1),"")</f>
        <v/>
      </c>
      <c r="AB303" s="137"/>
      <c r="AC303" s="58" t="str" cm="1">
        <f>IFERROR(INDEX(List_Predictors, INDEX(Array_PredictorsLookup,MATCH($A303,List_PredictorFacilities,0),(COLUMN()-1)/2), 1),"")</f>
        <v/>
      </c>
      <c r="AD303" s="137"/>
      <c r="AE303" s="58" t="str" cm="1">
        <f>IFERROR(INDEX(List_Predictors, INDEX(Array_PredictorsLookup,MATCH($A303,List_PredictorFacilities,0),(COLUMN()-1)/2), 1),"")</f>
        <v/>
      </c>
      <c r="AF303" s="137"/>
    </row>
    <row r="304" spans="1:32" x14ac:dyDescent="0.3">
      <c r="A304" s="126"/>
      <c r="B304" s="141"/>
      <c r="C304" s="58" t="str" cm="1">
        <f>IFERROR(INDEX(List_Predictors, INDEX(Array_PredictorsLookup,MATCH($A304,List_PredictorFacilities,0),(COLUMN()-1)/2), 1),"")</f>
        <v/>
      </c>
      <c r="D304" s="137"/>
      <c r="E304" s="58" t="str" cm="1">
        <f>IFERROR(INDEX(List_Predictors, INDEX(Array_PredictorsLookup,MATCH($A304,List_PredictorFacilities,0),(COLUMN()-1)/2), 1),"")</f>
        <v/>
      </c>
      <c r="F304" s="137"/>
      <c r="G304" s="58" t="str" cm="1">
        <f>IFERROR(INDEX(List_Predictors, INDEX(Array_PredictorsLookup,MATCH($A304,List_PredictorFacilities,0),(COLUMN()-1)/2), 1),"")</f>
        <v/>
      </c>
      <c r="H304" s="137"/>
      <c r="I304" s="58" t="str" cm="1">
        <f>IFERROR(INDEX(List_Predictors, INDEX(Array_PredictorsLookup,MATCH($A304,List_PredictorFacilities,0),(COLUMN()-1)/2), 1),"")</f>
        <v/>
      </c>
      <c r="J304" s="137"/>
      <c r="K304" s="58" t="str" cm="1">
        <f>IFERROR(INDEX(List_Predictors, INDEX(Array_PredictorsLookup,MATCH($A304,List_PredictorFacilities,0),(COLUMN()-1)/2), 1),"")</f>
        <v/>
      </c>
      <c r="L304" s="137"/>
      <c r="M304" s="58" t="str" cm="1">
        <f>IFERROR(INDEX(List_Predictors, INDEX(Array_PredictorsLookup,MATCH($A304,List_PredictorFacilities,0),(COLUMN()-1)/2), 1),"")</f>
        <v/>
      </c>
      <c r="N304" s="137"/>
      <c r="O304" s="58" t="str" cm="1">
        <f>IFERROR(INDEX(List_Predictors, INDEX(Array_PredictorsLookup,MATCH($A304,List_PredictorFacilities,0),(COLUMN()-1)/2), 1),"")</f>
        <v/>
      </c>
      <c r="P304" s="137"/>
      <c r="Q304" s="58" t="str" cm="1">
        <f>IFERROR(INDEX(List_Predictors, INDEX(Array_PredictorsLookup,MATCH($A304,List_PredictorFacilities,0),(COLUMN()-1)/2), 1),"")</f>
        <v/>
      </c>
      <c r="R304" s="137"/>
      <c r="S304" s="58" t="str" cm="1">
        <f>IFERROR(INDEX(List_Predictors, INDEX(Array_PredictorsLookup,MATCH($A304,List_PredictorFacilities,0),(COLUMN()-1)/2), 1),"")</f>
        <v/>
      </c>
      <c r="T304" s="137"/>
      <c r="U304" s="58" t="str" cm="1">
        <f>IFERROR(INDEX(List_Predictors, INDEX(Array_PredictorsLookup,MATCH($A304,List_PredictorFacilities,0),(COLUMN()-1)/2), 1),"")</f>
        <v/>
      </c>
      <c r="V304" s="137"/>
      <c r="W304" s="58" t="str" cm="1">
        <f>IFERROR(INDEX(List_Predictors, INDEX(Array_PredictorsLookup,MATCH($A304,List_PredictorFacilities,0),(COLUMN()-1)/2), 1),"")</f>
        <v/>
      </c>
      <c r="X304" s="137"/>
      <c r="Y304" s="58" t="str" cm="1">
        <f>IFERROR(INDEX(List_Predictors, INDEX(Array_PredictorsLookup,MATCH($A304,List_PredictorFacilities,0),(COLUMN()-1)/2), 1),"")</f>
        <v/>
      </c>
      <c r="Z304" s="137"/>
      <c r="AA304" s="58" t="str" cm="1">
        <f>IFERROR(INDEX(List_Predictors, INDEX(Array_PredictorsLookup,MATCH($A304,List_PredictorFacilities,0),(COLUMN()-1)/2), 1),"")</f>
        <v/>
      </c>
      <c r="AB304" s="137"/>
      <c r="AC304" s="58" t="str" cm="1">
        <f>IFERROR(INDEX(List_Predictors, INDEX(Array_PredictorsLookup,MATCH($A304,List_PredictorFacilities,0),(COLUMN()-1)/2), 1),"")</f>
        <v/>
      </c>
      <c r="AD304" s="137"/>
      <c r="AE304" s="58" t="str" cm="1">
        <f>IFERROR(INDEX(List_Predictors, INDEX(Array_PredictorsLookup,MATCH($A304,List_PredictorFacilities,0),(COLUMN()-1)/2), 1),"")</f>
        <v/>
      </c>
      <c r="AF304" s="137"/>
    </row>
    <row r="305" spans="1:32" x14ac:dyDescent="0.3">
      <c r="A305" s="126"/>
      <c r="B305" s="141"/>
      <c r="C305" s="58" t="str" cm="1">
        <f>IFERROR(INDEX(List_Predictors, INDEX(Array_PredictorsLookup,MATCH($A305,List_PredictorFacilities,0),(COLUMN()-1)/2), 1),"")</f>
        <v/>
      </c>
      <c r="D305" s="137"/>
      <c r="E305" s="58" t="str" cm="1">
        <f>IFERROR(INDEX(List_Predictors, INDEX(Array_PredictorsLookup,MATCH($A305,List_PredictorFacilities,0),(COLUMN()-1)/2), 1),"")</f>
        <v/>
      </c>
      <c r="F305" s="137"/>
      <c r="G305" s="58" t="str" cm="1">
        <f>IFERROR(INDEX(List_Predictors, INDEX(Array_PredictorsLookup,MATCH($A305,List_PredictorFacilities,0),(COLUMN()-1)/2), 1),"")</f>
        <v/>
      </c>
      <c r="H305" s="137"/>
      <c r="I305" s="58" t="str" cm="1">
        <f>IFERROR(INDEX(List_Predictors, INDEX(Array_PredictorsLookup,MATCH($A305,List_PredictorFacilities,0),(COLUMN()-1)/2), 1),"")</f>
        <v/>
      </c>
      <c r="J305" s="137"/>
      <c r="K305" s="58" t="str" cm="1">
        <f>IFERROR(INDEX(List_Predictors, INDEX(Array_PredictorsLookup,MATCH($A305,List_PredictorFacilities,0),(COLUMN()-1)/2), 1),"")</f>
        <v/>
      </c>
      <c r="L305" s="137"/>
      <c r="M305" s="58" t="str" cm="1">
        <f>IFERROR(INDEX(List_Predictors, INDEX(Array_PredictorsLookup,MATCH($A305,List_PredictorFacilities,0),(COLUMN()-1)/2), 1),"")</f>
        <v/>
      </c>
      <c r="N305" s="137"/>
      <c r="O305" s="58" t="str" cm="1">
        <f>IFERROR(INDEX(List_Predictors, INDEX(Array_PredictorsLookup,MATCH($A305,List_PredictorFacilities,0),(COLUMN()-1)/2), 1),"")</f>
        <v/>
      </c>
      <c r="P305" s="137"/>
      <c r="Q305" s="58" t="str" cm="1">
        <f>IFERROR(INDEX(List_Predictors, INDEX(Array_PredictorsLookup,MATCH($A305,List_PredictorFacilities,0),(COLUMN()-1)/2), 1),"")</f>
        <v/>
      </c>
      <c r="R305" s="137"/>
      <c r="S305" s="58" t="str" cm="1">
        <f>IFERROR(INDEX(List_Predictors, INDEX(Array_PredictorsLookup,MATCH($A305,List_PredictorFacilities,0),(COLUMN()-1)/2), 1),"")</f>
        <v/>
      </c>
      <c r="T305" s="137"/>
      <c r="U305" s="58" t="str" cm="1">
        <f>IFERROR(INDEX(List_Predictors, INDEX(Array_PredictorsLookup,MATCH($A305,List_PredictorFacilities,0),(COLUMN()-1)/2), 1),"")</f>
        <v/>
      </c>
      <c r="V305" s="137"/>
      <c r="W305" s="58" t="str" cm="1">
        <f>IFERROR(INDEX(List_Predictors, INDEX(Array_PredictorsLookup,MATCH($A305,List_PredictorFacilities,0),(COLUMN()-1)/2), 1),"")</f>
        <v/>
      </c>
      <c r="X305" s="137"/>
      <c r="Y305" s="58" t="str" cm="1">
        <f>IFERROR(INDEX(List_Predictors, INDEX(Array_PredictorsLookup,MATCH($A305,List_PredictorFacilities,0),(COLUMN()-1)/2), 1),"")</f>
        <v/>
      </c>
      <c r="Z305" s="137"/>
      <c r="AA305" s="58" t="str" cm="1">
        <f>IFERROR(INDEX(List_Predictors, INDEX(Array_PredictorsLookup,MATCH($A305,List_PredictorFacilities,0),(COLUMN()-1)/2), 1),"")</f>
        <v/>
      </c>
      <c r="AB305" s="137"/>
      <c r="AC305" s="58" t="str" cm="1">
        <f>IFERROR(INDEX(List_Predictors, INDEX(Array_PredictorsLookup,MATCH($A305,List_PredictorFacilities,0),(COLUMN()-1)/2), 1),"")</f>
        <v/>
      </c>
      <c r="AD305" s="137"/>
      <c r="AE305" s="58" t="str" cm="1">
        <f>IFERROR(INDEX(List_Predictors, INDEX(Array_PredictorsLookup,MATCH($A305,List_PredictorFacilities,0),(COLUMN()-1)/2), 1),"")</f>
        <v/>
      </c>
      <c r="AF305" s="137"/>
    </row>
    <row r="306" spans="1:32" x14ac:dyDescent="0.3">
      <c r="A306" s="126"/>
      <c r="B306" s="141"/>
      <c r="C306" s="58" t="str" cm="1">
        <f>IFERROR(INDEX(List_Predictors, INDEX(Array_PredictorsLookup,MATCH($A306,List_PredictorFacilities,0),(COLUMN()-1)/2), 1),"")</f>
        <v/>
      </c>
      <c r="D306" s="137"/>
      <c r="E306" s="58" t="str" cm="1">
        <f>IFERROR(INDEX(List_Predictors, INDEX(Array_PredictorsLookup,MATCH($A306,List_PredictorFacilities,0),(COLUMN()-1)/2), 1),"")</f>
        <v/>
      </c>
      <c r="F306" s="137"/>
      <c r="G306" s="58" t="str" cm="1">
        <f>IFERROR(INDEX(List_Predictors, INDEX(Array_PredictorsLookup,MATCH($A306,List_PredictorFacilities,0),(COLUMN()-1)/2), 1),"")</f>
        <v/>
      </c>
      <c r="H306" s="137"/>
      <c r="I306" s="58" t="str" cm="1">
        <f>IFERROR(INDEX(List_Predictors, INDEX(Array_PredictorsLookup,MATCH($A306,List_PredictorFacilities,0),(COLUMN()-1)/2), 1),"")</f>
        <v/>
      </c>
      <c r="J306" s="137"/>
      <c r="K306" s="58" t="str" cm="1">
        <f>IFERROR(INDEX(List_Predictors, INDEX(Array_PredictorsLookup,MATCH($A306,List_PredictorFacilities,0),(COLUMN()-1)/2), 1),"")</f>
        <v/>
      </c>
      <c r="L306" s="137"/>
      <c r="M306" s="58" t="str" cm="1">
        <f>IFERROR(INDEX(List_Predictors, INDEX(Array_PredictorsLookup,MATCH($A306,List_PredictorFacilities,0),(COLUMN()-1)/2), 1),"")</f>
        <v/>
      </c>
      <c r="N306" s="137"/>
      <c r="O306" s="58" t="str" cm="1">
        <f>IFERROR(INDEX(List_Predictors, INDEX(Array_PredictorsLookup,MATCH($A306,List_PredictorFacilities,0),(COLUMN()-1)/2), 1),"")</f>
        <v/>
      </c>
      <c r="P306" s="137"/>
      <c r="Q306" s="58" t="str" cm="1">
        <f>IFERROR(INDEX(List_Predictors, INDEX(Array_PredictorsLookup,MATCH($A306,List_PredictorFacilities,0),(COLUMN()-1)/2), 1),"")</f>
        <v/>
      </c>
      <c r="R306" s="137"/>
      <c r="S306" s="58" t="str" cm="1">
        <f>IFERROR(INDEX(List_Predictors, INDEX(Array_PredictorsLookup,MATCH($A306,List_PredictorFacilities,0),(COLUMN()-1)/2), 1),"")</f>
        <v/>
      </c>
      <c r="T306" s="137"/>
      <c r="U306" s="58" t="str" cm="1">
        <f>IFERROR(INDEX(List_Predictors, INDEX(Array_PredictorsLookup,MATCH($A306,List_PredictorFacilities,0),(COLUMN()-1)/2), 1),"")</f>
        <v/>
      </c>
      <c r="V306" s="137"/>
      <c r="W306" s="58" t="str" cm="1">
        <f>IFERROR(INDEX(List_Predictors, INDEX(Array_PredictorsLookup,MATCH($A306,List_PredictorFacilities,0),(COLUMN()-1)/2), 1),"")</f>
        <v/>
      </c>
      <c r="X306" s="137"/>
      <c r="Y306" s="58" t="str" cm="1">
        <f>IFERROR(INDEX(List_Predictors, INDEX(Array_PredictorsLookup,MATCH($A306,List_PredictorFacilities,0),(COLUMN()-1)/2), 1),"")</f>
        <v/>
      </c>
      <c r="Z306" s="137"/>
      <c r="AA306" s="58" t="str" cm="1">
        <f>IFERROR(INDEX(List_Predictors, INDEX(Array_PredictorsLookup,MATCH($A306,List_PredictorFacilities,0),(COLUMN()-1)/2), 1),"")</f>
        <v/>
      </c>
      <c r="AB306" s="137"/>
      <c r="AC306" s="58" t="str" cm="1">
        <f>IFERROR(INDEX(List_Predictors, INDEX(Array_PredictorsLookup,MATCH($A306,List_PredictorFacilities,0),(COLUMN()-1)/2), 1),"")</f>
        <v/>
      </c>
      <c r="AD306" s="137"/>
      <c r="AE306" s="58" t="str" cm="1">
        <f>IFERROR(INDEX(List_Predictors, INDEX(Array_PredictorsLookup,MATCH($A306,List_PredictorFacilities,0),(COLUMN()-1)/2), 1),"")</f>
        <v/>
      </c>
      <c r="AF306" s="137"/>
    </row>
    <row r="307" spans="1:32" x14ac:dyDescent="0.3">
      <c r="A307" s="126"/>
      <c r="B307" s="141"/>
      <c r="C307" s="58" t="str" cm="1">
        <f>IFERROR(INDEX(List_Predictors, INDEX(Array_PredictorsLookup,MATCH($A307,List_PredictorFacilities,0),(COLUMN()-1)/2), 1),"")</f>
        <v/>
      </c>
      <c r="D307" s="137"/>
      <c r="E307" s="58" t="str" cm="1">
        <f>IFERROR(INDEX(List_Predictors, INDEX(Array_PredictorsLookup,MATCH($A307,List_PredictorFacilities,0),(COLUMN()-1)/2), 1),"")</f>
        <v/>
      </c>
      <c r="F307" s="137"/>
      <c r="G307" s="58" t="str" cm="1">
        <f>IFERROR(INDEX(List_Predictors, INDEX(Array_PredictorsLookup,MATCH($A307,List_PredictorFacilities,0),(COLUMN()-1)/2), 1),"")</f>
        <v/>
      </c>
      <c r="H307" s="137"/>
      <c r="I307" s="58" t="str" cm="1">
        <f>IFERROR(INDEX(List_Predictors, INDEX(Array_PredictorsLookup,MATCH($A307,List_PredictorFacilities,0),(COLUMN()-1)/2), 1),"")</f>
        <v/>
      </c>
      <c r="J307" s="137"/>
      <c r="K307" s="58" t="str" cm="1">
        <f>IFERROR(INDEX(List_Predictors, INDEX(Array_PredictorsLookup,MATCH($A307,List_PredictorFacilities,0),(COLUMN()-1)/2), 1),"")</f>
        <v/>
      </c>
      <c r="L307" s="137"/>
      <c r="M307" s="58" t="str" cm="1">
        <f>IFERROR(INDEX(List_Predictors, INDEX(Array_PredictorsLookup,MATCH($A307,List_PredictorFacilities,0),(COLUMN()-1)/2), 1),"")</f>
        <v/>
      </c>
      <c r="N307" s="137"/>
      <c r="O307" s="58" t="str" cm="1">
        <f>IFERROR(INDEX(List_Predictors, INDEX(Array_PredictorsLookup,MATCH($A307,List_PredictorFacilities,0),(COLUMN()-1)/2), 1),"")</f>
        <v/>
      </c>
      <c r="P307" s="137"/>
      <c r="Q307" s="58" t="str" cm="1">
        <f>IFERROR(INDEX(List_Predictors, INDEX(Array_PredictorsLookup,MATCH($A307,List_PredictorFacilities,0),(COLUMN()-1)/2), 1),"")</f>
        <v/>
      </c>
      <c r="R307" s="137"/>
      <c r="S307" s="58" t="str" cm="1">
        <f>IFERROR(INDEX(List_Predictors, INDEX(Array_PredictorsLookup,MATCH($A307,List_PredictorFacilities,0),(COLUMN()-1)/2), 1),"")</f>
        <v/>
      </c>
      <c r="T307" s="137"/>
      <c r="U307" s="58" t="str" cm="1">
        <f>IFERROR(INDEX(List_Predictors, INDEX(Array_PredictorsLookup,MATCH($A307,List_PredictorFacilities,0),(COLUMN()-1)/2), 1),"")</f>
        <v/>
      </c>
      <c r="V307" s="137"/>
      <c r="W307" s="58" t="str" cm="1">
        <f>IFERROR(INDEX(List_Predictors, INDEX(Array_PredictorsLookup,MATCH($A307,List_PredictorFacilities,0),(COLUMN()-1)/2), 1),"")</f>
        <v/>
      </c>
      <c r="X307" s="137"/>
      <c r="Y307" s="58" t="str" cm="1">
        <f>IFERROR(INDEX(List_Predictors, INDEX(Array_PredictorsLookup,MATCH($A307,List_PredictorFacilities,0),(COLUMN()-1)/2), 1),"")</f>
        <v/>
      </c>
      <c r="Z307" s="137"/>
      <c r="AA307" s="58" t="str" cm="1">
        <f>IFERROR(INDEX(List_Predictors, INDEX(Array_PredictorsLookup,MATCH($A307,List_PredictorFacilities,0),(COLUMN()-1)/2), 1),"")</f>
        <v/>
      </c>
      <c r="AB307" s="137"/>
      <c r="AC307" s="58" t="str" cm="1">
        <f>IFERROR(INDEX(List_Predictors, INDEX(Array_PredictorsLookup,MATCH($A307,List_PredictorFacilities,0),(COLUMN()-1)/2), 1),"")</f>
        <v/>
      </c>
      <c r="AD307" s="137"/>
      <c r="AE307" s="58" t="str" cm="1">
        <f>IFERROR(INDEX(List_Predictors, INDEX(Array_PredictorsLookup,MATCH($A307,List_PredictorFacilities,0),(COLUMN()-1)/2), 1),"")</f>
        <v/>
      </c>
      <c r="AF307" s="137"/>
    </row>
    <row r="308" spans="1:32" x14ac:dyDescent="0.3">
      <c r="A308" s="126"/>
      <c r="B308" s="141"/>
      <c r="C308" s="58" t="str" cm="1">
        <f>IFERROR(INDEX(List_Predictors, INDEX(Array_PredictorsLookup,MATCH($A308,List_PredictorFacilities,0),(COLUMN()-1)/2), 1),"")</f>
        <v/>
      </c>
      <c r="D308" s="137"/>
      <c r="E308" s="58" t="str" cm="1">
        <f>IFERROR(INDEX(List_Predictors, INDEX(Array_PredictorsLookup,MATCH($A308,List_PredictorFacilities,0),(COLUMN()-1)/2), 1),"")</f>
        <v/>
      </c>
      <c r="F308" s="137"/>
      <c r="G308" s="58" t="str" cm="1">
        <f>IFERROR(INDEX(List_Predictors, INDEX(Array_PredictorsLookup,MATCH($A308,List_PredictorFacilities,0),(COLUMN()-1)/2), 1),"")</f>
        <v/>
      </c>
      <c r="H308" s="137"/>
      <c r="I308" s="58" t="str" cm="1">
        <f>IFERROR(INDEX(List_Predictors, INDEX(Array_PredictorsLookup,MATCH($A308,List_PredictorFacilities,0),(COLUMN()-1)/2), 1),"")</f>
        <v/>
      </c>
      <c r="J308" s="137"/>
      <c r="K308" s="58" t="str" cm="1">
        <f>IFERROR(INDEX(List_Predictors, INDEX(Array_PredictorsLookup,MATCH($A308,List_PredictorFacilities,0),(COLUMN()-1)/2), 1),"")</f>
        <v/>
      </c>
      <c r="L308" s="137"/>
      <c r="M308" s="58" t="str" cm="1">
        <f>IFERROR(INDEX(List_Predictors, INDEX(Array_PredictorsLookup,MATCH($A308,List_PredictorFacilities,0),(COLUMN()-1)/2), 1),"")</f>
        <v/>
      </c>
      <c r="N308" s="137"/>
      <c r="O308" s="58" t="str" cm="1">
        <f>IFERROR(INDEX(List_Predictors, INDEX(Array_PredictorsLookup,MATCH($A308,List_PredictorFacilities,0),(COLUMN()-1)/2), 1),"")</f>
        <v/>
      </c>
      <c r="P308" s="137"/>
      <c r="Q308" s="58" t="str" cm="1">
        <f>IFERROR(INDEX(List_Predictors, INDEX(Array_PredictorsLookup,MATCH($A308,List_PredictorFacilities,0),(COLUMN()-1)/2), 1),"")</f>
        <v/>
      </c>
      <c r="R308" s="137"/>
      <c r="S308" s="58" t="str" cm="1">
        <f>IFERROR(INDEX(List_Predictors, INDEX(Array_PredictorsLookup,MATCH($A308,List_PredictorFacilities,0),(COLUMN()-1)/2), 1),"")</f>
        <v/>
      </c>
      <c r="T308" s="137"/>
      <c r="U308" s="58" t="str" cm="1">
        <f>IFERROR(INDEX(List_Predictors, INDEX(Array_PredictorsLookup,MATCH($A308,List_PredictorFacilities,0),(COLUMN()-1)/2), 1),"")</f>
        <v/>
      </c>
      <c r="V308" s="137"/>
      <c r="W308" s="58" t="str" cm="1">
        <f>IFERROR(INDEX(List_Predictors, INDEX(Array_PredictorsLookup,MATCH($A308,List_PredictorFacilities,0),(COLUMN()-1)/2), 1),"")</f>
        <v/>
      </c>
      <c r="X308" s="137"/>
      <c r="Y308" s="58" t="str" cm="1">
        <f>IFERROR(INDEX(List_Predictors, INDEX(Array_PredictorsLookup,MATCH($A308,List_PredictorFacilities,0),(COLUMN()-1)/2), 1),"")</f>
        <v/>
      </c>
      <c r="Z308" s="137"/>
      <c r="AA308" s="58" t="str" cm="1">
        <f>IFERROR(INDEX(List_Predictors, INDEX(Array_PredictorsLookup,MATCH($A308,List_PredictorFacilities,0),(COLUMN()-1)/2), 1),"")</f>
        <v/>
      </c>
      <c r="AB308" s="137"/>
      <c r="AC308" s="58" t="str" cm="1">
        <f>IFERROR(INDEX(List_Predictors, INDEX(Array_PredictorsLookup,MATCH($A308,List_PredictorFacilities,0),(COLUMN()-1)/2), 1),"")</f>
        <v/>
      </c>
      <c r="AD308" s="137"/>
      <c r="AE308" s="58" t="str" cm="1">
        <f>IFERROR(INDEX(List_Predictors, INDEX(Array_PredictorsLookup,MATCH($A308,List_PredictorFacilities,0),(COLUMN()-1)/2), 1),"")</f>
        <v/>
      </c>
      <c r="AF308" s="137"/>
    </row>
    <row r="309" spans="1:32" x14ac:dyDescent="0.3">
      <c r="A309" s="126"/>
      <c r="B309" s="141"/>
      <c r="C309" s="58" t="str" cm="1">
        <f>IFERROR(INDEX(List_Predictors, INDEX(Array_PredictorsLookup,MATCH($A309,List_PredictorFacilities,0),(COLUMN()-1)/2), 1),"")</f>
        <v/>
      </c>
      <c r="D309" s="137"/>
      <c r="E309" s="58" t="str" cm="1">
        <f>IFERROR(INDEX(List_Predictors, INDEX(Array_PredictorsLookup,MATCH($A309,List_PredictorFacilities,0),(COLUMN()-1)/2), 1),"")</f>
        <v/>
      </c>
      <c r="F309" s="137"/>
      <c r="G309" s="58" t="str" cm="1">
        <f>IFERROR(INDEX(List_Predictors, INDEX(Array_PredictorsLookup,MATCH($A309,List_PredictorFacilities,0),(COLUMN()-1)/2), 1),"")</f>
        <v/>
      </c>
      <c r="H309" s="137"/>
      <c r="I309" s="58" t="str" cm="1">
        <f>IFERROR(INDEX(List_Predictors, INDEX(Array_PredictorsLookup,MATCH($A309,List_PredictorFacilities,0),(COLUMN()-1)/2), 1),"")</f>
        <v/>
      </c>
      <c r="J309" s="137"/>
      <c r="K309" s="58" t="str" cm="1">
        <f>IFERROR(INDEX(List_Predictors, INDEX(Array_PredictorsLookup,MATCH($A309,List_PredictorFacilities,0),(COLUMN()-1)/2), 1),"")</f>
        <v/>
      </c>
      <c r="L309" s="137"/>
      <c r="M309" s="58" t="str" cm="1">
        <f>IFERROR(INDEX(List_Predictors, INDEX(Array_PredictorsLookup,MATCH($A309,List_PredictorFacilities,0),(COLUMN()-1)/2), 1),"")</f>
        <v/>
      </c>
      <c r="N309" s="137"/>
      <c r="O309" s="58" t="str" cm="1">
        <f>IFERROR(INDEX(List_Predictors, INDEX(Array_PredictorsLookup,MATCH($A309,List_PredictorFacilities,0),(COLUMN()-1)/2), 1),"")</f>
        <v/>
      </c>
      <c r="P309" s="137"/>
      <c r="Q309" s="58" t="str" cm="1">
        <f>IFERROR(INDEX(List_Predictors, INDEX(Array_PredictorsLookup,MATCH($A309,List_PredictorFacilities,0),(COLUMN()-1)/2), 1),"")</f>
        <v/>
      </c>
      <c r="R309" s="137"/>
      <c r="S309" s="58" t="str" cm="1">
        <f>IFERROR(INDEX(List_Predictors, INDEX(Array_PredictorsLookup,MATCH($A309,List_PredictorFacilities,0),(COLUMN()-1)/2), 1),"")</f>
        <v/>
      </c>
      <c r="T309" s="137"/>
      <c r="U309" s="58" t="str" cm="1">
        <f>IFERROR(INDEX(List_Predictors, INDEX(Array_PredictorsLookup,MATCH($A309,List_PredictorFacilities,0),(COLUMN()-1)/2), 1),"")</f>
        <v/>
      </c>
      <c r="V309" s="137"/>
      <c r="W309" s="58" t="str" cm="1">
        <f>IFERROR(INDEX(List_Predictors, INDEX(Array_PredictorsLookup,MATCH($A309,List_PredictorFacilities,0),(COLUMN()-1)/2), 1),"")</f>
        <v/>
      </c>
      <c r="X309" s="137"/>
      <c r="Y309" s="58" t="str" cm="1">
        <f>IFERROR(INDEX(List_Predictors, INDEX(Array_PredictorsLookup,MATCH($A309,List_PredictorFacilities,0),(COLUMN()-1)/2), 1),"")</f>
        <v/>
      </c>
      <c r="Z309" s="137"/>
      <c r="AA309" s="58" t="str" cm="1">
        <f>IFERROR(INDEX(List_Predictors, INDEX(Array_PredictorsLookup,MATCH($A309,List_PredictorFacilities,0),(COLUMN()-1)/2), 1),"")</f>
        <v/>
      </c>
      <c r="AB309" s="137"/>
      <c r="AC309" s="58" t="str" cm="1">
        <f>IFERROR(INDEX(List_Predictors, INDEX(Array_PredictorsLookup,MATCH($A309,List_PredictorFacilities,0),(COLUMN()-1)/2), 1),"")</f>
        <v/>
      </c>
      <c r="AD309" s="137"/>
      <c r="AE309" s="58" t="str" cm="1">
        <f>IFERROR(INDEX(List_Predictors, INDEX(Array_PredictorsLookup,MATCH($A309,List_PredictorFacilities,0),(COLUMN()-1)/2), 1),"")</f>
        <v/>
      </c>
      <c r="AF309" s="137"/>
    </row>
    <row r="310" spans="1:32" x14ac:dyDescent="0.3">
      <c r="A310" s="126"/>
      <c r="B310" s="141"/>
      <c r="C310" s="58" t="str" cm="1">
        <f>IFERROR(INDEX(List_Predictors, INDEX(Array_PredictorsLookup,MATCH($A310,List_PredictorFacilities,0),(COLUMN()-1)/2), 1),"")</f>
        <v/>
      </c>
      <c r="D310" s="137"/>
      <c r="E310" s="58" t="str" cm="1">
        <f>IFERROR(INDEX(List_Predictors, INDEX(Array_PredictorsLookup,MATCH($A310,List_PredictorFacilities,0),(COLUMN()-1)/2), 1),"")</f>
        <v/>
      </c>
      <c r="F310" s="137"/>
      <c r="G310" s="58" t="str" cm="1">
        <f>IFERROR(INDEX(List_Predictors, INDEX(Array_PredictorsLookup,MATCH($A310,List_PredictorFacilities,0),(COLUMN()-1)/2), 1),"")</f>
        <v/>
      </c>
      <c r="H310" s="137"/>
      <c r="I310" s="58" t="str" cm="1">
        <f>IFERROR(INDEX(List_Predictors, INDEX(Array_PredictorsLookup,MATCH($A310,List_PredictorFacilities,0),(COLUMN()-1)/2), 1),"")</f>
        <v/>
      </c>
      <c r="J310" s="137"/>
      <c r="K310" s="58" t="str" cm="1">
        <f>IFERROR(INDEX(List_Predictors, INDEX(Array_PredictorsLookup,MATCH($A310,List_PredictorFacilities,0),(COLUMN()-1)/2), 1),"")</f>
        <v/>
      </c>
      <c r="L310" s="137"/>
      <c r="M310" s="58" t="str" cm="1">
        <f>IFERROR(INDEX(List_Predictors, INDEX(Array_PredictorsLookup,MATCH($A310,List_PredictorFacilities,0),(COLUMN()-1)/2), 1),"")</f>
        <v/>
      </c>
      <c r="N310" s="137"/>
      <c r="O310" s="58" t="str" cm="1">
        <f>IFERROR(INDEX(List_Predictors, INDEX(Array_PredictorsLookup,MATCH($A310,List_PredictorFacilities,0),(COLUMN()-1)/2), 1),"")</f>
        <v/>
      </c>
      <c r="P310" s="137"/>
      <c r="Q310" s="58" t="str" cm="1">
        <f>IFERROR(INDEX(List_Predictors, INDEX(Array_PredictorsLookup,MATCH($A310,List_PredictorFacilities,0),(COLUMN()-1)/2), 1),"")</f>
        <v/>
      </c>
      <c r="R310" s="137"/>
      <c r="S310" s="58" t="str" cm="1">
        <f>IFERROR(INDEX(List_Predictors, INDEX(Array_PredictorsLookup,MATCH($A310,List_PredictorFacilities,0),(COLUMN()-1)/2), 1),"")</f>
        <v/>
      </c>
      <c r="T310" s="137"/>
      <c r="U310" s="58" t="str" cm="1">
        <f>IFERROR(INDEX(List_Predictors, INDEX(Array_PredictorsLookup,MATCH($A310,List_PredictorFacilities,0),(COLUMN()-1)/2), 1),"")</f>
        <v/>
      </c>
      <c r="V310" s="137"/>
      <c r="W310" s="58" t="str" cm="1">
        <f>IFERROR(INDEX(List_Predictors, INDEX(Array_PredictorsLookup,MATCH($A310,List_PredictorFacilities,0),(COLUMN()-1)/2), 1),"")</f>
        <v/>
      </c>
      <c r="X310" s="137"/>
      <c r="Y310" s="58" t="str" cm="1">
        <f>IFERROR(INDEX(List_Predictors, INDEX(Array_PredictorsLookup,MATCH($A310,List_PredictorFacilities,0),(COLUMN()-1)/2), 1),"")</f>
        <v/>
      </c>
      <c r="Z310" s="137"/>
      <c r="AA310" s="58" t="str" cm="1">
        <f>IFERROR(INDEX(List_Predictors, INDEX(Array_PredictorsLookup,MATCH($A310,List_PredictorFacilities,0),(COLUMN()-1)/2), 1),"")</f>
        <v/>
      </c>
      <c r="AB310" s="137"/>
      <c r="AC310" s="58" t="str" cm="1">
        <f>IFERROR(INDEX(List_Predictors, INDEX(Array_PredictorsLookup,MATCH($A310,List_PredictorFacilities,0),(COLUMN()-1)/2), 1),"")</f>
        <v/>
      </c>
      <c r="AD310" s="137"/>
      <c r="AE310" s="58" t="str" cm="1">
        <f>IFERROR(INDEX(List_Predictors, INDEX(Array_PredictorsLookup,MATCH($A310,List_PredictorFacilities,0),(COLUMN()-1)/2), 1),"")</f>
        <v/>
      </c>
      <c r="AF310" s="137"/>
    </row>
    <row r="311" spans="1:32" x14ac:dyDescent="0.3">
      <c r="A311" s="126"/>
      <c r="B311" s="141"/>
      <c r="C311" s="58" t="str" cm="1">
        <f>IFERROR(INDEX(List_Predictors, INDEX(Array_PredictorsLookup,MATCH($A311,List_PredictorFacilities,0),(COLUMN()-1)/2), 1),"")</f>
        <v/>
      </c>
      <c r="D311" s="137"/>
      <c r="E311" s="58" t="str" cm="1">
        <f>IFERROR(INDEX(List_Predictors, INDEX(Array_PredictorsLookup,MATCH($A311,List_PredictorFacilities,0),(COLUMN()-1)/2), 1),"")</f>
        <v/>
      </c>
      <c r="F311" s="137"/>
      <c r="G311" s="58" t="str" cm="1">
        <f>IFERROR(INDEX(List_Predictors, INDEX(Array_PredictorsLookup,MATCH($A311,List_PredictorFacilities,0),(COLUMN()-1)/2), 1),"")</f>
        <v/>
      </c>
      <c r="H311" s="137"/>
      <c r="I311" s="58" t="str" cm="1">
        <f>IFERROR(INDEX(List_Predictors, INDEX(Array_PredictorsLookup,MATCH($A311,List_PredictorFacilities,0),(COLUMN()-1)/2), 1),"")</f>
        <v/>
      </c>
      <c r="J311" s="137"/>
      <c r="K311" s="58" t="str" cm="1">
        <f>IFERROR(INDEX(List_Predictors, INDEX(Array_PredictorsLookup,MATCH($A311,List_PredictorFacilities,0),(COLUMN()-1)/2), 1),"")</f>
        <v/>
      </c>
      <c r="L311" s="137"/>
      <c r="M311" s="58" t="str" cm="1">
        <f>IFERROR(INDEX(List_Predictors, INDEX(Array_PredictorsLookup,MATCH($A311,List_PredictorFacilities,0),(COLUMN()-1)/2), 1),"")</f>
        <v/>
      </c>
      <c r="N311" s="137"/>
      <c r="O311" s="58" t="str" cm="1">
        <f>IFERROR(INDEX(List_Predictors, INDEX(Array_PredictorsLookup,MATCH($A311,List_PredictorFacilities,0),(COLUMN()-1)/2), 1),"")</f>
        <v/>
      </c>
      <c r="P311" s="137"/>
      <c r="Q311" s="58" t="str" cm="1">
        <f>IFERROR(INDEX(List_Predictors, INDEX(Array_PredictorsLookup,MATCH($A311,List_PredictorFacilities,0),(COLUMN()-1)/2), 1),"")</f>
        <v/>
      </c>
      <c r="R311" s="137"/>
      <c r="S311" s="58" t="str" cm="1">
        <f>IFERROR(INDEX(List_Predictors, INDEX(Array_PredictorsLookup,MATCH($A311,List_PredictorFacilities,0),(COLUMN()-1)/2), 1),"")</f>
        <v/>
      </c>
      <c r="T311" s="137"/>
      <c r="U311" s="58" t="str" cm="1">
        <f>IFERROR(INDEX(List_Predictors, INDEX(Array_PredictorsLookup,MATCH($A311,List_PredictorFacilities,0),(COLUMN()-1)/2), 1),"")</f>
        <v/>
      </c>
      <c r="V311" s="137"/>
      <c r="W311" s="58" t="str" cm="1">
        <f>IFERROR(INDEX(List_Predictors, INDEX(Array_PredictorsLookup,MATCH($A311,List_PredictorFacilities,0),(COLUMN()-1)/2), 1),"")</f>
        <v/>
      </c>
      <c r="X311" s="137"/>
      <c r="Y311" s="58" t="str" cm="1">
        <f>IFERROR(INDEX(List_Predictors, INDEX(Array_PredictorsLookup,MATCH($A311,List_PredictorFacilities,0),(COLUMN()-1)/2), 1),"")</f>
        <v/>
      </c>
      <c r="Z311" s="137"/>
      <c r="AA311" s="58" t="str" cm="1">
        <f>IFERROR(INDEX(List_Predictors, INDEX(Array_PredictorsLookup,MATCH($A311,List_PredictorFacilities,0),(COLUMN()-1)/2), 1),"")</f>
        <v/>
      </c>
      <c r="AB311" s="137"/>
      <c r="AC311" s="58" t="str" cm="1">
        <f>IFERROR(INDEX(List_Predictors, INDEX(Array_PredictorsLookup,MATCH($A311,List_PredictorFacilities,0),(COLUMN()-1)/2), 1),"")</f>
        <v/>
      </c>
      <c r="AD311" s="137"/>
      <c r="AE311" s="58" t="str" cm="1">
        <f>IFERROR(INDEX(List_Predictors, INDEX(Array_PredictorsLookup,MATCH($A311,List_PredictorFacilities,0),(COLUMN()-1)/2), 1),"")</f>
        <v/>
      </c>
      <c r="AF311" s="137"/>
    </row>
    <row r="312" spans="1:32" x14ac:dyDescent="0.3">
      <c r="A312" s="126"/>
      <c r="B312" s="141"/>
      <c r="C312" s="58" t="str" cm="1">
        <f>IFERROR(INDEX(List_Predictors, INDEX(Array_PredictorsLookup,MATCH($A312,List_PredictorFacilities,0),(COLUMN()-1)/2), 1),"")</f>
        <v/>
      </c>
      <c r="D312" s="137"/>
      <c r="E312" s="58" t="str" cm="1">
        <f>IFERROR(INDEX(List_Predictors, INDEX(Array_PredictorsLookup,MATCH($A312,List_PredictorFacilities,0),(COLUMN()-1)/2), 1),"")</f>
        <v/>
      </c>
      <c r="F312" s="137"/>
      <c r="G312" s="58" t="str" cm="1">
        <f>IFERROR(INDEX(List_Predictors, INDEX(Array_PredictorsLookup,MATCH($A312,List_PredictorFacilities,0),(COLUMN()-1)/2), 1),"")</f>
        <v/>
      </c>
      <c r="H312" s="137"/>
      <c r="I312" s="58" t="str" cm="1">
        <f>IFERROR(INDEX(List_Predictors, INDEX(Array_PredictorsLookup,MATCH($A312,List_PredictorFacilities,0),(COLUMN()-1)/2), 1),"")</f>
        <v/>
      </c>
      <c r="J312" s="137"/>
      <c r="K312" s="58" t="str" cm="1">
        <f>IFERROR(INDEX(List_Predictors, INDEX(Array_PredictorsLookup,MATCH($A312,List_PredictorFacilities,0),(COLUMN()-1)/2), 1),"")</f>
        <v/>
      </c>
      <c r="L312" s="137"/>
      <c r="M312" s="58" t="str" cm="1">
        <f>IFERROR(INDEX(List_Predictors, INDEX(Array_PredictorsLookup,MATCH($A312,List_PredictorFacilities,0),(COLUMN()-1)/2), 1),"")</f>
        <v/>
      </c>
      <c r="N312" s="137"/>
      <c r="O312" s="58" t="str" cm="1">
        <f>IFERROR(INDEX(List_Predictors, INDEX(Array_PredictorsLookup,MATCH($A312,List_PredictorFacilities,0),(COLUMN()-1)/2), 1),"")</f>
        <v/>
      </c>
      <c r="P312" s="137"/>
      <c r="Q312" s="58" t="str" cm="1">
        <f>IFERROR(INDEX(List_Predictors, INDEX(Array_PredictorsLookup,MATCH($A312,List_PredictorFacilities,0),(COLUMN()-1)/2), 1),"")</f>
        <v/>
      </c>
      <c r="R312" s="137"/>
      <c r="S312" s="58" t="str" cm="1">
        <f>IFERROR(INDEX(List_Predictors, INDEX(Array_PredictorsLookup,MATCH($A312,List_PredictorFacilities,0),(COLUMN()-1)/2), 1),"")</f>
        <v/>
      </c>
      <c r="T312" s="137"/>
      <c r="U312" s="58" t="str" cm="1">
        <f>IFERROR(INDEX(List_Predictors, INDEX(Array_PredictorsLookup,MATCH($A312,List_PredictorFacilities,0),(COLUMN()-1)/2), 1),"")</f>
        <v/>
      </c>
      <c r="V312" s="137"/>
      <c r="W312" s="58" t="str" cm="1">
        <f>IFERROR(INDEX(List_Predictors, INDEX(Array_PredictorsLookup,MATCH($A312,List_PredictorFacilities,0),(COLUMN()-1)/2), 1),"")</f>
        <v/>
      </c>
      <c r="X312" s="137"/>
      <c r="Y312" s="58" t="str" cm="1">
        <f>IFERROR(INDEX(List_Predictors, INDEX(Array_PredictorsLookup,MATCH($A312,List_PredictorFacilities,0),(COLUMN()-1)/2), 1),"")</f>
        <v/>
      </c>
      <c r="Z312" s="137"/>
      <c r="AA312" s="58" t="str" cm="1">
        <f>IFERROR(INDEX(List_Predictors, INDEX(Array_PredictorsLookup,MATCH($A312,List_PredictorFacilities,0),(COLUMN()-1)/2), 1),"")</f>
        <v/>
      </c>
      <c r="AB312" s="137"/>
      <c r="AC312" s="58" t="str" cm="1">
        <f>IFERROR(INDEX(List_Predictors, INDEX(Array_PredictorsLookup,MATCH($A312,List_PredictorFacilities,0),(COLUMN()-1)/2), 1),"")</f>
        <v/>
      </c>
      <c r="AD312" s="137"/>
      <c r="AE312" s="58" t="str" cm="1">
        <f>IFERROR(INDEX(List_Predictors, INDEX(Array_PredictorsLookup,MATCH($A312,List_PredictorFacilities,0),(COLUMN()-1)/2), 1),"")</f>
        <v/>
      </c>
      <c r="AF312" s="137"/>
    </row>
    <row r="313" spans="1:32" x14ac:dyDescent="0.3">
      <c r="A313" s="126"/>
      <c r="B313" s="141"/>
      <c r="C313" s="58" t="str" cm="1">
        <f>IFERROR(INDEX(List_Predictors, INDEX(Array_PredictorsLookup,MATCH($A313,List_PredictorFacilities,0),(COLUMN()-1)/2), 1),"")</f>
        <v/>
      </c>
      <c r="D313" s="137"/>
      <c r="E313" s="58" t="str" cm="1">
        <f>IFERROR(INDEX(List_Predictors, INDEX(Array_PredictorsLookup,MATCH($A313,List_PredictorFacilities,0),(COLUMN()-1)/2), 1),"")</f>
        <v/>
      </c>
      <c r="F313" s="137"/>
      <c r="G313" s="58" t="str" cm="1">
        <f>IFERROR(INDEX(List_Predictors, INDEX(Array_PredictorsLookup,MATCH($A313,List_PredictorFacilities,0),(COLUMN()-1)/2), 1),"")</f>
        <v/>
      </c>
      <c r="H313" s="137"/>
      <c r="I313" s="58" t="str" cm="1">
        <f>IFERROR(INDEX(List_Predictors, INDEX(Array_PredictorsLookup,MATCH($A313,List_PredictorFacilities,0),(COLUMN()-1)/2), 1),"")</f>
        <v/>
      </c>
      <c r="J313" s="137"/>
      <c r="K313" s="58" t="str" cm="1">
        <f>IFERROR(INDEX(List_Predictors, INDEX(Array_PredictorsLookup,MATCH($A313,List_PredictorFacilities,0),(COLUMN()-1)/2), 1),"")</f>
        <v/>
      </c>
      <c r="L313" s="137"/>
      <c r="M313" s="58" t="str" cm="1">
        <f>IFERROR(INDEX(List_Predictors, INDEX(Array_PredictorsLookup,MATCH($A313,List_PredictorFacilities,0),(COLUMN()-1)/2), 1),"")</f>
        <v/>
      </c>
      <c r="N313" s="137"/>
      <c r="O313" s="58" t="str" cm="1">
        <f>IFERROR(INDEX(List_Predictors, INDEX(Array_PredictorsLookup,MATCH($A313,List_PredictorFacilities,0),(COLUMN()-1)/2), 1),"")</f>
        <v/>
      </c>
      <c r="P313" s="137"/>
      <c r="Q313" s="58" t="str" cm="1">
        <f>IFERROR(INDEX(List_Predictors, INDEX(Array_PredictorsLookup,MATCH($A313,List_PredictorFacilities,0),(COLUMN()-1)/2), 1),"")</f>
        <v/>
      </c>
      <c r="R313" s="137"/>
      <c r="S313" s="58" t="str" cm="1">
        <f>IFERROR(INDEX(List_Predictors, INDEX(Array_PredictorsLookup,MATCH($A313,List_PredictorFacilities,0),(COLUMN()-1)/2), 1),"")</f>
        <v/>
      </c>
      <c r="T313" s="137"/>
      <c r="U313" s="58" t="str" cm="1">
        <f>IFERROR(INDEX(List_Predictors, INDEX(Array_PredictorsLookup,MATCH($A313,List_PredictorFacilities,0),(COLUMN()-1)/2), 1),"")</f>
        <v/>
      </c>
      <c r="V313" s="137"/>
      <c r="W313" s="58" t="str" cm="1">
        <f>IFERROR(INDEX(List_Predictors, INDEX(Array_PredictorsLookup,MATCH($A313,List_PredictorFacilities,0),(COLUMN()-1)/2), 1),"")</f>
        <v/>
      </c>
      <c r="X313" s="137"/>
      <c r="Y313" s="58" t="str" cm="1">
        <f>IFERROR(INDEX(List_Predictors, INDEX(Array_PredictorsLookup,MATCH($A313,List_PredictorFacilities,0),(COLUMN()-1)/2), 1),"")</f>
        <v/>
      </c>
      <c r="Z313" s="137"/>
      <c r="AA313" s="58" t="str" cm="1">
        <f>IFERROR(INDEX(List_Predictors, INDEX(Array_PredictorsLookup,MATCH($A313,List_PredictorFacilities,0),(COLUMN()-1)/2), 1),"")</f>
        <v/>
      </c>
      <c r="AB313" s="137"/>
      <c r="AC313" s="58" t="str" cm="1">
        <f>IFERROR(INDEX(List_Predictors, INDEX(Array_PredictorsLookup,MATCH($A313,List_PredictorFacilities,0),(COLUMN()-1)/2), 1),"")</f>
        <v/>
      </c>
      <c r="AD313" s="137"/>
      <c r="AE313" s="58" t="str" cm="1">
        <f>IFERROR(INDEX(List_Predictors, INDEX(Array_PredictorsLookup,MATCH($A313,List_PredictorFacilities,0),(COLUMN()-1)/2), 1),"")</f>
        <v/>
      </c>
      <c r="AF313" s="137"/>
    </row>
    <row r="314" spans="1:32" x14ac:dyDescent="0.3">
      <c r="A314" s="126"/>
      <c r="B314" s="141"/>
      <c r="C314" s="58" t="str" cm="1">
        <f>IFERROR(INDEX(List_Predictors, INDEX(Array_PredictorsLookup,MATCH($A314,List_PredictorFacilities,0),(COLUMN()-1)/2), 1),"")</f>
        <v/>
      </c>
      <c r="D314" s="137"/>
      <c r="E314" s="58" t="str" cm="1">
        <f>IFERROR(INDEX(List_Predictors, INDEX(Array_PredictorsLookup,MATCH($A314,List_PredictorFacilities,0),(COLUMN()-1)/2), 1),"")</f>
        <v/>
      </c>
      <c r="F314" s="137"/>
      <c r="G314" s="58" t="str" cm="1">
        <f>IFERROR(INDEX(List_Predictors, INDEX(Array_PredictorsLookup,MATCH($A314,List_PredictorFacilities,0),(COLUMN()-1)/2), 1),"")</f>
        <v/>
      </c>
      <c r="H314" s="137"/>
      <c r="I314" s="58" t="str" cm="1">
        <f>IFERROR(INDEX(List_Predictors, INDEX(Array_PredictorsLookup,MATCH($A314,List_PredictorFacilities,0),(COLUMN()-1)/2), 1),"")</f>
        <v/>
      </c>
      <c r="J314" s="137"/>
      <c r="K314" s="58" t="str" cm="1">
        <f>IFERROR(INDEX(List_Predictors, INDEX(Array_PredictorsLookup,MATCH($A314,List_PredictorFacilities,0),(COLUMN()-1)/2), 1),"")</f>
        <v/>
      </c>
      <c r="L314" s="137"/>
      <c r="M314" s="58" t="str" cm="1">
        <f>IFERROR(INDEX(List_Predictors, INDEX(Array_PredictorsLookup,MATCH($A314,List_PredictorFacilities,0),(COLUMN()-1)/2), 1),"")</f>
        <v/>
      </c>
      <c r="N314" s="137"/>
      <c r="O314" s="58" t="str" cm="1">
        <f>IFERROR(INDEX(List_Predictors, INDEX(Array_PredictorsLookup,MATCH($A314,List_PredictorFacilities,0),(COLUMN()-1)/2), 1),"")</f>
        <v/>
      </c>
      <c r="P314" s="137"/>
      <c r="Q314" s="58" t="str" cm="1">
        <f>IFERROR(INDEX(List_Predictors, INDEX(Array_PredictorsLookup,MATCH($A314,List_PredictorFacilities,0),(COLUMN()-1)/2), 1),"")</f>
        <v/>
      </c>
      <c r="R314" s="137"/>
      <c r="S314" s="58" t="str" cm="1">
        <f>IFERROR(INDEX(List_Predictors, INDEX(Array_PredictorsLookup,MATCH($A314,List_PredictorFacilities,0),(COLUMN()-1)/2), 1),"")</f>
        <v/>
      </c>
      <c r="T314" s="137"/>
      <c r="U314" s="58" t="str" cm="1">
        <f>IFERROR(INDEX(List_Predictors, INDEX(Array_PredictorsLookup,MATCH($A314,List_PredictorFacilities,0),(COLUMN()-1)/2), 1),"")</f>
        <v/>
      </c>
      <c r="V314" s="137"/>
      <c r="W314" s="58" t="str" cm="1">
        <f>IFERROR(INDEX(List_Predictors, INDEX(Array_PredictorsLookup,MATCH($A314,List_PredictorFacilities,0),(COLUMN()-1)/2), 1),"")</f>
        <v/>
      </c>
      <c r="X314" s="137"/>
      <c r="Y314" s="58" t="str" cm="1">
        <f>IFERROR(INDEX(List_Predictors, INDEX(Array_PredictorsLookup,MATCH($A314,List_PredictorFacilities,0),(COLUMN()-1)/2), 1),"")</f>
        <v/>
      </c>
      <c r="Z314" s="137"/>
      <c r="AA314" s="58" t="str" cm="1">
        <f>IFERROR(INDEX(List_Predictors, INDEX(Array_PredictorsLookup,MATCH($A314,List_PredictorFacilities,0),(COLUMN()-1)/2), 1),"")</f>
        <v/>
      </c>
      <c r="AB314" s="137"/>
      <c r="AC314" s="58" t="str" cm="1">
        <f>IFERROR(INDEX(List_Predictors, INDEX(Array_PredictorsLookup,MATCH($A314,List_PredictorFacilities,0),(COLUMN()-1)/2), 1),"")</f>
        <v/>
      </c>
      <c r="AD314" s="137"/>
      <c r="AE314" s="58" t="str" cm="1">
        <f>IFERROR(INDEX(List_Predictors, INDEX(Array_PredictorsLookup,MATCH($A314,List_PredictorFacilities,0),(COLUMN()-1)/2), 1),"")</f>
        <v/>
      </c>
      <c r="AF314" s="137"/>
    </row>
    <row r="315" spans="1:32" x14ac:dyDescent="0.3">
      <c r="A315" s="126"/>
      <c r="B315" s="141"/>
      <c r="C315" s="58" t="str" cm="1">
        <f>IFERROR(INDEX(List_Predictors, INDEX(Array_PredictorsLookup,MATCH($A315,List_PredictorFacilities,0),(COLUMN()-1)/2), 1),"")</f>
        <v/>
      </c>
      <c r="D315" s="137"/>
      <c r="E315" s="58" t="str" cm="1">
        <f>IFERROR(INDEX(List_Predictors, INDEX(Array_PredictorsLookup,MATCH($A315,List_PredictorFacilities,0),(COLUMN()-1)/2), 1),"")</f>
        <v/>
      </c>
      <c r="F315" s="137"/>
      <c r="G315" s="58" t="str" cm="1">
        <f>IFERROR(INDEX(List_Predictors, INDEX(Array_PredictorsLookup,MATCH($A315,List_PredictorFacilities,0),(COLUMN()-1)/2), 1),"")</f>
        <v/>
      </c>
      <c r="H315" s="137"/>
      <c r="I315" s="58" t="str" cm="1">
        <f>IFERROR(INDEX(List_Predictors, INDEX(Array_PredictorsLookup,MATCH($A315,List_PredictorFacilities,0),(COLUMN()-1)/2), 1),"")</f>
        <v/>
      </c>
      <c r="J315" s="137"/>
      <c r="K315" s="58" t="str" cm="1">
        <f>IFERROR(INDEX(List_Predictors, INDEX(Array_PredictorsLookup,MATCH($A315,List_PredictorFacilities,0),(COLUMN()-1)/2), 1),"")</f>
        <v/>
      </c>
      <c r="L315" s="137"/>
      <c r="M315" s="58" t="str" cm="1">
        <f>IFERROR(INDEX(List_Predictors, INDEX(Array_PredictorsLookup,MATCH($A315,List_PredictorFacilities,0),(COLUMN()-1)/2), 1),"")</f>
        <v/>
      </c>
      <c r="N315" s="137"/>
      <c r="O315" s="58" t="str" cm="1">
        <f>IFERROR(INDEX(List_Predictors, INDEX(Array_PredictorsLookup,MATCH($A315,List_PredictorFacilities,0),(COLUMN()-1)/2), 1),"")</f>
        <v/>
      </c>
      <c r="P315" s="137"/>
      <c r="Q315" s="58" t="str" cm="1">
        <f>IFERROR(INDEX(List_Predictors, INDEX(Array_PredictorsLookup,MATCH($A315,List_PredictorFacilities,0),(COLUMN()-1)/2), 1),"")</f>
        <v/>
      </c>
      <c r="R315" s="137"/>
      <c r="S315" s="58" t="str" cm="1">
        <f>IFERROR(INDEX(List_Predictors, INDEX(Array_PredictorsLookup,MATCH($A315,List_PredictorFacilities,0),(COLUMN()-1)/2), 1),"")</f>
        <v/>
      </c>
      <c r="T315" s="137"/>
      <c r="U315" s="58" t="str" cm="1">
        <f>IFERROR(INDEX(List_Predictors, INDEX(Array_PredictorsLookup,MATCH($A315,List_PredictorFacilities,0),(COLUMN()-1)/2), 1),"")</f>
        <v/>
      </c>
      <c r="V315" s="137"/>
      <c r="W315" s="58" t="str" cm="1">
        <f>IFERROR(INDEX(List_Predictors, INDEX(Array_PredictorsLookup,MATCH($A315,List_PredictorFacilities,0),(COLUMN()-1)/2), 1),"")</f>
        <v/>
      </c>
      <c r="X315" s="137"/>
      <c r="Y315" s="58" t="str" cm="1">
        <f>IFERROR(INDEX(List_Predictors, INDEX(Array_PredictorsLookup,MATCH($A315,List_PredictorFacilities,0),(COLUMN()-1)/2), 1),"")</f>
        <v/>
      </c>
      <c r="Z315" s="137"/>
      <c r="AA315" s="58" t="str" cm="1">
        <f>IFERROR(INDEX(List_Predictors, INDEX(Array_PredictorsLookup,MATCH($A315,List_PredictorFacilities,0),(COLUMN()-1)/2), 1),"")</f>
        <v/>
      </c>
      <c r="AB315" s="137"/>
      <c r="AC315" s="58" t="str" cm="1">
        <f>IFERROR(INDEX(List_Predictors, INDEX(Array_PredictorsLookup,MATCH($A315,List_PredictorFacilities,0),(COLUMN()-1)/2), 1),"")</f>
        <v/>
      </c>
      <c r="AD315" s="137"/>
      <c r="AE315" s="58" t="str" cm="1">
        <f>IFERROR(INDEX(List_Predictors, INDEX(Array_PredictorsLookup,MATCH($A315,List_PredictorFacilities,0),(COLUMN()-1)/2), 1),"")</f>
        <v/>
      </c>
      <c r="AF315" s="137"/>
    </row>
    <row r="316" spans="1:32" x14ac:dyDescent="0.3">
      <c r="A316" s="126"/>
      <c r="B316" s="141"/>
      <c r="C316" s="58" t="str" cm="1">
        <f>IFERROR(INDEX(List_Predictors, INDEX(Array_PredictorsLookup,MATCH($A316,List_PredictorFacilities,0),(COLUMN()-1)/2), 1),"")</f>
        <v/>
      </c>
      <c r="D316" s="137"/>
      <c r="E316" s="58" t="str" cm="1">
        <f>IFERROR(INDEX(List_Predictors, INDEX(Array_PredictorsLookup,MATCH($A316,List_PredictorFacilities,0),(COLUMN()-1)/2), 1),"")</f>
        <v/>
      </c>
      <c r="F316" s="137"/>
      <c r="G316" s="58" t="str" cm="1">
        <f>IFERROR(INDEX(List_Predictors, INDEX(Array_PredictorsLookup,MATCH($A316,List_PredictorFacilities,0),(COLUMN()-1)/2), 1),"")</f>
        <v/>
      </c>
      <c r="H316" s="137"/>
      <c r="I316" s="58" t="str" cm="1">
        <f>IFERROR(INDEX(List_Predictors, INDEX(Array_PredictorsLookup,MATCH($A316,List_PredictorFacilities,0),(COLUMN()-1)/2), 1),"")</f>
        <v/>
      </c>
      <c r="J316" s="137"/>
      <c r="K316" s="58" t="str" cm="1">
        <f>IFERROR(INDEX(List_Predictors, INDEX(Array_PredictorsLookup,MATCH($A316,List_PredictorFacilities,0),(COLUMN()-1)/2), 1),"")</f>
        <v/>
      </c>
      <c r="L316" s="137"/>
      <c r="M316" s="58" t="str" cm="1">
        <f>IFERROR(INDEX(List_Predictors, INDEX(Array_PredictorsLookup,MATCH($A316,List_PredictorFacilities,0),(COLUMN()-1)/2), 1),"")</f>
        <v/>
      </c>
      <c r="N316" s="137"/>
      <c r="O316" s="58" t="str" cm="1">
        <f>IFERROR(INDEX(List_Predictors, INDEX(Array_PredictorsLookup,MATCH($A316,List_PredictorFacilities,0),(COLUMN()-1)/2), 1),"")</f>
        <v/>
      </c>
      <c r="P316" s="137"/>
      <c r="Q316" s="58" t="str" cm="1">
        <f>IFERROR(INDEX(List_Predictors, INDEX(Array_PredictorsLookup,MATCH($A316,List_PredictorFacilities,0),(COLUMN()-1)/2), 1),"")</f>
        <v/>
      </c>
      <c r="R316" s="137"/>
      <c r="S316" s="58" t="str" cm="1">
        <f>IFERROR(INDEX(List_Predictors, INDEX(Array_PredictorsLookup,MATCH($A316,List_PredictorFacilities,0),(COLUMN()-1)/2), 1),"")</f>
        <v/>
      </c>
      <c r="T316" s="137"/>
      <c r="U316" s="58" t="str" cm="1">
        <f>IFERROR(INDEX(List_Predictors, INDEX(Array_PredictorsLookup,MATCH($A316,List_PredictorFacilities,0),(COLUMN()-1)/2), 1),"")</f>
        <v/>
      </c>
      <c r="V316" s="137"/>
      <c r="W316" s="58" t="str" cm="1">
        <f>IFERROR(INDEX(List_Predictors, INDEX(Array_PredictorsLookup,MATCH($A316,List_PredictorFacilities,0),(COLUMN()-1)/2), 1),"")</f>
        <v/>
      </c>
      <c r="X316" s="137"/>
      <c r="Y316" s="58" t="str" cm="1">
        <f>IFERROR(INDEX(List_Predictors, INDEX(Array_PredictorsLookup,MATCH($A316,List_PredictorFacilities,0),(COLUMN()-1)/2), 1),"")</f>
        <v/>
      </c>
      <c r="Z316" s="137"/>
      <c r="AA316" s="58" t="str" cm="1">
        <f>IFERROR(INDEX(List_Predictors, INDEX(Array_PredictorsLookup,MATCH($A316,List_PredictorFacilities,0),(COLUMN()-1)/2), 1),"")</f>
        <v/>
      </c>
      <c r="AB316" s="137"/>
      <c r="AC316" s="58" t="str" cm="1">
        <f>IFERROR(INDEX(List_Predictors, INDEX(Array_PredictorsLookup,MATCH($A316,List_PredictorFacilities,0),(COLUMN()-1)/2), 1),"")</f>
        <v/>
      </c>
      <c r="AD316" s="137"/>
      <c r="AE316" s="58" t="str" cm="1">
        <f>IFERROR(INDEX(List_Predictors, INDEX(Array_PredictorsLookup,MATCH($A316,List_PredictorFacilities,0),(COLUMN()-1)/2), 1),"")</f>
        <v/>
      </c>
      <c r="AF316" s="137"/>
    </row>
    <row r="317" spans="1:32" x14ac:dyDescent="0.3">
      <c r="A317" s="126"/>
      <c r="B317" s="141"/>
      <c r="C317" s="58" t="str" cm="1">
        <f>IFERROR(INDEX(List_Predictors, INDEX(Array_PredictorsLookup,MATCH($A317,List_PredictorFacilities,0),(COLUMN()-1)/2), 1),"")</f>
        <v/>
      </c>
      <c r="D317" s="137"/>
      <c r="E317" s="58" t="str" cm="1">
        <f>IFERROR(INDEX(List_Predictors, INDEX(Array_PredictorsLookup,MATCH($A317,List_PredictorFacilities,0),(COLUMN()-1)/2), 1),"")</f>
        <v/>
      </c>
      <c r="F317" s="137"/>
      <c r="G317" s="58" t="str" cm="1">
        <f>IFERROR(INDEX(List_Predictors, INDEX(Array_PredictorsLookup,MATCH($A317,List_PredictorFacilities,0),(COLUMN()-1)/2), 1),"")</f>
        <v/>
      </c>
      <c r="H317" s="137"/>
      <c r="I317" s="58" t="str" cm="1">
        <f>IFERROR(INDEX(List_Predictors, INDEX(Array_PredictorsLookup,MATCH($A317,List_PredictorFacilities,0),(COLUMN()-1)/2), 1),"")</f>
        <v/>
      </c>
      <c r="J317" s="137"/>
      <c r="K317" s="58" t="str" cm="1">
        <f>IFERROR(INDEX(List_Predictors, INDEX(Array_PredictorsLookup,MATCH($A317,List_PredictorFacilities,0),(COLUMN()-1)/2), 1),"")</f>
        <v/>
      </c>
      <c r="L317" s="137"/>
      <c r="M317" s="58" t="str" cm="1">
        <f>IFERROR(INDEX(List_Predictors, INDEX(Array_PredictorsLookup,MATCH($A317,List_PredictorFacilities,0),(COLUMN()-1)/2), 1),"")</f>
        <v/>
      </c>
      <c r="N317" s="137"/>
      <c r="O317" s="58" t="str" cm="1">
        <f>IFERROR(INDEX(List_Predictors, INDEX(Array_PredictorsLookup,MATCH($A317,List_PredictorFacilities,0),(COLUMN()-1)/2), 1),"")</f>
        <v/>
      </c>
      <c r="P317" s="137"/>
      <c r="Q317" s="58" t="str" cm="1">
        <f>IFERROR(INDEX(List_Predictors, INDEX(Array_PredictorsLookup,MATCH($A317,List_PredictorFacilities,0),(COLUMN()-1)/2), 1),"")</f>
        <v/>
      </c>
      <c r="R317" s="137"/>
      <c r="S317" s="58" t="str" cm="1">
        <f>IFERROR(INDEX(List_Predictors, INDEX(Array_PredictorsLookup,MATCH($A317,List_PredictorFacilities,0),(COLUMN()-1)/2), 1),"")</f>
        <v/>
      </c>
      <c r="T317" s="137"/>
      <c r="U317" s="58" t="str" cm="1">
        <f>IFERROR(INDEX(List_Predictors, INDEX(Array_PredictorsLookup,MATCH($A317,List_PredictorFacilities,0),(COLUMN()-1)/2), 1),"")</f>
        <v/>
      </c>
      <c r="V317" s="137"/>
      <c r="W317" s="58" t="str" cm="1">
        <f>IFERROR(INDEX(List_Predictors, INDEX(Array_PredictorsLookup,MATCH($A317,List_PredictorFacilities,0),(COLUMN()-1)/2), 1),"")</f>
        <v/>
      </c>
      <c r="X317" s="137"/>
      <c r="Y317" s="58" t="str" cm="1">
        <f>IFERROR(INDEX(List_Predictors, INDEX(Array_PredictorsLookup,MATCH($A317,List_PredictorFacilities,0),(COLUMN()-1)/2), 1),"")</f>
        <v/>
      </c>
      <c r="Z317" s="137"/>
      <c r="AA317" s="58" t="str" cm="1">
        <f>IFERROR(INDEX(List_Predictors, INDEX(Array_PredictorsLookup,MATCH($A317,List_PredictorFacilities,0),(COLUMN()-1)/2), 1),"")</f>
        <v/>
      </c>
      <c r="AB317" s="137"/>
      <c r="AC317" s="58" t="str" cm="1">
        <f>IFERROR(INDEX(List_Predictors, INDEX(Array_PredictorsLookup,MATCH($A317,List_PredictorFacilities,0),(COLUMN()-1)/2), 1),"")</f>
        <v/>
      </c>
      <c r="AD317" s="137"/>
      <c r="AE317" s="58" t="str" cm="1">
        <f>IFERROR(INDEX(List_Predictors, INDEX(Array_PredictorsLookup,MATCH($A317,List_PredictorFacilities,0),(COLUMN()-1)/2), 1),"")</f>
        <v/>
      </c>
      <c r="AF317" s="137"/>
    </row>
    <row r="318" spans="1:32" x14ac:dyDescent="0.3">
      <c r="A318" s="126"/>
      <c r="B318" s="141"/>
      <c r="C318" s="58" t="str" cm="1">
        <f>IFERROR(INDEX(List_Predictors, INDEX(Array_PredictorsLookup,MATCH($A318,List_PredictorFacilities,0),(COLUMN()-1)/2), 1),"")</f>
        <v/>
      </c>
      <c r="D318" s="137"/>
      <c r="E318" s="58" t="str" cm="1">
        <f>IFERROR(INDEX(List_Predictors, INDEX(Array_PredictorsLookup,MATCH($A318,List_PredictorFacilities,0),(COLUMN()-1)/2), 1),"")</f>
        <v/>
      </c>
      <c r="F318" s="137"/>
      <c r="G318" s="58" t="str" cm="1">
        <f>IFERROR(INDEX(List_Predictors, INDEX(Array_PredictorsLookup,MATCH($A318,List_PredictorFacilities,0),(COLUMN()-1)/2), 1),"")</f>
        <v/>
      </c>
      <c r="H318" s="137"/>
      <c r="I318" s="58" t="str" cm="1">
        <f>IFERROR(INDEX(List_Predictors, INDEX(Array_PredictorsLookup,MATCH($A318,List_PredictorFacilities,0),(COLUMN()-1)/2), 1),"")</f>
        <v/>
      </c>
      <c r="J318" s="137"/>
      <c r="K318" s="58" t="str" cm="1">
        <f>IFERROR(INDEX(List_Predictors, INDEX(Array_PredictorsLookup,MATCH($A318,List_PredictorFacilities,0),(COLUMN()-1)/2), 1),"")</f>
        <v/>
      </c>
      <c r="L318" s="137"/>
      <c r="M318" s="58" t="str" cm="1">
        <f>IFERROR(INDEX(List_Predictors, INDEX(Array_PredictorsLookup,MATCH($A318,List_PredictorFacilities,0),(COLUMN()-1)/2), 1),"")</f>
        <v/>
      </c>
      <c r="N318" s="137"/>
      <c r="O318" s="58" t="str" cm="1">
        <f>IFERROR(INDEX(List_Predictors, INDEX(Array_PredictorsLookup,MATCH($A318,List_PredictorFacilities,0),(COLUMN()-1)/2), 1),"")</f>
        <v/>
      </c>
      <c r="P318" s="137"/>
      <c r="Q318" s="58" t="str" cm="1">
        <f>IFERROR(INDEX(List_Predictors, INDEX(Array_PredictorsLookup,MATCH($A318,List_PredictorFacilities,0),(COLUMN()-1)/2), 1),"")</f>
        <v/>
      </c>
      <c r="R318" s="137"/>
      <c r="S318" s="58" t="str" cm="1">
        <f>IFERROR(INDEX(List_Predictors, INDEX(Array_PredictorsLookup,MATCH($A318,List_PredictorFacilities,0),(COLUMN()-1)/2), 1),"")</f>
        <v/>
      </c>
      <c r="T318" s="137"/>
      <c r="U318" s="58" t="str" cm="1">
        <f>IFERROR(INDEX(List_Predictors, INDEX(Array_PredictorsLookup,MATCH($A318,List_PredictorFacilities,0),(COLUMN()-1)/2), 1),"")</f>
        <v/>
      </c>
      <c r="V318" s="137"/>
      <c r="W318" s="58" t="str" cm="1">
        <f>IFERROR(INDEX(List_Predictors, INDEX(Array_PredictorsLookup,MATCH($A318,List_PredictorFacilities,0),(COLUMN()-1)/2), 1),"")</f>
        <v/>
      </c>
      <c r="X318" s="137"/>
      <c r="Y318" s="58" t="str" cm="1">
        <f>IFERROR(INDEX(List_Predictors, INDEX(Array_PredictorsLookup,MATCH($A318,List_PredictorFacilities,0),(COLUMN()-1)/2), 1),"")</f>
        <v/>
      </c>
      <c r="Z318" s="137"/>
      <c r="AA318" s="58" t="str" cm="1">
        <f>IFERROR(INDEX(List_Predictors, INDEX(Array_PredictorsLookup,MATCH($A318,List_PredictorFacilities,0),(COLUMN()-1)/2), 1),"")</f>
        <v/>
      </c>
      <c r="AB318" s="137"/>
      <c r="AC318" s="58" t="str" cm="1">
        <f>IFERROR(INDEX(List_Predictors, INDEX(Array_PredictorsLookup,MATCH($A318,List_PredictorFacilities,0),(COLUMN()-1)/2), 1),"")</f>
        <v/>
      </c>
      <c r="AD318" s="137"/>
      <c r="AE318" s="58" t="str" cm="1">
        <f>IFERROR(INDEX(List_Predictors, INDEX(Array_PredictorsLookup,MATCH($A318,List_PredictorFacilities,0),(COLUMN()-1)/2), 1),"")</f>
        <v/>
      </c>
      <c r="AF318" s="137"/>
    </row>
    <row r="319" spans="1:32" x14ac:dyDescent="0.3">
      <c r="A319" s="126"/>
      <c r="B319" s="141"/>
      <c r="C319" s="58" t="str" cm="1">
        <f>IFERROR(INDEX(List_Predictors, INDEX(Array_PredictorsLookup,MATCH($A319,List_PredictorFacilities,0),(COLUMN()-1)/2), 1),"")</f>
        <v/>
      </c>
      <c r="D319" s="137"/>
      <c r="E319" s="58" t="str" cm="1">
        <f>IFERROR(INDEX(List_Predictors, INDEX(Array_PredictorsLookup,MATCH($A319,List_PredictorFacilities,0),(COLUMN()-1)/2), 1),"")</f>
        <v/>
      </c>
      <c r="F319" s="137"/>
      <c r="G319" s="58" t="str" cm="1">
        <f>IFERROR(INDEX(List_Predictors, INDEX(Array_PredictorsLookup,MATCH($A319,List_PredictorFacilities,0),(COLUMN()-1)/2), 1),"")</f>
        <v/>
      </c>
      <c r="H319" s="137"/>
      <c r="I319" s="58" t="str" cm="1">
        <f>IFERROR(INDEX(List_Predictors, INDEX(Array_PredictorsLookup,MATCH($A319,List_PredictorFacilities,0),(COLUMN()-1)/2), 1),"")</f>
        <v/>
      </c>
      <c r="J319" s="137"/>
      <c r="K319" s="58" t="str" cm="1">
        <f>IFERROR(INDEX(List_Predictors, INDEX(Array_PredictorsLookup,MATCH($A319,List_PredictorFacilities,0),(COLUMN()-1)/2), 1),"")</f>
        <v/>
      </c>
      <c r="L319" s="137"/>
      <c r="M319" s="58" t="str" cm="1">
        <f>IFERROR(INDEX(List_Predictors, INDEX(Array_PredictorsLookup,MATCH($A319,List_PredictorFacilities,0),(COLUMN()-1)/2), 1),"")</f>
        <v/>
      </c>
      <c r="N319" s="137"/>
      <c r="O319" s="58" t="str" cm="1">
        <f>IFERROR(INDEX(List_Predictors, INDEX(Array_PredictorsLookup,MATCH($A319,List_PredictorFacilities,0),(COLUMN()-1)/2), 1),"")</f>
        <v/>
      </c>
      <c r="P319" s="137"/>
      <c r="Q319" s="58" t="str" cm="1">
        <f>IFERROR(INDEX(List_Predictors, INDEX(Array_PredictorsLookup,MATCH($A319,List_PredictorFacilities,0),(COLUMN()-1)/2), 1),"")</f>
        <v/>
      </c>
      <c r="R319" s="137"/>
      <c r="S319" s="58" t="str" cm="1">
        <f>IFERROR(INDEX(List_Predictors, INDEX(Array_PredictorsLookup,MATCH($A319,List_PredictorFacilities,0),(COLUMN()-1)/2), 1),"")</f>
        <v/>
      </c>
      <c r="T319" s="137"/>
      <c r="U319" s="58" t="str" cm="1">
        <f>IFERROR(INDEX(List_Predictors, INDEX(Array_PredictorsLookup,MATCH($A319,List_PredictorFacilities,0),(COLUMN()-1)/2), 1),"")</f>
        <v/>
      </c>
      <c r="V319" s="137"/>
      <c r="W319" s="58" t="str" cm="1">
        <f>IFERROR(INDEX(List_Predictors, INDEX(Array_PredictorsLookup,MATCH($A319,List_PredictorFacilities,0),(COLUMN()-1)/2), 1),"")</f>
        <v/>
      </c>
      <c r="X319" s="137"/>
      <c r="Y319" s="58" t="str" cm="1">
        <f>IFERROR(INDEX(List_Predictors, INDEX(Array_PredictorsLookup,MATCH($A319,List_PredictorFacilities,0),(COLUMN()-1)/2), 1),"")</f>
        <v/>
      </c>
      <c r="Z319" s="137"/>
      <c r="AA319" s="58" t="str" cm="1">
        <f>IFERROR(INDEX(List_Predictors, INDEX(Array_PredictorsLookup,MATCH($A319,List_PredictorFacilities,0),(COLUMN()-1)/2), 1),"")</f>
        <v/>
      </c>
      <c r="AB319" s="137"/>
      <c r="AC319" s="58" t="str" cm="1">
        <f>IFERROR(INDEX(List_Predictors, INDEX(Array_PredictorsLookup,MATCH($A319,List_PredictorFacilities,0),(COLUMN()-1)/2), 1),"")</f>
        <v/>
      </c>
      <c r="AD319" s="137"/>
      <c r="AE319" s="58" t="str" cm="1">
        <f>IFERROR(INDEX(List_Predictors, INDEX(Array_PredictorsLookup,MATCH($A319,List_PredictorFacilities,0),(COLUMN()-1)/2), 1),"")</f>
        <v/>
      </c>
      <c r="AF319" s="137"/>
    </row>
    <row r="320" spans="1:32" x14ac:dyDescent="0.3">
      <c r="A320" s="126"/>
      <c r="B320" s="141"/>
      <c r="C320" s="58" t="str" cm="1">
        <f>IFERROR(INDEX(List_Predictors, INDEX(Array_PredictorsLookup,MATCH($A320,List_PredictorFacilities,0),(COLUMN()-1)/2), 1),"")</f>
        <v/>
      </c>
      <c r="D320" s="137"/>
      <c r="E320" s="58" t="str" cm="1">
        <f>IFERROR(INDEX(List_Predictors, INDEX(Array_PredictorsLookup,MATCH($A320,List_PredictorFacilities,0),(COLUMN()-1)/2), 1),"")</f>
        <v/>
      </c>
      <c r="F320" s="137"/>
      <c r="G320" s="58" t="str" cm="1">
        <f>IFERROR(INDEX(List_Predictors, INDEX(Array_PredictorsLookup,MATCH($A320,List_PredictorFacilities,0),(COLUMN()-1)/2), 1),"")</f>
        <v/>
      </c>
      <c r="H320" s="137"/>
      <c r="I320" s="58" t="str" cm="1">
        <f>IFERROR(INDEX(List_Predictors, INDEX(Array_PredictorsLookup,MATCH($A320,List_PredictorFacilities,0),(COLUMN()-1)/2), 1),"")</f>
        <v/>
      </c>
      <c r="J320" s="137"/>
      <c r="K320" s="58" t="str" cm="1">
        <f>IFERROR(INDEX(List_Predictors, INDEX(Array_PredictorsLookup,MATCH($A320,List_PredictorFacilities,0),(COLUMN()-1)/2), 1),"")</f>
        <v/>
      </c>
      <c r="L320" s="137"/>
      <c r="M320" s="58" t="str" cm="1">
        <f>IFERROR(INDEX(List_Predictors, INDEX(Array_PredictorsLookup,MATCH($A320,List_PredictorFacilities,0),(COLUMN()-1)/2), 1),"")</f>
        <v/>
      </c>
      <c r="N320" s="137"/>
      <c r="O320" s="58" t="str" cm="1">
        <f>IFERROR(INDEX(List_Predictors, INDEX(Array_PredictorsLookup,MATCH($A320,List_PredictorFacilities,0),(COLUMN()-1)/2), 1),"")</f>
        <v/>
      </c>
      <c r="P320" s="137"/>
      <c r="Q320" s="58" t="str" cm="1">
        <f>IFERROR(INDEX(List_Predictors, INDEX(Array_PredictorsLookup,MATCH($A320,List_PredictorFacilities,0),(COLUMN()-1)/2), 1),"")</f>
        <v/>
      </c>
      <c r="R320" s="137"/>
      <c r="S320" s="58" t="str" cm="1">
        <f>IFERROR(INDEX(List_Predictors, INDEX(Array_PredictorsLookup,MATCH($A320,List_PredictorFacilities,0),(COLUMN()-1)/2), 1),"")</f>
        <v/>
      </c>
      <c r="T320" s="137"/>
      <c r="U320" s="58" t="str" cm="1">
        <f>IFERROR(INDEX(List_Predictors, INDEX(Array_PredictorsLookup,MATCH($A320,List_PredictorFacilities,0),(COLUMN()-1)/2), 1),"")</f>
        <v/>
      </c>
      <c r="V320" s="137"/>
      <c r="W320" s="58" t="str" cm="1">
        <f>IFERROR(INDEX(List_Predictors, INDEX(Array_PredictorsLookup,MATCH($A320,List_PredictorFacilities,0),(COLUMN()-1)/2), 1),"")</f>
        <v/>
      </c>
      <c r="X320" s="137"/>
      <c r="Y320" s="58" t="str" cm="1">
        <f>IFERROR(INDEX(List_Predictors, INDEX(Array_PredictorsLookup,MATCH($A320,List_PredictorFacilities,0),(COLUMN()-1)/2), 1),"")</f>
        <v/>
      </c>
      <c r="Z320" s="137"/>
      <c r="AA320" s="58" t="str" cm="1">
        <f>IFERROR(INDEX(List_Predictors, INDEX(Array_PredictorsLookup,MATCH($A320,List_PredictorFacilities,0),(COLUMN()-1)/2), 1),"")</f>
        <v/>
      </c>
      <c r="AB320" s="137"/>
      <c r="AC320" s="58" t="str" cm="1">
        <f>IFERROR(INDEX(List_Predictors, INDEX(Array_PredictorsLookup,MATCH($A320,List_PredictorFacilities,0),(COLUMN()-1)/2), 1),"")</f>
        <v/>
      </c>
      <c r="AD320" s="137"/>
      <c r="AE320" s="58" t="str" cm="1">
        <f>IFERROR(INDEX(List_Predictors, INDEX(Array_PredictorsLookup,MATCH($A320,List_PredictorFacilities,0),(COLUMN()-1)/2), 1),"")</f>
        <v/>
      </c>
      <c r="AF320" s="137"/>
    </row>
    <row r="321" spans="1:32" x14ac:dyDescent="0.3">
      <c r="A321" s="126"/>
      <c r="B321" s="141"/>
      <c r="C321" s="58" t="str" cm="1">
        <f>IFERROR(INDEX(List_Predictors, INDEX(Array_PredictorsLookup,MATCH($A321,List_PredictorFacilities,0),(COLUMN()-1)/2), 1),"")</f>
        <v/>
      </c>
      <c r="D321" s="137"/>
      <c r="E321" s="58" t="str" cm="1">
        <f>IFERROR(INDEX(List_Predictors, INDEX(Array_PredictorsLookup,MATCH($A321,List_PredictorFacilities,0),(COLUMN()-1)/2), 1),"")</f>
        <v/>
      </c>
      <c r="F321" s="137"/>
      <c r="G321" s="58" t="str" cm="1">
        <f>IFERROR(INDEX(List_Predictors, INDEX(Array_PredictorsLookup,MATCH($A321,List_PredictorFacilities,0),(COLUMN()-1)/2), 1),"")</f>
        <v/>
      </c>
      <c r="H321" s="137"/>
      <c r="I321" s="58" t="str" cm="1">
        <f>IFERROR(INDEX(List_Predictors, INDEX(Array_PredictorsLookup,MATCH($A321,List_PredictorFacilities,0),(COLUMN()-1)/2), 1),"")</f>
        <v/>
      </c>
      <c r="J321" s="137"/>
      <c r="K321" s="58" t="str" cm="1">
        <f>IFERROR(INDEX(List_Predictors, INDEX(Array_PredictorsLookup,MATCH($A321,List_PredictorFacilities,0),(COLUMN()-1)/2), 1),"")</f>
        <v/>
      </c>
      <c r="L321" s="137"/>
      <c r="M321" s="58" t="str" cm="1">
        <f>IFERROR(INDEX(List_Predictors, INDEX(Array_PredictorsLookup,MATCH($A321,List_PredictorFacilities,0),(COLUMN()-1)/2), 1),"")</f>
        <v/>
      </c>
      <c r="N321" s="137"/>
      <c r="O321" s="58" t="str" cm="1">
        <f>IFERROR(INDEX(List_Predictors, INDEX(Array_PredictorsLookup,MATCH($A321,List_PredictorFacilities,0),(COLUMN()-1)/2), 1),"")</f>
        <v/>
      </c>
      <c r="P321" s="137"/>
      <c r="Q321" s="58" t="str" cm="1">
        <f>IFERROR(INDEX(List_Predictors, INDEX(Array_PredictorsLookup,MATCH($A321,List_PredictorFacilities,0),(COLUMN()-1)/2), 1),"")</f>
        <v/>
      </c>
      <c r="R321" s="137"/>
      <c r="S321" s="58" t="str" cm="1">
        <f>IFERROR(INDEX(List_Predictors, INDEX(Array_PredictorsLookup,MATCH($A321,List_PredictorFacilities,0),(COLUMN()-1)/2), 1),"")</f>
        <v/>
      </c>
      <c r="T321" s="137"/>
      <c r="U321" s="58" t="str" cm="1">
        <f>IFERROR(INDEX(List_Predictors, INDEX(Array_PredictorsLookup,MATCH($A321,List_PredictorFacilities,0),(COLUMN()-1)/2), 1),"")</f>
        <v/>
      </c>
      <c r="V321" s="137"/>
      <c r="W321" s="58" t="str" cm="1">
        <f>IFERROR(INDEX(List_Predictors, INDEX(Array_PredictorsLookup,MATCH($A321,List_PredictorFacilities,0),(COLUMN()-1)/2), 1),"")</f>
        <v/>
      </c>
      <c r="X321" s="137"/>
      <c r="Y321" s="58" t="str" cm="1">
        <f>IFERROR(INDEX(List_Predictors, INDEX(Array_PredictorsLookup,MATCH($A321,List_PredictorFacilities,0),(COLUMN()-1)/2), 1),"")</f>
        <v/>
      </c>
      <c r="Z321" s="137"/>
      <c r="AA321" s="58" t="str" cm="1">
        <f>IFERROR(INDEX(List_Predictors, INDEX(Array_PredictorsLookup,MATCH($A321,List_PredictorFacilities,0),(COLUMN()-1)/2), 1),"")</f>
        <v/>
      </c>
      <c r="AB321" s="137"/>
      <c r="AC321" s="58" t="str" cm="1">
        <f>IFERROR(INDEX(List_Predictors, INDEX(Array_PredictorsLookup,MATCH($A321,List_PredictorFacilities,0),(COLUMN()-1)/2), 1),"")</f>
        <v/>
      </c>
      <c r="AD321" s="137"/>
      <c r="AE321" s="58" t="str" cm="1">
        <f>IFERROR(INDEX(List_Predictors, INDEX(Array_PredictorsLookup,MATCH($A321,List_PredictorFacilities,0),(COLUMN()-1)/2), 1),"")</f>
        <v/>
      </c>
      <c r="AF321" s="137"/>
    </row>
    <row r="322" spans="1:32" x14ac:dyDescent="0.3">
      <c r="A322" s="126"/>
      <c r="B322" s="141"/>
      <c r="C322" s="58" t="str" cm="1">
        <f>IFERROR(INDEX(List_Predictors, INDEX(Array_PredictorsLookup,MATCH($A322,List_PredictorFacilities,0),(COLUMN()-1)/2), 1),"")</f>
        <v/>
      </c>
      <c r="D322" s="137"/>
      <c r="E322" s="58" t="str" cm="1">
        <f>IFERROR(INDEX(List_Predictors, INDEX(Array_PredictorsLookup,MATCH($A322,List_PredictorFacilities,0),(COLUMN()-1)/2), 1),"")</f>
        <v/>
      </c>
      <c r="F322" s="137"/>
      <c r="G322" s="58" t="str" cm="1">
        <f>IFERROR(INDEX(List_Predictors, INDEX(Array_PredictorsLookup,MATCH($A322,List_PredictorFacilities,0),(COLUMN()-1)/2), 1),"")</f>
        <v/>
      </c>
      <c r="H322" s="137"/>
      <c r="I322" s="58" t="str" cm="1">
        <f>IFERROR(INDEX(List_Predictors, INDEX(Array_PredictorsLookup,MATCH($A322,List_PredictorFacilities,0),(COLUMN()-1)/2), 1),"")</f>
        <v/>
      </c>
      <c r="J322" s="137"/>
      <c r="K322" s="58" t="str" cm="1">
        <f>IFERROR(INDEX(List_Predictors, INDEX(Array_PredictorsLookup,MATCH($A322,List_PredictorFacilities,0),(COLUMN()-1)/2), 1),"")</f>
        <v/>
      </c>
      <c r="L322" s="137"/>
      <c r="M322" s="58" t="str" cm="1">
        <f>IFERROR(INDEX(List_Predictors, INDEX(Array_PredictorsLookup,MATCH($A322,List_PredictorFacilities,0),(COLUMN()-1)/2), 1),"")</f>
        <v/>
      </c>
      <c r="N322" s="137"/>
      <c r="O322" s="58" t="str" cm="1">
        <f>IFERROR(INDEX(List_Predictors, INDEX(Array_PredictorsLookup,MATCH($A322,List_PredictorFacilities,0),(COLUMN()-1)/2), 1),"")</f>
        <v/>
      </c>
      <c r="P322" s="137"/>
      <c r="Q322" s="58" t="str" cm="1">
        <f>IFERROR(INDEX(List_Predictors, INDEX(Array_PredictorsLookup,MATCH($A322,List_PredictorFacilities,0),(COLUMN()-1)/2), 1),"")</f>
        <v/>
      </c>
      <c r="R322" s="137"/>
      <c r="S322" s="58" t="str" cm="1">
        <f>IFERROR(INDEX(List_Predictors, INDEX(Array_PredictorsLookup,MATCH($A322,List_PredictorFacilities,0),(COLUMN()-1)/2), 1),"")</f>
        <v/>
      </c>
      <c r="T322" s="137"/>
      <c r="U322" s="58" t="str" cm="1">
        <f>IFERROR(INDEX(List_Predictors, INDEX(Array_PredictorsLookup,MATCH($A322,List_PredictorFacilities,0),(COLUMN()-1)/2), 1),"")</f>
        <v/>
      </c>
      <c r="V322" s="137"/>
      <c r="W322" s="58" t="str" cm="1">
        <f>IFERROR(INDEX(List_Predictors, INDEX(Array_PredictorsLookup,MATCH($A322,List_PredictorFacilities,0),(COLUMN()-1)/2), 1),"")</f>
        <v/>
      </c>
      <c r="X322" s="137"/>
      <c r="Y322" s="58" t="str" cm="1">
        <f>IFERROR(INDEX(List_Predictors, INDEX(Array_PredictorsLookup,MATCH($A322,List_PredictorFacilities,0),(COLUMN()-1)/2), 1),"")</f>
        <v/>
      </c>
      <c r="Z322" s="137"/>
      <c r="AA322" s="58" t="str" cm="1">
        <f>IFERROR(INDEX(List_Predictors, INDEX(Array_PredictorsLookup,MATCH($A322,List_PredictorFacilities,0),(COLUMN()-1)/2), 1),"")</f>
        <v/>
      </c>
      <c r="AB322" s="137"/>
      <c r="AC322" s="58" t="str" cm="1">
        <f>IFERROR(INDEX(List_Predictors, INDEX(Array_PredictorsLookup,MATCH($A322,List_PredictorFacilities,0),(COLUMN()-1)/2), 1),"")</f>
        <v/>
      </c>
      <c r="AD322" s="137"/>
      <c r="AE322" s="58" t="str" cm="1">
        <f>IFERROR(INDEX(List_Predictors, INDEX(Array_PredictorsLookup,MATCH($A322,List_PredictorFacilities,0),(COLUMN()-1)/2), 1),"")</f>
        <v/>
      </c>
      <c r="AF322" s="137"/>
    </row>
    <row r="323" spans="1:32" x14ac:dyDescent="0.3">
      <c r="A323" s="126"/>
      <c r="B323" s="141"/>
      <c r="C323" s="58" t="str" cm="1">
        <f>IFERROR(INDEX(List_Predictors, INDEX(Array_PredictorsLookup,MATCH($A323,List_PredictorFacilities,0),(COLUMN()-1)/2), 1),"")</f>
        <v/>
      </c>
      <c r="D323" s="137"/>
      <c r="E323" s="58" t="str" cm="1">
        <f>IFERROR(INDEX(List_Predictors, INDEX(Array_PredictorsLookup,MATCH($A323,List_PredictorFacilities,0),(COLUMN()-1)/2), 1),"")</f>
        <v/>
      </c>
      <c r="F323" s="137"/>
      <c r="G323" s="58" t="str" cm="1">
        <f>IFERROR(INDEX(List_Predictors, INDEX(Array_PredictorsLookup,MATCH($A323,List_PredictorFacilities,0),(COLUMN()-1)/2), 1),"")</f>
        <v/>
      </c>
      <c r="H323" s="137"/>
      <c r="I323" s="58" t="str" cm="1">
        <f>IFERROR(INDEX(List_Predictors, INDEX(Array_PredictorsLookup,MATCH($A323,List_PredictorFacilities,0),(COLUMN()-1)/2), 1),"")</f>
        <v/>
      </c>
      <c r="J323" s="137"/>
      <c r="K323" s="58" t="str" cm="1">
        <f>IFERROR(INDEX(List_Predictors, INDEX(Array_PredictorsLookup,MATCH($A323,List_PredictorFacilities,0),(COLUMN()-1)/2), 1),"")</f>
        <v/>
      </c>
      <c r="L323" s="137"/>
      <c r="M323" s="58" t="str" cm="1">
        <f>IFERROR(INDEX(List_Predictors, INDEX(Array_PredictorsLookup,MATCH($A323,List_PredictorFacilities,0),(COLUMN()-1)/2), 1),"")</f>
        <v/>
      </c>
      <c r="N323" s="137"/>
      <c r="O323" s="58" t="str" cm="1">
        <f>IFERROR(INDEX(List_Predictors, INDEX(Array_PredictorsLookup,MATCH($A323,List_PredictorFacilities,0),(COLUMN()-1)/2), 1),"")</f>
        <v/>
      </c>
      <c r="P323" s="137"/>
      <c r="Q323" s="58" t="str" cm="1">
        <f>IFERROR(INDEX(List_Predictors, INDEX(Array_PredictorsLookup,MATCH($A323,List_PredictorFacilities,0),(COLUMN()-1)/2), 1),"")</f>
        <v/>
      </c>
      <c r="R323" s="137"/>
      <c r="S323" s="58" t="str" cm="1">
        <f>IFERROR(INDEX(List_Predictors, INDEX(Array_PredictorsLookup,MATCH($A323,List_PredictorFacilities,0),(COLUMN()-1)/2), 1),"")</f>
        <v/>
      </c>
      <c r="T323" s="137"/>
      <c r="U323" s="58" t="str" cm="1">
        <f>IFERROR(INDEX(List_Predictors, INDEX(Array_PredictorsLookup,MATCH($A323,List_PredictorFacilities,0),(COLUMN()-1)/2), 1),"")</f>
        <v/>
      </c>
      <c r="V323" s="137"/>
      <c r="W323" s="58" t="str" cm="1">
        <f>IFERROR(INDEX(List_Predictors, INDEX(Array_PredictorsLookup,MATCH($A323,List_PredictorFacilities,0),(COLUMN()-1)/2), 1),"")</f>
        <v/>
      </c>
      <c r="X323" s="137"/>
      <c r="Y323" s="58" t="str" cm="1">
        <f>IFERROR(INDEX(List_Predictors, INDEX(Array_PredictorsLookup,MATCH($A323,List_PredictorFacilities,0),(COLUMN()-1)/2), 1),"")</f>
        <v/>
      </c>
      <c r="Z323" s="137"/>
      <c r="AA323" s="58" t="str" cm="1">
        <f>IFERROR(INDEX(List_Predictors, INDEX(Array_PredictorsLookup,MATCH($A323,List_PredictorFacilities,0),(COLUMN()-1)/2), 1),"")</f>
        <v/>
      </c>
      <c r="AB323" s="137"/>
      <c r="AC323" s="58" t="str" cm="1">
        <f>IFERROR(INDEX(List_Predictors, INDEX(Array_PredictorsLookup,MATCH($A323,List_PredictorFacilities,0),(COLUMN()-1)/2), 1),"")</f>
        <v/>
      </c>
      <c r="AD323" s="137"/>
      <c r="AE323" s="58" t="str" cm="1">
        <f>IFERROR(INDEX(List_Predictors, INDEX(Array_PredictorsLookup,MATCH($A323,List_PredictorFacilities,0),(COLUMN()-1)/2), 1),"")</f>
        <v/>
      </c>
      <c r="AF323" s="137"/>
    </row>
    <row r="324" spans="1:32" x14ac:dyDescent="0.3">
      <c r="A324" s="126"/>
      <c r="B324" s="141"/>
      <c r="C324" s="58" t="str" cm="1">
        <f>IFERROR(INDEX(List_Predictors, INDEX(Array_PredictorsLookup,MATCH($A324,List_PredictorFacilities,0),(COLUMN()-1)/2), 1),"")</f>
        <v/>
      </c>
      <c r="D324" s="137"/>
      <c r="E324" s="58" t="str" cm="1">
        <f>IFERROR(INDEX(List_Predictors, INDEX(Array_PredictorsLookup,MATCH($A324,List_PredictorFacilities,0),(COLUMN()-1)/2), 1),"")</f>
        <v/>
      </c>
      <c r="F324" s="137"/>
      <c r="G324" s="58" t="str" cm="1">
        <f>IFERROR(INDEX(List_Predictors, INDEX(Array_PredictorsLookup,MATCH($A324,List_PredictorFacilities,0),(COLUMN()-1)/2), 1),"")</f>
        <v/>
      </c>
      <c r="H324" s="137"/>
      <c r="I324" s="58" t="str" cm="1">
        <f>IFERROR(INDEX(List_Predictors, INDEX(Array_PredictorsLookup,MATCH($A324,List_PredictorFacilities,0),(COLUMN()-1)/2), 1),"")</f>
        <v/>
      </c>
      <c r="J324" s="137"/>
      <c r="K324" s="58" t="str" cm="1">
        <f>IFERROR(INDEX(List_Predictors, INDEX(Array_PredictorsLookup,MATCH($A324,List_PredictorFacilities,0),(COLUMN()-1)/2), 1),"")</f>
        <v/>
      </c>
      <c r="L324" s="137"/>
      <c r="M324" s="58" t="str" cm="1">
        <f>IFERROR(INDEX(List_Predictors, INDEX(Array_PredictorsLookup,MATCH($A324,List_PredictorFacilities,0),(COLUMN()-1)/2), 1),"")</f>
        <v/>
      </c>
      <c r="N324" s="137"/>
      <c r="O324" s="58" t="str" cm="1">
        <f>IFERROR(INDEX(List_Predictors, INDEX(Array_PredictorsLookup,MATCH($A324,List_PredictorFacilities,0),(COLUMN()-1)/2), 1),"")</f>
        <v/>
      </c>
      <c r="P324" s="137"/>
      <c r="Q324" s="58" t="str" cm="1">
        <f>IFERROR(INDEX(List_Predictors, INDEX(Array_PredictorsLookup,MATCH($A324,List_PredictorFacilities,0),(COLUMN()-1)/2), 1),"")</f>
        <v/>
      </c>
      <c r="R324" s="137"/>
      <c r="S324" s="58" t="str" cm="1">
        <f>IFERROR(INDEX(List_Predictors, INDEX(Array_PredictorsLookup,MATCH($A324,List_PredictorFacilities,0),(COLUMN()-1)/2), 1),"")</f>
        <v/>
      </c>
      <c r="T324" s="137"/>
      <c r="U324" s="58" t="str" cm="1">
        <f>IFERROR(INDEX(List_Predictors, INDEX(Array_PredictorsLookup,MATCH($A324,List_PredictorFacilities,0),(COLUMN()-1)/2), 1),"")</f>
        <v/>
      </c>
      <c r="V324" s="137"/>
      <c r="W324" s="58" t="str" cm="1">
        <f>IFERROR(INDEX(List_Predictors, INDEX(Array_PredictorsLookup,MATCH($A324,List_PredictorFacilities,0),(COLUMN()-1)/2), 1),"")</f>
        <v/>
      </c>
      <c r="X324" s="137"/>
      <c r="Y324" s="58" t="str" cm="1">
        <f>IFERROR(INDEX(List_Predictors, INDEX(Array_PredictorsLookup,MATCH($A324,List_PredictorFacilities,0),(COLUMN()-1)/2), 1),"")</f>
        <v/>
      </c>
      <c r="Z324" s="137"/>
      <c r="AA324" s="58" t="str" cm="1">
        <f>IFERROR(INDEX(List_Predictors, INDEX(Array_PredictorsLookup,MATCH($A324,List_PredictorFacilities,0),(COLUMN()-1)/2), 1),"")</f>
        <v/>
      </c>
      <c r="AB324" s="137"/>
      <c r="AC324" s="58" t="str" cm="1">
        <f>IFERROR(INDEX(List_Predictors, INDEX(Array_PredictorsLookup,MATCH($A324,List_PredictorFacilities,0),(COLUMN()-1)/2), 1),"")</f>
        <v/>
      </c>
      <c r="AD324" s="137"/>
      <c r="AE324" s="58" t="str" cm="1">
        <f>IFERROR(INDEX(List_Predictors, INDEX(Array_PredictorsLookup,MATCH($A324,List_PredictorFacilities,0),(COLUMN()-1)/2), 1),"")</f>
        <v/>
      </c>
      <c r="AF324" s="137"/>
    </row>
    <row r="325" spans="1:32" x14ac:dyDescent="0.3">
      <c r="A325" s="126"/>
      <c r="B325" s="141"/>
      <c r="C325" s="58" t="str" cm="1">
        <f>IFERROR(INDEX(List_Predictors, INDEX(Array_PredictorsLookup,MATCH($A325,List_PredictorFacilities,0),(COLUMN()-1)/2), 1),"")</f>
        <v/>
      </c>
      <c r="D325" s="137"/>
      <c r="E325" s="58" t="str" cm="1">
        <f>IFERROR(INDEX(List_Predictors, INDEX(Array_PredictorsLookup,MATCH($A325,List_PredictorFacilities,0),(COLUMN()-1)/2), 1),"")</f>
        <v/>
      </c>
      <c r="F325" s="137"/>
      <c r="G325" s="58" t="str" cm="1">
        <f>IFERROR(INDEX(List_Predictors, INDEX(Array_PredictorsLookup,MATCH($A325,List_PredictorFacilities,0),(COLUMN()-1)/2), 1),"")</f>
        <v/>
      </c>
      <c r="H325" s="137"/>
      <c r="I325" s="58" t="str" cm="1">
        <f>IFERROR(INDEX(List_Predictors, INDEX(Array_PredictorsLookup,MATCH($A325,List_PredictorFacilities,0),(COLUMN()-1)/2), 1),"")</f>
        <v/>
      </c>
      <c r="J325" s="137"/>
      <c r="K325" s="58" t="str" cm="1">
        <f>IFERROR(INDEX(List_Predictors, INDEX(Array_PredictorsLookup,MATCH($A325,List_PredictorFacilities,0),(COLUMN()-1)/2), 1),"")</f>
        <v/>
      </c>
      <c r="L325" s="137"/>
      <c r="M325" s="58" t="str" cm="1">
        <f>IFERROR(INDEX(List_Predictors, INDEX(Array_PredictorsLookup,MATCH($A325,List_PredictorFacilities,0),(COLUMN()-1)/2), 1),"")</f>
        <v/>
      </c>
      <c r="N325" s="137"/>
      <c r="O325" s="58" t="str" cm="1">
        <f>IFERROR(INDEX(List_Predictors, INDEX(Array_PredictorsLookup,MATCH($A325,List_PredictorFacilities,0),(COLUMN()-1)/2), 1),"")</f>
        <v/>
      </c>
      <c r="P325" s="137"/>
      <c r="Q325" s="58" t="str" cm="1">
        <f>IFERROR(INDEX(List_Predictors, INDEX(Array_PredictorsLookup,MATCH($A325,List_PredictorFacilities,0),(COLUMN()-1)/2), 1),"")</f>
        <v/>
      </c>
      <c r="R325" s="137"/>
      <c r="S325" s="58" t="str" cm="1">
        <f>IFERROR(INDEX(List_Predictors, INDEX(Array_PredictorsLookup,MATCH($A325,List_PredictorFacilities,0),(COLUMN()-1)/2), 1),"")</f>
        <v/>
      </c>
      <c r="T325" s="137"/>
      <c r="U325" s="58" t="str" cm="1">
        <f>IFERROR(INDEX(List_Predictors, INDEX(Array_PredictorsLookup,MATCH($A325,List_PredictorFacilities,0),(COLUMN()-1)/2), 1),"")</f>
        <v/>
      </c>
      <c r="V325" s="137"/>
      <c r="W325" s="58" t="str" cm="1">
        <f>IFERROR(INDEX(List_Predictors, INDEX(Array_PredictorsLookup,MATCH($A325,List_PredictorFacilities,0),(COLUMN()-1)/2), 1),"")</f>
        <v/>
      </c>
      <c r="X325" s="137"/>
      <c r="Y325" s="58" t="str" cm="1">
        <f>IFERROR(INDEX(List_Predictors, INDEX(Array_PredictorsLookup,MATCH($A325,List_PredictorFacilities,0),(COLUMN()-1)/2), 1),"")</f>
        <v/>
      </c>
      <c r="Z325" s="137"/>
      <c r="AA325" s="58" t="str" cm="1">
        <f>IFERROR(INDEX(List_Predictors, INDEX(Array_PredictorsLookup,MATCH($A325,List_PredictorFacilities,0),(COLUMN()-1)/2), 1),"")</f>
        <v/>
      </c>
      <c r="AB325" s="137"/>
      <c r="AC325" s="58" t="str" cm="1">
        <f>IFERROR(INDEX(List_Predictors, INDEX(Array_PredictorsLookup,MATCH($A325,List_PredictorFacilities,0),(COLUMN()-1)/2), 1),"")</f>
        <v/>
      </c>
      <c r="AD325" s="137"/>
      <c r="AE325" s="58" t="str" cm="1">
        <f>IFERROR(INDEX(List_Predictors, INDEX(Array_PredictorsLookup,MATCH($A325,List_PredictorFacilities,0),(COLUMN()-1)/2), 1),"")</f>
        <v/>
      </c>
      <c r="AF325" s="137"/>
    </row>
    <row r="326" spans="1:32" x14ac:dyDescent="0.3">
      <c r="A326" s="126"/>
      <c r="B326" s="141"/>
      <c r="C326" s="58" t="str" cm="1">
        <f>IFERROR(INDEX(List_Predictors, INDEX(Array_PredictorsLookup,MATCH($A326,List_PredictorFacilities,0),(COLUMN()-1)/2), 1),"")</f>
        <v/>
      </c>
      <c r="D326" s="137"/>
      <c r="E326" s="58" t="str" cm="1">
        <f>IFERROR(INDEX(List_Predictors, INDEX(Array_PredictorsLookup,MATCH($A326,List_PredictorFacilities,0),(COLUMN()-1)/2), 1),"")</f>
        <v/>
      </c>
      <c r="F326" s="137"/>
      <c r="G326" s="58" t="str" cm="1">
        <f>IFERROR(INDEX(List_Predictors, INDEX(Array_PredictorsLookup,MATCH($A326,List_PredictorFacilities,0),(COLUMN()-1)/2), 1),"")</f>
        <v/>
      </c>
      <c r="H326" s="137"/>
      <c r="I326" s="58" t="str" cm="1">
        <f>IFERROR(INDEX(List_Predictors, INDEX(Array_PredictorsLookup,MATCH($A326,List_PredictorFacilities,0),(COLUMN()-1)/2), 1),"")</f>
        <v/>
      </c>
      <c r="J326" s="137"/>
      <c r="K326" s="58" t="str" cm="1">
        <f>IFERROR(INDEX(List_Predictors, INDEX(Array_PredictorsLookup,MATCH($A326,List_PredictorFacilities,0),(COLUMN()-1)/2), 1),"")</f>
        <v/>
      </c>
      <c r="L326" s="137"/>
      <c r="M326" s="58" t="str" cm="1">
        <f>IFERROR(INDEX(List_Predictors, INDEX(Array_PredictorsLookup,MATCH($A326,List_PredictorFacilities,0),(COLUMN()-1)/2), 1),"")</f>
        <v/>
      </c>
      <c r="N326" s="137"/>
      <c r="O326" s="58" t="str" cm="1">
        <f>IFERROR(INDEX(List_Predictors, INDEX(Array_PredictorsLookup,MATCH($A326,List_PredictorFacilities,0),(COLUMN()-1)/2), 1),"")</f>
        <v/>
      </c>
      <c r="P326" s="137"/>
      <c r="Q326" s="58" t="str" cm="1">
        <f>IFERROR(INDEX(List_Predictors, INDEX(Array_PredictorsLookup,MATCH($A326,List_PredictorFacilities,0),(COLUMN()-1)/2), 1),"")</f>
        <v/>
      </c>
      <c r="R326" s="137"/>
      <c r="S326" s="58" t="str" cm="1">
        <f>IFERROR(INDEX(List_Predictors, INDEX(Array_PredictorsLookup,MATCH($A326,List_PredictorFacilities,0),(COLUMN()-1)/2), 1),"")</f>
        <v/>
      </c>
      <c r="T326" s="137"/>
      <c r="U326" s="58" t="str" cm="1">
        <f>IFERROR(INDEX(List_Predictors, INDEX(Array_PredictorsLookup,MATCH($A326,List_PredictorFacilities,0),(COLUMN()-1)/2), 1),"")</f>
        <v/>
      </c>
      <c r="V326" s="137"/>
      <c r="W326" s="58" t="str" cm="1">
        <f>IFERROR(INDEX(List_Predictors, INDEX(Array_PredictorsLookup,MATCH($A326,List_PredictorFacilities,0),(COLUMN()-1)/2), 1),"")</f>
        <v/>
      </c>
      <c r="X326" s="137"/>
      <c r="Y326" s="58" t="str" cm="1">
        <f>IFERROR(INDEX(List_Predictors, INDEX(Array_PredictorsLookup,MATCH($A326,List_PredictorFacilities,0),(COLUMN()-1)/2), 1),"")</f>
        <v/>
      </c>
      <c r="Z326" s="137"/>
      <c r="AA326" s="58" t="str" cm="1">
        <f>IFERROR(INDEX(List_Predictors, INDEX(Array_PredictorsLookup,MATCH($A326,List_PredictorFacilities,0),(COLUMN()-1)/2), 1),"")</f>
        <v/>
      </c>
      <c r="AB326" s="137"/>
      <c r="AC326" s="58" t="str" cm="1">
        <f>IFERROR(INDEX(List_Predictors, INDEX(Array_PredictorsLookup,MATCH($A326,List_PredictorFacilities,0),(COLUMN()-1)/2), 1),"")</f>
        <v/>
      </c>
      <c r="AD326" s="137"/>
      <c r="AE326" s="58" t="str" cm="1">
        <f>IFERROR(INDEX(List_Predictors, INDEX(Array_PredictorsLookup,MATCH($A326,List_PredictorFacilities,0),(COLUMN()-1)/2), 1),"")</f>
        <v/>
      </c>
      <c r="AF326" s="137"/>
    </row>
    <row r="327" spans="1:32" x14ac:dyDescent="0.3">
      <c r="A327" s="126"/>
      <c r="B327" s="141"/>
      <c r="C327" s="58" t="str" cm="1">
        <f>IFERROR(INDEX(List_Predictors, INDEX(Array_PredictorsLookup,MATCH($A327,List_PredictorFacilities,0),(COLUMN()-1)/2), 1),"")</f>
        <v/>
      </c>
      <c r="D327" s="137"/>
      <c r="E327" s="58" t="str" cm="1">
        <f>IFERROR(INDEX(List_Predictors, INDEX(Array_PredictorsLookup,MATCH($A327,List_PredictorFacilities,0),(COLUMN()-1)/2), 1),"")</f>
        <v/>
      </c>
      <c r="F327" s="137"/>
      <c r="G327" s="58" t="str" cm="1">
        <f>IFERROR(INDEX(List_Predictors, INDEX(Array_PredictorsLookup,MATCH($A327,List_PredictorFacilities,0),(COLUMN()-1)/2), 1),"")</f>
        <v/>
      </c>
      <c r="H327" s="137"/>
      <c r="I327" s="58" t="str" cm="1">
        <f>IFERROR(INDEX(List_Predictors, INDEX(Array_PredictorsLookup,MATCH($A327,List_PredictorFacilities,0),(COLUMN()-1)/2), 1),"")</f>
        <v/>
      </c>
      <c r="J327" s="137"/>
      <c r="K327" s="58" t="str" cm="1">
        <f>IFERROR(INDEX(List_Predictors, INDEX(Array_PredictorsLookup,MATCH($A327,List_PredictorFacilities,0),(COLUMN()-1)/2), 1),"")</f>
        <v/>
      </c>
      <c r="L327" s="137"/>
      <c r="M327" s="58" t="str" cm="1">
        <f>IFERROR(INDEX(List_Predictors, INDEX(Array_PredictorsLookup,MATCH($A327,List_PredictorFacilities,0),(COLUMN()-1)/2), 1),"")</f>
        <v/>
      </c>
      <c r="N327" s="137"/>
      <c r="O327" s="58" t="str" cm="1">
        <f>IFERROR(INDEX(List_Predictors, INDEX(Array_PredictorsLookup,MATCH($A327,List_PredictorFacilities,0),(COLUMN()-1)/2), 1),"")</f>
        <v/>
      </c>
      <c r="P327" s="137"/>
      <c r="Q327" s="58" t="str" cm="1">
        <f>IFERROR(INDEX(List_Predictors, INDEX(Array_PredictorsLookup,MATCH($A327,List_PredictorFacilities,0),(COLUMN()-1)/2), 1),"")</f>
        <v/>
      </c>
      <c r="R327" s="137"/>
      <c r="S327" s="58" t="str" cm="1">
        <f>IFERROR(INDEX(List_Predictors, INDEX(Array_PredictorsLookup,MATCH($A327,List_PredictorFacilities,0),(COLUMN()-1)/2), 1),"")</f>
        <v/>
      </c>
      <c r="T327" s="137"/>
      <c r="U327" s="58" t="str" cm="1">
        <f>IFERROR(INDEX(List_Predictors, INDEX(Array_PredictorsLookup,MATCH($A327,List_PredictorFacilities,0),(COLUMN()-1)/2), 1),"")</f>
        <v/>
      </c>
      <c r="V327" s="137"/>
      <c r="W327" s="58" t="str" cm="1">
        <f>IFERROR(INDEX(List_Predictors, INDEX(Array_PredictorsLookup,MATCH($A327,List_PredictorFacilities,0),(COLUMN()-1)/2), 1),"")</f>
        <v/>
      </c>
      <c r="X327" s="137"/>
      <c r="Y327" s="58" t="str" cm="1">
        <f>IFERROR(INDEX(List_Predictors, INDEX(Array_PredictorsLookup,MATCH($A327,List_PredictorFacilities,0),(COLUMN()-1)/2), 1),"")</f>
        <v/>
      </c>
      <c r="Z327" s="137"/>
      <c r="AA327" s="58" t="str" cm="1">
        <f>IFERROR(INDEX(List_Predictors, INDEX(Array_PredictorsLookup,MATCH($A327,List_PredictorFacilities,0),(COLUMN()-1)/2), 1),"")</f>
        <v/>
      </c>
      <c r="AB327" s="137"/>
      <c r="AC327" s="58" t="str" cm="1">
        <f>IFERROR(INDEX(List_Predictors, INDEX(Array_PredictorsLookup,MATCH($A327,List_PredictorFacilities,0),(COLUMN()-1)/2), 1),"")</f>
        <v/>
      </c>
      <c r="AD327" s="137"/>
      <c r="AE327" s="58" t="str" cm="1">
        <f>IFERROR(INDEX(List_Predictors, INDEX(Array_PredictorsLookup,MATCH($A327,List_PredictorFacilities,0),(COLUMN()-1)/2), 1),"")</f>
        <v/>
      </c>
      <c r="AF327" s="137"/>
    </row>
    <row r="328" spans="1:32" x14ac:dyDescent="0.3">
      <c r="A328" s="126"/>
      <c r="B328" s="141"/>
      <c r="C328" s="58" t="str" cm="1">
        <f>IFERROR(INDEX(List_Predictors, INDEX(Array_PredictorsLookup,MATCH($A328,List_PredictorFacilities,0),(COLUMN()-1)/2), 1),"")</f>
        <v/>
      </c>
      <c r="D328" s="137"/>
      <c r="E328" s="58" t="str" cm="1">
        <f>IFERROR(INDEX(List_Predictors, INDEX(Array_PredictorsLookup,MATCH($A328,List_PredictorFacilities,0),(COLUMN()-1)/2), 1),"")</f>
        <v/>
      </c>
      <c r="F328" s="137"/>
      <c r="G328" s="58" t="str" cm="1">
        <f>IFERROR(INDEX(List_Predictors, INDEX(Array_PredictorsLookup,MATCH($A328,List_PredictorFacilities,0),(COLUMN()-1)/2), 1),"")</f>
        <v/>
      </c>
      <c r="H328" s="137"/>
      <c r="I328" s="58" t="str" cm="1">
        <f>IFERROR(INDEX(List_Predictors, INDEX(Array_PredictorsLookup,MATCH($A328,List_PredictorFacilities,0),(COLUMN()-1)/2), 1),"")</f>
        <v/>
      </c>
      <c r="J328" s="137"/>
      <c r="K328" s="58" t="str" cm="1">
        <f>IFERROR(INDEX(List_Predictors, INDEX(Array_PredictorsLookup,MATCH($A328,List_PredictorFacilities,0),(COLUMN()-1)/2), 1),"")</f>
        <v/>
      </c>
      <c r="L328" s="137"/>
      <c r="M328" s="58" t="str" cm="1">
        <f>IFERROR(INDEX(List_Predictors, INDEX(Array_PredictorsLookup,MATCH($A328,List_PredictorFacilities,0),(COLUMN()-1)/2), 1),"")</f>
        <v/>
      </c>
      <c r="N328" s="137"/>
      <c r="O328" s="58" t="str" cm="1">
        <f>IFERROR(INDEX(List_Predictors, INDEX(Array_PredictorsLookup,MATCH($A328,List_PredictorFacilities,0),(COLUMN()-1)/2), 1),"")</f>
        <v/>
      </c>
      <c r="P328" s="137"/>
      <c r="Q328" s="58" t="str" cm="1">
        <f>IFERROR(INDEX(List_Predictors, INDEX(Array_PredictorsLookup,MATCH($A328,List_PredictorFacilities,0),(COLUMN()-1)/2), 1),"")</f>
        <v/>
      </c>
      <c r="R328" s="137"/>
      <c r="S328" s="58" t="str" cm="1">
        <f>IFERROR(INDEX(List_Predictors, INDEX(Array_PredictorsLookup,MATCH($A328,List_PredictorFacilities,0),(COLUMN()-1)/2), 1),"")</f>
        <v/>
      </c>
      <c r="T328" s="137"/>
      <c r="U328" s="58" t="str" cm="1">
        <f>IFERROR(INDEX(List_Predictors, INDEX(Array_PredictorsLookup,MATCH($A328,List_PredictorFacilities,0),(COLUMN()-1)/2), 1),"")</f>
        <v/>
      </c>
      <c r="V328" s="137"/>
      <c r="W328" s="58" t="str" cm="1">
        <f>IFERROR(INDEX(List_Predictors, INDEX(Array_PredictorsLookup,MATCH($A328,List_PredictorFacilities,0),(COLUMN()-1)/2), 1),"")</f>
        <v/>
      </c>
      <c r="X328" s="137"/>
      <c r="Y328" s="58" t="str" cm="1">
        <f>IFERROR(INDEX(List_Predictors, INDEX(Array_PredictorsLookup,MATCH($A328,List_PredictorFacilities,0),(COLUMN()-1)/2), 1),"")</f>
        <v/>
      </c>
      <c r="Z328" s="137"/>
      <c r="AA328" s="58" t="str" cm="1">
        <f>IFERROR(INDEX(List_Predictors, INDEX(Array_PredictorsLookup,MATCH($A328,List_PredictorFacilities,0),(COLUMN()-1)/2), 1),"")</f>
        <v/>
      </c>
      <c r="AB328" s="137"/>
      <c r="AC328" s="58" t="str" cm="1">
        <f>IFERROR(INDEX(List_Predictors, INDEX(Array_PredictorsLookup,MATCH($A328,List_PredictorFacilities,0),(COLUMN()-1)/2), 1),"")</f>
        <v/>
      </c>
      <c r="AD328" s="137"/>
      <c r="AE328" s="58" t="str" cm="1">
        <f>IFERROR(INDEX(List_Predictors, INDEX(Array_PredictorsLookup,MATCH($A328,List_PredictorFacilities,0),(COLUMN()-1)/2), 1),"")</f>
        <v/>
      </c>
      <c r="AF328" s="137"/>
    </row>
    <row r="329" spans="1:32" x14ac:dyDescent="0.3">
      <c r="A329" s="126"/>
      <c r="B329" s="141"/>
      <c r="C329" s="58" t="str" cm="1">
        <f>IFERROR(INDEX(List_Predictors, INDEX(Array_PredictorsLookup,MATCH($A329,List_PredictorFacilities,0),(COLUMN()-1)/2), 1),"")</f>
        <v/>
      </c>
      <c r="D329" s="137"/>
      <c r="E329" s="58" t="str" cm="1">
        <f>IFERROR(INDEX(List_Predictors, INDEX(Array_PredictorsLookup,MATCH($A329,List_PredictorFacilities,0),(COLUMN()-1)/2), 1),"")</f>
        <v/>
      </c>
      <c r="F329" s="137"/>
      <c r="G329" s="58" t="str" cm="1">
        <f>IFERROR(INDEX(List_Predictors, INDEX(Array_PredictorsLookup,MATCH($A329,List_PredictorFacilities,0),(COLUMN()-1)/2), 1),"")</f>
        <v/>
      </c>
      <c r="H329" s="137"/>
      <c r="I329" s="58" t="str" cm="1">
        <f>IFERROR(INDEX(List_Predictors, INDEX(Array_PredictorsLookup,MATCH($A329,List_PredictorFacilities,0),(COLUMN()-1)/2), 1),"")</f>
        <v/>
      </c>
      <c r="J329" s="137"/>
      <c r="K329" s="58" t="str" cm="1">
        <f>IFERROR(INDEX(List_Predictors, INDEX(Array_PredictorsLookup,MATCH($A329,List_PredictorFacilities,0),(COLUMN()-1)/2), 1),"")</f>
        <v/>
      </c>
      <c r="L329" s="137"/>
      <c r="M329" s="58" t="str" cm="1">
        <f>IFERROR(INDEX(List_Predictors, INDEX(Array_PredictorsLookup,MATCH($A329,List_PredictorFacilities,0),(COLUMN()-1)/2), 1),"")</f>
        <v/>
      </c>
      <c r="N329" s="137"/>
      <c r="O329" s="58" t="str" cm="1">
        <f>IFERROR(INDEX(List_Predictors, INDEX(Array_PredictorsLookup,MATCH($A329,List_PredictorFacilities,0),(COLUMN()-1)/2), 1),"")</f>
        <v/>
      </c>
      <c r="P329" s="137"/>
      <c r="Q329" s="58" t="str" cm="1">
        <f>IFERROR(INDEX(List_Predictors, INDEX(Array_PredictorsLookup,MATCH($A329,List_PredictorFacilities,0),(COLUMN()-1)/2), 1),"")</f>
        <v/>
      </c>
      <c r="R329" s="137"/>
      <c r="S329" s="58" t="str" cm="1">
        <f>IFERROR(INDEX(List_Predictors, INDEX(Array_PredictorsLookup,MATCH($A329,List_PredictorFacilities,0),(COLUMN()-1)/2), 1),"")</f>
        <v/>
      </c>
      <c r="T329" s="137"/>
      <c r="U329" s="58" t="str" cm="1">
        <f>IFERROR(INDEX(List_Predictors, INDEX(Array_PredictorsLookup,MATCH($A329,List_PredictorFacilities,0),(COLUMN()-1)/2), 1),"")</f>
        <v/>
      </c>
      <c r="V329" s="137"/>
      <c r="W329" s="58" t="str" cm="1">
        <f>IFERROR(INDEX(List_Predictors, INDEX(Array_PredictorsLookup,MATCH($A329,List_PredictorFacilities,0),(COLUMN()-1)/2), 1),"")</f>
        <v/>
      </c>
      <c r="X329" s="137"/>
      <c r="Y329" s="58" t="str" cm="1">
        <f>IFERROR(INDEX(List_Predictors, INDEX(Array_PredictorsLookup,MATCH($A329,List_PredictorFacilities,0),(COLUMN()-1)/2), 1),"")</f>
        <v/>
      </c>
      <c r="Z329" s="137"/>
      <c r="AA329" s="58" t="str" cm="1">
        <f>IFERROR(INDEX(List_Predictors, INDEX(Array_PredictorsLookup,MATCH($A329,List_PredictorFacilities,0),(COLUMN()-1)/2), 1),"")</f>
        <v/>
      </c>
      <c r="AB329" s="137"/>
      <c r="AC329" s="58" t="str" cm="1">
        <f>IFERROR(INDEX(List_Predictors, INDEX(Array_PredictorsLookup,MATCH($A329,List_PredictorFacilities,0),(COLUMN()-1)/2), 1),"")</f>
        <v/>
      </c>
      <c r="AD329" s="137"/>
      <c r="AE329" s="58" t="str" cm="1">
        <f>IFERROR(INDEX(List_Predictors, INDEX(Array_PredictorsLookup,MATCH($A329,List_PredictorFacilities,0),(COLUMN()-1)/2), 1),"")</f>
        <v/>
      </c>
      <c r="AF329" s="137"/>
    </row>
    <row r="330" spans="1:32" x14ac:dyDescent="0.3">
      <c r="A330" s="126"/>
      <c r="B330" s="141"/>
      <c r="C330" s="58" t="str" cm="1">
        <f>IFERROR(INDEX(List_Predictors, INDEX(Array_PredictorsLookup,MATCH($A330,List_PredictorFacilities,0),(COLUMN()-1)/2), 1),"")</f>
        <v/>
      </c>
      <c r="D330" s="137"/>
      <c r="E330" s="58" t="str" cm="1">
        <f>IFERROR(INDEX(List_Predictors, INDEX(Array_PredictorsLookup,MATCH($A330,List_PredictorFacilities,0),(COLUMN()-1)/2), 1),"")</f>
        <v/>
      </c>
      <c r="F330" s="137"/>
      <c r="G330" s="58" t="str" cm="1">
        <f>IFERROR(INDEX(List_Predictors, INDEX(Array_PredictorsLookup,MATCH($A330,List_PredictorFacilities,0),(COLUMN()-1)/2), 1),"")</f>
        <v/>
      </c>
      <c r="H330" s="137"/>
      <c r="I330" s="58" t="str" cm="1">
        <f>IFERROR(INDEX(List_Predictors, INDEX(Array_PredictorsLookup,MATCH($A330,List_PredictorFacilities,0),(COLUMN()-1)/2), 1),"")</f>
        <v/>
      </c>
      <c r="J330" s="137"/>
      <c r="K330" s="58" t="str" cm="1">
        <f>IFERROR(INDEX(List_Predictors, INDEX(Array_PredictorsLookup,MATCH($A330,List_PredictorFacilities,0),(COLUMN()-1)/2), 1),"")</f>
        <v/>
      </c>
      <c r="L330" s="137"/>
      <c r="M330" s="58" t="str" cm="1">
        <f>IFERROR(INDEX(List_Predictors, INDEX(Array_PredictorsLookup,MATCH($A330,List_PredictorFacilities,0),(COLUMN()-1)/2), 1),"")</f>
        <v/>
      </c>
      <c r="N330" s="137"/>
      <c r="O330" s="58" t="str" cm="1">
        <f>IFERROR(INDEX(List_Predictors, INDEX(Array_PredictorsLookup,MATCH($A330,List_PredictorFacilities,0),(COLUMN()-1)/2), 1),"")</f>
        <v/>
      </c>
      <c r="P330" s="137"/>
      <c r="Q330" s="58" t="str" cm="1">
        <f>IFERROR(INDEX(List_Predictors, INDEX(Array_PredictorsLookup,MATCH($A330,List_PredictorFacilities,0),(COLUMN()-1)/2), 1),"")</f>
        <v/>
      </c>
      <c r="R330" s="137"/>
      <c r="S330" s="58" t="str" cm="1">
        <f>IFERROR(INDEX(List_Predictors, INDEX(Array_PredictorsLookup,MATCH($A330,List_PredictorFacilities,0),(COLUMN()-1)/2), 1),"")</f>
        <v/>
      </c>
      <c r="T330" s="137"/>
      <c r="U330" s="58" t="str" cm="1">
        <f>IFERROR(INDEX(List_Predictors, INDEX(Array_PredictorsLookup,MATCH($A330,List_PredictorFacilities,0),(COLUMN()-1)/2), 1),"")</f>
        <v/>
      </c>
      <c r="V330" s="137"/>
      <c r="W330" s="58" t="str" cm="1">
        <f>IFERROR(INDEX(List_Predictors, INDEX(Array_PredictorsLookup,MATCH($A330,List_PredictorFacilities,0),(COLUMN()-1)/2), 1),"")</f>
        <v/>
      </c>
      <c r="X330" s="137"/>
      <c r="Y330" s="58" t="str" cm="1">
        <f>IFERROR(INDEX(List_Predictors, INDEX(Array_PredictorsLookup,MATCH($A330,List_PredictorFacilities,0),(COLUMN()-1)/2), 1),"")</f>
        <v/>
      </c>
      <c r="Z330" s="137"/>
      <c r="AA330" s="58" t="str" cm="1">
        <f>IFERROR(INDEX(List_Predictors, INDEX(Array_PredictorsLookup,MATCH($A330,List_PredictorFacilities,0),(COLUMN()-1)/2), 1),"")</f>
        <v/>
      </c>
      <c r="AB330" s="137"/>
      <c r="AC330" s="58" t="str" cm="1">
        <f>IFERROR(INDEX(List_Predictors, INDEX(Array_PredictorsLookup,MATCH($A330,List_PredictorFacilities,0),(COLUMN()-1)/2), 1),"")</f>
        <v/>
      </c>
      <c r="AD330" s="137"/>
      <c r="AE330" s="58" t="str" cm="1">
        <f>IFERROR(INDEX(List_Predictors, INDEX(Array_PredictorsLookup,MATCH($A330,List_PredictorFacilities,0),(COLUMN()-1)/2), 1),"")</f>
        <v/>
      </c>
      <c r="AF330" s="137"/>
    </row>
    <row r="331" spans="1:32" x14ac:dyDescent="0.3">
      <c r="A331" s="126"/>
      <c r="B331" s="141"/>
      <c r="C331" s="58" t="str" cm="1">
        <f>IFERROR(INDEX(List_Predictors, INDEX(Array_PredictorsLookup,MATCH($A331,List_PredictorFacilities,0),(COLUMN()-1)/2), 1),"")</f>
        <v/>
      </c>
      <c r="D331" s="137"/>
      <c r="E331" s="58" t="str" cm="1">
        <f>IFERROR(INDEX(List_Predictors, INDEX(Array_PredictorsLookup,MATCH($A331,List_PredictorFacilities,0),(COLUMN()-1)/2), 1),"")</f>
        <v/>
      </c>
      <c r="F331" s="137"/>
      <c r="G331" s="58" t="str" cm="1">
        <f>IFERROR(INDEX(List_Predictors, INDEX(Array_PredictorsLookup,MATCH($A331,List_PredictorFacilities,0),(COLUMN()-1)/2), 1),"")</f>
        <v/>
      </c>
      <c r="H331" s="137"/>
      <c r="I331" s="58" t="str" cm="1">
        <f>IFERROR(INDEX(List_Predictors, INDEX(Array_PredictorsLookup,MATCH($A331,List_PredictorFacilities,0),(COLUMN()-1)/2), 1),"")</f>
        <v/>
      </c>
      <c r="J331" s="137"/>
      <c r="K331" s="58" t="str" cm="1">
        <f>IFERROR(INDEX(List_Predictors, INDEX(Array_PredictorsLookup,MATCH($A331,List_PredictorFacilities,0),(COLUMN()-1)/2), 1),"")</f>
        <v/>
      </c>
      <c r="L331" s="137"/>
      <c r="M331" s="58" t="str" cm="1">
        <f>IFERROR(INDEX(List_Predictors, INDEX(Array_PredictorsLookup,MATCH($A331,List_PredictorFacilities,0),(COLUMN()-1)/2), 1),"")</f>
        <v/>
      </c>
      <c r="N331" s="137"/>
      <c r="O331" s="58" t="str" cm="1">
        <f>IFERROR(INDEX(List_Predictors, INDEX(Array_PredictorsLookup,MATCH($A331,List_PredictorFacilities,0),(COLUMN()-1)/2), 1),"")</f>
        <v/>
      </c>
      <c r="P331" s="137"/>
      <c r="Q331" s="58" t="str" cm="1">
        <f>IFERROR(INDEX(List_Predictors, INDEX(Array_PredictorsLookup,MATCH($A331,List_PredictorFacilities,0),(COLUMN()-1)/2), 1),"")</f>
        <v/>
      </c>
      <c r="R331" s="137"/>
      <c r="S331" s="58" t="str" cm="1">
        <f>IFERROR(INDEX(List_Predictors, INDEX(Array_PredictorsLookup,MATCH($A331,List_PredictorFacilities,0),(COLUMN()-1)/2), 1),"")</f>
        <v/>
      </c>
      <c r="T331" s="137"/>
      <c r="U331" s="58" t="str" cm="1">
        <f>IFERROR(INDEX(List_Predictors, INDEX(Array_PredictorsLookup,MATCH($A331,List_PredictorFacilities,0),(COLUMN()-1)/2), 1),"")</f>
        <v/>
      </c>
      <c r="V331" s="137"/>
      <c r="W331" s="58" t="str" cm="1">
        <f>IFERROR(INDEX(List_Predictors, INDEX(Array_PredictorsLookup,MATCH($A331,List_PredictorFacilities,0),(COLUMN()-1)/2), 1),"")</f>
        <v/>
      </c>
      <c r="X331" s="137"/>
      <c r="Y331" s="58" t="str" cm="1">
        <f>IFERROR(INDEX(List_Predictors, INDEX(Array_PredictorsLookup,MATCH($A331,List_PredictorFacilities,0),(COLUMN()-1)/2), 1),"")</f>
        <v/>
      </c>
      <c r="Z331" s="137"/>
      <c r="AA331" s="58" t="str" cm="1">
        <f>IFERROR(INDEX(List_Predictors, INDEX(Array_PredictorsLookup,MATCH($A331,List_PredictorFacilities,0),(COLUMN()-1)/2), 1),"")</f>
        <v/>
      </c>
      <c r="AB331" s="137"/>
      <c r="AC331" s="58" t="str" cm="1">
        <f>IFERROR(INDEX(List_Predictors, INDEX(Array_PredictorsLookup,MATCH($A331,List_PredictorFacilities,0),(COLUMN()-1)/2), 1),"")</f>
        <v/>
      </c>
      <c r="AD331" s="137"/>
      <c r="AE331" s="58" t="str" cm="1">
        <f>IFERROR(INDEX(List_Predictors, INDEX(Array_PredictorsLookup,MATCH($A331,List_PredictorFacilities,0),(COLUMN()-1)/2), 1),"")</f>
        <v/>
      </c>
      <c r="AF331" s="137"/>
    </row>
    <row r="332" spans="1:32" x14ac:dyDescent="0.3">
      <c r="A332" s="126"/>
      <c r="B332" s="141"/>
      <c r="C332" s="58" t="str" cm="1">
        <f>IFERROR(INDEX(List_Predictors, INDEX(Array_PredictorsLookup,MATCH($A332,List_PredictorFacilities,0),(COLUMN()-1)/2), 1),"")</f>
        <v/>
      </c>
      <c r="D332" s="137"/>
      <c r="E332" s="58" t="str" cm="1">
        <f>IFERROR(INDEX(List_Predictors, INDEX(Array_PredictorsLookup,MATCH($A332,List_PredictorFacilities,0),(COLUMN()-1)/2), 1),"")</f>
        <v/>
      </c>
      <c r="F332" s="137"/>
      <c r="G332" s="58" t="str" cm="1">
        <f>IFERROR(INDEX(List_Predictors, INDEX(Array_PredictorsLookup,MATCH($A332,List_PredictorFacilities,0),(COLUMN()-1)/2), 1),"")</f>
        <v/>
      </c>
      <c r="H332" s="137"/>
      <c r="I332" s="58" t="str" cm="1">
        <f>IFERROR(INDEX(List_Predictors, INDEX(Array_PredictorsLookup,MATCH($A332,List_PredictorFacilities,0),(COLUMN()-1)/2), 1),"")</f>
        <v/>
      </c>
      <c r="J332" s="137"/>
      <c r="K332" s="58" t="str" cm="1">
        <f>IFERROR(INDEX(List_Predictors, INDEX(Array_PredictorsLookup,MATCH($A332,List_PredictorFacilities,0),(COLUMN()-1)/2), 1),"")</f>
        <v/>
      </c>
      <c r="L332" s="137"/>
      <c r="M332" s="58" t="str" cm="1">
        <f>IFERROR(INDEX(List_Predictors, INDEX(Array_PredictorsLookup,MATCH($A332,List_PredictorFacilities,0),(COLUMN()-1)/2), 1),"")</f>
        <v/>
      </c>
      <c r="N332" s="137"/>
      <c r="O332" s="58" t="str" cm="1">
        <f>IFERROR(INDEX(List_Predictors, INDEX(Array_PredictorsLookup,MATCH($A332,List_PredictorFacilities,0),(COLUMN()-1)/2), 1),"")</f>
        <v/>
      </c>
      <c r="P332" s="137"/>
      <c r="Q332" s="58" t="str" cm="1">
        <f>IFERROR(INDEX(List_Predictors, INDEX(Array_PredictorsLookup,MATCH($A332,List_PredictorFacilities,0),(COLUMN()-1)/2), 1),"")</f>
        <v/>
      </c>
      <c r="R332" s="137"/>
      <c r="S332" s="58" t="str" cm="1">
        <f>IFERROR(INDEX(List_Predictors, INDEX(Array_PredictorsLookup,MATCH($A332,List_PredictorFacilities,0),(COLUMN()-1)/2), 1),"")</f>
        <v/>
      </c>
      <c r="T332" s="137"/>
      <c r="U332" s="58" t="str" cm="1">
        <f>IFERROR(INDEX(List_Predictors, INDEX(Array_PredictorsLookup,MATCH($A332,List_PredictorFacilities,0),(COLUMN()-1)/2), 1),"")</f>
        <v/>
      </c>
      <c r="V332" s="137"/>
      <c r="W332" s="58" t="str" cm="1">
        <f>IFERROR(INDEX(List_Predictors, INDEX(Array_PredictorsLookup,MATCH($A332,List_PredictorFacilities,0),(COLUMN()-1)/2), 1),"")</f>
        <v/>
      </c>
      <c r="X332" s="137"/>
      <c r="Y332" s="58" t="str" cm="1">
        <f>IFERROR(INDEX(List_Predictors, INDEX(Array_PredictorsLookup,MATCH($A332,List_PredictorFacilities,0),(COLUMN()-1)/2), 1),"")</f>
        <v/>
      </c>
      <c r="Z332" s="137"/>
      <c r="AA332" s="58" t="str" cm="1">
        <f>IFERROR(INDEX(List_Predictors, INDEX(Array_PredictorsLookup,MATCH($A332,List_PredictorFacilities,0),(COLUMN()-1)/2), 1),"")</f>
        <v/>
      </c>
      <c r="AB332" s="137"/>
      <c r="AC332" s="58" t="str" cm="1">
        <f>IFERROR(INDEX(List_Predictors, INDEX(Array_PredictorsLookup,MATCH($A332,List_PredictorFacilities,0),(COLUMN()-1)/2), 1),"")</f>
        <v/>
      </c>
      <c r="AD332" s="137"/>
      <c r="AE332" s="58" t="str" cm="1">
        <f>IFERROR(INDEX(List_Predictors, INDEX(Array_PredictorsLookup,MATCH($A332,List_PredictorFacilities,0),(COLUMN()-1)/2), 1),"")</f>
        <v/>
      </c>
      <c r="AF332" s="137"/>
    </row>
    <row r="333" spans="1:32" x14ac:dyDescent="0.3">
      <c r="A333" s="126"/>
      <c r="B333" s="141"/>
      <c r="C333" s="58" t="str" cm="1">
        <f>IFERROR(INDEX(List_Predictors, INDEX(Array_PredictorsLookup,MATCH($A333,List_PredictorFacilities,0),(COLUMN()-1)/2), 1),"")</f>
        <v/>
      </c>
      <c r="D333" s="137"/>
      <c r="E333" s="58" t="str" cm="1">
        <f>IFERROR(INDEX(List_Predictors, INDEX(Array_PredictorsLookup,MATCH($A333,List_PredictorFacilities,0),(COLUMN()-1)/2), 1),"")</f>
        <v/>
      </c>
      <c r="F333" s="137"/>
      <c r="G333" s="58" t="str" cm="1">
        <f>IFERROR(INDEX(List_Predictors, INDEX(Array_PredictorsLookup,MATCH($A333,List_PredictorFacilities,0),(COLUMN()-1)/2), 1),"")</f>
        <v/>
      </c>
      <c r="H333" s="137"/>
      <c r="I333" s="58" t="str" cm="1">
        <f>IFERROR(INDEX(List_Predictors, INDEX(Array_PredictorsLookup,MATCH($A333,List_PredictorFacilities,0),(COLUMN()-1)/2), 1),"")</f>
        <v/>
      </c>
      <c r="J333" s="137"/>
      <c r="K333" s="58" t="str" cm="1">
        <f>IFERROR(INDEX(List_Predictors, INDEX(Array_PredictorsLookup,MATCH($A333,List_PredictorFacilities,0),(COLUMN()-1)/2), 1),"")</f>
        <v/>
      </c>
      <c r="L333" s="137"/>
      <c r="M333" s="58" t="str" cm="1">
        <f>IFERROR(INDEX(List_Predictors, INDEX(Array_PredictorsLookup,MATCH($A333,List_PredictorFacilities,0),(COLUMN()-1)/2), 1),"")</f>
        <v/>
      </c>
      <c r="N333" s="137"/>
      <c r="O333" s="58" t="str" cm="1">
        <f>IFERROR(INDEX(List_Predictors, INDEX(Array_PredictorsLookup,MATCH($A333,List_PredictorFacilities,0),(COLUMN()-1)/2), 1),"")</f>
        <v/>
      </c>
      <c r="P333" s="137"/>
      <c r="Q333" s="58" t="str" cm="1">
        <f>IFERROR(INDEX(List_Predictors, INDEX(Array_PredictorsLookup,MATCH($A333,List_PredictorFacilities,0),(COLUMN()-1)/2), 1),"")</f>
        <v/>
      </c>
      <c r="R333" s="137"/>
      <c r="S333" s="58" t="str" cm="1">
        <f>IFERROR(INDEX(List_Predictors, INDEX(Array_PredictorsLookup,MATCH($A333,List_PredictorFacilities,0),(COLUMN()-1)/2), 1),"")</f>
        <v/>
      </c>
      <c r="T333" s="137"/>
      <c r="U333" s="58" t="str" cm="1">
        <f>IFERROR(INDEX(List_Predictors, INDEX(Array_PredictorsLookup,MATCH($A333,List_PredictorFacilities,0),(COLUMN()-1)/2), 1),"")</f>
        <v/>
      </c>
      <c r="V333" s="137"/>
      <c r="W333" s="58" t="str" cm="1">
        <f>IFERROR(INDEX(List_Predictors, INDEX(Array_PredictorsLookup,MATCH($A333,List_PredictorFacilities,0),(COLUMN()-1)/2), 1),"")</f>
        <v/>
      </c>
      <c r="X333" s="137"/>
      <c r="Y333" s="58" t="str" cm="1">
        <f>IFERROR(INDEX(List_Predictors, INDEX(Array_PredictorsLookup,MATCH($A333,List_PredictorFacilities,0),(COLUMN()-1)/2), 1),"")</f>
        <v/>
      </c>
      <c r="Z333" s="137"/>
      <c r="AA333" s="58" t="str" cm="1">
        <f>IFERROR(INDEX(List_Predictors, INDEX(Array_PredictorsLookup,MATCH($A333,List_PredictorFacilities,0),(COLUMN()-1)/2), 1),"")</f>
        <v/>
      </c>
      <c r="AB333" s="137"/>
      <c r="AC333" s="58" t="str" cm="1">
        <f>IFERROR(INDEX(List_Predictors, INDEX(Array_PredictorsLookup,MATCH($A333,List_PredictorFacilities,0),(COLUMN()-1)/2), 1),"")</f>
        <v/>
      </c>
      <c r="AD333" s="137"/>
      <c r="AE333" s="58" t="str" cm="1">
        <f>IFERROR(INDEX(List_Predictors, INDEX(Array_PredictorsLookup,MATCH($A333,List_PredictorFacilities,0),(COLUMN()-1)/2), 1),"")</f>
        <v/>
      </c>
      <c r="AF333" s="137"/>
    </row>
    <row r="334" spans="1:32" x14ac:dyDescent="0.3">
      <c r="A334" s="126"/>
      <c r="B334" s="141"/>
      <c r="C334" s="58" t="str" cm="1">
        <f>IFERROR(INDEX(List_Predictors, INDEX(Array_PredictorsLookup,MATCH($A334,List_PredictorFacilities,0),(COLUMN()-1)/2), 1),"")</f>
        <v/>
      </c>
      <c r="D334" s="137"/>
      <c r="E334" s="58" t="str" cm="1">
        <f>IFERROR(INDEX(List_Predictors, INDEX(Array_PredictorsLookup,MATCH($A334,List_PredictorFacilities,0),(COLUMN()-1)/2), 1),"")</f>
        <v/>
      </c>
      <c r="F334" s="137"/>
      <c r="G334" s="58" t="str" cm="1">
        <f>IFERROR(INDEX(List_Predictors, INDEX(Array_PredictorsLookup,MATCH($A334,List_PredictorFacilities,0),(COLUMN()-1)/2), 1),"")</f>
        <v/>
      </c>
      <c r="H334" s="137"/>
      <c r="I334" s="58" t="str" cm="1">
        <f>IFERROR(INDEX(List_Predictors, INDEX(Array_PredictorsLookup,MATCH($A334,List_PredictorFacilities,0),(COLUMN()-1)/2), 1),"")</f>
        <v/>
      </c>
      <c r="J334" s="137"/>
      <c r="K334" s="58" t="str" cm="1">
        <f>IFERROR(INDEX(List_Predictors, INDEX(Array_PredictorsLookup,MATCH($A334,List_PredictorFacilities,0),(COLUMN()-1)/2), 1),"")</f>
        <v/>
      </c>
      <c r="L334" s="137"/>
      <c r="M334" s="58" t="str" cm="1">
        <f>IFERROR(INDEX(List_Predictors, INDEX(Array_PredictorsLookup,MATCH($A334,List_PredictorFacilities,0),(COLUMN()-1)/2), 1),"")</f>
        <v/>
      </c>
      <c r="N334" s="137"/>
      <c r="O334" s="58" t="str" cm="1">
        <f>IFERROR(INDEX(List_Predictors, INDEX(Array_PredictorsLookup,MATCH($A334,List_PredictorFacilities,0),(COLUMN()-1)/2), 1),"")</f>
        <v/>
      </c>
      <c r="P334" s="137"/>
      <c r="Q334" s="58" t="str" cm="1">
        <f>IFERROR(INDEX(List_Predictors, INDEX(Array_PredictorsLookup,MATCH($A334,List_PredictorFacilities,0),(COLUMN()-1)/2), 1),"")</f>
        <v/>
      </c>
      <c r="R334" s="137"/>
      <c r="S334" s="58" t="str" cm="1">
        <f>IFERROR(INDEX(List_Predictors, INDEX(Array_PredictorsLookup,MATCH($A334,List_PredictorFacilities,0),(COLUMN()-1)/2), 1),"")</f>
        <v/>
      </c>
      <c r="T334" s="137"/>
      <c r="U334" s="58" t="str" cm="1">
        <f>IFERROR(INDEX(List_Predictors, INDEX(Array_PredictorsLookup,MATCH($A334,List_PredictorFacilities,0),(COLUMN()-1)/2), 1),"")</f>
        <v/>
      </c>
      <c r="V334" s="137"/>
      <c r="W334" s="58" t="str" cm="1">
        <f>IFERROR(INDEX(List_Predictors, INDEX(Array_PredictorsLookup,MATCH($A334,List_PredictorFacilities,0),(COLUMN()-1)/2), 1),"")</f>
        <v/>
      </c>
      <c r="X334" s="137"/>
      <c r="Y334" s="58" t="str" cm="1">
        <f>IFERROR(INDEX(List_Predictors, INDEX(Array_PredictorsLookup,MATCH($A334,List_PredictorFacilities,0),(COLUMN()-1)/2), 1),"")</f>
        <v/>
      </c>
      <c r="Z334" s="137"/>
      <c r="AA334" s="58" t="str" cm="1">
        <f>IFERROR(INDEX(List_Predictors, INDEX(Array_PredictorsLookup,MATCH($A334,List_PredictorFacilities,0),(COLUMN()-1)/2), 1),"")</f>
        <v/>
      </c>
      <c r="AB334" s="137"/>
      <c r="AC334" s="58" t="str" cm="1">
        <f>IFERROR(INDEX(List_Predictors, INDEX(Array_PredictorsLookup,MATCH($A334,List_PredictorFacilities,0),(COLUMN()-1)/2), 1),"")</f>
        <v/>
      </c>
      <c r="AD334" s="137"/>
      <c r="AE334" s="58" t="str" cm="1">
        <f>IFERROR(INDEX(List_Predictors, INDEX(Array_PredictorsLookup,MATCH($A334,List_PredictorFacilities,0),(COLUMN()-1)/2), 1),"")</f>
        <v/>
      </c>
      <c r="AF334" s="137"/>
    </row>
    <row r="335" spans="1:32" x14ac:dyDescent="0.3">
      <c r="A335" s="126"/>
      <c r="B335" s="141"/>
      <c r="C335" s="58" t="str" cm="1">
        <f>IFERROR(INDEX(List_Predictors, INDEX(Array_PredictorsLookup,MATCH($A335,List_PredictorFacilities,0),(COLUMN()-1)/2), 1),"")</f>
        <v/>
      </c>
      <c r="D335" s="137"/>
      <c r="E335" s="58" t="str" cm="1">
        <f>IFERROR(INDEX(List_Predictors, INDEX(Array_PredictorsLookup,MATCH($A335,List_PredictorFacilities,0),(COLUMN()-1)/2), 1),"")</f>
        <v/>
      </c>
      <c r="F335" s="137"/>
      <c r="G335" s="58" t="str" cm="1">
        <f>IFERROR(INDEX(List_Predictors, INDEX(Array_PredictorsLookup,MATCH($A335,List_PredictorFacilities,0),(COLUMN()-1)/2), 1),"")</f>
        <v/>
      </c>
      <c r="H335" s="137"/>
      <c r="I335" s="58" t="str" cm="1">
        <f>IFERROR(INDEX(List_Predictors, INDEX(Array_PredictorsLookup,MATCH($A335,List_PredictorFacilities,0),(COLUMN()-1)/2), 1),"")</f>
        <v/>
      </c>
      <c r="J335" s="137"/>
      <c r="K335" s="58" t="str" cm="1">
        <f>IFERROR(INDEX(List_Predictors, INDEX(Array_PredictorsLookup,MATCH($A335,List_PredictorFacilities,0),(COLUMN()-1)/2), 1),"")</f>
        <v/>
      </c>
      <c r="L335" s="137"/>
      <c r="M335" s="58" t="str" cm="1">
        <f>IFERROR(INDEX(List_Predictors, INDEX(Array_PredictorsLookup,MATCH($A335,List_PredictorFacilities,0),(COLUMN()-1)/2), 1),"")</f>
        <v/>
      </c>
      <c r="N335" s="137"/>
      <c r="O335" s="58" t="str" cm="1">
        <f>IFERROR(INDEX(List_Predictors, INDEX(Array_PredictorsLookup,MATCH($A335,List_PredictorFacilities,0),(COLUMN()-1)/2), 1),"")</f>
        <v/>
      </c>
      <c r="P335" s="137"/>
      <c r="Q335" s="58" t="str" cm="1">
        <f>IFERROR(INDEX(List_Predictors, INDEX(Array_PredictorsLookup,MATCH($A335,List_PredictorFacilities,0),(COLUMN()-1)/2), 1),"")</f>
        <v/>
      </c>
      <c r="R335" s="137"/>
      <c r="S335" s="58" t="str" cm="1">
        <f>IFERROR(INDEX(List_Predictors, INDEX(Array_PredictorsLookup,MATCH($A335,List_PredictorFacilities,0),(COLUMN()-1)/2), 1),"")</f>
        <v/>
      </c>
      <c r="T335" s="137"/>
      <c r="U335" s="58" t="str" cm="1">
        <f>IFERROR(INDEX(List_Predictors, INDEX(Array_PredictorsLookup,MATCH($A335,List_PredictorFacilities,0),(COLUMN()-1)/2), 1),"")</f>
        <v/>
      </c>
      <c r="V335" s="137"/>
      <c r="W335" s="58" t="str" cm="1">
        <f>IFERROR(INDEX(List_Predictors, INDEX(Array_PredictorsLookup,MATCH($A335,List_PredictorFacilities,0),(COLUMN()-1)/2), 1),"")</f>
        <v/>
      </c>
      <c r="X335" s="137"/>
      <c r="Y335" s="58" t="str" cm="1">
        <f>IFERROR(INDEX(List_Predictors, INDEX(Array_PredictorsLookup,MATCH($A335,List_PredictorFacilities,0),(COLUMN()-1)/2), 1),"")</f>
        <v/>
      </c>
      <c r="Z335" s="137"/>
      <c r="AA335" s="58" t="str" cm="1">
        <f>IFERROR(INDEX(List_Predictors, INDEX(Array_PredictorsLookup,MATCH($A335,List_PredictorFacilities,0),(COLUMN()-1)/2), 1),"")</f>
        <v/>
      </c>
      <c r="AB335" s="137"/>
      <c r="AC335" s="58" t="str" cm="1">
        <f>IFERROR(INDEX(List_Predictors, INDEX(Array_PredictorsLookup,MATCH($A335,List_PredictorFacilities,0),(COLUMN()-1)/2), 1),"")</f>
        <v/>
      </c>
      <c r="AD335" s="137"/>
      <c r="AE335" s="58" t="str" cm="1">
        <f>IFERROR(INDEX(List_Predictors, INDEX(Array_PredictorsLookup,MATCH($A335,List_PredictorFacilities,0),(COLUMN()-1)/2), 1),"")</f>
        <v/>
      </c>
      <c r="AF335" s="137"/>
    </row>
    <row r="336" spans="1:32" x14ac:dyDescent="0.3">
      <c r="A336" s="126"/>
      <c r="B336" s="141"/>
      <c r="C336" s="58" t="str" cm="1">
        <f>IFERROR(INDEX(List_Predictors, INDEX(Array_PredictorsLookup,MATCH($A336,List_PredictorFacilities,0),(COLUMN()-1)/2), 1),"")</f>
        <v/>
      </c>
      <c r="D336" s="137"/>
      <c r="E336" s="58" t="str" cm="1">
        <f>IFERROR(INDEX(List_Predictors, INDEX(Array_PredictorsLookup,MATCH($A336,List_PredictorFacilities,0),(COLUMN()-1)/2), 1),"")</f>
        <v/>
      </c>
      <c r="F336" s="137"/>
      <c r="G336" s="58" t="str" cm="1">
        <f>IFERROR(INDEX(List_Predictors, INDEX(Array_PredictorsLookup,MATCH($A336,List_PredictorFacilities,0),(COLUMN()-1)/2), 1),"")</f>
        <v/>
      </c>
      <c r="H336" s="137"/>
      <c r="I336" s="58" t="str" cm="1">
        <f>IFERROR(INDEX(List_Predictors, INDEX(Array_PredictorsLookup,MATCH($A336,List_PredictorFacilities,0),(COLUMN()-1)/2), 1),"")</f>
        <v/>
      </c>
      <c r="J336" s="137"/>
      <c r="K336" s="58" t="str" cm="1">
        <f>IFERROR(INDEX(List_Predictors, INDEX(Array_PredictorsLookup,MATCH($A336,List_PredictorFacilities,0),(COLUMN()-1)/2), 1),"")</f>
        <v/>
      </c>
      <c r="L336" s="137"/>
      <c r="M336" s="58" t="str" cm="1">
        <f>IFERROR(INDEX(List_Predictors, INDEX(Array_PredictorsLookup,MATCH($A336,List_PredictorFacilities,0),(COLUMN()-1)/2), 1),"")</f>
        <v/>
      </c>
      <c r="N336" s="137"/>
      <c r="O336" s="58" t="str" cm="1">
        <f>IFERROR(INDEX(List_Predictors, INDEX(Array_PredictorsLookup,MATCH($A336,List_PredictorFacilities,0),(COLUMN()-1)/2), 1),"")</f>
        <v/>
      </c>
      <c r="P336" s="137"/>
      <c r="Q336" s="58" t="str" cm="1">
        <f>IFERROR(INDEX(List_Predictors, INDEX(Array_PredictorsLookup,MATCH($A336,List_PredictorFacilities,0),(COLUMN()-1)/2), 1),"")</f>
        <v/>
      </c>
      <c r="R336" s="137"/>
      <c r="S336" s="58" t="str" cm="1">
        <f>IFERROR(INDEX(List_Predictors, INDEX(Array_PredictorsLookup,MATCH($A336,List_PredictorFacilities,0),(COLUMN()-1)/2), 1),"")</f>
        <v/>
      </c>
      <c r="T336" s="137"/>
      <c r="U336" s="58" t="str" cm="1">
        <f>IFERROR(INDEX(List_Predictors, INDEX(Array_PredictorsLookup,MATCH($A336,List_PredictorFacilities,0),(COLUMN()-1)/2), 1),"")</f>
        <v/>
      </c>
      <c r="V336" s="137"/>
      <c r="W336" s="58" t="str" cm="1">
        <f>IFERROR(INDEX(List_Predictors, INDEX(Array_PredictorsLookup,MATCH($A336,List_PredictorFacilities,0),(COLUMN()-1)/2), 1),"")</f>
        <v/>
      </c>
      <c r="X336" s="137"/>
      <c r="Y336" s="58" t="str" cm="1">
        <f>IFERROR(INDEX(List_Predictors, INDEX(Array_PredictorsLookup,MATCH($A336,List_PredictorFacilities,0),(COLUMN()-1)/2), 1),"")</f>
        <v/>
      </c>
      <c r="Z336" s="137"/>
      <c r="AA336" s="58" t="str" cm="1">
        <f>IFERROR(INDEX(List_Predictors, INDEX(Array_PredictorsLookup,MATCH($A336,List_PredictorFacilities,0),(COLUMN()-1)/2), 1),"")</f>
        <v/>
      </c>
      <c r="AB336" s="137"/>
      <c r="AC336" s="58" t="str" cm="1">
        <f>IFERROR(INDEX(List_Predictors, INDEX(Array_PredictorsLookup,MATCH($A336,List_PredictorFacilities,0),(COLUMN()-1)/2), 1),"")</f>
        <v/>
      </c>
      <c r="AD336" s="137"/>
      <c r="AE336" s="58" t="str" cm="1">
        <f>IFERROR(INDEX(List_Predictors, INDEX(Array_PredictorsLookup,MATCH($A336,List_PredictorFacilities,0),(COLUMN()-1)/2), 1),"")</f>
        <v/>
      </c>
      <c r="AF336" s="137"/>
    </row>
    <row r="337" spans="1:32" x14ac:dyDescent="0.3">
      <c r="A337" s="126"/>
      <c r="B337" s="141"/>
      <c r="C337" s="58" t="str" cm="1">
        <f>IFERROR(INDEX(List_Predictors, INDEX(Array_PredictorsLookup,MATCH($A337,List_PredictorFacilities,0),(COLUMN()-1)/2), 1),"")</f>
        <v/>
      </c>
      <c r="D337" s="137"/>
      <c r="E337" s="58" t="str" cm="1">
        <f>IFERROR(INDEX(List_Predictors, INDEX(Array_PredictorsLookup,MATCH($A337,List_PredictorFacilities,0),(COLUMN()-1)/2), 1),"")</f>
        <v/>
      </c>
      <c r="F337" s="137"/>
      <c r="G337" s="58" t="str" cm="1">
        <f>IFERROR(INDEX(List_Predictors, INDEX(Array_PredictorsLookup,MATCH($A337,List_PredictorFacilities,0),(COLUMN()-1)/2), 1),"")</f>
        <v/>
      </c>
      <c r="H337" s="137"/>
      <c r="I337" s="58" t="str" cm="1">
        <f>IFERROR(INDEX(List_Predictors, INDEX(Array_PredictorsLookup,MATCH($A337,List_PredictorFacilities,0),(COLUMN()-1)/2), 1),"")</f>
        <v/>
      </c>
      <c r="J337" s="137"/>
      <c r="K337" s="58" t="str" cm="1">
        <f>IFERROR(INDEX(List_Predictors, INDEX(Array_PredictorsLookup,MATCH($A337,List_PredictorFacilities,0),(COLUMN()-1)/2), 1),"")</f>
        <v/>
      </c>
      <c r="L337" s="137"/>
      <c r="M337" s="58" t="str" cm="1">
        <f>IFERROR(INDEX(List_Predictors, INDEX(Array_PredictorsLookup,MATCH($A337,List_PredictorFacilities,0),(COLUMN()-1)/2), 1),"")</f>
        <v/>
      </c>
      <c r="N337" s="137"/>
      <c r="O337" s="58" t="str" cm="1">
        <f>IFERROR(INDEX(List_Predictors, INDEX(Array_PredictorsLookup,MATCH($A337,List_PredictorFacilities,0),(COLUMN()-1)/2), 1),"")</f>
        <v/>
      </c>
      <c r="P337" s="137"/>
      <c r="Q337" s="58" t="str" cm="1">
        <f>IFERROR(INDEX(List_Predictors, INDEX(Array_PredictorsLookup,MATCH($A337,List_PredictorFacilities,0),(COLUMN()-1)/2), 1),"")</f>
        <v/>
      </c>
      <c r="R337" s="137"/>
      <c r="S337" s="58" t="str" cm="1">
        <f>IFERROR(INDEX(List_Predictors, INDEX(Array_PredictorsLookup,MATCH($A337,List_PredictorFacilities,0),(COLUMN()-1)/2), 1),"")</f>
        <v/>
      </c>
      <c r="T337" s="137"/>
      <c r="U337" s="58" t="str" cm="1">
        <f>IFERROR(INDEX(List_Predictors, INDEX(Array_PredictorsLookup,MATCH($A337,List_PredictorFacilities,0),(COLUMN()-1)/2), 1),"")</f>
        <v/>
      </c>
      <c r="V337" s="137"/>
      <c r="W337" s="58" t="str" cm="1">
        <f>IFERROR(INDEX(List_Predictors, INDEX(Array_PredictorsLookup,MATCH($A337,List_PredictorFacilities,0),(COLUMN()-1)/2), 1),"")</f>
        <v/>
      </c>
      <c r="X337" s="137"/>
      <c r="Y337" s="58" t="str" cm="1">
        <f>IFERROR(INDEX(List_Predictors, INDEX(Array_PredictorsLookup,MATCH($A337,List_PredictorFacilities,0),(COLUMN()-1)/2), 1),"")</f>
        <v/>
      </c>
      <c r="Z337" s="137"/>
      <c r="AA337" s="58" t="str" cm="1">
        <f>IFERROR(INDEX(List_Predictors, INDEX(Array_PredictorsLookup,MATCH($A337,List_PredictorFacilities,0),(COLUMN()-1)/2), 1),"")</f>
        <v/>
      </c>
      <c r="AB337" s="137"/>
      <c r="AC337" s="58" t="str" cm="1">
        <f>IFERROR(INDEX(List_Predictors, INDEX(Array_PredictorsLookup,MATCH($A337,List_PredictorFacilities,0),(COLUMN()-1)/2), 1),"")</f>
        <v/>
      </c>
      <c r="AD337" s="137"/>
      <c r="AE337" s="58" t="str" cm="1">
        <f>IFERROR(INDEX(List_Predictors, INDEX(Array_PredictorsLookup,MATCH($A337,List_PredictorFacilities,0),(COLUMN()-1)/2), 1),"")</f>
        <v/>
      </c>
      <c r="AF337" s="137"/>
    </row>
    <row r="338" spans="1:32" x14ac:dyDescent="0.3">
      <c r="A338" s="126"/>
      <c r="B338" s="141"/>
      <c r="C338" s="58" t="str" cm="1">
        <f>IFERROR(INDEX(List_Predictors, INDEX(Array_PredictorsLookup,MATCH($A338,List_PredictorFacilities,0),(COLUMN()-1)/2), 1),"")</f>
        <v/>
      </c>
      <c r="D338" s="137"/>
      <c r="E338" s="58" t="str" cm="1">
        <f>IFERROR(INDEX(List_Predictors, INDEX(Array_PredictorsLookup,MATCH($A338,List_PredictorFacilities,0),(COLUMN()-1)/2), 1),"")</f>
        <v/>
      </c>
      <c r="F338" s="137"/>
      <c r="G338" s="58" t="str" cm="1">
        <f>IFERROR(INDEX(List_Predictors, INDEX(Array_PredictorsLookup,MATCH($A338,List_PredictorFacilities,0),(COLUMN()-1)/2), 1),"")</f>
        <v/>
      </c>
      <c r="H338" s="137"/>
      <c r="I338" s="58" t="str" cm="1">
        <f>IFERROR(INDEX(List_Predictors, INDEX(Array_PredictorsLookup,MATCH($A338,List_PredictorFacilities,0),(COLUMN()-1)/2), 1),"")</f>
        <v/>
      </c>
      <c r="J338" s="137"/>
      <c r="K338" s="58" t="str" cm="1">
        <f>IFERROR(INDEX(List_Predictors, INDEX(Array_PredictorsLookup,MATCH($A338,List_PredictorFacilities,0),(COLUMN()-1)/2), 1),"")</f>
        <v/>
      </c>
      <c r="L338" s="137"/>
      <c r="M338" s="58" t="str" cm="1">
        <f>IFERROR(INDEX(List_Predictors, INDEX(Array_PredictorsLookup,MATCH($A338,List_PredictorFacilities,0),(COLUMN()-1)/2), 1),"")</f>
        <v/>
      </c>
      <c r="N338" s="137"/>
      <c r="O338" s="58" t="str" cm="1">
        <f>IFERROR(INDEX(List_Predictors, INDEX(Array_PredictorsLookup,MATCH($A338,List_PredictorFacilities,0),(COLUMN()-1)/2), 1),"")</f>
        <v/>
      </c>
      <c r="P338" s="137"/>
      <c r="Q338" s="58" t="str" cm="1">
        <f>IFERROR(INDEX(List_Predictors, INDEX(Array_PredictorsLookup,MATCH($A338,List_PredictorFacilities,0),(COLUMN()-1)/2), 1),"")</f>
        <v/>
      </c>
      <c r="R338" s="137"/>
      <c r="S338" s="58" t="str" cm="1">
        <f>IFERROR(INDEX(List_Predictors, INDEX(Array_PredictorsLookup,MATCH($A338,List_PredictorFacilities,0),(COLUMN()-1)/2), 1),"")</f>
        <v/>
      </c>
      <c r="T338" s="137"/>
      <c r="U338" s="58" t="str" cm="1">
        <f>IFERROR(INDEX(List_Predictors, INDEX(Array_PredictorsLookup,MATCH($A338,List_PredictorFacilities,0),(COLUMN()-1)/2), 1),"")</f>
        <v/>
      </c>
      <c r="V338" s="137"/>
      <c r="W338" s="58" t="str" cm="1">
        <f>IFERROR(INDEX(List_Predictors, INDEX(Array_PredictorsLookup,MATCH($A338,List_PredictorFacilities,0),(COLUMN()-1)/2), 1),"")</f>
        <v/>
      </c>
      <c r="X338" s="137"/>
      <c r="Y338" s="58" t="str" cm="1">
        <f>IFERROR(INDEX(List_Predictors, INDEX(Array_PredictorsLookup,MATCH($A338,List_PredictorFacilities,0),(COLUMN()-1)/2), 1),"")</f>
        <v/>
      </c>
      <c r="Z338" s="137"/>
      <c r="AA338" s="58" t="str" cm="1">
        <f>IFERROR(INDEX(List_Predictors, INDEX(Array_PredictorsLookup,MATCH($A338,List_PredictorFacilities,0),(COLUMN()-1)/2), 1),"")</f>
        <v/>
      </c>
      <c r="AB338" s="137"/>
      <c r="AC338" s="58" t="str" cm="1">
        <f>IFERROR(INDEX(List_Predictors, INDEX(Array_PredictorsLookup,MATCH($A338,List_PredictorFacilities,0),(COLUMN()-1)/2), 1),"")</f>
        <v/>
      </c>
      <c r="AD338" s="137"/>
      <c r="AE338" s="58" t="str" cm="1">
        <f>IFERROR(INDEX(List_Predictors, INDEX(Array_PredictorsLookup,MATCH($A338,List_PredictorFacilities,0),(COLUMN()-1)/2), 1),"")</f>
        <v/>
      </c>
      <c r="AF338" s="137"/>
    </row>
    <row r="339" spans="1:32" x14ac:dyDescent="0.3">
      <c r="A339" s="126"/>
      <c r="B339" s="141"/>
      <c r="C339" s="58" t="str" cm="1">
        <f>IFERROR(INDEX(List_Predictors, INDEX(Array_PredictorsLookup,MATCH($A339,List_PredictorFacilities,0),(COLUMN()-1)/2), 1),"")</f>
        <v/>
      </c>
      <c r="D339" s="137"/>
      <c r="E339" s="58" t="str" cm="1">
        <f>IFERROR(INDEX(List_Predictors, INDEX(Array_PredictorsLookup,MATCH($A339,List_PredictorFacilities,0),(COLUMN()-1)/2), 1),"")</f>
        <v/>
      </c>
      <c r="F339" s="137"/>
      <c r="G339" s="58" t="str" cm="1">
        <f>IFERROR(INDEX(List_Predictors, INDEX(Array_PredictorsLookup,MATCH($A339,List_PredictorFacilities,0),(COLUMN()-1)/2), 1),"")</f>
        <v/>
      </c>
      <c r="H339" s="137"/>
      <c r="I339" s="58" t="str" cm="1">
        <f>IFERROR(INDEX(List_Predictors, INDEX(Array_PredictorsLookup,MATCH($A339,List_PredictorFacilities,0),(COLUMN()-1)/2), 1),"")</f>
        <v/>
      </c>
      <c r="J339" s="137"/>
      <c r="K339" s="58" t="str" cm="1">
        <f>IFERROR(INDEX(List_Predictors, INDEX(Array_PredictorsLookup,MATCH($A339,List_PredictorFacilities,0),(COLUMN()-1)/2), 1),"")</f>
        <v/>
      </c>
      <c r="L339" s="137"/>
      <c r="M339" s="58" t="str" cm="1">
        <f>IFERROR(INDEX(List_Predictors, INDEX(Array_PredictorsLookup,MATCH($A339,List_PredictorFacilities,0),(COLUMN()-1)/2), 1),"")</f>
        <v/>
      </c>
      <c r="N339" s="137"/>
      <c r="O339" s="58" t="str" cm="1">
        <f>IFERROR(INDEX(List_Predictors, INDEX(Array_PredictorsLookup,MATCH($A339,List_PredictorFacilities,0),(COLUMN()-1)/2), 1),"")</f>
        <v/>
      </c>
      <c r="P339" s="137"/>
      <c r="Q339" s="58" t="str" cm="1">
        <f>IFERROR(INDEX(List_Predictors, INDEX(Array_PredictorsLookup,MATCH($A339,List_PredictorFacilities,0),(COLUMN()-1)/2), 1),"")</f>
        <v/>
      </c>
      <c r="R339" s="137"/>
      <c r="S339" s="58" t="str" cm="1">
        <f>IFERROR(INDEX(List_Predictors, INDEX(Array_PredictorsLookup,MATCH($A339,List_PredictorFacilities,0),(COLUMN()-1)/2), 1),"")</f>
        <v/>
      </c>
      <c r="T339" s="137"/>
      <c r="U339" s="58" t="str" cm="1">
        <f>IFERROR(INDEX(List_Predictors, INDEX(Array_PredictorsLookup,MATCH($A339,List_PredictorFacilities,0),(COLUMN()-1)/2), 1),"")</f>
        <v/>
      </c>
      <c r="V339" s="137"/>
      <c r="W339" s="58" t="str" cm="1">
        <f>IFERROR(INDEX(List_Predictors, INDEX(Array_PredictorsLookup,MATCH($A339,List_PredictorFacilities,0),(COLUMN()-1)/2), 1),"")</f>
        <v/>
      </c>
      <c r="X339" s="137"/>
      <c r="Y339" s="58" t="str" cm="1">
        <f>IFERROR(INDEX(List_Predictors, INDEX(Array_PredictorsLookup,MATCH($A339,List_PredictorFacilities,0),(COLUMN()-1)/2), 1),"")</f>
        <v/>
      </c>
      <c r="Z339" s="137"/>
      <c r="AA339" s="58" t="str" cm="1">
        <f>IFERROR(INDEX(List_Predictors, INDEX(Array_PredictorsLookup,MATCH($A339,List_PredictorFacilities,0),(COLUMN()-1)/2), 1),"")</f>
        <v/>
      </c>
      <c r="AB339" s="137"/>
      <c r="AC339" s="58" t="str" cm="1">
        <f>IFERROR(INDEX(List_Predictors, INDEX(Array_PredictorsLookup,MATCH($A339,List_PredictorFacilities,0),(COLUMN()-1)/2), 1),"")</f>
        <v/>
      </c>
      <c r="AD339" s="137"/>
      <c r="AE339" s="58" t="str" cm="1">
        <f>IFERROR(INDEX(List_Predictors, INDEX(Array_PredictorsLookup,MATCH($A339,List_PredictorFacilities,0),(COLUMN()-1)/2), 1),"")</f>
        <v/>
      </c>
      <c r="AF339" s="137"/>
    </row>
    <row r="340" spans="1:32" x14ac:dyDescent="0.3">
      <c r="A340" s="126"/>
      <c r="B340" s="141"/>
      <c r="C340" s="58" t="str" cm="1">
        <f>IFERROR(INDEX(List_Predictors, INDEX(Array_PredictorsLookup,MATCH($A340,List_PredictorFacilities,0),(COLUMN()-1)/2), 1),"")</f>
        <v/>
      </c>
      <c r="D340" s="137"/>
      <c r="E340" s="58" t="str" cm="1">
        <f>IFERROR(INDEX(List_Predictors, INDEX(Array_PredictorsLookup,MATCH($A340,List_PredictorFacilities,0),(COLUMN()-1)/2), 1),"")</f>
        <v/>
      </c>
      <c r="F340" s="137"/>
      <c r="G340" s="58" t="str" cm="1">
        <f>IFERROR(INDEX(List_Predictors, INDEX(Array_PredictorsLookup,MATCH($A340,List_PredictorFacilities,0),(COLUMN()-1)/2), 1),"")</f>
        <v/>
      </c>
      <c r="H340" s="137"/>
      <c r="I340" s="58" t="str" cm="1">
        <f>IFERROR(INDEX(List_Predictors, INDEX(Array_PredictorsLookup,MATCH($A340,List_PredictorFacilities,0),(COLUMN()-1)/2), 1),"")</f>
        <v/>
      </c>
      <c r="J340" s="137"/>
      <c r="K340" s="58" t="str" cm="1">
        <f>IFERROR(INDEX(List_Predictors, INDEX(Array_PredictorsLookup,MATCH($A340,List_PredictorFacilities,0),(COLUMN()-1)/2), 1),"")</f>
        <v/>
      </c>
      <c r="L340" s="137"/>
      <c r="M340" s="58" t="str" cm="1">
        <f>IFERROR(INDEX(List_Predictors, INDEX(Array_PredictorsLookup,MATCH($A340,List_PredictorFacilities,0),(COLUMN()-1)/2), 1),"")</f>
        <v/>
      </c>
      <c r="N340" s="137"/>
      <c r="O340" s="58" t="str" cm="1">
        <f>IFERROR(INDEX(List_Predictors, INDEX(Array_PredictorsLookup,MATCH($A340,List_PredictorFacilities,0),(COLUMN()-1)/2), 1),"")</f>
        <v/>
      </c>
      <c r="P340" s="137"/>
      <c r="Q340" s="58" t="str" cm="1">
        <f>IFERROR(INDEX(List_Predictors, INDEX(Array_PredictorsLookup,MATCH($A340,List_PredictorFacilities,0),(COLUMN()-1)/2), 1),"")</f>
        <v/>
      </c>
      <c r="R340" s="137"/>
      <c r="S340" s="58" t="str" cm="1">
        <f>IFERROR(INDEX(List_Predictors, INDEX(Array_PredictorsLookup,MATCH($A340,List_PredictorFacilities,0),(COLUMN()-1)/2), 1),"")</f>
        <v/>
      </c>
      <c r="T340" s="137"/>
      <c r="U340" s="58" t="str" cm="1">
        <f>IFERROR(INDEX(List_Predictors, INDEX(Array_PredictorsLookup,MATCH($A340,List_PredictorFacilities,0),(COLUMN()-1)/2), 1),"")</f>
        <v/>
      </c>
      <c r="V340" s="137"/>
      <c r="W340" s="58" t="str" cm="1">
        <f>IFERROR(INDEX(List_Predictors, INDEX(Array_PredictorsLookup,MATCH($A340,List_PredictorFacilities,0),(COLUMN()-1)/2), 1),"")</f>
        <v/>
      </c>
      <c r="X340" s="137"/>
      <c r="Y340" s="58" t="str" cm="1">
        <f>IFERROR(INDEX(List_Predictors, INDEX(Array_PredictorsLookup,MATCH($A340,List_PredictorFacilities,0),(COLUMN()-1)/2), 1),"")</f>
        <v/>
      </c>
      <c r="Z340" s="137"/>
      <c r="AA340" s="58" t="str" cm="1">
        <f>IFERROR(INDEX(List_Predictors, INDEX(Array_PredictorsLookup,MATCH($A340,List_PredictorFacilities,0),(COLUMN()-1)/2), 1),"")</f>
        <v/>
      </c>
      <c r="AB340" s="137"/>
      <c r="AC340" s="58" t="str" cm="1">
        <f>IFERROR(INDEX(List_Predictors, INDEX(Array_PredictorsLookup,MATCH($A340,List_PredictorFacilities,0),(COLUMN()-1)/2), 1),"")</f>
        <v/>
      </c>
      <c r="AD340" s="137"/>
      <c r="AE340" s="58" t="str" cm="1">
        <f>IFERROR(INDEX(List_Predictors, INDEX(Array_PredictorsLookup,MATCH($A340,List_PredictorFacilities,0),(COLUMN()-1)/2), 1),"")</f>
        <v/>
      </c>
      <c r="AF340" s="137"/>
    </row>
    <row r="341" spans="1:32" x14ac:dyDescent="0.3">
      <c r="A341" s="126"/>
      <c r="B341" s="141"/>
      <c r="C341" s="58" t="str" cm="1">
        <f>IFERROR(INDEX(List_Predictors, INDEX(Array_PredictorsLookup,MATCH($A341,List_PredictorFacilities,0),(COLUMN()-1)/2), 1),"")</f>
        <v/>
      </c>
      <c r="D341" s="137"/>
      <c r="E341" s="58" t="str" cm="1">
        <f>IFERROR(INDEX(List_Predictors, INDEX(Array_PredictorsLookup,MATCH($A341,List_PredictorFacilities,0),(COLUMN()-1)/2), 1),"")</f>
        <v/>
      </c>
      <c r="F341" s="137"/>
      <c r="G341" s="58" t="str" cm="1">
        <f>IFERROR(INDEX(List_Predictors, INDEX(Array_PredictorsLookup,MATCH($A341,List_PredictorFacilities,0),(COLUMN()-1)/2), 1),"")</f>
        <v/>
      </c>
      <c r="H341" s="137"/>
      <c r="I341" s="58" t="str" cm="1">
        <f>IFERROR(INDEX(List_Predictors, INDEX(Array_PredictorsLookup,MATCH($A341,List_PredictorFacilities,0),(COLUMN()-1)/2), 1),"")</f>
        <v/>
      </c>
      <c r="J341" s="137"/>
      <c r="K341" s="58" t="str" cm="1">
        <f>IFERROR(INDEX(List_Predictors, INDEX(Array_PredictorsLookup,MATCH($A341,List_PredictorFacilities,0),(COLUMN()-1)/2), 1),"")</f>
        <v/>
      </c>
      <c r="L341" s="137"/>
      <c r="M341" s="58" t="str" cm="1">
        <f>IFERROR(INDEX(List_Predictors, INDEX(Array_PredictorsLookup,MATCH($A341,List_PredictorFacilities,0),(COLUMN()-1)/2), 1),"")</f>
        <v/>
      </c>
      <c r="N341" s="137"/>
      <c r="O341" s="58" t="str" cm="1">
        <f>IFERROR(INDEX(List_Predictors, INDEX(Array_PredictorsLookup,MATCH($A341,List_PredictorFacilities,0),(COLUMN()-1)/2), 1),"")</f>
        <v/>
      </c>
      <c r="P341" s="137"/>
      <c r="Q341" s="58" t="str" cm="1">
        <f>IFERROR(INDEX(List_Predictors, INDEX(Array_PredictorsLookup,MATCH($A341,List_PredictorFacilities,0),(COLUMN()-1)/2), 1),"")</f>
        <v/>
      </c>
      <c r="R341" s="137"/>
      <c r="S341" s="58" t="str" cm="1">
        <f>IFERROR(INDEX(List_Predictors, INDEX(Array_PredictorsLookup,MATCH($A341,List_PredictorFacilities,0),(COLUMN()-1)/2), 1),"")</f>
        <v/>
      </c>
      <c r="T341" s="137"/>
      <c r="U341" s="58" t="str" cm="1">
        <f>IFERROR(INDEX(List_Predictors, INDEX(Array_PredictorsLookup,MATCH($A341,List_PredictorFacilities,0),(COLUMN()-1)/2), 1),"")</f>
        <v/>
      </c>
      <c r="V341" s="137"/>
      <c r="W341" s="58" t="str" cm="1">
        <f>IFERROR(INDEX(List_Predictors, INDEX(Array_PredictorsLookup,MATCH($A341,List_PredictorFacilities,0),(COLUMN()-1)/2), 1),"")</f>
        <v/>
      </c>
      <c r="X341" s="137"/>
      <c r="Y341" s="58" t="str" cm="1">
        <f>IFERROR(INDEX(List_Predictors, INDEX(Array_PredictorsLookup,MATCH($A341,List_PredictorFacilities,0),(COLUMN()-1)/2), 1),"")</f>
        <v/>
      </c>
      <c r="Z341" s="137"/>
      <c r="AA341" s="58" t="str" cm="1">
        <f>IFERROR(INDEX(List_Predictors, INDEX(Array_PredictorsLookup,MATCH($A341,List_PredictorFacilities,0),(COLUMN()-1)/2), 1),"")</f>
        <v/>
      </c>
      <c r="AB341" s="137"/>
      <c r="AC341" s="58" t="str" cm="1">
        <f>IFERROR(INDEX(List_Predictors, INDEX(Array_PredictorsLookup,MATCH($A341,List_PredictorFacilities,0),(COLUMN()-1)/2), 1),"")</f>
        <v/>
      </c>
      <c r="AD341" s="137"/>
      <c r="AE341" s="58" t="str" cm="1">
        <f>IFERROR(INDEX(List_Predictors, INDEX(Array_PredictorsLookup,MATCH($A341,List_PredictorFacilities,0),(COLUMN()-1)/2), 1),"")</f>
        <v/>
      </c>
      <c r="AF341" s="137"/>
    </row>
    <row r="342" spans="1:32" x14ac:dyDescent="0.3">
      <c r="A342" s="126"/>
      <c r="B342" s="141"/>
      <c r="C342" s="58" t="str" cm="1">
        <f>IFERROR(INDEX(List_Predictors, INDEX(Array_PredictorsLookup,MATCH($A342,List_PredictorFacilities,0),(COLUMN()-1)/2), 1),"")</f>
        <v/>
      </c>
      <c r="D342" s="137"/>
      <c r="E342" s="58" t="str" cm="1">
        <f>IFERROR(INDEX(List_Predictors, INDEX(Array_PredictorsLookup,MATCH($A342,List_PredictorFacilities,0),(COLUMN()-1)/2), 1),"")</f>
        <v/>
      </c>
      <c r="F342" s="137"/>
      <c r="G342" s="58" t="str" cm="1">
        <f>IFERROR(INDEX(List_Predictors, INDEX(Array_PredictorsLookup,MATCH($A342,List_PredictorFacilities,0),(COLUMN()-1)/2), 1),"")</f>
        <v/>
      </c>
      <c r="H342" s="137"/>
      <c r="I342" s="58" t="str" cm="1">
        <f>IFERROR(INDEX(List_Predictors, INDEX(Array_PredictorsLookup,MATCH($A342,List_PredictorFacilities,0),(COLUMN()-1)/2), 1),"")</f>
        <v/>
      </c>
      <c r="J342" s="137"/>
      <c r="K342" s="58" t="str" cm="1">
        <f>IFERROR(INDEX(List_Predictors, INDEX(Array_PredictorsLookup,MATCH($A342,List_PredictorFacilities,0),(COLUMN()-1)/2), 1),"")</f>
        <v/>
      </c>
      <c r="L342" s="137"/>
      <c r="M342" s="58" t="str" cm="1">
        <f>IFERROR(INDEX(List_Predictors, INDEX(Array_PredictorsLookup,MATCH($A342,List_PredictorFacilities,0),(COLUMN()-1)/2), 1),"")</f>
        <v/>
      </c>
      <c r="N342" s="137"/>
      <c r="O342" s="58" t="str" cm="1">
        <f>IFERROR(INDEX(List_Predictors, INDEX(Array_PredictorsLookup,MATCH($A342,List_PredictorFacilities,0),(COLUMN()-1)/2), 1),"")</f>
        <v/>
      </c>
      <c r="P342" s="137"/>
      <c r="Q342" s="58" t="str" cm="1">
        <f>IFERROR(INDEX(List_Predictors, INDEX(Array_PredictorsLookup,MATCH($A342,List_PredictorFacilities,0),(COLUMN()-1)/2), 1),"")</f>
        <v/>
      </c>
      <c r="R342" s="137"/>
      <c r="S342" s="58" t="str" cm="1">
        <f>IFERROR(INDEX(List_Predictors, INDEX(Array_PredictorsLookup,MATCH($A342,List_PredictorFacilities,0),(COLUMN()-1)/2), 1),"")</f>
        <v/>
      </c>
      <c r="T342" s="137"/>
      <c r="U342" s="58" t="str" cm="1">
        <f>IFERROR(INDEX(List_Predictors, INDEX(Array_PredictorsLookup,MATCH($A342,List_PredictorFacilities,0),(COLUMN()-1)/2), 1),"")</f>
        <v/>
      </c>
      <c r="V342" s="137"/>
      <c r="W342" s="58" t="str" cm="1">
        <f>IFERROR(INDEX(List_Predictors, INDEX(Array_PredictorsLookup,MATCH($A342,List_PredictorFacilities,0),(COLUMN()-1)/2), 1),"")</f>
        <v/>
      </c>
      <c r="X342" s="137"/>
      <c r="Y342" s="58" t="str" cm="1">
        <f>IFERROR(INDEX(List_Predictors, INDEX(Array_PredictorsLookup,MATCH($A342,List_PredictorFacilities,0),(COLUMN()-1)/2), 1),"")</f>
        <v/>
      </c>
      <c r="Z342" s="137"/>
      <c r="AA342" s="58" t="str" cm="1">
        <f>IFERROR(INDEX(List_Predictors, INDEX(Array_PredictorsLookup,MATCH($A342,List_PredictorFacilities,0),(COLUMN()-1)/2), 1),"")</f>
        <v/>
      </c>
      <c r="AB342" s="137"/>
      <c r="AC342" s="58" t="str" cm="1">
        <f>IFERROR(INDEX(List_Predictors, INDEX(Array_PredictorsLookup,MATCH($A342,List_PredictorFacilities,0),(COLUMN()-1)/2), 1),"")</f>
        <v/>
      </c>
      <c r="AD342" s="137"/>
      <c r="AE342" s="58" t="str" cm="1">
        <f>IFERROR(INDEX(List_Predictors, INDEX(Array_PredictorsLookup,MATCH($A342,List_PredictorFacilities,0),(COLUMN()-1)/2), 1),"")</f>
        <v/>
      </c>
      <c r="AF342" s="137"/>
    </row>
    <row r="343" spans="1:32" x14ac:dyDescent="0.3">
      <c r="A343" s="126"/>
      <c r="B343" s="141"/>
      <c r="C343" s="58" t="str" cm="1">
        <f>IFERROR(INDEX(List_Predictors, INDEX(Array_PredictorsLookup,MATCH($A343,List_PredictorFacilities,0),(COLUMN()-1)/2), 1),"")</f>
        <v/>
      </c>
      <c r="D343" s="137"/>
      <c r="E343" s="58" t="str" cm="1">
        <f>IFERROR(INDEX(List_Predictors, INDEX(Array_PredictorsLookup,MATCH($A343,List_PredictorFacilities,0),(COLUMN()-1)/2), 1),"")</f>
        <v/>
      </c>
      <c r="F343" s="137"/>
      <c r="G343" s="58" t="str" cm="1">
        <f>IFERROR(INDEX(List_Predictors, INDEX(Array_PredictorsLookup,MATCH($A343,List_PredictorFacilities,0),(COLUMN()-1)/2), 1),"")</f>
        <v/>
      </c>
      <c r="H343" s="137"/>
      <c r="I343" s="58" t="str" cm="1">
        <f>IFERROR(INDEX(List_Predictors, INDEX(Array_PredictorsLookup,MATCH($A343,List_PredictorFacilities,0),(COLUMN()-1)/2), 1),"")</f>
        <v/>
      </c>
      <c r="J343" s="137"/>
      <c r="K343" s="58" t="str" cm="1">
        <f>IFERROR(INDEX(List_Predictors, INDEX(Array_PredictorsLookup,MATCH($A343,List_PredictorFacilities,0),(COLUMN()-1)/2), 1),"")</f>
        <v/>
      </c>
      <c r="L343" s="137"/>
      <c r="M343" s="58" t="str" cm="1">
        <f>IFERROR(INDEX(List_Predictors, INDEX(Array_PredictorsLookup,MATCH($A343,List_PredictorFacilities,0),(COLUMN()-1)/2), 1),"")</f>
        <v/>
      </c>
      <c r="N343" s="137"/>
      <c r="O343" s="58" t="str" cm="1">
        <f>IFERROR(INDEX(List_Predictors, INDEX(Array_PredictorsLookup,MATCH($A343,List_PredictorFacilities,0),(COLUMN()-1)/2), 1),"")</f>
        <v/>
      </c>
      <c r="P343" s="137"/>
      <c r="Q343" s="58" t="str" cm="1">
        <f>IFERROR(INDEX(List_Predictors, INDEX(Array_PredictorsLookup,MATCH($A343,List_PredictorFacilities,0),(COLUMN()-1)/2), 1),"")</f>
        <v/>
      </c>
      <c r="R343" s="137"/>
      <c r="S343" s="58" t="str" cm="1">
        <f>IFERROR(INDEX(List_Predictors, INDEX(Array_PredictorsLookup,MATCH($A343,List_PredictorFacilities,0),(COLUMN()-1)/2), 1),"")</f>
        <v/>
      </c>
      <c r="T343" s="137"/>
      <c r="U343" s="58" t="str" cm="1">
        <f>IFERROR(INDEX(List_Predictors, INDEX(Array_PredictorsLookup,MATCH($A343,List_PredictorFacilities,0),(COLUMN()-1)/2), 1),"")</f>
        <v/>
      </c>
      <c r="V343" s="137"/>
      <c r="W343" s="58" t="str" cm="1">
        <f>IFERROR(INDEX(List_Predictors, INDEX(Array_PredictorsLookup,MATCH($A343,List_PredictorFacilities,0),(COLUMN()-1)/2), 1),"")</f>
        <v/>
      </c>
      <c r="X343" s="137"/>
      <c r="Y343" s="58" t="str" cm="1">
        <f>IFERROR(INDEX(List_Predictors, INDEX(Array_PredictorsLookup,MATCH($A343,List_PredictorFacilities,0),(COLUMN()-1)/2), 1),"")</f>
        <v/>
      </c>
      <c r="Z343" s="137"/>
      <c r="AA343" s="58" t="str" cm="1">
        <f>IFERROR(INDEX(List_Predictors, INDEX(Array_PredictorsLookup,MATCH($A343,List_PredictorFacilities,0),(COLUMN()-1)/2), 1),"")</f>
        <v/>
      </c>
      <c r="AB343" s="137"/>
      <c r="AC343" s="58" t="str" cm="1">
        <f>IFERROR(INDEX(List_Predictors, INDEX(Array_PredictorsLookup,MATCH($A343,List_PredictorFacilities,0),(COLUMN()-1)/2), 1),"")</f>
        <v/>
      </c>
      <c r="AD343" s="137"/>
      <c r="AE343" s="58" t="str" cm="1">
        <f>IFERROR(INDEX(List_Predictors, INDEX(Array_PredictorsLookup,MATCH($A343,List_PredictorFacilities,0),(COLUMN()-1)/2), 1),"")</f>
        <v/>
      </c>
      <c r="AF343" s="137"/>
    </row>
    <row r="344" spans="1:32" x14ac:dyDescent="0.3">
      <c r="A344" s="126"/>
      <c r="B344" s="141"/>
      <c r="C344" s="58" t="str" cm="1">
        <f>IFERROR(INDEX(List_Predictors, INDEX(Array_PredictorsLookup,MATCH($A344,List_PredictorFacilities,0),(COLUMN()-1)/2), 1),"")</f>
        <v/>
      </c>
      <c r="D344" s="137"/>
      <c r="E344" s="58" t="str" cm="1">
        <f>IFERROR(INDEX(List_Predictors, INDEX(Array_PredictorsLookup,MATCH($A344,List_PredictorFacilities,0),(COLUMN()-1)/2), 1),"")</f>
        <v/>
      </c>
      <c r="F344" s="137"/>
      <c r="G344" s="58" t="str" cm="1">
        <f>IFERROR(INDEX(List_Predictors, INDEX(Array_PredictorsLookup,MATCH($A344,List_PredictorFacilities,0),(COLUMN()-1)/2), 1),"")</f>
        <v/>
      </c>
      <c r="H344" s="137"/>
      <c r="I344" s="58" t="str" cm="1">
        <f>IFERROR(INDEX(List_Predictors, INDEX(Array_PredictorsLookup,MATCH($A344,List_PredictorFacilities,0),(COLUMN()-1)/2), 1),"")</f>
        <v/>
      </c>
      <c r="J344" s="137"/>
      <c r="K344" s="58" t="str" cm="1">
        <f>IFERROR(INDEX(List_Predictors, INDEX(Array_PredictorsLookup,MATCH($A344,List_PredictorFacilities,0),(COLUMN()-1)/2), 1),"")</f>
        <v/>
      </c>
      <c r="L344" s="137"/>
      <c r="M344" s="58" t="str" cm="1">
        <f>IFERROR(INDEX(List_Predictors, INDEX(Array_PredictorsLookup,MATCH($A344,List_PredictorFacilities,0),(COLUMN()-1)/2), 1),"")</f>
        <v/>
      </c>
      <c r="N344" s="137"/>
      <c r="O344" s="58" t="str" cm="1">
        <f>IFERROR(INDEX(List_Predictors, INDEX(Array_PredictorsLookup,MATCH($A344,List_PredictorFacilities,0),(COLUMN()-1)/2), 1),"")</f>
        <v/>
      </c>
      <c r="P344" s="137"/>
      <c r="Q344" s="58" t="str" cm="1">
        <f>IFERROR(INDEX(List_Predictors, INDEX(Array_PredictorsLookup,MATCH($A344,List_PredictorFacilities,0),(COLUMN()-1)/2), 1),"")</f>
        <v/>
      </c>
      <c r="R344" s="137"/>
      <c r="S344" s="58" t="str" cm="1">
        <f>IFERROR(INDEX(List_Predictors, INDEX(Array_PredictorsLookup,MATCH($A344,List_PredictorFacilities,0),(COLUMN()-1)/2), 1),"")</f>
        <v/>
      </c>
      <c r="T344" s="137"/>
      <c r="U344" s="58" t="str" cm="1">
        <f>IFERROR(INDEX(List_Predictors, INDEX(Array_PredictorsLookup,MATCH($A344,List_PredictorFacilities,0),(COLUMN()-1)/2), 1),"")</f>
        <v/>
      </c>
      <c r="V344" s="137"/>
      <c r="W344" s="58" t="str" cm="1">
        <f>IFERROR(INDEX(List_Predictors, INDEX(Array_PredictorsLookup,MATCH($A344,List_PredictorFacilities,0),(COLUMN()-1)/2), 1),"")</f>
        <v/>
      </c>
      <c r="X344" s="137"/>
      <c r="Y344" s="58" t="str" cm="1">
        <f>IFERROR(INDEX(List_Predictors, INDEX(Array_PredictorsLookup,MATCH($A344,List_PredictorFacilities,0),(COLUMN()-1)/2), 1),"")</f>
        <v/>
      </c>
      <c r="Z344" s="137"/>
      <c r="AA344" s="58" t="str" cm="1">
        <f>IFERROR(INDEX(List_Predictors, INDEX(Array_PredictorsLookup,MATCH($A344,List_PredictorFacilities,0),(COLUMN()-1)/2), 1),"")</f>
        <v/>
      </c>
      <c r="AB344" s="137"/>
      <c r="AC344" s="58" t="str" cm="1">
        <f>IFERROR(INDEX(List_Predictors, INDEX(Array_PredictorsLookup,MATCH($A344,List_PredictorFacilities,0),(COLUMN()-1)/2), 1),"")</f>
        <v/>
      </c>
      <c r="AD344" s="137"/>
      <c r="AE344" s="58" t="str" cm="1">
        <f>IFERROR(INDEX(List_Predictors, INDEX(Array_PredictorsLookup,MATCH($A344,List_PredictorFacilities,0),(COLUMN()-1)/2), 1),"")</f>
        <v/>
      </c>
      <c r="AF344" s="137"/>
    </row>
    <row r="345" spans="1:32" x14ac:dyDescent="0.3">
      <c r="A345" s="126"/>
      <c r="B345" s="141"/>
      <c r="C345" s="58" t="str" cm="1">
        <f>IFERROR(INDEX(List_Predictors, INDEX(Array_PredictorsLookup,MATCH($A345,List_PredictorFacilities,0),(COLUMN()-1)/2), 1),"")</f>
        <v/>
      </c>
      <c r="D345" s="137"/>
      <c r="E345" s="58" t="str" cm="1">
        <f>IFERROR(INDEX(List_Predictors, INDEX(Array_PredictorsLookup,MATCH($A345,List_PredictorFacilities,0),(COLUMN()-1)/2), 1),"")</f>
        <v/>
      </c>
      <c r="F345" s="137"/>
      <c r="G345" s="58" t="str" cm="1">
        <f>IFERROR(INDEX(List_Predictors, INDEX(Array_PredictorsLookup,MATCH($A345,List_PredictorFacilities,0),(COLUMN()-1)/2), 1),"")</f>
        <v/>
      </c>
      <c r="H345" s="137"/>
      <c r="I345" s="58" t="str" cm="1">
        <f>IFERROR(INDEX(List_Predictors, INDEX(Array_PredictorsLookup,MATCH($A345,List_PredictorFacilities,0),(COLUMN()-1)/2), 1),"")</f>
        <v/>
      </c>
      <c r="J345" s="137"/>
      <c r="K345" s="58" t="str" cm="1">
        <f>IFERROR(INDEX(List_Predictors, INDEX(Array_PredictorsLookup,MATCH($A345,List_PredictorFacilities,0),(COLUMN()-1)/2), 1),"")</f>
        <v/>
      </c>
      <c r="L345" s="137"/>
      <c r="M345" s="58" t="str" cm="1">
        <f>IFERROR(INDEX(List_Predictors, INDEX(Array_PredictorsLookup,MATCH($A345,List_PredictorFacilities,0),(COLUMN()-1)/2), 1),"")</f>
        <v/>
      </c>
      <c r="N345" s="137"/>
      <c r="O345" s="58" t="str" cm="1">
        <f>IFERROR(INDEX(List_Predictors, INDEX(Array_PredictorsLookup,MATCH($A345,List_PredictorFacilities,0),(COLUMN()-1)/2), 1),"")</f>
        <v/>
      </c>
      <c r="P345" s="137"/>
      <c r="Q345" s="58" t="str" cm="1">
        <f>IFERROR(INDEX(List_Predictors, INDEX(Array_PredictorsLookup,MATCH($A345,List_PredictorFacilities,0),(COLUMN()-1)/2), 1),"")</f>
        <v/>
      </c>
      <c r="R345" s="137"/>
      <c r="S345" s="58" t="str" cm="1">
        <f>IFERROR(INDEX(List_Predictors, INDEX(Array_PredictorsLookup,MATCH($A345,List_PredictorFacilities,0),(COLUMN()-1)/2), 1),"")</f>
        <v/>
      </c>
      <c r="T345" s="137"/>
      <c r="U345" s="58" t="str" cm="1">
        <f>IFERROR(INDEX(List_Predictors, INDEX(Array_PredictorsLookup,MATCH($A345,List_PredictorFacilities,0),(COLUMN()-1)/2), 1),"")</f>
        <v/>
      </c>
      <c r="V345" s="137"/>
      <c r="W345" s="58" t="str" cm="1">
        <f>IFERROR(INDEX(List_Predictors, INDEX(Array_PredictorsLookup,MATCH($A345,List_PredictorFacilities,0),(COLUMN()-1)/2), 1),"")</f>
        <v/>
      </c>
      <c r="X345" s="137"/>
      <c r="Y345" s="58" t="str" cm="1">
        <f>IFERROR(INDEX(List_Predictors, INDEX(Array_PredictorsLookup,MATCH($A345,List_PredictorFacilities,0),(COLUMN()-1)/2), 1),"")</f>
        <v/>
      </c>
      <c r="Z345" s="137"/>
      <c r="AA345" s="58" t="str" cm="1">
        <f>IFERROR(INDEX(List_Predictors, INDEX(Array_PredictorsLookup,MATCH($A345,List_PredictorFacilities,0),(COLUMN()-1)/2), 1),"")</f>
        <v/>
      </c>
      <c r="AB345" s="137"/>
      <c r="AC345" s="58" t="str" cm="1">
        <f>IFERROR(INDEX(List_Predictors, INDEX(Array_PredictorsLookup,MATCH($A345,List_PredictorFacilities,0),(COLUMN()-1)/2), 1),"")</f>
        <v/>
      </c>
      <c r="AD345" s="137"/>
      <c r="AE345" s="58" t="str" cm="1">
        <f>IFERROR(INDEX(List_Predictors, INDEX(Array_PredictorsLookup,MATCH($A345,List_PredictorFacilities,0),(COLUMN()-1)/2), 1),"")</f>
        <v/>
      </c>
      <c r="AF345" s="137"/>
    </row>
    <row r="346" spans="1:32" x14ac:dyDescent="0.3">
      <c r="A346" s="126"/>
      <c r="B346" s="141"/>
      <c r="C346" s="58" t="str" cm="1">
        <f>IFERROR(INDEX(List_Predictors, INDEX(Array_PredictorsLookup,MATCH($A346,List_PredictorFacilities,0),(COLUMN()-1)/2), 1),"")</f>
        <v/>
      </c>
      <c r="D346" s="137"/>
      <c r="E346" s="58" t="str" cm="1">
        <f>IFERROR(INDEX(List_Predictors, INDEX(Array_PredictorsLookup,MATCH($A346,List_PredictorFacilities,0),(COLUMN()-1)/2), 1),"")</f>
        <v/>
      </c>
      <c r="F346" s="137"/>
      <c r="G346" s="58" t="str" cm="1">
        <f>IFERROR(INDEX(List_Predictors, INDEX(Array_PredictorsLookup,MATCH($A346,List_PredictorFacilities,0),(COLUMN()-1)/2), 1),"")</f>
        <v/>
      </c>
      <c r="H346" s="137"/>
      <c r="I346" s="58" t="str" cm="1">
        <f>IFERROR(INDEX(List_Predictors, INDEX(Array_PredictorsLookup,MATCH($A346,List_PredictorFacilities,0),(COLUMN()-1)/2), 1),"")</f>
        <v/>
      </c>
      <c r="J346" s="137"/>
      <c r="K346" s="58" t="str" cm="1">
        <f>IFERROR(INDEX(List_Predictors, INDEX(Array_PredictorsLookup,MATCH($A346,List_PredictorFacilities,0),(COLUMN()-1)/2), 1),"")</f>
        <v/>
      </c>
      <c r="L346" s="137"/>
      <c r="M346" s="58" t="str" cm="1">
        <f>IFERROR(INDEX(List_Predictors, INDEX(Array_PredictorsLookup,MATCH($A346,List_PredictorFacilities,0),(COLUMN()-1)/2), 1),"")</f>
        <v/>
      </c>
      <c r="N346" s="137"/>
      <c r="O346" s="58" t="str" cm="1">
        <f>IFERROR(INDEX(List_Predictors, INDEX(Array_PredictorsLookup,MATCH($A346,List_PredictorFacilities,0),(COLUMN()-1)/2), 1),"")</f>
        <v/>
      </c>
      <c r="P346" s="137"/>
      <c r="Q346" s="58" t="str" cm="1">
        <f>IFERROR(INDEX(List_Predictors, INDEX(Array_PredictorsLookup,MATCH($A346,List_PredictorFacilities,0),(COLUMN()-1)/2), 1),"")</f>
        <v/>
      </c>
      <c r="R346" s="137"/>
      <c r="S346" s="58" t="str" cm="1">
        <f>IFERROR(INDEX(List_Predictors, INDEX(Array_PredictorsLookup,MATCH($A346,List_PredictorFacilities,0),(COLUMN()-1)/2), 1),"")</f>
        <v/>
      </c>
      <c r="T346" s="137"/>
      <c r="U346" s="58" t="str" cm="1">
        <f>IFERROR(INDEX(List_Predictors, INDEX(Array_PredictorsLookup,MATCH($A346,List_PredictorFacilities,0),(COLUMN()-1)/2), 1),"")</f>
        <v/>
      </c>
      <c r="V346" s="137"/>
      <c r="W346" s="58" t="str" cm="1">
        <f>IFERROR(INDEX(List_Predictors, INDEX(Array_PredictorsLookup,MATCH($A346,List_PredictorFacilities,0),(COLUMN()-1)/2), 1),"")</f>
        <v/>
      </c>
      <c r="X346" s="137"/>
      <c r="Y346" s="58" t="str" cm="1">
        <f>IFERROR(INDEX(List_Predictors, INDEX(Array_PredictorsLookup,MATCH($A346,List_PredictorFacilities,0),(COLUMN()-1)/2), 1),"")</f>
        <v/>
      </c>
      <c r="Z346" s="137"/>
      <c r="AA346" s="58" t="str" cm="1">
        <f>IFERROR(INDEX(List_Predictors, INDEX(Array_PredictorsLookup,MATCH($A346,List_PredictorFacilities,0),(COLUMN()-1)/2), 1),"")</f>
        <v/>
      </c>
      <c r="AB346" s="137"/>
      <c r="AC346" s="58" t="str" cm="1">
        <f>IFERROR(INDEX(List_Predictors, INDEX(Array_PredictorsLookup,MATCH($A346,List_PredictorFacilities,0),(COLUMN()-1)/2), 1),"")</f>
        <v/>
      </c>
      <c r="AD346" s="137"/>
      <c r="AE346" s="58" t="str" cm="1">
        <f>IFERROR(INDEX(List_Predictors, INDEX(Array_PredictorsLookup,MATCH($A346,List_PredictorFacilities,0),(COLUMN()-1)/2), 1),"")</f>
        <v/>
      </c>
      <c r="AF346" s="137"/>
    </row>
    <row r="347" spans="1:32" x14ac:dyDescent="0.3">
      <c r="A347" s="126"/>
      <c r="B347" s="141"/>
      <c r="C347" s="58" t="str" cm="1">
        <f>IFERROR(INDEX(List_Predictors, INDEX(Array_PredictorsLookup,MATCH($A347,List_PredictorFacilities,0),(COLUMN()-1)/2), 1),"")</f>
        <v/>
      </c>
      <c r="D347" s="137"/>
      <c r="E347" s="58" t="str" cm="1">
        <f>IFERROR(INDEX(List_Predictors, INDEX(Array_PredictorsLookup,MATCH($A347,List_PredictorFacilities,0),(COLUMN()-1)/2), 1),"")</f>
        <v/>
      </c>
      <c r="F347" s="137"/>
      <c r="G347" s="58" t="str" cm="1">
        <f>IFERROR(INDEX(List_Predictors, INDEX(Array_PredictorsLookup,MATCH($A347,List_PredictorFacilities,0),(COLUMN()-1)/2), 1),"")</f>
        <v/>
      </c>
      <c r="H347" s="137"/>
      <c r="I347" s="58" t="str" cm="1">
        <f>IFERROR(INDEX(List_Predictors, INDEX(Array_PredictorsLookup,MATCH($A347,List_PredictorFacilities,0),(COLUMN()-1)/2), 1),"")</f>
        <v/>
      </c>
      <c r="J347" s="137"/>
      <c r="K347" s="58" t="str" cm="1">
        <f>IFERROR(INDEX(List_Predictors, INDEX(Array_PredictorsLookup,MATCH($A347,List_PredictorFacilities,0),(COLUMN()-1)/2), 1),"")</f>
        <v/>
      </c>
      <c r="L347" s="137"/>
      <c r="M347" s="58" t="str" cm="1">
        <f>IFERROR(INDEX(List_Predictors, INDEX(Array_PredictorsLookup,MATCH($A347,List_PredictorFacilities,0),(COLUMN()-1)/2), 1),"")</f>
        <v/>
      </c>
      <c r="N347" s="137"/>
      <c r="O347" s="58" t="str" cm="1">
        <f>IFERROR(INDEX(List_Predictors, INDEX(Array_PredictorsLookup,MATCH($A347,List_PredictorFacilities,0),(COLUMN()-1)/2), 1),"")</f>
        <v/>
      </c>
      <c r="P347" s="137"/>
      <c r="Q347" s="58" t="str" cm="1">
        <f>IFERROR(INDEX(List_Predictors, INDEX(Array_PredictorsLookup,MATCH($A347,List_PredictorFacilities,0),(COLUMN()-1)/2), 1),"")</f>
        <v/>
      </c>
      <c r="R347" s="137"/>
      <c r="S347" s="58" t="str" cm="1">
        <f>IFERROR(INDEX(List_Predictors, INDEX(Array_PredictorsLookup,MATCH($A347,List_PredictorFacilities,0),(COLUMN()-1)/2), 1),"")</f>
        <v/>
      </c>
      <c r="T347" s="137"/>
      <c r="U347" s="58" t="str" cm="1">
        <f>IFERROR(INDEX(List_Predictors, INDEX(Array_PredictorsLookup,MATCH($A347,List_PredictorFacilities,0),(COLUMN()-1)/2), 1),"")</f>
        <v/>
      </c>
      <c r="V347" s="137"/>
      <c r="W347" s="58" t="str" cm="1">
        <f>IFERROR(INDEX(List_Predictors, INDEX(Array_PredictorsLookup,MATCH($A347,List_PredictorFacilities,0),(COLUMN()-1)/2), 1),"")</f>
        <v/>
      </c>
      <c r="X347" s="137"/>
      <c r="Y347" s="58" t="str" cm="1">
        <f>IFERROR(INDEX(List_Predictors, INDEX(Array_PredictorsLookup,MATCH($A347,List_PredictorFacilities,0),(COLUMN()-1)/2), 1),"")</f>
        <v/>
      </c>
      <c r="Z347" s="137"/>
      <c r="AA347" s="58" t="str" cm="1">
        <f>IFERROR(INDEX(List_Predictors, INDEX(Array_PredictorsLookup,MATCH($A347,List_PredictorFacilities,0),(COLUMN()-1)/2), 1),"")</f>
        <v/>
      </c>
      <c r="AB347" s="137"/>
      <c r="AC347" s="58" t="str" cm="1">
        <f>IFERROR(INDEX(List_Predictors, INDEX(Array_PredictorsLookup,MATCH($A347,List_PredictorFacilities,0),(COLUMN()-1)/2), 1),"")</f>
        <v/>
      </c>
      <c r="AD347" s="137"/>
      <c r="AE347" s="58" t="str" cm="1">
        <f>IFERROR(INDEX(List_Predictors, INDEX(Array_PredictorsLookup,MATCH($A347,List_PredictorFacilities,0),(COLUMN()-1)/2), 1),"")</f>
        <v/>
      </c>
      <c r="AF347" s="137"/>
    </row>
    <row r="348" spans="1:32" x14ac:dyDescent="0.3">
      <c r="A348" s="126"/>
      <c r="B348" s="141"/>
      <c r="C348" s="58" t="str" cm="1">
        <f>IFERROR(INDEX(List_Predictors, INDEX(Array_PredictorsLookup,MATCH($A348,List_PredictorFacilities,0),(COLUMN()-1)/2), 1),"")</f>
        <v/>
      </c>
      <c r="D348" s="137"/>
      <c r="E348" s="58" t="str" cm="1">
        <f>IFERROR(INDEX(List_Predictors, INDEX(Array_PredictorsLookup,MATCH($A348,List_PredictorFacilities,0),(COLUMN()-1)/2), 1),"")</f>
        <v/>
      </c>
      <c r="F348" s="137"/>
      <c r="G348" s="58" t="str" cm="1">
        <f>IFERROR(INDEX(List_Predictors, INDEX(Array_PredictorsLookup,MATCH($A348,List_PredictorFacilities,0),(COLUMN()-1)/2), 1),"")</f>
        <v/>
      </c>
      <c r="H348" s="137"/>
      <c r="I348" s="58" t="str" cm="1">
        <f>IFERROR(INDEX(List_Predictors, INDEX(Array_PredictorsLookup,MATCH($A348,List_PredictorFacilities,0),(COLUMN()-1)/2), 1),"")</f>
        <v/>
      </c>
      <c r="J348" s="137"/>
      <c r="K348" s="58" t="str" cm="1">
        <f>IFERROR(INDEX(List_Predictors, INDEX(Array_PredictorsLookup,MATCH($A348,List_PredictorFacilities,0),(COLUMN()-1)/2), 1),"")</f>
        <v/>
      </c>
      <c r="L348" s="137"/>
      <c r="M348" s="58" t="str" cm="1">
        <f>IFERROR(INDEX(List_Predictors, INDEX(Array_PredictorsLookup,MATCH($A348,List_PredictorFacilities,0),(COLUMN()-1)/2), 1),"")</f>
        <v/>
      </c>
      <c r="N348" s="137"/>
      <c r="O348" s="58" t="str" cm="1">
        <f>IFERROR(INDEX(List_Predictors, INDEX(Array_PredictorsLookup,MATCH($A348,List_PredictorFacilities,0),(COLUMN()-1)/2), 1),"")</f>
        <v/>
      </c>
      <c r="P348" s="137"/>
      <c r="Q348" s="58" t="str" cm="1">
        <f>IFERROR(INDEX(List_Predictors, INDEX(Array_PredictorsLookup,MATCH($A348,List_PredictorFacilities,0),(COLUMN()-1)/2), 1),"")</f>
        <v/>
      </c>
      <c r="R348" s="137"/>
      <c r="S348" s="58" t="str" cm="1">
        <f>IFERROR(INDEX(List_Predictors, INDEX(Array_PredictorsLookup,MATCH($A348,List_PredictorFacilities,0),(COLUMN()-1)/2), 1),"")</f>
        <v/>
      </c>
      <c r="T348" s="137"/>
      <c r="U348" s="58" t="str" cm="1">
        <f>IFERROR(INDEX(List_Predictors, INDEX(Array_PredictorsLookup,MATCH($A348,List_PredictorFacilities,0),(COLUMN()-1)/2), 1),"")</f>
        <v/>
      </c>
      <c r="V348" s="137"/>
      <c r="W348" s="58" t="str" cm="1">
        <f>IFERROR(INDEX(List_Predictors, INDEX(Array_PredictorsLookup,MATCH($A348,List_PredictorFacilities,0),(COLUMN()-1)/2), 1),"")</f>
        <v/>
      </c>
      <c r="X348" s="137"/>
      <c r="Y348" s="58" t="str" cm="1">
        <f>IFERROR(INDEX(List_Predictors, INDEX(Array_PredictorsLookup,MATCH($A348,List_PredictorFacilities,0),(COLUMN()-1)/2), 1),"")</f>
        <v/>
      </c>
      <c r="Z348" s="137"/>
      <c r="AA348" s="58" t="str" cm="1">
        <f>IFERROR(INDEX(List_Predictors, INDEX(Array_PredictorsLookup,MATCH($A348,List_PredictorFacilities,0),(COLUMN()-1)/2), 1),"")</f>
        <v/>
      </c>
      <c r="AB348" s="137"/>
      <c r="AC348" s="58" t="str" cm="1">
        <f>IFERROR(INDEX(List_Predictors, INDEX(Array_PredictorsLookup,MATCH($A348,List_PredictorFacilities,0),(COLUMN()-1)/2), 1),"")</f>
        <v/>
      </c>
      <c r="AD348" s="137"/>
      <c r="AE348" s="58" t="str" cm="1">
        <f>IFERROR(INDEX(List_Predictors, INDEX(Array_PredictorsLookup,MATCH($A348,List_PredictorFacilities,0),(COLUMN()-1)/2), 1),"")</f>
        <v/>
      </c>
      <c r="AF348" s="137"/>
    </row>
    <row r="349" spans="1:32" x14ac:dyDescent="0.3">
      <c r="A349" s="126"/>
      <c r="B349" s="141"/>
      <c r="C349" s="58" t="str" cm="1">
        <f>IFERROR(INDEX(List_Predictors, INDEX(Array_PredictorsLookup,MATCH($A349,List_PredictorFacilities,0),(COLUMN()-1)/2), 1),"")</f>
        <v/>
      </c>
      <c r="D349" s="137"/>
      <c r="E349" s="58" t="str" cm="1">
        <f>IFERROR(INDEX(List_Predictors, INDEX(Array_PredictorsLookup,MATCH($A349,List_PredictorFacilities,0),(COLUMN()-1)/2), 1),"")</f>
        <v/>
      </c>
      <c r="F349" s="137"/>
      <c r="G349" s="58" t="str" cm="1">
        <f>IFERROR(INDEX(List_Predictors, INDEX(Array_PredictorsLookup,MATCH($A349,List_PredictorFacilities,0),(COLUMN()-1)/2), 1),"")</f>
        <v/>
      </c>
      <c r="H349" s="137"/>
      <c r="I349" s="58" t="str" cm="1">
        <f>IFERROR(INDEX(List_Predictors, INDEX(Array_PredictorsLookup,MATCH($A349,List_PredictorFacilities,0),(COLUMN()-1)/2), 1),"")</f>
        <v/>
      </c>
      <c r="J349" s="137"/>
      <c r="K349" s="58" t="str" cm="1">
        <f>IFERROR(INDEX(List_Predictors, INDEX(Array_PredictorsLookup,MATCH($A349,List_PredictorFacilities,0),(COLUMN()-1)/2), 1),"")</f>
        <v/>
      </c>
      <c r="L349" s="137"/>
      <c r="M349" s="58" t="str" cm="1">
        <f>IFERROR(INDEX(List_Predictors, INDEX(Array_PredictorsLookup,MATCH($A349,List_PredictorFacilities,0),(COLUMN()-1)/2), 1),"")</f>
        <v/>
      </c>
      <c r="N349" s="137"/>
      <c r="O349" s="58" t="str" cm="1">
        <f>IFERROR(INDEX(List_Predictors, INDEX(Array_PredictorsLookup,MATCH($A349,List_PredictorFacilities,0),(COLUMN()-1)/2), 1),"")</f>
        <v/>
      </c>
      <c r="P349" s="137"/>
      <c r="Q349" s="58" t="str" cm="1">
        <f>IFERROR(INDEX(List_Predictors, INDEX(Array_PredictorsLookup,MATCH($A349,List_PredictorFacilities,0),(COLUMN()-1)/2), 1),"")</f>
        <v/>
      </c>
      <c r="R349" s="137"/>
      <c r="S349" s="58" t="str" cm="1">
        <f>IFERROR(INDEX(List_Predictors, INDEX(Array_PredictorsLookup,MATCH($A349,List_PredictorFacilities,0),(COLUMN()-1)/2), 1),"")</f>
        <v/>
      </c>
      <c r="T349" s="137"/>
      <c r="U349" s="58" t="str" cm="1">
        <f>IFERROR(INDEX(List_Predictors, INDEX(Array_PredictorsLookup,MATCH($A349,List_PredictorFacilities,0),(COLUMN()-1)/2), 1),"")</f>
        <v/>
      </c>
      <c r="V349" s="137"/>
      <c r="W349" s="58" t="str" cm="1">
        <f>IFERROR(INDEX(List_Predictors, INDEX(Array_PredictorsLookup,MATCH($A349,List_PredictorFacilities,0),(COLUMN()-1)/2), 1),"")</f>
        <v/>
      </c>
      <c r="X349" s="137"/>
      <c r="Y349" s="58" t="str" cm="1">
        <f>IFERROR(INDEX(List_Predictors, INDEX(Array_PredictorsLookup,MATCH($A349,List_PredictorFacilities,0),(COLUMN()-1)/2), 1),"")</f>
        <v/>
      </c>
      <c r="Z349" s="137"/>
      <c r="AA349" s="58" t="str" cm="1">
        <f>IFERROR(INDEX(List_Predictors, INDEX(Array_PredictorsLookup,MATCH($A349,List_PredictorFacilities,0),(COLUMN()-1)/2), 1),"")</f>
        <v/>
      </c>
      <c r="AB349" s="137"/>
      <c r="AC349" s="58" t="str" cm="1">
        <f>IFERROR(INDEX(List_Predictors, INDEX(Array_PredictorsLookup,MATCH($A349,List_PredictorFacilities,0),(COLUMN()-1)/2), 1),"")</f>
        <v/>
      </c>
      <c r="AD349" s="137"/>
      <c r="AE349" s="58" t="str" cm="1">
        <f>IFERROR(INDEX(List_Predictors, INDEX(Array_PredictorsLookup,MATCH($A349,List_PredictorFacilities,0),(COLUMN()-1)/2), 1),"")</f>
        <v/>
      </c>
      <c r="AF349" s="137"/>
    </row>
    <row r="350" spans="1:32" x14ac:dyDescent="0.3">
      <c r="A350" s="126"/>
      <c r="B350" s="141"/>
      <c r="C350" s="58" t="str" cm="1">
        <f>IFERROR(INDEX(List_Predictors, INDEX(Array_PredictorsLookup,MATCH($A350,List_PredictorFacilities,0),(COLUMN()-1)/2), 1),"")</f>
        <v/>
      </c>
      <c r="D350" s="137"/>
      <c r="E350" s="58" t="str" cm="1">
        <f>IFERROR(INDEX(List_Predictors, INDEX(Array_PredictorsLookup,MATCH($A350,List_PredictorFacilities,0),(COLUMN()-1)/2), 1),"")</f>
        <v/>
      </c>
      <c r="F350" s="137"/>
      <c r="G350" s="58" t="str" cm="1">
        <f>IFERROR(INDEX(List_Predictors, INDEX(Array_PredictorsLookup,MATCH($A350,List_PredictorFacilities,0),(COLUMN()-1)/2), 1),"")</f>
        <v/>
      </c>
      <c r="H350" s="137"/>
      <c r="I350" s="58" t="str" cm="1">
        <f>IFERROR(INDEX(List_Predictors, INDEX(Array_PredictorsLookup,MATCH($A350,List_PredictorFacilities,0),(COLUMN()-1)/2), 1),"")</f>
        <v/>
      </c>
      <c r="J350" s="137"/>
      <c r="K350" s="58" t="str" cm="1">
        <f>IFERROR(INDEX(List_Predictors, INDEX(Array_PredictorsLookup,MATCH($A350,List_PredictorFacilities,0),(COLUMN()-1)/2), 1),"")</f>
        <v/>
      </c>
      <c r="L350" s="137"/>
      <c r="M350" s="58" t="str" cm="1">
        <f>IFERROR(INDEX(List_Predictors, INDEX(Array_PredictorsLookup,MATCH($A350,List_PredictorFacilities,0),(COLUMN()-1)/2), 1),"")</f>
        <v/>
      </c>
      <c r="N350" s="137"/>
      <c r="O350" s="58" t="str" cm="1">
        <f>IFERROR(INDEX(List_Predictors, INDEX(Array_PredictorsLookup,MATCH($A350,List_PredictorFacilities,0),(COLUMN()-1)/2), 1),"")</f>
        <v/>
      </c>
      <c r="P350" s="137"/>
      <c r="Q350" s="58" t="str" cm="1">
        <f>IFERROR(INDEX(List_Predictors, INDEX(Array_PredictorsLookup,MATCH($A350,List_PredictorFacilities,0),(COLUMN()-1)/2), 1),"")</f>
        <v/>
      </c>
      <c r="R350" s="137"/>
      <c r="S350" s="58" t="str" cm="1">
        <f>IFERROR(INDEX(List_Predictors, INDEX(Array_PredictorsLookup,MATCH($A350,List_PredictorFacilities,0),(COLUMN()-1)/2), 1),"")</f>
        <v/>
      </c>
      <c r="T350" s="137"/>
      <c r="U350" s="58" t="str" cm="1">
        <f>IFERROR(INDEX(List_Predictors, INDEX(Array_PredictorsLookup,MATCH($A350,List_PredictorFacilities,0),(COLUMN()-1)/2), 1),"")</f>
        <v/>
      </c>
      <c r="V350" s="137"/>
      <c r="W350" s="58" t="str" cm="1">
        <f>IFERROR(INDEX(List_Predictors, INDEX(Array_PredictorsLookup,MATCH($A350,List_PredictorFacilities,0),(COLUMN()-1)/2), 1),"")</f>
        <v/>
      </c>
      <c r="X350" s="137"/>
      <c r="Y350" s="58" t="str" cm="1">
        <f>IFERROR(INDEX(List_Predictors, INDEX(Array_PredictorsLookup,MATCH($A350,List_PredictorFacilities,0),(COLUMN()-1)/2), 1),"")</f>
        <v/>
      </c>
      <c r="Z350" s="137"/>
      <c r="AA350" s="58" t="str" cm="1">
        <f>IFERROR(INDEX(List_Predictors, INDEX(Array_PredictorsLookup,MATCH($A350,List_PredictorFacilities,0),(COLUMN()-1)/2), 1),"")</f>
        <v/>
      </c>
      <c r="AB350" s="137"/>
      <c r="AC350" s="58" t="str" cm="1">
        <f>IFERROR(INDEX(List_Predictors, INDEX(Array_PredictorsLookup,MATCH($A350,List_PredictorFacilities,0),(COLUMN()-1)/2), 1),"")</f>
        <v/>
      </c>
      <c r="AD350" s="137"/>
      <c r="AE350" s="58" t="str" cm="1">
        <f>IFERROR(INDEX(List_Predictors, INDEX(Array_PredictorsLookup,MATCH($A350,List_PredictorFacilities,0),(COLUMN()-1)/2), 1),"")</f>
        <v/>
      </c>
      <c r="AF350" s="137"/>
    </row>
    <row r="351" spans="1:32" x14ac:dyDescent="0.3">
      <c r="A351" s="126"/>
      <c r="B351" s="141"/>
      <c r="C351" s="58" t="str" cm="1">
        <f>IFERROR(INDEX(List_Predictors, INDEX(Array_PredictorsLookup,MATCH($A351,List_PredictorFacilities,0),(COLUMN()-1)/2), 1),"")</f>
        <v/>
      </c>
      <c r="D351" s="137"/>
      <c r="E351" s="58" t="str" cm="1">
        <f>IFERROR(INDEX(List_Predictors, INDEX(Array_PredictorsLookup,MATCH($A351,List_PredictorFacilities,0),(COLUMN()-1)/2), 1),"")</f>
        <v/>
      </c>
      <c r="F351" s="137"/>
      <c r="G351" s="58" t="str" cm="1">
        <f>IFERROR(INDEX(List_Predictors, INDEX(Array_PredictorsLookup,MATCH($A351,List_PredictorFacilities,0),(COLUMN()-1)/2), 1),"")</f>
        <v/>
      </c>
      <c r="H351" s="137"/>
      <c r="I351" s="58" t="str" cm="1">
        <f>IFERROR(INDEX(List_Predictors, INDEX(Array_PredictorsLookup,MATCH($A351,List_PredictorFacilities,0),(COLUMN()-1)/2), 1),"")</f>
        <v/>
      </c>
      <c r="J351" s="137"/>
      <c r="K351" s="58" t="str" cm="1">
        <f>IFERROR(INDEX(List_Predictors, INDEX(Array_PredictorsLookup,MATCH($A351,List_PredictorFacilities,0),(COLUMN()-1)/2), 1),"")</f>
        <v/>
      </c>
      <c r="L351" s="137"/>
      <c r="M351" s="58" t="str" cm="1">
        <f>IFERROR(INDEX(List_Predictors, INDEX(Array_PredictorsLookup,MATCH($A351,List_PredictorFacilities,0),(COLUMN()-1)/2), 1),"")</f>
        <v/>
      </c>
      <c r="N351" s="137"/>
      <c r="O351" s="58" t="str" cm="1">
        <f>IFERROR(INDEX(List_Predictors, INDEX(Array_PredictorsLookup,MATCH($A351,List_PredictorFacilities,0),(COLUMN()-1)/2), 1),"")</f>
        <v/>
      </c>
      <c r="P351" s="137"/>
      <c r="Q351" s="58" t="str" cm="1">
        <f>IFERROR(INDEX(List_Predictors, INDEX(Array_PredictorsLookup,MATCH($A351,List_PredictorFacilities,0),(COLUMN()-1)/2), 1),"")</f>
        <v/>
      </c>
      <c r="R351" s="137"/>
      <c r="S351" s="58" t="str" cm="1">
        <f>IFERROR(INDEX(List_Predictors, INDEX(Array_PredictorsLookup,MATCH($A351,List_PredictorFacilities,0),(COLUMN()-1)/2), 1),"")</f>
        <v/>
      </c>
      <c r="T351" s="137"/>
      <c r="U351" s="58" t="str" cm="1">
        <f>IFERROR(INDEX(List_Predictors, INDEX(Array_PredictorsLookup,MATCH($A351,List_PredictorFacilities,0),(COLUMN()-1)/2), 1),"")</f>
        <v/>
      </c>
      <c r="V351" s="137"/>
      <c r="W351" s="58" t="str" cm="1">
        <f>IFERROR(INDEX(List_Predictors, INDEX(Array_PredictorsLookup,MATCH($A351,List_PredictorFacilities,0),(COLUMN()-1)/2), 1),"")</f>
        <v/>
      </c>
      <c r="X351" s="137"/>
      <c r="Y351" s="58" t="str" cm="1">
        <f>IFERROR(INDEX(List_Predictors, INDEX(Array_PredictorsLookup,MATCH($A351,List_PredictorFacilities,0),(COLUMN()-1)/2), 1),"")</f>
        <v/>
      </c>
      <c r="Z351" s="137"/>
      <c r="AA351" s="58" t="str" cm="1">
        <f>IFERROR(INDEX(List_Predictors, INDEX(Array_PredictorsLookup,MATCH($A351,List_PredictorFacilities,0),(COLUMN()-1)/2), 1),"")</f>
        <v/>
      </c>
      <c r="AB351" s="137"/>
      <c r="AC351" s="58" t="str" cm="1">
        <f>IFERROR(INDEX(List_Predictors, INDEX(Array_PredictorsLookup,MATCH($A351,List_PredictorFacilities,0),(COLUMN()-1)/2), 1),"")</f>
        <v/>
      </c>
      <c r="AD351" s="137"/>
      <c r="AE351" s="58" t="str" cm="1">
        <f>IFERROR(INDEX(List_Predictors, INDEX(Array_PredictorsLookup,MATCH($A351,List_PredictorFacilities,0),(COLUMN()-1)/2), 1),"")</f>
        <v/>
      </c>
      <c r="AF351" s="137"/>
    </row>
    <row r="352" spans="1:32" x14ac:dyDescent="0.3">
      <c r="A352" s="126"/>
      <c r="B352" s="141"/>
      <c r="C352" s="58" t="str" cm="1">
        <f>IFERROR(INDEX(List_Predictors, INDEX(Array_PredictorsLookup,MATCH($A352,List_PredictorFacilities,0),(COLUMN()-1)/2), 1),"")</f>
        <v/>
      </c>
      <c r="D352" s="137"/>
      <c r="E352" s="58" t="str" cm="1">
        <f>IFERROR(INDEX(List_Predictors, INDEX(Array_PredictorsLookup,MATCH($A352,List_PredictorFacilities,0),(COLUMN()-1)/2), 1),"")</f>
        <v/>
      </c>
      <c r="F352" s="137"/>
      <c r="G352" s="58" t="str" cm="1">
        <f>IFERROR(INDEX(List_Predictors, INDEX(Array_PredictorsLookup,MATCH($A352,List_PredictorFacilities,0),(COLUMN()-1)/2), 1),"")</f>
        <v/>
      </c>
      <c r="H352" s="137"/>
      <c r="I352" s="58" t="str" cm="1">
        <f>IFERROR(INDEX(List_Predictors, INDEX(Array_PredictorsLookup,MATCH($A352,List_PredictorFacilities,0),(COLUMN()-1)/2), 1),"")</f>
        <v/>
      </c>
      <c r="J352" s="137"/>
      <c r="K352" s="58" t="str" cm="1">
        <f>IFERROR(INDEX(List_Predictors, INDEX(Array_PredictorsLookup,MATCH($A352,List_PredictorFacilities,0),(COLUMN()-1)/2), 1),"")</f>
        <v/>
      </c>
      <c r="L352" s="137"/>
      <c r="M352" s="58" t="str" cm="1">
        <f>IFERROR(INDEX(List_Predictors, INDEX(Array_PredictorsLookup,MATCH($A352,List_PredictorFacilities,0),(COLUMN()-1)/2), 1),"")</f>
        <v/>
      </c>
      <c r="N352" s="137"/>
      <c r="O352" s="58" t="str" cm="1">
        <f>IFERROR(INDEX(List_Predictors, INDEX(Array_PredictorsLookup,MATCH($A352,List_PredictorFacilities,0),(COLUMN()-1)/2), 1),"")</f>
        <v/>
      </c>
      <c r="P352" s="137"/>
      <c r="Q352" s="58" t="str" cm="1">
        <f>IFERROR(INDEX(List_Predictors, INDEX(Array_PredictorsLookup,MATCH($A352,List_PredictorFacilities,0),(COLUMN()-1)/2), 1),"")</f>
        <v/>
      </c>
      <c r="R352" s="137"/>
      <c r="S352" s="58" t="str" cm="1">
        <f>IFERROR(INDEX(List_Predictors, INDEX(Array_PredictorsLookup,MATCH($A352,List_PredictorFacilities,0),(COLUMN()-1)/2), 1),"")</f>
        <v/>
      </c>
      <c r="T352" s="137"/>
      <c r="U352" s="58" t="str" cm="1">
        <f>IFERROR(INDEX(List_Predictors, INDEX(Array_PredictorsLookup,MATCH($A352,List_PredictorFacilities,0),(COLUMN()-1)/2), 1),"")</f>
        <v/>
      </c>
      <c r="V352" s="137"/>
      <c r="W352" s="58" t="str" cm="1">
        <f>IFERROR(INDEX(List_Predictors, INDEX(Array_PredictorsLookup,MATCH($A352,List_PredictorFacilities,0),(COLUMN()-1)/2), 1),"")</f>
        <v/>
      </c>
      <c r="X352" s="137"/>
      <c r="Y352" s="58" t="str" cm="1">
        <f>IFERROR(INDEX(List_Predictors, INDEX(Array_PredictorsLookup,MATCH($A352,List_PredictorFacilities,0),(COLUMN()-1)/2), 1),"")</f>
        <v/>
      </c>
      <c r="Z352" s="137"/>
      <c r="AA352" s="58" t="str" cm="1">
        <f>IFERROR(INDEX(List_Predictors, INDEX(Array_PredictorsLookup,MATCH($A352,List_PredictorFacilities,0),(COLUMN()-1)/2), 1),"")</f>
        <v/>
      </c>
      <c r="AB352" s="137"/>
      <c r="AC352" s="58" t="str" cm="1">
        <f>IFERROR(INDEX(List_Predictors, INDEX(Array_PredictorsLookup,MATCH($A352,List_PredictorFacilities,0),(COLUMN()-1)/2), 1),"")</f>
        <v/>
      </c>
      <c r="AD352" s="137"/>
      <c r="AE352" s="58" t="str" cm="1">
        <f>IFERROR(INDEX(List_Predictors, INDEX(Array_PredictorsLookup,MATCH($A352,List_PredictorFacilities,0),(COLUMN()-1)/2), 1),"")</f>
        <v/>
      </c>
      <c r="AF352" s="137"/>
    </row>
    <row r="353" spans="1:32" x14ac:dyDescent="0.3">
      <c r="A353" s="126"/>
      <c r="B353" s="141"/>
      <c r="C353" s="58" t="str" cm="1">
        <f>IFERROR(INDEX(List_Predictors, INDEX(Array_PredictorsLookup,MATCH($A353,List_PredictorFacilities,0),(COLUMN()-1)/2), 1),"")</f>
        <v/>
      </c>
      <c r="D353" s="137"/>
      <c r="E353" s="58" t="str" cm="1">
        <f>IFERROR(INDEX(List_Predictors, INDEX(Array_PredictorsLookup,MATCH($A353,List_PredictorFacilities,0),(COLUMN()-1)/2), 1),"")</f>
        <v/>
      </c>
      <c r="F353" s="137"/>
      <c r="G353" s="58" t="str" cm="1">
        <f>IFERROR(INDEX(List_Predictors, INDEX(Array_PredictorsLookup,MATCH($A353,List_PredictorFacilities,0),(COLUMN()-1)/2), 1),"")</f>
        <v/>
      </c>
      <c r="H353" s="137"/>
      <c r="I353" s="58" t="str" cm="1">
        <f>IFERROR(INDEX(List_Predictors, INDEX(Array_PredictorsLookup,MATCH($A353,List_PredictorFacilities,0),(COLUMN()-1)/2), 1),"")</f>
        <v/>
      </c>
      <c r="J353" s="137"/>
      <c r="K353" s="58" t="str" cm="1">
        <f>IFERROR(INDEX(List_Predictors, INDEX(Array_PredictorsLookup,MATCH($A353,List_PredictorFacilities,0),(COLUMN()-1)/2), 1),"")</f>
        <v/>
      </c>
      <c r="L353" s="137"/>
      <c r="M353" s="58" t="str" cm="1">
        <f>IFERROR(INDEX(List_Predictors, INDEX(Array_PredictorsLookup,MATCH($A353,List_PredictorFacilities,0),(COLUMN()-1)/2), 1),"")</f>
        <v/>
      </c>
      <c r="N353" s="137"/>
      <c r="O353" s="58" t="str" cm="1">
        <f>IFERROR(INDEX(List_Predictors, INDEX(Array_PredictorsLookup,MATCH($A353,List_PredictorFacilities,0),(COLUMN()-1)/2), 1),"")</f>
        <v/>
      </c>
      <c r="P353" s="137"/>
      <c r="Q353" s="58" t="str" cm="1">
        <f>IFERROR(INDEX(List_Predictors, INDEX(Array_PredictorsLookup,MATCH($A353,List_PredictorFacilities,0),(COLUMN()-1)/2), 1),"")</f>
        <v/>
      </c>
      <c r="R353" s="137"/>
      <c r="S353" s="58" t="str" cm="1">
        <f>IFERROR(INDEX(List_Predictors, INDEX(Array_PredictorsLookup,MATCH($A353,List_PredictorFacilities,0),(COLUMN()-1)/2), 1),"")</f>
        <v/>
      </c>
      <c r="T353" s="137"/>
      <c r="U353" s="58" t="str" cm="1">
        <f>IFERROR(INDEX(List_Predictors, INDEX(Array_PredictorsLookup,MATCH($A353,List_PredictorFacilities,0),(COLUMN()-1)/2), 1),"")</f>
        <v/>
      </c>
      <c r="V353" s="137"/>
      <c r="W353" s="58" t="str" cm="1">
        <f>IFERROR(INDEX(List_Predictors, INDEX(Array_PredictorsLookup,MATCH($A353,List_PredictorFacilities,0),(COLUMN()-1)/2), 1),"")</f>
        <v/>
      </c>
      <c r="X353" s="137"/>
      <c r="Y353" s="58" t="str" cm="1">
        <f>IFERROR(INDEX(List_Predictors, INDEX(Array_PredictorsLookup,MATCH($A353,List_PredictorFacilities,0),(COLUMN()-1)/2), 1),"")</f>
        <v/>
      </c>
      <c r="Z353" s="137"/>
      <c r="AA353" s="58" t="str" cm="1">
        <f>IFERROR(INDEX(List_Predictors, INDEX(Array_PredictorsLookup,MATCH($A353,List_PredictorFacilities,0),(COLUMN()-1)/2), 1),"")</f>
        <v/>
      </c>
      <c r="AB353" s="137"/>
      <c r="AC353" s="58" t="str" cm="1">
        <f>IFERROR(INDEX(List_Predictors, INDEX(Array_PredictorsLookup,MATCH($A353,List_PredictorFacilities,0),(COLUMN()-1)/2), 1),"")</f>
        <v/>
      </c>
      <c r="AD353" s="137"/>
      <c r="AE353" s="58" t="str" cm="1">
        <f>IFERROR(INDEX(List_Predictors, INDEX(Array_PredictorsLookup,MATCH($A353,List_PredictorFacilities,0),(COLUMN()-1)/2), 1),"")</f>
        <v/>
      </c>
      <c r="AF353" s="137"/>
    </row>
    <row r="354" spans="1:32" x14ac:dyDescent="0.3">
      <c r="A354" s="126"/>
      <c r="B354" s="141"/>
      <c r="C354" s="58" t="str" cm="1">
        <f>IFERROR(INDEX(List_Predictors, INDEX(Array_PredictorsLookup,MATCH($A354,List_PredictorFacilities,0),(COLUMN()-1)/2), 1),"")</f>
        <v/>
      </c>
      <c r="D354" s="137"/>
      <c r="E354" s="58" t="str" cm="1">
        <f>IFERROR(INDEX(List_Predictors, INDEX(Array_PredictorsLookup,MATCH($A354,List_PredictorFacilities,0),(COLUMN()-1)/2), 1),"")</f>
        <v/>
      </c>
      <c r="F354" s="137"/>
      <c r="G354" s="58" t="str" cm="1">
        <f>IFERROR(INDEX(List_Predictors, INDEX(Array_PredictorsLookup,MATCH($A354,List_PredictorFacilities,0),(COLUMN()-1)/2), 1),"")</f>
        <v/>
      </c>
      <c r="H354" s="137"/>
      <c r="I354" s="58" t="str" cm="1">
        <f>IFERROR(INDEX(List_Predictors, INDEX(Array_PredictorsLookup,MATCH($A354,List_PredictorFacilities,0),(COLUMN()-1)/2), 1),"")</f>
        <v/>
      </c>
      <c r="J354" s="137"/>
      <c r="K354" s="58" t="str" cm="1">
        <f>IFERROR(INDEX(List_Predictors, INDEX(Array_PredictorsLookup,MATCH($A354,List_PredictorFacilities,0),(COLUMN()-1)/2), 1),"")</f>
        <v/>
      </c>
      <c r="L354" s="137"/>
      <c r="M354" s="58" t="str" cm="1">
        <f>IFERROR(INDEX(List_Predictors, INDEX(Array_PredictorsLookup,MATCH($A354,List_PredictorFacilities,0),(COLUMN()-1)/2), 1),"")</f>
        <v/>
      </c>
      <c r="N354" s="137"/>
      <c r="O354" s="58" t="str" cm="1">
        <f>IFERROR(INDEX(List_Predictors, INDEX(Array_PredictorsLookup,MATCH($A354,List_PredictorFacilities,0),(COLUMN()-1)/2), 1),"")</f>
        <v/>
      </c>
      <c r="P354" s="137"/>
      <c r="Q354" s="58" t="str" cm="1">
        <f>IFERROR(INDEX(List_Predictors, INDEX(Array_PredictorsLookup,MATCH($A354,List_PredictorFacilities,0),(COLUMN()-1)/2), 1),"")</f>
        <v/>
      </c>
      <c r="R354" s="137"/>
      <c r="S354" s="58" t="str" cm="1">
        <f>IFERROR(INDEX(List_Predictors, INDEX(Array_PredictorsLookup,MATCH($A354,List_PredictorFacilities,0),(COLUMN()-1)/2), 1),"")</f>
        <v/>
      </c>
      <c r="T354" s="137"/>
      <c r="U354" s="58" t="str" cm="1">
        <f>IFERROR(INDEX(List_Predictors, INDEX(Array_PredictorsLookup,MATCH($A354,List_PredictorFacilities,0),(COLUMN()-1)/2), 1),"")</f>
        <v/>
      </c>
      <c r="V354" s="137"/>
      <c r="W354" s="58" t="str" cm="1">
        <f>IFERROR(INDEX(List_Predictors, INDEX(Array_PredictorsLookup,MATCH($A354,List_PredictorFacilities,0),(COLUMN()-1)/2), 1),"")</f>
        <v/>
      </c>
      <c r="X354" s="137"/>
      <c r="Y354" s="58" t="str" cm="1">
        <f>IFERROR(INDEX(List_Predictors, INDEX(Array_PredictorsLookup,MATCH($A354,List_PredictorFacilities,0),(COLUMN()-1)/2), 1),"")</f>
        <v/>
      </c>
      <c r="Z354" s="137"/>
      <c r="AA354" s="58" t="str" cm="1">
        <f>IFERROR(INDEX(List_Predictors, INDEX(Array_PredictorsLookup,MATCH($A354,List_PredictorFacilities,0),(COLUMN()-1)/2), 1),"")</f>
        <v/>
      </c>
      <c r="AB354" s="137"/>
      <c r="AC354" s="58" t="str" cm="1">
        <f>IFERROR(INDEX(List_Predictors, INDEX(Array_PredictorsLookup,MATCH($A354,List_PredictorFacilities,0),(COLUMN()-1)/2), 1),"")</f>
        <v/>
      </c>
      <c r="AD354" s="137"/>
      <c r="AE354" s="58" t="str" cm="1">
        <f>IFERROR(INDEX(List_Predictors, INDEX(Array_PredictorsLookup,MATCH($A354,List_PredictorFacilities,0),(COLUMN()-1)/2), 1),"")</f>
        <v/>
      </c>
      <c r="AF354" s="137"/>
    </row>
    <row r="355" spans="1:32" x14ac:dyDescent="0.3">
      <c r="A355" s="126"/>
      <c r="B355" s="141"/>
      <c r="C355" s="58" t="str" cm="1">
        <f>IFERROR(INDEX(List_Predictors, INDEX(Array_PredictorsLookup,MATCH($A355,List_PredictorFacilities,0),(COLUMN()-1)/2), 1),"")</f>
        <v/>
      </c>
      <c r="D355" s="137"/>
      <c r="E355" s="58" t="str" cm="1">
        <f>IFERROR(INDEX(List_Predictors, INDEX(Array_PredictorsLookup,MATCH($A355,List_PredictorFacilities,0),(COLUMN()-1)/2), 1),"")</f>
        <v/>
      </c>
      <c r="F355" s="137"/>
      <c r="G355" s="58" t="str" cm="1">
        <f>IFERROR(INDEX(List_Predictors, INDEX(Array_PredictorsLookup,MATCH($A355,List_PredictorFacilities,0),(COLUMN()-1)/2), 1),"")</f>
        <v/>
      </c>
      <c r="H355" s="137"/>
      <c r="I355" s="58" t="str" cm="1">
        <f>IFERROR(INDEX(List_Predictors, INDEX(Array_PredictorsLookup,MATCH($A355,List_PredictorFacilities,0),(COLUMN()-1)/2), 1),"")</f>
        <v/>
      </c>
      <c r="J355" s="137"/>
      <c r="K355" s="58" t="str" cm="1">
        <f>IFERROR(INDEX(List_Predictors, INDEX(Array_PredictorsLookup,MATCH($A355,List_PredictorFacilities,0),(COLUMN()-1)/2), 1),"")</f>
        <v/>
      </c>
      <c r="L355" s="137"/>
      <c r="M355" s="58" t="str" cm="1">
        <f>IFERROR(INDEX(List_Predictors, INDEX(Array_PredictorsLookup,MATCH($A355,List_PredictorFacilities,0),(COLUMN()-1)/2), 1),"")</f>
        <v/>
      </c>
      <c r="N355" s="137"/>
      <c r="O355" s="58" t="str" cm="1">
        <f>IFERROR(INDEX(List_Predictors, INDEX(Array_PredictorsLookup,MATCH($A355,List_PredictorFacilities,0),(COLUMN()-1)/2), 1),"")</f>
        <v/>
      </c>
      <c r="P355" s="137"/>
      <c r="Q355" s="58" t="str" cm="1">
        <f>IFERROR(INDEX(List_Predictors, INDEX(Array_PredictorsLookup,MATCH($A355,List_PredictorFacilities,0),(COLUMN()-1)/2), 1),"")</f>
        <v/>
      </c>
      <c r="R355" s="137"/>
      <c r="S355" s="58" t="str" cm="1">
        <f>IFERROR(INDEX(List_Predictors, INDEX(Array_PredictorsLookup,MATCH($A355,List_PredictorFacilities,0),(COLUMN()-1)/2), 1),"")</f>
        <v/>
      </c>
      <c r="T355" s="137"/>
      <c r="U355" s="58" t="str" cm="1">
        <f>IFERROR(INDEX(List_Predictors, INDEX(Array_PredictorsLookup,MATCH($A355,List_PredictorFacilities,0),(COLUMN()-1)/2), 1),"")</f>
        <v/>
      </c>
      <c r="V355" s="137"/>
      <c r="W355" s="58" t="str" cm="1">
        <f>IFERROR(INDEX(List_Predictors, INDEX(Array_PredictorsLookup,MATCH($A355,List_PredictorFacilities,0),(COLUMN()-1)/2), 1),"")</f>
        <v/>
      </c>
      <c r="X355" s="137"/>
      <c r="Y355" s="58" t="str" cm="1">
        <f>IFERROR(INDEX(List_Predictors, INDEX(Array_PredictorsLookup,MATCH($A355,List_PredictorFacilities,0),(COLUMN()-1)/2), 1),"")</f>
        <v/>
      </c>
      <c r="Z355" s="137"/>
      <c r="AA355" s="58" t="str" cm="1">
        <f>IFERROR(INDEX(List_Predictors, INDEX(Array_PredictorsLookup,MATCH($A355,List_PredictorFacilities,0),(COLUMN()-1)/2), 1),"")</f>
        <v/>
      </c>
      <c r="AB355" s="137"/>
      <c r="AC355" s="58" t="str" cm="1">
        <f>IFERROR(INDEX(List_Predictors, INDEX(Array_PredictorsLookup,MATCH($A355,List_PredictorFacilities,0),(COLUMN()-1)/2), 1),"")</f>
        <v/>
      </c>
      <c r="AD355" s="137"/>
      <c r="AE355" s="58" t="str" cm="1">
        <f>IFERROR(INDEX(List_Predictors, INDEX(Array_PredictorsLookup,MATCH($A355,List_PredictorFacilities,0),(COLUMN()-1)/2), 1),"")</f>
        <v/>
      </c>
      <c r="AF355" s="137"/>
    </row>
    <row r="356" spans="1:32" x14ac:dyDescent="0.3">
      <c r="A356" s="126"/>
      <c r="B356" s="141"/>
      <c r="C356" s="58" t="str" cm="1">
        <f>IFERROR(INDEX(List_Predictors, INDEX(Array_PredictorsLookup,MATCH($A356,List_PredictorFacilities,0),(COLUMN()-1)/2), 1),"")</f>
        <v/>
      </c>
      <c r="D356" s="137"/>
      <c r="E356" s="58" t="str" cm="1">
        <f>IFERROR(INDEX(List_Predictors, INDEX(Array_PredictorsLookup,MATCH($A356,List_PredictorFacilities,0),(COLUMN()-1)/2), 1),"")</f>
        <v/>
      </c>
      <c r="F356" s="137"/>
      <c r="G356" s="58" t="str" cm="1">
        <f>IFERROR(INDEX(List_Predictors, INDEX(Array_PredictorsLookup,MATCH($A356,List_PredictorFacilities,0),(COLUMN()-1)/2), 1),"")</f>
        <v/>
      </c>
      <c r="H356" s="137"/>
      <c r="I356" s="58" t="str" cm="1">
        <f>IFERROR(INDEX(List_Predictors, INDEX(Array_PredictorsLookup,MATCH($A356,List_PredictorFacilities,0),(COLUMN()-1)/2), 1),"")</f>
        <v/>
      </c>
      <c r="J356" s="137"/>
      <c r="K356" s="58" t="str" cm="1">
        <f>IFERROR(INDEX(List_Predictors, INDEX(Array_PredictorsLookup,MATCH($A356,List_PredictorFacilities,0),(COLUMN()-1)/2), 1),"")</f>
        <v/>
      </c>
      <c r="L356" s="137"/>
      <c r="M356" s="58" t="str" cm="1">
        <f>IFERROR(INDEX(List_Predictors, INDEX(Array_PredictorsLookup,MATCH($A356,List_PredictorFacilities,0),(COLUMN()-1)/2), 1),"")</f>
        <v/>
      </c>
      <c r="N356" s="137"/>
      <c r="O356" s="58" t="str" cm="1">
        <f>IFERROR(INDEX(List_Predictors, INDEX(Array_PredictorsLookup,MATCH($A356,List_PredictorFacilities,0),(COLUMN()-1)/2), 1),"")</f>
        <v/>
      </c>
      <c r="P356" s="137"/>
      <c r="Q356" s="58" t="str" cm="1">
        <f>IFERROR(INDEX(List_Predictors, INDEX(Array_PredictorsLookup,MATCH($A356,List_PredictorFacilities,0),(COLUMN()-1)/2), 1),"")</f>
        <v/>
      </c>
      <c r="R356" s="137"/>
      <c r="S356" s="58" t="str" cm="1">
        <f>IFERROR(INDEX(List_Predictors, INDEX(Array_PredictorsLookup,MATCH($A356,List_PredictorFacilities,0),(COLUMN()-1)/2), 1),"")</f>
        <v/>
      </c>
      <c r="T356" s="137"/>
      <c r="U356" s="58" t="str" cm="1">
        <f>IFERROR(INDEX(List_Predictors, INDEX(Array_PredictorsLookup,MATCH($A356,List_PredictorFacilities,0),(COLUMN()-1)/2), 1),"")</f>
        <v/>
      </c>
      <c r="V356" s="137"/>
      <c r="W356" s="58" t="str" cm="1">
        <f>IFERROR(INDEX(List_Predictors, INDEX(Array_PredictorsLookup,MATCH($A356,List_PredictorFacilities,0),(COLUMN()-1)/2), 1),"")</f>
        <v/>
      </c>
      <c r="X356" s="137"/>
      <c r="Y356" s="58" t="str" cm="1">
        <f>IFERROR(INDEX(List_Predictors, INDEX(Array_PredictorsLookup,MATCH($A356,List_PredictorFacilities,0),(COLUMN()-1)/2), 1),"")</f>
        <v/>
      </c>
      <c r="Z356" s="137"/>
      <c r="AA356" s="58" t="str" cm="1">
        <f>IFERROR(INDEX(List_Predictors, INDEX(Array_PredictorsLookup,MATCH($A356,List_PredictorFacilities,0),(COLUMN()-1)/2), 1),"")</f>
        <v/>
      </c>
      <c r="AB356" s="137"/>
      <c r="AC356" s="58" t="str" cm="1">
        <f>IFERROR(INDEX(List_Predictors, INDEX(Array_PredictorsLookup,MATCH($A356,List_PredictorFacilities,0),(COLUMN()-1)/2), 1),"")</f>
        <v/>
      </c>
      <c r="AD356" s="137"/>
      <c r="AE356" s="58" t="str" cm="1">
        <f>IFERROR(INDEX(List_Predictors, INDEX(Array_PredictorsLookup,MATCH($A356,List_PredictorFacilities,0),(COLUMN()-1)/2), 1),"")</f>
        <v/>
      </c>
      <c r="AF356" s="137"/>
    </row>
    <row r="357" spans="1:32" x14ac:dyDescent="0.3">
      <c r="A357" s="126"/>
      <c r="B357" s="141"/>
      <c r="C357" s="58" t="str" cm="1">
        <f>IFERROR(INDEX(List_Predictors, INDEX(Array_PredictorsLookup,MATCH($A357,List_PredictorFacilities,0),(COLUMN()-1)/2), 1),"")</f>
        <v/>
      </c>
      <c r="D357" s="137"/>
      <c r="E357" s="58" t="str" cm="1">
        <f>IFERROR(INDEX(List_Predictors, INDEX(Array_PredictorsLookup,MATCH($A357,List_PredictorFacilities,0),(COLUMN()-1)/2), 1),"")</f>
        <v/>
      </c>
      <c r="F357" s="137"/>
      <c r="G357" s="58" t="str" cm="1">
        <f>IFERROR(INDEX(List_Predictors, INDEX(Array_PredictorsLookup,MATCH($A357,List_PredictorFacilities,0),(COLUMN()-1)/2), 1),"")</f>
        <v/>
      </c>
      <c r="H357" s="137"/>
      <c r="I357" s="58" t="str" cm="1">
        <f>IFERROR(INDEX(List_Predictors, INDEX(Array_PredictorsLookup,MATCH($A357,List_PredictorFacilities,0),(COLUMN()-1)/2), 1),"")</f>
        <v/>
      </c>
      <c r="J357" s="137"/>
      <c r="K357" s="58" t="str" cm="1">
        <f>IFERROR(INDEX(List_Predictors, INDEX(Array_PredictorsLookup,MATCH($A357,List_PredictorFacilities,0),(COLUMN()-1)/2), 1),"")</f>
        <v/>
      </c>
      <c r="L357" s="137"/>
      <c r="M357" s="58" t="str" cm="1">
        <f>IFERROR(INDEX(List_Predictors, INDEX(Array_PredictorsLookup,MATCH($A357,List_PredictorFacilities,0),(COLUMN()-1)/2), 1),"")</f>
        <v/>
      </c>
      <c r="N357" s="137"/>
      <c r="O357" s="58" t="str" cm="1">
        <f>IFERROR(INDEX(List_Predictors, INDEX(Array_PredictorsLookup,MATCH($A357,List_PredictorFacilities,0),(COLUMN()-1)/2), 1),"")</f>
        <v/>
      </c>
      <c r="P357" s="137"/>
      <c r="Q357" s="58" t="str" cm="1">
        <f>IFERROR(INDEX(List_Predictors, INDEX(Array_PredictorsLookup,MATCH($A357,List_PredictorFacilities,0),(COLUMN()-1)/2), 1),"")</f>
        <v/>
      </c>
      <c r="R357" s="137"/>
      <c r="S357" s="58" t="str" cm="1">
        <f>IFERROR(INDEX(List_Predictors, INDEX(Array_PredictorsLookup,MATCH($A357,List_PredictorFacilities,0),(COLUMN()-1)/2), 1),"")</f>
        <v/>
      </c>
      <c r="T357" s="137"/>
      <c r="U357" s="58" t="str" cm="1">
        <f>IFERROR(INDEX(List_Predictors, INDEX(Array_PredictorsLookup,MATCH($A357,List_PredictorFacilities,0),(COLUMN()-1)/2), 1),"")</f>
        <v/>
      </c>
      <c r="V357" s="137"/>
      <c r="W357" s="58" t="str" cm="1">
        <f>IFERROR(INDEX(List_Predictors, INDEX(Array_PredictorsLookup,MATCH($A357,List_PredictorFacilities,0),(COLUMN()-1)/2), 1),"")</f>
        <v/>
      </c>
      <c r="X357" s="137"/>
      <c r="Y357" s="58" t="str" cm="1">
        <f>IFERROR(INDEX(List_Predictors, INDEX(Array_PredictorsLookup,MATCH($A357,List_PredictorFacilities,0),(COLUMN()-1)/2), 1),"")</f>
        <v/>
      </c>
      <c r="Z357" s="137"/>
      <c r="AA357" s="58" t="str" cm="1">
        <f>IFERROR(INDEX(List_Predictors, INDEX(Array_PredictorsLookup,MATCH($A357,List_PredictorFacilities,0),(COLUMN()-1)/2), 1),"")</f>
        <v/>
      </c>
      <c r="AB357" s="137"/>
      <c r="AC357" s="58" t="str" cm="1">
        <f>IFERROR(INDEX(List_Predictors, INDEX(Array_PredictorsLookup,MATCH($A357,List_PredictorFacilities,0),(COLUMN()-1)/2), 1),"")</f>
        <v/>
      </c>
      <c r="AD357" s="137"/>
      <c r="AE357" s="58" t="str" cm="1">
        <f>IFERROR(INDEX(List_Predictors, INDEX(Array_PredictorsLookup,MATCH($A357,List_PredictorFacilities,0),(COLUMN()-1)/2), 1),"")</f>
        <v/>
      </c>
      <c r="AF357" s="137"/>
    </row>
    <row r="358" spans="1:32" x14ac:dyDescent="0.3">
      <c r="A358" s="126"/>
      <c r="B358" s="141"/>
      <c r="C358" s="58" t="str" cm="1">
        <f>IFERROR(INDEX(List_Predictors, INDEX(Array_PredictorsLookup,MATCH($A358,List_PredictorFacilities,0),(COLUMN()-1)/2), 1),"")</f>
        <v/>
      </c>
      <c r="D358" s="137"/>
      <c r="E358" s="58" t="str" cm="1">
        <f>IFERROR(INDEX(List_Predictors, INDEX(Array_PredictorsLookup,MATCH($A358,List_PredictorFacilities,0),(COLUMN()-1)/2), 1),"")</f>
        <v/>
      </c>
      <c r="F358" s="137"/>
      <c r="G358" s="58" t="str" cm="1">
        <f>IFERROR(INDEX(List_Predictors, INDEX(Array_PredictorsLookup,MATCH($A358,List_PredictorFacilities,0),(COLUMN()-1)/2), 1),"")</f>
        <v/>
      </c>
      <c r="H358" s="137"/>
      <c r="I358" s="58" t="str" cm="1">
        <f>IFERROR(INDEX(List_Predictors, INDEX(Array_PredictorsLookup,MATCH($A358,List_PredictorFacilities,0),(COLUMN()-1)/2), 1),"")</f>
        <v/>
      </c>
      <c r="J358" s="137"/>
      <c r="K358" s="58" t="str" cm="1">
        <f>IFERROR(INDEX(List_Predictors, INDEX(Array_PredictorsLookup,MATCH($A358,List_PredictorFacilities,0),(COLUMN()-1)/2), 1),"")</f>
        <v/>
      </c>
      <c r="L358" s="137"/>
      <c r="M358" s="58" t="str" cm="1">
        <f>IFERROR(INDEX(List_Predictors, INDEX(Array_PredictorsLookup,MATCH($A358,List_PredictorFacilities,0),(COLUMN()-1)/2), 1),"")</f>
        <v/>
      </c>
      <c r="N358" s="137"/>
      <c r="O358" s="58" t="str" cm="1">
        <f>IFERROR(INDEX(List_Predictors, INDEX(Array_PredictorsLookup,MATCH($A358,List_PredictorFacilities,0),(COLUMN()-1)/2), 1),"")</f>
        <v/>
      </c>
      <c r="P358" s="137"/>
      <c r="Q358" s="58" t="str" cm="1">
        <f>IFERROR(INDEX(List_Predictors, INDEX(Array_PredictorsLookup,MATCH($A358,List_PredictorFacilities,0),(COLUMN()-1)/2), 1),"")</f>
        <v/>
      </c>
      <c r="R358" s="137"/>
      <c r="S358" s="58" t="str" cm="1">
        <f>IFERROR(INDEX(List_Predictors, INDEX(Array_PredictorsLookup,MATCH($A358,List_PredictorFacilities,0),(COLUMN()-1)/2), 1),"")</f>
        <v/>
      </c>
      <c r="T358" s="137"/>
      <c r="U358" s="58" t="str" cm="1">
        <f>IFERROR(INDEX(List_Predictors, INDEX(Array_PredictorsLookup,MATCH($A358,List_PredictorFacilities,0),(COLUMN()-1)/2), 1),"")</f>
        <v/>
      </c>
      <c r="V358" s="137"/>
      <c r="W358" s="58" t="str" cm="1">
        <f>IFERROR(INDEX(List_Predictors, INDEX(Array_PredictorsLookup,MATCH($A358,List_PredictorFacilities,0),(COLUMN()-1)/2), 1),"")</f>
        <v/>
      </c>
      <c r="X358" s="137"/>
      <c r="Y358" s="58" t="str" cm="1">
        <f>IFERROR(INDEX(List_Predictors, INDEX(Array_PredictorsLookup,MATCH($A358,List_PredictorFacilities,0),(COLUMN()-1)/2), 1),"")</f>
        <v/>
      </c>
      <c r="Z358" s="137"/>
      <c r="AA358" s="58" t="str" cm="1">
        <f>IFERROR(INDEX(List_Predictors, INDEX(Array_PredictorsLookup,MATCH($A358,List_PredictorFacilities,0),(COLUMN()-1)/2), 1),"")</f>
        <v/>
      </c>
      <c r="AB358" s="137"/>
      <c r="AC358" s="58" t="str" cm="1">
        <f>IFERROR(INDEX(List_Predictors, INDEX(Array_PredictorsLookup,MATCH($A358,List_PredictorFacilities,0),(COLUMN()-1)/2), 1),"")</f>
        <v/>
      </c>
      <c r="AD358" s="137"/>
      <c r="AE358" s="58" t="str" cm="1">
        <f>IFERROR(INDEX(List_Predictors, INDEX(Array_PredictorsLookup,MATCH($A358,List_PredictorFacilities,0),(COLUMN()-1)/2), 1),"")</f>
        <v/>
      </c>
      <c r="AF358" s="137"/>
    </row>
    <row r="359" spans="1:32" x14ac:dyDescent="0.3">
      <c r="A359" s="126"/>
      <c r="B359" s="141"/>
      <c r="C359" s="58" t="str" cm="1">
        <f>IFERROR(INDEX(List_Predictors, INDEX(Array_PredictorsLookup,MATCH($A359,List_PredictorFacilities,0),(COLUMN()-1)/2), 1),"")</f>
        <v/>
      </c>
      <c r="D359" s="137"/>
      <c r="E359" s="58" t="str" cm="1">
        <f>IFERROR(INDEX(List_Predictors, INDEX(Array_PredictorsLookup,MATCH($A359,List_PredictorFacilities,0),(COLUMN()-1)/2), 1),"")</f>
        <v/>
      </c>
      <c r="F359" s="137"/>
      <c r="G359" s="58" t="str" cm="1">
        <f>IFERROR(INDEX(List_Predictors, INDEX(Array_PredictorsLookup,MATCH($A359,List_PredictorFacilities,0),(COLUMN()-1)/2), 1),"")</f>
        <v/>
      </c>
      <c r="H359" s="137"/>
      <c r="I359" s="58" t="str" cm="1">
        <f>IFERROR(INDEX(List_Predictors, INDEX(Array_PredictorsLookup,MATCH($A359,List_PredictorFacilities,0),(COLUMN()-1)/2), 1),"")</f>
        <v/>
      </c>
      <c r="J359" s="137"/>
      <c r="K359" s="58" t="str" cm="1">
        <f>IFERROR(INDEX(List_Predictors, INDEX(Array_PredictorsLookup,MATCH($A359,List_PredictorFacilities,0),(COLUMN()-1)/2), 1),"")</f>
        <v/>
      </c>
      <c r="L359" s="137"/>
      <c r="M359" s="58" t="str" cm="1">
        <f>IFERROR(INDEX(List_Predictors, INDEX(Array_PredictorsLookup,MATCH($A359,List_PredictorFacilities,0),(COLUMN()-1)/2), 1),"")</f>
        <v/>
      </c>
      <c r="N359" s="137"/>
      <c r="O359" s="58" t="str" cm="1">
        <f>IFERROR(INDEX(List_Predictors, INDEX(Array_PredictorsLookup,MATCH($A359,List_PredictorFacilities,0),(COLUMN()-1)/2), 1),"")</f>
        <v/>
      </c>
      <c r="P359" s="137"/>
      <c r="Q359" s="58" t="str" cm="1">
        <f>IFERROR(INDEX(List_Predictors, INDEX(Array_PredictorsLookup,MATCH($A359,List_PredictorFacilities,0),(COLUMN()-1)/2), 1),"")</f>
        <v/>
      </c>
      <c r="R359" s="137"/>
      <c r="S359" s="58" t="str" cm="1">
        <f>IFERROR(INDEX(List_Predictors, INDEX(Array_PredictorsLookup,MATCH($A359,List_PredictorFacilities,0),(COLUMN()-1)/2), 1),"")</f>
        <v/>
      </c>
      <c r="T359" s="137"/>
      <c r="U359" s="58" t="str" cm="1">
        <f>IFERROR(INDEX(List_Predictors, INDEX(Array_PredictorsLookup,MATCH($A359,List_PredictorFacilities,0),(COLUMN()-1)/2), 1),"")</f>
        <v/>
      </c>
      <c r="V359" s="137"/>
      <c r="W359" s="58" t="str" cm="1">
        <f>IFERROR(INDEX(List_Predictors, INDEX(Array_PredictorsLookup,MATCH($A359,List_PredictorFacilities,0),(COLUMN()-1)/2), 1),"")</f>
        <v/>
      </c>
      <c r="X359" s="137"/>
      <c r="Y359" s="58" t="str" cm="1">
        <f>IFERROR(INDEX(List_Predictors, INDEX(Array_PredictorsLookup,MATCH($A359,List_PredictorFacilities,0),(COLUMN()-1)/2), 1),"")</f>
        <v/>
      </c>
      <c r="Z359" s="137"/>
      <c r="AA359" s="58" t="str" cm="1">
        <f>IFERROR(INDEX(List_Predictors, INDEX(Array_PredictorsLookup,MATCH($A359,List_PredictorFacilities,0),(COLUMN()-1)/2), 1),"")</f>
        <v/>
      </c>
      <c r="AB359" s="137"/>
      <c r="AC359" s="58" t="str" cm="1">
        <f>IFERROR(INDEX(List_Predictors, INDEX(Array_PredictorsLookup,MATCH($A359,List_PredictorFacilities,0),(COLUMN()-1)/2), 1),"")</f>
        <v/>
      </c>
      <c r="AD359" s="137"/>
      <c r="AE359" s="58" t="str" cm="1">
        <f>IFERROR(INDEX(List_Predictors, INDEX(Array_PredictorsLookup,MATCH($A359,List_PredictorFacilities,0),(COLUMN()-1)/2), 1),"")</f>
        <v/>
      </c>
      <c r="AF359" s="137"/>
    </row>
    <row r="360" spans="1:32" x14ac:dyDescent="0.3">
      <c r="A360" s="126"/>
      <c r="B360" s="141"/>
      <c r="C360" s="58" t="str" cm="1">
        <f>IFERROR(INDEX(List_Predictors, INDEX(Array_PredictorsLookup,MATCH($A360,List_PredictorFacilities,0),(COLUMN()-1)/2), 1),"")</f>
        <v/>
      </c>
      <c r="D360" s="137"/>
      <c r="E360" s="58" t="str" cm="1">
        <f>IFERROR(INDEX(List_Predictors, INDEX(Array_PredictorsLookup,MATCH($A360,List_PredictorFacilities,0),(COLUMN()-1)/2), 1),"")</f>
        <v/>
      </c>
      <c r="F360" s="137"/>
      <c r="G360" s="58" t="str" cm="1">
        <f>IFERROR(INDEX(List_Predictors, INDEX(Array_PredictorsLookup,MATCH($A360,List_PredictorFacilities,0),(COLUMN()-1)/2), 1),"")</f>
        <v/>
      </c>
      <c r="H360" s="137"/>
      <c r="I360" s="58" t="str" cm="1">
        <f>IFERROR(INDEX(List_Predictors, INDEX(Array_PredictorsLookup,MATCH($A360,List_PredictorFacilities,0),(COLUMN()-1)/2), 1),"")</f>
        <v/>
      </c>
      <c r="J360" s="137"/>
      <c r="K360" s="58" t="str" cm="1">
        <f>IFERROR(INDEX(List_Predictors, INDEX(Array_PredictorsLookup,MATCH($A360,List_PredictorFacilities,0),(COLUMN()-1)/2), 1),"")</f>
        <v/>
      </c>
      <c r="L360" s="137"/>
      <c r="M360" s="58" t="str" cm="1">
        <f>IFERROR(INDEX(List_Predictors, INDEX(Array_PredictorsLookup,MATCH($A360,List_PredictorFacilities,0),(COLUMN()-1)/2), 1),"")</f>
        <v/>
      </c>
      <c r="N360" s="137"/>
      <c r="O360" s="58" t="str" cm="1">
        <f>IFERROR(INDEX(List_Predictors, INDEX(Array_PredictorsLookup,MATCH($A360,List_PredictorFacilities,0),(COLUMN()-1)/2), 1),"")</f>
        <v/>
      </c>
      <c r="P360" s="137"/>
      <c r="Q360" s="58" t="str" cm="1">
        <f>IFERROR(INDEX(List_Predictors, INDEX(Array_PredictorsLookup,MATCH($A360,List_PredictorFacilities,0),(COLUMN()-1)/2), 1),"")</f>
        <v/>
      </c>
      <c r="R360" s="137"/>
      <c r="S360" s="58" t="str" cm="1">
        <f>IFERROR(INDEX(List_Predictors, INDEX(Array_PredictorsLookup,MATCH($A360,List_PredictorFacilities,0),(COLUMN()-1)/2), 1),"")</f>
        <v/>
      </c>
      <c r="T360" s="137"/>
      <c r="U360" s="58" t="str" cm="1">
        <f>IFERROR(INDEX(List_Predictors, INDEX(Array_PredictorsLookup,MATCH($A360,List_PredictorFacilities,0),(COLUMN()-1)/2), 1),"")</f>
        <v/>
      </c>
      <c r="V360" s="137"/>
      <c r="W360" s="58" t="str" cm="1">
        <f>IFERROR(INDEX(List_Predictors, INDEX(Array_PredictorsLookup,MATCH($A360,List_PredictorFacilities,0),(COLUMN()-1)/2), 1),"")</f>
        <v/>
      </c>
      <c r="X360" s="137"/>
      <c r="Y360" s="58" t="str" cm="1">
        <f>IFERROR(INDEX(List_Predictors, INDEX(Array_PredictorsLookup,MATCH($A360,List_PredictorFacilities,0),(COLUMN()-1)/2), 1),"")</f>
        <v/>
      </c>
      <c r="Z360" s="137"/>
      <c r="AA360" s="58" t="str" cm="1">
        <f>IFERROR(INDEX(List_Predictors, INDEX(Array_PredictorsLookup,MATCH($A360,List_PredictorFacilities,0),(COLUMN()-1)/2), 1),"")</f>
        <v/>
      </c>
      <c r="AB360" s="137"/>
      <c r="AC360" s="58" t="str" cm="1">
        <f>IFERROR(INDEX(List_Predictors, INDEX(Array_PredictorsLookup,MATCH($A360,List_PredictorFacilities,0),(COLUMN()-1)/2), 1),"")</f>
        <v/>
      </c>
      <c r="AD360" s="137"/>
      <c r="AE360" s="58" t="str" cm="1">
        <f>IFERROR(INDEX(List_Predictors, INDEX(Array_PredictorsLookup,MATCH($A360,List_PredictorFacilities,0),(COLUMN()-1)/2), 1),"")</f>
        <v/>
      </c>
      <c r="AF360" s="137"/>
    </row>
    <row r="361" spans="1:32" x14ac:dyDescent="0.3">
      <c r="A361" s="126"/>
      <c r="B361" s="141"/>
      <c r="C361" s="58" t="str" cm="1">
        <f>IFERROR(INDEX(List_Predictors, INDEX(Array_PredictorsLookup,MATCH($A361,List_PredictorFacilities,0),(COLUMN()-1)/2), 1),"")</f>
        <v/>
      </c>
      <c r="D361" s="137"/>
      <c r="E361" s="58" t="str" cm="1">
        <f>IFERROR(INDEX(List_Predictors, INDEX(Array_PredictorsLookup,MATCH($A361,List_PredictorFacilities,0),(COLUMN()-1)/2), 1),"")</f>
        <v/>
      </c>
      <c r="F361" s="137"/>
      <c r="G361" s="58" t="str" cm="1">
        <f>IFERROR(INDEX(List_Predictors, INDEX(Array_PredictorsLookup,MATCH($A361,List_PredictorFacilities,0),(COLUMN()-1)/2), 1),"")</f>
        <v/>
      </c>
      <c r="H361" s="137"/>
      <c r="I361" s="58" t="str" cm="1">
        <f>IFERROR(INDEX(List_Predictors, INDEX(Array_PredictorsLookup,MATCH($A361,List_PredictorFacilities,0),(COLUMN()-1)/2), 1),"")</f>
        <v/>
      </c>
      <c r="J361" s="137"/>
      <c r="K361" s="58" t="str" cm="1">
        <f>IFERROR(INDEX(List_Predictors, INDEX(Array_PredictorsLookup,MATCH($A361,List_PredictorFacilities,0),(COLUMN()-1)/2), 1),"")</f>
        <v/>
      </c>
      <c r="L361" s="137"/>
      <c r="M361" s="58" t="str" cm="1">
        <f>IFERROR(INDEX(List_Predictors, INDEX(Array_PredictorsLookup,MATCH($A361,List_PredictorFacilities,0),(COLUMN()-1)/2), 1),"")</f>
        <v/>
      </c>
      <c r="N361" s="137"/>
      <c r="O361" s="58" t="str" cm="1">
        <f>IFERROR(INDEX(List_Predictors, INDEX(Array_PredictorsLookup,MATCH($A361,List_PredictorFacilities,0),(COLUMN()-1)/2), 1),"")</f>
        <v/>
      </c>
      <c r="P361" s="137"/>
      <c r="Q361" s="58" t="str" cm="1">
        <f>IFERROR(INDEX(List_Predictors, INDEX(Array_PredictorsLookup,MATCH($A361,List_PredictorFacilities,0),(COLUMN()-1)/2), 1),"")</f>
        <v/>
      </c>
      <c r="R361" s="137"/>
      <c r="S361" s="58" t="str" cm="1">
        <f>IFERROR(INDEX(List_Predictors, INDEX(Array_PredictorsLookup,MATCH($A361,List_PredictorFacilities,0),(COLUMN()-1)/2), 1),"")</f>
        <v/>
      </c>
      <c r="T361" s="137"/>
      <c r="U361" s="58" t="str" cm="1">
        <f>IFERROR(INDEX(List_Predictors, INDEX(Array_PredictorsLookup,MATCH($A361,List_PredictorFacilities,0),(COLUMN()-1)/2), 1),"")</f>
        <v/>
      </c>
      <c r="V361" s="137"/>
      <c r="W361" s="58" t="str" cm="1">
        <f>IFERROR(INDEX(List_Predictors, INDEX(Array_PredictorsLookup,MATCH($A361,List_PredictorFacilities,0),(COLUMN()-1)/2), 1),"")</f>
        <v/>
      </c>
      <c r="X361" s="137"/>
      <c r="Y361" s="58" t="str" cm="1">
        <f>IFERROR(INDEX(List_Predictors, INDEX(Array_PredictorsLookup,MATCH($A361,List_PredictorFacilities,0),(COLUMN()-1)/2), 1),"")</f>
        <v/>
      </c>
      <c r="Z361" s="137"/>
      <c r="AA361" s="58" t="str" cm="1">
        <f>IFERROR(INDEX(List_Predictors, INDEX(Array_PredictorsLookup,MATCH($A361,List_PredictorFacilities,0),(COLUMN()-1)/2), 1),"")</f>
        <v/>
      </c>
      <c r="AB361" s="137"/>
      <c r="AC361" s="58" t="str" cm="1">
        <f>IFERROR(INDEX(List_Predictors, INDEX(Array_PredictorsLookup,MATCH($A361,List_PredictorFacilities,0),(COLUMN()-1)/2), 1),"")</f>
        <v/>
      </c>
      <c r="AD361" s="137"/>
      <c r="AE361" s="58" t="str" cm="1">
        <f>IFERROR(INDEX(List_Predictors, INDEX(Array_PredictorsLookup,MATCH($A361,List_PredictorFacilities,0),(COLUMN()-1)/2), 1),"")</f>
        <v/>
      </c>
      <c r="AF361" s="137"/>
    </row>
    <row r="362" spans="1:32" x14ac:dyDescent="0.3">
      <c r="A362" s="126"/>
      <c r="B362" s="141"/>
      <c r="C362" s="58" t="str" cm="1">
        <f>IFERROR(INDEX(List_Predictors, INDEX(Array_PredictorsLookup,MATCH($A362,List_PredictorFacilities,0),(COLUMN()-1)/2), 1),"")</f>
        <v/>
      </c>
      <c r="D362" s="137"/>
      <c r="E362" s="58" t="str" cm="1">
        <f>IFERROR(INDEX(List_Predictors, INDEX(Array_PredictorsLookup,MATCH($A362,List_PredictorFacilities,0),(COLUMN()-1)/2), 1),"")</f>
        <v/>
      </c>
      <c r="F362" s="137"/>
      <c r="G362" s="58" t="str" cm="1">
        <f>IFERROR(INDEX(List_Predictors, INDEX(Array_PredictorsLookup,MATCH($A362,List_PredictorFacilities,0),(COLUMN()-1)/2), 1),"")</f>
        <v/>
      </c>
      <c r="H362" s="137"/>
      <c r="I362" s="58" t="str" cm="1">
        <f>IFERROR(INDEX(List_Predictors, INDEX(Array_PredictorsLookup,MATCH($A362,List_PredictorFacilities,0),(COLUMN()-1)/2), 1),"")</f>
        <v/>
      </c>
      <c r="J362" s="137"/>
      <c r="K362" s="58" t="str" cm="1">
        <f>IFERROR(INDEX(List_Predictors, INDEX(Array_PredictorsLookup,MATCH($A362,List_PredictorFacilities,0),(COLUMN()-1)/2), 1),"")</f>
        <v/>
      </c>
      <c r="L362" s="137"/>
      <c r="M362" s="58" t="str" cm="1">
        <f>IFERROR(INDEX(List_Predictors, INDEX(Array_PredictorsLookup,MATCH($A362,List_PredictorFacilities,0),(COLUMN()-1)/2), 1),"")</f>
        <v/>
      </c>
      <c r="N362" s="137"/>
      <c r="O362" s="58" t="str" cm="1">
        <f>IFERROR(INDEX(List_Predictors, INDEX(Array_PredictorsLookup,MATCH($A362,List_PredictorFacilities,0),(COLUMN()-1)/2), 1),"")</f>
        <v/>
      </c>
      <c r="P362" s="137"/>
      <c r="Q362" s="58" t="str" cm="1">
        <f>IFERROR(INDEX(List_Predictors, INDEX(Array_PredictorsLookup,MATCH($A362,List_PredictorFacilities,0),(COLUMN()-1)/2), 1),"")</f>
        <v/>
      </c>
      <c r="R362" s="137"/>
      <c r="S362" s="58" t="str" cm="1">
        <f>IFERROR(INDEX(List_Predictors, INDEX(Array_PredictorsLookup,MATCH($A362,List_PredictorFacilities,0),(COLUMN()-1)/2), 1),"")</f>
        <v/>
      </c>
      <c r="T362" s="137"/>
      <c r="U362" s="58" t="str" cm="1">
        <f>IFERROR(INDEX(List_Predictors, INDEX(Array_PredictorsLookup,MATCH($A362,List_PredictorFacilities,0),(COLUMN()-1)/2), 1),"")</f>
        <v/>
      </c>
      <c r="V362" s="137"/>
      <c r="W362" s="58" t="str" cm="1">
        <f>IFERROR(INDEX(List_Predictors, INDEX(Array_PredictorsLookup,MATCH($A362,List_PredictorFacilities,0),(COLUMN()-1)/2), 1),"")</f>
        <v/>
      </c>
      <c r="X362" s="137"/>
      <c r="Y362" s="58" t="str" cm="1">
        <f>IFERROR(INDEX(List_Predictors, INDEX(Array_PredictorsLookup,MATCH($A362,List_PredictorFacilities,0),(COLUMN()-1)/2), 1),"")</f>
        <v/>
      </c>
      <c r="Z362" s="137"/>
      <c r="AA362" s="58" t="str" cm="1">
        <f>IFERROR(INDEX(List_Predictors, INDEX(Array_PredictorsLookup,MATCH($A362,List_PredictorFacilities,0),(COLUMN()-1)/2), 1),"")</f>
        <v/>
      </c>
      <c r="AB362" s="137"/>
      <c r="AC362" s="58" t="str" cm="1">
        <f>IFERROR(INDEX(List_Predictors, INDEX(Array_PredictorsLookup,MATCH($A362,List_PredictorFacilities,0),(COLUMN()-1)/2), 1),"")</f>
        <v/>
      </c>
      <c r="AD362" s="137"/>
      <c r="AE362" s="58" t="str" cm="1">
        <f>IFERROR(INDEX(List_Predictors, INDEX(Array_PredictorsLookup,MATCH($A362,List_PredictorFacilities,0),(COLUMN()-1)/2), 1),"")</f>
        <v/>
      </c>
      <c r="AF362" s="137"/>
    </row>
    <row r="363" spans="1:32" x14ac:dyDescent="0.3">
      <c r="A363" s="126"/>
      <c r="B363" s="141"/>
      <c r="C363" s="58" t="str" cm="1">
        <f>IFERROR(INDEX(List_Predictors, INDEX(Array_PredictorsLookup,MATCH($A363,List_PredictorFacilities,0),(COLUMN()-1)/2), 1),"")</f>
        <v/>
      </c>
      <c r="D363" s="137"/>
      <c r="E363" s="58" t="str" cm="1">
        <f>IFERROR(INDEX(List_Predictors, INDEX(Array_PredictorsLookup,MATCH($A363,List_PredictorFacilities,0),(COLUMN()-1)/2), 1),"")</f>
        <v/>
      </c>
      <c r="F363" s="137"/>
      <c r="G363" s="58" t="str" cm="1">
        <f>IFERROR(INDEX(List_Predictors, INDEX(Array_PredictorsLookup,MATCH($A363,List_PredictorFacilities,0),(COLUMN()-1)/2), 1),"")</f>
        <v/>
      </c>
      <c r="H363" s="137"/>
      <c r="I363" s="58" t="str" cm="1">
        <f>IFERROR(INDEX(List_Predictors, INDEX(Array_PredictorsLookup,MATCH($A363,List_PredictorFacilities,0),(COLUMN()-1)/2), 1),"")</f>
        <v/>
      </c>
      <c r="J363" s="137"/>
      <c r="K363" s="58" t="str" cm="1">
        <f>IFERROR(INDEX(List_Predictors, INDEX(Array_PredictorsLookup,MATCH($A363,List_PredictorFacilities,0),(COLUMN()-1)/2), 1),"")</f>
        <v/>
      </c>
      <c r="L363" s="137"/>
      <c r="M363" s="58" t="str" cm="1">
        <f>IFERROR(INDEX(List_Predictors, INDEX(Array_PredictorsLookup,MATCH($A363,List_PredictorFacilities,0),(COLUMN()-1)/2), 1),"")</f>
        <v/>
      </c>
      <c r="N363" s="137"/>
      <c r="O363" s="58" t="str" cm="1">
        <f>IFERROR(INDEX(List_Predictors, INDEX(Array_PredictorsLookup,MATCH($A363,List_PredictorFacilities,0),(COLUMN()-1)/2), 1),"")</f>
        <v/>
      </c>
      <c r="P363" s="137"/>
      <c r="Q363" s="58" t="str" cm="1">
        <f>IFERROR(INDEX(List_Predictors, INDEX(Array_PredictorsLookup,MATCH($A363,List_PredictorFacilities,0),(COLUMN()-1)/2), 1),"")</f>
        <v/>
      </c>
      <c r="R363" s="137"/>
      <c r="S363" s="58" t="str" cm="1">
        <f>IFERROR(INDEX(List_Predictors, INDEX(Array_PredictorsLookup,MATCH($A363,List_PredictorFacilities,0),(COLUMN()-1)/2), 1),"")</f>
        <v/>
      </c>
      <c r="T363" s="137"/>
      <c r="U363" s="58" t="str" cm="1">
        <f>IFERROR(INDEX(List_Predictors, INDEX(Array_PredictorsLookup,MATCH($A363,List_PredictorFacilities,0),(COLUMN()-1)/2), 1),"")</f>
        <v/>
      </c>
      <c r="V363" s="137"/>
      <c r="W363" s="58" t="str" cm="1">
        <f>IFERROR(INDEX(List_Predictors, INDEX(Array_PredictorsLookup,MATCH($A363,List_PredictorFacilities,0),(COLUMN()-1)/2), 1),"")</f>
        <v/>
      </c>
      <c r="X363" s="137"/>
      <c r="Y363" s="58" t="str" cm="1">
        <f>IFERROR(INDEX(List_Predictors, INDEX(Array_PredictorsLookup,MATCH($A363,List_PredictorFacilities,0),(COLUMN()-1)/2), 1),"")</f>
        <v/>
      </c>
      <c r="Z363" s="137"/>
      <c r="AA363" s="58" t="str" cm="1">
        <f>IFERROR(INDEX(List_Predictors, INDEX(Array_PredictorsLookup,MATCH($A363,List_PredictorFacilities,0),(COLUMN()-1)/2), 1),"")</f>
        <v/>
      </c>
      <c r="AB363" s="137"/>
      <c r="AC363" s="58" t="str" cm="1">
        <f>IFERROR(INDEX(List_Predictors, INDEX(Array_PredictorsLookup,MATCH($A363,List_PredictorFacilities,0),(COLUMN()-1)/2), 1),"")</f>
        <v/>
      </c>
      <c r="AD363" s="137"/>
      <c r="AE363" s="58" t="str" cm="1">
        <f>IFERROR(INDEX(List_Predictors, INDEX(Array_PredictorsLookup,MATCH($A363,List_PredictorFacilities,0),(COLUMN()-1)/2), 1),"")</f>
        <v/>
      </c>
      <c r="AF363" s="137"/>
    </row>
    <row r="364" spans="1:32" x14ac:dyDescent="0.3">
      <c r="A364" s="126"/>
      <c r="B364" s="141"/>
      <c r="C364" s="58" t="str" cm="1">
        <f>IFERROR(INDEX(List_Predictors, INDEX(Array_PredictorsLookup,MATCH($A364,List_PredictorFacilities,0),(COLUMN()-1)/2), 1),"")</f>
        <v/>
      </c>
      <c r="D364" s="137"/>
      <c r="E364" s="58" t="str" cm="1">
        <f>IFERROR(INDEX(List_Predictors, INDEX(Array_PredictorsLookup,MATCH($A364,List_PredictorFacilities,0),(COLUMN()-1)/2), 1),"")</f>
        <v/>
      </c>
      <c r="F364" s="137"/>
      <c r="G364" s="58" t="str" cm="1">
        <f>IFERROR(INDEX(List_Predictors, INDEX(Array_PredictorsLookup,MATCH($A364,List_PredictorFacilities,0),(COLUMN()-1)/2), 1),"")</f>
        <v/>
      </c>
      <c r="H364" s="137"/>
      <c r="I364" s="58" t="str" cm="1">
        <f>IFERROR(INDEX(List_Predictors, INDEX(Array_PredictorsLookup,MATCH($A364,List_PredictorFacilities,0),(COLUMN()-1)/2), 1),"")</f>
        <v/>
      </c>
      <c r="J364" s="137"/>
      <c r="K364" s="58" t="str" cm="1">
        <f>IFERROR(INDEX(List_Predictors, INDEX(Array_PredictorsLookup,MATCH($A364,List_PredictorFacilities,0),(COLUMN()-1)/2), 1),"")</f>
        <v/>
      </c>
      <c r="L364" s="137"/>
      <c r="M364" s="58" t="str" cm="1">
        <f>IFERROR(INDEX(List_Predictors, INDEX(Array_PredictorsLookup,MATCH($A364,List_PredictorFacilities,0),(COLUMN()-1)/2), 1),"")</f>
        <v/>
      </c>
      <c r="N364" s="137"/>
      <c r="O364" s="58" t="str" cm="1">
        <f>IFERROR(INDEX(List_Predictors, INDEX(Array_PredictorsLookup,MATCH($A364,List_PredictorFacilities,0),(COLUMN()-1)/2), 1),"")</f>
        <v/>
      </c>
      <c r="P364" s="137"/>
      <c r="Q364" s="58" t="str" cm="1">
        <f>IFERROR(INDEX(List_Predictors, INDEX(Array_PredictorsLookup,MATCH($A364,List_PredictorFacilities,0),(COLUMN()-1)/2), 1),"")</f>
        <v/>
      </c>
      <c r="R364" s="137"/>
      <c r="S364" s="58" t="str" cm="1">
        <f>IFERROR(INDEX(List_Predictors, INDEX(Array_PredictorsLookup,MATCH($A364,List_PredictorFacilities,0),(COLUMN()-1)/2), 1),"")</f>
        <v/>
      </c>
      <c r="T364" s="137"/>
      <c r="U364" s="58" t="str" cm="1">
        <f>IFERROR(INDEX(List_Predictors, INDEX(Array_PredictorsLookup,MATCH($A364,List_PredictorFacilities,0),(COLUMN()-1)/2), 1),"")</f>
        <v/>
      </c>
      <c r="V364" s="137"/>
      <c r="W364" s="58" t="str" cm="1">
        <f>IFERROR(INDEX(List_Predictors, INDEX(Array_PredictorsLookup,MATCH($A364,List_PredictorFacilities,0),(COLUMN()-1)/2), 1),"")</f>
        <v/>
      </c>
      <c r="X364" s="137"/>
      <c r="Y364" s="58" t="str" cm="1">
        <f>IFERROR(INDEX(List_Predictors, INDEX(Array_PredictorsLookup,MATCH($A364,List_PredictorFacilities,0),(COLUMN()-1)/2), 1),"")</f>
        <v/>
      </c>
      <c r="Z364" s="137"/>
      <c r="AA364" s="58" t="str" cm="1">
        <f>IFERROR(INDEX(List_Predictors, INDEX(Array_PredictorsLookup,MATCH($A364,List_PredictorFacilities,0),(COLUMN()-1)/2), 1),"")</f>
        <v/>
      </c>
      <c r="AB364" s="137"/>
      <c r="AC364" s="58" t="str" cm="1">
        <f>IFERROR(INDEX(List_Predictors, INDEX(Array_PredictorsLookup,MATCH($A364,List_PredictorFacilities,0),(COLUMN()-1)/2), 1),"")</f>
        <v/>
      </c>
      <c r="AD364" s="137"/>
      <c r="AE364" s="58" t="str" cm="1">
        <f>IFERROR(INDEX(List_Predictors, INDEX(Array_PredictorsLookup,MATCH($A364,List_PredictorFacilities,0),(COLUMN()-1)/2), 1),"")</f>
        <v/>
      </c>
      <c r="AF364" s="137"/>
    </row>
    <row r="365" spans="1:32" x14ac:dyDescent="0.3">
      <c r="A365" s="126"/>
      <c r="B365" s="141"/>
      <c r="C365" s="58" t="str" cm="1">
        <f>IFERROR(INDEX(List_Predictors, INDEX(Array_PredictorsLookup,MATCH($A365,List_PredictorFacilities,0),(COLUMN()-1)/2), 1),"")</f>
        <v/>
      </c>
      <c r="D365" s="137"/>
      <c r="E365" s="58" t="str" cm="1">
        <f>IFERROR(INDEX(List_Predictors, INDEX(Array_PredictorsLookup,MATCH($A365,List_PredictorFacilities,0),(COLUMN()-1)/2), 1),"")</f>
        <v/>
      </c>
      <c r="F365" s="137"/>
      <c r="G365" s="58" t="str" cm="1">
        <f>IFERROR(INDEX(List_Predictors, INDEX(Array_PredictorsLookup,MATCH($A365,List_PredictorFacilities,0),(COLUMN()-1)/2), 1),"")</f>
        <v/>
      </c>
      <c r="H365" s="137"/>
      <c r="I365" s="58" t="str" cm="1">
        <f>IFERROR(INDEX(List_Predictors, INDEX(Array_PredictorsLookup,MATCH($A365,List_PredictorFacilities,0),(COLUMN()-1)/2), 1),"")</f>
        <v/>
      </c>
      <c r="J365" s="137"/>
      <c r="K365" s="58" t="str" cm="1">
        <f>IFERROR(INDEX(List_Predictors, INDEX(Array_PredictorsLookup,MATCH($A365,List_PredictorFacilities,0),(COLUMN()-1)/2), 1),"")</f>
        <v/>
      </c>
      <c r="L365" s="137"/>
      <c r="M365" s="58" t="str" cm="1">
        <f>IFERROR(INDEX(List_Predictors, INDEX(Array_PredictorsLookup,MATCH($A365,List_PredictorFacilities,0),(COLUMN()-1)/2), 1),"")</f>
        <v/>
      </c>
      <c r="N365" s="137"/>
      <c r="O365" s="58" t="str" cm="1">
        <f>IFERROR(INDEX(List_Predictors, INDEX(Array_PredictorsLookup,MATCH($A365,List_PredictorFacilities,0),(COLUMN()-1)/2), 1),"")</f>
        <v/>
      </c>
      <c r="P365" s="137"/>
      <c r="Q365" s="58" t="str" cm="1">
        <f>IFERROR(INDEX(List_Predictors, INDEX(Array_PredictorsLookup,MATCH($A365,List_PredictorFacilities,0),(COLUMN()-1)/2), 1),"")</f>
        <v/>
      </c>
      <c r="R365" s="137"/>
      <c r="S365" s="58" t="str" cm="1">
        <f>IFERROR(INDEX(List_Predictors, INDEX(Array_PredictorsLookup,MATCH($A365,List_PredictorFacilities,0),(COLUMN()-1)/2), 1),"")</f>
        <v/>
      </c>
      <c r="T365" s="137"/>
      <c r="U365" s="58" t="str" cm="1">
        <f>IFERROR(INDEX(List_Predictors, INDEX(Array_PredictorsLookup,MATCH($A365,List_PredictorFacilities,0),(COLUMN()-1)/2), 1),"")</f>
        <v/>
      </c>
      <c r="V365" s="137"/>
      <c r="W365" s="58" t="str" cm="1">
        <f>IFERROR(INDEX(List_Predictors, INDEX(Array_PredictorsLookup,MATCH($A365,List_PredictorFacilities,0),(COLUMN()-1)/2), 1),"")</f>
        <v/>
      </c>
      <c r="X365" s="137"/>
      <c r="Y365" s="58" t="str" cm="1">
        <f>IFERROR(INDEX(List_Predictors, INDEX(Array_PredictorsLookup,MATCH($A365,List_PredictorFacilities,0),(COLUMN()-1)/2), 1),"")</f>
        <v/>
      </c>
      <c r="Z365" s="137"/>
      <c r="AA365" s="58" t="str" cm="1">
        <f>IFERROR(INDEX(List_Predictors, INDEX(Array_PredictorsLookup,MATCH($A365,List_PredictorFacilities,0),(COLUMN()-1)/2), 1),"")</f>
        <v/>
      </c>
      <c r="AB365" s="137"/>
      <c r="AC365" s="58" t="str" cm="1">
        <f>IFERROR(INDEX(List_Predictors, INDEX(Array_PredictorsLookup,MATCH($A365,List_PredictorFacilities,0),(COLUMN()-1)/2), 1),"")</f>
        <v/>
      </c>
      <c r="AD365" s="137"/>
      <c r="AE365" s="58" t="str" cm="1">
        <f>IFERROR(INDEX(List_Predictors, INDEX(Array_PredictorsLookup,MATCH($A365,List_PredictorFacilities,0),(COLUMN()-1)/2), 1),"")</f>
        <v/>
      </c>
      <c r="AF365" s="137"/>
    </row>
    <row r="366" spans="1:32" x14ac:dyDescent="0.3">
      <c r="A366" s="126"/>
      <c r="B366" s="141"/>
      <c r="C366" s="58" t="str" cm="1">
        <f>IFERROR(INDEX(List_Predictors, INDEX(Array_PredictorsLookup,MATCH($A366,List_PredictorFacilities,0),(COLUMN()-1)/2), 1),"")</f>
        <v/>
      </c>
      <c r="D366" s="137"/>
      <c r="E366" s="58" t="str" cm="1">
        <f>IFERROR(INDEX(List_Predictors, INDEX(Array_PredictorsLookup,MATCH($A366,List_PredictorFacilities,0),(COLUMN()-1)/2), 1),"")</f>
        <v/>
      </c>
      <c r="F366" s="137"/>
      <c r="G366" s="58" t="str" cm="1">
        <f>IFERROR(INDEX(List_Predictors, INDEX(Array_PredictorsLookup,MATCH($A366,List_PredictorFacilities,0),(COLUMN()-1)/2), 1),"")</f>
        <v/>
      </c>
      <c r="H366" s="137"/>
      <c r="I366" s="58" t="str" cm="1">
        <f>IFERROR(INDEX(List_Predictors, INDEX(Array_PredictorsLookup,MATCH($A366,List_PredictorFacilities,0),(COLUMN()-1)/2), 1),"")</f>
        <v/>
      </c>
      <c r="J366" s="137"/>
      <c r="K366" s="58" t="str" cm="1">
        <f>IFERROR(INDEX(List_Predictors, INDEX(Array_PredictorsLookup,MATCH($A366,List_PredictorFacilities,0),(COLUMN()-1)/2), 1),"")</f>
        <v/>
      </c>
      <c r="L366" s="137"/>
      <c r="M366" s="58" t="str" cm="1">
        <f>IFERROR(INDEX(List_Predictors, INDEX(Array_PredictorsLookup,MATCH($A366,List_PredictorFacilities,0),(COLUMN()-1)/2), 1),"")</f>
        <v/>
      </c>
      <c r="N366" s="137"/>
      <c r="O366" s="58" t="str" cm="1">
        <f>IFERROR(INDEX(List_Predictors, INDEX(Array_PredictorsLookup,MATCH($A366,List_PredictorFacilities,0),(COLUMN()-1)/2), 1),"")</f>
        <v/>
      </c>
      <c r="P366" s="137"/>
      <c r="Q366" s="58" t="str" cm="1">
        <f>IFERROR(INDEX(List_Predictors, INDEX(Array_PredictorsLookup,MATCH($A366,List_PredictorFacilities,0),(COLUMN()-1)/2), 1),"")</f>
        <v/>
      </c>
      <c r="R366" s="137"/>
      <c r="S366" s="58" t="str" cm="1">
        <f>IFERROR(INDEX(List_Predictors, INDEX(Array_PredictorsLookup,MATCH($A366,List_PredictorFacilities,0),(COLUMN()-1)/2), 1),"")</f>
        <v/>
      </c>
      <c r="T366" s="137"/>
      <c r="U366" s="58" t="str" cm="1">
        <f>IFERROR(INDEX(List_Predictors, INDEX(Array_PredictorsLookup,MATCH($A366,List_PredictorFacilities,0),(COLUMN()-1)/2), 1),"")</f>
        <v/>
      </c>
      <c r="V366" s="137"/>
      <c r="W366" s="58" t="str" cm="1">
        <f>IFERROR(INDEX(List_Predictors, INDEX(Array_PredictorsLookup,MATCH($A366,List_PredictorFacilities,0),(COLUMN()-1)/2), 1),"")</f>
        <v/>
      </c>
      <c r="X366" s="137"/>
      <c r="Y366" s="58" t="str" cm="1">
        <f>IFERROR(INDEX(List_Predictors, INDEX(Array_PredictorsLookup,MATCH($A366,List_PredictorFacilities,0),(COLUMN()-1)/2), 1),"")</f>
        <v/>
      </c>
      <c r="Z366" s="137"/>
      <c r="AA366" s="58" t="str" cm="1">
        <f>IFERROR(INDEX(List_Predictors, INDEX(Array_PredictorsLookup,MATCH($A366,List_PredictorFacilities,0),(COLUMN()-1)/2), 1),"")</f>
        <v/>
      </c>
      <c r="AB366" s="137"/>
      <c r="AC366" s="58" t="str" cm="1">
        <f>IFERROR(INDEX(List_Predictors, INDEX(Array_PredictorsLookup,MATCH($A366,List_PredictorFacilities,0),(COLUMN()-1)/2), 1),"")</f>
        <v/>
      </c>
      <c r="AD366" s="137"/>
      <c r="AE366" s="58" t="str" cm="1">
        <f>IFERROR(INDEX(List_Predictors, INDEX(Array_PredictorsLookup,MATCH($A366,List_PredictorFacilities,0),(COLUMN()-1)/2), 1),"")</f>
        <v/>
      </c>
      <c r="AF366" s="137"/>
    </row>
    <row r="367" spans="1:32" x14ac:dyDescent="0.3">
      <c r="A367" s="126"/>
      <c r="B367" s="141"/>
      <c r="C367" s="58" t="str" cm="1">
        <f>IFERROR(INDEX(List_Predictors, INDEX(Array_PredictorsLookup,MATCH($A367,List_PredictorFacilities,0),(COLUMN()-1)/2), 1),"")</f>
        <v/>
      </c>
      <c r="D367" s="137"/>
      <c r="E367" s="58" t="str" cm="1">
        <f>IFERROR(INDEX(List_Predictors, INDEX(Array_PredictorsLookup,MATCH($A367,List_PredictorFacilities,0),(COLUMN()-1)/2), 1),"")</f>
        <v/>
      </c>
      <c r="F367" s="137"/>
      <c r="G367" s="58" t="str" cm="1">
        <f>IFERROR(INDEX(List_Predictors, INDEX(Array_PredictorsLookup,MATCH($A367,List_PredictorFacilities,0),(COLUMN()-1)/2), 1),"")</f>
        <v/>
      </c>
      <c r="H367" s="137"/>
      <c r="I367" s="58" t="str" cm="1">
        <f>IFERROR(INDEX(List_Predictors, INDEX(Array_PredictorsLookup,MATCH($A367,List_PredictorFacilities,0),(COLUMN()-1)/2), 1),"")</f>
        <v/>
      </c>
      <c r="J367" s="137"/>
      <c r="K367" s="58" t="str" cm="1">
        <f>IFERROR(INDEX(List_Predictors, INDEX(Array_PredictorsLookup,MATCH($A367,List_PredictorFacilities,0),(COLUMN()-1)/2), 1),"")</f>
        <v/>
      </c>
      <c r="L367" s="137"/>
      <c r="M367" s="58" t="str" cm="1">
        <f>IFERROR(INDEX(List_Predictors, INDEX(Array_PredictorsLookup,MATCH($A367,List_PredictorFacilities,0),(COLUMN()-1)/2), 1),"")</f>
        <v/>
      </c>
      <c r="N367" s="137"/>
      <c r="O367" s="58" t="str" cm="1">
        <f>IFERROR(INDEX(List_Predictors, INDEX(Array_PredictorsLookup,MATCH($A367,List_PredictorFacilities,0),(COLUMN()-1)/2), 1),"")</f>
        <v/>
      </c>
      <c r="P367" s="137"/>
      <c r="Q367" s="58" t="str" cm="1">
        <f>IFERROR(INDEX(List_Predictors, INDEX(Array_PredictorsLookup,MATCH($A367,List_PredictorFacilities,0),(COLUMN()-1)/2), 1),"")</f>
        <v/>
      </c>
      <c r="R367" s="137"/>
      <c r="S367" s="58" t="str" cm="1">
        <f>IFERROR(INDEX(List_Predictors, INDEX(Array_PredictorsLookup,MATCH($A367,List_PredictorFacilities,0),(COLUMN()-1)/2), 1),"")</f>
        <v/>
      </c>
      <c r="T367" s="137"/>
      <c r="U367" s="58" t="str" cm="1">
        <f>IFERROR(INDEX(List_Predictors, INDEX(Array_PredictorsLookup,MATCH($A367,List_PredictorFacilities,0),(COLUMN()-1)/2), 1),"")</f>
        <v/>
      </c>
      <c r="V367" s="137"/>
      <c r="W367" s="58" t="str" cm="1">
        <f>IFERROR(INDEX(List_Predictors, INDEX(Array_PredictorsLookup,MATCH($A367,List_PredictorFacilities,0),(COLUMN()-1)/2), 1),"")</f>
        <v/>
      </c>
      <c r="X367" s="137"/>
      <c r="Y367" s="58" t="str" cm="1">
        <f>IFERROR(INDEX(List_Predictors, INDEX(Array_PredictorsLookup,MATCH($A367,List_PredictorFacilities,0),(COLUMN()-1)/2), 1),"")</f>
        <v/>
      </c>
      <c r="Z367" s="137"/>
      <c r="AA367" s="58" t="str" cm="1">
        <f>IFERROR(INDEX(List_Predictors, INDEX(Array_PredictorsLookup,MATCH($A367,List_PredictorFacilities,0),(COLUMN()-1)/2), 1),"")</f>
        <v/>
      </c>
      <c r="AB367" s="137"/>
      <c r="AC367" s="58" t="str" cm="1">
        <f>IFERROR(INDEX(List_Predictors, INDEX(Array_PredictorsLookup,MATCH($A367,List_PredictorFacilities,0),(COLUMN()-1)/2), 1),"")</f>
        <v/>
      </c>
      <c r="AD367" s="137"/>
      <c r="AE367" s="58" t="str" cm="1">
        <f>IFERROR(INDEX(List_Predictors, INDEX(Array_PredictorsLookup,MATCH($A367,List_PredictorFacilities,0),(COLUMN()-1)/2), 1),"")</f>
        <v/>
      </c>
      <c r="AF367" s="137"/>
    </row>
    <row r="368" spans="1:32" x14ac:dyDescent="0.3">
      <c r="A368" s="126"/>
      <c r="B368" s="141"/>
      <c r="C368" s="58" t="str" cm="1">
        <f>IFERROR(INDEX(List_Predictors, INDEX(Array_PredictorsLookup,MATCH($A368,List_PredictorFacilities,0),(COLUMN()-1)/2), 1),"")</f>
        <v/>
      </c>
      <c r="D368" s="137"/>
      <c r="E368" s="58" t="str" cm="1">
        <f>IFERROR(INDEX(List_Predictors, INDEX(Array_PredictorsLookup,MATCH($A368,List_PredictorFacilities,0),(COLUMN()-1)/2), 1),"")</f>
        <v/>
      </c>
      <c r="F368" s="137"/>
      <c r="G368" s="58" t="str" cm="1">
        <f>IFERROR(INDEX(List_Predictors, INDEX(Array_PredictorsLookup,MATCH($A368,List_PredictorFacilities,0),(COLUMN()-1)/2), 1),"")</f>
        <v/>
      </c>
      <c r="H368" s="137"/>
      <c r="I368" s="58" t="str" cm="1">
        <f>IFERROR(INDEX(List_Predictors, INDEX(Array_PredictorsLookup,MATCH($A368,List_PredictorFacilities,0),(COLUMN()-1)/2), 1),"")</f>
        <v/>
      </c>
      <c r="J368" s="137"/>
      <c r="K368" s="58" t="str" cm="1">
        <f>IFERROR(INDEX(List_Predictors, INDEX(Array_PredictorsLookup,MATCH($A368,List_PredictorFacilities,0),(COLUMN()-1)/2), 1),"")</f>
        <v/>
      </c>
      <c r="L368" s="137"/>
      <c r="M368" s="58" t="str" cm="1">
        <f>IFERROR(INDEX(List_Predictors, INDEX(Array_PredictorsLookup,MATCH($A368,List_PredictorFacilities,0),(COLUMN()-1)/2), 1),"")</f>
        <v/>
      </c>
      <c r="N368" s="137"/>
      <c r="O368" s="58" t="str" cm="1">
        <f>IFERROR(INDEX(List_Predictors, INDEX(Array_PredictorsLookup,MATCH($A368,List_PredictorFacilities,0),(COLUMN()-1)/2), 1),"")</f>
        <v/>
      </c>
      <c r="P368" s="137"/>
      <c r="Q368" s="58" t="str" cm="1">
        <f>IFERROR(INDEX(List_Predictors, INDEX(Array_PredictorsLookup,MATCH($A368,List_PredictorFacilities,0),(COLUMN()-1)/2), 1),"")</f>
        <v/>
      </c>
      <c r="R368" s="137"/>
      <c r="S368" s="58" t="str" cm="1">
        <f>IFERROR(INDEX(List_Predictors, INDEX(Array_PredictorsLookup,MATCH($A368,List_PredictorFacilities,0),(COLUMN()-1)/2), 1),"")</f>
        <v/>
      </c>
      <c r="T368" s="137"/>
      <c r="U368" s="58" t="str" cm="1">
        <f>IFERROR(INDEX(List_Predictors, INDEX(Array_PredictorsLookup,MATCH($A368,List_PredictorFacilities,0),(COLUMN()-1)/2), 1),"")</f>
        <v/>
      </c>
      <c r="V368" s="137"/>
      <c r="W368" s="58" t="str" cm="1">
        <f>IFERROR(INDEX(List_Predictors, INDEX(Array_PredictorsLookup,MATCH($A368,List_PredictorFacilities,0),(COLUMN()-1)/2), 1),"")</f>
        <v/>
      </c>
      <c r="X368" s="137"/>
      <c r="Y368" s="58" t="str" cm="1">
        <f>IFERROR(INDEX(List_Predictors, INDEX(Array_PredictorsLookup,MATCH($A368,List_PredictorFacilities,0),(COLUMN()-1)/2), 1),"")</f>
        <v/>
      </c>
      <c r="Z368" s="137"/>
      <c r="AA368" s="58" t="str" cm="1">
        <f>IFERROR(INDEX(List_Predictors, INDEX(Array_PredictorsLookup,MATCH($A368,List_PredictorFacilities,0),(COLUMN()-1)/2), 1),"")</f>
        <v/>
      </c>
      <c r="AB368" s="137"/>
      <c r="AC368" s="58" t="str" cm="1">
        <f>IFERROR(INDEX(List_Predictors, INDEX(Array_PredictorsLookup,MATCH($A368,List_PredictorFacilities,0),(COLUMN()-1)/2), 1),"")</f>
        <v/>
      </c>
      <c r="AD368" s="137"/>
      <c r="AE368" s="58" t="str" cm="1">
        <f>IFERROR(INDEX(List_Predictors, INDEX(Array_PredictorsLookup,MATCH($A368,List_PredictorFacilities,0),(COLUMN()-1)/2), 1),"")</f>
        <v/>
      </c>
      <c r="AF368" s="137"/>
    </row>
    <row r="369" spans="1:32" x14ac:dyDescent="0.3">
      <c r="A369" s="126"/>
      <c r="B369" s="141"/>
      <c r="C369" s="58" t="str" cm="1">
        <f>IFERROR(INDEX(List_Predictors, INDEX(Array_PredictorsLookup,MATCH($A369,List_PredictorFacilities,0),(COLUMN()-1)/2), 1),"")</f>
        <v/>
      </c>
      <c r="D369" s="137"/>
      <c r="E369" s="58" t="str" cm="1">
        <f>IFERROR(INDEX(List_Predictors, INDEX(Array_PredictorsLookup,MATCH($A369,List_PredictorFacilities,0),(COLUMN()-1)/2), 1),"")</f>
        <v/>
      </c>
      <c r="F369" s="137"/>
      <c r="G369" s="58" t="str" cm="1">
        <f>IFERROR(INDEX(List_Predictors, INDEX(Array_PredictorsLookup,MATCH($A369,List_PredictorFacilities,0),(COLUMN()-1)/2), 1),"")</f>
        <v/>
      </c>
      <c r="H369" s="137"/>
      <c r="I369" s="58" t="str" cm="1">
        <f>IFERROR(INDEX(List_Predictors, INDEX(Array_PredictorsLookup,MATCH($A369,List_PredictorFacilities,0),(COLUMN()-1)/2), 1),"")</f>
        <v/>
      </c>
      <c r="J369" s="137"/>
      <c r="K369" s="58" t="str" cm="1">
        <f>IFERROR(INDEX(List_Predictors, INDEX(Array_PredictorsLookup,MATCH($A369,List_PredictorFacilities,0),(COLUMN()-1)/2), 1),"")</f>
        <v/>
      </c>
      <c r="L369" s="137"/>
      <c r="M369" s="58" t="str" cm="1">
        <f>IFERROR(INDEX(List_Predictors, INDEX(Array_PredictorsLookup,MATCH($A369,List_PredictorFacilities,0),(COLUMN()-1)/2), 1),"")</f>
        <v/>
      </c>
      <c r="N369" s="137"/>
      <c r="O369" s="58" t="str" cm="1">
        <f>IFERROR(INDEX(List_Predictors, INDEX(Array_PredictorsLookup,MATCH($A369,List_PredictorFacilities,0),(COLUMN()-1)/2), 1),"")</f>
        <v/>
      </c>
      <c r="P369" s="137"/>
      <c r="Q369" s="58" t="str" cm="1">
        <f>IFERROR(INDEX(List_Predictors, INDEX(Array_PredictorsLookup,MATCH($A369,List_PredictorFacilities,0),(COLUMN()-1)/2), 1),"")</f>
        <v/>
      </c>
      <c r="R369" s="137"/>
      <c r="S369" s="58" t="str" cm="1">
        <f>IFERROR(INDEX(List_Predictors, INDEX(Array_PredictorsLookup,MATCH($A369,List_PredictorFacilities,0),(COLUMN()-1)/2), 1),"")</f>
        <v/>
      </c>
      <c r="T369" s="137"/>
      <c r="U369" s="58" t="str" cm="1">
        <f>IFERROR(INDEX(List_Predictors, INDEX(Array_PredictorsLookup,MATCH($A369,List_PredictorFacilities,0),(COLUMN()-1)/2), 1),"")</f>
        <v/>
      </c>
      <c r="V369" s="137"/>
      <c r="W369" s="58" t="str" cm="1">
        <f>IFERROR(INDEX(List_Predictors, INDEX(Array_PredictorsLookup,MATCH($A369,List_PredictorFacilities,0),(COLUMN()-1)/2), 1),"")</f>
        <v/>
      </c>
      <c r="X369" s="137"/>
      <c r="Y369" s="58" t="str" cm="1">
        <f>IFERROR(INDEX(List_Predictors, INDEX(Array_PredictorsLookup,MATCH($A369,List_PredictorFacilities,0),(COLUMN()-1)/2), 1),"")</f>
        <v/>
      </c>
      <c r="Z369" s="137"/>
      <c r="AA369" s="58" t="str" cm="1">
        <f>IFERROR(INDEX(List_Predictors, INDEX(Array_PredictorsLookup,MATCH($A369,List_PredictorFacilities,0),(COLUMN()-1)/2), 1),"")</f>
        <v/>
      </c>
      <c r="AB369" s="137"/>
      <c r="AC369" s="58" t="str" cm="1">
        <f>IFERROR(INDEX(List_Predictors, INDEX(Array_PredictorsLookup,MATCH($A369,List_PredictorFacilities,0),(COLUMN()-1)/2), 1),"")</f>
        <v/>
      </c>
      <c r="AD369" s="137"/>
      <c r="AE369" s="58" t="str" cm="1">
        <f>IFERROR(INDEX(List_Predictors, INDEX(Array_PredictorsLookup,MATCH($A369,List_PredictorFacilities,0),(COLUMN()-1)/2), 1),"")</f>
        <v/>
      </c>
      <c r="AF369" s="137"/>
    </row>
    <row r="370" spans="1:32" x14ac:dyDescent="0.3">
      <c r="A370" s="126"/>
      <c r="B370" s="141"/>
      <c r="C370" s="58" t="str" cm="1">
        <f>IFERROR(INDEX(List_Predictors, INDEX(Array_PredictorsLookup,MATCH($A370,List_PredictorFacilities,0),(COLUMN()-1)/2), 1),"")</f>
        <v/>
      </c>
      <c r="D370" s="137"/>
      <c r="E370" s="58" t="str" cm="1">
        <f>IFERROR(INDEX(List_Predictors, INDEX(Array_PredictorsLookup,MATCH($A370,List_PredictorFacilities,0),(COLUMN()-1)/2), 1),"")</f>
        <v/>
      </c>
      <c r="F370" s="137"/>
      <c r="G370" s="58" t="str" cm="1">
        <f>IFERROR(INDEX(List_Predictors, INDEX(Array_PredictorsLookup,MATCH($A370,List_PredictorFacilities,0),(COLUMN()-1)/2), 1),"")</f>
        <v/>
      </c>
      <c r="H370" s="137"/>
      <c r="I370" s="58" t="str" cm="1">
        <f>IFERROR(INDEX(List_Predictors, INDEX(Array_PredictorsLookup,MATCH($A370,List_PredictorFacilities,0),(COLUMN()-1)/2), 1),"")</f>
        <v/>
      </c>
      <c r="J370" s="137"/>
      <c r="K370" s="58" t="str" cm="1">
        <f>IFERROR(INDEX(List_Predictors, INDEX(Array_PredictorsLookup,MATCH($A370,List_PredictorFacilities,0),(COLUMN()-1)/2), 1),"")</f>
        <v/>
      </c>
      <c r="L370" s="137"/>
      <c r="M370" s="58" t="str" cm="1">
        <f>IFERROR(INDEX(List_Predictors, INDEX(Array_PredictorsLookup,MATCH($A370,List_PredictorFacilities,0),(COLUMN()-1)/2), 1),"")</f>
        <v/>
      </c>
      <c r="N370" s="137"/>
      <c r="O370" s="58" t="str" cm="1">
        <f>IFERROR(INDEX(List_Predictors, INDEX(Array_PredictorsLookup,MATCH($A370,List_PredictorFacilities,0),(COLUMN()-1)/2), 1),"")</f>
        <v/>
      </c>
      <c r="P370" s="137"/>
      <c r="Q370" s="58" t="str" cm="1">
        <f>IFERROR(INDEX(List_Predictors, INDEX(Array_PredictorsLookup,MATCH($A370,List_PredictorFacilities,0),(COLUMN()-1)/2), 1),"")</f>
        <v/>
      </c>
      <c r="R370" s="137"/>
      <c r="S370" s="58" t="str" cm="1">
        <f>IFERROR(INDEX(List_Predictors, INDEX(Array_PredictorsLookup,MATCH($A370,List_PredictorFacilities,0),(COLUMN()-1)/2), 1),"")</f>
        <v/>
      </c>
      <c r="T370" s="137"/>
      <c r="U370" s="58" t="str" cm="1">
        <f>IFERROR(INDEX(List_Predictors, INDEX(Array_PredictorsLookup,MATCH($A370,List_PredictorFacilities,0),(COLUMN()-1)/2), 1),"")</f>
        <v/>
      </c>
      <c r="V370" s="137"/>
      <c r="W370" s="58" t="str" cm="1">
        <f>IFERROR(INDEX(List_Predictors, INDEX(Array_PredictorsLookup,MATCH($A370,List_PredictorFacilities,0),(COLUMN()-1)/2), 1),"")</f>
        <v/>
      </c>
      <c r="X370" s="137"/>
      <c r="Y370" s="58" t="str" cm="1">
        <f>IFERROR(INDEX(List_Predictors, INDEX(Array_PredictorsLookup,MATCH($A370,List_PredictorFacilities,0),(COLUMN()-1)/2), 1),"")</f>
        <v/>
      </c>
      <c r="Z370" s="137"/>
      <c r="AA370" s="58" t="str" cm="1">
        <f>IFERROR(INDEX(List_Predictors, INDEX(Array_PredictorsLookup,MATCH($A370,List_PredictorFacilities,0),(COLUMN()-1)/2), 1),"")</f>
        <v/>
      </c>
      <c r="AB370" s="137"/>
      <c r="AC370" s="58" t="str" cm="1">
        <f>IFERROR(INDEX(List_Predictors, INDEX(Array_PredictorsLookup,MATCH($A370,List_PredictorFacilities,0),(COLUMN()-1)/2), 1),"")</f>
        <v/>
      </c>
      <c r="AD370" s="137"/>
      <c r="AE370" s="58" t="str" cm="1">
        <f>IFERROR(INDEX(List_Predictors, INDEX(Array_PredictorsLookup,MATCH($A370,List_PredictorFacilities,0),(COLUMN()-1)/2), 1),"")</f>
        <v/>
      </c>
      <c r="AF370" s="137"/>
    </row>
    <row r="371" spans="1:32" x14ac:dyDescent="0.3">
      <c r="A371" s="126"/>
      <c r="B371" s="141"/>
      <c r="C371" s="58" t="str" cm="1">
        <f>IFERROR(INDEX(List_Predictors, INDEX(Array_PredictorsLookup,MATCH($A371,List_PredictorFacilities,0),(COLUMN()-1)/2), 1),"")</f>
        <v/>
      </c>
      <c r="D371" s="137"/>
      <c r="E371" s="58" t="str" cm="1">
        <f>IFERROR(INDEX(List_Predictors, INDEX(Array_PredictorsLookup,MATCH($A371,List_PredictorFacilities,0),(COLUMN()-1)/2), 1),"")</f>
        <v/>
      </c>
      <c r="F371" s="137"/>
      <c r="G371" s="58" t="str" cm="1">
        <f>IFERROR(INDEX(List_Predictors, INDEX(Array_PredictorsLookup,MATCH($A371,List_PredictorFacilities,0),(COLUMN()-1)/2), 1),"")</f>
        <v/>
      </c>
      <c r="H371" s="137"/>
      <c r="I371" s="58" t="str" cm="1">
        <f>IFERROR(INDEX(List_Predictors, INDEX(Array_PredictorsLookup,MATCH($A371,List_PredictorFacilities,0),(COLUMN()-1)/2), 1),"")</f>
        <v/>
      </c>
      <c r="J371" s="137"/>
      <c r="K371" s="58" t="str" cm="1">
        <f>IFERROR(INDEX(List_Predictors, INDEX(Array_PredictorsLookup,MATCH($A371,List_PredictorFacilities,0),(COLUMN()-1)/2), 1),"")</f>
        <v/>
      </c>
      <c r="L371" s="137"/>
      <c r="M371" s="58" t="str" cm="1">
        <f>IFERROR(INDEX(List_Predictors, INDEX(Array_PredictorsLookup,MATCH($A371,List_PredictorFacilities,0),(COLUMN()-1)/2), 1),"")</f>
        <v/>
      </c>
      <c r="N371" s="137"/>
      <c r="O371" s="58" t="str" cm="1">
        <f>IFERROR(INDEX(List_Predictors, INDEX(Array_PredictorsLookup,MATCH($A371,List_PredictorFacilities,0),(COLUMN()-1)/2), 1),"")</f>
        <v/>
      </c>
      <c r="P371" s="137"/>
      <c r="Q371" s="58" t="str" cm="1">
        <f>IFERROR(INDEX(List_Predictors, INDEX(Array_PredictorsLookup,MATCH($A371,List_PredictorFacilities,0),(COLUMN()-1)/2), 1),"")</f>
        <v/>
      </c>
      <c r="R371" s="137"/>
      <c r="S371" s="58" t="str" cm="1">
        <f>IFERROR(INDEX(List_Predictors, INDEX(Array_PredictorsLookup,MATCH($A371,List_PredictorFacilities,0),(COLUMN()-1)/2), 1),"")</f>
        <v/>
      </c>
      <c r="T371" s="137"/>
      <c r="U371" s="58" t="str" cm="1">
        <f>IFERROR(INDEX(List_Predictors, INDEX(Array_PredictorsLookup,MATCH($A371,List_PredictorFacilities,0),(COLUMN()-1)/2), 1),"")</f>
        <v/>
      </c>
      <c r="V371" s="137"/>
      <c r="W371" s="58" t="str" cm="1">
        <f>IFERROR(INDEX(List_Predictors, INDEX(Array_PredictorsLookup,MATCH($A371,List_PredictorFacilities,0),(COLUMN()-1)/2), 1),"")</f>
        <v/>
      </c>
      <c r="X371" s="137"/>
      <c r="Y371" s="58" t="str" cm="1">
        <f>IFERROR(INDEX(List_Predictors, INDEX(Array_PredictorsLookup,MATCH($A371,List_PredictorFacilities,0),(COLUMN()-1)/2), 1),"")</f>
        <v/>
      </c>
      <c r="Z371" s="137"/>
      <c r="AA371" s="58" t="str" cm="1">
        <f>IFERROR(INDEX(List_Predictors, INDEX(Array_PredictorsLookup,MATCH($A371,List_PredictorFacilities,0),(COLUMN()-1)/2), 1),"")</f>
        <v/>
      </c>
      <c r="AB371" s="137"/>
      <c r="AC371" s="58" t="str" cm="1">
        <f>IFERROR(INDEX(List_Predictors, INDEX(Array_PredictorsLookup,MATCH($A371,List_PredictorFacilities,0),(COLUMN()-1)/2), 1),"")</f>
        <v/>
      </c>
      <c r="AD371" s="137"/>
      <c r="AE371" s="58" t="str" cm="1">
        <f>IFERROR(INDEX(List_Predictors, INDEX(Array_PredictorsLookup,MATCH($A371,List_PredictorFacilities,0),(COLUMN()-1)/2), 1),"")</f>
        <v/>
      </c>
      <c r="AF371" s="137"/>
    </row>
    <row r="372" spans="1:32" x14ac:dyDescent="0.3">
      <c r="A372" s="126"/>
      <c r="B372" s="141"/>
      <c r="C372" s="58" t="str" cm="1">
        <f>IFERROR(INDEX(List_Predictors, INDEX(Array_PredictorsLookup,MATCH($A372,List_PredictorFacilities,0),(COLUMN()-1)/2), 1),"")</f>
        <v/>
      </c>
      <c r="D372" s="137"/>
      <c r="E372" s="58" t="str" cm="1">
        <f>IFERROR(INDEX(List_Predictors, INDEX(Array_PredictorsLookup,MATCH($A372,List_PredictorFacilities,0),(COLUMN()-1)/2), 1),"")</f>
        <v/>
      </c>
      <c r="F372" s="137"/>
      <c r="G372" s="58" t="str" cm="1">
        <f>IFERROR(INDEX(List_Predictors, INDEX(Array_PredictorsLookup,MATCH($A372,List_PredictorFacilities,0),(COLUMN()-1)/2), 1),"")</f>
        <v/>
      </c>
      <c r="H372" s="137"/>
      <c r="I372" s="58" t="str" cm="1">
        <f>IFERROR(INDEX(List_Predictors, INDEX(Array_PredictorsLookup,MATCH($A372,List_PredictorFacilities,0),(COLUMN()-1)/2), 1),"")</f>
        <v/>
      </c>
      <c r="J372" s="137"/>
      <c r="K372" s="58" t="str" cm="1">
        <f>IFERROR(INDEX(List_Predictors, INDEX(Array_PredictorsLookup,MATCH($A372,List_PredictorFacilities,0),(COLUMN()-1)/2), 1),"")</f>
        <v/>
      </c>
      <c r="L372" s="137"/>
      <c r="M372" s="58" t="str" cm="1">
        <f>IFERROR(INDEX(List_Predictors, INDEX(Array_PredictorsLookup,MATCH($A372,List_PredictorFacilities,0),(COLUMN()-1)/2), 1),"")</f>
        <v/>
      </c>
      <c r="N372" s="137"/>
      <c r="O372" s="58" t="str" cm="1">
        <f>IFERROR(INDEX(List_Predictors, INDEX(Array_PredictorsLookup,MATCH($A372,List_PredictorFacilities,0),(COLUMN()-1)/2), 1),"")</f>
        <v/>
      </c>
      <c r="P372" s="137"/>
      <c r="Q372" s="58" t="str" cm="1">
        <f>IFERROR(INDEX(List_Predictors, INDEX(Array_PredictorsLookup,MATCH($A372,List_PredictorFacilities,0),(COLUMN()-1)/2), 1),"")</f>
        <v/>
      </c>
      <c r="R372" s="137"/>
      <c r="S372" s="58" t="str" cm="1">
        <f>IFERROR(INDEX(List_Predictors, INDEX(Array_PredictorsLookup,MATCH($A372,List_PredictorFacilities,0),(COLUMN()-1)/2), 1),"")</f>
        <v/>
      </c>
      <c r="T372" s="137"/>
      <c r="U372" s="58" t="str" cm="1">
        <f>IFERROR(INDEX(List_Predictors, INDEX(Array_PredictorsLookup,MATCH($A372,List_PredictorFacilities,0),(COLUMN()-1)/2), 1),"")</f>
        <v/>
      </c>
      <c r="V372" s="137"/>
      <c r="W372" s="58" t="str" cm="1">
        <f>IFERROR(INDEX(List_Predictors, INDEX(Array_PredictorsLookup,MATCH($A372,List_PredictorFacilities,0),(COLUMN()-1)/2), 1),"")</f>
        <v/>
      </c>
      <c r="X372" s="137"/>
      <c r="Y372" s="58" t="str" cm="1">
        <f>IFERROR(INDEX(List_Predictors, INDEX(Array_PredictorsLookup,MATCH($A372,List_PredictorFacilities,0),(COLUMN()-1)/2), 1),"")</f>
        <v/>
      </c>
      <c r="Z372" s="137"/>
      <c r="AA372" s="58" t="str" cm="1">
        <f>IFERROR(INDEX(List_Predictors, INDEX(Array_PredictorsLookup,MATCH($A372,List_PredictorFacilities,0),(COLUMN()-1)/2), 1),"")</f>
        <v/>
      </c>
      <c r="AB372" s="137"/>
      <c r="AC372" s="58" t="str" cm="1">
        <f>IFERROR(INDEX(List_Predictors, INDEX(Array_PredictorsLookup,MATCH($A372,List_PredictorFacilities,0),(COLUMN()-1)/2), 1),"")</f>
        <v/>
      </c>
      <c r="AD372" s="137"/>
      <c r="AE372" s="58" t="str" cm="1">
        <f>IFERROR(INDEX(List_Predictors, INDEX(Array_PredictorsLookup,MATCH($A372,List_PredictorFacilities,0),(COLUMN()-1)/2), 1),"")</f>
        <v/>
      </c>
      <c r="AF372" s="137"/>
    </row>
    <row r="373" spans="1:32" x14ac:dyDescent="0.3">
      <c r="A373" s="126"/>
      <c r="B373" s="141"/>
      <c r="C373" s="58" t="str" cm="1">
        <f>IFERROR(INDEX(List_Predictors, INDEX(Array_PredictorsLookup,MATCH($A373,List_PredictorFacilities,0),(COLUMN()-1)/2), 1),"")</f>
        <v/>
      </c>
      <c r="D373" s="137"/>
      <c r="E373" s="58" t="str" cm="1">
        <f>IFERROR(INDEX(List_Predictors, INDEX(Array_PredictorsLookup,MATCH($A373,List_PredictorFacilities,0),(COLUMN()-1)/2), 1),"")</f>
        <v/>
      </c>
      <c r="F373" s="137"/>
      <c r="G373" s="58" t="str" cm="1">
        <f>IFERROR(INDEX(List_Predictors, INDEX(Array_PredictorsLookup,MATCH($A373,List_PredictorFacilities,0),(COLUMN()-1)/2), 1),"")</f>
        <v/>
      </c>
      <c r="H373" s="137"/>
      <c r="I373" s="58" t="str" cm="1">
        <f>IFERROR(INDEX(List_Predictors, INDEX(Array_PredictorsLookup,MATCH($A373,List_PredictorFacilities,0),(COLUMN()-1)/2), 1),"")</f>
        <v/>
      </c>
      <c r="J373" s="137"/>
      <c r="K373" s="58" t="str" cm="1">
        <f>IFERROR(INDEX(List_Predictors, INDEX(Array_PredictorsLookup,MATCH($A373,List_PredictorFacilities,0),(COLUMN()-1)/2), 1),"")</f>
        <v/>
      </c>
      <c r="L373" s="137"/>
      <c r="M373" s="58" t="str" cm="1">
        <f>IFERROR(INDEX(List_Predictors, INDEX(Array_PredictorsLookup,MATCH($A373,List_PredictorFacilities,0),(COLUMN()-1)/2), 1),"")</f>
        <v/>
      </c>
      <c r="N373" s="137"/>
      <c r="O373" s="58" t="str" cm="1">
        <f>IFERROR(INDEX(List_Predictors, INDEX(Array_PredictorsLookup,MATCH($A373,List_PredictorFacilities,0),(COLUMN()-1)/2), 1),"")</f>
        <v/>
      </c>
      <c r="P373" s="137"/>
      <c r="Q373" s="58" t="str" cm="1">
        <f>IFERROR(INDEX(List_Predictors, INDEX(Array_PredictorsLookup,MATCH($A373,List_PredictorFacilities,0),(COLUMN()-1)/2), 1),"")</f>
        <v/>
      </c>
      <c r="R373" s="137"/>
      <c r="S373" s="58" t="str" cm="1">
        <f>IFERROR(INDEX(List_Predictors, INDEX(Array_PredictorsLookup,MATCH($A373,List_PredictorFacilities,0),(COLUMN()-1)/2), 1),"")</f>
        <v/>
      </c>
      <c r="T373" s="137"/>
      <c r="U373" s="58" t="str" cm="1">
        <f>IFERROR(INDEX(List_Predictors, INDEX(Array_PredictorsLookup,MATCH($A373,List_PredictorFacilities,0),(COLUMN()-1)/2), 1),"")</f>
        <v/>
      </c>
      <c r="V373" s="137"/>
      <c r="W373" s="58" t="str" cm="1">
        <f>IFERROR(INDEX(List_Predictors, INDEX(Array_PredictorsLookup,MATCH($A373,List_PredictorFacilities,0),(COLUMN()-1)/2), 1),"")</f>
        <v/>
      </c>
      <c r="X373" s="137"/>
      <c r="Y373" s="58" t="str" cm="1">
        <f>IFERROR(INDEX(List_Predictors, INDEX(Array_PredictorsLookup,MATCH($A373,List_PredictorFacilities,0),(COLUMN()-1)/2), 1),"")</f>
        <v/>
      </c>
      <c r="Z373" s="137"/>
      <c r="AA373" s="58" t="str" cm="1">
        <f>IFERROR(INDEX(List_Predictors, INDEX(Array_PredictorsLookup,MATCH($A373,List_PredictorFacilities,0),(COLUMN()-1)/2), 1),"")</f>
        <v/>
      </c>
      <c r="AB373" s="137"/>
      <c r="AC373" s="58" t="str" cm="1">
        <f>IFERROR(INDEX(List_Predictors, INDEX(Array_PredictorsLookup,MATCH($A373,List_PredictorFacilities,0),(COLUMN()-1)/2), 1),"")</f>
        <v/>
      </c>
      <c r="AD373" s="137"/>
      <c r="AE373" s="58" t="str" cm="1">
        <f>IFERROR(INDEX(List_Predictors, INDEX(Array_PredictorsLookup,MATCH($A373,List_PredictorFacilities,0),(COLUMN()-1)/2), 1),"")</f>
        <v/>
      </c>
      <c r="AF373" s="137"/>
    </row>
    <row r="374" spans="1:32" x14ac:dyDescent="0.3">
      <c r="A374" s="126"/>
      <c r="B374" s="141"/>
      <c r="C374" s="58" t="str" cm="1">
        <f>IFERROR(INDEX(List_Predictors, INDEX(Array_PredictorsLookup,MATCH($A374,List_PredictorFacilities,0),(COLUMN()-1)/2), 1),"")</f>
        <v/>
      </c>
      <c r="D374" s="137"/>
      <c r="E374" s="58" t="str" cm="1">
        <f>IFERROR(INDEX(List_Predictors, INDEX(Array_PredictorsLookup,MATCH($A374,List_PredictorFacilities,0),(COLUMN()-1)/2), 1),"")</f>
        <v/>
      </c>
      <c r="F374" s="137"/>
      <c r="G374" s="58" t="str" cm="1">
        <f>IFERROR(INDEX(List_Predictors, INDEX(Array_PredictorsLookup,MATCH($A374,List_PredictorFacilities,0),(COLUMN()-1)/2), 1),"")</f>
        <v/>
      </c>
      <c r="H374" s="137"/>
      <c r="I374" s="58" t="str" cm="1">
        <f>IFERROR(INDEX(List_Predictors, INDEX(Array_PredictorsLookup,MATCH($A374,List_PredictorFacilities,0),(COLUMN()-1)/2), 1),"")</f>
        <v/>
      </c>
      <c r="J374" s="137"/>
      <c r="K374" s="58" t="str" cm="1">
        <f>IFERROR(INDEX(List_Predictors, INDEX(Array_PredictorsLookup,MATCH($A374,List_PredictorFacilities,0),(COLUMN()-1)/2), 1),"")</f>
        <v/>
      </c>
      <c r="L374" s="137"/>
      <c r="M374" s="58" t="str" cm="1">
        <f>IFERROR(INDEX(List_Predictors, INDEX(Array_PredictorsLookup,MATCH($A374,List_PredictorFacilities,0),(COLUMN()-1)/2), 1),"")</f>
        <v/>
      </c>
      <c r="N374" s="137"/>
      <c r="O374" s="58" t="str" cm="1">
        <f>IFERROR(INDEX(List_Predictors, INDEX(Array_PredictorsLookup,MATCH($A374,List_PredictorFacilities,0),(COLUMN()-1)/2), 1),"")</f>
        <v/>
      </c>
      <c r="P374" s="137"/>
      <c r="Q374" s="58" t="str" cm="1">
        <f>IFERROR(INDEX(List_Predictors, INDEX(Array_PredictorsLookup,MATCH($A374,List_PredictorFacilities,0),(COLUMN()-1)/2), 1),"")</f>
        <v/>
      </c>
      <c r="R374" s="137"/>
      <c r="S374" s="58" t="str" cm="1">
        <f>IFERROR(INDEX(List_Predictors, INDEX(Array_PredictorsLookup,MATCH($A374,List_PredictorFacilities,0),(COLUMN()-1)/2), 1),"")</f>
        <v/>
      </c>
      <c r="T374" s="137"/>
      <c r="U374" s="58" t="str" cm="1">
        <f>IFERROR(INDEX(List_Predictors, INDEX(Array_PredictorsLookup,MATCH($A374,List_PredictorFacilities,0),(COLUMN()-1)/2), 1),"")</f>
        <v/>
      </c>
      <c r="V374" s="137"/>
      <c r="W374" s="58" t="str" cm="1">
        <f>IFERROR(INDEX(List_Predictors, INDEX(Array_PredictorsLookup,MATCH($A374,List_PredictorFacilities,0),(COLUMN()-1)/2), 1),"")</f>
        <v/>
      </c>
      <c r="X374" s="137"/>
      <c r="Y374" s="58" t="str" cm="1">
        <f>IFERROR(INDEX(List_Predictors, INDEX(Array_PredictorsLookup,MATCH($A374,List_PredictorFacilities,0),(COLUMN()-1)/2), 1),"")</f>
        <v/>
      </c>
      <c r="Z374" s="137"/>
      <c r="AA374" s="58" t="str" cm="1">
        <f>IFERROR(INDEX(List_Predictors, INDEX(Array_PredictorsLookup,MATCH($A374,List_PredictorFacilities,0),(COLUMN()-1)/2), 1),"")</f>
        <v/>
      </c>
      <c r="AB374" s="137"/>
      <c r="AC374" s="58" t="str" cm="1">
        <f>IFERROR(INDEX(List_Predictors, INDEX(Array_PredictorsLookup,MATCH($A374,List_PredictorFacilities,0),(COLUMN()-1)/2), 1),"")</f>
        <v/>
      </c>
      <c r="AD374" s="137"/>
      <c r="AE374" s="58" t="str" cm="1">
        <f>IFERROR(INDEX(List_Predictors, INDEX(Array_PredictorsLookup,MATCH($A374,List_PredictorFacilities,0),(COLUMN()-1)/2), 1),"")</f>
        <v/>
      </c>
      <c r="AF374" s="137"/>
    </row>
    <row r="375" spans="1:32" x14ac:dyDescent="0.3">
      <c r="A375" s="126"/>
      <c r="B375" s="141"/>
      <c r="C375" s="58" t="str" cm="1">
        <f>IFERROR(INDEX(List_Predictors, INDEX(Array_PredictorsLookup,MATCH($A375,List_PredictorFacilities,0),(COLUMN()-1)/2), 1),"")</f>
        <v/>
      </c>
      <c r="D375" s="137"/>
      <c r="E375" s="58" t="str" cm="1">
        <f>IFERROR(INDEX(List_Predictors, INDEX(Array_PredictorsLookup,MATCH($A375,List_PredictorFacilities,0),(COLUMN()-1)/2), 1),"")</f>
        <v/>
      </c>
      <c r="F375" s="137"/>
      <c r="G375" s="58" t="str" cm="1">
        <f>IFERROR(INDEX(List_Predictors, INDEX(Array_PredictorsLookup,MATCH($A375,List_PredictorFacilities,0),(COLUMN()-1)/2), 1),"")</f>
        <v/>
      </c>
      <c r="H375" s="137"/>
      <c r="I375" s="58" t="str" cm="1">
        <f>IFERROR(INDEX(List_Predictors, INDEX(Array_PredictorsLookup,MATCH($A375,List_PredictorFacilities,0),(COLUMN()-1)/2), 1),"")</f>
        <v/>
      </c>
      <c r="J375" s="137"/>
      <c r="K375" s="58" t="str" cm="1">
        <f>IFERROR(INDEX(List_Predictors, INDEX(Array_PredictorsLookup,MATCH($A375,List_PredictorFacilities,0),(COLUMN()-1)/2), 1),"")</f>
        <v/>
      </c>
      <c r="L375" s="137"/>
      <c r="M375" s="58" t="str" cm="1">
        <f>IFERROR(INDEX(List_Predictors, INDEX(Array_PredictorsLookup,MATCH($A375,List_PredictorFacilities,0),(COLUMN()-1)/2), 1),"")</f>
        <v/>
      </c>
      <c r="N375" s="137"/>
      <c r="O375" s="58" t="str" cm="1">
        <f>IFERROR(INDEX(List_Predictors, INDEX(Array_PredictorsLookup,MATCH($A375,List_PredictorFacilities,0),(COLUMN()-1)/2), 1),"")</f>
        <v/>
      </c>
      <c r="P375" s="137"/>
      <c r="Q375" s="58" t="str" cm="1">
        <f>IFERROR(INDEX(List_Predictors, INDEX(Array_PredictorsLookup,MATCH($A375,List_PredictorFacilities,0),(COLUMN()-1)/2), 1),"")</f>
        <v/>
      </c>
      <c r="R375" s="137"/>
      <c r="S375" s="58" t="str" cm="1">
        <f>IFERROR(INDEX(List_Predictors, INDEX(Array_PredictorsLookup,MATCH($A375,List_PredictorFacilities,0),(COLUMN()-1)/2), 1),"")</f>
        <v/>
      </c>
      <c r="T375" s="137"/>
      <c r="U375" s="58" t="str" cm="1">
        <f>IFERROR(INDEX(List_Predictors, INDEX(Array_PredictorsLookup,MATCH($A375,List_PredictorFacilities,0),(COLUMN()-1)/2), 1),"")</f>
        <v/>
      </c>
      <c r="V375" s="137"/>
      <c r="W375" s="58" t="str" cm="1">
        <f>IFERROR(INDEX(List_Predictors, INDEX(Array_PredictorsLookup,MATCH($A375,List_PredictorFacilities,0),(COLUMN()-1)/2), 1),"")</f>
        <v/>
      </c>
      <c r="X375" s="137"/>
      <c r="Y375" s="58" t="str" cm="1">
        <f>IFERROR(INDEX(List_Predictors, INDEX(Array_PredictorsLookup,MATCH($A375,List_PredictorFacilities,0),(COLUMN()-1)/2), 1),"")</f>
        <v/>
      </c>
      <c r="Z375" s="137"/>
      <c r="AA375" s="58" t="str" cm="1">
        <f>IFERROR(INDEX(List_Predictors, INDEX(Array_PredictorsLookup,MATCH($A375,List_PredictorFacilities,0),(COLUMN()-1)/2), 1),"")</f>
        <v/>
      </c>
      <c r="AB375" s="137"/>
      <c r="AC375" s="58" t="str" cm="1">
        <f>IFERROR(INDEX(List_Predictors, INDEX(Array_PredictorsLookup,MATCH($A375,List_PredictorFacilities,0),(COLUMN()-1)/2), 1),"")</f>
        <v/>
      </c>
      <c r="AD375" s="137"/>
      <c r="AE375" s="58" t="str" cm="1">
        <f>IFERROR(INDEX(List_Predictors, INDEX(Array_PredictorsLookup,MATCH($A375,List_PredictorFacilities,0),(COLUMN()-1)/2), 1),"")</f>
        <v/>
      </c>
      <c r="AF375" s="137"/>
    </row>
    <row r="376" spans="1:32" x14ac:dyDescent="0.3">
      <c r="A376" s="126"/>
      <c r="B376" s="141"/>
      <c r="C376" s="58" t="str" cm="1">
        <f>IFERROR(INDEX(List_Predictors, INDEX(Array_PredictorsLookup,MATCH($A376,List_PredictorFacilities,0),(COLUMN()-1)/2), 1),"")</f>
        <v/>
      </c>
      <c r="D376" s="137"/>
      <c r="E376" s="58" t="str" cm="1">
        <f>IFERROR(INDEX(List_Predictors, INDEX(Array_PredictorsLookup,MATCH($A376,List_PredictorFacilities,0),(COLUMN()-1)/2), 1),"")</f>
        <v/>
      </c>
      <c r="F376" s="137"/>
      <c r="G376" s="58" t="str" cm="1">
        <f>IFERROR(INDEX(List_Predictors, INDEX(Array_PredictorsLookup,MATCH($A376,List_PredictorFacilities,0),(COLUMN()-1)/2), 1),"")</f>
        <v/>
      </c>
      <c r="H376" s="137"/>
      <c r="I376" s="58" t="str" cm="1">
        <f>IFERROR(INDEX(List_Predictors, INDEX(Array_PredictorsLookup,MATCH($A376,List_PredictorFacilities,0),(COLUMN()-1)/2), 1),"")</f>
        <v/>
      </c>
      <c r="J376" s="137"/>
      <c r="K376" s="58" t="str" cm="1">
        <f>IFERROR(INDEX(List_Predictors, INDEX(Array_PredictorsLookup,MATCH($A376,List_PredictorFacilities,0),(COLUMN()-1)/2), 1),"")</f>
        <v/>
      </c>
      <c r="L376" s="137"/>
      <c r="M376" s="58" t="str" cm="1">
        <f>IFERROR(INDEX(List_Predictors, INDEX(Array_PredictorsLookup,MATCH($A376,List_PredictorFacilities,0),(COLUMN()-1)/2), 1),"")</f>
        <v/>
      </c>
      <c r="N376" s="137"/>
      <c r="O376" s="58" t="str" cm="1">
        <f>IFERROR(INDEX(List_Predictors, INDEX(Array_PredictorsLookup,MATCH($A376,List_PredictorFacilities,0),(COLUMN()-1)/2), 1),"")</f>
        <v/>
      </c>
      <c r="P376" s="137"/>
      <c r="Q376" s="58" t="str" cm="1">
        <f>IFERROR(INDEX(List_Predictors, INDEX(Array_PredictorsLookup,MATCH($A376,List_PredictorFacilities,0),(COLUMN()-1)/2), 1),"")</f>
        <v/>
      </c>
      <c r="R376" s="137"/>
      <c r="S376" s="58" t="str" cm="1">
        <f>IFERROR(INDEX(List_Predictors, INDEX(Array_PredictorsLookup,MATCH($A376,List_PredictorFacilities,0),(COLUMN()-1)/2), 1),"")</f>
        <v/>
      </c>
      <c r="T376" s="137"/>
      <c r="U376" s="58" t="str" cm="1">
        <f>IFERROR(INDEX(List_Predictors, INDEX(Array_PredictorsLookup,MATCH($A376,List_PredictorFacilities,0),(COLUMN()-1)/2), 1),"")</f>
        <v/>
      </c>
      <c r="V376" s="137"/>
      <c r="W376" s="58" t="str" cm="1">
        <f>IFERROR(INDEX(List_Predictors, INDEX(Array_PredictorsLookup,MATCH($A376,List_PredictorFacilities,0),(COLUMN()-1)/2), 1),"")</f>
        <v/>
      </c>
      <c r="X376" s="137"/>
      <c r="Y376" s="58" t="str" cm="1">
        <f>IFERROR(INDEX(List_Predictors, INDEX(Array_PredictorsLookup,MATCH($A376,List_PredictorFacilities,0),(COLUMN()-1)/2), 1),"")</f>
        <v/>
      </c>
      <c r="Z376" s="137"/>
      <c r="AA376" s="58" t="str" cm="1">
        <f>IFERROR(INDEX(List_Predictors, INDEX(Array_PredictorsLookup,MATCH($A376,List_PredictorFacilities,0),(COLUMN()-1)/2), 1),"")</f>
        <v/>
      </c>
      <c r="AB376" s="137"/>
      <c r="AC376" s="58" t="str" cm="1">
        <f>IFERROR(INDEX(List_Predictors, INDEX(Array_PredictorsLookup,MATCH($A376,List_PredictorFacilities,0),(COLUMN()-1)/2), 1),"")</f>
        <v/>
      </c>
      <c r="AD376" s="137"/>
      <c r="AE376" s="58" t="str" cm="1">
        <f>IFERROR(INDEX(List_Predictors, INDEX(Array_PredictorsLookup,MATCH($A376,List_PredictorFacilities,0),(COLUMN()-1)/2), 1),"")</f>
        <v/>
      </c>
      <c r="AF376" s="137"/>
    </row>
    <row r="377" spans="1:32" x14ac:dyDescent="0.3">
      <c r="A377" s="126"/>
      <c r="B377" s="141"/>
      <c r="C377" s="58" t="str" cm="1">
        <f>IFERROR(INDEX(List_Predictors, INDEX(Array_PredictorsLookup,MATCH($A377,List_PredictorFacilities,0),(COLUMN()-1)/2), 1),"")</f>
        <v/>
      </c>
      <c r="D377" s="137"/>
      <c r="E377" s="58" t="str" cm="1">
        <f>IFERROR(INDEX(List_Predictors, INDEX(Array_PredictorsLookup,MATCH($A377,List_PredictorFacilities,0),(COLUMN()-1)/2), 1),"")</f>
        <v/>
      </c>
      <c r="F377" s="137"/>
      <c r="G377" s="58" t="str" cm="1">
        <f>IFERROR(INDEX(List_Predictors, INDEX(Array_PredictorsLookup,MATCH($A377,List_PredictorFacilities,0),(COLUMN()-1)/2), 1),"")</f>
        <v/>
      </c>
      <c r="H377" s="137"/>
      <c r="I377" s="58" t="str" cm="1">
        <f>IFERROR(INDEX(List_Predictors, INDEX(Array_PredictorsLookup,MATCH($A377,List_PredictorFacilities,0),(COLUMN()-1)/2), 1),"")</f>
        <v/>
      </c>
      <c r="J377" s="137"/>
      <c r="K377" s="58" t="str" cm="1">
        <f>IFERROR(INDEX(List_Predictors, INDEX(Array_PredictorsLookup,MATCH($A377,List_PredictorFacilities,0),(COLUMN()-1)/2), 1),"")</f>
        <v/>
      </c>
      <c r="L377" s="137"/>
      <c r="M377" s="58" t="str" cm="1">
        <f>IFERROR(INDEX(List_Predictors, INDEX(Array_PredictorsLookup,MATCH($A377,List_PredictorFacilities,0),(COLUMN()-1)/2), 1),"")</f>
        <v/>
      </c>
      <c r="N377" s="137"/>
      <c r="O377" s="58" t="str" cm="1">
        <f>IFERROR(INDEX(List_Predictors, INDEX(Array_PredictorsLookup,MATCH($A377,List_PredictorFacilities,0),(COLUMN()-1)/2), 1),"")</f>
        <v/>
      </c>
      <c r="P377" s="137"/>
      <c r="Q377" s="58" t="str" cm="1">
        <f>IFERROR(INDEX(List_Predictors, INDEX(Array_PredictorsLookup,MATCH($A377,List_PredictorFacilities,0),(COLUMN()-1)/2), 1),"")</f>
        <v/>
      </c>
      <c r="R377" s="137"/>
      <c r="S377" s="58" t="str" cm="1">
        <f>IFERROR(INDEX(List_Predictors, INDEX(Array_PredictorsLookup,MATCH($A377,List_PredictorFacilities,0),(COLUMN()-1)/2), 1),"")</f>
        <v/>
      </c>
      <c r="T377" s="137"/>
      <c r="U377" s="58" t="str" cm="1">
        <f>IFERROR(INDEX(List_Predictors, INDEX(Array_PredictorsLookup,MATCH($A377,List_PredictorFacilities,0),(COLUMN()-1)/2), 1),"")</f>
        <v/>
      </c>
      <c r="V377" s="137"/>
      <c r="W377" s="58" t="str" cm="1">
        <f>IFERROR(INDEX(List_Predictors, INDEX(Array_PredictorsLookup,MATCH($A377,List_PredictorFacilities,0),(COLUMN()-1)/2), 1),"")</f>
        <v/>
      </c>
      <c r="X377" s="137"/>
      <c r="Y377" s="58" t="str" cm="1">
        <f>IFERROR(INDEX(List_Predictors, INDEX(Array_PredictorsLookup,MATCH($A377,List_PredictorFacilities,0),(COLUMN()-1)/2), 1),"")</f>
        <v/>
      </c>
      <c r="Z377" s="137"/>
      <c r="AA377" s="58" t="str" cm="1">
        <f>IFERROR(INDEX(List_Predictors, INDEX(Array_PredictorsLookup,MATCH($A377,List_PredictorFacilities,0),(COLUMN()-1)/2), 1),"")</f>
        <v/>
      </c>
      <c r="AB377" s="137"/>
      <c r="AC377" s="58" t="str" cm="1">
        <f>IFERROR(INDEX(List_Predictors, INDEX(Array_PredictorsLookup,MATCH($A377,List_PredictorFacilities,0),(COLUMN()-1)/2), 1),"")</f>
        <v/>
      </c>
      <c r="AD377" s="137"/>
      <c r="AE377" s="58" t="str" cm="1">
        <f>IFERROR(INDEX(List_Predictors, INDEX(Array_PredictorsLookup,MATCH($A377,List_PredictorFacilities,0),(COLUMN()-1)/2), 1),"")</f>
        <v/>
      </c>
      <c r="AF377" s="137"/>
    </row>
    <row r="378" spans="1:32" x14ac:dyDescent="0.3">
      <c r="A378" s="126"/>
      <c r="B378" s="141"/>
      <c r="C378" s="58" t="str" cm="1">
        <f>IFERROR(INDEX(List_Predictors, INDEX(Array_PredictorsLookup,MATCH($A378,List_PredictorFacilities,0),(COLUMN()-1)/2), 1),"")</f>
        <v/>
      </c>
      <c r="D378" s="137"/>
      <c r="E378" s="58" t="str" cm="1">
        <f>IFERROR(INDEX(List_Predictors, INDEX(Array_PredictorsLookup,MATCH($A378,List_PredictorFacilities,0),(COLUMN()-1)/2), 1),"")</f>
        <v/>
      </c>
      <c r="F378" s="137"/>
      <c r="G378" s="58" t="str" cm="1">
        <f>IFERROR(INDEX(List_Predictors, INDEX(Array_PredictorsLookup,MATCH($A378,List_PredictorFacilities,0),(COLUMN()-1)/2), 1),"")</f>
        <v/>
      </c>
      <c r="H378" s="137"/>
      <c r="I378" s="58" t="str" cm="1">
        <f>IFERROR(INDEX(List_Predictors, INDEX(Array_PredictorsLookup,MATCH($A378,List_PredictorFacilities,0),(COLUMN()-1)/2), 1),"")</f>
        <v/>
      </c>
      <c r="J378" s="137"/>
      <c r="K378" s="58" t="str" cm="1">
        <f>IFERROR(INDEX(List_Predictors, INDEX(Array_PredictorsLookup,MATCH($A378,List_PredictorFacilities,0),(COLUMN()-1)/2), 1),"")</f>
        <v/>
      </c>
      <c r="L378" s="137"/>
      <c r="M378" s="58" t="str" cm="1">
        <f>IFERROR(INDEX(List_Predictors, INDEX(Array_PredictorsLookup,MATCH($A378,List_PredictorFacilities,0),(COLUMN()-1)/2), 1),"")</f>
        <v/>
      </c>
      <c r="N378" s="137"/>
      <c r="O378" s="58" t="str" cm="1">
        <f>IFERROR(INDEX(List_Predictors, INDEX(Array_PredictorsLookup,MATCH($A378,List_PredictorFacilities,0),(COLUMN()-1)/2), 1),"")</f>
        <v/>
      </c>
      <c r="P378" s="137"/>
      <c r="Q378" s="58" t="str" cm="1">
        <f>IFERROR(INDEX(List_Predictors, INDEX(Array_PredictorsLookup,MATCH($A378,List_PredictorFacilities,0),(COLUMN()-1)/2), 1),"")</f>
        <v/>
      </c>
      <c r="R378" s="137"/>
      <c r="S378" s="58" t="str" cm="1">
        <f>IFERROR(INDEX(List_Predictors, INDEX(Array_PredictorsLookup,MATCH($A378,List_PredictorFacilities,0),(COLUMN()-1)/2), 1),"")</f>
        <v/>
      </c>
      <c r="T378" s="137"/>
      <c r="U378" s="58" t="str" cm="1">
        <f>IFERROR(INDEX(List_Predictors, INDEX(Array_PredictorsLookup,MATCH($A378,List_PredictorFacilities,0),(COLUMN()-1)/2), 1),"")</f>
        <v/>
      </c>
      <c r="V378" s="137"/>
      <c r="W378" s="58" t="str" cm="1">
        <f>IFERROR(INDEX(List_Predictors, INDEX(Array_PredictorsLookup,MATCH($A378,List_PredictorFacilities,0),(COLUMN()-1)/2), 1),"")</f>
        <v/>
      </c>
      <c r="X378" s="137"/>
      <c r="Y378" s="58" t="str" cm="1">
        <f>IFERROR(INDEX(List_Predictors, INDEX(Array_PredictorsLookup,MATCH($A378,List_PredictorFacilities,0),(COLUMN()-1)/2), 1),"")</f>
        <v/>
      </c>
      <c r="Z378" s="137"/>
      <c r="AA378" s="58" t="str" cm="1">
        <f>IFERROR(INDEX(List_Predictors, INDEX(Array_PredictorsLookup,MATCH($A378,List_PredictorFacilities,0),(COLUMN()-1)/2), 1),"")</f>
        <v/>
      </c>
      <c r="AB378" s="137"/>
      <c r="AC378" s="58" t="str" cm="1">
        <f>IFERROR(INDEX(List_Predictors, INDEX(Array_PredictorsLookup,MATCH($A378,List_PredictorFacilities,0),(COLUMN()-1)/2), 1),"")</f>
        <v/>
      </c>
      <c r="AD378" s="137"/>
      <c r="AE378" s="58" t="str" cm="1">
        <f>IFERROR(INDEX(List_Predictors, INDEX(Array_PredictorsLookup,MATCH($A378,List_PredictorFacilities,0),(COLUMN()-1)/2), 1),"")</f>
        <v/>
      </c>
      <c r="AF378" s="137"/>
    </row>
    <row r="379" spans="1:32" x14ac:dyDescent="0.3">
      <c r="A379" s="126"/>
      <c r="B379" s="141"/>
      <c r="C379" s="58" t="str" cm="1">
        <f>IFERROR(INDEX(List_Predictors, INDEX(Array_PredictorsLookup,MATCH($A379,List_PredictorFacilities,0),(COLUMN()-1)/2), 1),"")</f>
        <v/>
      </c>
      <c r="D379" s="137"/>
      <c r="E379" s="58" t="str" cm="1">
        <f>IFERROR(INDEX(List_Predictors, INDEX(Array_PredictorsLookup,MATCH($A379,List_PredictorFacilities,0),(COLUMN()-1)/2), 1),"")</f>
        <v/>
      </c>
      <c r="F379" s="137"/>
      <c r="G379" s="58" t="str" cm="1">
        <f>IFERROR(INDEX(List_Predictors, INDEX(Array_PredictorsLookup,MATCH($A379,List_PredictorFacilities,0),(COLUMN()-1)/2), 1),"")</f>
        <v/>
      </c>
      <c r="H379" s="137"/>
      <c r="I379" s="58" t="str" cm="1">
        <f>IFERROR(INDEX(List_Predictors, INDEX(Array_PredictorsLookup,MATCH($A379,List_PredictorFacilities,0),(COLUMN()-1)/2), 1),"")</f>
        <v/>
      </c>
      <c r="J379" s="137"/>
      <c r="K379" s="58" t="str" cm="1">
        <f>IFERROR(INDEX(List_Predictors, INDEX(Array_PredictorsLookup,MATCH($A379,List_PredictorFacilities,0),(COLUMN()-1)/2), 1),"")</f>
        <v/>
      </c>
      <c r="L379" s="137"/>
      <c r="M379" s="58" t="str" cm="1">
        <f>IFERROR(INDEX(List_Predictors, INDEX(Array_PredictorsLookup,MATCH($A379,List_PredictorFacilities,0),(COLUMN()-1)/2), 1),"")</f>
        <v/>
      </c>
      <c r="N379" s="137"/>
      <c r="O379" s="58" t="str" cm="1">
        <f>IFERROR(INDEX(List_Predictors, INDEX(Array_PredictorsLookup,MATCH($A379,List_PredictorFacilities,0),(COLUMN()-1)/2), 1),"")</f>
        <v/>
      </c>
      <c r="P379" s="137"/>
      <c r="Q379" s="58" t="str" cm="1">
        <f>IFERROR(INDEX(List_Predictors, INDEX(Array_PredictorsLookup,MATCH($A379,List_PredictorFacilities,0),(COLUMN()-1)/2), 1),"")</f>
        <v/>
      </c>
      <c r="R379" s="137"/>
      <c r="S379" s="58" t="str" cm="1">
        <f>IFERROR(INDEX(List_Predictors, INDEX(Array_PredictorsLookup,MATCH($A379,List_PredictorFacilities,0),(COLUMN()-1)/2), 1),"")</f>
        <v/>
      </c>
      <c r="T379" s="137"/>
      <c r="U379" s="58" t="str" cm="1">
        <f>IFERROR(INDEX(List_Predictors, INDEX(Array_PredictorsLookup,MATCH($A379,List_PredictorFacilities,0),(COLUMN()-1)/2), 1),"")</f>
        <v/>
      </c>
      <c r="V379" s="137"/>
      <c r="W379" s="58" t="str" cm="1">
        <f>IFERROR(INDEX(List_Predictors, INDEX(Array_PredictorsLookup,MATCH($A379,List_PredictorFacilities,0),(COLUMN()-1)/2), 1),"")</f>
        <v/>
      </c>
      <c r="X379" s="137"/>
      <c r="Y379" s="58" t="str" cm="1">
        <f>IFERROR(INDEX(List_Predictors, INDEX(Array_PredictorsLookup,MATCH($A379,List_PredictorFacilities,0),(COLUMN()-1)/2), 1),"")</f>
        <v/>
      </c>
      <c r="Z379" s="137"/>
      <c r="AA379" s="58" t="str" cm="1">
        <f>IFERROR(INDEX(List_Predictors, INDEX(Array_PredictorsLookup,MATCH($A379,List_PredictorFacilities,0),(COLUMN()-1)/2), 1),"")</f>
        <v/>
      </c>
      <c r="AB379" s="137"/>
      <c r="AC379" s="58" t="str" cm="1">
        <f>IFERROR(INDEX(List_Predictors, INDEX(Array_PredictorsLookup,MATCH($A379,List_PredictorFacilities,0),(COLUMN()-1)/2), 1),"")</f>
        <v/>
      </c>
      <c r="AD379" s="137"/>
      <c r="AE379" s="58" t="str" cm="1">
        <f>IFERROR(INDEX(List_Predictors, INDEX(Array_PredictorsLookup,MATCH($A379,List_PredictorFacilities,0),(COLUMN()-1)/2), 1),"")</f>
        <v/>
      </c>
      <c r="AF379" s="137"/>
    </row>
    <row r="380" spans="1:32" x14ac:dyDescent="0.3">
      <c r="A380" s="126"/>
      <c r="B380" s="141"/>
      <c r="C380" s="58" t="str" cm="1">
        <f>IFERROR(INDEX(List_Predictors, INDEX(Array_PredictorsLookup,MATCH($A380,List_PredictorFacilities,0),(COLUMN()-1)/2), 1),"")</f>
        <v/>
      </c>
      <c r="D380" s="137"/>
      <c r="E380" s="58" t="str" cm="1">
        <f>IFERROR(INDEX(List_Predictors, INDEX(Array_PredictorsLookup,MATCH($A380,List_PredictorFacilities,0),(COLUMN()-1)/2), 1),"")</f>
        <v/>
      </c>
      <c r="F380" s="137"/>
      <c r="G380" s="58" t="str" cm="1">
        <f>IFERROR(INDEX(List_Predictors, INDEX(Array_PredictorsLookup,MATCH($A380,List_PredictorFacilities,0),(COLUMN()-1)/2), 1),"")</f>
        <v/>
      </c>
      <c r="H380" s="137"/>
      <c r="I380" s="58" t="str" cm="1">
        <f>IFERROR(INDEX(List_Predictors, INDEX(Array_PredictorsLookup,MATCH($A380,List_PredictorFacilities,0),(COLUMN()-1)/2), 1),"")</f>
        <v/>
      </c>
      <c r="J380" s="137"/>
      <c r="K380" s="58" t="str" cm="1">
        <f>IFERROR(INDEX(List_Predictors, INDEX(Array_PredictorsLookup,MATCH($A380,List_PredictorFacilities,0),(COLUMN()-1)/2), 1),"")</f>
        <v/>
      </c>
      <c r="L380" s="137"/>
      <c r="M380" s="58" t="str" cm="1">
        <f>IFERROR(INDEX(List_Predictors, INDEX(Array_PredictorsLookup,MATCH($A380,List_PredictorFacilities,0),(COLUMN()-1)/2), 1),"")</f>
        <v/>
      </c>
      <c r="N380" s="137"/>
      <c r="O380" s="58" t="str" cm="1">
        <f>IFERROR(INDEX(List_Predictors, INDEX(Array_PredictorsLookup,MATCH($A380,List_PredictorFacilities,0),(COLUMN()-1)/2), 1),"")</f>
        <v/>
      </c>
      <c r="P380" s="137"/>
      <c r="Q380" s="58" t="str" cm="1">
        <f>IFERROR(INDEX(List_Predictors, INDEX(Array_PredictorsLookup,MATCH($A380,List_PredictorFacilities,0),(COLUMN()-1)/2), 1),"")</f>
        <v/>
      </c>
      <c r="R380" s="137"/>
      <c r="S380" s="58" t="str" cm="1">
        <f>IFERROR(INDEX(List_Predictors, INDEX(Array_PredictorsLookup,MATCH($A380,List_PredictorFacilities,0),(COLUMN()-1)/2), 1),"")</f>
        <v/>
      </c>
      <c r="T380" s="137"/>
      <c r="U380" s="58" t="str" cm="1">
        <f>IFERROR(INDEX(List_Predictors, INDEX(Array_PredictorsLookup,MATCH($A380,List_PredictorFacilities,0),(COLUMN()-1)/2), 1),"")</f>
        <v/>
      </c>
      <c r="V380" s="137"/>
      <c r="W380" s="58" t="str" cm="1">
        <f>IFERROR(INDEX(List_Predictors, INDEX(Array_PredictorsLookup,MATCH($A380,List_PredictorFacilities,0),(COLUMN()-1)/2), 1),"")</f>
        <v/>
      </c>
      <c r="X380" s="137"/>
      <c r="Y380" s="58" t="str" cm="1">
        <f>IFERROR(INDEX(List_Predictors, INDEX(Array_PredictorsLookup,MATCH($A380,List_PredictorFacilities,0),(COLUMN()-1)/2), 1),"")</f>
        <v/>
      </c>
      <c r="Z380" s="137"/>
      <c r="AA380" s="58" t="str" cm="1">
        <f>IFERROR(INDEX(List_Predictors, INDEX(Array_PredictorsLookup,MATCH($A380,List_PredictorFacilities,0),(COLUMN()-1)/2), 1),"")</f>
        <v/>
      </c>
      <c r="AB380" s="137"/>
      <c r="AC380" s="58" t="str" cm="1">
        <f>IFERROR(INDEX(List_Predictors, INDEX(Array_PredictorsLookup,MATCH($A380,List_PredictorFacilities,0),(COLUMN()-1)/2), 1),"")</f>
        <v/>
      </c>
      <c r="AD380" s="137"/>
      <c r="AE380" s="58" t="str" cm="1">
        <f>IFERROR(INDEX(List_Predictors, INDEX(Array_PredictorsLookup,MATCH($A380,List_PredictorFacilities,0),(COLUMN()-1)/2), 1),"")</f>
        <v/>
      </c>
      <c r="AF380" s="137"/>
    </row>
    <row r="381" spans="1:32" x14ac:dyDescent="0.3">
      <c r="A381" s="126"/>
      <c r="B381" s="141"/>
      <c r="C381" s="58" t="str" cm="1">
        <f>IFERROR(INDEX(List_Predictors, INDEX(Array_PredictorsLookup,MATCH($A381,List_PredictorFacilities,0),(COLUMN()-1)/2), 1),"")</f>
        <v/>
      </c>
      <c r="D381" s="137"/>
      <c r="E381" s="58" t="str" cm="1">
        <f>IFERROR(INDEX(List_Predictors, INDEX(Array_PredictorsLookup,MATCH($A381,List_PredictorFacilities,0),(COLUMN()-1)/2), 1),"")</f>
        <v/>
      </c>
      <c r="F381" s="137"/>
      <c r="G381" s="58" t="str" cm="1">
        <f>IFERROR(INDEX(List_Predictors, INDEX(Array_PredictorsLookup,MATCH($A381,List_PredictorFacilities,0),(COLUMN()-1)/2), 1),"")</f>
        <v/>
      </c>
      <c r="H381" s="137"/>
      <c r="I381" s="58" t="str" cm="1">
        <f>IFERROR(INDEX(List_Predictors, INDEX(Array_PredictorsLookup,MATCH($A381,List_PredictorFacilities,0),(COLUMN()-1)/2), 1),"")</f>
        <v/>
      </c>
      <c r="J381" s="137"/>
      <c r="K381" s="58" t="str" cm="1">
        <f>IFERROR(INDEX(List_Predictors, INDEX(Array_PredictorsLookup,MATCH($A381,List_PredictorFacilities,0),(COLUMN()-1)/2), 1),"")</f>
        <v/>
      </c>
      <c r="L381" s="137"/>
      <c r="M381" s="58" t="str" cm="1">
        <f>IFERROR(INDEX(List_Predictors, INDEX(Array_PredictorsLookup,MATCH($A381,List_PredictorFacilities,0),(COLUMN()-1)/2), 1),"")</f>
        <v/>
      </c>
      <c r="N381" s="137"/>
      <c r="O381" s="58" t="str" cm="1">
        <f>IFERROR(INDEX(List_Predictors, INDEX(Array_PredictorsLookup,MATCH($A381,List_PredictorFacilities,0),(COLUMN()-1)/2), 1),"")</f>
        <v/>
      </c>
      <c r="P381" s="137"/>
      <c r="Q381" s="58" t="str" cm="1">
        <f>IFERROR(INDEX(List_Predictors, INDEX(Array_PredictorsLookup,MATCH($A381,List_PredictorFacilities,0),(COLUMN()-1)/2), 1),"")</f>
        <v/>
      </c>
      <c r="R381" s="137"/>
      <c r="S381" s="58" t="str" cm="1">
        <f>IFERROR(INDEX(List_Predictors, INDEX(Array_PredictorsLookup,MATCH($A381,List_PredictorFacilities,0),(COLUMN()-1)/2), 1),"")</f>
        <v/>
      </c>
      <c r="T381" s="137"/>
      <c r="U381" s="58" t="str" cm="1">
        <f>IFERROR(INDEX(List_Predictors, INDEX(Array_PredictorsLookup,MATCH($A381,List_PredictorFacilities,0),(COLUMN()-1)/2), 1),"")</f>
        <v/>
      </c>
      <c r="V381" s="137"/>
      <c r="W381" s="58" t="str" cm="1">
        <f>IFERROR(INDEX(List_Predictors, INDEX(Array_PredictorsLookup,MATCH($A381,List_PredictorFacilities,0),(COLUMN()-1)/2), 1),"")</f>
        <v/>
      </c>
      <c r="X381" s="137"/>
      <c r="Y381" s="58" t="str" cm="1">
        <f>IFERROR(INDEX(List_Predictors, INDEX(Array_PredictorsLookup,MATCH($A381,List_PredictorFacilities,0),(COLUMN()-1)/2), 1),"")</f>
        <v/>
      </c>
      <c r="Z381" s="137"/>
      <c r="AA381" s="58" t="str" cm="1">
        <f>IFERROR(INDEX(List_Predictors, INDEX(Array_PredictorsLookup,MATCH($A381,List_PredictorFacilities,0),(COLUMN()-1)/2), 1),"")</f>
        <v/>
      </c>
      <c r="AB381" s="137"/>
      <c r="AC381" s="58" t="str" cm="1">
        <f>IFERROR(INDEX(List_Predictors, INDEX(Array_PredictorsLookup,MATCH($A381,List_PredictorFacilities,0),(COLUMN()-1)/2), 1),"")</f>
        <v/>
      </c>
      <c r="AD381" s="137"/>
      <c r="AE381" s="58" t="str" cm="1">
        <f>IFERROR(INDEX(List_Predictors, INDEX(Array_PredictorsLookup,MATCH($A381,List_PredictorFacilities,0),(COLUMN()-1)/2), 1),"")</f>
        <v/>
      </c>
      <c r="AF381" s="137"/>
    </row>
    <row r="382" spans="1:32" x14ac:dyDescent="0.3">
      <c r="A382" s="126"/>
      <c r="B382" s="141"/>
      <c r="C382" s="58" t="str" cm="1">
        <f>IFERROR(INDEX(List_Predictors, INDEX(Array_PredictorsLookup,MATCH($A382,List_PredictorFacilities,0),(COLUMN()-1)/2), 1),"")</f>
        <v/>
      </c>
      <c r="D382" s="137"/>
      <c r="E382" s="58" t="str" cm="1">
        <f>IFERROR(INDEX(List_Predictors, INDEX(Array_PredictorsLookup,MATCH($A382,List_PredictorFacilities,0),(COLUMN()-1)/2), 1),"")</f>
        <v/>
      </c>
      <c r="F382" s="137"/>
      <c r="G382" s="58" t="str" cm="1">
        <f>IFERROR(INDEX(List_Predictors, INDEX(Array_PredictorsLookup,MATCH($A382,List_PredictorFacilities,0),(COLUMN()-1)/2), 1),"")</f>
        <v/>
      </c>
      <c r="H382" s="137"/>
      <c r="I382" s="58" t="str" cm="1">
        <f>IFERROR(INDEX(List_Predictors, INDEX(Array_PredictorsLookup,MATCH($A382,List_PredictorFacilities,0),(COLUMN()-1)/2), 1),"")</f>
        <v/>
      </c>
      <c r="J382" s="137"/>
      <c r="K382" s="58" t="str" cm="1">
        <f>IFERROR(INDEX(List_Predictors, INDEX(Array_PredictorsLookup,MATCH($A382,List_PredictorFacilities,0),(COLUMN()-1)/2), 1),"")</f>
        <v/>
      </c>
      <c r="L382" s="137"/>
      <c r="M382" s="58" t="str" cm="1">
        <f>IFERROR(INDEX(List_Predictors, INDEX(Array_PredictorsLookup,MATCH($A382,List_PredictorFacilities,0),(COLUMN()-1)/2), 1),"")</f>
        <v/>
      </c>
      <c r="N382" s="137"/>
      <c r="O382" s="58" t="str" cm="1">
        <f>IFERROR(INDEX(List_Predictors, INDEX(Array_PredictorsLookup,MATCH($A382,List_PredictorFacilities,0),(COLUMN()-1)/2), 1),"")</f>
        <v/>
      </c>
      <c r="P382" s="137"/>
      <c r="Q382" s="58" t="str" cm="1">
        <f>IFERROR(INDEX(List_Predictors, INDEX(Array_PredictorsLookup,MATCH($A382,List_PredictorFacilities,0),(COLUMN()-1)/2), 1),"")</f>
        <v/>
      </c>
      <c r="R382" s="137"/>
      <c r="S382" s="58" t="str" cm="1">
        <f>IFERROR(INDEX(List_Predictors, INDEX(Array_PredictorsLookup,MATCH($A382,List_PredictorFacilities,0),(COLUMN()-1)/2), 1),"")</f>
        <v/>
      </c>
      <c r="T382" s="137"/>
      <c r="U382" s="58" t="str" cm="1">
        <f>IFERROR(INDEX(List_Predictors, INDEX(Array_PredictorsLookup,MATCH($A382,List_PredictorFacilities,0),(COLUMN()-1)/2), 1),"")</f>
        <v/>
      </c>
      <c r="V382" s="137"/>
      <c r="W382" s="58" t="str" cm="1">
        <f>IFERROR(INDEX(List_Predictors, INDEX(Array_PredictorsLookup,MATCH($A382,List_PredictorFacilities,0),(COLUMN()-1)/2), 1),"")</f>
        <v/>
      </c>
      <c r="X382" s="137"/>
      <c r="Y382" s="58" t="str" cm="1">
        <f>IFERROR(INDEX(List_Predictors, INDEX(Array_PredictorsLookup,MATCH($A382,List_PredictorFacilities,0),(COLUMN()-1)/2), 1),"")</f>
        <v/>
      </c>
      <c r="Z382" s="137"/>
      <c r="AA382" s="58" t="str" cm="1">
        <f>IFERROR(INDEX(List_Predictors, INDEX(Array_PredictorsLookup,MATCH($A382,List_PredictorFacilities,0),(COLUMN()-1)/2), 1),"")</f>
        <v/>
      </c>
      <c r="AB382" s="137"/>
      <c r="AC382" s="58" t="str" cm="1">
        <f>IFERROR(INDEX(List_Predictors, INDEX(Array_PredictorsLookup,MATCH($A382,List_PredictorFacilities,0),(COLUMN()-1)/2), 1),"")</f>
        <v/>
      </c>
      <c r="AD382" s="137"/>
      <c r="AE382" s="58" t="str" cm="1">
        <f>IFERROR(INDEX(List_Predictors, INDEX(Array_PredictorsLookup,MATCH($A382,List_PredictorFacilities,0),(COLUMN()-1)/2), 1),"")</f>
        <v/>
      </c>
      <c r="AF382" s="137"/>
    </row>
    <row r="383" spans="1:32" x14ac:dyDescent="0.3">
      <c r="A383" s="126"/>
      <c r="B383" s="141"/>
      <c r="C383" s="58" t="str" cm="1">
        <f>IFERROR(INDEX(List_Predictors, INDEX(Array_PredictorsLookup,MATCH($A383,List_PredictorFacilities,0),(COLUMN()-1)/2), 1),"")</f>
        <v/>
      </c>
      <c r="D383" s="137"/>
      <c r="E383" s="58" t="str" cm="1">
        <f>IFERROR(INDEX(List_Predictors, INDEX(Array_PredictorsLookup,MATCH($A383,List_PredictorFacilities,0),(COLUMN()-1)/2), 1),"")</f>
        <v/>
      </c>
      <c r="F383" s="137"/>
      <c r="G383" s="58" t="str" cm="1">
        <f>IFERROR(INDEX(List_Predictors, INDEX(Array_PredictorsLookup,MATCH($A383,List_PredictorFacilities,0),(COLUMN()-1)/2), 1),"")</f>
        <v/>
      </c>
      <c r="H383" s="137"/>
      <c r="I383" s="58" t="str" cm="1">
        <f>IFERROR(INDEX(List_Predictors, INDEX(Array_PredictorsLookup,MATCH($A383,List_PredictorFacilities,0),(COLUMN()-1)/2), 1),"")</f>
        <v/>
      </c>
      <c r="J383" s="137"/>
      <c r="K383" s="58" t="str" cm="1">
        <f>IFERROR(INDEX(List_Predictors, INDEX(Array_PredictorsLookup,MATCH($A383,List_PredictorFacilities,0),(COLUMN()-1)/2), 1),"")</f>
        <v/>
      </c>
      <c r="L383" s="137"/>
      <c r="M383" s="58" t="str" cm="1">
        <f>IFERROR(INDEX(List_Predictors, INDEX(Array_PredictorsLookup,MATCH($A383,List_PredictorFacilities,0),(COLUMN()-1)/2), 1),"")</f>
        <v/>
      </c>
      <c r="N383" s="137"/>
      <c r="O383" s="58" t="str" cm="1">
        <f>IFERROR(INDEX(List_Predictors, INDEX(Array_PredictorsLookup,MATCH($A383,List_PredictorFacilities,0),(COLUMN()-1)/2), 1),"")</f>
        <v/>
      </c>
      <c r="P383" s="137"/>
      <c r="Q383" s="58" t="str" cm="1">
        <f>IFERROR(INDEX(List_Predictors, INDEX(Array_PredictorsLookup,MATCH($A383,List_PredictorFacilities,0),(COLUMN()-1)/2), 1),"")</f>
        <v/>
      </c>
      <c r="R383" s="137"/>
      <c r="S383" s="58" t="str" cm="1">
        <f>IFERROR(INDEX(List_Predictors, INDEX(Array_PredictorsLookup,MATCH($A383,List_PredictorFacilities,0),(COLUMN()-1)/2), 1),"")</f>
        <v/>
      </c>
      <c r="T383" s="137"/>
      <c r="U383" s="58" t="str" cm="1">
        <f>IFERROR(INDEX(List_Predictors, INDEX(Array_PredictorsLookup,MATCH($A383,List_PredictorFacilities,0),(COLUMN()-1)/2), 1),"")</f>
        <v/>
      </c>
      <c r="V383" s="137"/>
      <c r="W383" s="58" t="str" cm="1">
        <f>IFERROR(INDEX(List_Predictors, INDEX(Array_PredictorsLookup,MATCH($A383,List_PredictorFacilities,0),(COLUMN()-1)/2), 1),"")</f>
        <v/>
      </c>
      <c r="X383" s="137"/>
      <c r="Y383" s="58" t="str" cm="1">
        <f>IFERROR(INDEX(List_Predictors, INDEX(Array_PredictorsLookup,MATCH($A383,List_PredictorFacilities,0),(COLUMN()-1)/2), 1),"")</f>
        <v/>
      </c>
      <c r="Z383" s="137"/>
      <c r="AA383" s="58" t="str" cm="1">
        <f>IFERROR(INDEX(List_Predictors, INDEX(Array_PredictorsLookup,MATCH($A383,List_PredictorFacilities,0),(COLUMN()-1)/2), 1),"")</f>
        <v/>
      </c>
      <c r="AB383" s="137"/>
      <c r="AC383" s="58" t="str" cm="1">
        <f>IFERROR(INDEX(List_Predictors, INDEX(Array_PredictorsLookup,MATCH($A383,List_PredictorFacilities,0),(COLUMN()-1)/2), 1),"")</f>
        <v/>
      </c>
      <c r="AD383" s="137"/>
      <c r="AE383" s="58" t="str" cm="1">
        <f>IFERROR(INDEX(List_Predictors, INDEX(Array_PredictorsLookup,MATCH($A383,List_PredictorFacilities,0),(COLUMN()-1)/2), 1),"")</f>
        <v/>
      </c>
      <c r="AF383" s="137"/>
    </row>
    <row r="384" spans="1:32" x14ac:dyDescent="0.3">
      <c r="A384" s="126"/>
      <c r="B384" s="141"/>
      <c r="C384" s="58" t="str" cm="1">
        <f>IFERROR(INDEX(List_Predictors, INDEX(Array_PredictorsLookup,MATCH($A384,List_PredictorFacilities,0),(COLUMN()-1)/2), 1),"")</f>
        <v/>
      </c>
      <c r="D384" s="137"/>
      <c r="E384" s="58" t="str" cm="1">
        <f>IFERROR(INDEX(List_Predictors, INDEX(Array_PredictorsLookup,MATCH($A384,List_PredictorFacilities,0),(COLUMN()-1)/2), 1),"")</f>
        <v/>
      </c>
      <c r="F384" s="137"/>
      <c r="G384" s="58" t="str" cm="1">
        <f>IFERROR(INDEX(List_Predictors, INDEX(Array_PredictorsLookup,MATCH($A384,List_PredictorFacilities,0),(COLUMN()-1)/2), 1),"")</f>
        <v/>
      </c>
      <c r="H384" s="137"/>
      <c r="I384" s="58" t="str" cm="1">
        <f>IFERROR(INDEX(List_Predictors, INDEX(Array_PredictorsLookup,MATCH($A384,List_PredictorFacilities,0),(COLUMN()-1)/2), 1),"")</f>
        <v/>
      </c>
      <c r="J384" s="137"/>
      <c r="K384" s="58" t="str" cm="1">
        <f>IFERROR(INDEX(List_Predictors, INDEX(Array_PredictorsLookup,MATCH($A384,List_PredictorFacilities,0),(COLUMN()-1)/2), 1),"")</f>
        <v/>
      </c>
      <c r="L384" s="137"/>
      <c r="M384" s="58" t="str" cm="1">
        <f>IFERROR(INDEX(List_Predictors, INDEX(Array_PredictorsLookup,MATCH($A384,List_PredictorFacilities,0),(COLUMN()-1)/2), 1),"")</f>
        <v/>
      </c>
      <c r="N384" s="137"/>
      <c r="O384" s="58" t="str" cm="1">
        <f>IFERROR(INDEX(List_Predictors, INDEX(Array_PredictorsLookup,MATCH($A384,List_PredictorFacilities,0),(COLUMN()-1)/2), 1),"")</f>
        <v/>
      </c>
      <c r="P384" s="137"/>
      <c r="Q384" s="58" t="str" cm="1">
        <f>IFERROR(INDEX(List_Predictors, INDEX(Array_PredictorsLookup,MATCH($A384,List_PredictorFacilities,0),(COLUMN()-1)/2), 1),"")</f>
        <v/>
      </c>
      <c r="R384" s="137"/>
      <c r="S384" s="58" t="str" cm="1">
        <f>IFERROR(INDEX(List_Predictors, INDEX(Array_PredictorsLookup,MATCH($A384,List_PredictorFacilities,0),(COLUMN()-1)/2), 1),"")</f>
        <v/>
      </c>
      <c r="T384" s="137"/>
      <c r="U384" s="58" t="str" cm="1">
        <f>IFERROR(INDEX(List_Predictors, INDEX(Array_PredictorsLookup,MATCH($A384,List_PredictorFacilities,0),(COLUMN()-1)/2), 1),"")</f>
        <v/>
      </c>
      <c r="V384" s="137"/>
      <c r="W384" s="58" t="str" cm="1">
        <f>IFERROR(INDEX(List_Predictors, INDEX(Array_PredictorsLookup,MATCH($A384,List_PredictorFacilities,0),(COLUMN()-1)/2), 1),"")</f>
        <v/>
      </c>
      <c r="X384" s="137"/>
      <c r="Y384" s="58" t="str" cm="1">
        <f>IFERROR(INDEX(List_Predictors, INDEX(Array_PredictorsLookup,MATCH($A384,List_PredictorFacilities,0),(COLUMN()-1)/2), 1),"")</f>
        <v/>
      </c>
      <c r="Z384" s="137"/>
      <c r="AA384" s="58" t="str" cm="1">
        <f>IFERROR(INDEX(List_Predictors, INDEX(Array_PredictorsLookup,MATCH($A384,List_PredictorFacilities,0),(COLUMN()-1)/2), 1),"")</f>
        <v/>
      </c>
      <c r="AB384" s="137"/>
      <c r="AC384" s="58" t="str" cm="1">
        <f>IFERROR(INDEX(List_Predictors, INDEX(Array_PredictorsLookup,MATCH($A384,List_PredictorFacilities,0),(COLUMN()-1)/2), 1),"")</f>
        <v/>
      </c>
      <c r="AD384" s="137"/>
      <c r="AE384" s="58" t="str" cm="1">
        <f>IFERROR(INDEX(List_Predictors, INDEX(Array_PredictorsLookup,MATCH($A384,List_PredictorFacilities,0),(COLUMN()-1)/2), 1),"")</f>
        <v/>
      </c>
      <c r="AF384" s="137"/>
    </row>
    <row r="385" spans="1:32" x14ac:dyDescent="0.3">
      <c r="A385" s="126"/>
      <c r="B385" s="141"/>
      <c r="C385" s="58" t="str" cm="1">
        <f>IFERROR(INDEX(List_Predictors, INDEX(Array_PredictorsLookup,MATCH($A385,List_PredictorFacilities,0),(COLUMN()-1)/2), 1),"")</f>
        <v/>
      </c>
      <c r="D385" s="137"/>
      <c r="E385" s="58" t="str" cm="1">
        <f>IFERROR(INDEX(List_Predictors, INDEX(Array_PredictorsLookup,MATCH($A385,List_PredictorFacilities,0),(COLUMN()-1)/2), 1),"")</f>
        <v/>
      </c>
      <c r="F385" s="137"/>
      <c r="G385" s="58" t="str" cm="1">
        <f>IFERROR(INDEX(List_Predictors, INDEX(Array_PredictorsLookup,MATCH($A385,List_PredictorFacilities,0),(COLUMN()-1)/2), 1),"")</f>
        <v/>
      </c>
      <c r="H385" s="137"/>
      <c r="I385" s="58" t="str" cm="1">
        <f>IFERROR(INDEX(List_Predictors, INDEX(Array_PredictorsLookup,MATCH($A385,List_PredictorFacilities,0),(COLUMN()-1)/2), 1),"")</f>
        <v/>
      </c>
      <c r="J385" s="137"/>
      <c r="K385" s="58" t="str" cm="1">
        <f>IFERROR(INDEX(List_Predictors, INDEX(Array_PredictorsLookup,MATCH($A385,List_PredictorFacilities,0),(COLUMN()-1)/2), 1),"")</f>
        <v/>
      </c>
      <c r="L385" s="137"/>
      <c r="M385" s="58" t="str" cm="1">
        <f>IFERROR(INDEX(List_Predictors, INDEX(Array_PredictorsLookup,MATCH($A385,List_PredictorFacilities,0),(COLUMN()-1)/2), 1),"")</f>
        <v/>
      </c>
      <c r="N385" s="137"/>
      <c r="O385" s="58" t="str" cm="1">
        <f>IFERROR(INDEX(List_Predictors, INDEX(Array_PredictorsLookup,MATCH($A385,List_PredictorFacilities,0),(COLUMN()-1)/2), 1),"")</f>
        <v/>
      </c>
      <c r="P385" s="137"/>
      <c r="Q385" s="58" t="str" cm="1">
        <f>IFERROR(INDEX(List_Predictors, INDEX(Array_PredictorsLookup,MATCH($A385,List_PredictorFacilities,0),(COLUMN()-1)/2), 1),"")</f>
        <v/>
      </c>
      <c r="R385" s="137"/>
      <c r="S385" s="58" t="str" cm="1">
        <f>IFERROR(INDEX(List_Predictors, INDEX(Array_PredictorsLookup,MATCH($A385,List_PredictorFacilities,0),(COLUMN()-1)/2), 1),"")</f>
        <v/>
      </c>
      <c r="T385" s="137"/>
      <c r="U385" s="58" t="str" cm="1">
        <f>IFERROR(INDEX(List_Predictors, INDEX(Array_PredictorsLookup,MATCH($A385,List_PredictorFacilities,0),(COLUMN()-1)/2), 1),"")</f>
        <v/>
      </c>
      <c r="V385" s="137"/>
      <c r="W385" s="58" t="str" cm="1">
        <f>IFERROR(INDEX(List_Predictors, INDEX(Array_PredictorsLookup,MATCH($A385,List_PredictorFacilities,0),(COLUMN()-1)/2), 1),"")</f>
        <v/>
      </c>
      <c r="X385" s="137"/>
      <c r="Y385" s="58" t="str" cm="1">
        <f>IFERROR(INDEX(List_Predictors, INDEX(Array_PredictorsLookup,MATCH($A385,List_PredictorFacilities,0),(COLUMN()-1)/2), 1),"")</f>
        <v/>
      </c>
      <c r="Z385" s="137"/>
      <c r="AA385" s="58" t="str" cm="1">
        <f>IFERROR(INDEX(List_Predictors, INDEX(Array_PredictorsLookup,MATCH($A385,List_PredictorFacilities,0),(COLUMN()-1)/2), 1),"")</f>
        <v/>
      </c>
      <c r="AB385" s="137"/>
      <c r="AC385" s="58" t="str" cm="1">
        <f>IFERROR(INDEX(List_Predictors, INDEX(Array_PredictorsLookup,MATCH($A385,List_PredictorFacilities,0),(COLUMN()-1)/2), 1),"")</f>
        <v/>
      </c>
      <c r="AD385" s="137"/>
      <c r="AE385" s="58" t="str" cm="1">
        <f>IFERROR(INDEX(List_Predictors, INDEX(Array_PredictorsLookup,MATCH($A385,List_PredictorFacilities,0),(COLUMN()-1)/2), 1),"")</f>
        <v/>
      </c>
      <c r="AF385" s="137"/>
    </row>
    <row r="386" spans="1:32" x14ac:dyDescent="0.3">
      <c r="A386" s="126"/>
      <c r="B386" s="141"/>
      <c r="C386" s="58" t="str" cm="1">
        <f>IFERROR(INDEX(List_Predictors, INDEX(Array_PredictorsLookup,MATCH($A386,List_PredictorFacilities,0),(COLUMN()-1)/2), 1),"")</f>
        <v/>
      </c>
      <c r="D386" s="137"/>
      <c r="E386" s="58" t="str" cm="1">
        <f>IFERROR(INDEX(List_Predictors, INDEX(Array_PredictorsLookup,MATCH($A386,List_PredictorFacilities,0),(COLUMN()-1)/2), 1),"")</f>
        <v/>
      </c>
      <c r="F386" s="137"/>
      <c r="G386" s="58" t="str" cm="1">
        <f>IFERROR(INDEX(List_Predictors, INDEX(Array_PredictorsLookup,MATCH($A386,List_PredictorFacilities,0),(COLUMN()-1)/2), 1),"")</f>
        <v/>
      </c>
      <c r="H386" s="137"/>
      <c r="I386" s="58" t="str" cm="1">
        <f>IFERROR(INDEX(List_Predictors, INDEX(Array_PredictorsLookup,MATCH($A386,List_PredictorFacilities,0),(COLUMN()-1)/2), 1),"")</f>
        <v/>
      </c>
      <c r="J386" s="137"/>
      <c r="K386" s="58" t="str" cm="1">
        <f>IFERROR(INDEX(List_Predictors, INDEX(Array_PredictorsLookup,MATCH($A386,List_PredictorFacilities,0),(COLUMN()-1)/2), 1),"")</f>
        <v/>
      </c>
      <c r="L386" s="137"/>
      <c r="M386" s="58" t="str" cm="1">
        <f>IFERROR(INDEX(List_Predictors, INDEX(Array_PredictorsLookup,MATCH($A386,List_PredictorFacilities,0),(COLUMN()-1)/2), 1),"")</f>
        <v/>
      </c>
      <c r="N386" s="137"/>
      <c r="O386" s="58" t="str" cm="1">
        <f>IFERROR(INDEX(List_Predictors, INDEX(Array_PredictorsLookup,MATCH($A386,List_PredictorFacilities,0),(COLUMN()-1)/2), 1),"")</f>
        <v/>
      </c>
      <c r="P386" s="137"/>
      <c r="Q386" s="58" t="str" cm="1">
        <f>IFERROR(INDEX(List_Predictors, INDEX(Array_PredictorsLookup,MATCH($A386,List_PredictorFacilities,0),(COLUMN()-1)/2), 1),"")</f>
        <v/>
      </c>
      <c r="R386" s="137"/>
      <c r="S386" s="58" t="str" cm="1">
        <f>IFERROR(INDEX(List_Predictors, INDEX(Array_PredictorsLookup,MATCH($A386,List_PredictorFacilities,0),(COLUMN()-1)/2), 1),"")</f>
        <v/>
      </c>
      <c r="T386" s="137"/>
      <c r="U386" s="58" t="str" cm="1">
        <f>IFERROR(INDEX(List_Predictors, INDEX(Array_PredictorsLookup,MATCH($A386,List_PredictorFacilities,0),(COLUMN()-1)/2), 1),"")</f>
        <v/>
      </c>
      <c r="V386" s="137"/>
      <c r="W386" s="58" t="str" cm="1">
        <f>IFERROR(INDEX(List_Predictors, INDEX(Array_PredictorsLookup,MATCH($A386,List_PredictorFacilities,0),(COLUMN()-1)/2), 1),"")</f>
        <v/>
      </c>
      <c r="X386" s="137"/>
      <c r="Y386" s="58" t="str" cm="1">
        <f>IFERROR(INDEX(List_Predictors, INDEX(Array_PredictorsLookup,MATCH($A386,List_PredictorFacilities,0),(COLUMN()-1)/2), 1),"")</f>
        <v/>
      </c>
      <c r="Z386" s="137"/>
      <c r="AA386" s="58" t="str" cm="1">
        <f>IFERROR(INDEX(List_Predictors, INDEX(Array_PredictorsLookup,MATCH($A386,List_PredictorFacilities,0),(COLUMN()-1)/2), 1),"")</f>
        <v/>
      </c>
      <c r="AB386" s="137"/>
      <c r="AC386" s="58" t="str" cm="1">
        <f>IFERROR(INDEX(List_Predictors, INDEX(Array_PredictorsLookup,MATCH($A386,List_PredictorFacilities,0),(COLUMN()-1)/2), 1),"")</f>
        <v/>
      </c>
      <c r="AD386" s="137"/>
      <c r="AE386" s="58" t="str" cm="1">
        <f>IFERROR(INDEX(List_Predictors, INDEX(Array_PredictorsLookup,MATCH($A386,List_PredictorFacilities,0),(COLUMN()-1)/2), 1),"")</f>
        <v/>
      </c>
      <c r="AF386" s="137"/>
    </row>
    <row r="387" spans="1:32" x14ac:dyDescent="0.3">
      <c r="A387" s="126"/>
      <c r="B387" s="141"/>
      <c r="C387" s="58" t="str" cm="1">
        <f>IFERROR(INDEX(List_Predictors, INDEX(Array_PredictorsLookup,MATCH($A387,List_PredictorFacilities,0),(COLUMN()-1)/2), 1),"")</f>
        <v/>
      </c>
      <c r="D387" s="137"/>
      <c r="E387" s="58" t="str" cm="1">
        <f>IFERROR(INDEX(List_Predictors, INDEX(Array_PredictorsLookup,MATCH($A387,List_PredictorFacilities,0),(COLUMN()-1)/2), 1),"")</f>
        <v/>
      </c>
      <c r="F387" s="137"/>
      <c r="G387" s="58" t="str" cm="1">
        <f>IFERROR(INDEX(List_Predictors, INDEX(Array_PredictorsLookup,MATCH($A387,List_PredictorFacilities,0),(COLUMN()-1)/2), 1),"")</f>
        <v/>
      </c>
      <c r="H387" s="137"/>
      <c r="I387" s="58" t="str" cm="1">
        <f>IFERROR(INDEX(List_Predictors, INDEX(Array_PredictorsLookup,MATCH($A387,List_PredictorFacilities,0),(COLUMN()-1)/2), 1),"")</f>
        <v/>
      </c>
      <c r="J387" s="137"/>
      <c r="K387" s="58" t="str" cm="1">
        <f>IFERROR(INDEX(List_Predictors, INDEX(Array_PredictorsLookup,MATCH($A387,List_PredictorFacilities,0),(COLUMN()-1)/2), 1),"")</f>
        <v/>
      </c>
      <c r="L387" s="137"/>
      <c r="M387" s="58" t="str" cm="1">
        <f>IFERROR(INDEX(List_Predictors, INDEX(Array_PredictorsLookup,MATCH($A387,List_PredictorFacilities,0),(COLUMN()-1)/2), 1),"")</f>
        <v/>
      </c>
      <c r="N387" s="137"/>
      <c r="O387" s="58" t="str" cm="1">
        <f>IFERROR(INDEX(List_Predictors, INDEX(Array_PredictorsLookup,MATCH($A387,List_PredictorFacilities,0),(COLUMN()-1)/2), 1),"")</f>
        <v/>
      </c>
      <c r="P387" s="137"/>
      <c r="Q387" s="58" t="str" cm="1">
        <f>IFERROR(INDEX(List_Predictors, INDEX(Array_PredictorsLookup,MATCH($A387,List_PredictorFacilities,0),(COLUMN()-1)/2), 1),"")</f>
        <v/>
      </c>
      <c r="R387" s="137"/>
      <c r="S387" s="58" t="str" cm="1">
        <f>IFERROR(INDEX(List_Predictors, INDEX(Array_PredictorsLookup,MATCH($A387,List_PredictorFacilities,0),(COLUMN()-1)/2), 1),"")</f>
        <v/>
      </c>
      <c r="T387" s="137"/>
      <c r="U387" s="58" t="str" cm="1">
        <f>IFERROR(INDEX(List_Predictors, INDEX(Array_PredictorsLookup,MATCH($A387,List_PredictorFacilities,0),(COLUMN()-1)/2), 1),"")</f>
        <v/>
      </c>
      <c r="V387" s="137"/>
      <c r="W387" s="58" t="str" cm="1">
        <f>IFERROR(INDEX(List_Predictors, INDEX(Array_PredictorsLookup,MATCH($A387,List_PredictorFacilities,0),(COLUMN()-1)/2), 1),"")</f>
        <v/>
      </c>
      <c r="X387" s="137"/>
      <c r="Y387" s="58" t="str" cm="1">
        <f>IFERROR(INDEX(List_Predictors, INDEX(Array_PredictorsLookup,MATCH($A387,List_PredictorFacilities,0),(COLUMN()-1)/2), 1),"")</f>
        <v/>
      </c>
      <c r="Z387" s="137"/>
      <c r="AA387" s="58" t="str" cm="1">
        <f>IFERROR(INDEX(List_Predictors, INDEX(Array_PredictorsLookup,MATCH($A387,List_PredictorFacilities,0),(COLUMN()-1)/2), 1),"")</f>
        <v/>
      </c>
      <c r="AB387" s="137"/>
      <c r="AC387" s="58" t="str" cm="1">
        <f>IFERROR(INDEX(List_Predictors, INDEX(Array_PredictorsLookup,MATCH($A387,List_PredictorFacilities,0),(COLUMN()-1)/2), 1),"")</f>
        <v/>
      </c>
      <c r="AD387" s="137"/>
      <c r="AE387" s="58" t="str" cm="1">
        <f>IFERROR(INDEX(List_Predictors, INDEX(Array_PredictorsLookup,MATCH($A387,List_PredictorFacilities,0),(COLUMN()-1)/2), 1),"")</f>
        <v/>
      </c>
      <c r="AF387" s="137"/>
    </row>
    <row r="388" spans="1:32" x14ac:dyDescent="0.3">
      <c r="A388" s="126"/>
      <c r="B388" s="141"/>
      <c r="C388" s="58" t="str" cm="1">
        <f>IFERROR(INDEX(List_Predictors, INDEX(Array_PredictorsLookup,MATCH($A388,List_PredictorFacilities,0),(COLUMN()-1)/2), 1),"")</f>
        <v/>
      </c>
      <c r="D388" s="137"/>
      <c r="E388" s="58" t="str" cm="1">
        <f>IFERROR(INDEX(List_Predictors, INDEX(Array_PredictorsLookup,MATCH($A388,List_PredictorFacilities,0),(COLUMN()-1)/2), 1),"")</f>
        <v/>
      </c>
      <c r="F388" s="137"/>
      <c r="G388" s="58" t="str" cm="1">
        <f>IFERROR(INDEX(List_Predictors, INDEX(Array_PredictorsLookup,MATCH($A388,List_PredictorFacilities,0),(COLUMN()-1)/2), 1),"")</f>
        <v/>
      </c>
      <c r="H388" s="137"/>
      <c r="I388" s="58" t="str" cm="1">
        <f>IFERROR(INDEX(List_Predictors, INDEX(Array_PredictorsLookup,MATCH($A388,List_PredictorFacilities,0),(COLUMN()-1)/2), 1),"")</f>
        <v/>
      </c>
      <c r="J388" s="137"/>
      <c r="K388" s="58" t="str" cm="1">
        <f>IFERROR(INDEX(List_Predictors, INDEX(Array_PredictorsLookup,MATCH($A388,List_PredictorFacilities,0),(COLUMN()-1)/2), 1),"")</f>
        <v/>
      </c>
      <c r="L388" s="137"/>
      <c r="M388" s="58" t="str" cm="1">
        <f>IFERROR(INDEX(List_Predictors, INDEX(Array_PredictorsLookup,MATCH($A388,List_PredictorFacilities,0),(COLUMN()-1)/2), 1),"")</f>
        <v/>
      </c>
      <c r="N388" s="137"/>
      <c r="O388" s="58" t="str" cm="1">
        <f>IFERROR(INDEX(List_Predictors, INDEX(Array_PredictorsLookup,MATCH($A388,List_PredictorFacilities,0),(COLUMN()-1)/2), 1),"")</f>
        <v/>
      </c>
      <c r="P388" s="137"/>
      <c r="Q388" s="58" t="str" cm="1">
        <f>IFERROR(INDEX(List_Predictors, INDEX(Array_PredictorsLookup,MATCH($A388,List_PredictorFacilities,0),(COLUMN()-1)/2), 1),"")</f>
        <v/>
      </c>
      <c r="R388" s="137"/>
      <c r="S388" s="58" t="str" cm="1">
        <f>IFERROR(INDEX(List_Predictors, INDEX(Array_PredictorsLookup,MATCH($A388,List_PredictorFacilities,0),(COLUMN()-1)/2), 1),"")</f>
        <v/>
      </c>
      <c r="T388" s="137"/>
      <c r="U388" s="58" t="str" cm="1">
        <f>IFERROR(INDEX(List_Predictors, INDEX(Array_PredictorsLookup,MATCH($A388,List_PredictorFacilities,0),(COLUMN()-1)/2), 1),"")</f>
        <v/>
      </c>
      <c r="V388" s="137"/>
      <c r="W388" s="58" t="str" cm="1">
        <f>IFERROR(INDEX(List_Predictors, INDEX(Array_PredictorsLookup,MATCH($A388,List_PredictorFacilities,0),(COLUMN()-1)/2), 1),"")</f>
        <v/>
      </c>
      <c r="X388" s="137"/>
      <c r="Y388" s="58" t="str" cm="1">
        <f>IFERROR(INDEX(List_Predictors, INDEX(Array_PredictorsLookup,MATCH($A388,List_PredictorFacilities,0),(COLUMN()-1)/2), 1),"")</f>
        <v/>
      </c>
      <c r="Z388" s="137"/>
      <c r="AA388" s="58" t="str" cm="1">
        <f>IFERROR(INDEX(List_Predictors, INDEX(Array_PredictorsLookup,MATCH($A388,List_PredictorFacilities,0),(COLUMN()-1)/2), 1),"")</f>
        <v/>
      </c>
      <c r="AB388" s="137"/>
      <c r="AC388" s="58" t="str" cm="1">
        <f>IFERROR(INDEX(List_Predictors, INDEX(Array_PredictorsLookup,MATCH($A388,List_PredictorFacilities,0),(COLUMN()-1)/2), 1),"")</f>
        <v/>
      </c>
      <c r="AD388" s="137"/>
      <c r="AE388" s="58" t="str" cm="1">
        <f>IFERROR(INDEX(List_Predictors, INDEX(Array_PredictorsLookup,MATCH($A388,List_PredictorFacilities,0),(COLUMN()-1)/2), 1),"")</f>
        <v/>
      </c>
      <c r="AF388" s="137"/>
    </row>
    <row r="389" spans="1:32" x14ac:dyDescent="0.3">
      <c r="A389" s="126"/>
      <c r="B389" s="141"/>
      <c r="C389" s="58" t="str" cm="1">
        <f>IFERROR(INDEX(List_Predictors, INDEX(Array_PredictorsLookup,MATCH($A389,List_PredictorFacilities,0),(COLUMN()-1)/2), 1),"")</f>
        <v/>
      </c>
      <c r="D389" s="137"/>
      <c r="E389" s="58" t="str" cm="1">
        <f>IFERROR(INDEX(List_Predictors, INDEX(Array_PredictorsLookup,MATCH($A389,List_PredictorFacilities,0),(COLUMN()-1)/2), 1),"")</f>
        <v/>
      </c>
      <c r="F389" s="137"/>
      <c r="G389" s="58" t="str" cm="1">
        <f>IFERROR(INDEX(List_Predictors, INDEX(Array_PredictorsLookup,MATCH($A389,List_PredictorFacilities,0),(COLUMN()-1)/2), 1),"")</f>
        <v/>
      </c>
      <c r="H389" s="137"/>
      <c r="I389" s="58" t="str" cm="1">
        <f>IFERROR(INDEX(List_Predictors, INDEX(Array_PredictorsLookup,MATCH($A389,List_PredictorFacilities,0),(COLUMN()-1)/2), 1),"")</f>
        <v/>
      </c>
      <c r="J389" s="137"/>
      <c r="K389" s="58" t="str" cm="1">
        <f>IFERROR(INDEX(List_Predictors, INDEX(Array_PredictorsLookup,MATCH($A389,List_PredictorFacilities,0),(COLUMN()-1)/2), 1),"")</f>
        <v/>
      </c>
      <c r="L389" s="137"/>
      <c r="M389" s="58" t="str" cm="1">
        <f>IFERROR(INDEX(List_Predictors, INDEX(Array_PredictorsLookup,MATCH($A389,List_PredictorFacilities,0),(COLUMN()-1)/2), 1),"")</f>
        <v/>
      </c>
      <c r="N389" s="137"/>
      <c r="O389" s="58" t="str" cm="1">
        <f>IFERROR(INDEX(List_Predictors, INDEX(Array_PredictorsLookup,MATCH($A389,List_PredictorFacilities,0),(COLUMN()-1)/2), 1),"")</f>
        <v/>
      </c>
      <c r="P389" s="137"/>
      <c r="Q389" s="58" t="str" cm="1">
        <f>IFERROR(INDEX(List_Predictors, INDEX(Array_PredictorsLookup,MATCH($A389,List_PredictorFacilities,0),(COLUMN()-1)/2), 1),"")</f>
        <v/>
      </c>
      <c r="R389" s="137"/>
      <c r="S389" s="58" t="str" cm="1">
        <f>IFERROR(INDEX(List_Predictors, INDEX(Array_PredictorsLookup,MATCH($A389,List_PredictorFacilities,0),(COLUMN()-1)/2), 1),"")</f>
        <v/>
      </c>
      <c r="T389" s="137"/>
      <c r="U389" s="58" t="str" cm="1">
        <f>IFERROR(INDEX(List_Predictors, INDEX(Array_PredictorsLookup,MATCH($A389,List_PredictorFacilities,0),(COLUMN()-1)/2), 1),"")</f>
        <v/>
      </c>
      <c r="V389" s="137"/>
      <c r="W389" s="58" t="str" cm="1">
        <f>IFERROR(INDEX(List_Predictors, INDEX(Array_PredictorsLookup,MATCH($A389,List_PredictorFacilities,0),(COLUMN()-1)/2), 1),"")</f>
        <v/>
      </c>
      <c r="X389" s="137"/>
      <c r="Y389" s="58" t="str" cm="1">
        <f>IFERROR(INDEX(List_Predictors, INDEX(Array_PredictorsLookup,MATCH($A389,List_PredictorFacilities,0),(COLUMN()-1)/2), 1),"")</f>
        <v/>
      </c>
      <c r="Z389" s="137"/>
      <c r="AA389" s="58" t="str" cm="1">
        <f>IFERROR(INDEX(List_Predictors, INDEX(Array_PredictorsLookup,MATCH($A389,List_PredictorFacilities,0),(COLUMN()-1)/2), 1),"")</f>
        <v/>
      </c>
      <c r="AB389" s="137"/>
      <c r="AC389" s="58" t="str" cm="1">
        <f>IFERROR(INDEX(List_Predictors, INDEX(Array_PredictorsLookup,MATCH($A389,List_PredictorFacilities,0),(COLUMN()-1)/2), 1),"")</f>
        <v/>
      </c>
      <c r="AD389" s="137"/>
      <c r="AE389" s="58" t="str" cm="1">
        <f>IFERROR(INDEX(List_Predictors, INDEX(Array_PredictorsLookup,MATCH($A389,List_PredictorFacilities,0),(COLUMN()-1)/2), 1),"")</f>
        <v/>
      </c>
      <c r="AF389" s="137"/>
    </row>
    <row r="390" spans="1:32" x14ac:dyDescent="0.3">
      <c r="A390" s="126"/>
      <c r="B390" s="141"/>
      <c r="C390" s="58" t="str" cm="1">
        <f>IFERROR(INDEX(List_Predictors, INDEX(Array_PredictorsLookup,MATCH($A390,List_PredictorFacilities,0),(COLUMN()-1)/2), 1),"")</f>
        <v/>
      </c>
      <c r="D390" s="137"/>
      <c r="E390" s="58" t="str" cm="1">
        <f>IFERROR(INDEX(List_Predictors, INDEX(Array_PredictorsLookup,MATCH($A390,List_PredictorFacilities,0),(COLUMN()-1)/2), 1),"")</f>
        <v/>
      </c>
      <c r="F390" s="137"/>
      <c r="G390" s="58" t="str" cm="1">
        <f>IFERROR(INDEX(List_Predictors, INDEX(Array_PredictorsLookup,MATCH($A390,List_PredictorFacilities,0),(COLUMN()-1)/2), 1),"")</f>
        <v/>
      </c>
      <c r="H390" s="137"/>
      <c r="I390" s="58" t="str" cm="1">
        <f>IFERROR(INDEX(List_Predictors, INDEX(Array_PredictorsLookup,MATCH($A390,List_PredictorFacilities,0),(COLUMN()-1)/2), 1),"")</f>
        <v/>
      </c>
      <c r="J390" s="137"/>
      <c r="K390" s="58" t="str" cm="1">
        <f>IFERROR(INDEX(List_Predictors, INDEX(Array_PredictorsLookup,MATCH($A390,List_PredictorFacilities,0),(COLUMN()-1)/2), 1),"")</f>
        <v/>
      </c>
      <c r="L390" s="137"/>
      <c r="M390" s="58" t="str" cm="1">
        <f>IFERROR(INDEX(List_Predictors, INDEX(Array_PredictorsLookup,MATCH($A390,List_PredictorFacilities,0),(COLUMN()-1)/2), 1),"")</f>
        <v/>
      </c>
      <c r="N390" s="137"/>
      <c r="O390" s="58" t="str" cm="1">
        <f>IFERROR(INDEX(List_Predictors, INDEX(Array_PredictorsLookup,MATCH($A390,List_PredictorFacilities,0),(COLUMN()-1)/2), 1),"")</f>
        <v/>
      </c>
      <c r="P390" s="137"/>
      <c r="Q390" s="58" t="str" cm="1">
        <f>IFERROR(INDEX(List_Predictors, INDEX(Array_PredictorsLookup,MATCH($A390,List_PredictorFacilities,0),(COLUMN()-1)/2), 1),"")</f>
        <v/>
      </c>
      <c r="R390" s="137"/>
      <c r="S390" s="58" t="str" cm="1">
        <f>IFERROR(INDEX(List_Predictors, INDEX(Array_PredictorsLookup,MATCH($A390,List_PredictorFacilities,0),(COLUMN()-1)/2), 1),"")</f>
        <v/>
      </c>
      <c r="T390" s="137"/>
      <c r="U390" s="58" t="str" cm="1">
        <f>IFERROR(INDEX(List_Predictors, INDEX(Array_PredictorsLookup,MATCH($A390,List_PredictorFacilities,0),(COLUMN()-1)/2), 1),"")</f>
        <v/>
      </c>
      <c r="V390" s="137"/>
      <c r="W390" s="58" t="str" cm="1">
        <f>IFERROR(INDEX(List_Predictors, INDEX(Array_PredictorsLookup,MATCH($A390,List_PredictorFacilities,0),(COLUMN()-1)/2), 1),"")</f>
        <v/>
      </c>
      <c r="X390" s="137"/>
      <c r="Y390" s="58" t="str" cm="1">
        <f>IFERROR(INDEX(List_Predictors, INDEX(Array_PredictorsLookup,MATCH($A390,List_PredictorFacilities,0),(COLUMN()-1)/2), 1),"")</f>
        <v/>
      </c>
      <c r="Z390" s="137"/>
      <c r="AA390" s="58" t="str" cm="1">
        <f>IFERROR(INDEX(List_Predictors, INDEX(Array_PredictorsLookup,MATCH($A390,List_PredictorFacilities,0),(COLUMN()-1)/2), 1),"")</f>
        <v/>
      </c>
      <c r="AB390" s="137"/>
      <c r="AC390" s="58" t="str" cm="1">
        <f>IFERROR(INDEX(List_Predictors, INDEX(Array_PredictorsLookup,MATCH($A390,List_PredictorFacilities,0),(COLUMN()-1)/2), 1),"")</f>
        <v/>
      </c>
      <c r="AD390" s="137"/>
      <c r="AE390" s="58" t="str" cm="1">
        <f>IFERROR(INDEX(List_Predictors, INDEX(Array_PredictorsLookup,MATCH($A390,List_PredictorFacilities,0),(COLUMN()-1)/2), 1),"")</f>
        <v/>
      </c>
      <c r="AF390" s="137"/>
    </row>
    <row r="391" spans="1:32" x14ac:dyDescent="0.3">
      <c r="A391" s="126"/>
      <c r="B391" s="141"/>
      <c r="C391" s="58" t="str" cm="1">
        <f>IFERROR(INDEX(List_Predictors, INDEX(Array_PredictorsLookup,MATCH($A391,List_PredictorFacilities,0),(COLUMN()-1)/2), 1),"")</f>
        <v/>
      </c>
      <c r="D391" s="137"/>
      <c r="E391" s="58" t="str" cm="1">
        <f>IFERROR(INDEX(List_Predictors, INDEX(Array_PredictorsLookup,MATCH($A391,List_PredictorFacilities,0),(COLUMN()-1)/2), 1),"")</f>
        <v/>
      </c>
      <c r="F391" s="137"/>
      <c r="G391" s="58" t="str" cm="1">
        <f>IFERROR(INDEX(List_Predictors, INDEX(Array_PredictorsLookup,MATCH($A391,List_PredictorFacilities,0),(COLUMN()-1)/2), 1),"")</f>
        <v/>
      </c>
      <c r="H391" s="137"/>
      <c r="I391" s="58" t="str" cm="1">
        <f>IFERROR(INDEX(List_Predictors, INDEX(Array_PredictorsLookup,MATCH($A391,List_PredictorFacilities,0),(COLUMN()-1)/2), 1),"")</f>
        <v/>
      </c>
      <c r="J391" s="137"/>
      <c r="K391" s="58" t="str" cm="1">
        <f>IFERROR(INDEX(List_Predictors, INDEX(Array_PredictorsLookup,MATCH($A391,List_PredictorFacilities,0),(COLUMN()-1)/2), 1),"")</f>
        <v/>
      </c>
      <c r="L391" s="137"/>
      <c r="M391" s="58" t="str" cm="1">
        <f>IFERROR(INDEX(List_Predictors, INDEX(Array_PredictorsLookup,MATCH($A391,List_PredictorFacilities,0),(COLUMN()-1)/2), 1),"")</f>
        <v/>
      </c>
      <c r="N391" s="137"/>
      <c r="O391" s="58" t="str" cm="1">
        <f>IFERROR(INDEX(List_Predictors, INDEX(Array_PredictorsLookup,MATCH($A391,List_PredictorFacilities,0),(COLUMN()-1)/2), 1),"")</f>
        <v/>
      </c>
      <c r="P391" s="137"/>
      <c r="Q391" s="58" t="str" cm="1">
        <f>IFERROR(INDEX(List_Predictors, INDEX(Array_PredictorsLookup,MATCH($A391,List_PredictorFacilities,0),(COLUMN()-1)/2), 1),"")</f>
        <v/>
      </c>
      <c r="R391" s="137"/>
      <c r="S391" s="58" t="str" cm="1">
        <f>IFERROR(INDEX(List_Predictors, INDEX(Array_PredictorsLookup,MATCH($A391,List_PredictorFacilities,0),(COLUMN()-1)/2), 1),"")</f>
        <v/>
      </c>
      <c r="T391" s="137"/>
      <c r="U391" s="58" t="str" cm="1">
        <f>IFERROR(INDEX(List_Predictors, INDEX(Array_PredictorsLookup,MATCH($A391,List_PredictorFacilities,0),(COLUMN()-1)/2), 1),"")</f>
        <v/>
      </c>
      <c r="V391" s="137"/>
      <c r="W391" s="58" t="str" cm="1">
        <f>IFERROR(INDEX(List_Predictors, INDEX(Array_PredictorsLookup,MATCH($A391,List_PredictorFacilities,0),(COLUMN()-1)/2), 1),"")</f>
        <v/>
      </c>
      <c r="X391" s="137"/>
      <c r="Y391" s="58" t="str" cm="1">
        <f>IFERROR(INDEX(List_Predictors, INDEX(Array_PredictorsLookup,MATCH($A391,List_PredictorFacilities,0),(COLUMN()-1)/2), 1),"")</f>
        <v/>
      </c>
      <c r="Z391" s="137"/>
      <c r="AA391" s="58" t="str" cm="1">
        <f>IFERROR(INDEX(List_Predictors, INDEX(Array_PredictorsLookup,MATCH($A391,List_PredictorFacilities,0),(COLUMN()-1)/2), 1),"")</f>
        <v/>
      </c>
      <c r="AB391" s="137"/>
      <c r="AC391" s="58" t="str" cm="1">
        <f>IFERROR(INDEX(List_Predictors, INDEX(Array_PredictorsLookup,MATCH($A391,List_PredictorFacilities,0),(COLUMN()-1)/2), 1),"")</f>
        <v/>
      </c>
      <c r="AD391" s="137"/>
      <c r="AE391" s="58" t="str" cm="1">
        <f>IFERROR(INDEX(List_Predictors, INDEX(Array_PredictorsLookup,MATCH($A391,List_PredictorFacilities,0),(COLUMN()-1)/2), 1),"")</f>
        <v/>
      </c>
      <c r="AF391" s="137"/>
    </row>
    <row r="392" spans="1:32" x14ac:dyDescent="0.3">
      <c r="A392" s="126"/>
      <c r="B392" s="141"/>
      <c r="C392" s="58" t="str" cm="1">
        <f>IFERROR(INDEX(List_Predictors, INDEX(Array_PredictorsLookup,MATCH($A392,List_PredictorFacilities,0),(COLUMN()-1)/2), 1),"")</f>
        <v/>
      </c>
      <c r="D392" s="137"/>
      <c r="E392" s="58" t="str" cm="1">
        <f>IFERROR(INDEX(List_Predictors, INDEX(Array_PredictorsLookup,MATCH($A392,List_PredictorFacilities,0),(COLUMN()-1)/2), 1),"")</f>
        <v/>
      </c>
      <c r="F392" s="137"/>
      <c r="G392" s="58" t="str" cm="1">
        <f>IFERROR(INDEX(List_Predictors, INDEX(Array_PredictorsLookup,MATCH($A392,List_PredictorFacilities,0),(COLUMN()-1)/2), 1),"")</f>
        <v/>
      </c>
      <c r="H392" s="137"/>
      <c r="I392" s="58" t="str" cm="1">
        <f>IFERROR(INDEX(List_Predictors, INDEX(Array_PredictorsLookup,MATCH($A392,List_PredictorFacilities,0),(COLUMN()-1)/2), 1),"")</f>
        <v/>
      </c>
      <c r="J392" s="137"/>
      <c r="K392" s="58" t="str" cm="1">
        <f>IFERROR(INDEX(List_Predictors, INDEX(Array_PredictorsLookup,MATCH($A392,List_PredictorFacilities,0),(COLUMN()-1)/2), 1),"")</f>
        <v/>
      </c>
      <c r="L392" s="137"/>
      <c r="M392" s="58" t="str" cm="1">
        <f>IFERROR(INDEX(List_Predictors, INDEX(Array_PredictorsLookup,MATCH($A392,List_PredictorFacilities,0),(COLUMN()-1)/2), 1),"")</f>
        <v/>
      </c>
      <c r="N392" s="137"/>
      <c r="O392" s="58" t="str" cm="1">
        <f>IFERROR(INDEX(List_Predictors, INDEX(Array_PredictorsLookup,MATCH($A392,List_PredictorFacilities,0),(COLUMN()-1)/2), 1),"")</f>
        <v/>
      </c>
      <c r="P392" s="137"/>
      <c r="Q392" s="58" t="str" cm="1">
        <f>IFERROR(INDEX(List_Predictors, INDEX(Array_PredictorsLookup,MATCH($A392,List_PredictorFacilities,0),(COLUMN()-1)/2), 1),"")</f>
        <v/>
      </c>
      <c r="R392" s="137"/>
      <c r="S392" s="58" t="str" cm="1">
        <f>IFERROR(INDEX(List_Predictors, INDEX(Array_PredictorsLookup,MATCH($A392,List_PredictorFacilities,0),(COLUMN()-1)/2), 1),"")</f>
        <v/>
      </c>
      <c r="T392" s="137"/>
      <c r="U392" s="58" t="str" cm="1">
        <f>IFERROR(INDEX(List_Predictors, INDEX(Array_PredictorsLookup,MATCH($A392,List_PredictorFacilities,0),(COLUMN()-1)/2), 1),"")</f>
        <v/>
      </c>
      <c r="V392" s="137"/>
      <c r="W392" s="58" t="str" cm="1">
        <f>IFERROR(INDEX(List_Predictors, INDEX(Array_PredictorsLookup,MATCH($A392,List_PredictorFacilities,0),(COLUMN()-1)/2), 1),"")</f>
        <v/>
      </c>
      <c r="X392" s="137"/>
      <c r="Y392" s="58" t="str" cm="1">
        <f>IFERROR(INDEX(List_Predictors, INDEX(Array_PredictorsLookup,MATCH($A392,List_PredictorFacilities,0),(COLUMN()-1)/2), 1),"")</f>
        <v/>
      </c>
      <c r="Z392" s="137"/>
      <c r="AA392" s="58" t="str" cm="1">
        <f>IFERROR(INDEX(List_Predictors, INDEX(Array_PredictorsLookup,MATCH($A392,List_PredictorFacilities,0),(COLUMN()-1)/2), 1),"")</f>
        <v/>
      </c>
      <c r="AB392" s="137"/>
      <c r="AC392" s="58" t="str" cm="1">
        <f>IFERROR(INDEX(List_Predictors, INDEX(Array_PredictorsLookup,MATCH($A392,List_PredictorFacilities,0),(COLUMN()-1)/2), 1),"")</f>
        <v/>
      </c>
      <c r="AD392" s="137"/>
      <c r="AE392" s="58" t="str" cm="1">
        <f>IFERROR(INDEX(List_Predictors, INDEX(Array_PredictorsLookup,MATCH($A392,List_PredictorFacilities,0),(COLUMN()-1)/2), 1),"")</f>
        <v/>
      </c>
      <c r="AF392" s="137"/>
    </row>
    <row r="393" spans="1:32" x14ac:dyDescent="0.3">
      <c r="A393" s="126"/>
      <c r="B393" s="141"/>
      <c r="C393" s="58" t="str" cm="1">
        <f>IFERROR(INDEX(List_Predictors, INDEX(Array_PredictorsLookup,MATCH($A393,List_PredictorFacilities,0),(COLUMN()-1)/2), 1),"")</f>
        <v/>
      </c>
      <c r="D393" s="137"/>
      <c r="E393" s="58" t="str" cm="1">
        <f>IFERROR(INDEX(List_Predictors, INDEX(Array_PredictorsLookup,MATCH($A393,List_PredictorFacilities,0),(COLUMN()-1)/2), 1),"")</f>
        <v/>
      </c>
      <c r="F393" s="137"/>
      <c r="G393" s="58" t="str" cm="1">
        <f>IFERROR(INDEX(List_Predictors, INDEX(Array_PredictorsLookup,MATCH($A393,List_PredictorFacilities,0),(COLUMN()-1)/2), 1),"")</f>
        <v/>
      </c>
      <c r="H393" s="137"/>
      <c r="I393" s="58" t="str" cm="1">
        <f>IFERROR(INDEX(List_Predictors, INDEX(Array_PredictorsLookup,MATCH($A393,List_PredictorFacilities,0),(COLUMN()-1)/2), 1),"")</f>
        <v/>
      </c>
      <c r="J393" s="137"/>
      <c r="K393" s="58" t="str" cm="1">
        <f>IFERROR(INDEX(List_Predictors, INDEX(Array_PredictorsLookup,MATCH($A393,List_PredictorFacilities,0),(COLUMN()-1)/2), 1),"")</f>
        <v/>
      </c>
      <c r="L393" s="137"/>
      <c r="M393" s="58" t="str" cm="1">
        <f>IFERROR(INDEX(List_Predictors, INDEX(Array_PredictorsLookup,MATCH($A393,List_PredictorFacilities,0),(COLUMN()-1)/2), 1),"")</f>
        <v/>
      </c>
      <c r="N393" s="137"/>
      <c r="O393" s="58" t="str" cm="1">
        <f>IFERROR(INDEX(List_Predictors, INDEX(Array_PredictorsLookup,MATCH($A393,List_PredictorFacilities,0),(COLUMN()-1)/2), 1),"")</f>
        <v/>
      </c>
      <c r="P393" s="137"/>
      <c r="Q393" s="58" t="str" cm="1">
        <f>IFERROR(INDEX(List_Predictors, INDEX(Array_PredictorsLookup,MATCH($A393,List_PredictorFacilities,0),(COLUMN()-1)/2), 1),"")</f>
        <v/>
      </c>
      <c r="R393" s="137"/>
      <c r="S393" s="58" t="str" cm="1">
        <f>IFERROR(INDEX(List_Predictors, INDEX(Array_PredictorsLookup,MATCH($A393,List_PredictorFacilities,0),(COLUMN()-1)/2), 1),"")</f>
        <v/>
      </c>
      <c r="T393" s="137"/>
      <c r="U393" s="58" t="str" cm="1">
        <f>IFERROR(INDEX(List_Predictors, INDEX(Array_PredictorsLookup,MATCH($A393,List_PredictorFacilities,0),(COLUMN()-1)/2), 1),"")</f>
        <v/>
      </c>
      <c r="V393" s="137"/>
      <c r="W393" s="58" t="str" cm="1">
        <f>IFERROR(INDEX(List_Predictors, INDEX(Array_PredictorsLookup,MATCH($A393,List_PredictorFacilities,0),(COLUMN()-1)/2), 1),"")</f>
        <v/>
      </c>
      <c r="X393" s="137"/>
      <c r="Y393" s="58" t="str" cm="1">
        <f>IFERROR(INDEX(List_Predictors, INDEX(Array_PredictorsLookup,MATCH($A393,List_PredictorFacilities,0),(COLUMN()-1)/2), 1),"")</f>
        <v/>
      </c>
      <c r="Z393" s="137"/>
      <c r="AA393" s="58" t="str" cm="1">
        <f>IFERROR(INDEX(List_Predictors, INDEX(Array_PredictorsLookup,MATCH($A393,List_PredictorFacilities,0),(COLUMN()-1)/2), 1),"")</f>
        <v/>
      </c>
      <c r="AB393" s="137"/>
      <c r="AC393" s="58" t="str" cm="1">
        <f>IFERROR(INDEX(List_Predictors, INDEX(Array_PredictorsLookup,MATCH($A393,List_PredictorFacilities,0),(COLUMN()-1)/2), 1),"")</f>
        <v/>
      </c>
      <c r="AD393" s="137"/>
      <c r="AE393" s="58" t="str" cm="1">
        <f>IFERROR(INDEX(List_Predictors, INDEX(Array_PredictorsLookup,MATCH($A393,List_PredictorFacilities,0),(COLUMN()-1)/2), 1),"")</f>
        <v/>
      </c>
      <c r="AF393" s="137"/>
    </row>
    <row r="394" spans="1:32" x14ac:dyDescent="0.3">
      <c r="A394" s="126"/>
      <c r="B394" s="141"/>
      <c r="C394" s="58" t="str" cm="1">
        <f>IFERROR(INDEX(List_Predictors, INDEX(Array_PredictorsLookup,MATCH($A394,List_PredictorFacilities,0),(COLUMN()-1)/2), 1),"")</f>
        <v/>
      </c>
      <c r="D394" s="137"/>
      <c r="E394" s="58" t="str" cm="1">
        <f>IFERROR(INDEX(List_Predictors, INDEX(Array_PredictorsLookup,MATCH($A394,List_PredictorFacilities,0),(COLUMN()-1)/2), 1),"")</f>
        <v/>
      </c>
      <c r="F394" s="137"/>
      <c r="G394" s="58" t="str" cm="1">
        <f>IFERROR(INDEX(List_Predictors, INDEX(Array_PredictorsLookup,MATCH($A394,List_PredictorFacilities,0),(COLUMN()-1)/2), 1),"")</f>
        <v/>
      </c>
      <c r="H394" s="137"/>
      <c r="I394" s="58" t="str" cm="1">
        <f>IFERROR(INDEX(List_Predictors, INDEX(Array_PredictorsLookup,MATCH($A394,List_PredictorFacilities,0),(COLUMN()-1)/2), 1),"")</f>
        <v/>
      </c>
      <c r="J394" s="137"/>
      <c r="K394" s="58" t="str" cm="1">
        <f>IFERROR(INDEX(List_Predictors, INDEX(Array_PredictorsLookup,MATCH($A394,List_PredictorFacilities,0),(COLUMN()-1)/2), 1),"")</f>
        <v/>
      </c>
      <c r="L394" s="137"/>
      <c r="M394" s="58" t="str" cm="1">
        <f>IFERROR(INDEX(List_Predictors, INDEX(Array_PredictorsLookup,MATCH($A394,List_PredictorFacilities,0),(COLUMN()-1)/2), 1),"")</f>
        <v/>
      </c>
      <c r="N394" s="137"/>
      <c r="O394" s="58" t="str" cm="1">
        <f>IFERROR(INDEX(List_Predictors, INDEX(Array_PredictorsLookup,MATCH($A394,List_PredictorFacilities,0),(COLUMN()-1)/2), 1),"")</f>
        <v/>
      </c>
      <c r="P394" s="137"/>
      <c r="Q394" s="58" t="str" cm="1">
        <f>IFERROR(INDEX(List_Predictors, INDEX(Array_PredictorsLookup,MATCH($A394,List_PredictorFacilities,0),(COLUMN()-1)/2), 1),"")</f>
        <v/>
      </c>
      <c r="R394" s="137"/>
      <c r="S394" s="58" t="str" cm="1">
        <f>IFERROR(INDEX(List_Predictors, INDEX(Array_PredictorsLookup,MATCH($A394,List_PredictorFacilities,0),(COLUMN()-1)/2), 1),"")</f>
        <v/>
      </c>
      <c r="T394" s="137"/>
      <c r="U394" s="58" t="str" cm="1">
        <f>IFERROR(INDEX(List_Predictors, INDEX(Array_PredictorsLookup,MATCH($A394,List_PredictorFacilities,0),(COLUMN()-1)/2), 1),"")</f>
        <v/>
      </c>
      <c r="V394" s="137"/>
      <c r="W394" s="58" t="str" cm="1">
        <f>IFERROR(INDEX(List_Predictors, INDEX(Array_PredictorsLookup,MATCH($A394,List_PredictorFacilities,0),(COLUMN()-1)/2), 1),"")</f>
        <v/>
      </c>
      <c r="X394" s="137"/>
      <c r="Y394" s="58" t="str" cm="1">
        <f>IFERROR(INDEX(List_Predictors, INDEX(Array_PredictorsLookup,MATCH($A394,List_PredictorFacilities,0),(COLUMN()-1)/2), 1),"")</f>
        <v/>
      </c>
      <c r="Z394" s="137"/>
      <c r="AA394" s="58" t="str" cm="1">
        <f>IFERROR(INDEX(List_Predictors, INDEX(Array_PredictorsLookup,MATCH($A394,List_PredictorFacilities,0),(COLUMN()-1)/2), 1),"")</f>
        <v/>
      </c>
      <c r="AB394" s="137"/>
      <c r="AC394" s="58" t="str" cm="1">
        <f>IFERROR(INDEX(List_Predictors, INDEX(Array_PredictorsLookup,MATCH($A394,List_PredictorFacilities,0),(COLUMN()-1)/2), 1),"")</f>
        <v/>
      </c>
      <c r="AD394" s="137"/>
      <c r="AE394" s="58" t="str" cm="1">
        <f>IFERROR(INDEX(List_Predictors, INDEX(Array_PredictorsLookup,MATCH($A394,List_PredictorFacilities,0),(COLUMN()-1)/2), 1),"")</f>
        <v/>
      </c>
      <c r="AF394" s="137"/>
    </row>
    <row r="395" spans="1:32" x14ac:dyDescent="0.3">
      <c r="A395" s="126"/>
      <c r="B395" s="141"/>
      <c r="C395" s="58" t="str" cm="1">
        <f>IFERROR(INDEX(List_Predictors, INDEX(Array_PredictorsLookup,MATCH($A395,List_PredictorFacilities,0),(COLUMN()-1)/2), 1),"")</f>
        <v/>
      </c>
      <c r="D395" s="137"/>
      <c r="E395" s="58" t="str" cm="1">
        <f>IFERROR(INDEX(List_Predictors, INDEX(Array_PredictorsLookup,MATCH($A395,List_PredictorFacilities,0),(COLUMN()-1)/2), 1),"")</f>
        <v/>
      </c>
      <c r="F395" s="137"/>
      <c r="G395" s="58" t="str" cm="1">
        <f>IFERROR(INDEX(List_Predictors, INDEX(Array_PredictorsLookup,MATCH($A395,List_PredictorFacilities,0),(COLUMN()-1)/2), 1),"")</f>
        <v/>
      </c>
      <c r="H395" s="137"/>
      <c r="I395" s="58" t="str" cm="1">
        <f>IFERROR(INDEX(List_Predictors, INDEX(Array_PredictorsLookup,MATCH($A395,List_PredictorFacilities,0),(COLUMN()-1)/2), 1),"")</f>
        <v/>
      </c>
      <c r="J395" s="137"/>
      <c r="K395" s="58" t="str" cm="1">
        <f>IFERROR(INDEX(List_Predictors, INDEX(Array_PredictorsLookup,MATCH($A395,List_PredictorFacilities,0),(COLUMN()-1)/2), 1),"")</f>
        <v/>
      </c>
      <c r="L395" s="137"/>
      <c r="M395" s="58" t="str" cm="1">
        <f>IFERROR(INDEX(List_Predictors, INDEX(Array_PredictorsLookup,MATCH($A395,List_PredictorFacilities,0),(COLUMN()-1)/2), 1),"")</f>
        <v/>
      </c>
      <c r="N395" s="137"/>
      <c r="O395" s="58" t="str" cm="1">
        <f>IFERROR(INDEX(List_Predictors, INDEX(Array_PredictorsLookup,MATCH($A395,List_PredictorFacilities,0),(COLUMN()-1)/2), 1),"")</f>
        <v/>
      </c>
      <c r="P395" s="137"/>
      <c r="Q395" s="58" t="str" cm="1">
        <f>IFERROR(INDEX(List_Predictors, INDEX(Array_PredictorsLookup,MATCH($A395,List_PredictorFacilities,0),(COLUMN()-1)/2), 1),"")</f>
        <v/>
      </c>
      <c r="R395" s="137"/>
      <c r="S395" s="58" t="str" cm="1">
        <f>IFERROR(INDEX(List_Predictors, INDEX(Array_PredictorsLookup,MATCH($A395,List_PredictorFacilities,0),(COLUMN()-1)/2), 1),"")</f>
        <v/>
      </c>
      <c r="T395" s="137"/>
      <c r="U395" s="58" t="str" cm="1">
        <f>IFERROR(INDEX(List_Predictors, INDEX(Array_PredictorsLookup,MATCH($A395,List_PredictorFacilities,0),(COLUMN()-1)/2), 1),"")</f>
        <v/>
      </c>
      <c r="V395" s="137"/>
      <c r="W395" s="58" t="str" cm="1">
        <f>IFERROR(INDEX(List_Predictors, INDEX(Array_PredictorsLookup,MATCH($A395,List_PredictorFacilities,0),(COLUMN()-1)/2), 1),"")</f>
        <v/>
      </c>
      <c r="X395" s="137"/>
      <c r="Y395" s="58" t="str" cm="1">
        <f>IFERROR(INDEX(List_Predictors, INDEX(Array_PredictorsLookup,MATCH($A395,List_PredictorFacilities,0),(COLUMN()-1)/2), 1),"")</f>
        <v/>
      </c>
      <c r="Z395" s="137"/>
      <c r="AA395" s="58" t="str" cm="1">
        <f>IFERROR(INDEX(List_Predictors, INDEX(Array_PredictorsLookup,MATCH($A395,List_PredictorFacilities,0),(COLUMN()-1)/2), 1),"")</f>
        <v/>
      </c>
      <c r="AB395" s="137"/>
      <c r="AC395" s="58" t="str" cm="1">
        <f>IFERROR(INDEX(List_Predictors, INDEX(Array_PredictorsLookup,MATCH($A395,List_PredictorFacilities,0),(COLUMN()-1)/2), 1),"")</f>
        <v/>
      </c>
      <c r="AD395" s="137"/>
      <c r="AE395" s="58" t="str" cm="1">
        <f>IFERROR(INDEX(List_Predictors, INDEX(Array_PredictorsLookup,MATCH($A395,List_PredictorFacilities,0),(COLUMN()-1)/2), 1),"")</f>
        <v/>
      </c>
      <c r="AF395" s="137"/>
    </row>
    <row r="396" spans="1:32" x14ac:dyDescent="0.3">
      <c r="A396" s="126"/>
      <c r="B396" s="141"/>
      <c r="C396" s="58" t="str" cm="1">
        <f>IFERROR(INDEX(List_Predictors, INDEX(Array_PredictorsLookup,MATCH($A396,List_PredictorFacilities,0),(COLUMN()-1)/2), 1),"")</f>
        <v/>
      </c>
      <c r="D396" s="137"/>
      <c r="E396" s="58" t="str" cm="1">
        <f>IFERROR(INDEX(List_Predictors, INDEX(Array_PredictorsLookup,MATCH($A396,List_PredictorFacilities,0),(COLUMN()-1)/2), 1),"")</f>
        <v/>
      </c>
      <c r="F396" s="137"/>
      <c r="G396" s="58" t="str" cm="1">
        <f>IFERROR(INDEX(List_Predictors, INDEX(Array_PredictorsLookup,MATCH($A396,List_PredictorFacilities,0),(COLUMN()-1)/2), 1),"")</f>
        <v/>
      </c>
      <c r="H396" s="137"/>
      <c r="I396" s="58" t="str" cm="1">
        <f>IFERROR(INDEX(List_Predictors, INDEX(Array_PredictorsLookup,MATCH($A396,List_PredictorFacilities,0),(COLUMN()-1)/2), 1),"")</f>
        <v/>
      </c>
      <c r="J396" s="137"/>
      <c r="K396" s="58" t="str" cm="1">
        <f>IFERROR(INDEX(List_Predictors, INDEX(Array_PredictorsLookup,MATCH($A396,List_PredictorFacilities,0),(COLUMN()-1)/2), 1),"")</f>
        <v/>
      </c>
      <c r="L396" s="137"/>
      <c r="M396" s="58" t="str" cm="1">
        <f>IFERROR(INDEX(List_Predictors, INDEX(Array_PredictorsLookup,MATCH($A396,List_PredictorFacilities,0),(COLUMN()-1)/2), 1),"")</f>
        <v/>
      </c>
      <c r="N396" s="137"/>
      <c r="O396" s="58" t="str" cm="1">
        <f>IFERROR(INDEX(List_Predictors, INDEX(Array_PredictorsLookup,MATCH($A396,List_PredictorFacilities,0),(COLUMN()-1)/2), 1),"")</f>
        <v/>
      </c>
      <c r="P396" s="137"/>
      <c r="Q396" s="58" t="str" cm="1">
        <f>IFERROR(INDEX(List_Predictors, INDEX(Array_PredictorsLookup,MATCH($A396,List_PredictorFacilities,0),(COLUMN()-1)/2), 1),"")</f>
        <v/>
      </c>
      <c r="R396" s="137"/>
      <c r="S396" s="58" t="str" cm="1">
        <f>IFERROR(INDEX(List_Predictors, INDEX(Array_PredictorsLookup,MATCH($A396,List_PredictorFacilities,0),(COLUMN()-1)/2), 1),"")</f>
        <v/>
      </c>
      <c r="T396" s="137"/>
      <c r="U396" s="58" t="str" cm="1">
        <f>IFERROR(INDEX(List_Predictors, INDEX(Array_PredictorsLookup,MATCH($A396,List_PredictorFacilities,0),(COLUMN()-1)/2), 1),"")</f>
        <v/>
      </c>
      <c r="V396" s="137"/>
      <c r="W396" s="58" t="str" cm="1">
        <f>IFERROR(INDEX(List_Predictors, INDEX(Array_PredictorsLookup,MATCH($A396,List_PredictorFacilities,0),(COLUMN()-1)/2), 1),"")</f>
        <v/>
      </c>
      <c r="X396" s="137"/>
      <c r="Y396" s="58" t="str" cm="1">
        <f>IFERROR(INDEX(List_Predictors, INDEX(Array_PredictorsLookup,MATCH($A396,List_PredictorFacilities,0),(COLUMN()-1)/2), 1),"")</f>
        <v/>
      </c>
      <c r="Z396" s="137"/>
      <c r="AA396" s="58" t="str" cm="1">
        <f>IFERROR(INDEX(List_Predictors, INDEX(Array_PredictorsLookup,MATCH($A396,List_PredictorFacilities,0),(COLUMN()-1)/2), 1),"")</f>
        <v/>
      </c>
      <c r="AB396" s="137"/>
      <c r="AC396" s="58" t="str" cm="1">
        <f>IFERROR(INDEX(List_Predictors, INDEX(Array_PredictorsLookup,MATCH($A396,List_PredictorFacilities,0),(COLUMN()-1)/2), 1),"")</f>
        <v/>
      </c>
      <c r="AD396" s="137"/>
      <c r="AE396" s="58" t="str" cm="1">
        <f>IFERROR(INDEX(List_Predictors, INDEX(Array_PredictorsLookup,MATCH($A396,List_PredictorFacilities,0),(COLUMN()-1)/2), 1),"")</f>
        <v/>
      </c>
      <c r="AF396" s="137"/>
    </row>
    <row r="397" spans="1:32" x14ac:dyDescent="0.3">
      <c r="A397" s="126"/>
      <c r="B397" s="141"/>
      <c r="C397" s="58" t="str" cm="1">
        <f>IFERROR(INDEX(List_Predictors, INDEX(Array_PredictorsLookup,MATCH($A397,List_PredictorFacilities,0),(COLUMN()-1)/2), 1),"")</f>
        <v/>
      </c>
      <c r="D397" s="137"/>
      <c r="E397" s="58" t="str" cm="1">
        <f>IFERROR(INDEX(List_Predictors, INDEX(Array_PredictorsLookup,MATCH($A397,List_PredictorFacilities,0),(COLUMN()-1)/2), 1),"")</f>
        <v/>
      </c>
      <c r="F397" s="137"/>
      <c r="G397" s="58" t="str" cm="1">
        <f>IFERROR(INDEX(List_Predictors, INDEX(Array_PredictorsLookup,MATCH($A397,List_PredictorFacilities,0),(COLUMN()-1)/2), 1),"")</f>
        <v/>
      </c>
      <c r="H397" s="137"/>
      <c r="I397" s="58" t="str" cm="1">
        <f>IFERROR(INDEX(List_Predictors, INDEX(Array_PredictorsLookup,MATCH($A397,List_PredictorFacilities,0),(COLUMN()-1)/2), 1),"")</f>
        <v/>
      </c>
      <c r="J397" s="137"/>
      <c r="K397" s="58" t="str" cm="1">
        <f>IFERROR(INDEX(List_Predictors, INDEX(Array_PredictorsLookup,MATCH($A397,List_PredictorFacilities,0),(COLUMN()-1)/2), 1),"")</f>
        <v/>
      </c>
      <c r="L397" s="137"/>
      <c r="M397" s="58" t="str" cm="1">
        <f>IFERROR(INDEX(List_Predictors, INDEX(Array_PredictorsLookup,MATCH($A397,List_PredictorFacilities,0),(COLUMN()-1)/2), 1),"")</f>
        <v/>
      </c>
      <c r="N397" s="137"/>
      <c r="O397" s="58" t="str" cm="1">
        <f>IFERROR(INDEX(List_Predictors, INDEX(Array_PredictorsLookup,MATCH($A397,List_PredictorFacilities,0),(COLUMN()-1)/2), 1),"")</f>
        <v/>
      </c>
      <c r="P397" s="137"/>
      <c r="Q397" s="58" t="str" cm="1">
        <f>IFERROR(INDEX(List_Predictors, INDEX(Array_PredictorsLookup,MATCH($A397,List_PredictorFacilities,0),(COLUMN()-1)/2), 1),"")</f>
        <v/>
      </c>
      <c r="R397" s="137"/>
      <c r="S397" s="58" t="str" cm="1">
        <f>IFERROR(INDEX(List_Predictors, INDEX(Array_PredictorsLookup,MATCH($A397,List_PredictorFacilities,0),(COLUMN()-1)/2), 1),"")</f>
        <v/>
      </c>
      <c r="T397" s="137"/>
      <c r="U397" s="58" t="str" cm="1">
        <f>IFERROR(INDEX(List_Predictors, INDEX(Array_PredictorsLookup,MATCH($A397,List_PredictorFacilities,0),(COLUMN()-1)/2), 1),"")</f>
        <v/>
      </c>
      <c r="V397" s="137"/>
      <c r="W397" s="58" t="str" cm="1">
        <f>IFERROR(INDEX(List_Predictors, INDEX(Array_PredictorsLookup,MATCH($A397,List_PredictorFacilities,0),(COLUMN()-1)/2), 1),"")</f>
        <v/>
      </c>
      <c r="X397" s="137"/>
      <c r="Y397" s="58" t="str" cm="1">
        <f>IFERROR(INDEX(List_Predictors, INDEX(Array_PredictorsLookup,MATCH($A397,List_PredictorFacilities,0),(COLUMN()-1)/2), 1),"")</f>
        <v/>
      </c>
      <c r="Z397" s="137"/>
      <c r="AA397" s="58" t="str" cm="1">
        <f>IFERROR(INDEX(List_Predictors, INDEX(Array_PredictorsLookup,MATCH($A397,List_PredictorFacilities,0),(COLUMN()-1)/2), 1),"")</f>
        <v/>
      </c>
      <c r="AB397" s="137"/>
      <c r="AC397" s="58" t="str" cm="1">
        <f>IFERROR(INDEX(List_Predictors, INDEX(Array_PredictorsLookup,MATCH($A397,List_PredictorFacilities,0),(COLUMN()-1)/2), 1),"")</f>
        <v/>
      </c>
      <c r="AD397" s="137"/>
      <c r="AE397" s="58" t="str" cm="1">
        <f>IFERROR(INDEX(List_Predictors, INDEX(Array_PredictorsLookup,MATCH($A397,List_PredictorFacilities,0),(COLUMN()-1)/2), 1),"")</f>
        <v/>
      </c>
      <c r="AF397" s="137"/>
    </row>
    <row r="398" spans="1:32" x14ac:dyDescent="0.3">
      <c r="A398" s="126"/>
      <c r="B398" s="141"/>
      <c r="C398" s="58" t="str" cm="1">
        <f>IFERROR(INDEX(List_Predictors, INDEX(Array_PredictorsLookup,MATCH($A398,List_PredictorFacilities,0),(COLUMN()-1)/2), 1),"")</f>
        <v/>
      </c>
      <c r="D398" s="137"/>
      <c r="E398" s="58" t="str" cm="1">
        <f>IFERROR(INDEX(List_Predictors, INDEX(Array_PredictorsLookup,MATCH($A398,List_PredictorFacilities,0),(COLUMN()-1)/2), 1),"")</f>
        <v/>
      </c>
      <c r="F398" s="137"/>
      <c r="G398" s="58" t="str" cm="1">
        <f>IFERROR(INDEX(List_Predictors, INDEX(Array_PredictorsLookup,MATCH($A398,List_PredictorFacilities,0),(COLUMN()-1)/2), 1),"")</f>
        <v/>
      </c>
      <c r="H398" s="137"/>
      <c r="I398" s="58" t="str" cm="1">
        <f>IFERROR(INDEX(List_Predictors, INDEX(Array_PredictorsLookup,MATCH($A398,List_PredictorFacilities,0),(COLUMN()-1)/2), 1),"")</f>
        <v/>
      </c>
      <c r="J398" s="137"/>
      <c r="K398" s="58" t="str" cm="1">
        <f>IFERROR(INDEX(List_Predictors, INDEX(Array_PredictorsLookup,MATCH($A398,List_PredictorFacilities,0),(COLUMN()-1)/2), 1),"")</f>
        <v/>
      </c>
      <c r="L398" s="137"/>
      <c r="M398" s="58" t="str" cm="1">
        <f>IFERROR(INDEX(List_Predictors, INDEX(Array_PredictorsLookup,MATCH($A398,List_PredictorFacilities,0),(COLUMN()-1)/2), 1),"")</f>
        <v/>
      </c>
      <c r="N398" s="137"/>
      <c r="O398" s="58" t="str" cm="1">
        <f>IFERROR(INDEX(List_Predictors, INDEX(Array_PredictorsLookup,MATCH($A398,List_PredictorFacilities,0),(COLUMN()-1)/2), 1),"")</f>
        <v/>
      </c>
      <c r="P398" s="137"/>
      <c r="Q398" s="58" t="str" cm="1">
        <f>IFERROR(INDEX(List_Predictors, INDEX(Array_PredictorsLookup,MATCH($A398,List_PredictorFacilities,0),(COLUMN()-1)/2), 1),"")</f>
        <v/>
      </c>
      <c r="R398" s="137"/>
      <c r="S398" s="58" t="str" cm="1">
        <f>IFERROR(INDEX(List_Predictors, INDEX(Array_PredictorsLookup,MATCH($A398,List_PredictorFacilities,0),(COLUMN()-1)/2), 1),"")</f>
        <v/>
      </c>
      <c r="T398" s="137"/>
      <c r="U398" s="58" t="str" cm="1">
        <f>IFERROR(INDEX(List_Predictors, INDEX(Array_PredictorsLookup,MATCH($A398,List_PredictorFacilities,0),(COLUMN()-1)/2), 1),"")</f>
        <v/>
      </c>
      <c r="V398" s="137"/>
      <c r="W398" s="58" t="str" cm="1">
        <f>IFERROR(INDEX(List_Predictors, INDEX(Array_PredictorsLookup,MATCH($A398,List_PredictorFacilities,0),(COLUMN()-1)/2), 1),"")</f>
        <v/>
      </c>
      <c r="X398" s="137"/>
      <c r="Y398" s="58" t="str" cm="1">
        <f>IFERROR(INDEX(List_Predictors, INDEX(Array_PredictorsLookup,MATCH($A398,List_PredictorFacilities,0),(COLUMN()-1)/2), 1),"")</f>
        <v/>
      </c>
      <c r="Z398" s="137"/>
      <c r="AA398" s="58" t="str" cm="1">
        <f>IFERROR(INDEX(List_Predictors, INDEX(Array_PredictorsLookup,MATCH($A398,List_PredictorFacilities,0),(COLUMN()-1)/2), 1),"")</f>
        <v/>
      </c>
      <c r="AB398" s="137"/>
      <c r="AC398" s="58" t="str" cm="1">
        <f>IFERROR(INDEX(List_Predictors, INDEX(Array_PredictorsLookup,MATCH($A398,List_PredictorFacilities,0),(COLUMN()-1)/2), 1),"")</f>
        <v/>
      </c>
      <c r="AD398" s="137"/>
      <c r="AE398" s="58" t="str" cm="1">
        <f>IFERROR(INDEX(List_Predictors, INDEX(Array_PredictorsLookup,MATCH($A398,List_PredictorFacilities,0),(COLUMN()-1)/2), 1),"")</f>
        <v/>
      </c>
      <c r="AF398" s="137"/>
    </row>
    <row r="399" spans="1:32" x14ac:dyDescent="0.3">
      <c r="A399" s="126"/>
      <c r="B399" s="141"/>
      <c r="C399" s="58" t="str" cm="1">
        <f>IFERROR(INDEX(List_Predictors, INDEX(Array_PredictorsLookup,MATCH($A399,List_PredictorFacilities,0),(COLUMN()-1)/2), 1),"")</f>
        <v/>
      </c>
      <c r="D399" s="137"/>
      <c r="E399" s="58" t="str" cm="1">
        <f>IFERROR(INDEX(List_Predictors, INDEX(Array_PredictorsLookup,MATCH($A399,List_PredictorFacilities,0),(COLUMN()-1)/2), 1),"")</f>
        <v/>
      </c>
      <c r="F399" s="137"/>
      <c r="G399" s="58" t="str" cm="1">
        <f>IFERROR(INDEX(List_Predictors, INDEX(Array_PredictorsLookup,MATCH($A399,List_PredictorFacilities,0),(COLUMN()-1)/2), 1),"")</f>
        <v/>
      </c>
      <c r="H399" s="137"/>
      <c r="I399" s="58" t="str" cm="1">
        <f>IFERROR(INDEX(List_Predictors, INDEX(Array_PredictorsLookup,MATCH($A399,List_PredictorFacilities,0),(COLUMN()-1)/2), 1),"")</f>
        <v/>
      </c>
      <c r="J399" s="137"/>
      <c r="K399" s="58" t="str" cm="1">
        <f>IFERROR(INDEX(List_Predictors, INDEX(Array_PredictorsLookup,MATCH($A399,List_PredictorFacilities,0),(COLUMN()-1)/2), 1),"")</f>
        <v/>
      </c>
      <c r="L399" s="137"/>
      <c r="M399" s="58" t="str" cm="1">
        <f>IFERROR(INDEX(List_Predictors, INDEX(Array_PredictorsLookup,MATCH($A399,List_PredictorFacilities,0),(COLUMN()-1)/2), 1),"")</f>
        <v/>
      </c>
      <c r="N399" s="137"/>
      <c r="O399" s="58" t="str" cm="1">
        <f>IFERROR(INDEX(List_Predictors, INDEX(Array_PredictorsLookup,MATCH($A399,List_PredictorFacilities,0),(COLUMN()-1)/2), 1),"")</f>
        <v/>
      </c>
      <c r="P399" s="137"/>
      <c r="Q399" s="58" t="str" cm="1">
        <f>IFERROR(INDEX(List_Predictors, INDEX(Array_PredictorsLookup,MATCH($A399,List_PredictorFacilities,0),(COLUMN()-1)/2), 1),"")</f>
        <v/>
      </c>
      <c r="R399" s="137"/>
      <c r="S399" s="58" t="str" cm="1">
        <f>IFERROR(INDEX(List_Predictors, INDEX(Array_PredictorsLookup,MATCH($A399,List_PredictorFacilities,0),(COLUMN()-1)/2), 1),"")</f>
        <v/>
      </c>
      <c r="T399" s="137"/>
      <c r="U399" s="58" t="str" cm="1">
        <f>IFERROR(INDEX(List_Predictors, INDEX(Array_PredictorsLookup,MATCH($A399,List_PredictorFacilities,0),(COLUMN()-1)/2), 1),"")</f>
        <v/>
      </c>
      <c r="V399" s="137"/>
      <c r="W399" s="58" t="str" cm="1">
        <f>IFERROR(INDEX(List_Predictors, INDEX(Array_PredictorsLookup,MATCH($A399,List_PredictorFacilities,0),(COLUMN()-1)/2), 1),"")</f>
        <v/>
      </c>
      <c r="X399" s="137"/>
      <c r="Y399" s="58" t="str" cm="1">
        <f>IFERROR(INDEX(List_Predictors, INDEX(Array_PredictorsLookup,MATCH($A399,List_PredictorFacilities,0),(COLUMN()-1)/2), 1),"")</f>
        <v/>
      </c>
      <c r="Z399" s="137"/>
      <c r="AA399" s="58" t="str" cm="1">
        <f>IFERROR(INDEX(List_Predictors, INDEX(Array_PredictorsLookup,MATCH($A399,List_PredictorFacilities,0),(COLUMN()-1)/2), 1),"")</f>
        <v/>
      </c>
      <c r="AB399" s="137"/>
      <c r="AC399" s="58" t="str" cm="1">
        <f>IFERROR(INDEX(List_Predictors, INDEX(Array_PredictorsLookup,MATCH($A399,List_PredictorFacilities,0),(COLUMN()-1)/2), 1),"")</f>
        <v/>
      </c>
      <c r="AD399" s="137"/>
      <c r="AE399" s="58" t="str" cm="1">
        <f>IFERROR(INDEX(List_Predictors, INDEX(Array_PredictorsLookup,MATCH($A399,List_PredictorFacilities,0),(COLUMN()-1)/2), 1),"")</f>
        <v/>
      </c>
      <c r="AF399" s="137"/>
    </row>
    <row r="400" spans="1:32" x14ac:dyDescent="0.3">
      <c r="A400" s="126"/>
      <c r="B400" s="141"/>
      <c r="C400" s="58" t="str" cm="1">
        <f>IFERROR(INDEX(List_Predictors, INDEX(Array_PredictorsLookup,MATCH($A400,List_PredictorFacilities,0),(COLUMN()-1)/2), 1),"")</f>
        <v/>
      </c>
      <c r="D400" s="137"/>
      <c r="E400" s="58" t="str" cm="1">
        <f>IFERROR(INDEX(List_Predictors, INDEX(Array_PredictorsLookup,MATCH($A400,List_PredictorFacilities,0),(COLUMN()-1)/2), 1),"")</f>
        <v/>
      </c>
      <c r="F400" s="137"/>
      <c r="G400" s="58" t="str" cm="1">
        <f>IFERROR(INDEX(List_Predictors, INDEX(Array_PredictorsLookup,MATCH($A400,List_PredictorFacilities,0),(COLUMN()-1)/2), 1),"")</f>
        <v/>
      </c>
      <c r="H400" s="137"/>
      <c r="I400" s="58" t="str" cm="1">
        <f>IFERROR(INDEX(List_Predictors, INDEX(Array_PredictorsLookup,MATCH($A400,List_PredictorFacilities,0),(COLUMN()-1)/2), 1),"")</f>
        <v/>
      </c>
      <c r="J400" s="137"/>
      <c r="K400" s="58" t="str" cm="1">
        <f>IFERROR(INDEX(List_Predictors, INDEX(Array_PredictorsLookup,MATCH($A400,List_PredictorFacilities,0),(COLUMN()-1)/2), 1),"")</f>
        <v/>
      </c>
      <c r="L400" s="137"/>
      <c r="M400" s="58" t="str" cm="1">
        <f>IFERROR(INDEX(List_Predictors, INDEX(Array_PredictorsLookup,MATCH($A400,List_PredictorFacilities,0),(COLUMN()-1)/2), 1),"")</f>
        <v/>
      </c>
      <c r="N400" s="137"/>
      <c r="O400" s="58" t="str" cm="1">
        <f>IFERROR(INDEX(List_Predictors, INDEX(Array_PredictorsLookup,MATCH($A400,List_PredictorFacilities,0),(COLUMN()-1)/2), 1),"")</f>
        <v/>
      </c>
      <c r="P400" s="137"/>
      <c r="Q400" s="58" t="str" cm="1">
        <f>IFERROR(INDEX(List_Predictors, INDEX(Array_PredictorsLookup,MATCH($A400,List_PredictorFacilities,0),(COLUMN()-1)/2), 1),"")</f>
        <v/>
      </c>
      <c r="R400" s="137"/>
      <c r="S400" s="58" t="str" cm="1">
        <f>IFERROR(INDEX(List_Predictors, INDEX(Array_PredictorsLookup,MATCH($A400,List_PredictorFacilities,0),(COLUMN()-1)/2), 1),"")</f>
        <v/>
      </c>
      <c r="T400" s="137"/>
      <c r="U400" s="58" t="str" cm="1">
        <f>IFERROR(INDEX(List_Predictors, INDEX(Array_PredictorsLookup,MATCH($A400,List_PredictorFacilities,0),(COLUMN()-1)/2), 1),"")</f>
        <v/>
      </c>
      <c r="V400" s="137"/>
      <c r="W400" s="58" t="str" cm="1">
        <f>IFERROR(INDEX(List_Predictors, INDEX(Array_PredictorsLookup,MATCH($A400,List_PredictorFacilities,0),(COLUMN()-1)/2), 1),"")</f>
        <v/>
      </c>
      <c r="X400" s="137"/>
      <c r="Y400" s="58" t="str" cm="1">
        <f>IFERROR(INDEX(List_Predictors, INDEX(Array_PredictorsLookup,MATCH($A400,List_PredictorFacilities,0),(COLUMN()-1)/2), 1),"")</f>
        <v/>
      </c>
      <c r="Z400" s="137"/>
      <c r="AA400" s="58" t="str" cm="1">
        <f>IFERROR(INDEX(List_Predictors, INDEX(Array_PredictorsLookup,MATCH($A400,List_PredictorFacilities,0),(COLUMN()-1)/2), 1),"")</f>
        <v/>
      </c>
      <c r="AB400" s="137"/>
      <c r="AC400" s="58" t="str" cm="1">
        <f>IFERROR(INDEX(List_Predictors, INDEX(Array_PredictorsLookup,MATCH($A400,List_PredictorFacilities,0),(COLUMN()-1)/2), 1),"")</f>
        <v/>
      </c>
      <c r="AD400" s="137"/>
      <c r="AE400" s="58" t="str" cm="1">
        <f>IFERROR(INDEX(List_Predictors, INDEX(Array_PredictorsLookup,MATCH($A400,List_PredictorFacilities,0),(COLUMN()-1)/2), 1),"")</f>
        <v/>
      </c>
      <c r="AF400" s="137"/>
    </row>
    <row r="401" spans="1:32" x14ac:dyDescent="0.3">
      <c r="A401" s="126"/>
      <c r="B401" s="141"/>
      <c r="C401" s="58" t="str" cm="1">
        <f>IFERROR(INDEX(List_Predictors, INDEX(Array_PredictorsLookup,MATCH($A401,List_PredictorFacilities,0),(COLUMN()-1)/2), 1),"")</f>
        <v/>
      </c>
      <c r="D401" s="137"/>
      <c r="E401" s="58" t="str" cm="1">
        <f>IFERROR(INDEX(List_Predictors, INDEX(Array_PredictorsLookup,MATCH($A401,List_PredictorFacilities,0),(COLUMN()-1)/2), 1),"")</f>
        <v/>
      </c>
      <c r="F401" s="137"/>
      <c r="G401" s="58" t="str" cm="1">
        <f>IFERROR(INDEX(List_Predictors, INDEX(Array_PredictorsLookup,MATCH($A401,List_PredictorFacilities,0),(COLUMN()-1)/2), 1),"")</f>
        <v/>
      </c>
      <c r="H401" s="137"/>
      <c r="I401" s="58" t="str" cm="1">
        <f>IFERROR(INDEX(List_Predictors, INDEX(Array_PredictorsLookup,MATCH($A401,List_PredictorFacilities,0),(COLUMN()-1)/2), 1),"")</f>
        <v/>
      </c>
      <c r="J401" s="137"/>
      <c r="K401" s="58" t="str" cm="1">
        <f>IFERROR(INDEX(List_Predictors, INDEX(Array_PredictorsLookup,MATCH($A401,List_PredictorFacilities,0),(COLUMN()-1)/2), 1),"")</f>
        <v/>
      </c>
      <c r="L401" s="137"/>
      <c r="M401" s="58" t="str" cm="1">
        <f>IFERROR(INDEX(List_Predictors, INDEX(Array_PredictorsLookup,MATCH($A401,List_PredictorFacilities,0),(COLUMN()-1)/2), 1),"")</f>
        <v/>
      </c>
      <c r="N401" s="137"/>
      <c r="O401" s="58" t="str" cm="1">
        <f>IFERROR(INDEX(List_Predictors, INDEX(Array_PredictorsLookup,MATCH($A401,List_PredictorFacilities,0),(COLUMN()-1)/2), 1),"")</f>
        <v/>
      </c>
      <c r="P401" s="137"/>
      <c r="Q401" s="58" t="str" cm="1">
        <f>IFERROR(INDEX(List_Predictors, INDEX(Array_PredictorsLookup,MATCH($A401,List_PredictorFacilities,0),(COLUMN()-1)/2), 1),"")</f>
        <v/>
      </c>
      <c r="R401" s="137"/>
      <c r="S401" s="58" t="str" cm="1">
        <f>IFERROR(INDEX(List_Predictors, INDEX(Array_PredictorsLookup,MATCH($A401,List_PredictorFacilities,0),(COLUMN()-1)/2), 1),"")</f>
        <v/>
      </c>
      <c r="T401" s="137"/>
      <c r="U401" s="58" t="str" cm="1">
        <f>IFERROR(INDEX(List_Predictors, INDEX(Array_PredictorsLookup,MATCH($A401,List_PredictorFacilities,0),(COLUMN()-1)/2), 1),"")</f>
        <v/>
      </c>
      <c r="V401" s="137"/>
      <c r="W401" s="58" t="str" cm="1">
        <f>IFERROR(INDEX(List_Predictors, INDEX(Array_PredictorsLookup,MATCH($A401,List_PredictorFacilities,0),(COLUMN()-1)/2), 1),"")</f>
        <v/>
      </c>
      <c r="X401" s="137"/>
      <c r="Y401" s="58" t="str" cm="1">
        <f>IFERROR(INDEX(List_Predictors, INDEX(Array_PredictorsLookup,MATCH($A401,List_PredictorFacilities,0),(COLUMN()-1)/2), 1),"")</f>
        <v/>
      </c>
      <c r="Z401" s="137"/>
      <c r="AA401" s="58" t="str" cm="1">
        <f>IFERROR(INDEX(List_Predictors, INDEX(Array_PredictorsLookup,MATCH($A401,List_PredictorFacilities,0),(COLUMN()-1)/2), 1),"")</f>
        <v/>
      </c>
      <c r="AB401" s="137"/>
      <c r="AC401" s="58" t="str" cm="1">
        <f>IFERROR(INDEX(List_Predictors, INDEX(Array_PredictorsLookup,MATCH($A401,List_PredictorFacilities,0),(COLUMN()-1)/2), 1),"")</f>
        <v/>
      </c>
      <c r="AD401" s="137"/>
      <c r="AE401" s="58" t="str" cm="1">
        <f>IFERROR(INDEX(List_Predictors, INDEX(Array_PredictorsLookup,MATCH($A401,List_PredictorFacilities,0),(COLUMN()-1)/2), 1),"")</f>
        <v/>
      </c>
      <c r="AF401" s="137"/>
    </row>
    <row r="402" spans="1:32" x14ac:dyDescent="0.3">
      <c r="A402" s="126"/>
      <c r="B402" s="141"/>
      <c r="C402" s="58" t="str" cm="1">
        <f>IFERROR(INDEX(List_Predictors, INDEX(Array_PredictorsLookup,MATCH($A402,List_PredictorFacilities,0),(COLUMN()-1)/2), 1),"")</f>
        <v/>
      </c>
      <c r="D402" s="137"/>
      <c r="E402" s="58" t="str" cm="1">
        <f>IFERROR(INDEX(List_Predictors, INDEX(Array_PredictorsLookup,MATCH($A402,List_PredictorFacilities,0),(COLUMN()-1)/2), 1),"")</f>
        <v/>
      </c>
      <c r="F402" s="137"/>
      <c r="G402" s="58" t="str" cm="1">
        <f>IFERROR(INDEX(List_Predictors, INDEX(Array_PredictorsLookup,MATCH($A402,List_PredictorFacilities,0),(COLUMN()-1)/2), 1),"")</f>
        <v/>
      </c>
      <c r="H402" s="137"/>
      <c r="I402" s="58" t="str" cm="1">
        <f>IFERROR(INDEX(List_Predictors, INDEX(Array_PredictorsLookup,MATCH($A402,List_PredictorFacilities,0),(COLUMN()-1)/2), 1),"")</f>
        <v/>
      </c>
      <c r="J402" s="137"/>
      <c r="K402" s="58" t="str" cm="1">
        <f>IFERROR(INDEX(List_Predictors, INDEX(Array_PredictorsLookup,MATCH($A402,List_PredictorFacilities,0),(COLUMN()-1)/2), 1),"")</f>
        <v/>
      </c>
      <c r="L402" s="137"/>
      <c r="M402" s="58" t="str" cm="1">
        <f>IFERROR(INDEX(List_Predictors, INDEX(Array_PredictorsLookup,MATCH($A402,List_PredictorFacilities,0),(COLUMN()-1)/2), 1),"")</f>
        <v/>
      </c>
      <c r="N402" s="137"/>
      <c r="O402" s="58" t="str" cm="1">
        <f>IFERROR(INDEX(List_Predictors, INDEX(Array_PredictorsLookup,MATCH($A402,List_PredictorFacilities,0),(COLUMN()-1)/2), 1),"")</f>
        <v/>
      </c>
      <c r="P402" s="137"/>
      <c r="Q402" s="58" t="str" cm="1">
        <f>IFERROR(INDEX(List_Predictors, INDEX(Array_PredictorsLookup,MATCH($A402,List_PredictorFacilities,0),(COLUMN()-1)/2), 1),"")</f>
        <v/>
      </c>
      <c r="R402" s="137"/>
      <c r="S402" s="58" t="str" cm="1">
        <f>IFERROR(INDEX(List_Predictors, INDEX(Array_PredictorsLookup,MATCH($A402,List_PredictorFacilities,0),(COLUMN()-1)/2), 1),"")</f>
        <v/>
      </c>
      <c r="T402" s="137"/>
      <c r="U402" s="58" t="str" cm="1">
        <f>IFERROR(INDEX(List_Predictors, INDEX(Array_PredictorsLookup,MATCH($A402,List_PredictorFacilities,0),(COLUMN()-1)/2), 1),"")</f>
        <v/>
      </c>
      <c r="V402" s="137"/>
      <c r="W402" s="58" t="str" cm="1">
        <f>IFERROR(INDEX(List_Predictors, INDEX(Array_PredictorsLookup,MATCH($A402,List_PredictorFacilities,0),(COLUMN()-1)/2), 1),"")</f>
        <v/>
      </c>
      <c r="X402" s="137"/>
      <c r="Y402" s="58" t="str" cm="1">
        <f>IFERROR(INDEX(List_Predictors, INDEX(Array_PredictorsLookup,MATCH($A402,List_PredictorFacilities,0),(COLUMN()-1)/2), 1),"")</f>
        <v/>
      </c>
      <c r="Z402" s="137"/>
      <c r="AA402" s="58" t="str" cm="1">
        <f>IFERROR(INDEX(List_Predictors, INDEX(Array_PredictorsLookup,MATCH($A402,List_PredictorFacilities,0),(COLUMN()-1)/2), 1),"")</f>
        <v/>
      </c>
      <c r="AB402" s="137"/>
      <c r="AC402" s="58" t="str" cm="1">
        <f>IFERROR(INDEX(List_Predictors, INDEX(Array_PredictorsLookup,MATCH($A402,List_PredictorFacilities,0),(COLUMN()-1)/2), 1),"")</f>
        <v/>
      </c>
      <c r="AD402" s="137"/>
      <c r="AE402" s="58" t="str" cm="1">
        <f>IFERROR(INDEX(List_Predictors, INDEX(Array_PredictorsLookup,MATCH($A402,List_PredictorFacilities,0),(COLUMN()-1)/2), 1),"")</f>
        <v/>
      </c>
      <c r="AF402" s="137"/>
    </row>
    <row r="403" spans="1:32" x14ac:dyDescent="0.3">
      <c r="A403" s="126"/>
      <c r="B403" s="141"/>
      <c r="C403" s="58" t="str" cm="1">
        <f>IFERROR(INDEX(List_Predictors, INDEX(Array_PredictorsLookup,MATCH($A403,List_PredictorFacilities,0),(COLUMN()-1)/2), 1),"")</f>
        <v/>
      </c>
      <c r="D403" s="137"/>
      <c r="E403" s="58" t="str" cm="1">
        <f>IFERROR(INDEX(List_Predictors, INDEX(Array_PredictorsLookup,MATCH($A403,List_PredictorFacilities,0),(COLUMN()-1)/2), 1),"")</f>
        <v/>
      </c>
      <c r="F403" s="137"/>
      <c r="G403" s="58" t="str" cm="1">
        <f>IFERROR(INDEX(List_Predictors, INDEX(Array_PredictorsLookup,MATCH($A403,List_PredictorFacilities,0),(COLUMN()-1)/2), 1),"")</f>
        <v/>
      </c>
      <c r="H403" s="137"/>
      <c r="I403" s="58" t="str" cm="1">
        <f>IFERROR(INDEX(List_Predictors, INDEX(Array_PredictorsLookup,MATCH($A403,List_PredictorFacilities,0),(COLUMN()-1)/2), 1),"")</f>
        <v/>
      </c>
      <c r="J403" s="137"/>
      <c r="K403" s="58" t="str" cm="1">
        <f>IFERROR(INDEX(List_Predictors, INDEX(Array_PredictorsLookup,MATCH($A403,List_PredictorFacilities,0),(COLUMN()-1)/2), 1),"")</f>
        <v/>
      </c>
      <c r="L403" s="137"/>
      <c r="M403" s="58" t="str" cm="1">
        <f>IFERROR(INDEX(List_Predictors, INDEX(Array_PredictorsLookup,MATCH($A403,List_PredictorFacilities,0),(COLUMN()-1)/2), 1),"")</f>
        <v/>
      </c>
      <c r="N403" s="137"/>
      <c r="O403" s="58" t="str" cm="1">
        <f>IFERROR(INDEX(List_Predictors, INDEX(Array_PredictorsLookup,MATCH($A403,List_PredictorFacilities,0),(COLUMN()-1)/2), 1),"")</f>
        <v/>
      </c>
      <c r="P403" s="137"/>
      <c r="Q403" s="58" t="str" cm="1">
        <f>IFERROR(INDEX(List_Predictors, INDEX(Array_PredictorsLookup,MATCH($A403,List_PredictorFacilities,0),(COLUMN()-1)/2), 1),"")</f>
        <v/>
      </c>
      <c r="R403" s="137"/>
      <c r="S403" s="58" t="str" cm="1">
        <f>IFERROR(INDEX(List_Predictors, INDEX(Array_PredictorsLookup,MATCH($A403,List_PredictorFacilities,0),(COLUMN()-1)/2), 1),"")</f>
        <v/>
      </c>
      <c r="T403" s="137"/>
      <c r="U403" s="58" t="str" cm="1">
        <f>IFERROR(INDEX(List_Predictors, INDEX(Array_PredictorsLookup,MATCH($A403,List_PredictorFacilities,0),(COLUMN()-1)/2), 1),"")</f>
        <v/>
      </c>
      <c r="V403" s="137"/>
      <c r="W403" s="58" t="str" cm="1">
        <f>IFERROR(INDEX(List_Predictors, INDEX(Array_PredictorsLookup,MATCH($A403,List_PredictorFacilities,0),(COLUMN()-1)/2), 1),"")</f>
        <v/>
      </c>
      <c r="X403" s="137"/>
      <c r="Y403" s="58" t="str" cm="1">
        <f>IFERROR(INDEX(List_Predictors, INDEX(Array_PredictorsLookup,MATCH($A403,List_PredictorFacilities,0),(COLUMN()-1)/2), 1),"")</f>
        <v/>
      </c>
      <c r="Z403" s="137"/>
      <c r="AA403" s="58" t="str" cm="1">
        <f>IFERROR(INDEX(List_Predictors, INDEX(Array_PredictorsLookup,MATCH($A403,List_PredictorFacilities,0),(COLUMN()-1)/2), 1),"")</f>
        <v/>
      </c>
      <c r="AB403" s="137"/>
      <c r="AC403" s="58" t="str" cm="1">
        <f>IFERROR(INDEX(List_Predictors, INDEX(Array_PredictorsLookup,MATCH($A403,List_PredictorFacilities,0),(COLUMN()-1)/2), 1),"")</f>
        <v/>
      </c>
      <c r="AD403" s="137"/>
      <c r="AE403" s="58" t="str" cm="1">
        <f>IFERROR(INDEX(List_Predictors, INDEX(Array_PredictorsLookup,MATCH($A403,List_PredictorFacilities,0),(COLUMN()-1)/2), 1),"")</f>
        <v/>
      </c>
      <c r="AF403" s="137"/>
    </row>
    <row r="404" spans="1:32" x14ac:dyDescent="0.3">
      <c r="A404" s="126"/>
      <c r="B404" s="141"/>
      <c r="C404" s="58" t="str" cm="1">
        <f>IFERROR(INDEX(List_Predictors, INDEX(Array_PredictorsLookup,MATCH($A404,List_PredictorFacilities,0),(COLUMN()-1)/2), 1),"")</f>
        <v/>
      </c>
      <c r="D404" s="137"/>
      <c r="E404" s="58" t="str" cm="1">
        <f>IFERROR(INDEX(List_Predictors, INDEX(Array_PredictorsLookup,MATCH($A404,List_PredictorFacilities,0),(COLUMN()-1)/2), 1),"")</f>
        <v/>
      </c>
      <c r="F404" s="137"/>
      <c r="G404" s="58" t="str" cm="1">
        <f>IFERROR(INDEX(List_Predictors, INDEX(Array_PredictorsLookup,MATCH($A404,List_PredictorFacilities,0),(COLUMN()-1)/2), 1),"")</f>
        <v/>
      </c>
      <c r="H404" s="137"/>
      <c r="I404" s="58" t="str" cm="1">
        <f>IFERROR(INDEX(List_Predictors, INDEX(Array_PredictorsLookup,MATCH($A404,List_PredictorFacilities,0),(COLUMN()-1)/2), 1),"")</f>
        <v/>
      </c>
      <c r="J404" s="137"/>
      <c r="K404" s="58" t="str" cm="1">
        <f>IFERROR(INDEX(List_Predictors, INDEX(Array_PredictorsLookup,MATCH($A404,List_PredictorFacilities,0),(COLUMN()-1)/2), 1),"")</f>
        <v/>
      </c>
      <c r="L404" s="137"/>
      <c r="M404" s="58" t="str" cm="1">
        <f>IFERROR(INDEX(List_Predictors, INDEX(Array_PredictorsLookup,MATCH($A404,List_PredictorFacilities,0),(COLUMN()-1)/2), 1),"")</f>
        <v/>
      </c>
      <c r="N404" s="137"/>
      <c r="O404" s="58" t="str" cm="1">
        <f>IFERROR(INDEX(List_Predictors, INDEX(Array_PredictorsLookup,MATCH($A404,List_PredictorFacilities,0),(COLUMN()-1)/2), 1),"")</f>
        <v/>
      </c>
      <c r="P404" s="137"/>
      <c r="Q404" s="58" t="str" cm="1">
        <f>IFERROR(INDEX(List_Predictors, INDEX(Array_PredictorsLookup,MATCH($A404,List_PredictorFacilities,0),(COLUMN()-1)/2), 1),"")</f>
        <v/>
      </c>
      <c r="R404" s="137"/>
      <c r="S404" s="58" t="str" cm="1">
        <f>IFERROR(INDEX(List_Predictors, INDEX(Array_PredictorsLookup,MATCH($A404,List_PredictorFacilities,0),(COLUMN()-1)/2), 1),"")</f>
        <v/>
      </c>
      <c r="T404" s="137"/>
      <c r="U404" s="58" t="str" cm="1">
        <f>IFERROR(INDEX(List_Predictors, INDEX(Array_PredictorsLookup,MATCH($A404,List_PredictorFacilities,0),(COLUMN()-1)/2), 1),"")</f>
        <v/>
      </c>
      <c r="V404" s="137"/>
      <c r="W404" s="58" t="str" cm="1">
        <f>IFERROR(INDEX(List_Predictors, INDEX(Array_PredictorsLookup,MATCH($A404,List_PredictorFacilities,0),(COLUMN()-1)/2), 1),"")</f>
        <v/>
      </c>
      <c r="X404" s="137"/>
      <c r="Y404" s="58" t="str" cm="1">
        <f>IFERROR(INDEX(List_Predictors, INDEX(Array_PredictorsLookup,MATCH($A404,List_PredictorFacilities,0),(COLUMN()-1)/2), 1),"")</f>
        <v/>
      </c>
      <c r="Z404" s="137"/>
      <c r="AA404" s="58" t="str" cm="1">
        <f>IFERROR(INDEX(List_Predictors, INDEX(Array_PredictorsLookup,MATCH($A404,List_PredictorFacilities,0),(COLUMN()-1)/2), 1),"")</f>
        <v/>
      </c>
      <c r="AB404" s="137"/>
      <c r="AC404" s="58" t="str" cm="1">
        <f>IFERROR(INDEX(List_Predictors, INDEX(Array_PredictorsLookup,MATCH($A404,List_PredictorFacilities,0),(COLUMN()-1)/2), 1),"")</f>
        <v/>
      </c>
      <c r="AD404" s="137"/>
      <c r="AE404" s="58" t="str" cm="1">
        <f>IFERROR(INDEX(List_Predictors, INDEX(Array_PredictorsLookup,MATCH($A404,List_PredictorFacilities,0),(COLUMN()-1)/2), 1),"")</f>
        <v/>
      </c>
      <c r="AF404" s="137"/>
    </row>
    <row r="405" spans="1:32" x14ac:dyDescent="0.3">
      <c r="A405" s="126"/>
      <c r="B405" s="141"/>
      <c r="C405" s="58" t="str" cm="1">
        <f>IFERROR(INDEX(List_Predictors, INDEX(Array_PredictorsLookup,MATCH($A405,List_PredictorFacilities,0),(COLUMN()-1)/2), 1),"")</f>
        <v/>
      </c>
      <c r="D405" s="137"/>
      <c r="E405" s="58" t="str" cm="1">
        <f>IFERROR(INDEX(List_Predictors, INDEX(Array_PredictorsLookup,MATCH($A405,List_PredictorFacilities,0),(COLUMN()-1)/2), 1),"")</f>
        <v/>
      </c>
      <c r="F405" s="137"/>
      <c r="G405" s="58" t="str" cm="1">
        <f>IFERROR(INDEX(List_Predictors, INDEX(Array_PredictorsLookup,MATCH($A405,List_PredictorFacilities,0),(COLUMN()-1)/2), 1),"")</f>
        <v/>
      </c>
      <c r="H405" s="137"/>
      <c r="I405" s="58" t="str" cm="1">
        <f>IFERROR(INDEX(List_Predictors, INDEX(Array_PredictorsLookup,MATCH($A405,List_PredictorFacilities,0),(COLUMN()-1)/2), 1),"")</f>
        <v/>
      </c>
      <c r="J405" s="137"/>
      <c r="K405" s="58" t="str" cm="1">
        <f>IFERROR(INDEX(List_Predictors, INDEX(Array_PredictorsLookup,MATCH($A405,List_PredictorFacilities,0),(COLUMN()-1)/2), 1),"")</f>
        <v/>
      </c>
      <c r="L405" s="137"/>
      <c r="M405" s="58" t="str" cm="1">
        <f>IFERROR(INDEX(List_Predictors, INDEX(Array_PredictorsLookup,MATCH($A405,List_PredictorFacilities,0),(COLUMN()-1)/2), 1),"")</f>
        <v/>
      </c>
      <c r="N405" s="137"/>
      <c r="O405" s="58" t="str" cm="1">
        <f>IFERROR(INDEX(List_Predictors, INDEX(Array_PredictorsLookup,MATCH($A405,List_PredictorFacilities,0),(COLUMN()-1)/2), 1),"")</f>
        <v/>
      </c>
      <c r="P405" s="137"/>
      <c r="Q405" s="58" t="str" cm="1">
        <f>IFERROR(INDEX(List_Predictors, INDEX(Array_PredictorsLookup,MATCH($A405,List_PredictorFacilities,0),(COLUMN()-1)/2), 1),"")</f>
        <v/>
      </c>
      <c r="R405" s="137"/>
      <c r="S405" s="58" t="str" cm="1">
        <f>IFERROR(INDEX(List_Predictors, INDEX(Array_PredictorsLookup,MATCH($A405,List_PredictorFacilities,0),(COLUMN()-1)/2), 1),"")</f>
        <v/>
      </c>
      <c r="T405" s="137"/>
      <c r="U405" s="58" t="str" cm="1">
        <f>IFERROR(INDEX(List_Predictors, INDEX(Array_PredictorsLookup,MATCH($A405,List_PredictorFacilities,0),(COLUMN()-1)/2), 1),"")</f>
        <v/>
      </c>
      <c r="V405" s="137"/>
      <c r="W405" s="58" t="str" cm="1">
        <f>IFERROR(INDEX(List_Predictors, INDEX(Array_PredictorsLookup,MATCH($A405,List_PredictorFacilities,0),(COLUMN()-1)/2), 1),"")</f>
        <v/>
      </c>
      <c r="X405" s="137"/>
      <c r="Y405" s="58" t="str" cm="1">
        <f>IFERROR(INDEX(List_Predictors, INDEX(Array_PredictorsLookup,MATCH($A405,List_PredictorFacilities,0),(COLUMN()-1)/2), 1),"")</f>
        <v/>
      </c>
      <c r="Z405" s="137"/>
      <c r="AA405" s="58" t="str" cm="1">
        <f>IFERROR(INDEX(List_Predictors, INDEX(Array_PredictorsLookup,MATCH($A405,List_PredictorFacilities,0),(COLUMN()-1)/2), 1),"")</f>
        <v/>
      </c>
      <c r="AB405" s="137"/>
      <c r="AC405" s="58" t="str" cm="1">
        <f>IFERROR(INDEX(List_Predictors, INDEX(Array_PredictorsLookup,MATCH($A405,List_PredictorFacilities,0),(COLUMN()-1)/2), 1),"")</f>
        <v/>
      </c>
      <c r="AD405" s="137"/>
      <c r="AE405" s="58" t="str" cm="1">
        <f>IFERROR(INDEX(List_Predictors, INDEX(Array_PredictorsLookup,MATCH($A405,List_PredictorFacilities,0),(COLUMN()-1)/2), 1),"")</f>
        <v/>
      </c>
      <c r="AF405" s="137"/>
    </row>
    <row r="406" spans="1:32" x14ac:dyDescent="0.3">
      <c r="A406" s="126"/>
      <c r="B406" s="141"/>
      <c r="C406" s="58" t="str" cm="1">
        <f>IFERROR(INDEX(List_Predictors, INDEX(Array_PredictorsLookup,MATCH($A406,List_PredictorFacilities,0),(COLUMN()-1)/2), 1),"")</f>
        <v/>
      </c>
      <c r="D406" s="137"/>
      <c r="E406" s="58" t="str" cm="1">
        <f>IFERROR(INDEX(List_Predictors, INDEX(Array_PredictorsLookup,MATCH($A406,List_PredictorFacilities,0),(COLUMN()-1)/2), 1),"")</f>
        <v/>
      </c>
      <c r="F406" s="137"/>
      <c r="G406" s="58" t="str" cm="1">
        <f>IFERROR(INDEX(List_Predictors, INDEX(Array_PredictorsLookup,MATCH($A406,List_PredictorFacilities,0),(COLUMN()-1)/2), 1),"")</f>
        <v/>
      </c>
      <c r="H406" s="137"/>
      <c r="I406" s="58" t="str" cm="1">
        <f>IFERROR(INDEX(List_Predictors, INDEX(Array_PredictorsLookup,MATCH($A406,List_PredictorFacilities,0),(COLUMN()-1)/2), 1),"")</f>
        <v/>
      </c>
      <c r="J406" s="137"/>
      <c r="K406" s="58" t="str" cm="1">
        <f>IFERROR(INDEX(List_Predictors, INDEX(Array_PredictorsLookup,MATCH($A406,List_PredictorFacilities,0),(COLUMN()-1)/2), 1),"")</f>
        <v/>
      </c>
      <c r="L406" s="137"/>
      <c r="M406" s="58" t="str" cm="1">
        <f>IFERROR(INDEX(List_Predictors, INDEX(Array_PredictorsLookup,MATCH($A406,List_PredictorFacilities,0),(COLUMN()-1)/2), 1),"")</f>
        <v/>
      </c>
      <c r="N406" s="137"/>
      <c r="O406" s="58" t="str" cm="1">
        <f>IFERROR(INDEX(List_Predictors, INDEX(Array_PredictorsLookup,MATCH($A406,List_PredictorFacilities,0),(COLUMN()-1)/2), 1),"")</f>
        <v/>
      </c>
      <c r="P406" s="137"/>
      <c r="Q406" s="58" t="str" cm="1">
        <f>IFERROR(INDEX(List_Predictors, INDEX(Array_PredictorsLookup,MATCH($A406,List_PredictorFacilities,0),(COLUMN()-1)/2), 1),"")</f>
        <v/>
      </c>
      <c r="R406" s="137"/>
      <c r="S406" s="58" t="str" cm="1">
        <f>IFERROR(INDEX(List_Predictors, INDEX(Array_PredictorsLookup,MATCH($A406,List_PredictorFacilities,0),(COLUMN()-1)/2), 1),"")</f>
        <v/>
      </c>
      <c r="T406" s="137"/>
      <c r="U406" s="58" t="str" cm="1">
        <f>IFERROR(INDEX(List_Predictors, INDEX(Array_PredictorsLookup,MATCH($A406,List_PredictorFacilities,0),(COLUMN()-1)/2), 1),"")</f>
        <v/>
      </c>
      <c r="V406" s="137"/>
      <c r="W406" s="58" t="str" cm="1">
        <f>IFERROR(INDEX(List_Predictors, INDEX(Array_PredictorsLookup,MATCH($A406,List_PredictorFacilities,0),(COLUMN()-1)/2), 1),"")</f>
        <v/>
      </c>
      <c r="X406" s="137"/>
      <c r="Y406" s="58" t="str" cm="1">
        <f>IFERROR(INDEX(List_Predictors, INDEX(Array_PredictorsLookup,MATCH($A406,List_PredictorFacilities,0),(COLUMN()-1)/2), 1),"")</f>
        <v/>
      </c>
      <c r="Z406" s="137"/>
      <c r="AA406" s="58" t="str" cm="1">
        <f>IFERROR(INDEX(List_Predictors, INDEX(Array_PredictorsLookup,MATCH($A406,List_PredictorFacilities,0),(COLUMN()-1)/2), 1),"")</f>
        <v/>
      </c>
      <c r="AB406" s="137"/>
      <c r="AC406" s="58" t="str" cm="1">
        <f>IFERROR(INDEX(List_Predictors, INDEX(Array_PredictorsLookup,MATCH($A406,List_PredictorFacilities,0),(COLUMN()-1)/2), 1),"")</f>
        <v/>
      </c>
      <c r="AD406" s="137"/>
      <c r="AE406" s="58" t="str" cm="1">
        <f>IFERROR(INDEX(List_Predictors, INDEX(Array_PredictorsLookup,MATCH($A406,List_PredictorFacilities,0),(COLUMN()-1)/2), 1),"")</f>
        <v/>
      </c>
      <c r="AF406" s="137"/>
    </row>
    <row r="407" spans="1:32" x14ac:dyDescent="0.3">
      <c r="A407" s="126"/>
      <c r="B407" s="141"/>
      <c r="C407" s="58" t="str" cm="1">
        <f>IFERROR(INDEX(List_Predictors, INDEX(Array_PredictorsLookup,MATCH($A407,List_PredictorFacilities,0),(COLUMN()-1)/2), 1),"")</f>
        <v/>
      </c>
      <c r="D407" s="137"/>
      <c r="E407" s="58" t="str" cm="1">
        <f>IFERROR(INDEX(List_Predictors, INDEX(Array_PredictorsLookup,MATCH($A407,List_PredictorFacilities,0),(COLUMN()-1)/2), 1),"")</f>
        <v/>
      </c>
      <c r="F407" s="137"/>
      <c r="G407" s="58" t="str" cm="1">
        <f>IFERROR(INDEX(List_Predictors, INDEX(Array_PredictorsLookup,MATCH($A407,List_PredictorFacilities,0),(COLUMN()-1)/2), 1),"")</f>
        <v/>
      </c>
      <c r="H407" s="137"/>
      <c r="I407" s="58" t="str" cm="1">
        <f>IFERROR(INDEX(List_Predictors, INDEX(Array_PredictorsLookup,MATCH($A407,List_PredictorFacilities,0),(COLUMN()-1)/2), 1),"")</f>
        <v/>
      </c>
      <c r="J407" s="137"/>
      <c r="K407" s="58" t="str" cm="1">
        <f>IFERROR(INDEX(List_Predictors, INDEX(Array_PredictorsLookup,MATCH($A407,List_PredictorFacilities,0),(COLUMN()-1)/2), 1),"")</f>
        <v/>
      </c>
      <c r="L407" s="137"/>
      <c r="M407" s="58" t="str" cm="1">
        <f>IFERROR(INDEX(List_Predictors, INDEX(Array_PredictorsLookup,MATCH($A407,List_PredictorFacilities,0),(COLUMN()-1)/2), 1),"")</f>
        <v/>
      </c>
      <c r="N407" s="137"/>
      <c r="O407" s="58" t="str" cm="1">
        <f>IFERROR(INDEX(List_Predictors, INDEX(Array_PredictorsLookup,MATCH($A407,List_PredictorFacilities,0),(COLUMN()-1)/2), 1),"")</f>
        <v/>
      </c>
      <c r="P407" s="137"/>
      <c r="Q407" s="58" t="str" cm="1">
        <f>IFERROR(INDEX(List_Predictors, INDEX(Array_PredictorsLookup,MATCH($A407,List_PredictorFacilities,0),(COLUMN()-1)/2), 1),"")</f>
        <v/>
      </c>
      <c r="R407" s="137"/>
      <c r="S407" s="58" t="str" cm="1">
        <f>IFERROR(INDEX(List_Predictors, INDEX(Array_PredictorsLookup,MATCH($A407,List_PredictorFacilities,0),(COLUMN()-1)/2), 1),"")</f>
        <v/>
      </c>
      <c r="T407" s="137"/>
      <c r="U407" s="58" t="str" cm="1">
        <f>IFERROR(INDEX(List_Predictors, INDEX(Array_PredictorsLookup,MATCH($A407,List_PredictorFacilities,0),(COLUMN()-1)/2), 1),"")</f>
        <v/>
      </c>
      <c r="V407" s="137"/>
      <c r="W407" s="58" t="str" cm="1">
        <f>IFERROR(INDEX(List_Predictors, INDEX(Array_PredictorsLookup,MATCH($A407,List_PredictorFacilities,0),(COLUMN()-1)/2), 1),"")</f>
        <v/>
      </c>
      <c r="X407" s="137"/>
      <c r="Y407" s="58" t="str" cm="1">
        <f>IFERROR(INDEX(List_Predictors, INDEX(Array_PredictorsLookup,MATCH($A407,List_PredictorFacilities,0),(COLUMN()-1)/2), 1),"")</f>
        <v/>
      </c>
      <c r="Z407" s="137"/>
      <c r="AA407" s="58" t="str" cm="1">
        <f>IFERROR(INDEX(List_Predictors, INDEX(Array_PredictorsLookup,MATCH($A407,List_PredictorFacilities,0),(COLUMN()-1)/2), 1),"")</f>
        <v/>
      </c>
      <c r="AB407" s="137"/>
      <c r="AC407" s="58" t="str" cm="1">
        <f>IFERROR(INDEX(List_Predictors, INDEX(Array_PredictorsLookup,MATCH($A407,List_PredictorFacilities,0),(COLUMN()-1)/2), 1),"")</f>
        <v/>
      </c>
      <c r="AD407" s="137"/>
      <c r="AE407" s="58" t="str" cm="1">
        <f>IFERROR(INDEX(List_Predictors, INDEX(Array_PredictorsLookup,MATCH($A407,List_PredictorFacilities,0),(COLUMN()-1)/2), 1),"")</f>
        <v/>
      </c>
      <c r="AF407" s="137"/>
    </row>
    <row r="408" spans="1:32" x14ac:dyDescent="0.3">
      <c r="A408" s="126"/>
      <c r="B408" s="141"/>
      <c r="C408" s="58" t="str" cm="1">
        <f>IFERROR(INDEX(List_Predictors, INDEX(Array_PredictorsLookup,MATCH($A408,List_PredictorFacilities,0),(COLUMN()-1)/2), 1),"")</f>
        <v/>
      </c>
      <c r="D408" s="137"/>
      <c r="E408" s="58" t="str" cm="1">
        <f>IFERROR(INDEX(List_Predictors, INDEX(Array_PredictorsLookup,MATCH($A408,List_PredictorFacilities,0),(COLUMN()-1)/2), 1),"")</f>
        <v/>
      </c>
      <c r="F408" s="137"/>
      <c r="G408" s="58" t="str" cm="1">
        <f>IFERROR(INDEX(List_Predictors, INDEX(Array_PredictorsLookup,MATCH($A408,List_PredictorFacilities,0),(COLUMN()-1)/2), 1),"")</f>
        <v/>
      </c>
      <c r="H408" s="137"/>
      <c r="I408" s="58" t="str" cm="1">
        <f>IFERROR(INDEX(List_Predictors, INDEX(Array_PredictorsLookup,MATCH($A408,List_PredictorFacilities,0),(COLUMN()-1)/2), 1),"")</f>
        <v/>
      </c>
      <c r="J408" s="137"/>
      <c r="K408" s="58" t="str" cm="1">
        <f>IFERROR(INDEX(List_Predictors, INDEX(Array_PredictorsLookup,MATCH($A408,List_PredictorFacilities,0),(COLUMN()-1)/2), 1),"")</f>
        <v/>
      </c>
      <c r="L408" s="137"/>
      <c r="M408" s="58" t="str" cm="1">
        <f>IFERROR(INDEX(List_Predictors, INDEX(Array_PredictorsLookup,MATCH($A408,List_PredictorFacilities,0),(COLUMN()-1)/2), 1),"")</f>
        <v/>
      </c>
      <c r="N408" s="137"/>
      <c r="O408" s="58" t="str" cm="1">
        <f>IFERROR(INDEX(List_Predictors, INDEX(Array_PredictorsLookup,MATCH($A408,List_PredictorFacilities,0),(COLUMN()-1)/2), 1),"")</f>
        <v/>
      </c>
      <c r="P408" s="137"/>
      <c r="Q408" s="58" t="str" cm="1">
        <f>IFERROR(INDEX(List_Predictors, INDEX(Array_PredictorsLookup,MATCH($A408,List_PredictorFacilities,0),(COLUMN()-1)/2), 1),"")</f>
        <v/>
      </c>
      <c r="R408" s="137"/>
      <c r="S408" s="58" t="str" cm="1">
        <f>IFERROR(INDEX(List_Predictors, INDEX(Array_PredictorsLookup,MATCH($A408,List_PredictorFacilities,0),(COLUMN()-1)/2), 1),"")</f>
        <v/>
      </c>
      <c r="T408" s="137"/>
      <c r="U408" s="58" t="str" cm="1">
        <f>IFERROR(INDEX(List_Predictors, INDEX(Array_PredictorsLookup,MATCH($A408,List_PredictorFacilities,0),(COLUMN()-1)/2), 1),"")</f>
        <v/>
      </c>
      <c r="V408" s="137"/>
      <c r="W408" s="58" t="str" cm="1">
        <f>IFERROR(INDEX(List_Predictors, INDEX(Array_PredictorsLookup,MATCH($A408,List_PredictorFacilities,0),(COLUMN()-1)/2), 1),"")</f>
        <v/>
      </c>
      <c r="X408" s="137"/>
      <c r="Y408" s="58" t="str" cm="1">
        <f>IFERROR(INDEX(List_Predictors, INDEX(Array_PredictorsLookup,MATCH($A408,List_PredictorFacilities,0),(COLUMN()-1)/2), 1),"")</f>
        <v/>
      </c>
      <c r="Z408" s="137"/>
      <c r="AA408" s="58" t="str" cm="1">
        <f>IFERROR(INDEX(List_Predictors, INDEX(Array_PredictorsLookup,MATCH($A408,List_PredictorFacilities,0),(COLUMN()-1)/2), 1),"")</f>
        <v/>
      </c>
      <c r="AB408" s="137"/>
      <c r="AC408" s="58" t="str" cm="1">
        <f>IFERROR(INDEX(List_Predictors, INDEX(Array_PredictorsLookup,MATCH($A408,List_PredictorFacilities,0),(COLUMN()-1)/2), 1),"")</f>
        <v/>
      </c>
      <c r="AD408" s="137"/>
      <c r="AE408" s="58" t="str" cm="1">
        <f>IFERROR(INDEX(List_Predictors, INDEX(Array_PredictorsLookup,MATCH($A408,List_PredictorFacilities,0),(COLUMN()-1)/2), 1),"")</f>
        <v/>
      </c>
      <c r="AF408" s="137"/>
    </row>
    <row r="409" spans="1:32" x14ac:dyDescent="0.3">
      <c r="A409" s="126"/>
      <c r="B409" s="141"/>
      <c r="C409" s="58" t="str" cm="1">
        <f>IFERROR(INDEX(List_Predictors, INDEX(Array_PredictorsLookup,MATCH($A409,List_PredictorFacilities,0),(COLUMN()-1)/2), 1),"")</f>
        <v/>
      </c>
      <c r="D409" s="137"/>
      <c r="E409" s="58" t="str" cm="1">
        <f>IFERROR(INDEX(List_Predictors, INDEX(Array_PredictorsLookup,MATCH($A409,List_PredictorFacilities,0),(COLUMN()-1)/2), 1),"")</f>
        <v/>
      </c>
      <c r="F409" s="137"/>
      <c r="G409" s="58" t="str" cm="1">
        <f>IFERROR(INDEX(List_Predictors, INDEX(Array_PredictorsLookup,MATCH($A409,List_PredictorFacilities,0),(COLUMN()-1)/2), 1),"")</f>
        <v/>
      </c>
      <c r="H409" s="137"/>
      <c r="I409" s="58" t="str" cm="1">
        <f>IFERROR(INDEX(List_Predictors, INDEX(Array_PredictorsLookup,MATCH($A409,List_PredictorFacilities,0),(COLUMN()-1)/2), 1),"")</f>
        <v/>
      </c>
      <c r="J409" s="137"/>
      <c r="K409" s="58" t="str" cm="1">
        <f>IFERROR(INDEX(List_Predictors, INDEX(Array_PredictorsLookup,MATCH($A409,List_PredictorFacilities,0),(COLUMN()-1)/2), 1),"")</f>
        <v/>
      </c>
      <c r="L409" s="137"/>
      <c r="M409" s="58" t="str" cm="1">
        <f>IFERROR(INDEX(List_Predictors, INDEX(Array_PredictorsLookup,MATCH($A409,List_PredictorFacilities,0),(COLUMN()-1)/2), 1),"")</f>
        <v/>
      </c>
      <c r="N409" s="137"/>
      <c r="O409" s="58" t="str" cm="1">
        <f>IFERROR(INDEX(List_Predictors, INDEX(Array_PredictorsLookup,MATCH($A409,List_PredictorFacilities,0),(COLUMN()-1)/2), 1),"")</f>
        <v/>
      </c>
      <c r="P409" s="137"/>
      <c r="Q409" s="58" t="str" cm="1">
        <f>IFERROR(INDEX(List_Predictors, INDEX(Array_PredictorsLookup,MATCH($A409,List_PredictorFacilities,0),(COLUMN()-1)/2), 1),"")</f>
        <v/>
      </c>
      <c r="R409" s="137"/>
      <c r="S409" s="58" t="str" cm="1">
        <f>IFERROR(INDEX(List_Predictors, INDEX(Array_PredictorsLookup,MATCH($A409,List_PredictorFacilities,0),(COLUMN()-1)/2), 1),"")</f>
        <v/>
      </c>
      <c r="T409" s="137"/>
      <c r="U409" s="58" t="str" cm="1">
        <f>IFERROR(INDEX(List_Predictors, INDEX(Array_PredictorsLookup,MATCH($A409,List_PredictorFacilities,0),(COLUMN()-1)/2), 1),"")</f>
        <v/>
      </c>
      <c r="V409" s="137"/>
      <c r="W409" s="58" t="str" cm="1">
        <f>IFERROR(INDEX(List_Predictors, INDEX(Array_PredictorsLookup,MATCH($A409,List_PredictorFacilities,0),(COLUMN()-1)/2), 1),"")</f>
        <v/>
      </c>
      <c r="X409" s="137"/>
      <c r="Y409" s="58" t="str" cm="1">
        <f>IFERROR(INDEX(List_Predictors, INDEX(Array_PredictorsLookup,MATCH($A409,List_PredictorFacilities,0),(COLUMN()-1)/2), 1),"")</f>
        <v/>
      </c>
      <c r="Z409" s="137"/>
      <c r="AA409" s="58" t="str" cm="1">
        <f>IFERROR(INDEX(List_Predictors, INDEX(Array_PredictorsLookup,MATCH($A409,List_PredictorFacilities,0),(COLUMN()-1)/2), 1),"")</f>
        <v/>
      </c>
      <c r="AB409" s="137"/>
      <c r="AC409" s="58" t="str" cm="1">
        <f>IFERROR(INDEX(List_Predictors, INDEX(Array_PredictorsLookup,MATCH($A409,List_PredictorFacilities,0),(COLUMN()-1)/2), 1),"")</f>
        <v/>
      </c>
      <c r="AD409" s="137"/>
      <c r="AE409" s="58" t="str" cm="1">
        <f>IFERROR(INDEX(List_Predictors, INDEX(Array_PredictorsLookup,MATCH($A409,List_PredictorFacilities,0),(COLUMN()-1)/2), 1),"")</f>
        <v/>
      </c>
      <c r="AF409" s="137"/>
    </row>
    <row r="410" spans="1:32" x14ac:dyDescent="0.3">
      <c r="A410" s="126"/>
      <c r="B410" s="141"/>
      <c r="C410" s="58" t="str" cm="1">
        <f>IFERROR(INDEX(List_Predictors, INDEX(Array_PredictorsLookup,MATCH($A410,List_PredictorFacilities,0),(COLUMN()-1)/2), 1),"")</f>
        <v/>
      </c>
      <c r="D410" s="137"/>
      <c r="E410" s="58" t="str" cm="1">
        <f>IFERROR(INDEX(List_Predictors, INDEX(Array_PredictorsLookup,MATCH($A410,List_PredictorFacilities,0),(COLUMN()-1)/2), 1),"")</f>
        <v/>
      </c>
      <c r="F410" s="137"/>
      <c r="G410" s="58" t="str" cm="1">
        <f>IFERROR(INDEX(List_Predictors, INDEX(Array_PredictorsLookup,MATCH($A410,List_PredictorFacilities,0),(COLUMN()-1)/2), 1),"")</f>
        <v/>
      </c>
      <c r="H410" s="137"/>
      <c r="I410" s="58" t="str" cm="1">
        <f>IFERROR(INDEX(List_Predictors, INDEX(Array_PredictorsLookup,MATCH($A410,List_PredictorFacilities,0),(COLUMN()-1)/2), 1),"")</f>
        <v/>
      </c>
      <c r="J410" s="137"/>
      <c r="K410" s="58" t="str" cm="1">
        <f>IFERROR(INDEX(List_Predictors, INDEX(Array_PredictorsLookup,MATCH($A410,List_PredictorFacilities,0),(COLUMN()-1)/2), 1),"")</f>
        <v/>
      </c>
      <c r="L410" s="137"/>
      <c r="M410" s="58" t="str" cm="1">
        <f>IFERROR(INDEX(List_Predictors, INDEX(Array_PredictorsLookup,MATCH($A410,List_PredictorFacilities,0),(COLUMN()-1)/2), 1),"")</f>
        <v/>
      </c>
      <c r="N410" s="137"/>
      <c r="O410" s="58" t="str" cm="1">
        <f>IFERROR(INDEX(List_Predictors, INDEX(Array_PredictorsLookup,MATCH($A410,List_PredictorFacilities,0),(COLUMN()-1)/2), 1),"")</f>
        <v/>
      </c>
      <c r="P410" s="137"/>
      <c r="Q410" s="58" t="str" cm="1">
        <f>IFERROR(INDEX(List_Predictors, INDEX(Array_PredictorsLookup,MATCH($A410,List_PredictorFacilities,0),(COLUMN()-1)/2), 1),"")</f>
        <v/>
      </c>
      <c r="R410" s="137"/>
      <c r="S410" s="58" t="str" cm="1">
        <f>IFERROR(INDEX(List_Predictors, INDEX(Array_PredictorsLookup,MATCH($A410,List_PredictorFacilities,0),(COLUMN()-1)/2), 1),"")</f>
        <v/>
      </c>
      <c r="T410" s="137"/>
      <c r="U410" s="58" t="str" cm="1">
        <f>IFERROR(INDEX(List_Predictors, INDEX(Array_PredictorsLookup,MATCH($A410,List_PredictorFacilities,0),(COLUMN()-1)/2), 1),"")</f>
        <v/>
      </c>
      <c r="V410" s="137"/>
      <c r="W410" s="58" t="str" cm="1">
        <f>IFERROR(INDEX(List_Predictors, INDEX(Array_PredictorsLookup,MATCH($A410,List_PredictorFacilities,0),(COLUMN()-1)/2), 1),"")</f>
        <v/>
      </c>
      <c r="X410" s="137"/>
      <c r="Y410" s="58" t="str" cm="1">
        <f>IFERROR(INDEX(List_Predictors, INDEX(Array_PredictorsLookup,MATCH($A410,List_PredictorFacilities,0),(COLUMN()-1)/2), 1),"")</f>
        <v/>
      </c>
      <c r="Z410" s="137"/>
      <c r="AA410" s="58" t="str" cm="1">
        <f>IFERROR(INDEX(List_Predictors, INDEX(Array_PredictorsLookup,MATCH($A410,List_PredictorFacilities,0),(COLUMN()-1)/2), 1),"")</f>
        <v/>
      </c>
      <c r="AB410" s="137"/>
      <c r="AC410" s="58" t="str" cm="1">
        <f>IFERROR(INDEX(List_Predictors, INDEX(Array_PredictorsLookup,MATCH($A410,List_PredictorFacilities,0),(COLUMN()-1)/2), 1),"")</f>
        <v/>
      </c>
      <c r="AD410" s="137"/>
      <c r="AE410" s="58" t="str" cm="1">
        <f>IFERROR(INDEX(List_Predictors, INDEX(Array_PredictorsLookup,MATCH($A410,List_PredictorFacilities,0),(COLUMN()-1)/2), 1),"")</f>
        <v/>
      </c>
      <c r="AF410" s="137"/>
    </row>
    <row r="411" spans="1:32" x14ac:dyDescent="0.3">
      <c r="A411" s="126"/>
      <c r="B411" s="141"/>
      <c r="C411" s="58" t="str" cm="1">
        <f>IFERROR(INDEX(List_Predictors, INDEX(Array_PredictorsLookup,MATCH($A411,List_PredictorFacilities,0),(COLUMN()-1)/2), 1),"")</f>
        <v/>
      </c>
      <c r="D411" s="137"/>
      <c r="E411" s="58" t="str" cm="1">
        <f>IFERROR(INDEX(List_Predictors, INDEX(Array_PredictorsLookup,MATCH($A411,List_PredictorFacilities,0),(COLUMN()-1)/2), 1),"")</f>
        <v/>
      </c>
      <c r="F411" s="137"/>
      <c r="G411" s="58" t="str" cm="1">
        <f>IFERROR(INDEX(List_Predictors, INDEX(Array_PredictorsLookup,MATCH($A411,List_PredictorFacilities,0),(COLUMN()-1)/2), 1),"")</f>
        <v/>
      </c>
      <c r="H411" s="137"/>
      <c r="I411" s="58" t="str" cm="1">
        <f>IFERROR(INDEX(List_Predictors, INDEX(Array_PredictorsLookup,MATCH($A411,List_PredictorFacilities,0),(COLUMN()-1)/2), 1),"")</f>
        <v/>
      </c>
      <c r="J411" s="137"/>
      <c r="K411" s="58" t="str" cm="1">
        <f>IFERROR(INDEX(List_Predictors, INDEX(Array_PredictorsLookup,MATCH($A411,List_PredictorFacilities,0),(COLUMN()-1)/2), 1),"")</f>
        <v/>
      </c>
      <c r="L411" s="137"/>
      <c r="M411" s="58" t="str" cm="1">
        <f>IFERROR(INDEX(List_Predictors, INDEX(Array_PredictorsLookup,MATCH($A411,List_PredictorFacilities,0),(COLUMN()-1)/2), 1),"")</f>
        <v/>
      </c>
      <c r="N411" s="137"/>
      <c r="O411" s="58" t="str" cm="1">
        <f>IFERROR(INDEX(List_Predictors, INDEX(Array_PredictorsLookup,MATCH($A411,List_PredictorFacilities,0),(COLUMN()-1)/2), 1),"")</f>
        <v/>
      </c>
      <c r="P411" s="137"/>
      <c r="Q411" s="58" t="str" cm="1">
        <f>IFERROR(INDEX(List_Predictors, INDEX(Array_PredictorsLookup,MATCH($A411,List_PredictorFacilities,0),(COLUMN()-1)/2), 1),"")</f>
        <v/>
      </c>
      <c r="R411" s="137"/>
      <c r="S411" s="58" t="str" cm="1">
        <f>IFERROR(INDEX(List_Predictors, INDEX(Array_PredictorsLookup,MATCH($A411,List_PredictorFacilities,0),(COLUMN()-1)/2), 1),"")</f>
        <v/>
      </c>
      <c r="T411" s="137"/>
      <c r="U411" s="58" t="str" cm="1">
        <f>IFERROR(INDEX(List_Predictors, INDEX(Array_PredictorsLookup,MATCH($A411,List_PredictorFacilities,0),(COLUMN()-1)/2), 1),"")</f>
        <v/>
      </c>
      <c r="V411" s="137"/>
      <c r="W411" s="58" t="str" cm="1">
        <f>IFERROR(INDEX(List_Predictors, INDEX(Array_PredictorsLookup,MATCH($A411,List_PredictorFacilities,0),(COLUMN()-1)/2), 1),"")</f>
        <v/>
      </c>
      <c r="X411" s="137"/>
      <c r="Y411" s="58" t="str" cm="1">
        <f>IFERROR(INDEX(List_Predictors, INDEX(Array_PredictorsLookup,MATCH($A411,List_PredictorFacilities,0),(COLUMN()-1)/2), 1),"")</f>
        <v/>
      </c>
      <c r="Z411" s="137"/>
      <c r="AA411" s="58" t="str" cm="1">
        <f>IFERROR(INDEX(List_Predictors, INDEX(Array_PredictorsLookup,MATCH($A411,List_PredictorFacilities,0),(COLUMN()-1)/2), 1),"")</f>
        <v/>
      </c>
      <c r="AB411" s="137"/>
      <c r="AC411" s="58" t="str" cm="1">
        <f>IFERROR(INDEX(List_Predictors, INDEX(Array_PredictorsLookup,MATCH($A411,List_PredictorFacilities,0),(COLUMN()-1)/2), 1),"")</f>
        <v/>
      </c>
      <c r="AD411" s="137"/>
      <c r="AE411" s="58" t="str" cm="1">
        <f>IFERROR(INDEX(List_Predictors, INDEX(Array_PredictorsLookup,MATCH($A411,List_PredictorFacilities,0),(COLUMN()-1)/2), 1),"")</f>
        <v/>
      </c>
      <c r="AF411" s="137"/>
    </row>
    <row r="412" spans="1:32" x14ac:dyDescent="0.3">
      <c r="A412" s="126"/>
      <c r="B412" s="141"/>
      <c r="C412" s="58" t="str" cm="1">
        <f>IFERROR(INDEX(List_Predictors, INDEX(Array_PredictorsLookup,MATCH($A412,List_PredictorFacilities,0),(COLUMN()-1)/2), 1),"")</f>
        <v/>
      </c>
      <c r="D412" s="137"/>
      <c r="E412" s="58" t="str" cm="1">
        <f>IFERROR(INDEX(List_Predictors, INDEX(Array_PredictorsLookup,MATCH($A412,List_PredictorFacilities,0),(COLUMN()-1)/2), 1),"")</f>
        <v/>
      </c>
      <c r="F412" s="137"/>
      <c r="G412" s="58" t="str" cm="1">
        <f>IFERROR(INDEX(List_Predictors, INDEX(Array_PredictorsLookup,MATCH($A412,List_PredictorFacilities,0),(COLUMN()-1)/2), 1),"")</f>
        <v/>
      </c>
      <c r="H412" s="137"/>
      <c r="I412" s="58" t="str" cm="1">
        <f>IFERROR(INDEX(List_Predictors, INDEX(Array_PredictorsLookup,MATCH($A412,List_PredictorFacilities,0),(COLUMN()-1)/2), 1),"")</f>
        <v/>
      </c>
      <c r="J412" s="137"/>
      <c r="K412" s="58" t="str" cm="1">
        <f>IFERROR(INDEX(List_Predictors, INDEX(Array_PredictorsLookup,MATCH($A412,List_PredictorFacilities,0),(COLUMN()-1)/2), 1),"")</f>
        <v/>
      </c>
      <c r="L412" s="137"/>
      <c r="M412" s="58" t="str" cm="1">
        <f>IFERROR(INDEX(List_Predictors, INDEX(Array_PredictorsLookup,MATCH($A412,List_PredictorFacilities,0),(COLUMN()-1)/2), 1),"")</f>
        <v/>
      </c>
      <c r="N412" s="137"/>
      <c r="O412" s="58" t="str" cm="1">
        <f>IFERROR(INDEX(List_Predictors, INDEX(Array_PredictorsLookup,MATCH($A412,List_PredictorFacilities,0),(COLUMN()-1)/2), 1),"")</f>
        <v/>
      </c>
      <c r="P412" s="137"/>
      <c r="Q412" s="58" t="str" cm="1">
        <f>IFERROR(INDEX(List_Predictors, INDEX(Array_PredictorsLookup,MATCH($A412,List_PredictorFacilities,0),(COLUMN()-1)/2), 1),"")</f>
        <v/>
      </c>
      <c r="R412" s="137"/>
      <c r="S412" s="58" t="str" cm="1">
        <f>IFERROR(INDEX(List_Predictors, INDEX(Array_PredictorsLookup,MATCH($A412,List_PredictorFacilities,0),(COLUMN()-1)/2), 1),"")</f>
        <v/>
      </c>
      <c r="T412" s="137"/>
      <c r="U412" s="58" t="str" cm="1">
        <f>IFERROR(INDEX(List_Predictors, INDEX(Array_PredictorsLookup,MATCH($A412,List_PredictorFacilities,0),(COLUMN()-1)/2), 1),"")</f>
        <v/>
      </c>
      <c r="V412" s="137"/>
      <c r="W412" s="58" t="str" cm="1">
        <f>IFERROR(INDEX(List_Predictors, INDEX(Array_PredictorsLookup,MATCH($A412,List_PredictorFacilities,0),(COLUMN()-1)/2), 1),"")</f>
        <v/>
      </c>
      <c r="X412" s="137"/>
      <c r="Y412" s="58" t="str" cm="1">
        <f>IFERROR(INDEX(List_Predictors, INDEX(Array_PredictorsLookup,MATCH($A412,List_PredictorFacilities,0),(COLUMN()-1)/2), 1),"")</f>
        <v/>
      </c>
      <c r="Z412" s="137"/>
      <c r="AA412" s="58" t="str" cm="1">
        <f>IFERROR(INDEX(List_Predictors, INDEX(Array_PredictorsLookup,MATCH($A412,List_PredictorFacilities,0),(COLUMN()-1)/2), 1),"")</f>
        <v/>
      </c>
      <c r="AB412" s="137"/>
      <c r="AC412" s="58" t="str" cm="1">
        <f>IFERROR(INDEX(List_Predictors, INDEX(Array_PredictorsLookup,MATCH($A412,List_PredictorFacilities,0),(COLUMN()-1)/2), 1),"")</f>
        <v/>
      </c>
      <c r="AD412" s="137"/>
      <c r="AE412" s="58" t="str" cm="1">
        <f>IFERROR(INDEX(List_Predictors, INDEX(Array_PredictorsLookup,MATCH($A412,List_PredictorFacilities,0),(COLUMN()-1)/2), 1),"")</f>
        <v/>
      </c>
      <c r="AF412" s="137"/>
    </row>
    <row r="413" spans="1:32" x14ac:dyDescent="0.3">
      <c r="A413" s="126"/>
      <c r="B413" s="141"/>
      <c r="C413" s="58" t="str" cm="1">
        <f>IFERROR(INDEX(List_Predictors, INDEX(Array_PredictorsLookup,MATCH($A413,List_PredictorFacilities,0),(COLUMN()-1)/2), 1),"")</f>
        <v/>
      </c>
      <c r="D413" s="137"/>
      <c r="E413" s="58" t="str" cm="1">
        <f>IFERROR(INDEX(List_Predictors, INDEX(Array_PredictorsLookup,MATCH($A413,List_PredictorFacilities,0),(COLUMN()-1)/2), 1),"")</f>
        <v/>
      </c>
      <c r="F413" s="137"/>
      <c r="G413" s="58" t="str" cm="1">
        <f>IFERROR(INDEX(List_Predictors, INDEX(Array_PredictorsLookup,MATCH($A413,List_PredictorFacilities,0),(COLUMN()-1)/2), 1),"")</f>
        <v/>
      </c>
      <c r="H413" s="137"/>
      <c r="I413" s="58" t="str" cm="1">
        <f>IFERROR(INDEX(List_Predictors, INDEX(Array_PredictorsLookup,MATCH($A413,List_PredictorFacilities,0),(COLUMN()-1)/2), 1),"")</f>
        <v/>
      </c>
      <c r="J413" s="137"/>
      <c r="K413" s="58" t="str" cm="1">
        <f>IFERROR(INDEX(List_Predictors, INDEX(Array_PredictorsLookup,MATCH($A413,List_PredictorFacilities,0),(COLUMN()-1)/2), 1),"")</f>
        <v/>
      </c>
      <c r="L413" s="137"/>
      <c r="M413" s="58" t="str" cm="1">
        <f>IFERROR(INDEX(List_Predictors, INDEX(Array_PredictorsLookup,MATCH($A413,List_PredictorFacilities,0),(COLUMN()-1)/2), 1),"")</f>
        <v/>
      </c>
      <c r="N413" s="137"/>
      <c r="O413" s="58" t="str" cm="1">
        <f>IFERROR(INDEX(List_Predictors, INDEX(Array_PredictorsLookup,MATCH($A413,List_PredictorFacilities,0),(COLUMN()-1)/2), 1),"")</f>
        <v/>
      </c>
      <c r="P413" s="137"/>
      <c r="Q413" s="58" t="str" cm="1">
        <f>IFERROR(INDEX(List_Predictors, INDEX(Array_PredictorsLookup,MATCH($A413,List_PredictorFacilities,0),(COLUMN()-1)/2), 1),"")</f>
        <v/>
      </c>
      <c r="R413" s="137"/>
      <c r="S413" s="58" t="str" cm="1">
        <f>IFERROR(INDEX(List_Predictors, INDEX(Array_PredictorsLookup,MATCH($A413,List_PredictorFacilities,0),(COLUMN()-1)/2), 1),"")</f>
        <v/>
      </c>
      <c r="T413" s="137"/>
      <c r="U413" s="58" t="str" cm="1">
        <f>IFERROR(INDEX(List_Predictors, INDEX(Array_PredictorsLookup,MATCH($A413,List_PredictorFacilities,0),(COLUMN()-1)/2), 1),"")</f>
        <v/>
      </c>
      <c r="V413" s="137"/>
      <c r="W413" s="58" t="str" cm="1">
        <f>IFERROR(INDEX(List_Predictors, INDEX(Array_PredictorsLookup,MATCH($A413,List_PredictorFacilities,0),(COLUMN()-1)/2), 1),"")</f>
        <v/>
      </c>
      <c r="X413" s="137"/>
      <c r="Y413" s="58" t="str" cm="1">
        <f>IFERROR(INDEX(List_Predictors, INDEX(Array_PredictorsLookup,MATCH($A413,List_PredictorFacilities,0),(COLUMN()-1)/2), 1),"")</f>
        <v/>
      </c>
      <c r="Z413" s="137"/>
      <c r="AA413" s="58" t="str" cm="1">
        <f>IFERROR(INDEX(List_Predictors, INDEX(Array_PredictorsLookup,MATCH($A413,List_PredictorFacilities,0),(COLUMN()-1)/2), 1),"")</f>
        <v/>
      </c>
      <c r="AB413" s="137"/>
      <c r="AC413" s="58" t="str" cm="1">
        <f>IFERROR(INDEX(List_Predictors, INDEX(Array_PredictorsLookup,MATCH($A413,List_PredictorFacilities,0),(COLUMN()-1)/2), 1),"")</f>
        <v/>
      </c>
      <c r="AD413" s="137"/>
      <c r="AE413" s="58" t="str" cm="1">
        <f>IFERROR(INDEX(List_Predictors, INDEX(Array_PredictorsLookup,MATCH($A413,List_PredictorFacilities,0),(COLUMN()-1)/2), 1),"")</f>
        <v/>
      </c>
      <c r="AF413" s="137"/>
    </row>
    <row r="414" spans="1:32" x14ac:dyDescent="0.3">
      <c r="A414" s="126"/>
      <c r="B414" s="141"/>
      <c r="C414" s="58" t="str" cm="1">
        <f>IFERROR(INDEX(List_Predictors, INDEX(Array_PredictorsLookup,MATCH($A414,List_PredictorFacilities,0),(COLUMN()-1)/2), 1),"")</f>
        <v/>
      </c>
      <c r="D414" s="137"/>
      <c r="E414" s="58" t="str" cm="1">
        <f>IFERROR(INDEX(List_Predictors, INDEX(Array_PredictorsLookup,MATCH($A414,List_PredictorFacilities,0),(COLUMN()-1)/2), 1),"")</f>
        <v/>
      </c>
      <c r="F414" s="137"/>
      <c r="G414" s="58" t="str" cm="1">
        <f>IFERROR(INDEX(List_Predictors, INDEX(Array_PredictorsLookup,MATCH($A414,List_PredictorFacilities,0),(COLUMN()-1)/2), 1),"")</f>
        <v/>
      </c>
      <c r="H414" s="137"/>
      <c r="I414" s="58" t="str" cm="1">
        <f>IFERROR(INDEX(List_Predictors, INDEX(Array_PredictorsLookup,MATCH($A414,List_PredictorFacilities,0),(COLUMN()-1)/2), 1),"")</f>
        <v/>
      </c>
      <c r="J414" s="137"/>
      <c r="K414" s="58" t="str" cm="1">
        <f>IFERROR(INDEX(List_Predictors, INDEX(Array_PredictorsLookup,MATCH($A414,List_PredictorFacilities,0),(COLUMN()-1)/2), 1),"")</f>
        <v/>
      </c>
      <c r="L414" s="137"/>
      <c r="M414" s="58" t="str" cm="1">
        <f>IFERROR(INDEX(List_Predictors, INDEX(Array_PredictorsLookup,MATCH($A414,List_PredictorFacilities,0),(COLUMN()-1)/2), 1),"")</f>
        <v/>
      </c>
      <c r="N414" s="137"/>
      <c r="O414" s="58" t="str" cm="1">
        <f>IFERROR(INDEX(List_Predictors, INDEX(Array_PredictorsLookup,MATCH($A414,List_PredictorFacilities,0),(COLUMN()-1)/2), 1),"")</f>
        <v/>
      </c>
      <c r="P414" s="137"/>
      <c r="Q414" s="58" t="str" cm="1">
        <f>IFERROR(INDEX(List_Predictors, INDEX(Array_PredictorsLookup,MATCH($A414,List_PredictorFacilities,0),(COLUMN()-1)/2), 1),"")</f>
        <v/>
      </c>
      <c r="R414" s="137"/>
      <c r="S414" s="58" t="str" cm="1">
        <f>IFERROR(INDEX(List_Predictors, INDEX(Array_PredictorsLookup,MATCH($A414,List_PredictorFacilities,0),(COLUMN()-1)/2), 1),"")</f>
        <v/>
      </c>
      <c r="T414" s="137"/>
      <c r="U414" s="58" t="str" cm="1">
        <f>IFERROR(INDEX(List_Predictors, INDEX(Array_PredictorsLookup,MATCH($A414,List_PredictorFacilities,0),(COLUMN()-1)/2), 1),"")</f>
        <v/>
      </c>
      <c r="V414" s="137"/>
      <c r="W414" s="58" t="str" cm="1">
        <f>IFERROR(INDEX(List_Predictors, INDEX(Array_PredictorsLookup,MATCH($A414,List_PredictorFacilities,0),(COLUMN()-1)/2), 1),"")</f>
        <v/>
      </c>
      <c r="X414" s="137"/>
      <c r="Y414" s="58" t="str" cm="1">
        <f>IFERROR(INDEX(List_Predictors, INDEX(Array_PredictorsLookup,MATCH($A414,List_PredictorFacilities,0),(COLUMN()-1)/2), 1),"")</f>
        <v/>
      </c>
      <c r="Z414" s="137"/>
      <c r="AA414" s="58" t="str" cm="1">
        <f>IFERROR(INDEX(List_Predictors, INDEX(Array_PredictorsLookup,MATCH($A414,List_PredictorFacilities,0),(COLUMN()-1)/2), 1),"")</f>
        <v/>
      </c>
      <c r="AB414" s="137"/>
      <c r="AC414" s="58" t="str" cm="1">
        <f>IFERROR(INDEX(List_Predictors, INDEX(Array_PredictorsLookup,MATCH($A414,List_PredictorFacilities,0),(COLUMN()-1)/2), 1),"")</f>
        <v/>
      </c>
      <c r="AD414" s="137"/>
      <c r="AE414" s="58" t="str" cm="1">
        <f>IFERROR(INDEX(List_Predictors, INDEX(Array_PredictorsLookup,MATCH($A414,List_PredictorFacilities,0),(COLUMN()-1)/2), 1),"")</f>
        <v/>
      </c>
      <c r="AF414" s="137"/>
    </row>
    <row r="415" spans="1:32" x14ac:dyDescent="0.3">
      <c r="A415" s="126"/>
      <c r="B415" s="141"/>
      <c r="C415" s="58" t="str" cm="1">
        <f>IFERROR(INDEX(List_Predictors, INDEX(Array_PredictorsLookup,MATCH($A415,List_PredictorFacilities,0),(COLUMN()-1)/2), 1),"")</f>
        <v/>
      </c>
      <c r="D415" s="137"/>
      <c r="E415" s="58" t="str" cm="1">
        <f>IFERROR(INDEX(List_Predictors, INDEX(Array_PredictorsLookup,MATCH($A415,List_PredictorFacilities,0),(COLUMN()-1)/2), 1),"")</f>
        <v/>
      </c>
      <c r="F415" s="137"/>
      <c r="G415" s="58" t="str" cm="1">
        <f>IFERROR(INDEX(List_Predictors, INDEX(Array_PredictorsLookup,MATCH($A415,List_PredictorFacilities,0),(COLUMN()-1)/2), 1),"")</f>
        <v/>
      </c>
      <c r="H415" s="137"/>
      <c r="I415" s="58" t="str" cm="1">
        <f>IFERROR(INDEX(List_Predictors, INDEX(Array_PredictorsLookup,MATCH($A415,List_PredictorFacilities,0),(COLUMN()-1)/2), 1),"")</f>
        <v/>
      </c>
      <c r="J415" s="137"/>
      <c r="K415" s="58" t="str" cm="1">
        <f>IFERROR(INDEX(List_Predictors, INDEX(Array_PredictorsLookup,MATCH($A415,List_PredictorFacilities,0),(COLUMN()-1)/2), 1),"")</f>
        <v/>
      </c>
      <c r="L415" s="137"/>
      <c r="M415" s="58" t="str" cm="1">
        <f>IFERROR(INDEX(List_Predictors, INDEX(Array_PredictorsLookup,MATCH($A415,List_PredictorFacilities,0),(COLUMN()-1)/2), 1),"")</f>
        <v/>
      </c>
      <c r="N415" s="137"/>
      <c r="O415" s="58" t="str" cm="1">
        <f>IFERROR(INDEX(List_Predictors, INDEX(Array_PredictorsLookup,MATCH($A415,List_PredictorFacilities,0),(COLUMN()-1)/2), 1),"")</f>
        <v/>
      </c>
      <c r="P415" s="137"/>
      <c r="Q415" s="58" t="str" cm="1">
        <f>IFERROR(INDEX(List_Predictors, INDEX(Array_PredictorsLookup,MATCH($A415,List_PredictorFacilities,0),(COLUMN()-1)/2), 1),"")</f>
        <v/>
      </c>
      <c r="R415" s="137"/>
      <c r="S415" s="58" t="str" cm="1">
        <f>IFERROR(INDEX(List_Predictors, INDEX(Array_PredictorsLookup,MATCH($A415,List_PredictorFacilities,0),(COLUMN()-1)/2), 1),"")</f>
        <v/>
      </c>
      <c r="T415" s="137"/>
      <c r="U415" s="58" t="str" cm="1">
        <f>IFERROR(INDEX(List_Predictors, INDEX(Array_PredictorsLookup,MATCH($A415,List_PredictorFacilities,0),(COLUMN()-1)/2), 1),"")</f>
        <v/>
      </c>
      <c r="V415" s="137"/>
      <c r="W415" s="58" t="str" cm="1">
        <f>IFERROR(INDEX(List_Predictors, INDEX(Array_PredictorsLookup,MATCH($A415,List_PredictorFacilities,0),(COLUMN()-1)/2), 1),"")</f>
        <v/>
      </c>
      <c r="X415" s="137"/>
      <c r="Y415" s="58" t="str" cm="1">
        <f>IFERROR(INDEX(List_Predictors, INDEX(Array_PredictorsLookup,MATCH($A415,List_PredictorFacilities,0),(COLUMN()-1)/2), 1),"")</f>
        <v/>
      </c>
      <c r="Z415" s="137"/>
      <c r="AA415" s="58" t="str" cm="1">
        <f>IFERROR(INDEX(List_Predictors, INDEX(Array_PredictorsLookup,MATCH($A415,List_PredictorFacilities,0),(COLUMN()-1)/2), 1),"")</f>
        <v/>
      </c>
      <c r="AB415" s="137"/>
      <c r="AC415" s="58" t="str" cm="1">
        <f>IFERROR(INDEX(List_Predictors, INDEX(Array_PredictorsLookup,MATCH($A415,List_PredictorFacilities,0),(COLUMN()-1)/2), 1),"")</f>
        <v/>
      </c>
      <c r="AD415" s="137"/>
      <c r="AE415" s="58" t="str" cm="1">
        <f>IFERROR(INDEX(List_Predictors, INDEX(Array_PredictorsLookup,MATCH($A415,List_PredictorFacilities,0),(COLUMN()-1)/2), 1),"")</f>
        <v/>
      </c>
      <c r="AF415" s="137"/>
    </row>
    <row r="416" spans="1:32" x14ac:dyDescent="0.3">
      <c r="A416" s="126"/>
      <c r="B416" s="141"/>
      <c r="C416" s="58" t="str" cm="1">
        <f>IFERROR(INDEX(List_Predictors, INDEX(Array_PredictorsLookup,MATCH($A416,List_PredictorFacilities,0),(COLUMN()-1)/2), 1),"")</f>
        <v/>
      </c>
      <c r="D416" s="137"/>
      <c r="E416" s="58" t="str" cm="1">
        <f>IFERROR(INDEX(List_Predictors, INDEX(Array_PredictorsLookup,MATCH($A416,List_PredictorFacilities,0),(COLUMN()-1)/2), 1),"")</f>
        <v/>
      </c>
      <c r="F416" s="137"/>
      <c r="G416" s="58" t="str" cm="1">
        <f>IFERROR(INDEX(List_Predictors, INDEX(Array_PredictorsLookup,MATCH($A416,List_PredictorFacilities,0),(COLUMN()-1)/2), 1),"")</f>
        <v/>
      </c>
      <c r="H416" s="137"/>
      <c r="I416" s="58" t="str" cm="1">
        <f>IFERROR(INDEX(List_Predictors, INDEX(Array_PredictorsLookup,MATCH($A416,List_PredictorFacilities,0),(COLUMN()-1)/2), 1),"")</f>
        <v/>
      </c>
      <c r="J416" s="137"/>
      <c r="K416" s="58" t="str" cm="1">
        <f>IFERROR(INDEX(List_Predictors, INDEX(Array_PredictorsLookup,MATCH($A416,List_PredictorFacilities,0),(COLUMN()-1)/2), 1),"")</f>
        <v/>
      </c>
      <c r="L416" s="137"/>
      <c r="M416" s="58" t="str" cm="1">
        <f>IFERROR(INDEX(List_Predictors, INDEX(Array_PredictorsLookup,MATCH($A416,List_PredictorFacilities,0),(COLUMN()-1)/2), 1),"")</f>
        <v/>
      </c>
      <c r="N416" s="137"/>
      <c r="O416" s="58" t="str" cm="1">
        <f>IFERROR(INDEX(List_Predictors, INDEX(Array_PredictorsLookup,MATCH($A416,List_PredictorFacilities,0),(COLUMN()-1)/2), 1),"")</f>
        <v/>
      </c>
      <c r="P416" s="137"/>
      <c r="Q416" s="58" t="str" cm="1">
        <f>IFERROR(INDEX(List_Predictors, INDEX(Array_PredictorsLookup,MATCH($A416,List_PredictorFacilities,0),(COLUMN()-1)/2), 1),"")</f>
        <v/>
      </c>
      <c r="R416" s="137"/>
      <c r="S416" s="58" t="str" cm="1">
        <f>IFERROR(INDEX(List_Predictors, INDEX(Array_PredictorsLookup,MATCH($A416,List_PredictorFacilities,0),(COLUMN()-1)/2), 1),"")</f>
        <v/>
      </c>
      <c r="T416" s="137"/>
      <c r="U416" s="58" t="str" cm="1">
        <f>IFERROR(INDEX(List_Predictors, INDEX(Array_PredictorsLookup,MATCH($A416,List_PredictorFacilities,0),(COLUMN()-1)/2), 1),"")</f>
        <v/>
      </c>
      <c r="V416" s="137"/>
      <c r="W416" s="58" t="str" cm="1">
        <f>IFERROR(INDEX(List_Predictors, INDEX(Array_PredictorsLookup,MATCH($A416,List_PredictorFacilities,0),(COLUMN()-1)/2), 1),"")</f>
        <v/>
      </c>
      <c r="X416" s="137"/>
      <c r="Y416" s="58" t="str" cm="1">
        <f>IFERROR(INDEX(List_Predictors, INDEX(Array_PredictorsLookup,MATCH($A416,List_PredictorFacilities,0),(COLUMN()-1)/2), 1),"")</f>
        <v/>
      </c>
      <c r="Z416" s="137"/>
      <c r="AA416" s="58" t="str" cm="1">
        <f>IFERROR(INDEX(List_Predictors, INDEX(Array_PredictorsLookup,MATCH($A416,List_PredictorFacilities,0),(COLUMN()-1)/2), 1),"")</f>
        <v/>
      </c>
      <c r="AB416" s="137"/>
      <c r="AC416" s="58" t="str" cm="1">
        <f>IFERROR(INDEX(List_Predictors, INDEX(Array_PredictorsLookup,MATCH($A416,List_PredictorFacilities,0),(COLUMN()-1)/2), 1),"")</f>
        <v/>
      </c>
      <c r="AD416" s="137"/>
      <c r="AE416" s="58" t="str" cm="1">
        <f>IFERROR(INDEX(List_Predictors, INDEX(Array_PredictorsLookup,MATCH($A416,List_PredictorFacilities,0),(COLUMN()-1)/2), 1),"")</f>
        <v/>
      </c>
      <c r="AF416" s="137"/>
    </row>
    <row r="417" spans="1:32" x14ac:dyDescent="0.3">
      <c r="A417" s="126"/>
      <c r="B417" s="141"/>
      <c r="C417" s="58" t="str" cm="1">
        <f>IFERROR(INDEX(List_Predictors, INDEX(Array_PredictorsLookup,MATCH($A417,List_PredictorFacilities,0),(COLUMN()-1)/2), 1),"")</f>
        <v/>
      </c>
      <c r="D417" s="137"/>
      <c r="E417" s="58" t="str" cm="1">
        <f>IFERROR(INDEX(List_Predictors, INDEX(Array_PredictorsLookup,MATCH($A417,List_PredictorFacilities,0),(COLUMN()-1)/2), 1),"")</f>
        <v/>
      </c>
      <c r="F417" s="137"/>
      <c r="G417" s="58" t="str" cm="1">
        <f>IFERROR(INDEX(List_Predictors, INDEX(Array_PredictorsLookup,MATCH($A417,List_PredictorFacilities,0),(COLUMN()-1)/2), 1),"")</f>
        <v/>
      </c>
      <c r="H417" s="137"/>
      <c r="I417" s="58" t="str" cm="1">
        <f>IFERROR(INDEX(List_Predictors, INDEX(Array_PredictorsLookup,MATCH($A417,List_PredictorFacilities,0),(COLUMN()-1)/2), 1),"")</f>
        <v/>
      </c>
      <c r="J417" s="137"/>
      <c r="K417" s="58" t="str" cm="1">
        <f>IFERROR(INDEX(List_Predictors, INDEX(Array_PredictorsLookup,MATCH($A417,List_PredictorFacilities,0),(COLUMN()-1)/2), 1),"")</f>
        <v/>
      </c>
      <c r="L417" s="137"/>
      <c r="M417" s="58" t="str" cm="1">
        <f>IFERROR(INDEX(List_Predictors, INDEX(Array_PredictorsLookup,MATCH($A417,List_PredictorFacilities,0),(COLUMN()-1)/2), 1),"")</f>
        <v/>
      </c>
      <c r="N417" s="137"/>
      <c r="O417" s="58" t="str" cm="1">
        <f>IFERROR(INDEX(List_Predictors, INDEX(Array_PredictorsLookup,MATCH($A417,List_PredictorFacilities,0),(COLUMN()-1)/2), 1),"")</f>
        <v/>
      </c>
      <c r="P417" s="137"/>
      <c r="Q417" s="58" t="str" cm="1">
        <f>IFERROR(INDEX(List_Predictors, INDEX(Array_PredictorsLookup,MATCH($A417,List_PredictorFacilities,0),(COLUMN()-1)/2), 1),"")</f>
        <v/>
      </c>
      <c r="R417" s="137"/>
      <c r="S417" s="58" t="str" cm="1">
        <f>IFERROR(INDEX(List_Predictors, INDEX(Array_PredictorsLookup,MATCH($A417,List_PredictorFacilities,0),(COLUMN()-1)/2), 1),"")</f>
        <v/>
      </c>
      <c r="T417" s="137"/>
      <c r="U417" s="58" t="str" cm="1">
        <f>IFERROR(INDEX(List_Predictors, INDEX(Array_PredictorsLookup,MATCH($A417,List_PredictorFacilities,0),(COLUMN()-1)/2), 1),"")</f>
        <v/>
      </c>
      <c r="V417" s="137"/>
      <c r="W417" s="58" t="str" cm="1">
        <f>IFERROR(INDEX(List_Predictors, INDEX(Array_PredictorsLookup,MATCH($A417,List_PredictorFacilities,0),(COLUMN()-1)/2), 1),"")</f>
        <v/>
      </c>
      <c r="X417" s="137"/>
      <c r="Y417" s="58" t="str" cm="1">
        <f>IFERROR(INDEX(List_Predictors, INDEX(Array_PredictorsLookup,MATCH($A417,List_PredictorFacilities,0),(COLUMN()-1)/2), 1),"")</f>
        <v/>
      </c>
      <c r="Z417" s="137"/>
      <c r="AA417" s="58" t="str" cm="1">
        <f>IFERROR(INDEX(List_Predictors, INDEX(Array_PredictorsLookup,MATCH($A417,List_PredictorFacilities,0),(COLUMN()-1)/2), 1),"")</f>
        <v/>
      </c>
      <c r="AB417" s="137"/>
      <c r="AC417" s="58" t="str" cm="1">
        <f>IFERROR(INDEX(List_Predictors, INDEX(Array_PredictorsLookup,MATCH($A417,List_PredictorFacilities,0),(COLUMN()-1)/2), 1),"")</f>
        <v/>
      </c>
      <c r="AD417" s="137"/>
      <c r="AE417" s="58" t="str" cm="1">
        <f>IFERROR(INDEX(List_Predictors, INDEX(Array_PredictorsLookup,MATCH($A417,List_PredictorFacilities,0),(COLUMN()-1)/2), 1),"")</f>
        <v/>
      </c>
      <c r="AF417" s="137"/>
    </row>
    <row r="418" spans="1:32" x14ac:dyDescent="0.3">
      <c r="A418" s="126"/>
      <c r="B418" s="141"/>
      <c r="C418" s="58" t="str" cm="1">
        <f>IFERROR(INDEX(List_Predictors, INDEX(Array_PredictorsLookup,MATCH($A418,List_PredictorFacilities,0),(COLUMN()-1)/2), 1),"")</f>
        <v/>
      </c>
      <c r="D418" s="137"/>
      <c r="E418" s="58" t="str" cm="1">
        <f>IFERROR(INDEX(List_Predictors, INDEX(Array_PredictorsLookup,MATCH($A418,List_PredictorFacilities,0),(COLUMN()-1)/2), 1),"")</f>
        <v/>
      </c>
      <c r="F418" s="137"/>
      <c r="G418" s="58" t="str" cm="1">
        <f>IFERROR(INDEX(List_Predictors, INDEX(Array_PredictorsLookup,MATCH($A418,List_PredictorFacilities,0),(COLUMN()-1)/2), 1),"")</f>
        <v/>
      </c>
      <c r="H418" s="137"/>
      <c r="I418" s="58" t="str" cm="1">
        <f>IFERROR(INDEX(List_Predictors, INDEX(Array_PredictorsLookup,MATCH($A418,List_PredictorFacilities,0),(COLUMN()-1)/2), 1),"")</f>
        <v/>
      </c>
      <c r="J418" s="137"/>
      <c r="K418" s="58" t="str" cm="1">
        <f>IFERROR(INDEX(List_Predictors, INDEX(Array_PredictorsLookup,MATCH($A418,List_PredictorFacilities,0),(COLUMN()-1)/2), 1),"")</f>
        <v/>
      </c>
      <c r="L418" s="137"/>
      <c r="M418" s="58" t="str" cm="1">
        <f>IFERROR(INDEX(List_Predictors, INDEX(Array_PredictorsLookup,MATCH($A418,List_PredictorFacilities,0),(COLUMN()-1)/2), 1),"")</f>
        <v/>
      </c>
      <c r="N418" s="137"/>
      <c r="O418" s="58" t="str" cm="1">
        <f>IFERROR(INDEX(List_Predictors, INDEX(Array_PredictorsLookup,MATCH($A418,List_PredictorFacilities,0),(COLUMN()-1)/2), 1),"")</f>
        <v/>
      </c>
      <c r="P418" s="137"/>
      <c r="Q418" s="58" t="str" cm="1">
        <f>IFERROR(INDEX(List_Predictors, INDEX(Array_PredictorsLookup,MATCH($A418,List_PredictorFacilities,0),(COLUMN()-1)/2), 1),"")</f>
        <v/>
      </c>
      <c r="R418" s="137"/>
      <c r="S418" s="58" t="str" cm="1">
        <f>IFERROR(INDEX(List_Predictors, INDEX(Array_PredictorsLookup,MATCH($A418,List_PredictorFacilities,0),(COLUMN()-1)/2), 1),"")</f>
        <v/>
      </c>
      <c r="T418" s="137"/>
      <c r="U418" s="58" t="str" cm="1">
        <f>IFERROR(INDEX(List_Predictors, INDEX(Array_PredictorsLookup,MATCH($A418,List_PredictorFacilities,0),(COLUMN()-1)/2), 1),"")</f>
        <v/>
      </c>
      <c r="V418" s="137"/>
      <c r="W418" s="58" t="str" cm="1">
        <f>IFERROR(INDEX(List_Predictors, INDEX(Array_PredictorsLookup,MATCH($A418,List_PredictorFacilities,0),(COLUMN()-1)/2), 1),"")</f>
        <v/>
      </c>
      <c r="X418" s="137"/>
      <c r="Y418" s="58" t="str" cm="1">
        <f>IFERROR(INDEX(List_Predictors, INDEX(Array_PredictorsLookup,MATCH($A418,List_PredictorFacilities,0),(COLUMN()-1)/2), 1),"")</f>
        <v/>
      </c>
      <c r="Z418" s="137"/>
      <c r="AA418" s="58" t="str" cm="1">
        <f>IFERROR(INDEX(List_Predictors, INDEX(Array_PredictorsLookup,MATCH($A418,List_PredictorFacilities,0),(COLUMN()-1)/2), 1),"")</f>
        <v/>
      </c>
      <c r="AB418" s="137"/>
      <c r="AC418" s="58" t="str" cm="1">
        <f>IFERROR(INDEX(List_Predictors, INDEX(Array_PredictorsLookup,MATCH($A418,List_PredictorFacilities,0),(COLUMN()-1)/2), 1),"")</f>
        <v/>
      </c>
      <c r="AD418" s="137"/>
      <c r="AE418" s="58" t="str" cm="1">
        <f>IFERROR(INDEX(List_Predictors, INDEX(Array_PredictorsLookup,MATCH($A418,List_PredictorFacilities,0),(COLUMN()-1)/2), 1),"")</f>
        <v/>
      </c>
      <c r="AF418" s="137"/>
    </row>
    <row r="419" spans="1:32" x14ac:dyDescent="0.3">
      <c r="A419" s="126"/>
      <c r="B419" s="141"/>
      <c r="C419" s="58" t="str" cm="1">
        <f>IFERROR(INDEX(List_Predictors, INDEX(Array_PredictorsLookup,MATCH($A419,List_PredictorFacilities,0),(COLUMN()-1)/2), 1),"")</f>
        <v/>
      </c>
      <c r="D419" s="137"/>
      <c r="E419" s="58" t="str" cm="1">
        <f>IFERROR(INDEX(List_Predictors, INDEX(Array_PredictorsLookup,MATCH($A419,List_PredictorFacilities,0),(COLUMN()-1)/2), 1),"")</f>
        <v/>
      </c>
      <c r="F419" s="137"/>
      <c r="G419" s="58" t="str" cm="1">
        <f>IFERROR(INDEX(List_Predictors, INDEX(Array_PredictorsLookup,MATCH($A419,List_PredictorFacilities,0),(COLUMN()-1)/2), 1),"")</f>
        <v/>
      </c>
      <c r="H419" s="137"/>
      <c r="I419" s="58" t="str" cm="1">
        <f>IFERROR(INDEX(List_Predictors, INDEX(Array_PredictorsLookup,MATCH($A419,List_PredictorFacilities,0),(COLUMN()-1)/2), 1),"")</f>
        <v/>
      </c>
      <c r="J419" s="137"/>
      <c r="K419" s="58" t="str" cm="1">
        <f>IFERROR(INDEX(List_Predictors, INDEX(Array_PredictorsLookup,MATCH($A419,List_PredictorFacilities,0),(COLUMN()-1)/2), 1),"")</f>
        <v/>
      </c>
      <c r="L419" s="137"/>
      <c r="M419" s="58" t="str" cm="1">
        <f>IFERROR(INDEX(List_Predictors, INDEX(Array_PredictorsLookup,MATCH($A419,List_PredictorFacilities,0),(COLUMN()-1)/2), 1),"")</f>
        <v/>
      </c>
      <c r="N419" s="137"/>
      <c r="O419" s="58" t="str" cm="1">
        <f>IFERROR(INDEX(List_Predictors, INDEX(Array_PredictorsLookup,MATCH($A419,List_PredictorFacilities,0),(COLUMN()-1)/2), 1),"")</f>
        <v/>
      </c>
      <c r="P419" s="137"/>
      <c r="Q419" s="58" t="str" cm="1">
        <f>IFERROR(INDEX(List_Predictors, INDEX(Array_PredictorsLookup,MATCH($A419,List_PredictorFacilities,0),(COLUMN()-1)/2), 1),"")</f>
        <v/>
      </c>
      <c r="R419" s="137"/>
      <c r="S419" s="58" t="str" cm="1">
        <f>IFERROR(INDEX(List_Predictors, INDEX(Array_PredictorsLookup,MATCH($A419,List_PredictorFacilities,0),(COLUMN()-1)/2), 1),"")</f>
        <v/>
      </c>
      <c r="T419" s="137"/>
      <c r="U419" s="58" t="str" cm="1">
        <f>IFERROR(INDEX(List_Predictors, INDEX(Array_PredictorsLookup,MATCH($A419,List_PredictorFacilities,0),(COLUMN()-1)/2), 1),"")</f>
        <v/>
      </c>
      <c r="V419" s="137"/>
      <c r="W419" s="58" t="str" cm="1">
        <f>IFERROR(INDEX(List_Predictors, INDEX(Array_PredictorsLookup,MATCH($A419,List_PredictorFacilities,0),(COLUMN()-1)/2), 1),"")</f>
        <v/>
      </c>
      <c r="X419" s="137"/>
      <c r="Y419" s="58" t="str" cm="1">
        <f>IFERROR(INDEX(List_Predictors, INDEX(Array_PredictorsLookup,MATCH($A419,List_PredictorFacilities,0),(COLUMN()-1)/2), 1),"")</f>
        <v/>
      </c>
      <c r="Z419" s="137"/>
      <c r="AA419" s="58" t="str" cm="1">
        <f>IFERROR(INDEX(List_Predictors, INDEX(Array_PredictorsLookup,MATCH($A419,List_PredictorFacilities,0),(COLUMN()-1)/2), 1),"")</f>
        <v/>
      </c>
      <c r="AB419" s="137"/>
      <c r="AC419" s="58" t="str" cm="1">
        <f>IFERROR(INDEX(List_Predictors, INDEX(Array_PredictorsLookup,MATCH($A419,List_PredictorFacilities,0),(COLUMN()-1)/2), 1),"")</f>
        <v/>
      </c>
      <c r="AD419" s="137"/>
      <c r="AE419" s="58" t="str" cm="1">
        <f>IFERROR(INDEX(List_Predictors, INDEX(Array_PredictorsLookup,MATCH($A419,List_PredictorFacilities,0),(COLUMN()-1)/2), 1),"")</f>
        <v/>
      </c>
      <c r="AF419" s="137"/>
    </row>
    <row r="420" spans="1:32" x14ac:dyDescent="0.3">
      <c r="A420" s="126"/>
      <c r="B420" s="141"/>
      <c r="C420" s="58" t="str" cm="1">
        <f>IFERROR(INDEX(List_Predictors, INDEX(Array_PredictorsLookup,MATCH($A420,List_PredictorFacilities,0),(COLUMN()-1)/2), 1),"")</f>
        <v/>
      </c>
      <c r="D420" s="137"/>
      <c r="E420" s="58" t="str" cm="1">
        <f>IFERROR(INDEX(List_Predictors, INDEX(Array_PredictorsLookup,MATCH($A420,List_PredictorFacilities,0),(COLUMN()-1)/2), 1),"")</f>
        <v/>
      </c>
      <c r="F420" s="137"/>
      <c r="G420" s="58" t="str" cm="1">
        <f>IFERROR(INDEX(List_Predictors, INDEX(Array_PredictorsLookup,MATCH($A420,List_PredictorFacilities,0),(COLUMN()-1)/2), 1),"")</f>
        <v/>
      </c>
      <c r="H420" s="137"/>
      <c r="I420" s="58" t="str" cm="1">
        <f>IFERROR(INDEX(List_Predictors, INDEX(Array_PredictorsLookup,MATCH($A420,List_PredictorFacilities,0),(COLUMN()-1)/2), 1),"")</f>
        <v/>
      </c>
      <c r="J420" s="137"/>
      <c r="K420" s="58" t="str" cm="1">
        <f>IFERROR(INDEX(List_Predictors, INDEX(Array_PredictorsLookup,MATCH($A420,List_PredictorFacilities,0),(COLUMN()-1)/2), 1),"")</f>
        <v/>
      </c>
      <c r="L420" s="137"/>
      <c r="M420" s="58" t="str" cm="1">
        <f>IFERROR(INDEX(List_Predictors, INDEX(Array_PredictorsLookup,MATCH($A420,List_PredictorFacilities,0),(COLUMN()-1)/2), 1),"")</f>
        <v/>
      </c>
      <c r="N420" s="137"/>
      <c r="O420" s="58" t="str" cm="1">
        <f>IFERROR(INDEX(List_Predictors, INDEX(Array_PredictorsLookup,MATCH($A420,List_PredictorFacilities,0),(COLUMN()-1)/2), 1),"")</f>
        <v/>
      </c>
      <c r="P420" s="137"/>
      <c r="Q420" s="58" t="str" cm="1">
        <f>IFERROR(INDEX(List_Predictors, INDEX(Array_PredictorsLookup,MATCH($A420,List_PredictorFacilities,0),(COLUMN()-1)/2), 1),"")</f>
        <v/>
      </c>
      <c r="R420" s="137"/>
      <c r="S420" s="58" t="str" cm="1">
        <f>IFERROR(INDEX(List_Predictors, INDEX(Array_PredictorsLookup,MATCH($A420,List_PredictorFacilities,0),(COLUMN()-1)/2), 1),"")</f>
        <v/>
      </c>
      <c r="T420" s="137"/>
      <c r="U420" s="58" t="str" cm="1">
        <f>IFERROR(INDEX(List_Predictors, INDEX(Array_PredictorsLookup,MATCH($A420,List_PredictorFacilities,0),(COLUMN()-1)/2), 1),"")</f>
        <v/>
      </c>
      <c r="V420" s="137"/>
      <c r="W420" s="58" t="str" cm="1">
        <f>IFERROR(INDEX(List_Predictors, INDEX(Array_PredictorsLookup,MATCH($A420,List_PredictorFacilities,0),(COLUMN()-1)/2), 1),"")</f>
        <v/>
      </c>
      <c r="X420" s="137"/>
      <c r="Y420" s="58" t="str" cm="1">
        <f>IFERROR(INDEX(List_Predictors, INDEX(Array_PredictorsLookup,MATCH($A420,List_PredictorFacilities,0),(COLUMN()-1)/2), 1),"")</f>
        <v/>
      </c>
      <c r="Z420" s="137"/>
      <c r="AA420" s="58" t="str" cm="1">
        <f>IFERROR(INDEX(List_Predictors, INDEX(Array_PredictorsLookup,MATCH($A420,List_PredictorFacilities,0),(COLUMN()-1)/2), 1),"")</f>
        <v/>
      </c>
      <c r="AB420" s="137"/>
      <c r="AC420" s="58" t="str" cm="1">
        <f>IFERROR(INDEX(List_Predictors, INDEX(Array_PredictorsLookup,MATCH($A420,List_PredictorFacilities,0),(COLUMN()-1)/2), 1),"")</f>
        <v/>
      </c>
      <c r="AD420" s="137"/>
      <c r="AE420" s="58" t="str" cm="1">
        <f>IFERROR(INDEX(List_Predictors, INDEX(Array_PredictorsLookup,MATCH($A420,List_PredictorFacilities,0),(COLUMN()-1)/2), 1),"")</f>
        <v/>
      </c>
      <c r="AF420" s="137"/>
    </row>
    <row r="421" spans="1:32" x14ac:dyDescent="0.3">
      <c r="A421" s="126"/>
      <c r="B421" s="141"/>
      <c r="C421" s="58" t="str" cm="1">
        <f>IFERROR(INDEX(List_Predictors, INDEX(Array_PredictorsLookup,MATCH($A421,List_PredictorFacilities,0),(COLUMN()-1)/2), 1),"")</f>
        <v/>
      </c>
      <c r="D421" s="137"/>
      <c r="E421" s="58" t="str" cm="1">
        <f>IFERROR(INDEX(List_Predictors, INDEX(Array_PredictorsLookup,MATCH($A421,List_PredictorFacilities,0),(COLUMN()-1)/2), 1),"")</f>
        <v/>
      </c>
      <c r="F421" s="137"/>
      <c r="G421" s="58" t="str" cm="1">
        <f>IFERROR(INDEX(List_Predictors, INDEX(Array_PredictorsLookup,MATCH($A421,List_PredictorFacilities,0),(COLUMN()-1)/2), 1),"")</f>
        <v/>
      </c>
      <c r="H421" s="137"/>
      <c r="I421" s="58" t="str" cm="1">
        <f>IFERROR(INDEX(List_Predictors, INDEX(Array_PredictorsLookup,MATCH($A421,List_PredictorFacilities,0),(COLUMN()-1)/2), 1),"")</f>
        <v/>
      </c>
      <c r="J421" s="137"/>
      <c r="K421" s="58" t="str" cm="1">
        <f>IFERROR(INDEX(List_Predictors, INDEX(Array_PredictorsLookup,MATCH($A421,List_PredictorFacilities,0),(COLUMN()-1)/2), 1),"")</f>
        <v/>
      </c>
      <c r="L421" s="137"/>
      <c r="M421" s="58" t="str" cm="1">
        <f>IFERROR(INDEX(List_Predictors, INDEX(Array_PredictorsLookup,MATCH($A421,List_PredictorFacilities,0),(COLUMN()-1)/2), 1),"")</f>
        <v/>
      </c>
      <c r="N421" s="137"/>
      <c r="O421" s="58" t="str" cm="1">
        <f>IFERROR(INDEX(List_Predictors, INDEX(Array_PredictorsLookup,MATCH($A421,List_PredictorFacilities,0),(COLUMN()-1)/2), 1),"")</f>
        <v/>
      </c>
      <c r="P421" s="137"/>
      <c r="Q421" s="58" t="str" cm="1">
        <f>IFERROR(INDEX(List_Predictors, INDEX(Array_PredictorsLookup,MATCH($A421,List_PredictorFacilities,0),(COLUMN()-1)/2), 1),"")</f>
        <v/>
      </c>
      <c r="R421" s="137"/>
      <c r="S421" s="58" t="str" cm="1">
        <f>IFERROR(INDEX(List_Predictors, INDEX(Array_PredictorsLookup,MATCH($A421,List_PredictorFacilities,0),(COLUMN()-1)/2), 1),"")</f>
        <v/>
      </c>
      <c r="T421" s="137"/>
      <c r="U421" s="58" t="str" cm="1">
        <f>IFERROR(INDEX(List_Predictors, INDEX(Array_PredictorsLookup,MATCH($A421,List_PredictorFacilities,0),(COLUMN()-1)/2), 1),"")</f>
        <v/>
      </c>
      <c r="V421" s="137"/>
      <c r="W421" s="58" t="str" cm="1">
        <f>IFERROR(INDEX(List_Predictors, INDEX(Array_PredictorsLookup,MATCH($A421,List_PredictorFacilities,0),(COLUMN()-1)/2), 1),"")</f>
        <v/>
      </c>
      <c r="X421" s="137"/>
      <c r="Y421" s="58" t="str" cm="1">
        <f>IFERROR(INDEX(List_Predictors, INDEX(Array_PredictorsLookup,MATCH($A421,List_PredictorFacilities,0),(COLUMN()-1)/2), 1),"")</f>
        <v/>
      </c>
      <c r="Z421" s="137"/>
      <c r="AA421" s="58" t="str" cm="1">
        <f>IFERROR(INDEX(List_Predictors, INDEX(Array_PredictorsLookup,MATCH($A421,List_PredictorFacilities,0),(COLUMN()-1)/2), 1),"")</f>
        <v/>
      </c>
      <c r="AB421" s="137"/>
      <c r="AC421" s="58" t="str" cm="1">
        <f>IFERROR(INDEX(List_Predictors, INDEX(Array_PredictorsLookup,MATCH($A421,List_PredictorFacilities,0),(COLUMN()-1)/2), 1),"")</f>
        <v/>
      </c>
      <c r="AD421" s="137"/>
      <c r="AE421" s="58" t="str" cm="1">
        <f>IFERROR(INDEX(List_Predictors, INDEX(Array_PredictorsLookup,MATCH($A421,List_PredictorFacilities,0),(COLUMN()-1)/2), 1),"")</f>
        <v/>
      </c>
      <c r="AF421" s="137"/>
    </row>
    <row r="422" spans="1:32" x14ac:dyDescent="0.3">
      <c r="A422" s="126"/>
      <c r="B422" s="141"/>
      <c r="C422" s="58" t="str" cm="1">
        <f>IFERROR(INDEX(List_Predictors, INDEX(Array_PredictorsLookup,MATCH($A422,List_PredictorFacilities,0),(COLUMN()-1)/2), 1),"")</f>
        <v/>
      </c>
      <c r="D422" s="137"/>
      <c r="E422" s="58" t="str" cm="1">
        <f>IFERROR(INDEX(List_Predictors, INDEX(Array_PredictorsLookup,MATCH($A422,List_PredictorFacilities,0),(COLUMN()-1)/2), 1),"")</f>
        <v/>
      </c>
      <c r="F422" s="137"/>
      <c r="G422" s="58" t="str" cm="1">
        <f>IFERROR(INDEX(List_Predictors, INDEX(Array_PredictorsLookup,MATCH($A422,List_PredictorFacilities,0),(COLUMN()-1)/2), 1),"")</f>
        <v/>
      </c>
      <c r="H422" s="137"/>
      <c r="I422" s="58" t="str" cm="1">
        <f>IFERROR(INDEX(List_Predictors, INDEX(Array_PredictorsLookup,MATCH($A422,List_PredictorFacilities,0),(COLUMN()-1)/2), 1),"")</f>
        <v/>
      </c>
      <c r="J422" s="137"/>
      <c r="K422" s="58" t="str" cm="1">
        <f>IFERROR(INDEX(List_Predictors, INDEX(Array_PredictorsLookup,MATCH($A422,List_PredictorFacilities,0),(COLUMN()-1)/2), 1),"")</f>
        <v/>
      </c>
      <c r="L422" s="137"/>
      <c r="M422" s="58" t="str" cm="1">
        <f>IFERROR(INDEX(List_Predictors, INDEX(Array_PredictorsLookup,MATCH($A422,List_PredictorFacilities,0),(COLUMN()-1)/2), 1),"")</f>
        <v/>
      </c>
      <c r="N422" s="137"/>
      <c r="O422" s="58" t="str" cm="1">
        <f>IFERROR(INDEX(List_Predictors, INDEX(Array_PredictorsLookup,MATCH($A422,List_PredictorFacilities,0),(COLUMN()-1)/2), 1),"")</f>
        <v/>
      </c>
      <c r="P422" s="137"/>
      <c r="Q422" s="58" t="str" cm="1">
        <f>IFERROR(INDEX(List_Predictors, INDEX(Array_PredictorsLookup,MATCH($A422,List_PredictorFacilities,0),(COLUMN()-1)/2), 1),"")</f>
        <v/>
      </c>
      <c r="R422" s="137"/>
      <c r="S422" s="58" t="str" cm="1">
        <f>IFERROR(INDEX(List_Predictors, INDEX(Array_PredictorsLookup,MATCH($A422,List_PredictorFacilities,0),(COLUMN()-1)/2), 1),"")</f>
        <v/>
      </c>
      <c r="T422" s="137"/>
      <c r="U422" s="58" t="str" cm="1">
        <f>IFERROR(INDEX(List_Predictors, INDEX(Array_PredictorsLookup,MATCH($A422,List_PredictorFacilities,0),(COLUMN()-1)/2), 1),"")</f>
        <v/>
      </c>
      <c r="V422" s="137"/>
      <c r="W422" s="58" t="str" cm="1">
        <f>IFERROR(INDEX(List_Predictors, INDEX(Array_PredictorsLookup,MATCH($A422,List_PredictorFacilities,0),(COLUMN()-1)/2), 1),"")</f>
        <v/>
      </c>
      <c r="X422" s="137"/>
      <c r="Y422" s="58" t="str" cm="1">
        <f>IFERROR(INDEX(List_Predictors, INDEX(Array_PredictorsLookup,MATCH($A422,List_PredictorFacilities,0),(COLUMN()-1)/2), 1),"")</f>
        <v/>
      </c>
      <c r="Z422" s="137"/>
      <c r="AA422" s="58" t="str" cm="1">
        <f>IFERROR(INDEX(List_Predictors, INDEX(Array_PredictorsLookup,MATCH($A422,List_PredictorFacilities,0),(COLUMN()-1)/2), 1),"")</f>
        <v/>
      </c>
      <c r="AB422" s="137"/>
      <c r="AC422" s="58" t="str" cm="1">
        <f>IFERROR(INDEX(List_Predictors, INDEX(Array_PredictorsLookup,MATCH($A422,List_PredictorFacilities,0),(COLUMN()-1)/2), 1),"")</f>
        <v/>
      </c>
      <c r="AD422" s="137"/>
      <c r="AE422" s="58" t="str" cm="1">
        <f>IFERROR(INDEX(List_Predictors, INDEX(Array_PredictorsLookup,MATCH($A422,List_PredictorFacilities,0),(COLUMN()-1)/2), 1),"")</f>
        <v/>
      </c>
      <c r="AF422" s="137"/>
    </row>
    <row r="423" spans="1:32" x14ac:dyDescent="0.3">
      <c r="A423" s="126"/>
      <c r="B423" s="141"/>
      <c r="C423" s="58" t="str" cm="1">
        <f>IFERROR(INDEX(List_Predictors, INDEX(Array_PredictorsLookup,MATCH($A423,List_PredictorFacilities,0),(COLUMN()-1)/2), 1),"")</f>
        <v/>
      </c>
      <c r="D423" s="137"/>
      <c r="E423" s="58" t="str" cm="1">
        <f>IFERROR(INDEX(List_Predictors, INDEX(Array_PredictorsLookup,MATCH($A423,List_PredictorFacilities,0),(COLUMN()-1)/2), 1),"")</f>
        <v/>
      </c>
      <c r="F423" s="137"/>
      <c r="G423" s="58" t="str" cm="1">
        <f>IFERROR(INDEX(List_Predictors, INDEX(Array_PredictorsLookup,MATCH($A423,List_PredictorFacilities,0),(COLUMN()-1)/2), 1),"")</f>
        <v/>
      </c>
      <c r="H423" s="137"/>
      <c r="I423" s="58" t="str" cm="1">
        <f>IFERROR(INDEX(List_Predictors, INDEX(Array_PredictorsLookup,MATCH($A423,List_PredictorFacilities,0),(COLUMN()-1)/2), 1),"")</f>
        <v/>
      </c>
      <c r="J423" s="137"/>
      <c r="K423" s="58" t="str" cm="1">
        <f>IFERROR(INDEX(List_Predictors, INDEX(Array_PredictorsLookup,MATCH($A423,List_PredictorFacilities,0),(COLUMN()-1)/2), 1),"")</f>
        <v/>
      </c>
      <c r="L423" s="137"/>
      <c r="M423" s="58" t="str" cm="1">
        <f>IFERROR(INDEX(List_Predictors, INDEX(Array_PredictorsLookup,MATCH($A423,List_PredictorFacilities,0),(COLUMN()-1)/2), 1),"")</f>
        <v/>
      </c>
      <c r="N423" s="137"/>
      <c r="O423" s="58" t="str" cm="1">
        <f>IFERROR(INDEX(List_Predictors, INDEX(Array_PredictorsLookup,MATCH($A423,List_PredictorFacilities,0),(COLUMN()-1)/2), 1),"")</f>
        <v/>
      </c>
      <c r="P423" s="137"/>
      <c r="Q423" s="58" t="str" cm="1">
        <f>IFERROR(INDEX(List_Predictors, INDEX(Array_PredictorsLookup,MATCH($A423,List_PredictorFacilities,0),(COLUMN()-1)/2), 1),"")</f>
        <v/>
      </c>
      <c r="R423" s="137"/>
      <c r="S423" s="58" t="str" cm="1">
        <f>IFERROR(INDEX(List_Predictors, INDEX(Array_PredictorsLookup,MATCH($A423,List_PredictorFacilities,0),(COLUMN()-1)/2), 1),"")</f>
        <v/>
      </c>
      <c r="T423" s="137"/>
      <c r="U423" s="58" t="str" cm="1">
        <f>IFERROR(INDEX(List_Predictors, INDEX(Array_PredictorsLookup,MATCH($A423,List_PredictorFacilities,0),(COLUMN()-1)/2), 1),"")</f>
        <v/>
      </c>
      <c r="V423" s="137"/>
      <c r="W423" s="58" t="str" cm="1">
        <f>IFERROR(INDEX(List_Predictors, INDEX(Array_PredictorsLookup,MATCH($A423,List_PredictorFacilities,0),(COLUMN()-1)/2), 1),"")</f>
        <v/>
      </c>
      <c r="X423" s="137"/>
      <c r="Y423" s="58" t="str" cm="1">
        <f>IFERROR(INDEX(List_Predictors, INDEX(Array_PredictorsLookup,MATCH($A423,List_PredictorFacilities,0),(COLUMN()-1)/2), 1),"")</f>
        <v/>
      </c>
      <c r="Z423" s="137"/>
      <c r="AA423" s="58" t="str" cm="1">
        <f>IFERROR(INDEX(List_Predictors, INDEX(Array_PredictorsLookup,MATCH($A423,List_PredictorFacilities,0),(COLUMN()-1)/2), 1),"")</f>
        <v/>
      </c>
      <c r="AB423" s="137"/>
      <c r="AC423" s="58" t="str" cm="1">
        <f>IFERROR(INDEX(List_Predictors, INDEX(Array_PredictorsLookup,MATCH($A423,List_PredictorFacilities,0),(COLUMN()-1)/2), 1),"")</f>
        <v/>
      </c>
      <c r="AD423" s="137"/>
      <c r="AE423" s="58" t="str" cm="1">
        <f>IFERROR(INDEX(List_Predictors, INDEX(Array_PredictorsLookup,MATCH($A423,List_PredictorFacilities,0),(COLUMN()-1)/2), 1),"")</f>
        <v/>
      </c>
      <c r="AF423" s="137"/>
    </row>
    <row r="424" spans="1:32" x14ac:dyDescent="0.3">
      <c r="A424" s="126"/>
      <c r="B424" s="141"/>
      <c r="C424" s="58" t="str" cm="1">
        <f>IFERROR(INDEX(List_Predictors, INDEX(Array_PredictorsLookup,MATCH($A424,List_PredictorFacilities,0),(COLUMN()-1)/2), 1),"")</f>
        <v/>
      </c>
      <c r="D424" s="137"/>
      <c r="E424" s="58" t="str" cm="1">
        <f>IFERROR(INDEX(List_Predictors, INDEX(Array_PredictorsLookup,MATCH($A424,List_PredictorFacilities,0),(COLUMN()-1)/2), 1),"")</f>
        <v/>
      </c>
      <c r="F424" s="137"/>
      <c r="G424" s="58" t="str" cm="1">
        <f>IFERROR(INDEX(List_Predictors, INDEX(Array_PredictorsLookup,MATCH($A424,List_PredictorFacilities,0),(COLUMN()-1)/2), 1),"")</f>
        <v/>
      </c>
      <c r="H424" s="137"/>
      <c r="I424" s="58" t="str" cm="1">
        <f>IFERROR(INDEX(List_Predictors, INDEX(Array_PredictorsLookup,MATCH($A424,List_PredictorFacilities,0),(COLUMN()-1)/2), 1),"")</f>
        <v/>
      </c>
      <c r="J424" s="137"/>
      <c r="K424" s="58" t="str" cm="1">
        <f>IFERROR(INDEX(List_Predictors, INDEX(Array_PredictorsLookup,MATCH($A424,List_PredictorFacilities,0),(COLUMN()-1)/2), 1),"")</f>
        <v/>
      </c>
      <c r="L424" s="137"/>
      <c r="M424" s="58" t="str" cm="1">
        <f>IFERROR(INDEX(List_Predictors, INDEX(Array_PredictorsLookup,MATCH($A424,List_PredictorFacilities,0),(COLUMN()-1)/2), 1),"")</f>
        <v/>
      </c>
      <c r="N424" s="137"/>
      <c r="O424" s="58" t="str" cm="1">
        <f>IFERROR(INDEX(List_Predictors, INDEX(Array_PredictorsLookup,MATCH($A424,List_PredictorFacilities,0),(COLUMN()-1)/2), 1),"")</f>
        <v/>
      </c>
      <c r="P424" s="137"/>
      <c r="Q424" s="58" t="str" cm="1">
        <f>IFERROR(INDEX(List_Predictors, INDEX(Array_PredictorsLookup,MATCH($A424,List_PredictorFacilities,0),(COLUMN()-1)/2), 1),"")</f>
        <v/>
      </c>
      <c r="R424" s="137"/>
      <c r="S424" s="58" t="str" cm="1">
        <f>IFERROR(INDEX(List_Predictors, INDEX(Array_PredictorsLookup,MATCH($A424,List_PredictorFacilities,0),(COLUMN()-1)/2), 1),"")</f>
        <v/>
      </c>
      <c r="T424" s="137"/>
      <c r="U424" s="58" t="str" cm="1">
        <f>IFERROR(INDEX(List_Predictors, INDEX(Array_PredictorsLookup,MATCH($A424,List_PredictorFacilities,0),(COLUMN()-1)/2), 1),"")</f>
        <v/>
      </c>
      <c r="V424" s="137"/>
      <c r="W424" s="58" t="str" cm="1">
        <f>IFERROR(INDEX(List_Predictors, INDEX(Array_PredictorsLookup,MATCH($A424,List_PredictorFacilities,0),(COLUMN()-1)/2), 1),"")</f>
        <v/>
      </c>
      <c r="X424" s="137"/>
      <c r="Y424" s="58" t="str" cm="1">
        <f>IFERROR(INDEX(List_Predictors, INDEX(Array_PredictorsLookup,MATCH($A424,List_PredictorFacilities,0),(COLUMN()-1)/2), 1),"")</f>
        <v/>
      </c>
      <c r="Z424" s="137"/>
      <c r="AA424" s="58" t="str" cm="1">
        <f>IFERROR(INDEX(List_Predictors, INDEX(Array_PredictorsLookup,MATCH($A424,List_PredictorFacilities,0),(COLUMN()-1)/2), 1),"")</f>
        <v/>
      </c>
      <c r="AB424" s="137"/>
      <c r="AC424" s="58" t="str" cm="1">
        <f>IFERROR(INDEX(List_Predictors, INDEX(Array_PredictorsLookup,MATCH($A424,List_PredictorFacilities,0),(COLUMN()-1)/2), 1),"")</f>
        <v/>
      </c>
      <c r="AD424" s="137"/>
      <c r="AE424" s="58" t="str" cm="1">
        <f>IFERROR(INDEX(List_Predictors, INDEX(Array_PredictorsLookup,MATCH($A424,List_PredictorFacilities,0),(COLUMN()-1)/2), 1),"")</f>
        <v/>
      </c>
      <c r="AF424" s="137"/>
    </row>
    <row r="425" spans="1:32" x14ac:dyDescent="0.3">
      <c r="A425" s="126"/>
      <c r="B425" s="141"/>
      <c r="C425" s="58" t="str" cm="1">
        <f>IFERROR(INDEX(List_Predictors, INDEX(Array_PredictorsLookup,MATCH($A425,List_PredictorFacilities,0),(COLUMN()-1)/2), 1),"")</f>
        <v/>
      </c>
      <c r="D425" s="137"/>
      <c r="E425" s="58" t="str" cm="1">
        <f>IFERROR(INDEX(List_Predictors, INDEX(Array_PredictorsLookup,MATCH($A425,List_PredictorFacilities,0),(COLUMN()-1)/2), 1),"")</f>
        <v/>
      </c>
      <c r="F425" s="137"/>
      <c r="G425" s="58" t="str" cm="1">
        <f>IFERROR(INDEX(List_Predictors, INDEX(Array_PredictorsLookup,MATCH($A425,List_PredictorFacilities,0),(COLUMN()-1)/2), 1),"")</f>
        <v/>
      </c>
      <c r="H425" s="137"/>
      <c r="I425" s="58" t="str" cm="1">
        <f>IFERROR(INDEX(List_Predictors, INDEX(Array_PredictorsLookup,MATCH($A425,List_PredictorFacilities,0),(COLUMN()-1)/2), 1),"")</f>
        <v/>
      </c>
      <c r="J425" s="137"/>
      <c r="K425" s="58" t="str" cm="1">
        <f>IFERROR(INDEX(List_Predictors, INDEX(Array_PredictorsLookup,MATCH($A425,List_PredictorFacilities,0),(COLUMN()-1)/2), 1),"")</f>
        <v/>
      </c>
      <c r="L425" s="137"/>
      <c r="M425" s="58" t="str" cm="1">
        <f>IFERROR(INDEX(List_Predictors, INDEX(Array_PredictorsLookup,MATCH($A425,List_PredictorFacilities,0),(COLUMN()-1)/2), 1),"")</f>
        <v/>
      </c>
      <c r="N425" s="137"/>
      <c r="O425" s="58" t="str" cm="1">
        <f>IFERROR(INDEX(List_Predictors, INDEX(Array_PredictorsLookup,MATCH($A425,List_PredictorFacilities,0),(COLUMN()-1)/2), 1),"")</f>
        <v/>
      </c>
      <c r="P425" s="137"/>
      <c r="Q425" s="58" t="str" cm="1">
        <f>IFERROR(INDEX(List_Predictors, INDEX(Array_PredictorsLookup,MATCH($A425,List_PredictorFacilities,0),(COLUMN()-1)/2), 1),"")</f>
        <v/>
      </c>
      <c r="R425" s="137"/>
      <c r="S425" s="58" t="str" cm="1">
        <f>IFERROR(INDEX(List_Predictors, INDEX(Array_PredictorsLookup,MATCH($A425,List_PredictorFacilities,0),(COLUMN()-1)/2), 1),"")</f>
        <v/>
      </c>
      <c r="T425" s="137"/>
      <c r="U425" s="58" t="str" cm="1">
        <f>IFERROR(INDEX(List_Predictors, INDEX(Array_PredictorsLookup,MATCH($A425,List_PredictorFacilities,0),(COLUMN()-1)/2), 1),"")</f>
        <v/>
      </c>
      <c r="V425" s="137"/>
      <c r="W425" s="58" t="str" cm="1">
        <f>IFERROR(INDEX(List_Predictors, INDEX(Array_PredictorsLookup,MATCH($A425,List_PredictorFacilities,0),(COLUMN()-1)/2), 1),"")</f>
        <v/>
      </c>
      <c r="X425" s="137"/>
      <c r="Y425" s="58" t="str" cm="1">
        <f>IFERROR(INDEX(List_Predictors, INDEX(Array_PredictorsLookup,MATCH($A425,List_PredictorFacilities,0),(COLUMN()-1)/2), 1),"")</f>
        <v/>
      </c>
      <c r="Z425" s="137"/>
      <c r="AA425" s="58" t="str" cm="1">
        <f>IFERROR(INDEX(List_Predictors, INDEX(Array_PredictorsLookup,MATCH($A425,List_PredictorFacilities,0),(COLUMN()-1)/2), 1),"")</f>
        <v/>
      </c>
      <c r="AB425" s="137"/>
      <c r="AC425" s="58" t="str" cm="1">
        <f>IFERROR(INDEX(List_Predictors, INDEX(Array_PredictorsLookup,MATCH($A425,List_PredictorFacilities,0),(COLUMN()-1)/2), 1),"")</f>
        <v/>
      </c>
      <c r="AD425" s="137"/>
      <c r="AE425" s="58" t="str" cm="1">
        <f>IFERROR(INDEX(List_Predictors, INDEX(Array_PredictorsLookup,MATCH($A425,List_PredictorFacilities,0),(COLUMN()-1)/2), 1),"")</f>
        <v/>
      </c>
      <c r="AF425" s="137"/>
    </row>
    <row r="426" spans="1:32" x14ac:dyDescent="0.3">
      <c r="A426" s="126"/>
      <c r="B426" s="141"/>
      <c r="C426" s="58" t="str" cm="1">
        <f>IFERROR(INDEX(List_Predictors, INDEX(Array_PredictorsLookup,MATCH($A426,List_PredictorFacilities,0),(COLUMN()-1)/2), 1),"")</f>
        <v/>
      </c>
      <c r="D426" s="137"/>
      <c r="E426" s="58" t="str" cm="1">
        <f>IFERROR(INDEX(List_Predictors, INDEX(Array_PredictorsLookup,MATCH($A426,List_PredictorFacilities,0),(COLUMN()-1)/2), 1),"")</f>
        <v/>
      </c>
      <c r="F426" s="137"/>
      <c r="G426" s="58" t="str" cm="1">
        <f>IFERROR(INDEX(List_Predictors, INDEX(Array_PredictorsLookup,MATCH($A426,List_PredictorFacilities,0),(COLUMN()-1)/2), 1),"")</f>
        <v/>
      </c>
      <c r="H426" s="137"/>
      <c r="I426" s="58" t="str" cm="1">
        <f>IFERROR(INDEX(List_Predictors, INDEX(Array_PredictorsLookup,MATCH($A426,List_PredictorFacilities,0),(COLUMN()-1)/2), 1),"")</f>
        <v/>
      </c>
      <c r="J426" s="137"/>
      <c r="K426" s="58" t="str" cm="1">
        <f>IFERROR(INDEX(List_Predictors, INDEX(Array_PredictorsLookup,MATCH($A426,List_PredictorFacilities,0),(COLUMN()-1)/2), 1),"")</f>
        <v/>
      </c>
      <c r="L426" s="137"/>
      <c r="M426" s="58" t="str" cm="1">
        <f>IFERROR(INDEX(List_Predictors, INDEX(Array_PredictorsLookup,MATCH($A426,List_PredictorFacilities,0),(COLUMN()-1)/2), 1),"")</f>
        <v/>
      </c>
      <c r="N426" s="137"/>
      <c r="O426" s="58" t="str" cm="1">
        <f>IFERROR(INDEX(List_Predictors, INDEX(Array_PredictorsLookup,MATCH($A426,List_PredictorFacilities,0),(COLUMN()-1)/2), 1),"")</f>
        <v/>
      </c>
      <c r="P426" s="137"/>
      <c r="Q426" s="58" t="str" cm="1">
        <f>IFERROR(INDEX(List_Predictors, INDEX(Array_PredictorsLookup,MATCH($A426,List_PredictorFacilities,0),(COLUMN()-1)/2), 1),"")</f>
        <v/>
      </c>
      <c r="R426" s="137"/>
      <c r="S426" s="58" t="str" cm="1">
        <f>IFERROR(INDEX(List_Predictors, INDEX(Array_PredictorsLookup,MATCH($A426,List_PredictorFacilities,0),(COLUMN()-1)/2), 1),"")</f>
        <v/>
      </c>
      <c r="T426" s="137"/>
      <c r="U426" s="58" t="str" cm="1">
        <f>IFERROR(INDEX(List_Predictors, INDEX(Array_PredictorsLookup,MATCH($A426,List_PredictorFacilities,0),(COLUMN()-1)/2), 1),"")</f>
        <v/>
      </c>
      <c r="V426" s="137"/>
      <c r="W426" s="58" t="str" cm="1">
        <f>IFERROR(INDEX(List_Predictors, INDEX(Array_PredictorsLookup,MATCH($A426,List_PredictorFacilities,0),(COLUMN()-1)/2), 1),"")</f>
        <v/>
      </c>
      <c r="X426" s="137"/>
      <c r="Y426" s="58" t="str" cm="1">
        <f>IFERROR(INDEX(List_Predictors, INDEX(Array_PredictorsLookup,MATCH($A426,List_PredictorFacilities,0),(COLUMN()-1)/2), 1),"")</f>
        <v/>
      </c>
      <c r="Z426" s="137"/>
      <c r="AA426" s="58" t="str" cm="1">
        <f>IFERROR(INDEX(List_Predictors, INDEX(Array_PredictorsLookup,MATCH($A426,List_PredictorFacilities,0),(COLUMN()-1)/2), 1),"")</f>
        <v/>
      </c>
      <c r="AB426" s="137"/>
      <c r="AC426" s="58" t="str" cm="1">
        <f>IFERROR(INDEX(List_Predictors, INDEX(Array_PredictorsLookup,MATCH($A426,List_PredictorFacilities,0),(COLUMN()-1)/2), 1),"")</f>
        <v/>
      </c>
      <c r="AD426" s="137"/>
      <c r="AE426" s="58" t="str" cm="1">
        <f>IFERROR(INDEX(List_Predictors, INDEX(Array_PredictorsLookup,MATCH($A426,List_PredictorFacilities,0),(COLUMN()-1)/2), 1),"")</f>
        <v/>
      </c>
      <c r="AF426" s="137"/>
    </row>
    <row r="427" spans="1:32" x14ac:dyDescent="0.3">
      <c r="A427" s="126"/>
      <c r="B427" s="141"/>
      <c r="C427" s="58" t="str" cm="1">
        <f>IFERROR(INDEX(List_Predictors, INDEX(Array_PredictorsLookup,MATCH($A427,List_PredictorFacilities,0),(COLUMN()-1)/2), 1),"")</f>
        <v/>
      </c>
      <c r="D427" s="137"/>
      <c r="E427" s="58" t="str" cm="1">
        <f>IFERROR(INDEX(List_Predictors, INDEX(Array_PredictorsLookup,MATCH($A427,List_PredictorFacilities,0),(COLUMN()-1)/2), 1),"")</f>
        <v/>
      </c>
      <c r="F427" s="137"/>
      <c r="G427" s="58" t="str" cm="1">
        <f>IFERROR(INDEX(List_Predictors, INDEX(Array_PredictorsLookup,MATCH($A427,List_PredictorFacilities,0),(COLUMN()-1)/2), 1),"")</f>
        <v/>
      </c>
      <c r="H427" s="137"/>
      <c r="I427" s="58" t="str" cm="1">
        <f>IFERROR(INDEX(List_Predictors, INDEX(Array_PredictorsLookup,MATCH($A427,List_PredictorFacilities,0),(COLUMN()-1)/2), 1),"")</f>
        <v/>
      </c>
      <c r="J427" s="137"/>
      <c r="K427" s="58" t="str" cm="1">
        <f>IFERROR(INDEX(List_Predictors, INDEX(Array_PredictorsLookup,MATCH($A427,List_PredictorFacilities,0),(COLUMN()-1)/2), 1),"")</f>
        <v/>
      </c>
      <c r="L427" s="137"/>
      <c r="M427" s="58" t="str" cm="1">
        <f>IFERROR(INDEX(List_Predictors, INDEX(Array_PredictorsLookup,MATCH($A427,List_PredictorFacilities,0),(COLUMN()-1)/2), 1),"")</f>
        <v/>
      </c>
      <c r="N427" s="137"/>
      <c r="O427" s="58" t="str" cm="1">
        <f>IFERROR(INDEX(List_Predictors, INDEX(Array_PredictorsLookup,MATCH($A427,List_PredictorFacilities,0),(COLUMN()-1)/2), 1),"")</f>
        <v/>
      </c>
      <c r="P427" s="137"/>
      <c r="Q427" s="58" t="str" cm="1">
        <f>IFERROR(INDEX(List_Predictors, INDEX(Array_PredictorsLookup,MATCH($A427,List_PredictorFacilities,0),(COLUMN()-1)/2), 1),"")</f>
        <v/>
      </c>
      <c r="R427" s="137"/>
      <c r="S427" s="58" t="str" cm="1">
        <f>IFERROR(INDEX(List_Predictors, INDEX(Array_PredictorsLookup,MATCH($A427,List_PredictorFacilities,0),(COLUMN()-1)/2), 1),"")</f>
        <v/>
      </c>
      <c r="T427" s="137"/>
      <c r="U427" s="58" t="str" cm="1">
        <f>IFERROR(INDEX(List_Predictors, INDEX(Array_PredictorsLookup,MATCH($A427,List_PredictorFacilities,0),(COLUMN()-1)/2), 1),"")</f>
        <v/>
      </c>
      <c r="V427" s="137"/>
      <c r="W427" s="58" t="str" cm="1">
        <f>IFERROR(INDEX(List_Predictors, INDEX(Array_PredictorsLookup,MATCH($A427,List_PredictorFacilities,0),(COLUMN()-1)/2), 1),"")</f>
        <v/>
      </c>
      <c r="X427" s="137"/>
      <c r="Y427" s="58" t="str" cm="1">
        <f>IFERROR(INDEX(List_Predictors, INDEX(Array_PredictorsLookup,MATCH($A427,List_PredictorFacilities,0),(COLUMN()-1)/2), 1),"")</f>
        <v/>
      </c>
      <c r="Z427" s="137"/>
      <c r="AA427" s="58" t="str" cm="1">
        <f>IFERROR(INDEX(List_Predictors, INDEX(Array_PredictorsLookup,MATCH($A427,List_PredictorFacilities,0),(COLUMN()-1)/2), 1),"")</f>
        <v/>
      </c>
      <c r="AB427" s="137"/>
      <c r="AC427" s="58" t="str" cm="1">
        <f>IFERROR(INDEX(List_Predictors, INDEX(Array_PredictorsLookup,MATCH($A427,List_PredictorFacilities,0),(COLUMN()-1)/2), 1),"")</f>
        <v/>
      </c>
      <c r="AD427" s="137"/>
      <c r="AE427" s="58" t="str" cm="1">
        <f>IFERROR(INDEX(List_Predictors, INDEX(Array_PredictorsLookup,MATCH($A427,List_PredictorFacilities,0),(COLUMN()-1)/2), 1),"")</f>
        <v/>
      </c>
      <c r="AF427" s="137"/>
    </row>
    <row r="428" spans="1:32" x14ac:dyDescent="0.3">
      <c r="A428" s="126"/>
      <c r="B428" s="141"/>
      <c r="C428" s="58" t="str" cm="1">
        <f>IFERROR(INDEX(List_Predictors, INDEX(Array_PredictorsLookup,MATCH($A428,List_PredictorFacilities,0),(COLUMN()-1)/2), 1),"")</f>
        <v/>
      </c>
      <c r="D428" s="137"/>
      <c r="E428" s="58" t="str" cm="1">
        <f>IFERROR(INDEX(List_Predictors, INDEX(Array_PredictorsLookup,MATCH($A428,List_PredictorFacilities,0),(COLUMN()-1)/2), 1),"")</f>
        <v/>
      </c>
      <c r="F428" s="137"/>
      <c r="G428" s="58" t="str" cm="1">
        <f>IFERROR(INDEX(List_Predictors, INDEX(Array_PredictorsLookup,MATCH($A428,List_PredictorFacilities,0),(COLUMN()-1)/2), 1),"")</f>
        <v/>
      </c>
      <c r="H428" s="137"/>
      <c r="I428" s="58" t="str" cm="1">
        <f>IFERROR(INDEX(List_Predictors, INDEX(Array_PredictorsLookup,MATCH($A428,List_PredictorFacilities,0),(COLUMN()-1)/2), 1),"")</f>
        <v/>
      </c>
      <c r="J428" s="137"/>
      <c r="K428" s="58" t="str" cm="1">
        <f>IFERROR(INDEX(List_Predictors, INDEX(Array_PredictorsLookup,MATCH($A428,List_PredictorFacilities,0),(COLUMN()-1)/2), 1),"")</f>
        <v/>
      </c>
      <c r="L428" s="137"/>
      <c r="M428" s="58" t="str" cm="1">
        <f>IFERROR(INDEX(List_Predictors, INDEX(Array_PredictorsLookup,MATCH($A428,List_PredictorFacilities,0),(COLUMN()-1)/2), 1),"")</f>
        <v/>
      </c>
      <c r="N428" s="137"/>
      <c r="O428" s="58" t="str" cm="1">
        <f>IFERROR(INDEX(List_Predictors, INDEX(Array_PredictorsLookup,MATCH($A428,List_PredictorFacilities,0),(COLUMN()-1)/2), 1),"")</f>
        <v/>
      </c>
      <c r="P428" s="137"/>
      <c r="Q428" s="58" t="str" cm="1">
        <f>IFERROR(INDEX(List_Predictors, INDEX(Array_PredictorsLookup,MATCH($A428,List_PredictorFacilities,0),(COLUMN()-1)/2), 1),"")</f>
        <v/>
      </c>
      <c r="R428" s="137"/>
      <c r="S428" s="58" t="str" cm="1">
        <f>IFERROR(INDEX(List_Predictors, INDEX(Array_PredictorsLookup,MATCH($A428,List_PredictorFacilities,0),(COLUMN()-1)/2), 1),"")</f>
        <v/>
      </c>
      <c r="T428" s="137"/>
      <c r="U428" s="58" t="str" cm="1">
        <f>IFERROR(INDEX(List_Predictors, INDEX(Array_PredictorsLookup,MATCH($A428,List_PredictorFacilities,0),(COLUMN()-1)/2), 1),"")</f>
        <v/>
      </c>
      <c r="V428" s="137"/>
      <c r="W428" s="58" t="str" cm="1">
        <f>IFERROR(INDEX(List_Predictors, INDEX(Array_PredictorsLookup,MATCH($A428,List_PredictorFacilities,0),(COLUMN()-1)/2), 1),"")</f>
        <v/>
      </c>
      <c r="X428" s="137"/>
      <c r="Y428" s="58" t="str" cm="1">
        <f>IFERROR(INDEX(List_Predictors, INDEX(Array_PredictorsLookup,MATCH($A428,List_PredictorFacilities,0),(COLUMN()-1)/2), 1),"")</f>
        <v/>
      </c>
      <c r="Z428" s="137"/>
      <c r="AA428" s="58" t="str" cm="1">
        <f>IFERROR(INDEX(List_Predictors, INDEX(Array_PredictorsLookup,MATCH($A428,List_PredictorFacilities,0),(COLUMN()-1)/2), 1),"")</f>
        <v/>
      </c>
      <c r="AB428" s="137"/>
      <c r="AC428" s="58" t="str" cm="1">
        <f>IFERROR(INDEX(List_Predictors, INDEX(Array_PredictorsLookup,MATCH($A428,List_PredictorFacilities,0),(COLUMN()-1)/2), 1),"")</f>
        <v/>
      </c>
      <c r="AD428" s="137"/>
      <c r="AE428" s="58" t="str" cm="1">
        <f>IFERROR(INDEX(List_Predictors, INDEX(Array_PredictorsLookup,MATCH($A428,List_PredictorFacilities,0),(COLUMN()-1)/2), 1),"")</f>
        <v/>
      </c>
      <c r="AF428" s="137"/>
    </row>
    <row r="429" spans="1:32" x14ac:dyDescent="0.3">
      <c r="A429" s="126"/>
      <c r="B429" s="141"/>
      <c r="C429" s="58" t="str" cm="1">
        <f>IFERROR(INDEX(List_Predictors, INDEX(Array_PredictorsLookup,MATCH($A429,List_PredictorFacilities,0),(COLUMN()-1)/2), 1),"")</f>
        <v/>
      </c>
      <c r="D429" s="137"/>
      <c r="E429" s="58" t="str" cm="1">
        <f>IFERROR(INDEX(List_Predictors, INDEX(Array_PredictorsLookup,MATCH($A429,List_PredictorFacilities,0),(COLUMN()-1)/2), 1),"")</f>
        <v/>
      </c>
      <c r="F429" s="137"/>
      <c r="G429" s="58" t="str" cm="1">
        <f>IFERROR(INDEX(List_Predictors, INDEX(Array_PredictorsLookup,MATCH($A429,List_PredictorFacilities,0),(COLUMN()-1)/2), 1),"")</f>
        <v/>
      </c>
      <c r="H429" s="137"/>
      <c r="I429" s="58" t="str" cm="1">
        <f>IFERROR(INDEX(List_Predictors, INDEX(Array_PredictorsLookup,MATCH($A429,List_PredictorFacilities,0),(COLUMN()-1)/2), 1),"")</f>
        <v/>
      </c>
      <c r="J429" s="137"/>
      <c r="K429" s="58" t="str" cm="1">
        <f>IFERROR(INDEX(List_Predictors, INDEX(Array_PredictorsLookup,MATCH($A429,List_PredictorFacilities,0),(COLUMN()-1)/2), 1),"")</f>
        <v/>
      </c>
      <c r="L429" s="137"/>
      <c r="M429" s="58" t="str" cm="1">
        <f>IFERROR(INDEX(List_Predictors, INDEX(Array_PredictorsLookup,MATCH($A429,List_PredictorFacilities,0),(COLUMN()-1)/2), 1),"")</f>
        <v/>
      </c>
      <c r="N429" s="137"/>
      <c r="O429" s="58" t="str" cm="1">
        <f>IFERROR(INDEX(List_Predictors, INDEX(Array_PredictorsLookup,MATCH($A429,List_PredictorFacilities,0),(COLUMN()-1)/2), 1),"")</f>
        <v/>
      </c>
      <c r="P429" s="137"/>
      <c r="Q429" s="58" t="str" cm="1">
        <f>IFERROR(INDEX(List_Predictors, INDEX(Array_PredictorsLookup,MATCH($A429,List_PredictorFacilities,0),(COLUMN()-1)/2), 1),"")</f>
        <v/>
      </c>
      <c r="R429" s="137"/>
      <c r="S429" s="58" t="str" cm="1">
        <f>IFERROR(INDEX(List_Predictors, INDEX(Array_PredictorsLookup,MATCH($A429,List_PredictorFacilities,0),(COLUMN()-1)/2), 1),"")</f>
        <v/>
      </c>
      <c r="T429" s="137"/>
      <c r="U429" s="58" t="str" cm="1">
        <f>IFERROR(INDEX(List_Predictors, INDEX(Array_PredictorsLookup,MATCH($A429,List_PredictorFacilities,0),(COLUMN()-1)/2), 1),"")</f>
        <v/>
      </c>
      <c r="V429" s="137"/>
      <c r="W429" s="58" t="str" cm="1">
        <f>IFERROR(INDEX(List_Predictors, INDEX(Array_PredictorsLookup,MATCH($A429,List_PredictorFacilities,0),(COLUMN()-1)/2), 1),"")</f>
        <v/>
      </c>
      <c r="X429" s="137"/>
      <c r="Y429" s="58" t="str" cm="1">
        <f>IFERROR(INDEX(List_Predictors, INDEX(Array_PredictorsLookup,MATCH($A429,List_PredictorFacilities,0),(COLUMN()-1)/2), 1),"")</f>
        <v/>
      </c>
      <c r="Z429" s="137"/>
      <c r="AA429" s="58" t="str" cm="1">
        <f>IFERROR(INDEX(List_Predictors, INDEX(Array_PredictorsLookup,MATCH($A429,List_PredictorFacilities,0),(COLUMN()-1)/2), 1),"")</f>
        <v/>
      </c>
      <c r="AB429" s="137"/>
      <c r="AC429" s="58" t="str" cm="1">
        <f>IFERROR(INDEX(List_Predictors, INDEX(Array_PredictorsLookup,MATCH($A429,List_PredictorFacilities,0),(COLUMN()-1)/2), 1),"")</f>
        <v/>
      </c>
      <c r="AD429" s="137"/>
      <c r="AE429" s="58" t="str" cm="1">
        <f>IFERROR(INDEX(List_Predictors, INDEX(Array_PredictorsLookup,MATCH($A429,List_PredictorFacilities,0),(COLUMN()-1)/2), 1),"")</f>
        <v/>
      </c>
      <c r="AF429" s="137"/>
    </row>
    <row r="430" spans="1:32" x14ac:dyDescent="0.3">
      <c r="A430" s="126"/>
      <c r="B430" s="141"/>
      <c r="C430" s="58" t="str" cm="1">
        <f>IFERROR(INDEX(List_Predictors, INDEX(Array_PredictorsLookup,MATCH($A430,List_PredictorFacilities,0),(COLUMN()-1)/2), 1),"")</f>
        <v/>
      </c>
      <c r="D430" s="137"/>
      <c r="E430" s="58" t="str" cm="1">
        <f>IFERROR(INDEX(List_Predictors, INDEX(Array_PredictorsLookup,MATCH($A430,List_PredictorFacilities,0),(COLUMN()-1)/2), 1),"")</f>
        <v/>
      </c>
      <c r="F430" s="137"/>
      <c r="G430" s="58" t="str" cm="1">
        <f>IFERROR(INDEX(List_Predictors, INDEX(Array_PredictorsLookup,MATCH($A430,List_PredictorFacilities,0),(COLUMN()-1)/2), 1),"")</f>
        <v/>
      </c>
      <c r="H430" s="137"/>
      <c r="I430" s="58" t="str" cm="1">
        <f>IFERROR(INDEX(List_Predictors, INDEX(Array_PredictorsLookup,MATCH($A430,List_PredictorFacilities,0),(COLUMN()-1)/2), 1),"")</f>
        <v/>
      </c>
      <c r="J430" s="137"/>
      <c r="K430" s="58" t="str" cm="1">
        <f>IFERROR(INDEX(List_Predictors, INDEX(Array_PredictorsLookup,MATCH($A430,List_PredictorFacilities,0),(COLUMN()-1)/2), 1),"")</f>
        <v/>
      </c>
      <c r="L430" s="137"/>
      <c r="M430" s="58" t="str" cm="1">
        <f>IFERROR(INDEX(List_Predictors, INDEX(Array_PredictorsLookup,MATCH($A430,List_PredictorFacilities,0),(COLUMN()-1)/2), 1),"")</f>
        <v/>
      </c>
      <c r="N430" s="137"/>
      <c r="O430" s="58" t="str" cm="1">
        <f>IFERROR(INDEX(List_Predictors, INDEX(Array_PredictorsLookup,MATCH($A430,List_PredictorFacilities,0),(COLUMN()-1)/2), 1),"")</f>
        <v/>
      </c>
      <c r="P430" s="137"/>
      <c r="Q430" s="58" t="str" cm="1">
        <f>IFERROR(INDEX(List_Predictors, INDEX(Array_PredictorsLookup,MATCH($A430,List_PredictorFacilities,0),(COLUMN()-1)/2), 1),"")</f>
        <v/>
      </c>
      <c r="R430" s="137"/>
      <c r="S430" s="58" t="str" cm="1">
        <f>IFERROR(INDEX(List_Predictors, INDEX(Array_PredictorsLookup,MATCH($A430,List_PredictorFacilities,0),(COLUMN()-1)/2), 1),"")</f>
        <v/>
      </c>
      <c r="T430" s="137"/>
      <c r="U430" s="58" t="str" cm="1">
        <f>IFERROR(INDEX(List_Predictors, INDEX(Array_PredictorsLookup,MATCH($A430,List_PredictorFacilities,0),(COLUMN()-1)/2), 1),"")</f>
        <v/>
      </c>
      <c r="V430" s="137"/>
      <c r="W430" s="58" t="str" cm="1">
        <f>IFERROR(INDEX(List_Predictors, INDEX(Array_PredictorsLookup,MATCH($A430,List_PredictorFacilities,0),(COLUMN()-1)/2), 1),"")</f>
        <v/>
      </c>
      <c r="X430" s="137"/>
      <c r="Y430" s="58" t="str" cm="1">
        <f>IFERROR(INDEX(List_Predictors, INDEX(Array_PredictorsLookup,MATCH($A430,List_PredictorFacilities,0),(COLUMN()-1)/2), 1),"")</f>
        <v/>
      </c>
      <c r="Z430" s="137"/>
      <c r="AA430" s="58" t="str" cm="1">
        <f>IFERROR(INDEX(List_Predictors, INDEX(Array_PredictorsLookup,MATCH($A430,List_PredictorFacilities,0),(COLUMN()-1)/2), 1),"")</f>
        <v/>
      </c>
      <c r="AB430" s="137"/>
      <c r="AC430" s="58" t="str" cm="1">
        <f>IFERROR(INDEX(List_Predictors, INDEX(Array_PredictorsLookup,MATCH($A430,List_PredictorFacilities,0),(COLUMN()-1)/2), 1),"")</f>
        <v/>
      </c>
      <c r="AD430" s="137"/>
      <c r="AE430" s="58" t="str" cm="1">
        <f>IFERROR(INDEX(List_Predictors, INDEX(Array_PredictorsLookup,MATCH($A430,List_PredictorFacilities,0),(COLUMN()-1)/2), 1),"")</f>
        <v/>
      </c>
      <c r="AF430" s="137"/>
    </row>
    <row r="431" spans="1:32" x14ac:dyDescent="0.3">
      <c r="A431" s="126"/>
      <c r="B431" s="141"/>
      <c r="C431" s="58" t="str" cm="1">
        <f>IFERROR(INDEX(List_Predictors, INDEX(Array_PredictorsLookup,MATCH($A431,List_PredictorFacilities,0),(COLUMN()-1)/2), 1),"")</f>
        <v/>
      </c>
      <c r="D431" s="137"/>
      <c r="E431" s="58" t="str" cm="1">
        <f>IFERROR(INDEX(List_Predictors, INDEX(Array_PredictorsLookup,MATCH($A431,List_PredictorFacilities,0),(COLUMN()-1)/2), 1),"")</f>
        <v/>
      </c>
      <c r="F431" s="137"/>
      <c r="G431" s="58" t="str" cm="1">
        <f>IFERROR(INDEX(List_Predictors, INDEX(Array_PredictorsLookup,MATCH($A431,List_PredictorFacilities,0),(COLUMN()-1)/2), 1),"")</f>
        <v/>
      </c>
      <c r="H431" s="137"/>
      <c r="I431" s="58" t="str" cm="1">
        <f>IFERROR(INDEX(List_Predictors, INDEX(Array_PredictorsLookup,MATCH($A431,List_PredictorFacilities,0),(COLUMN()-1)/2), 1),"")</f>
        <v/>
      </c>
      <c r="J431" s="137"/>
      <c r="K431" s="58" t="str" cm="1">
        <f>IFERROR(INDEX(List_Predictors, INDEX(Array_PredictorsLookup,MATCH($A431,List_PredictorFacilities,0),(COLUMN()-1)/2), 1),"")</f>
        <v/>
      </c>
      <c r="L431" s="137"/>
      <c r="M431" s="58" t="str" cm="1">
        <f>IFERROR(INDEX(List_Predictors, INDEX(Array_PredictorsLookup,MATCH($A431,List_PredictorFacilities,0),(COLUMN()-1)/2), 1),"")</f>
        <v/>
      </c>
      <c r="N431" s="137"/>
      <c r="O431" s="58" t="str" cm="1">
        <f>IFERROR(INDEX(List_Predictors, INDEX(Array_PredictorsLookup,MATCH($A431,List_PredictorFacilities,0),(COLUMN()-1)/2), 1),"")</f>
        <v/>
      </c>
      <c r="P431" s="137"/>
      <c r="Q431" s="58" t="str" cm="1">
        <f>IFERROR(INDEX(List_Predictors, INDEX(Array_PredictorsLookup,MATCH($A431,List_PredictorFacilities,0),(COLUMN()-1)/2), 1),"")</f>
        <v/>
      </c>
      <c r="R431" s="137"/>
      <c r="S431" s="58" t="str" cm="1">
        <f>IFERROR(INDEX(List_Predictors, INDEX(Array_PredictorsLookup,MATCH($A431,List_PredictorFacilities,0),(COLUMN()-1)/2), 1),"")</f>
        <v/>
      </c>
      <c r="T431" s="137"/>
      <c r="U431" s="58" t="str" cm="1">
        <f>IFERROR(INDEX(List_Predictors, INDEX(Array_PredictorsLookup,MATCH($A431,List_PredictorFacilities,0),(COLUMN()-1)/2), 1),"")</f>
        <v/>
      </c>
      <c r="V431" s="137"/>
      <c r="W431" s="58" t="str" cm="1">
        <f>IFERROR(INDEX(List_Predictors, INDEX(Array_PredictorsLookup,MATCH($A431,List_PredictorFacilities,0),(COLUMN()-1)/2), 1),"")</f>
        <v/>
      </c>
      <c r="X431" s="137"/>
      <c r="Y431" s="58" t="str" cm="1">
        <f>IFERROR(INDEX(List_Predictors, INDEX(Array_PredictorsLookup,MATCH($A431,List_PredictorFacilities,0),(COLUMN()-1)/2), 1),"")</f>
        <v/>
      </c>
      <c r="Z431" s="137"/>
      <c r="AA431" s="58" t="str" cm="1">
        <f>IFERROR(INDEX(List_Predictors, INDEX(Array_PredictorsLookup,MATCH($A431,List_PredictorFacilities,0),(COLUMN()-1)/2), 1),"")</f>
        <v/>
      </c>
      <c r="AB431" s="137"/>
      <c r="AC431" s="58" t="str" cm="1">
        <f>IFERROR(INDEX(List_Predictors, INDEX(Array_PredictorsLookup,MATCH($A431,List_PredictorFacilities,0),(COLUMN()-1)/2), 1),"")</f>
        <v/>
      </c>
      <c r="AD431" s="137"/>
      <c r="AE431" s="58" t="str" cm="1">
        <f>IFERROR(INDEX(List_Predictors, INDEX(Array_PredictorsLookup,MATCH($A431,List_PredictorFacilities,0),(COLUMN()-1)/2), 1),"")</f>
        <v/>
      </c>
      <c r="AF431" s="137"/>
    </row>
    <row r="432" spans="1:32" x14ac:dyDescent="0.3">
      <c r="A432" s="126"/>
      <c r="B432" s="141"/>
      <c r="C432" s="58" t="str" cm="1">
        <f>IFERROR(INDEX(List_Predictors, INDEX(Array_PredictorsLookup,MATCH($A432,List_PredictorFacilities,0),(COLUMN()-1)/2), 1),"")</f>
        <v/>
      </c>
      <c r="D432" s="137"/>
      <c r="E432" s="58" t="str" cm="1">
        <f>IFERROR(INDEX(List_Predictors, INDEX(Array_PredictorsLookup,MATCH($A432,List_PredictorFacilities,0),(COLUMN()-1)/2), 1),"")</f>
        <v/>
      </c>
      <c r="F432" s="137"/>
      <c r="G432" s="58" t="str" cm="1">
        <f>IFERROR(INDEX(List_Predictors, INDEX(Array_PredictorsLookup,MATCH($A432,List_PredictorFacilities,0),(COLUMN()-1)/2), 1),"")</f>
        <v/>
      </c>
      <c r="H432" s="137"/>
      <c r="I432" s="58" t="str" cm="1">
        <f>IFERROR(INDEX(List_Predictors, INDEX(Array_PredictorsLookup,MATCH($A432,List_PredictorFacilities,0),(COLUMN()-1)/2), 1),"")</f>
        <v/>
      </c>
      <c r="J432" s="137"/>
      <c r="K432" s="58" t="str" cm="1">
        <f>IFERROR(INDEX(List_Predictors, INDEX(Array_PredictorsLookup,MATCH($A432,List_PredictorFacilities,0),(COLUMN()-1)/2), 1),"")</f>
        <v/>
      </c>
      <c r="L432" s="137"/>
      <c r="M432" s="58" t="str" cm="1">
        <f>IFERROR(INDEX(List_Predictors, INDEX(Array_PredictorsLookup,MATCH($A432,List_PredictorFacilities,0),(COLUMN()-1)/2), 1),"")</f>
        <v/>
      </c>
      <c r="N432" s="137"/>
      <c r="O432" s="58" t="str" cm="1">
        <f>IFERROR(INDEX(List_Predictors, INDEX(Array_PredictorsLookup,MATCH($A432,List_PredictorFacilities,0),(COLUMN()-1)/2), 1),"")</f>
        <v/>
      </c>
      <c r="P432" s="137"/>
      <c r="Q432" s="58" t="str" cm="1">
        <f>IFERROR(INDEX(List_Predictors, INDEX(Array_PredictorsLookup,MATCH($A432,List_PredictorFacilities,0),(COLUMN()-1)/2), 1),"")</f>
        <v/>
      </c>
      <c r="R432" s="137"/>
      <c r="S432" s="58" t="str" cm="1">
        <f>IFERROR(INDEX(List_Predictors, INDEX(Array_PredictorsLookup,MATCH($A432,List_PredictorFacilities,0),(COLUMN()-1)/2), 1),"")</f>
        <v/>
      </c>
      <c r="T432" s="137"/>
      <c r="U432" s="58" t="str" cm="1">
        <f>IFERROR(INDEX(List_Predictors, INDEX(Array_PredictorsLookup,MATCH($A432,List_PredictorFacilities,0),(COLUMN()-1)/2), 1),"")</f>
        <v/>
      </c>
      <c r="V432" s="137"/>
      <c r="W432" s="58" t="str" cm="1">
        <f>IFERROR(INDEX(List_Predictors, INDEX(Array_PredictorsLookup,MATCH($A432,List_PredictorFacilities,0),(COLUMN()-1)/2), 1),"")</f>
        <v/>
      </c>
      <c r="X432" s="137"/>
      <c r="Y432" s="58" t="str" cm="1">
        <f>IFERROR(INDEX(List_Predictors, INDEX(Array_PredictorsLookup,MATCH($A432,List_PredictorFacilities,0),(COLUMN()-1)/2), 1),"")</f>
        <v/>
      </c>
      <c r="Z432" s="137"/>
      <c r="AA432" s="58" t="str" cm="1">
        <f>IFERROR(INDEX(List_Predictors, INDEX(Array_PredictorsLookup,MATCH($A432,List_PredictorFacilities,0),(COLUMN()-1)/2), 1),"")</f>
        <v/>
      </c>
      <c r="AB432" s="137"/>
      <c r="AC432" s="58" t="str" cm="1">
        <f>IFERROR(INDEX(List_Predictors, INDEX(Array_PredictorsLookup,MATCH($A432,List_PredictorFacilities,0),(COLUMN()-1)/2), 1),"")</f>
        <v/>
      </c>
      <c r="AD432" s="137"/>
      <c r="AE432" s="58" t="str" cm="1">
        <f>IFERROR(INDEX(List_Predictors, INDEX(Array_PredictorsLookup,MATCH($A432,List_PredictorFacilities,0),(COLUMN()-1)/2), 1),"")</f>
        <v/>
      </c>
      <c r="AF432" s="137"/>
    </row>
    <row r="433" spans="1:32" x14ac:dyDescent="0.3">
      <c r="A433" s="126"/>
      <c r="B433" s="141"/>
      <c r="C433" s="58" t="str" cm="1">
        <f>IFERROR(INDEX(List_Predictors, INDEX(Array_PredictorsLookup,MATCH($A433,List_PredictorFacilities,0),(COLUMN()-1)/2), 1),"")</f>
        <v/>
      </c>
      <c r="D433" s="137"/>
      <c r="E433" s="58" t="str" cm="1">
        <f>IFERROR(INDEX(List_Predictors, INDEX(Array_PredictorsLookup,MATCH($A433,List_PredictorFacilities,0),(COLUMN()-1)/2), 1),"")</f>
        <v/>
      </c>
      <c r="F433" s="137"/>
      <c r="G433" s="58" t="str" cm="1">
        <f>IFERROR(INDEX(List_Predictors, INDEX(Array_PredictorsLookup,MATCH($A433,List_PredictorFacilities,0),(COLUMN()-1)/2), 1),"")</f>
        <v/>
      </c>
      <c r="H433" s="137"/>
      <c r="I433" s="58" t="str" cm="1">
        <f>IFERROR(INDEX(List_Predictors, INDEX(Array_PredictorsLookup,MATCH($A433,List_PredictorFacilities,0),(COLUMN()-1)/2), 1),"")</f>
        <v/>
      </c>
      <c r="J433" s="137"/>
      <c r="K433" s="58" t="str" cm="1">
        <f>IFERROR(INDEX(List_Predictors, INDEX(Array_PredictorsLookup,MATCH($A433,List_PredictorFacilities,0),(COLUMN()-1)/2), 1),"")</f>
        <v/>
      </c>
      <c r="L433" s="137"/>
      <c r="M433" s="58" t="str" cm="1">
        <f>IFERROR(INDEX(List_Predictors, INDEX(Array_PredictorsLookup,MATCH($A433,List_PredictorFacilities,0),(COLUMN()-1)/2), 1),"")</f>
        <v/>
      </c>
      <c r="N433" s="137"/>
      <c r="O433" s="58" t="str" cm="1">
        <f>IFERROR(INDEX(List_Predictors, INDEX(Array_PredictorsLookup,MATCH($A433,List_PredictorFacilities,0),(COLUMN()-1)/2), 1),"")</f>
        <v/>
      </c>
      <c r="P433" s="137"/>
      <c r="Q433" s="58" t="str" cm="1">
        <f>IFERROR(INDEX(List_Predictors, INDEX(Array_PredictorsLookup,MATCH($A433,List_PredictorFacilities,0),(COLUMN()-1)/2), 1),"")</f>
        <v/>
      </c>
      <c r="R433" s="137"/>
      <c r="S433" s="58" t="str" cm="1">
        <f>IFERROR(INDEX(List_Predictors, INDEX(Array_PredictorsLookup,MATCH($A433,List_PredictorFacilities,0),(COLUMN()-1)/2), 1),"")</f>
        <v/>
      </c>
      <c r="T433" s="137"/>
      <c r="U433" s="58" t="str" cm="1">
        <f>IFERROR(INDEX(List_Predictors, INDEX(Array_PredictorsLookup,MATCH($A433,List_PredictorFacilities,0),(COLUMN()-1)/2), 1),"")</f>
        <v/>
      </c>
      <c r="V433" s="137"/>
      <c r="W433" s="58" t="str" cm="1">
        <f>IFERROR(INDEX(List_Predictors, INDEX(Array_PredictorsLookup,MATCH($A433,List_PredictorFacilities,0),(COLUMN()-1)/2), 1),"")</f>
        <v/>
      </c>
      <c r="X433" s="137"/>
      <c r="Y433" s="58" t="str" cm="1">
        <f>IFERROR(INDEX(List_Predictors, INDEX(Array_PredictorsLookup,MATCH($A433,List_PredictorFacilities,0),(COLUMN()-1)/2), 1),"")</f>
        <v/>
      </c>
      <c r="Z433" s="137"/>
      <c r="AA433" s="58" t="str" cm="1">
        <f>IFERROR(INDEX(List_Predictors, INDEX(Array_PredictorsLookup,MATCH($A433,List_PredictorFacilities,0),(COLUMN()-1)/2), 1),"")</f>
        <v/>
      </c>
      <c r="AB433" s="137"/>
      <c r="AC433" s="58" t="str" cm="1">
        <f>IFERROR(INDEX(List_Predictors, INDEX(Array_PredictorsLookup,MATCH($A433,List_PredictorFacilities,0),(COLUMN()-1)/2), 1),"")</f>
        <v/>
      </c>
      <c r="AD433" s="137"/>
      <c r="AE433" s="58" t="str" cm="1">
        <f>IFERROR(INDEX(List_Predictors, INDEX(Array_PredictorsLookup,MATCH($A433,List_PredictorFacilities,0),(COLUMN()-1)/2), 1),"")</f>
        <v/>
      </c>
      <c r="AF433" s="137"/>
    </row>
    <row r="434" spans="1:32" x14ac:dyDescent="0.3">
      <c r="A434" s="126"/>
      <c r="B434" s="141"/>
      <c r="C434" s="58" t="str" cm="1">
        <f>IFERROR(INDEX(List_Predictors, INDEX(Array_PredictorsLookup,MATCH($A434,List_PredictorFacilities,0),(COLUMN()-1)/2), 1),"")</f>
        <v/>
      </c>
      <c r="D434" s="137"/>
      <c r="E434" s="58" t="str" cm="1">
        <f>IFERROR(INDEX(List_Predictors, INDEX(Array_PredictorsLookup,MATCH($A434,List_PredictorFacilities,0),(COLUMN()-1)/2), 1),"")</f>
        <v/>
      </c>
      <c r="F434" s="137"/>
      <c r="G434" s="58" t="str" cm="1">
        <f>IFERROR(INDEX(List_Predictors, INDEX(Array_PredictorsLookup,MATCH($A434,List_PredictorFacilities,0),(COLUMN()-1)/2), 1),"")</f>
        <v/>
      </c>
      <c r="H434" s="137"/>
      <c r="I434" s="58" t="str" cm="1">
        <f>IFERROR(INDEX(List_Predictors, INDEX(Array_PredictorsLookup,MATCH($A434,List_PredictorFacilities,0),(COLUMN()-1)/2), 1),"")</f>
        <v/>
      </c>
      <c r="J434" s="137"/>
      <c r="K434" s="58" t="str" cm="1">
        <f>IFERROR(INDEX(List_Predictors, INDEX(Array_PredictorsLookup,MATCH($A434,List_PredictorFacilities,0),(COLUMN()-1)/2), 1),"")</f>
        <v/>
      </c>
      <c r="L434" s="137"/>
      <c r="M434" s="58" t="str" cm="1">
        <f>IFERROR(INDEX(List_Predictors, INDEX(Array_PredictorsLookup,MATCH($A434,List_PredictorFacilities,0),(COLUMN()-1)/2), 1),"")</f>
        <v/>
      </c>
      <c r="N434" s="137"/>
      <c r="O434" s="58" t="str" cm="1">
        <f>IFERROR(INDEX(List_Predictors, INDEX(Array_PredictorsLookup,MATCH($A434,List_PredictorFacilities,0),(COLUMN()-1)/2), 1),"")</f>
        <v/>
      </c>
      <c r="P434" s="137"/>
      <c r="Q434" s="58" t="str" cm="1">
        <f>IFERROR(INDEX(List_Predictors, INDEX(Array_PredictorsLookup,MATCH($A434,List_PredictorFacilities,0),(COLUMN()-1)/2), 1),"")</f>
        <v/>
      </c>
      <c r="R434" s="137"/>
      <c r="S434" s="58" t="str" cm="1">
        <f>IFERROR(INDEX(List_Predictors, INDEX(Array_PredictorsLookup,MATCH($A434,List_PredictorFacilities,0),(COLUMN()-1)/2), 1),"")</f>
        <v/>
      </c>
      <c r="T434" s="137"/>
      <c r="U434" s="58" t="str" cm="1">
        <f>IFERROR(INDEX(List_Predictors, INDEX(Array_PredictorsLookup,MATCH($A434,List_PredictorFacilities,0),(COLUMN()-1)/2), 1),"")</f>
        <v/>
      </c>
      <c r="V434" s="137"/>
      <c r="W434" s="58" t="str" cm="1">
        <f>IFERROR(INDEX(List_Predictors, INDEX(Array_PredictorsLookup,MATCH($A434,List_PredictorFacilities,0),(COLUMN()-1)/2), 1),"")</f>
        <v/>
      </c>
      <c r="X434" s="137"/>
      <c r="Y434" s="58" t="str" cm="1">
        <f>IFERROR(INDEX(List_Predictors, INDEX(Array_PredictorsLookup,MATCH($A434,List_PredictorFacilities,0),(COLUMN()-1)/2), 1),"")</f>
        <v/>
      </c>
      <c r="Z434" s="137"/>
      <c r="AA434" s="58" t="str" cm="1">
        <f>IFERROR(INDEX(List_Predictors, INDEX(Array_PredictorsLookup,MATCH($A434,List_PredictorFacilities,0),(COLUMN()-1)/2), 1),"")</f>
        <v/>
      </c>
      <c r="AB434" s="137"/>
      <c r="AC434" s="58" t="str" cm="1">
        <f>IFERROR(INDEX(List_Predictors, INDEX(Array_PredictorsLookup,MATCH($A434,List_PredictorFacilities,0),(COLUMN()-1)/2), 1),"")</f>
        <v/>
      </c>
      <c r="AD434" s="137"/>
      <c r="AE434" s="58" t="str" cm="1">
        <f>IFERROR(INDEX(List_Predictors, INDEX(Array_PredictorsLookup,MATCH($A434,List_PredictorFacilities,0),(COLUMN()-1)/2), 1),"")</f>
        <v/>
      </c>
      <c r="AF434" s="137"/>
    </row>
    <row r="435" spans="1:32" x14ac:dyDescent="0.3">
      <c r="A435" s="126"/>
      <c r="B435" s="141"/>
      <c r="C435" s="58" t="str" cm="1">
        <f>IFERROR(INDEX(List_Predictors, INDEX(Array_PredictorsLookup,MATCH($A435,List_PredictorFacilities,0),(COLUMN()-1)/2), 1),"")</f>
        <v/>
      </c>
      <c r="D435" s="137"/>
      <c r="E435" s="58" t="str" cm="1">
        <f>IFERROR(INDEX(List_Predictors, INDEX(Array_PredictorsLookup,MATCH($A435,List_PredictorFacilities,0),(COLUMN()-1)/2), 1),"")</f>
        <v/>
      </c>
      <c r="F435" s="137"/>
      <c r="G435" s="58" t="str" cm="1">
        <f>IFERROR(INDEX(List_Predictors, INDEX(Array_PredictorsLookup,MATCH($A435,List_PredictorFacilities,0),(COLUMN()-1)/2), 1),"")</f>
        <v/>
      </c>
      <c r="H435" s="137"/>
      <c r="I435" s="58" t="str" cm="1">
        <f>IFERROR(INDEX(List_Predictors, INDEX(Array_PredictorsLookup,MATCH($A435,List_PredictorFacilities,0),(COLUMN()-1)/2), 1),"")</f>
        <v/>
      </c>
      <c r="J435" s="137"/>
      <c r="K435" s="58" t="str" cm="1">
        <f>IFERROR(INDEX(List_Predictors, INDEX(Array_PredictorsLookup,MATCH($A435,List_PredictorFacilities,0),(COLUMN()-1)/2), 1),"")</f>
        <v/>
      </c>
      <c r="L435" s="137"/>
      <c r="M435" s="58" t="str" cm="1">
        <f>IFERROR(INDEX(List_Predictors, INDEX(Array_PredictorsLookup,MATCH($A435,List_PredictorFacilities,0),(COLUMN()-1)/2), 1),"")</f>
        <v/>
      </c>
      <c r="N435" s="137"/>
      <c r="O435" s="58" t="str" cm="1">
        <f>IFERROR(INDEX(List_Predictors, INDEX(Array_PredictorsLookup,MATCH($A435,List_PredictorFacilities,0),(COLUMN()-1)/2), 1),"")</f>
        <v/>
      </c>
      <c r="P435" s="137"/>
      <c r="Q435" s="58" t="str" cm="1">
        <f>IFERROR(INDEX(List_Predictors, INDEX(Array_PredictorsLookup,MATCH($A435,List_PredictorFacilities,0),(COLUMN()-1)/2), 1),"")</f>
        <v/>
      </c>
      <c r="R435" s="137"/>
      <c r="S435" s="58" t="str" cm="1">
        <f>IFERROR(INDEX(List_Predictors, INDEX(Array_PredictorsLookup,MATCH($A435,List_PredictorFacilities,0),(COLUMN()-1)/2), 1),"")</f>
        <v/>
      </c>
      <c r="T435" s="137"/>
      <c r="U435" s="58" t="str" cm="1">
        <f>IFERROR(INDEX(List_Predictors, INDEX(Array_PredictorsLookup,MATCH($A435,List_PredictorFacilities,0),(COLUMN()-1)/2), 1),"")</f>
        <v/>
      </c>
      <c r="V435" s="137"/>
      <c r="W435" s="58" t="str" cm="1">
        <f>IFERROR(INDEX(List_Predictors, INDEX(Array_PredictorsLookup,MATCH($A435,List_PredictorFacilities,0),(COLUMN()-1)/2), 1),"")</f>
        <v/>
      </c>
      <c r="X435" s="137"/>
      <c r="Y435" s="58" t="str" cm="1">
        <f>IFERROR(INDEX(List_Predictors, INDEX(Array_PredictorsLookup,MATCH($A435,List_PredictorFacilities,0),(COLUMN()-1)/2), 1),"")</f>
        <v/>
      </c>
      <c r="Z435" s="137"/>
      <c r="AA435" s="58" t="str" cm="1">
        <f>IFERROR(INDEX(List_Predictors, INDEX(Array_PredictorsLookup,MATCH($A435,List_PredictorFacilities,0),(COLUMN()-1)/2), 1),"")</f>
        <v/>
      </c>
      <c r="AB435" s="137"/>
      <c r="AC435" s="58" t="str" cm="1">
        <f>IFERROR(INDEX(List_Predictors, INDEX(Array_PredictorsLookup,MATCH($A435,List_PredictorFacilities,0),(COLUMN()-1)/2), 1),"")</f>
        <v/>
      </c>
      <c r="AD435" s="137"/>
      <c r="AE435" s="58" t="str" cm="1">
        <f>IFERROR(INDEX(List_Predictors, INDEX(Array_PredictorsLookup,MATCH($A435,List_PredictorFacilities,0),(COLUMN()-1)/2), 1),"")</f>
        <v/>
      </c>
      <c r="AF435" s="137"/>
    </row>
    <row r="436" spans="1:32" x14ac:dyDescent="0.3">
      <c r="A436" s="126"/>
      <c r="B436" s="141"/>
      <c r="C436" s="58" t="str" cm="1">
        <f>IFERROR(INDEX(List_Predictors, INDEX(Array_PredictorsLookup,MATCH($A436,List_PredictorFacilities,0),(COLUMN()-1)/2), 1),"")</f>
        <v/>
      </c>
      <c r="D436" s="137"/>
      <c r="E436" s="58" t="str" cm="1">
        <f>IFERROR(INDEX(List_Predictors, INDEX(Array_PredictorsLookup,MATCH($A436,List_PredictorFacilities,0),(COLUMN()-1)/2), 1),"")</f>
        <v/>
      </c>
      <c r="F436" s="137"/>
      <c r="G436" s="58" t="str" cm="1">
        <f>IFERROR(INDEX(List_Predictors, INDEX(Array_PredictorsLookup,MATCH($A436,List_PredictorFacilities,0),(COLUMN()-1)/2), 1),"")</f>
        <v/>
      </c>
      <c r="H436" s="137"/>
      <c r="I436" s="58" t="str" cm="1">
        <f>IFERROR(INDEX(List_Predictors, INDEX(Array_PredictorsLookup,MATCH($A436,List_PredictorFacilities,0),(COLUMN()-1)/2), 1),"")</f>
        <v/>
      </c>
      <c r="J436" s="137"/>
      <c r="K436" s="58" t="str" cm="1">
        <f>IFERROR(INDEX(List_Predictors, INDEX(Array_PredictorsLookup,MATCH($A436,List_PredictorFacilities,0),(COLUMN()-1)/2), 1),"")</f>
        <v/>
      </c>
      <c r="L436" s="137"/>
      <c r="M436" s="58" t="str" cm="1">
        <f>IFERROR(INDEX(List_Predictors, INDEX(Array_PredictorsLookup,MATCH($A436,List_PredictorFacilities,0),(COLUMN()-1)/2), 1),"")</f>
        <v/>
      </c>
      <c r="N436" s="137"/>
      <c r="O436" s="58" t="str" cm="1">
        <f>IFERROR(INDEX(List_Predictors, INDEX(Array_PredictorsLookup,MATCH($A436,List_PredictorFacilities,0),(COLUMN()-1)/2), 1),"")</f>
        <v/>
      </c>
      <c r="P436" s="137"/>
      <c r="Q436" s="58" t="str" cm="1">
        <f>IFERROR(INDEX(List_Predictors, INDEX(Array_PredictorsLookup,MATCH($A436,List_PredictorFacilities,0),(COLUMN()-1)/2), 1),"")</f>
        <v/>
      </c>
      <c r="R436" s="137"/>
      <c r="S436" s="58" t="str" cm="1">
        <f>IFERROR(INDEX(List_Predictors, INDEX(Array_PredictorsLookup,MATCH($A436,List_PredictorFacilities,0),(COLUMN()-1)/2), 1),"")</f>
        <v/>
      </c>
      <c r="T436" s="137"/>
      <c r="U436" s="58" t="str" cm="1">
        <f>IFERROR(INDEX(List_Predictors, INDEX(Array_PredictorsLookup,MATCH($A436,List_PredictorFacilities,0),(COLUMN()-1)/2), 1),"")</f>
        <v/>
      </c>
      <c r="V436" s="137"/>
      <c r="W436" s="58" t="str" cm="1">
        <f>IFERROR(INDEX(List_Predictors, INDEX(Array_PredictorsLookup,MATCH($A436,List_PredictorFacilities,0),(COLUMN()-1)/2), 1),"")</f>
        <v/>
      </c>
      <c r="X436" s="137"/>
      <c r="Y436" s="58" t="str" cm="1">
        <f>IFERROR(INDEX(List_Predictors, INDEX(Array_PredictorsLookup,MATCH($A436,List_PredictorFacilities,0),(COLUMN()-1)/2), 1),"")</f>
        <v/>
      </c>
      <c r="Z436" s="137"/>
      <c r="AA436" s="58" t="str" cm="1">
        <f>IFERROR(INDEX(List_Predictors, INDEX(Array_PredictorsLookup,MATCH($A436,List_PredictorFacilities,0),(COLUMN()-1)/2), 1),"")</f>
        <v/>
      </c>
      <c r="AB436" s="137"/>
      <c r="AC436" s="58" t="str" cm="1">
        <f>IFERROR(INDEX(List_Predictors, INDEX(Array_PredictorsLookup,MATCH($A436,List_PredictorFacilities,0),(COLUMN()-1)/2), 1),"")</f>
        <v/>
      </c>
      <c r="AD436" s="137"/>
      <c r="AE436" s="58" t="str" cm="1">
        <f>IFERROR(INDEX(List_Predictors, INDEX(Array_PredictorsLookup,MATCH($A436,List_PredictorFacilities,0),(COLUMN()-1)/2), 1),"")</f>
        <v/>
      </c>
      <c r="AF436" s="137"/>
    </row>
    <row r="437" spans="1:32" x14ac:dyDescent="0.3">
      <c r="A437" s="126"/>
      <c r="B437" s="141"/>
      <c r="C437" s="58" t="str" cm="1">
        <f>IFERROR(INDEX(List_Predictors, INDEX(Array_PredictorsLookup,MATCH($A437,List_PredictorFacilities,0),(COLUMN()-1)/2), 1),"")</f>
        <v/>
      </c>
      <c r="D437" s="137"/>
      <c r="E437" s="58" t="str" cm="1">
        <f>IFERROR(INDEX(List_Predictors, INDEX(Array_PredictorsLookup,MATCH($A437,List_PredictorFacilities,0),(COLUMN()-1)/2), 1),"")</f>
        <v/>
      </c>
      <c r="F437" s="137"/>
      <c r="G437" s="58" t="str" cm="1">
        <f>IFERROR(INDEX(List_Predictors, INDEX(Array_PredictorsLookup,MATCH($A437,List_PredictorFacilities,0),(COLUMN()-1)/2), 1),"")</f>
        <v/>
      </c>
      <c r="H437" s="137"/>
      <c r="I437" s="58" t="str" cm="1">
        <f>IFERROR(INDEX(List_Predictors, INDEX(Array_PredictorsLookup,MATCH($A437,List_PredictorFacilities,0),(COLUMN()-1)/2), 1),"")</f>
        <v/>
      </c>
      <c r="J437" s="137"/>
      <c r="K437" s="58" t="str" cm="1">
        <f>IFERROR(INDEX(List_Predictors, INDEX(Array_PredictorsLookup,MATCH($A437,List_PredictorFacilities,0),(COLUMN()-1)/2), 1),"")</f>
        <v/>
      </c>
      <c r="L437" s="137"/>
      <c r="M437" s="58" t="str" cm="1">
        <f>IFERROR(INDEX(List_Predictors, INDEX(Array_PredictorsLookup,MATCH($A437,List_PredictorFacilities,0),(COLUMN()-1)/2), 1),"")</f>
        <v/>
      </c>
      <c r="N437" s="137"/>
      <c r="O437" s="58" t="str" cm="1">
        <f>IFERROR(INDEX(List_Predictors, INDEX(Array_PredictorsLookup,MATCH($A437,List_PredictorFacilities,0),(COLUMN()-1)/2), 1),"")</f>
        <v/>
      </c>
      <c r="P437" s="137"/>
      <c r="Q437" s="58" t="str" cm="1">
        <f>IFERROR(INDEX(List_Predictors, INDEX(Array_PredictorsLookup,MATCH($A437,List_PredictorFacilities,0),(COLUMN()-1)/2), 1),"")</f>
        <v/>
      </c>
      <c r="R437" s="137"/>
      <c r="S437" s="58" t="str" cm="1">
        <f>IFERROR(INDEX(List_Predictors, INDEX(Array_PredictorsLookup,MATCH($A437,List_PredictorFacilities,0),(COLUMN()-1)/2), 1),"")</f>
        <v/>
      </c>
      <c r="T437" s="137"/>
      <c r="U437" s="58" t="str" cm="1">
        <f>IFERROR(INDEX(List_Predictors, INDEX(Array_PredictorsLookup,MATCH($A437,List_PredictorFacilities,0),(COLUMN()-1)/2), 1),"")</f>
        <v/>
      </c>
      <c r="V437" s="137"/>
      <c r="W437" s="58" t="str" cm="1">
        <f>IFERROR(INDEX(List_Predictors, INDEX(Array_PredictorsLookup,MATCH($A437,List_PredictorFacilities,0),(COLUMN()-1)/2), 1),"")</f>
        <v/>
      </c>
      <c r="X437" s="137"/>
      <c r="Y437" s="58" t="str" cm="1">
        <f>IFERROR(INDEX(List_Predictors, INDEX(Array_PredictorsLookup,MATCH($A437,List_PredictorFacilities,0),(COLUMN()-1)/2), 1),"")</f>
        <v/>
      </c>
      <c r="Z437" s="137"/>
      <c r="AA437" s="58" t="str" cm="1">
        <f>IFERROR(INDEX(List_Predictors, INDEX(Array_PredictorsLookup,MATCH($A437,List_PredictorFacilities,0),(COLUMN()-1)/2), 1),"")</f>
        <v/>
      </c>
      <c r="AB437" s="137"/>
      <c r="AC437" s="58" t="str" cm="1">
        <f>IFERROR(INDEX(List_Predictors, INDEX(Array_PredictorsLookup,MATCH($A437,List_PredictorFacilities,0),(COLUMN()-1)/2), 1),"")</f>
        <v/>
      </c>
      <c r="AD437" s="137"/>
      <c r="AE437" s="58" t="str" cm="1">
        <f>IFERROR(INDEX(List_Predictors, INDEX(Array_PredictorsLookup,MATCH($A437,List_PredictorFacilities,0),(COLUMN()-1)/2), 1),"")</f>
        <v/>
      </c>
      <c r="AF437" s="137"/>
    </row>
    <row r="438" spans="1:32" x14ac:dyDescent="0.3">
      <c r="A438" s="126"/>
      <c r="B438" s="141"/>
      <c r="C438" s="58" t="str" cm="1">
        <f>IFERROR(INDEX(List_Predictors, INDEX(Array_PredictorsLookup,MATCH($A438,List_PredictorFacilities,0),(COLUMN()-1)/2), 1),"")</f>
        <v/>
      </c>
      <c r="D438" s="137"/>
      <c r="E438" s="58" t="str" cm="1">
        <f>IFERROR(INDEX(List_Predictors, INDEX(Array_PredictorsLookup,MATCH($A438,List_PredictorFacilities,0),(COLUMN()-1)/2), 1),"")</f>
        <v/>
      </c>
      <c r="F438" s="137"/>
      <c r="G438" s="58" t="str" cm="1">
        <f>IFERROR(INDEX(List_Predictors, INDEX(Array_PredictorsLookup,MATCH($A438,List_PredictorFacilities,0),(COLUMN()-1)/2), 1),"")</f>
        <v/>
      </c>
      <c r="H438" s="137"/>
      <c r="I438" s="58" t="str" cm="1">
        <f>IFERROR(INDEX(List_Predictors, INDEX(Array_PredictorsLookup,MATCH($A438,List_PredictorFacilities,0),(COLUMN()-1)/2), 1),"")</f>
        <v/>
      </c>
      <c r="J438" s="137"/>
      <c r="K438" s="58" t="str" cm="1">
        <f>IFERROR(INDEX(List_Predictors, INDEX(Array_PredictorsLookup,MATCH($A438,List_PredictorFacilities,0),(COLUMN()-1)/2), 1),"")</f>
        <v/>
      </c>
      <c r="L438" s="137"/>
      <c r="M438" s="58" t="str" cm="1">
        <f>IFERROR(INDEX(List_Predictors, INDEX(Array_PredictorsLookup,MATCH($A438,List_PredictorFacilities,0),(COLUMN()-1)/2), 1),"")</f>
        <v/>
      </c>
      <c r="N438" s="137"/>
      <c r="O438" s="58" t="str" cm="1">
        <f>IFERROR(INDEX(List_Predictors, INDEX(Array_PredictorsLookup,MATCH($A438,List_PredictorFacilities,0),(COLUMN()-1)/2), 1),"")</f>
        <v/>
      </c>
      <c r="P438" s="137"/>
      <c r="Q438" s="58" t="str" cm="1">
        <f>IFERROR(INDEX(List_Predictors, INDEX(Array_PredictorsLookup,MATCH($A438,List_PredictorFacilities,0),(COLUMN()-1)/2), 1),"")</f>
        <v/>
      </c>
      <c r="R438" s="137"/>
      <c r="S438" s="58" t="str" cm="1">
        <f>IFERROR(INDEX(List_Predictors, INDEX(Array_PredictorsLookup,MATCH($A438,List_PredictorFacilities,0),(COLUMN()-1)/2), 1),"")</f>
        <v/>
      </c>
      <c r="T438" s="137"/>
      <c r="U438" s="58" t="str" cm="1">
        <f>IFERROR(INDEX(List_Predictors, INDEX(Array_PredictorsLookup,MATCH($A438,List_PredictorFacilities,0),(COLUMN()-1)/2), 1),"")</f>
        <v/>
      </c>
      <c r="V438" s="137"/>
      <c r="W438" s="58" t="str" cm="1">
        <f>IFERROR(INDEX(List_Predictors, INDEX(Array_PredictorsLookup,MATCH($A438,List_PredictorFacilities,0),(COLUMN()-1)/2), 1),"")</f>
        <v/>
      </c>
      <c r="X438" s="137"/>
      <c r="Y438" s="58" t="str" cm="1">
        <f>IFERROR(INDEX(List_Predictors, INDEX(Array_PredictorsLookup,MATCH($A438,List_PredictorFacilities,0),(COLUMN()-1)/2), 1),"")</f>
        <v/>
      </c>
      <c r="Z438" s="137"/>
      <c r="AA438" s="58" t="str" cm="1">
        <f>IFERROR(INDEX(List_Predictors, INDEX(Array_PredictorsLookup,MATCH($A438,List_PredictorFacilities,0),(COLUMN()-1)/2), 1),"")</f>
        <v/>
      </c>
      <c r="AB438" s="137"/>
      <c r="AC438" s="58" t="str" cm="1">
        <f>IFERROR(INDEX(List_Predictors, INDEX(Array_PredictorsLookup,MATCH($A438,List_PredictorFacilities,0),(COLUMN()-1)/2), 1),"")</f>
        <v/>
      </c>
      <c r="AD438" s="137"/>
      <c r="AE438" s="58" t="str" cm="1">
        <f>IFERROR(INDEX(List_Predictors, INDEX(Array_PredictorsLookup,MATCH($A438,List_PredictorFacilities,0),(COLUMN()-1)/2), 1),"")</f>
        <v/>
      </c>
      <c r="AF438" s="137"/>
    </row>
    <row r="439" spans="1:32" x14ac:dyDescent="0.3">
      <c r="A439" s="126"/>
      <c r="B439" s="141"/>
      <c r="C439" s="58" t="str" cm="1">
        <f>IFERROR(INDEX(List_Predictors, INDEX(Array_PredictorsLookup,MATCH($A439,List_PredictorFacilities,0),(COLUMN()-1)/2), 1),"")</f>
        <v/>
      </c>
      <c r="D439" s="137"/>
      <c r="E439" s="58" t="str" cm="1">
        <f>IFERROR(INDEX(List_Predictors, INDEX(Array_PredictorsLookup,MATCH($A439,List_PredictorFacilities,0),(COLUMN()-1)/2), 1),"")</f>
        <v/>
      </c>
      <c r="F439" s="137"/>
      <c r="G439" s="58" t="str" cm="1">
        <f>IFERROR(INDEX(List_Predictors, INDEX(Array_PredictorsLookup,MATCH($A439,List_PredictorFacilities,0),(COLUMN()-1)/2), 1),"")</f>
        <v/>
      </c>
      <c r="H439" s="137"/>
      <c r="I439" s="58" t="str" cm="1">
        <f>IFERROR(INDEX(List_Predictors, INDEX(Array_PredictorsLookup,MATCH($A439,List_PredictorFacilities,0),(COLUMN()-1)/2), 1),"")</f>
        <v/>
      </c>
      <c r="J439" s="137"/>
      <c r="K439" s="58" t="str" cm="1">
        <f>IFERROR(INDEX(List_Predictors, INDEX(Array_PredictorsLookup,MATCH($A439,List_PredictorFacilities,0),(COLUMN()-1)/2), 1),"")</f>
        <v/>
      </c>
      <c r="L439" s="137"/>
      <c r="M439" s="58" t="str" cm="1">
        <f>IFERROR(INDEX(List_Predictors, INDEX(Array_PredictorsLookup,MATCH($A439,List_PredictorFacilities,0),(COLUMN()-1)/2), 1),"")</f>
        <v/>
      </c>
      <c r="N439" s="137"/>
      <c r="O439" s="58" t="str" cm="1">
        <f>IFERROR(INDEX(List_Predictors, INDEX(Array_PredictorsLookup,MATCH($A439,List_PredictorFacilities,0),(COLUMN()-1)/2), 1),"")</f>
        <v/>
      </c>
      <c r="P439" s="137"/>
      <c r="Q439" s="58" t="str" cm="1">
        <f>IFERROR(INDEX(List_Predictors, INDEX(Array_PredictorsLookup,MATCH($A439,List_PredictorFacilities,0),(COLUMN()-1)/2), 1),"")</f>
        <v/>
      </c>
      <c r="R439" s="137"/>
      <c r="S439" s="58" t="str" cm="1">
        <f>IFERROR(INDEX(List_Predictors, INDEX(Array_PredictorsLookup,MATCH($A439,List_PredictorFacilities,0),(COLUMN()-1)/2), 1),"")</f>
        <v/>
      </c>
      <c r="T439" s="137"/>
      <c r="U439" s="58" t="str" cm="1">
        <f>IFERROR(INDEX(List_Predictors, INDEX(Array_PredictorsLookup,MATCH($A439,List_PredictorFacilities,0),(COLUMN()-1)/2), 1),"")</f>
        <v/>
      </c>
      <c r="V439" s="137"/>
      <c r="W439" s="58" t="str" cm="1">
        <f>IFERROR(INDEX(List_Predictors, INDEX(Array_PredictorsLookup,MATCH($A439,List_PredictorFacilities,0),(COLUMN()-1)/2), 1),"")</f>
        <v/>
      </c>
      <c r="X439" s="137"/>
      <c r="Y439" s="58" t="str" cm="1">
        <f>IFERROR(INDEX(List_Predictors, INDEX(Array_PredictorsLookup,MATCH($A439,List_PredictorFacilities,0),(COLUMN()-1)/2), 1),"")</f>
        <v/>
      </c>
      <c r="Z439" s="137"/>
      <c r="AA439" s="58" t="str" cm="1">
        <f>IFERROR(INDEX(List_Predictors, INDEX(Array_PredictorsLookup,MATCH($A439,List_PredictorFacilities,0),(COLUMN()-1)/2), 1),"")</f>
        <v/>
      </c>
      <c r="AB439" s="137"/>
      <c r="AC439" s="58" t="str" cm="1">
        <f>IFERROR(INDEX(List_Predictors, INDEX(Array_PredictorsLookup,MATCH($A439,List_PredictorFacilities,0),(COLUMN()-1)/2), 1),"")</f>
        <v/>
      </c>
      <c r="AD439" s="137"/>
      <c r="AE439" s="58" t="str" cm="1">
        <f>IFERROR(INDEX(List_Predictors, INDEX(Array_PredictorsLookup,MATCH($A439,List_PredictorFacilities,0),(COLUMN()-1)/2), 1),"")</f>
        <v/>
      </c>
      <c r="AF439" s="137"/>
    </row>
    <row r="440" spans="1:32" x14ac:dyDescent="0.3">
      <c r="A440" s="126"/>
      <c r="B440" s="141"/>
      <c r="C440" s="58" t="str" cm="1">
        <f>IFERROR(INDEX(List_Predictors, INDEX(Array_PredictorsLookup,MATCH($A440,List_PredictorFacilities,0),(COLUMN()-1)/2), 1),"")</f>
        <v/>
      </c>
      <c r="D440" s="137"/>
      <c r="E440" s="58" t="str" cm="1">
        <f>IFERROR(INDEX(List_Predictors, INDEX(Array_PredictorsLookup,MATCH($A440,List_PredictorFacilities,0),(COLUMN()-1)/2), 1),"")</f>
        <v/>
      </c>
      <c r="F440" s="137"/>
      <c r="G440" s="58" t="str" cm="1">
        <f>IFERROR(INDEX(List_Predictors, INDEX(Array_PredictorsLookup,MATCH($A440,List_PredictorFacilities,0),(COLUMN()-1)/2), 1),"")</f>
        <v/>
      </c>
      <c r="H440" s="137"/>
      <c r="I440" s="58" t="str" cm="1">
        <f>IFERROR(INDEX(List_Predictors, INDEX(Array_PredictorsLookup,MATCH($A440,List_PredictorFacilities,0),(COLUMN()-1)/2), 1),"")</f>
        <v/>
      </c>
      <c r="J440" s="137"/>
      <c r="K440" s="58" t="str" cm="1">
        <f>IFERROR(INDEX(List_Predictors, INDEX(Array_PredictorsLookup,MATCH($A440,List_PredictorFacilities,0),(COLUMN()-1)/2), 1),"")</f>
        <v/>
      </c>
      <c r="L440" s="137"/>
      <c r="M440" s="58" t="str" cm="1">
        <f>IFERROR(INDEX(List_Predictors, INDEX(Array_PredictorsLookup,MATCH($A440,List_PredictorFacilities,0),(COLUMN()-1)/2), 1),"")</f>
        <v/>
      </c>
      <c r="N440" s="137"/>
      <c r="O440" s="58" t="str" cm="1">
        <f>IFERROR(INDEX(List_Predictors, INDEX(Array_PredictorsLookup,MATCH($A440,List_PredictorFacilities,0),(COLUMN()-1)/2), 1),"")</f>
        <v/>
      </c>
      <c r="P440" s="137"/>
      <c r="Q440" s="58" t="str" cm="1">
        <f>IFERROR(INDEX(List_Predictors, INDEX(Array_PredictorsLookup,MATCH($A440,List_PredictorFacilities,0),(COLUMN()-1)/2), 1),"")</f>
        <v/>
      </c>
      <c r="R440" s="137"/>
      <c r="S440" s="58" t="str" cm="1">
        <f>IFERROR(INDEX(List_Predictors, INDEX(Array_PredictorsLookup,MATCH($A440,List_PredictorFacilities,0),(COLUMN()-1)/2), 1),"")</f>
        <v/>
      </c>
      <c r="T440" s="137"/>
      <c r="U440" s="58" t="str" cm="1">
        <f>IFERROR(INDEX(List_Predictors, INDEX(Array_PredictorsLookup,MATCH($A440,List_PredictorFacilities,0),(COLUMN()-1)/2), 1),"")</f>
        <v/>
      </c>
      <c r="V440" s="137"/>
      <c r="W440" s="58" t="str" cm="1">
        <f>IFERROR(INDEX(List_Predictors, INDEX(Array_PredictorsLookup,MATCH($A440,List_PredictorFacilities,0),(COLUMN()-1)/2), 1),"")</f>
        <v/>
      </c>
      <c r="X440" s="137"/>
      <c r="Y440" s="58" t="str" cm="1">
        <f>IFERROR(INDEX(List_Predictors, INDEX(Array_PredictorsLookup,MATCH($A440,List_PredictorFacilities,0),(COLUMN()-1)/2), 1),"")</f>
        <v/>
      </c>
      <c r="Z440" s="137"/>
      <c r="AA440" s="58" t="str" cm="1">
        <f>IFERROR(INDEX(List_Predictors, INDEX(Array_PredictorsLookup,MATCH($A440,List_PredictorFacilities,0),(COLUMN()-1)/2), 1),"")</f>
        <v/>
      </c>
      <c r="AB440" s="137"/>
      <c r="AC440" s="58" t="str" cm="1">
        <f>IFERROR(INDEX(List_Predictors, INDEX(Array_PredictorsLookup,MATCH($A440,List_PredictorFacilities,0),(COLUMN()-1)/2), 1),"")</f>
        <v/>
      </c>
      <c r="AD440" s="137"/>
      <c r="AE440" s="58" t="str" cm="1">
        <f>IFERROR(INDEX(List_Predictors, INDEX(Array_PredictorsLookup,MATCH($A440,List_PredictorFacilities,0),(COLUMN()-1)/2), 1),"")</f>
        <v/>
      </c>
      <c r="AF440" s="137"/>
    </row>
    <row r="441" spans="1:32" x14ac:dyDescent="0.3">
      <c r="A441" s="126"/>
      <c r="B441" s="141"/>
      <c r="C441" s="58" t="str" cm="1">
        <f>IFERROR(INDEX(List_Predictors, INDEX(Array_PredictorsLookup,MATCH($A441,List_PredictorFacilities,0),(COLUMN()-1)/2), 1),"")</f>
        <v/>
      </c>
      <c r="D441" s="137"/>
      <c r="E441" s="58" t="str" cm="1">
        <f>IFERROR(INDEX(List_Predictors, INDEX(Array_PredictorsLookup,MATCH($A441,List_PredictorFacilities,0),(COLUMN()-1)/2), 1),"")</f>
        <v/>
      </c>
      <c r="F441" s="137"/>
      <c r="G441" s="58" t="str" cm="1">
        <f>IFERROR(INDEX(List_Predictors, INDEX(Array_PredictorsLookup,MATCH($A441,List_PredictorFacilities,0),(COLUMN()-1)/2), 1),"")</f>
        <v/>
      </c>
      <c r="H441" s="137"/>
      <c r="I441" s="58" t="str" cm="1">
        <f>IFERROR(INDEX(List_Predictors, INDEX(Array_PredictorsLookup,MATCH($A441,List_PredictorFacilities,0),(COLUMN()-1)/2), 1),"")</f>
        <v/>
      </c>
      <c r="J441" s="137"/>
      <c r="K441" s="58" t="str" cm="1">
        <f>IFERROR(INDEX(List_Predictors, INDEX(Array_PredictorsLookup,MATCH($A441,List_PredictorFacilities,0),(COLUMN()-1)/2), 1),"")</f>
        <v/>
      </c>
      <c r="L441" s="137"/>
      <c r="M441" s="58" t="str" cm="1">
        <f>IFERROR(INDEX(List_Predictors, INDEX(Array_PredictorsLookup,MATCH($A441,List_PredictorFacilities,0),(COLUMN()-1)/2), 1),"")</f>
        <v/>
      </c>
      <c r="N441" s="137"/>
      <c r="O441" s="58" t="str" cm="1">
        <f>IFERROR(INDEX(List_Predictors, INDEX(Array_PredictorsLookup,MATCH($A441,List_PredictorFacilities,0),(COLUMN()-1)/2), 1),"")</f>
        <v/>
      </c>
      <c r="P441" s="137"/>
      <c r="Q441" s="58" t="str" cm="1">
        <f>IFERROR(INDEX(List_Predictors, INDEX(Array_PredictorsLookup,MATCH($A441,List_PredictorFacilities,0),(COLUMN()-1)/2), 1),"")</f>
        <v/>
      </c>
      <c r="R441" s="137"/>
      <c r="S441" s="58" t="str" cm="1">
        <f>IFERROR(INDEX(List_Predictors, INDEX(Array_PredictorsLookup,MATCH($A441,List_PredictorFacilities,0),(COLUMN()-1)/2), 1),"")</f>
        <v/>
      </c>
      <c r="T441" s="137"/>
      <c r="U441" s="58" t="str" cm="1">
        <f>IFERROR(INDEX(List_Predictors, INDEX(Array_PredictorsLookup,MATCH($A441,List_PredictorFacilities,0),(COLUMN()-1)/2), 1),"")</f>
        <v/>
      </c>
      <c r="V441" s="137"/>
      <c r="W441" s="58" t="str" cm="1">
        <f>IFERROR(INDEX(List_Predictors, INDEX(Array_PredictorsLookup,MATCH($A441,List_PredictorFacilities,0),(COLUMN()-1)/2), 1),"")</f>
        <v/>
      </c>
      <c r="X441" s="137"/>
      <c r="Y441" s="58" t="str" cm="1">
        <f>IFERROR(INDEX(List_Predictors, INDEX(Array_PredictorsLookup,MATCH($A441,List_PredictorFacilities,0),(COLUMN()-1)/2), 1),"")</f>
        <v/>
      </c>
      <c r="Z441" s="137"/>
      <c r="AA441" s="58" t="str" cm="1">
        <f>IFERROR(INDEX(List_Predictors, INDEX(Array_PredictorsLookup,MATCH($A441,List_PredictorFacilities,0),(COLUMN()-1)/2), 1),"")</f>
        <v/>
      </c>
      <c r="AB441" s="137"/>
      <c r="AC441" s="58" t="str" cm="1">
        <f>IFERROR(INDEX(List_Predictors, INDEX(Array_PredictorsLookup,MATCH($A441,List_PredictorFacilities,0),(COLUMN()-1)/2), 1),"")</f>
        <v/>
      </c>
      <c r="AD441" s="137"/>
      <c r="AE441" s="58" t="str" cm="1">
        <f>IFERROR(INDEX(List_Predictors, INDEX(Array_PredictorsLookup,MATCH($A441,List_PredictorFacilities,0),(COLUMN()-1)/2), 1),"")</f>
        <v/>
      </c>
      <c r="AF441" s="137"/>
    </row>
    <row r="442" spans="1:32" x14ac:dyDescent="0.3">
      <c r="A442" s="126"/>
      <c r="B442" s="141"/>
      <c r="C442" s="58" t="str" cm="1">
        <f>IFERROR(INDEX(List_Predictors, INDEX(Array_PredictorsLookup,MATCH($A442,List_PredictorFacilities,0),(COLUMN()-1)/2), 1),"")</f>
        <v/>
      </c>
      <c r="D442" s="137"/>
      <c r="E442" s="58" t="str" cm="1">
        <f>IFERROR(INDEX(List_Predictors, INDEX(Array_PredictorsLookup,MATCH($A442,List_PredictorFacilities,0),(COLUMN()-1)/2), 1),"")</f>
        <v/>
      </c>
      <c r="F442" s="137"/>
      <c r="G442" s="58" t="str" cm="1">
        <f>IFERROR(INDEX(List_Predictors, INDEX(Array_PredictorsLookup,MATCH($A442,List_PredictorFacilities,0),(COLUMN()-1)/2), 1),"")</f>
        <v/>
      </c>
      <c r="H442" s="137"/>
      <c r="I442" s="58" t="str" cm="1">
        <f>IFERROR(INDEX(List_Predictors, INDEX(Array_PredictorsLookup,MATCH($A442,List_PredictorFacilities,0),(COLUMN()-1)/2), 1),"")</f>
        <v/>
      </c>
      <c r="J442" s="137"/>
      <c r="K442" s="58" t="str" cm="1">
        <f>IFERROR(INDEX(List_Predictors, INDEX(Array_PredictorsLookup,MATCH($A442,List_PredictorFacilities,0),(COLUMN()-1)/2), 1),"")</f>
        <v/>
      </c>
      <c r="L442" s="137"/>
      <c r="M442" s="58" t="str" cm="1">
        <f>IFERROR(INDEX(List_Predictors, INDEX(Array_PredictorsLookup,MATCH($A442,List_PredictorFacilities,0),(COLUMN()-1)/2), 1),"")</f>
        <v/>
      </c>
      <c r="N442" s="137"/>
      <c r="O442" s="58" t="str" cm="1">
        <f>IFERROR(INDEX(List_Predictors, INDEX(Array_PredictorsLookup,MATCH($A442,List_PredictorFacilities,0),(COLUMN()-1)/2), 1),"")</f>
        <v/>
      </c>
      <c r="P442" s="137"/>
      <c r="Q442" s="58" t="str" cm="1">
        <f>IFERROR(INDEX(List_Predictors, INDEX(Array_PredictorsLookup,MATCH($A442,List_PredictorFacilities,0),(COLUMN()-1)/2), 1),"")</f>
        <v/>
      </c>
      <c r="R442" s="137"/>
      <c r="S442" s="58" t="str" cm="1">
        <f>IFERROR(INDEX(List_Predictors, INDEX(Array_PredictorsLookup,MATCH($A442,List_PredictorFacilities,0),(COLUMN()-1)/2), 1),"")</f>
        <v/>
      </c>
      <c r="T442" s="137"/>
      <c r="U442" s="58" t="str" cm="1">
        <f>IFERROR(INDEX(List_Predictors, INDEX(Array_PredictorsLookup,MATCH($A442,List_PredictorFacilities,0),(COLUMN()-1)/2), 1),"")</f>
        <v/>
      </c>
      <c r="V442" s="137"/>
      <c r="W442" s="58" t="str" cm="1">
        <f>IFERROR(INDEX(List_Predictors, INDEX(Array_PredictorsLookup,MATCH($A442,List_PredictorFacilities,0),(COLUMN()-1)/2), 1),"")</f>
        <v/>
      </c>
      <c r="X442" s="137"/>
      <c r="Y442" s="58" t="str" cm="1">
        <f>IFERROR(INDEX(List_Predictors, INDEX(Array_PredictorsLookup,MATCH($A442,List_PredictorFacilities,0),(COLUMN()-1)/2), 1),"")</f>
        <v/>
      </c>
      <c r="Z442" s="137"/>
      <c r="AA442" s="58" t="str" cm="1">
        <f>IFERROR(INDEX(List_Predictors, INDEX(Array_PredictorsLookup,MATCH($A442,List_PredictorFacilities,0),(COLUMN()-1)/2), 1),"")</f>
        <v/>
      </c>
      <c r="AB442" s="137"/>
      <c r="AC442" s="58" t="str" cm="1">
        <f>IFERROR(INDEX(List_Predictors, INDEX(Array_PredictorsLookup,MATCH($A442,List_PredictorFacilities,0),(COLUMN()-1)/2), 1),"")</f>
        <v/>
      </c>
      <c r="AD442" s="137"/>
      <c r="AE442" s="58" t="str" cm="1">
        <f>IFERROR(INDEX(List_Predictors, INDEX(Array_PredictorsLookup,MATCH($A442,List_PredictorFacilities,0),(COLUMN()-1)/2), 1),"")</f>
        <v/>
      </c>
      <c r="AF442" s="137"/>
    </row>
    <row r="443" spans="1:32" x14ac:dyDescent="0.3">
      <c r="A443" s="126"/>
      <c r="B443" s="141"/>
      <c r="C443" s="58" t="str" cm="1">
        <f>IFERROR(INDEX(List_Predictors, INDEX(Array_PredictorsLookup,MATCH($A443,List_PredictorFacilities,0),(COLUMN()-1)/2), 1),"")</f>
        <v/>
      </c>
      <c r="D443" s="137"/>
      <c r="E443" s="58" t="str" cm="1">
        <f>IFERROR(INDEX(List_Predictors, INDEX(Array_PredictorsLookup,MATCH($A443,List_PredictorFacilities,0),(COLUMN()-1)/2), 1),"")</f>
        <v/>
      </c>
      <c r="F443" s="137"/>
      <c r="G443" s="58" t="str" cm="1">
        <f>IFERROR(INDEX(List_Predictors, INDEX(Array_PredictorsLookup,MATCH($A443,List_PredictorFacilities,0),(COLUMN()-1)/2), 1),"")</f>
        <v/>
      </c>
      <c r="H443" s="137"/>
      <c r="I443" s="58" t="str" cm="1">
        <f>IFERROR(INDEX(List_Predictors, INDEX(Array_PredictorsLookup,MATCH($A443,List_PredictorFacilities,0),(COLUMN()-1)/2), 1),"")</f>
        <v/>
      </c>
      <c r="J443" s="137"/>
      <c r="K443" s="58" t="str" cm="1">
        <f>IFERROR(INDEX(List_Predictors, INDEX(Array_PredictorsLookup,MATCH($A443,List_PredictorFacilities,0),(COLUMN()-1)/2), 1),"")</f>
        <v/>
      </c>
      <c r="L443" s="137"/>
      <c r="M443" s="58" t="str" cm="1">
        <f>IFERROR(INDEX(List_Predictors, INDEX(Array_PredictorsLookup,MATCH($A443,List_PredictorFacilities,0),(COLUMN()-1)/2), 1),"")</f>
        <v/>
      </c>
      <c r="N443" s="137"/>
      <c r="O443" s="58" t="str" cm="1">
        <f>IFERROR(INDEX(List_Predictors, INDEX(Array_PredictorsLookup,MATCH($A443,List_PredictorFacilities,0),(COLUMN()-1)/2), 1),"")</f>
        <v/>
      </c>
      <c r="P443" s="137"/>
      <c r="Q443" s="58" t="str" cm="1">
        <f>IFERROR(INDEX(List_Predictors, INDEX(Array_PredictorsLookup,MATCH($A443,List_PredictorFacilities,0),(COLUMN()-1)/2), 1),"")</f>
        <v/>
      </c>
      <c r="R443" s="137"/>
      <c r="S443" s="58" t="str" cm="1">
        <f>IFERROR(INDEX(List_Predictors, INDEX(Array_PredictorsLookup,MATCH($A443,List_PredictorFacilities,0),(COLUMN()-1)/2), 1),"")</f>
        <v/>
      </c>
      <c r="T443" s="137"/>
      <c r="U443" s="58" t="str" cm="1">
        <f>IFERROR(INDEX(List_Predictors, INDEX(Array_PredictorsLookup,MATCH($A443,List_PredictorFacilities,0),(COLUMN()-1)/2), 1),"")</f>
        <v/>
      </c>
      <c r="V443" s="137"/>
      <c r="W443" s="58" t="str" cm="1">
        <f>IFERROR(INDEX(List_Predictors, INDEX(Array_PredictorsLookup,MATCH($A443,List_PredictorFacilities,0),(COLUMN()-1)/2), 1),"")</f>
        <v/>
      </c>
      <c r="X443" s="137"/>
      <c r="Y443" s="58" t="str" cm="1">
        <f>IFERROR(INDEX(List_Predictors, INDEX(Array_PredictorsLookup,MATCH($A443,List_PredictorFacilities,0),(COLUMN()-1)/2), 1),"")</f>
        <v/>
      </c>
      <c r="Z443" s="137"/>
      <c r="AA443" s="58" t="str" cm="1">
        <f>IFERROR(INDEX(List_Predictors, INDEX(Array_PredictorsLookup,MATCH($A443,List_PredictorFacilities,0),(COLUMN()-1)/2), 1),"")</f>
        <v/>
      </c>
      <c r="AB443" s="137"/>
      <c r="AC443" s="58" t="str" cm="1">
        <f>IFERROR(INDEX(List_Predictors, INDEX(Array_PredictorsLookup,MATCH($A443,List_PredictorFacilities,0),(COLUMN()-1)/2), 1),"")</f>
        <v/>
      </c>
      <c r="AD443" s="137"/>
      <c r="AE443" s="58" t="str" cm="1">
        <f>IFERROR(INDEX(List_Predictors, INDEX(Array_PredictorsLookup,MATCH($A443,List_PredictorFacilities,0),(COLUMN()-1)/2), 1),"")</f>
        <v/>
      </c>
      <c r="AF443" s="137"/>
    </row>
    <row r="444" spans="1:32" x14ac:dyDescent="0.3">
      <c r="A444" s="126"/>
      <c r="B444" s="141"/>
      <c r="C444" s="58" t="str" cm="1">
        <f>IFERROR(INDEX(List_Predictors, INDEX(Array_PredictorsLookup,MATCH($A444,List_PredictorFacilities,0),(COLUMN()-1)/2), 1),"")</f>
        <v/>
      </c>
      <c r="D444" s="137"/>
      <c r="E444" s="58" t="str" cm="1">
        <f>IFERROR(INDEX(List_Predictors, INDEX(Array_PredictorsLookup,MATCH($A444,List_PredictorFacilities,0),(COLUMN()-1)/2), 1),"")</f>
        <v/>
      </c>
      <c r="F444" s="137"/>
      <c r="G444" s="58" t="str" cm="1">
        <f>IFERROR(INDEX(List_Predictors, INDEX(Array_PredictorsLookup,MATCH($A444,List_PredictorFacilities,0),(COLUMN()-1)/2), 1),"")</f>
        <v/>
      </c>
      <c r="H444" s="137"/>
      <c r="I444" s="58" t="str" cm="1">
        <f>IFERROR(INDEX(List_Predictors, INDEX(Array_PredictorsLookup,MATCH($A444,List_PredictorFacilities,0),(COLUMN()-1)/2), 1),"")</f>
        <v/>
      </c>
      <c r="J444" s="137"/>
      <c r="K444" s="58" t="str" cm="1">
        <f>IFERROR(INDEX(List_Predictors, INDEX(Array_PredictorsLookup,MATCH($A444,List_PredictorFacilities,0),(COLUMN()-1)/2), 1),"")</f>
        <v/>
      </c>
      <c r="L444" s="137"/>
      <c r="M444" s="58" t="str" cm="1">
        <f>IFERROR(INDEX(List_Predictors, INDEX(Array_PredictorsLookup,MATCH($A444,List_PredictorFacilities,0),(COLUMN()-1)/2), 1),"")</f>
        <v/>
      </c>
      <c r="N444" s="137"/>
      <c r="O444" s="58" t="str" cm="1">
        <f>IFERROR(INDEX(List_Predictors, INDEX(Array_PredictorsLookup,MATCH($A444,List_PredictorFacilities,0),(COLUMN()-1)/2), 1),"")</f>
        <v/>
      </c>
      <c r="P444" s="137"/>
      <c r="Q444" s="58" t="str" cm="1">
        <f>IFERROR(INDEX(List_Predictors, INDEX(Array_PredictorsLookup,MATCH($A444,List_PredictorFacilities,0),(COLUMN()-1)/2), 1),"")</f>
        <v/>
      </c>
      <c r="R444" s="137"/>
      <c r="S444" s="58" t="str" cm="1">
        <f>IFERROR(INDEX(List_Predictors, INDEX(Array_PredictorsLookup,MATCH($A444,List_PredictorFacilities,0),(COLUMN()-1)/2), 1),"")</f>
        <v/>
      </c>
      <c r="T444" s="137"/>
      <c r="U444" s="58" t="str" cm="1">
        <f>IFERROR(INDEX(List_Predictors, INDEX(Array_PredictorsLookup,MATCH($A444,List_PredictorFacilities,0),(COLUMN()-1)/2), 1),"")</f>
        <v/>
      </c>
      <c r="V444" s="137"/>
      <c r="W444" s="58" t="str" cm="1">
        <f>IFERROR(INDEX(List_Predictors, INDEX(Array_PredictorsLookup,MATCH($A444,List_PredictorFacilities,0),(COLUMN()-1)/2), 1),"")</f>
        <v/>
      </c>
      <c r="X444" s="137"/>
      <c r="Y444" s="58" t="str" cm="1">
        <f>IFERROR(INDEX(List_Predictors, INDEX(Array_PredictorsLookup,MATCH($A444,List_PredictorFacilities,0),(COLUMN()-1)/2), 1),"")</f>
        <v/>
      </c>
      <c r="Z444" s="137"/>
      <c r="AA444" s="58" t="str" cm="1">
        <f>IFERROR(INDEX(List_Predictors, INDEX(Array_PredictorsLookup,MATCH($A444,List_PredictorFacilities,0),(COLUMN()-1)/2), 1),"")</f>
        <v/>
      </c>
      <c r="AB444" s="137"/>
      <c r="AC444" s="58" t="str" cm="1">
        <f>IFERROR(INDEX(List_Predictors, INDEX(Array_PredictorsLookup,MATCH($A444,List_PredictorFacilities,0),(COLUMN()-1)/2), 1),"")</f>
        <v/>
      </c>
      <c r="AD444" s="137"/>
      <c r="AE444" s="58" t="str" cm="1">
        <f>IFERROR(INDEX(List_Predictors, INDEX(Array_PredictorsLookup,MATCH($A444,List_PredictorFacilities,0),(COLUMN()-1)/2), 1),"")</f>
        <v/>
      </c>
      <c r="AF444" s="137"/>
    </row>
    <row r="445" spans="1:32" x14ac:dyDescent="0.3">
      <c r="A445" s="126"/>
      <c r="B445" s="141"/>
      <c r="C445" s="58" t="str" cm="1">
        <f>IFERROR(INDEX(List_Predictors, INDEX(Array_PredictorsLookup,MATCH($A445,List_PredictorFacilities,0),(COLUMN()-1)/2), 1),"")</f>
        <v/>
      </c>
      <c r="D445" s="137"/>
      <c r="E445" s="58" t="str" cm="1">
        <f>IFERROR(INDEX(List_Predictors, INDEX(Array_PredictorsLookup,MATCH($A445,List_PredictorFacilities,0),(COLUMN()-1)/2), 1),"")</f>
        <v/>
      </c>
      <c r="F445" s="137"/>
      <c r="G445" s="58" t="str" cm="1">
        <f>IFERROR(INDEX(List_Predictors, INDEX(Array_PredictorsLookup,MATCH($A445,List_PredictorFacilities,0),(COLUMN()-1)/2), 1),"")</f>
        <v/>
      </c>
      <c r="H445" s="137"/>
      <c r="I445" s="58" t="str" cm="1">
        <f>IFERROR(INDEX(List_Predictors, INDEX(Array_PredictorsLookup,MATCH($A445,List_PredictorFacilities,0),(COLUMN()-1)/2), 1),"")</f>
        <v/>
      </c>
      <c r="J445" s="137"/>
      <c r="K445" s="58" t="str" cm="1">
        <f>IFERROR(INDEX(List_Predictors, INDEX(Array_PredictorsLookup,MATCH($A445,List_PredictorFacilities,0),(COLUMN()-1)/2), 1),"")</f>
        <v/>
      </c>
      <c r="L445" s="137"/>
      <c r="M445" s="58" t="str" cm="1">
        <f>IFERROR(INDEX(List_Predictors, INDEX(Array_PredictorsLookup,MATCH($A445,List_PredictorFacilities,0),(COLUMN()-1)/2), 1),"")</f>
        <v/>
      </c>
      <c r="N445" s="137"/>
      <c r="O445" s="58" t="str" cm="1">
        <f>IFERROR(INDEX(List_Predictors, INDEX(Array_PredictorsLookup,MATCH($A445,List_PredictorFacilities,0),(COLUMN()-1)/2), 1),"")</f>
        <v/>
      </c>
      <c r="P445" s="137"/>
      <c r="Q445" s="58" t="str" cm="1">
        <f>IFERROR(INDEX(List_Predictors, INDEX(Array_PredictorsLookup,MATCH($A445,List_PredictorFacilities,0),(COLUMN()-1)/2), 1),"")</f>
        <v/>
      </c>
      <c r="R445" s="137"/>
      <c r="S445" s="58" t="str" cm="1">
        <f>IFERROR(INDEX(List_Predictors, INDEX(Array_PredictorsLookup,MATCH($A445,List_PredictorFacilities,0),(COLUMN()-1)/2), 1),"")</f>
        <v/>
      </c>
      <c r="T445" s="137"/>
      <c r="U445" s="58" t="str" cm="1">
        <f>IFERROR(INDEX(List_Predictors, INDEX(Array_PredictorsLookup,MATCH($A445,List_PredictorFacilities,0),(COLUMN()-1)/2), 1),"")</f>
        <v/>
      </c>
      <c r="V445" s="137"/>
      <c r="W445" s="58" t="str" cm="1">
        <f>IFERROR(INDEX(List_Predictors, INDEX(Array_PredictorsLookup,MATCH($A445,List_PredictorFacilities,0),(COLUMN()-1)/2), 1),"")</f>
        <v/>
      </c>
      <c r="X445" s="137"/>
      <c r="Y445" s="58" t="str" cm="1">
        <f>IFERROR(INDEX(List_Predictors, INDEX(Array_PredictorsLookup,MATCH($A445,List_PredictorFacilities,0),(COLUMN()-1)/2), 1),"")</f>
        <v/>
      </c>
      <c r="Z445" s="137"/>
      <c r="AA445" s="58" t="str" cm="1">
        <f>IFERROR(INDEX(List_Predictors, INDEX(Array_PredictorsLookup,MATCH($A445,List_PredictorFacilities,0),(COLUMN()-1)/2), 1),"")</f>
        <v/>
      </c>
      <c r="AB445" s="137"/>
      <c r="AC445" s="58" t="str" cm="1">
        <f>IFERROR(INDEX(List_Predictors, INDEX(Array_PredictorsLookup,MATCH($A445,List_PredictorFacilities,0),(COLUMN()-1)/2), 1),"")</f>
        <v/>
      </c>
      <c r="AD445" s="137"/>
      <c r="AE445" s="58" t="str" cm="1">
        <f>IFERROR(INDEX(List_Predictors, INDEX(Array_PredictorsLookup,MATCH($A445,List_PredictorFacilities,0),(COLUMN()-1)/2), 1),"")</f>
        <v/>
      </c>
      <c r="AF445" s="137"/>
    </row>
    <row r="446" spans="1:32" x14ac:dyDescent="0.3">
      <c r="A446" s="126"/>
      <c r="B446" s="141"/>
      <c r="C446" s="58" t="str" cm="1">
        <f>IFERROR(INDEX(List_Predictors, INDEX(Array_PredictorsLookup,MATCH($A446,List_PredictorFacilities,0),(COLUMN()-1)/2), 1),"")</f>
        <v/>
      </c>
      <c r="D446" s="137"/>
      <c r="E446" s="58" t="str" cm="1">
        <f>IFERROR(INDEX(List_Predictors, INDEX(Array_PredictorsLookup,MATCH($A446,List_PredictorFacilities,0),(COLUMN()-1)/2), 1),"")</f>
        <v/>
      </c>
      <c r="F446" s="137"/>
      <c r="G446" s="58" t="str" cm="1">
        <f>IFERROR(INDEX(List_Predictors, INDEX(Array_PredictorsLookup,MATCH($A446,List_PredictorFacilities,0),(COLUMN()-1)/2), 1),"")</f>
        <v/>
      </c>
      <c r="H446" s="137"/>
      <c r="I446" s="58" t="str" cm="1">
        <f>IFERROR(INDEX(List_Predictors, INDEX(Array_PredictorsLookup,MATCH($A446,List_PredictorFacilities,0),(COLUMN()-1)/2), 1),"")</f>
        <v/>
      </c>
      <c r="J446" s="137"/>
      <c r="K446" s="58" t="str" cm="1">
        <f>IFERROR(INDEX(List_Predictors, INDEX(Array_PredictorsLookup,MATCH($A446,List_PredictorFacilities,0),(COLUMN()-1)/2), 1),"")</f>
        <v/>
      </c>
      <c r="L446" s="137"/>
      <c r="M446" s="58" t="str" cm="1">
        <f>IFERROR(INDEX(List_Predictors, INDEX(Array_PredictorsLookup,MATCH($A446,List_PredictorFacilities,0),(COLUMN()-1)/2), 1),"")</f>
        <v/>
      </c>
      <c r="N446" s="137"/>
      <c r="O446" s="58" t="str" cm="1">
        <f>IFERROR(INDEX(List_Predictors, INDEX(Array_PredictorsLookup,MATCH($A446,List_PredictorFacilities,0),(COLUMN()-1)/2), 1),"")</f>
        <v/>
      </c>
      <c r="P446" s="137"/>
      <c r="Q446" s="58" t="str" cm="1">
        <f>IFERROR(INDEX(List_Predictors, INDEX(Array_PredictorsLookup,MATCH($A446,List_PredictorFacilities,0),(COLUMN()-1)/2), 1),"")</f>
        <v/>
      </c>
      <c r="R446" s="137"/>
      <c r="S446" s="58" t="str" cm="1">
        <f>IFERROR(INDEX(List_Predictors, INDEX(Array_PredictorsLookup,MATCH($A446,List_PredictorFacilities,0),(COLUMN()-1)/2), 1),"")</f>
        <v/>
      </c>
      <c r="T446" s="137"/>
      <c r="U446" s="58" t="str" cm="1">
        <f>IFERROR(INDEX(List_Predictors, INDEX(Array_PredictorsLookup,MATCH($A446,List_PredictorFacilities,0),(COLUMN()-1)/2), 1),"")</f>
        <v/>
      </c>
      <c r="V446" s="137"/>
      <c r="W446" s="58" t="str" cm="1">
        <f>IFERROR(INDEX(List_Predictors, INDEX(Array_PredictorsLookup,MATCH($A446,List_PredictorFacilities,0),(COLUMN()-1)/2), 1),"")</f>
        <v/>
      </c>
      <c r="X446" s="137"/>
      <c r="Y446" s="58" t="str" cm="1">
        <f>IFERROR(INDEX(List_Predictors, INDEX(Array_PredictorsLookup,MATCH($A446,List_PredictorFacilities,0),(COLUMN()-1)/2), 1),"")</f>
        <v/>
      </c>
      <c r="Z446" s="137"/>
      <c r="AA446" s="58" t="str" cm="1">
        <f>IFERROR(INDEX(List_Predictors, INDEX(Array_PredictorsLookup,MATCH($A446,List_PredictorFacilities,0),(COLUMN()-1)/2), 1),"")</f>
        <v/>
      </c>
      <c r="AB446" s="137"/>
      <c r="AC446" s="58" t="str" cm="1">
        <f>IFERROR(INDEX(List_Predictors, INDEX(Array_PredictorsLookup,MATCH($A446,List_PredictorFacilities,0),(COLUMN()-1)/2), 1),"")</f>
        <v/>
      </c>
      <c r="AD446" s="137"/>
      <c r="AE446" s="58" t="str" cm="1">
        <f>IFERROR(INDEX(List_Predictors, INDEX(Array_PredictorsLookup,MATCH($A446,List_PredictorFacilities,0),(COLUMN()-1)/2), 1),"")</f>
        <v/>
      </c>
      <c r="AF446" s="137"/>
    </row>
    <row r="447" spans="1:32" x14ac:dyDescent="0.3">
      <c r="A447" s="126"/>
      <c r="B447" s="141"/>
      <c r="C447" s="58" t="str" cm="1">
        <f>IFERROR(INDEX(List_Predictors, INDEX(Array_PredictorsLookup,MATCH($A447,List_PredictorFacilities,0),(COLUMN()-1)/2), 1),"")</f>
        <v/>
      </c>
      <c r="D447" s="137"/>
      <c r="E447" s="58" t="str" cm="1">
        <f>IFERROR(INDEX(List_Predictors, INDEX(Array_PredictorsLookup,MATCH($A447,List_PredictorFacilities,0),(COLUMN()-1)/2), 1),"")</f>
        <v/>
      </c>
      <c r="F447" s="137"/>
      <c r="G447" s="58" t="str" cm="1">
        <f>IFERROR(INDEX(List_Predictors, INDEX(Array_PredictorsLookup,MATCH($A447,List_PredictorFacilities,0),(COLUMN()-1)/2), 1),"")</f>
        <v/>
      </c>
      <c r="H447" s="137"/>
      <c r="I447" s="58" t="str" cm="1">
        <f>IFERROR(INDEX(List_Predictors, INDEX(Array_PredictorsLookup,MATCH($A447,List_PredictorFacilities,0),(COLUMN()-1)/2), 1),"")</f>
        <v/>
      </c>
      <c r="J447" s="137"/>
      <c r="K447" s="58" t="str" cm="1">
        <f>IFERROR(INDEX(List_Predictors, INDEX(Array_PredictorsLookup,MATCH($A447,List_PredictorFacilities,0),(COLUMN()-1)/2), 1),"")</f>
        <v/>
      </c>
      <c r="L447" s="137"/>
      <c r="M447" s="58" t="str" cm="1">
        <f>IFERROR(INDEX(List_Predictors, INDEX(Array_PredictorsLookup,MATCH($A447,List_PredictorFacilities,0),(COLUMN()-1)/2), 1),"")</f>
        <v/>
      </c>
      <c r="N447" s="137"/>
      <c r="O447" s="58" t="str" cm="1">
        <f>IFERROR(INDEX(List_Predictors, INDEX(Array_PredictorsLookup,MATCH($A447,List_PredictorFacilities,0),(COLUMN()-1)/2), 1),"")</f>
        <v/>
      </c>
      <c r="P447" s="137"/>
      <c r="Q447" s="58" t="str" cm="1">
        <f>IFERROR(INDEX(List_Predictors, INDEX(Array_PredictorsLookup,MATCH($A447,List_PredictorFacilities,0),(COLUMN()-1)/2), 1),"")</f>
        <v/>
      </c>
      <c r="R447" s="137"/>
      <c r="S447" s="58" t="str" cm="1">
        <f>IFERROR(INDEX(List_Predictors, INDEX(Array_PredictorsLookup,MATCH($A447,List_PredictorFacilities,0),(COLUMN()-1)/2), 1),"")</f>
        <v/>
      </c>
      <c r="T447" s="137"/>
      <c r="U447" s="58" t="str" cm="1">
        <f>IFERROR(INDEX(List_Predictors, INDEX(Array_PredictorsLookup,MATCH($A447,List_PredictorFacilities,0),(COLUMN()-1)/2), 1),"")</f>
        <v/>
      </c>
      <c r="V447" s="137"/>
      <c r="W447" s="58" t="str" cm="1">
        <f>IFERROR(INDEX(List_Predictors, INDEX(Array_PredictorsLookup,MATCH($A447,List_PredictorFacilities,0),(COLUMN()-1)/2), 1),"")</f>
        <v/>
      </c>
      <c r="X447" s="137"/>
      <c r="Y447" s="58" t="str" cm="1">
        <f>IFERROR(INDEX(List_Predictors, INDEX(Array_PredictorsLookup,MATCH($A447,List_PredictorFacilities,0),(COLUMN()-1)/2), 1),"")</f>
        <v/>
      </c>
      <c r="Z447" s="137"/>
      <c r="AA447" s="58" t="str" cm="1">
        <f>IFERROR(INDEX(List_Predictors, INDEX(Array_PredictorsLookup,MATCH($A447,List_PredictorFacilities,0),(COLUMN()-1)/2), 1),"")</f>
        <v/>
      </c>
      <c r="AB447" s="137"/>
      <c r="AC447" s="58" t="str" cm="1">
        <f>IFERROR(INDEX(List_Predictors, INDEX(Array_PredictorsLookup,MATCH($A447,List_PredictorFacilities,0),(COLUMN()-1)/2), 1),"")</f>
        <v/>
      </c>
      <c r="AD447" s="137"/>
      <c r="AE447" s="58" t="str" cm="1">
        <f>IFERROR(INDEX(List_Predictors, INDEX(Array_PredictorsLookup,MATCH($A447,List_PredictorFacilities,0),(COLUMN()-1)/2), 1),"")</f>
        <v/>
      </c>
      <c r="AF447" s="137"/>
    </row>
    <row r="448" spans="1:32" x14ac:dyDescent="0.3">
      <c r="A448" s="126"/>
      <c r="B448" s="141"/>
      <c r="C448" s="58" t="str" cm="1">
        <f>IFERROR(INDEX(List_Predictors, INDEX(Array_PredictorsLookup,MATCH($A448,List_PredictorFacilities,0),(COLUMN()-1)/2), 1),"")</f>
        <v/>
      </c>
      <c r="D448" s="137"/>
      <c r="E448" s="58" t="str" cm="1">
        <f>IFERROR(INDEX(List_Predictors, INDEX(Array_PredictorsLookup,MATCH($A448,List_PredictorFacilities,0),(COLUMN()-1)/2), 1),"")</f>
        <v/>
      </c>
      <c r="F448" s="137"/>
      <c r="G448" s="58" t="str" cm="1">
        <f>IFERROR(INDEX(List_Predictors, INDEX(Array_PredictorsLookup,MATCH($A448,List_PredictorFacilities,0),(COLUMN()-1)/2), 1),"")</f>
        <v/>
      </c>
      <c r="H448" s="137"/>
      <c r="I448" s="58" t="str" cm="1">
        <f>IFERROR(INDEX(List_Predictors, INDEX(Array_PredictorsLookup,MATCH($A448,List_PredictorFacilities,0),(COLUMN()-1)/2), 1),"")</f>
        <v/>
      </c>
      <c r="J448" s="137"/>
      <c r="K448" s="58" t="str" cm="1">
        <f>IFERROR(INDEX(List_Predictors, INDEX(Array_PredictorsLookup,MATCH($A448,List_PredictorFacilities,0),(COLUMN()-1)/2), 1),"")</f>
        <v/>
      </c>
      <c r="L448" s="137"/>
      <c r="M448" s="58" t="str" cm="1">
        <f>IFERROR(INDEX(List_Predictors, INDEX(Array_PredictorsLookup,MATCH($A448,List_PredictorFacilities,0),(COLUMN()-1)/2), 1),"")</f>
        <v/>
      </c>
      <c r="N448" s="137"/>
      <c r="O448" s="58" t="str" cm="1">
        <f>IFERROR(INDEX(List_Predictors, INDEX(Array_PredictorsLookup,MATCH($A448,List_PredictorFacilities,0),(COLUMN()-1)/2), 1),"")</f>
        <v/>
      </c>
      <c r="P448" s="137"/>
      <c r="Q448" s="58" t="str" cm="1">
        <f>IFERROR(INDEX(List_Predictors, INDEX(Array_PredictorsLookup,MATCH($A448,List_PredictorFacilities,0),(COLUMN()-1)/2), 1),"")</f>
        <v/>
      </c>
      <c r="R448" s="137"/>
      <c r="S448" s="58" t="str" cm="1">
        <f>IFERROR(INDEX(List_Predictors, INDEX(Array_PredictorsLookup,MATCH($A448,List_PredictorFacilities,0),(COLUMN()-1)/2), 1),"")</f>
        <v/>
      </c>
      <c r="T448" s="137"/>
      <c r="U448" s="58" t="str" cm="1">
        <f>IFERROR(INDEX(List_Predictors, INDEX(Array_PredictorsLookup,MATCH($A448,List_PredictorFacilities,0),(COLUMN()-1)/2), 1),"")</f>
        <v/>
      </c>
      <c r="V448" s="137"/>
      <c r="W448" s="58" t="str" cm="1">
        <f>IFERROR(INDEX(List_Predictors, INDEX(Array_PredictorsLookup,MATCH($A448,List_PredictorFacilities,0),(COLUMN()-1)/2), 1),"")</f>
        <v/>
      </c>
      <c r="X448" s="137"/>
      <c r="Y448" s="58" t="str" cm="1">
        <f>IFERROR(INDEX(List_Predictors, INDEX(Array_PredictorsLookup,MATCH($A448,List_PredictorFacilities,0),(COLUMN()-1)/2), 1),"")</f>
        <v/>
      </c>
      <c r="Z448" s="137"/>
      <c r="AA448" s="58" t="str" cm="1">
        <f>IFERROR(INDEX(List_Predictors, INDEX(Array_PredictorsLookup,MATCH($A448,List_PredictorFacilities,0),(COLUMN()-1)/2), 1),"")</f>
        <v/>
      </c>
      <c r="AB448" s="137"/>
      <c r="AC448" s="58" t="str" cm="1">
        <f>IFERROR(INDEX(List_Predictors, INDEX(Array_PredictorsLookup,MATCH($A448,List_PredictorFacilities,0),(COLUMN()-1)/2), 1),"")</f>
        <v/>
      </c>
      <c r="AD448" s="137"/>
      <c r="AE448" s="58" t="str" cm="1">
        <f>IFERROR(INDEX(List_Predictors, INDEX(Array_PredictorsLookup,MATCH($A448,List_PredictorFacilities,0),(COLUMN()-1)/2), 1),"")</f>
        <v/>
      </c>
      <c r="AF448" s="137"/>
    </row>
    <row r="449" spans="1:32" x14ac:dyDescent="0.3">
      <c r="A449" s="126"/>
      <c r="B449" s="141"/>
      <c r="C449" s="58" t="str" cm="1">
        <f>IFERROR(INDEX(List_Predictors, INDEX(Array_PredictorsLookup,MATCH($A449,List_PredictorFacilities,0),(COLUMN()-1)/2), 1),"")</f>
        <v/>
      </c>
      <c r="D449" s="137"/>
      <c r="E449" s="58" t="str" cm="1">
        <f>IFERROR(INDEX(List_Predictors, INDEX(Array_PredictorsLookup,MATCH($A449,List_PredictorFacilities,0),(COLUMN()-1)/2), 1),"")</f>
        <v/>
      </c>
      <c r="F449" s="137"/>
      <c r="G449" s="58" t="str" cm="1">
        <f>IFERROR(INDEX(List_Predictors, INDEX(Array_PredictorsLookup,MATCH($A449,List_PredictorFacilities,0),(COLUMN()-1)/2), 1),"")</f>
        <v/>
      </c>
      <c r="H449" s="137"/>
      <c r="I449" s="58" t="str" cm="1">
        <f>IFERROR(INDEX(List_Predictors, INDEX(Array_PredictorsLookup,MATCH($A449,List_PredictorFacilities,0),(COLUMN()-1)/2), 1),"")</f>
        <v/>
      </c>
      <c r="J449" s="137"/>
      <c r="K449" s="58" t="str" cm="1">
        <f>IFERROR(INDEX(List_Predictors, INDEX(Array_PredictorsLookup,MATCH($A449,List_PredictorFacilities,0),(COLUMN()-1)/2), 1),"")</f>
        <v/>
      </c>
      <c r="L449" s="137"/>
      <c r="M449" s="58" t="str" cm="1">
        <f>IFERROR(INDEX(List_Predictors, INDEX(Array_PredictorsLookup,MATCH($A449,List_PredictorFacilities,0),(COLUMN()-1)/2), 1),"")</f>
        <v/>
      </c>
      <c r="N449" s="137"/>
      <c r="O449" s="58" t="str" cm="1">
        <f>IFERROR(INDEX(List_Predictors, INDEX(Array_PredictorsLookup,MATCH($A449,List_PredictorFacilities,0),(COLUMN()-1)/2), 1),"")</f>
        <v/>
      </c>
      <c r="P449" s="137"/>
      <c r="Q449" s="58" t="str" cm="1">
        <f>IFERROR(INDEX(List_Predictors, INDEX(Array_PredictorsLookup,MATCH($A449,List_PredictorFacilities,0),(COLUMN()-1)/2), 1),"")</f>
        <v/>
      </c>
      <c r="R449" s="137"/>
      <c r="S449" s="58" t="str" cm="1">
        <f>IFERROR(INDEX(List_Predictors, INDEX(Array_PredictorsLookup,MATCH($A449,List_PredictorFacilities,0),(COLUMN()-1)/2), 1),"")</f>
        <v/>
      </c>
      <c r="T449" s="137"/>
      <c r="U449" s="58" t="str" cm="1">
        <f>IFERROR(INDEX(List_Predictors, INDEX(Array_PredictorsLookup,MATCH($A449,List_PredictorFacilities,0),(COLUMN()-1)/2), 1),"")</f>
        <v/>
      </c>
      <c r="V449" s="137"/>
      <c r="W449" s="58" t="str" cm="1">
        <f>IFERROR(INDEX(List_Predictors, INDEX(Array_PredictorsLookup,MATCH($A449,List_PredictorFacilities,0),(COLUMN()-1)/2), 1),"")</f>
        <v/>
      </c>
      <c r="X449" s="137"/>
      <c r="Y449" s="58" t="str" cm="1">
        <f>IFERROR(INDEX(List_Predictors, INDEX(Array_PredictorsLookup,MATCH($A449,List_PredictorFacilities,0),(COLUMN()-1)/2), 1),"")</f>
        <v/>
      </c>
      <c r="Z449" s="137"/>
      <c r="AA449" s="58" t="str" cm="1">
        <f>IFERROR(INDEX(List_Predictors, INDEX(Array_PredictorsLookup,MATCH($A449,List_PredictorFacilities,0),(COLUMN()-1)/2), 1),"")</f>
        <v/>
      </c>
      <c r="AB449" s="137"/>
      <c r="AC449" s="58" t="str" cm="1">
        <f>IFERROR(INDEX(List_Predictors, INDEX(Array_PredictorsLookup,MATCH($A449,List_PredictorFacilities,0),(COLUMN()-1)/2), 1),"")</f>
        <v/>
      </c>
      <c r="AD449" s="137"/>
      <c r="AE449" s="58" t="str" cm="1">
        <f>IFERROR(INDEX(List_Predictors, INDEX(Array_PredictorsLookup,MATCH($A449,List_PredictorFacilities,0),(COLUMN()-1)/2), 1),"")</f>
        <v/>
      </c>
      <c r="AF449" s="137"/>
    </row>
    <row r="450" spans="1:32" x14ac:dyDescent="0.3">
      <c r="A450" s="126"/>
      <c r="B450" s="141"/>
      <c r="C450" s="58" t="str" cm="1">
        <f>IFERROR(INDEX(List_Predictors, INDEX(Array_PredictorsLookup,MATCH($A450,List_PredictorFacilities,0),(COLUMN()-1)/2), 1),"")</f>
        <v/>
      </c>
      <c r="D450" s="137"/>
      <c r="E450" s="58" t="str" cm="1">
        <f>IFERROR(INDEX(List_Predictors, INDEX(Array_PredictorsLookup,MATCH($A450,List_PredictorFacilities,0),(COLUMN()-1)/2), 1),"")</f>
        <v/>
      </c>
      <c r="F450" s="137"/>
      <c r="G450" s="58" t="str" cm="1">
        <f>IFERROR(INDEX(List_Predictors, INDEX(Array_PredictorsLookup,MATCH($A450,List_PredictorFacilities,0),(COLUMN()-1)/2), 1),"")</f>
        <v/>
      </c>
      <c r="H450" s="137"/>
      <c r="I450" s="58" t="str" cm="1">
        <f>IFERROR(INDEX(List_Predictors, INDEX(Array_PredictorsLookup,MATCH($A450,List_PredictorFacilities,0),(COLUMN()-1)/2), 1),"")</f>
        <v/>
      </c>
      <c r="J450" s="137"/>
      <c r="K450" s="58" t="str" cm="1">
        <f>IFERROR(INDEX(List_Predictors, INDEX(Array_PredictorsLookup,MATCH($A450,List_PredictorFacilities,0),(COLUMN()-1)/2), 1),"")</f>
        <v/>
      </c>
      <c r="L450" s="137"/>
      <c r="M450" s="58" t="str" cm="1">
        <f>IFERROR(INDEX(List_Predictors, INDEX(Array_PredictorsLookup,MATCH($A450,List_PredictorFacilities,0),(COLUMN()-1)/2), 1),"")</f>
        <v/>
      </c>
      <c r="N450" s="137"/>
      <c r="O450" s="58" t="str" cm="1">
        <f>IFERROR(INDEX(List_Predictors, INDEX(Array_PredictorsLookup,MATCH($A450,List_PredictorFacilities,0),(COLUMN()-1)/2), 1),"")</f>
        <v/>
      </c>
      <c r="P450" s="137"/>
      <c r="Q450" s="58" t="str" cm="1">
        <f>IFERROR(INDEX(List_Predictors, INDEX(Array_PredictorsLookup,MATCH($A450,List_PredictorFacilities,0),(COLUMN()-1)/2), 1),"")</f>
        <v/>
      </c>
      <c r="R450" s="137"/>
      <c r="S450" s="58" t="str" cm="1">
        <f>IFERROR(INDEX(List_Predictors, INDEX(Array_PredictorsLookup,MATCH($A450,List_PredictorFacilities,0),(COLUMN()-1)/2), 1),"")</f>
        <v/>
      </c>
      <c r="T450" s="137"/>
      <c r="U450" s="58" t="str" cm="1">
        <f>IFERROR(INDEX(List_Predictors, INDEX(Array_PredictorsLookup,MATCH($A450,List_PredictorFacilities,0),(COLUMN()-1)/2), 1),"")</f>
        <v/>
      </c>
      <c r="V450" s="137"/>
      <c r="W450" s="58" t="str" cm="1">
        <f>IFERROR(INDEX(List_Predictors, INDEX(Array_PredictorsLookup,MATCH($A450,List_PredictorFacilities,0),(COLUMN()-1)/2), 1),"")</f>
        <v/>
      </c>
      <c r="X450" s="137"/>
      <c r="Y450" s="58" t="str" cm="1">
        <f>IFERROR(INDEX(List_Predictors, INDEX(Array_PredictorsLookup,MATCH($A450,List_PredictorFacilities,0),(COLUMN()-1)/2), 1),"")</f>
        <v/>
      </c>
      <c r="Z450" s="137"/>
      <c r="AA450" s="58" t="str" cm="1">
        <f>IFERROR(INDEX(List_Predictors, INDEX(Array_PredictorsLookup,MATCH($A450,List_PredictorFacilities,0),(COLUMN()-1)/2), 1),"")</f>
        <v/>
      </c>
      <c r="AB450" s="137"/>
      <c r="AC450" s="58" t="str" cm="1">
        <f>IFERROR(INDEX(List_Predictors, INDEX(Array_PredictorsLookup,MATCH($A450,List_PredictorFacilities,0),(COLUMN()-1)/2), 1),"")</f>
        <v/>
      </c>
      <c r="AD450" s="137"/>
      <c r="AE450" s="58" t="str" cm="1">
        <f>IFERROR(INDEX(List_Predictors, INDEX(Array_PredictorsLookup,MATCH($A450,List_PredictorFacilities,0),(COLUMN()-1)/2), 1),"")</f>
        <v/>
      </c>
      <c r="AF450" s="137"/>
    </row>
    <row r="451" spans="1:32" x14ac:dyDescent="0.3">
      <c r="A451" s="126"/>
      <c r="B451" s="141"/>
      <c r="C451" s="58" t="str" cm="1">
        <f>IFERROR(INDEX(List_Predictors, INDEX(Array_PredictorsLookup,MATCH($A451,List_PredictorFacilities,0),(COLUMN()-1)/2), 1),"")</f>
        <v/>
      </c>
      <c r="D451" s="137"/>
      <c r="E451" s="58" t="str" cm="1">
        <f>IFERROR(INDEX(List_Predictors, INDEX(Array_PredictorsLookup,MATCH($A451,List_PredictorFacilities,0),(COLUMN()-1)/2), 1),"")</f>
        <v/>
      </c>
      <c r="F451" s="137"/>
      <c r="G451" s="58" t="str" cm="1">
        <f>IFERROR(INDEX(List_Predictors, INDEX(Array_PredictorsLookup,MATCH($A451,List_PredictorFacilities,0),(COLUMN()-1)/2), 1),"")</f>
        <v/>
      </c>
      <c r="H451" s="137"/>
      <c r="I451" s="58" t="str" cm="1">
        <f>IFERROR(INDEX(List_Predictors, INDEX(Array_PredictorsLookup,MATCH($A451,List_PredictorFacilities,0),(COLUMN()-1)/2), 1),"")</f>
        <v/>
      </c>
      <c r="J451" s="137"/>
      <c r="K451" s="58" t="str" cm="1">
        <f>IFERROR(INDEX(List_Predictors, INDEX(Array_PredictorsLookup,MATCH($A451,List_PredictorFacilities,0),(COLUMN()-1)/2), 1),"")</f>
        <v/>
      </c>
      <c r="L451" s="137"/>
      <c r="M451" s="58" t="str" cm="1">
        <f>IFERROR(INDEX(List_Predictors, INDEX(Array_PredictorsLookup,MATCH($A451,List_PredictorFacilities,0),(COLUMN()-1)/2), 1),"")</f>
        <v/>
      </c>
      <c r="N451" s="137"/>
      <c r="O451" s="58" t="str" cm="1">
        <f>IFERROR(INDEX(List_Predictors, INDEX(Array_PredictorsLookup,MATCH($A451,List_PredictorFacilities,0),(COLUMN()-1)/2), 1),"")</f>
        <v/>
      </c>
      <c r="P451" s="137"/>
      <c r="Q451" s="58" t="str" cm="1">
        <f>IFERROR(INDEX(List_Predictors, INDEX(Array_PredictorsLookup,MATCH($A451,List_PredictorFacilities,0),(COLUMN()-1)/2), 1),"")</f>
        <v/>
      </c>
      <c r="R451" s="137"/>
      <c r="S451" s="58" t="str" cm="1">
        <f>IFERROR(INDEX(List_Predictors, INDEX(Array_PredictorsLookup,MATCH($A451,List_PredictorFacilities,0),(COLUMN()-1)/2), 1),"")</f>
        <v/>
      </c>
      <c r="T451" s="137"/>
      <c r="U451" s="58" t="str" cm="1">
        <f>IFERROR(INDEX(List_Predictors, INDEX(Array_PredictorsLookup,MATCH($A451,List_PredictorFacilities,0),(COLUMN()-1)/2), 1),"")</f>
        <v/>
      </c>
      <c r="V451" s="137"/>
      <c r="W451" s="58" t="str" cm="1">
        <f>IFERROR(INDEX(List_Predictors, INDEX(Array_PredictorsLookup,MATCH($A451,List_PredictorFacilities,0),(COLUMN()-1)/2), 1),"")</f>
        <v/>
      </c>
      <c r="X451" s="137"/>
      <c r="Y451" s="58" t="str" cm="1">
        <f>IFERROR(INDEX(List_Predictors, INDEX(Array_PredictorsLookup,MATCH($A451,List_PredictorFacilities,0),(COLUMN()-1)/2), 1),"")</f>
        <v/>
      </c>
      <c r="Z451" s="137"/>
      <c r="AA451" s="58" t="str" cm="1">
        <f>IFERROR(INDEX(List_Predictors, INDEX(Array_PredictorsLookup,MATCH($A451,List_PredictorFacilities,0),(COLUMN()-1)/2), 1),"")</f>
        <v/>
      </c>
      <c r="AB451" s="137"/>
      <c r="AC451" s="58" t="str" cm="1">
        <f>IFERROR(INDEX(List_Predictors, INDEX(Array_PredictorsLookup,MATCH($A451,List_PredictorFacilities,0),(COLUMN()-1)/2), 1),"")</f>
        <v/>
      </c>
      <c r="AD451" s="137"/>
      <c r="AE451" s="58" t="str" cm="1">
        <f>IFERROR(INDEX(List_Predictors, INDEX(Array_PredictorsLookup,MATCH($A451,List_PredictorFacilities,0),(COLUMN()-1)/2), 1),"")</f>
        <v/>
      </c>
      <c r="AF451" s="137"/>
    </row>
    <row r="452" spans="1:32" x14ac:dyDescent="0.3">
      <c r="A452" s="126"/>
      <c r="B452" s="141"/>
      <c r="C452" s="58" t="str" cm="1">
        <f>IFERROR(INDEX(List_Predictors, INDEX(Array_PredictorsLookup,MATCH($A452,List_PredictorFacilities,0),(COLUMN()-1)/2), 1),"")</f>
        <v/>
      </c>
      <c r="D452" s="137"/>
      <c r="E452" s="58" t="str" cm="1">
        <f>IFERROR(INDEX(List_Predictors, INDEX(Array_PredictorsLookup,MATCH($A452,List_PredictorFacilities,0),(COLUMN()-1)/2), 1),"")</f>
        <v/>
      </c>
      <c r="F452" s="137"/>
      <c r="G452" s="58" t="str" cm="1">
        <f>IFERROR(INDEX(List_Predictors, INDEX(Array_PredictorsLookup,MATCH($A452,List_PredictorFacilities,0),(COLUMN()-1)/2), 1),"")</f>
        <v/>
      </c>
      <c r="H452" s="137"/>
      <c r="I452" s="58" t="str" cm="1">
        <f>IFERROR(INDEX(List_Predictors, INDEX(Array_PredictorsLookup,MATCH($A452,List_PredictorFacilities,0),(COLUMN()-1)/2), 1),"")</f>
        <v/>
      </c>
      <c r="J452" s="137"/>
      <c r="K452" s="58" t="str" cm="1">
        <f>IFERROR(INDEX(List_Predictors, INDEX(Array_PredictorsLookup,MATCH($A452,List_PredictorFacilities,0),(COLUMN()-1)/2), 1),"")</f>
        <v/>
      </c>
      <c r="L452" s="137"/>
      <c r="M452" s="58" t="str" cm="1">
        <f>IFERROR(INDEX(List_Predictors, INDEX(Array_PredictorsLookup,MATCH($A452,List_PredictorFacilities,0),(COLUMN()-1)/2), 1),"")</f>
        <v/>
      </c>
      <c r="N452" s="137"/>
      <c r="O452" s="58" t="str" cm="1">
        <f>IFERROR(INDEX(List_Predictors, INDEX(Array_PredictorsLookup,MATCH($A452,List_PredictorFacilities,0),(COLUMN()-1)/2), 1),"")</f>
        <v/>
      </c>
      <c r="P452" s="137"/>
      <c r="Q452" s="58" t="str" cm="1">
        <f>IFERROR(INDEX(List_Predictors, INDEX(Array_PredictorsLookup,MATCH($A452,List_PredictorFacilities,0),(COLUMN()-1)/2), 1),"")</f>
        <v/>
      </c>
      <c r="R452" s="137"/>
      <c r="S452" s="58" t="str" cm="1">
        <f>IFERROR(INDEX(List_Predictors, INDEX(Array_PredictorsLookup,MATCH($A452,List_PredictorFacilities,0),(COLUMN()-1)/2), 1),"")</f>
        <v/>
      </c>
      <c r="T452" s="137"/>
      <c r="U452" s="58" t="str" cm="1">
        <f>IFERROR(INDEX(List_Predictors, INDEX(Array_PredictorsLookup,MATCH($A452,List_PredictorFacilities,0),(COLUMN()-1)/2), 1),"")</f>
        <v/>
      </c>
      <c r="V452" s="137"/>
      <c r="W452" s="58" t="str" cm="1">
        <f>IFERROR(INDEX(List_Predictors, INDEX(Array_PredictorsLookup,MATCH($A452,List_PredictorFacilities,0),(COLUMN()-1)/2), 1),"")</f>
        <v/>
      </c>
      <c r="X452" s="137"/>
      <c r="Y452" s="58" t="str" cm="1">
        <f>IFERROR(INDEX(List_Predictors, INDEX(Array_PredictorsLookup,MATCH($A452,List_PredictorFacilities,0),(COLUMN()-1)/2), 1),"")</f>
        <v/>
      </c>
      <c r="Z452" s="137"/>
      <c r="AA452" s="58" t="str" cm="1">
        <f>IFERROR(INDEX(List_Predictors, INDEX(Array_PredictorsLookup,MATCH($A452,List_PredictorFacilities,0),(COLUMN()-1)/2), 1),"")</f>
        <v/>
      </c>
      <c r="AB452" s="137"/>
      <c r="AC452" s="58" t="str" cm="1">
        <f>IFERROR(INDEX(List_Predictors, INDEX(Array_PredictorsLookup,MATCH($A452,List_PredictorFacilities,0),(COLUMN()-1)/2), 1),"")</f>
        <v/>
      </c>
      <c r="AD452" s="137"/>
      <c r="AE452" s="58" t="str" cm="1">
        <f>IFERROR(INDEX(List_Predictors, INDEX(Array_PredictorsLookup,MATCH($A452,List_PredictorFacilities,0),(COLUMN()-1)/2), 1),"")</f>
        <v/>
      </c>
      <c r="AF452" s="137"/>
    </row>
    <row r="453" spans="1:32" x14ac:dyDescent="0.3">
      <c r="A453" s="126"/>
      <c r="B453" s="141"/>
      <c r="C453" s="58" t="str" cm="1">
        <f>IFERROR(INDEX(List_Predictors, INDEX(Array_PredictorsLookup,MATCH($A453,List_PredictorFacilities,0),(COLUMN()-1)/2), 1),"")</f>
        <v/>
      </c>
      <c r="D453" s="137"/>
      <c r="E453" s="58" t="str" cm="1">
        <f>IFERROR(INDEX(List_Predictors, INDEX(Array_PredictorsLookup,MATCH($A453,List_PredictorFacilities,0),(COLUMN()-1)/2), 1),"")</f>
        <v/>
      </c>
      <c r="F453" s="137"/>
      <c r="G453" s="58" t="str" cm="1">
        <f>IFERROR(INDEX(List_Predictors, INDEX(Array_PredictorsLookup,MATCH($A453,List_PredictorFacilities,0),(COLUMN()-1)/2), 1),"")</f>
        <v/>
      </c>
      <c r="H453" s="137"/>
      <c r="I453" s="58" t="str" cm="1">
        <f>IFERROR(INDEX(List_Predictors, INDEX(Array_PredictorsLookup,MATCH($A453,List_PredictorFacilities,0),(COLUMN()-1)/2), 1),"")</f>
        <v/>
      </c>
      <c r="J453" s="137"/>
      <c r="K453" s="58" t="str" cm="1">
        <f>IFERROR(INDEX(List_Predictors, INDEX(Array_PredictorsLookup,MATCH($A453,List_PredictorFacilities,0),(COLUMN()-1)/2), 1),"")</f>
        <v/>
      </c>
      <c r="L453" s="137"/>
      <c r="M453" s="58" t="str" cm="1">
        <f>IFERROR(INDEX(List_Predictors, INDEX(Array_PredictorsLookup,MATCH($A453,List_PredictorFacilities,0),(COLUMN()-1)/2), 1),"")</f>
        <v/>
      </c>
      <c r="N453" s="137"/>
      <c r="O453" s="58" t="str" cm="1">
        <f>IFERROR(INDEX(List_Predictors, INDEX(Array_PredictorsLookup,MATCH($A453,List_PredictorFacilities,0),(COLUMN()-1)/2), 1),"")</f>
        <v/>
      </c>
      <c r="P453" s="137"/>
      <c r="Q453" s="58" t="str" cm="1">
        <f>IFERROR(INDEX(List_Predictors, INDEX(Array_PredictorsLookup,MATCH($A453,List_PredictorFacilities,0),(COLUMN()-1)/2), 1),"")</f>
        <v/>
      </c>
      <c r="R453" s="137"/>
      <c r="S453" s="58" t="str" cm="1">
        <f>IFERROR(INDEX(List_Predictors, INDEX(Array_PredictorsLookup,MATCH($A453,List_PredictorFacilities,0),(COLUMN()-1)/2), 1),"")</f>
        <v/>
      </c>
      <c r="T453" s="137"/>
      <c r="U453" s="58" t="str" cm="1">
        <f>IFERROR(INDEX(List_Predictors, INDEX(Array_PredictorsLookup,MATCH($A453,List_PredictorFacilities,0),(COLUMN()-1)/2), 1),"")</f>
        <v/>
      </c>
      <c r="V453" s="137"/>
      <c r="W453" s="58" t="str" cm="1">
        <f>IFERROR(INDEX(List_Predictors, INDEX(Array_PredictorsLookup,MATCH($A453,List_PredictorFacilities,0),(COLUMN()-1)/2), 1),"")</f>
        <v/>
      </c>
      <c r="X453" s="137"/>
      <c r="Y453" s="58" t="str" cm="1">
        <f>IFERROR(INDEX(List_Predictors, INDEX(Array_PredictorsLookup,MATCH($A453,List_PredictorFacilities,0),(COLUMN()-1)/2), 1),"")</f>
        <v/>
      </c>
      <c r="Z453" s="137"/>
      <c r="AA453" s="58" t="str" cm="1">
        <f>IFERROR(INDEX(List_Predictors, INDEX(Array_PredictorsLookup,MATCH($A453,List_PredictorFacilities,0),(COLUMN()-1)/2), 1),"")</f>
        <v/>
      </c>
      <c r="AB453" s="137"/>
      <c r="AC453" s="58" t="str" cm="1">
        <f>IFERROR(INDEX(List_Predictors, INDEX(Array_PredictorsLookup,MATCH($A453,List_PredictorFacilities,0),(COLUMN()-1)/2), 1),"")</f>
        <v/>
      </c>
      <c r="AD453" s="137"/>
      <c r="AE453" s="58" t="str" cm="1">
        <f>IFERROR(INDEX(List_Predictors, INDEX(Array_PredictorsLookup,MATCH($A453,List_PredictorFacilities,0),(COLUMN()-1)/2), 1),"")</f>
        <v/>
      </c>
      <c r="AF453" s="137"/>
    </row>
    <row r="454" spans="1:32" x14ac:dyDescent="0.3">
      <c r="A454" s="126"/>
      <c r="B454" s="141"/>
      <c r="C454" s="58" t="str" cm="1">
        <f>IFERROR(INDEX(List_Predictors, INDEX(Array_PredictorsLookup,MATCH($A454,List_PredictorFacilities,0),(COLUMN()-1)/2), 1),"")</f>
        <v/>
      </c>
      <c r="D454" s="137"/>
      <c r="E454" s="58" t="str" cm="1">
        <f>IFERROR(INDEX(List_Predictors, INDEX(Array_PredictorsLookup,MATCH($A454,List_PredictorFacilities,0),(COLUMN()-1)/2), 1),"")</f>
        <v/>
      </c>
      <c r="F454" s="137"/>
      <c r="G454" s="58" t="str" cm="1">
        <f>IFERROR(INDEX(List_Predictors, INDEX(Array_PredictorsLookup,MATCH($A454,List_PredictorFacilities,0),(COLUMN()-1)/2), 1),"")</f>
        <v/>
      </c>
      <c r="H454" s="137"/>
      <c r="I454" s="58" t="str" cm="1">
        <f>IFERROR(INDEX(List_Predictors, INDEX(Array_PredictorsLookup,MATCH($A454,List_PredictorFacilities,0),(COLUMN()-1)/2), 1),"")</f>
        <v/>
      </c>
      <c r="J454" s="137"/>
      <c r="K454" s="58" t="str" cm="1">
        <f>IFERROR(INDEX(List_Predictors, INDEX(Array_PredictorsLookup,MATCH($A454,List_PredictorFacilities,0),(COLUMN()-1)/2), 1),"")</f>
        <v/>
      </c>
      <c r="L454" s="137"/>
      <c r="M454" s="58" t="str" cm="1">
        <f>IFERROR(INDEX(List_Predictors, INDEX(Array_PredictorsLookup,MATCH($A454,List_PredictorFacilities,0),(COLUMN()-1)/2), 1),"")</f>
        <v/>
      </c>
      <c r="N454" s="137"/>
      <c r="O454" s="58" t="str" cm="1">
        <f>IFERROR(INDEX(List_Predictors, INDEX(Array_PredictorsLookup,MATCH($A454,List_PredictorFacilities,0),(COLUMN()-1)/2), 1),"")</f>
        <v/>
      </c>
      <c r="P454" s="137"/>
      <c r="Q454" s="58" t="str" cm="1">
        <f>IFERROR(INDEX(List_Predictors, INDEX(Array_PredictorsLookup,MATCH($A454,List_PredictorFacilities,0),(COLUMN()-1)/2), 1),"")</f>
        <v/>
      </c>
      <c r="R454" s="137"/>
      <c r="S454" s="58" t="str" cm="1">
        <f>IFERROR(INDEX(List_Predictors, INDEX(Array_PredictorsLookup,MATCH($A454,List_PredictorFacilities,0),(COLUMN()-1)/2), 1),"")</f>
        <v/>
      </c>
      <c r="T454" s="137"/>
      <c r="U454" s="58" t="str" cm="1">
        <f>IFERROR(INDEX(List_Predictors, INDEX(Array_PredictorsLookup,MATCH($A454,List_PredictorFacilities,0),(COLUMN()-1)/2), 1),"")</f>
        <v/>
      </c>
      <c r="V454" s="137"/>
      <c r="W454" s="58" t="str" cm="1">
        <f>IFERROR(INDEX(List_Predictors, INDEX(Array_PredictorsLookup,MATCH($A454,List_PredictorFacilities,0),(COLUMN()-1)/2), 1),"")</f>
        <v/>
      </c>
      <c r="X454" s="137"/>
      <c r="Y454" s="58" t="str" cm="1">
        <f>IFERROR(INDEX(List_Predictors, INDEX(Array_PredictorsLookup,MATCH($A454,List_PredictorFacilities,0),(COLUMN()-1)/2), 1),"")</f>
        <v/>
      </c>
      <c r="Z454" s="137"/>
      <c r="AA454" s="58" t="str" cm="1">
        <f>IFERROR(INDEX(List_Predictors, INDEX(Array_PredictorsLookup,MATCH($A454,List_PredictorFacilities,0),(COLUMN()-1)/2), 1),"")</f>
        <v/>
      </c>
      <c r="AB454" s="137"/>
      <c r="AC454" s="58" t="str" cm="1">
        <f>IFERROR(INDEX(List_Predictors, INDEX(Array_PredictorsLookup,MATCH($A454,List_PredictorFacilities,0),(COLUMN()-1)/2), 1),"")</f>
        <v/>
      </c>
      <c r="AD454" s="137"/>
      <c r="AE454" s="58" t="str" cm="1">
        <f>IFERROR(INDEX(List_Predictors, INDEX(Array_PredictorsLookup,MATCH($A454,List_PredictorFacilities,0),(COLUMN()-1)/2), 1),"")</f>
        <v/>
      </c>
      <c r="AF454" s="137"/>
    </row>
    <row r="455" spans="1:32" x14ac:dyDescent="0.3">
      <c r="A455" s="126"/>
      <c r="B455" s="141"/>
      <c r="C455" s="58" t="str" cm="1">
        <f>IFERROR(INDEX(List_Predictors, INDEX(Array_PredictorsLookup,MATCH($A455,List_PredictorFacilities,0),(COLUMN()-1)/2), 1),"")</f>
        <v/>
      </c>
      <c r="D455" s="137"/>
      <c r="E455" s="58" t="str" cm="1">
        <f>IFERROR(INDEX(List_Predictors, INDEX(Array_PredictorsLookup,MATCH($A455,List_PredictorFacilities,0),(COLUMN()-1)/2), 1),"")</f>
        <v/>
      </c>
      <c r="F455" s="137"/>
      <c r="G455" s="58" t="str" cm="1">
        <f>IFERROR(INDEX(List_Predictors, INDEX(Array_PredictorsLookup,MATCH($A455,List_PredictorFacilities,0),(COLUMN()-1)/2), 1),"")</f>
        <v/>
      </c>
      <c r="H455" s="137"/>
      <c r="I455" s="58" t="str" cm="1">
        <f>IFERROR(INDEX(List_Predictors, INDEX(Array_PredictorsLookup,MATCH($A455,List_PredictorFacilities,0),(COLUMN()-1)/2), 1),"")</f>
        <v/>
      </c>
      <c r="J455" s="137"/>
      <c r="K455" s="58" t="str" cm="1">
        <f>IFERROR(INDEX(List_Predictors, INDEX(Array_PredictorsLookup,MATCH($A455,List_PredictorFacilities,0),(COLUMN()-1)/2), 1),"")</f>
        <v/>
      </c>
      <c r="L455" s="137"/>
      <c r="M455" s="58" t="str" cm="1">
        <f>IFERROR(INDEX(List_Predictors, INDEX(Array_PredictorsLookup,MATCH($A455,List_PredictorFacilities,0),(COLUMN()-1)/2), 1),"")</f>
        <v/>
      </c>
      <c r="N455" s="137"/>
      <c r="O455" s="58" t="str" cm="1">
        <f>IFERROR(INDEX(List_Predictors, INDEX(Array_PredictorsLookup,MATCH($A455,List_PredictorFacilities,0),(COLUMN()-1)/2), 1),"")</f>
        <v/>
      </c>
      <c r="P455" s="137"/>
      <c r="Q455" s="58" t="str" cm="1">
        <f>IFERROR(INDEX(List_Predictors, INDEX(Array_PredictorsLookup,MATCH($A455,List_PredictorFacilities,0),(COLUMN()-1)/2), 1),"")</f>
        <v/>
      </c>
      <c r="R455" s="137"/>
      <c r="S455" s="58" t="str" cm="1">
        <f>IFERROR(INDEX(List_Predictors, INDEX(Array_PredictorsLookup,MATCH($A455,List_PredictorFacilities,0),(COLUMN()-1)/2), 1),"")</f>
        <v/>
      </c>
      <c r="T455" s="137"/>
      <c r="U455" s="58" t="str" cm="1">
        <f>IFERROR(INDEX(List_Predictors, INDEX(Array_PredictorsLookup,MATCH($A455,List_PredictorFacilities,0),(COLUMN()-1)/2), 1),"")</f>
        <v/>
      </c>
      <c r="V455" s="137"/>
      <c r="W455" s="58" t="str" cm="1">
        <f>IFERROR(INDEX(List_Predictors, INDEX(Array_PredictorsLookup,MATCH($A455,List_PredictorFacilities,0),(COLUMN()-1)/2), 1),"")</f>
        <v/>
      </c>
      <c r="X455" s="137"/>
      <c r="Y455" s="58" t="str" cm="1">
        <f>IFERROR(INDEX(List_Predictors, INDEX(Array_PredictorsLookup,MATCH($A455,List_PredictorFacilities,0),(COLUMN()-1)/2), 1),"")</f>
        <v/>
      </c>
      <c r="Z455" s="137"/>
      <c r="AA455" s="58" t="str" cm="1">
        <f>IFERROR(INDEX(List_Predictors, INDEX(Array_PredictorsLookup,MATCH($A455,List_PredictorFacilities,0),(COLUMN()-1)/2), 1),"")</f>
        <v/>
      </c>
      <c r="AB455" s="137"/>
      <c r="AC455" s="58" t="str" cm="1">
        <f>IFERROR(INDEX(List_Predictors, INDEX(Array_PredictorsLookup,MATCH($A455,List_PredictorFacilities,0),(COLUMN()-1)/2), 1),"")</f>
        <v/>
      </c>
      <c r="AD455" s="137"/>
      <c r="AE455" s="58" t="str" cm="1">
        <f>IFERROR(INDEX(List_Predictors, INDEX(Array_PredictorsLookup,MATCH($A455,List_PredictorFacilities,0),(COLUMN()-1)/2), 1),"")</f>
        <v/>
      </c>
      <c r="AF455" s="137"/>
    </row>
    <row r="456" spans="1:32" x14ac:dyDescent="0.3">
      <c r="A456" s="126"/>
      <c r="B456" s="141"/>
      <c r="C456" s="58" t="str" cm="1">
        <f>IFERROR(INDEX(List_Predictors, INDEX(Array_PredictorsLookup,MATCH($A456,List_PredictorFacilities,0),(COLUMN()-1)/2), 1),"")</f>
        <v/>
      </c>
      <c r="D456" s="137"/>
      <c r="E456" s="58" t="str" cm="1">
        <f>IFERROR(INDEX(List_Predictors, INDEX(Array_PredictorsLookup,MATCH($A456,List_PredictorFacilities,0),(COLUMN()-1)/2), 1),"")</f>
        <v/>
      </c>
      <c r="F456" s="137"/>
      <c r="G456" s="58" t="str" cm="1">
        <f>IFERROR(INDEX(List_Predictors, INDEX(Array_PredictorsLookup,MATCH($A456,List_PredictorFacilities,0),(COLUMN()-1)/2), 1),"")</f>
        <v/>
      </c>
      <c r="H456" s="137"/>
      <c r="I456" s="58" t="str" cm="1">
        <f>IFERROR(INDEX(List_Predictors, INDEX(Array_PredictorsLookup,MATCH($A456,List_PredictorFacilities,0),(COLUMN()-1)/2), 1),"")</f>
        <v/>
      </c>
      <c r="J456" s="137"/>
      <c r="K456" s="58" t="str" cm="1">
        <f>IFERROR(INDEX(List_Predictors, INDEX(Array_PredictorsLookup,MATCH($A456,List_PredictorFacilities,0),(COLUMN()-1)/2), 1),"")</f>
        <v/>
      </c>
      <c r="L456" s="137"/>
      <c r="M456" s="58" t="str" cm="1">
        <f>IFERROR(INDEX(List_Predictors, INDEX(Array_PredictorsLookup,MATCH($A456,List_PredictorFacilities,0),(COLUMN()-1)/2), 1),"")</f>
        <v/>
      </c>
      <c r="N456" s="137"/>
      <c r="O456" s="58" t="str" cm="1">
        <f>IFERROR(INDEX(List_Predictors, INDEX(Array_PredictorsLookup,MATCH($A456,List_PredictorFacilities,0),(COLUMN()-1)/2), 1),"")</f>
        <v/>
      </c>
      <c r="P456" s="137"/>
      <c r="Q456" s="58" t="str" cm="1">
        <f>IFERROR(INDEX(List_Predictors, INDEX(Array_PredictorsLookup,MATCH($A456,List_PredictorFacilities,0),(COLUMN()-1)/2), 1),"")</f>
        <v/>
      </c>
      <c r="R456" s="137"/>
      <c r="S456" s="58" t="str" cm="1">
        <f>IFERROR(INDEX(List_Predictors, INDEX(Array_PredictorsLookup,MATCH($A456,List_PredictorFacilities,0),(COLUMN()-1)/2), 1),"")</f>
        <v/>
      </c>
      <c r="T456" s="137"/>
      <c r="U456" s="58" t="str" cm="1">
        <f>IFERROR(INDEX(List_Predictors, INDEX(Array_PredictorsLookup,MATCH($A456,List_PredictorFacilities,0),(COLUMN()-1)/2), 1),"")</f>
        <v/>
      </c>
      <c r="V456" s="137"/>
      <c r="W456" s="58" t="str" cm="1">
        <f>IFERROR(INDEX(List_Predictors, INDEX(Array_PredictorsLookup,MATCH($A456,List_PredictorFacilities,0),(COLUMN()-1)/2), 1),"")</f>
        <v/>
      </c>
      <c r="X456" s="137"/>
      <c r="Y456" s="58" t="str" cm="1">
        <f>IFERROR(INDEX(List_Predictors, INDEX(Array_PredictorsLookup,MATCH($A456,List_PredictorFacilities,0),(COLUMN()-1)/2), 1),"")</f>
        <v/>
      </c>
      <c r="Z456" s="137"/>
      <c r="AA456" s="58" t="str" cm="1">
        <f>IFERROR(INDEX(List_Predictors, INDEX(Array_PredictorsLookup,MATCH($A456,List_PredictorFacilities,0),(COLUMN()-1)/2), 1),"")</f>
        <v/>
      </c>
      <c r="AB456" s="137"/>
      <c r="AC456" s="58" t="str" cm="1">
        <f>IFERROR(INDEX(List_Predictors, INDEX(Array_PredictorsLookup,MATCH($A456,List_PredictorFacilities,0),(COLUMN()-1)/2), 1),"")</f>
        <v/>
      </c>
      <c r="AD456" s="137"/>
      <c r="AE456" s="58" t="str" cm="1">
        <f>IFERROR(INDEX(List_Predictors, INDEX(Array_PredictorsLookup,MATCH($A456,List_PredictorFacilities,0),(COLUMN()-1)/2), 1),"")</f>
        <v/>
      </c>
      <c r="AF456" s="137"/>
    </row>
    <row r="457" spans="1:32" x14ac:dyDescent="0.3">
      <c r="A457" s="126"/>
      <c r="B457" s="141"/>
      <c r="C457" s="58" t="str" cm="1">
        <f>IFERROR(INDEX(List_Predictors, INDEX(Array_PredictorsLookup,MATCH($A457,List_PredictorFacilities,0),(COLUMN()-1)/2), 1),"")</f>
        <v/>
      </c>
      <c r="D457" s="137"/>
      <c r="E457" s="58" t="str" cm="1">
        <f>IFERROR(INDEX(List_Predictors, INDEX(Array_PredictorsLookup,MATCH($A457,List_PredictorFacilities,0),(COLUMN()-1)/2), 1),"")</f>
        <v/>
      </c>
      <c r="F457" s="137"/>
      <c r="G457" s="58" t="str" cm="1">
        <f>IFERROR(INDEX(List_Predictors, INDEX(Array_PredictorsLookup,MATCH($A457,List_PredictorFacilities,0),(COLUMN()-1)/2), 1),"")</f>
        <v/>
      </c>
      <c r="H457" s="137"/>
      <c r="I457" s="58" t="str" cm="1">
        <f>IFERROR(INDEX(List_Predictors, INDEX(Array_PredictorsLookup,MATCH($A457,List_PredictorFacilities,0),(COLUMN()-1)/2), 1),"")</f>
        <v/>
      </c>
      <c r="J457" s="137"/>
      <c r="K457" s="58" t="str" cm="1">
        <f>IFERROR(INDEX(List_Predictors, INDEX(Array_PredictorsLookup,MATCH($A457,List_PredictorFacilities,0),(COLUMN()-1)/2), 1),"")</f>
        <v/>
      </c>
      <c r="L457" s="137"/>
      <c r="M457" s="58" t="str" cm="1">
        <f>IFERROR(INDEX(List_Predictors, INDEX(Array_PredictorsLookup,MATCH($A457,List_PredictorFacilities,0),(COLUMN()-1)/2), 1),"")</f>
        <v/>
      </c>
      <c r="N457" s="137"/>
      <c r="O457" s="58" t="str" cm="1">
        <f>IFERROR(INDEX(List_Predictors, INDEX(Array_PredictorsLookup,MATCH($A457,List_PredictorFacilities,0),(COLUMN()-1)/2), 1),"")</f>
        <v/>
      </c>
      <c r="P457" s="137"/>
      <c r="Q457" s="58" t="str" cm="1">
        <f>IFERROR(INDEX(List_Predictors, INDEX(Array_PredictorsLookup,MATCH($A457,List_PredictorFacilities,0),(COLUMN()-1)/2), 1),"")</f>
        <v/>
      </c>
      <c r="R457" s="137"/>
      <c r="S457" s="58" t="str" cm="1">
        <f>IFERROR(INDEX(List_Predictors, INDEX(Array_PredictorsLookup,MATCH($A457,List_PredictorFacilities,0),(COLUMN()-1)/2), 1),"")</f>
        <v/>
      </c>
      <c r="T457" s="137"/>
      <c r="U457" s="58" t="str" cm="1">
        <f>IFERROR(INDEX(List_Predictors, INDEX(Array_PredictorsLookup,MATCH($A457,List_PredictorFacilities,0),(COLUMN()-1)/2), 1),"")</f>
        <v/>
      </c>
      <c r="V457" s="137"/>
      <c r="W457" s="58" t="str" cm="1">
        <f>IFERROR(INDEX(List_Predictors, INDEX(Array_PredictorsLookup,MATCH($A457,List_PredictorFacilities,0),(COLUMN()-1)/2), 1),"")</f>
        <v/>
      </c>
      <c r="X457" s="137"/>
      <c r="Y457" s="58" t="str" cm="1">
        <f>IFERROR(INDEX(List_Predictors, INDEX(Array_PredictorsLookup,MATCH($A457,List_PredictorFacilities,0),(COLUMN()-1)/2), 1),"")</f>
        <v/>
      </c>
      <c r="Z457" s="137"/>
      <c r="AA457" s="58" t="str" cm="1">
        <f>IFERROR(INDEX(List_Predictors, INDEX(Array_PredictorsLookup,MATCH($A457,List_PredictorFacilities,0),(COLUMN()-1)/2), 1),"")</f>
        <v/>
      </c>
      <c r="AB457" s="137"/>
      <c r="AC457" s="58" t="str" cm="1">
        <f>IFERROR(INDEX(List_Predictors, INDEX(Array_PredictorsLookup,MATCH($A457,List_PredictorFacilities,0),(COLUMN()-1)/2), 1),"")</f>
        <v/>
      </c>
      <c r="AD457" s="137"/>
      <c r="AE457" s="58" t="str" cm="1">
        <f>IFERROR(INDEX(List_Predictors, INDEX(Array_PredictorsLookup,MATCH($A457,List_PredictorFacilities,0),(COLUMN()-1)/2), 1),"")</f>
        <v/>
      </c>
      <c r="AF457" s="137"/>
    </row>
    <row r="458" spans="1:32" x14ac:dyDescent="0.3">
      <c r="A458" s="126"/>
      <c r="B458" s="141"/>
      <c r="C458" s="58" t="str" cm="1">
        <f>IFERROR(INDEX(List_Predictors, INDEX(Array_PredictorsLookup,MATCH($A458,List_PredictorFacilities,0),(COLUMN()-1)/2), 1),"")</f>
        <v/>
      </c>
      <c r="D458" s="137"/>
      <c r="E458" s="58" t="str" cm="1">
        <f>IFERROR(INDEX(List_Predictors, INDEX(Array_PredictorsLookup,MATCH($A458,List_PredictorFacilities,0),(COLUMN()-1)/2), 1),"")</f>
        <v/>
      </c>
      <c r="F458" s="137"/>
      <c r="G458" s="58" t="str" cm="1">
        <f>IFERROR(INDEX(List_Predictors, INDEX(Array_PredictorsLookup,MATCH($A458,List_PredictorFacilities,0),(COLUMN()-1)/2), 1),"")</f>
        <v/>
      </c>
      <c r="H458" s="137"/>
      <c r="I458" s="58" t="str" cm="1">
        <f>IFERROR(INDEX(List_Predictors, INDEX(Array_PredictorsLookup,MATCH($A458,List_PredictorFacilities,0),(COLUMN()-1)/2), 1),"")</f>
        <v/>
      </c>
      <c r="J458" s="137"/>
      <c r="K458" s="58" t="str" cm="1">
        <f>IFERROR(INDEX(List_Predictors, INDEX(Array_PredictorsLookup,MATCH($A458,List_PredictorFacilities,0),(COLUMN()-1)/2), 1),"")</f>
        <v/>
      </c>
      <c r="L458" s="137"/>
      <c r="M458" s="58" t="str" cm="1">
        <f>IFERROR(INDEX(List_Predictors, INDEX(Array_PredictorsLookup,MATCH($A458,List_PredictorFacilities,0),(COLUMN()-1)/2), 1),"")</f>
        <v/>
      </c>
      <c r="N458" s="137"/>
      <c r="O458" s="58" t="str" cm="1">
        <f>IFERROR(INDEX(List_Predictors, INDEX(Array_PredictorsLookup,MATCH($A458,List_PredictorFacilities,0),(COLUMN()-1)/2), 1),"")</f>
        <v/>
      </c>
      <c r="P458" s="137"/>
      <c r="Q458" s="58" t="str" cm="1">
        <f>IFERROR(INDEX(List_Predictors, INDEX(Array_PredictorsLookup,MATCH($A458,List_PredictorFacilities,0),(COLUMN()-1)/2), 1),"")</f>
        <v/>
      </c>
      <c r="R458" s="137"/>
      <c r="S458" s="58" t="str" cm="1">
        <f>IFERROR(INDEX(List_Predictors, INDEX(Array_PredictorsLookup,MATCH($A458,List_PredictorFacilities,0),(COLUMN()-1)/2), 1),"")</f>
        <v/>
      </c>
      <c r="T458" s="137"/>
      <c r="U458" s="58" t="str" cm="1">
        <f>IFERROR(INDEX(List_Predictors, INDEX(Array_PredictorsLookup,MATCH($A458,List_PredictorFacilities,0),(COLUMN()-1)/2), 1),"")</f>
        <v/>
      </c>
      <c r="V458" s="137"/>
      <c r="W458" s="58" t="str" cm="1">
        <f>IFERROR(INDEX(List_Predictors, INDEX(Array_PredictorsLookup,MATCH($A458,List_PredictorFacilities,0),(COLUMN()-1)/2), 1),"")</f>
        <v/>
      </c>
      <c r="X458" s="137"/>
      <c r="Y458" s="58" t="str" cm="1">
        <f>IFERROR(INDEX(List_Predictors, INDEX(Array_PredictorsLookup,MATCH($A458,List_PredictorFacilities,0),(COLUMN()-1)/2), 1),"")</f>
        <v/>
      </c>
      <c r="Z458" s="137"/>
      <c r="AA458" s="58" t="str" cm="1">
        <f>IFERROR(INDEX(List_Predictors, INDEX(Array_PredictorsLookup,MATCH($A458,List_PredictorFacilities,0),(COLUMN()-1)/2), 1),"")</f>
        <v/>
      </c>
      <c r="AB458" s="137"/>
      <c r="AC458" s="58" t="str" cm="1">
        <f>IFERROR(INDEX(List_Predictors, INDEX(Array_PredictorsLookup,MATCH($A458,List_PredictorFacilities,0),(COLUMN()-1)/2), 1),"")</f>
        <v/>
      </c>
      <c r="AD458" s="137"/>
      <c r="AE458" s="58" t="str" cm="1">
        <f>IFERROR(INDEX(List_Predictors, INDEX(Array_PredictorsLookup,MATCH($A458,List_PredictorFacilities,0),(COLUMN()-1)/2), 1),"")</f>
        <v/>
      </c>
      <c r="AF458" s="137"/>
    </row>
    <row r="459" spans="1:32" x14ac:dyDescent="0.3">
      <c r="A459" s="126"/>
      <c r="B459" s="141"/>
      <c r="C459" s="58" t="str" cm="1">
        <f>IFERROR(INDEX(List_Predictors, INDEX(Array_PredictorsLookup,MATCH($A459,List_PredictorFacilities,0),(COLUMN()-1)/2), 1),"")</f>
        <v/>
      </c>
      <c r="D459" s="137"/>
      <c r="E459" s="58" t="str" cm="1">
        <f>IFERROR(INDEX(List_Predictors, INDEX(Array_PredictorsLookup,MATCH($A459,List_PredictorFacilities,0),(COLUMN()-1)/2), 1),"")</f>
        <v/>
      </c>
      <c r="F459" s="137"/>
      <c r="G459" s="58" t="str" cm="1">
        <f>IFERROR(INDEX(List_Predictors, INDEX(Array_PredictorsLookup,MATCH($A459,List_PredictorFacilities,0),(COLUMN()-1)/2), 1),"")</f>
        <v/>
      </c>
      <c r="H459" s="137"/>
      <c r="I459" s="58" t="str" cm="1">
        <f>IFERROR(INDEX(List_Predictors, INDEX(Array_PredictorsLookup,MATCH($A459,List_PredictorFacilities,0),(COLUMN()-1)/2), 1),"")</f>
        <v/>
      </c>
      <c r="J459" s="137"/>
      <c r="K459" s="58" t="str" cm="1">
        <f>IFERROR(INDEX(List_Predictors, INDEX(Array_PredictorsLookup,MATCH($A459,List_PredictorFacilities,0),(COLUMN()-1)/2), 1),"")</f>
        <v/>
      </c>
      <c r="L459" s="137"/>
      <c r="M459" s="58" t="str" cm="1">
        <f>IFERROR(INDEX(List_Predictors, INDEX(Array_PredictorsLookup,MATCH($A459,List_PredictorFacilities,0),(COLUMN()-1)/2), 1),"")</f>
        <v/>
      </c>
      <c r="N459" s="137"/>
      <c r="O459" s="58" t="str" cm="1">
        <f>IFERROR(INDEX(List_Predictors, INDEX(Array_PredictorsLookup,MATCH($A459,List_PredictorFacilities,0),(COLUMN()-1)/2), 1),"")</f>
        <v/>
      </c>
      <c r="P459" s="137"/>
      <c r="Q459" s="58" t="str" cm="1">
        <f>IFERROR(INDEX(List_Predictors, INDEX(Array_PredictorsLookup,MATCH($A459,List_PredictorFacilities,0),(COLUMN()-1)/2), 1),"")</f>
        <v/>
      </c>
      <c r="R459" s="137"/>
      <c r="S459" s="58" t="str" cm="1">
        <f>IFERROR(INDEX(List_Predictors, INDEX(Array_PredictorsLookup,MATCH($A459,List_PredictorFacilities,0),(COLUMN()-1)/2), 1),"")</f>
        <v/>
      </c>
      <c r="T459" s="137"/>
      <c r="U459" s="58" t="str" cm="1">
        <f>IFERROR(INDEX(List_Predictors, INDEX(Array_PredictorsLookup,MATCH($A459,List_PredictorFacilities,0),(COLUMN()-1)/2), 1),"")</f>
        <v/>
      </c>
      <c r="V459" s="137"/>
      <c r="W459" s="58" t="str" cm="1">
        <f>IFERROR(INDEX(List_Predictors, INDEX(Array_PredictorsLookup,MATCH($A459,List_PredictorFacilities,0),(COLUMN()-1)/2), 1),"")</f>
        <v/>
      </c>
      <c r="X459" s="137"/>
      <c r="Y459" s="58" t="str" cm="1">
        <f>IFERROR(INDEX(List_Predictors, INDEX(Array_PredictorsLookup,MATCH($A459,List_PredictorFacilities,0),(COLUMN()-1)/2), 1),"")</f>
        <v/>
      </c>
      <c r="Z459" s="137"/>
      <c r="AA459" s="58" t="str" cm="1">
        <f>IFERROR(INDEX(List_Predictors, INDEX(Array_PredictorsLookup,MATCH($A459,List_PredictorFacilities,0),(COLUMN()-1)/2), 1),"")</f>
        <v/>
      </c>
      <c r="AB459" s="137"/>
      <c r="AC459" s="58" t="str" cm="1">
        <f>IFERROR(INDEX(List_Predictors, INDEX(Array_PredictorsLookup,MATCH($A459,List_PredictorFacilities,0),(COLUMN()-1)/2), 1),"")</f>
        <v/>
      </c>
      <c r="AD459" s="137"/>
      <c r="AE459" s="58" t="str" cm="1">
        <f>IFERROR(INDEX(List_Predictors, INDEX(Array_PredictorsLookup,MATCH($A459,List_PredictorFacilities,0),(COLUMN()-1)/2), 1),"")</f>
        <v/>
      </c>
      <c r="AF459" s="137"/>
    </row>
    <row r="460" spans="1:32" x14ac:dyDescent="0.3">
      <c r="A460" s="126"/>
      <c r="B460" s="141"/>
      <c r="C460" s="58" t="str" cm="1">
        <f>IFERROR(INDEX(List_Predictors, INDEX(Array_PredictorsLookup,MATCH($A460,List_PredictorFacilities,0),(COLUMN()-1)/2), 1),"")</f>
        <v/>
      </c>
      <c r="D460" s="137"/>
      <c r="E460" s="58" t="str" cm="1">
        <f>IFERROR(INDEX(List_Predictors, INDEX(Array_PredictorsLookup,MATCH($A460,List_PredictorFacilities,0),(COLUMN()-1)/2), 1),"")</f>
        <v/>
      </c>
      <c r="F460" s="137"/>
      <c r="G460" s="58" t="str" cm="1">
        <f>IFERROR(INDEX(List_Predictors, INDEX(Array_PredictorsLookup,MATCH($A460,List_PredictorFacilities,0),(COLUMN()-1)/2), 1),"")</f>
        <v/>
      </c>
      <c r="H460" s="137"/>
      <c r="I460" s="58" t="str" cm="1">
        <f>IFERROR(INDEX(List_Predictors, INDEX(Array_PredictorsLookup,MATCH($A460,List_PredictorFacilities,0),(COLUMN()-1)/2), 1),"")</f>
        <v/>
      </c>
      <c r="J460" s="137"/>
      <c r="K460" s="58" t="str" cm="1">
        <f>IFERROR(INDEX(List_Predictors, INDEX(Array_PredictorsLookup,MATCH($A460,List_PredictorFacilities,0),(COLUMN()-1)/2), 1),"")</f>
        <v/>
      </c>
      <c r="L460" s="137"/>
      <c r="M460" s="58" t="str" cm="1">
        <f>IFERROR(INDEX(List_Predictors, INDEX(Array_PredictorsLookup,MATCH($A460,List_PredictorFacilities,0),(COLUMN()-1)/2), 1),"")</f>
        <v/>
      </c>
      <c r="N460" s="137"/>
      <c r="O460" s="58" t="str" cm="1">
        <f>IFERROR(INDEX(List_Predictors, INDEX(Array_PredictorsLookup,MATCH($A460,List_PredictorFacilities,0),(COLUMN()-1)/2), 1),"")</f>
        <v/>
      </c>
      <c r="P460" s="137"/>
      <c r="Q460" s="58" t="str" cm="1">
        <f>IFERROR(INDEX(List_Predictors, INDEX(Array_PredictorsLookup,MATCH($A460,List_PredictorFacilities,0),(COLUMN()-1)/2), 1),"")</f>
        <v/>
      </c>
      <c r="R460" s="137"/>
      <c r="S460" s="58" t="str" cm="1">
        <f>IFERROR(INDEX(List_Predictors, INDEX(Array_PredictorsLookup,MATCH($A460,List_PredictorFacilities,0),(COLUMN()-1)/2), 1),"")</f>
        <v/>
      </c>
      <c r="T460" s="137"/>
      <c r="U460" s="58" t="str" cm="1">
        <f>IFERROR(INDEX(List_Predictors, INDEX(Array_PredictorsLookup,MATCH($A460,List_PredictorFacilities,0),(COLUMN()-1)/2), 1),"")</f>
        <v/>
      </c>
      <c r="V460" s="137"/>
      <c r="W460" s="58" t="str" cm="1">
        <f>IFERROR(INDEX(List_Predictors, INDEX(Array_PredictorsLookup,MATCH($A460,List_PredictorFacilities,0),(COLUMN()-1)/2), 1),"")</f>
        <v/>
      </c>
      <c r="X460" s="137"/>
      <c r="Y460" s="58" t="str" cm="1">
        <f>IFERROR(INDEX(List_Predictors, INDEX(Array_PredictorsLookup,MATCH($A460,List_PredictorFacilities,0),(COLUMN()-1)/2), 1),"")</f>
        <v/>
      </c>
      <c r="Z460" s="137"/>
      <c r="AA460" s="58" t="str" cm="1">
        <f>IFERROR(INDEX(List_Predictors, INDEX(Array_PredictorsLookup,MATCH($A460,List_PredictorFacilities,0),(COLUMN()-1)/2), 1),"")</f>
        <v/>
      </c>
      <c r="AB460" s="137"/>
      <c r="AC460" s="58" t="str" cm="1">
        <f>IFERROR(INDEX(List_Predictors, INDEX(Array_PredictorsLookup,MATCH($A460,List_PredictorFacilities,0),(COLUMN()-1)/2), 1),"")</f>
        <v/>
      </c>
      <c r="AD460" s="137"/>
      <c r="AE460" s="58" t="str" cm="1">
        <f>IFERROR(INDEX(List_Predictors, INDEX(Array_PredictorsLookup,MATCH($A460,List_PredictorFacilities,0),(COLUMN()-1)/2), 1),"")</f>
        <v/>
      </c>
      <c r="AF460" s="137"/>
    </row>
    <row r="461" spans="1:32" x14ac:dyDescent="0.3">
      <c r="A461" s="126"/>
      <c r="B461" s="141"/>
      <c r="C461" s="58" t="str" cm="1">
        <f>IFERROR(INDEX(List_Predictors, INDEX(Array_PredictorsLookup,MATCH($A461,List_PredictorFacilities,0),(COLUMN()-1)/2), 1),"")</f>
        <v/>
      </c>
      <c r="D461" s="137"/>
      <c r="E461" s="58" t="str" cm="1">
        <f>IFERROR(INDEX(List_Predictors, INDEX(Array_PredictorsLookup,MATCH($A461,List_PredictorFacilities,0),(COLUMN()-1)/2), 1),"")</f>
        <v/>
      </c>
      <c r="F461" s="137"/>
      <c r="G461" s="58" t="str" cm="1">
        <f>IFERROR(INDEX(List_Predictors, INDEX(Array_PredictorsLookup,MATCH($A461,List_PredictorFacilities,0),(COLUMN()-1)/2), 1),"")</f>
        <v/>
      </c>
      <c r="H461" s="137"/>
      <c r="I461" s="58" t="str" cm="1">
        <f>IFERROR(INDEX(List_Predictors, INDEX(Array_PredictorsLookup,MATCH($A461,List_PredictorFacilities,0),(COLUMN()-1)/2), 1),"")</f>
        <v/>
      </c>
      <c r="J461" s="137"/>
      <c r="K461" s="58" t="str" cm="1">
        <f>IFERROR(INDEX(List_Predictors, INDEX(Array_PredictorsLookup,MATCH($A461,List_PredictorFacilities,0),(COLUMN()-1)/2), 1),"")</f>
        <v/>
      </c>
      <c r="L461" s="137"/>
      <c r="M461" s="58" t="str" cm="1">
        <f>IFERROR(INDEX(List_Predictors, INDEX(Array_PredictorsLookup,MATCH($A461,List_PredictorFacilities,0),(COLUMN()-1)/2), 1),"")</f>
        <v/>
      </c>
      <c r="N461" s="137"/>
      <c r="O461" s="58" t="str" cm="1">
        <f>IFERROR(INDEX(List_Predictors, INDEX(Array_PredictorsLookup,MATCH($A461,List_PredictorFacilities,0),(COLUMN()-1)/2), 1),"")</f>
        <v/>
      </c>
      <c r="P461" s="137"/>
      <c r="Q461" s="58" t="str" cm="1">
        <f>IFERROR(INDEX(List_Predictors, INDEX(Array_PredictorsLookup,MATCH($A461,List_PredictorFacilities,0),(COLUMN()-1)/2), 1),"")</f>
        <v/>
      </c>
      <c r="R461" s="137"/>
      <c r="S461" s="58" t="str" cm="1">
        <f>IFERROR(INDEX(List_Predictors, INDEX(Array_PredictorsLookup,MATCH($A461,List_PredictorFacilities,0),(COLUMN()-1)/2), 1),"")</f>
        <v/>
      </c>
      <c r="T461" s="137"/>
      <c r="U461" s="58" t="str" cm="1">
        <f>IFERROR(INDEX(List_Predictors, INDEX(Array_PredictorsLookup,MATCH($A461,List_PredictorFacilities,0),(COLUMN()-1)/2), 1),"")</f>
        <v/>
      </c>
      <c r="V461" s="137"/>
      <c r="W461" s="58" t="str" cm="1">
        <f>IFERROR(INDEX(List_Predictors, INDEX(Array_PredictorsLookup,MATCH($A461,List_PredictorFacilities,0),(COLUMN()-1)/2), 1),"")</f>
        <v/>
      </c>
      <c r="X461" s="137"/>
      <c r="Y461" s="58" t="str" cm="1">
        <f>IFERROR(INDEX(List_Predictors, INDEX(Array_PredictorsLookup,MATCH($A461,List_PredictorFacilities,0),(COLUMN()-1)/2), 1),"")</f>
        <v/>
      </c>
      <c r="Z461" s="137"/>
      <c r="AA461" s="58" t="str" cm="1">
        <f>IFERROR(INDEX(List_Predictors, INDEX(Array_PredictorsLookup,MATCH($A461,List_PredictorFacilities,0),(COLUMN()-1)/2), 1),"")</f>
        <v/>
      </c>
      <c r="AB461" s="137"/>
      <c r="AC461" s="58" t="str" cm="1">
        <f>IFERROR(INDEX(List_Predictors, INDEX(Array_PredictorsLookup,MATCH($A461,List_PredictorFacilities,0),(COLUMN()-1)/2), 1),"")</f>
        <v/>
      </c>
      <c r="AD461" s="137"/>
      <c r="AE461" s="58" t="str" cm="1">
        <f>IFERROR(INDEX(List_Predictors, INDEX(Array_PredictorsLookup,MATCH($A461,List_PredictorFacilities,0),(COLUMN()-1)/2), 1),"")</f>
        <v/>
      </c>
      <c r="AF461" s="137"/>
    </row>
    <row r="462" spans="1:32" x14ac:dyDescent="0.3">
      <c r="A462" s="126"/>
      <c r="B462" s="141"/>
      <c r="C462" s="58" t="str" cm="1">
        <f>IFERROR(INDEX(List_Predictors, INDEX(Array_PredictorsLookup,MATCH($A462,List_PredictorFacilities,0),(COLUMN()-1)/2), 1),"")</f>
        <v/>
      </c>
      <c r="D462" s="137"/>
      <c r="E462" s="58" t="str" cm="1">
        <f>IFERROR(INDEX(List_Predictors, INDEX(Array_PredictorsLookup,MATCH($A462,List_PredictorFacilities,0),(COLUMN()-1)/2), 1),"")</f>
        <v/>
      </c>
      <c r="F462" s="137"/>
      <c r="G462" s="58" t="str" cm="1">
        <f>IFERROR(INDEX(List_Predictors, INDEX(Array_PredictorsLookup,MATCH($A462,List_PredictorFacilities,0),(COLUMN()-1)/2), 1),"")</f>
        <v/>
      </c>
      <c r="H462" s="137"/>
      <c r="I462" s="58" t="str" cm="1">
        <f>IFERROR(INDEX(List_Predictors, INDEX(Array_PredictorsLookup,MATCH($A462,List_PredictorFacilities,0),(COLUMN()-1)/2), 1),"")</f>
        <v/>
      </c>
      <c r="J462" s="137"/>
      <c r="K462" s="58" t="str" cm="1">
        <f>IFERROR(INDEX(List_Predictors, INDEX(Array_PredictorsLookup,MATCH($A462,List_PredictorFacilities,0),(COLUMN()-1)/2), 1),"")</f>
        <v/>
      </c>
      <c r="L462" s="137"/>
      <c r="M462" s="58" t="str" cm="1">
        <f>IFERROR(INDEX(List_Predictors, INDEX(Array_PredictorsLookup,MATCH($A462,List_PredictorFacilities,0),(COLUMN()-1)/2), 1),"")</f>
        <v/>
      </c>
      <c r="N462" s="137"/>
      <c r="O462" s="58" t="str" cm="1">
        <f>IFERROR(INDEX(List_Predictors, INDEX(Array_PredictorsLookup,MATCH($A462,List_PredictorFacilities,0),(COLUMN()-1)/2), 1),"")</f>
        <v/>
      </c>
      <c r="P462" s="137"/>
      <c r="Q462" s="58" t="str" cm="1">
        <f>IFERROR(INDEX(List_Predictors, INDEX(Array_PredictorsLookup,MATCH($A462,List_PredictorFacilities,0),(COLUMN()-1)/2), 1),"")</f>
        <v/>
      </c>
      <c r="R462" s="137"/>
      <c r="S462" s="58" t="str" cm="1">
        <f>IFERROR(INDEX(List_Predictors, INDEX(Array_PredictorsLookup,MATCH($A462,List_PredictorFacilities,0),(COLUMN()-1)/2), 1),"")</f>
        <v/>
      </c>
      <c r="T462" s="137"/>
      <c r="U462" s="58" t="str" cm="1">
        <f>IFERROR(INDEX(List_Predictors, INDEX(Array_PredictorsLookup,MATCH($A462,List_PredictorFacilities,0),(COLUMN()-1)/2), 1),"")</f>
        <v/>
      </c>
      <c r="V462" s="137"/>
      <c r="W462" s="58" t="str" cm="1">
        <f>IFERROR(INDEX(List_Predictors, INDEX(Array_PredictorsLookup,MATCH($A462,List_PredictorFacilities,0),(COLUMN()-1)/2), 1),"")</f>
        <v/>
      </c>
      <c r="X462" s="137"/>
      <c r="Y462" s="58" t="str" cm="1">
        <f>IFERROR(INDEX(List_Predictors, INDEX(Array_PredictorsLookup,MATCH($A462,List_PredictorFacilities,0),(COLUMN()-1)/2), 1),"")</f>
        <v/>
      </c>
      <c r="Z462" s="137"/>
      <c r="AA462" s="58" t="str" cm="1">
        <f>IFERROR(INDEX(List_Predictors, INDEX(Array_PredictorsLookup,MATCH($A462,List_PredictorFacilities,0),(COLUMN()-1)/2), 1),"")</f>
        <v/>
      </c>
      <c r="AB462" s="137"/>
      <c r="AC462" s="58" t="str" cm="1">
        <f>IFERROR(INDEX(List_Predictors, INDEX(Array_PredictorsLookup,MATCH($A462,List_PredictorFacilities,0),(COLUMN()-1)/2), 1),"")</f>
        <v/>
      </c>
      <c r="AD462" s="137"/>
      <c r="AE462" s="58" t="str" cm="1">
        <f>IFERROR(INDEX(List_Predictors, INDEX(Array_PredictorsLookup,MATCH($A462,List_PredictorFacilities,0),(COLUMN()-1)/2), 1),"")</f>
        <v/>
      </c>
      <c r="AF462" s="137"/>
    </row>
    <row r="463" spans="1:32" x14ac:dyDescent="0.3">
      <c r="A463" s="126"/>
      <c r="B463" s="141"/>
      <c r="C463" s="58" t="str" cm="1">
        <f>IFERROR(INDEX(List_Predictors, INDEX(Array_PredictorsLookup,MATCH($A463,List_PredictorFacilities,0),(COLUMN()-1)/2), 1),"")</f>
        <v/>
      </c>
      <c r="D463" s="137"/>
      <c r="E463" s="58" t="str" cm="1">
        <f>IFERROR(INDEX(List_Predictors, INDEX(Array_PredictorsLookup,MATCH($A463,List_PredictorFacilities,0),(COLUMN()-1)/2), 1),"")</f>
        <v/>
      </c>
      <c r="F463" s="137"/>
      <c r="G463" s="58" t="str" cm="1">
        <f>IFERROR(INDEX(List_Predictors, INDEX(Array_PredictorsLookup,MATCH($A463,List_PredictorFacilities,0),(COLUMN()-1)/2), 1),"")</f>
        <v/>
      </c>
      <c r="H463" s="137"/>
      <c r="I463" s="58" t="str" cm="1">
        <f>IFERROR(INDEX(List_Predictors, INDEX(Array_PredictorsLookup,MATCH($A463,List_PredictorFacilities,0),(COLUMN()-1)/2), 1),"")</f>
        <v/>
      </c>
      <c r="J463" s="137"/>
      <c r="K463" s="58" t="str" cm="1">
        <f>IFERROR(INDEX(List_Predictors, INDEX(Array_PredictorsLookup,MATCH($A463,List_PredictorFacilities,0),(COLUMN()-1)/2), 1),"")</f>
        <v/>
      </c>
      <c r="L463" s="137"/>
      <c r="M463" s="58" t="str" cm="1">
        <f>IFERROR(INDEX(List_Predictors, INDEX(Array_PredictorsLookup,MATCH($A463,List_PredictorFacilities,0),(COLUMN()-1)/2), 1),"")</f>
        <v/>
      </c>
      <c r="N463" s="137"/>
      <c r="O463" s="58" t="str" cm="1">
        <f>IFERROR(INDEX(List_Predictors, INDEX(Array_PredictorsLookup,MATCH($A463,List_PredictorFacilities,0),(COLUMN()-1)/2), 1),"")</f>
        <v/>
      </c>
      <c r="P463" s="137"/>
      <c r="Q463" s="58" t="str" cm="1">
        <f>IFERROR(INDEX(List_Predictors, INDEX(Array_PredictorsLookup,MATCH($A463,List_PredictorFacilities,0),(COLUMN()-1)/2), 1),"")</f>
        <v/>
      </c>
      <c r="R463" s="137"/>
      <c r="S463" s="58" t="str" cm="1">
        <f>IFERROR(INDEX(List_Predictors, INDEX(Array_PredictorsLookup,MATCH($A463,List_PredictorFacilities,0),(COLUMN()-1)/2), 1),"")</f>
        <v/>
      </c>
      <c r="T463" s="137"/>
      <c r="U463" s="58" t="str" cm="1">
        <f>IFERROR(INDEX(List_Predictors, INDEX(Array_PredictorsLookup,MATCH($A463,List_PredictorFacilities,0),(COLUMN()-1)/2), 1),"")</f>
        <v/>
      </c>
      <c r="V463" s="137"/>
      <c r="W463" s="58" t="str" cm="1">
        <f>IFERROR(INDEX(List_Predictors, INDEX(Array_PredictorsLookup,MATCH($A463,List_PredictorFacilities,0),(COLUMN()-1)/2), 1),"")</f>
        <v/>
      </c>
      <c r="X463" s="137"/>
      <c r="Y463" s="58" t="str" cm="1">
        <f>IFERROR(INDEX(List_Predictors, INDEX(Array_PredictorsLookup,MATCH($A463,List_PredictorFacilities,0),(COLUMN()-1)/2), 1),"")</f>
        <v/>
      </c>
      <c r="Z463" s="137"/>
      <c r="AA463" s="58" t="str" cm="1">
        <f>IFERROR(INDEX(List_Predictors, INDEX(Array_PredictorsLookup,MATCH($A463,List_PredictorFacilities,0),(COLUMN()-1)/2), 1),"")</f>
        <v/>
      </c>
      <c r="AB463" s="137"/>
      <c r="AC463" s="58" t="str" cm="1">
        <f>IFERROR(INDEX(List_Predictors, INDEX(Array_PredictorsLookup,MATCH($A463,List_PredictorFacilities,0),(COLUMN()-1)/2), 1),"")</f>
        <v/>
      </c>
      <c r="AD463" s="137"/>
      <c r="AE463" s="58" t="str" cm="1">
        <f>IFERROR(INDEX(List_Predictors, INDEX(Array_PredictorsLookup,MATCH($A463,List_PredictorFacilities,0),(COLUMN()-1)/2), 1),"")</f>
        <v/>
      </c>
      <c r="AF463" s="137"/>
    </row>
    <row r="464" spans="1:32" x14ac:dyDescent="0.3">
      <c r="A464" s="126"/>
      <c r="B464" s="141"/>
      <c r="C464" s="58" t="str" cm="1">
        <f>IFERROR(INDEX(List_Predictors, INDEX(Array_PredictorsLookup,MATCH($A464,List_PredictorFacilities,0),(COLUMN()-1)/2), 1),"")</f>
        <v/>
      </c>
      <c r="D464" s="137"/>
      <c r="E464" s="58" t="str" cm="1">
        <f>IFERROR(INDEX(List_Predictors, INDEX(Array_PredictorsLookup,MATCH($A464,List_PredictorFacilities,0),(COLUMN()-1)/2), 1),"")</f>
        <v/>
      </c>
      <c r="F464" s="137"/>
      <c r="G464" s="58" t="str" cm="1">
        <f>IFERROR(INDEX(List_Predictors, INDEX(Array_PredictorsLookup,MATCH($A464,List_PredictorFacilities,0),(COLUMN()-1)/2), 1),"")</f>
        <v/>
      </c>
      <c r="H464" s="137"/>
      <c r="I464" s="58" t="str" cm="1">
        <f>IFERROR(INDEX(List_Predictors, INDEX(Array_PredictorsLookup,MATCH($A464,List_PredictorFacilities,0),(COLUMN()-1)/2), 1),"")</f>
        <v/>
      </c>
      <c r="J464" s="137"/>
      <c r="K464" s="58" t="str" cm="1">
        <f>IFERROR(INDEX(List_Predictors, INDEX(Array_PredictorsLookup,MATCH($A464,List_PredictorFacilities,0),(COLUMN()-1)/2), 1),"")</f>
        <v/>
      </c>
      <c r="L464" s="137"/>
      <c r="M464" s="58" t="str" cm="1">
        <f>IFERROR(INDEX(List_Predictors, INDEX(Array_PredictorsLookup,MATCH($A464,List_PredictorFacilities,0),(COLUMN()-1)/2), 1),"")</f>
        <v/>
      </c>
      <c r="N464" s="137"/>
      <c r="O464" s="58" t="str" cm="1">
        <f>IFERROR(INDEX(List_Predictors, INDEX(Array_PredictorsLookup,MATCH($A464,List_PredictorFacilities,0),(COLUMN()-1)/2), 1),"")</f>
        <v/>
      </c>
      <c r="P464" s="137"/>
      <c r="Q464" s="58" t="str" cm="1">
        <f>IFERROR(INDEX(List_Predictors, INDEX(Array_PredictorsLookup,MATCH($A464,List_PredictorFacilities,0),(COLUMN()-1)/2), 1),"")</f>
        <v/>
      </c>
      <c r="R464" s="137"/>
      <c r="S464" s="58" t="str" cm="1">
        <f>IFERROR(INDEX(List_Predictors, INDEX(Array_PredictorsLookup,MATCH($A464,List_PredictorFacilities,0),(COLUMN()-1)/2), 1),"")</f>
        <v/>
      </c>
      <c r="T464" s="137"/>
      <c r="U464" s="58" t="str" cm="1">
        <f>IFERROR(INDEX(List_Predictors, INDEX(Array_PredictorsLookup,MATCH($A464,List_PredictorFacilities,0),(COLUMN()-1)/2), 1),"")</f>
        <v/>
      </c>
      <c r="V464" s="137"/>
      <c r="W464" s="58" t="str" cm="1">
        <f>IFERROR(INDEX(List_Predictors, INDEX(Array_PredictorsLookup,MATCH($A464,List_PredictorFacilities,0),(COLUMN()-1)/2), 1),"")</f>
        <v/>
      </c>
      <c r="X464" s="137"/>
      <c r="Y464" s="58" t="str" cm="1">
        <f>IFERROR(INDEX(List_Predictors, INDEX(Array_PredictorsLookup,MATCH($A464,List_PredictorFacilities,0),(COLUMN()-1)/2), 1),"")</f>
        <v/>
      </c>
      <c r="Z464" s="137"/>
      <c r="AA464" s="58" t="str" cm="1">
        <f>IFERROR(INDEX(List_Predictors, INDEX(Array_PredictorsLookup,MATCH($A464,List_PredictorFacilities,0),(COLUMN()-1)/2), 1),"")</f>
        <v/>
      </c>
      <c r="AB464" s="137"/>
      <c r="AC464" s="58" t="str" cm="1">
        <f>IFERROR(INDEX(List_Predictors, INDEX(Array_PredictorsLookup,MATCH($A464,List_PredictorFacilities,0),(COLUMN()-1)/2), 1),"")</f>
        <v/>
      </c>
      <c r="AD464" s="137"/>
      <c r="AE464" s="58" t="str" cm="1">
        <f>IFERROR(INDEX(List_Predictors, INDEX(Array_PredictorsLookup,MATCH($A464,List_PredictorFacilities,0),(COLUMN()-1)/2), 1),"")</f>
        <v/>
      </c>
      <c r="AF464" s="137"/>
    </row>
    <row r="465" spans="1:32" x14ac:dyDescent="0.3">
      <c r="A465" s="126"/>
      <c r="B465" s="141"/>
      <c r="C465" s="58" t="str" cm="1">
        <f>IFERROR(INDEX(List_Predictors, INDEX(Array_PredictorsLookup,MATCH($A465,List_PredictorFacilities,0),(COLUMN()-1)/2), 1),"")</f>
        <v/>
      </c>
      <c r="D465" s="137"/>
      <c r="E465" s="58" t="str" cm="1">
        <f>IFERROR(INDEX(List_Predictors, INDEX(Array_PredictorsLookup,MATCH($A465,List_PredictorFacilities,0),(COLUMN()-1)/2), 1),"")</f>
        <v/>
      </c>
      <c r="F465" s="137"/>
      <c r="G465" s="58" t="str" cm="1">
        <f>IFERROR(INDEX(List_Predictors, INDEX(Array_PredictorsLookup,MATCH($A465,List_PredictorFacilities,0),(COLUMN()-1)/2), 1),"")</f>
        <v/>
      </c>
      <c r="H465" s="137"/>
      <c r="I465" s="58" t="str" cm="1">
        <f>IFERROR(INDEX(List_Predictors, INDEX(Array_PredictorsLookup,MATCH($A465,List_PredictorFacilities,0),(COLUMN()-1)/2), 1),"")</f>
        <v/>
      </c>
      <c r="J465" s="137"/>
      <c r="K465" s="58" t="str" cm="1">
        <f>IFERROR(INDEX(List_Predictors, INDEX(Array_PredictorsLookup,MATCH($A465,List_PredictorFacilities,0),(COLUMN()-1)/2), 1),"")</f>
        <v/>
      </c>
      <c r="L465" s="137"/>
      <c r="M465" s="58" t="str" cm="1">
        <f>IFERROR(INDEX(List_Predictors, INDEX(Array_PredictorsLookup,MATCH($A465,List_PredictorFacilities,0),(COLUMN()-1)/2), 1),"")</f>
        <v/>
      </c>
      <c r="N465" s="137"/>
      <c r="O465" s="58" t="str" cm="1">
        <f>IFERROR(INDEX(List_Predictors, INDEX(Array_PredictorsLookup,MATCH($A465,List_PredictorFacilities,0),(COLUMN()-1)/2), 1),"")</f>
        <v/>
      </c>
      <c r="P465" s="137"/>
      <c r="Q465" s="58" t="str" cm="1">
        <f>IFERROR(INDEX(List_Predictors, INDEX(Array_PredictorsLookup,MATCH($A465,List_PredictorFacilities,0),(COLUMN()-1)/2), 1),"")</f>
        <v/>
      </c>
      <c r="R465" s="137"/>
      <c r="S465" s="58" t="str" cm="1">
        <f>IFERROR(INDEX(List_Predictors, INDEX(Array_PredictorsLookup,MATCH($A465,List_PredictorFacilities,0),(COLUMN()-1)/2), 1),"")</f>
        <v/>
      </c>
      <c r="T465" s="137"/>
      <c r="U465" s="58" t="str" cm="1">
        <f>IFERROR(INDEX(List_Predictors, INDEX(Array_PredictorsLookup,MATCH($A465,List_PredictorFacilities,0),(COLUMN()-1)/2), 1),"")</f>
        <v/>
      </c>
      <c r="V465" s="137"/>
      <c r="W465" s="58" t="str" cm="1">
        <f>IFERROR(INDEX(List_Predictors, INDEX(Array_PredictorsLookup,MATCH($A465,List_PredictorFacilities,0),(COLUMN()-1)/2), 1),"")</f>
        <v/>
      </c>
      <c r="X465" s="137"/>
      <c r="Y465" s="58" t="str" cm="1">
        <f>IFERROR(INDEX(List_Predictors, INDEX(Array_PredictorsLookup,MATCH($A465,List_PredictorFacilities,0),(COLUMN()-1)/2), 1),"")</f>
        <v/>
      </c>
      <c r="Z465" s="137"/>
      <c r="AA465" s="58" t="str" cm="1">
        <f>IFERROR(INDEX(List_Predictors, INDEX(Array_PredictorsLookup,MATCH($A465,List_PredictorFacilities,0),(COLUMN()-1)/2), 1),"")</f>
        <v/>
      </c>
      <c r="AB465" s="137"/>
      <c r="AC465" s="58" t="str" cm="1">
        <f>IFERROR(INDEX(List_Predictors, INDEX(Array_PredictorsLookup,MATCH($A465,List_PredictorFacilities,0),(COLUMN()-1)/2), 1),"")</f>
        <v/>
      </c>
      <c r="AD465" s="137"/>
      <c r="AE465" s="58" t="str" cm="1">
        <f>IFERROR(INDEX(List_Predictors, INDEX(Array_PredictorsLookup,MATCH($A465,List_PredictorFacilities,0),(COLUMN()-1)/2), 1),"")</f>
        <v/>
      </c>
      <c r="AF465" s="137"/>
    </row>
    <row r="466" spans="1:32" x14ac:dyDescent="0.3">
      <c r="A466" s="126"/>
      <c r="B466" s="141"/>
      <c r="C466" s="58" t="str" cm="1">
        <f>IFERROR(INDEX(List_Predictors, INDEX(Array_PredictorsLookup,MATCH($A466,List_PredictorFacilities,0),(COLUMN()-1)/2), 1),"")</f>
        <v/>
      </c>
      <c r="D466" s="137"/>
      <c r="E466" s="58" t="str" cm="1">
        <f>IFERROR(INDEX(List_Predictors, INDEX(Array_PredictorsLookup,MATCH($A466,List_PredictorFacilities,0),(COLUMN()-1)/2), 1),"")</f>
        <v/>
      </c>
      <c r="F466" s="137"/>
      <c r="G466" s="58" t="str" cm="1">
        <f>IFERROR(INDEX(List_Predictors, INDEX(Array_PredictorsLookup,MATCH($A466,List_PredictorFacilities,0),(COLUMN()-1)/2), 1),"")</f>
        <v/>
      </c>
      <c r="H466" s="137"/>
      <c r="I466" s="58" t="str" cm="1">
        <f>IFERROR(INDEX(List_Predictors, INDEX(Array_PredictorsLookup,MATCH($A466,List_PredictorFacilities,0),(COLUMN()-1)/2), 1),"")</f>
        <v/>
      </c>
      <c r="J466" s="137"/>
      <c r="K466" s="58" t="str" cm="1">
        <f>IFERROR(INDEX(List_Predictors, INDEX(Array_PredictorsLookup,MATCH($A466,List_PredictorFacilities,0),(COLUMN()-1)/2), 1),"")</f>
        <v/>
      </c>
      <c r="L466" s="137"/>
      <c r="M466" s="58" t="str" cm="1">
        <f>IFERROR(INDEX(List_Predictors, INDEX(Array_PredictorsLookup,MATCH($A466,List_PredictorFacilities,0),(COLUMN()-1)/2), 1),"")</f>
        <v/>
      </c>
      <c r="N466" s="137"/>
      <c r="O466" s="58" t="str" cm="1">
        <f>IFERROR(INDEX(List_Predictors, INDEX(Array_PredictorsLookup,MATCH($A466,List_PredictorFacilities,0),(COLUMN()-1)/2), 1),"")</f>
        <v/>
      </c>
      <c r="P466" s="137"/>
      <c r="Q466" s="58" t="str" cm="1">
        <f>IFERROR(INDEX(List_Predictors, INDEX(Array_PredictorsLookup,MATCH($A466,List_PredictorFacilities,0),(COLUMN()-1)/2), 1),"")</f>
        <v/>
      </c>
      <c r="R466" s="137"/>
      <c r="S466" s="58" t="str" cm="1">
        <f>IFERROR(INDEX(List_Predictors, INDEX(Array_PredictorsLookup,MATCH($A466,List_PredictorFacilities,0),(COLUMN()-1)/2), 1),"")</f>
        <v/>
      </c>
      <c r="T466" s="137"/>
      <c r="U466" s="58" t="str" cm="1">
        <f>IFERROR(INDEX(List_Predictors, INDEX(Array_PredictorsLookup,MATCH($A466,List_PredictorFacilities,0),(COLUMN()-1)/2), 1),"")</f>
        <v/>
      </c>
      <c r="V466" s="137"/>
      <c r="W466" s="58" t="str" cm="1">
        <f>IFERROR(INDEX(List_Predictors, INDEX(Array_PredictorsLookup,MATCH($A466,List_PredictorFacilities,0),(COLUMN()-1)/2), 1),"")</f>
        <v/>
      </c>
      <c r="X466" s="137"/>
      <c r="Y466" s="58" t="str" cm="1">
        <f>IFERROR(INDEX(List_Predictors, INDEX(Array_PredictorsLookup,MATCH($A466,List_PredictorFacilities,0),(COLUMN()-1)/2), 1),"")</f>
        <v/>
      </c>
      <c r="Z466" s="137"/>
      <c r="AA466" s="58" t="str" cm="1">
        <f>IFERROR(INDEX(List_Predictors, INDEX(Array_PredictorsLookup,MATCH($A466,List_PredictorFacilities,0),(COLUMN()-1)/2), 1),"")</f>
        <v/>
      </c>
      <c r="AB466" s="137"/>
      <c r="AC466" s="58" t="str" cm="1">
        <f>IFERROR(INDEX(List_Predictors, INDEX(Array_PredictorsLookup,MATCH($A466,List_PredictorFacilities,0),(COLUMN()-1)/2), 1),"")</f>
        <v/>
      </c>
      <c r="AD466" s="137"/>
      <c r="AE466" s="58" t="str" cm="1">
        <f>IFERROR(INDEX(List_Predictors, INDEX(Array_PredictorsLookup,MATCH($A466,List_PredictorFacilities,0),(COLUMN()-1)/2), 1),"")</f>
        <v/>
      </c>
      <c r="AF466" s="137"/>
    </row>
    <row r="467" spans="1:32" x14ac:dyDescent="0.3">
      <c r="A467" s="126"/>
      <c r="B467" s="141"/>
      <c r="C467" s="58" t="str" cm="1">
        <f>IFERROR(INDEX(List_Predictors, INDEX(Array_PredictorsLookup,MATCH($A467,List_PredictorFacilities,0),(COLUMN()-1)/2), 1),"")</f>
        <v/>
      </c>
      <c r="D467" s="137"/>
      <c r="E467" s="58" t="str" cm="1">
        <f>IFERROR(INDEX(List_Predictors, INDEX(Array_PredictorsLookup,MATCH($A467,List_PredictorFacilities,0),(COLUMN()-1)/2), 1),"")</f>
        <v/>
      </c>
      <c r="F467" s="137"/>
      <c r="G467" s="58" t="str" cm="1">
        <f>IFERROR(INDEX(List_Predictors, INDEX(Array_PredictorsLookup,MATCH($A467,List_PredictorFacilities,0),(COLUMN()-1)/2), 1),"")</f>
        <v/>
      </c>
      <c r="H467" s="137"/>
      <c r="I467" s="58" t="str" cm="1">
        <f>IFERROR(INDEX(List_Predictors, INDEX(Array_PredictorsLookup,MATCH($A467,List_PredictorFacilities,0),(COLUMN()-1)/2), 1),"")</f>
        <v/>
      </c>
      <c r="J467" s="137"/>
      <c r="K467" s="58" t="str" cm="1">
        <f>IFERROR(INDEX(List_Predictors, INDEX(Array_PredictorsLookup,MATCH($A467,List_PredictorFacilities,0),(COLUMN()-1)/2), 1),"")</f>
        <v/>
      </c>
      <c r="L467" s="137"/>
      <c r="M467" s="58" t="str" cm="1">
        <f>IFERROR(INDEX(List_Predictors, INDEX(Array_PredictorsLookup,MATCH($A467,List_PredictorFacilities,0),(COLUMN()-1)/2), 1),"")</f>
        <v/>
      </c>
      <c r="N467" s="137"/>
      <c r="O467" s="58" t="str" cm="1">
        <f>IFERROR(INDEX(List_Predictors, INDEX(Array_PredictorsLookup,MATCH($A467,List_PredictorFacilities,0),(COLUMN()-1)/2), 1),"")</f>
        <v/>
      </c>
      <c r="P467" s="137"/>
      <c r="Q467" s="58" t="str" cm="1">
        <f>IFERROR(INDEX(List_Predictors, INDEX(Array_PredictorsLookup,MATCH($A467,List_PredictorFacilities,0),(COLUMN()-1)/2), 1),"")</f>
        <v/>
      </c>
      <c r="R467" s="137"/>
      <c r="S467" s="58" t="str" cm="1">
        <f>IFERROR(INDEX(List_Predictors, INDEX(Array_PredictorsLookup,MATCH($A467,List_PredictorFacilities,0),(COLUMN()-1)/2), 1),"")</f>
        <v/>
      </c>
      <c r="T467" s="137"/>
      <c r="U467" s="58" t="str" cm="1">
        <f>IFERROR(INDEX(List_Predictors, INDEX(Array_PredictorsLookup,MATCH($A467,List_PredictorFacilities,0),(COLUMN()-1)/2), 1),"")</f>
        <v/>
      </c>
      <c r="V467" s="137"/>
      <c r="W467" s="58" t="str" cm="1">
        <f>IFERROR(INDEX(List_Predictors, INDEX(Array_PredictorsLookup,MATCH($A467,List_PredictorFacilities,0),(COLUMN()-1)/2), 1),"")</f>
        <v/>
      </c>
      <c r="X467" s="137"/>
      <c r="Y467" s="58" t="str" cm="1">
        <f>IFERROR(INDEX(List_Predictors, INDEX(Array_PredictorsLookup,MATCH($A467,List_PredictorFacilities,0),(COLUMN()-1)/2), 1),"")</f>
        <v/>
      </c>
      <c r="Z467" s="137"/>
      <c r="AA467" s="58" t="str" cm="1">
        <f>IFERROR(INDEX(List_Predictors, INDEX(Array_PredictorsLookup,MATCH($A467,List_PredictorFacilities,0),(COLUMN()-1)/2), 1),"")</f>
        <v/>
      </c>
      <c r="AB467" s="137"/>
      <c r="AC467" s="58" t="str" cm="1">
        <f>IFERROR(INDEX(List_Predictors, INDEX(Array_PredictorsLookup,MATCH($A467,List_PredictorFacilities,0),(COLUMN()-1)/2), 1),"")</f>
        <v/>
      </c>
      <c r="AD467" s="137"/>
      <c r="AE467" s="58" t="str" cm="1">
        <f>IFERROR(INDEX(List_Predictors, INDEX(Array_PredictorsLookup,MATCH($A467,List_PredictorFacilities,0),(COLUMN()-1)/2), 1),"")</f>
        <v/>
      </c>
      <c r="AF467" s="137"/>
    </row>
    <row r="468" spans="1:32" x14ac:dyDescent="0.3">
      <c r="A468" s="126"/>
      <c r="B468" s="141"/>
      <c r="C468" s="58" t="str" cm="1">
        <f>IFERROR(INDEX(List_Predictors, INDEX(Array_PredictorsLookup,MATCH($A468,List_PredictorFacilities,0),(COLUMN()-1)/2), 1),"")</f>
        <v/>
      </c>
      <c r="D468" s="137"/>
      <c r="E468" s="58" t="str" cm="1">
        <f>IFERROR(INDEX(List_Predictors, INDEX(Array_PredictorsLookup,MATCH($A468,List_PredictorFacilities,0),(COLUMN()-1)/2), 1),"")</f>
        <v/>
      </c>
      <c r="F468" s="137"/>
      <c r="G468" s="58" t="str" cm="1">
        <f>IFERROR(INDEX(List_Predictors, INDEX(Array_PredictorsLookup,MATCH($A468,List_PredictorFacilities,0),(COLUMN()-1)/2), 1),"")</f>
        <v/>
      </c>
      <c r="H468" s="137"/>
      <c r="I468" s="58" t="str" cm="1">
        <f>IFERROR(INDEX(List_Predictors, INDEX(Array_PredictorsLookup,MATCH($A468,List_PredictorFacilities,0),(COLUMN()-1)/2), 1),"")</f>
        <v/>
      </c>
      <c r="J468" s="137"/>
      <c r="K468" s="58" t="str" cm="1">
        <f>IFERROR(INDEX(List_Predictors, INDEX(Array_PredictorsLookup,MATCH($A468,List_PredictorFacilities,0),(COLUMN()-1)/2), 1),"")</f>
        <v/>
      </c>
      <c r="L468" s="137"/>
      <c r="M468" s="58" t="str" cm="1">
        <f>IFERROR(INDEX(List_Predictors, INDEX(Array_PredictorsLookup,MATCH($A468,List_PredictorFacilities,0),(COLUMN()-1)/2), 1),"")</f>
        <v/>
      </c>
      <c r="N468" s="137"/>
      <c r="O468" s="58" t="str" cm="1">
        <f>IFERROR(INDEX(List_Predictors, INDEX(Array_PredictorsLookup,MATCH($A468,List_PredictorFacilities,0),(COLUMN()-1)/2), 1),"")</f>
        <v/>
      </c>
      <c r="P468" s="137"/>
      <c r="Q468" s="58" t="str" cm="1">
        <f>IFERROR(INDEX(List_Predictors, INDEX(Array_PredictorsLookup,MATCH($A468,List_PredictorFacilities,0),(COLUMN()-1)/2), 1),"")</f>
        <v/>
      </c>
      <c r="R468" s="137"/>
      <c r="S468" s="58" t="str" cm="1">
        <f>IFERROR(INDEX(List_Predictors, INDEX(Array_PredictorsLookup,MATCH($A468,List_PredictorFacilities,0),(COLUMN()-1)/2), 1),"")</f>
        <v/>
      </c>
      <c r="T468" s="137"/>
      <c r="U468" s="58" t="str" cm="1">
        <f>IFERROR(INDEX(List_Predictors, INDEX(Array_PredictorsLookup,MATCH($A468,List_PredictorFacilities,0),(COLUMN()-1)/2), 1),"")</f>
        <v/>
      </c>
      <c r="V468" s="137"/>
      <c r="W468" s="58" t="str" cm="1">
        <f>IFERROR(INDEX(List_Predictors, INDEX(Array_PredictorsLookup,MATCH($A468,List_PredictorFacilities,0),(COLUMN()-1)/2), 1),"")</f>
        <v/>
      </c>
      <c r="X468" s="137"/>
      <c r="Y468" s="58" t="str" cm="1">
        <f>IFERROR(INDEX(List_Predictors, INDEX(Array_PredictorsLookup,MATCH($A468,List_PredictorFacilities,0),(COLUMN()-1)/2), 1),"")</f>
        <v/>
      </c>
      <c r="Z468" s="137"/>
      <c r="AA468" s="58" t="str" cm="1">
        <f>IFERROR(INDEX(List_Predictors, INDEX(Array_PredictorsLookup,MATCH($A468,List_PredictorFacilities,0),(COLUMN()-1)/2), 1),"")</f>
        <v/>
      </c>
      <c r="AB468" s="137"/>
      <c r="AC468" s="58" t="str" cm="1">
        <f>IFERROR(INDEX(List_Predictors, INDEX(Array_PredictorsLookup,MATCH($A468,List_PredictorFacilities,0),(COLUMN()-1)/2), 1),"")</f>
        <v/>
      </c>
      <c r="AD468" s="137"/>
      <c r="AE468" s="58" t="str" cm="1">
        <f>IFERROR(INDEX(List_Predictors, INDEX(Array_PredictorsLookup,MATCH($A468,List_PredictorFacilities,0),(COLUMN()-1)/2), 1),"")</f>
        <v/>
      </c>
      <c r="AF468" s="137"/>
    </row>
    <row r="469" spans="1:32" x14ac:dyDescent="0.3">
      <c r="A469" s="126"/>
      <c r="B469" s="141"/>
      <c r="C469" s="58" t="str" cm="1">
        <f>IFERROR(INDEX(List_Predictors, INDEX(Array_PredictorsLookup,MATCH($A469,List_PredictorFacilities,0),(COLUMN()-1)/2), 1),"")</f>
        <v/>
      </c>
      <c r="D469" s="137"/>
      <c r="E469" s="58" t="str" cm="1">
        <f>IFERROR(INDEX(List_Predictors, INDEX(Array_PredictorsLookup,MATCH($A469,List_PredictorFacilities,0),(COLUMN()-1)/2), 1),"")</f>
        <v/>
      </c>
      <c r="F469" s="137"/>
      <c r="G469" s="58" t="str" cm="1">
        <f>IFERROR(INDEX(List_Predictors, INDEX(Array_PredictorsLookup,MATCH($A469,List_PredictorFacilities,0),(COLUMN()-1)/2), 1),"")</f>
        <v/>
      </c>
      <c r="H469" s="137"/>
      <c r="I469" s="58" t="str" cm="1">
        <f>IFERROR(INDEX(List_Predictors, INDEX(Array_PredictorsLookup,MATCH($A469,List_PredictorFacilities,0),(COLUMN()-1)/2), 1),"")</f>
        <v/>
      </c>
      <c r="J469" s="137"/>
      <c r="K469" s="58" t="str" cm="1">
        <f>IFERROR(INDEX(List_Predictors, INDEX(Array_PredictorsLookup,MATCH($A469,List_PredictorFacilities,0),(COLUMN()-1)/2), 1),"")</f>
        <v/>
      </c>
      <c r="L469" s="137"/>
      <c r="M469" s="58" t="str" cm="1">
        <f>IFERROR(INDEX(List_Predictors, INDEX(Array_PredictorsLookup,MATCH($A469,List_PredictorFacilities,0),(COLUMN()-1)/2), 1),"")</f>
        <v/>
      </c>
      <c r="N469" s="137"/>
      <c r="O469" s="58" t="str" cm="1">
        <f>IFERROR(INDEX(List_Predictors, INDEX(Array_PredictorsLookup,MATCH($A469,List_PredictorFacilities,0),(COLUMN()-1)/2), 1),"")</f>
        <v/>
      </c>
      <c r="P469" s="137"/>
      <c r="Q469" s="58" t="str" cm="1">
        <f>IFERROR(INDEX(List_Predictors, INDEX(Array_PredictorsLookup,MATCH($A469,List_PredictorFacilities,0),(COLUMN()-1)/2), 1),"")</f>
        <v/>
      </c>
      <c r="R469" s="137"/>
      <c r="S469" s="58" t="str" cm="1">
        <f>IFERROR(INDEX(List_Predictors, INDEX(Array_PredictorsLookup,MATCH($A469,List_PredictorFacilities,0),(COLUMN()-1)/2), 1),"")</f>
        <v/>
      </c>
      <c r="T469" s="137"/>
      <c r="U469" s="58" t="str" cm="1">
        <f>IFERROR(INDEX(List_Predictors, INDEX(Array_PredictorsLookup,MATCH($A469,List_PredictorFacilities,0),(COLUMN()-1)/2), 1),"")</f>
        <v/>
      </c>
      <c r="V469" s="137"/>
      <c r="W469" s="58" t="str" cm="1">
        <f>IFERROR(INDEX(List_Predictors, INDEX(Array_PredictorsLookup,MATCH($A469,List_PredictorFacilities,0),(COLUMN()-1)/2), 1),"")</f>
        <v/>
      </c>
      <c r="X469" s="137"/>
      <c r="Y469" s="58" t="str" cm="1">
        <f>IFERROR(INDEX(List_Predictors, INDEX(Array_PredictorsLookup,MATCH($A469,List_PredictorFacilities,0),(COLUMN()-1)/2), 1),"")</f>
        <v/>
      </c>
      <c r="Z469" s="137"/>
      <c r="AA469" s="58" t="str" cm="1">
        <f>IFERROR(INDEX(List_Predictors, INDEX(Array_PredictorsLookup,MATCH($A469,List_PredictorFacilities,0),(COLUMN()-1)/2), 1),"")</f>
        <v/>
      </c>
      <c r="AB469" s="137"/>
      <c r="AC469" s="58" t="str" cm="1">
        <f>IFERROR(INDEX(List_Predictors, INDEX(Array_PredictorsLookup,MATCH($A469,List_PredictorFacilities,0),(COLUMN()-1)/2), 1),"")</f>
        <v/>
      </c>
      <c r="AD469" s="137"/>
      <c r="AE469" s="58" t="str" cm="1">
        <f>IFERROR(INDEX(List_Predictors, INDEX(Array_PredictorsLookup,MATCH($A469,List_PredictorFacilities,0),(COLUMN()-1)/2), 1),"")</f>
        <v/>
      </c>
      <c r="AF469" s="137"/>
    </row>
    <row r="470" spans="1:32" x14ac:dyDescent="0.3">
      <c r="A470" s="126"/>
      <c r="B470" s="141"/>
      <c r="C470" s="58" t="str" cm="1">
        <f>IFERROR(INDEX(List_Predictors, INDEX(Array_PredictorsLookup,MATCH($A470,List_PredictorFacilities,0),(COLUMN()-1)/2), 1),"")</f>
        <v/>
      </c>
      <c r="D470" s="137"/>
      <c r="E470" s="58" t="str" cm="1">
        <f>IFERROR(INDEX(List_Predictors, INDEX(Array_PredictorsLookup,MATCH($A470,List_PredictorFacilities,0),(COLUMN()-1)/2), 1),"")</f>
        <v/>
      </c>
      <c r="F470" s="137"/>
      <c r="G470" s="58" t="str" cm="1">
        <f>IFERROR(INDEX(List_Predictors, INDEX(Array_PredictorsLookup,MATCH($A470,List_PredictorFacilities,0),(COLUMN()-1)/2), 1),"")</f>
        <v/>
      </c>
      <c r="H470" s="137"/>
      <c r="I470" s="58" t="str" cm="1">
        <f>IFERROR(INDEX(List_Predictors, INDEX(Array_PredictorsLookup,MATCH($A470,List_PredictorFacilities,0),(COLUMN()-1)/2), 1),"")</f>
        <v/>
      </c>
      <c r="J470" s="137"/>
      <c r="K470" s="58" t="str" cm="1">
        <f>IFERROR(INDEX(List_Predictors, INDEX(Array_PredictorsLookup,MATCH($A470,List_PredictorFacilities,0),(COLUMN()-1)/2), 1),"")</f>
        <v/>
      </c>
      <c r="L470" s="137"/>
      <c r="M470" s="58" t="str" cm="1">
        <f>IFERROR(INDEX(List_Predictors, INDEX(Array_PredictorsLookup,MATCH($A470,List_PredictorFacilities,0),(COLUMN()-1)/2), 1),"")</f>
        <v/>
      </c>
      <c r="N470" s="137"/>
      <c r="O470" s="58" t="str" cm="1">
        <f>IFERROR(INDEX(List_Predictors, INDEX(Array_PredictorsLookup,MATCH($A470,List_PredictorFacilities,0),(COLUMN()-1)/2), 1),"")</f>
        <v/>
      </c>
      <c r="P470" s="137"/>
      <c r="Q470" s="58" t="str" cm="1">
        <f>IFERROR(INDEX(List_Predictors, INDEX(Array_PredictorsLookup,MATCH($A470,List_PredictorFacilities,0),(COLUMN()-1)/2), 1),"")</f>
        <v/>
      </c>
      <c r="R470" s="137"/>
      <c r="S470" s="58" t="str" cm="1">
        <f>IFERROR(INDEX(List_Predictors, INDEX(Array_PredictorsLookup,MATCH($A470,List_PredictorFacilities,0),(COLUMN()-1)/2), 1),"")</f>
        <v/>
      </c>
      <c r="T470" s="137"/>
      <c r="U470" s="58" t="str" cm="1">
        <f>IFERROR(INDEX(List_Predictors, INDEX(Array_PredictorsLookup,MATCH($A470,List_PredictorFacilities,0),(COLUMN()-1)/2), 1),"")</f>
        <v/>
      </c>
      <c r="V470" s="137"/>
      <c r="W470" s="58" t="str" cm="1">
        <f>IFERROR(INDEX(List_Predictors, INDEX(Array_PredictorsLookup,MATCH($A470,List_PredictorFacilities,0),(COLUMN()-1)/2), 1),"")</f>
        <v/>
      </c>
      <c r="X470" s="137"/>
      <c r="Y470" s="58" t="str" cm="1">
        <f>IFERROR(INDEX(List_Predictors, INDEX(Array_PredictorsLookup,MATCH($A470,List_PredictorFacilities,0),(COLUMN()-1)/2), 1),"")</f>
        <v/>
      </c>
      <c r="Z470" s="137"/>
      <c r="AA470" s="58" t="str" cm="1">
        <f>IFERROR(INDEX(List_Predictors, INDEX(Array_PredictorsLookup,MATCH($A470,List_PredictorFacilities,0),(COLUMN()-1)/2), 1),"")</f>
        <v/>
      </c>
      <c r="AB470" s="137"/>
      <c r="AC470" s="58" t="str" cm="1">
        <f>IFERROR(INDEX(List_Predictors, INDEX(Array_PredictorsLookup,MATCH($A470,List_PredictorFacilities,0),(COLUMN()-1)/2), 1),"")</f>
        <v/>
      </c>
      <c r="AD470" s="137"/>
      <c r="AE470" s="58" t="str" cm="1">
        <f>IFERROR(INDEX(List_Predictors, INDEX(Array_PredictorsLookup,MATCH($A470,List_PredictorFacilities,0),(COLUMN()-1)/2), 1),"")</f>
        <v/>
      </c>
      <c r="AF470" s="137"/>
    </row>
    <row r="471" spans="1:32" x14ac:dyDescent="0.3">
      <c r="A471" s="126"/>
      <c r="B471" s="141"/>
      <c r="C471" s="58" t="str" cm="1">
        <f>IFERROR(INDEX(List_Predictors, INDEX(Array_PredictorsLookup,MATCH($A471,List_PredictorFacilities,0),(COLUMN()-1)/2), 1),"")</f>
        <v/>
      </c>
      <c r="D471" s="137"/>
      <c r="E471" s="58" t="str" cm="1">
        <f>IFERROR(INDEX(List_Predictors, INDEX(Array_PredictorsLookup,MATCH($A471,List_PredictorFacilities,0),(COLUMN()-1)/2), 1),"")</f>
        <v/>
      </c>
      <c r="F471" s="137"/>
      <c r="G471" s="58" t="str" cm="1">
        <f>IFERROR(INDEX(List_Predictors, INDEX(Array_PredictorsLookup,MATCH($A471,List_PredictorFacilities,0),(COLUMN()-1)/2), 1),"")</f>
        <v/>
      </c>
      <c r="H471" s="137"/>
      <c r="I471" s="58" t="str" cm="1">
        <f>IFERROR(INDEX(List_Predictors, INDEX(Array_PredictorsLookup,MATCH($A471,List_PredictorFacilities,0),(COLUMN()-1)/2), 1),"")</f>
        <v/>
      </c>
      <c r="J471" s="137"/>
      <c r="K471" s="58" t="str" cm="1">
        <f>IFERROR(INDEX(List_Predictors, INDEX(Array_PredictorsLookup,MATCH($A471,List_PredictorFacilities,0),(COLUMN()-1)/2), 1),"")</f>
        <v/>
      </c>
      <c r="L471" s="137"/>
      <c r="M471" s="58" t="str" cm="1">
        <f>IFERROR(INDEX(List_Predictors, INDEX(Array_PredictorsLookup,MATCH($A471,List_PredictorFacilities,0),(COLUMN()-1)/2), 1),"")</f>
        <v/>
      </c>
      <c r="N471" s="137"/>
      <c r="O471" s="58" t="str" cm="1">
        <f>IFERROR(INDEX(List_Predictors, INDEX(Array_PredictorsLookup,MATCH($A471,List_PredictorFacilities,0),(COLUMN()-1)/2), 1),"")</f>
        <v/>
      </c>
      <c r="P471" s="137"/>
      <c r="Q471" s="58" t="str" cm="1">
        <f>IFERROR(INDEX(List_Predictors, INDEX(Array_PredictorsLookup,MATCH($A471,List_PredictorFacilities,0),(COLUMN()-1)/2), 1),"")</f>
        <v/>
      </c>
      <c r="R471" s="137"/>
      <c r="S471" s="58" t="str" cm="1">
        <f>IFERROR(INDEX(List_Predictors, INDEX(Array_PredictorsLookup,MATCH($A471,List_PredictorFacilities,0),(COLUMN()-1)/2), 1),"")</f>
        <v/>
      </c>
      <c r="T471" s="137"/>
      <c r="U471" s="58" t="str" cm="1">
        <f>IFERROR(INDEX(List_Predictors, INDEX(Array_PredictorsLookup,MATCH($A471,List_PredictorFacilities,0),(COLUMN()-1)/2), 1),"")</f>
        <v/>
      </c>
      <c r="V471" s="137"/>
      <c r="W471" s="58" t="str" cm="1">
        <f>IFERROR(INDEX(List_Predictors, INDEX(Array_PredictorsLookup,MATCH($A471,List_PredictorFacilities,0),(COLUMN()-1)/2), 1),"")</f>
        <v/>
      </c>
      <c r="X471" s="137"/>
      <c r="Y471" s="58" t="str" cm="1">
        <f>IFERROR(INDEX(List_Predictors, INDEX(Array_PredictorsLookup,MATCH($A471,List_PredictorFacilities,0),(COLUMN()-1)/2), 1),"")</f>
        <v/>
      </c>
      <c r="Z471" s="137"/>
      <c r="AA471" s="58" t="str" cm="1">
        <f>IFERROR(INDEX(List_Predictors, INDEX(Array_PredictorsLookup,MATCH($A471,List_PredictorFacilities,0),(COLUMN()-1)/2), 1),"")</f>
        <v/>
      </c>
      <c r="AB471" s="137"/>
      <c r="AC471" s="58" t="str" cm="1">
        <f>IFERROR(INDEX(List_Predictors, INDEX(Array_PredictorsLookup,MATCH($A471,List_PredictorFacilities,0),(COLUMN()-1)/2), 1),"")</f>
        <v/>
      </c>
      <c r="AD471" s="137"/>
      <c r="AE471" s="58" t="str" cm="1">
        <f>IFERROR(INDEX(List_Predictors, INDEX(Array_PredictorsLookup,MATCH($A471,List_PredictorFacilities,0),(COLUMN()-1)/2), 1),"")</f>
        <v/>
      </c>
      <c r="AF471" s="137"/>
    </row>
    <row r="472" spans="1:32" x14ac:dyDescent="0.3">
      <c r="A472" s="126"/>
      <c r="B472" s="141"/>
      <c r="C472" s="58" t="str" cm="1">
        <f>IFERROR(INDEX(List_Predictors, INDEX(Array_PredictorsLookup,MATCH($A472,List_PredictorFacilities,0),(COLUMN()-1)/2), 1),"")</f>
        <v/>
      </c>
      <c r="D472" s="137"/>
      <c r="E472" s="58" t="str" cm="1">
        <f>IFERROR(INDEX(List_Predictors, INDEX(Array_PredictorsLookup,MATCH($A472,List_PredictorFacilities,0),(COLUMN()-1)/2), 1),"")</f>
        <v/>
      </c>
      <c r="F472" s="137"/>
      <c r="G472" s="58" t="str" cm="1">
        <f>IFERROR(INDEX(List_Predictors, INDEX(Array_PredictorsLookup,MATCH($A472,List_PredictorFacilities,0),(COLUMN()-1)/2), 1),"")</f>
        <v/>
      </c>
      <c r="H472" s="137"/>
      <c r="I472" s="58" t="str" cm="1">
        <f>IFERROR(INDEX(List_Predictors, INDEX(Array_PredictorsLookup,MATCH($A472,List_PredictorFacilities,0),(COLUMN()-1)/2), 1),"")</f>
        <v/>
      </c>
      <c r="J472" s="137"/>
      <c r="K472" s="58" t="str" cm="1">
        <f>IFERROR(INDEX(List_Predictors, INDEX(Array_PredictorsLookup,MATCH($A472,List_PredictorFacilities,0),(COLUMN()-1)/2), 1),"")</f>
        <v/>
      </c>
      <c r="L472" s="137"/>
      <c r="M472" s="58" t="str" cm="1">
        <f>IFERROR(INDEX(List_Predictors, INDEX(Array_PredictorsLookup,MATCH($A472,List_PredictorFacilities,0),(COLUMN()-1)/2), 1),"")</f>
        <v/>
      </c>
      <c r="N472" s="137"/>
      <c r="O472" s="58" t="str" cm="1">
        <f>IFERROR(INDEX(List_Predictors, INDEX(Array_PredictorsLookup,MATCH($A472,List_PredictorFacilities,0),(COLUMN()-1)/2), 1),"")</f>
        <v/>
      </c>
      <c r="P472" s="137"/>
      <c r="Q472" s="58" t="str" cm="1">
        <f>IFERROR(INDEX(List_Predictors, INDEX(Array_PredictorsLookup,MATCH($A472,List_PredictorFacilities,0),(COLUMN()-1)/2), 1),"")</f>
        <v/>
      </c>
      <c r="R472" s="137"/>
      <c r="S472" s="58" t="str" cm="1">
        <f>IFERROR(INDEX(List_Predictors, INDEX(Array_PredictorsLookup,MATCH($A472,List_PredictorFacilities,0),(COLUMN()-1)/2), 1),"")</f>
        <v/>
      </c>
      <c r="T472" s="137"/>
      <c r="U472" s="58" t="str" cm="1">
        <f>IFERROR(INDEX(List_Predictors, INDEX(Array_PredictorsLookup,MATCH($A472,List_PredictorFacilities,0),(COLUMN()-1)/2), 1),"")</f>
        <v/>
      </c>
      <c r="V472" s="137"/>
      <c r="W472" s="58" t="str" cm="1">
        <f>IFERROR(INDEX(List_Predictors, INDEX(Array_PredictorsLookup,MATCH($A472,List_PredictorFacilities,0),(COLUMN()-1)/2), 1),"")</f>
        <v/>
      </c>
      <c r="X472" s="137"/>
      <c r="Y472" s="58" t="str" cm="1">
        <f>IFERROR(INDEX(List_Predictors, INDEX(Array_PredictorsLookup,MATCH($A472,List_PredictorFacilities,0),(COLUMN()-1)/2), 1),"")</f>
        <v/>
      </c>
      <c r="Z472" s="137"/>
      <c r="AA472" s="58" t="str" cm="1">
        <f>IFERROR(INDEX(List_Predictors, INDEX(Array_PredictorsLookup,MATCH($A472,List_PredictorFacilities,0),(COLUMN()-1)/2), 1),"")</f>
        <v/>
      </c>
      <c r="AB472" s="137"/>
      <c r="AC472" s="58" t="str" cm="1">
        <f>IFERROR(INDEX(List_Predictors, INDEX(Array_PredictorsLookup,MATCH($A472,List_PredictorFacilities,0),(COLUMN()-1)/2), 1),"")</f>
        <v/>
      </c>
      <c r="AD472" s="137"/>
      <c r="AE472" s="58" t="str" cm="1">
        <f>IFERROR(INDEX(List_Predictors, INDEX(Array_PredictorsLookup,MATCH($A472,List_PredictorFacilities,0),(COLUMN()-1)/2), 1),"")</f>
        <v/>
      </c>
      <c r="AF472" s="137"/>
    </row>
    <row r="473" spans="1:32" x14ac:dyDescent="0.3">
      <c r="A473" s="126"/>
      <c r="B473" s="141"/>
      <c r="C473" s="58" t="str" cm="1">
        <f>IFERROR(INDEX(List_Predictors, INDEX(Array_PredictorsLookup,MATCH($A473,List_PredictorFacilities,0),(COLUMN()-1)/2), 1),"")</f>
        <v/>
      </c>
      <c r="D473" s="137"/>
      <c r="E473" s="58" t="str" cm="1">
        <f>IFERROR(INDEX(List_Predictors, INDEX(Array_PredictorsLookup,MATCH($A473,List_PredictorFacilities,0),(COLUMN()-1)/2), 1),"")</f>
        <v/>
      </c>
      <c r="F473" s="137"/>
      <c r="G473" s="58" t="str" cm="1">
        <f>IFERROR(INDEX(List_Predictors, INDEX(Array_PredictorsLookup,MATCH($A473,List_PredictorFacilities,0),(COLUMN()-1)/2), 1),"")</f>
        <v/>
      </c>
      <c r="H473" s="137"/>
      <c r="I473" s="58" t="str" cm="1">
        <f>IFERROR(INDEX(List_Predictors, INDEX(Array_PredictorsLookup,MATCH($A473,List_PredictorFacilities,0),(COLUMN()-1)/2), 1),"")</f>
        <v/>
      </c>
      <c r="J473" s="137"/>
      <c r="K473" s="58" t="str" cm="1">
        <f>IFERROR(INDEX(List_Predictors, INDEX(Array_PredictorsLookup,MATCH($A473,List_PredictorFacilities,0),(COLUMN()-1)/2), 1),"")</f>
        <v/>
      </c>
      <c r="L473" s="137"/>
      <c r="M473" s="58" t="str" cm="1">
        <f>IFERROR(INDEX(List_Predictors, INDEX(Array_PredictorsLookup,MATCH($A473,List_PredictorFacilities,0),(COLUMN()-1)/2), 1),"")</f>
        <v/>
      </c>
      <c r="N473" s="137"/>
      <c r="O473" s="58" t="str" cm="1">
        <f>IFERROR(INDEX(List_Predictors, INDEX(Array_PredictorsLookup,MATCH($A473,List_PredictorFacilities,0),(COLUMN()-1)/2), 1),"")</f>
        <v/>
      </c>
      <c r="P473" s="137"/>
      <c r="Q473" s="58" t="str" cm="1">
        <f>IFERROR(INDEX(List_Predictors, INDEX(Array_PredictorsLookup,MATCH($A473,List_PredictorFacilities,0),(COLUMN()-1)/2), 1),"")</f>
        <v/>
      </c>
      <c r="R473" s="137"/>
      <c r="S473" s="58" t="str" cm="1">
        <f>IFERROR(INDEX(List_Predictors, INDEX(Array_PredictorsLookup,MATCH($A473,List_PredictorFacilities,0),(COLUMN()-1)/2), 1),"")</f>
        <v/>
      </c>
      <c r="T473" s="137"/>
      <c r="U473" s="58" t="str" cm="1">
        <f>IFERROR(INDEX(List_Predictors, INDEX(Array_PredictorsLookup,MATCH($A473,List_PredictorFacilities,0),(COLUMN()-1)/2), 1),"")</f>
        <v/>
      </c>
      <c r="V473" s="137"/>
      <c r="W473" s="58" t="str" cm="1">
        <f>IFERROR(INDEX(List_Predictors, INDEX(Array_PredictorsLookup,MATCH($A473,List_PredictorFacilities,0),(COLUMN()-1)/2), 1),"")</f>
        <v/>
      </c>
      <c r="X473" s="137"/>
      <c r="Y473" s="58" t="str" cm="1">
        <f>IFERROR(INDEX(List_Predictors, INDEX(Array_PredictorsLookup,MATCH($A473,List_PredictorFacilities,0),(COLUMN()-1)/2), 1),"")</f>
        <v/>
      </c>
      <c r="Z473" s="137"/>
      <c r="AA473" s="58" t="str" cm="1">
        <f>IFERROR(INDEX(List_Predictors, INDEX(Array_PredictorsLookup,MATCH($A473,List_PredictorFacilities,0),(COLUMN()-1)/2), 1),"")</f>
        <v/>
      </c>
      <c r="AB473" s="137"/>
      <c r="AC473" s="58" t="str" cm="1">
        <f>IFERROR(INDEX(List_Predictors, INDEX(Array_PredictorsLookup,MATCH($A473,List_PredictorFacilities,0),(COLUMN()-1)/2), 1),"")</f>
        <v/>
      </c>
      <c r="AD473" s="137"/>
      <c r="AE473" s="58" t="str" cm="1">
        <f>IFERROR(INDEX(List_Predictors, INDEX(Array_PredictorsLookup,MATCH($A473,List_PredictorFacilities,0),(COLUMN()-1)/2), 1),"")</f>
        <v/>
      </c>
      <c r="AF473" s="137"/>
    </row>
    <row r="474" spans="1:32" x14ac:dyDescent="0.3">
      <c r="A474" s="126"/>
      <c r="B474" s="141"/>
      <c r="C474" s="58" t="str" cm="1">
        <f>IFERROR(INDEX(List_Predictors, INDEX(Array_PredictorsLookup,MATCH($A474,List_PredictorFacilities,0),(COLUMN()-1)/2), 1),"")</f>
        <v/>
      </c>
      <c r="D474" s="137"/>
      <c r="E474" s="58" t="str" cm="1">
        <f>IFERROR(INDEX(List_Predictors, INDEX(Array_PredictorsLookup,MATCH($A474,List_PredictorFacilities,0),(COLUMN()-1)/2), 1),"")</f>
        <v/>
      </c>
      <c r="F474" s="137"/>
      <c r="G474" s="58" t="str" cm="1">
        <f>IFERROR(INDEX(List_Predictors, INDEX(Array_PredictorsLookup,MATCH($A474,List_PredictorFacilities,0),(COLUMN()-1)/2), 1),"")</f>
        <v/>
      </c>
      <c r="H474" s="137"/>
      <c r="I474" s="58" t="str" cm="1">
        <f>IFERROR(INDEX(List_Predictors, INDEX(Array_PredictorsLookup,MATCH($A474,List_PredictorFacilities,0),(COLUMN()-1)/2), 1),"")</f>
        <v/>
      </c>
      <c r="J474" s="137"/>
      <c r="K474" s="58" t="str" cm="1">
        <f>IFERROR(INDEX(List_Predictors, INDEX(Array_PredictorsLookup,MATCH($A474,List_PredictorFacilities,0),(COLUMN()-1)/2), 1),"")</f>
        <v/>
      </c>
      <c r="L474" s="137"/>
      <c r="M474" s="58" t="str" cm="1">
        <f>IFERROR(INDEX(List_Predictors, INDEX(Array_PredictorsLookup,MATCH($A474,List_PredictorFacilities,0),(COLUMN()-1)/2), 1),"")</f>
        <v/>
      </c>
      <c r="N474" s="137"/>
      <c r="O474" s="58" t="str" cm="1">
        <f>IFERROR(INDEX(List_Predictors, INDEX(Array_PredictorsLookup,MATCH($A474,List_PredictorFacilities,0),(COLUMN()-1)/2), 1),"")</f>
        <v/>
      </c>
      <c r="P474" s="137"/>
      <c r="Q474" s="58" t="str" cm="1">
        <f>IFERROR(INDEX(List_Predictors, INDEX(Array_PredictorsLookup,MATCH($A474,List_PredictorFacilities,0),(COLUMN()-1)/2), 1),"")</f>
        <v/>
      </c>
      <c r="R474" s="137"/>
      <c r="S474" s="58" t="str" cm="1">
        <f>IFERROR(INDEX(List_Predictors, INDEX(Array_PredictorsLookup,MATCH($A474,List_PredictorFacilities,0),(COLUMN()-1)/2), 1),"")</f>
        <v/>
      </c>
      <c r="T474" s="137"/>
      <c r="U474" s="58" t="str" cm="1">
        <f>IFERROR(INDEX(List_Predictors, INDEX(Array_PredictorsLookup,MATCH($A474,List_PredictorFacilities,0),(COLUMN()-1)/2), 1),"")</f>
        <v/>
      </c>
      <c r="V474" s="137"/>
      <c r="W474" s="58" t="str" cm="1">
        <f>IFERROR(INDEX(List_Predictors, INDEX(Array_PredictorsLookup,MATCH($A474,List_PredictorFacilities,0),(COLUMN()-1)/2), 1),"")</f>
        <v/>
      </c>
      <c r="X474" s="137"/>
      <c r="Y474" s="58" t="str" cm="1">
        <f>IFERROR(INDEX(List_Predictors, INDEX(Array_PredictorsLookup,MATCH($A474,List_PredictorFacilities,0),(COLUMN()-1)/2), 1),"")</f>
        <v/>
      </c>
      <c r="Z474" s="137"/>
      <c r="AA474" s="58" t="str" cm="1">
        <f>IFERROR(INDEX(List_Predictors, INDEX(Array_PredictorsLookup,MATCH($A474,List_PredictorFacilities,0),(COLUMN()-1)/2), 1),"")</f>
        <v/>
      </c>
      <c r="AB474" s="137"/>
      <c r="AC474" s="58" t="str" cm="1">
        <f>IFERROR(INDEX(List_Predictors, INDEX(Array_PredictorsLookup,MATCH($A474,List_PredictorFacilities,0),(COLUMN()-1)/2), 1),"")</f>
        <v/>
      </c>
      <c r="AD474" s="137"/>
      <c r="AE474" s="58" t="str" cm="1">
        <f>IFERROR(INDEX(List_Predictors, INDEX(Array_PredictorsLookup,MATCH($A474,List_PredictorFacilities,0),(COLUMN()-1)/2), 1),"")</f>
        <v/>
      </c>
      <c r="AF474" s="137"/>
    </row>
    <row r="475" spans="1:32" x14ac:dyDescent="0.3">
      <c r="A475" s="126"/>
      <c r="B475" s="141"/>
      <c r="C475" s="58" t="str" cm="1">
        <f>IFERROR(INDEX(List_Predictors, INDEX(Array_PredictorsLookup,MATCH($A475,List_PredictorFacilities,0),(COLUMN()-1)/2), 1),"")</f>
        <v/>
      </c>
      <c r="D475" s="137"/>
      <c r="E475" s="58" t="str" cm="1">
        <f>IFERROR(INDEX(List_Predictors, INDEX(Array_PredictorsLookup,MATCH($A475,List_PredictorFacilities,0),(COLUMN()-1)/2), 1),"")</f>
        <v/>
      </c>
      <c r="F475" s="137"/>
      <c r="G475" s="58" t="str" cm="1">
        <f>IFERROR(INDEX(List_Predictors, INDEX(Array_PredictorsLookup,MATCH($A475,List_PredictorFacilities,0),(COLUMN()-1)/2), 1),"")</f>
        <v/>
      </c>
      <c r="H475" s="137"/>
      <c r="I475" s="58" t="str" cm="1">
        <f>IFERROR(INDEX(List_Predictors, INDEX(Array_PredictorsLookup,MATCH($A475,List_PredictorFacilities,0),(COLUMN()-1)/2), 1),"")</f>
        <v/>
      </c>
      <c r="J475" s="137"/>
      <c r="K475" s="58" t="str" cm="1">
        <f>IFERROR(INDEX(List_Predictors, INDEX(Array_PredictorsLookup,MATCH($A475,List_PredictorFacilities,0),(COLUMN()-1)/2), 1),"")</f>
        <v/>
      </c>
      <c r="L475" s="137"/>
      <c r="M475" s="58" t="str" cm="1">
        <f>IFERROR(INDEX(List_Predictors, INDEX(Array_PredictorsLookup,MATCH($A475,List_PredictorFacilities,0),(COLUMN()-1)/2), 1),"")</f>
        <v/>
      </c>
      <c r="N475" s="137"/>
      <c r="O475" s="58" t="str" cm="1">
        <f>IFERROR(INDEX(List_Predictors, INDEX(Array_PredictorsLookup,MATCH($A475,List_PredictorFacilities,0),(COLUMN()-1)/2), 1),"")</f>
        <v/>
      </c>
      <c r="P475" s="137"/>
      <c r="Q475" s="58" t="str" cm="1">
        <f>IFERROR(INDEX(List_Predictors, INDEX(Array_PredictorsLookup,MATCH($A475,List_PredictorFacilities,0),(COLUMN()-1)/2), 1),"")</f>
        <v/>
      </c>
      <c r="R475" s="137"/>
      <c r="S475" s="58" t="str" cm="1">
        <f>IFERROR(INDEX(List_Predictors, INDEX(Array_PredictorsLookup,MATCH($A475,List_PredictorFacilities,0),(COLUMN()-1)/2), 1),"")</f>
        <v/>
      </c>
      <c r="T475" s="137"/>
      <c r="U475" s="58" t="str" cm="1">
        <f>IFERROR(INDEX(List_Predictors, INDEX(Array_PredictorsLookup,MATCH($A475,List_PredictorFacilities,0),(COLUMN()-1)/2), 1),"")</f>
        <v/>
      </c>
      <c r="V475" s="137"/>
      <c r="W475" s="58" t="str" cm="1">
        <f>IFERROR(INDEX(List_Predictors, INDEX(Array_PredictorsLookup,MATCH($A475,List_PredictorFacilities,0),(COLUMN()-1)/2), 1),"")</f>
        <v/>
      </c>
      <c r="X475" s="137"/>
      <c r="Y475" s="58" t="str" cm="1">
        <f>IFERROR(INDEX(List_Predictors, INDEX(Array_PredictorsLookup,MATCH($A475,List_PredictorFacilities,0),(COLUMN()-1)/2), 1),"")</f>
        <v/>
      </c>
      <c r="Z475" s="137"/>
      <c r="AA475" s="58" t="str" cm="1">
        <f>IFERROR(INDEX(List_Predictors, INDEX(Array_PredictorsLookup,MATCH($A475,List_PredictorFacilities,0),(COLUMN()-1)/2), 1),"")</f>
        <v/>
      </c>
      <c r="AB475" s="137"/>
      <c r="AC475" s="58" t="str" cm="1">
        <f>IFERROR(INDEX(List_Predictors, INDEX(Array_PredictorsLookup,MATCH($A475,List_PredictorFacilities,0),(COLUMN()-1)/2), 1),"")</f>
        <v/>
      </c>
      <c r="AD475" s="137"/>
      <c r="AE475" s="58" t="str" cm="1">
        <f>IFERROR(INDEX(List_Predictors, INDEX(Array_PredictorsLookup,MATCH($A475,List_PredictorFacilities,0),(COLUMN()-1)/2), 1),"")</f>
        <v/>
      </c>
      <c r="AF475" s="137"/>
    </row>
    <row r="476" spans="1:32" x14ac:dyDescent="0.3">
      <c r="A476" s="126"/>
      <c r="B476" s="141"/>
      <c r="C476" s="58" t="str" cm="1">
        <f>IFERROR(INDEX(List_Predictors, INDEX(Array_PredictorsLookup,MATCH($A476,List_PredictorFacilities,0),(COLUMN()-1)/2), 1),"")</f>
        <v/>
      </c>
      <c r="D476" s="137"/>
      <c r="E476" s="58" t="str" cm="1">
        <f>IFERROR(INDEX(List_Predictors, INDEX(Array_PredictorsLookup,MATCH($A476,List_PredictorFacilities,0),(COLUMN()-1)/2), 1),"")</f>
        <v/>
      </c>
      <c r="F476" s="137"/>
      <c r="G476" s="58" t="str" cm="1">
        <f>IFERROR(INDEX(List_Predictors, INDEX(Array_PredictorsLookup,MATCH($A476,List_PredictorFacilities,0),(COLUMN()-1)/2), 1),"")</f>
        <v/>
      </c>
      <c r="H476" s="137"/>
      <c r="I476" s="58" t="str" cm="1">
        <f>IFERROR(INDEX(List_Predictors, INDEX(Array_PredictorsLookup,MATCH($A476,List_PredictorFacilities,0),(COLUMN()-1)/2), 1),"")</f>
        <v/>
      </c>
      <c r="J476" s="137"/>
      <c r="K476" s="58" t="str" cm="1">
        <f>IFERROR(INDEX(List_Predictors, INDEX(Array_PredictorsLookup,MATCH($A476,List_PredictorFacilities,0),(COLUMN()-1)/2), 1),"")</f>
        <v/>
      </c>
      <c r="L476" s="137"/>
      <c r="M476" s="58" t="str" cm="1">
        <f>IFERROR(INDEX(List_Predictors, INDEX(Array_PredictorsLookup,MATCH($A476,List_PredictorFacilities,0),(COLUMN()-1)/2), 1),"")</f>
        <v/>
      </c>
      <c r="N476" s="137"/>
      <c r="O476" s="58" t="str" cm="1">
        <f>IFERROR(INDEX(List_Predictors, INDEX(Array_PredictorsLookup,MATCH($A476,List_PredictorFacilities,0),(COLUMN()-1)/2), 1),"")</f>
        <v/>
      </c>
      <c r="P476" s="137"/>
      <c r="Q476" s="58" t="str" cm="1">
        <f>IFERROR(INDEX(List_Predictors, INDEX(Array_PredictorsLookup,MATCH($A476,List_PredictorFacilities,0),(COLUMN()-1)/2), 1),"")</f>
        <v/>
      </c>
      <c r="R476" s="137"/>
      <c r="S476" s="58" t="str" cm="1">
        <f>IFERROR(INDEX(List_Predictors, INDEX(Array_PredictorsLookup,MATCH($A476,List_PredictorFacilities,0),(COLUMN()-1)/2), 1),"")</f>
        <v/>
      </c>
      <c r="T476" s="137"/>
      <c r="U476" s="58" t="str" cm="1">
        <f>IFERROR(INDEX(List_Predictors, INDEX(Array_PredictorsLookup,MATCH($A476,List_PredictorFacilities,0),(COLUMN()-1)/2), 1),"")</f>
        <v/>
      </c>
      <c r="V476" s="137"/>
      <c r="W476" s="58" t="str" cm="1">
        <f>IFERROR(INDEX(List_Predictors, INDEX(Array_PredictorsLookup,MATCH($A476,List_PredictorFacilities,0),(COLUMN()-1)/2), 1),"")</f>
        <v/>
      </c>
      <c r="X476" s="137"/>
      <c r="Y476" s="58" t="str" cm="1">
        <f>IFERROR(INDEX(List_Predictors, INDEX(Array_PredictorsLookup,MATCH($A476,List_PredictorFacilities,0),(COLUMN()-1)/2), 1),"")</f>
        <v/>
      </c>
      <c r="Z476" s="137"/>
      <c r="AA476" s="58" t="str" cm="1">
        <f>IFERROR(INDEX(List_Predictors, INDEX(Array_PredictorsLookup,MATCH($A476,List_PredictorFacilities,0),(COLUMN()-1)/2), 1),"")</f>
        <v/>
      </c>
      <c r="AB476" s="137"/>
      <c r="AC476" s="58" t="str" cm="1">
        <f>IFERROR(INDEX(List_Predictors, INDEX(Array_PredictorsLookup,MATCH($A476,List_PredictorFacilities,0),(COLUMN()-1)/2), 1),"")</f>
        <v/>
      </c>
      <c r="AD476" s="137"/>
      <c r="AE476" s="58" t="str" cm="1">
        <f>IFERROR(INDEX(List_Predictors, INDEX(Array_PredictorsLookup,MATCH($A476,List_PredictorFacilities,0),(COLUMN()-1)/2), 1),"")</f>
        <v/>
      </c>
      <c r="AF476" s="137"/>
    </row>
    <row r="477" spans="1:32" x14ac:dyDescent="0.3">
      <c r="A477" s="126"/>
      <c r="B477" s="141"/>
      <c r="C477" s="58" t="str" cm="1">
        <f>IFERROR(INDEX(List_Predictors, INDEX(Array_PredictorsLookup,MATCH($A477,List_PredictorFacilities,0),(COLUMN()-1)/2), 1),"")</f>
        <v/>
      </c>
      <c r="D477" s="137"/>
      <c r="E477" s="58" t="str" cm="1">
        <f>IFERROR(INDEX(List_Predictors, INDEX(Array_PredictorsLookup,MATCH($A477,List_PredictorFacilities,0),(COLUMN()-1)/2), 1),"")</f>
        <v/>
      </c>
      <c r="F477" s="137"/>
      <c r="G477" s="58" t="str" cm="1">
        <f>IFERROR(INDEX(List_Predictors, INDEX(Array_PredictorsLookup,MATCH($A477,List_PredictorFacilities,0),(COLUMN()-1)/2), 1),"")</f>
        <v/>
      </c>
      <c r="H477" s="137"/>
      <c r="I477" s="58" t="str" cm="1">
        <f>IFERROR(INDEX(List_Predictors, INDEX(Array_PredictorsLookup,MATCH($A477,List_PredictorFacilities,0),(COLUMN()-1)/2), 1),"")</f>
        <v/>
      </c>
      <c r="J477" s="137"/>
      <c r="K477" s="58" t="str" cm="1">
        <f>IFERROR(INDEX(List_Predictors, INDEX(Array_PredictorsLookup,MATCH($A477,List_PredictorFacilities,0),(COLUMN()-1)/2), 1),"")</f>
        <v/>
      </c>
      <c r="L477" s="137"/>
      <c r="M477" s="58" t="str" cm="1">
        <f>IFERROR(INDEX(List_Predictors, INDEX(Array_PredictorsLookup,MATCH($A477,List_PredictorFacilities,0),(COLUMN()-1)/2), 1),"")</f>
        <v/>
      </c>
      <c r="N477" s="137"/>
      <c r="O477" s="58" t="str" cm="1">
        <f>IFERROR(INDEX(List_Predictors, INDEX(Array_PredictorsLookup,MATCH($A477,List_PredictorFacilities,0),(COLUMN()-1)/2), 1),"")</f>
        <v/>
      </c>
      <c r="P477" s="137"/>
      <c r="Q477" s="58" t="str" cm="1">
        <f>IFERROR(INDEX(List_Predictors, INDEX(Array_PredictorsLookup,MATCH($A477,List_PredictorFacilities,0),(COLUMN()-1)/2), 1),"")</f>
        <v/>
      </c>
      <c r="R477" s="137"/>
      <c r="S477" s="58" t="str" cm="1">
        <f>IFERROR(INDEX(List_Predictors, INDEX(Array_PredictorsLookup,MATCH($A477,List_PredictorFacilities,0),(COLUMN()-1)/2), 1),"")</f>
        <v/>
      </c>
      <c r="T477" s="137"/>
      <c r="U477" s="58" t="str" cm="1">
        <f>IFERROR(INDEX(List_Predictors, INDEX(Array_PredictorsLookup,MATCH($A477,List_PredictorFacilities,0),(COLUMN()-1)/2), 1),"")</f>
        <v/>
      </c>
      <c r="V477" s="137"/>
      <c r="W477" s="58" t="str" cm="1">
        <f>IFERROR(INDEX(List_Predictors, INDEX(Array_PredictorsLookup,MATCH($A477,List_PredictorFacilities,0),(COLUMN()-1)/2), 1),"")</f>
        <v/>
      </c>
      <c r="X477" s="137"/>
      <c r="Y477" s="58" t="str" cm="1">
        <f>IFERROR(INDEX(List_Predictors, INDEX(Array_PredictorsLookup,MATCH($A477,List_PredictorFacilities,0),(COLUMN()-1)/2), 1),"")</f>
        <v/>
      </c>
      <c r="Z477" s="137"/>
      <c r="AA477" s="58" t="str" cm="1">
        <f>IFERROR(INDEX(List_Predictors, INDEX(Array_PredictorsLookup,MATCH($A477,List_PredictorFacilities,0),(COLUMN()-1)/2), 1),"")</f>
        <v/>
      </c>
      <c r="AB477" s="137"/>
      <c r="AC477" s="58" t="str" cm="1">
        <f>IFERROR(INDEX(List_Predictors, INDEX(Array_PredictorsLookup,MATCH($A477,List_PredictorFacilities,0),(COLUMN()-1)/2), 1),"")</f>
        <v/>
      </c>
      <c r="AD477" s="137"/>
      <c r="AE477" s="58" t="str" cm="1">
        <f>IFERROR(INDEX(List_Predictors, INDEX(Array_PredictorsLookup,MATCH($A477,List_PredictorFacilities,0),(COLUMN()-1)/2), 1),"")</f>
        <v/>
      </c>
      <c r="AF477" s="137"/>
    </row>
    <row r="478" spans="1:32" x14ac:dyDescent="0.3">
      <c r="A478" s="126"/>
      <c r="B478" s="141"/>
      <c r="C478" s="58" t="str" cm="1">
        <f>IFERROR(INDEX(List_Predictors, INDEX(Array_PredictorsLookup,MATCH($A478,List_PredictorFacilities,0),(COLUMN()-1)/2), 1),"")</f>
        <v/>
      </c>
      <c r="D478" s="137"/>
      <c r="E478" s="58" t="str" cm="1">
        <f>IFERROR(INDEX(List_Predictors, INDEX(Array_PredictorsLookup,MATCH($A478,List_PredictorFacilities,0),(COLUMN()-1)/2), 1),"")</f>
        <v/>
      </c>
      <c r="F478" s="137"/>
      <c r="G478" s="58" t="str" cm="1">
        <f>IFERROR(INDEX(List_Predictors, INDEX(Array_PredictorsLookup,MATCH($A478,List_PredictorFacilities,0),(COLUMN()-1)/2), 1),"")</f>
        <v/>
      </c>
      <c r="H478" s="137"/>
      <c r="I478" s="58" t="str" cm="1">
        <f>IFERROR(INDEX(List_Predictors, INDEX(Array_PredictorsLookup,MATCH($A478,List_PredictorFacilities,0),(COLUMN()-1)/2), 1),"")</f>
        <v/>
      </c>
      <c r="J478" s="137"/>
      <c r="K478" s="58" t="str" cm="1">
        <f>IFERROR(INDEX(List_Predictors, INDEX(Array_PredictorsLookup,MATCH($A478,List_PredictorFacilities,0),(COLUMN()-1)/2), 1),"")</f>
        <v/>
      </c>
      <c r="L478" s="137"/>
      <c r="M478" s="58" t="str" cm="1">
        <f>IFERROR(INDEX(List_Predictors, INDEX(Array_PredictorsLookup,MATCH($A478,List_PredictorFacilities,0),(COLUMN()-1)/2), 1),"")</f>
        <v/>
      </c>
      <c r="N478" s="137"/>
      <c r="O478" s="58" t="str" cm="1">
        <f>IFERROR(INDEX(List_Predictors, INDEX(Array_PredictorsLookup,MATCH($A478,List_PredictorFacilities,0),(COLUMN()-1)/2), 1),"")</f>
        <v/>
      </c>
      <c r="P478" s="137"/>
      <c r="Q478" s="58" t="str" cm="1">
        <f>IFERROR(INDEX(List_Predictors, INDEX(Array_PredictorsLookup,MATCH($A478,List_PredictorFacilities,0),(COLUMN()-1)/2), 1),"")</f>
        <v/>
      </c>
      <c r="R478" s="137"/>
      <c r="S478" s="58" t="str" cm="1">
        <f>IFERROR(INDEX(List_Predictors, INDEX(Array_PredictorsLookup,MATCH($A478,List_PredictorFacilities,0),(COLUMN()-1)/2), 1),"")</f>
        <v/>
      </c>
      <c r="T478" s="137"/>
      <c r="U478" s="58" t="str" cm="1">
        <f>IFERROR(INDEX(List_Predictors, INDEX(Array_PredictorsLookup,MATCH($A478,List_PredictorFacilities,0),(COLUMN()-1)/2), 1),"")</f>
        <v/>
      </c>
      <c r="V478" s="137"/>
      <c r="W478" s="58" t="str" cm="1">
        <f>IFERROR(INDEX(List_Predictors, INDEX(Array_PredictorsLookup,MATCH($A478,List_PredictorFacilities,0),(COLUMN()-1)/2), 1),"")</f>
        <v/>
      </c>
      <c r="X478" s="137"/>
      <c r="Y478" s="58" t="str" cm="1">
        <f>IFERROR(INDEX(List_Predictors, INDEX(Array_PredictorsLookup,MATCH($A478,List_PredictorFacilities,0),(COLUMN()-1)/2), 1),"")</f>
        <v/>
      </c>
      <c r="Z478" s="137"/>
      <c r="AA478" s="58" t="str" cm="1">
        <f>IFERROR(INDEX(List_Predictors, INDEX(Array_PredictorsLookup,MATCH($A478,List_PredictorFacilities,0),(COLUMN()-1)/2), 1),"")</f>
        <v/>
      </c>
      <c r="AB478" s="137"/>
      <c r="AC478" s="58" t="str" cm="1">
        <f>IFERROR(INDEX(List_Predictors, INDEX(Array_PredictorsLookup,MATCH($A478,List_PredictorFacilities,0),(COLUMN()-1)/2), 1),"")</f>
        <v/>
      </c>
      <c r="AD478" s="137"/>
      <c r="AE478" s="58" t="str" cm="1">
        <f>IFERROR(INDEX(List_Predictors, INDEX(Array_PredictorsLookup,MATCH($A478,List_PredictorFacilities,0),(COLUMN()-1)/2), 1),"")</f>
        <v/>
      </c>
      <c r="AF478" s="137"/>
    </row>
    <row r="479" spans="1:32" x14ac:dyDescent="0.3">
      <c r="A479" s="126"/>
      <c r="B479" s="141"/>
      <c r="C479" s="58" t="str" cm="1">
        <f>IFERROR(INDEX(List_Predictors, INDEX(Array_PredictorsLookup,MATCH($A479,List_PredictorFacilities,0),(COLUMN()-1)/2), 1),"")</f>
        <v/>
      </c>
      <c r="D479" s="137"/>
      <c r="E479" s="58" t="str" cm="1">
        <f>IFERROR(INDEX(List_Predictors, INDEX(Array_PredictorsLookup,MATCH($A479,List_PredictorFacilities,0),(COLUMN()-1)/2), 1),"")</f>
        <v/>
      </c>
      <c r="F479" s="137"/>
      <c r="G479" s="58" t="str" cm="1">
        <f>IFERROR(INDEX(List_Predictors, INDEX(Array_PredictorsLookup,MATCH($A479,List_PredictorFacilities,0),(COLUMN()-1)/2), 1),"")</f>
        <v/>
      </c>
      <c r="H479" s="137"/>
      <c r="I479" s="58" t="str" cm="1">
        <f>IFERROR(INDEX(List_Predictors, INDEX(Array_PredictorsLookup,MATCH($A479,List_PredictorFacilities,0),(COLUMN()-1)/2), 1),"")</f>
        <v/>
      </c>
      <c r="J479" s="137"/>
      <c r="K479" s="58" t="str" cm="1">
        <f>IFERROR(INDEX(List_Predictors, INDEX(Array_PredictorsLookup,MATCH($A479,List_PredictorFacilities,0),(COLUMN()-1)/2), 1),"")</f>
        <v/>
      </c>
      <c r="L479" s="137"/>
      <c r="M479" s="58" t="str" cm="1">
        <f>IFERROR(INDEX(List_Predictors, INDEX(Array_PredictorsLookup,MATCH($A479,List_PredictorFacilities,0),(COLUMN()-1)/2), 1),"")</f>
        <v/>
      </c>
      <c r="N479" s="137"/>
      <c r="O479" s="58" t="str" cm="1">
        <f>IFERROR(INDEX(List_Predictors, INDEX(Array_PredictorsLookup,MATCH($A479,List_PredictorFacilities,0),(COLUMN()-1)/2), 1),"")</f>
        <v/>
      </c>
      <c r="P479" s="137"/>
      <c r="Q479" s="58" t="str" cm="1">
        <f>IFERROR(INDEX(List_Predictors, INDEX(Array_PredictorsLookup,MATCH($A479,List_PredictorFacilities,0),(COLUMN()-1)/2), 1),"")</f>
        <v/>
      </c>
      <c r="R479" s="137"/>
      <c r="S479" s="58" t="str" cm="1">
        <f>IFERROR(INDEX(List_Predictors, INDEX(Array_PredictorsLookup,MATCH($A479,List_PredictorFacilities,0),(COLUMN()-1)/2), 1),"")</f>
        <v/>
      </c>
      <c r="T479" s="137"/>
      <c r="U479" s="58" t="str" cm="1">
        <f>IFERROR(INDEX(List_Predictors, INDEX(Array_PredictorsLookup,MATCH($A479,List_PredictorFacilities,0),(COLUMN()-1)/2), 1),"")</f>
        <v/>
      </c>
      <c r="V479" s="137"/>
      <c r="W479" s="58" t="str" cm="1">
        <f>IFERROR(INDEX(List_Predictors, INDEX(Array_PredictorsLookup,MATCH($A479,List_PredictorFacilities,0),(COLUMN()-1)/2), 1),"")</f>
        <v/>
      </c>
      <c r="X479" s="137"/>
      <c r="Y479" s="58" t="str" cm="1">
        <f>IFERROR(INDEX(List_Predictors, INDEX(Array_PredictorsLookup,MATCH($A479,List_PredictorFacilities,0),(COLUMN()-1)/2), 1),"")</f>
        <v/>
      </c>
      <c r="Z479" s="137"/>
      <c r="AA479" s="58" t="str" cm="1">
        <f>IFERROR(INDEX(List_Predictors, INDEX(Array_PredictorsLookup,MATCH($A479,List_PredictorFacilities,0),(COLUMN()-1)/2), 1),"")</f>
        <v/>
      </c>
      <c r="AB479" s="137"/>
      <c r="AC479" s="58" t="str" cm="1">
        <f>IFERROR(INDEX(List_Predictors, INDEX(Array_PredictorsLookup,MATCH($A479,List_PredictorFacilities,0),(COLUMN()-1)/2), 1),"")</f>
        <v/>
      </c>
      <c r="AD479" s="137"/>
      <c r="AE479" s="58" t="str" cm="1">
        <f>IFERROR(INDEX(List_Predictors, INDEX(Array_PredictorsLookup,MATCH($A479,List_PredictorFacilities,0),(COLUMN()-1)/2), 1),"")</f>
        <v/>
      </c>
      <c r="AF479" s="137"/>
    </row>
    <row r="480" spans="1:32" x14ac:dyDescent="0.3">
      <c r="A480" s="126"/>
      <c r="B480" s="141"/>
      <c r="C480" s="58" t="str" cm="1">
        <f>IFERROR(INDEX(List_Predictors, INDEX(Array_PredictorsLookup,MATCH($A480,List_PredictorFacilities,0),(COLUMN()-1)/2), 1),"")</f>
        <v/>
      </c>
      <c r="D480" s="137"/>
      <c r="E480" s="58" t="str" cm="1">
        <f>IFERROR(INDEX(List_Predictors, INDEX(Array_PredictorsLookup,MATCH($A480,List_PredictorFacilities,0),(COLUMN()-1)/2), 1),"")</f>
        <v/>
      </c>
      <c r="F480" s="137"/>
      <c r="G480" s="58" t="str" cm="1">
        <f>IFERROR(INDEX(List_Predictors, INDEX(Array_PredictorsLookup,MATCH($A480,List_PredictorFacilities,0),(COLUMN()-1)/2), 1),"")</f>
        <v/>
      </c>
      <c r="H480" s="137"/>
      <c r="I480" s="58" t="str" cm="1">
        <f>IFERROR(INDEX(List_Predictors, INDEX(Array_PredictorsLookup,MATCH($A480,List_PredictorFacilities,0),(COLUMN()-1)/2), 1),"")</f>
        <v/>
      </c>
      <c r="J480" s="137"/>
      <c r="K480" s="58" t="str" cm="1">
        <f>IFERROR(INDEX(List_Predictors, INDEX(Array_PredictorsLookup,MATCH($A480,List_PredictorFacilities,0),(COLUMN()-1)/2), 1),"")</f>
        <v/>
      </c>
      <c r="L480" s="137"/>
      <c r="M480" s="58" t="str" cm="1">
        <f>IFERROR(INDEX(List_Predictors, INDEX(Array_PredictorsLookup,MATCH($A480,List_PredictorFacilities,0),(COLUMN()-1)/2), 1),"")</f>
        <v/>
      </c>
      <c r="N480" s="137"/>
      <c r="O480" s="58" t="str" cm="1">
        <f>IFERROR(INDEX(List_Predictors, INDEX(Array_PredictorsLookup,MATCH($A480,List_PredictorFacilities,0),(COLUMN()-1)/2), 1),"")</f>
        <v/>
      </c>
      <c r="P480" s="137"/>
      <c r="Q480" s="58" t="str" cm="1">
        <f>IFERROR(INDEX(List_Predictors, INDEX(Array_PredictorsLookup,MATCH($A480,List_PredictorFacilities,0),(COLUMN()-1)/2), 1),"")</f>
        <v/>
      </c>
      <c r="R480" s="137"/>
      <c r="S480" s="58" t="str" cm="1">
        <f>IFERROR(INDEX(List_Predictors, INDEX(Array_PredictorsLookup,MATCH($A480,List_PredictorFacilities,0),(COLUMN()-1)/2), 1),"")</f>
        <v/>
      </c>
      <c r="T480" s="137"/>
      <c r="U480" s="58" t="str" cm="1">
        <f>IFERROR(INDEX(List_Predictors, INDEX(Array_PredictorsLookup,MATCH($A480,List_PredictorFacilities,0),(COLUMN()-1)/2), 1),"")</f>
        <v/>
      </c>
      <c r="V480" s="137"/>
      <c r="W480" s="58" t="str" cm="1">
        <f>IFERROR(INDEX(List_Predictors, INDEX(Array_PredictorsLookup,MATCH($A480,List_PredictorFacilities,0),(COLUMN()-1)/2), 1),"")</f>
        <v/>
      </c>
      <c r="X480" s="137"/>
      <c r="Y480" s="58" t="str" cm="1">
        <f>IFERROR(INDEX(List_Predictors, INDEX(Array_PredictorsLookup,MATCH($A480,List_PredictorFacilities,0),(COLUMN()-1)/2), 1),"")</f>
        <v/>
      </c>
      <c r="Z480" s="137"/>
      <c r="AA480" s="58" t="str" cm="1">
        <f>IFERROR(INDEX(List_Predictors, INDEX(Array_PredictorsLookup,MATCH($A480,List_PredictorFacilities,0),(COLUMN()-1)/2), 1),"")</f>
        <v/>
      </c>
      <c r="AB480" s="137"/>
      <c r="AC480" s="58" t="str" cm="1">
        <f>IFERROR(INDEX(List_Predictors, INDEX(Array_PredictorsLookup,MATCH($A480,List_PredictorFacilities,0),(COLUMN()-1)/2), 1),"")</f>
        <v/>
      </c>
      <c r="AD480" s="137"/>
      <c r="AE480" s="58" t="str" cm="1">
        <f>IFERROR(INDEX(List_Predictors, INDEX(Array_PredictorsLookup,MATCH($A480,List_PredictorFacilities,0),(COLUMN()-1)/2), 1),"")</f>
        <v/>
      </c>
      <c r="AF480" s="137"/>
    </row>
    <row r="481" spans="1:32" x14ac:dyDescent="0.3">
      <c r="A481" s="126"/>
      <c r="B481" s="141"/>
      <c r="C481" s="58" t="str" cm="1">
        <f>IFERROR(INDEX(List_Predictors, INDEX(Array_PredictorsLookup,MATCH($A481,List_PredictorFacilities,0),(COLUMN()-1)/2), 1),"")</f>
        <v/>
      </c>
      <c r="D481" s="137"/>
      <c r="E481" s="58" t="str" cm="1">
        <f>IFERROR(INDEX(List_Predictors, INDEX(Array_PredictorsLookup,MATCH($A481,List_PredictorFacilities,0),(COLUMN()-1)/2), 1),"")</f>
        <v/>
      </c>
      <c r="F481" s="137"/>
      <c r="G481" s="58" t="str" cm="1">
        <f>IFERROR(INDEX(List_Predictors, INDEX(Array_PredictorsLookup,MATCH($A481,List_PredictorFacilities,0),(COLUMN()-1)/2), 1),"")</f>
        <v/>
      </c>
      <c r="H481" s="137"/>
      <c r="I481" s="58" t="str" cm="1">
        <f>IFERROR(INDEX(List_Predictors, INDEX(Array_PredictorsLookup,MATCH($A481,List_PredictorFacilities,0),(COLUMN()-1)/2), 1),"")</f>
        <v/>
      </c>
      <c r="J481" s="137"/>
      <c r="K481" s="58" t="str" cm="1">
        <f>IFERROR(INDEX(List_Predictors, INDEX(Array_PredictorsLookup,MATCH($A481,List_PredictorFacilities,0),(COLUMN()-1)/2), 1),"")</f>
        <v/>
      </c>
      <c r="L481" s="137"/>
      <c r="M481" s="58" t="str" cm="1">
        <f>IFERROR(INDEX(List_Predictors, INDEX(Array_PredictorsLookup,MATCH($A481,List_PredictorFacilities,0),(COLUMN()-1)/2), 1),"")</f>
        <v/>
      </c>
      <c r="N481" s="137"/>
      <c r="O481" s="58" t="str" cm="1">
        <f>IFERROR(INDEX(List_Predictors, INDEX(Array_PredictorsLookup,MATCH($A481,List_PredictorFacilities,0),(COLUMN()-1)/2), 1),"")</f>
        <v/>
      </c>
      <c r="P481" s="137"/>
      <c r="Q481" s="58" t="str" cm="1">
        <f>IFERROR(INDEX(List_Predictors, INDEX(Array_PredictorsLookup,MATCH($A481,List_PredictorFacilities,0),(COLUMN()-1)/2), 1),"")</f>
        <v/>
      </c>
      <c r="R481" s="137"/>
      <c r="S481" s="58" t="str" cm="1">
        <f>IFERROR(INDEX(List_Predictors, INDEX(Array_PredictorsLookup,MATCH($A481,List_PredictorFacilities,0),(COLUMN()-1)/2), 1),"")</f>
        <v/>
      </c>
      <c r="T481" s="137"/>
      <c r="U481" s="58" t="str" cm="1">
        <f>IFERROR(INDEX(List_Predictors, INDEX(Array_PredictorsLookup,MATCH($A481,List_PredictorFacilities,0),(COLUMN()-1)/2), 1),"")</f>
        <v/>
      </c>
      <c r="V481" s="137"/>
      <c r="W481" s="58" t="str" cm="1">
        <f>IFERROR(INDEX(List_Predictors, INDEX(Array_PredictorsLookup,MATCH($A481,List_PredictorFacilities,0),(COLUMN()-1)/2), 1),"")</f>
        <v/>
      </c>
      <c r="X481" s="137"/>
      <c r="Y481" s="58" t="str" cm="1">
        <f>IFERROR(INDEX(List_Predictors, INDEX(Array_PredictorsLookup,MATCH($A481,List_PredictorFacilities,0),(COLUMN()-1)/2), 1),"")</f>
        <v/>
      </c>
      <c r="Z481" s="137"/>
      <c r="AA481" s="58" t="str" cm="1">
        <f>IFERROR(INDEX(List_Predictors, INDEX(Array_PredictorsLookup,MATCH($A481,List_PredictorFacilities,0),(COLUMN()-1)/2), 1),"")</f>
        <v/>
      </c>
      <c r="AB481" s="137"/>
      <c r="AC481" s="58" t="str" cm="1">
        <f>IFERROR(INDEX(List_Predictors, INDEX(Array_PredictorsLookup,MATCH($A481,List_PredictorFacilities,0),(COLUMN()-1)/2), 1),"")</f>
        <v/>
      </c>
      <c r="AD481" s="137"/>
      <c r="AE481" s="58" t="str" cm="1">
        <f>IFERROR(INDEX(List_Predictors, INDEX(Array_PredictorsLookup,MATCH($A481,List_PredictorFacilities,0),(COLUMN()-1)/2), 1),"")</f>
        <v/>
      </c>
      <c r="AF481" s="137"/>
    </row>
    <row r="482" spans="1:32" x14ac:dyDescent="0.3">
      <c r="A482" s="126"/>
      <c r="B482" s="141"/>
      <c r="C482" s="58" t="str" cm="1">
        <f>IFERROR(INDEX(List_Predictors, INDEX(Array_PredictorsLookup,MATCH($A482,List_PredictorFacilities,0),(COLUMN()-1)/2), 1),"")</f>
        <v/>
      </c>
      <c r="D482" s="137"/>
      <c r="E482" s="58" t="str" cm="1">
        <f>IFERROR(INDEX(List_Predictors, INDEX(Array_PredictorsLookup,MATCH($A482,List_PredictorFacilities,0),(COLUMN()-1)/2), 1),"")</f>
        <v/>
      </c>
      <c r="F482" s="137"/>
      <c r="G482" s="58" t="str" cm="1">
        <f>IFERROR(INDEX(List_Predictors, INDEX(Array_PredictorsLookup,MATCH($A482,List_PredictorFacilities,0),(COLUMN()-1)/2), 1),"")</f>
        <v/>
      </c>
      <c r="H482" s="137"/>
      <c r="I482" s="58" t="str" cm="1">
        <f>IFERROR(INDEX(List_Predictors, INDEX(Array_PredictorsLookup,MATCH($A482,List_PredictorFacilities,0),(COLUMN()-1)/2), 1),"")</f>
        <v/>
      </c>
      <c r="J482" s="137"/>
      <c r="K482" s="58" t="str" cm="1">
        <f>IFERROR(INDEX(List_Predictors, INDEX(Array_PredictorsLookup,MATCH($A482,List_PredictorFacilities,0),(COLUMN()-1)/2), 1),"")</f>
        <v/>
      </c>
      <c r="L482" s="137"/>
      <c r="M482" s="58" t="str" cm="1">
        <f>IFERROR(INDEX(List_Predictors, INDEX(Array_PredictorsLookup,MATCH($A482,List_PredictorFacilities,0),(COLUMN()-1)/2), 1),"")</f>
        <v/>
      </c>
      <c r="N482" s="137"/>
      <c r="O482" s="58" t="str" cm="1">
        <f>IFERROR(INDEX(List_Predictors, INDEX(Array_PredictorsLookup,MATCH($A482,List_PredictorFacilities,0),(COLUMN()-1)/2), 1),"")</f>
        <v/>
      </c>
      <c r="P482" s="137"/>
      <c r="Q482" s="58" t="str" cm="1">
        <f>IFERROR(INDEX(List_Predictors, INDEX(Array_PredictorsLookup,MATCH($A482,List_PredictorFacilities,0),(COLUMN()-1)/2), 1),"")</f>
        <v/>
      </c>
      <c r="R482" s="137"/>
      <c r="S482" s="58" t="str" cm="1">
        <f>IFERROR(INDEX(List_Predictors, INDEX(Array_PredictorsLookup,MATCH($A482,List_PredictorFacilities,0),(COLUMN()-1)/2), 1),"")</f>
        <v/>
      </c>
      <c r="T482" s="137"/>
      <c r="U482" s="58" t="str" cm="1">
        <f>IFERROR(INDEX(List_Predictors, INDEX(Array_PredictorsLookup,MATCH($A482,List_PredictorFacilities,0),(COLUMN()-1)/2), 1),"")</f>
        <v/>
      </c>
      <c r="V482" s="137"/>
      <c r="W482" s="58" t="str" cm="1">
        <f>IFERROR(INDEX(List_Predictors, INDEX(Array_PredictorsLookup,MATCH($A482,List_PredictorFacilities,0),(COLUMN()-1)/2), 1),"")</f>
        <v/>
      </c>
      <c r="X482" s="137"/>
      <c r="Y482" s="58" t="str" cm="1">
        <f>IFERROR(INDEX(List_Predictors, INDEX(Array_PredictorsLookup,MATCH($A482,List_PredictorFacilities,0),(COLUMN()-1)/2), 1),"")</f>
        <v/>
      </c>
      <c r="Z482" s="137"/>
      <c r="AA482" s="58" t="str" cm="1">
        <f>IFERROR(INDEX(List_Predictors, INDEX(Array_PredictorsLookup,MATCH($A482,List_PredictorFacilities,0),(COLUMN()-1)/2), 1),"")</f>
        <v/>
      </c>
      <c r="AB482" s="137"/>
      <c r="AC482" s="58" t="str" cm="1">
        <f>IFERROR(INDEX(List_Predictors, INDEX(Array_PredictorsLookup,MATCH($A482,List_PredictorFacilities,0),(COLUMN()-1)/2), 1),"")</f>
        <v/>
      </c>
      <c r="AD482" s="137"/>
      <c r="AE482" s="58" t="str" cm="1">
        <f>IFERROR(INDEX(List_Predictors, INDEX(Array_PredictorsLookup,MATCH($A482,List_PredictorFacilities,0),(COLUMN()-1)/2), 1),"")</f>
        <v/>
      </c>
      <c r="AF482" s="137"/>
    </row>
    <row r="483" spans="1:32" x14ac:dyDescent="0.3">
      <c r="A483" s="126"/>
      <c r="B483" s="141"/>
      <c r="C483" s="58" t="str" cm="1">
        <f>IFERROR(INDEX(List_Predictors, INDEX(Array_PredictorsLookup,MATCH($A483,List_PredictorFacilities,0),(COLUMN()-1)/2), 1),"")</f>
        <v/>
      </c>
      <c r="D483" s="137"/>
      <c r="E483" s="58" t="str" cm="1">
        <f>IFERROR(INDEX(List_Predictors, INDEX(Array_PredictorsLookup,MATCH($A483,List_PredictorFacilities,0),(COLUMN()-1)/2), 1),"")</f>
        <v/>
      </c>
      <c r="F483" s="137"/>
      <c r="G483" s="58" t="str" cm="1">
        <f>IFERROR(INDEX(List_Predictors, INDEX(Array_PredictorsLookup,MATCH($A483,List_PredictorFacilities,0),(COLUMN()-1)/2), 1),"")</f>
        <v/>
      </c>
      <c r="H483" s="137"/>
      <c r="I483" s="58" t="str" cm="1">
        <f>IFERROR(INDEX(List_Predictors, INDEX(Array_PredictorsLookup,MATCH($A483,List_PredictorFacilities,0),(COLUMN()-1)/2), 1),"")</f>
        <v/>
      </c>
      <c r="J483" s="137"/>
      <c r="K483" s="58" t="str" cm="1">
        <f>IFERROR(INDEX(List_Predictors, INDEX(Array_PredictorsLookup,MATCH($A483,List_PredictorFacilities,0),(COLUMN()-1)/2), 1),"")</f>
        <v/>
      </c>
      <c r="L483" s="137"/>
      <c r="M483" s="58" t="str" cm="1">
        <f>IFERROR(INDEX(List_Predictors, INDEX(Array_PredictorsLookup,MATCH($A483,List_PredictorFacilities,0),(COLUMN()-1)/2), 1),"")</f>
        <v/>
      </c>
      <c r="N483" s="137"/>
      <c r="O483" s="58" t="str" cm="1">
        <f>IFERROR(INDEX(List_Predictors, INDEX(Array_PredictorsLookup,MATCH($A483,List_PredictorFacilities,0),(COLUMN()-1)/2), 1),"")</f>
        <v/>
      </c>
      <c r="P483" s="137"/>
      <c r="Q483" s="58" t="str" cm="1">
        <f>IFERROR(INDEX(List_Predictors, INDEX(Array_PredictorsLookup,MATCH($A483,List_PredictorFacilities,0),(COLUMN()-1)/2), 1),"")</f>
        <v/>
      </c>
      <c r="R483" s="137"/>
      <c r="S483" s="58" t="str" cm="1">
        <f>IFERROR(INDEX(List_Predictors, INDEX(Array_PredictorsLookup,MATCH($A483,List_PredictorFacilities,0),(COLUMN()-1)/2), 1),"")</f>
        <v/>
      </c>
      <c r="T483" s="137"/>
      <c r="U483" s="58" t="str" cm="1">
        <f>IFERROR(INDEX(List_Predictors, INDEX(Array_PredictorsLookup,MATCH($A483,List_PredictorFacilities,0),(COLUMN()-1)/2), 1),"")</f>
        <v/>
      </c>
      <c r="V483" s="137"/>
      <c r="W483" s="58" t="str" cm="1">
        <f>IFERROR(INDEX(List_Predictors, INDEX(Array_PredictorsLookup,MATCH($A483,List_PredictorFacilities,0),(COLUMN()-1)/2), 1),"")</f>
        <v/>
      </c>
      <c r="X483" s="137"/>
      <c r="Y483" s="58" t="str" cm="1">
        <f>IFERROR(INDEX(List_Predictors, INDEX(Array_PredictorsLookup,MATCH($A483,List_PredictorFacilities,0),(COLUMN()-1)/2), 1),"")</f>
        <v/>
      </c>
      <c r="Z483" s="137"/>
      <c r="AA483" s="58" t="str" cm="1">
        <f>IFERROR(INDEX(List_Predictors, INDEX(Array_PredictorsLookup,MATCH($A483,List_PredictorFacilities,0),(COLUMN()-1)/2), 1),"")</f>
        <v/>
      </c>
      <c r="AB483" s="137"/>
      <c r="AC483" s="58" t="str" cm="1">
        <f>IFERROR(INDEX(List_Predictors, INDEX(Array_PredictorsLookup,MATCH($A483,List_PredictorFacilities,0),(COLUMN()-1)/2), 1),"")</f>
        <v/>
      </c>
      <c r="AD483" s="137"/>
      <c r="AE483" s="58" t="str" cm="1">
        <f>IFERROR(INDEX(List_Predictors, INDEX(Array_PredictorsLookup,MATCH($A483,List_PredictorFacilities,0),(COLUMN()-1)/2), 1),"")</f>
        <v/>
      </c>
      <c r="AF483" s="137"/>
    </row>
    <row r="484" spans="1:32" x14ac:dyDescent="0.3">
      <c r="A484" s="126"/>
      <c r="B484" s="141"/>
      <c r="C484" s="58" t="str" cm="1">
        <f>IFERROR(INDEX(List_Predictors, INDEX(Array_PredictorsLookup,MATCH($A484,List_PredictorFacilities,0),(COLUMN()-1)/2), 1),"")</f>
        <v/>
      </c>
      <c r="D484" s="137"/>
      <c r="E484" s="58" t="str" cm="1">
        <f>IFERROR(INDEX(List_Predictors, INDEX(Array_PredictorsLookup,MATCH($A484,List_PredictorFacilities,0),(COLUMN()-1)/2), 1),"")</f>
        <v/>
      </c>
      <c r="F484" s="137"/>
      <c r="G484" s="58" t="str" cm="1">
        <f>IFERROR(INDEX(List_Predictors, INDEX(Array_PredictorsLookup,MATCH($A484,List_PredictorFacilities,0),(COLUMN()-1)/2), 1),"")</f>
        <v/>
      </c>
      <c r="H484" s="137"/>
      <c r="I484" s="58" t="str" cm="1">
        <f>IFERROR(INDEX(List_Predictors, INDEX(Array_PredictorsLookup,MATCH($A484,List_PredictorFacilities,0),(COLUMN()-1)/2), 1),"")</f>
        <v/>
      </c>
      <c r="J484" s="137"/>
      <c r="K484" s="58" t="str" cm="1">
        <f>IFERROR(INDEX(List_Predictors, INDEX(Array_PredictorsLookup,MATCH($A484,List_PredictorFacilities,0),(COLUMN()-1)/2), 1),"")</f>
        <v/>
      </c>
      <c r="L484" s="137"/>
      <c r="M484" s="58" t="str" cm="1">
        <f>IFERROR(INDEX(List_Predictors, INDEX(Array_PredictorsLookup,MATCH($A484,List_PredictorFacilities,0),(COLUMN()-1)/2), 1),"")</f>
        <v/>
      </c>
      <c r="N484" s="137"/>
      <c r="O484" s="58" t="str" cm="1">
        <f>IFERROR(INDEX(List_Predictors, INDEX(Array_PredictorsLookup,MATCH($A484,List_PredictorFacilities,0),(COLUMN()-1)/2), 1),"")</f>
        <v/>
      </c>
      <c r="P484" s="137"/>
      <c r="Q484" s="58" t="str" cm="1">
        <f>IFERROR(INDEX(List_Predictors, INDEX(Array_PredictorsLookup,MATCH($A484,List_PredictorFacilities,0),(COLUMN()-1)/2), 1),"")</f>
        <v/>
      </c>
      <c r="R484" s="137"/>
      <c r="S484" s="58" t="str" cm="1">
        <f>IFERROR(INDEX(List_Predictors, INDEX(Array_PredictorsLookup,MATCH($A484,List_PredictorFacilities,0),(COLUMN()-1)/2), 1),"")</f>
        <v/>
      </c>
      <c r="T484" s="137"/>
      <c r="U484" s="58" t="str" cm="1">
        <f>IFERROR(INDEX(List_Predictors, INDEX(Array_PredictorsLookup,MATCH($A484,List_PredictorFacilities,0),(COLUMN()-1)/2), 1),"")</f>
        <v/>
      </c>
      <c r="V484" s="137"/>
      <c r="W484" s="58" t="str" cm="1">
        <f>IFERROR(INDEX(List_Predictors, INDEX(Array_PredictorsLookup,MATCH($A484,List_PredictorFacilities,0),(COLUMN()-1)/2), 1),"")</f>
        <v/>
      </c>
      <c r="X484" s="137"/>
      <c r="Y484" s="58" t="str" cm="1">
        <f>IFERROR(INDEX(List_Predictors, INDEX(Array_PredictorsLookup,MATCH($A484,List_PredictorFacilities,0),(COLUMN()-1)/2), 1),"")</f>
        <v/>
      </c>
      <c r="Z484" s="137"/>
      <c r="AA484" s="58" t="str" cm="1">
        <f>IFERROR(INDEX(List_Predictors, INDEX(Array_PredictorsLookup,MATCH($A484,List_PredictorFacilities,0),(COLUMN()-1)/2), 1),"")</f>
        <v/>
      </c>
      <c r="AB484" s="137"/>
      <c r="AC484" s="58" t="str" cm="1">
        <f>IFERROR(INDEX(List_Predictors, INDEX(Array_PredictorsLookup,MATCH($A484,List_PredictorFacilities,0),(COLUMN()-1)/2), 1),"")</f>
        <v/>
      </c>
      <c r="AD484" s="137"/>
      <c r="AE484" s="58" t="str" cm="1">
        <f>IFERROR(INDEX(List_Predictors, INDEX(Array_PredictorsLookup,MATCH($A484,List_PredictorFacilities,0),(COLUMN()-1)/2), 1),"")</f>
        <v/>
      </c>
      <c r="AF484" s="137"/>
    </row>
    <row r="485" spans="1:32" x14ac:dyDescent="0.3">
      <c r="A485" s="126"/>
      <c r="B485" s="141"/>
      <c r="C485" s="58" t="str" cm="1">
        <f>IFERROR(INDEX(List_Predictors, INDEX(Array_PredictorsLookup,MATCH($A485,List_PredictorFacilities,0),(COLUMN()-1)/2), 1),"")</f>
        <v/>
      </c>
      <c r="D485" s="137"/>
      <c r="E485" s="58" t="str" cm="1">
        <f>IFERROR(INDEX(List_Predictors, INDEX(Array_PredictorsLookup,MATCH($A485,List_PredictorFacilities,0),(COLUMN()-1)/2), 1),"")</f>
        <v/>
      </c>
      <c r="F485" s="137"/>
      <c r="G485" s="58" t="str" cm="1">
        <f>IFERROR(INDEX(List_Predictors, INDEX(Array_PredictorsLookup,MATCH($A485,List_PredictorFacilities,0),(COLUMN()-1)/2), 1),"")</f>
        <v/>
      </c>
      <c r="H485" s="137"/>
      <c r="I485" s="58" t="str" cm="1">
        <f>IFERROR(INDEX(List_Predictors, INDEX(Array_PredictorsLookup,MATCH($A485,List_PredictorFacilities,0),(COLUMN()-1)/2), 1),"")</f>
        <v/>
      </c>
      <c r="J485" s="137"/>
      <c r="K485" s="58" t="str" cm="1">
        <f>IFERROR(INDEX(List_Predictors, INDEX(Array_PredictorsLookup,MATCH($A485,List_PredictorFacilities,0),(COLUMN()-1)/2), 1),"")</f>
        <v/>
      </c>
      <c r="L485" s="137"/>
      <c r="M485" s="58" t="str" cm="1">
        <f>IFERROR(INDEX(List_Predictors, INDEX(Array_PredictorsLookup,MATCH($A485,List_PredictorFacilities,0),(COLUMN()-1)/2), 1),"")</f>
        <v/>
      </c>
      <c r="N485" s="137"/>
      <c r="O485" s="58" t="str" cm="1">
        <f>IFERROR(INDEX(List_Predictors, INDEX(Array_PredictorsLookup,MATCH($A485,List_PredictorFacilities,0),(COLUMN()-1)/2), 1),"")</f>
        <v/>
      </c>
      <c r="P485" s="137"/>
      <c r="Q485" s="58" t="str" cm="1">
        <f>IFERROR(INDEX(List_Predictors, INDEX(Array_PredictorsLookup,MATCH($A485,List_PredictorFacilities,0),(COLUMN()-1)/2), 1),"")</f>
        <v/>
      </c>
      <c r="R485" s="137"/>
      <c r="S485" s="58" t="str" cm="1">
        <f>IFERROR(INDEX(List_Predictors, INDEX(Array_PredictorsLookup,MATCH($A485,List_PredictorFacilities,0),(COLUMN()-1)/2), 1),"")</f>
        <v/>
      </c>
      <c r="T485" s="137"/>
      <c r="U485" s="58" t="str" cm="1">
        <f>IFERROR(INDEX(List_Predictors, INDEX(Array_PredictorsLookup,MATCH($A485,List_PredictorFacilities,0),(COLUMN()-1)/2), 1),"")</f>
        <v/>
      </c>
      <c r="V485" s="137"/>
      <c r="W485" s="58" t="str" cm="1">
        <f>IFERROR(INDEX(List_Predictors, INDEX(Array_PredictorsLookup,MATCH($A485,List_PredictorFacilities,0),(COLUMN()-1)/2), 1),"")</f>
        <v/>
      </c>
      <c r="X485" s="137"/>
      <c r="Y485" s="58" t="str" cm="1">
        <f>IFERROR(INDEX(List_Predictors, INDEX(Array_PredictorsLookup,MATCH($A485,List_PredictorFacilities,0),(COLUMN()-1)/2), 1),"")</f>
        <v/>
      </c>
      <c r="Z485" s="137"/>
      <c r="AA485" s="58" t="str" cm="1">
        <f>IFERROR(INDEX(List_Predictors, INDEX(Array_PredictorsLookup,MATCH($A485,List_PredictorFacilities,0),(COLUMN()-1)/2), 1),"")</f>
        <v/>
      </c>
      <c r="AB485" s="137"/>
      <c r="AC485" s="58" t="str" cm="1">
        <f>IFERROR(INDEX(List_Predictors, INDEX(Array_PredictorsLookup,MATCH($A485,List_PredictorFacilities,0),(COLUMN()-1)/2), 1),"")</f>
        <v/>
      </c>
      <c r="AD485" s="137"/>
      <c r="AE485" s="58" t="str" cm="1">
        <f>IFERROR(INDEX(List_Predictors, INDEX(Array_PredictorsLookup,MATCH($A485,List_PredictorFacilities,0),(COLUMN()-1)/2), 1),"")</f>
        <v/>
      </c>
      <c r="AF485" s="137"/>
    </row>
    <row r="486" spans="1:32" x14ac:dyDescent="0.3">
      <c r="A486" s="126"/>
      <c r="B486" s="141"/>
      <c r="C486" s="58" t="str" cm="1">
        <f>IFERROR(INDEX(List_Predictors, INDEX(Array_PredictorsLookup,MATCH($A486,List_PredictorFacilities,0),(COLUMN()-1)/2), 1),"")</f>
        <v/>
      </c>
      <c r="D486" s="137"/>
      <c r="E486" s="58" t="str" cm="1">
        <f>IFERROR(INDEX(List_Predictors, INDEX(Array_PredictorsLookup,MATCH($A486,List_PredictorFacilities,0),(COLUMN()-1)/2), 1),"")</f>
        <v/>
      </c>
      <c r="F486" s="137"/>
      <c r="G486" s="58" t="str" cm="1">
        <f>IFERROR(INDEX(List_Predictors, INDEX(Array_PredictorsLookup,MATCH($A486,List_PredictorFacilities,0),(COLUMN()-1)/2), 1),"")</f>
        <v/>
      </c>
      <c r="H486" s="137"/>
      <c r="I486" s="58" t="str" cm="1">
        <f>IFERROR(INDEX(List_Predictors, INDEX(Array_PredictorsLookup,MATCH($A486,List_PredictorFacilities,0),(COLUMN()-1)/2), 1),"")</f>
        <v/>
      </c>
      <c r="J486" s="137"/>
      <c r="K486" s="58" t="str" cm="1">
        <f>IFERROR(INDEX(List_Predictors, INDEX(Array_PredictorsLookup,MATCH($A486,List_PredictorFacilities,0),(COLUMN()-1)/2), 1),"")</f>
        <v/>
      </c>
      <c r="L486" s="137"/>
      <c r="M486" s="58" t="str" cm="1">
        <f>IFERROR(INDEX(List_Predictors, INDEX(Array_PredictorsLookup,MATCH($A486,List_PredictorFacilities,0),(COLUMN()-1)/2), 1),"")</f>
        <v/>
      </c>
      <c r="N486" s="137"/>
      <c r="O486" s="58" t="str" cm="1">
        <f>IFERROR(INDEX(List_Predictors, INDEX(Array_PredictorsLookup,MATCH($A486,List_PredictorFacilities,0),(COLUMN()-1)/2), 1),"")</f>
        <v/>
      </c>
      <c r="P486" s="137"/>
      <c r="Q486" s="58" t="str" cm="1">
        <f>IFERROR(INDEX(List_Predictors, INDEX(Array_PredictorsLookup,MATCH($A486,List_PredictorFacilities,0),(COLUMN()-1)/2), 1),"")</f>
        <v/>
      </c>
      <c r="R486" s="137"/>
      <c r="S486" s="58" t="str" cm="1">
        <f>IFERROR(INDEX(List_Predictors, INDEX(Array_PredictorsLookup,MATCH($A486,List_PredictorFacilities,0),(COLUMN()-1)/2), 1),"")</f>
        <v/>
      </c>
      <c r="T486" s="137"/>
      <c r="U486" s="58" t="str" cm="1">
        <f>IFERROR(INDEX(List_Predictors, INDEX(Array_PredictorsLookup,MATCH($A486,List_PredictorFacilities,0),(COLUMN()-1)/2), 1),"")</f>
        <v/>
      </c>
      <c r="V486" s="137"/>
      <c r="W486" s="58" t="str" cm="1">
        <f>IFERROR(INDEX(List_Predictors, INDEX(Array_PredictorsLookup,MATCH($A486,List_PredictorFacilities,0),(COLUMN()-1)/2), 1),"")</f>
        <v/>
      </c>
      <c r="X486" s="137"/>
      <c r="Y486" s="58" t="str" cm="1">
        <f>IFERROR(INDEX(List_Predictors, INDEX(Array_PredictorsLookup,MATCH($A486,List_PredictorFacilities,0),(COLUMN()-1)/2), 1),"")</f>
        <v/>
      </c>
      <c r="Z486" s="137"/>
      <c r="AA486" s="58" t="str" cm="1">
        <f>IFERROR(INDEX(List_Predictors, INDEX(Array_PredictorsLookup,MATCH($A486,List_PredictorFacilities,0),(COLUMN()-1)/2), 1),"")</f>
        <v/>
      </c>
      <c r="AB486" s="137"/>
      <c r="AC486" s="58" t="str" cm="1">
        <f>IFERROR(INDEX(List_Predictors, INDEX(Array_PredictorsLookup,MATCH($A486,List_PredictorFacilities,0),(COLUMN()-1)/2), 1),"")</f>
        <v/>
      </c>
      <c r="AD486" s="137"/>
      <c r="AE486" s="58" t="str" cm="1">
        <f>IFERROR(INDEX(List_Predictors, INDEX(Array_PredictorsLookup,MATCH($A486,List_PredictorFacilities,0),(COLUMN()-1)/2), 1),"")</f>
        <v/>
      </c>
      <c r="AF486" s="137"/>
    </row>
    <row r="487" spans="1:32" x14ac:dyDescent="0.3">
      <c r="A487" s="126"/>
      <c r="B487" s="141"/>
      <c r="C487" s="58" t="str" cm="1">
        <f>IFERROR(INDEX(List_Predictors, INDEX(Array_PredictorsLookup,MATCH($A487,List_PredictorFacilities,0),(COLUMN()-1)/2), 1),"")</f>
        <v/>
      </c>
      <c r="D487" s="137"/>
      <c r="E487" s="58" t="str" cm="1">
        <f>IFERROR(INDEX(List_Predictors, INDEX(Array_PredictorsLookup,MATCH($A487,List_PredictorFacilities,0),(COLUMN()-1)/2), 1),"")</f>
        <v/>
      </c>
      <c r="F487" s="137"/>
      <c r="G487" s="58" t="str" cm="1">
        <f>IFERROR(INDEX(List_Predictors, INDEX(Array_PredictorsLookup,MATCH($A487,List_PredictorFacilities,0),(COLUMN()-1)/2), 1),"")</f>
        <v/>
      </c>
      <c r="H487" s="137"/>
      <c r="I487" s="58" t="str" cm="1">
        <f>IFERROR(INDEX(List_Predictors, INDEX(Array_PredictorsLookup,MATCH($A487,List_PredictorFacilities,0),(COLUMN()-1)/2), 1),"")</f>
        <v/>
      </c>
      <c r="J487" s="137"/>
      <c r="K487" s="58" t="str" cm="1">
        <f>IFERROR(INDEX(List_Predictors, INDEX(Array_PredictorsLookup,MATCH($A487,List_PredictorFacilities,0),(COLUMN()-1)/2), 1),"")</f>
        <v/>
      </c>
      <c r="L487" s="137"/>
      <c r="M487" s="58" t="str" cm="1">
        <f>IFERROR(INDEX(List_Predictors, INDEX(Array_PredictorsLookup,MATCH($A487,List_PredictorFacilities,0),(COLUMN()-1)/2), 1),"")</f>
        <v/>
      </c>
      <c r="N487" s="137"/>
      <c r="O487" s="58" t="str" cm="1">
        <f>IFERROR(INDEX(List_Predictors, INDEX(Array_PredictorsLookup,MATCH($A487,List_PredictorFacilities,0),(COLUMN()-1)/2), 1),"")</f>
        <v/>
      </c>
      <c r="P487" s="137"/>
      <c r="Q487" s="58" t="str" cm="1">
        <f>IFERROR(INDEX(List_Predictors, INDEX(Array_PredictorsLookup,MATCH($A487,List_PredictorFacilities,0),(COLUMN()-1)/2), 1),"")</f>
        <v/>
      </c>
      <c r="R487" s="137"/>
      <c r="S487" s="58" t="str" cm="1">
        <f>IFERROR(INDEX(List_Predictors, INDEX(Array_PredictorsLookup,MATCH($A487,List_PredictorFacilities,0),(COLUMN()-1)/2), 1),"")</f>
        <v/>
      </c>
      <c r="T487" s="137"/>
      <c r="U487" s="58" t="str" cm="1">
        <f>IFERROR(INDEX(List_Predictors, INDEX(Array_PredictorsLookup,MATCH($A487,List_PredictorFacilities,0),(COLUMN()-1)/2), 1),"")</f>
        <v/>
      </c>
      <c r="V487" s="137"/>
      <c r="W487" s="58" t="str" cm="1">
        <f>IFERROR(INDEX(List_Predictors, INDEX(Array_PredictorsLookup,MATCH($A487,List_PredictorFacilities,0),(COLUMN()-1)/2), 1),"")</f>
        <v/>
      </c>
      <c r="X487" s="137"/>
      <c r="Y487" s="58" t="str" cm="1">
        <f>IFERROR(INDEX(List_Predictors, INDEX(Array_PredictorsLookup,MATCH($A487,List_PredictorFacilities,0),(COLUMN()-1)/2), 1),"")</f>
        <v/>
      </c>
      <c r="Z487" s="137"/>
      <c r="AA487" s="58" t="str" cm="1">
        <f>IFERROR(INDEX(List_Predictors, INDEX(Array_PredictorsLookup,MATCH($A487,List_PredictorFacilities,0),(COLUMN()-1)/2), 1),"")</f>
        <v/>
      </c>
      <c r="AB487" s="137"/>
      <c r="AC487" s="58" t="str" cm="1">
        <f>IFERROR(INDEX(List_Predictors, INDEX(Array_PredictorsLookup,MATCH($A487,List_PredictorFacilities,0),(COLUMN()-1)/2), 1),"")</f>
        <v/>
      </c>
      <c r="AD487" s="137"/>
      <c r="AE487" s="58" t="str" cm="1">
        <f>IFERROR(INDEX(List_Predictors, INDEX(Array_PredictorsLookup,MATCH($A487,List_PredictorFacilities,0),(COLUMN()-1)/2), 1),"")</f>
        <v/>
      </c>
      <c r="AF487" s="137"/>
    </row>
    <row r="488" spans="1:32" x14ac:dyDescent="0.3">
      <c r="A488" s="126"/>
      <c r="B488" s="141"/>
      <c r="C488" s="58" t="str" cm="1">
        <f>IFERROR(INDEX(List_Predictors, INDEX(Array_PredictorsLookup,MATCH($A488,List_PredictorFacilities,0),(COLUMN()-1)/2), 1),"")</f>
        <v/>
      </c>
      <c r="D488" s="137"/>
      <c r="E488" s="58" t="str" cm="1">
        <f>IFERROR(INDEX(List_Predictors, INDEX(Array_PredictorsLookup,MATCH($A488,List_PredictorFacilities,0),(COLUMN()-1)/2), 1),"")</f>
        <v/>
      </c>
      <c r="F488" s="137"/>
      <c r="G488" s="58" t="str" cm="1">
        <f>IFERROR(INDEX(List_Predictors, INDEX(Array_PredictorsLookup,MATCH($A488,List_PredictorFacilities,0),(COLUMN()-1)/2), 1),"")</f>
        <v/>
      </c>
      <c r="H488" s="137"/>
      <c r="I488" s="58" t="str" cm="1">
        <f>IFERROR(INDEX(List_Predictors, INDEX(Array_PredictorsLookup,MATCH($A488,List_PredictorFacilities,0),(COLUMN()-1)/2), 1),"")</f>
        <v/>
      </c>
      <c r="J488" s="137"/>
      <c r="K488" s="58" t="str" cm="1">
        <f>IFERROR(INDEX(List_Predictors, INDEX(Array_PredictorsLookup,MATCH($A488,List_PredictorFacilities,0),(COLUMN()-1)/2), 1),"")</f>
        <v/>
      </c>
      <c r="L488" s="137"/>
      <c r="M488" s="58" t="str" cm="1">
        <f>IFERROR(INDEX(List_Predictors, INDEX(Array_PredictorsLookup,MATCH($A488,List_PredictorFacilities,0),(COLUMN()-1)/2), 1),"")</f>
        <v/>
      </c>
      <c r="N488" s="137"/>
      <c r="O488" s="58" t="str" cm="1">
        <f>IFERROR(INDEX(List_Predictors, INDEX(Array_PredictorsLookup,MATCH($A488,List_PredictorFacilities,0),(COLUMN()-1)/2), 1),"")</f>
        <v/>
      </c>
      <c r="P488" s="137"/>
      <c r="Q488" s="58" t="str" cm="1">
        <f>IFERROR(INDEX(List_Predictors, INDEX(Array_PredictorsLookup,MATCH($A488,List_PredictorFacilities,0),(COLUMN()-1)/2), 1),"")</f>
        <v/>
      </c>
      <c r="R488" s="137"/>
      <c r="S488" s="58" t="str" cm="1">
        <f>IFERROR(INDEX(List_Predictors, INDEX(Array_PredictorsLookup,MATCH($A488,List_PredictorFacilities,0),(COLUMN()-1)/2), 1),"")</f>
        <v/>
      </c>
      <c r="T488" s="137"/>
      <c r="U488" s="58" t="str" cm="1">
        <f>IFERROR(INDEX(List_Predictors, INDEX(Array_PredictorsLookup,MATCH($A488,List_PredictorFacilities,0),(COLUMN()-1)/2), 1),"")</f>
        <v/>
      </c>
      <c r="V488" s="137"/>
      <c r="W488" s="58" t="str" cm="1">
        <f>IFERROR(INDEX(List_Predictors, INDEX(Array_PredictorsLookup,MATCH($A488,List_PredictorFacilities,0),(COLUMN()-1)/2), 1),"")</f>
        <v/>
      </c>
      <c r="X488" s="137"/>
      <c r="Y488" s="58" t="str" cm="1">
        <f>IFERROR(INDEX(List_Predictors, INDEX(Array_PredictorsLookup,MATCH($A488,List_PredictorFacilities,0),(COLUMN()-1)/2), 1),"")</f>
        <v/>
      </c>
      <c r="Z488" s="137"/>
      <c r="AA488" s="58" t="str" cm="1">
        <f>IFERROR(INDEX(List_Predictors, INDEX(Array_PredictorsLookup,MATCH($A488,List_PredictorFacilities,0),(COLUMN()-1)/2), 1),"")</f>
        <v/>
      </c>
      <c r="AB488" s="137"/>
      <c r="AC488" s="58" t="str" cm="1">
        <f>IFERROR(INDEX(List_Predictors, INDEX(Array_PredictorsLookup,MATCH($A488,List_PredictorFacilities,0),(COLUMN()-1)/2), 1),"")</f>
        <v/>
      </c>
      <c r="AD488" s="137"/>
      <c r="AE488" s="58" t="str" cm="1">
        <f>IFERROR(INDEX(List_Predictors, INDEX(Array_PredictorsLookup,MATCH($A488,List_PredictorFacilities,0),(COLUMN()-1)/2), 1),"")</f>
        <v/>
      </c>
      <c r="AF488" s="137"/>
    </row>
    <row r="489" spans="1:32" x14ac:dyDescent="0.3">
      <c r="A489" s="126"/>
      <c r="B489" s="141"/>
      <c r="C489" s="58" t="str" cm="1">
        <f>IFERROR(INDEX(List_Predictors, INDEX(Array_PredictorsLookup,MATCH($A489,List_PredictorFacilities,0),(COLUMN()-1)/2), 1),"")</f>
        <v/>
      </c>
      <c r="D489" s="137"/>
      <c r="E489" s="58" t="str" cm="1">
        <f>IFERROR(INDEX(List_Predictors, INDEX(Array_PredictorsLookup,MATCH($A489,List_PredictorFacilities,0),(COLUMN()-1)/2), 1),"")</f>
        <v/>
      </c>
      <c r="F489" s="137"/>
      <c r="G489" s="58" t="str" cm="1">
        <f>IFERROR(INDEX(List_Predictors, INDEX(Array_PredictorsLookup,MATCH($A489,List_PredictorFacilities,0),(COLUMN()-1)/2), 1),"")</f>
        <v/>
      </c>
      <c r="H489" s="137"/>
      <c r="I489" s="58" t="str" cm="1">
        <f>IFERROR(INDEX(List_Predictors, INDEX(Array_PredictorsLookup,MATCH($A489,List_PredictorFacilities,0),(COLUMN()-1)/2), 1),"")</f>
        <v/>
      </c>
      <c r="J489" s="137"/>
      <c r="K489" s="58" t="str" cm="1">
        <f>IFERROR(INDEX(List_Predictors, INDEX(Array_PredictorsLookup,MATCH($A489,List_PredictorFacilities,0),(COLUMN()-1)/2), 1),"")</f>
        <v/>
      </c>
      <c r="L489" s="137"/>
      <c r="M489" s="58" t="str" cm="1">
        <f>IFERROR(INDEX(List_Predictors, INDEX(Array_PredictorsLookup,MATCH($A489,List_PredictorFacilities,0),(COLUMN()-1)/2), 1),"")</f>
        <v/>
      </c>
      <c r="N489" s="137"/>
      <c r="O489" s="58" t="str" cm="1">
        <f>IFERROR(INDEX(List_Predictors, INDEX(Array_PredictorsLookup,MATCH($A489,List_PredictorFacilities,0),(COLUMN()-1)/2), 1),"")</f>
        <v/>
      </c>
      <c r="P489" s="137"/>
      <c r="Q489" s="58" t="str" cm="1">
        <f>IFERROR(INDEX(List_Predictors, INDEX(Array_PredictorsLookup,MATCH($A489,List_PredictorFacilities,0),(COLUMN()-1)/2), 1),"")</f>
        <v/>
      </c>
      <c r="R489" s="137"/>
      <c r="S489" s="58" t="str" cm="1">
        <f>IFERROR(INDEX(List_Predictors, INDEX(Array_PredictorsLookup,MATCH($A489,List_PredictorFacilities,0),(COLUMN()-1)/2), 1),"")</f>
        <v/>
      </c>
      <c r="T489" s="137"/>
      <c r="U489" s="58" t="str" cm="1">
        <f>IFERROR(INDEX(List_Predictors, INDEX(Array_PredictorsLookup,MATCH($A489,List_PredictorFacilities,0),(COLUMN()-1)/2), 1),"")</f>
        <v/>
      </c>
      <c r="V489" s="137"/>
      <c r="W489" s="58" t="str" cm="1">
        <f>IFERROR(INDEX(List_Predictors, INDEX(Array_PredictorsLookup,MATCH($A489,List_PredictorFacilities,0),(COLUMN()-1)/2), 1),"")</f>
        <v/>
      </c>
      <c r="X489" s="137"/>
      <c r="Y489" s="58" t="str" cm="1">
        <f>IFERROR(INDEX(List_Predictors, INDEX(Array_PredictorsLookup,MATCH($A489,List_PredictorFacilities,0),(COLUMN()-1)/2), 1),"")</f>
        <v/>
      </c>
      <c r="Z489" s="137"/>
      <c r="AA489" s="58" t="str" cm="1">
        <f>IFERROR(INDEX(List_Predictors, INDEX(Array_PredictorsLookup,MATCH($A489,List_PredictorFacilities,0),(COLUMN()-1)/2), 1),"")</f>
        <v/>
      </c>
      <c r="AB489" s="137"/>
      <c r="AC489" s="58" t="str" cm="1">
        <f>IFERROR(INDEX(List_Predictors, INDEX(Array_PredictorsLookup,MATCH($A489,List_PredictorFacilities,0),(COLUMN()-1)/2), 1),"")</f>
        <v/>
      </c>
      <c r="AD489" s="137"/>
      <c r="AE489" s="58" t="str" cm="1">
        <f>IFERROR(INDEX(List_Predictors, INDEX(Array_PredictorsLookup,MATCH($A489,List_PredictorFacilities,0),(COLUMN()-1)/2), 1),"")</f>
        <v/>
      </c>
      <c r="AF489" s="137"/>
    </row>
    <row r="490" spans="1:32" x14ac:dyDescent="0.3">
      <c r="A490" s="126"/>
      <c r="B490" s="141"/>
      <c r="C490" s="58" t="str" cm="1">
        <f>IFERROR(INDEX(List_Predictors, INDEX(Array_PredictorsLookup,MATCH($A490,List_PredictorFacilities,0),(COLUMN()-1)/2), 1),"")</f>
        <v/>
      </c>
      <c r="D490" s="137"/>
      <c r="E490" s="58" t="str" cm="1">
        <f>IFERROR(INDEX(List_Predictors, INDEX(Array_PredictorsLookup,MATCH($A490,List_PredictorFacilities,0),(COLUMN()-1)/2), 1),"")</f>
        <v/>
      </c>
      <c r="F490" s="137"/>
      <c r="G490" s="58" t="str" cm="1">
        <f>IFERROR(INDEX(List_Predictors, INDEX(Array_PredictorsLookup,MATCH($A490,List_PredictorFacilities,0),(COLUMN()-1)/2), 1),"")</f>
        <v/>
      </c>
      <c r="H490" s="137"/>
      <c r="I490" s="58" t="str" cm="1">
        <f>IFERROR(INDEX(List_Predictors, INDEX(Array_PredictorsLookup,MATCH($A490,List_PredictorFacilities,0),(COLUMN()-1)/2), 1),"")</f>
        <v/>
      </c>
      <c r="J490" s="137"/>
      <c r="K490" s="58" t="str" cm="1">
        <f>IFERROR(INDEX(List_Predictors, INDEX(Array_PredictorsLookup,MATCH($A490,List_PredictorFacilities,0),(COLUMN()-1)/2), 1),"")</f>
        <v/>
      </c>
      <c r="L490" s="137"/>
      <c r="M490" s="58" t="str" cm="1">
        <f>IFERROR(INDEX(List_Predictors, INDEX(Array_PredictorsLookup,MATCH($A490,List_PredictorFacilities,0),(COLUMN()-1)/2), 1),"")</f>
        <v/>
      </c>
      <c r="N490" s="137"/>
      <c r="O490" s="58" t="str" cm="1">
        <f>IFERROR(INDEX(List_Predictors, INDEX(Array_PredictorsLookup,MATCH($A490,List_PredictorFacilities,0),(COLUMN()-1)/2), 1),"")</f>
        <v/>
      </c>
      <c r="P490" s="137"/>
      <c r="Q490" s="58" t="str" cm="1">
        <f>IFERROR(INDEX(List_Predictors, INDEX(Array_PredictorsLookup,MATCH($A490,List_PredictorFacilities,0),(COLUMN()-1)/2), 1),"")</f>
        <v/>
      </c>
      <c r="R490" s="137"/>
      <c r="S490" s="58" t="str" cm="1">
        <f>IFERROR(INDEX(List_Predictors, INDEX(Array_PredictorsLookup,MATCH($A490,List_PredictorFacilities,0),(COLUMN()-1)/2), 1),"")</f>
        <v/>
      </c>
      <c r="T490" s="137"/>
      <c r="U490" s="58" t="str" cm="1">
        <f>IFERROR(INDEX(List_Predictors, INDEX(Array_PredictorsLookup,MATCH($A490,List_PredictorFacilities,0),(COLUMN()-1)/2), 1),"")</f>
        <v/>
      </c>
      <c r="V490" s="137"/>
      <c r="W490" s="58" t="str" cm="1">
        <f>IFERROR(INDEX(List_Predictors, INDEX(Array_PredictorsLookup,MATCH($A490,List_PredictorFacilities,0),(COLUMN()-1)/2), 1),"")</f>
        <v/>
      </c>
      <c r="X490" s="137"/>
      <c r="Y490" s="58" t="str" cm="1">
        <f>IFERROR(INDEX(List_Predictors, INDEX(Array_PredictorsLookup,MATCH($A490,List_PredictorFacilities,0),(COLUMN()-1)/2), 1),"")</f>
        <v/>
      </c>
      <c r="Z490" s="137"/>
      <c r="AA490" s="58" t="str" cm="1">
        <f>IFERROR(INDEX(List_Predictors, INDEX(Array_PredictorsLookup,MATCH($A490,List_PredictorFacilities,0),(COLUMN()-1)/2), 1),"")</f>
        <v/>
      </c>
      <c r="AB490" s="137"/>
      <c r="AC490" s="58" t="str" cm="1">
        <f>IFERROR(INDEX(List_Predictors, INDEX(Array_PredictorsLookup,MATCH($A490,List_PredictorFacilities,0),(COLUMN()-1)/2), 1),"")</f>
        <v/>
      </c>
      <c r="AD490" s="137"/>
      <c r="AE490" s="58" t="str" cm="1">
        <f>IFERROR(INDEX(List_Predictors, INDEX(Array_PredictorsLookup,MATCH($A490,List_PredictorFacilities,0),(COLUMN()-1)/2), 1),"")</f>
        <v/>
      </c>
      <c r="AF490" s="137"/>
    </row>
    <row r="491" spans="1:32" x14ac:dyDescent="0.3">
      <c r="A491" s="126"/>
      <c r="B491" s="141"/>
      <c r="C491" s="58" t="str" cm="1">
        <f>IFERROR(INDEX(List_Predictors, INDEX(Array_PredictorsLookup,MATCH($A491,List_PredictorFacilities,0),(COLUMN()-1)/2), 1),"")</f>
        <v/>
      </c>
      <c r="D491" s="137"/>
      <c r="E491" s="58" t="str" cm="1">
        <f>IFERROR(INDEX(List_Predictors, INDEX(Array_PredictorsLookup,MATCH($A491,List_PredictorFacilities,0),(COLUMN()-1)/2), 1),"")</f>
        <v/>
      </c>
      <c r="F491" s="137"/>
      <c r="G491" s="58" t="str" cm="1">
        <f>IFERROR(INDEX(List_Predictors, INDEX(Array_PredictorsLookup,MATCH($A491,List_PredictorFacilities,0),(COLUMN()-1)/2), 1),"")</f>
        <v/>
      </c>
      <c r="H491" s="137"/>
      <c r="I491" s="58" t="str" cm="1">
        <f>IFERROR(INDEX(List_Predictors, INDEX(Array_PredictorsLookup,MATCH($A491,List_PredictorFacilities,0),(COLUMN()-1)/2), 1),"")</f>
        <v/>
      </c>
      <c r="J491" s="137"/>
      <c r="K491" s="58" t="str" cm="1">
        <f>IFERROR(INDEX(List_Predictors, INDEX(Array_PredictorsLookup,MATCH($A491,List_PredictorFacilities,0),(COLUMN()-1)/2), 1),"")</f>
        <v/>
      </c>
      <c r="L491" s="137"/>
      <c r="M491" s="58" t="str" cm="1">
        <f>IFERROR(INDEX(List_Predictors, INDEX(Array_PredictorsLookup,MATCH($A491,List_PredictorFacilities,0),(COLUMN()-1)/2), 1),"")</f>
        <v/>
      </c>
      <c r="N491" s="137"/>
      <c r="O491" s="58" t="str" cm="1">
        <f>IFERROR(INDEX(List_Predictors, INDEX(Array_PredictorsLookup,MATCH($A491,List_PredictorFacilities,0),(COLUMN()-1)/2), 1),"")</f>
        <v/>
      </c>
      <c r="P491" s="137"/>
      <c r="Q491" s="58" t="str" cm="1">
        <f>IFERROR(INDEX(List_Predictors, INDEX(Array_PredictorsLookup,MATCH($A491,List_PredictorFacilities,0),(COLUMN()-1)/2), 1),"")</f>
        <v/>
      </c>
      <c r="R491" s="137"/>
      <c r="S491" s="58" t="str" cm="1">
        <f>IFERROR(INDEX(List_Predictors, INDEX(Array_PredictorsLookup,MATCH($A491,List_PredictorFacilities,0),(COLUMN()-1)/2), 1),"")</f>
        <v/>
      </c>
      <c r="T491" s="137"/>
      <c r="U491" s="58" t="str" cm="1">
        <f>IFERROR(INDEX(List_Predictors, INDEX(Array_PredictorsLookup,MATCH($A491,List_PredictorFacilities,0),(COLUMN()-1)/2), 1),"")</f>
        <v/>
      </c>
      <c r="V491" s="137"/>
      <c r="W491" s="58" t="str" cm="1">
        <f>IFERROR(INDEX(List_Predictors, INDEX(Array_PredictorsLookup,MATCH($A491,List_PredictorFacilities,0),(COLUMN()-1)/2), 1),"")</f>
        <v/>
      </c>
      <c r="X491" s="137"/>
      <c r="Y491" s="58" t="str" cm="1">
        <f>IFERROR(INDEX(List_Predictors, INDEX(Array_PredictorsLookup,MATCH($A491,List_PredictorFacilities,0),(COLUMN()-1)/2), 1),"")</f>
        <v/>
      </c>
      <c r="Z491" s="137"/>
      <c r="AA491" s="58" t="str" cm="1">
        <f>IFERROR(INDEX(List_Predictors, INDEX(Array_PredictorsLookup,MATCH($A491,List_PredictorFacilities,0),(COLUMN()-1)/2), 1),"")</f>
        <v/>
      </c>
      <c r="AB491" s="137"/>
      <c r="AC491" s="58" t="str" cm="1">
        <f>IFERROR(INDEX(List_Predictors, INDEX(Array_PredictorsLookup,MATCH($A491,List_PredictorFacilities,0),(COLUMN()-1)/2), 1),"")</f>
        <v/>
      </c>
      <c r="AD491" s="137"/>
      <c r="AE491" s="58" t="str" cm="1">
        <f>IFERROR(INDEX(List_Predictors, INDEX(Array_PredictorsLookup,MATCH($A491,List_PredictorFacilities,0),(COLUMN()-1)/2), 1),"")</f>
        <v/>
      </c>
      <c r="AF491" s="137"/>
    </row>
    <row r="492" spans="1:32" x14ac:dyDescent="0.3">
      <c r="A492" s="126"/>
      <c r="B492" s="141"/>
      <c r="C492" s="58" t="str" cm="1">
        <f>IFERROR(INDEX(List_Predictors, INDEX(Array_PredictorsLookup,MATCH($A492,List_PredictorFacilities,0),(COLUMN()-1)/2), 1),"")</f>
        <v/>
      </c>
      <c r="D492" s="137"/>
      <c r="E492" s="58" t="str" cm="1">
        <f>IFERROR(INDEX(List_Predictors, INDEX(Array_PredictorsLookup,MATCH($A492,List_PredictorFacilities,0),(COLUMN()-1)/2), 1),"")</f>
        <v/>
      </c>
      <c r="F492" s="137"/>
      <c r="G492" s="58" t="str" cm="1">
        <f>IFERROR(INDEX(List_Predictors, INDEX(Array_PredictorsLookup,MATCH($A492,List_PredictorFacilities,0),(COLUMN()-1)/2), 1),"")</f>
        <v/>
      </c>
      <c r="H492" s="137"/>
      <c r="I492" s="58" t="str" cm="1">
        <f>IFERROR(INDEX(List_Predictors, INDEX(Array_PredictorsLookup,MATCH($A492,List_PredictorFacilities,0),(COLUMN()-1)/2), 1),"")</f>
        <v/>
      </c>
      <c r="J492" s="137"/>
      <c r="K492" s="58" t="str" cm="1">
        <f>IFERROR(INDEX(List_Predictors, INDEX(Array_PredictorsLookup,MATCH($A492,List_PredictorFacilities,0),(COLUMN()-1)/2), 1),"")</f>
        <v/>
      </c>
      <c r="L492" s="137"/>
      <c r="M492" s="58" t="str" cm="1">
        <f>IFERROR(INDEX(List_Predictors, INDEX(Array_PredictorsLookup,MATCH($A492,List_PredictorFacilities,0),(COLUMN()-1)/2), 1),"")</f>
        <v/>
      </c>
      <c r="N492" s="137"/>
      <c r="O492" s="58" t="str" cm="1">
        <f>IFERROR(INDEX(List_Predictors, INDEX(Array_PredictorsLookup,MATCH($A492,List_PredictorFacilities,0),(COLUMN()-1)/2), 1),"")</f>
        <v/>
      </c>
      <c r="P492" s="137"/>
      <c r="Q492" s="58" t="str" cm="1">
        <f>IFERROR(INDEX(List_Predictors, INDEX(Array_PredictorsLookup,MATCH($A492,List_PredictorFacilities,0),(COLUMN()-1)/2), 1),"")</f>
        <v/>
      </c>
      <c r="R492" s="137"/>
      <c r="S492" s="58" t="str" cm="1">
        <f>IFERROR(INDEX(List_Predictors, INDEX(Array_PredictorsLookup,MATCH($A492,List_PredictorFacilities,0),(COLUMN()-1)/2), 1),"")</f>
        <v/>
      </c>
      <c r="T492" s="137"/>
      <c r="U492" s="58" t="str" cm="1">
        <f>IFERROR(INDEX(List_Predictors, INDEX(Array_PredictorsLookup,MATCH($A492,List_PredictorFacilities,0),(COLUMN()-1)/2), 1),"")</f>
        <v/>
      </c>
      <c r="V492" s="137"/>
      <c r="W492" s="58" t="str" cm="1">
        <f>IFERROR(INDEX(List_Predictors, INDEX(Array_PredictorsLookup,MATCH($A492,List_PredictorFacilities,0),(COLUMN()-1)/2), 1),"")</f>
        <v/>
      </c>
      <c r="X492" s="137"/>
      <c r="Y492" s="58" t="str" cm="1">
        <f>IFERROR(INDEX(List_Predictors, INDEX(Array_PredictorsLookup,MATCH($A492,List_PredictorFacilities,0),(COLUMN()-1)/2), 1),"")</f>
        <v/>
      </c>
      <c r="Z492" s="137"/>
      <c r="AA492" s="58" t="str" cm="1">
        <f>IFERROR(INDEX(List_Predictors, INDEX(Array_PredictorsLookup,MATCH($A492,List_PredictorFacilities,0),(COLUMN()-1)/2), 1),"")</f>
        <v/>
      </c>
      <c r="AB492" s="137"/>
      <c r="AC492" s="58" t="str" cm="1">
        <f>IFERROR(INDEX(List_Predictors, INDEX(Array_PredictorsLookup,MATCH($A492,List_PredictorFacilities,0),(COLUMN()-1)/2), 1),"")</f>
        <v/>
      </c>
      <c r="AD492" s="137"/>
      <c r="AE492" s="58" t="str" cm="1">
        <f>IFERROR(INDEX(List_Predictors, INDEX(Array_PredictorsLookup,MATCH($A492,List_PredictorFacilities,0),(COLUMN()-1)/2), 1),"")</f>
        <v/>
      </c>
      <c r="AF492" s="137"/>
    </row>
    <row r="493" spans="1:32" x14ac:dyDescent="0.3">
      <c r="A493" s="126"/>
      <c r="B493" s="141"/>
      <c r="C493" s="58" t="str" cm="1">
        <f>IFERROR(INDEX(List_Predictors, INDEX(Array_PredictorsLookup,MATCH($A493,List_PredictorFacilities,0),(COLUMN()-1)/2), 1),"")</f>
        <v/>
      </c>
      <c r="D493" s="137"/>
      <c r="E493" s="58" t="str" cm="1">
        <f>IFERROR(INDEX(List_Predictors, INDEX(Array_PredictorsLookup,MATCH($A493,List_PredictorFacilities,0),(COLUMN()-1)/2), 1),"")</f>
        <v/>
      </c>
      <c r="F493" s="137"/>
      <c r="G493" s="58" t="str" cm="1">
        <f>IFERROR(INDEX(List_Predictors, INDEX(Array_PredictorsLookup,MATCH($A493,List_PredictorFacilities,0),(COLUMN()-1)/2), 1),"")</f>
        <v/>
      </c>
      <c r="H493" s="137"/>
      <c r="I493" s="58" t="str" cm="1">
        <f>IFERROR(INDEX(List_Predictors, INDEX(Array_PredictorsLookup,MATCH($A493,List_PredictorFacilities,0),(COLUMN()-1)/2), 1),"")</f>
        <v/>
      </c>
      <c r="J493" s="137"/>
      <c r="K493" s="58" t="str" cm="1">
        <f>IFERROR(INDEX(List_Predictors, INDEX(Array_PredictorsLookup,MATCH($A493,List_PredictorFacilities,0),(COLUMN()-1)/2), 1),"")</f>
        <v/>
      </c>
      <c r="L493" s="137"/>
      <c r="M493" s="58" t="str" cm="1">
        <f>IFERROR(INDEX(List_Predictors, INDEX(Array_PredictorsLookup,MATCH($A493,List_PredictorFacilities,0),(COLUMN()-1)/2), 1),"")</f>
        <v/>
      </c>
      <c r="N493" s="137"/>
      <c r="O493" s="58" t="str" cm="1">
        <f>IFERROR(INDEX(List_Predictors, INDEX(Array_PredictorsLookup,MATCH($A493,List_PredictorFacilities,0),(COLUMN()-1)/2), 1),"")</f>
        <v/>
      </c>
      <c r="P493" s="137"/>
      <c r="Q493" s="58" t="str" cm="1">
        <f>IFERROR(INDEX(List_Predictors, INDEX(Array_PredictorsLookup,MATCH($A493,List_PredictorFacilities,0),(COLUMN()-1)/2), 1),"")</f>
        <v/>
      </c>
      <c r="R493" s="137"/>
      <c r="S493" s="58" t="str" cm="1">
        <f>IFERROR(INDEX(List_Predictors, INDEX(Array_PredictorsLookup,MATCH($A493,List_PredictorFacilities,0),(COLUMN()-1)/2), 1),"")</f>
        <v/>
      </c>
      <c r="T493" s="137"/>
      <c r="U493" s="58" t="str" cm="1">
        <f>IFERROR(INDEX(List_Predictors, INDEX(Array_PredictorsLookup,MATCH($A493,List_PredictorFacilities,0),(COLUMN()-1)/2), 1),"")</f>
        <v/>
      </c>
      <c r="V493" s="137"/>
      <c r="W493" s="58" t="str" cm="1">
        <f>IFERROR(INDEX(List_Predictors, INDEX(Array_PredictorsLookup,MATCH($A493,List_PredictorFacilities,0),(COLUMN()-1)/2), 1),"")</f>
        <v/>
      </c>
      <c r="X493" s="137"/>
      <c r="Y493" s="58" t="str" cm="1">
        <f>IFERROR(INDEX(List_Predictors, INDEX(Array_PredictorsLookup,MATCH($A493,List_PredictorFacilities,0),(COLUMN()-1)/2), 1),"")</f>
        <v/>
      </c>
      <c r="Z493" s="137"/>
      <c r="AA493" s="58" t="str" cm="1">
        <f>IFERROR(INDEX(List_Predictors, INDEX(Array_PredictorsLookup,MATCH($A493,List_PredictorFacilities,0),(COLUMN()-1)/2), 1),"")</f>
        <v/>
      </c>
      <c r="AB493" s="137"/>
      <c r="AC493" s="58" t="str" cm="1">
        <f>IFERROR(INDEX(List_Predictors, INDEX(Array_PredictorsLookup,MATCH($A493,List_PredictorFacilities,0),(COLUMN()-1)/2), 1),"")</f>
        <v/>
      </c>
      <c r="AD493" s="137"/>
      <c r="AE493" s="58" t="str" cm="1">
        <f>IFERROR(INDEX(List_Predictors, INDEX(Array_PredictorsLookup,MATCH($A493,List_PredictorFacilities,0),(COLUMN()-1)/2), 1),"")</f>
        <v/>
      </c>
      <c r="AF493" s="137"/>
    </row>
    <row r="494" spans="1:32" x14ac:dyDescent="0.3">
      <c r="A494" s="126"/>
      <c r="B494" s="141"/>
      <c r="C494" s="58" t="str" cm="1">
        <f>IFERROR(INDEX(List_Predictors, INDEX(Array_PredictorsLookup,MATCH($A494,List_PredictorFacilities,0),(COLUMN()-1)/2), 1),"")</f>
        <v/>
      </c>
      <c r="D494" s="137"/>
      <c r="E494" s="58" t="str" cm="1">
        <f>IFERROR(INDEX(List_Predictors, INDEX(Array_PredictorsLookup,MATCH($A494,List_PredictorFacilities,0),(COLUMN()-1)/2), 1),"")</f>
        <v/>
      </c>
      <c r="F494" s="137"/>
      <c r="G494" s="58" t="str" cm="1">
        <f>IFERROR(INDEX(List_Predictors, INDEX(Array_PredictorsLookup,MATCH($A494,List_PredictorFacilities,0),(COLUMN()-1)/2), 1),"")</f>
        <v/>
      </c>
      <c r="H494" s="137"/>
      <c r="I494" s="58" t="str" cm="1">
        <f>IFERROR(INDEX(List_Predictors, INDEX(Array_PredictorsLookup,MATCH($A494,List_PredictorFacilities,0),(COLUMN()-1)/2), 1),"")</f>
        <v/>
      </c>
      <c r="J494" s="137"/>
      <c r="K494" s="58" t="str" cm="1">
        <f>IFERROR(INDEX(List_Predictors, INDEX(Array_PredictorsLookup,MATCH($A494,List_PredictorFacilities,0),(COLUMN()-1)/2), 1),"")</f>
        <v/>
      </c>
      <c r="L494" s="137"/>
      <c r="M494" s="58" t="str" cm="1">
        <f>IFERROR(INDEX(List_Predictors, INDEX(Array_PredictorsLookup,MATCH($A494,List_PredictorFacilities,0),(COLUMN()-1)/2), 1),"")</f>
        <v/>
      </c>
      <c r="N494" s="137"/>
      <c r="O494" s="58" t="str" cm="1">
        <f>IFERROR(INDEX(List_Predictors, INDEX(Array_PredictorsLookup,MATCH($A494,List_PredictorFacilities,0),(COLUMN()-1)/2), 1),"")</f>
        <v/>
      </c>
      <c r="P494" s="137"/>
      <c r="Q494" s="58" t="str" cm="1">
        <f>IFERROR(INDEX(List_Predictors, INDEX(Array_PredictorsLookup,MATCH($A494,List_PredictorFacilities,0),(COLUMN()-1)/2), 1),"")</f>
        <v/>
      </c>
      <c r="R494" s="137"/>
      <c r="S494" s="58" t="str" cm="1">
        <f>IFERROR(INDEX(List_Predictors, INDEX(Array_PredictorsLookup,MATCH($A494,List_PredictorFacilities,0),(COLUMN()-1)/2), 1),"")</f>
        <v/>
      </c>
      <c r="T494" s="137"/>
      <c r="U494" s="58" t="str" cm="1">
        <f>IFERROR(INDEX(List_Predictors, INDEX(Array_PredictorsLookup,MATCH($A494,List_PredictorFacilities,0),(COLUMN()-1)/2), 1),"")</f>
        <v/>
      </c>
      <c r="V494" s="137"/>
      <c r="W494" s="58" t="str" cm="1">
        <f>IFERROR(INDEX(List_Predictors, INDEX(Array_PredictorsLookup,MATCH($A494,List_PredictorFacilities,0),(COLUMN()-1)/2), 1),"")</f>
        <v/>
      </c>
      <c r="X494" s="137"/>
      <c r="Y494" s="58" t="str" cm="1">
        <f>IFERROR(INDEX(List_Predictors, INDEX(Array_PredictorsLookup,MATCH($A494,List_PredictorFacilities,0),(COLUMN()-1)/2), 1),"")</f>
        <v/>
      </c>
      <c r="Z494" s="137"/>
      <c r="AA494" s="58" t="str" cm="1">
        <f>IFERROR(INDEX(List_Predictors, INDEX(Array_PredictorsLookup,MATCH($A494,List_PredictorFacilities,0),(COLUMN()-1)/2), 1),"")</f>
        <v/>
      </c>
      <c r="AB494" s="137"/>
      <c r="AC494" s="58" t="str" cm="1">
        <f>IFERROR(INDEX(List_Predictors, INDEX(Array_PredictorsLookup,MATCH($A494,List_PredictorFacilities,0),(COLUMN()-1)/2), 1),"")</f>
        <v/>
      </c>
      <c r="AD494" s="137"/>
      <c r="AE494" s="58" t="str" cm="1">
        <f>IFERROR(INDEX(List_Predictors, INDEX(Array_PredictorsLookup,MATCH($A494,List_PredictorFacilities,0),(COLUMN()-1)/2), 1),"")</f>
        <v/>
      </c>
      <c r="AF494" s="137"/>
    </row>
    <row r="495" spans="1:32" x14ac:dyDescent="0.3">
      <c r="A495" s="126"/>
      <c r="B495" s="141"/>
      <c r="C495" s="58" t="str" cm="1">
        <f>IFERROR(INDEX(List_Predictors, INDEX(Array_PredictorsLookup,MATCH($A495,List_PredictorFacilities,0),(COLUMN()-1)/2), 1),"")</f>
        <v/>
      </c>
      <c r="D495" s="137"/>
      <c r="E495" s="58" t="str" cm="1">
        <f>IFERROR(INDEX(List_Predictors, INDEX(Array_PredictorsLookup,MATCH($A495,List_PredictorFacilities,0),(COLUMN()-1)/2), 1),"")</f>
        <v/>
      </c>
      <c r="F495" s="137"/>
      <c r="G495" s="58" t="str" cm="1">
        <f>IFERROR(INDEX(List_Predictors, INDEX(Array_PredictorsLookup,MATCH($A495,List_PredictorFacilities,0),(COLUMN()-1)/2), 1),"")</f>
        <v/>
      </c>
      <c r="H495" s="137"/>
      <c r="I495" s="58" t="str" cm="1">
        <f>IFERROR(INDEX(List_Predictors, INDEX(Array_PredictorsLookup,MATCH($A495,List_PredictorFacilities,0),(COLUMN()-1)/2), 1),"")</f>
        <v/>
      </c>
      <c r="J495" s="137"/>
      <c r="K495" s="58" t="str" cm="1">
        <f>IFERROR(INDEX(List_Predictors, INDEX(Array_PredictorsLookup,MATCH($A495,List_PredictorFacilities,0),(COLUMN()-1)/2), 1),"")</f>
        <v/>
      </c>
      <c r="L495" s="137"/>
      <c r="M495" s="58" t="str" cm="1">
        <f>IFERROR(INDEX(List_Predictors, INDEX(Array_PredictorsLookup,MATCH($A495,List_PredictorFacilities,0),(COLUMN()-1)/2), 1),"")</f>
        <v/>
      </c>
      <c r="N495" s="137"/>
      <c r="O495" s="58" t="str" cm="1">
        <f>IFERROR(INDEX(List_Predictors, INDEX(Array_PredictorsLookup,MATCH($A495,List_PredictorFacilities,0),(COLUMN()-1)/2), 1),"")</f>
        <v/>
      </c>
      <c r="P495" s="137"/>
      <c r="Q495" s="58" t="str" cm="1">
        <f>IFERROR(INDEX(List_Predictors, INDEX(Array_PredictorsLookup,MATCH($A495,List_PredictorFacilities,0),(COLUMN()-1)/2), 1),"")</f>
        <v/>
      </c>
      <c r="R495" s="137"/>
      <c r="S495" s="58" t="str" cm="1">
        <f>IFERROR(INDEX(List_Predictors, INDEX(Array_PredictorsLookup,MATCH($A495,List_PredictorFacilities,0),(COLUMN()-1)/2), 1),"")</f>
        <v/>
      </c>
      <c r="T495" s="137"/>
      <c r="U495" s="58" t="str" cm="1">
        <f>IFERROR(INDEX(List_Predictors, INDEX(Array_PredictorsLookup,MATCH($A495,List_PredictorFacilities,0),(COLUMN()-1)/2), 1),"")</f>
        <v/>
      </c>
      <c r="V495" s="137"/>
      <c r="W495" s="58" t="str" cm="1">
        <f>IFERROR(INDEX(List_Predictors, INDEX(Array_PredictorsLookup,MATCH($A495,List_PredictorFacilities,0),(COLUMN()-1)/2), 1),"")</f>
        <v/>
      </c>
      <c r="X495" s="137"/>
      <c r="Y495" s="58" t="str" cm="1">
        <f>IFERROR(INDEX(List_Predictors, INDEX(Array_PredictorsLookup,MATCH($A495,List_PredictorFacilities,0),(COLUMN()-1)/2), 1),"")</f>
        <v/>
      </c>
      <c r="Z495" s="137"/>
      <c r="AA495" s="58" t="str" cm="1">
        <f>IFERROR(INDEX(List_Predictors, INDEX(Array_PredictorsLookup,MATCH($A495,List_PredictorFacilities,0),(COLUMN()-1)/2), 1),"")</f>
        <v/>
      </c>
      <c r="AB495" s="137"/>
      <c r="AC495" s="58" t="str" cm="1">
        <f>IFERROR(INDEX(List_Predictors, INDEX(Array_PredictorsLookup,MATCH($A495,List_PredictorFacilities,0),(COLUMN()-1)/2), 1),"")</f>
        <v/>
      </c>
      <c r="AD495" s="137"/>
      <c r="AE495" s="58" t="str" cm="1">
        <f>IFERROR(INDEX(List_Predictors, INDEX(Array_PredictorsLookup,MATCH($A495,List_PredictorFacilities,0),(COLUMN()-1)/2), 1),"")</f>
        <v/>
      </c>
      <c r="AF495" s="137"/>
    </row>
    <row r="496" spans="1:32" x14ac:dyDescent="0.3">
      <c r="A496" s="126"/>
      <c r="B496" s="141"/>
      <c r="C496" s="58" t="str" cm="1">
        <f>IFERROR(INDEX(List_Predictors, INDEX(Array_PredictorsLookup,MATCH($A496,List_PredictorFacilities,0),(COLUMN()-1)/2), 1),"")</f>
        <v/>
      </c>
      <c r="D496" s="137"/>
      <c r="E496" s="58" t="str" cm="1">
        <f>IFERROR(INDEX(List_Predictors, INDEX(Array_PredictorsLookup,MATCH($A496,List_PredictorFacilities,0),(COLUMN()-1)/2), 1),"")</f>
        <v/>
      </c>
      <c r="F496" s="137"/>
      <c r="G496" s="58" t="str" cm="1">
        <f>IFERROR(INDEX(List_Predictors, INDEX(Array_PredictorsLookup,MATCH($A496,List_PredictorFacilities,0),(COLUMN()-1)/2), 1),"")</f>
        <v/>
      </c>
      <c r="H496" s="137"/>
      <c r="I496" s="58" t="str" cm="1">
        <f>IFERROR(INDEX(List_Predictors, INDEX(Array_PredictorsLookup,MATCH($A496,List_PredictorFacilities,0),(COLUMN()-1)/2), 1),"")</f>
        <v/>
      </c>
      <c r="J496" s="137"/>
      <c r="K496" s="58" t="str" cm="1">
        <f>IFERROR(INDEX(List_Predictors, INDEX(Array_PredictorsLookup,MATCH($A496,List_PredictorFacilities,0),(COLUMN()-1)/2), 1),"")</f>
        <v/>
      </c>
      <c r="L496" s="137"/>
      <c r="M496" s="58" t="str" cm="1">
        <f>IFERROR(INDEX(List_Predictors, INDEX(Array_PredictorsLookup,MATCH($A496,List_PredictorFacilities,0),(COLUMN()-1)/2), 1),"")</f>
        <v/>
      </c>
      <c r="N496" s="137"/>
      <c r="O496" s="58" t="str" cm="1">
        <f>IFERROR(INDEX(List_Predictors, INDEX(Array_PredictorsLookup,MATCH($A496,List_PredictorFacilities,0),(COLUMN()-1)/2), 1),"")</f>
        <v/>
      </c>
      <c r="P496" s="137"/>
      <c r="Q496" s="58" t="str" cm="1">
        <f>IFERROR(INDEX(List_Predictors, INDEX(Array_PredictorsLookup,MATCH($A496,List_PredictorFacilities,0),(COLUMN()-1)/2), 1),"")</f>
        <v/>
      </c>
      <c r="R496" s="137"/>
      <c r="S496" s="58" t="str" cm="1">
        <f>IFERROR(INDEX(List_Predictors, INDEX(Array_PredictorsLookup,MATCH($A496,List_PredictorFacilities,0),(COLUMN()-1)/2), 1),"")</f>
        <v/>
      </c>
      <c r="T496" s="137"/>
      <c r="U496" s="58" t="str" cm="1">
        <f>IFERROR(INDEX(List_Predictors, INDEX(Array_PredictorsLookup,MATCH($A496,List_PredictorFacilities,0),(COLUMN()-1)/2), 1),"")</f>
        <v/>
      </c>
      <c r="V496" s="137"/>
      <c r="W496" s="58" t="str" cm="1">
        <f>IFERROR(INDEX(List_Predictors, INDEX(Array_PredictorsLookup,MATCH($A496,List_PredictorFacilities,0),(COLUMN()-1)/2), 1),"")</f>
        <v/>
      </c>
      <c r="X496" s="137"/>
      <c r="Y496" s="58" t="str" cm="1">
        <f>IFERROR(INDEX(List_Predictors, INDEX(Array_PredictorsLookup,MATCH($A496,List_PredictorFacilities,0),(COLUMN()-1)/2), 1),"")</f>
        <v/>
      </c>
      <c r="Z496" s="137"/>
      <c r="AA496" s="58" t="str" cm="1">
        <f>IFERROR(INDEX(List_Predictors, INDEX(Array_PredictorsLookup,MATCH($A496,List_PredictorFacilities,0),(COLUMN()-1)/2), 1),"")</f>
        <v/>
      </c>
      <c r="AB496" s="137"/>
      <c r="AC496" s="58" t="str" cm="1">
        <f>IFERROR(INDEX(List_Predictors, INDEX(Array_PredictorsLookup,MATCH($A496,List_PredictorFacilities,0),(COLUMN()-1)/2), 1),"")</f>
        <v/>
      </c>
      <c r="AD496" s="137"/>
      <c r="AE496" s="58" t="str" cm="1">
        <f>IFERROR(INDEX(List_Predictors, INDEX(Array_PredictorsLookup,MATCH($A496,List_PredictorFacilities,0),(COLUMN()-1)/2), 1),"")</f>
        <v/>
      </c>
      <c r="AF496" s="137"/>
    </row>
    <row r="497" spans="1:32" x14ac:dyDescent="0.3">
      <c r="A497" s="126"/>
      <c r="B497" s="141"/>
      <c r="C497" s="58" t="str" cm="1">
        <f>IFERROR(INDEX(List_Predictors, INDEX(Array_PredictorsLookup,MATCH($A497,List_PredictorFacilities,0),(COLUMN()-1)/2), 1),"")</f>
        <v/>
      </c>
      <c r="D497" s="137"/>
      <c r="E497" s="58" t="str" cm="1">
        <f>IFERROR(INDEX(List_Predictors, INDEX(Array_PredictorsLookup,MATCH($A497,List_PredictorFacilities,0),(COLUMN()-1)/2), 1),"")</f>
        <v/>
      </c>
      <c r="F497" s="137"/>
      <c r="G497" s="58" t="str" cm="1">
        <f>IFERROR(INDEX(List_Predictors, INDEX(Array_PredictorsLookup,MATCH($A497,List_PredictorFacilities,0),(COLUMN()-1)/2), 1),"")</f>
        <v/>
      </c>
      <c r="H497" s="137"/>
      <c r="I497" s="58" t="str" cm="1">
        <f>IFERROR(INDEX(List_Predictors, INDEX(Array_PredictorsLookup,MATCH($A497,List_PredictorFacilities,0),(COLUMN()-1)/2), 1),"")</f>
        <v/>
      </c>
      <c r="J497" s="137"/>
      <c r="K497" s="58" t="str" cm="1">
        <f>IFERROR(INDEX(List_Predictors, INDEX(Array_PredictorsLookup,MATCH($A497,List_PredictorFacilities,0),(COLUMN()-1)/2), 1),"")</f>
        <v/>
      </c>
      <c r="L497" s="137"/>
      <c r="M497" s="58" t="str" cm="1">
        <f>IFERROR(INDEX(List_Predictors, INDEX(Array_PredictorsLookup,MATCH($A497,List_PredictorFacilities,0),(COLUMN()-1)/2), 1),"")</f>
        <v/>
      </c>
      <c r="N497" s="137"/>
      <c r="O497" s="58" t="str" cm="1">
        <f>IFERROR(INDEX(List_Predictors, INDEX(Array_PredictorsLookup,MATCH($A497,List_PredictorFacilities,0),(COLUMN()-1)/2), 1),"")</f>
        <v/>
      </c>
      <c r="P497" s="137"/>
      <c r="Q497" s="58" t="str" cm="1">
        <f>IFERROR(INDEX(List_Predictors, INDEX(Array_PredictorsLookup,MATCH($A497,List_PredictorFacilities,0),(COLUMN()-1)/2), 1),"")</f>
        <v/>
      </c>
      <c r="R497" s="137"/>
      <c r="S497" s="58" t="str" cm="1">
        <f>IFERROR(INDEX(List_Predictors, INDEX(Array_PredictorsLookup,MATCH($A497,List_PredictorFacilities,0),(COLUMN()-1)/2), 1),"")</f>
        <v/>
      </c>
      <c r="T497" s="137"/>
      <c r="U497" s="58" t="str" cm="1">
        <f>IFERROR(INDEX(List_Predictors, INDEX(Array_PredictorsLookup,MATCH($A497,List_PredictorFacilities,0),(COLUMN()-1)/2), 1),"")</f>
        <v/>
      </c>
      <c r="V497" s="137"/>
      <c r="W497" s="58" t="str" cm="1">
        <f>IFERROR(INDEX(List_Predictors, INDEX(Array_PredictorsLookup,MATCH($A497,List_PredictorFacilities,0),(COLUMN()-1)/2), 1),"")</f>
        <v/>
      </c>
      <c r="X497" s="137"/>
      <c r="Y497" s="58" t="str" cm="1">
        <f>IFERROR(INDEX(List_Predictors, INDEX(Array_PredictorsLookup,MATCH($A497,List_PredictorFacilities,0),(COLUMN()-1)/2), 1),"")</f>
        <v/>
      </c>
      <c r="Z497" s="137"/>
      <c r="AA497" s="58" t="str" cm="1">
        <f>IFERROR(INDEX(List_Predictors, INDEX(Array_PredictorsLookup,MATCH($A497,List_PredictorFacilities,0),(COLUMN()-1)/2), 1),"")</f>
        <v/>
      </c>
      <c r="AB497" s="137"/>
      <c r="AC497" s="58" t="str" cm="1">
        <f>IFERROR(INDEX(List_Predictors, INDEX(Array_PredictorsLookup,MATCH($A497,List_PredictorFacilities,0),(COLUMN()-1)/2), 1),"")</f>
        <v/>
      </c>
      <c r="AD497" s="137"/>
      <c r="AE497" s="58" t="str" cm="1">
        <f>IFERROR(INDEX(List_Predictors, INDEX(Array_PredictorsLookup,MATCH($A497,List_PredictorFacilities,0),(COLUMN()-1)/2), 1),"")</f>
        <v/>
      </c>
      <c r="AF497" s="137"/>
    </row>
    <row r="498" spans="1:32" x14ac:dyDescent="0.3">
      <c r="A498" s="126"/>
      <c r="B498" s="141"/>
      <c r="C498" s="58" t="str" cm="1">
        <f>IFERROR(INDEX(List_Predictors, INDEX(Array_PredictorsLookup,MATCH($A498,List_PredictorFacilities,0),(COLUMN()-1)/2), 1),"")</f>
        <v/>
      </c>
      <c r="D498" s="137"/>
      <c r="E498" s="58" t="str" cm="1">
        <f>IFERROR(INDEX(List_Predictors, INDEX(Array_PredictorsLookup,MATCH($A498,List_PredictorFacilities,0),(COLUMN()-1)/2), 1),"")</f>
        <v/>
      </c>
      <c r="F498" s="137"/>
      <c r="G498" s="58" t="str" cm="1">
        <f>IFERROR(INDEX(List_Predictors, INDEX(Array_PredictorsLookup,MATCH($A498,List_PredictorFacilities,0),(COLUMN()-1)/2), 1),"")</f>
        <v/>
      </c>
      <c r="H498" s="137"/>
      <c r="I498" s="58" t="str" cm="1">
        <f>IFERROR(INDEX(List_Predictors, INDEX(Array_PredictorsLookup,MATCH($A498,List_PredictorFacilities,0),(COLUMN()-1)/2), 1),"")</f>
        <v/>
      </c>
      <c r="J498" s="137"/>
      <c r="K498" s="58" t="str" cm="1">
        <f>IFERROR(INDEX(List_Predictors, INDEX(Array_PredictorsLookup,MATCH($A498,List_PredictorFacilities,0),(COLUMN()-1)/2), 1),"")</f>
        <v/>
      </c>
      <c r="L498" s="137"/>
      <c r="M498" s="58" t="str" cm="1">
        <f>IFERROR(INDEX(List_Predictors, INDEX(Array_PredictorsLookup,MATCH($A498,List_PredictorFacilities,0),(COLUMN()-1)/2), 1),"")</f>
        <v/>
      </c>
      <c r="N498" s="137"/>
      <c r="O498" s="58" t="str" cm="1">
        <f>IFERROR(INDEX(List_Predictors, INDEX(Array_PredictorsLookup,MATCH($A498,List_PredictorFacilities,0),(COLUMN()-1)/2), 1),"")</f>
        <v/>
      </c>
      <c r="P498" s="137"/>
      <c r="Q498" s="58" t="str" cm="1">
        <f>IFERROR(INDEX(List_Predictors, INDEX(Array_PredictorsLookup,MATCH($A498,List_PredictorFacilities,0),(COLUMN()-1)/2), 1),"")</f>
        <v/>
      </c>
      <c r="R498" s="137"/>
      <c r="S498" s="58" t="str" cm="1">
        <f>IFERROR(INDEX(List_Predictors, INDEX(Array_PredictorsLookup,MATCH($A498,List_PredictorFacilities,0),(COLUMN()-1)/2), 1),"")</f>
        <v/>
      </c>
      <c r="T498" s="137"/>
      <c r="U498" s="58" t="str" cm="1">
        <f>IFERROR(INDEX(List_Predictors, INDEX(Array_PredictorsLookup,MATCH($A498,List_PredictorFacilities,0),(COLUMN()-1)/2), 1),"")</f>
        <v/>
      </c>
      <c r="V498" s="137"/>
      <c r="W498" s="58" t="str" cm="1">
        <f>IFERROR(INDEX(List_Predictors, INDEX(Array_PredictorsLookup,MATCH($A498,List_PredictorFacilities,0),(COLUMN()-1)/2), 1),"")</f>
        <v/>
      </c>
      <c r="X498" s="137"/>
      <c r="Y498" s="58" t="str" cm="1">
        <f>IFERROR(INDEX(List_Predictors, INDEX(Array_PredictorsLookup,MATCH($A498,List_PredictorFacilities,0),(COLUMN()-1)/2), 1),"")</f>
        <v/>
      </c>
      <c r="Z498" s="137"/>
      <c r="AA498" s="58" t="str" cm="1">
        <f>IFERROR(INDEX(List_Predictors, INDEX(Array_PredictorsLookup,MATCH($A498,List_PredictorFacilities,0),(COLUMN()-1)/2), 1),"")</f>
        <v/>
      </c>
      <c r="AB498" s="137"/>
      <c r="AC498" s="58" t="str" cm="1">
        <f>IFERROR(INDEX(List_Predictors, INDEX(Array_PredictorsLookup,MATCH($A498,List_PredictorFacilities,0),(COLUMN()-1)/2), 1),"")</f>
        <v/>
      </c>
      <c r="AD498" s="137"/>
      <c r="AE498" s="58" t="str" cm="1">
        <f>IFERROR(INDEX(List_Predictors, INDEX(Array_PredictorsLookup,MATCH($A498,List_PredictorFacilities,0),(COLUMN()-1)/2), 1),"")</f>
        <v/>
      </c>
      <c r="AF498" s="137"/>
    </row>
    <row r="499" spans="1:32" x14ac:dyDescent="0.3">
      <c r="A499" s="126"/>
      <c r="B499" s="141"/>
      <c r="C499" s="58" t="str" cm="1">
        <f>IFERROR(INDEX(List_Predictors, INDEX(Array_PredictorsLookup,MATCH($A499,List_PredictorFacilities,0),(COLUMN()-1)/2), 1),"")</f>
        <v/>
      </c>
      <c r="D499" s="137"/>
      <c r="E499" s="58" t="str" cm="1">
        <f>IFERROR(INDEX(List_Predictors, INDEX(Array_PredictorsLookup,MATCH($A499,List_PredictorFacilities,0),(COLUMN()-1)/2), 1),"")</f>
        <v/>
      </c>
      <c r="F499" s="137"/>
      <c r="G499" s="58" t="str" cm="1">
        <f>IFERROR(INDEX(List_Predictors, INDEX(Array_PredictorsLookup,MATCH($A499,List_PredictorFacilities,0),(COLUMN()-1)/2), 1),"")</f>
        <v/>
      </c>
      <c r="H499" s="137"/>
      <c r="I499" s="58" t="str" cm="1">
        <f>IFERROR(INDEX(List_Predictors, INDEX(Array_PredictorsLookup,MATCH($A499,List_PredictorFacilities,0),(COLUMN()-1)/2), 1),"")</f>
        <v/>
      </c>
      <c r="J499" s="137"/>
      <c r="K499" s="58" t="str" cm="1">
        <f>IFERROR(INDEX(List_Predictors, INDEX(Array_PredictorsLookup,MATCH($A499,List_PredictorFacilities,0),(COLUMN()-1)/2), 1),"")</f>
        <v/>
      </c>
      <c r="L499" s="137"/>
      <c r="M499" s="58" t="str" cm="1">
        <f>IFERROR(INDEX(List_Predictors, INDEX(Array_PredictorsLookup,MATCH($A499,List_PredictorFacilities,0),(COLUMN()-1)/2), 1),"")</f>
        <v/>
      </c>
      <c r="N499" s="137"/>
      <c r="O499" s="58" t="str" cm="1">
        <f>IFERROR(INDEX(List_Predictors, INDEX(Array_PredictorsLookup,MATCH($A499,List_PredictorFacilities,0),(COLUMN()-1)/2), 1),"")</f>
        <v/>
      </c>
      <c r="P499" s="137"/>
      <c r="Q499" s="58" t="str" cm="1">
        <f>IFERROR(INDEX(List_Predictors, INDEX(Array_PredictorsLookup,MATCH($A499,List_PredictorFacilities,0),(COLUMN()-1)/2), 1),"")</f>
        <v/>
      </c>
      <c r="R499" s="137"/>
      <c r="S499" s="58" t="str" cm="1">
        <f>IFERROR(INDEX(List_Predictors, INDEX(Array_PredictorsLookup,MATCH($A499,List_PredictorFacilities,0),(COLUMN()-1)/2), 1),"")</f>
        <v/>
      </c>
      <c r="T499" s="137"/>
      <c r="U499" s="58" t="str" cm="1">
        <f>IFERROR(INDEX(List_Predictors, INDEX(Array_PredictorsLookup,MATCH($A499,List_PredictorFacilities,0),(COLUMN()-1)/2), 1),"")</f>
        <v/>
      </c>
      <c r="V499" s="137"/>
      <c r="W499" s="58" t="str" cm="1">
        <f>IFERROR(INDEX(List_Predictors, INDEX(Array_PredictorsLookup,MATCH($A499,List_PredictorFacilities,0),(COLUMN()-1)/2), 1),"")</f>
        <v/>
      </c>
      <c r="X499" s="137"/>
      <c r="Y499" s="58" t="str" cm="1">
        <f>IFERROR(INDEX(List_Predictors, INDEX(Array_PredictorsLookup,MATCH($A499,List_PredictorFacilities,0),(COLUMN()-1)/2), 1),"")</f>
        <v/>
      </c>
      <c r="Z499" s="137"/>
      <c r="AA499" s="58" t="str" cm="1">
        <f>IFERROR(INDEX(List_Predictors, INDEX(Array_PredictorsLookup,MATCH($A499,List_PredictorFacilities,0),(COLUMN()-1)/2), 1),"")</f>
        <v/>
      </c>
      <c r="AB499" s="137"/>
      <c r="AC499" s="58" t="str" cm="1">
        <f>IFERROR(INDEX(List_Predictors, INDEX(Array_PredictorsLookup,MATCH($A499,List_PredictorFacilities,0),(COLUMN()-1)/2), 1),"")</f>
        <v/>
      </c>
      <c r="AD499" s="137"/>
      <c r="AE499" s="58" t="str" cm="1">
        <f>IFERROR(INDEX(List_Predictors, INDEX(Array_PredictorsLookup,MATCH($A499,List_PredictorFacilities,0),(COLUMN()-1)/2), 1),"")</f>
        <v/>
      </c>
      <c r="AF499" s="137"/>
    </row>
    <row r="500" spans="1:32" x14ac:dyDescent="0.3">
      <c r="A500" s="126"/>
      <c r="B500" s="141"/>
      <c r="C500" s="58" t="str" cm="1">
        <f>IFERROR(INDEX(List_Predictors, INDEX(Array_PredictorsLookup,MATCH($A500,List_PredictorFacilities,0),(COLUMN()-1)/2), 1),"")</f>
        <v/>
      </c>
      <c r="D500" s="137"/>
      <c r="E500" s="58" t="str" cm="1">
        <f>IFERROR(INDEX(List_Predictors, INDEX(Array_PredictorsLookup,MATCH($A500,List_PredictorFacilities,0),(COLUMN()-1)/2), 1),"")</f>
        <v/>
      </c>
      <c r="F500" s="137"/>
      <c r="G500" s="58" t="str" cm="1">
        <f>IFERROR(INDEX(List_Predictors, INDEX(Array_PredictorsLookup,MATCH($A500,List_PredictorFacilities,0),(COLUMN()-1)/2), 1),"")</f>
        <v/>
      </c>
      <c r="H500" s="137"/>
      <c r="I500" s="58" t="str" cm="1">
        <f>IFERROR(INDEX(List_Predictors, INDEX(Array_PredictorsLookup,MATCH($A500,List_PredictorFacilities,0),(COLUMN()-1)/2), 1),"")</f>
        <v/>
      </c>
      <c r="J500" s="137"/>
      <c r="K500" s="58" t="str" cm="1">
        <f>IFERROR(INDEX(List_Predictors, INDEX(Array_PredictorsLookup,MATCH($A500,List_PredictorFacilities,0),(COLUMN()-1)/2), 1),"")</f>
        <v/>
      </c>
      <c r="L500" s="137"/>
      <c r="M500" s="58" t="str" cm="1">
        <f>IFERROR(INDEX(List_Predictors, INDEX(Array_PredictorsLookup,MATCH($A500,List_PredictorFacilities,0),(COLUMN()-1)/2), 1),"")</f>
        <v/>
      </c>
      <c r="N500" s="137"/>
      <c r="O500" s="58" t="str" cm="1">
        <f>IFERROR(INDEX(List_Predictors, INDEX(Array_PredictorsLookup,MATCH($A500,List_PredictorFacilities,0),(COLUMN()-1)/2), 1),"")</f>
        <v/>
      </c>
      <c r="P500" s="137"/>
      <c r="Q500" s="58" t="str" cm="1">
        <f>IFERROR(INDEX(List_Predictors, INDEX(Array_PredictorsLookup,MATCH($A500,List_PredictorFacilities,0),(COLUMN()-1)/2), 1),"")</f>
        <v/>
      </c>
      <c r="R500" s="137"/>
      <c r="S500" s="58" t="str" cm="1">
        <f>IFERROR(INDEX(List_Predictors, INDEX(Array_PredictorsLookup,MATCH($A500,List_PredictorFacilities,0),(COLUMN()-1)/2), 1),"")</f>
        <v/>
      </c>
      <c r="T500" s="137"/>
      <c r="U500" s="58" t="str" cm="1">
        <f>IFERROR(INDEX(List_Predictors, INDEX(Array_PredictorsLookup,MATCH($A500,List_PredictorFacilities,0),(COLUMN()-1)/2), 1),"")</f>
        <v/>
      </c>
      <c r="V500" s="137"/>
      <c r="W500" s="58" t="str" cm="1">
        <f>IFERROR(INDEX(List_Predictors, INDEX(Array_PredictorsLookup,MATCH($A500,List_PredictorFacilities,0),(COLUMN()-1)/2), 1),"")</f>
        <v/>
      </c>
      <c r="X500" s="137"/>
      <c r="Y500" s="58" t="str" cm="1">
        <f>IFERROR(INDEX(List_Predictors, INDEX(Array_PredictorsLookup,MATCH($A500,List_PredictorFacilities,0),(COLUMN()-1)/2), 1),"")</f>
        <v/>
      </c>
      <c r="Z500" s="137"/>
      <c r="AA500" s="58" t="str" cm="1">
        <f>IFERROR(INDEX(List_Predictors, INDEX(Array_PredictorsLookup,MATCH($A500,List_PredictorFacilities,0),(COLUMN()-1)/2), 1),"")</f>
        <v/>
      </c>
      <c r="AB500" s="137"/>
      <c r="AC500" s="58" t="str" cm="1">
        <f>IFERROR(INDEX(List_Predictors, INDEX(Array_PredictorsLookup,MATCH($A500,List_PredictorFacilities,0),(COLUMN()-1)/2), 1),"")</f>
        <v/>
      </c>
      <c r="AD500" s="137"/>
      <c r="AE500" s="58" t="str" cm="1">
        <f>IFERROR(INDEX(List_Predictors, INDEX(Array_PredictorsLookup,MATCH($A500,List_PredictorFacilities,0),(COLUMN()-1)/2), 1),"")</f>
        <v/>
      </c>
      <c r="AF500" s="137"/>
    </row>
    <row r="501" spans="1:32" x14ac:dyDescent="0.3">
      <c r="A501" s="126"/>
      <c r="B501" s="141"/>
      <c r="C501" s="58" t="str" cm="1">
        <f>IFERROR(INDEX(List_Predictors, INDEX(Array_PredictorsLookup,MATCH($A501,List_PredictorFacilities,0),(COLUMN()-1)/2), 1),"")</f>
        <v/>
      </c>
      <c r="D501" s="137"/>
      <c r="E501" s="58" t="str" cm="1">
        <f>IFERROR(INDEX(List_Predictors, INDEX(Array_PredictorsLookup,MATCH($A501,List_PredictorFacilities,0),(COLUMN()-1)/2), 1),"")</f>
        <v/>
      </c>
      <c r="F501" s="137"/>
      <c r="G501" s="58" t="str" cm="1">
        <f>IFERROR(INDEX(List_Predictors, INDEX(Array_PredictorsLookup,MATCH($A501,List_PredictorFacilities,0),(COLUMN()-1)/2), 1),"")</f>
        <v/>
      </c>
      <c r="H501" s="137"/>
      <c r="I501" s="58" t="str" cm="1">
        <f>IFERROR(INDEX(List_Predictors, INDEX(Array_PredictorsLookup,MATCH($A501,List_PredictorFacilities,0),(COLUMN()-1)/2), 1),"")</f>
        <v/>
      </c>
      <c r="J501" s="137"/>
      <c r="K501" s="58" t="str" cm="1">
        <f>IFERROR(INDEX(List_Predictors, INDEX(Array_PredictorsLookup,MATCH($A501,List_PredictorFacilities,0),(COLUMN()-1)/2), 1),"")</f>
        <v/>
      </c>
      <c r="L501" s="137"/>
      <c r="M501" s="58" t="str" cm="1">
        <f>IFERROR(INDEX(List_Predictors, INDEX(Array_PredictorsLookup,MATCH($A501,List_PredictorFacilities,0),(COLUMN()-1)/2), 1),"")</f>
        <v/>
      </c>
      <c r="N501" s="137"/>
      <c r="O501" s="58" t="str" cm="1">
        <f>IFERROR(INDEX(List_Predictors, INDEX(Array_PredictorsLookup,MATCH($A501,List_PredictorFacilities,0),(COLUMN()-1)/2), 1),"")</f>
        <v/>
      </c>
      <c r="P501" s="137"/>
      <c r="Q501" s="58" t="str" cm="1">
        <f>IFERROR(INDEX(List_Predictors, INDEX(Array_PredictorsLookup,MATCH($A501,List_PredictorFacilities,0),(COLUMN()-1)/2), 1),"")</f>
        <v/>
      </c>
      <c r="R501" s="137"/>
      <c r="S501" s="58" t="str" cm="1">
        <f>IFERROR(INDEX(List_Predictors, INDEX(Array_PredictorsLookup,MATCH($A501,List_PredictorFacilities,0),(COLUMN()-1)/2), 1),"")</f>
        <v/>
      </c>
      <c r="T501" s="137"/>
      <c r="U501" s="58" t="str" cm="1">
        <f>IFERROR(INDEX(List_Predictors, INDEX(Array_PredictorsLookup,MATCH($A501,List_PredictorFacilities,0),(COLUMN()-1)/2), 1),"")</f>
        <v/>
      </c>
      <c r="V501" s="137"/>
      <c r="W501" s="58" t="str" cm="1">
        <f>IFERROR(INDEX(List_Predictors, INDEX(Array_PredictorsLookup,MATCH($A501,List_PredictorFacilities,0),(COLUMN()-1)/2), 1),"")</f>
        <v/>
      </c>
      <c r="X501" s="137"/>
      <c r="Y501" s="58" t="str" cm="1">
        <f>IFERROR(INDEX(List_Predictors, INDEX(Array_PredictorsLookup,MATCH($A501,List_PredictorFacilities,0),(COLUMN()-1)/2), 1),"")</f>
        <v/>
      </c>
      <c r="Z501" s="137"/>
      <c r="AA501" s="58" t="str" cm="1">
        <f>IFERROR(INDEX(List_Predictors, INDEX(Array_PredictorsLookup,MATCH($A501,List_PredictorFacilities,0),(COLUMN()-1)/2), 1),"")</f>
        <v/>
      </c>
      <c r="AB501" s="137"/>
      <c r="AC501" s="58" t="str" cm="1">
        <f>IFERROR(INDEX(List_Predictors, INDEX(Array_PredictorsLookup,MATCH($A501,List_PredictorFacilities,0),(COLUMN()-1)/2), 1),"")</f>
        <v/>
      </c>
      <c r="AD501" s="137"/>
      <c r="AE501" s="58" t="str" cm="1">
        <f>IFERROR(INDEX(List_Predictors, INDEX(Array_PredictorsLookup,MATCH($A501,List_PredictorFacilities,0),(COLUMN()-1)/2), 1),"")</f>
        <v/>
      </c>
      <c r="AF501" s="137"/>
    </row>
    <row r="502" spans="1:32" x14ac:dyDescent="0.3">
      <c r="A502" s="126"/>
      <c r="B502" s="141"/>
      <c r="C502" s="58" t="str" cm="1">
        <f>IFERROR(INDEX(List_Predictors, INDEX(Array_PredictorsLookup,MATCH($A502,List_PredictorFacilities,0),(COLUMN()-1)/2), 1),"")</f>
        <v/>
      </c>
      <c r="D502" s="137"/>
      <c r="E502" s="58" t="str" cm="1">
        <f>IFERROR(INDEX(List_Predictors, INDEX(Array_PredictorsLookup,MATCH($A502,List_PredictorFacilities,0),(COLUMN()-1)/2), 1),"")</f>
        <v/>
      </c>
      <c r="F502" s="137"/>
      <c r="G502" s="58" t="str" cm="1">
        <f>IFERROR(INDEX(List_Predictors, INDEX(Array_PredictorsLookup,MATCH($A502,List_PredictorFacilities,0),(COLUMN()-1)/2), 1),"")</f>
        <v/>
      </c>
      <c r="H502" s="137"/>
      <c r="I502" s="58" t="str" cm="1">
        <f>IFERROR(INDEX(List_Predictors, INDEX(Array_PredictorsLookup,MATCH($A502,List_PredictorFacilities,0),(COLUMN()-1)/2), 1),"")</f>
        <v/>
      </c>
      <c r="J502" s="137"/>
      <c r="K502" s="58" t="str" cm="1">
        <f>IFERROR(INDEX(List_Predictors, INDEX(Array_PredictorsLookup,MATCH($A502,List_PredictorFacilities,0),(COLUMN()-1)/2), 1),"")</f>
        <v/>
      </c>
      <c r="L502" s="137"/>
      <c r="M502" s="58" t="str" cm="1">
        <f>IFERROR(INDEX(List_Predictors, INDEX(Array_PredictorsLookup,MATCH($A502,List_PredictorFacilities,0),(COLUMN()-1)/2), 1),"")</f>
        <v/>
      </c>
      <c r="N502" s="137"/>
      <c r="O502" s="58" t="str" cm="1">
        <f>IFERROR(INDEX(List_Predictors, INDEX(Array_PredictorsLookup,MATCH($A502,List_PredictorFacilities,0),(COLUMN()-1)/2), 1),"")</f>
        <v/>
      </c>
      <c r="P502" s="137"/>
      <c r="Q502" s="58" t="str" cm="1">
        <f>IFERROR(INDEX(List_Predictors, INDEX(Array_PredictorsLookup,MATCH($A502,List_PredictorFacilities,0),(COLUMN()-1)/2), 1),"")</f>
        <v/>
      </c>
      <c r="R502" s="137"/>
      <c r="S502" s="58" t="str" cm="1">
        <f>IFERROR(INDEX(List_Predictors, INDEX(Array_PredictorsLookup,MATCH($A502,List_PredictorFacilities,0),(COLUMN()-1)/2), 1),"")</f>
        <v/>
      </c>
      <c r="T502" s="137"/>
      <c r="U502" s="58" t="str" cm="1">
        <f>IFERROR(INDEX(List_Predictors, INDEX(Array_PredictorsLookup,MATCH($A502,List_PredictorFacilities,0),(COLUMN()-1)/2), 1),"")</f>
        <v/>
      </c>
      <c r="V502" s="137"/>
      <c r="W502" s="58" t="str" cm="1">
        <f>IFERROR(INDEX(List_Predictors, INDEX(Array_PredictorsLookup,MATCH($A502,List_PredictorFacilities,0),(COLUMN()-1)/2), 1),"")</f>
        <v/>
      </c>
      <c r="X502" s="137"/>
      <c r="Y502" s="58" t="str" cm="1">
        <f>IFERROR(INDEX(List_Predictors, INDEX(Array_PredictorsLookup,MATCH($A502,List_PredictorFacilities,0),(COLUMN()-1)/2), 1),"")</f>
        <v/>
      </c>
      <c r="Z502" s="137"/>
      <c r="AA502" s="58" t="str" cm="1">
        <f>IFERROR(INDEX(List_Predictors, INDEX(Array_PredictorsLookup,MATCH($A502,List_PredictorFacilities,0),(COLUMN()-1)/2), 1),"")</f>
        <v/>
      </c>
      <c r="AB502" s="137"/>
      <c r="AC502" s="58" t="str" cm="1">
        <f>IFERROR(INDEX(List_Predictors, INDEX(Array_PredictorsLookup,MATCH($A502,List_PredictorFacilities,0),(COLUMN()-1)/2), 1),"")</f>
        <v/>
      </c>
      <c r="AD502" s="137"/>
      <c r="AE502" s="58" t="str" cm="1">
        <f>IFERROR(INDEX(List_Predictors, INDEX(Array_PredictorsLookup,MATCH($A502,List_PredictorFacilities,0),(COLUMN()-1)/2), 1),"")</f>
        <v/>
      </c>
      <c r="AF502" s="137"/>
    </row>
    <row r="502" spans="1:32" x14ac:dyDescent="0.3">
      <c r="A502" s="126"/>
      <c r="B502" s="141"/>
      <c r="C502" s="58" t="str" cm="1">
        <f>IFERROR(INDEX(List_Predictors, INDEX(Array_PredictorsLookup,MATCH($A502,List_PredictorFacilities,0),(COLUMN()-1)/2), 1),"")</f>
        <v/>
      </c>
      <c r="D502" s="137"/>
      <c r="E502" s="58" t="str" cm="1">
        <f>IFERROR(INDEX(List_Predictors, INDEX(Array_PredictorsLookup,MATCH($A502,List_PredictorFacilities,0),(COLUMN()-1)/2), 1),"")</f>
        <v/>
      </c>
      <c r="F502" s="137"/>
      <c r="G502" s="58" t="str" cm="1">
        <f>IFERROR(INDEX(List_Predictors, INDEX(Array_PredictorsLookup,MATCH($A502,List_PredictorFacilities,0),(COLUMN()-1)/2), 1),"")</f>
        <v/>
      </c>
      <c r="H502" s="137"/>
      <c r="I502" s="58" t="str" cm="1">
        <f>IFERROR(INDEX(List_Predictors, INDEX(Array_PredictorsLookup,MATCH($A502,List_PredictorFacilities,0),(COLUMN()-1)/2), 1),"")</f>
        <v/>
      </c>
      <c r="J502" s="137"/>
      <c r="K502" s="58" t="str" cm="1">
        <f>IFERROR(INDEX(List_Predictors, INDEX(Array_PredictorsLookup,MATCH($A502,List_PredictorFacilities,0),(COLUMN()-1)/2), 1),"")</f>
        <v/>
      </c>
      <c r="L502" s="137"/>
      <c r="M502" s="58" t="str" cm="1">
        <f>IFERROR(INDEX(List_Predictors, INDEX(Array_PredictorsLookup,MATCH($A502,List_PredictorFacilities,0),(COLUMN()-1)/2), 1),"")</f>
        <v/>
      </c>
      <c r="N502" s="137"/>
      <c r="O502" s="58" t="str" cm="1">
        <f>IFERROR(INDEX(List_Predictors, INDEX(Array_PredictorsLookup,MATCH($A502,List_PredictorFacilities,0),(COLUMN()-1)/2), 1),"")</f>
        <v/>
      </c>
      <c r="P502" s="137"/>
      <c r="Q502" s="58" t="str" cm="1">
        <f>IFERROR(INDEX(List_Predictors, INDEX(Array_PredictorsLookup,MATCH($A502,List_PredictorFacilities,0),(COLUMN()-1)/2), 1),"")</f>
        <v/>
      </c>
      <c r="R502" s="137"/>
      <c r="S502" s="58" t="str" cm="1">
        <f>IFERROR(INDEX(List_Predictors, INDEX(Array_PredictorsLookup,MATCH($A502,List_PredictorFacilities,0),(COLUMN()-1)/2), 1),"")</f>
        <v/>
      </c>
      <c r="T502" s="137"/>
      <c r="U502" s="58" t="str" cm="1">
        <f>IFERROR(INDEX(List_Predictors, INDEX(Array_PredictorsLookup,MATCH($A502,List_PredictorFacilities,0),(COLUMN()-1)/2), 1),"")</f>
        <v/>
      </c>
      <c r="V502" s="137"/>
      <c r="W502" s="58" t="str" cm="1">
        <f>IFERROR(INDEX(List_Predictors, INDEX(Array_PredictorsLookup,MATCH($A502,List_PredictorFacilities,0),(COLUMN()-1)/2), 1),"")</f>
        <v/>
      </c>
      <c r="X502" s="137"/>
      <c r="Y502" s="58" t="str" cm="1">
        <f>IFERROR(INDEX(List_Predictors, INDEX(Array_PredictorsLookup,MATCH($A502,List_PredictorFacilities,0),(COLUMN()-1)/2), 1),"")</f>
        <v/>
      </c>
      <c r="Z502" s="137"/>
      <c r="AA502" s="58" t="str" cm="1">
        <f>IFERROR(INDEX(List_Predictors, INDEX(Array_PredictorsLookup,MATCH($A502,List_PredictorFacilities,0),(COLUMN()-1)/2), 1),"")</f>
        <v/>
      </c>
      <c r="AB502" s="137"/>
      <c r="AC502" s="58" t="str" cm="1">
        <f>IFERROR(INDEX(List_Predictors, INDEX(Array_PredictorsLookup,MATCH($A502,List_PredictorFacilities,0),(COLUMN()-1)/2), 1),"")</f>
        <v/>
      </c>
      <c r="AD502" s="137"/>
      <c r="AE502" s="58" t="str" cm="1">
        <f>IFERROR(INDEX(List_Predictors, INDEX(Array_PredictorsLookup,MATCH($A502,List_PredictorFacilities,0),(COLUMN()-1)/2), 1),"")</f>
        <v/>
      </c>
      <c r="AF502" s="137"/>
    </row>
  </sheetData>
  <sheetProtection algorithmName="SHA-512" hashValue="NNTQ0NfBmGKFNAH/nLVDj1nq5sK8fvF7gd/su2cmshQd6bQT+Iu9qMdlvrklWDoD+QDGP+DgsvMD0VaUoNv2Ew==" saltValue="xLScY1ZFKDARYC3yq//fZg==" spinCount="100000" sheet="1" objects="1" scenarios="1" formatCells="0" formatColumns="0" formatRows="0"/>
  <conditionalFormatting sqref="A3:B502">
    <cfRule type="expression" dxfId="17" priority="61">
      <formula>AND(COUNTA($A3:$B3)&gt;0,A3="")</formula>
    </cfRule>
    <cfRule type="expression" dxfId="16" priority="62">
      <formula>AND(COUNTA($A3:$B3)=0,ROW()&lt;&gt;3)</formula>
    </cfRule>
  </conditionalFormatting>
  <conditionalFormatting sqref="C3:D502">
    <cfRule type="expression" dxfId="15" priority="57">
      <formula>$C3=""</formula>
    </cfRule>
  </conditionalFormatting>
  <conditionalFormatting sqref="C2:AF2">
    <cfRule type="expression" dxfId="14" priority="58">
      <formula>C2=""</formula>
    </cfRule>
  </conditionalFormatting>
  <conditionalFormatting sqref="E3:F502">
    <cfRule type="expression" dxfId="13" priority="38">
      <formula>$E3=""</formula>
    </cfRule>
  </conditionalFormatting>
  <conditionalFormatting sqref="G3:H502">
    <cfRule type="expression" dxfId="12" priority="16">
      <formula>$G3=""</formula>
    </cfRule>
  </conditionalFormatting>
  <conditionalFormatting sqref="I3:J502">
    <cfRule type="expression" dxfId="11" priority="15">
      <formula>$I3=""</formula>
    </cfRule>
  </conditionalFormatting>
  <conditionalFormatting sqref="K3:L502">
    <cfRule type="expression" dxfId="10" priority="14">
      <formula>$K3=""</formula>
    </cfRule>
  </conditionalFormatting>
  <conditionalFormatting sqref="M3:N502">
    <cfRule type="expression" dxfId="9" priority="13">
      <formula>$M3=""</formula>
    </cfRule>
  </conditionalFormatting>
  <conditionalFormatting sqref="O3:P502">
    <cfRule type="expression" dxfId="8" priority="9">
      <formula>$O3=""</formula>
    </cfRule>
  </conditionalFormatting>
  <conditionalFormatting sqref="Q3:R502">
    <cfRule type="expression" dxfId="7" priority="8">
      <formula>$Q3=""</formula>
    </cfRule>
  </conditionalFormatting>
  <conditionalFormatting sqref="S3:T502">
    <cfRule type="expression" dxfId="6" priority="7">
      <formula>$S3=""</formula>
    </cfRule>
  </conditionalFormatting>
  <conditionalFormatting sqref="U3:V502">
    <cfRule type="expression" dxfId="5" priority="6">
      <formula>$U3=""</formula>
    </cfRule>
  </conditionalFormatting>
  <conditionalFormatting sqref="W3:X502">
    <cfRule type="expression" dxfId="4" priority="5">
      <formula>$W3=""</formula>
    </cfRule>
  </conditionalFormatting>
  <conditionalFormatting sqref="Y3:Z502">
    <cfRule type="expression" dxfId="3" priority="4">
      <formula>$Y3=""</formula>
    </cfRule>
  </conditionalFormatting>
  <conditionalFormatting sqref="AA3:AB502">
    <cfRule type="expression" dxfId="2" priority="3">
      <formula>$AA3=""</formula>
    </cfRule>
  </conditionalFormatting>
  <conditionalFormatting sqref="AC3:AD502">
    <cfRule type="expression" dxfId="1" priority="2">
      <formula>$AC3=""</formula>
    </cfRule>
  </conditionalFormatting>
  <conditionalFormatting sqref="AE3:AF502">
    <cfRule type="expression" dxfId="0" priority="1">
      <formula>$AE3=""</formula>
    </cfRule>
  </conditionalFormatting>
  <dataValidations count="1">
    <dataValidation type="list" allowBlank="1" showInputMessage="1" showErrorMessage="1" sqref="A3:A502" xr:uid="{FE302059-45A1-440E-8B20-93EA93261BBB}">
      <formula1>List_PredictorFacilities</formula1>
    </dataValidation>
  </dataValidation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2E7E0-96E2-410D-ACD4-2B90D7C9C2F1}">
  <sheetPr codeName="Sheet24">
    <tabColor rgb="FFD62728"/>
  </sheetPr>
  <dimension ref="A1:P214"/>
  <sheetViews>
    <sheetView workbookViewId="0">
      <selection activeCell="D22" sqref="D22"/>
    </sheetView>
  </sheetViews>
  <sheetFormatPr defaultColWidth="24.7265625" defaultRowHeight="14.5" x14ac:dyDescent="0.35"/>
  <cols>
    <col min="4" max="4" width="24.7265625" style="3"/>
  </cols>
  <sheetData>
    <row r="1" spans="1:16" ht="15" thickBot="1" x14ac:dyDescent="0.4">
      <c r="A1" s="11" t="s">
        <v>758</v>
      </c>
      <c r="C1" s="12" t="s">
        <v>500</v>
      </c>
      <c r="D1"/>
    </row>
    <row r="2" spans="1:16" x14ac:dyDescent="0.35">
      <c r="A2" s="4" t="s">
        <v>755</v>
      </c>
      <c r="D2"/>
    </row>
    <row r="3" spans="1:16" ht="15" thickBot="1" x14ac:dyDescent="0.4">
      <c r="A3" t="s">
        <v>594</v>
      </c>
      <c r="C3" s="13" t="s">
        <v>501</v>
      </c>
      <c r="D3"/>
    </row>
    <row r="4" spans="1:16" x14ac:dyDescent="0.35">
      <c r="A4" s="4" t="s">
        <v>528</v>
      </c>
      <c r="D4"/>
    </row>
    <row r="5" spans="1:16" x14ac:dyDescent="0.35">
      <c r="A5" t="s">
        <v>533</v>
      </c>
      <c r="D5"/>
    </row>
    <row r="6" spans="1:16" x14ac:dyDescent="0.35">
      <c r="A6" s="4" t="s">
        <v>756</v>
      </c>
      <c r="D6"/>
    </row>
    <row r="7" spans="1:16" x14ac:dyDescent="0.35">
      <c r="A7" t="s">
        <v>506</v>
      </c>
      <c r="D7"/>
    </row>
    <row r="8" spans="1:16" x14ac:dyDescent="0.35">
      <c r="A8" s="4" t="s">
        <v>835</v>
      </c>
      <c r="D8"/>
    </row>
    <row r="9" spans="1:16" x14ac:dyDescent="0.35">
      <c r="A9" s="4" t="s">
        <v>757</v>
      </c>
      <c r="D9"/>
    </row>
    <row r="10" spans="1:16" x14ac:dyDescent="0.35">
      <c r="A10" t="s">
        <v>596</v>
      </c>
    </row>
    <row r="11" spans="1:16" ht="15" thickBot="1" x14ac:dyDescent="0.4">
      <c r="A11" s="8" t="s">
        <v>833</v>
      </c>
      <c r="C11" s="3"/>
    </row>
    <row r="12" spans="1:16" x14ac:dyDescent="0.35">
      <c r="C12" s="3"/>
    </row>
    <row r="13" spans="1:16" x14ac:dyDescent="0.35">
      <c r="A13" t="s">
        <v>775</v>
      </c>
      <c r="B13" t="e">
        <f>SUM(B15:B114)&gt;0</f>
        <v>#N/A</v>
      </c>
      <c r="C13" t="b">
        <f t="shared" ref="C13:P13" ca="1" si="0">SUM(C15:C114)&gt;0</f>
        <v>0</v>
      </c>
      <c r="D13" t="b">
        <f t="shared" ca="1" si="0"/>
        <v>0</v>
      </c>
      <c r="E13" t="b">
        <f t="shared" ca="1" si="0"/>
        <v>0</v>
      </c>
      <c r="F13" t="b">
        <f t="shared" ca="1" si="0"/>
        <v>0</v>
      </c>
      <c r="G13" t="b">
        <f t="shared" ca="1" si="0"/>
        <v>0</v>
      </c>
      <c r="H13" t="b">
        <f t="shared" ca="1" si="0"/>
        <v>0</v>
      </c>
      <c r="I13" t="b">
        <f t="shared" ca="1" si="0"/>
        <v>0</v>
      </c>
      <c r="J13" t="b">
        <f t="shared" ca="1" si="0"/>
        <v>0</v>
      </c>
      <c r="K13" t="b">
        <f t="shared" ca="1" si="0"/>
        <v>0</v>
      </c>
      <c r="L13" t="b">
        <f t="shared" ca="1" si="0"/>
        <v>0</v>
      </c>
      <c r="M13" t="b">
        <f t="shared" ca="1" si="0"/>
        <v>0</v>
      </c>
      <c r="N13" t="b">
        <f t="shared" ca="1" si="0"/>
        <v>0</v>
      </c>
      <c r="O13" t="b">
        <f t="shared" ca="1" si="0"/>
        <v>0</v>
      </c>
      <c r="P13" t="b">
        <f t="shared" ca="1" si="0"/>
        <v>0</v>
      </c>
    </row>
    <row r="14" spans="1:16" ht="15" thickBot="1" x14ac:dyDescent="0.4">
      <c r="A14" s="12" t="s">
        <v>801</v>
      </c>
      <c r="B14" s="12" t="s">
        <v>802</v>
      </c>
      <c r="C14" s="12" t="s">
        <v>803</v>
      </c>
      <c r="D14" s="12" t="s">
        <v>804</v>
      </c>
      <c r="E14" s="12" t="s">
        <v>805</v>
      </c>
      <c r="F14" s="12" t="s">
        <v>806</v>
      </c>
      <c r="G14" s="12" t="s">
        <v>807</v>
      </c>
      <c r="H14" s="12" t="s">
        <v>808</v>
      </c>
      <c r="I14" s="12" t="s">
        <v>809</v>
      </c>
      <c r="J14" s="12" t="s">
        <v>810</v>
      </c>
      <c r="K14" s="12" t="s">
        <v>811</v>
      </c>
      <c r="L14" s="12" t="s">
        <v>812</v>
      </c>
      <c r="M14" s="12" t="s">
        <v>813</v>
      </c>
      <c r="N14" s="12" t="s">
        <v>814</v>
      </c>
      <c r="O14" s="12" t="s">
        <v>815</v>
      </c>
      <c r="P14" s="12" t="s">
        <v>816</v>
      </c>
    </row>
    <row r="15" spans="1:16" x14ac:dyDescent="0.35">
      <c r="A15" t="str">
        <f>IF('Predictor Setup'!A3="",A14,'Predictor Setup'!A3)</f>
        <v>Facility</v>
      </c>
      <c r="B15" t="e">
        <f>MATCH($A15,'Predictor Setup'!$A$3:$A$202,0)</f>
        <v>#N/A</v>
      </c>
      <c r="C15" s="3" t="str">
        <f ca="1">IFERROR(MATCH($A15,INDIRECT("'Predictor Setup'!A"&amp;3+B15):'Predictor Setup'!$A$202,0)+B15,"")</f>
        <v/>
      </c>
      <c r="D15" s="3" t="str">
        <f ca="1">IFERROR(MATCH($A15,INDIRECT("'Predictor Setup'!A"&amp;3+C15):'Predictor Setup'!$A$202,0)+C15,"")</f>
        <v/>
      </c>
      <c r="E15" s="3" t="str">
        <f ca="1">IFERROR(MATCH($A15,INDIRECT("'Predictor Setup'!A"&amp;3+D15):'Predictor Setup'!$A$202,0)+D15,"")</f>
        <v/>
      </c>
      <c r="F15" s="3" t="str">
        <f ca="1">IFERROR(MATCH($A15,INDIRECT("'Predictor Setup'!A"&amp;3+E15):'Predictor Setup'!$A$202,0)+E15,"")</f>
        <v/>
      </c>
      <c r="G15" s="3" t="str">
        <f ca="1">IFERROR(MATCH($A15,INDIRECT("'Predictor Setup'!A"&amp;3+F15):'Predictor Setup'!$A$202,0)+F15,"")</f>
        <v/>
      </c>
      <c r="H15" s="3" t="str">
        <f ca="1">IFERROR(MATCH($A15,INDIRECT("'Predictor Setup'!A"&amp;3+G15):'Predictor Setup'!$A$202,0)+G15,"")</f>
        <v/>
      </c>
      <c r="I15" s="3" t="str">
        <f ca="1">IFERROR(MATCH($A15,INDIRECT("'Predictor Setup'!A"&amp;3+H15):'Predictor Setup'!$A$202,0)+H15,"")</f>
        <v/>
      </c>
      <c r="J15" s="3" t="str">
        <f ca="1">IFERROR(MATCH($A15,INDIRECT("'Predictor Setup'!A"&amp;3+I15):'Predictor Setup'!$A$202,0)+I15,"")</f>
        <v/>
      </c>
      <c r="K15" s="3" t="str">
        <f ca="1">IFERROR(MATCH($A15,INDIRECT("'Predictor Setup'!A"&amp;3+J15):'Predictor Setup'!$A$202,0)+J15,"")</f>
        <v/>
      </c>
      <c r="L15" s="3" t="str">
        <f ca="1">IFERROR(MATCH($A15,INDIRECT("'Predictor Setup'!A"&amp;3+K15):'Predictor Setup'!$A$202,0)+K15,"")</f>
        <v/>
      </c>
      <c r="M15" s="3" t="str">
        <f ca="1">IFERROR(MATCH($A15,INDIRECT("'Predictor Setup'!A"&amp;3+L15):'Predictor Setup'!$A$202,0)+L15,"")</f>
        <v/>
      </c>
      <c r="N15" s="3" t="str">
        <f ca="1">IFERROR(MATCH($A15,INDIRECT("'Predictor Setup'!A"&amp;3+M15):'Predictor Setup'!$A$202,0)+M15,"")</f>
        <v/>
      </c>
      <c r="O15" s="3" t="str">
        <f ca="1">IFERROR(MATCH($A15,INDIRECT("'Predictor Setup'!A"&amp;3+N15):'Predictor Setup'!$A$202,0)+N15,"")</f>
        <v/>
      </c>
      <c r="P15" s="3" t="str">
        <f ca="1">IFERROR(MATCH($A15,INDIRECT("'Predictor Setup'!A"&amp;3+O15):'Predictor Setup'!$A$202,0)+O15,"")</f>
        <v/>
      </c>
    </row>
    <row r="16" spans="1:16" x14ac:dyDescent="0.35">
      <c r="A16" t="str">
        <f>IF('Predictor Setup'!A4="",A15,'Predictor Setup'!A4)</f>
        <v>Facility</v>
      </c>
      <c r="B16" t="e">
        <f>MATCH($A16,'Predictor Setup'!$A$3:$A$202,0)</f>
        <v>#N/A</v>
      </c>
      <c r="C16" s="3" t="str">
        <f ca="1">IFERROR(MATCH($A16,INDIRECT("'Predictor Setup'!A"&amp;3+B16):'Predictor Setup'!$A$202,0)+B16,"")</f>
        <v/>
      </c>
      <c r="D16" s="3" t="str">
        <f ca="1">IFERROR(MATCH($A16,INDIRECT("'Predictor Setup'!A"&amp;3+C16):'Predictor Setup'!$A$202,0)+C16,"")</f>
        <v/>
      </c>
      <c r="E16" s="3" t="str">
        <f ca="1">IFERROR(MATCH($A16,INDIRECT("'Predictor Setup'!A"&amp;3+D16):'Predictor Setup'!$A$202,0)+D16,"")</f>
        <v/>
      </c>
      <c r="F16" s="3" t="str">
        <f ca="1">IFERROR(MATCH($A16,INDIRECT("'Predictor Setup'!A"&amp;3+E16):'Predictor Setup'!$A$202,0)+E16,"")</f>
        <v/>
      </c>
      <c r="G16" s="3" t="str">
        <f ca="1">IFERROR(MATCH($A16,INDIRECT("'Predictor Setup'!A"&amp;3+F16):'Predictor Setup'!$A$202,0)+F16,"")</f>
        <v/>
      </c>
      <c r="H16" s="3" t="str">
        <f ca="1">IFERROR(MATCH($A16,INDIRECT("'Predictor Setup'!A"&amp;3+G16):'Predictor Setup'!$A$202,0)+G16,"")</f>
        <v/>
      </c>
      <c r="I16" s="3" t="str">
        <f ca="1">IFERROR(MATCH($A16,INDIRECT("'Predictor Setup'!A"&amp;3+H16):'Predictor Setup'!$A$202,0)+H16,"")</f>
        <v/>
      </c>
      <c r="J16" s="3" t="str">
        <f ca="1">IFERROR(MATCH($A16,INDIRECT("'Predictor Setup'!A"&amp;3+I16):'Predictor Setup'!$A$202,0)+I16,"")</f>
        <v/>
      </c>
      <c r="K16" s="3" t="str">
        <f ca="1">IFERROR(MATCH($A16,INDIRECT("'Predictor Setup'!A"&amp;3+J16):'Predictor Setup'!$A$202,0)+J16,"")</f>
        <v/>
      </c>
      <c r="L16" s="3" t="str">
        <f ca="1">IFERROR(MATCH($A16,INDIRECT("'Predictor Setup'!A"&amp;3+K16):'Predictor Setup'!$A$202,0)+K16,"")</f>
        <v/>
      </c>
      <c r="M16" s="3" t="str">
        <f ca="1">IFERROR(MATCH($A16,INDIRECT("'Predictor Setup'!A"&amp;3+L16):'Predictor Setup'!$A$202,0)+L16,"")</f>
        <v/>
      </c>
      <c r="N16" s="3" t="str">
        <f ca="1">IFERROR(MATCH($A16,INDIRECT("'Predictor Setup'!A"&amp;3+M16):'Predictor Setup'!$A$202,0)+M16,"")</f>
        <v/>
      </c>
      <c r="O16" s="3" t="str">
        <f ca="1">IFERROR(MATCH($A16,INDIRECT("'Predictor Setup'!A"&amp;3+N16):'Predictor Setup'!$A$202,0)+N16,"")</f>
        <v/>
      </c>
      <c r="P16" s="3" t="str">
        <f ca="1">IFERROR(MATCH($A16,INDIRECT("'Predictor Setup'!A"&amp;3+O16):'Predictor Setup'!$A$202,0)+O16,"")</f>
        <v/>
      </c>
    </row>
    <row r="17" spans="1:16" x14ac:dyDescent="0.35">
      <c r="A17" t="str">
        <f>IF('Predictor Setup'!A5="",A16,'Predictor Setup'!A5)</f>
        <v>Facility</v>
      </c>
      <c r="B17" t="e">
        <f>MATCH($A17,'Predictor Setup'!$A$3:$A$202,0)</f>
        <v>#N/A</v>
      </c>
      <c r="C17" s="3" t="str">
        <f ca="1">IFERROR(MATCH($A17,INDIRECT("'Predictor Setup'!A"&amp;3+B17):'Predictor Setup'!$A$202,0)+B17,"")</f>
        <v/>
      </c>
      <c r="D17" s="3" t="str">
        <f ca="1">IFERROR(MATCH($A17,INDIRECT("'Predictor Setup'!A"&amp;3+C17):'Predictor Setup'!$A$202,0)+C17,"")</f>
        <v/>
      </c>
      <c r="E17" s="3" t="str">
        <f ca="1">IFERROR(MATCH($A17,INDIRECT("'Predictor Setup'!A"&amp;3+D17):'Predictor Setup'!$A$202,0)+D17,"")</f>
        <v/>
      </c>
      <c r="F17" s="3" t="str">
        <f ca="1">IFERROR(MATCH($A17,INDIRECT("'Predictor Setup'!A"&amp;3+E17):'Predictor Setup'!$A$202,0)+E17,"")</f>
        <v/>
      </c>
      <c r="G17" s="3" t="str">
        <f ca="1">IFERROR(MATCH($A17,INDIRECT("'Predictor Setup'!A"&amp;3+F17):'Predictor Setup'!$A$202,0)+F17,"")</f>
        <v/>
      </c>
      <c r="H17" s="3" t="str">
        <f ca="1">IFERROR(MATCH($A17,INDIRECT("'Predictor Setup'!A"&amp;3+G17):'Predictor Setup'!$A$202,0)+G17,"")</f>
        <v/>
      </c>
      <c r="I17" s="3" t="str">
        <f ca="1">IFERROR(MATCH($A17,INDIRECT("'Predictor Setup'!A"&amp;3+H17):'Predictor Setup'!$A$202,0)+H17,"")</f>
        <v/>
      </c>
      <c r="J17" s="3" t="str">
        <f ca="1">IFERROR(MATCH($A17,INDIRECT("'Predictor Setup'!A"&amp;3+I17):'Predictor Setup'!$A$202,0)+I17,"")</f>
        <v/>
      </c>
      <c r="K17" s="3" t="str">
        <f ca="1">IFERROR(MATCH($A17,INDIRECT("'Predictor Setup'!A"&amp;3+J17):'Predictor Setup'!$A$202,0)+J17,"")</f>
        <v/>
      </c>
      <c r="L17" s="3" t="str">
        <f ca="1">IFERROR(MATCH($A17,INDIRECT("'Predictor Setup'!A"&amp;3+K17):'Predictor Setup'!$A$202,0)+K17,"")</f>
        <v/>
      </c>
      <c r="M17" s="3" t="str">
        <f ca="1">IFERROR(MATCH($A17,INDIRECT("'Predictor Setup'!A"&amp;3+L17):'Predictor Setup'!$A$202,0)+L17,"")</f>
        <v/>
      </c>
      <c r="N17" s="3" t="str">
        <f ca="1">IFERROR(MATCH($A17,INDIRECT("'Predictor Setup'!A"&amp;3+M17):'Predictor Setup'!$A$202,0)+M17,"")</f>
        <v/>
      </c>
      <c r="O17" s="3" t="str">
        <f ca="1">IFERROR(MATCH($A17,INDIRECT("'Predictor Setup'!A"&amp;3+N17):'Predictor Setup'!$A$202,0)+N17,"")</f>
        <v/>
      </c>
      <c r="P17" s="3" t="str">
        <f ca="1">IFERROR(MATCH($A17,INDIRECT("'Predictor Setup'!A"&amp;3+O17):'Predictor Setup'!$A$202,0)+O17,"")</f>
        <v/>
      </c>
    </row>
    <row r="18" spans="1:16" x14ac:dyDescent="0.35">
      <c r="A18" t="str">
        <f>IF('Predictor Setup'!A6="",A17,'Predictor Setup'!A6)</f>
        <v>Facility</v>
      </c>
      <c r="B18" t="e">
        <f>MATCH($A18,'Predictor Setup'!$A$3:$A$202,0)</f>
        <v>#N/A</v>
      </c>
      <c r="C18" s="3" t="str">
        <f ca="1">IFERROR(MATCH($A18,INDIRECT("'Predictor Setup'!A"&amp;3+B18):'Predictor Setup'!$A$202,0)+B18,"")</f>
        <v/>
      </c>
      <c r="D18" s="3" t="str">
        <f ca="1">IFERROR(MATCH($A18,INDIRECT("'Predictor Setup'!A"&amp;3+C18):'Predictor Setup'!$A$202,0)+C18,"")</f>
        <v/>
      </c>
      <c r="E18" s="3" t="str">
        <f ca="1">IFERROR(MATCH($A18,INDIRECT("'Predictor Setup'!A"&amp;3+D18):'Predictor Setup'!$A$202,0)+D18,"")</f>
        <v/>
      </c>
      <c r="F18" s="3" t="str">
        <f ca="1">IFERROR(MATCH($A18,INDIRECT("'Predictor Setup'!A"&amp;3+E18):'Predictor Setup'!$A$202,0)+E18,"")</f>
        <v/>
      </c>
      <c r="G18" s="3" t="str">
        <f ca="1">IFERROR(MATCH($A18,INDIRECT("'Predictor Setup'!A"&amp;3+F18):'Predictor Setup'!$A$202,0)+F18,"")</f>
        <v/>
      </c>
      <c r="H18" s="3" t="str">
        <f ca="1">IFERROR(MATCH($A18,INDIRECT("'Predictor Setup'!A"&amp;3+G18):'Predictor Setup'!$A$202,0)+G18,"")</f>
        <v/>
      </c>
      <c r="I18" s="3" t="str">
        <f ca="1">IFERROR(MATCH($A18,INDIRECT("'Predictor Setup'!A"&amp;3+H18):'Predictor Setup'!$A$202,0)+H18,"")</f>
        <v/>
      </c>
      <c r="J18" s="3" t="str">
        <f ca="1">IFERROR(MATCH($A18,INDIRECT("'Predictor Setup'!A"&amp;3+I18):'Predictor Setup'!$A$202,0)+I18,"")</f>
        <v/>
      </c>
      <c r="K18" s="3" t="str">
        <f ca="1">IFERROR(MATCH($A18,INDIRECT("'Predictor Setup'!A"&amp;3+J18):'Predictor Setup'!$A$202,0)+J18,"")</f>
        <v/>
      </c>
      <c r="L18" s="3" t="str">
        <f ca="1">IFERROR(MATCH($A18,INDIRECT("'Predictor Setup'!A"&amp;3+K18):'Predictor Setup'!$A$202,0)+K18,"")</f>
        <v/>
      </c>
      <c r="M18" s="3" t="str">
        <f ca="1">IFERROR(MATCH($A18,INDIRECT("'Predictor Setup'!A"&amp;3+L18):'Predictor Setup'!$A$202,0)+L18,"")</f>
        <v/>
      </c>
      <c r="N18" s="3" t="str">
        <f ca="1">IFERROR(MATCH($A18,INDIRECT("'Predictor Setup'!A"&amp;3+M18):'Predictor Setup'!$A$202,0)+M18,"")</f>
        <v/>
      </c>
      <c r="O18" s="3" t="str">
        <f ca="1">IFERROR(MATCH($A18,INDIRECT("'Predictor Setup'!A"&amp;3+N18):'Predictor Setup'!$A$202,0)+N18,"")</f>
        <v/>
      </c>
      <c r="P18" s="3" t="str">
        <f ca="1">IFERROR(MATCH($A18,INDIRECT("'Predictor Setup'!A"&amp;3+O18):'Predictor Setup'!$A$202,0)+O18,"")</f>
        <v/>
      </c>
    </row>
    <row r="19" spans="1:16" x14ac:dyDescent="0.35">
      <c r="A19" t="str">
        <f>IF('Predictor Setup'!A7="",A18,'Predictor Setup'!A7)</f>
        <v>Facility</v>
      </c>
      <c r="B19" t="e">
        <f>MATCH($A19,'Predictor Setup'!$A$3:$A$202,0)</f>
        <v>#N/A</v>
      </c>
      <c r="C19" s="3" t="str">
        <f ca="1">IFERROR(MATCH($A19,INDIRECT("'Predictor Setup'!A"&amp;3+B19):'Predictor Setup'!$A$202,0)+B19,"")</f>
        <v/>
      </c>
      <c r="D19" s="3" t="str">
        <f ca="1">IFERROR(MATCH($A19,INDIRECT("'Predictor Setup'!A"&amp;3+C19):'Predictor Setup'!$A$202,0)+C19,"")</f>
        <v/>
      </c>
      <c r="E19" s="3" t="str">
        <f ca="1">IFERROR(MATCH($A19,INDIRECT("'Predictor Setup'!A"&amp;3+D19):'Predictor Setup'!$A$202,0)+D19,"")</f>
        <v/>
      </c>
      <c r="F19" s="3" t="str">
        <f ca="1">IFERROR(MATCH($A19,INDIRECT("'Predictor Setup'!A"&amp;3+E19):'Predictor Setup'!$A$202,0)+E19,"")</f>
        <v/>
      </c>
      <c r="G19" s="3" t="str">
        <f ca="1">IFERROR(MATCH($A19,INDIRECT("'Predictor Setup'!A"&amp;3+F19):'Predictor Setup'!$A$202,0)+F19,"")</f>
        <v/>
      </c>
      <c r="H19" s="3" t="str">
        <f ca="1">IFERROR(MATCH($A19,INDIRECT("'Predictor Setup'!A"&amp;3+G19):'Predictor Setup'!$A$202,0)+G19,"")</f>
        <v/>
      </c>
      <c r="I19" s="3" t="str">
        <f ca="1">IFERROR(MATCH($A19,INDIRECT("'Predictor Setup'!A"&amp;3+H19):'Predictor Setup'!$A$202,0)+H19,"")</f>
        <v/>
      </c>
      <c r="J19" s="3" t="str">
        <f ca="1">IFERROR(MATCH($A19,INDIRECT("'Predictor Setup'!A"&amp;3+I19):'Predictor Setup'!$A$202,0)+I19,"")</f>
        <v/>
      </c>
      <c r="K19" s="3" t="str">
        <f ca="1">IFERROR(MATCH($A19,INDIRECT("'Predictor Setup'!A"&amp;3+J19):'Predictor Setup'!$A$202,0)+J19,"")</f>
        <v/>
      </c>
      <c r="L19" s="3" t="str">
        <f ca="1">IFERROR(MATCH($A19,INDIRECT("'Predictor Setup'!A"&amp;3+K19):'Predictor Setup'!$A$202,0)+K19,"")</f>
        <v/>
      </c>
      <c r="M19" s="3" t="str">
        <f ca="1">IFERROR(MATCH($A19,INDIRECT("'Predictor Setup'!A"&amp;3+L19):'Predictor Setup'!$A$202,0)+L19,"")</f>
        <v/>
      </c>
      <c r="N19" s="3" t="str">
        <f ca="1">IFERROR(MATCH($A19,INDIRECT("'Predictor Setup'!A"&amp;3+M19):'Predictor Setup'!$A$202,0)+M19,"")</f>
        <v/>
      </c>
      <c r="O19" s="3" t="str">
        <f ca="1">IFERROR(MATCH($A19,INDIRECT("'Predictor Setup'!A"&amp;3+N19):'Predictor Setup'!$A$202,0)+N19,"")</f>
        <v/>
      </c>
      <c r="P19" s="3" t="str">
        <f ca="1">IFERROR(MATCH($A19,INDIRECT("'Predictor Setup'!A"&amp;3+O19):'Predictor Setup'!$A$202,0)+O19,"")</f>
        <v/>
      </c>
    </row>
    <row r="20" spans="1:16" x14ac:dyDescent="0.35">
      <c r="A20" t="str">
        <f>IF('Predictor Setup'!A8="",A19,'Predictor Setup'!A8)</f>
        <v>Facility</v>
      </c>
      <c r="B20" t="e">
        <f>MATCH($A20,'Predictor Setup'!$A$3:$A$202,0)</f>
        <v>#N/A</v>
      </c>
      <c r="C20" s="3" t="str">
        <f ca="1">IFERROR(MATCH($A20,INDIRECT("'Predictor Setup'!A"&amp;3+B20):'Predictor Setup'!$A$202,0)+B20,"")</f>
        <v/>
      </c>
      <c r="D20" s="3" t="str">
        <f ca="1">IFERROR(MATCH($A20,INDIRECT("'Predictor Setup'!A"&amp;3+C20):'Predictor Setup'!$A$202,0)+C20,"")</f>
        <v/>
      </c>
      <c r="E20" s="3" t="str">
        <f ca="1">IFERROR(MATCH($A20,INDIRECT("'Predictor Setup'!A"&amp;3+D20):'Predictor Setup'!$A$202,0)+D20,"")</f>
        <v/>
      </c>
      <c r="F20" s="3" t="str">
        <f ca="1">IFERROR(MATCH($A20,INDIRECT("'Predictor Setup'!A"&amp;3+E20):'Predictor Setup'!$A$202,0)+E20,"")</f>
        <v/>
      </c>
      <c r="G20" s="3" t="str">
        <f ca="1">IFERROR(MATCH($A20,INDIRECT("'Predictor Setup'!A"&amp;3+F20):'Predictor Setup'!$A$202,0)+F20,"")</f>
        <v/>
      </c>
      <c r="H20" s="3" t="str">
        <f ca="1">IFERROR(MATCH($A20,INDIRECT("'Predictor Setup'!A"&amp;3+G20):'Predictor Setup'!$A$202,0)+G20,"")</f>
        <v/>
      </c>
      <c r="I20" s="3" t="str">
        <f ca="1">IFERROR(MATCH($A20,INDIRECT("'Predictor Setup'!A"&amp;3+H20):'Predictor Setup'!$A$202,0)+H20,"")</f>
        <v/>
      </c>
      <c r="J20" s="3" t="str">
        <f ca="1">IFERROR(MATCH($A20,INDIRECT("'Predictor Setup'!A"&amp;3+I20):'Predictor Setup'!$A$202,0)+I20,"")</f>
        <v/>
      </c>
      <c r="K20" s="3" t="str">
        <f ca="1">IFERROR(MATCH($A20,INDIRECT("'Predictor Setup'!A"&amp;3+J20):'Predictor Setup'!$A$202,0)+J20,"")</f>
        <v/>
      </c>
      <c r="L20" s="3" t="str">
        <f ca="1">IFERROR(MATCH($A20,INDIRECT("'Predictor Setup'!A"&amp;3+K20):'Predictor Setup'!$A$202,0)+K20,"")</f>
        <v/>
      </c>
      <c r="M20" s="3" t="str">
        <f ca="1">IFERROR(MATCH($A20,INDIRECT("'Predictor Setup'!A"&amp;3+L20):'Predictor Setup'!$A$202,0)+L20,"")</f>
        <v/>
      </c>
      <c r="N20" s="3" t="str">
        <f ca="1">IFERROR(MATCH($A20,INDIRECT("'Predictor Setup'!A"&amp;3+M20):'Predictor Setup'!$A$202,0)+M20,"")</f>
        <v/>
      </c>
      <c r="O20" s="3" t="str">
        <f ca="1">IFERROR(MATCH($A20,INDIRECT("'Predictor Setup'!A"&amp;3+N20):'Predictor Setup'!$A$202,0)+N20,"")</f>
        <v/>
      </c>
      <c r="P20" s="3" t="str">
        <f ca="1">IFERROR(MATCH($A20,INDIRECT("'Predictor Setup'!A"&amp;3+O20):'Predictor Setup'!$A$202,0)+O20,"")</f>
        <v/>
      </c>
    </row>
    <row r="21" spans="1:16" x14ac:dyDescent="0.35">
      <c r="A21" t="str">
        <f>IF('Predictor Setup'!A9="",A20,'Predictor Setup'!A9)</f>
        <v>Facility</v>
      </c>
      <c r="B21" t="e">
        <f>MATCH($A21,'Predictor Setup'!$A$3:$A$202,0)</f>
        <v>#N/A</v>
      </c>
      <c r="C21" s="3" t="str">
        <f ca="1">IFERROR(MATCH($A21,INDIRECT("'Predictor Setup'!A"&amp;3+B21):'Predictor Setup'!$A$202,0)+B21,"")</f>
        <v/>
      </c>
      <c r="D21" s="3" t="str">
        <f ca="1">IFERROR(MATCH($A21,INDIRECT("'Predictor Setup'!A"&amp;3+C21):'Predictor Setup'!$A$202,0)+C21,"")</f>
        <v/>
      </c>
      <c r="E21" s="3" t="str">
        <f ca="1">IFERROR(MATCH($A21,INDIRECT("'Predictor Setup'!A"&amp;3+D21):'Predictor Setup'!$A$202,0)+D21,"")</f>
        <v/>
      </c>
      <c r="F21" s="3" t="str">
        <f ca="1">IFERROR(MATCH($A21,INDIRECT("'Predictor Setup'!A"&amp;3+E21):'Predictor Setup'!$A$202,0)+E21,"")</f>
        <v/>
      </c>
      <c r="G21" s="3" t="str">
        <f ca="1">IFERROR(MATCH($A21,INDIRECT("'Predictor Setup'!A"&amp;3+F21):'Predictor Setup'!$A$202,0)+F21,"")</f>
        <v/>
      </c>
      <c r="H21" s="3" t="str">
        <f ca="1">IFERROR(MATCH($A21,INDIRECT("'Predictor Setup'!A"&amp;3+G21):'Predictor Setup'!$A$202,0)+G21,"")</f>
        <v/>
      </c>
      <c r="I21" s="3" t="str">
        <f ca="1">IFERROR(MATCH($A21,INDIRECT("'Predictor Setup'!A"&amp;3+H21):'Predictor Setup'!$A$202,0)+H21,"")</f>
        <v/>
      </c>
      <c r="J21" s="3" t="str">
        <f ca="1">IFERROR(MATCH($A21,INDIRECT("'Predictor Setup'!A"&amp;3+I21):'Predictor Setup'!$A$202,0)+I21,"")</f>
        <v/>
      </c>
      <c r="K21" s="3" t="str">
        <f ca="1">IFERROR(MATCH($A21,INDIRECT("'Predictor Setup'!A"&amp;3+J21):'Predictor Setup'!$A$202,0)+J21,"")</f>
        <v/>
      </c>
      <c r="L21" s="3" t="str">
        <f ca="1">IFERROR(MATCH($A21,INDIRECT("'Predictor Setup'!A"&amp;3+K21):'Predictor Setup'!$A$202,0)+K21,"")</f>
        <v/>
      </c>
      <c r="M21" s="3" t="str">
        <f ca="1">IFERROR(MATCH($A21,INDIRECT("'Predictor Setup'!A"&amp;3+L21):'Predictor Setup'!$A$202,0)+L21,"")</f>
        <v/>
      </c>
      <c r="N21" s="3" t="str">
        <f ca="1">IFERROR(MATCH($A21,INDIRECT("'Predictor Setup'!A"&amp;3+M21):'Predictor Setup'!$A$202,0)+M21,"")</f>
        <v/>
      </c>
      <c r="O21" s="3" t="str">
        <f ca="1">IFERROR(MATCH($A21,INDIRECT("'Predictor Setup'!A"&amp;3+N21):'Predictor Setup'!$A$202,0)+N21,"")</f>
        <v/>
      </c>
      <c r="P21" s="3" t="str">
        <f ca="1">IFERROR(MATCH($A21,INDIRECT("'Predictor Setup'!A"&amp;3+O21):'Predictor Setup'!$A$202,0)+O21,"")</f>
        <v/>
      </c>
    </row>
    <row r="22" spans="1:16" x14ac:dyDescent="0.35">
      <c r="A22" t="str">
        <f>IF('Predictor Setup'!A10="",A21,'Predictor Setup'!A10)</f>
        <v>Facility</v>
      </c>
      <c r="B22" t="e">
        <f>MATCH($A22,'Predictor Setup'!$A$3:$A$202,0)</f>
        <v>#N/A</v>
      </c>
      <c r="C22" s="3" t="str">
        <f ca="1">IFERROR(MATCH($A22,INDIRECT("'Predictor Setup'!A"&amp;3+B22):'Predictor Setup'!$A$202,0)+B22,"")</f>
        <v/>
      </c>
      <c r="D22" s="3" t="str">
        <f ca="1">IFERROR(MATCH($A22,INDIRECT("'Predictor Setup'!A"&amp;3+C22):'Predictor Setup'!$A$202,0)+C22,"")</f>
        <v/>
      </c>
      <c r="E22" s="3" t="str">
        <f ca="1">IFERROR(MATCH($A22,INDIRECT("'Predictor Setup'!A"&amp;3+D22):'Predictor Setup'!$A$202,0)+D22,"")</f>
        <v/>
      </c>
      <c r="F22" s="3" t="str">
        <f ca="1">IFERROR(MATCH($A22,INDIRECT("'Predictor Setup'!A"&amp;3+E22):'Predictor Setup'!$A$202,0)+E22,"")</f>
        <v/>
      </c>
      <c r="G22" s="3" t="str">
        <f ca="1">IFERROR(MATCH($A22,INDIRECT("'Predictor Setup'!A"&amp;3+F22):'Predictor Setup'!$A$202,0)+F22,"")</f>
        <v/>
      </c>
      <c r="H22" s="3" t="str">
        <f ca="1">IFERROR(MATCH($A22,INDIRECT("'Predictor Setup'!A"&amp;3+G22):'Predictor Setup'!$A$202,0)+G22,"")</f>
        <v/>
      </c>
      <c r="I22" s="3" t="str">
        <f ca="1">IFERROR(MATCH($A22,INDIRECT("'Predictor Setup'!A"&amp;3+H22):'Predictor Setup'!$A$202,0)+H22,"")</f>
        <v/>
      </c>
      <c r="J22" s="3" t="str">
        <f ca="1">IFERROR(MATCH($A22,INDIRECT("'Predictor Setup'!A"&amp;3+I22):'Predictor Setup'!$A$202,0)+I22,"")</f>
        <v/>
      </c>
      <c r="K22" s="3" t="str">
        <f ca="1">IFERROR(MATCH($A22,INDIRECT("'Predictor Setup'!A"&amp;3+J22):'Predictor Setup'!$A$202,0)+J22,"")</f>
        <v/>
      </c>
      <c r="L22" s="3" t="str">
        <f ca="1">IFERROR(MATCH($A22,INDIRECT("'Predictor Setup'!A"&amp;3+K22):'Predictor Setup'!$A$202,0)+K22,"")</f>
        <v/>
      </c>
      <c r="M22" s="3" t="str">
        <f ca="1">IFERROR(MATCH($A22,INDIRECT("'Predictor Setup'!A"&amp;3+L22):'Predictor Setup'!$A$202,0)+L22,"")</f>
        <v/>
      </c>
      <c r="N22" s="3" t="str">
        <f ca="1">IFERROR(MATCH($A22,INDIRECT("'Predictor Setup'!A"&amp;3+M22):'Predictor Setup'!$A$202,0)+M22,"")</f>
        <v/>
      </c>
      <c r="O22" s="3" t="str">
        <f ca="1">IFERROR(MATCH($A22,INDIRECT("'Predictor Setup'!A"&amp;3+N22):'Predictor Setup'!$A$202,0)+N22,"")</f>
        <v/>
      </c>
      <c r="P22" s="3" t="str">
        <f ca="1">IFERROR(MATCH($A22,INDIRECT("'Predictor Setup'!A"&amp;3+O22):'Predictor Setup'!$A$202,0)+O22,"")</f>
        <v/>
      </c>
    </row>
    <row r="23" spans="1:16" x14ac:dyDescent="0.35">
      <c r="A23" t="str">
        <f>IF('Predictor Setup'!A11="",A22,'Predictor Setup'!A11)</f>
        <v>Facility</v>
      </c>
      <c r="B23" t="e">
        <f>MATCH($A23,'Predictor Setup'!$A$3:$A$202,0)</f>
        <v>#N/A</v>
      </c>
      <c r="C23" s="3" t="str">
        <f ca="1">IFERROR(MATCH($A23,INDIRECT("'Predictor Setup'!A"&amp;3+B23):'Predictor Setup'!$A$202,0)+B23,"")</f>
        <v/>
      </c>
      <c r="D23" s="3" t="str">
        <f ca="1">IFERROR(MATCH($A23,INDIRECT("'Predictor Setup'!A"&amp;3+C23):'Predictor Setup'!$A$202,0)+C23,"")</f>
        <v/>
      </c>
      <c r="E23" s="3" t="str">
        <f ca="1">IFERROR(MATCH($A23,INDIRECT("'Predictor Setup'!A"&amp;3+D23):'Predictor Setup'!$A$202,0)+D23,"")</f>
        <v/>
      </c>
      <c r="F23" s="3" t="str">
        <f ca="1">IFERROR(MATCH($A23,INDIRECT("'Predictor Setup'!A"&amp;3+E23):'Predictor Setup'!$A$202,0)+E23,"")</f>
        <v/>
      </c>
      <c r="G23" s="3" t="str">
        <f ca="1">IFERROR(MATCH($A23,INDIRECT("'Predictor Setup'!A"&amp;3+F23):'Predictor Setup'!$A$202,0)+F23,"")</f>
        <v/>
      </c>
      <c r="H23" s="3" t="str">
        <f ca="1">IFERROR(MATCH($A23,INDIRECT("'Predictor Setup'!A"&amp;3+G23):'Predictor Setup'!$A$202,0)+G23,"")</f>
        <v/>
      </c>
      <c r="I23" s="3" t="str">
        <f ca="1">IFERROR(MATCH($A23,INDIRECT("'Predictor Setup'!A"&amp;3+H23):'Predictor Setup'!$A$202,0)+H23,"")</f>
        <v/>
      </c>
      <c r="J23" s="3" t="str">
        <f ca="1">IFERROR(MATCH($A23,INDIRECT("'Predictor Setup'!A"&amp;3+I23):'Predictor Setup'!$A$202,0)+I23,"")</f>
        <v/>
      </c>
      <c r="K23" s="3" t="str">
        <f ca="1">IFERROR(MATCH($A23,INDIRECT("'Predictor Setup'!A"&amp;3+J23):'Predictor Setup'!$A$202,0)+J23,"")</f>
        <v/>
      </c>
      <c r="L23" s="3" t="str">
        <f ca="1">IFERROR(MATCH($A23,INDIRECT("'Predictor Setup'!A"&amp;3+K23):'Predictor Setup'!$A$202,0)+K23,"")</f>
        <v/>
      </c>
      <c r="M23" s="3" t="str">
        <f ca="1">IFERROR(MATCH($A23,INDIRECT("'Predictor Setup'!A"&amp;3+L23):'Predictor Setup'!$A$202,0)+L23,"")</f>
        <v/>
      </c>
      <c r="N23" s="3" t="str">
        <f ca="1">IFERROR(MATCH($A23,INDIRECT("'Predictor Setup'!A"&amp;3+M23):'Predictor Setup'!$A$202,0)+M23,"")</f>
        <v/>
      </c>
      <c r="O23" s="3" t="str">
        <f ca="1">IFERROR(MATCH($A23,INDIRECT("'Predictor Setup'!A"&amp;3+N23):'Predictor Setup'!$A$202,0)+N23,"")</f>
        <v/>
      </c>
      <c r="P23" s="3" t="str">
        <f ca="1">IFERROR(MATCH($A23,INDIRECT("'Predictor Setup'!A"&amp;3+O23):'Predictor Setup'!$A$202,0)+O23,"")</f>
        <v/>
      </c>
    </row>
    <row r="24" spans="1:16" x14ac:dyDescent="0.35">
      <c r="A24" t="str">
        <f>IF('Predictor Setup'!A12="",A23,'Predictor Setup'!A12)</f>
        <v>Facility</v>
      </c>
      <c r="B24" t="e">
        <f>MATCH($A24,'Predictor Setup'!$A$3:$A$202,0)</f>
        <v>#N/A</v>
      </c>
      <c r="C24" s="3" t="str">
        <f ca="1">IFERROR(MATCH($A24,INDIRECT("'Predictor Setup'!A"&amp;3+B24):'Predictor Setup'!$A$202,0)+B24,"")</f>
        <v/>
      </c>
      <c r="D24" s="3" t="str">
        <f ca="1">IFERROR(MATCH($A24,INDIRECT("'Predictor Setup'!A"&amp;3+C24):'Predictor Setup'!$A$202,0)+C24,"")</f>
        <v/>
      </c>
      <c r="E24" s="3" t="str">
        <f ca="1">IFERROR(MATCH($A24,INDIRECT("'Predictor Setup'!A"&amp;3+D24):'Predictor Setup'!$A$202,0)+D24,"")</f>
        <v/>
      </c>
      <c r="F24" s="3" t="str">
        <f ca="1">IFERROR(MATCH($A24,INDIRECT("'Predictor Setup'!A"&amp;3+E24):'Predictor Setup'!$A$202,0)+E24,"")</f>
        <v/>
      </c>
      <c r="G24" s="3" t="str">
        <f ca="1">IFERROR(MATCH($A24,INDIRECT("'Predictor Setup'!A"&amp;3+F24):'Predictor Setup'!$A$202,0)+F24,"")</f>
        <v/>
      </c>
      <c r="H24" s="3" t="str">
        <f ca="1">IFERROR(MATCH($A24,INDIRECT("'Predictor Setup'!A"&amp;3+G24):'Predictor Setup'!$A$202,0)+G24,"")</f>
        <v/>
      </c>
      <c r="I24" s="3" t="str">
        <f ca="1">IFERROR(MATCH($A24,INDIRECT("'Predictor Setup'!A"&amp;3+H24):'Predictor Setup'!$A$202,0)+H24,"")</f>
        <v/>
      </c>
      <c r="J24" s="3" t="str">
        <f ca="1">IFERROR(MATCH($A24,INDIRECT("'Predictor Setup'!A"&amp;3+I24):'Predictor Setup'!$A$202,0)+I24,"")</f>
        <v/>
      </c>
      <c r="K24" s="3" t="str">
        <f ca="1">IFERROR(MATCH($A24,INDIRECT("'Predictor Setup'!A"&amp;3+J24):'Predictor Setup'!$A$202,0)+J24,"")</f>
        <v/>
      </c>
      <c r="L24" s="3" t="str">
        <f ca="1">IFERROR(MATCH($A24,INDIRECT("'Predictor Setup'!A"&amp;3+K24):'Predictor Setup'!$A$202,0)+K24,"")</f>
        <v/>
      </c>
      <c r="M24" s="3" t="str">
        <f ca="1">IFERROR(MATCH($A24,INDIRECT("'Predictor Setup'!A"&amp;3+L24):'Predictor Setup'!$A$202,0)+L24,"")</f>
        <v/>
      </c>
      <c r="N24" s="3" t="str">
        <f ca="1">IFERROR(MATCH($A24,INDIRECT("'Predictor Setup'!A"&amp;3+M24):'Predictor Setup'!$A$202,0)+M24,"")</f>
        <v/>
      </c>
      <c r="O24" s="3" t="str">
        <f ca="1">IFERROR(MATCH($A24,INDIRECT("'Predictor Setup'!A"&amp;3+N24):'Predictor Setup'!$A$202,0)+N24,"")</f>
        <v/>
      </c>
      <c r="P24" s="3" t="str">
        <f ca="1">IFERROR(MATCH($A24,INDIRECT("'Predictor Setup'!A"&amp;3+O24):'Predictor Setup'!$A$202,0)+O24,"")</f>
        <v/>
      </c>
    </row>
    <row r="25" spans="1:16" x14ac:dyDescent="0.35">
      <c r="A25" t="str">
        <f>IF('Predictor Setup'!A13="",A24,'Predictor Setup'!A13)</f>
        <v>Facility</v>
      </c>
      <c r="B25" t="e">
        <f>MATCH($A25,'Predictor Setup'!$A$3:$A$202,0)</f>
        <v>#N/A</v>
      </c>
      <c r="C25" s="3" t="str">
        <f ca="1">IFERROR(MATCH($A25,INDIRECT("'Predictor Setup'!A"&amp;3+B25):'Predictor Setup'!$A$202,0)+B25,"")</f>
        <v/>
      </c>
      <c r="D25" s="3" t="str">
        <f ca="1">IFERROR(MATCH($A25,INDIRECT("'Predictor Setup'!A"&amp;3+C25):'Predictor Setup'!$A$202,0)+C25,"")</f>
        <v/>
      </c>
      <c r="E25" s="3" t="str">
        <f ca="1">IFERROR(MATCH($A25,INDIRECT("'Predictor Setup'!A"&amp;3+D25):'Predictor Setup'!$A$202,0)+D25,"")</f>
        <v/>
      </c>
      <c r="F25" s="3" t="str">
        <f ca="1">IFERROR(MATCH($A25,INDIRECT("'Predictor Setup'!A"&amp;3+E25):'Predictor Setup'!$A$202,0)+E25,"")</f>
        <v/>
      </c>
      <c r="G25" s="3" t="str">
        <f ca="1">IFERROR(MATCH($A25,INDIRECT("'Predictor Setup'!A"&amp;3+F25):'Predictor Setup'!$A$202,0)+F25,"")</f>
        <v/>
      </c>
      <c r="H25" s="3" t="str">
        <f ca="1">IFERROR(MATCH($A25,INDIRECT("'Predictor Setup'!A"&amp;3+G25):'Predictor Setup'!$A$202,0)+G25,"")</f>
        <v/>
      </c>
      <c r="I25" s="3" t="str">
        <f ca="1">IFERROR(MATCH($A25,INDIRECT("'Predictor Setup'!A"&amp;3+H25):'Predictor Setup'!$A$202,0)+H25,"")</f>
        <v/>
      </c>
      <c r="J25" s="3" t="str">
        <f ca="1">IFERROR(MATCH($A25,INDIRECT("'Predictor Setup'!A"&amp;3+I25):'Predictor Setup'!$A$202,0)+I25,"")</f>
        <v/>
      </c>
      <c r="K25" s="3" t="str">
        <f ca="1">IFERROR(MATCH($A25,INDIRECT("'Predictor Setup'!A"&amp;3+J25):'Predictor Setup'!$A$202,0)+J25,"")</f>
        <v/>
      </c>
      <c r="L25" s="3" t="str">
        <f ca="1">IFERROR(MATCH($A25,INDIRECT("'Predictor Setup'!A"&amp;3+K25):'Predictor Setup'!$A$202,0)+K25,"")</f>
        <v/>
      </c>
      <c r="M25" s="3" t="str">
        <f ca="1">IFERROR(MATCH($A25,INDIRECT("'Predictor Setup'!A"&amp;3+L25):'Predictor Setup'!$A$202,0)+L25,"")</f>
        <v/>
      </c>
      <c r="N25" s="3" t="str">
        <f ca="1">IFERROR(MATCH($A25,INDIRECT("'Predictor Setup'!A"&amp;3+M25):'Predictor Setup'!$A$202,0)+M25,"")</f>
        <v/>
      </c>
      <c r="O25" s="3" t="str">
        <f ca="1">IFERROR(MATCH($A25,INDIRECT("'Predictor Setup'!A"&amp;3+N25):'Predictor Setup'!$A$202,0)+N25,"")</f>
        <v/>
      </c>
      <c r="P25" s="3" t="str">
        <f ca="1">IFERROR(MATCH($A25,INDIRECT("'Predictor Setup'!A"&amp;3+O25):'Predictor Setup'!$A$202,0)+O25,"")</f>
        <v/>
      </c>
    </row>
    <row r="26" spans="1:16" x14ac:dyDescent="0.35">
      <c r="A26" t="str">
        <f>IF('Predictor Setup'!A14="",A25,'Predictor Setup'!A14)</f>
        <v>Facility</v>
      </c>
      <c r="B26" t="e">
        <f>MATCH($A26,'Predictor Setup'!$A$3:$A$202,0)</f>
        <v>#N/A</v>
      </c>
      <c r="C26" s="3" t="str">
        <f ca="1">IFERROR(MATCH($A26,INDIRECT("'Predictor Setup'!A"&amp;3+B26):'Predictor Setup'!$A$202,0)+B26,"")</f>
        <v/>
      </c>
      <c r="D26" s="3" t="str">
        <f ca="1">IFERROR(MATCH($A26,INDIRECT("'Predictor Setup'!A"&amp;3+C26):'Predictor Setup'!$A$202,0)+C26,"")</f>
        <v/>
      </c>
      <c r="E26" s="3" t="str">
        <f ca="1">IFERROR(MATCH($A26,INDIRECT("'Predictor Setup'!A"&amp;3+D26):'Predictor Setup'!$A$202,0)+D26,"")</f>
        <v/>
      </c>
      <c r="F26" s="3" t="str">
        <f ca="1">IFERROR(MATCH($A26,INDIRECT("'Predictor Setup'!A"&amp;3+E26):'Predictor Setup'!$A$202,0)+E26,"")</f>
        <v/>
      </c>
      <c r="G26" s="3" t="str">
        <f ca="1">IFERROR(MATCH($A26,INDIRECT("'Predictor Setup'!A"&amp;3+F26):'Predictor Setup'!$A$202,0)+F26,"")</f>
        <v/>
      </c>
      <c r="H26" s="3" t="str">
        <f ca="1">IFERROR(MATCH($A26,INDIRECT("'Predictor Setup'!A"&amp;3+G26):'Predictor Setup'!$A$202,0)+G26,"")</f>
        <v/>
      </c>
      <c r="I26" s="3" t="str">
        <f ca="1">IFERROR(MATCH($A26,INDIRECT("'Predictor Setup'!A"&amp;3+H26):'Predictor Setup'!$A$202,0)+H26,"")</f>
        <v/>
      </c>
      <c r="J26" s="3" t="str">
        <f ca="1">IFERROR(MATCH($A26,INDIRECT("'Predictor Setup'!A"&amp;3+I26):'Predictor Setup'!$A$202,0)+I26,"")</f>
        <v/>
      </c>
      <c r="K26" s="3" t="str">
        <f ca="1">IFERROR(MATCH($A26,INDIRECT("'Predictor Setup'!A"&amp;3+J26):'Predictor Setup'!$A$202,0)+J26,"")</f>
        <v/>
      </c>
      <c r="L26" s="3" t="str">
        <f ca="1">IFERROR(MATCH($A26,INDIRECT("'Predictor Setup'!A"&amp;3+K26):'Predictor Setup'!$A$202,0)+K26,"")</f>
        <v/>
      </c>
      <c r="M26" s="3" t="str">
        <f ca="1">IFERROR(MATCH($A26,INDIRECT("'Predictor Setup'!A"&amp;3+L26):'Predictor Setup'!$A$202,0)+L26,"")</f>
        <v/>
      </c>
      <c r="N26" s="3" t="str">
        <f ca="1">IFERROR(MATCH($A26,INDIRECT("'Predictor Setup'!A"&amp;3+M26):'Predictor Setup'!$A$202,0)+M26,"")</f>
        <v/>
      </c>
      <c r="O26" s="3" t="str">
        <f ca="1">IFERROR(MATCH($A26,INDIRECT("'Predictor Setup'!A"&amp;3+N26):'Predictor Setup'!$A$202,0)+N26,"")</f>
        <v/>
      </c>
      <c r="P26" s="3" t="str">
        <f ca="1">IFERROR(MATCH($A26,INDIRECT("'Predictor Setup'!A"&amp;3+O26):'Predictor Setup'!$A$202,0)+O26,"")</f>
        <v/>
      </c>
    </row>
    <row r="27" spans="1:16" x14ac:dyDescent="0.35">
      <c r="A27" t="str">
        <f>IF('Predictor Setup'!A15="",A26,'Predictor Setup'!A15)</f>
        <v>Facility</v>
      </c>
      <c r="B27" t="e">
        <f>MATCH($A27,'Predictor Setup'!$A$3:$A$202,0)</f>
        <v>#N/A</v>
      </c>
      <c r="C27" s="3" t="str">
        <f ca="1">IFERROR(MATCH($A27,INDIRECT("'Predictor Setup'!A"&amp;3+B27):'Predictor Setup'!$A$202,0)+B27,"")</f>
        <v/>
      </c>
      <c r="D27" s="3" t="str">
        <f ca="1">IFERROR(MATCH($A27,INDIRECT("'Predictor Setup'!A"&amp;3+C27):'Predictor Setup'!$A$202,0)+C27,"")</f>
        <v/>
      </c>
      <c r="E27" s="3" t="str">
        <f ca="1">IFERROR(MATCH($A27,INDIRECT("'Predictor Setup'!A"&amp;3+D27):'Predictor Setup'!$A$202,0)+D27,"")</f>
        <v/>
      </c>
      <c r="F27" s="3" t="str">
        <f ca="1">IFERROR(MATCH($A27,INDIRECT("'Predictor Setup'!A"&amp;3+E27):'Predictor Setup'!$A$202,0)+E27,"")</f>
        <v/>
      </c>
      <c r="G27" s="3" t="str">
        <f ca="1">IFERROR(MATCH($A27,INDIRECT("'Predictor Setup'!A"&amp;3+F27):'Predictor Setup'!$A$202,0)+F27,"")</f>
        <v/>
      </c>
      <c r="H27" s="3" t="str">
        <f ca="1">IFERROR(MATCH($A27,INDIRECT("'Predictor Setup'!A"&amp;3+G27):'Predictor Setup'!$A$202,0)+G27,"")</f>
        <v/>
      </c>
      <c r="I27" s="3" t="str">
        <f ca="1">IFERROR(MATCH($A27,INDIRECT("'Predictor Setup'!A"&amp;3+H27):'Predictor Setup'!$A$202,0)+H27,"")</f>
        <v/>
      </c>
      <c r="J27" s="3" t="str">
        <f ca="1">IFERROR(MATCH($A27,INDIRECT("'Predictor Setup'!A"&amp;3+I27):'Predictor Setup'!$A$202,0)+I27,"")</f>
        <v/>
      </c>
      <c r="K27" s="3" t="str">
        <f ca="1">IFERROR(MATCH($A27,INDIRECT("'Predictor Setup'!A"&amp;3+J27):'Predictor Setup'!$A$202,0)+J27,"")</f>
        <v/>
      </c>
      <c r="L27" s="3" t="str">
        <f ca="1">IFERROR(MATCH($A27,INDIRECT("'Predictor Setup'!A"&amp;3+K27):'Predictor Setup'!$A$202,0)+K27,"")</f>
        <v/>
      </c>
      <c r="M27" s="3" t="str">
        <f ca="1">IFERROR(MATCH($A27,INDIRECT("'Predictor Setup'!A"&amp;3+L27):'Predictor Setup'!$A$202,0)+L27,"")</f>
        <v/>
      </c>
      <c r="N27" s="3" t="str">
        <f ca="1">IFERROR(MATCH($A27,INDIRECT("'Predictor Setup'!A"&amp;3+M27):'Predictor Setup'!$A$202,0)+M27,"")</f>
        <v/>
      </c>
      <c r="O27" s="3" t="str">
        <f ca="1">IFERROR(MATCH($A27,INDIRECT("'Predictor Setup'!A"&amp;3+N27):'Predictor Setup'!$A$202,0)+N27,"")</f>
        <v/>
      </c>
      <c r="P27" s="3" t="str">
        <f ca="1">IFERROR(MATCH($A27,INDIRECT("'Predictor Setup'!A"&amp;3+O27):'Predictor Setup'!$A$202,0)+O27,"")</f>
        <v/>
      </c>
    </row>
    <row r="28" spans="1:16" x14ac:dyDescent="0.35">
      <c r="A28" t="str">
        <f>IF('Predictor Setup'!A16="",A27,'Predictor Setup'!A16)</f>
        <v>Facility</v>
      </c>
      <c r="B28" t="e">
        <f>MATCH($A28,'Predictor Setup'!$A$3:$A$202,0)</f>
        <v>#N/A</v>
      </c>
      <c r="C28" s="3" t="str">
        <f ca="1">IFERROR(MATCH($A28,INDIRECT("'Predictor Setup'!A"&amp;3+B28):'Predictor Setup'!$A$202,0)+B28,"")</f>
        <v/>
      </c>
      <c r="D28" s="3" t="str">
        <f ca="1">IFERROR(MATCH($A28,INDIRECT("'Predictor Setup'!A"&amp;3+C28):'Predictor Setup'!$A$202,0)+C28,"")</f>
        <v/>
      </c>
      <c r="E28" s="3" t="str">
        <f ca="1">IFERROR(MATCH($A28,INDIRECT("'Predictor Setup'!A"&amp;3+D28):'Predictor Setup'!$A$202,0)+D28,"")</f>
        <v/>
      </c>
      <c r="F28" s="3" t="str">
        <f ca="1">IFERROR(MATCH($A28,INDIRECT("'Predictor Setup'!A"&amp;3+E28):'Predictor Setup'!$A$202,0)+E28,"")</f>
        <v/>
      </c>
      <c r="G28" s="3" t="str">
        <f ca="1">IFERROR(MATCH($A28,INDIRECT("'Predictor Setup'!A"&amp;3+F28):'Predictor Setup'!$A$202,0)+F28,"")</f>
        <v/>
      </c>
      <c r="H28" s="3" t="str">
        <f ca="1">IFERROR(MATCH($A28,INDIRECT("'Predictor Setup'!A"&amp;3+G28):'Predictor Setup'!$A$202,0)+G28,"")</f>
        <v/>
      </c>
      <c r="I28" s="3" t="str">
        <f ca="1">IFERROR(MATCH($A28,INDIRECT("'Predictor Setup'!A"&amp;3+H28):'Predictor Setup'!$A$202,0)+H28,"")</f>
        <v/>
      </c>
      <c r="J28" s="3" t="str">
        <f ca="1">IFERROR(MATCH($A28,INDIRECT("'Predictor Setup'!A"&amp;3+I28):'Predictor Setup'!$A$202,0)+I28,"")</f>
        <v/>
      </c>
      <c r="K28" s="3" t="str">
        <f ca="1">IFERROR(MATCH($A28,INDIRECT("'Predictor Setup'!A"&amp;3+J28):'Predictor Setup'!$A$202,0)+J28,"")</f>
        <v/>
      </c>
      <c r="L28" s="3" t="str">
        <f ca="1">IFERROR(MATCH($A28,INDIRECT("'Predictor Setup'!A"&amp;3+K28):'Predictor Setup'!$A$202,0)+K28,"")</f>
        <v/>
      </c>
      <c r="M28" s="3" t="str">
        <f ca="1">IFERROR(MATCH($A28,INDIRECT("'Predictor Setup'!A"&amp;3+L28):'Predictor Setup'!$A$202,0)+L28,"")</f>
        <v/>
      </c>
      <c r="N28" s="3" t="str">
        <f ca="1">IFERROR(MATCH($A28,INDIRECT("'Predictor Setup'!A"&amp;3+M28):'Predictor Setup'!$A$202,0)+M28,"")</f>
        <v/>
      </c>
      <c r="O28" s="3" t="str">
        <f ca="1">IFERROR(MATCH($A28,INDIRECT("'Predictor Setup'!A"&amp;3+N28):'Predictor Setup'!$A$202,0)+N28,"")</f>
        <v/>
      </c>
      <c r="P28" s="3" t="str">
        <f ca="1">IFERROR(MATCH($A28,INDIRECT("'Predictor Setup'!A"&amp;3+O28):'Predictor Setup'!$A$202,0)+O28,"")</f>
        <v/>
      </c>
    </row>
    <row r="29" spans="1:16" x14ac:dyDescent="0.35">
      <c r="A29" t="str">
        <f>IF('Predictor Setup'!A17="",A28,'Predictor Setup'!A17)</f>
        <v>Facility</v>
      </c>
      <c r="B29" t="e">
        <f>MATCH($A29,'Predictor Setup'!$A$3:$A$202,0)</f>
        <v>#N/A</v>
      </c>
      <c r="C29" s="3" t="str">
        <f ca="1">IFERROR(MATCH($A29,INDIRECT("'Predictor Setup'!A"&amp;3+B29):'Predictor Setup'!$A$202,0)+B29,"")</f>
        <v/>
      </c>
      <c r="D29" s="3" t="str">
        <f ca="1">IFERROR(MATCH($A29,INDIRECT("'Predictor Setup'!A"&amp;3+C29):'Predictor Setup'!$A$202,0)+C29,"")</f>
        <v/>
      </c>
      <c r="E29" s="3" t="str">
        <f ca="1">IFERROR(MATCH($A29,INDIRECT("'Predictor Setup'!A"&amp;3+D29):'Predictor Setup'!$A$202,0)+D29,"")</f>
        <v/>
      </c>
      <c r="F29" s="3" t="str">
        <f ca="1">IFERROR(MATCH($A29,INDIRECT("'Predictor Setup'!A"&amp;3+E29):'Predictor Setup'!$A$202,0)+E29,"")</f>
        <v/>
      </c>
      <c r="G29" s="3" t="str">
        <f ca="1">IFERROR(MATCH($A29,INDIRECT("'Predictor Setup'!A"&amp;3+F29):'Predictor Setup'!$A$202,0)+F29,"")</f>
        <v/>
      </c>
      <c r="H29" s="3" t="str">
        <f ca="1">IFERROR(MATCH($A29,INDIRECT("'Predictor Setup'!A"&amp;3+G29):'Predictor Setup'!$A$202,0)+G29,"")</f>
        <v/>
      </c>
      <c r="I29" s="3" t="str">
        <f ca="1">IFERROR(MATCH($A29,INDIRECT("'Predictor Setup'!A"&amp;3+H29):'Predictor Setup'!$A$202,0)+H29,"")</f>
        <v/>
      </c>
      <c r="J29" s="3" t="str">
        <f ca="1">IFERROR(MATCH($A29,INDIRECT("'Predictor Setup'!A"&amp;3+I29):'Predictor Setup'!$A$202,0)+I29,"")</f>
        <v/>
      </c>
      <c r="K29" s="3" t="str">
        <f ca="1">IFERROR(MATCH($A29,INDIRECT("'Predictor Setup'!A"&amp;3+J29):'Predictor Setup'!$A$202,0)+J29,"")</f>
        <v/>
      </c>
      <c r="L29" s="3" t="str">
        <f ca="1">IFERROR(MATCH($A29,INDIRECT("'Predictor Setup'!A"&amp;3+K29):'Predictor Setup'!$A$202,0)+K29,"")</f>
        <v/>
      </c>
      <c r="M29" s="3" t="str">
        <f ca="1">IFERROR(MATCH($A29,INDIRECT("'Predictor Setup'!A"&amp;3+L29):'Predictor Setup'!$A$202,0)+L29,"")</f>
        <v/>
      </c>
      <c r="N29" s="3" t="str">
        <f ca="1">IFERROR(MATCH($A29,INDIRECT("'Predictor Setup'!A"&amp;3+M29):'Predictor Setup'!$A$202,0)+M29,"")</f>
        <v/>
      </c>
      <c r="O29" s="3" t="str">
        <f ca="1">IFERROR(MATCH($A29,INDIRECT("'Predictor Setup'!A"&amp;3+N29):'Predictor Setup'!$A$202,0)+N29,"")</f>
        <v/>
      </c>
      <c r="P29" s="3" t="str">
        <f ca="1">IFERROR(MATCH($A29,INDIRECT("'Predictor Setup'!A"&amp;3+O29):'Predictor Setup'!$A$202,0)+O29,"")</f>
        <v/>
      </c>
    </row>
    <row r="30" spans="1:16" x14ac:dyDescent="0.35">
      <c r="A30" t="str">
        <f>IF('Predictor Setup'!A18="",A29,'Predictor Setup'!A18)</f>
        <v>Facility</v>
      </c>
      <c r="B30" t="e">
        <f>MATCH($A30,'Predictor Setup'!$A$3:$A$202,0)</f>
        <v>#N/A</v>
      </c>
      <c r="C30" s="3" t="str">
        <f ca="1">IFERROR(MATCH($A30,INDIRECT("'Predictor Setup'!A"&amp;3+B30):'Predictor Setup'!$A$202,0)+B30,"")</f>
        <v/>
      </c>
      <c r="D30" s="3" t="str">
        <f ca="1">IFERROR(MATCH($A30,INDIRECT("'Predictor Setup'!A"&amp;3+C30):'Predictor Setup'!$A$202,0)+C30,"")</f>
        <v/>
      </c>
      <c r="E30" s="3" t="str">
        <f ca="1">IFERROR(MATCH($A30,INDIRECT("'Predictor Setup'!A"&amp;3+D30):'Predictor Setup'!$A$202,0)+D30,"")</f>
        <v/>
      </c>
      <c r="F30" s="3" t="str">
        <f ca="1">IFERROR(MATCH($A30,INDIRECT("'Predictor Setup'!A"&amp;3+E30):'Predictor Setup'!$A$202,0)+E30,"")</f>
        <v/>
      </c>
      <c r="G30" s="3" t="str">
        <f ca="1">IFERROR(MATCH($A30,INDIRECT("'Predictor Setup'!A"&amp;3+F30):'Predictor Setup'!$A$202,0)+F30,"")</f>
        <v/>
      </c>
      <c r="H30" s="3" t="str">
        <f ca="1">IFERROR(MATCH($A30,INDIRECT("'Predictor Setup'!A"&amp;3+G30):'Predictor Setup'!$A$202,0)+G30,"")</f>
        <v/>
      </c>
      <c r="I30" s="3" t="str">
        <f ca="1">IFERROR(MATCH($A30,INDIRECT("'Predictor Setup'!A"&amp;3+H30):'Predictor Setup'!$A$202,0)+H30,"")</f>
        <v/>
      </c>
      <c r="J30" s="3" t="str">
        <f ca="1">IFERROR(MATCH($A30,INDIRECT("'Predictor Setup'!A"&amp;3+I30):'Predictor Setup'!$A$202,0)+I30,"")</f>
        <v/>
      </c>
      <c r="K30" s="3" t="str">
        <f ca="1">IFERROR(MATCH($A30,INDIRECT("'Predictor Setup'!A"&amp;3+J30):'Predictor Setup'!$A$202,0)+J30,"")</f>
        <v/>
      </c>
      <c r="L30" s="3" t="str">
        <f ca="1">IFERROR(MATCH($A30,INDIRECT("'Predictor Setup'!A"&amp;3+K30):'Predictor Setup'!$A$202,0)+K30,"")</f>
        <v/>
      </c>
      <c r="M30" s="3" t="str">
        <f ca="1">IFERROR(MATCH($A30,INDIRECT("'Predictor Setup'!A"&amp;3+L30):'Predictor Setup'!$A$202,0)+L30,"")</f>
        <v/>
      </c>
      <c r="N30" s="3" t="str">
        <f ca="1">IFERROR(MATCH($A30,INDIRECT("'Predictor Setup'!A"&amp;3+M30):'Predictor Setup'!$A$202,0)+M30,"")</f>
        <v/>
      </c>
      <c r="O30" s="3" t="str">
        <f ca="1">IFERROR(MATCH($A30,INDIRECT("'Predictor Setup'!A"&amp;3+N30):'Predictor Setup'!$A$202,0)+N30,"")</f>
        <v/>
      </c>
      <c r="P30" s="3" t="str">
        <f ca="1">IFERROR(MATCH($A30,INDIRECT("'Predictor Setup'!A"&amp;3+O30):'Predictor Setup'!$A$202,0)+O30,"")</f>
        <v/>
      </c>
    </row>
    <row r="31" spans="1:16" x14ac:dyDescent="0.35">
      <c r="A31" t="str">
        <f>IF('Predictor Setup'!A19="",A30,'Predictor Setup'!A19)</f>
        <v>Facility</v>
      </c>
      <c r="B31" t="e">
        <f>MATCH($A31,'Predictor Setup'!$A$3:$A$202,0)</f>
        <v>#N/A</v>
      </c>
      <c r="C31" s="3" t="str">
        <f ca="1">IFERROR(MATCH($A31,INDIRECT("'Predictor Setup'!A"&amp;3+B31):'Predictor Setup'!$A$202,0)+B31,"")</f>
        <v/>
      </c>
      <c r="D31" s="3" t="str">
        <f ca="1">IFERROR(MATCH($A31,INDIRECT("'Predictor Setup'!A"&amp;3+C31):'Predictor Setup'!$A$202,0)+C31,"")</f>
        <v/>
      </c>
      <c r="E31" s="3" t="str">
        <f ca="1">IFERROR(MATCH($A31,INDIRECT("'Predictor Setup'!A"&amp;3+D31):'Predictor Setup'!$A$202,0)+D31,"")</f>
        <v/>
      </c>
      <c r="F31" s="3" t="str">
        <f ca="1">IFERROR(MATCH($A31,INDIRECT("'Predictor Setup'!A"&amp;3+E31):'Predictor Setup'!$A$202,0)+E31,"")</f>
        <v/>
      </c>
      <c r="G31" s="3" t="str">
        <f ca="1">IFERROR(MATCH($A31,INDIRECT("'Predictor Setup'!A"&amp;3+F31):'Predictor Setup'!$A$202,0)+F31,"")</f>
        <v/>
      </c>
      <c r="H31" s="3" t="str">
        <f ca="1">IFERROR(MATCH($A31,INDIRECT("'Predictor Setup'!A"&amp;3+G31):'Predictor Setup'!$A$202,0)+G31,"")</f>
        <v/>
      </c>
      <c r="I31" s="3" t="str">
        <f ca="1">IFERROR(MATCH($A31,INDIRECT("'Predictor Setup'!A"&amp;3+H31):'Predictor Setup'!$A$202,0)+H31,"")</f>
        <v/>
      </c>
      <c r="J31" s="3" t="str">
        <f ca="1">IFERROR(MATCH($A31,INDIRECT("'Predictor Setup'!A"&amp;3+I31):'Predictor Setup'!$A$202,0)+I31,"")</f>
        <v/>
      </c>
      <c r="K31" s="3" t="str">
        <f ca="1">IFERROR(MATCH($A31,INDIRECT("'Predictor Setup'!A"&amp;3+J31):'Predictor Setup'!$A$202,0)+J31,"")</f>
        <v/>
      </c>
      <c r="L31" s="3" t="str">
        <f ca="1">IFERROR(MATCH($A31,INDIRECT("'Predictor Setup'!A"&amp;3+K31):'Predictor Setup'!$A$202,0)+K31,"")</f>
        <v/>
      </c>
      <c r="M31" s="3" t="str">
        <f ca="1">IFERROR(MATCH($A31,INDIRECT("'Predictor Setup'!A"&amp;3+L31):'Predictor Setup'!$A$202,0)+L31,"")</f>
        <v/>
      </c>
      <c r="N31" s="3" t="str">
        <f ca="1">IFERROR(MATCH($A31,INDIRECT("'Predictor Setup'!A"&amp;3+M31):'Predictor Setup'!$A$202,0)+M31,"")</f>
        <v/>
      </c>
      <c r="O31" s="3" t="str">
        <f ca="1">IFERROR(MATCH($A31,INDIRECT("'Predictor Setup'!A"&amp;3+N31):'Predictor Setup'!$A$202,0)+N31,"")</f>
        <v/>
      </c>
      <c r="P31" s="3" t="str">
        <f ca="1">IFERROR(MATCH($A31,INDIRECT("'Predictor Setup'!A"&amp;3+O31):'Predictor Setup'!$A$202,0)+O31,"")</f>
        <v/>
      </c>
    </row>
    <row r="32" spans="1:16" x14ac:dyDescent="0.35">
      <c r="A32" t="str">
        <f>IF('Predictor Setup'!A20="",A31,'Predictor Setup'!A20)</f>
        <v>Facility</v>
      </c>
      <c r="B32" t="e">
        <f>MATCH($A32,'Predictor Setup'!$A$3:$A$202,0)</f>
        <v>#N/A</v>
      </c>
      <c r="C32" s="3" t="str">
        <f ca="1">IFERROR(MATCH($A32,INDIRECT("'Predictor Setup'!A"&amp;3+B32):'Predictor Setup'!$A$202,0)+B32,"")</f>
        <v/>
      </c>
      <c r="D32" s="3" t="str">
        <f ca="1">IFERROR(MATCH($A32,INDIRECT("'Predictor Setup'!A"&amp;3+C32):'Predictor Setup'!$A$202,0)+C32,"")</f>
        <v/>
      </c>
      <c r="E32" s="3" t="str">
        <f ca="1">IFERROR(MATCH($A32,INDIRECT("'Predictor Setup'!A"&amp;3+D32):'Predictor Setup'!$A$202,0)+D32,"")</f>
        <v/>
      </c>
      <c r="F32" s="3" t="str">
        <f ca="1">IFERROR(MATCH($A32,INDIRECT("'Predictor Setup'!A"&amp;3+E32):'Predictor Setup'!$A$202,0)+E32,"")</f>
        <v/>
      </c>
      <c r="G32" s="3" t="str">
        <f ca="1">IFERROR(MATCH($A32,INDIRECT("'Predictor Setup'!A"&amp;3+F32):'Predictor Setup'!$A$202,0)+F32,"")</f>
        <v/>
      </c>
      <c r="H32" s="3" t="str">
        <f ca="1">IFERROR(MATCH($A32,INDIRECT("'Predictor Setup'!A"&amp;3+G32):'Predictor Setup'!$A$202,0)+G32,"")</f>
        <v/>
      </c>
      <c r="I32" s="3" t="str">
        <f ca="1">IFERROR(MATCH($A32,INDIRECT("'Predictor Setup'!A"&amp;3+H32):'Predictor Setup'!$A$202,0)+H32,"")</f>
        <v/>
      </c>
      <c r="J32" s="3" t="str">
        <f ca="1">IFERROR(MATCH($A32,INDIRECT("'Predictor Setup'!A"&amp;3+I32):'Predictor Setup'!$A$202,0)+I32,"")</f>
        <v/>
      </c>
      <c r="K32" s="3" t="str">
        <f ca="1">IFERROR(MATCH($A32,INDIRECT("'Predictor Setup'!A"&amp;3+J32):'Predictor Setup'!$A$202,0)+J32,"")</f>
        <v/>
      </c>
      <c r="L32" s="3" t="str">
        <f ca="1">IFERROR(MATCH($A32,INDIRECT("'Predictor Setup'!A"&amp;3+K32):'Predictor Setup'!$A$202,0)+K32,"")</f>
        <v/>
      </c>
      <c r="M32" s="3" t="str">
        <f ca="1">IFERROR(MATCH($A32,INDIRECT("'Predictor Setup'!A"&amp;3+L32):'Predictor Setup'!$A$202,0)+L32,"")</f>
        <v/>
      </c>
      <c r="N32" s="3" t="str">
        <f ca="1">IFERROR(MATCH($A32,INDIRECT("'Predictor Setup'!A"&amp;3+M32):'Predictor Setup'!$A$202,0)+M32,"")</f>
        <v/>
      </c>
      <c r="O32" s="3" t="str">
        <f ca="1">IFERROR(MATCH($A32,INDIRECT("'Predictor Setup'!A"&amp;3+N32):'Predictor Setup'!$A$202,0)+N32,"")</f>
        <v/>
      </c>
      <c r="P32" s="3" t="str">
        <f ca="1">IFERROR(MATCH($A32,INDIRECT("'Predictor Setup'!A"&amp;3+O32):'Predictor Setup'!$A$202,0)+O32,"")</f>
        <v/>
      </c>
    </row>
    <row r="33" spans="1:16" x14ac:dyDescent="0.35">
      <c r="A33" t="str">
        <f>IF('Predictor Setup'!A21="",A32,'Predictor Setup'!A21)</f>
        <v>Facility</v>
      </c>
      <c r="B33" t="e">
        <f>MATCH($A33,'Predictor Setup'!$A$3:$A$202,0)</f>
        <v>#N/A</v>
      </c>
      <c r="C33" s="3" t="str">
        <f ca="1">IFERROR(MATCH($A33,INDIRECT("'Predictor Setup'!A"&amp;3+B33):'Predictor Setup'!$A$202,0)+B33,"")</f>
        <v/>
      </c>
      <c r="D33" s="3" t="str">
        <f ca="1">IFERROR(MATCH($A33,INDIRECT("'Predictor Setup'!A"&amp;3+C33):'Predictor Setup'!$A$202,0)+C33,"")</f>
        <v/>
      </c>
      <c r="E33" s="3" t="str">
        <f ca="1">IFERROR(MATCH($A33,INDIRECT("'Predictor Setup'!A"&amp;3+D33):'Predictor Setup'!$A$202,0)+D33,"")</f>
        <v/>
      </c>
      <c r="F33" s="3" t="str">
        <f ca="1">IFERROR(MATCH($A33,INDIRECT("'Predictor Setup'!A"&amp;3+E33):'Predictor Setup'!$A$202,0)+E33,"")</f>
        <v/>
      </c>
      <c r="G33" s="3" t="str">
        <f ca="1">IFERROR(MATCH($A33,INDIRECT("'Predictor Setup'!A"&amp;3+F33):'Predictor Setup'!$A$202,0)+F33,"")</f>
        <v/>
      </c>
      <c r="H33" s="3" t="str">
        <f ca="1">IFERROR(MATCH($A33,INDIRECT("'Predictor Setup'!A"&amp;3+G33):'Predictor Setup'!$A$202,0)+G33,"")</f>
        <v/>
      </c>
      <c r="I33" s="3" t="str">
        <f ca="1">IFERROR(MATCH($A33,INDIRECT("'Predictor Setup'!A"&amp;3+H33):'Predictor Setup'!$A$202,0)+H33,"")</f>
        <v/>
      </c>
      <c r="J33" s="3" t="str">
        <f ca="1">IFERROR(MATCH($A33,INDIRECT("'Predictor Setup'!A"&amp;3+I33):'Predictor Setup'!$A$202,0)+I33,"")</f>
        <v/>
      </c>
      <c r="K33" s="3" t="str">
        <f ca="1">IFERROR(MATCH($A33,INDIRECT("'Predictor Setup'!A"&amp;3+J33):'Predictor Setup'!$A$202,0)+J33,"")</f>
        <v/>
      </c>
      <c r="L33" s="3" t="str">
        <f ca="1">IFERROR(MATCH($A33,INDIRECT("'Predictor Setup'!A"&amp;3+K33):'Predictor Setup'!$A$202,0)+K33,"")</f>
        <v/>
      </c>
      <c r="M33" s="3" t="str">
        <f ca="1">IFERROR(MATCH($A33,INDIRECT("'Predictor Setup'!A"&amp;3+L33):'Predictor Setup'!$A$202,0)+L33,"")</f>
        <v/>
      </c>
      <c r="N33" s="3" t="str">
        <f ca="1">IFERROR(MATCH($A33,INDIRECT("'Predictor Setup'!A"&amp;3+M33):'Predictor Setup'!$A$202,0)+M33,"")</f>
        <v/>
      </c>
      <c r="O33" s="3" t="str">
        <f ca="1">IFERROR(MATCH($A33,INDIRECT("'Predictor Setup'!A"&amp;3+N33):'Predictor Setup'!$A$202,0)+N33,"")</f>
        <v/>
      </c>
      <c r="P33" s="3" t="str">
        <f ca="1">IFERROR(MATCH($A33,INDIRECT("'Predictor Setup'!A"&amp;3+O33):'Predictor Setup'!$A$202,0)+O33,"")</f>
        <v/>
      </c>
    </row>
    <row r="34" spans="1:16" x14ac:dyDescent="0.35">
      <c r="A34" t="str">
        <f>IF('Predictor Setup'!A22="",A33,'Predictor Setup'!A22)</f>
        <v>Facility</v>
      </c>
      <c r="B34" t="e">
        <f>MATCH($A34,'Predictor Setup'!$A$3:$A$202,0)</f>
        <v>#N/A</v>
      </c>
      <c r="C34" s="3" t="str">
        <f ca="1">IFERROR(MATCH($A34,INDIRECT("'Predictor Setup'!A"&amp;3+B34):'Predictor Setup'!$A$202,0)+B34,"")</f>
        <v/>
      </c>
      <c r="D34" s="3" t="str">
        <f ca="1">IFERROR(MATCH($A34,INDIRECT("'Predictor Setup'!A"&amp;3+C34):'Predictor Setup'!$A$202,0)+C34,"")</f>
        <v/>
      </c>
      <c r="E34" s="3" t="str">
        <f ca="1">IFERROR(MATCH($A34,INDIRECT("'Predictor Setup'!A"&amp;3+D34):'Predictor Setup'!$A$202,0)+D34,"")</f>
        <v/>
      </c>
      <c r="F34" s="3" t="str">
        <f ca="1">IFERROR(MATCH($A34,INDIRECT("'Predictor Setup'!A"&amp;3+E34):'Predictor Setup'!$A$202,0)+E34,"")</f>
        <v/>
      </c>
      <c r="G34" s="3" t="str">
        <f ca="1">IFERROR(MATCH($A34,INDIRECT("'Predictor Setup'!A"&amp;3+F34):'Predictor Setup'!$A$202,0)+F34,"")</f>
        <v/>
      </c>
      <c r="H34" s="3" t="str">
        <f ca="1">IFERROR(MATCH($A34,INDIRECT("'Predictor Setup'!A"&amp;3+G34):'Predictor Setup'!$A$202,0)+G34,"")</f>
        <v/>
      </c>
      <c r="I34" s="3" t="str">
        <f ca="1">IFERROR(MATCH($A34,INDIRECT("'Predictor Setup'!A"&amp;3+H34):'Predictor Setup'!$A$202,0)+H34,"")</f>
        <v/>
      </c>
      <c r="J34" s="3" t="str">
        <f ca="1">IFERROR(MATCH($A34,INDIRECT("'Predictor Setup'!A"&amp;3+I34):'Predictor Setup'!$A$202,0)+I34,"")</f>
        <v/>
      </c>
      <c r="K34" s="3" t="str">
        <f ca="1">IFERROR(MATCH($A34,INDIRECT("'Predictor Setup'!A"&amp;3+J34):'Predictor Setup'!$A$202,0)+J34,"")</f>
        <v/>
      </c>
      <c r="L34" s="3" t="str">
        <f ca="1">IFERROR(MATCH($A34,INDIRECT("'Predictor Setup'!A"&amp;3+K34):'Predictor Setup'!$A$202,0)+K34,"")</f>
        <v/>
      </c>
      <c r="M34" s="3" t="str">
        <f ca="1">IFERROR(MATCH($A34,INDIRECT("'Predictor Setup'!A"&amp;3+L34):'Predictor Setup'!$A$202,0)+L34,"")</f>
        <v/>
      </c>
      <c r="N34" s="3" t="str">
        <f ca="1">IFERROR(MATCH($A34,INDIRECT("'Predictor Setup'!A"&amp;3+M34):'Predictor Setup'!$A$202,0)+M34,"")</f>
        <v/>
      </c>
      <c r="O34" s="3" t="str">
        <f ca="1">IFERROR(MATCH($A34,INDIRECT("'Predictor Setup'!A"&amp;3+N34):'Predictor Setup'!$A$202,0)+N34,"")</f>
        <v/>
      </c>
      <c r="P34" s="3" t="str">
        <f ca="1">IFERROR(MATCH($A34,INDIRECT("'Predictor Setup'!A"&amp;3+O34):'Predictor Setup'!$A$202,0)+O34,"")</f>
        <v/>
      </c>
    </row>
    <row r="35" spans="1:16" x14ac:dyDescent="0.35">
      <c r="A35" t="str">
        <f>IF('Predictor Setup'!A23="",A34,'Predictor Setup'!A23)</f>
        <v>Facility</v>
      </c>
      <c r="B35" t="e">
        <f>MATCH($A35,'Predictor Setup'!$A$3:$A$202,0)</f>
        <v>#N/A</v>
      </c>
      <c r="C35" s="3" t="str">
        <f ca="1">IFERROR(MATCH($A35,INDIRECT("'Predictor Setup'!A"&amp;3+B35):'Predictor Setup'!$A$202,0)+B35,"")</f>
        <v/>
      </c>
      <c r="D35" s="3" t="str">
        <f ca="1">IFERROR(MATCH($A35,INDIRECT("'Predictor Setup'!A"&amp;3+C35):'Predictor Setup'!$A$202,0)+C35,"")</f>
        <v/>
      </c>
      <c r="E35" s="3" t="str">
        <f ca="1">IFERROR(MATCH($A35,INDIRECT("'Predictor Setup'!A"&amp;3+D35):'Predictor Setup'!$A$202,0)+D35,"")</f>
        <v/>
      </c>
      <c r="F35" s="3" t="str">
        <f ca="1">IFERROR(MATCH($A35,INDIRECT("'Predictor Setup'!A"&amp;3+E35):'Predictor Setup'!$A$202,0)+E35,"")</f>
        <v/>
      </c>
      <c r="G35" s="3" t="str">
        <f ca="1">IFERROR(MATCH($A35,INDIRECT("'Predictor Setup'!A"&amp;3+F35):'Predictor Setup'!$A$202,0)+F35,"")</f>
        <v/>
      </c>
      <c r="H35" s="3" t="str">
        <f ca="1">IFERROR(MATCH($A35,INDIRECT("'Predictor Setup'!A"&amp;3+G35):'Predictor Setup'!$A$202,0)+G35,"")</f>
        <v/>
      </c>
      <c r="I35" s="3" t="str">
        <f ca="1">IFERROR(MATCH($A35,INDIRECT("'Predictor Setup'!A"&amp;3+H35):'Predictor Setup'!$A$202,0)+H35,"")</f>
        <v/>
      </c>
      <c r="J35" s="3" t="str">
        <f ca="1">IFERROR(MATCH($A35,INDIRECT("'Predictor Setup'!A"&amp;3+I35):'Predictor Setup'!$A$202,0)+I35,"")</f>
        <v/>
      </c>
      <c r="K35" s="3" t="str">
        <f ca="1">IFERROR(MATCH($A35,INDIRECT("'Predictor Setup'!A"&amp;3+J35):'Predictor Setup'!$A$202,0)+J35,"")</f>
        <v/>
      </c>
      <c r="L35" s="3" t="str">
        <f ca="1">IFERROR(MATCH($A35,INDIRECT("'Predictor Setup'!A"&amp;3+K35):'Predictor Setup'!$A$202,0)+K35,"")</f>
        <v/>
      </c>
      <c r="M35" s="3" t="str">
        <f ca="1">IFERROR(MATCH($A35,INDIRECT("'Predictor Setup'!A"&amp;3+L35):'Predictor Setup'!$A$202,0)+L35,"")</f>
        <v/>
      </c>
      <c r="N35" s="3" t="str">
        <f ca="1">IFERROR(MATCH($A35,INDIRECT("'Predictor Setup'!A"&amp;3+M35):'Predictor Setup'!$A$202,0)+M35,"")</f>
        <v/>
      </c>
      <c r="O35" s="3" t="str">
        <f ca="1">IFERROR(MATCH($A35,INDIRECT("'Predictor Setup'!A"&amp;3+N35):'Predictor Setup'!$A$202,0)+N35,"")</f>
        <v/>
      </c>
      <c r="P35" s="3" t="str">
        <f ca="1">IFERROR(MATCH($A35,INDIRECT("'Predictor Setup'!A"&amp;3+O35):'Predictor Setup'!$A$202,0)+O35,"")</f>
        <v/>
      </c>
    </row>
    <row r="36" spans="1:16" x14ac:dyDescent="0.35">
      <c r="A36" t="str">
        <f>IF('Predictor Setup'!A24="",A35,'Predictor Setup'!A24)</f>
        <v>Facility</v>
      </c>
      <c r="B36" t="e">
        <f>MATCH($A36,'Predictor Setup'!$A$3:$A$202,0)</f>
        <v>#N/A</v>
      </c>
      <c r="C36" s="3" t="str">
        <f ca="1">IFERROR(MATCH($A36,INDIRECT("'Predictor Setup'!A"&amp;3+B36):'Predictor Setup'!$A$202,0)+B36,"")</f>
        <v/>
      </c>
      <c r="D36" s="3" t="str">
        <f ca="1">IFERROR(MATCH($A36,INDIRECT("'Predictor Setup'!A"&amp;3+C36):'Predictor Setup'!$A$202,0)+C36,"")</f>
        <v/>
      </c>
      <c r="E36" s="3" t="str">
        <f ca="1">IFERROR(MATCH($A36,INDIRECT("'Predictor Setup'!A"&amp;3+D36):'Predictor Setup'!$A$202,0)+D36,"")</f>
        <v/>
      </c>
      <c r="F36" s="3" t="str">
        <f ca="1">IFERROR(MATCH($A36,INDIRECT("'Predictor Setup'!A"&amp;3+E36):'Predictor Setup'!$A$202,0)+E36,"")</f>
        <v/>
      </c>
      <c r="G36" s="3" t="str">
        <f ca="1">IFERROR(MATCH($A36,INDIRECT("'Predictor Setup'!A"&amp;3+F36):'Predictor Setup'!$A$202,0)+F36,"")</f>
        <v/>
      </c>
      <c r="H36" s="3" t="str">
        <f ca="1">IFERROR(MATCH($A36,INDIRECT("'Predictor Setup'!A"&amp;3+G36):'Predictor Setup'!$A$202,0)+G36,"")</f>
        <v/>
      </c>
      <c r="I36" s="3" t="str">
        <f ca="1">IFERROR(MATCH($A36,INDIRECT("'Predictor Setup'!A"&amp;3+H36):'Predictor Setup'!$A$202,0)+H36,"")</f>
        <v/>
      </c>
      <c r="J36" s="3" t="str">
        <f ca="1">IFERROR(MATCH($A36,INDIRECT("'Predictor Setup'!A"&amp;3+I36):'Predictor Setup'!$A$202,0)+I36,"")</f>
        <v/>
      </c>
      <c r="K36" s="3" t="str">
        <f ca="1">IFERROR(MATCH($A36,INDIRECT("'Predictor Setup'!A"&amp;3+J36):'Predictor Setup'!$A$202,0)+J36,"")</f>
        <v/>
      </c>
      <c r="L36" s="3" t="str">
        <f ca="1">IFERROR(MATCH($A36,INDIRECT("'Predictor Setup'!A"&amp;3+K36):'Predictor Setup'!$A$202,0)+K36,"")</f>
        <v/>
      </c>
      <c r="M36" s="3" t="str">
        <f ca="1">IFERROR(MATCH($A36,INDIRECT("'Predictor Setup'!A"&amp;3+L36):'Predictor Setup'!$A$202,0)+L36,"")</f>
        <v/>
      </c>
      <c r="N36" s="3" t="str">
        <f ca="1">IFERROR(MATCH($A36,INDIRECT("'Predictor Setup'!A"&amp;3+M36):'Predictor Setup'!$A$202,0)+M36,"")</f>
        <v/>
      </c>
      <c r="O36" s="3" t="str">
        <f ca="1">IFERROR(MATCH($A36,INDIRECT("'Predictor Setup'!A"&amp;3+N36):'Predictor Setup'!$A$202,0)+N36,"")</f>
        <v/>
      </c>
      <c r="P36" s="3" t="str">
        <f ca="1">IFERROR(MATCH($A36,INDIRECT("'Predictor Setup'!A"&amp;3+O36):'Predictor Setup'!$A$202,0)+O36,"")</f>
        <v/>
      </c>
    </row>
    <row r="37" spans="1:16" x14ac:dyDescent="0.35">
      <c r="A37" t="str">
        <f>IF('Predictor Setup'!A25="",A36,'Predictor Setup'!A25)</f>
        <v>Facility</v>
      </c>
      <c r="B37" t="e">
        <f>MATCH($A37,'Predictor Setup'!$A$3:$A$202,0)</f>
        <v>#N/A</v>
      </c>
      <c r="C37" s="3" t="str">
        <f ca="1">IFERROR(MATCH($A37,INDIRECT("'Predictor Setup'!A"&amp;3+B37):'Predictor Setup'!$A$202,0)+B37,"")</f>
        <v/>
      </c>
      <c r="D37" s="3" t="str">
        <f ca="1">IFERROR(MATCH($A37,INDIRECT("'Predictor Setup'!A"&amp;3+C37):'Predictor Setup'!$A$202,0)+C37,"")</f>
        <v/>
      </c>
      <c r="E37" s="3" t="str">
        <f ca="1">IFERROR(MATCH($A37,INDIRECT("'Predictor Setup'!A"&amp;3+D37):'Predictor Setup'!$A$202,0)+D37,"")</f>
        <v/>
      </c>
      <c r="F37" s="3" t="str">
        <f ca="1">IFERROR(MATCH($A37,INDIRECT("'Predictor Setup'!A"&amp;3+E37):'Predictor Setup'!$A$202,0)+E37,"")</f>
        <v/>
      </c>
      <c r="G37" s="3" t="str">
        <f ca="1">IFERROR(MATCH($A37,INDIRECT("'Predictor Setup'!A"&amp;3+F37):'Predictor Setup'!$A$202,0)+F37,"")</f>
        <v/>
      </c>
      <c r="H37" s="3" t="str">
        <f ca="1">IFERROR(MATCH($A37,INDIRECT("'Predictor Setup'!A"&amp;3+G37):'Predictor Setup'!$A$202,0)+G37,"")</f>
        <v/>
      </c>
      <c r="I37" s="3" t="str">
        <f ca="1">IFERROR(MATCH($A37,INDIRECT("'Predictor Setup'!A"&amp;3+H37):'Predictor Setup'!$A$202,0)+H37,"")</f>
        <v/>
      </c>
      <c r="J37" s="3" t="str">
        <f ca="1">IFERROR(MATCH($A37,INDIRECT("'Predictor Setup'!A"&amp;3+I37):'Predictor Setup'!$A$202,0)+I37,"")</f>
        <v/>
      </c>
      <c r="K37" s="3" t="str">
        <f ca="1">IFERROR(MATCH($A37,INDIRECT("'Predictor Setup'!A"&amp;3+J37):'Predictor Setup'!$A$202,0)+J37,"")</f>
        <v/>
      </c>
      <c r="L37" s="3" t="str">
        <f ca="1">IFERROR(MATCH($A37,INDIRECT("'Predictor Setup'!A"&amp;3+K37):'Predictor Setup'!$A$202,0)+K37,"")</f>
        <v/>
      </c>
      <c r="M37" s="3" t="str">
        <f ca="1">IFERROR(MATCH($A37,INDIRECT("'Predictor Setup'!A"&amp;3+L37):'Predictor Setup'!$A$202,0)+L37,"")</f>
        <v/>
      </c>
      <c r="N37" s="3" t="str">
        <f ca="1">IFERROR(MATCH($A37,INDIRECT("'Predictor Setup'!A"&amp;3+M37):'Predictor Setup'!$A$202,0)+M37,"")</f>
        <v/>
      </c>
      <c r="O37" s="3" t="str">
        <f ca="1">IFERROR(MATCH($A37,INDIRECT("'Predictor Setup'!A"&amp;3+N37):'Predictor Setup'!$A$202,0)+N37,"")</f>
        <v/>
      </c>
      <c r="P37" s="3" t="str">
        <f ca="1">IFERROR(MATCH($A37,INDIRECT("'Predictor Setup'!A"&amp;3+O37):'Predictor Setup'!$A$202,0)+O37,"")</f>
        <v/>
      </c>
    </row>
    <row r="38" spans="1:16" x14ac:dyDescent="0.35">
      <c r="A38" t="str">
        <f>IF('Predictor Setup'!A26="",A37,'Predictor Setup'!A26)</f>
        <v>Facility</v>
      </c>
      <c r="B38" t="e">
        <f>MATCH($A38,'Predictor Setup'!$A$3:$A$202,0)</f>
        <v>#N/A</v>
      </c>
      <c r="C38" s="3" t="str">
        <f ca="1">IFERROR(MATCH($A38,INDIRECT("'Predictor Setup'!A"&amp;3+B38):'Predictor Setup'!$A$202,0)+B38,"")</f>
        <v/>
      </c>
      <c r="D38" s="3" t="str">
        <f ca="1">IFERROR(MATCH($A38,INDIRECT("'Predictor Setup'!A"&amp;3+C38):'Predictor Setup'!$A$202,0)+C38,"")</f>
        <v/>
      </c>
      <c r="E38" s="3" t="str">
        <f ca="1">IFERROR(MATCH($A38,INDIRECT("'Predictor Setup'!A"&amp;3+D38):'Predictor Setup'!$A$202,0)+D38,"")</f>
        <v/>
      </c>
      <c r="F38" s="3" t="str">
        <f ca="1">IFERROR(MATCH($A38,INDIRECT("'Predictor Setup'!A"&amp;3+E38):'Predictor Setup'!$A$202,0)+E38,"")</f>
        <v/>
      </c>
      <c r="G38" s="3" t="str">
        <f ca="1">IFERROR(MATCH($A38,INDIRECT("'Predictor Setup'!A"&amp;3+F38):'Predictor Setup'!$A$202,0)+F38,"")</f>
        <v/>
      </c>
      <c r="H38" s="3" t="str">
        <f ca="1">IFERROR(MATCH($A38,INDIRECT("'Predictor Setup'!A"&amp;3+G38):'Predictor Setup'!$A$202,0)+G38,"")</f>
        <v/>
      </c>
      <c r="I38" s="3" t="str">
        <f ca="1">IFERROR(MATCH($A38,INDIRECT("'Predictor Setup'!A"&amp;3+H38):'Predictor Setup'!$A$202,0)+H38,"")</f>
        <v/>
      </c>
      <c r="J38" s="3" t="str">
        <f ca="1">IFERROR(MATCH($A38,INDIRECT("'Predictor Setup'!A"&amp;3+I38):'Predictor Setup'!$A$202,0)+I38,"")</f>
        <v/>
      </c>
      <c r="K38" s="3" t="str">
        <f ca="1">IFERROR(MATCH($A38,INDIRECT("'Predictor Setup'!A"&amp;3+J38):'Predictor Setup'!$A$202,0)+J38,"")</f>
        <v/>
      </c>
      <c r="L38" s="3" t="str">
        <f ca="1">IFERROR(MATCH($A38,INDIRECT("'Predictor Setup'!A"&amp;3+K38):'Predictor Setup'!$A$202,0)+K38,"")</f>
        <v/>
      </c>
      <c r="M38" s="3" t="str">
        <f ca="1">IFERROR(MATCH($A38,INDIRECT("'Predictor Setup'!A"&amp;3+L38):'Predictor Setup'!$A$202,0)+L38,"")</f>
        <v/>
      </c>
      <c r="N38" s="3" t="str">
        <f ca="1">IFERROR(MATCH($A38,INDIRECT("'Predictor Setup'!A"&amp;3+M38):'Predictor Setup'!$A$202,0)+M38,"")</f>
        <v/>
      </c>
      <c r="O38" s="3" t="str">
        <f ca="1">IFERROR(MATCH($A38,INDIRECT("'Predictor Setup'!A"&amp;3+N38):'Predictor Setup'!$A$202,0)+N38,"")</f>
        <v/>
      </c>
      <c r="P38" s="3" t="str">
        <f ca="1">IFERROR(MATCH($A38,INDIRECT("'Predictor Setup'!A"&amp;3+O38):'Predictor Setup'!$A$202,0)+O38,"")</f>
        <v/>
      </c>
    </row>
    <row r="39" spans="1:16" x14ac:dyDescent="0.35">
      <c r="A39" t="str">
        <f>IF('Predictor Setup'!A27="",A38,'Predictor Setup'!A27)</f>
        <v>Facility</v>
      </c>
      <c r="B39" t="e">
        <f>MATCH($A39,'Predictor Setup'!$A$3:$A$202,0)</f>
        <v>#N/A</v>
      </c>
      <c r="C39" s="3" t="str">
        <f ca="1">IFERROR(MATCH($A39,INDIRECT("'Predictor Setup'!A"&amp;3+B39):'Predictor Setup'!$A$202,0)+B39,"")</f>
        <v/>
      </c>
      <c r="D39" s="3" t="str">
        <f ca="1">IFERROR(MATCH($A39,INDIRECT("'Predictor Setup'!A"&amp;3+C39):'Predictor Setup'!$A$202,0)+C39,"")</f>
        <v/>
      </c>
      <c r="E39" s="3" t="str">
        <f ca="1">IFERROR(MATCH($A39,INDIRECT("'Predictor Setup'!A"&amp;3+D39):'Predictor Setup'!$A$202,0)+D39,"")</f>
        <v/>
      </c>
      <c r="F39" s="3" t="str">
        <f ca="1">IFERROR(MATCH($A39,INDIRECT("'Predictor Setup'!A"&amp;3+E39):'Predictor Setup'!$A$202,0)+E39,"")</f>
        <v/>
      </c>
      <c r="G39" s="3" t="str">
        <f ca="1">IFERROR(MATCH($A39,INDIRECT("'Predictor Setup'!A"&amp;3+F39):'Predictor Setup'!$A$202,0)+F39,"")</f>
        <v/>
      </c>
      <c r="H39" s="3" t="str">
        <f ca="1">IFERROR(MATCH($A39,INDIRECT("'Predictor Setup'!A"&amp;3+G39):'Predictor Setup'!$A$202,0)+G39,"")</f>
        <v/>
      </c>
      <c r="I39" s="3" t="str">
        <f ca="1">IFERROR(MATCH($A39,INDIRECT("'Predictor Setup'!A"&amp;3+H39):'Predictor Setup'!$A$202,0)+H39,"")</f>
        <v/>
      </c>
      <c r="J39" s="3" t="str">
        <f ca="1">IFERROR(MATCH($A39,INDIRECT("'Predictor Setup'!A"&amp;3+I39):'Predictor Setup'!$A$202,0)+I39,"")</f>
        <v/>
      </c>
      <c r="K39" s="3" t="str">
        <f ca="1">IFERROR(MATCH($A39,INDIRECT("'Predictor Setup'!A"&amp;3+J39):'Predictor Setup'!$A$202,0)+J39,"")</f>
        <v/>
      </c>
      <c r="L39" s="3" t="str">
        <f ca="1">IFERROR(MATCH($A39,INDIRECT("'Predictor Setup'!A"&amp;3+K39):'Predictor Setup'!$A$202,0)+K39,"")</f>
        <v/>
      </c>
      <c r="M39" s="3" t="str">
        <f ca="1">IFERROR(MATCH($A39,INDIRECT("'Predictor Setup'!A"&amp;3+L39):'Predictor Setup'!$A$202,0)+L39,"")</f>
        <v/>
      </c>
      <c r="N39" s="3" t="str">
        <f ca="1">IFERROR(MATCH($A39,INDIRECT("'Predictor Setup'!A"&amp;3+M39):'Predictor Setup'!$A$202,0)+M39,"")</f>
        <v/>
      </c>
      <c r="O39" s="3" t="str">
        <f ca="1">IFERROR(MATCH($A39,INDIRECT("'Predictor Setup'!A"&amp;3+N39):'Predictor Setup'!$A$202,0)+N39,"")</f>
        <v/>
      </c>
      <c r="P39" s="3" t="str">
        <f ca="1">IFERROR(MATCH($A39,INDIRECT("'Predictor Setup'!A"&amp;3+O39):'Predictor Setup'!$A$202,0)+O39,"")</f>
        <v/>
      </c>
    </row>
    <row r="40" spans="1:16" x14ac:dyDescent="0.35">
      <c r="A40" t="str">
        <f>IF('Predictor Setup'!A28="",A39,'Predictor Setup'!A28)</f>
        <v>Facility</v>
      </c>
      <c r="B40" t="e">
        <f>MATCH($A40,'Predictor Setup'!$A$3:$A$202,0)</f>
        <v>#N/A</v>
      </c>
      <c r="C40" s="3" t="str">
        <f ca="1">IFERROR(MATCH($A40,INDIRECT("'Predictor Setup'!A"&amp;3+B40):'Predictor Setup'!$A$202,0)+B40,"")</f>
        <v/>
      </c>
      <c r="D40" s="3" t="str">
        <f ca="1">IFERROR(MATCH($A40,INDIRECT("'Predictor Setup'!A"&amp;3+C40):'Predictor Setup'!$A$202,0)+C40,"")</f>
        <v/>
      </c>
      <c r="E40" s="3" t="str">
        <f ca="1">IFERROR(MATCH($A40,INDIRECT("'Predictor Setup'!A"&amp;3+D40):'Predictor Setup'!$A$202,0)+D40,"")</f>
        <v/>
      </c>
      <c r="F40" s="3" t="str">
        <f ca="1">IFERROR(MATCH($A40,INDIRECT("'Predictor Setup'!A"&amp;3+E40):'Predictor Setup'!$A$202,0)+E40,"")</f>
        <v/>
      </c>
      <c r="G40" s="3" t="str">
        <f ca="1">IFERROR(MATCH($A40,INDIRECT("'Predictor Setup'!A"&amp;3+F40):'Predictor Setup'!$A$202,0)+F40,"")</f>
        <v/>
      </c>
      <c r="H40" s="3" t="str">
        <f ca="1">IFERROR(MATCH($A40,INDIRECT("'Predictor Setup'!A"&amp;3+G40):'Predictor Setup'!$A$202,0)+G40,"")</f>
        <v/>
      </c>
      <c r="I40" s="3" t="str">
        <f ca="1">IFERROR(MATCH($A40,INDIRECT("'Predictor Setup'!A"&amp;3+H40):'Predictor Setup'!$A$202,0)+H40,"")</f>
        <v/>
      </c>
      <c r="J40" s="3" t="str">
        <f ca="1">IFERROR(MATCH($A40,INDIRECT("'Predictor Setup'!A"&amp;3+I40):'Predictor Setup'!$A$202,0)+I40,"")</f>
        <v/>
      </c>
      <c r="K40" s="3" t="str">
        <f ca="1">IFERROR(MATCH($A40,INDIRECT("'Predictor Setup'!A"&amp;3+J40):'Predictor Setup'!$A$202,0)+J40,"")</f>
        <v/>
      </c>
      <c r="L40" s="3" t="str">
        <f ca="1">IFERROR(MATCH($A40,INDIRECT("'Predictor Setup'!A"&amp;3+K40):'Predictor Setup'!$A$202,0)+K40,"")</f>
        <v/>
      </c>
      <c r="M40" s="3" t="str">
        <f ca="1">IFERROR(MATCH($A40,INDIRECT("'Predictor Setup'!A"&amp;3+L40):'Predictor Setup'!$A$202,0)+L40,"")</f>
        <v/>
      </c>
      <c r="N40" s="3" t="str">
        <f ca="1">IFERROR(MATCH($A40,INDIRECT("'Predictor Setup'!A"&amp;3+M40):'Predictor Setup'!$A$202,0)+M40,"")</f>
        <v/>
      </c>
      <c r="O40" s="3" t="str">
        <f ca="1">IFERROR(MATCH($A40,INDIRECT("'Predictor Setup'!A"&amp;3+N40):'Predictor Setup'!$A$202,0)+N40,"")</f>
        <v/>
      </c>
      <c r="P40" s="3" t="str">
        <f ca="1">IFERROR(MATCH($A40,INDIRECT("'Predictor Setup'!A"&amp;3+O40):'Predictor Setup'!$A$202,0)+O40,"")</f>
        <v/>
      </c>
    </row>
    <row r="41" spans="1:16" x14ac:dyDescent="0.35">
      <c r="A41" t="str">
        <f>IF('Predictor Setup'!A29="",A40,'Predictor Setup'!A29)</f>
        <v>Facility</v>
      </c>
      <c r="B41" t="e">
        <f>MATCH($A41,'Predictor Setup'!$A$3:$A$202,0)</f>
        <v>#N/A</v>
      </c>
      <c r="C41" s="3" t="str">
        <f ca="1">IFERROR(MATCH($A41,INDIRECT("'Predictor Setup'!A"&amp;3+B41):'Predictor Setup'!$A$202,0)+B41,"")</f>
        <v/>
      </c>
      <c r="D41" s="3" t="str">
        <f ca="1">IFERROR(MATCH($A41,INDIRECT("'Predictor Setup'!A"&amp;3+C41):'Predictor Setup'!$A$202,0)+C41,"")</f>
        <v/>
      </c>
      <c r="E41" s="3" t="str">
        <f ca="1">IFERROR(MATCH($A41,INDIRECT("'Predictor Setup'!A"&amp;3+D41):'Predictor Setup'!$A$202,0)+D41,"")</f>
        <v/>
      </c>
      <c r="F41" s="3" t="str">
        <f ca="1">IFERROR(MATCH($A41,INDIRECT("'Predictor Setup'!A"&amp;3+E41):'Predictor Setup'!$A$202,0)+E41,"")</f>
        <v/>
      </c>
      <c r="G41" s="3" t="str">
        <f ca="1">IFERROR(MATCH($A41,INDIRECT("'Predictor Setup'!A"&amp;3+F41):'Predictor Setup'!$A$202,0)+F41,"")</f>
        <v/>
      </c>
      <c r="H41" s="3" t="str">
        <f ca="1">IFERROR(MATCH($A41,INDIRECT("'Predictor Setup'!A"&amp;3+G41):'Predictor Setup'!$A$202,0)+G41,"")</f>
        <v/>
      </c>
      <c r="I41" s="3" t="str">
        <f ca="1">IFERROR(MATCH($A41,INDIRECT("'Predictor Setup'!A"&amp;3+H41):'Predictor Setup'!$A$202,0)+H41,"")</f>
        <v/>
      </c>
      <c r="J41" s="3" t="str">
        <f ca="1">IFERROR(MATCH($A41,INDIRECT("'Predictor Setup'!A"&amp;3+I41):'Predictor Setup'!$A$202,0)+I41,"")</f>
        <v/>
      </c>
      <c r="K41" s="3" t="str">
        <f ca="1">IFERROR(MATCH($A41,INDIRECT("'Predictor Setup'!A"&amp;3+J41):'Predictor Setup'!$A$202,0)+J41,"")</f>
        <v/>
      </c>
      <c r="L41" s="3" t="str">
        <f ca="1">IFERROR(MATCH($A41,INDIRECT("'Predictor Setup'!A"&amp;3+K41):'Predictor Setup'!$A$202,0)+K41,"")</f>
        <v/>
      </c>
      <c r="M41" s="3" t="str">
        <f ca="1">IFERROR(MATCH($A41,INDIRECT("'Predictor Setup'!A"&amp;3+L41):'Predictor Setup'!$A$202,0)+L41,"")</f>
        <v/>
      </c>
      <c r="N41" s="3" t="str">
        <f ca="1">IFERROR(MATCH($A41,INDIRECT("'Predictor Setup'!A"&amp;3+M41):'Predictor Setup'!$A$202,0)+M41,"")</f>
        <v/>
      </c>
      <c r="O41" s="3" t="str">
        <f ca="1">IFERROR(MATCH($A41,INDIRECT("'Predictor Setup'!A"&amp;3+N41):'Predictor Setup'!$A$202,0)+N41,"")</f>
        <v/>
      </c>
      <c r="P41" s="3" t="str">
        <f ca="1">IFERROR(MATCH($A41,INDIRECT("'Predictor Setup'!A"&amp;3+O41):'Predictor Setup'!$A$202,0)+O41,"")</f>
        <v/>
      </c>
    </row>
    <row r="42" spans="1:16" x14ac:dyDescent="0.35">
      <c r="A42" t="str">
        <f>IF('Predictor Setup'!A30="",A41,'Predictor Setup'!A30)</f>
        <v>Facility</v>
      </c>
      <c r="B42" t="e">
        <f>MATCH($A42,'Predictor Setup'!$A$3:$A$202,0)</f>
        <v>#N/A</v>
      </c>
      <c r="C42" s="3" t="str">
        <f ca="1">IFERROR(MATCH($A42,INDIRECT("'Predictor Setup'!A"&amp;3+B42):'Predictor Setup'!$A$202,0)+B42,"")</f>
        <v/>
      </c>
      <c r="D42" s="3" t="str">
        <f ca="1">IFERROR(MATCH($A42,INDIRECT("'Predictor Setup'!A"&amp;3+C42):'Predictor Setup'!$A$202,0)+C42,"")</f>
        <v/>
      </c>
      <c r="E42" s="3" t="str">
        <f ca="1">IFERROR(MATCH($A42,INDIRECT("'Predictor Setup'!A"&amp;3+D42):'Predictor Setup'!$A$202,0)+D42,"")</f>
        <v/>
      </c>
      <c r="F42" s="3" t="str">
        <f ca="1">IFERROR(MATCH($A42,INDIRECT("'Predictor Setup'!A"&amp;3+E42):'Predictor Setup'!$A$202,0)+E42,"")</f>
        <v/>
      </c>
      <c r="G42" s="3" t="str">
        <f ca="1">IFERROR(MATCH($A42,INDIRECT("'Predictor Setup'!A"&amp;3+F42):'Predictor Setup'!$A$202,0)+F42,"")</f>
        <v/>
      </c>
      <c r="H42" s="3" t="str">
        <f ca="1">IFERROR(MATCH($A42,INDIRECT("'Predictor Setup'!A"&amp;3+G42):'Predictor Setup'!$A$202,0)+G42,"")</f>
        <v/>
      </c>
      <c r="I42" s="3" t="str">
        <f ca="1">IFERROR(MATCH($A42,INDIRECT("'Predictor Setup'!A"&amp;3+H42):'Predictor Setup'!$A$202,0)+H42,"")</f>
        <v/>
      </c>
      <c r="J42" s="3" t="str">
        <f ca="1">IFERROR(MATCH($A42,INDIRECT("'Predictor Setup'!A"&amp;3+I42):'Predictor Setup'!$A$202,0)+I42,"")</f>
        <v/>
      </c>
      <c r="K42" s="3" t="str">
        <f ca="1">IFERROR(MATCH($A42,INDIRECT("'Predictor Setup'!A"&amp;3+J42):'Predictor Setup'!$A$202,0)+J42,"")</f>
        <v/>
      </c>
      <c r="L42" s="3" t="str">
        <f ca="1">IFERROR(MATCH($A42,INDIRECT("'Predictor Setup'!A"&amp;3+K42):'Predictor Setup'!$A$202,0)+K42,"")</f>
        <v/>
      </c>
      <c r="M42" s="3" t="str">
        <f ca="1">IFERROR(MATCH($A42,INDIRECT("'Predictor Setup'!A"&amp;3+L42):'Predictor Setup'!$A$202,0)+L42,"")</f>
        <v/>
      </c>
      <c r="N42" s="3" t="str">
        <f ca="1">IFERROR(MATCH($A42,INDIRECT("'Predictor Setup'!A"&amp;3+M42):'Predictor Setup'!$A$202,0)+M42,"")</f>
        <v/>
      </c>
      <c r="O42" s="3" t="str">
        <f ca="1">IFERROR(MATCH($A42,INDIRECT("'Predictor Setup'!A"&amp;3+N42):'Predictor Setup'!$A$202,0)+N42,"")</f>
        <v/>
      </c>
      <c r="P42" s="3" t="str">
        <f ca="1">IFERROR(MATCH($A42,INDIRECT("'Predictor Setup'!A"&amp;3+O42):'Predictor Setup'!$A$202,0)+O42,"")</f>
        <v/>
      </c>
    </row>
    <row r="43" spans="1:16" x14ac:dyDescent="0.35">
      <c r="A43" t="str">
        <f>IF('Predictor Setup'!A31="",A42,'Predictor Setup'!A31)</f>
        <v>Facility</v>
      </c>
      <c r="B43" t="e">
        <f>MATCH($A43,'Predictor Setup'!$A$3:$A$202,0)</f>
        <v>#N/A</v>
      </c>
      <c r="C43" s="3" t="str">
        <f ca="1">IFERROR(MATCH($A43,INDIRECT("'Predictor Setup'!A"&amp;3+B43):'Predictor Setup'!$A$202,0)+B43,"")</f>
        <v/>
      </c>
      <c r="D43" s="3" t="str">
        <f ca="1">IFERROR(MATCH($A43,INDIRECT("'Predictor Setup'!A"&amp;3+C43):'Predictor Setup'!$A$202,0)+C43,"")</f>
        <v/>
      </c>
      <c r="E43" s="3" t="str">
        <f ca="1">IFERROR(MATCH($A43,INDIRECT("'Predictor Setup'!A"&amp;3+D43):'Predictor Setup'!$A$202,0)+D43,"")</f>
        <v/>
      </c>
      <c r="F43" s="3" t="str">
        <f ca="1">IFERROR(MATCH($A43,INDIRECT("'Predictor Setup'!A"&amp;3+E43):'Predictor Setup'!$A$202,0)+E43,"")</f>
        <v/>
      </c>
      <c r="G43" s="3" t="str">
        <f ca="1">IFERROR(MATCH($A43,INDIRECT("'Predictor Setup'!A"&amp;3+F43):'Predictor Setup'!$A$202,0)+F43,"")</f>
        <v/>
      </c>
      <c r="H43" s="3" t="str">
        <f ca="1">IFERROR(MATCH($A43,INDIRECT("'Predictor Setup'!A"&amp;3+G43):'Predictor Setup'!$A$202,0)+G43,"")</f>
        <v/>
      </c>
      <c r="I43" s="3" t="str">
        <f ca="1">IFERROR(MATCH($A43,INDIRECT("'Predictor Setup'!A"&amp;3+H43):'Predictor Setup'!$A$202,0)+H43,"")</f>
        <v/>
      </c>
      <c r="J43" s="3" t="str">
        <f ca="1">IFERROR(MATCH($A43,INDIRECT("'Predictor Setup'!A"&amp;3+I43):'Predictor Setup'!$A$202,0)+I43,"")</f>
        <v/>
      </c>
      <c r="K43" s="3" t="str">
        <f ca="1">IFERROR(MATCH($A43,INDIRECT("'Predictor Setup'!A"&amp;3+J43):'Predictor Setup'!$A$202,0)+J43,"")</f>
        <v/>
      </c>
      <c r="L43" s="3" t="str">
        <f ca="1">IFERROR(MATCH($A43,INDIRECT("'Predictor Setup'!A"&amp;3+K43):'Predictor Setup'!$A$202,0)+K43,"")</f>
        <v/>
      </c>
      <c r="M43" s="3" t="str">
        <f ca="1">IFERROR(MATCH($A43,INDIRECT("'Predictor Setup'!A"&amp;3+L43):'Predictor Setup'!$A$202,0)+L43,"")</f>
        <v/>
      </c>
      <c r="N43" s="3" t="str">
        <f ca="1">IFERROR(MATCH($A43,INDIRECT("'Predictor Setup'!A"&amp;3+M43):'Predictor Setup'!$A$202,0)+M43,"")</f>
        <v/>
      </c>
      <c r="O43" s="3" t="str">
        <f ca="1">IFERROR(MATCH($A43,INDIRECT("'Predictor Setup'!A"&amp;3+N43):'Predictor Setup'!$A$202,0)+N43,"")</f>
        <v/>
      </c>
      <c r="P43" s="3" t="str">
        <f ca="1">IFERROR(MATCH($A43,INDIRECT("'Predictor Setup'!A"&amp;3+O43):'Predictor Setup'!$A$202,0)+O43,"")</f>
        <v/>
      </c>
    </row>
    <row r="44" spans="1:16" x14ac:dyDescent="0.35">
      <c r="A44" t="str">
        <f>IF('Predictor Setup'!A32="",A43,'Predictor Setup'!A32)</f>
        <v>Facility</v>
      </c>
      <c r="B44" t="e">
        <f>MATCH($A44,'Predictor Setup'!$A$3:$A$202,0)</f>
        <v>#N/A</v>
      </c>
      <c r="C44" s="3" t="str">
        <f ca="1">IFERROR(MATCH($A44,INDIRECT("'Predictor Setup'!A"&amp;3+B44):'Predictor Setup'!$A$202,0)+B44,"")</f>
        <v/>
      </c>
      <c r="D44" s="3" t="str">
        <f ca="1">IFERROR(MATCH($A44,INDIRECT("'Predictor Setup'!A"&amp;3+C44):'Predictor Setup'!$A$202,0)+C44,"")</f>
        <v/>
      </c>
      <c r="E44" s="3" t="str">
        <f ca="1">IFERROR(MATCH($A44,INDIRECT("'Predictor Setup'!A"&amp;3+D44):'Predictor Setup'!$A$202,0)+D44,"")</f>
        <v/>
      </c>
      <c r="F44" s="3" t="str">
        <f ca="1">IFERROR(MATCH($A44,INDIRECT("'Predictor Setup'!A"&amp;3+E44):'Predictor Setup'!$A$202,0)+E44,"")</f>
        <v/>
      </c>
      <c r="G44" s="3" t="str">
        <f ca="1">IFERROR(MATCH($A44,INDIRECT("'Predictor Setup'!A"&amp;3+F44):'Predictor Setup'!$A$202,0)+F44,"")</f>
        <v/>
      </c>
      <c r="H44" s="3" t="str">
        <f ca="1">IFERROR(MATCH($A44,INDIRECT("'Predictor Setup'!A"&amp;3+G44):'Predictor Setup'!$A$202,0)+G44,"")</f>
        <v/>
      </c>
      <c r="I44" s="3" t="str">
        <f ca="1">IFERROR(MATCH($A44,INDIRECT("'Predictor Setup'!A"&amp;3+H44):'Predictor Setup'!$A$202,0)+H44,"")</f>
        <v/>
      </c>
      <c r="J44" s="3" t="str">
        <f ca="1">IFERROR(MATCH($A44,INDIRECT("'Predictor Setup'!A"&amp;3+I44):'Predictor Setup'!$A$202,0)+I44,"")</f>
        <v/>
      </c>
      <c r="K44" s="3" t="str">
        <f ca="1">IFERROR(MATCH($A44,INDIRECT("'Predictor Setup'!A"&amp;3+J44):'Predictor Setup'!$A$202,0)+J44,"")</f>
        <v/>
      </c>
      <c r="L44" s="3" t="str">
        <f ca="1">IFERROR(MATCH($A44,INDIRECT("'Predictor Setup'!A"&amp;3+K44):'Predictor Setup'!$A$202,0)+K44,"")</f>
        <v/>
      </c>
      <c r="M44" s="3" t="str">
        <f ca="1">IFERROR(MATCH($A44,INDIRECT("'Predictor Setup'!A"&amp;3+L44):'Predictor Setup'!$A$202,0)+L44,"")</f>
        <v/>
      </c>
      <c r="N44" s="3" t="str">
        <f ca="1">IFERROR(MATCH($A44,INDIRECT("'Predictor Setup'!A"&amp;3+M44):'Predictor Setup'!$A$202,0)+M44,"")</f>
        <v/>
      </c>
      <c r="O44" s="3" t="str">
        <f ca="1">IFERROR(MATCH($A44,INDIRECT("'Predictor Setup'!A"&amp;3+N44):'Predictor Setup'!$A$202,0)+N44,"")</f>
        <v/>
      </c>
      <c r="P44" s="3" t="str">
        <f ca="1">IFERROR(MATCH($A44,INDIRECT("'Predictor Setup'!A"&amp;3+O44):'Predictor Setup'!$A$202,0)+O44,"")</f>
        <v/>
      </c>
    </row>
    <row r="45" spans="1:16" x14ac:dyDescent="0.35">
      <c r="A45" t="str">
        <f>IF('Predictor Setup'!A33="",A44,'Predictor Setup'!A33)</f>
        <v>Facility</v>
      </c>
      <c r="B45" t="e">
        <f>MATCH($A45,'Predictor Setup'!$A$3:$A$202,0)</f>
        <v>#N/A</v>
      </c>
      <c r="C45" s="3" t="str">
        <f ca="1">IFERROR(MATCH($A45,INDIRECT("'Predictor Setup'!A"&amp;3+B45):'Predictor Setup'!$A$202,0)+B45,"")</f>
        <v/>
      </c>
      <c r="D45" s="3" t="str">
        <f ca="1">IFERROR(MATCH($A45,INDIRECT("'Predictor Setup'!A"&amp;3+C45):'Predictor Setup'!$A$202,0)+C45,"")</f>
        <v/>
      </c>
      <c r="E45" s="3" t="str">
        <f ca="1">IFERROR(MATCH($A45,INDIRECT("'Predictor Setup'!A"&amp;3+D45):'Predictor Setup'!$A$202,0)+D45,"")</f>
        <v/>
      </c>
      <c r="F45" s="3" t="str">
        <f ca="1">IFERROR(MATCH($A45,INDIRECT("'Predictor Setup'!A"&amp;3+E45):'Predictor Setup'!$A$202,0)+E45,"")</f>
        <v/>
      </c>
      <c r="G45" s="3" t="str">
        <f ca="1">IFERROR(MATCH($A45,INDIRECT("'Predictor Setup'!A"&amp;3+F45):'Predictor Setup'!$A$202,0)+F45,"")</f>
        <v/>
      </c>
      <c r="H45" s="3" t="str">
        <f ca="1">IFERROR(MATCH($A45,INDIRECT("'Predictor Setup'!A"&amp;3+G45):'Predictor Setup'!$A$202,0)+G45,"")</f>
        <v/>
      </c>
      <c r="I45" s="3" t="str">
        <f ca="1">IFERROR(MATCH($A45,INDIRECT("'Predictor Setup'!A"&amp;3+H45):'Predictor Setup'!$A$202,0)+H45,"")</f>
        <v/>
      </c>
      <c r="J45" s="3" t="str">
        <f ca="1">IFERROR(MATCH($A45,INDIRECT("'Predictor Setup'!A"&amp;3+I45):'Predictor Setup'!$A$202,0)+I45,"")</f>
        <v/>
      </c>
      <c r="K45" s="3" t="str">
        <f ca="1">IFERROR(MATCH($A45,INDIRECT("'Predictor Setup'!A"&amp;3+J45):'Predictor Setup'!$A$202,0)+J45,"")</f>
        <v/>
      </c>
      <c r="L45" s="3" t="str">
        <f ca="1">IFERROR(MATCH($A45,INDIRECT("'Predictor Setup'!A"&amp;3+K45):'Predictor Setup'!$A$202,0)+K45,"")</f>
        <v/>
      </c>
      <c r="M45" s="3" t="str">
        <f ca="1">IFERROR(MATCH($A45,INDIRECT("'Predictor Setup'!A"&amp;3+L45):'Predictor Setup'!$A$202,0)+L45,"")</f>
        <v/>
      </c>
      <c r="N45" s="3" t="str">
        <f ca="1">IFERROR(MATCH($A45,INDIRECT("'Predictor Setup'!A"&amp;3+M45):'Predictor Setup'!$A$202,0)+M45,"")</f>
        <v/>
      </c>
      <c r="O45" s="3" t="str">
        <f ca="1">IFERROR(MATCH($A45,INDIRECT("'Predictor Setup'!A"&amp;3+N45):'Predictor Setup'!$A$202,0)+N45,"")</f>
        <v/>
      </c>
      <c r="P45" s="3" t="str">
        <f ca="1">IFERROR(MATCH($A45,INDIRECT("'Predictor Setup'!A"&amp;3+O45):'Predictor Setup'!$A$202,0)+O45,"")</f>
        <v/>
      </c>
    </row>
    <row r="46" spans="1:16" x14ac:dyDescent="0.35">
      <c r="A46" t="str">
        <f>IF('Predictor Setup'!A34="",A45,'Predictor Setup'!A34)</f>
        <v>Facility</v>
      </c>
      <c r="B46" t="e">
        <f>MATCH($A46,'Predictor Setup'!$A$3:$A$202,0)</f>
        <v>#N/A</v>
      </c>
      <c r="C46" s="3" t="str">
        <f ca="1">IFERROR(MATCH($A46,INDIRECT("'Predictor Setup'!A"&amp;3+B46):'Predictor Setup'!$A$202,0)+B46,"")</f>
        <v/>
      </c>
      <c r="D46" s="3" t="str">
        <f ca="1">IFERROR(MATCH($A46,INDIRECT("'Predictor Setup'!A"&amp;3+C46):'Predictor Setup'!$A$202,0)+C46,"")</f>
        <v/>
      </c>
      <c r="E46" s="3" t="str">
        <f ca="1">IFERROR(MATCH($A46,INDIRECT("'Predictor Setup'!A"&amp;3+D46):'Predictor Setup'!$A$202,0)+D46,"")</f>
        <v/>
      </c>
      <c r="F46" s="3" t="str">
        <f ca="1">IFERROR(MATCH($A46,INDIRECT("'Predictor Setup'!A"&amp;3+E46):'Predictor Setup'!$A$202,0)+E46,"")</f>
        <v/>
      </c>
      <c r="G46" s="3" t="str">
        <f ca="1">IFERROR(MATCH($A46,INDIRECT("'Predictor Setup'!A"&amp;3+F46):'Predictor Setup'!$A$202,0)+F46,"")</f>
        <v/>
      </c>
      <c r="H46" s="3" t="str">
        <f ca="1">IFERROR(MATCH($A46,INDIRECT("'Predictor Setup'!A"&amp;3+G46):'Predictor Setup'!$A$202,0)+G46,"")</f>
        <v/>
      </c>
      <c r="I46" s="3" t="str">
        <f ca="1">IFERROR(MATCH($A46,INDIRECT("'Predictor Setup'!A"&amp;3+H46):'Predictor Setup'!$A$202,0)+H46,"")</f>
        <v/>
      </c>
      <c r="J46" s="3" t="str">
        <f ca="1">IFERROR(MATCH($A46,INDIRECT("'Predictor Setup'!A"&amp;3+I46):'Predictor Setup'!$A$202,0)+I46,"")</f>
        <v/>
      </c>
      <c r="K46" s="3" t="str">
        <f ca="1">IFERROR(MATCH($A46,INDIRECT("'Predictor Setup'!A"&amp;3+J46):'Predictor Setup'!$A$202,0)+J46,"")</f>
        <v/>
      </c>
      <c r="L46" s="3" t="str">
        <f ca="1">IFERROR(MATCH($A46,INDIRECT("'Predictor Setup'!A"&amp;3+K46):'Predictor Setup'!$A$202,0)+K46,"")</f>
        <v/>
      </c>
      <c r="M46" s="3" t="str">
        <f ca="1">IFERROR(MATCH($A46,INDIRECT("'Predictor Setup'!A"&amp;3+L46):'Predictor Setup'!$A$202,0)+L46,"")</f>
        <v/>
      </c>
      <c r="N46" s="3" t="str">
        <f ca="1">IFERROR(MATCH($A46,INDIRECT("'Predictor Setup'!A"&amp;3+M46):'Predictor Setup'!$A$202,0)+M46,"")</f>
        <v/>
      </c>
      <c r="O46" s="3" t="str">
        <f ca="1">IFERROR(MATCH($A46,INDIRECT("'Predictor Setup'!A"&amp;3+N46):'Predictor Setup'!$A$202,0)+N46,"")</f>
        <v/>
      </c>
      <c r="P46" s="3" t="str">
        <f ca="1">IFERROR(MATCH($A46,INDIRECT("'Predictor Setup'!A"&amp;3+O46):'Predictor Setup'!$A$202,0)+O46,"")</f>
        <v/>
      </c>
    </row>
    <row r="47" spans="1:16" x14ac:dyDescent="0.35">
      <c r="A47" t="str">
        <f>IF('Predictor Setup'!A35="",A46,'Predictor Setup'!A35)</f>
        <v>Facility</v>
      </c>
      <c r="B47" t="e">
        <f>MATCH($A47,'Predictor Setup'!$A$3:$A$202,0)</f>
        <v>#N/A</v>
      </c>
      <c r="C47" s="3" t="str">
        <f ca="1">IFERROR(MATCH($A47,INDIRECT("'Predictor Setup'!A"&amp;3+B47):'Predictor Setup'!$A$202,0)+B47,"")</f>
        <v/>
      </c>
      <c r="D47" s="3" t="str">
        <f ca="1">IFERROR(MATCH($A47,INDIRECT("'Predictor Setup'!A"&amp;3+C47):'Predictor Setup'!$A$202,0)+C47,"")</f>
        <v/>
      </c>
      <c r="E47" s="3" t="str">
        <f ca="1">IFERROR(MATCH($A47,INDIRECT("'Predictor Setup'!A"&amp;3+D47):'Predictor Setup'!$A$202,0)+D47,"")</f>
        <v/>
      </c>
      <c r="F47" s="3" t="str">
        <f ca="1">IFERROR(MATCH($A47,INDIRECT("'Predictor Setup'!A"&amp;3+E47):'Predictor Setup'!$A$202,0)+E47,"")</f>
        <v/>
      </c>
      <c r="G47" s="3" t="str">
        <f ca="1">IFERROR(MATCH($A47,INDIRECT("'Predictor Setup'!A"&amp;3+F47):'Predictor Setup'!$A$202,0)+F47,"")</f>
        <v/>
      </c>
      <c r="H47" s="3" t="str">
        <f ca="1">IFERROR(MATCH($A47,INDIRECT("'Predictor Setup'!A"&amp;3+G47):'Predictor Setup'!$A$202,0)+G47,"")</f>
        <v/>
      </c>
      <c r="I47" s="3" t="str">
        <f ca="1">IFERROR(MATCH($A47,INDIRECT("'Predictor Setup'!A"&amp;3+H47):'Predictor Setup'!$A$202,0)+H47,"")</f>
        <v/>
      </c>
      <c r="J47" s="3" t="str">
        <f ca="1">IFERROR(MATCH($A47,INDIRECT("'Predictor Setup'!A"&amp;3+I47):'Predictor Setup'!$A$202,0)+I47,"")</f>
        <v/>
      </c>
      <c r="K47" s="3" t="str">
        <f ca="1">IFERROR(MATCH($A47,INDIRECT("'Predictor Setup'!A"&amp;3+J47):'Predictor Setup'!$A$202,0)+J47,"")</f>
        <v/>
      </c>
      <c r="L47" s="3" t="str">
        <f ca="1">IFERROR(MATCH($A47,INDIRECT("'Predictor Setup'!A"&amp;3+K47):'Predictor Setup'!$A$202,0)+K47,"")</f>
        <v/>
      </c>
      <c r="M47" s="3" t="str">
        <f ca="1">IFERROR(MATCH($A47,INDIRECT("'Predictor Setup'!A"&amp;3+L47):'Predictor Setup'!$A$202,0)+L47,"")</f>
        <v/>
      </c>
      <c r="N47" s="3" t="str">
        <f ca="1">IFERROR(MATCH($A47,INDIRECT("'Predictor Setup'!A"&amp;3+M47):'Predictor Setup'!$A$202,0)+M47,"")</f>
        <v/>
      </c>
      <c r="O47" s="3" t="str">
        <f ca="1">IFERROR(MATCH($A47,INDIRECT("'Predictor Setup'!A"&amp;3+N47):'Predictor Setup'!$A$202,0)+N47,"")</f>
        <v/>
      </c>
      <c r="P47" s="3" t="str">
        <f ca="1">IFERROR(MATCH($A47,INDIRECT("'Predictor Setup'!A"&amp;3+O47):'Predictor Setup'!$A$202,0)+O47,"")</f>
        <v/>
      </c>
    </row>
    <row r="48" spans="1:16" x14ac:dyDescent="0.35">
      <c r="A48" t="str">
        <f>IF('Predictor Setup'!A36="",A47,'Predictor Setup'!A36)</f>
        <v>Facility</v>
      </c>
      <c r="B48" t="e">
        <f>MATCH($A48,'Predictor Setup'!$A$3:$A$202,0)</f>
        <v>#N/A</v>
      </c>
      <c r="C48" s="3" t="str">
        <f ca="1">IFERROR(MATCH($A48,INDIRECT("'Predictor Setup'!A"&amp;3+B48):'Predictor Setup'!$A$202,0)+B48,"")</f>
        <v/>
      </c>
      <c r="D48" s="3" t="str">
        <f ca="1">IFERROR(MATCH($A48,INDIRECT("'Predictor Setup'!A"&amp;3+C48):'Predictor Setup'!$A$202,0)+C48,"")</f>
        <v/>
      </c>
      <c r="E48" s="3" t="str">
        <f ca="1">IFERROR(MATCH($A48,INDIRECT("'Predictor Setup'!A"&amp;3+D48):'Predictor Setup'!$A$202,0)+D48,"")</f>
        <v/>
      </c>
      <c r="F48" s="3" t="str">
        <f ca="1">IFERROR(MATCH($A48,INDIRECT("'Predictor Setup'!A"&amp;3+E48):'Predictor Setup'!$A$202,0)+E48,"")</f>
        <v/>
      </c>
      <c r="G48" s="3" t="str">
        <f ca="1">IFERROR(MATCH($A48,INDIRECT("'Predictor Setup'!A"&amp;3+F48):'Predictor Setup'!$A$202,0)+F48,"")</f>
        <v/>
      </c>
      <c r="H48" s="3" t="str">
        <f ca="1">IFERROR(MATCH($A48,INDIRECT("'Predictor Setup'!A"&amp;3+G48):'Predictor Setup'!$A$202,0)+G48,"")</f>
        <v/>
      </c>
      <c r="I48" s="3" t="str">
        <f ca="1">IFERROR(MATCH($A48,INDIRECT("'Predictor Setup'!A"&amp;3+H48):'Predictor Setup'!$A$202,0)+H48,"")</f>
        <v/>
      </c>
      <c r="J48" s="3" t="str">
        <f ca="1">IFERROR(MATCH($A48,INDIRECT("'Predictor Setup'!A"&amp;3+I48):'Predictor Setup'!$A$202,0)+I48,"")</f>
        <v/>
      </c>
      <c r="K48" s="3" t="str">
        <f ca="1">IFERROR(MATCH($A48,INDIRECT("'Predictor Setup'!A"&amp;3+J48):'Predictor Setup'!$A$202,0)+J48,"")</f>
        <v/>
      </c>
      <c r="L48" s="3" t="str">
        <f ca="1">IFERROR(MATCH($A48,INDIRECT("'Predictor Setup'!A"&amp;3+K48):'Predictor Setup'!$A$202,0)+K48,"")</f>
        <v/>
      </c>
      <c r="M48" s="3" t="str">
        <f ca="1">IFERROR(MATCH($A48,INDIRECT("'Predictor Setup'!A"&amp;3+L48):'Predictor Setup'!$A$202,0)+L48,"")</f>
        <v/>
      </c>
      <c r="N48" s="3" t="str">
        <f ca="1">IFERROR(MATCH($A48,INDIRECT("'Predictor Setup'!A"&amp;3+M48):'Predictor Setup'!$A$202,0)+M48,"")</f>
        <v/>
      </c>
      <c r="O48" s="3" t="str">
        <f ca="1">IFERROR(MATCH($A48,INDIRECT("'Predictor Setup'!A"&amp;3+N48):'Predictor Setup'!$A$202,0)+N48,"")</f>
        <v/>
      </c>
      <c r="P48" s="3" t="str">
        <f ca="1">IFERROR(MATCH($A48,INDIRECT("'Predictor Setup'!A"&amp;3+O48):'Predictor Setup'!$A$202,0)+O48,"")</f>
        <v/>
      </c>
    </row>
    <row r="49" spans="1:16" x14ac:dyDescent="0.35">
      <c r="A49" t="str">
        <f>IF('Predictor Setup'!A37="",A48,'Predictor Setup'!A37)</f>
        <v>Facility</v>
      </c>
      <c r="B49" t="e">
        <f>MATCH($A49,'Predictor Setup'!$A$3:$A$202,0)</f>
        <v>#N/A</v>
      </c>
      <c r="C49" s="3" t="str">
        <f ca="1">IFERROR(MATCH($A49,INDIRECT("'Predictor Setup'!A"&amp;3+B49):'Predictor Setup'!$A$202,0)+B49,"")</f>
        <v/>
      </c>
      <c r="D49" s="3" t="str">
        <f ca="1">IFERROR(MATCH($A49,INDIRECT("'Predictor Setup'!A"&amp;3+C49):'Predictor Setup'!$A$202,0)+C49,"")</f>
        <v/>
      </c>
      <c r="E49" s="3" t="str">
        <f ca="1">IFERROR(MATCH($A49,INDIRECT("'Predictor Setup'!A"&amp;3+D49):'Predictor Setup'!$A$202,0)+D49,"")</f>
        <v/>
      </c>
      <c r="F49" s="3" t="str">
        <f ca="1">IFERROR(MATCH($A49,INDIRECT("'Predictor Setup'!A"&amp;3+E49):'Predictor Setup'!$A$202,0)+E49,"")</f>
        <v/>
      </c>
      <c r="G49" s="3" t="str">
        <f ca="1">IFERROR(MATCH($A49,INDIRECT("'Predictor Setup'!A"&amp;3+F49):'Predictor Setup'!$A$202,0)+F49,"")</f>
        <v/>
      </c>
      <c r="H49" s="3" t="str">
        <f ca="1">IFERROR(MATCH($A49,INDIRECT("'Predictor Setup'!A"&amp;3+G49):'Predictor Setup'!$A$202,0)+G49,"")</f>
        <v/>
      </c>
      <c r="I49" s="3" t="str">
        <f ca="1">IFERROR(MATCH($A49,INDIRECT("'Predictor Setup'!A"&amp;3+H49):'Predictor Setup'!$A$202,0)+H49,"")</f>
        <v/>
      </c>
      <c r="J49" s="3" t="str">
        <f ca="1">IFERROR(MATCH($A49,INDIRECT("'Predictor Setup'!A"&amp;3+I49):'Predictor Setup'!$A$202,0)+I49,"")</f>
        <v/>
      </c>
      <c r="K49" s="3" t="str">
        <f ca="1">IFERROR(MATCH($A49,INDIRECT("'Predictor Setup'!A"&amp;3+J49):'Predictor Setup'!$A$202,0)+J49,"")</f>
        <v/>
      </c>
      <c r="L49" s="3" t="str">
        <f ca="1">IFERROR(MATCH($A49,INDIRECT("'Predictor Setup'!A"&amp;3+K49):'Predictor Setup'!$A$202,0)+K49,"")</f>
        <v/>
      </c>
      <c r="M49" s="3" t="str">
        <f ca="1">IFERROR(MATCH($A49,INDIRECT("'Predictor Setup'!A"&amp;3+L49):'Predictor Setup'!$A$202,0)+L49,"")</f>
        <v/>
      </c>
      <c r="N49" s="3" t="str">
        <f ca="1">IFERROR(MATCH($A49,INDIRECT("'Predictor Setup'!A"&amp;3+M49):'Predictor Setup'!$A$202,0)+M49,"")</f>
        <v/>
      </c>
      <c r="O49" s="3" t="str">
        <f ca="1">IFERROR(MATCH($A49,INDIRECT("'Predictor Setup'!A"&amp;3+N49):'Predictor Setup'!$A$202,0)+N49,"")</f>
        <v/>
      </c>
      <c r="P49" s="3" t="str">
        <f ca="1">IFERROR(MATCH($A49,INDIRECT("'Predictor Setup'!A"&amp;3+O49):'Predictor Setup'!$A$202,0)+O49,"")</f>
        <v/>
      </c>
    </row>
    <row r="50" spans="1:16" x14ac:dyDescent="0.35">
      <c r="A50" t="str">
        <f>IF('Predictor Setup'!A38="",A49,'Predictor Setup'!A38)</f>
        <v>Facility</v>
      </c>
      <c r="B50" t="e">
        <f>MATCH($A50,'Predictor Setup'!$A$3:$A$202,0)</f>
        <v>#N/A</v>
      </c>
      <c r="C50" s="3" t="str">
        <f ca="1">IFERROR(MATCH($A50,INDIRECT("'Predictor Setup'!A"&amp;3+B50):'Predictor Setup'!$A$202,0)+B50,"")</f>
        <v/>
      </c>
      <c r="D50" s="3" t="str">
        <f ca="1">IFERROR(MATCH($A50,INDIRECT("'Predictor Setup'!A"&amp;3+C50):'Predictor Setup'!$A$202,0)+C50,"")</f>
        <v/>
      </c>
      <c r="E50" s="3" t="str">
        <f ca="1">IFERROR(MATCH($A50,INDIRECT("'Predictor Setup'!A"&amp;3+D50):'Predictor Setup'!$A$202,0)+D50,"")</f>
        <v/>
      </c>
      <c r="F50" s="3" t="str">
        <f ca="1">IFERROR(MATCH($A50,INDIRECT("'Predictor Setup'!A"&amp;3+E50):'Predictor Setup'!$A$202,0)+E50,"")</f>
        <v/>
      </c>
      <c r="G50" s="3" t="str">
        <f ca="1">IFERROR(MATCH($A50,INDIRECT("'Predictor Setup'!A"&amp;3+F50):'Predictor Setup'!$A$202,0)+F50,"")</f>
        <v/>
      </c>
      <c r="H50" s="3" t="str">
        <f ca="1">IFERROR(MATCH($A50,INDIRECT("'Predictor Setup'!A"&amp;3+G50):'Predictor Setup'!$A$202,0)+G50,"")</f>
        <v/>
      </c>
      <c r="I50" s="3" t="str">
        <f ca="1">IFERROR(MATCH($A50,INDIRECT("'Predictor Setup'!A"&amp;3+H50):'Predictor Setup'!$A$202,0)+H50,"")</f>
        <v/>
      </c>
      <c r="J50" s="3" t="str">
        <f ca="1">IFERROR(MATCH($A50,INDIRECT("'Predictor Setup'!A"&amp;3+I50):'Predictor Setup'!$A$202,0)+I50,"")</f>
        <v/>
      </c>
      <c r="K50" s="3" t="str">
        <f ca="1">IFERROR(MATCH($A50,INDIRECT("'Predictor Setup'!A"&amp;3+J50):'Predictor Setup'!$A$202,0)+J50,"")</f>
        <v/>
      </c>
      <c r="L50" s="3" t="str">
        <f ca="1">IFERROR(MATCH($A50,INDIRECT("'Predictor Setup'!A"&amp;3+K50):'Predictor Setup'!$A$202,0)+K50,"")</f>
        <v/>
      </c>
      <c r="M50" s="3" t="str">
        <f ca="1">IFERROR(MATCH($A50,INDIRECT("'Predictor Setup'!A"&amp;3+L50):'Predictor Setup'!$A$202,0)+L50,"")</f>
        <v/>
      </c>
      <c r="N50" s="3" t="str">
        <f ca="1">IFERROR(MATCH($A50,INDIRECT("'Predictor Setup'!A"&amp;3+M50):'Predictor Setup'!$A$202,0)+M50,"")</f>
        <v/>
      </c>
      <c r="O50" s="3" t="str">
        <f ca="1">IFERROR(MATCH($A50,INDIRECT("'Predictor Setup'!A"&amp;3+N50):'Predictor Setup'!$A$202,0)+N50,"")</f>
        <v/>
      </c>
      <c r="P50" s="3" t="str">
        <f ca="1">IFERROR(MATCH($A50,INDIRECT("'Predictor Setup'!A"&amp;3+O50):'Predictor Setup'!$A$202,0)+O50,"")</f>
        <v/>
      </c>
    </row>
    <row r="51" spans="1:16" x14ac:dyDescent="0.35">
      <c r="A51" t="str">
        <f>IF('Predictor Setup'!A39="",A50,'Predictor Setup'!A39)</f>
        <v>Facility</v>
      </c>
      <c r="B51" t="e">
        <f>MATCH($A51,'Predictor Setup'!$A$3:$A$202,0)</f>
        <v>#N/A</v>
      </c>
      <c r="C51" s="3" t="str">
        <f ca="1">IFERROR(MATCH($A51,INDIRECT("'Predictor Setup'!A"&amp;3+B51):'Predictor Setup'!$A$202,0)+B51,"")</f>
        <v/>
      </c>
      <c r="D51" s="3" t="str">
        <f ca="1">IFERROR(MATCH($A51,INDIRECT("'Predictor Setup'!A"&amp;3+C51):'Predictor Setup'!$A$202,0)+C51,"")</f>
        <v/>
      </c>
      <c r="E51" s="3" t="str">
        <f ca="1">IFERROR(MATCH($A51,INDIRECT("'Predictor Setup'!A"&amp;3+D51):'Predictor Setup'!$A$202,0)+D51,"")</f>
        <v/>
      </c>
      <c r="F51" s="3" t="str">
        <f ca="1">IFERROR(MATCH($A51,INDIRECT("'Predictor Setup'!A"&amp;3+E51):'Predictor Setup'!$A$202,0)+E51,"")</f>
        <v/>
      </c>
      <c r="G51" s="3" t="str">
        <f ca="1">IFERROR(MATCH($A51,INDIRECT("'Predictor Setup'!A"&amp;3+F51):'Predictor Setup'!$A$202,0)+F51,"")</f>
        <v/>
      </c>
      <c r="H51" s="3" t="str">
        <f ca="1">IFERROR(MATCH($A51,INDIRECT("'Predictor Setup'!A"&amp;3+G51):'Predictor Setup'!$A$202,0)+G51,"")</f>
        <v/>
      </c>
      <c r="I51" s="3" t="str">
        <f ca="1">IFERROR(MATCH($A51,INDIRECT("'Predictor Setup'!A"&amp;3+H51):'Predictor Setup'!$A$202,0)+H51,"")</f>
        <v/>
      </c>
      <c r="J51" s="3" t="str">
        <f ca="1">IFERROR(MATCH($A51,INDIRECT("'Predictor Setup'!A"&amp;3+I51):'Predictor Setup'!$A$202,0)+I51,"")</f>
        <v/>
      </c>
      <c r="K51" s="3" t="str">
        <f ca="1">IFERROR(MATCH($A51,INDIRECT("'Predictor Setup'!A"&amp;3+J51):'Predictor Setup'!$A$202,0)+J51,"")</f>
        <v/>
      </c>
      <c r="L51" s="3" t="str">
        <f ca="1">IFERROR(MATCH($A51,INDIRECT("'Predictor Setup'!A"&amp;3+K51):'Predictor Setup'!$A$202,0)+K51,"")</f>
        <v/>
      </c>
      <c r="M51" s="3" t="str">
        <f ca="1">IFERROR(MATCH($A51,INDIRECT("'Predictor Setup'!A"&amp;3+L51):'Predictor Setup'!$A$202,0)+L51,"")</f>
        <v/>
      </c>
      <c r="N51" s="3" t="str">
        <f ca="1">IFERROR(MATCH($A51,INDIRECT("'Predictor Setup'!A"&amp;3+M51):'Predictor Setup'!$A$202,0)+M51,"")</f>
        <v/>
      </c>
      <c r="O51" s="3" t="str">
        <f ca="1">IFERROR(MATCH($A51,INDIRECT("'Predictor Setup'!A"&amp;3+N51):'Predictor Setup'!$A$202,0)+N51,"")</f>
        <v/>
      </c>
      <c r="P51" s="3" t="str">
        <f ca="1">IFERROR(MATCH($A51,INDIRECT("'Predictor Setup'!A"&amp;3+O51):'Predictor Setup'!$A$202,0)+O51,"")</f>
        <v/>
      </c>
    </row>
    <row r="52" spans="1:16" x14ac:dyDescent="0.35">
      <c r="A52" t="str">
        <f>IF('Predictor Setup'!A40="",A51,'Predictor Setup'!A40)</f>
        <v>Facility</v>
      </c>
      <c r="B52" t="e">
        <f>MATCH($A52,'Predictor Setup'!$A$3:$A$202,0)</f>
        <v>#N/A</v>
      </c>
      <c r="C52" s="3" t="str">
        <f ca="1">IFERROR(MATCH($A52,INDIRECT("'Predictor Setup'!A"&amp;3+B52):'Predictor Setup'!$A$202,0)+B52,"")</f>
        <v/>
      </c>
      <c r="D52" s="3" t="str">
        <f ca="1">IFERROR(MATCH($A52,INDIRECT("'Predictor Setup'!A"&amp;3+C52):'Predictor Setup'!$A$202,0)+C52,"")</f>
        <v/>
      </c>
      <c r="E52" s="3" t="str">
        <f ca="1">IFERROR(MATCH($A52,INDIRECT("'Predictor Setup'!A"&amp;3+D52):'Predictor Setup'!$A$202,0)+D52,"")</f>
        <v/>
      </c>
      <c r="F52" s="3" t="str">
        <f ca="1">IFERROR(MATCH($A52,INDIRECT("'Predictor Setup'!A"&amp;3+E52):'Predictor Setup'!$A$202,0)+E52,"")</f>
        <v/>
      </c>
      <c r="G52" s="3" t="str">
        <f ca="1">IFERROR(MATCH($A52,INDIRECT("'Predictor Setup'!A"&amp;3+F52):'Predictor Setup'!$A$202,0)+F52,"")</f>
        <v/>
      </c>
      <c r="H52" s="3" t="str">
        <f ca="1">IFERROR(MATCH($A52,INDIRECT("'Predictor Setup'!A"&amp;3+G52):'Predictor Setup'!$A$202,0)+G52,"")</f>
        <v/>
      </c>
      <c r="I52" s="3" t="str">
        <f ca="1">IFERROR(MATCH($A52,INDIRECT("'Predictor Setup'!A"&amp;3+H52):'Predictor Setup'!$A$202,0)+H52,"")</f>
        <v/>
      </c>
      <c r="J52" s="3" t="str">
        <f ca="1">IFERROR(MATCH($A52,INDIRECT("'Predictor Setup'!A"&amp;3+I52):'Predictor Setup'!$A$202,0)+I52,"")</f>
        <v/>
      </c>
      <c r="K52" s="3" t="str">
        <f ca="1">IFERROR(MATCH($A52,INDIRECT("'Predictor Setup'!A"&amp;3+J52):'Predictor Setup'!$A$202,0)+J52,"")</f>
        <v/>
      </c>
      <c r="L52" s="3" t="str">
        <f ca="1">IFERROR(MATCH($A52,INDIRECT("'Predictor Setup'!A"&amp;3+K52):'Predictor Setup'!$A$202,0)+K52,"")</f>
        <v/>
      </c>
      <c r="M52" s="3" t="str">
        <f ca="1">IFERROR(MATCH($A52,INDIRECT("'Predictor Setup'!A"&amp;3+L52):'Predictor Setup'!$A$202,0)+L52,"")</f>
        <v/>
      </c>
      <c r="N52" s="3" t="str">
        <f ca="1">IFERROR(MATCH($A52,INDIRECT("'Predictor Setup'!A"&amp;3+M52):'Predictor Setup'!$A$202,0)+M52,"")</f>
        <v/>
      </c>
      <c r="O52" s="3" t="str">
        <f ca="1">IFERROR(MATCH($A52,INDIRECT("'Predictor Setup'!A"&amp;3+N52):'Predictor Setup'!$A$202,0)+N52,"")</f>
        <v/>
      </c>
      <c r="P52" s="3" t="str">
        <f ca="1">IFERROR(MATCH($A52,INDIRECT("'Predictor Setup'!A"&amp;3+O52):'Predictor Setup'!$A$202,0)+O52,"")</f>
        <v/>
      </c>
    </row>
    <row r="53" spans="1:16" x14ac:dyDescent="0.35">
      <c r="A53" t="str">
        <f>IF('Predictor Setup'!A41="",A52,'Predictor Setup'!A41)</f>
        <v>Facility</v>
      </c>
      <c r="B53" t="e">
        <f>MATCH($A53,'Predictor Setup'!$A$3:$A$202,0)</f>
        <v>#N/A</v>
      </c>
      <c r="C53" s="3" t="str">
        <f ca="1">IFERROR(MATCH($A53,INDIRECT("'Predictor Setup'!A"&amp;3+B53):'Predictor Setup'!$A$202,0)+B53,"")</f>
        <v/>
      </c>
      <c r="D53" s="3" t="str">
        <f ca="1">IFERROR(MATCH($A53,INDIRECT("'Predictor Setup'!A"&amp;3+C53):'Predictor Setup'!$A$202,0)+C53,"")</f>
        <v/>
      </c>
      <c r="E53" s="3" t="str">
        <f ca="1">IFERROR(MATCH($A53,INDIRECT("'Predictor Setup'!A"&amp;3+D53):'Predictor Setup'!$A$202,0)+D53,"")</f>
        <v/>
      </c>
      <c r="F53" s="3" t="str">
        <f ca="1">IFERROR(MATCH($A53,INDIRECT("'Predictor Setup'!A"&amp;3+E53):'Predictor Setup'!$A$202,0)+E53,"")</f>
        <v/>
      </c>
      <c r="G53" s="3" t="str">
        <f ca="1">IFERROR(MATCH($A53,INDIRECT("'Predictor Setup'!A"&amp;3+F53):'Predictor Setup'!$A$202,0)+F53,"")</f>
        <v/>
      </c>
      <c r="H53" s="3" t="str">
        <f ca="1">IFERROR(MATCH($A53,INDIRECT("'Predictor Setup'!A"&amp;3+G53):'Predictor Setup'!$A$202,0)+G53,"")</f>
        <v/>
      </c>
      <c r="I53" s="3" t="str">
        <f ca="1">IFERROR(MATCH($A53,INDIRECT("'Predictor Setup'!A"&amp;3+H53):'Predictor Setup'!$A$202,0)+H53,"")</f>
        <v/>
      </c>
      <c r="J53" s="3" t="str">
        <f ca="1">IFERROR(MATCH($A53,INDIRECT("'Predictor Setup'!A"&amp;3+I53):'Predictor Setup'!$A$202,0)+I53,"")</f>
        <v/>
      </c>
      <c r="K53" s="3" t="str">
        <f ca="1">IFERROR(MATCH($A53,INDIRECT("'Predictor Setup'!A"&amp;3+J53):'Predictor Setup'!$A$202,0)+J53,"")</f>
        <v/>
      </c>
      <c r="L53" s="3" t="str">
        <f ca="1">IFERROR(MATCH($A53,INDIRECT("'Predictor Setup'!A"&amp;3+K53):'Predictor Setup'!$A$202,0)+K53,"")</f>
        <v/>
      </c>
      <c r="M53" s="3" t="str">
        <f ca="1">IFERROR(MATCH($A53,INDIRECT("'Predictor Setup'!A"&amp;3+L53):'Predictor Setup'!$A$202,0)+L53,"")</f>
        <v/>
      </c>
      <c r="N53" s="3" t="str">
        <f ca="1">IFERROR(MATCH($A53,INDIRECT("'Predictor Setup'!A"&amp;3+M53):'Predictor Setup'!$A$202,0)+M53,"")</f>
        <v/>
      </c>
      <c r="O53" s="3" t="str">
        <f ca="1">IFERROR(MATCH($A53,INDIRECT("'Predictor Setup'!A"&amp;3+N53):'Predictor Setup'!$A$202,0)+N53,"")</f>
        <v/>
      </c>
      <c r="P53" s="3" t="str">
        <f ca="1">IFERROR(MATCH($A53,INDIRECT("'Predictor Setup'!A"&amp;3+O53):'Predictor Setup'!$A$202,0)+O53,"")</f>
        <v/>
      </c>
    </row>
    <row r="54" spans="1:16" x14ac:dyDescent="0.35">
      <c r="A54" t="str">
        <f>IF('Predictor Setup'!A42="",A53,'Predictor Setup'!A42)</f>
        <v>Facility</v>
      </c>
      <c r="B54" t="e">
        <f>MATCH($A54,'Predictor Setup'!$A$3:$A$202,0)</f>
        <v>#N/A</v>
      </c>
      <c r="C54" s="3" t="str">
        <f ca="1">IFERROR(MATCH($A54,INDIRECT("'Predictor Setup'!A"&amp;3+B54):'Predictor Setup'!$A$202,0)+B54,"")</f>
        <v/>
      </c>
      <c r="D54" s="3" t="str">
        <f ca="1">IFERROR(MATCH($A54,INDIRECT("'Predictor Setup'!A"&amp;3+C54):'Predictor Setup'!$A$202,0)+C54,"")</f>
        <v/>
      </c>
      <c r="E54" s="3" t="str">
        <f ca="1">IFERROR(MATCH($A54,INDIRECT("'Predictor Setup'!A"&amp;3+D54):'Predictor Setup'!$A$202,0)+D54,"")</f>
        <v/>
      </c>
      <c r="F54" s="3" t="str">
        <f ca="1">IFERROR(MATCH($A54,INDIRECT("'Predictor Setup'!A"&amp;3+E54):'Predictor Setup'!$A$202,0)+E54,"")</f>
        <v/>
      </c>
      <c r="G54" s="3" t="str">
        <f ca="1">IFERROR(MATCH($A54,INDIRECT("'Predictor Setup'!A"&amp;3+F54):'Predictor Setup'!$A$202,0)+F54,"")</f>
        <v/>
      </c>
      <c r="H54" s="3" t="str">
        <f ca="1">IFERROR(MATCH($A54,INDIRECT("'Predictor Setup'!A"&amp;3+G54):'Predictor Setup'!$A$202,0)+G54,"")</f>
        <v/>
      </c>
      <c r="I54" s="3" t="str">
        <f ca="1">IFERROR(MATCH($A54,INDIRECT("'Predictor Setup'!A"&amp;3+H54):'Predictor Setup'!$A$202,0)+H54,"")</f>
        <v/>
      </c>
      <c r="J54" s="3" t="str">
        <f ca="1">IFERROR(MATCH($A54,INDIRECT("'Predictor Setup'!A"&amp;3+I54):'Predictor Setup'!$A$202,0)+I54,"")</f>
        <v/>
      </c>
      <c r="K54" s="3" t="str">
        <f ca="1">IFERROR(MATCH($A54,INDIRECT("'Predictor Setup'!A"&amp;3+J54):'Predictor Setup'!$A$202,0)+J54,"")</f>
        <v/>
      </c>
      <c r="L54" s="3" t="str">
        <f ca="1">IFERROR(MATCH($A54,INDIRECT("'Predictor Setup'!A"&amp;3+K54):'Predictor Setup'!$A$202,0)+K54,"")</f>
        <v/>
      </c>
      <c r="M54" s="3" t="str">
        <f ca="1">IFERROR(MATCH($A54,INDIRECT("'Predictor Setup'!A"&amp;3+L54):'Predictor Setup'!$A$202,0)+L54,"")</f>
        <v/>
      </c>
      <c r="N54" s="3" t="str">
        <f ca="1">IFERROR(MATCH($A54,INDIRECT("'Predictor Setup'!A"&amp;3+M54):'Predictor Setup'!$A$202,0)+M54,"")</f>
        <v/>
      </c>
      <c r="O54" s="3" t="str">
        <f ca="1">IFERROR(MATCH($A54,INDIRECT("'Predictor Setup'!A"&amp;3+N54):'Predictor Setup'!$A$202,0)+N54,"")</f>
        <v/>
      </c>
      <c r="P54" s="3" t="str">
        <f ca="1">IFERROR(MATCH($A54,INDIRECT("'Predictor Setup'!A"&amp;3+O54):'Predictor Setup'!$A$202,0)+O54,"")</f>
        <v/>
      </c>
    </row>
    <row r="55" spans="1:16" x14ac:dyDescent="0.35">
      <c r="A55" t="str">
        <f>IF('Predictor Setup'!A43="",A54,'Predictor Setup'!A43)</f>
        <v>Facility</v>
      </c>
      <c r="B55" t="e">
        <f>MATCH($A55,'Predictor Setup'!$A$3:$A$202,0)</f>
        <v>#N/A</v>
      </c>
      <c r="C55" s="3" t="str">
        <f ca="1">IFERROR(MATCH($A55,INDIRECT("'Predictor Setup'!A"&amp;3+B55):'Predictor Setup'!$A$202,0)+B55,"")</f>
        <v/>
      </c>
      <c r="D55" s="3" t="str">
        <f ca="1">IFERROR(MATCH($A55,INDIRECT("'Predictor Setup'!A"&amp;3+C55):'Predictor Setup'!$A$202,0)+C55,"")</f>
        <v/>
      </c>
      <c r="E55" s="3" t="str">
        <f ca="1">IFERROR(MATCH($A55,INDIRECT("'Predictor Setup'!A"&amp;3+D55):'Predictor Setup'!$A$202,0)+D55,"")</f>
        <v/>
      </c>
      <c r="F55" s="3" t="str">
        <f ca="1">IFERROR(MATCH($A55,INDIRECT("'Predictor Setup'!A"&amp;3+E55):'Predictor Setup'!$A$202,0)+E55,"")</f>
        <v/>
      </c>
      <c r="G55" s="3" t="str">
        <f ca="1">IFERROR(MATCH($A55,INDIRECT("'Predictor Setup'!A"&amp;3+F55):'Predictor Setup'!$A$202,0)+F55,"")</f>
        <v/>
      </c>
      <c r="H55" s="3" t="str">
        <f ca="1">IFERROR(MATCH($A55,INDIRECT("'Predictor Setup'!A"&amp;3+G55):'Predictor Setup'!$A$202,0)+G55,"")</f>
        <v/>
      </c>
      <c r="I55" s="3" t="str">
        <f ca="1">IFERROR(MATCH($A55,INDIRECT("'Predictor Setup'!A"&amp;3+H55):'Predictor Setup'!$A$202,0)+H55,"")</f>
        <v/>
      </c>
      <c r="J55" s="3" t="str">
        <f ca="1">IFERROR(MATCH($A55,INDIRECT("'Predictor Setup'!A"&amp;3+I55):'Predictor Setup'!$A$202,0)+I55,"")</f>
        <v/>
      </c>
      <c r="K55" s="3" t="str">
        <f ca="1">IFERROR(MATCH($A55,INDIRECT("'Predictor Setup'!A"&amp;3+J55):'Predictor Setup'!$A$202,0)+J55,"")</f>
        <v/>
      </c>
      <c r="L55" s="3" t="str">
        <f ca="1">IFERROR(MATCH($A55,INDIRECT("'Predictor Setup'!A"&amp;3+K55):'Predictor Setup'!$A$202,0)+K55,"")</f>
        <v/>
      </c>
      <c r="M55" s="3" t="str">
        <f ca="1">IFERROR(MATCH($A55,INDIRECT("'Predictor Setup'!A"&amp;3+L55):'Predictor Setup'!$A$202,0)+L55,"")</f>
        <v/>
      </c>
      <c r="N55" s="3" t="str">
        <f ca="1">IFERROR(MATCH($A55,INDIRECT("'Predictor Setup'!A"&amp;3+M55):'Predictor Setup'!$A$202,0)+M55,"")</f>
        <v/>
      </c>
      <c r="O55" s="3" t="str">
        <f ca="1">IFERROR(MATCH($A55,INDIRECT("'Predictor Setup'!A"&amp;3+N55):'Predictor Setup'!$A$202,0)+N55,"")</f>
        <v/>
      </c>
      <c r="P55" s="3" t="str">
        <f ca="1">IFERROR(MATCH($A55,INDIRECT("'Predictor Setup'!A"&amp;3+O55):'Predictor Setup'!$A$202,0)+O55,"")</f>
        <v/>
      </c>
    </row>
    <row r="56" spans="1:16" x14ac:dyDescent="0.35">
      <c r="A56" t="str">
        <f>IF('Predictor Setup'!A44="",A55,'Predictor Setup'!A44)</f>
        <v>Facility</v>
      </c>
      <c r="B56" t="e">
        <f>MATCH($A56,'Predictor Setup'!$A$3:$A$202,0)</f>
        <v>#N/A</v>
      </c>
      <c r="C56" s="3" t="str">
        <f ca="1">IFERROR(MATCH($A56,INDIRECT("'Predictor Setup'!A"&amp;3+B56):'Predictor Setup'!$A$202,0)+B56,"")</f>
        <v/>
      </c>
      <c r="D56" s="3" t="str">
        <f ca="1">IFERROR(MATCH($A56,INDIRECT("'Predictor Setup'!A"&amp;3+C56):'Predictor Setup'!$A$202,0)+C56,"")</f>
        <v/>
      </c>
      <c r="E56" s="3" t="str">
        <f ca="1">IFERROR(MATCH($A56,INDIRECT("'Predictor Setup'!A"&amp;3+D56):'Predictor Setup'!$A$202,0)+D56,"")</f>
        <v/>
      </c>
      <c r="F56" s="3" t="str">
        <f ca="1">IFERROR(MATCH($A56,INDIRECT("'Predictor Setup'!A"&amp;3+E56):'Predictor Setup'!$A$202,0)+E56,"")</f>
        <v/>
      </c>
      <c r="G56" s="3" t="str">
        <f ca="1">IFERROR(MATCH($A56,INDIRECT("'Predictor Setup'!A"&amp;3+F56):'Predictor Setup'!$A$202,0)+F56,"")</f>
        <v/>
      </c>
      <c r="H56" s="3" t="str">
        <f ca="1">IFERROR(MATCH($A56,INDIRECT("'Predictor Setup'!A"&amp;3+G56):'Predictor Setup'!$A$202,0)+G56,"")</f>
        <v/>
      </c>
      <c r="I56" s="3" t="str">
        <f ca="1">IFERROR(MATCH($A56,INDIRECT("'Predictor Setup'!A"&amp;3+H56):'Predictor Setup'!$A$202,0)+H56,"")</f>
        <v/>
      </c>
      <c r="J56" s="3" t="str">
        <f ca="1">IFERROR(MATCH($A56,INDIRECT("'Predictor Setup'!A"&amp;3+I56):'Predictor Setup'!$A$202,0)+I56,"")</f>
        <v/>
      </c>
      <c r="K56" s="3" t="str">
        <f ca="1">IFERROR(MATCH($A56,INDIRECT("'Predictor Setup'!A"&amp;3+J56):'Predictor Setup'!$A$202,0)+J56,"")</f>
        <v/>
      </c>
      <c r="L56" s="3" t="str">
        <f ca="1">IFERROR(MATCH($A56,INDIRECT("'Predictor Setup'!A"&amp;3+K56):'Predictor Setup'!$A$202,0)+K56,"")</f>
        <v/>
      </c>
      <c r="M56" s="3" t="str">
        <f ca="1">IFERROR(MATCH($A56,INDIRECT("'Predictor Setup'!A"&amp;3+L56):'Predictor Setup'!$A$202,0)+L56,"")</f>
        <v/>
      </c>
      <c r="N56" s="3" t="str">
        <f ca="1">IFERROR(MATCH($A56,INDIRECT("'Predictor Setup'!A"&amp;3+M56):'Predictor Setup'!$A$202,0)+M56,"")</f>
        <v/>
      </c>
      <c r="O56" s="3" t="str">
        <f ca="1">IFERROR(MATCH($A56,INDIRECT("'Predictor Setup'!A"&amp;3+N56):'Predictor Setup'!$A$202,0)+N56,"")</f>
        <v/>
      </c>
      <c r="P56" s="3" t="str">
        <f ca="1">IFERROR(MATCH($A56,INDIRECT("'Predictor Setup'!A"&amp;3+O56):'Predictor Setup'!$A$202,0)+O56,"")</f>
        <v/>
      </c>
    </row>
    <row r="57" spans="1:16" x14ac:dyDescent="0.35">
      <c r="A57" t="str">
        <f>IF('Predictor Setup'!A45="",A56,'Predictor Setup'!A45)</f>
        <v>Facility</v>
      </c>
      <c r="B57" t="e">
        <f>MATCH($A57,'Predictor Setup'!$A$3:$A$202,0)</f>
        <v>#N/A</v>
      </c>
      <c r="C57" s="3" t="str">
        <f ca="1">IFERROR(MATCH($A57,INDIRECT("'Predictor Setup'!A"&amp;3+B57):'Predictor Setup'!$A$202,0)+B57,"")</f>
        <v/>
      </c>
      <c r="D57" s="3" t="str">
        <f ca="1">IFERROR(MATCH($A57,INDIRECT("'Predictor Setup'!A"&amp;3+C57):'Predictor Setup'!$A$202,0)+C57,"")</f>
        <v/>
      </c>
      <c r="E57" s="3" t="str">
        <f ca="1">IFERROR(MATCH($A57,INDIRECT("'Predictor Setup'!A"&amp;3+D57):'Predictor Setup'!$A$202,0)+D57,"")</f>
        <v/>
      </c>
      <c r="F57" s="3" t="str">
        <f ca="1">IFERROR(MATCH($A57,INDIRECT("'Predictor Setup'!A"&amp;3+E57):'Predictor Setup'!$A$202,0)+E57,"")</f>
        <v/>
      </c>
      <c r="G57" s="3" t="str">
        <f ca="1">IFERROR(MATCH($A57,INDIRECT("'Predictor Setup'!A"&amp;3+F57):'Predictor Setup'!$A$202,0)+F57,"")</f>
        <v/>
      </c>
      <c r="H57" s="3" t="str">
        <f ca="1">IFERROR(MATCH($A57,INDIRECT("'Predictor Setup'!A"&amp;3+G57):'Predictor Setup'!$A$202,0)+G57,"")</f>
        <v/>
      </c>
      <c r="I57" s="3" t="str">
        <f ca="1">IFERROR(MATCH($A57,INDIRECT("'Predictor Setup'!A"&amp;3+H57):'Predictor Setup'!$A$202,0)+H57,"")</f>
        <v/>
      </c>
      <c r="J57" s="3" t="str">
        <f ca="1">IFERROR(MATCH($A57,INDIRECT("'Predictor Setup'!A"&amp;3+I57):'Predictor Setup'!$A$202,0)+I57,"")</f>
        <v/>
      </c>
      <c r="K57" s="3" t="str">
        <f ca="1">IFERROR(MATCH($A57,INDIRECT("'Predictor Setup'!A"&amp;3+J57):'Predictor Setup'!$A$202,0)+J57,"")</f>
        <v/>
      </c>
      <c r="L57" s="3" t="str">
        <f ca="1">IFERROR(MATCH($A57,INDIRECT("'Predictor Setup'!A"&amp;3+K57):'Predictor Setup'!$A$202,0)+K57,"")</f>
        <v/>
      </c>
      <c r="M57" s="3" t="str">
        <f ca="1">IFERROR(MATCH($A57,INDIRECT("'Predictor Setup'!A"&amp;3+L57):'Predictor Setup'!$A$202,0)+L57,"")</f>
        <v/>
      </c>
      <c r="N57" s="3" t="str">
        <f ca="1">IFERROR(MATCH($A57,INDIRECT("'Predictor Setup'!A"&amp;3+M57):'Predictor Setup'!$A$202,0)+M57,"")</f>
        <v/>
      </c>
      <c r="O57" s="3" t="str">
        <f ca="1">IFERROR(MATCH($A57,INDIRECT("'Predictor Setup'!A"&amp;3+N57):'Predictor Setup'!$A$202,0)+N57,"")</f>
        <v/>
      </c>
      <c r="P57" s="3" t="str">
        <f ca="1">IFERROR(MATCH($A57,INDIRECT("'Predictor Setup'!A"&amp;3+O57):'Predictor Setup'!$A$202,0)+O57,"")</f>
        <v/>
      </c>
    </row>
    <row r="58" spans="1:16" x14ac:dyDescent="0.35">
      <c r="A58" t="str">
        <f>IF('Predictor Setup'!A46="",A57,'Predictor Setup'!A46)</f>
        <v>Facility</v>
      </c>
      <c r="B58" t="e">
        <f>MATCH($A58,'Predictor Setup'!$A$3:$A$202,0)</f>
        <v>#N/A</v>
      </c>
      <c r="C58" s="3" t="str">
        <f ca="1">IFERROR(MATCH($A58,INDIRECT("'Predictor Setup'!A"&amp;3+B58):'Predictor Setup'!$A$202,0)+B58,"")</f>
        <v/>
      </c>
      <c r="D58" s="3" t="str">
        <f ca="1">IFERROR(MATCH($A58,INDIRECT("'Predictor Setup'!A"&amp;3+C58):'Predictor Setup'!$A$202,0)+C58,"")</f>
        <v/>
      </c>
      <c r="E58" s="3" t="str">
        <f ca="1">IFERROR(MATCH($A58,INDIRECT("'Predictor Setup'!A"&amp;3+D58):'Predictor Setup'!$A$202,0)+D58,"")</f>
        <v/>
      </c>
      <c r="F58" s="3" t="str">
        <f ca="1">IFERROR(MATCH($A58,INDIRECT("'Predictor Setup'!A"&amp;3+E58):'Predictor Setup'!$A$202,0)+E58,"")</f>
        <v/>
      </c>
      <c r="G58" s="3" t="str">
        <f ca="1">IFERROR(MATCH($A58,INDIRECT("'Predictor Setup'!A"&amp;3+F58):'Predictor Setup'!$A$202,0)+F58,"")</f>
        <v/>
      </c>
      <c r="H58" s="3" t="str">
        <f ca="1">IFERROR(MATCH($A58,INDIRECT("'Predictor Setup'!A"&amp;3+G58):'Predictor Setup'!$A$202,0)+G58,"")</f>
        <v/>
      </c>
      <c r="I58" s="3" t="str">
        <f ca="1">IFERROR(MATCH($A58,INDIRECT("'Predictor Setup'!A"&amp;3+H58):'Predictor Setup'!$A$202,0)+H58,"")</f>
        <v/>
      </c>
      <c r="J58" s="3" t="str">
        <f ca="1">IFERROR(MATCH($A58,INDIRECT("'Predictor Setup'!A"&amp;3+I58):'Predictor Setup'!$A$202,0)+I58,"")</f>
        <v/>
      </c>
      <c r="K58" s="3" t="str">
        <f ca="1">IFERROR(MATCH($A58,INDIRECT("'Predictor Setup'!A"&amp;3+J58):'Predictor Setup'!$A$202,0)+J58,"")</f>
        <v/>
      </c>
      <c r="L58" s="3" t="str">
        <f ca="1">IFERROR(MATCH($A58,INDIRECT("'Predictor Setup'!A"&amp;3+K58):'Predictor Setup'!$A$202,0)+K58,"")</f>
        <v/>
      </c>
      <c r="M58" s="3" t="str">
        <f ca="1">IFERROR(MATCH($A58,INDIRECT("'Predictor Setup'!A"&amp;3+L58):'Predictor Setup'!$A$202,0)+L58,"")</f>
        <v/>
      </c>
      <c r="N58" s="3" t="str">
        <f ca="1">IFERROR(MATCH($A58,INDIRECT("'Predictor Setup'!A"&amp;3+M58):'Predictor Setup'!$A$202,0)+M58,"")</f>
        <v/>
      </c>
      <c r="O58" s="3" t="str">
        <f ca="1">IFERROR(MATCH($A58,INDIRECT("'Predictor Setup'!A"&amp;3+N58):'Predictor Setup'!$A$202,0)+N58,"")</f>
        <v/>
      </c>
      <c r="P58" s="3" t="str">
        <f ca="1">IFERROR(MATCH($A58,INDIRECT("'Predictor Setup'!A"&amp;3+O58):'Predictor Setup'!$A$202,0)+O58,"")</f>
        <v/>
      </c>
    </row>
    <row r="59" spans="1:16" x14ac:dyDescent="0.35">
      <c r="A59" t="str">
        <f>IF('Predictor Setup'!A47="",A58,'Predictor Setup'!A47)</f>
        <v>Facility</v>
      </c>
      <c r="B59" t="e">
        <f>MATCH($A59,'Predictor Setup'!$A$3:$A$202,0)</f>
        <v>#N/A</v>
      </c>
      <c r="C59" s="3" t="str">
        <f ca="1">IFERROR(MATCH($A59,INDIRECT("'Predictor Setup'!A"&amp;3+B59):'Predictor Setup'!$A$202,0)+B59,"")</f>
        <v/>
      </c>
      <c r="D59" s="3" t="str">
        <f ca="1">IFERROR(MATCH($A59,INDIRECT("'Predictor Setup'!A"&amp;3+C59):'Predictor Setup'!$A$202,0)+C59,"")</f>
        <v/>
      </c>
      <c r="E59" s="3" t="str">
        <f ca="1">IFERROR(MATCH($A59,INDIRECT("'Predictor Setup'!A"&amp;3+D59):'Predictor Setup'!$A$202,0)+D59,"")</f>
        <v/>
      </c>
      <c r="F59" s="3" t="str">
        <f ca="1">IFERROR(MATCH($A59,INDIRECT("'Predictor Setup'!A"&amp;3+E59):'Predictor Setup'!$A$202,0)+E59,"")</f>
        <v/>
      </c>
      <c r="G59" s="3" t="str">
        <f ca="1">IFERROR(MATCH($A59,INDIRECT("'Predictor Setup'!A"&amp;3+F59):'Predictor Setup'!$A$202,0)+F59,"")</f>
        <v/>
      </c>
      <c r="H59" s="3" t="str">
        <f ca="1">IFERROR(MATCH($A59,INDIRECT("'Predictor Setup'!A"&amp;3+G59):'Predictor Setup'!$A$202,0)+G59,"")</f>
        <v/>
      </c>
      <c r="I59" s="3" t="str">
        <f ca="1">IFERROR(MATCH($A59,INDIRECT("'Predictor Setup'!A"&amp;3+H59):'Predictor Setup'!$A$202,0)+H59,"")</f>
        <v/>
      </c>
      <c r="J59" s="3" t="str">
        <f ca="1">IFERROR(MATCH($A59,INDIRECT("'Predictor Setup'!A"&amp;3+I59):'Predictor Setup'!$A$202,0)+I59,"")</f>
        <v/>
      </c>
      <c r="K59" s="3" t="str">
        <f ca="1">IFERROR(MATCH($A59,INDIRECT("'Predictor Setup'!A"&amp;3+J59):'Predictor Setup'!$A$202,0)+J59,"")</f>
        <v/>
      </c>
      <c r="L59" s="3" t="str">
        <f ca="1">IFERROR(MATCH($A59,INDIRECT("'Predictor Setup'!A"&amp;3+K59):'Predictor Setup'!$A$202,0)+K59,"")</f>
        <v/>
      </c>
      <c r="M59" s="3" t="str">
        <f ca="1">IFERROR(MATCH($A59,INDIRECT("'Predictor Setup'!A"&amp;3+L59):'Predictor Setup'!$A$202,0)+L59,"")</f>
        <v/>
      </c>
      <c r="N59" s="3" t="str">
        <f ca="1">IFERROR(MATCH($A59,INDIRECT("'Predictor Setup'!A"&amp;3+M59):'Predictor Setup'!$A$202,0)+M59,"")</f>
        <v/>
      </c>
      <c r="O59" s="3" t="str">
        <f ca="1">IFERROR(MATCH($A59,INDIRECT("'Predictor Setup'!A"&amp;3+N59):'Predictor Setup'!$A$202,0)+N59,"")</f>
        <v/>
      </c>
      <c r="P59" s="3" t="str">
        <f ca="1">IFERROR(MATCH($A59,INDIRECT("'Predictor Setup'!A"&amp;3+O59):'Predictor Setup'!$A$202,0)+O59,"")</f>
        <v/>
      </c>
    </row>
    <row r="60" spans="1:16" x14ac:dyDescent="0.35">
      <c r="A60" t="str">
        <f>IF('Predictor Setup'!A48="",A59,'Predictor Setup'!A48)</f>
        <v>Facility</v>
      </c>
      <c r="B60" t="e">
        <f>MATCH($A60,'Predictor Setup'!$A$3:$A$202,0)</f>
        <v>#N/A</v>
      </c>
      <c r="C60" s="3" t="str">
        <f ca="1">IFERROR(MATCH($A60,INDIRECT("'Predictor Setup'!A"&amp;3+B60):'Predictor Setup'!$A$202,0)+B60,"")</f>
        <v/>
      </c>
      <c r="D60" s="3" t="str">
        <f ca="1">IFERROR(MATCH($A60,INDIRECT("'Predictor Setup'!A"&amp;3+C60):'Predictor Setup'!$A$202,0)+C60,"")</f>
        <v/>
      </c>
      <c r="E60" s="3" t="str">
        <f ca="1">IFERROR(MATCH($A60,INDIRECT("'Predictor Setup'!A"&amp;3+D60):'Predictor Setup'!$A$202,0)+D60,"")</f>
        <v/>
      </c>
      <c r="F60" s="3" t="str">
        <f ca="1">IFERROR(MATCH($A60,INDIRECT("'Predictor Setup'!A"&amp;3+E60):'Predictor Setup'!$A$202,0)+E60,"")</f>
        <v/>
      </c>
      <c r="G60" s="3" t="str">
        <f ca="1">IFERROR(MATCH($A60,INDIRECT("'Predictor Setup'!A"&amp;3+F60):'Predictor Setup'!$A$202,0)+F60,"")</f>
        <v/>
      </c>
      <c r="H60" s="3" t="str">
        <f ca="1">IFERROR(MATCH($A60,INDIRECT("'Predictor Setup'!A"&amp;3+G60):'Predictor Setup'!$A$202,0)+G60,"")</f>
        <v/>
      </c>
      <c r="I60" s="3" t="str">
        <f ca="1">IFERROR(MATCH($A60,INDIRECT("'Predictor Setup'!A"&amp;3+H60):'Predictor Setup'!$A$202,0)+H60,"")</f>
        <v/>
      </c>
      <c r="J60" s="3" t="str">
        <f ca="1">IFERROR(MATCH($A60,INDIRECT("'Predictor Setup'!A"&amp;3+I60):'Predictor Setup'!$A$202,0)+I60,"")</f>
        <v/>
      </c>
      <c r="K60" s="3" t="str">
        <f ca="1">IFERROR(MATCH($A60,INDIRECT("'Predictor Setup'!A"&amp;3+J60):'Predictor Setup'!$A$202,0)+J60,"")</f>
        <v/>
      </c>
      <c r="L60" s="3" t="str">
        <f ca="1">IFERROR(MATCH($A60,INDIRECT("'Predictor Setup'!A"&amp;3+K60):'Predictor Setup'!$A$202,0)+K60,"")</f>
        <v/>
      </c>
      <c r="M60" s="3" t="str">
        <f ca="1">IFERROR(MATCH($A60,INDIRECT("'Predictor Setup'!A"&amp;3+L60):'Predictor Setup'!$A$202,0)+L60,"")</f>
        <v/>
      </c>
      <c r="N60" s="3" t="str">
        <f ca="1">IFERROR(MATCH($A60,INDIRECT("'Predictor Setup'!A"&amp;3+M60):'Predictor Setup'!$A$202,0)+M60,"")</f>
        <v/>
      </c>
      <c r="O60" s="3" t="str">
        <f ca="1">IFERROR(MATCH($A60,INDIRECT("'Predictor Setup'!A"&amp;3+N60):'Predictor Setup'!$A$202,0)+N60,"")</f>
        <v/>
      </c>
      <c r="P60" s="3" t="str">
        <f ca="1">IFERROR(MATCH($A60,INDIRECT("'Predictor Setup'!A"&amp;3+O60):'Predictor Setup'!$A$202,0)+O60,"")</f>
        <v/>
      </c>
    </row>
    <row r="61" spans="1:16" x14ac:dyDescent="0.35">
      <c r="A61" t="str">
        <f>IF('Predictor Setup'!A49="",A60,'Predictor Setup'!A49)</f>
        <v>Facility</v>
      </c>
      <c r="B61" t="e">
        <f>MATCH($A61,'Predictor Setup'!$A$3:$A$202,0)</f>
        <v>#N/A</v>
      </c>
      <c r="C61" s="3" t="str">
        <f ca="1">IFERROR(MATCH($A61,INDIRECT("'Predictor Setup'!A"&amp;3+B61):'Predictor Setup'!$A$202,0)+B61,"")</f>
        <v/>
      </c>
      <c r="D61" s="3" t="str">
        <f ca="1">IFERROR(MATCH($A61,INDIRECT("'Predictor Setup'!A"&amp;3+C61):'Predictor Setup'!$A$202,0)+C61,"")</f>
        <v/>
      </c>
      <c r="E61" s="3" t="str">
        <f ca="1">IFERROR(MATCH($A61,INDIRECT("'Predictor Setup'!A"&amp;3+D61):'Predictor Setup'!$A$202,0)+D61,"")</f>
        <v/>
      </c>
      <c r="F61" s="3" t="str">
        <f ca="1">IFERROR(MATCH($A61,INDIRECT("'Predictor Setup'!A"&amp;3+E61):'Predictor Setup'!$A$202,0)+E61,"")</f>
        <v/>
      </c>
      <c r="G61" s="3" t="str">
        <f ca="1">IFERROR(MATCH($A61,INDIRECT("'Predictor Setup'!A"&amp;3+F61):'Predictor Setup'!$A$202,0)+F61,"")</f>
        <v/>
      </c>
      <c r="H61" s="3" t="str">
        <f ca="1">IFERROR(MATCH($A61,INDIRECT("'Predictor Setup'!A"&amp;3+G61):'Predictor Setup'!$A$202,0)+G61,"")</f>
        <v/>
      </c>
      <c r="I61" s="3" t="str">
        <f ca="1">IFERROR(MATCH($A61,INDIRECT("'Predictor Setup'!A"&amp;3+H61):'Predictor Setup'!$A$202,0)+H61,"")</f>
        <v/>
      </c>
      <c r="J61" s="3" t="str">
        <f ca="1">IFERROR(MATCH($A61,INDIRECT("'Predictor Setup'!A"&amp;3+I61):'Predictor Setup'!$A$202,0)+I61,"")</f>
        <v/>
      </c>
      <c r="K61" s="3" t="str">
        <f ca="1">IFERROR(MATCH($A61,INDIRECT("'Predictor Setup'!A"&amp;3+J61):'Predictor Setup'!$A$202,0)+J61,"")</f>
        <v/>
      </c>
      <c r="L61" s="3" t="str">
        <f ca="1">IFERROR(MATCH($A61,INDIRECT("'Predictor Setup'!A"&amp;3+K61):'Predictor Setup'!$A$202,0)+K61,"")</f>
        <v/>
      </c>
      <c r="M61" s="3" t="str">
        <f ca="1">IFERROR(MATCH($A61,INDIRECT("'Predictor Setup'!A"&amp;3+L61):'Predictor Setup'!$A$202,0)+L61,"")</f>
        <v/>
      </c>
      <c r="N61" s="3" t="str">
        <f ca="1">IFERROR(MATCH($A61,INDIRECT("'Predictor Setup'!A"&amp;3+M61):'Predictor Setup'!$A$202,0)+M61,"")</f>
        <v/>
      </c>
      <c r="O61" s="3" t="str">
        <f ca="1">IFERROR(MATCH($A61,INDIRECT("'Predictor Setup'!A"&amp;3+N61):'Predictor Setup'!$A$202,0)+N61,"")</f>
        <v/>
      </c>
      <c r="P61" s="3" t="str">
        <f ca="1">IFERROR(MATCH($A61,INDIRECT("'Predictor Setup'!A"&amp;3+O61):'Predictor Setup'!$A$202,0)+O61,"")</f>
        <v/>
      </c>
    </row>
    <row r="62" spans="1:16" x14ac:dyDescent="0.35">
      <c r="A62" t="str">
        <f>IF('Predictor Setup'!A50="",A61,'Predictor Setup'!A50)</f>
        <v>Facility</v>
      </c>
      <c r="B62" t="e">
        <f>MATCH($A62,'Predictor Setup'!$A$3:$A$202,0)</f>
        <v>#N/A</v>
      </c>
      <c r="C62" s="3" t="str">
        <f ca="1">IFERROR(MATCH($A62,INDIRECT("'Predictor Setup'!A"&amp;3+B62):'Predictor Setup'!$A$202,0)+B62,"")</f>
        <v/>
      </c>
      <c r="D62" s="3" t="str">
        <f ca="1">IFERROR(MATCH($A62,INDIRECT("'Predictor Setup'!A"&amp;3+C62):'Predictor Setup'!$A$202,0)+C62,"")</f>
        <v/>
      </c>
      <c r="E62" s="3" t="str">
        <f ca="1">IFERROR(MATCH($A62,INDIRECT("'Predictor Setup'!A"&amp;3+D62):'Predictor Setup'!$A$202,0)+D62,"")</f>
        <v/>
      </c>
      <c r="F62" s="3" t="str">
        <f ca="1">IFERROR(MATCH($A62,INDIRECT("'Predictor Setup'!A"&amp;3+E62):'Predictor Setup'!$A$202,0)+E62,"")</f>
        <v/>
      </c>
      <c r="G62" s="3" t="str">
        <f ca="1">IFERROR(MATCH($A62,INDIRECT("'Predictor Setup'!A"&amp;3+F62):'Predictor Setup'!$A$202,0)+F62,"")</f>
        <v/>
      </c>
      <c r="H62" s="3" t="str">
        <f ca="1">IFERROR(MATCH($A62,INDIRECT("'Predictor Setup'!A"&amp;3+G62):'Predictor Setup'!$A$202,0)+G62,"")</f>
        <v/>
      </c>
      <c r="I62" s="3" t="str">
        <f ca="1">IFERROR(MATCH($A62,INDIRECT("'Predictor Setup'!A"&amp;3+H62):'Predictor Setup'!$A$202,0)+H62,"")</f>
        <v/>
      </c>
      <c r="J62" s="3" t="str">
        <f ca="1">IFERROR(MATCH($A62,INDIRECT("'Predictor Setup'!A"&amp;3+I62):'Predictor Setup'!$A$202,0)+I62,"")</f>
        <v/>
      </c>
      <c r="K62" s="3" t="str">
        <f ca="1">IFERROR(MATCH($A62,INDIRECT("'Predictor Setup'!A"&amp;3+J62):'Predictor Setup'!$A$202,0)+J62,"")</f>
        <v/>
      </c>
      <c r="L62" s="3" t="str">
        <f ca="1">IFERROR(MATCH($A62,INDIRECT("'Predictor Setup'!A"&amp;3+K62):'Predictor Setup'!$A$202,0)+K62,"")</f>
        <v/>
      </c>
      <c r="M62" s="3" t="str">
        <f ca="1">IFERROR(MATCH($A62,INDIRECT("'Predictor Setup'!A"&amp;3+L62):'Predictor Setup'!$A$202,0)+L62,"")</f>
        <v/>
      </c>
      <c r="N62" s="3" t="str">
        <f ca="1">IFERROR(MATCH($A62,INDIRECT("'Predictor Setup'!A"&amp;3+M62):'Predictor Setup'!$A$202,0)+M62,"")</f>
        <v/>
      </c>
      <c r="O62" s="3" t="str">
        <f ca="1">IFERROR(MATCH($A62,INDIRECT("'Predictor Setup'!A"&amp;3+N62):'Predictor Setup'!$A$202,0)+N62,"")</f>
        <v/>
      </c>
      <c r="P62" s="3" t="str">
        <f ca="1">IFERROR(MATCH($A62,INDIRECT("'Predictor Setup'!A"&amp;3+O62):'Predictor Setup'!$A$202,0)+O62,"")</f>
        <v/>
      </c>
    </row>
    <row r="63" spans="1:16" x14ac:dyDescent="0.35">
      <c r="A63" t="str">
        <f>IF('Predictor Setup'!A51="",A62,'Predictor Setup'!A51)</f>
        <v>Facility</v>
      </c>
      <c r="B63" t="e">
        <f>MATCH($A63,'Predictor Setup'!$A$3:$A$202,0)</f>
        <v>#N/A</v>
      </c>
      <c r="C63" s="3" t="str">
        <f ca="1">IFERROR(MATCH($A63,INDIRECT("'Predictor Setup'!A"&amp;3+B63):'Predictor Setup'!$A$202,0)+B63,"")</f>
        <v/>
      </c>
      <c r="D63" s="3" t="str">
        <f ca="1">IFERROR(MATCH($A63,INDIRECT("'Predictor Setup'!A"&amp;3+C63):'Predictor Setup'!$A$202,0)+C63,"")</f>
        <v/>
      </c>
      <c r="E63" s="3" t="str">
        <f ca="1">IFERROR(MATCH($A63,INDIRECT("'Predictor Setup'!A"&amp;3+D63):'Predictor Setup'!$A$202,0)+D63,"")</f>
        <v/>
      </c>
      <c r="F63" s="3" t="str">
        <f ca="1">IFERROR(MATCH($A63,INDIRECT("'Predictor Setup'!A"&amp;3+E63):'Predictor Setup'!$A$202,0)+E63,"")</f>
        <v/>
      </c>
      <c r="G63" s="3" t="str">
        <f ca="1">IFERROR(MATCH($A63,INDIRECT("'Predictor Setup'!A"&amp;3+F63):'Predictor Setup'!$A$202,0)+F63,"")</f>
        <v/>
      </c>
      <c r="H63" s="3" t="str">
        <f ca="1">IFERROR(MATCH($A63,INDIRECT("'Predictor Setup'!A"&amp;3+G63):'Predictor Setup'!$A$202,0)+G63,"")</f>
        <v/>
      </c>
      <c r="I63" s="3" t="str">
        <f ca="1">IFERROR(MATCH($A63,INDIRECT("'Predictor Setup'!A"&amp;3+H63):'Predictor Setup'!$A$202,0)+H63,"")</f>
        <v/>
      </c>
      <c r="J63" s="3" t="str">
        <f ca="1">IFERROR(MATCH($A63,INDIRECT("'Predictor Setup'!A"&amp;3+I63):'Predictor Setup'!$A$202,0)+I63,"")</f>
        <v/>
      </c>
      <c r="K63" s="3" t="str">
        <f ca="1">IFERROR(MATCH($A63,INDIRECT("'Predictor Setup'!A"&amp;3+J63):'Predictor Setup'!$A$202,0)+J63,"")</f>
        <v/>
      </c>
      <c r="L63" s="3" t="str">
        <f ca="1">IFERROR(MATCH($A63,INDIRECT("'Predictor Setup'!A"&amp;3+K63):'Predictor Setup'!$A$202,0)+K63,"")</f>
        <v/>
      </c>
      <c r="M63" s="3" t="str">
        <f ca="1">IFERROR(MATCH($A63,INDIRECT("'Predictor Setup'!A"&amp;3+L63):'Predictor Setup'!$A$202,0)+L63,"")</f>
        <v/>
      </c>
      <c r="N63" s="3" t="str">
        <f ca="1">IFERROR(MATCH($A63,INDIRECT("'Predictor Setup'!A"&amp;3+M63):'Predictor Setup'!$A$202,0)+M63,"")</f>
        <v/>
      </c>
      <c r="O63" s="3" t="str">
        <f ca="1">IFERROR(MATCH($A63,INDIRECT("'Predictor Setup'!A"&amp;3+N63):'Predictor Setup'!$A$202,0)+N63,"")</f>
        <v/>
      </c>
      <c r="P63" s="3" t="str">
        <f ca="1">IFERROR(MATCH($A63,INDIRECT("'Predictor Setup'!A"&amp;3+O63):'Predictor Setup'!$A$202,0)+O63,"")</f>
        <v/>
      </c>
    </row>
    <row r="64" spans="1:16" x14ac:dyDescent="0.35">
      <c r="A64" t="str">
        <f>IF('Predictor Setup'!A52="",A63,'Predictor Setup'!A52)</f>
        <v>Facility</v>
      </c>
      <c r="B64" t="e">
        <f>MATCH($A64,'Predictor Setup'!$A$3:$A$202,0)</f>
        <v>#N/A</v>
      </c>
      <c r="C64" s="3" t="str">
        <f ca="1">IFERROR(MATCH($A64,INDIRECT("'Predictor Setup'!A"&amp;3+B64):'Predictor Setup'!$A$202,0)+B64,"")</f>
        <v/>
      </c>
      <c r="D64" s="3" t="str">
        <f ca="1">IFERROR(MATCH($A64,INDIRECT("'Predictor Setup'!A"&amp;3+C64):'Predictor Setup'!$A$202,0)+C64,"")</f>
        <v/>
      </c>
      <c r="E64" s="3" t="str">
        <f ca="1">IFERROR(MATCH($A64,INDIRECT("'Predictor Setup'!A"&amp;3+D64):'Predictor Setup'!$A$202,0)+D64,"")</f>
        <v/>
      </c>
      <c r="F64" s="3" t="str">
        <f ca="1">IFERROR(MATCH($A64,INDIRECT("'Predictor Setup'!A"&amp;3+E64):'Predictor Setup'!$A$202,0)+E64,"")</f>
        <v/>
      </c>
      <c r="G64" s="3" t="str">
        <f ca="1">IFERROR(MATCH($A64,INDIRECT("'Predictor Setup'!A"&amp;3+F64):'Predictor Setup'!$A$202,0)+F64,"")</f>
        <v/>
      </c>
      <c r="H64" s="3" t="str">
        <f ca="1">IFERROR(MATCH($A64,INDIRECT("'Predictor Setup'!A"&amp;3+G64):'Predictor Setup'!$A$202,0)+G64,"")</f>
        <v/>
      </c>
      <c r="I64" s="3" t="str">
        <f ca="1">IFERROR(MATCH($A64,INDIRECT("'Predictor Setup'!A"&amp;3+H64):'Predictor Setup'!$A$202,0)+H64,"")</f>
        <v/>
      </c>
      <c r="J64" s="3" t="str">
        <f ca="1">IFERROR(MATCH($A64,INDIRECT("'Predictor Setup'!A"&amp;3+I64):'Predictor Setup'!$A$202,0)+I64,"")</f>
        <v/>
      </c>
      <c r="K64" s="3" t="str">
        <f ca="1">IFERROR(MATCH($A64,INDIRECT("'Predictor Setup'!A"&amp;3+J64):'Predictor Setup'!$A$202,0)+J64,"")</f>
        <v/>
      </c>
      <c r="L64" s="3" t="str">
        <f ca="1">IFERROR(MATCH($A64,INDIRECT("'Predictor Setup'!A"&amp;3+K64):'Predictor Setup'!$A$202,0)+K64,"")</f>
        <v/>
      </c>
      <c r="M64" s="3" t="str">
        <f ca="1">IFERROR(MATCH($A64,INDIRECT("'Predictor Setup'!A"&amp;3+L64):'Predictor Setup'!$A$202,0)+L64,"")</f>
        <v/>
      </c>
      <c r="N64" s="3" t="str">
        <f ca="1">IFERROR(MATCH($A64,INDIRECT("'Predictor Setup'!A"&amp;3+M64):'Predictor Setup'!$A$202,0)+M64,"")</f>
        <v/>
      </c>
      <c r="O64" s="3" t="str">
        <f ca="1">IFERROR(MATCH($A64,INDIRECT("'Predictor Setup'!A"&amp;3+N64):'Predictor Setup'!$A$202,0)+N64,"")</f>
        <v/>
      </c>
      <c r="P64" s="3" t="str">
        <f ca="1">IFERROR(MATCH($A64,INDIRECT("'Predictor Setup'!A"&amp;3+O64):'Predictor Setup'!$A$202,0)+O64,"")</f>
        <v/>
      </c>
    </row>
    <row r="65" spans="1:16" x14ac:dyDescent="0.35">
      <c r="A65" t="str">
        <f>IF('Predictor Setup'!A53="",A64,'Predictor Setup'!A53)</f>
        <v>Facility</v>
      </c>
      <c r="B65" t="e">
        <f>MATCH($A65,'Predictor Setup'!$A$3:$A$202,0)</f>
        <v>#N/A</v>
      </c>
      <c r="C65" s="3" t="str">
        <f ca="1">IFERROR(MATCH($A65,INDIRECT("'Predictor Setup'!A"&amp;3+B65):'Predictor Setup'!$A$202,0)+B65,"")</f>
        <v/>
      </c>
      <c r="D65" s="3" t="str">
        <f ca="1">IFERROR(MATCH($A65,INDIRECT("'Predictor Setup'!A"&amp;3+C65):'Predictor Setup'!$A$202,0)+C65,"")</f>
        <v/>
      </c>
      <c r="E65" s="3" t="str">
        <f ca="1">IFERROR(MATCH($A65,INDIRECT("'Predictor Setup'!A"&amp;3+D65):'Predictor Setup'!$A$202,0)+D65,"")</f>
        <v/>
      </c>
      <c r="F65" s="3" t="str">
        <f ca="1">IFERROR(MATCH($A65,INDIRECT("'Predictor Setup'!A"&amp;3+E65):'Predictor Setup'!$A$202,0)+E65,"")</f>
        <v/>
      </c>
      <c r="G65" s="3" t="str">
        <f ca="1">IFERROR(MATCH($A65,INDIRECT("'Predictor Setup'!A"&amp;3+F65):'Predictor Setup'!$A$202,0)+F65,"")</f>
        <v/>
      </c>
      <c r="H65" s="3" t="str">
        <f ca="1">IFERROR(MATCH($A65,INDIRECT("'Predictor Setup'!A"&amp;3+G65):'Predictor Setup'!$A$202,0)+G65,"")</f>
        <v/>
      </c>
      <c r="I65" s="3" t="str">
        <f ca="1">IFERROR(MATCH($A65,INDIRECT("'Predictor Setup'!A"&amp;3+H65):'Predictor Setup'!$A$202,0)+H65,"")</f>
        <v/>
      </c>
      <c r="J65" s="3" t="str">
        <f ca="1">IFERROR(MATCH($A65,INDIRECT("'Predictor Setup'!A"&amp;3+I65):'Predictor Setup'!$A$202,0)+I65,"")</f>
        <v/>
      </c>
      <c r="K65" s="3" t="str">
        <f ca="1">IFERROR(MATCH($A65,INDIRECT("'Predictor Setup'!A"&amp;3+J65):'Predictor Setup'!$A$202,0)+J65,"")</f>
        <v/>
      </c>
      <c r="L65" s="3" t="str">
        <f ca="1">IFERROR(MATCH($A65,INDIRECT("'Predictor Setup'!A"&amp;3+K65):'Predictor Setup'!$A$202,0)+K65,"")</f>
        <v/>
      </c>
      <c r="M65" s="3" t="str">
        <f ca="1">IFERROR(MATCH($A65,INDIRECT("'Predictor Setup'!A"&amp;3+L65):'Predictor Setup'!$A$202,0)+L65,"")</f>
        <v/>
      </c>
      <c r="N65" s="3" t="str">
        <f ca="1">IFERROR(MATCH($A65,INDIRECT("'Predictor Setup'!A"&amp;3+M65):'Predictor Setup'!$A$202,0)+M65,"")</f>
        <v/>
      </c>
      <c r="O65" s="3" t="str">
        <f ca="1">IFERROR(MATCH($A65,INDIRECT("'Predictor Setup'!A"&amp;3+N65):'Predictor Setup'!$A$202,0)+N65,"")</f>
        <v/>
      </c>
      <c r="P65" s="3" t="str">
        <f ca="1">IFERROR(MATCH($A65,INDIRECT("'Predictor Setup'!A"&amp;3+O65):'Predictor Setup'!$A$202,0)+O65,"")</f>
        <v/>
      </c>
    </row>
    <row r="66" spans="1:16" x14ac:dyDescent="0.35">
      <c r="A66" t="str">
        <f>IF('Predictor Setup'!A54="",A65,'Predictor Setup'!A54)</f>
        <v>Facility</v>
      </c>
      <c r="B66" t="e">
        <f>MATCH($A66,'Predictor Setup'!$A$3:$A$202,0)</f>
        <v>#N/A</v>
      </c>
      <c r="C66" s="3" t="str">
        <f ca="1">IFERROR(MATCH($A66,INDIRECT("'Predictor Setup'!A"&amp;3+B66):'Predictor Setup'!$A$202,0)+B66,"")</f>
        <v/>
      </c>
      <c r="D66" s="3" t="str">
        <f ca="1">IFERROR(MATCH($A66,INDIRECT("'Predictor Setup'!A"&amp;3+C66):'Predictor Setup'!$A$202,0)+C66,"")</f>
        <v/>
      </c>
      <c r="E66" s="3" t="str">
        <f ca="1">IFERROR(MATCH($A66,INDIRECT("'Predictor Setup'!A"&amp;3+D66):'Predictor Setup'!$A$202,0)+D66,"")</f>
        <v/>
      </c>
      <c r="F66" s="3" t="str">
        <f ca="1">IFERROR(MATCH($A66,INDIRECT("'Predictor Setup'!A"&amp;3+E66):'Predictor Setup'!$A$202,0)+E66,"")</f>
        <v/>
      </c>
      <c r="G66" s="3" t="str">
        <f ca="1">IFERROR(MATCH($A66,INDIRECT("'Predictor Setup'!A"&amp;3+F66):'Predictor Setup'!$A$202,0)+F66,"")</f>
        <v/>
      </c>
      <c r="H66" s="3" t="str">
        <f ca="1">IFERROR(MATCH($A66,INDIRECT("'Predictor Setup'!A"&amp;3+G66):'Predictor Setup'!$A$202,0)+G66,"")</f>
        <v/>
      </c>
      <c r="I66" s="3" t="str">
        <f ca="1">IFERROR(MATCH($A66,INDIRECT("'Predictor Setup'!A"&amp;3+H66):'Predictor Setup'!$A$202,0)+H66,"")</f>
        <v/>
      </c>
      <c r="J66" s="3" t="str">
        <f ca="1">IFERROR(MATCH($A66,INDIRECT("'Predictor Setup'!A"&amp;3+I66):'Predictor Setup'!$A$202,0)+I66,"")</f>
        <v/>
      </c>
      <c r="K66" s="3" t="str">
        <f ca="1">IFERROR(MATCH($A66,INDIRECT("'Predictor Setup'!A"&amp;3+J66):'Predictor Setup'!$A$202,0)+J66,"")</f>
        <v/>
      </c>
      <c r="L66" s="3" t="str">
        <f ca="1">IFERROR(MATCH($A66,INDIRECT("'Predictor Setup'!A"&amp;3+K66):'Predictor Setup'!$A$202,0)+K66,"")</f>
        <v/>
      </c>
      <c r="M66" s="3" t="str">
        <f ca="1">IFERROR(MATCH($A66,INDIRECT("'Predictor Setup'!A"&amp;3+L66):'Predictor Setup'!$A$202,0)+L66,"")</f>
        <v/>
      </c>
      <c r="N66" s="3" t="str">
        <f ca="1">IFERROR(MATCH($A66,INDIRECT("'Predictor Setup'!A"&amp;3+M66):'Predictor Setup'!$A$202,0)+M66,"")</f>
        <v/>
      </c>
      <c r="O66" s="3" t="str">
        <f ca="1">IFERROR(MATCH($A66,INDIRECT("'Predictor Setup'!A"&amp;3+N66):'Predictor Setup'!$A$202,0)+N66,"")</f>
        <v/>
      </c>
      <c r="P66" s="3" t="str">
        <f ca="1">IFERROR(MATCH($A66,INDIRECT("'Predictor Setup'!A"&amp;3+O66):'Predictor Setup'!$A$202,0)+O66,"")</f>
        <v/>
      </c>
    </row>
    <row r="67" spans="1:16" x14ac:dyDescent="0.35">
      <c r="A67" t="str">
        <f>IF('Predictor Setup'!A55="",A66,'Predictor Setup'!A55)</f>
        <v>Facility</v>
      </c>
      <c r="B67" t="e">
        <f>MATCH($A67,'Predictor Setup'!$A$3:$A$202,0)</f>
        <v>#N/A</v>
      </c>
      <c r="C67" s="3" t="str">
        <f ca="1">IFERROR(MATCH($A67,INDIRECT("'Predictor Setup'!A"&amp;3+B67):'Predictor Setup'!$A$202,0)+B67,"")</f>
        <v/>
      </c>
      <c r="D67" s="3" t="str">
        <f ca="1">IFERROR(MATCH($A67,INDIRECT("'Predictor Setup'!A"&amp;3+C67):'Predictor Setup'!$A$202,0)+C67,"")</f>
        <v/>
      </c>
      <c r="E67" s="3" t="str">
        <f ca="1">IFERROR(MATCH($A67,INDIRECT("'Predictor Setup'!A"&amp;3+D67):'Predictor Setup'!$A$202,0)+D67,"")</f>
        <v/>
      </c>
      <c r="F67" s="3" t="str">
        <f ca="1">IFERROR(MATCH($A67,INDIRECT("'Predictor Setup'!A"&amp;3+E67):'Predictor Setup'!$A$202,0)+E67,"")</f>
        <v/>
      </c>
      <c r="G67" s="3" t="str">
        <f ca="1">IFERROR(MATCH($A67,INDIRECT("'Predictor Setup'!A"&amp;3+F67):'Predictor Setup'!$A$202,0)+F67,"")</f>
        <v/>
      </c>
      <c r="H67" s="3" t="str">
        <f ca="1">IFERROR(MATCH($A67,INDIRECT("'Predictor Setup'!A"&amp;3+G67):'Predictor Setup'!$A$202,0)+G67,"")</f>
        <v/>
      </c>
      <c r="I67" s="3" t="str">
        <f ca="1">IFERROR(MATCH($A67,INDIRECT("'Predictor Setup'!A"&amp;3+H67):'Predictor Setup'!$A$202,0)+H67,"")</f>
        <v/>
      </c>
      <c r="J67" s="3" t="str">
        <f ca="1">IFERROR(MATCH($A67,INDIRECT("'Predictor Setup'!A"&amp;3+I67):'Predictor Setup'!$A$202,0)+I67,"")</f>
        <v/>
      </c>
      <c r="K67" s="3" t="str">
        <f ca="1">IFERROR(MATCH($A67,INDIRECT("'Predictor Setup'!A"&amp;3+J67):'Predictor Setup'!$A$202,0)+J67,"")</f>
        <v/>
      </c>
      <c r="L67" s="3" t="str">
        <f ca="1">IFERROR(MATCH($A67,INDIRECT("'Predictor Setup'!A"&amp;3+K67):'Predictor Setup'!$A$202,0)+K67,"")</f>
        <v/>
      </c>
      <c r="M67" s="3" t="str">
        <f ca="1">IFERROR(MATCH($A67,INDIRECT("'Predictor Setup'!A"&amp;3+L67):'Predictor Setup'!$A$202,0)+L67,"")</f>
        <v/>
      </c>
      <c r="N67" s="3" t="str">
        <f ca="1">IFERROR(MATCH($A67,INDIRECT("'Predictor Setup'!A"&amp;3+M67):'Predictor Setup'!$A$202,0)+M67,"")</f>
        <v/>
      </c>
      <c r="O67" s="3" t="str">
        <f ca="1">IFERROR(MATCH($A67,INDIRECT("'Predictor Setup'!A"&amp;3+N67):'Predictor Setup'!$A$202,0)+N67,"")</f>
        <v/>
      </c>
      <c r="P67" s="3" t="str">
        <f ca="1">IFERROR(MATCH($A67,INDIRECT("'Predictor Setup'!A"&amp;3+O67):'Predictor Setup'!$A$202,0)+O67,"")</f>
        <v/>
      </c>
    </row>
    <row r="68" spans="1:16" x14ac:dyDescent="0.35">
      <c r="A68" t="str">
        <f>IF('Predictor Setup'!A56="",A67,'Predictor Setup'!A56)</f>
        <v>Facility</v>
      </c>
      <c r="B68" t="e">
        <f>MATCH($A68,'Predictor Setup'!$A$3:$A$202,0)</f>
        <v>#N/A</v>
      </c>
      <c r="C68" s="3" t="str">
        <f ca="1">IFERROR(MATCH($A68,INDIRECT("'Predictor Setup'!A"&amp;3+B68):'Predictor Setup'!$A$202,0)+B68,"")</f>
        <v/>
      </c>
      <c r="D68" s="3" t="str">
        <f ca="1">IFERROR(MATCH($A68,INDIRECT("'Predictor Setup'!A"&amp;3+C68):'Predictor Setup'!$A$202,0)+C68,"")</f>
        <v/>
      </c>
      <c r="E68" s="3" t="str">
        <f ca="1">IFERROR(MATCH($A68,INDIRECT("'Predictor Setup'!A"&amp;3+D68):'Predictor Setup'!$A$202,0)+D68,"")</f>
        <v/>
      </c>
      <c r="F68" s="3" t="str">
        <f ca="1">IFERROR(MATCH($A68,INDIRECT("'Predictor Setup'!A"&amp;3+E68):'Predictor Setup'!$A$202,0)+E68,"")</f>
        <v/>
      </c>
      <c r="G68" s="3" t="str">
        <f ca="1">IFERROR(MATCH($A68,INDIRECT("'Predictor Setup'!A"&amp;3+F68):'Predictor Setup'!$A$202,0)+F68,"")</f>
        <v/>
      </c>
      <c r="H68" s="3" t="str">
        <f ca="1">IFERROR(MATCH($A68,INDIRECT("'Predictor Setup'!A"&amp;3+G68):'Predictor Setup'!$A$202,0)+G68,"")</f>
        <v/>
      </c>
      <c r="I68" s="3" t="str">
        <f ca="1">IFERROR(MATCH($A68,INDIRECT("'Predictor Setup'!A"&amp;3+H68):'Predictor Setup'!$A$202,0)+H68,"")</f>
        <v/>
      </c>
      <c r="J68" s="3" t="str">
        <f ca="1">IFERROR(MATCH($A68,INDIRECT("'Predictor Setup'!A"&amp;3+I68):'Predictor Setup'!$A$202,0)+I68,"")</f>
        <v/>
      </c>
      <c r="K68" s="3" t="str">
        <f ca="1">IFERROR(MATCH($A68,INDIRECT("'Predictor Setup'!A"&amp;3+J68):'Predictor Setup'!$A$202,0)+J68,"")</f>
        <v/>
      </c>
      <c r="L68" s="3" t="str">
        <f ca="1">IFERROR(MATCH($A68,INDIRECT("'Predictor Setup'!A"&amp;3+K68):'Predictor Setup'!$A$202,0)+K68,"")</f>
        <v/>
      </c>
      <c r="M68" s="3" t="str">
        <f ca="1">IFERROR(MATCH($A68,INDIRECT("'Predictor Setup'!A"&amp;3+L68):'Predictor Setup'!$A$202,0)+L68,"")</f>
        <v/>
      </c>
      <c r="N68" s="3" t="str">
        <f ca="1">IFERROR(MATCH($A68,INDIRECT("'Predictor Setup'!A"&amp;3+M68):'Predictor Setup'!$A$202,0)+M68,"")</f>
        <v/>
      </c>
      <c r="O68" s="3" t="str">
        <f ca="1">IFERROR(MATCH($A68,INDIRECT("'Predictor Setup'!A"&amp;3+N68):'Predictor Setup'!$A$202,0)+N68,"")</f>
        <v/>
      </c>
      <c r="P68" s="3" t="str">
        <f ca="1">IFERROR(MATCH($A68,INDIRECT("'Predictor Setup'!A"&amp;3+O68):'Predictor Setup'!$A$202,0)+O68,"")</f>
        <v/>
      </c>
    </row>
    <row r="69" spans="1:16" x14ac:dyDescent="0.35">
      <c r="A69" t="str">
        <f>IF('Predictor Setup'!A57="",A68,'Predictor Setup'!A57)</f>
        <v>Facility</v>
      </c>
      <c r="B69" t="e">
        <f>MATCH($A69,'Predictor Setup'!$A$3:$A$202,0)</f>
        <v>#N/A</v>
      </c>
      <c r="C69" s="3" t="str">
        <f ca="1">IFERROR(MATCH($A69,INDIRECT("'Predictor Setup'!A"&amp;3+B69):'Predictor Setup'!$A$202,0)+B69,"")</f>
        <v/>
      </c>
      <c r="D69" s="3" t="str">
        <f ca="1">IFERROR(MATCH($A69,INDIRECT("'Predictor Setup'!A"&amp;3+C69):'Predictor Setup'!$A$202,0)+C69,"")</f>
        <v/>
      </c>
      <c r="E69" s="3" t="str">
        <f ca="1">IFERROR(MATCH($A69,INDIRECT("'Predictor Setup'!A"&amp;3+D69):'Predictor Setup'!$A$202,0)+D69,"")</f>
        <v/>
      </c>
      <c r="F69" s="3" t="str">
        <f ca="1">IFERROR(MATCH($A69,INDIRECT("'Predictor Setup'!A"&amp;3+E69):'Predictor Setup'!$A$202,0)+E69,"")</f>
        <v/>
      </c>
      <c r="G69" s="3" t="str">
        <f ca="1">IFERROR(MATCH($A69,INDIRECT("'Predictor Setup'!A"&amp;3+F69):'Predictor Setup'!$A$202,0)+F69,"")</f>
        <v/>
      </c>
      <c r="H69" s="3" t="str">
        <f ca="1">IFERROR(MATCH($A69,INDIRECT("'Predictor Setup'!A"&amp;3+G69):'Predictor Setup'!$A$202,0)+G69,"")</f>
        <v/>
      </c>
      <c r="I69" s="3" t="str">
        <f ca="1">IFERROR(MATCH($A69,INDIRECT("'Predictor Setup'!A"&amp;3+H69):'Predictor Setup'!$A$202,0)+H69,"")</f>
        <v/>
      </c>
      <c r="J69" s="3" t="str">
        <f ca="1">IFERROR(MATCH($A69,INDIRECT("'Predictor Setup'!A"&amp;3+I69):'Predictor Setup'!$A$202,0)+I69,"")</f>
        <v/>
      </c>
      <c r="K69" s="3" t="str">
        <f ca="1">IFERROR(MATCH($A69,INDIRECT("'Predictor Setup'!A"&amp;3+J69):'Predictor Setup'!$A$202,0)+J69,"")</f>
        <v/>
      </c>
      <c r="L69" s="3" t="str">
        <f ca="1">IFERROR(MATCH($A69,INDIRECT("'Predictor Setup'!A"&amp;3+K69):'Predictor Setup'!$A$202,0)+K69,"")</f>
        <v/>
      </c>
      <c r="M69" s="3" t="str">
        <f ca="1">IFERROR(MATCH($A69,INDIRECT("'Predictor Setup'!A"&amp;3+L69):'Predictor Setup'!$A$202,0)+L69,"")</f>
        <v/>
      </c>
      <c r="N69" s="3" t="str">
        <f ca="1">IFERROR(MATCH($A69,INDIRECT("'Predictor Setup'!A"&amp;3+M69):'Predictor Setup'!$A$202,0)+M69,"")</f>
        <v/>
      </c>
      <c r="O69" s="3" t="str">
        <f ca="1">IFERROR(MATCH($A69,INDIRECT("'Predictor Setup'!A"&amp;3+N69):'Predictor Setup'!$A$202,0)+N69,"")</f>
        <v/>
      </c>
      <c r="P69" s="3" t="str">
        <f ca="1">IFERROR(MATCH($A69,INDIRECT("'Predictor Setup'!A"&amp;3+O69):'Predictor Setup'!$A$202,0)+O69,"")</f>
        <v/>
      </c>
    </row>
    <row r="70" spans="1:16" x14ac:dyDescent="0.35">
      <c r="A70" t="str">
        <f>IF('Predictor Setup'!A58="",A69,'Predictor Setup'!A58)</f>
        <v>Facility</v>
      </c>
      <c r="B70" t="e">
        <f>MATCH($A70,'Predictor Setup'!$A$3:$A$202,0)</f>
        <v>#N/A</v>
      </c>
      <c r="C70" s="3" t="str">
        <f ca="1">IFERROR(MATCH($A70,INDIRECT("'Predictor Setup'!A"&amp;3+B70):'Predictor Setup'!$A$202,0)+B70,"")</f>
        <v/>
      </c>
      <c r="D70" s="3" t="str">
        <f ca="1">IFERROR(MATCH($A70,INDIRECT("'Predictor Setup'!A"&amp;3+C70):'Predictor Setup'!$A$202,0)+C70,"")</f>
        <v/>
      </c>
      <c r="E70" s="3" t="str">
        <f ca="1">IFERROR(MATCH($A70,INDIRECT("'Predictor Setup'!A"&amp;3+D70):'Predictor Setup'!$A$202,0)+D70,"")</f>
        <v/>
      </c>
      <c r="F70" s="3" t="str">
        <f ca="1">IFERROR(MATCH($A70,INDIRECT("'Predictor Setup'!A"&amp;3+E70):'Predictor Setup'!$A$202,0)+E70,"")</f>
        <v/>
      </c>
      <c r="G70" s="3" t="str">
        <f ca="1">IFERROR(MATCH($A70,INDIRECT("'Predictor Setup'!A"&amp;3+F70):'Predictor Setup'!$A$202,0)+F70,"")</f>
        <v/>
      </c>
      <c r="H70" s="3" t="str">
        <f ca="1">IFERROR(MATCH($A70,INDIRECT("'Predictor Setup'!A"&amp;3+G70):'Predictor Setup'!$A$202,0)+G70,"")</f>
        <v/>
      </c>
      <c r="I70" s="3" t="str">
        <f ca="1">IFERROR(MATCH($A70,INDIRECT("'Predictor Setup'!A"&amp;3+H70):'Predictor Setup'!$A$202,0)+H70,"")</f>
        <v/>
      </c>
      <c r="J70" s="3" t="str">
        <f ca="1">IFERROR(MATCH($A70,INDIRECT("'Predictor Setup'!A"&amp;3+I70):'Predictor Setup'!$A$202,0)+I70,"")</f>
        <v/>
      </c>
      <c r="K70" s="3" t="str">
        <f ca="1">IFERROR(MATCH($A70,INDIRECT("'Predictor Setup'!A"&amp;3+J70):'Predictor Setup'!$A$202,0)+J70,"")</f>
        <v/>
      </c>
      <c r="L70" s="3" t="str">
        <f ca="1">IFERROR(MATCH($A70,INDIRECT("'Predictor Setup'!A"&amp;3+K70):'Predictor Setup'!$A$202,0)+K70,"")</f>
        <v/>
      </c>
      <c r="M70" s="3" t="str">
        <f ca="1">IFERROR(MATCH($A70,INDIRECT("'Predictor Setup'!A"&amp;3+L70):'Predictor Setup'!$A$202,0)+L70,"")</f>
        <v/>
      </c>
      <c r="N70" s="3" t="str">
        <f ca="1">IFERROR(MATCH($A70,INDIRECT("'Predictor Setup'!A"&amp;3+M70):'Predictor Setup'!$A$202,0)+M70,"")</f>
        <v/>
      </c>
      <c r="O70" s="3" t="str">
        <f ca="1">IFERROR(MATCH($A70,INDIRECT("'Predictor Setup'!A"&amp;3+N70):'Predictor Setup'!$A$202,0)+N70,"")</f>
        <v/>
      </c>
      <c r="P70" s="3" t="str">
        <f ca="1">IFERROR(MATCH($A70,INDIRECT("'Predictor Setup'!A"&amp;3+O70):'Predictor Setup'!$A$202,0)+O70,"")</f>
        <v/>
      </c>
    </row>
    <row r="71" spans="1:16" x14ac:dyDescent="0.35">
      <c r="A71" t="str">
        <f>IF('Predictor Setup'!A59="",A70,'Predictor Setup'!A59)</f>
        <v>Facility</v>
      </c>
      <c r="B71" t="e">
        <f>MATCH($A71,'Predictor Setup'!$A$3:$A$202,0)</f>
        <v>#N/A</v>
      </c>
      <c r="C71" s="3" t="str">
        <f ca="1">IFERROR(MATCH($A71,INDIRECT("'Predictor Setup'!A"&amp;3+B71):'Predictor Setup'!$A$202,0)+B71,"")</f>
        <v/>
      </c>
      <c r="D71" s="3" t="str">
        <f ca="1">IFERROR(MATCH($A71,INDIRECT("'Predictor Setup'!A"&amp;3+C71):'Predictor Setup'!$A$202,0)+C71,"")</f>
        <v/>
      </c>
      <c r="E71" s="3" t="str">
        <f ca="1">IFERROR(MATCH($A71,INDIRECT("'Predictor Setup'!A"&amp;3+D71):'Predictor Setup'!$A$202,0)+D71,"")</f>
        <v/>
      </c>
      <c r="F71" s="3" t="str">
        <f ca="1">IFERROR(MATCH($A71,INDIRECT("'Predictor Setup'!A"&amp;3+E71):'Predictor Setup'!$A$202,0)+E71,"")</f>
        <v/>
      </c>
      <c r="G71" s="3" t="str">
        <f ca="1">IFERROR(MATCH($A71,INDIRECT("'Predictor Setup'!A"&amp;3+F71):'Predictor Setup'!$A$202,0)+F71,"")</f>
        <v/>
      </c>
      <c r="H71" s="3" t="str">
        <f ca="1">IFERROR(MATCH($A71,INDIRECT("'Predictor Setup'!A"&amp;3+G71):'Predictor Setup'!$A$202,0)+G71,"")</f>
        <v/>
      </c>
      <c r="I71" s="3" t="str">
        <f ca="1">IFERROR(MATCH($A71,INDIRECT("'Predictor Setup'!A"&amp;3+H71):'Predictor Setup'!$A$202,0)+H71,"")</f>
        <v/>
      </c>
      <c r="J71" s="3" t="str">
        <f ca="1">IFERROR(MATCH($A71,INDIRECT("'Predictor Setup'!A"&amp;3+I71):'Predictor Setup'!$A$202,0)+I71,"")</f>
        <v/>
      </c>
      <c r="K71" s="3" t="str">
        <f ca="1">IFERROR(MATCH($A71,INDIRECT("'Predictor Setup'!A"&amp;3+J71):'Predictor Setup'!$A$202,0)+J71,"")</f>
        <v/>
      </c>
      <c r="L71" s="3" t="str">
        <f ca="1">IFERROR(MATCH($A71,INDIRECT("'Predictor Setup'!A"&amp;3+K71):'Predictor Setup'!$A$202,0)+K71,"")</f>
        <v/>
      </c>
      <c r="M71" s="3" t="str">
        <f ca="1">IFERROR(MATCH($A71,INDIRECT("'Predictor Setup'!A"&amp;3+L71):'Predictor Setup'!$A$202,0)+L71,"")</f>
        <v/>
      </c>
      <c r="N71" s="3" t="str">
        <f ca="1">IFERROR(MATCH($A71,INDIRECT("'Predictor Setup'!A"&amp;3+M71):'Predictor Setup'!$A$202,0)+M71,"")</f>
        <v/>
      </c>
      <c r="O71" s="3" t="str">
        <f ca="1">IFERROR(MATCH($A71,INDIRECT("'Predictor Setup'!A"&amp;3+N71):'Predictor Setup'!$A$202,0)+N71,"")</f>
        <v/>
      </c>
      <c r="P71" s="3" t="str">
        <f ca="1">IFERROR(MATCH($A71,INDIRECT("'Predictor Setup'!A"&amp;3+O71):'Predictor Setup'!$A$202,0)+O71,"")</f>
        <v/>
      </c>
    </row>
    <row r="72" spans="1:16" x14ac:dyDescent="0.35">
      <c r="A72" t="str">
        <f>IF('Predictor Setup'!A60="",A71,'Predictor Setup'!A60)</f>
        <v>Facility</v>
      </c>
      <c r="B72" t="e">
        <f>MATCH($A72,'Predictor Setup'!$A$3:$A$202,0)</f>
        <v>#N/A</v>
      </c>
      <c r="C72" s="3" t="str">
        <f ca="1">IFERROR(MATCH($A72,INDIRECT("'Predictor Setup'!A"&amp;3+B72):'Predictor Setup'!$A$202,0)+B72,"")</f>
        <v/>
      </c>
      <c r="D72" s="3" t="str">
        <f ca="1">IFERROR(MATCH($A72,INDIRECT("'Predictor Setup'!A"&amp;3+C72):'Predictor Setup'!$A$202,0)+C72,"")</f>
        <v/>
      </c>
      <c r="E72" s="3" t="str">
        <f ca="1">IFERROR(MATCH($A72,INDIRECT("'Predictor Setup'!A"&amp;3+D72):'Predictor Setup'!$A$202,0)+D72,"")</f>
        <v/>
      </c>
      <c r="F72" s="3" t="str">
        <f ca="1">IFERROR(MATCH($A72,INDIRECT("'Predictor Setup'!A"&amp;3+E72):'Predictor Setup'!$A$202,0)+E72,"")</f>
        <v/>
      </c>
      <c r="G72" s="3" t="str">
        <f ca="1">IFERROR(MATCH($A72,INDIRECT("'Predictor Setup'!A"&amp;3+F72):'Predictor Setup'!$A$202,0)+F72,"")</f>
        <v/>
      </c>
      <c r="H72" s="3" t="str">
        <f ca="1">IFERROR(MATCH($A72,INDIRECT("'Predictor Setup'!A"&amp;3+G72):'Predictor Setup'!$A$202,0)+G72,"")</f>
        <v/>
      </c>
      <c r="I72" s="3" t="str">
        <f ca="1">IFERROR(MATCH($A72,INDIRECT("'Predictor Setup'!A"&amp;3+H72):'Predictor Setup'!$A$202,0)+H72,"")</f>
        <v/>
      </c>
      <c r="J72" s="3" t="str">
        <f ca="1">IFERROR(MATCH($A72,INDIRECT("'Predictor Setup'!A"&amp;3+I72):'Predictor Setup'!$A$202,0)+I72,"")</f>
        <v/>
      </c>
      <c r="K72" s="3" t="str">
        <f ca="1">IFERROR(MATCH($A72,INDIRECT("'Predictor Setup'!A"&amp;3+J72):'Predictor Setup'!$A$202,0)+J72,"")</f>
        <v/>
      </c>
      <c r="L72" s="3" t="str">
        <f ca="1">IFERROR(MATCH($A72,INDIRECT("'Predictor Setup'!A"&amp;3+K72):'Predictor Setup'!$A$202,0)+K72,"")</f>
        <v/>
      </c>
      <c r="M72" s="3" t="str">
        <f ca="1">IFERROR(MATCH($A72,INDIRECT("'Predictor Setup'!A"&amp;3+L72):'Predictor Setup'!$A$202,0)+L72,"")</f>
        <v/>
      </c>
      <c r="N72" s="3" t="str">
        <f ca="1">IFERROR(MATCH($A72,INDIRECT("'Predictor Setup'!A"&amp;3+M72):'Predictor Setup'!$A$202,0)+M72,"")</f>
        <v/>
      </c>
      <c r="O72" s="3" t="str">
        <f ca="1">IFERROR(MATCH($A72,INDIRECT("'Predictor Setup'!A"&amp;3+N72):'Predictor Setup'!$A$202,0)+N72,"")</f>
        <v/>
      </c>
      <c r="P72" s="3" t="str">
        <f ca="1">IFERROR(MATCH($A72,INDIRECT("'Predictor Setup'!A"&amp;3+O72):'Predictor Setup'!$A$202,0)+O72,"")</f>
        <v/>
      </c>
    </row>
    <row r="73" spans="1:16" x14ac:dyDescent="0.35">
      <c r="A73" t="str">
        <f>IF('Predictor Setup'!A61="",A72,'Predictor Setup'!A61)</f>
        <v>Facility</v>
      </c>
      <c r="B73" t="e">
        <f>MATCH($A73,'Predictor Setup'!$A$3:$A$202,0)</f>
        <v>#N/A</v>
      </c>
      <c r="C73" s="3" t="str">
        <f ca="1">IFERROR(MATCH($A73,INDIRECT("'Predictor Setup'!A"&amp;3+B73):'Predictor Setup'!$A$202,0)+B73,"")</f>
        <v/>
      </c>
      <c r="D73" s="3" t="str">
        <f ca="1">IFERROR(MATCH($A73,INDIRECT("'Predictor Setup'!A"&amp;3+C73):'Predictor Setup'!$A$202,0)+C73,"")</f>
        <v/>
      </c>
      <c r="E73" s="3" t="str">
        <f ca="1">IFERROR(MATCH($A73,INDIRECT("'Predictor Setup'!A"&amp;3+D73):'Predictor Setup'!$A$202,0)+D73,"")</f>
        <v/>
      </c>
      <c r="F73" s="3" t="str">
        <f ca="1">IFERROR(MATCH($A73,INDIRECT("'Predictor Setup'!A"&amp;3+E73):'Predictor Setup'!$A$202,0)+E73,"")</f>
        <v/>
      </c>
      <c r="G73" s="3" t="str">
        <f ca="1">IFERROR(MATCH($A73,INDIRECT("'Predictor Setup'!A"&amp;3+F73):'Predictor Setup'!$A$202,0)+F73,"")</f>
        <v/>
      </c>
      <c r="H73" s="3" t="str">
        <f ca="1">IFERROR(MATCH($A73,INDIRECT("'Predictor Setup'!A"&amp;3+G73):'Predictor Setup'!$A$202,0)+G73,"")</f>
        <v/>
      </c>
      <c r="I73" s="3" t="str">
        <f ca="1">IFERROR(MATCH($A73,INDIRECT("'Predictor Setup'!A"&amp;3+H73):'Predictor Setup'!$A$202,0)+H73,"")</f>
        <v/>
      </c>
      <c r="J73" s="3" t="str">
        <f ca="1">IFERROR(MATCH($A73,INDIRECT("'Predictor Setup'!A"&amp;3+I73):'Predictor Setup'!$A$202,0)+I73,"")</f>
        <v/>
      </c>
      <c r="K73" s="3" t="str">
        <f ca="1">IFERROR(MATCH($A73,INDIRECT("'Predictor Setup'!A"&amp;3+J73):'Predictor Setup'!$A$202,0)+J73,"")</f>
        <v/>
      </c>
      <c r="L73" s="3" t="str">
        <f ca="1">IFERROR(MATCH($A73,INDIRECT("'Predictor Setup'!A"&amp;3+K73):'Predictor Setup'!$A$202,0)+K73,"")</f>
        <v/>
      </c>
      <c r="M73" s="3" t="str">
        <f ca="1">IFERROR(MATCH($A73,INDIRECT("'Predictor Setup'!A"&amp;3+L73):'Predictor Setup'!$A$202,0)+L73,"")</f>
        <v/>
      </c>
      <c r="N73" s="3" t="str">
        <f ca="1">IFERROR(MATCH($A73,INDIRECT("'Predictor Setup'!A"&amp;3+M73):'Predictor Setup'!$A$202,0)+M73,"")</f>
        <v/>
      </c>
      <c r="O73" s="3" t="str">
        <f ca="1">IFERROR(MATCH($A73,INDIRECT("'Predictor Setup'!A"&amp;3+N73):'Predictor Setup'!$A$202,0)+N73,"")</f>
        <v/>
      </c>
      <c r="P73" s="3" t="str">
        <f ca="1">IFERROR(MATCH($A73,INDIRECT("'Predictor Setup'!A"&amp;3+O73):'Predictor Setup'!$A$202,0)+O73,"")</f>
        <v/>
      </c>
    </row>
    <row r="74" spans="1:16" x14ac:dyDescent="0.35">
      <c r="A74" t="str">
        <f>IF('Predictor Setup'!A62="",A73,'Predictor Setup'!A62)</f>
        <v>Facility</v>
      </c>
      <c r="B74" t="e">
        <f>MATCH($A74,'Predictor Setup'!$A$3:$A$202,0)</f>
        <v>#N/A</v>
      </c>
      <c r="C74" s="3" t="str">
        <f ca="1">IFERROR(MATCH($A74,INDIRECT("'Predictor Setup'!A"&amp;3+B74):'Predictor Setup'!$A$202,0)+B74,"")</f>
        <v/>
      </c>
      <c r="D74" s="3" t="str">
        <f ca="1">IFERROR(MATCH($A74,INDIRECT("'Predictor Setup'!A"&amp;3+C74):'Predictor Setup'!$A$202,0)+C74,"")</f>
        <v/>
      </c>
      <c r="E74" s="3" t="str">
        <f ca="1">IFERROR(MATCH($A74,INDIRECT("'Predictor Setup'!A"&amp;3+D74):'Predictor Setup'!$A$202,0)+D74,"")</f>
        <v/>
      </c>
      <c r="F74" s="3" t="str">
        <f ca="1">IFERROR(MATCH($A74,INDIRECT("'Predictor Setup'!A"&amp;3+E74):'Predictor Setup'!$A$202,0)+E74,"")</f>
        <v/>
      </c>
      <c r="G74" s="3" t="str">
        <f ca="1">IFERROR(MATCH($A74,INDIRECT("'Predictor Setup'!A"&amp;3+F74):'Predictor Setup'!$A$202,0)+F74,"")</f>
        <v/>
      </c>
      <c r="H74" s="3" t="str">
        <f ca="1">IFERROR(MATCH($A74,INDIRECT("'Predictor Setup'!A"&amp;3+G74):'Predictor Setup'!$A$202,0)+G74,"")</f>
        <v/>
      </c>
      <c r="I74" s="3" t="str">
        <f ca="1">IFERROR(MATCH($A74,INDIRECT("'Predictor Setup'!A"&amp;3+H74):'Predictor Setup'!$A$202,0)+H74,"")</f>
        <v/>
      </c>
      <c r="J74" s="3" t="str">
        <f ca="1">IFERROR(MATCH($A74,INDIRECT("'Predictor Setup'!A"&amp;3+I74):'Predictor Setup'!$A$202,0)+I74,"")</f>
        <v/>
      </c>
      <c r="K74" s="3" t="str">
        <f ca="1">IFERROR(MATCH($A74,INDIRECT("'Predictor Setup'!A"&amp;3+J74):'Predictor Setup'!$A$202,0)+J74,"")</f>
        <v/>
      </c>
      <c r="L74" s="3" t="str">
        <f ca="1">IFERROR(MATCH($A74,INDIRECT("'Predictor Setup'!A"&amp;3+K74):'Predictor Setup'!$A$202,0)+K74,"")</f>
        <v/>
      </c>
      <c r="M74" s="3" t="str">
        <f ca="1">IFERROR(MATCH($A74,INDIRECT("'Predictor Setup'!A"&amp;3+L74):'Predictor Setup'!$A$202,0)+L74,"")</f>
        <v/>
      </c>
      <c r="N74" s="3" t="str">
        <f ca="1">IFERROR(MATCH($A74,INDIRECT("'Predictor Setup'!A"&amp;3+M74):'Predictor Setup'!$A$202,0)+M74,"")</f>
        <v/>
      </c>
      <c r="O74" s="3" t="str">
        <f ca="1">IFERROR(MATCH($A74,INDIRECT("'Predictor Setup'!A"&amp;3+N74):'Predictor Setup'!$A$202,0)+N74,"")</f>
        <v/>
      </c>
      <c r="P74" s="3" t="str">
        <f ca="1">IFERROR(MATCH($A74,INDIRECT("'Predictor Setup'!A"&amp;3+O74):'Predictor Setup'!$A$202,0)+O74,"")</f>
        <v/>
      </c>
    </row>
    <row r="75" spans="1:16" x14ac:dyDescent="0.35">
      <c r="A75" t="str">
        <f>IF('Predictor Setup'!A63="",A74,'Predictor Setup'!A63)</f>
        <v>Facility</v>
      </c>
      <c r="B75" t="e">
        <f>MATCH($A75,'Predictor Setup'!$A$3:$A$202,0)</f>
        <v>#N/A</v>
      </c>
      <c r="C75" s="3" t="str">
        <f ca="1">IFERROR(MATCH($A75,INDIRECT("'Predictor Setup'!A"&amp;3+B75):'Predictor Setup'!$A$202,0)+B75,"")</f>
        <v/>
      </c>
      <c r="D75" s="3" t="str">
        <f ca="1">IFERROR(MATCH($A75,INDIRECT("'Predictor Setup'!A"&amp;3+C75):'Predictor Setup'!$A$202,0)+C75,"")</f>
        <v/>
      </c>
      <c r="E75" s="3" t="str">
        <f ca="1">IFERROR(MATCH($A75,INDIRECT("'Predictor Setup'!A"&amp;3+D75):'Predictor Setup'!$A$202,0)+D75,"")</f>
        <v/>
      </c>
      <c r="F75" s="3" t="str">
        <f ca="1">IFERROR(MATCH($A75,INDIRECT("'Predictor Setup'!A"&amp;3+E75):'Predictor Setup'!$A$202,0)+E75,"")</f>
        <v/>
      </c>
      <c r="G75" s="3" t="str">
        <f ca="1">IFERROR(MATCH($A75,INDIRECT("'Predictor Setup'!A"&amp;3+F75):'Predictor Setup'!$A$202,0)+F75,"")</f>
        <v/>
      </c>
      <c r="H75" s="3" t="str">
        <f ca="1">IFERROR(MATCH($A75,INDIRECT("'Predictor Setup'!A"&amp;3+G75):'Predictor Setup'!$A$202,0)+G75,"")</f>
        <v/>
      </c>
      <c r="I75" s="3" t="str">
        <f ca="1">IFERROR(MATCH($A75,INDIRECT("'Predictor Setup'!A"&amp;3+H75):'Predictor Setup'!$A$202,0)+H75,"")</f>
        <v/>
      </c>
      <c r="J75" s="3" t="str">
        <f ca="1">IFERROR(MATCH($A75,INDIRECT("'Predictor Setup'!A"&amp;3+I75):'Predictor Setup'!$A$202,0)+I75,"")</f>
        <v/>
      </c>
      <c r="K75" s="3" t="str">
        <f ca="1">IFERROR(MATCH($A75,INDIRECT("'Predictor Setup'!A"&amp;3+J75):'Predictor Setup'!$A$202,0)+J75,"")</f>
        <v/>
      </c>
      <c r="L75" s="3" t="str">
        <f ca="1">IFERROR(MATCH($A75,INDIRECT("'Predictor Setup'!A"&amp;3+K75):'Predictor Setup'!$A$202,0)+K75,"")</f>
        <v/>
      </c>
      <c r="M75" s="3" t="str">
        <f ca="1">IFERROR(MATCH($A75,INDIRECT("'Predictor Setup'!A"&amp;3+L75):'Predictor Setup'!$A$202,0)+L75,"")</f>
        <v/>
      </c>
      <c r="N75" s="3" t="str">
        <f ca="1">IFERROR(MATCH($A75,INDIRECT("'Predictor Setup'!A"&amp;3+M75):'Predictor Setup'!$A$202,0)+M75,"")</f>
        <v/>
      </c>
      <c r="O75" s="3" t="str">
        <f ca="1">IFERROR(MATCH($A75,INDIRECT("'Predictor Setup'!A"&amp;3+N75):'Predictor Setup'!$A$202,0)+N75,"")</f>
        <v/>
      </c>
      <c r="P75" s="3" t="str">
        <f ca="1">IFERROR(MATCH($A75,INDIRECT("'Predictor Setup'!A"&amp;3+O75):'Predictor Setup'!$A$202,0)+O75,"")</f>
        <v/>
      </c>
    </row>
    <row r="76" spans="1:16" x14ac:dyDescent="0.35">
      <c r="A76" t="str">
        <f>IF('Predictor Setup'!A64="",A75,'Predictor Setup'!A64)</f>
        <v>Facility</v>
      </c>
      <c r="B76" t="e">
        <f>MATCH($A76,'Predictor Setup'!$A$3:$A$202,0)</f>
        <v>#N/A</v>
      </c>
      <c r="C76" s="3" t="str">
        <f ca="1">IFERROR(MATCH($A76,INDIRECT("'Predictor Setup'!A"&amp;3+B76):'Predictor Setup'!$A$202,0)+B76,"")</f>
        <v/>
      </c>
      <c r="D76" s="3" t="str">
        <f ca="1">IFERROR(MATCH($A76,INDIRECT("'Predictor Setup'!A"&amp;3+C76):'Predictor Setup'!$A$202,0)+C76,"")</f>
        <v/>
      </c>
      <c r="E76" s="3" t="str">
        <f ca="1">IFERROR(MATCH($A76,INDIRECT("'Predictor Setup'!A"&amp;3+D76):'Predictor Setup'!$A$202,0)+D76,"")</f>
        <v/>
      </c>
      <c r="F76" s="3" t="str">
        <f ca="1">IFERROR(MATCH($A76,INDIRECT("'Predictor Setup'!A"&amp;3+E76):'Predictor Setup'!$A$202,0)+E76,"")</f>
        <v/>
      </c>
      <c r="G76" s="3" t="str">
        <f ca="1">IFERROR(MATCH($A76,INDIRECT("'Predictor Setup'!A"&amp;3+F76):'Predictor Setup'!$A$202,0)+F76,"")</f>
        <v/>
      </c>
      <c r="H76" s="3" t="str">
        <f ca="1">IFERROR(MATCH($A76,INDIRECT("'Predictor Setup'!A"&amp;3+G76):'Predictor Setup'!$A$202,0)+G76,"")</f>
        <v/>
      </c>
      <c r="I76" s="3" t="str">
        <f ca="1">IFERROR(MATCH($A76,INDIRECT("'Predictor Setup'!A"&amp;3+H76):'Predictor Setup'!$A$202,0)+H76,"")</f>
        <v/>
      </c>
      <c r="J76" s="3" t="str">
        <f ca="1">IFERROR(MATCH($A76,INDIRECT("'Predictor Setup'!A"&amp;3+I76):'Predictor Setup'!$A$202,0)+I76,"")</f>
        <v/>
      </c>
      <c r="K76" s="3" t="str">
        <f ca="1">IFERROR(MATCH($A76,INDIRECT("'Predictor Setup'!A"&amp;3+J76):'Predictor Setup'!$A$202,0)+J76,"")</f>
        <v/>
      </c>
      <c r="L76" s="3" t="str">
        <f ca="1">IFERROR(MATCH($A76,INDIRECT("'Predictor Setup'!A"&amp;3+K76):'Predictor Setup'!$A$202,0)+K76,"")</f>
        <v/>
      </c>
      <c r="M76" s="3" t="str">
        <f ca="1">IFERROR(MATCH($A76,INDIRECT("'Predictor Setup'!A"&amp;3+L76):'Predictor Setup'!$A$202,0)+L76,"")</f>
        <v/>
      </c>
      <c r="N76" s="3" t="str">
        <f ca="1">IFERROR(MATCH($A76,INDIRECT("'Predictor Setup'!A"&amp;3+M76):'Predictor Setup'!$A$202,0)+M76,"")</f>
        <v/>
      </c>
      <c r="O76" s="3" t="str">
        <f ca="1">IFERROR(MATCH($A76,INDIRECT("'Predictor Setup'!A"&amp;3+N76):'Predictor Setup'!$A$202,0)+N76,"")</f>
        <v/>
      </c>
      <c r="P76" s="3" t="str">
        <f ca="1">IFERROR(MATCH($A76,INDIRECT("'Predictor Setup'!A"&amp;3+O76):'Predictor Setup'!$A$202,0)+O76,"")</f>
        <v/>
      </c>
    </row>
    <row r="77" spans="1:16" x14ac:dyDescent="0.35">
      <c r="A77" t="str">
        <f>IF('Predictor Setup'!A65="",A76,'Predictor Setup'!A65)</f>
        <v>Facility</v>
      </c>
      <c r="B77" t="e">
        <f>MATCH($A77,'Predictor Setup'!$A$3:$A$202,0)</f>
        <v>#N/A</v>
      </c>
      <c r="C77" s="3" t="str">
        <f ca="1">IFERROR(MATCH($A77,INDIRECT("'Predictor Setup'!A"&amp;3+B77):'Predictor Setup'!$A$202,0)+B77,"")</f>
        <v/>
      </c>
      <c r="D77" s="3" t="str">
        <f ca="1">IFERROR(MATCH($A77,INDIRECT("'Predictor Setup'!A"&amp;3+C77):'Predictor Setup'!$A$202,0)+C77,"")</f>
        <v/>
      </c>
      <c r="E77" s="3" t="str">
        <f ca="1">IFERROR(MATCH($A77,INDIRECT("'Predictor Setup'!A"&amp;3+D77):'Predictor Setup'!$A$202,0)+D77,"")</f>
        <v/>
      </c>
      <c r="F77" s="3" t="str">
        <f ca="1">IFERROR(MATCH($A77,INDIRECT("'Predictor Setup'!A"&amp;3+E77):'Predictor Setup'!$A$202,0)+E77,"")</f>
        <v/>
      </c>
      <c r="G77" s="3" t="str">
        <f ca="1">IFERROR(MATCH($A77,INDIRECT("'Predictor Setup'!A"&amp;3+F77):'Predictor Setup'!$A$202,0)+F77,"")</f>
        <v/>
      </c>
      <c r="H77" s="3" t="str">
        <f ca="1">IFERROR(MATCH($A77,INDIRECT("'Predictor Setup'!A"&amp;3+G77):'Predictor Setup'!$A$202,0)+G77,"")</f>
        <v/>
      </c>
      <c r="I77" s="3" t="str">
        <f ca="1">IFERROR(MATCH($A77,INDIRECT("'Predictor Setup'!A"&amp;3+H77):'Predictor Setup'!$A$202,0)+H77,"")</f>
        <v/>
      </c>
      <c r="J77" s="3" t="str">
        <f ca="1">IFERROR(MATCH($A77,INDIRECT("'Predictor Setup'!A"&amp;3+I77):'Predictor Setup'!$A$202,0)+I77,"")</f>
        <v/>
      </c>
      <c r="K77" s="3" t="str">
        <f ca="1">IFERROR(MATCH($A77,INDIRECT("'Predictor Setup'!A"&amp;3+J77):'Predictor Setup'!$A$202,0)+J77,"")</f>
        <v/>
      </c>
      <c r="L77" s="3" t="str">
        <f ca="1">IFERROR(MATCH($A77,INDIRECT("'Predictor Setup'!A"&amp;3+K77):'Predictor Setup'!$A$202,0)+K77,"")</f>
        <v/>
      </c>
      <c r="M77" s="3" t="str">
        <f ca="1">IFERROR(MATCH($A77,INDIRECT("'Predictor Setup'!A"&amp;3+L77):'Predictor Setup'!$A$202,0)+L77,"")</f>
        <v/>
      </c>
      <c r="N77" s="3" t="str">
        <f ca="1">IFERROR(MATCH($A77,INDIRECT("'Predictor Setup'!A"&amp;3+M77):'Predictor Setup'!$A$202,0)+M77,"")</f>
        <v/>
      </c>
      <c r="O77" s="3" t="str">
        <f ca="1">IFERROR(MATCH($A77,INDIRECT("'Predictor Setup'!A"&amp;3+N77):'Predictor Setup'!$A$202,0)+N77,"")</f>
        <v/>
      </c>
      <c r="P77" s="3" t="str">
        <f ca="1">IFERROR(MATCH($A77,INDIRECT("'Predictor Setup'!A"&amp;3+O77):'Predictor Setup'!$A$202,0)+O77,"")</f>
        <v/>
      </c>
    </row>
    <row r="78" spans="1:16" x14ac:dyDescent="0.35">
      <c r="A78" t="str">
        <f>IF('Predictor Setup'!A66="",A77,'Predictor Setup'!A66)</f>
        <v>Facility</v>
      </c>
      <c r="B78" t="e">
        <f>MATCH($A78,'Predictor Setup'!$A$3:$A$202,0)</f>
        <v>#N/A</v>
      </c>
      <c r="C78" s="3" t="str">
        <f ca="1">IFERROR(MATCH($A78,INDIRECT("'Predictor Setup'!A"&amp;3+B78):'Predictor Setup'!$A$202,0)+B78,"")</f>
        <v/>
      </c>
      <c r="D78" s="3" t="str">
        <f ca="1">IFERROR(MATCH($A78,INDIRECT("'Predictor Setup'!A"&amp;3+C78):'Predictor Setup'!$A$202,0)+C78,"")</f>
        <v/>
      </c>
      <c r="E78" s="3" t="str">
        <f ca="1">IFERROR(MATCH($A78,INDIRECT("'Predictor Setup'!A"&amp;3+D78):'Predictor Setup'!$A$202,0)+D78,"")</f>
        <v/>
      </c>
      <c r="F78" s="3" t="str">
        <f ca="1">IFERROR(MATCH($A78,INDIRECT("'Predictor Setup'!A"&amp;3+E78):'Predictor Setup'!$A$202,0)+E78,"")</f>
        <v/>
      </c>
      <c r="G78" s="3" t="str">
        <f ca="1">IFERROR(MATCH($A78,INDIRECT("'Predictor Setup'!A"&amp;3+F78):'Predictor Setup'!$A$202,0)+F78,"")</f>
        <v/>
      </c>
      <c r="H78" s="3" t="str">
        <f ca="1">IFERROR(MATCH($A78,INDIRECT("'Predictor Setup'!A"&amp;3+G78):'Predictor Setup'!$A$202,0)+G78,"")</f>
        <v/>
      </c>
      <c r="I78" s="3" t="str">
        <f ca="1">IFERROR(MATCH($A78,INDIRECT("'Predictor Setup'!A"&amp;3+H78):'Predictor Setup'!$A$202,0)+H78,"")</f>
        <v/>
      </c>
      <c r="J78" s="3" t="str">
        <f ca="1">IFERROR(MATCH($A78,INDIRECT("'Predictor Setup'!A"&amp;3+I78):'Predictor Setup'!$A$202,0)+I78,"")</f>
        <v/>
      </c>
      <c r="K78" s="3" t="str">
        <f ca="1">IFERROR(MATCH($A78,INDIRECT("'Predictor Setup'!A"&amp;3+J78):'Predictor Setup'!$A$202,0)+J78,"")</f>
        <v/>
      </c>
      <c r="L78" s="3" t="str">
        <f ca="1">IFERROR(MATCH($A78,INDIRECT("'Predictor Setup'!A"&amp;3+K78):'Predictor Setup'!$A$202,0)+K78,"")</f>
        <v/>
      </c>
      <c r="M78" s="3" t="str">
        <f ca="1">IFERROR(MATCH($A78,INDIRECT("'Predictor Setup'!A"&amp;3+L78):'Predictor Setup'!$A$202,0)+L78,"")</f>
        <v/>
      </c>
      <c r="N78" s="3" t="str">
        <f ca="1">IFERROR(MATCH($A78,INDIRECT("'Predictor Setup'!A"&amp;3+M78):'Predictor Setup'!$A$202,0)+M78,"")</f>
        <v/>
      </c>
      <c r="O78" s="3" t="str">
        <f ca="1">IFERROR(MATCH($A78,INDIRECT("'Predictor Setup'!A"&amp;3+N78):'Predictor Setup'!$A$202,0)+N78,"")</f>
        <v/>
      </c>
      <c r="P78" s="3" t="str">
        <f ca="1">IFERROR(MATCH($A78,INDIRECT("'Predictor Setup'!A"&amp;3+O78):'Predictor Setup'!$A$202,0)+O78,"")</f>
        <v/>
      </c>
    </row>
    <row r="79" spans="1:16" x14ac:dyDescent="0.35">
      <c r="A79" t="str">
        <f>IF('Predictor Setup'!A67="",A78,'Predictor Setup'!A67)</f>
        <v>Facility</v>
      </c>
      <c r="B79" t="e">
        <f>MATCH($A79,'Predictor Setup'!$A$3:$A$202,0)</f>
        <v>#N/A</v>
      </c>
      <c r="C79" s="3" t="str">
        <f ca="1">IFERROR(MATCH($A79,INDIRECT("'Predictor Setup'!A"&amp;3+B79):'Predictor Setup'!$A$202,0)+B79,"")</f>
        <v/>
      </c>
      <c r="D79" s="3" t="str">
        <f ca="1">IFERROR(MATCH($A79,INDIRECT("'Predictor Setup'!A"&amp;3+C79):'Predictor Setup'!$A$202,0)+C79,"")</f>
        <v/>
      </c>
      <c r="E79" s="3" t="str">
        <f ca="1">IFERROR(MATCH($A79,INDIRECT("'Predictor Setup'!A"&amp;3+D79):'Predictor Setup'!$A$202,0)+D79,"")</f>
        <v/>
      </c>
      <c r="F79" s="3" t="str">
        <f ca="1">IFERROR(MATCH($A79,INDIRECT("'Predictor Setup'!A"&amp;3+E79):'Predictor Setup'!$A$202,0)+E79,"")</f>
        <v/>
      </c>
      <c r="G79" s="3" t="str">
        <f ca="1">IFERROR(MATCH($A79,INDIRECT("'Predictor Setup'!A"&amp;3+F79):'Predictor Setup'!$A$202,0)+F79,"")</f>
        <v/>
      </c>
      <c r="H79" s="3" t="str">
        <f ca="1">IFERROR(MATCH($A79,INDIRECT("'Predictor Setup'!A"&amp;3+G79):'Predictor Setup'!$A$202,0)+G79,"")</f>
        <v/>
      </c>
      <c r="I79" s="3" t="str">
        <f ca="1">IFERROR(MATCH($A79,INDIRECT("'Predictor Setup'!A"&amp;3+H79):'Predictor Setup'!$A$202,0)+H79,"")</f>
        <v/>
      </c>
      <c r="J79" s="3" t="str">
        <f ca="1">IFERROR(MATCH($A79,INDIRECT("'Predictor Setup'!A"&amp;3+I79):'Predictor Setup'!$A$202,0)+I79,"")</f>
        <v/>
      </c>
      <c r="K79" s="3" t="str">
        <f ca="1">IFERROR(MATCH($A79,INDIRECT("'Predictor Setup'!A"&amp;3+J79):'Predictor Setup'!$A$202,0)+J79,"")</f>
        <v/>
      </c>
      <c r="L79" s="3" t="str">
        <f ca="1">IFERROR(MATCH($A79,INDIRECT("'Predictor Setup'!A"&amp;3+K79):'Predictor Setup'!$A$202,0)+K79,"")</f>
        <v/>
      </c>
      <c r="M79" s="3" t="str">
        <f ca="1">IFERROR(MATCH($A79,INDIRECT("'Predictor Setup'!A"&amp;3+L79):'Predictor Setup'!$A$202,0)+L79,"")</f>
        <v/>
      </c>
      <c r="N79" s="3" t="str">
        <f ca="1">IFERROR(MATCH($A79,INDIRECT("'Predictor Setup'!A"&amp;3+M79):'Predictor Setup'!$A$202,0)+M79,"")</f>
        <v/>
      </c>
      <c r="O79" s="3" t="str">
        <f ca="1">IFERROR(MATCH($A79,INDIRECT("'Predictor Setup'!A"&amp;3+N79):'Predictor Setup'!$A$202,0)+N79,"")</f>
        <v/>
      </c>
      <c r="P79" s="3" t="str">
        <f ca="1">IFERROR(MATCH($A79,INDIRECT("'Predictor Setup'!A"&amp;3+O79):'Predictor Setup'!$A$202,0)+O79,"")</f>
        <v/>
      </c>
    </row>
    <row r="80" spans="1:16" x14ac:dyDescent="0.35">
      <c r="A80" t="str">
        <f>IF('Predictor Setup'!A68="",A79,'Predictor Setup'!A68)</f>
        <v>Facility</v>
      </c>
      <c r="B80" t="e">
        <f>MATCH($A80,'Predictor Setup'!$A$3:$A$202,0)</f>
        <v>#N/A</v>
      </c>
      <c r="C80" s="3" t="str">
        <f ca="1">IFERROR(MATCH($A80,INDIRECT("'Predictor Setup'!A"&amp;3+B80):'Predictor Setup'!$A$202,0)+B80,"")</f>
        <v/>
      </c>
      <c r="D80" s="3" t="str">
        <f ca="1">IFERROR(MATCH($A80,INDIRECT("'Predictor Setup'!A"&amp;3+C80):'Predictor Setup'!$A$202,0)+C80,"")</f>
        <v/>
      </c>
      <c r="E80" s="3" t="str">
        <f ca="1">IFERROR(MATCH($A80,INDIRECT("'Predictor Setup'!A"&amp;3+D80):'Predictor Setup'!$A$202,0)+D80,"")</f>
        <v/>
      </c>
      <c r="F80" s="3" t="str">
        <f ca="1">IFERROR(MATCH($A80,INDIRECT("'Predictor Setup'!A"&amp;3+E80):'Predictor Setup'!$A$202,0)+E80,"")</f>
        <v/>
      </c>
      <c r="G80" s="3" t="str">
        <f ca="1">IFERROR(MATCH($A80,INDIRECT("'Predictor Setup'!A"&amp;3+F80):'Predictor Setup'!$A$202,0)+F80,"")</f>
        <v/>
      </c>
      <c r="H80" s="3" t="str">
        <f ca="1">IFERROR(MATCH($A80,INDIRECT("'Predictor Setup'!A"&amp;3+G80):'Predictor Setup'!$A$202,0)+G80,"")</f>
        <v/>
      </c>
      <c r="I80" s="3" t="str">
        <f ca="1">IFERROR(MATCH($A80,INDIRECT("'Predictor Setup'!A"&amp;3+H80):'Predictor Setup'!$A$202,0)+H80,"")</f>
        <v/>
      </c>
      <c r="J80" s="3" t="str">
        <f ca="1">IFERROR(MATCH($A80,INDIRECT("'Predictor Setup'!A"&amp;3+I80):'Predictor Setup'!$A$202,0)+I80,"")</f>
        <v/>
      </c>
      <c r="K80" s="3" t="str">
        <f ca="1">IFERROR(MATCH($A80,INDIRECT("'Predictor Setup'!A"&amp;3+J80):'Predictor Setup'!$A$202,0)+J80,"")</f>
        <v/>
      </c>
      <c r="L80" s="3" t="str">
        <f ca="1">IFERROR(MATCH($A80,INDIRECT("'Predictor Setup'!A"&amp;3+K80):'Predictor Setup'!$A$202,0)+K80,"")</f>
        <v/>
      </c>
      <c r="M80" s="3" t="str">
        <f ca="1">IFERROR(MATCH($A80,INDIRECT("'Predictor Setup'!A"&amp;3+L80):'Predictor Setup'!$A$202,0)+L80,"")</f>
        <v/>
      </c>
      <c r="N80" s="3" t="str">
        <f ca="1">IFERROR(MATCH($A80,INDIRECT("'Predictor Setup'!A"&amp;3+M80):'Predictor Setup'!$A$202,0)+M80,"")</f>
        <v/>
      </c>
      <c r="O80" s="3" t="str">
        <f ca="1">IFERROR(MATCH($A80,INDIRECT("'Predictor Setup'!A"&amp;3+N80):'Predictor Setup'!$A$202,0)+N80,"")</f>
        <v/>
      </c>
      <c r="P80" s="3" t="str">
        <f ca="1">IFERROR(MATCH($A80,INDIRECT("'Predictor Setup'!A"&amp;3+O80):'Predictor Setup'!$A$202,0)+O80,"")</f>
        <v/>
      </c>
    </row>
    <row r="81" spans="1:16" x14ac:dyDescent="0.35">
      <c r="A81" t="str">
        <f>IF('Predictor Setup'!A69="",A80,'Predictor Setup'!A69)</f>
        <v>Facility</v>
      </c>
      <c r="B81" t="e">
        <f>MATCH($A81,'Predictor Setup'!$A$3:$A$202,0)</f>
        <v>#N/A</v>
      </c>
      <c r="C81" s="3" t="str">
        <f ca="1">IFERROR(MATCH($A81,INDIRECT("'Predictor Setup'!A"&amp;3+B81):'Predictor Setup'!$A$202,0)+B81,"")</f>
        <v/>
      </c>
      <c r="D81" s="3" t="str">
        <f ca="1">IFERROR(MATCH($A81,INDIRECT("'Predictor Setup'!A"&amp;3+C81):'Predictor Setup'!$A$202,0)+C81,"")</f>
        <v/>
      </c>
      <c r="E81" s="3" t="str">
        <f ca="1">IFERROR(MATCH($A81,INDIRECT("'Predictor Setup'!A"&amp;3+D81):'Predictor Setup'!$A$202,0)+D81,"")</f>
        <v/>
      </c>
      <c r="F81" s="3" t="str">
        <f ca="1">IFERROR(MATCH($A81,INDIRECT("'Predictor Setup'!A"&amp;3+E81):'Predictor Setup'!$A$202,0)+E81,"")</f>
        <v/>
      </c>
      <c r="G81" s="3" t="str">
        <f ca="1">IFERROR(MATCH($A81,INDIRECT("'Predictor Setup'!A"&amp;3+F81):'Predictor Setup'!$A$202,0)+F81,"")</f>
        <v/>
      </c>
      <c r="H81" s="3" t="str">
        <f ca="1">IFERROR(MATCH($A81,INDIRECT("'Predictor Setup'!A"&amp;3+G81):'Predictor Setup'!$A$202,0)+G81,"")</f>
        <v/>
      </c>
      <c r="I81" s="3" t="str">
        <f ca="1">IFERROR(MATCH($A81,INDIRECT("'Predictor Setup'!A"&amp;3+H81):'Predictor Setup'!$A$202,0)+H81,"")</f>
        <v/>
      </c>
      <c r="J81" s="3" t="str">
        <f ca="1">IFERROR(MATCH($A81,INDIRECT("'Predictor Setup'!A"&amp;3+I81):'Predictor Setup'!$A$202,0)+I81,"")</f>
        <v/>
      </c>
      <c r="K81" s="3" t="str">
        <f ca="1">IFERROR(MATCH($A81,INDIRECT("'Predictor Setup'!A"&amp;3+J81):'Predictor Setup'!$A$202,0)+J81,"")</f>
        <v/>
      </c>
      <c r="L81" s="3" t="str">
        <f ca="1">IFERROR(MATCH($A81,INDIRECT("'Predictor Setup'!A"&amp;3+K81):'Predictor Setup'!$A$202,0)+K81,"")</f>
        <v/>
      </c>
      <c r="M81" s="3" t="str">
        <f ca="1">IFERROR(MATCH($A81,INDIRECT("'Predictor Setup'!A"&amp;3+L81):'Predictor Setup'!$A$202,0)+L81,"")</f>
        <v/>
      </c>
      <c r="N81" s="3" t="str">
        <f ca="1">IFERROR(MATCH($A81,INDIRECT("'Predictor Setup'!A"&amp;3+M81):'Predictor Setup'!$A$202,0)+M81,"")</f>
        <v/>
      </c>
      <c r="O81" s="3" t="str">
        <f ca="1">IFERROR(MATCH($A81,INDIRECT("'Predictor Setup'!A"&amp;3+N81):'Predictor Setup'!$A$202,0)+N81,"")</f>
        <v/>
      </c>
      <c r="P81" s="3" t="str">
        <f ca="1">IFERROR(MATCH($A81,INDIRECT("'Predictor Setup'!A"&amp;3+O81):'Predictor Setup'!$A$202,0)+O81,"")</f>
        <v/>
      </c>
    </row>
    <row r="82" spans="1:16" x14ac:dyDescent="0.35">
      <c r="A82" t="str">
        <f>IF('Predictor Setup'!A70="",A81,'Predictor Setup'!A70)</f>
        <v>Facility</v>
      </c>
      <c r="B82" t="e">
        <f>MATCH($A82,'Predictor Setup'!$A$3:$A$202,0)</f>
        <v>#N/A</v>
      </c>
      <c r="C82" s="3" t="str">
        <f ca="1">IFERROR(MATCH($A82,INDIRECT("'Predictor Setup'!A"&amp;3+B82):'Predictor Setup'!$A$202,0)+B82,"")</f>
        <v/>
      </c>
      <c r="D82" s="3" t="str">
        <f ca="1">IFERROR(MATCH($A82,INDIRECT("'Predictor Setup'!A"&amp;3+C82):'Predictor Setup'!$A$202,0)+C82,"")</f>
        <v/>
      </c>
      <c r="E82" s="3" t="str">
        <f ca="1">IFERROR(MATCH($A82,INDIRECT("'Predictor Setup'!A"&amp;3+D82):'Predictor Setup'!$A$202,0)+D82,"")</f>
        <v/>
      </c>
      <c r="F82" s="3" t="str">
        <f ca="1">IFERROR(MATCH($A82,INDIRECT("'Predictor Setup'!A"&amp;3+E82):'Predictor Setup'!$A$202,0)+E82,"")</f>
        <v/>
      </c>
      <c r="G82" s="3" t="str">
        <f ca="1">IFERROR(MATCH($A82,INDIRECT("'Predictor Setup'!A"&amp;3+F82):'Predictor Setup'!$A$202,0)+F82,"")</f>
        <v/>
      </c>
      <c r="H82" s="3" t="str">
        <f ca="1">IFERROR(MATCH($A82,INDIRECT("'Predictor Setup'!A"&amp;3+G82):'Predictor Setup'!$A$202,0)+G82,"")</f>
        <v/>
      </c>
      <c r="I82" s="3" t="str">
        <f ca="1">IFERROR(MATCH($A82,INDIRECT("'Predictor Setup'!A"&amp;3+H82):'Predictor Setup'!$A$202,0)+H82,"")</f>
        <v/>
      </c>
      <c r="J82" s="3" t="str">
        <f ca="1">IFERROR(MATCH($A82,INDIRECT("'Predictor Setup'!A"&amp;3+I82):'Predictor Setup'!$A$202,0)+I82,"")</f>
        <v/>
      </c>
      <c r="K82" s="3" t="str">
        <f ca="1">IFERROR(MATCH($A82,INDIRECT("'Predictor Setup'!A"&amp;3+J82):'Predictor Setup'!$A$202,0)+J82,"")</f>
        <v/>
      </c>
      <c r="L82" s="3" t="str">
        <f ca="1">IFERROR(MATCH($A82,INDIRECT("'Predictor Setup'!A"&amp;3+K82):'Predictor Setup'!$A$202,0)+K82,"")</f>
        <v/>
      </c>
      <c r="M82" s="3" t="str">
        <f ca="1">IFERROR(MATCH($A82,INDIRECT("'Predictor Setup'!A"&amp;3+L82):'Predictor Setup'!$A$202,0)+L82,"")</f>
        <v/>
      </c>
      <c r="N82" s="3" t="str">
        <f ca="1">IFERROR(MATCH($A82,INDIRECT("'Predictor Setup'!A"&amp;3+M82):'Predictor Setup'!$A$202,0)+M82,"")</f>
        <v/>
      </c>
      <c r="O82" s="3" t="str">
        <f ca="1">IFERROR(MATCH($A82,INDIRECT("'Predictor Setup'!A"&amp;3+N82):'Predictor Setup'!$A$202,0)+N82,"")</f>
        <v/>
      </c>
      <c r="P82" s="3" t="str">
        <f ca="1">IFERROR(MATCH($A82,INDIRECT("'Predictor Setup'!A"&amp;3+O82):'Predictor Setup'!$A$202,0)+O82,"")</f>
        <v/>
      </c>
    </row>
    <row r="83" spans="1:16" x14ac:dyDescent="0.35">
      <c r="A83" t="str">
        <f>IF('Predictor Setup'!A71="",A82,'Predictor Setup'!A71)</f>
        <v>Facility</v>
      </c>
      <c r="B83" t="e">
        <f>MATCH($A83,'Predictor Setup'!$A$3:$A$202,0)</f>
        <v>#N/A</v>
      </c>
      <c r="C83" s="3" t="str">
        <f ca="1">IFERROR(MATCH($A83,INDIRECT("'Predictor Setup'!A"&amp;3+B83):'Predictor Setup'!$A$202,0)+B83,"")</f>
        <v/>
      </c>
      <c r="D83" s="3" t="str">
        <f ca="1">IFERROR(MATCH($A83,INDIRECT("'Predictor Setup'!A"&amp;3+C83):'Predictor Setup'!$A$202,0)+C83,"")</f>
        <v/>
      </c>
      <c r="E83" s="3" t="str">
        <f ca="1">IFERROR(MATCH($A83,INDIRECT("'Predictor Setup'!A"&amp;3+D83):'Predictor Setup'!$A$202,0)+D83,"")</f>
        <v/>
      </c>
      <c r="F83" s="3" t="str">
        <f ca="1">IFERROR(MATCH($A83,INDIRECT("'Predictor Setup'!A"&amp;3+E83):'Predictor Setup'!$A$202,0)+E83,"")</f>
        <v/>
      </c>
      <c r="G83" s="3" t="str">
        <f ca="1">IFERROR(MATCH($A83,INDIRECT("'Predictor Setup'!A"&amp;3+F83):'Predictor Setup'!$A$202,0)+F83,"")</f>
        <v/>
      </c>
      <c r="H83" s="3" t="str">
        <f ca="1">IFERROR(MATCH($A83,INDIRECT("'Predictor Setup'!A"&amp;3+G83):'Predictor Setup'!$A$202,0)+G83,"")</f>
        <v/>
      </c>
      <c r="I83" s="3" t="str">
        <f ca="1">IFERROR(MATCH($A83,INDIRECT("'Predictor Setup'!A"&amp;3+H83):'Predictor Setup'!$A$202,0)+H83,"")</f>
        <v/>
      </c>
      <c r="J83" s="3" t="str">
        <f ca="1">IFERROR(MATCH($A83,INDIRECT("'Predictor Setup'!A"&amp;3+I83):'Predictor Setup'!$A$202,0)+I83,"")</f>
        <v/>
      </c>
      <c r="K83" s="3" t="str">
        <f ca="1">IFERROR(MATCH($A83,INDIRECT("'Predictor Setup'!A"&amp;3+J83):'Predictor Setup'!$A$202,0)+J83,"")</f>
        <v/>
      </c>
      <c r="L83" s="3" t="str">
        <f ca="1">IFERROR(MATCH($A83,INDIRECT("'Predictor Setup'!A"&amp;3+K83):'Predictor Setup'!$A$202,0)+K83,"")</f>
        <v/>
      </c>
      <c r="M83" s="3" t="str">
        <f ca="1">IFERROR(MATCH($A83,INDIRECT("'Predictor Setup'!A"&amp;3+L83):'Predictor Setup'!$A$202,0)+L83,"")</f>
        <v/>
      </c>
      <c r="N83" s="3" t="str">
        <f ca="1">IFERROR(MATCH($A83,INDIRECT("'Predictor Setup'!A"&amp;3+M83):'Predictor Setup'!$A$202,0)+M83,"")</f>
        <v/>
      </c>
      <c r="O83" s="3" t="str">
        <f ca="1">IFERROR(MATCH($A83,INDIRECT("'Predictor Setup'!A"&amp;3+N83):'Predictor Setup'!$A$202,0)+N83,"")</f>
        <v/>
      </c>
      <c r="P83" s="3" t="str">
        <f ca="1">IFERROR(MATCH($A83,INDIRECT("'Predictor Setup'!A"&amp;3+O83):'Predictor Setup'!$A$202,0)+O83,"")</f>
        <v/>
      </c>
    </row>
    <row r="84" spans="1:16" x14ac:dyDescent="0.35">
      <c r="A84" t="str">
        <f>IF('Predictor Setup'!A72="",A83,'Predictor Setup'!A72)</f>
        <v>Facility</v>
      </c>
      <c r="B84" t="e">
        <f>MATCH($A84,'Predictor Setup'!$A$3:$A$202,0)</f>
        <v>#N/A</v>
      </c>
      <c r="C84" s="3" t="str">
        <f ca="1">IFERROR(MATCH($A84,INDIRECT("'Predictor Setup'!A"&amp;3+B84):'Predictor Setup'!$A$202,0)+B84,"")</f>
        <v/>
      </c>
      <c r="D84" s="3" t="str">
        <f ca="1">IFERROR(MATCH($A84,INDIRECT("'Predictor Setup'!A"&amp;3+C84):'Predictor Setup'!$A$202,0)+C84,"")</f>
        <v/>
      </c>
      <c r="E84" s="3" t="str">
        <f ca="1">IFERROR(MATCH($A84,INDIRECT("'Predictor Setup'!A"&amp;3+D84):'Predictor Setup'!$A$202,0)+D84,"")</f>
        <v/>
      </c>
      <c r="F84" s="3" t="str">
        <f ca="1">IFERROR(MATCH($A84,INDIRECT("'Predictor Setup'!A"&amp;3+E84):'Predictor Setup'!$A$202,0)+E84,"")</f>
        <v/>
      </c>
      <c r="G84" s="3" t="str">
        <f ca="1">IFERROR(MATCH($A84,INDIRECT("'Predictor Setup'!A"&amp;3+F84):'Predictor Setup'!$A$202,0)+F84,"")</f>
        <v/>
      </c>
      <c r="H84" s="3" t="str">
        <f ca="1">IFERROR(MATCH($A84,INDIRECT("'Predictor Setup'!A"&amp;3+G84):'Predictor Setup'!$A$202,0)+G84,"")</f>
        <v/>
      </c>
      <c r="I84" s="3" t="str">
        <f ca="1">IFERROR(MATCH($A84,INDIRECT("'Predictor Setup'!A"&amp;3+H84):'Predictor Setup'!$A$202,0)+H84,"")</f>
        <v/>
      </c>
      <c r="J84" s="3" t="str">
        <f ca="1">IFERROR(MATCH($A84,INDIRECT("'Predictor Setup'!A"&amp;3+I84):'Predictor Setup'!$A$202,0)+I84,"")</f>
        <v/>
      </c>
      <c r="K84" s="3" t="str">
        <f ca="1">IFERROR(MATCH($A84,INDIRECT("'Predictor Setup'!A"&amp;3+J84):'Predictor Setup'!$A$202,0)+J84,"")</f>
        <v/>
      </c>
      <c r="L84" s="3" t="str">
        <f ca="1">IFERROR(MATCH($A84,INDIRECT("'Predictor Setup'!A"&amp;3+K84):'Predictor Setup'!$A$202,0)+K84,"")</f>
        <v/>
      </c>
      <c r="M84" s="3" t="str">
        <f ca="1">IFERROR(MATCH($A84,INDIRECT("'Predictor Setup'!A"&amp;3+L84):'Predictor Setup'!$A$202,0)+L84,"")</f>
        <v/>
      </c>
      <c r="N84" s="3" t="str">
        <f ca="1">IFERROR(MATCH($A84,INDIRECT("'Predictor Setup'!A"&amp;3+M84):'Predictor Setup'!$A$202,0)+M84,"")</f>
        <v/>
      </c>
      <c r="O84" s="3" t="str">
        <f ca="1">IFERROR(MATCH($A84,INDIRECT("'Predictor Setup'!A"&amp;3+N84):'Predictor Setup'!$A$202,0)+N84,"")</f>
        <v/>
      </c>
      <c r="P84" s="3" t="str">
        <f ca="1">IFERROR(MATCH($A84,INDIRECT("'Predictor Setup'!A"&amp;3+O84):'Predictor Setup'!$A$202,0)+O84,"")</f>
        <v/>
      </c>
    </row>
    <row r="85" spans="1:16" x14ac:dyDescent="0.35">
      <c r="A85" t="str">
        <f>IF('Predictor Setup'!A73="",A84,'Predictor Setup'!A73)</f>
        <v>Facility</v>
      </c>
      <c r="B85" t="e">
        <f>MATCH($A85,'Predictor Setup'!$A$3:$A$202,0)</f>
        <v>#N/A</v>
      </c>
      <c r="C85" s="3" t="str">
        <f ca="1">IFERROR(MATCH($A85,INDIRECT("'Predictor Setup'!A"&amp;3+B85):'Predictor Setup'!$A$202,0)+B85,"")</f>
        <v/>
      </c>
      <c r="D85" s="3" t="str">
        <f ca="1">IFERROR(MATCH($A85,INDIRECT("'Predictor Setup'!A"&amp;3+C85):'Predictor Setup'!$A$202,0)+C85,"")</f>
        <v/>
      </c>
      <c r="E85" s="3" t="str">
        <f ca="1">IFERROR(MATCH($A85,INDIRECT("'Predictor Setup'!A"&amp;3+D85):'Predictor Setup'!$A$202,0)+D85,"")</f>
        <v/>
      </c>
      <c r="F85" s="3" t="str">
        <f ca="1">IFERROR(MATCH($A85,INDIRECT("'Predictor Setup'!A"&amp;3+E85):'Predictor Setup'!$A$202,0)+E85,"")</f>
        <v/>
      </c>
      <c r="G85" s="3" t="str">
        <f ca="1">IFERROR(MATCH($A85,INDIRECT("'Predictor Setup'!A"&amp;3+F85):'Predictor Setup'!$A$202,0)+F85,"")</f>
        <v/>
      </c>
      <c r="H85" s="3" t="str">
        <f ca="1">IFERROR(MATCH($A85,INDIRECT("'Predictor Setup'!A"&amp;3+G85):'Predictor Setup'!$A$202,0)+G85,"")</f>
        <v/>
      </c>
      <c r="I85" s="3" t="str">
        <f ca="1">IFERROR(MATCH($A85,INDIRECT("'Predictor Setup'!A"&amp;3+H85):'Predictor Setup'!$A$202,0)+H85,"")</f>
        <v/>
      </c>
      <c r="J85" s="3" t="str">
        <f ca="1">IFERROR(MATCH($A85,INDIRECT("'Predictor Setup'!A"&amp;3+I85):'Predictor Setup'!$A$202,0)+I85,"")</f>
        <v/>
      </c>
      <c r="K85" s="3" t="str">
        <f ca="1">IFERROR(MATCH($A85,INDIRECT("'Predictor Setup'!A"&amp;3+J85):'Predictor Setup'!$A$202,0)+J85,"")</f>
        <v/>
      </c>
      <c r="L85" s="3" t="str">
        <f ca="1">IFERROR(MATCH($A85,INDIRECT("'Predictor Setup'!A"&amp;3+K85):'Predictor Setup'!$A$202,0)+K85,"")</f>
        <v/>
      </c>
      <c r="M85" s="3" t="str">
        <f ca="1">IFERROR(MATCH($A85,INDIRECT("'Predictor Setup'!A"&amp;3+L85):'Predictor Setup'!$A$202,0)+L85,"")</f>
        <v/>
      </c>
      <c r="N85" s="3" t="str">
        <f ca="1">IFERROR(MATCH($A85,INDIRECT("'Predictor Setup'!A"&amp;3+M85):'Predictor Setup'!$A$202,0)+M85,"")</f>
        <v/>
      </c>
      <c r="O85" s="3" t="str">
        <f ca="1">IFERROR(MATCH($A85,INDIRECT("'Predictor Setup'!A"&amp;3+N85):'Predictor Setup'!$A$202,0)+N85,"")</f>
        <v/>
      </c>
      <c r="P85" s="3" t="str">
        <f ca="1">IFERROR(MATCH($A85,INDIRECT("'Predictor Setup'!A"&amp;3+O85):'Predictor Setup'!$A$202,0)+O85,"")</f>
        <v/>
      </c>
    </row>
    <row r="86" spans="1:16" x14ac:dyDescent="0.35">
      <c r="A86" t="str">
        <f>IF('Predictor Setup'!A74="",A85,'Predictor Setup'!A74)</f>
        <v>Facility</v>
      </c>
      <c r="B86" t="e">
        <f>MATCH($A86,'Predictor Setup'!$A$3:$A$202,0)</f>
        <v>#N/A</v>
      </c>
      <c r="C86" s="3" t="str">
        <f ca="1">IFERROR(MATCH($A86,INDIRECT("'Predictor Setup'!A"&amp;3+B86):'Predictor Setup'!$A$202,0)+B86,"")</f>
        <v/>
      </c>
      <c r="D86" s="3" t="str">
        <f ca="1">IFERROR(MATCH($A86,INDIRECT("'Predictor Setup'!A"&amp;3+C86):'Predictor Setup'!$A$202,0)+C86,"")</f>
        <v/>
      </c>
      <c r="E86" s="3" t="str">
        <f ca="1">IFERROR(MATCH($A86,INDIRECT("'Predictor Setup'!A"&amp;3+D86):'Predictor Setup'!$A$202,0)+D86,"")</f>
        <v/>
      </c>
      <c r="F86" s="3" t="str">
        <f ca="1">IFERROR(MATCH($A86,INDIRECT("'Predictor Setup'!A"&amp;3+E86):'Predictor Setup'!$A$202,0)+E86,"")</f>
        <v/>
      </c>
      <c r="G86" s="3" t="str">
        <f ca="1">IFERROR(MATCH($A86,INDIRECT("'Predictor Setup'!A"&amp;3+F86):'Predictor Setup'!$A$202,0)+F86,"")</f>
        <v/>
      </c>
      <c r="H86" s="3" t="str">
        <f ca="1">IFERROR(MATCH($A86,INDIRECT("'Predictor Setup'!A"&amp;3+G86):'Predictor Setup'!$A$202,0)+G86,"")</f>
        <v/>
      </c>
      <c r="I86" s="3" t="str">
        <f ca="1">IFERROR(MATCH($A86,INDIRECT("'Predictor Setup'!A"&amp;3+H86):'Predictor Setup'!$A$202,0)+H86,"")</f>
        <v/>
      </c>
      <c r="J86" s="3" t="str">
        <f ca="1">IFERROR(MATCH($A86,INDIRECT("'Predictor Setup'!A"&amp;3+I86):'Predictor Setup'!$A$202,0)+I86,"")</f>
        <v/>
      </c>
      <c r="K86" s="3" t="str">
        <f ca="1">IFERROR(MATCH($A86,INDIRECT("'Predictor Setup'!A"&amp;3+J86):'Predictor Setup'!$A$202,0)+J86,"")</f>
        <v/>
      </c>
      <c r="L86" s="3" t="str">
        <f ca="1">IFERROR(MATCH($A86,INDIRECT("'Predictor Setup'!A"&amp;3+K86):'Predictor Setup'!$A$202,0)+K86,"")</f>
        <v/>
      </c>
      <c r="M86" s="3" t="str">
        <f ca="1">IFERROR(MATCH($A86,INDIRECT("'Predictor Setup'!A"&amp;3+L86):'Predictor Setup'!$A$202,0)+L86,"")</f>
        <v/>
      </c>
      <c r="N86" s="3" t="str">
        <f ca="1">IFERROR(MATCH($A86,INDIRECT("'Predictor Setup'!A"&amp;3+M86):'Predictor Setup'!$A$202,0)+M86,"")</f>
        <v/>
      </c>
      <c r="O86" s="3" t="str">
        <f ca="1">IFERROR(MATCH($A86,INDIRECT("'Predictor Setup'!A"&amp;3+N86):'Predictor Setup'!$A$202,0)+N86,"")</f>
        <v/>
      </c>
      <c r="P86" s="3" t="str">
        <f ca="1">IFERROR(MATCH($A86,INDIRECT("'Predictor Setup'!A"&amp;3+O86):'Predictor Setup'!$A$202,0)+O86,"")</f>
        <v/>
      </c>
    </row>
    <row r="87" spans="1:16" x14ac:dyDescent="0.35">
      <c r="A87" t="str">
        <f>IF('Predictor Setup'!A75="",A86,'Predictor Setup'!A75)</f>
        <v>Facility</v>
      </c>
      <c r="B87" t="e">
        <f>MATCH($A87,'Predictor Setup'!$A$3:$A$202,0)</f>
        <v>#N/A</v>
      </c>
      <c r="C87" s="3" t="str">
        <f ca="1">IFERROR(MATCH($A87,INDIRECT("'Predictor Setup'!A"&amp;3+B87):'Predictor Setup'!$A$202,0)+B87,"")</f>
        <v/>
      </c>
      <c r="D87" s="3" t="str">
        <f ca="1">IFERROR(MATCH($A87,INDIRECT("'Predictor Setup'!A"&amp;3+C87):'Predictor Setup'!$A$202,0)+C87,"")</f>
        <v/>
      </c>
      <c r="E87" s="3" t="str">
        <f ca="1">IFERROR(MATCH($A87,INDIRECT("'Predictor Setup'!A"&amp;3+D87):'Predictor Setup'!$A$202,0)+D87,"")</f>
        <v/>
      </c>
      <c r="F87" s="3" t="str">
        <f ca="1">IFERROR(MATCH($A87,INDIRECT("'Predictor Setup'!A"&amp;3+E87):'Predictor Setup'!$A$202,0)+E87,"")</f>
        <v/>
      </c>
      <c r="G87" s="3" t="str">
        <f ca="1">IFERROR(MATCH($A87,INDIRECT("'Predictor Setup'!A"&amp;3+F87):'Predictor Setup'!$A$202,0)+F87,"")</f>
        <v/>
      </c>
      <c r="H87" s="3" t="str">
        <f ca="1">IFERROR(MATCH($A87,INDIRECT("'Predictor Setup'!A"&amp;3+G87):'Predictor Setup'!$A$202,0)+G87,"")</f>
        <v/>
      </c>
      <c r="I87" s="3" t="str">
        <f ca="1">IFERROR(MATCH($A87,INDIRECT("'Predictor Setup'!A"&amp;3+H87):'Predictor Setup'!$A$202,0)+H87,"")</f>
        <v/>
      </c>
      <c r="J87" s="3" t="str">
        <f ca="1">IFERROR(MATCH($A87,INDIRECT("'Predictor Setup'!A"&amp;3+I87):'Predictor Setup'!$A$202,0)+I87,"")</f>
        <v/>
      </c>
      <c r="K87" s="3" t="str">
        <f ca="1">IFERROR(MATCH($A87,INDIRECT("'Predictor Setup'!A"&amp;3+J87):'Predictor Setup'!$A$202,0)+J87,"")</f>
        <v/>
      </c>
      <c r="L87" s="3" t="str">
        <f ca="1">IFERROR(MATCH($A87,INDIRECT("'Predictor Setup'!A"&amp;3+K87):'Predictor Setup'!$A$202,0)+K87,"")</f>
        <v/>
      </c>
      <c r="M87" s="3" t="str">
        <f ca="1">IFERROR(MATCH($A87,INDIRECT("'Predictor Setup'!A"&amp;3+L87):'Predictor Setup'!$A$202,0)+L87,"")</f>
        <v/>
      </c>
      <c r="N87" s="3" t="str">
        <f ca="1">IFERROR(MATCH($A87,INDIRECT("'Predictor Setup'!A"&amp;3+M87):'Predictor Setup'!$A$202,0)+M87,"")</f>
        <v/>
      </c>
      <c r="O87" s="3" t="str">
        <f ca="1">IFERROR(MATCH($A87,INDIRECT("'Predictor Setup'!A"&amp;3+N87):'Predictor Setup'!$A$202,0)+N87,"")</f>
        <v/>
      </c>
      <c r="P87" s="3" t="str">
        <f ca="1">IFERROR(MATCH($A87,INDIRECT("'Predictor Setup'!A"&amp;3+O87):'Predictor Setup'!$A$202,0)+O87,"")</f>
        <v/>
      </c>
    </row>
    <row r="88" spans="1:16" x14ac:dyDescent="0.35">
      <c r="A88" t="str">
        <f>IF('Predictor Setup'!A76="",A87,'Predictor Setup'!A76)</f>
        <v>Facility</v>
      </c>
      <c r="B88" t="e">
        <f>MATCH($A88,'Predictor Setup'!$A$3:$A$202,0)</f>
        <v>#N/A</v>
      </c>
      <c r="C88" s="3" t="str">
        <f ca="1">IFERROR(MATCH($A88,INDIRECT("'Predictor Setup'!A"&amp;3+B88):'Predictor Setup'!$A$202,0)+B88,"")</f>
        <v/>
      </c>
      <c r="D88" s="3" t="str">
        <f ca="1">IFERROR(MATCH($A88,INDIRECT("'Predictor Setup'!A"&amp;3+C88):'Predictor Setup'!$A$202,0)+C88,"")</f>
        <v/>
      </c>
      <c r="E88" s="3" t="str">
        <f ca="1">IFERROR(MATCH($A88,INDIRECT("'Predictor Setup'!A"&amp;3+D88):'Predictor Setup'!$A$202,0)+D88,"")</f>
        <v/>
      </c>
      <c r="F88" s="3" t="str">
        <f ca="1">IFERROR(MATCH($A88,INDIRECT("'Predictor Setup'!A"&amp;3+E88):'Predictor Setup'!$A$202,0)+E88,"")</f>
        <v/>
      </c>
      <c r="G88" s="3" t="str">
        <f ca="1">IFERROR(MATCH($A88,INDIRECT("'Predictor Setup'!A"&amp;3+F88):'Predictor Setup'!$A$202,0)+F88,"")</f>
        <v/>
      </c>
      <c r="H88" s="3" t="str">
        <f ca="1">IFERROR(MATCH($A88,INDIRECT("'Predictor Setup'!A"&amp;3+G88):'Predictor Setup'!$A$202,0)+G88,"")</f>
        <v/>
      </c>
      <c r="I88" s="3" t="str">
        <f ca="1">IFERROR(MATCH($A88,INDIRECT("'Predictor Setup'!A"&amp;3+H88):'Predictor Setup'!$A$202,0)+H88,"")</f>
        <v/>
      </c>
      <c r="J88" s="3" t="str">
        <f ca="1">IFERROR(MATCH($A88,INDIRECT("'Predictor Setup'!A"&amp;3+I88):'Predictor Setup'!$A$202,0)+I88,"")</f>
        <v/>
      </c>
      <c r="K88" s="3" t="str">
        <f ca="1">IFERROR(MATCH($A88,INDIRECT("'Predictor Setup'!A"&amp;3+J88):'Predictor Setup'!$A$202,0)+J88,"")</f>
        <v/>
      </c>
      <c r="L88" s="3" t="str">
        <f ca="1">IFERROR(MATCH($A88,INDIRECT("'Predictor Setup'!A"&amp;3+K88):'Predictor Setup'!$A$202,0)+K88,"")</f>
        <v/>
      </c>
      <c r="M88" s="3" t="str">
        <f ca="1">IFERROR(MATCH($A88,INDIRECT("'Predictor Setup'!A"&amp;3+L88):'Predictor Setup'!$A$202,0)+L88,"")</f>
        <v/>
      </c>
      <c r="N88" s="3" t="str">
        <f ca="1">IFERROR(MATCH($A88,INDIRECT("'Predictor Setup'!A"&amp;3+M88):'Predictor Setup'!$A$202,0)+M88,"")</f>
        <v/>
      </c>
      <c r="O88" s="3" t="str">
        <f ca="1">IFERROR(MATCH($A88,INDIRECT("'Predictor Setup'!A"&amp;3+N88):'Predictor Setup'!$A$202,0)+N88,"")</f>
        <v/>
      </c>
      <c r="P88" s="3" t="str">
        <f ca="1">IFERROR(MATCH($A88,INDIRECT("'Predictor Setup'!A"&amp;3+O88):'Predictor Setup'!$A$202,0)+O88,"")</f>
        <v/>
      </c>
    </row>
    <row r="89" spans="1:16" x14ac:dyDescent="0.35">
      <c r="A89" t="str">
        <f>IF('Predictor Setup'!A77="",A88,'Predictor Setup'!A77)</f>
        <v>Facility</v>
      </c>
      <c r="B89" t="e">
        <f>MATCH($A89,'Predictor Setup'!$A$3:$A$202,0)</f>
        <v>#N/A</v>
      </c>
      <c r="C89" s="3" t="str">
        <f ca="1">IFERROR(MATCH($A89,INDIRECT("'Predictor Setup'!A"&amp;3+B89):'Predictor Setup'!$A$202,0)+B89,"")</f>
        <v/>
      </c>
      <c r="D89" s="3" t="str">
        <f ca="1">IFERROR(MATCH($A89,INDIRECT("'Predictor Setup'!A"&amp;3+C89):'Predictor Setup'!$A$202,0)+C89,"")</f>
        <v/>
      </c>
      <c r="E89" s="3" t="str">
        <f ca="1">IFERROR(MATCH($A89,INDIRECT("'Predictor Setup'!A"&amp;3+D89):'Predictor Setup'!$A$202,0)+D89,"")</f>
        <v/>
      </c>
      <c r="F89" s="3" t="str">
        <f ca="1">IFERROR(MATCH($A89,INDIRECT("'Predictor Setup'!A"&amp;3+E89):'Predictor Setup'!$A$202,0)+E89,"")</f>
        <v/>
      </c>
      <c r="G89" s="3" t="str">
        <f ca="1">IFERROR(MATCH($A89,INDIRECT("'Predictor Setup'!A"&amp;3+F89):'Predictor Setup'!$A$202,0)+F89,"")</f>
        <v/>
      </c>
      <c r="H89" s="3" t="str">
        <f ca="1">IFERROR(MATCH($A89,INDIRECT("'Predictor Setup'!A"&amp;3+G89):'Predictor Setup'!$A$202,0)+G89,"")</f>
        <v/>
      </c>
      <c r="I89" s="3" t="str">
        <f ca="1">IFERROR(MATCH($A89,INDIRECT("'Predictor Setup'!A"&amp;3+H89):'Predictor Setup'!$A$202,0)+H89,"")</f>
        <v/>
      </c>
      <c r="J89" s="3" t="str">
        <f ca="1">IFERROR(MATCH($A89,INDIRECT("'Predictor Setup'!A"&amp;3+I89):'Predictor Setup'!$A$202,0)+I89,"")</f>
        <v/>
      </c>
      <c r="K89" s="3" t="str">
        <f ca="1">IFERROR(MATCH($A89,INDIRECT("'Predictor Setup'!A"&amp;3+J89):'Predictor Setup'!$A$202,0)+J89,"")</f>
        <v/>
      </c>
      <c r="L89" s="3" t="str">
        <f ca="1">IFERROR(MATCH($A89,INDIRECT("'Predictor Setup'!A"&amp;3+K89):'Predictor Setup'!$A$202,0)+K89,"")</f>
        <v/>
      </c>
      <c r="M89" s="3" t="str">
        <f ca="1">IFERROR(MATCH($A89,INDIRECT("'Predictor Setup'!A"&amp;3+L89):'Predictor Setup'!$A$202,0)+L89,"")</f>
        <v/>
      </c>
      <c r="N89" s="3" t="str">
        <f ca="1">IFERROR(MATCH($A89,INDIRECT("'Predictor Setup'!A"&amp;3+M89):'Predictor Setup'!$A$202,0)+M89,"")</f>
        <v/>
      </c>
      <c r="O89" s="3" t="str">
        <f ca="1">IFERROR(MATCH($A89,INDIRECT("'Predictor Setup'!A"&amp;3+N89):'Predictor Setup'!$A$202,0)+N89,"")</f>
        <v/>
      </c>
      <c r="P89" s="3" t="str">
        <f ca="1">IFERROR(MATCH($A89,INDIRECT("'Predictor Setup'!A"&amp;3+O89):'Predictor Setup'!$A$202,0)+O89,"")</f>
        <v/>
      </c>
    </row>
    <row r="90" spans="1:16" x14ac:dyDescent="0.35">
      <c r="A90" t="str">
        <f>IF('Predictor Setup'!A78="",A89,'Predictor Setup'!A78)</f>
        <v>Facility</v>
      </c>
      <c r="B90" t="e">
        <f>MATCH($A90,'Predictor Setup'!$A$3:$A$202,0)</f>
        <v>#N/A</v>
      </c>
      <c r="C90" s="3" t="str">
        <f ca="1">IFERROR(MATCH($A90,INDIRECT("'Predictor Setup'!A"&amp;3+B90):'Predictor Setup'!$A$202,0)+B90,"")</f>
        <v/>
      </c>
      <c r="D90" s="3" t="str">
        <f ca="1">IFERROR(MATCH($A90,INDIRECT("'Predictor Setup'!A"&amp;3+C90):'Predictor Setup'!$A$202,0)+C90,"")</f>
        <v/>
      </c>
      <c r="E90" s="3" t="str">
        <f ca="1">IFERROR(MATCH($A90,INDIRECT("'Predictor Setup'!A"&amp;3+D90):'Predictor Setup'!$A$202,0)+D90,"")</f>
        <v/>
      </c>
      <c r="F90" s="3" t="str">
        <f ca="1">IFERROR(MATCH($A90,INDIRECT("'Predictor Setup'!A"&amp;3+E90):'Predictor Setup'!$A$202,0)+E90,"")</f>
        <v/>
      </c>
      <c r="G90" s="3" t="str">
        <f ca="1">IFERROR(MATCH($A90,INDIRECT("'Predictor Setup'!A"&amp;3+F90):'Predictor Setup'!$A$202,0)+F90,"")</f>
        <v/>
      </c>
      <c r="H90" s="3" t="str">
        <f ca="1">IFERROR(MATCH($A90,INDIRECT("'Predictor Setup'!A"&amp;3+G90):'Predictor Setup'!$A$202,0)+G90,"")</f>
        <v/>
      </c>
      <c r="I90" s="3" t="str">
        <f ca="1">IFERROR(MATCH($A90,INDIRECT("'Predictor Setup'!A"&amp;3+H90):'Predictor Setup'!$A$202,0)+H90,"")</f>
        <v/>
      </c>
      <c r="J90" s="3" t="str">
        <f ca="1">IFERROR(MATCH($A90,INDIRECT("'Predictor Setup'!A"&amp;3+I90):'Predictor Setup'!$A$202,0)+I90,"")</f>
        <v/>
      </c>
      <c r="K90" s="3" t="str">
        <f ca="1">IFERROR(MATCH($A90,INDIRECT("'Predictor Setup'!A"&amp;3+J90):'Predictor Setup'!$A$202,0)+J90,"")</f>
        <v/>
      </c>
      <c r="L90" s="3" t="str">
        <f ca="1">IFERROR(MATCH($A90,INDIRECT("'Predictor Setup'!A"&amp;3+K90):'Predictor Setup'!$A$202,0)+K90,"")</f>
        <v/>
      </c>
      <c r="M90" s="3" t="str">
        <f ca="1">IFERROR(MATCH($A90,INDIRECT("'Predictor Setup'!A"&amp;3+L90):'Predictor Setup'!$A$202,0)+L90,"")</f>
        <v/>
      </c>
      <c r="N90" s="3" t="str">
        <f ca="1">IFERROR(MATCH($A90,INDIRECT("'Predictor Setup'!A"&amp;3+M90):'Predictor Setup'!$A$202,0)+M90,"")</f>
        <v/>
      </c>
      <c r="O90" s="3" t="str">
        <f ca="1">IFERROR(MATCH($A90,INDIRECT("'Predictor Setup'!A"&amp;3+N90):'Predictor Setup'!$A$202,0)+N90,"")</f>
        <v/>
      </c>
      <c r="P90" s="3" t="str">
        <f ca="1">IFERROR(MATCH($A90,INDIRECT("'Predictor Setup'!A"&amp;3+O90):'Predictor Setup'!$A$202,0)+O90,"")</f>
        <v/>
      </c>
    </row>
    <row r="91" spans="1:16" x14ac:dyDescent="0.35">
      <c r="A91" t="str">
        <f>IF('Predictor Setup'!A79="",A90,'Predictor Setup'!A79)</f>
        <v>Facility</v>
      </c>
      <c r="B91" t="e">
        <f>MATCH($A91,'Predictor Setup'!$A$3:$A$202,0)</f>
        <v>#N/A</v>
      </c>
      <c r="C91" s="3" t="str">
        <f ca="1">IFERROR(MATCH($A91,INDIRECT("'Predictor Setup'!A"&amp;3+B91):'Predictor Setup'!$A$202,0)+B91,"")</f>
        <v/>
      </c>
      <c r="D91" s="3" t="str">
        <f ca="1">IFERROR(MATCH($A91,INDIRECT("'Predictor Setup'!A"&amp;3+C91):'Predictor Setup'!$A$202,0)+C91,"")</f>
        <v/>
      </c>
      <c r="E91" s="3" t="str">
        <f ca="1">IFERROR(MATCH($A91,INDIRECT("'Predictor Setup'!A"&amp;3+D91):'Predictor Setup'!$A$202,0)+D91,"")</f>
        <v/>
      </c>
      <c r="F91" s="3" t="str">
        <f ca="1">IFERROR(MATCH($A91,INDIRECT("'Predictor Setup'!A"&amp;3+E91):'Predictor Setup'!$A$202,0)+E91,"")</f>
        <v/>
      </c>
      <c r="G91" s="3" t="str">
        <f ca="1">IFERROR(MATCH($A91,INDIRECT("'Predictor Setup'!A"&amp;3+F91):'Predictor Setup'!$A$202,0)+F91,"")</f>
        <v/>
      </c>
      <c r="H91" s="3" t="str">
        <f ca="1">IFERROR(MATCH($A91,INDIRECT("'Predictor Setup'!A"&amp;3+G91):'Predictor Setup'!$A$202,0)+G91,"")</f>
        <v/>
      </c>
      <c r="I91" s="3" t="str">
        <f ca="1">IFERROR(MATCH($A91,INDIRECT("'Predictor Setup'!A"&amp;3+H91):'Predictor Setup'!$A$202,0)+H91,"")</f>
        <v/>
      </c>
      <c r="J91" s="3" t="str">
        <f ca="1">IFERROR(MATCH($A91,INDIRECT("'Predictor Setup'!A"&amp;3+I91):'Predictor Setup'!$A$202,0)+I91,"")</f>
        <v/>
      </c>
      <c r="K91" s="3" t="str">
        <f ca="1">IFERROR(MATCH($A91,INDIRECT("'Predictor Setup'!A"&amp;3+J91):'Predictor Setup'!$A$202,0)+J91,"")</f>
        <v/>
      </c>
      <c r="L91" s="3" t="str">
        <f ca="1">IFERROR(MATCH($A91,INDIRECT("'Predictor Setup'!A"&amp;3+K91):'Predictor Setup'!$A$202,0)+K91,"")</f>
        <v/>
      </c>
      <c r="M91" s="3" t="str">
        <f ca="1">IFERROR(MATCH($A91,INDIRECT("'Predictor Setup'!A"&amp;3+L91):'Predictor Setup'!$A$202,0)+L91,"")</f>
        <v/>
      </c>
      <c r="N91" s="3" t="str">
        <f ca="1">IFERROR(MATCH($A91,INDIRECT("'Predictor Setup'!A"&amp;3+M91):'Predictor Setup'!$A$202,0)+M91,"")</f>
        <v/>
      </c>
      <c r="O91" s="3" t="str">
        <f ca="1">IFERROR(MATCH($A91,INDIRECT("'Predictor Setup'!A"&amp;3+N91):'Predictor Setup'!$A$202,0)+N91,"")</f>
        <v/>
      </c>
      <c r="P91" s="3" t="str">
        <f ca="1">IFERROR(MATCH($A91,INDIRECT("'Predictor Setup'!A"&amp;3+O91):'Predictor Setup'!$A$202,0)+O91,"")</f>
        <v/>
      </c>
    </row>
    <row r="92" spans="1:16" x14ac:dyDescent="0.35">
      <c r="A92" t="str">
        <f>IF('Predictor Setup'!A80="",A91,'Predictor Setup'!A80)</f>
        <v>Facility</v>
      </c>
      <c r="B92" t="e">
        <f>MATCH($A92,'Predictor Setup'!$A$3:$A$202,0)</f>
        <v>#N/A</v>
      </c>
      <c r="C92" s="3" t="str">
        <f ca="1">IFERROR(MATCH($A92,INDIRECT("'Predictor Setup'!A"&amp;3+B92):'Predictor Setup'!$A$202,0)+B92,"")</f>
        <v/>
      </c>
      <c r="D92" s="3" t="str">
        <f ca="1">IFERROR(MATCH($A92,INDIRECT("'Predictor Setup'!A"&amp;3+C92):'Predictor Setup'!$A$202,0)+C92,"")</f>
        <v/>
      </c>
      <c r="E92" s="3" t="str">
        <f ca="1">IFERROR(MATCH($A92,INDIRECT("'Predictor Setup'!A"&amp;3+D92):'Predictor Setup'!$A$202,0)+D92,"")</f>
        <v/>
      </c>
      <c r="F92" s="3" t="str">
        <f ca="1">IFERROR(MATCH($A92,INDIRECT("'Predictor Setup'!A"&amp;3+E92):'Predictor Setup'!$A$202,0)+E92,"")</f>
        <v/>
      </c>
      <c r="G92" s="3" t="str">
        <f ca="1">IFERROR(MATCH($A92,INDIRECT("'Predictor Setup'!A"&amp;3+F92):'Predictor Setup'!$A$202,0)+F92,"")</f>
        <v/>
      </c>
      <c r="H92" s="3" t="str">
        <f ca="1">IFERROR(MATCH($A92,INDIRECT("'Predictor Setup'!A"&amp;3+G92):'Predictor Setup'!$A$202,0)+G92,"")</f>
        <v/>
      </c>
      <c r="I92" s="3" t="str">
        <f ca="1">IFERROR(MATCH($A92,INDIRECT("'Predictor Setup'!A"&amp;3+H92):'Predictor Setup'!$A$202,0)+H92,"")</f>
        <v/>
      </c>
      <c r="J92" s="3" t="str">
        <f ca="1">IFERROR(MATCH($A92,INDIRECT("'Predictor Setup'!A"&amp;3+I92):'Predictor Setup'!$A$202,0)+I92,"")</f>
        <v/>
      </c>
      <c r="K92" s="3" t="str">
        <f ca="1">IFERROR(MATCH($A92,INDIRECT("'Predictor Setup'!A"&amp;3+J92):'Predictor Setup'!$A$202,0)+J92,"")</f>
        <v/>
      </c>
      <c r="L92" s="3" t="str">
        <f ca="1">IFERROR(MATCH($A92,INDIRECT("'Predictor Setup'!A"&amp;3+K92):'Predictor Setup'!$A$202,0)+K92,"")</f>
        <v/>
      </c>
      <c r="M92" s="3" t="str">
        <f ca="1">IFERROR(MATCH($A92,INDIRECT("'Predictor Setup'!A"&amp;3+L92):'Predictor Setup'!$A$202,0)+L92,"")</f>
        <v/>
      </c>
      <c r="N92" s="3" t="str">
        <f ca="1">IFERROR(MATCH($A92,INDIRECT("'Predictor Setup'!A"&amp;3+M92):'Predictor Setup'!$A$202,0)+M92,"")</f>
        <v/>
      </c>
      <c r="O92" s="3" t="str">
        <f ca="1">IFERROR(MATCH($A92,INDIRECT("'Predictor Setup'!A"&amp;3+N92):'Predictor Setup'!$A$202,0)+N92,"")</f>
        <v/>
      </c>
      <c r="P92" s="3" t="str">
        <f ca="1">IFERROR(MATCH($A92,INDIRECT("'Predictor Setup'!A"&amp;3+O92):'Predictor Setup'!$A$202,0)+O92,"")</f>
        <v/>
      </c>
    </row>
    <row r="93" spans="1:16" x14ac:dyDescent="0.35">
      <c r="A93" t="str">
        <f>IF('Predictor Setup'!A81="",A92,'Predictor Setup'!A81)</f>
        <v>Facility</v>
      </c>
      <c r="B93" t="e">
        <f>MATCH($A93,'Predictor Setup'!$A$3:$A$202,0)</f>
        <v>#N/A</v>
      </c>
      <c r="C93" s="3" t="str">
        <f ca="1">IFERROR(MATCH($A93,INDIRECT("'Predictor Setup'!A"&amp;3+B93):'Predictor Setup'!$A$202,0)+B93,"")</f>
        <v/>
      </c>
      <c r="D93" s="3" t="str">
        <f ca="1">IFERROR(MATCH($A93,INDIRECT("'Predictor Setup'!A"&amp;3+C93):'Predictor Setup'!$A$202,0)+C93,"")</f>
        <v/>
      </c>
      <c r="E93" s="3" t="str">
        <f ca="1">IFERROR(MATCH($A93,INDIRECT("'Predictor Setup'!A"&amp;3+D93):'Predictor Setup'!$A$202,0)+D93,"")</f>
        <v/>
      </c>
      <c r="F93" s="3" t="str">
        <f ca="1">IFERROR(MATCH($A93,INDIRECT("'Predictor Setup'!A"&amp;3+E93):'Predictor Setup'!$A$202,0)+E93,"")</f>
        <v/>
      </c>
      <c r="G93" s="3" t="str">
        <f ca="1">IFERROR(MATCH($A93,INDIRECT("'Predictor Setup'!A"&amp;3+F93):'Predictor Setup'!$A$202,0)+F93,"")</f>
        <v/>
      </c>
      <c r="H93" s="3" t="str">
        <f ca="1">IFERROR(MATCH($A93,INDIRECT("'Predictor Setup'!A"&amp;3+G93):'Predictor Setup'!$A$202,0)+G93,"")</f>
        <v/>
      </c>
      <c r="I93" s="3" t="str">
        <f ca="1">IFERROR(MATCH($A93,INDIRECT("'Predictor Setup'!A"&amp;3+H93):'Predictor Setup'!$A$202,0)+H93,"")</f>
        <v/>
      </c>
      <c r="J93" s="3" t="str">
        <f ca="1">IFERROR(MATCH($A93,INDIRECT("'Predictor Setup'!A"&amp;3+I93):'Predictor Setup'!$A$202,0)+I93,"")</f>
        <v/>
      </c>
      <c r="K93" s="3" t="str">
        <f ca="1">IFERROR(MATCH($A93,INDIRECT("'Predictor Setup'!A"&amp;3+J93):'Predictor Setup'!$A$202,0)+J93,"")</f>
        <v/>
      </c>
      <c r="L93" s="3" t="str">
        <f ca="1">IFERROR(MATCH($A93,INDIRECT("'Predictor Setup'!A"&amp;3+K93):'Predictor Setup'!$A$202,0)+K93,"")</f>
        <v/>
      </c>
      <c r="M93" s="3" t="str">
        <f ca="1">IFERROR(MATCH($A93,INDIRECT("'Predictor Setup'!A"&amp;3+L93):'Predictor Setup'!$A$202,0)+L93,"")</f>
        <v/>
      </c>
      <c r="N93" s="3" t="str">
        <f ca="1">IFERROR(MATCH($A93,INDIRECT("'Predictor Setup'!A"&amp;3+M93):'Predictor Setup'!$A$202,0)+M93,"")</f>
        <v/>
      </c>
      <c r="O93" s="3" t="str">
        <f ca="1">IFERROR(MATCH($A93,INDIRECT("'Predictor Setup'!A"&amp;3+N93):'Predictor Setup'!$A$202,0)+N93,"")</f>
        <v/>
      </c>
      <c r="P93" s="3" t="str">
        <f ca="1">IFERROR(MATCH($A93,INDIRECT("'Predictor Setup'!A"&amp;3+O93):'Predictor Setup'!$A$202,0)+O93,"")</f>
        <v/>
      </c>
    </row>
    <row r="94" spans="1:16" x14ac:dyDescent="0.35">
      <c r="A94" t="str">
        <f>IF('Predictor Setup'!A82="",A93,'Predictor Setup'!A82)</f>
        <v>Facility</v>
      </c>
      <c r="B94" t="e">
        <f>MATCH($A94,'Predictor Setup'!$A$3:$A$202,0)</f>
        <v>#N/A</v>
      </c>
      <c r="C94" s="3" t="str">
        <f ca="1">IFERROR(MATCH($A94,INDIRECT("'Predictor Setup'!A"&amp;3+B94):'Predictor Setup'!$A$202,0)+B94,"")</f>
        <v/>
      </c>
      <c r="D94" s="3" t="str">
        <f ca="1">IFERROR(MATCH($A94,INDIRECT("'Predictor Setup'!A"&amp;3+C94):'Predictor Setup'!$A$202,0)+C94,"")</f>
        <v/>
      </c>
      <c r="E94" s="3" t="str">
        <f ca="1">IFERROR(MATCH($A94,INDIRECT("'Predictor Setup'!A"&amp;3+D94):'Predictor Setup'!$A$202,0)+D94,"")</f>
        <v/>
      </c>
      <c r="F94" s="3" t="str">
        <f ca="1">IFERROR(MATCH($A94,INDIRECT("'Predictor Setup'!A"&amp;3+E94):'Predictor Setup'!$A$202,0)+E94,"")</f>
        <v/>
      </c>
      <c r="G94" s="3" t="str">
        <f ca="1">IFERROR(MATCH($A94,INDIRECT("'Predictor Setup'!A"&amp;3+F94):'Predictor Setup'!$A$202,0)+F94,"")</f>
        <v/>
      </c>
      <c r="H94" s="3" t="str">
        <f ca="1">IFERROR(MATCH($A94,INDIRECT("'Predictor Setup'!A"&amp;3+G94):'Predictor Setup'!$A$202,0)+G94,"")</f>
        <v/>
      </c>
      <c r="I94" s="3" t="str">
        <f ca="1">IFERROR(MATCH($A94,INDIRECT("'Predictor Setup'!A"&amp;3+H94):'Predictor Setup'!$A$202,0)+H94,"")</f>
        <v/>
      </c>
      <c r="J94" s="3" t="str">
        <f ca="1">IFERROR(MATCH($A94,INDIRECT("'Predictor Setup'!A"&amp;3+I94):'Predictor Setup'!$A$202,0)+I94,"")</f>
        <v/>
      </c>
      <c r="K94" s="3" t="str">
        <f ca="1">IFERROR(MATCH($A94,INDIRECT("'Predictor Setup'!A"&amp;3+J94):'Predictor Setup'!$A$202,0)+J94,"")</f>
        <v/>
      </c>
      <c r="L94" s="3" t="str">
        <f ca="1">IFERROR(MATCH($A94,INDIRECT("'Predictor Setup'!A"&amp;3+K94):'Predictor Setup'!$A$202,0)+K94,"")</f>
        <v/>
      </c>
      <c r="M94" s="3" t="str">
        <f ca="1">IFERROR(MATCH($A94,INDIRECT("'Predictor Setup'!A"&amp;3+L94):'Predictor Setup'!$A$202,0)+L94,"")</f>
        <v/>
      </c>
      <c r="N94" s="3" t="str">
        <f ca="1">IFERROR(MATCH($A94,INDIRECT("'Predictor Setup'!A"&amp;3+M94):'Predictor Setup'!$A$202,0)+M94,"")</f>
        <v/>
      </c>
      <c r="O94" s="3" t="str">
        <f ca="1">IFERROR(MATCH($A94,INDIRECT("'Predictor Setup'!A"&amp;3+N94):'Predictor Setup'!$A$202,0)+N94,"")</f>
        <v/>
      </c>
      <c r="P94" s="3" t="str">
        <f ca="1">IFERROR(MATCH($A94,INDIRECT("'Predictor Setup'!A"&amp;3+O94):'Predictor Setup'!$A$202,0)+O94,"")</f>
        <v/>
      </c>
    </row>
    <row r="95" spans="1:16" x14ac:dyDescent="0.35">
      <c r="A95" t="str">
        <f>IF('Predictor Setup'!A83="",A94,'Predictor Setup'!A83)</f>
        <v>Facility</v>
      </c>
      <c r="B95" t="e">
        <f>MATCH($A95,'Predictor Setup'!$A$3:$A$202,0)</f>
        <v>#N/A</v>
      </c>
      <c r="C95" s="3" t="str">
        <f ca="1">IFERROR(MATCH($A95,INDIRECT("'Predictor Setup'!A"&amp;3+B95):'Predictor Setup'!$A$202,0)+B95,"")</f>
        <v/>
      </c>
      <c r="D95" s="3" t="str">
        <f ca="1">IFERROR(MATCH($A95,INDIRECT("'Predictor Setup'!A"&amp;3+C95):'Predictor Setup'!$A$202,0)+C95,"")</f>
        <v/>
      </c>
      <c r="E95" s="3" t="str">
        <f ca="1">IFERROR(MATCH($A95,INDIRECT("'Predictor Setup'!A"&amp;3+D95):'Predictor Setup'!$A$202,0)+D95,"")</f>
        <v/>
      </c>
      <c r="F95" s="3" t="str">
        <f ca="1">IFERROR(MATCH($A95,INDIRECT("'Predictor Setup'!A"&amp;3+E95):'Predictor Setup'!$A$202,0)+E95,"")</f>
        <v/>
      </c>
      <c r="G95" s="3" t="str">
        <f ca="1">IFERROR(MATCH($A95,INDIRECT("'Predictor Setup'!A"&amp;3+F95):'Predictor Setup'!$A$202,0)+F95,"")</f>
        <v/>
      </c>
      <c r="H95" s="3" t="str">
        <f ca="1">IFERROR(MATCH($A95,INDIRECT("'Predictor Setup'!A"&amp;3+G95):'Predictor Setup'!$A$202,0)+G95,"")</f>
        <v/>
      </c>
      <c r="I95" s="3" t="str">
        <f ca="1">IFERROR(MATCH($A95,INDIRECT("'Predictor Setup'!A"&amp;3+H95):'Predictor Setup'!$A$202,0)+H95,"")</f>
        <v/>
      </c>
      <c r="J95" s="3" t="str">
        <f ca="1">IFERROR(MATCH($A95,INDIRECT("'Predictor Setup'!A"&amp;3+I95):'Predictor Setup'!$A$202,0)+I95,"")</f>
        <v/>
      </c>
      <c r="K95" s="3" t="str">
        <f ca="1">IFERROR(MATCH($A95,INDIRECT("'Predictor Setup'!A"&amp;3+J95):'Predictor Setup'!$A$202,0)+J95,"")</f>
        <v/>
      </c>
      <c r="L95" s="3" t="str">
        <f ca="1">IFERROR(MATCH($A95,INDIRECT("'Predictor Setup'!A"&amp;3+K95):'Predictor Setup'!$A$202,0)+K95,"")</f>
        <v/>
      </c>
      <c r="M95" s="3" t="str">
        <f ca="1">IFERROR(MATCH($A95,INDIRECT("'Predictor Setup'!A"&amp;3+L95):'Predictor Setup'!$A$202,0)+L95,"")</f>
        <v/>
      </c>
      <c r="N95" s="3" t="str">
        <f ca="1">IFERROR(MATCH($A95,INDIRECT("'Predictor Setup'!A"&amp;3+M95):'Predictor Setup'!$A$202,0)+M95,"")</f>
        <v/>
      </c>
      <c r="O95" s="3" t="str">
        <f ca="1">IFERROR(MATCH($A95,INDIRECT("'Predictor Setup'!A"&amp;3+N95):'Predictor Setup'!$A$202,0)+N95,"")</f>
        <v/>
      </c>
      <c r="P95" s="3" t="str">
        <f ca="1">IFERROR(MATCH($A95,INDIRECT("'Predictor Setup'!A"&amp;3+O95):'Predictor Setup'!$A$202,0)+O95,"")</f>
        <v/>
      </c>
    </row>
    <row r="96" spans="1:16" x14ac:dyDescent="0.35">
      <c r="A96" t="str">
        <f>IF('Predictor Setup'!A84="",A95,'Predictor Setup'!A84)</f>
        <v>Facility</v>
      </c>
      <c r="B96" t="e">
        <f>MATCH($A96,'Predictor Setup'!$A$3:$A$202,0)</f>
        <v>#N/A</v>
      </c>
      <c r="C96" s="3" t="str">
        <f ca="1">IFERROR(MATCH($A96,INDIRECT("'Predictor Setup'!A"&amp;3+B96):'Predictor Setup'!$A$202,0)+B96,"")</f>
        <v/>
      </c>
      <c r="D96" s="3" t="str">
        <f ca="1">IFERROR(MATCH($A96,INDIRECT("'Predictor Setup'!A"&amp;3+C96):'Predictor Setup'!$A$202,0)+C96,"")</f>
        <v/>
      </c>
      <c r="E96" s="3" t="str">
        <f ca="1">IFERROR(MATCH($A96,INDIRECT("'Predictor Setup'!A"&amp;3+D96):'Predictor Setup'!$A$202,0)+D96,"")</f>
        <v/>
      </c>
      <c r="F96" s="3" t="str">
        <f ca="1">IFERROR(MATCH($A96,INDIRECT("'Predictor Setup'!A"&amp;3+E96):'Predictor Setup'!$A$202,0)+E96,"")</f>
        <v/>
      </c>
      <c r="G96" s="3" t="str">
        <f ca="1">IFERROR(MATCH($A96,INDIRECT("'Predictor Setup'!A"&amp;3+F96):'Predictor Setup'!$A$202,0)+F96,"")</f>
        <v/>
      </c>
      <c r="H96" s="3" t="str">
        <f ca="1">IFERROR(MATCH($A96,INDIRECT("'Predictor Setup'!A"&amp;3+G96):'Predictor Setup'!$A$202,0)+G96,"")</f>
        <v/>
      </c>
      <c r="I96" s="3" t="str">
        <f ca="1">IFERROR(MATCH($A96,INDIRECT("'Predictor Setup'!A"&amp;3+H96):'Predictor Setup'!$A$202,0)+H96,"")</f>
        <v/>
      </c>
      <c r="J96" s="3" t="str">
        <f ca="1">IFERROR(MATCH($A96,INDIRECT("'Predictor Setup'!A"&amp;3+I96):'Predictor Setup'!$A$202,0)+I96,"")</f>
        <v/>
      </c>
      <c r="K96" s="3" t="str">
        <f ca="1">IFERROR(MATCH($A96,INDIRECT("'Predictor Setup'!A"&amp;3+J96):'Predictor Setup'!$A$202,0)+J96,"")</f>
        <v/>
      </c>
      <c r="L96" s="3" t="str">
        <f ca="1">IFERROR(MATCH($A96,INDIRECT("'Predictor Setup'!A"&amp;3+K96):'Predictor Setup'!$A$202,0)+K96,"")</f>
        <v/>
      </c>
      <c r="M96" s="3" t="str">
        <f ca="1">IFERROR(MATCH($A96,INDIRECT("'Predictor Setup'!A"&amp;3+L96):'Predictor Setup'!$A$202,0)+L96,"")</f>
        <v/>
      </c>
      <c r="N96" s="3" t="str">
        <f ca="1">IFERROR(MATCH($A96,INDIRECT("'Predictor Setup'!A"&amp;3+M96):'Predictor Setup'!$A$202,0)+M96,"")</f>
        <v/>
      </c>
      <c r="O96" s="3" t="str">
        <f ca="1">IFERROR(MATCH($A96,INDIRECT("'Predictor Setup'!A"&amp;3+N96):'Predictor Setup'!$A$202,0)+N96,"")</f>
        <v/>
      </c>
      <c r="P96" s="3" t="str">
        <f ca="1">IFERROR(MATCH($A96,INDIRECT("'Predictor Setup'!A"&amp;3+O96):'Predictor Setup'!$A$202,0)+O96,"")</f>
        <v/>
      </c>
    </row>
    <row r="97" spans="1:16" x14ac:dyDescent="0.35">
      <c r="A97" t="str">
        <f>IF('Predictor Setup'!A85="",A96,'Predictor Setup'!A85)</f>
        <v>Facility</v>
      </c>
      <c r="B97" t="e">
        <f>MATCH($A97,'Predictor Setup'!$A$3:$A$202,0)</f>
        <v>#N/A</v>
      </c>
      <c r="C97" s="3" t="str">
        <f ca="1">IFERROR(MATCH($A97,INDIRECT("'Predictor Setup'!A"&amp;3+B97):'Predictor Setup'!$A$202,0)+B97,"")</f>
        <v/>
      </c>
      <c r="D97" s="3" t="str">
        <f ca="1">IFERROR(MATCH($A97,INDIRECT("'Predictor Setup'!A"&amp;3+C97):'Predictor Setup'!$A$202,0)+C97,"")</f>
        <v/>
      </c>
      <c r="E97" s="3" t="str">
        <f ca="1">IFERROR(MATCH($A97,INDIRECT("'Predictor Setup'!A"&amp;3+D97):'Predictor Setup'!$A$202,0)+D97,"")</f>
        <v/>
      </c>
      <c r="F97" s="3" t="str">
        <f ca="1">IFERROR(MATCH($A97,INDIRECT("'Predictor Setup'!A"&amp;3+E97):'Predictor Setup'!$A$202,0)+E97,"")</f>
        <v/>
      </c>
      <c r="G97" s="3" t="str">
        <f ca="1">IFERROR(MATCH($A97,INDIRECT("'Predictor Setup'!A"&amp;3+F97):'Predictor Setup'!$A$202,0)+F97,"")</f>
        <v/>
      </c>
      <c r="H97" s="3" t="str">
        <f ca="1">IFERROR(MATCH($A97,INDIRECT("'Predictor Setup'!A"&amp;3+G97):'Predictor Setup'!$A$202,0)+G97,"")</f>
        <v/>
      </c>
      <c r="I97" s="3" t="str">
        <f ca="1">IFERROR(MATCH($A97,INDIRECT("'Predictor Setup'!A"&amp;3+H97):'Predictor Setup'!$A$202,0)+H97,"")</f>
        <v/>
      </c>
      <c r="J97" s="3" t="str">
        <f ca="1">IFERROR(MATCH($A97,INDIRECT("'Predictor Setup'!A"&amp;3+I97):'Predictor Setup'!$A$202,0)+I97,"")</f>
        <v/>
      </c>
      <c r="K97" s="3" t="str">
        <f ca="1">IFERROR(MATCH($A97,INDIRECT("'Predictor Setup'!A"&amp;3+J97):'Predictor Setup'!$A$202,0)+J97,"")</f>
        <v/>
      </c>
      <c r="L97" s="3" t="str">
        <f ca="1">IFERROR(MATCH($A97,INDIRECT("'Predictor Setup'!A"&amp;3+K97):'Predictor Setup'!$A$202,0)+K97,"")</f>
        <v/>
      </c>
      <c r="M97" s="3" t="str">
        <f ca="1">IFERROR(MATCH($A97,INDIRECT("'Predictor Setup'!A"&amp;3+L97):'Predictor Setup'!$A$202,0)+L97,"")</f>
        <v/>
      </c>
      <c r="N97" s="3" t="str">
        <f ca="1">IFERROR(MATCH($A97,INDIRECT("'Predictor Setup'!A"&amp;3+M97):'Predictor Setup'!$A$202,0)+M97,"")</f>
        <v/>
      </c>
      <c r="O97" s="3" t="str">
        <f ca="1">IFERROR(MATCH($A97,INDIRECT("'Predictor Setup'!A"&amp;3+N97):'Predictor Setup'!$A$202,0)+N97,"")</f>
        <v/>
      </c>
      <c r="P97" s="3" t="str">
        <f ca="1">IFERROR(MATCH($A97,INDIRECT("'Predictor Setup'!A"&amp;3+O97):'Predictor Setup'!$A$202,0)+O97,"")</f>
        <v/>
      </c>
    </row>
    <row r="98" spans="1:16" x14ac:dyDescent="0.35">
      <c r="A98" t="str">
        <f>IF('Predictor Setup'!A86="",A97,'Predictor Setup'!A86)</f>
        <v>Facility</v>
      </c>
      <c r="B98" t="e">
        <f>MATCH($A98,'Predictor Setup'!$A$3:$A$202,0)</f>
        <v>#N/A</v>
      </c>
      <c r="C98" s="3" t="str">
        <f ca="1">IFERROR(MATCH($A98,INDIRECT("'Predictor Setup'!A"&amp;3+B98):'Predictor Setup'!$A$202,0)+B98,"")</f>
        <v/>
      </c>
      <c r="D98" s="3" t="str">
        <f ca="1">IFERROR(MATCH($A98,INDIRECT("'Predictor Setup'!A"&amp;3+C98):'Predictor Setup'!$A$202,0)+C98,"")</f>
        <v/>
      </c>
      <c r="E98" s="3" t="str">
        <f ca="1">IFERROR(MATCH($A98,INDIRECT("'Predictor Setup'!A"&amp;3+D98):'Predictor Setup'!$A$202,0)+D98,"")</f>
        <v/>
      </c>
      <c r="F98" s="3" t="str">
        <f ca="1">IFERROR(MATCH($A98,INDIRECT("'Predictor Setup'!A"&amp;3+E98):'Predictor Setup'!$A$202,0)+E98,"")</f>
        <v/>
      </c>
      <c r="G98" s="3" t="str">
        <f ca="1">IFERROR(MATCH($A98,INDIRECT("'Predictor Setup'!A"&amp;3+F98):'Predictor Setup'!$A$202,0)+F98,"")</f>
        <v/>
      </c>
      <c r="H98" s="3" t="str">
        <f ca="1">IFERROR(MATCH($A98,INDIRECT("'Predictor Setup'!A"&amp;3+G98):'Predictor Setup'!$A$202,0)+G98,"")</f>
        <v/>
      </c>
      <c r="I98" s="3" t="str">
        <f ca="1">IFERROR(MATCH($A98,INDIRECT("'Predictor Setup'!A"&amp;3+H98):'Predictor Setup'!$A$202,0)+H98,"")</f>
        <v/>
      </c>
      <c r="J98" s="3" t="str">
        <f ca="1">IFERROR(MATCH($A98,INDIRECT("'Predictor Setup'!A"&amp;3+I98):'Predictor Setup'!$A$202,0)+I98,"")</f>
        <v/>
      </c>
      <c r="K98" s="3" t="str">
        <f ca="1">IFERROR(MATCH($A98,INDIRECT("'Predictor Setup'!A"&amp;3+J98):'Predictor Setup'!$A$202,0)+J98,"")</f>
        <v/>
      </c>
      <c r="L98" s="3" t="str">
        <f ca="1">IFERROR(MATCH($A98,INDIRECT("'Predictor Setup'!A"&amp;3+K98):'Predictor Setup'!$A$202,0)+K98,"")</f>
        <v/>
      </c>
      <c r="M98" s="3" t="str">
        <f ca="1">IFERROR(MATCH($A98,INDIRECT("'Predictor Setup'!A"&amp;3+L98):'Predictor Setup'!$A$202,0)+L98,"")</f>
        <v/>
      </c>
      <c r="N98" s="3" t="str">
        <f ca="1">IFERROR(MATCH($A98,INDIRECT("'Predictor Setup'!A"&amp;3+M98):'Predictor Setup'!$A$202,0)+M98,"")</f>
        <v/>
      </c>
      <c r="O98" s="3" t="str">
        <f ca="1">IFERROR(MATCH($A98,INDIRECT("'Predictor Setup'!A"&amp;3+N98):'Predictor Setup'!$A$202,0)+N98,"")</f>
        <v/>
      </c>
      <c r="P98" s="3" t="str">
        <f ca="1">IFERROR(MATCH($A98,INDIRECT("'Predictor Setup'!A"&amp;3+O98):'Predictor Setup'!$A$202,0)+O98,"")</f>
        <v/>
      </c>
    </row>
    <row r="99" spans="1:16" x14ac:dyDescent="0.35">
      <c r="A99" t="str">
        <f>IF('Predictor Setup'!A87="",A98,'Predictor Setup'!A87)</f>
        <v>Facility</v>
      </c>
      <c r="B99" t="e">
        <f>MATCH($A99,'Predictor Setup'!$A$3:$A$202,0)</f>
        <v>#N/A</v>
      </c>
      <c r="C99" s="3" t="str">
        <f ca="1">IFERROR(MATCH($A99,INDIRECT("'Predictor Setup'!A"&amp;3+B99):'Predictor Setup'!$A$202,0)+B99,"")</f>
        <v/>
      </c>
      <c r="D99" s="3" t="str">
        <f ca="1">IFERROR(MATCH($A99,INDIRECT("'Predictor Setup'!A"&amp;3+C99):'Predictor Setup'!$A$202,0)+C99,"")</f>
        <v/>
      </c>
      <c r="E99" s="3" t="str">
        <f ca="1">IFERROR(MATCH($A99,INDIRECT("'Predictor Setup'!A"&amp;3+D99):'Predictor Setup'!$A$202,0)+D99,"")</f>
        <v/>
      </c>
      <c r="F99" s="3" t="str">
        <f ca="1">IFERROR(MATCH($A99,INDIRECT("'Predictor Setup'!A"&amp;3+E99):'Predictor Setup'!$A$202,0)+E99,"")</f>
        <v/>
      </c>
      <c r="G99" s="3" t="str">
        <f ca="1">IFERROR(MATCH($A99,INDIRECT("'Predictor Setup'!A"&amp;3+F99):'Predictor Setup'!$A$202,0)+F99,"")</f>
        <v/>
      </c>
      <c r="H99" s="3" t="str">
        <f ca="1">IFERROR(MATCH($A99,INDIRECT("'Predictor Setup'!A"&amp;3+G99):'Predictor Setup'!$A$202,0)+G99,"")</f>
        <v/>
      </c>
      <c r="I99" s="3" t="str">
        <f ca="1">IFERROR(MATCH($A99,INDIRECT("'Predictor Setup'!A"&amp;3+H99):'Predictor Setup'!$A$202,0)+H99,"")</f>
        <v/>
      </c>
      <c r="J99" s="3" t="str">
        <f ca="1">IFERROR(MATCH($A99,INDIRECT("'Predictor Setup'!A"&amp;3+I99):'Predictor Setup'!$A$202,0)+I99,"")</f>
        <v/>
      </c>
      <c r="K99" s="3" t="str">
        <f ca="1">IFERROR(MATCH($A99,INDIRECT("'Predictor Setup'!A"&amp;3+J99):'Predictor Setup'!$A$202,0)+J99,"")</f>
        <v/>
      </c>
      <c r="L99" s="3" t="str">
        <f ca="1">IFERROR(MATCH($A99,INDIRECT("'Predictor Setup'!A"&amp;3+K99):'Predictor Setup'!$A$202,0)+K99,"")</f>
        <v/>
      </c>
      <c r="M99" s="3" t="str">
        <f ca="1">IFERROR(MATCH($A99,INDIRECT("'Predictor Setup'!A"&amp;3+L99):'Predictor Setup'!$A$202,0)+L99,"")</f>
        <v/>
      </c>
      <c r="N99" s="3" t="str">
        <f ca="1">IFERROR(MATCH($A99,INDIRECT("'Predictor Setup'!A"&amp;3+M99):'Predictor Setup'!$A$202,0)+M99,"")</f>
        <v/>
      </c>
      <c r="O99" s="3" t="str">
        <f ca="1">IFERROR(MATCH($A99,INDIRECT("'Predictor Setup'!A"&amp;3+N99):'Predictor Setup'!$A$202,0)+N99,"")</f>
        <v/>
      </c>
      <c r="P99" s="3" t="str">
        <f ca="1">IFERROR(MATCH($A99,INDIRECT("'Predictor Setup'!A"&amp;3+O99):'Predictor Setup'!$A$202,0)+O99,"")</f>
        <v/>
      </c>
    </row>
    <row r="100" spans="1:16" x14ac:dyDescent="0.35">
      <c r="A100" t="str">
        <f>IF('Predictor Setup'!A88="",A99,'Predictor Setup'!A88)</f>
        <v>Facility</v>
      </c>
      <c r="B100" t="e">
        <f>MATCH($A100,'Predictor Setup'!$A$3:$A$202,0)</f>
        <v>#N/A</v>
      </c>
      <c r="C100" s="3" t="str">
        <f ca="1">IFERROR(MATCH($A100,INDIRECT("'Predictor Setup'!A"&amp;3+B100):'Predictor Setup'!$A$202,0)+B100,"")</f>
        <v/>
      </c>
      <c r="D100" s="3" t="str">
        <f ca="1">IFERROR(MATCH($A100,INDIRECT("'Predictor Setup'!A"&amp;3+C100):'Predictor Setup'!$A$202,0)+C100,"")</f>
        <v/>
      </c>
      <c r="E100" s="3" t="str">
        <f ca="1">IFERROR(MATCH($A100,INDIRECT("'Predictor Setup'!A"&amp;3+D100):'Predictor Setup'!$A$202,0)+D100,"")</f>
        <v/>
      </c>
      <c r="F100" s="3" t="str">
        <f ca="1">IFERROR(MATCH($A100,INDIRECT("'Predictor Setup'!A"&amp;3+E100):'Predictor Setup'!$A$202,0)+E100,"")</f>
        <v/>
      </c>
      <c r="G100" s="3" t="str">
        <f ca="1">IFERROR(MATCH($A100,INDIRECT("'Predictor Setup'!A"&amp;3+F100):'Predictor Setup'!$A$202,0)+F100,"")</f>
        <v/>
      </c>
      <c r="H100" s="3" t="str">
        <f ca="1">IFERROR(MATCH($A100,INDIRECT("'Predictor Setup'!A"&amp;3+G100):'Predictor Setup'!$A$202,0)+G100,"")</f>
        <v/>
      </c>
      <c r="I100" s="3" t="str">
        <f ca="1">IFERROR(MATCH($A100,INDIRECT("'Predictor Setup'!A"&amp;3+H100):'Predictor Setup'!$A$202,0)+H100,"")</f>
        <v/>
      </c>
      <c r="J100" s="3" t="str">
        <f ca="1">IFERROR(MATCH($A100,INDIRECT("'Predictor Setup'!A"&amp;3+I100):'Predictor Setup'!$A$202,0)+I100,"")</f>
        <v/>
      </c>
      <c r="K100" s="3" t="str">
        <f ca="1">IFERROR(MATCH($A100,INDIRECT("'Predictor Setup'!A"&amp;3+J100):'Predictor Setup'!$A$202,0)+J100,"")</f>
        <v/>
      </c>
      <c r="L100" s="3" t="str">
        <f ca="1">IFERROR(MATCH($A100,INDIRECT("'Predictor Setup'!A"&amp;3+K100):'Predictor Setup'!$A$202,0)+K100,"")</f>
        <v/>
      </c>
      <c r="M100" s="3" t="str">
        <f ca="1">IFERROR(MATCH($A100,INDIRECT("'Predictor Setup'!A"&amp;3+L100):'Predictor Setup'!$A$202,0)+L100,"")</f>
        <v/>
      </c>
      <c r="N100" s="3" t="str">
        <f ca="1">IFERROR(MATCH($A100,INDIRECT("'Predictor Setup'!A"&amp;3+M100):'Predictor Setup'!$A$202,0)+M100,"")</f>
        <v/>
      </c>
      <c r="O100" s="3" t="str">
        <f ca="1">IFERROR(MATCH($A100,INDIRECT("'Predictor Setup'!A"&amp;3+N100):'Predictor Setup'!$A$202,0)+N100,"")</f>
        <v/>
      </c>
      <c r="P100" s="3" t="str">
        <f ca="1">IFERROR(MATCH($A100,INDIRECT("'Predictor Setup'!A"&amp;3+O100):'Predictor Setup'!$A$202,0)+O100,"")</f>
        <v/>
      </c>
    </row>
    <row r="101" spans="1:16" x14ac:dyDescent="0.35">
      <c r="A101" t="str">
        <f>IF('Predictor Setup'!A89="",A100,'Predictor Setup'!A89)</f>
        <v>Facility</v>
      </c>
      <c r="B101" t="e">
        <f>MATCH($A101,'Predictor Setup'!$A$3:$A$202,0)</f>
        <v>#N/A</v>
      </c>
      <c r="C101" s="3" t="str">
        <f ca="1">IFERROR(MATCH($A101,INDIRECT("'Predictor Setup'!A"&amp;3+B101):'Predictor Setup'!$A$202,0)+B101,"")</f>
        <v/>
      </c>
      <c r="D101" s="3" t="str">
        <f ca="1">IFERROR(MATCH($A101,INDIRECT("'Predictor Setup'!A"&amp;3+C101):'Predictor Setup'!$A$202,0)+C101,"")</f>
        <v/>
      </c>
      <c r="E101" s="3" t="str">
        <f ca="1">IFERROR(MATCH($A101,INDIRECT("'Predictor Setup'!A"&amp;3+D101):'Predictor Setup'!$A$202,0)+D101,"")</f>
        <v/>
      </c>
      <c r="F101" s="3" t="str">
        <f ca="1">IFERROR(MATCH($A101,INDIRECT("'Predictor Setup'!A"&amp;3+E101):'Predictor Setup'!$A$202,0)+E101,"")</f>
        <v/>
      </c>
      <c r="G101" s="3" t="str">
        <f ca="1">IFERROR(MATCH($A101,INDIRECT("'Predictor Setup'!A"&amp;3+F101):'Predictor Setup'!$A$202,0)+F101,"")</f>
        <v/>
      </c>
      <c r="H101" s="3" t="str">
        <f ca="1">IFERROR(MATCH($A101,INDIRECT("'Predictor Setup'!A"&amp;3+G101):'Predictor Setup'!$A$202,0)+G101,"")</f>
        <v/>
      </c>
      <c r="I101" s="3" t="str">
        <f ca="1">IFERROR(MATCH($A101,INDIRECT("'Predictor Setup'!A"&amp;3+H101):'Predictor Setup'!$A$202,0)+H101,"")</f>
        <v/>
      </c>
      <c r="J101" s="3" t="str">
        <f ca="1">IFERROR(MATCH($A101,INDIRECT("'Predictor Setup'!A"&amp;3+I101):'Predictor Setup'!$A$202,0)+I101,"")</f>
        <v/>
      </c>
      <c r="K101" s="3" t="str">
        <f ca="1">IFERROR(MATCH($A101,INDIRECT("'Predictor Setup'!A"&amp;3+J101):'Predictor Setup'!$A$202,0)+J101,"")</f>
        <v/>
      </c>
      <c r="L101" s="3" t="str">
        <f ca="1">IFERROR(MATCH($A101,INDIRECT("'Predictor Setup'!A"&amp;3+K101):'Predictor Setup'!$A$202,0)+K101,"")</f>
        <v/>
      </c>
      <c r="M101" s="3" t="str">
        <f ca="1">IFERROR(MATCH($A101,INDIRECT("'Predictor Setup'!A"&amp;3+L101):'Predictor Setup'!$A$202,0)+L101,"")</f>
        <v/>
      </c>
      <c r="N101" s="3" t="str">
        <f ca="1">IFERROR(MATCH($A101,INDIRECT("'Predictor Setup'!A"&amp;3+M101):'Predictor Setup'!$A$202,0)+M101,"")</f>
        <v/>
      </c>
      <c r="O101" s="3" t="str">
        <f ca="1">IFERROR(MATCH($A101,INDIRECT("'Predictor Setup'!A"&amp;3+N101):'Predictor Setup'!$A$202,0)+N101,"")</f>
        <v/>
      </c>
      <c r="P101" s="3" t="str">
        <f ca="1">IFERROR(MATCH($A101,INDIRECT("'Predictor Setup'!A"&amp;3+O101):'Predictor Setup'!$A$202,0)+O101,"")</f>
        <v/>
      </c>
    </row>
    <row r="102" spans="1:16" x14ac:dyDescent="0.35">
      <c r="A102" t="str">
        <f>IF('Predictor Setup'!A90="",A101,'Predictor Setup'!A90)</f>
        <v>Facility</v>
      </c>
      <c r="B102" t="e">
        <f>MATCH($A102,'Predictor Setup'!$A$3:$A$202,0)</f>
        <v>#N/A</v>
      </c>
      <c r="C102" s="3" t="str">
        <f ca="1">IFERROR(MATCH($A102,INDIRECT("'Predictor Setup'!A"&amp;3+B102):'Predictor Setup'!$A$202,0)+B102,"")</f>
        <v/>
      </c>
      <c r="D102" s="3" t="str">
        <f ca="1">IFERROR(MATCH($A102,INDIRECT("'Predictor Setup'!A"&amp;3+C102):'Predictor Setup'!$A$202,0)+C102,"")</f>
        <v/>
      </c>
      <c r="E102" s="3" t="str">
        <f ca="1">IFERROR(MATCH($A102,INDIRECT("'Predictor Setup'!A"&amp;3+D102):'Predictor Setup'!$A$202,0)+D102,"")</f>
        <v/>
      </c>
      <c r="F102" s="3" t="str">
        <f ca="1">IFERROR(MATCH($A102,INDIRECT("'Predictor Setup'!A"&amp;3+E102):'Predictor Setup'!$A$202,0)+E102,"")</f>
        <v/>
      </c>
      <c r="G102" s="3" t="str">
        <f ca="1">IFERROR(MATCH($A102,INDIRECT("'Predictor Setup'!A"&amp;3+F102):'Predictor Setup'!$A$202,0)+F102,"")</f>
        <v/>
      </c>
      <c r="H102" s="3" t="str">
        <f ca="1">IFERROR(MATCH($A102,INDIRECT("'Predictor Setup'!A"&amp;3+G102):'Predictor Setup'!$A$202,0)+G102,"")</f>
        <v/>
      </c>
      <c r="I102" s="3" t="str">
        <f ca="1">IFERROR(MATCH($A102,INDIRECT("'Predictor Setup'!A"&amp;3+H102):'Predictor Setup'!$A$202,0)+H102,"")</f>
        <v/>
      </c>
      <c r="J102" s="3" t="str">
        <f ca="1">IFERROR(MATCH($A102,INDIRECT("'Predictor Setup'!A"&amp;3+I102):'Predictor Setup'!$A$202,0)+I102,"")</f>
        <v/>
      </c>
      <c r="K102" s="3" t="str">
        <f ca="1">IFERROR(MATCH($A102,INDIRECT("'Predictor Setup'!A"&amp;3+J102):'Predictor Setup'!$A$202,0)+J102,"")</f>
        <v/>
      </c>
      <c r="L102" s="3" t="str">
        <f ca="1">IFERROR(MATCH($A102,INDIRECT("'Predictor Setup'!A"&amp;3+K102):'Predictor Setup'!$A$202,0)+K102,"")</f>
        <v/>
      </c>
      <c r="M102" s="3" t="str">
        <f ca="1">IFERROR(MATCH($A102,INDIRECT("'Predictor Setup'!A"&amp;3+L102):'Predictor Setup'!$A$202,0)+L102,"")</f>
        <v/>
      </c>
      <c r="N102" s="3" t="str">
        <f ca="1">IFERROR(MATCH($A102,INDIRECT("'Predictor Setup'!A"&amp;3+M102):'Predictor Setup'!$A$202,0)+M102,"")</f>
        <v/>
      </c>
      <c r="O102" s="3" t="str">
        <f ca="1">IFERROR(MATCH($A102,INDIRECT("'Predictor Setup'!A"&amp;3+N102):'Predictor Setup'!$A$202,0)+N102,"")</f>
        <v/>
      </c>
      <c r="P102" s="3" t="str">
        <f ca="1">IFERROR(MATCH($A102,INDIRECT("'Predictor Setup'!A"&amp;3+O102):'Predictor Setup'!$A$202,0)+O102,"")</f>
        <v/>
      </c>
    </row>
    <row r="103" spans="1:16" x14ac:dyDescent="0.35">
      <c r="A103" t="str">
        <f>IF('Predictor Setup'!A91="",A102,'Predictor Setup'!A91)</f>
        <v>Facility</v>
      </c>
      <c r="B103" t="e">
        <f>MATCH($A103,'Predictor Setup'!$A$3:$A$202,0)</f>
        <v>#N/A</v>
      </c>
      <c r="C103" s="3" t="str">
        <f ca="1">IFERROR(MATCH($A103,INDIRECT("'Predictor Setup'!A"&amp;3+B103):'Predictor Setup'!$A$202,0)+B103,"")</f>
        <v/>
      </c>
      <c r="D103" s="3" t="str">
        <f ca="1">IFERROR(MATCH($A103,INDIRECT("'Predictor Setup'!A"&amp;3+C103):'Predictor Setup'!$A$202,0)+C103,"")</f>
        <v/>
      </c>
      <c r="E103" s="3" t="str">
        <f ca="1">IFERROR(MATCH($A103,INDIRECT("'Predictor Setup'!A"&amp;3+D103):'Predictor Setup'!$A$202,0)+D103,"")</f>
        <v/>
      </c>
      <c r="F103" s="3" t="str">
        <f ca="1">IFERROR(MATCH($A103,INDIRECT("'Predictor Setup'!A"&amp;3+E103):'Predictor Setup'!$A$202,0)+E103,"")</f>
        <v/>
      </c>
      <c r="G103" s="3" t="str">
        <f ca="1">IFERROR(MATCH($A103,INDIRECT("'Predictor Setup'!A"&amp;3+F103):'Predictor Setup'!$A$202,0)+F103,"")</f>
        <v/>
      </c>
      <c r="H103" s="3" t="str">
        <f ca="1">IFERROR(MATCH($A103,INDIRECT("'Predictor Setup'!A"&amp;3+G103):'Predictor Setup'!$A$202,0)+G103,"")</f>
        <v/>
      </c>
      <c r="I103" s="3" t="str">
        <f ca="1">IFERROR(MATCH($A103,INDIRECT("'Predictor Setup'!A"&amp;3+H103):'Predictor Setup'!$A$202,0)+H103,"")</f>
        <v/>
      </c>
      <c r="J103" s="3" t="str">
        <f ca="1">IFERROR(MATCH($A103,INDIRECT("'Predictor Setup'!A"&amp;3+I103):'Predictor Setup'!$A$202,0)+I103,"")</f>
        <v/>
      </c>
      <c r="K103" s="3" t="str">
        <f ca="1">IFERROR(MATCH($A103,INDIRECT("'Predictor Setup'!A"&amp;3+J103):'Predictor Setup'!$A$202,0)+J103,"")</f>
        <v/>
      </c>
      <c r="L103" s="3" t="str">
        <f ca="1">IFERROR(MATCH($A103,INDIRECT("'Predictor Setup'!A"&amp;3+K103):'Predictor Setup'!$A$202,0)+K103,"")</f>
        <v/>
      </c>
      <c r="M103" s="3" t="str">
        <f ca="1">IFERROR(MATCH($A103,INDIRECT("'Predictor Setup'!A"&amp;3+L103):'Predictor Setup'!$A$202,0)+L103,"")</f>
        <v/>
      </c>
      <c r="N103" s="3" t="str">
        <f ca="1">IFERROR(MATCH($A103,INDIRECT("'Predictor Setup'!A"&amp;3+M103):'Predictor Setup'!$A$202,0)+M103,"")</f>
        <v/>
      </c>
      <c r="O103" s="3" t="str">
        <f ca="1">IFERROR(MATCH($A103,INDIRECT("'Predictor Setup'!A"&amp;3+N103):'Predictor Setup'!$A$202,0)+N103,"")</f>
        <v/>
      </c>
      <c r="P103" s="3" t="str">
        <f ca="1">IFERROR(MATCH($A103,INDIRECT("'Predictor Setup'!A"&amp;3+O103):'Predictor Setup'!$A$202,0)+O103,"")</f>
        <v/>
      </c>
    </row>
    <row r="104" spans="1:16" x14ac:dyDescent="0.35">
      <c r="A104" t="str">
        <f>IF('Predictor Setup'!A92="",A103,'Predictor Setup'!A92)</f>
        <v>Facility</v>
      </c>
      <c r="B104" t="e">
        <f>MATCH($A104,'Predictor Setup'!$A$3:$A$202,0)</f>
        <v>#N/A</v>
      </c>
      <c r="C104" s="3" t="str">
        <f ca="1">IFERROR(MATCH($A104,INDIRECT("'Predictor Setup'!A"&amp;3+B104):'Predictor Setup'!$A$202,0)+B104,"")</f>
        <v/>
      </c>
      <c r="D104" s="3" t="str">
        <f ca="1">IFERROR(MATCH($A104,INDIRECT("'Predictor Setup'!A"&amp;3+C104):'Predictor Setup'!$A$202,0)+C104,"")</f>
        <v/>
      </c>
      <c r="E104" s="3" t="str">
        <f ca="1">IFERROR(MATCH($A104,INDIRECT("'Predictor Setup'!A"&amp;3+D104):'Predictor Setup'!$A$202,0)+D104,"")</f>
        <v/>
      </c>
      <c r="F104" s="3" t="str">
        <f ca="1">IFERROR(MATCH($A104,INDIRECT("'Predictor Setup'!A"&amp;3+E104):'Predictor Setup'!$A$202,0)+E104,"")</f>
        <v/>
      </c>
      <c r="G104" s="3" t="str">
        <f ca="1">IFERROR(MATCH($A104,INDIRECT("'Predictor Setup'!A"&amp;3+F104):'Predictor Setup'!$A$202,0)+F104,"")</f>
        <v/>
      </c>
      <c r="H104" s="3" t="str">
        <f ca="1">IFERROR(MATCH($A104,INDIRECT("'Predictor Setup'!A"&amp;3+G104):'Predictor Setup'!$A$202,0)+G104,"")</f>
        <v/>
      </c>
      <c r="I104" s="3" t="str">
        <f ca="1">IFERROR(MATCH($A104,INDIRECT("'Predictor Setup'!A"&amp;3+H104):'Predictor Setup'!$A$202,0)+H104,"")</f>
        <v/>
      </c>
      <c r="J104" s="3" t="str">
        <f ca="1">IFERROR(MATCH($A104,INDIRECT("'Predictor Setup'!A"&amp;3+I104):'Predictor Setup'!$A$202,0)+I104,"")</f>
        <v/>
      </c>
      <c r="K104" s="3" t="str">
        <f ca="1">IFERROR(MATCH($A104,INDIRECT("'Predictor Setup'!A"&amp;3+J104):'Predictor Setup'!$A$202,0)+J104,"")</f>
        <v/>
      </c>
      <c r="L104" s="3" t="str">
        <f ca="1">IFERROR(MATCH($A104,INDIRECT("'Predictor Setup'!A"&amp;3+K104):'Predictor Setup'!$A$202,0)+K104,"")</f>
        <v/>
      </c>
      <c r="M104" s="3" t="str">
        <f ca="1">IFERROR(MATCH($A104,INDIRECT("'Predictor Setup'!A"&amp;3+L104):'Predictor Setup'!$A$202,0)+L104,"")</f>
        <v/>
      </c>
      <c r="N104" s="3" t="str">
        <f ca="1">IFERROR(MATCH($A104,INDIRECT("'Predictor Setup'!A"&amp;3+M104):'Predictor Setup'!$A$202,0)+M104,"")</f>
        <v/>
      </c>
      <c r="O104" s="3" t="str">
        <f ca="1">IFERROR(MATCH($A104,INDIRECT("'Predictor Setup'!A"&amp;3+N104):'Predictor Setup'!$A$202,0)+N104,"")</f>
        <v/>
      </c>
      <c r="P104" s="3" t="str">
        <f ca="1">IFERROR(MATCH($A104,INDIRECT("'Predictor Setup'!A"&amp;3+O104):'Predictor Setup'!$A$202,0)+O104,"")</f>
        <v/>
      </c>
    </row>
    <row r="105" spans="1:16" x14ac:dyDescent="0.35">
      <c r="A105" t="str">
        <f>IF('Predictor Setup'!A93="",A104,'Predictor Setup'!A93)</f>
        <v>Facility</v>
      </c>
      <c r="B105" t="e">
        <f>MATCH($A105,'Predictor Setup'!$A$3:$A$202,0)</f>
        <v>#N/A</v>
      </c>
      <c r="C105" s="3" t="str">
        <f ca="1">IFERROR(MATCH($A105,INDIRECT("'Predictor Setup'!A"&amp;3+B105):'Predictor Setup'!$A$202,0)+B105,"")</f>
        <v/>
      </c>
      <c r="D105" s="3" t="str">
        <f ca="1">IFERROR(MATCH($A105,INDIRECT("'Predictor Setup'!A"&amp;3+C105):'Predictor Setup'!$A$202,0)+C105,"")</f>
        <v/>
      </c>
      <c r="E105" s="3" t="str">
        <f ca="1">IFERROR(MATCH($A105,INDIRECT("'Predictor Setup'!A"&amp;3+D105):'Predictor Setup'!$A$202,0)+D105,"")</f>
        <v/>
      </c>
      <c r="F105" s="3" t="str">
        <f ca="1">IFERROR(MATCH($A105,INDIRECT("'Predictor Setup'!A"&amp;3+E105):'Predictor Setup'!$A$202,0)+E105,"")</f>
        <v/>
      </c>
      <c r="G105" s="3" t="str">
        <f ca="1">IFERROR(MATCH($A105,INDIRECT("'Predictor Setup'!A"&amp;3+F105):'Predictor Setup'!$A$202,0)+F105,"")</f>
        <v/>
      </c>
      <c r="H105" s="3" t="str">
        <f ca="1">IFERROR(MATCH($A105,INDIRECT("'Predictor Setup'!A"&amp;3+G105):'Predictor Setup'!$A$202,0)+G105,"")</f>
        <v/>
      </c>
      <c r="I105" s="3" t="str">
        <f ca="1">IFERROR(MATCH($A105,INDIRECT("'Predictor Setup'!A"&amp;3+H105):'Predictor Setup'!$A$202,0)+H105,"")</f>
        <v/>
      </c>
      <c r="J105" s="3" t="str">
        <f ca="1">IFERROR(MATCH($A105,INDIRECT("'Predictor Setup'!A"&amp;3+I105):'Predictor Setup'!$A$202,0)+I105,"")</f>
        <v/>
      </c>
      <c r="K105" s="3" t="str">
        <f ca="1">IFERROR(MATCH($A105,INDIRECT("'Predictor Setup'!A"&amp;3+J105):'Predictor Setup'!$A$202,0)+J105,"")</f>
        <v/>
      </c>
      <c r="L105" s="3" t="str">
        <f ca="1">IFERROR(MATCH($A105,INDIRECT("'Predictor Setup'!A"&amp;3+K105):'Predictor Setup'!$A$202,0)+K105,"")</f>
        <v/>
      </c>
      <c r="M105" s="3" t="str">
        <f ca="1">IFERROR(MATCH($A105,INDIRECT("'Predictor Setup'!A"&amp;3+L105):'Predictor Setup'!$A$202,0)+L105,"")</f>
        <v/>
      </c>
      <c r="N105" s="3" t="str">
        <f ca="1">IFERROR(MATCH($A105,INDIRECT("'Predictor Setup'!A"&amp;3+M105):'Predictor Setup'!$A$202,0)+M105,"")</f>
        <v/>
      </c>
      <c r="O105" s="3" t="str">
        <f ca="1">IFERROR(MATCH($A105,INDIRECT("'Predictor Setup'!A"&amp;3+N105):'Predictor Setup'!$A$202,0)+N105,"")</f>
        <v/>
      </c>
      <c r="P105" s="3" t="str">
        <f ca="1">IFERROR(MATCH($A105,INDIRECT("'Predictor Setup'!A"&amp;3+O105):'Predictor Setup'!$A$202,0)+O105,"")</f>
        <v/>
      </c>
    </row>
    <row r="106" spans="1:16" x14ac:dyDescent="0.35">
      <c r="A106" t="str">
        <f>IF('Predictor Setup'!A94="",A105,'Predictor Setup'!A94)</f>
        <v>Facility</v>
      </c>
      <c r="B106" t="e">
        <f>MATCH($A106,'Predictor Setup'!$A$3:$A$202,0)</f>
        <v>#N/A</v>
      </c>
      <c r="C106" s="3" t="str">
        <f ca="1">IFERROR(MATCH($A106,INDIRECT("'Predictor Setup'!A"&amp;3+B106):'Predictor Setup'!$A$202,0)+B106,"")</f>
        <v/>
      </c>
      <c r="D106" s="3" t="str">
        <f ca="1">IFERROR(MATCH($A106,INDIRECT("'Predictor Setup'!A"&amp;3+C106):'Predictor Setup'!$A$202,0)+C106,"")</f>
        <v/>
      </c>
      <c r="E106" s="3" t="str">
        <f ca="1">IFERROR(MATCH($A106,INDIRECT("'Predictor Setup'!A"&amp;3+D106):'Predictor Setup'!$A$202,0)+D106,"")</f>
        <v/>
      </c>
      <c r="F106" s="3" t="str">
        <f ca="1">IFERROR(MATCH($A106,INDIRECT("'Predictor Setup'!A"&amp;3+E106):'Predictor Setup'!$A$202,0)+E106,"")</f>
        <v/>
      </c>
      <c r="G106" s="3" t="str">
        <f ca="1">IFERROR(MATCH($A106,INDIRECT("'Predictor Setup'!A"&amp;3+F106):'Predictor Setup'!$A$202,0)+F106,"")</f>
        <v/>
      </c>
      <c r="H106" s="3" t="str">
        <f ca="1">IFERROR(MATCH($A106,INDIRECT("'Predictor Setup'!A"&amp;3+G106):'Predictor Setup'!$A$202,0)+G106,"")</f>
        <v/>
      </c>
      <c r="I106" s="3" t="str">
        <f ca="1">IFERROR(MATCH($A106,INDIRECT("'Predictor Setup'!A"&amp;3+H106):'Predictor Setup'!$A$202,0)+H106,"")</f>
        <v/>
      </c>
      <c r="J106" s="3" t="str">
        <f ca="1">IFERROR(MATCH($A106,INDIRECT("'Predictor Setup'!A"&amp;3+I106):'Predictor Setup'!$A$202,0)+I106,"")</f>
        <v/>
      </c>
      <c r="K106" s="3" t="str">
        <f ca="1">IFERROR(MATCH($A106,INDIRECT("'Predictor Setup'!A"&amp;3+J106):'Predictor Setup'!$A$202,0)+J106,"")</f>
        <v/>
      </c>
      <c r="L106" s="3" t="str">
        <f ca="1">IFERROR(MATCH($A106,INDIRECT("'Predictor Setup'!A"&amp;3+K106):'Predictor Setup'!$A$202,0)+K106,"")</f>
        <v/>
      </c>
      <c r="M106" s="3" t="str">
        <f ca="1">IFERROR(MATCH($A106,INDIRECT("'Predictor Setup'!A"&amp;3+L106):'Predictor Setup'!$A$202,0)+L106,"")</f>
        <v/>
      </c>
      <c r="N106" s="3" t="str">
        <f ca="1">IFERROR(MATCH($A106,INDIRECT("'Predictor Setup'!A"&amp;3+M106):'Predictor Setup'!$A$202,0)+M106,"")</f>
        <v/>
      </c>
      <c r="O106" s="3" t="str">
        <f ca="1">IFERROR(MATCH($A106,INDIRECT("'Predictor Setup'!A"&amp;3+N106):'Predictor Setup'!$A$202,0)+N106,"")</f>
        <v/>
      </c>
      <c r="P106" s="3" t="str">
        <f ca="1">IFERROR(MATCH($A106,INDIRECT("'Predictor Setup'!A"&amp;3+O106):'Predictor Setup'!$A$202,0)+O106,"")</f>
        <v/>
      </c>
    </row>
    <row r="107" spans="1:16" x14ac:dyDescent="0.35">
      <c r="A107" t="str">
        <f>IF('Predictor Setup'!A95="",A106,'Predictor Setup'!A95)</f>
        <v>Facility</v>
      </c>
      <c r="B107" t="e">
        <f>MATCH($A107,'Predictor Setup'!$A$3:$A$202,0)</f>
        <v>#N/A</v>
      </c>
      <c r="C107" s="3" t="str">
        <f ca="1">IFERROR(MATCH($A107,INDIRECT("'Predictor Setup'!A"&amp;3+B107):'Predictor Setup'!$A$202,0)+B107,"")</f>
        <v/>
      </c>
      <c r="D107" s="3" t="str">
        <f ca="1">IFERROR(MATCH($A107,INDIRECT("'Predictor Setup'!A"&amp;3+C107):'Predictor Setup'!$A$202,0)+C107,"")</f>
        <v/>
      </c>
      <c r="E107" s="3" t="str">
        <f ca="1">IFERROR(MATCH($A107,INDIRECT("'Predictor Setup'!A"&amp;3+D107):'Predictor Setup'!$A$202,0)+D107,"")</f>
        <v/>
      </c>
      <c r="F107" s="3" t="str">
        <f ca="1">IFERROR(MATCH($A107,INDIRECT("'Predictor Setup'!A"&amp;3+E107):'Predictor Setup'!$A$202,0)+E107,"")</f>
        <v/>
      </c>
      <c r="G107" s="3" t="str">
        <f ca="1">IFERROR(MATCH($A107,INDIRECT("'Predictor Setup'!A"&amp;3+F107):'Predictor Setup'!$A$202,0)+F107,"")</f>
        <v/>
      </c>
      <c r="H107" s="3" t="str">
        <f ca="1">IFERROR(MATCH($A107,INDIRECT("'Predictor Setup'!A"&amp;3+G107):'Predictor Setup'!$A$202,0)+G107,"")</f>
        <v/>
      </c>
      <c r="I107" s="3" t="str">
        <f ca="1">IFERROR(MATCH($A107,INDIRECT("'Predictor Setup'!A"&amp;3+H107):'Predictor Setup'!$A$202,0)+H107,"")</f>
        <v/>
      </c>
      <c r="J107" s="3" t="str">
        <f ca="1">IFERROR(MATCH($A107,INDIRECT("'Predictor Setup'!A"&amp;3+I107):'Predictor Setup'!$A$202,0)+I107,"")</f>
        <v/>
      </c>
      <c r="K107" s="3" t="str">
        <f ca="1">IFERROR(MATCH($A107,INDIRECT("'Predictor Setup'!A"&amp;3+J107):'Predictor Setup'!$A$202,0)+J107,"")</f>
        <v/>
      </c>
      <c r="L107" s="3" t="str">
        <f ca="1">IFERROR(MATCH($A107,INDIRECT("'Predictor Setup'!A"&amp;3+K107):'Predictor Setup'!$A$202,0)+K107,"")</f>
        <v/>
      </c>
      <c r="M107" s="3" t="str">
        <f ca="1">IFERROR(MATCH($A107,INDIRECT("'Predictor Setup'!A"&amp;3+L107):'Predictor Setup'!$A$202,0)+L107,"")</f>
        <v/>
      </c>
      <c r="N107" s="3" t="str">
        <f ca="1">IFERROR(MATCH($A107,INDIRECT("'Predictor Setup'!A"&amp;3+M107):'Predictor Setup'!$A$202,0)+M107,"")</f>
        <v/>
      </c>
      <c r="O107" s="3" t="str">
        <f ca="1">IFERROR(MATCH($A107,INDIRECT("'Predictor Setup'!A"&amp;3+N107):'Predictor Setup'!$A$202,0)+N107,"")</f>
        <v/>
      </c>
      <c r="P107" s="3" t="str">
        <f ca="1">IFERROR(MATCH($A107,INDIRECT("'Predictor Setup'!A"&amp;3+O107):'Predictor Setup'!$A$202,0)+O107,"")</f>
        <v/>
      </c>
    </row>
    <row r="108" spans="1:16" x14ac:dyDescent="0.35">
      <c r="A108" t="str">
        <f>IF('Predictor Setup'!A96="",A107,'Predictor Setup'!A96)</f>
        <v>Facility</v>
      </c>
      <c r="B108" t="e">
        <f>MATCH($A108,'Predictor Setup'!$A$3:$A$202,0)</f>
        <v>#N/A</v>
      </c>
      <c r="C108" s="3" t="str">
        <f ca="1">IFERROR(MATCH($A108,INDIRECT("'Predictor Setup'!A"&amp;3+B108):'Predictor Setup'!$A$202,0)+B108,"")</f>
        <v/>
      </c>
      <c r="D108" s="3" t="str">
        <f ca="1">IFERROR(MATCH($A108,INDIRECT("'Predictor Setup'!A"&amp;3+C108):'Predictor Setup'!$A$202,0)+C108,"")</f>
        <v/>
      </c>
      <c r="E108" s="3" t="str">
        <f ca="1">IFERROR(MATCH($A108,INDIRECT("'Predictor Setup'!A"&amp;3+D108):'Predictor Setup'!$A$202,0)+D108,"")</f>
        <v/>
      </c>
      <c r="F108" s="3" t="str">
        <f ca="1">IFERROR(MATCH($A108,INDIRECT("'Predictor Setup'!A"&amp;3+E108):'Predictor Setup'!$A$202,0)+E108,"")</f>
        <v/>
      </c>
      <c r="G108" s="3" t="str">
        <f ca="1">IFERROR(MATCH($A108,INDIRECT("'Predictor Setup'!A"&amp;3+F108):'Predictor Setup'!$A$202,0)+F108,"")</f>
        <v/>
      </c>
      <c r="H108" s="3" t="str">
        <f ca="1">IFERROR(MATCH($A108,INDIRECT("'Predictor Setup'!A"&amp;3+G108):'Predictor Setup'!$A$202,0)+G108,"")</f>
        <v/>
      </c>
      <c r="I108" s="3" t="str">
        <f ca="1">IFERROR(MATCH($A108,INDIRECT("'Predictor Setup'!A"&amp;3+H108):'Predictor Setup'!$A$202,0)+H108,"")</f>
        <v/>
      </c>
      <c r="J108" s="3" t="str">
        <f ca="1">IFERROR(MATCH($A108,INDIRECT("'Predictor Setup'!A"&amp;3+I108):'Predictor Setup'!$A$202,0)+I108,"")</f>
        <v/>
      </c>
      <c r="K108" s="3" t="str">
        <f ca="1">IFERROR(MATCH($A108,INDIRECT("'Predictor Setup'!A"&amp;3+J108):'Predictor Setup'!$A$202,0)+J108,"")</f>
        <v/>
      </c>
      <c r="L108" s="3" t="str">
        <f ca="1">IFERROR(MATCH($A108,INDIRECT("'Predictor Setup'!A"&amp;3+K108):'Predictor Setup'!$A$202,0)+K108,"")</f>
        <v/>
      </c>
      <c r="M108" s="3" t="str">
        <f ca="1">IFERROR(MATCH($A108,INDIRECT("'Predictor Setup'!A"&amp;3+L108):'Predictor Setup'!$A$202,0)+L108,"")</f>
        <v/>
      </c>
      <c r="N108" s="3" t="str">
        <f ca="1">IFERROR(MATCH($A108,INDIRECT("'Predictor Setup'!A"&amp;3+M108):'Predictor Setup'!$A$202,0)+M108,"")</f>
        <v/>
      </c>
      <c r="O108" s="3" t="str">
        <f ca="1">IFERROR(MATCH($A108,INDIRECT("'Predictor Setup'!A"&amp;3+N108):'Predictor Setup'!$A$202,0)+N108,"")</f>
        <v/>
      </c>
      <c r="P108" s="3" t="str">
        <f ca="1">IFERROR(MATCH($A108,INDIRECT("'Predictor Setup'!A"&amp;3+O108):'Predictor Setup'!$A$202,0)+O108,"")</f>
        <v/>
      </c>
    </row>
    <row r="109" spans="1:16" x14ac:dyDescent="0.35">
      <c r="A109" t="str">
        <f>IF('Predictor Setup'!A97="",A108,'Predictor Setup'!A97)</f>
        <v>Facility</v>
      </c>
      <c r="B109" t="e">
        <f>MATCH($A109,'Predictor Setup'!$A$3:$A$202,0)</f>
        <v>#N/A</v>
      </c>
      <c r="C109" s="3" t="str">
        <f ca="1">IFERROR(MATCH($A109,INDIRECT("'Predictor Setup'!A"&amp;3+B109):'Predictor Setup'!$A$202,0)+B109,"")</f>
        <v/>
      </c>
      <c r="D109" s="3" t="str">
        <f ca="1">IFERROR(MATCH($A109,INDIRECT("'Predictor Setup'!A"&amp;3+C109):'Predictor Setup'!$A$202,0)+C109,"")</f>
        <v/>
      </c>
      <c r="E109" s="3" t="str">
        <f ca="1">IFERROR(MATCH($A109,INDIRECT("'Predictor Setup'!A"&amp;3+D109):'Predictor Setup'!$A$202,0)+D109,"")</f>
        <v/>
      </c>
      <c r="F109" s="3" t="str">
        <f ca="1">IFERROR(MATCH($A109,INDIRECT("'Predictor Setup'!A"&amp;3+E109):'Predictor Setup'!$A$202,0)+E109,"")</f>
        <v/>
      </c>
      <c r="G109" s="3" t="str">
        <f ca="1">IFERROR(MATCH($A109,INDIRECT("'Predictor Setup'!A"&amp;3+F109):'Predictor Setup'!$A$202,0)+F109,"")</f>
        <v/>
      </c>
      <c r="H109" s="3" t="str">
        <f ca="1">IFERROR(MATCH($A109,INDIRECT("'Predictor Setup'!A"&amp;3+G109):'Predictor Setup'!$A$202,0)+G109,"")</f>
        <v/>
      </c>
      <c r="I109" s="3" t="str">
        <f ca="1">IFERROR(MATCH($A109,INDIRECT("'Predictor Setup'!A"&amp;3+H109):'Predictor Setup'!$A$202,0)+H109,"")</f>
        <v/>
      </c>
      <c r="J109" s="3" t="str">
        <f ca="1">IFERROR(MATCH($A109,INDIRECT("'Predictor Setup'!A"&amp;3+I109):'Predictor Setup'!$A$202,0)+I109,"")</f>
        <v/>
      </c>
      <c r="K109" s="3" t="str">
        <f ca="1">IFERROR(MATCH($A109,INDIRECT("'Predictor Setup'!A"&amp;3+J109):'Predictor Setup'!$A$202,0)+J109,"")</f>
        <v/>
      </c>
      <c r="L109" s="3" t="str">
        <f ca="1">IFERROR(MATCH($A109,INDIRECT("'Predictor Setup'!A"&amp;3+K109):'Predictor Setup'!$A$202,0)+K109,"")</f>
        <v/>
      </c>
      <c r="M109" s="3" t="str">
        <f ca="1">IFERROR(MATCH($A109,INDIRECT("'Predictor Setup'!A"&amp;3+L109):'Predictor Setup'!$A$202,0)+L109,"")</f>
        <v/>
      </c>
      <c r="N109" s="3" t="str">
        <f ca="1">IFERROR(MATCH($A109,INDIRECT("'Predictor Setup'!A"&amp;3+M109):'Predictor Setup'!$A$202,0)+M109,"")</f>
        <v/>
      </c>
      <c r="O109" s="3" t="str">
        <f ca="1">IFERROR(MATCH($A109,INDIRECT("'Predictor Setup'!A"&amp;3+N109):'Predictor Setup'!$A$202,0)+N109,"")</f>
        <v/>
      </c>
      <c r="P109" s="3" t="str">
        <f ca="1">IFERROR(MATCH($A109,INDIRECT("'Predictor Setup'!A"&amp;3+O109):'Predictor Setup'!$A$202,0)+O109,"")</f>
        <v/>
      </c>
    </row>
    <row r="110" spans="1:16" x14ac:dyDescent="0.35">
      <c r="A110" t="str">
        <f>IF('Predictor Setup'!A98="",A109,'Predictor Setup'!A98)</f>
        <v>Facility</v>
      </c>
      <c r="B110" t="e">
        <f>MATCH($A110,'Predictor Setup'!$A$3:$A$202,0)</f>
        <v>#N/A</v>
      </c>
      <c r="C110" s="3" t="str">
        <f ca="1">IFERROR(MATCH($A110,INDIRECT("'Predictor Setup'!A"&amp;3+B110):'Predictor Setup'!$A$202,0)+B110,"")</f>
        <v/>
      </c>
      <c r="D110" s="3" t="str">
        <f ca="1">IFERROR(MATCH($A110,INDIRECT("'Predictor Setup'!A"&amp;3+C110):'Predictor Setup'!$A$202,0)+C110,"")</f>
        <v/>
      </c>
      <c r="E110" s="3" t="str">
        <f ca="1">IFERROR(MATCH($A110,INDIRECT("'Predictor Setup'!A"&amp;3+D110):'Predictor Setup'!$A$202,0)+D110,"")</f>
        <v/>
      </c>
      <c r="F110" s="3" t="str">
        <f ca="1">IFERROR(MATCH($A110,INDIRECT("'Predictor Setup'!A"&amp;3+E110):'Predictor Setup'!$A$202,0)+E110,"")</f>
        <v/>
      </c>
      <c r="G110" s="3" t="str">
        <f ca="1">IFERROR(MATCH($A110,INDIRECT("'Predictor Setup'!A"&amp;3+F110):'Predictor Setup'!$A$202,0)+F110,"")</f>
        <v/>
      </c>
      <c r="H110" s="3" t="str">
        <f ca="1">IFERROR(MATCH($A110,INDIRECT("'Predictor Setup'!A"&amp;3+G110):'Predictor Setup'!$A$202,0)+G110,"")</f>
        <v/>
      </c>
      <c r="I110" s="3" t="str">
        <f ca="1">IFERROR(MATCH($A110,INDIRECT("'Predictor Setup'!A"&amp;3+H110):'Predictor Setup'!$A$202,0)+H110,"")</f>
        <v/>
      </c>
      <c r="J110" s="3" t="str">
        <f ca="1">IFERROR(MATCH($A110,INDIRECT("'Predictor Setup'!A"&amp;3+I110):'Predictor Setup'!$A$202,0)+I110,"")</f>
        <v/>
      </c>
      <c r="K110" s="3" t="str">
        <f ca="1">IFERROR(MATCH($A110,INDIRECT("'Predictor Setup'!A"&amp;3+J110):'Predictor Setup'!$A$202,0)+J110,"")</f>
        <v/>
      </c>
      <c r="L110" s="3" t="str">
        <f ca="1">IFERROR(MATCH($A110,INDIRECT("'Predictor Setup'!A"&amp;3+K110):'Predictor Setup'!$A$202,0)+K110,"")</f>
        <v/>
      </c>
      <c r="M110" s="3" t="str">
        <f ca="1">IFERROR(MATCH($A110,INDIRECT("'Predictor Setup'!A"&amp;3+L110):'Predictor Setup'!$A$202,0)+L110,"")</f>
        <v/>
      </c>
      <c r="N110" s="3" t="str">
        <f ca="1">IFERROR(MATCH($A110,INDIRECT("'Predictor Setup'!A"&amp;3+M110):'Predictor Setup'!$A$202,0)+M110,"")</f>
        <v/>
      </c>
      <c r="O110" s="3" t="str">
        <f ca="1">IFERROR(MATCH($A110,INDIRECT("'Predictor Setup'!A"&amp;3+N110):'Predictor Setup'!$A$202,0)+N110,"")</f>
        <v/>
      </c>
      <c r="P110" s="3" t="str">
        <f ca="1">IFERROR(MATCH($A110,INDIRECT("'Predictor Setup'!A"&amp;3+O110):'Predictor Setup'!$A$202,0)+O110,"")</f>
        <v/>
      </c>
    </row>
    <row r="111" spans="1:16" x14ac:dyDescent="0.35">
      <c r="A111" t="str">
        <f>IF('Predictor Setup'!A99="",A110,'Predictor Setup'!A99)</f>
        <v>Facility</v>
      </c>
      <c r="B111" t="e">
        <f>MATCH($A111,'Predictor Setup'!$A$3:$A$202,0)</f>
        <v>#N/A</v>
      </c>
      <c r="C111" s="3" t="str">
        <f ca="1">IFERROR(MATCH($A111,INDIRECT("'Predictor Setup'!A"&amp;3+B111):'Predictor Setup'!$A$202,0)+B111,"")</f>
        <v/>
      </c>
      <c r="D111" s="3" t="str">
        <f ca="1">IFERROR(MATCH($A111,INDIRECT("'Predictor Setup'!A"&amp;3+C111):'Predictor Setup'!$A$202,0)+C111,"")</f>
        <v/>
      </c>
      <c r="E111" s="3" t="str">
        <f ca="1">IFERROR(MATCH($A111,INDIRECT("'Predictor Setup'!A"&amp;3+D111):'Predictor Setup'!$A$202,0)+D111,"")</f>
        <v/>
      </c>
      <c r="F111" s="3" t="str">
        <f ca="1">IFERROR(MATCH($A111,INDIRECT("'Predictor Setup'!A"&amp;3+E111):'Predictor Setup'!$A$202,0)+E111,"")</f>
        <v/>
      </c>
      <c r="G111" s="3" t="str">
        <f ca="1">IFERROR(MATCH($A111,INDIRECT("'Predictor Setup'!A"&amp;3+F111):'Predictor Setup'!$A$202,0)+F111,"")</f>
        <v/>
      </c>
      <c r="H111" s="3" t="str">
        <f ca="1">IFERROR(MATCH($A111,INDIRECT("'Predictor Setup'!A"&amp;3+G111):'Predictor Setup'!$A$202,0)+G111,"")</f>
        <v/>
      </c>
      <c r="I111" s="3" t="str">
        <f ca="1">IFERROR(MATCH($A111,INDIRECT("'Predictor Setup'!A"&amp;3+H111):'Predictor Setup'!$A$202,0)+H111,"")</f>
        <v/>
      </c>
      <c r="J111" s="3" t="str">
        <f ca="1">IFERROR(MATCH($A111,INDIRECT("'Predictor Setup'!A"&amp;3+I111):'Predictor Setup'!$A$202,0)+I111,"")</f>
        <v/>
      </c>
      <c r="K111" s="3" t="str">
        <f ca="1">IFERROR(MATCH($A111,INDIRECT("'Predictor Setup'!A"&amp;3+J111):'Predictor Setup'!$A$202,0)+J111,"")</f>
        <v/>
      </c>
      <c r="L111" s="3" t="str">
        <f ca="1">IFERROR(MATCH($A111,INDIRECT("'Predictor Setup'!A"&amp;3+K111):'Predictor Setup'!$A$202,0)+K111,"")</f>
        <v/>
      </c>
      <c r="M111" s="3" t="str">
        <f ca="1">IFERROR(MATCH($A111,INDIRECT("'Predictor Setup'!A"&amp;3+L111):'Predictor Setup'!$A$202,0)+L111,"")</f>
        <v/>
      </c>
      <c r="N111" s="3" t="str">
        <f ca="1">IFERROR(MATCH($A111,INDIRECT("'Predictor Setup'!A"&amp;3+M111):'Predictor Setup'!$A$202,0)+M111,"")</f>
        <v/>
      </c>
      <c r="O111" s="3" t="str">
        <f ca="1">IFERROR(MATCH($A111,INDIRECT("'Predictor Setup'!A"&amp;3+N111):'Predictor Setup'!$A$202,0)+N111,"")</f>
        <v/>
      </c>
      <c r="P111" s="3" t="str">
        <f ca="1">IFERROR(MATCH($A111,INDIRECT("'Predictor Setup'!A"&amp;3+O111):'Predictor Setup'!$A$202,0)+O111,"")</f>
        <v/>
      </c>
    </row>
    <row r="112" spans="1:16" x14ac:dyDescent="0.35">
      <c r="A112" t="str">
        <f>IF('Predictor Setup'!A100="",A111,'Predictor Setup'!A100)</f>
        <v>Facility</v>
      </c>
      <c r="B112" t="e">
        <f>MATCH($A112,'Predictor Setup'!$A$3:$A$202,0)</f>
        <v>#N/A</v>
      </c>
      <c r="C112" s="3" t="str">
        <f ca="1">IFERROR(MATCH($A112,INDIRECT("'Predictor Setup'!A"&amp;3+B112):'Predictor Setup'!$A$202,0)+B112,"")</f>
        <v/>
      </c>
      <c r="D112" s="3" t="str">
        <f ca="1">IFERROR(MATCH($A112,INDIRECT("'Predictor Setup'!A"&amp;3+C112):'Predictor Setup'!$A$202,0)+C112,"")</f>
        <v/>
      </c>
      <c r="E112" s="3" t="str">
        <f ca="1">IFERROR(MATCH($A112,INDIRECT("'Predictor Setup'!A"&amp;3+D112):'Predictor Setup'!$A$202,0)+D112,"")</f>
        <v/>
      </c>
      <c r="F112" s="3" t="str">
        <f ca="1">IFERROR(MATCH($A112,INDIRECT("'Predictor Setup'!A"&amp;3+E112):'Predictor Setup'!$A$202,0)+E112,"")</f>
        <v/>
      </c>
      <c r="G112" s="3" t="str">
        <f ca="1">IFERROR(MATCH($A112,INDIRECT("'Predictor Setup'!A"&amp;3+F112):'Predictor Setup'!$A$202,0)+F112,"")</f>
        <v/>
      </c>
      <c r="H112" s="3" t="str">
        <f ca="1">IFERROR(MATCH($A112,INDIRECT("'Predictor Setup'!A"&amp;3+G112):'Predictor Setup'!$A$202,0)+G112,"")</f>
        <v/>
      </c>
      <c r="I112" s="3" t="str">
        <f ca="1">IFERROR(MATCH($A112,INDIRECT("'Predictor Setup'!A"&amp;3+H112):'Predictor Setup'!$A$202,0)+H112,"")</f>
        <v/>
      </c>
      <c r="J112" s="3" t="str">
        <f ca="1">IFERROR(MATCH($A112,INDIRECT("'Predictor Setup'!A"&amp;3+I112):'Predictor Setup'!$A$202,0)+I112,"")</f>
        <v/>
      </c>
      <c r="K112" s="3" t="str">
        <f ca="1">IFERROR(MATCH($A112,INDIRECT("'Predictor Setup'!A"&amp;3+J112):'Predictor Setup'!$A$202,0)+J112,"")</f>
        <v/>
      </c>
      <c r="L112" s="3" t="str">
        <f ca="1">IFERROR(MATCH($A112,INDIRECT("'Predictor Setup'!A"&amp;3+K112):'Predictor Setup'!$A$202,0)+K112,"")</f>
        <v/>
      </c>
      <c r="M112" s="3" t="str">
        <f ca="1">IFERROR(MATCH($A112,INDIRECT("'Predictor Setup'!A"&amp;3+L112):'Predictor Setup'!$A$202,0)+L112,"")</f>
        <v/>
      </c>
      <c r="N112" s="3" t="str">
        <f ca="1">IFERROR(MATCH($A112,INDIRECT("'Predictor Setup'!A"&amp;3+M112):'Predictor Setup'!$A$202,0)+M112,"")</f>
        <v/>
      </c>
      <c r="O112" s="3" t="str">
        <f ca="1">IFERROR(MATCH($A112,INDIRECT("'Predictor Setup'!A"&amp;3+N112):'Predictor Setup'!$A$202,0)+N112,"")</f>
        <v/>
      </c>
      <c r="P112" s="3" t="str">
        <f ca="1">IFERROR(MATCH($A112,INDIRECT("'Predictor Setup'!A"&amp;3+O112):'Predictor Setup'!$A$202,0)+O112,"")</f>
        <v/>
      </c>
    </row>
    <row r="113" spans="1:16" x14ac:dyDescent="0.35">
      <c r="A113" t="str">
        <f>IF('Predictor Setup'!A101="",A112,'Predictor Setup'!A101)</f>
        <v>Facility</v>
      </c>
      <c r="B113" t="e">
        <f>MATCH($A113,'Predictor Setup'!$A$3:$A$202,0)</f>
        <v>#N/A</v>
      </c>
      <c r="C113" s="3" t="str">
        <f ca="1">IFERROR(MATCH($A113,INDIRECT("'Predictor Setup'!A"&amp;3+B113):'Predictor Setup'!$A$202,0)+B113,"")</f>
        <v/>
      </c>
      <c r="D113" s="3" t="str">
        <f ca="1">IFERROR(MATCH($A113,INDIRECT("'Predictor Setup'!A"&amp;3+C113):'Predictor Setup'!$A$202,0)+C113,"")</f>
        <v/>
      </c>
      <c r="E113" s="3" t="str">
        <f ca="1">IFERROR(MATCH($A113,INDIRECT("'Predictor Setup'!A"&amp;3+D113):'Predictor Setup'!$A$202,0)+D113,"")</f>
        <v/>
      </c>
      <c r="F113" s="3" t="str">
        <f ca="1">IFERROR(MATCH($A113,INDIRECT("'Predictor Setup'!A"&amp;3+E113):'Predictor Setup'!$A$202,0)+E113,"")</f>
        <v/>
      </c>
      <c r="G113" s="3" t="str">
        <f ca="1">IFERROR(MATCH($A113,INDIRECT("'Predictor Setup'!A"&amp;3+F113):'Predictor Setup'!$A$202,0)+F113,"")</f>
        <v/>
      </c>
      <c r="H113" s="3" t="str">
        <f ca="1">IFERROR(MATCH($A113,INDIRECT("'Predictor Setup'!A"&amp;3+G113):'Predictor Setup'!$A$202,0)+G113,"")</f>
        <v/>
      </c>
      <c r="I113" s="3" t="str">
        <f ca="1">IFERROR(MATCH($A113,INDIRECT("'Predictor Setup'!A"&amp;3+H113):'Predictor Setup'!$A$202,0)+H113,"")</f>
        <v/>
      </c>
      <c r="J113" s="3" t="str">
        <f ca="1">IFERROR(MATCH($A113,INDIRECT("'Predictor Setup'!A"&amp;3+I113):'Predictor Setup'!$A$202,0)+I113,"")</f>
        <v/>
      </c>
      <c r="K113" s="3" t="str">
        <f ca="1">IFERROR(MATCH($A113,INDIRECT("'Predictor Setup'!A"&amp;3+J113):'Predictor Setup'!$A$202,0)+J113,"")</f>
        <v/>
      </c>
      <c r="L113" s="3" t="str">
        <f ca="1">IFERROR(MATCH($A113,INDIRECT("'Predictor Setup'!A"&amp;3+K113):'Predictor Setup'!$A$202,0)+K113,"")</f>
        <v/>
      </c>
      <c r="M113" s="3" t="str">
        <f ca="1">IFERROR(MATCH($A113,INDIRECT("'Predictor Setup'!A"&amp;3+L113):'Predictor Setup'!$A$202,0)+L113,"")</f>
        <v/>
      </c>
      <c r="N113" s="3" t="str">
        <f ca="1">IFERROR(MATCH($A113,INDIRECT("'Predictor Setup'!A"&amp;3+M113):'Predictor Setup'!$A$202,0)+M113,"")</f>
        <v/>
      </c>
      <c r="O113" s="3" t="str">
        <f ca="1">IFERROR(MATCH($A113,INDIRECT("'Predictor Setup'!A"&amp;3+N113):'Predictor Setup'!$A$202,0)+N113,"")</f>
        <v/>
      </c>
      <c r="P113" s="3" t="str">
        <f ca="1">IFERROR(MATCH($A113,INDIRECT("'Predictor Setup'!A"&amp;3+O113):'Predictor Setup'!$A$202,0)+O113,"")</f>
        <v/>
      </c>
    </row>
    <row r="114" spans="1:16" x14ac:dyDescent="0.35">
      <c r="A114" t="str">
        <f>IF('Predictor Setup'!A102="",A113,'Predictor Setup'!A102)</f>
        <v>Facility</v>
      </c>
      <c r="B114" t="e">
        <f>MATCH($A114,'Predictor Setup'!$A$3:$A$202,0)</f>
        <v>#N/A</v>
      </c>
      <c r="C114" s="3" t="str">
        <f ca="1">IFERROR(MATCH($A114,INDIRECT("'Predictor Setup'!A"&amp;3+B114):'Predictor Setup'!$A$202,0)+B114,"")</f>
        <v/>
      </c>
      <c r="D114" s="3" t="str">
        <f ca="1">IFERROR(MATCH($A114,INDIRECT("'Predictor Setup'!A"&amp;3+C114):'Predictor Setup'!$A$202,0)+C114,"")</f>
        <v/>
      </c>
      <c r="E114" s="3" t="str">
        <f ca="1">IFERROR(MATCH($A114,INDIRECT("'Predictor Setup'!A"&amp;3+D114):'Predictor Setup'!$A$202,0)+D114,"")</f>
        <v/>
      </c>
      <c r="F114" s="3" t="str">
        <f ca="1">IFERROR(MATCH($A114,INDIRECT("'Predictor Setup'!A"&amp;3+E114):'Predictor Setup'!$A$202,0)+E114,"")</f>
        <v/>
      </c>
      <c r="G114" s="3" t="str">
        <f ca="1">IFERROR(MATCH($A114,INDIRECT("'Predictor Setup'!A"&amp;3+F114):'Predictor Setup'!$A$202,0)+F114,"")</f>
        <v/>
      </c>
      <c r="H114" s="3" t="str">
        <f ca="1">IFERROR(MATCH($A114,INDIRECT("'Predictor Setup'!A"&amp;3+G114):'Predictor Setup'!$A$202,0)+G114,"")</f>
        <v/>
      </c>
      <c r="I114" s="3" t="str">
        <f ca="1">IFERROR(MATCH($A114,INDIRECT("'Predictor Setup'!A"&amp;3+H114):'Predictor Setup'!$A$202,0)+H114,"")</f>
        <v/>
      </c>
      <c r="J114" s="3" t="str">
        <f ca="1">IFERROR(MATCH($A114,INDIRECT("'Predictor Setup'!A"&amp;3+I114):'Predictor Setup'!$A$202,0)+I114,"")</f>
        <v/>
      </c>
      <c r="K114" s="3" t="str">
        <f ca="1">IFERROR(MATCH($A114,INDIRECT("'Predictor Setup'!A"&amp;3+J114):'Predictor Setup'!$A$202,0)+J114,"")</f>
        <v/>
      </c>
      <c r="L114" s="3" t="str">
        <f ca="1">IFERROR(MATCH($A114,INDIRECT("'Predictor Setup'!A"&amp;3+K114):'Predictor Setup'!$A$202,0)+K114,"")</f>
        <v/>
      </c>
      <c r="M114" s="3" t="str">
        <f ca="1">IFERROR(MATCH($A114,INDIRECT("'Predictor Setup'!A"&amp;3+L114):'Predictor Setup'!$A$202,0)+L114,"")</f>
        <v/>
      </c>
      <c r="N114" s="3" t="str">
        <f ca="1">IFERROR(MATCH($A114,INDIRECT("'Predictor Setup'!A"&amp;3+M114):'Predictor Setup'!$A$202,0)+M114,"")</f>
        <v/>
      </c>
      <c r="O114" s="3" t="str">
        <f ca="1">IFERROR(MATCH($A114,INDIRECT("'Predictor Setup'!A"&amp;3+N114):'Predictor Setup'!$A$202,0)+N114,"")</f>
        <v/>
      </c>
      <c r="P114" s="3" t="str">
        <f ca="1">IFERROR(MATCH($A114,INDIRECT("'Predictor Setup'!A"&amp;3+O114):'Predictor Setup'!$A$202,0)+O114,"")</f>
        <v/>
      </c>
    </row>
    <row r="115" spans="1:16" x14ac:dyDescent="0.35">
      <c r="A115" t="str">
        <f>IF('Predictor Setup'!A103="",A114,'Predictor Setup'!A103)</f>
        <v>Facility</v>
      </c>
      <c r="B115" t="e">
        <f>MATCH($A115,'Predictor Setup'!$A$3:$A$202,0)</f>
        <v>#N/A</v>
      </c>
      <c r="C115" s="3" t="str">
        <f ca="1">IFERROR(MATCH($A115,INDIRECT("'Predictor Setup'!A"&amp;3+B115):'Predictor Setup'!$A$202,0)+B115,"")</f>
        <v/>
      </c>
      <c r="D115" s="3" t="str">
        <f ca="1">IFERROR(MATCH($A115,INDIRECT("'Predictor Setup'!A"&amp;3+C115):'Predictor Setup'!$A$202,0)+C115,"")</f>
        <v/>
      </c>
      <c r="E115" s="3" t="str">
        <f ca="1">IFERROR(MATCH($A115,INDIRECT("'Predictor Setup'!A"&amp;3+D115):'Predictor Setup'!$A$202,0)+D115,"")</f>
        <v/>
      </c>
      <c r="F115" s="3" t="str">
        <f ca="1">IFERROR(MATCH($A115,INDIRECT("'Predictor Setup'!A"&amp;3+E115):'Predictor Setup'!$A$202,0)+E115,"")</f>
        <v/>
      </c>
      <c r="G115" s="3" t="str">
        <f ca="1">IFERROR(MATCH($A115,INDIRECT("'Predictor Setup'!A"&amp;3+F115):'Predictor Setup'!$A$202,0)+F115,"")</f>
        <v/>
      </c>
      <c r="H115" s="3" t="str">
        <f ca="1">IFERROR(MATCH($A115,INDIRECT("'Predictor Setup'!A"&amp;3+G115):'Predictor Setup'!$A$202,0)+G115,"")</f>
        <v/>
      </c>
      <c r="I115" s="3" t="str">
        <f ca="1">IFERROR(MATCH($A115,INDIRECT("'Predictor Setup'!A"&amp;3+H115):'Predictor Setup'!$A$202,0)+H115,"")</f>
        <v/>
      </c>
      <c r="J115" s="3" t="str">
        <f ca="1">IFERROR(MATCH($A115,INDIRECT("'Predictor Setup'!A"&amp;3+I115):'Predictor Setup'!$A$202,0)+I115,"")</f>
        <v/>
      </c>
      <c r="K115" s="3" t="str">
        <f ca="1">IFERROR(MATCH($A115,INDIRECT("'Predictor Setup'!A"&amp;3+J115):'Predictor Setup'!$A$202,0)+J115,"")</f>
        <v/>
      </c>
      <c r="L115" s="3" t="str">
        <f ca="1">IFERROR(MATCH($A115,INDIRECT("'Predictor Setup'!A"&amp;3+K115):'Predictor Setup'!$A$202,0)+K115,"")</f>
        <v/>
      </c>
      <c r="M115" s="3" t="str">
        <f ca="1">IFERROR(MATCH($A115,INDIRECT("'Predictor Setup'!A"&amp;3+L115):'Predictor Setup'!$A$202,0)+L115,"")</f>
        <v/>
      </c>
      <c r="N115" s="3" t="str">
        <f ca="1">IFERROR(MATCH($A115,INDIRECT("'Predictor Setup'!A"&amp;3+M115):'Predictor Setup'!$A$202,0)+M115,"")</f>
        <v/>
      </c>
      <c r="O115" s="3" t="str">
        <f ca="1">IFERROR(MATCH($A115,INDIRECT("'Predictor Setup'!A"&amp;3+N115):'Predictor Setup'!$A$202,0)+N115,"")</f>
        <v/>
      </c>
      <c r="P115" s="3" t="str">
        <f ca="1">IFERROR(MATCH($A115,INDIRECT("'Predictor Setup'!A"&amp;3+O115):'Predictor Setup'!$A$202,0)+O115,"")</f>
        <v/>
      </c>
    </row>
    <row r="116" spans="1:16" x14ac:dyDescent="0.35">
      <c r="A116" t="str">
        <f>IF('Predictor Setup'!A104="",A115,'Predictor Setup'!A104)</f>
        <v>Facility</v>
      </c>
      <c r="B116" t="e">
        <f>MATCH($A116,'Predictor Setup'!$A$3:$A$202,0)</f>
        <v>#N/A</v>
      </c>
      <c r="C116" s="3" t="str">
        <f ca="1">IFERROR(MATCH($A116,INDIRECT("'Predictor Setup'!A"&amp;3+B116):'Predictor Setup'!$A$202,0)+B116,"")</f>
        <v/>
      </c>
      <c r="D116" s="3" t="str">
        <f ca="1">IFERROR(MATCH($A116,INDIRECT("'Predictor Setup'!A"&amp;3+C116):'Predictor Setup'!$A$202,0)+C116,"")</f>
        <v/>
      </c>
      <c r="E116" s="3" t="str">
        <f ca="1">IFERROR(MATCH($A116,INDIRECT("'Predictor Setup'!A"&amp;3+D116):'Predictor Setup'!$A$202,0)+D116,"")</f>
        <v/>
      </c>
      <c r="F116" s="3" t="str">
        <f ca="1">IFERROR(MATCH($A116,INDIRECT("'Predictor Setup'!A"&amp;3+E116):'Predictor Setup'!$A$202,0)+E116,"")</f>
        <v/>
      </c>
      <c r="G116" s="3" t="str">
        <f ca="1">IFERROR(MATCH($A116,INDIRECT("'Predictor Setup'!A"&amp;3+F116):'Predictor Setup'!$A$202,0)+F116,"")</f>
        <v/>
      </c>
      <c r="H116" s="3" t="str">
        <f ca="1">IFERROR(MATCH($A116,INDIRECT("'Predictor Setup'!A"&amp;3+G116):'Predictor Setup'!$A$202,0)+G116,"")</f>
        <v/>
      </c>
      <c r="I116" s="3" t="str">
        <f ca="1">IFERROR(MATCH($A116,INDIRECT("'Predictor Setup'!A"&amp;3+H116):'Predictor Setup'!$A$202,0)+H116,"")</f>
        <v/>
      </c>
      <c r="J116" s="3" t="str">
        <f ca="1">IFERROR(MATCH($A116,INDIRECT("'Predictor Setup'!A"&amp;3+I116):'Predictor Setup'!$A$202,0)+I116,"")</f>
        <v/>
      </c>
      <c r="K116" s="3" t="str">
        <f ca="1">IFERROR(MATCH($A116,INDIRECT("'Predictor Setup'!A"&amp;3+J116):'Predictor Setup'!$A$202,0)+J116,"")</f>
        <v/>
      </c>
      <c r="L116" s="3" t="str">
        <f ca="1">IFERROR(MATCH($A116,INDIRECT("'Predictor Setup'!A"&amp;3+K116):'Predictor Setup'!$A$202,0)+K116,"")</f>
        <v/>
      </c>
      <c r="M116" s="3" t="str">
        <f ca="1">IFERROR(MATCH($A116,INDIRECT("'Predictor Setup'!A"&amp;3+L116):'Predictor Setup'!$A$202,0)+L116,"")</f>
        <v/>
      </c>
      <c r="N116" s="3" t="str">
        <f ca="1">IFERROR(MATCH($A116,INDIRECT("'Predictor Setup'!A"&amp;3+M116):'Predictor Setup'!$A$202,0)+M116,"")</f>
        <v/>
      </c>
      <c r="O116" s="3" t="str">
        <f ca="1">IFERROR(MATCH($A116,INDIRECT("'Predictor Setup'!A"&amp;3+N116):'Predictor Setup'!$A$202,0)+N116,"")</f>
        <v/>
      </c>
      <c r="P116" s="3" t="str">
        <f ca="1">IFERROR(MATCH($A116,INDIRECT("'Predictor Setup'!A"&amp;3+O116):'Predictor Setup'!$A$202,0)+O116,"")</f>
        <v/>
      </c>
    </row>
    <row r="117" spans="1:16" x14ac:dyDescent="0.35">
      <c r="A117" t="str">
        <f>IF('Predictor Setup'!A105="",A116,'Predictor Setup'!A105)</f>
        <v>Facility</v>
      </c>
      <c r="B117" t="e">
        <f>MATCH($A117,'Predictor Setup'!$A$3:$A$202,0)</f>
        <v>#N/A</v>
      </c>
      <c r="C117" s="3" t="str">
        <f ca="1">IFERROR(MATCH($A117,INDIRECT("'Predictor Setup'!A"&amp;3+B117):'Predictor Setup'!$A$202,0)+B117,"")</f>
        <v/>
      </c>
      <c r="D117" s="3" t="str">
        <f ca="1">IFERROR(MATCH($A117,INDIRECT("'Predictor Setup'!A"&amp;3+C117):'Predictor Setup'!$A$202,0)+C117,"")</f>
        <v/>
      </c>
      <c r="E117" s="3" t="str">
        <f ca="1">IFERROR(MATCH($A117,INDIRECT("'Predictor Setup'!A"&amp;3+D117):'Predictor Setup'!$A$202,0)+D117,"")</f>
        <v/>
      </c>
      <c r="F117" s="3" t="str">
        <f ca="1">IFERROR(MATCH($A117,INDIRECT("'Predictor Setup'!A"&amp;3+E117):'Predictor Setup'!$A$202,0)+E117,"")</f>
        <v/>
      </c>
      <c r="G117" s="3" t="str">
        <f ca="1">IFERROR(MATCH($A117,INDIRECT("'Predictor Setup'!A"&amp;3+F117):'Predictor Setup'!$A$202,0)+F117,"")</f>
        <v/>
      </c>
      <c r="H117" s="3" t="str">
        <f ca="1">IFERROR(MATCH($A117,INDIRECT("'Predictor Setup'!A"&amp;3+G117):'Predictor Setup'!$A$202,0)+G117,"")</f>
        <v/>
      </c>
      <c r="I117" s="3" t="str">
        <f ca="1">IFERROR(MATCH($A117,INDIRECT("'Predictor Setup'!A"&amp;3+H117):'Predictor Setup'!$A$202,0)+H117,"")</f>
        <v/>
      </c>
      <c r="J117" s="3" t="str">
        <f ca="1">IFERROR(MATCH($A117,INDIRECT("'Predictor Setup'!A"&amp;3+I117):'Predictor Setup'!$A$202,0)+I117,"")</f>
        <v/>
      </c>
      <c r="K117" s="3" t="str">
        <f ca="1">IFERROR(MATCH($A117,INDIRECT("'Predictor Setup'!A"&amp;3+J117):'Predictor Setup'!$A$202,0)+J117,"")</f>
        <v/>
      </c>
      <c r="L117" s="3" t="str">
        <f ca="1">IFERROR(MATCH($A117,INDIRECT("'Predictor Setup'!A"&amp;3+K117):'Predictor Setup'!$A$202,0)+K117,"")</f>
        <v/>
      </c>
      <c r="M117" s="3" t="str">
        <f ca="1">IFERROR(MATCH($A117,INDIRECT("'Predictor Setup'!A"&amp;3+L117):'Predictor Setup'!$A$202,0)+L117,"")</f>
        <v/>
      </c>
      <c r="N117" s="3" t="str">
        <f ca="1">IFERROR(MATCH($A117,INDIRECT("'Predictor Setup'!A"&amp;3+M117):'Predictor Setup'!$A$202,0)+M117,"")</f>
        <v/>
      </c>
      <c r="O117" s="3" t="str">
        <f ca="1">IFERROR(MATCH($A117,INDIRECT("'Predictor Setup'!A"&amp;3+N117):'Predictor Setup'!$A$202,0)+N117,"")</f>
        <v/>
      </c>
      <c r="P117" s="3" t="str">
        <f ca="1">IFERROR(MATCH($A117,INDIRECT("'Predictor Setup'!A"&amp;3+O117):'Predictor Setup'!$A$202,0)+O117,"")</f>
        <v/>
      </c>
    </row>
    <row r="118" spans="1:16" x14ac:dyDescent="0.35">
      <c r="A118" t="str">
        <f>IF('Predictor Setup'!A106="",A117,'Predictor Setup'!A106)</f>
        <v>Facility</v>
      </c>
      <c r="B118" t="e">
        <f>MATCH($A118,'Predictor Setup'!$A$3:$A$202,0)</f>
        <v>#N/A</v>
      </c>
      <c r="C118" s="3" t="str">
        <f ca="1">IFERROR(MATCH($A118,INDIRECT("'Predictor Setup'!A"&amp;3+B118):'Predictor Setup'!$A$202,0)+B118,"")</f>
        <v/>
      </c>
      <c r="D118" s="3" t="str">
        <f ca="1">IFERROR(MATCH($A118,INDIRECT("'Predictor Setup'!A"&amp;3+C118):'Predictor Setup'!$A$202,0)+C118,"")</f>
        <v/>
      </c>
      <c r="E118" s="3" t="str">
        <f ca="1">IFERROR(MATCH($A118,INDIRECT("'Predictor Setup'!A"&amp;3+D118):'Predictor Setup'!$A$202,0)+D118,"")</f>
        <v/>
      </c>
      <c r="F118" s="3" t="str">
        <f ca="1">IFERROR(MATCH($A118,INDIRECT("'Predictor Setup'!A"&amp;3+E118):'Predictor Setup'!$A$202,0)+E118,"")</f>
        <v/>
      </c>
      <c r="G118" s="3" t="str">
        <f ca="1">IFERROR(MATCH($A118,INDIRECT("'Predictor Setup'!A"&amp;3+F118):'Predictor Setup'!$A$202,0)+F118,"")</f>
        <v/>
      </c>
      <c r="H118" s="3" t="str">
        <f ca="1">IFERROR(MATCH($A118,INDIRECT("'Predictor Setup'!A"&amp;3+G118):'Predictor Setup'!$A$202,0)+G118,"")</f>
        <v/>
      </c>
      <c r="I118" s="3" t="str">
        <f ca="1">IFERROR(MATCH($A118,INDIRECT("'Predictor Setup'!A"&amp;3+H118):'Predictor Setup'!$A$202,0)+H118,"")</f>
        <v/>
      </c>
      <c r="J118" s="3" t="str">
        <f ca="1">IFERROR(MATCH($A118,INDIRECT("'Predictor Setup'!A"&amp;3+I118):'Predictor Setup'!$A$202,0)+I118,"")</f>
        <v/>
      </c>
      <c r="K118" s="3" t="str">
        <f ca="1">IFERROR(MATCH($A118,INDIRECT("'Predictor Setup'!A"&amp;3+J118):'Predictor Setup'!$A$202,0)+J118,"")</f>
        <v/>
      </c>
      <c r="L118" s="3" t="str">
        <f ca="1">IFERROR(MATCH($A118,INDIRECT("'Predictor Setup'!A"&amp;3+K118):'Predictor Setup'!$A$202,0)+K118,"")</f>
        <v/>
      </c>
      <c r="M118" s="3" t="str">
        <f ca="1">IFERROR(MATCH($A118,INDIRECT("'Predictor Setup'!A"&amp;3+L118):'Predictor Setup'!$A$202,0)+L118,"")</f>
        <v/>
      </c>
      <c r="N118" s="3" t="str">
        <f ca="1">IFERROR(MATCH($A118,INDIRECT("'Predictor Setup'!A"&amp;3+M118):'Predictor Setup'!$A$202,0)+M118,"")</f>
        <v/>
      </c>
      <c r="O118" s="3" t="str">
        <f ca="1">IFERROR(MATCH($A118,INDIRECT("'Predictor Setup'!A"&amp;3+N118):'Predictor Setup'!$A$202,0)+N118,"")</f>
        <v/>
      </c>
      <c r="P118" s="3" t="str">
        <f ca="1">IFERROR(MATCH($A118,INDIRECT("'Predictor Setup'!A"&amp;3+O118):'Predictor Setup'!$A$202,0)+O118,"")</f>
        <v/>
      </c>
    </row>
    <row r="119" spans="1:16" x14ac:dyDescent="0.35">
      <c r="A119" t="str">
        <f>IF('Predictor Setup'!A107="",A118,'Predictor Setup'!A107)</f>
        <v>Facility</v>
      </c>
      <c r="B119" t="e">
        <f>MATCH($A119,'Predictor Setup'!$A$3:$A$202,0)</f>
        <v>#N/A</v>
      </c>
      <c r="C119" s="3" t="str">
        <f ca="1">IFERROR(MATCH($A119,INDIRECT("'Predictor Setup'!A"&amp;3+B119):'Predictor Setup'!$A$202,0)+B119,"")</f>
        <v/>
      </c>
      <c r="D119" s="3" t="str">
        <f ca="1">IFERROR(MATCH($A119,INDIRECT("'Predictor Setup'!A"&amp;3+C119):'Predictor Setup'!$A$202,0)+C119,"")</f>
        <v/>
      </c>
      <c r="E119" s="3" t="str">
        <f ca="1">IFERROR(MATCH($A119,INDIRECT("'Predictor Setup'!A"&amp;3+D119):'Predictor Setup'!$A$202,0)+D119,"")</f>
        <v/>
      </c>
      <c r="F119" s="3" t="str">
        <f ca="1">IFERROR(MATCH($A119,INDIRECT("'Predictor Setup'!A"&amp;3+E119):'Predictor Setup'!$A$202,0)+E119,"")</f>
        <v/>
      </c>
      <c r="G119" s="3" t="str">
        <f ca="1">IFERROR(MATCH($A119,INDIRECT("'Predictor Setup'!A"&amp;3+F119):'Predictor Setup'!$A$202,0)+F119,"")</f>
        <v/>
      </c>
      <c r="H119" s="3" t="str">
        <f ca="1">IFERROR(MATCH($A119,INDIRECT("'Predictor Setup'!A"&amp;3+G119):'Predictor Setup'!$A$202,0)+G119,"")</f>
        <v/>
      </c>
      <c r="I119" s="3" t="str">
        <f ca="1">IFERROR(MATCH($A119,INDIRECT("'Predictor Setup'!A"&amp;3+H119):'Predictor Setup'!$A$202,0)+H119,"")</f>
        <v/>
      </c>
      <c r="J119" s="3" t="str">
        <f ca="1">IFERROR(MATCH($A119,INDIRECT("'Predictor Setup'!A"&amp;3+I119):'Predictor Setup'!$A$202,0)+I119,"")</f>
        <v/>
      </c>
      <c r="K119" s="3" t="str">
        <f ca="1">IFERROR(MATCH($A119,INDIRECT("'Predictor Setup'!A"&amp;3+J119):'Predictor Setup'!$A$202,0)+J119,"")</f>
        <v/>
      </c>
      <c r="L119" s="3" t="str">
        <f ca="1">IFERROR(MATCH($A119,INDIRECT("'Predictor Setup'!A"&amp;3+K119):'Predictor Setup'!$A$202,0)+K119,"")</f>
        <v/>
      </c>
      <c r="M119" s="3" t="str">
        <f ca="1">IFERROR(MATCH($A119,INDIRECT("'Predictor Setup'!A"&amp;3+L119):'Predictor Setup'!$A$202,0)+L119,"")</f>
        <v/>
      </c>
      <c r="N119" s="3" t="str">
        <f ca="1">IFERROR(MATCH($A119,INDIRECT("'Predictor Setup'!A"&amp;3+M119):'Predictor Setup'!$A$202,0)+M119,"")</f>
        <v/>
      </c>
      <c r="O119" s="3" t="str">
        <f ca="1">IFERROR(MATCH($A119,INDIRECT("'Predictor Setup'!A"&amp;3+N119):'Predictor Setup'!$A$202,0)+N119,"")</f>
        <v/>
      </c>
      <c r="P119" s="3" t="str">
        <f ca="1">IFERROR(MATCH($A119,INDIRECT("'Predictor Setup'!A"&amp;3+O119):'Predictor Setup'!$A$202,0)+O119,"")</f>
        <v/>
      </c>
    </row>
    <row r="120" spans="1:16" x14ac:dyDescent="0.35">
      <c r="A120" t="str">
        <f>IF('Predictor Setup'!A108="",A119,'Predictor Setup'!A108)</f>
        <v>Facility</v>
      </c>
      <c r="B120" t="e">
        <f>MATCH($A120,'Predictor Setup'!$A$3:$A$202,0)</f>
        <v>#N/A</v>
      </c>
      <c r="C120" s="3" t="str">
        <f ca="1">IFERROR(MATCH($A120,INDIRECT("'Predictor Setup'!A"&amp;3+B120):'Predictor Setup'!$A$202,0)+B120,"")</f>
        <v/>
      </c>
      <c r="D120" s="3" t="str">
        <f ca="1">IFERROR(MATCH($A120,INDIRECT("'Predictor Setup'!A"&amp;3+C120):'Predictor Setup'!$A$202,0)+C120,"")</f>
        <v/>
      </c>
      <c r="E120" s="3" t="str">
        <f ca="1">IFERROR(MATCH($A120,INDIRECT("'Predictor Setup'!A"&amp;3+D120):'Predictor Setup'!$A$202,0)+D120,"")</f>
        <v/>
      </c>
      <c r="F120" s="3" t="str">
        <f ca="1">IFERROR(MATCH($A120,INDIRECT("'Predictor Setup'!A"&amp;3+E120):'Predictor Setup'!$A$202,0)+E120,"")</f>
        <v/>
      </c>
      <c r="G120" s="3" t="str">
        <f ca="1">IFERROR(MATCH($A120,INDIRECT("'Predictor Setup'!A"&amp;3+F120):'Predictor Setup'!$A$202,0)+F120,"")</f>
        <v/>
      </c>
      <c r="H120" s="3" t="str">
        <f ca="1">IFERROR(MATCH($A120,INDIRECT("'Predictor Setup'!A"&amp;3+G120):'Predictor Setup'!$A$202,0)+G120,"")</f>
        <v/>
      </c>
      <c r="I120" s="3" t="str">
        <f ca="1">IFERROR(MATCH($A120,INDIRECT("'Predictor Setup'!A"&amp;3+H120):'Predictor Setup'!$A$202,0)+H120,"")</f>
        <v/>
      </c>
      <c r="J120" s="3" t="str">
        <f ca="1">IFERROR(MATCH($A120,INDIRECT("'Predictor Setup'!A"&amp;3+I120):'Predictor Setup'!$A$202,0)+I120,"")</f>
        <v/>
      </c>
      <c r="K120" s="3" t="str">
        <f ca="1">IFERROR(MATCH($A120,INDIRECT("'Predictor Setup'!A"&amp;3+J120):'Predictor Setup'!$A$202,0)+J120,"")</f>
        <v/>
      </c>
      <c r="L120" s="3" t="str">
        <f ca="1">IFERROR(MATCH($A120,INDIRECT("'Predictor Setup'!A"&amp;3+K120):'Predictor Setup'!$A$202,0)+K120,"")</f>
        <v/>
      </c>
      <c r="M120" s="3" t="str">
        <f ca="1">IFERROR(MATCH($A120,INDIRECT("'Predictor Setup'!A"&amp;3+L120):'Predictor Setup'!$A$202,0)+L120,"")</f>
        <v/>
      </c>
      <c r="N120" s="3" t="str">
        <f ca="1">IFERROR(MATCH($A120,INDIRECT("'Predictor Setup'!A"&amp;3+M120):'Predictor Setup'!$A$202,0)+M120,"")</f>
        <v/>
      </c>
      <c r="O120" s="3" t="str">
        <f ca="1">IFERROR(MATCH($A120,INDIRECT("'Predictor Setup'!A"&amp;3+N120):'Predictor Setup'!$A$202,0)+N120,"")</f>
        <v/>
      </c>
      <c r="P120" s="3" t="str">
        <f ca="1">IFERROR(MATCH($A120,INDIRECT("'Predictor Setup'!A"&amp;3+O120):'Predictor Setup'!$A$202,0)+O120,"")</f>
        <v/>
      </c>
    </row>
    <row r="121" spans="1:16" x14ac:dyDescent="0.35">
      <c r="A121" t="str">
        <f>IF('Predictor Setup'!A109="",A120,'Predictor Setup'!A109)</f>
        <v>Facility</v>
      </c>
      <c r="B121" t="e">
        <f>MATCH($A121,'Predictor Setup'!$A$3:$A$202,0)</f>
        <v>#N/A</v>
      </c>
      <c r="C121" s="3" t="str">
        <f ca="1">IFERROR(MATCH($A121,INDIRECT("'Predictor Setup'!A"&amp;3+B121):'Predictor Setup'!$A$202,0)+B121,"")</f>
        <v/>
      </c>
      <c r="D121" s="3" t="str">
        <f ca="1">IFERROR(MATCH($A121,INDIRECT("'Predictor Setup'!A"&amp;3+C121):'Predictor Setup'!$A$202,0)+C121,"")</f>
        <v/>
      </c>
      <c r="E121" s="3" t="str">
        <f ca="1">IFERROR(MATCH($A121,INDIRECT("'Predictor Setup'!A"&amp;3+D121):'Predictor Setup'!$A$202,0)+D121,"")</f>
        <v/>
      </c>
      <c r="F121" s="3" t="str">
        <f ca="1">IFERROR(MATCH($A121,INDIRECT("'Predictor Setup'!A"&amp;3+E121):'Predictor Setup'!$A$202,0)+E121,"")</f>
        <v/>
      </c>
      <c r="G121" s="3" t="str">
        <f ca="1">IFERROR(MATCH($A121,INDIRECT("'Predictor Setup'!A"&amp;3+F121):'Predictor Setup'!$A$202,0)+F121,"")</f>
        <v/>
      </c>
      <c r="H121" s="3" t="str">
        <f ca="1">IFERROR(MATCH($A121,INDIRECT("'Predictor Setup'!A"&amp;3+G121):'Predictor Setup'!$A$202,0)+G121,"")</f>
        <v/>
      </c>
      <c r="I121" s="3" t="str">
        <f ca="1">IFERROR(MATCH($A121,INDIRECT("'Predictor Setup'!A"&amp;3+H121):'Predictor Setup'!$A$202,0)+H121,"")</f>
        <v/>
      </c>
      <c r="J121" s="3" t="str">
        <f ca="1">IFERROR(MATCH($A121,INDIRECT("'Predictor Setup'!A"&amp;3+I121):'Predictor Setup'!$A$202,0)+I121,"")</f>
        <v/>
      </c>
      <c r="K121" s="3" t="str">
        <f ca="1">IFERROR(MATCH($A121,INDIRECT("'Predictor Setup'!A"&amp;3+J121):'Predictor Setup'!$A$202,0)+J121,"")</f>
        <v/>
      </c>
      <c r="L121" s="3" t="str">
        <f ca="1">IFERROR(MATCH($A121,INDIRECT("'Predictor Setup'!A"&amp;3+K121):'Predictor Setup'!$A$202,0)+K121,"")</f>
        <v/>
      </c>
      <c r="M121" s="3" t="str">
        <f ca="1">IFERROR(MATCH($A121,INDIRECT("'Predictor Setup'!A"&amp;3+L121):'Predictor Setup'!$A$202,0)+L121,"")</f>
        <v/>
      </c>
      <c r="N121" s="3" t="str">
        <f ca="1">IFERROR(MATCH($A121,INDIRECT("'Predictor Setup'!A"&amp;3+M121):'Predictor Setup'!$A$202,0)+M121,"")</f>
        <v/>
      </c>
      <c r="O121" s="3" t="str">
        <f ca="1">IFERROR(MATCH($A121,INDIRECT("'Predictor Setup'!A"&amp;3+N121):'Predictor Setup'!$A$202,0)+N121,"")</f>
        <v/>
      </c>
      <c r="P121" s="3" t="str">
        <f ca="1">IFERROR(MATCH($A121,INDIRECT("'Predictor Setup'!A"&amp;3+O121):'Predictor Setup'!$A$202,0)+O121,"")</f>
        <v/>
      </c>
    </row>
    <row r="122" spans="1:16" x14ac:dyDescent="0.35">
      <c r="A122" t="str">
        <f>IF('Predictor Setup'!A110="",A121,'Predictor Setup'!A110)</f>
        <v>Facility</v>
      </c>
      <c r="B122" t="e">
        <f>MATCH($A122,'Predictor Setup'!$A$3:$A$202,0)</f>
        <v>#N/A</v>
      </c>
      <c r="C122" s="3" t="str">
        <f ca="1">IFERROR(MATCH($A122,INDIRECT("'Predictor Setup'!A"&amp;3+B122):'Predictor Setup'!$A$202,0)+B122,"")</f>
        <v/>
      </c>
      <c r="D122" s="3" t="str">
        <f ca="1">IFERROR(MATCH($A122,INDIRECT("'Predictor Setup'!A"&amp;3+C122):'Predictor Setup'!$A$202,0)+C122,"")</f>
        <v/>
      </c>
      <c r="E122" s="3" t="str">
        <f ca="1">IFERROR(MATCH($A122,INDIRECT("'Predictor Setup'!A"&amp;3+D122):'Predictor Setup'!$A$202,0)+D122,"")</f>
        <v/>
      </c>
      <c r="F122" s="3" t="str">
        <f ca="1">IFERROR(MATCH($A122,INDIRECT("'Predictor Setup'!A"&amp;3+E122):'Predictor Setup'!$A$202,0)+E122,"")</f>
        <v/>
      </c>
      <c r="G122" s="3" t="str">
        <f ca="1">IFERROR(MATCH($A122,INDIRECT("'Predictor Setup'!A"&amp;3+F122):'Predictor Setup'!$A$202,0)+F122,"")</f>
        <v/>
      </c>
      <c r="H122" s="3" t="str">
        <f ca="1">IFERROR(MATCH($A122,INDIRECT("'Predictor Setup'!A"&amp;3+G122):'Predictor Setup'!$A$202,0)+G122,"")</f>
        <v/>
      </c>
      <c r="I122" s="3" t="str">
        <f ca="1">IFERROR(MATCH($A122,INDIRECT("'Predictor Setup'!A"&amp;3+H122):'Predictor Setup'!$A$202,0)+H122,"")</f>
        <v/>
      </c>
      <c r="J122" s="3" t="str">
        <f ca="1">IFERROR(MATCH($A122,INDIRECT("'Predictor Setup'!A"&amp;3+I122):'Predictor Setup'!$A$202,0)+I122,"")</f>
        <v/>
      </c>
      <c r="K122" s="3" t="str">
        <f ca="1">IFERROR(MATCH($A122,INDIRECT("'Predictor Setup'!A"&amp;3+J122):'Predictor Setup'!$A$202,0)+J122,"")</f>
        <v/>
      </c>
      <c r="L122" s="3" t="str">
        <f ca="1">IFERROR(MATCH($A122,INDIRECT("'Predictor Setup'!A"&amp;3+K122):'Predictor Setup'!$A$202,0)+K122,"")</f>
        <v/>
      </c>
      <c r="M122" s="3" t="str">
        <f ca="1">IFERROR(MATCH($A122,INDIRECT("'Predictor Setup'!A"&amp;3+L122):'Predictor Setup'!$A$202,0)+L122,"")</f>
        <v/>
      </c>
      <c r="N122" s="3" t="str">
        <f ca="1">IFERROR(MATCH($A122,INDIRECT("'Predictor Setup'!A"&amp;3+M122):'Predictor Setup'!$A$202,0)+M122,"")</f>
        <v/>
      </c>
      <c r="O122" s="3" t="str">
        <f ca="1">IFERROR(MATCH($A122,INDIRECT("'Predictor Setup'!A"&amp;3+N122):'Predictor Setup'!$A$202,0)+N122,"")</f>
        <v/>
      </c>
      <c r="P122" s="3" t="str">
        <f ca="1">IFERROR(MATCH($A122,INDIRECT("'Predictor Setup'!A"&amp;3+O122):'Predictor Setup'!$A$202,0)+O122,"")</f>
        <v/>
      </c>
    </row>
    <row r="123" spans="1:16" x14ac:dyDescent="0.35">
      <c r="A123" t="str">
        <f>IF('Predictor Setup'!A111="",A122,'Predictor Setup'!A111)</f>
        <v>Facility</v>
      </c>
      <c r="B123" t="e">
        <f>MATCH($A123,'Predictor Setup'!$A$3:$A$202,0)</f>
        <v>#N/A</v>
      </c>
      <c r="C123" s="3" t="str">
        <f ca="1">IFERROR(MATCH($A123,INDIRECT("'Predictor Setup'!A"&amp;3+B123):'Predictor Setup'!$A$202,0)+B123,"")</f>
        <v/>
      </c>
      <c r="D123" s="3" t="str">
        <f ca="1">IFERROR(MATCH($A123,INDIRECT("'Predictor Setup'!A"&amp;3+C123):'Predictor Setup'!$A$202,0)+C123,"")</f>
        <v/>
      </c>
      <c r="E123" s="3" t="str">
        <f ca="1">IFERROR(MATCH($A123,INDIRECT("'Predictor Setup'!A"&amp;3+D123):'Predictor Setup'!$A$202,0)+D123,"")</f>
        <v/>
      </c>
      <c r="F123" s="3" t="str">
        <f ca="1">IFERROR(MATCH($A123,INDIRECT("'Predictor Setup'!A"&amp;3+E123):'Predictor Setup'!$A$202,0)+E123,"")</f>
        <v/>
      </c>
      <c r="G123" s="3" t="str">
        <f ca="1">IFERROR(MATCH($A123,INDIRECT("'Predictor Setup'!A"&amp;3+F123):'Predictor Setup'!$A$202,0)+F123,"")</f>
        <v/>
      </c>
      <c r="H123" s="3" t="str">
        <f ca="1">IFERROR(MATCH($A123,INDIRECT("'Predictor Setup'!A"&amp;3+G123):'Predictor Setup'!$A$202,0)+G123,"")</f>
        <v/>
      </c>
      <c r="I123" s="3" t="str">
        <f ca="1">IFERROR(MATCH($A123,INDIRECT("'Predictor Setup'!A"&amp;3+H123):'Predictor Setup'!$A$202,0)+H123,"")</f>
        <v/>
      </c>
      <c r="J123" s="3" t="str">
        <f ca="1">IFERROR(MATCH($A123,INDIRECT("'Predictor Setup'!A"&amp;3+I123):'Predictor Setup'!$A$202,0)+I123,"")</f>
        <v/>
      </c>
      <c r="K123" s="3" t="str">
        <f ca="1">IFERROR(MATCH($A123,INDIRECT("'Predictor Setup'!A"&amp;3+J123):'Predictor Setup'!$A$202,0)+J123,"")</f>
        <v/>
      </c>
      <c r="L123" s="3" t="str">
        <f ca="1">IFERROR(MATCH($A123,INDIRECT("'Predictor Setup'!A"&amp;3+K123):'Predictor Setup'!$A$202,0)+K123,"")</f>
        <v/>
      </c>
      <c r="M123" s="3" t="str">
        <f ca="1">IFERROR(MATCH($A123,INDIRECT("'Predictor Setup'!A"&amp;3+L123):'Predictor Setup'!$A$202,0)+L123,"")</f>
        <v/>
      </c>
      <c r="N123" s="3" t="str">
        <f ca="1">IFERROR(MATCH($A123,INDIRECT("'Predictor Setup'!A"&amp;3+M123):'Predictor Setup'!$A$202,0)+M123,"")</f>
        <v/>
      </c>
      <c r="O123" s="3" t="str">
        <f ca="1">IFERROR(MATCH($A123,INDIRECT("'Predictor Setup'!A"&amp;3+N123):'Predictor Setup'!$A$202,0)+N123,"")</f>
        <v/>
      </c>
      <c r="P123" s="3" t="str">
        <f ca="1">IFERROR(MATCH($A123,INDIRECT("'Predictor Setup'!A"&amp;3+O123):'Predictor Setup'!$A$202,0)+O123,"")</f>
        <v/>
      </c>
    </row>
    <row r="124" spans="1:16" x14ac:dyDescent="0.35">
      <c r="A124" t="str">
        <f>IF('Predictor Setup'!A112="",A123,'Predictor Setup'!A112)</f>
        <v>Facility</v>
      </c>
      <c r="B124" t="e">
        <f>MATCH($A124,'Predictor Setup'!$A$3:$A$202,0)</f>
        <v>#N/A</v>
      </c>
      <c r="C124" s="3" t="str">
        <f ca="1">IFERROR(MATCH($A124,INDIRECT("'Predictor Setup'!A"&amp;3+B124):'Predictor Setup'!$A$202,0)+B124,"")</f>
        <v/>
      </c>
      <c r="D124" s="3" t="str">
        <f ca="1">IFERROR(MATCH($A124,INDIRECT("'Predictor Setup'!A"&amp;3+C124):'Predictor Setup'!$A$202,0)+C124,"")</f>
        <v/>
      </c>
      <c r="E124" s="3" t="str">
        <f ca="1">IFERROR(MATCH($A124,INDIRECT("'Predictor Setup'!A"&amp;3+D124):'Predictor Setup'!$A$202,0)+D124,"")</f>
        <v/>
      </c>
      <c r="F124" s="3" t="str">
        <f ca="1">IFERROR(MATCH($A124,INDIRECT("'Predictor Setup'!A"&amp;3+E124):'Predictor Setup'!$A$202,0)+E124,"")</f>
        <v/>
      </c>
      <c r="G124" s="3" t="str">
        <f ca="1">IFERROR(MATCH($A124,INDIRECT("'Predictor Setup'!A"&amp;3+F124):'Predictor Setup'!$A$202,0)+F124,"")</f>
        <v/>
      </c>
      <c r="H124" s="3" t="str">
        <f ca="1">IFERROR(MATCH($A124,INDIRECT("'Predictor Setup'!A"&amp;3+G124):'Predictor Setup'!$A$202,0)+G124,"")</f>
        <v/>
      </c>
      <c r="I124" s="3" t="str">
        <f ca="1">IFERROR(MATCH($A124,INDIRECT("'Predictor Setup'!A"&amp;3+H124):'Predictor Setup'!$A$202,0)+H124,"")</f>
        <v/>
      </c>
      <c r="J124" s="3" t="str">
        <f ca="1">IFERROR(MATCH($A124,INDIRECT("'Predictor Setup'!A"&amp;3+I124):'Predictor Setup'!$A$202,0)+I124,"")</f>
        <v/>
      </c>
      <c r="K124" s="3" t="str">
        <f ca="1">IFERROR(MATCH($A124,INDIRECT("'Predictor Setup'!A"&amp;3+J124):'Predictor Setup'!$A$202,0)+J124,"")</f>
        <v/>
      </c>
      <c r="L124" s="3" t="str">
        <f ca="1">IFERROR(MATCH($A124,INDIRECT("'Predictor Setup'!A"&amp;3+K124):'Predictor Setup'!$A$202,0)+K124,"")</f>
        <v/>
      </c>
      <c r="M124" s="3" t="str">
        <f ca="1">IFERROR(MATCH($A124,INDIRECT("'Predictor Setup'!A"&amp;3+L124):'Predictor Setup'!$A$202,0)+L124,"")</f>
        <v/>
      </c>
      <c r="N124" s="3" t="str">
        <f ca="1">IFERROR(MATCH($A124,INDIRECT("'Predictor Setup'!A"&amp;3+M124):'Predictor Setup'!$A$202,0)+M124,"")</f>
        <v/>
      </c>
      <c r="O124" s="3" t="str">
        <f ca="1">IFERROR(MATCH($A124,INDIRECT("'Predictor Setup'!A"&amp;3+N124):'Predictor Setup'!$A$202,0)+N124,"")</f>
        <v/>
      </c>
      <c r="P124" s="3" t="str">
        <f ca="1">IFERROR(MATCH($A124,INDIRECT("'Predictor Setup'!A"&amp;3+O124):'Predictor Setup'!$A$202,0)+O124,"")</f>
        <v/>
      </c>
    </row>
    <row r="125" spans="1:16" x14ac:dyDescent="0.35">
      <c r="A125" t="str">
        <f>IF('Predictor Setup'!A113="",A124,'Predictor Setup'!A113)</f>
        <v>Facility</v>
      </c>
      <c r="B125" t="e">
        <f>MATCH($A125,'Predictor Setup'!$A$3:$A$202,0)</f>
        <v>#N/A</v>
      </c>
      <c r="C125" s="3" t="str">
        <f ca="1">IFERROR(MATCH($A125,INDIRECT("'Predictor Setup'!A"&amp;3+B125):'Predictor Setup'!$A$202,0)+B125,"")</f>
        <v/>
      </c>
      <c r="D125" s="3" t="str">
        <f ca="1">IFERROR(MATCH($A125,INDIRECT("'Predictor Setup'!A"&amp;3+C125):'Predictor Setup'!$A$202,0)+C125,"")</f>
        <v/>
      </c>
      <c r="E125" s="3" t="str">
        <f ca="1">IFERROR(MATCH($A125,INDIRECT("'Predictor Setup'!A"&amp;3+D125):'Predictor Setup'!$A$202,0)+D125,"")</f>
        <v/>
      </c>
      <c r="F125" s="3" t="str">
        <f ca="1">IFERROR(MATCH($A125,INDIRECT("'Predictor Setup'!A"&amp;3+E125):'Predictor Setup'!$A$202,0)+E125,"")</f>
        <v/>
      </c>
      <c r="G125" s="3" t="str">
        <f ca="1">IFERROR(MATCH($A125,INDIRECT("'Predictor Setup'!A"&amp;3+F125):'Predictor Setup'!$A$202,0)+F125,"")</f>
        <v/>
      </c>
      <c r="H125" s="3" t="str">
        <f ca="1">IFERROR(MATCH($A125,INDIRECT("'Predictor Setup'!A"&amp;3+G125):'Predictor Setup'!$A$202,0)+G125,"")</f>
        <v/>
      </c>
      <c r="I125" s="3" t="str">
        <f ca="1">IFERROR(MATCH($A125,INDIRECT("'Predictor Setup'!A"&amp;3+H125):'Predictor Setup'!$A$202,0)+H125,"")</f>
        <v/>
      </c>
      <c r="J125" s="3" t="str">
        <f ca="1">IFERROR(MATCH($A125,INDIRECT("'Predictor Setup'!A"&amp;3+I125):'Predictor Setup'!$A$202,0)+I125,"")</f>
        <v/>
      </c>
      <c r="K125" s="3" t="str">
        <f ca="1">IFERROR(MATCH($A125,INDIRECT("'Predictor Setup'!A"&amp;3+J125):'Predictor Setup'!$A$202,0)+J125,"")</f>
        <v/>
      </c>
      <c r="L125" s="3" t="str">
        <f ca="1">IFERROR(MATCH($A125,INDIRECT("'Predictor Setup'!A"&amp;3+K125):'Predictor Setup'!$A$202,0)+K125,"")</f>
        <v/>
      </c>
      <c r="M125" s="3" t="str">
        <f ca="1">IFERROR(MATCH($A125,INDIRECT("'Predictor Setup'!A"&amp;3+L125):'Predictor Setup'!$A$202,0)+L125,"")</f>
        <v/>
      </c>
      <c r="N125" s="3" t="str">
        <f ca="1">IFERROR(MATCH($A125,INDIRECT("'Predictor Setup'!A"&amp;3+M125):'Predictor Setup'!$A$202,0)+M125,"")</f>
        <v/>
      </c>
      <c r="O125" s="3" t="str">
        <f ca="1">IFERROR(MATCH($A125,INDIRECT("'Predictor Setup'!A"&amp;3+N125):'Predictor Setup'!$A$202,0)+N125,"")</f>
        <v/>
      </c>
      <c r="P125" s="3" t="str">
        <f ca="1">IFERROR(MATCH($A125,INDIRECT("'Predictor Setup'!A"&amp;3+O125):'Predictor Setup'!$A$202,0)+O125,"")</f>
        <v/>
      </c>
    </row>
    <row r="126" spans="1:16" x14ac:dyDescent="0.35">
      <c r="A126" t="str">
        <f>IF('Predictor Setup'!A114="",A125,'Predictor Setup'!A114)</f>
        <v>Facility</v>
      </c>
      <c r="B126" t="e">
        <f>MATCH($A126,'Predictor Setup'!$A$3:$A$202,0)</f>
        <v>#N/A</v>
      </c>
      <c r="C126" s="3" t="str">
        <f ca="1">IFERROR(MATCH($A126,INDIRECT("'Predictor Setup'!A"&amp;3+B126):'Predictor Setup'!$A$202,0)+B126,"")</f>
        <v/>
      </c>
      <c r="D126" s="3" t="str">
        <f ca="1">IFERROR(MATCH($A126,INDIRECT("'Predictor Setup'!A"&amp;3+C126):'Predictor Setup'!$A$202,0)+C126,"")</f>
        <v/>
      </c>
      <c r="E126" s="3" t="str">
        <f ca="1">IFERROR(MATCH($A126,INDIRECT("'Predictor Setup'!A"&amp;3+D126):'Predictor Setup'!$A$202,0)+D126,"")</f>
        <v/>
      </c>
      <c r="F126" s="3" t="str">
        <f ca="1">IFERROR(MATCH($A126,INDIRECT("'Predictor Setup'!A"&amp;3+E126):'Predictor Setup'!$A$202,0)+E126,"")</f>
        <v/>
      </c>
      <c r="G126" s="3" t="str">
        <f ca="1">IFERROR(MATCH($A126,INDIRECT("'Predictor Setup'!A"&amp;3+F126):'Predictor Setup'!$A$202,0)+F126,"")</f>
        <v/>
      </c>
      <c r="H126" s="3" t="str">
        <f ca="1">IFERROR(MATCH($A126,INDIRECT("'Predictor Setup'!A"&amp;3+G126):'Predictor Setup'!$A$202,0)+G126,"")</f>
        <v/>
      </c>
      <c r="I126" s="3" t="str">
        <f ca="1">IFERROR(MATCH($A126,INDIRECT("'Predictor Setup'!A"&amp;3+H126):'Predictor Setup'!$A$202,0)+H126,"")</f>
        <v/>
      </c>
      <c r="J126" s="3" t="str">
        <f ca="1">IFERROR(MATCH($A126,INDIRECT("'Predictor Setup'!A"&amp;3+I126):'Predictor Setup'!$A$202,0)+I126,"")</f>
        <v/>
      </c>
      <c r="K126" s="3" t="str">
        <f ca="1">IFERROR(MATCH($A126,INDIRECT("'Predictor Setup'!A"&amp;3+J126):'Predictor Setup'!$A$202,0)+J126,"")</f>
        <v/>
      </c>
      <c r="L126" s="3" t="str">
        <f ca="1">IFERROR(MATCH($A126,INDIRECT("'Predictor Setup'!A"&amp;3+K126):'Predictor Setup'!$A$202,0)+K126,"")</f>
        <v/>
      </c>
      <c r="M126" s="3" t="str">
        <f ca="1">IFERROR(MATCH($A126,INDIRECT("'Predictor Setup'!A"&amp;3+L126):'Predictor Setup'!$A$202,0)+L126,"")</f>
        <v/>
      </c>
      <c r="N126" s="3" t="str">
        <f ca="1">IFERROR(MATCH($A126,INDIRECT("'Predictor Setup'!A"&amp;3+M126):'Predictor Setup'!$A$202,0)+M126,"")</f>
        <v/>
      </c>
      <c r="O126" s="3" t="str">
        <f ca="1">IFERROR(MATCH($A126,INDIRECT("'Predictor Setup'!A"&amp;3+N126):'Predictor Setup'!$A$202,0)+N126,"")</f>
        <v/>
      </c>
      <c r="P126" s="3" t="str">
        <f ca="1">IFERROR(MATCH($A126,INDIRECT("'Predictor Setup'!A"&amp;3+O126):'Predictor Setup'!$A$202,0)+O126,"")</f>
        <v/>
      </c>
    </row>
    <row r="127" spans="1:16" x14ac:dyDescent="0.35">
      <c r="A127" t="str">
        <f>IF('Predictor Setup'!A115="",A126,'Predictor Setup'!A115)</f>
        <v>Facility</v>
      </c>
      <c r="B127" t="e">
        <f>MATCH($A127,'Predictor Setup'!$A$3:$A$202,0)</f>
        <v>#N/A</v>
      </c>
      <c r="C127" s="3" t="str">
        <f ca="1">IFERROR(MATCH($A127,INDIRECT("'Predictor Setup'!A"&amp;3+B127):'Predictor Setup'!$A$202,0)+B127,"")</f>
        <v/>
      </c>
      <c r="D127" s="3" t="str">
        <f ca="1">IFERROR(MATCH($A127,INDIRECT("'Predictor Setup'!A"&amp;3+C127):'Predictor Setup'!$A$202,0)+C127,"")</f>
        <v/>
      </c>
      <c r="E127" s="3" t="str">
        <f ca="1">IFERROR(MATCH($A127,INDIRECT("'Predictor Setup'!A"&amp;3+D127):'Predictor Setup'!$A$202,0)+D127,"")</f>
        <v/>
      </c>
      <c r="F127" s="3" t="str">
        <f ca="1">IFERROR(MATCH($A127,INDIRECT("'Predictor Setup'!A"&amp;3+E127):'Predictor Setup'!$A$202,0)+E127,"")</f>
        <v/>
      </c>
      <c r="G127" s="3" t="str">
        <f ca="1">IFERROR(MATCH($A127,INDIRECT("'Predictor Setup'!A"&amp;3+F127):'Predictor Setup'!$A$202,0)+F127,"")</f>
        <v/>
      </c>
      <c r="H127" s="3" t="str">
        <f ca="1">IFERROR(MATCH($A127,INDIRECT("'Predictor Setup'!A"&amp;3+G127):'Predictor Setup'!$A$202,0)+G127,"")</f>
        <v/>
      </c>
      <c r="I127" s="3" t="str">
        <f ca="1">IFERROR(MATCH($A127,INDIRECT("'Predictor Setup'!A"&amp;3+H127):'Predictor Setup'!$A$202,0)+H127,"")</f>
        <v/>
      </c>
      <c r="J127" s="3" t="str">
        <f ca="1">IFERROR(MATCH($A127,INDIRECT("'Predictor Setup'!A"&amp;3+I127):'Predictor Setup'!$A$202,0)+I127,"")</f>
        <v/>
      </c>
      <c r="K127" s="3" t="str">
        <f ca="1">IFERROR(MATCH($A127,INDIRECT("'Predictor Setup'!A"&amp;3+J127):'Predictor Setup'!$A$202,0)+J127,"")</f>
        <v/>
      </c>
      <c r="L127" s="3" t="str">
        <f ca="1">IFERROR(MATCH($A127,INDIRECT("'Predictor Setup'!A"&amp;3+K127):'Predictor Setup'!$A$202,0)+K127,"")</f>
        <v/>
      </c>
      <c r="M127" s="3" t="str">
        <f ca="1">IFERROR(MATCH($A127,INDIRECT("'Predictor Setup'!A"&amp;3+L127):'Predictor Setup'!$A$202,0)+L127,"")</f>
        <v/>
      </c>
      <c r="N127" s="3" t="str">
        <f ca="1">IFERROR(MATCH($A127,INDIRECT("'Predictor Setup'!A"&amp;3+M127):'Predictor Setup'!$A$202,0)+M127,"")</f>
        <v/>
      </c>
      <c r="O127" s="3" t="str">
        <f ca="1">IFERROR(MATCH($A127,INDIRECT("'Predictor Setup'!A"&amp;3+N127):'Predictor Setup'!$A$202,0)+N127,"")</f>
        <v/>
      </c>
      <c r="P127" s="3" t="str">
        <f ca="1">IFERROR(MATCH($A127,INDIRECT("'Predictor Setup'!A"&amp;3+O127):'Predictor Setup'!$A$202,0)+O127,"")</f>
        <v/>
      </c>
    </row>
    <row r="128" spans="1:16" x14ac:dyDescent="0.35">
      <c r="A128" t="str">
        <f>IF('Predictor Setup'!A116="",A127,'Predictor Setup'!A116)</f>
        <v>Facility</v>
      </c>
      <c r="B128" t="e">
        <f>MATCH($A128,'Predictor Setup'!$A$3:$A$202,0)</f>
        <v>#N/A</v>
      </c>
      <c r="C128" s="3" t="str">
        <f ca="1">IFERROR(MATCH($A128,INDIRECT("'Predictor Setup'!A"&amp;3+B128):'Predictor Setup'!$A$202,0)+B128,"")</f>
        <v/>
      </c>
      <c r="D128" s="3" t="str">
        <f ca="1">IFERROR(MATCH($A128,INDIRECT("'Predictor Setup'!A"&amp;3+C128):'Predictor Setup'!$A$202,0)+C128,"")</f>
        <v/>
      </c>
      <c r="E128" s="3" t="str">
        <f ca="1">IFERROR(MATCH($A128,INDIRECT("'Predictor Setup'!A"&amp;3+D128):'Predictor Setup'!$A$202,0)+D128,"")</f>
        <v/>
      </c>
      <c r="F128" s="3" t="str">
        <f ca="1">IFERROR(MATCH($A128,INDIRECT("'Predictor Setup'!A"&amp;3+E128):'Predictor Setup'!$A$202,0)+E128,"")</f>
        <v/>
      </c>
      <c r="G128" s="3" t="str">
        <f ca="1">IFERROR(MATCH($A128,INDIRECT("'Predictor Setup'!A"&amp;3+F128):'Predictor Setup'!$A$202,0)+F128,"")</f>
        <v/>
      </c>
      <c r="H128" s="3" t="str">
        <f ca="1">IFERROR(MATCH($A128,INDIRECT("'Predictor Setup'!A"&amp;3+G128):'Predictor Setup'!$A$202,0)+G128,"")</f>
        <v/>
      </c>
      <c r="I128" s="3" t="str">
        <f ca="1">IFERROR(MATCH($A128,INDIRECT("'Predictor Setup'!A"&amp;3+H128):'Predictor Setup'!$A$202,0)+H128,"")</f>
        <v/>
      </c>
      <c r="J128" s="3" t="str">
        <f ca="1">IFERROR(MATCH($A128,INDIRECT("'Predictor Setup'!A"&amp;3+I128):'Predictor Setup'!$A$202,0)+I128,"")</f>
        <v/>
      </c>
      <c r="K128" s="3" t="str">
        <f ca="1">IFERROR(MATCH($A128,INDIRECT("'Predictor Setup'!A"&amp;3+J128):'Predictor Setup'!$A$202,0)+J128,"")</f>
        <v/>
      </c>
      <c r="L128" s="3" t="str">
        <f ca="1">IFERROR(MATCH($A128,INDIRECT("'Predictor Setup'!A"&amp;3+K128):'Predictor Setup'!$A$202,0)+K128,"")</f>
        <v/>
      </c>
      <c r="M128" s="3" t="str">
        <f ca="1">IFERROR(MATCH($A128,INDIRECT("'Predictor Setup'!A"&amp;3+L128):'Predictor Setup'!$A$202,0)+L128,"")</f>
        <v/>
      </c>
      <c r="N128" s="3" t="str">
        <f ca="1">IFERROR(MATCH($A128,INDIRECT("'Predictor Setup'!A"&amp;3+M128):'Predictor Setup'!$A$202,0)+M128,"")</f>
        <v/>
      </c>
      <c r="O128" s="3" t="str">
        <f ca="1">IFERROR(MATCH($A128,INDIRECT("'Predictor Setup'!A"&amp;3+N128):'Predictor Setup'!$A$202,0)+N128,"")</f>
        <v/>
      </c>
      <c r="P128" s="3" t="str">
        <f ca="1">IFERROR(MATCH($A128,INDIRECT("'Predictor Setup'!A"&amp;3+O128):'Predictor Setup'!$A$202,0)+O128,"")</f>
        <v/>
      </c>
    </row>
    <row r="129" spans="1:16" x14ac:dyDescent="0.35">
      <c r="A129" t="str">
        <f>IF('Predictor Setup'!A117="",A128,'Predictor Setup'!A117)</f>
        <v>Facility</v>
      </c>
      <c r="B129" t="e">
        <f>MATCH($A129,'Predictor Setup'!$A$3:$A$202,0)</f>
        <v>#N/A</v>
      </c>
      <c r="C129" s="3" t="str">
        <f ca="1">IFERROR(MATCH($A129,INDIRECT("'Predictor Setup'!A"&amp;3+B129):'Predictor Setup'!$A$202,0)+B129,"")</f>
        <v/>
      </c>
      <c r="D129" s="3" t="str">
        <f ca="1">IFERROR(MATCH($A129,INDIRECT("'Predictor Setup'!A"&amp;3+C129):'Predictor Setup'!$A$202,0)+C129,"")</f>
        <v/>
      </c>
      <c r="E129" s="3" t="str">
        <f ca="1">IFERROR(MATCH($A129,INDIRECT("'Predictor Setup'!A"&amp;3+D129):'Predictor Setup'!$A$202,0)+D129,"")</f>
        <v/>
      </c>
      <c r="F129" s="3" t="str">
        <f ca="1">IFERROR(MATCH($A129,INDIRECT("'Predictor Setup'!A"&amp;3+E129):'Predictor Setup'!$A$202,0)+E129,"")</f>
        <v/>
      </c>
      <c r="G129" s="3" t="str">
        <f ca="1">IFERROR(MATCH($A129,INDIRECT("'Predictor Setup'!A"&amp;3+F129):'Predictor Setup'!$A$202,0)+F129,"")</f>
        <v/>
      </c>
      <c r="H129" s="3" t="str">
        <f ca="1">IFERROR(MATCH($A129,INDIRECT("'Predictor Setup'!A"&amp;3+G129):'Predictor Setup'!$A$202,0)+G129,"")</f>
        <v/>
      </c>
      <c r="I129" s="3" t="str">
        <f ca="1">IFERROR(MATCH($A129,INDIRECT("'Predictor Setup'!A"&amp;3+H129):'Predictor Setup'!$A$202,0)+H129,"")</f>
        <v/>
      </c>
      <c r="J129" s="3" t="str">
        <f ca="1">IFERROR(MATCH($A129,INDIRECT("'Predictor Setup'!A"&amp;3+I129):'Predictor Setup'!$A$202,0)+I129,"")</f>
        <v/>
      </c>
      <c r="K129" s="3" t="str">
        <f ca="1">IFERROR(MATCH($A129,INDIRECT("'Predictor Setup'!A"&amp;3+J129):'Predictor Setup'!$A$202,0)+J129,"")</f>
        <v/>
      </c>
      <c r="L129" s="3" t="str">
        <f ca="1">IFERROR(MATCH($A129,INDIRECT("'Predictor Setup'!A"&amp;3+K129):'Predictor Setup'!$A$202,0)+K129,"")</f>
        <v/>
      </c>
      <c r="M129" s="3" t="str">
        <f ca="1">IFERROR(MATCH($A129,INDIRECT("'Predictor Setup'!A"&amp;3+L129):'Predictor Setup'!$A$202,0)+L129,"")</f>
        <v/>
      </c>
      <c r="N129" s="3" t="str">
        <f ca="1">IFERROR(MATCH($A129,INDIRECT("'Predictor Setup'!A"&amp;3+M129):'Predictor Setup'!$A$202,0)+M129,"")</f>
        <v/>
      </c>
      <c r="O129" s="3" t="str">
        <f ca="1">IFERROR(MATCH($A129,INDIRECT("'Predictor Setup'!A"&amp;3+N129):'Predictor Setup'!$A$202,0)+N129,"")</f>
        <v/>
      </c>
      <c r="P129" s="3" t="str">
        <f ca="1">IFERROR(MATCH($A129,INDIRECT("'Predictor Setup'!A"&amp;3+O129):'Predictor Setup'!$A$202,0)+O129,"")</f>
        <v/>
      </c>
    </row>
    <row r="130" spans="1:16" x14ac:dyDescent="0.35">
      <c r="A130" t="str">
        <f>IF('Predictor Setup'!A118="",A129,'Predictor Setup'!A118)</f>
        <v>Facility</v>
      </c>
      <c r="B130" t="e">
        <f>MATCH($A130,'Predictor Setup'!$A$3:$A$202,0)</f>
        <v>#N/A</v>
      </c>
      <c r="C130" s="3" t="str">
        <f ca="1">IFERROR(MATCH($A130,INDIRECT("'Predictor Setup'!A"&amp;3+B130):'Predictor Setup'!$A$202,0)+B130,"")</f>
        <v/>
      </c>
      <c r="D130" s="3" t="str">
        <f ca="1">IFERROR(MATCH($A130,INDIRECT("'Predictor Setup'!A"&amp;3+C130):'Predictor Setup'!$A$202,0)+C130,"")</f>
        <v/>
      </c>
      <c r="E130" s="3" t="str">
        <f ca="1">IFERROR(MATCH($A130,INDIRECT("'Predictor Setup'!A"&amp;3+D130):'Predictor Setup'!$A$202,0)+D130,"")</f>
        <v/>
      </c>
      <c r="F130" s="3" t="str">
        <f ca="1">IFERROR(MATCH($A130,INDIRECT("'Predictor Setup'!A"&amp;3+E130):'Predictor Setup'!$A$202,0)+E130,"")</f>
        <v/>
      </c>
      <c r="G130" s="3" t="str">
        <f ca="1">IFERROR(MATCH($A130,INDIRECT("'Predictor Setup'!A"&amp;3+F130):'Predictor Setup'!$A$202,0)+F130,"")</f>
        <v/>
      </c>
      <c r="H130" s="3" t="str">
        <f ca="1">IFERROR(MATCH($A130,INDIRECT("'Predictor Setup'!A"&amp;3+G130):'Predictor Setup'!$A$202,0)+G130,"")</f>
        <v/>
      </c>
      <c r="I130" s="3" t="str">
        <f ca="1">IFERROR(MATCH($A130,INDIRECT("'Predictor Setup'!A"&amp;3+H130):'Predictor Setup'!$A$202,0)+H130,"")</f>
        <v/>
      </c>
      <c r="J130" s="3" t="str">
        <f ca="1">IFERROR(MATCH($A130,INDIRECT("'Predictor Setup'!A"&amp;3+I130):'Predictor Setup'!$A$202,0)+I130,"")</f>
        <v/>
      </c>
      <c r="K130" s="3" t="str">
        <f ca="1">IFERROR(MATCH($A130,INDIRECT("'Predictor Setup'!A"&amp;3+J130):'Predictor Setup'!$A$202,0)+J130,"")</f>
        <v/>
      </c>
      <c r="L130" s="3" t="str">
        <f ca="1">IFERROR(MATCH($A130,INDIRECT("'Predictor Setup'!A"&amp;3+K130):'Predictor Setup'!$A$202,0)+K130,"")</f>
        <v/>
      </c>
      <c r="M130" s="3" t="str">
        <f ca="1">IFERROR(MATCH($A130,INDIRECT("'Predictor Setup'!A"&amp;3+L130):'Predictor Setup'!$A$202,0)+L130,"")</f>
        <v/>
      </c>
      <c r="N130" s="3" t="str">
        <f ca="1">IFERROR(MATCH($A130,INDIRECT("'Predictor Setup'!A"&amp;3+M130):'Predictor Setup'!$A$202,0)+M130,"")</f>
        <v/>
      </c>
      <c r="O130" s="3" t="str">
        <f ca="1">IFERROR(MATCH($A130,INDIRECT("'Predictor Setup'!A"&amp;3+N130):'Predictor Setup'!$A$202,0)+N130,"")</f>
        <v/>
      </c>
      <c r="P130" s="3" t="str">
        <f ca="1">IFERROR(MATCH($A130,INDIRECT("'Predictor Setup'!A"&amp;3+O130):'Predictor Setup'!$A$202,0)+O130,"")</f>
        <v/>
      </c>
    </row>
    <row r="131" spans="1:16" x14ac:dyDescent="0.35">
      <c r="A131" t="str">
        <f>IF('Predictor Setup'!A119="",A130,'Predictor Setup'!A119)</f>
        <v>Facility</v>
      </c>
      <c r="B131" t="e">
        <f>MATCH($A131,'Predictor Setup'!$A$3:$A$202,0)</f>
        <v>#N/A</v>
      </c>
      <c r="C131" s="3" t="str">
        <f ca="1">IFERROR(MATCH($A131,INDIRECT("'Predictor Setup'!A"&amp;3+B131):'Predictor Setup'!$A$202,0)+B131,"")</f>
        <v/>
      </c>
      <c r="D131" s="3" t="str">
        <f ca="1">IFERROR(MATCH($A131,INDIRECT("'Predictor Setup'!A"&amp;3+C131):'Predictor Setup'!$A$202,0)+C131,"")</f>
        <v/>
      </c>
      <c r="E131" s="3" t="str">
        <f ca="1">IFERROR(MATCH($A131,INDIRECT("'Predictor Setup'!A"&amp;3+D131):'Predictor Setup'!$A$202,0)+D131,"")</f>
        <v/>
      </c>
      <c r="F131" s="3" t="str">
        <f ca="1">IFERROR(MATCH($A131,INDIRECT("'Predictor Setup'!A"&amp;3+E131):'Predictor Setup'!$A$202,0)+E131,"")</f>
        <v/>
      </c>
      <c r="G131" s="3" t="str">
        <f ca="1">IFERROR(MATCH($A131,INDIRECT("'Predictor Setup'!A"&amp;3+F131):'Predictor Setup'!$A$202,0)+F131,"")</f>
        <v/>
      </c>
      <c r="H131" s="3" t="str">
        <f ca="1">IFERROR(MATCH($A131,INDIRECT("'Predictor Setup'!A"&amp;3+G131):'Predictor Setup'!$A$202,0)+G131,"")</f>
        <v/>
      </c>
      <c r="I131" s="3" t="str">
        <f ca="1">IFERROR(MATCH($A131,INDIRECT("'Predictor Setup'!A"&amp;3+H131):'Predictor Setup'!$A$202,0)+H131,"")</f>
        <v/>
      </c>
      <c r="J131" s="3" t="str">
        <f ca="1">IFERROR(MATCH($A131,INDIRECT("'Predictor Setup'!A"&amp;3+I131):'Predictor Setup'!$A$202,0)+I131,"")</f>
        <v/>
      </c>
      <c r="K131" s="3" t="str">
        <f ca="1">IFERROR(MATCH($A131,INDIRECT("'Predictor Setup'!A"&amp;3+J131):'Predictor Setup'!$A$202,0)+J131,"")</f>
        <v/>
      </c>
      <c r="L131" s="3" t="str">
        <f ca="1">IFERROR(MATCH($A131,INDIRECT("'Predictor Setup'!A"&amp;3+K131):'Predictor Setup'!$A$202,0)+K131,"")</f>
        <v/>
      </c>
      <c r="M131" s="3" t="str">
        <f ca="1">IFERROR(MATCH($A131,INDIRECT("'Predictor Setup'!A"&amp;3+L131):'Predictor Setup'!$A$202,0)+L131,"")</f>
        <v/>
      </c>
      <c r="N131" s="3" t="str">
        <f ca="1">IFERROR(MATCH($A131,INDIRECT("'Predictor Setup'!A"&amp;3+M131):'Predictor Setup'!$A$202,0)+M131,"")</f>
        <v/>
      </c>
      <c r="O131" s="3" t="str">
        <f ca="1">IFERROR(MATCH($A131,INDIRECT("'Predictor Setup'!A"&amp;3+N131):'Predictor Setup'!$A$202,0)+N131,"")</f>
        <v/>
      </c>
      <c r="P131" s="3" t="str">
        <f ca="1">IFERROR(MATCH($A131,INDIRECT("'Predictor Setup'!A"&amp;3+O131):'Predictor Setup'!$A$202,0)+O131,"")</f>
        <v/>
      </c>
    </row>
    <row r="132" spans="1:16" x14ac:dyDescent="0.35">
      <c r="A132" t="str">
        <f>IF('Predictor Setup'!A120="",A131,'Predictor Setup'!A120)</f>
        <v>Facility</v>
      </c>
      <c r="B132" t="e">
        <f>MATCH($A132,'Predictor Setup'!$A$3:$A$202,0)</f>
        <v>#N/A</v>
      </c>
      <c r="C132" s="3" t="str">
        <f ca="1">IFERROR(MATCH($A132,INDIRECT("'Predictor Setup'!A"&amp;3+B132):'Predictor Setup'!$A$202,0)+B132,"")</f>
        <v/>
      </c>
      <c r="D132" s="3" t="str">
        <f ca="1">IFERROR(MATCH($A132,INDIRECT("'Predictor Setup'!A"&amp;3+C132):'Predictor Setup'!$A$202,0)+C132,"")</f>
        <v/>
      </c>
      <c r="E132" s="3" t="str">
        <f ca="1">IFERROR(MATCH($A132,INDIRECT("'Predictor Setup'!A"&amp;3+D132):'Predictor Setup'!$A$202,0)+D132,"")</f>
        <v/>
      </c>
      <c r="F132" s="3" t="str">
        <f ca="1">IFERROR(MATCH($A132,INDIRECT("'Predictor Setup'!A"&amp;3+E132):'Predictor Setup'!$A$202,0)+E132,"")</f>
        <v/>
      </c>
      <c r="G132" s="3" t="str">
        <f ca="1">IFERROR(MATCH($A132,INDIRECT("'Predictor Setup'!A"&amp;3+F132):'Predictor Setup'!$A$202,0)+F132,"")</f>
        <v/>
      </c>
      <c r="H132" s="3" t="str">
        <f ca="1">IFERROR(MATCH($A132,INDIRECT("'Predictor Setup'!A"&amp;3+G132):'Predictor Setup'!$A$202,0)+G132,"")</f>
        <v/>
      </c>
      <c r="I132" s="3" t="str">
        <f ca="1">IFERROR(MATCH($A132,INDIRECT("'Predictor Setup'!A"&amp;3+H132):'Predictor Setup'!$A$202,0)+H132,"")</f>
        <v/>
      </c>
      <c r="J132" s="3" t="str">
        <f ca="1">IFERROR(MATCH($A132,INDIRECT("'Predictor Setup'!A"&amp;3+I132):'Predictor Setup'!$A$202,0)+I132,"")</f>
        <v/>
      </c>
      <c r="K132" s="3" t="str">
        <f ca="1">IFERROR(MATCH($A132,INDIRECT("'Predictor Setup'!A"&amp;3+J132):'Predictor Setup'!$A$202,0)+J132,"")</f>
        <v/>
      </c>
      <c r="L132" s="3" t="str">
        <f ca="1">IFERROR(MATCH($A132,INDIRECT("'Predictor Setup'!A"&amp;3+K132):'Predictor Setup'!$A$202,0)+K132,"")</f>
        <v/>
      </c>
      <c r="M132" s="3" t="str">
        <f ca="1">IFERROR(MATCH($A132,INDIRECT("'Predictor Setup'!A"&amp;3+L132):'Predictor Setup'!$A$202,0)+L132,"")</f>
        <v/>
      </c>
      <c r="N132" s="3" t="str">
        <f ca="1">IFERROR(MATCH($A132,INDIRECT("'Predictor Setup'!A"&amp;3+M132):'Predictor Setup'!$A$202,0)+M132,"")</f>
        <v/>
      </c>
      <c r="O132" s="3" t="str">
        <f ca="1">IFERROR(MATCH($A132,INDIRECT("'Predictor Setup'!A"&amp;3+N132):'Predictor Setup'!$A$202,0)+N132,"")</f>
        <v/>
      </c>
      <c r="P132" s="3" t="str">
        <f ca="1">IFERROR(MATCH($A132,INDIRECT("'Predictor Setup'!A"&amp;3+O132):'Predictor Setup'!$A$202,0)+O132,"")</f>
        <v/>
      </c>
    </row>
    <row r="133" spans="1:16" x14ac:dyDescent="0.35">
      <c r="A133" t="str">
        <f>IF('Predictor Setup'!A121="",A132,'Predictor Setup'!A121)</f>
        <v>Facility</v>
      </c>
      <c r="B133" t="e">
        <f>MATCH($A133,'Predictor Setup'!$A$3:$A$202,0)</f>
        <v>#N/A</v>
      </c>
      <c r="C133" s="3" t="str">
        <f ca="1">IFERROR(MATCH($A133,INDIRECT("'Predictor Setup'!A"&amp;3+B133):'Predictor Setup'!$A$202,0)+B133,"")</f>
        <v/>
      </c>
      <c r="D133" s="3" t="str">
        <f ca="1">IFERROR(MATCH($A133,INDIRECT("'Predictor Setup'!A"&amp;3+C133):'Predictor Setup'!$A$202,0)+C133,"")</f>
        <v/>
      </c>
      <c r="E133" s="3" t="str">
        <f ca="1">IFERROR(MATCH($A133,INDIRECT("'Predictor Setup'!A"&amp;3+D133):'Predictor Setup'!$A$202,0)+D133,"")</f>
        <v/>
      </c>
      <c r="F133" s="3" t="str">
        <f ca="1">IFERROR(MATCH($A133,INDIRECT("'Predictor Setup'!A"&amp;3+E133):'Predictor Setup'!$A$202,0)+E133,"")</f>
        <v/>
      </c>
      <c r="G133" s="3" t="str">
        <f ca="1">IFERROR(MATCH($A133,INDIRECT("'Predictor Setup'!A"&amp;3+F133):'Predictor Setup'!$A$202,0)+F133,"")</f>
        <v/>
      </c>
      <c r="H133" s="3" t="str">
        <f ca="1">IFERROR(MATCH($A133,INDIRECT("'Predictor Setup'!A"&amp;3+G133):'Predictor Setup'!$A$202,0)+G133,"")</f>
        <v/>
      </c>
      <c r="I133" s="3" t="str">
        <f ca="1">IFERROR(MATCH($A133,INDIRECT("'Predictor Setup'!A"&amp;3+H133):'Predictor Setup'!$A$202,0)+H133,"")</f>
        <v/>
      </c>
      <c r="J133" s="3" t="str">
        <f ca="1">IFERROR(MATCH($A133,INDIRECT("'Predictor Setup'!A"&amp;3+I133):'Predictor Setup'!$A$202,0)+I133,"")</f>
        <v/>
      </c>
      <c r="K133" s="3" t="str">
        <f ca="1">IFERROR(MATCH($A133,INDIRECT("'Predictor Setup'!A"&amp;3+J133):'Predictor Setup'!$A$202,0)+J133,"")</f>
        <v/>
      </c>
      <c r="L133" s="3" t="str">
        <f ca="1">IFERROR(MATCH($A133,INDIRECT("'Predictor Setup'!A"&amp;3+K133):'Predictor Setup'!$A$202,0)+K133,"")</f>
        <v/>
      </c>
      <c r="M133" s="3" t="str">
        <f ca="1">IFERROR(MATCH($A133,INDIRECT("'Predictor Setup'!A"&amp;3+L133):'Predictor Setup'!$A$202,0)+L133,"")</f>
        <v/>
      </c>
      <c r="N133" s="3" t="str">
        <f ca="1">IFERROR(MATCH($A133,INDIRECT("'Predictor Setup'!A"&amp;3+M133):'Predictor Setup'!$A$202,0)+M133,"")</f>
        <v/>
      </c>
      <c r="O133" s="3" t="str">
        <f ca="1">IFERROR(MATCH($A133,INDIRECT("'Predictor Setup'!A"&amp;3+N133):'Predictor Setup'!$A$202,0)+N133,"")</f>
        <v/>
      </c>
      <c r="P133" s="3" t="str">
        <f ca="1">IFERROR(MATCH($A133,INDIRECT("'Predictor Setup'!A"&amp;3+O133):'Predictor Setup'!$A$202,0)+O133,"")</f>
        <v/>
      </c>
    </row>
    <row r="134" spans="1:16" x14ac:dyDescent="0.35">
      <c r="A134" t="str">
        <f>IF('Predictor Setup'!A122="",A133,'Predictor Setup'!A122)</f>
        <v>Facility</v>
      </c>
      <c r="B134" t="e">
        <f>MATCH($A134,'Predictor Setup'!$A$3:$A$202,0)</f>
        <v>#N/A</v>
      </c>
      <c r="C134" s="3" t="str">
        <f ca="1">IFERROR(MATCH($A134,INDIRECT("'Predictor Setup'!A"&amp;3+B134):'Predictor Setup'!$A$202,0)+B134,"")</f>
        <v/>
      </c>
      <c r="D134" s="3" t="str">
        <f ca="1">IFERROR(MATCH($A134,INDIRECT("'Predictor Setup'!A"&amp;3+C134):'Predictor Setup'!$A$202,0)+C134,"")</f>
        <v/>
      </c>
      <c r="E134" s="3" t="str">
        <f ca="1">IFERROR(MATCH($A134,INDIRECT("'Predictor Setup'!A"&amp;3+D134):'Predictor Setup'!$A$202,0)+D134,"")</f>
        <v/>
      </c>
      <c r="F134" s="3" t="str">
        <f ca="1">IFERROR(MATCH($A134,INDIRECT("'Predictor Setup'!A"&amp;3+E134):'Predictor Setup'!$A$202,0)+E134,"")</f>
        <v/>
      </c>
      <c r="G134" s="3" t="str">
        <f ca="1">IFERROR(MATCH($A134,INDIRECT("'Predictor Setup'!A"&amp;3+F134):'Predictor Setup'!$A$202,0)+F134,"")</f>
        <v/>
      </c>
      <c r="H134" s="3" t="str">
        <f ca="1">IFERROR(MATCH($A134,INDIRECT("'Predictor Setup'!A"&amp;3+G134):'Predictor Setup'!$A$202,0)+G134,"")</f>
        <v/>
      </c>
      <c r="I134" s="3" t="str">
        <f ca="1">IFERROR(MATCH($A134,INDIRECT("'Predictor Setup'!A"&amp;3+H134):'Predictor Setup'!$A$202,0)+H134,"")</f>
        <v/>
      </c>
      <c r="J134" s="3" t="str">
        <f ca="1">IFERROR(MATCH($A134,INDIRECT("'Predictor Setup'!A"&amp;3+I134):'Predictor Setup'!$A$202,0)+I134,"")</f>
        <v/>
      </c>
      <c r="K134" s="3" t="str">
        <f ca="1">IFERROR(MATCH($A134,INDIRECT("'Predictor Setup'!A"&amp;3+J134):'Predictor Setup'!$A$202,0)+J134,"")</f>
        <v/>
      </c>
      <c r="L134" s="3" t="str">
        <f ca="1">IFERROR(MATCH($A134,INDIRECT("'Predictor Setup'!A"&amp;3+K134):'Predictor Setup'!$A$202,0)+K134,"")</f>
        <v/>
      </c>
      <c r="M134" s="3" t="str">
        <f ca="1">IFERROR(MATCH($A134,INDIRECT("'Predictor Setup'!A"&amp;3+L134):'Predictor Setup'!$A$202,0)+L134,"")</f>
        <v/>
      </c>
      <c r="N134" s="3" t="str">
        <f ca="1">IFERROR(MATCH($A134,INDIRECT("'Predictor Setup'!A"&amp;3+M134):'Predictor Setup'!$A$202,0)+M134,"")</f>
        <v/>
      </c>
      <c r="O134" s="3" t="str">
        <f ca="1">IFERROR(MATCH($A134,INDIRECT("'Predictor Setup'!A"&amp;3+N134):'Predictor Setup'!$A$202,0)+N134,"")</f>
        <v/>
      </c>
      <c r="P134" s="3" t="str">
        <f ca="1">IFERROR(MATCH($A134,INDIRECT("'Predictor Setup'!A"&amp;3+O134):'Predictor Setup'!$A$202,0)+O134,"")</f>
        <v/>
      </c>
    </row>
    <row r="135" spans="1:16" x14ac:dyDescent="0.35">
      <c r="A135" t="str">
        <f>IF('Predictor Setup'!A123="",A134,'Predictor Setup'!A123)</f>
        <v>Facility</v>
      </c>
      <c r="B135" t="e">
        <f>MATCH($A135,'Predictor Setup'!$A$3:$A$202,0)</f>
        <v>#N/A</v>
      </c>
      <c r="C135" s="3" t="str">
        <f ca="1">IFERROR(MATCH($A135,INDIRECT("'Predictor Setup'!A"&amp;3+B135):'Predictor Setup'!$A$202,0)+B135,"")</f>
        <v/>
      </c>
      <c r="D135" s="3" t="str">
        <f ca="1">IFERROR(MATCH($A135,INDIRECT("'Predictor Setup'!A"&amp;3+C135):'Predictor Setup'!$A$202,0)+C135,"")</f>
        <v/>
      </c>
      <c r="E135" s="3" t="str">
        <f ca="1">IFERROR(MATCH($A135,INDIRECT("'Predictor Setup'!A"&amp;3+D135):'Predictor Setup'!$A$202,0)+D135,"")</f>
        <v/>
      </c>
      <c r="F135" s="3" t="str">
        <f ca="1">IFERROR(MATCH($A135,INDIRECT("'Predictor Setup'!A"&amp;3+E135):'Predictor Setup'!$A$202,0)+E135,"")</f>
        <v/>
      </c>
      <c r="G135" s="3" t="str">
        <f ca="1">IFERROR(MATCH($A135,INDIRECT("'Predictor Setup'!A"&amp;3+F135):'Predictor Setup'!$A$202,0)+F135,"")</f>
        <v/>
      </c>
      <c r="H135" s="3" t="str">
        <f ca="1">IFERROR(MATCH($A135,INDIRECT("'Predictor Setup'!A"&amp;3+G135):'Predictor Setup'!$A$202,0)+G135,"")</f>
        <v/>
      </c>
      <c r="I135" s="3" t="str">
        <f ca="1">IFERROR(MATCH($A135,INDIRECT("'Predictor Setup'!A"&amp;3+H135):'Predictor Setup'!$A$202,0)+H135,"")</f>
        <v/>
      </c>
      <c r="J135" s="3" t="str">
        <f ca="1">IFERROR(MATCH($A135,INDIRECT("'Predictor Setup'!A"&amp;3+I135):'Predictor Setup'!$A$202,0)+I135,"")</f>
        <v/>
      </c>
      <c r="K135" s="3" t="str">
        <f ca="1">IFERROR(MATCH($A135,INDIRECT("'Predictor Setup'!A"&amp;3+J135):'Predictor Setup'!$A$202,0)+J135,"")</f>
        <v/>
      </c>
      <c r="L135" s="3" t="str">
        <f ca="1">IFERROR(MATCH($A135,INDIRECT("'Predictor Setup'!A"&amp;3+K135):'Predictor Setup'!$A$202,0)+K135,"")</f>
        <v/>
      </c>
      <c r="M135" s="3" t="str">
        <f ca="1">IFERROR(MATCH($A135,INDIRECT("'Predictor Setup'!A"&amp;3+L135):'Predictor Setup'!$A$202,0)+L135,"")</f>
        <v/>
      </c>
      <c r="N135" s="3" t="str">
        <f ca="1">IFERROR(MATCH($A135,INDIRECT("'Predictor Setup'!A"&amp;3+M135):'Predictor Setup'!$A$202,0)+M135,"")</f>
        <v/>
      </c>
      <c r="O135" s="3" t="str">
        <f ca="1">IFERROR(MATCH($A135,INDIRECT("'Predictor Setup'!A"&amp;3+N135):'Predictor Setup'!$A$202,0)+N135,"")</f>
        <v/>
      </c>
      <c r="P135" s="3" t="str">
        <f ca="1">IFERROR(MATCH($A135,INDIRECT("'Predictor Setup'!A"&amp;3+O135):'Predictor Setup'!$A$202,0)+O135,"")</f>
        <v/>
      </c>
    </row>
    <row r="136" spans="1:16" x14ac:dyDescent="0.35">
      <c r="A136" t="str">
        <f>IF('Predictor Setup'!A124="",A135,'Predictor Setup'!A124)</f>
        <v>Facility</v>
      </c>
      <c r="B136" t="e">
        <f>MATCH($A136,'Predictor Setup'!$A$3:$A$202,0)</f>
        <v>#N/A</v>
      </c>
      <c r="C136" s="3" t="str">
        <f ca="1">IFERROR(MATCH($A136,INDIRECT("'Predictor Setup'!A"&amp;3+B136):'Predictor Setup'!$A$202,0)+B136,"")</f>
        <v/>
      </c>
      <c r="D136" s="3" t="str">
        <f ca="1">IFERROR(MATCH($A136,INDIRECT("'Predictor Setup'!A"&amp;3+C136):'Predictor Setup'!$A$202,0)+C136,"")</f>
        <v/>
      </c>
      <c r="E136" s="3" t="str">
        <f ca="1">IFERROR(MATCH($A136,INDIRECT("'Predictor Setup'!A"&amp;3+D136):'Predictor Setup'!$A$202,0)+D136,"")</f>
        <v/>
      </c>
      <c r="F136" s="3" t="str">
        <f ca="1">IFERROR(MATCH($A136,INDIRECT("'Predictor Setup'!A"&amp;3+E136):'Predictor Setup'!$A$202,0)+E136,"")</f>
        <v/>
      </c>
      <c r="G136" s="3" t="str">
        <f ca="1">IFERROR(MATCH($A136,INDIRECT("'Predictor Setup'!A"&amp;3+F136):'Predictor Setup'!$A$202,0)+F136,"")</f>
        <v/>
      </c>
      <c r="H136" s="3" t="str">
        <f ca="1">IFERROR(MATCH($A136,INDIRECT("'Predictor Setup'!A"&amp;3+G136):'Predictor Setup'!$A$202,0)+G136,"")</f>
        <v/>
      </c>
      <c r="I136" s="3" t="str">
        <f ca="1">IFERROR(MATCH($A136,INDIRECT("'Predictor Setup'!A"&amp;3+H136):'Predictor Setup'!$A$202,0)+H136,"")</f>
        <v/>
      </c>
      <c r="J136" s="3" t="str">
        <f ca="1">IFERROR(MATCH($A136,INDIRECT("'Predictor Setup'!A"&amp;3+I136):'Predictor Setup'!$A$202,0)+I136,"")</f>
        <v/>
      </c>
      <c r="K136" s="3" t="str">
        <f ca="1">IFERROR(MATCH($A136,INDIRECT("'Predictor Setup'!A"&amp;3+J136):'Predictor Setup'!$A$202,0)+J136,"")</f>
        <v/>
      </c>
      <c r="L136" s="3" t="str">
        <f ca="1">IFERROR(MATCH($A136,INDIRECT("'Predictor Setup'!A"&amp;3+K136):'Predictor Setup'!$A$202,0)+K136,"")</f>
        <v/>
      </c>
      <c r="M136" s="3" t="str">
        <f ca="1">IFERROR(MATCH($A136,INDIRECT("'Predictor Setup'!A"&amp;3+L136):'Predictor Setup'!$A$202,0)+L136,"")</f>
        <v/>
      </c>
      <c r="N136" s="3" t="str">
        <f ca="1">IFERROR(MATCH($A136,INDIRECT("'Predictor Setup'!A"&amp;3+M136):'Predictor Setup'!$A$202,0)+M136,"")</f>
        <v/>
      </c>
      <c r="O136" s="3" t="str">
        <f ca="1">IFERROR(MATCH($A136,INDIRECT("'Predictor Setup'!A"&amp;3+N136):'Predictor Setup'!$A$202,0)+N136,"")</f>
        <v/>
      </c>
      <c r="P136" s="3" t="str">
        <f ca="1">IFERROR(MATCH($A136,INDIRECT("'Predictor Setup'!A"&amp;3+O136):'Predictor Setup'!$A$202,0)+O136,"")</f>
        <v/>
      </c>
    </row>
    <row r="137" spans="1:16" x14ac:dyDescent="0.35">
      <c r="A137" t="str">
        <f>IF('Predictor Setup'!A125="",A136,'Predictor Setup'!A125)</f>
        <v>Facility</v>
      </c>
      <c r="B137" t="e">
        <f>MATCH($A137,'Predictor Setup'!$A$3:$A$202,0)</f>
        <v>#N/A</v>
      </c>
      <c r="C137" s="3" t="str">
        <f ca="1">IFERROR(MATCH($A137,INDIRECT("'Predictor Setup'!A"&amp;3+B137):'Predictor Setup'!$A$202,0)+B137,"")</f>
        <v/>
      </c>
      <c r="D137" s="3" t="str">
        <f ca="1">IFERROR(MATCH($A137,INDIRECT("'Predictor Setup'!A"&amp;3+C137):'Predictor Setup'!$A$202,0)+C137,"")</f>
        <v/>
      </c>
      <c r="E137" s="3" t="str">
        <f ca="1">IFERROR(MATCH($A137,INDIRECT("'Predictor Setup'!A"&amp;3+D137):'Predictor Setup'!$A$202,0)+D137,"")</f>
        <v/>
      </c>
      <c r="F137" s="3" t="str">
        <f ca="1">IFERROR(MATCH($A137,INDIRECT("'Predictor Setup'!A"&amp;3+E137):'Predictor Setup'!$A$202,0)+E137,"")</f>
        <v/>
      </c>
      <c r="G137" s="3" t="str">
        <f ca="1">IFERROR(MATCH($A137,INDIRECT("'Predictor Setup'!A"&amp;3+F137):'Predictor Setup'!$A$202,0)+F137,"")</f>
        <v/>
      </c>
      <c r="H137" s="3" t="str">
        <f ca="1">IFERROR(MATCH($A137,INDIRECT("'Predictor Setup'!A"&amp;3+G137):'Predictor Setup'!$A$202,0)+G137,"")</f>
        <v/>
      </c>
      <c r="I137" s="3" t="str">
        <f ca="1">IFERROR(MATCH($A137,INDIRECT("'Predictor Setup'!A"&amp;3+H137):'Predictor Setup'!$A$202,0)+H137,"")</f>
        <v/>
      </c>
      <c r="J137" s="3" t="str">
        <f ca="1">IFERROR(MATCH($A137,INDIRECT("'Predictor Setup'!A"&amp;3+I137):'Predictor Setup'!$A$202,0)+I137,"")</f>
        <v/>
      </c>
      <c r="K137" s="3" t="str">
        <f ca="1">IFERROR(MATCH($A137,INDIRECT("'Predictor Setup'!A"&amp;3+J137):'Predictor Setup'!$A$202,0)+J137,"")</f>
        <v/>
      </c>
      <c r="L137" s="3" t="str">
        <f ca="1">IFERROR(MATCH($A137,INDIRECT("'Predictor Setup'!A"&amp;3+K137):'Predictor Setup'!$A$202,0)+K137,"")</f>
        <v/>
      </c>
      <c r="M137" s="3" t="str">
        <f ca="1">IFERROR(MATCH($A137,INDIRECT("'Predictor Setup'!A"&amp;3+L137):'Predictor Setup'!$A$202,0)+L137,"")</f>
        <v/>
      </c>
      <c r="N137" s="3" t="str">
        <f ca="1">IFERROR(MATCH($A137,INDIRECT("'Predictor Setup'!A"&amp;3+M137):'Predictor Setup'!$A$202,0)+M137,"")</f>
        <v/>
      </c>
      <c r="O137" s="3" t="str">
        <f ca="1">IFERROR(MATCH($A137,INDIRECT("'Predictor Setup'!A"&amp;3+N137):'Predictor Setup'!$A$202,0)+N137,"")</f>
        <v/>
      </c>
      <c r="P137" s="3" t="str">
        <f ca="1">IFERROR(MATCH($A137,INDIRECT("'Predictor Setup'!A"&amp;3+O137):'Predictor Setup'!$A$202,0)+O137,"")</f>
        <v/>
      </c>
    </row>
    <row r="138" spans="1:16" x14ac:dyDescent="0.35">
      <c r="A138" t="str">
        <f>IF('Predictor Setup'!A126="",A137,'Predictor Setup'!A126)</f>
        <v>Facility</v>
      </c>
      <c r="B138" t="e">
        <f>MATCH($A138,'Predictor Setup'!$A$3:$A$202,0)</f>
        <v>#N/A</v>
      </c>
      <c r="C138" s="3" t="str">
        <f ca="1">IFERROR(MATCH($A138,INDIRECT("'Predictor Setup'!A"&amp;3+B138):'Predictor Setup'!$A$202,0)+B138,"")</f>
        <v/>
      </c>
      <c r="D138" s="3" t="str">
        <f ca="1">IFERROR(MATCH($A138,INDIRECT("'Predictor Setup'!A"&amp;3+C138):'Predictor Setup'!$A$202,0)+C138,"")</f>
        <v/>
      </c>
      <c r="E138" s="3" t="str">
        <f ca="1">IFERROR(MATCH($A138,INDIRECT("'Predictor Setup'!A"&amp;3+D138):'Predictor Setup'!$A$202,0)+D138,"")</f>
        <v/>
      </c>
      <c r="F138" s="3" t="str">
        <f ca="1">IFERROR(MATCH($A138,INDIRECT("'Predictor Setup'!A"&amp;3+E138):'Predictor Setup'!$A$202,0)+E138,"")</f>
        <v/>
      </c>
      <c r="G138" s="3" t="str">
        <f ca="1">IFERROR(MATCH($A138,INDIRECT("'Predictor Setup'!A"&amp;3+F138):'Predictor Setup'!$A$202,0)+F138,"")</f>
        <v/>
      </c>
      <c r="H138" s="3" t="str">
        <f ca="1">IFERROR(MATCH($A138,INDIRECT("'Predictor Setup'!A"&amp;3+G138):'Predictor Setup'!$A$202,0)+G138,"")</f>
        <v/>
      </c>
      <c r="I138" s="3" t="str">
        <f ca="1">IFERROR(MATCH($A138,INDIRECT("'Predictor Setup'!A"&amp;3+H138):'Predictor Setup'!$A$202,0)+H138,"")</f>
        <v/>
      </c>
      <c r="J138" s="3" t="str">
        <f ca="1">IFERROR(MATCH($A138,INDIRECT("'Predictor Setup'!A"&amp;3+I138):'Predictor Setup'!$A$202,0)+I138,"")</f>
        <v/>
      </c>
      <c r="K138" s="3" t="str">
        <f ca="1">IFERROR(MATCH($A138,INDIRECT("'Predictor Setup'!A"&amp;3+J138):'Predictor Setup'!$A$202,0)+J138,"")</f>
        <v/>
      </c>
      <c r="L138" s="3" t="str">
        <f ca="1">IFERROR(MATCH($A138,INDIRECT("'Predictor Setup'!A"&amp;3+K138):'Predictor Setup'!$A$202,0)+K138,"")</f>
        <v/>
      </c>
      <c r="M138" s="3" t="str">
        <f ca="1">IFERROR(MATCH($A138,INDIRECT("'Predictor Setup'!A"&amp;3+L138):'Predictor Setup'!$A$202,0)+L138,"")</f>
        <v/>
      </c>
      <c r="N138" s="3" t="str">
        <f ca="1">IFERROR(MATCH($A138,INDIRECT("'Predictor Setup'!A"&amp;3+M138):'Predictor Setup'!$A$202,0)+M138,"")</f>
        <v/>
      </c>
      <c r="O138" s="3" t="str">
        <f ca="1">IFERROR(MATCH($A138,INDIRECT("'Predictor Setup'!A"&amp;3+N138):'Predictor Setup'!$A$202,0)+N138,"")</f>
        <v/>
      </c>
      <c r="P138" s="3" t="str">
        <f ca="1">IFERROR(MATCH($A138,INDIRECT("'Predictor Setup'!A"&amp;3+O138):'Predictor Setup'!$A$202,0)+O138,"")</f>
        <v/>
      </c>
    </row>
    <row r="139" spans="1:16" x14ac:dyDescent="0.35">
      <c r="A139" t="str">
        <f>IF('Predictor Setup'!A127="",A138,'Predictor Setup'!A127)</f>
        <v>Facility</v>
      </c>
      <c r="B139" t="e">
        <f>MATCH($A139,'Predictor Setup'!$A$3:$A$202,0)</f>
        <v>#N/A</v>
      </c>
      <c r="C139" s="3" t="str">
        <f ca="1">IFERROR(MATCH($A139,INDIRECT("'Predictor Setup'!A"&amp;3+B139):'Predictor Setup'!$A$202,0)+B139,"")</f>
        <v/>
      </c>
      <c r="D139" s="3" t="str">
        <f ca="1">IFERROR(MATCH($A139,INDIRECT("'Predictor Setup'!A"&amp;3+C139):'Predictor Setup'!$A$202,0)+C139,"")</f>
        <v/>
      </c>
      <c r="E139" s="3" t="str">
        <f ca="1">IFERROR(MATCH($A139,INDIRECT("'Predictor Setup'!A"&amp;3+D139):'Predictor Setup'!$A$202,0)+D139,"")</f>
        <v/>
      </c>
      <c r="F139" s="3" t="str">
        <f ca="1">IFERROR(MATCH($A139,INDIRECT("'Predictor Setup'!A"&amp;3+E139):'Predictor Setup'!$A$202,0)+E139,"")</f>
        <v/>
      </c>
      <c r="G139" s="3" t="str">
        <f ca="1">IFERROR(MATCH($A139,INDIRECT("'Predictor Setup'!A"&amp;3+F139):'Predictor Setup'!$A$202,0)+F139,"")</f>
        <v/>
      </c>
      <c r="H139" s="3" t="str">
        <f ca="1">IFERROR(MATCH($A139,INDIRECT("'Predictor Setup'!A"&amp;3+G139):'Predictor Setup'!$A$202,0)+G139,"")</f>
        <v/>
      </c>
      <c r="I139" s="3" t="str">
        <f ca="1">IFERROR(MATCH($A139,INDIRECT("'Predictor Setup'!A"&amp;3+H139):'Predictor Setup'!$A$202,0)+H139,"")</f>
        <v/>
      </c>
      <c r="J139" s="3" t="str">
        <f ca="1">IFERROR(MATCH($A139,INDIRECT("'Predictor Setup'!A"&amp;3+I139):'Predictor Setup'!$A$202,0)+I139,"")</f>
        <v/>
      </c>
      <c r="K139" s="3" t="str">
        <f ca="1">IFERROR(MATCH($A139,INDIRECT("'Predictor Setup'!A"&amp;3+J139):'Predictor Setup'!$A$202,0)+J139,"")</f>
        <v/>
      </c>
      <c r="L139" s="3" t="str">
        <f ca="1">IFERROR(MATCH($A139,INDIRECT("'Predictor Setup'!A"&amp;3+K139):'Predictor Setup'!$A$202,0)+K139,"")</f>
        <v/>
      </c>
      <c r="M139" s="3" t="str">
        <f ca="1">IFERROR(MATCH($A139,INDIRECT("'Predictor Setup'!A"&amp;3+L139):'Predictor Setup'!$A$202,0)+L139,"")</f>
        <v/>
      </c>
      <c r="N139" s="3" t="str">
        <f ca="1">IFERROR(MATCH($A139,INDIRECT("'Predictor Setup'!A"&amp;3+M139):'Predictor Setup'!$A$202,0)+M139,"")</f>
        <v/>
      </c>
      <c r="O139" s="3" t="str">
        <f ca="1">IFERROR(MATCH($A139,INDIRECT("'Predictor Setup'!A"&amp;3+N139):'Predictor Setup'!$A$202,0)+N139,"")</f>
        <v/>
      </c>
      <c r="P139" s="3" t="str">
        <f ca="1">IFERROR(MATCH($A139,INDIRECT("'Predictor Setup'!A"&amp;3+O139):'Predictor Setup'!$A$202,0)+O139,"")</f>
        <v/>
      </c>
    </row>
    <row r="140" spans="1:16" x14ac:dyDescent="0.35">
      <c r="A140" t="str">
        <f>IF('Predictor Setup'!A128="",A139,'Predictor Setup'!A128)</f>
        <v>Facility</v>
      </c>
      <c r="B140" t="e">
        <f>MATCH($A140,'Predictor Setup'!$A$3:$A$202,0)</f>
        <v>#N/A</v>
      </c>
      <c r="C140" s="3" t="str">
        <f ca="1">IFERROR(MATCH($A140,INDIRECT("'Predictor Setup'!A"&amp;3+B140):'Predictor Setup'!$A$202,0)+B140,"")</f>
        <v/>
      </c>
      <c r="D140" s="3" t="str">
        <f ca="1">IFERROR(MATCH($A140,INDIRECT("'Predictor Setup'!A"&amp;3+C140):'Predictor Setup'!$A$202,0)+C140,"")</f>
        <v/>
      </c>
      <c r="E140" s="3" t="str">
        <f ca="1">IFERROR(MATCH($A140,INDIRECT("'Predictor Setup'!A"&amp;3+D140):'Predictor Setup'!$A$202,0)+D140,"")</f>
        <v/>
      </c>
      <c r="F140" s="3" t="str">
        <f ca="1">IFERROR(MATCH($A140,INDIRECT("'Predictor Setup'!A"&amp;3+E140):'Predictor Setup'!$A$202,0)+E140,"")</f>
        <v/>
      </c>
      <c r="G140" s="3" t="str">
        <f ca="1">IFERROR(MATCH($A140,INDIRECT("'Predictor Setup'!A"&amp;3+F140):'Predictor Setup'!$A$202,0)+F140,"")</f>
        <v/>
      </c>
      <c r="H140" s="3" t="str">
        <f ca="1">IFERROR(MATCH($A140,INDIRECT("'Predictor Setup'!A"&amp;3+G140):'Predictor Setup'!$A$202,0)+G140,"")</f>
        <v/>
      </c>
      <c r="I140" s="3" t="str">
        <f ca="1">IFERROR(MATCH($A140,INDIRECT("'Predictor Setup'!A"&amp;3+H140):'Predictor Setup'!$A$202,0)+H140,"")</f>
        <v/>
      </c>
      <c r="J140" s="3" t="str">
        <f ca="1">IFERROR(MATCH($A140,INDIRECT("'Predictor Setup'!A"&amp;3+I140):'Predictor Setup'!$A$202,0)+I140,"")</f>
        <v/>
      </c>
      <c r="K140" s="3" t="str">
        <f ca="1">IFERROR(MATCH($A140,INDIRECT("'Predictor Setup'!A"&amp;3+J140):'Predictor Setup'!$A$202,0)+J140,"")</f>
        <v/>
      </c>
      <c r="L140" s="3" t="str">
        <f ca="1">IFERROR(MATCH($A140,INDIRECT("'Predictor Setup'!A"&amp;3+K140):'Predictor Setup'!$A$202,0)+K140,"")</f>
        <v/>
      </c>
      <c r="M140" s="3" t="str">
        <f ca="1">IFERROR(MATCH($A140,INDIRECT("'Predictor Setup'!A"&amp;3+L140):'Predictor Setup'!$A$202,0)+L140,"")</f>
        <v/>
      </c>
      <c r="N140" s="3" t="str">
        <f ca="1">IFERROR(MATCH($A140,INDIRECT("'Predictor Setup'!A"&amp;3+M140):'Predictor Setup'!$A$202,0)+M140,"")</f>
        <v/>
      </c>
      <c r="O140" s="3" t="str">
        <f ca="1">IFERROR(MATCH($A140,INDIRECT("'Predictor Setup'!A"&amp;3+N140):'Predictor Setup'!$A$202,0)+N140,"")</f>
        <v/>
      </c>
      <c r="P140" s="3" t="str">
        <f ca="1">IFERROR(MATCH($A140,INDIRECT("'Predictor Setup'!A"&amp;3+O140):'Predictor Setup'!$A$202,0)+O140,"")</f>
        <v/>
      </c>
    </row>
    <row r="141" spans="1:16" x14ac:dyDescent="0.35">
      <c r="A141" t="str">
        <f>IF('Predictor Setup'!A129="",A140,'Predictor Setup'!A129)</f>
        <v>Facility</v>
      </c>
      <c r="B141" t="e">
        <f>MATCH($A141,'Predictor Setup'!$A$3:$A$202,0)</f>
        <v>#N/A</v>
      </c>
      <c r="C141" s="3" t="str">
        <f ca="1">IFERROR(MATCH($A141,INDIRECT("'Predictor Setup'!A"&amp;3+B141):'Predictor Setup'!$A$202,0)+B141,"")</f>
        <v/>
      </c>
      <c r="D141" s="3" t="str">
        <f ca="1">IFERROR(MATCH($A141,INDIRECT("'Predictor Setup'!A"&amp;3+C141):'Predictor Setup'!$A$202,0)+C141,"")</f>
        <v/>
      </c>
      <c r="E141" s="3" t="str">
        <f ca="1">IFERROR(MATCH($A141,INDIRECT("'Predictor Setup'!A"&amp;3+D141):'Predictor Setup'!$A$202,0)+D141,"")</f>
        <v/>
      </c>
      <c r="F141" s="3" t="str">
        <f ca="1">IFERROR(MATCH($A141,INDIRECT("'Predictor Setup'!A"&amp;3+E141):'Predictor Setup'!$A$202,0)+E141,"")</f>
        <v/>
      </c>
      <c r="G141" s="3" t="str">
        <f ca="1">IFERROR(MATCH($A141,INDIRECT("'Predictor Setup'!A"&amp;3+F141):'Predictor Setup'!$A$202,0)+F141,"")</f>
        <v/>
      </c>
      <c r="H141" s="3" t="str">
        <f ca="1">IFERROR(MATCH($A141,INDIRECT("'Predictor Setup'!A"&amp;3+G141):'Predictor Setup'!$A$202,0)+G141,"")</f>
        <v/>
      </c>
      <c r="I141" s="3" t="str">
        <f ca="1">IFERROR(MATCH($A141,INDIRECT("'Predictor Setup'!A"&amp;3+H141):'Predictor Setup'!$A$202,0)+H141,"")</f>
        <v/>
      </c>
      <c r="J141" s="3" t="str">
        <f ca="1">IFERROR(MATCH($A141,INDIRECT("'Predictor Setup'!A"&amp;3+I141):'Predictor Setup'!$A$202,0)+I141,"")</f>
        <v/>
      </c>
      <c r="K141" s="3" t="str">
        <f ca="1">IFERROR(MATCH($A141,INDIRECT("'Predictor Setup'!A"&amp;3+J141):'Predictor Setup'!$A$202,0)+J141,"")</f>
        <v/>
      </c>
      <c r="L141" s="3" t="str">
        <f ca="1">IFERROR(MATCH($A141,INDIRECT("'Predictor Setup'!A"&amp;3+K141):'Predictor Setup'!$A$202,0)+K141,"")</f>
        <v/>
      </c>
      <c r="M141" s="3" t="str">
        <f ca="1">IFERROR(MATCH($A141,INDIRECT("'Predictor Setup'!A"&amp;3+L141):'Predictor Setup'!$A$202,0)+L141,"")</f>
        <v/>
      </c>
      <c r="N141" s="3" t="str">
        <f ca="1">IFERROR(MATCH($A141,INDIRECT("'Predictor Setup'!A"&amp;3+M141):'Predictor Setup'!$A$202,0)+M141,"")</f>
        <v/>
      </c>
      <c r="O141" s="3" t="str">
        <f ca="1">IFERROR(MATCH($A141,INDIRECT("'Predictor Setup'!A"&amp;3+N141):'Predictor Setup'!$A$202,0)+N141,"")</f>
        <v/>
      </c>
      <c r="P141" s="3" t="str">
        <f ca="1">IFERROR(MATCH($A141,INDIRECT("'Predictor Setup'!A"&amp;3+O141):'Predictor Setup'!$A$202,0)+O141,"")</f>
        <v/>
      </c>
    </row>
    <row r="142" spans="1:16" x14ac:dyDescent="0.35">
      <c r="A142" t="str">
        <f>IF('Predictor Setup'!A130="",A141,'Predictor Setup'!A130)</f>
        <v>Facility</v>
      </c>
      <c r="B142" t="e">
        <f>MATCH($A142,'Predictor Setup'!$A$3:$A$202,0)</f>
        <v>#N/A</v>
      </c>
      <c r="C142" s="3" t="str">
        <f ca="1">IFERROR(MATCH($A142,INDIRECT("'Predictor Setup'!A"&amp;3+B142):'Predictor Setup'!$A$202,0)+B142,"")</f>
        <v/>
      </c>
      <c r="D142" s="3" t="str">
        <f ca="1">IFERROR(MATCH($A142,INDIRECT("'Predictor Setup'!A"&amp;3+C142):'Predictor Setup'!$A$202,0)+C142,"")</f>
        <v/>
      </c>
      <c r="E142" s="3" t="str">
        <f ca="1">IFERROR(MATCH($A142,INDIRECT("'Predictor Setup'!A"&amp;3+D142):'Predictor Setup'!$A$202,0)+D142,"")</f>
        <v/>
      </c>
      <c r="F142" s="3" t="str">
        <f ca="1">IFERROR(MATCH($A142,INDIRECT("'Predictor Setup'!A"&amp;3+E142):'Predictor Setup'!$A$202,0)+E142,"")</f>
        <v/>
      </c>
      <c r="G142" s="3" t="str">
        <f ca="1">IFERROR(MATCH($A142,INDIRECT("'Predictor Setup'!A"&amp;3+F142):'Predictor Setup'!$A$202,0)+F142,"")</f>
        <v/>
      </c>
      <c r="H142" s="3" t="str">
        <f ca="1">IFERROR(MATCH($A142,INDIRECT("'Predictor Setup'!A"&amp;3+G142):'Predictor Setup'!$A$202,0)+G142,"")</f>
        <v/>
      </c>
      <c r="I142" s="3" t="str">
        <f ca="1">IFERROR(MATCH($A142,INDIRECT("'Predictor Setup'!A"&amp;3+H142):'Predictor Setup'!$A$202,0)+H142,"")</f>
        <v/>
      </c>
      <c r="J142" s="3" t="str">
        <f ca="1">IFERROR(MATCH($A142,INDIRECT("'Predictor Setup'!A"&amp;3+I142):'Predictor Setup'!$A$202,0)+I142,"")</f>
        <v/>
      </c>
      <c r="K142" s="3" t="str">
        <f ca="1">IFERROR(MATCH($A142,INDIRECT("'Predictor Setup'!A"&amp;3+J142):'Predictor Setup'!$A$202,0)+J142,"")</f>
        <v/>
      </c>
      <c r="L142" s="3" t="str">
        <f ca="1">IFERROR(MATCH($A142,INDIRECT("'Predictor Setup'!A"&amp;3+K142):'Predictor Setup'!$A$202,0)+K142,"")</f>
        <v/>
      </c>
      <c r="M142" s="3" t="str">
        <f ca="1">IFERROR(MATCH($A142,INDIRECT("'Predictor Setup'!A"&amp;3+L142):'Predictor Setup'!$A$202,0)+L142,"")</f>
        <v/>
      </c>
      <c r="N142" s="3" t="str">
        <f ca="1">IFERROR(MATCH($A142,INDIRECT("'Predictor Setup'!A"&amp;3+M142):'Predictor Setup'!$A$202,0)+M142,"")</f>
        <v/>
      </c>
      <c r="O142" s="3" t="str">
        <f ca="1">IFERROR(MATCH($A142,INDIRECT("'Predictor Setup'!A"&amp;3+N142):'Predictor Setup'!$A$202,0)+N142,"")</f>
        <v/>
      </c>
      <c r="P142" s="3" t="str">
        <f ca="1">IFERROR(MATCH($A142,INDIRECT("'Predictor Setup'!A"&amp;3+O142):'Predictor Setup'!$A$202,0)+O142,"")</f>
        <v/>
      </c>
    </row>
    <row r="143" spans="1:16" x14ac:dyDescent="0.35">
      <c r="A143" t="str">
        <f>IF('Predictor Setup'!A131="",A142,'Predictor Setup'!A131)</f>
        <v>Facility</v>
      </c>
      <c r="B143" t="e">
        <f>MATCH($A143,'Predictor Setup'!$A$3:$A$202,0)</f>
        <v>#N/A</v>
      </c>
      <c r="C143" s="3" t="str">
        <f ca="1">IFERROR(MATCH($A143,INDIRECT("'Predictor Setup'!A"&amp;3+B143):'Predictor Setup'!$A$202,0)+B143,"")</f>
        <v/>
      </c>
      <c r="D143" s="3" t="str">
        <f ca="1">IFERROR(MATCH($A143,INDIRECT("'Predictor Setup'!A"&amp;3+C143):'Predictor Setup'!$A$202,0)+C143,"")</f>
        <v/>
      </c>
      <c r="E143" s="3" t="str">
        <f ca="1">IFERROR(MATCH($A143,INDIRECT("'Predictor Setup'!A"&amp;3+D143):'Predictor Setup'!$A$202,0)+D143,"")</f>
        <v/>
      </c>
      <c r="F143" s="3" t="str">
        <f ca="1">IFERROR(MATCH($A143,INDIRECT("'Predictor Setup'!A"&amp;3+E143):'Predictor Setup'!$A$202,0)+E143,"")</f>
        <v/>
      </c>
      <c r="G143" s="3" t="str">
        <f ca="1">IFERROR(MATCH($A143,INDIRECT("'Predictor Setup'!A"&amp;3+F143):'Predictor Setup'!$A$202,0)+F143,"")</f>
        <v/>
      </c>
      <c r="H143" s="3" t="str">
        <f ca="1">IFERROR(MATCH($A143,INDIRECT("'Predictor Setup'!A"&amp;3+G143):'Predictor Setup'!$A$202,0)+G143,"")</f>
        <v/>
      </c>
      <c r="I143" s="3" t="str">
        <f ca="1">IFERROR(MATCH($A143,INDIRECT("'Predictor Setup'!A"&amp;3+H143):'Predictor Setup'!$A$202,0)+H143,"")</f>
        <v/>
      </c>
      <c r="J143" s="3" t="str">
        <f ca="1">IFERROR(MATCH($A143,INDIRECT("'Predictor Setup'!A"&amp;3+I143):'Predictor Setup'!$A$202,0)+I143,"")</f>
        <v/>
      </c>
      <c r="K143" s="3" t="str">
        <f ca="1">IFERROR(MATCH($A143,INDIRECT("'Predictor Setup'!A"&amp;3+J143):'Predictor Setup'!$A$202,0)+J143,"")</f>
        <v/>
      </c>
      <c r="L143" s="3" t="str">
        <f ca="1">IFERROR(MATCH($A143,INDIRECT("'Predictor Setup'!A"&amp;3+K143):'Predictor Setup'!$A$202,0)+K143,"")</f>
        <v/>
      </c>
      <c r="M143" s="3" t="str">
        <f ca="1">IFERROR(MATCH($A143,INDIRECT("'Predictor Setup'!A"&amp;3+L143):'Predictor Setup'!$A$202,0)+L143,"")</f>
        <v/>
      </c>
      <c r="N143" s="3" t="str">
        <f ca="1">IFERROR(MATCH($A143,INDIRECT("'Predictor Setup'!A"&amp;3+M143):'Predictor Setup'!$A$202,0)+M143,"")</f>
        <v/>
      </c>
      <c r="O143" s="3" t="str">
        <f ca="1">IFERROR(MATCH($A143,INDIRECT("'Predictor Setup'!A"&amp;3+N143):'Predictor Setup'!$A$202,0)+N143,"")</f>
        <v/>
      </c>
      <c r="P143" s="3" t="str">
        <f ca="1">IFERROR(MATCH($A143,INDIRECT("'Predictor Setup'!A"&amp;3+O143):'Predictor Setup'!$A$202,0)+O143,"")</f>
        <v/>
      </c>
    </row>
    <row r="144" spans="1:16" x14ac:dyDescent="0.35">
      <c r="A144" t="str">
        <f>IF('Predictor Setup'!A132="",A143,'Predictor Setup'!A132)</f>
        <v>Facility</v>
      </c>
      <c r="B144" t="e">
        <f>MATCH($A144,'Predictor Setup'!$A$3:$A$202,0)</f>
        <v>#N/A</v>
      </c>
      <c r="C144" s="3" t="str">
        <f ca="1">IFERROR(MATCH($A144,INDIRECT("'Predictor Setup'!A"&amp;3+B144):'Predictor Setup'!$A$202,0)+B144,"")</f>
        <v/>
      </c>
      <c r="D144" s="3" t="str">
        <f ca="1">IFERROR(MATCH($A144,INDIRECT("'Predictor Setup'!A"&amp;3+C144):'Predictor Setup'!$A$202,0)+C144,"")</f>
        <v/>
      </c>
      <c r="E144" s="3" t="str">
        <f ca="1">IFERROR(MATCH($A144,INDIRECT("'Predictor Setup'!A"&amp;3+D144):'Predictor Setup'!$A$202,0)+D144,"")</f>
        <v/>
      </c>
      <c r="F144" s="3" t="str">
        <f ca="1">IFERROR(MATCH($A144,INDIRECT("'Predictor Setup'!A"&amp;3+E144):'Predictor Setup'!$A$202,0)+E144,"")</f>
        <v/>
      </c>
      <c r="G144" s="3" t="str">
        <f ca="1">IFERROR(MATCH($A144,INDIRECT("'Predictor Setup'!A"&amp;3+F144):'Predictor Setup'!$A$202,0)+F144,"")</f>
        <v/>
      </c>
      <c r="H144" s="3" t="str">
        <f ca="1">IFERROR(MATCH($A144,INDIRECT("'Predictor Setup'!A"&amp;3+G144):'Predictor Setup'!$A$202,0)+G144,"")</f>
        <v/>
      </c>
      <c r="I144" s="3" t="str">
        <f ca="1">IFERROR(MATCH($A144,INDIRECT("'Predictor Setup'!A"&amp;3+H144):'Predictor Setup'!$A$202,0)+H144,"")</f>
        <v/>
      </c>
      <c r="J144" s="3" t="str">
        <f ca="1">IFERROR(MATCH($A144,INDIRECT("'Predictor Setup'!A"&amp;3+I144):'Predictor Setup'!$A$202,0)+I144,"")</f>
        <v/>
      </c>
      <c r="K144" s="3" t="str">
        <f ca="1">IFERROR(MATCH($A144,INDIRECT("'Predictor Setup'!A"&amp;3+J144):'Predictor Setup'!$A$202,0)+J144,"")</f>
        <v/>
      </c>
      <c r="L144" s="3" t="str">
        <f ca="1">IFERROR(MATCH($A144,INDIRECT("'Predictor Setup'!A"&amp;3+K144):'Predictor Setup'!$A$202,0)+K144,"")</f>
        <v/>
      </c>
      <c r="M144" s="3" t="str">
        <f ca="1">IFERROR(MATCH($A144,INDIRECT("'Predictor Setup'!A"&amp;3+L144):'Predictor Setup'!$A$202,0)+L144,"")</f>
        <v/>
      </c>
      <c r="N144" s="3" t="str">
        <f ca="1">IFERROR(MATCH($A144,INDIRECT("'Predictor Setup'!A"&amp;3+M144):'Predictor Setup'!$A$202,0)+M144,"")</f>
        <v/>
      </c>
      <c r="O144" s="3" t="str">
        <f ca="1">IFERROR(MATCH($A144,INDIRECT("'Predictor Setup'!A"&amp;3+N144):'Predictor Setup'!$A$202,0)+N144,"")</f>
        <v/>
      </c>
      <c r="P144" s="3" t="str">
        <f ca="1">IFERROR(MATCH($A144,INDIRECT("'Predictor Setup'!A"&amp;3+O144):'Predictor Setup'!$A$202,0)+O144,"")</f>
        <v/>
      </c>
    </row>
    <row r="145" spans="1:16" x14ac:dyDescent="0.35">
      <c r="A145" t="str">
        <f>IF('Predictor Setup'!A133="",A144,'Predictor Setup'!A133)</f>
        <v>Facility</v>
      </c>
      <c r="B145" t="e">
        <f>MATCH($A145,'Predictor Setup'!$A$3:$A$202,0)</f>
        <v>#N/A</v>
      </c>
      <c r="C145" s="3" t="str">
        <f ca="1">IFERROR(MATCH($A145,INDIRECT("'Predictor Setup'!A"&amp;3+B145):'Predictor Setup'!$A$202,0)+B145,"")</f>
        <v/>
      </c>
      <c r="D145" s="3" t="str">
        <f ca="1">IFERROR(MATCH($A145,INDIRECT("'Predictor Setup'!A"&amp;3+C145):'Predictor Setup'!$A$202,0)+C145,"")</f>
        <v/>
      </c>
      <c r="E145" s="3" t="str">
        <f ca="1">IFERROR(MATCH($A145,INDIRECT("'Predictor Setup'!A"&amp;3+D145):'Predictor Setup'!$A$202,0)+D145,"")</f>
        <v/>
      </c>
      <c r="F145" s="3" t="str">
        <f ca="1">IFERROR(MATCH($A145,INDIRECT("'Predictor Setup'!A"&amp;3+E145):'Predictor Setup'!$A$202,0)+E145,"")</f>
        <v/>
      </c>
      <c r="G145" s="3" t="str">
        <f ca="1">IFERROR(MATCH($A145,INDIRECT("'Predictor Setup'!A"&amp;3+F145):'Predictor Setup'!$A$202,0)+F145,"")</f>
        <v/>
      </c>
      <c r="H145" s="3" t="str">
        <f ca="1">IFERROR(MATCH($A145,INDIRECT("'Predictor Setup'!A"&amp;3+G145):'Predictor Setup'!$A$202,0)+G145,"")</f>
        <v/>
      </c>
      <c r="I145" s="3" t="str">
        <f ca="1">IFERROR(MATCH($A145,INDIRECT("'Predictor Setup'!A"&amp;3+H145):'Predictor Setup'!$A$202,0)+H145,"")</f>
        <v/>
      </c>
      <c r="J145" s="3" t="str">
        <f ca="1">IFERROR(MATCH($A145,INDIRECT("'Predictor Setup'!A"&amp;3+I145):'Predictor Setup'!$A$202,0)+I145,"")</f>
        <v/>
      </c>
      <c r="K145" s="3" t="str">
        <f ca="1">IFERROR(MATCH($A145,INDIRECT("'Predictor Setup'!A"&amp;3+J145):'Predictor Setup'!$A$202,0)+J145,"")</f>
        <v/>
      </c>
      <c r="L145" s="3" t="str">
        <f ca="1">IFERROR(MATCH($A145,INDIRECT("'Predictor Setup'!A"&amp;3+K145):'Predictor Setup'!$A$202,0)+K145,"")</f>
        <v/>
      </c>
      <c r="M145" s="3" t="str">
        <f ca="1">IFERROR(MATCH($A145,INDIRECT("'Predictor Setup'!A"&amp;3+L145):'Predictor Setup'!$A$202,0)+L145,"")</f>
        <v/>
      </c>
      <c r="N145" s="3" t="str">
        <f ca="1">IFERROR(MATCH($A145,INDIRECT("'Predictor Setup'!A"&amp;3+M145):'Predictor Setup'!$A$202,0)+M145,"")</f>
        <v/>
      </c>
      <c r="O145" s="3" t="str">
        <f ca="1">IFERROR(MATCH($A145,INDIRECT("'Predictor Setup'!A"&amp;3+N145):'Predictor Setup'!$A$202,0)+N145,"")</f>
        <v/>
      </c>
      <c r="P145" s="3" t="str">
        <f ca="1">IFERROR(MATCH($A145,INDIRECT("'Predictor Setup'!A"&amp;3+O145):'Predictor Setup'!$A$202,0)+O145,"")</f>
        <v/>
      </c>
    </row>
    <row r="146" spans="1:16" x14ac:dyDescent="0.35">
      <c r="A146" t="str">
        <f>IF('Predictor Setup'!A134="",A145,'Predictor Setup'!A134)</f>
        <v>Facility</v>
      </c>
      <c r="B146" t="e">
        <f>MATCH($A146,'Predictor Setup'!$A$3:$A$202,0)</f>
        <v>#N/A</v>
      </c>
      <c r="C146" s="3" t="str">
        <f ca="1">IFERROR(MATCH($A146,INDIRECT("'Predictor Setup'!A"&amp;3+B146):'Predictor Setup'!$A$202,0)+B146,"")</f>
        <v/>
      </c>
      <c r="D146" s="3" t="str">
        <f ca="1">IFERROR(MATCH($A146,INDIRECT("'Predictor Setup'!A"&amp;3+C146):'Predictor Setup'!$A$202,0)+C146,"")</f>
        <v/>
      </c>
      <c r="E146" s="3" t="str">
        <f ca="1">IFERROR(MATCH($A146,INDIRECT("'Predictor Setup'!A"&amp;3+D146):'Predictor Setup'!$A$202,0)+D146,"")</f>
        <v/>
      </c>
      <c r="F146" s="3" t="str">
        <f ca="1">IFERROR(MATCH($A146,INDIRECT("'Predictor Setup'!A"&amp;3+E146):'Predictor Setup'!$A$202,0)+E146,"")</f>
        <v/>
      </c>
      <c r="G146" s="3" t="str">
        <f ca="1">IFERROR(MATCH($A146,INDIRECT("'Predictor Setup'!A"&amp;3+F146):'Predictor Setup'!$A$202,0)+F146,"")</f>
        <v/>
      </c>
      <c r="H146" s="3" t="str">
        <f ca="1">IFERROR(MATCH($A146,INDIRECT("'Predictor Setup'!A"&amp;3+G146):'Predictor Setup'!$A$202,0)+G146,"")</f>
        <v/>
      </c>
      <c r="I146" s="3" t="str">
        <f ca="1">IFERROR(MATCH($A146,INDIRECT("'Predictor Setup'!A"&amp;3+H146):'Predictor Setup'!$A$202,0)+H146,"")</f>
        <v/>
      </c>
      <c r="J146" s="3" t="str">
        <f ca="1">IFERROR(MATCH($A146,INDIRECT("'Predictor Setup'!A"&amp;3+I146):'Predictor Setup'!$A$202,0)+I146,"")</f>
        <v/>
      </c>
      <c r="K146" s="3" t="str">
        <f ca="1">IFERROR(MATCH($A146,INDIRECT("'Predictor Setup'!A"&amp;3+J146):'Predictor Setup'!$A$202,0)+J146,"")</f>
        <v/>
      </c>
      <c r="L146" s="3" t="str">
        <f ca="1">IFERROR(MATCH($A146,INDIRECT("'Predictor Setup'!A"&amp;3+K146):'Predictor Setup'!$A$202,0)+K146,"")</f>
        <v/>
      </c>
      <c r="M146" s="3" t="str">
        <f ca="1">IFERROR(MATCH($A146,INDIRECT("'Predictor Setup'!A"&amp;3+L146):'Predictor Setup'!$A$202,0)+L146,"")</f>
        <v/>
      </c>
      <c r="N146" s="3" t="str">
        <f ca="1">IFERROR(MATCH($A146,INDIRECT("'Predictor Setup'!A"&amp;3+M146):'Predictor Setup'!$A$202,0)+M146,"")</f>
        <v/>
      </c>
      <c r="O146" s="3" t="str">
        <f ca="1">IFERROR(MATCH($A146,INDIRECT("'Predictor Setup'!A"&amp;3+N146):'Predictor Setup'!$A$202,0)+N146,"")</f>
        <v/>
      </c>
      <c r="P146" s="3" t="str">
        <f ca="1">IFERROR(MATCH($A146,INDIRECT("'Predictor Setup'!A"&amp;3+O146):'Predictor Setup'!$A$202,0)+O146,"")</f>
        <v/>
      </c>
    </row>
    <row r="147" spans="1:16" x14ac:dyDescent="0.35">
      <c r="A147" t="str">
        <f>IF('Predictor Setup'!A135="",A146,'Predictor Setup'!A135)</f>
        <v>Facility</v>
      </c>
      <c r="B147" t="e">
        <f>MATCH($A147,'Predictor Setup'!$A$3:$A$202,0)</f>
        <v>#N/A</v>
      </c>
      <c r="C147" s="3" t="str">
        <f ca="1">IFERROR(MATCH($A147,INDIRECT("'Predictor Setup'!A"&amp;3+B147):'Predictor Setup'!$A$202,0)+B147,"")</f>
        <v/>
      </c>
      <c r="D147" s="3" t="str">
        <f ca="1">IFERROR(MATCH($A147,INDIRECT("'Predictor Setup'!A"&amp;3+C147):'Predictor Setup'!$A$202,0)+C147,"")</f>
        <v/>
      </c>
      <c r="E147" s="3" t="str">
        <f ca="1">IFERROR(MATCH($A147,INDIRECT("'Predictor Setup'!A"&amp;3+D147):'Predictor Setup'!$A$202,0)+D147,"")</f>
        <v/>
      </c>
      <c r="F147" s="3" t="str">
        <f ca="1">IFERROR(MATCH($A147,INDIRECT("'Predictor Setup'!A"&amp;3+E147):'Predictor Setup'!$A$202,0)+E147,"")</f>
        <v/>
      </c>
      <c r="G147" s="3" t="str">
        <f ca="1">IFERROR(MATCH($A147,INDIRECT("'Predictor Setup'!A"&amp;3+F147):'Predictor Setup'!$A$202,0)+F147,"")</f>
        <v/>
      </c>
      <c r="H147" s="3" t="str">
        <f ca="1">IFERROR(MATCH($A147,INDIRECT("'Predictor Setup'!A"&amp;3+G147):'Predictor Setup'!$A$202,0)+G147,"")</f>
        <v/>
      </c>
      <c r="I147" s="3" t="str">
        <f ca="1">IFERROR(MATCH($A147,INDIRECT("'Predictor Setup'!A"&amp;3+H147):'Predictor Setup'!$A$202,0)+H147,"")</f>
        <v/>
      </c>
      <c r="J147" s="3" t="str">
        <f ca="1">IFERROR(MATCH($A147,INDIRECT("'Predictor Setup'!A"&amp;3+I147):'Predictor Setup'!$A$202,0)+I147,"")</f>
        <v/>
      </c>
      <c r="K147" s="3" t="str">
        <f ca="1">IFERROR(MATCH($A147,INDIRECT("'Predictor Setup'!A"&amp;3+J147):'Predictor Setup'!$A$202,0)+J147,"")</f>
        <v/>
      </c>
      <c r="L147" s="3" t="str">
        <f ca="1">IFERROR(MATCH($A147,INDIRECT("'Predictor Setup'!A"&amp;3+K147):'Predictor Setup'!$A$202,0)+K147,"")</f>
        <v/>
      </c>
      <c r="M147" s="3" t="str">
        <f ca="1">IFERROR(MATCH($A147,INDIRECT("'Predictor Setup'!A"&amp;3+L147):'Predictor Setup'!$A$202,0)+L147,"")</f>
        <v/>
      </c>
      <c r="N147" s="3" t="str">
        <f ca="1">IFERROR(MATCH($A147,INDIRECT("'Predictor Setup'!A"&amp;3+M147):'Predictor Setup'!$A$202,0)+M147,"")</f>
        <v/>
      </c>
      <c r="O147" s="3" t="str">
        <f ca="1">IFERROR(MATCH($A147,INDIRECT("'Predictor Setup'!A"&amp;3+N147):'Predictor Setup'!$A$202,0)+N147,"")</f>
        <v/>
      </c>
      <c r="P147" s="3" t="str">
        <f ca="1">IFERROR(MATCH($A147,INDIRECT("'Predictor Setup'!A"&amp;3+O147):'Predictor Setup'!$A$202,0)+O147,"")</f>
        <v/>
      </c>
    </row>
    <row r="148" spans="1:16" x14ac:dyDescent="0.35">
      <c r="A148" t="str">
        <f>IF('Predictor Setup'!A136="",A147,'Predictor Setup'!A136)</f>
        <v>Facility</v>
      </c>
      <c r="B148" t="e">
        <f>MATCH($A148,'Predictor Setup'!$A$3:$A$202,0)</f>
        <v>#N/A</v>
      </c>
      <c r="C148" s="3" t="str">
        <f ca="1">IFERROR(MATCH($A148,INDIRECT("'Predictor Setup'!A"&amp;3+B148):'Predictor Setup'!$A$202,0)+B148,"")</f>
        <v/>
      </c>
      <c r="D148" s="3" t="str">
        <f ca="1">IFERROR(MATCH($A148,INDIRECT("'Predictor Setup'!A"&amp;3+C148):'Predictor Setup'!$A$202,0)+C148,"")</f>
        <v/>
      </c>
      <c r="E148" s="3" t="str">
        <f ca="1">IFERROR(MATCH($A148,INDIRECT("'Predictor Setup'!A"&amp;3+D148):'Predictor Setup'!$A$202,0)+D148,"")</f>
        <v/>
      </c>
      <c r="F148" s="3" t="str">
        <f ca="1">IFERROR(MATCH($A148,INDIRECT("'Predictor Setup'!A"&amp;3+E148):'Predictor Setup'!$A$202,0)+E148,"")</f>
        <v/>
      </c>
      <c r="G148" s="3" t="str">
        <f ca="1">IFERROR(MATCH($A148,INDIRECT("'Predictor Setup'!A"&amp;3+F148):'Predictor Setup'!$A$202,0)+F148,"")</f>
        <v/>
      </c>
      <c r="H148" s="3" t="str">
        <f ca="1">IFERROR(MATCH($A148,INDIRECT("'Predictor Setup'!A"&amp;3+G148):'Predictor Setup'!$A$202,0)+G148,"")</f>
        <v/>
      </c>
      <c r="I148" s="3" t="str">
        <f ca="1">IFERROR(MATCH($A148,INDIRECT("'Predictor Setup'!A"&amp;3+H148):'Predictor Setup'!$A$202,0)+H148,"")</f>
        <v/>
      </c>
      <c r="J148" s="3" t="str">
        <f ca="1">IFERROR(MATCH($A148,INDIRECT("'Predictor Setup'!A"&amp;3+I148):'Predictor Setup'!$A$202,0)+I148,"")</f>
        <v/>
      </c>
      <c r="K148" s="3" t="str">
        <f ca="1">IFERROR(MATCH($A148,INDIRECT("'Predictor Setup'!A"&amp;3+J148):'Predictor Setup'!$A$202,0)+J148,"")</f>
        <v/>
      </c>
      <c r="L148" s="3" t="str">
        <f ca="1">IFERROR(MATCH($A148,INDIRECT("'Predictor Setup'!A"&amp;3+K148):'Predictor Setup'!$A$202,0)+K148,"")</f>
        <v/>
      </c>
      <c r="M148" s="3" t="str">
        <f ca="1">IFERROR(MATCH($A148,INDIRECT("'Predictor Setup'!A"&amp;3+L148):'Predictor Setup'!$A$202,0)+L148,"")</f>
        <v/>
      </c>
      <c r="N148" s="3" t="str">
        <f ca="1">IFERROR(MATCH($A148,INDIRECT("'Predictor Setup'!A"&amp;3+M148):'Predictor Setup'!$A$202,0)+M148,"")</f>
        <v/>
      </c>
      <c r="O148" s="3" t="str">
        <f ca="1">IFERROR(MATCH($A148,INDIRECT("'Predictor Setup'!A"&amp;3+N148):'Predictor Setup'!$A$202,0)+N148,"")</f>
        <v/>
      </c>
      <c r="P148" s="3" t="str">
        <f ca="1">IFERROR(MATCH($A148,INDIRECT("'Predictor Setup'!A"&amp;3+O148):'Predictor Setup'!$A$202,0)+O148,"")</f>
        <v/>
      </c>
    </row>
    <row r="149" spans="1:16" x14ac:dyDescent="0.35">
      <c r="A149" t="str">
        <f>IF('Predictor Setup'!A137="",A148,'Predictor Setup'!A137)</f>
        <v>Facility</v>
      </c>
      <c r="B149" t="e">
        <f>MATCH($A149,'Predictor Setup'!$A$3:$A$202,0)</f>
        <v>#N/A</v>
      </c>
      <c r="C149" s="3" t="str">
        <f ca="1">IFERROR(MATCH($A149,INDIRECT("'Predictor Setup'!A"&amp;3+B149):'Predictor Setup'!$A$202,0)+B149,"")</f>
        <v/>
      </c>
      <c r="D149" s="3" t="str">
        <f ca="1">IFERROR(MATCH($A149,INDIRECT("'Predictor Setup'!A"&amp;3+C149):'Predictor Setup'!$A$202,0)+C149,"")</f>
        <v/>
      </c>
      <c r="E149" s="3" t="str">
        <f ca="1">IFERROR(MATCH($A149,INDIRECT("'Predictor Setup'!A"&amp;3+D149):'Predictor Setup'!$A$202,0)+D149,"")</f>
        <v/>
      </c>
      <c r="F149" s="3" t="str">
        <f ca="1">IFERROR(MATCH($A149,INDIRECT("'Predictor Setup'!A"&amp;3+E149):'Predictor Setup'!$A$202,0)+E149,"")</f>
        <v/>
      </c>
      <c r="G149" s="3" t="str">
        <f ca="1">IFERROR(MATCH($A149,INDIRECT("'Predictor Setup'!A"&amp;3+F149):'Predictor Setup'!$A$202,0)+F149,"")</f>
        <v/>
      </c>
      <c r="H149" s="3" t="str">
        <f ca="1">IFERROR(MATCH($A149,INDIRECT("'Predictor Setup'!A"&amp;3+G149):'Predictor Setup'!$A$202,0)+G149,"")</f>
        <v/>
      </c>
      <c r="I149" s="3" t="str">
        <f ca="1">IFERROR(MATCH($A149,INDIRECT("'Predictor Setup'!A"&amp;3+H149):'Predictor Setup'!$A$202,0)+H149,"")</f>
        <v/>
      </c>
      <c r="J149" s="3" t="str">
        <f ca="1">IFERROR(MATCH($A149,INDIRECT("'Predictor Setup'!A"&amp;3+I149):'Predictor Setup'!$A$202,0)+I149,"")</f>
        <v/>
      </c>
      <c r="K149" s="3" t="str">
        <f ca="1">IFERROR(MATCH($A149,INDIRECT("'Predictor Setup'!A"&amp;3+J149):'Predictor Setup'!$A$202,0)+J149,"")</f>
        <v/>
      </c>
      <c r="L149" s="3" t="str">
        <f ca="1">IFERROR(MATCH($A149,INDIRECT("'Predictor Setup'!A"&amp;3+K149):'Predictor Setup'!$A$202,0)+K149,"")</f>
        <v/>
      </c>
      <c r="M149" s="3" t="str">
        <f ca="1">IFERROR(MATCH($A149,INDIRECT("'Predictor Setup'!A"&amp;3+L149):'Predictor Setup'!$A$202,0)+L149,"")</f>
        <v/>
      </c>
      <c r="N149" s="3" t="str">
        <f ca="1">IFERROR(MATCH($A149,INDIRECT("'Predictor Setup'!A"&amp;3+M149):'Predictor Setup'!$A$202,0)+M149,"")</f>
        <v/>
      </c>
      <c r="O149" s="3" t="str">
        <f ca="1">IFERROR(MATCH($A149,INDIRECT("'Predictor Setup'!A"&amp;3+N149):'Predictor Setup'!$A$202,0)+N149,"")</f>
        <v/>
      </c>
      <c r="P149" s="3" t="str">
        <f ca="1">IFERROR(MATCH($A149,INDIRECT("'Predictor Setup'!A"&amp;3+O149):'Predictor Setup'!$A$202,0)+O149,"")</f>
        <v/>
      </c>
    </row>
    <row r="150" spans="1:16" x14ac:dyDescent="0.35">
      <c r="A150" t="str">
        <f>IF('Predictor Setup'!A138="",A149,'Predictor Setup'!A138)</f>
        <v>Facility</v>
      </c>
      <c r="B150" t="e">
        <f>MATCH($A150,'Predictor Setup'!$A$3:$A$202,0)</f>
        <v>#N/A</v>
      </c>
      <c r="C150" s="3" t="str">
        <f ca="1">IFERROR(MATCH($A150,INDIRECT("'Predictor Setup'!A"&amp;3+B150):'Predictor Setup'!$A$202,0)+B150,"")</f>
        <v/>
      </c>
      <c r="D150" s="3" t="str">
        <f ca="1">IFERROR(MATCH($A150,INDIRECT("'Predictor Setup'!A"&amp;3+C150):'Predictor Setup'!$A$202,0)+C150,"")</f>
        <v/>
      </c>
      <c r="E150" s="3" t="str">
        <f ca="1">IFERROR(MATCH($A150,INDIRECT("'Predictor Setup'!A"&amp;3+D150):'Predictor Setup'!$A$202,0)+D150,"")</f>
        <v/>
      </c>
      <c r="F150" s="3" t="str">
        <f ca="1">IFERROR(MATCH($A150,INDIRECT("'Predictor Setup'!A"&amp;3+E150):'Predictor Setup'!$A$202,0)+E150,"")</f>
        <v/>
      </c>
      <c r="G150" s="3" t="str">
        <f ca="1">IFERROR(MATCH($A150,INDIRECT("'Predictor Setup'!A"&amp;3+F150):'Predictor Setup'!$A$202,0)+F150,"")</f>
        <v/>
      </c>
      <c r="H150" s="3" t="str">
        <f ca="1">IFERROR(MATCH($A150,INDIRECT("'Predictor Setup'!A"&amp;3+G150):'Predictor Setup'!$A$202,0)+G150,"")</f>
        <v/>
      </c>
      <c r="I150" s="3" t="str">
        <f ca="1">IFERROR(MATCH($A150,INDIRECT("'Predictor Setup'!A"&amp;3+H150):'Predictor Setup'!$A$202,0)+H150,"")</f>
        <v/>
      </c>
      <c r="J150" s="3" t="str">
        <f ca="1">IFERROR(MATCH($A150,INDIRECT("'Predictor Setup'!A"&amp;3+I150):'Predictor Setup'!$A$202,0)+I150,"")</f>
        <v/>
      </c>
      <c r="K150" s="3" t="str">
        <f ca="1">IFERROR(MATCH($A150,INDIRECT("'Predictor Setup'!A"&amp;3+J150):'Predictor Setup'!$A$202,0)+J150,"")</f>
        <v/>
      </c>
      <c r="L150" s="3" t="str">
        <f ca="1">IFERROR(MATCH($A150,INDIRECT("'Predictor Setup'!A"&amp;3+K150):'Predictor Setup'!$A$202,0)+K150,"")</f>
        <v/>
      </c>
      <c r="M150" s="3" t="str">
        <f ca="1">IFERROR(MATCH($A150,INDIRECT("'Predictor Setup'!A"&amp;3+L150):'Predictor Setup'!$A$202,0)+L150,"")</f>
        <v/>
      </c>
      <c r="N150" s="3" t="str">
        <f ca="1">IFERROR(MATCH($A150,INDIRECT("'Predictor Setup'!A"&amp;3+M150):'Predictor Setup'!$A$202,0)+M150,"")</f>
        <v/>
      </c>
      <c r="O150" s="3" t="str">
        <f ca="1">IFERROR(MATCH($A150,INDIRECT("'Predictor Setup'!A"&amp;3+N150):'Predictor Setup'!$A$202,0)+N150,"")</f>
        <v/>
      </c>
      <c r="P150" s="3" t="str">
        <f ca="1">IFERROR(MATCH($A150,INDIRECT("'Predictor Setup'!A"&amp;3+O150):'Predictor Setup'!$A$202,0)+O150,"")</f>
        <v/>
      </c>
    </row>
    <row r="151" spans="1:16" x14ac:dyDescent="0.35">
      <c r="A151" t="str">
        <f>IF('Predictor Setup'!A139="",A150,'Predictor Setup'!A139)</f>
        <v>Facility</v>
      </c>
      <c r="B151" t="e">
        <f>MATCH($A151,'Predictor Setup'!$A$3:$A$202,0)</f>
        <v>#N/A</v>
      </c>
      <c r="C151" s="3" t="str">
        <f ca="1">IFERROR(MATCH($A151,INDIRECT("'Predictor Setup'!A"&amp;3+B151):'Predictor Setup'!$A$202,0)+B151,"")</f>
        <v/>
      </c>
      <c r="D151" s="3" t="str">
        <f ca="1">IFERROR(MATCH($A151,INDIRECT("'Predictor Setup'!A"&amp;3+C151):'Predictor Setup'!$A$202,0)+C151,"")</f>
        <v/>
      </c>
      <c r="E151" s="3" t="str">
        <f ca="1">IFERROR(MATCH($A151,INDIRECT("'Predictor Setup'!A"&amp;3+D151):'Predictor Setup'!$A$202,0)+D151,"")</f>
        <v/>
      </c>
      <c r="F151" s="3" t="str">
        <f ca="1">IFERROR(MATCH($A151,INDIRECT("'Predictor Setup'!A"&amp;3+E151):'Predictor Setup'!$A$202,0)+E151,"")</f>
        <v/>
      </c>
      <c r="G151" s="3" t="str">
        <f ca="1">IFERROR(MATCH($A151,INDIRECT("'Predictor Setup'!A"&amp;3+F151):'Predictor Setup'!$A$202,0)+F151,"")</f>
        <v/>
      </c>
      <c r="H151" s="3" t="str">
        <f ca="1">IFERROR(MATCH($A151,INDIRECT("'Predictor Setup'!A"&amp;3+G151):'Predictor Setup'!$A$202,0)+G151,"")</f>
        <v/>
      </c>
      <c r="I151" s="3" t="str">
        <f ca="1">IFERROR(MATCH($A151,INDIRECT("'Predictor Setup'!A"&amp;3+H151):'Predictor Setup'!$A$202,0)+H151,"")</f>
        <v/>
      </c>
      <c r="J151" s="3" t="str">
        <f ca="1">IFERROR(MATCH($A151,INDIRECT("'Predictor Setup'!A"&amp;3+I151):'Predictor Setup'!$A$202,0)+I151,"")</f>
        <v/>
      </c>
      <c r="K151" s="3" t="str">
        <f ca="1">IFERROR(MATCH($A151,INDIRECT("'Predictor Setup'!A"&amp;3+J151):'Predictor Setup'!$A$202,0)+J151,"")</f>
        <v/>
      </c>
      <c r="L151" s="3" t="str">
        <f ca="1">IFERROR(MATCH($A151,INDIRECT("'Predictor Setup'!A"&amp;3+K151):'Predictor Setup'!$A$202,0)+K151,"")</f>
        <v/>
      </c>
      <c r="M151" s="3" t="str">
        <f ca="1">IFERROR(MATCH($A151,INDIRECT("'Predictor Setup'!A"&amp;3+L151):'Predictor Setup'!$A$202,0)+L151,"")</f>
        <v/>
      </c>
      <c r="N151" s="3" t="str">
        <f ca="1">IFERROR(MATCH($A151,INDIRECT("'Predictor Setup'!A"&amp;3+M151):'Predictor Setup'!$A$202,0)+M151,"")</f>
        <v/>
      </c>
      <c r="O151" s="3" t="str">
        <f ca="1">IFERROR(MATCH($A151,INDIRECT("'Predictor Setup'!A"&amp;3+N151):'Predictor Setup'!$A$202,0)+N151,"")</f>
        <v/>
      </c>
      <c r="P151" s="3" t="str">
        <f ca="1">IFERROR(MATCH($A151,INDIRECT("'Predictor Setup'!A"&amp;3+O151):'Predictor Setup'!$A$202,0)+O151,"")</f>
        <v/>
      </c>
    </row>
    <row r="152" spans="1:16" x14ac:dyDescent="0.35">
      <c r="A152" t="str">
        <f>IF('Predictor Setup'!A140="",A151,'Predictor Setup'!A140)</f>
        <v>Facility</v>
      </c>
      <c r="B152" t="e">
        <f>MATCH($A152,'Predictor Setup'!$A$3:$A$202,0)</f>
        <v>#N/A</v>
      </c>
      <c r="C152" s="3" t="str">
        <f ca="1">IFERROR(MATCH($A152,INDIRECT("'Predictor Setup'!A"&amp;3+B152):'Predictor Setup'!$A$202,0)+B152,"")</f>
        <v/>
      </c>
      <c r="D152" s="3" t="str">
        <f ca="1">IFERROR(MATCH($A152,INDIRECT("'Predictor Setup'!A"&amp;3+C152):'Predictor Setup'!$A$202,0)+C152,"")</f>
        <v/>
      </c>
      <c r="E152" s="3" t="str">
        <f ca="1">IFERROR(MATCH($A152,INDIRECT("'Predictor Setup'!A"&amp;3+D152):'Predictor Setup'!$A$202,0)+D152,"")</f>
        <v/>
      </c>
      <c r="F152" s="3" t="str">
        <f ca="1">IFERROR(MATCH($A152,INDIRECT("'Predictor Setup'!A"&amp;3+E152):'Predictor Setup'!$A$202,0)+E152,"")</f>
        <v/>
      </c>
      <c r="G152" s="3" t="str">
        <f ca="1">IFERROR(MATCH($A152,INDIRECT("'Predictor Setup'!A"&amp;3+F152):'Predictor Setup'!$A$202,0)+F152,"")</f>
        <v/>
      </c>
      <c r="H152" s="3" t="str">
        <f ca="1">IFERROR(MATCH($A152,INDIRECT("'Predictor Setup'!A"&amp;3+G152):'Predictor Setup'!$A$202,0)+G152,"")</f>
        <v/>
      </c>
      <c r="I152" s="3" t="str">
        <f ca="1">IFERROR(MATCH($A152,INDIRECT("'Predictor Setup'!A"&amp;3+H152):'Predictor Setup'!$A$202,0)+H152,"")</f>
        <v/>
      </c>
      <c r="J152" s="3" t="str">
        <f ca="1">IFERROR(MATCH($A152,INDIRECT("'Predictor Setup'!A"&amp;3+I152):'Predictor Setup'!$A$202,0)+I152,"")</f>
        <v/>
      </c>
      <c r="K152" s="3" t="str">
        <f ca="1">IFERROR(MATCH($A152,INDIRECT("'Predictor Setup'!A"&amp;3+J152):'Predictor Setup'!$A$202,0)+J152,"")</f>
        <v/>
      </c>
      <c r="L152" s="3" t="str">
        <f ca="1">IFERROR(MATCH($A152,INDIRECT("'Predictor Setup'!A"&amp;3+K152):'Predictor Setup'!$A$202,0)+K152,"")</f>
        <v/>
      </c>
      <c r="M152" s="3" t="str">
        <f ca="1">IFERROR(MATCH($A152,INDIRECT("'Predictor Setup'!A"&amp;3+L152):'Predictor Setup'!$A$202,0)+L152,"")</f>
        <v/>
      </c>
      <c r="N152" s="3" t="str">
        <f ca="1">IFERROR(MATCH($A152,INDIRECT("'Predictor Setup'!A"&amp;3+M152):'Predictor Setup'!$A$202,0)+M152,"")</f>
        <v/>
      </c>
      <c r="O152" s="3" t="str">
        <f ca="1">IFERROR(MATCH($A152,INDIRECT("'Predictor Setup'!A"&amp;3+N152):'Predictor Setup'!$A$202,0)+N152,"")</f>
        <v/>
      </c>
      <c r="P152" s="3" t="str">
        <f ca="1">IFERROR(MATCH($A152,INDIRECT("'Predictor Setup'!A"&amp;3+O152):'Predictor Setup'!$A$202,0)+O152,"")</f>
        <v/>
      </c>
    </row>
    <row r="153" spans="1:16" x14ac:dyDescent="0.35">
      <c r="A153" t="str">
        <f>IF('Predictor Setup'!A141="",A152,'Predictor Setup'!A141)</f>
        <v>Facility</v>
      </c>
      <c r="B153" t="e">
        <f>MATCH($A153,'Predictor Setup'!$A$3:$A$202,0)</f>
        <v>#N/A</v>
      </c>
      <c r="C153" s="3" t="str">
        <f ca="1">IFERROR(MATCH($A153,INDIRECT("'Predictor Setup'!A"&amp;3+B153):'Predictor Setup'!$A$202,0)+B153,"")</f>
        <v/>
      </c>
      <c r="D153" s="3" t="str">
        <f ca="1">IFERROR(MATCH($A153,INDIRECT("'Predictor Setup'!A"&amp;3+C153):'Predictor Setup'!$A$202,0)+C153,"")</f>
        <v/>
      </c>
      <c r="E153" s="3" t="str">
        <f ca="1">IFERROR(MATCH($A153,INDIRECT("'Predictor Setup'!A"&amp;3+D153):'Predictor Setup'!$A$202,0)+D153,"")</f>
        <v/>
      </c>
      <c r="F153" s="3" t="str">
        <f ca="1">IFERROR(MATCH($A153,INDIRECT("'Predictor Setup'!A"&amp;3+E153):'Predictor Setup'!$A$202,0)+E153,"")</f>
        <v/>
      </c>
      <c r="G153" s="3" t="str">
        <f ca="1">IFERROR(MATCH($A153,INDIRECT("'Predictor Setup'!A"&amp;3+F153):'Predictor Setup'!$A$202,0)+F153,"")</f>
        <v/>
      </c>
      <c r="H153" s="3" t="str">
        <f ca="1">IFERROR(MATCH($A153,INDIRECT("'Predictor Setup'!A"&amp;3+G153):'Predictor Setup'!$A$202,0)+G153,"")</f>
        <v/>
      </c>
      <c r="I153" s="3" t="str">
        <f ca="1">IFERROR(MATCH($A153,INDIRECT("'Predictor Setup'!A"&amp;3+H153):'Predictor Setup'!$A$202,0)+H153,"")</f>
        <v/>
      </c>
      <c r="J153" s="3" t="str">
        <f ca="1">IFERROR(MATCH($A153,INDIRECT("'Predictor Setup'!A"&amp;3+I153):'Predictor Setup'!$A$202,0)+I153,"")</f>
        <v/>
      </c>
      <c r="K153" s="3" t="str">
        <f ca="1">IFERROR(MATCH($A153,INDIRECT("'Predictor Setup'!A"&amp;3+J153):'Predictor Setup'!$A$202,0)+J153,"")</f>
        <v/>
      </c>
      <c r="L153" s="3" t="str">
        <f ca="1">IFERROR(MATCH($A153,INDIRECT("'Predictor Setup'!A"&amp;3+K153):'Predictor Setup'!$A$202,0)+K153,"")</f>
        <v/>
      </c>
      <c r="M153" s="3" t="str">
        <f ca="1">IFERROR(MATCH($A153,INDIRECT("'Predictor Setup'!A"&amp;3+L153):'Predictor Setup'!$A$202,0)+L153,"")</f>
        <v/>
      </c>
      <c r="N153" s="3" t="str">
        <f ca="1">IFERROR(MATCH($A153,INDIRECT("'Predictor Setup'!A"&amp;3+M153):'Predictor Setup'!$A$202,0)+M153,"")</f>
        <v/>
      </c>
      <c r="O153" s="3" t="str">
        <f ca="1">IFERROR(MATCH($A153,INDIRECT("'Predictor Setup'!A"&amp;3+N153):'Predictor Setup'!$A$202,0)+N153,"")</f>
        <v/>
      </c>
      <c r="P153" s="3" t="str">
        <f ca="1">IFERROR(MATCH($A153,INDIRECT("'Predictor Setup'!A"&amp;3+O153):'Predictor Setup'!$A$202,0)+O153,"")</f>
        <v/>
      </c>
    </row>
    <row r="154" spans="1:16" x14ac:dyDescent="0.35">
      <c r="A154" t="str">
        <f>IF('Predictor Setup'!A142="",A153,'Predictor Setup'!A142)</f>
        <v>Facility</v>
      </c>
      <c r="B154" t="e">
        <f>MATCH($A154,'Predictor Setup'!$A$3:$A$202,0)</f>
        <v>#N/A</v>
      </c>
      <c r="C154" s="3" t="str">
        <f ca="1">IFERROR(MATCH($A154,INDIRECT("'Predictor Setup'!A"&amp;3+B154):'Predictor Setup'!$A$202,0)+B154,"")</f>
        <v/>
      </c>
      <c r="D154" s="3" t="str">
        <f ca="1">IFERROR(MATCH($A154,INDIRECT("'Predictor Setup'!A"&amp;3+C154):'Predictor Setup'!$A$202,0)+C154,"")</f>
        <v/>
      </c>
      <c r="E154" s="3" t="str">
        <f ca="1">IFERROR(MATCH($A154,INDIRECT("'Predictor Setup'!A"&amp;3+D154):'Predictor Setup'!$A$202,0)+D154,"")</f>
        <v/>
      </c>
      <c r="F154" s="3" t="str">
        <f ca="1">IFERROR(MATCH($A154,INDIRECT("'Predictor Setup'!A"&amp;3+E154):'Predictor Setup'!$A$202,0)+E154,"")</f>
        <v/>
      </c>
      <c r="G154" s="3" t="str">
        <f ca="1">IFERROR(MATCH($A154,INDIRECT("'Predictor Setup'!A"&amp;3+F154):'Predictor Setup'!$A$202,0)+F154,"")</f>
        <v/>
      </c>
      <c r="H154" s="3" t="str">
        <f ca="1">IFERROR(MATCH($A154,INDIRECT("'Predictor Setup'!A"&amp;3+G154):'Predictor Setup'!$A$202,0)+G154,"")</f>
        <v/>
      </c>
      <c r="I154" s="3" t="str">
        <f ca="1">IFERROR(MATCH($A154,INDIRECT("'Predictor Setup'!A"&amp;3+H154):'Predictor Setup'!$A$202,0)+H154,"")</f>
        <v/>
      </c>
      <c r="J154" s="3" t="str">
        <f ca="1">IFERROR(MATCH($A154,INDIRECT("'Predictor Setup'!A"&amp;3+I154):'Predictor Setup'!$A$202,0)+I154,"")</f>
        <v/>
      </c>
      <c r="K154" s="3" t="str">
        <f ca="1">IFERROR(MATCH($A154,INDIRECT("'Predictor Setup'!A"&amp;3+J154):'Predictor Setup'!$A$202,0)+J154,"")</f>
        <v/>
      </c>
      <c r="L154" s="3" t="str">
        <f ca="1">IFERROR(MATCH($A154,INDIRECT("'Predictor Setup'!A"&amp;3+K154):'Predictor Setup'!$A$202,0)+K154,"")</f>
        <v/>
      </c>
      <c r="M154" s="3" t="str">
        <f ca="1">IFERROR(MATCH($A154,INDIRECT("'Predictor Setup'!A"&amp;3+L154):'Predictor Setup'!$A$202,0)+L154,"")</f>
        <v/>
      </c>
      <c r="N154" s="3" t="str">
        <f ca="1">IFERROR(MATCH($A154,INDIRECT("'Predictor Setup'!A"&amp;3+M154):'Predictor Setup'!$A$202,0)+M154,"")</f>
        <v/>
      </c>
      <c r="O154" s="3" t="str">
        <f ca="1">IFERROR(MATCH($A154,INDIRECT("'Predictor Setup'!A"&amp;3+N154):'Predictor Setup'!$A$202,0)+N154,"")</f>
        <v/>
      </c>
      <c r="P154" s="3" t="str">
        <f ca="1">IFERROR(MATCH($A154,INDIRECT("'Predictor Setup'!A"&amp;3+O154):'Predictor Setup'!$A$202,0)+O154,"")</f>
        <v/>
      </c>
    </row>
    <row r="155" spans="1:16" x14ac:dyDescent="0.35">
      <c r="A155" t="str">
        <f>IF('Predictor Setup'!A143="",A154,'Predictor Setup'!A143)</f>
        <v>Facility</v>
      </c>
      <c r="B155" t="e">
        <f>MATCH($A155,'Predictor Setup'!$A$3:$A$202,0)</f>
        <v>#N/A</v>
      </c>
      <c r="C155" s="3" t="str">
        <f ca="1">IFERROR(MATCH($A155,INDIRECT("'Predictor Setup'!A"&amp;3+B155):'Predictor Setup'!$A$202,0)+B155,"")</f>
        <v/>
      </c>
      <c r="D155" s="3" t="str">
        <f ca="1">IFERROR(MATCH($A155,INDIRECT("'Predictor Setup'!A"&amp;3+C155):'Predictor Setup'!$A$202,0)+C155,"")</f>
        <v/>
      </c>
      <c r="E155" s="3" t="str">
        <f ca="1">IFERROR(MATCH($A155,INDIRECT("'Predictor Setup'!A"&amp;3+D155):'Predictor Setup'!$A$202,0)+D155,"")</f>
        <v/>
      </c>
      <c r="F155" s="3" t="str">
        <f ca="1">IFERROR(MATCH($A155,INDIRECT("'Predictor Setup'!A"&amp;3+E155):'Predictor Setup'!$A$202,0)+E155,"")</f>
        <v/>
      </c>
      <c r="G155" s="3" t="str">
        <f ca="1">IFERROR(MATCH($A155,INDIRECT("'Predictor Setup'!A"&amp;3+F155):'Predictor Setup'!$A$202,0)+F155,"")</f>
        <v/>
      </c>
      <c r="H155" s="3" t="str">
        <f ca="1">IFERROR(MATCH($A155,INDIRECT("'Predictor Setup'!A"&amp;3+G155):'Predictor Setup'!$A$202,0)+G155,"")</f>
        <v/>
      </c>
      <c r="I155" s="3" t="str">
        <f ca="1">IFERROR(MATCH($A155,INDIRECT("'Predictor Setup'!A"&amp;3+H155):'Predictor Setup'!$A$202,0)+H155,"")</f>
        <v/>
      </c>
      <c r="J155" s="3" t="str">
        <f ca="1">IFERROR(MATCH($A155,INDIRECT("'Predictor Setup'!A"&amp;3+I155):'Predictor Setup'!$A$202,0)+I155,"")</f>
        <v/>
      </c>
      <c r="K155" s="3" t="str">
        <f ca="1">IFERROR(MATCH($A155,INDIRECT("'Predictor Setup'!A"&amp;3+J155):'Predictor Setup'!$A$202,0)+J155,"")</f>
        <v/>
      </c>
      <c r="L155" s="3" t="str">
        <f ca="1">IFERROR(MATCH($A155,INDIRECT("'Predictor Setup'!A"&amp;3+K155):'Predictor Setup'!$A$202,0)+K155,"")</f>
        <v/>
      </c>
      <c r="M155" s="3" t="str">
        <f ca="1">IFERROR(MATCH($A155,INDIRECT("'Predictor Setup'!A"&amp;3+L155):'Predictor Setup'!$A$202,0)+L155,"")</f>
        <v/>
      </c>
      <c r="N155" s="3" t="str">
        <f ca="1">IFERROR(MATCH($A155,INDIRECT("'Predictor Setup'!A"&amp;3+M155):'Predictor Setup'!$A$202,0)+M155,"")</f>
        <v/>
      </c>
      <c r="O155" s="3" t="str">
        <f ca="1">IFERROR(MATCH($A155,INDIRECT("'Predictor Setup'!A"&amp;3+N155):'Predictor Setup'!$A$202,0)+N155,"")</f>
        <v/>
      </c>
      <c r="P155" s="3" t="str">
        <f ca="1">IFERROR(MATCH($A155,INDIRECT("'Predictor Setup'!A"&amp;3+O155):'Predictor Setup'!$A$202,0)+O155,"")</f>
        <v/>
      </c>
    </row>
    <row r="156" spans="1:16" x14ac:dyDescent="0.35">
      <c r="A156" t="str">
        <f>IF('Predictor Setup'!A144="",A155,'Predictor Setup'!A144)</f>
        <v>Facility</v>
      </c>
      <c r="B156" t="e">
        <f>MATCH($A156,'Predictor Setup'!$A$3:$A$202,0)</f>
        <v>#N/A</v>
      </c>
      <c r="C156" s="3" t="str">
        <f ca="1">IFERROR(MATCH($A156,INDIRECT("'Predictor Setup'!A"&amp;3+B156):'Predictor Setup'!$A$202,0)+B156,"")</f>
        <v/>
      </c>
      <c r="D156" s="3" t="str">
        <f ca="1">IFERROR(MATCH($A156,INDIRECT("'Predictor Setup'!A"&amp;3+C156):'Predictor Setup'!$A$202,0)+C156,"")</f>
        <v/>
      </c>
      <c r="E156" s="3" t="str">
        <f ca="1">IFERROR(MATCH($A156,INDIRECT("'Predictor Setup'!A"&amp;3+D156):'Predictor Setup'!$A$202,0)+D156,"")</f>
        <v/>
      </c>
      <c r="F156" s="3" t="str">
        <f ca="1">IFERROR(MATCH($A156,INDIRECT("'Predictor Setup'!A"&amp;3+E156):'Predictor Setup'!$A$202,0)+E156,"")</f>
        <v/>
      </c>
      <c r="G156" s="3" t="str">
        <f ca="1">IFERROR(MATCH($A156,INDIRECT("'Predictor Setup'!A"&amp;3+F156):'Predictor Setup'!$A$202,0)+F156,"")</f>
        <v/>
      </c>
      <c r="H156" s="3" t="str">
        <f ca="1">IFERROR(MATCH($A156,INDIRECT("'Predictor Setup'!A"&amp;3+G156):'Predictor Setup'!$A$202,0)+G156,"")</f>
        <v/>
      </c>
      <c r="I156" s="3" t="str">
        <f ca="1">IFERROR(MATCH($A156,INDIRECT("'Predictor Setup'!A"&amp;3+H156):'Predictor Setup'!$A$202,0)+H156,"")</f>
        <v/>
      </c>
      <c r="J156" s="3" t="str">
        <f ca="1">IFERROR(MATCH($A156,INDIRECT("'Predictor Setup'!A"&amp;3+I156):'Predictor Setup'!$A$202,0)+I156,"")</f>
        <v/>
      </c>
      <c r="K156" s="3" t="str">
        <f ca="1">IFERROR(MATCH($A156,INDIRECT("'Predictor Setup'!A"&amp;3+J156):'Predictor Setup'!$A$202,0)+J156,"")</f>
        <v/>
      </c>
      <c r="L156" s="3" t="str">
        <f ca="1">IFERROR(MATCH($A156,INDIRECT("'Predictor Setup'!A"&amp;3+K156):'Predictor Setup'!$A$202,0)+K156,"")</f>
        <v/>
      </c>
      <c r="M156" s="3" t="str">
        <f ca="1">IFERROR(MATCH($A156,INDIRECT("'Predictor Setup'!A"&amp;3+L156):'Predictor Setup'!$A$202,0)+L156,"")</f>
        <v/>
      </c>
      <c r="N156" s="3" t="str">
        <f ca="1">IFERROR(MATCH($A156,INDIRECT("'Predictor Setup'!A"&amp;3+M156):'Predictor Setup'!$A$202,0)+M156,"")</f>
        <v/>
      </c>
      <c r="O156" s="3" t="str">
        <f ca="1">IFERROR(MATCH($A156,INDIRECT("'Predictor Setup'!A"&amp;3+N156):'Predictor Setup'!$A$202,0)+N156,"")</f>
        <v/>
      </c>
      <c r="P156" s="3" t="str">
        <f ca="1">IFERROR(MATCH($A156,INDIRECT("'Predictor Setup'!A"&amp;3+O156):'Predictor Setup'!$A$202,0)+O156,"")</f>
        <v/>
      </c>
    </row>
    <row r="157" spans="1:16" x14ac:dyDescent="0.35">
      <c r="A157" t="str">
        <f>IF('Predictor Setup'!A145="",A156,'Predictor Setup'!A145)</f>
        <v>Facility</v>
      </c>
      <c r="B157" t="e">
        <f>MATCH($A157,'Predictor Setup'!$A$3:$A$202,0)</f>
        <v>#N/A</v>
      </c>
      <c r="C157" s="3" t="str">
        <f ca="1">IFERROR(MATCH($A157,INDIRECT("'Predictor Setup'!A"&amp;3+B157):'Predictor Setup'!$A$202,0)+B157,"")</f>
        <v/>
      </c>
      <c r="D157" s="3" t="str">
        <f ca="1">IFERROR(MATCH($A157,INDIRECT("'Predictor Setup'!A"&amp;3+C157):'Predictor Setup'!$A$202,0)+C157,"")</f>
        <v/>
      </c>
      <c r="E157" s="3" t="str">
        <f ca="1">IFERROR(MATCH($A157,INDIRECT("'Predictor Setup'!A"&amp;3+D157):'Predictor Setup'!$A$202,0)+D157,"")</f>
        <v/>
      </c>
      <c r="F157" s="3" t="str">
        <f ca="1">IFERROR(MATCH($A157,INDIRECT("'Predictor Setup'!A"&amp;3+E157):'Predictor Setup'!$A$202,0)+E157,"")</f>
        <v/>
      </c>
      <c r="G157" s="3" t="str">
        <f ca="1">IFERROR(MATCH($A157,INDIRECT("'Predictor Setup'!A"&amp;3+F157):'Predictor Setup'!$A$202,0)+F157,"")</f>
        <v/>
      </c>
      <c r="H157" s="3" t="str">
        <f ca="1">IFERROR(MATCH($A157,INDIRECT("'Predictor Setup'!A"&amp;3+G157):'Predictor Setup'!$A$202,0)+G157,"")</f>
        <v/>
      </c>
      <c r="I157" s="3" t="str">
        <f ca="1">IFERROR(MATCH($A157,INDIRECT("'Predictor Setup'!A"&amp;3+H157):'Predictor Setup'!$A$202,0)+H157,"")</f>
        <v/>
      </c>
      <c r="J157" s="3" t="str">
        <f ca="1">IFERROR(MATCH($A157,INDIRECT("'Predictor Setup'!A"&amp;3+I157):'Predictor Setup'!$A$202,0)+I157,"")</f>
        <v/>
      </c>
      <c r="K157" s="3" t="str">
        <f ca="1">IFERROR(MATCH($A157,INDIRECT("'Predictor Setup'!A"&amp;3+J157):'Predictor Setup'!$A$202,0)+J157,"")</f>
        <v/>
      </c>
      <c r="L157" s="3" t="str">
        <f ca="1">IFERROR(MATCH($A157,INDIRECT("'Predictor Setup'!A"&amp;3+K157):'Predictor Setup'!$A$202,0)+K157,"")</f>
        <v/>
      </c>
      <c r="M157" s="3" t="str">
        <f ca="1">IFERROR(MATCH($A157,INDIRECT("'Predictor Setup'!A"&amp;3+L157):'Predictor Setup'!$A$202,0)+L157,"")</f>
        <v/>
      </c>
      <c r="N157" s="3" t="str">
        <f ca="1">IFERROR(MATCH($A157,INDIRECT("'Predictor Setup'!A"&amp;3+M157):'Predictor Setup'!$A$202,0)+M157,"")</f>
        <v/>
      </c>
      <c r="O157" s="3" t="str">
        <f ca="1">IFERROR(MATCH($A157,INDIRECT("'Predictor Setup'!A"&amp;3+N157):'Predictor Setup'!$A$202,0)+N157,"")</f>
        <v/>
      </c>
      <c r="P157" s="3" t="str">
        <f ca="1">IFERROR(MATCH($A157,INDIRECT("'Predictor Setup'!A"&amp;3+O157):'Predictor Setup'!$A$202,0)+O157,"")</f>
        <v/>
      </c>
    </row>
    <row r="158" spans="1:16" x14ac:dyDescent="0.35">
      <c r="A158" t="str">
        <f>IF('Predictor Setup'!A146="",A157,'Predictor Setup'!A146)</f>
        <v>Facility</v>
      </c>
      <c r="B158" t="e">
        <f>MATCH($A158,'Predictor Setup'!$A$3:$A$202,0)</f>
        <v>#N/A</v>
      </c>
      <c r="C158" s="3" t="str">
        <f ca="1">IFERROR(MATCH($A158,INDIRECT("'Predictor Setup'!A"&amp;3+B158):'Predictor Setup'!$A$202,0)+B158,"")</f>
        <v/>
      </c>
      <c r="D158" s="3" t="str">
        <f ca="1">IFERROR(MATCH($A158,INDIRECT("'Predictor Setup'!A"&amp;3+C158):'Predictor Setup'!$A$202,0)+C158,"")</f>
        <v/>
      </c>
      <c r="E158" s="3" t="str">
        <f ca="1">IFERROR(MATCH($A158,INDIRECT("'Predictor Setup'!A"&amp;3+D158):'Predictor Setup'!$A$202,0)+D158,"")</f>
        <v/>
      </c>
      <c r="F158" s="3" t="str">
        <f ca="1">IFERROR(MATCH($A158,INDIRECT("'Predictor Setup'!A"&amp;3+E158):'Predictor Setup'!$A$202,0)+E158,"")</f>
        <v/>
      </c>
      <c r="G158" s="3" t="str">
        <f ca="1">IFERROR(MATCH($A158,INDIRECT("'Predictor Setup'!A"&amp;3+F158):'Predictor Setup'!$A$202,0)+F158,"")</f>
        <v/>
      </c>
      <c r="H158" s="3" t="str">
        <f ca="1">IFERROR(MATCH($A158,INDIRECT("'Predictor Setup'!A"&amp;3+G158):'Predictor Setup'!$A$202,0)+G158,"")</f>
        <v/>
      </c>
      <c r="I158" s="3" t="str">
        <f ca="1">IFERROR(MATCH($A158,INDIRECT("'Predictor Setup'!A"&amp;3+H158):'Predictor Setup'!$A$202,0)+H158,"")</f>
        <v/>
      </c>
      <c r="J158" s="3" t="str">
        <f ca="1">IFERROR(MATCH($A158,INDIRECT("'Predictor Setup'!A"&amp;3+I158):'Predictor Setup'!$A$202,0)+I158,"")</f>
        <v/>
      </c>
      <c r="K158" s="3" t="str">
        <f ca="1">IFERROR(MATCH($A158,INDIRECT("'Predictor Setup'!A"&amp;3+J158):'Predictor Setup'!$A$202,0)+J158,"")</f>
        <v/>
      </c>
      <c r="L158" s="3" t="str">
        <f ca="1">IFERROR(MATCH($A158,INDIRECT("'Predictor Setup'!A"&amp;3+K158):'Predictor Setup'!$A$202,0)+K158,"")</f>
        <v/>
      </c>
      <c r="M158" s="3" t="str">
        <f ca="1">IFERROR(MATCH($A158,INDIRECT("'Predictor Setup'!A"&amp;3+L158):'Predictor Setup'!$A$202,0)+L158,"")</f>
        <v/>
      </c>
      <c r="N158" s="3" t="str">
        <f ca="1">IFERROR(MATCH($A158,INDIRECT("'Predictor Setup'!A"&amp;3+M158):'Predictor Setup'!$A$202,0)+M158,"")</f>
        <v/>
      </c>
      <c r="O158" s="3" t="str">
        <f ca="1">IFERROR(MATCH($A158,INDIRECT("'Predictor Setup'!A"&amp;3+N158):'Predictor Setup'!$A$202,0)+N158,"")</f>
        <v/>
      </c>
      <c r="P158" s="3" t="str">
        <f ca="1">IFERROR(MATCH($A158,INDIRECT("'Predictor Setup'!A"&amp;3+O158):'Predictor Setup'!$A$202,0)+O158,"")</f>
        <v/>
      </c>
    </row>
    <row r="159" spans="1:16" x14ac:dyDescent="0.35">
      <c r="A159" t="str">
        <f>IF('Predictor Setup'!A147="",A158,'Predictor Setup'!A147)</f>
        <v>Facility</v>
      </c>
      <c r="B159" t="e">
        <f>MATCH($A159,'Predictor Setup'!$A$3:$A$202,0)</f>
        <v>#N/A</v>
      </c>
      <c r="C159" s="3" t="str">
        <f ca="1">IFERROR(MATCH($A159,INDIRECT("'Predictor Setup'!A"&amp;3+B159):'Predictor Setup'!$A$202,0)+B159,"")</f>
        <v/>
      </c>
      <c r="D159" s="3" t="str">
        <f ca="1">IFERROR(MATCH($A159,INDIRECT("'Predictor Setup'!A"&amp;3+C159):'Predictor Setup'!$A$202,0)+C159,"")</f>
        <v/>
      </c>
      <c r="E159" s="3" t="str">
        <f ca="1">IFERROR(MATCH($A159,INDIRECT("'Predictor Setup'!A"&amp;3+D159):'Predictor Setup'!$A$202,0)+D159,"")</f>
        <v/>
      </c>
      <c r="F159" s="3" t="str">
        <f ca="1">IFERROR(MATCH($A159,INDIRECT("'Predictor Setup'!A"&amp;3+E159):'Predictor Setup'!$A$202,0)+E159,"")</f>
        <v/>
      </c>
      <c r="G159" s="3" t="str">
        <f ca="1">IFERROR(MATCH($A159,INDIRECT("'Predictor Setup'!A"&amp;3+F159):'Predictor Setup'!$A$202,0)+F159,"")</f>
        <v/>
      </c>
      <c r="H159" s="3" t="str">
        <f ca="1">IFERROR(MATCH($A159,INDIRECT("'Predictor Setup'!A"&amp;3+G159):'Predictor Setup'!$A$202,0)+G159,"")</f>
        <v/>
      </c>
      <c r="I159" s="3" t="str">
        <f ca="1">IFERROR(MATCH($A159,INDIRECT("'Predictor Setup'!A"&amp;3+H159):'Predictor Setup'!$A$202,0)+H159,"")</f>
        <v/>
      </c>
      <c r="J159" s="3" t="str">
        <f ca="1">IFERROR(MATCH($A159,INDIRECT("'Predictor Setup'!A"&amp;3+I159):'Predictor Setup'!$A$202,0)+I159,"")</f>
        <v/>
      </c>
      <c r="K159" s="3" t="str">
        <f ca="1">IFERROR(MATCH($A159,INDIRECT("'Predictor Setup'!A"&amp;3+J159):'Predictor Setup'!$A$202,0)+J159,"")</f>
        <v/>
      </c>
      <c r="L159" s="3" t="str">
        <f ca="1">IFERROR(MATCH($A159,INDIRECT("'Predictor Setup'!A"&amp;3+K159):'Predictor Setup'!$A$202,0)+K159,"")</f>
        <v/>
      </c>
      <c r="M159" s="3" t="str">
        <f ca="1">IFERROR(MATCH($A159,INDIRECT("'Predictor Setup'!A"&amp;3+L159):'Predictor Setup'!$A$202,0)+L159,"")</f>
        <v/>
      </c>
      <c r="N159" s="3" t="str">
        <f ca="1">IFERROR(MATCH($A159,INDIRECT("'Predictor Setup'!A"&amp;3+M159):'Predictor Setup'!$A$202,0)+M159,"")</f>
        <v/>
      </c>
      <c r="O159" s="3" t="str">
        <f ca="1">IFERROR(MATCH($A159,INDIRECT("'Predictor Setup'!A"&amp;3+N159):'Predictor Setup'!$A$202,0)+N159,"")</f>
        <v/>
      </c>
      <c r="P159" s="3" t="str">
        <f ca="1">IFERROR(MATCH($A159,INDIRECT("'Predictor Setup'!A"&amp;3+O159):'Predictor Setup'!$A$202,0)+O159,"")</f>
        <v/>
      </c>
    </row>
    <row r="160" spans="1:16" x14ac:dyDescent="0.35">
      <c r="A160" t="str">
        <f>IF('Predictor Setup'!A148="",A159,'Predictor Setup'!A148)</f>
        <v>Facility</v>
      </c>
      <c r="B160" t="e">
        <f>MATCH($A160,'Predictor Setup'!$A$3:$A$202,0)</f>
        <v>#N/A</v>
      </c>
      <c r="C160" s="3" t="str">
        <f ca="1">IFERROR(MATCH($A160,INDIRECT("'Predictor Setup'!A"&amp;3+B160):'Predictor Setup'!$A$202,0)+B160,"")</f>
        <v/>
      </c>
      <c r="D160" s="3" t="str">
        <f ca="1">IFERROR(MATCH($A160,INDIRECT("'Predictor Setup'!A"&amp;3+C160):'Predictor Setup'!$A$202,0)+C160,"")</f>
        <v/>
      </c>
      <c r="E160" s="3" t="str">
        <f ca="1">IFERROR(MATCH($A160,INDIRECT("'Predictor Setup'!A"&amp;3+D160):'Predictor Setup'!$A$202,0)+D160,"")</f>
        <v/>
      </c>
      <c r="F160" s="3" t="str">
        <f ca="1">IFERROR(MATCH($A160,INDIRECT("'Predictor Setup'!A"&amp;3+E160):'Predictor Setup'!$A$202,0)+E160,"")</f>
        <v/>
      </c>
      <c r="G160" s="3" t="str">
        <f ca="1">IFERROR(MATCH($A160,INDIRECT("'Predictor Setup'!A"&amp;3+F160):'Predictor Setup'!$A$202,0)+F160,"")</f>
        <v/>
      </c>
      <c r="H160" s="3" t="str">
        <f ca="1">IFERROR(MATCH($A160,INDIRECT("'Predictor Setup'!A"&amp;3+G160):'Predictor Setup'!$A$202,0)+G160,"")</f>
        <v/>
      </c>
      <c r="I160" s="3" t="str">
        <f ca="1">IFERROR(MATCH($A160,INDIRECT("'Predictor Setup'!A"&amp;3+H160):'Predictor Setup'!$A$202,0)+H160,"")</f>
        <v/>
      </c>
      <c r="J160" s="3" t="str">
        <f ca="1">IFERROR(MATCH($A160,INDIRECT("'Predictor Setup'!A"&amp;3+I160):'Predictor Setup'!$A$202,0)+I160,"")</f>
        <v/>
      </c>
      <c r="K160" s="3" t="str">
        <f ca="1">IFERROR(MATCH($A160,INDIRECT("'Predictor Setup'!A"&amp;3+J160):'Predictor Setup'!$A$202,0)+J160,"")</f>
        <v/>
      </c>
      <c r="L160" s="3" t="str">
        <f ca="1">IFERROR(MATCH($A160,INDIRECT("'Predictor Setup'!A"&amp;3+K160):'Predictor Setup'!$A$202,0)+K160,"")</f>
        <v/>
      </c>
      <c r="M160" s="3" t="str">
        <f ca="1">IFERROR(MATCH($A160,INDIRECT("'Predictor Setup'!A"&amp;3+L160):'Predictor Setup'!$A$202,0)+L160,"")</f>
        <v/>
      </c>
      <c r="N160" s="3" t="str">
        <f ca="1">IFERROR(MATCH($A160,INDIRECT("'Predictor Setup'!A"&amp;3+M160):'Predictor Setup'!$A$202,0)+M160,"")</f>
        <v/>
      </c>
      <c r="O160" s="3" t="str">
        <f ca="1">IFERROR(MATCH($A160,INDIRECT("'Predictor Setup'!A"&amp;3+N160):'Predictor Setup'!$A$202,0)+N160,"")</f>
        <v/>
      </c>
      <c r="P160" s="3" t="str">
        <f ca="1">IFERROR(MATCH($A160,INDIRECT("'Predictor Setup'!A"&amp;3+O160):'Predictor Setup'!$A$202,0)+O160,"")</f>
        <v/>
      </c>
    </row>
    <row r="161" spans="1:16" x14ac:dyDescent="0.35">
      <c r="A161" t="str">
        <f>IF('Predictor Setup'!A149="",A160,'Predictor Setup'!A149)</f>
        <v>Facility</v>
      </c>
      <c r="B161" t="e">
        <f>MATCH($A161,'Predictor Setup'!$A$3:$A$202,0)</f>
        <v>#N/A</v>
      </c>
      <c r="C161" s="3" t="str">
        <f ca="1">IFERROR(MATCH($A161,INDIRECT("'Predictor Setup'!A"&amp;3+B161):'Predictor Setup'!$A$202,0)+B161,"")</f>
        <v/>
      </c>
      <c r="D161" s="3" t="str">
        <f ca="1">IFERROR(MATCH($A161,INDIRECT("'Predictor Setup'!A"&amp;3+C161):'Predictor Setup'!$A$202,0)+C161,"")</f>
        <v/>
      </c>
      <c r="E161" s="3" t="str">
        <f ca="1">IFERROR(MATCH($A161,INDIRECT("'Predictor Setup'!A"&amp;3+D161):'Predictor Setup'!$A$202,0)+D161,"")</f>
        <v/>
      </c>
      <c r="F161" s="3" t="str">
        <f ca="1">IFERROR(MATCH($A161,INDIRECT("'Predictor Setup'!A"&amp;3+E161):'Predictor Setup'!$A$202,0)+E161,"")</f>
        <v/>
      </c>
      <c r="G161" s="3" t="str">
        <f ca="1">IFERROR(MATCH($A161,INDIRECT("'Predictor Setup'!A"&amp;3+F161):'Predictor Setup'!$A$202,0)+F161,"")</f>
        <v/>
      </c>
      <c r="H161" s="3" t="str">
        <f ca="1">IFERROR(MATCH($A161,INDIRECT("'Predictor Setup'!A"&amp;3+G161):'Predictor Setup'!$A$202,0)+G161,"")</f>
        <v/>
      </c>
      <c r="I161" s="3" t="str">
        <f ca="1">IFERROR(MATCH($A161,INDIRECT("'Predictor Setup'!A"&amp;3+H161):'Predictor Setup'!$A$202,0)+H161,"")</f>
        <v/>
      </c>
      <c r="J161" s="3" t="str">
        <f ca="1">IFERROR(MATCH($A161,INDIRECT("'Predictor Setup'!A"&amp;3+I161):'Predictor Setup'!$A$202,0)+I161,"")</f>
        <v/>
      </c>
      <c r="K161" s="3" t="str">
        <f ca="1">IFERROR(MATCH($A161,INDIRECT("'Predictor Setup'!A"&amp;3+J161):'Predictor Setup'!$A$202,0)+J161,"")</f>
        <v/>
      </c>
      <c r="L161" s="3" t="str">
        <f ca="1">IFERROR(MATCH($A161,INDIRECT("'Predictor Setup'!A"&amp;3+K161):'Predictor Setup'!$A$202,0)+K161,"")</f>
        <v/>
      </c>
      <c r="M161" s="3" t="str">
        <f ca="1">IFERROR(MATCH($A161,INDIRECT("'Predictor Setup'!A"&amp;3+L161):'Predictor Setup'!$A$202,0)+L161,"")</f>
        <v/>
      </c>
      <c r="N161" s="3" t="str">
        <f ca="1">IFERROR(MATCH($A161,INDIRECT("'Predictor Setup'!A"&amp;3+M161):'Predictor Setup'!$A$202,0)+M161,"")</f>
        <v/>
      </c>
      <c r="O161" s="3" t="str">
        <f ca="1">IFERROR(MATCH($A161,INDIRECT("'Predictor Setup'!A"&amp;3+N161):'Predictor Setup'!$A$202,0)+N161,"")</f>
        <v/>
      </c>
      <c r="P161" s="3" t="str">
        <f ca="1">IFERROR(MATCH($A161,INDIRECT("'Predictor Setup'!A"&amp;3+O161):'Predictor Setup'!$A$202,0)+O161,"")</f>
        <v/>
      </c>
    </row>
    <row r="162" spans="1:16" x14ac:dyDescent="0.35">
      <c r="A162" t="str">
        <f>IF('Predictor Setup'!A150="",A161,'Predictor Setup'!A150)</f>
        <v>Facility</v>
      </c>
      <c r="B162" t="e">
        <f>MATCH($A162,'Predictor Setup'!$A$3:$A$202,0)</f>
        <v>#N/A</v>
      </c>
      <c r="C162" s="3" t="str">
        <f ca="1">IFERROR(MATCH($A162,INDIRECT("'Predictor Setup'!A"&amp;3+B162):'Predictor Setup'!$A$202,0)+B162,"")</f>
        <v/>
      </c>
      <c r="D162" s="3" t="str">
        <f ca="1">IFERROR(MATCH($A162,INDIRECT("'Predictor Setup'!A"&amp;3+C162):'Predictor Setup'!$A$202,0)+C162,"")</f>
        <v/>
      </c>
      <c r="E162" s="3" t="str">
        <f ca="1">IFERROR(MATCH($A162,INDIRECT("'Predictor Setup'!A"&amp;3+D162):'Predictor Setup'!$A$202,0)+D162,"")</f>
        <v/>
      </c>
      <c r="F162" s="3" t="str">
        <f ca="1">IFERROR(MATCH($A162,INDIRECT("'Predictor Setup'!A"&amp;3+E162):'Predictor Setup'!$A$202,0)+E162,"")</f>
        <v/>
      </c>
      <c r="G162" s="3" t="str">
        <f ca="1">IFERROR(MATCH($A162,INDIRECT("'Predictor Setup'!A"&amp;3+F162):'Predictor Setup'!$A$202,0)+F162,"")</f>
        <v/>
      </c>
      <c r="H162" s="3" t="str">
        <f ca="1">IFERROR(MATCH($A162,INDIRECT("'Predictor Setup'!A"&amp;3+G162):'Predictor Setup'!$A$202,0)+G162,"")</f>
        <v/>
      </c>
      <c r="I162" s="3" t="str">
        <f ca="1">IFERROR(MATCH($A162,INDIRECT("'Predictor Setup'!A"&amp;3+H162):'Predictor Setup'!$A$202,0)+H162,"")</f>
        <v/>
      </c>
      <c r="J162" s="3" t="str">
        <f ca="1">IFERROR(MATCH($A162,INDIRECT("'Predictor Setup'!A"&amp;3+I162):'Predictor Setup'!$A$202,0)+I162,"")</f>
        <v/>
      </c>
      <c r="K162" s="3" t="str">
        <f ca="1">IFERROR(MATCH($A162,INDIRECT("'Predictor Setup'!A"&amp;3+J162):'Predictor Setup'!$A$202,0)+J162,"")</f>
        <v/>
      </c>
      <c r="L162" s="3" t="str">
        <f ca="1">IFERROR(MATCH($A162,INDIRECT("'Predictor Setup'!A"&amp;3+K162):'Predictor Setup'!$A$202,0)+K162,"")</f>
        <v/>
      </c>
      <c r="M162" s="3" t="str">
        <f ca="1">IFERROR(MATCH($A162,INDIRECT("'Predictor Setup'!A"&amp;3+L162):'Predictor Setup'!$A$202,0)+L162,"")</f>
        <v/>
      </c>
      <c r="N162" s="3" t="str">
        <f ca="1">IFERROR(MATCH($A162,INDIRECT("'Predictor Setup'!A"&amp;3+M162):'Predictor Setup'!$A$202,0)+M162,"")</f>
        <v/>
      </c>
      <c r="O162" s="3" t="str">
        <f ca="1">IFERROR(MATCH($A162,INDIRECT("'Predictor Setup'!A"&amp;3+N162):'Predictor Setup'!$A$202,0)+N162,"")</f>
        <v/>
      </c>
      <c r="P162" s="3" t="str">
        <f ca="1">IFERROR(MATCH($A162,INDIRECT("'Predictor Setup'!A"&amp;3+O162):'Predictor Setup'!$A$202,0)+O162,"")</f>
        <v/>
      </c>
    </row>
    <row r="163" spans="1:16" x14ac:dyDescent="0.35">
      <c r="A163" t="str">
        <f>IF('Predictor Setup'!A151="",A162,'Predictor Setup'!A151)</f>
        <v>Facility</v>
      </c>
      <c r="B163" t="e">
        <f>MATCH($A163,'Predictor Setup'!$A$3:$A$202,0)</f>
        <v>#N/A</v>
      </c>
      <c r="C163" s="3" t="str">
        <f ca="1">IFERROR(MATCH($A163,INDIRECT("'Predictor Setup'!A"&amp;3+B163):'Predictor Setup'!$A$202,0)+B163,"")</f>
        <v/>
      </c>
      <c r="D163" s="3" t="str">
        <f ca="1">IFERROR(MATCH($A163,INDIRECT("'Predictor Setup'!A"&amp;3+C163):'Predictor Setup'!$A$202,0)+C163,"")</f>
        <v/>
      </c>
      <c r="E163" s="3" t="str">
        <f ca="1">IFERROR(MATCH($A163,INDIRECT("'Predictor Setup'!A"&amp;3+D163):'Predictor Setup'!$A$202,0)+D163,"")</f>
        <v/>
      </c>
      <c r="F163" s="3" t="str">
        <f ca="1">IFERROR(MATCH($A163,INDIRECT("'Predictor Setup'!A"&amp;3+E163):'Predictor Setup'!$A$202,0)+E163,"")</f>
        <v/>
      </c>
      <c r="G163" s="3" t="str">
        <f ca="1">IFERROR(MATCH($A163,INDIRECT("'Predictor Setup'!A"&amp;3+F163):'Predictor Setup'!$A$202,0)+F163,"")</f>
        <v/>
      </c>
      <c r="H163" s="3" t="str">
        <f ca="1">IFERROR(MATCH($A163,INDIRECT("'Predictor Setup'!A"&amp;3+G163):'Predictor Setup'!$A$202,0)+G163,"")</f>
        <v/>
      </c>
      <c r="I163" s="3" t="str">
        <f ca="1">IFERROR(MATCH($A163,INDIRECT("'Predictor Setup'!A"&amp;3+H163):'Predictor Setup'!$A$202,0)+H163,"")</f>
        <v/>
      </c>
      <c r="J163" s="3" t="str">
        <f ca="1">IFERROR(MATCH($A163,INDIRECT("'Predictor Setup'!A"&amp;3+I163):'Predictor Setup'!$A$202,0)+I163,"")</f>
        <v/>
      </c>
      <c r="K163" s="3" t="str">
        <f ca="1">IFERROR(MATCH($A163,INDIRECT("'Predictor Setup'!A"&amp;3+J163):'Predictor Setup'!$A$202,0)+J163,"")</f>
        <v/>
      </c>
      <c r="L163" s="3" t="str">
        <f ca="1">IFERROR(MATCH($A163,INDIRECT("'Predictor Setup'!A"&amp;3+K163):'Predictor Setup'!$A$202,0)+K163,"")</f>
        <v/>
      </c>
      <c r="M163" s="3" t="str">
        <f ca="1">IFERROR(MATCH($A163,INDIRECT("'Predictor Setup'!A"&amp;3+L163):'Predictor Setup'!$A$202,0)+L163,"")</f>
        <v/>
      </c>
      <c r="N163" s="3" t="str">
        <f ca="1">IFERROR(MATCH($A163,INDIRECT("'Predictor Setup'!A"&amp;3+M163):'Predictor Setup'!$A$202,0)+M163,"")</f>
        <v/>
      </c>
      <c r="O163" s="3" t="str">
        <f ca="1">IFERROR(MATCH($A163,INDIRECT("'Predictor Setup'!A"&amp;3+N163):'Predictor Setup'!$A$202,0)+N163,"")</f>
        <v/>
      </c>
      <c r="P163" s="3" t="str">
        <f ca="1">IFERROR(MATCH($A163,INDIRECT("'Predictor Setup'!A"&amp;3+O163):'Predictor Setup'!$A$202,0)+O163,"")</f>
        <v/>
      </c>
    </row>
    <row r="164" spans="1:16" x14ac:dyDescent="0.35">
      <c r="A164" t="str">
        <f>IF('Predictor Setup'!A152="",A163,'Predictor Setup'!A152)</f>
        <v>Facility</v>
      </c>
      <c r="B164" t="e">
        <f>MATCH($A164,'Predictor Setup'!$A$3:$A$202,0)</f>
        <v>#N/A</v>
      </c>
      <c r="C164" s="3" t="str">
        <f ca="1">IFERROR(MATCH($A164,INDIRECT("'Predictor Setup'!A"&amp;3+B164):'Predictor Setup'!$A$202,0)+B164,"")</f>
        <v/>
      </c>
      <c r="D164" s="3" t="str">
        <f ca="1">IFERROR(MATCH($A164,INDIRECT("'Predictor Setup'!A"&amp;3+C164):'Predictor Setup'!$A$202,0)+C164,"")</f>
        <v/>
      </c>
      <c r="E164" s="3" t="str">
        <f ca="1">IFERROR(MATCH($A164,INDIRECT("'Predictor Setup'!A"&amp;3+D164):'Predictor Setup'!$A$202,0)+D164,"")</f>
        <v/>
      </c>
      <c r="F164" s="3" t="str">
        <f ca="1">IFERROR(MATCH($A164,INDIRECT("'Predictor Setup'!A"&amp;3+E164):'Predictor Setup'!$A$202,0)+E164,"")</f>
        <v/>
      </c>
      <c r="G164" s="3" t="str">
        <f ca="1">IFERROR(MATCH($A164,INDIRECT("'Predictor Setup'!A"&amp;3+F164):'Predictor Setup'!$A$202,0)+F164,"")</f>
        <v/>
      </c>
      <c r="H164" s="3" t="str">
        <f ca="1">IFERROR(MATCH($A164,INDIRECT("'Predictor Setup'!A"&amp;3+G164):'Predictor Setup'!$A$202,0)+G164,"")</f>
        <v/>
      </c>
      <c r="I164" s="3" t="str">
        <f ca="1">IFERROR(MATCH($A164,INDIRECT("'Predictor Setup'!A"&amp;3+H164):'Predictor Setup'!$A$202,0)+H164,"")</f>
        <v/>
      </c>
      <c r="J164" s="3" t="str">
        <f ca="1">IFERROR(MATCH($A164,INDIRECT("'Predictor Setup'!A"&amp;3+I164):'Predictor Setup'!$A$202,0)+I164,"")</f>
        <v/>
      </c>
      <c r="K164" s="3" t="str">
        <f ca="1">IFERROR(MATCH($A164,INDIRECT("'Predictor Setup'!A"&amp;3+J164):'Predictor Setup'!$A$202,0)+J164,"")</f>
        <v/>
      </c>
      <c r="L164" s="3" t="str">
        <f ca="1">IFERROR(MATCH($A164,INDIRECT("'Predictor Setup'!A"&amp;3+K164):'Predictor Setup'!$A$202,0)+K164,"")</f>
        <v/>
      </c>
      <c r="M164" s="3" t="str">
        <f ca="1">IFERROR(MATCH($A164,INDIRECT("'Predictor Setup'!A"&amp;3+L164):'Predictor Setup'!$A$202,0)+L164,"")</f>
        <v/>
      </c>
      <c r="N164" s="3" t="str">
        <f ca="1">IFERROR(MATCH($A164,INDIRECT("'Predictor Setup'!A"&amp;3+M164):'Predictor Setup'!$A$202,0)+M164,"")</f>
        <v/>
      </c>
      <c r="O164" s="3" t="str">
        <f ca="1">IFERROR(MATCH($A164,INDIRECT("'Predictor Setup'!A"&amp;3+N164):'Predictor Setup'!$A$202,0)+N164,"")</f>
        <v/>
      </c>
      <c r="P164" s="3" t="str">
        <f ca="1">IFERROR(MATCH($A164,INDIRECT("'Predictor Setup'!A"&amp;3+O164):'Predictor Setup'!$A$202,0)+O164,"")</f>
        <v/>
      </c>
    </row>
    <row r="165" spans="1:16" x14ac:dyDescent="0.35">
      <c r="A165" t="str">
        <f>IF('Predictor Setup'!A153="",A164,'Predictor Setup'!A153)</f>
        <v>Facility</v>
      </c>
      <c r="B165" t="e">
        <f>MATCH($A165,'Predictor Setup'!$A$3:$A$202,0)</f>
        <v>#N/A</v>
      </c>
      <c r="C165" s="3" t="str">
        <f ca="1">IFERROR(MATCH($A165,INDIRECT("'Predictor Setup'!A"&amp;3+B165):'Predictor Setup'!$A$202,0)+B165,"")</f>
        <v/>
      </c>
      <c r="D165" s="3" t="str">
        <f ca="1">IFERROR(MATCH($A165,INDIRECT("'Predictor Setup'!A"&amp;3+C165):'Predictor Setup'!$A$202,0)+C165,"")</f>
        <v/>
      </c>
      <c r="E165" s="3" t="str">
        <f ca="1">IFERROR(MATCH($A165,INDIRECT("'Predictor Setup'!A"&amp;3+D165):'Predictor Setup'!$A$202,0)+D165,"")</f>
        <v/>
      </c>
      <c r="F165" s="3" t="str">
        <f ca="1">IFERROR(MATCH($A165,INDIRECT("'Predictor Setup'!A"&amp;3+E165):'Predictor Setup'!$A$202,0)+E165,"")</f>
        <v/>
      </c>
      <c r="G165" s="3" t="str">
        <f ca="1">IFERROR(MATCH($A165,INDIRECT("'Predictor Setup'!A"&amp;3+F165):'Predictor Setup'!$A$202,0)+F165,"")</f>
        <v/>
      </c>
      <c r="H165" s="3" t="str">
        <f ca="1">IFERROR(MATCH($A165,INDIRECT("'Predictor Setup'!A"&amp;3+G165):'Predictor Setup'!$A$202,0)+G165,"")</f>
        <v/>
      </c>
      <c r="I165" s="3" t="str">
        <f ca="1">IFERROR(MATCH($A165,INDIRECT("'Predictor Setup'!A"&amp;3+H165):'Predictor Setup'!$A$202,0)+H165,"")</f>
        <v/>
      </c>
      <c r="J165" s="3" t="str">
        <f ca="1">IFERROR(MATCH($A165,INDIRECT("'Predictor Setup'!A"&amp;3+I165):'Predictor Setup'!$A$202,0)+I165,"")</f>
        <v/>
      </c>
      <c r="K165" s="3" t="str">
        <f ca="1">IFERROR(MATCH($A165,INDIRECT("'Predictor Setup'!A"&amp;3+J165):'Predictor Setup'!$A$202,0)+J165,"")</f>
        <v/>
      </c>
      <c r="L165" s="3" t="str">
        <f ca="1">IFERROR(MATCH($A165,INDIRECT("'Predictor Setup'!A"&amp;3+K165):'Predictor Setup'!$A$202,0)+K165,"")</f>
        <v/>
      </c>
      <c r="M165" s="3" t="str">
        <f ca="1">IFERROR(MATCH($A165,INDIRECT("'Predictor Setup'!A"&amp;3+L165):'Predictor Setup'!$A$202,0)+L165,"")</f>
        <v/>
      </c>
      <c r="N165" s="3" t="str">
        <f ca="1">IFERROR(MATCH($A165,INDIRECT("'Predictor Setup'!A"&amp;3+M165):'Predictor Setup'!$A$202,0)+M165,"")</f>
        <v/>
      </c>
      <c r="O165" s="3" t="str">
        <f ca="1">IFERROR(MATCH($A165,INDIRECT("'Predictor Setup'!A"&amp;3+N165):'Predictor Setup'!$A$202,0)+N165,"")</f>
        <v/>
      </c>
      <c r="P165" s="3" t="str">
        <f ca="1">IFERROR(MATCH($A165,INDIRECT("'Predictor Setup'!A"&amp;3+O165):'Predictor Setup'!$A$202,0)+O165,"")</f>
        <v/>
      </c>
    </row>
    <row r="166" spans="1:16" x14ac:dyDescent="0.35">
      <c r="A166" t="str">
        <f>IF('Predictor Setup'!A154="",A165,'Predictor Setup'!A154)</f>
        <v>Facility</v>
      </c>
      <c r="B166" t="e">
        <f>MATCH($A166,'Predictor Setup'!$A$3:$A$202,0)</f>
        <v>#N/A</v>
      </c>
      <c r="C166" s="3" t="str">
        <f ca="1">IFERROR(MATCH($A166,INDIRECT("'Predictor Setup'!A"&amp;3+B166):'Predictor Setup'!$A$202,0)+B166,"")</f>
        <v/>
      </c>
      <c r="D166" s="3" t="str">
        <f ca="1">IFERROR(MATCH($A166,INDIRECT("'Predictor Setup'!A"&amp;3+C166):'Predictor Setup'!$A$202,0)+C166,"")</f>
        <v/>
      </c>
      <c r="E166" s="3" t="str">
        <f ca="1">IFERROR(MATCH($A166,INDIRECT("'Predictor Setup'!A"&amp;3+D166):'Predictor Setup'!$A$202,0)+D166,"")</f>
        <v/>
      </c>
      <c r="F166" s="3" t="str">
        <f ca="1">IFERROR(MATCH($A166,INDIRECT("'Predictor Setup'!A"&amp;3+E166):'Predictor Setup'!$A$202,0)+E166,"")</f>
        <v/>
      </c>
      <c r="G166" s="3" t="str">
        <f ca="1">IFERROR(MATCH($A166,INDIRECT("'Predictor Setup'!A"&amp;3+F166):'Predictor Setup'!$A$202,0)+F166,"")</f>
        <v/>
      </c>
      <c r="H166" s="3" t="str">
        <f ca="1">IFERROR(MATCH($A166,INDIRECT("'Predictor Setup'!A"&amp;3+G166):'Predictor Setup'!$A$202,0)+G166,"")</f>
        <v/>
      </c>
      <c r="I166" s="3" t="str">
        <f ca="1">IFERROR(MATCH($A166,INDIRECT("'Predictor Setup'!A"&amp;3+H166):'Predictor Setup'!$A$202,0)+H166,"")</f>
        <v/>
      </c>
      <c r="J166" s="3" t="str">
        <f ca="1">IFERROR(MATCH($A166,INDIRECT("'Predictor Setup'!A"&amp;3+I166):'Predictor Setup'!$A$202,0)+I166,"")</f>
        <v/>
      </c>
      <c r="K166" s="3" t="str">
        <f ca="1">IFERROR(MATCH($A166,INDIRECT("'Predictor Setup'!A"&amp;3+J166):'Predictor Setup'!$A$202,0)+J166,"")</f>
        <v/>
      </c>
      <c r="L166" s="3" t="str">
        <f ca="1">IFERROR(MATCH($A166,INDIRECT("'Predictor Setup'!A"&amp;3+K166):'Predictor Setup'!$A$202,0)+K166,"")</f>
        <v/>
      </c>
      <c r="M166" s="3" t="str">
        <f ca="1">IFERROR(MATCH($A166,INDIRECT("'Predictor Setup'!A"&amp;3+L166):'Predictor Setup'!$A$202,0)+L166,"")</f>
        <v/>
      </c>
      <c r="N166" s="3" t="str">
        <f ca="1">IFERROR(MATCH($A166,INDIRECT("'Predictor Setup'!A"&amp;3+M166):'Predictor Setup'!$A$202,0)+M166,"")</f>
        <v/>
      </c>
      <c r="O166" s="3" t="str">
        <f ca="1">IFERROR(MATCH($A166,INDIRECT("'Predictor Setup'!A"&amp;3+N166):'Predictor Setup'!$A$202,0)+N166,"")</f>
        <v/>
      </c>
      <c r="P166" s="3" t="str">
        <f ca="1">IFERROR(MATCH($A166,INDIRECT("'Predictor Setup'!A"&amp;3+O166):'Predictor Setup'!$A$202,0)+O166,"")</f>
        <v/>
      </c>
    </row>
    <row r="167" spans="1:16" x14ac:dyDescent="0.35">
      <c r="A167" t="str">
        <f>IF('Predictor Setup'!A155="",A166,'Predictor Setup'!A155)</f>
        <v>Facility</v>
      </c>
      <c r="B167" t="e">
        <f>MATCH($A167,'Predictor Setup'!$A$3:$A$202,0)</f>
        <v>#N/A</v>
      </c>
      <c r="C167" s="3" t="str">
        <f ca="1">IFERROR(MATCH($A167,INDIRECT("'Predictor Setup'!A"&amp;3+B167):'Predictor Setup'!$A$202,0)+B167,"")</f>
        <v/>
      </c>
      <c r="D167" s="3" t="str">
        <f ca="1">IFERROR(MATCH($A167,INDIRECT("'Predictor Setup'!A"&amp;3+C167):'Predictor Setup'!$A$202,0)+C167,"")</f>
        <v/>
      </c>
      <c r="E167" s="3" t="str">
        <f ca="1">IFERROR(MATCH($A167,INDIRECT("'Predictor Setup'!A"&amp;3+D167):'Predictor Setup'!$A$202,0)+D167,"")</f>
        <v/>
      </c>
      <c r="F167" s="3" t="str">
        <f ca="1">IFERROR(MATCH($A167,INDIRECT("'Predictor Setup'!A"&amp;3+E167):'Predictor Setup'!$A$202,0)+E167,"")</f>
        <v/>
      </c>
      <c r="G167" s="3" t="str">
        <f ca="1">IFERROR(MATCH($A167,INDIRECT("'Predictor Setup'!A"&amp;3+F167):'Predictor Setup'!$A$202,0)+F167,"")</f>
        <v/>
      </c>
      <c r="H167" s="3" t="str">
        <f ca="1">IFERROR(MATCH($A167,INDIRECT("'Predictor Setup'!A"&amp;3+G167):'Predictor Setup'!$A$202,0)+G167,"")</f>
        <v/>
      </c>
      <c r="I167" s="3" t="str">
        <f ca="1">IFERROR(MATCH($A167,INDIRECT("'Predictor Setup'!A"&amp;3+H167):'Predictor Setup'!$A$202,0)+H167,"")</f>
        <v/>
      </c>
      <c r="J167" s="3" t="str">
        <f ca="1">IFERROR(MATCH($A167,INDIRECT("'Predictor Setup'!A"&amp;3+I167):'Predictor Setup'!$A$202,0)+I167,"")</f>
        <v/>
      </c>
      <c r="K167" s="3" t="str">
        <f ca="1">IFERROR(MATCH($A167,INDIRECT("'Predictor Setup'!A"&amp;3+J167):'Predictor Setup'!$A$202,0)+J167,"")</f>
        <v/>
      </c>
      <c r="L167" s="3" t="str">
        <f ca="1">IFERROR(MATCH($A167,INDIRECT("'Predictor Setup'!A"&amp;3+K167):'Predictor Setup'!$A$202,0)+K167,"")</f>
        <v/>
      </c>
      <c r="M167" s="3" t="str">
        <f ca="1">IFERROR(MATCH($A167,INDIRECT("'Predictor Setup'!A"&amp;3+L167):'Predictor Setup'!$A$202,0)+L167,"")</f>
        <v/>
      </c>
      <c r="N167" s="3" t="str">
        <f ca="1">IFERROR(MATCH($A167,INDIRECT("'Predictor Setup'!A"&amp;3+M167):'Predictor Setup'!$A$202,0)+M167,"")</f>
        <v/>
      </c>
      <c r="O167" s="3" t="str">
        <f ca="1">IFERROR(MATCH($A167,INDIRECT("'Predictor Setup'!A"&amp;3+N167):'Predictor Setup'!$A$202,0)+N167,"")</f>
        <v/>
      </c>
      <c r="P167" s="3" t="str">
        <f ca="1">IFERROR(MATCH($A167,INDIRECT("'Predictor Setup'!A"&amp;3+O167):'Predictor Setup'!$A$202,0)+O167,"")</f>
        <v/>
      </c>
    </row>
    <row r="168" spans="1:16" x14ac:dyDescent="0.35">
      <c r="A168" t="str">
        <f>IF('Predictor Setup'!A156="",A167,'Predictor Setup'!A156)</f>
        <v>Facility</v>
      </c>
      <c r="B168" t="e">
        <f>MATCH($A168,'Predictor Setup'!$A$3:$A$202,0)</f>
        <v>#N/A</v>
      </c>
      <c r="C168" s="3" t="str">
        <f ca="1">IFERROR(MATCH($A168,INDIRECT("'Predictor Setup'!A"&amp;3+B168):'Predictor Setup'!$A$202,0)+B168,"")</f>
        <v/>
      </c>
      <c r="D168" s="3" t="str">
        <f ca="1">IFERROR(MATCH($A168,INDIRECT("'Predictor Setup'!A"&amp;3+C168):'Predictor Setup'!$A$202,0)+C168,"")</f>
        <v/>
      </c>
      <c r="E168" s="3" t="str">
        <f ca="1">IFERROR(MATCH($A168,INDIRECT("'Predictor Setup'!A"&amp;3+D168):'Predictor Setup'!$A$202,0)+D168,"")</f>
        <v/>
      </c>
      <c r="F168" s="3" t="str">
        <f ca="1">IFERROR(MATCH($A168,INDIRECT("'Predictor Setup'!A"&amp;3+E168):'Predictor Setup'!$A$202,0)+E168,"")</f>
        <v/>
      </c>
      <c r="G168" s="3" t="str">
        <f ca="1">IFERROR(MATCH($A168,INDIRECT("'Predictor Setup'!A"&amp;3+F168):'Predictor Setup'!$A$202,0)+F168,"")</f>
        <v/>
      </c>
      <c r="H168" s="3" t="str">
        <f ca="1">IFERROR(MATCH($A168,INDIRECT("'Predictor Setup'!A"&amp;3+G168):'Predictor Setup'!$A$202,0)+G168,"")</f>
        <v/>
      </c>
      <c r="I168" s="3" t="str">
        <f ca="1">IFERROR(MATCH($A168,INDIRECT("'Predictor Setup'!A"&amp;3+H168):'Predictor Setup'!$A$202,0)+H168,"")</f>
        <v/>
      </c>
      <c r="J168" s="3" t="str">
        <f ca="1">IFERROR(MATCH($A168,INDIRECT("'Predictor Setup'!A"&amp;3+I168):'Predictor Setup'!$A$202,0)+I168,"")</f>
        <v/>
      </c>
      <c r="K168" s="3" t="str">
        <f ca="1">IFERROR(MATCH($A168,INDIRECT("'Predictor Setup'!A"&amp;3+J168):'Predictor Setup'!$A$202,0)+J168,"")</f>
        <v/>
      </c>
      <c r="L168" s="3" t="str">
        <f ca="1">IFERROR(MATCH($A168,INDIRECT("'Predictor Setup'!A"&amp;3+K168):'Predictor Setup'!$A$202,0)+K168,"")</f>
        <v/>
      </c>
      <c r="M168" s="3" t="str">
        <f ca="1">IFERROR(MATCH($A168,INDIRECT("'Predictor Setup'!A"&amp;3+L168):'Predictor Setup'!$A$202,0)+L168,"")</f>
        <v/>
      </c>
      <c r="N168" s="3" t="str">
        <f ca="1">IFERROR(MATCH($A168,INDIRECT("'Predictor Setup'!A"&amp;3+M168):'Predictor Setup'!$A$202,0)+M168,"")</f>
        <v/>
      </c>
      <c r="O168" s="3" t="str">
        <f ca="1">IFERROR(MATCH($A168,INDIRECT("'Predictor Setup'!A"&amp;3+N168):'Predictor Setup'!$A$202,0)+N168,"")</f>
        <v/>
      </c>
      <c r="P168" s="3" t="str">
        <f ca="1">IFERROR(MATCH($A168,INDIRECT("'Predictor Setup'!A"&amp;3+O168):'Predictor Setup'!$A$202,0)+O168,"")</f>
        <v/>
      </c>
    </row>
    <row r="169" spans="1:16" x14ac:dyDescent="0.35">
      <c r="A169" t="str">
        <f>IF('Predictor Setup'!A157="",A168,'Predictor Setup'!A157)</f>
        <v>Facility</v>
      </c>
      <c r="B169" t="e">
        <f>MATCH($A169,'Predictor Setup'!$A$3:$A$202,0)</f>
        <v>#N/A</v>
      </c>
      <c r="C169" s="3" t="str">
        <f ca="1">IFERROR(MATCH($A169,INDIRECT("'Predictor Setup'!A"&amp;3+B169):'Predictor Setup'!$A$202,0)+B169,"")</f>
        <v/>
      </c>
      <c r="D169" s="3" t="str">
        <f ca="1">IFERROR(MATCH($A169,INDIRECT("'Predictor Setup'!A"&amp;3+C169):'Predictor Setup'!$A$202,0)+C169,"")</f>
        <v/>
      </c>
      <c r="E169" s="3" t="str">
        <f ca="1">IFERROR(MATCH($A169,INDIRECT("'Predictor Setup'!A"&amp;3+D169):'Predictor Setup'!$A$202,0)+D169,"")</f>
        <v/>
      </c>
      <c r="F169" s="3" t="str">
        <f ca="1">IFERROR(MATCH($A169,INDIRECT("'Predictor Setup'!A"&amp;3+E169):'Predictor Setup'!$A$202,0)+E169,"")</f>
        <v/>
      </c>
      <c r="G169" s="3" t="str">
        <f ca="1">IFERROR(MATCH($A169,INDIRECT("'Predictor Setup'!A"&amp;3+F169):'Predictor Setup'!$A$202,0)+F169,"")</f>
        <v/>
      </c>
      <c r="H169" s="3" t="str">
        <f ca="1">IFERROR(MATCH($A169,INDIRECT("'Predictor Setup'!A"&amp;3+G169):'Predictor Setup'!$A$202,0)+G169,"")</f>
        <v/>
      </c>
      <c r="I169" s="3" t="str">
        <f ca="1">IFERROR(MATCH($A169,INDIRECT("'Predictor Setup'!A"&amp;3+H169):'Predictor Setup'!$A$202,0)+H169,"")</f>
        <v/>
      </c>
      <c r="J169" s="3" t="str">
        <f ca="1">IFERROR(MATCH($A169,INDIRECT("'Predictor Setup'!A"&amp;3+I169):'Predictor Setup'!$A$202,0)+I169,"")</f>
        <v/>
      </c>
      <c r="K169" s="3" t="str">
        <f ca="1">IFERROR(MATCH($A169,INDIRECT("'Predictor Setup'!A"&amp;3+J169):'Predictor Setup'!$A$202,0)+J169,"")</f>
        <v/>
      </c>
      <c r="L169" s="3" t="str">
        <f ca="1">IFERROR(MATCH($A169,INDIRECT("'Predictor Setup'!A"&amp;3+K169):'Predictor Setup'!$A$202,0)+K169,"")</f>
        <v/>
      </c>
      <c r="M169" s="3" t="str">
        <f ca="1">IFERROR(MATCH($A169,INDIRECT("'Predictor Setup'!A"&amp;3+L169):'Predictor Setup'!$A$202,0)+L169,"")</f>
        <v/>
      </c>
      <c r="N169" s="3" t="str">
        <f ca="1">IFERROR(MATCH($A169,INDIRECT("'Predictor Setup'!A"&amp;3+M169):'Predictor Setup'!$A$202,0)+M169,"")</f>
        <v/>
      </c>
      <c r="O169" s="3" t="str">
        <f ca="1">IFERROR(MATCH($A169,INDIRECT("'Predictor Setup'!A"&amp;3+N169):'Predictor Setup'!$A$202,0)+N169,"")</f>
        <v/>
      </c>
      <c r="P169" s="3" t="str">
        <f ca="1">IFERROR(MATCH($A169,INDIRECT("'Predictor Setup'!A"&amp;3+O169):'Predictor Setup'!$A$202,0)+O169,"")</f>
        <v/>
      </c>
    </row>
    <row r="170" spans="1:16" x14ac:dyDescent="0.35">
      <c r="A170" t="str">
        <f>IF('Predictor Setup'!A158="",A169,'Predictor Setup'!A158)</f>
        <v>Facility</v>
      </c>
      <c r="B170" t="e">
        <f>MATCH($A170,'Predictor Setup'!$A$3:$A$202,0)</f>
        <v>#N/A</v>
      </c>
      <c r="C170" s="3" t="str">
        <f ca="1">IFERROR(MATCH($A170,INDIRECT("'Predictor Setup'!A"&amp;3+B170):'Predictor Setup'!$A$202,0)+B170,"")</f>
        <v/>
      </c>
      <c r="D170" s="3" t="str">
        <f ca="1">IFERROR(MATCH($A170,INDIRECT("'Predictor Setup'!A"&amp;3+C170):'Predictor Setup'!$A$202,0)+C170,"")</f>
        <v/>
      </c>
      <c r="E170" s="3" t="str">
        <f ca="1">IFERROR(MATCH($A170,INDIRECT("'Predictor Setup'!A"&amp;3+D170):'Predictor Setup'!$A$202,0)+D170,"")</f>
        <v/>
      </c>
      <c r="F170" s="3" t="str">
        <f ca="1">IFERROR(MATCH($A170,INDIRECT("'Predictor Setup'!A"&amp;3+E170):'Predictor Setup'!$A$202,0)+E170,"")</f>
        <v/>
      </c>
      <c r="G170" s="3" t="str">
        <f ca="1">IFERROR(MATCH($A170,INDIRECT("'Predictor Setup'!A"&amp;3+F170):'Predictor Setup'!$A$202,0)+F170,"")</f>
        <v/>
      </c>
      <c r="H170" s="3" t="str">
        <f ca="1">IFERROR(MATCH($A170,INDIRECT("'Predictor Setup'!A"&amp;3+G170):'Predictor Setup'!$A$202,0)+G170,"")</f>
        <v/>
      </c>
      <c r="I170" s="3" t="str">
        <f ca="1">IFERROR(MATCH($A170,INDIRECT("'Predictor Setup'!A"&amp;3+H170):'Predictor Setup'!$A$202,0)+H170,"")</f>
        <v/>
      </c>
      <c r="J170" s="3" t="str">
        <f ca="1">IFERROR(MATCH($A170,INDIRECT("'Predictor Setup'!A"&amp;3+I170):'Predictor Setup'!$A$202,0)+I170,"")</f>
        <v/>
      </c>
      <c r="K170" s="3" t="str">
        <f ca="1">IFERROR(MATCH($A170,INDIRECT("'Predictor Setup'!A"&amp;3+J170):'Predictor Setup'!$A$202,0)+J170,"")</f>
        <v/>
      </c>
      <c r="L170" s="3" t="str">
        <f ca="1">IFERROR(MATCH($A170,INDIRECT("'Predictor Setup'!A"&amp;3+K170):'Predictor Setup'!$A$202,0)+K170,"")</f>
        <v/>
      </c>
      <c r="M170" s="3" t="str">
        <f ca="1">IFERROR(MATCH($A170,INDIRECT("'Predictor Setup'!A"&amp;3+L170):'Predictor Setup'!$A$202,0)+L170,"")</f>
        <v/>
      </c>
      <c r="N170" s="3" t="str">
        <f ca="1">IFERROR(MATCH($A170,INDIRECT("'Predictor Setup'!A"&amp;3+M170):'Predictor Setup'!$A$202,0)+M170,"")</f>
        <v/>
      </c>
      <c r="O170" s="3" t="str">
        <f ca="1">IFERROR(MATCH($A170,INDIRECT("'Predictor Setup'!A"&amp;3+N170):'Predictor Setup'!$A$202,0)+N170,"")</f>
        <v/>
      </c>
      <c r="P170" s="3" t="str">
        <f ca="1">IFERROR(MATCH($A170,INDIRECT("'Predictor Setup'!A"&amp;3+O170):'Predictor Setup'!$A$202,0)+O170,"")</f>
        <v/>
      </c>
    </row>
    <row r="171" spans="1:16" x14ac:dyDescent="0.35">
      <c r="A171" t="str">
        <f>IF('Predictor Setup'!A159="",A170,'Predictor Setup'!A159)</f>
        <v>Facility</v>
      </c>
      <c r="B171" t="e">
        <f>MATCH($A171,'Predictor Setup'!$A$3:$A$202,0)</f>
        <v>#N/A</v>
      </c>
      <c r="C171" s="3" t="str">
        <f ca="1">IFERROR(MATCH($A171,INDIRECT("'Predictor Setup'!A"&amp;3+B171):'Predictor Setup'!$A$202,0)+B171,"")</f>
        <v/>
      </c>
      <c r="D171" s="3" t="str">
        <f ca="1">IFERROR(MATCH($A171,INDIRECT("'Predictor Setup'!A"&amp;3+C171):'Predictor Setup'!$A$202,0)+C171,"")</f>
        <v/>
      </c>
      <c r="E171" s="3" t="str">
        <f ca="1">IFERROR(MATCH($A171,INDIRECT("'Predictor Setup'!A"&amp;3+D171):'Predictor Setup'!$A$202,0)+D171,"")</f>
        <v/>
      </c>
      <c r="F171" s="3" t="str">
        <f ca="1">IFERROR(MATCH($A171,INDIRECT("'Predictor Setup'!A"&amp;3+E171):'Predictor Setup'!$A$202,0)+E171,"")</f>
        <v/>
      </c>
      <c r="G171" s="3" t="str">
        <f ca="1">IFERROR(MATCH($A171,INDIRECT("'Predictor Setup'!A"&amp;3+F171):'Predictor Setup'!$A$202,0)+F171,"")</f>
        <v/>
      </c>
      <c r="H171" s="3" t="str">
        <f ca="1">IFERROR(MATCH($A171,INDIRECT("'Predictor Setup'!A"&amp;3+G171):'Predictor Setup'!$A$202,0)+G171,"")</f>
        <v/>
      </c>
      <c r="I171" s="3" t="str">
        <f ca="1">IFERROR(MATCH($A171,INDIRECT("'Predictor Setup'!A"&amp;3+H171):'Predictor Setup'!$A$202,0)+H171,"")</f>
        <v/>
      </c>
      <c r="J171" s="3" t="str">
        <f ca="1">IFERROR(MATCH($A171,INDIRECT("'Predictor Setup'!A"&amp;3+I171):'Predictor Setup'!$A$202,0)+I171,"")</f>
        <v/>
      </c>
      <c r="K171" s="3" t="str">
        <f ca="1">IFERROR(MATCH($A171,INDIRECT("'Predictor Setup'!A"&amp;3+J171):'Predictor Setup'!$A$202,0)+J171,"")</f>
        <v/>
      </c>
      <c r="L171" s="3" t="str">
        <f ca="1">IFERROR(MATCH($A171,INDIRECT("'Predictor Setup'!A"&amp;3+K171):'Predictor Setup'!$A$202,0)+K171,"")</f>
        <v/>
      </c>
      <c r="M171" s="3" t="str">
        <f ca="1">IFERROR(MATCH($A171,INDIRECT("'Predictor Setup'!A"&amp;3+L171):'Predictor Setup'!$A$202,0)+L171,"")</f>
        <v/>
      </c>
      <c r="N171" s="3" t="str">
        <f ca="1">IFERROR(MATCH($A171,INDIRECT("'Predictor Setup'!A"&amp;3+M171):'Predictor Setup'!$A$202,0)+M171,"")</f>
        <v/>
      </c>
      <c r="O171" s="3" t="str">
        <f ca="1">IFERROR(MATCH($A171,INDIRECT("'Predictor Setup'!A"&amp;3+N171):'Predictor Setup'!$A$202,0)+N171,"")</f>
        <v/>
      </c>
      <c r="P171" s="3" t="str">
        <f ca="1">IFERROR(MATCH($A171,INDIRECT("'Predictor Setup'!A"&amp;3+O171):'Predictor Setup'!$A$202,0)+O171,"")</f>
        <v/>
      </c>
    </row>
    <row r="172" spans="1:16" x14ac:dyDescent="0.35">
      <c r="A172" t="str">
        <f>IF('Predictor Setup'!A160="",A171,'Predictor Setup'!A160)</f>
        <v>Facility</v>
      </c>
      <c r="B172" t="e">
        <f>MATCH($A172,'Predictor Setup'!$A$3:$A$202,0)</f>
        <v>#N/A</v>
      </c>
      <c r="C172" s="3" t="str">
        <f ca="1">IFERROR(MATCH($A172,INDIRECT("'Predictor Setup'!A"&amp;3+B172):'Predictor Setup'!$A$202,0)+B172,"")</f>
        <v/>
      </c>
      <c r="D172" s="3" t="str">
        <f ca="1">IFERROR(MATCH($A172,INDIRECT("'Predictor Setup'!A"&amp;3+C172):'Predictor Setup'!$A$202,0)+C172,"")</f>
        <v/>
      </c>
      <c r="E172" s="3" t="str">
        <f ca="1">IFERROR(MATCH($A172,INDIRECT("'Predictor Setup'!A"&amp;3+D172):'Predictor Setup'!$A$202,0)+D172,"")</f>
        <v/>
      </c>
      <c r="F172" s="3" t="str">
        <f ca="1">IFERROR(MATCH($A172,INDIRECT("'Predictor Setup'!A"&amp;3+E172):'Predictor Setup'!$A$202,0)+E172,"")</f>
        <v/>
      </c>
      <c r="G172" s="3" t="str">
        <f ca="1">IFERROR(MATCH($A172,INDIRECT("'Predictor Setup'!A"&amp;3+F172):'Predictor Setup'!$A$202,0)+F172,"")</f>
        <v/>
      </c>
      <c r="H172" s="3" t="str">
        <f ca="1">IFERROR(MATCH($A172,INDIRECT("'Predictor Setup'!A"&amp;3+G172):'Predictor Setup'!$A$202,0)+G172,"")</f>
        <v/>
      </c>
      <c r="I172" s="3" t="str">
        <f ca="1">IFERROR(MATCH($A172,INDIRECT("'Predictor Setup'!A"&amp;3+H172):'Predictor Setup'!$A$202,0)+H172,"")</f>
        <v/>
      </c>
      <c r="J172" s="3" t="str">
        <f ca="1">IFERROR(MATCH($A172,INDIRECT("'Predictor Setup'!A"&amp;3+I172):'Predictor Setup'!$A$202,0)+I172,"")</f>
        <v/>
      </c>
      <c r="K172" s="3" t="str">
        <f ca="1">IFERROR(MATCH($A172,INDIRECT("'Predictor Setup'!A"&amp;3+J172):'Predictor Setup'!$A$202,0)+J172,"")</f>
        <v/>
      </c>
      <c r="L172" s="3" t="str">
        <f ca="1">IFERROR(MATCH($A172,INDIRECT("'Predictor Setup'!A"&amp;3+K172):'Predictor Setup'!$A$202,0)+K172,"")</f>
        <v/>
      </c>
      <c r="M172" s="3" t="str">
        <f ca="1">IFERROR(MATCH($A172,INDIRECT("'Predictor Setup'!A"&amp;3+L172):'Predictor Setup'!$A$202,0)+L172,"")</f>
        <v/>
      </c>
      <c r="N172" s="3" t="str">
        <f ca="1">IFERROR(MATCH($A172,INDIRECT("'Predictor Setup'!A"&amp;3+M172):'Predictor Setup'!$A$202,0)+M172,"")</f>
        <v/>
      </c>
      <c r="O172" s="3" t="str">
        <f ca="1">IFERROR(MATCH($A172,INDIRECT("'Predictor Setup'!A"&amp;3+N172):'Predictor Setup'!$A$202,0)+N172,"")</f>
        <v/>
      </c>
      <c r="P172" s="3" t="str">
        <f ca="1">IFERROR(MATCH($A172,INDIRECT("'Predictor Setup'!A"&amp;3+O172):'Predictor Setup'!$A$202,0)+O172,"")</f>
        <v/>
      </c>
    </row>
    <row r="173" spans="1:16" x14ac:dyDescent="0.35">
      <c r="A173" t="str">
        <f>IF('Predictor Setup'!A161="",A172,'Predictor Setup'!A161)</f>
        <v>Facility</v>
      </c>
      <c r="B173" t="e">
        <f>MATCH($A173,'Predictor Setup'!$A$3:$A$202,0)</f>
        <v>#N/A</v>
      </c>
      <c r="C173" s="3" t="str">
        <f ca="1">IFERROR(MATCH($A173,INDIRECT("'Predictor Setup'!A"&amp;3+B173):'Predictor Setup'!$A$202,0)+B173,"")</f>
        <v/>
      </c>
      <c r="D173" s="3" t="str">
        <f ca="1">IFERROR(MATCH($A173,INDIRECT("'Predictor Setup'!A"&amp;3+C173):'Predictor Setup'!$A$202,0)+C173,"")</f>
        <v/>
      </c>
      <c r="E173" s="3" t="str">
        <f ca="1">IFERROR(MATCH($A173,INDIRECT("'Predictor Setup'!A"&amp;3+D173):'Predictor Setup'!$A$202,0)+D173,"")</f>
        <v/>
      </c>
      <c r="F173" s="3" t="str">
        <f ca="1">IFERROR(MATCH($A173,INDIRECT("'Predictor Setup'!A"&amp;3+E173):'Predictor Setup'!$A$202,0)+E173,"")</f>
        <v/>
      </c>
      <c r="G173" s="3" t="str">
        <f ca="1">IFERROR(MATCH($A173,INDIRECT("'Predictor Setup'!A"&amp;3+F173):'Predictor Setup'!$A$202,0)+F173,"")</f>
        <v/>
      </c>
      <c r="H173" s="3" t="str">
        <f ca="1">IFERROR(MATCH($A173,INDIRECT("'Predictor Setup'!A"&amp;3+G173):'Predictor Setup'!$A$202,0)+G173,"")</f>
        <v/>
      </c>
      <c r="I173" s="3" t="str">
        <f ca="1">IFERROR(MATCH($A173,INDIRECT("'Predictor Setup'!A"&amp;3+H173):'Predictor Setup'!$A$202,0)+H173,"")</f>
        <v/>
      </c>
      <c r="J173" s="3" t="str">
        <f ca="1">IFERROR(MATCH($A173,INDIRECT("'Predictor Setup'!A"&amp;3+I173):'Predictor Setup'!$A$202,0)+I173,"")</f>
        <v/>
      </c>
      <c r="K173" s="3" t="str">
        <f ca="1">IFERROR(MATCH($A173,INDIRECT("'Predictor Setup'!A"&amp;3+J173):'Predictor Setup'!$A$202,0)+J173,"")</f>
        <v/>
      </c>
      <c r="L173" s="3" t="str">
        <f ca="1">IFERROR(MATCH($A173,INDIRECT("'Predictor Setup'!A"&amp;3+K173):'Predictor Setup'!$A$202,0)+K173,"")</f>
        <v/>
      </c>
      <c r="M173" s="3" t="str">
        <f ca="1">IFERROR(MATCH($A173,INDIRECT("'Predictor Setup'!A"&amp;3+L173):'Predictor Setup'!$A$202,0)+L173,"")</f>
        <v/>
      </c>
      <c r="N173" s="3" t="str">
        <f ca="1">IFERROR(MATCH($A173,INDIRECT("'Predictor Setup'!A"&amp;3+M173):'Predictor Setup'!$A$202,0)+M173,"")</f>
        <v/>
      </c>
      <c r="O173" s="3" t="str">
        <f ca="1">IFERROR(MATCH($A173,INDIRECT("'Predictor Setup'!A"&amp;3+N173):'Predictor Setup'!$A$202,0)+N173,"")</f>
        <v/>
      </c>
      <c r="P173" s="3" t="str">
        <f ca="1">IFERROR(MATCH($A173,INDIRECT("'Predictor Setup'!A"&amp;3+O173):'Predictor Setup'!$A$202,0)+O173,"")</f>
        <v/>
      </c>
    </row>
    <row r="174" spans="1:16" x14ac:dyDescent="0.35">
      <c r="A174" t="str">
        <f>IF('Predictor Setup'!A162="",A173,'Predictor Setup'!A162)</f>
        <v>Facility</v>
      </c>
      <c r="B174" t="e">
        <f>MATCH($A174,'Predictor Setup'!$A$3:$A$202,0)</f>
        <v>#N/A</v>
      </c>
      <c r="C174" s="3" t="str">
        <f ca="1">IFERROR(MATCH($A174,INDIRECT("'Predictor Setup'!A"&amp;3+B174):'Predictor Setup'!$A$202,0)+B174,"")</f>
        <v/>
      </c>
      <c r="D174" s="3" t="str">
        <f ca="1">IFERROR(MATCH($A174,INDIRECT("'Predictor Setup'!A"&amp;3+C174):'Predictor Setup'!$A$202,0)+C174,"")</f>
        <v/>
      </c>
      <c r="E174" s="3" t="str">
        <f ca="1">IFERROR(MATCH($A174,INDIRECT("'Predictor Setup'!A"&amp;3+D174):'Predictor Setup'!$A$202,0)+D174,"")</f>
        <v/>
      </c>
      <c r="F174" s="3" t="str">
        <f ca="1">IFERROR(MATCH($A174,INDIRECT("'Predictor Setup'!A"&amp;3+E174):'Predictor Setup'!$A$202,0)+E174,"")</f>
        <v/>
      </c>
      <c r="G174" s="3" t="str">
        <f ca="1">IFERROR(MATCH($A174,INDIRECT("'Predictor Setup'!A"&amp;3+F174):'Predictor Setup'!$A$202,0)+F174,"")</f>
        <v/>
      </c>
      <c r="H174" s="3" t="str">
        <f ca="1">IFERROR(MATCH($A174,INDIRECT("'Predictor Setup'!A"&amp;3+G174):'Predictor Setup'!$A$202,0)+G174,"")</f>
        <v/>
      </c>
      <c r="I174" s="3" t="str">
        <f ca="1">IFERROR(MATCH($A174,INDIRECT("'Predictor Setup'!A"&amp;3+H174):'Predictor Setup'!$A$202,0)+H174,"")</f>
        <v/>
      </c>
      <c r="J174" s="3" t="str">
        <f ca="1">IFERROR(MATCH($A174,INDIRECT("'Predictor Setup'!A"&amp;3+I174):'Predictor Setup'!$A$202,0)+I174,"")</f>
        <v/>
      </c>
      <c r="K174" s="3" t="str">
        <f ca="1">IFERROR(MATCH($A174,INDIRECT("'Predictor Setup'!A"&amp;3+J174):'Predictor Setup'!$A$202,0)+J174,"")</f>
        <v/>
      </c>
      <c r="L174" s="3" t="str">
        <f ca="1">IFERROR(MATCH($A174,INDIRECT("'Predictor Setup'!A"&amp;3+K174):'Predictor Setup'!$A$202,0)+K174,"")</f>
        <v/>
      </c>
      <c r="M174" s="3" t="str">
        <f ca="1">IFERROR(MATCH($A174,INDIRECT("'Predictor Setup'!A"&amp;3+L174):'Predictor Setup'!$A$202,0)+L174,"")</f>
        <v/>
      </c>
      <c r="N174" s="3" t="str">
        <f ca="1">IFERROR(MATCH($A174,INDIRECT("'Predictor Setup'!A"&amp;3+M174):'Predictor Setup'!$A$202,0)+M174,"")</f>
        <v/>
      </c>
      <c r="O174" s="3" t="str">
        <f ca="1">IFERROR(MATCH($A174,INDIRECT("'Predictor Setup'!A"&amp;3+N174):'Predictor Setup'!$A$202,0)+N174,"")</f>
        <v/>
      </c>
      <c r="P174" s="3" t="str">
        <f ca="1">IFERROR(MATCH($A174,INDIRECT("'Predictor Setup'!A"&amp;3+O174):'Predictor Setup'!$A$202,0)+O174,"")</f>
        <v/>
      </c>
    </row>
    <row r="175" spans="1:16" x14ac:dyDescent="0.35">
      <c r="A175" t="str">
        <f>IF('Predictor Setup'!A163="",A174,'Predictor Setup'!A163)</f>
        <v>Facility</v>
      </c>
      <c r="B175" t="e">
        <f>MATCH($A175,'Predictor Setup'!$A$3:$A$202,0)</f>
        <v>#N/A</v>
      </c>
      <c r="C175" s="3" t="str">
        <f ca="1">IFERROR(MATCH($A175,INDIRECT("'Predictor Setup'!A"&amp;3+B175):'Predictor Setup'!$A$202,0)+B175,"")</f>
        <v/>
      </c>
      <c r="D175" s="3" t="str">
        <f ca="1">IFERROR(MATCH($A175,INDIRECT("'Predictor Setup'!A"&amp;3+C175):'Predictor Setup'!$A$202,0)+C175,"")</f>
        <v/>
      </c>
      <c r="E175" s="3" t="str">
        <f ca="1">IFERROR(MATCH($A175,INDIRECT("'Predictor Setup'!A"&amp;3+D175):'Predictor Setup'!$A$202,0)+D175,"")</f>
        <v/>
      </c>
      <c r="F175" s="3" t="str">
        <f ca="1">IFERROR(MATCH($A175,INDIRECT("'Predictor Setup'!A"&amp;3+E175):'Predictor Setup'!$A$202,0)+E175,"")</f>
        <v/>
      </c>
      <c r="G175" s="3" t="str">
        <f ca="1">IFERROR(MATCH($A175,INDIRECT("'Predictor Setup'!A"&amp;3+F175):'Predictor Setup'!$A$202,0)+F175,"")</f>
        <v/>
      </c>
      <c r="H175" s="3" t="str">
        <f ca="1">IFERROR(MATCH($A175,INDIRECT("'Predictor Setup'!A"&amp;3+G175):'Predictor Setup'!$A$202,0)+G175,"")</f>
        <v/>
      </c>
      <c r="I175" s="3" t="str">
        <f ca="1">IFERROR(MATCH($A175,INDIRECT("'Predictor Setup'!A"&amp;3+H175):'Predictor Setup'!$A$202,0)+H175,"")</f>
        <v/>
      </c>
      <c r="J175" s="3" t="str">
        <f ca="1">IFERROR(MATCH($A175,INDIRECT("'Predictor Setup'!A"&amp;3+I175):'Predictor Setup'!$A$202,0)+I175,"")</f>
        <v/>
      </c>
      <c r="K175" s="3" t="str">
        <f ca="1">IFERROR(MATCH($A175,INDIRECT("'Predictor Setup'!A"&amp;3+J175):'Predictor Setup'!$A$202,0)+J175,"")</f>
        <v/>
      </c>
      <c r="L175" s="3" t="str">
        <f ca="1">IFERROR(MATCH($A175,INDIRECT("'Predictor Setup'!A"&amp;3+K175):'Predictor Setup'!$A$202,0)+K175,"")</f>
        <v/>
      </c>
      <c r="M175" s="3" t="str">
        <f ca="1">IFERROR(MATCH($A175,INDIRECT("'Predictor Setup'!A"&amp;3+L175):'Predictor Setup'!$A$202,0)+L175,"")</f>
        <v/>
      </c>
      <c r="N175" s="3" t="str">
        <f ca="1">IFERROR(MATCH($A175,INDIRECT("'Predictor Setup'!A"&amp;3+M175):'Predictor Setup'!$A$202,0)+M175,"")</f>
        <v/>
      </c>
      <c r="O175" s="3" t="str">
        <f ca="1">IFERROR(MATCH($A175,INDIRECT("'Predictor Setup'!A"&amp;3+N175):'Predictor Setup'!$A$202,0)+N175,"")</f>
        <v/>
      </c>
      <c r="P175" s="3" t="str">
        <f ca="1">IFERROR(MATCH($A175,INDIRECT("'Predictor Setup'!A"&amp;3+O175):'Predictor Setup'!$A$202,0)+O175,"")</f>
        <v/>
      </c>
    </row>
    <row r="176" spans="1:16" x14ac:dyDescent="0.35">
      <c r="A176" t="str">
        <f>IF('Predictor Setup'!A164="",A175,'Predictor Setup'!A164)</f>
        <v>Facility</v>
      </c>
      <c r="B176" t="e">
        <f>MATCH($A176,'Predictor Setup'!$A$3:$A$202,0)</f>
        <v>#N/A</v>
      </c>
      <c r="C176" s="3" t="str">
        <f ca="1">IFERROR(MATCH($A176,INDIRECT("'Predictor Setup'!A"&amp;3+B176):'Predictor Setup'!$A$202,0)+B176,"")</f>
        <v/>
      </c>
      <c r="D176" s="3" t="str">
        <f ca="1">IFERROR(MATCH($A176,INDIRECT("'Predictor Setup'!A"&amp;3+C176):'Predictor Setup'!$A$202,0)+C176,"")</f>
        <v/>
      </c>
      <c r="E176" s="3" t="str">
        <f ca="1">IFERROR(MATCH($A176,INDIRECT("'Predictor Setup'!A"&amp;3+D176):'Predictor Setup'!$A$202,0)+D176,"")</f>
        <v/>
      </c>
      <c r="F176" s="3" t="str">
        <f ca="1">IFERROR(MATCH($A176,INDIRECT("'Predictor Setup'!A"&amp;3+E176):'Predictor Setup'!$A$202,0)+E176,"")</f>
        <v/>
      </c>
      <c r="G176" s="3" t="str">
        <f ca="1">IFERROR(MATCH($A176,INDIRECT("'Predictor Setup'!A"&amp;3+F176):'Predictor Setup'!$A$202,0)+F176,"")</f>
        <v/>
      </c>
      <c r="H176" s="3" t="str">
        <f ca="1">IFERROR(MATCH($A176,INDIRECT("'Predictor Setup'!A"&amp;3+G176):'Predictor Setup'!$A$202,0)+G176,"")</f>
        <v/>
      </c>
      <c r="I176" s="3" t="str">
        <f ca="1">IFERROR(MATCH($A176,INDIRECT("'Predictor Setup'!A"&amp;3+H176):'Predictor Setup'!$A$202,0)+H176,"")</f>
        <v/>
      </c>
      <c r="J176" s="3" t="str">
        <f ca="1">IFERROR(MATCH($A176,INDIRECT("'Predictor Setup'!A"&amp;3+I176):'Predictor Setup'!$A$202,0)+I176,"")</f>
        <v/>
      </c>
      <c r="K176" s="3" t="str">
        <f ca="1">IFERROR(MATCH($A176,INDIRECT("'Predictor Setup'!A"&amp;3+J176):'Predictor Setup'!$A$202,0)+J176,"")</f>
        <v/>
      </c>
      <c r="L176" s="3" t="str">
        <f ca="1">IFERROR(MATCH($A176,INDIRECT("'Predictor Setup'!A"&amp;3+K176):'Predictor Setup'!$A$202,0)+K176,"")</f>
        <v/>
      </c>
      <c r="M176" s="3" t="str">
        <f ca="1">IFERROR(MATCH($A176,INDIRECT("'Predictor Setup'!A"&amp;3+L176):'Predictor Setup'!$A$202,0)+L176,"")</f>
        <v/>
      </c>
      <c r="N176" s="3" t="str">
        <f ca="1">IFERROR(MATCH($A176,INDIRECT("'Predictor Setup'!A"&amp;3+M176):'Predictor Setup'!$A$202,0)+M176,"")</f>
        <v/>
      </c>
      <c r="O176" s="3" t="str">
        <f ca="1">IFERROR(MATCH($A176,INDIRECT("'Predictor Setup'!A"&amp;3+N176):'Predictor Setup'!$A$202,0)+N176,"")</f>
        <v/>
      </c>
      <c r="P176" s="3" t="str">
        <f ca="1">IFERROR(MATCH($A176,INDIRECT("'Predictor Setup'!A"&amp;3+O176):'Predictor Setup'!$A$202,0)+O176,"")</f>
        <v/>
      </c>
    </row>
    <row r="177" spans="1:16" x14ac:dyDescent="0.35">
      <c r="A177" t="str">
        <f>IF('Predictor Setup'!A165="",A176,'Predictor Setup'!A165)</f>
        <v>Facility</v>
      </c>
      <c r="B177" t="e">
        <f>MATCH($A177,'Predictor Setup'!$A$3:$A$202,0)</f>
        <v>#N/A</v>
      </c>
      <c r="C177" s="3" t="str">
        <f ca="1">IFERROR(MATCH($A177,INDIRECT("'Predictor Setup'!A"&amp;3+B177):'Predictor Setup'!$A$202,0)+B177,"")</f>
        <v/>
      </c>
      <c r="D177" s="3" t="str">
        <f ca="1">IFERROR(MATCH($A177,INDIRECT("'Predictor Setup'!A"&amp;3+C177):'Predictor Setup'!$A$202,0)+C177,"")</f>
        <v/>
      </c>
      <c r="E177" s="3" t="str">
        <f ca="1">IFERROR(MATCH($A177,INDIRECT("'Predictor Setup'!A"&amp;3+D177):'Predictor Setup'!$A$202,0)+D177,"")</f>
        <v/>
      </c>
      <c r="F177" s="3" t="str">
        <f ca="1">IFERROR(MATCH($A177,INDIRECT("'Predictor Setup'!A"&amp;3+E177):'Predictor Setup'!$A$202,0)+E177,"")</f>
        <v/>
      </c>
      <c r="G177" s="3" t="str">
        <f ca="1">IFERROR(MATCH($A177,INDIRECT("'Predictor Setup'!A"&amp;3+F177):'Predictor Setup'!$A$202,0)+F177,"")</f>
        <v/>
      </c>
      <c r="H177" s="3" t="str">
        <f ca="1">IFERROR(MATCH($A177,INDIRECT("'Predictor Setup'!A"&amp;3+G177):'Predictor Setup'!$A$202,0)+G177,"")</f>
        <v/>
      </c>
      <c r="I177" s="3" t="str">
        <f ca="1">IFERROR(MATCH($A177,INDIRECT("'Predictor Setup'!A"&amp;3+H177):'Predictor Setup'!$A$202,0)+H177,"")</f>
        <v/>
      </c>
      <c r="J177" s="3" t="str">
        <f ca="1">IFERROR(MATCH($A177,INDIRECT("'Predictor Setup'!A"&amp;3+I177):'Predictor Setup'!$A$202,0)+I177,"")</f>
        <v/>
      </c>
      <c r="K177" s="3" t="str">
        <f ca="1">IFERROR(MATCH($A177,INDIRECT("'Predictor Setup'!A"&amp;3+J177):'Predictor Setup'!$A$202,0)+J177,"")</f>
        <v/>
      </c>
      <c r="L177" s="3" t="str">
        <f ca="1">IFERROR(MATCH($A177,INDIRECT("'Predictor Setup'!A"&amp;3+K177):'Predictor Setup'!$A$202,0)+K177,"")</f>
        <v/>
      </c>
      <c r="M177" s="3" t="str">
        <f ca="1">IFERROR(MATCH($A177,INDIRECT("'Predictor Setup'!A"&amp;3+L177):'Predictor Setup'!$A$202,0)+L177,"")</f>
        <v/>
      </c>
      <c r="N177" s="3" t="str">
        <f ca="1">IFERROR(MATCH($A177,INDIRECT("'Predictor Setup'!A"&amp;3+M177):'Predictor Setup'!$A$202,0)+M177,"")</f>
        <v/>
      </c>
      <c r="O177" s="3" t="str">
        <f ca="1">IFERROR(MATCH($A177,INDIRECT("'Predictor Setup'!A"&amp;3+N177):'Predictor Setup'!$A$202,0)+N177,"")</f>
        <v/>
      </c>
      <c r="P177" s="3" t="str">
        <f ca="1">IFERROR(MATCH($A177,INDIRECT("'Predictor Setup'!A"&amp;3+O177):'Predictor Setup'!$A$202,0)+O177,"")</f>
        <v/>
      </c>
    </row>
    <row r="178" spans="1:16" x14ac:dyDescent="0.35">
      <c r="A178" t="str">
        <f>IF('Predictor Setup'!A166="",A177,'Predictor Setup'!A166)</f>
        <v>Facility</v>
      </c>
      <c r="B178" t="e">
        <f>MATCH($A178,'Predictor Setup'!$A$3:$A$202,0)</f>
        <v>#N/A</v>
      </c>
      <c r="C178" s="3" t="str">
        <f ca="1">IFERROR(MATCH($A178,INDIRECT("'Predictor Setup'!A"&amp;3+B178):'Predictor Setup'!$A$202,0)+B178,"")</f>
        <v/>
      </c>
      <c r="D178" s="3" t="str">
        <f ca="1">IFERROR(MATCH($A178,INDIRECT("'Predictor Setup'!A"&amp;3+C178):'Predictor Setup'!$A$202,0)+C178,"")</f>
        <v/>
      </c>
      <c r="E178" s="3" t="str">
        <f ca="1">IFERROR(MATCH($A178,INDIRECT("'Predictor Setup'!A"&amp;3+D178):'Predictor Setup'!$A$202,0)+D178,"")</f>
        <v/>
      </c>
      <c r="F178" s="3" t="str">
        <f ca="1">IFERROR(MATCH($A178,INDIRECT("'Predictor Setup'!A"&amp;3+E178):'Predictor Setup'!$A$202,0)+E178,"")</f>
        <v/>
      </c>
      <c r="G178" s="3" t="str">
        <f ca="1">IFERROR(MATCH($A178,INDIRECT("'Predictor Setup'!A"&amp;3+F178):'Predictor Setup'!$A$202,0)+F178,"")</f>
        <v/>
      </c>
      <c r="H178" s="3" t="str">
        <f ca="1">IFERROR(MATCH($A178,INDIRECT("'Predictor Setup'!A"&amp;3+G178):'Predictor Setup'!$A$202,0)+G178,"")</f>
        <v/>
      </c>
      <c r="I178" s="3" t="str">
        <f ca="1">IFERROR(MATCH($A178,INDIRECT("'Predictor Setup'!A"&amp;3+H178):'Predictor Setup'!$A$202,0)+H178,"")</f>
        <v/>
      </c>
      <c r="J178" s="3" t="str">
        <f ca="1">IFERROR(MATCH($A178,INDIRECT("'Predictor Setup'!A"&amp;3+I178):'Predictor Setup'!$A$202,0)+I178,"")</f>
        <v/>
      </c>
      <c r="K178" s="3" t="str">
        <f ca="1">IFERROR(MATCH($A178,INDIRECT("'Predictor Setup'!A"&amp;3+J178):'Predictor Setup'!$A$202,0)+J178,"")</f>
        <v/>
      </c>
      <c r="L178" s="3" t="str">
        <f ca="1">IFERROR(MATCH($A178,INDIRECT("'Predictor Setup'!A"&amp;3+K178):'Predictor Setup'!$A$202,0)+K178,"")</f>
        <v/>
      </c>
      <c r="M178" s="3" t="str">
        <f ca="1">IFERROR(MATCH($A178,INDIRECT("'Predictor Setup'!A"&amp;3+L178):'Predictor Setup'!$A$202,0)+L178,"")</f>
        <v/>
      </c>
      <c r="N178" s="3" t="str">
        <f ca="1">IFERROR(MATCH($A178,INDIRECT("'Predictor Setup'!A"&amp;3+M178):'Predictor Setup'!$A$202,0)+M178,"")</f>
        <v/>
      </c>
      <c r="O178" s="3" t="str">
        <f ca="1">IFERROR(MATCH($A178,INDIRECT("'Predictor Setup'!A"&amp;3+N178):'Predictor Setup'!$A$202,0)+N178,"")</f>
        <v/>
      </c>
      <c r="P178" s="3" t="str">
        <f ca="1">IFERROR(MATCH($A178,INDIRECT("'Predictor Setup'!A"&amp;3+O178):'Predictor Setup'!$A$202,0)+O178,"")</f>
        <v/>
      </c>
    </row>
    <row r="179" spans="1:16" x14ac:dyDescent="0.35">
      <c r="A179" t="str">
        <f>IF('Predictor Setup'!A167="",A178,'Predictor Setup'!A167)</f>
        <v>Facility</v>
      </c>
      <c r="B179" t="e">
        <f>MATCH($A179,'Predictor Setup'!$A$3:$A$202,0)</f>
        <v>#N/A</v>
      </c>
      <c r="C179" s="3" t="str">
        <f ca="1">IFERROR(MATCH($A179,INDIRECT("'Predictor Setup'!A"&amp;3+B179):'Predictor Setup'!$A$202,0)+B179,"")</f>
        <v/>
      </c>
      <c r="D179" s="3" t="str">
        <f ca="1">IFERROR(MATCH($A179,INDIRECT("'Predictor Setup'!A"&amp;3+C179):'Predictor Setup'!$A$202,0)+C179,"")</f>
        <v/>
      </c>
      <c r="E179" s="3" t="str">
        <f ca="1">IFERROR(MATCH($A179,INDIRECT("'Predictor Setup'!A"&amp;3+D179):'Predictor Setup'!$A$202,0)+D179,"")</f>
        <v/>
      </c>
      <c r="F179" s="3" t="str">
        <f ca="1">IFERROR(MATCH($A179,INDIRECT("'Predictor Setup'!A"&amp;3+E179):'Predictor Setup'!$A$202,0)+E179,"")</f>
        <v/>
      </c>
      <c r="G179" s="3" t="str">
        <f ca="1">IFERROR(MATCH($A179,INDIRECT("'Predictor Setup'!A"&amp;3+F179):'Predictor Setup'!$A$202,0)+F179,"")</f>
        <v/>
      </c>
      <c r="H179" s="3" t="str">
        <f ca="1">IFERROR(MATCH($A179,INDIRECT("'Predictor Setup'!A"&amp;3+G179):'Predictor Setup'!$A$202,0)+G179,"")</f>
        <v/>
      </c>
      <c r="I179" s="3" t="str">
        <f ca="1">IFERROR(MATCH($A179,INDIRECT("'Predictor Setup'!A"&amp;3+H179):'Predictor Setup'!$A$202,0)+H179,"")</f>
        <v/>
      </c>
      <c r="J179" s="3" t="str">
        <f ca="1">IFERROR(MATCH($A179,INDIRECT("'Predictor Setup'!A"&amp;3+I179):'Predictor Setup'!$A$202,0)+I179,"")</f>
        <v/>
      </c>
      <c r="K179" s="3" t="str">
        <f ca="1">IFERROR(MATCH($A179,INDIRECT("'Predictor Setup'!A"&amp;3+J179):'Predictor Setup'!$A$202,0)+J179,"")</f>
        <v/>
      </c>
      <c r="L179" s="3" t="str">
        <f ca="1">IFERROR(MATCH($A179,INDIRECT("'Predictor Setup'!A"&amp;3+K179):'Predictor Setup'!$A$202,0)+K179,"")</f>
        <v/>
      </c>
      <c r="M179" s="3" t="str">
        <f ca="1">IFERROR(MATCH($A179,INDIRECT("'Predictor Setup'!A"&amp;3+L179):'Predictor Setup'!$A$202,0)+L179,"")</f>
        <v/>
      </c>
      <c r="N179" s="3" t="str">
        <f ca="1">IFERROR(MATCH($A179,INDIRECT("'Predictor Setup'!A"&amp;3+M179):'Predictor Setup'!$A$202,0)+M179,"")</f>
        <v/>
      </c>
      <c r="O179" s="3" t="str">
        <f ca="1">IFERROR(MATCH($A179,INDIRECT("'Predictor Setup'!A"&amp;3+N179):'Predictor Setup'!$A$202,0)+N179,"")</f>
        <v/>
      </c>
      <c r="P179" s="3" t="str">
        <f ca="1">IFERROR(MATCH($A179,INDIRECT("'Predictor Setup'!A"&amp;3+O179):'Predictor Setup'!$A$202,0)+O179,"")</f>
        <v/>
      </c>
    </row>
    <row r="180" spans="1:16" x14ac:dyDescent="0.35">
      <c r="A180" t="str">
        <f>IF('Predictor Setup'!A168="",A179,'Predictor Setup'!A168)</f>
        <v>Facility</v>
      </c>
      <c r="B180" t="e">
        <f>MATCH($A180,'Predictor Setup'!$A$3:$A$202,0)</f>
        <v>#N/A</v>
      </c>
      <c r="C180" s="3" t="str">
        <f ca="1">IFERROR(MATCH($A180,INDIRECT("'Predictor Setup'!A"&amp;3+B180):'Predictor Setup'!$A$202,0)+B180,"")</f>
        <v/>
      </c>
      <c r="D180" s="3" t="str">
        <f ca="1">IFERROR(MATCH($A180,INDIRECT("'Predictor Setup'!A"&amp;3+C180):'Predictor Setup'!$A$202,0)+C180,"")</f>
        <v/>
      </c>
      <c r="E180" s="3" t="str">
        <f ca="1">IFERROR(MATCH($A180,INDIRECT("'Predictor Setup'!A"&amp;3+D180):'Predictor Setup'!$A$202,0)+D180,"")</f>
        <v/>
      </c>
      <c r="F180" s="3" t="str">
        <f ca="1">IFERROR(MATCH($A180,INDIRECT("'Predictor Setup'!A"&amp;3+E180):'Predictor Setup'!$A$202,0)+E180,"")</f>
        <v/>
      </c>
      <c r="G180" s="3" t="str">
        <f ca="1">IFERROR(MATCH($A180,INDIRECT("'Predictor Setup'!A"&amp;3+F180):'Predictor Setup'!$A$202,0)+F180,"")</f>
        <v/>
      </c>
      <c r="H180" s="3" t="str">
        <f ca="1">IFERROR(MATCH($A180,INDIRECT("'Predictor Setup'!A"&amp;3+G180):'Predictor Setup'!$A$202,0)+G180,"")</f>
        <v/>
      </c>
      <c r="I180" s="3" t="str">
        <f ca="1">IFERROR(MATCH($A180,INDIRECT("'Predictor Setup'!A"&amp;3+H180):'Predictor Setup'!$A$202,0)+H180,"")</f>
        <v/>
      </c>
      <c r="J180" s="3" t="str">
        <f ca="1">IFERROR(MATCH($A180,INDIRECT("'Predictor Setup'!A"&amp;3+I180):'Predictor Setup'!$A$202,0)+I180,"")</f>
        <v/>
      </c>
      <c r="K180" s="3" t="str">
        <f ca="1">IFERROR(MATCH($A180,INDIRECT("'Predictor Setup'!A"&amp;3+J180):'Predictor Setup'!$A$202,0)+J180,"")</f>
        <v/>
      </c>
      <c r="L180" s="3" t="str">
        <f ca="1">IFERROR(MATCH($A180,INDIRECT("'Predictor Setup'!A"&amp;3+K180):'Predictor Setup'!$A$202,0)+K180,"")</f>
        <v/>
      </c>
      <c r="M180" s="3" t="str">
        <f ca="1">IFERROR(MATCH($A180,INDIRECT("'Predictor Setup'!A"&amp;3+L180):'Predictor Setup'!$A$202,0)+L180,"")</f>
        <v/>
      </c>
      <c r="N180" s="3" t="str">
        <f ca="1">IFERROR(MATCH($A180,INDIRECT("'Predictor Setup'!A"&amp;3+M180):'Predictor Setup'!$A$202,0)+M180,"")</f>
        <v/>
      </c>
      <c r="O180" s="3" t="str">
        <f ca="1">IFERROR(MATCH($A180,INDIRECT("'Predictor Setup'!A"&amp;3+N180):'Predictor Setup'!$A$202,0)+N180,"")</f>
        <v/>
      </c>
      <c r="P180" s="3" t="str">
        <f ca="1">IFERROR(MATCH($A180,INDIRECT("'Predictor Setup'!A"&amp;3+O180):'Predictor Setup'!$A$202,0)+O180,"")</f>
        <v/>
      </c>
    </row>
    <row r="181" spans="1:16" x14ac:dyDescent="0.35">
      <c r="A181" t="str">
        <f>IF('Predictor Setup'!A169="",A180,'Predictor Setup'!A169)</f>
        <v>Facility</v>
      </c>
      <c r="B181" t="e">
        <f>MATCH($A181,'Predictor Setup'!$A$3:$A$202,0)</f>
        <v>#N/A</v>
      </c>
      <c r="C181" s="3" t="str">
        <f ca="1">IFERROR(MATCH($A181,INDIRECT("'Predictor Setup'!A"&amp;3+B181):'Predictor Setup'!$A$202,0)+B181,"")</f>
        <v/>
      </c>
      <c r="D181" s="3" t="str">
        <f ca="1">IFERROR(MATCH($A181,INDIRECT("'Predictor Setup'!A"&amp;3+C181):'Predictor Setup'!$A$202,0)+C181,"")</f>
        <v/>
      </c>
      <c r="E181" s="3" t="str">
        <f ca="1">IFERROR(MATCH($A181,INDIRECT("'Predictor Setup'!A"&amp;3+D181):'Predictor Setup'!$A$202,0)+D181,"")</f>
        <v/>
      </c>
      <c r="F181" s="3" t="str">
        <f ca="1">IFERROR(MATCH($A181,INDIRECT("'Predictor Setup'!A"&amp;3+E181):'Predictor Setup'!$A$202,0)+E181,"")</f>
        <v/>
      </c>
      <c r="G181" s="3" t="str">
        <f ca="1">IFERROR(MATCH($A181,INDIRECT("'Predictor Setup'!A"&amp;3+F181):'Predictor Setup'!$A$202,0)+F181,"")</f>
        <v/>
      </c>
      <c r="H181" s="3" t="str">
        <f ca="1">IFERROR(MATCH($A181,INDIRECT("'Predictor Setup'!A"&amp;3+G181):'Predictor Setup'!$A$202,0)+G181,"")</f>
        <v/>
      </c>
      <c r="I181" s="3" t="str">
        <f ca="1">IFERROR(MATCH($A181,INDIRECT("'Predictor Setup'!A"&amp;3+H181):'Predictor Setup'!$A$202,0)+H181,"")</f>
        <v/>
      </c>
      <c r="J181" s="3" t="str">
        <f ca="1">IFERROR(MATCH($A181,INDIRECT("'Predictor Setup'!A"&amp;3+I181):'Predictor Setup'!$A$202,0)+I181,"")</f>
        <v/>
      </c>
      <c r="K181" s="3" t="str">
        <f ca="1">IFERROR(MATCH($A181,INDIRECT("'Predictor Setup'!A"&amp;3+J181):'Predictor Setup'!$A$202,0)+J181,"")</f>
        <v/>
      </c>
      <c r="L181" s="3" t="str">
        <f ca="1">IFERROR(MATCH($A181,INDIRECT("'Predictor Setup'!A"&amp;3+K181):'Predictor Setup'!$A$202,0)+K181,"")</f>
        <v/>
      </c>
      <c r="M181" s="3" t="str">
        <f ca="1">IFERROR(MATCH($A181,INDIRECT("'Predictor Setup'!A"&amp;3+L181):'Predictor Setup'!$A$202,0)+L181,"")</f>
        <v/>
      </c>
      <c r="N181" s="3" t="str">
        <f ca="1">IFERROR(MATCH($A181,INDIRECT("'Predictor Setup'!A"&amp;3+M181):'Predictor Setup'!$A$202,0)+M181,"")</f>
        <v/>
      </c>
      <c r="O181" s="3" t="str">
        <f ca="1">IFERROR(MATCH($A181,INDIRECT("'Predictor Setup'!A"&amp;3+N181):'Predictor Setup'!$A$202,0)+N181,"")</f>
        <v/>
      </c>
      <c r="P181" s="3" t="str">
        <f ca="1">IFERROR(MATCH($A181,INDIRECT("'Predictor Setup'!A"&amp;3+O181):'Predictor Setup'!$A$202,0)+O181,"")</f>
        <v/>
      </c>
    </row>
    <row r="182" spans="1:16" x14ac:dyDescent="0.35">
      <c r="A182" t="str">
        <f>IF('Predictor Setup'!A170="",A181,'Predictor Setup'!A170)</f>
        <v>Facility</v>
      </c>
      <c r="B182" t="e">
        <f>MATCH($A182,'Predictor Setup'!$A$3:$A$202,0)</f>
        <v>#N/A</v>
      </c>
      <c r="C182" s="3" t="str">
        <f ca="1">IFERROR(MATCH($A182,INDIRECT("'Predictor Setup'!A"&amp;3+B182):'Predictor Setup'!$A$202,0)+B182,"")</f>
        <v/>
      </c>
      <c r="D182" s="3" t="str">
        <f ca="1">IFERROR(MATCH($A182,INDIRECT("'Predictor Setup'!A"&amp;3+C182):'Predictor Setup'!$A$202,0)+C182,"")</f>
        <v/>
      </c>
      <c r="E182" s="3" t="str">
        <f ca="1">IFERROR(MATCH($A182,INDIRECT("'Predictor Setup'!A"&amp;3+D182):'Predictor Setup'!$A$202,0)+D182,"")</f>
        <v/>
      </c>
      <c r="F182" s="3" t="str">
        <f ca="1">IFERROR(MATCH($A182,INDIRECT("'Predictor Setup'!A"&amp;3+E182):'Predictor Setup'!$A$202,0)+E182,"")</f>
        <v/>
      </c>
      <c r="G182" s="3" t="str">
        <f ca="1">IFERROR(MATCH($A182,INDIRECT("'Predictor Setup'!A"&amp;3+F182):'Predictor Setup'!$A$202,0)+F182,"")</f>
        <v/>
      </c>
      <c r="H182" s="3" t="str">
        <f ca="1">IFERROR(MATCH($A182,INDIRECT("'Predictor Setup'!A"&amp;3+G182):'Predictor Setup'!$A$202,0)+G182,"")</f>
        <v/>
      </c>
      <c r="I182" s="3" t="str">
        <f ca="1">IFERROR(MATCH($A182,INDIRECT("'Predictor Setup'!A"&amp;3+H182):'Predictor Setup'!$A$202,0)+H182,"")</f>
        <v/>
      </c>
      <c r="J182" s="3" t="str">
        <f ca="1">IFERROR(MATCH($A182,INDIRECT("'Predictor Setup'!A"&amp;3+I182):'Predictor Setup'!$A$202,0)+I182,"")</f>
        <v/>
      </c>
      <c r="K182" s="3" t="str">
        <f ca="1">IFERROR(MATCH($A182,INDIRECT("'Predictor Setup'!A"&amp;3+J182):'Predictor Setup'!$A$202,0)+J182,"")</f>
        <v/>
      </c>
      <c r="L182" s="3" t="str">
        <f ca="1">IFERROR(MATCH($A182,INDIRECT("'Predictor Setup'!A"&amp;3+K182):'Predictor Setup'!$A$202,0)+K182,"")</f>
        <v/>
      </c>
      <c r="M182" s="3" t="str">
        <f ca="1">IFERROR(MATCH($A182,INDIRECT("'Predictor Setup'!A"&amp;3+L182):'Predictor Setup'!$A$202,0)+L182,"")</f>
        <v/>
      </c>
      <c r="N182" s="3" t="str">
        <f ca="1">IFERROR(MATCH($A182,INDIRECT("'Predictor Setup'!A"&amp;3+M182):'Predictor Setup'!$A$202,0)+M182,"")</f>
        <v/>
      </c>
      <c r="O182" s="3" t="str">
        <f ca="1">IFERROR(MATCH($A182,INDIRECT("'Predictor Setup'!A"&amp;3+N182):'Predictor Setup'!$A$202,0)+N182,"")</f>
        <v/>
      </c>
      <c r="P182" s="3" t="str">
        <f ca="1">IFERROR(MATCH($A182,INDIRECT("'Predictor Setup'!A"&amp;3+O182):'Predictor Setup'!$A$202,0)+O182,"")</f>
        <v/>
      </c>
    </row>
    <row r="183" spans="1:16" x14ac:dyDescent="0.35">
      <c r="A183" t="str">
        <f>IF('Predictor Setup'!A171="",A182,'Predictor Setup'!A171)</f>
        <v>Facility</v>
      </c>
      <c r="B183" t="e">
        <f>MATCH($A183,'Predictor Setup'!$A$3:$A$202,0)</f>
        <v>#N/A</v>
      </c>
      <c r="C183" s="3" t="str">
        <f ca="1">IFERROR(MATCH($A183,INDIRECT("'Predictor Setup'!A"&amp;3+B183):'Predictor Setup'!$A$202,0)+B183,"")</f>
        <v/>
      </c>
      <c r="D183" s="3" t="str">
        <f ca="1">IFERROR(MATCH($A183,INDIRECT("'Predictor Setup'!A"&amp;3+C183):'Predictor Setup'!$A$202,0)+C183,"")</f>
        <v/>
      </c>
      <c r="E183" s="3" t="str">
        <f ca="1">IFERROR(MATCH($A183,INDIRECT("'Predictor Setup'!A"&amp;3+D183):'Predictor Setup'!$A$202,0)+D183,"")</f>
        <v/>
      </c>
      <c r="F183" s="3" t="str">
        <f ca="1">IFERROR(MATCH($A183,INDIRECT("'Predictor Setup'!A"&amp;3+E183):'Predictor Setup'!$A$202,0)+E183,"")</f>
        <v/>
      </c>
      <c r="G183" s="3" t="str">
        <f ca="1">IFERROR(MATCH($A183,INDIRECT("'Predictor Setup'!A"&amp;3+F183):'Predictor Setup'!$A$202,0)+F183,"")</f>
        <v/>
      </c>
      <c r="H183" s="3" t="str">
        <f ca="1">IFERROR(MATCH($A183,INDIRECT("'Predictor Setup'!A"&amp;3+G183):'Predictor Setup'!$A$202,0)+G183,"")</f>
        <v/>
      </c>
      <c r="I183" s="3" t="str">
        <f ca="1">IFERROR(MATCH($A183,INDIRECT("'Predictor Setup'!A"&amp;3+H183):'Predictor Setup'!$A$202,0)+H183,"")</f>
        <v/>
      </c>
      <c r="J183" s="3" t="str">
        <f ca="1">IFERROR(MATCH($A183,INDIRECT("'Predictor Setup'!A"&amp;3+I183):'Predictor Setup'!$A$202,0)+I183,"")</f>
        <v/>
      </c>
      <c r="K183" s="3" t="str">
        <f ca="1">IFERROR(MATCH($A183,INDIRECT("'Predictor Setup'!A"&amp;3+J183):'Predictor Setup'!$A$202,0)+J183,"")</f>
        <v/>
      </c>
      <c r="L183" s="3" t="str">
        <f ca="1">IFERROR(MATCH($A183,INDIRECT("'Predictor Setup'!A"&amp;3+K183):'Predictor Setup'!$A$202,0)+K183,"")</f>
        <v/>
      </c>
      <c r="M183" s="3" t="str">
        <f ca="1">IFERROR(MATCH($A183,INDIRECT("'Predictor Setup'!A"&amp;3+L183):'Predictor Setup'!$A$202,0)+L183,"")</f>
        <v/>
      </c>
      <c r="N183" s="3" t="str">
        <f ca="1">IFERROR(MATCH($A183,INDIRECT("'Predictor Setup'!A"&amp;3+M183):'Predictor Setup'!$A$202,0)+M183,"")</f>
        <v/>
      </c>
      <c r="O183" s="3" t="str">
        <f ca="1">IFERROR(MATCH($A183,INDIRECT("'Predictor Setup'!A"&amp;3+N183):'Predictor Setup'!$A$202,0)+N183,"")</f>
        <v/>
      </c>
      <c r="P183" s="3" t="str">
        <f ca="1">IFERROR(MATCH($A183,INDIRECT("'Predictor Setup'!A"&amp;3+O183):'Predictor Setup'!$A$202,0)+O183,"")</f>
        <v/>
      </c>
    </row>
    <row r="184" spans="1:16" x14ac:dyDescent="0.35">
      <c r="A184" t="str">
        <f>IF('Predictor Setup'!A172="",A183,'Predictor Setup'!A172)</f>
        <v>Facility</v>
      </c>
      <c r="B184" t="e">
        <f>MATCH($A184,'Predictor Setup'!$A$3:$A$202,0)</f>
        <v>#N/A</v>
      </c>
      <c r="C184" s="3" t="str">
        <f ca="1">IFERROR(MATCH($A184,INDIRECT("'Predictor Setup'!A"&amp;3+B184):'Predictor Setup'!$A$202,0)+B184,"")</f>
        <v/>
      </c>
      <c r="D184" s="3" t="str">
        <f ca="1">IFERROR(MATCH($A184,INDIRECT("'Predictor Setup'!A"&amp;3+C184):'Predictor Setup'!$A$202,0)+C184,"")</f>
        <v/>
      </c>
      <c r="E184" s="3" t="str">
        <f ca="1">IFERROR(MATCH($A184,INDIRECT("'Predictor Setup'!A"&amp;3+D184):'Predictor Setup'!$A$202,0)+D184,"")</f>
        <v/>
      </c>
      <c r="F184" s="3" t="str">
        <f ca="1">IFERROR(MATCH($A184,INDIRECT("'Predictor Setup'!A"&amp;3+E184):'Predictor Setup'!$A$202,0)+E184,"")</f>
        <v/>
      </c>
      <c r="G184" s="3" t="str">
        <f ca="1">IFERROR(MATCH($A184,INDIRECT("'Predictor Setup'!A"&amp;3+F184):'Predictor Setup'!$A$202,0)+F184,"")</f>
        <v/>
      </c>
      <c r="H184" s="3" t="str">
        <f ca="1">IFERROR(MATCH($A184,INDIRECT("'Predictor Setup'!A"&amp;3+G184):'Predictor Setup'!$A$202,0)+G184,"")</f>
        <v/>
      </c>
      <c r="I184" s="3" t="str">
        <f ca="1">IFERROR(MATCH($A184,INDIRECT("'Predictor Setup'!A"&amp;3+H184):'Predictor Setup'!$A$202,0)+H184,"")</f>
        <v/>
      </c>
      <c r="J184" s="3" t="str">
        <f ca="1">IFERROR(MATCH($A184,INDIRECT("'Predictor Setup'!A"&amp;3+I184):'Predictor Setup'!$A$202,0)+I184,"")</f>
        <v/>
      </c>
      <c r="K184" s="3" t="str">
        <f ca="1">IFERROR(MATCH($A184,INDIRECT("'Predictor Setup'!A"&amp;3+J184):'Predictor Setup'!$A$202,0)+J184,"")</f>
        <v/>
      </c>
      <c r="L184" s="3" t="str">
        <f ca="1">IFERROR(MATCH($A184,INDIRECT("'Predictor Setup'!A"&amp;3+K184):'Predictor Setup'!$A$202,0)+K184,"")</f>
        <v/>
      </c>
      <c r="M184" s="3" t="str">
        <f ca="1">IFERROR(MATCH($A184,INDIRECT("'Predictor Setup'!A"&amp;3+L184):'Predictor Setup'!$A$202,0)+L184,"")</f>
        <v/>
      </c>
      <c r="N184" s="3" t="str">
        <f ca="1">IFERROR(MATCH($A184,INDIRECT("'Predictor Setup'!A"&amp;3+M184):'Predictor Setup'!$A$202,0)+M184,"")</f>
        <v/>
      </c>
      <c r="O184" s="3" t="str">
        <f ca="1">IFERROR(MATCH($A184,INDIRECT("'Predictor Setup'!A"&amp;3+N184):'Predictor Setup'!$A$202,0)+N184,"")</f>
        <v/>
      </c>
      <c r="P184" s="3" t="str">
        <f ca="1">IFERROR(MATCH($A184,INDIRECT("'Predictor Setup'!A"&amp;3+O184):'Predictor Setup'!$A$202,0)+O184,"")</f>
        <v/>
      </c>
    </row>
    <row r="185" spans="1:16" x14ac:dyDescent="0.35">
      <c r="A185" t="str">
        <f>IF('Predictor Setup'!A173="",A184,'Predictor Setup'!A173)</f>
        <v>Facility</v>
      </c>
      <c r="B185" t="e">
        <f>MATCH($A185,'Predictor Setup'!$A$3:$A$202,0)</f>
        <v>#N/A</v>
      </c>
      <c r="C185" s="3" t="str">
        <f ca="1">IFERROR(MATCH($A185,INDIRECT("'Predictor Setup'!A"&amp;3+B185):'Predictor Setup'!$A$202,0)+B185,"")</f>
        <v/>
      </c>
      <c r="D185" s="3" t="str">
        <f ca="1">IFERROR(MATCH($A185,INDIRECT("'Predictor Setup'!A"&amp;3+C185):'Predictor Setup'!$A$202,0)+C185,"")</f>
        <v/>
      </c>
      <c r="E185" s="3" t="str">
        <f ca="1">IFERROR(MATCH($A185,INDIRECT("'Predictor Setup'!A"&amp;3+D185):'Predictor Setup'!$A$202,0)+D185,"")</f>
        <v/>
      </c>
      <c r="F185" s="3" t="str">
        <f ca="1">IFERROR(MATCH($A185,INDIRECT("'Predictor Setup'!A"&amp;3+E185):'Predictor Setup'!$A$202,0)+E185,"")</f>
        <v/>
      </c>
      <c r="G185" s="3" t="str">
        <f ca="1">IFERROR(MATCH($A185,INDIRECT("'Predictor Setup'!A"&amp;3+F185):'Predictor Setup'!$A$202,0)+F185,"")</f>
        <v/>
      </c>
      <c r="H185" s="3" t="str">
        <f ca="1">IFERROR(MATCH($A185,INDIRECT("'Predictor Setup'!A"&amp;3+G185):'Predictor Setup'!$A$202,0)+G185,"")</f>
        <v/>
      </c>
      <c r="I185" s="3" t="str">
        <f ca="1">IFERROR(MATCH($A185,INDIRECT("'Predictor Setup'!A"&amp;3+H185):'Predictor Setup'!$A$202,0)+H185,"")</f>
        <v/>
      </c>
      <c r="J185" s="3" t="str">
        <f ca="1">IFERROR(MATCH($A185,INDIRECT("'Predictor Setup'!A"&amp;3+I185):'Predictor Setup'!$A$202,0)+I185,"")</f>
        <v/>
      </c>
      <c r="K185" s="3" t="str">
        <f ca="1">IFERROR(MATCH($A185,INDIRECT("'Predictor Setup'!A"&amp;3+J185):'Predictor Setup'!$A$202,0)+J185,"")</f>
        <v/>
      </c>
      <c r="L185" s="3" t="str">
        <f ca="1">IFERROR(MATCH($A185,INDIRECT("'Predictor Setup'!A"&amp;3+K185):'Predictor Setup'!$A$202,0)+K185,"")</f>
        <v/>
      </c>
      <c r="M185" s="3" t="str">
        <f ca="1">IFERROR(MATCH($A185,INDIRECT("'Predictor Setup'!A"&amp;3+L185):'Predictor Setup'!$A$202,0)+L185,"")</f>
        <v/>
      </c>
      <c r="N185" s="3" t="str">
        <f ca="1">IFERROR(MATCH($A185,INDIRECT("'Predictor Setup'!A"&amp;3+M185):'Predictor Setup'!$A$202,0)+M185,"")</f>
        <v/>
      </c>
      <c r="O185" s="3" t="str">
        <f ca="1">IFERROR(MATCH($A185,INDIRECT("'Predictor Setup'!A"&amp;3+N185):'Predictor Setup'!$A$202,0)+N185,"")</f>
        <v/>
      </c>
      <c r="P185" s="3" t="str">
        <f ca="1">IFERROR(MATCH($A185,INDIRECT("'Predictor Setup'!A"&amp;3+O185):'Predictor Setup'!$A$202,0)+O185,"")</f>
        <v/>
      </c>
    </row>
    <row r="186" spans="1:16" x14ac:dyDescent="0.35">
      <c r="A186" t="str">
        <f>IF('Predictor Setup'!A174="",A185,'Predictor Setup'!A174)</f>
        <v>Facility</v>
      </c>
      <c r="B186" t="e">
        <f>MATCH($A186,'Predictor Setup'!$A$3:$A$202,0)</f>
        <v>#N/A</v>
      </c>
      <c r="C186" s="3" t="str">
        <f ca="1">IFERROR(MATCH($A186,INDIRECT("'Predictor Setup'!A"&amp;3+B186):'Predictor Setup'!$A$202,0)+B186,"")</f>
        <v/>
      </c>
      <c r="D186" s="3" t="str">
        <f ca="1">IFERROR(MATCH($A186,INDIRECT("'Predictor Setup'!A"&amp;3+C186):'Predictor Setup'!$A$202,0)+C186,"")</f>
        <v/>
      </c>
      <c r="E186" s="3" t="str">
        <f ca="1">IFERROR(MATCH($A186,INDIRECT("'Predictor Setup'!A"&amp;3+D186):'Predictor Setup'!$A$202,0)+D186,"")</f>
        <v/>
      </c>
      <c r="F186" s="3" t="str">
        <f ca="1">IFERROR(MATCH($A186,INDIRECT("'Predictor Setup'!A"&amp;3+E186):'Predictor Setup'!$A$202,0)+E186,"")</f>
        <v/>
      </c>
      <c r="G186" s="3" t="str">
        <f ca="1">IFERROR(MATCH($A186,INDIRECT("'Predictor Setup'!A"&amp;3+F186):'Predictor Setup'!$A$202,0)+F186,"")</f>
        <v/>
      </c>
      <c r="H186" s="3" t="str">
        <f ca="1">IFERROR(MATCH($A186,INDIRECT("'Predictor Setup'!A"&amp;3+G186):'Predictor Setup'!$A$202,0)+G186,"")</f>
        <v/>
      </c>
      <c r="I186" s="3" t="str">
        <f ca="1">IFERROR(MATCH($A186,INDIRECT("'Predictor Setup'!A"&amp;3+H186):'Predictor Setup'!$A$202,0)+H186,"")</f>
        <v/>
      </c>
      <c r="J186" s="3" t="str">
        <f ca="1">IFERROR(MATCH($A186,INDIRECT("'Predictor Setup'!A"&amp;3+I186):'Predictor Setup'!$A$202,0)+I186,"")</f>
        <v/>
      </c>
      <c r="K186" s="3" t="str">
        <f ca="1">IFERROR(MATCH($A186,INDIRECT("'Predictor Setup'!A"&amp;3+J186):'Predictor Setup'!$A$202,0)+J186,"")</f>
        <v/>
      </c>
      <c r="L186" s="3" t="str">
        <f ca="1">IFERROR(MATCH($A186,INDIRECT("'Predictor Setup'!A"&amp;3+K186):'Predictor Setup'!$A$202,0)+K186,"")</f>
        <v/>
      </c>
      <c r="M186" s="3" t="str">
        <f ca="1">IFERROR(MATCH($A186,INDIRECT("'Predictor Setup'!A"&amp;3+L186):'Predictor Setup'!$A$202,0)+L186,"")</f>
        <v/>
      </c>
      <c r="N186" s="3" t="str">
        <f ca="1">IFERROR(MATCH($A186,INDIRECT("'Predictor Setup'!A"&amp;3+M186):'Predictor Setup'!$A$202,0)+M186,"")</f>
        <v/>
      </c>
      <c r="O186" s="3" t="str">
        <f ca="1">IFERROR(MATCH($A186,INDIRECT("'Predictor Setup'!A"&amp;3+N186):'Predictor Setup'!$A$202,0)+N186,"")</f>
        <v/>
      </c>
      <c r="P186" s="3" t="str">
        <f ca="1">IFERROR(MATCH($A186,INDIRECT("'Predictor Setup'!A"&amp;3+O186):'Predictor Setup'!$A$202,0)+O186,"")</f>
        <v/>
      </c>
    </row>
    <row r="187" spans="1:16" x14ac:dyDescent="0.35">
      <c r="A187" t="str">
        <f>IF('Predictor Setup'!A175="",A186,'Predictor Setup'!A175)</f>
        <v>Facility</v>
      </c>
      <c r="B187" t="e">
        <f>MATCH($A187,'Predictor Setup'!$A$3:$A$202,0)</f>
        <v>#N/A</v>
      </c>
      <c r="C187" s="3" t="str">
        <f ca="1">IFERROR(MATCH($A187,INDIRECT("'Predictor Setup'!A"&amp;3+B187):'Predictor Setup'!$A$202,0)+B187,"")</f>
        <v/>
      </c>
      <c r="D187" s="3" t="str">
        <f ca="1">IFERROR(MATCH($A187,INDIRECT("'Predictor Setup'!A"&amp;3+C187):'Predictor Setup'!$A$202,0)+C187,"")</f>
        <v/>
      </c>
      <c r="E187" s="3" t="str">
        <f ca="1">IFERROR(MATCH($A187,INDIRECT("'Predictor Setup'!A"&amp;3+D187):'Predictor Setup'!$A$202,0)+D187,"")</f>
        <v/>
      </c>
      <c r="F187" s="3" t="str">
        <f ca="1">IFERROR(MATCH($A187,INDIRECT("'Predictor Setup'!A"&amp;3+E187):'Predictor Setup'!$A$202,0)+E187,"")</f>
        <v/>
      </c>
      <c r="G187" s="3" t="str">
        <f ca="1">IFERROR(MATCH($A187,INDIRECT("'Predictor Setup'!A"&amp;3+F187):'Predictor Setup'!$A$202,0)+F187,"")</f>
        <v/>
      </c>
      <c r="H187" s="3" t="str">
        <f ca="1">IFERROR(MATCH($A187,INDIRECT("'Predictor Setup'!A"&amp;3+G187):'Predictor Setup'!$A$202,0)+G187,"")</f>
        <v/>
      </c>
      <c r="I187" s="3" t="str">
        <f ca="1">IFERROR(MATCH($A187,INDIRECT("'Predictor Setup'!A"&amp;3+H187):'Predictor Setup'!$A$202,0)+H187,"")</f>
        <v/>
      </c>
      <c r="J187" s="3" t="str">
        <f ca="1">IFERROR(MATCH($A187,INDIRECT("'Predictor Setup'!A"&amp;3+I187):'Predictor Setup'!$A$202,0)+I187,"")</f>
        <v/>
      </c>
      <c r="K187" s="3" t="str">
        <f ca="1">IFERROR(MATCH($A187,INDIRECT("'Predictor Setup'!A"&amp;3+J187):'Predictor Setup'!$A$202,0)+J187,"")</f>
        <v/>
      </c>
      <c r="L187" s="3" t="str">
        <f ca="1">IFERROR(MATCH($A187,INDIRECT("'Predictor Setup'!A"&amp;3+K187):'Predictor Setup'!$A$202,0)+K187,"")</f>
        <v/>
      </c>
      <c r="M187" s="3" t="str">
        <f ca="1">IFERROR(MATCH($A187,INDIRECT("'Predictor Setup'!A"&amp;3+L187):'Predictor Setup'!$A$202,0)+L187,"")</f>
        <v/>
      </c>
      <c r="N187" s="3" t="str">
        <f ca="1">IFERROR(MATCH($A187,INDIRECT("'Predictor Setup'!A"&amp;3+M187):'Predictor Setup'!$A$202,0)+M187,"")</f>
        <v/>
      </c>
      <c r="O187" s="3" t="str">
        <f ca="1">IFERROR(MATCH($A187,INDIRECT("'Predictor Setup'!A"&amp;3+N187):'Predictor Setup'!$A$202,0)+N187,"")</f>
        <v/>
      </c>
      <c r="P187" s="3" t="str">
        <f ca="1">IFERROR(MATCH($A187,INDIRECT("'Predictor Setup'!A"&amp;3+O187):'Predictor Setup'!$A$202,0)+O187,"")</f>
        <v/>
      </c>
    </row>
    <row r="188" spans="1:16" x14ac:dyDescent="0.35">
      <c r="A188" t="str">
        <f>IF('Predictor Setup'!A176="",A187,'Predictor Setup'!A176)</f>
        <v>Facility</v>
      </c>
      <c r="B188" t="e">
        <f>MATCH($A188,'Predictor Setup'!$A$3:$A$202,0)</f>
        <v>#N/A</v>
      </c>
      <c r="C188" s="3" t="str">
        <f ca="1">IFERROR(MATCH($A188,INDIRECT("'Predictor Setup'!A"&amp;3+B188):'Predictor Setup'!$A$202,0)+B188,"")</f>
        <v/>
      </c>
      <c r="D188" s="3" t="str">
        <f ca="1">IFERROR(MATCH($A188,INDIRECT("'Predictor Setup'!A"&amp;3+C188):'Predictor Setup'!$A$202,0)+C188,"")</f>
        <v/>
      </c>
      <c r="E188" s="3" t="str">
        <f ca="1">IFERROR(MATCH($A188,INDIRECT("'Predictor Setup'!A"&amp;3+D188):'Predictor Setup'!$A$202,0)+D188,"")</f>
        <v/>
      </c>
      <c r="F188" s="3" t="str">
        <f ca="1">IFERROR(MATCH($A188,INDIRECT("'Predictor Setup'!A"&amp;3+E188):'Predictor Setup'!$A$202,0)+E188,"")</f>
        <v/>
      </c>
      <c r="G188" s="3" t="str">
        <f ca="1">IFERROR(MATCH($A188,INDIRECT("'Predictor Setup'!A"&amp;3+F188):'Predictor Setup'!$A$202,0)+F188,"")</f>
        <v/>
      </c>
      <c r="H188" s="3" t="str">
        <f ca="1">IFERROR(MATCH($A188,INDIRECT("'Predictor Setup'!A"&amp;3+G188):'Predictor Setup'!$A$202,0)+G188,"")</f>
        <v/>
      </c>
      <c r="I188" s="3" t="str">
        <f ca="1">IFERROR(MATCH($A188,INDIRECT("'Predictor Setup'!A"&amp;3+H188):'Predictor Setup'!$A$202,0)+H188,"")</f>
        <v/>
      </c>
      <c r="J188" s="3" t="str">
        <f ca="1">IFERROR(MATCH($A188,INDIRECT("'Predictor Setup'!A"&amp;3+I188):'Predictor Setup'!$A$202,0)+I188,"")</f>
        <v/>
      </c>
      <c r="K188" s="3" t="str">
        <f ca="1">IFERROR(MATCH($A188,INDIRECT("'Predictor Setup'!A"&amp;3+J188):'Predictor Setup'!$A$202,0)+J188,"")</f>
        <v/>
      </c>
      <c r="L188" s="3" t="str">
        <f ca="1">IFERROR(MATCH($A188,INDIRECT("'Predictor Setup'!A"&amp;3+K188):'Predictor Setup'!$A$202,0)+K188,"")</f>
        <v/>
      </c>
      <c r="M188" s="3" t="str">
        <f ca="1">IFERROR(MATCH($A188,INDIRECT("'Predictor Setup'!A"&amp;3+L188):'Predictor Setup'!$A$202,0)+L188,"")</f>
        <v/>
      </c>
      <c r="N188" s="3" t="str">
        <f ca="1">IFERROR(MATCH($A188,INDIRECT("'Predictor Setup'!A"&amp;3+M188):'Predictor Setup'!$A$202,0)+M188,"")</f>
        <v/>
      </c>
      <c r="O188" s="3" t="str">
        <f ca="1">IFERROR(MATCH($A188,INDIRECT("'Predictor Setup'!A"&amp;3+N188):'Predictor Setup'!$A$202,0)+N188,"")</f>
        <v/>
      </c>
      <c r="P188" s="3" t="str">
        <f ca="1">IFERROR(MATCH($A188,INDIRECT("'Predictor Setup'!A"&amp;3+O188):'Predictor Setup'!$A$202,0)+O188,"")</f>
        <v/>
      </c>
    </row>
    <row r="189" spans="1:16" x14ac:dyDescent="0.35">
      <c r="A189" t="str">
        <f>IF('Predictor Setup'!A177="",A188,'Predictor Setup'!A177)</f>
        <v>Facility</v>
      </c>
      <c r="B189" t="e">
        <f>MATCH($A189,'Predictor Setup'!$A$3:$A$202,0)</f>
        <v>#N/A</v>
      </c>
      <c r="C189" s="3" t="str">
        <f ca="1">IFERROR(MATCH($A189,INDIRECT("'Predictor Setup'!A"&amp;3+B189):'Predictor Setup'!$A$202,0)+B189,"")</f>
        <v/>
      </c>
      <c r="D189" s="3" t="str">
        <f ca="1">IFERROR(MATCH($A189,INDIRECT("'Predictor Setup'!A"&amp;3+C189):'Predictor Setup'!$A$202,0)+C189,"")</f>
        <v/>
      </c>
      <c r="E189" s="3" t="str">
        <f ca="1">IFERROR(MATCH($A189,INDIRECT("'Predictor Setup'!A"&amp;3+D189):'Predictor Setup'!$A$202,0)+D189,"")</f>
        <v/>
      </c>
      <c r="F189" s="3" t="str">
        <f ca="1">IFERROR(MATCH($A189,INDIRECT("'Predictor Setup'!A"&amp;3+E189):'Predictor Setup'!$A$202,0)+E189,"")</f>
        <v/>
      </c>
      <c r="G189" s="3" t="str">
        <f ca="1">IFERROR(MATCH($A189,INDIRECT("'Predictor Setup'!A"&amp;3+F189):'Predictor Setup'!$A$202,0)+F189,"")</f>
        <v/>
      </c>
      <c r="H189" s="3" t="str">
        <f ca="1">IFERROR(MATCH($A189,INDIRECT("'Predictor Setup'!A"&amp;3+G189):'Predictor Setup'!$A$202,0)+G189,"")</f>
        <v/>
      </c>
      <c r="I189" s="3" t="str">
        <f ca="1">IFERROR(MATCH($A189,INDIRECT("'Predictor Setup'!A"&amp;3+H189):'Predictor Setup'!$A$202,0)+H189,"")</f>
        <v/>
      </c>
      <c r="J189" s="3" t="str">
        <f ca="1">IFERROR(MATCH($A189,INDIRECT("'Predictor Setup'!A"&amp;3+I189):'Predictor Setup'!$A$202,0)+I189,"")</f>
        <v/>
      </c>
      <c r="K189" s="3" t="str">
        <f ca="1">IFERROR(MATCH($A189,INDIRECT("'Predictor Setup'!A"&amp;3+J189):'Predictor Setup'!$A$202,0)+J189,"")</f>
        <v/>
      </c>
      <c r="L189" s="3" t="str">
        <f ca="1">IFERROR(MATCH($A189,INDIRECT("'Predictor Setup'!A"&amp;3+K189):'Predictor Setup'!$A$202,0)+K189,"")</f>
        <v/>
      </c>
      <c r="M189" s="3" t="str">
        <f ca="1">IFERROR(MATCH($A189,INDIRECT("'Predictor Setup'!A"&amp;3+L189):'Predictor Setup'!$A$202,0)+L189,"")</f>
        <v/>
      </c>
      <c r="N189" s="3" t="str">
        <f ca="1">IFERROR(MATCH($A189,INDIRECT("'Predictor Setup'!A"&amp;3+M189):'Predictor Setup'!$A$202,0)+M189,"")</f>
        <v/>
      </c>
      <c r="O189" s="3" t="str">
        <f ca="1">IFERROR(MATCH($A189,INDIRECT("'Predictor Setup'!A"&amp;3+N189):'Predictor Setup'!$A$202,0)+N189,"")</f>
        <v/>
      </c>
      <c r="P189" s="3" t="str">
        <f ca="1">IFERROR(MATCH($A189,INDIRECT("'Predictor Setup'!A"&amp;3+O189):'Predictor Setup'!$A$202,0)+O189,"")</f>
        <v/>
      </c>
    </row>
    <row r="190" spans="1:16" x14ac:dyDescent="0.35">
      <c r="A190" t="str">
        <f>IF('Predictor Setup'!A178="",A189,'Predictor Setup'!A178)</f>
        <v>Facility</v>
      </c>
      <c r="B190" t="e">
        <f>MATCH($A190,'Predictor Setup'!$A$3:$A$202,0)</f>
        <v>#N/A</v>
      </c>
      <c r="C190" s="3" t="str">
        <f ca="1">IFERROR(MATCH($A190,INDIRECT("'Predictor Setup'!A"&amp;3+B190):'Predictor Setup'!$A$202,0)+B190,"")</f>
        <v/>
      </c>
      <c r="D190" s="3" t="str">
        <f ca="1">IFERROR(MATCH($A190,INDIRECT("'Predictor Setup'!A"&amp;3+C190):'Predictor Setup'!$A$202,0)+C190,"")</f>
        <v/>
      </c>
      <c r="E190" s="3" t="str">
        <f ca="1">IFERROR(MATCH($A190,INDIRECT("'Predictor Setup'!A"&amp;3+D190):'Predictor Setup'!$A$202,0)+D190,"")</f>
        <v/>
      </c>
      <c r="F190" s="3" t="str">
        <f ca="1">IFERROR(MATCH($A190,INDIRECT("'Predictor Setup'!A"&amp;3+E190):'Predictor Setup'!$A$202,0)+E190,"")</f>
        <v/>
      </c>
      <c r="G190" s="3" t="str">
        <f ca="1">IFERROR(MATCH($A190,INDIRECT("'Predictor Setup'!A"&amp;3+F190):'Predictor Setup'!$A$202,0)+F190,"")</f>
        <v/>
      </c>
      <c r="H190" s="3" t="str">
        <f ca="1">IFERROR(MATCH($A190,INDIRECT("'Predictor Setup'!A"&amp;3+G190):'Predictor Setup'!$A$202,0)+G190,"")</f>
        <v/>
      </c>
      <c r="I190" s="3" t="str">
        <f ca="1">IFERROR(MATCH($A190,INDIRECT("'Predictor Setup'!A"&amp;3+H190):'Predictor Setup'!$A$202,0)+H190,"")</f>
        <v/>
      </c>
      <c r="J190" s="3" t="str">
        <f ca="1">IFERROR(MATCH($A190,INDIRECT("'Predictor Setup'!A"&amp;3+I190):'Predictor Setup'!$A$202,0)+I190,"")</f>
        <v/>
      </c>
      <c r="K190" s="3" t="str">
        <f ca="1">IFERROR(MATCH($A190,INDIRECT("'Predictor Setup'!A"&amp;3+J190):'Predictor Setup'!$A$202,0)+J190,"")</f>
        <v/>
      </c>
      <c r="L190" s="3" t="str">
        <f ca="1">IFERROR(MATCH($A190,INDIRECT("'Predictor Setup'!A"&amp;3+K190):'Predictor Setup'!$A$202,0)+K190,"")</f>
        <v/>
      </c>
      <c r="M190" s="3" t="str">
        <f ca="1">IFERROR(MATCH($A190,INDIRECT("'Predictor Setup'!A"&amp;3+L190):'Predictor Setup'!$A$202,0)+L190,"")</f>
        <v/>
      </c>
      <c r="N190" s="3" t="str">
        <f ca="1">IFERROR(MATCH($A190,INDIRECT("'Predictor Setup'!A"&amp;3+M190):'Predictor Setup'!$A$202,0)+M190,"")</f>
        <v/>
      </c>
      <c r="O190" s="3" t="str">
        <f ca="1">IFERROR(MATCH($A190,INDIRECT("'Predictor Setup'!A"&amp;3+N190):'Predictor Setup'!$A$202,0)+N190,"")</f>
        <v/>
      </c>
      <c r="P190" s="3" t="str">
        <f ca="1">IFERROR(MATCH($A190,INDIRECT("'Predictor Setup'!A"&amp;3+O190):'Predictor Setup'!$A$202,0)+O190,"")</f>
        <v/>
      </c>
    </row>
    <row r="191" spans="1:16" x14ac:dyDescent="0.35">
      <c r="A191" t="str">
        <f>IF('Predictor Setup'!A179="",A190,'Predictor Setup'!A179)</f>
        <v>Facility</v>
      </c>
      <c r="B191" t="e">
        <f>MATCH($A191,'Predictor Setup'!$A$3:$A$202,0)</f>
        <v>#N/A</v>
      </c>
      <c r="C191" s="3" t="str">
        <f ca="1">IFERROR(MATCH($A191,INDIRECT("'Predictor Setup'!A"&amp;3+B191):'Predictor Setup'!$A$202,0)+B191,"")</f>
        <v/>
      </c>
      <c r="D191" s="3" t="str">
        <f ca="1">IFERROR(MATCH($A191,INDIRECT("'Predictor Setup'!A"&amp;3+C191):'Predictor Setup'!$A$202,0)+C191,"")</f>
        <v/>
      </c>
      <c r="E191" s="3" t="str">
        <f ca="1">IFERROR(MATCH($A191,INDIRECT("'Predictor Setup'!A"&amp;3+D191):'Predictor Setup'!$A$202,0)+D191,"")</f>
        <v/>
      </c>
      <c r="F191" s="3" t="str">
        <f ca="1">IFERROR(MATCH($A191,INDIRECT("'Predictor Setup'!A"&amp;3+E191):'Predictor Setup'!$A$202,0)+E191,"")</f>
        <v/>
      </c>
      <c r="G191" s="3" t="str">
        <f ca="1">IFERROR(MATCH($A191,INDIRECT("'Predictor Setup'!A"&amp;3+F191):'Predictor Setup'!$A$202,0)+F191,"")</f>
        <v/>
      </c>
      <c r="H191" s="3" t="str">
        <f ca="1">IFERROR(MATCH($A191,INDIRECT("'Predictor Setup'!A"&amp;3+G191):'Predictor Setup'!$A$202,0)+G191,"")</f>
        <v/>
      </c>
      <c r="I191" s="3" t="str">
        <f ca="1">IFERROR(MATCH($A191,INDIRECT("'Predictor Setup'!A"&amp;3+H191):'Predictor Setup'!$A$202,0)+H191,"")</f>
        <v/>
      </c>
      <c r="J191" s="3" t="str">
        <f ca="1">IFERROR(MATCH($A191,INDIRECT("'Predictor Setup'!A"&amp;3+I191):'Predictor Setup'!$A$202,0)+I191,"")</f>
        <v/>
      </c>
      <c r="K191" s="3" t="str">
        <f ca="1">IFERROR(MATCH($A191,INDIRECT("'Predictor Setup'!A"&amp;3+J191):'Predictor Setup'!$A$202,0)+J191,"")</f>
        <v/>
      </c>
      <c r="L191" s="3" t="str">
        <f ca="1">IFERROR(MATCH($A191,INDIRECT("'Predictor Setup'!A"&amp;3+K191):'Predictor Setup'!$A$202,0)+K191,"")</f>
        <v/>
      </c>
      <c r="M191" s="3" t="str">
        <f ca="1">IFERROR(MATCH($A191,INDIRECT("'Predictor Setup'!A"&amp;3+L191):'Predictor Setup'!$A$202,0)+L191,"")</f>
        <v/>
      </c>
      <c r="N191" s="3" t="str">
        <f ca="1">IFERROR(MATCH($A191,INDIRECT("'Predictor Setup'!A"&amp;3+M191):'Predictor Setup'!$A$202,0)+M191,"")</f>
        <v/>
      </c>
      <c r="O191" s="3" t="str">
        <f ca="1">IFERROR(MATCH($A191,INDIRECT("'Predictor Setup'!A"&amp;3+N191):'Predictor Setup'!$A$202,0)+N191,"")</f>
        <v/>
      </c>
      <c r="P191" s="3" t="str">
        <f ca="1">IFERROR(MATCH($A191,INDIRECT("'Predictor Setup'!A"&amp;3+O191):'Predictor Setup'!$A$202,0)+O191,"")</f>
        <v/>
      </c>
    </row>
    <row r="192" spans="1:16" x14ac:dyDescent="0.35">
      <c r="A192" t="str">
        <f>IF('Predictor Setup'!A180="",A191,'Predictor Setup'!A180)</f>
        <v>Facility</v>
      </c>
      <c r="B192" t="e">
        <f>MATCH($A192,'Predictor Setup'!$A$3:$A$202,0)</f>
        <v>#N/A</v>
      </c>
      <c r="C192" s="3" t="str">
        <f ca="1">IFERROR(MATCH($A192,INDIRECT("'Predictor Setup'!A"&amp;3+B192):'Predictor Setup'!$A$202,0)+B192,"")</f>
        <v/>
      </c>
      <c r="D192" s="3" t="str">
        <f ca="1">IFERROR(MATCH($A192,INDIRECT("'Predictor Setup'!A"&amp;3+C192):'Predictor Setup'!$A$202,0)+C192,"")</f>
        <v/>
      </c>
      <c r="E192" s="3" t="str">
        <f ca="1">IFERROR(MATCH($A192,INDIRECT("'Predictor Setup'!A"&amp;3+D192):'Predictor Setup'!$A$202,0)+D192,"")</f>
        <v/>
      </c>
      <c r="F192" s="3" t="str">
        <f ca="1">IFERROR(MATCH($A192,INDIRECT("'Predictor Setup'!A"&amp;3+E192):'Predictor Setup'!$A$202,0)+E192,"")</f>
        <v/>
      </c>
      <c r="G192" s="3" t="str">
        <f ca="1">IFERROR(MATCH($A192,INDIRECT("'Predictor Setup'!A"&amp;3+F192):'Predictor Setup'!$A$202,0)+F192,"")</f>
        <v/>
      </c>
      <c r="H192" s="3" t="str">
        <f ca="1">IFERROR(MATCH($A192,INDIRECT("'Predictor Setup'!A"&amp;3+G192):'Predictor Setup'!$A$202,0)+G192,"")</f>
        <v/>
      </c>
      <c r="I192" s="3" t="str">
        <f ca="1">IFERROR(MATCH($A192,INDIRECT("'Predictor Setup'!A"&amp;3+H192):'Predictor Setup'!$A$202,0)+H192,"")</f>
        <v/>
      </c>
      <c r="J192" s="3" t="str">
        <f ca="1">IFERROR(MATCH($A192,INDIRECT("'Predictor Setup'!A"&amp;3+I192):'Predictor Setup'!$A$202,0)+I192,"")</f>
        <v/>
      </c>
      <c r="K192" s="3" t="str">
        <f ca="1">IFERROR(MATCH($A192,INDIRECT("'Predictor Setup'!A"&amp;3+J192):'Predictor Setup'!$A$202,0)+J192,"")</f>
        <v/>
      </c>
      <c r="L192" s="3" t="str">
        <f ca="1">IFERROR(MATCH($A192,INDIRECT("'Predictor Setup'!A"&amp;3+K192):'Predictor Setup'!$A$202,0)+K192,"")</f>
        <v/>
      </c>
      <c r="M192" s="3" t="str">
        <f ca="1">IFERROR(MATCH($A192,INDIRECT("'Predictor Setup'!A"&amp;3+L192):'Predictor Setup'!$A$202,0)+L192,"")</f>
        <v/>
      </c>
      <c r="N192" s="3" t="str">
        <f ca="1">IFERROR(MATCH($A192,INDIRECT("'Predictor Setup'!A"&amp;3+M192):'Predictor Setup'!$A$202,0)+M192,"")</f>
        <v/>
      </c>
      <c r="O192" s="3" t="str">
        <f ca="1">IFERROR(MATCH($A192,INDIRECT("'Predictor Setup'!A"&amp;3+N192):'Predictor Setup'!$A$202,0)+N192,"")</f>
        <v/>
      </c>
      <c r="P192" s="3" t="str">
        <f ca="1">IFERROR(MATCH($A192,INDIRECT("'Predictor Setup'!A"&amp;3+O192):'Predictor Setup'!$A$202,0)+O192,"")</f>
        <v/>
      </c>
    </row>
    <row r="193" spans="1:16" x14ac:dyDescent="0.35">
      <c r="A193" t="str">
        <f>IF('Predictor Setup'!A181="",A192,'Predictor Setup'!A181)</f>
        <v>Facility</v>
      </c>
      <c r="B193" t="e">
        <f>MATCH($A193,'Predictor Setup'!$A$3:$A$202,0)</f>
        <v>#N/A</v>
      </c>
      <c r="C193" s="3" t="str">
        <f ca="1">IFERROR(MATCH($A193,INDIRECT("'Predictor Setup'!A"&amp;3+B193):'Predictor Setup'!$A$202,0)+B193,"")</f>
        <v/>
      </c>
      <c r="D193" s="3" t="str">
        <f ca="1">IFERROR(MATCH($A193,INDIRECT("'Predictor Setup'!A"&amp;3+C193):'Predictor Setup'!$A$202,0)+C193,"")</f>
        <v/>
      </c>
      <c r="E193" s="3" t="str">
        <f ca="1">IFERROR(MATCH($A193,INDIRECT("'Predictor Setup'!A"&amp;3+D193):'Predictor Setup'!$A$202,0)+D193,"")</f>
        <v/>
      </c>
      <c r="F193" s="3" t="str">
        <f ca="1">IFERROR(MATCH($A193,INDIRECT("'Predictor Setup'!A"&amp;3+E193):'Predictor Setup'!$A$202,0)+E193,"")</f>
        <v/>
      </c>
      <c r="G193" s="3" t="str">
        <f ca="1">IFERROR(MATCH($A193,INDIRECT("'Predictor Setup'!A"&amp;3+F193):'Predictor Setup'!$A$202,0)+F193,"")</f>
        <v/>
      </c>
      <c r="H193" s="3" t="str">
        <f ca="1">IFERROR(MATCH($A193,INDIRECT("'Predictor Setup'!A"&amp;3+G193):'Predictor Setup'!$A$202,0)+G193,"")</f>
        <v/>
      </c>
      <c r="I193" s="3" t="str">
        <f ca="1">IFERROR(MATCH($A193,INDIRECT("'Predictor Setup'!A"&amp;3+H193):'Predictor Setup'!$A$202,0)+H193,"")</f>
        <v/>
      </c>
      <c r="J193" s="3" t="str">
        <f ca="1">IFERROR(MATCH($A193,INDIRECT("'Predictor Setup'!A"&amp;3+I193):'Predictor Setup'!$A$202,0)+I193,"")</f>
        <v/>
      </c>
      <c r="K193" s="3" t="str">
        <f ca="1">IFERROR(MATCH($A193,INDIRECT("'Predictor Setup'!A"&amp;3+J193):'Predictor Setup'!$A$202,0)+J193,"")</f>
        <v/>
      </c>
      <c r="L193" s="3" t="str">
        <f ca="1">IFERROR(MATCH($A193,INDIRECT("'Predictor Setup'!A"&amp;3+K193):'Predictor Setup'!$A$202,0)+K193,"")</f>
        <v/>
      </c>
      <c r="M193" s="3" t="str">
        <f ca="1">IFERROR(MATCH($A193,INDIRECT("'Predictor Setup'!A"&amp;3+L193):'Predictor Setup'!$A$202,0)+L193,"")</f>
        <v/>
      </c>
      <c r="N193" s="3" t="str">
        <f ca="1">IFERROR(MATCH($A193,INDIRECT("'Predictor Setup'!A"&amp;3+M193):'Predictor Setup'!$A$202,0)+M193,"")</f>
        <v/>
      </c>
      <c r="O193" s="3" t="str">
        <f ca="1">IFERROR(MATCH($A193,INDIRECT("'Predictor Setup'!A"&amp;3+N193):'Predictor Setup'!$A$202,0)+N193,"")</f>
        <v/>
      </c>
      <c r="P193" s="3" t="str">
        <f ca="1">IFERROR(MATCH($A193,INDIRECT("'Predictor Setup'!A"&amp;3+O193):'Predictor Setup'!$A$202,0)+O193,"")</f>
        <v/>
      </c>
    </row>
    <row r="194" spans="1:16" x14ac:dyDescent="0.35">
      <c r="A194" t="str">
        <f>IF('Predictor Setup'!A182="",A193,'Predictor Setup'!A182)</f>
        <v>Facility</v>
      </c>
      <c r="B194" t="e">
        <f>MATCH($A194,'Predictor Setup'!$A$3:$A$202,0)</f>
        <v>#N/A</v>
      </c>
      <c r="C194" s="3" t="str">
        <f ca="1">IFERROR(MATCH($A194,INDIRECT("'Predictor Setup'!A"&amp;3+B194):'Predictor Setup'!$A$202,0)+B194,"")</f>
        <v/>
      </c>
      <c r="D194" s="3" t="str">
        <f ca="1">IFERROR(MATCH($A194,INDIRECT("'Predictor Setup'!A"&amp;3+C194):'Predictor Setup'!$A$202,0)+C194,"")</f>
        <v/>
      </c>
      <c r="E194" s="3" t="str">
        <f ca="1">IFERROR(MATCH($A194,INDIRECT("'Predictor Setup'!A"&amp;3+D194):'Predictor Setup'!$A$202,0)+D194,"")</f>
        <v/>
      </c>
      <c r="F194" s="3" t="str">
        <f ca="1">IFERROR(MATCH($A194,INDIRECT("'Predictor Setup'!A"&amp;3+E194):'Predictor Setup'!$A$202,0)+E194,"")</f>
        <v/>
      </c>
      <c r="G194" s="3" t="str">
        <f ca="1">IFERROR(MATCH($A194,INDIRECT("'Predictor Setup'!A"&amp;3+F194):'Predictor Setup'!$A$202,0)+F194,"")</f>
        <v/>
      </c>
      <c r="H194" s="3" t="str">
        <f ca="1">IFERROR(MATCH($A194,INDIRECT("'Predictor Setup'!A"&amp;3+G194):'Predictor Setup'!$A$202,0)+G194,"")</f>
        <v/>
      </c>
      <c r="I194" s="3" t="str">
        <f ca="1">IFERROR(MATCH($A194,INDIRECT("'Predictor Setup'!A"&amp;3+H194):'Predictor Setup'!$A$202,0)+H194,"")</f>
        <v/>
      </c>
      <c r="J194" s="3" t="str">
        <f ca="1">IFERROR(MATCH($A194,INDIRECT("'Predictor Setup'!A"&amp;3+I194):'Predictor Setup'!$A$202,0)+I194,"")</f>
        <v/>
      </c>
      <c r="K194" s="3" t="str">
        <f ca="1">IFERROR(MATCH($A194,INDIRECT("'Predictor Setup'!A"&amp;3+J194):'Predictor Setup'!$A$202,0)+J194,"")</f>
        <v/>
      </c>
      <c r="L194" s="3" t="str">
        <f ca="1">IFERROR(MATCH($A194,INDIRECT("'Predictor Setup'!A"&amp;3+K194):'Predictor Setup'!$A$202,0)+K194,"")</f>
        <v/>
      </c>
      <c r="M194" s="3" t="str">
        <f ca="1">IFERROR(MATCH($A194,INDIRECT("'Predictor Setup'!A"&amp;3+L194):'Predictor Setup'!$A$202,0)+L194,"")</f>
        <v/>
      </c>
      <c r="N194" s="3" t="str">
        <f ca="1">IFERROR(MATCH($A194,INDIRECT("'Predictor Setup'!A"&amp;3+M194):'Predictor Setup'!$A$202,0)+M194,"")</f>
        <v/>
      </c>
      <c r="O194" s="3" t="str">
        <f ca="1">IFERROR(MATCH($A194,INDIRECT("'Predictor Setup'!A"&amp;3+N194):'Predictor Setup'!$A$202,0)+N194,"")</f>
        <v/>
      </c>
      <c r="P194" s="3" t="str">
        <f ca="1">IFERROR(MATCH($A194,INDIRECT("'Predictor Setup'!A"&amp;3+O194):'Predictor Setup'!$A$202,0)+O194,"")</f>
        <v/>
      </c>
    </row>
    <row r="195" spans="1:16" x14ac:dyDescent="0.35">
      <c r="A195" t="str">
        <f>IF('Predictor Setup'!A183="",A194,'Predictor Setup'!A183)</f>
        <v>Facility</v>
      </c>
      <c r="B195" t="e">
        <f>MATCH($A195,'Predictor Setup'!$A$3:$A$202,0)</f>
        <v>#N/A</v>
      </c>
      <c r="C195" s="3" t="str">
        <f ca="1">IFERROR(MATCH($A195,INDIRECT("'Predictor Setup'!A"&amp;3+B195):'Predictor Setup'!$A$202,0)+B195,"")</f>
        <v/>
      </c>
      <c r="D195" s="3" t="str">
        <f ca="1">IFERROR(MATCH($A195,INDIRECT("'Predictor Setup'!A"&amp;3+C195):'Predictor Setup'!$A$202,0)+C195,"")</f>
        <v/>
      </c>
      <c r="E195" s="3" t="str">
        <f ca="1">IFERROR(MATCH($A195,INDIRECT("'Predictor Setup'!A"&amp;3+D195):'Predictor Setup'!$A$202,0)+D195,"")</f>
        <v/>
      </c>
      <c r="F195" s="3" t="str">
        <f ca="1">IFERROR(MATCH($A195,INDIRECT("'Predictor Setup'!A"&amp;3+E195):'Predictor Setup'!$A$202,0)+E195,"")</f>
        <v/>
      </c>
      <c r="G195" s="3" t="str">
        <f ca="1">IFERROR(MATCH($A195,INDIRECT("'Predictor Setup'!A"&amp;3+F195):'Predictor Setup'!$A$202,0)+F195,"")</f>
        <v/>
      </c>
      <c r="H195" s="3" t="str">
        <f ca="1">IFERROR(MATCH($A195,INDIRECT("'Predictor Setup'!A"&amp;3+G195):'Predictor Setup'!$A$202,0)+G195,"")</f>
        <v/>
      </c>
      <c r="I195" s="3" t="str">
        <f ca="1">IFERROR(MATCH($A195,INDIRECT("'Predictor Setup'!A"&amp;3+H195):'Predictor Setup'!$A$202,0)+H195,"")</f>
        <v/>
      </c>
      <c r="J195" s="3" t="str">
        <f ca="1">IFERROR(MATCH($A195,INDIRECT("'Predictor Setup'!A"&amp;3+I195):'Predictor Setup'!$A$202,0)+I195,"")</f>
        <v/>
      </c>
      <c r="K195" s="3" t="str">
        <f ca="1">IFERROR(MATCH($A195,INDIRECT("'Predictor Setup'!A"&amp;3+J195):'Predictor Setup'!$A$202,0)+J195,"")</f>
        <v/>
      </c>
      <c r="L195" s="3" t="str">
        <f ca="1">IFERROR(MATCH($A195,INDIRECT("'Predictor Setup'!A"&amp;3+K195):'Predictor Setup'!$A$202,0)+K195,"")</f>
        <v/>
      </c>
      <c r="M195" s="3" t="str">
        <f ca="1">IFERROR(MATCH($A195,INDIRECT("'Predictor Setup'!A"&amp;3+L195):'Predictor Setup'!$A$202,0)+L195,"")</f>
        <v/>
      </c>
      <c r="N195" s="3" t="str">
        <f ca="1">IFERROR(MATCH($A195,INDIRECT("'Predictor Setup'!A"&amp;3+M195):'Predictor Setup'!$A$202,0)+M195,"")</f>
        <v/>
      </c>
      <c r="O195" s="3" t="str">
        <f ca="1">IFERROR(MATCH($A195,INDIRECT("'Predictor Setup'!A"&amp;3+N195):'Predictor Setup'!$A$202,0)+N195,"")</f>
        <v/>
      </c>
      <c r="P195" s="3" t="str">
        <f ca="1">IFERROR(MATCH($A195,INDIRECT("'Predictor Setup'!A"&amp;3+O195):'Predictor Setup'!$A$202,0)+O195,"")</f>
        <v/>
      </c>
    </row>
    <row r="196" spans="1:16" x14ac:dyDescent="0.35">
      <c r="A196" t="str">
        <f>IF('Predictor Setup'!A184="",A195,'Predictor Setup'!A184)</f>
        <v>Facility</v>
      </c>
      <c r="B196" t="e">
        <f>MATCH($A196,'Predictor Setup'!$A$3:$A$202,0)</f>
        <v>#N/A</v>
      </c>
      <c r="C196" s="3" t="str">
        <f ca="1">IFERROR(MATCH($A196,INDIRECT("'Predictor Setup'!A"&amp;3+B196):'Predictor Setup'!$A$202,0)+B196,"")</f>
        <v/>
      </c>
      <c r="D196" s="3" t="str">
        <f ca="1">IFERROR(MATCH($A196,INDIRECT("'Predictor Setup'!A"&amp;3+C196):'Predictor Setup'!$A$202,0)+C196,"")</f>
        <v/>
      </c>
      <c r="E196" s="3" t="str">
        <f ca="1">IFERROR(MATCH($A196,INDIRECT("'Predictor Setup'!A"&amp;3+D196):'Predictor Setup'!$A$202,0)+D196,"")</f>
        <v/>
      </c>
      <c r="F196" s="3" t="str">
        <f ca="1">IFERROR(MATCH($A196,INDIRECT("'Predictor Setup'!A"&amp;3+E196):'Predictor Setup'!$A$202,0)+E196,"")</f>
        <v/>
      </c>
      <c r="G196" s="3" t="str">
        <f ca="1">IFERROR(MATCH($A196,INDIRECT("'Predictor Setup'!A"&amp;3+F196):'Predictor Setup'!$A$202,0)+F196,"")</f>
        <v/>
      </c>
      <c r="H196" s="3" t="str">
        <f ca="1">IFERROR(MATCH($A196,INDIRECT("'Predictor Setup'!A"&amp;3+G196):'Predictor Setup'!$A$202,0)+G196,"")</f>
        <v/>
      </c>
      <c r="I196" s="3" t="str">
        <f ca="1">IFERROR(MATCH($A196,INDIRECT("'Predictor Setup'!A"&amp;3+H196):'Predictor Setup'!$A$202,0)+H196,"")</f>
        <v/>
      </c>
      <c r="J196" s="3" t="str">
        <f ca="1">IFERROR(MATCH($A196,INDIRECT("'Predictor Setup'!A"&amp;3+I196):'Predictor Setup'!$A$202,0)+I196,"")</f>
        <v/>
      </c>
      <c r="K196" s="3" t="str">
        <f ca="1">IFERROR(MATCH($A196,INDIRECT("'Predictor Setup'!A"&amp;3+J196):'Predictor Setup'!$A$202,0)+J196,"")</f>
        <v/>
      </c>
      <c r="L196" s="3" t="str">
        <f ca="1">IFERROR(MATCH($A196,INDIRECT("'Predictor Setup'!A"&amp;3+K196):'Predictor Setup'!$A$202,0)+K196,"")</f>
        <v/>
      </c>
      <c r="M196" s="3" t="str">
        <f ca="1">IFERROR(MATCH($A196,INDIRECT("'Predictor Setup'!A"&amp;3+L196):'Predictor Setup'!$A$202,0)+L196,"")</f>
        <v/>
      </c>
      <c r="N196" s="3" t="str">
        <f ca="1">IFERROR(MATCH($A196,INDIRECT("'Predictor Setup'!A"&amp;3+M196):'Predictor Setup'!$A$202,0)+M196,"")</f>
        <v/>
      </c>
      <c r="O196" s="3" t="str">
        <f ca="1">IFERROR(MATCH($A196,INDIRECT("'Predictor Setup'!A"&amp;3+N196):'Predictor Setup'!$A$202,0)+N196,"")</f>
        <v/>
      </c>
      <c r="P196" s="3" t="str">
        <f ca="1">IFERROR(MATCH($A196,INDIRECT("'Predictor Setup'!A"&amp;3+O196):'Predictor Setup'!$A$202,0)+O196,"")</f>
        <v/>
      </c>
    </row>
    <row r="197" spans="1:16" x14ac:dyDescent="0.35">
      <c r="A197" t="str">
        <f>IF('Predictor Setup'!A185="",A196,'Predictor Setup'!A185)</f>
        <v>Facility</v>
      </c>
      <c r="B197" t="e">
        <f>MATCH($A197,'Predictor Setup'!$A$3:$A$202,0)</f>
        <v>#N/A</v>
      </c>
      <c r="C197" s="3" t="str">
        <f ca="1">IFERROR(MATCH($A197,INDIRECT("'Predictor Setup'!A"&amp;3+B197):'Predictor Setup'!$A$202,0)+B197,"")</f>
        <v/>
      </c>
      <c r="D197" s="3" t="str">
        <f ca="1">IFERROR(MATCH($A197,INDIRECT("'Predictor Setup'!A"&amp;3+C197):'Predictor Setup'!$A$202,0)+C197,"")</f>
        <v/>
      </c>
      <c r="E197" s="3" t="str">
        <f ca="1">IFERROR(MATCH($A197,INDIRECT("'Predictor Setup'!A"&amp;3+D197):'Predictor Setup'!$A$202,0)+D197,"")</f>
        <v/>
      </c>
      <c r="F197" s="3" t="str">
        <f ca="1">IFERROR(MATCH($A197,INDIRECT("'Predictor Setup'!A"&amp;3+E197):'Predictor Setup'!$A$202,0)+E197,"")</f>
        <v/>
      </c>
      <c r="G197" s="3" t="str">
        <f ca="1">IFERROR(MATCH($A197,INDIRECT("'Predictor Setup'!A"&amp;3+F197):'Predictor Setup'!$A$202,0)+F197,"")</f>
        <v/>
      </c>
      <c r="H197" s="3" t="str">
        <f ca="1">IFERROR(MATCH($A197,INDIRECT("'Predictor Setup'!A"&amp;3+G197):'Predictor Setup'!$A$202,0)+G197,"")</f>
        <v/>
      </c>
      <c r="I197" s="3" t="str">
        <f ca="1">IFERROR(MATCH($A197,INDIRECT("'Predictor Setup'!A"&amp;3+H197):'Predictor Setup'!$A$202,0)+H197,"")</f>
        <v/>
      </c>
      <c r="J197" s="3" t="str">
        <f ca="1">IFERROR(MATCH($A197,INDIRECT("'Predictor Setup'!A"&amp;3+I197):'Predictor Setup'!$A$202,0)+I197,"")</f>
        <v/>
      </c>
      <c r="K197" s="3" t="str">
        <f ca="1">IFERROR(MATCH($A197,INDIRECT("'Predictor Setup'!A"&amp;3+J197):'Predictor Setup'!$A$202,0)+J197,"")</f>
        <v/>
      </c>
      <c r="L197" s="3" t="str">
        <f ca="1">IFERROR(MATCH($A197,INDIRECT("'Predictor Setup'!A"&amp;3+K197):'Predictor Setup'!$A$202,0)+K197,"")</f>
        <v/>
      </c>
      <c r="M197" s="3" t="str">
        <f ca="1">IFERROR(MATCH($A197,INDIRECT("'Predictor Setup'!A"&amp;3+L197):'Predictor Setup'!$A$202,0)+L197,"")</f>
        <v/>
      </c>
      <c r="N197" s="3" t="str">
        <f ca="1">IFERROR(MATCH($A197,INDIRECT("'Predictor Setup'!A"&amp;3+M197):'Predictor Setup'!$A$202,0)+M197,"")</f>
        <v/>
      </c>
      <c r="O197" s="3" t="str">
        <f ca="1">IFERROR(MATCH($A197,INDIRECT("'Predictor Setup'!A"&amp;3+N197):'Predictor Setup'!$A$202,0)+N197,"")</f>
        <v/>
      </c>
      <c r="P197" s="3" t="str">
        <f ca="1">IFERROR(MATCH($A197,INDIRECT("'Predictor Setup'!A"&amp;3+O197):'Predictor Setup'!$A$202,0)+O197,"")</f>
        <v/>
      </c>
    </row>
    <row r="198" spans="1:16" x14ac:dyDescent="0.35">
      <c r="A198" t="str">
        <f>IF('Predictor Setup'!A186="",A197,'Predictor Setup'!A186)</f>
        <v>Facility</v>
      </c>
      <c r="B198" t="e">
        <f>MATCH($A198,'Predictor Setup'!$A$3:$A$202,0)</f>
        <v>#N/A</v>
      </c>
      <c r="C198" s="3" t="str">
        <f ca="1">IFERROR(MATCH($A198,INDIRECT("'Predictor Setup'!A"&amp;3+B198):'Predictor Setup'!$A$202,0)+B198,"")</f>
        <v/>
      </c>
      <c r="D198" s="3" t="str">
        <f ca="1">IFERROR(MATCH($A198,INDIRECT("'Predictor Setup'!A"&amp;3+C198):'Predictor Setup'!$A$202,0)+C198,"")</f>
        <v/>
      </c>
      <c r="E198" s="3" t="str">
        <f ca="1">IFERROR(MATCH($A198,INDIRECT("'Predictor Setup'!A"&amp;3+D198):'Predictor Setup'!$A$202,0)+D198,"")</f>
        <v/>
      </c>
      <c r="F198" s="3" t="str">
        <f ca="1">IFERROR(MATCH($A198,INDIRECT("'Predictor Setup'!A"&amp;3+E198):'Predictor Setup'!$A$202,0)+E198,"")</f>
        <v/>
      </c>
      <c r="G198" s="3" t="str">
        <f ca="1">IFERROR(MATCH($A198,INDIRECT("'Predictor Setup'!A"&amp;3+F198):'Predictor Setup'!$A$202,0)+F198,"")</f>
        <v/>
      </c>
      <c r="H198" s="3" t="str">
        <f ca="1">IFERROR(MATCH($A198,INDIRECT("'Predictor Setup'!A"&amp;3+G198):'Predictor Setup'!$A$202,0)+G198,"")</f>
        <v/>
      </c>
      <c r="I198" s="3" t="str">
        <f ca="1">IFERROR(MATCH($A198,INDIRECT("'Predictor Setup'!A"&amp;3+H198):'Predictor Setup'!$A$202,0)+H198,"")</f>
        <v/>
      </c>
      <c r="J198" s="3" t="str">
        <f ca="1">IFERROR(MATCH($A198,INDIRECT("'Predictor Setup'!A"&amp;3+I198):'Predictor Setup'!$A$202,0)+I198,"")</f>
        <v/>
      </c>
      <c r="K198" s="3" t="str">
        <f ca="1">IFERROR(MATCH($A198,INDIRECT("'Predictor Setup'!A"&amp;3+J198):'Predictor Setup'!$A$202,0)+J198,"")</f>
        <v/>
      </c>
      <c r="L198" s="3" t="str">
        <f ca="1">IFERROR(MATCH($A198,INDIRECT("'Predictor Setup'!A"&amp;3+K198):'Predictor Setup'!$A$202,0)+K198,"")</f>
        <v/>
      </c>
      <c r="M198" s="3" t="str">
        <f ca="1">IFERROR(MATCH($A198,INDIRECT("'Predictor Setup'!A"&amp;3+L198):'Predictor Setup'!$A$202,0)+L198,"")</f>
        <v/>
      </c>
      <c r="N198" s="3" t="str">
        <f ca="1">IFERROR(MATCH($A198,INDIRECT("'Predictor Setup'!A"&amp;3+M198):'Predictor Setup'!$A$202,0)+M198,"")</f>
        <v/>
      </c>
      <c r="O198" s="3" t="str">
        <f ca="1">IFERROR(MATCH($A198,INDIRECT("'Predictor Setup'!A"&amp;3+N198):'Predictor Setup'!$A$202,0)+N198,"")</f>
        <v/>
      </c>
      <c r="P198" s="3" t="str">
        <f ca="1">IFERROR(MATCH($A198,INDIRECT("'Predictor Setup'!A"&amp;3+O198):'Predictor Setup'!$A$202,0)+O198,"")</f>
        <v/>
      </c>
    </row>
    <row r="199" spans="1:16" x14ac:dyDescent="0.35">
      <c r="A199" t="str">
        <f>IF('Predictor Setup'!A187="",A198,'Predictor Setup'!A187)</f>
        <v>Facility</v>
      </c>
      <c r="B199" t="e">
        <f>MATCH($A199,'Predictor Setup'!$A$3:$A$202,0)</f>
        <v>#N/A</v>
      </c>
      <c r="C199" s="3" t="str">
        <f ca="1">IFERROR(MATCH($A199,INDIRECT("'Predictor Setup'!A"&amp;3+B199):'Predictor Setup'!$A$202,0)+B199,"")</f>
        <v/>
      </c>
      <c r="D199" s="3" t="str">
        <f ca="1">IFERROR(MATCH($A199,INDIRECT("'Predictor Setup'!A"&amp;3+C199):'Predictor Setup'!$A$202,0)+C199,"")</f>
        <v/>
      </c>
      <c r="E199" s="3" t="str">
        <f ca="1">IFERROR(MATCH($A199,INDIRECT("'Predictor Setup'!A"&amp;3+D199):'Predictor Setup'!$A$202,0)+D199,"")</f>
        <v/>
      </c>
      <c r="F199" s="3" t="str">
        <f ca="1">IFERROR(MATCH($A199,INDIRECT("'Predictor Setup'!A"&amp;3+E199):'Predictor Setup'!$A$202,0)+E199,"")</f>
        <v/>
      </c>
      <c r="G199" s="3" t="str">
        <f ca="1">IFERROR(MATCH($A199,INDIRECT("'Predictor Setup'!A"&amp;3+F199):'Predictor Setup'!$A$202,0)+F199,"")</f>
        <v/>
      </c>
      <c r="H199" s="3" t="str">
        <f ca="1">IFERROR(MATCH($A199,INDIRECT("'Predictor Setup'!A"&amp;3+G199):'Predictor Setup'!$A$202,0)+G199,"")</f>
        <v/>
      </c>
      <c r="I199" s="3" t="str">
        <f ca="1">IFERROR(MATCH($A199,INDIRECT("'Predictor Setup'!A"&amp;3+H199):'Predictor Setup'!$A$202,0)+H199,"")</f>
        <v/>
      </c>
      <c r="J199" s="3" t="str">
        <f ca="1">IFERROR(MATCH($A199,INDIRECT("'Predictor Setup'!A"&amp;3+I199):'Predictor Setup'!$A$202,0)+I199,"")</f>
        <v/>
      </c>
      <c r="K199" s="3" t="str">
        <f ca="1">IFERROR(MATCH($A199,INDIRECT("'Predictor Setup'!A"&amp;3+J199):'Predictor Setup'!$A$202,0)+J199,"")</f>
        <v/>
      </c>
      <c r="L199" s="3" t="str">
        <f ca="1">IFERROR(MATCH($A199,INDIRECT("'Predictor Setup'!A"&amp;3+K199):'Predictor Setup'!$A$202,0)+K199,"")</f>
        <v/>
      </c>
      <c r="M199" s="3" t="str">
        <f ca="1">IFERROR(MATCH($A199,INDIRECT("'Predictor Setup'!A"&amp;3+L199):'Predictor Setup'!$A$202,0)+L199,"")</f>
        <v/>
      </c>
      <c r="N199" s="3" t="str">
        <f ca="1">IFERROR(MATCH($A199,INDIRECT("'Predictor Setup'!A"&amp;3+M199):'Predictor Setup'!$A$202,0)+M199,"")</f>
        <v/>
      </c>
      <c r="O199" s="3" t="str">
        <f ca="1">IFERROR(MATCH($A199,INDIRECT("'Predictor Setup'!A"&amp;3+N199):'Predictor Setup'!$A$202,0)+N199,"")</f>
        <v/>
      </c>
      <c r="P199" s="3" t="str">
        <f ca="1">IFERROR(MATCH($A199,INDIRECT("'Predictor Setup'!A"&amp;3+O199):'Predictor Setup'!$A$202,0)+O199,"")</f>
        <v/>
      </c>
    </row>
    <row r="200" spans="1:16" x14ac:dyDescent="0.35">
      <c r="A200" t="str">
        <f>IF('Predictor Setup'!A188="",A199,'Predictor Setup'!A188)</f>
        <v>Facility</v>
      </c>
      <c r="B200" t="e">
        <f>MATCH($A200,'Predictor Setup'!$A$3:$A$202,0)</f>
        <v>#N/A</v>
      </c>
      <c r="C200" s="3" t="str">
        <f ca="1">IFERROR(MATCH($A200,INDIRECT("'Predictor Setup'!A"&amp;3+B200):'Predictor Setup'!$A$202,0)+B200,"")</f>
        <v/>
      </c>
      <c r="D200" s="3" t="str">
        <f ca="1">IFERROR(MATCH($A200,INDIRECT("'Predictor Setup'!A"&amp;3+C200):'Predictor Setup'!$A$202,0)+C200,"")</f>
        <v/>
      </c>
      <c r="E200" s="3" t="str">
        <f ca="1">IFERROR(MATCH($A200,INDIRECT("'Predictor Setup'!A"&amp;3+D200):'Predictor Setup'!$A$202,0)+D200,"")</f>
        <v/>
      </c>
      <c r="F200" s="3" t="str">
        <f ca="1">IFERROR(MATCH($A200,INDIRECT("'Predictor Setup'!A"&amp;3+E200):'Predictor Setup'!$A$202,0)+E200,"")</f>
        <v/>
      </c>
      <c r="G200" s="3" t="str">
        <f ca="1">IFERROR(MATCH($A200,INDIRECT("'Predictor Setup'!A"&amp;3+F200):'Predictor Setup'!$A$202,0)+F200,"")</f>
        <v/>
      </c>
      <c r="H200" s="3" t="str">
        <f ca="1">IFERROR(MATCH($A200,INDIRECT("'Predictor Setup'!A"&amp;3+G200):'Predictor Setup'!$A$202,0)+G200,"")</f>
        <v/>
      </c>
      <c r="I200" s="3" t="str">
        <f ca="1">IFERROR(MATCH($A200,INDIRECT("'Predictor Setup'!A"&amp;3+H200):'Predictor Setup'!$A$202,0)+H200,"")</f>
        <v/>
      </c>
      <c r="J200" s="3" t="str">
        <f ca="1">IFERROR(MATCH($A200,INDIRECT("'Predictor Setup'!A"&amp;3+I200):'Predictor Setup'!$A$202,0)+I200,"")</f>
        <v/>
      </c>
      <c r="K200" s="3" t="str">
        <f ca="1">IFERROR(MATCH($A200,INDIRECT("'Predictor Setup'!A"&amp;3+J200):'Predictor Setup'!$A$202,0)+J200,"")</f>
        <v/>
      </c>
      <c r="L200" s="3" t="str">
        <f ca="1">IFERROR(MATCH($A200,INDIRECT("'Predictor Setup'!A"&amp;3+K200):'Predictor Setup'!$A$202,0)+K200,"")</f>
        <v/>
      </c>
      <c r="M200" s="3" t="str">
        <f ca="1">IFERROR(MATCH($A200,INDIRECT("'Predictor Setup'!A"&amp;3+L200):'Predictor Setup'!$A$202,0)+L200,"")</f>
        <v/>
      </c>
      <c r="N200" s="3" t="str">
        <f ca="1">IFERROR(MATCH($A200,INDIRECT("'Predictor Setup'!A"&amp;3+M200):'Predictor Setup'!$A$202,0)+M200,"")</f>
        <v/>
      </c>
      <c r="O200" s="3" t="str">
        <f ca="1">IFERROR(MATCH($A200,INDIRECT("'Predictor Setup'!A"&amp;3+N200):'Predictor Setup'!$A$202,0)+N200,"")</f>
        <v/>
      </c>
      <c r="P200" s="3" t="str">
        <f ca="1">IFERROR(MATCH($A200,INDIRECT("'Predictor Setup'!A"&amp;3+O200):'Predictor Setup'!$A$202,0)+O200,"")</f>
        <v/>
      </c>
    </row>
    <row r="201" spans="1:16" x14ac:dyDescent="0.35">
      <c r="A201" t="str">
        <f>IF('Predictor Setup'!A189="",A200,'Predictor Setup'!A189)</f>
        <v>Facility</v>
      </c>
      <c r="B201" t="e">
        <f>MATCH($A201,'Predictor Setup'!$A$3:$A$202,0)</f>
        <v>#N/A</v>
      </c>
      <c r="C201" s="3" t="str">
        <f ca="1">IFERROR(MATCH($A201,INDIRECT("'Predictor Setup'!A"&amp;3+B201):'Predictor Setup'!$A$202,0)+B201,"")</f>
        <v/>
      </c>
      <c r="D201" s="3" t="str">
        <f ca="1">IFERROR(MATCH($A201,INDIRECT("'Predictor Setup'!A"&amp;3+C201):'Predictor Setup'!$A$202,0)+C201,"")</f>
        <v/>
      </c>
      <c r="E201" s="3" t="str">
        <f ca="1">IFERROR(MATCH($A201,INDIRECT("'Predictor Setup'!A"&amp;3+D201):'Predictor Setup'!$A$202,0)+D201,"")</f>
        <v/>
      </c>
      <c r="F201" s="3" t="str">
        <f ca="1">IFERROR(MATCH($A201,INDIRECT("'Predictor Setup'!A"&amp;3+E201):'Predictor Setup'!$A$202,0)+E201,"")</f>
        <v/>
      </c>
      <c r="G201" s="3" t="str">
        <f ca="1">IFERROR(MATCH($A201,INDIRECT("'Predictor Setup'!A"&amp;3+F201):'Predictor Setup'!$A$202,0)+F201,"")</f>
        <v/>
      </c>
      <c r="H201" s="3" t="str">
        <f ca="1">IFERROR(MATCH($A201,INDIRECT("'Predictor Setup'!A"&amp;3+G201):'Predictor Setup'!$A$202,0)+G201,"")</f>
        <v/>
      </c>
      <c r="I201" s="3" t="str">
        <f ca="1">IFERROR(MATCH($A201,INDIRECT("'Predictor Setup'!A"&amp;3+H201):'Predictor Setup'!$A$202,0)+H201,"")</f>
        <v/>
      </c>
      <c r="J201" s="3" t="str">
        <f ca="1">IFERROR(MATCH($A201,INDIRECT("'Predictor Setup'!A"&amp;3+I201):'Predictor Setup'!$A$202,0)+I201,"")</f>
        <v/>
      </c>
      <c r="K201" s="3" t="str">
        <f ca="1">IFERROR(MATCH($A201,INDIRECT("'Predictor Setup'!A"&amp;3+J201):'Predictor Setup'!$A$202,0)+J201,"")</f>
        <v/>
      </c>
      <c r="L201" s="3" t="str">
        <f ca="1">IFERROR(MATCH($A201,INDIRECT("'Predictor Setup'!A"&amp;3+K201):'Predictor Setup'!$A$202,0)+K201,"")</f>
        <v/>
      </c>
      <c r="M201" s="3" t="str">
        <f ca="1">IFERROR(MATCH($A201,INDIRECT("'Predictor Setup'!A"&amp;3+L201):'Predictor Setup'!$A$202,0)+L201,"")</f>
        <v/>
      </c>
      <c r="N201" s="3" t="str">
        <f ca="1">IFERROR(MATCH($A201,INDIRECT("'Predictor Setup'!A"&amp;3+M201):'Predictor Setup'!$A$202,0)+M201,"")</f>
        <v/>
      </c>
      <c r="O201" s="3" t="str">
        <f ca="1">IFERROR(MATCH($A201,INDIRECT("'Predictor Setup'!A"&amp;3+N201):'Predictor Setup'!$A$202,0)+N201,"")</f>
        <v/>
      </c>
      <c r="P201" s="3" t="str">
        <f ca="1">IFERROR(MATCH($A201,INDIRECT("'Predictor Setup'!A"&amp;3+O201):'Predictor Setup'!$A$202,0)+O201,"")</f>
        <v/>
      </c>
    </row>
    <row r="202" spans="1:16" x14ac:dyDescent="0.35">
      <c r="A202" t="str">
        <f>IF('Predictor Setup'!A190="",A201,'Predictor Setup'!A190)</f>
        <v>Facility</v>
      </c>
      <c r="B202" t="e">
        <f>MATCH($A202,'Predictor Setup'!$A$3:$A$202,0)</f>
        <v>#N/A</v>
      </c>
      <c r="C202" s="3" t="str">
        <f ca="1">IFERROR(MATCH($A202,INDIRECT("'Predictor Setup'!A"&amp;3+B202):'Predictor Setup'!$A$202,0)+B202,"")</f>
        <v/>
      </c>
      <c r="D202" s="3" t="str">
        <f ca="1">IFERROR(MATCH($A202,INDIRECT("'Predictor Setup'!A"&amp;3+C202):'Predictor Setup'!$A$202,0)+C202,"")</f>
        <v/>
      </c>
      <c r="E202" s="3" t="str">
        <f ca="1">IFERROR(MATCH($A202,INDIRECT("'Predictor Setup'!A"&amp;3+D202):'Predictor Setup'!$A$202,0)+D202,"")</f>
        <v/>
      </c>
      <c r="F202" s="3" t="str">
        <f ca="1">IFERROR(MATCH($A202,INDIRECT("'Predictor Setup'!A"&amp;3+E202):'Predictor Setup'!$A$202,0)+E202,"")</f>
        <v/>
      </c>
      <c r="G202" s="3" t="str">
        <f ca="1">IFERROR(MATCH($A202,INDIRECT("'Predictor Setup'!A"&amp;3+F202):'Predictor Setup'!$A$202,0)+F202,"")</f>
        <v/>
      </c>
      <c r="H202" s="3" t="str">
        <f ca="1">IFERROR(MATCH($A202,INDIRECT("'Predictor Setup'!A"&amp;3+G202):'Predictor Setup'!$A$202,0)+G202,"")</f>
        <v/>
      </c>
      <c r="I202" s="3" t="str">
        <f ca="1">IFERROR(MATCH($A202,INDIRECT("'Predictor Setup'!A"&amp;3+H202):'Predictor Setup'!$A$202,0)+H202,"")</f>
        <v/>
      </c>
      <c r="J202" s="3" t="str">
        <f ca="1">IFERROR(MATCH($A202,INDIRECT("'Predictor Setup'!A"&amp;3+I202):'Predictor Setup'!$A$202,0)+I202,"")</f>
        <v/>
      </c>
      <c r="K202" s="3" t="str">
        <f ca="1">IFERROR(MATCH($A202,INDIRECT("'Predictor Setup'!A"&amp;3+J202):'Predictor Setup'!$A$202,0)+J202,"")</f>
        <v/>
      </c>
      <c r="L202" s="3" t="str">
        <f ca="1">IFERROR(MATCH($A202,INDIRECT("'Predictor Setup'!A"&amp;3+K202):'Predictor Setup'!$A$202,0)+K202,"")</f>
        <v/>
      </c>
      <c r="M202" s="3" t="str">
        <f ca="1">IFERROR(MATCH($A202,INDIRECT("'Predictor Setup'!A"&amp;3+L202):'Predictor Setup'!$A$202,0)+L202,"")</f>
        <v/>
      </c>
      <c r="N202" s="3" t="str">
        <f ca="1">IFERROR(MATCH($A202,INDIRECT("'Predictor Setup'!A"&amp;3+M202):'Predictor Setup'!$A$202,0)+M202,"")</f>
        <v/>
      </c>
      <c r="O202" s="3" t="str">
        <f ca="1">IFERROR(MATCH($A202,INDIRECT("'Predictor Setup'!A"&amp;3+N202):'Predictor Setup'!$A$202,0)+N202,"")</f>
        <v/>
      </c>
      <c r="P202" s="3" t="str">
        <f ca="1">IFERROR(MATCH($A202,INDIRECT("'Predictor Setup'!A"&amp;3+O202):'Predictor Setup'!$A$202,0)+O202,"")</f>
        <v/>
      </c>
    </row>
    <row r="203" spans="1:16" x14ac:dyDescent="0.35">
      <c r="A203" t="str">
        <f>IF('Predictor Setup'!A191="",A202,'Predictor Setup'!A191)</f>
        <v>Facility</v>
      </c>
      <c r="B203" t="e">
        <f>MATCH($A203,'Predictor Setup'!$A$3:$A$202,0)</f>
        <v>#N/A</v>
      </c>
      <c r="C203" s="3" t="str">
        <f ca="1">IFERROR(MATCH($A203,INDIRECT("'Predictor Setup'!A"&amp;3+B203):'Predictor Setup'!$A$202,0)+B203,"")</f>
        <v/>
      </c>
      <c r="D203" s="3" t="str">
        <f ca="1">IFERROR(MATCH($A203,INDIRECT("'Predictor Setup'!A"&amp;3+C203):'Predictor Setup'!$A$202,0)+C203,"")</f>
        <v/>
      </c>
      <c r="E203" s="3" t="str">
        <f ca="1">IFERROR(MATCH($A203,INDIRECT("'Predictor Setup'!A"&amp;3+D203):'Predictor Setup'!$A$202,0)+D203,"")</f>
        <v/>
      </c>
      <c r="F203" s="3" t="str">
        <f ca="1">IFERROR(MATCH($A203,INDIRECT("'Predictor Setup'!A"&amp;3+E203):'Predictor Setup'!$A$202,0)+E203,"")</f>
        <v/>
      </c>
      <c r="G203" s="3" t="str">
        <f ca="1">IFERROR(MATCH($A203,INDIRECT("'Predictor Setup'!A"&amp;3+F203):'Predictor Setup'!$A$202,0)+F203,"")</f>
        <v/>
      </c>
      <c r="H203" s="3" t="str">
        <f ca="1">IFERROR(MATCH($A203,INDIRECT("'Predictor Setup'!A"&amp;3+G203):'Predictor Setup'!$A$202,0)+G203,"")</f>
        <v/>
      </c>
      <c r="I203" s="3" t="str">
        <f ca="1">IFERROR(MATCH($A203,INDIRECT("'Predictor Setup'!A"&amp;3+H203):'Predictor Setup'!$A$202,0)+H203,"")</f>
        <v/>
      </c>
      <c r="J203" s="3" t="str">
        <f ca="1">IFERROR(MATCH($A203,INDIRECT("'Predictor Setup'!A"&amp;3+I203):'Predictor Setup'!$A$202,0)+I203,"")</f>
        <v/>
      </c>
      <c r="K203" s="3" t="str">
        <f ca="1">IFERROR(MATCH($A203,INDIRECT("'Predictor Setup'!A"&amp;3+J203):'Predictor Setup'!$A$202,0)+J203,"")</f>
        <v/>
      </c>
      <c r="L203" s="3" t="str">
        <f ca="1">IFERROR(MATCH($A203,INDIRECT("'Predictor Setup'!A"&amp;3+K203):'Predictor Setup'!$A$202,0)+K203,"")</f>
        <v/>
      </c>
      <c r="M203" s="3" t="str">
        <f ca="1">IFERROR(MATCH($A203,INDIRECT("'Predictor Setup'!A"&amp;3+L203):'Predictor Setup'!$A$202,0)+L203,"")</f>
        <v/>
      </c>
      <c r="N203" s="3" t="str">
        <f ca="1">IFERROR(MATCH($A203,INDIRECT("'Predictor Setup'!A"&amp;3+M203):'Predictor Setup'!$A$202,0)+M203,"")</f>
        <v/>
      </c>
      <c r="O203" s="3" t="str">
        <f ca="1">IFERROR(MATCH($A203,INDIRECT("'Predictor Setup'!A"&amp;3+N203):'Predictor Setup'!$A$202,0)+N203,"")</f>
        <v/>
      </c>
      <c r="P203" s="3" t="str">
        <f ca="1">IFERROR(MATCH($A203,INDIRECT("'Predictor Setup'!A"&amp;3+O203):'Predictor Setup'!$A$202,0)+O203,"")</f>
        <v/>
      </c>
    </row>
    <row r="204" spans="1:16" x14ac:dyDescent="0.35">
      <c r="A204" t="str">
        <f>IF('Predictor Setup'!A192="",A203,'Predictor Setup'!A192)</f>
        <v>Facility</v>
      </c>
      <c r="B204" t="e">
        <f>MATCH($A204,'Predictor Setup'!$A$3:$A$202,0)</f>
        <v>#N/A</v>
      </c>
      <c r="C204" s="3" t="str">
        <f ca="1">IFERROR(MATCH($A204,INDIRECT("'Predictor Setup'!A"&amp;3+B204):'Predictor Setup'!$A$202,0)+B204,"")</f>
        <v/>
      </c>
      <c r="D204" s="3" t="str">
        <f ca="1">IFERROR(MATCH($A204,INDIRECT("'Predictor Setup'!A"&amp;3+C204):'Predictor Setup'!$A$202,0)+C204,"")</f>
        <v/>
      </c>
      <c r="E204" s="3" t="str">
        <f ca="1">IFERROR(MATCH($A204,INDIRECT("'Predictor Setup'!A"&amp;3+D204):'Predictor Setup'!$A$202,0)+D204,"")</f>
        <v/>
      </c>
      <c r="F204" s="3" t="str">
        <f ca="1">IFERROR(MATCH($A204,INDIRECT("'Predictor Setup'!A"&amp;3+E204):'Predictor Setup'!$A$202,0)+E204,"")</f>
        <v/>
      </c>
      <c r="G204" s="3" t="str">
        <f ca="1">IFERROR(MATCH($A204,INDIRECT("'Predictor Setup'!A"&amp;3+F204):'Predictor Setup'!$A$202,0)+F204,"")</f>
        <v/>
      </c>
      <c r="H204" s="3" t="str">
        <f ca="1">IFERROR(MATCH($A204,INDIRECT("'Predictor Setup'!A"&amp;3+G204):'Predictor Setup'!$A$202,0)+G204,"")</f>
        <v/>
      </c>
      <c r="I204" s="3" t="str">
        <f ca="1">IFERROR(MATCH($A204,INDIRECT("'Predictor Setup'!A"&amp;3+H204):'Predictor Setup'!$A$202,0)+H204,"")</f>
        <v/>
      </c>
      <c r="J204" s="3" t="str">
        <f ca="1">IFERROR(MATCH($A204,INDIRECT("'Predictor Setup'!A"&amp;3+I204):'Predictor Setup'!$A$202,0)+I204,"")</f>
        <v/>
      </c>
      <c r="K204" s="3" t="str">
        <f ca="1">IFERROR(MATCH($A204,INDIRECT("'Predictor Setup'!A"&amp;3+J204):'Predictor Setup'!$A$202,0)+J204,"")</f>
        <v/>
      </c>
      <c r="L204" s="3" t="str">
        <f ca="1">IFERROR(MATCH($A204,INDIRECT("'Predictor Setup'!A"&amp;3+K204):'Predictor Setup'!$A$202,0)+K204,"")</f>
        <v/>
      </c>
      <c r="M204" s="3" t="str">
        <f ca="1">IFERROR(MATCH($A204,INDIRECT("'Predictor Setup'!A"&amp;3+L204):'Predictor Setup'!$A$202,0)+L204,"")</f>
        <v/>
      </c>
      <c r="N204" s="3" t="str">
        <f ca="1">IFERROR(MATCH($A204,INDIRECT("'Predictor Setup'!A"&amp;3+M204):'Predictor Setup'!$A$202,0)+M204,"")</f>
        <v/>
      </c>
      <c r="O204" s="3" t="str">
        <f ca="1">IFERROR(MATCH($A204,INDIRECT("'Predictor Setup'!A"&amp;3+N204):'Predictor Setup'!$A$202,0)+N204,"")</f>
        <v/>
      </c>
      <c r="P204" s="3" t="str">
        <f ca="1">IFERROR(MATCH($A204,INDIRECT("'Predictor Setup'!A"&amp;3+O204):'Predictor Setup'!$A$202,0)+O204,"")</f>
        <v/>
      </c>
    </row>
    <row r="205" spans="1:16" x14ac:dyDescent="0.35">
      <c r="A205" t="str">
        <f>IF('Predictor Setup'!A193="",A204,'Predictor Setup'!A193)</f>
        <v>Facility</v>
      </c>
      <c r="B205" t="e">
        <f>MATCH($A205,'Predictor Setup'!$A$3:$A$202,0)</f>
        <v>#N/A</v>
      </c>
      <c r="C205" s="3" t="str">
        <f ca="1">IFERROR(MATCH($A205,INDIRECT("'Predictor Setup'!A"&amp;3+B205):'Predictor Setup'!$A$202,0)+B205,"")</f>
        <v/>
      </c>
      <c r="D205" s="3" t="str">
        <f ca="1">IFERROR(MATCH($A205,INDIRECT("'Predictor Setup'!A"&amp;3+C205):'Predictor Setup'!$A$202,0)+C205,"")</f>
        <v/>
      </c>
      <c r="E205" s="3" t="str">
        <f ca="1">IFERROR(MATCH($A205,INDIRECT("'Predictor Setup'!A"&amp;3+D205):'Predictor Setup'!$A$202,0)+D205,"")</f>
        <v/>
      </c>
      <c r="F205" s="3" t="str">
        <f ca="1">IFERROR(MATCH($A205,INDIRECT("'Predictor Setup'!A"&amp;3+E205):'Predictor Setup'!$A$202,0)+E205,"")</f>
        <v/>
      </c>
      <c r="G205" s="3" t="str">
        <f ca="1">IFERROR(MATCH($A205,INDIRECT("'Predictor Setup'!A"&amp;3+F205):'Predictor Setup'!$A$202,0)+F205,"")</f>
        <v/>
      </c>
      <c r="H205" s="3" t="str">
        <f ca="1">IFERROR(MATCH($A205,INDIRECT("'Predictor Setup'!A"&amp;3+G205):'Predictor Setup'!$A$202,0)+G205,"")</f>
        <v/>
      </c>
      <c r="I205" s="3" t="str">
        <f ca="1">IFERROR(MATCH($A205,INDIRECT("'Predictor Setup'!A"&amp;3+H205):'Predictor Setup'!$A$202,0)+H205,"")</f>
        <v/>
      </c>
      <c r="J205" s="3" t="str">
        <f ca="1">IFERROR(MATCH($A205,INDIRECT("'Predictor Setup'!A"&amp;3+I205):'Predictor Setup'!$A$202,0)+I205,"")</f>
        <v/>
      </c>
      <c r="K205" s="3" t="str">
        <f ca="1">IFERROR(MATCH($A205,INDIRECT("'Predictor Setup'!A"&amp;3+J205):'Predictor Setup'!$A$202,0)+J205,"")</f>
        <v/>
      </c>
      <c r="L205" s="3" t="str">
        <f ca="1">IFERROR(MATCH($A205,INDIRECT("'Predictor Setup'!A"&amp;3+K205):'Predictor Setup'!$A$202,0)+K205,"")</f>
        <v/>
      </c>
      <c r="M205" s="3" t="str">
        <f ca="1">IFERROR(MATCH($A205,INDIRECT("'Predictor Setup'!A"&amp;3+L205):'Predictor Setup'!$A$202,0)+L205,"")</f>
        <v/>
      </c>
      <c r="N205" s="3" t="str">
        <f ca="1">IFERROR(MATCH($A205,INDIRECT("'Predictor Setup'!A"&amp;3+M205):'Predictor Setup'!$A$202,0)+M205,"")</f>
        <v/>
      </c>
      <c r="O205" s="3" t="str">
        <f ca="1">IFERROR(MATCH($A205,INDIRECT("'Predictor Setup'!A"&amp;3+N205):'Predictor Setup'!$A$202,0)+N205,"")</f>
        <v/>
      </c>
      <c r="P205" s="3" t="str">
        <f ca="1">IFERROR(MATCH($A205,INDIRECT("'Predictor Setup'!A"&amp;3+O205):'Predictor Setup'!$A$202,0)+O205,"")</f>
        <v/>
      </c>
    </row>
    <row r="206" spans="1:16" x14ac:dyDescent="0.35">
      <c r="A206" t="str">
        <f>IF('Predictor Setup'!A194="",A205,'Predictor Setup'!A194)</f>
        <v>Facility</v>
      </c>
      <c r="B206" t="e">
        <f>MATCH($A206,'Predictor Setup'!$A$3:$A$202,0)</f>
        <v>#N/A</v>
      </c>
      <c r="C206" s="3" t="str">
        <f ca="1">IFERROR(MATCH($A206,INDIRECT("'Predictor Setup'!A"&amp;3+B206):'Predictor Setup'!$A$202,0)+B206,"")</f>
        <v/>
      </c>
      <c r="D206" s="3" t="str">
        <f ca="1">IFERROR(MATCH($A206,INDIRECT("'Predictor Setup'!A"&amp;3+C206):'Predictor Setup'!$A$202,0)+C206,"")</f>
        <v/>
      </c>
      <c r="E206" s="3" t="str">
        <f ca="1">IFERROR(MATCH($A206,INDIRECT("'Predictor Setup'!A"&amp;3+D206):'Predictor Setup'!$A$202,0)+D206,"")</f>
        <v/>
      </c>
      <c r="F206" s="3" t="str">
        <f ca="1">IFERROR(MATCH($A206,INDIRECT("'Predictor Setup'!A"&amp;3+E206):'Predictor Setup'!$A$202,0)+E206,"")</f>
        <v/>
      </c>
      <c r="G206" s="3" t="str">
        <f ca="1">IFERROR(MATCH($A206,INDIRECT("'Predictor Setup'!A"&amp;3+F206):'Predictor Setup'!$A$202,0)+F206,"")</f>
        <v/>
      </c>
      <c r="H206" s="3" t="str">
        <f ca="1">IFERROR(MATCH($A206,INDIRECT("'Predictor Setup'!A"&amp;3+G206):'Predictor Setup'!$A$202,0)+G206,"")</f>
        <v/>
      </c>
      <c r="I206" s="3" t="str">
        <f ca="1">IFERROR(MATCH($A206,INDIRECT("'Predictor Setup'!A"&amp;3+H206):'Predictor Setup'!$A$202,0)+H206,"")</f>
        <v/>
      </c>
      <c r="J206" s="3" t="str">
        <f ca="1">IFERROR(MATCH($A206,INDIRECT("'Predictor Setup'!A"&amp;3+I206):'Predictor Setup'!$A$202,0)+I206,"")</f>
        <v/>
      </c>
      <c r="K206" s="3" t="str">
        <f ca="1">IFERROR(MATCH($A206,INDIRECT("'Predictor Setup'!A"&amp;3+J206):'Predictor Setup'!$A$202,0)+J206,"")</f>
        <v/>
      </c>
      <c r="L206" s="3" t="str">
        <f ca="1">IFERROR(MATCH($A206,INDIRECT("'Predictor Setup'!A"&amp;3+K206):'Predictor Setup'!$A$202,0)+K206,"")</f>
        <v/>
      </c>
      <c r="M206" s="3" t="str">
        <f ca="1">IFERROR(MATCH($A206,INDIRECT("'Predictor Setup'!A"&amp;3+L206):'Predictor Setup'!$A$202,0)+L206,"")</f>
        <v/>
      </c>
      <c r="N206" s="3" t="str">
        <f ca="1">IFERROR(MATCH($A206,INDIRECT("'Predictor Setup'!A"&amp;3+M206):'Predictor Setup'!$A$202,0)+M206,"")</f>
        <v/>
      </c>
      <c r="O206" s="3" t="str">
        <f ca="1">IFERROR(MATCH($A206,INDIRECT("'Predictor Setup'!A"&amp;3+N206):'Predictor Setup'!$A$202,0)+N206,"")</f>
        <v/>
      </c>
      <c r="P206" s="3" t="str">
        <f ca="1">IFERROR(MATCH($A206,INDIRECT("'Predictor Setup'!A"&amp;3+O206):'Predictor Setup'!$A$202,0)+O206,"")</f>
        <v/>
      </c>
    </row>
    <row r="207" spans="1:16" x14ac:dyDescent="0.35">
      <c r="A207" t="str">
        <f>IF('Predictor Setup'!A195="",A206,'Predictor Setup'!A195)</f>
        <v>Facility</v>
      </c>
      <c r="B207" t="e">
        <f>MATCH($A207,'Predictor Setup'!$A$3:$A$202,0)</f>
        <v>#N/A</v>
      </c>
      <c r="C207" s="3" t="str">
        <f ca="1">IFERROR(MATCH($A207,INDIRECT("'Predictor Setup'!A"&amp;3+B207):'Predictor Setup'!$A$202,0)+B207,"")</f>
        <v/>
      </c>
      <c r="D207" s="3" t="str">
        <f ca="1">IFERROR(MATCH($A207,INDIRECT("'Predictor Setup'!A"&amp;3+C207):'Predictor Setup'!$A$202,0)+C207,"")</f>
        <v/>
      </c>
      <c r="E207" s="3" t="str">
        <f ca="1">IFERROR(MATCH($A207,INDIRECT("'Predictor Setup'!A"&amp;3+D207):'Predictor Setup'!$A$202,0)+D207,"")</f>
        <v/>
      </c>
      <c r="F207" s="3" t="str">
        <f ca="1">IFERROR(MATCH($A207,INDIRECT("'Predictor Setup'!A"&amp;3+E207):'Predictor Setup'!$A$202,0)+E207,"")</f>
        <v/>
      </c>
      <c r="G207" s="3" t="str">
        <f ca="1">IFERROR(MATCH($A207,INDIRECT("'Predictor Setup'!A"&amp;3+F207):'Predictor Setup'!$A$202,0)+F207,"")</f>
        <v/>
      </c>
      <c r="H207" s="3" t="str">
        <f ca="1">IFERROR(MATCH($A207,INDIRECT("'Predictor Setup'!A"&amp;3+G207):'Predictor Setup'!$A$202,0)+G207,"")</f>
        <v/>
      </c>
      <c r="I207" s="3" t="str">
        <f ca="1">IFERROR(MATCH($A207,INDIRECT("'Predictor Setup'!A"&amp;3+H207):'Predictor Setup'!$A$202,0)+H207,"")</f>
        <v/>
      </c>
      <c r="J207" s="3" t="str">
        <f ca="1">IFERROR(MATCH($A207,INDIRECT("'Predictor Setup'!A"&amp;3+I207):'Predictor Setup'!$A$202,0)+I207,"")</f>
        <v/>
      </c>
      <c r="K207" s="3" t="str">
        <f ca="1">IFERROR(MATCH($A207,INDIRECT("'Predictor Setup'!A"&amp;3+J207):'Predictor Setup'!$A$202,0)+J207,"")</f>
        <v/>
      </c>
      <c r="L207" s="3" t="str">
        <f ca="1">IFERROR(MATCH($A207,INDIRECT("'Predictor Setup'!A"&amp;3+K207):'Predictor Setup'!$A$202,0)+K207,"")</f>
        <v/>
      </c>
      <c r="M207" s="3" t="str">
        <f ca="1">IFERROR(MATCH($A207,INDIRECT("'Predictor Setup'!A"&amp;3+L207):'Predictor Setup'!$A$202,0)+L207,"")</f>
        <v/>
      </c>
      <c r="N207" s="3" t="str">
        <f ca="1">IFERROR(MATCH($A207,INDIRECT("'Predictor Setup'!A"&amp;3+M207):'Predictor Setup'!$A$202,0)+M207,"")</f>
        <v/>
      </c>
      <c r="O207" s="3" t="str">
        <f ca="1">IFERROR(MATCH($A207,INDIRECT("'Predictor Setup'!A"&amp;3+N207):'Predictor Setup'!$A$202,0)+N207,"")</f>
        <v/>
      </c>
      <c r="P207" s="3" t="str">
        <f ca="1">IFERROR(MATCH($A207,INDIRECT("'Predictor Setup'!A"&amp;3+O207):'Predictor Setup'!$A$202,0)+O207,"")</f>
        <v/>
      </c>
    </row>
    <row r="208" spans="1:16" x14ac:dyDescent="0.35">
      <c r="A208" t="str">
        <f>IF('Predictor Setup'!A196="",A207,'Predictor Setup'!A196)</f>
        <v>Facility</v>
      </c>
      <c r="B208" t="e">
        <f>MATCH($A208,'Predictor Setup'!$A$3:$A$202,0)</f>
        <v>#N/A</v>
      </c>
      <c r="C208" s="3" t="str">
        <f ca="1">IFERROR(MATCH($A208,INDIRECT("'Predictor Setup'!A"&amp;3+B208):'Predictor Setup'!$A$202,0)+B208,"")</f>
        <v/>
      </c>
      <c r="D208" s="3" t="str">
        <f ca="1">IFERROR(MATCH($A208,INDIRECT("'Predictor Setup'!A"&amp;3+C208):'Predictor Setup'!$A$202,0)+C208,"")</f>
        <v/>
      </c>
      <c r="E208" s="3" t="str">
        <f ca="1">IFERROR(MATCH($A208,INDIRECT("'Predictor Setup'!A"&amp;3+D208):'Predictor Setup'!$A$202,0)+D208,"")</f>
        <v/>
      </c>
      <c r="F208" s="3" t="str">
        <f ca="1">IFERROR(MATCH($A208,INDIRECT("'Predictor Setup'!A"&amp;3+E208):'Predictor Setup'!$A$202,0)+E208,"")</f>
        <v/>
      </c>
      <c r="G208" s="3" t="str">
        <f ca="1">IFERROR(MATCH($A208,INDIRECT("'Predictor Setup'!A"&amp;3+F208):'Predictor Setup'!$A$202,0)+F208,"")</f>
        <v/>
      </c>
      <c r="H208" s="3" t="str">
        <f ca="1">IFERROR(MATCH($A208,INDIRECT("'Predictor Setup'!A"&amp;3+G208):'Predictor Setup'!$A$202,0)+G208,"")</f>
        <v/>
      </c>
      <c r="I208" s="3" t="str">
        <f ca="1">IFERROR(MATCH($A208,INDIRECT("'Predictor Setup'!A"&amp;3+H208):'Predictor Setup'!$A$202,0)+H208,"")</f>
        <v/>
      </c>
      <c r="J208" s="3" t="str">
        <f ca="1">IFERROR(MATCH($A208,INDIRECT("'Predictor Setup'!A"&amp;3+I208):'Predictor Setup'!$A$202,0)+I208,"")</f>
        <v/>
      </c>
      <c r="K208" s="3" t="str">
        <f ca="1">IFERROR(MATCH($A208,INDIRECT("'Predictor Setup'!A"&amp;3+J208):'Predictor Setup'!$A$202,0)+J208,"")</f>
        <v/>
      </c>
      <c r="L208" s="3" t="str">
        <f ca="1">IFERROR(MATCH($A208,INDIRECT("'Predictor Setup'!A"&amp;3+K208):'Predictor Setup'!$A$202,0)+K208,"")</f>
        <v/>
      </c>
      <c r="M208" s="3" t="str">
        <f ca="1">IFERROR(MATCH($A208,INDIRECT("'Predictor Setup'!A"&amp;3+L208):'Predictor Setup'!$A$202,0)+L208,"")</f>
        <v/>
      </c>
      <c r="N208" s="3" t="str">
        <f ca="1">IFERROR(MATCH($A208,INDIRECT("'Predictor Setup'!A"&amp;3+M208):'Predictor Setup'!$A$202,0)+M208,"")</f>
        <v/>
      </c>
      <c r="O208" s="3" t="str">
        <f ca="1">IFERROR(MATCH($A208,INDIRECT("'Predictor Setup'!A"&amp;3+N208):'Predictor Setup'!$A$202,0)+N208,"")</f>
        <v/>
      </c>
      <c r="P208" s="3" t="str">
        <f ca="1">IFERROR(MATCH($A208,INDIRECT("'Predictor Setup'!A"&amp;3+O208):'Predictor Setup'!$A$202,0)+O208,"")</f>
        <v/>
      </c>
    </row>
    <row r="209" spans="1:16" x14ac:dyDescent="0.35">
      <c r="A209" t="str">
        <f>IF('Predictor Setup'!A197="",A208,'Predictor Setup'!A197)</f>
        <v>Facility</v>
      </c>
      <c r="B209" t="e">
        <f>MATCH($A209,'Predictor Setup'!$A$3:$A$202,0)</f>
        <v>#N/A</v>
      </c>
      <c r="C209" s="3" t="str">
        <f ca="1">IFERROR(MATCH($A209,INDIRECT("'Predictor Setup'!A"&amp;3+B209):'Predictor Setup'!$A$202,0)+B209,"")</f>
        <v/>
      </c>
      <c r="D209" s="3" t="str">
        <f ca="1">IFERROR(MATCH($A209,INDIRECT("'Predictor Setup'!A"&amp;3+C209):'Predictor Setup'!$A$202,0)+C209,"")</f>
        <v/>
      </c>
      <c r="E209" s="3" t="str">
        <f ca="1">IFERROR(MATCH($A209,INDIRECT("'Predictor Setup'!A"&amp;3+D209):'Predictor Setup'!$A$202,0)+D209,"")</f>
        <v/>
      </c>
      <c r="F209" s="3" t="str">
        <f ca="1">IFERROR(MATCH($A209,INDIRECT("'Predictor Setup'!A"&amp;3+E209):'Predictor Setup'!$A$202,0)+E209,"")</f>
        <v/>
      </c>
      <c r="G209" s="3" t="str">
        <f ca="1">IFERROR(MATCH($A209,INDIRECT("'Predictor Setup'!A"&amp;3+F209):'Predictor Setup'!$A$202,0)+F209,"")</f>
        <v/>
      </c>
      <c r="H209" s="3" t="str">
        <f ca="1">IFERROR(MATCH($A209,INDIRECT("'Predictor Setup'!A"&amp;3+G209):'Predictor Setup'!$A$202,0)+G209,"")</f>
        <v/>
      </c>
      <c r="I209" s="3" t="str">
        <f ca="1">IFERROR(MATCH($A209,INDIRECT("'Predictor Setup'!A"&amp;3+H209):'Predictor Setup'!$A$202,0)+H209,"")</f>
        <v/>
      </c>
      <c r="J209" s="3" t="str">
        <f ca="1">IFERROR(MATCH($A209,INDIRECT("'Predictor Setup'!A"&amp;3+I209):'Predictor Setup'!$A$202,0)+I209,"")</f>
        <v/>
      </c>
      <c r="K209" s="3" t="str">
        <f ca="1">IFERROR(MATCH($A209,INDIRECT("'Predictor Setup'!A"&amp;3+J209):'Predictor Setup'!$A$202,0)+J209,"")</f>
        <v/>
      </c>
      <c r="L209" s="3" t="str">
        <f ca="1">IFERROR(MATCH($A209,INDIRECT("'Predictor Setup'!A"&amp;3+K209):'Predictor Setup'!$A$202,0)+K209,"")</f>
        <v/>
      </c>
      <c r="M209" s="3" t="str">
        <f ca="1">IFERROR(MATCH($A209,INDIRECT("'Predictor Setup'!A"&amp;3+L209):'Predictor Setup'!$A$202,0)+L209,"")</f>
        <v/>
      </c>
      <c r="N209" s="3" t="str">
        <f ca="1">IFERROR(MATCH($A209,INDIRECT("'Predictor Setup'!A"&amp;3+M209):'Predictor Setup'!$A$202,0)+M209,"")</f>
        <v/>
      </c>
      <c r="O209" s="3" t="str">
        <f ca="1">IFERROR(MATCH($A209,INDIRECT("'Predictor Setup'!A"&amp;3+N209):'Predictor Setup'!$A$202,0)+N209,"")</f>
        <v/>
      </c>
      <c r="P209" s="3" t="str">
        <f ca="1">IFERROR(MATCH($A209,INDIRECT("'Predictor Setup'!A"&amp;3+O209):'Predictor Setup'!$A$202,0)+O209,"")</f>
        <v/>
      </c>
    </row>
    <row r="210" spans="1:16" x14ac:dyDescent="0.35">
      <c r="A210" t="str">
        <f>IF('Predictor Setup'!A198="",A209,'Predictor Setup'!A198)</f>
        <v>Facility</v>
      </c>
      <c r="B210" t="e">
        <f>MATCH($A210,'Predictor Setup'!$A$3:$A$202,0)</f>
        <v>#N/A</v>
      </c>
      <c r="C210" s="3" t="str">
        <f ca="1">IFERROR(MATCH($A210,INDIRECT("'Predictor Setup'!A"&amp;3+B210):'Predictor Setup'!$A$202,0)+B210,"")</f>
        <v/>
      </c>
      <c r="D210" s="3" t="str">
        <f ca="1">IFERROR(MATCH($A210,INDIRECT("'Predictor Setup'!A"&amp;3+C210):'Predictor Setup'!$A$202,0)+C210,"")</f>
        <v/>
      </c>
      <c r="E210" s="3" t="str">
        <f ca="1">IFERROR(MATCH($A210,INDIRECT("'Predictor Setup'!A"&amp;3+D210):'Predictor Setup'!$A$202,0)+D210,"")</f>
        <v/>
      </c>
      <c r="F210" s="3" t="str">
        <f ca="1">IFERROR(MATCH($A210,INDIRECT("'Predictor Setup'!A"&amp;3+E210):'Predictor Setup'!$A$202,0)+E210,"")</f>
        <v/>
      </c>
      <c r="G210" s="3" t="str">
        <f ca="1">IFERROR(MATCH($A210,INDIRECT("'Predictor Setup'!A"&amp;3+F210):'Predictor Setup'!$A$202,0)+F210,"")</f>
        <v/>
      </c>
      <c r="H210" s="3" t="str">
        <f ca="1">IFERROR(MATCH($A210,INDIRECT("'Predictor Setup'!A"&amp;3+G210):'Predictor Setup'!$A$202,0)+G210,"")</f>
        <v/>
      </c>
      <c r="I210" s="3" t="str">
        <f ca="1">IFERROR(MATCH($A210,INDIRECT("'Predictor Setup'!A"&amp;3+H210):'Predictor Setup'!$A$202,0)+H210,"")</f>
        <v/>
      </c>
      <c r="J210" s="3" t="str">
        <f ca="1">IFERROR(MATCH($A210,INDIRECT("'Predictor Setup'!A"&amp;3+I210):'Predictor Setup'!$A$202,0)+I210,"")</f>
        <v/>
      </c>
      <c r="K210" s="3" t="str">
        <f ca="1">IFERROR(MATCH($A210,INDIRECT("'Predictor Setup'!A"&amp;3+J210):'Predictor Setup'!$A$202,0)+J210,"")</f>
        <v/>
      </c>
      <c r="L210" s="3" t="str">
        <f ca="1">IFERROR(MATCH($A210,INDIRECT("'Predictor Setup'!A"&amp;3+K210):'Predictor Setup'!$A$202,0)+K210,"")</f>
        <v/>
      </c>
      <c r="M210" s="3" t="str">
        <f ca="1">IFERROR(MATCH($A210,INDIRECT("'Predictor Setup'!A"&amp;3+L210):'Predictor Setup'!$A$202,0)+L210,"")</f>
        <v/>
      </c>
      <c r="N210" s="3" t="str">
        <f ca="1">IFERROR(MATCH($A210,INDIRECT("'Predictor Setup'!A"&amp;3+M210):'Predictor Setup'!$A$202,0)+M210,"")</f>
        <v/>
      </c>
      <c r="O210" s="3" t="str">
        <f ca="1">IFERROR(MATCH($A210,INDIRECT("'Predictor Setup'!A"&amp;3+N210):'Predictor Setup'!$A$202,0)+N210,"")</f>
        <v/>
      </c>
      <c r="P210" s="3" t="str">
        <f ca="1">IFERROR(MATCH($A210,INDIRECT("'Predictor Setup'!A"&amp;3+O210):'Predictor Setup'!$A$202,0)+O210,"")</f>
        <v/>
      </c>
    </row>
    <row r="211" spans="1:16" x14ac:dyDescent="0.35">
      <c r="A211" t="str">
        <f>IF('Predictor Setup'!A199="",A210,'Predictor Setup'!A199)</f>
        <v>Facility</v>
      </c>
      <c r="B211" t="e">
        <f>MATCH($A211,'Predictor Setup'!$A$3:$A$202,0)</f>
        <v>#N/A</v>
      </c>
      <c r="C211" s="3" t="str">
        <f ca="1">IFERROR(MATCH($A211,INDIRECT("'Predictor Setup'!A"&amp;3+B211):'Predictor Setup'!$A$202,0)+B211,"")</f>
        <v/>
      </c>
      <c r="D211" s="3" t="str">
        <f ca="1">IFERROR(MATCH($A211,INDIRECT("'Predictor Setup'!A"&amp;3+C211):'Predictor Setup'!$A$202,0)+C211,"")</f>
        <v/>
      </c>
      <c r="E211" s="3" t="str">
        <f ca="1">IFERROR(MATCH($A211,INDIRECT("'Predictor Setup'!A"&amp;3+D211):'Predictor Setup'!$A$202,0)+D211,"")</f>
        <v/>
      </c>
      <c r="F211" s="3" t="str">
        <f ca="1">IFERROR(MATCH($A211,INDIRECT("'Predictor Setup'!A"&amp;3+E211):'Predictor Setup'!$A$202,0)+E211,"")</f>
        <v/>
      </c>
      <c r="G211" s="3" t="str">
        <f ca="1">IFERROR(MATCH($A211,INDIRECT("'Predictor Setup'!A"&amp;3+F211):'Predictor Setup'!$A$202,0)+F211,"")</f>
        <v/>
      </c>
      <c r="H211" s="3" t="str">
        <f ca="1">IFERROR(MATCH($A211,INDIRECT("'Predictor Setup'!A"&amp;3+G211):'Predictor Setup'!$A$202,0)+G211,"")</f>
        <v/>
      </c>
      <c r="I211" s="3" t="str">
        <f ca="1">IFERROR(MATCH($A211,INDIRECT("'Predictor Setup'!A"&amp;3+H211):'Predictor Setup'!$A$202,0)+H211,"")</f>
        <v/>
      </c>
      <c r="J211" s="3" t="str">
        <f ca="1">IFERROR(MATCH($A211,INDIRECT("'Predictor Setup'!A"&amp;3+I211):'Predictor Setup'!$A$202,0)+I211,"")</f>
        <v/>
      </c>
      <c r="K211" s="3" t="str">
        <f ca="1">IFERROR(MATCH($A211,INDIRECT("'Predictor Setup'!A"&amp;3+J211):'Predictor Setup'!$A$202,0)+J211,"")</f>
        <v/>
      </c>
      <c r="L211" s="3" t="str">
        <f ca="1">IFERROR(MATCH($A211,INDIRECT("'Predictor Setup'!A"&amp;3+K211):'Predictor Setup'!$A$202,0)+K211,"")</f>
        <v/>
      </c>
      <c r="M211" s="3" t="str">
        <f ca="1">IFERROR(MATCH($A211,INDIRECT("'Predictor Setup'!A"&amp;3+L211):'Predictor Setup'!$A$202,0)+L211,"")</f>
        <v/>
      </c>
      <c r="N211" s="3" t="str">
        <f ca="1">IFERROR(MATCH($A211,INDIRECT("'Predictor Setup'!A"&amp;3+M211):'Predictor Setup'!$A$202,0)+M211,"")</f>
        <v/>
      </c>
      <c r="O211" s="3" t="str">
        <f ca="1">IFERROR(MATCH($A211,INDIRECT("'Predictor Setup'!A"&amp;3+N211):'Predictor Setup'!$A$202,0)+N211,"")</f>
        <v/>
      </c>
      <c r="P211" s="3" t="str">
        <f ca="1">IFERROR(MATCH($A211,INDIRECT("'Predictor Setup'!A"&amp;3+O211):'Predictor Setup'!$A$202,0)+O211,"")</f>
        <v/>
      </c>
    </row>
    <row r="212" spans="1:16" x14ac:dyDescent="0.35">
      <c r="A212" t="str">
        <f>IF('Predictor Setup'!A200="",A211,'Predictor Setup'!A200)</f>
        <v>Facility</v>
      </c>
      <c r="B212" t="e">
        <f>MATCH($A212,'Predictor Setup'!$A$3:$A$202,0)</f>
        <v>#N/A</v>
      </c>
      <c r="C212" s="3" t="str">
        <f ca="1">IFERROR(MATCH($A212,INDIRECT("'Predictor Setup'!A"&amp;3+B212):'Predictor Setup'!$A$202,0)+B212,"")</f>
        <v/>
      </c>
      <c r="D212" s="3" t="str">
        <f ca="1">IFERROR(MATCH($A212,INDIRECT("'Predictor Setup'!A"&amp;3+C212):'Predictor Setup'!$A$202,0)+C212,"")</f>
        <v/>
      </c>
      <c r="E212" s="3" t="str">
        <f ca="1">IFERROR(MATCH($A212,INDIRECT("'Predictor Setup'!A"&amp;3+D212):'Predictor Setup'!$A$202,0)+D212,"")</f>
        <v/>
      </c>
      <c r="F212" s="3" t="str">
        <f ca="1">IFERROR(MATCH($A212,INDIRECT("'Predictor Setup'!A"&amp;3+E212):'Predictor Setup'!$A$202,0)+E212,"")</f>
        <v/>
      </c>
      <c r="G212" s="3" t="str">
        <f ca="1">IFERROR(MATCH($A212,INDIRECT("'Predictor Setup'!A"&amp;3+F212):'Predictor Setup'!$A$202,0)+F212,"")</f>
        <v/>
      </c>
      <c r="H212" s="3" t="str">
        <f ca="1">IFERROR(MATCH($A212,INDIRECT("'Predictor Setup'!A"&amp;3+G212):'Predictor Setup'!$A$202,0)+G212,"")</f>
        <v/>
      </c>
      <c r="I212" s="3" t="str">
        <f ca="1">IFERROR(MATCH($A212,INDIRECT("'Predictor Setup'!A"&amp;3+H212):'Predictor Setup'!$A$202,0)+H212,"")</f>
        <v/>
      </c>
      <c r="J212" s="3" t="str">
        <f ca="1">IFERROR(MATCH($A212,INDIRECT("'Predictor Setup'!A"&amp;3+I212):'Predictor Setup'!$A$202,0)+I212,"")</f>
        <v/>
      </c>
      <c r="K212" s="3" t="str">
        <f ca="1">IFERROR(MATCH($A212,INDIRECT("'Predictor Setup'!A"&amp;3+J212):'Predictor Setup'!$A$202,0)+J212,"")</f>
        <v/>
      </c>
      <c r="L212" s="3" t="str">
        <f ca="1">IFERROR(MATCH($A212,INDIRECT("'Predictor Setup'!A"&amp;3+K212):'Predictor Setup'!$A$202,0)+K212,"")</f>
        <v/>
      </c>
      <c r="M212" s="3" t="str">
        <f ca="1">IFERROR(MATCH($A212,INDIRECT("'Predictor Setup'!A"&amp;3+L212):'Predictor Setup'!$A$202,0)+L212,"")</f>
        <v/>
      </c>
      <c r="N212" s="3" t="str">
        <f ca="1">IFERROR(MATCH($A212,INDIRECT("'Predictor Setup'!A"&amp;3+M212):'Predictor Setup'!$A$202,0)+M212,"")</f>
        <v/>
      </c>
      <c r="O212" s="3" t="str">
        <f ca="1">IFERROR(MATCH($A212,INDIRECT("'Predictor Setup'!A"&amp;3+N212):'Predictor Setup'!$A$202,0)+N212,"")</f>
        <v/>
      </c>
      <c r="P212" s="3" t="str">
        <f ca="1">IFERROR(MATCH($A212,INDIRECT("'Predictor Setup'!A"&amp;3+O212):'Predictor Setup'!$A$202,0)+O212,"")</f>
        <v/>
      </c>
    </row>
    <row r="213" spans="1:16" x14ac:dyDescent="0.35">
      <c r="A213" t="str">
        <f>IF('Predictor Setup'!A201="",A212,'Predictor Setup'!A201)</f>
        <v>Facility</v>
      </c>
      <c r="B213" t="e">
        <f>MATCH($A213,'Predictor Setup'!$A$3:$A$202,0)</f>
        <v>#N/A</v>
      </c>
      <c r="C213" s="3" t="str">
        <f ca="1">IFERROR(MATCH($A213,INDIRECT("'Predictor Setup'!A"&amp;3+B213):'Predictor Setup'!$A$202,0)+B213,"")</f>
        <v/>
      </c>
      <c r="D213" s="3" t="str">
        <f ca="1">IFERROR(MATCH($A213,INDIRECT("'Predictor Setup'!A"&amp;3+C213):'Predictor Setup'!$A$202,0)+C213,"")</f>
        <v/>
      </c>
      <c r="E213" s="3" t="str">
        <f ca="1">IFERROR(MATCH($A213,INDIRECT("'Predictor Setup'!A"&amp;3+D213):'Predictor Setup'!$A$202,0)+D213,"")</f>
        <v/>
      </c>
      <c r="F213" s="3" t="str">
        <f ca="1">IFERROR(MATCH($A213,INDIRECT("'Predictor Setup'!A"&amp;3+E213):'Predictor Setup'!$A$202,0)+E213,"")</f>
        <v/>
      </c>
      <c r="G213" s="3" t="str">
        <f ca="1">IFERROR(MATCH($A213,INDIRECT("'Predictor Setup'!A"&amp;3+F213):'Predictor Setup'!$A$202,0)+F213,"")</f>
        <v/>
      </c>
      <c r="H213" s="3" t="str">
        <f ca="1">IFERROR(MATCH($A213,INDIRECT("'Predictor Setup'!A"&amp;3+G213):'Predictor Setup'!$A$202,0)+G213,"")</f>
        <v/>
      </c>
      <c r="I213" s="3" t="str">
        <f ca="1">IFERROR(MATCH($A213,INDIRECT("'Predictor Setup'!A"&amp;3+H213):'Predictor Setup'!$A$202,0)+H213,"")</f>
        <v/>
      </c>
      <c r="J213" s="3" t="str">
        <f ca="1">IFERROR(MATCH($A213,INDIRECT("'Predictor Setup'!A"&amp;3+I213):'Predictor Setup'!$A$202,0)+I213,"")</f>
        <v/>
      </c>
      <c r="K213" s="3" t="str">
        <f ca="1">IFERROR(MATCH($A213,INDIRECT("'Predictor Setup'!A"&amp;3+J213):'Predictor Setup'!$A$202,0)+J213,"")</f>
        <v/>
      </c>
      <c r="L213" s="3" t="str">
        <f ca="1">IFERROR(MATCH($A213,INDIRECT("'Predictor Setup'!A"&amp;3+K213):'Predictor Setup'!$A$202,0)+K213,"")</f>
        <v/>
      </c>
      <c r="M213" s="3" t="str">
        <f ca="1">IFERROR(MATCH($A213,INDIRECT("'Predictor Setup'!A"&amp;3+L213):'Predictor Setup'!$A$202,0)+L213,"")</f>
        <v/>
      </c>
      <c r="N213" s="3" t="str">
        <f ca="1">IFERROR(MATCH($A213,INDIRECT("'Predictor Setup'!A"&amp;3+M213):'Predictor Setup'!$A$202,0)+M213,"")</f>
        <v/>
      </c>
      <c r="O213" s="3" t="str">
        <f ca="1">IFERROR(MATCH($A213,INDIRECT("'Predictor Setup'!A"&amp;3+N213):'Predictor Setup'!$A$202,0)+N213,"")</f>
        <v/>
      </c>
      <c r="P213" s="3" t="str">
        <f ca="1">IFERROR(MATCH($A213,INDIRECT("'Predictor Setup'!A"&amp;3+O213):'Predictor Setup'!$A$202,0)+O213,"")</f>
        <v/>
      </c>
    </row>
    <row r="214" spans="1:16" x14ac:dyDescent="0.35">
      <c r="A214" t="str">
        <f>IF('Predictor Setup'!A202="",A213,'Predictor Setup'!A202)</f>
        <v>Facility</v>
      </c>
      <c r="B214" t="e">
        <f>MATCH($A214,'Predictor Setup'!$A$3:$A$202,0)</f>
        <v>#N/A</v>
      </c>
      <c r="C214" s="3" t="str">
        <f ca="1">IFERROR(MATCH($A214,INDIRECT("'Predictor Setup'!A"&amp;3+B214):'Predictor Setup'!$A$202,0)+B214,"")</f>
        <v/>
      </c>
      <c r="D214" s="3" t="str">
        <f ca="1">IFERROR(MATCH($A214,INDIRECT("'Predictor Setup'!A"&amp;3+C214):'Predictor Setup'!$A$202,0)+C214,"")</f>
        <v/>
      </c>
      <c r="E214" s="3" t="str">
        <f ca="1">IFERROR(MATCH($A214,INDIRECT("'Predictor Setup'!A"&amp;3+D214):'Predictor Setup'!$A$202,0)+D214,"")</f>
        <v/>
      </c>
      <c r="F214" s="3" t="str">
        <f ca="1">IFERROR(MATCH($A214,INDIRECT("'Predictor Setup'!A"&amp;3+E214):'Predictor Setup'!$A$202,0)+E214,"")</f>
        <v/>
      </c>
      <c r="G214" s="3" t="str">
        <f ca="1">IFERROR(MATCH($A214,INDIRECT("'Predictor Setup'!A"&amp;3+F214):'Predictor Setup'!$A$202,0)+F214,"")</f>
        <v/>
      </c>
      <c r="H214" s="3" t="str">
        <f ca="1">IFERROR(MATCH($A214,INDIRECT("'Predictor Setup'!A"&amp;3+G214):'Predictor Setup'!$A$202,0)+G214,"")</f>
        <v/>
      </c>
      <c r="I214" s="3" t="str">
        <f ca="1">IFERROR(MATCH($A214,INDIRECT("'Predictor Setup'!A"&amp;3+H214):'Predictor Setup'!$A$202,0)+H214,"")</f>
        <v/>
      </c>
      <c r="J214" s="3" t="str">
        <f ca="1">IFERROR(MATCH($A214,INDIRECT("'Predictor Setup'!A"&amp;3+I214):'Predictor Setup'!$A$202,0)+I214,"")</f>
        <v/>
      </c>
      <c r="K214" s="3" t="str">
        <f ca="1">IFERROR(MATCH($A214,INDIRECT("'Predictor Setup'!A"&amp;3+J214):'Predictor Setup'!$A$202,0)+J214,"")</f>
        <v/>
      </c>
      <c r="L214" s="3" t="str">
        <f ca="1">IFERROR(MATCH($A214,INDIRECT("'Predictor Setup'!A"&amp;3+K214):'Predictor Setup'!$A$202,0)+K214,"")</f>
        <v/>
      </c>
      <c r="M214" s="3" t="str">
        <f ca="1">IFERROR(MATCH($A214,INDIRECT("'Predictor Setup'!A"&amp;3+L214):'Predictor Setup'!$A$202,0)+L214,"")</f>
        <v/>
      </c>
      <c r="N214" s="3" t="str">
        <f ca="1">IFERROR(MATCH($A214,INDIRECT("'Predictor Setup'!A"&amp;3+M214):'Predictor Setup'!$A$202,0)+M214,"")</f>
        <v/>
      </c>
      <c r="O214" s="3" t="str">
        <f ca="1">IFERROR(MATCH($A214,INDIRECT("'Predictor Setup'!A"&amp;3+N214):'Predictor Setup'!$A$202,0)+N214,"")</f>
        <v/>
      </c>
      <c r="P214" s="3" t="str">
        <f ca="1">IFERROR(MATCH($A214,INDIRECT("'Predictor Setup'!A"&amp;3+O214):'Predictor Setup'!$A$202,0)+O214,"")</f>
        <v/>
      </c>
    </row>
  </sheetData>
  <phoneticPr fontId="2"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D1F2F-BAA4-4450-9F57-7AD7D400A765}">
  <sheetPr codeName="Sheet25">
    <tabColor rgb="FFD62728"/>
  </sheetPr>
  <dimension ref="A1:D11"/>
  <sheetViews>
    <sheetView workbookViewId="0">
      <selection activeCell="D1" sqref="D1"/>
    </sheetView>
  </sheetViews>
  <sheetFormatPr defaultRowHeight="14.5" x14ac:dyDescent="0.35"/>
  <cols>
    <col min="1" max="1" width="15.26953125" bestFit="1" customWidth="1"/>
  </cols>
  <sheetData>
    <row r="1" spans="1:4" x14ac:dyDescent="0.35">
      <c r="A1" t="s">
        <v>747</v>
      </c>
      <c r="B1" s="19"/>
      <c r="D1" t="s">
        <v>750</v>
      </c>
    </row>
    <row r="2" spans="1:4" x14ac:dyDescent="0.35">
      <c r="A2" t="s">
        <v>731</v>
      </c>
      <c r="B2" s="20"/>
    </row>
    <row r="3" spans="1:4" x14ac:dyDescent="0.35">
      <c r="A3" t="s">
        <v>10</v>
      </c>
      <c r="B3" s="21"/>
    </row>
    <row r="4" spans="1:4" x14ac:dyDescent="0.35">
      <c r="A4" t="s">
        <v>745</v>
      </c>
      <c r="B4" s="23"/>
    </row>
    <row r="5" spans="1:4" x14ac:dyDescent="0.35">
      <c r="A5" t="s">
        <v>746</v>
      </c>
      <c r="B5" s="24"/>
    </row>
    <row r="6" spans="1:4" x14ac:dyDescent="0.35">
      <c r="A6" t="s">
        <v>12</v>
      </c>
      <c r="B6" s="25"/>
    </row>
    <row r="7" spans="1:4" x14ac:dyDescent="0.35">
      <c r="A7" t="s">
        <v>748</v>
      </c>
      <c r="B7" s="26"/>
    </row>
    <row r="8" spans="1:4" x14ac:dyDescent="0.35">
      <c r="A8" t="s">
        <v>19</v>
      </c>
      <c r="B8" s="28"/>
    </row>
    <row r="9" spans="1:4" x14ac:dyDescent="0.35">
      <c r="A9" t="s">
        <v>742</v>
      </c>
      <c r="B9" s="27"/>
    </row>
    <row r="11" spans="1:4" x14ac:dyDescent="0.35">
      <c r="A11" t="s">
        <v>749</v>
      </c>
      <c r="B11" s="22"/>
    </row>
  </sheetData>
  <pageMargins left="0.7" right="0.7" top="0.75" bottom="0.75" header="0.3" footer="0.3"/>
</worksheet>
</file>

<file path=docMetadata/LabelInfo.xml><?xml version="1.0" encoding="utf-8"?>
<clbl:labelList xmlns:clbl="http://schemas.microsoft.com/office/2020/mipLabelMetadata">
  <clbl:label id="{db3dbd43-4c4b-4544-9f8a-0553f9f5f25e}" enabled="0" method="" siteId="{db3dbd43-4c4b-4544-9f8a-0553f9f5f25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85</vt:i4>
      </vt:variant>
    </vt:vector>
  </HeadingPairs>
  <TitlesOfParts>
    <vt:vector size="110" baseType="lpstr">
      <vt:lpstr>OVERVIEW</vt:lpstr>
      <vt:lpstr>Facilities</vt:lpstr>
      <vt:lpstr>HIDE_FACILITIES</vt:lpstr>
      <vt:lpstr>Electricity Meters</vt:lpstr>
      <vt:lpstr>Electricity</vt:lpstr>
      <vt:lpstr>HIDE_ELEC</vt:lpstr>
      <vt:lpstr>Stationary Fuel Meters</vt:lpstr>
      <vt:lpstr>Stationary Fuel</vt:lpstr>
      <vt:lpstr>HIDE_STATIONARY</vt:lpstr>
      <vt:lpstr>Mobile Fuel Meters</vt:lpstr>
      <vt:lpstr>Mobile Fuel</vt:lpstr>
      <vt:lpstr>HIDE_MOBILE</vt:lpstr>
      <vt:lpstr>Other Energy Meters</vt:lpstr>
      <vt:lpstr>Other Energy</vt:lpstr>
      <vt:lpstr>HIDE_ENERGY</vt:lpstr>
      <vt:lpstr>Other Emission Meters</vt:lpstr>
      <vt:lpstr>HIDE_EMISSION</vt:lpstr>
      <vt:lpstr>Other Emissions</vt:lpstr>
      <vt:lpstr>Water Meters</vt:lpstr>
      <vt:lpstr>HIDE_WATER</vt:lpstr>
      <vt:lpstr>Water</vt:lpstr>
      <vt:lpstr>Predictor Setup</vt:lpstr>
      <vt:lpstr>Predictors</vt:lpstr>
      <vt:lpstr>HIDE_PREDICT</vt:lpstr>
      <vt:lpstr>V3</vt:lpstr>
      <vt:lpstr>Array_ElectricalChargeData</vt:lpstr>
      <vt:lpstr>Array_ElectricalCharges</vt:lpstr>
      <vt:lpstr>Array_EmissionChargeData</vt:lpstr>
      <vt:lpstr>Array_EmissionCharges</vt:lpstr>
      <vt:lpstr>Array_MobileChargeData</vt:lpstr>
      <vt:lpstr>Array_MobileCharges</vt:lpstr>
      <vt:lpstr>Array_OtherEnergyChargeData</vt:lpstr>
      <vt:lpstr>Array_OtherEnergyCharges</vt:lpstr>
      <vt:lpstr>Array_PredictorsLookup</vt:lpstr>
      <vt:lpstr>Array_StationaryChargeData</vt:lpstr>
      <vt:lpstr>Array_StationaryCharges</vt:lpstr>
      <vt:lpstr>Array_WaterChargeData</vt:lpstr>
      <vt:lpstr>Array_WaterCharges</vt:lpstr>
      <vt:lpstr>List_ChargeNumbers_Electricial</vt:lpstr>
      <vt:lpstr>List_ChargeNumbers_Emissions</vt:lpstr>
      <vt:lpstr>List_ChargeNumbers_Mobile</vt:lpstr>
      <vt:lpstr>List_ChargeNumbers_OtherEnergy</vt:lpstr>
      <vt:lpstr>List_ChargeNumbers_Stationary</vt:lpstr>
      <vt:lpstr>List_ChargeNumbers_Water</vt:lpstr>
      <vt:lpstr>List_ElectricityMeters</vt:lpstr>
      <vt:lpstr>List_EmissionMeters</vt:lpstr>
      <vt:lpstr>List_Facilities</vt:lpstr>
      <vt:lpstr>List_MobileFuelMeters</vt:lpstr>
      <vt:lpstr>List_OtherEnergyMeters</vt:lpstr>
      <vt:lpstr>List_PredictorFacilities</vt:lpstr>
      <vt:lpstr>List_PredictorNumbers</vt:lpstr>
      <vt:lpstr>List_Predictors</vt:lpstr>
      <vt:lpstr>List_StationaryFuelMeters</vt:lpstr>
      <vt:lpstr>List_WaterMeters</vt:lpstr>
      <vt:lpstr>NAIC_2</vt:lpstr>
      <vt:lpstr>NAIC_3</vt:lpstr>
      <vt:lpstr>NAIC_3_11</vt:lpstr>
      <vt:lpstr>NAIC_3_21</vt:lpstr>
      <vt:lpstr>NAIC_3_22</vt:lpstr>
      <vt:lpstr>NAIC_3_23</vt:lpstr>
      <vt:lpstr>NAIC_3_31</vt:lpstr>
      <vt:lpstr>NAIC_3_42</vt:lpstr>
      <vt:lpstr>NAIC_3_44</vt:lpstr>
      <vt:lpstr>NAIC_3_48</vt:lpstr>
      <vt:lpstr>NAIC_3_51</vt:lpstr>
      <vt:lpstr>NAIC_3_52</vt:lpstr>
      <vt:lpstr>NAIC_3_53</vt:lpstr>
      <vt:lpstr>NAIC_3_54</vt:lpstr>
      <vt:lpstr>NAIC_3_55</vt:lpstr>
      <vt:lpstr>NAIC_3_56</vt:lpstr>
      <vt:lpstr>NAIC_3_61</vt:lpstr>
      <vt:lpstr>NAIC_3_62</vt:lpstr>
      <vt:lpstr>NAIC_3_71</vt:lpstr>
      <vt:lpstr>NAIC_3_72</vt:lpstr>
      <vt:lpstr>NAIC_3_81</vt:lpstr>
      <vt:lpstr>NAIC_3_92</vt:lpstr>
      <vt:lpstr>Option_VehicleType</vt:lpstr>
      <vt:lpstr>Options_Calendarizing</vt:lpstr>
      <vt:lpstr>Options_Countries</vt:lpstr>
      <vt:lpstr>Options_ElecAgreementType</vt:lpstr>
      <vt:lpstr>Options_ElectricityChargeTypes</vt:lpstr>
      <vt:lpstr>Options_FuelsGas</vt:lpstr>
      <vt:lpstr>Options_FuelsLiquid</vt:lpstr>
      <vt:lpstr>Options_FuelsMaterial</vt:lpstr>
      <vt:lpstr>Options_FuelsNonRoad</vt:lpstr>
      <vt:lpstr>Options_FuelsOffRoad</vt:lpstr>
      <vt:lpstr>Options_FuelsOnRoad</vt:lpstr>
      <vt:lpstr>Options_FuelsSolid</vt:lpstr>
      <vt:lpstr>Options_FuelsUnitsGas</vt:lpstr>
      <vt:lpstr>Options_FuelsUnitsLiquid</vt:lpstr>
      <vt:lpstr>Options_FuelsUnitsSolid</vt:lpstr>
      <vt:lpstr>Options_FugitiveEmissions</vt:lpstr>
      <vt:lpstr>Options_MobileLiquid</vt:lpstr>
      <vt:lpstr>Options_OtherEnergyTypes</vt:lpstr>
      <vt:lpstr>Options_Phase</vt:lpstr>
      <vt:lpstr>Options_ProcessEmissions</vt:lpstr>
      <vt:lpstr>Options_ScopeEmissions</vt:lpstr>
      <vt:lpstr>Options_StationaryChargeTypes</vt:lpstr>
      <vt:lpstr>Options_UnitsDistance</vt:lpstr>
      <vt:lpstr>Options_UnitsEnergy</vt:lpstr>
      <vt:lpstr>Options_US_States</vt:lpstr>
      <vt:lpstr>Options_WaterCharge</vt:lpstr>
      <vt:lpstr>Options_WaterDischarge</vt:lpstr>
      <vt:lpstr>Options_WaterIntake</vt:lpstr>
      <vt:lpstr>Options_WaterUnitsUsage</vt:lpstr>
      <vt:lpstr>Units_ElectricityDemand</vt:lpstr>
      <vt:lpstr>Units_ElectricityUse</vt:lpstr>
      <vt:lpstr>Units_Emissions</vt:lpstr>
      <vt:lpstr>Units_OtherEnergyCollection</vt:lpstr>
      <vt:lpstr>Units_Predictors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Price, Chris</dc:creator>
  <cp:lastModifiedBy>Armstrong, Kristina</cp:lastModifiedBy>
  <cp:lastPrinted>2025-07-27T20:03:20Z</cp:lastPrinted>
  <dcterms:created xsi:type="dcterms:W3CDTF">2025-03-10T18:49:38Z</dcterms:created>
  <dcterms:modified xsi:type="dcterms:W3CDTF">2026-03-02T17:59:00Z</dcterms:modified>
</cp:coreProperties>
</file>